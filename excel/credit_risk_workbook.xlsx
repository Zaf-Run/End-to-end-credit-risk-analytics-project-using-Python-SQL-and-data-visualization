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Cleaned_Data" sheetId="2" state="visible" r:id="rId4"/>
    <sheet name="Data_Dictionary" sheetId="3" state="visible" r:id="rId5"/>
    <sheet name="Lookups" sheetId="4" state="visible" r:id="rId6"/>
    <sheet name="Risk_Analysis" sheetId="5" state="visible" r:id="rId7"/>
    <sheet name="Summary" sheetId="6" state="visible" r:id="rId8"/>
    <sheet name="Dashboard" sheetId="7" state="visible" r:id="rId9"/>
    <sheet name="Pivot_Guid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<sst xmlns="http://schemas.openxmlformats.org/spreadsheetml/2006/main" count="45540" uniqueCount="229">
  <si>
    <t xml:space="preserve">age</t>
  </si>
  <si>
    <t xml:space="preserve">job</t>
  </si>
  <si>
    <t xml:space="preserve">marital</t>
  </si>
  <si>
    <t xml:space="preserve">education</t>
  </si>
  <si>
    <t xml:space="preserve">default</t>
  </si>
  <si>
    <t xml:space="preserve">balance</t>
  </si>
  <si>
    <t xml:space="preserve">housing</t>
  </si>
  <si>
    <t xml:space="preserve">loan</t>
  </si>
  <si>
    <t xml:space="preserve">contact</t>
  </si>
  <si>
    <t xml:space="preserve">day</t>
  </si>
  <si>
    <t xml:space="preserve">month</t>
  </si>
  <si>
    <t xml:space="preserve">duration</t>
  </si>
  <si>
    <t xml:space="preserve">campaign</t>
  </si>
  <si>
    <t xml:space="preserve">pdays</t>
  </si>
  <si>
    <t xml:space="preserve">previous</t>
  </si>
  <si>
    <t xml:space="preserve">poutcome</t>
  </si>
  <si>
    <t xml:space="preserve">y</t>
  </si>
  <si>
    <t xml:space="preserve">unemployed</t>
  </si>
  <si>
    <t xml:space="preserve">married</t>
  </si>
  <si>
    <t xml:space="preserve">primary</t>
  </si>
  <si>
    <t xml:space="preserve">no</t>
  </si>
  <si>
    <t xml:space="preserve">cellular</t>
  </si>
  <si>
    <t xml:space="preserve">oct</t>
  </si>
  <si>
    <t xml:space="preserve">unknown</t>
  </si>
  <si>
    <t xml:space="preserve">services</t>
  </si>
  <si>
    <t xml:space="preserve">secondary</t>
  </si>
  <si>
    <t xml:space="preserve">yes</t>
  </si>
  <si>
    <t xml:space="preserve">may</t>
  </si>
  <si>
    <t xml:space="preserve">failure</t>
  </si>
  <si>
    <t xml:space="preserve">management</t>
  </si>
  <si>
    <t xml:space="preserve">single</t>
  </si>
  <si>
    <t xml:space="preserve">tertiary</t>
  </si>
  <si>
    <t xml:space="preserve">apr</t>
  </si>
  <si>
    <t xml:space="preserve">jun</t>
  </si>
  <si>
    <t xml:space="preserve">blue-collar</t>
  </si>
  <si>
    <t xml:space="preserve">feb</t>
  </si>
  <si>
    <t xml:space="preserve">self-employed</t>
  </si>
  <si>
    <t xml:space="preserve">other</t>
  </si>
  <si>
    <t xml:space="preserve">technician</t>
  </si>
  <si>
    <t xml:space="preserve">entrepreneur</t>
  </si>
  <si>
    <t xml:space="preserve">admin.</t>
  </si>
  <si>
    <t xml:space="preserve">aug</t>
  </si>
  <si>
    <t xml:space="preserve">student</t>
  </si>
  <si>
    <t xml:space="preserve">jan</t>
  </si>
  <si>
    <t xml:space="preserve">jul</t>
  </si>
  <si>
    <t xml:space="preserve">divorced</t>
  </si>
  <si>
    <t xml:space="preserve">nov</t>
  </si>
  <si>
    <t xml:space="preserve">housemaid</t>
  </si>
  <si>
    <t xml:space="preserve">retired</t>
  </si>
  <si>
    <t xml:space="preserve">telephone</t>
  </si>
  <si>
    <t xml:space="preserve">success</t>
  </si>
  <si>
    <t xml:space="preserve">sep</t>
  </si>
  <si>
    <t xml:space="preserve">mar</t>
  </si>
  <si>
    <t xml:space="preserve">dec</t>
  </si>
  <si>
    <t xml:space="preserve">customer_id</t>
  </si>
  <si>
    <t xml:space="preserve">default_raw</t>
  </si>
  <si>
    <t xml:space="preserve">housing_loan</t>
  </si>
  <si>
    <t xml:space="preserve">personal_loan</t>
  </si>
  <si>
    <t xml:space="preserve">default_flag</t>
  </si>
  <si>
    <t xml:space="preserve">housing_loan_flag</t>
  </si>
  <si>
    <t xml:space="preserve">personal_loan_flag</t>
  </si>
  <si>
    <t xml:space="preserve">negative_balance_flag</t>
  </si>
  <si>
    <t xml:space="preserve">age_band</t>
  </si>
  <si>
    <t xml:space="preserve">balance_band</t>
  </si>
  <si>
    <t xml:space="preserve">risk_points</t>
  </si>
  <si>
    <t xml:space="preserve">risk_tier</t>
  </si>
  <si>
    <t xml:space="preserve">Column</t>
  </si>
  <si>
    <t xml:space="preserve">Description</t>
  </si>
  <si>
    <t xml:space="preserve">Data type</t>
  </si>
  <si>
    <t xml:space="preserve">Business meaning</t>
  </si>
  <si>
    <t xml:space="preserve">Analytical relevance</t>
  </si>
  <si>
    <t xml:space="preserve">Missing values</t>
  </si>
  <si>
    <t xml:space="preserve">Potential quality issues</t>
  </si>
  <si>
    <t xml:space="preserve">Customer age in years</t>
  </si>
  <si>
    <t xml:space="preserve">Integer</t>
  </si>
  <si>
    <t xml:space="preserve">Life stage proxy</t>
  </si>
  <si>
    <t xml:space="preserve">Descriptive only. Excluded from scoring (fairness)</t>
  </si>
  <si>
    <t xml:space="preserve">none</t>
  </si>
  <si>
    <t xml:space="preserve">Range 19 to 87. 38 IQR outliers, plausible values</t>
  </si>
  <si>
    <t xml:space="preserve">Occupation category</t>
  </si>
  <si>
    <t xml:space="preserve">Text (12 levels)</t>
  </si>
  <si>
    <t xml:space="preserve">Employment type proxy</t>
  </si>
  <si>
    <t xml:space="preserve">Segment analysis. Employment status is not recorded directly</t>
  </si>
  <si>
    <t xml:space="preserve">38 'unknown'. Label 'admin.' cleaned to 'admin'</t>
  </si>
  <si>
    <t xml:space="preserve">Marital status</t>
  </si>
  <si>
    <t xml:space="preserve">Text (3 levels)</t>
  </si>
  <si>
    <t xml:space="preserve">Household context</t>
  </si>
  <si>
    <t xml:space="preserve">None found</t>
  </si>
  <si>
    <t xml:space="preserve">Education level</t>
  </si>
  <si>
    <t xml:space="preserve">Text (4 levels)</t>
  </si>
  <si>
    <t xml:space="preserve">Human capital proxy</t>
  </si>
  <si>
    <t xml:space="preserve">Descriptive only</t>
  </si>
  <si>
    <t xml:space="preserve">187 'unknown' kept as own category</t>
  </si>
  <si>
    <t xml:space="preserve">Has credit in default (yes/no)</t>
  </si>
  <si>
    <t xml:space="preserve">Text yes/no</t>
  </si>
  <si>
    <t xml:space="preserve">Customer level default indicator. Contract definition not given</t>
  </si>
  <si>
    <t xml:space="preserve">TARGET for risk analysis</t>
  </si>
  <si>
    <t xml:space="preserve">Only 76 yes. Definition and observation window unknown</t>
  </si>
  <si>
    <t xml:space="preserve">Average yearly balance in the account</t>
  </si>
  <si>
    <t xml:space="preserve">Deposit account position, not loan exposure</t>
  </si>
  <si>
    <t xml:space="preserve">Strongest signal. May be a consequence of default, not a cause</t>
  </si>
  <si>
    <t xml:space="preserve">Currency unit not stated. 366 negative. Max 71188, heavy right tail</t>
  </si>
  <si>
    <t xml:space="preserve">Has housing loan (yes/no)</t>
  </si>
  <si>
    <t xml:space="preserve">Mortgage product holder</t>
  </si>
  <si>
    <t xml:space="preserve">Exposure proxy (holder count only)</t>
  </si>
  <si>
    <t xml:space="preserve">No amount, tenor or rate</t>
  </si>
  <si>
    <t xml:space="preserve">Has personal loan (yes/no)</t>
  </si>
  <si>
    <t xml:space="preserve">Unsecured credit holder</t>
  </si>
  <si>
    <t xml:space="preserve">Risk indicator and exposure proxy</t>
  </si>
  <si>
    <t xml:space="preserve">Contact channel of last campaign call</t>
  </si>
  <si>
    <t xml:space="preserve">Text</t>
  </si>
  <si>
    <t xml:space="preserve">Marketing operations</t>
  </si>
  <si>
    <t xml:space="preserve">Excluded: not a credit variable</t>
  </si>
  <si>
    <t xml:space="preserve">1324 'unknown'</t>
  </si>
  <si>
    <t xml:space="preserve">Day of month of last contact</t>
  </si>
  <si>
    <t xml:space="preserve">Excluded</t>
  </si>
  <si>
    <t xml:space="preserve">Not a default date</t>
  </si>
  <si>
    <t xml:space="preserve">Month of last contact</t>
  </si>
  <si>
    <t xml:space="preserve">Excluded. Cannot support a default trend</t>
  </si>
  <si>
    <t xml:space="preserve">Last call length in seconds</t>
  </si>
  <si>
    <t xml:space="preserve">Excluded: known only after the call (leakage for campaign target)</t>
  </si>
  <si>
    <t xml:space="preserve">330 IQR outliers</t>
  </si>
  <si>
    <t xml:space="preserve">Contacts made in this campaign</t>
  </si>
  <si>
    <t xml:space="preserve">Max 50</t>
  </si>
  <si>
    <t xml:space="preserve">Days since previous campaign contact (-1 = never)</t>
  </si>
  <si>
    <t xml:space="preserve">-1 is a code, not a number of days</t>
  </si>
  <si>
    <t xml:space="preserve">Contacts before this campaign</t>
  </si>
  <si>
    <t xml:space="preserve">Max 25</t>
  </si>
  <si>
    <t xml:space="preserve">Outcome of previous campaign</t>
  </si>
  <si>
    <t xml:space="preserve">Excluded: not repayment behaviour</t>
  </si>
  <si>
    <t xml:space="preserve">3705 'unknown' (81.9%)</t>
  </si>
  <si>
    <t xml:space="preserve">Subscribed to term deposit (yes/no)</t>
  </si>
  <si>
    <t xml:space="preserve">Marketing outcome</t>
  </si>
  <si>
    <t xml:space="preserve">Excluded: NOT a credit outcome</t>
  </si>
  <si>
    <t xml:space="preserve">Do not confuse with default</t>
  </si>
  <si>
    <t xml:space="preserve">1 if default = yes</t>
  </si>
  <si>
    <t xml:space="preserve">Derived 0/1</t>
  </si>
  <si>
    <t xml:space="preserve">Target in numeric form</t>
  </si>
  <si>
    <t xml:space="preserve">Used in all rates</t>
  </si>
  <si>
    <t xml:space="preserve">0</t>
  </si>
  <si>
    <t xml:space="preserve">Formula in Cleaned_Data</t>
  </si>
  <si>
    <t xml:space="preserve">1 if balance below zero</t>
  </si>
  <si>
    <t xml:space="preserve">Overdrawn indicator</t>
  </si>
  <si>
    <t xml:space="preserve">Risk indicator</t>
  </si>
  <si>
    <t xml:space="preserve">May overlap with the default definition</t>
  </si>
  <si>
    <t xml:space="preserve">balance_band / age_band</t>
  </si>
  <si>
    <t xml:space="preserve">Banded versions</t>
  </si>
  <si>
    <t xml:space="preserve">Derived text</t>
  </si>
  <si>
    <t xml:space="preserve">Segments for monitoring</t>
  </si>
  <si>
    <t xml:space="preserve">Segmentation</t>
  </si>
  <si>
    <t xml:space="preserve">Band edges are analyst choices</t>
  </si>
  <si>
    <t xml:space="preserve">risk_points / risk_tier</t>
  </si>
  <si>
    <t xml:space="preserve">Illustrative score and Low/Medium/High tier</t>
  </si>
  <si>
    <t xml:space="preserve">Derived</t>
  </si>
  <si>
    <t xml:space="preserve">Transparent rule based tiering</t>
  </si>
  <si>
    <t xml:space="preserve">Monitoring segmentation</t>
  </si>
  <si>
    <t xml:space="preserve">Not validated on independent data</t>
  </si>
  <si>
    <t xml:space="preserve">Indicator (illustrative, not validated)</t>
  </si>
  <si>
    <t xml:space="preserve">Points</t>
  </si>
  <si>
    <t xml:space="preserve">Tier</t>
  </si>
  <si>
    <t xml:space="preserve">Negative balance</t>
  </si>
  <si>
    <t xml:space="preserve">Low</t>
  </si>
  <si>
    <t xml:space="preserve">Personal loan</t>
  </si>
  <si>
    <t xml:space="preserve">Medium</t>
  </si>
  <si>
    <t xml:space="preserve">High</t>
  </si>
  <si>
    <t xml:space="preserve">z value for 95% confidence interval</t>
  </si>
  <si>
    <t xml:space="preserve">Blue on yellow cells are inputs. Change points or tiers and every sheet recalculates. Thresholds are illustrative rules chosen from risk logic, not statistically optimised cutoffs.</t>
  </si>
  <si>
    <t xml:space="preserve">Default rate by segment. Denominator: all customers in the segment. Defaults = default_flag = 1.</t>
  </si>
  <si>
    <t xml:space="preserve">Formula pattern: customers = COUNTIFS(segment column, segment). defaults = SUMIFS(default_flag, segment column, segment).</t>
  </si>
  <si>
    <t xml:space="preserve">Dimension</t>
  </si>
  <si>
    <t xml:space="preserve">Segment</t>
  </si>
  <si>
    <t xml:space="preserve">Customers</t>
  </si>
  <si>
    <t xml:space="preserve">Defaults</t>
  </si>
  <si>
    <t xml:space="preserve">Default rate</t>
  </si>
  <si>
    <t xml:space="preserve">95% CI low</t>
  </si>
  <si>
    <t xml:space="preserve">95% CI high</t>
  </si>
  <si>
    <t xml:space="preserve">Share of customers</t>
  </si>
  <si>
    <t xml:space="preserve">Share of defaults</t>
  </si>
  <si>
    <t xml:space="preserve">Lift vs portfolio</t>
  </si>
  <si>
    <t xml:space="preserve">Flag</t>
  </si>
  <si>
    <t xml:space="preserve">1 Negative</t>
  </si>
  <si>
    <t xml:space="preserve">2 Zero</t>
  </si>
  <si>
    <t xml:space="preserve">3 1-500</t>
  </si>
  <si>
    <t xml:space="preserve">4 501-2000</t>
  </si>
  <si>
    <t xml:space="preserve">5 Above 2000</t>
  </si>
  <si>
    <t xml:space="preserve">Under 30</t>
  </si>
  <si>
    <t xml:space="preserve">30-39</t>
  </si>
  <si>
    <t xml:space="preserve">40-49</t>
  </si>
  <si>
    <t xml:space="preserve">50-59</t>
  </si>
  <si>
    <t xml:space="preserve">60+</t>
  </si>
  <si>
    <t xml:space="preserve">admin</t>
  </si>
  <si>
    <t xml:space="preserve">Portfolio summary (all figures are formulas)</t>
  </si>
  <si>
    <t xml:space="preserve">Metric</t>
  </si>
  <si>
    <t xml:space="preserve">Value</t>
  </si>
  <si>
    <t xml:space="preserve">Definition</t>
  </si>
  <si>
    <t xml:space="preserve">Total customers</t>
  </si>
  <si>
    <t xml:space="preserve">Rows in Cleaned_Data</t>
  </si>
  <si>
    <t xml:space="preserve">Defaulted customers</t>
  </si>
  <si>
    <t xml:space="preserve">default = yes</t>
  </si>
  <si>
    <t xml:space="preserve">Overall default rate</t>
  </si>
  <si>
    <t xml:space="preserve">Defaults / customers</t>
  </si>
  <si>
    <t xml:space="preserve">Wilson interval</t>
  </si>
  <si>
    <t xml:space="preserve">Customers with negative balance</t>
  </si>
  <si>
    <t xml:space="preserve">balance &lt; 0</t>
  </si>
  <si>
    <t xml:space="preserve">Default rate, negative balance</t>
  </si>
  <si>
    <t xml:space="preserve">Defaults / negative balance customers</t>
  </si>
  <si>
    <t xml:space="preserve">Default rate, non negative balance</t>
  </si>
  <si>
    <t xml:space="preserve">Defaults / other customers</t>
  </si>
  <si>
    <t xml:space="preserve">Share of defaults from negative balance</t>
  </si>
  <si>
    <t xml:space="preserve">Concentration</t>
  </si>
  <si>
    <t xml:space="preserve">Median balance, defaulted</t>
  </si>
  <si>
    <t xml:space="preserve">Array formula</t>
  </si>
  <si>
    <t xml:space="preserve">Median balance, all customers</t>
  </si>
  <si>
    <t xml:space="preserve">Customers with personal loan</t>
  </si>
  <si>
    <t xml:space="preserve">Holder count (no loan amounts available)</t>
  </si>
  <si>
    <t xml:space="preserve">Customers with housing loan</t>
  </si>
  <si>
    <t xml:space="preserve">Average balance, all customers</t>
  </si>
  <si>
    <t xml:space="preserve">Deposit balance, not loan exposure</t>
  </si>
  <si>
    <t xml:space="preserve">Reading the numbers</t>
  </si>
  <si>
    <t xml:space="preserve">Association only. Balance may be a result of default or a shared third factor. No loan amounts exist, so exposure, LGD and ECL cannot be computed.</t>
  </si>
  <si>
    <t xml:space="preserve">Credit Risk Monitoring Dashboard (Excel prototype)</t>
  </si>
  <si>
    <t xml:space="preserve">Neg. balance default rate</t>
  </si>
  <si>
    <t xml:space="preserve">Pivot tables must be created in Excel itself (this file was generated by code, which cannot create pivots).</t>
  </si>
  <si>
    <t xml:space="preserve">1. Go to Cleaned_Data. Click any cell. Insert &gt; PivotTable &gt; New Worksheet.</t>
  </si>
  <si>
    <t xml:space="preserve">2. Rows: balance_band. Values: Count of customer_id (rename 'Customers'), Sum of default_flag (rename 'Defaults').</t>
  </si>
  <si>
    <t xml:space="preserve">3. Add a calculated field: Default rate = default_flag / customer_id is awkward with counts, so instead set Values &gt; Average of default_flag and format as percent. Average of a 0/1 flag equals the default rate.</t>
  </si>
  <si>
    <t xml:space="preserve">4. Repeat with risk_tier, job, age_band as Rows. Insert &gt; Slicer on personal_loan and marital for filtering.</t>
  </si>
  <si>
    <t xml:space="preserve">5. Compare each pivot with the matching block in Risk_Analysis. The numbers must agree. That is your validation step.</t>
  </si>
  <si>
    <t xml:space="preserve">Lookup note: XLOOKUP works in Excel 365. This file uses INDEX/MATCH (risk_tier column) because it works in every version. XLOOKUP equivalent: =XLOOKUP(P2,Lookups!D2:D5,Lookups!E2:E5).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</si>
</sst>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0.00"/>
    <numFmt numFmtId="168" formatCode="0.0%"/>
    <numFmt numFmtId="169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8"/>
      <color rgb="FF1F4E7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by balance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"Default rate"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Risk_Analysis!$B$5:$B$9</c:f>
              <c:strCache>
                <c:ptCount val="5"/>
                <c:pt idx="0">
                  <c:v>1 Negative</c:v>
                </c:pt>
                <c:pt idx="1">
                  <c:v>2 Zero</c:v>
                </c:pt>
                <c:pt idx="2">
                  <c:v>3 1-500</c:v>
                </c:pt>
                <c:pt idx="3">
                  <c:v>4 501-2000</c:v>
                </c:pt>
                <c:pt idx="4">
                  <c:v>5 Above 2000</c:v>
                </c:pt>
              </c:strCache>
            </c:strRef>
          </c:cat>
          <c:val>
            <c:numRef>
              <c:f>Risk_Analysis!$E$5:$E$9</c:f>
              <c:numCache>
                <c:formatCode>0.00%</c:formatCode>
                <c:ptCount val="5"/>
                <c:pt idx="0">
                  <c:v>0.117486338797814</c:v>
                </c:pt>
                <c:pt idx="1">
                  <c:v>0.0196078431372549</c:v>
                </c:pt>
                <c:pt idx="2">
                  <c:v>0.0144230769230769</c:v>
                </c:pt>
                <c:pt idx="3">
                  <c:v>0.00160384923817161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31619714"/>
        <c:axId val="47785619"/>
      </c:barChart>
      <c:catAx>
        <c:axId val="316197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785619"/>
        <c:crosses val="autoZero"/>
        <c:auto val="1"/>
        <c:lblAlgn val="ctr"/>
        <c:lblOffset val="100"/>
        <c:noMultiLvlLbl val="0"/>
      </c:catAx>
      <c:valAx>
        <c:axId val="477856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Default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197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by risk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"Default rate"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Risk_Analysis!$B$45:$B$47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Risk_Analysis!$E$45:$E$47</c:f>
              <c:numCache>
                <c:formatCode>0.00%</c:formatCode>
                <c:ptCount val="3"/>
                <c:pt idx="0">
                  <c:v>0.0064479955144379</c:v>
                </c:pt>
                <c:pt idx="1">
                  <c:v>0.0170068027210884</c:v>
                </c:pt>
                <c:pt idx="2">
                  <c:v>0.117486338797814</c:v>
                </c:pt>
              </c:numCache>
            </c:numRef>
          </c:val>
        </c:ser>
        <c:gapWidth val="150"/>
        <c:overlap val="0"/>
        <c:axId val="22297179"/>
        <c:axId val="33323222"/>
      </c:barChart>
      <c:catAx>
        <c:axId val="222971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23222"/>
        <c:crosses val="autoZero"/>
        <c:auto val="1"/>
        <c:lblAlgn val="ctr"/>
        <c:lblOffset val="100"/>
        <c:noMultiLvlLbl val="0"/>
      </c:catAx>
      <c:valAx>
        <c:axId val="333232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Default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2971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of customers vs share of defaults (balance band)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"Share of customers"</c:f>
              <c:strCache>
                <c:ptCount val="1"/>
                <c:pt idx="0">
                  <c:v>Share of 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Risk_Analysis!$B$5:$B$9</c:f>
              <c:strCache>
                <c:ptCount val="5"/>
                <c:pt idx="0">
                  <c:v>1 Negative</c:v>
                </c:pt>
                <c:pt idx="1">
                  <c:v>2 Zero</c:v>
                </c:pt>
                <c:pt idx="2">
                  <c:v>3 1-500</c:v>
                </c:pt>
                <c:pt idx="3">
                  <c:v>4 501-2000</c:v>
                </c:pt>
                <c:pt idx="4">
                  <c:v>5 Above 2000</c:v>
                </c:pt>
              </c:strCache>
            </c:strRef>
          </c:cat>
          <c:val>
            <c:numRef>
              <c:f>Risk_Analysis!$H$5:$H$9</c:f>
              <c:numCache>
                <c:formatCode>0.00%</c:formatCode>
                <c:ptCount val="5"/>
                <c:pt idx="0">
                  <c:v>0.0809555408095554</c:v>
                </c:pt>
                <c:pt idx="1">
                  <c:v>0.0789648307896483</c:v>
                </c:pt>
                <c:pt idx="2">
                  <c:v>0.368060163680602</c:v>
                </c:pt>
                <c:pt idx="3">
                  <c:v>0.275823932758239</c:v>
                </c:pt>
                <c:pt idx="4">
                  <c:v>0.196195531961955</c:v>
                </c:pt>
              </c:numCache>
            </c:numRef>
          </c:val>
        </c:ser>
        <c:ser>
          <c:idx val="1"/>
          <c:order val="1"/>
          <c:tx>
            <c:strRef>
              <c:f>"Share of defaults"</c:f>
              <c:strCache>
                <c:ptCount val="1"/>
                <c:pt idx="0">
                  <c:v>Share of defaults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Risk_Analysis!$B$5:$B$9</c:f>
              <c:strCache>
                <c:ptCount val="5"/>
                <c:pt idx="0">
                  <c:v>1 Negative</c:v>
                </c:pt>
                <c:pt idx="1">
                  <c:v>2 Zero</c:v>
                </c:pt>
                <c:pt idx="2">
                  <c:v>3 1-500</c:v>
                </c:pt>
                <c:pt idx="3">
                  <c:v>4 501-2000</c:v>
                </c:pt>
                <c:pt idx="4">
                  <c:v>5 Above 2000</c:v>
                </c:pt>
              </c:strCache>
            </c:strRef>
          </c:cat>
          <c:val>
            <c:numRef>
              <c:f>Risk_Analysis!$I$5:$I$9</c:f>
              <c:numCache>
                <c:formatCode>0.00%</c:formatCode>
                <c:ptCount val="5"/>
                <c:pt idx="0">
                  <c:v>0.565789473684211</c:v>
                </c:pt>
                <c:pt idx="1">
                  <c:v>0.0921052631578947</c:v>
                </c:pt>
                <c:pt idx="2">
                  <c:v>0.315789473684211</c:v>
                </c:pt>
                <c:pt idx="3">
                  <c:v>0.0263157894736842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17023748"/>
        <c:axId val="34226984"/>
      </c:barChart>
      <c:catAx>
        <c:axId val="170237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226984"/>
        <c:crosses val="autoZero"/>
        <c:auto val="1"/>
        <c:lblAlgn val="ctr"/>
        <c:lblOffset val="100"/>
        <c:noMultiLvlLbl val="0"/>
      </c:catAx>
      <c:valAx>
        <c:axId val="342269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2374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by personal loan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"Default rate"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Risk_Analysis!$B$11:$B$12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Risk_Analysis!$E$11:$E$12</c:f>
              <c:numCache>
                <c:formatCode>0.00%</c:formatCode>
                <c:ptCount val="2"/>
                <c:pt idx="0">
                  <c:v>0.0361794500723589</c:v>
                </c:pt>
                <c:pt idx="1">
                  <c:v>0.0133159268929504</c:v>
                </c:pt>
              </c:numCache>
            </c:numRef>
          </c:val>
        </c:ser>
        <c:gapWidth val="150"/>
        <c:overlap val="0"/>
        <c:axId val="89714150"/>
        <c:axId val="78406725"/>
      </c:barChart>
      <c:catAx>
        <c:axId val="897141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406725"/>
        <c:crosses val="autoZero"/>
        <c:auto val="1"/>
        <c:lblAlgn val="ctr"/>
        <c:lblOffset val="100"/>
        <c:noMultiLvlLbl val="0"/>
      </c:catAx>
      <c:valAx>
        <c:axId val="784067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Default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7141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71280</xdr:rowOff>
    </xdr:from>
    <xdr:to>
      <xdr:col>8</xdr:col>
      <xdr:colOff>132480</xdr:colOff>
      <xdr:row>18</xdr:row>
      <xdr:rowOff>103680</xdr:rowOff>
    </xdr:to>
    <xdr:graphicFrame>
      <xdr:nvGraphicFramePr>
        <xdr:cNvPr id="0" name="Chart 1"/>
        <xdr:cNvGraphicFramePr/>
      </xdr:nvGraphicFramePr>
      <xdr:xfrm>
        <a:off x="0" y="952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4</xdr:row>
      <xdr:rowOff>71280</xdr:rowOff>
    </xdr:from>
    <xdr:to>
      <xdr:col>15</xdr:col>
      <xdr:colOff>507600</xdr:colOff>
      <xdr:row>18</xdr:row>
      <xdr:rowOff>103680</xdr:rowOff>
    </xdr:to>
    <xdr:graphicFrame>
      <xdr:nvGraphicFramePr>
        <xdr:cNvPr id="1" name="Chart 2"/>
        <xdr:cNvGraphicFramePr/>
      </xdr:nvGraphicFramePr>
      <xdr:xfrm>
        <a:off x="4655880" y="952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71280</xdr:rowOff>
    </xdr:from>
    <xdr:to>
      <xdr:col>8</xdr:col>
      <xdr:colOff>132480</xdr:colOff>
      <xdr:row>35</xdr:row>
      <xdr:rowOff>104040</xdr:rowOff>
    </xdr:to>
    <xdr:graphicFrame>
      <xdr:nvGraphicFramePr>
        <xdr:cNvPr id="2" name="Chart 3"/>
        <xdr:cNvGraphicFramePr/>
      </xdr:nvGraphicFramePr>
      <xdr:xfrm>
        <a:off x="0" y="41911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21</xdr:row>
      <xdr:rowOff>71280</xdr:rowOff>
    </xdr:from>
    <xdr:to>
      <xdr:col>15</xdr:col>
      <xdr:colOff>507600</xdr:colOff>
      <xdr:row>35</xdr:row>
      <xdr:rowOff>104040</xdr:rowOff>
    </xdr:to>
    <xdr:graphicFrame>
      <xdr:nvGraphicFramePr>
        <xdr:cNvPr id="3" name="Chart 4"/>
        <xdr:cNvGraphicFramePr/>
      </xdr:nvGraphicFramePr>
      <xdr:xfrm>
        <a:off x="4655880" y="41911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7" min="1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n">
        <v>30</v>
      </c>
      <c r="B2" s="2" t="s">
        <v>17</v>
      </c>
      <c r="C2" s="2" t="s">
        <v>18</v>
      </c>
      <c r="D2" s="2" t="s">
        <v>19</v>
      </c>
      <c r="E2" s="2" t="s">
        <v>20</v>
      </c>
      <c r="F2" s="2" t="n">
        <v>1787</v>
      </c>
      <c r="G2" s="2" t="s">
        <v>20</v>
      </c>
      <c r="H2" s="2" t="s">
        <v>20</v>
      </c>
      <c r="I2" s="2" t="s">
        <v>21</v>
      </c>
      <c r="J2" s="2" t="n">
        <v>19</v>
      </c>
      <c r="K2" s="2" t="s">
        <v>22</v>
      </c>
      <c r="L2" s="2" t="n">
        <v>79</v>
      </c>
      <c r="M2" s="2" t="n">
        <v>1</v>
      </c>
      <c r="N2" s="2" t="n">
        <v>-1</v>
      </c>
      <c r="O2" s="2" t="n">
        <v>0</v>
      </c>
      <c r="P2" s="2" t="s">
        <v>23</v>
      </c>
      <c r="Q2" s="2" t="s">
        <v>20</v>
      </c>
    </row>
    <row r="3" customFormat="false" ht="15" hidden="false" customHeight="false" outlineLevel="0" collapsed="false">
      <c r="A3" s="2" t="n">
        <v>33</v>
      </c>
      <c r="B3" s="2" t="s">
        <v>24</v>
      </c>
      <c r="C3" s="2" t="s">
        <v>18</v>
      </c>
      <c r="D3" s="2" t="s">
        <v>25</v>
      </c>
      <c r="E3" s="2" t="s">
        <v>20</v>
      </c>
      <c r="F3" s="2" t="n">
        <v>4789</v>
      </c>
      <c r="G3" s="2" t="s">
        <v>26</v>
      </c>
      <c r="H3" s="2" t="s">
        <v>26</v>
      </c>
      <c r="I3" s="2" t="s">
        <v>21</v>
      </c>
      <c r="J3" s="2" t="n">
        <v>11</v>
      </c>
      <c r="K3" s="2" t="s">
        <v>27</v>
      </c>
      <c r="L3" s="2" t="n">
        <v>220</v>
      </c>
      <c r="M3" s="2" t="n">
        <v>1</v>
      </c>
      <c r="N3" s="2" t="n">
        <v>339</v>
      </c>
      <c r="O3" s="2" t="n">
        <v>4</v>
      </c>
      <c r="P3" s="2" t="s">
        <v>28</v>
      </c>
      <c r="Q3" s="2" t="s">
        <v>20</v>
      </c>
    </row>
    <row r="4" customFormat="false" ht="15" hidden="false" customHeight="false" outlineLevel="0" collapsed="false">
      <c r="A4" s="2" t="n">
        <v>35</v>
      </c>
      <c r="B4" s="2" t="s">
        <v>29</v>
      </c>
      <c r="C4" s="2" t="s">
        <v>30</v>
      </c>
      <c r="D4" s="2" t="s">
        <v>31</v>
      </c>
      <c r="E4" s="2" t="s">
        <v>20</v>
      </c>
      <c r="F4" s="2" t="n">
        <v>1350</v>
      </c>
      <c r="G4" s="2" t="s">
        <v>26</v>
      </c>
      <c r="H4" s="2" t="s">
        <v>20</v>
      </c>
      <c r="I4" s="2" t="s">
        <v>21</v>
      </c>
      <c r="J4" s="2" t="n">
        <v>16</v>
      </c>
      <c r="K4" s="2" t="s">
        <v>32</v>
      </c>
      <c r="L4" s="2" t="n">
        <v>185</v>
      </c>
      <c r="M4" s="2" t="n">
        <v>1</v>
      </c>
      <c r="N4" s="2" t="n">
        <v>330</v>
      </c>
      <c r="O4" s="2" t="n">
        <v>1</v>
      </c>
      <c r="P4" s="2" t="s">
        <v>28</v>
      </c>
      <c r="Q4" s="2" t="s">
        <v>20</v>
      </c>
    </row>
    <row r="5" customFormat="false" ht="15" hidden="false" customHeight="false" outlineLevel="0" collapsed="false">
      <c r="A5" s="2" t="n">
        <v>30</v>
      </c>
      <c r="B5" s="2" t="s">
        <v>29</v>
      </c>
      <c r="C5" s="2" t="s">
        <v>18</v>
      </c>
      <c r="D5" s="2" t="s">
        <v>31</v>
      </c>
      <c r="E5" s="2" t="s">
        <v>20</v>
      </c>
      <c r="F5" s="2" t="n">
        <v>1476</v>
      </c>
      <c r="G5" s="2" t="s">
        <v>26</v>
      </c>
      <c r="H5" s="2" t="s">
        <v>26</v>
      </c>
      <c r="I5" s="2" t="s">
        <v>23</v>
      </c>
      <c r="J5" s="2" t="n">
        <v>3</v>
      </c>
      <c r="K5" s="2" t="s">
        <v>33</v>
      </c>
      <c r="L5" s="2" t="n">
        <v>199</v>
      </c>
      <c r="M5" s="2" t="n">
        <v>4</v>
      </c>
      <c r="N5" s="2" t="n">
        <v>-1</v>
      </c>
      <c r="O5" s="2" t="n">
        <v>0</v>
      </c>
      <c r="P5" s="2" t="s">
        <v>23</v>
      </c>
      <c r="Q5" s="2" t="s">
        <v>20</v>
      </c>
    </row>
    <row r="6" customFormat="false" ht="15" hidden="false" customHeight="false" outlineLevel="0" collapsed="false">
      <c r="A6" s="2" t="n">
        <v>59</v>
      </c>
      <c r="B6" s="2" t="s">
        <v>34</v>
      </c>
      <c r="C6" s="2" t="s">
        <v>18</v>
      </c>
      <c r="D6" s="2" t="s">
        <v>25</v>
      </c>
      <c r="E6" s="2" t="s">
        <v>20</v>
      </c>
      <c r="F6" s="2" t="n">
        <v>0</v>
      </c>
      <c r="G6" s="2" t="s">
        <v>26</v>
      </c>
      <c r="H6" s="2" t="s">
        <v>20</v>
      </c>
      <c r="I6" s="2" t="s">
        <v>23</v>
      </c>
      <c r="J6" s="2" t="n">
        <v>5</v>
      </c>
      <c r="K6" s="2" t="s">
        <v>27</v>
      </c>
      <c r="L6" s="2" t="n">
        <v>226</v>
      </c>
      <c r="M6" s="2" t="n">
        <v>1</v>
      </c>
      <c r="N6" s="2" t="n">
        <v>-1</v>
      </c>
      <c r="O6" s="2" t="n">
        <v>0</v>
      </c>
      <c r="P6" s="2" t="s">
        <v>23</v>
      </c>
      <c r="Q6" s="2" t="s">
        <v>20</v>
      </c>
    </row>
    <row r="7" customFormat="false" ht="15" hidden="false" customHeight="false" outlineLevel="0" collapsed="false">
      <c r="A7" s="2" t="n">
        <v>35</v>
      </c>
      <c r="B7" s="2" t="s">
        <v>29</v>
      </c>
      <c r="C7" s="2" t="s">
        <v>30</v>
      </c>
      <c r="D7" s="2" t="s">
        <v>31</v>
      </c>
      <c r="E7" s="2" t="s">
        <v>20</v>
      </c>
      <c r="F7" s="2" t="n">
        <v>747</v>
      </c>
      <c r="G7" s="2" t="s">
        <v>20</v>
      </c>
      <c r="H7" s="2" t="s">
        <v>20</v>
      </c>
      <c r="I7" s="2" t="s">
        <v>21</v>
      </c>
      <c r="J7" s="2" t="n">
        <v>23</v>
      </c>
      <c r="K7" s="2" t="s">
        <v>35</v>
      </c>
      <c r="L7" s="2" t="n">
        <v>141</v>
      </c>
      <c r="M7" s="2" t="n">
        <v>2</v>
      </c>
      <c r="N7" s="2" t="n">
        <v>176</v>
      </c>
      <c r="O7" s="2" t="n">
        <v>3</v>
      </c>
      <c r="P7" s="2" t="s">
        <v>28</v>
      </c>
      <c r="Q7" s="2" t="s">
        <v>20</v>
      </c>
    </row>
    <row r="8" customFormat="false" ht="15" hidden="false" customHeight="false" outlineLevel="0" collapsed="false">
      <c r="A8" s="2" t="n">
        <v>36</v>
      </c>
      <c r="B8" s="2" t="s">
        <v>36</v>
      </c>
      <c r="C8" s="2" t="s">
        <v>18</v>
      </c>
      <c r="D8" s="2" t="s">
        <v>31</v>
      </c>
      <c r="E8" s="2" t="s">
        <v>20</v>
      </c>
      <c r="F8" s="2" t="n">
        <v>307</v>
      </c>
      <c r="G8" s="2" t="s">
        <v>26</v>
      </c>
      <c r="H8" s="2" t="s">
        <v>20</v>
      </c>
      <c r="I8" s="2" t="s">
        <v>21</v>
      </c>
      <c r="J8" s="2" t="n">
        <v>14</v>
      </c>
      <c r="K8" s="2" t="s">
        <v>27</v>
      </c>
      <c r="L8" s="2" t="n">
        <v>341</v>
      </c>
      <c r="M8" s="2" t="n">
        <v>1</v>
      </c>
      <c r="N8" s="2" t="n">
        <v>330</v>
      </c>
      <c r="O8" s="2" t="n">
        <v>2</v>
      </c>
      <c r="P8" s="2" t="s">
        <v>37</v>
      </c>
      <c r="Q8" s="2" t="s">
        <v>20</v>
      </c>
    </row>
    <row r="9" customFormat="false" ht="15" hidden="false" customHeight="false" outlineLevel="0" collapsed="false">
      <c r="A9" s="2" t="n">
        <v>39</v>
      </c>
      <c r="B9" s="2" t="s">
        <v>38</v>
      </c>
      <c r="C9" s="2" t="s">
        <v>18</v>
      </c>
      <c r="D9" s="2" t="s">
        <v>25</v>
      </c>
      <c r="E9" s="2" t="s">
        <v>20</v>
      </c>
      <c r="F9" s="2" t="n">
        <v>147</v>
      </c>
      <c r="G9" s="2" t="s">
        <v>26</v>
      </c>
      <c r="H9" s="2" t="s">
        <v>20</v>
      </c>
      <c r="I9" s="2" t="s">
        <v>21</v>
      </c>
      <c r="J9" s="2" t="n">
        <v>6</v>
      </c>
      <c r="K9" s="2" t="s">
        <v>27</v>
      </c>
      <c r="L9" s="2" t="n">
        <v>151</v>
      </c>
      <c r="M9" s="2" t="n">
        <v>2</v>
      </c>
      <c r="N9" s="2" t="n">
        <v>-1</v>
      </c>
      <c r="O9" s="2" t="n">
        <v>0</v>
      </c>
      <c r="P9" s="2" t="s">
        <v>23</v>
      </c>
      <c r="Q9" s="2" t="s">
        <v>20</v>
      </c>
    </row>
    <row r="10" customFormat="false" ht="15" hidden="false" customHeight="false" outlineLevel="0" collapsed="false">
      <c r="A10" s="2" t="n">
        <v>41</v>
      </c>
      <c r="B10" s="2" t="s">
        <v>39</v>
      </c>
      <c r="C10" s="2" t="s">
        <v>18</v>
      </c>
      <c r="D10" s="2" t="s">
        <v>31</v>
      </c>
      <c r="E10" s="2" t="s">
        <v>20</v>
      </c>
      <c r="F10" s="2" t="n">
        <v>221</v>
      </c>
      <c r="G10" s="2" t="s">
        <v>26</v>
      </c>
      <c r="H10" s="2" t="s">
        <v>20</v>
      </c>
      <c r="I10" s="2" t="s">
        <v>23</v>
      </c>
      <c r="J10" s="2" t="n">
        <v>14</v>
      </c>
      <c r="K10" s="2" t="s">
        <v>27</v>
      </c>
      <c r="L10" s="2" t="n">
        <v>57</v>
      </c>
      <c r="M10" s="2" t="n">
        <v>2</v>
      </c>
      <c r="N10" s="2" t="n">
        <v>-1</v>
      </c>
      <c r="O10" s="2" t="n">
        <v>0</v>
      </c>
      <c r="P10" s="2" t="s">
        <v>23</v>
      </c>
      <c r="Q10" s="2" t="s">
        <v>20</v>
      </c>
    </row>
    <row r="11" customFormat="false" ht="15" hidden="false" customHeight="false" outlineLevel="0" collapsed="false">
      <c r="A11" s="2" t="n">
        <v>43</v>
      </c>
      <c r="B11" s="2" t="s">
        <v>24</v>
      </c>
      <c r="C11" s="2" t="s">
        <v>18</v>
      </c>
      <c r="D11" s="2" t="s">
        <v>19</v>
      </c>
      <c r="E11" s="2" t="s">
        <v>20</v>
      </c>
      <c r="F11" s="2" t="n">
        <v>-88</v>
      </c>
      <c r="G11" s="2" t="s">
        <v>26</v>
      </c>
      <c r="H11" s="2" t="s">
        <v>26</v>
      </c>
      <c r="I11" s="2" t="s">
        <v>21</v>
      </c>
      <c r="J11" s="2" t="n">
        <v>17</v>
      </c>
      <c r="K11" s="2" t="s">
        <v>32</v>
      </c>
      <c r="L11" s="2" t="n">
        <v>313</v>
      </c>
      <c r="M11" s="2" t="n">
        <v>1</v>
      </c>
      <c r="N11" s="2" t="n">
        <v>147</v>
      </c>
      <c r="O11" s="2" t="n">
        <v>2</v>
      </c>
      <c r="P11" s="2" t="s">
        <v>28</v>
      </c>
      <c r="Q11" s="2" t="s">
        <v>20</v>
      </c>
    </row>
    <row r="12" customFormat="false" ht="15" hidden="false" customHeight="false" outlineLevel="0" collapsed="false">
      <c r="A12" s="2" t="n">
        <v>39</v>
      </c>
      <c r="B12" s="2" t="s">
        <v>24</v>
      </c>
      <c r="C12" s="2" t="s">
        <v>18</v>
      </c>
      <c r="D12" s="2" t="s">
        <v>25</v>
      </c>
      <c r="E12" s="2" t="s">
        <v>20</v>
      </c>
      <c r="F12" s="2" t="n">
        <v>9374</v>
      </c>
      <c r="G12" s="2" t="s">
        <v>26</v>
      </c>
      <c r="H12" s="2" t="s">
        <v>20</v>
      </c>
      <c r="I12" s="2" t="s">
        <v>23</v>
      </c>
      <c r="J12" s="2" t="n">
        <v>20</v>
      </c>
      <c r="K12" s="2" t="s">
        <v>27</v>
      </c>
      <c r="L12" s="2" t="n">
        <v>273</v>
      </c>
      <c r="M12" s="2" t="n">
        <v>1</v>
      </c>
      <c r="N12" s="2" t="n">
        <v>-1</v>
      </c>
      <c r="O12" s="2" t="n">
        <v>0</v>
      </c>
      <c r="P12" s="2" t="s">
        <v>23</v>
      </c>
      <c r="Q12" s="2" t="s">
        <v>20</v>
      </c>
    </row>
    <row r="13" customFormat="false" ht="15" hidden="false" customHeight="false" outlineLevel="0" collapsed="false">
      <c r="A13" s="2" t="n">
        <v>43</v>
      </c>
      <c r="B13" s="2" t="s">
        <v>40</v>
      </c>
      <c r="C13" s="2" t="s">
        <v>18</v>
      </c>
      <c r="D13" s="2" t="s">
        <v>25</v>
      </c>
      <c r="E13" s="2" t="s">
        <v>20</v>
      </c>
      <c r="F13" s="2" t="n">
        <v>264</v>
      </c>
      <c r="G13" s="2" t="s">
        <v>26</v>
      </c>
      <c r="H13" s="2" t="s">
        <v>20</v>
      </c>
      <c r="I13" s="2" t="s">
        <v>21</v>
      </c>
      <c r="J13" s="2" t="n">
        <v>17</v>
      </c>
      <c r="K13" s="2" t="s">
        <v>32</v>
      </c>
      <c r="L13" s="2" t="n">
        <v>113</v>
      </c>
      <c r="M13" s="2" t="n">
        <v>2</v>
      </c>
      <c r="N13" s="2" t="n">
        <v>-1</v>
      </c>
      <c r="O13" s="2" t="n">
        <v>0</v>
      </c>
      <c r="P13" s="2" t="s">
        <v>23</v>
      </c>
      <c r="Q13" s="2" t="s">
        <v>20</v>
      </c>
    </row>
    <row r="14" customFormat="false" ht="15" hidden="false" customHeight="false" outlineLevel="0" collapsed="false">
      <c r="A14" s="2" t="n">
        <v>36</v>
      </c>
      <c r="B14" s="2" t="s">
        <v>38</v>
      </c>
      <c r="C14" s="2" t="s">
        <v>18</v>
      </c>
      <c r="D14" s="2" t="s">
        <v>31</v>
      </c>
      <c r="E14" s="2" t="s">
        <v>20</v>
      </c>
      <c r="F14" s="2" t="n">
        <v>1109</v>
      </c>
      <c r="G14" s="2" t="s">
        <v>20</v>
      </c>
      <c r="H14" s="2" t="s">
        <v>20</v>
      </c>
      <c r="I14" s="2" t="s">
        <v>21</v>
      </c>
      <c r="J14" s="2" t="n">
        <v>13</v>
      </c>
      <c r="K14" s="2" t="s">
        <v>41</v>
      </c>
      <c r="L14" s="2" t="n">
        <v>328</v>
      </c>
      <c r="M14" s="2" t="n">
        <v>2</v>
      </c>
      <c r="N14" s="2" t="n">
        <v>-1</v>
      </c>
      <c r="O14" s="2" t="n">
        <v>0</v>
      </c>
      <c r="P14" s="2" t="s">
        <v>23</v>
      </c>
      <c r="Q14" s="2" t="s">
        <v>20</v>
      </c>
    </row>
    <row r="15" customFormat="false" ht="15" hidden="false" customHeight="false" outlineLevel="0" collapsed="false">
      <c r="A15" s="2" t="n">
        <v>20</v>
      </c>
      <c r="B15" s="2" t="s">
        <v>42</v>
      </c>
      <c r="C15" s="2" t="s">
        <v>30</v>
      </c>
      <c r="D15" s="2" t="s">
        <v>25</v>
      </c>
      <c r="E15" s="2" t="s">
        <v>20</v>
      </c>
      <c r="F15" s="2" t="n">
        <v>502</v>
      </c>
      <c r="G15" s="2" t="s">
        <v>20</v>
      </c>
      <c r="H15" s="2" t="s">
        <v>20</v>
      </c>
      <c r="I15" s="2" t="s">
        <v>21</v>
      </c>
      <c r="J15" s="2" t="n">
        <v>30</v>
      </c>
      <c r="K15" s="2" t="s">
        <v>32</v>
      </c>
      <c r="L15" s="2" t="n">
        <v>261</v>
      </c>
      <c r="M15" s="2" t="n">
        <v>1</v>
      </c>
      <c r="N15" s="2" t="n">
        <v>-1</v>
      </c>
      <c r="O15" s="2" t="n">
        <v>0</v>
      </c>
      <c r="P15" s="2" t="s">
        <v>23</v>
      </c>
      <c r="Q15" s="2" t="s">
        <v>26</v>
      </c>
    </row>
    <row r="16" customFormat="false" ht="15" hidden="false" customHeight="false" outlineLevel="0" collapsed="false">
      <c r="A16" s="2" t="n">
        <v>31</v>
      </c>
      <c r="B16" s="2" t="s">
        <v>34</v>
      </c>
      <c r="C16" s="2" t="s">
        <v>18</v>
      </c>
      <c r="D16" s="2" t="s">
        <v>25</v>
      </c>
      <c r="E16" s="2" t="s">
        <v>20</v>
      </c>
      <c r="F16" s="2" t="n">
        <v>360</v>
      </c>
      <c r="G16" s="2" t="s">
        <v>26</v>
      </c>
      <c r="H16" s="2" t="s">
        <v>26</v>
      </c>
      <c r="I16" s="2" t="s">
        <v>21</v>
      </c>
      <c r="J16" s="2" t="n">
        <v>29</v>
      </c>
      <c r="K16" s="2" t="s">
        <v>43</v>
      </c>
      <c r="L16" s="2" t="n">
        <v>89</v>
      </c>
      <c r="M16" s="2" t="n">
        <v>1</v>
      </c>
      <c r="N16" s="2" t="n">
        <v>241</v>
      </c>
      <c r="O16" s="2" t="n">
        <v>1</v>
      </c>
      <c r="P16" s="2" t="s">
        <v>28</v>
      </c>
      <c r="Q16" s="2" t="s">
        <v>20</v>
      </c>
    </row>
    <row r="17" customFormat="false" ht="15" hidden="false" customHeight="false" outlineLevel="0" collapsed="false">
      <c r="A17" s="2" t="n">
        <v>40</v>
      </c>
      <c r="B17" s="2" t="s">
        <v>29</v>
      </c>
      <c r="C17" s="2" t="s">
        <v>18</v>
      </c>
      <c r="D17" s="2" t="s">
        <v>31</v>
      </c>
      <c r="E17" s="2" t="s">
        <v>20</v>
      </c>
      <c r="F17" s="2" t="n">
        <v>194</v>
      </c>
      <c r="G17" s="2" t="s">
        <v>20</v>
      </c>
      <c r="H17" s="2" t="s">
        <v>26</v>
      </c>
      <c r="I17" s="2" t="s">
        <v>21</v>
      </c>
      <c r="J17" s="2" t="n">
        <v>29</v>
      </c>
      <c r="K17" s="2" t="s">
        <v>41</v>
      </c>
      <c r="L17" s="2" t="n">
        <v>189</v>
      </c>
      <c r="M17" s="2" t="n">
        <v>2</v>
      </c>
      <c r="N17" s="2" t="n">
        <v>-1</v>
      </c>
      <c r="O17" s="2" t="n">
        <v>0</v>
      </c>
      <c r="P17" s="2" t="s">
        <v>23</v>
      </c>
      <c r="Q17" s="2" t="s">
        <v>20</v>
      </c>
    </row>
    <row r="18" customFormat="false" ht="15" hidden="false" customHeight="false" outlineLevel="0" collapsed="false">
      <c r="A18" s="2" t="n">
        <v>56</v>
      </c>
      <c r="B18" s="2" t="s">
        <v>38</v>
      </c>
      <c r="C18" s="2" t="s">
        <v>18</v>
      </c>
      <c r="D18" s="2" t="s">
        <v>25</v>
      </c>
      <c r="E18" s="2" t="s">
        <v>20</v>
      </c>
      <c r="F18" s="2" t="n">
        <v>4073</v>
      </c>
      <c r="G18" s="2" t="s">
        <v>20</v>
      </c>
      <c r="H18" s="2" t="s">
        <v>20</v>
      </c>
      <c r="I18" s="2" t="s">
        <v>21</v>
      </c>
      <c r="J18" s="2" t="n">
        <v>27</v>
      </c>
      <c r="K18" s="2" t="s">
        <v>41</v>
      </c>
      <c r="L18" s="2" t="n">
        <v>239</v>
      </c>
      <c r="M18" s="2" t="n">
        <v>5</v>
      </c>
      <c r="N18" s="2" t="n">
        <v>-1</v>
      </c>
      <c r="O18" s="2" t="n">
        <v>0</v>
      </c>
      <c r="P18" s="2" t="s">
        <v>23</v>
      </c>
      <c r="Q18" s="2" t="s">
        <v>20</v>
      </c>
    </row>
    <row r="19" customFormat="false" ht="15" hidden="false" customHeight="false" outlineLevel="0" collapsed="false">
      <c r="A19" s="2" t="n">
        <v>37</v>
      </c>
      <c r="B19" s="2" t="s">
        <v>40</v>
      </c>
      <c r="C19" s="2" t="s">
        <v>30</v>
      </c>
      <c r="D19" s="2" t="s">
        <v>31</v>
      </c>
      <c r="E19" s="2" t="s">
        <v>20</v>
      </c>
      <c r="F19" s="2" t="n">
        <v>2317</v>
      </c>
      <c r="G19" s="2" t="s">
        <v>26</v>
      </c>
      <c r="H19" s="2" t="s">
        <v>20</v>
      </c>
      <c r="I19" s="2" t="s">
        <v>21</v>
      </c>
      <c r="J19" s="2" t="n">
        <v>20</v>
      </c>
      <c r="K19" s="2" t="s">
        <v>32</v>
      </c>
      <c r="L19" s="2" t="n">
        <v>114</v>
      </c>
      <c r="M19" s="2" t="n">
        <v>1</v>
      </c>
      <c r="N19" s="2" t="n">
        <v>152</v>
      </c>
      <c r="O19" s="2" t="n">
        <v>2</v>
      </c>
      <c r="P19" s="2" t="s">
        <v>28</v>
      </c>
      <c r="Q19" s="2" t="s">
        <v>20</v>
      </c>
    </row>
    <row r="20" customFormat="false" ht="15" hidden="false" customHeight="false" outlineLevel="0" collapsed="false">
      <c r="A20" s="2" t="n">
        <v>25</v>
      </c>
      <c r="B20" s="2" t="s">
        <v>34</v>
      </c>
      <c r="C20" s="2" t="s">
        <v>30</v>
      </c>
      <c r="D20" s="2" t="s">
        <v>19</v>
      </c>
      <c r="E20" s="2" t="s">
        <v>20</v>
      </c>
      <c r="F20" s="2" t="n">
        <v>-221</v>
      </c>
      <c r="G20" s="2" t="s">
        <v>26</v>
      </c>
      <c r="H20" s="2" t="s">
        <v>20</v>
      </c>
      <c r="I20" s="2" t="s">
        <v>23</v>
      </c>
      <c r="J20" s="2" t="n">
        <v>23</v>
      </c>
      <c r="K20" s="2" t="s">
        <v>27</v>
      </c>
      <c r="L20" s="2" t="n">
        <v>250</v>
      </c>
      <c r="M20" s="2" t="n">
        <v>1</v>
      </c>
      <c r="N20" s="2" t="n">
        <v>-1</v>
      </c>
      <c r="O20" s="2" t="n">
        <v>0</v>
      </c>
      <c r="P20" s="2" t="s">
        <v>23</v>
      </c>
      <c r="Q20" s="2" t="s">
        <v>20</v>
      </c>
    </row>
    <row r="21" customFormat="false" ht="15" hidden="false" customHeight="false" outlineLevel="0" collapsed="false">
      <c r="A21" s="2" t="n">
        <v>31</v>
      </c>
      <c r="B21" s="2" t="s">
        <v>24</v>
      </c>
      <c r="C21" s="2" t="s">
        <v>18</v>
      </c>
      <c r="D21" s="2" t="s">
        <v>25</v>
      </c>
      <c r="E21" s="2" t="s">
        <v>20</v>
      </c>
      <c r="F21" s="2" t="n">
        <v>132</v>
      </c>
      <c r="G21" s="2" t="s">
        <v>20</v>
      </c>
      <c r="H21" s="2" t="s">
        <v>20</v>
      </c>
      <c r="I21" s="2" t="s">
        <v>21</v>
      </c>
      <c r="J21" s="2" t="n">
        <v>7</v>
      </c>
      <c r="K21" s="2" t="s">
        <v>44</v>
      </c>
      <c r="L21" s="2" t="n">
        <v>148</v>
      </c>
      <c r="M21" s="2" t="n">
        <v>1</v>
      </c>
      <c r="N21" s="2" t="n">
        <v>152</v>
      </c>
      <c r="O21" s="2" t="n">
        <v>1</v>
      </c>
      <c r="P21" s="2" t="s">
        <v>37</v>
      </c>
      <c r="Q21" s="2" t="s">
        <v>20</v>
      </c>
    </row>
    <row r="22" customFormat="false" ht="15" hidden="false" customHeight="false" outlineLevel="0" collapsed="false">
      <c r="A22" s="2" t="n">
        <v>38</v>
      </c>
      <c r="B22" s="2" t="s">
        <v>29</v>
      </c>
      <c r="C22" s="2" t="s">
        <v>45</v>
      </c>
      <c r="D22" s="2" t="s">
        <v>23</v>
      </c>
      <c r="E22" s="2" t="s">
        <v>20</v>
      </c>
      <c r="F22" s="2" t="n">
        <v>0</v>
      </c>
      <c r="G22" s="2" t="s">
        <v>26</v>
      </c>
      <c r="H22" s="2" t="s">
        <v>20</v>
      </c>
      <c r="I22" s="2" t="s">
        <v>21</v>
      </c>
      <c r="J22" s="2" t="n">
        <v>18</v>
      </c>
      <c r="K22" s="2" t="s">
        <v>46</v>
      </c>
      <c r="L22" s="2" t="n">
        <v>96</v>
      </c>
      <c r="M22" s="2" t="n">
        <v>2</v>
      </c>
      <c r="N22" s="2" t="n">
        <v>-1</v>
      </c>
      <c r="O22" s="2" t="n">
        <v>0</v>
      </c>
      <c r="P22" s="2" t="s">
        <v>23</v>
      </c>
      <c r="Q22" s="2" t="s">
        <v>20</v>
      </c>
    </row>
    <row r="23" customFormat="false" ht="15" hidden="false" customHeight="false" outlineLevel="0" collapsed="false">
      <c r="A23" s="2" t="n">
        <v>42</v>
      </c>
      <c r="B23" s="2" t="s">
        <v>29</v>
      </c>
      <c r="C23" s="2" t="s">
        <v>45</v>
      </c>
      <c r="D23" s="2" t="s">
        <v>31</v>
      </c>
      <c r="E23" s="2" t="s">
        <v>20</v>
      </c>
      <c r="F23" s="2" t="n">
        <v>16</v>
      </c>
      <c r="G23" s="2" t="s">
        <v>20</v>
      </c>
      <c r="H23" s="2" t="s">
        <v>20</v>
      </c>
      <c r="I23" s="2" t="s">
        <v>21</v>
      </c>
      <c r="J23" s="2" t="n">
        <v>19</v>
      </c>
      <c r="K23" s="2" t="s">
        <v>46</v>
      </c>
      <c r="L23" s="2" t="n">
        <v>140</v>
      </c>
      <c r="M23" s="2" t="n">
        <v>3</v>
      </c>
      <c r="N23" s="2" t="n">
        <v>-1</v>
      </c>
      <c r="O23" s="2" t="n">
        <v>0</v>
      </c>
      <c r="P23" s="2" t="s">
        <v>23</v>
      </c>
      <c r="Q23" s="2" t="s">
        <v>20</v>
      </c>
    </row>
    <row r="24" customFormat="false" ht="15" hidden="false" customHeight="false" outlineLevel="0" collapsed="false">
      <c r="A24" s="2" t="n">
        <v>44</v>
      </c>
      <c r="B24" s="2" t="s">
        <v>24</v>
      </c>
      <c r="C24" s="2" t="s">
        <v>30</v>
      </c>
      <c r="D24" s="2" t="s">
        <v>25</v>
      </c>
      <c r="E24" s="2" t="s">
        <v>20</v>
      </c>
      <c r="F24" s="2" t="n">
        <v>106</v>
      </c>
      <c r="G24" s="2" t="s">
        <v>20</v>
      </c>
      <c r="H24" s="2" t="s">
        <v>20</v>
      </c>
      <c r="I24" s="2" t="s">
        <v>23</v>
      </c>
      <c r="J24" s="2" t="n">
        <v>12</v>
      </c>
      <c r="K24" s="2" t="s">
        <v>33</v>
      </c>
      <c r="L24" s="2" t="n">
        <v>109</v>
      </c>
      <c r="M24" s="2" t="n">
        <v>2</v>
      </c>
      <c r="N24" s="2" t="n">
        <v>-1</v>
      </c>
      <c r="O24" s="2" t="n">
        <v>0</v>
      </c>
      <c r="P24" s="2" t="s">
        <v>23</v>
      </c>
      <c r="Q24" s="2" t="s">
        <v>20</v>
      </c>
    </row>
    <row r="25" customFormat="false" ht="15" hidden="false" customHeight="false" outlineLevel="0" collapsed="false">
      <c r="A25" s="2" t="n">
        <v>44</v>
      </c>
      <c r="B25" s="2" t="s">
        <v>39</v>
      </c>
      <c r="C25" s="2" t="s">
        <v>18</v>
      </c>
      <c r="D25" s="2" t="s">
        <v>25</v>
      </c>
      <c r="E25" s="2" t="s">
        <v>20</v>
      </c>
      <c r="F25" s="2" t="n">
        <v>93</v>
      </c>
      <c r="G25" s="2" t="s">
        <v>20</v>
      </c>
      <c r="H25" s="2" t="s">
        <v>20</v>
      </c>
      <c r="I25" s="2" t="s">
        <v>21</v>
      </c>
      <c r="J25" s="2" t="n">
        <v>7</v>
      </c>
      <c r="K25" s="2" t="s">
        <v>44</v>
      </c>
      <c r="L25" s="2" t="n">
        <v>125</v>
      </c>
      <c r="M25" s="2" t="n">
        <v>2</v>
      </c>
      <c r="N25" s="2" t="n">
        <v>-1</v>
      </c>
      <c r="O25" s="2" t="n">
        <v>0</v>
      </c>
      <c r="P25" s="2" t="s">
        <v>23</v>
      </c>
      <c r="Q25" s="2" t="s">
        <v>20</v>
      </c>
    </row>
    <row r="26" customFormat="false" ht="15" hidden="false" customHeight="false" outlineLevel="0" collapsed="false">
      <c r="A26" s="2" t="n">
        <v>26</v>
      </c>
      <c r="B26" s="2" t="s">
        <v>47</v>
      </c>
      <c r="C26" s="2" t="s">
        <v>18</v>
      </c>
      <c r="D26" s="2" t="s">
        <v>31</v>
      </c>
      <c r="E26" s="2" t="s">
        <v>20</v>
      </c>
      <c r="F26" s="2" t="n">
        <v>543</v>
      </c>
      <c r="G26" s="2" t="s">
        <v>20</v>
      </c>
      <c r="H26" s="2" t="s">
        <v>20</v>
      </c>
      <c r="I26" s="2" t="s">
        <v>21</v>
      </c>
      <c r="J26" s="2" t="n">
        <v>30</v>
      </c>
      <c r="K26" s="2" t="s">
        <v>43</v>
      </c>
      <c r="L26" s="2" t="n">
        <v>169</v>
      </c>
      <c r="M26" s="2" t="n">
        <v>3</v>
      </c>
      <c r="N26" s="2" t="n">
        <v>-1</v>
      </c>
      <c r="O26" s="2" t="n">
        <v>0</v>
      </c>
      <c r="P26" s="2" t="s">
        <v>23</v>
      </c>
      <c r="Q26" s="2" t="s">
        <v>20</v>
      </c>
    </row>
    <row r="27" customFormat="false" ht="15" hidden="false" customHeight="false" outlineLevel="0" collapsed="false">
      <c r="A27" s="2" t="n">
        <v>41</v>
      </c>
      <c r="B27" s="2" t="s">
        <v>29</v>
      </c>
      <c r="C27" s="2" t="s">
        <v>18</v>
      </c>
      <c r="D27" s="2" t="s">
        <v>31</v>
      </c>
      <c r="E27" s="2" t="s">
        <v>20</v>
      </c>
      <c r="F27" s="2" t="n">
        <v>5883</v>
      </c>
      <c r="G27" s="2" t="s">
        <v>20</v>
      </c>
      <c r="H27" s="2" t="s">
        <v>20</v>
      </c>
      <c r="I27" s="2" t="s">
        <v>21</v>
      </c>
      <c r="J27" s="2" t="n">
        <v>20</v>
      </c>
      <c r="K27" s="2" t="s">
        <v>46</v>
      </c>
      <c r="L27" s="2" t="n">
        <v>182</v>
      </c>
      <c r="M27" s="2" t="n">
        <v>2</v>
      </c>
      <c r="N27" s="2" t="n">
        <v>-1</v>
      </c>
      <c r="O27" s="2" t="n">
        <v>0</v>
      </c>
      <c r="P27" s="2" t="s">
        <v>23</v>
      </c>
      <c r="Q27" s="2" t="s">
        <v>20</v>
      </c>
    </row>
    <row r="28" customFormat="false" ht="15" hidden="false" customHeight="false" outlineLevel="0" collapsed="false">
      <c r="A28" s="2" t="n">
        <v>55</v>
      </c>
      <c r="B28" s="2" t="s">
        <v>34</v>
      </c>
      <c r="C28" s="2" t="s">
        <v>18</v>
      </c>
      <c r="D28" s="2" t="s">
        <v>19</v>
      </c>
      <c r="E28" s="2" t="s">
        <v>20</v>
      </c>
      <c r="F28" s="2" t="n">
        <v>627</v>
      </c>
      <c r="G28" s="2" t="s">
        <v>26</v>
      </c>
      <c r="H28" s="2" t="s">
        <v>20</v>
      </c>
      <c r="I28" s="2" t="s">
        <v>23</v>
      </c>
      <c r="J28" s="2" t="n">
        <v>5</v>
      </c>
      <c r="K28" s="2" t="s">
        <v>27</v>
      </c>
      <c r="L28" s="2" t="n">
        <v>247</v>
      </c>
      <c r="M28" s="2" t="n">
        <v>1</v>
      </c>
      <c r="N28" s="2" t="n">
        <v>-1</v>
      </c>
      <c r="O28" s="2" t="n">
        <v>0</v>
      </c>
      <c r="P28" s="2" t="s">
        <v>23</v>
      </c>
      <c r="Q28" s="2" t="s">
        <v>20</v>
      </c>
    </row>
    <row r="29" customFormat="false" ht="15" hidden="false" customHeight="false" outlineLevel="0" collapsed="false">
      <c r="A29" s="2" t="n">
        <v>67</v>
      </c>
      <c r="B29" s="2" t="s">
        <v>48</v>
      </c>
      <c r="C29" s="2" t="s">
        <v>18</v>
      </c>
      <c r="D29" s="2" t="s">
        <v>23</v>
      </c>
      <c r="E29" s="2" t="s">
        <v>20</v>
      </c>
      <c r="F29" s="2" t="n">
        <v>696</v>
      </c>
      <c r="G29" s="2" t="s">
        <v>20</v>
      </c>
      <c r="H29" s="2" t="s">
        <v>20</v>
      </c>
      <c r="I29" s="2" t="s">
        <v>49</v>
      </c>
      <c r="J29" s="2" t="n">
        <v>17</v>
      </c>
      <c r="K29" s="2" t="s">
        <v>41</v>
      </c>
      <c r="L29" s="2" t="n">
        <v>119</v>
      </c>
      <c r="M29" s="2" t="n">
        <v>1</v>
      </c>
      <c r="N29" s="2" t="n">
        <v>105</v>
      </c>
      <c r="O29" s="2" t="n">
        <v>2</v>
      </c>
      <c r="P29" s="2" t="s">
        <v>28</v>
      </c>
      <c r="Q29" s="2" t="s">
        <v>20</v>
      </c>
    </row>
    <row r="30" customFormat="false" ht="15" hidden="false" customHeight="false" outlineLevel="0" collapsed="false">
      <c r="A30" s="2" t="n">
        <v>56</v>
      </c>
      <c r="B30" s="2" t="s">
        <v>36</v>
      </c>
      <c r="C30" s="2" t="s">
        <v>18</v>
      </c>
      <c r="D30" s="2" t="s">
        <v>25</v>
      </c>
      <c r="E30" s="2" t="s">
        <v>20</v>
      </c>
      <c r="F30" s="2" t="n">
        <v>784</v>
      </c>
      <c r="G30" s="2" t="s">
        <v>20</v>
      </c>
      <c r="H30" s="2" t="s">
        <v>26</v>
      </c>
      <c r="I30" s="2" t="s">
        <v>21</v>
      </c>
      <c r="J30" s="2" t="n">
        <v>30</v>
      </c>
      <c r="K30" s="2" t="s">
        <v>44</v>
      </c>
      <c r="L30" s="2" t="n">
        <v>149</v>
      </c>
      <c r="M30" s="2" t="n">
        <v>2</v>
      </c>
      <c r="N30" s="2" t="n">
        <v>-1</v>
      </c>
      <c r="O30" s="2" t="n">
        <v>0</v>
      </c>
      <c r="P30" s="2" t="s">
        <v>23</v>
      </c>
      <c r="Q30" s="2" t="s">
        <v>20</v>
      </c>
    </row>
    <row r="31" customFormat="false" ht="15" hidden="false" customHeight="false" outlineLevel="0" collapsed="false">
      <c r="A31" s="2" t="n">
        <v>53</v>
      </c>
      <c r="B31" s="2" t="s">
        <v>40</v>
      </c>
      <c r="C31" s="2" t="s">
        <v>18</v>
      </c>
      <c r="D31" s="2" t="s">
        <v>25</v>
      </c>
      <c r="E31" s="2" t="s">
        <v>20</v>
      </c>
      <c r="F31" s="2" t="n">
        <v>105</v>
      </c>
      <c r="G31" s="2" t="s">
        <v>20</v>
      </c>
      <c r="H31" s="2" t="s">
        <v>26</v>
      </c>
      <c r="I31" s="2" t="s">
        <v>21</v>
      </c>
      <c r="J31" s="2" t="n">
        <v>21</v>
      </c>
      <c r="K31" s="2" t="s">
        <v>41</v>
      </c>
      <c r="L31" s="2" t="n">
        <v>74</v>
      </c>
      <c r="M31" s="2" t="n">
        <v>2</v>
      </c>
      <c r="N31" s="2" t="n">
        <v>-1</v>
      </c>
      <c r="O31" s="2" t="n">
        <v>0</v>
      </c>
      <c r="P31" s="2" t="s">
        <v>23</v>
      </c>
      <c r="Q31" s="2" t="s">
        <v>20</v>
      </c>
    </row>
    <row r="32" customFormat="false" ht="15" hidden="false" customHeight="false" outlineLevel="0" collapsed="false">
      <c r="A32" s="2" t="n">
        <v>68</v>
      </c>
      <c r="B32" s="2" t="s">
        <v>48</v>
      </c>
      <c r="C32" s="2" t="s">
        <v>45</v>
      </c>
      <c r="D32" s="2" t="s">
        <v>25</v>
      </c>
      <c r="E32" s="2" t="s">
        <v>20</v>
      </c>
      <c r="F32" s="2" t="n">
        <v>4189</v>
      </c>
      <c r="G32" s="2" t="s">
        <v>20</v>
      </c>
      <c r="H32" s="2" t="s">
        <v>20</v>
      </c>
      <c r="I32" s="2" t="s">
        <v>49</v>
      </c>
      <c r="J32" s="2" t="n">
        <v>14</v>
      </c>
      <c r="K32" s="2" t="s">
        <v>44</v>
      </c>
      <c r="L32" s="2" t="n">
        <v>897</v>
      </c>
      <c r="M32" s="2" t="n">
        <v>2</v>
      </c>
      <c r="N32" s="2" t="n">
        <v>-1</v>
      </c>
      <c r="O32" s="2" t="n">
        <v>0</v>
      </c>
      <c r="P32" s="2" t="s">
        <v>23</v>
      </c>
      <c r="Q32" s="2" t="s">
        <v>26</v>
      </c>
    </row>
    <row r="33" customFormat="false" ht="15" hidden="false" customHeight="false" outlineLevel="0" collapsed="false">
      <c r="A33" s="2" t="n">
        <v>31</v>
      </c>
      <c r="B33" s="2" t="s">
        <v>38</v>
      </c>
      <c r="C33" s="2" t="s">
        <v>18</v>
      </c>
      <c r="D33" s="2" t="s">
        <v>25</v>
      </c>
      <c r="E33" s="2" t="s">
        <v>20</v>
      </c>
      <c r="F33" s="2" t="n">
        <v>171</v>
      </c>
      <c r="G33" s="2" t="s">
        <v>20</v>
      </c>
      <c r="H33" s="2" t="s">
        <v>20</v>
      </c>
      <c r="I33" s="2" t="s">
        <v>21</v>
      </c>
      <c r="J33" s="2" t="n">
        <v>27</v>
      </c>
      <c r="K33" s="2" t="s">
        <v>41</v>
      </c>
      <c r="L33" s="2" t="n">
        <v>81</v>
      </c>
      <c r="M33" s="2" t="n">
        <v>3</v>
      </c>
      <c r="N33" s="2" t="n">
        <v>-1</v>
      </c>
      <c r="O33" s="2" t="n">
        <v>0</v>
      </c>
      <c r="P33" s="2" t="s">
        <v>23</v>
      </c>
      <c r="Q33" s="2" t="s">
        <v>20</v>
      </c>
    </row>
    <row r="34" customFormat="false" ht="15" hidden="false" customHeight="false" outlineLevel="0" collapsed="false">
      <c r="A34" s="2" t="n">
        <v>59</v>
      </c>
      <c r="B34" s="2" t="s">
        <v>29</v>
      </c>
      <c r="C34" s="2" t="s">
        <v>18</v>
      </c>
      <c r="D34" s="2" t="s">
        <v>25</v>
      </c>
      <c r="E34" s="2" t="s">
        <v>20</v>
      </c>
      <c r="F34" s="2" t="n">
        <v>42</v>
      </c>
      <c r="G34" s="2" t="s">
        <v>20</v>
      </c>
      <c r="H34" s="2" t="s">
        <v>20</v>
      </c>
      <c r="I34" s="2" t="s">
        <v>21</v>
      </c>
      <c r="J34" s="2" t="n">
        <v>21</v>
      </c>
      <c r="K34" s="2" t="s">
        <v>46</v>
      </c>
      <c r="L34" s="2" t="n">
        <v>40</v>
      </c>
      <c r="M34" s="2" t="n">
        <v>1</v>
      </c>
      <c r="N34" s="2" t="n">
        <v>-1</v>
      </c>
      <c r="O34" s="2" t="n">
        <v>0</v>
      </c>
      <c r="P34" s="2" t="s">
        <v>23</v>
      </c>
      <c r="Q34" s="2" t="s">
        <v>20</v>
      </c>
    </row>
    <row r="35" customFormat="false" ht="15" hidden="false" customHeight="false" outlineLevel="0" collapsed="false">
      <c r="A35" s="2" t="n">
        <v>32</v>
      </c>
      <c r="B35" s="2" t="s">
        <v>29</v>
      </c>
      <c r="C35" s="2" t="s">
        <v>30</v>
      </c>
      <c r="D35" s="2" t="s">
        <v>31</v>
      </c>
      <c r="E35" s="2" t="s">
        <v>20</v>
      </c>
      <c r="F35" s="2" t="n">
        <v>2536</v>
      </c>
      <c r="G35" s="2" t="s">
        <v>26</v>
      </c>
      <c r="H35" s="2" t="s">
        <v>20</v>
      </c>
      <c r="I35" s="2" t="s">
        <v>21</v>
      </c>
      <c r="J35" s="2" t="n">
        <v>26</v>
      </c>
      <c r="K35" s="2" t="s">
        <v>41</v>
      </c>
      <c r="L35" s="2" t="n">
        <v>958</v>
      </c>
      <c r="M35" s="2" t="n">
        <v>6</v>
      </c>
      <c r="N35" s="2" t="n">
        <v>-1</v>
      </c>
      <c r="O35" s="2" t="n">
        <v>0</v>
      </c>
      <c r="P35" s="2" t="s">
        <v>23</v>
      </c>
      <c r="Q35" s="2" t="s">
        <v>26</v>
      </c>
    </row>
    <row r="36" customFormat="false" ht="15" hidden="false" customHeight="false" outlineLevel="0" collapsed="false">
      <c r="A36" s="2" t="n">
        <v>49</v>
      </c>
      <c r="B36" s="2" t="s">
        <v>38</v>
      </c>
      <c r="C36" s="2" t="s">
        <v>18</v>
      </c>
      <c r="D36" s="2" t="s">
        <v>31</v>
      </c>
      <c r="E36" s="2" t="s">
        <v>20</v>
      </c>
      <c r="F36" s="2" t="n">
        <v>1235</v>
      </c>
      <c r="G36" s="2" t="s">
        <v>20</v>
      </c>
      <c r="H36" s="2" t="s">
        <v>20</v>
      </c>
      <c r="I36" s="2" t="s">
        <v>21</v>
      </c>
      <c r="J36" s="2" t="n">
        <v>13</v>
      </c>
      <c r="K36" s="2" t="s">
        <v>41</v>
      </c>
      <c r="L36" s="2" t="n">
        <v>354</v>
      </c>
      <c r="M36" s="2" t="n">
        <v>3</v>
      </c>
      <c r="N36" s="2" t="n">
        <v>-1</v>
      </c>
      <c r="O36" s="2" t="n">
        <v>0</v>
      </c>
      <c r="P36" s="2" t="s">
        <v>23</v>
      </c>
      <c r="Q36" s="2" t="s">
        <v>26</v>
      </c>
    </row>
    <row r="37" customFormat="false" ht="15" hidden="false" customHeight="false" outlineLevel="0" collapsed="false">
      <c r="A37" s="2" t="n">
        <v>42</v>
      </c>
      <c r="B37" s="2" t="s">
        <v>40</v>
      </c>
      <c r="C37" s="2" t="s">
        <v>45</v>
      </c>
      <c r="D37" s="2" t="s">
        <v>25</v>
      </c>
      <c r="E37" s="2" t="s">
        <v>20</v>
      </c>
      <c r="F37" s="2" t="n">
        <v>1811</v>
      </c>
      <c r="G37" s="2" t="s">
        <v>26</v>
      </c>
      <c r="H37" s="2" t="s">
        <v>20</v>
      </c>
      <c r="I37" s="2" t="s">
        <v>23</v>
      </c>
      <c r="J37" s="2" t="n">
        <v>14</v>
      </c>
      <c r="K37" s="2" t="s">
        <v>27</v>
      </c>
      <c r="L37" s="2" t="n">
        <v>150</v>
      </c>
      <c r="M37" s="2" t="n">
        <v>1</v>
      </c>
      <c r="N37" s="2" t="n">
        <v>-1</v>
      </c>
      <c r="O37" s="2" t="n">
        <v>0</v>
      </c>
      <c r="P37" s="2" t="s">
        <v>23</v>
      </c>
      <c r="Q37" s="2" t="s">
        <v>20</v>
      </c>
    </row>
    <row r="38" customFormat="false" ht="15" hidden="false" customHeight="false" outlineLevel="0" collapsed="false">
      <c r="A38" s="2" t="n">
        <v>78</v>
      </c>
      <c r="B38" s="2" t="s">
        <v>48</v>
      </c>
      <c r="C38" s="2" t="s">
        <v>45</v>
      </c>
      <c r="D38" s="2" t="s">
        <v>19</v>
      </c>
      <c r="E38" s="2" t="s">
        <v>20</v>
      </c>
      <c r="F38" s="2" t="n">
        <v>229</v>
      </c>
      <c r="G38" s="2" t="s">
        <v>20</v>
      </c>
      <c r="H38" s="2" t="s">
        <v>20</v>
      </c>
      <c r="I38" s="2" t="s">
        <v>49</v>
      </c>
      <c r="J38" s="2" t="n">
        <v>22</v>
      </c>
      <c r="K38" s="2" t="s">
        <v>22</v>
      </c>
      <c r="L38" s="2" t="n">
        <v>97</v>
      </c>
      <c r="M38" s="2" t="n">
        <v>1</v>
      </c>
      <c r="N38" s="2" t="n">
        <v>-1</v>
      </c>
      <c r="O38" s="2" t="n">
        <v>0</v>
      </c>
      <c r="P38" s="2" t="s">
        <v>23</v>
      </c>
      <c r="Q38" s="2" t="s">
        <v>26</v>
      </c>
    </row>
    <row r="39" customFormat="false" ht="15" hidden="false" customHeight="false" outlineLevel="0" collapsed="false">
      <c r="A39" s="2" t="n">
        <v>32</v>
      </c>
      <c r="B39" s="2" t="s">
        <v>34</v>
      </c>
      <c r="C39" s="2" t="s">
        <v>18</v>
      </c>
      <c r="D39" s="2" t="s">
        <v>25</v>
      </c>
      <c r="E39" s="2" t="s">
        <v>20</v>
      </c>
      <c r="F39" s="2" t="n">
        <v>2089</v>
      </c>
      <c r="G39" s="2" t="s">
        <v>26</v>
      </c>
      <c r="H39" s="2" t="s">
        <v>20</v>
      </c>
      <c r="I39" s="2" t="s">
        <v>21</v>
      </c>
      <c r="J39" s="2" t="n">
        <v>14</v>
      </c>
      <c r="K39" s="2" t="s">
        <v>46</v>
      </c>
      <c r="L39" s="2" t="n">
        <v>132</v>
      </c>
      <c r="M39" s="2" t="n">
        <v>1</v>
      </c>
      <c r="N39" s="2" t="n">
        <v>-1</v>
      </c>
      <c r="O39" s="2" t="n">
        <v>0</v>
      </c>
      <c r="P39" s="2" t="s">
        <v>23</v>
      </c>
      <c r="Q39" s="2" t="s">
        <v>26</v>
      </c>
    </row>
    <row r="40" customFormat="false" ht="15" hidden="false" customHeight="false" outlineLevel="0" collapsed="false">
      <c r="A40" s="2" t="n">
        <v>33</v>
      </c>
      <c r="B40" s="2" t="s">
        <v>29</v>
      </c>
      <c r="C40" s="2" t="s">
        <v>18</v>
      </c>
      <c r="D40" s="2" t="s">
        <v>25</v>
      </c>
      <c r="E40" s="2" t="s">
        <v>20</v>
      </c>
      <c r="F40" s="2" t="n">
        <v>3935</v>
      </c>
      <c r="G40" s="2" t="s">
        <v>26</v>
      </c>
      <c r="H40" s="2" t="s">
        <v>20</v>
      </c>
      <c r="I40" s="2" t="s">
        <v>21</v>
      </c>
      <c r="J40" s="2" t="n">
        <v>6</v>
      </c>
      <c r="K40" s="2" t="s">
        <v>27</v>
      </c>
      <c r="L40" s="2" t="n">
        <v>765</v>
      </c>
      <c r="M40" s="2" t="n">
        <v>1</v>
      </c>
      <c r="N40" s="2" t="n">
        <v>342</v>
      </c>
      <c r="O40" s="2" t="n">
        <v>2</v>
      </c>
      <c r="P40" s="2" t="s">
        <v>28</v>
      </c>
      <c r="Q40" s="2" t="s">
        <v>26</v>
      </c>
    </row>
    <row r="41" customFormat="false" ht="15" hidden="false" customHeight="false" outlineLevel="0" collapsed="false">
      <c r="A41" s="2" t="n">
        <v>23</v>
      </c>
      <c r="B41" s="2" t="s">
        <v>24</v>
      </c>
      <c r="C41" s="2" t="s">
        <v>30</v>
      </c>
      <c r="D41" s="2" t="s">
        <v>31</v>
      </c>
      <c r="E41" s="2" t="s">
        <v>20</v>
      </c>
      <c r="F41" s="2" t="n">
        <v>363</v>
      </c>
      <c r="G41" s="2" t="s">
        <v>26</v>
      </c>
      <c r="H41" s="2" t="s">
        <v>20</v>
      </c>
      <c r="I41" s="2" t="s">
        <v>23</v>
      </c>
      <c r="J41" s="2" t="n">
        <v>30</v>
      </c>
      <c r="K41" s="2" t="s">
        <v>27</v>
      </c>
      <c r="L41" s="2" t="n">
        <v>16</v>
      </c>
      <c r="M41" s="2" t="n">
        <v>18</v>
      </c>
      <c r="N41" s="2" t="n">
        <v>-1</v>
      </c>
      <c r="O41" s="2" t="n">
        <v>0</v>
      </c>
      <c r="P41" s="2" t="s">
        <v>23</v>
      </c>
      <c r="Q41" s="2" t="s">
        <v>20</v>
      </c>
    </row>
    <row r="42" customFormat="false" ht="15" hidden="false" customHeight="false" outlineLevel="0" collapsed="false">
      <c r="A42" s="2" t="n">
        <v>38</v>
      </c>
      <c r="B42" s="2" t="s">
        <v>29</v>
      </c>
      <c r="C42" s="2" t="s">
        <v>30</v>
      </c>
      <c r="D42" s="2" t="s">
        <v>31</v>
      </c>
      <c r="E42" s="2" t="s">
        <v>20</v>
      </c>
      <c r="F42" s="2" t="n">
        <v>11971</v>
      </c>
      <c r="G42" s="2" t="s">
        <v>26</v>
      </c>
      <c r="H42" s="2" t="s">
        <v>20</v>
      </c>
      <c r="I42" s="2" t="s">
        <v>23</v>
      </c>
      <c r="J42" s="2" t="n">
        <v>17</v>
      </c>
      <c r="K42" s="2" t="s">
        <v>46</v>
      </c>
      <c r="L42" s="2" t="n">
        <v>609</v>
      </c>
      <c r="M42" s="2" t="n">
        <v>2</v>
      </c>
      <c r="N42" s="2" t="n">
        <v>101</v>
      </c>
      <c r="O42" s="2" t="n">
        <v>3</v>
      </c>
      <c r="P42" s="2" t="s">
        <v>28</v>
      </c>
      <c r="Q42" s="2" t="s">
        <v>20</v>
      </c>
    </row>
    <row r="43" customFormat="false" ht="15" hidden="false" customHeight="false" outlineLevel="0" collapsed="false">
      <c r="A43" s="2" t="n">
        <v>36</v>
      </c>
      <c r="B43" s="2" t="s">
        <v>29</v>
      </c>
      <c r="C43" s="2" t="s">
        <v>30</v>
      </c>
      <c r="D43" s="2" t="s">
        <v>31</v>
      </c>
      <c r="E43" s="2" t="s">
        <v>20</v>
      </c>
      <c r="F43" s="2" t="n">
        <v>553</v>
      </c>
      <c r="G43" s="2" t="s">
        <v>20</v>
      </c>
      <c r="H43" s="2" t="s">
        <v>20</v>
      </c>
      <c r="I43" s="2" t="s">
        <v>21</v>
      </c>
      <c r="J43" s="2" t="n">
        <v>11</v>
      </c>
      <c r="K43" s="2" t="s">
        <v>41</v>
      </c>
      <c r="L43" s="2" t="n">
        <v>106</v>
      </c>
      <c r="M43" s="2" t="n">
        <v>2</v>
      </c>
      <c r="N43" s="2" t="n">
        <v>-1</v>
      </c>
      <c r="O43" s="2" t="n">
        <v>0</v>
      </c>
      <c r="P43" s="2" t="s">
        <v>23</v>
      </c>
      <c r="Q43" s="2" t="s">
        <v>20</v>
      </c>
    </row>
    <row r="44" customFormat="false" ht="15" hidden="false" customHeight="false" outlineLevel="0" collapsed="false">
      <c r="A44" s="2" t="n">
        <v>52</v>
      </c>
      <c r="B44" s="2" t="s">
        <v>34</v>
      </c>
      <c r="C44" s="2" t="s">
        <v>18</v>
      </c>
      <c r="D44" s="2" t="s">
        <v>25</v>
      </c>
      <c r="E44" s="2" t="s">
        <v>20</v>
      </c>
      <c r="F44" s="2" t="n">
        <v>1117</v>
      </c>
      <c r="G44" s="2" t="s">
        <v>26</v>
      </c>
      <c r="H44" s="2" t="s">
        <v>20</v>
      </c>
      <c r="I44" s="2" t="s">
        <v>21</v>
      </c>
      <c r="J44" s="2" t="n">
        <v>13</v>
      </c>
      <c r="K44" s="2" t="s">
        <v>27</v>
      </c>
      <c r="L44" s="2" t="n">
        <v>365</v>
      </c>
      <c r="M44" s="2" t="n">
        <v>1</v>
      </c>
      <c r="N44" s="2" t="n">
        <v>-1</v>
      </c>
      <c r="O44" s="2" t="n">
        <v>0</v>
      </c>
      <c r="P44" s="2" t="s">
        <v>23</v>
      </c>
      <c r="Q44" s="2" t="s">
        <v>20</v>
      </c>
    </row>
    <row r="45" customFormat="false" ht="15" hidden="false" customHeight="false" outlineLevel="0" collapsed="false">
      <c r="A45" s="2" t="n">
        <v>32</v>
      </c>
      <c r="B45" s="2" t="s">
        <v>38</v>
      </c>
      <c r="C45" s="2" t="s">
        <v>18</v>
      </c>
      <c r="D45" s="2" t="s">
        <v>31</v>
      </c>
      <c r="E45" s="2" t="s">
        <v>20</v>
      </c>
      <c r="F45" s="2" t="n">
        <v>396</v>
      </c>
      <c r="G45" s="2" t="s">
        <v>26</v>
      </c>
      <c r="H45" s="2" t="s">
        <v>20</v>
      </c>
      <c r="I45" s="2" t="s">
        <v>21</v>
      </c>
      <c r="J45" s="2" t="n">
        <v>13</v>
      </c>
      <c r="K45" s="2" t="s">
        <v>27</v>
      </c>
      <c r="L45" s="2" t="n">
        <v>205</v>
      </c>
      <c r="M45" s="2" t="n">
        <v>3</v>
      </c>
      <c r="N45" s="2" t="n">
        <v>-1</v>
      </c>
      <c r="O45" s="2" t="n">
        <v>0</v>
      </c>
      <c r="P45" s="2" t="s">
        <v>23</v>
      </c>
      <c r="Q45" s="2" t="s">
        <v>20</v>
      </c>
    </row>
    <row r="46" customFormat="false" ht="15" hidden="false" customHeight="false" outlineLevel="0" collapsed="false">
      <c r="A46" s="2" t="n">
        <v>32</v>
      </c>
      <c r="B46" s="2" t="s">
        <v>38</v>
      </c>
      <c r="C46" s="2" t="s">
        <v>30</v>
      </c>
      <c r="D46" s="2" t="s">
        <v>31</v>
      </c>
      <c r="E46" s="2" t="s">
        <v>20</v>
      </c>
      <c r="F46" s="2" t="n">
        <v>2204</v>
      </c>
      <c r="G46" s="2" t="s">
        <v>26</v>
      </c>
      <c r="H46" s="2" t="s">
        <v>20</v>
      </c>
      <c r="I46" s="2" t="s">
        <v>21</v>
      </c>
      <c r="J46" s="2" t="n">
        <v>21</v>
      </c>
      <c r="K46" s="2" t="s">
        <v>46</v>
      </c>
      <c r="L46" s="2" t="n">
        <v>11</v>
      </c>
      <c r="M46" s="2" t="n">
        <v>4</v>
      </c>
      <c r="N46" s="2" t="n">
        <v>-1</v>
      </c>
      <c r="O46" s="2" t="n">
        <v>0</v>
      </c>
      <c r="P46" s="2" t="s">
        <v>23</v>
      </c>
      <c r="Q46" s="2" t="s">
        <v>20</v>
      </c>
    </row>
    <row r="47" customFormat="false" ht="15" hidden="false" customHeight="false" outlineLevel="0" collapsed="false">
      <c r="A47" s="2" t="n">
        <v>34</v>
      </c>
      <c r="B47" s="2" t="s">
        <v>29</v>
      </c>
      <c r="C47" s="2" t="s">
        <v>30</v>
      </c>
      <c r="D47" s="2" t="s">
        <v>31</v>
      </c>
      <c r="E47" s="2" t="s">
        <v>20</v>
      </c>
      <c r="F47" s="2" t="n">
        <v>872</v>
      </c>
      <c r="G47" s="2" t="s">
        <v>26</v>
      </c>
      <c r="H47" s="2" t="s">
        <v>20</v>
      </c>
      <c r="I47" s="2" t="s">
        <v>23</v>
      </c>
      <c r="J47" s="2" t="n">
        <v>7</v>
      </c>
      <c r="K47" s="2" t="s">
        <v>27</v>
      </c>
      <c r="L47" s="2" t="n">
        <v>105</v>
      </c>
      <c r="M47" s="2" t="n">
        <v>2</v>
      </c>
      <c r="N47" s="2" t="n">
        <v>-1</v>
      </c>
      <c r="O47" s="2" t="n">
        <v>0</v>
      </c>
      <c r="P47" s="2" t="s">
        <v>23</v>
      </c>
      <c r="Q47" s="2" t="s">
        <v>20</v>
      </c>
    </row>
    <row r="48" customFormat="false" ht="15" hidden="false" customHeight="false" outlineLevel="0" collapsed="false">
      <c r="A48" s="2" t="n">
        <v>55</v>
      </c>
      <c r="B48" s="2" t="s">
        <v>34</v>
      </c>
      <c r="C48" s="2" t="s">
        <v>18</v>
      </c>
      <c r="D48" s="2" t="s">
        <v>19</v>
      </c>
      <c r="E48" s="2" t="s">
        <v>20</v>
      </c>
      <c r="F48" s="2" t="n">
        <v>145</v>
      </c>
      <c r="G48" s="2" t="s">
        <v>20</v>
      </c>
      <c r="H48" s="2" t="s">
        <v>20</v>
      </c>
      <c r="I48" s="2" t="s">
        <v>49</v>
      </c>
      <c r="J48" s="2" t="n">
        <v>2</v>
      </c>
      <c r="K48" s="2" t="s">
        <v>35</v>
      </c>
      <c r="L48" s="2" t="n">
        <v>59</v>
      </c>
      <c r="M48" s="2" t="n">
        <v>3</v>
      </c>
      <c r="N48" s="2" t="n">
        <v>5</v>
      </c>
      <c r="O48" s="2" t="n">
        <v>2</v>
      </c>
      <c r="P48" s="2" t="s">
        <v>37</v>
      </c>
      <c r="Q48" s="2" t="s">
        <v>20</v>
      </c>
    </row>
    <row r="49" customFormat="false" ht="15" hidden="false" customHeight="false" outlineLevel="0" collapsed="false">
      <c r="A49" s="2" t="n">
        <v>26</v>
      </c>
      <c r="B49" s="2" t="s">
        <v>34</v>
      </c>
      <c r="C49" s="2" t="s">
        <v>18</v>
      </c>
      <c r="D49" s="2" t="s">
        <v>19</v>
      </c>
      <c r="E49" s="2" t="s">
        <v>20</v>
      </c>
      <c r="F49" s="2" t="n">
        <v>0</v>
      </c>
      <c r="G49" s="2" t="s">
        <v>26</v>
      </c>
      <c r="H49" s="2" t="s">
        <v>20</v>
      </c>
      <c r="I49" s="2" t="s">
        <v>23</v>
      </c>
      <c r="J49" s="2" t="n">
        <v>21</v>
      </c>
      <c r="K49" s="2" t="s">
        <v>27</v>
      </c>
      <c r="L49" s="2" t="n">
        <v>425</v>
      </c>
      <c r="M49" s="2" t="n">
        <v>1</v>
      </c>
      <c r="N49" s="2" t="n">
        <v>-1</v>
      </c>
      <c r="O49" s="2" t="n">
        <v>0</v>
      </c>
      <c r="P49" s="2" t="s">
        <v>23</v>
      </c>
      <c r="Q49" s="2" t="s">
        <v>20</v>
      </c>
    </row>
    <row r="50" customFormat="false" ht="15" hidden="false" customHeight="false" outlineLevel="0" collapsed="false">
      <c r="A50" s="2" t="n">
        <v>32</v>
      </c>
      <c r="B50" s="2" t="s">
        <v>39</v>
      </c>
      <c r="C50" s="2" t="s">
        <v>30</v>
      </c>
      <c r="D50" s="2" t="s">
        <v>19</v>
      </c>
      <c r="E50" s="2" t="s">
        <v>26</v>
      </c>
      <c r="F50" s="2" t="n">
        <v>-849</v>
      </c>
      <c r="G50" s="2" t="s">
        <v>26</v>
      </c>
      <c r="H50" s="2" t="s">
        <v>26</v>
      </c>
      <c r="I50" s="2" t="s">
        <v>21</v>
      </c>
      <c r="J50" s="2" t="n">
        <v>4</v>
      </c>
      <c r="K50" s="2" t="s">
        <v>35</v>
      </c>
      <c r="L50" s="2" t="n">
        <v>204</v>
      </c>
      <c r="M50" s="2" t="n">
        <v>1</v>
      </c>
      <c r="N50" s="2" t="n">
        <v>-1</v>
      </c>
      <c r="O50" s="2" t="n">
        <v>0</v>
      </c>
      <c r="P50" s="2" t="s">
        <v>23</v>
      </c>
      <c r="Q50" s="2" t="s">
        <v>20</v>
      </c>
    </row>
    <row r="51" customFormat="false" ht="15" hidden="false" customHeight="false" outlineLevel="0" collapsed="false">
      <c r="A51" s="2" t="n">
        <v>61</v>
      </c>
      <c r="B51" s="2" t="s">
        <v>40</v>
      </c>
      <c r="C51" s="2" t="s">
        <v>18</v>
      </c>
      <c r="D51" s="2" t="s">
        <v>23</v>
      </c>
      <c r="E51" s="2" t="s">
        <v>20</v>
      </c>
      <c r="F51" s="2" t="n">
        <v>4629</v>
      </c>
      <c r="G51" s="2" t="s">
        <v>26</v>
      </c>
      <c r="H51" s="2" t="s">
        <v>20</v>
      </c>
      <c r="I51" s="2" t="s">
        <v>21</v>
      </c>
      <c r="J51" s="2" t="n">
        <v>27</v>
      </c>
      <c r="K51" s="2" t="s">
        <v>43</v>
      </c>
      <c r="L51" s="2" t="n">
        <v>181</v>
      </c>
      <c r="M51" s="2" t="n">
        <v>1</v>
      </c>
      <c r="N51" s="2" t="n">
        <v>92</v>
      </c>
      <c r="O51" s="2" t="n">
        <v>1</v>
      </c>
      <c r="P51" s="2" t="s">
        <v>50</v>
      </c>
      <c r="Q51" s="2" t="s">
        <v>26</v>
      </c>
    </row>
    <row r="52" customFormat="false" ht="15" hidden="false" customHeight="false" outlineLevel="0" collapsed="false">
      <c r="A52" s="2" t="n">
        <v>45</v>
      </c>
      <c r="B52" s="2" t="s">
        <v>34</v>
      </c>
      <c r="C52" s="2" t="s">
        <v>45</v>
      </c>
      <c r="D52" s="2" t="s">
        <v>19</v>
      </c>
      <c r="E52" s="2" t="s">
        <v>20</v>
      </c>
      <c r="F52" s="2" t="n">
        <v>844</v>
      </c>
      <c r="G52" s="2" t="s">
        <v>20</v>
      </c>
      <c r="H52" s="2" t="s">
        <v>20</v>
      </c>
      <c r="I52" s="2" t="s">
        <v>23</v>
      </c>
      <c r="J52" s="2" t="n">
        <v>5</v>
      </c>
      <c r="K52" s="2" t="s">
        <v>33</v>
      </c>
      <c r="L52" s="2" t="n">
        <v>1018</v>
      </c>
      <c r="M52" s="2" t="n">
        <v>3</v>
      </c>
      <c r="N52" s="2" t="n">
        <v>-1</v>
      </c>
      <c r="O52" s="2" t="n">
        <v>0</v>
      </c>
      <c r="P52" s="2" t="s">
        <v>23</v>
      </c>
      <c r="Q52" s="2" t="s">
        <v>26</v>
      </c>
    </row>
    <row r="53" customFormat="false" ht="15" hidden="false" customHeight="false" outlineLevel="0" collapsed="false">
      <c r="A53" s="2" t="n">
        <v>37</v>
      </c>
      <c r="B53" s="2" t="s">
        <v>38</v>
      </c>
      <c r="C53" s="2" t="s">
        <v>30</v>
      </c>
      <c r="D53" s="2" t="s">
        <v>25</v>
      </c>
      <c r="E53" s="2" t="s">
        <v>20</v>
      </c>
      <c r="F53" s="2" t="n">
        <v>228</v>
      </c>
      <c r="G53" s="2" t="s">
        <v>26</v>
      </c>
      <c r="H53" s="2" t="s">
        <v>20</v>
      </c>
      <c r="I53" s="2" t="s">
        <v>21</v>
      </c>
      <c r="J53" s="2" t="n">
        <v>20</v>
      </c>
      <c r="K53" s="2" t="s">
        <v>41</v>
      </c>
      <c r="L53" s="2" t="n">
        <v>1740</v>
      </c>
      <c r="M53" s="2" t="n">
        <v>2</v>
      </c>
      <c r="N53" s="2" t="n">
        <v>-1</v>
      </c>
      <c r="O53" s="2" t="n">
        <v>0</v>
      </c>
      <c r="P53" s="2" t="s">
        <v>23</v>
      </c>
      <c r="Q53" s="2" t="s">
        <v>20</v>
      </c>
    </row>
    <row r="54" customFormat="false" ht="15" hidden="false" customHeight="false" outlineLevel="0" collapsed="false">
      <c r="A54" s="2" t="n">
        <v>38</v>
      </c>
      <c r="B54" s="2" t="s">
        <v>38</v>
      </c>
      <c r="C54" s="2" t="s">
        <v>30</v>
      </c>
      <c r="D54" s="2" t="s">
        <v>25</v>
      </c>
      <c r="E54" s="2" t="s">
        <v>20</v>
      </c>
      <c r="F54" s="2" t="n">
        <v>50</v>
      </c>
      <c r="G54" s="2" t="s">
        <v>20</v>
      </c>
      <c r="H54" s="2" t="s">
        <v>20</v>
      </c>
      <c r="I54" s="2" t="s">
        <v>21</v>
      </c>
      <c r="J54" s="2" t="n">
        <v>29</v>
      </c>
      <c r="K54" s="2" t="s">
        <v>41</v>
      </c>
      <c r="L54" s="2" t="n">
        <v>98</v>
      </c>
      <c r="M54" s="2" t="n">
        <v>2</v>
      </c>
      <c r="N54" s="2" t="n">
        <v>-1</v>
      </c>
      <c r="O54" s="2" t="n">
        <v>0</v>
      </c>
      <c r="P54" s="2" t="s">
        <v>23</v>
      </c>
      <c r="Q54" s="2" t="s">
        <v>20</v>
      </c>
    </row>
    <row r="55" customFormat="false" ht="15" hidden="false" customHeight="false" outlineLevel="0" collapsed="false">
      <c r="A55" s="2" t="n">
        <v>34</v>
      </c>
      <c r="B55" s="2" t="s">
        <v>38</v>
      </c>
      <c r="C55" s="2" t="s">
        <v>18</v>
      </c>
      <c r="D55" s="2" t="s">
        <v>31</v>
      </c>
      <c r="E55" s="2" t="s">
        <v>20</v>
      </c>
      <c r="F55" s="2" t="n">
        <v>1539</v>
      </c>
      <c r="G55" s="2" t="s">
        <v>26</v>
      </c>
      <c r="H55" s="2" t="s">
        <v>20</v>
      </c>
      <c r="I55" s="2" t="s">
        <v>21</v>
      </c>
      <c r="J55" s="2" t="n">
        <v>15</v>
      </c>
      <c r="K55" s="2" t="s">
        <v>33</v>
      </c>
      <c r="L55" s="2" t="n">
        <v>441</v>
      </c>
      <c r="M55" s="2" t="n">
        <v>1</v>
      </c>
      <c r="N55" s="2" t="n">
        <v>56</v>
      </c>
      <c r="O55" s="2" t="n">
        <v>1</v>
      </c>
      <c r="P55" s="2" t="s">
        <v>37</v>
      </c>
      <c r="Q55" s="2" t="s">
        <v>26</v>
      </c>
    </row>
    <row r="56" customFormat="false" ht="15" hidden="false" customHeight="false" outlineLevel="0" collapsed="false">
      <c r="A56" s="2" t="n">
        <v>53</v>
      </c>
      <c r="B56" s="2" t="s">
        <v>34</v>
      </c>
      <c r="C56" s="2" t="s">
        <v>18</v>
      </c>
      <c r="D56" s="2" t="s">
        <v>25</v>
      </c>
      <c r="E56" s="2" t="s">
        <v>20</v>
      </c>
      <c r="F56" s="2" t="n">
        <v>2231</v>
      </c>
      <c r="G56" s="2" t="s">
        <v>26</v>
      </c>
      <c r="H56" s="2" t="s">
        <v>20</v>
      </c>
      <c r="I56" s="2" t="s">
        <v>21</v>
      </c>
      <c r="J56" s="2" t="n">
        <v>14</v>
      </c>
      <c r="K56" s="2" t="s">
        <v>44</v>
      </c>
      <c r="L56" s="2" t="n">
        <v>272</v>
      </c>
      <c r="M56" s="2" t="n">
        <v>3</v>
      </c>
      <c r="N56" s="2" t="n">
        <v>-1</v>
      </c>
      <c r="O56" s="2" t="n">
        <v>0</v>
      </c>
      <c r="P56" s="2" t="s">
        <v>23</v>
      </c>
      <c r="Q56" s="2" t="s">
        <v>20</v>
      </c>
    </row>
    <row r="57" customFormat="false" ht="15" hidden="false" customHeight="false" outlineLevel="0" collapsed="false">
      <c r="A57" s="2" t="n">
        <v>48</v>
      </c>
      <c r="B57" s="2" t="s">
        <v>40</v>
      </c>
      <c r="C57" s="2" t="s">
        <v>18</v>
      </c>
      <c r="D57" s="2" t="s">
        <v>25</v>
      </c>
      <c r="E57" s="2" t="s">
        <v>20</v>
      </c>
      <c r="F57" s="2" t="n">
        <v>3064</v>
      </c>
      <c r="G57" s="2" t="s">
        <v>26</v>
      </c>
      <c r="H57" s="2" t="s">
        <v>20</v>
      </c>
      <c r="I57" s="2" t="s">
        <v>49</v>
      </c>
      <c r="J57" s="2" t="n">
        <v>15</v>
      </c>
      <c r="K57" s="2" t="s">
        <v>44</v>
      </c>
      <c r="L57" s="2" t="n">
        <v>159</v>
      </c>
      <c r="M57" s="2" t="n">
        <v>2</v>
      </c>
      <c r="N57" s="2" t="n">
        <v>-1</v>
      </c>
      <c r="O57" s="2" t="n">
        <v>0</v>
      </c>
      <c r="P57" s="2" t="s">
        <v>23</v>
      </c>
      <c r="Q57" s="2" t="s">
        <v>20</v>
      </c>
    </row>
    <row r="58" customFormat="false" ht="15" hidden="false" customHeight="false" outlineLevel="0" collapsed="false">
      <c r="A58" s="2" t="n">
        <v>57</v>
      </c>
      <c r="B58" s="2" t="s">
        <v>29</v>
      </c>
      <c r="C58" s="2" t="s">
        <v>18</v>
      </c>
      <c r="D58" s="2" t="s">
        <v>25</v>
      </c>
      <c r="E58" s="2" t="s">
        <v>20</v>
      </c>
      <c r="F58" s="2" t="n">
        <v>82</v>
      </c>
      <c r="G58" s="2" t="s">
        <v>20</v>
      </c>
      <c r="H58" s="2" t="s">
        <v>26</v>
      </c>
      <c r="I58" s="2" t="s">
        <v>49</v>
      </c>
      <c r="J58" s="2" t="n">
        <v>4</v>
      </c>
      <c r="K58" s="2" t="s">
        <v>35</v>
      </c>
      <c r="L58" s="2" t="n">
        <v>140</v>
      </c>
      <c r="M58" s="2" t="n">
        <v>1</v>
      </c>
      <c r="N58" s="2" t="n">
        <v>-1</v>
      </c>
      <c r="O58" s="2" t="n">
        <v>0</v>
      </c>
      <c r="P58" s="2" t="s">
        <v>23</v>
      </c>
      <c r="Q58" s="2" t="s">
        <v>20</v>
      </c>
    </row>
    <row r="59" customFormat="false" ht="15" hidden="false" customHeight="false" outlineLevel="0" collapsed="false">
      <c r="A59" s="2" t="n">
        <v>33</v>
      </c>
      <c r="B59" s="2" t="s">
        <v>36</v>
      </c>
      <c r="C59" s="2" t="s">
        <v>30</v>
      </c>
      <c r="D59" s="2" t="s">
        <v>31</v>
      </c>
      <c r="E59" s="2" t="s">
        <v>20</v>
      </c>
      <c r="F59" s="2" t="n">
        <v>2155</v>
      </c>
      <c r="G59" s="2" t="s">
        <v>20</v>
      </c>
      <c r="H59" s="2" t="s">
        <v>20</v>
      </c>
      <c r="I59" s="2" t="s">
        <v>21</v>
      </c>
      <c r="J59" s="2" t="n">
        <v>17</v>
      </c>
      <c r="K59" s="2" t="s">
        <v>46</v>
      </c>
      <c r="L59" s="2" t="n">
        <v>295</v>
      </c>
      <c r="M59" s="2" t="n">
        <v>1</v>
      </c>
      <c r="N59" s="2" t="n">
        <v>-1</v>
      </c>
      <c r="O59" s="2" t="n">
        <v>0</v>
      </c>
      <c r="P59" s="2" t="s">
        <v>23</v>
      </c>
      <c r="Q59" s="2" t="s">
        <v>20</v>
      </c>
    </row>
    <row r="60" customFormat="false" ht="15" hidden="false" customHeight="false" outlineLevel="0" collapsed="false">
      <c r="A60" s="2" t="n">
        <v>36</v>
      </c>
      <c r="B60" s="2" t="s">
        <v>48</v>
      </c>
      <c r="C60" s="2" t="s">
        <v>30</v>
      </c>
      <c r="D60" s="2" t="s">
        <v>25</v>
      </c>
      <c r="E60" s="2" t="s">
        <v>20</v>
      </c>
      <c r="F60" s="2" t="n">
        <v>101</v>
      </c>
      <c r="G60" s="2" t="s">
        <v>26</v>
      </c>
      <c r="H60" s="2" t="s">
        <v>26</v>
      </c>
      <c r="I60" s="2" t="s">
        <v>23</v>
      </c>
      <c r="J60" s="2" t="n">
        <v>26</v>
      </c>
      <c r="K60" s="2" t="s">
        <v>27</v>
      </c>
      <c r="L60" s="2" t="n">
        <v>314</v>
      </c>
      <c r="M60" s="2" t="n">
        <v>1</v>
      </c>
      <c r="N60" s="2" t="n">
        <v>-1</v>
      </c>
      <c r="O60" s="2" t="n">
        <v>0</v>
      </c>
      <c r="P60" s="2" t="s">
        <v>23</v>
      </c>
      <c r="Q60" s="2" t="s">
        <v>20</v>
      </c>
    </row>
    <row r="61" customFormat="false" ht="15" hidden="false" customHeight="false" outlineLevel="0" collapsed="false">
      <c r="A61" s="2" t="n">
        <v>54</v>
      </c>
      <c r="B61" s="2" t="s">
        <v>38</v>
      </c>
      <c r="C61" s="2" t="s">
        <v>45</v>
      </c>
      <c r="D61" s="2" t="s">
        <v>25</v>
      </c>
      <c r="E61" s="2" t="s">
        <v>20</v>
      </c>
      <c r="F61" s="2" t="n">
        <v>784</v>
      </c>
      <c r="G61" s="2" t="s">
        <v>26</v>
      </c>
      <c r="H61" s="2" t="s">
        <v>26</v>
      </c>
      <c r="I61" s="2" t="s">
        <v>23</v>
      </c>
      <c r="J61" s="2" t="n">
        <v>15</v>
      </c>
      <c r="K61" s="2" t="s">
        <v>27</v>
      </c>
      <c r="L61" s="2" t="n">
        <v>579</v>
      </c>
      <c r="M61" s="2" t="n">
        <v>1</v>
      </c>
      <c r="N61" s="2" t="n">
        <v>-1</v>
      </c>
      <c r="O61" s="2" t="n">
        <v>0</v>
      </c>
      <c r="P61" s="2" t="s">
        <v>23</v>
      </c>
      <c r="Q61" s="2" t="s">
        <v>20</v>
      </c>
    </row>
    <row r="62" customFormat="false" ht="15" hidden="false" customHeight="false" outlineLevel="0" collapsed="false">
      <c r="A62" s="2" t="n">
        <v>41</v>
      </c>
      <c r="B62" s="2" t="s">
        <v>34</v>
      </c>
      <c r="C62" s="2" t="s">
        <v>18</v>
      </c>
      <c r="D62" s="2" t="s">
        <v>19</v>
      </c>
      <c r="E62" s="2" t="s">
        <v>20</v>
      </c>
      <c r="F62" s="2" t="n">
        <v>-516</v>
      </c>
      <c r="G62" s="2" t="s">
        <v>20</v>
      </c>
      <c r="H62" s="2" t="s">
        <v>26</v>
      </c>
      <c r="I62" s="2" t="s">
        <v>49</v>
      </c>
      <c r="J62" s="2" t="n">
        <v>8</v>
      </c>
      <c r="K62" s="2" t="s">
        <v>44</v>
      </c>
      <c r="L62" s="2" t="n">
        <v>554</v>
      </c>
      <c r="M62" s="2" t="n">
        <v>3</v>
      </c>
      <c r="N62" s="2" t="n">
        <v>-1</v>
      </c>
      <c r="O62" s="2" t="n">
        <v>0</v>
      </c>
      <c r="P62" s="2" t="s">
        <v>23</v>
      </c>
      <c r="Q62" s="2" t="s">
        <v>20</v>
      </c>
    </row>
    <row r="63" customFormat="false" ht="15" hidden="false" customHeight="false" outlineLevel="0" collapsed="false">
      <c r="A63" s="2" t="n">
        <v>63</v>
      </c>
      <c r="B63" s="2" t="s">
        <v>48</v>
      </c>
      <c r="C63" s="2" t="s">
        <v>18</v>
      </c>
      <c r="D63" s="2" t="s">
        <v>25</v>
      </c>
      <c r="E63" s="2" t="s">
        <v>20</v>
      </c>
      <c r="F63" s="2" t="n">
        <v>415</v>
      </c>
      <c r="G63" s="2" t="s">
        <v>26</v>
      </c>
      <c r="H63" s="2" t="s">
        <v>20</v>
      </c>
      <c r="I63" s="2" t="s">
        <v>21</v>
      </c>
      <c r="J63" s="2" t="n">
        <v>7</v>
      </c>
      <c r="K63" s="2" t="s">
        <v>22</v>
      </c>
      <c r="L63" s="2" t="n">
        <v>323</v>
      </c>
      <c r="M63" s="2" t="n">
        <v>1</v>
      </c>
      <c r="N63" s="2" t="n">
        <v>-1</v>
      </c>
      <c r="O63" s="2" t="n">
        <v>0</v>
      </c>
      <c r="P63" s="2" t="s">
        <v>23</v>
      </c>
      <c r="Q63" s="2" t="s">
        <v>20</v>
      </c>
    </row>
    <row r="64" customFormat="false" ht="15" hidden="false" customHeight="false" outlineLevel="0" collapsed="false">
      <c r="A64" s="2" t="n">
        <v>48</v>
      </c>
      <c r="B64" s="2" t="s">
        <v>29</v>
      </c>
      <c r="C64" s="2" t="s">
        <v>18</v>
      </c>
      <c r="D64" s="2" t="s">
        <v>31</v>
      </c>
      <c r="E64" s="2" t="s">
        <v>20</v>
      </c>
      <c r="F64" s="2" t="n">
        <v>5887</v>
      </c>
      <c r="G64" s="2" t="s">
        <v>20</v>
      </c>
      <c r="H64" s="2" t="s">
        <v>20</v>
      </c>
      <c r="I64" s="2" t="s">
        <v>21</v>
      </c>
      <c r="J64" s="2" t="n">
        <v>13</v>
      </c>
      <c r="K64" s="2" t="s">
        <v>41</v>
      </c>
      <c r="L64" s="2" t="n">
        <v>227</v>
      </c>
      <c r="M64" s="2" t="n">
        <v>2</v>
      </c>
      <c r="N64" s="2" t="n">
        <v>-1</v>
      </c>
      <c r="O64" s="2" t="n">
        <v>0</v>
      </c>
      <c r="P64" s="2" t="s">
        <v>23</v>
      </c>
      <c r="Q64" s="2" t="s">
        <v>20</v>
      </c>
    </row>
    <row r="65" customFormat="false" ht="15" hidden="false" customHeight="false" outlineLevel="0" collapsed="false">
      <c r="A65" s="2" t="n">
        <v>48</v>
      </c>
      <c r="B65" s="2" t="s">
        <v>24</v>
      </c>
      <c r="C65" s="2" t="s">
        <v>18</v>
      </c>
      <c r="D65" s="2" t="s">
        <v>25</v>
      </c>
      <c r="E65" s="2" t="s">
        <v>20</v>
      </c>
      <c r="F65" s="2" t="n">
        <v>1355</v>
      </c>
      <c r="G65" s="2" t="s">
        <v>20</v>
      </c>
      <c r="H65" s="2" t="s">
        <v>20</v>
      </c>
      <c r="I65" s="2" t="s">
        <v>21</v>
      </c>
      <c r="J65" s="2" t="n">
        <v>4</v>
      </c>
      <c r="K65" s="2" t="s">
        <v>44</v>
      </c>
      <c r="L65" s="2" t="n">
        <v>134</v>
      </c>
      <c r="M65" s="2" t="n">
        <v>2</v>
      </c>
      <c r="N65" s="2" t="n">
        <v>-1</v>
      </c>
      <c r="O65" s="2" t="n">
        <v>0</v>
      </c>
      <c r="P65" s="2" t="s">
        <v>23</v>
      </c>
      <c r="Q65" s="2" t="s">
        <v>20</v>
      </c>
    </row>
    <row r="66" customFormat="false" ht="15" hidden="false" customHeight="false" outlineLevel="0" collapsed="false">
      <c r="A66" s="2" t="n">
        <v>56</v>
      </c>
      <c r="B66" s="2" t="s">
        <v>40</v>
      </c>
      <c r="C66" s="2" t="s">
        <v>18</v>
      </c>
      <c r="D66" s="2" t="s">
        <v>25</v>
      </c>
      <c r="E66" s="2" t="s">
        <v>20</v>
      </c>
      <c r="F66" s="2" t="n">
        <v>16873</v>
      </c>
      <c r="G66" s="2" t="s">
        <v>20</v>
      </c>
      <c r="H66" s="2" t="s">
        <v>20</v>
      </c>
      <c r="I66" s="2" t="s">
        <v>21</v>
      </c>
      <c r="J66" s="2" t="n">
        <v>7</v>
      </c>
      <c r="K66" s="2" t="s">
        <v>22</v>
      </c>
      <c r="L66" s="2" t="n">
        <v>223</v>
      </c>
      <c r="M66" s="2" t="n">
        <v>1</v>
      </c>
      <c r="N66" s="2" t="n">
        <v>-1</v>
      </c>
      <c r="O66" s="2" t="n">
        <v>0</v>
      </c>
      <c r="P66" s="2" t="s">
        <v>23</v>
      </c>
      <c r="Q66" s="2" t="s">
        <v>20</v>
      </c>
    </row>
    <row r="67" customFormat="false" ht="15" hidden="false" customHeight="false" outlineLevel="0" collapsed="false">
      <c r="A67" s="2" t="n">
        <v>51</v>
      </c>
      <c r="B67" s="2" t="s">
        <v>34</v>
      </c>
      <c r="C67" s="2" t="s">
        <v>45</v>
      </c>
      <c r="D67" s="2" t="s">
        <v>25</v>
      </c>
      <c r="E67" s="2" t="s">
        <v>20</v>
      </c>
      <c r="F67" s="2" t="n">
        <v>203</v>
      </c>
      <c r="G67" s="2" t="s">
        <v>26</v>
      </c>
      <c r="H67" s="2" t="s">
        <v>20</v>
      </c>
      <c r="I67" s="2" t="s">
        <v>21</v>
      </c>
      <c r="J67" s="2" t="n">
        <v>8</v>
      </c>
      <c r="K67" s="2" t="s">
        <v>27</v>
      </c>
      <c r="L67" s="2" t="n">
        <v>134</v>
      </c>
      <c r="M67" s="2" t="n">
        <v>1</v>
      </c>
      <c r="N67" s="2" t="n">
        <v>170</v>
      </c>
      <c r="O67" s="2" t="n">
        <v>5</v>
      </c>
      <c r="P67" s="2" t="s">
        <v>28</v>
      </c>
      <c r="Q67" s="2" t="s">
        <v>20</v>
      </c>
    </row>
    <row r="68" customFormat="false" ht="15" hidden="false" customHeight="false" outlineLevel="0" collapsed="false">
      <c r="A68" s="2" t="n">
        <v>31</v>
      </c>
      <c r="B68" s="2" t="s">
        <v>24</v>
      </c>
      <c r="C68" s="2" t="s">
        <v>18</v>
      </c>
      <c r="D68" s="2" t="s">
        <v>25</v>
      </c>
      <c r="E68" s="2" t="s">
        <v>20</v>
      </c>
      <c r="F68" s="2" t="n">
        <v>338</v>
      </c>
      <c r="G68" s="2" t="s">
        <v>26</v>
      </c>
      <c r="H68" s="2" t="s">
        <v>20</v>
      </c>
      <c r="I68" s="2" t="s">
        <v>21</v>
      </c>
      <c r="J68" s="2" t="n">
        <v>28</v>
      </c>
      <c r="K68" s="2" t="s">
        <v>43</v>
      </c>
      <c r="L68" s="2" t="n">
        <v>155</v>
      </c>
      <c r="M68" s="2" t="n">
        <v>1</v>
      </c>
      <c r="N68" s="2" t="n">
        <v>-1</v>
      </c>
      <c r="O68" s="2" t="n">
        <v>0</v>
      </c>
      <c r="P68" s="2" t="s">
        <v>23</v>
      </c>
      <c r="Q68" s="2" t="s">
        <v>20</v>
      </c>
    </row>
    <row r="69" customFormat="false" ht="15" hidden="false" customHeight="false" outlineLevel="0" collapsed="false">
      <c r="A69" s="2" t="n">
        <v>29</v>
      </c>
      <c r="B69" s="2" t="s">
        <v>38</v>
      </c>
      <c r="C69" s="2" t="s">
        <v>18</v>
      </c>
      <c r="D69" s="2" t="s">
        <v>25</v>
      </c>
      <c r="E69" s="2" t="s">
        <v>20</v>
      </c>
      <c r="F69" s="2" t="n">
        <v>444</v>
      </c>
      <c r="G69" s="2" t="s">
        <v>26</v>
      </c>
      <c r="H69" s="2" t="s">
        <v>20</v>
      </c>
      <c r="I69" s="2" t="s">
        <v>21</v>
      </c>
      <c r="J69" s="2" t="n">
        <v>21</v>
      </c>
      <c r="K69" s="2" t="s">
        <v>44</v>
      </c>
      <c r="L69" s="2" t="n">
        <v>130</v>
      </c>
      <c r="M69" s="2" t="n">
        <v>4</v>
      </c>
      <c r="N69" s="2" t="n">
        <v>-1</v>
      </c>
      <c r="O69" s="2" t="n">
        <v>0</v>
      </c>
      <c r="P69" s="2" t="s">
        <v>23</v>
      </c>
      <c r="Q69" s="2" t="s">
        <v>20</v>
      </c>
    </row>
    <row r="70" customFormat="false" ht="15" hidden="false" customHeight="false" outlineLevel="0" collapsed="false">
      <c r="A70" s="2" t="n">
        <v>41</v>
      </c>
      <c r="B70" s="2" t="s">
        <v>29</v>
      </c>
      <c r="C70" s="2" t="s">
        <v>18</v>
      </c>
      <c r="D70" s="2" t="s">
        <v>25</v>
      </c>
      <c r="E70" s="2" t="s">
        <v>20</v>
      </c>
      <c r="F70" s="2" t="n">
        <v>0</v>
      </c>
      <c r="G70" s="2" t="s">
        <v>20</v>
      </c>
      <c r="H70" s="2" t="s">
        <v>26</v>
      </c>
      <c r="I70" s="2" t="s">
        <v>21</v>
      </c>
      <c r="J70" s="2" t="n">
        <v>7</v>
      </c>
      <c r="K70" s="2" t="s">
        <v>44</v>
      </c>
      <c r="L70" s="2" t="n">
        <v>630</v>
      </c>
      <c r="M70" s="2" t="n">
        <v>3</v>
      </c>
      <c r="N70" s="2" t="n">
        <v>-1</v>
      </c>
      <c r="O70" s="2" t="n">
        <v>0</v>
      </c>
      <c r="P70" s="2" t="s">
        <v>23</v>
      </c>
      <c r="Q70" s="2" t="s">
        <v>20</v>
      </c>
    </row>
    <row r="71" customFormat="false" ht="15" hidden="false" customHeight="false" outlineLevel="0" collapsed="false">
      <c r="A71" s="2" t="n">
        <v>32</v>
      </c>
      <c r="B71" s="2" t="s">
        <v>38</v>
      </c>
      <c r="C71" s="2" t="s">
        <v>30</v>
      </c>
      <c r="D71" s="2" t="s">
        <v>31</v>
      </c>
      <c r="E71" s="2" t="s">
        <v>20</v>
      </c>
      <c r="F71" s="2" t="n">
        <v>360</v>
      </c>
      <c r="G71" s="2" t="s">
        <v>20</v>
      </c>
      <c r="H71" s="2" t="s">
        <v>20</v>
      </c>
      <c r="I71" s="2" t="s">
        <v>21</v>
      </c>
      <c r="J71" s="2" t="n">
        <v>19</v>
      </c>
      <c r="K71" s="2" t="s">
        <v>46</v>
      </c>
      <c r="L71" s="2" t="n">
        <v>164</v>
      </c>
      <c r="M71" s="2" t="n">
        <v>2</v>
      </c>
      <c r="N71" s="2" t="n">
        <v>-1</v>
      </c>
      <c r="O71" s="2" t="n">
        <v>0</v>
      </c>
      <c r="P71" s="2" t="s">
        <v>23</v>
      </c>
      <c r="Q71" s="2" t="s">
        <v>20</v>
      </c>
    </row>
    <row r="72" customFormat="false" ht="15" hidden="false" customHeight="false" outlineLevel="0" collapsed="false">
      <c r="A72" s="2" t="n">
        <v>37</v>
      </c>
      <c r="B72" s="2" t="s">
        <v>29</v>
      </c>
      <c r="C72" s="2" t="s">
        <v>18</v>
      </c>
      <c r="D72" s="2" t="s">
        <v>31</v>
      </c>
      <c r="E72" s="2" t="s">
        <v>20</v>
      </c>
      <c r="F72" s="2" t="n">
        <v>0</v>
      </c>
      <c r="G72" s="2" t="s">
        <v>20</v>
      </c>
      <c r="H72" s="2" t="s">
        <v>20</v>
      </c>
      <c r="I72" s="2" t="s">
        <v>21</v>
      </c>
      <c r="J72" s="2" t="n">
        <v>16</v>
      </c>
      <c r="K72" s="2" t="s">
        <v>44</v>
      </c>
      <c r="L72" s="2" t="n">
        <v>268</v>
      </c>
      <c r="M72" s="2" t="n">
        <v>2</v>
      </c>
      <c r="N72" s="2" t="n">
        <v>182</v>
      </c>
      <c r="O72" s="2" t="n">
        <v>3</v>
      </c>
      <c r="P72" s="2" t="s">
        <v>50</v>
      </c>
      <c r="Q72" s="2" t="s">
        <v>26</v>
      </c>
    </row>
    <row r="73" customFormat="false" ht="15" hidden="false" customHeight="false" outlineLevel="0" collapsed="false">
      <c r="A73" s="2" t="n">
        <v>42</v>
      </c>
      <c r="B73" s="2" t="s">
        <v>39</v>
      </c>
      <c r="C73" s="2" t="s">
        <v>45</v>
      </c>
      <c r="D73" s="2" t="s">
        <v>31</v>
      </c>
      <c r="E73" s="2" t="s">
        <v>26</v>
      </c>
      <c r="F73" s="2" t="n">
        <v>2</v>
      </c>
      <c r="G73" s="2" t="s">
        <v>26</v>
      </c>
      <c r="H73" s="2" t="s">
        <v>20</v>
      </c>
      <c r="I73" s="2" t="s">
        <v>23</v>
      </c>
      <c r="J73" s="2" t="n">
        <v>5</v>
      </c>
      <c r="K73" s="2" t="s">
        <v>27</v>
      </c>
      <c r="L73" s="2" t="n">
        <v>380</v>
      </c>
      <c r="M73" s="2" t="n">
        <v>1</v>
      </c>
      <c r="N73" s="2" t="n">
        <v>-1</v>
      </c>
      <c r="O73" s="2" t="n">
        <v>0</v>
      </c>
      <c r="P73" s="2" t="s">
        <v>23</v>
      </c>
      <c r="Q73" s="2" t="s">
        <v>20</v>
      </c>
    </row>
    <row r="74" customFormat="false" ht="15" hidden="false" customHeight="false" outlineLevel="0" collapsed="false">
      <c r="A74" s="2" t="n">
        <v>31</v>
      </c>
      <c r="B74" s="2" t="s">
        <v>29</v>
      </c>
      <c r="C74" s="2" t="s">
        <v>30</v>
      </c>
      <c r="D74" s="2" t="s">
        <v>31</v>
      </c>
      <c r="E74" s="2" t="s">
        <v>20</v>
      </c>
      <c r="F74" s="2" t="n">
        <v>6248</v>
      </c>
      <c r="G74" s="2" t="s">
        <v>26</v>
      </c>
      <c r="H74" s="2" t="s">
        <v>20</v>
      </c>
      <c r="I74" s="2" t="s">
        <v>23</v>
      </c>
      <c r="J74" s="2" t="n">
        <v>9</v>
      </c>
      <c r="K74" s="2" t="s">
        <v>27</v>
      </c>
      <c r="L74" s="2" t="n">
        <v>154</v>
      </c>
      <c r="M74" s="2" t="n">
        <v>2</v>
      </c>
      <c r="N74" s="2" t="n">
        <v>-1</v>
      </c>
      <c r="O74" s="2" t="n">
        <v>0</v>
      </c>
      <c r="P74" s="2" t="s">
        <v>23</v>
      </c>
      <c r="Q74" s="2" t="s">
        <v>20</v>
      </c>
    </row>
    <row r="75" customFormat="false" ht="15" hidden="false" customHeight="false" outlineLevel="0" collapsed="false">
      <c r="A75" s="2" t="n">
        <v>41</v>
      </c>
      <c r="B75" s="2" t="s">
        <v>24</v>
      </c>
      <c r="C75" s="2" t="s">
        <v>18</v>
      </c>
      <c r="D75" s="2" t="s">
        <v>31</v>
      </c>
      <c r="E75" s="2" t="s">
        <v>20</v>
      </c>
      <c r="F75" s="2" t="n">
        <v>412</v>
      </c>
      <c r="G75" s="2" t="s">
        <v>26</v>
      </c>
      <c r="H75" s="2" t="s">
        <v>20</v>
      </c>
      <c r="I75" s="2" t="s">
        <v>23</v>
      </c>
      <c r="J75" s="2" t="n">
        <v>3</v>
      </c>
      <c r="K75" s="2" t="s">
        <v>33</v>
      </c>
      <c r="L75" s="2" t="n">
        <v>154</v>
      </c>
      <c r="M75" s="2" t="n">
        <v>5</v>
      </c>
      <c r="N75" s="2" t="n">
        <v>-1</v>
      </c>
      <c r="O75" s="2" t="n">
        <v>0</v>
      </c>
      <c r="P75" s="2" t="s">
        <v>23</v>
      </c>
      <c r="Q75" s="2" t="s">
        <v>20</v>
      </c>
    </row>
    <row r="76" customFormat="false" ht="15" hidden="false" customHeight="false" outlineLevel="0" collapsed="false">
      <c r="A76" s="2" t="n">
        <v>56</v>
      </c>
      <c r="B76" s="2" t="s">
        <v>48</v>
      </c>
      <c r="C76" s="2" t="s">
        <v>18</v>
      </c>
      <c r="D76" s="2" t="s">
        <v>25</v>
      </c>
      <c r="E76" s="2" t="s">
        <v>20</v>
      </c>
      <c r="F76" s="2" t="n">
        <v>344</v>
      </c>
      <c r="G76" s="2" t="s">
        <v>26</v>
      </c>
      <c r="H76" s="2" t="s">
        <v>20</v>
      </c>
      <c r="I76" s="2" t="s">
        <v>23</v>
      </c>
      <c r="J76" s="2" t="n">
        <v>15</v>
      </c>
      <c r="K76" s="2" t="s">
        <v>27</v>
      </c>
      <c r="L76" s="2" t="n">
        <v>221</v>
      </c>
      <c r="M76" s="2" t="n">
        <v>1</v>
      </c>
      <c r="N76" s="2" t="n">
        <v>-1</v>
      </c>
      <c r="O76" s="2" t="n">
        <v>0</v>
      </c>
      <c r="P76" s="2" t="s">
        <v>23</v>
      </c>
      <c r="Q76" s="2" t="s">
        <v>20</v>
      </c>
    </row>
    <row r="77" customFormat="false" ht="15" hidden="false" customHeight="false" outlineLevel="0" collapsed="false">
      <c r="A77" s="2" t="n">
        <v>54</v>
      </c>
      <c r="B77" s="2" t="s">
        <v>29</v>
      </c>
      <c r="C77" s="2" t="s">
        <v>45</v>
      </c>
      <c r="D77" s="2" t="s">
        <v>31</v>
      </c>
      <c r="E77" s="2" t="s">
        <v>20</v>
      </c>
      <c r="F77" s="2" t="n">
        <v>3222</v>
      </c>
      <c r="G77" s="2" t="s">
        <v>20</v>
      </c>
      <c r="H77" s="2" t="s">
        <v>20</v>
      </c>
      <c r="I77" s="2" t="s">
        <v>21</v>
      </c>
      <c r="J77" s="2" t="n">
        <v>14</v>
      </c>
      <c r="K77" s="2" t="s">
        <v>41</v>
      </c>
      <c r="L77" s="2" t="n">
        <v>67</v>
      </c>
      <c r="M77" s="2" t="n">
        <v>2</v>
      </c>
      <c r="N77" s="2" t="n">
        <v>-1</v>
      </c>
      <c r="O77" s="2" t="n">
        <v>0</v>
      </c>
      <c r="P77" s="2" t="s">
        <v>23</v>
      </c>
      <c r="Q77" s="2" t="s">
        <v>20</v>
      </c>
    </row>
    <row r="78" customFormat="false" ht="15" hidden="false" customHeight="false" outlineLevel="0" collapsed="false">
      <c r="A78" s="2" t="n">
        <v>41</v>
      </c>
      <c r="B78" s="2" t="s">
        <v>34</v>
      </c>
      <c r="C78" s="2" t="s">
        <v>45</v>
      </c>
      <c r="D78" s="2" t="s">
        <v>25</v>
      </c>
      <c r="E78" s="2" t="s">
        <v>20</v>
      </c>
      <c r="F78" s="2" t="n">
        <v>174</v>
      </c>
      <c r="G78" s="2" t="s">
        <v>26</v>
      </c>
      <c r="H78" s="2" t="s">
        <v>20</v>
      </c>
      <c r="I78" s="2" t="s">
        <v>21</v>
      </c>
      <c r="J78" s="2" t="n">
        <v>14</v>
      </c>
      <c r="K78" s="2" t="s">
        <v>27</v>
      </c>
      <c r="L78" s="2" t="n">
        <v>367</v>
      </c>
      <c r="M78" s="2" t="n">
        <v>2</v>
      </c>
      <c r="N78" s="2" t="n">
        <v>297</v>
      </c>
      <c r="O78" s="2" t="n">
        <v>1</v>
      </c>
      <c r="P78" s="2" t="s">
        <v>37</v>
      </c>
      <c r="Q78" s="2" t="s">
        <v>20</v>
      </c>
    </row>
    <row r="79" customFormat="false" ht="15" hidden="false" customHeight="false" outlineLevel="0" collapsed="false">
      <c r="A79" s="2" t="n">
        <v>40</v>
      </c>
      <c r="B79" s="2" t="s">
        <v>38</v>
      </c>
      <c r="C79" s="2" t="s">
        <v>30</v>
      </c>
      <c r="D79" s="2" t="s">
        <v>25</v>
      </c>
      <c r="E79" s="2" t="s">
        <v>20</v>
      </c>
      <c r="F79" s="2" t="n">
        <v>591</v>
      </c>
      <c r="G79" s="2" t="s">
        <v>20</v>
      </c>
      <c r="H79" s="2" t="s">
        <v>26</v>
      </c>
      <c r="I79" s="2" t="s">
        <v>21</v>
      </c>
      <c r="J79" s="2" t="n">
        <v>14</v>
      </c>
      <c r="K79" s="2" t="s">
        <v>41</v>
      </c>
      <c r="L79" s="2" t="n">
        <v>87</v>
      </c>
      <c r="M79" s="2" t="n">
        <v>6</v>
      </c>
      <c r="N79" s="2" t="n">
        <v>-1</v>
      </c>
      <c r="O79" s="2" t="n">
        <v>0</v>
      </c>
      <c r="P79" s="2" t="s">
        <v>23</v>
      </c>
      <c r="Q79" s="2" t="s">
        <v>20</v>
      </c>
    </row>
    <row r="80" customFormat="false" ht="15" hidden="false" customHeight="false" outlineLevel="0" collapsed="false">
      <c r="A80" s="2" t="n">
        <v>50</v>
      </c>
      <c r="B80" s="2" t="s">
        <v>34</v>
      </c>
      <c r="C80" s="2" t="s">
        <v>45</v>
      </c>
      <c r="D80" s="2" t="s">
        <v>19</v>
      </c>
      <c r="E80" s="2" t="s">
        <v>20</v>
      </c>
      <c r="F80" s="2" t="n">
        <v>388</v>
      </c>
      <c r="G80" s="2" t="s">
        <v>20</v>
      </c>
      <c r="H80" s="2" t="s">
        <v>20</v>
      </c>
      <c r="I80" s="2" t="s">
        <v>21</v>
      </c>
      <c r="J80" s="2" t="n">
        <v>5</v>
      </c>
      <c r="K80" s="2" t="s">
        <v>35</v>
      </c>
      <c r="L80" s="2" t="n">
        <v>701</v>
      </c>
      <c r="M80" s="2" t="n">
        <v>1</v>
      </c>
      <c r="N80" s="2" t="n">
        <v>-1</v>
      </c>
      <c r="O80" s="2" t="n">
        <v>0</v>
      </c>
      <c r="P80" s="2" t="s">
        <v>23</v>
      </c>
      <c r="Q80" s="2" t="s">
        <v>20</v>
      </c>
    </row>
    <row r="81" customFormat="false" ht="15" hidden="false" customHeight="false" outlineLevel="0" collapsed="false">
      <c r="A81" s="2" t="n">
        <v>40</v>
      </c>
      <c r="B81" s="2" t="s">
        <v>17</v>
      </c>
      <c r="C81" s="2" t="s">
        <v>18</v>
      </c>
      <c r="D81" s="2" t="s">
        <v>25</v>
      </c>
      <c r="E81" s="2" t="s">
        <v>20</v>
      </c>
      <c r="F81" s="2" t="n">
        <v>219</v>
      </c>
      <c r="G81" s="2" t="s">
        <v>26</v>
      </c>
      <c r="H81" s="2" t="s">
        <v>20</v>
      </c>
      <c r="I81" s="2" t="s">
        <v>21</v>
      </c>
      <c r="J81" s="2" t="n">
        <v>17</v>
      </c>
      <c r="K81" s="2" t="s">
        <v>46</v>
      </c>
      <c r="L81" s="2" t="n">
        <v>204</v>
      </c>
      <c r="M81" s="2" t="n">
        <v>2</v>
      </c>
      <c r="N81" s="2" t="n">
        <v>196</v>
      </c>
      <c r="O81" s="2" t="n">
        <v>1</v>
      </c>
      <c r="P81" s="2" t="s">
        <v>28</v>
      </c>
      <c r="Q81" s="2" t="s">
        <v>20</v>
      </c>
    </row>
    <row r="82" customFormat="false" ht="15" hidden="false" customHeight="false" outlineLevel="0" collapsed="false">
      <c r="A82" s="2" t="n">
        <v>27</v>
      </c>
      <c r="B82" s="2" t="s">
        <v>40</v>
      </c>
      <c r="C82" s="2" t="s">
        <v>45</v>
      </c>
      <c r="D82" s="2" t="s">
        <v>25</v>
      </c>
      <c r="E82" s="2" t="s">
        <v>20</v>
      </c>
      <c r="F82" s="2" t="n">
        <v>451</v>
      </c>
      <c r="G82" s="2" t="s">
        <v>26</v>
      </c>
      <c r="H82" s="2" t="s">
        <v>20</v>
      </c>
      <c r="I82" s="2" t="s">
        <v>21</v>
      </c>
      <c r="J82" s="2" t="n">
        <v>16</v>
      </c>
      <c r="K82" s="2" t="s">
        <v>44</v>
      </c>
      <c r="L82" s="2" t="n">
        <v>652</v>
      </c>
      <c r="M82" s="2" t="n">
        <v>1</v>
      </c>
      <c r="N82" s="2" t="n">
        <v>-1</v>
      </c>
      <c r="O82" s="2" t="n">
        <v>0</v>
      </c>
      <c r="P82" s="2" t="s">
        <v>23</v>
      </c>
      <c r="Q82" s="2" t="s">
        <v>26</v>
      </c>
    </row>
    <row r="83" customFormat="false" ht="15" hidden="false" customHeight="false" outlineLevel="0" collapsed="false">
      <c r="A83" s="2" t="n">
        <v>60</v>
      </c>
      <c r="B83" s="2" t="s">
        <v>48</v>
      </c>
      <c r="C83" s="2" t="s">
        <v>18</v>
      </c>
      <c r="D83" s="2" t="s">
        <v>19</v>
      </c>
      <c r="E83" s="2" t="s">
        <v>20</v>
      </c>
      <c r="F83" s="2" t="n">
        <v>5</v>
      </c>
      <c r="G83" s="2" t="s">
        <v>20</v>
      </c>
      <c r="H83" s="2" t="s">
        <v>20</v>
      </c>
      <c r="I83" s="2" t="s">
        <v>21</v>
      </c>
      <c r="J83" s="2" t="n">
        <v>26</v>
      </c>
      <c r="K83" s="2" t="s">
        <v>41</v>
      </c>
      <c r="L83" s="2" t="n">
        <v>63</v>
      </c>
      <c r="M83" s="2" t="n">
        <v>2</v>
      </c>
      <c r="N83" s="2" t="n">
        <v>-1</v>
      </c>
      <c r="O83" s="2" t="n">
        <v>0</v>
      </c>
      <c r="P83" s="2" t="s">
        <v>23</v>
      </c>
      <c r="Q83" s="2" t="s">
        <v>20</v>
      </c>
    </row>
    <row r="84" customFormat="false" ht="15" hidden="false" customHeight="false" outlineLevel="0" collapsed="false">
      <c r="A84" s="2" t="n">
        <v>28</v>
      </c>
      <c r="B84" s="2" t="s">
        <v>40</v>
      </c>
      <c r="C84" s="2" t="s">
        <v>30</v>
      </c>
      <c r="D84" s="2" t="s">
        <v>25</v>
      </c>
      <c r="E84" s="2" t="s">
        <v>20</v>
      </c>
      <c r="F84" s="2" t="n">
        <v>177</v>
      </c>
      <c r="G84" s="2" t="s">
        <v>26</v>
      </c>
      <c r="H84" s="2" t="s">
        <v>26</v>
      </c>
      <c r="I84" s="2" t="s">
        <v>21</v>
      </c>
      <c r="J84" s="2" t="n">
        <v>6</v>
      </c>
      <c r="K84" s="2" t="s">
        <v>27</v>
      </c>
      <c r="L84" s="2" t="n">
        <v>150</v>
      </c>
      <c r="M84" s="2" t="n">
        <v>1</v>
      </c>
      <c r="N84" s="2" t="n">
        <v>-1</v>
      </c>
      <c r="O84" s="2" t="n">
        <v>0</v>
      </c>
      <c r="P84" s="2" t="s">
        <v>23</v>
      </c>
      <c r="Q84" s="2" t="s">
        <v>20</v>
      </c>
    </row>
    <row r="85" customFormat="false" ht="15" hidden="false" customHeight="false" outlineLevel="0" collapsed="false">
      <c r="A85" s="2" t="n">
        <v>52</v>
      </c>
      <c r="B85" s="2" t="s">
        <v>24</v>
      </c>
      <c r="C85" s="2" t="s">
        <v>18</v>
      </c>
      <c r="D85" s="2" t="s">
        <v>25</v>
      </c>
      <c r="E85" s="2" t="s">
        <v>20</v>
      </c>
      <c r="F85" s="2" t="n">
        <v>657</v>
      </c>
      <c r="G85" s="2" t="s">
        <v>20</v>
      </c>
      <c r="H85" s="2" t="s">
        <v>20</v>
      </c>
      <c r="I85" s="2" t="s">
        <v>49</v>
      </c>
      <c r="J85" s="2" t="n">
        <v>7</v>
      </c>
      <c r="K85" s="2" t="s">
        <v>44</v>
      </c>
      <c r="L85" s="2" t="n">
        <v>398</v>
      </c>
      <c r="M85" s="2" t="n">
        <v>2</v>
      </c>
      <c r="N85" s="2" t="n">
        <v>460</v>
      </c>
      <c r="O85" s="2" t="n">
        <v>2</v>
      </c>
      <c r="P85" s="2" t="s">
        <v>28</v>
      </c>
      <c r="Q85" s="2" t="s">
        <v>26</v>
      </c>
    </row>
    <row r="86" customFormat="false" ht="15" hidden="false" customHeight="false" outlineLevel="0" collapsed="false">
      <c r="A86" s="2" t="n">
        <v>37</v>
      </c>
      <c r="B86" s="2" t="s">
        <v>29</v>
      </c>
      <c r="C86" s="2" t="s">
        <v>18</v>
      </c>
      <c r="D86" s="2" t="s">
        <v>31</v>
      </c>
      <c r="E86" s="2" t="s">
        <v>20</v>
      </c>
      <c r="F86" s="2" t="n">
        <v>1315</v>
      </c>
      <c r="G86" s="2" t="s">
        <v>20</v>
      </c>
      <c r="H86" s="2" t="s">
        <v>20</v>
      </c>
      <c r="I86" s="2" t="s">
        <v>21</v>
      </c>
      <c r="J86" s="2" t="n">
        <v>30</v>
      </c>
      <c r="K86" s="2" t="s">
        <v>33</v>
      </c>
      <c r="L86" s="2" t="n">
        <v>224</v>
      </c>
      <c r="M86" s="2" t="n">
        <v>1</v>
      </c>
      <c r="N86" s="2" t="n">
        <v>-1</v>
      </c>
      <c r="O86" s="2" t="n">
        <v>0</v>
      </c>
      <c r="P86" s="2" t="s">
        <v>23</v>
      </c>
      <c r="Q86" s="2" t="s">
        <v>26</v>
      </c>
    </row>
    <row r="87" customFormat="false" ht="15" hidden="false" customHeight="false" outlineLevel="0" collapsed="false">
      <c r="A87" s="2" t="n">
        <v>51</v>
      </c>
      <c r="B87" s="2" t="s">
        <v>34</v>
      </c>
      <c r="C87" s="2" t="s">
        <v>18</v>
      </c>
      <c r="D87" s="2" t="s">
        <v>19</v>
      </c>
      <c r="E87" s="2" t="s">
        <v>20</v>
      </c>
      <c r="F87" s="2" t="n">
        <v>1466</v>
      </c>
      <c r="G87" s="2" t="s">
        <v>26</v>
      </c>
      <c r="H87" s="2" t="s">
        <v>20</v>
      </c>
      <c r="I87" s="2" t="s">
        <v>23</v>
      </c>
      <c r="J87" s="2" t="n">
        <v>7</v>
      </c>
      <c r="K87" s="2" t="s">
        <v>27</v>
      </c>
      <c r="L87" s="2" t="n">
        <v>406</v>
      </c>
      <c r="M87" s="2" t="n">
        <v>2</v>
      </c>
      <c r="N87" s="2" t="n">
        <v>-1</v>
      </c>
      <c r="O87" s="2" t="n">
        <v>0</v>
      </c>
      <c r="P87" s="2" t="s">
        <v>23</v>
      </c>
      <c r="Q87" s="2" t="s">
        <v>20</v>
      </c>
    </row>
    <row r="88" customFormat="false" ht="15" hidden="false" customHeight="false" outlineLevel="0" collapsed="false">
      <c r="A88" s="2" t="n">
        <v>41</v>
      </c>
      <c r="B88" s="2" t="s">
        <v>38</v>
      </c>
      <c r="C88" s="2" t="s">
        <v>30</v>
      </c>
      <c r="D88" s="2" t="s">
        <v>25</v>
      </c>
      <c r="E88" s="2" t="s">
        <v>20</v>
      </c>
      <c r="F88" s="2" t="n">
        <v>879</v>
      </c>
      <c r="G88" s="2" t="s">
        <v>20</v>
      </c>
      <c r="H88" s="2" t="s">
        <v>26</v>
      </c>
      <c r="I88" s="2" t="s">
        <v>21</v>
      </c>
      <c r="J88" s="2" t="n">
        <v>7</v>
      </c>
      <c r="K88" s="2" t="s">
        <v>44</v>
      </c>
      <c r="L88" s="2" t="n">
        <v>60</v>
      </c>
      <c r="M88" s="2" t="n">
        <v>4</v>
      </c>
      <c r="N88" s="2" t="n">
        <v>-1</v>
      </c>
      <c r="O88" s="2" t="n">
        <v>0</v>
      </c>
      <c r="P88" s="2" t="s">
        <v>23</v>
      </c>
      <c r="Q88" s="2" t="s">
        <v>20</v>
      </c>
    </row>
    <row r="89" customFormat="false" ht="15" hidden="false" customHeight="false" outlineLevel="0" collapsed="false">
      <c r="A89" s="2" t="n">
        <v>35</v>
      </c>
      <c r="B89" s="2" t="s">
        <v>34</v>
      </c>
      <c r="C89" s="2" t="s">
        <v>30</v>
      </c>
      <c r="D89" s="2" t="s">
        <v>19</v>
      </c>
      <c r="E89" s="2" t="s">
        <v>20</v>
      </c>
      <c r="F89" s="2" t="n">
        <v>293</v>
      </c>
      <c r="G89" s="2" t="s">
        <v>26</v>
      </c>
      <c r="H89" s="2" t="s">
        <v>20</v>
      </c>
      <c r="I89" s="2" t="s">
        <v>23</v>
      </c>
      <c r="J89" s="2" t="n">
        <v>30</v>
      </c>
      <c r="K89" s="2" t="s">
        <v>27</v>
      </c>
      <c r="L89" s="2" t="n">
        <v>521</v>
      </c>
      <c r="M89" s="2" t="n">
        <v>2</v>
      </c>
      <c r="N89" s="2" t="n">
        <v>-1</v>
      </c>
      <c r="O89" s="2" t="n">
        <v>0</v>
      </c>
      <c r="P89" s="2" t="s">
        <v>23</v>
      </c>
      <c r="Q89" s="2" t="s">
        <v>20</v>
      </c>
    </row>
    <row r="90" customFormat="false" ht="15" hidden="false" customHeight="false" outlineLevel="0" collapsed="false">
      <c r="A90" s="2" t="n">
        <v>38</v>
      </c>
      <c r="B90" s="2" t="s">
        <v>40</v>
      </c>
      <c r="C90" s="2" t="s">
        <v>18</v>
      </c>
      <c r="D90" s="2" t="s">
        <v>25</v>
      </c>
      <c r="E90" s="2" t="s">
        <v>20</v>
      </c>
      <c r="F90" s="2" t="n">
        <v>424</v>
      </c>
      <c r="G90" s="2" t="s">
        <v>26</v>
      </c>
      <c r="H90" s="2" t="s">
        <v>20</v>
      </c>
      <c r="I90" s="2" t="s">
        <v>21</v>
      </c>
      <c r="J90" s="2" t="n">
        <v>17</v>
      </c>
      <c r="K90" s="2" t="s">
        <v>32</v>
      </c>
      <c r="L90" s="2" t="n">
        <v>279</v>
      </c>
      <c r="M90" s="2" t="n">
        <v>1</v>
      </c>
      <c r="N90" s="2" t="n">
        <v>-1</v>
      </c>
      <c r="O90" s="2" t="n">
        <v>0</v>
      </c>
      <c r="P90" s="2" t="s">
        <v>23</v>
      </c>
      <c r="Q90" s="2" t="s">
        <v>20</v>
      </c>
    </row>
    <row r="91" customFormat="false" ht="15" hidden="false" customHeight="false" outlineLevel="0" collapsed="false">
      <c r="A91" s="2" t="n">
        <v>34</v>
      </c>
      <c r="B91" s="2" t="s">
        <v>34</v>
      </c>
      <c r="C91" s="2" t="s">
        <v>18</v>
      </c>
      <c r="D91" s="2" t="s">
        <v>25</v>
      </c>
      <c r="E91" s="2" t="s">
        <v>20</v>
      </c>
      <c r="F91" s="2" t="n">
        <v>1831</v>
      </c>
      <c r="G91" s="2" t="s">
        <v>26</v>
      </c>
      <c r="H91" s="2" t="s">
        <v>20</v>
      </c>
      <c r="I91" s="2" t="s">
        <v>23</v>
      </c>
      <c r="J91" s="2" t="n">
        <v>20</v>
      </c>
      <c r="K91" s="2" t="s">
        <v>27</v>
      </c>
      <c r="L91" s="2" t="n">
        <v>203</v>
      </c>
      <c r="M91" s="2" t="n">
        <v>2</v>
      </c>
      <c r="N91" s="2" t="n">
        <v>-1</v>
      </c>
      <c r="O91" s="2" t="n">
        <v>0</v>
      </c>
      <c r="P91" s="2" t="s">
        <v>23</v>
      </c>
      <c r="Q91" s="2" t="s">
        <v>20</v>
      </c>
    </row>
    <row r="92" customFormat="false" ht="15" hidden="false" customHeight="false" outlineLevel="0" collapsed="false">
      <c r="A92" s="2" t="n">
        <v>39</v>
      </c>
      <c r="B92" s="2" t="s">
        <v>34</v>
      </c>
      <c r="C92" s="2" t="s">
        <v>18</v>
      </c>
      <c r="D92" s="2" t="s">
        <v>19</v>
      </c>
      <c r="E92" s="2" t="s">
        <v>20</v>
      </c>
      <c r="F92" s="2" t="n">
        <v>111</v>
      </c>
      <c r="G92" s="2" t="s">
        <v>20</v>
      </c>
      <c r="H92" s="2" t="s">
        <v>20</v>
      </c>
      <c r="I92" s="2" t="s">
        <v>21</v>
      </c>
      <c r="J92" s="2" t="n">
        <v>18</v>
      </c>
      <c r="K92" s="2" t="s">
        <v>46</v>
      </c>
      <c r="L92" s="2" t="n">
        <v>201</v>
      </c>
      <c r="M92" s="2" t="n">
        <v>2</v>
      </c>
      <c r="N92" s="2" t="n">
        <v>-1</v>
      </c>
      <c r="O92" s="2" t="n">
        <v>0</v>
      </c>
      <c r="P92" s="2" t="s">
        <v>23</v>
      </c>
      <c r="Q92" s="2" t="s">
        <v>20</v>
      </c>
    </row>
    <row r="93" customFormat="false" ht="15" hidden="false" customHeight="false" outlineLevel="0" collapsed="false">
      <c r="A93" s="2" t="n">
        <v>34</v>
      </c>
      <c r="B93" s="2" t="s">
        <v>34</v>
      </c>
      <c r="C93" s="2" t="s">
        <v>18</v>
      </c>
      <c r="D93" s="2" t="s">
        <v>19</v>
      </c>
      <c r="E93" s="2" t="s">
        <v>20</v>
      </c>
      <c r="F93" s="2" t="n">
        <v>455</v>
      </c>
      <c r="G93" s="2" t="s">
        <v>26</v>
      </c>
      <c r="H93" s="2" t="s">
        <v>20</v>
      </c>
      <c r="I93" s="2" t="s">
        <v>23</v>
      </c>
      <c r="J93" s="2" t="n">
        <v>20</v>
      </c>
      <c r="K93" s="2" t="s">
        <v>33</v>
      </c>
      <c r="L93" s="2" t="n">
        <v>372</v>
      </c>
      <c r="M93" s="2" t="n">
        <v>3</v>
      </c>
      <c r="N93" s="2" t="n">
        <v>-1</v>
      </c>
      <c r="O93" s="2" t="n">
        <v>0</v>
      </c>
      <c r="P93" s="2" t="s">
        <v>23</v>
      </c>
      <c r="Q93" s="2" t="s">
        <v>20</v>
      </c>
    </row>
    <row r="94" customFormat="false" ht="15" hidden="false" customHeight="false" outlineLevel="0" collapsed="false">
      <c r="A94" s="2" t="n">
        <v>27</v>
      </c>
      <c r="B94" s="2" t="s">
        <v>24</v>
      </c>
      <c r="C94" s="2" t="s">
        <v>30</v>
      </c>
      <c r="D94" s="2" t="s">
        <v>25</v>
      </c>
      <c r="E94" s="2" t="s">
        <v>20</v>
      </c>
      <c r="F94" s="2" t="n">
        <v>-195</v>
      </c>
      <c r="G94" s="2" t="s">
        <v>26</v>
      </c>
      <c r="H94" s="2" t="s">
        <v>20</v>
      </c>
      <c r="I94" s="2" t="s">
        <v>21</v>
      </c>
      <c r="J94" s="2" t="n">
        <v>18</v>
      </c>
      <c r="K94" s="2" t="s">
        <v>27</v>
      </c>
      <c r="L94" s="2" t="n">
        <v>391</v>
      </c>
      <c r="M94" s="2" t="n">
        <v>1</v>
      </c>
      <c r="N94" s="2" t="n">
        <v>-1</v>
      </c>
      <c r="O94" s="2" t="n">
        <v>0</v>
      </c>
      <c r="P94" s="2" t="s">
        <v>23</v>
      </c>
      <c r="Q94" s="2" t="s">
        <v>26</v>
      </c>
    </row>
    <row r="95" customFormat="false" ht="15" hidden="false" customHeight="false" outlineLevel="0" collapsed="false">
      <c r="A95" s="2" t="n">
        <v>32</v>
      </c>
      <c r="B95" s="2" t="s">
        <v>29</v>
      </c>
      <c r="C95" s="2" t="s">
        <v>30</v>
      </c>
      <c r="D95" s="2" t="s">
        <v>31</v>
      </c>
      <c r="E95" s="2" t="s">
        <v>20</v>
      </c>
      <c r="F95" s="2" t="n">
        <v>3616</v>
      </c>
      <c r="G95" s="2" t="s">
        <v>20</v>
      </c>
      <c r="H95" s="2" t="s">
        <v>20</v>
      </c>
      <c r="I95" s="2" t="s">
        <v>21</v>
      </c>
      <c r="J95" s="2" t="n">
        <v>14</v>
      </c>
      <c r="K95" s="2" t="s">
        <v>41</v>
      </c>
      <c r="L95" s="2" t="n">
        <v>165</v>
      </c>
      <c r="M95" s="2" t="n">
        <v>2</v>
      </c>
      <c r="N95" s="2" t="n">
        <v>-1</v>
      </c>
      <c r="O95" s="2" t="n">
        <v>0</v>
      </c>
      <c r="P95" s="2" t="s">
        <v>23</v>
      </c>
      <c r="Q95" s="2" t="s">
        <v>20</v>
      </c>
    </row>
    <row r="96" customFormat="false" ht="15" hidden="false" customHeight="false" outlineLevel="0" collapsed="false">
      <c r="A96" s="2" t="n">
        <v>57</v>
      </c>
      <c r="B96" s="2" t="s">
        <v>34</v>
      </c>
      <c r="C96" s="2" t="s">
        <v>18</v>
      </c>
      <c r="D96" s="2" t="s">
        <v>25</v>
      </c>
      <c r="E96" s="2" t="s">
        <v>20</v>
      </c>
      <c r="F96" s="2" t="n">
        <v>14093</v>
      </c>
      <c r="G96" s="2" t="s">
        <v>20</v>
      </c>
      <c r="H96" s="2" t="s">
        <v>20</v>
      </c>
      <c r="I96" s="2" t="s">
        <v>21</v>
      </c>
      <c r="J96" s="2" t="n">
        <v>11</v>
      </c>
      <c r="K96" s="2" t="s">
        <v>41</v>
      </c>
      <c r="L96" s="2" t="n">
        <v>231</v>
      </c>
      <c r="M96" s="2" t="n">
        <v>5</v>
      </c>
      <c r="N96" s="2" t="n">
        <v>-1</v>
      </c>
      <c r="O96" s="2" t="n">
        <v>0</v>
      </c>
      <c r="P96" s="2" t="s">
        <v>23</v>
      </c>
      <c r="Q96" s="2" t="s">
        <v>20</v>
      </c>
    </row>
    <row r="97" customFormat="false" ht="15" hidden="false" customHeight="false" outlineLevel="0" collapsed="false">
      <c r="A97" s="2" t="n">
        <v>41</v>
      </c>
      <c r="B97" s="2" t="s">
        <v>23</v>
      </c>
      <c r="C97" s="2" t="s">
        <v>30</v>
      </c>
      <c r="D97" s="2" t="s">
        <v>31</v>
      </c>
      <c r="E97" s="2" t="s">
        <v>20</v>
      </c>
      <c r="F97" s="2" t="n">
        <v>1567</v>
      </c>
      <c r="G97" s="2" t="s">
        <v>20</v>
      </c>
      <c r="H97" s="2" t="s">
        <v>20</v>
      </c>
      <c r="I97" s="2" t="s">
        <v>21</v>
      </c>
      <c r="J97" s="2" t="n">
        <v>1</v>
      </c>
      <c r="K97" s="2" t="s">
        <v>44</v>
      </c>
      <c r="L97" s="2" t="n">
        <v>291</v>
      </c>
      <c r="M97" s="2" t="n">
        <v>2</v>
      </c>
      <c r="N97" s="2" t="n">
        <v>-1</v>
      </c>
      <c r="O97" s="2" t="n">
        <v>0</v>
      </c>
      <c r="P97" s="2" t="s">
        <v>23</v>
      </c>
      <c r="Q97" s="2" t="s">
        <v>20</v>
      </c>
    </row>
    <row r="98" customFormat="false" ht="15" hidden="false" customHeight="false" outlineLevel="0" collapsed="false">
      <c r="A98" s="2" t="n">
        <v>41</v>
      </c>
      <c r="B98" s="2" t="s">
        <v>40</v>
      </c>
      <c r="C98" s="2" t="s">
        <v>18</v>
      </c>
      <c r="D98" s="2" t="s">
        <v>31</v>
      </c>
      <c r="E98" s="2" t="s">
        <v>20</v>
      </c>
      <c r="F98" s="2" t="n">
        <v>5426</v>
      </c>
      <c r="G98" s="2" t="s">
        <v>26</v>
      </c>
      <c r="H98" s="2" t="s">
        <v>20</v>
      </c>
      <c r="I98" s="2" t="s">
        <v>23</v>
      </c>
      <c r="J98" s="2" t="n">
        <v>14</v>
      </c>
      <c r="K98" s="2" t="s">
        <v>27</v>
      </c>
      <c r="L98" s="2" t="n">
        <v>149</v>
      </c>
      <c r="M98" s="2" t="n">
        <v>2</v>
      </c>
      <c r="N98" s="2" t="n">
        <v>-1</v>
      </c>
      <c r="O98" s="2" t="n">
        <v>0</v>
      </c>
      <c r="P98" s="2" t="s">
        <v>23</v>
      </c>
      <c r="Q98" s="2" t="s">
        <v>20</v>
      </c>
    </row>
    <row r="99" customFormat="false" ht="15" hidden="false" customHeight="false" outlineLevel="0" collapsed="false">
      <c r="A99" s="2" t="n">
        <v>30</v>
      </c>
      <c r="B99" s="2" t="s">
        <v>40</v>
      </c>
      <c r="C99" s="2" t="s">
        <v>30</v>
      </c>
      <c r="D99" s="2" t="s">
        <v>31</v>
      </c>
      <c r="E99" s="2" t="s">
        <v>20</v>
      </c>
      <c r="F99" s="2" t="n">
        <v>261</v>
      </c>
      <c r="G99" s="2" t="s">
        <v>20</v>
      </c>
      <c r="H99" s="2" t="s">
        <v>20</v>
      </c>
      <c r="I99" s="2" t="s">
        <v>21</v>
      </c>
      <c r="J99" s="2" t="n">
        <v>19</v>
      </c>
      <c r="K99" s="2" t="s">
        <v>22</v>
      </c>
      <c r="L99" s="2" t="n">
        <v>233</v>
      </c>
      <c r="M99" s="2" t="n">
        <v>1</v>
      </c>
      <c r="N99" s="2" t="n">
        <v>137</v>
      </c>
      <c r="O99" s="2" t="n">
        <v>20</v>
      </c>
      <c r="P99" s="2" t="s">
        <v>28</v>
      </c>
      <c r="Q99" s="2" t="s">
        <v>20</v>
      </c>
    </row>
    <row r="100" customFormat="false" ht="15" hidden="false" customHeight="false" outlineLevel="0" collapsed="false">
      <c r="A100" s="2" t="n">
        <v>36</v>
      </c>
      <c r="B100" s="2" t="s">
        <v>34</v>
      </c>
      <c r="C100" s="2" t="s">
        <v>45</v>
      </c>
      <c r="D100" s="2" t="s">
        <v>25</v>
      </c>
      <c r="E100" s="2" t="s">
        <v>20</v>
      </c>
      <c r="F100" s="2" t="n">
        <v>2843</v>
      </c>
      <c r="G100" s="2" t="s">
        <v>20</v>
      </c>
      <c r="H100" s="2" t="s">
        <v>20</v>
      </c>
      <c r="I100" s="2" t="s">
        <v>21</v>
      </c>
      <c r="J100" s="2" t="n">
        <v>12</v>
      </c>
      <c r="K100" s="2" t="s">
        <v>35</v>
      </c>
      <c r="L100" s="2" t="n">
        <v>473</v>
      </c>
      <c r="M100" s="2" t="n">
        <v>1</v>
      </c>
      <c r="N100" s="2" t="n">
        <v>182</v>
      </c>
      <c r="O100" s="2" t="n">
        <v>1</v>
      </c>
      <c r="P100" s="2" t="s">
        <v>50</v>
      </c>
      <c r="Q100" s="2" t="s">
        <v>20</v>
      </c>
    </row>
    <row r="101" customFormat="false" ht="15" hidden="false" customHeight="false" outlineLevel="0" collapsed="false">
      <c r="A101" s="2" t="n">
        <v>31</v>
      </c>
      <c r="B101" s="2" t="s">
        <v>17</v>
      </c>
      <c r="C101" s="2" t="s">
        <v>30</v>
      </c>
      <c r="D101" s="2" t="s">
        <v>19</v>
      </c>
      <c r="E101" s="2" t="s">
        <v>20</v>
      </c>
      <c r="F101" s="2" t="n">
        <v>406</v>
      </c>
      <c r="G101" s="2" t="s">
        <v>20</v>
      </c>
      <c r="H101" s="2" t="s">
        <v>20</v>
      </c>
      <c r="I101" s="2" t="s">
        <v>21</v>
      </c>
      <c r="J101" s="2" t="n">
        <v>4</v>
      </c>
      <c r="K101" s="2" t="s">
        <v>35</v>
      </c>
      <c r="L101" s="2" t="n">
        <v>736</v>
      </c>
      <c r="M101" s="2" t="n">
        <v>1</v>
      </c>
      <c r="N101" s="2" t="n">
        <v>-1</v>
      </c>
      <c r="O101" s="2" t="n">
        <v>0</v>
      </c>
      <c r="P101" s="2" t="s">
        <v>23</v>
      </c>
      <c r="Q101" s="2" t="s">
        <v>26</v>
      </c>
    </row>
    <row r="102" customFormat="false" ht="15" hidden="false" customHeight="false" outlineLevel="0" collapsed="false">
      <c r="A102" s="2" t="n">
        <v>36</v>
      </c>
      <c r="B102" s="2" t="s">
        <v>34</v>
      </c>
      <c r="C102" s="2" t="s">
        <v>18</v>
      </c>
      <c r="D102" s="2" t="s">
        <v>25</v>
      </c>
      <c r="E102" s="2" t="s">
        <v>20</v>
      </c>
      <c r="F102" s="2" t="n">
        <v>0</v>
      </c>
      <c r="G102" s="2" t="s">
        <v>26</v>
      </c>
      <c r="H102" s="2" t="s">
        <v>20</v>
      </c>
      <c r="I102" s="2" t="s">
        <v>23</v>
      </c>
      <c r="J102" s="2" t="n">
        <v>6</v>
      </c>
      <c r="K102" s="2" t="s">
        <v>27</v>
      </c>
      <c r="L102" s="2" t="n">
        <v>337</v>
      </c>
      <c r="M102" s="2" t="n">
        <v>1</v>
      </c>
      <c r="N102" s="2" t="n">
        <v>-1</v>
      </c>
      <c r="O102" s="2" t="n">
        <v>0</v>
      </c>
      <c r="P102" s="2" t="s">
        <v>23</v>
      </c>
      <c r="Q102" s="2" t="s">
        <v>20</v>
      </c>
    </row>
    <row r="103" customFormat="false" ht="15" hidden="false" customHeight="false" outlineLevel="0" collapsed="false">
      <c r="A103" s="2" t="n">
        <v>38</v>
      </c>
      <c r="B103" s="2" t="s">
        <v>29</v>
      </c>
      <c r="C103" s="2" t="s">
        <v>30</v>
      </c>
      <c r="D103" s="2" t="s">
        <v>31</v>
      </c>
      <c r="E103" s="2" t="s">
        <v>20</v>
      </c>
      <c r="F103" s="2" t="n">
        <v>493</v>
      </c>
      <c r="G103" s="2" t="s">
        <v>26</v>
      </c>
      <c r="H103" s="2" t="s">
        <v>20</v>
      </c>
      <c r="I103" s="2" t="s">
        <v>21</v>
      </c>
      <c r="J103" s="2" t="n">
        <v>11</v>
      </c>
      <c r="K103" s="2" t="s">
        <v>27</v>
      </c>
      <c r="L103" s="2" t="n">
        <v>553</v>
      </c>
      <c r="M103" s="2" t="n">
        <v>1</v>
      </c>
      <c r="N103" s="2" t="n">
        <v>367</v>
      </c>
      <c r="O103" s="2" t="n">
        <v>7</v>
      </c>
      <c r="P103" s="2" t="s">
        <v>28</v>
      </c>
      <c r="Q103" s="2" t="s">
        <v>20</v>
      </c>
    </row>
    <row r="104" customFormat="false" ht="15" hidden="false" customHeight="false" outlineLevel="0" collapsed="false">
      <c r="A104" s="2" t="n">
        <v>49</v>
      </c>
      <c r="B104" s="2" t="s">
        <v>38</v>
      </c>
      <c r="C104" s="2" t="s">
        <v>18</v>
      </c>
      <c r="D104" s="2" t="s">
        <v>25</v>
      </c>
      <c r="E104" s="2" t="s">
        <v>20</v>
      </c>
      <c r="F104" s="2" t="n">
        <v>5996</v>
      </c>
      <c r="G104" s="2" t="s">
        <v>20</v>
      </c>
      <c r="H104" s="2" t="s">
        <v>20</v>
      </c>
      <c r="I104" s="2" t="s">
        <v>49</v>
      </c>
      <c r="J104" s="2" t="n">
        <v>21</v>
      </c>
      <c r="K104" s="2" t="s">
        <v>46</v>
      </c>
      <c r="L104" s="2" t="n">
        <v>345</v>
      </c>
      <c r="M104" s="2" t="n">
        <v>2</v>
      </c>
      <c r="N104" s="2" t="n">
        <v>-1</v>
      </c>
      <c r="O104" s="2" t="n">
        <v>0</v>
      </c>
      <c r="P104" s="2" t="s">
        <v>23</v>
      </c>
      <c r="Q104" s="2" t="s">
        <v>20</v>
      </c>
    </row>
    <row r="105" customFormat="false" ht="15" hidden="false" customHeight="false" outlineLevel="0" collapsed="false">
      <c r="A105" s="2" t="n">
        <v>57</v>
      </c>
      <c r="B105" s="2" t="s">
        <v>24</v>
      </c>
      <c r="C105" s="2" t="s">
        <v>30</v>
      </c>
      <c r="D105" s="2" t="s">
        <v>19</v>
      </c>
      <c r="E105" s="2" t="s">
        <v>20</v>
      </c>
      <c r="F105" s="2" t="n">
        <v>3777</v>
      </c>
      <c r="G105" s="2" t="s">
        <v>26</v>
      </c>
      <c r="H105" s="2" t="s">
        <v>20</v>
      </c>
      <c r="I105" s="2" t="s">
        <v>49</v>
      </c>
      <c r="J105" s="2" t="n">
        <v>13</v>
      </c>
      <c r="K105" s="2" t="s">
        <v>27</v>
      </c>
      <c r="L105" s="2" t="n">
        <v>65</v>
      </c>
      <c r="M105" s="2" t="n">
        <v>2</v>
      </c>
      <c r="N105" s="2" t="n">
        <v>-1</v>
      </c>
      <c r="O105" s="2" t="n">
        <v>0</v>
      </c>
      <c r="P105" s="2" t="s">
        <v>23</v>
      </c>
      <c r="Q105" s="2" t="s">
        <v>20</v>
      </c>
    </row>
    <row r="106" customFormat="false" ht="15" hidden="false" customHeight="false" outlineLevel="0" collapsed="false">
      <c r="A106" s="2" t="n">
        <v>34</v>
      </c>
      <c r="B106" s="2" t="s">
        <v>29</v>
      </c>
      <c r="C106" s="2" t="s">
        <v>30</v>
      </c>
      <c r="D106" s="2" t="s">
        <v>25</v>
      </c>
      <c r="E106" s="2" t="s">
        <v>20</v>
      </c>
      <c r="F106" s="2" t="n">
        <v>524</v>
      </c>
      <c r="G106" s="2" t="s">
        <v>20</v>
      </c>
      <c r="H106" s="2" t="s">
        <v>20</v>
      </c>
      <c r="I106" s="2" t="s">
        <v>23</v>
      </c>
      <c r="J106" s="2" t="n">
        <v>13</v>
      </c>
      <c r="K106" s="2" t="s">
        <v>41</v>
      </c>
      <c r="L106" s="2" t="n">
        <v>9</v>
      </c>
      <c r="M106" s="2" t="n">
        <v>1</v>
      </c>
      <c r="N106" s="2" t="n">
        <v>-1</v>
      </c>
      <c r="O106" s="2" t="n">
        <v>0</v>
      </c>
      <c r="P106" s="2" t="s">
        <v>23</v>
      </c>
      <c r="Q106" s="2" t="s">
        <v>20</v>
      </c>
    </row>
    <row r="107" customFormat="false" ht="15" hidden="false" customHeight="false" outlineLevel="0" collapsed="false">
      <c r="A107" s="2" t="n">
        <v>32</v>
      </c>
      <c r="B107" s="2" t="s">
        <v>29</v>
      </c>
      <c r="C107" s="2" t="s">
        <v>30</v>
      </c>
      <c r="D107" s="2" t="s">
        <v>31</v>
      </c>
      <c r="E107" s="2" t="s">
        <v>20</v>
      </c>
      <c r="F107" s="2" t="n">
        <v>574</v>
      </c>
      <c r="G107" s="2" t="s">
        <v>26</v>
      </c>
      <c r="H107" s="2" t="s">
        <v>20</v>
      </c>
      <c r="I107" s="2" t="s">
        <v>21</v>
      </c>
      <c r="J107" s="2" t="n">
        <v>14</v>
      </c>
      <c r="K107" s="2" t="s">
        <v>32</v>
      </c>
      <c r="L107" s="2" t="n">
        <v>259</v>
      </c>
      <c r="M107" s="2" t="n">
        <v>2</v>
      </c>
      <c r="N107" s="2" t="n">
        <v>145</v>
      </c>
      <c r="O107" s="2" t="n">
        <v>3</v>
      </c>
      <c r="P107" s="2" t="s">
        <v>28</v>
      </c>
      <c r="Q107" s="2" t="s">
        <v>20</v>
      </c>
    </row>
    <row r="108" customFormat="false" ht="15" hidden="false" customHeight="false" outlineLevel="0" collapsed="false">
      <c r="A108" s="2" t="n">
        <v>37</v>
      </c>
      <c r="B108" s="2" t="s">
        <v>34</v>
      </c>
      <c r="C108" s="2" t="s">
        <v>18</v>
      </c>
      <c r="D108" s="2" t="s">
        <v>25</v>
      </c>
      <c r="E108" s="2" t="s">
        <v>20</v>
      </c>
      <c r="F108" s="2" t="n">
        <v>427</v>
      </c>
      <c r="G108" s="2" t="s">
        <v>26</v>
      </c>
      <c r="H108" s="2" t="s">
        <v>26</v>
      </c>
      <c r="I108" s="2" t="s">
        <v>23</v>
      </c>
      <c r="J108" s="2" t="n">
        <v>9</v>
      </c>
      <c r="K108" s="2" t="s">
        <v>33</v>
      </c>
      <c r="L108" s="2" t="n">
        <v>371</v>
      </c>
      <c r="M108" s="2" t="n">
        <v>3</v>
      </c>
      <c r="N108" s="2" t="n">
        <v>-1</v>
      </c>
      <c r="O108" s="2" t="n">
        <v>0</v>
      </c>
      <c r="P108" s="2" t="s">
        <v>23</v>
      </c>
      <c r="Q108" s="2" t="s">
        <v>20</v>
      </c>
    </row>
    <row r="109" customFormat="false" ht="15" hidden="false" customHeight="false" outlineLevel="0" collapsed="false">
      <c r="A109" s="2" t="n">
        <v>33</v>
      </c>
      <c r="B109" s="2" t="s">
        <v>36</v>
      </c>
      <c r="C109" s="2" t="s">
        <v>18</v>
      </c>
      <c r="D109" s="2" t="s">
        <v>31</v>
      </c>
      <c r="E109" s="2" t="s">
        <v>20</v>
      </c>
      <c r="F109" s="2" t="n">
        <v>483</v>
      </c>
      <c r="G109" s="2" t="s">
        <v>26</v>
      </c>
      <c r="H109" s="2" t="s">
        <v>20</v>
      </c>
      <c r="I109" s="2" t="s">
        <v>21</v>
      </c>
      <c r="J109" s="2" t="n">
        <v>3</v>
      </c>
      <c r="K109" s="2" t="s">
        <v>35</v>
      </c>
      <c r="L109" s="2" t="n">
        <v>280</v>
      </c>
      <c r="M109" s="2" t="n">
        <v>2</v>
      </c>
      <c r="N109" s="2" t="n">
        <v>-1</v>
      </c>
      <c r="O109" s="2" t="n">
        <v>0</v>
      </c>
      <c r="P109" s="2" t="s">
        <v>23</v>
      </c>
      <c r="Q109" s="2" t="s">
        <v>20</v>
      </c>
    </row>
    <row r="110" customFormat="false" ht="15" hidden="false" customHeight="false" outlineLevel="0" collapsed="false">
      <c r="A110" s="2" t="n">
        <v>56</v>
      </c>
      <c r="B110" s="2" t="s">
        <v>17</v>
      </c>
      <c r="C110" s="2" t="s">
        <v>18</v>
      </c>
      <c r="D110" s="2" t="s">
        <v>19</v>
      </c>
      <c r="E110" s="2" t="s">
        <v>20</v>
      </c>
      <c r="F110" s="2" t="n">
        <v>3391</v>
      </c>
      <c r="G110" s="2" t="s">
        <v>20</v>
      </c>
      <c r="H110" s="2" t="s">
        <v>20</v>
      </c>
      <c r="I110" s="2" t="s">
        <v>21</v>
      </c>
      <c r="J110" s="2" t="n">
        <v>21</v>
      </c>
      <c r="K110" s="2" t="s">
        <v>32</v>
      </c>
      <c r="L110" s="2" t="n">
        <v>243</v>
      </c>
      <c r="M110" s="2" t="n">
        <v>1</v>
      </c>
      <c r="N110" s="2" t="n">
        <v>-1</v>
      </c>
      <c r="O110" s="2" t="n">
        <v>0</v>
      </c>
      <c r="P110" s="2" t="s">
        <v>23</v>
      </c>
      <c r="Q110" s="2" t="s">
        <v>26</v>
      </c>
    </row>
    <row r="111" customFormat="false" ht="15" hidden="false" customHeight="false" outlineLevel="0" collapsed="false">
      <c r="A111" s="2" t="n">
        <v>27</v>
      </c>
      <c r="B111" s="2" t="s">
        <v>47</v>
      </c>
      <c r="C111" s="2" t="s">
        <v>18</v>
      </c>
      <c r="D111" s="2" t="s">
        <v>19</v>
      </c>
      <c r="E111" s="2" t="s">
        <v>20</v>
      </c>
      <c r="F111" s="2" t="n">
        <v>0</v>
      </c>
      <c r="G111" s="2" t="s">
        <v>26</v>
      </c>
      <c r="H111" s="2" t="s">
        <v>20</v>
      </c>
      <c r="I111" s="2" t="s">
        <v>21</v>
      </c>
      <c r="J111" s="2" t="n">
        <v>23</v>
      </c>
      <c r="K111" s="2" t="s">
        <v>44</v>
      </c>
      <c r="L111" s="2" t="n">
        <v>435</v>
      </c>
      <c r="M111" s="2" t="n">
        <v>3</v>
      </c>
      <c r="N111" s="2" t="n">
        <v>-1</v>
      </c>
      <c r="O111" s="2" t="n">
        <v>0</v>
      </c>
      <c r="P111" s="2" t="s">
        <v>23</v>
      </c>
      <c r="Q111" s="2" t="s">
        <v>20</v>
      </c>
    </row>
    <row r="112" customFormat="false" ht="15" hidden="false" customHeight="false" outlineLevel="0" collapsed="false">
      <c r="A112" s="2" t="n">
        <v>21</v>
      </c>
      <c r="B112" s="2" t="s">
        <v>42</v>
      </c>
      <c r="C112" s="2" t="s">
        <v>30</v>
      </c>
      <c r="D112" s="2" t="s">
        <v>25</v>
      </c>
      <c r="E112" s="2" t="s">
        <v>20</v>
      </c>
      <c r="F112" s="2" t="n">
        <v>2488</v>
      </c>
      <c r="G112" s="2" t="s">
        <v>20</v>
      </c>
      <c r="H112" s="2" t="s">
        <v>20</v>
      </c>
      <c r="I112" s="2" t="s">
        <v>21</v>
      </c>
      <c r="J112" s="2" t="n">
        <v>30</v>
      </c>
      <c r="K112" s="2" t="s">
        <v>33</v>
      </c>
      <c r="L112" s="2" t="n">
        <v>258</v>
      </c>
      <c r="M112" s="2" t="n">
        <v>6</v>
      </c>
      <c r="N112" s="2" t="n">
        <v>169</v>
      </c>
      <c r="O112" s="2" t="n">
        <v>3</v>
      </c>
      <c r="P112" s="2" t="s">
        <v>50</v>
      </c>
      <c r="Q112" s="2" t="s">
        <v>26</v>
      </c>
    </row>
    <row r="113" customFormat="false" ht="15" hidden="false" customHeight="false" outlineLevel="0" collapsed="false">
      <c r="A113" s="2" t="n">
        <v>58</v>
      </c>
      <c r="B113" s="2" t="s">
        <v>29</v>
      </c>
      <c r="C113" s="2" t="s">
        <v>18</v>
      </c>
      <c r="D113" s="2" t="s">
        <v>31</v>
      </c>
      <c r="E113" s="2" t="s">
        <v>20</v>
      </c>
      <c r="F113" s="2" t="n">
        <v>1517</v>
      </c>
      <c r="G113" s="2" t="s">
        <v>26</v>
      </c>
      <c r="H113" s="2" t="s">
        <v>20</v>
      </c>
      <c r="I113" s="2" t="s">
        <v>49</v>
      </c>
      <c r="J113" s="2" t="n">
        <v>29</v>
      </c>
      <c r="K113" s="2" t="s">
        <v>44</v>
      </c>
      <c r="L113" s="2" t="n">
        <v>7</v>
      </c>
      <c r="M113" s="2" t="n">
        <v>5</v>
      </c>
      <c r="N113" s="2" t="n">
        <v>-1</v>
      </c>
      <c r="O113" s="2" t="n">
        <v>0</v>
      </c>
      <c r="P113" s="2" t="s">
        <v>23</v>
      </c>
      <c r="Q113" s="2" t="s">
        <v>20</v>
      </c>
    </row>
    <row r="114" customFormat="false" ht="15" hidden="false" customHeight="false" outlineLevel="0" collapsed="false">
      <c r="A114" s="2" t="n">
        <v>32</v>
      </c>
      <c r="B114" s="2" t="s">
        <v>36</v>
      </c>
      <c r="C114" s="2" t="s">
        <v>18</v>
      </c>
      <c r="D114" s="2" t="s">
        <v>25</v>
      </c>
      <c r="E114" s="2" t="s">
        <v>20</v>
      </c>
      <c r="F114" s="2" t="n">
        <v>217</v>
      </c>
      <c r="G114" s="2" t="s">
        <v>26</v>
      </c>
      <c r="H114" s="2" t="s">
        <v>26</v>
      </c>
      <c r="I114" s="2" t="s">
        <v>21</v>
      </c>
      <c r="J114" s="2" t="n">
        <v>15</v>
      </c>
      <c r="K114" s="2" t="s">
        <v>44</v>
      </c>
      <c r="L114" s="2" t="n">
        <v>317</v>
      </c>
      <c r="M114" s="2" t="n">
        <v>5</v>
      </c>
      <c r="N114" s="2" t="n">
        <v>-1</v>
      </c>
      <c r="O114" s="2" t="n">
        <v>0</v>
      </c>
      <c r="P114" s="2" t="s">
        <v>23</v>
      </c>
      <c r="Q114" s="2" t="s">
        <v>20</v>
      </c>
    </row>
    <row r="115" customFormat="false" ht="15" hidden="false" customHeight="false" outlineLevel="0" collapsed="false">
      <c r="A115" s="2" t="n">
        <v>33</v>
      </c>
      <c r="B115" s="2" t="s">
        <v>34</v>
      </c>
      <c r="C115" s="2" t="s">
        <v>30</v>
      </c>
      <c r="D115" s="2" t="s">
        <v>25</v>
      </c>
      <c r="E115" s="2" t="s">
        <v>20</v>
      </c>
      <c r="F115" s="2" t="n">
        <v>22</v>
      </c>
      <c r="G115" s="2" t="s">
        <v>20</v>
      </c>
      <c r="H115" s="2" t="s">
        <v>20</v>
      </c>
      <c r="I115" s="2" t="s">
        <v>21</v>
      </c>
      <c r="J115" s="2" t="n">
        <v>30</v>
      </c>
      <c r="K115" s="2" t="s">
        <v>43</v>
      </c>
      <c r="L115" s="2" t="n">
        <v>76</v>
      </c>
      <c r="M115" s="2" t="n">
        <v>2</v>
      </c>
      <c r="N115" s="2" t="n">
        <v>207</v>
      </c>
      <c r="O115" s="2" t="n">
        <v>1</v>
      </c>
      <c r="P115" s="2" t="s">
        <v>28</v>
      </c>
      <c r="Q115" s="2" t="s">
        <v>20</v>
      </c>
    </row>
    <row r="116" customFormat="false" ht="15" hidden="false" customHeight="false" outlineLevel="0" collapsed="false">
      <c r="A116" s="2" t="n">
        <v>25</v>
      </c>
      <c r="B116" s="2" t="s">
        <v>42</v>
      </c>
      <c r="C116" s="2" t="s">
        <v>30</v>
      </c>
      <c r="D116" s="2" t="s">
        <v>25</v>
      </c>
      <c r="E116" s="2" t="s">
        <v>20</v>
      </c>
      <c r="F116" s="2" t="n">
        <v>331</v>
      </c>
      <c r="G116" s="2" t="s">
        <v>20</v>
      </c>
      <c r="H116" s="2" t="s">
        <v>20</v>
      </c>
      <c r="I116" s="2" t="s">
        <v>49</v>
      </c>
      <c r="J116" s="2" t="n">
        <v>26</v>
      </c>
      <c r="K116" s="2" t="s">
        <v>41</v>
      </c>
      <c r="L116" s="2" t="n">
        <v>170</v>
      </c>
      <c r="M116" s="2" t="n">
        <v>4</v>
      </c>
      <c r="N116" s="2" t="n">
        <v>-1</v>
      </c>
      <c r="O116" s="2" t="n">
        <v>0</v>
      </c>
      <c r="P116" s="2" t="s">
        <v>23</v>
      </c>
      <c r="Q116" s="2" t="s">
        <v>26</v>
      </c>
    </row>
    <row r="117" customFormat="false" ht="15" hidden="false" customHeight="false" outlineLevel="0" collapsed="false">
      <c r="A117" s="2" t="n">
        <v>25</v>
      </c>
      <c r="B117" s="2" t="s">
        <v>38</v>
      </c>
      <c r="C117" s="2" t="s">
        <v>30</v>
      </c>
      <c r="D117" s="2" t="s">
        <v>25</v>
      </c>
      <c r="E117" s="2" t="s">
        <v>20</v>
      </c>
      <c r="F117" s="2" t="n">
        <v>505</v>
      </c>
      <c r="G117" s="2" t="s">
        <v>20</v>
      </c>
      <c r="H117" s="2" t="s">
        <v>26</v>
      </c>
      <c r="I117" s="2" t="s">
        <v>21</v>
      </c>
      <c r="J117" s="2" t="n">
        <v>17</v>
      </c>
      <c r="K117" s="2" t="s">
        <v>46</v>
      </c>
      <c r="L117" s="2" t="n">
        <v>386</v>
      </c>
      <c r="M117" s="2" t="n">
        <v>2</v>
      </c>
      <c r="N117" s="2" t="n">
        <v>-1</v>
      </c>
      <c r="O117" s="2" t="n">
        <v>0</v>
      </c>
      <c r="P117" s="2" t="s">
        <v>23</v>
      </c>
      <c r="Q117" s="2" t="s">
        <v>26</v>
      </c>
    </row>
    <row r="118" customFormat="false" ht="15" hidden="false" customHeight="false" outlineLevel="0" collapsed="false">
      <c r="A118" s="2" t="n">
        <v>30</v>
      </c>
      <c r="B118" s="2" t="s">
        <v>24</v>
      </c>
      <c r="C118" s="2" t="s">
        <v>18</v>
      </c>
      <c r="D118" s="2" t="s">
        <v>25</v>
      </c>
      <c r="E118" s="2" t="s">
        <v>20</v>
      </c>
      <c r="F118" s="2" t="n">
        <v>1808</v>
      </c>
      <c r="G118" s="2" t="s">
        <v>26</v>
      </c>
      <c r="H118" s="2" t="s">
        <v>20</v>
      </c>
      <c r="I118" s="2" t="s">
        <v>21</v>
      </c>
      <c r="J118" s="2" t="n">
        <v>18</v>
      </c>
      <c r="K118" s="2" t="s">
        <v>27</v>
      </c>
      <c r="L118" s="2" t="n">
        <v>83</v>
      </c>
      <c r="M118" s="2" t="n">
        <v>2</v>
      </c>
      <c r="N118" s="2" t="n">
        <v>-1</v>
      </c>
      <c r="O118" s="2" t="n">
        <v>0</v>
      </c>
      <c r="P118" s="2" t="s">
        <v>23</v>
      </c>
      <c r="Q118" s="2" t="s">
        <v>20</v>
      </c>
    </row>
    <row r="119" customFormat="false" ht="15" hidden="false" customHeight="false" outlineLevel="0" collapsed="false">
      <c r="A119" s="2" t="n">
        <v>22</v>
      </c>
      <c r="B119" s="2" t="s">
        <v>40</v>
      </c>
      <c r="C119" s="2" t="s">
        <v>30</v>
      </c>
      <c r="D119" s="2" t="s">
        <v>25</v>
      </c>
      <c r="E119" s="2" t="s">
        <v>20</v>
      </c>
      <c r="F119" s="2" t="n">
        <v>4111</v>
      </c>
      <c r="G119" s="2" t="s">
        <v>20</v>
      </c>
      <c r="H119" s="2" t="s">
        <v>26</v>
      </c>
      <c r="I119" s="2" t="s">
        <v>21</v>
      </c>
      <c r="J119" s="2" t="n">
        <v>19</v>
      </c>
      <c r="K119" s="2" t="s">
        <v>41</v>
      </c>
      <c r="L119" s="2" t="n">
        <v>65</v>
      </c>
      <c r="M119" s="2" t="n">
        <v>1</v>
      </c>
      <c r="N119" s="2" t="n">
        <v>-1</v>
      </c>
      <c r="O119" s="2" t="n">
        <v>0</v>
      </c>
      <c r="P119" s="2" t="s">
        <v>23</v>
      </c>
      <c r="Q119" s="2" t="s">
        <v>20</v>
      </c>
    </row>
    <row r="120" customFormat="false" ht="15" hidden="false" customHeight="false" outlineLevel="0" collapsed="false">
      <c r="A120" s="2" t="n">
        <v>39</v>
      </c>
      <c r="B120" s="2" t="s">
        <v>34</v>
      </c>
      <c r="C120" s="2" t="s">
        <v>18</v>
      </c>
      <c r="D120" s="2" t="s">
        <v>19</v>
      </c>
      <c r="E120" s="2" t="s">
        <v>20</v>
      </c>
      <c r="F120" s="2" t="n">
        <v>52</v>
      </c>
      <c r="G120" s="2" t="s">
        <v>20</v>
      </c>
      <c r="H120" s="2" t="s">
        <v>20</v>
      </c>
      <c r="I120" s="2" t="s">
        <v>21</v>
      </c>
      <c r="J120" s="2" t="n">
        <v>13</v>
      </c>
      <c r="K120" s="2" t="s">
        <v>41</v>
      </c>
      <c r="L120" s="2" t="n">
        <v>69</v>
      </c>
      <c r="M120" s="2" t="n">
        <v>1</v>
      </c>
      <c r="N120" s="2" t="n">
        <v>-1</v>
      </c>
      <c r="O120" s="2" t="n">
        <v>0</v>
      </c>
      <c r="P120" s="2" t="s">
        <v>23</v>
      </c>
      <c r="Q120" s="2" t="s">
        <v>20</v>
      </c>
    </row>
    <row r="121" customFormat="false" ht="15" hidden="false" customHeight="false" outlineLevel="0" collapsed="false">
      <c r="A121" s="2" t="n">
        <v>46</v>
      </c>
      <c r="B121" s="2" t="s">
        <v>29</v>
      </c>
      <c r="C121" s="2" t="s">
        <v>45</v>
      </c>
      <c r="D121" s="2" t="s">
        <v>31</v>
      </c>
      <c r="E121" s="2" t="s">
        <v>20</v>
      </c>
      <c r="F121" s="2" t="n">
        <v>25</v>
      </c>
      <c r="G121" s="2" t="s">
        <v>20</v>
      </c>
      <c r="H121" s="2" t="s">
        <v>20</v>
      </c>
      <c r="I121" s="2" t="s">
        <v>23</v>
      </c>
      <c r="J121" s="2" t="n">
        <v>17</v>
      </c>
      <c r="K121" s="2" t="s">
        <v>33</v>
      </c>
      <c r="L121" s="2" t="n">
        <v>564</v>
      </c>
      <c r="M121" s="2" t="n">
        <v>2</v>
      </c>
      <c r="N121" s="2" t="n">
        <v>-1</v>
      </c>
      <c r="O121" s="2" t="n">
        <v>0</v>
      </c>
      <c r="P121" s="2" t="s">
        <v>23</v>
      </c>
      <c r="Q121" s="2" t="s">
        <v>20</v>
      </c>
    </row>
    <row r="122" customFormat="false" ht="15" hidden="false" customHeight="false" outlineLevel="0" collapsed="false">
      <c r="A122" s="2" t="n">
        <v>31</v>
      </c>
      <c r="B122" s="2" t="s">
        <v>40</v>
      </c>
      <c r="C122" s="2" t="s">
        <v>45</v>
      </c>
      <c r="D122" s="2" t="s">
        <v>25</v>
      </c>
      <c r="E122" s="2" t="s">
        <v>20</v>
      </c>
      <c r="F122" s="2" t="n">
        <v>1890</v>
      </c>
      <c r="G122" s="2" t="s">
        <v>26</v>
      </c>
      <c r="H122" s="2" t="s">
        <v>20</v>
      </c>
      <c r="I122" s="2" t="s">
        <v>21</v>
      </c>
      <c r="J122" s="2" t="n">
        <v>21</v>
      </c>
      <c r="K122" s="2" t="s">
        <v>44</v>
      </c>
      <c r="L122" s="2" t="n">
        <v>588</v>
      </c>
      <c r="M122" s="2" t="n">
        <v>1</v>
      </c>
      <c r="N122" s="2" t="n">
        <v>-1</v>
      </c>
      <c r="O122" s="2" t="n">
        <v>0</v>
      </c>
      <c r="P122" s="2" t="s">
        <v>23</v>
      </c>
      <c r="Q122" s="2" t="s">
        <v>20</v>
      </c>
    </row>
    <row r="123" customFormat="false" ht="15" hidden="false" customHeight="false" outlineLevel="0" collapsed="false">
      <c r="A123" s="2" t="n">
        <v>45</v>
      </c>
      <c r="B123" s="2" t="s">
        <v>34</v>
      </c>
      <c r="C123" s="2" t="s">
        <v>18</v>
      </c>
      <c r="D123" s="2" t="s">
        <v>19</v>
      </c>
      <c r="E123" s="2" t="s">
        <v>20</v>
      </c>
      <c r="F123" s="2" t="n">
        <v>419</v>
      </c>
      <c r="G123" s="2" t="s">
        <v>20</v>
      </c>
      <c r="H123" s="2" t="s">
        <v>20</v>
      </c>
      <c r="I123" s="2" t="s">
        <v>21</v>
      </c>
      <c r="J123" s="2" t="n">
        <v>18</v>
      </c>
      <c r="K123" s="2" t="s">
        <v>41</v>
      </c>
      <c r="L123" s="2" t="n">
        <v>113</v>
      </c>
      <c r="M123" s="2" t="n">
        <v>4</v>
      </c>
      <c r="N123" s="2" t="n">
        <v>-1</v>
      </c>
      <c r="O123" s="2" t="n">
        <v>0</v>
      </c>
      <c r="P123" s="2" t="s">
        <v>23</v>
      </c>
      <c r="Q123" s="2" t="s">
        <v>20</v>
      </c>
    </row>
    <row r="124" customFormat="false" ht="15" hidden="false" customHeight="false" outlineLevel="0" collapsed="false">
      <c r="A124" s="2" t="n">
        <v>32</v>
      </c>
      <c r="B124" s="2" t="s">
        <v>38</v>
      </c>
      <c r="C124" s="2" t="s">
        <v>18</v>
      </c>
      <c r="D124" s="2" t="s">
        <v>25</v>
      </c>
      <c r="E124" s="2" t="s">
        <v>20</v>
      </c>
      <c r="F124" s="2" t="n">
        <v>2693</v>
      </c>
      <c r="G124" s="2" t="s">
        <v>26</v>
      </c>
      <c r="H124" s="2" t="s">
        <v>20</v>
      </c>
      <c r="I124" s="2" t="s">
        <v>23</v>
      </c>
      <c r="J124" s="2" t="n">
        <v>21</v>
      </c>
      <c r="K124" s="2" t="s">
        <v>27</v>
      </c>
      <c r="L124" s="2" t="n">
        <v>16</v>
      </c>
      <c r="M124" s="2" t="n">
        <v>1</v>
      </c>
      <c r="N124" s="2" t="n">
        <v>-1</v>
      </c>
      <c r="O124" s="2" t="n">
        <v>0</v>
      </c>
      <c r="P124" s="2" t="s">
        <v>23</v>
      </c>
      <c r="Q124" s="2" t="s">
        <v>20</v>
      </c>
    </row>
    <row r="125" customFormat="false" ht="15" hidden="false" customHeight="false" outlineLevel="0" collapsed="false">
      <c r="A125" s="2" t="n">
        <v>36</v>
      </c>
      <c r="B125" s="2" t="s">
        <v>34</v>
      </c>
      <c r="C125" s="2" t="s">
        <v>18</v>
      </c>
      <c r="D125" s="2" t="s">
        <v>25</v>
      </c>
      <c r="E125" s="2" t="s">
        <v>20</v>
      </c>
      <c r="F125" s="2" t="n">
        <v>-231</v>
      </c>
      <c r="G125" s="2" t="s">
        <v>20</v>
      </c>
      <c r="H125" s="2" t="s">
        <v>26</v>
      </c>
      <c r="I125" s="2" t="s">
        <v>21</v>
      </c>
      <c r="J125" s="2" t="n">
        <v>15</v>
      </c>
      <c r="K125" s="2" t="s">
        <v>44</v>
      </c>
      <c r="L125" s="2" t="n">
        <v>779</v>
      </c>
      <c r="M125" s="2" t="n">
        <v>2</v>
      </c>
      <c r="N125" s="2" t="n">
        <v>-1</v>
      </c>
      <c r="O125" s="2" t="n">
        <v>0</v>
      </c>
      <c r="P125" s="2" t="s">
        <v>23</v>
      </c>
      <c r="Q125" s="2" t="s">
        <v>20</v>
      </c>
    </row>
    <row r="126" customFormat="false" ht="15" hidden="false" customHeight="false" outlineLevel="0" collapsed="false">
      <c r="A126" s="2" t="n">
        <v>51</v>
      </c>
      <c r="B126" s="2" t="s">
        <v>29</v>
      </c>
      <c r="C126" s="2" t="s">
        <v>30</v>
      </c>
      <c r="D126" s="2" t="s">
        <v>31</v>
      </c>
      <c r="E126" s="2" t="s">
        <v>26</v>
      </c>
      <c r="F126" s="2" t="n">
        <v>-55</v>
      </c>
      <c r="G126" s="2" t="s">
        <v>26</v>
      </c>
      <c r="H126" s="2" t="s">
        <v>20</v>
      </c>
      <c r="I126" s="2" t="s">
        <v>21</v>
      </c>
      <c r="J126" s="2" t="n">
        <v>11</v>
      </c>
      <c r="K126" s="2" t="s">
        <v>27</v>
      </c>
      <c r="L126" s="2" t="n">
        <v>281</v>
      </c>
      <c r="M126" s="2" t="n">
        <v>2</v>
      </c>
      <c r="N126" s="2" t="n">
        <v>266</v>
      </c>
      <c r="O126" s="2" t="n">
        <v>6</v>
      </c>
      <c r="P126" s="2" t="s">
        <v>28</v>
      </c>
      <c r="Q126" s="2" t="s">
        <v>20</v>
      </c>
    </row>
    <row r="127" customFormat="false" ht="15" hidden="false" customHeight="false" outlineLevel="0" collapsed="false">
      <c r="A127" s="2" t="n">
        <v>34</v>
      </c>
      <c r="B127" s="2" t="s">
        <v>36</v>
      </c>
      <c r="C127" s="2" t="s">
        <v>30</v>
      </c>
      <c r="D127" s="2" t="s">
        <v>31</v>
      </c>
      <c r="E127" s="2" t="s">
        <v>20</v>
      </c>
      <c r="F127" s="2" t="n">
        <v>462</v>
      </c>
      <c r="G127" s="2" t="s">
        <v>20</v>
      </c>
      <c r="H127" s="2" t="s">
        <v>20</v>
      </c>
      <c r="I127" s="2" t="s">
        <v>21</v>
      </c>
      <c r="J127" s="2" t="n">
        <v>21</v>
      </c>
      <c r="K127" s="2" t="s">
        <v>41</v>
      </c>
      <c r="L127" s="2" t="n">
        <v>1877</v>
      </c>
      <c r="M127" s="2" t="n">
        <v>3</v>
      </c>
      <c r="N127" s="2" t="n">
        <v>-1</v>
      </c>
      <c r="O127" s="2" t="n">
        <v>0</v>
      </c>
      <c r="P127" s="2" t="s">
        <v>23</v>
      </c>
      <c r="Q127" s="2" t="s">
        <v>26</v>
      </c>
    </row>
    <row r="128" customFormat="false" ht="15" hidden="false" customHeight="false" outlineLevel="0" collapsed="false">
      <c r="A128" s="2" t="n">
        <v>24</v>
      </c>
      <c r="B128" s="2" t="s">
        <v>17</v>
      </c>
      <c r="C128" s="2" t="s">
        <v>30</v>
      </c>
      <c r="D128" s="2" t="s">
        <v>25</v>
      </c>
      <c r="E128" s="2" t="s">
        <v>20</v>
      </c>
      <c r="F128" s="2" t="n">
        <v>119</v>
      </c>
      <c r="G128" s="2" t="s">
        <v>20</v>
      </c>
      <c r="H128" s="2" t="s">
        <v>20</v>
      </c>
      <c r="I128" s="2" t="s">
        <v>23</v>
      </c>
      <c r="J128" s="2" t="n">
        <v>15</v>
      </c>
      <c r="K128" s="2" t="s">
        <v>51</v>
      </c>
      <c r="L128" s="2" t="n">
        <v>51</v>
      </c>
      <c r="M128" s="2" t="n">
        <v>1</v>
      </c>
      <c r="N128" s="2" t="n">
        <v>-1</v>
      </c>
      <c r="O128" s="2" t="n">
        <v>0</v>
      </c>
      <c r="P128" s="2" t="s">
        <v>23</v>
      </c>
      <c r="Q128" s="2" t="s">
        <v>20</v>
      </c>
    </row>
    <row r="129" customFormat="false" ht="15" hidden="false" customHeight="false" outlineLevel="0" collapsed="false">
      <c r="A129" s="2" t="n">
        <v>45</v>
      </c>
      <c r="B129" s="2" t="s">
        <v>38</v>
      </c>
      <c r="C129" s="2" t="s">
        <v>30</v>
      </c>
      <c r="D129" s="2" t="s">
        <v>25</v>
      </c>
      <c r="E129" s="2" t="s">
        <v>20</v>
      </c>
      <c r="F129" s="2" t="n">
        <v>586</v>
      </c>
      <c r="G129" s="2" t="s">
        <v>20</v>
      </c>
      <c r="H129" s="2" t="s">
        <v>26</v>
      </c>
      <c r="I129" s="2" t="s">
        <v>21</v>
      </c>
      <c r="J129" s="2" t="n">
        <v>28</v>
      </c>
      <c r="K129" s="2" t="s">
        <v>44</v>
      </c>
      <c r="L129" s="2" t="n">
        <v>32</v>
      </c>
      <c r="M129" s="2" t="n">
        <v>3</v>
      </c>
      <c r="N129" s="2" t="n">
        <v>-1</v>
      </c>
      <c r="O129" s="2" t="n">
        <v>0</v>
      </c>
      <c r="P129" s="2" t="s">
        <v>23</v>
      </c>
      <c r="Q129" s="2" t="s">
        <v>20</v>
      </c>
    </row>
    <row r="130" customFormat="false" ht="15" hidden="false" customHeight="false" outlineLevel="0" collapsed="false">
      <c r="A130" s="2" t="n">
        <v>32</v>
      </c>
      <c r="B130" s="2" t="s">
        <v>34</v>
      </c>
      <c r="C130" s="2" t="s">
        <v>30</v>
      </c>
      <c r="D130" s="2" t="s">
        <v>25</v>
      </c>
      <c r="E130" s="2" t="s">
        <v>20</v>
      </c>
      <c r="F130" s="2" t="n">
        <v>228</v>
      </c>
      <c r="G130" s="2" t="s">
        <v>20</v>
      </c>
      <c r="H130" s="2" t="s">
        <v>20</v>
      </c>
      <c r="I130" s="2" t="s">
        <v>49</v>
      </c>
      <c r="J130" s="2" t="n">
        <v>5</v>
      </c>
      <c r="K130" s="2" t="s">
        <v>35</v>
      </c>
      <c r="L130" s="2" t="n">
        <v>176</v>
      </c>
      <c r="M130" s="2" t="n">
        <v>1</v>
      </c>
      <c r="N130" s="2" t="n">
        <v>288</v>
      </c>
      <c r="O130" s="2" t="n">
        <v>3</v>
      </c>
      <c r="P130" s="2" t="s">
        <v>28</v>
      </c>
      <c r="Q130" s="2" t="s">
        <v>20</v>
      </c>
    </row>
    <row r="131" customFormat="false" ht="15" hidden="false" customHeight="false" outlineLevel="0" collapsed="false">
      <c r="A131" s="2" t="n">
        <v>77</v>
      </c>
      <c r="B131" s="2" t="s">
        <v>48</v>
      </c>
      <c r="C131" s="2" t="s">
        <v>45</v>
      </c>
      <c r="D131" s="2" t="s">
        <v>31</v>
      </c>
      <c r="E131" s="2" t="s">
        <v>20</v>
      </c>
      <c r="F131" s="2" t="n">
        <v>4659</v>
      </c>
      <c r="G131" s="2" t="s">
        <v>20</v>
      </c>
      <c r="H131" s="2" t="s">
        <v>20</v>
      </c>
      <c r="I131" s="2" t="s">
        <v>21</v>
      </c>
      <c r="J131" s="2" t="n">
        <v>14</v>
      </c>
      <c r="K131" s="2" t="s">
        <v>32</v>
      </c>
      <c r="L131" s="2" t="n">
        <v>161</v>
      </c>
      <c r="M131" s="2" t="n">
        <v>1</v>
      </c>
      <c r="N131" s="2" t="n">
        <v>-1</v>
      </c>
      <c r="O131" s="2" t="n">
        <v>0</v>
      </c>
      <c r="P131" s="2" t="s">
        <v>23</v>
      </c>
      <c r="Q131" s="2" t="s">
        <v>26</v>
      </c>
    </row>
    <row r="132" customFormat="false" ht="15" hidden="false" customHeight="false" outlineLevel="0" collapsed="false">
      <c r="A132" s="2" t="n">
        <v>41</v>
      </c>
      <c r="B132" s="2" t="s">
        <v>34</v>
      </c>
      <c r="C132" s="2" t="s">
        <v>18</v>
      </c>
      <c r="D132" s="2" t="s">
        <v>19</v>
      </c>
      <c r="E132" s="2" t="s">
        <v>20</v>
      </c>
      <c r="F132" s="2" t="n">
        <v>168</v>
      </c>
      <c r="G132" s="2" t="s">
        <v>26</v>
      </c>
      <c r="H132" s="2" t="s">
        <v>20</v>
      </c>
      <c r="I132" s="2" t="s">
        <v>21</v>
      </c>
      <c r="J132" s="2" t="n">
        <v>18</v>
      </c>
      <c r="K132" s="2" t="s">
        <v>46</v>
      </c>
      <c r="L132" s="2" t="n">
        <v>187</v>
      </c>
      <c r="M132" s="2" t="n">
        <v>3</v>
      </c>
      <c r="N132" s="2" t="n">
        <v>-1</v>
      </c>
      <c r="O132" s="2" t="n">
        <v>0</v>
      </c>
      <c r="P132" s="2" t="s">
        <v>23</v>
      </c>
      <c r="Q132" s="2" t="s">
        <v>20</v>
      </c>
    </row>
    <row r="133" customFormat="false" ht="15" hidden="false" customHeight="false" outlineLevel="0" collapsed="false">
      <c r="A133" s="2" t="n">
        <v>37</v>
      </c>
      <c r="B133" s="2" t="s">
        <v>34</v>
      </c>
      <c r="C133" s="2" t="s">
        <v>18</v>
      </c>
      <c r="D133" s="2" t="s">
        <v>19</v>
      </c>
      <c r="E133" s="2" t="s">
        <v>20</v>
      </c>
      <c r="F133" s="2" t="n">
        <v>0</v>
      </c>
      <c r="G133" s="2" t="s">
        <v>26</v>
      </c>
      <c r="H133" s="2" t="s">
        <v>20</v>
      </c>
      <c r="I133" s="2" t="s">
        <v>23</v>
      </c>
      <c r="J133" s="2" t="n">
        <v>26</v>
      </c>
      <c r="K133" s="2" t="s">
        <v>27</v>
      </c>
      <c r="L133" s="2" t="n">
        <v>24</v>
      </c>
      <c r="M133" s="2" t="n">
        <v>1</v>
      </c>
      <c r="N133" s="2" t="n">
        <v>-1</v>
      </c>
      <c r="O133" s="2" t="n">
        <v>0</v>
      </c>
      <c r="P133" s="2" t="s">
        <v>23</v>
      </c>
      <c r="Q133" s="2" t="s">
        <v>20</v>
      </c>
    </row>
    <row r="134" customFormat="false" ht="15" hidden="false" customHeight="false" outlineLevel="0" collapsed="false">
      <c r="A134" s="2" t="n">
        <v>43</v>
      </c>
      <c r="B134" s="2" t="s">
        <v>34</v>
      </c>
      <c r="C134" s="2" t="s">
        <v>18</v>
      </c>
      <c r="D134" s="2" t="s">
        <v>23</v>
      </c>
      <c r="E134" s="2" t="s">
        <v>26</v>
      </c>
      <c r="F134" s="2" t="n">
        <v>-715</v>
      </c>
      <c r="G134" s="2" t="s">
        <v>26</v>
      </c>
      <c r="H134" s="2" t="s">
        <v>20</v>
      </c>
      <c r="I134" s="2" t="s">
        <v>23</v>
      </c>
      <c r="J134" s="2" t="n">
        <v>30</v>
      </c>
      <c r="K134" s="2" t="s">
        <v>27</v>
      </c>
      <c r="L134" s="2" t="n">
        <v>67</v>
      </c>
      <c r="M134" s="2" t="n">
        <v>3</v>
      </c>
      <c r="N134" s="2" t="n">
        <v>-1</v>
      </c>
      <c r="O134" s="2" t="n">
        <v>0</v>
      </c>
      <c r="P134" s="2" t="s">
        <v>23</v>
      </c>
      <c r="Q134" s="2" t="s">
        <v>20</v>
      </c>
    </row>
    <row r="135" customFormat="false" ht="15" hidden="false" customHeight="false" outlineLevel="0" collapsed="false">
      <c r="A135" s="2" t="n">
        <v>48</v>
      </c>
      <c r="B135" s="2" t="s">
        <v>40</v>
      </c>
      <c r="C135" s="2" t="s">
        <v>18</v>
      </c>
      <c r="D135" s="2" t="s">
        <v>23</v>
      </c>
      <c r="E135" s="2" t="s">
        <v>20</v>
      </c>
      <c r="F135" s="2" t="n">
        <v>0</v>
      </c>
      <c r="G135" s="2" t="s">
        <v>26</v>
      </c>
      <c r="H135" s="2" t="s">
        <v>20</v>
      </c>
      <c r="I135" s="2" t="s">
        <v>21</v>
      </c>
      <c r="J135" s="2" t="n">
        <v>8</v>
      </c>
      <c r="K135" s="2" t="s">
        <v>27</v>
      </c>
      <c r="L135" s="2" t="n">
        <v>85</v>
      </c>
      <c r="M135" s="2" t="n">
        <v>1</v>
      </c>
      <c r="N135" s="2" t="n">
        <v>168</v>
      </c>
      <c r="O135" s="2" t="n">
        <v>2</v>
      </c>
      <c r="P135" s="2" t="s">
        <v>28</v>
      </c>
      <c r="Q135" s="2" t="s">
        <v>20</v>
      </c>
    </row>
    <row r="136" customFormat="false" ht="15" hidden="false" customHeight="false" outlineLevel="0" collapsed="false">
      <c r="A136" s="2" t="n">
        <v>27</v>
      </c>
      <c r="B136" s="2" t="s">
        <v>38</v>
      </c>
      <c r="C136" s="2" t="s">
        <v>30</v>
      </c>
      <c r="D136" s="2" t="s">
        <v>25</v>
      </c>
      <c r="E136" s="2" t="s">
        <v>20</v>
      </c>
      <c r="F136" s="2" t="n">
        <v>769</v>
      </c>
      <c r="G136" s="2" t="s">
        <v>26</v>
      </c>
      <c r="H136" s="2" t="s">
        <v>20</v>
      </c>
      <c r="I136" s="2" t="s">
        <v>23</v>
      </c>
      <c r="J136" s="2" t="n">
        <v>9</v>
      </c>
      <c r="K136" s="2" t="s">
        <v>27</v>
      </c>
      <c r="L136" s="2" t="n">
        <v>317</v>
      </c>
      <c r="M136" s="2" t="n">
        <v>2</v>
      </c>
      <c r="N136" s="2" t="n">
        <v>-1</v>
      </c>
      <c r="O136" s="2" t="n">
        <v>0</v>
      </c>
      <c r="P136" s="2" t="s">
        <v>23</v>
      </c>
      <c r="Q136" s="2" t="s">
        <v>20</v>
      </c>
    </row>
    <row r="137" customFormat="false" ht="15" hidden="false" customHeight="false" outlineLevel="0" collapsed="false">
      <c r="A137" s="2" t="n">
        <v>33</v>
      </c>
      <c r="B137" s="2" t="s">
        <v>29</v>
      </c>
      <c r="C137" s="2" t="s">
        <v>30</v>
      </c>
      <c r="D137" s="2" t="s">
        <v>31</v>
      </c>
      <c r="E137" s="2" t="s">
        <v>20</v>
      </c>
      <c r="F137" s="2" t="n">
        <v>0</v>
      </c>
      <c r="G137" s="2" t="s">
        <v>20</v>
      </c>
      <c r="H137" s="2" t="s">
        <v>20</v>
      </c>
      <c r="I137" s="2" t="s">
        <v>21</v>
      </c>
      <c r="J137" s="2" t="n">
        <v>28</v>
      </c>
      <c r="K137" s="2" t="s">
        <v>41</v>
      </c>
      <c r="L137" s="2" t="n">
        <v>236</v>
      </c>
      <c r="M137" s="2" t="n">
        <v>10</v>
      </c>
      <c r="N137" s="2" t="n">
        <v>-1</v>
      </c>
      <c r="O137" s="2" t="n">
        <v>0</v>
      </c>
      <c r="P137" s="2" t="s">
        <v>23</v>
      </c>
      <c r="Q137" s="2" t="s">
        <v>20</v>
      </c>
    </row>
    <row r="138" customFormat="false" ht="15" hidden="false" customHeight="false" outlineLevel="0" collapsed="false">
      <c r="A138" s="2" t="n">
        <v>29</v>
      </c>
      <c r="B138" s="2" t="s">
        <v>40</v>
      </c>
      <c r="C138" s="2" t="s">
        <v>30</v>
      </c>
      <c r="D138" s="2" t="s">
        <v>25</v>
      </c>
      <c r="E138" s="2" t="s">
        <v>20</v>
      </c>
      <c r="F138" s="2" t="n">
        <v>428</v>
      </c>
      <c r="G138" s="2" t="s">
        <v>26</v>
      </c>
      <c r="H138" s="2" t="s">
        <v>26</v>
      </c>
      <c r="I138" s="2" t="s">
        <v>21</v>
      </c>
      <c r="J138" s="2" t="n">
        <v>7</v>
      </c>
      <c r="K138" s="2" t="s">
        <v>27</v>
      </c>
      <c r="L138" s="2" t="n">
        <v>54</v>
      </c>
      <c r="M138" s="2" t="n">
        <v>1</v>
      </c>
      <c r="N138" s="2" t="n">
        <v>345</v>
      </c>
      <c r="O138" s="2" t="n">
        <v>2</v>
      </c>
      <c r="P138" s="2" t="s">
        <v>28</v>
      </c>
      <c r="Q138" s="2" t="s">
        <v>20</v>
      </c>
    </row>
    <row r="139" customFormat="false" ht="15" hidden="false" customHeight="false" outlineLevel="0" collapsed="false">
      <c r="A139" s="2" t="n">
        <v>34</v>
      </c>
      <c r="B139" s="2" t="s">
        <v>29</v>
      </c>
      <c r="C139" s="2" t="s">
        <v>30</v>
      </c>
      <c r="D139" s="2" t="s">
        <v>31</v>
      </c>
      <c r="E139" s="2" t="s">
        <v>20</v>
      </c>
      <c r="F139" s="2" t="n">
        <v>0</v>
      </c>
      <c r="G139" s="2" t="s">
        <v>20</v>
      </c>
      <c r="H139" s="2" t="s">
        <v>20</v>
      </c>
      <c r="I139" s="2" t="s">
        <v>21</v>
      </c>
      <c r="J139" s="2" t="n">
        <v>5</v>
      </c>
      <c r="K139" s="2" t="s">
        <v>35</v>
      </c>
      <c r="L139" s="2" t="n">
        <v>71</v>
      </c>
      <c r="M139" s="2" t="n">
        <v>1</v>
      </c>
      <c r="N139" s="2" t="n">
        <v>-1</v>
      </c>
      <c r="O139" s="2" t="n">
        <v>0</v>
      </c>
      <c r="P139" s="2" t="s">
        <v>23</v>
      </c>
      <c r="Q139" s="2" t="s">
        <v>20</v>
      </c>
    </row>
    <row r="140" customFormat="false" ht="15" hidden="false" customHeight="false" outlineLevel="0" collapsed="false">
      <c r="A140" s="2" t="n">
        <v>52</v>
      </c>
      <c r="B140" s="2" t="s">
        <v>29</v>
      </c>
      <c r="C140" s="2" t="s">
        <v>18</v>
      </c>
      <c r="D140" s="2" t="s">
        <v>31</v>
      </c>
      <c r="E140" s="2" t="s">
        <v>20</v>
      </c>
      <c r="F140" s="2" t="n">
        <v>-970</v>
      </c>
      <c r="G140" s="2" t="s">
        <v>26</v>
      </c>
      <c r="H140" s="2" t="s">
        <v>20</v>
      </c>
      <c r="I140" s="2" t="s">
        <v>21</v>
      </c>
      <c r="J140" s="2" t="n">
        <v>4</v>
      </c>
      <c r="K140" s="2" t="s">
        <v>35</v>
      </c>
      <c r="L140" s="2" t="n">
        <v>489</v>
      </c>
      <c r="M140" s="2" t="n">
        <v>1</v>
      </c>
      <c r="N140" s="2" t="n">
        <v>-1</v>
      </c>
      <c r="O140" s="2" t="n">
        <v>0</v>
      </c>
      <c r="P140" s="2" t="s">
        <v>23</v>
      </c>
      <c r="Q140" s="2" t="s">
        <v>26</v>
      </c>
    </row>
    <row r="141" customFormat="false" ht="15" hidden="false" customHeight="false" outlineLevel="0" collapsed="false">
      <c r="A141" s="2" t="n">
        <v>60</v>
      </c>
      <c r="B141" s="2" t="s">
        <v>29</v>
      </c>
      <c r="C141" s="2" t="s">
        <v>18</v>
      </c>
      <c r="D141" s="2" t="s">
        <v>23</v>
      </c>
      <c r="E141" s="2" t="s">
        <v>20</v>
      </c>
      <c r="F141" s="2" t="n">
        <v>6313</v>
      </c>
      <c r="G141" s="2" t="s">
        <v>20</v>
      </c>
      <c r="H141" s="2" t="s">
        <v>20</v>
      </c>
      <c r="I141" s="2" t="s">
        <v>23</v>
      </c>
      <c r="J141" s="2" t="n">
        <v>19</v>
      </c>
      <c r="K141" s="2" t="s">
        <v>33</v>
      </c>
      <c r="L141" s="2" t="n">
        <v>39</v>
      </c>
      <c r="M141" s="2" t="n">
        <v>2</v>
      </c>
      <c r="N141" s="2" t="n">
        <v>-1</v>
      </c>
      <c r="O141" s="2" t="n">
        <v>0</v>
      </c>
      <c r="P141" s="2" t="s">
        <v>23</v>
      </c>
      <c r="Q141" s="2" t="s">
        <v>20</v>
      </c>
    </row>
    <row r="142" customFormat="false" ht="15" hidden="false" customHeight="false" outlineLevel="0" collapsed="false">
      <c r="A142" s="2" t="n">
        <v>32</v>
      </c>
      <c r="B142" s="2" t="s">
        <v>29</v>
      </c>
      <c r="C142" s="2" t="s">
        <v>45</v>
      </c>
      <c r="D142" s="2" t="s">
        <v>31</v>
      </c>
      <c r="E142" s="2" t="s">
        <v>20</v>
      </c>
      <c r="F142" s="2" t="n">
        <v>948</v>
      </c>
      <c r="G142" s="2" t="s">
        <v>20</v>
      </c>
      <c r="H142" s="2" t="s">
        <v>20</v>
      </c>
      <c r="I142" s="2" t="s">
        <v>21</v>
      </c>
      <c r="J142" s="2" t="n">
        <v>12</v>
      </c>
      <c r="K142" s="2" t="s">
        <v>41</v>
      </c>
      <c r="L142" s="2" t="n">
        <v>204</v>
      </c>
      <c r="M142" s="2" t="n">
        <v>2</v>
      </c>
      <c r="N142" s="2" t="n">
        <v>-1</v>
      </c>
      <c r="O142" s="2" t="n">
        <v>0</v>
      </c>
      <c r="P142" s="2" t="s">
        <v>23</v>
      </c>
      <c r="Q142" s="2" t="s">
        <v>20</v>
      </c>
    </row>
    <row r="143" customFormat="false" ht="15" hidden="false" customHeight="false" outlineLevel="0" collapsed="false">
      <c r="A143" s="2" t="n">
        <v>32</v>
      </c>
      <c r="B143" s="2" t="s">
        <v>29</v>
      </c>
      <c r="C143" s="2" t="s">
        <v>30</v>
      </c>
      <c r="D143" s="2" t="s">
        <v>31</v>
      </c>
      <c r="E143" s="2" t="s">
        <v>20</v>
      </c>
      <c r="F143" s="2" t="n">
        <v>0</v>
      </c>
      <c r="G143" s="2" t="s">
        <v>26</v>
      </c>
      <c r="H143" s="2" t="s">
        <v>20</v>
      </c>
      <c r="I143" s="2" t="s">
        <v>21</v>
      </c>
      <c r="J143" s="2" t="n">
        <v>22</v>
      </c>
      <c r="K143" s="2" t="s">
        <v>44</v>
      </c>
      <c r="L143" s="2" t="n">
        <v>455</v>
      </c>
      <c r="M143" s="2" t="n">
        <v>2</v>
      </c>
      <c r="N143" s="2" t="n">
        <v>-1</v>
      </c>
      <c r="O143" s="2" t="n">
        <v>0</v>
      </c>
      <c r="P143" s="2" t="s">
        <v>23</v>
      </c>
      <c r="Q143" s="2" t="s">
        <v>20</v>
      </c>
    </row>
    <row r="144" customFormat="false" ht="15" hidden="false" customHeight="false" outlineLevel="0" collapsed="false">
      <c r="A144" s="2" t="n">
        <v>56</v>
      </c>
      <c r="B144" s="2" t="s">
        <v>24</v>
      </c>
      <c r="C144" s="2" t="s">
        <v>45</v>
      </c>
      <c r="D144" s="2" t="s">
        <v>23</v>
      </c>
      <c r="E144" s="2" t="s">
        <v>20</v>
      </c>
      <c r="F144" s="2" t="n">
        <v>1877</v>
      </c>
      <c r="G144" s="2" t="s">
        <v>26</v>
      </c>
      <c r="H144" s="2" t="s">
        <v>20</v>
      </c>
      <c r="I144" s="2" t="s">
        <v>23</v>
      </c>
      <c r="J144" s="2" t="n">
        <v>30</v>
      </c>
      <c r="K144" s="2" t="s">
        <v>27</v>
      </c>
      <c r="L144" s="2" t="n">
        <v>86</v>
      </c>
      <c r="M144" s="2" t="n">
        <v>1</v>
      </c>
      <c r="N144" s="2" t="n">
        <v>-1</v>
      </c>
      <c r="O144" s="2" t="n">
        <v>0</v>
      </c>
      <c r="P144" s="2" t="s">
        <v>23</v>
      </c>
      <c r="Q144" s="2" t="s">
        <v>20</v>
      </c>
    </row>
    <row r="145" customFormat="false" ht="15" hidden="false" customHeight="false" outlineLevel="0" collapsed="false">
      <c r="A145" s="2" t="n">
        <v>31</v>
      </c>
      <c r="B145" s="2" t="s">
        <v>29</v>
      </c>
      <c r="C145" s="2" t="s">
        <v>30</v>
      </c>
      <c r="D145" s="2" t="s">
        <v>31</v>
      </c>
      <c r="E145" s="2" t="s">
        <v>20</v>
      </c>
      <c r="F145" s="2" t="n">
        <v>874</v>
      </c>
      <c r="G145" s="2" t="s">
        <v>26</v>
      </c>
      <c r="H145" s="2" t="s">
        <v>20</v>
      </c>
      <c r="I145" s="2" t="s">
        <v>21</v>
      </c>
      <c r="J145" s="2" t="n">
        <v>18</v>
      </c>
      <c r="K145" s="2" t="s">
        <v>46</v>
      </c>
      <c r="L145" s="2" t="n">
        <v>190</v>
      </c>
      <c r="M145" s="2" t="n">
        <v>2</v>
      </c>
      <c r="N145" s="2" t="n">
        <v>-1</v>
      </c>
      <c r="O145" s="2" t="n">
        <v>0</v>
      </c>
      <c r="P145" s="2" t="s">
        <v>23</v>
      </c>
      <c r="Q145" s="2" t="s">
        <v>20</v>
      </c>
    </row>
    <row r="146" customFormat="false" ht="15" hidden="false" customHeight="false" outlineLevel="0" collapsed="false">
      <c r="A146" s="2" t="n">
        <v>42</v>
      </c>
      <c r="B146" s="2" t="s">
        <v>40</v>
      </c>
      <c r="C146" s="2" t="s">
        <v>18</v>
      </c>
      <c r="D146" s="2" t="s">
        <v>25</v>
      </c>
      <c r="E146" s="2" t="s">
        <v>20</v>
      </c>
      <c r="F146" s="2" t="n">
        <v>323</v>
      </c>
      <c r="G146" s="2" t="s">
        <v>26</v>
      </c>
      <c r="H146" s="2" t="s">
        <v>26</v>
      </c>
      <c r="I146" s="2" t="s">
        <v>23</v>
      </c>
      <c r="J146" s="2" t="n">
        <v>8</v>
      </c>
      <c r="K146" s="2" t="s">
        <v>27</v>
      </c>
      <c r="L146" s="2" t="n">
        <v>280</v>
      </c>
      <c r="M146" s="2" t="n">
        <v>2</v>
      </c>
      <c r="N146" s="2" t="n">
        <v>-1</v>
      </c>
      <c r="O146" s="2" t="n">
        <v>0</v>
      </c>
      <c r="P146" s="2" t="s">
        <v>23</v>
      </c>
      <c r="Q146" s="2" t="s">
        <v>20</v>
      </c>
    </row>
    <row r="147" customFormat="false" ht="15" hidden="false" customHeight="false" outlineLevel="0" collapsed="false">
      <c r="A147" s="2" t="n">
        <v>35</v>
      </c>
      <c r="B147" s="2" t="s">
        <v>29</v>
      </c>
      <c r="C147" s="2" t="s">
        <v>18</v>
      </c>
      <c r="D147" s="2" t="s">
        <v>31</v>
      </c>
      <c r="E147" s="2" t="s">
        <v>20</v>
      </c>
      <c r="F147" s="2" t="n">
        <v>106</v>
      </c>
      <c r="G147" s="2" t="s">
        <v>20</v>
      </c>
      <c r="H147" s="2" t="s">
        <v>26</v>
      </c>
      <c r="I147" s="2" t="s">
        <v>21</v>
      </c>
      <c r="J147" s="2" t="n">
        <v>11</v>
      </c>
      <c r="K147" s="2" t="s">
        <v>41</v>
      </c>
      <c r="L147" s="2" t="n">
        <v>588</v>
      </c>
      <c r="M147" s="2" t="n">
        <v>2</v>
      </c>
      <c r="N147" s="2" t="n">
        <v>-1</v>
      </c>
      <c r="O147" s="2" t="n">
        <v>0</v>
      </c>
      <c r="P147" s="2" t="s">
        <v>23</v>
      </c>
      <c r="Q147" s="2" t="s">
        <v>20</v>
      </c>
    </row>
    <row r="148" customFormat="false" ht="15" hidden="false" customHeight="false" outlineLevel="0" collapsed="false">
      <c r="A148" s="2" t="n">
        <v>56</v>
      </c>
      <c r="B148" s="2" t="s">
        <v>48</v>
      </c>
      <c r="C148" s="2" t="s">
        <v>18</v>
      </c>
      <c r="D148" s="2" t="s">
        <v>19</v>
      </c>
      <c r="E148" s="2" t="s">
        <v>20</v>
      </c>
      <c r="F148" s="2" t="n">
        <v>1906</v>
      </c>
      <c r="G148" s="2" t="s">
        <v>20</v>
      </c>
      <c r="H148" s="2" t="s">
        <v>26</v>
      </c>
      <c r="I148" s="2" t="s">
        <v>23</v>
      </c>
      <c r="J148" s="2" t="n">
        <v>19</v>
      </c>
      <c r="K148" s="2" t="s">
        <v>33</v>
      </c>
      <c r="L148" s="2" t="n">
        <v>45</v>
      </c>
      <c r="M148" s="2" t="n">
        <v>9</v>
      </c>
      <c r="N148" s="2" t="n">
        <v>-1</v>
      </c>
      <c r="O148" s="2" t="n">
        <v>0</v>
      </c>
      <c r="P148" s="2" t="s">
        <v>23</v>
      </c>
      <c r="Q148" s="2" t="s">
        <v>20</v>
      </c>
    </row>
    <row r="149" customFormat="false" ht="15" hidden="false" customHeight="false" outlineLevel="0" collapsed="false">
      <c r="A149" s="2" t="n">
        <v>48</v>
      </c>
      <c r="B149" s="2" t="s">
        <v>38</v>
      </c>
      <c r="C149" s="2" t="s">
        <v>18</v>
      </c>
      <c r="D149" s="2" t="s">
        <v>25</v>
      </c>
      <c r="E149" s="2" t="s">
        <v>20</v>
      </c>
      <c r="F149" s="2" t="n">
        <v>1152</v>
      </c>
      <c r="G149" s="2" t="s">
        <v>26</v>
      </c>
      <c r="H149" s="2" t="s">
        <v>20</v>
      </c>
      <c r="I149" s="2" t="s">
        <v>21</v>
      </c>
      <c r="J149" s="2" t="n">
        <v>21</v>
      </c>
      <c r="K149" s="2" t="s">
        <v>44</v>
      </c>
      <c r="L149" s="2" t="n">
        <v>168</v>
      </c>
      <c r="M149" s="2" t="n">
        <v>5</v>
      </c>
      <c r="N149" s="2" t="n">
        <v>-1</v>
      </c>
      <c r="O149" s="2" t="n">
        <v>0</v>
      </c>
      <c r="P149" s="2" t="s">
        <v>23</v>
      </c>
      <c r="Q149" s="2" t="s">
        <v>20</v>
      </c>
    </row>
    <row r="150" customFormat="false" ht="15" hidden="false" customHeight="false" outlineLevel="0" collapsed="false">
      <c r="A150" s="2" t="n">
        <v>46</v>
      </c>
      <c r="B150" s="2" t="s">
        <v>40</v>
      </c>
      <c r="C150" s="2" t="s">
        <v>18</v>
      </c>
      <c r="D150" s="2" t="s">
        <v>25</v>
      </c>
      <c r="E150" s="2" t="s">
        <v>20</v>
      </c>
      <c r="F150" s="2" t="n">
        <v>179</v>
      </c>
      <c r="G150" s="2" t="s">
        <v>26</v>
      </c>
      <c r="H150" s="2" t="s">
        <v>20</v>
      </c>
      <c r="I150" s="2" t="s">
        <v>21</v>
      </c>
      <c r="J150" s="2" t="n">
        <v>29</v>
      </c>
      <c r="K150" s="2" t="s">
        <v>43</v>
      </c>
      <c r="L150" s="2" t="n">
        <v>194</v>
      </c>
      <c r="M150" s="2" t="n">
        <v>4</v>
      </c>
      <c r="N150" s="2" t="n">
        <v>436</v>
      </c>
      <c r="O150" s="2" t="n">
        <v>1</v>
      </c>
      <c r="P150" s="2" t="s">
        <v>37</v>
      </c>
      <c r="Q150" s="2" t="s">
        <v>20</v>
      </c>
    </row>
    <row r="151" customFormat="false" ht="15" hidden="false" customHeight="false" outlineLevel="0" collapsed="false">
      <c r="A151" s="2" t="n">
        <v>37</v>
      </c>
      <c r="B151" s="2" t="s">
        <v>38</v>
      </c>
      <c r="C151" s="2" t="s">
        <v>30</v>
      </c>
      <c r="D151" s="2" t="s">
        <v>23</v>
      </c>
      <c r="E151" s="2" t="s">
        <v>20</v>
      </c>
      <c r="F151" s="2" t="n">
        <v>391</v>
      </c>
      <c r="G151" s="2" t="s">
        <v>26</v>
      </c>
      <c r="H151" s="2" t="s">
        <v>20</v>
      </c>
      <c r="I151" s="2" t="s">
        <v>23</v>
      </c>
      <c r="J151" s="2" t="n">
        <v>8</v>
      </c>
      <c r="K151" s="2" t="s">
        <v>27</v>
      </c>
      <c r="L151" s="2" t="n">
        <v>103</v>
      </c>
      <c r="M151" s="2" t="n">
        <v>3</v>
      </c>
      <c r="N151" s="2" t="n">
        <v>-1</v>
      </c>
      <c r="O151" s="2" t="n">
        <v>0</v>
      </c>
      <c r="P151" s="2" t="s">
        <v>23</v>
      </c>
      <c r="Q151" s="2" t="s">
        <v>20</v>
      </c>
    </row>
    <row r="152" customFormat="false" ht="15" hidden="false" customHeight="false" outlineLevel="0" collapsed="false">
      <c r="A152" s="2" t="n">
        <v>41</v>
      </c>
      <c r="B152" s="2" t="s">
        <v>39</v>
      </c>
      <c r="C152" s="2" t="s">
        <v>18</v>
      </c>
      <c r="D152" s="2" t="s">
        <v>23</v>
      </c>
      <c r="E152" s="2" t="s">
        <v>20</v>
      </c>
      <c r="F152" s="2" t="n">
        <v>89</v>
      </c>
      <c r="G152" s="2" t="s">
        <v>26</v>
      </c>
      <c r="H152" s="2" t="s">
        <v>20</v>
      </c>
      <c r="I152" s="2" t="s">
        <v>23</v>
      </c>
      <c r="J152" s="2" t="n">
        <v>6</v>
      </c>
      <c r="K152" s="2" t="s">
        <v>27</v>
      </c>
      <c r="L152" s="2" t="n">
        <v>333</v>
      </c>
      <c r="M152" s="2" t="n">
        <v>2</v>
      </c>
      <c r="N152" s="2" t="n">
        <v>-1</v>
      </c>
      <c r="O152" s="2" t="n">
        <v>0</v>
      </c>
      <c r="P152" s="2" t="s">
        <v>23</v>
      </c>
      <c r="Q152" s="2" t="s">
        <v>20</v>
      </c>
    </row>
    <row r="153" customFormat="false" ht="15" hidden="false" customHeight="false" outlineLevel="0" collapsed="false">
      <c r="A153" s="2" t="n">
        <v>36</v>
      </c>
      <c r="B153" s="2" t="s">
        <v>29</v>
      </c>
      <c r="C153" s="2" t="s">
        <v>30</v>
      </c>
      <c r="D153" s="2" t="s">
        <v>31</v>
      </c>
      <c r="E153" s="2" t="s">
        <v>20</v>
      </c>
      <c r="F153" s="2" t="n">
        <v>442</v>
      </c>
      <c r="G153" s="2" t="s">
        <v>26</v>
      </c>
      <c r="H153" s="2" t="s">
        <v>26</v>
      </c>
      <c r="I153" s="2" t="s">
        <v>21</v>
      </c>
      <c r="J153" s="2" t="n">
        <v>29</v>
      </c>
      <c r="K153" s="2" t="s">
        <v>44</v>
      </c>
      <c r="L153" s="2" t="n">
        <v>102</v>
      </c>
      <c r="M153" s="2" t="n">
        <v>3</v>
      </c>
      <c r="N153" s="2" t="n">
        <v>-1</v>
      </c>
      <c r="O153" s="2" t="n">
        <v>0</v>
      </c>
      <c r="P153" s="2" t="s">
        <v>23</v>
      </c>
      <c r="Q153" s="2" t="s">
        <v>20</v>
      </c>
    </row>
    <row r="154" customFormat="false" ht="15" hidden="false" customHeight="false" outlineLevel="0" collapsed="false">
      <c r="A154" s="2" t="n">
        <v>45</v>
      </c>
      <c r="B154" s="2" t="s">
        <v>17</v>
      </c>
      <c r="C154" s="2" t="s">
        <v>45</v>
      </c>
      <c r="D154" s="2" t="s">
        <v>19</v>
      </c>
      <c r="E154" s="2" t="s">
        <v>26</v>
      </c>
      <c r="F154" s="2" t="n">
        <v>-249</v>
      </c>
      <c r="G154" s="2" t="s">
        <v>26</v>
      </c>
      <c r="H154" s="2" t="s">
        <v>26</v>
      </c>
      <c r="I154" s="2" t="s">
        <v>23</v>
      </c>
      <c r="J154" s="2" t="n">
        <v>1</v>
      </c>
      <c r="K154" s="2" t="s">
        <v>44</v>
      </c>
      <c r="L154" s="2" t="n">
        <v>92</v>
      </c>
      <c r="M154" s="2" t="n">
        <v>1</v>
      </c>
      <c r="N154" s="2" t="n">
        <v>-1</v>
      </c>
      <c r="O154" s="2" t="n">
        <v>0</v>
      </c>
      <c r="P154" s="2" t="s">
        <v>23</v>
      </c>
      <c r="Q154" s="2" t="s">
        <v>20</v>
      </c>
    </row>
    <row r="155" customFormat="false" ht="15" hidden="false" customHeight="false" outlineLevel="0" collapsed="false">
      <c r="A155" s="2" t="n">
        <v>55</v>
      </c>
      <c r="B155" s="2" t="s">
        <v>39</v>
      </c>
      <c r="C155" s="2" t="s">
        <v>18</v>
      </c>
      <c r="D155" s="2" t="s">
        <v>25</v>
      </c>
      <c r="E155" s="2" t="s">
        <v>20</v>
      </c>
      <c r="F155" s="2" t="n">
        <v>8104</v>
      </c>
      <c r="G155" s="2" t="s">
        <v>20</v>
      </c>
      <c r="H155" s="2" t="s">
        <v>20</v>
      </c>
      <c r="I155" s="2" t="s">
        <v>21</v>
      </c>
      <c r="J155" s="2" t="n">
        <v>6</v>
      </c>
      <c r="K155" s="2" t="s">
        <v>35</v>
      </c>
      <c r="L155" s="2" t="n">
        <v>213</v>
      </c>
      <c r="M155" s="2" t="n">
        <v>2</v>
      </c>
      <c r="N155" s="2" t="n">
        <v>-1</v>
      </c>
      <c r="O155" s="2" t="n">
        <v>0</v>
      </c>
      <c r="P155" s="2" t="s">
        <v>23</v>
      </c>
      <c r="Q155" s="2" t="s">
        <v>20</v>
      </c>
    </row>
    <row r="156" customFormat="false" ht="15" hidden="false" customHeight="false" outlineLevel="0" collapsed="false">
      <c r="A156" s="2" t="n">
        <v>39</v>
      </c>
      <c r="B156" s="2" t="s">
        <v>38</v>
      </c>
      <c r="C156" s="2" t="s">
        <v>18</v>
      </c>
      <c r="D156" s="2" t="s">
        <v>25</v>
      </c>
      <c r="E156" s="2" t="s">
        <v>20</v>
      </c>
      <c r="F156" s="2" t="n">
        <v>501</v>
      </c>
      <c r="G156" s="2" t="s">
        <v>20</v>
      </c>
      <c r="H156" s="2" t="s">
        <v>20</v>
      </c>
      <c r="I156" s="2" t="s">
        <v>23</v>
      </c>
      <c r="J156" s="2" t="n">
        <v>26</v>
      </c>
      <c r="K156" s="2" t="s">
        <v>27</v>
      </c>
      <c r="L156" s="2" t="n">
        <v>289</v>
      </c>
      <c r="M156" s="2" t="n">
        <v>1</v>
      </c>
      <c r="N156" s="2" t="n">
        <v>-1</v>
      </c>
      <c r="O156" s="2" t="n">
        <v>0</v>
      </c>
      <c r="P156" s="2" t="s">
        <v>23</v>
      </c>
      <c r="Q156" s="2" t="s">
        <v>20</v>
      </c>
    </row>
    <row r="157" customFormat="false" ht="15" hidden="false" customHeight="false" outlineLevel="0" collapsed="false">
      <c r="A157" s="2" t="n">
        <v>35</v>
      </c>
      <c r="B157" s="2" t="s">
        <v>38</v>
      </c>
      <c r="C157" s="2" t="s">
        <v>45</v>
      </c>
      <c r="D157" s="2" t="s">
        <v>25</v>
      </c>
      <c r="E157" s="2" t="s">
        <v>20</v>
      </c>
      <c r="F157" s="2" t="n">
        <v>308</v>
      </c>
      <c r="G157" s="2" t="s">
        <v>20</v>
      </c>
      <c r="H157" s="2" t="s">
        <v>20</v>
      </c>
      <c r="I157" s="2" t="s">
        <v>21</v>
      </c>
      <c r="J157" s="2" t="n">
        <v>22</v>
      </c>
      <c r="K157" s="2" t="s">
        <v>41</v>
      </c>
      <c r="L157" s="2" t="n">
        <v>77</v>
      </c>
      <c r="M157" s="2" t="n">
        <v>2</v>
      </c>
      <c r="N157" s="2" t="n">
        <v>-1</v>
      </c>
      <c r="O157" s="2" t="n">
        <v>0</v>
      </c>
      <c r="P157" s="2" t="s">
        <v>23</v>
      </c>
      <c r="Q157" s="2" t="s">
        <v>20</v>
      </c>
    </row>
    <row r="158" customFormat="false" ht="15" hidden="false" customHeight="false" outlineLevel="0" collapsed="false">
      <c r="A158" s="2" t="n">
        <v>55</v>
      </c>
      <c r="B158" s="2" t="s">
        <v>40</v>
      </c>
      <c r="C158" s="2" t="s">
        <v>18</v>
      </c>
      <c r="D158" s="2" t="s">
        <v>25</v>
      </c>
      <c r="E158" s="2" t="s">
        <v>20</v>
      </c>
      <c r="F158" s="2" t="n">
        <v>602</v>
      </c>
      <c r="G158" s="2" t="s">
        <v>20</v>
      </c>
      <c r="H158" s="2" t="s">
        <v>20</v>
      </c>
      <c r="I158" s="2" t="s">
        <v>21</v>
      </c>
      <c r="J158" s="2" t="n">
        <v>1</v>
      </c>
      <c r="K158" s="2" t="s">
        <v>33</v>
      </c>
      <c r="L158" s="2" t="n">
        <v>324</v>
      </c>
      <c r="M158" s="2" t="n">
        <v>3</v>
      </c>
      <c r="N158" s="2" t="n">
        <v>90</v>
      </c>
      <c r="O158" s="2" t="n">
        <v>2</v>
      </c>
      <c r="P158" s="2" t="s">
        <v>50</v>
      </c>
      <c r="Q158" s="2" t="s">
        <v>26</v>
      </c>
    </row>
    <row r="159" customFormat="false" ht="15" hidden="false" customHeight="false" outlineLevel="0" collapsed="false">
      <c r="A159" s="2" t="n">
        <v>55</v>
      </c>
      <c r="B159" s="2" t="s">
        <v>38</v>
      </c>
      <c r="C159" s="2" t="s">
        <v>18</v>
      </c>
      <c r="D159" s="2" t="s">
        <v>25</v>
      </c>
      <c r="E159" s="2" t="s">
        <v>20</v>
      </c>
      <c r="F159" s="2" t="n">
        <v>273</v>
      </c>
      <c r="G159" s="2" t="s">
        <v>26</v>
      </c>
      <c r="H159" s="2" t="s">
        <v>20</v>
      </c>
      <c r="I159" s="2" t="s">
        <v>21</v>
      </c>
      <c r="J159" s="2" t="n">
        <v>29</v>
      </c>
      <c r="K159" s="2" t="s">
        <v>43</v>
      </c>
      <c r="L159" s="2" t="n">
        <v>84</v>
      </c>
      <c r="M159" s="2" t="n">
        <v>3</v>
      </c>
      <c r="N159" s="2" t="n">
        <v>183</v>
      </c>
      <c r="O159" s="2" t="n">
        <v>3</v>
      </c>
      <c r="P159" s="2" t="s">
        <v>28</v>
      </c>
      <c r="Q159" s="2" t="s">
        <v>20</v>
      </c>
    </row>
    <row r="160" customFormat="false" ht="15" hidden="false" customHeight="false" outlineLevel="0" collapsed="false">
      <c r="A160" s="2" t="n">
        <v>27</v>
      </c>
      <c r="B160" s="2" t="s">
        <v>36</v>
      </c>
      <c r="C160" s="2" t="s">
        <v>30</v>
      </c>
      <c r="D160" s="2" t="s">
        <v>25</v>
      </c>
      <c r="E160" s="2" t="s">
        <v>20</v>
      </c>
      <c r="F160" s="2" t="n">
        <v>50</v>
      </c>
      <c r="G160" s="2" t="s">
        <v>20</v>
      </c>
      <c r="H160" s="2" t="s">
        <v>20</v>
      </c>
      <c r="I160" s="2" t="s">
        <v>21</v>
      </c>
      <c r="J160" s="2" t="n">
        <v>29</v>
      </c>
      <c r="K160" s="2" t="s">
        <v>43</v>
      </c>
      <c r="L160" s="2" t="n">
        <v>168</v>
      </c>
      <c r="M160" s="2" t="n">
        <v>1</v>
      </c>
      <c r="N160" s="2" t="n">
        <v>-1</v>
      </c>
      <c r="O160" s="2" t="n">
        <v>0</v>
      </c>
      <c r="P160" s="2" t="s">
        <v>23</v>
      </c>
      <c r="Q160" s="2" t="s">
        <v>20</v>
      </c>
    </row>
    <row r="161" customFormat="false" ht="15" hidden="false" customHeight="false" outlineLevel="0" collapsed="false">
      <c r="A161" s="2" t="n">
        <v>34</v>
      </c>
      <c r="B161" s="2" t="s">
        <v>38</v>
      </c>
      <c r="C161" s="2" t="s">
        <v>18</v>
      </c>
      <c r="D161" s="2" t="s">
        <v>25</v>
      </c>
      <c r="E161" s="2" t="s">
        <v>20</v>
      </c>
      <c r="F161" s="2" t="n">
        <v>1641</v>
      </c>
      <c r="G161" s="2" t="s">
        <v>26</v>
      </c>
      <c r="H161" s="2" t="s">
        <v>20</v>
      </c>
      <c r="I161" s="2" t="s">
        <v>21</v>
      </c>
      <c r="J161" s="2" t="n">
        <v>17</v>
      </c>
      <c r="K161" s="2" t="s">
        <v>32</v>
      </c>
      <c r="L161" s="2" t="n">
        <v>380</v>
      </c>
      <c r="M161" s="2" t="n">
        <v>1</v>
      </c>
      <c r="N161" s="2" t="n">
        <v>-1</v>
      </c>
      <c r="O161" s="2" t="n">
        <v>0</v>
      </c>
      <c r="P161" s="2" t="s">
        <v>23</v>
      </c>
      <c r="Q161" s="2" t="s">
        <v>20</v>
      </c>
    </row>
    <row r="162" customFormat="false" ht="15" hidden="false" customHeight="false" outlineLevel="0" collapsed="false">
      <c r="A162" s="2" t="n">
        <v>34</v>
      </c>
      <c r="B162" s="2" t="s">
        <v>34</v>
      </c>
      <c r="C162" s="2" t="s">
        <v>18</v>
      </c>
      <c r="D162" s="2" t="s">
        <v>31</v>
      </c>
      <c r="E162" s="2" t="s">
        <v>20</v>
      </c>
      <c r="F162" s="2" t="n">
        <v>20</v>
      </c>
      <c r="G162" s="2" t="s">
        <v>20</v>
      </c>
      <c r="H162" s="2" t="s">
        <v>20</v>
      </c>
      <c r="I162" s="2" t="s">
        <v>23</v>
      </c>
      <c r="J162" s="2" t="n">
        <v>4</v>
      </c>
      <c r="K162" s="2" t="s">
        <v>22</v>
      </c>
      <c r="L162" s="2" t="n">
        <v>10</v>
      </c>
      <c r="M162" s="2" t="n">
        <v>1</v>
      </c>
      <c r="N162" s="2" t="n">
        <v>-1</v>
      </c>
      <c r="O162" s="2" t="n">
        <v>0</v>
      </c>
      <c r="P162" s="2" t="s">
        <v>23</v>
      </c>
      <c r="Q162" s="2" t="s">
        <v>20</v>
      </c>
    </row>
    <row r="163" customFormat="false" ht="15" hidden="false" customHeight="false" outlineLevel="0" collapsed="false">
      <c r="A163" s="2" t="n">
        <v>25</v>
      </c>
      <c r="B163" s="2" t="s">
        <v>40</v>
      </c>
      <c r="C163" s="2" t="s">
        <v>30</v>
      </c>
      <c r="D163" s="2" t="s">
        <v>25</v>
      </c>
      <c r="E163" s="2" t="s">
        <v>20</v>
      </c>
      <c r="F163" s="2" t="n">
        <v>4590</v>
      </c>
      <c r="G163" s="2" t="s">
        <v>26</v>
      </c>
      <c r="H163" s="2" t="s">
        <v>20</v>
      </c>
      <c r="I163" s="2" t="s">
        <v>23</v>
      </c>
      <c r="J163" s="2" t="n">
        <v>28</v>
      </c>
      <c r="K163" s="2" t="s">
        <v>27</v>
      </c>
      <c r="L163" s="2" t="n">
        <v>199</v>
      </c>
      <c r="M163" s="2" t="n">
        <v>2</v>
      </c>
      <c r="N163" s="2" t="n">
        <v>-1</v>
      </c>
      <c r="O163" s="2" t="n">
        <v>0</v>
      </c>
      <c r="P163" s="2" t="s">
        <v>23</v>
      </c>
      <c r="Q163" s="2" t="s">
        <v>20</v>
      </c>
    </row>
    <row r="164" customFormat="false" ht="15" hidden="false" customHeight="false" outlineLevel="0" collapsed="false">
      <c r="A164" s="2" t="n">
        <v>41</v>
      </c>
      <c r="B164" s="2" t="s">
        <v>40</v>
      </c>
      <c r="C164" s="2" t="s">
        <v>30</v>
      </c>
      <c r="D164" s="2" t="s">
        <v>25</v>
      </c>
      <c r="E164" s="2" t="s">
        <v>20</v>
      </c>
      <c r="F164" s="2" t="n">
        <v>-256</v>
      </c>
      <c r="G164" s="2" t="s">
        <v>20</v>
      </c>
      <c r="H164" s="2" t="s">
        <v>26</v>
      </c>
      <c r="I164" s="2" t="s">
        <v>23</v>
      </c>
      <c r="J164" s="2" t="n">
        <v>9</v>
      </c>
      <c r="K164" s="2" t="s">
        <v>27</v>
      </c>
      <c r="L164" s="2" t="n">
        <v>35</v>
      </c>
      <c r="M164" s="2" t="n">
        <v>3</v>
      </c>
      <c r="N164" s="2" t="n">
        <v>-1</v>
      </c>
      <c r="O164" s="2" t="n">
        <v>0</v>
      </c>
      <c r="P164" s="2" t="s">
        <v>23</v>
      </c>
      <c r="Q164" s="2" t="s">
        <v>20</v>
      </c>
    </row>
    <row r="165" customFormat="false" ht="15" hidden="false" customHeight="false" outlineLevel="0" collapsed="false">
      <c r="A165" s="2" t="n">
        <v>43</v>
      </c>
      <c r="B165" s="2" t="s">
        <v>24</v>
      </c>
      <c r="C165" s="2" t="s">
        <v>18</v>
      </c>
      <c r="D165" s="2" t="s">
        <v>25</v>
      </c>
      <c r="E165" s="2" t="s">
        <v>20</v>
      </c>
      <c r="F165" s="2" t="n">
        <v>978</v>
      </c>
      <c r="G165" s="2" t="s">
        <v>26</v>
      </c>
      <c r="H165" s="2" t="s">
        <v>26</v>
      </c>
      <c r="I165" s="2" t="s">
        <v>23</v>
      </c>
      <c r="J165" s="2" t="n">
        <v>26</v>
      </c>
      <c r="K165" s="2" t="s">
        <v>27</v>
      </c>
      <c r="L165" s="2" t="n">
        <v>82</v>
      </c>
      <c r="M165" s="2" t="n">
        <v>2</v>
      </c>
      <c r="N165" s="2" t="n">
        <v>-1</v>
      </c>
      <c r="O165" s="2" t="n">
        <v>0</v>
      </c>
      <c r="P165" s="2" t="s">
        <v>23</v>
      </c>
      <c r="Q165" s="2" t="s">
        <v>20</v>
      </c>
    </row>
    <row r="166" customFormat="false" ht="15" hidden="false" customHeight="false" outlineLevel="0" collapsed="false">
      <c r="A166" s="2" t="n">
        <v>28</v>
      </c>
      <c r="B166" s="2" t="s">
        <v>29</v>
      </c>
      <c r="C166" s="2" t="s">
        <v>30</v>
      </c>
      <c r="D166" s="2" t="s">
        <v>31</v>
      </c>
      <c r="E166" s="2" t="s">
        <v>20</v>
      </c>
      <c r="F166" s="2" t="n">
        <v>80</v>
      </c>
      <c r="G166" s="2" t="s">
        <v>20</v>
      </c>
      <c r="H166" s="2" t="s">
        <v>20</v>
      </c>
      <c r="I166" s="2" t="s">
        <v>21</v>
      </c>
      <c r="J166" s="2" t="n">
        <v>20</v>
      </c>
      <c r="K166" s="2" t="s">
        <v>22</v>
      </c>
      <c r="L166" s="2" t="n">
        <v>676</v>
      </c>
      <c r="M166" s="2" t="n">
        <v>2</v>
      </c>
      <c r="N166" s="2" t="n">
        <v>146</v>
      </c>
      <c r="O166" s="2" t="n">
        <v>2</v>
      </c>
      <c r="P166" s="2" t="s">
        <v>28</v>
      </c>
      <c r="Q166" s="2" t="s">
        <v>26</v>
      </c>
    </row>
    <row r="167" customFormat="false" ht="15" hidden="false" customHeight="false" outlineLevel="0" collapsed="false">
      <c r="A167" s="2" t="n">
        <v>31</v>
      </c>
      <c r="B167" s="2" t="s">
        <v>40</v>
      </c>
      <c r="C167" s="2" t="s">
        <v>30</v>
      </c>
      <c r="D167" s="2" t="s">
        <v>25</v>
      </c>
      <c r="E167" s="2" t="s">
        <v>20</v>
      </c>
      <c r="F167" s="2" t="n">
        <v>2104</v>
      </c>
      <c r="G167" s="2" t="s">
        <v>26</v>
      </c>
      <c r="H167" s="2" t="s">
        <v>20</v>
      </c>
      <c r="I167" s="2" t="s">
        <v>23</v>
      </c>
      <c r="J167" s="2" t="n">
        <v>3</v>
      </c>
      <c r="K167" s="2" t="s">
        <v>33</v>
      </c>
      <c r="L167" s="2" t="n">
        <v>455</v>
      </c>
      <c r="M167" s="2" t="n">
        <v>1</v>
      </c>
      <c r="N167" s="2" t="n">
        <v>-1</v>
      </c>
      <c r="O167" s="2" t="n">
        <v>0</v>
      </c>
      <c r="P167" s="2" t="s">
        <v>23</v>
      </c>
      <c r="Q167" s="2" t="s">
        <v>20</v>
      </c>
    </row>
    <row r="168" customFormat="false" ht="15" hidden="false" customHeight="false" outlineLevel="0" collapsed="false">
      <c r="A168" s="2" t="n">
        <v>78</v>
      </c>
      <c r="B168" s="2" t="s">
        <v>47</v>
      </c>
      <c r="C168" s="2" t="s">
        <v>18</v>
      </c>
      <c r="D168" s="2" t="s">
        <v>25</v>
      </c>
      <c r="E168" s="2" t="s">
        <v>20</v>
      </c>
      <c r="F168" s="2" t="n">
        <v>499</v>
      </c>
      <c r="G168" s="2" t="s">
        <v>20</v>
      </c>
      <c r="H168" s="2" t="s">
        <v>20</v>
      </c>
      <c r="I168" s="2" t="s">
        <v>49</v>
      </c>
      <c r="J168" s="2" t="n">
        <v>16</v>
      </c>
      <c r="K168" s="2" t="s">
        <v>52</v>
      </c>
      <c r="L168" s="2" t="n">
        <v>80</v>
      </c>
      <c r="M168" s="2" t="n">
        <v>4</v>
      </c>
      <c r="N168" s="2" t="n">
        <v>-1</v>
      </c>
      <c r="O168" s="2" t="n">
        <v>0</v>
      </c>
      <c r="P168" s="2" t="s">
        <v>23</v>
      </c>
      <c r="Q168" s="2" t="s">
        <v>20</v>
      </c>
    </row>
    <row r="169" customFormat="false" ht="15" hidden="false" customHeight="false" outlineLevel="0" collapsed="false">
      <c r="A169" s="2" t="n">
        <v>45</v>
      </c>
      <c r="B169" s="2" t="s">
        <v>34</v>
      </c>
      <c r="C169" s="2" t="s">
        <v>45</v>
      </c>
      <c r="D169" s="2" t="s">
        <v>25</v>
      </c>
      <c r="E169" s="2" t="s">
        <v>20</v>
      </c>
      <c r="F169" s="2" t="n">
        <v>1269</v>
      </c>
      <c r="G169" s="2" t="s">
        <v>26</v>
      </c>
      <c r="H169" s="2" t="s">
        <v>20</v>
      </c>
      <c r="I169" s="2" t="s">
        <v>21</v>
      </c>
      <c r="J169" s="2" t="n">
        <v>29</v>
      </c>
      <c r="K169" s="2" t="s">
        <v>43</v>
      </c>
      <c r="L169" s="2" t="n">
        <v>549</v>
      </c>
      <c r="M169" s="2" t="n">
        <v>2</v>
      </c>
      <c r="N169" s="2" t="n">
        <v>-1</v>
      </c>
      <c r="O169" s="2" t="n">
        <v>0</v>
      </c>
      <c r="P169" s="2" t="s">
        <v>23</v>
      </c>
      <c r="Q169" s="2" t="s">
        <v>20</v>
      </c>
    </row>
    <row r="170" customFormat="false" ht="15" hidden="false" customHeight="false" outlineLevel="0" collapsed="false">
      <c r="A170" s="2" t="n">
        <v>48</v>
      </c>
      <c r="B170" s="2" t="s">
        <v>38</v>
      </c>
      <c r="C170" s="2" t="s">
        <v>18</v>
      </c>
      <c r="D170" s="2" t="s">
        <v>31</v>
      </c>
      <c r="E170" s="2" t="s">
        <v>20</v>
      </c>
      <c r="F170" s="2" t="n">
        <v>310</v>
      </c>
      <c r="G170" s="2" t="s">
        <v>20</v>
      </c>
      <c r="H170" s="2" t="s">
        <v>20</v>
      </c>
      <c r="I170" s="2" t="s">
        <v>23</v>
      </c>
      <c r="J170" s="2" t="n">
        <v>6</v>
      </c>
      <c r="K170" s="2" t="s">
        <v>27</v>
      </c>
      <c r="L170" s="2" t="n">
        <v>135</v>
      </c>
      <c r="M170" s="2" t="n">
        <v>1</v>
      </c>
      <c r="N170" s="2" t="n">
        <v>-1</v>
      </c>
      <c r="O170" s="2" t="n">
        <v>0</v>
      </c>
      <c r="P170" s="2" t="s">
        <v>23</v>
      </c>
      <c r="Q170" s="2" t="s">
        <v>20</v>
      </c>
    </row>
    <row r="171" customFormat="false" ht="15" hidden="false" customHeight="false" outlineLevel="0" collapsed="false">
      <c r="A171" s="2" t="n">
        <v>32</v>
      </c>
      <c r="B171" s="2" t="s">
        <v>34</v>
      </c>
      <c r="C171" s="2" t="s">
        <v>30</v>
      </c>
      <c r="D171" s="2" t="s">
        <v>25</v>
      </c>
      <c r="E171" s="2" t="s">
        <v>20</v>
      </c>
      <c r="F171" s="2" t="n">
        <v>1143</v>
      </c>
      <c r="G171" s="2" t="s">
        <v>26</v>
      </c>
      <c r="H171" s="2" t="s">
        <v>26</v>
      </c>
      <c r="I171" s="2" t="s">
        <v>21</v>
      </c>
      <c r="J171" s="2" t="n">
        <v>10</v>
      </c>
      <c r="K171" s="2" t="s">
        <v>44</v>
      </c>
      <c r="L171" s="2" t="n">
        <v>412</v>
      </c>
      <c r="M171" s="2" t="n">
        <v>1</v>
      </c>
      <c r="N171" s="2" t="n">
        <v>-1</v>
      </c>
      <c r="O171" s="2" t="n">
        <v>0</v>
      </c>
      <c r="P171" s="2" t="s">
        <v>23</v>
      </c>
      <c r="Q171" s="2" t="s">
        <v>20</v>
      </c>
    </row>
    <row r="172" customFormat="false" ht="15" hidden="false" customHeight="false" outlineLevel="0" collapsed="false">
      <c r="A172" s="2" t="n">
        <v>42</v>
      </c>
      <c r="B172" s="2" t="s">
        <v>38</v>
      </c>
      <c r="C172" s="2" t="s">
        <v>18</v>
      </c>
      <c r="D172" s="2" t="s">
        <v>25</v>
      </c>
      <c r="E172" s="2" t="s">
        <v>20</v>
      </c>
      <c r="F172" s="2" t="n">
        <v>2980</v>
      </c>
      <c r="G172" s="2" t="s">
        <v>20</v>
      </c>
      <c r="H172" s="2" t="s">
        <v>20</v>
      </c>
      <c r="I172" s="2" t="s">
        <v>23</v>
      </c>
      <c r="J172" s="2" t="n">
        <v>20</v>
      </c>
      <c r="K172" s="2" t="s">
        <v>33</v>
      </c>
      <c r="L172" s="2" t="n">
        <v>101</v>
      </c>
      <c r="M172" s="2" t="n">
        <v>3</v>
      </c>
      <c r="N172" s="2" t="n">
        <v>-1</v>
      </c>
      <c r="O172" s="2" t="n">
        <v>0</v>
      </c>
      <c r="P172" s="2" t="s">
        <v>23</v>
      </c>
      <c r="Q172" s="2" t="s">
        <v>20</v>
      </c>
    </row>
    <row r="173" customFormat="false" ht="15" hidden="false" customHeight="false" outlineLevel="0" collapsed="false">
      <c r="A173" s="2" t="n">
        <v>37</v>
      </c>
      <c r="B173" s="2" t="s">
        <v>29</v>
      </c>
      <c r="C173" s="2" t="s">
        <v>30</v>
      </c>
      <c r="D173" s="2" t="s">
        <v>31</v>
      </c>
      <c r="E173" s="2" t="s">
        <v>20</v>
      </c>
      <c r="F173" s="2" t="n">
        <v>37</v>
      </c>
      <c r="G173" s="2" t="s">
        <v>20</v>
      </c>
      <c r="H173" s="2" t="s">
        <v>20</v>
      </c>
      <c r="I173" s="2" t="s">
        <v>21</v>
      </c>
      <c r="J173" s="2" t="n">
        <v>28</v>
      </c>
      <c r="K173" s="2" t="s">
        <v>43</v>
      </c>
      <c r="L173" s="2" t="n">
        <v>253</v>
      </c>
      <c r="M173" s="2" t="n">
        <v>2</v>
      </c>
      <c r="N173" s="2" t="n">
        <v>-1</v>
      </c>
      <c r="O173" s="2" t="n">
        <v>0</v>
      </c>
      <c r="P173" s="2" t="s">
        <v>23</v>
      </c>
      <c r="Q173" s="2" t="s">
        <v>20</v>
      </c>
    </row>
    <row r="174" customFormat="false" ht="15" hidden="false" customHeight="false" outlineLevel="0" collapsed="false">
      <c r="A174" s="2" t="n">
        <v>40</v>
      </c>
      <c r="B174" s="2" t="s">
        <v>40</v>
      </c>
      <c r="C174" s="2" t="s">
        <v>30</v>
      </c>
      <c r="D174" s="2" t="s">
        <v>25</v>
      </c>
      <c r="E174" s="2" t="s">
        <v>20</v>
      </c>
      <c r="F174" s="2" t="n">
        <v>462</v>
      </c>
      <c r="G174" s="2" t="s">
        <v>26</v>
      </c>
      <c r="H174" s="2" t="s">
        <v>26</v>
      </c>
      <c r="I174" s="2" t="s">
        <v>21</v>
      </c>
      <c r="J174" s="2" t="n">
        <v>6</v>
      </c>
      <c r="K174" s="2" t="s">
        <v>32</v>
      </c>
      <c r="L174" s="2" t="n">
        <v>272</v>
      </c>
      <c r="M174" s="2" t="n">
        <v>1</v>
      </c>
      <c r="N174" s="2" t="n">
        <v>335</v>
      </c>
      <c r="O174" s="2" t="n">
        <v>4</v>
      </c>
      <c r="P174" s="2" t="s">
        <v>37</v>
      </c>
      <c r="Q174" s="2" t="s">
        <v>20</v>
      </c>
    </row>
    <row r="175" customFormat="false" ht="15" hidden="false" customHeight="false" outlineLevel="0" collapsed="false">
      <c r="A175" s="2" t="n">
        <v>32</v>
      </c>
      <c r="B175" s="2" t="s">
        <v>40</v>
      </c>
      <c r="C175" s="2" t="s">
        <v>18</v>
      </c>
      <c r="D175" s="2" t="s">
        <v>25</v>
      </c>
      <c r="E175" s="2" t="s">
        <v>20</v>
      </c>
      <c r="F175" s="2" t="n">
        <v>1031</v>
      </c>
      <c r="G175" s="2" t="s">
        <v>26</v>
      </c>
      <c r="H175" s="2" t="s">
        <v>20</v>
      </c>
      <c r="I175" s="2" t="s">
        <v>21</v>
      </c>
      <c r="J175" s="2" t="n">
        <v>17</v>
      </c>
      <c r="K175" s="2" t="s">
        <v>44</v>
      </c>
      <c r="L175" s="2" t="n">
        <v>84</v>
      </c>
      <c r="M175" s="2" t="n">
        <v>1</v>
      </c>
      <c r="N175" s="2" t="n">
        <v>-1</v>
      </c>
      <c r="O175" s="2" t="n">
        <v>0</v>
      </c>
      <c r="P175" s="2" t="s">
        <v>23</v>
      </c>
      <c r="Q175" s="2" t="s">
        <v>20</v>
      </c>
    </row>
    <row r="176" customFormat="false" ht="15" hidden="false" customHeight="false" outlineLevel="0" collapsed="false">
      <c r="A176" s="2" t="n">
        <v>42</v>
      </c>
      <c r="B176" s="2" t="s">
        <v>29</v>
      </c>
      <c r="C176" s="2" t="s">
        <v>18</v>
      </c>
      <c r="D176" s="2" t="s">
        <v>31</v>
      </c>
      <c r="E176" s="2" t="s">
        <v>20</v>
      </c>
      <c r="F176" s="2" t="n">
        <v>9009</v>
      </c>
      <c r="G176" s="2" t="s">
        <v>20</v>
      </c>
      <c r="H176" s="2" t="s">
        <v>20</v>
      </c>
      <c r="I176" s="2" t="s">
        <v>21</v>
      </c>
      <c r="J176" s="2" t="n">
        <v>20</v>
      </c>
      <c r="K176" s="2" t="s">
        <v>46</v>
      </c>
      <c r="L176" s="2" t="n">
        <v>135</v>
      </c>
      <c r="M176" s="2" t="n">
        <v>2</v>
      </c>
      <c r="N176" s="2" t="n">
        <v>-1</v>
      </c>
      <c r="O176" s="2" t="n">
        <v>0</v>
      </c>
      <c r="P176" s="2" t="s">
        <v>23</v>
      </c>
      <c r="Q176" s="2" t="s">
        <v>20</v>
      </c>
    </row>
    <row r="177" customFormat="false" ht="15" hidden="false" customHeight="false" outlineLevel="0" collapsed="false">
      <c r="A177" s="2" t="n">
        <v>43</v>
      </c>
      <c r="B177" s="2" t="s">
        <v>40</v>
      </c>
      <c r="C177" s="2" t="s">
        <v>18</v>
      </c>
      <c r="D177" s="2" t="s">
        <v>25</v>
      </c>
      <c r="E177" s="2" t="s">
        <v>20</v>
      </c>
      <c r="F177" s="2" t="n">
        <v>-465</v>
      </c>
      <c r="G177" s="2" t="s">
        <v>26</v>
      </c>
      <c r="H177" s="2" t="s">
        <v>26</v>
      </c>
      <c r="I177" s="2" t="s">
        <v>21</v>
      </c>
      <c r="J177" s="2" t="n">
        <v>23</v>
      </c>
      <c r="K177" s="2" t="s">
        <v>44</v>
      </c>
      <c r="L177" s="2" t="n">
        <v>166</v>
      </c>
      <c r="M177" s="2" t="n">
        <v>1</v>
      </c>
      <c r="N177" s="2" t="n">
        <v>-1</v>
      </c>
      <c r="O177" s="2" t="n">
        <v>0</v>
      </c>
      <c r="P177" s="2" t="s">
        <v>23</v>
      </c>
      <c r="Q177" s="2" t="s">
        <v>20</v>
      </c>
    </row>
    <row r="178" customFormat="false" ht="15" hidden="false" customHeight="false" outlineLevel="0" collapsed="false">
      <c r="A178" s="2" t="n">
        <v>44</v>
      </c>
      <c r="B178" s="2" t="s">
        <v>40</v>
      </c>
      <c r="C178" s="2" t="s">
        <v>18</v>
      </c>
      <c r="D178" s="2" t="s">
        <v>25</v>
      </c>
      <c r="E178" s="2" t="s">
        <v>20</v>
      </c>
      <c r="F178" s="2" t="n">
        <v>5181</v>
      </c>
      <c r="G178" s="2" t="s">
        <v>26</v>
      </c>
      <c r="H178" s="2" t="s">
        <v>26</v>
      </c>
      <c r="I178" s="2" t="s">
        <v>21</v>
      </c>
      <c r="J178" s="2" t="n">
        <v>31</v>
      </c>
      <c r="K178" s="2" t="s">
        <v>44</v>
      </c>
      <c r="L178" s="2" t="n">
        <v>18</v>
      </c>
      <c r="M178" s="2" t="n">
        <v>7</v>
      </c>
      <c r="N178" s="2" t="n">
        <v>-1</v>
      </c>
      <c r="O178" s="2" t="n">
        <v>0</v>
      </c>
      <c r="P178" s="2" t="s">
        <v>23</v>
      </c>
      <c r="Q178" s="2" t="s">
        <v>20</v>
      </c>
    </row>
    <row r="179" customFormat="false" ht="15" hidden="false" customHeight="false" outlineLevel="0" collapsed="false">
      <c r="A179" s="2" t="n">
        <v>37</v>
      </c>
      <c r="B179" s="2" t="s">
        <v>40</v>
      </c>
      <c r="C179" s="2" t="s">
        <v>18</v>
      </c>
      <c r="D179" s="2" t="s">
        <v>25</v>
      </c>
      <c r="E179" s="2" t="s">
        <v>20</v>
      </c>
      <c r="F179" s="2" t="n">
        <v>176</v>
      </c>
      <c r="G179" s="2" t="s">
        <v>26</v>
      </c>
      <c r="H179" s="2" t="s">
        <v>20</v>
      </c>
      <c r="I179" s="2" t="s">
        <v>21</v>
      </c>
      <c r="J179" s="2" t="n">
        <v>5</v>
      </c>
      <c r="K179" s="2" t="s">
        <v>27</v>
      </c>
      <c r="L179" s="2" t="n">
        <v>147</v>
      </c>
      <c r="M179" s="2" t="n">
        <v>2</v>
      </c>
      <c r="N179" s="2" t="n">
        <v>347</v>
      </c>
      <c r="O179" s="2" t="n">
        <v>1</v>
      </c>
      <c r="P179" s="2" t="s">
        <v>28</v>
      </c>
      <c r="Q179" s="2" t="s">
        <v>20</v>
      </c>
    </row>
    <row r="180" customFormat="false" ht="15" hidden="false" customHeight="false" outlineLevel="0" collapsed="false">
      <c r="A180" s="2" t="n">
        <v>37</v>
      </c>
      <c r="B180" s="2" t="s">
        <v>23</v>
      </c>
      <c r="C180" s="2" t="s">
        <v>18</v>
      </c>
      <c r="D180" s="2" t="s">
        <v>23</v>
      </c>
      <c r="E180" s="2" t="s">
        <v>20</v>
      </c>
      <c r="F180" s="2" t="n">
        <v>1699</v>
      </c>
      <c r="G180" s="2" t="s">
        <v>20</v>
      </c>
      <c r="H180" s="2" t="s">
        <v>20</v>
      </c>
      <c r="I180" s="2" t="s">
        <v>23</v>
      </c>
      <c r="J180" s="2" t="n">
        <v>9</v>
      </c>
      <c r="K180" s="2" t="s">
        <v>33</v>
      </c>
      <c r="L180" s="2" t="n">
        <v>63</v>
      </c>
      <c r="M180" s="2" t="n">
        <v>1</v>
      </c>
      <c r="N180" s="2" t="n">
        <v>-1</v>
      </c>
      <c r="O180" s="2" t="n">
        <v>0</v>
      </c>
      <c r="P180" s="2" t="s">
        <v>23</v>
      </c>
      <c r="Q180" s="2" t="s">
        <v>20</v>
      </c>
    </row>
    <row r="181" customFormat="false" ht="15" hidden="false" customHeight="false" outlineLevel="0" collapsed="false">
      <c r="A181" s="2" t="n">
        <v>37</v>
      </c>
      <c r="B181" s="2" t="s">
        <v>40</v>
      </c>
      <c r="C181" s="2" t="s">
        <v>18</v>
      </c>
      <c r="D181" s="2" t="s">
        <v>31</v>
      </c>
      <c r="E181" s="2" t="s">
        <v>20</v>
      </c>
      <c r="F181" s="2" t="n">
        <v>0</v>
      </c>
      <c r="G181" s="2" t="s">
        <v>26</v>
      </c>
      <c r="H181" s="2" t="s">
        <v>20</v>
      </c>
      <c r="I181" s="2" t="s">
        <v>21</v>
      </c>
      <c r="J181" s="2" t="n">
        <v>17</v>
      </c>
      <c r="K181" s="2" t="s">
        <v>46</v>
      </c>
      <c r="L181" s="2" t="n">
        <v>65</v>
      </c>
      <c r="M181" s="2" t="n">
        <v>2</v>
      </c>
      <c r="N181" s="2" t="n">
        <v>119</v>
      </c>
      <c r="O181" s="2" t="n">
        <v>1</v>
      </c>
      <c r="P181" s="2" t="s">
        <v>28</v>
      </c>
      <c r="Q181" s="2" t="s">
        <v>20</v>
      </c>
    </row>
    <row r="182" customFormat="false" ht="15" hidden="false" customHeight="false" outlineLevel="0" collapsed="false">
      <c r="A182" s="2" t="n">
        <v>28</v>
      </c>
      <c r="B182" s="2" t="s">
        <v>38</v>
      </c>
      <c r="C182" s="2" t="s">
        <v>30</v>
      </c>
      <c r="D182" s="2" t="s">
        <v>31</v>
      </c>
      <c r="E182" s="2" t="s">
        <v>20</v>
      </c>
      <c r="F182" s="2" t="n">
        <v>172</v>
      </c>
      <c r="G182" s="2" t="s">
        <v>26</v>
      </c>
      <c r="H182" s="2" t="s">
        <v>26</v>
      </c>
      <c r="I182" s="2" t="s">
        <v>21</v>
      </c>
      <c r="J182" s="2" t="n">
        <v>2</v>
      </c>
      <c r="K182" s="2" t="s">
        <v>35</v>
      </c>
      <c r="L182" s="2" t="n">
        <v>194</v>
      </c>
      <c r="M182" s="2" t="n">
        <v>2</v>
      </c>
      <c r="N182" s="2" t="n">
        <v>-1</v>
      </c>
      <c r="O182" s="2" t="n">
        <v>0</v>
      </c>
      <c r="P182" s="2" t="s">
        <v>23</v>
      </c>
      <c r="Q182" s="2" t="s">
        <v>20</v>
      </c>
    </row>
    <row r="183" customFormat="false" ht="15" hidden="false" customHeight="false" outlineLevel="0" collapsed="false">
      <c r="A183" s="2" t="n">
        <v>32</v>
      </c>
      <c r="B183" s="2" t="s">
        <v>24</v>
      </c>
      <c r="C183" s="2" t="s">
        <v>30</v>
      </c>
      <c r="D183" s="2" t="s">
        <v>25</v>
      </c>
      <c r="E183" s="2" t="s">
        <v>20</v>
      </c>
      <c r="F183" s="2" t="n">
        <v>0</v>
      </c>
      <c r="G183" s="2" t="s">
        <v>20</v>
      </c>
      <c r="H183" s="2" t="s">
        <v>26</v>
      </c>
      <c r="I183" s="2" t="s">
        <v>21</v>
      </c>
      <c r="J183" s="2" t="n">
        <v>11</v>
      </c>
      <c r="K183" s="2" t="s">
        <v>44</v>
      </c>
      <c r="L183" s="2" t="n">
        <v>333</v>
      </c>
      <c r="M183" s="2" t="n">
        <v>2</v>
      </c>
      <c r="N183" s="2" t="n">
        <v>-1</v>
      </c>
      <c r="O183" s="2" t="n">
        <v>0</v>
      </c>
      <c r="P183" s="2" t="s">
        <v>23</v>
      </c>
      <c r="Q183" s="2" t="s">
        <v>20</v>
      </c>
    </row>
    <row r="184" customFormat="false" ht="15" hidden="false" customHeight="false" outlineLevel="0" collapsed="false">
      <c r="A184" s="2" t="n">
        <v>34</v>
      </c>
      <c r="B184" s="2" t="s">
        <v>40</v>
      </c>
      <c r="C184" s="2" t="s">
        <v>30</v>
      </c>
      <c r="D184" s="2" t="s">
        <v>25</v>
      </c>
      <c r="E184" s="2" t="s">
        <v>20</v>
      </c>
      <c r="F184" s="2" t="n">
        <v>6979</v>
      </c>
      <c r="G184" s="2" t="s">
        <v>26</v>
      </c>
      <c r="H184" s="2" t="s">
        <v>20</v>
      </c>
      <c r="I184" s="2" t="s">
        <v>21</v>
      </c>
      <c r="J184" s="2" t="n">
        <v>15</v>
      </c>
      <c r="K184" s="2" t="s">
        <v>27</v>
      </c>
      <c r="L184" s="2" t="n">
        <v>14</v>
      </c>
      <c r="M184" s="2" t="n">
        <v>5</v>
      </c>
      <c r="N184" s="2" t="n">
        <v>-1</v>
      </c>
      <c r="O184" s="2" t="n">
        <v>0</v>
      </c>
      <c r="P184" s="2" t="s">
        <v>23</v>
      </c>
      <c r="Q184" s="2" t="s">
        <v>20</v>
      </c>
    </row>
    <row r="185" customFormat="false" ht="15" hidden="false" customHeight="false" outlineLevel="0" collapsed="false">
      <c r="A185" s="2" t="n">
        <v>40</v>
      </c>
      <c r="B185" s="2" t="s">
        <v>40</v>
      </c>
      <c r="C185" s="2" t="s">
        <v>45</v>
      </c>
      <c r="D185" s="2" t="s">
        <v>25</v>
      </c>
      <c r="E185" s="2" t="s">
        <v>20</v>
      </c>
      <c r="F185" s="2" t="n">
        <v>6</v>
      </c>
      <c r="G185" s="2" t="s">
        <v>20</v>
      </c>
      <c r="H185" s="2" t="s">
        <v>20</v>
      </c>
      <c r="I185" s="2" t="s">
        <v>23</v>
      </c>
      <c r="J185" s="2" t="n">
        <v>11</v>
      </c>
      <c r="K185" s="2" t="s">
        <v>33</v>
      </c>
      <c r="L185" s="2" t="n">
        <v>140</v>
      </c>
      <c r="M185" s="2" t="n">
        <v>1</v>
      </c>
      <c r="N185" s="2" t="n">
        <v>-1</v>
      </c>
      <c r="O185" s="2" t="n">
        <v>0</v>
      </c>
      <c r="P185" s="2" t="s">
        <v>23</v>
      </c>
      <c r="Q185" s="2" t="s">
        <v>20</v>
      </c>
    </row>
    <row r="186" customFormat="false" ht="15" hidden="false" customHeight="false" outlineLevel="0" collapsed="false">
      <c r="A186" s="2" t="n">
        <v>34</v>
      </c>
      <c r="B186" s="2" t="s">
        <v>24</v>
      </c>
      <c r="C186" s="2" t="s">
        <v>18</v>
      </c>
      <c r="D186" s="2" t="s">
        <v>25</v>
      </c>
      <c r="E186" s="2" t="s">
        <v>20</v>
      </c>
      <c r="F186" s="2" t="n">
        <v>-62</v>
      </c>
      <c r="G186" s="2" t="s">
        <v>26</v>
      </c>
      <c r="H186" s="2" t="s">
        <v>20</v>
      </c>
      <c r="I186" s="2" t="s">
        <v>23</v>
      </c>
      <c r="J186" s="2" t="n">
        <v>16</v>
      </c>
      <c r="K186" s="2" t="s">
        <v>33</v>
      </c>
      <c r="L186" s="2" t="n">
        <v>109</v>
      </c>
      <c r="M186" s="2" t="n">
        <v>3</v>
      </c>
      <c r="N186" s="2" t="n">
        <v>-1</v>
      </c>
      <c r="O186" s="2" t="n">
        <v>0</v>
      </c>
      <c r="P186" s="2" t="s">
        <v>23</v>
      </c>
      <c r="Q186" s="2" t="s">
        <v>20</v>
      </c>
    </row>
    <row r="187" customFormat="false" ht="15" hidden="false" customHeight="false" outlineLevel="0" collapsed="false">
      <c r="A187" s="2" t="n">
        <v>34</v>
      </c>
      <c r="B187" s="2" t="s">
        <v>36</v>
      </c>
      <c r="C187" s="2" t="s">
        <v>18</v>
      </c>
      <c r="D187" s="2" t="s">
        <v>31</v>
      </c>
      <c r="E187" s="2" t="s">
        <v>20</v>
      </c>
      <c r="F187" s="2" t="n">
        <v>1972</v>
      </c>
      <c r="G187" s="2" t="s">
        <v>26</v>
      </c>
      <c r="H187" s="2" t="s">
        <v>20</v>
      </c>
      <c r="I187" s="2" t="s">
        <v>21</v>
      </c>
      <c r="J187" s="2" t="n">
        <v>23</v>
      </c>
      <c r="K187" s="2" t="s">
        <v>44</v>
      </c>
      <c r="L187" s="2" t="n">
        <v>61</v>
      </c>
      <c r="M187" s="2" t="n">
        <v>2</v>
      </c>
      <c r="N187" s="2" t="n">
        <v>-1</v>
      </c>
      <c r="O187" s="2" t="n">
        <v>0</v>
      </c>
      <c r="P187" s="2" t="s">
        <v>23</v>
      </c>
      <c r="Q187" s="2" t="s">
        <v>20</v>
      </c>
    </row>
    <row r="188" customFormat="false" ht="15" hidden="false" customHeight="false" outlineLevel="0" collapsed="false">
      <c r="A188" s="2" t="n">
        <v>34</v>
      </c>
      <c r="B188" s="2" t="s">
        <v>40</v>
      </c>
      <c r="C188" s="2" t="s">
        <v>18</v>
      </c>
      <c r="D188" s="2" t="s">
        <v>31</v>
      </c>
      <c r="E188" s="2" t="s">
        <v>20</v>
      </c>
      <c r="F188" s="2" t="n">
        <v>899</v>
      </c>
      <c r="G188" s="2" t="s">
        <v>26</v>
      </c>
      <c r="H188" s="2" t="s">
        <v>20</v>
      </c>
      <c r="I188" s="2" t="s">
        <v>49</v>
      </c>
      <c r="J188" s="2" t="n">
        <v>19</v>
      </c>
      <c r="K188" s="2" t="s">
        <v>46</v>
      </c>
      <c r="L188" s="2" t="n">
        <v>377</v>
      </c>
      <c r="M188" s="2" t="n">
        <v>3</v>
      </c>
      <c r="N188" s="2" t="n">
        <v>7</v>
      </c>
      <c r="O188" s="2" t="n">
        <v>4</v>
      </c>
      <c r="P188" s="2" t="s">
        <v>50</v>
      </c>
      <c r="Q188" s="2" t="s">
        <v>20</v>
      </c>
    </row>
    <row r="189" customFormat="false" ht="15" hidden="false" customHeight="false" outlineLevel="0" collapsed="false">
      <c r="A189" s="2" t="n">
        <v>37</v>
      </c>
      <c r="B189" s="2" t="s">
        <v>24</v>
      </c>
      <c r="C189" s="2" t="s">
        <v>30</v>
      </c>
      <c r="D189" s="2" t="s">
        <v>25</v>
      </c>
      <c r="E189" s="2" t="s">
        <v>20</v>
      </c>
      <c r="F189" s="2" t="n">
        <v>21</v>
      </c>
      <c r="G189" s="2" t="s">
        <v>26</v>
      </c>
      <c r="H189" s="2" t="s">
        <v>20</v>
      </c>
      <c r="I189" s="2" t="s">
        <v>21</v>
      </c>
      <c r="J189" s="2" t="n">
        <v>2</v>
      </c>
      <c r="K189" s="2" t="s">
        <v>35</v>
      </c>
      <c r="L189" s="2" t="n">
        <v>96</v>
      </c>
      <c r="M189" s="2" t="n">
        <v>1</v>
      </c>
      <c r="N189" s="2" t="n">
        <v>271</v>
      </c>
      <c r="O189" s="2" t="n">
        <v>2</v>
      </c>
      <c r="P189" s="2" t="s">
        <v>37</v>
      </c>
      <c r="Q189" s="2" t="s">
        <v>20</v>
      </c>
    </row>
    <row r="190" customFormat="false" ht="15" hidden="false" customHeight="false" outlineLevel="0" collapsed="false">
      <c r="A190" s="2" t="n">
        <v>36</v>
      </c>
      <c r="B190" s="2" t="s">
        <v>38</v>
      </c>
      <c r="C190" s="2" t="s">
        <v>18</v>
      </c>
      <c r="D190" s="2" t="s">
        <v>25</v>
      </c>
      <c r="E190" s="2" t="s">
        <v>20</v>
      </c>
      <c r="F190" s="2" t="n">
        <v>23</v>
      </c>
      <c r="G190" s="2" t="s">
        <v>26</v>
      </c>
      <c r="H190" s="2" t="s">
        <v>20</v>
      </c>
      <c r="I190" s="2" t="s">
        <v>21</v>
      </c>
      <c r="J190" s="2" t="n">
        <v>8</v>
      </c>
      <c r="K190" s="2" t="s">
        <v>27</v>
      </c>
      <c r="L190" s="2" t="n">
        <v>152</v>
      </c>
      <c r="M190" s="2" t="n">
        <v>2</v>
      </c>
      <c r="N190" s="2" t="n">
        <v>347</v>
      </c>
      <c r="O190" s="2" t="n">
        <v>1</v>
      </c>
      <c r="P190" s="2" t="s">
        <v>28</v>
      </c>
      <c r="Q190" s="2" t="s">
        <v>20</v>
      </c>
    </row>
    <row r="191" customFormat="false" ht="15" hidden="false" customHeight="false" outlineLevel="0" collapsed="false">
      <c r="A191" s="2" t="n">
        <v>56</v>
      </c>
      <c r="B191" s="2" t="s">
        <v>48</v>
      </c>
      <c r="C191" s="2" t="s">
        <v>18</v>
      </c>
      <c r="D191" s="2" t="s">
        <v>25</v>
      </c>
      <c r="E191" s="2" t="s">
        <v>20</v>
      </c>
      <c r="F191" s="2" t="n">
        <v>-1206</v>
      </c>
      <c r="G191" s="2" t="s">
        <v>26</v>
      </c>
      <c r="H191" s="2" t="s">
        <v>20</v>
      </c>
      <c r="I191" s="2" t="s">
        <v>21</v>
      </c>
      <c r="J191" s="2" t="n">
        <v>15</v>
      </c>
      <c r="K191" s="2" t="s">
        <v>33</v>
      </c>
      <c r="L191" s="2" t="n">
        <v>382</v>
      </c>
      <c r="M191" s="2" t="n">
        <v>2</v>
      </c>
      <c r="N191" s="2" t="n">
        <v>-1</v>
      </c>
      <c r="O191" s="2" t="n">
        <v>0</v>
      </c>
      <c r="P191" s="2" t="s">
        <v>23</v>
      </c>
      <c r="Q191" s="2" t="s">
        <v>26</v>
      </c>
    </row>
    <row r="192" customFormat="false" ht="15" hidden="false" customHeight="false" outlineLevel="0" collapsed="false">
      <c r="A192" s="2" t="n">
        <v>49</v>
      </c>
      <c r="B192" s="2" t="s">
        <v>34</v>
      </c>
      <c r="C192" s="2" t="s">
        <v>18</v>
      </c>
      <c r="D192" s="2" t="s">
        <v>19</v>
      </c>
      <c r="E192" s="2" t="s">
        <v>20</v>
      </c>
      <c r="F192" s="2" t="n">
        <v>0</v>
      </c>
      <c r="G192" s="2" t="s">
        <v>26</v>
      </c>
      <c r="H192" s="2" t="s">
        <v>26</v>
      </c>
      <c r="I192" s="2" t="s">
        <v>49</v>
      </c>
      <c r="J192" s="2" t="n">
        <v>23</v>
      </c>
      <c r="K192" s="2" t="s">
        <v>44</v>
      </c>
      <c r="L192" s="2" t="n">
        <v>97</v>
      </c>
      <c r="M192" s="2" t="n">
        <v>6</v>
      </c>
      <c r="N192" s="2" t="n">
        <v>-1</v>
      </c>
      <c r="O192" s="2" t="n">
        <v>0</v>
      </c>
      <c r="P192" s="2" t="s">
        <v>23</v>
      </c>
      <c r="Q192" s="2" t="s">
        <v>20</v>
      </c>
    </row>
    <row r="193" customFormat="false" ht="15" hidden="false" customHeight="false" outlineLevel="0" collapsed="false">
      <c r="A193" s="2" t="n">
        <v>33</v>
      </c>
      <c r="B193" s="2" t="s">
        <v>36</v>
      </c>
      <c r="C193" s="2" t="s">
        <v>18</v>
      </c>
      <c r="D193" s="2" t="s">
        <v>25</v>
      </c>
      <c r="E193" s="2" t="s">
        <v>20</v>
      </c>
      <c r="F193" s="2" t="n">
        <v>215</v>
      </c>
      <c r="G193" s="2" t="s">
        <v>26</v>
      </c>
      <c r="H193" s="2" t="s">
        <v>20</v>
      </c>
      <c r="I193" s="2" t="s">
        <v>21</v>
      </c>
      <c r="J193" s="2" t="n">
        <v>29</v>
      </c>
      <c r="K193" s="2" t="s">
        <v>44</v>
      </c>
      <c r="L193" s="2" t="n">
        <v>543</v>
      </c>
      <c r="M193" s="2" t="n">
        <v>12</v>
      </c>
      <c r="N193" s="2" t="n">
        <v>-1</v>
      </c>
      <c r="O193" s="2" t="n">
        <v>0</v>
      </c>
      <c r="P193" s="2" t="s">
        <v>23</v>
      </c>
      <c r="Q193" s="2" t="s">
        <v>20</v>
      </c>
    </row>
    <row r="194" customFormat="false" ht="15" hidden="false" customHeight="false" outlineLevel="0" collapsed="false">
      <c r="A194" s="2" t="n">
        <v>30</v>
      </c>
      <c r="B194" s="2" t="s">
        <v>29</v>
      </c>
      <c r="C194" s="2" t="s">
        <v>30</v>
      </c>
      <c r="D194" s="2" t="s">
        <v>31</v>
      </c>
      <c r="E194" s="2" t="s">
        <v>20</v>
      </c>
      <c r="F194" s="2" t="n">
        <v>1372</v>
      </c>
      <c r="G194" s="2" t="s">
        <v>20</v>
      </c>
      <c r="H194" s="2" t="s">
        <v>20</v>
      </c>
      <c r="I194" s="2" t="s">
        <v>21</v>
      </c>
      <c r="J194" s="2" t="n">
        <v>20</v>
      </c>
      <c r="K194" s="2" t="s">
        <v>46</v>
      </c>
      <c r="L194" s="2" t="n">
        <v>240</v>
      </c>
      <c r="M194" s="2" t="n">
        <v>2</v>
      </c>
      <c r="N194" s="2" t="n">
        <v>-1</v>
      </c>
      <c r="O194" s="2" t="n">
        <v>0</v>
      </c>
      <c r="P194" s="2" t="s">
        <v>23</v>
      </c>
      <c r="Q194" s="2" t="s">
        <v>20</v>
      </c>
    </row>
    <row r="195" customFormat="false" ht="15" hidden="false" customHeight="false" outlineLevel="0" collapsed="false">
      <c r="A195" s="2" t="n">
        <v>36</v>
      </c>
      <c r="B195" s="2" t="s">
        <v>24</v>
      </c>
      <c r="C195" s="2" t="s">
        <v>18</v>
      </c>
      <c r="D195" s="2" t="s">
        <v>25</v>
      </c>
      <c r="E195" s="2" t="s">
        <v>20</v>
      </c>
      <c r="F195" s="2" t="n">
        <v>1981</v>
      </c>
      <c r="G195" s="2" t="s">
        <v>20</v>
      </c>
      <c r="H195" s="2" t="s">
        <v>20</v>
      </c>
      <c r="I195" s="2" t="s">
        <v>23</v>
      </c>
      <c r="J195" s="2" t="n">
        <v>17</v>
      </c>
      <c r="K195" s="2" t="s">
        <v>33</v>
      </c>
      <c r="L195" s="2" t="n">
        <v>48</v>
      </c>
      <c r="M195" s="2" t="n">
        <v>2</v>
      </c>
      <c r="N195" s="2" t="n">
        <v>-1</v>
      </c>
      <c r="O195" s="2" t="n">
        <v>0</v>
      </c>
      <c r="P195" s="2" t="s">
        <v>23</v>
      </c>
      <c r="Q195" s="2" t="s">
        <v>20</v>
      </c>
    </row>
    <row r="196" customFormat="false" ht="15" hidden="false" customHeight="false" outlineLevel="0" collapsed="false">
      <c r="A196" s="2" t="n">
        <v>23</v>
      </c>
      <c r="B196" s="2" t="s">
        <v>42</v>
      </c>
      <c r="C196" s="2" t="s">
        <v>30</v>
      </c>
      <c r="D196" s="2" t="s">
        <v>25</v>
      </c>
      <c r="E196" s="2" t="s">
        <v>20</v>
      </c>
      <c r="F196" s="2" t="n">
        <v>9216</v>
      </c>
      <c r="G196" s="2" t="s">
        <v>20</v>
      </c>
      <c r="H196" s="2" t="s">
        <v>20</v>
      </c>
      <c r="I196" s="2" t="s">
        <v>21</v>
      </c>
      <c r="J196" s="2" t="n">
        <v>5</v>
      </c>
      <c r="K196" s="2" t="s">
        <v>33</v>
      </c>
      <c r="L196" s="2" t="n">
        <v>471</v>
      </c>
      <c r="M196" s="2" t="n">
        <v>2</v>
      </c>
      <c r="N196" s="2" t="n">
        <v>-1</v>
      </c>
      <c r="O196" s="2" t="n">
        <v>0</v>
      </c>
      <c r="P196" s="2" t="s">
        <v>23</v>
      </c>
      <c r="Q196" s="2" t="s">
        <v>20</v>
      </c>
    </row>
    <row r="197" customFormat="false" ht="15" hidden="false" customHeight="false" outlineLevel="0" collapsed="false">
      <c r="A197" s="2" t="n">
        <v>57</v>
      </c>
      <c r="B197" s="2" t="s">
        <v>48</v>
      </c>
      <c r="C197" s="2" t="s">
        <v>45</v>
      </c>
      <c r="D197" s="2" t="s">
        <v>25</v>
      </c>
      <c r="E197" s="2" t="s">
        <v>20</v>
      </c>
      <c r="F197" s="2" t="n">
        <v>39</v>
      </c>
      <c r="G197" s="2" t="s">
        <v>26</v>
      </c>
      <c r="H197" s="2" t="s">
        <v>20</v>
      </c>
      <c r="I197" s="2" t="s">
        <v>21</v>
      </c>
      <c r="J197" s="2" t="n">
        <v>30</v>
      </c>
      <c r="K197" s="2" t="s">
        <v>44</v>
      </c>
      <c r="L197" s="2" t="n">
        <v>354</v>
      </c>
      <c r="M197" s="2" t="n">
        <v>3</v>
      </c>
      <c r="N197" s="2" t="n">
        <v>-1</v>
      </c>
      <c r="O197" s="2" t="n">
        <v>0</v>
      </c>
      <c r="P197" s="2" t="s">
        <v>23</v>
      </c>
      <c r="Q197" s="2" t="s">
        <v>20</v>
      </c>
    </row>
    <row r="198" customFormat="false" ht="15" hidden="false" customHeight="false" outlineLevel="0" collapsed="false">
      <c r="A198" s="2" t="n">
        <v>27</v>
      </c>
      <c r="B198" s="2" t="s">
        <v>34</v>
      </c>
      <c r="C198" s="2" t="s">
        <v>30</v>
      </c>
      <c r="D198" s="2" t="s">
        <v>25</v>
      </c>
      <c r="E198" s="2" t="s">
        <v>20</v>
      </c>
      <c r="F198" s="2" t="n">
        <v>5563</v>
      </c>
      <c r="G198" s="2" t="s">
        <v>26</v>
      </c>
      <c r="H198" s="2" t="s">
        <v>20</v>
      </c>
      <c r="I198" s="2" t="s">
        <v>23</v>
      </c>
      <c r="J198" s="2" t="n">
        <v>30</v>
      </c>
      <c r="K198" s="2" t="s">
        <v>27</v>
      </c>
      <c r="L198" s="2" t="n">
        <v>435</v>
      </c>
      <c r="M198" s="2" t="n">
        <v>2</v>
      </c>
      <c r="N198" s="2" t="n">
        <v>-1</v>
      </c>
      <c r="O198" s="2" t="n">
        <v>0</v>
      </c>
      <c r="P198" s="2" t="s">
        <v>23</v>
      </c>
      <c r="Q198" s="2" t="s">
        <v>20</v>
      </c>
    </row>
    <row r="199" customFormat="false" ht="15" hidden="false" customHeight="false" outlineLevel="0" collapsed="false">
      <c r="A199" s="2" t="n">
        <v>38</v>
      </c>
      <c r="B199" s="2" t="s">
        <v>24</v>
      </c>
      <c r="C199" s="2" t="s">
        <v>18</v>
      </c>
      <c r="D199" s="2" t="s">
        <v>25</v>
      </c>
      <c r="E199" s="2" t="s">
        <v>20</v>
      </c>
      <c r="F199" s="2" t="n">
        <v>1</v>
      </c>
      <c r="G199" s="2" t="s">
        <v>20</v>
      </c>
      <c r="H199" s="2" t="s">
        <v>26</v>
      </c>
      <c r="I199" s="2" t="s">
        <v>21</v>
      </c>
      <c r="J199" s="2" t="n">
        <v>21</v>
      </c>
      <c r="K199" s="2" t="s">
        <v>46</v>
      </c>
      <c r="L199" s="2" t="n">
        <v>152</v>
      </c>
      <c r="M199" s="2" t="n">
        <v>2</v>
      </c>
      <c r="N199" s="2" t="n">
        <v>-1</v>
      </c>
      <c r="O199" s="2" t="n">
        <v>0</v>
      </c>
      <c r="P199" s="2" t="s">
        <v>23</v>
      </c>
      <c r="Q199" s="2" t="s">
        <v>20</v>
      </c>
    </row>
    <row r="200" customFormat="false" ht="15" hidden="false" customHeight="false" outlineLevel="0" collapsed="false">
      <c r="A200" s="2" t="n">
        <v>42</v>
      </c>
      <c r="B200" s="2" t="s">
        <v>38</v>
      </c>
      <c r="C200" s="2" t="s">
        <v>18</v>
      </c>
      <c r="D200" s="2" t="s">
        <v>31</v>
      </c>
      <c r="E200" s="2" t="s">
        <v>20</v>
      </c>
      <c r="F200" s="2" t="n">
        <v>782</v>
      </c>
      <c r="G200" s="2" t="s">
        <v>20</v>
      </c>
      <c r="H200" s="2" t="s">
        <v>20</v>
      </c>
      <c r="I200" s="2" t="s">
        <v>21</v>
      </c>
      <c r="J200" s="2" t="n">
        <v>3</v>
      </c>
      <c r="K200" s="2" t="s">
        <v>32</v>
      </c>
      <c r="L200" s="2" t="n">
        <v>285</v>
      </c>
      <c r="M200" s="2" t="n">
        <v>1</v>
      </c>
      <c r="N200" s="2" t="n">
        <v>-1</v>
      </c>
      <c r="O200" s="2" t="n">
        <v>0</v>
      </c>
      <c r="P200" s="2" t="s">
        <v>23</v>
      </c>
      <c r="Q200" s="2" t="s">
        <v>20</v>
      </c>
    </row>
    <row r="201" customFormat="false" ht="15" hidden="false" customHeight="false" outlineLevel="0" collapsed="false">
      <c r="A201" s="2" t="n">
        <v>75</v>
      </c>
      <c r="B201" s="2" t="s">
        <v>48</v>
      </c>
      <c r="C201" s="2" t="s">
        <v>18</v>
      </c>
      <c r="D201" s="2" t="s">
        <v>25</v>
      </c>
      <c r="E201" s="2" t="s">
        <v>20</v>
      </c>
      <c r="F201" s="2" t="n">
        <v>3771</v>
      </c>
      <c r="G201" s="2" t="s">
        <v>20</v>
      </c>
      <c r="H201" s="2" t="s">
        <v>20</v>
      </c>
      <c r="I201" s="2" t="s">
        <v>49</v>
      </c>
      <c r="J201" s="2" t="n">
        <v>15</v>
      </c>
      <c r="K201" s="2" t="s">
        <v>32</v>
      </c>
      <c r="L201" s="2" t="n">
        <v>185</v>
      </c>
      <c r="M201" s="2" t="n">
        <v>1</v>
      </c>
      <c r="N201" s="2" t="n">
        <v>181</v>
      </c>
      <c r="O201" s="2" t="n">
        <v>2</v>
      </c>
      <c r="P201" s="2" t="s">
        <v>50</v>
      </c>
      <c r="Q201" s="2" t="s">
        <v>26</v>
      </c>
    </row>
    <row r="202" customFormat="false" ht="15" hidden="false" customHeight="false" outlineLevel="0" collapsed="false">
      <c r="A202" s="2" t="n">
        <v>34</v>
      </c>
      <c r="B202" s="2" t="s">
        <v>38</v>
      </c>
      <c r="C202" s="2" t="s">
        <v>30</v>
      </c>
      <c r="D202" s="2" t="s">
        <v>31</v>
      </c>
      <c r="E202" s="2" t="s">
        <v>20</v>
      </c>
      <c r="F202" s="2" t="n">
        <v>992</v>
      </c>
      <c r="G202" s="2" t="s">
        <v>26</v>
      </c>
      <c r="H202" s="2" t="s">
        <v>20</v>
      </c>
      <c r="I202" s="2" t="s">
        <v>21</v>
      </c>
      <c r="J202" s="2" t="n">
        <v>4</v>
      </c>
      <c r="K202" s="2" t="s">
        <v>27</v>
      </c>
      <c r="L202" s="2" t="n">
        <v>301</v>
      </c>
      <c r="M202" s="2" t="n">
        <v>1</v>
      </c>
      <c r="N202" s="2" t="n">
        <v>88</v>
      </c>
      <c r="O202" s="2" t="n">
        <v>2</v>
      </c>
      <c r="P202" s="2" t="s">
        <v>50</v>
      </c>
      <c r="Q202" s="2" t="s">
        <v>20</v>
      </c>
    </row>
    <row r="203" customFormat="false" ht="15" hidden="false" customHeight="false" outlineLevel="0" collapsed="false">
      <c r="A203" s="2" t="n">
        <v>48</v>
      </c>
      <c r="B203" s="2" t="s">
        <v>38</v>
      </c>
      <c r="C203" s="2" t="s">
        <v>18</v>
      </c>
      <c r="D203" s="2" t="s">
        <v>25</v>
      </c>
      <c r="E203" s="2" t="s">
        <v>20</v>
      </c>
      <c r="F203" s="2" t="n">
        <v>1526</v>
      </c>
      <c r="G203" s="2" t="s">
        <v>20</v>
      </c>
      <c r="H203" s="2" t="s">
        <v>20</v>
      </c>
      <c r="I203" s="2" t="s">
        <v>21</v>
      </c>
      <c r="J203" s="2" t="n">
        <v>6</v>
      </c>
      <c r="K203" s="2" t="s">
        <v>41</v>
      </c>
      <c r="L203" s="2" t="n">
        <v>273</v>
      </c>
      <c r="M203" s="2" t="n">
        <v>2</v>
      </c>
      <c r="N203" s="2" t="n">
        <v>-1</v>
      </c>
      <c r="O203" s="2" t="n">
        <v>0</v>
      </c>
      <c r="P203" s="2" t="s">
        <v>23</v>
      </c>
      <c r="Q203" s="2" t="s">
        <v>20</v>
      </c>
    </row>
    <row r="204" customFormat="false" ht="15" hidden="false" customHeight="false" outlineLevel="0" collapsed="false">
      <c r="A204" s="2" t="n">
        <v>35</v>
      </c>
      <c r="B204" s="2" t="s">
        <v>38</v>
      </c>
      <c r="C204" s="2" t="s">
        <v>30</v>
      </c>
      <c r="D204" s="2" t="s">
        <v>31</v>
      </c>
      <c r="E204" s="2" t="s">
        <v>20</v>
      </c>
      <c r="F204" s="2" t="n">
        <v>2658</v>
      </c>
      <c r="G204" s="2" t="s">
        <v>26</v>
      </c>
      <c r="H204" s="2" t="s">
        <v>20</v>
      </c>
      <c r="I204" s="2" t="s">
        <v>21</v>
      </c>
      <c r="J204" s="2" t="n">
        <v>19</v>
      </c>
      <c r="K204" s="2" t="s">
        <v>41</v>
      </c>
      <c r="L204" s="2" t="n">
        <v>768</v>
      </c>
      <c r="M204" s="2" t="n">
        <v>2</v>
      </c>
      <c r="N204" s="2" t="n">
        <v>141</v>
      </c>
      <c r="O204" s="2" t="n">
        <v>3</v>
      </c>
      <c r="P204" s="2" t="s">
        <v>28</v>
      </c>
      <c r="Q204" s="2" t="s">
        <v>26</v>
      </c>
    </row>
    <row r="205" customFormat="false" ht="15" hidden="false" customHeight="false" outlineLevel="0" collapsed="false">
      <c r="A205" s="2" t="n">
        <v>39</v>
      </c>
      <c r="B205" s="2" t="s">
        <v>29</v>
      </c>
      <c r="C205" s="2" t="s">
        <v>45</v>
      </c>
      <c r="D205" s="2" t="s">
        <v>31</v>
      </c>
      <c r="E205" s="2" t="s">
        <v>20</v>
      </c>
      <c r="F205" s="2" t="n">
        <v>1315</v>
      </c>
      <c r="G205" s="2" t="s">
        <v>26</v>
      </c>
      <c r="H205" s="2" t="s">
        <v>20</v>
      </c>
      <c r="I205" s="2" t="s">
        <v>21</v>
      </c>
      <c r="J205" s="2" t="n">
        <v>19</v>
      </c>
      <c r="K205" s="2" t="s">
        <v>46</v>
      </c>
      <c r="L205" s="2" t="n">
        <v>1337</v>
      </c>
      <c r="M205" s="2" t="n">
        <v>4</v>
      </c>
      <c r="N205" s="2" t="n">
        <v>126</v>
      </c>
      <c r="O205" s="2" t="n">
        <v>1</v>
      </c>
      <c r="P205" s="2" t="s">
        <v>28</v>
      </c>
      <c r="Q205" s="2" t="s">
        <v>20</v>
      </c>
    </row>
    <row r="206" customFormat="false" ht="15" hidden="false" customHeight="false" outlineLevel="0" collapsed="false">
      <c r="A206" s="2" t="n">
        <v>29</v>
      </c>
      <c r="B206" s="2" t="s">
        <v>34</v>
      </c>
      <c r="C206" s="2" t="s">
        <v>30</v>
      </c>
      <c r="D206" s="2" t="s">
        <v>31</v>
      </c>
      <c r="E206" s="2" t="s">
        <v>20</v>
      </c>
      <c r="F206" s="2" t="n">
        <v>455</v>
      </c>
      <c r="G206" s="2" t="s">
        <v>20</v>
      </c>
      <c r="H206" s="2" t="s">
        <v>20</v>
      </c>
      <c r="I206" s="2" t="s">
        <v>49</v>
      </c>
      <c r="J206" s="2" t="n">
        <v>21</v>
      </c>
      <c r="K206" s="2" t="s">
        <v>32</v>
      </c>
      <c r="L206" s="2" t="n">
        <v>403</v>
      </c>
      <c r="M206" s="2" t="n">
        <v>1</v>
      </c>
      <c r="N206" s="2" t="n">
        <v>-1</v>
      </c>
      <c r="O206" s="2" t="n">
        <v>0</v>
      </c>
      <c r="P206" s="2" t="s">
        <v>23</v>
      </c>
      <c r="Q206" s="2" t="s">
        <v>26</v>
      </c>
    </row>
    <row r="207" customFormat="false" ht="15" hidden="false" customHeight="false" outlineLevel="0" collapsed="false">
      <c r="A207" s="2" t="n">
        <v>45</v>
      </c>
      <c r="B207" s="2" t="s">
        <v>38</v>
      </c>
      <c r="C207" s="2" t="s">
        <v>30</v>
      </c>
      <c r="D207" s="2" t="s">
        <v>31</v>
      </c>
      <c r="E207" s="2" t="s">
        <v>20</v>
      </c>
      <c r="F207" s="2" t="n">
        <v>0</v>
      </c>
      <c r="G207" s="2" t="s">
        <v>26</v>
      </c>
      <c r="H207" s="2" t="s">
        <v>20</v>
      </c>
      <c r="I207" s="2" t="s">
        <v>21</v>
      </c>
      <c r="J207" s="2" t="n">
        <v>18</v>
      </c>
      <c r="K207" s="2" t="s">
        <v>46</v>
      </c>
      <c r="L207" s="2" t="n">
        <v>139</v>
      </c>
      <c r="M207" s="2" t="n">
        <v>2</v>
      </c>
      <c r="N207" s="2" t="n">
        <v>-1</v>
      </c>
      <c r="O207" s="2" t="n">
        <v>0</v>
      </c>
      <c r="P207" s="2" t="s">
        <v>23</v>
      </c>
      <c r="Q207" s="2" t="s">
        <v>20</v>
      </c>
    </row>
    <row r="208" customFormat="false" ht="15" hidden="false" customHeight="false" outlineLevel="0" collapsed="false">
      <c r="A208" s="2" t="n">
        <v>42</v>
      </c>
      <c r="B208" s="2" t="s">
        <v>38</v>
      </c>
      <c r="C208" s="2" t="s">
        <v>18</v>
      </c>
      <c r="D208" s="2" t="s">
        <v>25</v>
      </c>
      <c r="E208" s="2" t="s">
        <v>20</v>
      </c>
      <c r="F208" s="2" t="n">
        <v>2030</v>
      </c>
      <c r="G208" s="2" t="s">
        <v>26</v>
      </c>
      <c r="H208" s="2" t="s">
        <v>26</v>
      </c>
      <c r="I208" s="2" t="s">
        <v>21</v>
      </c>
      <c r="J208" s="2" t="n">
        <v>9</v>
      </c>
      <c r="K208" s="2" t="s">
        <v>44</v>
      </c>
      <c r="L208" s="2" t="n">
        <v>196</v>
      </c>
      <c r="M208" s="2" t="n">
        <v>1</v>
      </c>
      <c r="N208" s="2" t="n">
        <v>-1</v>
      </c>
      <c r="O208" s="2" t="n">
        <v>0</v>
      </c>
      <c r="P208" s="2" t="s">
        <v>23</v>
      </c>
      <c r="Q208" s="2" t="s">
        <v>20</v>
      </c>
    </row>
    <row r="209" customFormat="false" ht="15" hidden="false" customHeight="false" outlineLevel="0" collapsed="false">
      <c r="A209" s="2" t="n">
        <v>29</v>
      </c>
      <c r="B209" s="2" t="s">
        <v>38</v>
      </c>
      <c r="C209" s="2" t="s">
        <v>18</v>
      </c>
      <c r="D209" s="2" t="s">
        <v>25</v>
      </c>
      <c r="E209" s="2" t="s">
        <v>20</v>
      </c>
      <c r="F209" s="2" t="n">
        <v>1599</v>
      </c>
      <c r="G209" s="2" t="s">
        <v>26</v>
      </c>
      <c r="H209" s="2" t="s">
        <v>20</v>
      </c>
      <c r="I209" s="2" t="s">
        <v>21</v>
      </c>
      <c r="J209" s="2" t="n">
        <v>8</v>
      </c>
      <c r="K209" s="2" t="s">
        <v>44</v>
      </c>
      <c r="L209" s="2" t="n">
        <v>115</v>
      </c>
      <c r="M209" s="2" t="n">
        <v>1</v>
      </c>
      <c r="N209" s="2" t="n">
        <v>61</v>
      </c>
      <c r="O209" s="2" t="n">
        <v>1</v>
      </c>
      <c r="P209" s="2" t="s">
        <v>28</v>
      </c>
      <c r="Q209" s="2" t="s">
        <v>20</v>
      </c>
    </row>
    <row r="210" customFormat="false" ht="15" hidden="false" customHeight="false" outlineLevel="0" collapsed="false">
      <c r="A210" s="2" t="n">
        <v>38</v>
      </c>
      <c r="B210" s="2" t="s">
        <v>24</v>
      </c>
      <c r="C210" s="2" t="s">
        <v>30</v>
      </c>
      <c r="D210" s="2" t="s">
        <v>25</v>
      </c>
      <c r="E210" s="2" t="s">
        <v>20</v>
      </c>
      <c r="F210" s="2" t="n">
        <v>-196</v>
      </c>
      <c r="G210" s="2" t="s">
        <v>26</v>
      </c>
      <c r="H210" s="2" t="s">
        <v>20</v>
      </c>
      <c r="I210" s="2" t="s">
        <v>21</v>
      </c>
      <c r="J210" s="2" t="n">
        <v>2</v>
      </c>
      <c r="K210" s="2" t="s">
        <v>35</v>
      </c>
      <c r="L210" s="2" t="n">
        <v>60</v>
      </c>
      <c r="M210" s="2" t="n">
        <v>1</v>
      </c>
      <c r="N210" s="2" t="n">
        <v>271</v>
      </c>
      <c r="O210" s="2" t="n">
        <v>1</v>
      </c>
      <c r="P210" s="2" t="s">
        <v>28</v>
      </c>
      <c r="Q210" s="2" t="s">
        <v>20</v>
      </c>
    </row>
    <row r="211" customFormat="false" ht="15" hidden="false" customHeight="false" outlineLevel="0" collapsed="false">
      <c r="A211" s="2" t="n">
        <v>56</v>
      </c>
      <c r="B211" s="2" t="s">
        <v>48</v>
      </c>
      <c r="C211" s="2" t="s">
        <v>18</v>
      </c>
      <c r="D211" s="2" t="s">
        <v>25</v>
      </c>
      <c r="E211" s="2" t="s">
        <v>20</v>
      </c>
      <c r="F211" s="2" t="n">
        <v>1333</v>
      </c>
      <c r="G211" s="2" t="s">
        <v>20</v>
      </c>
      <c r="H211" s="2" t="s">
        <v>20</v>
      </c>
      <c r="I211" s="2" t="s">
        <v>21</v>
      </c>
      <c r="J211" s="2" t="n">
        <v>28</v>
      </c>
      <c r="K211" s="2" t="s">
        <v>41</v>
      </c>
      <c r="L211" s="2" t="n">
        <v>17</v>
      </c>
      <c r="M211" s="2" t="n">
        <v>14</v>
      </c>
      <c r="N211" s="2" t="n">
        <v>-1</v>
      </c>
      <c r="O211" s="2" t="n">
        <v>0</v>
      </c>
      <c r="P211" s="2" t="s">
        <v>23</v>
      </c>
      <c r="Q211" s="2" t="s">
        <v>20</v>
      </c>
    </row>
    <row r="212" customFormat="false" ht="15" hidden="false" customHeight="false" outlineLevel="0" collapsed="false">
      <c r="A212" s="2" t="n">
        <v>36</v>
      </c>
      <c r="B212" s="2" t="s">
        <v>38</v>
      </c>
      <c r="C212" s="2" t="s">
        <v>30</v>
      </c>
      <c r="D212" s="2" t="s">
        <v>25</v>
      </c>
      <c r="E212" s="2" t="s">
        <v>20</v>
      </c>
      <c r="F212" s="2" t="n">
        <v>9149</v>
      </c>
      <c r="G212" s="2" t="s">
        <v>26</v>
      </c>
      <c r="H212" s="2" t="s">
        <v>20</v>
      </c>
      <c r="I212" s="2" t="s">
        <v>21</v>
      </c>
      <c r="J212" s="2" t="n">
        <v>13</v>
      </c>
      <c r="K212" s="2" t="s">
        <v>41</v>
      </c>
      <c r="L212" s="2" t="n">
        <v>141</v>
      </c>
      <c r="M212" s="2" t="n">
        <v>3</v>
      </c>
      <c r="N212" s="2" t="n">
        <v>-1</v>
      </c>
      <c r="O212" s="2" t="n">
        <v>0</v>
      </c>
      <c r="P212" s="2" t="s">
        <v>23</v>
      </c>
      <c r="Q212" s="2" t="s">
        <v>20</v>
      </c>
    </row>
    <row r="213" customFormat="false" ht="15" hidden="false" customHeight="false" outlineLevel="0" collapsed="false">
      <c r="A213" s="2" t="n">
        <v>25</v>
      </c>
      <c r="B213" s="2" t="s">
        <v>34</v>
      </c>
      <c r="C213" s="2" t="s">
        <v>30</v>
      </c>
      <c r="D213" s="2" t="s">
        <v>25</v>
      </c>
      <c r="E213" s="2" t="s">
        <v>20</v>
      </c>
      <c r="F213" s="2" t="n">
        <v>-350</v>
      </c>
      <c r="G213" s="2" t="s">
        <v>26</v>
      </c>
      <c r="H213" s="2" t="s">
        <v>20</v>
      </c>
      <c r="I213" s="2" t="s">
        <v>23</v>
      </c>
      <c r="J213" s="2" t="n">
        <v>23</v>
      </c>
      <c r="K213" s="2" t="s">
        <v>33</v>
      </c>
      <c r="L213" s="2" t="n">
        <v>95</v>
      </c>
      <c r="M213" s="2" t="n">
        <v>3</v>
      </c>
      <c r="N213" s="2" t="n">
        <v>-1</v>
      </c>
      <c r="O213" s="2" t="n">
        <v>0</v>
      </c>
      <c r="P213" s="2" t="s">
        <v>23</v>
      </c>
      <c r="Q213" s="2" t="s">
        <v>20</v>
      </c>
    </row>
    <row r="214" customFormat="false" ht="15" hidden="false" customHeight="false" outlineLevel="0" collapsed="false">
      <c r="A214" s="2" t="n">
        <v>38</v>
      </c>
      <c r="B214" s="2" t="s">
        <v>38</v>
      </c>
      <c r="C214" s="2" t="s">
        <v>18</v>
      </c>
      <c r="D214" s="2" t="s">
        <v>31</v>
      </c>
      <c r="E214" s="2" t="s">
        <v>20</v>
      </c>
      <c r="F214" s="2" t="n">
        <v>432</v>
      </c>
      <c r="G214" s="2" t="s">
        <v>26</v>
      </c>
      <c r="H214" s="2" t="s">
        <v>20</v>
      </c>
      <c r="I214" s="2" t="s">
        <v>21</v>
      </c>
      <c r="J214" s="2" t="n">
        <v>15</v>
      </c>
      <c r="K214" s="2" t="s">
        <v>27</v>
      </c>
      <c r="L214" s="2" t="n">
        <v>10</v>
      </c>
      <c r="M214" s="2" t="n">
        <v>2</v>
      </c>
      <c r="N214" s="2" t="n">
        <v>373</v>
      </c>
      <c r="O214" s="2" t="n">
        <v>1</v>
      </c>
      <c r="P214" s="2" t="s">
        <v>37</v>
      </c>
      <c r="Q214" s="2" t="s">
        <v>20</v>
      </c>
    </row>
    <row r="215" customFormat="false" ht="15" hidden="false" customHeight="false" outlineLevel="0" collapsed="false">
      <c r="A215" s="2" t="n">
        <v>57</v>
      </c>
      <c r="B215" s="2" t="s">
        <v>36</v>
      </c>
      <c r="C215" s="2" t="s">
        <v>18</v>
      </c>
      <c r="D215" s="2" t="s">
        <v>25</v>
      </c>
      <c r="E215" s="2" t="s">
        <v>20</v>
      </c>
      <c r="F215" s="2" t="n">
        <v>11494</v>
      </c>
      <c r="G215" s="2" t="s">
        <v>20</v>
      </c>
      <c r="H215" s="2" t="s">
        <v>20</v>
      </c>
      <c r="I215" s="2" t="s">
        <v>21</v>
      </c>
      <c r="J215" s="2" t="n">
        <v>19</v>
      </c>
      <c r="K215" s="2" t="s">
        <v>46</v>
      </c>
      <c r="L215" s="2" t="n">
        <v>198</v>
      </c>
      <c r="M215" s="2" t="n">
        <v>1</v>
      </c>
      <c r="N215" s="2" t="n">
        <v>-1</v>
      </c>
      <c r="O215" s="2" t="n">
        <v>0</v>
      </c>
      <c r="P215" s="2" t="s">
        <v>23</v>
      </c>
      <c r="Q215" s="2" t="s">
        <v>20</v>
      </c>
    </row>
    <row r="216" customFormat="false" ht="15" hidden="false" customHeight="false" outlineLevel="0" collapsed="false">
      <c r="A216" s="2" t="n">
        <v>31</v>
      </c>
      <c r="B216" s="2" t="s">
        <v>29</v>
      </c>
      <c r="C216" s="2" t="s">
        <v>18</v>
      </c>
      <c r="D216" s="2" t="s">
        <v>31</v>
      </c>
      <c r="E216" s="2" t="s">
        <v>26</v>
      </c>
      <c r="F216" s="2" t="n">
        <v>-253</v>
      </c>
      <c r="G216" s="2" t="s">
        <v>20</v>
      </c>
      <c r="H216" s="2" t="s">
        <v>20</v>
      </c>
      <c r="I216" s="2" t="s">
        <v>21</v>
      </c>
      <c r="J216" s="2" t="n">
        <v>12</v>
      </c>
      <c r="K216" s="2" t="s">
        <v>41</v>
      </c>
      <c r="L216" s="2" t="n">
        <v>220</v>
      </c>
      <c r="M216" s="2" t="n">
        <v>4</v>
      </c>
      <c r="N216" s="2" t="n">
        <v>-1</v>
      </c>
      <c r="O216" s="2" t="n">
        <v>0</v>
      </c>
      <c r="P216" s="2" t="s">
        <v>23</v>
      </c>
      <c r="Q216" s="2" t="s">
        <v>20</v>
      </c>
    </row>
    <row r="217" customFormat="false" ht="15" hidden="false" customHeight="false" outlineLevel="0" collapsed="false">
      <c r="A217" s="2" t="n">
        <v>42</v>
      </c>
      <c r="B217" s="2" t="s">
        <v>29</v>
      </c>
      <c r="C217" s="2" t="s">
        <v>18</v>
      </c>
      <c r="D217" s="2" t="s">
        <v>31</v>
      </c>
      <c r="E217" s="2" t="s">
        <v>20</v>
      </c>
      <c r="F217" s="2" t="n">
        <v>372</v>
      </c>
      <c r="G217" s="2" t="s">
        <v>26</v>
      </c>
      <c r="H217" s="2" t="s">
        <v>20</v>
      </c>
      <c r="I217" s="2" t="s">
        <v>21</v>
      </c>
      <c r="J217" s="2" t="n">
        <v>3</v>
      </c>
      <c r="K217" s="2" t="s">
        <v>41</v>
      </c>
      <c r="L217" s="2" t="n">
        <v>654</v>
      </c>
      <c r="M217" s="2" t="n">
        <v>2</v>
      </c>
      <c r="N217" s="2" t="n">
        <v>-1</v>
      </c>
      <c r="O217" s="2" t="n">
        <v>0</v>
      </c>
      <c r="P217" s="2" t="s">
        <v>23</v>
      </c>
      <c r="Q217" s="2" t="s">
        <v>26</v>
      </c>
    </row>
    <row r="218" customFormat="false" ht="15" hidden="false" customHeight="false" outlineLevel="0" collapsed="false">
      <c r="A218" s="2" t="n">
        <v>45</v>
      </c>
      <c r="B218" s="2" t="s">
        <v>38</v>
      </c>
      <c r="C218" s="2" t="s">
        <v>18</v>
      </c>
      <c r="D218" s="2" t="s">
        <v>25</v>
      </c>
      <c r="E218" s="2" t="s">
        <v>20</v>
      </c>
      <c r="F218" s="2" t="n">
        <v>1410</v>
      </c>
      <c r="G218" s="2" t="s">
        <v>20</v>
      </c>
      <c r="H218" s="2" t="s">
        <v>20</v>
      </c>
      <c r="I218" s="2" t="s">
        <v>21</v>
      </c>
      <c r="J218" s="2" t="n">
        <v>11</v>
      </c>
      <c r="K218" s="2" t="s">
        <v>41</v>
      </c>
      <c r="L218" s="2" t="n">
        <v>71</v>
      </c>
      <c r="M218" s="2" t="n">
        <v>2</v>
      </c>
      <c r="N218" s="2" t="n">
        <v>-1</v>
      </c>
      <c r="O218" s="2" t="n">
        <v>0</v>
      </c>
      <c r="P218" s="2" t="s">
        <v>23</v>
      </c>
      <c r="Q218" s="2" t="s">
        <v>20</v>
      </c>
    </row>
    <row r="219" customFormat="false" ht="15" hidden="false" customHeight="false" outlineLevel="0" collapsed="false">
      <c r="A219" s="2" t="n">
        <v>30</v>
      </c>
      <c r="B219" s="2" t="s">
        <v>34</v>
      </c>
      <c r="C219" s="2" t="s">
        <v>18</v>
      </c>
      <c r="D219" s="2" t="s">
        <v>25</v>
      </c>
      <c r="E219" s="2" t="s">
        <v>20</v>
      </c>
      <c r="F219" s="2" t="n">
        <v>975</v>
      </c>
      <c r="G219" s="2" t="s">
        <v>26</v>
      </c>
      <c r="H219" s="2" t="s">
        <v>20</v>
      </c>
      <c r="I219" s="2" t="s">
        <v>21</v>
      </c>
      <c r="J219" s="2" t="n">
        <v>13</v>
      </c>
      <c r="K219" s="2" t="s">
        <v>27</v>
      </c>
      <c r="L219" s="2" t="n">
        <v>256</v>
      </c>
      <c r="M219" s="2" t="n">
        <v>2</v>
      </c>
      <c r="N219" s="2" t="n">
        <v>351</v>
      </c>
      <c r="O219" s="2" t="n">
        <v>2</v>
      </c>
      <c r="P219" s="2" t="s">
        <v>28</v>
      </c>
      <c r="Q219" s="2" t="s">
        <v>20</v>
      </c>
    </row>
    <row r="220" customFormat="false" ht="15" hidden="false" customHeight="false" outlineLevel="0" collapsed="false">
      <c r="A220" s="2" t="n">
        <v>49</v>
      </c>
      <c r="B220" s="2" t="s">
        <v>34</v>
      </c>
      <c r="C220" s="2" t="s">
        <v>18</v>
      </c>
      <c r="D220" s="2" t="s">
        <v>19</v>
      </c>
      <c r="E220" s="2" t="s">
        <v>20</v>
      </c>
      <c r="F220" s="2" t="n">
        <v>305</v>
      </c>
      <c r="G220" s="2" t="s">
        <v>26</v>
      </c>
      <c r="H220" s="2" t="s">
        <v>26</v>
      </c>
      <c r="I220" s="2" t="s">
        <v>49</v>
      </c>
      <c r="J220" s="2" t="n">
        <v>10</v>
      </c>
      <c r="K220" s="2" t="s">
        <v>44</v>
      </c>
      <c r="L220" s="2" t="n">
        <v>834</v>
      </c>
      <c r="M220" s="2" t="n">
        <v>10</v>
      </c>
      <c r="N220" s="2" t="n">
        <v>-1</v>
      </c>
      <c r="O220" s="2" t="n">
        <v>0</v>
      </c>
      <c r="P220" s="2" t="s">
        <v>23</v>
      </c>
      <c r="Q220" s="2" t="s">
        <v>20</v>
      </c>
    </row>
    <row r="221" customFormat="false" ht="15" hidden="false" customHeight="false" outlineLevel="0" collapsed="false">
      <c r="A221" s="2" t="n">
        <v>49</v>
      </c>
      <c r="B221" s="2" t="s">
        <v>24</v>
      </c>
      <c r="C221" s="2" t="s">
        <v>18</v>
      </c>
      <c r="D221" s="2" t="s">
        <v>25</v>
      </c>
      <c r="E221" s="2" t="s">
        <v>20</v>
      </c>
      <c r="F221" s="2" t="n">
        <v>400</v>
      </c>
      <c r="G221" s="2" t="s">
        <v>20</v>
      </c>
      <c r="H221" s="2" t="s">
        <v>20</v>
      </c>
      <c r="I221" s="2" t="s">
        <v>21</v>
      </c>
      <c r="J221" s="2" t="n">
        <v>21</v>
      </c>
      <c r="K221" s="2" t="s">
        <v>41</v>
      </c>
      <c r="L221" s="2" t="n">
        <v>151</v>
      </c>
      <c r="M221" s="2" t="n">
        <v>3</v>
      </c>
      <c r="N221" s="2" t="n">
        <v>-1</v>
      </c>
      <c r="O221" s="2" t="n">
        <v>0</v>
      </c>
      <c r="P221" s="2" t="s">
        <v>23</v>
      </c>
      <c r="Q221" s="2" t="s">
        <v>20</v>
      </c>
    </row>
    <row r="222" customFormat="false" ht="15" hidden="false" customHeight="false" outlineLevel="0" collapsed="false">
      <c r="A222" s="2" t="n">
        <v>53</v>
      </c>
      <c r="B222" s="2" t="s">
        <v>48</v>
      </c>
      <c r="C222" s="2" t="s">
        <v>18</v>
      </c>
      <c r="D222" s="2" t="s">
        <v>31</v>
      </c>
      <c r="E222" s="2" t="s">
        <v>20</v>
      </c>
      <c r="F222" s="2" t="n">
        <v>-22</v>
      </c>
      <c r="G222" s="2" t="s">
        <v>26</v>
      </c>
      <c r="H222" s="2" t="s">
        <v>20</v>
      </c>
      <c r="I222" s="2" t="s">
        <v>21</v>
      </c>
      <c r="J222" s="2" t="n">
        <v>31</v>
      </c>
      <c r="K222" s="2" t="s">
        <v>44</v>
      </c>
      <c r="L222" s="2" t="n">
        <v>20</v>
      </c>
      <c r="M222" s="2" t="n">
        <v>3</v>
      </c>
      <c r="N222" s="2" t="n">
        <v>-1</v>
      </c>
      <c r="O222" s="2" t="n">
        <v>0</v>
      </c>
      <c r="P222" s="2" t="s">
        <v>23</v>
      </c>
      <c r="Q222" s="2" t="s">
        <v>20</v>
      </c>
    </row>
    <row r="223" customFormat="false" ht="15" hidden="false" customHeight="false" outlineLevel="0" collapsed="false">
      <c r="A223" s="2" t="n">
        <v>37</v>
      </c>
      <c r="B223" s="2" t="s">
        <v>38</v>
      </c>
      <c r="C223" s="2" t="s">
        <v>18</v>
      </c>
      <c r="D223" s="2" t="s">
        <v>25</v>
      </c>
      <c r="E223" s="2" t="s">
        <v>20</v>
      </c>
      <c r="F223" s="2" t="n">
        <v>4030</v>
      </c>
      <c r="G223" s="2" t="s">
        <v>26</v>
      </c>
      <c r="H223" s="2" t="s">
        <v>20</v>
      </c>
      <c r="I223" s="2" t="s">
        <v>23</v>
      </c>
      <c r="J223" s="2" t="n">
        <v>26</v>
      </c>
      <c r="K223" s="2" t="s">
        <v>27</v>
      </c>
      <c r="L223" s="2" t="n">
        <v>178</v>
      </c>
      <c r="M223" s="2" t="n">
        <v>5</v>
      </c>
      <c r="N223" s="2" t="n">
        <v>-1</v>
      </c>
      <c r="O223" s="2" t="n">
        <v>0</v>
      </c>
      <c r="P223" s="2" t="s">
        <v>23</v>
      </c>
      <c r="Q223" s="2" t="s">
        <v>20</v>
      </c>
    </row>
    <row r="224" customFormat="false" ht="15" hidden="false" customHeight="false" outlineLevel="0" collapsed="false">
      <c r="A224" s="2" t="n">
        <v>49</v>
      </c>
      <c r="B224" s="2" t="s">
        <v>34</v>
      </c>
      <c r="C224" s="2" t="s">
        <v>18</v>
      </c>
      <c r="D224" s="2" t="s">
        <v>19</v>
      </c>
      <c r="E224" s="2" t="s">
        <v>20</v>
      </c>
      <c r="F224" s="2" t="n">
        <v>365</v>
      </c>
      <c r="G224" s="2" t="s">
        <v>20</v>
      </c>
      <c r="H224" s="2" t="s">
        <v>20</v>
      </c>
      <c r="I224" s="2" t="s">
        <v>23</v>
      </c>
      <c r="J224" s="2" t="n">
        <v>26</v>
      </c>
      <c r="K224" s="2" t="s">
        <v>27</v>
      </c>
      <c r="L224" s="2" t="n">
        <v>59</v>
      </c>
      <c r="M224" s="2" t="n">
        <v>2</v>
      </c>
      <c r="N224" s="2" t="n">
        <v>-1</v>
      </c>
      <c r="O224" s="2" t="n">
        <v>0</v>
      </c>
      <c r="P224" s="2" t="s">
        <v>23</v>
      </c>
      <c r="Q224" s="2" t="s">
        <v>20</v>
      </c>
    </row>
    <row r="225" customFormat="false" ht="15" hidden="false" customHeight="false" outlineLevel="0" collapsed="false">
      <c r="A225" s="2" t="n">
        <v>41</v>
      </c>
      <c r="B225" s="2" t="s">
        <v>36</v>
      </c>
      <c r="C225" s="2" t="s">
        <v>18</v>
      </c>
      <c r="D225" s="2" t="s">
        <v>19</v>
      </c>
      <c r="E225" s="2" t="s">
        <v>20</v>
      </c>
      <c r="F225" s="2" t="n">
        <v>204</v>
      </c>
      <c r="G225" s="2" t="s">
        <v>20</v>
      </c>
      <c r="H225" s="2" t="s">
        <v>20</v>
      </c>
      <c r="I225" s="2" t="s">
        <v>21</v>
      </c>
      <c r="J225" s="2" t="n">
        <v>13</v>
      </c>
      <c r="K225" s="2" t="s">
        <v>41</v>
      </c>
      <c r="L225" s="2" t="n">
        <v>111</v>
      </c>
      <c r="M225" s="2" t="n">
        <v>7</v>
      </c>
      <c r="N225" s="2" t="n">
        <v>-1</v>
      </c>
      <c r="O225" s="2" t="n">
        <v>0</v>
      </c>
      <c r="P225" s="2" t="s">
        <v>23</v>
      </c>
      <c r="Q225" s="2" t="s">
        <v>20</v>
      </c>
    </row>
    <row r="226" customFormat="false" ht="15" hidden="false" customHeight="false" outlineLevel="0" collapsed="false">
      <c r="A226" s="2" t="n">
        <v>54</v>
      </c>
      <c r="B226" s="2" t="s">
        <v>29</v>
      </c>
      <c r="C226" s="2" t="s">
        <v>18</v>
      </c>
      <c r="D226" s="2" t="s">
        <v>19</v>
      </c>
      <c r="E226" s="2" t="s">
        <v>20</v>
      </c>
      <c r="F226" s="2" t="n">
        <v>1691</v>
      </c>
      <c r="G226" s="2" t="s">
        <v>26</v>
      </c>
      <c r="H226" s="2" t="s">
        <v>20</v>
      </c>
      <c r="I226" s="2" t="s">
        <v>21</v>
      </c>
      <c r="J226" s="2" t="n">
        <v>20</v>
      </c>
      <c r="K226" s="2" t="s">
        <v>46</v>
      </c>
      <c r="L226" s="2" t="n">
        <v>186</v>
      </c>
      <c r="M226" s="2" t="n">
        <v>1</v>
      </c>
      <c r="N226" s="2" t="n">
        <v>-1</v>
      </c>
      <c r="O226" s="2" t="n">
        <v>0</v>
      </c>
      <c r="P226" s="2" t="s">
        <v>23</v>
      </c>
      <c r="Q226" s="2" t="s">
        <v>20</v>
      </c>
    </row>
    <row r="227" customFormat="false" ht="15" hidden="false" customHeight="false" outlineLevel="0" collapsed="false">
      <c r="A227" s="2" t="n">
        <v>32</v>
      </c>
      <c r="B227" s="2" t="s">
        <v>24</v>
      </c>
      <c r="C227" s="2" t="s">
        <v>30</v>
      </c>
      <c r="D227" s="2" t="s">
        <v>25</v>
      </c>
      <c r="E227" s="2" t="s">
        <v>20</v>
      </c>
      <c r="F227" s="2" t="n">
        <v>406</v>
      </c>
      <c r="G227" s="2" t="s">
        <v>26</v>
      </c>
      <c r="H227" s="2" t="s">
        <v>20</v>
      </c>
      <c r="I227" s="2" t="s">
        <v>23</v>
      </c>
      <c r="J227" s="2" t="n">
        <v>6</v>
      </c>
      <c r="K227" s="2" t="s">
        <v>27</v>
      </c>
      <c r="L227" s="2" t="n">
        <v>227</v>
      </c>
      <c r="M227" s="2" t="n">
        <v>1</v>
      </c>
      <c r="N227" s="2" t="n">
        <v>-1</v>
      </c>
      <c r="O227" s="2" t="n">
        <v>0</v>
      </c>
      <c r="P227" s="2" t="s">
        <v>23</v>
      </c>
      <c r="Q227" s="2" t="s">
        <v>20</v>
      </c>
    </row>
    <row r="228" customFormat="false" ht="15" hidden="false" customHeight="false" outlineLevel="0" collapsed="false">
      <c r="A228" s="2" t="n">
        <v>33</v>
      </c>
      <c r="B228" s="2" t="s">
        <v>38</v>
      </c>
      <c r="C228" s="2" t="s">
        <v>18</v>
      </c>
      <c r="D228" s="2" t="s">
        <v>25</v>
      </c>
      <c r="E228" s="2" t="s">
        <v>20</v>
      </c>
      <c r="F228" s="2" t="n">
        <v>-204</v>
      </c>
      <c r="G228" s="2" t="s">
        <v>20</v>
      </c>
      <c r="H228" s="2" t="s">
        <v>20</v>
      </c>
      <c r="I228" s="2" t="s">
        <v>21</v>
      </c>
      <c r="J228" s="2" t="n">
        <v>15</v>
      </c>
      <c r="K228" s="2" t="s">
        <v>27</v>
      </c>
      <c r="L228" s="2" t="n">
        <v>297</v>
      </c>
      <c r="M228" s="2" t="n">
        <v>3</v>
      </c>
      <c r="N228" s="2" t="n">
        <v>-1</v>
      </c>
      <c r="O228" s="2" t="n">
        <v>0</v>
      </c>
      <c r="P228" s="2" t="s">
        <v>23</v>
      </c>
      <c r="Q228" s="2" t="s">
        <v>20</v>
      </c>
    </row>
    <row r="229" customFormat="false" ht="15" hidden="false" customHeight="false" outlineLevel="0" collapsed="false">
      <c r="A229" s="2" t="n">
        <v>33</v>
      </c>
      <c r="B229" s="2" t="s">
        <v>38</v>
      </c>
      <c r="C229" s="2" t="s">
        <v>18</v>
      </c>
      <c r="D229" s="2" t="s">
        <v>25</v>
      </c>
      <c r="E229" s="2" t="s">
        <v>20</v>
      </c>
      <c r="F229" s="2" t="n">
        <v>359</v>
      </c>
      <c r="G229" s="2" t="s">
        <v>26</v>
      </c>
      <c r="H229" s="2" t="s">
        <v>20</v>
      </c>
      <c r="I229" s="2" t="s">
        <v>21</v>
      </c>
      <c r="J229" s="2" t="n">
        <v>20</v>
      </c>
      <c r="K229" s="2" t="s">
        <v>32</v>
      </c>
      <c r="L229" s="2" t="n">
        <v>210</v>
      </c>
      <c r="M229" s="2" t="n">
        <v>1</v>
      </c>
      <c r="N229" s="2" t="n">
        <v>242</v>
      </c>
      <c r="O229" s="2" t="n">
        <v>1</v>
      </c>
      <c r="P229" s="2" t="s">
        <v>37</v>
      </c>
      <c r="Q229" s="2" t="s">
        <v>20</v>
      </c>
    </row>
    <row r="230" customFormat="false" ht="15" hidden="false" customHeight="false" outlineLevel="0" collapsed="false">
      <c r="A230" s="2" t="n">
        <v>36</v>
      </c>
      <c r="B230" s="2" t="s">
        <v>34</v>
      </c>
      <c r="C230" s="2" t="s">
        <v>18</v>
      </c>
      <c r="D230" s="2" t="s">
        <v>19</v>
      </c>
      <c r="E230" s="2" t="s">
        <v>20</v>
      </c>
      <c r="F230" s="2" t="n">
        <v>123</v>
      </c>
      <c r="G230" s="2" t="s">
        <v>26</v>
      </c>
      <c r="H230" s="2" t="s">
        <v>20</v>
      </c>
      <c r="I230" s="2" t="s">
        <v>21</v>
      </c>
      <c r="J230" s="2" t="n">
        <v>18</v>
      </c>
      <c r="K230" s="2" t="s">
        <v>27</v>
      </c>
      <c r="L230" s="2" t="n">
        <v>9</v>
      </c>
      <c r="M230" s="2" t="n">
        <v>1</v>
      </c>
      <c r="N230" s="2" t="n">
        <v>-1</v>
      </c>
      <c r="O230" s="2" t="n">
        <v>0</v>
      </c>
      <c r="P230" s="2" t="s">
        <v>23</v>
      </c>
      <c r="Q230" s="2" t="s">
        <v>20</v>
      </c>
    </row>
    <row r="231" customFormat="false" ht="15" hidden="false" customHeight="false" outlineLevel="0" collapsed="false">
      <c r="A231" s="2" t="n">
        <v>35</v>
      </c>
      <c r="B231" s="2" t="s">
        <v>38</v>
      </c>
      <c r="C231" s="2" t="s">
        <v>18</v>
      </c>
      <c r="D231" s="2" t="s">
        <v>31</v>
      </c>
      <c r="E231" s="2" t="s">
        <v>20</v>
      </c>
      <c r="F231" s="2" t="n">
        <v>0</v>
      </c>
      <c r="G231" s="2" t="s">
        <v>26</v>
      </c>
      <c r="H231" s="2" t="s">
        <v>26</v>
      </c>
      <c r="I231" s="2" t="s">
        <v>21</v>
      </c>
      <c r="J231" s="2" t="n">
        <v>23</v>
      </c>
      <c r="K231" s="2" t="s">
        <v>51</v>
      </c>
      <c r="L231" s="2" t="n">
        <v>112</v>
      </c>
      <c r="M231" s="2" t="n">
        <v>1</v>
      </c>
      <c r="N231" s="2" t="n">
        <v>62</v>
      </c>
      <c r="O231" s="2" t="n">
        <v>6</v>
      </c>
      <c r="P231" s="2" t="s">
        <v>37</v>
      </c>
      <c r="Q231" s="2" t="s">
        <v>20</v>
      </c>
    </row>
    <row r="232" customFormat="false" ht="15" hidden="false" customHeight="false" outlineLevel="0" collapsed="false">
      <c r="A232" s="2" t="n">
        <v>52</v>
      </c>
      <c r="B232" s="2" t="s">
        <v>23</v>
      </c>
      <c r="C232" s="2" t="s">
        <v>18</v>
      </c>
      <c r="D232" s="2" t="s">
        <v>25</v>
      </c>
      <c r="E232" s="2" t="s">
        <v>20</v>
      </c>
      <c r="F232" s="2" t="n">
        <v>142</v>
      </c>
      <c r="G232" s="2" t="s">
        <v>20</v>
      </c>
      <c r="H232" s="2" t="s">
        <v>20</v>
      </c>
      <c r="I232" s="2" t="s">
        <v>21</v>
      </c>
      <c r="J232" s="2" t="n">
        <v>25</v>
      </c>
      <c r="K232" s="2" t="s">
        <v>41</v>
      </c>
      <c r="L232" s="2" t="n">
        <v>112</v>
      </c>
      <c r="M232" s="2" t="n">
        <v>6</v>
      </c>
      <c r="N232" s="2" t="n">
        <v>-1</v>
      </c>
      <c r="O232" s="2" t="n">
        <v>0</v>
      </c>
      <c r="P232" s="2" t="s">
        <v>23</v>
      </c>
      <c r="Q232" s="2" t="s">
        <v>20</v>
      </c>
    </row>
    <row r="233" customFormat="false" ht="15" hidden="false" customHeight="false" outlineLevel="0" collapsed="false">
      <c r="A233" s="2" t="n">
        <v>40</v>
      </c>
      <c r="B233" s="2" t="s">
        <v>39</v>
      </c>
      <c r="C233" s="2" t="s">
        <v>18</v>
      </c>
      <c r="D233" s="2" t="s">
        <v>31</v>
      </c>
      <c r="E233" s="2" t="s">
        <v>20</v>
      </c>
      <c r="F233" s="2" t="n">
        <v>3571</v>
      </c>
      <c r="G233" s="2" t="s">
        <v>20</v>
      </c>
      <c r="H233" s="2" t="s">
        <v>20</v>
      </c>
      <c r="I233" s="2" t="s">
        <v>23</v>
      </c>
      <c r="J233" s="2" t="n">
        <v>9</v>
      </c>
      <c r="K233" s="2" t="s">
        <v>33</v>
      </c>
      <c r="L233" s="2" t="n">
        <v>222</v>
      </c>
      <c r="M233" s="2" t="n">
        <v>3</v>
      </c>
      <c r="N233" s="2" t="n">
        <v>-1</v>
      </c>
      <c r="O233" s="2" t="n">
        <v>0</v>
      </c>
      <c r="P233" s="2" t="s">
        <v>23</v>
      </c>
      <c r="Q233" s="2" t="s">
        <v>20</v>
      </c>
    </row>
    <row r="234" customFormat="false" ht="15" hidden="false" customHeight="false" outlineLevel="0" collapsed="false">
      <c r="A234" s="2" t="n">
        <v>44</v>
      </c>
      <c r="B234" s="2" t="s">
        <v>38</v>
      </c>
      <c r="C234" s="2" t="s">
        <v>30</v>
      </c>
      <c r="D234" s="2" t="s">
        <v>25</v>
      </c>
      <c r="E234" s="2" t="s">
        <v>20</v>
      </c>
      <c r="F234" s="2" t="n">
        <v>33</v>
      </c>
      <c r="G234" s="2" t="s">
        <v>26</v>
      </c>
      <c r="H234" s="2" t="s">
        <v>20</v>
      </c>
      <c r="I234" s="2" t="s">
        <v>21</v>
      </c>
      <c r="J234" s="2" t="n">
        <v>13</v>
      </c>
      <c r="K234" s="2" t="s">
        <v>27</v>
      </c>
      <c r="L234" s="2" t="n">
        <v>195</v>
      </c>
      <c r="M234" s="2" t="n">
        <v>3</v>
      </c>
      <c r="N234" s="2" t="n">
        <v>351</v>
      </c>
      <c r="O234" s="2" t="n">
        <v>10</v>
      </c>
      <c r="P234" s="2" t="s">
        <v>28</v>
      </c>
      <c r="Q234" s="2" t="s">
        <v>20</v>
      </c>
    </row>
    <row r="235" customFormat="false" ht="15" hidden="false" customHeight="false" outlineLevel="0" collapsed="false">
      <c r="A235" s="2" t="n">
        <v>45</v>
      </c>
      <c r="B235" s="2" t="s">
        <v>34</v>
      </c>
      <c r="C235" s="2" t="s">
        <v>30</v>
      </c>
      <c r="D235" s="2" t="s">
        <v>25</v>
      </c>
      <c r="E235" s="2" t="s">
        <v>20</v>
      </c>
      <c r="F235" s="2" t="n">
        <v>0</v>
      </c>
      <c r="G235" s="2" t="s">
        <v>26</v>
      </c>
      <c r="H235" s="2" t="s">
        <v>20</v>
      </c>
      <c r="I235" s="2" t="s">
        <v>21</v>
      </c>
      <c r="J235" s="2" t="n">
        <v>26</v>
      </c>
      <c r="K235" s="2" t="s">
        <v>44</v>
      </c>
      <c r="L235" s="2" t="n">
        <v>768</v>
      </c>
      <c r="M235" s="2" t="n">
        <v>2</v>
      </c>
      <c r="N235" s="2" t="n">
        <v>91</v>
      </c>
      <c r="O235" s="2" t="n">
        <v>5</v>
      </c>
      <c r="P235" s="2" t="s">
        <v>50</v>
      </c>
      <c r="Q235" s="2" t="s">
        <v>20</v>
      </c>
    </row>
    <row r="236" customFormat="false" ht="15" hidden="false" customHeight="false" outlineLevel="0" collapsed="false">
      <c r="A236" s="2" t="n">
        <v>30</v>
      </c>
      <c r="B236" s="2" t="s">
        <v>42</v>
      </c>
      <c r="C236" s="2" t="s">
        <v>30</v>
      </c>
      <c r="D236" s="2" t="s">
        <v>25</v>
      </c>
      <c r="E236" s="2" t="s">
        <v>20</v>
      </c>
      <c r="F236" s="2" t="n">
        <v>3096</v>
      </c>
      <c r="G236" s="2" t="s">
        <v>20</v>
      </c>
      <c r="H236" s="2" t="s">
        <v>20</v>
      </c>
      <c r="I236" s="2" t="s">
        <v>21</v>
      </c>
      <c r="J236" s="2" t="n">
        <v>26</v>
      </c>
      <c r="K236" s="2" t="s">
        <v>43</v>
      </c>
      <c r="L236" s="2" t="n">
        <v>123</v>
      </c>
      <c r="M236" s="2" t="n">
        <v>1</v>
      </c>
      <c r="N236" s="2" t="n">
        <v>-1</v>
      </c>
      <c r="O236" s="2" t="n">
        <v>0</v>
      </c>
      <c r="P236" s="2" t="s">
        <v>23</v>
      </c>
      <c r="Q236" s="2" t="s">
        <v>20</v>
      </c>
    </row>
    <row r="237" customFormat="false" ht="15" hidden="false" customHeight="false" outlineLevel="0" collapsed="false">
      <c r="A237" s="2" t="n">
        <v>48</v>
      </c>
      <c r="B237" s="2" t="s">
        <v>38</v>
      </c>
      <c r="C237" s="2" t="s">
        <v>45</v>
      </c>
      <c r="D237" s="2" t="s">
        <v>25</v>
      </c>
      <c r="E237" s="2" t="s">
        <v>26</v>
      </c>
      <c r="F237" s="2" t="n">
        <v>20</v>
      </c>
      <c r="G237" s="2" t="s">
        <v>20</v>
      </c>
      <c r="H237" s="2" t="s">
        <v>20</v>
      </c>
      <c r="I237" s="2" t="s">
        <v>21</v>
      </c>
      <c r="J237" s="2" t="n">
        <v>27</v>
      </c>
      <c r="K237" s="2" t="s">
        <v>41</v>
      </c>
      <c r="L237" s="2" t="n">
        <v>145</v>
      </c>
      <c r="M237" s="2" t="n">
        <v>3</v>
      </c>
      <c r="N237" s="2" t="n">
        <v>-1</v>
      </c>
      <c r="O237" s="2" t="n">
        <v>0</v>
      </c>
      <c r="P237" s="2" t="s">
        <v>23</v>
      </c>
      <c r="Q237" s="2" t="s">
        <v>20</v>
      </c>
    </row>
    <row r="238" customFormat="false" ht="15" hidden="false" customHeight="false" outlineLevel="0" collapsed="false">
      <c r="A238" s="2" t="n">
        <v>33</v>
      </c>
      <c r="B238" s="2" t="s">
        <v>34</v>
      </c>
      <c r="C238" s="2" t="s">
        <v>18</v>
      </c>
      <c r="D238" s="2" t="s">
        <v>25</v>
      </c>
      <c r="E238" s="2" t="s">
        <v>20</v>
      </c>
      <c r="F238" s="2" t="n">
        <v>3576</v>
      </c>
      <c r="G238" s="2" t="s">
        <v>26</v>
      </c>
      <c r="H238" s="2" t="s">
        <v>20</v>
      </c>
      <c r="I238" s="2" t="s">
        <v>21</v>
      </c>
      <c r="J238" s="2" t="n">
        <v>2</v>
      </c>
      <c r="K238" s="2" t="s">
        <v>32</v>
      </c>
      <c r="L238" s="2" t="n">
        <v>124</v>
      </c>
      <c r="M238" s="2" t="n">
        <v>1</v>
      </c>
      <c r="N238" s="2" t="n">
        <v>308</v>
      </c>
      <c r="O238" s="2" t="n">
        <v>2</v>
      </c>
      <c r="P238" s="2" t="s">
        <v>37</v>
      </c>
      <c r="Q238" s="2" t="s">
        <v>20</v>
      </c>
    </row>
    <row r="239" customFormat="false" ht="15" hidden="false" customHeight="false" outlineLevel="0" collapsed="false">
      <c r="A239" s="2" t="n">
        <v>57</v>
      </c>
      <c r="B239" s="2" t="s">
        <v>38</v>
      </c>
      <c r="C239" s="2" t="s">
        <v>18</v>
      </c>
      <c r="D239" s="2" t="s">
        <v>23</v>
      </c>
      <c r="E239" s="2" t="s">
        <v>20</v>
      </c>
      <c r="F239" s="2" t="n">
        <v>206</v>
      </c>
      <c r="G239" s="2" t="s">
        <v>26</v>
      </c>
      <c r="H239" s="2" t="s">
        <v>20</v>
      </c>
      <c r="I239" s="2" t="s">
        <v>23</v>
      </c>
      <c r="J239" s="2" t="n">
        <v>5</v>
      </c>
      <c r="K239" s="2" t="s">
        <v>27</v>
      </c>
      <c r="L239" s="2" t="n">
        <v>216</v>
      </c>
      <c r="M239" s="2" t="n">
        <v>3</v>
      </c>
      <c r="N239" s="2" t="n">
        <v>-1</v>
      </c>
      <c r="O239" s="2" t="n">
        <v>0</v>
      </c>
      <c r="P239" s="2" t="s">
        <v>23</v>
      </c>
      <c r="Q239" s="2" t="s">
        <v>20</v>
      </c>
    </row>
    <row r="240" customFormat="false" ht="15" hidden="false" customHeight="false" outlineLevel="0" collapsed="false">
      <c r="A240" s="2" t="n">
        <v>57</v>
      </c>
      <c r="B240" s="2" t="s">
        <v>47</v>
      </c>
      <c r="C240" s="2" t="s">
        <v>18</v>
      </c>
      <c r="D240" s="2" t="s">
        <v>19</v>
      </c>
      <c r="E240" s="2" t="s">
        <v>20</v>
      </c>
      <c r="F240" s="2" t="n">
        <v>7082</v>
      </c>
      <c r="G240" s="2" t="s">
        <v>20</v>
      </c>
      <c r="H240" s="2" t="s">
        <v>20</v>
      </c>
      <c r="I240" s="2" t="s">
        <v>23</v>
      </c>
      <c r="J240" s="2" t="n">
        <v>6</v>
      </c>
      <c r="K240" s="2" t="s">
        <v>33</v>
      </c>
      <c r="L240" s="2" t="n">
        <v>69</v>
      </c>
      <c r="M240" s="2" t="n">
        <v>3</v>
      </c>
      <c r="N240" s="2" t="n">
        <v>-1</v>
      </c>
      <c r="O240" s="2" t="n">
        <v>0</v>
      </c>
      <c r="P240" s="2" t="s">
        <v>23</v>
      </c>
      <c r="Q240" s="2" t="s">
        <v>20</v>
      </c>
    </row>
    <row r="241" customFormat="false" ht="15" hidden="false" customHeight="false" outlineLevel="0" collapsed="false">
      <c r="A241" s="2" t="n">
        <v>51</v>
      </c>
      <c r="B241" s="2" t="s">
        <v>17</v>
      </c>
      <c r="C241" s="2" t="s">
        <v>18</v>
      </c>
      <c r="D241" s="2" t="s">
        <v>31</v>
      </c>
      <c r="E241" s="2" t="s">
        <v>20</v>
      </c>
      <c r="F241" s="2" t="n">
        <v>1634</v>
      </c>
      <c r="G241" s="2" t="s">
        <v>26</v>
      </c>
      <c r="H241" s="2" t="s">
        <v>20</v>
      </c>
      <c r="I241" s="2" t="s">
        <v>21</v>
      </c>
      <c r="J241" s="2" t="n">
        <v>22</v>
      </c>
      <c r="K241" s="2" t="s">
        <v>44</v>
      </c>
      <c r="L241" s="2" t="n">
        <v>168</v>
      </c>
      <c r="M241" s="2" t="n">
        <v>4</v>
      </c>
      <c r="N241" s="2" t="n">
        <v>-1</v>
      </c>
      <c r="O241" s="2" t="n">
        <v>0</v>
      </c>
      <c r="P241" s="2" t="s">
        <v>23</v>
      </c>
      <c r="Q241" s="2" t="s">
        <v>20</v>
      </c>
    </row>
    <row r="242" customFormat="false" ht="15" hidden="false" customHeight="false" outlineLevel="0" collapsed="false">
      <c r="A242" s="2" t="n">
        <v>34</v>
      </c>
      <c r="B242" s="2" t="s">
        <v>40</v>
      </c>
      <c r="C242" s="2" t="s">
        <v>30</v>
      </c>
      <c r="D242" s="2" t="s">
        <v>25</v>
      </c>
      <c r="E242" s="2" t="s">
        <v>20</v>
      </c>
      <c r="F242" s="2" t="n">
        <v>1</v>
      </c>
      <c r="G242" s="2" t="s">
        <v>26</v>
      </c>
      <c r="H242" s="2" t="s">
        <v>20</v>
      </c>
      <c r="I242" s="2" t="s">
        <v>21</v>
      </c>
      <c r="J242" s="2" t="n">
        <v>22</v>
      </c>
      <c r="K242" s="2" t="s">
        <v>44</v>
      </c>
      <c r="L242" s="2" t="n">
        <v>483</v>
      </c>
      <c r="M242" s="2" t="n">
        <v>7</v>
      </c>
      <c r="N242" s="2" t="n">
        <v>-1</v>
      </c>
      <c r="O242" s="2" t="n">
        <v>0</v>
      </c>
      <c r="P242" s="2" t="s">
        <v>23</v>
      </c>
      <c r="Q242" s="2" t="s">
        <v>20</v>
      </c>
    </row>
    <row r="243" customFormat="false" ht="15" hidden="false" customHeight="false" outlineLevel="0" collapsed="false">
      <c r="A243" s="2" t="n">
        <v>50</v>
      </c>
      <c r="B243" s="2" t="s">
        <v>36</v>
      </c>
      <c r="C243" s="2" t="s">
        <v>18</v>
      </c>
      <c r="D243" s="2" t="s">
        <v>31</v>
      </c>
      <c r="E243" s="2" t="s">
        <v>20</v>
      </c>
      <c r="F243" s="2" t="n">
        <v>4012</v>
      </c>
      <c r="G243" s="2" t="s">
        <v>20</v>
      </c>
      <c r="H243" s="2" t="s">
        <v>20</v>
      </c>
      <c r="I243" s="2" t="s">
        <v>21</v>
      </c>
      <c r="J243" s="2" t="n">
        <v>19</v>
      </c>
      <c r="K243" s="2" t="s">
        <v>46</v>
      </c>
      <c r="L243" s="2" t="n">
        <v>690</v>
      </c>
      <c r="M243" s="2" t="n">
        <v>3</v>
      </c>
      <c r="N243" s="2" t="n">
        <v>-1</v>
      </c>
      <c r="O243" s="2" t="n">
        <v>0</v>
      </c>
      <c r="P243" s="2" t="s">
        <v>23</v>
      </c>
      <c r="Q243" s="2" t="s">
        <v>20</v>
      </c>
    </row>
    <row r="244" customFormat="false" ht="15" hidden="false" customHeight="false" outlineLevel="0" collapsed="false">
      <c r="A244" s="2" t="n">
        <v>44</v>
      </c>
      <c r="B244" s="2" t="s">
        <v>29</v>
      </c>
      <c r="C244" s="2" t="s">
        <v>18</v>
      </c>
      <c r="D244" s="2" t="s">
        <v>31</v>
      </c>
      <c r="E244" s="2" t="s">
        <v>20</v>
      </c>
      <c r="F244" s="2" t="n">
        <v>3762</v>
      </c>
      <c r="G244" s="2" t="s">
        <v>20</v>
      </c>
      <c r="H244" s="2" t="s">
        <v>20</v>
      </c>
      <c r="I244" s="2" t="s">
        <v>21</v>
      </c>
      <c r="J244" s="2" t="n">
        <v>28</v>
      </c>
      <c r="K244" s="2" t="s">
        <v>41</v>
      </c>
      <c r="L244" s="2" t="n">
        <v>125</v>
      </c>
      <c r="M244" s="2" t="n">
        <v>12</v>
      </c>
      <c r="N244" s="2" t="n">
        <v>-1</v>
      </c>
      <c r="O244" s="2" t="n">
        <v>0</v>
      </c>
      <c r="P244" s="2" t="s">
        <v>23</v>
      </c>
      <c r="Q244" s="2" t="s">
        <v>20</v>
      </c>
    </row>
    <row r="245" customFormat="false" ht="15" hidden="false" customHeight="false" outlineLevel="0" collapsed="false">
      <c r="A245" s="2" t="n">
        <v>27</v>
      </c>
      <c r="B245" s="2" t="s">
        <v>40</v>
      </c>
      <c r="C245" s="2" t="s">
        <v>18</v>
      </c>
      <c r="D245" s="2" t="s">
        <v>25</v>
      </c>
      <c r="E245" s="2" t="s">
        <v>20</v>
      </c>
      <c r="F245" s="2" t="n">
        <v>-247</v>
      </c>
      <c r="G245" s="2" t="s">
        <v>26</v>
      </c>
      <c r="H245" s="2" t="s">
        <v>26</v>
      </c>
      <c r="I245" s="2" t="s">
        <v>23</v>
      </c>
      <c r="J245" s="2" t="n">
        <v>4</v>
      </c>
      <c r="K245" s="2" t="s">
        <v>33</v>
      </c>
      <c r="L245" s="2" t="n">
        <v>344</v>
      </c>
      <c r="M245" s="2" t="n">
        <v>2</v>
      </c>
      <c r="N245" s="2" t="n">
        <v>-1</v>
      </c>
      <c r="O245" s="2" t="n">
        <v>0</v>
      </c>
      <c r="P245" s="2" t="s">
        <v>23</v>
      </c>
      <c r="Q245" s="2" t="s">
        <v>20</v>
      </c>
    </row>
    <row r="246" customFormat="false" ht="15" hidden="false" customHeight="false" outlineLevel="0" collapsed="false">
      <c r="A246" s="2" t="n">
        <v>50</v>
      </c>
      <c r="B246" s="2" t="s">
        <v>34</v>
      </c>
      <c r="C246" s="2" t="s">
        <v>18</v>
      </c>
      <c r="D246" s="2" t="s">
        <v>25</v>
      </c>
      <c r="E246" s="2" t="s">
        <v>20</v>
      </c>
      <c r="F246" s="2" t="n">
        <v>606</v>
      </c>
      <c r="G246" s="2" t="s">
        <v>26</v>
      </c>
      <c r="H246" s="2" t="s">
        <v>20</v>
      </c>
      <c r="I246" s="2" t="s">
        <v>23</v>
      </c>
      <c r="J246" s="2" t="n">
        <v>14</v>
      </c>
      <c r="K246" s="2" t="s">
        <v>27</v>
      </c>
      <c r="L246" s="2" t="n">
        <v>673</v>
      </c>
      <c r="M246" s="2" t="n">
        <v>2</v>
      </c>
      <c r="N246" s="2" t="n">
        <v>-1</v>
      </c>
      <c r="O246" s="2" t="n">
        <v>0</v>
      </c>
      <c r="P246" s="2" t="s">
        <v>23</v>
      </c>
      <c r="Q246" s="2" t="s">
        <v>20</v>
      </c>
    </row>
    <row r="247" customFormat="false" ht="15" hidden="false" customHeight="false" outlineLevel="0" collapsed="false">
      <c r="A247" s="2" t="n">
        <v>36</v>
      </c>
      <c r="B247" s="2" t="s">
        <v>29</v>
      </c>
      <c r="C247" s="2" t="s">
        <v>18</v>
      </c>
      <c r="D247" s="2" t="s">
        <v>31</v>
      </c>
      <c r="E247" s="2" t="s">
        <v>20</v>
      </c>
      <c r="F247" s="2" t="n">
        <v>0</v>
      </c>
      <c r="G247" s="2" t="s">
        <v>26</v>
      </c>
      <c r="H247" s="2" t="s">
        <v>20</v>
      </c>
      <c r="I247" s="2" t="s">
        <v>21</v>
      </c>
      <c r="J247" s="2" t="n">
        <v>28</v>
      </c>
      <c r="K247" s="2" t="s">
        <v>43</v>
      </c>
      <c r="L247" s="2" t="n">
        <v>60</v>
      </c>
      <c r="M247" s="2" t="n">
        <v>1</v>
      </c>
      <c r="N247" s="2" t="n">
        <v>250</v>
      </c>
      <c r="O247" s="2" t="n">
        <v>1</v>
      </c>
      <c r="P247" s="2" t="s">
        <v>37</v>
      </c>
      <c r="Q247" s="2" t="s">
        <v>20</v>
      </c>
    </row>
    <row r="248" customFormat="false" ht="15" hidden="false" customHeight="false" outlineLevel="0" collapsed="false">
      <c r="A248" s="2" t="n">
        <v>42</v>
      </c>
      <c r="B248" s="2" t="s">
        <v>29</v>
      </c>
      <c r="C248" s="2" t="s">
        <v>18</v>
      </c>
      <c r="D248" s="2" t="s">
        <v>25</v>
      </c>
      <c r="E248" s="2" t="s">
        <v>20</v>
      </c>
      <c r="F248" s="2" t="n">
        <v>-189</v>
      </c>
      <c r="G248" s="2" t="s">
        <v>26</v>
      </c>
      <c r="H248" s="2" t="s">
        <v>20</v>
      </c>
      <c r="I248" s="2" t="s">
        <v>23</v>
      </c>
      <c r="J248" s="2" t="n">
        <v>12</v>
      </c>
      <c r="K248" s="2" t="s">
        <v>27</v>
      </c>
      <c r="L248" s="2" t="n">
        <v>247</v>
      </c>
      <c r="M248" s="2" t="n">
        <v>2</v>
      </c>
      <c r="N248" s="2" t="n">
        <v>-1</v>
      </c>
      <c r="O248" s="2" t="n">
        <v>0</v>
      </c>
      <c r="P248" s="2" t="s">
        <v>23</v>
      </c>
      <c r="Q248" s="2" t="s">
        <v>20</v>
      </c>
    </row>
    <row r="249" customFormat="false" ht="15" hidden="false" customHeight="false" outlineLevel="0" collapsed="false">
      <c r="A249" s="2" t="n">
        <v>32</v>
      </c>
      <c r="B249" s="2" t="s">
        <v>17</v>
      </c>
      <c r="C249" s="2" t="s">
        <v>30</v>
      </c>
      <c r="D249" s="2" t="s">
        <v>25</v>
      </c>
      <c r="E249" s="2" t="s">
        <v>20</v>
      </c>
      <c r="F249" s="2" t="n">
        <v>0</v>
      </c>
      <c r="G249" s="2" t="s">
        <v>20</v>
      </c>
      <c r="H249" s="2" t="s">
        <v>20</v>
      </c>
      <c r="I249" s="2" t="s">
        <v>21</v>
      </c>
      <c r="J249" s="2" t="n">
        <v>27</v>
      </c>
      <c r="K249" s="2" t="s">
        <v>27</v>
      </c>
      <c r="L249" s="2" t="n">
        <v>123</v>
      </c>
      <c r="M249" s="2" t="n">
        <v>2</v>
      </c>
      <c r="N249" s="2" t="n">
        <v>-1</v>
      </c>
      <c r="O249" s="2" t="n">
        <v>0</v>
      </c>
      <c r="P249" s="2" t="s">
        <v>23</v>
      </c>
      <c r="Q249" s="2" t="s">
        <v>20</v>
      </c>
    </row>
    <row r="250" customFormat="false" ht="15" hidden="false" customHeight="false" outlineLevel="0" collapsed="false">
      <c r="A250" s="2" t="n">
        <v>42</v>
      </c>
      <c r="B250" s="2" t="s">
        <v>29</v>
      </c>
      <c r="C250" s="2" t="s">
        <v>18</v>
      </c>
      <c r="D250" s="2" t="s">
        <v>31</v>
      </c>
      <c r="E250" s="2" t="s">
        <v>20</v>
      </c>
      <c r="F250" s="2" t="n">
        <v>484</v>
      </c>
      <c r="G250" s="2" t="s">
        <v>26</v>
      </c>
      <c r="H250" s="2" t="s">
        <v>20</v>
      </c>
      <c r="I250" s="2" t="s">
        <v>21</v>
      </c>
      <c r="J250" s="2" t="n">
        <v>11</v>
      </c>
      <c r="K250" s="2" t="s">
        <v>44</v>
      </c>
      <c r="L250" s="2" t="n">
        <v>144</v>
      </c>
      <c r="M250" s="2" t="n">
        <v>2</v>
      </c>
      <c r="N250" s="2" t="n">
        <v>-1</v>
      </c>
      <c r="O250" s="2" t="n">
        <v>0</v>
      </c>
      <c r="P250" s="2" t="s">
        <v>23</v>
      </c>
      <c r="Q250" s="2" t="s">
        <v>20</v>
      </c>
    </row>
    <row r="251" customFormat="false" ht="15" hidden="false" customHeight="false" outlineLevel="0" collapsed="false">
      <c r="A251" s="2" t="n">
        <v>43</v>
      </c>
      <c r="B251" s="2" t="s">
        <v>38</v>
      </c>
      <c r="C251" s="2" t="s">
        <v>18</v>
      </c>
      <c r="D251" s="2" t="s">
        <v>25</v>
      </c>
      <c r="E251" s="2" t="s">
        <v>20</v>
      </c>
      <c r="F251" s="2" t="n">
        <v>0</v>
      </c>
      <c r="G251" s="2" t="s">
        <v>20</v>
      </c>
      <c r="H251" s="2" t="s">
        <v>26</v>
      </c>
      <c r="I251" s="2" t="s">
        <v>21</v>
      </c>
      <c r="J251" s="2" t="n">
        <v>8</v>
      </c>
      <c r="K251" s="2" t="s">
        <v>27</v>
      </c>
      <c r="L251" s="2" t="n">
        <v>9</v>
      </c>
      <c r="M251" s="2" t="n">
        <v>2</v>
      </c>
      <c r="N251" s="2" t="n">
        <v>172</v>
      </c>
      <c r="O251" s="2" t="n">
        <v>5</v>
      </c>
      <c r="P251" s="2" t="s">
        <v>28</v>
      </c>
      <c r="Q251" s="2" t="s">
        <v>20</v>
      </c>
    </row>
    <row r="252" customFormat="false" ht="15" hidden="false" customHeight="false" outlineLevel="0" collapsed="false">
      <c r="A252" s="2" t="n">
        <v>31</v>
      </c>
      <c r="B252" s="2" t="s">
        <v>29</v>
      </c>
      <c r="C252" s="2" t="s">
        <v>18</v>
      </c>
      <c r="D252" s="2" t="s">
        <v>31</v>
      </c>
      <c r="E252" s="2" t="s">
        <v>20</v>
      </c>
      <c r="F252" s="2" t="n">
        <v>395</v>
      </c>
      <c r="G252" s="2" t="s">
        <v>26</v>
      </c>
      <c r="H252" s="2" t="s">
        <v>20</v>
      </c>
      <c r="I252" s="2" t="s">
        <v>21</v>
      </c>
      <c r="J252" s="2" t="n">
        <v>9</v>
      </c>
      <c r="K252" s="2" t="s">
        <v>35</v>
      </c>
      <c r="L252" s="2" t="n">
        <v>155</v>
      </c>
      <c r="M252" s="2" t="n">
        <v>3</v>
      </c>
      <c r="N252" s="2" t="n">
        <v>-1</v>
      </c>
      <c r="O252" s="2" t="n">
        <v>0</v>
      </c>
      <c r="P252" s="2" t="s">
        <v>23</v>
      </c>
      <c r="Q252" s="2" t="s">
        <v>20</v>
      </c>
    </row>
    <row r="253" customFormat="false" ht="15" hidden="false" customHeight="false" outlineLevel="0" collapsed="false">
      <c r="A253" s="2" t="n">
        <v>32</v>
      </c>
      <c r="B253" s="2" t="s">
        <v>29</v>
      </c>
      <c r="C253" s="2" t="s">
        <v>18</v>
      </c>
      <c r="D253" s="2" t="s">
        <v>31</v>
      </c>
      <c r="E253" s="2" t="s">
        <v>20</v>
      </c>
      <c r="F253" s="2" t="n">
        <v>2349</v>
      </c>
      <c r="G253" s="2" t="s">
        <v>20</v>
      </c>
      <c r="H253" s="2" t="s">
        <v>20</v>
      </c>
      <c r="I253" s="2" t="s">
        <v>21</v>
      </c>
      <c r="J253" s="2" t="n">
        <v>14</v>
      </c>
      <c r="K253" s="2" t="s">
        <v>41</v>
      </c>
      <c r="L253" s="2" t="n">
        <v>134</v>
      </c>
      <c r="M253" s="2" t="n">
        <v>5</v>
      </c>
      <c r="N253" s="2" t="n">
        <v>-1</v>
      </c>
      <c r="O253" s="2" t="n">
        <v>0</v>
      </c>
      <c r="P253" s="2" t="s">
        <v>23</v>
      </c>
      <c r="Q253" s="2" t="s">
        <v>20</v>
      </c>
    </row>
    <row r="254" customFormat="false" ht="15" hidden="false" customHeight="false" outlineLevel="0" collapsed="false">
      <c r="A254" s="2" t="n">
        <v>55</v>
      </c>
      <c r="B254" s="2" t="s">
        <v>34</v>
      </c>
      <c r="C254" s="2" t="s">
        <v>45</v>
      </c>
      <c r="D254" s="2" t="s">
        <v>19</v>
      </c>
      <c r="E254" s="2" t="s">
        <v>20</v>
      </c>
      <c r="F254" s="2" t="n">
        <v>410</v>
      </c>
      <c r="G254" s="2" t="s">
        <v>20</v>
      </c>
      <c r="H254" s="2" t="s">
        <v>26</v>
      </c>
      <c r="I254" s="2" t="s">
        <v>21</v>
      </c>
      <c r="J254" s="2" t="n">
        <v>11</v>
      </c>
      <c r="K254" s="2" t="s">
        <v>44</v>
      </c>
      <c r="L254" s="2" t="n">
        <v>221</v>
      </c>
      <c r="M254" s="2" t="n">
        <v>2</v>
      </c>
      <c r="N254" s="2" t="n">
        <v>-1</v>
      </c>
      <c r="O254" s="2" t="n">
        <v>0</v>
      </c>
      <c r="P254" s="2" t="s">
        <v>23</v>
      </c>
      <c r="Q254" s="2" t="s">
        <v>20</v>
      </c>
    </row>
    <row r="255" customFormat="false" ht="15" hidden="false" customHeight="false" outlineLevel="0" collapsed="false">
      <c r="A255" s="2" t="n">
        <v>58</v>
      </c>
      <c r="B255" s="2" t="s">
        <v>48</v>
      </c>
      <c r="C255" s="2" t="s">
        <v>18</v>
      </c>
      <c r="D255" s="2" t="s">
        <v>19</v>
      </c>
      <c r="E255" s="2" t="s">
        <v>20</v>
      </c>
      <c r="F255" s="2" t="n">
        <v>3401</v>
      </c>
      <c r="G255" s="2" t="s">
        <v>26</v>
      </c>
      <c r="H255" s="2" t="s">
        <v>20</v>
      </c>
      <c r="I255" s="2" t="s">
        <v>21</v>
      </c>
      <c r="J255" s="2" t="n">
        <v>3</v>
      </c>
      <c r="K255" s="2" t="s">
        <v>35</v>
      </c>
      <c r="L255" s="2" t="n">
        <v>84</v>
      </c>
      <c r="M255" s="2" t="n">
        <v>3</v>
      </c>
      <c r="N255" s="2" t="n">
        <v>265</v>
      </c>
      <c r="O255" s="2" t="n">
        <v>2</v>
      </c>
      <c r="P255" s="2" t="s">
        <v>28</v>
      </c>
      <c r="Q255" s="2" t="s">
        <v>20</v>
      </c>
    </row>
    <row r="256" customFormat="false" ht="15" hidden="false" customHeight="false" outlineLevel="0" collapsed="false">
      <c r="A256" s="2" t="n">
        <v>46</v>
      </c>
      <c r="B256" s="2" t="s">
        <v>34</v>
      </c>
      <c r="C256" s="2" t="s">
        <v>18</v>
      </c>
      <c r="D256" s="2" t="s">
        <v>19</v>
      </c>
      <c r="E256" s="2" t="s">
        <v>20</v>
      </c>
      <c r="F256" s="2" t="n">
        <v>222</v>
      </c>
      <c r="G256" s="2" t="s">
        <v>20</v>
      </c>
      <c r="H256" s="2" t="s">
        <v>20</v>
      </c>
      <c r="I256" s="2" t="s">
        <v>21</v>
      </c>
      <c r="J256" s="2" t="n">
        <v>8</v>
      </c>
      <c r="K256" s="2" t="s">
        <v>41</v>
      </c>
      <c r="L256" s="2" t="n">
        <v>71</v>
      </c>
      <c r="M256" s="2" t="n">
        <v>2</v>
      </c>
      <c r="N256" s="2" t="n">
        <v>-1</v>
      </c>
      <c r="O256" s="2" t="n">
        <v>0</v>
      </c>
      <c r="P256" s="2" t="s">
        <v>23</v>
      </c>
      <c r="Q256" s="2" t="s">
        <v>20</v>
      </c>
    </row>
    <row r="257" customFormat="false" ht="15" hidden="false" customHeight="false" outlineLevel="0" collapsed="false">
      <c r="A257" s="2" t="n">
        <v>55</v>
      </c>
      <c r="B257" s="2" t="s">
        <v>34</v>
      </c>
      <c r="C257" s="2" t="s">
        <v>18</v>
      </c>
      <c r="D257" s="2" t="s">
        <v>25</v>
      </c>
      <c r="E257" s="2" t="s">
        <v>20</v>
      </c>
      <c r="F257" s="2" t="n">
        <v>989</v>
      </c>
      <c r="G257" s="2" t="s">
        <v>26</v>
      </c>
      <c r="H257" s="2" t="s">
        <v>26</v>
      </c>
      <c r="I257" s="2" t="s">
        <v>23</v>
      </c>
      <c r="J257" s="2" t="n">
        <v>23</v>
      </c>
      <c r="K257" s="2" t="s">
        <v>27</v>
      </c>
      <c r="L257" s="2" t="n">
        <v>246</v>
      </c>
      <c r="M257" s="2" t="n">
        <v>4</v>
      </c>
      <c r="N257" s="2" t="n">
        <v>-1</v>
      </c>
      <c r="O257" s="2" t="n">
        <v>0</v>
      </c>
      <c r="P257" s="2" t="s">
        <v>23</v>
      </c>
      <c r="Q257" s="2" t="s">
        <v>20</v>
      </c>
    </row>
    <row r="258" customFormat="false" ht="15" hidden="false" customHeight="false" outlineLevel="0" collapsed="false">
      <c r="A258" s="2" t="n">
        <v>34</v>
      </c>
      <c r="B258" s="2" t="s">
        <v>29</v>
      </c>
      <c r="C258" s="2" t="s">
        <v>18</v>
      </c>
      <c r="D258" s="2" t="s">
        <v>31</v>
      </c>
      <c r="E258" s="2" t="s">
        <v>20</v>
      </c>
      <c r="F258" s="2" t="n">
        <v>415</v>
      </c>
      <c r="G258" s="2" t="s">
        <v>20</v>
      </c>
      <c r="H258" s="2" t="s">
        <v>26</v>
      </c>
      <c r="I258" s="2" t="s">
        <v>21</v>
      </c>
      <c r="J258" s="2" t="n">
        <v>23</v>
      </c>
      <c r="K258" s="2" t="s">
        <v>44</v>
      </c>
      <c r="L258" s="2" t="n">
        <v>361</v>
      </c>
      <c r="M258" s="2" t="n">
        <v>2</v>
      </c>
      <c r="N258" s="2" t="n">
        <v>-1</v>
      </c>
      <c r="O258" s="2" t="n">
        <v>0</v>
      </c>
      <c r="P258" s="2" t="s">
        <v>23</v>
      </c>
      <c r="Q258" s="2" t="s">
        <v>20</v>
      </c>
    </row>
    <row r="259" customFormat="false" ht="15" hidden="false" customHeight="false" outlineLevel="0" collapsed="false">
      <c r="A259" s="2" t="n">
        <v>28</v>
      </c>
      <c r="B259" s="2" t="s">
        <v>17</v>
      </c>
      <c r="C259" s="2" t="s">
        <v>30</v>
      </c>
      <c r="D259" s="2" t="s">
        <v>25</v>
      </c>
      <c r="E259" s="2" t="s">
        <v>20</v>
      </c>
      <c r="F259" s="2" t="n">
        <v>16</v>
      </c>
      <c r="G259" s="2" t="s">
        <v>20</v>
      </c>
      <c r="H259" s="2" t="s">
        <v>20</v>
      </c>
      <c r="I259" s="2" t="s">
        <v>21</v>
      </c>
      <c r="J259" s="2" t="n">
        <v>12</v>
      </c>
      <c r="K259" s="2" t="s">
        <v>41</v>
      </c>
      <c r="L259" s="2" t="n">
        <v>119</v>
      </c>
      <c r="M259" s="2" t="n">
        <v>4</v>
      </c>
      <c r="N259" s="2" t="n">
        <v>-1</v>
      </c>
      <c r="O259" s="2" t="n">
        <v>0</v>
      </c>
      <c r="P259" s="2" t="s">
        <v>23</v>
      </c>
      <c r="Q259" s="2" t="s">
        <v>20</v>
      </c>
    </row>
    <row r="260" customFormat="false" ht="15" hidden="false" customHeight="false" outlineLevel="0" collapsed="false">
      <c r="A260" s="2" t="n">
        <v>42</v>
      </c>
      <c r="B260" s="2" t="s">
        <v>38</v>
      </c>
      <c r="C260" s="2" t="s">
        <v>45</v>
      </c>
      <c r="D260" s="2" t="s">
        <v>31</v>
      </c>
      <c r="E260" s="2" t="s">
        <v>20</v>
      </c>
      <c r="F260" s="2" t="n">
        <v>7190</v>
      </c>
      <c r="G260" s="2" t="s">
        <v>26</v>
      </c>
      <c r="H260" s="2" t="s">
        <v>20</v>
      </c>
      <c r="I260" s="2" t="s">
        <v>21</v>
      </c>
      <c r="J260" s="2" t="n">
        <v>29</v>
      </c>
      <c r="K260" s="2" t="s">
        <v>44</v>
      </c>
      <c r="L260" s="2" t="n">
        <v>375</v>
      </c>
      <c r="M260" s="2" t="n">
        <v>2</v>
      </c>
      <c r="N260" s="2" t="n">
        <v>-1</v>
      </c>
      <c r="O260" s="2" t="n">
        <v>0</v>
      </c>
      <c r="P260" s="2" t="s">
        <v>23</v>
      </c>
      <c r="Q260" s="2" t="s">
        <v>20</v>
      </c>
    </row>
    <row r="261" customFormat="false" ht="15" hidden="false" customHeight="false" outlineLevel="0" collapsed="false">
      <c r="A261" s="2" t="n">
        <v>29</v>
      </c>
      <c r="B261" s="2" t="s">
        <v>34</v>
      </c>
      <c r="C261" s="2" t="s">
        <v>30</v>
      </c>
      <c r="D261" s="2" t="s">
        <v>25</v>
      </c>
      <c r="E261" s="2" t="s">
        <v>20</v>
      </c>
      <c r="F261" s="2" t="n">
        <v>482</v>
      </c>
      <c r="G261" s="2" t="s">
        <v>20</v>
      </c>
      <c r="H261" s="2" t="s">
        <v>26</v>
      </c>
      <c r="I261" s="2" t="s">
        <v>21</v>
      </c>
      <c r="J261" s="2" t="n">
        <v>10</v>
      </c>
      <c r="K261" s="2" t="s">
        <v>44</v>
      </c>
      <c r="L261" s="2" t="n">
        <v>1097</v>
      </c>
      <c r="M261" s="2" t="n">
        <v>3</v>
      </c>
      <c r="N261" s="2" t="n">
        <v>-1</v>
      </c>
      <c r="O261" s="2" t="n">
        <v>0</v>
      </c>
      <c r="P261" s="2" t="s">
        <v>23</v>
      </c>
      <c r="Q261" s="2" t="s">
        <v>26</v>
      </c>
    </row>
    <row r="262" customFormat="false" ht="15" hidden="false" customHeight="false" outlineLevel="0" collapsed="false">
      <c r="A262" s="2" t="n">
        <v>54</v>
      </c>
      <c r="B262" s="2" t="s">
        <v>47</v>
      </c>
      <c r="C262" s="2" t="s">
        <v>18</v>
      </c>
      <c r="D262" s="2" t="s">
        <v>25</v>
      </c>
      <c r="E262" s="2" t="s">
        <v>20</v>
      </c>
      <c r="F262" s="2" t="n">
        <v>209</v>
      </c>
      <c r="G262" s="2" t="s">
        <v>26</v>
      </c>
      <c r="H262" s="2" t="s">
        <v>26</v>
      </c>
      <c r="I262" s="2" t="s">
        <v>21</v>
      </c>
      <c r="J262" s="2" t="n">
        <v>25</v>
      </c>
      <c r="K262" s="2" t="s">
        <v>44</v>
      </c>
      <c r="L262" s="2" t="n">
        <v>97</v>
      </c>
      <c r="M262" s="2" t="n">
        <v>1</v>
      </c>
      <c r="N262" s="2" t="n">
        <v>-1</v>
      </c>
      <c r="O262" s="2" t="n">
        <v>0</v>
      </c>
      <c r="P262" s="2" t="s">
        <v>23</v>
      </c>
      <c r="Q262" s="2" t="s">
        <v>20</v>
      </c>
    </row>
    <row r="263" customFormat="false" ht="15" hidden="false" customHeight="false" outlineLevel="0" collapsed="false">
      <c r="A263" s="2" t="n">
        <v>32</v>
      </c>
      <c r="B263" s="2" t="s">
        <v>38</v>
      </c>
      <c r="C263" s="2" t="s">
        <v>30</v>
      </c>
      <c r="D263" s="2" t="s">
        <v>25</v>
      </c>
      <c r="E263" s="2" t="s">
        <v>20</v>
      </c>
      <c r="F263" s="2" t="n">
        <v>0</v>
      </c>
      <c r="G263" s="2" t="s">
        <v>20</v>
      </c>
      <c r="H263" s="2" t="s">
        <v>20</v>
      </c>
      <c r="I263" s="2" t="s">
        <v>21</v>
      </c>
      <c r="J263" s="2" t="n">
        <v>26</v>
      </c>
      <c r="K263" s="2" t="s">
        <v>41</v>
      </c>
      <c r="L263" s="2" t="n">
        <v>181</v>
      </c>
      <c r="M263" s="2" t="n">
        <v>2</v>
      </c>
      <c r="N263" s="2" t="n">
        <v>-1</v>
      </c>
      <c r="O263" s="2" t="n">
        <v>0</v>
      </c>
      <c r="P263" s="2" t="s">
        <v>23</v>
      </c>
      <c r="Q263" s="2" t="s">
        <v>20</v>
      </c>
    </row>
    <row r="264" customFormat="false" ht="15" hidden="false" customHeight="false" outlineLevel="0" collapsed="false">
      <c r="A264" s="2" t="n">
        <v>39</v>
      </c>
      <c r="B264" s="2" t="s">
        <v>38</v>
      </c>
      <c r="C264" s="2" t="s">
        <v>30</v>
      </c>
      <c r="D264" s="2" t="s">
        <v>31</v>
      </c>
      <c r="E264" s="2" t="s">
        <v>20</v>
      </c>
      <c r="F264" s="2" t="n">
        <v>5803</v>
      </c>
      <c r="G264" s="2" t="s">
        <v>20</v>
      </c>
      <c r="H264" s="2" t="s">
        <v>20</v>
      </c>
      <c r="I264" s="2" t="s">
        <v>21</v>
      </c>
      <c r="J264" s="2" t="n">
        <v>2</v>
      </c>
      <c r="K264" s="2" t="s">
        <v>35</v>
      </c>
      <c r="L264" s="2" t="n">
        <v>83</v>
      </c>
      <c r="M264" s="2" t="n">
        <v>3</v>
      </c>
      <c r="N264" s="2" t="n">
        <v>-1</v>
      </c>
      <c r="O264" s="2" t="n">
        <v>0</v>
      </c>
      <c r="P264" s="2" t="s">
        <v>23</v>
      </c>
      <c r="Q264" s="2" t="s">
        <v>20</v>
      </c>
    </row>
    <row r="265" customFormat="false" ht="15" hidden="false" customHeight="false" outlineLevel="0" collapsed="false">
      <c r="A265" s="2" t="n">
        <v>53</v>
      </c>
      <c r="B265" s="2" t="s">
        <v>39</v>
      </c>
      <c r="C265" s="2" t="s">
        <v>18</v>
      </c>
      <c r="D265" s="2" t="s">
        <v>31</v>
      </c>
      <c r="E265" s="2" t="s">
        <v>20</v>
      </c>
      <c r="F265" s="2" t="n">
        <v>624</v>
      </c>
      <c r="G265" s="2" t="s">
        <v>20</v>
      </c>
      <c r="H265" s="2" t="s">
        <v>26</v>
      </c>
      <c r="I265" s="2" t="s">
        <v>21</v>
      </c>
      <c r="J265" s="2" t="n">
        <v>21</v>
      </c>
      <c r="K265" s="2" t="s">
        <v>44</v>
      </c>
      <c r="L265" s="2" t="n">
        <v>180</v>
      </c>
      <c r="M265" s="2" t="n">
        <v>4</v>
      </c>
      <c r="N265" s="2" t="n">
        <v>-1</v>
      </c>
      <c r="O265" s="2" t="n">
        <v>0</v>
      </c>
      <c r="P265" s="2" t="s">
        <v>23</v>
      </c>
      <c r="Q265" s="2" t="s">
        <v>20</v>
      </c>
    </row>
    <row r="266" customFormat="false" ht="15" hidden="false" customHeight="false" outlineLevel="0" collapsed="false">
      <c r="A266" s="2" t="n">
        <v>58</v>
      </c>
      <c r="B266" s="2" t="s">
        <v>38</v>
      </c>
      <c r="C266" s="2" t="s">
        <v>18</v>
      </c>
      <c r="D266" s="2" t="s">
        <v>31</v>
      </c>
      <c r="E266" s="2" t="s">
        <v>20</v>
      </c>
      <c r="F266" s="2" t="n">
        <v>883</v>
      </c>
      <c r="G266" s="2" t="s">
        <v>20</v>
      </c>
      <c r="H266" s="2" t="s">
        <v>20</v>
      </c>
      <c r="I266" s="2" t="s">
        <v>21</v>
      </c>
      <c r="J266" s="2" t="n">
        <v>18</v>
      </c>
      <c r="K266" s="2" t="s">
        <v>41</v>
      </c>
      <c r="L266" s="2" t="n">
        <v>543</v>
      </c>
      <c r="M266" s="2" t="n">
        <v>1</v>
      </c>
      <c r="N266" s="2" t="n">
        <v>78</v>
      </c>
      <c r="O266" s="2" t="n">
        <v>2</v>
      </c>
      <c r="P266" s="2" t="s">
        <v>28</v>
      </c>
      <c r="Q266" s="2" t="s">
        <v>20</v>
      </c>
    </row>
    <row r="267" customFormat="false" ht="15" hidden="false" customHeight="false" outlineLevel="0" collapsed="false">
      <c r="A267" s="2" t="n">
        <v>40</v>
      </c>
      <c r="B267" s="2" t="s">
        <v>36</v>
      </c>
      <c r="C267" s="2" t="s">
        <v>18</v>
      </c>
      <c r="D267" s="2" t="s">
        <v>25</v>
      </c>
      <c r="E267" s="2" t="s">
        <v>20</v>
      </c>
      <c r="F267" s="2" t="n">
        <v>1516</v>
      </c>
      <c r="G267" s="2" t="s">
        <v>26</v>
      </c>
      <c r="H267" s="2" t="s">
        <v>26</v>
      </c>
      <c r="I267" s="2" t="s">
        <v>23</v>
      </c>
      <c r="J267" s="2" t="n">
        <v>23</v>
      </c>
      <c r="K267" s="2" t="s">
        <v>27</v>
      </c>
      <c r="L267" s="2" t="n">
        <v>373</v>
      </c>
      <c r="M267" s="2" t="n">
        <v>1</v>
      </c>
      <c r="N267" s="2" t="n">
        <v>-1</v>
      </c>
      <c r="O267" s="2" t="n">
        <v>0</v>
      </c>
      <c r="P267" s="2" t="s">
        <v>23</v>
      </c>
      <c r="Q267" s="2" t="s">
        <v>20</v>
      </c>
    </row>
    <row r="268" customFormat="false" ht="15" hidden="false" customHeight="false" outlineLevel="0" collapsed="false">
      <c r="A268" s="2" t="n">
        <v>29</v>
      </c>
      <c r="B268" s="2" t="s">
        <v>42</v>
      </c>
      <c r="C268" s="2" t="s">
        <v>30</v>
      </c>
      <c r="D268" s="2" t="s">
        <v>25</v>
      </c>
      <c r="E268" s="2" t="s">
        <v>20</v>
      </c>
      <c r="F268" s="2" t="n">
        <v>872</v>
      </c>
      <c r="G268" s="2" t="s">
        <v>26</v>
      </c>
      <c r="H268" s="2" t="s">
        <v>20</v>
      </c>
      <c r="I268" s="2" t="s">
        <v>23</v>
      </c>
      <c r="J268" s="2" t="n">
        <v>7</v>
      </c>
      <c r="K268" s="2" t="s">
        <v>27</v>
      </c>
      <c r="L268" s="2" t="n">
        <v>230</v>
      </c>
      <c r="M268" s="2" t="n">
        <v>1</v>
      </c>
      <c r="N268" s="2" t="n">
        <v>-1</v>
      </c>
      <c r="O268" s="2" t="n">
        <v>0</v>
      </c>
      <c r="P268" s="2" t="s">
        <v>23</v>
      </c>
      <c r="Q268" s="2" t="s">
        <v>20</v>
      </c>
    </row>
    <row r="269" customFormat="false" ht="15" hidden="false" customHeight="false" outlineLevel="0" collapsed="false">
      <c r="A269" s="2" t="n">
        <v>33</v>
      </c>
      <c r="B269" s="2" t="s">
        <v>38</v>
      </c>
      <c r="C269" s="2" t="s">
        <v>18</v>
      </c>
      <c r="D269" s="2" t="s">
        <v>31</v>
      </c>
      <c r="E269" s="2" t="s">
        <v>20</v>
      </c>
      <c r="F269" s="2" t="n">
        <v>-988</v>
      </c>
      <c r="G269" s="2" t="s">
        <v>26</v>
      </c>
      <c r="H269" s="2" t="s">
        <v>26</v>
      </c>
      <c r="I269" s="2" t="s">
        <v>21</v>
      </c>
      <c r="J269" s="2" t="n">
        <v>15</v>
      </c>
      <c r="K269" s="2" t="s">
        <v>44</v>
      </c>
      <c r="L269" s="2" t="n">
        <v>83</v>
      </c>
      <c r="M269" s="2" t="n">
        <v>3</v>
      </c>
      <c r="N269" s="2" t="n">
        <v>-1</v>
      </c>
      <c r="O269" s="2" t="n">
        <v>0</v>
      </c>
      <c r="P269" s="2" t="s">
        <v>23</v>
      </c>
      <c r="Q269" s="2" t="s">
        <v>20</v>
      </c>
    </row>
    <row r="270" customFormat="false" ht="15" hidden="false" customHeight="false" outlineLevel="0" collapsed="false">
      <c r="A270" s="2" t="n">
        <v>38</v>
      </c>
      <c r="B270" s="2" t="s">
        <v>40</v>
      </c>
      <c r="C270" s="2" t="s">
        <v>30</v>
      </c>
      <c r="D270" s="2" t="s">
        <v>25</v>
      </c>
      <c r="E270" s="2" t="s">
        <v>20</v>
      </c>
      <c r="F270" s="2" t="n">
        <v>902</v>
      </c>
      <c r="G270" s="2" t="s">
        <v>26</v>
      </c>
      <c r="H270" s="2" t="s">
        <v>20</v>
      </c>
      <c r="I270" s="2" t="s">
        <v>49</v>
      </c>
      <c r="J270" s="2" t="n">
        <v>31</v>
      </c>
      <c r="K270" s="2" t="s">
        <v>44</v>
      </c>
      <c r="L270" s="2" t="n">
        <v>58</v>
      </c>
      <c r="M270" s="2" t="n">
        <v>13</v>
      </c>
      <c r="N270" s="2" t="n">
        <v>-1</v>
      </c>
      <c r="O270" s="2" t="n">
        <v>0</v>
      </c>
      <c r="P270" s="2" t="s">
        <v>23</v>
      </c>
      <c r="Q270" s="2" t="s">
        <v>20</v>
      </c>
    </row>
    <row r="271" customFormat="false" ht="15" hidden="false" customHeight="false" outlineLevel="0" collapsed="false">
      <c r="A271" s="2" t="n">
        <v>56</v>
      </c>
      <c r="B271" s="2" t="s">
        <v>24</v>
      </c>
      <c r="C271" s="2" t="s">
        <v>45</v>
      </c>
      <c r="D271" s="2" t="s">
        <v>25</v>
      </c>
      <c r="E271" s="2" t="s">
        <v>20</v>
      </c>
      <c r="F271" s="2" t="n">
        <v>1007</v>
      </c>
      <c r="G271" s="2" t="s">
        <v>20</v>
      </c>
      <c r="H271" s="2" t="s">
        <v>20</v>
      </c>
      <c r="I271" s="2" t="s">
        <v>21</v>
      </c>
      <c r="J271" s="2" t="n">
        <v>29</v>
      </c>
      <c r="K271" s="2" t="s">
        <v>44</v>
      </c>
      <c r="L271" s="2" t="n">
        <v>88</v>
      </c>
      <c r="M271" s="2" t="n">
        <v>6</v>
      </c>
      <c r="N271" s="2" t="n">
        <v>-1</v>
      </c>
      <c r="O271" s="2" t="n">
        <v>0</v>
      </c>
      <c r="P271" s="2" t="s">
        <v>23</v>
      </c>
      <c r="Q271" s="2" t="s">
        <v>20</v>
      </c>
    </row>
    <row r="272" customFormat="false" ht="15" hidden="false" customHeight="false" outlineLevel="0" collapsed="false">
      <c r="A272" s="2" t="n">
        <v>40</v>
      </c>
      <c r="B272" s="2" t="s">
        <v>24</v>
      </c>
      <c r="C272" s="2" t="s">
        <v>18</v>
      </c>
      <c r="D272" s="2" t="s">
        <v>25</v>
      </c>
      <c r="E272" s="2" t="s">
        <v>20</v>
      </c>
      <c r="F272" s="2" t="n">
        <v>0</v>
      </c>
      <c r="G272" s="2" t="s">
        <v>26</v>
      </c>
      <c r="H272" s="2" t="s">
        <v>20</v>
      </c>
      <c r="I272" s="2" t="s">
        <v>21</v>
      </c>
      <c r="J272" s="2" t="n">
        <v>2</v>
      </c>
      <c r="K272" s="2" t="s">
        <v>33</v>
      </c>
      <c r="L272" s="2" t="n">
        <v>297</v>
      </c>
      <c r="M272" s="2" t="n">
        <v>1</v>
      </c>
      <c r="N272" s="2" t="n">
        <v>28</v>
      </c>
      <c r="O272" s="2" t="n">
        <v>3</v>
      </c>
      <c r="P272" s="2" t="s">
        <v>28</v>
      </c>
      <c r="Q272" s="2" t="s">
        <v>20</v>
      </c>
    </row>
    <row r="273" customFormat="false" ht="15" hidden="false" customHeight="false" outlineLevel="0" collapsed="false">
      <c r="A273" s="2" t="n">
        <v>24</v>
      </c>
      <c r="B273" s="2" t="s">
        <v>34</v>
      </c>
      <c r="C273" s="2" t="s">
        <v>30</v>
      </c>
      <c r="D273" s="2" t="s">
        <v>25</v>
      </c>
      <c r="E273" s="2" t="s">
        <v>20</v>
      </c>
      <c r="F273" s="2" t="n">
        <v>174</v>
      </c>
      <c r="G273" s="2" t="s">
        <v>26</v>
      </c>
      <c r="H273" s="2" t="s">
        <v>26</v>
      </c>
      <c r="I273" s="2" t="s">
        <v>21</v>
      </c>
      <c r="J273" s="2" t="n">
        <v>18</v>
      </c>
      <c r="K273" s="2" t="s">
        <v>27</v>
      </c>
      <c r="L273" s="2" t="n">
        <v>487</v>
      </c>
      <c r="M273" s="2" t="n">
        <v>1</v>
      </c>
      <c r="N273" s="2" t="n">
        <v>-1</v>
      </c>
      <c r="O273" s="2" t="n">
        <v>0</v>
      </c>
      <c r="P273" s="2" t="s">
        <v>23</v>
      </c>
      <c r="Q273" s="2" t="s">
        <v>26</v>
      </c>
    </row>
    <row r="274" customFormat="false" ht="15" hidden="false" customHeight="false" outlineLevel="0" collapsed="false">
      <c r="A274" s="2" t="n">
        <v>46</v>
      </c>
      <c r="B274" s="2" t="s">
        <v>29</v>
      </c>
      <c r="C274" s="2" t="s">
        <v>18</v>
      </c>
      <c r="D274" s="2" t="s">
        <v>25</v>
      </c>
      <c r="E274" s="2" t="s">
        <v>20</v>
      </c>
      <c r="F274" s="2" t="n">
        <v>12186</v>
      </c>
      <c r="G274" s="2" t="s">
        <v>20</v>
      </c>
      <c r="H274" s="2" t="s">
        <v>20</v>
      </c>
      <c r="I274" s="2" t="s">
        <v>23</v>
      </c>
      <c r="J274" s="2" t="n">
        <v>20</v>
      </c>
      <c r="K274" s="2" t="s">
        <v>33</v>
      </c>
      <c r="L274" s="2" t="n">
        <v>29</v>
      </c>
      <c r="M274" s="2" t="n">
        <v>3</v>
      </c>
      <c r="N274" s="2" t="n">
        <v>-1</v>
      </c>
      <c r="O274" s="2" t="n">
        <v>0</v>
      </c>
      <c r="P274" s="2" t="s">
        <v>23</v>
      </c>
      <c r="Q274" s="2" t="s">
        <v>20</v>
      </c>
    </row>
    <row r="275" customFormat="false" ht="15" hidden="false" customHeight="false" outlineLevel="0" collapsed="false">
      <c r="A275" s="2" t="n">
        <v>35</v>
      </c>
      <c r="B275" s="2" t="s">
        <v>36</v>
      </c>
      <c r="C275" s="2" t="s">
        <v>18</v>
      </c>
      <c r="D275" s="2" t="s">
        <v>25</v>
      </c>
      <c r="E275" s="2" t="s">
        <v>20</v>
      </c>
      <c r="F275" s="2" t="n">
        <v>524</v>
      </c>
      <c r="G275" s="2" t="s">
        <v>26</v>
      </c>
      <c r="H275" s="2" t="s">
        <v>20</v>
      </c>
      <c r="I275" s="2" t="s">
        <v>21</v>
      </c>
      <c r="J275" s="2" t="n">
        <v>21</v>
      </c>
      <c r="K275" s="2" t="s">
        <v>46</v>
      </c>
      <c r="L275" s="2" t="n">
        <v>484</v>
      </c>
      <c r="M275" s="2" t="n">
        <v>4</v>
      </c>
      <c r="N275" s="2" t="n">
        <v>-1</v>
      </c>
      <c r="O275" s="2" t="n">
        <v>0</v>
      </c>
      <c r="P275" s="2" t="s">
        <v>23</v>
      </c>
      <c r="Q275" s="2" t="s">
        <v>20</v>
      </c>
    </row>
    <row r="276" customFormat="false" ht="15" hidden="false" customHeight="false" outlineLevel="0" collapsed="false">
      <c r="A276" s="2" t="n">
        <v>35</v>
      </c>
      <c r="B276" s="2" t="s">
        <v>34</v>
      </c>
      <c r="C276" s="2" t="s">
        <v>30</v>
      </c>
      <c r="D276" s="2" t="s">
        <v>31</v>
      </c>
      <c r="E276" s="2" t="s">
        <v>20</v>
      </c>
      <c r="F276" s="2" t="n">
        <v>0</v>
      </c>
      <c r="G276" s="2" t="s">
        <v>26</v>
      </c>
      <c r="H276" s="2" t="s">
        <v>20</v>
      </c>
      <c r="I276" s="2" t="s">
        <v>21</v>
      </c>
      <c r="J276" s="2" t="n">
        <v>21</v>
      </c>
      <c r="K276" s="2" t="s">
        <v>44</v>
      </c>
      <c r="L276" s="2" t="n">
        <v>262</v>
      </c>
      <c r="M276" s="2" t="n">
        <v>4</v>
      </c>
      <c r="N276" s="2" t="n">
        <v>-1</v>
      </c>
      <c r="O276" s="2" t="n">
        <v>0</v>
      </c>
      <c r="P276" s="2" t="s">
        <v>23</v>
      </c>
      <c r="Q276" s="2" t="s">
        <v>20</v>
      </c>
    </row>
    <row r="277" customFormat="false" ht="15" hidden="false" customHeight="false" outlineLevel="0" collapsed="false">
      <c r="A277" s="2" t="n">
        <v>34</v>
      </c>
      <c r="B277" s="2" t="s">
        <v>38</v>
      </c>
      <c r="C277" s="2" t="s">
        <v>18</v>
      </c>
      <c r="D277" s="2" t="s">
        <v>25</v>
      </c>
      <c r="E277" s="2" t="s">
        <v>20</v>
      </c>
      <c r="F277" s="2" t="n">
        <v>4</v>
      </c>
      <c r="G277" s="2" t="s">
        <v>26</v>
      </c>
      <c r="H277" s="2" t="s">
        <v>20</v>
      </c>
      <c r="I277" s="2" t="s">
        <v>23</v>
      </c>
      <c r="J277" s="2" t="n">
        <v>15</v>
      </c>
      <c r="K277" s="2" t="s">
        <v>27</v>
      </c>
      <c r="L277" s="2" t="n">
        <v>644</v>
      </c>
      <c r="M277" s="2" t="n">
        <v>1</v>
      </c>
      <c r="N277" s="2" t="n">
        <v>-1</v>
      </c>
      <c r="O277" s="2" t="n">
        <v>0</v>
      </c>
      <c r="P277" s="2" t="s">
        <v>23</v>
      </c>
      <c r="Q277" s="2" t="s">
        <v>20</v>
      </c>
    </row>
    <row r="278" customFormat="false" ht="15" hidden="false" customHeight="false" outlineLevel="0" collapsed="false">
      <c r="A278" s="2" t="n">
        <v>35</v>
      </c>
      <c r="B278" s="2" t="s">
        <v>47</v>
      </c>
      <c r="C278" s="2" t="s">
        <v>18</v>
      </c>
      <c r="D278" s="2" t="s">
        <v>31</v>
      </c>
      <c r="E278" s="2" t="s">
        <v>20</v>
      </c>
      <c r="F278" s="2" t="n">
        <v>11219</v>
      </c>
      <c r="G278" s="2" t="s">
        <v>20</v>
      </c>
      <c r="H278" s="2" t="s">
        <v>20</v>
      </c>
      <c r="I278" s="2" t="s">
        <v>21</v>
      </c>
      <c r="J278" s="2" t="n">
        <v>12</v>
      </c>
      <c r="K278" s="2" t="s">
        <v>41</v>
      </c>
      <c r="L278" s="2" t="n">
        <v>699</v>
      </c>
      <c r="M278" s="2" t="n">
        <v>2</v>
      </c>
      <c r="N278" s="2" t="n">
        <v>79</v>
      </c>
      <c r="O278" s="2" t="n">
        <v>1</v>
      </c>
      <c r="P278" s="2" t="s">
        <v>28</v>
      </c>
      <c r="Q278" s="2" t="s">
        <v>20</v>
      </c>
    </row>
    <row r="279" customFormat="false" ht="15" hidden="false" customHeight="false" outlineLevel="0" collapsed="false">
      <c r="A279" s="2" t="n">
        <v>38</v>
      </c>
      <c r="B279" s="2" t="s">
        <v>38</v>
      </c>
      <c r="C279" s="2" t="s">
        <v>30</v>
      </c>
      <c r="D279" s="2" t="s">
        <v>31</v>
      </c>
      <c r="E279" s="2" t="s">
        <v>20</v>
      </c>
      <c r="F279" s="2" t="n">
        <v>0</v>
      </c>
      <c r="G279" s="2" t="s">
        <v>20</v>
      </c>
      <c r="H279" s="2" t="s">
        <v>20</v>
      </c>
      <c r="I279" s="2" t="s">
        <v>21</v>
      </c>
      <c r="J279" s="2" t="n">
        <v>28</v>
      </c>
      <c r="K279" s="2" t="s">
        <v>41</v>
      </c>
      <c r="L279" s="2" t="n">
        <v>247</v>
      </c>
      <c r="M279" s="2" t="n">
        <v>2</v>
      </c>
      <c r="N279" s="2" t="n">
        <v>-1</v>
      </c>
      <c r="O279" s="2" t="n">
        <v>0</v>
      </c>
      <c r="P279" s="2" t="s">
        <v>23</v>
      </c>
      <c r="Q279" s="2" t="s">
        <v>20</v>
      </c>
    </row>
    <row r="280" customFormat="false" ht="15" hidden="false" customHeight="false" outlineLevel="0" collapsed="false">
      <c r="A280" s="2" t="n">
        <v>50</v>
      </c>
      <c r="B280" s="2" t="s">
        <v>34</v>
      </c>
      <c r="C280" s="2" t="s">
        <v>18</v>
      </c>
      <c r="D280" s="2" t="s">
        <v>19</v>
      </c>
      <c r="E280" s="2" t="s">
        <v>20</v>
      </c>
      <c r="F280" s="2" t="n">
        <v>5776</v>
      </c>
      <c r="G280" s="2" t="s">
        <v>20</v>
      </c>
      <c r="H280" s="2" t="s">
        <v>20</v>
      </c>
      <c r="I280" s="2" t="s">
        <v>21</v>
      </c>
      <c r="J280" s="2" t="n">
        <v>18</v>
      </c>
      <c r="K280" s="2" t="s">
        <v>46</v>
      </c>
      <c r="L280" s="2" t="n">
        <v>49</v>
      </c>
      <c r="M280" s="2" t="n">
        <v>3</v>
      </c>
      <c r="N280" s="2" t="n">
        <v>-1</v>
      </c>
      <c r="O280" s="2" t="n">
        <v>0</v>
      </c>
      <c r="P280" s="2" t="s">
        <v>23</v>
      </c>
      <c r="Q280" s="2" t="s">
        <v>20</v>
      </c>
    </row>
    <row r="281" customFormat="false" ht="15" hidden="false" customHeight="false" outlineLevel="0" collapsed="false">
      <c r="A281" s="2" t="n">
        <v>51</v>
      </c>
      <c r="B281" s="2" t="s">
        <v>34</v>
      </c>
      <c r="C281" s="2" t="s">
        <v>45</v>
      </c>
      <c r="D281" s="2" t="s">
        <v>19</v>
      </c>
      <c r="E281" s="2" t="s">
        <v>20</v>
      </c>
      <c r="F281" s="2" t="n">
        <v>37</v>
      </c>
      <c r="G281" s="2" t="s">
        <v>26</v>
      </c>
      <c r="H281" s="2" t="s">
        <v>20</v>
      </c>
      <c r="I281" s="2" t="s">
        <v>21</v>
      </c>
      <c r="J281" s="2" t="n">
        <v>13</v>
      </c>
      <c r="K281" s="2" t="s">
        <v>27</v>
      </c>
      <c r="L281" s="2" t="n">
        <v>341</v>
      </c>
      <c r="M281" s="2" t="n">
        <v>1</v>
      </c>
      <c r="N281" s="2" t="n">
        <v>-1</v>
      </c>
      <c r="O281" s="2" t="n">
        <v>0</v>
      </c>
      <c r="P281" s="2" t="s">
        <v>23</v>
      </c>
      <c r="Q281" s="2" t="s">
        <v>20</v>
      </c>
    </row>
    <row r="282" customFormat="false" ht="15" hidden="false" customHeight="false" outlineLevel="0" collapsed="false">
      <c r="A282" s="2" t="n">
        <v>59</v>
      </c>
      <c r="B282" s="2" t="s">
        <v>36</v>
      </c>
      <c r="C282" s="2" t="s">
        <v>18</v>
      </c>
      <c r="D282" s="2" t="s">
        <v>31</v>
      </c>
      <c r="E282" s="2" t="s">
        <v>20</v>
      </c>
      <c r="F282" s="2" t="n">
        <v>593</v>
      </c>
      <c r="G282" s="2" t="s">
        <v>20</v>
      </c>
      <c r="H282" s="2" t="s">
        <v>20</v>
      </c>
      <c r="I282" s="2" t="s">
        <v>23</v>
      </c>
      <c r="J282" s="2" t="n">
        <v>13</v>
      </c>
      <c r="K282" s="2" t="s">
        <v>27</v>
      </c>
      <c r="L282" s="2" t="n">
        <v>64</v>
      </c>
      <c r="M282" s="2" t="n">
        <v>2</v>
      </c>
      <c r="N282" s="2" t="n">
        <v>-1</v>
      </c>
      <c r="O282" s="2" t="n">
        <v>0</v>
      </c>
      <c r="P282" s="2" t="s">
        <v>23</v>
      </c>
      <c r="Q282" s="2" t="s">
        <v>20</v>
      </c>
    </row>
    <row r="283" customFormat="false" ht="15" hidden="false" customHeight="false" outlineLevel="0" collapsed="false">
      <c r="A283" s="2" t="n">
        <v>32</v>
      </c>
      <c r="B283" s="2" t="s">
        <v>34</v>
      </c>
      <c r="C283" s="2" t="s">
        <v>18</v>
      </c>
      <c r="D283" s="2" t="s">
        <v>25</v>
      </c>
      <c r="E283" s="2" t="s">
        <v>20</v>
      </c>
      <c r="F283" s="2" t="n">
        <v>1148</v>
      </c>
      <c r="G283" s="2" t="s">
        <v>26</v>
      </c>
      <c r="H283" s="2" t="s">
        <v>20</v>
      </c>
      <c r="I283" s="2" t="s">
        <v>21</v>
      </c>
      <c r="J283" s="2" t="n">
        <v>20</v>
      </c>
      <c r="K283" s="2" t="s">
        <v>32</v>
      </c>
      <c r="L283" s="2" t="n">
        <v>121</v>
      </c>
      <c r="M283" s="2" t="n">
        <v>1</v>
      </c>
      <c r="N283" s="2" t="n">
        <v>-1</v>
      </c>
      <c r="O283" s="2" t="n">
        <v>0</v>
      </c>
      <c r="P283" s="2" t="s">
        <v>23</v>
      </c>
      <c r="Q283" s="2" t="s">
        <v>20</v>
      </c>
    </row>
    <row r="284" customFormat="false" ht="15" hidden="false" customHeight="false" outlineLevel="0" collapsed="false">
      <c r="A284" s="2" t="n">
        <v>37</v>
      </c>
      <c r="B284" s="2" t="s">
        <v>34</v>
      </c>
      <c r="C284" s="2" t="s">
        <v>30</v>
      </c>
      <c r="D284" s="2" t="s">
        <v>25</v>
      </c>
      <c r="E284" s="2" t="s">
        <v>20</v>
      </c>
      <c r="F284" s="2" t="n">
        <v>3561</v>
      </c>
      <c r="G284" s="2" t="s">
        <v>26</v>
      </c>
      <c r="H284" s="2" t="s">
        <v>20</v>
      </c>
      <c r="I284" s="2" t="s">
        <v>23</v>
      </c>
      <c r="J284" s="2" t="n">
        <v>2</v>
      </c>
      <c r="K284" s="2" t="s">
        <v>33</v>
      </c>
      <c r="L284" s="2" t="n">
        <v>98</v>
      </c>
      <c r="M284" s="2" t="n">
        <v>1</v>
      </c>
      <c r="N284" s="2" t="n">
        <v>-1</v>
      </c>
      <c r="O284" s="2" t="n">
        <v>0</v>
      </c>
      <c r="P284" s="2" t="s">
        <v>23</v>
      </c>
      <c r="Q284" s="2" t="s">
        <v>20</v>
      </c>
    </row>
    <row r="285" customFormat="false" ht="15" hidden="false" customHeight="false" outlineLevel="0" collapsed="false">
      <c r="A285" s="2" t="n">
        <v>42</v>
      </c>
      <c r="B285" s="2" t="s">
        <v>40</v>
      </c>
      <c r="C285" s="2" t="s">
        <v>45</v>
      </c>
      <c r="D285" s="2" t="s">
        <v>25</v>
      </c>
      <c r="E285" s="2" t="s">
        <v>20</v>
      </c>
      <c r="F285" s="2" t="n">
        <v>63</v>
      </c>
      <c r="G285" s="2" t="s">
        <v>20</v>
      </c>
      <c r="H285" s="2" t="s">
        <v>20</v>
      </c>
      <c r="I285" s="2" t="s">
        <v>23</v>
      </c>
      <c r="J285" s="2" t="n">
        <v>16</v>
      </c>
      <c r="K285" s="2" t="s">
        <v>27</v>
      </c>
      <c r="L285" s="2" t="n">
        <v>88</v>
      </c>
      <c r="M285" s="2" t="n">
        <v>6</v>
      </c>
      <c r="N285" s="2" t="n">
        <v>-1</v>
      </c>
      <c r="O285" s="2" t="n">
        <v>0</v>
      </c>
      <c r="P285" s="2" t="s">
        <v>23</v>
      </c>
      <c r="Q285" s="2" t="s">
        <v>20</v>
      </c>
    </row>
    <row r="286" customFormat="false" ht="15" hidden="false" customHeight="false" outlineLevel="0" collapsed="false">
      <c r="A286" s="2" t="n">
        <v>40</v>
      </c>
      <c r="B286" s="2" t="s">
        <v>42</v>
      </c>
      <c r="C286" s="2" t="s">
        <v>18</v>
      </c>
      <c r="D286" s="2" t="s">
        <v>25</v>
      </c>
      <c r="E286" s="2" t="s">
        <v>20</v>
      </c>
      <c r="F286" s="2" t="n">
        <v>260</v>
      </c>
      <c r="G286" s="2" t="s">
        <v>20</v>
      </c>
      <c r="H286" s="2" t="s">
        <v>20</v>
      </c>
      <c r="I286" s="2" t="s">
        <v>23</v>
      </c>
      <c r="J286" s="2" t="n">
        <v>20</v>
      </c>
      <c r="K286" s="2" t="s">
        <v>33</v>
      </c>
      <c r="L286" s="2" t="n">
        <v>197</v>
      </c>
      <c r="M286" s="2" t="n">
        <v>6</v>
      </c>
      <c r="N286" s="2" t="n">
        <v>-1</v>
      </c>
      <c r="O286" s="2" t="n">
        <v>0</v>
      </c>
      <c r="P286" s="2" t="s">
        <v>23</v>
      </c>
      <c r="Q286" s="2" t="s">
        <v>20</v>
      </c>
    </row>
    <row r="287" customFormat="false" ht="15" hidden="false" customHeight="false" outlineLevel="0" collapsed="false">
      <c r="A287" s="2" t="n">
        <v>28</v>
      </c>
      <c r="B287" s="2" t="s">
        <v>38</v>
      </c>
      <c r="C287" s="2" t="s">
        <v>30</v>
      </c>
      <c r="D287" s="2" t="s">
        <v>31</v>
      </c>
      <c r="E287" s="2" t="s">
        <v>20</v>
      </c>
      <c r="F287" s="2" t="n">
        <v>2269</v>
      </c>
      <c r="G287" s="2" t="s">
        <v>26</v>
      </c>
      <c r="H287" s="2" t="s">
        <v>20</v>
      </c>
      <c r="I287" s="2" t="s">
        <v>23</v>
      </c>
      <c r="J287" s="2" t="n">
        <v>9</v>
      </c>
      <c r="K287" s="2" t="s">
        <v>27</v>
      </c>
      <c r="L287" s="2" t="n">
        <v>331</v>
      </c>
      <c r="M287" s="2" t="n">
        <v>1</v>
      </c>
      <c r="N287" s="2" t="n">
        <v>-1</v>
      </c>
      <c r="O287" s="2" t="n">
        <v>0</v>
      </c>
      <c r="P287" s="2" t="s">
        <v>23</v>
      </c>
      <c r="Q287" s="2" t="s">
        <v>20</v>
      </c>
    </row>
    <row r="288" customFormat="false" ht="15" hidden="false" customHeight="false" outlineLevel="0" collapsed="false">
      <c r="A288" s="2" t="n">
        <v>47</v>
      </c>
      <c r="B288" s="2" t="s">
        <v>40</v>
      </c>
      <c r="C288" s="2" t="s">
        <v>18</v>
      </c>
      <c r="D288" s="2" t="s">
        <v>25</v>
      </c>
      <c r="E288" s="2" t="s">
        <v>20</v>
      </c>
      <c r="F288" s="2" t="n">
        <v>1060</v>
      </c>
      <c r="G288" s="2" t="s">
        <v>26</v>
      </c>
      <c r="H288" s="2" t="s">
        <v>20</v>
      </c>
      <c r="I288" s="2" t="s">
        <v>23</v>
      </c>
      <c r="J288" s="2" t="n">
        <v>6</v>
      </c>
      <c r="K288" s="2" t="s">
        <v>33</v>
      </c>
      <c r="L288" s="2" t="n">
        <v>83</v>
      </c>
      <c r="M288" s="2" t="n">
        <v>3</v>
      </c>
      <c r="N288" s="2" t="n">
        <v>-1</v>
      </c>
      <c r="O288" s="2" t="n">
        <v>0</v>
      </c>
      <c r="P288" s="2" t="s">
        <v>23</v>
      </c>
      <c r="Q288" s="2" t="s">
        <v>20</v>
      </c>
    </row>
    <row r="289" customFormat="false" ht="15" hidden="false" customHeight="false" outlineLevel="0" collapsed="false">
      <c r="A289" s="2" t="n">
        <v>27</v>
      </c>
      <c r="B289" s="2" t="s">
        <v>36</v>
      </c>
      <c r="C289" s="2" t="s">
        <v>18</v>
      </c>
      <c r="D289" s="2" t="s">
        <v>25</v>
      </c>
      <c r="E289" s="2" t="s">
        <v>20</v>
      </c>
      <c r="F289" s="2" t="n">
        <v>-220</v>
      </c>
      <c r="G289" s="2" t="s">
        <v>26</v>
      </c>
      <c r="H289" s="2" t="s">
        <v>20</v>
      </c>
      <c r="I289" s="2" t="s">
        <v>23</v>
      </c>
      <c r="J289" s="2" t="n">
        <v>26</v>
      </c>
      <c r="K289" s="2" t="s">
        <v>27</v>
      </c>
      <c r="L289" s="2" t="n">
        <v>138</v>
      </c>
      <c r="M289" s="2" t="n">
        <v>2</v>
      </c>
      <c r="N289" s="2" t="n">
        <v>-1</v>
      </c>
      <c r="O289" s="2" t="n">
        <v>0</v>
      </c>
      <c r="P289" s="2" t="s">
        <v>23</v>
      </c>
      <c r="Q289" s="2" t="s">
        <v>20</v>
      </c>
    </row>
    <row r="290" customFormat="false" ht="15" hidden="false" customHeight="false" outlineLevel="0" collapsed="false">
      <c r="A290" s="2" t="n">
        <v>41</v>
      </c>
      <c r="B290" s="2" t="s">
        <v>29</v>
      </c>
      <c r="C290" s="2" t="s">
        <v>18</v>
      </c>
      <c r="D290" s="2" t="s">
        <v>31</v>
      </c>
      <c r="E290" s="2" t="s">
        <v>20</v>
      </c>
      <c r="F290" s="2" t="n">
        <v>49</v>
      </c>
      <c r="G290" s="2" t="s">
        <v>26</v>
      </c>
      <c r="H290" s="2" t="s">
        <v>20</v>
      </c>
      <c r="I290" s="2" t="s">
        <v>21</v>
      </c>
      <c r="J290" s="2" t="n">
        <v>17</v>
      </c>
      <c r="K290" s="2" t="s">
        <v>44</v>
      </c>
      <c r="L290" s="2" t="n">
        <v>312</v>
      </c>
      <c r="M290" s="2" t="n">
        <v>5</v>
      </c>
      <c r="N290" s="2" t="n">
        <v>-1</v>
      </c>
      <c r="O290" s="2" t="n">
        <v>0</v>
      </c>
      <c r="P290" s="2" t="s">
        <v>23</v>
      </c>
      <c r="Q290" s="2" t="s">
        <v>20</v>
      </c>
    </row>
    <row r="291" customFormat="false" ht="15" hidden="false" customHeight="false" outlineLevel="0" collapsed="false">
      <c r="A291" s="2" t="n">
        <v>34</v>
      </c>
      <c r="B291" s="2" t="s">
        <v>40</v>
      </c>
      <c r="C291" s="2" t="s">
        <v>18</v>
      </c>
      <c r="D291" s="2" t="s">
        <v>31</v>
      </c>
      <c r="E291" s="2" t="s">
        <v>20</v>
      </c>
      <c r="F291" s="2" t="n">
        <v>69</v>
      </c>
      <c r="G291" s="2" t="s">
        <v>20</v>
      </c>
      <c r="H291" s="2" t="s">
        <v>26</v>
      </c>
      <c r="I291" s="2" t="s">
        <v>21</v>
      </c>
      <c r="J291" s="2" t="n">
        <v>4</v>
      </c>
      <c r="K291" s="2" t="s">
        <v>41</v>
      </c>
      <c r="L291" s="2" t="n">
        <v>120</v>
      </c>
      <c r="M291" s="2" t="n">
        <v>3</v>
      </c>
      <c r="N291" s="2" t="n">
        <v>1</v>
      </c>
      <c r="O291" s="2" t="n">
        <v>6</v>
      </c>
      <c r="P291" s="2" t="s">
        <v>50</v>
      </c>
      <c r="Q291" s="2" t="s">
        <v>26</v>
      </c>
    </row>
    <row r="292" customFormat="false" ht="15" hidden="false" customHeight="false" outlineLevel="0" collapsed="false">
      <c r="A292" s="2" t="n">
        <v>50</v>
      </c>
      <c r="B292" s="2" t="s">
        <v>34</v>
      </c>
      <c r="C292" s="2" t="s">
        <v>18</v>
      </c>
      <c r="D292" s="2" t="s">
        <v>19</v>
      </c>
      <c r="E292" s="2" t="s">
        <v>20</v>
      </c>
      <c r="F292" s="2" t="n">
        <v>4108</v>
      </c>
      <c r="G292" s="2" t="s">
        <v>26</v>
      </c>
      <c r="H292" s="2" t="s">
        <v>20</v>
      </c>
      <c r="I292" s="2" t="s">
        <v>21</v>
      </c>
      <c r="J292" s="2" t="n">
        <v>7</v>
      </c>
      <c r="K292" s="2" t="s">
        <v>41</v>
      </c>
      <c r="L292" s="2" t="n">
        <v>526</v>
      </c>
      <c r="M292" s="2" t="n">
        <v>2</v>
      </c>
      <c r="N292" s="2" t="n">
        <v>-1</v>
      </c>
      <c r="O292" s="2" t="n">
        <v>0</v>
      </c>
      <c r="P292" s="2" t="s">
        <v>23</v>
      </c>
      <c r="Q292" s="2" t="s">
        <v>26</v>
      </c>
    </row>
    <row r="293" customFormat="false" ht="15" hidden="false" customHeight="false" outlineLevel="0" collapsed="false">
      <c r="A293" s="2" t="n">
        <v>47</v>
      </c>
      <c r="B293" s="2" t="s">
        <v>34</v>
      </c>
      <c r="C293" s="2" t="s">
        <v>18</v>
      </c>
      <c r="D293" s="2" t="s">
        <v>25</v>
      </c>
      <c r="E293" s="2" t="s">
        <v>20</v>
      </c>
      <c r="F293" s="2" t="n">
        <v>480</v>
      </c>
      <c r="G293" s="2" t="s">
        <v>26</v>
      </c>
      <c r="H293" s="2" t="s">
        <v>20</v>
      </c>
      <c r="I293" s="2" t="s">
        <v>23</v>
      </c>
      <c r="J293" s="2" t="n">
        <v>28</v>
      </c>
      <c r="K293" s="2" t="s">
        <v>27</v>
      </c>
      <c r="L293" s="2" t="n">
        <v>211</v>
      </c>
      <c r="M293" s="2" t="n">
        <v>2</v>
      </c>
      <c r="N293" s="2" t="n">
        <v>-1</v>
      </c>
      <c r="O293" s="2" t="n">
        <v>0</v>
      </c>
      <c r="P293" s="2" t="s">
        <v>23</v>
      </c>
      <c r="Q293" s="2" t="s">
        <v>20</v>
      </c>
    </row>
    <row r="294" customFormat="false" ht="15" hidden="false" customHeight="false" outlineLevel="0" collapsed="false">
      <c r="A294" s="2" t="n">
        <v>53</v>
      </c>
      <c r="B294" s="2" t="s">
        <v>24</v>
      </c>
      <c r="C294" s="2" t="s">
        <v>18</v>
      </c>
      <c r="D294" s="2" t="s">
        <v>25</v>
      </c>
      <c r="E294" s="2" t="s">
        <v>20</v>
      </c>
      <c r="F294" s="2" t="n">
        <v>4994</v>
      </c>
      <c r="G294" s="2" t="s">
        <v>20</v>
      </c>
      <c r="H294" s="2" t="s">
        <v>20</v>
      </c>
      <c r="I294" s="2" t="s">
        <v>21</v>
      </c>
      <c r="J294" s="2" t="n">
        <v>18</v>
      </c>
      <c r="K294" s="2" t="s">
        <v>41</v>
      </c>
      <c r="L294" s="2" t="n">
        <v>62</v>
      </c>
      <c r="M294" s="2" t="n">
        <v>6</v>
      </c>
      <c r="N294" s="2" t="n">
        <v>-1</v>
      </c>
      <c r="O294" s="2" t="n">
        <v>0</v>
      </c>
      <c r="P294" s="2" t="s">
        <v>23</v>
      </c>
      <c r="Q294" s="2" t="s">
        <v>20</v>
      </c>
    </row>
    <row r="295" customFormat="false" ht="15" hidden="false" customHeight="false" outlineLevel="0" collapsed="false">
      <c r="A295" s="2" t="n">
        <v>53</v>
      </c>
      <c r="B295" s="2" t="s">
        <v>38</v>
      </c>
      <c r="C295" s="2" t="s">
        <v>45</v>
      </c>
      <c r="D295" s="2" t="s">
        <v>25</v>
      </c>
      <c r="E295" s="2" t="s">
        <v>20</v>
      </c>
      <c r="F295" s="2" t="n">
        <v>0</v>
      </c>
      <c r="G295" s="2" t="s">
        <v>26</v>
      </c>
      <c r="H295" s="2" t="s">
        <v>26</v>
      </c>
      <c r="I295" s="2" t="s">
        <v>21</v>
      </c>
      <c r="J295" s="2" t="n">
        <v>15</v>
      </c>
      <c r="K295" s="2" t="s">
        <v>44</v>
      </c>
      <c r="L295" s="2" t="n">
        <v>135</v>
      </c>
      <c r="M295" s="2" t="n">
        <v>5</v>
      </c>
      <c r="N295" s="2" t="n">
        <v>-1</v>
      </c>
      <c r="O295" s="2" t="n">
        <v>0</v>
      </c>
      <c r="P295" s="2" t="s">
        <v>23</v>
      </c>
      <c r="Q295" s="2" t="s">
        <v>20</v>
      </c>
    </row>
    <row r="296" customFormat="false" ht="15" hidden="false" customHeight="false" outlineLevel="0" collapsed="false">
      <c r="A296" s="2" t="n">
        <v>47</v>
      </c>
      <c r="B296" s="2" t="s">
        <v>29</v>
      </c>
      <c r="C296" s="2" t="s">
        <v>18</v>
      </c>
      <c r="D296" s="2" t="s">
        <v>31</v>
      </c>
      <c r="E296" s="2" t="s">
        <v>20</v>
      </c>
      <c r="F296" s="2" t="n">
        <v>3681</v>
      </c>
      <c r="G296" s="2" t="s">
        <v>20</v>
      </c>
      <c r="H296" s="2" t="s">
        <v>20</v>
      </c>
      <c r="I296" s="2" t="s">
        <v>21</v>
      </c>
      <c r="J296" s="2" t="n">
        <v>14</v>
      </c>
      <c r="K296" s="2" t="s">
        <v>41</v>
      </c>
      <c r="L296" s="2" t="n">
        <v>101</v>
      </c>
      <c r="M296" s="2" t="n">
        <v>2</v>
      </c>
      <c r="N296" s="2" t="n">
        <v>-1</v>
      </c>
      <c r="O296" s="2" t="n">
        <v>0</v>
      </c>
      <c r="P296" s="2" t="s">
        <v>23</v>
      </c>
      <c r="Q296" s="2" t="s">
        <v>20</v>
      </c>
    </row>
    <row r="297" customFormat="false" ht="15" hidden="false" customHeight="false" outlineLevel="0" collapsed="false">
      <c r="A297" s="2" t="n">
        <v>49</v>
      </c>
      <c r="B297" s="2" t="s">
        <v>39</v>
      </c>
      <c r="C297" s="2" t="s">
        <v>45</v>
      </c>
      <c r="D297" s="2" t="s">
        <v>23</v>
      </c>
      <c r="E297" s="2" t="s">
        <v>26</v>
      </c>
      <c r="F297" s="2" t="n">
        <v>-701</v>
      </c>
      <c r="G297" s="2" t="s">
        <v>26</v>
      </c>
      <c r="H297" s="2" t="s">
        <v>20</v>
      </c>
      <c r="I297" s="2" t="s">
        <v>21</v>
      </c>
      <c r="J297" s="2" t="n">
        <v>30</v>
      </c>
      <c r="K297" s="2" t="s">
        <v>44</v>
      </c>
      <c r="L297" s="2" t="n">
        <v>988</v>
      </c>
      <c r="M297" s="2" t="n">
        <v>2</v>
      </c>
      <c r="N297" s="2" t="n">
        <v>-1</v>
      </c>
      <c r="O297" s="2" t="n">
        <v>0</v>
      </c>
      <c r="P297" s="2" t="s">
        <v>23</v>
      </c>
      <c r="Q297" s="2" t="s">
        <v>26</v>
      </c>
    </row>
    <row r="298" customFormat="false" ht="15" hidden="false" customHeight="false" outlineLevel="0" collapsed="false">
      <c r="A298" s="2" t="n">
        <v>29</v>
      </c>
      <c r="B298" s="2" t="s">
        <v>29</v>
      </c>
      <c r="C298" s="2" t="s">
        <v>18</v>
      </c>
      <c r="D298" s="2" t="s">
        <v>31</v>
      </c>
      <c r="E298" s="2" t="s">
        <v>20</v>
      </c>
      <c r="F298" s="2" t="n">
        <v>451</v>
      </c>
      <c r="G298" s="2" t="s">
        <v>20</v>
      </c>
      <c r="H298" s="2" t="s">
        <v>20</v>
      </c>
      <c r="I298" s="2" t="s">
        <v>21</v>
      </c>
      <c r="J298" s="2" t="n">
        <v>28</v>
      </c>
      <c r="K298" s="2" t="s">
        <v>43</v>
      </c>
      <c r="L298" s="2" t="n">
        <v>451</v>
      </c>
      <c r="M298" s="2" t="n">
        <v>1</v>
      </c>
      <c r="N298" s="2" t="n">
        <v>-1</v>
      </c>
      <c r="O298" s="2" t="n">
        <v>0</v>
      </c>
      <c r="P298" s="2" t="s">
        <v>23</v>
      </c>
      <c r="Q298" s="2" t="s">
        <v>20</v>
      </c>
    </row>
    <row r="299" customFormat="false" ht="15" hidden="false" customHeight="false" outlineLevel="0" collapsed="false">
      <c r="A299" s="2" t="n">
        <v>45</v>
      </c>
      <c r="B299" s="2" t="s">
        <v>34</v>
      </c>
      <c r="C299" s="2" t="s">
        <v>45</v>
      </c>
      <c r="D299" s="2" t="s">
        <v>19</v>
      </c>
      <c r="E299" s="2" t="s">
        <v>20</v>
      </c>
      <c r="F299" s="2" t="n">
        <v>-311</v>
      </c>
      <c r="G299" s="2" t="s">
        <v>26</v>
      </c>
      <c r="H299" s="2" t="s">
        <v>20</v>
      </c>
      <c r="I299" s="2" t="s">
        <v>23</v>
      </c>
      <c r="J299" s="2" t="n">
        <v>23</v>
      </c>
      <c r="K299" s="2" t="s">
        <v>27</v>
      </c>
      <c r="L299" s="2" t="n">
        <v>1030</v>
      </c>
      <c r="M299" s="2" t="n">
        <v>1</v>
      </c>
      <c r="N299" s="2" t="n">
        <v>-1</v>
      </c>
      <c r="O299" s="2" t="n">
        <v>0</v>
      </c>
      <c r="P299" s="2" t="s">
        <v>23</v>
      </c>
      <c r="Q299" s="2" t="s">
        <v>26</v>
      </c>
    </row>
    <row r="300" customFormat="false" ht="15" hidden="false" customHeight="false" outlineLevel="0" collapsed="false">
      <c r="A300" s="2" t="n">
        <v>38</v>
      </c>
      <c r="B300" s="2" t="s">
        <v>39</v>
      </c>
      <c r="C300" s="2" t="s">
        <v>18</v>
      </c>
      <c r="D300" s="2" t="s">
        <v>25</v>
      </c>
      <c r="E300" s="2" t="s">
        <v>20</v>
      </c>
      <c r="F300" s="2" t="n">
        <v>593</v>
      </c>
      <c r="G300" s="2" t="s">
        <v>26</v>
      </c>
      <c r="H300" s="2" t="s">
        <v>26</v>
      </c>
      <c r="I300" s="2" t="s">
        <v>21</v>
      </c>
      <c r="J300" s="2" t="n">
        <v>24</v>
      </c>
      <c r="K300" s="2" t="s">
        <v>44</v>
      </c>
      <c r="L300" s="2" t="n">
        <v>1484</v>
      </c>
      <c r="M300" s="2" t="n">
        <v>24</v>
      </c>
      <c r="N300" s="2" t="n">
        <v>-1</v>
      </c>
      <c r="O300" s="2" t="n">
        <v>0</v>
      </c>
      <c r="P300" s="2" t="s">
        <v>23</v>
      </c>
      <c r="Q300" s="2" t="s">
        <v>26</v>
      </c>
    </row>
    <row r="301" customFormat="false" ht="15" hidden="false" customHeight="false" outlineLevel="0" collapsed="false">
      <c r="A301" s="2" t="n">
        <v>32</v>
      </c>
      <c r="B301" s="2" t="s">
        <v>34</v>
      </c>
      <c r="C301" s="2" t="s">
        <v>18</v>
      </c>
      <c r="D301" s="2" t="s">
        <v>25</v>
      </c>
      <c r="E301" s="2" t="s">
        <v>20</v>
      </c>
      <c r="F301" s="2" t="n">
        <v>759</v>
      </c>
      <c r="G301" s="2" t="s">
        <v>26</v>
      </c>
      <c r="H301" s="2" t="s">
        <v>20</v>
      </c>
      <c r="I301" s="2" t="s">
        <v>21</v>
      </c>
      <c r="J301" s="2" t="n">
        <v>9</v>
      </c>
      <c r="K301" s="2" t="s">
        <v>32</v>
      </c>
      <c r="L301" s="2" t="n">
        <v>317</v>
      </c>
      <c r="M301" s="2" t="n">
        <v>5</v>
      </c>
      <c r="N301" s="2" t="n">
        <v>-1</v>
      </c>
      <c r="O301" s="2" t="n">
        <v>0</v>
      </c>
      <c r="P301" s="2" t="s">
        <v>23</v>
      </c>
      <c r="Q301" s="2" t="s">
        <v>26</v>
      </c>
    </row>
    <row r="302" customFormat="false" ht="15" hidden="false" customHeight="false" outlineLevel="0" collapsed="false">
      <c r="A302" s="2" t="n">
        <v>70</v>
      </c>
      <c r="B302" s="2" t="s">
        <v>48</v>
      </c>
      <c r="C302" s="2" t="s">
        <v>45</v>
      </c>
      <c r="D302" s="2" t="s">
        <v>19</v>
      </c>
      <c r="E302" s="2" t="s">
        <v>20</v>
      </c>
      <c r="F302" s="2" t="n">
        <v>4531</v>
      </c>
      <c r="G302" s="2" t="s">
        <v>20</v>
      </c>
      <c r="H302" s="2" t="s">
        <v>20</v>
      </c>
      <c r="I302" s="2" t="s">
        <v>21</v>
      </c>
      <c r="J302" s="2" t="n">
        <v>18</v>
      </c>
      <c r="K302" s="2" t="s">
        <v>27</v>
      </c>
      <c r="L302" s="2" t="n">
        <v>445</v>
      </c>
      <c r="M302" s="2" t="n">
        <v>1</v>
      </c>
      <c r="N302" s="2" t="n">
        <v>-1</v>
      </c>
      <c r="O302" s="2" t="n">
        <v>0</v>
      </c>
      <c r="P302" s="2" t="s">
        <v>23</v>
      </c>
      <c r="Q302" s="2" t="s">
        <v>20</v>
      </c>
    </row>
    <row r="303" customFormat="false" ht="15" hidden="false" customHeight="false" outlineLevel="0" collapsed="false">
      <c r="A303" s="2" t="n">
        <v>65</v>
      </c>
      <c r="B303" s="2" t="s">
        <v>48</v>
      </c>
      <c r="C303" s="2" t="s">
        <v>45</v>
      </c>
      <c r="D303" s="2" t="s">
        <v>19</v>
      </c>
      <c r="E303" s="2" t="s">
        <v>20</v>
      </c>
      <c r="F303" s="2" t="n">
        <v>1840</v>
      </c>
      <c r="G303" s="2" t="s">
        <v>20</v>
      </c>
      <c r="H303" s="2" t="s">
        <v>20</v>
      </c>
      <c r="I303" s="2" t="s">
        <v>21</v>
      </c>
      <c r="J303" s="2" t="n">
        <v>1</v>
      </c>
      <c r="K303" s="2" t="s">
        <v>33</v>
      </c>
      <c r="L303" s="2" t="n">
        <v>383</v>
      </c>
      <c r="M303" s="2" t="n">
        <v>2</v>
      </c>
      <c r="N303" s="2" t="n">
        <v>188</v>
      </c>
      <c r="O303" s="2" t="n">
        <v>5</v>
      </c>
      <c r="P303" s="2" t="s">
        <v>28</v>
      </c>
      <c r="Q303" s="2" t="s">
        <v>20</v>
      </c>
    </row>
    <row r="304" customFormat="false" ht="15" hidden="false" customHeight="false" outlineLevel="0" collapsed="false">
      <c r="A304" s="2" t="n">
        <v>56</v>
      </c>
      <c r="B304" s="2" t="s">
        <v>34</v>
      </c>
      <c r="C304" s="2" t="s">
        <v>18</v>
      </c>
      <c r="D304" s="2" t="s">
        <v>25</v>
      </c>
      <c r="E304" s="2" t="s">
        <v>20</v>
      </c>
      <c r="F304" s="2" t="n">
        <v>345</v>
      </c>
      <c r="G304" s="2" t="s">
        <v>26</v>
      </c>
      <c r="H304" s="2" t="s">
        <v>20</v>
      </c>
      <c r="I304" s="2" t="s">
        <v>49</v>
      </c>
      <c r="J304" s="2" t="n">
        <v>22</v>
      </c>
      <c r="K304" s="2" t="s">
        <v>44</v>
      </c>
      <c r="L304" s="2" t="n">
        <v>605</v>
      </c>
      <c r="M304" s="2" t="n">
        <v>1</v>
      </c>
      <c r="N304" s="2" t="n">
        <v>-1</v>
      </c>
      <c r="O304" s="2" t="n">
        <v>0</v>
      </c>
      <c r="P304" s="2" t="s">
        <v>23</v>
      </c>
      <c r="Q304" s="2" t="s">
        <v>20</v>
      </c>
    </row>
    <row r="305" customFormat="false" ht="15" hidden="false" customHeight="false" outlineLevel="0" collapsed="false">
      <c r="A305" s="2" t="n">
        <v>35</v>
      </c>
      <c r="B305" s="2" t="s">
        <v>34</v>
      </c>
      <c r="C305" s="2" t="s">
        <v>18</v>
      </c>
      <c r="D305" s="2" t="s">
        <v>25</v>
      </c>
      <c r="E305" s="2" t="s">
        <v>20</v>
      </c>
      <c r="F305" s="2" t="n">
        <v>1287</v>
      </c>
      <c r="G305" s="2" t="s">
        <v>26</v>
      </c>
      <c r="H305" s="2" t="s">
        <v>20</v>
      </c>
      <c r="I305" s="2" t="s">
        <v>21</v>
      </c>
      <c r="J305" s="2" t="n">
        <v>14</v>
      </c>
      <c r="K305" s="2" t="s">
        <v>44</v>
      </c>
      <c r="L305" s="2" t="n">
        <v>330</v>
      </c>
      <c r="M305" s="2" t="n">
        <v>2</v>
      </c>
      <c r="N305" s="2" t="n">
        <v>-1</v>
      </c>
      <c r="O305" s="2" t="n">
        <v>0</v>
      </c>
      <c r="P305" s="2" t="s">
        <v>23</v>
      </c>
      <c r="Q305" s="2" t="s">
        <v>20</v>
      </c>
    </row>
    <row r="306" customFormat="false" ht="15" hidden="false" customHeight="false" outlineLevel="0" collapsed="false">
      <c r="A306" s="2" t="n">
        <v>56</v>
      </c>
      <c r="B306" s="2" t="s">
        <v>29</v>
      </c>
      <c r="C306" s="2" t="s">
        <v>18</v>
      </c>
      <c r="D306" s="2" t="s">
        <v>23</v>
      </c>
      <c r="E306" s="2" t="s">
        <v>20</v>
      </c>
      <c r="F306" s="2" t="n">
        <v>353</v>
      </c>
      <c r="G306" s="2" t="s">
        <v>20</v>
      </c>
      <c r="H306" s="2" t="s">
        <v>26</v>
      </c>
      <c r="I306" s="2" t="s">
        <v>21</v>
      </c>
      <c r="J306" s="2" t="n">
        <v>25</v>
      </c>
      <c r="K306" s="2" t="s">
        <v>44</v>
      </c>
      <c r="L306" s="2" t="n">
        <v>171</v>
      </c>
      <c r="M306" s="2" t="n">
        <v>2</v>
      </c>
      <c r="N306" s="2" t="n">
        <v>-1</v>
      </c>
      <c r="O306" s="2" t="n">
        <v>0</v>
      </c>
      <c r="P306" s="2" t="s">
        <v>23</v>
      </c>
      <c r="Q306" s="2" t="s">
        <v>20</v>
      </c>
    </row>
    <row r="307" customFormat="false" ht="15" hidden="false" customHeight="false" outlineLevel="0" collapsed="false">
      <c r="A307" s="2" t="n">
        <v>56</v>
      </c>
      <c r="B307" s="2" t="s">
        <v>38</v>
      </c>
      <c r="C307" s="2" t="s">
        <v>18</v>
      </c>
      <c r="D307" s="2" t="s">
        <v>25</v>
      </c>
      <c r="E307" s="2" t="s">
        <v>20</v>
      </c>
      <c r="F307" s="2" t="n">
        <v>205</v>
      </c>
      <c r="G307" s="2" t="s">
        <v>20</v>
      </c>
      <c r="H307" s="2" t="s">
        <v>26</v>
      </c>
      <c r="I307" s="2" t="s">
        <v>21</v>
      </c>
      <c r="J307" s="2" t="n">
        <v>23</v>
      </c>
      <c r="K307" s="2" t="s">
        <v>44</v>
      </c>
      <c r="L307" s="2" t="n">
        <v>442</v>
      </c>
      <c r="M307" s="2" t="n">
        <v>2</v>
      </c>
      <c r="N307" s="2" t="n">
        <v>-1</v>
      </c>
      <c r="O307" s="2" t="n">
        <v>0</v>
      </c>
      <c r="P307" s="2" t="s">
        <v>23</v>
      </c>
      <c r="Q307" s="2" t="s">
        <v>20</v>
      </c>
    </row>
    <row r="308" customFormat="false" ht="15" hidden="false" customHeight="false" outlineLevel="0" collapsed="false">
      <c r="A308" s="2" t="n">
        <v>49</v>
      </c>
      <c r="B308" s="2" t="s">
        <v>39</v>
      </c>
      <c r="C308" s="2" t="s">
        <v>18</v>
      </c>
      <c r="D308" s="2" t="s">
        <v>25</v>
      </c>
      <c r="E308" s="2" t="s">
        <v>20</v>
      </c>
      <c r="F308" s="2" t="n">
        <v>687</v>
      </c>
      <c r="G308" s="2" t="s">
        <v>26</v>
      </c>
      <c r="H308" s="2" t="s">
        <v>20</v>
      </c>
      <c r="I308" s="2" t="s">
        <v>21</v>
      </c>
      <c r="J308" s="2" t="n">
        <v>17</v>
      </c>
      <c r="K308" s="2" t="s">
        <v>32</v>
      </c>
      <c r="L308" s="2" t="n">
        <v>772</v>
      </c>
      <c r="M308" s="2" t="n">
        <v>1</v>
      </c>
      <c r="N308" s="2" t="n">
        <v>-1</v>
      </c>
      <c r="O308" s="2" t="n">
        <v>0</v>
      </c>
      <c r="P308" s="2" t="s">
        <v>23</v>
      </c>
      <c r="Q308" s="2" t="s">
        <v>26</v>
      </c>
    </row>
    <row r="309" customFormat="false" ht="15" hidden="false" customHeight="false" outlineLevel="0" collapsed="false">
      <c r="A309" s="2" t="n">
        <v>38</v>
      </c>
      <c r="B309" s="2" t="s">
        <v>17</v>
      </c>
      <c r="C309" s="2" t="s">
        <v>18</v>
      </c>
      <c r="D309" s="2" t="s">
        <v>19</v>
      </c>
      <c r="E309" s="2" t="s">
        <v>20</v>
      </c>
      <c r="F309" s="2" t="n">
        <v>1147</v>
      </c>
      <c r="G309" s="2" t="s">
        <v>26</v>
      </c>
      <c r="H309" s="2" t="s">
        <v>26</v>
      </c>
      <c r="I309" s="2" t="s">
        <v>23</v>
      </c>
      <c r="J309" s="2" t="n">
        <v>8</v>
      </c>
      <c r="K309" s="2" t="s">
        <v>27</v>
      </c>
      <c r="L309" s="2" t="n">
        <v>249</v>
      </c>
      <c r="M309" s="2" t="n">
        <v>5</v>
      </c>
      <c r="N309" s="2" t="n">
        <v>-1</v>
      </c>
      <c r="O309" s="2" t="n">
        <v>0</v>
      </c>
      <c r="P309" s="2" t="s">
        <v>23</v>
      </c>
      <c r="Q309" s="2" t="s">
        <v>20</v>
      </c>
    </row>
    <row r="310" customFormat="false" ht="15" hidden="false" customHeight="false" outlineLevel="0" collapsed="false">
      <c r="A310" s="2" t="n">
        <v>35</v>
      </c>
      <c r="B310" s="2" t="s">
        <v>29</v>
      </c>
      <c r="C310" s="2" t="s">
        <v>18</v>
      </c>
      <c r="D310" s="2" t="s">
        <v>31</v>
      </c>
      <c r="E310" s="2" t="s">
        <v>20</v>
      </c>
      <c r="F310" s="2" t="n">
        <v>4286</v>
      </c>
      <c r="G310" s="2" t="s">
        <v>26</v>
      </c>
      <c r="H310" s="2" t="s">
        <v>20</v>
      </c>
      <c r="I310" s="2" t="s">
        <v>23</v>
      </c>
      <c r="J310" s="2" t="n">
        <v>9</v>
      </c>
      <c r="K310" s="2" t="s">
        <v>27</v>
      </c>
      <c r="L310" s="2" t="n">
        <v>357</v>
      </c>
      <c r="M310" s="2" t="n">
        <v>1</v>
      </c>
      <c r="N310" s="2" t="n">
        <v>-1</v>
      </c>
      <c r="O310" s="2" t="n">
        <v>0</v>
      </c>
      <c r="P310" s="2" t="s">
        <v>23</v>
      </c>
      <c r="Q310" s="2" t="s">
        <v>20</v>
      </c>
    </row>
    <row r="311" customFormat="false" ht="15" hidden="false" customHeight="false" outlineLevel="0" collapsed="false">
      <c r="A311" s="2" t="n">
        <v>38</v>
      </c>
      <c r="B311" s="2" t="s">
        <v>40</v>
      </c>
      <c r="C311" s="2" t="s">
        <v>18</v>
      </c>
      <c r="D311" s="2" t="s">
        <v>31</v>
      </c>
      <c r="E311" s="2" t="s">
        <v>20</v>
      </c>
      <c r="F311" s="2" t="n">
        <v>605</v>
      </c>
      <c r="G311" s="2" t="s">
        <v>20</v>
      </c>
      <c r="H311" s="2" t="s">
        <v>20</v>
      </c>
      <c r="I311" s="2" t="s">
        <v>21</v>
      </c>
      <c r="J311" s="2" t="n">
        <v>18</v>
      </c>
      <c r="K311" s="2" t="s">
        <v>46</v>
      </c>
      <c r="L311" s="2" t="n">
        <v>147</v>
      </c>
      <c r="M311" s="2" t="n">
        <v>2</v>
      </c>
      <c r="N311" s="2" t="n">
        <v>-1</v>
      </c>
      <c r="O311" s="2" t="n">
        <v>0</v>
      </c>
      <c r="P311" s="2" t="s">
        <v>23</v>
      </c>
      <c r="Q311" s="2" t="s">
        <v>20</v>
      </c>
    </row>
    <row r="312" customFormat="false" ht="15" hidden="false" customHeight="false" outlineLevel="0" collapsed="false">
      <c r="A312" s="2" t="n">
        <v>49</v>
      </c>
      <c r="B312" s="2" t="s">
        <v>34</v>
      </c>
      <c r="C312" s="2" t="s">
        <v>18</v>
      </c>
      <c r="D312" s="2" t="s">
        <v>25</v>
      </c>
      <c r="E312" s="2" t="s">
        <v>20</v>
      </c>
      <c r="F312" s="2" t="n">
        <v>8545</v>
      </c>
      <c r="G312" s="2" t="s">
        <v>26</v>
      </c>
      <c r="H312" s="2" t="s">
        <v>26</v>
      </c>
      <c r="I312" s="2" t="s">
        <v>21</v>
      </c>
      <c r="J312" s="2" t="n">
        <v>6</v>
      </c>
      <c r="K312" s="2" t="s">
        <v>27</v>
      </c>
      <c r="L312" s="2" t="n">
        <v>199</v>
      </c>
      <c r="M312" s="2" t="n">
        <v>7</v>
      </c>
      <c r="N312" s="2" t="n">
        <v>167</v>
      </c>
      <c r="O312" s="2" t="n">
        <v>1</v>
      </c>
      <c r="P312" s="2" t="s">
        <v>28</v>
      </c>
      <c r="Q312" s="2" t="s">
        <v>20</v>
      </c>
    </row>
    <row r="313" customFormat="false" ht="15" hidden="false" customHeight="false" outlineLevel="0" collapsed="false">
      <c r="A313" s="2" t="n">
        <v>55</v>
      </c>
      <c r="B313" s="2" t="s">
        <v>29</v>
      </c>
      <c r="C313" s="2" t="s">
        <v>18</v>
      </c>
      <c r="D313" s="2" t="s">
        <v>23</v>
      </c>
      <c r="E313" s="2" t="s">
        <v>20</v>
      </c>
      <c r="F313" s="2" t="n">
        <v>559</v>
      </c>
      <c r="G313" s="2" t="s">
        <v>20</v>
      </c>
      <c r="H313" s="2" t="s">
        <v>20</v>
      </c>
      <c r="I313" s="2" t="s">
        <v>21</v>
      </c>
      <c r="J313" s="2" t="n">
        <v>28</v>
      </c>
      <c r="K313" s="2" t="s">
        <v>43</v>
      </c>
      <c r="L313" s="2" t="n">
        <v>271</v>
      </c>
      <c r="M313" s="2" t="n">
        <v>2</v>
      </c>
      <c r="N313" s="2" t="n">
        <v>-1</v>
      </c>
      <c r="O313" s="2" t="n">
        <v>0</v>
      </c>
      <c r="P313" s="2" t="s">
        <v>23</v>
      </c>
      <c r="Q313" s="2" t="s">
        <v>20</v>
      </c>
    </row>
    <row r="314" customFormat="false" ht="15" hidden="false" customHeight="false" outlineLevel="0" collapsed="false">
      <c r="A314" s="2" t="n">
        <v>43</v>
      </c>
      <c r="B314" s="2" t="s">
        <v>34</v>
      </c>
      <c r="C314" s="2" t="s">
        <v>30</v>
      </c>
      <c r="D314" s="2" t="s">
        <v>19</v>
      </c>
      <c r="E314" s="2" t="s">
        <v>20</v>
      </c>
      <c r="F314" s="2" t="n">
        <v>2</v>
      </c>
      <c r="G314" s="2" t="s">
        <v>26</v>
      </c>
      <c r="H314" s="2" t="s">
        <v>20</v>
      </c>
      <c r="I314" s="2" t="s">
        <v>21</v>
      </c>
      <c r="J314" s="2" t="n">
        <v>30</v>
      </c>
      <c r="K314" s="2" t="s">
        <v>44</v>
      </c>
      <c r="L314" s="2" t="n">
        <v>783</v>
      </c>
      <c r="M314" s="2" t="n">
        <v>3</v>
      </c>
      <c r="N314" s="2" t="n">
        <v>-1</v>
      </c>
      <c r="O314" s="2" t="n">
        <v>0</v>
      </c>
      <c r="P314" s="2" t="s">
        <v>23</v>
      </c>
      <c r="Q314" s="2" t="s">
        <v>20</v>
      </c>
    </row>
    <row r="315" customFormat="false" ht="15" hidden="false" customHeight="false" outlineLevel="0" collapsed="false">
      <c r="A315" s="2" t="n">
        <v>43</v>
      </c>
      <c r="B315" s="2" t="s">
        <v>29</v>
      </c>
      <c r="C315" s="2" t="s">
        <v>18</v>
      </c>
      <c r="D315" s="2" t="s">
        <v>31</v>
      </c>
      <c r="E315" s="2" t="s">
        <v>20</v>
      </c>
      <c r="F315" s="2" t="n">
        <v>2</v>
      </c>
      <c r="G315" s="2" t="s">
        <v>20</v>
      </c>
      <c r="H315" s="2" t="s">
        <v>26</v>
      </c>
      <c r="I315" s="2" t="s">
        <v>21</v>
      </c>
      <c r="J315" s="2" t="n">
        <v>20</v>
      </c>
      <c r="K315" s="2" t="s">
        <v>41</v>
      </c>
      <c r="L315" s="2" t="n">
        <v>472</v>
      </c>
      <c r="M315" s="2" t="n">
        <v>2</v>
      </c>
      <c r="N315" s="2" t="n">
        <v>-1</v>
      </c>
      <c r="O315" s="2" t="n">
        <v>0</v>
      </c>
      <c r="P315" s="2" t="s">
        <v>23</v>
      </c>
      <c r="Q315" s="2" t="s">
        <v>20</v>
      </c>
    </row>
    <row r="316" customFormat="false" ht="15" hidden="false" customHeight="false" outlineLevel="0" collapsed="false">
      <c r="A316" s="2" t="n">
        <v>25</v>
      </c>
      <c r="B316" s="2" t="s">
        <v>40</v>
      </c>
      <c r="C316" s="2" t="s">
        <v>30</v>
      </c>
      <c r="D316" s="2" t="s">
        <v>31</v>
      </c>
      <c r="E316" s="2" t="s">
        <v>20</v>
      </c>
      <c r="F316" s="2" t="n">
        <v>760</v>
      </c>
      <c r="G316" s="2" t="s">
        <v>26</v>
      </c>
      <c r="H316" s="2" t="s">
        <v>20</v>
      </c>
      <c r="I316" s="2" t="s">
        <v>21</v>
      </c>
      <c r="J316" s="2" t="n">
        <v>27</v>
      </c>
      <c r="K316" s="2" t="s">
        <v>27</v>
      </c>
      <c r="L316" s="2" t="n">
        <v>223</v>
      </c>
      <c r="M316" s="2" t="n">
        <v>3</v>
      </c>
      <c r="N316" s="2" t="n">
        <v>89</v>
      </c>
      <c r="O316" s="2" t="n">
        <v>2</v>
      </c>
      <c r="P316" s="2" t="s">
        <v>28</v>
      </c>
      <c r="Q316" s="2" t="s">
        <v>26</v>
      </c>
    </row>
    <row r="317" customFormat="false" ht="15" hidden="false" customHeight="false" outlineLevel="0" collapsed="false">
      <c r="A317" s="2" t="n">
        <v>30</v>
      </c>
      <c r="B317" s="2" t="s">
        <v>34</v>
      </c>
      <c r="C317" s="2" t="s">
        <v>18</v>
      </c>
      <c r="D317" s="2" t="s">
        <v>19</v>
      </c>
      <c r="E317" s="2" t="s">
        <v>20</v>
      </c>
      <c r="F317" s="2" t="n">
        <v>1317</v>
      </c>
      <c r="G317" s="2" t="s">
        <v>26</v>
      </c>
      <c r="H317" s="2" t="s">
        <v>20</v>
      </c>
      <c r="I317" s="2" t="s">
        <v>23</v>
      </c>
      <c r="J317" s="2" t="n">
        <v>21</v>
      </c>
      <c r="K317" s="2" t="s">
        <v>27</v>
      </c>
      <c r="L317" s="2" t="n">
        <v>395</v>
      </c>
      <c r="M317" s="2" t="n">
        <v>2</v>
      </c>
      <c r="N317" s="2" t="n">
        <v>-1</v>
      </c>
      <c r="O317" s="2" t="n">
        <v>0</v>
      </c>
      <c r="P317" s="2" t="s">
        <v>23</v>
      </c>
      <c r="Q317" s="2" t="s">
        <v>20</v>
      </c>
    </row>
    <row r="318" customFormat="false" ht="15" hidden="false" customHeight="false" outlineLevel="0" collapsed="false">
      <c r="A318" s="2" t="n">
        <v>46</v>
      </c>
      <c r="B318" s="2" t="s">
        <v>34</v>
      </c>
      <c r="C318" s="2" t="s">
        <v>18</v>
      </c>
      <c r="D318" s="2" t="s">
        <v>25</v>
      </c>
      <c r="E318" s="2" t="s">
        <v>20</v>
      </c>
      <c r="F318" s="2" t="n">
        <v>182</v>
      </c>
      <c r="G318" s="2" t="s">
        <v>20</v>
      </c>
      <c r="H318" s="2" t="s">
        <v>20</v>
      </c>
      <c r="I318" s="2" t="s">
        <v>21</v>
      </c>
      <c r="J318" s="2" t="n">
        <v>4</v>
      </c>
      <c r="K318" s="2" t="s">
        <v>35</v>
      </c>
      <c r="L318" s="2" t="n">
        <v>56</v>
      </c>
      <c r="M318" s="2" t="n">
        <v>1</v>
      </c>
      <c r="N318" s="2" t="n">
        <v>-1</v>
      </c>
      <c r="O318" s="2" t="n">
        <v>0</v>
      </c>
      <c r="P318" s="2" t="s">
        <v>23</v>
      </c>
      <c r="Q318" s="2" t="s">
        <v>20</v>
      </c>
    </row>
    <row r="319" customFormat="false" ht="15" hidden="false" customHeight="false" outlineLevel="0" collapsed="false">
      <c r="A319" s="2" t="n">
        <v>50</v>
      </c>
      <c r="B319" s="2" t="s">
        <v>40</v>
      </c>
      <c r="C319" s="2" t="s">
        <v>18</v>
      </c>
      <c r="D319" s="2" t="s">
        <v>19</v>
      </c>
      <c r="E319" s="2" t="s">
        <v>20</v>
      </c>
      <c r="F319" s="2" t="n">
        <v>276</v>
      </c>
      <c r="G319" s="2" t="s">
        <v>20</v>
      </c>
      <c r="H319" s="2" t="s">
        <v>26</v>
      </c>
      <c r="I319" s="2" t="s">
        <v>23</v>
      </c>
      <c r="J319" s="2" t="n">
        <v>17</v>
      </c>
      <c r="K319" s="2" t="s">
        <v>33</v>
      </c>
      <c r="L319" s="2" t="n">
        <v>641</v>
      </c>
      <c r="M319" s="2" t="n">
        <v>6</v>
      </c>
      <c r="N319" s="2" t="n">
        <v>-1</v>
      </c>
      <c r="O319" s="2" t="n">
        <v>0</v>
      </c>
      <c r="P319" s="2" t="s">
        <v>23</v>
      </c>
      <c r="Q319" s="2" t="s">
        <v>20</v>
      </c>
    </row>
    <row r="320" customFormat="false" ht="15" hidden="false" customHeight="false" outlineLevel="0" collapsed="false">
      <c r="A320" s="2" t="n">
        <v>35</v>
      </c>
      <c r="B320" s="2" t="s">
        <v>39</v>
      </c>
      <c r="C320" s="2" t="s">
        <v>18</v>
      </c>
      <c r="D320" s="2" t="s">
        <v>25</v>
      </c>
      <c r="E320" s="2" t="s">
        <v>20</v>
      </c>
      <c r="F320" s="2" t="n">
        <v>2971</v>
      </c>
      <c r="G320" s="2" t="s">
        <v>20</v>
      </c>
      <c r="H320" s="2" t="s">
        <v>20</v>
      </c>
      <c r="I320" s="2" t="s">
        <v>21</v>
      </c>
      <c r="J320" s="2" t="n">
        <v>4</v>
      </c>
      <c r="K320" s="2" t="s">
        <v>27</v>
      </c>
      <c r="L320" s="2" t="n">
        <v>429</v>
      </c>
      <c r="M320" s="2" t="n">
        <v>4</v>
      </c>
      <c r="N320" s="2" t="n">
        <v>164</v>
      </c>
      <c r="O320" s="2" t="n">
        <v>2</v>
      </c>
      <c r="P320" s="2" t="s">
        <v>28</v>
      </c>
      <c r="Q320" s="2" t="s">
        <v>26</v>
      </c>
    </row>
    <row r="321" customFormat="false" ht="15" hidden="false" customHeight="false" outlineLevel="0" collapsed="false">
      <c r="A321" s="2" t="n">
        <v>26</v>
      </c>
      <c r="B321" s="2" t="s">
        <v>17</v>
      </c>
      <c r="C321" s="2" t="s">
        <v>30</v>
      </c>
      <c r="D321" s="2" t="s">
        <v>25</v>
      </c>
      <c r="E321" s="2" t="s">
        <v>20</v>
      </c>
      <c r="F321" s="2" t="n">
        <v>1064</v>
      </c>
      <c r="G321" s="2" t="s">
        <v>20</v>
      </c>
      <c r="H321" s="2" t="s">
        <v>20</v>
      </c>
      <c r="I321" s="2" t="s">
        <v>23</v>
      </c>
      <c r="J321" s="2" t="n">
        <v>31</v>
      </c>
      <c r="K321" s="2" t="s">
        <v>27</v>
      </c>
      <c r="L321" s="2" t="n">
        <v>113</v>
      </c>
      <c r="M321" s="2" t="n">
        <v>1</v>
      </c>
      <c r="N321" s="2" t="n">
        <v>-1</v>
      </c>
      <c r="O321" s="2" t="n">
        <v>0</v>
      </c>
      <c r="P321" s="2" t="s">
        <v>23</v>
      </c>
      <c r="Q321" s="2" t="s">
        <v>20</v>
      </c>
    </row>
    <row r="322" customFormat="false" ht="15" hidden="false" customHeight="false" outlineLevel="0" collapsed="false">
      <c r="A322" s="2" t="n">
        <v>45</v>
      </c>
      <c r="B322" s="2" t="s">
        <v>40</v>
      </c>
      <c r="C322" s="2" t="s">
        <v>18</v>
      </c>
      <c r="D322" s="2" t="s">
        <v>23</v>
      </c>
      <c r="E322" s="2" t="s">
        <v>20</v>
      </c>
      <c r="F322" s="2" t="n">
        <v>1783</v>
      </c>
      <c r="G322" s="2" t="s">
        <v>20</v>
      </c>
      <c r="H322" s="2" t="s">
        <v>20</v>
      </c>
      <c r="I322" s="2" t="s">
        <v>23</v>
      </c>
      <c r="J322" s="2" t="n">
        <v>20</v>
      </c>
      <c r="K322" s="2" t="s">
        <v>33</v>
      </c>
      <c r="L322" s="2" t="n">
        <v>11</v>
      </c>
      <c r="M322" s="2" t="n">
        <v>11</v>
      </c>
      <c r="N322" s="2" t="n">
        <v>-1</v>
      </c>
      <c r="O322" s="2" t="n">
        <v>0</v>
      </c>
      <c r="P322" s="2" t="s">
        <v>23</v>
      </c>
      <c r="Q322" s="2" t="s">
        <v>20</v>
      </c>
    </row>
    <row r="323" customFormat="false" ht="15" hidden="false" customHeight="false" outlineLevel="0" collapsed="false">
      <c r="A323" s="2" t="n">
        <v>37</v>
      </c>
      <c r="B323" s="2" t="s">
        <v>34</v>
      </c>
      <c r="C323" s="2" t="s">
        <v>18</v>
      </c>
      <c r="D323" s="2" t="s">
        <v>25</v>
      </c>
      <c r="E323" s="2" t="s">
        <v>20</v>
      </c>
      <c r="F323" s="2" t="n">
        <v>-67</v>
      </c>
      <c r="G323" s="2" t="s">
        <v>20</v>
      </c>
      <c r="H323" s="2" t="s">
        <v>20</v>
      </c>
      <c r="I323" s="2" t="s">
        <v>21</v>
      </c>
      <c r="J323" s="2" t="n">
        <v>2</v>
      </c>
      <c r="K323" s="2" t="s">
        <v>35</v>
      </c>
      <c r="L323" s="2" t="n">
        <v>157</v>
      </c>
      <c r="M323" s="2" t="n">
        <v>1</v>
      </c>
      <c r="N323" s="2" t="n">
        <v>-1</v>
      </c>
      <c r="O323" s="2" t="n">
        <v>0</v>
      </c>
      <c r="P323" s="2" t="s">
        <v>23</v>
      </c>
      <c r="Q323" s="2" t="s">
        <v>20</v>
      </c>
    </row>
    <row r="324" customFormat="false" ht="15" hidden="false" customHeight="false" outlineLevel="0" collapsed="false">
      <c r="A324" s="2" t="n">
        <v>60</v>
      </c>
      <c r="B324" s="2" t="s">
        <v>36</v>
      </c>
      <c r="C324" s="2" t="s">
        <v>30</v>
      </c>
      <c r="D324" s="2" t="s">
        <v>31</v>
      </c>
      <c r="E324" s="2" t="s">
        <v>20</v>
      </c>
      <c r="F324" s="2" t="n">
        <v>179</v>
      </c>
      <c r="G324" s="2" t="s">
        <v>20</v>
      </c>
      <c r="H324" s="2" t="s">
        <v>26</v>
      </c>
      <c r="I324" s="2" t="s">
        <v>21</v>
      </c>
      <c r="J324" s="2" t="n">
        <v>29</v>
      </c>
      <c r="K324" s="2" t="s">
        <v>44</v>
      </c>
      <c r="L324" s="2" t="n">
        <v>79</v>
      </c>
      <c r="M324" s="2" t="n">
        <v>4</v>
      </c>
      <c r="N324" s="2" t="n">
        <v>-1</v>
      </c>
      <c r="O324" s="2" t="n">
        <v>0</v>
      </c>
      <c r="P324" s="2" t="s">
        <v>23</v>
      </c>
      <c r="Q324" s="2" t="s">
        <v>20</v>
      </c>
    </row>
    <row r="325" customFormat="false" ht="15" hidden="false" customHeight="false" outlineLevel="0" collapsed="false">
      <c r="A325" s="2" t="n">
        <v>38</v>
      </c>
      <c r="B325" s="2" t="s">
        <v>29</v>
      </c>
      <c r="C325" s="2" t="s">
        <v>18</v>
      </c>
      <c r="D325" s="2" t="s">
        <v>31</v>
      </c>
      <c r="E325" s="2" t="s">
        <v>20</v>
      </c>
      <c r="F325" s="2" t="n">
        <v>1199</v>
      </c>
      <c r="G325" s="2" t="s">
        <v>20</v>
      </c>
      <c r="H325" s="2" t="s">
        <v>20</v>
      </c>
      <c r="I325" s="2" t="s">
        <v>21</v>
      </c>
      <c r="J325" s="2" t="n">
        <v>4</v>
      </c>
      <c r="K325" s="2" t="s">
        <v>41</v>
      </c>
      <c r="L325" s="2" t="n">
        <v>178</v>
      </c>
      <c r="M325" s="2" t="n">
        <v>1</v>
      </c>
      <c r="N325" s="2" t="n">
        <v>1</v>
      </c>
      <c r="O325" s="2" t="n">
        <v>1</v>
      </c>
      <c r="P325" s="2" t="s">
        <v>50</v>
      </c>
      <c r="Q325" s="2" t="s">
        <v>26</v>
      </c>
    </row>
    <row r="326" customFormat="false" ht="15" hidden="false" customHeight="false" outlineLevel="0" collapsed="false">
      <c r="A326" s="2" t="n">
        <v>47</v>
      </c>
      <c r="B326" s="2" t="s">
        <v>34</v>
      </c>
      <c r="C326" s="2" t="s">
        <v>18</v>
      </c>
      <c r="D326" s="2" t="s">
        <v>19</v>
      </c>
      <c r="E326" s="2" t="s">
        <v>20</v>
      </c>
      <c r="F326" s="2" t="n">
        <v>214</v>
      </c>
      <c r="G326" s="2" t="s">
        <v>26</v>
      </c>
      <c r="H326" s="2" t="s">
        <v>26</v>
      </c>
      <c r="I326" s="2" t="s">
        <v>23</v>
      </c>
      <c r="J326" s="2" t="n">
        <v>9</v>
      </c>
      <c r="K326" s="2" t="s">
        <v>33</v>
      </c>
      <c r="L326" s="2" t="n">
        <v>168</v>
      </c>
      <c r="M326" s="2" t="n">
        <v>1</v>
      </c>
      <c r="N326" s="2" t="n">
        <v>-1</v>
      </c>
      <c r="O326" s="2" t="n">
        <v>0</v>
      </c>
      <c r="P326" s="2" t="s">
        <v>23</v>
      </c>
      <c r="Q326" s="2" t="s">
        <v>20</v>
      </c>
    </row>
    <row r="327" customFormat="false" ht="15" hidden="false" customHeight="false" outlineLevel="0" collapsed="false">
      <c r="A327" s="2" t="n">
        <v>33</v>
      </c>
      <c r="B327" s="2" t="s">
        <v>38</v>
      </c>
      <c r="C327" s="2" t="s">
        <v>18</v>
      </c>
      <c r="D327" s="2" t="s">
        <v>25</v>
      </c>
      <c r="E327" s="2" t="s">
        <v>20</v>
      </c>
      <c r="F327" s="2" t="n">
        <v>6699</v>
      </c>
      <c r="G327" s="2" t="s">
        <v>20</v>
      </c>
      <c r="H327" s="2" t="s">
        <v>20</v>
      </c>
      <c r="I327" s="2" t="s">
        <v>21</v>
      </c>
      <c r="J327" s="2" t="n">
        <v>9</v>
      </c>
      <c r="K327" s="2" t="s">
        <v>46</v>
      </c>
      <c r="L327" s="2" t="n">
        <v>425</v>
      </c>
      <c r="M327" s="2" t="n">
        <v>1</v>
      </c>
      <c r="N327" s="2" t="n">
        <v>462</v>
      </c>
      <c r="O327" s="2" t="n">
        <v>1</v>
      </c>
      <c r="P327" s="2" t="s">
        <v>28</v>
      </c>
      <c r="Q327" s="2" t="s">
        <v>20</v>
      </c>
    </row>
    <row r="328" customFormat="false" ht="15" hidden="false" customHeight="false" outlineLevel="0" collapsed="false">
      <c r="A328" s="2" t="n">
        <v>51</v>
      </c>
      <c r="B328" s="2" t="s">
        <v>17</v>
      </c>
      <c r="C328" s="2" t="s">
        <v>18</v>
      </c>
      <c r="D328" s="2" t="s">
        <v>25</v>
      </c>
      <c r="E328" s="2" t="s">
        <v>20</v>
      </c>
      <c r="F328" s="2" t="n">
        <v>1760</v>
      </c>
      <c r="G328" s="2" t="s">
        <v>20</v>
      </c>
      <c r="H328" s="2" t="s">
        <v>26</v>
      </c>
      <c r="I328" s="2" t="s">
        <v>21</v>
      </c>
      <c r="J328" s="2" t="n">
        <v>19</v>
      </c>
      <c r="K328" s="2" t="s">
        <v>46</v>
      </c>
      <c r="L328" s="2" t="n">
        <v>162</v>
      </c>
      <c r="M328" s="2" t="n">
        <v>1</v>
      </c>
      <c r="N328" s="2" t="n">
        <v>-1</v>
      </c>
      <c r="O328" s="2" t="n">
        <v>0</v>
      </c>
      <c r="P328" s="2" t="s">
        <v>23</v>
      </c>
      <c r="Q328" s="2" t="s">
        <v>20</v>
      </c>
    </row>
    <row r="329" customFormat="false" ht="15" hidden="false" customHeight="false" outlineLevel="0" collapsed="false">
      <c r="A329" s="2" t="n">
        <v>35</v>
      </c>
      <c r="B329" s="2" t="s">
        <v>39</v>
      </c>
      <c r="C329" s="2" t="s">
        <v>30</v>
      </c>
      <c r="D329" s="2" t="s">
        <v>31</v>
      </c>
      <c r="E329" s="2" t="s">
        <v>20</v>
      </c>
      <c r="F329" s="2" t="n">
        <v>145</v>
      </c>
      <c r="G329" s="2" t="s">
        <v>26</v>
      </c>
      <c r="H329" s="2" t="s">
        <v>20</v>
      </c>
      <c r="I329" s="2" t="s">
        <v>21</v>
      </c>
      <c r="J329" s="2" t="n">
        <v>18</v>
      </c>
      <c r="K329" s="2" t="s">
        <v>44</v>
      </c>
      <c r="L329" s="2" t="n">
        <v>799</v>
      </c>
      <c r="M329" s="2" t="n">
        <v>2</v>
      </c>
      <c r="N329" s="2" t="n">
        <v>-1</v>
      </c>
      <c r="O329" s="2" t="n">
        <v>0</v>
      </c>
      <c r="P329" s="2" t="s">
        <v>23</v>
      </c>
      <c r="Q329" s="2" t="s">
        <v>26</v>
      </c>
    </row>
    <row r="330" customFormat="false" ht="15" hidden="false" customHeight="false" outlineLevel="0" collapsed="false">
      <c r="A330" s="2" t="n">
        <v>35</v>
      </c>
      <c r="B330" s="2" t="s">
        <v>17</v>
      </c>
      <c r="C330" s="2" t="s">
        <v>18</v>
      </c>
      <c r="D330" s="2" t="s">
        <v>25</v>
      </c>
      <c r="E330" s="2" t="s">
        <v>20</v>
      </c>
      <c r="F330" s="2" t="n">
        <v>978</v>
      </c>
      <c r="G330" s="2" t="s">
        <v>20</v>
      </c>
      <c r="H330" s="2" t="s">
        <v>20</v>
      </c>
      <c r="I330" s="2" t="s">
        <v>21</v>
      </c>
      <c r="J330" s="2" t="n">
        <v>29</v>
      </c>
      <c r="K330" s="2" t="s">
        <v>53</v>
      </c>
      <c r="L330" s="2" t="n">
        <v>1370</v>
      </c>
      <c r="M330" s="2" t="n">
        <v>3</v>
      </c>
      <c r="N330" s="2" t="n">
        <v>209</v>
      </c>
      <c r="O330" s="2" t="n">
        <v>3</v>
      </c>
      <c r="P330" s="2" t="s">
        <v>50</v>
      </c>
      <c r="Q330" s="2" t="s">
        <v>26</v>
      </c>
    </row>
    <row r="331" customFormat="false" ht="15" hidden="false" customHeight="false" outlineLevel="0" collapsed="false">
      <c r="A331" s="2" t="n">
        <v>48</v>
      </c>
      <c r="B331" s="2" t="s">
        <v>40</v>
      </c>
      <c r="C331" s="2" t="s">
        <v>30</v>
      </c>
      <c r="D331" s="2" t="s">
        <v>25</v>
      </c>
      <c r="E331" s="2" t="s">
        <v>20</v>
      </c>
      <c r="F331" s="2" t="n">
        <v>1150</v>
      </c>
      <c r="G331" s="2" t="s">
        <v>26</v>
      </c>
      <c r="H331" s="2" t="s">
        <v>20</v>
      </c>
      <c r="I331" s="2" t="s">
        <v>23</v>
      </c>
      <c r="J331" s="2" t="n">
        <v>28</v>
      </c>
      <c r="K331" s="2" t="s">
        <v>27</v>
      </c>
      <c r="L331" s="2" t="n">
        <v>357</v>
      </c>
      <c r="M331" s="2" t="n">
        <v>1</v>
      </c>
      <c r="N331" s="2" t="n">
        <v>-1</v>
      </c>
      <c r="O331" s="2" t="n">
        <v>0</v>
      </c>
      <c r="P331" s="2" t="s">
        <v>23</v>
      </c>
      <c r="Q331" s="2" t="s">
        <v>20</v>
      </c>
    </row>
    <row r="332" customFormat="false" ht="15" hidden="false" customHeight="false" outlineLevel="0" collapsed="false">
      <c r="A332" s="2" t="n">
        <v>37</v>
      </c>
      <c r="B332" s="2" t="s">
        <v>40</v>
      </c>
      <c r="C332" s="2" t="s">
        <v>18</v>
      </c>
      <c r="D332" s="2" t="s">
        <v>25</v>
      </c>
      <c r="E332" s="2" t="s">
        <v>20</v>
      </c>
      <c r="F332" s="2" t="n">
        <v>121</v>
      </c>
      <c r="G332" s="2" t="s">
        <v>20</v>
      </c>
      <c r="H332" s="2" t="s">
        <v>20</v>
      </c>
      <c r="I332" s="2" t="s">
        <v>21</v>
      </c>
      <c r="J332" s="2" t="n">
        <v>22</v>
      </c>
      <c r="K332" s="2" t="s">
        <v>44</v>
      </c>
      <c r="L332" s="2" t="n">
        <v>22</v>
      </c>
      <c r="M332" s="2" t="n">
        <v>6</v>
      </c>
      <c r="N332" s="2" t="n">
        <v>-1</v>
      </c>
      <c r="O332" s="2" t="n">
        <v>0</v>
      </c>
      <c r="P332" s="2" t="s">
        <v>23</v>
      </c>
      <c r="Q332" s="2" t="s">
        <v>20</v>
      </c>
    </row>
    <row r="333" customFormat="false" ht="15" hidden="false" customHeight="false" outlineLevel="0" collapsed="false">
      <c r="A333" s="2" t="n">
        <v>29</v>
      </c>
      <c r="B333" s="2" t="s">
        <v>38</v>
      </c>
      <c r="C333" s="2" t="s">
        <v>30</v>
      </c>
      <c r="D333" s="2" t="s">
        <v>31</v>
      </c>
      <c r="E333" s="2" t="s">
        <v>20</v>
      </c>
      <c r="F333" s="2" t="n">
        <v>828</v>
      </c>
      <c r="G333" s="2" t="s">
        <v>26</v>
      </c>
      <c r="H333" s="2" t="s">
        <v>20</v>
      </c>
      <c r="I333" s="2" t="s">
        <v>21</v>
      </c>
      <c r="J333" s="2" t="n">
        <v>16</v>
      </c>
      <c r="K333" s="2" t="s">
        <v>32</v>
      </c>
      <c r="L333" s="2" t="n">
        <v>215</v>
      </c>
      <c r="M333" s="2" t="n">
        <v>3</v>
      </c>
      <c r="N333" s="2" t="n">
        <v>321</v>
      </c>
      <c r="O333" s="2" t="n">
        <v>3</v>
      </c>
      <c r="P333" s="2" t="s">
        <v>37</v>
      </c>
      <c r="Q333" s="2" t="s">
        <v>20</v>
      </c>
    </row>
    <row r="334" customFormat="false" ht="15" hidden="false" customHeight="false" outlineLevel="0" collapsed="false">
      <c r="A334" s="2" t="n">
        <v>34</v>
      </c>
      <c r="B334" s="2" t="s">
        <v>40</v>
      </c>
      <c r="C334" s="2" t="s">
        <v>18</v>
      </c>
      <c r="D334" s="2" t="s">
        <v>25</v>
      </c>
      <c r="E334" s="2" t="s">
        <v>20</v>
      </c>
      <c r="F334" s="2" t="n">
        <v>244</v>
      </c>
      <c r="G334" s="2" t="s">
        <v>26</v>
      </c>
      <c r="H334" s="2" t="s">
        <v>20</v>
      </c>
      <c r="I334" s="2" t="s">
        <v>21</v>
      </c>
      <c r="J334" s="2" t="n">
        <v>31</v>
      </c>
      <c r="K334" s="2" t="s">
        <v>44</v>
      </c>
      <c r="L334" s="2" t="n">
        <v>56</v>
      </c>
      <c r="M334" s="2" t="n">
        <v>4</v>
      </c>
      <c r="N334" s="2" t="n">
        <v>-1</v>
      </c>
      <c r="O334" s="2" t="n">
        <v>0</v>
      </c>
      <c r="P334" s="2" t="s">
        <v>23</v>
      </c>
      <c r="Q334" s="2" t="s">
        <v>20</v>
      </c>
    </row>
    <row r="335" customFormat="false" ht="15" hidden="false" customHeight="false" outlineLevel="0" collapsed="false">
      <c r="A335" s="2" t="n">
        <v>32</v>
      </c>
      <c r="B335" s="2" t="s">
        <v>24</v>
      </c>
      <c r="C335" s="2" t="s">
        <v>18</v>
      </c>
      <c r="D335" s="2" t="s">
        <v>19</v>
      </c>
      <c r="E335" s="2" t="s">
        <v>20</v>
      </c>
      <c r="F335" s="2" t="n">
        <v>228</v>
      </c>
      <c r="G335" s="2" t="s">
        <v>26</v>
      </c>
      <c r="H335" s="2" t="s">
        <v>20</v>
      </c>
      <c r="I335" s="2" t="s">
        <v>21</v>
      </c>
      <c r="J335" s="2" t="n">
        <v>21</v>
      </c>
      <c r="K335" s="2" t="s">
        <v>44</v>
      </c>
      <c r="L335" s="2" t="n">
        <v>1017</v>
      </c>
      <c r="M335" s="2" t="n">
        <v>6</v>
      </c>
      <c r="N335" s="2" t="n">
        <v>-1</v>
      </c>
      <c r="O335" s="2" t="n">
        <v>0</v>
      </c>
      <c r="P335" s="2" t="s">
        <v>23</v>
      </c>
      <c r="Q335" s="2" t="s">
        <v>26</v>
      </c>
    </row>
    <row r="336" customFormat="false" ht="15" hidden="false" customHeight="false" outlineLevel="0" collapsed="false">
      <c r="A336" s="2" t="n">
        <v>30</v>
      </c>
      <c r="B336" s="2" t="s">
        <v>29</v>
      </c>
      <c r="C336" s="2" t="s">
        <v>30</v>
      </c>
      <c r="D336" s="2" t="s">
        <v>31</v>
      </c>
      <c r="E336" s="2" t="s">
        <v>20</v>
      </c>
      <c r="F336" s="2" t="n">
        <v>424</v>
      </c>
      <c r="G336" s="2" t="s">
        <v>20</v>
      </c>
      <c r="H336" s="2" t="s">
        <v>20</v>
      </c>
      <c r="I336" s="2" t="s">
        <v>21</v>
      </c>
      <c r="J336" s="2" t="n">
        <v>16</v>
      </c>
      <c r="K336" s="2" t="s">
        <v>32</v>
      </c>
      <c r="L336" s="2" t="n">
        <v>298</v>
      </c>
      <c r="M336" s="2" t="n">
        <v>4</v>
      </c>
      <c r="N336" s="2" t="n">
        <v>-1</v>
      </c>
      <c r="O336" s="2" t="n">
        <v>0</v>
      </c>
      <c r="P336" s="2" t="s">
        <v>23</v>
      </c>
      <c r="Q336" s="2" t="s">
        <v>26</v>
      </c>
    </row>
    <row r="337" customFormat="false" ht="15" hidden="false" customHeight="false" outlineLevel="0" collapsed="false">
      <c r="A337" s="2" t="n">
        <v>47</v>
      </c>
      <c r="B337" s="2" t="s">
        <v>29</v>
      </c>
      <c r="C337" s="2" t="s">
        <v>45</v>
      </c>
      <c r="D337" s="2" t="s">
        <v>31</v>
      </c>
      <c r="E337" s="2" t="s">
        <v>20</v>
      </c>
      <c r="F337" s="2" t="n">
        <v>447</v>
      </c>
      <c r="G337" s="2" t="s">
        <v>20</v>
      </c>
      <c r="H337" s="2" t="s">
        <v>26</v>
      </c>
      <c r="I337" s="2" t="s">
        <v>23</v>
      </c>
      <c r="J337" s="2" t="n">
        <v>7</v>
      </c>
      <c r="K337" s="2" t="s">
        <v>27</v>
      </c>
      <c r="L337" s="2" t="n">
        <v>126</v>
      </c>
      <c r="M337" s="2" t="n">
        <v>1</v>
      </c>
      <c r="N337" s="2" t="n">
        <v>-1</v>
      </c>
      <c r="O337" s="2" t="n">
        <v>0</v>
      </c>
      <c r="P337" s="2" t="s">
        <v>23</v>
      </c>
      <c r="Q337" s="2" t="s">
        <v>20</v>
      </c>
    </row>
    <row r="338" customFormat="false" ht="15" hidden="false" customHeight="false" outlineLevel="0" collapsed="false">
      <c r="A338" s="2" t="n">
        <v>33</v>
      </c>
      <c r="B338" s="2" t="s">
        <v>34</v>
      </c>
      <c r="C338" s="2" t="s">
        <v>18</v>
      </c>
      <c r="D338" s="2" t="s">
        <v>19</v>
      </c>
      <c r="E338" s="2" t="s">
        <v>20</v>
      </c>
      <c r="F338" s="2" t="n">
        <v>-195</v>
      </c>
      <c r="G338" s="2" t="s">
        <v>20</v>
      </c>
      <c r="H338" s="2" t="s">
        <v>20</v>
      </c>
      <c r="I338" s="2" t="s">
        <v>23</v>
      </c>
      <c r="J338" s="2" t="n">
        <v>20</v>
      </c>
      <c r="K338" s="2" t="s">
        <v>51</v>
      </c>
      <c r="L338" s="2" t="n">
        <v>9</v>
      </c>
      <c r="M338" s="2" t="n">
        <v>1</v>
      </c>
      <c r="N338" s="2" t="n">
        <v>-1</v>
      </c>
      <c r="O338" s="2" t="n">
        <v>0</v>
      </c>
      <c r="P338" s="2" t="s">
        <v>23</v>
      </c>
      <c r="Q338" s="2" t="s">
        <v>20</v>
      </c>
    </row>
    <row r="339" customFormat="false" ht="15" hidden="false" customHeight="false" outlineLevel="0" collapsed="false">
      <c r="A339" s="2" t="n">
        <v>33</v>
      </c>
      <c r="B339" s="2" t="s">
        <v>29</v>
      </c>
      <c r="C339" s="2" t="s">
        <v>30</v>
      </c>
      <c r="D339" s="2" t="s">
        <v>31</v>
      </c>
      <c r="E339" s="2" t="s">
        <v>20</v>
      </c>
      <c r="F339" s="2" t="n">
        <v>1410</v>
      </c>
      <c r="G339" s="2" t="s">
        <v>26</v>
      </c>
      <c r="H339" s="2" t="s">
        <v>20</v>
      </c>
      <c r="I339" s="2" t="s">
        <v>21</v>
      </c>
      <c r="J339" s="2" t="n">
        <v>5</v>
      </c>
      <c r="K339" s="2" t="s">
        <v>35</v>
      </c>
      <c r="L339" s="2" t="n">
        <v>8</v>
      </c>
      <c r="M339" s="2" t="n">
        <v>1</v>
      </c>
      <c r="N339" s="2" t="n">
        <v>254</v>
      </c>
      <c r="O339" s="2" t="n">
        <v>5</v>
      </c>
      <c r="P339" s="2" t="s">
        <v>28</v>
      </c>
      <c r="Q339" s="2" t="s">
        <v>20</v>
      </c>
    </row>
    <row r="340" customFormat="false" ht="15" hidden="false" customHeight="false" outlineLevel="0" collapsed="false">
      <c r="A340" s="2" t="n">
        <v>63</v>
      </c>
      <c r="B340" s="2" t="s">
        <v>48</v>
      </c>
      <c r="C340" s="2" t="s">
        <v>18</v>
      </c>
      <c r="D340" s="2" t="s">
        <v>19</v>
      </c>
      <c r="E340" s="2" t="s">
        <v>20</v>
      </c>
      <c r="F340" s="2" t="n">
        <v>1084</v>
      </c>
      <c r="G340" s="2" t="s">
        <v>20</v>
      </c>
      <c r="H340" s="2" t="s">
        <v>20</v>
      </c>
      <c r="I340" s="2" t="s">
        <v>21</v>
      </c>
      <c r="J340" s="2" t="n">
        <v>14</v>
      </c>
      <c r="K340" s="2" t="s">
        <v>22</v>
      </c>
      <c r="L340" s="2" t="n">
        <v>201</v>
      </c>
      <c r="M340" s="2" t="n">
        <v>1</v>
      </c>
      <c r="N340" s="2" t="n">
        <v>183</v>
      </c>
      <c r="O340" s="2" t="n">
        <v>1</v>
      </c>
      <c r="P340" s="2" t="s">
        <v>50</v>
      </c>
      <c r="Q340" s="2" t="s">
        <v>20</v>
      </c>
    </row>
    <row r="341" customFormat="false" ht="15" hidden="false" customHeight="false" outlineLevel="0" collapsed="false">
      <c r="A341" s="2" t="n">
        <v>51</v>
      </c>
      <c r="B341" s="2" t="s">
        <v>36</v>
      </c>
      <c r="C341" s="2" t="s">
        <v>45</v>
      </c>
      <c r="D341" s="2" t="s">
        <v>19</v>
      </c>
      <c r="E341" s="2" t="s">
        <v>20</v>
      </c>
      <c r="F341" s="2" t="n">
        <v>10924</v>
      </c>
      <c r="G341" s="2" t="s">
        <v>20</v>
      </c>
      <c r="H341" s="2" t="s">
        <v>20</v>
      </c>
      <c r="I341" s="2" t="s">
        <v>21</v>
      </c>
      <c r="J341" s="2" t="n">
        <v>6</v>
      </c>
      <c r="K341" s="2" t="s">
        <v>27</v>
      </c>
      <c r="L341" s="2" t="n">
        <v>106</v>
      </c>
      <c r="M341" s="2" t="n">
        <v>2</v>
      </c>
      <c r="N341" s="2" t="n">
        <v>-1</v>
      </c>
      <c r="O341" s="2" t="n">
        <v>0</v>
      </c>
      <c r="P341" s="2" t="s">
        <v>23</v>
      </c>
      <c r="Q341" s="2" t="s">
        <v>20</v>
      </c>
    </row>
    <row r="342" customFormat="false" ht="15" hidden="false" customHeight="false" outlineLevel="0" collapsed="false">
      <c r="A342" s="2" t="n">
        <v>41</v>
      </c>
      <c r="B342" s="2" t="s">
        <v>29</v>
      </c>
      <c r="C342" s="2" t="s">
        <v>18</v>
      </c>
      <c r="D342" s="2" t="s">
        <v>31</v>
      </c>
      <c r="E342" s="2" t="s">
        <v>20</v>
      </c>
      <c r="F342" s="2" t="n">
        <v>832</v>
      </c>
      <c r="G342" s="2" t="s">
        <v>26</v>
      </c>
      <c r="H342" s="2" t="s">
        <v>26</v>
      </c>
      <c r="I342" s="2" t="s">
        <v>21</v>
      </c>
      <c r="J342" s="2" t="n">
        <v>21</v>
      </c>
      <c r="K342" s="2" t="s">
        <v>46</v>
      </c>
      <c r="L342" s="2" t="n">
        <v>164</v>
      </c>
      <c r="M342" s="2" t="n">
        <v>1</v>
      </c>
      <c r="N342" s="2" t="n">
        <v>176</v>
      </c>
      <c r="O342" s="2" t="n">
        <v>1</v>
      </c>
      <c r="P342" s="2" t="s">
        <v>28</v>
      </c>
      <c r="Q342" s="2" t="s">
        <v>20</v>
      </c>
    </row>
    <row r="343" customFormat="false" ht="15" hidden="false" customHeight="false" outlineLevel="0" collapsed="false">
      <c r="A343" s="2" t="n">
        <v>56</v>
      </c>
      <c r="B343" s="2" t="s">
        <v>48</v>
      </c>
      <c r="C343" s="2" t="s">
        <v>18</v>
      </c>
      <c r="D343" s="2" t="s">
        <v>31</v>
      </c>
      <c r="E343" s="2" t="s">
        <v>20</v>
      </c>
      <c r="F343" s="2" t="n">
        <v>478</v>
      </c>
      <c r="G343" s="2" t="s">
        <v>20</v>
      </c>
      <c r="H343" s="2" t="s">
        <v>20</v>
      </c>
      <c r="I343" s="2" t="s">
        <v>21</v>
      </c>
      <c r="J343" s="2" t="n">
        <v>5</v>
      </c>
      <c r="K343" s="2" t="s">
        <v>35</v>
      </c>
      <c r="L343" s="2" t="n">
        <v>97</v>
      </c>
      <c r="M343" s="2" t="n">
        <v>1</v>
      </c>
      <c r="N343" s="2" t="n">
        <v>-1</v>
      </c>
      <c r="O343" s="2" t="n">
        <v>0</v>
      </c>
      <c r="P343" s="2" t="s">
        <v>23</v>
      </c>
      <c r="Q343" s="2" t="s">
        <v>20</v>
      </c>
    </row>
    <row r="344" customFormat="false" ht="15" hidden="false" customHeight="false" outlineLevel="0" collapsed="false">
      <c r="A344" s="2" t="n">
        <v>60</v>
      </c>
      <c r="B344" s="2" t="s">
        <v>29</v>
      </c>
      <c r="C344" s="2" t="s">
        <v>30</v>
      </c>
      <c r="D344" s="2" t="s">
        <v>31</v>
      </c>
      <c r="E344" s="2" t="s">
        <v>20</v>
      </c>
      <c r="F344" s="2" t="n">
        <v>0</v>
      </c>
      <c r="G344" s="2" t="s">
        <v>20</v>
      </c>
      <c r="H344" s="2" t="s">
        <v>26</v>
      </c>
      <c r="I344" s="2" t="s">
        <v>21</v>
      </c>
      <c r="J344" s="2" t="n">
        <v>23</v>
      </c>
      <c r="K344" s="2" t="s">
        <v>44</v>
      </c>
      <c r="L344" s="2" t="n">
        <v>151</v>
      </c>
      <c r="M344" s="2" t="n">
        <v>1</v>
      </c>
      <c r="N344" s="2" t="n">
        <v>-1</v>
      </c>
      <c r="O344" s="2" t="n">
        <v>0</v>
      </c>
      <c r="P344" s="2" t="s">
        <v>23</v>
      </c>
      <c r="Q344" s="2" t="s">
        <v>20</v>
      </c>
    </row>
    <row r="345" customFormat="false" ht="15" hidden="false" customHeight="false" outlineLevel="0" collapsed="false">
      <c r="A345" s="2" t="n">
        <v>41</v>
      </c>
      <c r="B345" s="2" t="s">
        <v>36</v>
      </c>
      <c r="C345" s="2" t="s">
        <v>30</v>
      </c>
      <c r="D345" s="2" t="s">
        <v>31</v>
      </c>
      <c r="E345" s="2" t="s">
        <v>20</v>
      </c>
      <c r="F345" s="2" t="n">
        <v>3950</v>
      </c>
      <c r="G345" s="2" t="s">
        <v>26</v>
      </c>
      <c r="H345" s="2" t="s">
        <v>20</v>
      </c>
      <c r="I345" s="2" t="s">
        <v>23</v>
      </c>
      <c r="J345" s="2" t="n">
        <v>30</v>
      </c>
      <c r="K345" s="2" t="s">
        <v>27</v>
      </c>
      <c r="L345" s="2" t="n">
        <v>96</v>
      </c>
      <c r="M345" s="2" t="n">
        <v>2</v>
      </c>
      <c r="N345" s="2" t="n">
        <v>-1</v>
      </c>
      <c r="O345" s="2" t="n">
        <v>0</v>
      </c>
      <c r="P345" s="2" t="s">
        <v>23</v>
      </c>
      <c r="Q345" s="2" t="s">
        <v>20</v>
      </c>
    </row>
    <row r="346" customFormat="false" ht="15" hidden="false" customHeight="false" outlineLevel="0" collapsed="false">
      <c r="A346" s="2" t="n">
        <v>37</v>
      </c>
      <c r="B346" s="2" t="s">
        <v>29</v>
      </c>
      <c r="C346" s="2" t="s">
        <v>30</v>
      </c>
      <c r="D346" s="2" t="s">
        <v>23</v>
      </c>
      <c r="E346" s="2" t="s">
        <v>20</v>
      </c>
      <c r="F346" s="2" t="n">
        <v>504</v>
      </c>
      <c r="G346" s="2" t="s">
        <v>26</v>
      </c>
      <c r="H346" s="2" t="s">
        <v>20</v>
      </c>
      <c r="I346" s="2" t="s">
        <v>21</v>
      </c>
      <c r="J346" s="2" t="n">
        <v>16</v>
      </c>
      <c r="K346" s="2" t="s">
        <v>32</v>
      </c>
      <c r="L346" s="2" t="n">
        <v>555</v>
      </c>
      <c r="M346" s="2" t="n">
        <v>1</v>
      </c>
      <c r="N346" s="2" t="n">
        <v>-1</v>
      </c>
      <c r="O346" s="2" t="n">
        <v>0</v>
      </c>
      <c r="P346" s="2" t="s">
        <v>23</v>
      </c>
      <c r="Q346" s="2" t="s">
        <v>20</v>
      </c>
    </row>
    <row r="347" customFormat="false" ht="15" hidden="false" customHeight="false" outlineLevel="0" collapsed="false">
      <c r="A347" s="2" t="n">
        <v>36</v>
      </c>
      <c r="B347" s="2" t="s">
        <v>34</v>
      </c>
      <c r="C347" s="2" t="s">
        <v>30</v>
      </c>
      <c r="D347" s="2" t="s">
        <v>25</v>
      </c>
      <c r="E347" s="2" t="s">
        <v>20</v>
      </c>
      <c r="F347" s="2" t="n">
        <v>219</v>
      </c>
      <c r="G347" s="2" t="s">
        <v>26</v>
      </c>
      <c r="H347" s="2" t="s">
        <v>26</v>
      </c>
      <c r="I347" s="2" t="s">
        <v>21</v>
      </c>
      <c r="J347" s="2" t="n">
        <v>11</v>
      </c>
      <c r="K347" s="2" t="s">
        <v>27</v>
      </c>
      <c r="L347" s="2" t="n">
        <v>270</v>
      </c>
      <c r="M347" s="2" t="n">
        <v>2</v>
      </c>
      <c r="N347" s="2" t="n">
        <v>347</v>
      </c>
      <c r="O347" s="2" t="n">
        <v>1</v>
      </c>
      <c r="P347" s="2" t="s">
        <v>28</v>
      </c>
      <c r="Q347" s="2" t="s">
        <v>20</v>
      </c>
    </row>
    <row r="348" customFormat="false" ht="15" hidden="false" customHeight="false" outlineLevel="0" collapsed="false">
      <c r="A348" s="2" t="n">
        <v>57</v>
      </c>
      <c r="B348" s="2" t="s">
        <v>29</v>
      </c>
      <c r="C348" s="2" t="s">
        <v>18</v>
      </c>
      <c r="D348" s="2" t="s">
        <v>31</v>
      </c>
      <c r="E348" s="2" t="s">
        <v>20</v>
      </c>
      <c r="F348" s="2" t="n">
        <v>1602</v>
      </c>
      <c r="G348" s="2" t="s">
        <v>20</v>
      </c>
      <c r="H348" s="2" t="s">
        <v>20</v>
      </c>
      <c r="I348" s="2" t="s">
        <v>21</v>
      </c>
      <c r="J348" s="2" t="n">
        <v>29</v>
      </c>
      <c r="K348" s="2" t="s">
        <v>44</v>
      </c>
      <c r="L348" s="2" t="n">
        <v>339</v>
      </c>
      <c r="M348" s="2" t="n">
        <v>3</v>
      </c>
      <c r="N348" s="2" t="n">
        <v>-1</v>
      </c>
      <c r="O348" s="2" t="n">
        <v>0</v>
      </c>
      <c r="P348" s="2" t="s">
        <v>23</v>
      </c>
      <c r="Q348" s="2" t="s">
        <v>20</v>
      </c>
    </row>
    <row r="349" customFormat="false" ht="15" hidden="false" customHeight="false" outlineLevel="0" collapsed="false">
      <c r="A349" s="2" t="n">
        <v>55</v>
      </c>
      <c r="B349" s="2" t="s">
        <v>29</v>
      </c>
      <c r="C349" s="2" t="s">
        <v>18</v>
      </c>
      <c r="D349" s="2" t="s">
        <v>19</v>
      </c>
      <c r="E349" s="2" t="s">
        <v>20</v>
      </c>
      <c r="F349" s="2" t="n">
        <v>2587</v>
      </c>
      <c r="G349" s="2" t="s">
        <v>20</v>
      </c>
      <c r="H349" s="2" t="s">
        <v>20</v>
      </c>
      <c r="I349" s="2" t="s">
        <v>21</v>
      </c>
      <c r="J349" s="2" t="n">
        <v>4</v>
      </c>
      <c r="K349" s="2" t="s">
        <v>51</v>
      </c>
      <c r="L349" s="2" t="n">
        <v>328</v>
      </c>
      <c r="M349" s="2" t="n">
        <v>2</v>
      </c>
      <c r="N349" s="2" t="n">
        <v>94</v>
      </c>
      <c r="O349" s="2" t="n">
        <v>2</v>
      </c>
      <c r="P349" s="2" t="s">
        <v>50</v>
      </c>
      <c r="Q349" s="2" t="s">
        <v>26</v>
      </c>
    </row>
    <row r="350" customFormat="false" ht="15" hidden="false" customHeight="false" outlineLevel="0" collapsed="false">
      <c r="A350" s="2" t="n">
        <v>44</v>
      </c>
      <c r="B350" s="2" t="s">
        <v>40</v>
      </c>
      <c r="C350" s="2" t="s">
        <v>18</v>
      </c>
      <c r="D350" s="2" t="s">
        <v>25</v>
      </c>
      <c r="E350" s="2" t="s">
        <v>20</v>
      </c>
      <c r="F350" s="2" t="n">
        <v>0</v>
      </c>
      <c r="G350" s="2" t="s">
        <v>26</v>
      </c>
      <c r="H350" s="2" t="s">
        <v>26</v>
      </c>
      <c r="I350" s="2" t="s">
        <v>23</v>
      </c>
      <c r="J350" s="2" t="n">
        <v>16</v>
      </c>
      <c r="K350" s="2" t="s">
        <v>27</v>
      </c>
      <c r="L350" s="2" t="n">
        <v>159</v>
      </c>
      <c r="M350" s="2" t="n">
        <v>1</v>
      </c>
      <c r="N350" s="2" t="n">
        <v>-1</v>
      </c>
      <c r="O350" s="2" t="n">
        <v>0</v>
      </c>
      <c r="P350" s="2" t="s">
        <v>23</v>
      </c>
      <c r="Q350" s="2" t="s">
        <v>20</v>
      </c>
    </row>
    <row r="351" customFormat="false" ht="15" hidden="false" customHeight="false" outlineLevel="0" collapsed="false">
      <c r="A351" s="2" t="n">
        <v>47</v>
      </c>
      <c r="B351" s="2" t="s">
        <v>36</v>
      </c>
      <c r="C351" s="2" t="s">
        <v>18</v>
      </c>
      <c r="D351" s="2" t="s">
        <v>31</v>
      </c>
      <c r="E351" s="2" t="s">
        <v>20</v>
      </c>
      <c r="F351" s="2" t="n">
        <v>2303</v>
      </c>
      <c r="G351" s="2" t="s">
        <v>26</v>
      </c>
      <c r="H351" s="2" t="s">
        <v>20</v>
      </c>
      <c r="I351" s="2" t="s">
        <v>21</v>
      </c>
      <c r="J351" s="2" t="n">
        <v>6</v>
      </c>
      <c r="K351" s="2" t="s">
        <v>27</v>
      </c>
      <c r="L351" s="2" t="n">
        <v>323</v>
      </c>
      <c r="M351" s="2" t="n">
        <v>2</v>
      </c>
      <c r="N351" s="2" t="n">
        <v>364</v>
      </c>
      <c r="O351" s="2" t="n">
        <v>1</v>
      </c>
      <c r="P351" s="2" t="s">
        <v>28</v>
      </c>
      <c r="Q351" s="2" t="s">
        <v>20</v>
      </c>
    </row>
    <row r="352" customFormat="false" ht="15" hidden="false" customHeight="false" outlineLevel="0" collapsed="false">
      <c r="A352" s="2" t="n">
        <v>31</v>
      </c>
      <c r="B352" s="2" t="s">
        <v>34</v>
      </c>
      <c r="C352" s="2" t="s">
        <v>18</v>
      </c>
      <c r="D352" s="2" t="s">
        <v>25</v>
      </c>
      <c r="E352" s="2" t="s">
        <v>20</v>
      </c>
      <c r="F352" s="2" t="n">
        <v>1660</v>
      </c>
      <c r="G352" s="2" t="s">
        <v>26</v>
      </c>
      <c r="H352" s="2" t="s">
        <v>20</v>
      </c>
      <c r="I352" s="2" t="s">
        <v>21</v>
      </c>
      <c r="J352" s="2" t="n">
        <v>20</v>
      </c>
      <c r="K352" s="2" t="s">
        <v>32</v>
      </c>
      <c r="L352" s="2" t="n">
        <v>342</v>
      </c>
      <c r="M352" s="2" t="n">
        <v>1</v>
      </c>
      <c r="N352" s="2" t="n">
        <v>-1</v>
      </c>
      <c r="O352" s="2" t="n">
        <v>0</v>
      </c>
      <c r="P352" s="2" t="s">
        <v>23</v>
      </c>
      <c r="Q352" s="2" t="s">
        <v>20</v>
      </c>
    </row>
    <row r="353" customFormat="false" ht="15" hidden="false" customHeight="false" outlineLevel="0" collapsed="false">
      <c r="A353" s="2" t="n">
        <v>35</v>
      </c>
      <c r="B353" s="2" t="s">
        <v>29</v>
      </c>
      <c r="C353" s="2" t="s">
        <v>18</v>
      </c>
      <c r="D353" s="2" t="s">
        <v>31</v>
      </c>
      <c r="E353" s="2" t="s">
        <v>26</v>
      </c>
      <c r="F353" s="2" t="n">
        <v>32</v>
      </c>
      <c r="G353" s="2" t="s">
        <v>26</v>
      </c>
      <c r="H353" s="2" t="s">
        <v>20</v>
      </c>
      <c r="I353" s="2" t="s">
        <v>21</v>
      </c>
      <c r="J353" s="2" t="n">
        <v>21</v>
      </c>
      <c r="K353" s="2" t="s">
        <v>46</v>
      </c>
      <c r="L353" s="2" t="n">
        <v>180</v>
      </c>
      <c r="M353" s="2" t="n">
        <v>1</v>
      </c>
      <c r="N353" s="2" t="n">
        <v>-1</v>
      </c>
      <c r="O353" s="2" t="n">
        <v>0</v>
      </c>
      <c r="P353" s="2" t="s">
        <v>23</v>
      </c>
      <c r="Q353" s="2" t="s">
        <v>20</v>
      </c>
    </row>
    <row r="354" customFormat="false" ht="15" hidden="false" customHeight="false" outlineLevel="0" collapsed="false">
      <c r="A354" s="2" t="n">
        <v>39</v>
      </c>
      <c r="B354" s="2" t="s">
        <v>29</v>
      </c>
      <c r="C354" s="2" t="s">
        <v>18</v>
      </c>
      <c r="D354" s="2" t="s">
        <v>31</v>
      </c>
      <c r="E354" s="2" t="s">
        <v>20</v>
      </c>
      <c r="F354" s="2" t="n">
        <v>278</v>
      </c>
      <c r="G354" s="2" t="s">
        <v>20</v>
      </c>
      <c r="H354" s="2" t="s">
        <v>26</v>
      </c>
      <c r="I354" s="2" t="s">
        <v>21</v>
      </c>
      <c r="J354" s="2" t="n">
        <v>28</v>
      </c>
      <c r="K354" s="2" t="s">
        <v>44</v>
      </c>
      <c r="L354" s="2" t="n">
        <v>60</v>
      </c>
      <c r="M354" s="2" t="n">
        <v>3</v>
      </c>
      <c r="N354" s="2" t="n">
        <v>-1</v>
      </c>
      <c r="O354" s="2" t="n">
        <v>0</v>
      </c>
      <c r="P354" s="2" t="s">
        <v>23</v>
      </c>
      <c r="Q354" s="2" t="s">
        <v>20</v>
      </c>
    </row>
    <row r="355" customFormat="false" ht="15" hidden="false" customHeight="false" outlineLevel="0" collapsed="false">
      <c r="A355" s="2" t="n">
        <v>50</v>
      </c>
      <c r="B355" s="2" t="s">
        <v>29</v>
      </c>
      <c r="C355" s="2" t="s">
        <v>18</v>
      </c>
      <c r="D355" s="2" t="s">
        <v>31</v>
      </c>
      <c r="E355" s="2" t="s">
        <v>20</v>
      </c>
      <c r="F355" s="2" t="n">
        <v>4</v>
      </c>
      <c r="G355" s="2" t="s">
        <v>20</v>
      </c>
      <c r="H355" s="2" t="s">
        <v>20</v>
      </c>
      <c r="I355" s="2" t="s">
        <v>21</v>
      </c>
      <c r="J355" s="2" t="n">
        <v>17</v>
      </c>
      <c r="K355" s="2" t="s">
        <v>46</v>
      </c>
      <c r="L355" s="2" t="n">
        <v>223</v>
      </c>
      <c r="M355" s="2" t="n">
        <v>1</v>
      </c>
      <c r="N355" s="2" t="n">
        <v>96</v>
      </c>
      <c r="O355" s="2" t="n">
        <v>2</v>
      </c>
      <c r="P355" s="2" t="s">
        <v>28</v>
      </c>
      <c r="Q355" s="2" t="s">
        <v>20</v>
      </c>
    </row>
    <row r="356" customFormat="false" ht="15" hidden="false" customHeight="false" outlineLevel="0" collapsed="false">
      <c r="A356" s="2" t="n">
        <v>29</v>
      </c>
      <c r="B356" s="2" t="s">
        <v>29</v>
      </c>
      <c r="C356" s="2" t="s">
        <v>18</v>
      </c>
      <c r="D356" s="2" t="s">
        <v>31</v>
      </c>
      <c r="E356" s="2" t="s">
        <v>20</v>
      </c>
      <c r="F356" s="2" t="n">
        <v>318</v>
      </c>
      <c r="G356" s="2" t="s">
        <v>26</v>
      </c>
      <c r="H356" s="2" t="s">
        <v>20</v>
      </c>
      <c r="I356" s="2" t="s">
        <v>21</v>
      </c>
      <c r="J356" s="2" t="n">
        <v>18</v>
      </c>
      <c r="K356" s="2" t="s">
        <v>27</v>
      </c>
      <c r="L356" s="2" t="n">
        <v>1434</v>
      </c>
      <c r="M356" s="2" t="n">
        <v>2</v>
      </c>
      <c r="N356" s="2" t="n">
        <v>356</v>
      </c>
      <c r="O356" s="2" t="n">
        <v>4</v>
      </c>
      <c r="P356" s="2" t="s">
        <v>28</v>
      </c>
      <c r="Q356" s="2" t="s">
        <v>20</v>
      </c>
    </row>
    <row r="357" customFormat="false" ht="15" hidden="false" customHeight="false" outlineLevel="0" collapsed="false">
      <c r="A357" s="2" t="n">
        <v>30</v>
      </c>
      <c r="B357" s="2" t="s">
        <v>24</v>
      </c>
      <c r="C357" s="2" t="s">
        <v>30</v>
      </c>
      <c r="D357" s="2" t="s">
        <v>25</v>
      </c>
      <c r="E357" s="2" t="s">
        <v>20</v>
      </c>
      <c r="F357" s="2" t="n">
        <v>209</v>
      </c>
      <c r="G357" s="2" t="s">
        <v>26</v>
      </c>
      <c r="H357" s="2" t="s">
        <v>20</v>
      </c>
      <c r="I357" s="2" t="s">
        <v>23</v>
      </c>
      <c r="J357" s="2" t="n">
        <v>6</v>
      </c>
      <c r="K357" s="2" t="s">
        <v>27</v>
      </c>
      <c r="L357" s="2" t="n">
        <v>30</v>
      </c>
      <c r="M357" s="2" t="n">
        <v>2</v>
      </c>
      <c r="N357" s="2" t="n">
        <v>-1</v>
      </c>
      <c r="O357" s="2" t="n">
        <v>0</v>
      </c>
      <c r="P357" s="2" t="s">
        <v>23</v>
      </c>
      <c r="Q357" s="2" t="s">
        <v>20</v>
      </c>
    </row>
    <row r="358" customFormat="false" ht="15" hidden="false" customHeight="false" outlineLevel="0" collapsed="false">
      <c r="A358" s="2" t="n">
        <v>46</v>
      </c>
      <c r="B358" s="2" t="s">
        <v>24</v>
      </c>
      <c r="C358" s="2" t="s">
        <v>18</v>
      </c>
      <c r="D358" s="2" t="s">
        <v>25</v>
      </c>
      <c r="E358" s="2" t="s">
        <v>20</v>
      </c>
      <c r="F358" s="2" t="n">
        <v>271</v>
      </c>
      <c r="G358" s="2" t="s">
        <v>26</v>
      </c>
      <c r="H358" s="2" t="s">
        <v>20</v>
      </c>
      <c r="I358" s="2" t="s">
        <v>23</v>
      </c>
      <c r="J358" s="2" t="n">
        <v>16</v>
      </c>
      <c r="K358" s="2" t="s">
        <v>27</v>
      </c>
      <c r="L358" s="2" t="n">
        <v>134</v>
      </c>
      <c r="M358" s="2" t="n">
        <v>4</v>
      </c>
      <c r="N358" s="2" t="n">
        <v>-1</v>
      </c>
      <c r="O358" s="2" t="n">
        <v>0</v>
      </c>
      <c r="P358" s="2" t="s">
        <v>23</v>
      </c>
      <c r="Q358" s="2" t="s">
        <v>20</v>
      </c>
    </row>
    <row r="359" customFormat="false" ht="15" hidden="false" customHeight="false" outlineLevel="0" collapsed="false">
      <c r="A359" s="2" t="n">
        <v>27</v>
      </c>
      <c r="B359" s="2" t="s">
        <v>29</v>
      </c>
      <c r="C359" s="2" t="s">
        <v>30</v>
      </c>
      <c r="D359" s="2" t="s">
        <v>23</v>
      </c>
      <c r="E359" s="2" t="s">
        <v>20</v>
      </c>
      <c r="F359" s="2" t="n">
        <v>3196</v>
      </c>
      <c r="G359" s="2" t="s">
        <v>20</v>
      </c>
      <c r="H359" s="2" t="s">
        <v>20</v>
      </c>
      <c r="I359" s="2" t="s">
        <v>21</v>
      </c>
      <c r="J359" s="2" t="n">
        <v>9</v>
      </c>
      <c r="K359" s="2" t="s">
        <v>35</v>
      </c>
      <c r="L359" s="2" t="n">
        <v>10</v>
      </c>
      <c r="M359" s="2" t="n">
        <v>2</v>
      </c>
      <c r="N359" s="2" t="n">
        <v>-1</v>
      </c>
      <c r="O359" s="2" t="n">
        <v>0</v>
      </c>
      <c r="P359" s="2" t="s">
        <v>23</v>
      </c>
      <c r="Q359" s="2" t="s">
        <v>20</v>
      </c>
    </row>
    <row r="360" customFormat="false" ht="15" hidden="false" customHeight="false" outlineLevel="0" collapsed="false">
      <c r="A360" s="2" t="n">
        <v>48</v>
      </c>
      <c r="B360" s="2" t="s">
        <v>40</v>
      </c>
      <c r="C360" s="2" t="s">
        <v>45</v>
      </c>
      <c r="D360" s="2" t="s">
        <v>25</v>
      </c>
      <c r="E360" s="2" t="s">
        <v>20</v>
      </c>
      <c r="F360" s="2" t="n">
        <v>4099</v>
      </c>
      <c r="G360" s="2" t="s">
        <v>20</v>
      </c>
      <c r="H360" s="2" t="s">
        <v>20</v>
      </c>
      <c r="I360" s="2" t="s">
        <v>21</v>
      </c>
      <c r="J360" s="2" t="n">
        <v>2</v>
      </c>
      <c r="K360" s="2" t="s">
        <v>32</v>
      </c>
      <c r="L360" s="2" t="n">
        <v>397</v>
      </c>
      <c r="M360" s="2" t="n">
        <v>2</v>
      </c>
      <c r="N360" s="2" t="n">
        <v>-1</v>
      </c>
      <c r="O360" s="2" t="n">
        <v>0</v>
      </c>
      <c r="P360" s="2" t="s">
        <v>23</v>
      </c>
      <c r="Q360" s="2" t="s">
        <v>26</v>
      </c>
    </row>
    <row r="361" customFormat="false" ht="15" hidden="false" customHeight="false" outlineLevel="0" collapsed="false">
      <c r="A361" s="2" t="n">
        <v>26</v>
      </c>
      <c r="B361" s="2" t="s">
        <v>42</v>
      </c>
      <c r="C361" s="2" t="s">
        <v>30</v>
      </c>
      <c r="D361" s="2" t="s">
        <v>25</v>
      </c>
      <c r="E361" s="2" t="s">
        <v>20</v>
      </c>
      <c r="F361" s="2" t="n">
        <v>2572</v>
      </c>
      <c r="G361" s="2" t="s">
        <v>26</v>
      </c>
      <c r="H361" s="2" t="s">
        <v>20</v>
      </c>
      <c r="I361" s="2" t="s">
        <v>21</v>
      </c>
      <c r="J361" s="2" t="n">
        <v>5</v>
      </c>
      <c r="K361" s="2" t="s">
        <v>27</v>
      </c>
      <c r="L361" s="2" t="n">
        <v>620</v>
      </c>
      <c r="M361" s="2" t="n">
        <v>1</v>
      </c>
      <c r="N361" s="2" t="n">
        <v>-1</v>
      </c>
      <c r="O361" s="2" t="n">
        <v>0</v>
      </c>
      <c r="P361" s="2" t="s">
        <v>23</v>
      </c>
      <c r="Q361" s="2" t="s">
        <v>20</v>
      </c>
    </row>
    <row r="362" customFormat="false" ht="15" hidden="false" customHeight="false" outlineLevel="0" collapsed="false">
      <c r="A362" s="2" t="n">
        <v>36</v>
      </c>
      <c r="B362" s="2" t="s">
        <v>29</v>
      </c>
      <c r="C362" s="2" t="s">
        <v>30</v>
      </c>
      <c r="D362" s="2" t="s">
        <v>31</v>
      </c>
      <c r="E362" s="2" t="s">
        <v>20</v>
      </c>
      <c r="F362" s="2" t="n">
        <v>339</v>
      </c>
      <c r="G362" s="2" t="s">
        <v>20</v>
      </c>
      <c r="H362" s="2" t="s">
        <v>20</v>
      </c>
      <c r="I362" s="2" t="s">
        <v>21</v>
      </c>
      <c r="J362" s="2" t="n">
        <v>21</v>
      </c>
      <c r="K362" s="2" t="s">
        <v>46</v>
      </c>
      <c r="L362" s="2" t="n">
        <v>6</v>
      </c>
      <c r="M362" s="2" t="n">
        <v>6</v>
      </c>
      <c r="N362" s="2" t="n">
        <v>-1</v>
      </c>
      <c r="O362" s="2" t="n">
        <v>0</v>
      </c>
      <c r="P362" s="2" t="s">
        <v>23</v>
      </c>
      <c r="Q362" s="2" t="s">
        <v>20</v>
      </c>
    </row>
    <row r="363" customFormat="false" ht="15" hidden="false" customHeight="false" outlineLevel="0" collapsed="false">
      <c r="A363" s="2" t="n">
        <v>42</v>
      </c>
      <c r="B363" s="2" t="s">
        <v>34</v>
      </c>
      <c r="C363" s="2" t="s">
        <v>18</v>
      </c>
      <c r="D363" s="2" t="s">
        <v>19</v>
      </c>
      <c r="E363" s="2" t="s">
        <v>20</v>
      </c>
      <c r="F363" s="2" t="n">
        <v>0</v>
      </c>
      <c r="G363" s="2" t="s">
        <v>26</v>
      </c>
      <c r="H363" s="2" t="s">
        <v>26</v>
      </c>
      <c r="I363" s="2" t="s">
        <v>21</v>
      </c>
      <c r="J363" s="2" t="n">
        <v>7</v>
      </c>
      <c r="K363" s="2" t="s">
        <v>27</v>
      </c>
      <c r="L363" s="2" t="n">
        <v>209</v>
      </c>
      <c r="M363" s="2" t="n">
        <v>2</v>
      </c>
      <c r="N363" s="2" t="n">
        <v>-1</v>
      </c>
      <c r="O363" s="2" t="n">
        <v>0</v>
      </c>
      <c r="P363" s="2" t="s">
        <v>23</v>
      </c>
      <c r="Q363" s="2" t="s">
        <v>20</v>
      </c>
    </row>
    <row r="364" customFormat="false" ht="15" hidden="false" customHeight="false" outlineLevel="0" collapsed="false">
      <c r="A364" s="2" t="n">
        <v>50</v>
      </c>
      <c r="B364" s="2" t="s">
        <v>47</v>
      </c>
      <c r="C364" s="2" t="s">
        <v>18</v>
      </c>
      <c r="D364" s="2" t="s">
        <v>19</v>
      </c>
      <c r="E364" s="2" t="s">
        <v>20</v>
      </c>
      <c r="F364" s="2" t="n">
        <v>395</v>
      </c>
      <c r="G364" s="2" t="s">
        <v>26</v>
      </c>
      <c r="H364" s="2" t="s">
        <v>20</v>
      </c>
      <c r="I364" s="2" t="s">
        <v>23</v>
      </c>
      <c r="J364" s="2" t="n">
        <v>15</v>
      </c>
      <c r="K364" s="2" t="s">
        <v>27</v>
      </c>
      <c r="L364" s="2" t="n">
        <v>419</v>
      </c>
      <c r="M364" s="2" t="n">
        <v>2</v>
      </c>
      <c r="N364" s="2" t="n">
        <v>-1</v>
      </c>
      <c r="O364" s="2" t="n">
        <v>0</v>
      </c>
      <c r="P364" s="2" t="s">
        <v>23</v>
      </c>
      <c r="Q364" s="2" t="s">
        <v>20</v>
      </c>
    </row>
    <row r="365" customFormat="false" ht="15" hidden="false" customHeight="false" outlineLevel="0" collapsed="false">
      <c r="A365" s="2" t="n">
        <v>49</v>
      </c>
      <c r="B365" s="2" t="s">
        <v>34</v>
      </c>
      <c r="C365" s="2" t="s">
        <v>18</v>
      </c>
      <c r="D365" s="2" t="s">
        <v>25</v>
      </c>
      <c r="E365" s="2" t="s">
        <v>20</v>
      </c>
      <c r="F365" s="2" t="n">
        <v>2039</v>
      </c>
      <c r="G365" s="2" t="s">
        <v>26</v>
      </c>
      <c r="H365" s="2" t="s">
        <v>20</v>
      </c>
      <c r="I365" s="2" t="s">
        <v>21</v>
      </c>
      <c r="J365" s="2" t="n">
        <v>18</v>
      </c>
      <c r="K365" s="2" t="s">
        <v>46</v>
      </c>
      <c r="L365" s="2" t="n">
        <v>283</v>
      </c>
      <c r="M365" s="2" t="n">
        <v>2</v>
      </c>
      <c r="N365" s="2" t="n">
        <v>-1</v>
      </c>
      <c r="O365" s="2" t="n">
        <v>0</v>
      </c>
      <c r="P365" s="2" t="s">
        <v>23</v>
      </c>
      <c r="Q365" s="2" t="s">
        <v>20</v>
      </c>
    </row>
    <row r="366" customFormat="false" ht="15" hidden="false" customHeight="false" outlineLevel="0" collapsed="false">
      <c r="A366" s="2" t="n">
        <v>45</v>
      </c>
      <c r="B366" s="2" t="s">
        <v>29</v>
      </c>
      <c r="C366" s="2" t="s">
        <v>18</v>
      </c>
      <c r="D366" s="2" t="s">
        <v>31</v>
      </c>
      <c r="E366" s="2" t="s">
        <v>20</v>
      </c>
      <c r="F366" s="2" t="n">
        <v>5450</v>
      </c>
      <c r="G366" s="2" t="s">
        <v>20</v>
      </c>
      <c r="H366" s="2" t="s">
        <v>20</v>
      </c>
      <c r="I366" s="2" t="s">
        <v>21</v>
      </c>
      <c r="J366" s="2" t="n">
        <v>8</v>
      </c>
      <c r="K366" s="2" t="s">
        <v>41</v>
      </c>
      <c r="L366" s="2" t="n">
        <v>188</v>
      </c>
      <c r="M366" s="2" t="n">
        <v>2</v>
      </c>
      <c r="N366" s="2" t="n">
        <v>-1</v>
      </c>
      <c r="O366" s="2" t="n">
        <v>0</v>
      </c>
      <c r="P366" s="2" t="s">
        <v>23</v>
      </c>
      <c r="Q366" s="2" t="s">
        <v>20</v>
      </c>
    </row>
    <row r="367" customFormat="false" ht="15" hidden="false" customHeight="false" outlineLevel="0" collapsed="false">
      <c r="A367" s="2" t="n">
        <v>23</v>
      </c>
      <c r="B367" s="2" t="s">
        <v>42</v>
      </c>
      <c r="C367" s="2" t="s">
        <v>30</v>
      </c>
      <c r="D367" s="2" t="s">
        <v>25</v>
      </c>
      <c r="E367" s="2" t="s">
        <v>20</v>
      </c>
      <c r="F367" s="2" t="n">
        <v>780</v>
      </c>
      <c r="G367" s="2" t="s">
        <v>20</v>
      </c>
      <c r="H367" s="2" t="s">
        <v>20</v>
      </c>
      <c r="I367" s="2" t="s">
        <v>21</v>
      </c>
      <c r="J367" s="2" t="n">
        <v>16</v>
      </c>
      <c r="K367" s="2" t="s">
        <v>51</v>
      </c>
      <c r="L367" s="2" t="n">
        <v>267</v>
      </c>
      <c r="M367" s="2" t="n">
        <v>1</v>
      </c>
      <c r="N367" s="2" t="n">
        <v>-1</v>
      </c>
      <c r="O367" s="2" t="n">
        <v>0</v>
      </c>
      <c r="P367" s="2" t="s">
        <v>23</v>
      </c>
      <c r="Q367" s="2" t="s">
        <v>20</v>
      </c>
    </row>
    <row r="368" customFormat="false" ht="15" hidden="false" customHeight="false" outlineLevel="0" collapsed="false">
      <c r="A368" s="2" t="n">
        <v>38</v>
      </c>
      <c r="B368" s="2" t="s">
        <v>38</v>
      </c>
      <c r="C368" s="2" t="s">
        <v>30</v>
      </c>
      <c r="D368" s="2" t="s">
        <v>25</v>
      </c>
      <c r="E368" s="2" t="s">
        <v>20</v>
      </c>
      <c r="F368" s="2" t="n">
        <v>0</v>
      </c>
      <c r="G368" s="2" t="s">
        <v>26</v>
      </c>
      <c r="H368" s="2" t="s">
        <v>20</v>
      </c>
      <c r="I368" s="2" t="s">
        <v>21</v>
      </c>
      <c r="J368" s="2" t="n">
        <v>7</v>
      </c>
      <c r="K368" s="2" t="s">
        <v>32</v>
      </c>
      <c r="L368" s="2" t="n">
        <v>196</v>
      </c>
      <c r="M368" s="2" t="n">
        <v>2</v>
      </c>
      <c r="N368" s="2" t="n">
        <v>-1</v>
      </c>
      <c r="O368" s="2" t="n">
        <v>0</v>
      </c>
      <c r="P368" s="2" t="s">
        <v>23</v>
      </c>
      <c r="Q368" s="2" t="s">
        <v>20</v>
      </c>
    </row>
    <row r="369" customFormat="false" ht="15" hidden="false" customHeight="false" outlineLevel="0" collapsed="false">
      <c r="A369" s="2" t="n">
        <v>32</v>
      </c>
      <c r="B369" s="2" t="s">
        <v>29</v>
      </c>
      <c r="C369" s="2" t="s">
        <v>30</v>
      </c>
      <c r="D369" s="2" t="s">
        <v>31</v>
      </c>
      <c r="E369" s="2" t="s">
        <v>20</v>
      </c>
      <c r="F369" s="2" t="n">
        <v>8436</v>
      </c>
      <c r="G369" s="2" t="s">
        <v>26</v>
      </c>
      <c r="H369" s="2" t="s">
        <v>20</v>
      </c>
      <c r="I369" s="2" t="s">
        <v>21</v>
      </c>
      <c r="J369" s="2" t="n">
        <v>17</v>
      </c>
      <c r="K369" s="2" t="s">
        <v>32</v>
      </c>
      <c r="L369" s="2" t="n">
        <v>245</v>
      </c>
      <c r="M369" s="2" t="n">
        <v>1</v>
      </c>
      <c r="N369" s="2" t="n">
        <v>149</v>
      </c>
      <c r="O369" s="2" t="n">
        <v>2</v>
      </c>
      <c r="P369" s="2" t="s">
        <v>28</v>
      </c>
      <c r="Q369" s="2" t="s">
        <v>20</v>
      </c>
    </row>
    <row r="370" customFormat="false" ht="15" hidden="false" customHeight="false" outlineLevel="0" collapsed="false">
      <c r="A370" s="2" t="n">
        <v>60</v>
      </c>
      <c r="B370" s="2" t="s">
        <v>38</v>
      </c>
      <c r="C370" s="2" t="s">
        <v>30</v>
      </c>
      <c r="D370" s="2" t="s">
        <v>19</v>
      </c>
      <c r="E370" s="2" t="s">
        <v>20</v>
      </c>
      <c r="F370" s="2" t="n">
        <v>11262</v>
      </c>
      <c r="G370" s="2" t="s">
        <v>20</v>
      </c>
      <c r="H370" s="2" t="s">
        <v>20</v>
      </c>
      <c r="I370" s="2" t="s">
        <v>21</v>
      </c>
      <c r="J370" s="2" t="n">
        <v>26</v>
      </c>
      <c r="K370" s="2" t="s">
        <v>41</v>
      </c>
      <c r="L370" s="2" t="n">
        <v>323</v>
      </c>
      <c r="M370" s="2" t="n">
        <v>1</v>
      </c>
      <c r="N370" s="2" t="n">
        <v>-1</v>
      </c>
      <c r="O370" s="2" t="n">
        <v>0</v>
      </c>
      <c r="P370" s="2" t="s">
        <v>23</v>
      </c>
      <c r="Q370" s="2" t="s">
        <v>26</v>
      </c>
    </row>
    <row r="371" customFormat="false" ht="15" hidden="false" customHeight="false" outlineLevel="0" collapsed="false">
      <c r="A371" s="2" t="n">
        <v>30</v>
      </c>
      <c r="B371" s="2" t="s">
        <v>39</v>
      </c>
      <c r="C371" s="2" t="s">
        <v>18</v>
      </c>
      <c r="D371" s="2" t="s">
        <v>25</v>
      </c>
      <c r="E371" s="2" t="s">
        <v>20</v>
      </c>
      <c r="F371" s="2" t="n">
        <v>946</v>
      </c>
      <c r="G371" s="2" t="s">
        <v>26</v>
      </c>
      <c r="H371" s="2" t="s">
        <v>20</v>
      </c>
      <c r="I371" s="2" t="s">
        <v>21</v>
      </c>
      <c r="J371" s="2" t="n">
        <v>19</v>
      </c>
      <c r="K371" s="2" t="s">
        <v>46</v>
      </c>
      <c r="L371" s="2" t="n">
        <v>1065</v>
      </c>
      <c r="M371" s="2" t="n">
        <v>1</v>
      </c>
      <c r="N371" s="2" t="n">
        <v>183</v>
      </c>
      <c r="O371" s="2" t="n">
        <v>1</v>
      </c>
      <c r="P371" s="2" t="s">
        <v>37</v>
      </c>
      <c r="Q371" s="2" t="s">
        <v>20</v>
      </c>
    </row>
    <row r="372" customFormat="false" ht="15" hidden="false" customHeight="false" outlineLevel="0" collapsed="false">
      <c r="A372" s="2" t="n">
        <v>58</v>
      </c>
      <c r="B372" s="2" t="s">
        <v>47</v>
      </c>
      <c r="C372" s="2" t="s">
        <v>18</v>
      </c>
      <c r="D372" s="2" t="s">
        <v>31</v>
      </c>
      <c r="E372" s="2" t="s">
        <v>20</v>
      </c>
      <c r="F372" s="2" t="n">
        <v>497</v>
      </c>
      <c r="G372" s="2" t="s">
        <v>20</v>
      </c>
      <c r="H372" s="2" t="s">
        <v>20</v>
      </c>
      <c r="I372" s="2" t="s">
        <v>23</v>
      </c>
      <c r="J372" s="2" t="n">
        <v>11</v>
      </c>
      <c r="K372" s="2" t="s">
        <v>33</v>
      </c>
      <c r="L372" s="2" t="n">
        <v>138</v>
      </c>
      <c r="M372" s="2" t="n">
        <v>5</v>
      </c>
      <c r="N372" s="2" t="n">
        <v>-1</v>
      </c>
      <c r="O372" s="2" t="n">
        <v>0</v>
      </c>
      <c r="P372" s="2" t="s">
        <v>23</v>
      </c>
      <c r="Q372" s="2" t="s">
        <v>20</v>
      </c>
    </row>
    <row r="373" customFormat="false" ht="15" hidden="false" customHeight="false" outlineLevel="0" collapsed="false">
      <c r="A373" s="2" t="n">
        <v>60</v>
      </c>
      <c r="B373" s="2" t="s">
        <v>48</v>
      </c>
      <c r="C373" s="2" t="s">
        <v>18</v>
      </c>
      <c r="D373" s="2" t="s">
        <v>19</v>
      </c>
      <c r="E373" s="2" t="s">
        <v>20</v>
      </c>
      <c r="F373" s="2" t="n">
        <v>55</v>
      </c>
      <c r="G373" s="2" t="s">
        <v>20</v>
      </c>
      <c r="H373" s="2" t="s">
        <v>20</v>
      </c>
      <c r="I373" s="2" t="s">
        <v>21</v>
      </c>
      <c r="J373" s="2" t="n">
        <v>4</v>
      </c>
      <c r="K373" s="2" t="s">
        <v>33</v>
      </c>
      <c r="L373" s="2" t="n">
        <v>207</v>
      </c>
      <c r="M373" s="2" t="n">
        <v>1</v>
      </c>
      <c r="N373" s="2" t="n">
        <v>-1</v>
      </c>
      <c r="O373" s="2" t="n">
        <v>0</v>
      </c>
      <c r="P373" s="2" t="s">
        <v>23</v>
      </c>
      <c r="Q373" s="2" t="s">
        <v>20</v>
      </c>
    </row>
    <row r="374" customFormat="false" ht="15" hidden="false" customHeight="false" outlineLevel="0" collapsed="false">
      <c r="A374" s="2" t="n">
        <v>38</v>
      </c>
      <c r="B374" s="2" t="s">
        <v>24</v>
      </c>
      <c r="C374" s="2" t="s">
        <v>18</v>
      </c>
      <c r="D374" s="2" t="s">
        <v>25</v>
      </c>
      <c r="E374" s="2" t="s">
        <v>20</v>
      </c>
      <c r="F374" s="2" t="n">
        <v>-140</v>
      </c>
      <c r="G374" s="2" t="s">
        <v>20</v>
      </c>
      <c r="H374" s="2" t="s">
        <v>20</v>
      </c>
      <c r="I374" s="2" t="s">
        <v>23</v>
      </c>
      <c r="J374" s="2" t="n">
        <v>25</v>
      </c>
      <c r="K374" s="2" t="s">
        <v>33</v>
      </c>
      <c r="L374" s="2" t="n">
        <v>456</v>
      </c>
      <c r="M374" s="2" t="n">
        <v>3</v>
      </c>
      <c r="N374" s="2" t="n">
        <v>-1</v>
      </c>
      <c r="O374" s="2" t="n">
        <v>0</v>
      </c>
      <c r="P374" s="2" t="s">
        <v>23</v>
      </c>
      <c r="Q374" s="2" t="s">
        <v>20</v>
      </c>
    </row>
    <row r="375" customFormat="false" ht="15" hidden="false" customHeight="false" outlineLevel="0" collapsed="false">
      <c r="A375" s="2" t="n">
        <v>51</v>
      </c>
      <c r="B375" s="2" t="s">
        <v>38</v>
      </c>
      <c r="C375" s="2" t="s">
        <v>18</v>
      </c>
      <c r="D375" s="2" t="s">
        <v>25</v>
      </c>
      <c r="E375" s="2" t="s">
        <v>20</v>
      </c>
      <c r="F375" s="2" t="n">
        <v>-379</v>
      </c>
      <c r="G375" s="2" t="s">
        <v>26</v>
      </c>
      <c r="H375" s="2" t="s">
        <v>20</v>
      </c>
      <c r="I375" s="2" t="s">
        <v>21</v>
      </c>
      <c r="J375" s="2" t="n">
        <v>5</v>
      </c>
      <c r="K375" s="2" t="s">
        <v>41</v>
      </c>
      <c r="L375" s="2" t="n">
        <v>261</v>
      </c>
      <c r="M375" s="2" t="n">
        <v>1</v>
      </c>
      <c r="N375" s="2" t="n">
        <v>-1</v>
      </c>
      <c r="O375" s="2" t="n">
        <v>0</v>
      </c>
      <c r="P375" s="2" t="s">
        <v>23</v>
      </c>
      <c r="Q375" s="2" t="s">
        <v>20</v>
      </c>
    </row>
    <row r="376" customFormat="false" ht="15" hidden="false" customHeight="false" outlineLevel="0" collapsed="false">
      <c r="A376" s="2" t="n">
        <v>42</v>
      </c>
      <c r="B376" s="2" t="s">
        <v>40</v>
      </c>
      <c r="C376" s="2" t="s">
        <v>18</v>
      </c>
      <c r="D376" s="2" t="s">
        <v>25</v>
      </c>
      <c r="E376" s="2" t="s">
        <v>20</v>
      </c>
      <c r="F376" s="2" t="n">
        <v>-396</v>
      </c>
      <c r="G376" s="2" t="s">
        <v>26</v>
      </c>
      <c r="H376" s="2" t="s">
        <v>20</v>
      </c>
      <c r="I376" s="2" t="s">
        <v>21</v>
      </c>
      <c r="J376" s="2" t="n">
        <v>11</v>
      </c>
      <c r="K376" s="2" t="s">
        <v>27</v>
      </c>
      <c r="L376" s="2" t="n">
        <v>80</v>
      </c>
      <c r="M376" s="2" t="n">
        <v>1</v>
      </c>
      <c r="N376" s="2" t="n">
        <v>308</v>
      </c>
      <c r="O376" s="2" t="n">
        <v>4</v>
      </c>
      <c r="P376" s="2" t="s">
        <v>28</v>
      </c>
      <c r="Q376" s="2" t="s">
        <v>20</v>
      </c>
    </row>
    <row r="377" customFormat="false" ht="15" hidden="false" customHeight="false" outlineLevel="0" collapsed="false">
      <c r="A377" s="2" t="n">
        <v>30</v>
      </c>
      <c r="B377" s="2" t="s">
        <v>24</v>
      </c>
      <c r="C377" s="2" t="s">
        <v>30</v>
      </c>
      <c r="D377" s="2" t="s">
        <v>25</v>
      </c>
      <c r="E377" s="2" t="s">
        <v>20</v>
      </c>
      <c r="F377" s="2" t="n">
        <v>0</v>
      </c>
      <c r="G377" s="2" t="s">
        <v>26</v>
      </c>
      <c r="H377" s="2" t="s">
        <v>20</v>
      </c>
      <c r="I377" s="2" t="s">
        <v>21</v>
      </c>
      <c r="J377" s="2" t="n">
        <v>18</v>
      </c>
      <c r="K377" s="2" t="s">
        <v>27</v>
      </c>
      <c r="L377" s="2" t="n">
        <v>131</v>
      </c>
      <c r="M377" s="2" t="n">
        <v>6</v>
      </c>
      <c r="N377" s="2" t="n">
        <v>363</v>
      </c>
      <c r="O377" s="2" t="n">
        <v>9</v>
      </c>
      <c r="P377" s="2" t="s">
        <v>28</v>
      </c>
      <c r="Q377" s="2" t="s">
        <v>20</v>
      </c>
    </row>
    <row r="378" customFormat="false" ht="15" hidden="false" customHeight="false" outlineLevel="0" collapsed="false">
      <c r="A378" s="2" t="n">
        <v>40</v>
      </c>
      <c r="B378" s="2" t="s">
        <v>29</v>
      </c>
      <c r="C378" s="2" t="s">
        <v>18</v>
      </c>
      <c r="D378" s="2" t="s">
        <v>19</v>
      </c>
      <c r="E378" s="2" t="s">
        <v>20</v>
      </c>
      <c r="F378" s="2" t="n">
        <v>733</v>
      </c>
      <c r="G378" s="2" t="s">
        <v>26</v>
      </c>
      <c r="H378" s="2" t="s">
        <v>20</v>
      </c>
      <c r="I378" s="2" t="s">
        <v>23</v>
      </c>
      <c r="J378" s="2" t="n">
        <v>6</v>
      </c>
      <c r="K378" s="2" t="s">
        <v>33</v>
      </c>
      <c r="L378" s="2" t="n">
        <v>94</v>
      </c>
      <c r="M378" s="2" t="n">
        <v>7</v>
      </c>
      <c r="N378" s="2" t="n">
        <v>-1</v>
      </c>
      <c r="O378" s="2" t="n">
        <v>0</v>
      </c>
      <c r="P378" s="2" t="s">
        <v>23</v>
      </c>
      <c r="Q378" s="2" t="s">
        <v>20</v>
      </c>
    </row>
    <row r="379" customFormat="false" ht="15" hidden="false" customHeight="false" outlineLevel="0" collapsed="false">
      <c r="A379" s="2" t="n">
        <v>37</v>
      </c>
      <c r="B379" s="2" t="s">
        <v>29</v>
      </c>
      <c r="C379" s="2" t="s">
        <v>18</v>
      </c>
      <c r="D379" s="2" t="s">
        <v>31</v>
      </c>
      <c r="E379" s="2" t="s">
        <v>20</v>
      </c>
      <c r="F379" s="2" t="n">
        <v>393</v>
      </c>
      <c r="G379" s="2" t="s">
        <v>26</v>
      </c>
      <c r="H379" s="2" t="s">
        <v>20</v>
      </c>
      <c r="I379" s="2" t="s">
        <v>21</v>
      </c>
      <c r="J379" s="2" t="n">
        <v>14</v>
      </c>
      <c r="K379" s="2" t="s">
        <v>27</v>
      </c>
      <c r="L379" s="2" t="n">
        <v>567</v>
      </c>
      <c r="M379" s="2" t="n">
        <v>3</v>
      </c>
      <c r="N379" s="2" t="n">
        <v>275</v>
      </c>
      <c r="O379" s="2" t="n">
        <v>4</v>
      </c>
      <c r="P379" s="2" t="s">
        <v>28</v>
      </c>
      <c r="Q379" s="2" t="s">
        <v>26</v>
      </c>
    </row>
    <row r="380" customFormat="false" ht="15" hidden="false" customHeight="false" outlineLevel="0" collapsed="false">
      <c r="A380" s="2" t="n">
        <v>53</v>
      </c>
      <c r="B380" s="2" t="s">
        <v>38</v>
      </c>
      <c r="C380" s="2" t="s">
        <v>45</v>
      </c>
      <c r="D380" s="2" t="s">
        <v>19</v>
      </c>
      <c r="E380" s="2" t="s">
        <v>20</v>
      </c>
      <c r="F380" s="2" t="n">
        <v>7290</v>
      </c>
      <c r="G380" s="2" t="s">
        <v>26</v>
      </c>
      <c r="H380" s="2" t="s">
        <v>20</v>
      </c>
      <c r="I380" s="2" t="s">
        <v>23</v>
      </c>
      <c r="J380" s="2" t="n">
        <v>30</v>
      </c>
      <c r="K380" s="2" t="s">
        <v>27</v>
      </c>
      <c r="L380" s="2" t="n">
        <v>153</v>
      </c>
      <c r="M380" s="2" t="n">
        <v>1</v>
      </c>
      <c r="N380" s="2" t="n">
        <v>-1</v>
      </c>
      <c r="O380" s="2" t="n">
        <v>0</v>
      </c>
      <c r="P380" s="2" t="s">
        <v>23</v>
      </c>
      <c r="Q380" s="2" t="s">
        <v>20</v>
      </c>
    </row>
    <row r="381" customFormat="false" ht="15" hidden="false" customHeight="false" outlineLevel="0" collapsed="false">
      <c r="A381" s="2" t="n">
        <v>27</v>
      </c>
      <c r="B381" s="2" t="s">
        <v>24</v>
      </c>
      <c r="C381" s="2" t="s">
        <v>30</v>
      </c>
      <c r="D381" s="2" t="s">
        <v>25</v>
      </c>
      <c r="E381" s="2" t="s">
        <v>20</v>
      </c>
      <c r="F381" s="2" t="n">
        <v>468</v>
      </c>
      <c r="G381" s="2" t="s">
        <v>26</v>
      </c>
      <c r="H381" s="2" t="s">
        <v>20</v>
      </c>
      <c r="I381" s="2" t="s">
        <v>21</v>
      </c>
      <c r="J381" s="2" t="n">
        <v>13</v>
      </c>
      <c r="K381" s="2" t="s">
        <v>27</v>
      </c>
      <c r="L381" s="2" t="n">
        <v>109</v>
      </c>
      <c r="M381" s="2" t="n">
        <v>1</v>
      </c>
      <c r="N381" s="2" t="n">
        <v>-1</v>
      </c>
      <c r="O381" s="2" t="n">
        <v>0</v>
      </c>
      <c r="P381" s="2" t="s">
        <v>23</v>
      </c>
      <c r="Q381" s="2" t="s">
        <v>20</v>
      </c>
    </row>
    <row r="382" customFormat="false" ht="15" hidden="false" customHeight="false" outlineLevel="0" collapsed="false">
      <c r="A382" s="2" t="n">
        <v>39</v>
      </c>
      <c r="B382" s="2" t="s">
        <v>34</v>
      </c>
      <c r="C382" s="2" t="s">
        <v>18</v>
      </c>
      <c r="D382" s="2" t="s">
        <v>25</v>
      </c>
      <c r="E382" s="2" t="s">
        <v>20</v>
      </c>
      <c r="F382" s="2" t="n">
        <v>0</v>
      </c>
      <c r="G382" s="2" t="s">
        <v>26</v>
      </c>
      <c r="H382" s="2" t="s">
        <v>20</v>
      </c>
      <c r="I382" s="2" t="s">
        <v>21</v>
      </c>
      <c r="J382" s="2" t="n">
        <v>30</v>
      </c>
      <c r="K382" s="2" t="s">
        <v>32</v>
      </c>
      <c r="L382" s="2" t="n">
        <v>53</v>
      </c>
      <c r="M382" s="2" t="n">
        <v>1</v>
      </c>
      <c r="N382" s="2" t="n">
        <v>325</v>
      </c>
      <c r="O382" s="2" t="n">
        <v>1</v>
      </c>
      <c r="P382" s="2" t="s">
        <v>28</v>
      </c>
      <c r="Q382" s="2" t="s">
        <v>20</v>
      </c>
    </row>
    <row r="383" customFormat="false" ht="15" hidden="false" customHeight="false" outlineLevel="0" collapsed="false">
      <c r="A383" s="2" t="n">
        <v>39</v>
      </c>
      <c r="B383" s="2" t="s">
        <v>34</v>
      </c>
      <c r="C383" s="2" t="s">
        <v>18</v>
      </c>
      <c r="D383" s="2" t="s">
        <v>19</v>
      </c>
      <c r="E383" s="2" t="s">
        <v>20</v>
      </c>
      <c r="F383" s="2" t="n">
        <v>3705</v>
      </c>
      <c r="G383" s="2" t="s">
        <v>26</v>
      </c>
      <c r="H383" s="2" t="s">
        <v>20</v>
      </c>
      <c r="I383" s="2" t="s">
        <v>23</v>
      </c>
      <c r="J383" s="2" t="n">
        <v>16</v>
      </c>
      <c r="K383" s="2" t="s">
        <v>33</v>
      </c>
      <c r="L383" s="2" t="n">
        <v>77</v>
      </c>
      <c r="M383" s="2" t="n">
        <v>1</v>
      </c>
      <c r="N383" s="2" t="n">
        <v>-1</v>
      </c>
      <c r="O383" s="2" t="n">
        <v>0</v>
      </c>
      <c r="P383" s="2" t="s">
        <v>23</v>
      </c>
      <c r="Q383" s="2" t="s">
        <v>20</v>
      </c>
    </row>
    <row r="384" customFormat="false" ht="15" hidden="false" customHeight="false" outlineLevel="0" collapsed="false">
      <c r="A384" s="2" t="n">
        <v>59</v>
      </c>
      <c r="B384" s="2" t="s">
        <v>48</v>
      </c>
      <c r="C384" s="2" t="s">
        <v>18</v>
      </c>
      <c r="D384" s="2" t="s">
        <v>31</v>
      </c>
      <c r="E384" s="2" t="s">
        <v>20</v>
      </c>
      <c r="F384" s="2" t="n">
        <v>9676</v>
      </c>
      <c r="G384" s="2" t="s">
        <v>20</v>
      </c>
      <c r="H384" s="2" t="s">
        <v>20</v>
      </c>
      <c r="I384" s="2" t="s">
        <v>49</v>
      </c>
      <c r="J384" s="2" t="n">
        <v>27</v>
      </c>
      <c r="K384" s="2" t="s">
        <v>52</v>
      </c>
      <c r="L384" s="2" t="n">
        <v>234</v>
      </c>
      <c r="M384" s="2" t="n">
        <v>2</v>
      </c>
      <c r="N384" s="2" t="n">
        <v>-1</v>
      </c>
      <c r="O384" s="2" t="n">
        <v>0</v>
      </c>
      <c r="P384" s="2" t="s">
        <v>23</v>
      </c>
      <c r="Q384" s="2" t="s">
        <v>26</v>
      </c>
    </row>
    <row r="385" customFormat="false" ht="15" hidden="false" customHeight="false" outlineLevel="0" collapsed="false">
      <c r="A385" s="2" t="n">
        <v>37</v>
      </c>
      <c r="B385" s="2" t="s">
        <v>24</v>
      </c>
      <c r="C385" s="2" t="s">
        <v>18</v>
      </c>
      <c r="D385" s="2" t="s">
        <v>25</v>
      </c>
      <c r="E385" s="2" t="s">
        <v>20</v>
      </c>
      <c r="F385" s="2" t="n">
        <v>1328</v>
      </c>
      <c r="G385" s="2" t="s">
        <v>26</v>
      </c>
      <c r="H385" s="2" t="s">
        <v>20</v>
      </c>
      <c r="I385" s="2" t="s">
        <v>49</v>
      </c>
      <c r="J385" s="2" t="n">
        <v>13</v>
      </c>
      <c r="K385" s="2" t="s">
        <v>27</v>
      </c>
      <c r="L385" s="2" t="n">
        <v>121</v>
      </c>
      <c r="M385" s="2" t="n">
        <v>2</v>
      </c>
      <c r="N385" s="2" t="n">
        <v>341</v>
      </c>
      <c r="O385" s="2" t="n">
        <v>4</v>
      </c>
      <c r="P385" s="2" t="s">
        <v>28</v>
      </c>
      <c r="Q385" s="2" t="s">
        <v>20</v>
      </c>
    </row>
    <row r="386" customFormat="false" ht="15" hidden="false" customHeight="false" outlineLevel="0" collapsed="false">
      <c r="A386" s="2" t="n">
        <v>41</v>
      </c>
      <c r="B386" s="2" t="s">
        <v>34</v>
      </c>
      <c r="C386" s="2" t="s">
        <v>18</v>
      </c>
      <c r="D386" s="2" t="s">
        <v>19</v>
      </c>
      <c r="E386" s="2" t="s">
        <v>20</v>
      </c>
      <c r="F386" s="2" t="n">
        <v>8</v>
      </c>
      <c r="G386" s="2" t="s">
        <v>26</v>
      </c>
      <c r="H386" s="2" t="s">
        <v>20</v>
      </c>
      <c r="I386" s="2" t="s">
        <v>21</v>
      </c>
      <c r="J386" s="2" t="n">
        <v>15</v>
      </c>
      <c r="K386" s="2" t="s">
        <v>44</v>
      </c>
      <c r="L386" s="2" t="n">
        <v>155</v>
      </c>
      <c r="M386" s="2" t="n">
        <v>2</v>
      </c>
      <c r="N386" s="2" t="n">
        <v>-1</v>
      </c>
      <c r="O386" s="2" t="n">
        <v>0</v>
      </c>
      <c r="P386" s="2" t="s">
        <v>23</v>
      </c>
      <c r="Q386" s="2" t="s">
        <v>20</v>
      </c>
    </row>
    <row r="387" customFormat="false" ht="15" hidden="false" customHeight="false" outlineLevel="0" collapsed="false">
      <c r="A387" s="2" t="n">
        <v>45</v>
      </c>
      <c r="B387" s="2" t="s">
        <v>34</v>
      </c>
      <c r="C387" s="2" t="s">
        <v>18</v>
      </c>
      <c r="D387" s="2" t="s">
        <v>19</v>
      </c>
      <c r="E387" s="2" t="s">
        <v>20</v>
      </c>
      <c r="F387" s="2" t="n">
        <v>61</v>
      </c>
      <c r="G387" s="2" t="s">
        <v>20</v>
      </c>
      <c r="H387" s="2" t="s">
        <v>20</v>
      </c>
      <c r="I387" s="2" t="s">
        <v>21</v>
      </c>
      <c r="J387" s="2" t="n">
        <v>17</v>
      </c>
      <c r="K387" s="2" t="s">
        <v>32</v>
      </c>
      <c r="L387" s="2" t="n">
        <v>108</v>
      </c>
      <c r="M387" s="2" t="n">
        <v>1</v>
      </c>
      <c r="N387" s="2" t="n">
        <v>-1</v>
      </c>
      <c r="O387" s="2" t="n">
        <v>0</v>
      </c>
      <c r="P387" s="2" t="s">
        <v>23</v>
      </c>
      <c r="Q387" s="2" t="s">
        <v>20</v>
      </c>
    </row>
    <row r="388" customFormat="false" ht="15" hidden="false" customHeight="false" outlineLevel="0" collapsed="false">
      <c r="A388" s="2" t="n">
        <v>48</v>
      </c>
      <c r="B388" s="2" t="s">
        <v>29</v>
      </c>
      <c r="C388" s="2" t="s">
        <v>18</v>
      </c>
      <c r="D388" s="2" t="s">
        <v>31</v>
      </c>
      <c r="E388" s="2" t="s">
        <v>20</v>
      </c>
      <c r="F388" s="2" t="n">
        <v>6613</v>
      </c>
      <c r="G388" s="2" t="s">
        <v>20</v>
      </c>
      <c r="H388" s="2" t="s">
        <v>20</v>
      </c>
      <c r="I388" s="2" t="s">
        <v>23</v>
      </c>
      <c r="J388" s="2" t="n">
        <v>17</v>
      </c>
      <c r="K388" s="2" t="s">
        <v>33</v>
      </c>
      <c r="L388" s="2" t="n">
        <v>159</v>
      </c>
      <c r="M388" s="2" t="n">
        <v>3</v>
      </c>
      <c r="N388" s="2" t="n">
        <v>-1</v>
      </c>
      <c r="O388" s="2" t="n">
        <v>0</v>
      </c>
      <c r="P388" s="2" t="s">
        <v>23</v>
      </c>
      <c r="Q388" s="2" t="s">
        <v>20</v>
      </c>
    </row>
    <row r="389" customFormat="false" ht="15" hidden="false" customHeight="false" outlineLevel="0" collapsed="false">
      <c r="A389" s="2" t="n">
        <v>48</v>
      </c>
      <c r="B389" s="2" t="s">
        <v>38</v>
      </c>
      <c r="C389" s="2" t="s">
        <v>18</v>
      </c>
      <c r="D389" s="2" t="s">
        <v>25</v>
      </c>
      <c r="E389" s="2" t="s">
        <v>20</v>
      </c>
      <c r="F389" s="2" t="n">
        <v>302</v>
      </c>
      <c r="G389" s="2" t="s">
        <v>26</v>
      </c>
      <c r="H389" s="2" t="s">
        <v>20</v>
      </c>
      <c r="I389" s="2" t="s">
        <v>23</v>
      </c>
      <c r="J389" s="2" t="n">
        <v>26</v>
      </c>
      <c r="K389" s="2" t="s">
        <v>27</v>
      </c>
      <c r="L389" s="2" t="n">
        <v>208</v>
      </c>
      <c r="M389" s="2" t="n">
        <v>3</v>
      </c>
      <c r="N389" s="2" t="n">
        <v>-1</v>
      </c>
      <c r="O389" s="2" t="n">
        <v>0</v>
      </c>
      <c r="P389" s="2" t="s">
        <v>23</v>
      </c>
      <c r="Q389" s="2" t="s">
        <v>20</v>
      </c>
    </row>
    <row r="390" customFormat="false" ht="15" hidden="false" customHeight="false" outlineLevel="0" collapsed="false">
      <c r="A390" s="2" t="n">
        <v>32</v>
      </c>
      <c r="B390" s="2" t="s">
        <v>34</v>
      </c>
      <c r="C390" s="2" t="s">
        <v>18</v>
      </c>
      <c r="D390" s="2" t="s">
        <v>25</v>
      </c>
      <c r="E390" s="2" t="s">
        <v>20</v>
      </c>
      <c r="F390" s="2" t="n">
        <v>1005</v>
      </c>
      <c r="G390" s="2" t="s">
        <v>20</v>
      </c>
      <c r="H390" s="2" t="s">
        <v>20</v>
      </c>
      <c r="I390" s="2" t="s">
        <v>21</v>
      </c>
      <c r="J390" s="2" t="n">
        <v>12</v>
      </c>
      <c r="K390" s="2" t="s">
        <v>27</v>
      </c>
      <c r="L390" s="2" t="n">
        <v>215</v>
      </c>
      <c r="M390" s="2" t="n">
        <v>1</v>
      </c>
      <c r="N390" s="2" t="n">
        <v>-1</v>
      </c>
      <c r="O390" s="2" t="n">
        <v>0</v>
      </c>
      <c r="P390" s="2" t="s">
        <v>23</v>
      </c>
      <c r="Q390" s="2" t="s">
        <v>20</v>
      </c>
    </row>
    <row r="391" customFormat="false" ht="15" hidden="false" customHeight="false" outlineLevel="0" collapsed="false">
      <c r="A391" s="2" t="n">
        <v>35</v>
      </c>
      <c r="B391" s="2" t="s">
        <v>24</v>
      </c>
      <c r="C391" s="2" t="s">
        <v>18</v>
      </c>
      <c r="D391" s="2" t="s">
        <v>25</v>
      </c>
      <c r="E391" s="2" t="s">
        <v>20</v>
      </c>
      <c r="F391" s="2" t="n">
        <v>109</v>
      </c>
      <c r="G391" s="2" t="s">
        <v>26</v>
      </c>
      <c r="H391" s="2" t="s">
        <v>20</v>
      </c>
      <c r="I391" s="2" t="s">
        <v>23</v>
      </c>
      <c r="J391" s="2" t="n">
        <v>6</v>
      </c>
      <c r="K391" s="2" t="s">
        <v>27</v>
      </c>
      <c r="L391" s="2" t="n">
        <v>597</v>
      </c>
      <c r="M391" s="2" t="n">
        <v>3</v>
      </c>
      <c r="N391" s="2" t="n">
        <v>-1</v>
      </c>
      <c r="O391" s="2" t="n">
        <v>0</v>
      </c>
      <c r="P391" s="2" t="s">
        <v>23</v>
      </c>
      <c r="Q391" s="2" t="s">
        <v>20</v>
      </c>
    </row>
    <row r="392" customFormat="false" ht="15" hidden="false" customHeight="false" outlineLevel="0" collapsed="false">
      <c r="A392" s="2" t="n">
        <v>33</v>
      </c>
      <c r="B392" s="2" t="s">
        <v>29</v>
      </c>
      <c r="C392" s="2" t="s">
        <v>30</v>
      </c>
      <c r="D392" s="2" t="s">
        <v>31</v>
      </c>
      <c r="E392" s="2" t="s">
        <v>20</v>
      </c>
      <c r="F392" s="2" t="n">
        <v>1240</v>
      </c>
      <c r="G392" s="2" t="s">
        <v>26</v>
      </c>
      <c r="H392" s="2" t="s">
        <v>20</v>
      </c>
      <c r="I392" s="2" t="s">
        <v>21</v>
      </c>
      <c r="J392" s="2" t="n">
        <v>4</v>
      </c>
      <c r="K392" s="2" t="s">
        <v>35</v>
      </c>
      <c r="L392" s="2" t="n">
        <v>505</v>
      </c>
      <c r="M392" s="2" t="n">
        <v>2</v>
      </c>
      <c r="N392" s="2" t="n">
        <v>260</v>
      </c>
      <c r="O392" s="2" t="n">
        <v>1</v>
      </c>
      <c r="P392" s="2" t="s">
        <v>37</v>
      </c>
      <c r="Q392" s="2" t="s">
        <v>20</v>
      </c>
    </row>
    <row r="393" customFormat="false" ht="15" hidden="false" customHeight="false" outlineLevel="0" collapsed="false">
      <c r="A393" s="2" t="n">
        <v>28</v>
      </c>
      <c r="B393" s="2" t="s">
        <v>34</v>
      </c>
      <c r="C393" s="2" t="s">
        <v>30</v>
      </c>
      <c r="D393" s="2" t="s">
        <v>19</v>
      </c>
      <c r="E393" s="2" t="s">
        <v>20</v>
      </c>
      <c r="F393" s="2" t="n">
        <v>0</v>
      </c>
      <c r="G393" s="2" t="s">
        <v>26</v>
      </c>
      <c r="H393" s="2" t="s">
        <v>26</v>
      </c>
      <c r="I393" s="2" t="s">
        <v>23</v>
      </c>
      <c r="J393" s="2" t="n">
        <v>3</v>
      </c>
      <c r="K393" s="2" t="s">
        <v>33</v>
      </c>
      <c r="L393" s="2" t="n">
        <v>380</v>
      </c>
      <c r="M393" s="2" t="n">
        <v>4</v>
      </c>
      <c r="N393" s="2" t="n">
        <v>-1</v>
      </c>
      <c r="O393" s="2" t="n">
        <v>0</v>
      </c>
      <c r="P393" s="2" t="s">
        <v>23</v>
      </c>
      <c r="Q393" s="2" t="s">
        <v>20</v>
      </c>
    </row>
    <row r="394" customFormat="false" ht="15" hidden="false" customHeight="false" outlineLevel="0" collapsed="false">
      <c r="A394" s="2" t="n">
        <v>64</v>
      </c>
      <c r="B394" s="2" t="s">
        <v>48</v>
      </c>
      <c r="C394" s="2" t="s">
        <v>18</v>
      </c>
      <c r="D394" s="2" t="s">
        <v>23</v>
      </c>
      <c r="E394" s="2" t="s">
        <v>20</v>
      </c>
      <c r="F394" s="2" t="n">
        <v>2923</v>
      </c>
      <c r="G394" s="2" t="s">
        <v>20</v>
      </c>
      <c r="H394" s="2" t="s">
        <v>20</v>
      </c>
      <c r="I394" s="2" t="s">
        <v>21</v>
      </c>
      <c r="J394" s="2" t="n">
        <v>12</v>
      </c>
      <c r="K394" s="2" t="s">
        <v>52</v>
      </c>
      <c r="L394" s="2" t="n">
        <v>120</v>
      </c>
      <c r="M394" s="2" t="n">
        <v>1</v>
      </c>
      <c r="N394" s="2" t="n">
        <v>-1</v>
      </c>
      <c r="O394" s="2" t="n">
        <v>0</v>
      </c>
      <c r="P394" s="2" t="s">
        <v>23</v>
      </c>
      <c r="Q394" s="2" t="s">
        <v>20</v>
      </c>
    </row>
    <row r="395" customFormat="false" ht="15" hidden="false" customHeight="false" outlineLevel="0" collapsed="false">
      <c r="A395" s="2" t="n">
        <v>35</v>
      </c>
      <c r="B395" s="2" t="s">
        <v>38</v>
      </c>
      <c r="C395" s="2" t="s">
        <v>18</v>
      </c>
      <c r="D395" s="2" t="s">
        <v>25</v>
      </c>
      <c r="E395" s="2" t="s">
        <v>20</v>
      </c>
      <c r="F395" s="2" t="n">
        <v>0</v>
      </c>
      <c r="G395" s="2" t="s">
        <v>20</v>
      </c>
      <c r="H395" s="2" t="s">
        <v>20</v>
      </c>
      <c r="I395" s="2" t="s">
        <v>21</v>
      </c>
      <c r="J395" s="2" t="n">
        <v>27</v>
      </c>
      <c r="K395" s="2" t="s">
        <v>41</v>
      </c>
      <c r="L395" s="2" t="n">
        <v>106</v>
      </c>
      <c r="M395" s="2" t="n">
        <v>4</v>
      </c>
      <c r="N395" s="2" t="n">
        <v>-1</v>
      </c>
      <c r="O395" s="2" t="n">
        <v>0</v>
      </c>
      <c r="P395" s="2" t="s">
        <v>23</v>
      </c>
      <c r="Q395" s="2" t="s">
        <v>20</v>
      </c>
    </row>
    <row r="396" customFormat="false" ht="15" hidden="false" customHeight="false" outlineLevel="0" collapsed="false">
      <c r="A396" s="2" t="n">
        <v>33</v>
      </c>
      <c r="B396" s="2" t="s">
        <v>34</v>
      </c>
      <c r="C396" s="2" t="s">
        <v>18</v>
      </c>
      <c r="D396" s="2" t="s">
        <v>25</v>
      </c>
      <c r="E396" s="2" t="s">
        <v>20</v>
      </c>
      <c r="F396" s="2" t="n">
        <v>43</v>
      </c>
      <c r="G396" s="2" t="s">
        <v>26</v>
      </c>
      <c r="H396" s="2" t="s">
        <v>20</v>
      </c>
      <c r="I396" s="2" t="s">
        <v>21</v>
      </c>
      <c r="J396" s="2" t="n">
        <v>14</v>
      </c>
      <c r="K396" s="2" t="s">
        <v>27</v>
      </c>
      <c r="L396" s="2" t="n">
        <v>332</v>
      </c>
      <c r="M396" s="2" t="n">
        <v>2</v>
      </c>
      <c r="N396" s="2" t="n">
        <v>358</v>
      </c>
      <c r="O396" s="2" t="n">
        <v>2</v>
      </c>
      <c r="P396" s="2" t="s">
        <v>28</v>
      </c>
      <c r="Q396" s="2" t="s">
        <v>20</v>
      </c>
    </row>
    <row r="397" customFormat="false" ht="15" hidden="false" customHeight="false" outlineLevel="0" collapsed="false">
      <c r="A397" s="2" t="n">
        <v>41</v>
      </c>
      <c r="B397" s="2" t="s">
        <v>38</v>
      </c>
      <c r="C397" s="2" t="s">
        <v>18</v>
      </c>
      <c r="D397" s="2" t="s">
        <v>25</v>
      </c>
      <c r="E397" s="2" t="s">
        <v>20</v>
      </c>
      <c r="F397" s="2" t="n">
        <v>288</v>
      </c>
      <c r="G397" s="2" t="s">
        <v>26</v>
      </c>
      <c r="H397" s="2" t="s">
        <v>20</v>
      </c>
      <c r="I397" s="2" t="s">
        <v>23</v>
      </c>
      <c r="J397" s="2" t="n">
        <v>15</v>
      </c>
      <c r="K397" s="2" t="s">
        <v>27</v>
      </c>
      <c r="L397" s="2" t="n">
        <v>221</v>
      </c>
      <c r="M397" s="2" t="n">
        <v>4</v>
      </c>
      <c r="N397" s="2" t="n">
        <v>-1</v>
      </c>
      <c r="O397" s="2" t="n">
        <v>0</v>
      </c>
      <c r="P397" s="2" t="s">
        <v>23</v>
      </c>
      <c r="Q397" s="2" t="s">
        <v>20</v>
      </c>
    </row>
    <row r="398" customFormat="false" ht="15" hidden="false" customHeight="false" outlineLevel="0" collapsed="false">
      <c r="A398" s="2" t="n">
        <v>34</v>
      </c>
      <c r="B398" s="2" t="s">
        <v>40</v>
      </c>
      <c r="C398" s="2" t="s">
        <v>18</v>
      </c>
      <c r="D398" s="2" t="s">
        <v>25</v>
      </c>
      <c r="E398" s="2" t="s">
        <v>20</v>
      </c>
      <c r="F398" s="2" t="n">
        <v>613</v>
      </c>
      <c r="G398" s="2" t="s">
        <v>26</v>
      </c>
      <c r="H398" s="2" t="s">
        <v>20</v>
      </c>
      <c r="I398" s="2" t="s">
        <v>21</v>
      </c>
      <c r="J398" s="2" t="n">
        <v>4</v>
      </c>
      <c r="K398" s="2" t="s">
        <v>33</v>
      </c>
      <c r="L398" s="2" t="n">
        <v>80</v>
      </c>
      <c r="M398" s="2" t="n">
        <v>1</v>
      </c>
      <c r="N398" s="2" t="n">
        <v>-1</v>
      </c>
      <c r="O398" s="2" t="n">
        <v>0</v>
      </c>
      <c r="P398" s="2" t="s">
        <v>23</v>
      </c>
      <c r="Q398" s="2" t="s">
        <v>20</v>
      </c>
    </row>
    <row r="399" customFormat="false" ht="15" hidden="false" customHeight="false" outlineLevel="0" collapsed="false">
      <c r="A399" s="2" t="n">
        <v>37</v>
      </c>
      <c r="B399" s="2" t="s">
        <v>38</v>
      </c>
      <c r="C399" s="2" t="s">
        <v>30</v>
      </c>
      <c r="D399" s="2" t="s">
        <v>31</v>
      </c>
      <c r="E399" s="2" t="s">
        <v>20</v>
      </c>
      <c r="F399" s="2" t="n">
        <v>6101</v>
      </c>
      <c r="G399" s="2" t="s">
        <v>20</v>
      </c>
      <c r="H399" s="2" t="s">
        <v>20</v>
      </c>
      <c r="I399" s="2" t="s">
        <v>21</v>
      </c>
      <c r="J399" s="2" t="n">
        <v>4</v>
      </c>
      <c r="K399" s="2" t="s">
        <v>27</v>
      </c>
      <c r="L399" s="2" t="n">
        <v>60</v>
      </c>
      <c r="M399" s="2" t="n">
        <v>5</v>
      </c>
      <c r="N399" s="2" t="n">
        <v>87</v>
      </c>
      <c r="O399" s="2" t="n">
        <v>1</v>
      </c>
      <c r="P399" s="2" t="s">
        <v>50</v>
      </c>
      <c r="Q399" s="2" t="s">
        <v>20</v>
      </c>
    </row>
    <row r="400" customFormat="false" ht="15" hidden="false" customHeight="false" outlineLevel="0" collapsed="false">
      <c r="A400" s="2" t="n">
        <v>38</v>
      </c>
      <c r="B400" s="2" t="s">
        <v>34</v>
      </c>
      <c r="C400" s="2" t="s">
        <v>18</v>
      </c>
      <c r="D400" s="2" t="s">
        <v>19</v>
      </c>
      <c r="E400" s="2" t="s">
        <v>20</v>
      </c>
      <c r="F400" s="2" t="n">
        <v>168</v>
      </c>
      <c r="G400" s="2" t="s">
        <v>26</v>
      </c>
      <c r="H400" s="2" t="s">
        <v>26</v>
      </c>
      <c r="I400" s="2" t="s">
        <v>49</v>
      </c>
      <c r="J400" s="2" t="n">
        <v>13</v>
      </c>
      <c r="K400" s="2" t="s">
        <v>27</v>
      </c>
      <c r="L400" s="2" t="n">
        <v>212</v>
      </c>
      <c r="M400" s="2" t="n">
        <v>3</v>
      </c>
      <c r="N400" s="2" t="n">
        <v>-1</v>
      </c>
      <c r="O400" s="2" t="n">
        <v>0</v>
      </c>
      <c r="P400" s="2" t="s">
        <v>23</v>
      </c>
      <c r="Q400" s="2" t="s">
        <v>20</v>
      </c>
    </row>
    <row r="401" customFormat="false" ht="15" hidden="false" customHeight="false" outlineLevel="0" collapsed="false">
      <c r="A401" s="2" t="n">
        <v>39</v>
      </c>
      <c r="B401" s="2" t="s">
        <v>34</v>
      </c>
      <c r="C401" s="2" t="s">
        <v>18</v>
      </c>
      <c r="D401" s="2" t="s">
        <v>19</v>
      </c>
      <c r="E401" s="2" t="s">
        <v>20</v>
      </c>
      <c r="F401" s="2" t="n">
        <v>7685</v>
      </c>
      <c r="G401" s="2" t="s">
        <v>26</v>
      </c>
      <c r="H401" s="2" t="s">
        <v>20</v>
      </c>
      <c r="I401" s="2" t="s">
        <v>21</v>
      </c>
      <c r="J401" s="2" t="n">
        <v>14</v>
      </c>
      <c r="K401" s="2" t="s">
        <v>32</v>
      </c>
      <c r="L401" s="2" t="n">
        <v>493</v>
      </c>
      <c r="M401" s="2" t="n">
        <v>3</v>
      </c>
      <c r="N401" s="2" t="n">
        <v>-1</v>
      </c>
      <c r="O401" s="2" t="n">
        <v>0</v>
      </c>
      <c r="P401" s="2" t="s">
        <v>23</v>
      </c>
      <c r="Q401" s="2" t="s">
        <v>20</v>
      </c>
    </row>
    <row r="402" customFormat="false" ht="15" hidden="false" customHeight="false" outlineLevel="0" collapsed="false">
      <c r="A402" s="2" t="n">
        <v>35</v>
      </c>
      <c r="B402" s="2" t="s">
        <v>38</v>
      </c>
      <c r="C402" s="2" t="s">
        <v>45</v>
      </c>
      <c r="D402" s="2" t="s">
        <v>31</v>
      </c>
      <c r="E402" s="2" t="s">
        <v>20</v>
      </c>
      <c r="F402" s="2" t="n">
        <v>4515</v>
      </c>
      <c r="G402" s="2" t="s">
        <v>26</v>
      </c>
      <c r="H402" s="2" t="s">
        <v>20</v>
      </c>
      <c r="I402" s="2" t="s">
        <v>21</v>
      </c>
      <c r="J402" s="2" t="n">
        <v>19</v>
      </c>
      <c r="K402" s="2" t="s">
        <v>46</v>
      </c>
      <c r="L402" s="2" t="n">
        <v>98</v>
      </c>
      <c r="M402" s="2" t="n">
        <v>2</v>
      </c>
      <c r="N402" s="2" t="n">
        <v>-1</v>
      </c>
      <c r="O402" s="2" t="n">
        <v>0</v>
      </c>
      <c r="P402" s="2" t="s">
        <v>23</v>
      </c>
      <c r="Q402" s="2" t="s">
        <v>20</v>
      </c>
    </row>
    <row r="403" customFormat="false" ht="15" hidden="false" customHeight="false" outlineLevel="0" collapsed="false">
      <c r="A403" s="2" t="n">
        <v>28</v>
      </c>
      <c r="B403" s="2" t="s">
        <v>34</v>
      </c>
      <c r="C403" s="2" t="s">
        <v>30</v>
      </c>
      <c r="D403" s="2" t="s">
        <v>25</v>
      </c>
      <c r="E403" s="2" t="s">
        <v>20</v>
      </c>
      <c r="F403" s="2" t="n">
        <v>517</v>
      </c>
      <c r="G403" s="2" t="s">
        <v>20</v>
      </c>
      <c r="H403" s="2" t="s">
        <v>26</v>
      </c>
      <c r="I403" s="2" t="s">
        <v>21</v>
      </c>
      <c r="J403" s="2" t="n">
        <v>8</v>
      </c>
      <c r="K403" s="2" t="s">
        <v>44</v>
      </c>
      <c r="L403" s="2" t="n">
        <v>681</v>
      </c>
      <c r="M403" s="2" t="n">
        <v>1</v>
      </c>
      <c r="N403" s="2" t="n">
        <v>-1</v>
      </c>
      <c r="O403" s="2" t="n">
        <v>0</v>
      </c>
      <c r="P403" s="2" t="s">
        <v>23</v>
      </c>
      <c r="Q403" s="2" t="s">
        <v>26</v>
      </c>
    </row>
    <row r="404" customFormat="false" ht="15" hidden="false" customHeight="false" outlineLevel="0" collapsed="false">
      <c r="A404" s="2" t="n">
        <v>27</v>
      </c>
      <c r="B404" s="2" t="s">
        <v>34</v>
      </c>
      <c r="C404" s="2" t="s">
        <v>30</v>
      </c>
      <c r="D404" s="2" t="s">
        <v>25</v>
      </c>
      <c r="E404" s="2" t="s">
        <v>20</v>
      </c>
      <c r="F404" s="2" t="n">
        <v>148</v>
      </c>
      <c r="G404" s="2" t="s">
        <v>20</v>
      </c>
      <c r="H404" s="2" t="s">
        <v>20</v>
      </c>
      <c r="I404" s="2" t="s">
        <v>21</v>
      </c>
      <c r="J404" s="2" t="n">
        <v>22</v>
      </c>
      <c r="K404" s="2" t="s">
        <v>44</v>
      </c>
      <c r="L404" s="2" t="n">
        <v>203</v>
      </c>
      <c r="M404" s="2" t="n">
        <v>1</v>
      </c>
      <c r="N404" s="2" t="n">
        <v>-1</v>
      </c>
      <c r="O404" s="2" t="n">
        <v>0</v>
      </c>
      <c r="P404" s="2" t="s">
        <v>23</v>
      </c>
      <c r="Q404" s="2" t="s">
        <v>20</v>
      </c>
    </row>
    <row r="405" customFormat="false" ht="15" hidden="false" customHeight="false" outlineLevel="0" collapsed="false">
      <c r="A405" s="2" t="n">
        <v>48</v>
      </c>
      <c r="B405" s="2" t="s">
        <v>48</v>
      </c>
      <c r="C405" s="2" t="s">
        <v>18</v>
      </c>
      <c r="D405" s="2" t="s">
        <v>19</v>
      </c>
      <c r="E405" s="2" t="s">
        <v>26</v>
      </c>
      <c r="F405" s="2" t="n">
        <v>-285</v>
      </c>
      <c r="G405" s="2" t="s">
        <v>20</v>
      </c>
      <c r="H405" s="2" t="s">
        <v>26</v>
      </c>
      <c r="I405" s="2" t="s">
        <v>21</v>
      </c>
      <c r="J405" s="2" t="n">
        <v>19</v>
      </c>
      <c r="K405" s="2" t="s">
        <v>46</v>
      </c>
      <c r="L405" s="2" t="n">
        <v>157</v>
      </c>
      <c r="M405" s="2" t="n">
        <v>1</v>
      </c>
      <c r="N405" s="2" t="n">
        <v>-1</v>
      </c>
      <c r="O405" s="2" t="n">
        <v>0</v>
      </c>
      <c r="P405" s="2" t="s">
        <v>23</v>
      </c>
      <c r="Q405" s="2" t="s">
        <v>20</v>
      </c>
    </row>
    <row r="406" customFormat="false" ht="15" hidden="false" customHeight="false" outlineLevel="0" collapsed="false">
      <c r="A406" s="2" t="n">
        <v>50</v>
      </c>
      <c r="B406" s="2" t="s">
        <v>34</v>
      </c>
      <c r="C406" s="2" t="s">
        <v>18</v>
      </c>
      <c r="D406" s="2" t="s">
        <v>25</v>
      </c>
      <c r="E406" s="2" t="s">
        <v>20</v>
      </c>
      <c r="F406" s="2" t="n">
        <v>887</v>
      </c>
      <c r="G406" s="2" t="s">
        <v>20</v>
      </c>
      <c r="H406" s="2" t="s">
        <v>20</v>
      </c>
      <c r="I406" s="2" t="s">
        <v>23</v>
      </c>
      <c r="J406" s="2" t="n">
        <v>16</v>
      </c>
      <c r="K406" s="2" t="s">
        <v>33</v>
      </c>
      <c r="L406" s="2" t="n">
        <v>287</v>
      </c>
      <c r="M406" s="2" t="n">
        <v>1</v>
      </c>
      <c r="N406" s="2" t="n">
        <v>-1</v>
      </c>
      <c r="O406" s="2" t="n">
        <v>0</v>
      </c>
      <c r="P406" s="2" t="s">
        <v>23</v>
      </c>
      <c r="Q406" s="2" t="s">
        <v>20</v>
      </c>
    </row>
    <row r="407" customFormat="false" ht="15" hidden="false" customHeight="false" outlineLevel="0" collapsed="false">
      <c r="A407" s="2" t="n">
        <v>45</v>
      </c>
      <c r="B407" s="2" t="s">
        <v>36</v>
      </c>
      <c r="C407" s="2" t="s">
        <v>18</v>
      </c>
      <c r="D407" s="2" t="s">
        <v>25</v>
      </c>
      <c r="E407" s="2" t="s">
        <v>20</v>
      </c>
      <c r="F407" s="2" t="n">
        <v>3098</v>
      </c>
      <c r="G407" s="2" t="s">
        <v>26</v>
      </c>
      <c r="H407" s="2" t="s">
        <v>20</v>
      </c>
      <c r="I407" s="2" t="s">
        <v>21</v>
      </c>
      <c r="J407" s="2" t="n">
        <v>7</v>
      </c>
      <c r="K407" s="2" t="s">
        <v>41</v>
      </c>
      <c r="L407" s="2" t="n">
        <v>159</v>
      </c>
      <c r="M407" s="2" t="n">
        <v>2</v>
      </c>
      <c r="N407" s="2" t="n">
        <v>-1</v>
      </c>
      <c r="O407" s="2" t="n">
        <v>0</v>
      </c>
      <c r="P407" s="2" t="s">
        <v>23</v>
      </c>
      <c r="Q407" s="2" t="s">
        <v>20</v>
      </c>
    </row>
    <row r="408" customFormat="false" ht="15" hidden="false" customHeight="false" outlineLevel="0" collapsed="false">
      <c r="A408" s="2" t="n">
        <v>41</v>
      </c>
      <c r="B408" s="2" t="s">
        <v>38</v>
      </c>
      <c r="C408" s="2" t="s">
        <v>18</v>
      </c>
      <c r="D408" s="2" t="s">
        <v>31</v>
      </c>
      <c r="E408" s="2" t="s">
        <v>20</v>
      </c>
      <c r="F408" s="2" t="n">
        <v>744</v>
      </c>
      <c r="G408" s="2" t="s">
        <v>26</v>
      </c>
      <c r="H408" s="2" t="s">
        <v>20</v>
      </c>
      <c r="I408" s="2" t="s">
        <v>23</v>
      </c>
      <c r="J408" s="2" t="n">
        <v>14</v>
      </c>
      <c r="K408" s="2" t="s">
        <v>27</v>
      </c>
      <c r="L408" s="2" t="n">
        <v>125</v>
      </c>
      <c r="M408" s="2" t="n">
        <v>1</v>
      </c>
      <c r="N408" s="2" t="n">
        <v>-1</v>
      </c>
      <c r="O408" s="2" t="n">
        <v>0</v>
      </c>
      <c r="P408" s="2" t="s">
        <v>23</v>
      </c>
      <c r="Q408" s="2" t="s">
        <v>20</v>
      </c>
    </row>
    <row r="409" customFormat="false" ht="15" hidden="false" customHeight="false" outlineLevel="0" collapsed="false">
      <c r="A409" s="2" t="n">
        <v>39</v>
      </c>
      <c r="B409" s="2" t="s">
        <v>38</v>
      </c>
      <c r="C409" s="2" t="s">
        <v>18</v>
      </c>
      <c r="D409" s="2" t="s">
        <v>25</v>
      </c>
      <c r="E409" s="2" t="s">
        <v>20</v>
      </c>
      <c r="F409" s="2" t="n">
        <v>130</v>
      </c>
      <c r="G409" s="2" t="s">
        <v>20</v>
      </c>
      <c r="H409" s="2" t="s">
        <v>20</v>
      </c>
      <c r="I409" s="2" t="s">
        <v>21</v>
      </c>
      <c r="J409" s="2" t="n">
        <v>8</v>
      </c>
      <c r="K409" s="2" t="s">
        <v>44</v>
      </c>
      <c r="L409" s="2" t="n">
        <v>202</v>
      </c>
      <c r="M409" s="2" t="n">
        <v>2</v>
      </c>
      <c r="N409" s="2" t="n">
        <v>-1</v>
      </c>
      <c r="O409" s="2" t="n">
        <v>0</v>
      </c>
      <c r="P409" s="2" t="s">
        <v>23</v>
      </c>
      <c r="Q409" s="2" t="s">
        <v>20</v>
      </c>
    </row>
    <row r="410" customFormat="false" ht="15" hidden="false" customHeight="false" outlineLevel="0" collapsed="false">
      <c r="A410" s="2" t="n">
        <v>44</v>
      </c>
      <c r="B410" s="2" t="s">
        <v>29</v>
      </c>
      <c r="C410" s="2" t="s">
        <v>18</v>
      </c>
      <c r="D410" s="2" t="s">
        <v>25</v>
      </c>
      <c r="E410" s="2" t="s">
        <v>20</v>
      </c>
      <c r="F410" s="2" t="n">
        <v>438</v>
      </c>
      <c r="G410" s="2" t="s">
        <v>26</v>
      </c>
      <c r="H410" s="2" t="s">
        <v>20</v>
      </c>
      <c r="I410" s="2" t="s">
        <v>49</v>
      </c>
      <c r="J410" s="2" t="n">
        <v>8</v>
      </c>
      <c r="K410" s="2" t="s">
        <v>27</v>
      </c>
      <c r="L410" s="2" t="n">
        <v>37</v>
      </c>
      <c r="M410" s="2" t="n">
        <v>3</v>
      </c>
      <c r="N410" s="2" t="n">
        <v>303</v>
      </c>
      <c r="O410" s="2" t="n">
        <v>1</v>
      </c>
      <c r="P410" s="2" t="s">
        <v>28</v>
      </c>
      <c r="Q410" s="2" t="s">
        <v>20</v>
      </c>
    </row>
    <row r="411" customFormat="false" ht="15" hidden="false" customHeight="false" outlineLevel="0" collapsed="false">
      <c r="A411" s="2" t="n">
        <v>54</v>
      </c>
      <c r="B411" s="2" t="s">
        <v>40</v>
      </c>
      <c r="C411" s="2" t="s">
        <v>18</v>
      </c>
      <c r="D411" s="2" t="s">
        <v>25</v>
      </c>
      <c r="E411" s="2" t="s">
        <v>20</v>
      </c>
      <c r="F411" s="2" t="n">
        <v>0</v>
      </c>
      <c r="G411" s="2" t="s">
        <v>20</v>
      </c>
      <c r="H411" s="2" t="s">
        <v>20</v>
      </c>
      <c r="I411" s="2" t="s">
        <v>21</v>
      </c>
      <c r="J411" s="2" t="n">
        <v>28</v>
      </c>
      <c r="K411" s="2" t="s">
        <v>43</v>
      </c>
      <c r="L411" s="2" t="n">
        <v>161</v>
      </c>
      <c r="M411" s="2" t="n">
        <v>1</v>
      </c>
      <c r="N411" s="2" t="n">
        <v>98</v>
      </c>
      <c r="O411" s="2" t="n">
        <v>2</v>
      </c>
      <c r="P411" s="2" t="s">
        <v>28</v>
      </c>
      <c r="Q411" s="2" t="s">
        <v>26</v>
      </c>
    </row>
    <row r="412" customFormat="false" ht="15" hidden="false" customHeight="false" outlineLevel="0" collapsed="false">
      <c r="A412" s="2" t="n">
        <v>49</v>
      </c>
      <c r="B412" s="2" t="s">
        <v>29</v>
      </c>
      <c r="C412" s="2" t="s">
        <v>18</v>
      </c>
      <c r="D412" s="2" t="s">
        <v>31</v>
      </c>
      <c r="E412" s="2" t="s">
        <v>20</v>
      </c>
      <c r="F412" s="2" t="n">
        <v>322</v>
      </c>
      <c r="G412" s="2" t="s">
        <v>20</v>
      </c>
      <c r="H412" s="2" t="s">
        <v>20</v>
      </c>
      <c r="I412" s="2" t="s">
        <v>21</v>
      </c>
      <c r="J412" s="2" t="n">
        <v>6</v>
      </c>
      <c r="K412" s="2" t="s">
        <v>41</v>
      </c>
      <c r="L412" s="2" t="n">
        <v>72</v>
      </c>
      <c r="M412" s="2" t="n">
        <v>4</v>
      </c>
      <c r="N412" s="2" t="n">
        <v>-1</v>
      </c>
      <c r="O412" s="2" t="n">
        <v>0</v>
      </c>
      <c r="P412" s="2" t="s">
        <v>23</v>
      </c>
      <c r="Q412" s="2" t="s">
        <v>20</v>
      </c>
    </row>
    <row r="413" customFormat="false" ht="15" hidden="false" customHeight="false" outlineLevel="0" collapsed="false">
      <c r="A413" s="2" t="n">
        <v>34</v>
      </c>
      <c r="B413" s="2" t="s">
        <v>34</v>
      </c>
      <c r="C413" s="2" t="s">
        <v>30</v>
      </c>
      <c r="D413" s="2" t="s">
        <v>25</v>
      </c>
      <c r="E413" s="2" t="s">
        <v>20</v>
      </c>
      <c r="F413" s="2" t="n">
        <v>186</v>
      </c>
      <c r="G413" s="2" t="s">
        <v>20</v>
      </c>
      <c r="H413" s="2" t="s">
        <v>20</v>
      </c>
      <c r="I413" s="2" t="s">
        <v>21</v>
      </c>
      <c r="J413" s="2" t="n">
        <v>2</v>
      </c>
      <c r="K413" s="2" t="s">
        <v>35</v>
      </c>
      <c r="L413" s="2" t="n">
        <v>342</v>
      </c>
      <c r="M413" s="2" t="n">
        <v>1</v>
      </c>
      <c r="N413" s="2" t="n">
        <v>-1</v>
      </c>
      <c r="O413" s="2" t="n">
        <v>0</v>
      </c>
      <c r="P413" s="2" t="s">
        <v>23</v>
      </c>
      <c r="Q413" s="2" t="s">
        <v>20</v>
      </c>
    </row>
    <row r="414" customFormat="false" ht="15" hidden="false" customHeight="false" outlineLevel="0" collapsed="false">
      <c r="A414" s="2" t="n">
        <v>75</v>
      </c>
      <c r="B414" s="2" t="s">
        <v>48</v>
      </c>
      <c r="C414" s="2" t="s">
        <v>45</v>
      </c>
      <c r="D414" s="2" t="s">
        <v>31</v>
      </c>
      <c r="E414" s="2" t="s">
        <v>20</v>
      </c>
      <c r="F414" s="2" t="n">
        <v>3810</v>
      </c>
      <c r="G414" s="2" t="s">
        <v>26</v>
      </c>
      <c r="H414" s="2" t="s">
        <v>20</v>
      </c>
      <c r="I414" s="2" t="s">
        <v>21</v>
      </c>
      <c r="J414" s="2" t="n">
        <v>16</v>
      </c>
      <c r="K414" s="2" t="s">
        <v>46</v>
      </c>
      <c r="L414" s="2" t="n">
        <v>262</v>
      </c>
      <c r="M414" s="2" t="n">
        <v>1</v>
      </c>
      <c r="N414" s="2" t="n">
        <v>183</v>
      </c>
      <c r="O414" s="2" t="n">
        <v>1</v>
      </c>
      <c r="P414" s="2" t="s">
        <v>28</v>
      </c>
      <c r="Q414" s="2" t="s">
        <v>26</v>
      </c>
    </row>
    <row r="415" customFormat="false" ht="15" hidden="false" customHeight="false" outlineLevel="0" collapsed="false">
      <c r="A415" s="2" t="n">
        <v>42</v>
      </c>
      <c r="B415" s="2" t="s">
        <v>29</v>
      </c>
      <c r="C415" s="2" t="s">
        <v>18</v>
      </c>
      <c r="D415" s="2" t="s">
        <v>31</v>
      </c>
      <c r="E415" s="2" t="s">
        <v>20</v>
      </c>
      <c r="F415" s="2" t="n">
        <v>0</v>
      </c>
      <c r="G415" s="2" t="s">
        <v>20</v>
      </c>
      <c r="H415" s="2" t="s">
        <v>20</v>
      </c>
      <c r="I415" s="2" t="s">
        <v>21</v>
      </c>
      <c r="J415" s="2" t="n">
        <v>13</v>
      </c>
      <c r="K415" s="2" t="s">
        <v>41</v>
      </c>
      <c r="L415" s="2" t="n">
        <v>325</v>
      </c>
      <c r="M415" s="2" t="n">
        <v>2</v>
      </c>
      <c r="N415" s="2" t="n">
        <v>-1</v>
      </c>
      <c r="O415" s="2" t="n">
        <v>0</v>
      </c>
      <c r="P415" s="2" t="s">
        <v>23</v>
      </c>
      <c r="Q415" s="2" t="s">
        <v>20</v>
      </c>
    </row>
    <row r="416" customFormat="false" ht="15" hidden="false" customHeight="false" outlineLevel="0" collapsed="false">
      <c r="A416" s="2" t="n">
        <v>53</v>
      </c>
      <c r="B416" s="2" t="s">
        <v>34</v>
      </c>
      <c r="C416" s="2" t="s">
        <v>18</v>
      </c>
      <c r="D416" s="2" t="s">
        <v>25</v>
      </c>
      <c r="E416" s="2" t="s">
        <v>20</v>
      </c>
      <c r="F416" s="2" t="n">
        <v>4380</v>
      </c>
      <c r="G416" s="2" t="s">
        <v>20</v>
      </c>
      <c r="H416" s="2" t="s">
        <v>20</v>
      </c>
      <c r="I416" s="2" t="s">
        <v>49</v>
      </c>
      <c r="J416" s="2" t="n">
        <v>19</v>
      </c>
      <c r="K416" s="2" t="s">
        <v>41</v>
      </c>
      <c r="L416" s="2" t="n">
        <v>223</v>
      </c>
      <c r="M416" s="2" t="n">
        <v>7</v>
      </c>
      <c r="N416" s="2" t="n">
        <v>-1</v>
      </c>
      <c r="O416" s="2" t="n">
        <v>0</v>
      </c>
      <c r="P416" s="2" t="s">
        <v>23</v>
      </c>
      <c r="Q416" s="2" t="s">
        <v>20</v>
      </c>
    </row>
    <row r="417" customFormat="false" ht="15" hidden="false" customHeight="false" outlineLevel="0" collapsed="false">
      <c r="A417" s="2" t="n">
        <v>49</v>
      </c>
      <c r="B417" s="2" t="s">
        <v>29</v>
      </c>
      <c r="C417" s="2" t="s">
        <v>45</v>
      </c>
      <c r="D417" s="2" t="s">
        <v>31</v>
      </c>
      <c r="E417" s="2" t="s">
        <v>20</v>
      </c>
      <c r="F417" s="2" t="n">
        <v>755</v>
      </c>
      <c r="G417" s="2" t="s">
        <v>20</v>
      </c>
      <c r="H417" s="2" t="s">
        <v>20</v>
      </c>
      <c r="I417" s="2" t="s">
        <v>21</v>
      </c>
      <c r="J417" s="2" t="n">
        <v>31</v>
      </c>
      <c r="K417" s="2" t="s">
        <v>44</v>
      </c>
      <c r="L417" s="2" t="n">
        <v>1212</v>
      </c>
      <c r="M417" s="2" t="n">
        <v>4</v>
      </c>
      <c r="N417" s="2" t="n">
        <v>-1</v>
      </c>
      <c r="O417" s="2" t="n">
        <v>0</v>
      </c>
      <c r="P417" s="2" t="s">
        <v>23</v>
      </c>
      <c r="Q417" s="2" t="s">
        <v>26</v>
      </c>
    </row>
    <row r="418" customFormat="false" ht="15" hidden="false" customHeight="false" outlineLevel="0" collapsed="false">
      <c r="A418" s="2" t="n">
        <v>31</v>
      </c>
      <c r="B418" s="2" t="s">
        <v>24</v>
      </c>
      <c r="C418" s="2" t="s">
        <v>30</v>
      </c>
      <c r="D418" s="2" t="s">
        <v>25</v>
      </c>
      <c r="E418" s="2" t="s">
        <v>20</v>
      </c>
      <c r="F418" s="2" t="n">
        <v>2070</v>
      </c>
      <c r="G418" s="2" t="s">
        <v>20</v>
      </c>
      <c r="H418" s="2" t="s">
        <v>20</v>
      </c>
      <c r="I418" s="2" t="s">
        <v>21</v>
      </c>
      <c r="J418" s="2" t="n">
        <v>29</v>
      </c>
      <c r="K418" s="2" t="s">
        <v>41</v>
      </c>
      <c r="L418" s="2" t="n">
        <v>319</v>
      </c>
      <c r="M418" s="2" t="n">
        <v>2</v>
      </c>
      <c r="N418" s="2" t="n">
        <v>-1</v>
      </c>
      <c r="O418" s="2" t="n">
        <v>0</v>
      </c>
      <c r="P418" s="2" t="s">
        <v>23</v>
      </c>
      <c r="Q418" s="2" t="s">
        <v>20</v>
      </c>
    </row>
    <row r="419" customFormat="false" ht="15" hidden="false" customHeight="false" outlineLevel="0" collapsed="false">
      <c r="A419" s="2" t="n">
        <v>45</v>
      </c>
      <c r="B419" s="2" t="s">
        <v>34</v>
      </c>
      <c r="C419" s="2" t="s">
        <v>30</v>
      </c>
      <c r="D419" s="2" t="s">
        <v>19</v>
      </c>
      <c r="E419" s="2" t="s">
        <v>20</v>
      </c>
      <c r="F419" s="2" t="n">
        <v>999</v>
      </c>
      <c r="G419" s="2" t="s">
        <v>20</v>
      </c>
      <c r="H419" s="2" t="s">
        <v>20</v>
      </c>
      <c r="I419" s="2" t="s">
        <v>21</v>
      </c>
      <c r="J419" s="2" t="n">
        <v>29</v>
      </c>
      <c r="K419" s="2" t="s">
        <v>43</v>
      </c>
      <c r="L419" s="2" t="n">
        <v>182</v>
      </c>
      <c r="M419" s="2" t="n">
        <v>2</v>
      </c>
      <c r="N419" s="2" t="n">
        <v>-1</v>
      </c>
      <c r="O419" s="2" t="n">
        <v>0</v>
      </c>
      <c r="P419" s="2" t="s">
        <v>23</v>
      </c>
      <c r="Q419" s="2" t="s">
        <v>20</v>
      </c>
    </row>
    <row r="420" customFormat="false" ht="15" hidden="false" customHeight="false" outlineLevel="0" collapsed="false">
      <c r="A420" s="2" t="n">
        <v>39</v>
      </c>
      <c r="B420" s="2" t="s">
        <v>36</v>
      </c>
      <c r="C420" s="2" t="s">
        <v>18</v>
      </c>
      <c r="D420" s="2" t="s">
        <v>25</v>
      </c>
      <c r="E420" s="2" t="s">
        <v>20</v>
      </c>
      <c r="F420" s="2" t="n">
        <v>167</v>
      </c>
      <c r="G420" s="2" t="s">
        <v>26</v>
      </c>
      <c r="H420" s="2" t="s">
        <v>26</v>
      </c>
      <c r="I420" s="2" t="s">
        <v>21</v>
      </c>
      <c r="J420" s="2" t="n">
        <v>17</v>
      </c>
      <c r="K420" s="2" t="s">
        <v>44</v>
      </c>
      <c r="L420" s="2" t="n">
        <v>330</v>
      </c>
      <c r="M420" s="2" t="n">
        <v>1</v>
      </c>
      <c r="N420" s="2" t="n">
        <v>-1</v>
      </c>
      <c r="O420" s="2" t="n">
        <v>0</v>
      </c>
      <c r="P420" s="2" t="s">
        <v>23</v>
      </c>
      <c r="Q420" s="2" t="s">
        <v>20</v>
      </c>
    </row>
    <row r="421" customFormat="false" ht="15" hidden="false" customHeight="false" outlineLevel="0" collapsed="false">
      <c r="A421" s="2" t="n">
        <v>46</v>
      </c>
      <c r="B421" s="2" t="s">
        <v>38</v>
      </c>
      <c r="C421" s="2" t="s">
        <v>18</v>
      </c>
      <c r="D421" s="2" t="s">
        <v>25</v>
      </c>
      <c r="E421" s="2" t="s">
        <v>20</v>
      </c>
      <c r="F421" s="2" t="n">
        <v>1322</v>
      </c>
      <c r="G421" s="2" t="s">
        <v>26</v>
      </c>
      <c r="H421" s="2" t="s">
        <v>26</v>
      </c>
      <c r="I421" s="2" t="s">
        <v>21</v>
      </c>
      <c r="J421" s="2" t="n">
        <v>19</v>
      </c>
      <c r="K421" s="2" t="s">
        <v>46</v>
      </c>
      <c r="L421" s="2" t="n">
        <v>514</v>
      </c>
      <c r="M421" s="2" t="n">
        <v>1</v>
      </c>
      <c r="N421" s="2" t="n">
        <v>-1</v>
      </c>
      <c r="O421" s="2" t="n">
        <v>0</v>
      </c>
      <c r="P421" s="2" t="s">
        <v>23</v>
      </c>
      <c r="Q421" s="2" t="s">
        <v>20</v>
      </c>
    </row>
    <row r="422" customFormat="false" ht="15" hidden="false" customHeight="false" outlineLevel="0" collapsed="false">
      <c r="A422" s="2" t="n">
        <v>42</v>
      </c>
      <c r="B422" s="2" t="s">
        <v>40</v>
      </c>
      <c r="C422" s="2" t="s">
        <v>45</v>
      </c>
      <c r="D422" s="2" t="s">
        <v>25</v>
      </c>
      <c r="E422" s="2" t="s">
        <v>20</v>
      </c>
      <c r="F422" s="2" t="n">
        <v>1076</v>
      </c>
      <c r="G422" s="2" t="s">
        <v>26</v>
      </c>
      <c r="H422" s="2" t="s">
        <v>20</v>
      </c>
      <c r="I422" s="2" t="s">
        <v>23</v>
      </c>
      <c r="J422" s="2" t="n">
        <v>14</v>
      </c>
      <c r="K422" s="2" t="s">
        <v>27</v>
      </c>
      <c r="L422" s="2" t="n">
        <v>213</v>
      </c>
      <c r="M422" s="2" t="n">
        <v>1</v>
      </c>
      <c r="N422" s="2" t="n">
        <v>-1</v>
      </c>
      <c r="O422" s="2" t="n">
        <v>0</v>
      </c>
      <c r="P422" s="2" t="s">
        <v>23</v>
      </c>
      <c r="Q422" s="2" t="s">
        <v>20</v>
      </c>
    </row>
    <row r="423" customFormat="false" ht="15" hidden="false" customHeight="false" outlineLevel="0" collapsed="false">
      <c r="A423" s="2" t="n">
        <v>37</v>
      </c>
      <c r="B423" s="2" t="s">
        <v>29</v>
      </c>
      <c r="C423" s="2" t="s">
        <v>18</v>
      </c>
      <c r="D423" s="2" t="s">
        <v>31</v>
      </c>
      <c r="E423" s="2" t="s">
        <v>20</v>
      </c>
      <c r="F423" s="2" t="n">
        <v>502</v>
      </c>
      <c r="G423" s="2" t="s">
        <v>26</v>
      </c>
      <c r="H423" s="2" t="s">
        <v>20</v>
      </c>
      <c r="I423" s="2" t="s">
        <v>21</v>
      </c>
      <c r="J423" s="2" t="n">
        <v>7</v>
      </c>
      <c r="K423" s="2" t="s">
        <v>27</v>
      </c>
      <c r="L423" s="2" t="n">
        <v>551</v>
      </c>
      <c r="M423" s="2" t="n">
        <v>1</v>
      </c>
      <c r="N423" s="2" t="n">
        <v>351</v>
      </c>
      <c r="O423" s="2" t="n">
        <v>1</v>
      </c>
      <c r="P423" s="2" t="s">
        <v>28</v>
      </c>
      <c r="Q423" s="2" t="s">
        <v>20</v>
      </c>
    </row>
    <row r="424" customFormat="false" ht="15" hidden="false" customHeight="false" outlineLevel="0" collapsed="false">
      <c r="A424" s="2" t="n">
        <v>26</v>
      </c>
      <c r="B424" s="2" t="s">
        <v>38</v>
      </c>
      <c r="C424" s="2" t="s">
        <v>30</v>
      </c>
      <c r="D424" s="2" t="s">
        <v>31</v>
      </c>
      <c r="E424" s="2" t="s">
        <v>20</v>
      </c>
      <c r="F424" s="2" t="n">
        <v>1216</v>
      </c>
      <c r="G424" s="2" t="s">
        <v>26</v>
      </c>
      <c r="H424" s="2" t="s">
        <v>20</v>
      </c>
      <c r="I424" s="2" t="s">
        <v>21</v>
      </c>
      <c r="J424" s="2" t="n">
        <v>16</v>
      </c>
      <c r="K424" s="2" t="s">
        <v>32</v>
      </c>
      <c r="L424" s="2" t="n">
        <v>472</v>
      </c>
      <c r="M424" s="2" t="n">
        <v>2</v>
      </c>
      <c r="N424" s="2" t="n">
        <v>-1</v>
      </c>
      <c r="O424" s="2" t="n">
        <v>0</v>
      </c>
      <c r="P424" s="2" t="s">
        <v>23</v>
      </c>
      <c r="Q424" s="2" t="s">
        <v>20</v>
      </c>
    </row>
    <row r="425" customFormat="false" ht="15" hidden="false" customHeight="false" outlineLevel="0" collapsed="false">
      <c r="A425" s="2" t="n">
        <v>37</v>
      </c>
      <c r="B425" s="2" t="s">
        <v>29</v>
      </c>
      <c r="C425" s="2" t="s">
        <v>30</v>
      </c>
      <c r="D425" s="2" t="s">
        <v>31</v>
      </c>
      <c r="E425" s="2" t="s">
        <v>20</v>
      </c>
      <c r="F425" s="2" t="n">
        <v>876</v>
      </c>
      <c r="G425" s="2" t="s">
        <v>26</v>
      </c>
      <c r="H425" s="2" t="s">
        <v>20</v>
      </c>
      <c r="I425" s="2" t="s">
        <v>21</v>
      </c>
      <c r="J425" s="2" t="n">
        <v>15</v>
      </c>
      <c r="K425" s="2" t="s">
        <v>32</v>
      </c>
      <c r="L425" s="2" t="n">
        <v>140</v>
      </c>
      <c r="M425" s="2" t="n">
        <v>4</v>
      </c>
      <c r="N425" s="2" t="n">
        <v>327</v>
      </c>
      <c r="O425" s="2" t="n">
        <v>2</v>
      </c>
      <c r="P425" s="2" t="s">
        <v>28</v>
      </c>
      <c r="Q425" s="2" t="s">
        <v>20</v>
      </c>
    </row>
    <row r="426" customFormat="false" ht="15" hidden="false" customHeight="false" outlineLevel="0" collapsed="false">
      <c r="A426" s="2" t="n">
        <v>36</v>
      </c>
      <c r="B426" s="2" t="s">
        <v>24</v>
      </c>
      <c r="C426" s="2" t="s">
        <v>30</v>
      </c>
      <c r="D426" s="2" t="s">
        <v>25</v>
      </c>
      <c r="E426" s="2" t="s">
        <v>20</v>
      </c>
      <c r="F426" s="2" t="n">
        <v>342</v>
      </c>
      <c r="G426" s="2" t="s">
        <v>26</v>
      </c>
      <c r="H426" s="2" t="s">
        <v>20</v>
      </c>
      <c r="I426" s="2" t="s">
        <v>23</v>
      </c>
      <c r="J426" s="2" t="n">
        <v>7</v>
      </c>
      <c r="K426" s="2" t="s">
        <v>27</v>
      </c>
      <c r="L426" s="2" t="n">
        <v>142</v>
      </c>
      <c r="M426" s="2" t="n">
        <v>1</v>
      </c>
      <c r="N426" s="2" t="n">
        <v>-1</v>
      </c>
      <c r="O426" s="2" t="n">
        <v>0</v>
      </c>
      <c r="P426" s="2" t="s">
        <v>23</v>
      </c>
      <c r="Q426" s="2" t="s">
        <v>20</v>
      </c>
    </row>
    <row r="427" customFormat="false" ht="15" hidden="false" customHeight="false" outlineLevel="0" collapsed="false">
      <c r="A427" s="2" t="n">
        <v>29</v>
      </c>
      <c r="B427" s="2" t="s">
        <v>34</v>
      </c>
      <c r="C427" s="2" t="s">
        <v>30</v>
      </c>
      <c r="D427" s="2" t="s">
        <v>19</v>
      </c>
      <c r="E427" s="2" t="s">
        <v>20</v>
      </c>
      <c r="F427" s="2" t="n">
        <v>950</v>
      </c>
      <c r="G427" s="2" t="s">
        <v>26</v>
      </c>
      <c r="H427" s="2" t="s">
        <v>20</v>
      </c>
      <c r="I427" s="2" t="s">
        <v>23</v>
      </c>
      <c r="J427" s="2" t="n">
        <v>4</v>
      </c>
      <c r="K427" s="2" t="s">
        <v>33</v>
      </c>
      <c r="L427" s="2" t="n">
        <v>135</v>
      </c>
      <c r="M427" s="2" t="n">
        <v>3</v>
      </c>
      <c r="N427" s="2" t="n">
        <v>-1</v>
      </c>
      <c r="O427" s="2" t="n">
        <v>0</v>
      </c>
      <c r="P427" s="2" t="s">
        <v>23</v>
      </c>
      <c r="Q427" s="2" t="s">
        <v>20</v>
      </c>
    </row>
    <row r="428" customFormat="false" ht="15" hidden="false" customHeight="false" outlineLevel="0" collapsed="false">
      <c r="A428" s="2" t="n">
        <v>36</v>
      </c>
      <c r="B428" s="2" t="s">
        <v>34</v>
      </c>
      <c r="C428" s="2" t="s">
        <v>18</v>
      </c>
      <c r="D428" s="2" t="s">
        <v>19</v>
      </c>
      <c r="E428" s="2" t="s">
        <v>20</v>
      </c>
      <c r="F428" s="2" t="n">
        <v>973</v>
      </c>
      <c r="G428" s="2" t="s">
        <v>26</v>
      </c>
      <c r="H428" s="2" t="s">
        <v>26</v>
      </c>
      <c r="I428" s="2" t="s">
        <v>23</v>
      </c>
      <c r="J428" s="2" t="n">
        <v>23</v>
      </c>
      <c r="K428" s="2" t="s">
        <v>27</v>
      </c>
      <c r="L428" s="2" t="n">
        <v>293</v>
      </c>
      <c r="M428" s="2" t="n">
        <v>1</v>
      </c>
      <c r="N428" s="2" t="n">
        <v>-1</v>
      </c>
      <c r="O428" s="2" t="n">
        <v>0</v>
      </c>
      <c r="P428" s="2" t="s">
        <v>23</v>
      </c>
      <c r="Q428" s="2" t="s">
        <v>20</v>
      </c>
    </row>
    <row r="429" customFormat="false" ht="15" hidden="false" customHeight="false" outlineLevel="0" collapsed="false">
      <c r="A429" s="2" t="n">
        <v>26</v>
      </c>
      <c r="B429" s="2" t="s">
        <v>38</v>
      </c>
      <c r="C429" s="2" t="s">
        <v>18</v>
      </c>
      <c r="D429" s="2" t="s">
        <v>31</v>
      </c>
      <c r="E429" s="2" t="s">
        <v>20</v>
      </c>
      <c r="F429" s="2" t="n">
        <v>3825</v>
      </c>
      <c r="G429" s="2" t="s">
        <v>26</v>
      </c>
      <c r="H429" s="2" t="s">
        <v>20</v>
      </c>
      <c r="I429" s="2" t="s">
        <v>23</v>
      </c>
      <c r="J429" s="2" t="n">
        <v>13</v>
      </c>
      <c r="K429" s="2" t="s">
        <v>27</v>
      </c>
      <c r="L429" s="2" t="n">
        <v>107</v>
      </c>
      <c r="M429" s="2" t="n">
        <v>1</v>
      </c>
      <c r="N429" s="2" t="n">
        <v>-1</v>
      </c>
      <c r="O429" s="2" t="n">
        <v>0</v>
      </c>
      <c r="P429" s="2" t="s">
        <v>23</v>
      </c>
      <c r="Q429" s="2" t="s">
        <v>20</v>
      </c>
    </row>
    <row r="430" customFormat="false" ht="15" hidden="false" customHeight="false" outlineLevel="0" collapsed="false">
      <c r="A430" s="2" t="n">
        <v>32</v>
      </c>
      <c r="B430" s="2" t="s">
        <v>34</v>
      </c>
      <c r="C430" s="2" t="s">
        <v>18</v>
      </c>
      <c r="D430" s="2" t="s">
        <v>25</v>
      </c>
      <c r="E430" s="2" t="s">
        <v>20</v>
      </c>
      <c r="F430" s="2" t="n">
        <v>2366</v>
      </c>
      <c r="G430" s="2" t="s">
        <v>26</v>
      </c>
      <c r="H430" s="2" t="s">
        <v>20</v>
      </c>
      <c r="I430" s="2" t="s">
        <v>23</v>
      </c>
      <c r="J430" s="2" t="n">
        <v>20</v>
      </c>
      <c r="K430" s="2" t="s">
        <v>27</v>
      </c>
      <c r="L430" s="2" t="n">
        <v>127</v>
      </c>
      <c r="M430" s="2" t="n">
        <v>2</v>
      </c>
      <c r="N430" s="2" t="n">
        <v>-1</v>
      </c>
      <c r="O430" s="2" t="n">
        <v>0</v>
      </c>
      <c r="P430" s="2" t="s">
        <v>23</v>
      </c>
      <c r="Q430" s="2" t="s">
        <v>20</v>
      </c>
    </row>
    <row r="431" customFormat="false" ht="15" hidden="false" customHeight="false" outlineLevel="0" collapsed="false">
      <c r="A431" s="2" t="n">
        <v>40</v>
      </c>
      <c r="B431" s="2" t="s">
        <v>29</v>
      </c>
      <c r="C431" s="2" t="s">
        <v>18</v>
      </c>
      <c r="D431" s="2" t="s">
        <v>31</v>
      </c>
      <c r="E431" s="2" t="s">
        <v>20</v>
      </c>
      <c r="F431" s="2" t="n">
        <v>542</v>
      </c>
      <c r="G431" s="2" t="s">
        <v>26</v>
      </c>
      <c r="H431" s="2" t="s">
        <v>20</v>
      </c>
      <c r="I431" s="2" t="s">
        <v>21</v>
      </c>
      <c r="J431" s="2" t="n">
        <v>20</v>
      </c>
      <c r="K431" s="2" t="s">
        <v>46</v>
      </c>
      <c r="L431" s="2" t="n">
        <v>1816</v>
      </c>
      <c r="M431" s="2" t="n">
        <v>1</v>
      </c>
      <c r="N431" s="2" t="n">
        <v>-1</v>
      </c>
      <c r="O431" s="2" t="n">
        <v>0</v>
      </c>
      <c r="P431" s="2" t="s">
        <v>23</v>
      </c>
      <c r="Q431" s="2" t="s">
        <v>20</v>
      </c>
    </row>
    <row r="432" customFormat="false" ht="15" hidden="false" customHeight="false" outlineLevel="0" collapsed="false">
      <c r="A432" s="2" t="n">
        <v>53</v>
      </c>
      <c r="B432" s="2" t="s">
        <v>29</v>
      </c>
      <c r="C432" s="2" t="s">
        <v>18</v>
      </c>
      <c r="D432" s="2" t="s">
        <v>19</v>
      </c>
      <c r="E432" s="2" t="s">
        <v>20</v>
      </c>
      <c r="F432" s="2" t="n">
        <v>995</v>
      </c>
      <c r="G432" s="2" t="s">
        <v>20</v>
      </c>
      <c r="H432" s="2" t="s">
        <v>20</v>
      </c>
      <c r="I432" s="2" t="s">
        <v>21</v>
      </c>
      <c r="J432" s="2" t="n">
        <v>4</v>
      </c>
      <c r="K432" s="2" t="s">
        <v>35</v>
      </c>
      <c r="L432" s="2" t="n">
        <v>200</v>
      </c>
      <c r="M432" s="2" t="n">
        <v>3</v>
      </c>
      <c r="N432" s="2" t="n">
        <v>-1</v>
      </c>
      <c r="O432" s="2" t="n">
        <v>0</v>
      </c>
      <c r="P432" s="2" t="s">
        <v>23</v>
      </c>
      <c r="Q432" s="2" t="s">
        <v>20</v>
      </c>
    </row>
    <row r="433" customFormat="false" ht="15" hidden="false" customHeight="false" outlineLevel="0" collapsed="false">
      <c r="A433" s="2" t="n">
        <v>29</v>
      </c>
      <c r="B433" s="2" t="s">
        <v>29</v>
      </c>
      <c r="C433" s="2" t="s">
        <v>18</v>
      </c>
      <c r="D433" s="2" t="s">
        <v>31</v>
      </c>
      <c r="E433" s="2" t="s">
        <v>20</v>
      </c>
      <c r="F433" s="2" t="n">
        <v>20</v>
      </c>
      <c r="G433" s="2" t="s">
        <v>26</v>
      </c>
      <c r="H433" s="2" t="s">
        <v>20</v>
      </c>
      <c r="I433" s="2" t="s">
        <v>21</v>
      </c>
      <c r="J433" s="2" t="n">
        <v>12</v>
      </c>
      <c r="K433" s="2" t="s">
        <v>27</v>
      </c>
      <c r="L433" s="2" t="n">
        <v>418</v>
      </c>
      <c r="M433" s="2" t="n">
        <v>1</v>
      </c>
      <c r="N433" s="2" t="n">
        <v>-1</v>
      </c>
      <c r="O433" s="2" t="n">
        <v>0</v>
      </c>
      <c r="P433" s="2" t="s">
        <v>23</v>
      </c>
      <c r="Q433" s="2" t="s">
        <v>20</v>
      </c>
    </row>
    <row r="434" customFormat="false" ht="15" hidden="false" customHeight="false" outlineLevel="0" collapsed="false">
      <c r="A434" s="2" t="n">
        <v>34</v>
      </c>
      <c r="B434" s="2" t="s">
        <v>38</v>
      </c>
      <c r="C434" s="2" t="s">
        <v>30</v>
      </c>
      <c r="D434" s="2" t="s">
        <v>31</v>
      </c>
      <c r="E434" s="2" t="s">
        <v>20</v>
      </c>
      <c r="F434" s="2" t="n">
        <v>228</v>
      </c>
      <c r="G434" s="2" t="s">
        <v>26</v>
      </c>
      <c r="H434" s="2" t="s">
        <v>20</v>
      </c>
      <c r="I434" s="2" t="s">
        <v>21</v>
      </c>
      <c r="J434" s="2" t="n">
        <v>22</v>
      </c>
      <c r="K434" s="2" t="s">
        <v>44</v>
      </c>
      <c r="L434" s="2" t="n">
        <v>387</v>
      </c>
      <c r="M434" s="2" t="n">
        <v>4</v>
      </c>
      <c r="N434" s="2" t="n">
        <v>-1</v>
      </c>
      <c r="O434" s="2" t="n">
        <v>0</v>
      </c>
      <c r="P434" s="2" t="s">
        <v>23</v>
      </c>
      <c r="Q434" s="2" t="s">
        <v>20</v>
      </c>
    </row>
    <row r="435" customFormat="false" ht="15" hidden="false" customHeight="false" outlineLevel="0" collapsed="false">
      <c r="A435" s="2" t="n">
        <v>43</v>
      </c>
      <c r="B435" s="2" t="s">
        <v>34</v>
      </c>
      <c r="C435" s="2" t="s">
        <v>18</v>
      </c>
      <c r="D435" s="2" t="s">
        <v>25</v>
      </c>
      <c r="E435" s="2" t="s">
        <v>20</v>
      </c>
      <c r="F435" s="2" t="n">
        <v>130</v>
      </c>
      <c r="G435" s="2" t="s">
        <v>20</v>
      </c>
      <c r="H435" s="2" t="s">
        <v>20</v>
      </c>
      <c r="I435" s="2" t="s">
        <v>21</v>
      </c>
      <c r="J435" s="2" t="n">
        <v>5</v>
      </c>
      <c r="K435" s="2" t="s">
        <v>27</v>
      </c>
      <c r="L435" s="2" t="n">
        <v>156</v>
      </c>
      <c r="M435" s="2" t="n">
        <v>1</v>
      </c>
      <c r="N435" s="2" t="n">
        <v>337</v>
      </c>
      <c r="O435" s="2" t="n">
        <v>3</v>
      </c>
      <c r="P435" s="2" t="s">
        <v>28</v>
      </c>
      <c r="Q435" s="2" t="s">
        <v>20</v>
      </c>
    </row>
    <row r="436" customFormat="false" ht="15" hidden="false" customHeight="false" outlineLevel="0" collapsed="false">
      <c r="A436" s="2" t="n">
        <v>56</v>
      </c>
      <c r="B436" s="2" t="s">
        <v>29</v>
      </c>
      <c r="C436" s="2" t="s">
        <v>18</v>
      </c>
      <c r="D436" s="2" t="s">
        <v>31</v>
      </c>
      <c r="E436" s="2" t="s">
        <v>20</v>
      </c>
      <c r="F436" s="2" t="n">
        <v>217</v>
      </c>
      <c r="G436" s="2" t="s">
        <v>20</v>
      </c>
      <c r="H436" s="2" t="s">
        <v>26</v>
      </c>
      <c r="I436" s="2" t="s">
        <v>21</v>
      </c>
      <c r="J436" s="2" t="n">
        <v>21</v>
      </c>
      <c r="K436" s="2" t="s">
        <v>44</v>
      </c>
      <c r="L436" s="2" t="n">
        <v>121</v>
      </c>
      <c r="M436" s="2" t="n">
        <v>2</v>
      </c>
      <c r="N436" s="2" t="n">
        <v>-1</v>
      </c>
      <c r="O436" s="2" t="n">
        <v>0</v>
      </c>
      <c r="P436" s="2" t="s">
        <v>23</v>
      </c>
      <c r="Q436" s="2" t="s">
        <v>20</v>
      </c>
    </row>
    <row r="437" customFormat="false" ht="15" hidden="false" customHeight="false" outlineLevel="0" collapsed="false">
      <c r="A437" s="2" t="n">
        <v>55</v>
      </c>
      <c r="B437" s="2" t="s">
        <v>39</v>
      </c>
      <c r="C437" s="2" t="s">
        <v>45</v>
      </c>
      <c r="D437" s="2" t="s">
        <v>31</v>
      </c>
      <c r="E437" s="2" t="s">
        <v>20</v>
      </c>
      <c r="F437" s="2" t="n">
        <v>0</v>
      </c>
      <c r="G437" s="2" t="s">
        <v>20</v>
      </c>
      <c r="H437" s="2" t="s">
        <v>20</v>
      </c>
      <c r="I437" s="2" t="s">
        <v>23</v>
      </c>
      <c r="J437" s="2" t="n">
        <v>6</v>
      </c>
      <c r="K437" s="2" t="s">
        <v>33</v>
      </c>
      <c r="L437" s="2" t="n">
        <v>108</v>
      </c>
      <c r="M437" s="2" t="n">
        <v>2</v>
      </c>
      <c r="N437" s="2" t="n">
        <v>-1</v>
      </c>
      <c r="O437" s="2" t="n">
        <v>0</v>
      </c>
      <c r="P437" s="2" t="s">
        <v>23</v>
      </c>
      <c r="Q437" s="2" t="s">
        <v>20</v>
      </c>
    </row>
    <row r="438" customFormat="false" ht="15" hidden="false" customHeight="false" outlineLevel="0" collapsed="false">
      <c r="A438" s="2" t="n">
        <v>31</v>
      </c>
      <c r="B438" s="2" t="s">
        <v>36</v>
      </c>
      <c r="C438" s="2" t="s">
        <v>18</v>
      </c>
      <c r="D438" s="2" t="s">
        <v>31</v>
      </c>
      <c r="E438" s="2" t="s">
        <v>20</v>
      </c>
      <c r="F438" s="2" t="n">
        <v>259</v>
      </c>
      <c r="G438" s="2" t="s">
        <v>26</v>
      </c>
      <c r="H438" s="2" t="s">
        <v>20</v>
      </c>
      <c r="I438" s="2" t="s">
        <v>21</v>
      </c>
      <c r="J438" s="2" t="n">
        <v>7</v>
      </c>
      <c r="K438" s="2" t="s">
        <v>27</v>
      </c>
      <c r="L438" s="2" t="n">
        <v>47</v>
      </c>
      <c r="M438" s="2" t="n">
        <v>1</v>
      </c>
      <c r="N438" s="2" t="n">
        <v>-1</v>
      </c>
      <c r="O438" s="2" t="n">
        <v>0</v>
      </c>
      <c r="P438" s="2" t="s">
        <v>23</v>
      </c>
      <c r="Q438" s="2" t="s">
        <v>20</v>
      </c>
    </row>
    <row r="439" customFormat="false" ht="15" hidden="false" customHeight="false" outlineLevel="0" collapsed="false">
      <c r="A439" s="2" t="n">
        <v>27</v>
      </c>
      <c r="B439" s="2" t="s">
        <v>40</v>
      </c>
      <c r="C439" s="2" t="s">
        <v>30</v>
      </c>
      <c r="D439" s="2" t="s">
        <v>25</v>
      </c>
      <c r="E439" s="2" t="s">
        <v>20</v>
      </c>
      <c r="F439" s="2" t="n">
        <v>619</v>
      </c>
      <c r="G439" s="2" t="s">
        <v>26</v>
      </c>
      <c r="H439" s="2" t="s">
        <v>20</v>
      </c>
      <c r="I439" s="2" t="s">
        <v>21</v>
      </c>
      <c r="J439" s="2" t="n">
        <v>20</v>
      </c>
      <c r="K439" s="2" t="s">
        <v>32</v>
      </c>
      <c r="L439" s="2" t="n">
        <v>16</v>
      </c>
      <c r="M439" s="2" t="n">
        <v>5</v>
      </c>
      <c r="N439" s="2" t="n">
        <v>322</v>
      </c>
      <c r="O439" s="2" t="n">
        <v>4</v>
      </c>
      <c r="P439" s="2" t="s">
        <v>37</v>
      </c>
      <c r="Q439" s="2" t="s">
        <v>20</v>
      </c>
    </row>
    <row r="440" customFormat="false" ht="15" hidden="false" customHeight="false" outlineLevel="0" collapsed="false">
      <c r="A440" s="2" t="n">
        <v>36</v>
      </c>
      <c r="B440" s="2" t="s">
        <v>29</v>
      </c>
      <c r="C440" s="2" t="s">
        <v>18</v>
      </c>
      <c r="D440" s="2" t="s">
        <v>25</v>
      </c>
      <c r="E440" s="2" t="s">
        <v>20</v>
      </c>
      <c r="F440" s="2" t="n">
        <v>644</v>
      </c>
      <c r="G440" s="2" t="s">
        <v>26</v>
      </c>
      <c r="H440" s="2" t="s">
        <v>20</v>
      </c>
      <c r="I440" s="2" t="s">
        <v>21</v>
      </c>
      <c r="J440" s="2" t="n">
        <v>18</v>
      </c>
      <c r="K440" s="2" t="s">
        <v>46</v>
      </c>
      <c r="L440" s="2" t="n">
        <v>54</v>
      </c>
      <c r="M440" s="2" t="n">
        <v>2</v>
      </c>
      <c r="N440" s="2" t="n">
        <v>-1</v>
      </c>
      <c r="O440" s="2" t="n">
        <v>0</v>
      </c>
      <c r="P440" s="2" t="s">
        <v>23</v>
      </c>
      <c r="Q440" s="2" t="s">
        <v>20</v>
      </c>
    </row>
    <row r="441" customFormat="false" ht="15" hidden="false" customHeight="false" outlineLevel="0" collapsed="false">
      <c r="A441" s="2" t="n">
        <v>44</v>
      </c>
      <c r="B441" s="2" t="s">
        <v>29</v>
      </c>
      <c r="C441" s="2" t="s">
        <v>18</v>
      </c>
      <c r="D441" s="2" t="s">
        <v>31</v>
      </c>
      <c r="E441" s="2" t="s">
        <v>20</v>
      </c>
      <c r="F441" s="2" t="n">
        <v>22</v>
      </c>
      <c r="G441" s="2" t="s">
        <v>26</v>
      </c>
      <c r="H441" s="2" t="s">
        <v>20</v>
      </c>
      <c r="I441" s="2" t="s">
        <v>21</v>
      </c>
      <c r="J441" s="2" t="n">
        <v>6</v>
      </c>
      <c r="K441" s="2" t="s">
        <v>41</v>
      </c>
      <c r="L441" s="2" t="n">
        <v>265</v>
      </c>
      <c r="M441" s="2" t="n">
        <v>2</v>
      </c>
      <c r="N441" s="2" t="n">
        <v>-1</v>
      </c>
      <c r="O441" s="2" t="n">
        <v>0</v>
      </c>
      <c r="P441" s="2" t="s">
        <v>23</v>
      </c>
      <c r="Q441" s="2" t="s">
        <v>20</v>
      </c>
    </row>
    <row r="442" customFormat="false" ht="15" hidden="false" customHeight="false" outlineLevel="0" collapsed="false">
      <c r="A442" s="2" t="n">
        <v>37</v>
      </c>
      <c r="B442" s="2" t="s">
        <v>40</v>
      </c>
      <c r="C442" s="2" t="s">
        <v>45</v>
      </c>
      <c r="D442" s="2" t="s">
        <v>31</v>
      </c>
      <c r="E442" s="2" t="s">
        <v>20</v>
      </c>
      <c r="F442" s="2" t="n">
        <v>4303</v>
      </c>
      <c r="G442" s="2" t="s">
        <v>26</v>
      </c>
      <c r="H442" s="2" t="s">
        <v>20</v>
      </c>
      <c r="I442" s="2" t="s">
        <v>23</v>
      </c>
      <c r="J442" s="2" t="n">
        <v>23</v>
      </c>
      <c r="K442" s="2" t="s">
        <v>27</v>
      </c>
      <c r="L442" s="2" t="n">
        <v>168</v>
      </c>
      <c r="M442" s="2" t="n">
        <v>1</v>
      </c>
      <c r="N442" s="2" t="n">
        <v>-1</v>
      </c>
      <c r="O442" s="2" t="n">
        <v>0</v>
      </c>
      <c r="P442" s="2" t="s">
        <v>23</v>
      </c>
      <c r="Q442" s="2" t="s">
        <v>20</v>
      </c>
    </row>
    <row r="443" customFormat="false" ht="15" hidden="false" customHeight="false" outlineLevel="0" collapsed="false">
      <c r="A443" s="2" t="n">
        <v>30</v>
      </c>
      <c r="B443" s="2" t="s">
        <v>40</v>
      </c>
      <c r="C443" s="2" t="s">
        <v>30</v>
      </c>
      <c r="D443" s="2" t="s">
        <v>25</v>
      </c>
      <c r="E443" s="2" t="s">
        <v>20</v>
      </c>
      <c r="F443" s="2" t="n">
        <v>239</v>
      </c>
      <c r="G443" s="2" t="s">
        <v>26</v>
      </c>
      <c r="H443" s="2" t="s">
        <v>20</v>
      </c>
      <c r="I443" s="2" t="s">
        <v>21</v>
      </c>
      <c r="J443" s="2" t="n">
        <v>7</v>
      </c>
      <c r="K443" s="2" t="s">
        <v>27</v>
      </c>
      <c r="L443" s="2" t="n">
        <v>115</v>
      </c>
      <c r="M443" s="2" t="n">
        <v>3</v>
      </c>
      <c r="N443" s="2" t="n">
        <v>-1</v>
      </c>
      <c r="O443" s="2" t="n">
        <v>0</v>
      </c>
      <c r="P443" s="2" t="s">
        <v>23</v>
      </c>
      <c r="Q443" s="2" t="s">
        <v>20</v>
      </c>
    </row>
    <row r="444" customFormat="false" ht="15" hidden="false" customHeight="false" outlineLevel="0" collapsed="false">
      <c r="A444" s="2" t="n">
        <v>42</v>
      </c>
      <c r="B444" s="2" t="s">
        <v>38</v>
      </c>
      <c r="C444" s="2" t="s">
        <v>30</v>
      </c>
      <c r="D444" s="2" t="s">
        <v>25</v>
      </c>
      <c r="E444" s="2" t="s">
        <v>20</v>
      </c>
      <c r="F444" s="2" t="n">
        <v>275</v>
      </c>
      <c r="G444" s="2" t="s">
        <v>20</v>
      </c>
      <c r="H444" s="2" t="s">
        <v>20</v>
      </c>
      <c r="I444" s="2" t="s">
        <v>21</v>
      </c>
      <c r="J444" s="2" t="n">
        <v>26</v>
      </c>
      <c r="K444" s="2" t="s">
        <v>41</v>
      </c>
      <c r="L444" s="2" t="n">
        <v>31</v>
      </c>
      <c r="M444" s="2" t="n">
        <v>8</v>
      </c>
      <c r="N444" s="2" t="n">
        <v>-1</v>
      </c>
      <c r="O444" s="2" t="n">
        <v>0</v>
      </c>
      <c r="P444" s="2" t="s">
        <v>23</v>
      </c>
      <c r="Q444" s="2" t="s">
        <v>20</v>
      </c>
    </row>
    <row r="445" customFormat="false" ht="15" hidden="false" customHeight="false" outlineLevel="0" collapsed="false">
      <c r="A445" s="2" t="n">
        <v>30</v>
      </c>
      <c r="B445" s="2" t="s">
        <v>29</v>
      </c>
      <c r="C445" s="2" t="s">
        <v>18</v>
      </c>
      <c r="D445" s="2" t="s">
        <v>31</v>
      </c>
      <c r="E445" s="2" t="s">
        <v>20</v>
      </c>
      <c r="F445" s="2" t="n">
        <v>1221</v>
      </c>
      <c r="G445" s="2" t="s">
        <v>26</v>
      </c>
      <c r="H445" s="2" t="s">
        <v>20</v>
      </c>
      <c r="I445" s="2" t="s">
        <v>49</v>
      </c>
      <c r="J445" s="2" t="n">
        <v>25</v>
      </c>
      <c r="K445" s="2" t="s">
        <v>44</v>
      </c>
      <c r="L445" s="2" t="n">
        <v>279</v>
      </c>
      <c r="M445" s="2" t="n">
        <v>4</v>
      </c>
      <c r="N445" s="2" t="n">
        <v>-1</v>
      </c>
      <c r="O445" s="2" t="n">
        <v>0</v>
      </c>
      <c r="P445" s="2" t="s">
        <v>23</v>
      </c>
      <c r="Q445" s="2" t="s">
        <v>26</v>
      </c>
    </row>
    <row r="446" customFormat="false" ht="15" hidden="false" customHeight="false" outlineLevel="0" collapsed="false">
      <c r="A446" s="2" t="n">
        <v>62</v>
      </c>
      <c r="B446" s="2" t="s">
        <v>48</v>
      </c>
      <c r="C446" s="2" t="s">
        <v>18</v>
      </c>
      <c r="D446" s="2" t="s">
        <v>25</v>
      </c>
      <c r="E446" s="2" t="s">
        <v>20</v>
      </c>
      <c r="F446" s="2" t="n">
        <v>816</v>
      </c>
      <c r="G446" s="2" t="s">
        <v>20</v>
      </c>
      <c r="H446" s="2" t="s">
        <v>20</v>
      </c>
      <c r="I446" s="2" t="s">
        <v>21</v>
      </c>
      <c r="J446" s="2" t="n">
        <v>1</v>
      </c>
      <c r="K446" s="2" t="s">
        <v>51</v>
      </c>
      <c r="L446" s="2" t="n">
        <v>28</v>
      </c>
      <c r="M446" s="2" t="n">
        <v>2</v>
      </c>
      <c r="N446" s="2" t="n">
        <v>-1</v>
      </c>
      <c r="O446" s="2" t="n">
        <v>0</v>
      </c>
      <c r="P446" s="2" t="s">
        <v>23</v>
      </c>
      <c r="Q446" s="2" t="s">
        <v>20</v>
      </c>
    </row>
    <row r="447" customFormat="false" ht="15" hidden="false" customHeight="false" outlineLevel="0" collapsed="false">
      <c r="A447" s="2" t="n">
        <v>24</v>
      </c>
      <c r="B447" s="2" t="s">
        <v>34</v>
      </c>
      <c r="C447" s="2" t="s">
        <v>18</v>
      </c>
      <c r="D447" s="2" t="s">
        <v>25</v>
      </c>
      <c r="E447" s="2" t="s">
        <v>20</v>
      </c>
      <c r="F447" s="2" t="n">
        <v>1222</v>
      </c>
      <c r="G447" s="2" t="s">
        <v>26</v>
      </c>
      <c r="H447" s="2" t="s">
        <v>20</v>
      </c>
      <c r="I447" s="2" t="s">
        <v>21</v>
      </c>
      <c r="J447" s="2" t="n">
        <v>20</v>
      </c>
      <c r="K447" s="2" t="s">
        <v>32</v>
      </c>
      <c r="L447" s="2" t="n">
        <v>369</v>
      </c>
      <c r="M447" s="2" t="n">
        <v>1</v>
      </c>
      <c r="N447" s="2" t="n">
        <v>-1</v>
      </c>
      <c r="O447" s="2" t="n">
        <v>0</v>
      </c>
      <c r="P447" s="2" t="s">
        <v>23</v>
      </c>
      <c r="Q447" s="2" t="s">
        <v>20</v>
      </c>
    </row>
    <row r="448" customFormat="false" ht="15" hidden="false" customHeight="false" outlineLevel="0" collapsed="false">
      <c r="A448" s="2" t="n">
        <v>31</v>
      </c>
      <c r="B448" s="2" t="s">
        <v>38</v>
      </c>
      <c r="C448" s="2" t="s">
        <v>18</v>
      </c>
      <c r="D448" s="2" t="s">
        <v>25</v>
      </c>
      <c r="E448" s="2" t="s">
        <v>20</v>
      </c>
      <c r="F448" s="2" t="n">
        <v>2363</v>
      </c>
      <c r="G448" s="2" t="s">
        <v>26</v>
      </c>
      <c r="H448" s="2" t="s">
        <v>20</v>
      </c>
      <c r="I448" s="2" t="s">
        <v>23</v>
      </c>
      <c r="J448" s="2" t="n">
        <v>13</v>
      </c>
      <c r="K448" s="2" t="s">
        <v>27</v>
      </c>
      <c r="L448" s="2" t="n">
        <v>247</v>
      </c>
      <c r="M448" s="2" t="n">
        <v>1</v>
      </c>
      <c r="N448" s="2" t="n">
        <v>-1</v>
      </c>
      <c r="O448" s="2" t="n">
        <v>0</v>
      </c>
      <c r="P448" s="2" t="s">
        <v>23</v>
      </c>
      <c r="Q448" s="2" t="s">
        <v>20</v>
      </c>
    </row>
    <row r="449" customFormat="false" ht="15" hidden="false" customHeight="false" outlineLevel="0" collapsed="false">
      <c r="A449" s="2" t="n">
        <v>66</v>
      </c>
      <c r="B449" s="2" t="s">
        <v>48</v>
      </c>
      <c r="C449" s="2" t="s">
        <v>18</v>
      </c>
      <c r="D449" s="2" t="s">
        <v>31</v>
      </c>
      <c r="E449" s="2" t="s">
        <v>20</v>
      </c>
      <c r="F449" s="2" t="n">
        <v>2262</v>
      </c>
      <c r="G449" s="2" t="s">
        <v>20</v>
      </c>
      <c r="H449" s="2" t="s">
        <v>20</v>
      </c>
      <c r="I449" s="2" t="s">
        <v>21</v>
      </c>
      <c r="J449" s="2" t="n">
        <v>22</v>
      </c>
      <c r="K449" s="2" t="s">
        <v>32</v>
      </c>
      <c r="L449" s="2" t="n">
        <v>155</v>
      </c>
      <c r="M449" s="2" t="n">
        <v>1</v>
      </c>
      <c r="N449" s="2" t="n">
        <v>-1</v>
      </c>
      <c r="O449" s="2" t="n">
        <v>0</v>
      </c>
      <c r="P449" s="2" t="s">
        <v>23</v>
      </c>
      <c r="Q449" s="2" t="s">
        <v>20</v>
      </c>
    </row>
    <row r="450" customFormat="false" ht="15" hidden="false" customHeight="false" outlineLevel="0" collapsed="false">
      <c r="A450" s="2" t="n">
        <v>47</v>
      </c>
      <c r="B450" s="2" t="s">
        <v>40</v>
      </c>
      <c r="C450" s="2" t="s">
        <v>18</v>
      </c>
      <c r="D450" s="2" t="s">
        <v>25</v>
      </c>
      <c r="E450" s="2" t="s">
        <v>20</v>
      </c>
      <c r="F450" s="2" t="n">
        <v>2</v>
      </c>
      <c r="G450" s="2" t="s">
        <v>20</v>
      </c>
      <c r="H450" s="2" t="s">
        <v>20</v>
      </c>
      <c r="I450" s="2" t="s">
        <v>21</v>
      </c>
      <c r="J450" s="2" t="n">
        <v>10</v>
      </c>
      <c r="K450" s="2" t="s">
        <v>44</v>
      </c>
      <c r="L450" s="2" t="n">
        <v>89</v>
      </c>
      <c r="M450" s="2" t="n">
        <v>1</v>
      </c>
      <c r="N450" s="2" t="n">
        <v>-1</v>
      </c>
      <c r="O450" s="2" t="n">
        <v>0</v>
      </c>
      <c r="P450" s="2" t="s">
        <v>23</v>
      </c>
      <c r="Q450" s="2" t="s">
        <v>20</v>
      </c>
    </row>
    <row r="451" customFormat="false" ht="15" hidden="false" customHeight="false" outlineLevel="0" collapsed="false">
      <c r="A451" s="2" t="n">
        <v>39</v>
      </c>
      <c r="B451" s="2" t="s">
        <v>39</v>
      </c>
      <c r="C451" s="2" t="s">
        <v>18</v>
      </c>
      <c r="D451" s="2" t="s">
        <v>31</v>
      </c>
      <c r="E451" s="2" t="s">
        <v>20</v>
      </c>
      <c r="F451" s="2" t="n">
        <v>2</v>
      </c>
      <c r="G451" s="2" t="s">
        <v>26</v>
      </c>
      <c r="H451" s="2" t="s">
        <v>20</v>
      </c>
      <c r="I451" s="2" t="s">
        <v>21</v>
      </c>
      <c r="J451" s="2" t="n">
        <v>17</v>
      </c>
      <c r="K451" s="2" t="s">
        <v>46</v>
      </c>
      <c r="L451" s="2" t="n">
        <v>180</v>
      </c>
      <c r="M451" s="2" t="n">
        <v>1</v>
      </c>
      <c r="N451" s="2" t="n">
        <v>-1</v>
      </c>
      <c r="O451" s="2" t="n">
        <v>0</v>
      </c>
      <c r="P451" s="2" t="s">
        <v>23</v>
      </c>
      <c r="Q451" s="2" t="s">
        <v>20</v>
      </c>
    </row>
    <row r="452" customFormat="false" ht="15" hidden="false" customHeight="false" outlineLevel="0" collapsed="false">
      <c r="A452" s="2" t="n">
        <v>35</v>
      </c>
      <c r="B452" s="2" t="s">
        <v>38</v>
      </c>
      <c r="C452" s="2" t="s">
        <v>18</v>
      </c>
      <c r="D452" s="2" t="s">
        <v>25</v>
      </c>
      <c r="E452" s="2" t="s">
        <v>20</v>
      </c>
      <c r="F452" s="2" t="n">
        <v>4508</v>
      </c>
      <c r="G452" s="2" t="s">
        <v>26</v>
      </c>
      <c r="H452" s="2" t="s">
        <v>20</v>
      </c>
      <c r="I452" s="2" t="s">
        <v>21</v>
      </c>
      <c r="J452" s="2" t="n">
        <v>18</v>
      </c>
      <c r="K452" s="2" t="s">
        <v>46</v>
      </c>
      <c r="L452" s="2" t="n">
        <v>854</v>
      </c>
      <c r="M452" s="2" t="n">
        <v>1</v>
      </c>
      <c r="N452" s="2" t="n">
        <v>-1</v>
      </c>
      <c r="O452" s="2" t="n">
        <v>0</v>
      </c>
      <c r="P452" s="2" t="s">
        <v>23</v>
      </c>
      <c r="Q452" s="2" t="s">
        <v>26</v>
      </c>
    </row>
    <row r="453" customFormat="false" ht="15" hidden="false" customHeight="false" outlineLevel="0" collapsed="false">
      <c r="A453" s="2" t="n">
        <v>35</v>
      </c>
      <c r="B453" s="2" t="s">
        <v>40</v>
      </c>
      <c r="C453" s="2" t="s">
        <v>45</v>
      </c>
      <c r="D453" s="2" t="s">
        <v>25</v>
      </c>
      <c r="E453" s="2" t="s">
        <v>20</v>
      </c>
      <c r="F453" s="2" t="n">
        <v>-402</v>
      </c>
      <c r="G453" s="2" t="s">
        <v>26</v>
      </c>
      <c r="H453" s="2" t="s">
        <v>20</v>
      </c>
      <c r="I453" s="2" t="s">
        <v>21</v>
      </c>
      <c r="J453" s="2" t="n">
        <v>17</v>
      </c>
      <c r="K453" s="2" t="s">
        <v>32</v>
      </c>
      <c r="L453" s="2" t="n">
        <v>46</v>
      </c>
      <c r="M453" s="2" t="n">
        <v>1</v>
      </c>
      <c r="N453" s="2" t="n">
        <v>-1</v>
      </c>
      <c r="O453" s="2" t="n">
        <v>0</v>
      </c>
      <c r="P453" s="2" t="s">
        <v>23</v>
      </c>
      <c r="Q453" s="2" t="s">
        <v>20</v>
      </c>
    </row>
    <row r="454" customFormat="false" ht="15" hidden="false" customHeight="false" outlineLevel="0" collapsed="false">
      <c r="A454" s="2" t="n">
        <v>27</v>
      </c>
      <c r="B454" s="2" t="s">
        <v>38</v>
      </c>
      <c r="C454" s="2" t="s">
        <v>18</v>
      </c>
      <c r="D454" s="2" t="s">
        <v>25</v>
      </c>
      <c r="E454" s="2" t="s">
        <v>20</v>
      </c>
      <c r="F454" s="2" t="n">
        <v>1577</v>
      </c>
      <c r="G454" s="2" t="s">
        <v>26</v>
      </c>
      <c r="H454" s="2" t="s">
        <v>26</v>
      </c>
      <c r="I454" s="2" t="s">
        <v>23</v>
      </c>
      <c r="J454" s="2" t="n">
        <v>28</v>
      </c>
      <c r="K454" s="2" t="s">
        <v>27</v>
      </c>
      <c r="L454" s="2" t="n">
        <v>266</v>
      </c>
      <c r="M454" s="2" t="n">
        <v>2</v>
      </c>
      <c r="N454" s="2" t="n">
        <v>-1</v>
      </c>
      <c r="O454" s="2" t="n">
        <v>0</v>
      </c>
      <c r="P454" s="2" t="s">
        <v>23</v>
      </c>
      <c r="Q454" s="2" t="s">
        <v>20</v>
      </c>
    </row>
    <row r="455" customFormat="false" ht="15" hidden="false" customHeight="false" outlineLevel="0" collapsed="false">
      <c r="A455" s="2" t="n">
        <v>32</v>
      </c>
      <c r="B455" s="2" t="s">
        <v>34</v>
      </c>
      <c r="C455" s="2" t="s">
        <v>18</v>
      </c>
      <c r="D455" s="2" t="s">
        <v>25</v>
      </c>
      <c r="E455" s="2" t="s">
        <v>20</v>
      </c>
      <c r="F455" s="2" t="n">
        <v>34</v>
      </c>
      <c r="G455" s="2" t="s">
        <v>26</v>
      </c>
      <c r="H455" s="2" t="s">
        <v>20</v>
      </c>
      <c r="I455" s="2" t="s">
        <v>21</v>
      </c>
      <c r="J455" s="2" t="n">
        <v>5</v>
      </c>
      <c r="K455" s="2" t="s">
        <v>27</v>
      </c>
      <c r="L455" s="2" t="n">
        <v>321</v>
      </c>
      <c r="M455" s="2" t="n">
        <v>2</v>
      </c>
      <c r="N455" s="2" t="n">
        <v>-1</v>
      </c>
      <c r="O455" s="2" t="n">
        <v>0</v>
      </c>
      <c r="P455" s="2" t="s">
        <v>23</v>
      </c>
      <c r="Q455" s="2" t="s">
        <v>20</v>
      </c>
    </row>
    <row r="456" customFormat="false" ht="15" hidden="false" customHeight="false" outlineLevel="0" collapsed="false">
      <c r="A456" s="2" t="n">
        <v>44</v>
      </c>
      <c r="B456" s="2" t="s">
        <v>29</v>
      </c>
      <c r="C456" s="2" t="s">
        <v>18</v>
      </c>
      <c r="D456" s="2" t="s">
        <v>31</v>
      </c>
      <c r="E456" s="2" t="s">
        <v>20</v>
      </c>
      <c r="F456" s="2" t="n">
        <v>795</v>
      </c>
      <c r="G456" s="2" t="s">
        <v>20</v>
      </c>
      <c r="H456" s="2" t="s">
        <v>20</v>
      </c>
      <c r="I456" s="2" t="s">
        <v>21</v>
      </c>
      <c r="J456" s="2" t="n">
        <v>28</v>
      </c>
      <c r="K456" s="2" t="s">
        <v>41</v>
      </c>
      <c r="L456" s="2" t="n">
        <v>99</v>
      </c>
      <c r="M456" s="2" t="n">
        <v>24</v>
      </c>
      <c r="N456" s="2" t="n">
        <v>-1</v>
      </c>
      <c r="O456" s="2" t="n">
        <v>0</v>
      </c>
      <c r="P456" s="2" t="s">
        <v>23</v>
      </c>
      <c r="Q456" s="2" t="s">
        <v>20</v>
      </c>
    </row>
    <row r="457" customFormat="false" ht="15" hidden="false" customHeight="false" outlineLevel="0" collapsed="false">
      <c r="A457" s="2" t="n">
        <v>42</v>
      </c>
      <c r="B457" s="2" t="s">
        <v>34</v>
      </c>
      <c r="C457" s="2" t="s">
        <v>18</v>
      </c>
      <c r="D457" s="2" t="s">
        <v>25</v>
      </c>
      <c r="E457" s="2" t="s">
        <v>20</v>
      </c>
      <c r="F457" s="2" t="n">
        <v>117</v>
      </c>
      <c r="G457" s="2" t="s">
        <v>26</v>
      </c>
      <c r="H457" s="2" t="s">
        <v>20</v>
      </c>
      <c r="I457" s="2" t="s">
        <v>23</v>
      </c>
      <c r="J457" s="2" t="n">
        <v>9</v>
      </c>
      <c r="K457" s="2" t="s">
        <v>27</v>
      </c>
      <c r="L457" s="2" t="n">
        <v>147</v>
      </c>
      <c r="M457" s="2" t="n">
        <v>1</v>
      </c>
      <c r="N457" s="2" t="n">
        <v>-1</v>
      </c>
      <c r="O457" s="2" t="n">
        <v>0</v>
      </c>
      <c r="P457" s="2" t="s">
        <v>23</v>
      </c>
      <c r="Q457" s="2" t="s">
        <v>20</v>
      </c>
    </row>
    <row r="458" customFormat="false" ht="15" hidden="false" customHeight="false" outlineLevel="0" collapsed="false">
      <c r="A458" s="2" t="n">
        <v>34</v>
      </c>
      <c r="B458" s="2" t="s">
        <v>36</v>
      </c>
      <c r="C458" s="2" t="s">
        <v>30</v>
      </c>
      <c r="D458" s="2" t="s">
        <v>31</v>
      </c>
      <c r="E458" s="2" t="s">
        <v>20</v>
      </c>
      <c r="F458" s="2" t="n">
        <v>5462</v>
      </c>
      <c r="G458" s="2" t="s">
        <v>20</v>
      </c>
      <c r="H458" s="2" t="s">
        <v>20</v>
      </c>
      <c r="I458" s="2" t="s">
        <v>21</v>
      </c>
      <c r="J458" s="2" t="n">
        <v>30</v>
      </c>
      <c r="K458" s="2" t="s">
        <v>32</v>
      </c>
      <c r="L458" s="2" t="n">
        <v>430</v>
      </c>
      <c r="M458" s="2" t="n">
        <v>1</v>
      </c>
      <c r="N458" s="2" t="n">
        <v>-1</v>
      </c>
      <c r="O458" s="2" t="n">
        <v>0</v>
      </c>
      <c r="P458" s="2" t="s">
        <v>23</v>
      </c>
      <c r="Q458" s="2" t="s">
        <v>26</v>
      </c>
    </row>
    <row r="459" customFormat="false" ht="15" hidden="false" customHeight="false" outlineLevel="0" collapsed="false">
      <c r="A459" s="2" t="n">
        <v>25</v>
      </c>
      <c r="B459" s="2" t="s">
        <v>24</v>
      </c>
      <c r="C459" s="2" t="s">
        <v>30</v>
      </c>
      <c r="D459" s="2" t="s">
        <v>25</v>
      </c>
      <c r="E459" s="2" t="s">
        <v>20</v>
      </c>
      <c r="F459" s="2" t="n">
        <v>402</v>
      </c>
      <c r="G459" s="2" t="s">
        <v>20</v>
      </c>
      <c r="H459" s="2" t="s">
        <v>26</v>
      </c>
      <c r="I459" s="2" t="s">
        <v>21</v>
      </c>
      <c r="J459" s="2" t="n">
        <v>7</v>
      </c>
      <c r="K459" s="2" t="s">
        <v>44</v>
      </c>
      <c r="L459" s="2" t="n">
        <v>264</v>
      </c>
      <c r="M459" s="2" t="n">
        <v>1</v>
      </c>
      <c r="N459" s="2" t="n">
        <v>-1</v>
      </c>
      <c r="O459" s="2" t="n">
        <v>0</v>
      </c>
      <c r="P459" s="2" t="s">
        <v>23</v>
      </c>
      <c r="Q459" s="2" t="s">
        <v>20</v>
      </c>
    </row>
    <row r="460" customFormat="false" ht="15" hidden="false" customHeight="false" outlineLevel="0" collapsed="false">
      <c r="A460" s="2" t="n">
        <v>40</v>
      </c>
      <c r="B460" s="2" t="s">
        <v>38</v>
      </c>
      <c r="C460" s="2" t="s">
        <v>30</v>
      </c>
      <c r="D460" s="2" t="s">
        <v>25</v>
      </c>
      <c r="E460" s="2" t="s">
        <v>20</v>
      </c>
      <c r="F460" s="2" t="n">
        <v>641</v>
      </c>
      <c r="G460" s="2" t="s">
        <v>20</v>
      </c>
      <c r="H460" s="2" t="s">
        <v>20</v>
      </c>
      <c r="I460" s="2" t="s">
        <v>21</v>
      </c>
      <c r="J460" s="2" t="n">
        <v>16</v>
      </c>
      <c r="K460" s="2" t="s">
        <v>44</v>
      </c>
      <c r="L460" s="2" t="n">
        <v>156</v>
      </c>
      <c r="M460" s="2" t="n">
        <v>6</v>
      </c>
      <c r="N460" s="2" t="n">
        <v>-1</v>
      </c>
      <c r="O460" s="2" t="n">
        <v>0</v>
      </c>
      <c r="P460" s="2" t="s">
        <v>23</v>
      </c>
      <c r="Q460" s="2" t="s">
        <v>20</v>
      </c>
    </row>
    <row r="461" customFormat="false" ht="15" hidden="false" customHeight="false" outlineLevel="0" collapsed="false">
      <c r="A461" s="2" t="n">
        <v>43</v>
      </c>
      <c r="B461" s="2" t="s">
        <v>29</v>
      </c>
      <c r="C461" s="2" t="s">
        <v>45</v>
      </c>
      <c r="D461" s="2" t="s">
        <v>31</v>
      </c>
      <c r="E461" s="2" t="s">
        <v>20</v>
      </c>
      <c r="F461" s="2" t="n">
        <v>36</v>
      </c>
      <c r="G461" s="2" t="s">
        <v>20</v>
      </c>
      <c r="H461" s="2" t="s">
        <v>20</v>
      </c>
      <c r="I461" s="2" t="s">
        <v>21</v>
      </c>
      <c r="J461" s="2" t="n">
        <v>26</v>
      </c>
      <c r="K461" s="2" t="s">
        <v>27</v>
      </c>
      <c r="L461" s="2" t="n">
        <v>118</v>
      </c>
      <c r="M461" s="2" t="n">
        <v>1</v>
      </c>
      <c r="N461" s="2" t="n">
        <v>102</v>
      </c>
      <c r="O461" s="2" t="n">
        <v>2</v>
      </c>
      <c r="P461" s="2" t="s">
        <v>28</v>
      </c>
      <c r="Q461" s="2" t="s">
        <v>20</v>
      </c>
    </row>
    <row r="462" customFormat="false" ht="15" hidden="false" customHeight="false" outlineLevel="0" collapsed="false">
      <c r="A462" s="2" t="n">
        <v>55</v>
      </c>
      <c r="B462" s="2" t="s">
        <v>17</v>
      </c>
      <c r="C462" s="2" t="s">
        <v>18</v>
      </c>
      <c r="D462" s="2" t="s">
        <v>31</v>
      </c>
      <c r="E462" s="2" t="s">
        <v>20</v>
      </c>
      <c r="F462" s="2" t="n">
        <v>383</v>
      </c>
      <c r="G462" s="2" t="s">
        <v>20</v>
      </c>
      <c r="H462" s="2" t="s">
        <v>20</v>
      </c>
      <c r="I462" s="2" t="s">
        <v>23</v>
      </c>
      <c r="J462" s="2" t="n">
        <v>6</v>
      </c>
      <c r="K462" s="2" t="s">
        <v>27</v>
      </c>
      <c r="L462" s="2" t="n">
        <v>343</v>
      </c>
      <c r="M462" s="2" t="n">
        <v>3</v>
      </c>
      <c r="N462" s="2" t="n">
        <v>-1</v>
      </c>
      <c r="O462" s="2" t="n">
        <v>0</v>
      </c>
      <c r="P462" s="2" t="s">
        <v>23</v>
      </c>
      <c r="Q462" s="2" t="s">
        <v>20</v>
      </c>
    </row>
    <row r="463" customFormat="false" ht="15" hidden="false" customHeight="false" outlineLevel="0" collapsed="false">
      <c r="A463" s="2" t="n">
        <v>50</v>
      </c>
      <c r="B463" s="2" t="s">
        <v>34</v>
      </c>
      <c r="C463" s="2" t="s">
        <v>18</v>
      </c>
      <c r="D463" s="2" t="s">
        <v>25</v>
      </c>
      <c r="E463" s="2" t="s">
        <v>20</v>
      </c>
      <c r="F463" s="2" t="n">
        <v>283</v>
      </c>
      <c r="G463" s="2" t="s">
        <v>26</v>
      </c>
      <c r="H463" s="2" t="s">
        <v>20</v>
      </c>
      <c r="I463" s="2" t="s">
        <v>21</v>
      </c>
      <c r="J463" s="2" t="n">
        <v>7</v>
      </c>
      <c r="K463" s="2" t="s">
        <v>41</v>
      </c>
      <c r="L463" s="2" t="n">
        <v>226</v>
      </c>
      <c r="M463" s="2" t="n">
        <v>3</v>
      </c>
      <c r="N463" s="2" t="n">
        <v>-1</v>
      </c>
      <c r="O463" s="2" t="n">
        <v>0</v>
      </c>
      <c r="P463" s="2" t="s">
        <v>23</v>
      </c>
      <c r="Q463" s="2" t="s">
        <v>20</v>
      </c>
    </row>
    <row r="464" customFormat="false" ht="15" hidden="false" customHeight="false" outlineLevel="0" collapsed="false">
      <c r="A464" s="2" t="n">
        <v>45</v>
      </c>
      <c r="B464" s="2" t="s">
        <v>29</v>
      </c>
      <c r="C464" s="2" t="s">
        <v>45</v>
      </c>
      <c r="D464" s="2" t="s">
        <v>31</v>
      </c>
      <c r="E464" s="2" t="s">
        <v>20</v>
      </c>
      <c r="F464" s="2" t="n">
        <v>0</v>
      </c>
      <c r="G464" s="2" t="s">
        <v>20</v>
      </c>
      <c r="H464" s="2" t="s">
        <v>20</v>
      </c>
      <c r="I464" s="2" t="s">
        <v>23</v>
      </c>
      <c r="J464" s="2" t="n">
        <v>1</v>
      </c>
      <c r="K464" s="2" t="s">
        <v>33</v>
      </c>
      <c r="L464" s="2" t="n">
        <v>5</v>
      </c>
      <c r="M464" s="2" t="n">
        <v>1</v>
      </c>
      <c r="N464" s="2" t="n">
        <v>-1</v>
      </c>
      <c r="O464" s="2" t="n">
        <v>0</v>
      </c>
      <c r="P464" s="2" t="s">
        <v>23</v>
      </c>
      <c r="Q464" s="2" t="s">
        <v>20</v>
      </c>
    </row>
    <row r="465" customFormat="false" ht="15" hidden="false" customHeight="false" outlineLevel="0" collapsed="false">
      <c r="A465" s="2" t="n">
        <v>35</v>
      </c>
      <c r="B465" s="2" t="s">
        <v>34</v>
      </c>
      <c r="C465" s="2" t="s">
        <v>45</v>
      </c>
      <c r="D465" s="2" t="s">
        <v>25</v>
      </c>
      <c r="E465" s="2" t="s">
        <v>20</v>
      </c>
      <c r="F465" s="2" t="n">
        <v>3102</v>
      </c>
      <c r="G465" s="2" t="s">
        <v>26</v>
      </c>
      <c r="H465" s="2" t="s">
        <v>20</v>
      </c>
      <c r="I465" s="2" t="s">
        <v>21</v>
      </c>
      <c r="J465" s="2" t="n">
        <v>20</v>
      </c>
      <c r="K465" s="2" t="s">
        <v>46</v>
      </c>
      <c r="L465" s="2" t="n">
        <v>138</v>
      </c>
      <c r="M465" s="2" t="n">
        <v>1</v>
      </c>
      <c r="N465" s="2" t="n">
        <v>-1</v>
      </c>
      <c r="O465" s="2" t="n">
        <v>0</v>
      </c>
      <c r="P465" s="2" t="s">
        <v>23</v>
      </c>
      <c r="Q465" s="2" t="s">
        <v>20</v>
      </c>
    </row>
    <row r="466" customFormat="false" ht="15" hidden="false" customHeight="false" outlineLevel="0" collapsed="false">
      <c r="A466" s="2" t="n">
        <v>32</v>
      </c>
      <c r="B466" s="2" t="s">
        <v>34</v>
      </c>
      <c r="C466" s="2" t="s">
        <v>18</v>
      </c>
      <c r="D466" s="2" t="s">
        <v>25</v>
      </c>
      <c r="E466" s="2" t="s">
        <v>20</v>
      </c>
      <c r="F466" s="2" t="n">
        <v>889</v>
      </c>
      <c r="G466" s="2" t="s">
        <v>26</v>
      </c>
      <c r="H466" s="2" t="s">
        <v>20</v>
      </c>
      <c r="I466" s="2" t="s">
        <v>21</v>
      </c>
      <c r="J466" s="2" t="n">
        <v>10</v>
      </c>
      <c r="K466" s="2" t="s">
        <v>51</v>
      </c>
      <c r="L466" s="2" t="n">
        <v>185</v>
      </c>
      <c r="M466" s="2" t="n">
        <v>1</v>
      </c>
      <c r="N466" s="2" t="n">
        <v>99</v>
      </c>
      <c r="O466" s="2" t="n">
        <v>5</v>
      </c>
      <c r="P466" s="2" t="s">
        <v>50</v>
      </c>
      <c r="Q466" s="2" t="s">
        <v>26</v>
      </c>
    </row>
    <row r="467" customFormat="false" ht="15" hidden="false" customHeight="false" outlineLevel="0" collapsed="false">
      <c r="A467" s="2" t="n">
        <v>59</v>
      </c>
      <c r="B467" s="2" t="s">
        <v>47</v>
      </c>
      <c r="C467" s="2" t="s">
        <v>18</v>
      </c>
      <c r="D467" s="2" t="s">
        <v>25</v>
      </c>
      <c r="E467" s="2" t="s">
        <v>20</v>
      </c>
      <c r="F467" s="2" t="n">
        <v>0</v>
      </c>
      <c r="G467" s="2" t="s">
        <v>20</v>
      </c>
      <c r="H467" s="2" t="s">
        <v>20</v>
      </c>
      <c r="I467" s="2" t="s">
        <v>49</v>
      </c>
      <c r="J467" s="2" t="n">
        <v>3</v>
      </c>
      <c r="K467" s="2" t="s">
        <v>35</v>
      </c>
      <c r="L467" s="2" t="n">
        <v>722</v>
      </c>
      <c r="M467" s="2" t="n">
        <v>1</v>
      </c>
      <c r="N467" s="2" t="n">
        <v>99</v>
      </c>
      <c r="O467" s="2" t="n">
        <v>4</v>
      </c>
      <c r="P467" s="2" t="s">
        <v>28</v>
      </c>
      <c r="Q467" s="2" t="s">
        <v>20</v>
      </c>
    </row>
    <row r="468" customFormat="false" ht="15" hidden="false" customHeight="false" outlineLevel="0" collapsed="false">
      <c r="A468" s="2" t="n">
        <v>34</v>
      </c>
      <c r="B468" s="2" t="s">
        <v>36</v>
      </c>
      <c r="C468" s="2" t="s">
        <v>18</v>
      </c>
      <c r="D468" s="2" t="s">
        <v>25</v>
      </c>
      <c r="E468" s="2" t="s">
        <v>20</v>
      </c>
      <c r="F468" s="2" t="n">
        <v>-370</v>
      </c>
      <c r="G468" s="2" t="s">
        <v>26</v>
      </c>
      <c r="H468" s="2" t="s">
        <v>20</v>
      </c>
      <c r="I468" s="2" t="s">
        <v>23</v>
      </c>
      <c r="J468" s="2" t="n">
        <v>21</v>
      </c>
      <c r="K468" s="2" t="s">
        <v>27</v>
      </c>
      <c r="L468" s="2" t="n">
        <v>748</v>
      </c>
      <c r="M468" s="2" t="n">
        <v>1</v>
      </c>
      <c r="N468" s="2" t="n">
        <v>-1</v>
      </c>
      <c r="O468" s="2" t="n">
        <v>0</v>
      </c>
      <c r="P468" s="2" t="s">
        <v>23</v>
      </c>
      <c r="Q468" s="2" t="s">
        <v>20</v>
      </c>
    </row>
    <row r="469" customFormat="false" ht="15" hidden="false" customHeight="false" outlineLevel="0" collapsed="false">
      <c r="A469" s="2" t="n">
        <v>39</v>
      </c>
      <c r="B469" s="2" t="s">
        <v>29</v>
      </c>
      <c r="C469" s="2" t="s">
        <v>18</v>
      </c>
      <c r="D469" s="2" t="s">
        <v>31</v>
      </c>
      <c r="E469" s="2" t="s">
        <v>20</v>
      </c>
      <c r="F469" s="2" t="n">
        <v>-606</v>
      </c>
      <c r="G469" s="2" t="s">
        <v>26</v>
      </c>
      <c r="H469" s="2" t="s">
        <v>20</v>
      </c>
      <c r="I469" s="2" t="s">
        <v>23</v>
      </c>
      <c r="J469" s="2" t="n">
        <v>26</v>
      </c>
      <c r="K469" s="2" t="s">
        <v>27</v>
      </c>
      <c r="L469" s="2" t="n">
        <v>142</v>
      </c>
      <c r="M469" s="2" t="n">
        <v>1</v>
      </c>
      <c r="N469" s="2" t="n">
        <v>-1</v>
      </c>
      <c r="O469" s="2" t="n">
        <v>0</v>
      </c>
      <c r="P469" s="2" t="s">
        <v>23</v>
      </c>
      <c r="Q469" s="2" t="s">
        <v>20</v>
      </c>
    </row>
    <row r="470" customFormat="false" ht="15" hidden="false" customHeight="false" outlineLevel="0" collapsed="false">
      <c r="A470" s="2" t="n">
        <v>40</v>
      </c>
      <c r="B470" s="2" t="s">
        <v>29</v>
      </c>
      <c r="C470" s="2" t="s">
        <v>30</v>
      </c>
      <c r="D470" s="2" t="s">
        <v>25</v>
      </c>
      <c r="E470" s="2" t="s">
        <v>20</v>
      </c>
      <c r="F470" s="2" t="n">
        <v>10378</v>
      </c>
      <c r="G470" s="2" t="s">
        <v>26</v>
      </c>
      <c r="H470" s="2" t="s">
        <v>20</v>
      </c>
      <c r="I470" s="2" t="s">
        <v>21</v>
      </c>
      <c r="J470" s="2" t="n">
        <v>17</v>
      </c>
      <c r="K470" s="2" t="s">
        <v>46</v>
      </c>
      <c r="L470" s="2" t="n">
        <v>523</v>
      </c>
      <c r="M470" s="2" t="n">
        <v>3</v>
      </c>
      <c r="N470" s="2" t="n">
        <v>-1</v>
      </c>
      <c r="O470" s="2" t="n">
        <v>0</v>
      </c>
      <c r="P470" s="2" t="s">
        <v>23</v>
      </c>
      <c r="Q470" s="2" t="s">
        <v>20</v>
      </c>
    </row>
    <row r="471" customFormat="false" ht="15" hidden="false" customHeight="false" outlineLevel="0" collapsed="false">
      <c r="A471" s="2" t="n">
        <v>36</v>
      </c>
      <c r="B471" s="2" t="s">
        <v>34</v>
      </c>
      <c r="C471" s="2" t="s">
        <v>30</v>
      </c>
      <c r="D471" s="2" t="s">
        <v>19</v>
      </c>
      <c r="E471" s="2" t="s">
        <v>20</v>
      </c>
      <c r="F471" s="2" t="n">
        <v>1313</v>
      </c>
      <c r="G471" s="2" t="s">
        <v>26</v>
      </c>
      <c r="H471" s="2" t="s">
        <v>20</v>
      </c>
      <c r="I471" s="2" t="s">
        <v>23</v>
      </c>
      <c r="J471" s="2" t="n">
        <v>20</v>
      </c>
      <c r="K471" s="2" t="s">
        <v>33</v>
      </c>
      <c r="L471" s="2" t="n">
        <v>8</v>
      </c>
      <c r="M471" s="2" t="n">
        <v>10</v>
      </c>
      <c r="N471" s="2" t="n">
        <v>-1</v>
      </c>
      <c r="O471" s="2" t="n">
        <v>0</v>
      </c>
      <c r="P471" s="2" t="s">
        <v>23</v>
      </c>
      <c r="Q471" s="2" t="s">
        <v>20</v>
      </c>
    </row>
    <row r="472" customFormat="false" ht="15" hidden="false" customHeight="false" outlineLevel="0" collapsed="false">
      <c r="A472" s="2" t="n">
        <v>40</v>
      </c>
      <c r="B472" s="2" t="s">
        <v>29</v>
      </c>
      <c r="C472" s="2" t="s">
        <v>18</v>
      </c>
      <c r="D472" s="2" t="s">
        <v>31</v>
      </c>
      <c r="E472" s="2" t="s">
        <v>20</v>
      </c>
      <c r="F472" s="2" t="n">
        <v>8969</v>
      </c>
      <c r="G472" s="2" t="s">
        <v>26</v>
      </c>
      <c r="H472" s="2" t="s">
        <v>20</v>
      </c>
      <c r="I472" s="2" t="s">
        <v>21</v>
      </c>
      <c r="J472" s="2" t="n">
        <v>17</v>
      </c>
      <c r="K472" s="2" t="s">
        <v>46</v>
      </c>
      <c r="L472" s="2" t="n">
        <v>153</v>
      </c>
      <c r="M472" s="2" t="n">
        <v>1</v>
      </c>
      <c r="N472" s="2" t="n">
        <v>-1</v>
      </c>
      <c r="O472" s="2" t="n">
        <v>0</v>
      </c>
      <c r="P472" s="2" t="s">
        <v>23</v>
      </c>
      <c r="Q472" s="2" t="s">
        <v>20</v>
      </c>
    </row>
    <row r="473" customFormat="false" ht="15" hidden="false" customHeight="false" outlineLevel="0" collapsed="false">
      <c r="A473" s="2" t="n">
        <v>55</v>
      </c>
      <c r="B473" s="2" t="s">
        <v>36</v>
      </c>
      <c r="C473" s="2" t="s">
        <v>18</v>
      </c>
      <c r="D473" s="2" t="s">
        <v>25</v>
      </c>
      <c r="E473" s="2" t="s">
        <v>20</v>
      </c>
      <c r="F473" s="2" t="n">
        <v>-196</v>
      </c>
      <c r="G473" s="2" t="s">
        <v>26</v>
      </c>
      <c r="H473" s="2" t="s">
        <v>20</v>
      </c>
      <c r="I473" s="2" t="s">
        <v>23</v>
      </c>
      <c r="J473" s="2" t="n">
        <v>20</v>
      </c>
      <c r="K473" s="2" t="s">
        <v>27</v>
      </c>
      <c r="L473" s="2" t="n">
        <v>210</v>
      </c>
      <c r="M473" s="2" t="n">
        <v>2</v>
      </c>
      <c r="N473" s="2" t="n">
        <v>-1</v>
      </c>
      <c r="O473" s="2" t="n">
        <v>0</v>
      </c>
      <c r="P473" s="2" t="s">
        <v>23</v>
      </c>
      <c r="Q473" s="2" t="s">
        <v>20</v>
      </c>
    </row>
    <row r="474" customFormat="false" ht="15" hidden="false" customHeight="false" outlineLevel="0" collapsed="false">
      <c r="A474" s="2" t="n">
        <v>38</v>
      </c>
      <c r="B474" s="2" t="s">
        <v>39</v>
      </c>
      <c r="C474" s="2" t="s">
        <v>18</v>
      </c>
      <c r="D474" s="2" t="s">
        <v>25</v>
      </c>
      <c r="E474" s="2" t="s">
        <v>26</v>
      </c>
      <c r="F474" s="2" t="n">
        <v>15</v>
      </c>
      <c r="G474" s="2" t="s">
        <v>26</v>
      </c>
      <c r="H474" s="2" t="s">
        <v>20</v>
      </c>
      <c r="I474" s="2" t="s">
        <v>21</v>
      </c>
      <c r="J474" s="2" t="n">
        <v>10</v>
      </c>
      <c r="K474" s="2" t="s">
        <v>44</v>
      </c>
      <c r="L474" s="2" t="n">
        <v>121</v>
      </c>
      <c r="M474" s="2" t="n">
        <v>1</v>
      </c>
      <c r="N474" s="2" t="n">
        <v>-1</v>
      </c>
      <c r="O474" s="2" t="n">
        <v>0</v>
      </c>
      <c r="P474" s="2" t="s">
        <v>23</v>
      </c>
      <c r="Q474" s="2" t="s">
        <v>20</v>
      </c>
    </row>
    <row r="475" customFormat="false" ht="15" hidden="false" customHeight="false" outlineLevel="0" collapsed="false">
      <c r="A475" s="2" t="n">
        <v>61</v>
      </c>
      <c r="B475" s="2" t="s">
        <v>40</v>
      </c>
      <c r="C475" s="2" t="s">
        <v>18</v>
      </c>
      <c r="D475" s="2" t="s">
        <v>25</v>
      </c>
      <c r="E475" s="2" t="s">
        <v>20</v>
      </c>
      <c r="F475" s="2" t="n">
        <v>4608</v>
      </c>
      <c r="G475" s="2" t="s">
        <v>20</v>
      </c>
      <c r="H475" s="2" t="s">
        <v>20</v>
      </c>
      <c r="I475" s="2" t="s">
        <v>21</v>
      </c>
      <c r="J475" s="2" t="n">
        <v>12</v>
      </c>
      <c r="K475" s="2" t="s">
        <v>52</v>
      </c>
      <c r="L475" s="2" t="n">
        <v>212</v>
      </c>
      <c r="M475" s="2" t="n">
        <v>1</v>
      </c>
      <c r="N475" s="2" t="n">
        <v>-1</v>
      </c>
      <c r="O475" s="2" t="n">
        <v>0</v>
      </c>
      <c r="P475" s="2" t="s">
        <v>23</v>
      </c>
      <c r="Q475" s="2" t="s">
        <v>26</v>
      </c>
    </row>
    <row r="476" customFormat="false" ht="15" hidden="false" customHeight="false" outlineLevel="0" collapsed="false">
      <c r="A476" s="2" t="n">
        <v>41</v>
      </c>
      <c r="B476" s="2" t="s">
        <v>29</v>
      </c>
      <c r="C476" s="2" t="s">
        <v>18</v>
      </c>
      <c r="D476" s="2" t="s">
        <v>31</v>
      </c>
      <c r="E476" s="2" t="s">
        <v>20</v>
      </c>
      <c r="F476" s="2" t="n">
        <v>666</v>
      </c>
      <c r="G476" s="2" t="s">
        <v>26</v>
      </c>
      <c r="H476" s="2" t="s">
        <v>20</v>
      </c>
      <c r="I476" s="2" t="s">
        <v>23</v>
      </c>
      <c r="J476" s="2" t="n">
        <v>21</v>
      </c>
      <c r="K476" s="2" t="s">
        <v>27</v>
      </c>
      <c r="L476" s="2" t="n">
        <v>253</v>
      </c>
      <c r="M476" s="2" t="n">
        <v>3</v>
      </c>
      <c r="N476" s="2" t="n">
        <v>-1</v>
      </c>
      <c r="O476" s="2" t="n">
        <v>0</v>
      </c>
      <c r="P476" s="2" t="s">
        <v>23</v>
      </c>
      <c r="Q476" s="2" t="s">
        <v>20</v>
      </c>
    </row>
    <row r="477" customFormat="false" ht="15" hidden="false" customHeight="false" outlineLevel="0" collapsed="false">
      <c r="A477" s="2" t="n">
        <v>57</v>
      </c>
      <c r="B477" s="2" t="s">
        <v>34</v>
      </c>
      <c r="C477" s="2" t="s">
        <v>18</v>
      </c>
      <c r="D477" s="2" t="s">
        <v>19</v>
      </c>
      <c r="E477" s="2" t="s">
        <v>20</v>
      </c>
      <c r="F477" s="2" t="n">
        <v>452</v>
      </c>
      <c r="G477" s="2" t="s">
        <v>26</v>
      </c>
      <c r="H477" s="2" t="s">
        <v>20</v>
      </c>
      <c r="I477" s="2" t="s">
        <v>23</v>
      </c>
      <c r="J477" s="2" t="n">
        <v>13</v>
      </c>
      <c r="K477" s="2" t="s">
        <v>27</v>
      </c>
      <c r="L477" s="2" t="n">
        <v>139</v>
      </c>
      <c r="M477" s="2" t="n">
        <v>4</v>
      </c>
      <c r="N477" s="2" t="n">
        <v>-1</v>
      </c>
      <c r="O477" s="2" t="n">
        <v>0</v>
      </c>
      <c r="P477" s="2" t="s">
        <v>23</v>
      </c>
      <c r="Q477" s="2" t="s">
        <v>20</v>
      </c>
    </row>
    <row r="478" customFormat="false" ht="15" hidden="false" customHeight="false" outlineLevel="0" collapsed="false">
      <c r="A478" s="2" t="n">
        <v>48</v>
      </c>
      <c r="B478" s="2" t="s">
        <v>34</v>
      </c>
      <c r="C478" s="2" t="s">
        <v>18</v>
      </c>
      <c r="D478" s="2" t="s">
        <v>25</v>
      </c>
      <c r="E478" s="2" t="s">
        <v>20</v>
      </c>
      <c r="F478" s="2" t="n">
        <v>149</v>
      </c>
      <c r="G478" s="2" t="s">
        <v>26</v>
      </c>
      <c r="H478" s="2" t="s">
        <v>20</v>
      </c>
      <c r="I478" s="2" t="s">
        <v>23</v>
      </c>
      <c r="J478" s="2" t="n">
        <v>9</v>
      </c>
      <c r="K478" s="2" t="s">
        <v>27</v>
      </c>
      <c r="L478" s="2" t="n">
        <v>71</v>
      </c>
      <c r="M478" s="2" t="n">
        <v>1</v>
      </c>
      <c r="N478" s="2" t="n">
        <v>-1</v>
      </c>
      <c r="O478" s="2" t="n">
        <v>0</v>
      </c>
      <c r="P478" s="2" t="s">
        <v>23</v>
      </c>
      <c r="Q478" s="2" t="s">
        <v>20</v>
      </c>
    </row>
    <row r="479" customFormat="false" ht="15" hidden="false" customHeight="false" outlineLevel="0" collapsed="false">
      <c r="A479" s="2" t="n">
        <v>77</v>
      </c>
      <c r="B479" s="2" t="s">
        <v>48</v>
      </c>
      <c r="C479" s="2" t="s">
        <v>18</v>
      </c>
      <c r="D479" s="2" t="s">
        <v>31</v>
      </c>
      <c r="E479" s="2" t="s">
        <v>20</v>
      </c>
      <c r="F479" s="2" t="n">
        <v>7802</v>
      </c>
      <c r="G479" s="2" t="s">
        <v>20</v>
      </c>
      <c r="H479" s="2" t="s">
        <v>20</v>
      </c>
      <c r="I479" s="2" t="s">
        <v>49</v>
      </c>
      <c r="J479" s="2" t="n">
        <v>4</v>
      </c>
      <c r="K479" s="2" t="s">
        <v>27</v>
      </c>
      <c r="L479" s="2" t="n">
        <v>421</v>
      </c>
      <c r="M479" s="2" t="n">
        <v>1</v>
      </c>
      <c r="N479" s="2" t="n">
        <v>92</v>
      </c>
      <c r="O479" s="2" t="n">
        <v>2</v>
      </c>
      <c r="P479" s="2" t="s">
        <v>50</v>
      </c>
      <c r="Q479" s="2" t="s">
        <v>26</v>
      </c>
    </row>
    <row r="480" customFormat="false" ht="15" hidden="false" customHeight="false" outlineLevel="0" collapsed="false">
      <c r="A480" s="2" t="n">
        <v>35</v>
      </c>
      <c r="B480" s="2" t="s">
        <v>24</v>
      </c>
      <c r="C480" s="2" t="s">
        <v>18</v>
      </c>
      <c r="D480" s="2" t="s">
        <v>25</v>
      </c>
      <c r="E480" s="2" t="s">
        <v>20</v>
      </c>
      <c r="F480" s="2" t="n">
        <v>1453</v>
      </c>
      <c r="G480" s="2" t="s">
        <v>26</v>
      </c>
      <c r="H480" s="2" t="s">
        <v>20</v>
      </c>
      <c r="I480" s="2" t="s">
        <v>23</v>
      </c>
      <c r="J480" s="2" t="n">
        <v>28</v>
      </c>
      <c r="K480" s="2" t="s">
        <v>27</v>
      </c>
      <c r="L480" s="2" t="n">
        <v>199</v>
      </c>
      <c r="M480" s="2" t="n">
        <v>1</v>
      </c>
      <c r="N480" s="2" t="n">
        <v>-1</v>
      </c>
      <c r="O480" s="2" t="n">
        <v>0</v>
      </c>
      <c r="P480" s="2" t="s">
        <v>23</v>
      </c>
      <c r="Q480" s="2" t="s">
        <v>20</v>
      </c>
    </row>
    <row r="481" customFormat="false" ht="15" hidden="false" customHeight="false" outlineLevel="0" collapsed="false">
      <c r="A481" s="2" t="n">
        <v>54</v>
      </c>
      <c r="B481" s="2" t="s">
        <v>34</v>
      </c>
      <c r="C481" s="2" t="s">
        <v>18</v>
      </c>
      <c r="D481" s="2" t="s">
        <v>25</v>
      </c>
      <c r="E481" s="2" t="s">
        <v>20</v>
      </c>
      <c r="F481" s="2" t="n">
        <v>1480</v>
      </c>
      <c r="G481" s="2" t="s">
        <v>26</v>
      </c>
      <c r="H481" s="2" t="s">
        <v>20</v>
      </c>
      <c r="I481" s="2" t="s">
        <v>23</v>
      </c>
      <c r="J481" s="2" t="n">
        <v>14</v>
      </c>
      <c r="K481" s="2" t="s">
        <v>27</v>
      </c>
      <c r="L481" s="2" t="n">
        <v>108</v>
      </c>
      <c r="M481" s="2" t="n">
        <v>1</v>
      </c>
      <c r="N481" s="2" t="n">
        <v>-1</v>
      </c>
      <c r="O481" s="2" t="n">
        <v>0</v>
      </c>
      <c r="P481" s="2" t="s">
        <v>23</v>
      </c>
      <c r="Q481" s="2" t="s">
        <v>20</v>
      </c>
    </row>
    <row r="482" customFormat="false" ht="15" hidden="false" customHeight="false" outlineLevel="0" collapsed="false">
      <c r="A482" s="2" t="n">
        <v>37</v>
      </c>
      <c r="B482" s="2" t="s">
        <v>29</v>
      </c>
      <c r="C482" s="2" t="s">
        <v>30</v>
      </c>
      <c r="D482" s="2" t="s">
        <v>23</v>
      </c>
      <c r="E482" s="2" t="s">
        <v>20</v>
      </c>
      <c r="F482" s="2" t="n">
        <v>715</v>
      </c>
      <c r="G482" s="2" t="s">
        <v>26</v>
      </c>
      <c r="H482" s="2" t="s">
        <v>20</v>
      </c>
      <c r="I482" s="2" t="s">
        <v>23</v>
      </c>
      <c r="J482" s="2" t="n">
        <v>20</v>
      </c>
      <c r="K482" s="2" t="s">
        <v>27</v>
      </c>
      <c r="L482" s="2" t="n">
        <v>247</v>
      </c>
      <c r="M482" s="2" t="n">
        <v>2</v>
      </c>
      <c r="N482" s="2" t="n">
        <v>-1</v>
      </c>
      <c r="O482" s="2" t="n">
        <v>0</v>
      </c>
      <c r="P482" s="2" t="s">
        <v>23</v>
      </c>
      <c r="Q482" s="2" t="s">
        <v>20</v>
      </c>
    </row>
    <row r="483" customFormat="false" ht="15" hidden="false" customHeight="false" outlineLevel="0" collapsed="false">
      <c r="A483" s="2" t="n">
        <v>56</v>
      </c>
      <c r="B483" s="2" t="s">
        <v>29</v>
      </c>
      <c r="C483" s="2" t="s">
        <v>30</v>
      </c>
      <c r="D483" s="2" t="s">
        <v>25</v>
      </c>
      <c r="E483" s="2" t="s">
        <v>20</v>
      </c>
      <c r="F483" s="2" t="n">
        <v>237</v>
      </c>
      <c r="G483" s="2" t="s">
        <v>26</v>
      </c>
      <c r="H483" s="2" t="s">
        <v>20</v>
      </c>
      <c r="I483" s="2" t="s">
        <v>49</v>
      </c>
      <c r="J483" s="2" t="n">
        <v>9</v>
      </c>
      <c r="K483" s="2" t="s">
        <v>44</v>
      </c>
      <c r="L483" s="2" t="n">
        <v>236</v>
      </c>
      <c r="M483" s="2" t="n">
        <v>4</v>
      </c>
      <c r="N483" s="2" t="n">
        <v>-1</v>
      </c>
      <c r="O483" s="2" t="n">
        <v>0</v>
      </c>
      <c r="P483" s="2" t="s">
        <v>23</v>
      </c>
      <c r="Q483" s="2" t="s">
        <v>20</v>
      </c>
    </row>
    <row r="484" customFormat="false" ht="15" hidden="false" customHeight="false" outlineLevel="0" collapsed="false">
      <c r="A484" s="2" t="n">
        <v>40</v>
      </c>
      <c r="B484" s="2" t="s">
        <v>38</v>
      </c>
      <c r="C484" s="2" t="s">
        <v>18</v>
      </c>
      <c r="D484" s="2" t="s">
        <v>25</v>
      </c>
      <c r="E484" s="2" t="s">
        <v>20</v>
      </c>
      <c r="F484" s="2" t="n">
        <v>694</v>
      </c>
      <c r="G484" s="2" t="s">
        <v>26</v>
      </c>
      <c r="H484" s="2" t="s">
        <v>20</v>
      </c>
      <c r="I484" s="2" t="s">
        <v>21</v>
      </c>
      <c r="J484" s="2" t="n">
        <v>4</v>
      </c>
      <c r="K484" s="2" t="s">
        <v>35</v>
      </c>
      <c r="L484" s="2" t="n">
        <v>97</v>
      </c>
      <c r="M484" s="2" t="n">
        <v>4</v>
      </c>
      <c r="N484" s="2" t="n">
        <v>196</v>
      </c>
      <c r="O484" s="2" t="n">
        <v>5</v>
      </c>
      <c r="P484" s="2" t="s">
        <v>28</v>
      </c>
      <c r="Q484" s="2" t="s">
        <v>20</v>
      </c>
    </row>
    <row r="485" customFormat="false" ht="15" hidden="false" customHeight="false" outlineLevel="0" collapsed="false">
      <c r="A485" s="2" t="n">
        <v>40</v>
      </c>
      <c r="B485" s="2" t="s">
        <v>29</v>
      </c>
      <c r="C485" s="2" t="s">
        <v>18</v>
      </c>
      <c r="D485" s="2" t="s">
        <v>31</v>
      </c>
      <c r="E485" s="2" t="s">
        <v>20</v>
      </c>
      <c r="F485" s="2" t="n">
        <v>0</v>
      </c>
      <c r="G485" s="2" t="s">
        <v>20</v>
      </c>
      <c r="H485" s="2" t="s">
        <v>20</v>
      </c>
      <c r="I485" s="2" t="s">
        <v>21</v>
      </c>
      <c r="J485" s="2" t="n">
        <v>14</v>
      </c>
      <c r="K485" s="2" t="s">
        <v>44</v>
      </c>
      <c r="L485" s="2" t="n">
        <v>109</v>
      </c>
      <c r="M485" s="2" t="n">
        <v>8</v>
      </c>
      <c r="N485" s="2" t="n">
        <v>-1</v>
      </c>
      <c r="O485" s="2" t="n">
        <v>0</v>
      </c>
      <c r="P485" s="2" t="s">
        <v>23</v>
      </c>
      <c r="Q485" s="2" t="s">
        <v>20</v>
      </c>
    </row>
    <row r="486" customFormat="false" ht="15" hidden="false" customHeight="false" outlineLevel="0" collapsed="false">
      <c r="A486" s="2" t="n">
        <v>54</v>
      </c>
      <c r="B486" s="2" t="s">
        <v>29</v>
      </c>
      <c r="C486" s="2" t="s">
        <v>18</v>
      </c>
      <c r="D486" s="2" t="s">
        <v>31</v>
      </c>
      <c r="E486" s="2" t="s">
        <v>20</v>
      </c>
      <c r="F486" s="2" t="n">
        <v>55</v>
      </c>
      <c r="G486" s="2" t="s">
        <v>26</v>
      </c>
      <c r="H486" s="2" t="s">
        <v>20</v>
      </c>
      <c r="I486" s="2" t="s">
        <v>21</v>
      </c>
      <c r="J486" s="2" t="n">
        <v>2</v>
      </c>
      <c r="K486" s="2" t="s">
        <v>33</v>
      </c>
      <c r="L486" s="2" t="n">
        <v>112</v>
      </c>
      <c r="M486" s="2" t="n">
        <v>2</v>
      </c>
      <c r="N486" s="2" t="n">
        <v>-1</v>
      </c>
      <c r="O486" s="2" t="n">
        <v>0</v>
      </c>
      <c r="P486" s="2" t="s">
        <v>23</v>
      </c>
      <c r="Q486" s="2" t="s">
        <v>20</v>
      </c>
    </row>
    <row r="487" customFormat="false" ht="15" hidden="false" customHeight="false" outlineLevel="0" collapsed="false">
      <c r="A487" s="2" t="n">
        <v>55</v>
      </c>
      <c r="B487" s="2" t="s">
        <v>47</v>
      </c>
      <c r="C487" s="2" t="s">
        <v>18</v>
      </c>
      <c r="D487" s="2" t="s">
        <v>19</v>
      </c>
      <c r="E487" s="2" t="s">
        <v>20</v>
      </c>
      <c r="F487" s="2" t="n">
        <v>136</v>
      </c>
      <c r="G487" s="2" t="s">
        <v>26</v>
      </c>
      <c r="H487" s="2" t="s">
        <v>20</v>
      </c>
      <c r="I487" s="2" t="s">
        <v>23</v>
      </c>
      <c r="J487" s="2" t="n">
        <v>19</v>
      </c>
      <c r="K487" s="2" t="s">
        <v>33</v>
      </c>
      <c r="L487" s="2" t="n">
        <v>15</v>
      </c>
      <c r="M487" s="2" t="n">
        <v>10</v>
      </c>
      <c r="N487" s="2" t="n">
        <v>-1</v>
      </c>
      <c r="O487" s="2" t="n">
        <v>0</v>
      </c>
      <c r="P487" s="2" t="s">
        <v>23</v>
      </c>
      <c r="Q487" s="2" t="s">
        <v>20</v>
      </c>
    </row>
    <row r="488" customFormat="false" ht="15" hidden="false" customHeight="false" outlineLevel="0" collapsed="false">
      <c r="A488" s="2" t="n">
        <v>55</v>
      </c>
      <c r="B488" s="2" t="s">
        <v>24</v>
      </c>
      <c r="C488" s="2" t="s">
        <v>45</v>
      </c>
      <c r="D488" s="2" t="s">
        <v>25</v>
      </c>
      <c r="E488" s="2" t="s">
        <v>26</v>
      </c>
      <c r="F488" s="2" t="n">
        <v>-404</v>
      </c>
      <c r="G488" s="2" t="s">
        <v>26</v>
      </c>
      <c r="H488" s="2" t="s">
        <v>20</v>
      </c>
      <c r="I488" s="2" t="s">
        <v>21</v>
      </c>
      <c r="J488" s="2" t="n">
        <v>22</v>
      </c>
      <c r="K488" s="2" t="s">
        <v>44</v>
      </c>
      <c r="L488" s="2" t="n">
        <v>502</v>
      </c>
      <c r="M488" s="2" t="n">
        <v>3</v>
      </c>
      <c r="N488" s="2" t="n">
        <v>-1</v>
      </c>
      <c r="O488" s="2" t="n">
        <v>0</v>
      </c>
      <c r="P488" s="2" t="s">
        <v>23</v>
      </c>
      <c r="Q488" s="2" t="s">
        <v>20</v>
      </c>
    </row>
    <row r="489" customFormat="false" ht="15" hidden="false" customHeight="false" outlineLevel="0" collapsed="false">
      <c r="A489" s="2" t="n">
        <v>52</v>
      </c>
      <c r="B489" s="2" t="s">
        <v>34</v>
      </c>
      <c r="C489" s="2" t="s">
        <v>18</v>
      </c>
      <c r="D489" s="2" t="s">
        <v>19</v>
      </c>
      <c r="E489" s="2" t="s">
        <v>20</v>
      </c>
      <c r="F489" s="2" t="n">
        <v>779</v>
      </c>
      <c r="G489" s="2" t="s">
        <v>26</v>
      </c>
      <c r="H489" s="2" t="s">
        <v>20</v>
      </c>
      <c r="I489" s="2" t="s">
        <v>23</v>
      </c>
      <c r="J489" s="2" t="n">
        <v>16</v>
      </c>
      <c r="K489" s="2" t="s">
        <v>27</v>
      </c>
      <c r="L489" s="2" t="n">
        <v>30</v>
      </c>
      <c r="M489" s="2" t="n">
        <v>3</v>
      </c>
      <c r="N489" s="2" t="n">
        <v>-1</v>
      </c>
      <c r="O489" s="2" t="n">
        <v>0</v>
      </c>
      <c r="P489" s="2" t="s">
        <v>23</v>
      </c>
      <c r="Q489" s="2" t="s">
        <v>20</v>
      </c>
    </row>
    <row r="490" customFormat="false" ht="15" hidden="false" customHeight="false" outlineLevel="0" collapsed="false">
      <c r="A490" s="2" t="n">
        <v>55</v>
      </c>
      <c r="B490" s="2" t="s">
        <v>34</v>
      </c>
      <c r="C490" s="2" t="s">
        <v>30</v>
      </c>
      <c r="D490" s="2" t="s">
        <v>19</v>
      </c>
      <c r="E490" s="2" t="s">
        <v>20</v>
      </c>
      <c r="F490" s="2" t="n">
        <v>1187</v>
      </c>
      <c r="G490" s="2" t="s">
        <v>26</v>
      </c>
      <c r="H490" s="2" t="s">
        <v>20</v>
      </c>
      <c r="I490" s="2" t="s">
        <v>23</v>
      </c>
      <c r="J490" s="2" t="n">
        <v>2</v>
      </c>
      <c r="K490" s="2" t="s">
        <v>33</v>
      </c>
      <c r="L490" s="2" t="n">
        <v>193</v>
      </c>
      <c r="M490" s="2" t="n">
        <v>2</v>
      </c>
      <c r="N490" s="2" t="n">
        <v>-1</v>
      </c>
      <c r="O490" s="2" t="n">
        <v>0</v>
      </c>
      <c r="P490" s="2" t="s">
        <v>23</v>
      </c>
      <c r="Q490" s="2" t="s">
        <v>20</v>
      </c>
    </row>
    <row r="491" customFormat="false" ht="15" hidden="false" customHeight="false" outlineLevel="0" collapsed="false">
      <c r="A491" s="2" t="n">
        <v>33</v>
      </c>
      <c r="B491" s="2" t="s">
        <v>29</v>
      </c>
      <c r="C491" s="2" t="s">
        <v>18</v>
      </c>
      <c r="D491" s="2" t="s">
        <v>31</v>
      </c>
      <c r="E491" s="2" t="s">
        <v>20</v>
      </c>
      <c r="F491" s="2" t="n">
        <v>641</v>
      </c>
      <c r="G491" s="2" t="s">
        <v>26</v>
      </c>
      <c r="H491" s="2" t="s">
        <v>20</v>
      </c>
      <c r="I491" s="2" t="s">
        <v>21</v>
      </c>
      <c r="J491" s="2" t="n">
        <v>13</v>
      </c>
      <c r="K491" s="2" t="s">
        <v>41</v>
      </c>
      <c r="L491" s="2" t="n">
        <v>347</v>
      </c>
      <c r="M491" s="2" t="n">
        <v>2</v>
      </c>
      <c r="N491" s="2" t="n">
        <v>-1</v>
      </c>
      <c r="O491" s="2" t="n">
        <v>0</v>
      </c>
      <c r="P491" s="2" t="s">
        <v>23</v>
      </c>
      <c r="Q491" s="2" t="s">
        <v>20</v>
      </c>
    </row>
    <row r="492" customFormat="false" ht="15" hidden="false" customHeight="false" outlineLevel="0" collapsed="false">
      <c r="A492" s="2" t="n">
        <v>52</v>
      </c>
      <c r="B492" s="2" t="s">
        <v>34</v>
      </c>
      <c r="C492" s="2" t="s">
        <v>18</v>
      </c>
      <c r="D492" s="2" t="s">
        <v>23</v>
      </c>
      <c r="E492" s="2" t="s">
        <v>20</v>
      </c>
      <c r="F492" s="2" t="n">
        <v>826</v>
      </c>
      <c r="G492" s="2" t="s">
        <v>26</v>
      </c>
      <c r="H492" s="2" t="s">
        <v>20</v>
      </c>
      <c r="I492" s="2" t="s">
        <v>23</v>
      </c>
      <c r="J492" s="2" t="n">
        <v>15</v>
      </c>
      <c r="K492" s="2" t="s">
        <v>27</v>
      </c>
      <c r="L492" s="2" t="n">
        <v>468</v>
      </c>
      <c r="M492" s="2" t="n">
        <v>2</v>
      </c>
      <c r="N492" s="2" t="n">
        <v>-1</v>
      </c>
      <c r="O492" s="2" t="n">
        <v>0</v>
      </c>
      <c r="P492" s="2" t="s">
        <v>23</v>
      </c>
      <c r="Q492" s="2" t="s">
        <v>20</v>
      </c>
    </row>
    <row r="493" customFormat="false" ht="15" hidden="false" customHeight="false" outlineLevel="0" collapsed="false">
      <c r="A493" s="2" t="n">
        <v>33</v>
      </c>
      <c r="B493" s="2" t="s">
        <v>24</v>
      </c>
      <c r="C493" s="2" t="s">
        <v>45</v>
      </c>
      <c r="D493" s="2" t="s">
        <v>25</v>
      </c>
      <c r="E493" s="2" t="s">
        <v>20</v>
      </c>
      <c r="F493" s="2" t="n">
        <v>991</v>
      </c>
      <c r="G493" s="2" t="s">
        <v>26</v>
      </c>
      <c r="H493" s="2" t="s">
        <v>20</v>
      </c>
      <c r="I493" s="2" t="s">
        <v>23</v>
      </c>
      <c r="J493" s="2" t="n">
        <v>27</v>
      </c>
      <c r="K493" s="2" t="s">
        <v>27</v>
      </c>
      <c r="L493" s="2" t="n">
        <v>148</v>
      </c>
      <c r="M493" s="2" t="n">
        <v>1</v>
      </c>
      <c r="N493" s="2" t="n">
        <v>-1</v>
      </c>
      <c r="O493" s="2" t="n">
        <v>0</v>
      </c>
      <c r="P493" s="2" t="s">
        <v>23</v>
      </c>
      <c r="Q493" s="2" t="s">
        <v>20</v>
      </c>
    </row>
    <row r="494" customFormat="false" ht="15" hidden="false" customHeight="false" outlineLevel="0" collapsed="false">
      <c r="A494" s="2" t="n">
        <v>53</v>
      </c>
      <c r="B494" s="2" t="s">
        <v>40</v>
      </c>
      <c r="C494" s="2" t="s">
        <v>18</v>
      </c>
      <c r="D494" s="2" t="s">
        <v>25</v>
      </c>
      <c r="E494" s="2" t="s">
        <v>20</v>
      </c>
      <c r="F494" s="2" t="n">
        <v>1796</v>
      </c>
      <c r="G494" s="2" t="s">
        <v>20</v>
      </c>
      <c r="H494" s="2" t="s">
        <v>20</v>
      </c>
      <c r="I494" s="2" t="s">
        <v>49</v>
      </c>
      <c r="J494" s="2" t="n">
        <v>16</v>
      </c>
      <c r="K494" s="2" t="s">
        <v>52</v>
      </c>
      <c r="L494" s="2" t="n">
        <v>295</v>
      </c>
      <c r="M494" s="2" t="n">
        <v>1</v>
      </c>
      <c r="N494" s="2" t="n">
        <v>91</v>
      </c>
      <c r="O494" s="2" t="n">
        <v>2</v>
      </c>
      <c r="P494" s="2" t="s">
        <v>50</v>
      </c>
      <c r="Q494" s="2" t="s">
        <v>26</v>
      </c>
    </row>
    <row r="495" customFormat="false" ht="15" hidden="false" customHeight="false" outlineLevel="0" collapsed="false">
      <c r="A495" s="2" t="n">
        <v>46</v>
      </c>
      <c r="B495" s="2" t="s">
        <v>40</v>
      </c>
      <c r="C495" s="2" t="s">
        <v>18</v>
      </c>
      <c r="D495" s="2" t="s">
        <v>25</v>
      </c>
      <c r="E495" s="2" t="s">
        <v>20</v>
      </c>
      <c r="F495" s="2" t="n">
        <v>22</v>
      </c>
      <c r="G495" s="2" t="s">
        <v>20</v>
      </c>
      <c r="H495" s="2" t="s">
        <v>20</v>
      </c>
      <c r="I495" s="2" t="s">
        <v>21</v>
      </c>
      <c r="J495" s="2" t="n">
        <v>26</v>
      </c>
      <c r="K495" s="2" t="s">
        <v>41</v>
      </c>
      <c r="L495" s="2" t="n">
        <v>388</v>
      </c>
      <c r="M495" s="2" t="n">
        <v>6</v>
      </c>
      <c r="N495" s="2" t="n">
        <v>-1</v>
      </c>
      <c r="O495" s="2" t="n">
        <v>0</v>
      </c>
      <c r="P495" s="2" t="s">
        <v>23</v>
      </c>
      <c r="Q495" s="2" t="s">
        <v>26</v>
      </c>
    </row>
    <row r="496" customFormat="false" ht="15" hidden="false" customHeight="false" outlineLevel="0" collapsed="false">
      <c r="A496" s="2" t="n">
        <v>44</v>
      </c>
      <c r="B496" s="2" t="s">
        <v>38</v>
      </c>
      <c r="C496" s="2" t="s">
        <v>30</v>
      </c>
      <c r="D496" s="2" t="s">
        <v>25</v>
      </c>
      <c r="E496" s="2" t="s">
        <v>20</v>
      </c>
      <c r="F496" s="2" t="n">
        <v>244</v>
      </c>
      <c r="G496" s="2" t="s">
        <v>26</v>
      </c>
      <c r="H496" s="2" t="s">
        <v>20</v>
      </c>
      <c r="I496" s="2" t="s">
        <v>21</v>
      </c>
      <c r="J496" s="2" t="n">
        <v>12</v>
      </c>
      <c r="K496" s="2" t="s">
        <v>41</v>
      </c>
      <c r="L496" s="2" t="n">
        <v>1735</v>
      </c>
      <c r="M496" s="2" t="n">
        <v>4</v>
      </c>
      <c r="N496" s="2" t="n">
        <v>-1</v>
      </c>
      <c r="O496" s="2" t="n">
        <v>0</v>
      </c>
      <c r="P496" s="2" t="s">
        <v>23</v>
      </c>
      <c r="Q496" s="2" t="s">
        <v>26</v>
      </c>
    </row>
    <row r="497" customFormat="false" ht="15" hidden="false" customHeight="false" outlineLevel="0" collapsed="false">
      <c r="A497" s="2" t="n">
        <v>48</v>
      </c>
      <c r="B497" s="2" t="s">
        <v>29</v>
      </c>
      <c r="C497" s="2" t="s">
        <v>45</v>
      </c>
      <c r="D497" s="2" t="s">
        <v>31</v>
      </c>
      <c r="E497" s="2" t="s">
        <v>20</v>
      </c>
      <c r="F497" s="2" t="n">
        <v>1328</v>
      </c>
      <c r="G497" s="2" t="s">
        <v>26</v>
      </c>
      <c r="H497" s="2" t="s">
        <v>20</v>
      </c>
      <c r="I497" s="2" t="s">
        <v>23</v>
      </c>
      <c r="J497" s="2" t="n">
        <v>6</v>
      </c>
      <c r="K497" s="2" t="s">
        <v>27</v>
      </c>
      <c r="L497" s="2" t="n">
        <v>339</v>
      </c>
      <c r="M497" s="2" t="n">
        <v>1</v>
      </c>
      <c r="N497" s="2" t="n">
        <v>-1</v>
      </c>
      <c r="O497" s="2" t="n">
        <v>0</v>
      </c>
      <c r="P497" s="2" t="s">
        <v>23</v>
      </c>
      <c r="Q497" s="2" t="s">
        <v>20</v>
      </c>
    </row>
    <row r="498" customFormat="false" ht="15" hidden="false" customHeight="false" outlineLevel="0" collapsed="false">
      <c r="A498" s="2" t="n">
        <v>50</v>
      </c>
      <c r="B498" s="2" t="s">
        <v>47</v>
      </c>
      <c r="C498" s="2" t="s">
        <v>18</v>
      </c>
      <c r="D498" s="2" t="s">
        <v>25</v>
      </c>
      <c r="E498" s="2" t="s">
        <v>20</v>
      </c>
      <c r="F498" s="2" t="n">
        <v>7317</v>
      </c>
      <c r="G498" s="2" t="s">
        <v>26</v>
      </c>
      <c r="H498" s="2" t="s">
        <v>20</v>
      </c>
      <c r="I498" s="2" t="s">
        <v>21</v>
      </c>
      <c r="J498" s="2" t="n">
        <v>13</v>
      </c>
      <c r="K498" s="2" t="s">
        <v>27</v>
      </c>
      <c r="L498" s="2" t="n">
        <v>172</v>
      </c>
      <c r="M498" s="2" t="n">
        <v>1</v>
      </c>
      <c r="N498" s="2" t="n">
        <v>370</v>
      </c>
      <c r="O498" s="2" t="n">
        <v>1</v>
      </c>
      <c r="P498" s="2" t="s">
        <v>28</v>
      </c>
      <c r="Q498" s="2" t="s">
        <v>20</v>
      </c>
    </row>
    <row r="499" customFormat="false" ht="15" hidden="false" customHeight="false" outlineLevel="0" collapsed="false">
      <c r="A499" s="2" t="n">
        <v>34</v>
      </c>
      <c r="B499" s="2" t="s">
        <v>38</v>
      </c>
      <c r="C499" s="2" t="s">
        <v>30</v>
      </c>
      <c r="D499" s="2" t="s">
        <v>25</v>
      </c>
      <c r="E499" s="2" t="s">
        <v>20</v>
      </c>
      <c r="F499" s="2" t="n">
        <v>4943</v>
      </c>
      <c r="G499" s="2" t="s">
        <v>26</v>
      </c>
      <c r="H499" s="2" t="s">
        <v>26</v>
      </c>
      <c r="I499" s="2" t="s">
        <v>21</v>
      </c>
      <c r="J499" s="2" t="n">
        <v>19</v>
      </c>
      <c r="K499" s="2" t="s">
        <v>46</v>
      </c>
      <c r="L499" s="2" t="n">
        <v>117</v>
      </c>
      <c r="M499" s="2" t="n">
        <v>2</v>
      </c>
      <c r="N499" s="2" t="n">
        <v>-1</v>
      </c>
      <c r="O499" s="2" t="n">
        <v>0</v>
      </c>
      <c r="P499" s="2" t="s">
        <v>23</v>
      </c>
      <c r="Q499" s="2" t="s">
        <v>20</v>
      </c>
    </row>
    <row r="500" customFormat="false" ht="15" hidden="false" customHeight="false" outlineLevel="0" collapsed="false">
      <c r="A500" s="2" t="n">
        <v>38</v>
      </c>
      <c r="B500" s="2" t="s">
        <v>38</v>
      </c>
      <c r="C500" s="2" t="s">
        <v>30</v>
      </c>
      <c r="D500" s="2" t="s">
        <v>25</v>
      </c>
      <c r="E500" s="2" t="s">
        <v>20</v>
      </c>
      <c r="F500" s="2" t="n">
        <v>258</v>
      </c>
      <c r="G500" s="2" t="s">
        <v>20</v>
      </c>
      <c r="H500" s="2" t="s">
        <v>26</v>
      </c>
      <c r="I500" s="2" t="s">
        <v>23</v>
      </c>
      <c r="J500" s="2" t="n">
        <v>20</v>
      </c>
      <c r="K500" s="2" t="s">
        <v>33</v>
      </c>
      <c r="L500" s="2" t="n">
        <v>587</v>
      </c>
      <c r="M500" s="2" t="n">
        <v>2</v>
      </c>
      <c r="N500" s="2" t="n">
        <v>-1</v>
      </c>
      <c r="O500" s="2" t="n">
        <v>0</v>
      </c>
      <c r="P500" s="2" t="s">
        <v>23</v>
      </c>
      <c r="Q500" s="2" t="s">
        <v>20</v>
      </c>
    </row>
    <row r="501" customFormat="false" ht="15" hidden="false" customHeight="false" outlineLevel="0" collapsed="false">
      <c r="A501" s="2" t="n">
        <v>42</v>
      </c>
      <c r="B501" s="2" t="s">
        <v>29</v>
      </c>
      <c r="C501" s="2" t="s">
        <v>30</v>
      </c>
      <c r="D501" s="2" t="s">
        <v>31</v>
      </c>
      <c r="E501" s="2" t="s">
        <v>20</v>
      </c>
      <c r="F501" s="2" t="n">
        <v>515</v>
      </c>
      <c r="G501" s="2" t="s">
        <v>26</v>
      </c>
      <c r="H501" s="2" t="s">
        <v>20</v>
      </c>
      <c r="I501" s="2" t="s">
        <v>21</v>
      </c>
      <c r="J501" s="2" t="n">
        <v>19</v>
      </c>
      <c r="K501" s="2" t="s">
        <v>46</v>
      </c>
      <c r="L501" s="2" t="n">
        <v>501</v>
      </c>
      <c r="M501" s="2" t="n">
        <v>2</v>
      </c>
      <c r="N501" s="2" t="n">
        <v>-1</v>
      </c>
      <c r="O501" s="2" t="n">
        <v>0</v>
      </c>
      <c r="P501" s="2" t="s">
        <v>23</v>
      </c>
      <c r="Q501" s="2" t="s">
        <v>20</v>
      </c>
    </row>
    <row r="502" customFormat="false" ht="15" hidden="false" customHeight="false" outlineLevel="0" collapsed="false">
      <c r="A502" s="2" t="n">
        <v>32</v>
      </c>
      <c r="B502" s="2" t="s">
        <v>29</v>
      </c>
      <c r="C502" s="2" t="s">
        <v>30</v>
      </c>
      <c r="D502" s="2" t="s">
        <v>31</v>
      </c>
      <c r="E502" s="2" t="s">
        <v>20</v>
      </c>
      <c r="F502" s="2" t="n">
        <v>12607</v>
      </c>
      <c r="G502" s="2" t="s">
        <v>20</v>
      </c>
      <c r="H502" s="2" t="s">
        <v>20</v>
      </c>
      <c r="I502" s="2" t="s">
        <v>21</v>
      </c>
      <c r="J502" s="2" t="n">
        <v>14</v>
      </c>
      <c r="K502" s="2" t="s">
        <v>41</v>
      </c>
      <c r="L502" s="2" t="n">
        <v>203</v>
      </c>
      <c r="M502" s="2" t="n">
        <v>5</v>
      </c>
      <c r="N502" s="2" t="n">
        <v>84</v>
      </c>
      <c r="O502" s="2" t="n">
        <v>1</v>
      </c>
      <c r="P502" s="2" t="s">
        <v>28</v>
      </c>
      <c r="Q502" s="2" t="s">
        <v>20</v>
      </c>
    </row>
    <row r="503" customFormat="false" ht="15" hidden="false" customHeight="false" outlineLevel="0" collapsed="false">
      <c r="A503" s="2" t="n">
        <v>58</v>
      </c>
      <c r="B503" s="2" t="s">
        <v>40</v>
      </c>
      <c r="C503" s="2" t="s">
        <v>18</v>
      </c>
      <c r="D503" s="2" t="s">
        <v>25</v>
      </c>
      <c r="E503" s="2" t="s">
        <v>20</v>
      </c>
      <c r="F503" s="2" t="n">
        <v>2</v>
      </c>
      <c r="G503" s="2" t="s">
        <v>26</v>
      </c>
      <c r="H503" s="2" t="s">
        <v>26</v>
      </c>
      <c r="I503" s="2" t="s">
        <v>49</v>
      </c>
      <c r="J503" s="2" t="n">
        <v>25</v>
      </c>
      <c r="K503" s="2" t="s">
        <v>44</v>
      </c>
      <c r="L503" s="2" t="n">
        <v>282</v>
      </c>
      <c r="M503" s="2" t="n">
        <v>9</v>
      </c>
      <c r="N503" s="2" t="n">
        <v>-1</v>
      </c>
      <c r="O503" s="2" t="n">
        <v>0</v>
      </c>
      <c r="P503" s="2" t="s">
        <v>23</v>
      </c>
      <c r="Q503" s="2" t="s">
        <v>20</v>
      </c>
    </row>
    <row r="504" customFormat="false" ht="15" hidden="false" customHeight="false" outlineLevel="0" collapsed="false">
      <c r="A504" s="2" t="n">
        <v>31</v>
      </c>
      <c r="B504" s="2" t="s">
        <v>29</v>
      </c>
      <c r="C504" s="2" t="s">
        <v>18</v>
      </c>
      <c r="D504" s="2" t="s">
        <v>31</v>
      </c>
      <c r="E504" s="2" t="s">
        <v>20</v>
      </c>
      <c r="F504" s="2" t="n">
        <v>13</v>
      </c>
      <c r="G504" s="2" t="s">
        <v>20</v>
      </c>
      <c r="H504" s="2" t="s">
        <v>20</v>
      </c>
      <c r="I504" s="2" t="s">
        <v>21</v>
      </c>
      <c r="J504" s="2" t="n">
        <v>28</v>
      </c>
      <c r="K504" s="2" t="s">
        <v>41</v>
      </c>
      <c r="L504" s="2" t="n">
        <v>110</v>
      </c>
      <c r="M504" s="2" t="n">
        <v>5</v>
      </c>
      <c r="N504" s="2" t="n">
        <v>-1</v>
      </c>
      <c r="O504" s="2" t="n">
        <v>0</v>
      </c>
      <c r="P504" s="2" t="s">
        <v>23</v>
      </c>
      <c r="Q504" s="2" t="s">
        <v>20</v>
      </c>
    </row>
    <row r="505" customFormat="false" ht="15" hidden="false" customHeight="false" outlineLevel="0" collapsed="false">
      <c r="A505" s="2" t="n">
        <v>19</v>
      </c>
      <c r="B505" s="2" t="s">
        <v>42</v>
      </c>
      <c r="C505" s="2" t="s">
        <v>30</v>
      </c>
      <c r="D505" s="2" t="s">
        <v>19</v>
      </c>
      <c r="E505" s="2" t="s">
        <v>20</v>
      </c>
      <c r="F505" s="2" t="n">
        <v>103</v>
      </c>
      <c r="G505" s="2" t="s">
        <v>20</v>
      </c>
      <c r="H505" s="2" t="s">
        <v>20</v>
      </c>
      <c r="I505" s="2" t="s">
        <v>21</v>
      </c>
      <c r="J505" s="2" t="n">
        <v>10</v>
      </c>
      <c r="K505" s="2" t="s">
        <v>44</v>
      </c>
      <c r="L505" s="2" t="n">
        <v>104</v>
      </c>
      <c r="M505" s="2" t="n">
        <v>2</v>
      </c>
      <c r="N505" s="2" t="n">
        <v>-1</v>
      </c>
      <c r="O505" s="2" t="n">
        <v>0</v>
      </c>
      <c r="P505" s="2" t="s">
        <v>23</v>
      </c>
      <c r="Q505" s="2" t="s">
        <v>26</v>
      </c>
    </row>
    <row r="506" customFormat="false" ht="15" hidden="false" customHeight="false" outlineLevel="0" collapsed="false">
      <c r="A506" s="2" t="n">
        <v>41</v>
      </c>
      <c r="B506" s="2" t="s">
        <v>29</v>
      </c>
      <c r="C506" s="2" t="s">
        <v>18</v>
      </c>
      <c r="D506" s="2" t="s">
        <v>31</v>
      </c>
      <c r="E506" s="2" t="s">
        <v>20</v>
      </c>
      <c r="F506" s="2" t="n">
        <v>3872</v>
      </c>
      <c r="G506" s="2" t="s">
        <v>20</v>
      </c>
      <c r="H506" s="2" t="s">
        <v>20</v>
      </c>
      <c r="I506" s="2" t="s">
        <v>21</v>
      </c>
      <c r="J506" s="2" t="n">
        <v>15</v>
      </c>
      <c r="K506" s="2" t="s">
        <v>22</v>
      </c>
      <c r="L506" s="2" t="n">
        <v>231</v>
      </c>
      <c r="M506" s="2" t="n">
        <v>1</v>
      </c>
      <c r="N506" s="2" t="n">
        <v>-1</v>
      </c>
      <c r="O506" s="2" t="n">
        <v>0</v>
      </c>
      <c r="P506" s="2" t="s">
        <v>23</v>
      </c>
      <c r="Q506" s="2" t="s">
        <v>20</v>
      </c>
    </row>
    <row r="507" customFormat="false" ht="15" hidden="false" customHeight="false" outlineLevel="0" collapsed="false">
      <c r="A507" s="2" t="n">
        <v>31</v>
      </c>
      <c r="B507" s="2" t="s">
        <v>17</v>
      </c>
      <c r="C507" s="2" t="s">
        <v>18</v>
      </c>
      <c r="D507" s="2" t="s">
        <v>25</v>
      </c>
      <c r="E507" s="2" t="s">
        <v>20</v>
      </c>
      <c r="F507" s="2" t="n">
        <v>296</v>
      </c>
      <c r="G507" s="2" t="s">
        <v>26</v>
      </c>
      <c r="H507" s="2" t="s">
        <v>20</v>
      </c>
      <c r="I507" s="2" t="s">
        <v>23</v>
      </c>
      <c r="J507" s="2" t="n">
        <v>20</v>
      </c>
      <c r="K507" s="2" t="s">
        <v>27</v>
      </c>
      <c r="L507" s="2" t="n">
        <v>378</v>
      </c>
      <c r="M507" s="2" t="n">
        <v>3</v>
      </c>
      <c r="N507" s="2" t="n">
        <v>-1</v>
      </c>
      <c r="O507" s="2" t="n">
        <v>0</v>
      </c>
      <c r="P507" s="2" t="s">
        <v>23</v>
      </c>
      <c r="Q507" s="2" t="s">
        <v>20</v>
      </c>
    </row>
    <row r="508" customFormat="false" ht="15" hidden="false" customHeight="false" outlineLevel="0" collapsed="false">
      <c r="A508" s="2" t="n">
        <v>52</v>
      </c>
      <c r="B508" s="2" t="s">
        <v>36</v>
      </c>
      <c r="C508" s="2" t="s">
        <v>30</v>
      </c>
      <c r="D508" s="2" t="s">
        <v>19</v>
      </c>
      <c r="E508" s="2" t="s">
        <v>20</v>
      </c>
      <c r="F508" s="2" t="n">
        <v>217</v>
      </c>
      <c r="G508" s="2" t="s">
        <v>20</v>
      </c>
      <c r="H508" s="2" t="s">
        <v>26</v>
      </c>
      <c r="I508" s="2" t="s">
        <v>21</v>
      </c>
      <c r="J508" s="2" t="n">
        <v>15</v>
      </c>
      <c r="K508" s="2" t="s">
        <v>44</v>
      </c>
      <c r="L508" s="2" t="n">
        <v>193</v>
      </c>
      <c r="M508" s="2" t="n">
        <v>6</v>
      </c>
      <c r="N508" s="2" t="n">
        <v>-1</v>
      </c>
      <c r="O508" s="2" t="n">
        <v>0</v>
      </c>
      <c r="P508" s="2" t="s">
        <v>23</v>
      </c>
      <c r="Q508" s="2" t="s">
        <v>20</v>
      </c>
    </row>
    <row r="509" customFormat="false" ht="15" hidden="false" customHeight="false" outlineLevel="0" collapsed="false">
      <c r="A509" s="2" t="n">
        <v>42</v>
      </c>
      <c r="B509" s="2" t="s">
        <v>36</v>
      </c>
      <c r="C509" s="2" t="s">
        <v>45</v>
      </c>
      <c r="D509" s="2" t="s">
        <v>31</v>
      </c>
      <c r="E509" s="2" t="s">
        <v>20</v>
      </c>
      <c r="F509" s="2" t="n">
        <v>360</v>
      </c>
      <c r="G509" s="2" t="s">
        <v>26</v>
      </c>
      <c r="H509" s="2" t="s">
        <v>20</v>
      </c>
      <c r="I509" s="2" t="s">
        <v>23</v>
      </c>
      <c r="J509" s="2" t="n">
        <v>24</v>
      </c>
      <c r="K509" s="2" t="s">
        <v>33</v>
      </c>
      <c r="L509" s="2" t="n">
        <v>110</v>
      </c>
      <c r="M509" s="2" t="n">
        <v>5</v>
      </c>
      <c r="N509" s="2" t="n">
        <v>-1</v>
      </c>
      <c r="O509" s="2" t="n">
        <v>0</v>
      </c>
      <c r="P509" s="2" t="s">
        <v>23</v>
      </c>
      <c r="Q509" s="2" t="s">
        <v>20</v>
      </c>
    </row>
    <row r="510" customFormat="false" ht="15" hidden="false" customHeight="false" outlineLevel="0" collapsed="false">
      <c r="A510" s="2" t="n">
        <v>41</v>
      </c>
      <c r="B510" s="2" t="s">
        <v>34</v>
      </c>
      <c r="C510" s="2" t="s">
        <v>30</v>
      </c>
      <c r="D510" s="2" t="s">
        <v>25</v>
      </c>
      <c r="E510" s="2" t="s">
        <v>20</v>
      </c>
      <c r="F510" s="2" t="n">
        <v>428</v>
      </c>
      <c r="G510" s="2" t="s">
        <v>26</v>
      </c>
      <c r="H510" s="2" t="s">
        <v>20</v>
      </c>
      <c r="I510" s="2" t="s">
        <v>21</v>
      </c>
      <c r="J510" s="2" t="n">
        <v>12</v>
      </c>
      <c r="K510" s="2" t="s">
        <v>27</v>
      </c>
      <c r="L510" s="2" t="n">
        <v>92</v>
      </c>
      <c r="M510" s="2" t="n">
        <v>1</v>
      </c>
      <c r="N510" s="2" t="n">
        <v>-1</v>
      </c>
      <c r="O510" s="2" t="n">
        <v>0</v>
      </c>
      <c r="P510" s="2" t="s">
        <v>23</v>
      </c>
      <c r="Q510" s="2" t="s">
        <v>20</v>
      </c>
    </row>
    <row r="511" customFormat="false" ht="15" hidden="false" customHeight="false" outlineLevel="0" collapsed="false">
      <c r="A511" s="2" t="n">
        <v>30</v>
      </c>
      <c r="B511" s="2" t="s">
        <v>34</v>
      </c>
      <c r="C511" s="2" t="s">
        <v>30</v>
      </c>
      <c r="D511" s="2" t="s">
        <v>25</v>
      </c>
      <c r="E511" s="2" t="s">
        <v>20</v>
      </c>
      <c r="F511" s="2" t="n">
        <v>315</v>
      </c>
      <c r="G511" s="2" t="s">
        <v>20</v>
      </c>
      <c r="H511" s="2" t="s">
        <v>20</v>
      </c>
      <c r="I511" s="2" t="s">
        <v>21</v>
      </c>
      <c r="J511" s="2" t="n">
        <v>23</v>
      </c>
      <c r="K511" s="2" t="s">
        <v>33</v>
      </c>
      <c r="L511" s="2" t="n">
        <v>1407</v>
      </c>
      <c r="M511" s="2" t="n">
        <v>1</v>
      </c>
      <c r="N511" s="2" t="n">
        <v>-1</v>
      </c>
      <c r="O511" s="2" t="n">
        <v>0</v>
      </c>
      <c r="P511" s="2" t="s">
        <v>23</v>
      </c>
      <c r="Q511" s="2" t="s">
        <v>26</v>
      </c>
    </row>
    <row r="512" customFormat="false" ht="15" hidden="false" customHeight="false" outlineLevel="0" collapsed="false">
      <c r="A512" s="2" t="n">
        <v>38</v>
      </c>
      <c r="B512" s="2" t="s">
        <v>34</v>
      </c>
      <c r="C512" s="2" t="s">
        <v>18</v>
      </c>
      <c r="D512" s="2" t="s">
        <v>25</v>
      </c>
      <c r="E512" s="2" t="s">
        <v>20</v>
      </c>
      <c r="F512" s="2" t="n">
        <v>121</v>
      </c>
      <c r="G512" s="2" t="s">
        <v>26</v>
      </c>
      <c r="H512" s="2" t="s">
        <v>26</v>
      </c>
      <c r="I512" s="2" t="s">
        <v>21</v>
      </c>
      <c r="J512" s="2" t="n">
        <v>6</v>
      </c>
      <c r="K512" s="2" t="s">
        <v>35</v>
      </c>
      <c r="L512" s="2" t="n">
        <v>168</v>
      </c>
      <c r="M512" s="2" t="n">
        <v>1</v>
      </c>
      <c r="N512" s="2" t="n">
        <v>212</v>
      </c>
      <c r="O512" s="2" t="n">
        <v>2</v>
      </c>
      <c r="P512" s="2" t="s">
        <v>28</v>
      </c>
      <c r="Q512" s="2" t="s">
        <v>20</v>
      </c>
    </row>
    <row r="513" customFormat="false" ht="15" hidden="false" customHeight="false" outlineLevel="0" collapsed="false">
      <c r="A513" s="2" t="n">
        <v>32</v>
      </c>
      <c r="B513" s="2" t="s">
        <v>29</v>
      </c>
      <c r="C513" s="2" t="s">
        <v>18</v>
      </c>
      <c r="D513" s="2" t="s">
        <v>31</v>
      </c>
      <c r="E513" s="2" t="s">
        <v>20</v>
      </c>
      <c r="F513" s="2" t="n">
        <v>820</v>
      </c>
      <c r="G513" s="2" t="s">
        <v>26</v>
      </c>
      <c r="H513" s="2" t="s">
        <v>20</v>
      </c>
      <c r="I513" s="2" t="s">
        <v>21</v>
      </c>
      <c r="J513" s="2" t="n">
        <v>17</v>
      </c>
      <c r="K513" s="2" t="s">
        <v>44</v>
      </c>
      <c r="L513" s="2" t="n">
        <v>738</v>
      </c>
      <c r="M513" s="2" t="n">
        <v>3</v>
      </c>
      <c r="N513" s="2" t="n">
        <v>-1</v>
      </c>
      <c r="O513" s="2" t="n">
        <v>0</v>
      </c>
      <c r="P513" s="2" t="s">
        <v>23</v>
      </c>
      <c r="Q513" s="2" t="s">
        <v>20</v>
      </c>
    </row>
    <row r="514" customFormat="false" ht="15" hidden="false" customHeight="false" outlineLevel="0" collapsed="false">
      <c r="A514" s="2" t="n">
        <v>52</v>
      </c>
      <c r="B514" s="2" t="s">
        <v>38</v>
      </c>
      <c r="C514" s="2" t="s">
        <v>18</v>
      </c>
      <c r="D514" s="2" t="s">
        <v>25</v>
      </c>
      <c r="E514" s="2" t="s">
        <v>20</v>
      </c>
      <c r="F514" s="2" t="n">
        <v>195</v>
      </c>
      <c r="G514" s="2" t="s">
        <v>26</v>
      </c>
      <c r="H514" s="2" t="s">
        <v>20</v>
      </c>
      <c r="I514" s="2" t="s">
        <v>21</v>
      </c>
      <c r="J514" s="2" t="n">
        <v>18</v>
      </c>
      <c r="K514" s="2" t="s">
        <v>35</v>
      </c>
      <c r="L514" s="2" t="n">
        <v>220</v>
      </c>
      <c r="M514" s="2" t="n">
        <v>1</v>
      </c>
      <c r="N514" s="2" t="n">
        <v>63</v>
      </c>
      <c r="O514" s="2" t="n">
        <v>5</v>
      </c>
      <c r="P514" s="2" t="s">
        <v>28</v>
      </c>
      <c r="Q514" s="2" t="s">
        <v>26</v>
      </c>
    </row>
    <row r="515" customFormat="false" ht="15" hidden="false" customHeight="false" outlineLevel="0" collapsed="false">
      <c r="A515" s="2" t="n">
        <v>48</v>
      </c>
      <c r="B515" s="2" t="s">
        <v>29</v>
      </c>
      <c r="C515" s="2" t="s">
        <v>45</v>
      </c>
      <c r="D515" s="2" t="s">
        <v>31</v>
      </c>
      <c r="E515" s="2" t="s">
        <v>20</v>
      </c>
      <c r="F515" s="2" t="n">
        <v>108</v>
      </c>
      <c r="G515" s="2" t="s">
        <v>26</v>
      </c>
      <c r="H515" s="2" t="s">
        <v>20</v>
      </c>
      <c r="I515" s="2" t="s">
        <v>23</v>
      </c>
      <c r="J515" s="2" t="n">
        <v>27</v>
      </c>
      <c r="K515" s="2" t="s">
        <v>27</v>
      </c>
      <c r="L515" s="2" t="n">
        <v>89</v>
      </c>
      <c r="M515" s="2" t="n">
        <v>2</v>
      </c>
      <c r="N515" s="2" t="n">
        <v>-1</v>
      </c>
      <c r="O515" s="2" t="n">
        <v>0</v>
      </c>
      <c r="P515" s="2" t="s">
        <v>23</v>
      </c>
      <c r="Q515" s="2" t="s">
        <v>20</v>
      </c>
    </row>
    <row r="516" customFormat="false" ht="15" hidden="false" customHeight="false" outlineLevel="0" collapsed="false">
      <c r="A516" s="2" t="n">
        <v>36</v>
      </c>
      <c r="B516" s="2" t="s">
        <v>29</v>
      </c>
      <c r="C516" s="2" t="s">
        <v>18</v>
      </c>
      <c r="D516" s="2" t="s">
        <v>31</v>
      </c>
      <c r="E516" s="2" t="s">
        <v>20</v>
      </c>
      <c r="F516" s="2" t="n">
        <v>-381</v>
      </c>
      <c r="G516" s="2" t="s">
        <v>26</v>
      </c>
      <c r="H516" s="2" t="s">
        <v>20</v>
      </c>
      <c r="I516" s="2" t="s">
        <v>21</v>
      </c>
      <c r="J516" s="2" t="n">
        <v>31</v>
      </c>
      <c r="K516" s="2" t="s">
        <v>44</v>
      </c>
      <c r="L516" s="2" t="n">
        <v>30</v>
      </c>
      <c r="M516" s="2" t="n">
        <v>29</v>
      </c>
      <c r="N516" s="2" t="n">
        <v>-1</v>
      </c>
      <c r="O516" s="2" t="n">
        <v>0</v>
      </c>
      <c r="P516" s="2" t="s">
        <v>23</v>
      </c>
      <c r="Q516" s="2" t="s">
        <v>20</v>
      </c>
    </row>
    <row r="517" customFormat="false" ht="15" hidden="false" customHeight="false" outlineLevel="0" collapsed="false">
      <c r="A517" s="2" t="n">
        <v>45</v>
      </c>
      <c r="B517" s="2" t="s">
        <v>17</v>
      </c>
      <c r="C517" s="2" t="s">
        <v>45</v>
      </c>
      <c r="D517" s="2" t="s">
        <v>19</v>
      </c>
      <c r="E517" s="2" t="s">
        <v>20</v>
      </c>
      <c r="F517" s="2" t="n">
        <v>757</v>
      </c>
      <c r="G517" s="2" t="s">
        <v>20</v>
      </c>
      <c r="H517" s="2" t="s">
        <v>20</v>
      </c>
      <c r="I517" s="2" t="s">
        <v>21</v>
      </c>
      <c r="J517" s="2" t="n">
        <v>20</v>
      </c>
      <c r="K517" s="2" t="s">
        <v>32</v>
      </c>
      <c r="L517" s="2" t="n">
        <v>103</v>
      </c>
      <c r="M517" s="2" t="n">
        <v>1</v>
      </c>
      <c r="N517" s="2" t="n">
        <v>325</v>
      </c>
      <c r="O517" s="2" t="n">
        <v>4</v>
      </c>
      <c r="P517" s="2" t="s">
        <v>28</v>
      </c>
      <c r="Q517" s="2" t="s">
        <v>20</v>
      </c>
    </row>
    <row r="518" customFormat="false" ht="15" hidden="false" customHeight="false" outlineLevel="0" collapsed="false">
      <c r="A518" s="2" t="n">
        <v>34</v>
      </c>
      <c r="B518" s="2" t="s">
        <v>38</v>
      </c>
      <c r="C518" s="2" t="s">
        <v>18</v>
      </c>
      <c r="D518" s="2" t="s">
        <v>31</v>
      </c>
      <c r="E518" s="2" t="s">
        <v>20</v>
      </c>
      <c r="F518" s="2" t="n">
        <v>691</v>
      </c>
      <c r="G518" s="2" t="s">
        <v>26</v>
      </c>
      <c r="H518" s="2" t="s">
        <v>26</v>
      </c>
      <c r="I518" s="2" t="s">
        <v>23</v>
      </c>
      <c r="J518" s="2" t="n">
        <v>2</v>
      </c>
      <c r="K518" s="2" t="s">
        <v>33</v>
      </c>
      <c r="L518" s="2" t="n">
        <v>70</v>
      </c>
      <c r="M518" s="2" t="n">
        <v>1</v>
      </c>
      <c r="N518" s="2" t="n">
        <v>-1</v>
      </c>
      <c r="O518" s="2" t="n">
        <v>0</v>
      </c>
      <c r="P518" s="2" t="s">
        <v>23</v>
      </c>
      <c r="Q518" s="2" t="s">
        <v>20</v>
      </c>
    </row>
    <row r="519" customFormat="false" ht="15" hidden="false" customHeight="false" outlineLevel="0" collapsed="false">
      <c r="A519" s="2" t="n">
        <v>36</v>
      </c>
      <c r="B519" s="2" t="s">
        <v>34</v>
      </c>
      <c r="C519" s="2" t="s">
        <v>18</v>
      </c>
      <c r="D519" s="2" t="s">
        <v>19</v>
      </c>
      <c r="E519" s="2" t="s">
        <v>20</v>
      </c>
      <c r="F519" s="2" t="n">
        <v>1925</v>
      </c>
      <c r="G519" s="2" t="s">
        <v>26</v>
      </c>
      <c r="H519" s="2" t="s">
        <v>20</v>
      </c>
      <c r="I519" s="2" t="s">
        <v>21</v>
      </c>
      <c r="J519" s="2" t="n">
        <v>20</v>
      </c>
      <c r="K519" s="2" t="s">
        <v>32</v>
      </c>
      <c r="L519" s="2" t="n">
        <v>904</v>
      </c>
      <c r="M519" s="2" t="n">
        <v>2</v>
      </c>
      <c r="N519" s="2" t="n">
        <v>-1</v>
      </c>
      <c r="O519" s="2" t="n">
        <v>0</v>
      </c>
      <c r="P519" s="2" t="s">
        <v>23</v>
      </c>
      <c r="Q519" s="2" t="s">
        <v>26</v>
      </c>
    </row>
    <row r="520" customFormat="false" ht="15" hidden="false" customHeight="false" outlineLevel="0" collapsed="false">
      <c r="A520" s="2" t="n">
        <v>34</v>
      </c>
      <c r="B520" s="2" t="s">
        <v>29</v>
      </c>
      <c r="C520" s="2" t="s">
        <v>18</v>
      </c>
      <c r="D520" s="2" t="s">
        <v>31</v>
      </c>
      <c r="E520" s="2" t="s">
        <v>20</v>
      </c>
      <c r="F520" s="2" t="n">
        <v>902</v>
      </c>
      <c r="G520" s="2" t="s">
        <v>26</v>
      </c>
      <c r="H520" s="2" t="s">
        <v>20</v>
      </c>
      <c r="I520" s="2" t="s">
        <v>21</v>
      </c>
      <c r="J520" s="2" t="n">
        <v>14</v>
      </c>
      <c r="K520" s="2" t="s">
        <v>27</v>
      </c>
      <c r="L520" s="2" t="n">
        <v>159</v>
      </c>
      <c r="M520" s="2" t="n">
        <v>1</v>
      </c>
      <c r="N520" s="2" t="n">
        <v>367</v>
      </c>
      <c r="O520" s="2" t="n">
        <v>2</v>
      </c>
      <c r="P520" s="2" t="s">
        <v>37</v>
      </c>
      <c r="Q520" s="2" t="s">
        <v>20</v>
      </c>
    </row>
    <row r="521" customFormat="false" ht="15" hidden="false" customHeight="false" outlineLevel="0" collapsed="false">
      <c r="A521" s="2" t="n">
        <v>61</v>
      </c>
      <c r="B521" s="2" t="s">
        <v>48</v>
      </c>
      <c r="C521" s="2" t="s">
        <v>18</v>
      </c>
      <c r="D521" s="2" t="s">
        <v>25</v>
      </c>
      <c r="E521" s="2" t="s">
        <v>20</v>
      </c>
      <c r="F521" s="2" t="n">
        <v>5207</v>
      </c>
      <c r="G521" s="2" t="s">
        <v>20</v>
      </c>
      <c r="H521" s="2" t="s">
        <v>20</v>
      </c>
      <c r="I521" s="2" t="s">
        <v>21</v>
      </c>
      <c r="J521" s="2" t="n">
        <v>11</v>
      </c>
      <c r="K521" s="2" t="s">
        <v>51</v>
      </c>
      <c r="L521" s="2" t="n">
        <v>336</v>
      </c>
      <c r="M521" s="2" t="n">
        <v>1</v>
      </c>
      <c r="N521" s="2" t="n">
        <v>81</v>
      </c>
      <c r="O521" s="2" t="n">
        <v>2</v>
      </c>
      <c r="P521" s="2" t="s">
        <v>37</v>
      </c>
      <c r="Q521" s="2" t="s">
        <v>20</v>
      </c>
    </row>
    <row r="522" customFormat="false" ht="15" hidden="false" customHeight="false" outlineLevel="0" collapsed="false">
      <c r="A522" s="2" t="n">
        <v>54</v>
      </c>
      <c r="B522" s="2" t="s">
        <v>24</v>
      </c>
      <c r="C522" s="2" t="s">
        <v>18</v>
      </c>
      <c r="D522" s="2" t="s">
        <v>25</v>
      </c>
      <c r="E522" s="2" t="s">
        <v>20</v>
      </c>
      <c r="F522" s="2" t="n">
        <v>0</v>
      </c>
      <c r="G522" s="2" t="s">
        <v>20</v>
      </c>
      <c r="H522" s="2" t="s">
        <v>20</v>
      </c>
      <c r="I522" s="2" t="s">
        <v>23</v>
      </c>
      <c r="J522" s="2" t="n">
        <v>19</v>
      </c>
      <c r="K522" s="2" t="s">
        <v>33</v>
      </c>
      <c r="L522" s="2" t="n">
        <v>220</v>
      </c>
      <c r="M522" s="2" t="n">
        <v>1</v>
      </c>
      <c r="N522" s="2" t="n">
        <v>-1</v>
      </c>
      <c r="O522" s="2" t="n">
        <v>0</v>
      </c>
      <c r="P522" s="2" t="s">
        <v>23</v>
      </c>
      <c r="Q522" s="2" t="s">
        <v>20</v>
      </c>
    </row>
    <row r="523" customFormat="false" ht="15" hidden="false" customHeight="false" outlineLevel="0" collapsed="false">
      <c r="A523" s="2" t="n">
        <v>50</v>
      </c>
      <c r="B523" s="2" t="s">
        <v>39</v>
      </c>
      <c r="C523" s="2" t="s">
        <v>18</v>
      </c>
      <c r="D523" s="2" t="s">
        <v>25</v>
      </c>
      <c r="E523" s="2" t="s">
        <v>20</v>
      </c>
      <c r="F523" s="2" t="n">
        <v>665</v>
      </c>
      <c r="G523" s="2" t="s">
        <v>20</v>
      </c>
      <c r="H523" s="2" t="s">
        <v>20</v>
      </c>
      <c r="I523" s="2" t="s">
        <v>49</v>
      </c>
      <c r="J523" s="2" t="n">
        <v>17</v>
      </c>
      <c r="K523" s="2" t="s">
        <v>46</v>
      </c>
      <c r="L523" s="2" t="n">
        <v>238</v>
      </c>
      <c r="M523" s="2" t="n">
        <v>1</v>
      </c>
      <c r="N523" s="2" t="n">
        <v>-1</v>
      </c>
      <c r="O523" s="2" t="n">
        <v>0</v>
      </c>
      <c r="P523" s="2" t="s">
        <v>23</v>
      </c>
      <c r="Q523" s="2" t="s">
        <v>20</v>
      </c>
    </row>
    <row r="524" customFormat="false" ht="15" hidden="false" customHeight="false" outlineLevel="0" collapsed="false">
      <c r="A524" s="2" t="n">
        <v>43</v>
      </c>
      <c r="B524" s="2" t="s">
        <v>40</v>
      </c>
      <c r="C524" s="2" t="s">
        <v>45</v>
      </c>
      <c r="D524" s="2" t="s">
        <v>25</v>
      </c>
      <c r="E524" s="2" t="s">
        <v>20</v>
      </c>
      <c r="F524" s="2" t="n">
        <v>738</v>
      </c>
      <c r="G524" s="2" t="s">
        <v>26</v>
      </c>
      <c r="H524" s="2" t="s">
        <v>20</v>
      </c>
      <c r="I524" s="2" t="s">
        <v>21</v>
      </c>
      <c r="J524" s="2" t="n">
        <v>21</v>
      </c>
      <c r="K524" s="2" t="s">
        <v>46</v>
      </c>
      <c r="L524" s="2" t="n">
        <v>585</v>
      </c>
      <c r="M524" s="2" t="n">
        <v>4</v>
      </c>
      <c r="N524" s="2" t="n">
        <v>191</v>
      </c>
      <c r="O524" s="2" t="n">
        <v>4</v>
      </c>
      <c r="P524" s="2" t="s">
        <v>28</v>
      </c>
      <c r="Q524" s="2" t="s">
        <v>20</v>
      </c>
    </row>
    <row r="525" customFormat="false" ht="15" hidden="false" customHeight="false" outlineLevel="0" collapsed="false">
      <c r="A525" s="2" t="n">
        <v>47</v>
      </c>
      <c r="B525" s="2" t="s">
        <v>34</v>
      </c>
      <c r="C525" s="2" t="s">
        <v>18</v>
      </c>
      <c r="D525" s="2" t="s">
        <v>19</v>
      </c>
      <c r="E525" s="2" t="s">
        <v>20</v>
      </c>
      <c r="F525" s="2" t="n">
        <v>233</v>
      </c>
      <c r="G525" s="2" t="s">
        <v>20</v>
      </c>
      <c r="H525" s="2" t="s">
        <v>20</v>
      </c>
      <c r="I525" s="2" t="s">
        <v>21</v>
      </c>
      <c r="J525" s="2" t="n">
        <v>8</v>
      </c>
      <c r="K525" s="2" t="s">
        <v>41</v>
      </c>
      <c r="L525" s="2" t="n">
        <v>293</v>
      </c>
      <c r="M525" s="2" t="n">
        <v>3</v>
      </c>
      <c r="N525" s="2" t="n">
        <v>-1</v>
      </c>
      <c r="O525" s="2" t="n">
        <v>0</v>
      </c>
      <c r="P525" s="2" t="s">
        <v>23</v>
      </c>
      <c r="Q525" s="2" t="s">
        <v>20</v>
      </c>
    </row>
    <row r="526" customFormat="false" ht="15" hidden="false" customHeight="false" outlineLevel="0" collapsed="false">
      <c r="A526" s="2" t="n">
        <v>45</v>
      </c>
      <c r="B526" s="2" t="s">
        <v>24</v>
      </c>
      <c r="C526" s="2" t="s">
        <v>18</v>
      </c>
      <c r="D526" s="2" t="s">
        <v>25</v>
      </c>
      <c r="E526" s="2" t="s">
        <v>20</v>
      </c>
      <c r="F526" s="2" t="n">
        <v>-839</v>
      </c>
      <c r="G526" s="2" t="s">
        <v>26</v>
      </c>
      <c r="H526" s="2" t="s">
        <v>20</v>
      </c>
      <c r="I526" s="2" t="s">
        <v>23</v>
      </c>
      <c r="J526" s="2" t="n">
        <v>28</v>
      </c>
      <c r="K526" s="2" t="s">
        <v>27</v>
      </c>
      <c r="L526" s="2" t="n">
        <v>68</v>
      </c>
      <c r="M526" s="2" t="n">
        <v>1</v>
      </c>
      <c r="N526" s="2" t="n">
        <v>-1</v>
      </c>
      <c r="O526" s="2" t="n">
        <v>0</v>
      </c>
      <c r="P526" s="2" t="s">
        <v>23</v>
      </c>
      <c r="Q526" s="2" t="s">
        <v>20</v>
      </c>
    </row>
    <row r="527" customFormat="false" ht="15" hidden="false" customHeight="false" outlineLevel="0" collapsed="false">
      <c r="A527" s="2" t="n">
        <v>57</v>
      </c>
      <c r="B527" s="2" t="s">
        <v>48</v>
      </c>
      <c r="C527" s="2" t="s">
        <v>18</v>
      </c>
      <c r="D527" s="2" t="s">
        <v>19</v>
      </c>
      <c r="E527" s="2" t="s">
        <v>20</v>
      </c>
      <c r="F527" s="2" t="n">
        <v>5799</v>
      </c>
      <c r="G527" s="2" t="s">
        <v>20</v>
      </c>
      <c r="H527" s="2" t="s">
        <v>20</v>
      </c>
      <c r="I527" s="2" t="s">
        <v>23</v>
      </c>
      <c r="J527" s="2" t="n">
        <v>17</v>
      </c>
      <c r="K527" s="2" t="s">
        <v>33</v>
      </c>
      <c r="L527" s="2" t="n">
        <v>97</v>
      </c>
      <c r="M527" s="2" t="n">
        <v>1</v>
      </c>
      <c r="N527" s="2" t="n">
        <v>-1</v>
      </c>
      <c r="O527" s="2" t="n">
        <v>0</v>
      </c>
      <c r="P527" s="2" t="s">
        <v>23</v>
      </c>
      <c r="Q527" s="2" t="s">
        <v>20</v>
      </c>
    </row>
    <row r="528" customFormat="false" ht="15" hidden="false" customHeight="false" outlineLevel="0" collapsed="false">
      <c r="A528" s="2" t="n">
        <v>27</v>
      </c>
      <c r="B528" s="2" t="s">
        <v>40</v>
      </c>
      <c r="C528" s="2" t="s">
        <v>18</v>
      </c>
      <c r="D528" s="2" t="s">
        <v>25</v>
      </c>
      <c r="E528" s="2" t="s">
        <v>20</v>
      </c>
      <c r="F528" s="2" t="n">
        <v>1033</v>
      </c>
      <c r="G528" s="2" t="s">
        <v>26</v>
      </c>
      <c r="H528" s="2" t="s">
        <v>20</v>
      </c>
      <c r="I528" s="2" t="s">
        <v>23</v>
      </c>
      <c r="J528" s="2" t="n">
        <v>9</v>
      </c>
      <c r="K528" s="2" t="s">
        <v>27</v>
      </c>
      <c r="L528" s="2" t="n">
        <v>1713</v>
      </c>
      <c r="M528" s="2" t="n">
        <v>1</v>
      </c>
      <c r="N528" s="2" t="n">
        <v>-1</v>
      </c>
      <c r="O528" s="2" t="n">
        <v>0</v>
      </c>
      <c r="P528" s="2" t="s">
        <v>23</v>
      </c>
      <c r="Q528" s="2" t="s">
        <v>20</v>
      </c>
    </row>
    <row r="529" customFormat="false" ht="15" hidden="false" customHeight="false" outlineLevel="0" collapsed="false">
      <c r="A529" s="2" t="n">
        <v>49</v>
      </c>
      <c r="B529" s="2" t="s">
        <v>17</v>
      </c>
      <c r="C529" s="2" t="s">
        <v>45</v>
      </c>
      <c r="D529" s="2" t="s">
        <v>25</v>
      </c>
      <c r="E529" s="2" t="s">
        <v>20</v>
      </c>
      <c r="F529" s="2" t="n">
        <v>66</v>
      </c>
      <c r="G529" s="2" t="s">
        <v>20</v>
      </c>
      <c r="H529" s="2" t="s">
        <v>20</v>
      </c>
      <c r="I529" s="2" t="s">
        <v>21</v>
      </c>
      <c r="J529" s="2" t="n">
        <v>9</v>
      </c>
      <c r="K529" s="2" t="s">
        <v>44</v>
      </c>
      <c r="L529" s="2" t="n">
        <v>218</v>
      </c>
      <c r="M529" s="2" t="n">
        <v>3</v>
      </c>
      <c r="N529" s="2" t="n">
        <v>-1</v>
      </c>
      <c r="O529" s="2" t="n">
        <v>0</v>
      </c>
      <c r="P529" s="2" t="s">
        <v>23</v>
      </c>
      <c r="Q529" s="2" t="s">
        <v>20</v>
      </c>
    </row>
    <row r="530" customFormat="false" ht="15" hidden="false" customHeight="false" outlineLevel="0" collapsed="false">
      <c r="A530" s="2" t="n">
        <v>43</v>
      </c>
      <c r="B530" s="2" t="s">
        <v>24</v>
      </c>
      <c r="C530" s="2" t="s">
        <v>18</v>
      </c>
      <c r="D530" s="2" t="s">
        <v>19</v>
      </c>
      <c r="E530" s="2" t="s">
        <v>20</v>
      </c>
      <c r="F530" s="2" t="n">
        <v>2567</v>
      </c>
      <c r="G530" s="2" t="s">
        <v>26</v>
      </c>
      <c r="H530" s="2" t="s">
        <v>20</v>
      </c>
      <c r="I530" s="2" t="s">
        <v>21</v>
      </c>
      <c r="J530" s="2" t="n">
        <v>14</v>
      </c>
      <c r="K530" s="2" t="s">
        <v>27</v>
      </c>
      <c r="L530" s="2" t="n">
        <v>109</v>
      </c>
      <c r="M530" s="2" t="n">
        <v>1</v>
      </c>
      <c r="N530" s="2" t="n">
        <v>360</v>
      </c>
      <c r="O530" s="2" t="n">
        <v>2</v>
      </c>
      <c r="P530" s="2" t="s">
        <v>28</v>
      </c>
      <c r="Q530" s="2" t="s">
        <v>20</v>
      </c>
    </row>
    <row r="531" customFormat="false" ht="15" hidden="false" customHeight="false" outlineLevel="0" collapsed="false">
      <c r="A531" s="2" t="n">
        <v>40</v>
      </c>
      <c r="B531" s="2" t="s">
        <v>29</v>
      </c>
      <c r="C531" s="2" t="s">
        <v>18</v>
      </c>
      <c r="D531" s="2" t="s">
        <v>31</v>
      </c>
      <c r="E531" s="2" t="s">
        <v>20</v>
      </c>
      <c r="F531" s="2" t="n">
        <v>1584</v>
      </c>
      <c r="G531" s="2" t="s">
        <v>26</v>
      </c>
      <c r="H531" s="2" t="s">
        <v>20</v>
      </c>
      <c r="I531" s="2" t="s">
        <v>49</v>
      </c>
      <c r="J531" s="2" t="n">
        <v>21</v>
      </c>
      <c r="K531" s="2" t="s">
        <v>46</v>
      </c>
      <c r="L531" s="2" t="n">
        <v>661</v>
      </c>
      <c r="M531" s="2" t="n">
        <v>1</v>
      </c>
      <c r="N531" s="2" t="n">
        <v>-1</v>
      </c>
      <c r="O531" s="2" t="n">
        <v>0</v>
      </c>
      <c r="P531" s="2" t="s">
        <v>23</v>
      </c>
      <c r="Q531" s="2" t="s">
        <v>20</v>
      </c>
    </row>
    <row r="532" customFormat="false" ht="15" hidden="false" customHeight="false" outlineLevel="0" collapsed="false">
      <c r="A532" s="2" t="n">
        <v>32</v>
      </c>
      <c r="B532" s="2" t="s">
        <v>24</v>
      </c>
      <c r="C532" s="2" t="s">
        <v>30</v>
      </c>
      <c r="D532" s="2" t="s">
        <v>25</v>
      </c>
      <c r="E532" s="2" t="s">
        <v>20</v>
      </c>
      <c r="F532" s="2" t="n">
        <v>182</v>
      </c>
      <c r="G532" s="2" t="s">
        <v>26</v>
      </c>
      <c r="H532" s="2" t="s">
        <v>20</v>
      </c>
      <c r="I532" s="2" t="s">
        <v>21</v>
      </c>
      <c r="J532" s="2" t="n">
        <v>6</v>
      </c>
      <c r="K532" s="2" t="s">
        <v>27</v>
      </c>
      <c r="L532" s="2" t="n">
        <v>145</v>
      </c>
      <c r="M532" s="2" t="n">
        <v>1</v>
      </c>
      <c r="N532" s="2" t="n">
        <v>-1</v>
      </c>
      <c r="O532" s="2" t="n">
        <v>0</v>
      </c>
      <c r="P532" s="2" t="s">
        <v>23</v>
      </c>
      <c r="Q532" s="2" t="s">
        <v>20</v>
      </c>
    </row>
    <row r="533" customFormat="false" ht="15" hidden="false" customHeight="false" outlineLevel="0" collapsed="false">
      <c r="A533" s="2" t="n">
        <v>58</v>
      </c>
      <c r="B533" s="2" t="s">
        <v>29</v>
      </c>
      <c r="C533" s="2" t="s">
        <v>18</v>
      </c>
      <c r="D533" s="2" t="s">
        <v>19</v>
      </c>
      <c r="E533" s="2" t="s">
        <v>20</v>
      </c>
      <c r="F533" s="2" t="n">
        <v>76</v>
      </c>
      <c r="G533" s="2" t="s">
        <v>26</v>
      </c>
      <c r="H533" s="2" t="s">
        <v>20</v>
      </c>
      <c r="I533" s="2" t="s">
        <v>49</v>
      </c>
      <c r="J533" s="2" t="n">
        <v>18</v>
      </c>
      <c r="K533" s="2" t="s">
        <v>27</v>
      </c>
      <c r="L533" s="2" t="n">
        <v>54</v>
      </c>
      <c r="M533" s="2" t="n">
        <v>4</v>
      </c>
      <c r="N533" s="2" t="n">
        <v>-1</v>
      </c>
      <c r="O533" s="2" t="n">
        <v>0</v>
      </c>
      <c r="P533" s="2" t="s">
        <v>23</v>
      </c>
      <c r="Q533" s="2" t="s">
        <v>20</v>
      </c>
    </row>
    <row r="534" customFormat="false" ht="15" hidden="false" customHeight="false" outlineLevel="0" collapsed="false">
      <c r="A534" s="2" t="n">
        <v>34</v>
      </c>
      <c r="B534" s="2" t="s">
        <v>40</v>
      </c>
      <c r="C534" s="2" t="s">
        <v>30</v>
      </c>
      <c r="D534" s="2" t="s">
        <v>25</v>
      </c>
      <c r="E534" s="2" t="s">
        <v>20</v>
      </c>
      <c r="F534" s="2" t="n">
        <v>663</v>
      </c>
      <c r="G534" s="2" t="s">
        <v>26</v>
      </c>
      <c r="H534" s="2" t="s">
        <v>20</v>
      </c>
      <c r="I534" s="2" t="s">
        <v>21</v>
      </c>
      <c r="J534" s="2" t="n">
        <v>20</v>
      </c>
      <c r="K534" s="2" t="s">
        <v>32</v>
      </c>
      <c r="L534" s="2" t="n">
        <v>111</v>
      </c>
      <c r="M534" s="2" t="n">
        <v>1</v>
      </c>
      <c r="N534" s="2" t="n">
        <v>-1</v>
      </c>
      <c r="O534" s="2" t="n">
        <v>0</v>
      </c>
      <c r="P534" s="2" t="s">
        <v>23</v>
      </c>
      <c r="Q534" s="2" t="s">
        <v>20</v>
      </c>
    </row>
    <row r="535" customFormat="false" ht="15" hidden="false" customHeight="false" outlineLevel="0" collapsed="false">
      <c r="A535" s="2" t="n">
        <v>46</v>
      </c>
      <c r="B535" s="2" t="s">
        <v>38</v>
      </c>
      <c r="C535" s="2" t="s">
        <v>45</v>
      </c>
      <c r="D535" s="2" t="s">
        <v>25</v>
      </c>
      <c r="E535" s="2" t="s">
        <v>20</v>
      </c>
      <c r="F535" s="2" t="n">
        <v>3455</v>
      </c>
      <c r="G535" s="2" t="s">
        <v>26</v>
      </c>
      <c r="H535" s="2" t="s">
        <v>20</v>
      </c>
      <c r="I535" s="2" t="s">
        <v>23</v>
      </c>
      <c r="J535" s="2" t="n">
        <v>14</v>
      </c>
      <c r="K535" s="2" t="s">
        <v>27</v>
      </c>
      <c r="L535" s="2" t="n">
        <v>566</v>
      </c>
      <c r="M535" s="2" t="n">
        <v>2</v>
      </c>
      <c r="N535" s="2" t="n">
        <v>-1</v>
      </c>
      <c r="O535" s="2" t="n">
        <v>0</v>
      </c>
      <c r="P535" s="2" t="s">
        <v>23</v>
      </c>
      <c r="Q535" s="2" t="s">
        <v>20</v>
      </c>
    </row>
    <row r="536" customFormat="false" ht="15" hidden="false" customHeight="false" outlineLevel="0" collapsed="false">
      <c r="A536" s="2" t="n">
        <v>29</v>
      </c>
      <c r="B536" s="2" t="s">
        <v>34</v>
      </c>
      <c r="C536" s="2" t="s">
        <v>18</v>
      </c>
      <c r="D536" s="2" t="s">
        <v>25</v>
      </c>
      <c r="E536" s="2" t="s">
        <v>20</v>
      </c>
      <c r="F536" s="2" t="n">
        <v>15</v>
      </c>
      <c r="G536" s="2" t="s">
        <v>20</v>
      </c>
      <c r="H536" s="2" t="s">
        <v>20</v>
      </c>
      <c r="I536" s="2" t="s">
        <v>21</v>
      </c>
      <c r="J536" s="2" t="n">
        <v>3</v>
      </c>
      <c r="K536" s="2" t="s">
        <v>33</v>
      </c>
      <c r="L536" s="2" t="n">
        <v>136</v>
      </c>
      <c r="M536" s="2" t="n">
        <v>1</v>
      </c>
      <c r="N536" s="2" t="n">
        <v>-1</v>
      </c>
      <c r="O536" s="2" t="n">
        <v>0</v>
      </c>
      <c r="P536" s="2" t="s">
        <v>23</v>
      </c>
      <c r="Q536" s="2" t="s">
        <v>20</v>
      </c>
    </row>
    <row r="537" customFormat="false" ht="15" hidden="false" customHeight="false" outlineLevel="0" collapsed="false">
      <c r="A537" s="2" t="n">
        <v>52</v>
      </c>
      <c r="B537" s="2" t="s">
        <v>34</v>
      </c>
      <c r="C537" s="2" t="s">
        <v>18</v>
      </c>
      <c r="D537" s="2" t="s">
        <v>19</v>
      </c>
      <c r="E537" s="2" t="s">
        <v>20</v>
      </c>
      <c r="F537" s="2" t="n">
        <v>1054</v>
      </c>
      <c r="G537" s="2" t="s">
        <v>20</v>
      </c>
      <c r="H537" s="2" t="s">
        <v>20</v>
      </c>
      <c r="I537" s="2" t="s">
        <v>21</v>
      </c>
      <c r="J537" s="2" t="n">
        <v>4</v>
      </c>
      <c r="K537" s="2" t="s">
        <v>41</v>
      </c>
      <c r="L537" s="2" t="n">
        <v>273</v>
      </c>
      <c r="M537" s="2" t="n">
        <v>1</v>
      </c>
      <c r="N537" s="2" t="n">
        <v>-1</v>
      </c>
      <c r="O537" s="2" t="n">
        <v>0</v>
      </c>
      <c r="P537" s="2" t="s">
        <v>23</v>
      </c>
      <c r="Q537" s="2" t="s">
        <v>20</v>
      </c>
    </row>
    <row r="538" customFormat="false" ht="15" hidden="false" customHeight="false" outlineLevel="0" collapsed="false">
      <c r="A538" s="2" t="n">
        <v>45</v>
      </c>
      <c r="B538" s="2" t="s">
        <v>29</v>
      </c>
      <c r="C538" s="2" t="s">
        <v>18</v>
      </c>
      <c r="D538" s="2" t="s">
        <v>31</v>
      </c>
      <c r="E538" s="2" t="s">
        <v>20</v>
      </c>
      <c r="F538" s="2" t="n">
        <v>1529</v>
      </c>
      <c r="G538" s="2" t="s">
        <v>20</v>
      </c>
      <c r="H538" s="2" t="s">
        <v>20</v>
      </c>
      <c r="I538" s="2" t="s">
        <v>21</v>
      </c>
      <c r="J538" s="2" t="n">
        <v>30</v>
      </c>
      <c r="K538" s="2" t="s">
        <v>33</v>
      </c>
      <c r="L538" s="2" t="n">
        <v>160</v>
      </c>
      <c r="M538" s="2" t="n">
        <v>1</v>
      </c>
      <c r="N538" s="2" t="n">
        <v>-1</v>
      </c>
      <c r="O538" s="2" t="n">
        <v>0</v>
      </c>
      <c r="P538" s="2" t="s">
        <v>23</v>
      </c>
      <c r="Q538" s="2" t="s">
        <v>20</v>
      </c>
    </row>
    <row r="539" customFormat="false" ht="15" hidden="false" customHeight="false" outlineLevel="0" collapsed="false">
      <c r="A539" s="2" t="n">
        <v>26</v>
      </c>
      <c r="B539" s="2" t="s">
        <v>29</v>
      </c>
      <c r="C539" s="2" t="s">
        <v>30</v>
      </c>
      <c r="D539" s="2" t="s">
        <v>25</v>
      </c>
      <c r="E539" s="2" t="s">
        <v>20</v>
      </c>
      <c r="F539" s="2" t="n">
        <v>63</v>
      </c>
      <c r="G539" s="2" t="s">
        <v>20</v>
      </c>
      <c r="H539" s="2" t="s">
        <v>20</v>
      </c>
      <c r="I539" s="2" t="s">
        <v>21</v>
      </c>
      <c r="J539" s="2" t="n">
        <v>28</v>
      </c>
      <c r="K539" s="2" t="s">
        <v>44</v>
      </c>
      <c r="L539" s="2" t="n">
        <v>76</v>
      </c>
      <c r="M539" s="2" t="n">
        <v>4</v>
      </c>
      <c r="N539" s="2" t="n">
        <v>-1</v>
      </c>
      <c r="O539" s="2" t="n">
        <v>0</v>
      </c>
      <c r="P539" s="2" t="s">
        <v>23</v>
      </c>
      <c r="Q539" s="2" t="s">
        <v>20</v>
      </c>
    </row>
    <row r="540" customFormat="false" ht="15" hidden="false" customHeight="false" outlineLevel="0" collapsed="false">
      <c r="A540" s="2" t="n">
        <v>40</v>
      </c>
      <c r="B540" s="2" t="s">
        <v>38</v>
      </c>
      <c r="C540" s="2" t="s">
        <v>18</v>
      </c>
      <c r="D540" s="2" t="s">
        <v>31</v>
      </c>
      <c r="E540" s="2" t="s">
        <v>20</v>
      </c>
      <c r="F540" s="2" t="n">
        <v>0</v>
      </c>
      <c r="G540" s="2" t="s">
        <v>20</v>
      </c>
      <c r="H540" s="2" t="s">
        <v>20</v>
      </c>
      <c r="I540" s="2" t="s">
        <v>21</v>
      </c>
      <c r="J540" s="2" t="n">
        <v>19</v>
      </c>
      <c r="K540" s="2" t="s">
        <v>41</v>
      </c>
      <c r="L540" s="2" t="n">
        <v>44</v>
      </c>
      <c r="M540" s="2" t="n">
        <v>1</v>
      </c>
      <c r="N540" s="2" t="n">
        <v>-1</v>
      </c>
      <c r="O540" s="2" t="n">
        <v>0</v>
      </c>
      <c r="P540" s="2" t="s">
        <v>23</v>
      </c>
      <c r="Q540" s="2" t="s">
        <v>20</v>
      </c>
    </row>
    <row r="541" customFormat="false" ht="15" hidden="false" customHeight="false" outlineLevel="0" collapsed="false">
      <c r="A541" s="2" t="n">
        <v>41</v>
      </c>
      <c r="B541" s="2" t="s">
        <v>40</v>
      </c>
      <c r="C541" s="2" t="s">
        <v>18</v>
      </c>
      <c r="D541" s="2" t="s">
        <v>25</v>
      </c>
      <c r="E541" s="2" t="s">
        <v>20</v>
      </c>
      <c r="F541" s="2" t="n">
        <v>920</v>
      </c>
      <c r="G541" s="2" t="s">
        <v>26</v>
      </c>
      <c r="H541" s="2" t="s">
        <v>26</v>
      </c>
      <c r="I541" s="2" t="s">
        <v>23</v>
      </c>
      <c r="J541" s="2" t="n">
        <v>27</v>
      </c>
      <c r="K541" s="2" t="s">
        <v>27</v>
      </c>
      <c r="L541" s="2" t="n">
        <v>239</v>
      </c>
      <c r="M541" s="2" t="n">
        <v>1</v>
      </c>
      <c r="N541" s="2" t="n">
        <v>-1</v>
      </c>
      <c r="O541" s="2" t="n">
        <v>0</v>
      </c>
      <c r="P541" s="2" t="s">
        <v>23</v>
      </c>
      <c r="Q541" s="2" t="s">
        <v>20</v>
      </c>
    </row>
    <row r="542" customFormat="false" ht="15" hidden="false" customHeight="false" outlineLevel="0" collapsed="false">
      <c r="A542" s="2" t="n">
        <v>47</v>
      </c>
      <c r="B542" s="2" t="s">
        <v>40</v>
      </c>
      <c r="C542" s="2" t="s">
        <v>30</v>
      </c>
      <c r="D542" s="2" t="s">
        <v>25</v>
      </c>
      <c r="E542" s="2" t="s">
        <v>20</v>
      </c>
      <c r="F542" s="2" t="n">
        <v>3696</v>
      </c>
      <c r="G542" s="2" t="s">
        <v>20</v>
      </c>
      <c r="H542" s="2" t="s">
        <v>20</v>
      </c>
      <c r="I542" s="2" t="s">
        <v>21</v>
      </c>
      <c r="J542" s="2" t="n">
        <v>12</v>
      </c>
      <c r="K542" s="2" t="s">
        <v>44</v>
      </c>
      <c r="L542" s="2" t="n">
        <v>250</v>
      </c>
      <c r="M542" s="2" t="n">
        <v>2</v>
      </c>
      <c r="N542" s="2" t="n">
        <v>181</v>
      </c>
      <c r="O542" s="2" t="n">
        <v>4</v>
      </c>
      <c r="P542" s="2" t="s">
        <v>50</v>
      </c>
      <c r="Q542" s="2" t="s">
        <v>26</v>
      </c>
    </row>
    <row r="543" customFormat="false" ht="15" hidden="false" customHeight="false" outlineLevel="0" collapsed="false">
      <c r="A543" s="2" t="n">
        <v>27</v>
      </c>
      <c r="B543" s="2" t="s">
        <v>38</v>
      </c>
      <c r="C543" s="2" t="s">
        <v>30</v>
      </c>
      <c r="D543" s="2" t="s">
        <v>23</v>
      </c>
      <c r="E543" s="2" t="s">
        <v>20</v>
      </c>
      <c r="F543" s="2" t="n">
        <v>59</v>
      </c>
      <c r="G543" s="2" t="s">
        <v>20</v>
      </c>
      <c r="H543" s="2" t="s">
        <v>20</v>
      </c>
      <c r="I543" s="2" t="s">
        <v>21</v>
      </c>
      <c r="J543" s="2" t="n">
        <v>15</v>
      </c>
      <c r="K543" s="2" t="s">
        <v>44</v>
      </c>
      <c r="L543" s="2" t="n">
        <v>792</v>
      </c>
      <c r="M543" s="2" t="n">
        <v>4</v>
      </c>
      <c r="N543" s="2" t="n">
        <v>-1</v>
      </c>
      <c r="O543" s="2" t="n">
        <v>0</v>
      </c>
      <c r="P543" s="2" t="s">
        <v>23</v>
      </c>
      <c r="Q543" s="2" t="s">
        <v>20</v>
      </c>
    </row>
    <row r="544" customFormat="false" ht="15" hidden="false" customHeight="false" outlineLevel="0" collapsed="false">
      <c r="A544" s="2" t="n">
        <v>27</v>
      </c>
      <c r="B544" s="2" t="s">
        <v>24</v>
      </c>
      <c r="C544" s="2" t="s">
        <v>18</v>
      </c>
      <c r="D544" s="2" t="s">
        <v>25</v>
      </c>
      <c r="E544" s="2" t="s">
        <v>20</v>
      </c>
      <c r="F544" s="2" t="n">
        <v>0</v>
      </c>
      <c r="G544" s="2" t="s">
        <v>26</v>
      </c>
      <c r="H544" s="2" t="s">
        <v>20</v>
      </c>
      <c r="I544" s="2" t="s">
        <v>21</v>
      </c>
      <c r="J544" s="2" t="n">
        <v>23</v>
      </c>
      <c r="K544" s="2" t="s">
        <v>44</v>
      </c>
      <c r="L544" s="2" t="n">
        <v>198</v>
      </c>
      <c r="M544" s="2" t="n">
        <v>13</v>
      </c>
      <c r="N544" s="2" t="n">
        <v>-1</v>
      </c>
      <c r="O544" s="2" t="n">
        <v>0</v>
      </c>
      <c r="P544" s="2" t="s">
        <v>23</v>
      </c>
      <c r="Q544" s="2" t="s">
        <v>20</v>
      </c>
    </row>
    <row r="545" customFormat="false" ht="15" hidden="false" customHeight="false" outlineLevel="0" collapsed="false">
      <c r="A545" s="2" t="n">
        <v>48</v>
      </c>
      <c r="B545" s="2" t="s">
        <v>34</v>
      </c>
      <c r="C545" s="2" t="s">
        <v>18</v>
      </c>
      <c r="D545" s="2" t="s">
        <v>25</v>
      </c>
      <c r="E545" s="2" t="s">
        <v>20</v>
      </c>
      <c r="F545" s="2" t="n">
        <v>157</v>
      </c>
      <c r="G545" s="2" t="s">
        <v>26</v>
      </c>
      <c r="H545" s="2" t="s">
        <v>20</v>
      </c>
      <c r="I545" s="2" t="s">
        <v>23</v>
      </c>
      <c r="J545" s="2" t="n">
        <v>6</v>
      </c>
      <c r="K545" s="2" t="s">
        <v>27</v>
      </c>
      <c r="L545" s="2" t="n">
        <v>73</v>
      </c>
      <c r="M545" s="2" t="n">
        <v>1</v>
      </c>
      <c r="N545" s="2" t="n">
        <v>-1</v>
      </c>
      <c r="O545" s="2" t="n">
        <v>0</v>
      </c>
      <c r="P545" s="2" t="s">
        <v>23</v>
      </c>
      <c r="Q545" s="2" t="s">
        <v>20</v>
      </c>
    </row>
    <row r="546" customFormat="false" ht="15" hidden="false" customHeight="false" outlineLevel="0" collapsed="false">
      <c r="A546" s="2" t="n">
        <v>49</v>
      </c>
      <c r="B546" s="2" t="s">
        <v>40</v>
      </c>
      <c r="C546" s="2" t="s">
        <v>18</v>
      </c>
      <c r="D546" s="2" t="s">
        <v>25</v>
      </c>
      <c r="E546" s="2" t="s">
        <v>20</v>
      </c>
      <c r="F546" s="2" t="n">
        <v>2465</v>
      </c>
      <c r="G546" s="2" t="s">
        <v>20</v>
      </c>
      <c r="H546" s="2" t="s">
        <v>20</v>
      </c>
      <c r="I546" s="2" t="s">
        <v>21</v>
      </c>
      <c r="J546" s="2" t="n">
        <v>20</v>
      </c>
      <c r="K546" s="2" t="s">
        <v>41</v>
      </c>
      <c r="L546" s="2" t="n">
        <v>157</v>
      </c>
      <c r="M546" s="2" t="n">
        <v>3</v>
      </c>
      <c r="N546" s="2" t="n">
        <v>-1</v>
      </c>
      <c r="O546" s="2" t="n">
        <v>0</v>
      </c>
      <c r="P546" s="2" t="s">
        <v>23</v>
      </c>
      <c r="Q546" s="2" t="s">
        <v>20</v>
      </c>
    </row>
    <row r="547" customFormat="false" ht="15" hidden="false" customHeight="false" outlineLevel="0" collapsed="false">
      <c r="A547" s="2" t="n">
        <v>35</v>
      </c>
      <c r="B547" s="2" t="s">
        <v>34</v>
      </c>
      <c r="C547" s="2" t="s">
        <v>18</v>
      </c>
      <c r="D547" s="2" t="s">
        <v>19</v>
      </c>
      <c r="E547" s="2" t="s">
        <v>20</v>
      </c>
      <c r="F547" s="2" t="n">
        <v>0</v>
      </c>
      <c r="G547" s="2" t="s">
        <v>26</v>
      </c>
      <c r="H547" s="2" t="s">
        <v>20</v>
      </c>
      <c r="I547" s="2" t="s">
        <v>21</v>
      </c>
      <c r="J547" s="2" t="n">
        <v>24</v>
      </c>
      <c r="K547" s="2" t="s">
        <v>44</v>
      </c>
      <c r="L547" s="2" t="n">
        <v>90</v>
      </c>
      <c r="M547" s="2" t="n">
        <v>6</v>
      </c>
      <c r="N547" s="2" t="n">
        <v>-1</v>
      </c>
      <c r="O547" s="2" t="n">
        <v>0</v>
      </c>
      <c r="P547" s="2" t="s">
        <v>23</v>
      </c>
      <c r="Q547" s="2" t="s">
        <v>20</v>
      </c>
    </row>
    <row r="548" customFormat="false" ht="15" hidden="false" customHeight="false" outlineLevel="0" collapsed="false">
      <c r="A548" s="2" t="n">
        <v>47</v>
      </c>
      <c r="B548" s="2" t="s">
        <v>36</v>
      </c>
      <c r="C548" s="2" t="s">
        <v>18</v>
      </c>
      <c r="D548" s="2" t="s">
        <v>25</v>
      </c>
      <c r="E548" s="2" t="s">
        <v>26</v>
      </c>
      <c r="F548" s="2" t="n">
        <v>2</v>
      </c>
      <c r="G548" s="2" t="s">
        <v>20</v>
      </c>
      <c r="H548" s="2" t="s">
        <v>20</v>
      </c>
      <c r="I548" s="2" t="s">
        <v>21</v>
      </c>
      <c r="J548" s="2" t="n">
        <v>5</v>
      </c>
      <c r="K548" s="2" t="s">
        <v>35</v>
      </c>
      <c r="L548" s="2" t="n">
        <v>236</v>
      </c>
      <c r="M548" s="2" t="n">
        <v>2</v>
      </c>
      <c r="N548" s="2" t="n">
        <v>-1</v>
      </c>
      <c r="O548" s="2" t="n">
        <v>0</v>
      </c>
      <c r="P548" s="2" t="s">
        <v>23</v>
      </c>
      <c r="Q548" s="2" t="s">
        <v>20</v>
      </c>
    </row>
    <row r="549" customFormat="false" ht="15" hidden="false" customHeight="false" outlineLevel="0" collapsed="false">
      <c r="A549" s="2" t="n">
        <v>54</v>
      </c>
      <c r="B549" s="2" t="s">
        <v>29</v>
      </c>
      <c r="C549" s="2" t="s">
        <v>18</v>
      </c>
      <c r="D549" s="2" t="s">
        <v>31</v>
      </c>
      <c r="E549" s="2" t="s">
        <v>20</v>
      </c>
      <c r="F549" s="2" t="n">
        <v>0</v>
      </c>
      <c r="G549" s="2" t="s">
        <v>20</v>
      </c>
      <c r="H549" s="2" t="s">
        <v>20</v>
      </c>
      <c r="I549" s="2" t="s">
        <v>21</v>
      </c>
      <c r="J549" s="2" t="n">
        <v>16</v>
      </c>
      <c r="K549" s="2" t="s">
        <v>44</v>
      </c>
      <c r="L549" s="2" t="n">
        <v>118</v>
      </c>
      <c r="M549" s="2" t="n">
        <v>5</v>
      </c>
      <c r="N549" s="2" t="n">
        <v>-1</v>
      </c>
      <c r="O549" s="2" t="n">
        <v>0</v>
      </c>
      <c r="P549" s="2" t="s">
        <v>23</v>
      </c>
      <c r="Q549" s="2" t="s">
        <v>20</v>
      </c>
    </row>
    <row r="550" customFormat="false" ht="15" hidden="false" customHeight="false" outlineLevel="0" collapsed="false">
      <c r="A550" s="2" t="n">
        <v>39</v>
      </c>
      <c r="B550" s="2" t="s">
        <v>29</v>
      </c>
      <c r="C550" s="2" t="s">
        <v>30</v>
      </c>
      <c r="D550" s="2" t="s">
        <v>31</v>
      </c>
      <c r="E550" s="2" t="s">
        <v>20</v>
      </c>
      <c r="F550" s="2" t="n">
        <v>12437</v>
      </c>
      <c r="G550" s="2" t="s">
        <v>20</v>
      </c>
      <c r="H550" s="2" t="s">
        <v>20</v>
      </c>
      <c r="I550" s="2" t="s">
        <v>49</v>
      </c>
      <c r="J550" s="2" t="n">
        <v>18</v>
      </c>
      <c r="K550" s="2" t="s">
        <v>46</v>
      </c>
      <c r="L550" s="2" t="n">
        <v>40</v>
      </c>
      <c r="M550" s="2" t="n">
        <v>1</v>
      </c>
      <c r="N550" s="2" t="n">
        <v>-1</v>
      </c>
      <c r="O550" s="2" t="n">
        <v>0</v>
      </c>
      <c r="P550" s="2" t="s">
        <v>23</v>
      </c>
      <c r="Q550" s="2" t="s">
        <v>20</v>
      </c>
    </row>
    <row r="551" customFormat="false" ht="15" hidden="false" customHeight="false" outlineLevel="0" collapsed="false">
      <c r="A551" s="2" t="n">
        <v>28</v>
      </c>
      <c r="B551" s="2" t="s">
        <v>42</v>
      </c>
      <c r="C551" s="2" t="s">
        <v>30</v>
      </c>
      <c r="D551" s="2" t="s">
        <v>25</v>
      </c>
      <c r="E551" s="2" t="s">
        <v>20</v>
      </c>
      <c r="F551" s="2" t="n">
        <v>378</v>
      </c>
      <c r="G551" s="2" t="s">
        <v>26</v>
      </c>
      <c r="H551" s="2" t="s">
        <v>20</v>
      </c>
      <c r="I551" s="2" t="s">
        <v>21</v>
      </c>
      <c r="J551" s="2" t="n">
        <v>17</v>
      </c>
      <c r="K551" s="2" t="s">
        <v>32</v>
      </c>
      <c r="L551" s="2" t="n">
        <v>346</v>
      </c>
      <c r="M551" s="2" t="n">
        <v>1</v>
      </c>
      <c r="N551" s="2" t="n">
        <v>-1</v>
      </c>
      <c r="O551" s="2" t="n">
        <v>0</v>
      </c>
      <c r="P551" s="2" t="s">
        <v>23</v>
      </c>
      <c r="Q551" s="2" t="s">
        <v>20</v>
      </c>
    </row>
    <row r="552" customFormat="false" ht="15" hidden="false" customHeight="false" outlineLevel="0" collapsed="false">
      <c r="A552" s="2" t="n">
        <v>54</v>
      </c>
      <c r="B552" s="2" t="s">
        <v>34</v>
      </c>
      <c r="C552" s="2" t="s">
        <v>18</v>
      </c>
      <c r="D552" s="2" t="s">
        <v>19</v>
      </c>
      <c r="E552" s="2" t="s">
        <v>20</v>
      </c>
      <c r="F552" s="2" t="n">
        <v>211</v>
      </c>
      <c r="G552" s="2" t="s">
        <v>20</v>
      </c>
      <c r="H552" s="2" t="s">
        <v>20</v>
      </c>
      <c r="I552" s="2" t="s">
        <v>23</v>
      </c>
      <c r="J552" s="2" t="n">
        <v>19</v>
      </c>
      <c r="K552" s="2" t="s">
        <v>33</v>
      </c>
      <c r="L552" s="2" t="n">
        <v>200</v>
      </c>
      <c r="M552" s="2" t="n">
        <v>2</v>
      </c>
      <c r="N552" s="2" t="n">
        <v>-1</v>
      </c>
      <c r="O552" s="2" t="n">
        <v>0</v>
      </c>
      <c r="P552" s="2" t="s">
        <v>23</v>
      </c>
      <c r="Q552" s="2" t="s">
        <v>20</v>
      </c>
    </row>
    <row r="553" customFormat="false" ht="15" hidden="false" customHeight="false" outlineLevel="0" collapsed="false">
      <c r="A553" s="2" t="n">
        <v>34</v>
      </c>
      <c r="B553" s="2" t="s">
        <v>38</v>
      </c>
      <c r="C553" s="2" t="s">
        <v>18</v>
      </c>
      <c r="D553" s="2" t="s">
        <v>25</v>
      </c>
      <c r="E553" s="2" t="s">
        <v>20</v>
      </c>
      <c r="F553" s="2" t="n">
        <v>-228</v>
      </c>
      <c r="G553" s="2" t="s">
        <v>26</v>
      </c>
      <c r="H553" s="2" t="s">
        <v>20</v>
      </c>
      <c r="I553" s="2" t="s">
        <v>21</v>
      </c>
      <c r="J553" s="2" t="n">
        <v>20</v>
      </c>
      <c r="K553" s="2" t="s">
        <v>32</v>
      </c>
      <c r="L553" s="2" t="n">
        <v>187</v>
      </c>
      <c r="M553" s="2" t="n">
        <v>3</v>
      </c>
      <c r="N553" s="2" t="n">
        <v>332</v>
      </c>
      <c r="O553" s="2" t="n">
        <v>3</v>
      </c>
      <c r="P553" s="2" t="s">
        <v>37</v>
      </c>
      <c r="Q553" s="2" t="s">
        <v>20</v>
      </c>
    </row>
    <row r="554" customFormat="false" ht="15" hidden="false" customHeight="false" outlineLevel="0" collapsed="false">
      <c r="A554" s="2" t="n">
        <v>63</v>
      </c>
      <c r="B554" s="2" t="s">
        <v>48</v>
      </c>
      <c r="C554" s="2" t="s">
        <v>18</v>
      </c>
      <c r="D554" s="2" t="s">
        <v>25</v>
      </c>
      <c r="E554" s="2" t="s">
        <v>20</v>
      </c>
      <c r="F554" s="2" t="n">
        <v>2747</v>
      </c>
      <c r="G554" s="2" t="s">
        <v>20</v>
      </c>
      <c r="H554" s="2" t="s">
        <v>20</v>
      </c>
      <c r="I554" s="2" t="s">
        <v>21</v>
      </c>
      <c r="J554" s="2" t="n">
        <v>11</v>
      </c>
      <c r="K554" s="2" t="s">
        <v>51</v>
      </c>
      <c r="L554" s="2" t="n">
        <v>113</v>
      </c>
      <c r="M554" s="2" t="n">
        <v>1</v>
      </c>
      <c r="N554" s="2" t="n">
        <v>80</v>
      </c>
      <c r="O554" s="2" t="n">
        <v>1</v>
      </c>
      <c r="P554" s="2" t="s">
        <v>28</v>
      </c>
      <c r="Q554" s="2" t="s">
        <v>20</v>
      </c>
    </row>
    <row r="555" customFormat="false" ht="15" hidden="false" customHeight="false" outlineLevel="0" collapsed="false">
      <c r="A555" s="2" t="n">
        <v>42</v>
      </c>
      <c r="B555" s="2" t="s">
        <v>36</v>
      </c>
      <c r="C555" s="2" t="s">
        <v>18</v>
      </c>
      <c r="D555" s="2" t="s">
        <v>31</v>
      </c>
      <c r="E555" s="2" t="s">
        <v>20</v>
      </c>
      <c r="F555" s="2" t="n">
        <v>1932</v>
      </c>
      <c r="G555" s="2" t="s">
        <v>26</v>
      </c>
      <c r="H555" s="2" t="s">
        <v>20</v>
      </c>
      <c r="I555" s="2" t="s">
        <v>23</v>
      </c>
      <c r="J555" s="2" t="n">
        <v>16</v>
      </c>
      <c r="K555" s="2" t="s">
        <v>27</v>
      </c>
      <c r="L555" s="2" t="n">
        <v>192</v>
      </c>
      <c r="M555" s="2" t="n">
        <v>32</v>
      </c>
      <c r="N555" s="2" t="n">
        <v>-1</v>
      </c>
      <c r="O555" s="2" t="n">
        <v>0</v>
      </c>
      <c r="P555" s="2" t="s">
        <v>23</v>
      </c>
      <c r="Q555" s="2" t="s">
        <v>20</v>
      </c>
    </row>
    <row r="556" customFormat="false" ht="15" hidden="false" customHeight="false" outlineLevel="0" collapsed="false">
      <c r="A556" s="2" t="n">
        <v>43</v>
      </c>
      <c r="B556" s="2" t="s">
        <v>38</v>
      </c>
      <c r="C556" s="2" t="s">
        <v>30</v>
      </c>
      <c r="D556" s="2" t="s">
        <v>25</v>
      </c>
      <c r="E556" s="2" t="s">
        <v>20</v>
      </c>
      <c r="F556" s="2" t="n">
        <v>11269</v>
      </c>
      <c r="G556" s="2" t="s">
        <v>20</v>
      </c>
      <c r="H556" s="2" t="s">
        <v>20</v>
      </c>
      <c r="I556" s="2" t="s">
        <v>23</v>
      </c>
      <c r="J556" s="2" t="n">
        <v>29</v>
      </c>
      <c r="K556" s="2" t="s">
        <v>27</v>
      </c>
      <c r="L556" s="2" t="n">
        <v>92</v>
      </c>
      <c r="M556" s="2" t="n">
        <v>1</v>
      </c>
      <c r="N556" s="2" t="n">
        <v>-1</v>
      </c>
      <c r="O556" s="2" t="n">
        <v>0</v>
      </c>
      <c r="P556" s="2" t="s">
        <v>23</v>
      </c>
      <c r="Q556" s="2" t="s">
        <v>20</v>
      </c>
    </row>
    <row r="557" customFormat="false" ht="15" hidden="false" customHeight="false" outlineLevel="0" collapsed="false">
      <c r="A557" s="2" t="n">
        <v>37</v>
      </c>
      <c r="B557" s="2" t="s">
        <v>40</v>
      </c>
      <c r="C557" s="2" t="s">
        <v>18</v>
      </c>
      <c r="D557" s="2" t="s">
        <v>25</v>
      </c>
      <c r="E557" s="2" t="s">
        <v>20</v>
      </c>
      <c r="F557" s="2" t="n">
        <v>1314</v>
      </c>
      <c r="G557" s="2" t="s">
        <v>26</v>
      </c>
      <c r="H557" s="2" t="s">
        <v>20</v>
      </c>
      <c r="I557" s="2" t="s">
        <v>21</v>
      </c>
      <c r="J557" s="2" t="n">
        <v>8</v>
      </c>
      <c r="K557" s="2" t="s">
        <v>27</v>
      </c>
      <c r="L557" s="2" t="n">
        <v>682</v>
      </c>
      <c r="M557" s="2" t="n">
        <v>2</v>
      </c>
      <c r="N557" s="2" t="n">
        <v>85</v>
      </c>
      <c r="O557" s="2" t="n">
        <v>7</v>
      </c>
      <c r="P557" s="2" t="s">
        <v>50</v>
      </c>
      <c r="Q557" s="2" t="s">
        <v>20</v>
      </c>
    </row>
    <row r="558" customFormat="false" ht="15" hidden="false" customHeight="false" outlineLevel="0" collapsed="false">
      <c r="A558" s="2" t="n">
        <v>55</v>
      </c>
      <c r="B558" s="2" t="s">
        <v>34</v>
      </c>
      <c r="C558" s="2" t="s">
        <v>18</v>
      </c>
      <c r="D558" s="2" t="s">
        <v>19</v>
      </c>
      <c r="E558" s="2" t="s">
        <v>20</v>
      </c>
      <c r="F558" s="2" t="n">
        <v>2275</v>
      </c>
      <c r="G558" s="2" t="s">
        <v>20</v>
      </c>
      <c r="H558" s="2" t="s">
        <v>20</v>
      </c>
      <c r="I558" s="2" t="s">
        <v>21</v>
      </c>
      <c r="J558" s="2" t="n">
        <v>25</v>
      </c>
      <c r="K558" s="2" t="s">
        <v>41</v>
      </c>
      <c r="L558" s="2" t="n">
        <v>139</v>
      </c>
      <c r="M558" s="2" t="n">
        <v>9</v>
      </c>
      <c r="N558" s="2" t="n">
        <v>-1</v>
      </c>
      <c r="O558" s="2" t="n">
        <v>0</v>
      </c>
      <c r="P558" s="2" t="s">
        <v>23</v>
      </c>
      <c r="Q558" s="2" t="s">
        <v>20</v>
      </c>
    </row>
    <row r="559" customFormat="false" ht="15" hidden="false" customHeight="false" outlineLevel="0" collapsed="false">
      <c r="A559" s="2" t="n">
        <v>43</v>
      </c>
      <c r="B559" s="2" t="s">
        <v>29</v>
      </c>
      <c r="C559" s="2" t="s">
        <v>30</v>
      </c>
      <c r="D559" s="2" t="s">
        <v>31</v>
      </c>
      <c r="E559" s="2" t="s">
        <v>20</v>
      </c>
      <c r="F559" s="2" t="n">
        <v>1304</v>
      </c>
      <c r="G559" s="2" t="s">
        <v>20</v>
      </c>
      <c r="H559" s="2" t="s">
        <v>20</v>
      </c>
      <c r="I559" s="2" t="s">
        <v>21</v>
      </c>
      <c r="J559" s="2" t="n">
        <v>6</v>
      </c>
      <c r="K559" s="2" t="s">
        <v>41</v>
      </c>
      <c r="L559" s="2" t="n">
        <v>501</v>
      </c>
      <c r="M559" s="2" t="n">
        <v>2</v>
      </c>
      <c r="N559" s="2" t="n">
        <v>-1</v>
      </c>
      <c r="O559" s="2" t="n">
        <v>0</v>
      </c>
      <c r="P559" s="2" t="s">
        <v>23</v>
      </c>
      <c r="Q559" s="2" t="s">
        <v>26</v>
      </c>
    </row>
    <row r="560" customFormat="false" ht="15" hidden="false" customHeight="false" outlineLevel="0" collapsed="false">
      <c r="A560" s="2" t="n">
        <v>41</v>
      </c>
      <c r="B560" s="2" t="s">
        <v>34</v>
      </c>
      <c r="C560" s="2" t="s">
        <v>18</v>
      </c>
      <c r="D560" s="2" t="s">
        <v>25</v>
      </c>
      <c r="E560" s="2" t="s">
        <v>26</v>
      </c>
      <c r="F560" s="2" t="n">
        <v>720</v>
      </c>
      <c r="G560" s="2" t="s">
        <v>20</v>
      </c>
      <c r="H560" s="2" t="s">
        <v>26</v>
      </c>
      <c r="I560" s="2" t="s">
        <v>21</v>
      </c>
      <c r="J560" s="2" t="n">
        <v>24</v>
      </c>
      <c r="K560" s="2" t="s">
        <v>44</v>
      </c>
      <c r="L560" s="2" t="n">
        <v>651</v>
      </c>
      <c r="M560" s="2" t="n">
        <v>1</v>
      </c>
      <c r="N560" s="2" t="n">
        <v>-1</v>
      </c>
      <c r="O560" s="2" t="n">
        <v>0</v>
      </c>
      <c r="P560" s="2" t="s">
        <v>23</v>
      </c>
      <c r="Q560" s="2" t="s">
        <v>26</v>
      </c>
    </row>
    <row r="561" customFormat="false" ht="15" hidden="false" customHeight="false" outlineLevel="0" collapsed="false">
      <c r="A561" s="2" t="n">
        <v>47</v>
      </c>
      <c r="B561" s="2" t="s">
        <v>38</v>
      </c>
      <c r="C561" s="2" t="s">
        <v>45</v>
      </c>
      <c r="D561" s="2" t="s">
        <v>25</v>
      </c>
      <c r="E561" s="2" t="s">
        <v>20</v>
      </c>
      <c r="F561" s="2" t="n">
        <v>2914</v>
      </c>
      <c r="G561" s="2" t="s">
        <v>26</v>
      </c>
      <c r="H561" s="2" t="s">
        <v>20</v>
      </c>
      <c r="I561" s="2" t="s">
        <v>21</v>
      </c>
      <c r="J561" s="2" t="n">
        <v>18</v>
      </c>
      <c r="K561" s="2" t="s">
        <v>41</v>
      </c>
      <c r="L561" s="2" t="n">
        <v>405</v>
      </c>
      <c r="M561" s="2" t="n">
        <v>13</v>
      </c>
      <c r="N561" s="2" t="n">
        <v>-1</v>
      </c>
      <c r="O561" s="2" t="n">
        <v>0</v>
      </c>
      <c r="P561" s="2" t="s">
        <v>23</v>
      </c>
      <c r="Q561" s="2" t="s">
        <v>20</v>
      </c>
    </row>
    <row r="562" customFormat="false" ht="15" hidden="false" customHeight="false" outlineLevel="0" collapsed="false">
      <c r="A562" s="2" t="n">
        <v>34</v>
      </c>
      <c r="B562" s="2" t="s">
        <v>38</v>
      </c>
      <c r="C562" s="2" t="s">
        <v>18</v>
      </c>
      <c r="D562" s="2" t="s">
        <v>25</v>
      </c>
      <c r="E562" s="2" t="s">
        <v>20</v>
      </c>
      <c r="F562" s="2" t="n">
        <v>1464</v>
      </c>
      <c r="G562" s="2" t="s">
        <v>26</v>
      </c>
      <c r="H562" s="2" t="s">
        <v>20</v>
      </c>
      <c r="I562" s="2" t="s">
        <v>23</v>
      </c>
      <c r="J562" s="2" t="n">
        <v>23</v>
      </c>
      <c r="K562" s="2" t="s">
        <v>27</v>
      </c>
      <c r="L562" s="2" t="n">
        <v>350</v>
      </c>
      <c r="M562" s="2" t="n">
        <v>1</v>
      </c>
      <c r="N562" s="2" t="n">
        <v>-1</v>
      </c>
      <c r="O562" s="2" t="n">
        <v>0</v>
      </c>
      <c r="P562" s="2" t="s">
        <v>23</v>
      </c>
      <c r="Q562" s="2" t="s">
        <v>20</v>
      </c>
    </row>
    <row r="563" customFormat="false" ht="15" hidden="false" customHeight="false" outlineLevel="0" collapsed="false">
      <c r="A563" s="2" t="n">
        <v>28</v>
      </c>
      <c r="B563" s="2" t="s">
        <v>42</v>
      </c>
      <c r="C563" s="2" t="s">
        <v>30</v>
      </c>
      <c r="D563" s="2" t="s">
        <v>25</v>
      </c>
      <c r="E563" s="2" t="s">
        <v>20</v>
      </c>
      <c r="F563" s="2" t="n">
        <v>11555</v>
      </c>
      <c r="G563" s="2" t="s">
        <v>20</v>
      </c>
      <c r="H563" s="2" t="s">
        <v>20</v>
      </c>
      <c r="I563" s="2" t="s">
        <v>21</v>
      </c>
      <c r="J563" s="2" t="n">
        <v>8</v>
      </c>
      <c r="K563" s="2" t="s">
        <v>32</v>
      </c>
      <c r="L563" s="2" t="n">
        <v>125</v>
      </c>
      <c r="M563" s="2" t="n">
        <v>2</v>
      </c>
      <c r="N563" s="2" t="n">
        <v>-1</v>
      </c>
      <c r="O563" s="2" t="n">
        <v>0</v>
      </c>
      <c r="P563" s="2" t="s">
        <v>23</v>
      </c>
      <c r="Q563" s="2" t="s">
        <v>20</v>
      </c>
    </row>
    <row r="564" customFormat="false" ht="15" hidden="false" customHeight="false" outlineLevel="0" collapsed="false">
      <c r="A564" s="2" t="n">
        <v>36</v>
      </c>
      <c r="B564" s="2" t="s">
        <v>24</v>
      </c>
      <c r="C564" s="2" t="s">
        <v>18</v>
      </c>
      <c r="D564" s="2" t="s">
        <v>25</v>
      </c>
      <c r="E564" s="2" t="s">
        <v>20</v>
      </c>
      <c r="F564" s="2" t="n">
        <v>-302</v>
      </c>
      <c r="G564" s="2" t="s">
        <v>26</v>
      </c>
      <c r="H564" s="2" t="s">
        <v>20</v>
      </c>
      <c r="I564" s="2" t="s">
        <v>21</v>
      </c>
      <c r="J564" s="2" t="n">
        <v>13</v>
      </c>
      <c r="K564" s="2" t="s">
        <v>27</v>
      </c>
      <c r="L564" s="2" t="n">
        <v>36</v>
      </c>
      <c r="M564" s="2" t="n">
        <v>2</v>
      </c>
      <c r="N564" s="2" t="n">
        <v>-1</v>
      </c>
      <c r="O564" s="2" t="n">
        <v>0</v>
      </c>
      <c r="P564" s="2" t="s">
        <v>23</v>
      </c>
      <c r="Q564" s="2" t="s">
        <v>20</v>
      </c>
    </row>
    <row r="565" customFormat="false" ht="15" hidden="false" customHeight="false" outlineLevel="0" collapsed="false">
      <c r="A565" s="2" t="n">
        <v>50</v>
      </c>
      <c r="B565" s="2" t="s">
        <v>38</v>
      </c>
      <c r="C565" s="2" t="s">
        <v>18</v>
      </c>
      <c r="D565" s="2" t="s">
        <v>25</v>
      </c>
      <c r="E565" s="2" t="s">
        <v>20</v>
      </c>
      <c r="F565" s="2" t="n">
        <v>2497</v>
      </c>
      <c r="G565" s="2" t="s">
        <v>26</v>
      </c>
      <c r="H565" s="2" t="s">
        <v>20</v>
      </c>
      <c r="I565" s="2" t="s">
        <v>21</v>
      </c>
      <c r="J565" s="2" t="n">
        <v>21</v>
      </c>
      <c r="K565" s="2" t="s">
        <v>46</v>
      </c>
      <c r="L565" s="2" t="n">
        <v>35</v>
      </c>
      <c r="M565" s="2" t="n">
        <v>1</v>
      </c>
      <c r="N565" s="2" t="n">
        <v>176</v>
      </c>
      <c r="O565" s="2" t="n">
        <v>1</v>
      </c>
      <c r="P565" s="2" t="s">
        <v>28</v>
      </c>
      <c r="Q565" s="2" t="s">
        <v>20</v>
      </c>
    </row>
    <row r="566" customFormat="false" ht="15" hidden="false" customHeight="false" outlineLevel="0" collapsed="false">
      <c r="A566" s="2" t="n">
        <v>35</v>
      </c>
      <c r="B566" s="2" t="s">
        <v>34</v>
      </c>
      <c r="C566" s="2" t="s">
        <v>18</v>
      </c>
      <c r="D566" s="2" t="s">
        <v>25</v>
      </c>
      <c r="E566" s="2" t="s">
        <v>20</v>
      </c>
      <c r="F566" s="2" t="n">
        <v>-339</v>
      </c>
      <c r="G566" s="2" t="s">
        <v>26</v>
      </c>
      <c r="H566" s="2" t="s">
        <v>20</v>
      </c>
      <c r="I566" s="2" t="s">
        <v>23</v>
      </c>
      <c r="J566" s="2" t="n">
        <v>8</v>
      </c>
      <c r="K566" s="2" t="s">
        <v>27</v>
      </c>
      <c r="L566" s="2" t="n">
        <v>389</v>
      </c>
      <c r="M566" s="2" t="n">
        <v>2</v>
      </c>
      <c r="N566" s="2" t="n">
        <v>-1</v>
      </c>
      <c r="O566" s="2" t="n">
        <v>0</v>
      </c>
      <c r="P566" s="2" t="s">
        <v>23</v>
      </c>
      <c r="Q566" s="2" t="s">
        <v>20</v>
      </c>
    </row>
    <row r="567" customFormat="false" ht="15" hidden="false" customHeight="false" outlineLevel="0" collapsed="false">
      <c r="A567" s="2" t="n">
        <v>40</v>
      </c>
      <c r="B567" s="2" t="s">
        <v>38</v>
      </c>
      <c r="C567" s="2" t="s">
        <v>18</v>
      </c>
      <c r="D567" s="2" t="s">
        <v>25</v>
      </c>
      <c r="E567" s="2" t="s">
        <v>20</v>
      </c>
      <c r="F567" s="2" t="n">
        <v>56</v>
      </c>
      <c r="G567" s="2" t="s">
        <v>26</v>
      </c>
      <c r="H567" s="2" t="s">
        <v>26</v>
      </c>
      <c r="I567" s="2" t="s">
        <v>21</v>
      </c>
      <c r="J567" s="2" t="n">
        <v>29</v>
      </c>
      <c r="K567" s="2" t="s">
        <v>43</v>
      </c>
      <c r="L567" s="2" t="n">
        <v>194</v>
      </c>
      <c r="M567" s="2" t="n">
        <v>1</v>
      </c>
      <c r="N567" s="2" t="n">
        <v>247</v>
      </c>
      <c r="O567" s="2" t="n">
        <v>1</v>
      </c>
      <c r="P567" s="2" t="s">
        <v>28</v>
      </c>
      <c r="Q567" s="2" t="s">
        <v>20</v>
      </c>
    </row>
    <row r="568" customFormat="false" ht="15" hidden="false" customHeight="false" outlineLevel="0" collapsed="false">
      <c r="A568" s="2" t="n">
        <v>26</v>
      </c>
      <c r="B568" s="2" t="s">
        <v>36</v>
      </c>
      <c r="C568" s="2" t="s">
        <v>30</v>
      </c>
      <c r="D568" s="2" t="s">
        <v>31</v>
      </c>
      <c r="E568" s="2" t="s">
        <v>20</v>
      </c>
      <c r="F568" s="2" t="n">
        <v>211</v>
      </c>
      <c r="G568" s="2" t="s">
        <v>20</v>
      </c>
      <c r="H568" s="2" t="s">
        <v>20</v>
      </c>
      <c r="I568" s="2" t="s">
        <v>21</v>
      </c>
      <c r="J568" s="2" t="n">
        <v>29</v>
      </c>
      <c r="K568" s="2" t="s">
        <v>43</v>
      </c>
      <c r="L568" s="2" t="n">
        <v>168</v>
      </c>
      <c r="M568" s="2" t="n">
        <v>3</v>
      </c>
      <c r="N568" s="2" t="n">
        <v>-1</v>
      </c>
      <c r="O568" s="2" t="n">
        <v>0</v>
      </c>
      <c r="P568" s="2" t="s">
        <v>23</v>
      </c>
      <c r="Q568" s="2" t="s">
        <v>20</v>
      </c>
    </row>
    <row r="569" customFormat="false" ht="15" hidden="false" customHeight="false" outlineLevel="0" collapsed="false">
      <c r="A569" s="2" t="n">
        <v>36</v>
      </c>
      <c r="B569" s="2" t="s">
        <v>29</v>
      </c>
      <c r="C569" s="2" t="s">
        <v>45</v>
      </c>
      <c r="D569" s="2" t="s">
        <v>31</v>
      </c>
      <c r="E569" s="2" t="s">
        <v>20</v>
      </c>
      <c r="F569" s="2" t="n">
        <v>3611</v>
      </c>
      <c r="G569" s="2" t="s">
        <v>26</v>
      </c>
      <c r="H569" s="2" t="s">
        <v>20</v>
      </c>
      <c r="I569" s="2" t="s">
        <v>23</v>
      </c>
      <c r="J569" s="2" t="n">
        <v>4</v>
      </c>
      <c r="K569" s="2" t="s">
        <v>33</v>
      </c>
      <c r="L569" s="2" t="n">
        <v>347</v>
      </c>
      <c r="M569" s="2" t="n">
        <v>3</v>
      </c>
      <c r="N569" s="2" t="n">
        <v>-1</v>
      </c>
      <c r="O569" s="2" t="n">
        <v>0</v>
      </c>
      <c r="P569" s="2" t="s">
        <v>23</v>
      </c>
      <c r="Q569" s="2" t="s">
        <v>20</v>
      </c>
    </row>
    <row r="570" customFormat="false" ht="15" hidden="false" customHeight="false" outlineLevel="0" collapsed="false">
      <c r="A570" s="2" t="n">
        <v>59</v>
      </c>
      <c r="B570" s="2" t="s">
        <v>17</v>
      </c>
      <c r="C570" s="2" t="s">
        <v>18</v>
      </c>
      <c r="D570" s="2" t="s">
        <v>19</v>
      </c>
      <c r="E570" s="2" t="s">
        <v>20</v>
      </c>
      <c r="F570" s="2" t="n">
        <v>0</v>
      </c>
      <c r="G570" s="2" t="s">
        <v>20</v>
      </c>
      <c r="H570" s="2" t="s">
        <v>20</v>
      </c>
      <c r="I570" s="2" t="s">
        <v>21</v>
      </c>
      <c r="J570" s="2" t="n">
        <v>30</v>
      </c>
      <c r="K570" s="2" t="s">
        <v>43</v>
      </c>
      <c r="L570" s="2" t="n">
        <v>3025</v>
      </c>
      <c r="M570" s="2" t="n">
        <v>2</v>
      </c>
      <c r="N570" s="2" t="n">
        <v>-1</v>
      </c>
      <c r="O570" s="2" t="n">
        <v>0</v>
      </c>
      <c r="P570" s="2" t="s">
        <v>23</v>
      </c>
      <c r="Q570" s="2" t="s">
        <v>20</v>
      </c>
    </row>
    <row r="571" customFormat="false" ht="15" hidden="false" customHeight="false" outlineLevel="0" collapsed="false">
      <c r="A571" s="2" t="n">
        <v>28</v>
      </c>
      <c r="B571" s="2" t="s">
        <v>42</v>
      </c>
      <c r="C571" s="2" t="s">
        <v>30</v>
      </c>
      <c r="D571" s="2" t="s">
        <v>25</v>
      </c>
      <c r="E571" s="2" t="s">
        <v>20</v>
      </c>
      <c r="F571" s="2" t="n">
        <v>459</v>
      </c>
      <c r="G571" s="2" t="s">
        <v>20</v>
      </c>
      <c r="H571" s="2" t="s">
        <v>20</v>
      </c>
      <c r="I571" s="2" t="s">
        <v>21</v>
      </c>
      <c r="J571" s="2" t="n">
        <v>16</v>
      </c>
      <c r="K571" s="2" t="s">
        <v>52</v>
      </c>
      <c r="L571" s="2" t="n">
        <v>83</v>
      </c>
      <c r="M571" s="2" t="n">
        <v>13</v>
      </c>
      <c r="N571" s="2" t="n">
        <v>-1</v>
      </c>
      <c r="O571" s="2" t="n">
        <v>0</v>
      </c>
      <c r="P571" s="2" t="s">
        <v>23</v>
      </c>
      <c r="Q571" s="2" t="s">
        <v>20</v>
      </c>
    </row>
    <row r="572" customFormat="false" ht="15" hidden="false" customHeight="false" outlineLevel="0" collapsed="false">
      <c r="A572" s="2" t="n">
        <v>46</v>
      </c>
      <c r="B572" s="2" t="s">
        <v>39</v>
      </c>
      <c r="C572" s="2" t="s">
        <v>18</v>
      </c>
      <c r="D572" s="2" t="s">
        <v>23</v>
      </c>
      <c r="E572" s="2" t="s">
        <v>20</v>
      </c>
      <c r="F572" s="2" t="n">
        <v>242</v>
      </c>
      <c r="G572" s="2" t="s">
        <v>26</v>
      </c>
      <c r="H572" s="2" t="s">
        <v>20</v>
      </c>
      <c r="I572" s="2" t="s">
        <v>23</v>
      </c>
      <c r="J572" s="2" t="n">
        <v>9</v>
      </c>
      <c r="K572" s="2" t="s">
        <v>27</v>
      </c>
      <c r="L572" s="2" t="n">
        <v>332</v>
      </c>
      <c r="M572" s="2" t="n">
        <v>2</v>
      </c>
      <c r="N572" s="2" t="n">
        <v>-1</v>
      </c>
      <c r="O572" s="2" t="n">
        <v>0</v>
      </c>
      <c r="P572" s="2" t="s">
        <v>23</v>
      </c>
      <c r="Q572" s="2" t="s">
        <v>20</v>
      </c>
    </row>
    <row r="573" customFormat="false" ht="15" hidden="false" customHeight="false" outlineLevel="0" collapsed="false">
      <c r="A573" s="2" t="n">
        <v>50</v>
      </c>
      <c r="B573" s="2" t="s">
        <v>36</v>
      </c>
      <c r="C573" s="2" t="s">
        <v>18</v>
      </c>
      <c r="D573" s="2" t="s">
        <v>25</v>
      </c>
      <c r="E573" s="2" t="s">
        <v>20</v>
      </c>
      <c r="F573" s="2" t="n">
        <v>1138</v>
      </c>
      <c r="G573" s="2" t="s">
        <v>20</v>
      </c>
      <c r="H573" s="2" t="s">
        <v>20</v>
      </c>
      <c r="I573" s="2" t="s">
        <v>21</v>
      </c>
      <c r="J573" s="2" t="n">
        <v>14</v>
      </c>
      <c r="K573" s="2" t="s">
        <v>41</v>
      </c>
      <c r="L573" s="2" t="n">
        <v>219</v>
      </c>
      <c r="M573" s="2" t="n">
        <v>10</v>
      </c>
      <c r="N573" s="2" t="n">
        <v>-1</v>
      </c>
      <c r="O573" s="2" t="n">
        <v>0</v>
      </c>
      <c r="P573" s="2" t="s">
        <v>23</v>
      </c>
      <c r="Q573" s="2" t="s">
        <v>20</v>
      </c>
    </row>
    <row r="574" customFormat="false" ht="15" hidden="false" customHeight="false" outlineLevel="0" collapsed="false">
      <c r="A574" s="2" t="n">
        <v>53</v>
      </c>
      <c r="B574" s="2" t="s">
        <v>29</v>
      </c>
      <c r="C574" s="2" t="s">
        <v>18</v>
      </c>
      <c r="D574" s="2" t="s">
        <v>31</v>
      </c>
      <c r="E574" s="2" t="s">
        <v>20</v>
      </c>
      <c r="F574" s="2" t="n">
        <v>1319</v>
      </c>
      <c r="G574" s="2" t="s">
        <v>26</v>
      </c>
      <c r="H574" s="2" t="s">
        <v>20</v>
      </c>
      <c r="I574" s="2" t="s">
        <v>21</v>
      </c>
      <c r="J574" s="2" t="n">
        <v>16</v>
      </c>
      <c r="K574" s="2" t="s">
        <v>32</v>
      </c>
      <c r="L574" s="2" t="n">
        <v>427</v>
      </c>
      <c r="M574" s="2" t="n">
        <v>1</v>
      </c>
      <c r="N574" s="2" t="n">
        <v>150</v>
      </c>
      <c r="O574" s="2" t="n">
        <v>1</v>
      </c>
      <c r="P574" s="2" t="s">
        <v>28</v>
      </c>
      <c r="Q574" s="2" t="s">
        <v>20</v>
      </c>
    </row>
    <row r="575" customFormat="false" ht="15" hidden="false" customHeight="false" outlineLevel="0" collapsed="false">
      <c r="A575" s="2" t="n">
        <v>81</v>
      </c>
      <c r="B575" s="2" t="s">
        <v>48</v>
      </c>
      <c r="C575" s="2" t="s">
        <v>18</v>
      </c>
      <c r="D575" s="2" t="s">
        <v>25</v>
      </c>
      <c r="E575" s="2" t="s">
        <v>20</v>
      </c>
      <c r="F575" s="2" t="n">
        <v>1</v>
      </c>
      <c r="G575" s="2" t="s">
        <v>20</v>
      </c>
      <c r="H575" s="2" t="s">
        <v>20</v>
      </c>
      <c r="I575" s="2" t="s">
        <v>21</v>
      </c>
      <c r="J575" s="2" t="n">
        <v>19</v>
      </c>
      <c r="K575" s="2" t="s">
        <v>41</v>
      </c>
      <c r="L575" s="2" t="n">
        <v>65</v>
      </c>
      <c r="M575" s="2" t="n">
        <v>5</v>
      </c>
      <c r="N575" s="2" t="n">
        <v>-1</v>
      </c>
      <c r="O575" s="2" t="n">
        <v>0</v>
      </c>
      <c r="P575" s="2" t="s">
        <v>23</v>
      </c>
      <c r="Q575" s="2" t="s">
        <v>20</v>
      </c>
    </row>
    <row r="576" customFormat="false" ht="15" hidden="false" customHeight="false" outlineLevel="0" collapsed="false">
      <c r="A576" s="2" t="n">
        <v>35</v>
      </c>
      <c r="B576" s="2" t="s">
        <v>24</v>
      </c>
      <c r="C576" s="2" t="s">
        <v>45</v>
      </c>
      <c r="D576" s="2" t="s">
        <v>25</v>
      </c>
      <c r="E576" s="2" t="s">
        <v>20</v>
      </c>
      <c r="F576" s="2" t="n">
        <v>67</v>
      </c>
      <c r="G576" s="2" t="s">
        <v>26</v>
      </c>
      <c r="H576" s="2" t="s">
        <v>20</v>
      </c>
      <c r="I576" s="2" t="s">
        <v>21</v>
      </c>
      <c r="J576" s="2" t="n">
        <v>5</v>
      </c>
      <c r="K576" s="2" t="s">
        <v>27</v>
      </c>
      <c r="L576" s="2" t="n">
        <v>192</v>
      </c>
      <c r="M576" s="2" t="n">
        <v>2</v>
      </c>
      <c r="N576" s="2" t="n">
        <v>-1</v>
      </c>
      <c r="O576" s="2" t="n">
        <v>0</v>
      </c>
      <c r="P576" s="2" t="s">
        <v>23</v>
      </c>
      <c r="Q576" s="2" t="s">
        <v>20</v>
      </c>
    </row>
    <row r="577" customFormat="false" ht="15" hidden="false" customHeight="false" outlineLevel="0" collapsed="false">
      <c r="A577" s="2" t="n">
        <v>58</v>
      </c>
      <c r="B577" s="2" t="s">
        <v>48</v>
      </c>
      <c r="C577" s="2" t="s">
        <v>18</v>
      </c>
      <c r="D577" s="2" t="s">
        <v>23</v>
      </c>
      <c r="E577" s="2" t="s">
        <v>20</v>
      </c>
      <c r="F577" s="2" t="n">
        <v>937</v>
      </c>
      <c r="G577" s="2" t="s">
        <v>20</v>
      </c>
      <c r="H577" s="2" t="s">
        <v>20</v>
      </c>
      <c r="I577" s="2" t="s">
        <v>21</v>
      </c>
      <c r="J577" s="2" t="n">
        <v>5</v>
      </c>
      <c r="K577" s="2" t="s">
        <v>41</v>
      </c>
      <c r="L577" s="2" t="n">
        <v>155</v>
      </c>
      <c r="M577" s="2" t="n">
        <v>1</v>
      </c>
      <c r="N577" s="2" t="n">
        <v>-1</v>
      </c>
      <c r="O577" s="2" t="n">
        <v>0</v>
      </c>
      <c r="P577" s="2" t="s">
        <v>23</v>
      </c>
      <c r="Q577" s="2" t="s">
        <v>20</v>
      </c>
    </row>
    <row r="578" customFormat="false" ht="15" hidden="false" customHeight="false" outlineLevel="0" collapsed="false">
      <c r="A578" s="2" t="n">
        <v>44</v>
      </c>
      <c r="B578" s="2" t="s">
        <v>24</v>
      </c>
      <c r="C578" s="2" t="s">
        <v>18</v>
      </c>
      <c r="D578" s="2" t="s">
        <v>25</v>
      </c>
      <c r="E578" s="2" t="s">
        <v>20</v>
      </c>
      <c r="F578" s="2" t="n">
        <v>0</v>
      </c>
      <c r="G578" s="2" t="s">
        <v>26</v>
      </c>
      <c r="H578" s="2" t="s">
        <v>26</v>
      </c>
      <c r="I578" s="2" t="s">
        <v>21</v>
      </c>
      <c r="J578" s="2" t="n">
        <v>11</v>
      </c>
      <c r="K578" s="2" t="s">
        <v>27</v>
      </c>
      <c r="L578" s="2" t="n">
        <v>161</v>
      </c>
      <c r="M578" s="2" t="n">
        <v>1</v>
      </c>
      <c r="N578" s="2" t="n">
        <v>-1</v>
      </c>
      <c r="O578" s="2" t="n">
        <v>0</v>
      </c>
      <c r="P578" s="2" t="s">
        <v>23</v>
      </c>
      <c r="Q578" s="2" t="s">
        <v>20</v>
      </c>
    </row>
    <row r="579" customFormat="false" ht="15" hidden="false" customHeight="false" outlineLevel="0" collapsed="false">
      <c r="A579" s="2" t="n">
        <v>38</v>
      </c>
      <c r="B579" s="2" t="s">
        <v>29</v>
      </c>
      <c r="C579" s="2" t="s">
        <v>18</v>
      </c>
      <c r="D579" s="2" t="s">
        <v>31</v>
      </c>
      <c r="E579" s="2" t="s">
        <v>20</v>
      </c>
      <c r="F579" s="2" t="n">
        <v>-558</v>
      </c>
      <c r="G579" s="2" t="s">
        <v>26</v>
      </c>
      <c r="H579" s="2" t="s">
        <v>20</v>
      </c>
      <c r="I579" s="2" t="s">
        <v>21</v>
      </c>
      <c r="J579" s="2" t="n">
        <v>21</v>
      </c>
      <c r="K579" s="2" t="s">
        <v>44</v>
      </c>
      <c r="L579" s="2" t="n">
        <v>533</v>
      </c>
      <c r="M579" s="2" t="n">
        <v>1</v>
      </c>
      <c r="N579" s="2" t="n">
        <v>-1</v>
      </c>
      <c r="O579" s="2" t="n">
        <v>0</v>
      </c>
      <c r="P579" s="2" t="s">
        <v>23</v>
      </c>
      <c r="Q579" s="2" t="s">
        <v>20</v>
      </c>
    </row>
    <row r="580" customFormat="false" ht="15" hidden="false" customHeight="false" outlineLevel="0" collapsed="false">
      <c r="A580" s="2" t="n">
        <v>49</v>
      </c>
      <c r="B580" s="2" t="s">
        <v>34</v>
      </c>
      <c r="C580" s="2" t="s">
        <v>18</v>
      </c>
      <c r="D580" s="2" t="s">
        <v>25</v>
      </c>
      <c r="E580" s="2" t="s">
        <v>20</v>
      </c>
      <c r="F580" s="2" t="n">
        <v>171</v>
      </c>
      <c r="G580" s="2" t="s">
        <v>20</v>
      </c>
      <c r="H580" s="2" t="s">
        <v>20</v>
      </c>
      <c r="I580" s="2" t="s">
        <v>21</v>
      </c>
      <c r="J580" s="2" t="n">
        <v>4</v>
      </c>
      <c r="K580" s="2" t="s">
        <v>35</v>
      </c>
      <c r="L580" s="2" t="n">
        <v>19</v>
      </c>
      <c r="M580" s="2" t="n">
        <v>3</v>
      </c>
      <c r="N580" s="2" t="n">
        <v>175</v>
      </c>
      <c r="O580" s="2" t="n">
        <v>2</v>
      </c>
      <c r="P580" s="2" t="s">
        <v>37</v>
      </c>
      <c r="Q580" s="2" t="s">
        <v>20</v>
      </c>
    </row>
    <row r="581" customFormat="false" ht="15" hidden="false" customHeight="false" outlineLevel="0" collapsed="false">
      <c r="A581" s="2" t="n">
        <v>33</v>
      </c>
      <c r="B581" s="2" t="s">
        <v>38</v>
      </c>
      <c r="C581" s="2" t="s">
        <v>30</v>
      </c>
      <c r="D581" s="2" t="s">
        <v>31</v>
      </c>
      <c r="E581" s="2" t="s">
        <v>20</v>
      </c>
      <c r="F581" s="2" t="n">
        <v>696</v>
      </c>
      <c r="G581" s="2" t="s">
        <v>20</v>
      </c>
      <c r="H581" s="2" t="s">
        <v>26</v>
      </c>
      <c r="I581" s="2" t="s">
        <v>21</v>
      </c>
      <c r="J581" s="2" t="n">
        <v>5</v>
      </c>
      <c r="K581" s="2" t="s">
        <v>35</v>
      </c>
      <c r="L581" s="2" t="n">
        <v>193</v>
      </c>
      <c r="M581" s="2" t="n">
        <v>1</v>
      </c>
      <c r="N581" s="2" t="n">
        <v>176</v>
      </c>
      <c r="O581" s="2" t="n">
        <v>8</v>
      </c>
      <c r="P581" s="2" t="s">
        <v>28</v>
      </c>
      <c r="Q581" s="2" t="s">
        <v>20</v>
      </c>
    </row>
    <row r="582" customFormat="false" ht="15" hidden="false" customHeight="false" outlineLevel="0" collapsed="false">
      <c r="A582" s="2" t="n">
        <v>29</v>
      </c>
      <c r="B582" s="2" t="s">
        <v>29</v>
      </c>
      <c r="C582" s="2" t="s">
        <v>18</v>
      </c>
      <c r="D582" s="2" t="s">
        <v>31</v>
      </c>
      <c r="E582" s="2" t="s">
        <v>20</v>
      </c>
      <c r="F582" s="2" t="n">
        <v>361</v>
      </c>
      <c r="G582" s="2" t="s">
        <v>26</v>
      </c>
      <c r="H582" s="2" t="s">
        <v>26</v>
      </c>
      <c r="I582" s="2" t="s">
        <v>21</v>
      </c>
      <c r="J582" s="2" t="n">
        <v>28</v>
      </c>
      <c r="K582" s="2" t="s">
        <v>44</v>
      </c>
      <c r="L582" s="2" t="n">
        <v>819</v>
      </c>
      <c r="M582" s="2" t="n">
        <v>3</v>
      </c>
      <c r="N582" s="2" t="n">
        <v>-1</v>
      </c>
      <c r="O582" s="2" t="n">
        <v>0</v>
      </c>
      <c r="P582" s="2" t="s">
        <v>23</v>
      </c>
      <c r="Q582" s="2" t="s">
        <v>20</v>
      </c>
    </row>
    <row r="583" customFormat="false" ht="15" hidden="false" customHeight="false" outlineLevel="0" collapsed="false">
      <c r="A583" s="2" t="n">
        <v>28</v>
      </c>
      <c r="B583" s="2" t="s">
        <v>38</v>
      </c>
      <c r="C583" s="2" t="s">
        <v>30</v>
      </c>
      <c r="D583" s="2" t="s">
        <v>25</v>
      </c>
      <c r="E583" s="2" t="s">
        <v>20</v>
      </c>
      <c r="F583" s="2" t="n">
        <v>227</v>
      </c>
      <c r="G583" s="2" t="s">
        <v>20</v>
      </c>
      <c r="H583" s="2" t="s">
        <v>20</v>
      </c>
      <c r="I583" s="2" t="s">
        <v>21</v>
      </c>
      <c r="J583" s="2" t="n">
        <v>30</v>
      </c>
      <c r="K583" s="2" t="s">
        <v>32</v>
      </c>
      <c r="L583" s="2" t="n">
        <v>278</v>
      </c>
      <c r="M583" s="2" t="n">
        <v>1</v>
      </c>
      <c r="N583" s="2" t="n">
        <v>-1</v>
      </c>
      <c r="O583" s="2" t="n">
        <v>0</v>
      </c>
      <c r="P583" s="2" t="s">
        <v>23</v>
      </c>
      <c r="Q583" s="2" t="s">
        <v>26</v>
      </c>
    </row>
    <row r="584" customFormat="false" ht="15" hidden="false" customHeight="false" outlineLevel="0" collapsed="false">
      <c r="A584" s="2" t="n">
        <v>31</v>
      </c>
      <c r="B584" s="2" t="s">
        <v>40</v>
      </c>
      <c r="C584" s="2" t="s">
        <v>18</v>
      </c>
      <c r="D584" s="2" t="s">
        <v>25</v>
      </c>
      <c r="E584" s="2" t="s">
        <v>20</v>
      </c>
      <c r="F584" s="2" t="n">
        <v>236</v>
      </c>
      <c r="G584" s="2" t="s">
        <v>26</v>
      </c>
      <c r="H584" s="2" t="s">
        <v>26</v>
      </c>
      <c r="I584" s="2" t="s">
        <v>49</v>
      </c>
      <c r="J584" s="2" t="n">
        <v>4</v>
      </c>
      <c r="K584" s="2" t="s">
        <v>27</v>
      </c>
      <c r="L584" s="2" t="n">
        <v>211</v>
      </c>
      <c r="M584" s="2" t="n">
        <v>3</v>
      </c>
      <c r="N584" s="2" t="n">
        <v>-1</v>
      </c>
      <c r="O584" s="2" t="n">
        <v>0</v>
      </c>
      <c r="P584" s="2" t="s">
        <v>23</v>
      </c>
      <c r="Q584" s="2" t="s">
        <v>20</v>
      </c>
    </row>
    <row r="585" customFormat="false" ht="15" hidden="false" customHeight="false" outlineLevel="0" collapsed="false">
      <c r="A585" s="2" t="n">
        <v>33</v>
      </c>
      <c r="B585" s="2" t="s">
        <v>29</v>
      </c>
      <c r="C585" s="2" t="s">
        <v>30</v>
      </c>
      <c r="D585" s="2" t="s">
        <v>31</v>
      </c>
      <c r="E585" s="2" t="s">
        <v>20</v>
      </c>
      <c r="F585" s="2" t="n">
        <v>-53</v>
      </c>
      <c r="G585" s="2" t="s">
        <v>20</v>
      </c>
      <c r="H585" s="2" t="s">
        <v>20</v>
      </c>
      <c r="I585" s="2" t="s">
        <v>21</v>
      </c>
      <c r="J585" s="2" t="n">
        <v>29</v>
      </c>
      <c r="K585" s="2" t="s">
        <v>43</v>
      </c>
      <c r="L585" s="2" t="n">
        <v>617</v>
      </c>
      <c r="M585" s="2" t="n">
        <v>2</v>
      </c>
      <c r="N585" s="2" t="n">
        <v>-1</v>
      </c>
      <c r="O585" s="2" t="n">
        <v>0</v>
      </c>
      <c r="P585" s="2" t="s">
        <v>23</v>
      </c>
      <c r="Q585" s="2" t="s">
        <v>20</v>
      </c>
    </row>
    <row r="586" customFormat="false" ht="15" hidden="false" customHeight="false" outlineLevel="0" collapsed="false">
      <c r="A586" s="2" t="n">
        <v>52</v>
      </c>
      <c r="B586" s="2" t="s">
        <v>38</v>
      </c>
      <c r="C586" s="2" t="s">
        <v>18</v>
      </c>
      <c r="D586" s="2" t="s">
        <v>25</v>
      </c>
      <c r="E586" s="2" t="s">
        <v>20</v>
      </c>
      <c r="F586" s="2" t="n">
        <v>192</v>
      </c>
      <c r="G586" s="2" t="s">
        <v>26</v>
      </c>
      <c r="H586" s="2" t="s">
        <v>20</v>
      </c>
      <c r="I586" s="2" t="s">
        <v>21</v>
      </c>
      <c r="J586" s="2" t="n">
        <v>23</v>
      </c>
      <c r="K586" s="2" t="s">
        <v>44</v>
      </c>
      <c r="L586" s="2" t="n">
        <v>61</v>
      </c>
      <c r="M586" s="2" t="n">
        <v>2</v>
      </c>
      <c r="N586" s="2" t="n">
        <v>-1</v>
      </c>
      <c r="O586" s="2" t="n">
        <v>0</v>
      </c>
      <c r="P586" s="2" t="s">
        <v>23</v>
      </c>
      <c r="Q586" s="2" t="s">
        <v>20</v>
      </c>
    </row>
    <row r="587" customFormat="false" ht="15" hidden="false" customHeight="false" outlineLevel="0" collapsed="false">
      <c r="A587" s="2" t="n">
        <v>43</v>
      </c>
      <c r="B587" s="2" t="s">
        <v>29</v>
      </c>
      <c r="C587" s="2" t="s">
        <v>45</v>
      </c>
      <c r="D587" s="2" t="s">
        <v>31</v>
      </c>
      <c r="E587" s="2" t="s">
        <v>20</v>
      </c>
      <c r="F587" s="2" t="n">
        <v>38</v>
      </c>
      <c r="G587" s="2" t="s">
        <v>26</v>
      </c>
      <c r="H587" s="2" t="s">
        <v>20</v>
      </c>
      <c r="I587" s="2" t="s">
        <v>21</v>
      </c>
      <c r="J587" s="2" t="n">
        <v>25</v>
      </c>
      <c r="K587" s="2" t="s">
        <v>44</v>
      </c>
      <c r="L587" s="2" t="n">
        <v>197</v>
      </c>
      <c r="M587" s="2" t="n">
        <v>6</v>
      </c>
      <c r="N587" s="2" t="n">
        <v>-1</v>
      </c>
      <c r="O587" s="2" t="n">
        <v>0</v>
      </c>
      <c r="P587" s="2" t="s">
        <v>23</v>
      </c>
      <c r="Q587" s="2" t="s">
        <v>20</v>
      </c>
    </row>
    <row r="588" customFormat="false" ht="15" hidden="false" customHeight="false" outlineLevel="0" collapsed="false">
      <c r="A588" s="2" t="n">
        <v>32</v>
      </c>
      <c r="B588" s="2" t="s">
        <v>36</v>
      </c>
      <c r="C588" s="2" t="s">
        <v>30</v>
      </c>
      <c r="D588" s="2" t="s">
        <v>25</v>
      </c>
      <c r="E588" s="2" t="s">
        <v>20</v>
      </c>
      <c r="F588" s="2" t="n">
        <v>518</v>
      </c>
      <c r="G588" s="2" t="s">
        <v>26</v>
      </c>
      <c r="H588" s="2" t="s">
        <v>20</v>
      </c>
      <c r="I588" s="2" t="s">
        <v>21</v>
      </c>
      <c r="J588" s="2" t="n">
        <v>18</v>
      </c>
      <c r="K588" s="2" t="s">
        <v>27</v>
      </c>
      <c r="L588" s="2" t="n">
        <v>34</v>
      </c>
      <c r="M588" s="2" t="n">
        <v>7</v>
      </c>
      <c r="N588" s="2" t="n">
        <v>-1</v>
      </c>
      <c r="O588" s="2" t="n">
        <v>0</v>
      </c>
      <c r="P588" s="2" t="s">
        <v>23</v>
      </c>
      <c r="Q588" s="2" t="s">
        <v>20</v>
      </c>
    </row>
    <row r="589" customFormat="false" ht="15" hidden="false" customHeight="false" outlineLevel="0" collapsed="false">
      <c r="A589" s="2" t="n">
        <v>36</v>
      </c>
      <c r="B589" s="2" t="s">
        <v>36</v>
      </c>
      <c r="C589" s="2" t="s">
        <v>18</v>
      </c>
      <c r="D589" s="2" t="s">
        <v>31</v>
      </c>
      <c r="E589" s="2" t="s">
        <v>20</v>
      </c>
      <c r="F589" s="2" t="n">
        <v>16</v>
      </c>
      <c r="G589" s="2" t="s">
        <v>26</v>
      </c>
      <c r="H589" s="2" t="s">
        <v>26</v>
      </c>
      <c r="I589" s="2" t="s">
        <v>21</v>
      </c>
      <c r="J589" s="2" t="n">
        <v>18</v>
      </c>
      <c r="K589" s="2" t="s">
        <v>44</v>
      </c>
      <c r="L589" s="2" t="n">
        <v>95</v>
      </c>
      <c r="M589" s="2" t="n">
        <v>4</v>
      </c>
      <c r="N589" s="2" t="n">
        <v>-1</v>
      </c>
      <c r="O589" s="2" t="n">
        <v>0</v>
      </c>
      <c r="P589" s="2" t="s">
        <v>23</v>
      </c>
      <c r="Q589" s="2" t="s">
        <v>20</v>
      </c>
    </row>
    <row r="590" customFormat="false" ht="15" hidden="false" customHeight="false" outlineLevel="0" collapsed="false">
      <c r="A590" s="2" t="n">
        <v>41</v>
      </c>
      <c r="B590" s="2" t="s">
        <v>34</v>
      </c>
      <c r="C590" s="2" t="s">
        <v>18</v>
      </c>
      <c r="D590" s="2" t="s">
        <v>25</v>
      </c>
      <c r="E590" s="2" t="s">
        <v>20</v>
      </c>
      <c r="F590" s="2" t="n">
        <v>-256</v>
      </c>
      <c r="G590" s="2" t="s">
        <v>26</v>
      </c>
      <c r="H590" s="2" t="s">
        <v>20</v>
      </c>
      <c r="I590" s="2" t="s">
        <v>23</v>
      </c>
      <c r="J590" s="2" t="n">
        <v>3</v>
      </c>
      <c r="K590" s="2" t="s">
        <v>33</v>
      </c>
      <c r="L590" s="2" t="n">
        <v>147</v>
      </c>
      <c r="M590" s="2" t="n">
        <v>2</v>
      </c>
      <c r="N590" s="2" t="n">
        <v>-1</v>
      </c>
      <c r="O590" s="2" t="n">
        <v>0</v>
      </c>
      <c r="P590" s="2" t="s">
        <v>23</v>
      </c>
      <c r="Q590" s="2" t="s">
        <v>20</v>
      </c>
    </row>
    <row r="591" customFormat="false" ht="15" hidden="false" customHeight="false" outlineLevel="0" collapsed="false">
      <c r="A591" s="2" t="n">
        <v>43</v>
      </c>
      <c r="B591" s="2" t="s">
        <v>34</v>
      </c>
      <c r="C591" s="2" t="s">
        <v>18</v>
      </c>
      <c r="D591" s="2" t="s">
        <v>25</v>
      </c>
      <c r="E591" s="2" t="s">
        <v>20</v>
      </c>
      <c r="F591" s="2" t="n">
        <v>105</v>
      </c>
      <c r="G591" s="2" t="s">
        <v>20</v>
      </c>
      <c r="H591" s="2" t="s">
        <v>26</v>
      </c>
      <c r="I591" s="2" t="s">
        <v>21</v>
      </c>
      <c r="J591" s="2" t="n">
        <v>4</v>
      </c>
      <c r="K591" s="2" t="s">
        <v>44</v>
      </c>
      <c r="L591" s="2" t="n">
        <v>668</v>
      </c>
      <c r="M591" s="2" t="n">
        <v>2</v>
      </c>
      <c r="N591" s="2" t="n">
        <v>-1</v>
      </c>
      <c r="O591" s="2" t="n">
        <v>0</v>
      </c>
      <c r="P591" s="2" t="s">
        <v>23</v>
      </c>
      <c r="Q591" s="2" t="s">
        <v>20</v>
      </c>
    </row>
    <row r="592" customFormat="false" ht="15" hidden="false" customHeight="false" outlineLevel="0" collapsed="false">
      <c r="A592" s="2" t="n">
        <v>45</v>
      </c>
      <c r="B592" s="2" t="s">
        <v>36</v>
      </c>
      <c r="C592" s="2" t="s">
        <v>18</v>
      </c>
      <c r="D592" s="2" t="s">
        <v>31</v>
      </c>
      <c r="E592" s="2" t="s">
        <v>20</v>
      </c>
      <c r="F592" s="2" t="n">
        <v>334</v>
      </c>
      <c r="G592" s="2" t="s">
        <v>20</v>
      </c>
      <c r="H592" s="2" t="s">
        <v>20</v>
      </c>
      <c r="I592" s="2" t="s">
        <v>23</v>
      </c>
      <c r="J592" s="2" t="n">
        <v>5</v>
      </c>
      <c r="K592" s="2" t="s">
        <v>33</v>
      </c>
      <c r="L592" s="2" t="n">
        <v>87</v>
      </c>
      <c r="M592" s="2" t="n">
        <v>2</v>
      </c>
      <c r="N592" s="2" t="n">
        <v>-1</v>
      </c>
      <c r="O592" s="2" t="n">
        <v>0</v>
      </c>
      <c r="P592" s="2" t="s">
        <v>23</v>
      </c>
      <c r="Q592" s="2" t="s">
        <v>20</v>
      </c>
    </row>
    <row r="593" customFormat="false" ht="15" hidden="false" customHeight="false" outlineLevel="0" collapsed="false">
      <c r="A593" s="2" t="n">
        <v>39</v>
      </c>
      <c r="B593" s="2" t="s">
        <v>38</v>
      </c>
      <c r="C593" s="2" t="s">
        <v>18</v>
      </c>
      <c r="D593" s="2" t="s">
        <v>25</v>
      </c>
      <c r="E593" s="2" t="s">
        <v>20</v>
      </c>
      <c r="F593" s="2" t="n">
        <v>1048</v>
      </c>
      <c r="G593" s="2" t="s">
        <v>20</v>
      </c>
      <c r="H593" s="2" t="s">
        <v>26</v>
      </c>
      <c r="I593" s="2" t="s">
        <v>21</v>
      </c>
      <c r="J593" s="2" t="n">
        <v>21</v>
      </c>
      <c r="K593" s="2" t="s">
        <v>44</v>
      </c>
      <c r="L593" s="2" t="n">
        <v>405</v>
      </c>
      <c r="M593" s="2" t="n">
        <v>1</v>
      </c>
      <c r="N593" s="2" t="n">
        <v>-1</v>
      </c>
      <c r="O593" s="2" t="n">
        <v>0</v>
      </c>
      <c r="P593" s="2" t="s">
        <v>23</v>
      </c>
      <c r="Q593" s="2" t="s">
        <v>20</v>
      </c>
    </row>
    <row r="594" customFormat="false" ht="15" hidden="false" customHeight="false" outlineLevel="0" collapsed="false">
      <c r="A594" s="2" t="n">
        <v>41</v>
      </c>
      <c r="B594" s="2" t="s">
        <v>24</v>
      </c>
      <c r="C594" s="2" t="s">
        <v>18</v>
      </c>
      <c r="D594" s="2" t="s">
        <v>25</v>
      </c>
      <c r="E594" s="2" t="s">
        <v>20</v>
      </c>
      <c r="F594" s="2" t="n">
        <v>108</v>
      </c>
      <c r="G594" s="2" t="s">
        <v>26</v>
      </c>
      <c r="H594" s="2" t="s">
        <v>26</v>
      </c>
      <c r="I594" s="2" t="s">
        <v>23</v>
      </c>
      <c r="J594" s="2" t="n">
        <v>13</v>
      </c>
      <c r="K594" s="2" t="s">
        <v>27</v>
      </c>
      <c r="L594" s="2" t="n">
        <v>83</v>
      </c>
      <c r="M594" s="2" t="n">
        <v>7</v>
      </c>
      <c r="N594" s="2" t="n">
        <v>-1</v>
      </c>
      <c r="O594" s="2" t="n">
        <v>0</v>
      </c>
      <c r="P594" s="2" t="s">
        <v>23</v>
      </c>
      <c r="Q594" s="2" t="s">
        <v>20</v>
      </c>
    </row>
    <row r="595" customFormat="false" ht="15" hidden="false" customHeight="false" outlineLevel="0" collapsed="false">
      <c r="A595" s="2" t="n">
        <v>31</v>
      </c>
      <c r="B595" s="2" t="s">
        <v>38</v>
      </c>
      <c r="C595" s="2" t="s">
        <v>18</v>
      </c>
      <c r="D595" s="2" t="s">
        <v>25</v>
      </c>
      <c r="E595" s="2" t="s">
        <v>20</v>
      </c>
      <c r="F595" s="2" t="n">
        <v>660</v>
      </c>
      <c r="G595" s="2" t="s">
        <v>20</v>
      </c>
      <c r="H595" s="2" t="s">
        <v>20</v>
      </c>
      <c r="I595" s="2" t="s">
        <v>21</v>
      </c>
      <c r="J595" s="2" t="n">
        <v>22</v>
      </c>
      <c r="K595" s="2" t="s">
        <v>33</v>
      </c>
      <c r="L595" s="2" t="n">
        <v>115</v>
      </c>
      <c r="M595" s="2" t="n">
        <v>1</v>
      </c>
      <c r="N595" s="2" t="n">
        <v>-1</v>
      </c>
      <c r="O595" s="2" t="n">
        <v>0</v>
      </c>
      <c r="P595" s="2" t="s">
        <v>23</v>
      </c>
      <c r="Q595" s="2" t="s">
        <v>20</v>
      </c>
    </row>
    <row r="596" customFormat="false" ht="15" hidden="false" customHeight="false" outlineLevel="0" collapsed="false">
      <c r="A596" s="2" t="n">
        <v>37</v>
      </c>
      <c r="B596" s="2" t="s">
        <v>17</v>
      </c>
      <c r="C596" s="2" t="s">
        <v>30</v>
      </c>
      <c r="D596" s="2" t="s">
        <v>31</v>
      </c>
      <c r="E596" s="2" t="s">
        <v>26</v>
      </c>
      <c r="F596" s="2" t="n">
        <v>0</v>
      </c>
      <c r="G596" s="2" t="s">
        <v>26</v>
      </c>
      <c r="H596" s="2" t="s">
        <v>20</v>
      </c>
      <c r="I596" s="2" t="s">
        <v>21</v>
      </c>
      <c r="J596" s="2" t="n">
        <v>10</v>
      </c>
      <c r="K596" s="2" t="s">
        <v>44</v>
      </c>
      <c r="L596" s="2" t="n">
        <v>108</v>
      </c>
      <c r="M596" s="2" t="n">
        <v>1</v>
      </c>
      <c r="N596" s="2" t="n">
        <v>-1</v>
      </c>
      <c r="O596" s="2" t="n">
        <v>0</v>
      </c>
      <c r="P596" s="2" t="s">
        <v>23</v>
      </c>
      <c r="Q596" s="2" t="s">
        <v>20</v>
      </c>
    </row>
    <row r="597" customFormat="false" ht="15" hidden="false" customHeight="false" outlineLevel="0" collapsed="false">
      <c r="A597" s="2" t="n">
        <v>28</v>
      </c>
      <c r="B597" s="2" t="s">
        <v>39</v>
      </c>
      <c r="C597" s="2" t="s">
        <v>18</v>
      </c>
      <c r="D597" s="2" t="s">
        <v>23</v>
      </c>
      <c r="E597" s="2" t="s">
        <v>20</v>
      </c>
      <c r="F597" s="2" t="n">
        <v>1034</v>
      </c>
      <c r="G597" s="2" t="s">
        <v>20</v>
      </c>
      <c r="H597" s="2" t="s">
        <v>20</v>
      </c>
      <c r="I597" s="2" t="s">
        <v>21</v>
      </c>
      <c r="J597" s="2" t="n">
        <v>29</v>
      </c>
      <c r="K597" s="2" t="s">
        <v>43</v>
      </c>
      <c r="L597" s="2" t="n">
        <v>113</v>
      </c>
      <c r="M597" s="2" t="n">
        <v>1</v>
      </c>
      <c r="N597" s="2" t="n">
        <v>-1</v>
      </c>
      <c r="O597" s="2" t="n">
        <v>0</v>
      </c>
      <c r="P597" s="2" t="s">
        <v>23</v>
      </c>
      <c r="Q597" s="2" t="s">
        <v>20</v>
      </c>
    </row>
    <row r="598" customFormat="false" ht="15" hidden="false" customHeight="false" outlineLevel="0" collapsed="false">
      <c r="A598" s="2" t="n">
        <v>47</v>
      </c>
      <c r="B598" s="2" t="s">
        <v>47</v>
      </c>
      <c r="C598" s="2" t="s">
        <v>18</v>
      </c>
      <c r="D598" s="2" t="s">
        <v>19</v>
      </c>
      <c r="E598" s="2" t="s">
        <v>20</v>
      </c>
      <c r="F598" s="2" t="n">
        <v>201</v>
      </c>
      <c r="G598" s="2" t="s">
        <v>26</v>
      </c>
      <c r="H598" s="2" t="s">
        <v>20</v>
      </c>
      <c r="I598" s="2" t="s">
        <v>21</v>
      </c>
      <c r="J598" s="2" t="n">
        <v>7</v>
      </c>
      <c r="K598" s="2" t="s">
        <v>41</v>
      </c>
      <c r="L598" s="2" t="n">
        <v>58</v>
      </c>
      <c r="M598" s="2" t="n">
        <v>2</v>
      </c>
      <c r="N598" s="2" t="n">
        <v>382</v>
      </c>
      <c r="O598" s="2" t="n">
        <v>1</v>
      </c>
      <c r="P598" s="2" t="s">
        <v>28</v>
      </c>
      <c r="Q598" s="2" t="s">
        <v>20</v>
      </c>
    </row>
    <row r="599" customFormat="false" ht="15" hidden="false" customHeight="false" outlineLevel="0" collapsed="false">
      <c r="A599" s="2" t="n">
        <v>37</v>
      </c>
      <c r="B599" s="2" t="s">
        <v>47</v>
      </c>
      <c r="C599" s="2" t="s">
        <v>18</v>
      </c>
      <c r="D599" s="2" t="s">
        <v>19</v>
      </c>
      <c r="E599" s="2" t="s">
        <v>20</v>
      </c>
      <c r="F599" s="2" t="n">
        <v>189</v>
      </c>
      <c r="G599" s="2" t="s">
        <v>20</v>
      </c>
      <c r="H599" s="2" t="s">
        <v>20</v>
      </c>
      <c r="I599" s="2" t="s">
        <v>21</v>
      </c>
      <c r="J599" s="2" t="n">
        <v>8</v>
      </c>
      <c r="K599" s="2" t="s">
        <v>41</v>
      </c>
      <c r="L599" s="2" t="n">
        <v>148</v>
      </c>
      <c r="M599" s="2" t="n">
        <v>4</v>
      </c>
      <c r="N599" s="2" t="n">
        <v>-1</v>
      </c>
      <c r="O599" s="2" t="n">
        <v>0</v>
      </c>
      <c r="P599" s="2" t="s">
        <v>23</v>
      </c>
      <c r="Q599" s="2" t="s">
        <v>20</v>
      </c>
    </row>
    <row r="600" customFormat="false" ht="15" hidden="false" customHeight="false" outlineLevel="0" collapsed="false">
      <c r="A600" s="2" t="n">
        <v>60</v>
      </c>
      <c r="B600" s="2" t="s">
        <v>48</v>
      </c>
      <c r="C600" s="2" t="s">
        <v>45</v>
      </c>
      <c r="D600" s="2" t="s">
        <v>23</v>
      </c>
      <c r="E600" s="2" t="s">
        <v>20</v>
      </c>
      <c r="F600" s="2" t="n">
        <v>-49</v>
      </c>
      <c r="G600" s="2" t="s">
        <v>26</v>
      </c>
      <c r="H600" s="2" t="s">
        <v>20</v>
      </c>
      <c r="I600" s="2" t="s">
        <v>21</v>
      </c>
      <c r="J600" s="2" t="n">
        <v>29</v>
      </c>
      <c r="K600" s="2" t="s">
        <v>43</v>
      </c>
      <c r="L600" s="2" t="n">
        <v>188</v>
      </c>
      <c r="M600" s="2" t="n">
        <v>1</v>
      </c>
      <c r="N600" s="2" t="n">
        <v>261</v>
      </c>
      <c r="O600" s="2" t="n">
        <v>2</v>
      </c>
      <c r="P600" s="2" t="s">
        <v>28</v>
      </c>
      <c r="Q600" s="2" t="s">
        <v>20</v>
      </c>
    </row>
    <row r="601" customFormat="false" ht="15" hidden="false" customHeight="false" outlineLevel="0" collapsed="false">
      <c r="A601" s="2" t="n">
        <v>43</v>
      </c>
      <c r="B601" s="2" t="s">
        <v>38</v>
      </c>
      <c r="C601" s="2" t="s">
        <v>45</v>
      </c>
      <c r="D601" s="2" t="s">
        <v>25</v>
      </c>
      <c r="E601" s="2" t="s">
        <v>20</v>
      </c>
      <c r="F601" s="2" t="n">
        <v>1413</v>
      </c>
      <c r="G601" s="2" t="s">
        <v>26</v>
      </c>
      <c r="H601" s="2" t="s">
        <v>20</v>
      </c>
      <c r="I601" s="2" t="s">
        <v>49</v>
      </c>
      <c r="J601" s="2" t="n">
        <v>28</v>
      </c>
      <c r="K601" s="2" t="s">
        <v>44</v>
      </c>
      <c r="L601" s="2" t="n">
        <v>75</v>
      </c>
      <c r="M601" s="2" t="n">
        <v>3</v>
      </c>
      <c r="N601" s="2" t="n">
        <v>-1</v>
      </c>
      <c r="O601" s="2" t="n">
        <v>0</v>
      </c>
      <c r="P601" s="2" t="s">
        <v>23</v>
      </c>
      <c r="Q601" s="2" t="s">
        <v>20</v>
      </c>
    </row>
    <row r="602" customFormat="false" ht="15" hidden="false" customHeight="false" outlineLevel="0" collapsed="false">
      <c r="A602" s="2" t="n">
        <v>58</v>
      </c>
      <c r="B602" s="2" t="s">
        <v>48</v>
      </c>
      <c r="C602" s="2" t="s">
        <v>45</v>
      </c>
      <c r="D602" s="2" t="s">
        <v>31</v>
      </c>
      <c r="E602" s="2" t="s">
        <v>20</v>
      </c>
      <c r="F602" s="2" t="n">
        <v>264</v>
      </c>
      <c r="G602" s="2" t="s">
        <v>26</v>
      </c>
      <c r="H602" s="2" t="s">
        <v>26</v>
      </c>
      <c r="I602" s="2" t="s">
        <v>21</v>
      </c>
      <c r="J602" s="2" t="n">
        <v>8</v>
      </c>
      <c r="K602" s="2" t="s">
        <v>44</v>
      </c>
      <c r="L602" s="2" t="n">
        <v>523</v>
      </c>
      <c r="M602" s="2" t="n">
        <v>3</v>
      </c>
      <c r="N602" s="2" t="n">
        <v>-1</v>
      </c>
      <c r="O602" s="2" t="n">
        <v>0</v>
      </c>
      <c r="P602" s="2" t="s">
        <v>23</v>
      </c>
      <c r="Q602" s="2" t="s">
        <v>20</v>
      </c>
    </row>
    <row r="603" customFormat="false" ht="15" hidden="false" customHeight="false" outlineLevel="0" collapsed="false">
      <c r="A603" s="2" t="n">
        <v>52</v>
      </c>
      <c r="B603" s="2" t="s">
        <v>39</v>
      </c>
      <c r="C603" s="2" t="s">
        <v>18</v>
      </c>
      <c r="D603" s="2" t="s">
        <v>31</v>
      </c>
      <c r="E603" s="2" t="s">
        <v>20</v>
      </c>
      <c r="F603" s="2" t="n">
        <v>54</v>
      </c>
      <c r="G603" s="2" t="s">
        <v>26</v>
      </c>
      <c r="H603" s="2" t="s">
        <v>26</v>
      </c>
      <c r="I603" s="2" t="s">
        <v>49</v>
      </c>
      <c r="J603" s="2" t="n">
        <v>18</v>
      </c>
      <c r="K603" s="2" t="s">
        <v>46</v>
      </c>
      <c r="L603" s="2" t="n">
        <v>103</v>
      </c>
      <c r="M603" s="2" t="n">
        <v>1</v>
      </c>
      <c r="N603" s="2" t="n">
        <v>-1</v>
      </c>
      <c r="O603" s="2" t="n">
        <v>0</v>
      </c>
      <c r="P603" s="2" t="s">
        <v>23</v>
      </c>
      <c r="Q603" s="2" t="s">
        <v>20</v>
      </c>
    </row>
    <row r="604" customFormat="false" ht="15" hidden="false" customHeight="false" outlineLevel="0" collapsed="false">
      <c r="A604" s="2" t="n">
        <v>50</v>
      </c>
      <c r="B604" s="2" t="s">
        <v>34</v>
      </c>
      <c r="C604" s="2" t="s">
        <v>18</v>
      </c>
      <c r="D604" s="2" t="s">
        <v>19</v>
      </c>
      <c r="E604" s="2" t="s">
        <v>20</v>
      </c>
      <c r="F604" s="2" t="n">
        <v>12519</v>
      </c>
      <c r="G604" s="2" t="s">
        <v>26</v>
      </c>
      <c r="H604" s="2" t="s">
        <v>20</v>
      </c>
      <c r="I604" s="2" t="s">
        <v>21</v>
      </c>
      <c r="J604" s="2" t="n">
        <v>17</v>
      </c>
      <c r="K604" s="2" t="s">
        <v>32</v>
      </c>
      <c r="L604" s="2" t="n">
        <v>146</v>
      </c>
      <c r="M604" s="2" t="n">
        <v>2</v>
      </c>
      <c r="N604" s="2" t="n">
        <v>147</v>
      </c>
      <c r="O604" s="2" t="n">
        <v>4</v>
      </c>
      <c r="P604" s="2" t="s">
        <v>50</v>
      </c>
      <c r="Q604" s="2" t="s">
        <v>20</v>
      </c>
    </row>
    <row r="605" customFormat="false" ht="15" hidden="false" customHeight="false" outlineLevel="0" collapsed="false">
      <c r="A605" s="2" t="n">
        <v>32</v>
      </c>
      <c r="B605" s="2" t="s">
        <v>24</v>
      </c>
      <c r="C605" s="2" t="s">
        <v>30</v>
      </c>
      <c r="D605" s="2" t="s">
        <v>25</v>
      </c>
      <c r="E605" s="2" t="s">
        <v>20</v>
      </c>
      <c r="F605" s="2" t="n">
        <v>2881</v>
      </c>
      <c r="G605" s="2" t="s">
        <v>20</v>
      </c>
      <c r="H605" s="2" t="s">
        <v>20</v>
      </c>
      <c r="I605" s="2" t="s">
        <v>21</v>
      </c>
      <c r="J605" s="2" t="n">
        <v>2</v>
      </c>
      <c r="K605" s="2" t="s">
        <v>44</v>
      </c>
      <c r="L605" s="2" t="n">
        <v>356</v>
      </c>
      <c r="M605" s="2" t="n">
        <v>1</v>
      </c>
      <c r="N605" s="2" t="n">
        <v>-1</v>
      </c>
      <c r="O605" s="2" t="n">
        <v>0</v>
      </c>
      <c r="P605" s="2" t="s">
        <v>23</v>
      </c>
      <c r="Q605" s="2" t="s">
        <v>26</v>
      </c>
    </row>
    <row r="606" customFormat="false" ht="15" hidden="false" customHeight="false" outlineLevel="0" collapsed="false">
      <c r="A606" s="2" t="n">
        <v>42</v>
      </c>
      <c r="B606" s="2" t="s">
        <v>34</v>
      </c>
      <c r="C606" s="2" t="s">
        <v>18</v>
      </c>
      <c r="D606" s="2" t="s">
        <v>19</v>
      </c>
      <c r="E606" s="2" t="s">
        <v>20</v>
      </c>
      <c r="F606" s="2" t="n">
        <v>0</v>
      </c>
      <c r="G606" s="2" t="s">
        <v>26</v>
      </c>
      <c r="H606" s="2" t="s">
        <v>20</v>
      </c>
      <c r="I606" s="2" t="s">
        <v>21</v>
      </c>
      <c r="J606" s="2" t="n">
        <v>17</v>
      </c>
      <c r="K606" s="2" t="s">
        <v>44</v>
      </c>
      <c r="L606" s="2" t="n">
        <v>71</v>
      </c>
      <c r="M606" s="2" t="n">
        <v>1</v>
      </c>
      <c r="N606" s="2" t="n">
        <v>-1</v>
      </c>
      <c r="O606" s="2" t="n">
        <v>0</v>
      </c>
      <c r="P606" s="2" t="s">
        <v>23</v>
      </c>
      <c r="Q606" s="2" t="s">
        <v>20</v>
      </c>
    </row>
    <row r="607" customFormat="false" ht="15" hidden="false" customHeight="false" outlineLevel="0" collapsed="false">
      <c r="A607" s="2" t="n">
        <v>31</v>
      </c>
      <c r="B607" s="2" t="s">
        <v>40</v>
      </c>
      <c r="C607" s="2" t="s">
        <v>18</v>
      </c>
      <c r="D607" s="2" t="s">
        <v>25</v>
      </c>
      <c r="E607" s="2" t="s">
        <v>20</v>
      </c>
      <c r="F607" s="2" t="n">
        <v>88</v>
      </c>
      <c r="G607" s="2" t="s">
        <v>26</v>
      </c>
      <c r="H607" s="2" t="s">
        <v>26</v>
      </c>
      <c r="I607" s="2" t="s">
        <v>21</v>
      </c>
      <c r="J607" s="2" t="n">
        <v>8</v>
      </c>
      <c r="K607" s="2" t="s">
        <v>41</v>
      </c>
      <c r="L607" s="2" t="n">
        <v>189</v>
      </c>
      <c r="M607" s="2" t="n">
        <v>2</v>
      </c>
      <c r="N607" s="2" t="n">
        <v>-1</v>
      </c>
      <c r="O607" s="2" t="n">
        <v>0</v>
      </c>
      <c r="P607" s="2" t="s">
        <v>23</v>
      </c>
      <c r="Q607" s="2" t="s">
        <v>20</v>
      </c>
    </row>
    <row r="608" customFormat="false" ht="15" hidden="false" customHeight="false" outlineLevel="0" collapsed="false">
      <c r="A608" s="2" t="n">
        <v>28</v>
      </c>
      <c r="B608" s="2" t="s">
        <v>34</v>
      </c>
      <c r="C608" s="2" t="s">
        <v>18</v>
      </c>
      <c r="D608" s="2" t="s">
        <v>25</v>
      </c>
      <c r="E608" s="2" t="s">
        <v>20</v>
      </c>
      <c r="F608" s="2" t="n">
        <v>1020</v>
      </c>
      <c r="G608" s="2" t="s">
        <v>26</v>
      </c>
      <c r="H608" s="2" t="s">
        <v>20</v>
      </c>
      <c r="I608" s="2" t="s">
        <v>23</v>
      </c>
      <c r="J608" s="2" t="n">
        <v>28</v>
      </c>
      <c r="K608" s="2" t="s">
        <v>27</v>
      </c>
      <c r="L608" s="2" t="n">
        <v>251</v>
      </c>
      <c r="M608" s="2" t="n">
        <v>1</v>
      </c>
      <c r="N608" s="2" t="n">
        <v>-1</v>
      </c>
      <c r="O608" s="2" t="n">
        <v>0</v>
      </c>
      <c r="P608" s="2" t="s">
        <v>23</v>
      </c>
      <c r="Q608" s="2" t="s">
        <v>20</v>
      </c>
    </row>
    <row r="609" customFormat="false" ht="15" hidden="false" customHeight="false" outlineLevel="0" collapsed="false">
      <c r="A609" s="2" t="n">
        <v>36</v>
      </c>
      <c r="B609" s="2" t="s">
        <v>38</v>
      </c>
      <c r="C609" s="2" t="s">
        <v>45</v>
      </c>
      <c r="D609" s="2" t="s">
        <v>31</v>
      </c>
      <c r="E609" s="2" t="s">
        <v>20</v>
      </c>
      <c r="F609" s="2" t="n">
        <v>119</v>
      </c>
      <c r="G609" s="2" t="s">
        <v>20</v>
      </c>
      <c r="H609" s="2" t="s">
        <v>20</v>
      </c>
      <c r="I609" s="2" t="s">
        <v>21</v>
      </c>
      <c r="J609" s="2" t="n">
        <v>23</v>
      </c>
      <c r="K609" s="2" t="s">
        <v>44</v>
      </c>
      <c r="L609" s="2" t="n">
        <v>127</v>
      </c>
      <c r="M609" s="2" t="n">
        <v>8</v>
      </c>
      <c r="N609" s="2" t="n">
        <v>-1</v>
      </c>
      <c r="O609" s="2" t="n">
        <v>0</v>
      </c>
      <c r="P609" s="2" t="s">
        <v>23</v>
      </c>
      <c r="Q609" s="2" t="s">
        <v>20</v>
      </c>
    </row>
    <row r="610" customFormat="false" ht="15" hidden="false" customHeight="false" outlineLevel="0" collapsed="false">
      <c r="A610" s="2" t="n">
        <v>51</v>
      </c>
      <c r="B610" s="2" t="s">
        <v>17</v>
      </c>
      <c r="C610" s="2" t="s">
        <v>30</v>
      </c>
      <c r="D610" s="2" t="s">
        <v>31</v>
      </c>
      <c r="E610" s="2" t="s">
        <v>20</v>
      </c>
      <c r="F610" s="2" t="n">
        <v>1594</v>
      </c>
      <c r="G610" s="2" t="s">
        <v>20</v>
      </c>
      <c r="H610" s="2" t="s">
        <v>20</v>
      </c>
      <c r="I610" s="2" t="s">
        <v>49</v>
      </c>
      <c r="J610" s="2" t="n">
        <v>4</v>
      </c>
      <c r="K610" s="2" t="s">
        <v>35</v>
      </c>
      <c r="L610" s="2" t="n">
        <v>197</v>
      </c>
      <c r="M610" s="2" t="n">
        <v>1</v>
      </c>
      <c r="N610" s="2" t="n">
        <v>-1</v>
      </c>
      <c r="O610" s="2" t="n">
        <v>0</v>
      </c>
      <c r="P610" s="2" t="s">
        <v>23</v>
      </c>
      <c r="Q610" s="2" t="s">
        <v>20</v>
      </c>
    </row>
    <row r="611" customFormat="false" ht="15" hidden="false" customHeight="false" outlineLevel="0" collapsed="false">
      <c r="A611" s="2" t="n">
        <v>46</v>
      </c>
      <c r="B611" s="2" t="s">
        <v>38</v>
      </c>
      <c r="C611" s="2" t="s">
        <v>18</v>
      </c>
      <c r="D611" s="2" t="s">
        <v>31</v>
      </c>
      <c r="E611" s="2" t="s">
        <v>20</v>
      </c>
      <c r="F611" s="2" t="n">
        <v>342</v>
      </c>
      <c r="G611" s="2" t="s">
        <v>26</v>
      </c>
      <c r="H611" s="2" t="s">
        <v>26</v>
      </c>
      <c r="I611" s="2" t="s">
        <v>21</v>
      </c>
      <c r="J611" s="2" t="n">
        <v>5</v>
      </c>
      <c r="K611" s="2" t="s">
        <v>27</v>
      </c>
      <c r="L611" s="2" t="n">
        <v>84</v>
      </c>
      <c r="M611" s="2" t="n">
        <v>1</v>
      </c>
      <c r="N611" s="2" t="n">
        <v>-1</v>
      </c>
      <c r="O611" s="2" t="n">
        <v>0</v>
      </c>
      <c r="P611" s="2" t="s">
        <v>23</v>
      </c>
      <c r="Q611" s="2" t="s">
        <v>20</v>
      </c>
    </row>
    <row r="612" customFormat="false" ht="15" hidden="false" customHeight="false" outlineLevel="0" collapsed="false">
      <c r="A612" s="2" t="n">
        <v>50</v>
      </c>
      <c r="B612" s="2" t="s">
        <v>24</v>
      </c>
      <c r="C612" s="2" t="s">
        <v>30</v>
      </c>
      <c r="D612" s="2" t="s">
        <v>25</v>
      </c>
      <c r="E612" s="2" t="s">
        <v>20</v>
      </c>
      <c r="F612" s="2" t="n">
        <v>72</v>
      </c>
      <c r="G612" s="2" t="s">
        <v>20</v>
      </c>
      <c r="H612" s="2" t="s">
        <v>20</v>
      </c>
      <c r="I612" s="2" t="s">
        <v>23</v>
      </c>
      <c r="J612" s="2" t="n">
        <v>8</v>
      </c>
      <c r="K612" s="2" t="s">
        <v>27</v>
      </c>
      <c r="L612" s="2" t="n">
        <v>141</v>
      </c>
      <c r="M612" s="2" t="n">
        <v>2</v>
      </c>
      <c r="N612" s="2" t="n">
        <v>-1</v>
      </c>
      <c r="O612" s="2" t="n">
        <v>0</v>
      </c>
      <c r="P612" s="2" t="s">
        <v>23</v>
      </c>
      <c r="Q612" s="2" t="s">
        <v>20</v>
      </c>
    </row>
    <row r="613" customFormat="false" ht="15" hidden="false" customHeight="false" outlineLevel="0" collapsed="false">
      <c r="A613" s="2" t="n">
        <v>32</v>
      </c>
      <c r="B613" s="2" t="s">
        <v>34</v>
      </c>
      <c r="C613" s="2" t="s">
        <v>18</v>
      </c>
      <c r="D613" s="2" t="s">
        <v>25</v>
      </c>
      <c r="E613" s="2" t="s">
        <v>20</v>
      </c>
      <c r="F613" s="2" t="n">
        <v>14</v>
      </c>
      <c r="G613" s="2" t="s">
        <v>26</v>
      </c>
      <c r="H613" s="2" t="s">
        <v>20</v>
      </c>
      <c r="I613" s="2" t="s">
        <v>23</v>
      </c>
      <c r="J613" s="2" t="n">
        <v>2</v>
      </c>
      <c r="K613" s="2" t="s">
        <v>33</v>
      </c>
      <c r="L613" s="2" t="n">
        <v>171</v>
      </c>
      <c r="M613" s="2" t="n">
        <v>1</v>
      </c>
      <c r="N613" s="2" t="n">
        <v>-1</v>
      </c>
      <c r="O613" s="2" t="n">
        <v>0</v>
      </c>
      <c r="P613" s="2" t="s">
        <v>23</v>
      </c>
      <c r="Q613" s="2" t="s">
        <v>20</v>
      </c>
    </row>
    <row r="614" customFormat="false" ht="15" hidden="false" customHeight="false" outlineLevel="0" collapsed="false">
      <c r="A614" s="2" t="n">
        <v>26</v>
      </c>
      <c r="B614" s="2" t="s">
        <v>39</v>
      </c>
      <c r="C614" s="2" t="s">
        <v>30</v>
      </c>
      <c r="D614" s="2" t="s">
        <v>31</v>
      </c>
      <c r="E614" s="2" t="s">
        <v>20</v>
      </c>
      <c r="F614" s="2" t="n">
        <v>81</v>
      </c>
      <c r="G614" s="2" t="s">
        <v>20</v>
      </c>
      <c r="H614" s="2" t="s">
        <v>20</v>
      </c>
      <c r="I614" s="2" t="s">
        <v>21</v>
      </c>
      <c r="J614" s="2" t="n">
        <v>21</v>
      </c>
      <c r="K614" s="2" t="s">
        <v>44</v>
      </c>
      <c r="L614" s="2" t="n">
        <v>262</v>
      </c>
      <c r="M614" s="2" t="n">
        <v>3</v>
      </c>
      <c r="N614" s="2" t="n">
        <v>-1</v>
      </c>
      <c r="O614" s="2" t="n">
        <v>0</v>
      </c>
      <c r="P614" s="2" t="s">
        <v>23</v>
      </c>
      <c r="Q614" s="2" t="s">
        <v>20</v>
      </c>
    </row>
    <row r="615" customFormat="false" ht="15" hidden="false" customHeight="false" outlineLevel="0" collapsed="false">
      <c r="A615" s="2" t="n">
        <v>41</v>
      </c>
      <c r="B615" s="2" t="s">
        <v>36</v>
      </c>
      <c r="C615" s="2" t="s">
        <v>18</v>
      </c>
      <c r="D615" s="2" t="s">
        <v>31</v>
      </c>
      <c r="E615" s="2" t="s">
        <v>20</v>
      </c>
      <c r="F615" s="2" t="n">
        <v>231</v>
      </c>
      <c r="G615" s="2" t="s">
        <v>20</v>
      </c>
      <c r="H615" s="2" t="s">
        <v>20</v>
      </c>
      <c r="I615" s="2" t="s">
        <v>21</v>
      </c>
      <c r="J615" s="2" t="n">
        <v>7</v>
      </c>
      <c r="K615" s="2" t="s">
        <v>41</v>
      </c>
      <c r="L615" s="2" t="n">
        <v>352</v>
      </c>
      <c r="M615" s="2" t="n">
        <v>2</v>
      </c>
      <c r="N615" s="2" t="n">
        <v>-1</v>
      </c>
      <c r="O615" s="2" t="n">
        <v>0</v>
      </c>
      <c r="P615" s="2" t="s">
        <v>23</v>
      </c>
      <c r="Q615" s="2" t="s">
        <v>26</v>
      </c>
    </row>
    <row r="616" customFormat="false" ht="15" hidden="false" customHeight="false" outlineLevel="0" collapsed="false">
      <c r="A616" s="2" t="n">
        <v>39</v>
      </c>
      <c r="B616" s="2" t="s">
        <v>38</v>
      </c>
      <c r="C616" s="2" t="s">
        <v>18</v>
      </c>
      <c r="D616" s="2" t="s">
        <v>31</v>
      </c>
      <c r="E616" s="2" t="s">
        <v>20</v>
      </c>
      <c r="F616" s="2" t="n">
        <v>1161</v>
      </c>
      <c r="G616" s="2" t="s">
        <v>26</v>
      </c>
      <c r="H616" s="2" t="s">
        <v>20</v>
      </c>
      <c r="I616" s="2" t="s">
        <v>21</v>
      </c>
      <c r="J616" s="2" t="n">
        <v>9</v>
      </c>
      <c r="K616" s="2" t="s">
        <v>32</v>
      </c>
      <c r="L616" s="2" t="n">
        <v>236</v>
      </c>
      <c r="M616" s="2" t="n">
        <v>1</v>
      </c>
      <c r="N616" s="2" t="n">
        <v>336</v>
      </c>
      <c r="O616" s="2" t="n">
        <v>1</v>
      </c>
      <c r="P616" s="2" t="s">
        <v>28</v>
      </c>
      <c r="Q616" s="2" t="s">
        <v>20</v>
      </c>
    </row>
    <row r="617" customFormat="false" ht="15" hidden="false" customHeight="false" outlineLevel="0" collapsed="false">
      <c r="A617" s="2" t="n">
        <v>31</v>
      </c>
      <c r="B617" s="2" t="s">
        <v>34</v>
      </c>
      <c r="C617" s="2" t="s">
        <v>18</v>
      </c>
      <c r="D617" s="2" t="s">
        <v>25</v>
      </c>
      <c r="E617" s="2" t="s">
        <v>20</v>
      </c>
      <c r="F617" s="2" t="n">
        <v>-45</v>
      </c>
      <c r="G617" s="2" t="s">
        <v>26</v>
      </c>
      <c r="H617" s="2" t="s">
        <v>20</v>
      </c>
      <c r="I617" s="2" t="s">
        <v>23</v>
      </c>
      <c r="J617" s="2" t="n">
        <v>2</v>
      </c>
      <c r="K617" s="2" t="s">
        <v>33</v>
      </c>
      <c r="L617" s="2" t="n">
        <v>184</v>
      </c>
      <c r="M617" s="2" t="n">
        <v>1</v>
      </c>
      <c r="N617" s="2" t="n">
        <v>-1</v>
      </c>
      <c r="O617" s="2" t="n">
        <v>0</v>
      </c>
      <c r="P617" s="2" t="s">
        <v>23</v>
      </c>
      <c r="Q617" s="2" t="s">
        <v>20</v>
      </c>
    </row>
    <row r="618" customFormat="false" ht="15" hidden="false" customHeight="false" outlineLevel="0" collapsed="false">
      <c r="A618" s="2" t="n">
        <v>28</v>
      </c>
      <c r="B618" s="2" t="s">
        <v>29</v>
      </c>
      <c r="C618" s="2" t="s">
        <v>30</v>
      </c>
      <c r="D618" s="2" t="s">
        <v>31</v>
      </c>
      <c r="E618" s="2" t="s">
        <v>20</v>
      </c>
      <c r="F618" s="2" t="n">
        <v>231</v>
      </c>
      <c r="G618" s="2" t="s">
        <v>26</v>
      </c>
      <c r="H618" s="2" t="s">
        <v>26</v>
      </c>
      <c r="I618" s="2" t="s">
        <v>21</v>
      </c>
      <c r="J618" s="2" t="n">
        <v>25</v>
      </c>
      <c r="K618" s="2" t="s">
        <v>44</v>
      </c>
      <c r="L618" s="2" t="n">
        <v>568</v>
      </c>
      <c r="M618" s="2" t="n">
        <v>2</v>
      </c>
      <c r="N618" s="2" t="n">
        <v>-1</v>
      </c>
      <c r="O618" s="2" t="n">
        <v>0</v>
      </c>
      <c r="P618" s="2" t="s">
        <v>23</v>
      </c>
      <c r="Q618" s="2" t="s">
        <v>20</v>
      </c>
    </row>
    <row r="619" customFormat="false" ht="15" hidden="false" customHeight="false" outlineLevel="0" collapsed="false">
      <c r="A619" s="2" t="n">
        <v>31</v>
      </c>
      <c r="B619" s="2" t="s">
        <v>29</v>
      </c>
      <c r="C619" s="2" t="s">
        <v>30</v>
      </c>
      <c r="D619" s="2" t="s">
        <v>25</v>
      </c>
      <c r="E619" s="2" t="s">
        <v>20</v>
      </c>
      <c r="F619" s="2" t="n">
        <v>36</v>
      </c>
      <c r="G619" s="2" t="s">
        <v>20</v>
      </c>
      <c r="H619" s="2" t="s">
        <v>20</v>
      </c>
      <c r="I619" s="2" t="s">
        <v>21</v>
      </c>
      <c r="J619" s="2" t="n">
        <v>27</v>
      </c>
      <c r="K619" s="2" t="s">
        <v>41</v>
      </c>
      <c r="L619" s="2" t="n">
        <v>105</v>
      </c>
      <c r="M619" s="2" t="n">
        <v>2</v>
      </c>
      <c r="N619" s="2" t="n">
        <v>-1</v>
      </c>
      <c r="O619" s="2" t="n">
        <v>0</v>
      </c>
      <c r="P619" s="2" t="s">
        <v>23</v>
      </c>
      <c r="Q619" s="2" t="s">
        <v>20</v>
      </c>
    </row>
    <row r="620" customFormat="false" ht="15" hidden="false" customHeight="false" outlineLevel="0" collapsed="false">
      <c r="A620" s="2" t="n">
        <v>30</v>
      </c>
      <c r="B620" s="2" t="s">
        <v>38</v>
      </c>
      <c r="C620" s="2" t="s">
        <v>18</v>
      </c>
      <c r="D620" s="2" t="s">
        <v>31</v>
      </c>
      <c r="E620" s="2" t="s">
        <v>20</v>
      </c>
      <c r="F620" s="2" t="n">
        <v>1570</v>
      </c>
      <c r="G620" s="2" t="s">
        <v>26</v>
      </c>
      <c r="H620" s="2" t="s">
        <v>20</v>
      </c>
      <c r="I620" s="2" t="s">
        <v>21</v>
      </c>
      <c r="J620" s="2" t="n">
        <v>26</v>
      </c>
      <c r="K620" s="2" t="s">
        <v>27</v>
      </c>
      <c r="L620" s="2" t="n">
        <v>260</v>
      </c>
      <c r="M620" s="2" t="n">
        <v>1</v>
      </c>
      <c r="N620" s="2" t="n">
        <v>-1</v>
      </c>
      <c r="O620" s="2" t="n">
        <v>0</v>
      </c>
      <c r="P620" s="2" t="s">
        <v>23</v>
      </c>
      <c r="Q620" s="2" t="s">
        <v>20</v>
      </c>
    </row>
    <row r="621" customFormat="false" ht="15" hidden="false" customHeight="false" outlineLevel="0" collapsed="false">
      <c r="A621" s="2" t="n">
        <v>35</v>
      </c>
      <c r="B621" s="2" t="s">
        <v>38</v>
      </c>
      <c r="C621" s="2" t="s">
        <v>18</v>
      </c>
      <c r="D621" s="2" t="s">
        <v>31</v>
      </c>
      <c r="E621" s="2" t="s">
        <v>20</v>
      </c>
      <c r="F621" s="2" t="n">
        <v>7050</v>
      </c>
      <c r="G621" s="2" t="s">
        <v>20</v>
      </c>
      <c r="H621" s="2" t="s">
        <v>20</v>
      </c>
      <c r="I621" s="2" t="s">
        <v>21</v>
      </c>
      <c r="J621" s="2" t="n">
        <v>11</v>
      </c>
      <c r="K621" s="2" t="s">
        <v>41</v>
      </c>
      <c r="L621" s="2" t="n">
        <v>222</v>
      </c>
      <c r="M621" s="2" t="n">
        <v>3</v>
      </c>
      <c r="N621" s="2" t="n">
        <v>182</v>
      </c>
      <c r="O621" s="2" t="n">
        <v>4</v>
      </c>
      <c r="P621" s="2" t="s">
        <v>50</v>
      </c>
      <c r="Q621" s="2" t="s">
        <v>26</v>
      </c>
    </row>
    <row r="622" customFormat="false" ht="15" hidden="false" customHeight="false" outlineLevel="0" collapsed="false">
      <c r="A622" s="2" t="n">
        <v>33</v>
      </c>
      <c r="B622" s="2" t="s">
        <v>34</v>
      </c>
      <c r="C622" s="2" t="s">
        <v>18</v>
      </c>
      <c r="D622" s="2" t="s">
        <v>19</v>
      </c>
      <c r="E622" s="2" t="s">
        <v>20</v>
      </c>
      <c r="F622" s="2" t="n">
        <v>3704</v>
      </c>
      <c r="G622" s="2" t="s">
        <v>26</v>
      </c>
      <c r="H622" s="2" t="s">
        <v>20</v>
      </c>
      <c r="I622" s="2" t="s">
        <v>23</v>
      </c>
      <c r="J622" s="2" t="n">
        <v>6</v>
      </c>
      <c r="K622" s="2" t="s">
        <v>33</v>
      </c>
      <c r="L622" s="2" t="n">
        <v>447</v>
      </c>
      <c r="M622" s="2" t="n">
        <v>2</v>
      </c>
      <c r="N622" s="2" t="n">
        <v>-1</v>
      </c>
      <c r="O622" s="2" t="n">
        <v>0</v>
      </c>
      <c r="P622" s="2" t="s">
        <v>23</v>
      </c>
      <c r="Q622" s="2" t="s">
        <v>20</v>
      </c>
    </row>
    <row r="623" customFormat="false" ht="15" hidden="false" customHeight="false" outlineLevel="0" collapsed="false">
      <c r="A623" s="2" t="n">
        <v>30</v>
      </c>
      <c r="B623" s="2" t="s">
        <v>38</v>
      </c>
      <c r="C623" s="2" t="s">
        <v>30</v>
      </c>
      <c r="D623" s="2" t="s">
        <v>31</v>
      </c>
      <c r="E623" s="2" t="s">
        <v>20</v>
      </c>
      <c r="F623" s="2" t="n">
        <v>6619</v>
      </c>
      <c r="G623" s="2" t="s">
        <v>26</v>
      </c>
      <c r="H623" s="2" t="s">
        <v>20</v>
      </c>
      <c r="I623" s="2" t="s">
        <v>21</v>
      </c>
      <c r="J623" s="2" t="n">
        <v>21</v>
      </c>
      <c r="K623" s="2" t="s">
        <v>41</v>
      </c>
      <c r="L623" s="2" t="n">
        <v>239</v>
      </c>
      <c r="M623" s="2" t="n">
        <v>8</v>
      </c>
      <c r="N623" s="2" t="n">
        <v>-1</v>
      </c>
      <c r="O623" s="2" t="n">
        <v>0</v>
      </c>
      <c r="P623" s="2" t="s">
        <v>23</v>
      </c>
      <c r="Q623" s="2" t="s">
        <v>20</v>
      </c>
    </row>
    <row r="624" customFormat="false" ht="15" hidden="false" customHeight="false" outlineLevel="0" collapsed="false">
      <c r="A624" s="2" t="n">
        <v>32</v>
      </c>
      <c r="B624" s="2" t="s">
        <v>34</v>
      </c>
      <c r="C624" s="2" t="s">
        <v>30</v>
      </c>
      <c r="D624" s="2" t="s">
        <v>25</v>
      </c>
      <c r="E624" s="2" t="s">
        <v>20</v>
      </c>
      <c r="F624" s="2" t="n">
        <v>-84</v>
      </c>
      <c r="G624" s="2" t="s">
        <v>26</v>
      </c>
      <c r="H624" s="2" t="s">
        <v>20</v>
      </c>
      <c r="I624" s="2" t="s">
        <v>21</v>
      </c>
      <c r="J624" s="2" t="n">
        <v>11</v>
      </c>
      <c r="K624" s="2" t="s">
        <v>27</v>
      </c>
      <c r="L624" s="2" t="n">
        <v>426</v>
      </c>
      <c r="M624" s="2" t="n">
        <v>1</v>
      </c>
      <c r="N624" s="2" t="n">
        <v>-1</v>
      </c>
      <c r="O624" s="2" t="n">
        <v>0</v>
      </c>
      <c r="P624" s="2" t="s">
        <v>23</v>
      </c>
      <c r="Q624" s="2" t="s">
        <v>20</v>
      </c>
    </row>
    <row r="625" customFormat="false" ht="15" hidden="false" customHeight="false" outlineLevel="0" collapsed="false">
      <c r="A625" s="2" t="n">
        <v>40</v>
      </c>
      <c r="B625" s="2" t="s">
        <v>29</v>
      </c>
      <c r="C625" s="2" t="s">
        <v>30</v>
      </c>
      <c r="D625" s="2" t="s">
        <v>31</v>
      </c>
      <c r="E625" s="2" t="s">
        <v>20</v>
      </c>
      <c r="F625" s="2" t="n">
        <v>1509</v>
      </c>
      <c r="G625" s="2" t="s">
        <v>20</v>
      </c>
      <c r="H625" s="2" t="s">
        <v>20</v>
      </c>
      <c r="I625" s="2" t="s">
        <v>21</v>
      </c>
      <c r="J625" s="2" t="n">
        <v>12</v>
      </c>
      <c r="K625" s="2" t="s">
        <v>27</v>
      </c>
      <c r="L625" s="2" t="n">
        <v>333</v>
      </c>
      <c r="M625" s="2" t="n">
        <v>1</v>
      </c>
      <c r="N625" s="2" t="n">
        <v>58</v>
      </c>
      <c r="O625" s="2" t="n">
        <v>3</v>
      </c>
      <c r="P625" s="2" t="s">
        <v>28</v>
      </c>
      <c r="Q625" s="2" t="s">
        <v>20</v>
      </c>
    </row>
    <row r="626" customFormat="false" ht="15" hidden="false" customHeight="false" outlineLevel="0" collapsed="false">
      <c r="A626" s="2" t="n">
        <v>31</v>
      </c>
      <c r="B626" s="2" t="s">
        <v>36</v>
      </c>
      <c r="C626" s="2" t="s">
        <v>18</v>
      </c>
      <c r="D626" s="2" t="s">
        <v>31</v>
      </c>
      <c r="E626" s="2" t="s">
        <v>20</v>
      </c>
      <c r="F626" s="2" t="n">
        <v>1134</v>
      </c>
      <c r="G626" s="2" t="s">
        <v>20</v>
      </c>
      <c r="H626" s="2" t="s">
        <v>20</v>
      </c>
      <c r="I626" s="2" t="s">
        <v>21</v>
      </c>
      <c r="J626" s="2" t="n">
        <v>6</v>
      </c>
      <c r="K626" s="2" t="s">
        <v>35</v>
      </c>
      <c r="L626" s="2" t="n">
        <v>174</v>
      </c>
      <c r="M626" s="2" t="n">
        <v>2</v>
      </c>
      <c r="N626" s="2" t="n">
        <v>-1</v>
      </c>
      <c r="O626" s="2" t="n">
        <v>0</v>
      </c>
      <c r="P626" s="2" t="s">
        <v>23</v>
      </c>
      <c r="Q626" s="2" t="s">
        <v>20</v>
      </c>
    </row>
    <row r="627" customFormat="false" ht="15" hidden="false" customHeight="false" outlineLevel="0" collapsed="false">
      <c r="A627" s="2" t="n">
        <v>36</v>
      </c>
      <c r="B627" s="2" t="s">
        <v>38</v>
      </c>
      <c r="C627" s="2" t="s">
        <v>18</v>
      </c>
      <c r="D627" s="2" t="s">
        <v>25</v>
      </c>
      <c r="E627" s="2" t="s">
        <v>20</v>
      </c>
      <c r="F627" s="2" t="n">
        <v>146</v>
      </c>
      <c r="G627" s="2" t="s">
        <v>26</v>
      </c>
      <c r="H627" s="2" t="s">
        <v>26</v>
      </c>
      <c r="I627" s="2" t="s">
        <v>23</v>
      </c>
      <c r="J627" s="2" t="n">
        <v>15</v>
      </c>
      <c r="K627" s="2" t="s">
        <v>27</v>
      </c>
      <c r="L627" s="2" t="n">
        <v>284</v>
      </c>
      <c r="M627" s="2" t="n">
        <v>2</v>
      </c>
      <c r="N627" s="2" t="n">
        <v>-1</v>
      </c>
      <c r="O627" s="2" t="n">
        <v>0</v>
      </c>
      <c r="P627" s="2" t="s">
        <v>23</v>
      </c>
      <c r="Q627" s="2" t="s">
        <v>20</v>
      </c>
    </row>
    <row r="628" customFormat="false" ht="15" hidden="false" customHeight="false" outlineLevel="0" collapsed="false">
      <c r="A628" s="2" t="n">
        <v>33</v>
      </c>
      <c r="B628" s="2" t="s">
        <v>29</v>
      </c>
      <c r="C628" s="2" t="s">
        <v>30</v>
      </c>
      <c r="D628" s="2" t="s">
        <v>31</v>
      </c>
      <c r="E628" s="2" t="s">
        <v>20</v>
      </c>
      <c r="F628" s="2" t="n">
        <v>9449</v>
      </c>
      <c r="G628" s="2" t="s">
        <v>26</v>
      </c>
      <c r="H628" s="2" t="s">
        <v>20</v>
      </c>
      <c r="I628" s="2" t="s">
        <v>21</v>
      </c>
      <c r="J628" s="2" t="n">
        <v>8</v>
      </c>
      <c r="K628" s="2" t="s">
        <v>27</v>
      </c>
      <c r="L628" s="2" t="n">
        <v>428</v>
      </c>
      <c r="M628" s="2" t="n">
        <v>1</v>
      </c>
      <c r="N628" s="2" t="n">
        <v>-1</v>
      </c>
      <c r="O628" s="2" t="n">
        <v>0</v>
      </c>
      <c r="P628" s="2" t="s">
        <v>23</v>
      </c>
      <c r="Q628" s="2" t="s">
        <v>20</v>
      </c>
    </row>
    <row r="629" customFormat="false" ht="15" hidden="false" customHeight="false" outlineLevel="0" collapsed="false">
      <c r="A629" s="2" t="n">
        <v>57</v>
      </c>
      <c r="B629" s="2" t="s">
        <v>48</v>
      </c>
      <c r="C629" s="2" t="s">
        <v>18</v>
      </c>
      <c r="D629" s="2" t="s">
        <v>25</v>
      </c>
      <c r="E629" s="2" t="s">
        <v>20</v>
      </c>
      <c r="F629" s="2" t="n">
        <v>374</v>
      </c>
      <c r="G629" s="2" t="s">
        <v>26</v>
      </c>
      <c r="H629" s="2" t="s">
        <v>26</v>
      </c>
      <c r="I629" s="2" t="s">
        <v>21</v>
      </c>
      <c r="J629" s="2" t="n">
        <v>16</v>
      </c>
      <c r="K629" s="2" t="s">
        <v>44</v>
      </c>
      <c r="L629" s="2" t="n">
        <v>236</v>
      </c>
      <c r="M629" s="2" t="n">
        <v>1</v>
      </c>
      <c r="N629" s="2" t="n">
        <v>-1</v>
      </c>
      <c r="O629" s="2" t="n">
        <v>0</v>
      </c>
      <c r="P629" s="2" t="s">
        <v>23</v>
      </c>
      <c r="Q629" s="2" t="s">
        <v>20</v>
      </c>
    </row>
    <row r="630" customFormat="false" ht="15" hidden="false" customHeight="false" outlineLevel="0" collapsed="false">
      <c r="A630" s="2" t="n">
        <v>45</v>
      </c>
      <c r="B630" s="2" t="s">
        <v>38</v>
      </c>
      <c r="C630" s="2" t="s">
        <v>18</v>
      </c>
      <c r="D630" s="2" t="s">
        <v>25</v>
      </c>
      <c r="E630" s="2" t="s">
        <v>20</v>
      </c>
      <c r="F630" s="2" t="n">
        <v>88</v>
      </c>
      <c r="G630" s="2" t="s">
        <v>20</v>
      </c>
      <c r="H630" s="2" t="s">
        <v>20</v>
      </c>
      <c r="I630" s="2" t="s">
        <v>21</v>
      </c>
      <c r="J630" s="2" t="n">
        <v>29</v>
      </c>
      <c r="K630" s="2" t="s">
        <v>41</v>
      </c>
      <c r="L630" s="2" t="n">
        <v>150</v>
      </c>
      <c r="M630" s="2" t="n">
        <v>2</v>
      </c>
      <c r="N630" s="2" t="n">
        <v>-1</v>
      </c>
      <c r="O630" s="2" t="n">
        <v>0</v>
      </c>
      <c r="P630" s="2" t="s">
        <v>23</v>
      </c>
      <c r="Q630" s="2" t="s">
        <v>20</v>
      </c>
    </row>
    <row r="631" customFormat="false" ht="15" hidden="false" customHeight="false" outlineLevel="0" collapsed="false">
      <c r="A631" s="2" t="n">
        <v>59</v>
      </c>
      <c r="B631" s="2" t="s">
        <v>29</v>
      </c>
      <c r="C631" s="2" t="s">
        <v>18</v>
      </c>
      <c r="D631" s="2" t="s">
        <v>31</v>
      </c>
      <c r="E631" s="2" t="s">
        <v>20</v>
      </c>
      <c r="F631" s="2" t="n">
        <v>2764</v>
      </c>
      <c r="G631" s="2" t="s">
        <v>20</v>
      </c>
      <c r="H631" s="2" t="s">
        <v>20</v>
      </c>
      <c r="I631" s="2" t="s">
        <v>21</v>
      </c>
      <c r="J631" s="2" t="n">
        <v>24</v>
      </c>
      <c r="K631" s="2" t="s">
        <v>53</v>
      </c>
      <c r="L631" s="2" t="n">
        <v>237</v>
      </c>
      <c r="M631" s="2" t="n">
        <v>1</v>
      </c>
      <c r="N631" s="2" t="n">
        <v>206</v>
      </c>
      <c r="O631" s="2" t="n">
        <v>2</v>
      </c>
      <c r="P631" s="2" t="s">
        <v>28</v>
      </c>
      <c r="Q631" s="2" t="s">
        <v>20</v>
      </c>
    </row>
    <row r="632" customFormat="false" ht="15" hidden="false" customHeight="false" outlineLevel="0" collapsed="false">
      <c r="A632" s="2" t="n">
        <v>30</v>
      </c>
      <c r="B632" s="2" t="s">
        <v>29</v>
      </c>
      <c r="C632" s="2" t="s">
        <v>30</v>
      </c>
      <c r="D632" s="2" t="s">
        <v>31</v>
      </c>
      <c r="E632" s="2" t="s">
        <v>20</v>
      </c>
      <c r="F632" s="2" t="n">
        <v>2</v>
      </c>
      <c r="G632" s="2" t="s">
        <v>26</v>
      </c>
      <c r="H632" s="2" t="s">
        <v>26</v>
      </c>
      <c r="I632" s="2" t="s">
        <v>21</v>
      </c>
      <c r="J632" s="2" t="n">
        <v>25</v>
      </c>
      <c r="K632" s="2" t="s">
        <v>44</v>
      </c>
      <c r="L632" s="2" t="n">
        <v>1031</v>
      </c>
      <c r="M632" s="2" t="n">
        <v>8</v>
      </c>
      <c r="N632" s="2" t="n">
        <v>-1</v>
      </c>
      <c r="O632" s="2" t="n">
        <v>0</v>
      </c>
      <c r="P632" s="2" t="s">
        <v>23</v>
      </c>
      <c r="Q632" s="2" t="s">
        <v>26</v>
      </c>
    </row>
    <row r="633" customFormat="false" ht="15" hidden="false" customHeight="false" outlineLevel="0" collapsed="false">
      <c r="A633" s="2" t="n">
        <v>33</v>
      </c>
      <c r="B633" s="2" t="s">
        <v>38</v>
      </c>
      <c r="C633" s="2" t="s">
        <v>18</v>
      </c>
      <c r="D633" s="2" t="s">
        <v>31</v>
      </c>
      <c r="E633" s="2" t="s">
        <v>20</v>
      </c>
      <c r="F633" s="2" t="n">
        <v>8023</v>
      </c>
      <c r="G633" s="2" t="s">
        <v>20</v>
      </c>
      <c r="H633" s="2" t="s">
        <v>20</v>
      </c>
      <c r="I633" s="2" t="s">
        <v>21</v>
      </c>
      <c r="J633" s="2" t="n">
        <v>30</v>
      </c>
      <c r="K633" s="2" t="s">
        <v>46</v>
      </c>
      <c r="L633" s="2" t="n">
        <v>107</v>
      </c>
      <c r="M633" s="2" t="n">
        <v>1</v>
      </c>
      <c r="N633" s="2" t="n">
        <v>105</v>
      </c>
      <c r="O633" s="2" t="n">
        <v>3</v>
      </c>
      <c r="P633" s="2" t="s">
        <v>28</v>
      </c>
      <c r="Q633" s="2" t="s">
        <v>20</v>
      </c>
    </row>
    <row r="634" customFormat="false" ht="15" hidden="false" customHeight="false" outlineLevel="0" collapsed="false">
      <c r="A634" s="2" t="n">
        <v>52</v>
      </c>
      <c r="B634" s="2" t="s">
        <v>34</v>
      </c>
      <c r="C634" s="2" t="s">
        <v>18</v>
      </c>
      <c r="D634" s="2" t="s">
        <v>25</v>
      </c>
      <c r="E634" s="2" t="s">
        <v>20</v>
      </c>
      <c r="F634" s="2" t="n">
        <v>289</v>
      </c>
      <c r="G634" s="2" t="s">
        <v>26</v>
      </c>
      <c r="H634" s="2" t="s">
        <v>20</v>
      </c>
      <c r="I634" s="2" t="s">
        <v>23</v>
      </c>
      <c r="J634" s="2" t="n">
        <v>21</v>
      </c>
      <c r="K634" s="2" t="s">
        <v>27</v>
      </c>
      <c r="L634" s="2" t="n">
        <v>45</v>
      </c>
      <c r="M634" s="2" t="n">
        <v>13</v>
      </c>
      <c r="N634" s="2" t="n">
        <v>-1</v>
      </c>
      <c r="O634" s="2" t="n">
        <v>0</v>
      </c>
      <c r="P634" s="2" t="s">
        <v>23</v>
      </c>
      <c r="Q634" s="2" t="s">
        <v>20</v>
      </c>
    </row>
    <row r="635" customFormat="false" ht="15" hidden="false" customHeight="false" outlineLevel="0" collapsed="false">
      <c r="A635" s="2" t="n">
        <v>83</v>
      </c>
      <c r="B635" s="2" t="s">
        <v>48</v>
      </c>
      <c r="C635" s="2" t="s">
        <v>18</v>
      </c>
      <c r="D635" s="2" t="s">
        <v>25</v>
      </c>
      <c r="E635" s="2" t="s">
        <v>20</v>
      </c>
      <c r="F635" s="2" t="n">
        <v>0</v>
      </c>
      <c r="G635" s="2" t="s">
        <v>20</v>
      </c>
      <c r="H635" s="2" t="s">
        <v>20</v>
      </c>
      <c r="I635" s="2" t="s">
        <v>21</v>
      </c>
      <c r="J635" s="2" t="n">
        <v>18</v>
      </c>
      <c r="K635" s="2" t="s">
        <v>52</v>
      </c>
      <c r="L635" s="2" t="n">
        <v>140</v>
      </c>
      <c r="M635" s="2" t="n">
        <v>10</v>
      </c>
      <c r="N635" s="2" t="n">
        <v>-1</v>
      </c>
      <c r="O635" s="2" t="n">
        <v>0</v>
      </c>
      <c r="P635" s="2" t="s">
        <v>23</v>
      </c>
      <c r="Q635" s="2" t="s">
        <v>20</v>
      </c>
    </row>
    <row r="636" customFormat="false" ht="15" hidden="false" customHeight="false" outlineLevel="0" collapsed="false">
      <c r="A636" s="2" t="n">
        <v>58</v>
      </c>
      <c r="B636" s="2" t="s">
        <v>36</v>
      </c>
      <c r="C636" s="2" t="s">
        <v>45</v>
      </c>
      <c r="D636" s="2" t="s">
        <v>31</v>
      </c>
      <c r="E636" s="2" t="s">
        <v>20</v>
      </c>
      <c r="F636" s="2" t="n">
        <v>1382</v>
      </c>
      <c r="G636" s="2" t="s">
        <v>20</v>
      </c>
      <c r="H636" s="2" t="s">
        <v>20</v>
      </c>
      <c r="I636" s="2" t="s">
        <v>23</v>
      </c>
      <c r="J636" s="2" t="n">
        <v>9</v>
      </c>
      <c r="K636" s="2" t="s">
        <v>33</v>
      </c>
      <c r="L636" s="2" t="n">
        <v>700</v>
      </c>
      <c r="M636" s="2" t="n">
        <v>1</v>
      </c>
      <c r="N636" s="2" t="n">
        <v>-1</v>
      </c>
      <c r="O636" s="2" t="n">
        <v>0</v>
      </c>
      <c r="P636" s="2" t="s">
        <v>23</v>
      </c>
      <c r="Q636" s="2" t="s">
        <v>26</v>
      </c>
    </row>
    <row r="637" customFormat="false" ht="15" hidden="false" customHeight="false" outlineLevel="0" collapsed="false">
      <c r="A637" s="2" t="n">
        <v>33</v>
      </c>
      <c r="B637" s="2" t="s">
        <v>29</v>
      </c>
      <c r="C637" s="2" t="s">
        <v>45</v>
      </c>
      <c r="D637" s="2" t="s">
        <v>31</v>
      </c>
      <c r="E637" s="2" t="s">
        <v>26</v>
      </c>
      <c r="F637" s="2" t="n">
        <v>280</v>
      </c>
      <c r="G637" s="2" t="s">
        <v>20</v>
      </c>
      <c r="H637" s="2" t="s">
        <v>26</v>
      </c>
      <c r="I637" s="2" t="s">
        <v>21</v>
      </c>
      <c r="J637" s="2" t="n">
        <v>18</v>
      </c>
      <c r="K637" s="2" t="s">
        <v>46</v>
      </c>
      <c r="L637" s="2" t="n">
        <v>155</v>
      </c>
      <c r="M637" s="2" t="n">
        <v>1</v>
      </c>
      <c r="N637" s="2" t="n">
        <v>-1</v>
      </c>
      <c r="O637" s="2" t="n">
        <v>0</v>
      </c>
      <c r="P637" s="2" t="s">
        <v>23</v>
      </c>
      <c r="Q637" s="2" t="s">
        <v>20</v>
      </c>
    </row>
    <row r="638" customFormat="false" ht="15" hidden="false" customHeight="false" outlineLevel="0" collapsed="false">
      <c r="A638" s="2" t="n">
        <v>41</v>
      </c>
      <c r="B638" s="2" t="s">
        <v>34</v>
      </c>
      <c r="C638" s="2" t="s">
        <v>45</v>
      </c>
      <c r="D638" s="2" t="s">
        <v>19</v>
      </c>
      <c r="E638" s="2" t="s">
        <v>20</v>
      </c>
      <c r="F638" s="2" t="n">
        <v>2195</v>
      </c>
      <c r="G638" s="2" t="s">
        <v>26</v>
      </c>
      <c r="H638" s="2" t="s">
        <v>20</v>
      </c>
      <c r="I638" s="2" t="s">
        <v>23</v>
      </c>
      <c r="J638" s="2" t="n">
        <v>3</v>
      </c>
      <c r="K638" s="2" t="s">
        <v>33</v>
      </c>
      <c r="L638" s="2" t="n">
        <v>211</v>
      </c>
      <c r="M638" s="2" t="n">
        <v>5</v>
      </c>
      <c r="N638" s="2" t="n">
        <v>-1</v>
      </c>
      <c r="O638" s="2" t="n">
        <v>0</v>
      </c>
      <c r="P638" s="2" t="s">
        <v>23</v>
      </c>
      <c r="Q638" s="2" t="s">
        <v>20</v>
      </c>
    </row>
    <row r="639" customFormat="false" ht="15" hidden="false" customHeight="false" outlineLevel="0" collapsed="false">
      <c r="A639" s="2" t="n">
        <v>31</v>
      </c>
      <c r="B639" s="2" t="s">
        <v>36</v>
      </c>
      <c r="C639" s="2" t="s">
        <v>18</v>
      </c>
      <c r="D639" s="2" t="s">
        <v>25</v>
      </c>
      <c r="E639" s="2" t="s">
        <v>20</v>
      </c>
      <c r="F639" s="2" t="n">
        <v>33</v>
      </c>
      <c r="G639" s="2" t="s">
        <v>20</v>
      </c>
      <c r="H639" s="2" t="s">
        <v>20</v>
      </c>
      <c r="I639" s="2" t="s">
        <v>21</v>
      </c>
      <c r="J639" s="2" t="n">
        <v>6</v>
      </c>
      <c r="K639" s="2" t="s">
        <v>41</v>
      </c>
      <c r="L639" s="2" t="n">
        <v>165</v>
      </c>
      <c r="M639" s="2" t="n">
        <v>4</v>
      </c>
      <c r="N639" s="2" t="n">
        <v>-1</v>
      </c>
      <c r="O639" s="2" t="n">
        <v>0</v>
      </c>
      <c r="P639" s="2" t="s">
        <v>23</v>
      </c>
      <c r="Q639" s="2" t="s">
        <v>20</v>
      </c>
    </row>
    <row r="640" customFormat="false" ht="15" hidden="false" customHeight="false" outlineLevel="0" collapsed="false">
      <c r="A640" s="2" t="n">
        <v>35</v>
      </c>
      <c r="B640" s="2" t="s">
        <v>34</v>
      </c>
      <c r="C640" s="2" t="s">
        <v>45</v>
      </c>
      <c r="D640" s="2" t="s">
        <v>25</v>
      </c>
      <c r="E640" s="2" t="s">
        <v>20</v>
      </c>
      <c r="F640" s="2" t="n">
        <v>275</v>
      </c>
      <c r="G640" s="2" t="s">
        <v>20</v>
      </c>
      <c r="H640" s="2" t="s">
        <v>26</v>
      </c>
      <c r="I640" s="2" t="s">
        <v>21</v>
      </c>
      <c r="J640" s="2" t="n">
        <v>10</v>
      </c>
      <c r="K640" s="2" t="s">
        <v>44</v>
      </c>
      <c r="L640" s="2" t="n">
        <v>144</v>
      </c>
      <c r="M640" s="2" t="n">
        <v>5</v>
      </c>
      <c r="N640" s="2" t="n">
        <v>-1</v>
      </c>
      <c r="O640" s="2" t="n">
        <v>0</v>
      </c>
      <c r="P640" s="2" t="s">
        <v>23</v>
      </c>
      <c r="Q640" s="2" t="s">
        <v>20</v>
      </c>
    </row>
    <row r="641" customFormat="false" ht="15" hidden="false" customHeight="false" outlineLevel="0" collapsed="false">
      <c r="A641" s="2" t="n">
        <v>27</v>
      </c>
      <c r="B641" s="2" t="s">
        <v>29</v>
      </c>
      <c r="C641" s="2" t="s">
        <v>30</v>
      </c>
      <c r="D641" s="2" t="s">
        <v>31</v>
      </c>
      <c r="E641" s="2" t="s">
        <v>20</v>
      </c>
      <c r="F641" s="2" t="n">
        <v>703</v>
      </c>
      <c r="G641" s="2" t="s">
        <v>26</v>
      </c>
      <c r="H641" s="2" t="s">
        <v>20</v>
      </c>
      <c r="I641" s="2" t="s">
        <v>23</v>
      </c>
      <c r="J641" s="2" t="n">
        <v>5</v>
      </c>
      <c r="K641" s="2" t="s">
        <v>33</v>
      </c>
      <c r="L641" s="2" t="n">
        <v>590</v>
      </c>
      <c r="M641" s="2" t="n">
        <v>3</v>
      </c>
      <c r="N641" s="2" t="n">
        <v>-1</v>
      </c>
      <c r="O641" s="2" t="n">
        <v>0</v>
      </c>
      <c r="P641" s="2" t="s">
        <v>23</v>
      </c>
      <c r="Q641" s="2" t="s">
        <v>26</v>
      </c>
    </row>
    <row r="642" customFormat="false" ht="15" hidden="false" customHeight="false" outlineLevel="0" collapsed="false">
      <c r="A642" s="2" t="n">
        <v>57</v>
      </c>
      <c r="B642" s="2" t="s">
        <v>40</v>
      </c>
      <c r="C642" s="2" t="s">
        <v>45</v>
      </c>
      <c r="D642" s="2" t="s">
        <v>23</v>
      </c>
      <c r="E642" s="2" t="s">
        <v>20</v>
      </c>
      <c r="F642" s="2" t="n">
        <v>887</v>
      </c>
      <c r="G642" s="2" t="s">
        <v>20</v>
      </c>
      <c r="H642" s="2" t="s">
        <v>20</v>
      </c>
      <c r="I642" s="2" t="s">
        <v>23</v>
      </c>
      <c r="J642" s="2" t="n">
        <v>20</v>
      </c>
      <c r="K642" s="2" t="s">
        <v>33</v>
      </c>
      <c r="L642" s="2" t="n">
        <v>43</v>
      </c>
      <c r="M642" s="2" t="n">
        <v>8</v>
      </c>
      <c r="N642" s="2" t="n">
        <v>-1</v>
      </c>
      <c r="O642" s="2" t="n">
        <v>0</v>
      </c>
      <c r="P642" s="2" t="s">
        <v>23</v>
      </c>
      <c r="Q642" s="2" t="s">
        <v>20</v>
      </c>
    </row>
    <row r="643" customFormat="false" ht="15" hidden="false" customHeight="false" outlineLevel="0" collapsed="false">
      <c r="A643" s="2" t="n">
        <v>56</v>
      </c>
      <c r="B643" s="2" t="s">
        <v>23</v>
      </c>
      <c r="C643" s="2" t="s">
        <v>18</v>
      </c>
      <c r="D643" s="2" t="s">
        <v>23</v>
      </c>
      <c r="E643" s="2" t="s">
        <v>20</v>
      </c>
      <c r="F643" s="2" t="n">
        <v>0</v>
      </c>
      <c r="G643" s="2" t="s">
        <v>20</v>
      </c>
      <c r="H643" s="2" t="s">
        <v>20</v>
      </c>
      <c r="I643" s="2" t="s">
        <v>23</v>
      </c>
      <c r="J643" s="2" t="n">
        <v>20</v>
      </c>
      <c r="K643" s="2" t="s">
        <v>33</v>
      </c>
      <c r="L643" s="2" t="n">
        <v>471</v>
      </c>
      <c r="M643" s="2" t="n">
        <v>2</v>
      </c>
      <c r="N643" s="2" t="n">
        <v>-1</v>
      </c>
      <c r="O643" s="2" t="n">
        <v>0</v>
      </c>
      <c r="P643" s="2" t="s">
        <v>23</v>
      </c>
      <c r="Q643" s="2" t="s">
        <v>20</v>
      </c>
    </row>
    <row r="644" customFormat="false" ht="15" hidden="false" customHeight="false" outlineLevel="0" collapsed="false">
      <c r="A644" s="2" t="n">
        <v>53</v>
      </c>
      <c r="B644" s="2" t="s">
        <v>40</v>
      </c>
      <c r="C644" s="2" t="s">
        <v>30</v>
      </c>
      <c r="D644" s="2" t="s">
        <v>25</v>
      </c>
      <c r="E644" s="2" t="s">
        <v>20</v>
      </c>
      <c r="F644" s="2" t="n">
        <v>1178</v>
      </c>
      <c r="G644" s="2" t="s">
        <v>26</v>
      </c>
      <c r="H644" s="2" t="s">
        <v>20</v>
      </c>
      <c r="I644" s="2" t="s">
        <v>23</v>
      </c>
      <c r="J644" s="2" t="n">
        <v>15</v>
      </c>
      <c r="K644" s="2" t="s">
        <v>27</v>
      </c>
      <c r="L644" s="2" t="n">
        <v>295</v>
      </c>
      <c r="M644" s="2" t="n">
        <v>2</v>
      </c>
      <c r="N644" s="2" t="n">
        <v>-1</v>
      </c>
      <c r="O644" s="2" t="n">
        <v>0</v>
      </c>
      <c r="P644" s="2" t="s">
        <v>23</v>
      </c>
      <c r="Q644" s="2" t="s">
        <v>20</v>
      </c>
    </row>
    <row r="645" customFormat="false" ht="15" hidden="false" customHeight="false" outlineLevel="0" collapsed="false">
      <c r="A645" s="2" t="n">
        <v>39</v>
      </c>
      <c r="B645" s="2" t="s">
        <v>29</v>
      </c>
      <c r="C645" s="2" t="s">
        <v>18</v>
      </c>
      <c r="D645" s="2" t="s">
        <v>31</v>
      </c>
      <c r="E645" s="2" t="s">
        <v>20</v>
      </c>
      <c r="F645" s="2" t="n">
        <v>2763</v>
      </c>
      <c r="G645" s="2" t="s">
        <v>26</v>
      </c>
      <c r="H645" s="2" t="s">
        <v>20</v>
      </c>
      <c r="I645" s="2" t="s">
        <v>23</v>
      </c>
      <c r="J645" s="2" t="n">
        <v>2</v>
      </c>
      <c r="K645" s="2" t="s">
        <v>33</v>
      </c>
      <c r="L645" s="2" t="n">
        <v>526</v>
      </c>
      <c r="M645" s="2" t="n">
        <v>2</v>
      </c>
      <c r="N645" s="2" t="n">
        <v>-1</v>
      </c>
      <c r="O645" s="2" t="n">
        <v>0</v>
      </c>
      <c r="P645" s="2" t="s">
        <v>23</v>
      </c>
      <c r="Q645" s="2" t="s">
        <v>26</v>
      </c>
    </row>
    <row r="646" customFormat="false" ht="15" hidden="false" customHeight="false" outlineLevel="0" collapsed="false">
      <c r="A646" s="2" t="n">
        <v>32</v>
      </c>
      <c r="B646" s="2" t="s">
        <v>39</v>
      </c>
      <c r="C646" s="2" t="s">
        <v>30</v>
      </c>
      <c r="D646" s="2" t="s">
        <v>31</v>
      </c>
      <c r="E646" s="2" t="s">
        <v>20</v>
      </c>
      <c r="F646" s="2" t="n">
        <v>890</v>
      </c>
      <c r="G646" s="2" t="s">
        <v>26</v>
      </c>
      <c r="H646" s="2" t="s">
        <v>26</v>
      </c>
      <c r="I646" s="2" t="s">
        <v>21</v>
      </c>
      <c r="J646" s="2" t="n">
        <v>28</v>
      </c>
      <c r="K646" s="2" t="s">
        <v>41</v>
      </c>
      <c r="L646" s="2" t="n">
        <v>27</v>
      </c>
      <c r="M646" s="2" t="n">
        <v>10</v>
      </c>
      <c r="N646" s="2" t="n">
        <v>-1</v>
      </c>
      <c r="O646" s="2" t="n">
        <v>0</v>
      </c>
      <c r="P646" s="2" t="s">
        <v>23</v>
      </c>
      <c r="Q646" s="2" t="s">
        <v>20</v>
      </c>
    </row>
    <row r="647" customFormat="false" ht="15" hidden="false" customHeight="false" outlineLevel="0" collapsed="false">
      <c r="A647" s="2" t="n">
        <v>46</v>
      </c>
      <c r="B647" s="2" t="s">
        <v>36</v>
      </c>
      <c r="C647" s="2" t="s">
        <v>18</v>
      </c>
      <c r="D647" s="2" t="s">
        <v>25</v>
      </c>
      <c r="E647" s="2" t="s">
        <v>20</v>
      </c>
      <c r="F647" s="2" t="n">
        <v>548</v>
      </c>
      <c r="G647" s="2" t="s">
        <v>20</v>
      </c>
      <c r="H647" s="2" t="s">
        <v>20</v>
      </c>
      <c r="I647" s="2" t="s">
        <v>21</v>
      </c>
      <c r="J647" s="2" t="n">
        <v>12</v>
      </c>
      <c r="K647" s="2" t="s">
        <v>41</v>
      </c>
      <c r="L647" s="2" t="n">
        <v>1181</v>
      </c>
      <c r="M647" s="2" t="n">
        <v>4</v>
      </c>
      <c r="N647" s="2" t="n">
        <v>-1</v>
      </c>
      <c r="O647" s="2" t="n">
        <v>0</v>
      </c>
      <c r="P647" s="2" t="s">
        <v>23</v>
      </c>
      <c r="Q647" s="2" t="s">
        <v>26</v>
      </c>
    </row>
    <row r="648" customFormat="false" ht="15" hidden="false" customHeight="false" outlineLevel="0" collapsed="false">
      <c r="A648" s="2" t="n">
        <v>56</v>
      </c>
      <c r="B648" s="2" t="s">
        <v>38</v>
      </c>
      <c r="C648" s="2" t="s">
        <v>18</v>
      </c>
      <c r="D648" s="2" t="s">
        <v>31</v>
      </c>
      <c r="E648" s="2" t="s">
        <v>20</v>
      </c>
      <c r="F648" s="2" t="n">
        <v>272</v>
      </c>
      <c r="G648" s="2" t="s">
        <v>20</v>
      </c>
      <c r="H648" s="2" t="s">
        <v>20</v>
      </c>
      <c r="I648" s="2" t="s">
        <v>21</v>
      </c>
      <c r="J648" s="2" t="n">
        <v>26</v>
      </c>
      <c r="K648" s="2" t="s">
        <v>41</v>
      </c>
      <c r="L648" s="2" t="n">
        <v>103</v>
      </c>
      <c r="M648" s="2" t="n">
        <v>2</v>
      </c>
      <c r="N648" s="2" t="n">
        <v>-1</v>
      </c>
      <c r="O648" s="2" t="n">
        <v>0</v>
      </c>
      <c r="P648" s="2" t="s">
        <v>23</v>
      </c>
      <c r="Q648" s="2" t="s">
        <v>20</v>
      </c>
    </row>
    <row r="649" customFormat="false" ht="15" hidden="false" customHeight="false" outlineLevel="0" collapsed="false">
      <c r="A649" s="2" t="n">
        <v>46</v>
      </c>
      <c r="B649" s="2" t="s">
        <v>29</v>
      </c>
      <c r="C649" s="2" t="s">
        <v>45</v>
      </c>
      <c r="D649" s="2" t="s">
        <v>31</v>
      </c>
      <c r="E649" s="2" t="s">
        <v>20</v>
      </c>
      <c r="F649" s="2" t="n">
        <v>6269</v>
      </c>
      <c r="G649" s="2" t="s">
        <v>26</v>
      </c>
      <c r="H649" s="2" t="s">
        <v>20</v>
      </c>
      <c r="I649" s="2" t="s">
        <v>49</v>
      </c>
      <c r="J649" s="2" t="n">
        <v>18</v>
      </c>
      <c r="K649" s="2" t="s">
        <v>46</v>
      </c>
      <c r="L649" s="2" t="n">
        <v>249</v>
      </c>
      <c r="M649" s="2" t="n">
        <v>3</v>
      </c>
      <c r="N649" s="2" t="n">
        <v>112</v>
      </c>
      <c r="O649" s="2" t="n">
        <v>2</v>
      </c>
      <c r="P649" s="2" t="s">
        <v>28</v>
      </c>
      <c r="Q649" s="2" t="s">
        <v>20</v>
      </c>
    </row>
    <row r="650" customFormat="false" ht="15" hidden="false" customHeight="false" outlineLevel="0" collapsed="false">
      <c r="A650" s="2" t="n">
        <v>29</v>
      </c>
      <c r="B650" s="2" t="s">
        <v>39</v>
      </c>
      <c r="C650" s="2" t="s">
        <v>18</v>
      </c>
      <c r="D650" s="2" t="s">
        <v>25</v>
      </c>
      <c r="E650" s="2" t="s">
        <v>20</v>
      </c>
      <c r="F650" s="2" t="n">
        <v>178</v>
      </c>
      <c r="G650" s="2" t="s">
        <v>26</v>
      </c>
      <c r="H650" s="2" t="s">
        <v>20</v>
      </c>
      <c r="I650" s="2" t="s">
        <v>21</v>
      </c>
      <c r="J650" s="2" t="n">
        <v>5</v>
      </c>
      <c r="K650" s="2" t="s">
        <v>27</v>
      </c>
      <c r="L650" s="2" t="n">
        <v>231</v>
      </c>
      <c r="M650" s="2" t="n">
        <v>4</v>
      </c>
      <c r="N650" s="2" t="n">
        <v>-1</v>
      </c>
      <c r="O650" s="2" t="n">
        <v>0</v>
      </c>
      <c r="P650" s="2" t="s">
        <v>23</v>
      </c>
      <c r="Q650" s="2" t="s">
        <v>20</v>
      </c>
    </row>
    <row r="651" customFormat="false" ht="15" hidden="false" customHeight="false" outlineLevel="0" collapsed="false">
      <c r="A651" s="2" t="n">
        <v>60</v>
      </c>
      <c r="B651" s="2" t="s">
        <v>29</v>
      </c>
      <c r="C651" s="2" t="s">
        <v>18</v>
      </c>
      <c r="D651" s="2" t="s">
        <v>19</v>
      </c>
      <c r="E651" s="2" t="s">
        <v>20</v>
      </c>
      <c r="F651" s="2" t="n">
        <v>252</v>
      </c>
      <c r="G651" s="2" t="s">
        <v>26</v>
      </c>
      <c r="H651" s="2" t="s">
        <v>26</v>
      </c>
      <c r="I651" s="2" t="s">
        <v>21</v>
      </c>
      <c r="J651" s="2" t="n">
        <v>13</v>
      </c>
      <c r="K651" s="2" t="s">
        <v>32</v>
      </c>
      <c r="L651" s="2" t="n">
        <v>123</v>
      </c>
      <c r="M651" s="2" t="n">
        <v>2</v>
      </c>
      <c r="N651" s="2" t="n">
        <v>147</v>
      </c>
      <c r="O651" s="2" t="n">
        <v>3</v>
      </c>
      <c r="P651" s="2" t="s">
        <v>28</v>
      </c>
      <c r="Q651" s="2" t="s">
        <v>20</v>
      </c>
    </row>
    <row r="652" customFormat="false" ht="15" hidden="false" customHeight="false" outlineLevel="0" collapsed="false">
      <c r="A652" s="2" t="n">
        <v>33</v>
      </c>
      <c r="B652" s="2" t="s">
        <v>47</v>
      </c>
      <c r="C652" s="2" t="s">
        <v>30</v>
      </c>
      <c r="D652" s="2" t="s">
        <v>31</v>
      </c>
      <c r="E652" s="2" t="s">
        <v>20</v>
      </c>
      <c r="F652" s="2" t="n">
        <v>23663</v>
      </c>
      <c r="G652" s="2" t="s">
        <v>26</v>
      </c>
      <c r="H652" s="2" t="s">
        <v>20</v>
      </c>
      <c r="I652" s="2" t="s">
        <v>21</v>
      </c>
      <c r="J652" s="2" t="n">
        <v>16</v>
      </c>
      <c r="K652" s="2" t="s">
        <v>32</v>
      </c>
      <c r="L652" s="2" t="n">
        <v>199</v>
      </c>
      <c r="M652" s="2" t="n">
        <v>2</v>
      </c>
      <c r="N652" s="2" t="n">
        <v>146</v>
      </c>
      <c r="O652" s="2" t="n">
        <v>2</v>
      </c>
      <c r="P652" s="2" t="s">
        <v>28</v>
      </c>
      <c r="Q652" s="2" t="s">
        <v>20</v>
      </c>
    </row>
    <row r="653" customFormat="false" ht="15" hidden="false" customHeight="false" outlineLevel="0" collapsed="false">
      <c r="A653" s="2" t="n">
        <v>27</v>
      </c>
      <c r="B653" s="2" t="s">
        <v>39</v>
      </c>
      <c r="C653" s="2" t="s">
        <v>30</v>
      </c>
      <c r="D653" s="2" t="s">
        <v>31</v>
      </c>
      <c r="E653" s="2" t="s">
        <v>20</v>
      </c>
      <c r="F653" s="2" t="n">
        <v>81</v>
      </c>
      <c r="G653" s="2" t="s">
        <v>20</v>
      </c>
      <c r="H653" s="2" t="s">
        <v>20</v>
      </c>
      <c r="I653" s="2" t="s">
        <v>21</v>
      </c>
      <c r="J653" s="2" t="n">
        <v>5</v>
      </c>
      <c r="K653" s="2" t="s">
        <v>35</v>
      </c>
      <c r="L653" s="2" t="n">
        <v>197</v>
      </c>
      <c r="M653" s="2" t="n">
        <v>1</v>
      </c>
      <c r="N653" s="2" t="n">
        <v>199</v>
      </c>
      <c r="O653" s="2" t="n">
        <v>3</v>
      </c>
      <c r="P653" s="2" t="s">
        <v>28</v>
      </c>
      <c r="Q653" s="2" t="s">
        <v>20</v>
      </c>
    </row>
    <row r="654" customFormat="false" ht="15" hidden="false" customHeight="false" outlineLevel="0" collapsed="false">
      <c r="A654" s="2" t="n">
        <v>50</v>
      </c>
      <c r="B654" s="2" t="s">
        <v>36</v>
      </c>
      <c r="C654" s="2" t="s">
        <v>45</v>
      </c>
      <c r="D654" s="2" t="s">
        <v>31</v>
      </c>
      <c r="E654" s="2" t="s">
        <v>20</v>
      </c>
      <c r="F654" s="2" t="n">
        <v>59</v>
      </c>
      <c r="G654" s="2" t="s">
        <v>26</v>
      </c>
      <c r="H654" s="2" t="s">
        <v>20</v>
      </c>
      <c r="I654" s="2" t="s">
        <v>23</v>
      </c>
      <c r="J654" s="2" t="n">
        <v>28</v>
      </c>
      <c r="K654" s="2" t="s">
        <v>27</v>
      </c>
      <c r="L654" s="2" t="n">
        <v>67</v>
      </c>
      <c r="M654" s="2" t="n">
        <v>2</v>
      </c>
      <c r="N654" s="2" t="n">
        <v>-1</v>
      </c>
      <c r="O654" s="2" t="n">
        <v>0</v>
      </c>
      <c r="P654" s="2" t="s">
        <v>23</v>
      </c>
      <c r="Q654" s="2" t="s">
        <v>20</v>
      </c>
    </row>
    <row r="655" customFormat="false" ht="15" hidden="false" customHeight="false" outlineLevel="0" collapsed="false">
      <c r="A655" s="2" t="n">
        <v>45</v>
      </c>
      <c r="B655" s="2" t="s">
        <v>24</v>
      </c>
      <c r="C655" s="2" t="s">
        <v>18</v>
      </c>
      <c r="D655" s="2" t="s">
        <v>25</v>
      </c>
      <c r="E655" s="2" t="s">
        <v>20</v>
      </c>
      <c r="F655" s="2" t="n">
        <v>1343</v>
      </c>
      <c r="G655" s="2" t="s">
        <v>20</v>
      </c>
      <c r="H655" s="2" t="s">
        <v>26</v>
      </c>
      <c r="I655" s="2" t="s">
        <v>21</v>
      </c>
      <c r="J655" s="2" t="n">
        <v>8</v>
      </c>
      <c r="K655" s="2" t="s">
        <v>44</v>
      </c>
      <c r="L655" s="2" t="n">
        <v>220</v>
      </c>
      <c r="M655" s="2" t="n">
        <v>1</v>
      </c>
      <c r="N655" s="2" t="n">
        <v>-1</v>
      </c>
      <c r="O655" s="2" t="n">
        <v>0</v>
      </c>
      <c r="P655" s="2" t="s">
        <v>23</v>
      </c>
      <c r="Q655" s="2" t="s">
        <v>20</v>
      </c>
    </row>
    <row r="656" customFormat="false" ht="15" hidden="false" customHeight="false" outlineLevel="0" collapsed="false">
      <c r="A656" s="2" t="n">
        <v>58</v>
      </c>
      <c r="B656" s="2" t="s">
        <v>48</v>
      </c>
      <c r="C656" s="2" t="s">
        <v>18</v>
      </c>
      <c r="D656" s="2" t="s">
        <v>25</v>
      </c>
      <c r="E656" s="2" t="s">
        <v>20</v>
      </c>
      <c r="F656" s="2" t="n">
        <v>225</v>
      </c>
      <c r="G656" s="2" t="s">
        <v>20</v>
      </c>
      <c r="H656" s="2" t="s">
        <v>20</v>
      </c>
      <c r="I656" s="2" t="s">
        <v>21</v>
      </c>
      <c r="J656" s="2" t="n">
        <v>7</v>
      </c>
      <c r="K656" s="2" t="s">
        <v>41</v>
      </c>
      <c r="L656" s="2" t="n">
        <v>122</v>
      </c>
      <c r="M656" s="2" t="n">
        <v>6</v>
      </c>
      <c r="N656" s="2" t="n">
        <v>-1</v>
      </c>
      <c r="O656" s="2" t="n">
        <v>0</v>
      </c>
      <c r="P656" s="2" t="s">
        <v>23</v>
      </c>
      <c r="Q656" s="2" t="s">
        <v>20</v>
      </c>
    </row>
    <row r="657" customFormat="false" ht="15" hidden="false" customHeight="false" outlineLevel="0" collapsed="false">
      <c r="A657" s="2" t="n">
        <v>59</v>
      </c>
      <c r="B657" s="2" t="s">
        <v>48</v>
      </c>
      <c r="C657" s="2" t="s">
        <v>18</v>
      </c>
      <c r="D657" s="2" t="s">
        <v>19</v>
      </c>
      <c r="E657" s="2" t="s">
        <v>20</v>
      </c>
      <c r="F657" s="2" t="n">
        <v>0</v>
      </c>
      <c r="G657" s="2" t="s">
        <v>26</v>
      </c>
      <c r="H657" s="2" t="s">
        <v>20</v>
      </c>
      <c r="I657" s="2" t="s">
        <v>23</v>
      </c>
      <c r="J657" s="2" t="n">
        <v>26</v>
      </c>
      <c r="K657" s="2" t="s">
        <v>27</v>
      </c>
      <c r="L657" s="2" t="n">
        <v>104</v>
      </c>
      <c r="M657" s="2" t="n">
        <v>7</v>
      </c>
      <c r="N657" s="2" t="n">
        <v>-1</v>
      </c>
      <c r="O657" s="2" t="n">
        <v>0</v>
      </c>
      <c r="P657" s="2" t="s">
        <v>23</v>
      </c>
      <c r="Q657" s="2" t="s">
        <v>20</v>
      </c>
    </row>
    <row r="658" customFormat="false" ht="15" hidden="false" customHeight="false" outlineLevel="0" collapsed="false">
      <c r="A658" s="2" t="n">
        <v>58</v>
      </c>
      <c r="B658" s="2" t="s">
        <v>48</v>
      </c>
      <c r="C658" s="2" t="s">
        <v>45</v>
      </c>
      <c r="D658" s="2" t="s">
        <v>19</v>
      </c>
      <c r="E658" s="2" t="s">
        <v>20</v>
      </c>
      <c r="F658" s="2" t="n">
        <v>2538</v>
      </c>
      <c r="G658" s="2" t="s">
        <v>26</v>
      </c>
      <c r="H658" s="2" t="s">
        <v>20</v>
      </c>
      <c r="I658" s="2" t="s">
        <v>21</v>
      </c>
      <c r="J658" s="2" t="n">
        <v>31</v>
      </c>
      <c r="K658" s="2" t="s">
        <v>44</v>
      </c>
      <c r="L658" s="2" t="n">
        <v>307</v>
      </c>
      <c r="M658" s="2" t="n">
        <v>6</v>
      </c>
      <c r="N658" s="2" t="n">
        <v>-1</v>
      </c>
      <c r="O658" s="2" t="n">
        <v>0</v>
      </c>
      <c r="P658" s="2" t="s">
        <v>23</v>
      </c>
      <c r="Q658" s="2" t="s">
        <v>20</v>
      </c>
    </row>
    <row r="659" customFormat="false" ht="15" hidden="false" customHeight="false" outlineLevel="0" collapsed="false">
      <c r="A659" s="2" t="n">
        <v>64</v>
      </c>
      <c r="B659" s="2" t="s">
        <v>48</v>
      </c>
      <c r="C659" s="2" t="s">
        <v>18</v>
      </c>
      <c r="D659" s="2" t="s">
        <v>19</v>
      </c>
      <c r="E659" s="2" t="s">
        <v>20</v>
      </c>
      <c r="F659" s="2" t="n">
        <v>43</v>
      </c>
      <c r="G659" s="2" t="s">
        <v>20</v>
      </c>
      <c r="H659" s="2" t="s">
        <v>20</v>
      </c>
      <c r="I659" s="2" t="s">
        <v>21</v>
      </c>
      <c r="J659" s="2" t="n">
        <v>11</v>
      </c>
      <c r="K659" s="2" t="s">
        <v>52</v>
      </c>
      <c r="L659" s="2" t="n">
        <v>117</v>
      </c>
      <c r="M659" s="2" t="n">
        <v>1</v>
      </c>
      <c r="N659" s="2" t="n">
        <v>91</v>
      </c>
      <c r="O659" s="2" t="n">
        <v>1</v>
      </c>
      <c r="P659" s="2" t="s">
        <v>50</v>
      </c>
      <c r="Q659" s="2" t="s">
        <v>20</v>
      </c>
    </row>
    <row r="660" customFormat="false" ht="15" hidden="false" customHeight="false" outlineLevel="0" collapsed="false">
      <c r="A660" s="2" t="n">
        <v>47</v>
      </c>
      <c r="B660" s="2" t="s">
        <v>38</v>
      </c>
      <c r="C660" s="2" t="s">
        <v>18</v>
      </c>
      <c r="D660" s="2" t="s">
        <v>25</v>
      </c>
      <c r="E660" s="2" t="s">
        <v>20</v>
      </c>
      <c r="F660" s="2" t="n">
        <v>57</v>
      </c>
      <c r="G660" s="2" t="s">
        <v>20</v>
      </c>
      <c r="H660" s="2" t="s">
        <v>20</v>
      </c>
      <c r="I660" s="2" t="s">
        <v>21</v>
      </c>
      <c r="J660" s="2" t="n">
        <v>5</v>
      </c>
      <c r="K660" s="2" t="s">
        <v>27</v>
      </c>
      <c r="L660" s="2" t="n">
        <v>253</v>
      </c>
      <c r="M660" s="2" t="n">
        <v>1</v>
      </c>
      <c r="N660" s="2" t="n">
        <v>342</v>
      </c>
      <c r="O660" s="2" t="n">
        <v>1</v>
      </c>
      <c r="P660" s="2" t="s">
        <v>50</v>
      </c>
      <c r="Q660" s="2" t="s">
        <v>20</v>
      </c>
    </row>
    <row r="661" customFormat="false" ht="15" hidden="false" customHeight="false" outlineLevel="0" collapsed="false">
      <c r="A661" s="2" t="n">
        <v>40</v>
      </c>
      <c r="B661" s="2" t="s">
        <v>29</v>
      </c>
      <c r="C661" s="2" t="s">
        <v>18</v>
      </c>
      <c r="D661" s="2" t="s">
        <v>31</v>
      </c>
      <c r="E661" s="2" t="s">
        <v>20</v>
      </c>
      <c r="F661" s="2" t="n">
        <v>-117</v>
      </c>
      <c r="G661" s="2" t="s">
        <v>26</v>
      </c>
      <c r="H661" s="2" t="s">
        <v>20</v>
      </c>
      <c r="I661" s="2" t="s">
        <v>21</v>
      </c>
      <c r="J661" s="2" t="n">
        <v>17</v>
      </c>
      <c r="K661" s="2" t="s">
        <v>44</v>
      </c>
      <c r="L661" s="2" t="n">
        <v>770</v>
      </c>
      <c r="M661" s="2" t="n">
        <v>2</v>
      </c>
      <c r="N661" s="2" t="n">
        <v>-1</v>
      </c>
      <c r="O661" s="2" t="n">
        <v>0</v>
      </c>
      <c r="P661" s="2" t="s">
        <v>23</v>
      </c>
      <c r="Q661" s="2" t="s">
        <v>20</v>
      </c>
    </row>
    <row r="662" customFormat="false" ht="15" hidden="false" customHeight="false" outlineLevel="0" collapsed="false">
      <c r="A662" s="2" t="n">
        <v>36</v>
      </c>
      <c r="B662" s="2" t="s">
        <v>38</v>
      </c>
      <c r="C662" s="2" t="s">
        <v>45</v>
      </c>
      <c r="D662" s="2" t="s">
        <v>25</v>
      </c>
      <c r="E662" s="2" t="s">
        <v>20</v>
      </c>
      <c r="F662" s="2" t="n">
        <v>666</v>
      </c>
      <c r="G662" s="2" t="s">
        <v>26</v>
      </c>
      <c r="H662" s="2" t="s">
        <v>26</v>
      </c>
      <c r="I662" s="2" t="s">
        <v>21</v>
      </c>
      <c r="J662" s="2" t="n">
        <v>3</v>
      </c>
      <c r="K662" s="2" t="s">
        <v>32</v>
      </c>
      <c r="L662" s="2" t="n">
        <v>190</v>
      </c>
      <c r="M662" s="2" t="n">
        <v>1</v>
      </c>
      <c r="N662" s="2" t="n">
        <v>133</v>
      </c>
      <c r="O662" s="2" t="n">
        <v>1</v>
      </c>
      <c r="P662" s="2" t="s">
        <v>37</v>
      </c>
      <c r="Q662" s="2" t="s">
        <v>20</v>
      </c>
    </row>
    <row r="663" customFormat="false" ht="15" hidden="false" customHeight="false" outlineLevel="0" collapsed="false">
      <c r="A663" s="2" t="n">
        <v>28</v>
      </c>
      <c r="B663" s="2" t="s">
        <v>29</v>
      </c>
      <c r="C663" s="2" t="s">
        <v>30</v>
      </c>
      <c r="D663" s="2" t="s">
        <v>31</v>
      </c>
      <c r="E663" s="2" t="s">
        <v>20</v>
      </c>
      <c r="F663" s="2" t="n">
        <v>0</v>
      </c>
      <c r="G663" s="2" t="s">
        <v>26</v>
      </c>
      <c r="H663" s="2" t="s">
        <v>20</v>
      </c>
      <c r="I663" s="2" t="s">
        <v>21</v>
      </c>
      <c r="J663" s="2" t="n">
        <v>16</v>
      </c>
      <c r="K663" s="2" t="s">
        <v>44</v>
      </c>
      <c r="L663" s="2" t="n">
        <v>767</v>
      </c>
      <c r="M663" s="2" t="n">
        <v>5</v>
      </c>
      <c r="N663" s="2" t="n">
        <v>-1</v>
      </c>
      <c r="O663" s="2" t="n">
        <v>0</v>
      </c>
      <c r="P663" s="2" t="s">
        <v>23</v>
      </c>
      <c r="Q663" s="2" t="s">
        <v>26</v>
      </c>
    </row>
    <row r="664" customFormat="false" ht="15" hidden="false" customHeight="false" outlineLevel="0" collapsed="false">
      <c r="A664" s="2" t="n">
        <v>38</v>
      </c>
      <c r="B664" s="2" t="s">
        <v>38</v>
      </c>
      <c r="C664" s="2" t="s">
        <v>30</v>
      </c>
      <c r="D664" s="2" t="s">
        <v>31</v>
      </c>
      <c r="E664" s="2" t="s">
        <v>20</v>
      </c>
      <c r="F664" s="2" t="n">
        <v>25</v>
      </c>
      <c r="G664" s="2" t="s">
        <v>26</v>
      </c>
      <c r="H664" s="2" t="s">
        <v>20</v>
      </c>
      <c r="I664" s="2" t="s">
        <v>21</v>
      </c>
      <c r="J664" s="2" t="n">
        <v>1</v>
      </c>
      <c r="K664" s="2" t="s">
        <v>33</v>
      </c>
      <c r="L664" s="2" t="n">
        <v>232</v>
      </c>
      <c r="M664" s="2" t="n">
        <v>2</v>
      </c>
      <c r="N664" s="2" t="n">
        <v>-1</v>
      </c>
      <c r="O664" s="2" t="n">
        <v>0</v>
      </c>
      <c r="P664" s="2" t="s">
        <v>23</v>
      </c>
      <c r="Q664" s="2" t="s">
        <v>26</v>
      </c>
    </row>
    <row r="665" customFormat="false" ht="15" hidden="false" customHeight="false" outlineLevel="0" collapsed="false">
      <c r="A665" s="2" t="n">
        <v>53</v>
      </c>
      <c r="B665" s="2" t="s">
        <v>39</v>
      </c>
      <c r="C665" s="2" t="s">
        <v>18</v>
      </c>
      <c r="D665" s="2" t="s">
        <v>19</v>
      </c>
      <c r="E665" s="2" t="s">
        <v>20</v>
      </c>
      <c r="F665" s="2" t="n">
        <v>1034</v>
      </c>
      <c r="G665" s="2" t="s">
        <v>26</v>
      </c>
      <c r="H665" s="2" t="s">
        <v>20</v>
      </c>
      <c r="I665" s="2" t="s">
        <v>21</v>
      </c>
      <c r="J665" s="2" t="n">
        <v>19</v>
      </c>
      <c r="K665" s="2" t="s">
        <v>46</v>
      </c>
      <c r="L665" s="2" t="n">
        <v>854</v>
      </c>
      <c r="M665" s="2" t="n">
        <v>2</v>
      </c>
      <c r="N665" s="2" t="n">
        <v>170</v>
      </c>
      <c r="O665" s="2" t="n">
        <v>3</v>
      </c>
      <c r="P665" s="2" t="s">
        <v>37</v>
      </c>
      <c r="Q665" s="2" t="s">
        <v>20</v>
      </c>
    </row>
    <row r="666" customFormat="false" ht="15" hidden="false" customHeight="false" outlineLevel="0" collapsed="false">
      <c r="A666" s="2" t="n">
        <v>46</v>
      </c>
      <c r="B666" s="2" t="s">
        <v>34</v>
      </c>
      <c r="C666" s="2" t="s">
        <v>30</v>
      </c>
      <c r="D666" s="2" t="s">
        <v>25</v>
      </c>
      <c r="E666" s="2" t="s">
        <v>20</v>
      </c>
      <c r="F666" s="2" t="n">
        <v>324</v>
      </c>
      <c r="G666" s="2" t="s">
        <v>26</v>
      </c>
      <c r="H666" s="2" t="s">
        <v>20</v>
      </c>
      <c r="I666" s="2" t="s">
        <v>23</v>
      </c>
      <c r="J666" s="2" t="n">
        <v>30</v>
      </c>
      <c r="K666" s="2" t="s">
        <v>27</v>
      </c>
      <c r="L666" s="2" t="n">
        <v>293</v>
      </c>
      <c r="M666" s="2" t="n">
        <v>6</v>
      </c>
      <c r="N666" s="2" t="n">
        <v>-1</v>
      </c>
      <c r="O666" s="2" t="n">
        <v>0</v>
      </c>
      <c r="P666" s="2" t="s">
        <v>23</v>
      </c>
      <c r="Q666" s="2" t="s">
        <v>20</v>
      </c>
    </row>
    <row r="667" customFormat="false" ht="15" hidden="false" customHeight="false" outlineLevel="0" collapsed="false">
      <c r="A667" s="2" t="n">
        <v>54</v>
      </c>
      <c r="B667" s="2" t="s">
        <v>38</v>
      </c>
      <c r="C667" s="2" t="s">
        <v>18</v>
      </c>
      <c r="D667" s="2" t="s">
        <v>25</v>
      </c>
      <c r="E667" s="2" t="s">
        <v>20</v>
      </c>
      <c r="F667" s="2" t="n">
        <v>0</v>
      </c>
      <c r="G667" s="2" t="s">
        <v>20</v>
      </c>
      <c r="H667" s="2" t="s">
        <v>20</v>
      </c>
      <c r="I667" s="2" t="s">
        <v>49</v>
      </c>
      <c r="J667" s="2" t="n">
        <v>16</v>
      </c>
      <c r="K667" s="2" t="s">
        <v>46</v>
      </c>
      <c r="L667" s="2" t="n">
        <v>986</v>
      </c>
      <c r="M667" s="2" t="n">
        <v>1</v>
      </c>
      <c r="N667" s="2" t="n">
        <v>94</v>
      </c>
      <c r="O667" s="2" t="n">
        <v>8</v>
      </c>
      <c r="P667" s="2" t="s">
        <v>28</v>
      </c>
      <c r="Q667" s="2" t="s">
        <v>20</v>
      </c>
    </row>
    <row r="668" customFormat="false" ht="15" hidden="false" customHeight="false" outlineLevel="0" collapsed="false">
      <c r="A668" s="2" t="n">
        <v>32</v>
      </c>
      <c r="B668" s="2" t="s">
        <v>29</v>
      </c>
      <c r="C668" s="2" t="s">
        <v>18</v>
      </c>
      <c r="D668" s="2" t="s">
        <v>31</v>
      </c>
      <c r="E668" s="2" t="s">
        <v>20</v>
      </c>
      <c r="F668" s="2" t="n">
        <v>0</v>
      </c>
      <c r="G668" s="2" t="s">
        <v>20</v>
      </c>
      <c r="H668" s="2" t="s">
        <v>20</v>
      </c>
      <c r="I668" s="2" t="s">
        <v>21</v>
      </c>
      <c r="J668" s="2" t="n">
        <v>19</v>
      </c>
      <c r="K668" s="2" t="s">
        <v>46</v>
      </c>
      <c r="L668" s="2" t="n">
        <v>66</v>
      </c>
      <c r="M668" s="2" t="n">
        <v>1</v>
      </c>
      <c r="N668" s="2" t="n">
        <v>-1</v>
      </c>
      <c r="O668" s="2" t="n">
        <v>0</v>
      </c>
      <c r="P668" s="2" t="s">
        <v>23</v>
      </c>
      <c r="Q668" s="2" t="s">
        <v>20</v>
      </c>
    </row>
    <row r="669" customFormat="false" ht="15" hidden="false" customHeight="false" outlineLevel="0" collapsed="false">
      <c r="A669" s="2" t="n">
        <v>55</v>
      </c>
      <c r="B669" s="2" t="s">
        <v>29</v>
      </c>
      <c r="C669" s="2" t="s">
        <v>18</v>
      </c>
      <c r="D669" s="2" t="s">
        <v>19</v>
      </c>
      <c r="E669" s="2" t="s">
        <v>20</v>
      </c>
      <c r="F669" s="2" t="n">
        <v>621</v>
      </c>
      <c r="G669" s="2" t="s">
        <v>20</v>
      </c>
      <c r="H669" s="2" t="s">
        <v>26</v>
      </c>
      <c r="I669" s="2" t="s">
        <v>21</v>
      </c>
      <c r="J669" s="2" t="n">
        <v>2</v>
      </c>
      <c r="K669" s="2" t="s">
        <v>35</v>
      </c>
      <c r="L669" s="2" t="n">
        <v>114</v>
      </c>
      <c r="M669" s="2" t="n">
        <v>1</v>
      </c>
      <c r="N669" s="2" t="n">
        <v>208</v>
      </c>
      <c r="O669" s="2" t="n">
        <v>1</v>
      </c>
      <c r="P669" s="2" t="s">
        <v>28</v>
      </c>
      <c r="Q669" s="2" t="s">
        <v>20</v>
      </c>
    </row>
    <row r="670" customFormat="false" ht="15" hidden="false" customHeight="false" outlineLevel="0" collapsed="false">
      <c r="A670" s="2" t="n">
        <v>55</v>
      </c>
      <c r="B670" s="2" t="s">
        <v>48</v>
      </c>
      <c r="C670" s="2" t="s">
        <v>45</v>
      </c>
      <c r="D670" s="2" t="s">
        <v>25</v>
      </c>
      <c r="E670" s="2" t="s">
        <v>20</v>
      </c>
      <c r="F670" s="2" t="n">
        <v>138</v>
      </c>
      <c r="G670" s="2" t="s">
        <v>20</v>
      </c>
      <c r="H670" s="2" t="s">
        <v>20</v>
      </c>
      <c r="I670" s="2" t="s">
        <v>21</v>
      </c>
      <c r="J670" s="2" t="n">
        <v>17</v>
      </c>
      <c r="K670" s="2" t="s">
        <v>44</v>
      </c>
      <c r="L670" s="2" t="n">
        <v>205</v>
      </c>
      <c r="M670" s="2" t="n">
        <v>1</v>
      </c>
      <c r="N670" s="2" t="n">
        <v>-1</v>
      </c>
      <c r="O670" s="2" t="n">
        <v>0</v>
      </c>
      <c r="P670" s="2" t="s">
        <v>23</v>
      </c>
      <c r="Q670" s="2" t="s">
        <v>20</v>
      </c>
    </row>
    <row r="671" customFormat="false" ht="15" hidden="false" customHeight="false" outlineLevel="0" collapsed="false">
      <c r="A671" s="2" t="n">
        <v>56</v>
      </c>
      <c r="B671" s="2" t="s">
        <v>38</v>
      </c>
      <c r="C671" s="2" t="s">
        <v>18</v>
      </c>
      <c r="D671" s="2" t="s">
        <v>25</v>
      </c>
      <c r="E671" s="2" t="s">
        <v>20</v>
      </c>
      <c r="F671" s="2" t="n">
        <v>4063</v>
      </c>
      <c r="G671" s="2" t="s">
        <v>20</v>
      </c>
      <c r="H671" s="2" t="s">
        <v>26</v>
      </c>
      <c r="I671" s="2" t="s">
        <v>49</v>
      </c>
      <c r="J671" s="2" t="n">
        <v>28</v>
      </c>
      <c r="K671" s="2" t="s">
        <v>44</v>
      </c>
      <c r="L671" s="2" t="n">
        <v>31</v>
      </c>
      <c r="M671" s="2" t="n">
        <v>4</v>
      </c>
      <c r="N671" s="2" t="n">
        <v>-1</v>
      </c>
      <c r="O671" s="2" t="n">
        <v>0</v>
      </c>
      <c r="P671" s="2" t="s">
        <v>23</v>
      </c>
      <c r="Q671" s="2" t="s">
        <v>20</v>
      </c>
    </row>
    <row r="672" customFormat="false" ht="15" hidden="false" customHeight="false" outlineLevel="0" collapsed="false">
      <c r="A672" s="2" t="n">
        <v>40</v>
      </c>
      <c r="B672" s="2" t="s">
        <v>34</v>
      </c>
      <c r="C672" s="2" t="s">
        <v>18</v>
      </c>
      <c r="D672" s="2" t="s">
        <v>25</v>
      </c>
      <c r="E672" s="2" t="s">
        <v>20</v>
      </c>
      <c r="F672" s="2" t="n">
        <v>11084</v>
      </c>
      <c r="G672" s="2" t="s">
        <v>20</v>
      </c>
      <c r="H672" s="2" t="s">
        <v>20</v>
      </c>
      <c r="I672" s="2" t="s">
        <v>23</v>
      </c>
      <c r="J672" s="2" t="n">
        <v>11</v>
      </c>
      <c r="K672" s="2" t="s">
        <v>33</v>
      </c>
      <c r="L672" s="2" t="n">
        <v>113</v>
      </c>
      <c r="M672" s="2" t="n">
        <v>1</v>
      </c>
      <c r="N672" s="2" t="n">
        <v>-1</v>
      </c>
      <c r="O672" s="2" t="n">
        <v>0</v>
      </c>
      <c r="P672" s="2" t="s">
        <v>23</v>
      </c>
      <c r="Q672" s="2" t="s">
        <v>20</v>
      </c>
    </row>
    <row r="673" customFormat="false" ht="15" hidden="false" customHeight="false" outlineLevel="0" collapsed="false">
      <c r="A673" s="2" t="n">
        <v>44</v>
      </c>
      <c r="B673" s="2" t="s">
        <v>38</v>
      </c>
      <c r="C673" s="2" t="s">
        <v>18</v>
      </c>
      <c r="D673" s="2" t="s">
        <v>25</v>
      </c>
      <c r="E673" s="2" t="s">
        <v>20</v>
      </c>
      <c r="F673" s="2" t="n">
        <v>310</v>
      </c>
      <c r="G673" s="2" t="s">
        <v>26</v>
      </c>
      <c r="H673" s="2" t="s">
        <v>20</v>
      </c>
      <c r="I673" s="2" t="s">
        <v>21</v>
      </c>
      <c r="J673" s="2" t="n">
        <v>6</v>
      </c>
      <c r="K673" s="2" t="s">
        <v>35</v>
      </c>
      <c r="L673" s="2" t="n">
        <v>200</v>
      </c>
      <c r="M673" s="2" t="n">
        <v>1</v>
      </c>
      <c r="N673" s="2" t="n">
        <v>253</v>
      </c>
      <c r="O673" s="2" t="n">
        <v>1</v>
      </c>
      <c r="P673" s="2" t="s">
        <v>28</v>
      </c>
      <c r="Q673" s="2" t="s">
        <v>20</v>
      </c>
    </row>
    <row r="674" customFormat="false" ht="15" hidden="false" customHeight="false" outlineLevel="0" collapsed="false">
      <c r="A674" s="2" t="n">
        <v>32</v>
      </c>
      <c r="B674" s="2" t="s">
        <v>39</v>
      </c>
      <c r="C674" s="2" t="s">
        <v>18</v>
      </c>
      <c r="D674" s="2" t="s">
        <v>23</v>
      </c>
      <c r="E674" s="2" t="s">
        <v>20</v>
      </c>
      <c r="F674" s="2" t="n">
        <v>73</v>
      </c>
      <c r="G674" s="2" t="s">
        <v>26</v>
      </c>
      <c r="H674" s="2" t="s">
        <v>20</v>
      </c>
      <c r="I674" s="2" t="s">
        <v>21</v>
      </c>
      <c r="J674" s="2" t="n">
        <v>21</v>
      </c>
      <c r="K674" s="2" t="s">
        <v>46</v>
      </c>
      <c r="L674" s="2" t="n">
        <v>158</v>
      </c>
      <c r="M674" s="2" t="n">
        <v>1</v>
      </c>
      <c r="N674" s="2" t="n">
        <v>135</v>
      </c>
      <c r="O674" s="2" t="n">
        <v>1</v>
      </c>
      <c r="P674" s="2" t="s">
        <v>28</v>
      </c>
      <c r="Q674" s="2" t="s">
        <v>20</v>
      </c>
    </row>
    <row r="675" customFormat="false" ht="15" hidden="false" customHeight="false" outlineLevel="0" collapsed="false">
      <c r="A675" s="2" t="n">
        <v>33</v>
      </c>
      <c r="B675" s="2" t="s">
        <v>29</v>
      </c>
      <c r="C675" s="2" t="s">
        <v>18</v>
      </c>
      <c r="D675" s="2" t="s">
        <v>31</v>
      </c>
      <c r="E675" s="2" t="s">
        <v>20</v>
      </c>
      <c r="F675" s="2" t="n">
        <v>1808</v>
      </c>
      <c r="G675" s="2" t="s">
        <v>26</v>
      </c>
      <c r="H675" s="2" t="s">
        <v>20</v>
      </c>
      <c r="I675" s="2" t="s">
        <v>23</v>
      </c>
      <c r="J675" s="2" t="n">
        <v>4</v>
      </c>
      <c r="K675" s="2" t="s">
        <v>33</v>
      </c>
      <c r="L675" s="2" t="n">
        <v>99</v>
      </c>
      <c r="M675" s="2" t="n">
        <v>4</v>
      </c>
      <c r="N675" s="2" t="n">
        <v>-1</v>
      </c>
      <c r="O675" s="2" t="n">
        <v>0</v>
      </c>
      <c r="P675" s="2" t="s">
        <v>23</v>
      </c>
      <c r="Q675" s="2" t="s">
        <v>20</v>
      </c>
    </row>
    <row r="676" customFormat="false" ht="15" hidden="false" customHeight="false" outlineLevel="0" collapsed="false">
      <c r="A676" s="2" t="n">
        <v>41</v>
      </c>
      <c r="B676" s="2" t="s">
        <v>17</v>
      </c>
      <c r="C676" s="2" t="s">
        <v>45</v>
      </c>
      <c r="D676" s="2" t="s">
        <v>25</v>
      </c>
      <c r="E676" s="2" t="s">
        <v>20</v>
      </c>
      <c r="F676" s="2" t="n">
        <v>1281</v>
      </c>
      <c r="G676" s="2" t="s">
        <v>20</v>
      </c>
      <c r="H676" s="2" t="s">
        <v>20</v>
      </c>
      <c r="I676" s="2" t="s">
        <v>21</v>
      </c>
      <c r="J676" s="2" t="n">
        <v>31</v>
      </c>
      <c r="K676" s="2" t="s">
        <v>44</v>
      </c>
      <c r="L676" s="2" t="n">
        <v>45</v>
      </c>
      <c r="M676" s="2" t="n">
        <v>3</v>
      </c>
      <c r="N676" s="2" t="n">
        <v>-1</v>
      </c>
      <c r="O676" s="2" t="n">
        <v>0</v>
      </c>
      <c r="P676" s="2" t="s">
        <v>23</v>
      </c>
      <c r="Q676" s="2" t="s">
        <v>20</v>
      </c>
    </row>
    <row r="677" customFormat="false" ht="15" hidden="false" customHeight="false" outlineLevel="0" collapsed="false">
      <c r="A677" s="2" t="n">
        <v>37</v>
      </c>
      <c r="B677" s="2" t="s">
        <v>38</v>
      </c>
      <c r="C677" s="2" t="s">
        <v>18</v>
      </c>
      <c r="D677" s="2" t="s">
        <v>25</v>
      </c>
      <c r="E677" s="2" t="s">
        <v>20</v>
      </c>
      <c r="F677" s="2" t="n">
        <v>64</v>
      </c>
      <c r="G677" s="2" t="s">
        <v>26</v>
      </c>
      <c r="H677" s="2" t="s">
        <v>20</v>
      </c>
      <c r="I677" s="2" t="s">
        <v>21</v>
      </c>
      <c r="J677" s="2" t="n">
        <v>12</v>
      </c>
      <c r="K677" s="2" t="s">
        <v>27</v>
      </c>
      <c r="L677" s="2" t="n">
        <v>239</v>
      </c>
      <c r="M677" s="2" t="n">
        <v>4</v>
      </c>
      <c r="N677" s="2" t="n">
        <v>278</v>
      </c>
      <c r="O677" s="2" t="n">
        <v>2</v>
      </c>
      <c r="P677" s="2" t="s">
        <v>37</v>
      </c>
      <c r="Q677" s="2" t="s">
        <v>20</v>
      </c>
    </row>
    <row r="678" customFormat="false" ht="15" hidden="false" customHeight="false" outlineLevel="0" collapsed="false">
      <c r="A678" s="2" t="n">
        <v>58</v>
      </c>
      <c r="B678" s="2" t="s">
        <v>29</v>
      </c>
      <c r="C678" s="2" t="s">
        <v>30</v>
      </c>
      <c r="D678" s="2" t="s">
        <v>31</v>
      </c>
      <c r="E678" s="2" t="s">
        <v>20</v>
      </c>
      <c r="F678" s="2" t="n">
        <v>2</v>
      </c>
      <c r="G678" s="2" t="s">
        <v>26</v>
      </c>
      <c r="H678" s="2" t="s">
        <v>20</v>
      </c>
      <c r="I678" s="2" t="s">
        <v>49</v>
      </c>
      <c r="J678" s="2" t="n">
        <v>11</v>
      </c>
      <c r="K678" s="2" t="s">
        <v>27</v>
      </c>
      <c r="L678" s="2" t="n">
        <v>168</v>
      </c>
      <c r="M678" s="2" t="n">
        <v>3</v>
      </c>
      <c r="N678" s="2" t="n">
        <v>-1</v>
      </c>
      <c r="O678" s="2" t="n">
        <v>0</v>
      </c>
      <c r="P678" s="2" t="s">
        <v>23</v>
      </c>
      <c r="Q678" s="2" t="s">
        <v>20</v>
      </c>
    </row>
    <row r="679" customFormat="false" ht="15" hidden="false" customHeight="false" outlineLevel="0" collapsed="false">
      <c r="A679" s="2" t="n">
        <v>52</v>
      </c>
      <c r="B679" s="2" t="s">
        <v>34</v>
      </c>
      <c r="C679" s="2" t="s">
        <v>18</v>
      </c>
      <c r="D679" s="2" t="s">
        <v>25</v>
      </c>
      <c r="E679" s="2" t="s">
        <v>20</v>
      </c>
      <c r="F679" s="2" t="n">
        <v>60</v>
      </c>
      <c r="G679" s="2" t="s">
        <v>20</v>
      </c>
      <c r="H679" s="2" t="s">
        <v>26</v>
      </c>
      <c r="I679" s="2" t="s">
        <v>21</v>
      </c>
      <c r="J679" s="2" t="n">
        <v>26</v>
      </c>
      <c r="K679" s="2" t="s">
        <v>41</v>
      </c>
      <c r="L679" s="2" t="n">
        <v>196</v>
      </c>
      <c r="M679" s="2" t="n">
        <v>2</v>
      </c>
      <c r="N679" s="2" t="n">
        <v>-1</v>
      </c>
      <c r="O679" s="2" t="n">
        <v>0</v>
      </c>
      <c r="P679" s="2" t="s">
        <v>23</v>
      </c>
      <c r="Q679" s="2" t="s">
        <v>20</v>
      </c>
    </row>
    <row r="680" customFormat="false" ht="15" hidden="false" customHeight="false" outlineLevel="0" collapsed="false">
      <c r="A680" s="2" t="n">
        <v>49</v>
      </c>
      <c r="B680" s="2" t="s">
        <v>24</v>
      </c>
      <c r="C680" s="2" t="s">
        <v>30</v>
      </c>
      <c r="D680" s="2" t="s">
        <v>25</v>
      </c>
      <c r="E680" s="2" t="s">
        <v>20</v>
      </c>
      <c r="F680" s="2" t="n">
        <v>133</v>
      </c>
      <c r="G680" s="2" t="s">
        <v>20</v>
      </c>
      <c r="H680" s="2" t="s">
        <v>20</v>
      </c>
      <c r="I680" s="2" t="s">
        <v>23</v>
      </c>
      <c r="J680" s="2" t="n">
        <v>11</v>
      </c>
      <c r="K680" s="2" t="s">
        <v>33</v>
      </c>
      <c r="L680" s="2" t="n">
        <v>319</v>
      </c>
      <c r="M680" s="2" t="n">
        <v>6</v>
      </c>
      <c r="N680" s="2" t="n">
        <v>-1</v>
      </c>
      <c r="O680" s="2" t="n">
        <v>0</v>
      </c>
      <c r="P680" s="2" t="s">
        <v>23</v>
      </c>
      <c r="Q680" s="2" t="s">
        <v>20</v>
      </c>
    </row>
    <row r="681" customFormat="false" ht="15" hidden="false" customHeight="false" outlineLevel="0" collapsed="false">
      <c r="A681" s="2" t="n">
        <v>44</v>
      </c>
      <c r="B681" s="2" t="s">
        <v>47</v>
      </c>
      <c r="C681" s="2" t="s">
        <v>18</v>
      </c>
      <c r="D681" s="2" t="s">
        <v>19</v>
      </c>
      <c r="E681" s="2" t="s">
        <v>20</v>
      </c>
      <c r="F681" s="2" t="n">
        <v>3706</v>
      </c>
      <c r="G681" s="2" t="s">
        <v>20</v>
      </c>
      <c r="H681" s="2" t="s">
        <v>20</v>
      </c>
      <c r="I681" s="2" t="s">
        <v>23</v>
      </c>
      <c r="J681" s="2" t="n">
        <v>17</v>
      </c>
      <c r="K681" s="2" t="s">
        <v>33</v>
      </c>
      <c r="L681" s="2" t="n">
        <v>209</v>
      </c>
      <c r="M681" s="2" t="n">
        <v>3</v>
      </c>
      <c r="N681" s="2" t="n">
        <v>-1</v>
      </c>
      <c r="O681" s="2" t="n">
        <v>0</v>
      </c>
      <c r="P681" s="2" t="s">
        <v>23</v>
      </c>
      <c r="Q681" s="2" t="s">
        <v>20</v>
      </c>
    </row>
    <row r="682" customFormat="false" ht="15" hidden="false" customHeight="false" outlineLevel="0" collapsed="false">
      <c r="A682" s="2" t="n">
        <v>28</v>
      </c>
      <c r="B682" s="2" t="s">
        <v>40</v>
      </c>
      <c r="C682" s="2" t="s">
        <v>30</v>
      </c>
      <c r="D682" s="2" t="s">
        <v>23</v>
      </c>
      <c r="E682" s="2" t="s">
        <v>20</v>
      </c>
      <c r="F682" s="2" t="n">
        <v>174</v>
      </c>
      <c r="G682" s="2" t="s">
        <v>20</v>
      </c>
      <c r="H682" s="2" t="s">
        <v>20</v>
      </c>
      <c r="I682" s="2" t="s">
        <v>21</v>
      </c>
      <c r="J682" s="2" t="n">
        <v>28</v>
      </c>
      <c r="K682" s="2" t="s">
        <v>51</v>
      </c>
      <c r="L682" s="2" t="n">
        <v>184</v>
      </c>
      <c r="M682" s="2" t="n">
        <v>1</v>
      </c>
      <c r="N682" s="2" t="n">
        <v>-1</v>
      </c>
      <c r="O682" s="2" t="n">
        <v>0</v>
      </c>
      <c r="P682" s="2" t="s">
        <v>23</v>
      </c>
      <c r="Q682" s="2" t="s">
        <v>20</v>
      </c>
    </row>
    <row r="683" customFormat="false" ht="15" hidden="false" customHeight="false" outlineLevel="0" collapsed="false">
      <c r="A683" s="2" t="n">
        <v>31</v>
      </c>
      <c r="B683" s="2" t="s">
        <v>38</v>
      </c>
      <c r="C683" s="2" t="s">
        <v>18</v>
      </c>
      <c r="D683" s="2" t="s">
        <v>25</v>
      </c>
      <c r="E683" s="2" t="s">
        <v>20</v>
      </c>
      <c r="F683" s="2" t="n">
        <v>251</v>
      </c>
      <c r="G683" s="2" t="s">
        <v>20</v>
      </c>
      <c r="H683" s="2" t="s">
        <v>26</v>
      </c>
      <c r="I683" s="2" t="s">
        <v>21</v>
      </c>
      <c r="J683" s="2" t="n">
        <v>29</v>
      </c>
      <c r="K683" s="2" t="s">
        <v>41</v>
      </c>
      <c r="L683" s="2" t="n">
        <v>156</v>
      </c>
      <c r="M683" s="2" t="n">
        <v>2</v>
      </c>
      <c r="N683" s="2" t="n">
        <v>-1</v>
      </c>
      <c r="O683" s="2" t="n">
        <v>0</v>
      </c>
      <c r="P683" s="2" t="s">
        <v>23</v>
      </c>
      <c r="Q683" s="2" t="s">
        <v>20</v>
      </c>
    </row>
    <row r="684" customFormat="false" ht="15" hidden="false" customHeight="false" outlineLevel="0" collapsed="false">
      <c r="A684" s="2" t="n">
        <v>37</v>
      </c>
      <c r="B684" s="2" t="s">
        <v>36</v>
      </c>
      <c r="C684" s="2" t="s">
        <v>18</v>
      </c>
      <c r="D684" s="2" t="s">
        <v>25</v>
      </c>
      <c r="E684" s="2" t="s">
        <v>20</v>
      </c>
      <c r="F684" s="2" t="n">
        <v>4153</v>
      </c>
      <c r="G684" s="2" t="s">
        <v>26</v>
      </c>
      <c r="H684" s="2" t="s">
        <v>20</v>
      </c>
      <c r="I684" s="2" t="s">
        <v>21</v>
      </c>
      <c r="J684" s="2" t="n">
        <v>31</v>
      </c>
      <c r="K684" s="2" t="s">
        <v>44</v>
      </c>
      <c r="L684" s="2" t="n">
        <v>35</v>
      </c>
      <c r="M684" s="2" t="n">
        <v>16</v>
      </c>
      <c r="N684" s="2" t="n">
        <v>-1</v>
      </c>
      <c r="O684" s="2" t="n">
        <v>0</v>
      </c>
      <c r="P684" s="2" t="s">
        <v>23</v>
      </c>
      <c r="Q684" s="2" t="s">
        <v>20</v>
      </c>
    </row>
    <row r="685" customFormat="false" ht="15" hidden="false" customHeight="false" outlineLevel="0" collapsed="false">
      <c r="A685" s="2" t="n">
        <v>30</v>
      </c>
      <c r="B685" s="2" t="s">
        <v>38</v>
      </c>
      <c r="C685" s="2" t="s">
        <v>30</v>
      </c>
      <c r="D685" s="2" t="s">
        <v>31</v>
      </c>
      <c r="E685" s="2" t="s">
        <v>20</v>
      </c>
      <c r="F685" s="2" t="n">
        <v>985</v>
      </c>
      <c r="G685" s="2" t="s">
        <v>26</v>
      </c>
      <c r="H685" s="2" t="s">
        <v>20</v>
      </c>
      <c r="I685" s="2" t="s">
        <v>21</v>
      </c>
      <c r="J685" s="2" t="n">
        <v>19</v>
      </c>
      <c r="K685" s="2" t="s">
        <v>35</v>
      </c>
      <c r="L685" s="2" t="n">
        <v>88</v>
      </c>
      <c r="M685" s="2" t="n">
        <v>2</v>
      </c>
      <c r="N685" s="2" t="n">
        <v>-1</v>
      </c>
      <c r="O685" s="2" t="n">
        <v>0</v>
      </c>
      <c r="P685" s="2" t="s">
        <v>23</v>
      </c>
      <c r="Q685" s="2" t="s">
        <v>20</v>
      </c>
    </row>
    <row r="686" customFormat="false" ht="15" hidden="false" customHeight="false" outlineLevel="0" collapsed="false">
      <c r="A686" s="2" t="n">
        <v>28</v>
      </c>
      <c r="B686" s="2" t="s">
        <v>24</v>
      </c>
      <c r="C686" s="2" t="s">
        <v>30</v>
      </c>
      <c r="D686" s="2" t="s">
        <v>25</v>
      </c>
      <c r="E686" s="2" t="s">
        <v>20</v>
      </c>
      <c r="F686" s="2" t="n">
        <v>168</v>
      </c>
      <c r="G686" s="2" t="s">
        <v>20</v>
      </c>
      <c r="H686" s="2" t="s">
        <v>20</v>
      </c>
      <c r="I686" s="2" t="s">
        <v>21</v>
      </c>
      <c r="J686" s="2" t="n">
        <v>1</v>
      </c>
      <c r="K686" s="2" t="s">
        <v>33</v>
      </c>
      <c r="L686" s="2" t="n">
        <v>347</v>
      </c>
      <c r="M686" s="2" t="n">
        <v>3</v>
      </c>
      <c r="N686" s="2" t="n">
        <v>140</v>
      </c>
      <c r="O686" s="2" t="n">
        <v>2</v>
      </c>
      <c r="P686" s="2" t="s">
        <v>50</v>
      </c>
      <c r="Q686" s="2" t="s">
        <v>26</v>
      </c>
    </row>
    <row r="687" customFormat="false" ht="15" hidden="false" customHeight="false" outlineLevel="0" collapsed="false">
      <c r="A687" s="2" t="n">
        <v>46</v>
      </c>
      <c r="B687" s="2" t="s">
        <v>24</v>
      </c>
      <c r="C687" s="2" t="s">
        <v>18</v>
      </c>
      <c r="D687" s="2" t="s">
        <v>25</v>
      </c>
      <c r="E687" s="2" t="s">
        <v>20</v>
      </c>
      <c r="F687" s="2" t="n">
        <v>1550</v>
      </c>
      <c r="G687" s="2" t="s">
        <v>26</v>
      </c>
      <c r="H687" s="2" t="s">
        <v>20</v>
      </c>
      <c r="I687" s="2" t="s">
        <v>21</v>
      </c>
      <c r="J687" s="2" t="n">
        <v>16</v>
      </c>
      <c r="K687" s="2" t="s">
        <v>32</v>
      </c>
      <c r="L687" s="2" t="n">
        <v>126</v>
      </c>
      <c r="M687" s="2" t="n">
        <v>2</v>
      </c>
      <c r="N687" s="2" t="n">
        <v>149</v>
      </c>
      <c r="O687" s="2" t="n">
        <v>8</v>
      </c>
      <c r="P687" s="2" t="s">
        <v>28</v>
      </c>
      <c r="Q687" s="2" t="s">
        <v>20</v>
      </c>
    </row>
    <row r="688" customFormat="false" ht="15" hidden="false" customHeight="false" outlineLevel="0" collapsed="false">
      <c r="A688" s="2" t="n">
        <v>47</v>
      </c>
      <c r="B688" s="2" t="s">
        <v>29</v>
      </c>
      <c r="C688" s="2" t="s">
        <v>18</v>
      </c>
      <c r="D688" s="2" t="s">
        <v>31</v>
      </c>
      <c r="E688" s="2" t="s">
        <v>20</v>
      </c>
      <c r="F688" s="2" t="n">
        <v>7708</v>
      </c>
      <c r="G688" s="2" t="s">
        <v>26</v>
      </c>
      <c r="H688" s="2" t="s">
        <v>20</v>
      </c>
      <c r="I688" s="2" t="s">
        <v>21</v>
      </c>
      <c r="J688" s="2" t="n">
        <v>21</v>
      </c>
      <c r="K688" s="2" t="s">
        <v>46</v>
      </c>
      <c r="L688" s="2" t="n">
        <v>157</v>
      </c>
      <c r="M688" s="2" t="n">
        <v>5</v>
      </c>
      <c r="N688" s="2" t="n">
        <v>-1</v>
      </c>
      <c r="O688" s="2" t="n">
        <v>0</v>
      </c>
      <c r="P688" s="2" t="s">
        <v>23</v>
      </c>
      <c r="Q688" s="2" t="s">
        <v>20</v>
      </c>
    </row>
    <row r="689" customFormat="false" ht="15" hidden="false" customHeight="false" outlineLevel="0" collapsed="false">
      <c r="A689" s="2" t="n">
        <v>35</v>
      </c>
      <c r="B689" s="2" t="s">
        <v>34</v>
      </c>
      <c r="C689" s="2" t="s">
        <v>18</v>
      </c>
      <c r="D689" s="2" t="s">
        <v>19</v>
      </c>
      <c r="E689" s="2" t="s">
        <v>20</v>
      </c>
      <c r="F689" s="2" t="n">
        <v>-12</v>
      </c>
      <c r="G689" s="2" t="s">
        <v>26</v>
      </c>
      <c r="H689" s="2" t="s">
        <v>20</v>
      </c>
      <c r="I689" s="2" t="s">
        <v>23</v>
      </c>
      <c r="J689" s="2" t="n">
        <v>12</v>
      </c>
      <c r="K689" s="2" t="s">
        <v>27</v>
      </c>
      <c r="L689" s="2" t="n">
        <v>212</v>
      </c>
      <c r="M689" s="2" t="n">
        <v>5</v>
      </c>
      <c r="N689" s="2" t="n">
        <v>-1</v>
      </c>
      <c r="O689" s="2" t="n">
        <v>0</v>
      </c>
      <c r="P689" s="2" t="s">
        <v>23</v>
      </c>
      <c r="Q689" s="2" t="s">
        <v>20</v>
      </c>
    </row>
    <row r="690" customFormat="false" ht="15" hidden="false" customHeight="false" outlineLevel="0" collapsed="false">
      <c r="A690" s="2" t="n">
        <v>80</v>
      </c>
      <c r="B690" s="2" t="s">
        <v>29</v>
      </c>
      <c r="C690" s="2" t="s">
        <v>18</v>
      </c>
      <c r="D690" s="2" t="s">
        <v>19</v>
      </c>
      <c r="E690" s="2" t="s">
        <v>20</v>
      </c>
      <c r="F690" s="2" t="n">
        <v>6483</v>
      </c>
      <c r="G690" s="2" t="s">
        <v>20</v>
      </c>
      <c r="H690" s="2" t="s">
        <v>20</v>
      </c>
      <c r="I690" s="2" t="s">
        <v>49</v>
      </c>
      <c r="J690" s="2" t="n">
        <v>19</v>
      </c>
      <c r="K690" s="2" t="s">
        <v>22</v>
      </c>
      <c r="L690" s="2" t="n">
        <v>123</v>
      </c>
      <c r="M690" s="2" t="n">
        <v>1</v>
      </c>
      <c r="N690" s="2" t="n">
        <v>-1</v>
      </c>
      <c r="O690" s="2" t="n">
        <v>0</v>
      </c>
      <c r="P690" s="2" t="s">
        <v>23</v>
      </c>
      <c r="Q690" s="2" t="s">
        <v>20</v>
      </c>
    </row>
    <row r="691" customFormat="false" ht="15" hidden="false" customHeight="false" outlineLevel="0" collapsed="false">
      <c r="A691" s="2" t="n">
        <v>30</v>
      </c>
      <c r="B691" s="2" t="s">
        <v>38</v>
      </c>
      <c r="C691" s="2" t="s">
        <v>30</v>
      </c>
      <c r="D691" s="2" t="s">
        <v>31</v>
      </c>
      <c r="E691" s="2" t="s">
        <v>20</v>
      </c>
      <c r="F691" s="2" t="n">
        <v>60</v>
      </c>
      <c r="G691" s="2" t="s">
        <v>26</v>
      </c>
      <c r="H691" s="2" t="s">
        <v>26</v>
      </c>
      <c r="I691" s="2" t="s">
        <v>23</v>
      </c>
      <c r="J691" s="2" t="n">
        <v>7</v>
      </c>
      <c r="K691" s="2" t="s">
        <v>27</v>
      </c>
      <c r="L691" s="2" t="n">
        <v>306</v>
      </c>
      <c r="M691" s="2" t="n">
        <v>5</v>
      </c>
      <c r="N691" s="2" t="n">
        <v>-1</v>
      </c>
      <c r="O691" s="2" t="n">
        <v>0</v>
      </c>
      <c r="P691" s="2" t="s">
        <v>23</v>
      </c>
      <c r="Q691" s="2" t="s">
        <v>20</v>
      </c>
    </row>
    <row r="692" customFormat="false" ht="15" hidden="false" customHeight="false" outlineLevel="0" collapsed="false">
      <c r="A692" s="2" t="n">
        <v>55</v>
      </c>
      <c r="B692" s="2" t="s">
        <v>38</v>
      </c>
      <c r="C692" s="2" t="s">
        <v>30</v>
      </c>
      <c r="D692" s="2" t="s">
        <v>25</v>
      </c>
      <c r="E692" s="2" t="s">
        <v>20</v>
      </c>
      <c r="F692" s="2" t="n">
        <v>3339</v>
      </c>
      <c r="G692" s="2" t="s">
        <v>26</v>
      </c>
      <c r="H692" s="2" t="s">
        <v>20</v>
      </c>
      <c r="I692" s="2" t="s">
        <v>23</v>
      </c>
      <c r="J692" s="2" t="n">
        <v>2</v>
      </c>
      <c r="K692" s="2" t="s">
        <v>33</v>
      </c>
      <c r="L692" s="2" t="n">
        <v>63</v>
      </c>
      <c r="M692" s="2" t="n">
        <v>1</v>
      </c>
      <c r="N692" s="2" t="n">
        <v>-1</v>
      </c>
      <c r="O692" s="2" t="n">
        <v>0</v>
      </c>
      <c r="P692" s="2" t="s">
        <v>23</v>
      </c>
      <c r="Q692" s="2" t="s">
        <v>20</v>
      </c>
    </row>
    <row r="693" customFormat="false" ht="15" hidden="false" customHeight="false" outlineLevel="0" collapsed="false">
      <c r="A693" s="2" t="n">
        <v>22</v>
      </c>
      <c r="B693" s="2" t="s">
        <v>42</v>
      </c>
      <c r="C693" s="2" t="s">
        <v>30</v>
      </c>
      <c r="D693" s="2" t="s">
        <v>31</v>
      </c>
      <c r="E693" s="2" t="s">
        <v>20</v>
      </c>
      <c r="F693" s="2" t="n">
        <v>1161</v>
      </c>
      <c r="G693" s="2" t="s">
        <v>20</v>
      </c>
      <c r="H693" s="2" t="s">
        <v>26</v>
      </c>
      <c r="I693" s="2" t="s">
        <v>21</v>
      </c>
      <c r="J693" s="2" t="n">
        <v>16</v>
      </c>
      <c r="K693" s="2" t="s">
        <v>33</v>
      </c>
      <c r="L693" s="2" t="n">
        <v>119</v>
      </c>
      <c r="M693" s="2" t="n">
        <v>1</v>
      </c>
      <c r="N693" s="2" t="n">
        <v>-1</v>
      </c>
      <c r="O693" s="2" t="n">
        <v>0</v>
      </c>
      <c r="P693" s="2" t="s">
        <v>23</v>
      </c>
      <c r="Q693" s="2" t="s">
        <v>20</v>
      </c>
    </row>
    <row r="694" customFormat="false" ht="15" hidden="false" customHeight="false" outlineLevel="0" collapsed="false">
      <c r="A694" s="2" t="n">
        <v>33</v>
      </c>
      <c r="B694" s="2" t="s">
        <v>34</v>
      </c>
      <c r="C694" s="2" t="s">
        <v>30</v>
      </c>
      <c r="D694" s="2" t="s">
        <v>19</v>
      </c>
      <c r="E694" s="2" t="s">
        <v>20</v>
      </c>
      <c r="F694" s="2" t="n">
        <v>599</v>
      </c>
      <c r="G694" s="2" t="s">
        <v>26</v>
      </c>
      <c r="H694" s="2" t="s">
        <v>20</v>
      </c>
      <c r="I694" s="2" t="s">
        <v>23</v>
      </c>
      <c r="J694" s="2" t="n">
        <v>21</v>
      </c>
      <c r="K694" s="2" t="s">
        <v>27</v>
      </c>
      <c r="L694" s="2" t="n">
        <v>29</v>
      </c>
      <c r="M694" s="2" t="n">
        <v>1</v>
      </c>
      <c r="N694" s="2" t="n">
        <v>-1</v>
      </c>
      <c r="O694" s="2" t="n">
        <v>0</v>
      </c>
      <c r="P694" s="2" t="s">
        <v>23</v>
      </c>
      <c r="Q694" s="2" t="s">
        <v>20</v>
      </c>
    </row>
    <row r="695" customFormat="false" ht="15" hidden="false" customHeight="false" outlineLevel="0" collapsed="false">
      <c r="A695" s="2" t="n">
        <v>53</v>
      </c>
      <c r="B695" s="2" t="s">
        <v>39</v>
      </c>
      <c r="C695" s="2" t="s">
        <v>18</v>
      </c>
      <c r="D695" s="2" t="s">
        <v>23</v>
      </c>
      <c r="E695" s="2" t="s">
        <v>20</v>
      </c>
      <c r="F695" s="2" t="n">
        <v>28</v>
      </c>
      <c r="G695" s="2" t="s">
        <v>20</v>
      </c>
      <c r="H695" s="2" t="s">
        <v>20</v>
      </c>
      <c r="I695" s="2" t="s">
        <v>21</v>
      </c>
      <c r="J695" s="2" t="n">
        <v>31</v>
      </c>
      <c r="K695" s="2" t="s">
        <v>44</v>
      </c>
      <c r="L695" s="2" t="n">
        <v>117</v>
      </c>
      <c r="M695" s="2" t="n">
        <v>2</v>
      </c>
      <c r="N695" s="2" t="n">
        <v>-1</v>
      </c>
      <c r="O695" s="2" t="n">
        <v>0</v>
      </c>
      <c r="P695" s="2" t="s">
        <v>23</v>
      </c>
      <c r="Q695" s="2" t="s">
        <v>20</v>
      </c>
    </row>
    <row r="696" customFormat="false" ht="15" hidden="false" customHeight="false" outlineLevel="0" collapsed="false">
      <c r="A696" s="2" t="n">
        <v>49</v>
      </c>
      <c r="B696" s="2" t="s">
        <v>29</v>
      </c>
      <c r="C696" s="2" t="s">
        <v>18</v>
      </c>
      <c r="D696" s="2" t="s">
        <v>31</v>
      </c>
      <c r="E696" s="2" t="s">
        <v>20</v>
      </c>
      <c r="F696" s="2" t="n">
        <v>1430</v>
      </c>
      <c r="G696" s="2" t="s">
        <v>20</v>
      </c>
      <c r="H696" s="2" t="s">
        <v>20</v>
      </c>
      <c r="I696" s="2" t="s">
        <v>21</v>
      </c>
      <c r="J696" s="2" t="n">
        <v>18</v>
      </c>
      <c r="K696" s="2" t="s">
        <v>46</v>
      </c>
      <c r="L696" s="2" t="n">
        <v>231</v>
      </c>
      <c r="M696" s="2" t="n">
        <v>2</v>
      </c>
      <c r="N696" s="2" t="n">
        <v>-1</v>
      </c>
      <c r="O696" s="2" t="n">
        <v>0</v>
      </c>
      <c r="P696" s="2" t="s">
        <v>23</v>
      </c>
      <c r="Q696" s="2" t="s">
        <v>20</v>
      </c>
    </row>
    <row r="697" customFormat="false" ht="15" hidden="false" customHeight="false" outlineLevel="0" collapsed="false">
      <c r="A697" s="2" t="n">
        <v>51</v>
      </c>
      <c r="B697" s="2" t="s">
        <v>48</v>
      </c>
      <c r="C697" s="2" t="s">
        <v>18</v>
      </c>
      <c r="D697" s="2" t="s">
        <v>25</v>
      </c>
      <c r="E697" s="2" t="s">
        <v>20</v>
      </c>
      <c r="F697" s="2" t="n">
        <v>35</v>
      </c>
      <c r="G697" s="2" t="s">
        <v>20</v>
      </c>
      <c r="H697" s="2" t="s">
        <v>26</v>
      </c>
      <c r="I697" s="2" t="s">
        <v>21</v>
      </c>
      <c r="J697" s="2" t="n">
        <v>8</v>
      </c>
      <c r="K697" s="2" t="s">
        <v>44</v>
      </c>
      <c r="L697" s="2" t="n">
        <v>123</v>
      </c>
      <c r="M697" s="2" t="n">
        <v>4</v>
      </c>
      <c r="N697" s="2" t="n">
        <v>-1</v>
      </c>
      <c r="O697" s="2" t="n">
        <v>0</v>
      </c>
      <c r="P697" s="2" t="s">
        <v>23</v>
      </c>
      <c r="Q697" s="2" t="s">
        <v>20</v>
      </c>
    </row>
    <row r="698" customFormat="false" ht="15" hidden="false" customHeight="false" outlineLevel="0" collapsed="false">
      <c r="A698" s="2" t="n">
        <v>41</v>
      </c>
      <c r="B698" s="2" t="s">
        <v>36</v>
      </c>
      <c r="C698" s="2" t="s">
        <v>18</v>
      </c>
      <c r="D698" s="2" t="s">
        <v>31</v>
      </c>
      <c r="E698" s="2" t="s">
        <v>20</v>
      </c>
      <c r="F698" s="2" t="n">
        <v>6000</v>
      </c>
      <c r="G698" s="2" t="s">
        <v>26</v>
      </c>
      <c r="H698" s="2" t="s">
        <v>20</v>
      </c>
      <c r="I698" s="2" t="s">
        <v>21</v>
      </c>
      <c r="J698" s="2" t="n">
        <v>18</v>
      </c>
      <c r="K698" s="2" t="s">
        <v>46</v>
      </c>
      <c r="L698" s="2" t="n">
        <v>265</v>
      </c>
      <c r="M698" s="2" t="n">
        <v>1</v>
      </c>
      <c r="N698" s="2" t="n">
        <v>-1</v>
      </c>
      <c r="O698" s="2" t="n">
        <v>0</v>
      </c>
      <c r="P698" s="2" t="s">
        <v>23</v>
      </c>
      <c r="Q698" s="2" t="s">
        <v>20</v>
      </c>
    </row>
    <row r="699" customFormat="false" ht="15" hidden="false" customHeight="false" outlineLevel="0" collapsed="false">
      <c r="A699" s="2" t="n">
        <v>34</v>
      </c>
      <c r="B699" s="2" t="s">
        <v>38</v>
      </c>
      <c r="C699" s="2" t="s">
        <v>18</v>
      </c>
      <c r="D699" s="2" t="s">
        <v>25</v>
      </c>
      <c r="E699" s="2" t="s">
        <v>20</v>
      </c>
      <c r="F699" s="2" t="n">
        <v>0</v>
      </c>
      <c r="G699" s="2" t="s">
        <v>26</v>
      </c>
      <c r="H699" s="2" t="s">
        <v>20</v>
      </c>
      <c r="I699" s="2" t="s">
        <v>21</v>
      </c>
      <c r="J699" s="2" t="n">
        <v>15</v>
      </c>
      <c r="K699" s="2" t="s">
        <v>44</v>
      </c>
      <c r="L699" s="2" t="n">
        <v>144</v>
      </c>
      <c r="M699" s="2" t="n">
        <v>1</v>
      </c>
      <c r="N699" s="2" t="n">
        <v>-1</v>
      </c>
      <c r="O699" s="2" t="n">
        <v>0</v>
      </c>
      <c r="P699" s="2" t="s">
        <v>23</v>
      </c>
      <c r="Q699" s="2" t="s">
        <v>20</v>
      </c>
    </row>
    <row r="700" customFormat="false" ht="15" hidden="false" customHeight="false" outlineLevel="0" collapsed="false">
      <c r="A700" s="2" t="n">
        <v>36</v>
      </c>
      <c r="B700" s="2" t="s">
        <v>34</v>
      </c>
      <c r="C700" s="2" t="s">
        <v>30</v>
      </c>
      <c r="D700" s="2" t="s">
        <v>25</v>
      </c>
      <c r="E700" s="2" t="s">
        <v>20</v>
      </c>
      <c r="F700" s="2" t="n">
        <v>340</v>
      </c>
      <c r="G700" s="2" t="s">
        <v>20</v>
      </c>
      <c r="H700" s="2" t="s">
        <v>26</v>
      </c>
      <c r="I700" s="2" t="s">
        <v>23</v>
      </c>
      <c r="J700" s="2" t="n">
        <v>16</v>
      </c>
      <c r="K700" s="2" t="s">
        <v>33</v>
      </c>
      <c r="L700" s="2" t="n">
        <v>559</v>
      </c>
      <c r="M700" s="2" t="n">
        <v>3</v>
      </c>
      <c r="N700" s="2" t="n">
        <v>-1</v>
      </c>
      <c r="O700" s="2" t="n">
        <v>0</v>
      </c>
      <c r="P700" s="2" t="s">
        <v>23</v>
      </c>
      <c r="Q700" s="2" t="s">
        <v>20</v>
      </c>
    </row>
    <row r="701" customFormat="false" ht="15" hidden="false" customHeight="false" outlineLevel="0" collapsed="false">
      <c r="A701" s="2" t="n">
        <v>35</v>
      </c>
      <c r="B701" s="2" t="s">
        <v>39</v>
      </c>
      <c r="C701" s="2" t="s">
        <v>18</v>
      </c>
      <c r="D701" s="2" t="s">
        <v>31</v>
      </c>
      <c r="E701" s="2" t="s">
        <v>20</v>
      </c>
      <c r="F701" s="2" t="n">
        <v>0</v>
      </c>
      <c r="G701" s="2" t="s">
        <v>20</v>
      </c>
      <c r="H701" s="2" t="s">
        <v>20</v>
      </c>
      <c r="I701" s="2" t="s">
        <v>21</v>
      </c>
      <c r="J701" s="2" t="n">
        <v>5</v>
      </c>
      <c r="K701" s="2" t="s">
        <v>27</v>
      </c>
      <c r="L701" s="2" t="n">
        <v>74</v>
      </c>
      <c r="M701" s="2" t="n">
        <v>1</v>
      </c>
      <c r="N701" s="2" t="n">
        <v>168</v>
      </c>
      <c r="O701" s="2" t="n">
        <v>4</v>
      </c>
      <c r="P701" s="2" t="s">
        <v>28</v>
      </c>
      <c r="Q701" s="2" t="s">
        <v>20</v>
      </c>
    </row>
    <row r="702" customFormat="false" ht="15" hidden="false" customHeight="false" outlineLevel="0" collapsed="false">
      <c r="A702" s="2" t="n">
        <v>29</v>
      </c>
      <c r="B702" s="2" t="s">
        <v>24</v>
      </c>
      <c r="C702" s="2" t="s">
        <v>18</v>
      </c>
      <c r="D702" s="2" t="s">
        <v>25</v>
      </c>
      <c r="E702" s="2" t="s">
        <v>20</v>
      </c>
      <c r="F702" s="2" t="n">
        <v>3</v>
      </c>
      <c r="G702" s="2" t="s">
        <v>26</v>
      </c>
      <c r="H702" s="2" t="s">
        <v>20</v>
      </c>
      <c r="I702" s="2" t="s">
        <v>21</v>
      </c>
      <c r="J702" s="2" t="n">
        <v>10</v>
      </c>
      <c r="K702" s="2" t="s">
        <v>44</v>
      </c>
      <c r="L702" s="2" t="n">
        <v>183</v>
      </c>
      <c r="M702" s="2" t="n">
        <v>1</v>
      </c>
      <c r="N702" s="2" t="n">
        <v>-1</v>
      </c>
      <c r="O702" s="2" t="n">
        <v>0</v>
      </c>
      <c r="P702" s="2" t="s">
        <v>23</v>
      </c>
      <c r="Q702" s="2" t="s">
        <v>20</v>
      </c>
    </row>
    <row r="703" customFormat="false" ht="15" hidden="false" customHeight="false" outlineLevel="0" collapsed="false">
      <c r="A703" s="2" t="n">
        <v>40</v>
      </c>
      <c r="B703" s="2" t="s">
        <v>38</v>
      </c>
      <c r="C703" s="2" t="s">
        <v>30</v>
      </c>
      <c r="D703" s="2" t="s">
        <v>31</v>
      </c>
      <c r="E703" s="2" t="s">
        <v>20</v>
      </c>
      <c r="F703" s="2" t="n">
        <v>445</v>
      </c>
      <c r="G703" s="2" t="s">
        <v>26</v>
      </c>
      <c r="H703" s="2" t="s">
        <v>20</v>
      </c>
      <c r="I703" s="2" t="s">
        <v>21</v>
      </c>
      <c r="J703" s="2" t="n">
        <v>24</v>
      </c>
      <c r="K703" s="2" t="s">
        <v>44</v>
      </c>
      <c r="L703" s="2" t="n">
        <v>631</v>
      </c>
      <c r="M703" s="2" t="n">
        <v>1</v>
      </c>
      <c r="N703" s="2" t="n">
        <v>-1</v>
      </c>
      <c r="O703" s="2" t="n">
        <v>0</v>
      </c>
      <c r="P703" s="2" t="s">
        <v>23</v>
      </c>
      <c r="Q703" s="2" t="s">
        <v>20</v>
      </c>
    </row>
    <row r="704" customFormat="false" ht="15" hidden="false" customHeight="false" outlineLevel="0" collapsed="false">
      <c r="A704" s="2" t="n">
        <v>32</v>
      </c>
      <c r="B704" s="2" t="s">
        <v>29</v>
      </c>
      <c r="C704" s="2" t="s">
        <v>45</v>
      </c>
      <c r="D704" s="2" t="s">
        <v>31</v>
      </c>
      <c r="E704" s="2" t="s">
        <v>20</v>
      </c>
      <c r="F704" s="2" t="n">
        <v>874</v>
      </c>
      <c r="G704" s="2" t="s">
        <v>20</v>
      </c>
      <c r="H704" s="2" t="s">
        <v>20</v>
      </c>
      <c r="I704" s="2" t="s">
        <v>21</v>
      </c>
      <c r="J704" s="2" t="n">
        <v>12</v>
      </c>
      <c r="K704" s="2" t="s">
        <v>41</v>
      </c>
      <c r="L704" s="2" t="n">
        <v>1282</v>
      </c>
      <c r="M704" s="2" t="n">
        <v>6</v>
      </c>
      <c r="N704" s="2" t="n">
        <v>-1</v>
      </c>
      <c r="O704" s="2" t="n">
        <v>0</v>
      </c>
      <c r="P704" s="2" t="s">
        <v>23</v>
      </c>
      <c r="Q704" s="2" t="s">
        <v>26</v>
      </c>
    </row>
    <row r="705" customFormat="false" ht="15" hidden="false" customHeight="false" outlineLevel="0" collapsed="false">
      <c r="A705" s="2" t="n">
        <v>48</v>
      </c>
      <c r="B705" s="2" t="s">
        <v>34</v>
      </c>
      <c r="C705" s="2" t="s">
        <v>18</v>
      </c>
      <c r="D705" s="2" t="s">
        <v>25</v>
      </c>
      <c r="E705" s="2" t="s">
        <v>20</v>
      </c>
      <c r="F705" s="2" t="n">
        <v>705</v>
      </c>
      <c r="G705" s="2" t="s">
        <v>20</v>
      </c>
      <c r="H705" s="2" t="s">
        <v>20</v>
      </c>
      <c r="I705" s="2" t="s">
        <v>23</v>
      </c>
      <c r="J705" s="2" t="n">
        <v>13</v>
      </c>
      <c r="K705" s="2" t="s">
        <v>27</v>
      </c>
      <c r="L705" s="2" t="n">
        <v>108</v>
      </c>
      <c r="M705" s="2" t="n">
        <v>2</v>
      </c>
      <c r="N705" s="2" t="n">
        <v>-1</v>
      </c>
      <c r="O705" s="2" t="n">
        <v>0</v>
      </c>
      <c r="P705" s="2" t="s">
        <v>23</v>
      </c>
      <c r="Q705" s="2" t="s">
        <v>20</v>
      </c>
    </row>
    <row r="706" customFormat="false" ht="15" hidden="false" customHeight="false" outlineLevel="0" collapsed="false">
      <c r="A706" s="2" t="n">
        <v>59</v>
      </c>
      <c r="B706" s="2" t="s">
        <v>48</v>
      </c>
      <c r="C706" s="2" t="s">
        <v>18</v>
      </c>
      <c r="D706" s="2" t="s">
        <v>23</v>
      </c>
      <c r="E706" s="2" t="s">
        <v>20</v>
      </c>
      <c r="F706" s="2" t="n">
        <v>1033</v>
      </c>
      <c r="G706" s="2" t="s">
        <v>20</v>
      </c>
      <c r="H706" s="2" t="s">
        <v>20</v>
      </c>
      <c r="I706" s="2" t="s">
        <v>23</v>
      </c>
      <c r="J706" s="2" t="n">
        <v>11</v>
      </c>
      <c r="K706" s="2" t="s">
        <v>33</v>
      </c>
      <c r="L706" s="2" t="n">
        <v>1199</v>
      </c>
      <c r="M706" s="2" t="n">
        <v>1</v>
      </c>
      <c r="N706" s="2" t="n">
        <v>-1</v>
      </c>
      <c r="O706" s="2" t="n">
        <v>0</v>
      </c>
      <c r="P706" s="2" t="s">
        <v>23</v>
      </c>
      <c r="Q706" s="2" t="s">
        <v>26</v>
      </c>
    </row>
    <row r="707" customFormat="false" ht="15" hidden="false" customHeight="false" outlineLevel="0" collapsed="false">
      <c r="A707" s="2" t="n">
        <v>35</v>
      </c>
      <c r="B707" s="2" t="s">
        <v>36</v>
      </c>
      <c r="C707" s="2" t="s">
        <v>45</v>
      </c>
      <c r="D707" s="2" t="s">
        <v>31</v>
      </c>
      <c r="E707" s="2" t="s">
        <v>20</v>
      </c>
      <c r="F707" s="2" t="n">
        <v>1354</v>
      </c>
      <c r="G707" s="2" t="s">
        <v>26</v>
      </c>
      <c r="H707" s="2" t="s">
        <v>20</v>
      </c>
      <c r="I707" s="2" t="s">
        <v>23</v>
      </c>
      <c r="J707" s="2" t="n">
        <v>23</v>
      </c>
      <c r="K707" s="2" t="s">
        <v>27</v>
      </c>
      <c r="L707" s="2" t="n">
        <v>736</v>
      </c>
      <c r="M707" s="2" t="n">
        <v>2</v>
      </c>
      <c r="N707" s="2" t="n">
        <v>-1</v>
      </c>
      <c r="O707" s="2" t="n">
        <v>0</v>
      </c>
      <c r="P707" s="2" t="s">
        <v>23</v>
      </c>
      <c r="Q707" s="2" t="s">
        <v>26</v>
      </c>
    </row>
    <row r="708" customFormat="false" ht="15" hidden="false" customHeight="false" outlineLevel="0" collapsed="false">
      <c r="A708" s="2" t="n">
        <v>33</v>
      </c>
      <c r="B708" s="2" t="s">
        <v>38</v>
      </c>
      <c r="C708" s="2" t="s">
        <v>30</v>
      </c>
      <c r="D708" s="2" t="s">
        <v>31</v>
      </c>
      <c r="E708" s="2" t="s">
        <v>20</v>
      </c>
      <c r="F708" s="2" t="n">
        <v>123</v>
      </c>
      <c r="G708" s="2" t="s">
        <v>20</v>
      </c>
      <c r="H708" s="2" t="s">
        <v>20</v>
      </c>
      <c r="I708" s="2" t="s">
        <v>21</v>
      </c>
      <c r="J708" s="2" t="n">
        <v>19</v>
      </c>
      <c r="K708" s="2" t="s">
        <v>41</v>
      </c>
      <c r="L708" s="2" t="n">
        <v>264</v>
      </c>
      <c r="M708" s="2" t="n">
        <v>1</v>
      </c>
      <c r="N708" s="2" t="n">
        <v>-1</v>
      </c>
      <c r="O708" s="2" t="n">
        <v>0</v>
      </c>
      <c r="P708" s="2" t="s">
        <v>23</v>
      </c>
      <c r="Q708" s="2" t="s">
        <v>20</v>
      </c>
    </row>
    <row r="709" customFormat="false" ht="15" hidden="false" customHeight="false" outlineLevel="0" collapsed="false">
      <c r="A709" s="2" t="n">
        <v>55</v>
      </c>
      <c r="B709" s="2" t="s">
        <v>48</v>
      </c>
      <c r="C709" s="2" t="s">
        <v>18</v>
      </c>
      <c r="D709" s="2" t="s">
        <v>19</v>
      </c>
      <c r="E709" s="2" t="s">
        <v>20</v>
      </c>
      <c r="F709" s="2" t="n">
        <v>8894</v>
      </c>
      <c r="G709" s="2" t="s">
        <v>20</v>
      </c>
      <c r="H709" s="2" t="s">
        <v>20</v>
      </c>
      <c r="I709" s="2" t="s">
        <v>23</v>
      </c>
      <c r="J709" s="2" t="n">
        <v>11</v>
      </c>
      <c r="K709" s="2" t="s">
        <v>33</v>
      </c>
      <c r="L709" s="2" t="n">
        <v>262</v>
      </c>
      <c r="M709" s="2" t="n">
        <v>1</v>
      </c>
      <c r="N709" s="2" t="n">
        <v>-1</v>
      </c>
      <c r="O709" s="2" t="n">
        <v>0</v>
      </c>
      <c r="P709" s="2" t="s">
        <v>23</v>
      </c>
      <c r="Q709" s="2" t="s">
        <v>20</v>
      </c>
    </row>
    <row r="710" customFormat="false" ht="15" hidden="false" customHeight="false" outlineLevel="0" collapsed="false">
      <c r="A710" s="2" t="n">
        <v>41</v>
      </c>
      <c r="B710" s="2" t="s">
        <v>34</v>
      </c>
      <c r="C710" s="2" t="s">
        <v>18</v>
      </c>
      <c r="D710" s="2" t="s">
        <v>25</v>
      </c>
      <c r="E710" s="2" t="s">
        <v>20</v>
      </c>
      <c r="F710" s="2" t="n">
        <v>429</v>
      </c>
      <c r="G710" s="2" t="s">
        <v>26</v>
      </c>
      <c r="H710" s="2" t="s">
        <v>20</v>
      </c>
      <c r="I710" s="2" t="s">
        <v>23</v>
      </c>
      <c r="J710" s="2" t="n">
        <v>13</v>
      </c>
      <c r="K710" s="2" t="s">
        <v>27</v>
      </c>
      <c r="L710" s="2" t="n">
        <v>244</v>
      </c>
      <c r="M710" s="2" t="n">
        <v>1</v>
      </c>
      <c r="N710" s="2" t="n">
        <v>-1</v>
      </c>
      <c r="O710" s="2" t="n">
        <v>0</v>
      </c>
      <c r="P710" s="2" t="s">
        <v>23</v>
      </c>
      <c r="Q710" s="2" t="s">
        <v>20</v>
      </c>
    </row>
    <row r="711" customFormat="false" ht="15" hidden="false" customHeight="false" outlineLevel="0" collapsed="false">
      <c r="A711" s="2" t="n">
        <v>42</v>
      </c>
      <c r="B711" s="2" t="s">
        <v>47</v>
      </c>
      <c r="C711" s="2" t="s">
        <v>18</v>
      </c>
      <c r="D711" s="2" t="s">
        <v>19</v>
      </c>
      <c r="E711" s="2" t="s">
        <v>20</v>
      </c>
      <c r="F711" s="2" t="n">
        <v>14752</v>
      </c>
      <c r="G711" s="2" t="s">
        <v>20</v>
      </c>
      <c r="H711" s="2" t="s">
        <v>20</v>
      </c>
      <c r="I711" s="2" t="s">
        <v>23</v>
      </c>
      <c r="J711" s="2" t="n">
        <v>19</v>
      </c>
      <c r="K711" s="2" t="s">
        <v>27</v>
      </c>
      <c r="L711" s="2" t="n">
        <v>107</v>
      </c>
      <c r="M711" s="2" t="n">
        <v>2</v>
      </c>
      <c r="N711" s="2" t="n">
        <v>-1</v>
      </c>
      <c r="O711" s="2" t="n">
        <v>0</v>
      </c>
      <c r="P711" s="2" t="s">
        <v>23</v>
      </c>
      <c r="Q711" s="2" t="s">
        <v>20</v>
      </c>
    </row>
    <row r="712" customFormat="false" ht="15" hidden="false" customHeight="false" outlineLevel="0" collapsed="false">
      <c r="A712" s="2" t="n">
        <v>46</v>
      </c>
      <c r="B712" s="2" t="s">
        <v>34</v>
      </c>
      <c r="C712" s="2" t="s">
        <v>18</v>
      </c>
      <c r="D712" s="2" t="s">
        <v>19</v>
      </c>
      <c r="E712" s="2" t="s">
        <v>20</v>
      </c>
      <c r="F712" s="2" t="n">
        <v>67</v>
      </c>
      <c r="G712" s="2" t="s">
        <v>20</v>
      </c>
      <c r="H712" s="2" t="s">
        <v>20</v>
      </c>
      <c r="I712" s="2" t="s">
        <v>23</v>
      </c>
      <c r="J712" s="2" t="n">
        <v>24</v>
      </c>
      <c r="K712" s="2" t="s">
        <v>33</v>
      </c>
      <c r="L712" s="2" t="n">
        <v>9</v>
      </c>
      <c r="M712" s="2" t="n">
        <v>1</v>
      </c>
      <c r="N712" s="2" t="n">
        <v>-1</v>
      </c>
      <c r="O712" s="2" t="n">
        <v>0</v>
      </c>
      <c r="P712" s="2" t="s">
        <v>23</v>
      </c>
      <c r="Q712" s="2" t="s">
        <v>20</v>
      </c>
    </row>
    <row r="713" customFormat="false" ht="15" hidden="false" customHeight="false" outlineLevel="0" collapsed="false">
      <c r="A713" s="2" t="n">
        <v>35</v>
      </c>
      <c r="B713" s="2" t="s">
        <v>47</v>
      </c>
      <c r="C713" s="2" t="s">
        <v>45</v>
      </c>
      <c r="D713" s="2" t="s">
        <v>25</v>
      </c>
      <c r="E713" s="2" t="s">
        <v>20</v>
      </c>
      <c r="F713" s="2" t="n">
        <v>39</v>
      </c>
      <c r="G713" s="2" t="s">
        <v>20</v>
      </c>
      <c r="H713" s="2" t="s">
        <v>20</v>
      </c>
      <c r="I713" s="2" t="s">
        <v>21</v>
      </c>
      <c r="J713" s="2" t="n">
        <v>31</v>
      </c>
      <c r="K713" s="2" t="s">
        <v>44</v>
      </c>
      <c r="L713" s="2" t="n">
        <v>149</v>
      </c>
      <c r="M713" s="2" t="n">
        <v>2</v>
      </c>
      <c r="N713" s="2" t="n">
        <v>-1</v>
      </c>
      <c r="O713" s="2" t="n">
        <v>0</v>
      </c>
      <c r="P713" s="2" t="s">
        <v>23</v>
      </c>
      <c r="Q713" s="2" t="s">
        <v>20</v>
      </c>
    </row>
    <row r="714" customFormat="false" ht="15" hidden="false" customHeight="false" outlineLevel="0" collapsed="false">
      <c r="A714" s="2" t="n">
        <v>28</v>
      </c>
      <c r="B714" s="2" t="s">
        <v>38</v>
      </c>
      <c r="C714" s="2" t="s">
        <v>30</v>
      </c>
      <c r="D714" s="2" t="s">
        <v>31</v>
      </c>
      <c r="E714" s="2" t="s">
        <v>20</v>
      </c>
      <c r="F714" s="2" t="n">
        <v>102</v>
      </c>
      <c r="G714" s="2" t="s">
        <v>20</v>
      </c>
      <c r="H714" s="2" t="s">
        <v>20</v>
      </c>
      <c r="I714" s="2" t="s">
        <v>21</v>
      </c>
      <c r="J714" s="2" t="n">
        <v>28</v>
      </c>
      <c r="K714" s="2" t="s">
        <v>43</v>
      </c>
      <c r="L714" s="2" t="n">
        <v>321</v>
      </c>
      <c r="M714" s="2" t="n">
        <v>2</v>
      </c>
      <c r="N714" s="2" t="n">
        <v>-1</v>
      </c>
      <c r="O714" s="2" t="n">
        <v>0</v>
      </c>
      <c r="P714" s="2" t="s">
        <v>23</v>
      </c>
      <c r="Q714" s="2" t="s">
        <v>20</v>
      </c>
    </row>
    <row r="715" customFormat="false" ht="15" hidden="false" customHeight="false" outlineLevel="0" collapsed="false">
      <c r="A715" s="2" t="n">
        <v>25</v>
      </c>
      <c r="B715" s="2" t="s">
        <v>42</v>
      </c>
      <c r="C715" s="2" t="s">
        <v>30</v>
      </c>
      <c r="D715" s="2" t="s">
        <v>25</v>
      </c>
      <c r="E715" s="2" t="s">
        <v>20</v>
      </c>
      <c r="F715" s="2" t="n">
        <v>1790</v>
      </c>
      <c r="G715" s="2" t="s">
        <v>20</v>
      </c>
      <c r="H715" s="2" t="s">
        <v>20</v>
      </c>
      <c r="I715" s="2" t="s">
        <v>21</v>
      </c>
      <c r="J715" s="2" t="n">
        <v>17</v>
      </c>
      <c r="K715" s="2" t="s">
        <v>32</v>
      </c>
      <c r="L715" s="2" t="n">
        <v>224</v>
      </c>
      <c r="M715" s="2" t="n">
        <v>1</v>
      </c>
      <c r="N715" s="2" t="n">
        <v>322</v>
      </c>
      <c r="O715" s="2" t="n">
        <v>3</v>
      </c>
      <c r="P715" s="2" t="s">
        <v>28</v>
      </c>
      <c r="Q715" s="2" t="s">
        <v>20</v>
      </c>
    </row>
    <row r="716" customFormat="false" ht="15" hidden="false" customHeight="false" outlineLevel="0" collapsed="false">
      <c r="A716" s="2" t="n">
        <v>56</v>
      </c>
      <c r="B716" s="2" t="s">
        <v>29</v>
      </c>
      <c r="C716" s="2" t="s">
        <v>30</v>
      </c>
      <c r="D716" s="2" t="s">
        <v>31</v>
      </c>
      <c r="E716" s="2" t="s">
        <v>20</v>
      </c>
      <c r="F716" s="2" t="n">
        <v>15311</v>
      </c>
      <c r="G716" s="2" t="s">
        <v>20</v>
      </c>
      <c r="H716" s="2" t="s">
        <v>20</v>
      </c>
      <c r="I716" s="2" t="s">
        <v>21</v>
      </c>
      <c r="J716" s="2" t="n">
        <v>29</v>
      </c>
      <c r="K716" s="2" t="s">
        <v>32</v>
      </c>
      <c r="L716" s="2" t="n">
        <v>157</v>
      </c>
      <c r="M716" s="2" t="n">
        <v>6</v>
      </c>
      <c r="N716" s="2" t="n">
        <v>-1</v>
      </c>
      <c r="O716" s="2" t="n">
        <v>0</v>
      </c>
      <c r="P716" s="2" t="s">
        <v>23</v>
      </c>
      <c r="Q716" s="2" t="s">
        <v>20</v>
      </c>
    </row>
    <row r="717" customFormat="false" ht="15" hidden="false" customHeight="false" outlineLevel="0" collapsed="false">
      <c r="A717" s="2" t="n">
        <v>30</v>
      </c>
      <c r="B717" s="2" t="s">
        <v>40</v>
      </c>
      <c r="C717" s="2" t="s">
        <v>30</v>
      </c>
      <c r="D717" s="2" t="s">
        <v>25</v>
      </c>
      <c r="E717" s="2" t="s">
        <v>20</v>
      </c>
      <c r="F717" s="2" t="n">
        <v>-635</v>
      </c>
      <c r="G717" s="2" t="s">
        <v>20</v>
      </c>
      <c r="H717" s="2" t="s">
        <v>20</v>
      </c>
      <c r="I717" s="2" t="s">
        <v>21</v>
      </c>
      <c r="J717" s="2" t="n">
        <v>25</v>
      </c>
      <c r="K717" s="2" t="s">
        <v>44</v>
      </c>
      <c r="L717" s="2" t="n">
        <v>250</v>
      </c>
      <c r="M717" s="2" t="n">
        <v>1</v>
      </c>
      <c r="N717" s="2" t="n">
        <v>-1</v>
      </c>
      <c r="O717" s="2" t="n">
        <v>0</v>
      </c>
      <c r="P717" s="2" t="s">
        <v>23</v>
      </c>
      <c r="Q717" s="2" t="s">
        <v>20</v>
      </c>
    </row>
    <row r="718" customFormat="false" ht="15" hidden="false" customHeight="false" outlineLevel="0" collapsed="false">
      <c r="A718" s="2" t="n">
        <v>45</v>
      </c>
      <c r="B718" s="2" t="s">
        <v>34</v>
      </c>
      <c r="C718" s="2" t="s">
        <v>18</v>
      </c>
      <c r="D718" s="2" t="s">
        <v>25</v>
      </c>
      <c r="E718" s="2" t="s">
        <v>20</v>
      </c>
      <c r="F718" s="2" t="n">
        <v>115</v>
      </c>
      <c r="G718" s="2" t="s">
        <v>20</v>
      </c>
      <c r="H718" s="2" t="s">
        <v>20</v>
      </c>
      <c r="I718" s="2" t="s">
        <v>21</v>
      </c>
      <c r="J718" s="2" t="n">
        <v>11</v>
      </c>
      <c r="K718" s="2" t="s">
        <v>41</v>
      </c>
      <c r="L718" s="2" t="n">
        <v>209</v>
      </c>
      <c r="M718" s="2" t="n">
        <v>4</v>
      </c>
      <c r="N718" s="2" t="n">
        <v>-1</v>
      </c>
      <c r="O718" s="2" t="n">
        <v>0</v>
      </c>
      <c r="P718" s="2" t="s">
        <v>23</v>
      </c>
      <c r="Q718" s="2" t="s">
        <v>20</v>
      </c>
    </row>
    <row r="719" customFormat="false" ht="15" hidden="false" customHeight="false" outlineLevel="0" collapsed="false">
      <c r="A719" s="2" t="n">
        <v>40</v>
      </c>
      <c r="B719" s="2" t="s">
        <v>29</v>
      </c>
      <c r="C719" s="2" t="s">
        <v>18</v>
      </c>
      <c r="D719" s="2" t="s">
        <v>31</v>
      </c>
      <c r="E719" s="2" t="s">
        <v>20</v>
      </c>
      <c r="F719" s="2" t="n">
        <v>10786</v>
      </c>
      <c r="G719" s="2" t="s">
        <v>20</v>
      </c>
      <c r="H719" s="2" t="s">
        <v>20</v>
      </c>
      <c r="I719" s="2" t="s">
        <v>23</v>
      </c>
      <c r="J719" s="2" t="n">
        <v>20</v>
      </c>
      <c r="K719" s="2" t="s">
        <v>33</v>
      </c>
      <c r="L719" s="2" t="n">
        <v>111</v>
      </c>
      <c r="M719" s="2" t="n">
        <v>3</v>
      </c>
      <c r="N719" s="2" t="n">
        <v>-1</v>
      </c>
      <c r="O719" s="2" t="n">
        <v>0</v>
      </c>
      <c r="P719" s="2" t="s">
        <v>23</v>
      </c>
      <c r="Q719" s="2" t="s">
        <v>20</v>
      </c>
    </row>
    <row r="720" customFormat="false" ht="15" hidden="false" customHeight="false" outlineLevel="0" collapsed="false">
      <c r="A720" s="2" t="n">
        <v>40</v>
      </c>
      <c r="B720" s="2" t="s">
        <v>34</v>
      </c>
      <c r="C720" s="2" t="s">
        <v>18</v>
      </c>
      <c r="D720" s="2" t="s">
        <v>25</v>
      </c>
      <c r="E720" s="2" t="s">
        <v>20</v>
      </c>
      <c r="F720" s="2" t="n">
        <v>498</v>
      </c>
      <c r="G720" s="2" t="s">
        <v>26</v>
      </c>
      <c r="H720" s="2" t="s">
        <v>20</v>
      </c>
      <c r="I720" s="2" t="s">
        <v>21</v>
      </c>
      <c r="J720" s="2" t="n">
        <v>8</v>
      </c>
      <c r="K720" s="2" t="s">
        <v>27</v>
      </c>
      <c r="L720" s="2" t="n">
        <v>55</v>
      </c>
      <c r="M720" s="2" t="n">
        <v>2</v>
      </c>
      <c r="N720" s="2" t="n">
        <v>298</v>
      </c>
      <c r="O720" s="2" t="n">
        <v>4</v>
      </c>
      <c r="P720" s="2" t="s">
        <v>28</v>
      </c>
      <c r="Q720" s="2" t="s">
        <v>20</v>
      </c>
    </row>
    <row r="721" customFormat="false" ht="15" hidden="false" customHeight="false" outlineLevel="0" collapsed="false">
      <c r="A721" s="2" t="n">
        <v>39</v>
      </c>
      <c r="B721" s="2" t="s">
        <v>34</v>
      </c>
      <c r="C721" s="2" t="s">
        <v>18</v>
      </c>
      <c r="D721" s="2" t="s">
        <v>25</v>
      </c>
      <c r="E721" s="2" t="s">
        <v>20</v>
      </c>
      <c r="F721" s="2" t="n">
        <v>1045</v>
      </c>
      <c r="G721" s="2" t="s">
        <v>26</v>
      </c>
      <c r="H721" s="2" t="s">
        <v>26</v>
      </c>
      <c r="I721" s="2" t="s">
        <v>21</v>
      </c>
      <c r="J721" s="2" t="n">
        <v>9</v>
      </c>
      <c r="K721" s="2" t="s">
        <v>44</v>
      </c>
      <c r="L721" s="2" t="n">
        <v>290</v>
      </c>
      <c r="M721" s="2" t="n">
        <v>13</v>
      </c>
      <c r="N721" s="2" t="n">
        <v>-1</v>
      </c>
      <c r="O721" s="2" t="n">
        <v>0</v>
      </c>
      <c r="P721" s="2" t="s">
        <v>23</v>
      </c>
      <c r="Q721" s="2" t="s">
        <v>20</v>
      </c>
    </row>
    <row r="722" customFormat="false" ht="15" hidden="false" customHeight="false" outlineLevel="0" collapsed="false">
      <c r="A722" s="2" t="n">
        <v>48</v>
      </c>
      <c r="B722" s="2" t="s">
        <v>39</v>
      </c>
      <c r="C722" s="2" t="s">
        <v>18</v>
      </c>
      <c r="D722" s="2" t="s">
        <v>31</v>
      </c>
      <c r="E722" s="2" t="s">
        <v>20</v>
      </c>
      <c r="F722" s="2" t="n">
        <v>810</v>
      </c>
      <c r="G722" s="2" t="s">
        <v>20</v>
      </c>
      <c r="H722" s="2" t="s">
        <v>20</v>
      </c>
      <c r="I722" s="2" t="s">
        <v>23</v>
      </c>
      <c r="J722" s="2" t="n">
        <v>6</v>
      </c>
      <c r="K722" s="2" t="s">
        <v>33</v>
      </c>
      <c r="L722" s="2" t="n">
        <v>383</v>
      </c>
      <c r="M722" s="2" t="n">
        <v>1</v>
      </c>
      <c r="N722" s="2" t="n">
        <v>-1</v>
      </c>
      <c r="O722" s="2" t="n">
        <v>0</v>
      </c>
      <c r="P722" s="2" t="s">
        <v>23</v>
      </c>
      <c r="Q722" s="2" t="s">
        <v>20</v>
      </c>
    </row>
    <row r="723" customFormat="false" ht="15" hidden="false" customHeight="false" outlineLevel="0" collapsed="false">
      <c r="A723" s="2" t="n">
        <v>31</v>
      </c>
      <c r="B723" s="2" t="s">
        <v>38</v>
      </c>
      <c r="C723" s="2" t="s">
        <v>30</v>
      </c>
      <c r="D723" s="2" t="s">
        <v>31</v>
      </c>
      <c r="E723" s="2" t="s">
        <v>20</v>
      </c>
      <c r="F723" s="2" t="n">
        <v>-162</v>
      </c>
      <c r="G723" s="2" t="s">
        <v>26</v>
      </c>
      <c r="H723" s="2" t="s">
        <v>20</v>
      </c>
      <c r="I723" s="2" t="s">
        <v>21</v>
      </c>
      <c r="J723" s="2" t="n">
        <v>18</v>
      </c>
      <c r="K723" s="2" t="s">
        <v>27</v>
      </c>
      <c r="L723" s="2" t="n">
        <v>380</v>
      </c>
      <c r="M723" s="2" t="n">
        <v>1</v>
      </c>
      <c r="N723" s="2" t="n">
        <v>-1</v>
      </c>
      <c r="O723" s="2" t="n">
        <v>0</v>
      </c>
      <c r="P723" s="2" t="s">
        <v>23</v>
      </c>
      <c r="Q723" s="2" t="s">
        <v>20</v>
      </c>
    </row>
    <row r="724" customFormat="false" ht="15" hidden="false" customHeight="false" outlineLevel="0" collapsed="false">
      <c r="A724" s="2" t="n">
        <v>32</v>
      </c>
      <c r="B724" s="2" t="s">
        <v>29</v>
      </c>
      <c r="C724" s="2" t="s">
        <v>18</v>
      </c>
      <c r="D724" s="2" t="s">
        <v>31</v>
      </c>
      <c r="E724" s="2" t="s">
        <v>20</v>
      </c>
      <c r="F724" s="2" t="n">
        <v>55</v>
      </c>
      <c r="G724" s="2" t="s">
        <v>20</v>
      </c>
      <c r="H724" s="2" t="s">
        <v>20</v>
      </c>
      <c r="I724" s="2" t="s">
        <v>21</v>
      </c>
      <c r="J724" s="2" t="n">
        <v>2</v>
      </c>
      <c r="K724" s="2" t="s">
        <v>35</v>
      </c>
      <c r="L724" s="2" t="n">
        <v>124</v>
      </c>
      <c r="M724" s="2" t="n">
        <v>3</v>
      </c>
      <c r="N724" s="2" t="n">
        <v>-1</v>
      </c>
      <c r="O724" s="2" t="n">
        <v>0</v>
      </c>
      <c r="P724" s="2" t="s">
        <v>23</v>
      </c>
      <c r="Q724" s="2" t="s">
        <v>20</v>
      </c>
    </row>
    <row r="725" customFormat="false" ht="15" hidden="false" customHeight="false" outlineLevel="0" collapsed="false">
      <c r="A725" s="2" t="n">
        <v>34</v>
      </c>
      <c r="B725" s="2" t="s">
        <v>24</v>
      </c>
      <c r="C725" s="2" t="s">
        <v>18</v>
      </c>
      <c r="D725" s="2" t="s">
        <v>25</v>
      </c>
      <c r="E725" s="2" t="s">
        <v>20</v>
      </c>
      <c r="F725" s="2" t="n">
        <v>586</v>
      </c>
      <c r="G725" s="2" t="s">
        <v>26</v>
      </c>
      <c r="H725" s="2" t="s">
        <v>26</v>
      </c>
      <c r="I725" s="2" t="s">
        <v>23</v>
      </c>
      <c r="J725" s="2" t="n">
        <v>8</v>
      </c>
      <c r="K725" s="2" t="s">
        <v>27</v>
      </c>
      <c r="L725" s="2" t="n">
        <v>224</v>
      </c>
      <c r="M725" s="2" t="n">
        <v>2</v>
      </c>
      <c r="N725" s="2" t="n">
        <v>-1</v>
      </c>
      <c r="O725" s="2" t="n">
        <v>0</v>
      </c>
      <c r="P725" s="2" t="s">
        <v>23</v>
      </c>
      <c r="Q725" s="2" t="s">
        <v>20</v>
      </c>
    </row>
    <row r="726" customFormat="false" ht="15" hidden="false" customHeight="false" outlineLevel="0" collapsed="false">
      <c r="A726" s="2" t="n">
        <v>26</v>
      </c>
      <c r="B726" s="2" t="s">
        <v>38</v>
      </c>
      <c r="C726" s="2" t="s">
        <v>30</v>
      </c>
      <c r="D726" s="2" t="s">
        <v>25</v>
      </c>
      <c r="E726" s="2" t="s">
        <v>20</v>
      </c>
      <c r="F726" s="2" t="n">
        <v>455</v>
      </c>
      <c r="G726" s="2" t="s">
        <v>20</v>
      </c>
      <c r="H726" s="2" t="s">
        <v>20</v>
      </c>
      <c r="I726" s="2" t="s">
        <v>21</v>
      </c>
      <c r="J726" s="2" t="n">
        <v>29</v>
      </c>
      <c r="K726" s="2" t="s">
        <v>43</v>
      </c>
      <c r="L726" s="2" t="n">
        <v>240</v>
      </c>
      <c r="M726" s="2" t="n">
        <v>1</v>
      </c>
      <c r="N726" s="2" t="n">
        <v>182</v>
      </c>
      <c r="O726" s="2" t="n">
        <v>8</v>
      </c>
      <c r="P726" s="2" t="s">
        <v>37</v>
      </c>
      <c r="Q726" s="2" t="s">
        <v>20</v>
      </c>
    </row>
    <row r="727" customFormat="false" ht="15" hidden="false" customHeight="false" outlineLevel="0" collapsed="false">
      <c r="A727" s="2" t="n">
        <v>31</v>
      </c>
      <c r="B727" s="2" t="s">
        <v>29</v>
      </c>
      <c r="C727" s="2" t="s">
        <v>18</v>
      </c>
      <c r="D727" s="2" t="s">
        <v>31</v>
      </c>
      <c r="E727" s="2" t="s">
        <v>20</v>
      </c>
      <c r="F727" s="2" t="n">
        <v>1010</v>
      </c>
      <c r="G727" s="2" t="s">
        <v>26</v>
      </c>
      <c r="H727" s="2" t="s">
        <v>20</v>
      </c>
      <c r="I727" s="2" t="s">
        <v>21</v>
      </c>
      <c r="J727" s="2" t="n">
        <v>15</v>
      </c>
      <c r="K727" s="2" t="s">
        <v>27</v>
      </c>
      <c r="L727" s="2" t="n">
        <v>385</v>
      </c>
      <c r="M727" s="2" t="n">
        <v>3</v>
      </c>
      <c r="N727" s="2" t="n">
        <v>364</v>
      </c>
      <c r="O727" s="2" t="n">
        <v>9</v>
      </c>
      <c r="P727" s="2" t="s">
        <v>37</v>
      </c>
      <c r="Q727" s="2" t="s">
        <v>20</v>
      </c>
    </row>
    <row r="728" customFormat="false" ht="15" hidden="false" customHeight="false" outlineLevel="0" collapsed="false">
      <c r="A728" s="2" t="n">
        <v>37</v>
      </c>
      <c r="B728" s="2" t="s">
        <v>29</v>
      </c>
      <c r="C728" s="2" t="s">
        <v>30</v>
      </c>
      <c r="D728" s="2" t="s">
        <v>31</v>
      </c>
      <c r="E728" s="2" t="s">
        <v>20</v>
      </c>
      <c r="F728" s="2" t="n">
        <v>509</v>
      </c>
      <c r="G728" s="2" t="s">
        <v>26</v>
      </c>
      <c r="H728" s="2" t="s">
        <v>20</v>
      </c>
      <c r="I728" s="2" t="s">
        <v>21</v>
      </c>
      <c r="J728" s="2" t="n">
        <v>6</v>
      </c>
      <c r="K728" s="2" t="s">
        <v>27</v>
      </c>
      <c r="L728" s="2" t="n">
        <v>133</v>
      </c>
      <c r="M728" s="2" t="n">
        <v>1</v>
      </c>
      <c r="N728" s="2" t="n">
        <v>-1</v>
      </c>
      <c r="O728" s="2" t="n">
        <v>0</v>
      </c>
      <c r="P728" s="2" t="s">
        <v>23</v>
      </c>
      <c r="Q728" s="2" t="s">
        <v>20</v>
      </c>
    </row>
    <row r="729" customFormat="false" ht="15" hidden="false" customHeight="false" outlineLevel="0" collapsed="false">
      <c r="A729" s="2" t="n">
        <v>29</v>
      </c>
      <c r="B729" s="2" t="s">
        <v>42</v>
      </c>
      <c r="C729" s="2" t="s">
        <v>30</v>
      </c>
      <c r="D729" s="2" t="s">
        <v>23</v>
      </c>
      <c r="E729" s="2" t="s">
        <v>20</v>
      </c>
      <c r="F729" s="2" t="n">
        <v>2929</v>
      </c>
      <c r="G729" s="2" t="s">
        <v>20</v>
      </c>
      <c r="H729" s="2" t="s">
        <v>20</v>
      </c>
      <c r="I729" s="2" t="s">
        <v>21</v>
      </c>
      <c r="J729" s="2" t="n">
        <v>11</v>
      </c>
      <c r="K729" s="2" t="s">
        <v>41</v>
      </c>
      <c r="L729" s="2" t="n">
        <v>91</v>
      </c>
      <c r="M729" s="2" t="n">
        <v>1</v>
      </c>
      <c r="N729" s="2" t="n">
        <v>-1</v>
      </c>
      <c r="O729" s="2" t="n">
        <v>0</v>
      </c>
      <c r="P729" s="2" t="s">
        <v>23</v>
      </c>
      <c r="Q729" s="2" t="s">
        <v>20</v>
      </c>
    </row>
    <row r="730" customFormat="false" ht="15" hidden="false" customHeight="false" outlineLevel="0" collapsed="false">
      <c r="A730" s="2" t="n">
        <v>57</v>
      </c>
      <c r="B730" s="2" t="s">
        <v>38</v>
      </c>
      <c r="C730" s="2" t="s">
        <v>18</v>
      </c>
      <c r="D730" s="2" t="s">
        <v>25</v>
      </c>
      <c r="E730" s="2" t="s">
        <v>20</v>
      </c>
      <c r="F730" s="2" t="n">
        <v>3071</v>
      </c>
      <c r="G730" s="2" t="s">
        <v>26</v>
      </c>
      <c r="H730" s="2" t="s">
        <v>26</v>
      </c>
      <c r="I730" s="2" t="s">
        <v>21</v>
      </c>
      <c r="J730" s="2" t="n">
        <v>7</v>
      </c>
      <c r="K730" s="2" t="s">
        <v>27</v>
      </c>
      <c r="L730" s="2" t="n">
        <v>63</v>
      </c>
      <c r="M730" s="2" t="n">
        <v>3</v>
      </c>
      <c r="N730" s="2" t="n">
        <v>-1</v>
      </c>
      <c r="O730" s="2" t="n">
        <v>0</v>
      </c>
      <c r="P730" s="2" t="s">
        <v>23</v>
      </c>
      <c r="Q730" s="2" t="s">
        <v>20</v>
      </c>
    </row>
    <row r="731" customFormat="false" ht="15" hidden="false" customHeight="false" outlineLevel="0" collapsed="false">
      <c r="A731" s="2" t="n">
        <v>47</v>
      </c>
      <c r="B731" s="2" t="s">
        <v>29</v>
      </c>
      <c r="C731" s="2" t="s">
        <v>30</v>
      </c>
      <c r="D731" s="2" t="s">
        <v>31</v>
      </c>
      <c r="E731" s="2" t="s">
        <v>20</v>
      </c>
      <c r="F731" s="2" t="n">
        <v>153</v>
      </c>
      <c r="G731" s="2" t="s">
        <v>26</v>
      </c>
      <c r="H731" s="2" t="s">
        <v>20</v>
      </c>
      <c r="I731" s="2" t="s">
        <v>21</v>
      </c>
      <c r="J731" s="2" t="n">
        <v>18</v>
      </c>
      <c r="K731" s="2" t="s">
        <v>46</v>
      </c>
      <c r="L731" s="2" t="n">
        <v>192</v>
      </c>
      <c r="M731" s="2" t="n">
        <v>2</v>
      </c>
      <c r="N731" s="2" t="n">
        <v>-1</v>
      </c>
      <c r="O731" s="2" t="n">
        <v>0</v>
      </c>
      <c r="P731" s="2" t="s">
        <v>23</v>
      </c>
      <c r="Q731" s="2" t="s">
        <v>20</v>
      </c>
    </row>
    <row r="732" customFormat="false" ht="15" hidden="false" customHeight="false" outlineLevel="0" collapsed="false">
      <c r="A732" s="2" t="n">
        <v>38</v>
      </c>
      <c r="B732" s="2" t="s">
        <v>36</v>
      </c>
      <c r="C732" s="2" t="s">
        <v>30</v>
      </c>
      <c r="D732" s="2" t="s">
        <v>25</v>
      </c>
      <c r="E732" s="2" t="s">
        <v>20</v>
      </c>
      <c r="F732" s="2" t="n">
        <v>1146</v>
      </c>
      <c r="G732" s="2" t="s">
        <v>26</v>
      </c>
      <c r="H732" s="2" t="s">
        <v>20</v>
      </c>
      <c r="I732" s="2" t="s">
        <v>23</v>
      </c>
      <c r="J732" s="2" t="n">
        <v>21</v>
      </c>
      <c r="K732" s="2" t="s">
        <v>27</v>
      </c>
      <c r="L732" s="2" t="n">
        <v>91</v>
      </c>
      <c r="M732" s="2" t="n">
        <v>2</v>
      </c>
      <c r="N732" s="2" t="n">
        <v>-1</v>
      </c>
      <c r="O732" s="2" t="n">
        <v>0</v>
      </c>
      <c r="P732" s="2" t="s">
        <v>23</v>
      </c>
      <c r="Q732" s="2" t="s">
        <v>20</v>
      </c>
    </row>
    <row r="733" customFormat="false" ht="15" hidden="false" customHeight="false" outlineLevel="0" collapsed="false">
      <c r="A733" s="2" t="n">
        <v>48</v>
      </c>
      <c r="B733" s="2" t="s">
        <v>34</v>
      </c>
      <c r="C733" s="2" t="s">
        <v>18</v>
      </c>
      <c r="D733" s="2" t="s">
        <v>19</v>
      </c>
      <c r="E733" s="2" t="s">
        <v>20</v>
      </c>
      <c r="F733" s="2" t="n">
        <v>1092</v>
      </c>
      <c r="G733" s="2" t="s">
        <v>20</v>
      </c>
      <c r="H733" s="2" t="s">
        <v>26</v>
      </c>
      <c r="I733" s="2" t="s">
        <v>21</v>
      </c>
      <c r="J733" s="2" t="n">
        <v>18</v>
      </c>
      <c r="K733" s="2" t="s">
        <v>46</v>
      </c>
      <c r="L733" s="2" t="n">
        <v>79</v>
      </c>
      <c r="M733" s="2" t="n">
        <v>1</v>
      </c>
      <c r="N733" s="2" t="n">
        <v>172</v>
      </c>
      <c r="O733" s="2" t="n">
        <v>8</v>
      </c>
      <c r="P733" s="2" t="s">
        <v>28</v>
      </c>
      <c r="Q733" s="2" t="s">
        <v>20</v>
      </c>
    </row>
    <row r="734" customFormat="false" ht="15" hidden="false" customHeight="false" outlineLevel="0" collapsed="false">
      <c r="A734" s="2" t="n">
        <v>50</v>
      </c>
      <c r="B734" s="2" t="s">
        <v>29</v>
      </c>
      <c r="C734" s="2" t="s">
        <v>18</v>
      </c>
      <c r="D734" s="2" t="s">
        <v>31</v>
      </c>
      <c r="E734" s="2" t="s">
        <v>20</v>
      </c>
      <c r="F734" s="2" t="n">
        <v>3463</v>
      </c>
      <c r="G734" s="2" t="s">
        <v>20</v>
      </c>
      <c r="H734" s="2" t="s">
        <v>26</v>
      </c>
      <c r="I734" s="2" t="s">
        <v>21</v>
      </c>
      <c r="J734" s="2" t="n">
        <v>28</v>
      </c>
      <c r="K734" s="2" t="s">
        <v>22</v>
      </c>
      <c r="L734" s="2" t="n">
        <v>96</v>
      </c>
      <c r="M734" s="2" t="n">
        <v>1</v>
      </c>
      <c r="N734" s="2" t="n">
        <v>-1</v>
      </c>
      <c r="O734" s="2" t="n">
        <v>0</v>
      </c>
      <c r="P734" s="2" t="s">
        <v>23</v>
      </c>
      <c r="Q734" s="2" t="s">
        <v>26</v>
      </c>
    </row>
    <row r="735" customFormat="false" ht="15" hidden="false" customHeight="false" outlineLevel="0" collapsed="false">
      <c r="A735" s="2" t="n">
        <v>33</v>
      </c>
      <c r="B735" s="2" t="s">
        <v>40</v>
      </c>
      <c r="C735" s="2" t="s">
        <v>18</v>
      </c>
      <c r="D735" s="2" t="s">
        <v>25</v>
      </c>
      <c r="E735" s="2" t="s">
        <v>20</v>
      </c>
      <c r="F735" s="2" t="n">
        <v>1158</v>
      </c>
      <c r="G735" s="2" t="s">
        <v>26</v>
      </c>
      <c r="H735" s="2" t="s">
        <v>20</v>
      </c>
      <c r="I735" s="2" t="s">
        <v>21</v>
      </c>
      <c r="J735" s="2" t="n">
        <v>20</v>
      </c>
      <c r="K735" s="2" t="s">
        <v>32</v>
      </c>
      <c r="L735" s="2" t="n">
        <v>25</v>
      </c>
      <c r="M735" s="2" t="n">
        <v>2</v>
      </c>
      <c r="N735" s="2" t="n">
        <v>-1</v>
      </c>
      <c r="O735" s="2" t="n">
        <v>0</v>
      </c>
      <c r="P735" s="2" t="s">
        <v>23</v>
      </c>
      <c r="Q735" s="2" t="s">
        <v>20</v>
      </c>
    </row>
    <row r="736" customFormat="false" ht="15" hidden="false" customHeight="false" outlineLevel="0" collapsed="false">
      <c r="A736" s="2" t="n">
        <v>28</v>
      </c>
      <c r="B736" s="2" t="s">
        <v>40</v>
      </c>
      <c r="C736" s="2" t="s">
        <v>30</v>
      </c>
      <c r="D736" s="2" t="s">
        <v>25</v>
      </c>
      <c r="E736" s="2" t="s">
        <v>20</v>
      </c>
      <c r="F736" s="2" t="n">
        <v>26</v>
      </c>
      <c r="G736" s="2" t="s">
        <v>26</v>
      </c>
      <c r="H736" s="2" t="s">
        <v>20</v>
      </c>
      <c r="I736" s="2" t="s">
        <v>21</v>
      </c>
      <c r="J736" s="2" t="n">
        <v>7</v>
      </c>
      <c r="K736" s="2" t="s">
        <v>27</v>
      </c>
      <c r="L736" s="2" t="n">
        <v>227</v>
      </c>
      <c r="M736" s="2" t="n">
        <v>2</v>
      </c>
      <c r="N736" s="2" t="n">
        <v>-1</v>
      </c>
      <c r="O736" s="2" t="n">
        <v>0</v>
      </c>
      <c r="P736" s="2" t="s">
        <v>23</v>
      </c>
      <c r="Q736" s="2" t="s">
        <v>20</v>
      </c>
    </row>
    <row r="737" customFormat="false" ht="15" hidden="false" customHeight="false" outlineLevel="0" collapsed="false">
      <c r="A737" s="2" t="n">
        <v>30</v>
      </c>
      <c r="B737" s="2" t="s">
        <v>24</v>
      </c>
      <c r="C737" s="2" t="s">
        <v>30</v>
      </c>
      <c r="D737" s="2" t="s">
        <v>25</v>
      </c>
      <c r="E737" s="2" t="s">
        <v>20</v>
      </c>
      <c r="F737" s="2" t="n">
        <v>566</v>
      </c>
      <c r="G737" s="2" t="s">
        <v>20</v>
      </c>
      <c r="H737" s="2" t="s">
        <v>20</v>
      </c>
      <c r="I737" s="2" t="s">
        <v>21</v>
      </c>
      <c r="J737" s="2" t="n">
        <v>5</v>
      </c>
      <c r="K737" s="2" t="s">
        <v>35</v>
      </c>
      <c r="L737" s="2" t="n">
        <v>110</v>
      </c>
      <c r="M737" s="2" t="n">
        <v>1</v>
      </c>
      <c r="N737" s="2" t="n">
        <v>-1</v>
      </c>
      <c r="O737" s="2" t="n">
        <v>0</v>
      </c>
      <c r="P737" s="2" t="s">
        <v>23</v>
      </c>
      <c r="Q737" s="2" t="s">
        <v>20</v>
      </c>
    </row>
    <row r="738" customFormat="false" ht="15" hidden="false" customHeight="false" outlineLevel="0" collapsed="false">
      <c r="A738" s="2" t="n">
        <v>52</v>
      </c>
      <c r="B738" s="2" t="s">
        <v>38</v>
      </c>
      <c r="C738" s="2" t="s">
        <v>45</v>
      </c>
      <c r="D738" s="2" t="s">
        <v>25</v>
      </c>
      <c r="E738" s="2" t="s">
        <v>20</v>
      </c>
      <c r="F738" s="2" t="n">
        <v>204</v>
      </c>
      <c r="G738" s="2" t="s">
        <v>20</v>
      </c>
      <c r="H738" s="2" t="s">
        <v>20</v>
      </c>
      <c r="I738" s="2" t="s">
        <v>21</v>
      </c>
      <c r="J738" s="2" t="n">
        <v>7</v>
      </c>
      <c r="K738" s="2" t="s">
        <v>41</v>
      </c>
      <c r="L738" s="2" t="n">
        <v>134</v>
      </c>
      <c r="M738" s="2" t="n">
        <v>2</v>
      </c>
      <c r="N738" s="2" t="n">
        <v>-1</v>
      </c>
      <c r="O738" s="2" t="n">
        <v>0</v>
      </c>
      <c r="P738" s="2" t="s">
        <v>23</v>
      </c>
      <c r="Q738" s="2" t="s">
        <v>20</v>
      </c>
    </row>
    <row r="739" customFormat="false" ht="15" hidden="false" customHeight="false" outlineLevel="0" collapsed="false">
      <c r="A739" s="2" t="n">
        <v>36</v>
      </c>
      <c r="B739" s="2" t="s">
        <v>38</v>
      </c>
      <c r="C739" s="2" t="s">
        <v>18</v>
      </c>
      <c r="D739" s="2" t="s">
        <v>25</v>
      </c>
      <c r="E739" s="2" t="s">
        <v>20</v>
      </c>
      <c r="F739" s="2" t="n">
        <v>480</v>
      </c>
      <c r="G739" s="2" t="s">
        <v>20</v>
      </c>
      <c r="H739" s="2" t="s">
        <v>20</v>
      </c>
      <c r="I739" s="2" t="s">
        <v>21</v>
      </c>
      <c r="J739" s="2" t="n">
        <v>20</v>
      </c>
      <c r="K739" s="2" t="s">
        <v>22</v>
      </c>
      <c r="L739" s="2" t="n">
        <v>213</v>
      </c>
      <c r="M739" s="2" t="n">
        <v>1</v>
      </c>
      <c r="N739" s="2" t="n">
        <v>-1</v>
      </c>
      <c r="O739" s="2" t="n">
        <v>0</v>
      </c>
      <c r="P739" s="2" t="s">
        <v>23</v>
      </c>
      <c r="Q739" s="2" t="s">
        <v>26</v>
      </c>
    </row>
    <row r="740" customFormat="false" ht="15" hidden="false" customHeight="false" outlineLevel="0" collapsed="false">
      <c r="A740" s="2" t="n">
        <v>36</v>
      </c>
      <c r="B740" s="2" t="s">
        <v>38</v>
      </c>
      <c r="C740" s="2" t="s">
        <v>30</v>
      </c>
      <c r="D740" s="2" t="s">
        <v>25</v>
      </c>
      <c r="E740" s="2" t="s">
        <v>20</v>
      </c>
      <c r="F740" s="2" t="n">
        <v>1855</v>
      </c>
      <c r="G740" s="2" t="s">
        <v>26</v>
      </c>
      <c r="H740" s="2" t="s">
        <v>20</v>
      </c>
      <c r="I740" s="2" t="s">
        <v>21</v>
      </c>
      <c r="J740" s="2" t="n">
        <v>4</v>
      </c>
      <c r="K740" s="2" t="s">
        <v>35</v>
      </c>
      <c r="L740" s="2" t="n">
        <v>75</v>
      </c>
      <c r="M740" s="2" t="n">
        <v>1</v>
      </c>
      <c r="N740" s="2" t="n">
        <v>273</v>
      </c>
      <c r="O740" s="2" t="n">
        <v>1</v>
      </c>
      <c r="P740" s="2" t="s">
        <v>28</v>
      </c>
      <c r="Q740" s="2" t="s">
        <v>20</v>
      </c>
    </row>
    <row r="741" customFormat="false" ht="15" hidden="false" customHeight="false" outlineLevel="0" collapsed="false">
      <c r="A741" s="2" t="n">
        <v>46</v>
      </c>
      <c r="B741" s="2" t="s">
        <v>24</v>
      </c>
      <c r="C741" s="2" t="s">
        <v>18</v>
      </c>
      <c r="D741" s="2" t="s">
        <v>25</v>
      </c>
      <c r="E741" s="2" t="s">
        <v>20</v>
      </c>
      <c r="F741" s="2" t="n">
        <v>1034</v>
      </c>
      <c r="G741" s="2" t="s">
        <v>20</v>
      </c>
      <c r="H741" s="2" t="s">
        <v>20</v>
      </c>
      <c r="I741" s="2" t="s">
        <v>21</v>
      </c>
      <c r="J741" s="2" t="n">
        <v>8</v>
      </c>
      <c r="K741" s="2" t="s">
        <v>41</v>
      </c>
      <c r="L741" s="2" t="n">
        <v>109</v>
      </c>
      <c r="M741" s="2" t="n">
        <v>2</v>
      </c>
      <c r="N741" s="2" t="n">
        <v>-1</v>
      </c>
      <c r="O741" s="2" t="n">
        <v>0</v>
      </c>
      <c r="P741" s="2" t="s">
        <v>23</v>
      </c>
      <c r="Q741" s="2" t="s">
        <v>20</v>
      </c>
    </row>
    <row r="742" customFormat="false" ht="15" hidden="false" customHeight="false" outlineLevel="0" collapsed="false">
      <c r="A742" s="2" t="n">
        <v>57</v>
      </c>
      <c r="B742" s="2" t="s">
        <v>29</v>
      </c>
      <c r="C742" s="2" t="s">
        <v>18</v>
      </c>
      <c r="D742" s="2" t="s">
        <v>31</v>
      </c>
      <c r="E742" s="2" t="s">
        <v>20</v>
      </c>
      <c r="F742" s="2" t="n">
        <v>3250</v>
      </c>
      <c r="G742" s="2" t="s">
        <v>20</v>
      </c>
      <c r="H742" s="2" t="s">
        <v>20</v>
      </c>
      <c r="I742" s="2" t="s">
        <v>21</v>
      </c>
      <c r="J742" s="2" t="n">
        <v>20</v>
      </c>
      <c r="K742" s="2" t="s">
        <v>41</v>
      </c>
      <c r="L742" s="2" t="n">
        <v>162</v>
      </c>
      <c r="M742" s="2" t="n">
        <v>3</v>
      </c>
      <c r="N742" s="2" t="n">
        <v>-1</v>
      </c>
      <c r="O742" s="2" t="n">
        <v>0</v>
      </c>
      <c r="P742" s="2" t="s">
        <v>23</v>
      </c>
      <c r="Q742" s="2" t="s">
        <v>20</v>
      </c>
    </row>
    <row r="743" customFormat="false" ht="15" hidden="false" customHeight="false" outlineLevel="0" collapsed="false">
      <c r="A743" s="2" t="n">
        <v>28</v>
      </c>
      <c r="B743" s="2" t="s">
        <v>29</v>
      </c>
      <c r="C743" s="2" t="s">
        <v>30</v>
      </c>
      <c r="D743" s="2" t="s">
        <v>25</v>
      </c>
      <c r="E743" s="2" t="s">
        <v>20</v>
      </c>
      <c r="F743" s="2" t="n">
        <v>1633</v>
      </c>
      <c r="G743" s="2" t="s">
        <v>20</v>
      </c>
      <c r="H743" s="2" t="s">
        <v>20</v>
      </c>
      <c r="I743" s="2" t="s">
        <v>21</v>
      </c>
      <c r="J743" s="2" t="n">
        <v>5</v>
      </c>
      <c r="K743" s="2" t="s">
        <v>33</v>
      </c>
      <c r="L743" s="2" t="n">
        <v>275</v>
      </c>
      <c r="M743" s="2" t="n">
        <v>1</v>
      </c>
      <c r="N743" s="2" t="n">
        <v>-1</v>
      </c>
      <c r="O743" s="2" t="n">
        <v>0</v>
      </c>
      <c r="P743" s="2" t="s">
        <v>23</v>
      </c>
      <c r="Q743" s="2" t="s">
        <v>26</v>
      </c>
    </row>
    <row r="744" customFormat="false" ht="15" hidden="false" customHeight="false" outlineLevel="0" collapsed="false">
      <c r="A744" s="2" t="n">
        <v>46</v>
      </c>
      <c r="B744" s="2" t="s">
        <v>24</v>
      </c>
      <c r="C744" s="2" t="s">
        <v>18</v>
      </c>
      <c r="D744" s="2" t="s">
        <v>25</v>
      </c>
      <c r="E744" s="2" t="s">
        <v>20</v>
      </c>
      <c r="F744" s="2" t="n">
        <v>0</v>
      </c>
      <c r="G744" s="2" t="s">
        <v>26</v>
      </c>
      <c r="H744" s="2" t="s">
        <v>20</v>
      </c>
      <c r="I744" s="2" t="s">
        <v>21</v>
      </c>
      <c r="J744" s="2" t="n">
        <v>22</v>
      </c>
      <c r="K744" s="2" t="s">
        <v>33</v>
      </c>
      <c r="L744" s="2" t="n">
        <v>154</v>
      </c>
      <c r="M744" s="2" t="n">
        <v>1</v>
      </c>
      <c r="N744" s="2" t="n">
        <v>124</v>
      </c>
      <c r="O744" s="2" t="n">
        <v>1</v>
      </c>
      <c r="P744" s="2" t="s">
        <v>37</v>
      </c>
      <c r="Q744" s="2" t="s">
        <v>20</v>
      </c>
    </row>
    <row r="745" customFormat="false" ht="15" hidden="false" customHeight="false" outlineLevel="0" collapsed="false">
      <c r="A745" s="2" t="n">
        <v>55</v>
      </c>
      <c r="B745" s="2" t="s">
        <v>48</v>
      </c>
      <c r="C745" s="2" t="s">
        <v>18</v>
      </c>
      <c r="D745" s="2" t="s">
        <v>19</v>
      </c>
      <c r="E745" s="2" t="s">
        <v>20</v>
      </c>
      <c r="F745" s="2" t="n">
        <v>3334</v>
      </c>
      <c r="G745" s="2" t="s">
        <v>20</v>
      </c>
      <c r="H745" s="2" t="s">
        <v>20</v>
      </c>
      <c r="I745" s="2" t="s">
        <v>21</v>
      </c>
      <c r="J745" s="2" t="n">
        <v>14</v>
      </c>
      <c r="K745" s="2" t="s">
        <v>41</v>
      </c>
      <c r="L745" s="2" t="n">
        <v>632</v>
      </c>
      <c r="M745" s="2" t="n">
        <v>4</v>
      </c>
      <c r="N745" s="2" t="n">
        <v>-1</v>
      </c>
      <c r="O745" s="2" t="n">
        <v>0</v>
      </c>
      <c r="P745" s="2" t="s">
        <v>23</v>
      </c>
      <c r="Q745" s="2" t="s">
        <v>26</v>
      </c>
    </row>
    <row r="746" customFormat="false" ht="15" hidden="false" customHeight="false" outlineLevel="0" collapsed="false">
      <c r="A746" s="2" t="n">
        <v>33</v>
      </c>
      <c r="B746" s="2" t="s">
        <v>29</v>
      </c>
      <c r="C746" s="2" t="s">
        <v>18</v>
      </c>
      <c r="D746" s="2" t="s">
        <v>31</v>
      </c>
      <c r="E746" s="2" t="s">
        <v>20</v>
      </c>
      <c r="F746" s="2" t="n">
        <v>4020</v>
      </c>
      <c r="G746" s="2" t="s">
        <v>26</v>
      </c>
      <c r="H746" s="2" t="s">
        <v>26</v>
      </c>
      <c r="I746" s="2" t="s">
        <v>21</v>
      </c>
      <c r="J746" s="2" t="n">
        <v>15</v>
      </c>
      <c r="K746" s="2" t="s">
        <v>32</v>
      </c>
      <c r="L746" s="2" t="n">
        <v>251</v>
      </c>
      <c r="M746" s="2" t="n">
        <v>1</v>
      </c>
      <c r="N746" s="2" t="n">
        <v>-1</v>
      </c>
      <c r="O746" s="2" t="n">
        <v>0</v>
      </c>
      <c r="P746" s="2" t="s">
        <v>23</v>
      </c>
      <c r="Q746" s="2" t="s">
        <v>20</v>
      </c>
    </row>
    <row r="747" customFormat="false" ht="15" hidden="false" customHeight="false" outlineLevel="0" collapsed="false">
      <c r="A747" s="2" t="n">
        <v>53</v>
      </c>
      <c r="B747" s="2" t="s">
        <v>29</v>
      </c>
      <c r="C747" s="2" t="s">
        <v>18</v>
      </c>
      <c r="D747" s="2" t="s">
        <v>25</v>
      </c>
      <c r="E747" s="2" t="s">
        <v>20</v>
      </c>
      <c r="F747" s="2" t="n">
        <v>66</v>
      </c>
      <c r="G747" s="2" t="s">
        <v>20</v>
      </c>
      <c r="H747" s="2" t="s">
        <v>26</v>
      </c>
      <c r="I747" s="2" t="s">
        <v>49</v>
      </c>
      <c r="J747" s="2" t="n">
        <v>8</v>
      </c>
      <c r="K747" s="2" t="s">
        <v>44</v>
      </c>
      <c r="L747" s="2" t="n">
        <v>141</v>
      </c>
      <c r="M747" s="2" t="n">
        <v>1</v>
      </c>
      <c r="N747" s="2" t="n">
        <v>-1</v>
      </c>
      <c r="O747" s="2" t="n">
        <v>0</v>
      </c>
      <c r="P747" s="2" t="s">
        <v>23</v>
      </c>
      <c r="Q747" s="2" t="s">
        <v>20</v>
      </c>
    </row>
    <row r="748" customFormat="false" ht="15" hidden="false" customHeight="false" outlineLevel="0" collapsed="false">
      <c r="A748" s="2" t="n">
        <v>41</v>
      </c>
      <c r="B748" s="2" t="s">
        <v>38</v>
      </c>
      <c r="C748" s="2" t="s">
        <v>30</v>
      </c>
      <c r="D748" s="2" t="s">
        <v>25</v>
      </c>
      <c r="E748" s="2" t="s">
        <v>20</v>
      </c>
      <c r="F748" s="2" t="n">
        <v>-41</v>
      </c>
      <c r="G748" s="2" t="s">
        <v>26</v>
      </c>
      <c r="H748" s="2" t="s">
        <v>26</v>
      </c>
      <c r="I748" s="2" t="s">
        <v>21</v>
      </c>
      <c r="J748" s="2" t="n">
        <v>3</v>
      </c>
      <c r="K748" s="2" t="s">
        <v>32</v>
      </c>
      <c r="L748" s="2" t="n">
        <v>154</v>
      </c>
      <c r="M748" s="2" t="n">
        <v>1</v>
      </c>
      <c r="N748" s="2" t="n">
        <v>-1</v>
      </c>
      <c r="O748" s="2" t="n">
        <v>0</v>
      </c>
      <c r="P748" s="2" t="s">
        <v>23</v>
      </c>
      <c r="Q748" s="2" t="s">
        <v>20</v>
      </c>
    </row>
    <row r="749" customFormat="false" ht="15" hidden="false" customHeight="false" outlineLevel="0" collapsed="false">
      <c r="A749" s="2" t="n">
        <v>60</v>
      </c>
      <c r="B749" s="2" t="s">
        <v>34</v>
      </c>
      <c r="C749" s="2" t="s">
        <v>18</v>
      </c>
      <c r="D749" s="2" t="s">
        <v>25</v>
      </c>
      <c r="E749" s="2" t="s">
        <v>20</v>
      </c>
      <c r="F749" s="2" t="n">
        <v>322</v>
      </c>
      <c r="G749" s="2" t="s">
        <v>26</v>
      </c>
      <c r="H749" s="2" t="s">
        <v>20</v>
      </c>
      <c r="I749" s="2" t="s">
        <v>21</v>
      </c>
      <c r="J749" s="2" t="n">
        <v>7</v>
      </c>
      <c r="K749" s="2" t="s">
        <v>27</v>
      </c>
      <c r="L749" s="2" t="n">
        <v>63</v>
      </c>
      <c r="M749" s="2" t="n">
        <v>1</v>
      </c>
      <c r="N749" s="2" t="n">
        <v>-1</v>
      </c>
      <c r="O749" s="2" t="n">
        <v>0</v>
      </c>
      <c r="P749" s="2" t="s">
        <v>23</v>
      </c>
      <c r="Q749" s="2" t="s">
        <v>20</v>
      </c>
    </row>
    <row r="750" customFormat="false" ht="15" hidden="false" customHeight="false" outlineLevel="0" collapsed="false">
      <c r="A750" s="2" t="n">
        <v>35</v>
      </c>
      <c r="B750" s="2" t="s">
        <v>39</v>
      </c>
      <c r="C750" s="2" t="s">
        <v>18</v>
      </c>
      <c r="D750" s="2" t="s">
        <v>19</v>
      </c>
      <c r="E750" s="2" t="s">
        <v>20</v>
      </c>
      <c r="F750" s="2" t="n">
        <v>2643</v>
      </c>
      <c r="G750" s="2" t="s">
        <v>20</v>
      </c>
      <c r="H750" s="2" t="s">
        <v>26</v>
      </c>
      <c r="I750" s="2" t="s">
        <v>21</v>
      </c>
      <c r="J750" s="2" t="n">
        <v>8</v>
      </c>
      <c r="K750" s="2" t="s">
        <v>44</v>
      </c>
      <c r="L750" s="2" t="n">
        <v>259</v>
      </c>
      <c r="M750" s="2" t="n">
        <v>1</v>
      </c>
      <c r="N750" s="2" t="n">
        <v>-1</v>
      </c>
      <c r="O750" s="2" t="n">
        <v>0</v>
      </c>
      <c r="P750" s="2" t="s">
        <v>23</v>
      </c>
      <c r="Q750" s="2" t="s">
        <v>20</v>
      </c>
    </row>
    <row r="751" customFormat="false" ht="15" hidden="false" customHeight="false" outlineLevel="0" collapsed="false">
      <c r="A751" s="2" t="n">
        <v>43</v>
      </c>
      <c r="B751" s="2" t="s">
        <v>34</v>
      </c>
      <c r="C751" s="2" t="s">
        <v>45</v>
      </c>
      <c r="D751" s="2" t="s">
        <v>19</v>
      </c>
      <c r="E751" s="2" t="s">
        <v>20</v>
      </c>
      <c r="F751" s="2" t="n">
        <v>49</v>
      </c>
      <c r="G751" s="2" t="s">
        <v>26</v>
      </c>
      <c r="H751" s="2" t="s">
        <v>20</v>
      </c>
      <c r="I751" s="2" t="s">
        <v>23</v>
      </c>
      <c r="J751" s="2" t="n">
        <v>9</v>
      </c>
      <c r="K751" s="2" t="s">
        <v>27</v>
      </c>
      <c r="L751" s="2" t="n">
        <v>100</v>
      </c>
      <c r="M751" s="2" t="n">
        <v>1</v>
      </c>
      <c r="N751" s="2" t="n">
        <v>-1</v>
      </c>
      <c r="O751" s="2" t="n">
        <v>0</v>
      </c>
      <c r="P751" s="2" t="s">
        <v>23</v>
      </c>
      <c r="Q751" s="2" t="s">
        <v>20</v>
      </c>
    </row>
    <row r="752" customFormat="false" ht="15" hidden="false" customHeight="false" outlineLevel="0" collapsed="false">
      <c r="A752" s="2" t="n">
        <v>57</v>
      </c>
      <c r="B752" s="2" t="s">
        <v>40</v>
      </c>
      <c r="C752" s="2" t="s">
        <v>45</v>
      </c>
      <c r="D752" s="2" t="s">
        <v>19</v>
      </c>
      <c r="E752" s="2" t="s">
        <v>20</v>
      </c>
      <c r="F752" s="2" t="n">
        <v>1</v>
      </c>
      <c r="G752" s="2" t="s">
        <v>20</v>
      </c>
      <c r="H752" s="2" t="s">
        <v>20</v>
      </c>
      <c r="I752" s="2" t="s">
        <v>23</v>
      </c>
      <c r="J752" s="2" t="n">
        <v>15</v>
      </c>
      <c r="K752" s="2" t="s">
        <v>27</v>
      </c>
      <c r="L752" s="2" t="n">
        <v>17</v>
      </c>
      <c r="M752" s="2" t="n">
        <v>10</v>
      </c>
      <c r="N752" s="2" t="n">
        <v>-1</v>
      </c>
      <c r="O752" s="2" t="n">
        <v>0</v>
      </c>
      <c r="P752" s="2" t="s">
        <v>23</v>
      </c>
      <c r="Q752" s="2" t="s">
        <v>20</v>
      </c>
    </row>
    <row r="753" customFormat="false" ht="15" hidden="false" customHeight="false" outlineLevel="0" collapsed="false">
      <c r="A753" s="2" t="n">
        <v>46</v>
      </c>
      <c r="B753" s="2" t="s">
        <v>40</v>
      </c>
      <c r="C753" s="2" t="s">
        <v>18</v>
      </c>
      <c r="D753" s="2" t="s">
        <v>25</v>
      </c>
      <c r="E753" s="2" t="s">
        <v>20</v>
      </c>
      <c r="F753" s="2" t="n">
        <v>3098</v>
      </c>
      <c r="G753" s="2" t="s">
        <v>26</v>
      </c>
      <c r="H753" s="2" t="s">
        <v>20</v>
      </c>
      <c r="I753" s="2" t="s">
        <v>49</v>
      </c>
      <c r="J753" s="2" t="n">
        <v>21</v>
      </c>
      <c r="K753" s="2" t="s">
        <v>46</v>
      </c>
      <c r="L753" s="2" t="n">
        <v>192</v>
      </c>
      <c r="M753" s="2" t="n">
        <v>9</v>
      </c>
      <c r="N753" s="2" t="n">
        <v>-1</v>
      </c>
      <c r="O753" s="2" t="n">
        <v>0</v>
      </c>
      <c r="P753" s="2" t="s">
        <v>23</v>
      </c>
      <c r="Q753" s="2" t="s">
        <v>20</v>
      </c>
    </row>
    <row r="754" customFormat="false" ht="15" hidden="false" customHeight="false" outlineLevel="0" collapsed="false">
      <c r="A754" s="2" t="n">
        <v>31</v>
      </c>
      <c r="B754" s="2" t="s">
        <v>34</v>
      </c>
      <c r="C754" s="2" t="s">
        <v>18</v>
      </c>
      <c r="D754" s="2" t="s">
        <v>19</v>
      </c>
      <c r="E754" s="2" t="s">
        <v>20</v>
      </c>
      <c r="F754" s="2" t="n">
        <v>352</v>
      </c>
      <c r="G754" s="2" t="s">
        <v>26</v>
      </c>
      <c r="H754" s="2" t="s">
        <v>20</v>
      </c>
      <c r="I754" s="2" t="s">
        <v>23</v>
      </c>
      <c r="J754" s="2" t="n">
        <v>19</v>
      </c>
      <c r="K754" s="2" t="s">
        <v>27</v>
      </c>
      <c r="L754" s="2" t="n">
        <v>97</v>
      </c>
      <c r="M754" s="2" t="n">
        <v>9</v>
      </c>
      <c r="N754" s="2" t="n">
        <v>-1</v>
      </c>
      <c r="O754" s="2" t="n">
        <v>0</v>
      </c>
      <c r="P754" s="2" t="s">
        <v>23</v>
      </c>
      <c r="Q754" s="2" t="s">
        <v>20</v>
      </c>
    </row>
    <row r="755" customFormat="false" ht="15" hidden="false" customHeight="false" outlineLevel="0" collapsed="false">
      <c r="A755" s="2" t="n">
        <v>53</v>
      </c>
      <c r="B755" s="2" t="s">
        <v>38</v>
      </c>
      <c r="C755" s="2" t="s">
        <v>18</v>
      </c>
      <c r="D755" s="2" t="s">
        <v>25</v>
      </c>
      <c r="E755" s="2" t="s">
        <v>20</v>
      </c>
      <c r="F755" s="2" t="n">
        <v>65</v>
      </c>
      <c r="G755" s="2" t="s">
        <v>20</v>
      </c>
      <c r="H755" s="2" t="s">
        <v>20</v>
      </c>
      <c r="I755" s="2" t="s">
        <v>21</v>
      </c>
      <c r="J755" s="2" t="n">
        <v>25</v>
      </c>
      <c r="K755" s="2" t="s">
        <v>41</v>
      </c>
      <c r="L755" s="2" t="n">
        <v>41</v>
      </c>
      <c r="M755" s="2" t="n">
        <v>2</v>
      </c>
      <c r="N755" s="2" t="n">
        <v>-1</v>
      </c>
      <c r="O755" s="2" t="n">
        <v>0</v>
      </c>
      <c r="P755" s="2" t="s">
        <v>23</v>
      </c>
      <c r="Q755" s="2" t="s">
        <v>20</v>
      </c>
    </row>
    <row r="756" customFormat="false" ht="15" hidden="false" customHeight="false" outlineLevel="0" collapsed="false">
      <c r="A756" s="2" t="n">
        <v>35</v>
      </c>
      <c r="B756" s="2" t="s">
        <v>34</v>
      </c>
      <c r="C756" s="2" t="s">
        <v>18</v>
      </c>
      <c r="D756" s="2" t="s">
        <v>25</v>
      </c>
      <c r="E756" s="2" t="s">
        <v>20</v>
      </c>
      <c r="F756" s="2" t="n">
        <v>1949</v>
      </c>
      <c r="G756" s="2" t="s">
        <v>26</v>
      </c>
      <c r="H756" s="2" t="s">
        <v>20</v>
      </c>
      <c r="I756" s="2" t="s">
        <v>23</v>
      </c>
      <c r="J756" s="2" t="n">
        <v>2</v>
      </c>
      <c r="K756" s="2" t="s">
        <v>33</v>
      </c>
      <c r="L756" s="2" t="n">
        <v>200</v>
      </c>
      <c r="M756" s="2" t="n">
        <v>3</v>
      </c>
      <c r="N756" s="2" t="n">
        <v>-1</v>
      </c>
      <c r="O756" s="2" t="n">
        <v>0</v>
      </c>
      <c r="P756" s="2" t="s">
        <v>23</v>
      </c>
      <c r="Q756" s="2" t="s">
        <v>20</v>
      </c>
    </row>
    <row r="757" customFormat="false" ht="15" hidden="false" customHeight="false" outlineLevel="0" collapsed="false">
      <c r="A757" s="2" t="n">
        <v>32</v>
      </c>
      <c r="B757" s="2" t="s">
        <v>40</v>
      </c>
      <c r="C757" s="2" t="s">
        <v>30</v>
      </c>
      <c r="D757" s="2" t="s">
        <v>25</v>
      </c>
      <c r="E757" s="2" t="s">
        <v>20</v>
      </c>
      <c r="F757" s="2" t="n">
        <v>739</v>
      </c>
      <c r="G757" s="2" t="s">
        <v>26</v>
      </c>
      <c r="H757" s="2" t="s">
        <v>20</v>
      </c>
      <c r="I757" s="2" t="s">
        <v>21</v>
      </c>
      <c r="J757" s="2" t="n">
        <v>20</v>
      </c>
      <c r="K757" s="2" t="s">
        <v>46</v>
      </c>
      <c r="L757" s="2" t="n">
        <v>91</v>
      </c>
      <c r="M757" s="2" t="n">
        <v>3</v>
      </c>
      <c r="N757" s="2" t="n">
        <v>-1</v>
      </c>
      <c r="O757" s="2" t="n">
        <v>0</v>
      </c>
      <c r="P757" s="2" t="s">
        <v>23</v>
      </c>
      <c r="Q757" s="2" t="s">
        <v>20</v>
      </c>
    </row>
    <row r="758" customFormat="false" ht="15" hidden="false" customHeight="false" outlineLevel="0" collapsed="false">
      <c r="A758" s="2" t="n">
        <v>48</v>
      </c>
      <c r="B758" s="2" t="s">
        <v>29</v>
      </c>
      <c r="C758" s="2" t="s">
        <v>18</v>
      </c>
      <c r="D758" s="2" t="s">
        <v>31</v>
      </c>
      <c r="E758" s="2" t="s">
        <v>20</v>
      </c>
      <c r="F758" s="2" t="n">
        <v>1167</v>
      </c>
      <c r="G758" s="2" t="s">
        <v>26</v>
      </c>
      <c r="H758" s="2" t="s">
        <v>26</v>
      </c>
      <c r="I758" s="2" t="s">
        <v>21</v>
      </c>
      <c r="J758" s="2" t="n">
        <v>1</v>
      </c>
      <c r="K758" s="2" t="s">
        <v>33</v>
      </c>
      <c r="L758" s="2" t="n">
        <v>264</v>
      </c>
      <c r="M758" s="2" t="n">
        <v>1</v>
      </c>
      <c r="N758" s="2" t="n">
        <v>-1</v>
      </c>
      <c r="O758" s="2" t="n">
        <v>0</v>
      </c>
      <c r="P758" s="2" t="s">
        <v>23</v>
      </c>
      <c r="Q758" s="2" t="s">
        <v>26</v>
      </c>
    </row>
    <row r="759" customFormat="false" ht="15" hidden="false" customHeight="false" outlineLevel="0" collapsed="false">
      <c r="A759" s="2" t="n">
        <v>50</v>
      </c>
      <c r="B759" s="2" t="s">
        <v>40</v>
      </c>
      <c r="C759" s="2" t="s">
        <v>18</v>
      </c>
      <c r="D759" s="2" t="s">
        <v>25</v>
      </c>
      <c r="E759" s="2" t="s">
        <v>20</v>
      </c>
      <c r="F759" s="2" t="n">
        <v>231</v>
      </c>
      <c r="G759" s="2" t="s">
        <v>26</v>
      </c>
      <c r="H759" s="2" t="s">
        <v>20</v>
      </c>
      <c r="I759" s="2" t="s">
        <v>21</v>
      </c>
      <c r="J759" s="2" t="n">
        <v>21</v>
      </c>
      <c r="K759" s="2" t="s">
        <v>46</v>
      </c>
      <c r="L759" s="2" t="n">
        <v>397</v>
      </c>
      <c r="M759" s="2" t="n">
        <v>2</v>
      </c>
      <c r="N759" s="2" t="n">
        <v>-1</v>
      </c>
      <c r="O759" s="2" t="n">
        <v>0</v>
      </c>
      <c r="P759" s="2" t="s">
        <v>23</v>
      </c>
      <c r="Q759" s="2" t="s">
        <v>20</v>
      </c>
    </row>
    <row r="760" customFormat="false" ht="15" hidden="false" customHeight="false" outlineLevel="0" collapsed="false">
      <c r="A760" s="2" t="n">
        <v>40</v>
      </c>
      <c r="B760" s="2" t="s">
        <v>34</v>
      </c>
      <c r="C760" s="2" t="s">
        <v>18</v>
      </c>
      <c r="D760" s="2" t="s">
        <v>19</v>
      </c>
      <c r="E760" s="2" t="s">
        <v>20</v>
      </c>
      <c r="F760" s="2" t="n">
        <v>1136</v>
      </c>
      <c r="G760" s="2" t="s">
        <v>26</v>
      </c>
      <c r="H760" s="2" t="s">
        <v>20</v>
      </c>
      <c r="I760" s="2" t="s">
        <v>23</v>
      </c>
      <c r="J760" s="2" t="n">
        <v>21</v>
      </c>
      <c r="K760" s="2" t="s">
        <v>27</v>
      </c>
      <c r="L760" s="2" t="n">
        <v>86</v>
      </c>
      <c r="M760" s="2" t="n">
        <v>1</v>
      </c>
      <c r="N760" s="2" t="n">
        <v>-1</v>
      </c>
      <c r="O760" s="2" t="n">
        <v>0</v>
      </c>
      <c r="P760" s="2" t="s">
        <v>23</v>
      </c>
      <c r="Q760" s="2" t="s">
        <v>20</v>
      </c>
    </row>
    <row r="761" customFormat="false" ht="15" hidden="false" customHeight="false" outlineLevel="0" collapsed="false">
      <c r="A761" s="2" t="n">
        <v>42</v>
      </c>
      <c r="B761" s="2" t="s">
        <v>39</v>
      </c>
      <c r="C761" s="2" t="s">
        <v>18</v>
      </c>
      <c r="D761" s="2" t="s">
        <v>31</v>
      </c>
      <c r="E761" s="2" t="s">
        <v>20</v>
      </c>
      <c r="F761" s="2" t="n">
        <v>233</v>
      </c>
      <c r="G761" s="2" t="s">
        <v>20</v>
      </c>
      <c r="H761" s="2" t="s">
        <v>20</v>
      </c>
      <c r="I761" s="2" t="s">
        <v>21</v>
      </c>
      <c r="J761" s="2" t="n">
        <v>5</v>
      </c>
      <c r="K761" s="2" t="s">
        <v>35</v>
      </c>
      <c r="L761" s="2" t="n">
        <v>446</v>
      </c>
      <c r="M761" s="2" t="n">
        <v>1</v>
      </c>
      <c r="N761" s="2" t="n">
        <v>-1</v>
      </c>
      <c r="O761" s="2" t="n">
        <v>0</v>
      </c>
      <c r="P761" s="2" t="s">
        <v>23</v>
      </c>
      <c r="Q761" s="2" t="s">
        <v>20</v>
      </c>
    </row>
    <row r="762" customFormat="false" ht="15" hidden="false" customHeight="false" outlineLevel="0" collapsed="false">
      <c r="A762" s="2" t="n">
        <v>59</v>
      </c>
      <c r="B762" s="2" t="s">
        <v>40</v>
      </c>
      <c r="C762" s="2" t="s">
        <v>18</v>
      </c>
      <c r="D762" s="2" t="s">
        <v>25</v>
      </c>
      <c r="E762" s="2" t="s">
        <v>20</v>
      </c>
      <c r="F762" s="2" t="n">
        <v>817</v>
      </c>
      <c r="G762" s="2" t="s">
        <v>20</v>
      </c>
      <c r="H762" s="2" t="s">
        <v>20</v>
      </c>
      <c r="I762" s="2" t="s">
        <v>21</v>
      </c>
      <c r="J762" s="2" t="n">
        <v>9</v>
      </c>
      <c r="K762" s="2" t="s">
        <v>32</v>
      </c>
      <c r="L762" s="2" t="n">
        <v>304</v>
      </c>
      <c r="M762" s="2" t="n">
        <v>1</v>
      </c>
      <c r="N762" s="2" t="n">
        <v>-1</v>
      </c>
      <c r="O762" s="2" t="n">
        <v>0</v>
      </c>
      <c r="P762" s="2" t="s">
        <v>23</v>
      </c>
      <c r="Q762" s="2" t="s">
        <v>20</v>
      </c>
    </row>
    <row r="763" customFormat="false" ht="15" hidden="false" customHeight="false" outlineLevel="0" collapsed="false">
      <c r="A763" s="2" t="n">
        <v>27</v>
      </c>
      <c r="B763" s="2" t="s">
        <v>34</v>
      </c>
      <c r="C763" s="2" t="s">
        <v>30</v>
      </c>
      <c r="D763" s="2" t="s">
        <v>19</v>
      </c>
      <c r="E763" s="2" t="s">
        <v>20</v>
      </c>
      <c r="F763" s="2" t="n">
        <v>1128</v>
      </c>
      <c r="G763" s="2" t="s">
        <v>26</v>
      </c>
      <c r="H763" s="2" t="s">
        <v>20</v>
      </c>
      <c r="I763" s="2" t="s">
        <v>23</v>
      </c>
      <c r="J763" s="2" t="n">
        <v>30</v>
      </c>
      <c r="K763" s="2" t="s">
        <v>33</v>
      </c>
      <c r="L763" s="2" t="n">
        <v>88</v>
      </c>
      <c r="M763" s="2" t="n">
        <v>4</v>
      </c>
      <c r="N763" s="2" t="n">
        <v>-1</v>
      </c>
      <c r="O763" s="2" t="n">
        <v>0</v>
      </c>
      <c r="P763" s="2" t="s">
        <v>23</v>
      </c>
      <c r="Q763" s="2" t="s">
        <v>20</v>
      </c>
    </row>
    <row r="764" customFormat="false" ht="15" hidden="false" customHeight="false" outlineLevel="0" collapsed="false">
      <c r="A764" s="2" t="n">
        <v>32</v>
      </c>
      <c r="B764" s="2" t="s">
        <v>29</v>
      </c>
      <c r="C764" s="2" t="s">
        <v>30</v>
      </c>
      <c r="D764" s="2" t="s">
        <v>31</v>
      </c>
      <c r="E764" s="2" t="s">
        <v>20</v>
      </c>
      <c r="F764" s="2" t="n">
        <v>1831</v>
      </c>
      <c r="G764" s="2" t="s">
        <v>26</v>
      </c>
      <c r="H764" s="2" t="s">
        <v>20</v>
      </c>
      <c r="I764" s="2" t="s">
        <v>21</v>
      </c>
      <c r="J764" s="2" t="n">
        <v>20</v>
      </c>
      <c r="K764" s="2" t="s">
        <v>32</v>
      </c>
      <c r="L764" s="2" t="n">
        <v>86</v>
      </c>
      <c r="M764" s="2" t="n">
        <v>2</v>
      </c>
      <c r="N764" s="2" t="n">
        <v>-1</v>
      </c>
      <c r="O764" s="2" t="n">
        <v>0</v>
      </c>
      <c r="P764" s="2" t="s">
        <v>23</v>
      </c>
      <c r="Q764" s="2" t="s">
        <v>20</v>
      </c>
    </row>
    <row r="765" customFormat="false" ht="15" hidden="false" customHeight="false" outlineLevel="0" collapsed="false">
      <c r="A765" s="2" t="n">
        <v>35</v>
      </c>
      <c r="B765" s="2" t="s">
        <v>38</v>
      </c>
      <c r="C765" s="2" t="s">
        <v>30</v>
      </c>
      <c r="D765" s="2" t="s">
        <v>25</v>
      </c>
      <c r="E765" s="2" t="s">
        <v>20</v>
      </c>
      <c r="F765" s="2" t="n">
        <v>450</v>
      </c>
      <c r="G765" s="2" t="s">
        <v>26</v>
      </c>
      <c r="H765" s="2" t="s">
        <v>20</v>
      </c>
      <c r="I765" s="2" t="s">
        <v>21</v>
      </c>
      <c r="J765" s="2" t="n">
        <v>13</v>
      </c>
      <c r="K765" s="2" t="s">
        <v>27</v>
      </c>
      <c r="L765" s="2" t="n">
        <v>63</v>
      </c>
      <c r="M765" s="2" t="n">
        <v>1</v>
      </c>
      <c r="N765" s="2" t="n">
        <v>-1</v>
      </c>
      <c r="O765" s="2" t="n">
        <v>0</v>
      </c>
      <c r="P765" s="2" t="s">
        <v>23</v>
      </c>
      <c r="Q765" s="2" t="s">
        <v>20</v>
      </c>
    </row>
    <row r="766" customFormat="false" ht="15" hidden="false" customHeight="false" outlineLevel="0" collapsed="false">
      <c r="A766" s="2" t="n">
        <v>28</v>
      </c>
      <c r="B766" s="2" t="s">
        <v>24</v>
      </c>
      <c r="C766" s="2" t="s">
        <v>18</v>
      </c>
      <c r="D766" s="2" t="s">
        <v>25</v>
      </c>
      <c r="E766" s="2" t="s">
        <v>20</v>
      </c>
      <c r="F766" s="2" t="n">
        <v>0</v>
      </c>
      <c r="G766" s="2" t="s">
        <v>26</v>
      </c>
      <c r="H766" s="2" t="s">
        <v>20</v>
      </c>
      <c r="I766" s="2" t="s">
        <v>21</v>
      </c>
      <c r="J766" s="2" t="n">
        <v>5</v>
      </c>
      <c r="K766" s="2" t="s">
        <v>27</v>
      </c>
      <c r="L766" s="2" t="n">
        <v>335</v>
      </c>
      <c r="M766" s="2" t="n">
        <v>2</v>
      </c>
      <c r="N766" s="2" t="n">
        <v>281</v>
      </c>
      <c r="O766" s="2" t="n">
        <v>8</v>
      </c>
      <c r="P766" s="2" t="s">
        <v>28</v>
      </c>
      <c r="Q766" s="2" t="s">
        <v>20</v>
      </c>
    </row>
    <row r="767" customFormat="false" ht="15" hidden="false" customHeight="false" outlineLevel="0" collapsed="false">
      <c r="A767" s="2" t="n">
        <v>37</v>
      </c>
      <c r="B767" s="2" t="s">
        <v>29</v>
      </c>
      <c r="C767" s="2" t="s">
        <v>45</v>
      </c>
      <c r="D767" s="2" t="s">
        <v>25</v>
      </c>
      <c r="E767" s="2" t="s">
        <v>20</v>
      </c>
      <c r="F767" s="2" t="n">
        <v>414</v>
      </c>
      <c r="G767" s="2" t="s">
        <v>20</v>
      </c>
      <c r="H767" s="2" t="s">
        <v>20</v>
      </c>
      <c r="I767" s="2" t="s">
        <v>21</v>
      </c>
      <c r="J767" s="2" t="n">
        <v>29</v>
      </c>
      <c r="K767" s="2" t="s">
        <v>43</v>
      </c>
      <c r="L767" s="2" t="n">
        <v>293</v>
      </c>
      <c r="M767" s="2" t="n">
        <v>2</v>
      </c>
      <c r="N767" s="2" t="n">
        <v>162</v>
      </c>
      <c r="O767" s="2" t="n">
        <v>4</v>
      </c>
      <c r="P767" s="2" t="s">
        <v>28</v>
      </c>
      <c r="Q767" s="2" t="s">
        <v>20</v>
      </c>
    </row>
    <row r="768" customFormat="false" ht="15" hidden="false" customHeight="false" outlineLevel="0" collapsed="false">
      <c r="A768" s="2" t="n">
        <v>57</v>
      </c>
      <c r="B768" s="2" t="s">
        <v>29</v>
      </c>
      <c r="C768" s="2" t="s">
        <v>18</v>
      </c>
      <c r="D768" s="2" t="s">
        <v>19</v>
      </c>
      <c r="E768" s="2" t="s">
        <v>20</v>
      </c>
      <c r="F768" s="2" t="n">
        <v>1052</v>
      </c>
      <c r="G768" s="2" t="s">
        <v>26</v>
      </c>
      <c r="H768" s="2" t="s">
        <v>20</v>
      </c>
      <c r="I768" s="2" t="s">
        <v>23</v>
      </c>
      <c r="J768" s="2" t="n">
        <v>13</v>
      </c>
      <c r="K768" s="2" t="s">
        <v>27</v>
      </c>
      <c r="L768" s="2" t="n">
        <v>227</v>
      </c>
      <c r="M768" s="2" t="n">
        <v>4</v>
      </c>
      <c r="N768" s="2" t="n">
        <v>-1</v>
      </c>
      <c r="O768" s="2" t="n">
        <v>0</v>
      </c>
      <c r="P768" s="2" t="s">
        <v>23</v>
      </c>
      <c r="Q768" s="2" t="s">
        <v>20</v>
      </c>
    </row>
    <row r="769" customFormat="false" ht="15" hidden="false" customHeight="false" outlineLevel="0" collapsed="false">
      <c r="A769" s="2" t="n">
        <v>42</v>
      </c>
      <c r="B769" s="2" t="s">
        <v>40</v>
      </c>
      <c r="C769" s="2" t="s">
        <v>30</v>
      </c>
      <c r="D769" s="2" t="s">
        <v>25</v>
      </c>
      <c r="E769" s="2" t="s">
        <v>20</v>
      </c>
      <c r="F769" s="2" t="n">
        <v>1022</v>
      </c>
      <c r="G769" s="2" t="s">
        <v>26</v>
      </c>
      <c r="H769" s="2" t="s">
        <v>20</v>
      </c>
      <c r="I769" s="2" t="s">
        <v>23</v>
      </c>
      <c r="J769" s="2" t="n">
        <v>5</v>
      </c>
      <c r="K769" s="2" t="s">
        <v>27</v>
      </c>
      <c r="L769" s="2" t="n">
        <v>146</v>
      </c>
      <c r="M769" s="2" t="n">
        <v>2</v>
      </c>
      <c r="N769" s="2" t="n">
        <v>-1</v>
      </c>
      <c r="O769" s="2" t="n">
        <v>0</v>
      </c>
      <c r="P769" s="2" t="s">
        <v>23</v>
      </c>
      <c r="Q769" s="2" t="s">
        <v>20</v>
      </c>
    </row>
    <row r="770" customFormat="false" ht="15" hidden="false" customHeight="false" outlineLevel="0" collapsed="false">
      <c r="A770" s="2" t="n">
        <v>55</v>
      </c>
      <c r="B770" s="2" t="s">
        <v>40</v>
      </c>
      <c r="C770" s="2" t="s">
        <v>18</v>
      </c>
      <c r="D770" s="2" t="s">
        <v>19</v>
      </c>
      <c r="E770" s="2" t="s">
        <v>20</v>
      </c>
      <c r="F770" s="2" t="n">
        <v>343</v>
      </c>
      <c r="G770" s="2" t="s">
        <v>26</v>
      </c>
      <c r="H770" s="2" t="s">
        <v>20</v>
      </c>
      <c r="I770" s="2" t="s">
        <v>21</v>
      </c>
      <c r="J770" s="2" t="n">
        <v>14</v>
      </c>
      <c r="K770" s="2" t="s">
        <v>44</v>
      </c>
      <c r="L770" s="2" t="n">
        <v>276</v>
      </c>
      <c r="M770" s="2" t="n">
        <v>3</v>
      </c>
      <c r="N770" s="2" t="n">
        <v>-1</v>
      </c>
      <c r="O770" s="2" t="n">
        <v>0</v>
      </c>
      <c r="P770" s="2" t="s">
        <v>23</v>
      </c>
      <c r="Q770" s="2" t="s">
        <v>20</v>
      </c>
    </row>
    <row r="771" customFormat="false" ht="15" hidden="false" customHeight="false" outlineLevel="0" collapsed="false">
      <c r="A771" s="2" t="n">
        <v>52</v>
      </c>
      <c r="B771" s="2" t="s">
        <v>29</v>
      </c>
      <c r="C771" s="2" t="s">
        <v>18</v>
      </c>
      <c r="D771" s="2" t="s">
        <v>31</v>
      </c>
      <c r="E771" s="2" t="s">
        <v>20</v>
      </c>
      <c r="F771" s="2" t="n">
        <v>1944</v>
      </c>
      <c r="G771" s="2" t="s">
        <v>26</v>
      </c>
      <c r="H771" s="2" t="s">
        <v>20</v>
      </c>
      <c r="I771" s="2" t="s">
        <v>21</v>
      </c>
      <c r="J771" s="2" t="n">
        <v>15</v>
      </c>
      <c r="K771" s="2" t="s">
        <v>32</v>
      </c>
      <c r="L771" s="2" t="n">
        <v>238</v>
      </c>
      <c r="M771" s="2" t="n">
        <v>3</v>
      </c>
      <c r="N771" s="2" t="n">
        <v>323</v>
      </c>
      <c r="O771" s="2" t="n">
        <v>2</v>
      </c>
      <c r="P771" s="2" t="s">
        <v>28</v>
      </c>
      <c r="Q771" s="2" t="s">
        <v>20</v>
      </c>
    </row>
    <row r="772" customFormat="false" ht="15" hidden="false" customHeight="false" outlineLevel="0" collapsed="false">
      <c r="A772" s="2" t="n">
        <v>26</v>
      </c>
      <c r="B772" s="2" t="s">
        <v>34</v>
      </c>
      <c r="C772" s="2" t="s">
        <v>30</v>
      </c>
      <c r="D772" s="2" t="s">
        <v>25</v>
      </c>
      <c r="E772" s="2" t="s">
        <v>20</v>
      </c>
      <c r="F772" s="2" t="n">
        <v>-32</v>
      </c>
      <c r="G772" s="2" t="s">
        <v>26</v>
      </c>
      <c r="H772" s="2" t="s">
        <v>26</v>
      </c>
      <c r="I772" s="2" t="s">
        <v>21</v>
      </c>
      <c r="J772" s="2" t="n">
        <v>31</v>
      </c>
      <c r="K772" s="2" t="s">
        <v>44</v>
      </c>
      <c r="L772" s="2" t="n">
        <v>14</v>
      </c>
      <c r="M772" s="2" t="n">
        <v>6</v>
      </c>
      <c r="N772" s="2" t="n">
        <v>-1</v>
      </c>
      <c r="O772" s="2" t="n">
        <v>0</v>
      </c>
      <c r="P772" s="2" t="s">
        <v>23</v>
      </c>
      <c r="Q772" s="2" t="s">
        <v>20</v>
      </c>
    </row>
    <row r="773" customFormat="false" ht="15" hidden="false" customHeight="false" outlineLevel="0" collapsed="false">
      <c r="A773" s="2" t="n">
        <v>52</v>
      </c>
      <c r="B773" s="2" t="s">
        <v>38</v>
      </c>
      <c r="C773" s="2" t="s">
        <v>18</v>
      </c>
      <c r="D773" s="2" t="s">
        <v>25</v>
      </c>
      <c r="E773" s="2" t="s">
        <v>20</v>
      </c>
      <c r="F773" s="2" t="n">
        <v>1781</v>
      </c>
      <c r="G773" s="2" t="s">
        <v>26</v>
      </c>
      <c r="H773" s="2" t="s">
        <v>20</v>
      </c>
      <c r="I773" s="2" t="s">
        <v>23</v>
      </c>
      <c r="J773" s="2" t="n">
        <v>19</v>
      </c>
      <c r="K773" s="2" t="s">
        <v>27</v>
      </c>
      <c r="L773" s="2" t="n">
        <v>144</v>
      </c>
      <c r="M773" s="2" t="n">
        <v>2</v>
      </c>
      <c r="N773" s="2" t="n">
        <v>-1</v>
      </c>
      <c r="O773" s="2" t="n">
        <v>0</v>
      </c>
      <c r="P773" s="2" t="s">
        <v>23</v>
      </c>
      <c r="Q773" s="2" t="s">
        <v>20</v>
      </c>
    </row>
    <row r="774" customFormat="false" ht="15" hidden="false" customHeight="false" outlineLevel="0" collapsed="false">
      <c r="A774" s="2" t="n">
        <v>26</v>
      </c>
      <c r="B774" s="2" t="s">
        <v>29</v>
      </c>
      <c r="C774" s="2" t="s">
        <v>30</v>
      </c>
      <c r="D774" s="2" t="s">
        <v>31</v>
      </c>
      <c r="E774" s="2" t="s">
        <v>20</v>
      </c>
      <c r="F774" s="2" t="n">
        <v>350</v>
      </c>
      <c r="G774" s="2" t="s">
        <v>20</v>
      </c>
      <c r="H774" s="2" t="s">
        <v>20</v>
      </c>
      <c r="I774" s="2" t="s">
        <v>21</v>
      </c>
      <c r="J774" s="2" t="n">
        <v>8</v>
      </c>
      <c r="K774" s="2" t="s">
        <v>44</v>
      </c>
      <c r="L774" s="2" t="n">
        <v>367</v>
      </c>
      <c r="M774" s="2" t="n">
        <v>1</v>
      </c>
      <c r="N774" s="2" t="n">
        <v>-1</v>
      </c>
      <c r="O774" s="2" t="n">
        <v>0</v>
      </c>
      <c r="P774" s="2" t="s">
        <v>23</v>
      </c>
      <c r="Q774" s="2" t="s">
        <v>20</v>
      </c>
    </row>
    <row r="775" customFormat="false" ht="15" hidden="false" customHeight="false" outlineLevel="0" collapsed="false">
      <c r="A775" s="2" t="n">
        <v>33</v>
      </c>
      <c r="B775" s="2" t="s">
        <v>17</v>
      </c>
      <c r="C775" s="2" t="s">
        <v>18</v>
      </c>
      <c r="D775" s="2" t="s">
        <v>25</v>
      </c>
      <c r="E775" s="2" t="s">
        <v>20</v>
      </c>
      <c r="F775" s="2" t="n">
        <v>2</v>
      </c>
      <c r="G775" s="2" t="s">
        <v>26</v>
      </c>
      <c r="H775" s="2" t="s">
        <v>20</v>
      </c>
      <c r="I775" s="2" t="s">
        <v>21</v>
      </c>
      <c r="J775" s="2" t="n">
        <v>16</v>
      </c>
      <c r="K775" s="2" t="s">
        <v>44</v>
      </c>
      <c r="L775" s="2" t="n">
        <v>132</v>
      </c>
      <c r="M775" s="2" t="n">
        <v>1</v>
      </c>
      <c r="N775" s="2" t="n">
        <v>-1</v>
      </c>
      <c r="O775" s="2" t="n">
        <v>0</v>
      </c>
      <c r="P775" s="2" t="s">
        <v>23</v>
      </c>
      <c r="Q775" s="2" t="s">
        <v>20</v>
      </c>
    </row>
    <row r="776" customFormat="false" ht="15" hidden="false" customHeight="false" outlineLevel="0" collapsed="false">
      <c r="A776" s="2" t="n">
        <v>24</v>
      </c>
      <c r="B776" s="2" t="s">
        <v>34</v>
      </c>
      <c r="C776" s="2" t="s">
        <v>30</v>
      </c>
      <c r="D776" s="2" t="s">
        <v>19</v>
      </c>
      <c r="E776" s="2" t="s">
        <v>20</v>
      </c>
      <c r="F776" s="2" t="n">
        <v>111</v>
      </c>
      <c r="G776" s="2" t="s">
        <v>26</v>
      </c>
      <c r="H776" s="2" t="s">
        <v>26</v>
      </c>
      <c r="I776" s="2" t="s">
        <v>23</v>
      </c>
      <c r="J776" s="2" t="n">
        <v>27</v>
      </c>
      <c r="K776" s="2" t="s">
        <v>27</v>
      </c>
      <c r="L776" s="2" t="n">
        <v>42</v>
      </c>
      <c r="M776" s="2" t="n">
        <v>4</v>
      </c>
      <c r="N776" s="2" t="n">
        <v>-1</v>
      </c>
      <c r="O776" s="2" t="n">
        <v>0</v>
      </c>
      <c r="P776" s="2" t="s">
        <v>23</v>
      </c>
      <c r="Q776" s="2" t="s">
        <v>20</v>
      </c>
    </row>
    <row r="777" customFormat="false" ht="15" hidden="false" customHeight="false" outlineLevel="0" collapsed="false">
      <c r="A777" s="2" t="n">
        <v>37</v>
      </c>
      <c r="B777" s="2" t="s">
        <v>29</v>
      </c>
      <c r="C777" s="2" t="s">
        <v>45</v>
      </c>
      <c r="D777" s="2" t="s">
        <v>31</v>
      </c>
      <c r="E777" s="2" t="s">
        <v>20</v>
      </c>
      <c r="F777" s="2" t="n">
        <v>168</v>
      </c>
      <c r="G777" s="2" t="s">
        <v>26</v>
      </c>
      <c r="H777" s="2" t="s">
        <v>20</v>
      </c>
      <c r="I777" s="2" t="s">
        <v>23</v>
      </c>
      <c r="J777" s="2" t="n">
        <v>5</v>
      </c>
      <c r="K777" s="2" t="s">
        <v>33</v>
      </c>
      <c r="L777" s="2" t="n">
        <v>227</v>
      </c>
      <c r="M777" s="2" t="n">
        <v>1</v>
      </c>
      <c r="N777" s="2" t="n">
        <v>-1</v>
      </c>
      <c r="O777" s="2" t="n">
        <v>0</v>
      </c>
      <c r="P777" s="2" t="s">
        <v>23</v>
      </c>
      <c r="Q777" s="2" t="s">
        <v>20</v>
      </c>
    </row>
    <row r="778" customFormat="false" ht="15" hidden="false" customHeight="false" outlineLevel="0" collapsed="false">
      <c r="A778" s="2" t="n">
        <v>28</v>
      </c>
      <c r="B778" s="2" t="s">
        <v>38</v>
      </c>
      <c r="C778" s="2" t="s">
        <v>30</v>
      </c>
      <c r="D778" s="2" t="s">
        <v>25</v>
      </c>
      <c r="E778" s="2" t="s">
        <v>20</v>
      </c>
      <c r="F778" s="2" t="n">
        <v>3</v>
      </c>
      <c r="G778" s="2" t="s">
        <v>20</v>
      </c>
      <c r="H778" s="2" t="s">
        <v>20</v>
      </c>
      <c r="I778" s="2" t="s">
        <v>49</v>
      </c>
      <c r="J778" s="2" t="n">
        <v>18</v>
      </c>
      <c r="K778" s="2" t="s">
        <v>27</v>
      </c>
      <c r="L778" s="2" t="n">
        <v>40</v>
      </c>
      <c r="M778" s="2" t="n">
        <v>8</v>
      </c>
      <c r="N778" s="2" t="n">
        <v>349</v>
      </c>
      <c r="O778" s="2" t="n">
        <v>6</v>
      </c>
      <c r="P778" s="2" t="s">
        <v>28</v>
      </c>
      <c r="Q778" s="2" t="s">
        <v>20</v>
      </c>
    </row>
    <row r="779" customFormat="false" ht="15" hidden="false" customHeight="false" outlineLevel="0" collapsed="false">
      <c r="A779" s="2" t="n">
        <v>30</v>
      </c>
      <c r="B779" s="2" t="s">
        <v>38</v>
      </c>
      <c r="C779" s="2" t="s">
        <v>30</v>
      </c>
      <c r="D779" s="2" t="s">
        <v>25</v>
      </c>
      <c r="E779" s="2" t="s">
        <v>20</v>
      </c>
      <c r="F779" s="2" t="n">
        <v>102</v>
      </c>
      <c r="G779" s="2" t="s">
        <v>26</v>
      </c>
      <c r="H779" s="2" t="s">
        <v>20</v>
      </c>
      <c r="I779" s="2" t="s">
        <v>23</v>
      </c>
      <c r="J779" s="2" t="n">
        <v>7</v>
      </c>
      <c r="K779" s="2" t="s">
        <v>27</v>
      </c>
      <c r="L779" s="2" t="n">
        <v>614</v>
      </c>
      <c r="M779" s="2" t="n">
        <v>2</v>
      </c>
      <c r="N779" s="2" t="n">
        <v>-1</v>
      </c>
      <c r="O779" s="2" t="n">
        <v>0</v>
      </c>
      <c r="P779" s="2" t="s">
        <v>23</v>
      </c>
      <c r="Q779" s="2" t="s">
        <v>20</v>
      </c>
    </row>
    <row r="780" customFormat="false" ht="15" hidden="false" customHeight="false" outlineLevel="0" collapsed="false">
      <c r="A780" s="2" t="n">
        <v>33</v>
      </c>
      <c r="B780" s="2" t="s">
        <v>34</v>
      </c>
      <c r="C780" s="2" t="s">
        <v>18</v>
      </c>
      <c r="D780" s="2" t="s">
        <v>19</v>
      </c>
      <c r="E780" s="2" t="s">
        <v>20</v>
      </c>
      <c r="F780" s="2" t="n">
        <v>0</v>
      </c>
      <c r="G780" s="2" t="s">
        <v>26</v>
      </c>
      <c r="H780" s="2" t="s">
        <v>20</v>
      </c>
      <c r="I780" s="2" t="s">
        <v>23</v>
      </c>
      <c r="J780" s="2" t="n">
        <v>15</v>
      </c>
      <c r="K780" s="2" t="s">
        <v>27</v>
      </c>
      <c r="L780" s="2" t="n">
        <v>270</v>
      </c>
      <c r="M780" s="2" t="n">
        <v>1</v>
      </c>
      <c r="N780" s="2" t="n">
        <v>-1</v>
      </c>
      <c r="O780" s="2" t="n">
        <v>0</v>
      </c>
      <c r="P780" s="2" t="s">
        <v>23</v>
      </c>
      <c r="Q780" s="2" t="s">
        <v>20</v>
      </c>
    </row>
    <row r="781" customFormat="false" ht="15" hidden="false" customHeight="false" outlineLevel="0" collapsed="false">
      <c r="A781" s="2" t="n">
        <v>55</v>
      </c>
      <c r="B781" s="2" t="s">
        <v>23</v>
      </c>
      <c r="C781" s="2" t="s">
        <v>18</v>
      </c>
      <c r="D781" s="2" t="s">
        <v>19</v>
      </c>
      <c r="E781" s="2" t="s">
        <v>20</v>
      </c>
      <c r="F781" s="2" t="n">
        <v>159</v>
      </c>
      <c r="G781" s="2" t="s">
        <v>20</v>
      </c>
      <c r="H781" s="2" t="s">
        <v>20</v>
      </c>
      <c r="I781" s="2" t="s">
        <v>23</v>
      </c>
      <c r="J781" s="2" t="n">
        <v>4</v>
      </c>
      <c r="K781" s="2" t="s">
        <v>51</v>
      </c>
      <c r="L781" s="2" t="n">
        <v>15</v>
      </c>
      <c r="M781" s="2" t="n">
        <v>1</v>
      </c>
      <c r="N781" s="2" t="n">
        <v>-1</v>
      </c>
      <c r="O781" s="2" t="n">
        <v>0</v>
      </c>
      <c r="P781" s="2" t="s">
        <v>23</v>
      </c>
      <c r="Q781" s="2" t="s">
        <v>20</v>
      </c>
    </row>
    <row r="782" customFormat="false" ht="15" hidden="false" customHeight="false" outlineLevel="0" collapsed="false">
      <c r="A782" s="2" t="n">
        <v>33</v>
      </c>
      <c r="B782" s="2" t="s">
        <v>34</v>
      </c>
      <c r="C782" s="2" t="s">
        <v>18</v>
      </c>
      <c r="D782" s="2" t="s">
        <v>25</v>
      </c>
      <c r="E782" s="2" t="s">
        <v>20</v>
      </c>
      <c r="F782" s="2" t="n">
        <v>1134</v>
      </c>
      <c r="G782" s="2" t="s">
        <v>26</v>
      </c>
      <c r="H782" s="2" t="s">
        <v>20</v>
      </c>
      <c r="I782" s="2" t="s">
        <v>23</v>
      </c>
      <c r="J782" s="2" t="n">
        <v>23</v>
      </c>
      <c r="K782" s="2" t="s">
        <v>27</v>
      </c>
      <c r="L782" s="2" t="n">
        <v>304</v>
      </c>
      <c r="M782" s="2" t="n">
        <v>2</v>
      </c>
      <c r="N782" s="2" t="n">
        <v>-1</v>
      </c>
      <c r="O782" s="2" t="n">
        <v>0</v>
      </c>
      <c r="P782" s="2" t="s">
        <v>23</v>
      </c>
      <c r="Q782" s="2" t="s">
        <v>20</v>
      </c>
    </row>
    <row r="783" customFormat="false" ht="15" hidden="false" customHeight="false" outlineLevel="0" collapsed="false">
      <c r="A783" s="2" t="n">
        <v>42</v>
      </c>
      <c r="B783" s="2" t="s">
        <v>34</v>
      </c>
      <c r="C783" s="2" t="s">
        <v>18</v>
      </c>
      <c r="D783" s="2" t="s">
        <v>25</v>
      </c>
      <c r="E783" s="2" t="s">
        <v>20</v>
      </c>
      <c r="F783" s="2" t="n">
        <v>352</v>
      </c>
      <c r="G783" s="2" t="s">
        <v>26</v>
      </c>
      <c r="H783" s="2" t="s">
        <v>20</v>
      </c>
      <c r="I783" s="2" t="s">
        <v>21</v>
      </c>
      <c r="J783" s="2" t="n">
        <v>11</v>
      </c>
      <c r="K783" s="2" t="s">
        <v>27</v>
      </c>
      <c r="L783" s="2" t="n">
        <v>79</v>
      </c>
      <c r="M783" s="2" t="n">
        <v>3</v>
      </c>
      <c r="N783" s="2" t="n">
        <v>-1</v>
      </c>
      <c r="O783" s="2" t="n">
        <v>0</v>
      </c>
      <c r="P783" s="2" t="s">
        <v>23</v>
      </c>
      <c r="Q783" s="2" t="s">
        <v>20</v>
      </c>
    </row>
    <row r="784" customFormat="false" ht="15" hidden="false" customHeight="false" outlineLevel="0" collapsed="false">
      <c r="A784" s="2" t="n">
        <v>37</v>
      </c>
      <c r="B784" s="2" t="s">
        <v>29</v>
      </c>
      <c r="C784" s="2" t="s">
        <v>18</v>
      </c>
      <c r="D784" s="2" t="s">
        <v>31</v>
      </c>
      <c r="E784" s="2" t="s">
        <v>20</v>
      </c>
      <c r="F784" s="2" t="n">
        <v>865</v>
      </c>
      <c r="G784" s="2" t="s">
        <v>26</v>
      </c>
      <c r="H784" s="2" t="s">
        <v>20</v>
      </c>
      <c r="I784" s="2" t="s">
        <v>21</v>
      </c>
      <c r="J784" s="2" t="n">
        <v>3</v>
      </c>
      <c r="K784" s="2" t="s">
        <v>33</v>
      </c>
      <c r="L784" s="2" t="n">
        <v>101</v>
      </c>
      <c r="M784" s="2" t="n">
        <v>1</v>
      </c>
      <c r="N784" s="2" t="n">
        <v>-1</v>
      </c>
      <c r="O784" s="2" t="n">
        <v>0</v>
      </c>
      <c r="P784" s="2" t="s">
        <v>23</v>
      </c>
      <c r="Q784" s="2" t="s">
        <v>20</v>
      </c>
    </row>
    <row r="785" customFormat="false" ht="15" hidden="false" customHeight="false" outlineLevel="0" collapsed="false">
      <c r="A785" s="2" t="n">
        <v>59</v>
      </c>
      <c r="B785" s="2" t="s">
        <v>34</v>
      </c>
      <c r="C785" s="2" t="s">
        <v>18</v>
      </c>
      <c r="D785" s="2" t="s">
        <v>19</v>
      </c>
      <c r="E785" s="2" t="s">
        <v>20</v>
      </c>
      <c r="F785" s="2" t="n">
        <v>179</v>
      </c>
      <c r="G785" s="2" t="s">
        <v>26</v>
      </c>
      <c r="H785" s="2" t="s">
        <v>20</v>
      </c>
      <c r="I785" s="2" t="s">
        <v>23</v>
      </c>
      <c r="J785" s="2" t="n">
        <v>5</v>
      </c>
      <c r="K785" s="2" t="s">
        <v>27</v>
      </c>
      <c r="L785" s="2" t="n">
        <v>55</v>
      </c>
      <c r="M785" s="2" t="n">
        <v>3</v>
      </c>
      <c r="N785" s="2" t="n">
        <v>-1</v>
      </c>
      <c r="O785" s="2" t="n">
        <v>0</v>
      </c>
      <c r="P785" s="2" t="s">
        <v>23</v>
      </c>
      <c r="Q785" s="2" t="s">
        <v>20</v>
      </c>
    </row>
    <row r="786" customFormat="false" ht="15" hidden="false" customHeight="false" outlineLevel="0" collapsed="false">
      <c r="A786" s="2" t="n">
        <v>27</v>
      </c>
      <c r="B786" s="2" t="s">
        <v>34</v>
      </c>
      <c r="C786" s="2" t="s">
        <v>30</v>
      </c>
      <c r="D786" s="2" t="s">
        <v>25</v>
      </c>
      <c r="E786" s="2" t="s">
        <v>20</v>
      </c>
      <c r="F786" s="2" t="n">
        <v>5</v>
      </c>
      <c r="G786" s="2" t="s">
        <v>26</v>
      </c>
      <c r="H786" s="2" t="s">
        <v>20</v>
      </c>
      <c r="I786" s="2" t="s">
        <v>23</v>
      </c>
      <c r="J786" s="2" t="n">
        <v>19</v>
      </c>
      <c r="K786" s="2" t="s">
        <v>27</v>
      </c>
      <c r="L786" s="2" t="n">
        <v>205</v>
      </c>
      <c r="M786" s="2" t="n">
        <v>3</v>
      </c>
      <c r="N786" s="2" t="n">
        <v>-1</v>
      </c>
      <c r="O786" s="2" t="n">
        <v>0</v>
      </c>
      <c r="P786" s="2" t="s">
        <v>23</v>
      </c>
      <c r="Q786" s="2" t="s">
        <v>20</v>
      </c>
    </row>
    <row r="787" customFormat="false" ht="15" hidden="false" customHeight="false" outlineLevel="0" collapsed="false">
      <c r="A787" s="2" t="n">
        <v>23</v>
      </c>
      <c r="B787" s="2" t="s">
        <v>42</v>
      </c>
      <c r="C787" s="2" t="s">
        <v>18</v>
      </c>
      <c r="D787" s="2" t="s">
        <v>31</v>
      </c>
      <c r="E787" s="2" t="s">
        <v>26</v>
      </c>
      <c r="F787" s="2" t="n">
        <v>-230</v>
      </c>
      <c r="G787" s="2" t="s">
        <v>26</v>
      </c>
      <c r="H787" s="2" t="s">
        <v>20</v>
      </c>
      <c r="I787" s="2" t="s">
        <v>21</v>
      </c>
      <c r="J787" s="2" t="n">
        <v>18</v>
      </c>
      <c r="K787" s="2" t="s">
        <v>27</v>
      </c>
      <c r="L787" s="2" t="n">
        <v>259</v>
      </c>
      <c r="M787" s="2" t="n">
        <v>2</v>
      </c>
      <c r="N787" s="2" t="n">
        <v>-1</v>
      </c>
      <c r="O787" s="2" t="n">
        <v>0</v>
      </c>
      <c r="P787" s="2" t="s">
        <v>23</v>
      </c>
      <c r="Q787" s="2" t="s">
        <v>20</v>
      </c>
    </row>
    <row r="788" customFormat="false" ht="15" hidden="false" customHeight="false" outlineLevel="0" collapsed="false">
      <c r="A788" s="2" t="n">
        <v>51</v>
      </c>
      <c r="B788" s="2" t="s">
        <v>29</v>
      </c>
      <c r="C788" s="2" t="s">
        <v>45</v>
      </c>
      <c r="D788" s="2" t="s">
        <v>31</v>
      </c>
      <c r="E788" s="2" t="s">
        <v>20</v>
      </c>
      <c r="F788" s="2" t="n">
        <v>0</v>
      </c>
      <c r="G788" s="2" t="s">
        <v>20</v>
      </c>
      <c r="H788" s="2" t="s">
        <v>20</v>
      </c>
      <c r="I788" s="2" t="s">
        <v>21</v>
      </c>
      <c r="J788" s="2" t="n">
        <v>13</v>
      </c>
      <c r="K788" s="2" t="s">
        <v>41</v>
      </c>
      <c r="L788" s="2" t="n">
        <v>60</v>
      </c>
      <c r="M788" s="2" t="n">
        <v>2</v>
      </c>
      <c r="N788" s="2" t="n">
        <v>-1</v>
      </c>
      <c r="O788" s="2" t="n">
        <v>0</v>
      </c>
      <c r="P788" s="2" t="s">
        <v>23</v>
      </c>
      <c r="Q788" s="2" t="s">
        <v>20</v>
      </c>
    </row>
    <row r="789" customFormat="false" ht="15" hidden="false" customHeight="false" outlineLevel="0" collapsed="false">
      <c r="A789" s="2" t="n">
        <v>50</v>
      </c>
      <c r="B789" s="2" t="s">
        <v>34</v>
      </c>
      <c r="C789" s="2" t="s">
        <v>18</v>
      </c>
      <c r="D789" s="2" t="s">
        <v>19</v>
      </c>
      <c r="E789" s="2" t="s">
        <v>20</v>
      </c>
      <c r="F789" s="2" t="n">
        <v>3924</v>
      </c>
      <c r="G789" s="2" t="s">
        <v>26</v>
      </c>
      <c r="H789" s="2" t="s">
        <v>20</v>
      </c>
      <c r="I789" s="2" t="s">
        <v>21</v>
      </c>
      <c r="J789" s="2" t="n">
        <v>20</v>
      </c>
      <c r="K789" s="2" t="s">
        <v>32</v>
      </c>
      <c r="L789" s="2" t="n">
        <v>122</v>
      </c>
      <c r="M789" s="2" t="n">
        <v>2</v>
      </c>
      <c r="N789" s="2" t="n">
        <v>-1</v>
      </c>
      <c r="O789" s="2" t="n">
        <v>0</v>
      </c>
      <c r="P789" s="2" t="s">
        <v>23</v>
      </c>
      <c r="Q789" s="2" t="s">
        <v>20</v>
      </c>
    </row>
    <row r="790" customFormat="false" ht="15" hidden="false" customHeight="false" outlineLevel="0" collapsed="false">
      <c r="A790" s="2" t="n">
        <v>43</v>
      </c>
      <c r="B790" s="2" t="s">
        <v>38</v>
      </c>
      <c r="C790" s="2" t="s">
        <v>18</v>
      </c>
      <c r="D790" s="2" t="s">
        <v>25</v>
      </c>
      <c r="E790" s="2" t="s">
        <v>20</v>
      </c>
      <c r="F790" s="2" t="n">
        <v>764</v>
      </c>
      <c r="G790" s="2" t="s">
        <v>26</v>
      </c>
      <c r="H790" s="2" t="s">
        <v>20</v>
      </c>
      <c r="I790" s="2" t="s">
        <v>21</v>
      </c>
      <c r="J790" s="2" t="n">
        <v>14</v>
      </c>
      <c r="K790" s="2" t="s">
        <v>44</v>
      </c>
      <c r="L790" s="2" t="n">
        <v>557</v>
      </c>
      <c r="M790" s="2" t="n">
        <v>5</v>
      </c>
      <c r="N790" s="2" t="n">
        <v>-1</v>
      </c>
      <c r="O790" s="2" t="n">
        <v>0</v>
      </c>
      <c r="P790" s="2" t="s">
        <v>23</v>
      </c>
      <c r="Q790" s="2" t="s">
        <v>20</v>
      </c>
    </row>
    <row r="791" customFormat="false" ht="15" hidden="false" customHeight="false" outlineLevel="0" collapsed="false">
      <c r="A791" s="2" t="n">
        <v>37</v>
      </c>
      <c r="B791" s="2" t="s">
        <v>34</v>
      </c>
      <c r="C791" s="2" t="s">
        <v>45</v>
      </c>
      <c r="D791" s="2" t="s">
        <v>19</v>
      </c>
      <c r="E791" s="2" t="s">
        <v>20</v>
      </c>
      <c r="F791" s="2" t="n">
        <v>511</v>
      </c>
      <c r="G791" s="2" t="s">
        <v>26</v>
      </c>
      <c r="H791" s="2" t="s">
        <v>20</v>
      </c>
      <c r="I791" s="2" t="s">
        <v>49</v>
      </c>
      <c r="J791" s="2" t="n">
        <v>11</v>
      </c>
      <c r="K791" s="2" t="s">
        <v>27</v>
      </c>
      <c r="L791" s="2" t="n">
        <v>42</v>
      </c>
      <c r="M791" s="2" t="n">
        <v>1</v>
      </c>
      <c r="N791" s="2" t="n">
        <v>-1</v>
      </c>
      <c r="O791" s="2" t="n">
        <v>0</v>
      </c>
      <c r="P791" s="2" t="s">
        <v>23</v>
      </c>
      <c r="Q791" s="2" t="s">
        <v>20</v>
      </c>
    </row>
    <row r="792" customFormat="false" ht="15" hidden="false" customHeight="false" outlineLevel="0" collapsed="false">
      <c r="A792" s="2" t="n">
        <v>34</v>
      </c>
      <c r="B792" s="2" t="s">
        <v>29</v>
      </c>
      <c r="C792" s="2" t="s">
        <v>30</v>
      </c>
      <c r="D792" s="2" t="s">
        <v>31</v>
      </c>
      <c r="E792" s="2" t="s">
        <v>20</v>
      </c>
      <c r="F792" s="2" t="n">
        <v>4348</v>
      </c>
      <c r="G792" s="2" t="s">
        <v>26</v>
      </c>
      <c r="H792" s="2" t="s">
        <v>20</v>
      </c>
      <c r="I792" s="2" t="s">
        <v>21</v>
      </c>
      <c r="J792" s="2" t="n">
        <v>28</v>
      </c>
      <c r="K792" s="2" t="s">
        <v>41</v>
      </c>
      <c r="L792" s="2" t="n">
        <v>373</v>
      </c>
      <c r="M792" s="2" t="n">
        <v>8</v>
      </c>
      <c r="N792" s="2" t="n">
        <v>-1</v>
      </c>
      <c r="O792" s="2" t="n">
        <v>0</v>
      </c>
      <c r="P792" s="2" t="s">
        <v>23</v>
      </c>
      <c r="Q792" s="2" t="s">
        <v>20</v>
      </c>
    </row>
    <row r="793" customFormat="false" ht="15" hidden="false" customHeight="false" outlineLevel="0" collapsed="false">
      <c r="A793" s="2" t="n">
        <v>41</v>
      </c>
      <c r="B793" s="2" t="s">
        <v>29</v>
      </c>
      <c r="C793" s="2" t="s">
        <v>18</v>
      </c>
      <c r="D793" s="2" t="s">
        <v>31</v>
      </c>
      <c r="E793" s="2" t="s">
        <v>20</v>
      </c>
      <c r="F793" s="2" t="n">
        <v>3016</v>
      </c>
      <c r="G793" s="2" t="s">
        <v>26</v>
      </c>
      <c r="H793" s="2" t="s">
        <v>20</v>
      </c>
      <c r="I793" s="2" t="s">
        <v>21</v>
      </c>
      <c r="J793" s="2" t="n">
        <v>14</v>
      </c>
      <c r="K793" s="2" t="s">
        <v>44</v>
      </c>
      <c r="L793" s="2" t="n">
        <v>80</v>
      </c>
      <c r="M793" s="2" t="n">
        <v>3</v>
      </c>
      <c r="N793" s="2" t="n">
        <v>-1</v>
      </c>
      <c r="O793" s="2" t="n">
        <v>0</v>
      </c>
      <c r="P793" s="2" t="s">
        <v>23</v>
      </c>
      <c r="Q793" s="2" t="s">
        <v>20</v>
      </c>
    </row>
    <row r="794" customFormat="false" ht="15" hidden="false" customHeight="false" outlineLevel="0" collapsed="false">
      <c r="A794" s="2" t="n">
        <v>26</v>
      </c>
      <c r="B794" s="2" t="s">
        <v>42</v>
      </c>
      <c r="C794" s="2" t="s">
        <v>30</v>
      </c>
      <c r="D794" s="2" t="s">
        <v>25</v>
      </c>
      <c r="E794" s="2" t="s">
        <v>20</v>
      </c>
      <c r="F794" s="2" t="n">
        <v>279</v>
      </c>
      <c r="G794" s="2" t="s">
        <v>20</v>
      </c>
      <c r="H794" s="2" t="s">
        <v>20</v>
      </c>
      <c r="I794" s="2" t="s">
        <v>21</v>
      </c>
      <c r="J794" s="2" t="n">
        <v>7</v>
      </c>
      <c r="K794" s="2" t="s">
        <v>27</v>
      </c>
      <c r="L794" s="2" t="n">
        <v>239</v>
      </c>
      <c r="M794" s="2" t="n">
        <v>3</v>
      </c>
      <c r="N794" s="2" t="n">
        <v>-1</v>
      </c>
      <c r="O794" s="2" t="n">
        <v>0</v>
      </c>
      <c r="P794" s="2" t="s">
        <v>23</v>
      </c>
      <c r="Q794" s="2" t="s">
        <v>20</v>
      </c>
    </row>
    <row r="795" customFormat="false" ht="15" hidden="false" customHeight="false" outlineLevel="0" collapsed="false">
      <c r="A795" s="2" t="n">
        <v>49</v>
      </c>
      <c r="B795" s="2" t="s">
        <v>29</v>
      </c>
      <c r="C795" s="2" t="s">
        <v>45</v>
      </c>
      <c r="D795" s="2" t="s">
        <v>31</v>
      </c>
      <c r="E795" s="2" t="s">
        <v>20</v>
      </c>
      <c r="F795" s="2" t="n">
        <v>1405</v>
      </c>
      <c r="G795" s="2" t="s">
        <v>20</v>
      </c>
      <c r="H795" s="2" t="s">
        <v>20</v>
      </c>
      <c r="I795" s="2" t="s">
        <v>23</v>
      </c>
      <c r="J795" s="2" t="n">
        <v>8</v>
      </c>
      <c r="K795" s="2" t="s">
        <v>33</v>
      </c>
      <c r="L795" s="2" t="n">
        <v>29</v>
      </c>
      <c r="M795" s="2" t="n">
        <v>1</v>
      </c>
      <c r="N795" s="2" t="n">
        <v>-1</v>
      </c>
      <c r="O795" s="2" t="n">
        <v>0</v>
      </c>
      <c r="P795" s="2" t="s">
        <v>23</v>
      </c>
      <c r="Q795" s="2" t="s">
        <v>20</v>
      </c>
    </row>
    <row r="796" customFormat="false" ht="15" hidden="false" customHeight="false" outlineLevel="0" collapsed="false">
      <c r="A796" s="2" t="n">
        <v>29</v>
      </c>
      <c r="B796" s="2" t="s">
        <v>34</v>
      </c>
      <c r="C796" s="2" t="s">
        <v>30</v>
      </c>
      <c r="D796" s="2" t="s">
        <v>25</v>
      </c>
      <c r="E796" s="2" t="s">
        <v>20</v>
      </c>
      <c r="F796" s="2" t="n">
        <v>908</v>
      </c>
      <c r="G796" s="2" t="s">
        <v>26</v>
      </c>
      <c r="H796" s="2" t="s">
        <v>20</v>
      </c>
      <c r="I796" s="2" t="s">
        <v>23</v>
      </c>
      <c r="J796" s="2" t="n">
        <v>20</v>
      </c>
      <c r="K796" s="2" t="s">
        <v>33</v>
      </c>
      <c r="L796" s="2" t="n">
        <v>1663</v>
      </c>
      <c r="M796" s="2" t="n">
        <v>1</v>
      </c>
      <c r="N796" s="2" t="n">
        <v>-1</v>
      </c>
      <c r="O796" s="2" t="n">
        <v>0</v>
      </c>
      <c r="P796" s="2" t="s">
        <v>23</v>
      </c>
      <c r="Q796" s="2" t="s">
        <v>26</v>
      </c>
    </row>
    <row r="797" customFormat="false" ht="15" hidden="false" customHeight="false" outlineLevel="0" collapsed="false">
      <c r="A797" s="2" t="n">
        <v>30</v>
      </c>
      <c r="B797" s="2" t="s">
        <v>29</v>
      </c>
      <c r="C797" s="2" t="s">
        <v>30</v>
      </c>
      <c r="D797" s="2" t="s">
        <v>31</v>
      </c>
      <c r="E797" s="2" t="s">
        <v>20</v>
      </c>
      <c r="F797" s="2" t="n">
        <v>162</v>
      </c>
      <c r="G797" s="2" t="s">
        <v>26</v>
      </c>
      <c r="H797" s="2" t="s">
        <v>20</v>
      </c>
      <c r="I797" s="2" t="s">
        <v>23</v>
      </c>
      <c r="J797" s="2" t="n">
        <v>20</v>
      </c>
      <c r="K797" s="2" t="s">
        <v>27</v>
      </c>
      <c r="L797" s="2" t="n">
        <v>186</v>
      </c>
      <c r="M797" s="2" t="n">
        <v>4</v>
      </c>
      <c r="N797" s="2" t="n">
        <v>-1</v>
      </c>
      <c r="O797" s="2" t="n">
        <v>0</v>
      </c>
      <c r="P797" s="2" t="s">
        <v>23</v>
      </c>
      <c r="Q797" s="2" t="s">
        <v>20</v>
      </c>
    </row>
    <row r="798" customFormat="false" ht="15" hidden="false" customHeight="false" outlineLevel="0" collapsed="false">
      <c r="A798" s="2" t="n">
        <v>38</v>
      </c>
      <c r="B798" s="2" t="s">
        <v>24</v>
      </c>
      <c r="C798" s="2" t="s">
        <v>45</v>
      </c>
      <c r="D798" s="2" t="s">
        <v>25</v>
      </c>
      <c r="E798" s="2" t="s">
        <v>20</v>
      </c>
      <c r="F798" s="2" t="n">
        <v>792</v>
      </c>
      <c r="G798" s="2" t="s">
        <v>20</v>
      </c>
      <c r="H798" s="2" t="s">
        <v>20</v>
      </c>
      <c r="I798" s="2" t="s">
        <v>23</v>
      </c>
      <c r="J798" s="2" t="n">
        <v>6</v>
      </c>
      <c r="K798" s="2" t="s">
        <v>33</v>
      </c>
      <c r="L798" s="2" t="n">
        <v>430</v>
      </c>
      <c r="M798" s="2" t="n">
        <v>1</v>
      </c>
      <c r="N798" s="2" t="n">
        <v>-1</v>
      </c>
      <c r="O798" s="2" t="n">
        <v>0</v>
      </c>
      <c r="P798" s="2" t="s">
        <v>23</v>
      </c>
      <c r="Q798" s="2" t="s">
        <v>20</v>
      </c>
    </row>
    <row r="799" customFormat="false" ht="15" hidden="false" customHeight="false" outlineLevel="0" collapsed="false">
      <c r="A799" s="2" t="n">
        <v>58</v>
      </c>
      <c r="B799" s="2" t="s">
        <v>29</v>
      </c>
      <c r="C799" s="2" t="s">
        <v>18</v>
      </c>
      <c r="D799" s="2" t="s">
        <v>25</v>
      </c>
      <c r="E799" s="2" t="s">
        <v>20</v>
      </c>
      <c r="F799" s="2" t="n">
        <v>111</v>
      </c>
      <c r="G799" s="2" t="s">
        <v>20</v>
      </c>
      <c r="H799" s="2" t="s">
        <v>20</v>
      </c>
      <c r="I799" s="2" t="s">
        <v>49</v>
      </c>
      <c r="J799" s="2" t="n">
        <v>24</v>
      </c>
      <c r="K799" s="2" t="s">
        <v>52</v>
      </c>
      <c r="L799" s="2" t="n">
        <v>58</v>
      </c>
      <c r="M799" s="2" t="n">
        <v>2</v>
      </c>
      <c r="N799" s="2" t="n">
        <v>-1</v>
      </c>
      <c r="O799" s="2" t="n">
        <v>0</v>
      </c>
      <c r="P799" s="2" t="s">
        <v>23</v>
      </c>
      <c r="Q799" s="2" t="s">
        <v>20</v>
      </c>
    </row>
    <row r="800" customFormat="false" ht="15" hidden="false" customHeight="false" outlineLevel="0" collapsed="false">
      <c r="A800" s="2" t="n">
        <v>34</v>
      </c>
      <c r="B800" s="2" t="s">
        <v>42</v>
      </c>
      <c r="C800" s="2" t="s">
        <v>30</v>
      </c>
      <c r="D800" s="2" t="s">
        <v>23</v>
      </c>
      <c r="E800" s="2" t="s">
        <v>20</v>
      </c>
      <c r="F800" s="2" t="n">
        <v>1281</v>
      </c>
      <c r="G800" s="2" t="s">
        <v>20</v>
      </c>
      <c r="H800" s="2" t="s">
        <v>20</v>
      </c>
      <c r="I800" s="2" t="s">
        <v>21</v>
      </c>
      <c r="J800" s="2" t="n">
        <v>25</v>
      </c>
      <c r="K800" s="2" t="s">
        <v>41</v>
      </c>
      <c r="L800" s="2" t="n">
        <v>279</v>
      </c>
      <c r="M800" s="2" t="n">
        <v>1</v>
      </c>
      <c r="N800" s="2" t="n">
        <v>117</v>
      </c>
      <c r="O800" s="2" t="n">
        <v>1</v>
      </c>
      <c r="P800" s="2" t="s">
        <v>28</v>
      </c>
      <c r="Q800" s="2" t="s">
        <v>20</v>
      </c>
    </row>
    <row r="801" customFormat="false" ht="15" hidden="false" customHeight="false" outlineLevel="0" collapsed="false">
      <c r="A801" s="2" t="n">
        <v>53</v>
      </c>
      <c r="B801" s="2" t="s">
        <v>24</v>
      </c>
      <c r="C801" s="2" t="s">
        <v>45</v>
      </c>
      <c r="D801" s="2" t="s">
        <v>23</v>
      </c>
      <c r="E801" s="2" t="s">
        <v>20</v>
      </c>
      <c r="F801" s="2" t="n">
        <v>1012</v>
      </c>
      <c r="G801" s="2" t="s">
        <v>26</v>
      </c>
      <c r="H801" s="2" t="s">
        <v>20</v>
      </c>
      <c r="I801" s="2" t="s">
        <v>21</v>
      </c>
      <c r="J801" s="2" t="n">
        <v>28</v>
      </c>
      <c r="K801" s="2" t="s">
        <v>44</v>
      </c>
      <c r="L801" s="2" t="n">
        <v>332</v>
      </c>
      <c r="M801" s="2" t="n">
        <v>2</v>
      </c>
      <c r="N801" s="2" t="n">
        <v>-1</v>
      </c>
      <c r="O801" s="2" t="n">
        <v>0</v>
      </c>
      <c r="P801" s="2" t="s">
        <v>23</v>
      </c>
      <c r="Q801" s="2" t="s">
        <v>20</v>
      </c>
    </row>
    <row r="802" customFormat="false" ht="15" hidden="false" customHeight="false" outlineLevel="0" collapsed="false">
      <c r="A802" s="2" t="n">
        <v>50</v>
      </c>
      <c r="B802" s="2" t="s">
        <v>29</v>
      </c>
      <c r="C802" s="2" t="s">
        <v>18</v>
      </c>
      <c r="D802" s="2" t="s">
        <v>31</v>
      </c>
      <c r="E802" s="2" t="s">
        <v>20</v>
      </c>
      <c r="F802" s="2" t="n">
        <v>2881</v>
      </c>
      <c r="G802" s="2" t="s">
        <v>20</v>
      </c>
      <c r="H802" s="2" t="s">
        <v>20</v>
      </c>
      <c r="I802" s="2" t="s">
        <v>21</v>
      </c>
      <c r="J802" s="2" t="n">
        <v>5</v>
      </c>
      <c r="K802" s="2" t="s">
        <v>41</v>
      </c>
      <c r="L802" s="2" t="n">
        <v>510</v>
      </c>
      <c r="M802" s="2" t="n">
        <v>2</v>
      </c>
      <c r="N802" s="2" t="n">
        <v>2</v>
      </c>
      <c r="O802" s="2" t="n">
        <v>5</v>
      </c>
      <c r="P802" s="2" t="s">
        <v>37</v>
      </c>
      <c r="Q802" s="2" t="s">
        <v>20</v>
      </c>
    </row>
    <row r="803" customFormat="false" ht="15" hidden="false" customHeight="false" outlineLevel="0" collapsed="false">
      <c r="A803" s="2" t="n">
        <v>30</v>
      </c>
      <c r="B803" s="2" t="s">
        <v>34</v>
      </c>
      <c r="C803" s="2" t="s">
        <v>30</v>
      </c>
      <c r="D803" s="2" t="s">
        <v>25</v>
      </c>
      <c r="E803" s="2" t="s">
        <v>20</v>
      </c>
      <c r="F803" s="2" t="n">
        <v>445</v>
      </c>
      <c r="G803" s="2" t="s">
        <v>26</v>
      </c>
      <c r="H803" s="2" t="s">
        <v>20</v>
      </c>
      <c r="I803" s="2" t="s">
        <v>21</v>
      </c>
      <c r="J803" s="2" t="n">
        <v>16</v>
      </c>
      <c r="K803" s="2" t="s">
        <v>32</v>
      </c>
      <c r="L803" s="2" t="n">
        <v>218</v>
      </c>
      <c r="M803" s="2" t="n">
        <v>1</v>
      </c>
      <c r="N803" s="2" t="n">
        <v>330</v>
      </c>
      <c r="O803" s="2" t="n">
        <v>2</v>
      </c>
      <c r="P803" s="2" t="s">
        <v>28</v>
      </c>
      <c r="Q803" s="2" t="s">
        <v>20</v>
      </c>
    </row>
    <row r="804" customFormat="false" ht="15" hidden="false" customHeight="false" outlineLevel="0" collapsed="false">
      <c r="A804" s="2" t="n">
        <v>40</v>
      </c>
      <c r="B804" s="2" t="s">
        <v>29</v>
      </c>
      <c r="C804" s="2" t="s">
        <v>18</v>
      </c>
      <c r="D804" s="2" t="s">
        <v>25</v>
      </c>
      <c r="E804" s="2" t="s">
        <v>20</v>
      </c>
      <c r="F804" s="2" t="n">
        <v>643</v>
      </c>
      <c r="G804" s="2" t="s">
        <v>26</v>
      </c>
      <c r="H804" s="2" t="s">
        <v>20</v>
      </c>
      <c r="I804" s="2" t="s">
        <v>21</v>
      </c>
      <c r="J804" s="2" t="n">
        <v>17</v>
      </c>
      <c r="K804" s="2" t="s">
        <v>32</v>
      </c>
      <c r="L804" s="2" t="n">
        <v>74</v>
      </c>
      <c r="M804" s="2" t="n">
        <v>2</v>
      </c>
      <c r="N804" s="2" t="n">
        <v>256</v>
      </c>
      <c r="O804" s="2" t="n">
        <v>1</v>
      </c>
      <c r="P804" s="2" t="s">
        <v>28</v>
      </c>
      <c r="Q804" s="2" t="s">
        <v>20</v>
      </c>
    </row>
    <row r="805" customFormat="false" ht="15" hidden="false" customHeight="false" outlineLevel="0" collapsed="false">
      <c r="A805" s="2" t="n">
        <v>57</v>
      </c>
      <c r="B805" s="2" t="s">
        <v>47</v>
      </c>
      <c r="C805" s="2" t="s">
        <v>30</v>
      </c>
      <c r="D805" s="2" t="s">
        <v>25</v>
      </c>
      <c r="E805" s="2" t="s">
        <v>20</v>
      </c>
      <c r="F805" s="2" t="n">
        <v>254</v>
      </c>
      <c r="G805" s="2" t="s">
        <v>20</v>
      </c>
      <c r="H805" s="2" t="s">
        <v>20</v>
      </c>
      <c r="I805" s="2" t="s">
        <v>21</v>
      </c>
      <c r="J805" s="2" t="n">
        <v>8</v>
      </c>
      <c r="K805" s="2" t="s">
        <v>22</v>
      </c>
      <c r="L805" s="2" t="n">
        <v>676</v>
      </c>
      <c r="M805" s="2" t="n">
        <v>1</v>
      </c>
      <c r="N805" s="2" t="n">
        <v>-1</v>
      </c>
      <c r="O805" s="2" t="n">
        <v>0</v>
      </c>
      <c r="P805" s="2" t="s">
        <v>23</v>
      </c>
      <c r="Q805" s="2" t="s">
        <v>20</v>
      </c>
    </row>
    <row r="806" customFormat="false" ht="15" hidden="false" customHeight="false" outlineLevel="0" collapsed="false">
      <c r="A806" s="2" t="n">
        <v>40</v>
      </c>
      <c r="B806" s="2" t="s">
        <v>29</v>
      </c>
      <c r="C806" s="2" t="s">
        <v>18</v>
      </c>
      <c r="D806" s="2" t="s">
        <v>31</v>
      </c>
      <c r="E806" s="2" t="s">
        <v>20</v>
      </c>
      <c r="F806" s="2" t="n">
        <v>-1212</v>
      </c>
      <c r="G806" s="2" t="s">
        <v>26</v>
      </c>
      <c r="H806" s="2" t="s">
        <v>20</v>
      </c>
      <c r="I806" s="2" t="s">
        <v>21</v>
      </c>
      <c r="J806" s="2" t="n">
        <v>15</v>
      </c>
      <c r="K806" s="2" t="s">
        <v>27</v>
      </c>
      <c r="L806" s="2" t="n">
        <v>1259</v>
      </c>
      <c r="M806" s="2" t="n">
        <v>2</v>
      </c>
      <c r="N806" s="2" t="n">
        <v>333</v>
      </c>
      <c r="O806" s="2" t="n">
        <v>18</v>
      </c>
      <c r="P806" s="2" t="s">
        <v>28</v>
      </c>
      <c r="Q806" s="2" t="s">
        <v>20</v>
      </c>
    </row>
    <row r="807" customFormat="false" ht="15" hidden="false" customHeight="false" outlineLevel="0" collapsed="false">
      <c r="A807" s="2" t="n">
        <v>41</v>
      </c>
      <c r="B807" s="2" t="s">
        <v>38</v>
      </c>
      <c r="C807" s="2" t="s">
        <v>18</v>
      </c>
      <c r="D807" s="2" t="s">
        <v>25</v>
      </c>
      <c r="E807" s="2" t="s">
        <v>20</v>
      </c>
      <c r="F807" s="2" t="n">
        <v>2125</v>
      </c>
      <c r="G807" s="2" t="s">
        <v>26</v>
      </c>
      <c r="H807" s="2" t="s">
        <v>26</v>
      </c>
      <c r="I807" s="2" t="s">
        <v>21</v>
      </c>
      <c r="J807" s="2" t="n">
        <v>21</v>
      </c>
      <c r="K807" s="2" t="s">
        <v>46</v>
      </c>
      <c r="L807" s="2" t="n">
        <v>285</v>
      </c>
      <c r="M807" s="2" t="n">
        <v>3</v>
      </c>
      <c r="N807" s="2" t="n">
        <v>116</v>
      </c>
      <c r="O807" s="2" t="n">
        <v>4</v>
      </c>
      <c r="P807" s="2" t="s">
        <v>28</v>
      </c>
      <c r="Q807" s="2" t="s">
        <v>20</v>
      </c>
    </row>
    <row r="808" customFormat="false" ht="15" hidden="false" customHeight="false" outlineLevel="0" collapsed="false">
      <c r="A808" s="2" t="n">
        <v>53</v>
      </c>
      <c r="B808" s="2" t="s">
        <v>38</v>
      </c>
      <c r="C808" s="2" t="s">
        <v>45</v>
      </c>
      <c r="D808" s="2" t="s">
        <v>23</v>
      </c>
      <c r="E808" s="2" t="s">
        <v>20</v>
      </c>
      <c r="F808" s="2" t="n">
        <v>629</v>
      </c>
      <c r="G808" s="2" t="s">
        <v>26</v>
      </c>
      <c r="H808" s="2" t="s">
        <v>20</v>
      </c>
      <c r="I808" s="2" t="s">
        <v>21</v>
      </c>
      <c r="J808" s="2" t="n">
        <v>8</v>
      </c>
      <c r="K808" s="2" t="s">
        <v>27</v>
      </c>
      <c r="L808" s="2" t="n">
        <v>298</v>
      </c>
      <c r="M808" s="2" t="n">
        <v>1</v>
      </c>
      <c r="N808" s="2" t="n">
        <v>-1</v>
      </c>
      <c r="O808" s="2" t="n">
        <v>0</v>
      </c>
      <c r="P808" s="2" t="s">
        <v>23</v>
      </c>
      <c r="Q808" s="2" t="s">
        <v>20</v>
      </c>
    </row>
    <row r="809" customFormat="false" ht="15" hidden="false" customHeight="false" outlineLevel="0" collapsed="false">
      <c r="A809" s="2" t="n">
        <v>48</v>
      </c>
      <c r="B809" s="2" t="s">
        <v>34</v>
      </c>
      <c r="C809" s="2" t="s">
        <v>18</v>
      </c>
      <c r="D809" s="2" t="s">
        <v>25</v>
      </c>
      <c r="E809" s="2" t="s">
        <v>20</v>
      </c>
      <c r="F809" s="2" t="n">
        <v>-202</v>
      </c>
      <c r="G809" s="2" t="s">
        <v>26</v>
      </c>
      <c r="H809" s="2" t="s">
        <v>26</v>
      </c>
      <c r="I809" s="2" t="s">
        <v>21</v>
      </c>
      <c r="J809" s="2" t="n">
        <v>30</v>
      </c>
      <c r="K809" s="2" t="s">
        <v>44</v>
      </c>
      <c r="L809" s="2" t="n">
        <v>225</v>
      </c>
      <c r="M809" s="2" t="n">
        <v>4</v>
      </c>
      <c r="N809" s="2" t="n">
        <v>-1</v>
      </c>
      <c r="O809" s="2" t="n">
        <v>0</v>
      </c>
      <c r="P809" s="2" t="s">
        <v>23</v>
      </c>
      <c r="Q809" s="2" t="s">
        <v>20</v>
      </c>
    </row>
    <row r="810" customFormat="false" ht="15" hidden="false" customHeight="false" outlineLevel="0" collapsed="false">
      <c r="A810" s="2" t="n">
        <v>32</v>
      </c>
      <c r="B810" s="2" t="s">
        <v>38</v>
      </c>
      <c r="C810" s="2" t="s">
        <v>30</v>
      </c>
      <c r="D810" s="2" t="s">
        <v>25</v>
      </c>
      <c r="E810" s="2" t="s">
        <v>20</v>
      </c>
      <c r="F810" s="2" t="n">
        <v>271</v>
      </c>
      <c r="G810" s="2" t="s">
        <v>26</v>
      </c>
      <c r="H810" s="2" t="s">
        <v>20</v>
      </c>
      <c r="I810" s="2" t="s">
        <v>21</v>
      </c>
      <c r="J810" s="2" t="n">
        <v>13</v>
      </c>
      <c r="K810" s="2" t="s">
        <v>27</v>
      </c>
      <c r="L810" s="2" t="n">
        <v>80</v>
      </c>
      <c r="M810" s="2" t="n">
        <v>2</v>
      </c>
      <c r="N810" s="2" t="n">
        <v>268</v>
      </c>
      <c r="O810" s="2" t="n">
        <v>2</v>
      </c>
      <c r="P810" s="2" t="s">
        <v>37</v>
      </c>
      <c r="Q810" s="2" t="s">
        <v>20</v>
      </c>
    </row>
    <row r="811" customFormat="false" ht="15" hidden="false" customHeight="false" outlineLevel="0" collapsed="false">
      <c r="A811" s="2" t="n">
        <v>34</v>
      </c>
      <c r="B811" s="2" t="s">
        <v>29</v>
      </c>
      <c r="C811" s="2" t="s">
        <v>18</v>
      </c>
      <c r="D811" s="2" t="s">
        <v>31</v>
      </c>
      <c r="E811" s="2" t="s">
        <v>20</v>
      </c>
      <c r="F811" s="2" t="n">
        <v>703</v>
      </c>
      <c r="G811" s="2" t="s">
        <v>26</v>
      </c>
      <c r="H811" s="2" t="s">
        <v>20</v>
      </c>
      <c r="I811" s="2" t="s">
        <v>21</v>
      </c>
      <c r="J811" s="2" t="n">
        <v>14</v>
      </c>
      <c r="K811" s="2" t="s">
        <v>32</v>
      </c>
      <c r="L811" s="2" t="n">
        <v>342</v>
      </c>
      <c r="M811" s="2" t="n">
        <v>1</v>
      </c>
      <c r="N811" s="2" t="n">
        <v>-1</v>
      </c>
      <c r="O811" s="2" t="n">
        <v>0</v>
      </c>
      <c r="P811" s="2" t="s">
        <v>23</v>
      </c>
      <c r="Q811" s="2" t="s">
        <v>26</v>
      </c>
    </row>
    <row r="812" customFormat="false" ht="15" hidden="false" customHeight="false" outlineLevel="0" collapsed="false">
      <c r="A812" s="2" t="n">
        <v>46</v>
      </c>
      <c r="B812" s="2" t="s">
        <v>34</v>
      </c>
      <c r="C812" s="2" t="s">
        <v>18</v>
      </c>
      <c r="D812" s="2" t="s">
        <v>25</v>
      </c>
      <c r="E812" s="2" t="s">
        <v>20</v>
      </c>
      <c r="F812" s="2" t="n">
        <v>-216</v>
      </c>
      <c r="G812" s="2" t="s">
        <v>26</v>
      </c>
      <c r="H812" s="2" t="s">
        <v>20</v>
      </c>
      <c r="I812" s="2" t="s">
        <v>21</v>
      </c>
      <c r="J812" s="2" t="n">
        <v>28</v>
      </c>
      <c r="K812" s="2" t="s">
        <v>44</v>
      </c>
      <c r="L812" s="2" t="n">
        <v>404</v>
      </c>
      <c r="M812" s="2" t="n">
        <v>3</v>
      </c>
      <c r="N812" s="2" t="n">
        <v>-1</v>
      </c>
      <c r="O812" s="2" t="n">
        <v>0</v>
      </c>
      <c r="P812" s="2" t="s">
        <v>23</v>
      </c>
      <c r="Q812" s="2" t="s">
        <v>20</v>
      </c>
    </row>
    <row r="813" customFormat="false" ht="15" hidden="false" customHeight="false" outlineLevel="0" collapsed="false">
      <c r="A813" s="2" t="n">
        <v>45</v>
      </c>
      <c r="B813" s="2" t="s">
        <v>24</v>
      </c>
      <c r="C813" s="2" t="s">
        <v>45</v>
      </c>
      <c r="D813" s="2" t="s">
        <v>25</v>
      </c>
      <c r="E813" s="2" t="s">
        <v>20</v>
      </c>
      <c r="F813" s="2" t="n">
        <v>88</v>
      </c>
      <c r="G813" s="2" t="s">
        <v>20</v>
      </c>
      <c r="H813" s="2" t="s">
        <v>26</v>
      </c>
      <c r="I813" s="2" t="s">
        <v>21</v>
      </c>
      <c r="J813" s="2" t="n">
        <v>7</v>
      </c>
      <c r="K813" s="2" t="s">
        <v>44</v>
      </c>
      <c r="L813" s="2" t="n">
        <v>332</v>
      </c>
      <c r="M813" s="2" t="n">
        <v>1</v>
      </c>
      <c r="N813" s="2" t="n">
        <v>-1</v>
      </c>
      <c r="O813" s="2" t="n">
        <v>0</v>
      </c>
      <c r="P813" s="2" t="s">
        <v>23</v>
      </c>
      <c r="Q813" s="2" t="s">
        <v>20</v>
      </c>
    </row>
    <row r="814" customFormat="false" ht="15" hidden="false" customHeight="false" outlineLevel="0" collapsed="false">
      <c r="A814" s="2" t="n">
        <v>51</v>
      </c>
      <c r="B814" s="2" t="s">
        <v>40</v>
      </c>
      <c r="C814" s="2" t="s">
        <v>30</v>
      </c>
      <c r="D814" s="2" t="s">
        <v>31</v>
      </c>
      <c r="E814" s="2" t="s">
        <v>20</v>
      </c>
      <c r="F814" s="2" t="n">
        <v>16</v>
      </c>
      <c r="G814" s="2" t="s">
        <v>26</v>
      </c>
      <c r="H814" s="2" t="s">
        <v>20</v>
      </c>
      <c r="I814" s="2" t="s">
        <v>21</v>
      </c>
      <c r="J814" s="2" t="n">
        <v>30</v>
      </c>
      <c r="K814" s="2" t="s">
        <v>43</v>
      </c>
      <c r="L814" s="2" t="n">
        <v>158</v>
      </c>
      <c r="M814" s="2" t="n">
        <v>1</v>
      </c>
      <c r="N814" s="2" t="n">
        <v>-1</v>
      </c>
      <c r="O814" s="2" t="n">
        <v>0</v>
      </c>
      <c r="P814" s="2" t="s">
        <v>23</v>
      </c>
      <c r="Q814" s="2" t="s">
        <v>20</v>
      </c>
    </row>
    <row r="815" customFormat="false" ht="15" hidden="false" customHeight="false" outlineLevel="0" collapsed="false">
      <c r="A815" s="2" t="n">
        <v>31</v>
      </c>
      <c r="B815" s="2" t="s">
        <v>29</v>
      </c>
      <c r="C815" s="2" t="s">
        <v>18</v>
      </c>
      <c r="D815" s="2" t="s">
        <v>25</v>
      </c>
      <c r="E815" s="2" t="s">
        <v>20</v>
      </c>
      <c r="F815" s="2" t="n">
        <v>466</v>
      </c>
      <c r="G815" s="2" t="s">
        <v>26</v>
      </c>
      <c r="H815" s="2" t="s">
        <v>20</v>
      </c>
      <c r="I815" s="2" t="s">
        <v>21</v>
      </c>
      <c r="J815" s="2" t="n">
        <v>14</v>
      </c>
      <c r="K815" s="2" t="s">
        <v>27</v>
      </c>
      <c r="L815" s="2" t="n">
        <v>164</v>
      </c>
      <c r="M815" s="2" t="n">
        <v>1</v>
      </c>
      <c r="N815" s="2" t="n">
        <v>-1</v>
      </c>
      <c r="O815" s="2" t="n">
        <v>0</v>
      </c>
      <c r="P815" s="2" t="s">
        <v>23</v>
      </c>
      <c r="Q815" s="2" t="s">
        <v>20</v>
      </c>
    </row>
    <row r="816" customFormat="false" ht="15" hidden="false" customHeight="false" outlineLevel="0" collapsed="false">
      <c r="A816" s="2" t="n">
        <v>47</v>
      </c>
      <c r="B816" s="2" t="s">
        <v>38</v>
      </c>
      <c r="C816" s="2" t="s">
        <v>18</v>
      </c>
      <c r="D816" s="2" t="s">
        <v>25</v>
      </c>
      <c r="E816" s="2" t="s">
        <v>20</v>
      </c>
      <c r="F816" s="2" t="n">
        <v>-75</v>
      </c>
      <c r="G816" s="2" t="s">
        <v>26</v>
      </c>
      <c r="H816" s="2" t="s">
        <v>20</v>
      </c>
      <c r="I816" s="2" t="s">
        <v>21</v>
      </c>
      <c r="J816" s="2" t="n">
        <v>4</v>
      </c>
      <c r="K816" s="2" t="s">
        <v>35</v>
      </c>
      <c r="L816" s="2" t="n">
        <v>57</v>
      </c>
      <c r="M816" s="2" t="n">
        <v>1</v>
      </c>
      <c r="N816" s="2" t="n">
        <v>247</v>
      </c>
      <c r="O816" s="2" t="n">
        <v>1</v>
      </c>
      <c r="P816" s="2" t="s">
        <v>37</v>
      </c>
      <c r="Q816" s="2" t="s">
        <v>20</v>
      </c>
    </row>
    <row r="817" customFormat="false" ht="15" hidden="false" customHeight="false" outlineLevel="0" collapsed="false">
      <c r="A817" s="2" t="n">
        <v>32</v>
      </c>
      <c r="B817" s="2" t="s">
        <v>34</v>
      </c>
      <c r="C817" s="2" t="s">
        <v>18</v>
      </c>
      <c r="D817" s="2" t="s">
        <v>25</v>
      </c>
      <c r="E817" s="2" t="s">
        <v>20</v>
      </c>
      <c r="F817" s="2" t="n">
        <v>456</v>
      </c>
      <c r="G817" s="2" t="s">
        <v>20</v>
      </c>
      <c r="H817" s="2" t="s">
        <v>20</v>
      </c>
      <c r="I817" s="2" t="s">
        <v>21</v>
      </c>
      <c r="J817" s="2" t="n">
        <v>12</v>
      </c>
      <c r="K817" s="2" t="s">
        <v>27</v>
      </c>
      <c r="L817" s="2" t="n">
        <v>121</v>
      </c>
      <c r="M817" s="2" t="n">
        <v>1</v>
      </c>
      <c r="N817" s="2" t="n">
        <v>-1</v>
      </c>
      <c r="O817" s="2" t="n">
        <v>0</v>
      </c>
      <c r="P817" s="2" t="s">
        <v>23</v>
      </c>
      <c r="Q817" s="2" t="s">
        <v>20</v>
      </c>
    </row>
    <row r="818" customFormat="false" ht="15" hidden="false" customHeight="false" outlineLevel="0" collapsed="false">
      <c r="A818" s="2" t="n">
        <v>41</v>
      </c>
      <c r="B818" s="2" t="s">
        <v>38</v>
      </c>
      <c r="C818" s="2" t="s">
        <v>18</v>
      </c>
      <c r="D818" s="2" t="s">
        <v>25</v>
      </c>
      <c r="E818" s="2" t="s">
        <v>20</v>
      </c>
      <c r="F818" s="2" t="n">
        <v>77</v>
      </c>
      <c r="G818" s="2" t="s">
        <v>26</v>
      </c>
      <c r="H818" s="2" t="s">
        <v>20</v>
      </c>
      <c r="I818" s="2" t="s">
        <v>21</v>
      </c>
      <c r="J818" s="2" t="n">
        <v>7</v>
      </c>
      <c r="K818" s="2" t="s">
        <v>27</v>
      </c>
      <c r="L818" s="2" t="n">
        <v>56</v>
      </c>
      <c r="M818" s="2" t="n">
        <v>1</v>
      </c>
      <c r="N818" s="2" t="n">
        <v>-1</v>
      </c>
      <c r="O818" s="2" t="n">
        <v>0</v>
      </c>
      <c r="P818" s="2" t="s">
        <v>23</v>
      </c>
      <c r="Q818" s="2" t="s">
        <v>20</v>
      </c>
    </row>
    <row r="819" customFormat="false" ht="15" hidden="false" customHeight="false" outlineLevel="0" collapsed="false">
      <c r="A819" s="2" t="n">
        <v>37</v>
      </c>
      <c r="B819" s="2" t="s">
        <v>24</v>
      </c>
      <c r="C819" s="2" t="s">
        <v>30</v>
      </c>
      <c r="D819" s="2" t="s">
        <v>25</v>
      </c>
      <c r="E819" s="2" t="s">
        <v>20</v>
      </c>
      <c r="F819" s="2" t="n">
        <v>-244</v>
      </c>
      <c r="G819" s="2" t="s">
        <v>20</v>
      </c>
      <c r="H819" s="2" t="s">
        <v>20</v>
      </c>
      <c r="I819" s="2" t="s">
        <v>23</v>
      </c>
      <c r="J819" s="2" t="n">
        <v>3</v>
      </c>
      <c r="K819" s="2" t="s">
        <v>44</v>
      </c>
      <c r="L819" s="2" t="n">
        <v>178</v>
      </c>
      <c r="M819" s="2" t="n">
        <v>1</v>
      </c>
      <c r="N819" s="2" t="n">
        <v>-1</v>
      </c>
      <c r="O819" s="2" t="n">
        <v>0</v>
      </c>
      <c r="P819" s="2" t="s">
        <v>23</v>
      </c>
      <c r="Q819" s="2" t="s">
        <v>20</v>
      </c>
    </row>
    <row r="820" customFormat="false" ht="15" hidden="false" customHeight="false" outlineLevel="0" collapsed="false">
      <c r="A820" s="2" t="n">
        <v>27</v>
      </c>
      <c r="B820" s="2" t="s">
        <v>34</v>
      </c>
      <c r="C820" s="2" t="s">
        <v>30</v>
      </c>
      <c r="D820" s="2" t="s">
        <v>19</v>
      </c>
      <c r="E820" s="2" t="s">
        <v>20</v>
      </c>
      <c r="F820" s="2" t="n">
        <v>1209</v>
      </c>
      <c r="G820" s="2" t="s">
        <v>20</v>
      </c>
      <c r="H820" s="2" t="s">
        <v>20</v>
      </c>
      <c r="I820" s="2" t="s">
        <v>21</v>
      </c>
      <c r="J820" s="2" t="n">
        <v>29</v>
      </c>
      <c r="K820" s="2" t="s">
        <v>43</v>
      </c>
      <c r="L820" s="2" t="n">
        <v>283</v>
      </c>
      <c r="M820" s="2" t="n">
        <v>1</v>
      </c>
      <c r="N820" s="2" t="n">
        <v>-1</v>
      </c>
      <c r="O820" s="2" t="n">
        <v>0</v>
      </c>
      <c r="P820" s="2" t="s">
        <v>23</v>
      </c>
      <c r="Q820" s="2" t="s">
        <v>20</v>
      </c>
    </row>
    <row r="821" customFormat="false" ht="15" hidden="false" customHeight="false" outlineLevel="0" collapsed="false">
      <c r="A821" s="2" t="n">
        <v>27</v>
      </c>
      <c r="B821" s="2" t="s">
        <v>24</v>
      </c>
      <c r="C821" s="2" t="s">
        <v>18</v>
      </c>
      <c r="D821" s="2" t="s">
        <v>25</v>
      </c>
      <c r="E821" s="2" t="s">
        <v>20</v>
      </c>
      <c r="F821" s="2" t="n">
        <v>58</v>
      </c>
      <c r="G821" s="2" t="s">
        <v>26</v>
      </c>
      <c r="H821" s="2" t="s">
        <v>20</v>
      </c>
      <c r="I821" s="2" t="s">
        <v>21</v>
      </c>
      <c r="J821" s="2" t="n">
        <v>7</v>
      </c>
      <c r="K821" s="2" t="s">
        <v>27</v>
      </c>
      <c r="L821" s="2" t="n">
        <v>113</v>
      </c>
      <c r="M821" s="2" t="n">
        <v>1</v>
      </c>
      <c r="N821" s="2" t="n">
        <v>337</v>
      </c>
      <c r="O821" s="2" t="n">
        <v>2</v>
      </c>
      <c r="P821" s="2" t="s">
        <v>37</v>
      </c>
      <c r="Q821" s="2" t="s">
        <v>20</v>
      </c>
    </row>
    <row r="822" customFormat="false" ht="15" hidden="false" customHeight="false" outlineLevel="0" collapsed="false">
      <c r="A822" s="2" t="n">
        <v>50</v>
      </c>
      <c r="B822" s="2" t="s">
        <v>29</v>
      </c>
      <c r="C822" s="2" t="s">
        <v>18</v>
      </c>
      <c r="D822" s="2" t="s">
        <v>25</v>
      </c>
      <c r="E822" s="2" t="s">
        <v>26</v>
      </c>
      <c r="F822" s="2" t="n">
        <v>421</v>
      </c>
      <c r="G822" s="2" t="s">
        <v>20</v>
      </c>
      <c r="H822" s="2" t="s">
        <v>20</v>
      </c>
      <c r="I822" s="2" t="s">
        <v>21</v>
      </c>
      <c r="J822" s="2" t="n">
        <v>20</v>
      </c>
      <c r="K822" s="2" t="s">
        <v>46</v>
      </c>
      <c r="L822" s="2" t="n">
        <v>22</v>
      </c>
      <c r="M822" s="2" t="n">
        <v>5</v>
      </c>
      <c r="N822" s="2" t="n">
        <v>-1</v>
      </c>
      <c r="O822" s="2" t="n">
        <v>0</v>
      </c>
      <c r="P822" s="2" t="s">
        <v>23</v>
      </c>
      <c r="Q822" s="2" t="s">
        <v>20</v>
      </c>
    </row>
    <row r="823" customFormat="false" ht="15" hidden="false" customHeight="false" outlineLevel="0" collapsed="false">
      <c r="A823" s="2" t="n">
        <v>31</v>
      </c>
      <c r="B823" s="2" t="s">
        <v>29</v>
      </c>
      <c r="C823" s="2" t="s">
        <v>30</v>
      </c>
      <c r="D823" s="2" t="s">
        <v>31</v>
      </c>
      <c r="E823" s="2" t="s">
        <v>20</v>
      </c>
      <c r="F823" s="2" t="n">
        <v>112</v>
      </c>
      <c r="G823" s="2" t="s">
        <v>26</v>
      </c>
      <c r="H823" s="2" t="s">
        <v>20</v>
      </c>
      <c r="I823" s="2" t="s">
        <v>21</v>
      </c>
      <c r="J823" s="2" t="n">
        <v>2</v>
      </c>
      <c r="K823" s="2" t="s">
        <v>35</v>
      </c>
      <c r="L823" s="2" t="n">
        <v>159</v>
      </c>
      <c r="M823" s="2" t="n">
        <v>2</v>
      </c>
      <c r="N823" s="2" t="n">
        <v>271</v>
      </c>
      <c r="O823" s="2" t="n">
        <v>1</v>
      </c>
      <c r="P823" s="2" t="s">
        <v>28</v>
      </c>
      <c r="Q823" s="2" t="s">
        <v>20</v>
      </c>
    </row>
    <row r="824" customFormat="false" ht="15" hidden="false" customHeight="false" outlineLevel="0" collapsed="false">
      <c r="A824" s="2" t="n">
        <v>40</v>
      </c>
      <c r="B824" s="2" t="s">
        <v>36</v>
      </c>
      <c r="C824" s="2" t="s">
        <v>18</v>
      </c>
      <c r="D824" s="2" t="s">
        <v>31</v>
      </c>
      <c r="E824" s="2" t="s">
        <v>20</v>
      </c>
      <c r="F824" s="2" t="n">
        <v>13669</v>
      </c>
      <c r="G824" s="2" t="s">
        <v>20</v>
      </c>
      <c r="H824" s="2" t="s">
        <v>20</v>
      </c>
      <c r="I824" s="2" t="s">
        <v>21</v>
      </c>
      <c r="J824" s="2" t="n">
        <v>15</v>
      </c>
      <c r="K824" s="2" t="s">
        <v>22</v>
      </c>
      <c r="L824" s="2" t="n">
        <v>138</v>
      </c>
      <c r="M824" s="2" t="n">
        <v>1</v>
      </c>
      <c r="N824" s="2" t="n">
        <v>136</v>
      </c>
      <c r="O824" s="2" t="n">
        <v>8</v>
      </c>
      <c r="P824" s="2" t="s">
        <v>37</v>
      </c>
      <c r="Q824" s="2" t="s">
        <v>20</v>
      </c>
    </row>
    <row r="825" customFormat="false" ht="15" hidden="false" customHeight="false" outlineLevel="0" collapsed="false">
      <c r="A825" s="2" t="n">
        <v>43</v>
      </c>
      <c r="B825" s="2" t="s">
        <v>29</v>
      </c>
      <c r="C825" s="2" t="s">
        <v>18</v>
      </c>
      <c r="D825" s="2" t="s">
        <v>31</v>
      </c>
      <c r="E825" s="2" t="s">
        <v>20</v>
      </c>
      <c r="F825" s="2" t="n">
        <v>1429</v>
      </c>
      <c r="G825" s="2" t="s">
        <v>26</v>
      </c>
      <c r="H825" s="2" t="s">
        <v>20</v>
      </c>
      <c r="I825" s="2" t="s">
        <v>21</v>
      </c>
      <c r="J825" s="2" t="n">
        <v>19</v>
      </c>
      <c r="K825" s="2" t="s">
        <v>46</v>
      </c>
      <c r="L825" s="2" t="n">
        <v>1015</v>
      </c>
      <c r="M825" s="2" t="n">
        <v>1</v>
      </c>
      <c r="N825" s="2" t="n">
        <v>198</v>
      </c>
      <c r="O825" s="2" t="n">
        <v>2</v>
      </c>
      <c r="P825" s="2" t="s">
        <v>37</v>
      </c>
      <c r="Q825" s="2" t="s">
        <v>26</v>
      </c>
    </row>
    <row r="826" customFormat="false" ht="15" hidden="false" customHeight="false" outlineLevel="0" collapsed="false">
      <c r="A826" s="2" t="n">
        <v>39</v>
      </c>
      <c r="B826" s="2" t="s">
        <v>38</v>
      </c>
      <c r="C826" s="2" t="s">
        <v>18</v>
      </c>
      <c r="D826" s="2" t="s">
        <v>31</v>
      </c>
      <c r="E826" s="2" t="s">
        <v>20</v>
      </c>
      <c r="F826" s="2" t="n">
        <v>794</v>
      </c>
      <c r="G826" s="2" t="s">
        <v>20</v>
      </c>
      <c r="H826" s="2" t="s">
        <v>20</v>
      </c>
      <c r="I826" s="2" t="s">
        <v>49</v>
      </c>
      <c r="J826" s="2" t="n">
        <v>2</v>
      </c>
      <c r="K826" s="2" t="s">
        <v>35</v>
      </c>
      <c r="L826" s="2" t="n">
        <v>182</v>
      </c>
      <c r="M826" s="2" t="n">
        <v>1</v>
      </c>
      <c r="N826" s="2" t="n">
        <v>-1</v>
      </c>
      <c r="O826" s="2" t="n">
        <v>0</v>
      </c>
      <c r="P826" s="2" t="s">
        <v>23</v>
      </c>
      <c r="Q826" s="2" t="s">
        <v>20</v>
      </c>
    </row>
    <row r="827" customFormat="false" ht="15" hidden="false" customHeight="false" outlineLevel="0" collapsed="false">
      <c r="A827" s="2" t="n">
        <v>31</v>
      </c>
      <c r="B827" s="2" t="s">
        <v>39</v>
      </c>
      <c r="C827" s="2" t="s">
        <v>30</v>
      </c>
      <c r="D827" s="2" t="s">
        <v>31</v>
      </c>
      <c r="E827" s="2" t="s">
        <v>20</v>
      </c>
      <c r="F827" s="2" t="n">
        <v>1957</v>
      </c>
      <c r="G827" s="2" t="s">
        <v>20</v>
      </c>
      <c r="H827" s="2" t="s">
        <v>20</v>
      </c>
      <c r="I827" s="2" t="s">
        <v>21</v>
      </c>
      <c r="J827" s="2" t="n">
        <v>4</v>
      </c>
      <c r="K827" s="2" t="s">
        <v>35</v>
      </c>
      <c r="L827" s="2" t="n">
        <v>112</v>
      </c>
      <c r="M827" s="2" t="n">
        <v>3</v>
      </c>
      <c r="N827" s="2" t="n">
        <v>-1</v>
      </c>
      <c r="O827" s="2" t="n">
        <v>0</v>
      </c>
      <c r="P827" s="2" t="s">
        <v>23</v>
      </c>
      <c r="Q827" s="2" t="s">
        <v>20</v>
      </c>
    </row>
    <row r="828" customFormat="false" ht="15" hidden="false" customHeight="false" outlineLevel="0" collapsed="false">
      <c r="A828" s="2" t="n">
        <v>48</v>
      </c>
      <c r="B828" s="2" t="s">
        <v>38</v>
      </c>
      <c r="C828" s="2" t="s">
        <v>18</v>
      </c>
      <c r="D828" s="2" t="s">
        <v>25</v>
      </c>
      <c r="E828" s="2" t="s">
        <v>20</v>
      </c>
      <c r="F828" s="2" t="n">
        <v>454</v>
      </c>
      <c r="G828" s="2" t="s">
        <v>26</v>
      </c>
      <c r="H828" s="2" t="s">
        <v>20</v>
      </c>
      <c r="I828" s="2" t="s">
        <v>21</v>
      </c>
      <c r="J828" s="2" t="n">
        <v>10</v>
      </c>
      <c r="K828" s="2" t="s">
        <v>44</v>
      </c>
      <c r="L828" s="2" t="n">
        <v>114</v>
      </c>
      <c r="M828" s="2" t="n">
        <v>1</v>
      </c>
      <c r="N828" s="2" t="n">
        <v>-1</v>
      </c>
      <c r="O828" s="2" t="n">
        <v>0</v>
      </c>
      <c r="P828" s="2" t="s">
        <v>23</v>
      </c>
      <c r="Q828" s="2" t="s">
        <v>20</v>
      </c>
    </row>
    <row r="829" customFormat="false" ht="15" hidden="false" customHeight="false" outlineLevel="0" collapsed="false">
      <c r="A829" s="2" t="n">
        <v>32</v>
      </c>
      <c r="B829" s="2" t="s">
        <v>34</v>
      </c>
      <c r="C829" s="2" t="s">
        <v>30</v>
      </c>
      <c r="D829" s="2" t="s">
        <v>19</v>
      </c>
      <c r="E829" s="2" t="s">
        <v>20</v>
      </c>
      <c r="F829" s="2" t="n">
        <v>882</v>
      </c>
      <c r="G829" s="2" t="s">
        <v>20</v>
      </c>
      <c r="H829" s="2" t="s">
        <v>26</v>
      </c>
      <c r="I829" s="2" t="s">
        <v>21</v>
      </c>
      <c r="J829" s="2" t="n">
        <v>29</v>
      </c>
      <c r="K829" s="2" t="s">
        <v>44</v>
      </c>
      <c r="L829" s="2" t="n">
        <v>80</v>
      </c>
      <c r="M829" s="2" t="n">
        <v>8</v>
      </c>
      <c r="N829" s="2" t="n">
        <v>-1</v>
      </c>
      <c r="O829" s="2" t="n">
        <v>0</v>
      </c>
      <c r="P829" s="2" t="s">
        <v>23</v>
      </c>
      <c r="Q829" s="2" t="s">
        <v>20</v>
      </c>
    </row>
    <row r="830" customFormat="false" ht="15" hidden="false" customHeight="false" outlineLevel="0" collapsed="false">
      <c r="A830" s="2" t="n">
        <v>47</v>
      </c>
      <c r="B830" s="2" t="s">
        <v>17</v>
      </c>
      <c r="C830" s="2" t="s">
        <v>18</v>
      </c>
      <c r="D830" s="2" t="s">
        <v>19</v>
      </c>
      <c r="E830" s="2" t="s">
        <v>20</v>
      </c>
      <c r="F830" s="2" t="n">
        <v>168</v>
      </c>
      <c r="G830" s="2" t="s">
        <v>26</v>
      </c>
      <c r="H830" s="2" t="s">
        <v>20</v>
      </c>
      <c r="I830" s="2" t="s">
        <v>49</v>
      </c>
      <c r="J830" s="2" t="n">
        <v>30</v>
      </c>
      <c r="K830" s="2" t="s">
        <v>43</v>
      </c>
      <c r="L830" s="2" t="n">
        <v>66</v>
      </c>
      <c r="M830" s="2" t="n">
        <v>1</v>
      </c>
      <c r="N830" s="2" t="n">
        <v>241</v>
      </c>
      <c r="O830" s="2" t="n">
        <v>1</v>
      </c>
      <c r="P830" s="2" t="s">
        <v>37</v>
      </c>
      <c r="Q830" s="2" t="s">
        <v>20</v>
      </c>
    </row>
    <row r="831" customFormat="false" ht="15" hidden="false" customHeight="false" outlineLevel="0" collapsed="false">
      <c r="A831" s="2" t="n">
        <v>35</v>
      </c>
      <c r="B831" s="2" t="s">
        <v>29</v>
      </c>
      <c r="C831" s="2" t="s">
        <v>30</v>
      </c>
      <c r="D831" s="2" t="s">
        <v>31</v>
      </c>
      <c r="E831" s="2" t="s">
        <v>20</v>
      </c>
      <c r="F831" s="2" t="n">
        <v>714</v>
      </c>
      <c r="G831" s="2" t="s">
        <v>26</v>
      </c>
      <c r="H831" s="2" t="s">
        <v>20</v>
      </c>
      <c r="I831" s="2" t="s">
        <v>21</v>
      </c>
      <c r="J831" s="2" t="n">
        <v>26</v>
      </c>
      <c r="K831" s="2" t="s">
        <v>41</v>
      </c>
      <c r="L831" s="2" t="n">
        <v>135</v>
      </c>
      <c r="M831" s="2" t="n">
        <v>22</v>
      </c>
      <c r="N831" s="2" t="n">
        <v>-1</v>
      </c>
      <c r="O831" s="2" t="n">
        <v>0</v>
      </c>
      <c r="P831" s="2" t="s">
        <v>23</v>
      </c>
      <c r="Q831" s="2" t="s">
        <v>20</v>
      </c>
    </row>
    <row r="832" customFormat="false" ht="15" hidden="false" customHeight="false" outlineLevel="0" collapsed="false">
      <c r="A832" s="2" t="n">
        <v>42</v>
      </c>
      <c r="B832" s="2" t="s">
        <v>29</v>
      </c>
      <c r="C832" s="2" t="s">
        <v>30</v>
      </c>
      <c r="D832" s="2" t="s">
        <v>31</v>
      </c>
      <c r="E832" s="2" t="s">
        <v>20</v>
      </c>
      <c r="F832" s="2" t="n">
        <v>0</v>
      </c>
      <c r="G832" s="2" t="s">
        <v>20</v>
      </c>
      <c r="H832" s="2" t="s">
        <v>20</v>
      </c>
      <c r="I832" s="2" t="s">
        <v>21</v>
      </c>
      <c r="J832" s="2" t="n">
        <v>7</v>
      </c>
      <c r="K832" s="2" t="s">
        <v>51</v>
      </c>
      <c r="L832" s="2" t="n">
        <v>99</v>
      </c>
      <c r="M832" s="2" t="n">
        <v>1</v>
      </c>
      <c r="N832" s="2" t="n">
        <v>-1</v>
      </c>
      <c r="O832" s="2" t="n">
        <v>0</v>
      </c>
      <c r="P832" s="2" t="s">
        <v>23</v>
      </c>
      <c r="Q832" s="2" t="s">
        <v>20</v>
      </c>
    </row>
    <row r="833" customFormat="false" ht="15" hidden="false" customHeight="false" outlineLevel="0" collapsed="false">
      <c r="A833" s="2" t="n">
        <v>47</v>
      </c>
      <c r="B833" s="2" t="s">
        <v>34</v>
      </c>
      <c r="C833" s="2" t="s">
        <v>18</v>
      </c>
      <c r="D833" s="2" t="s">
        <v>25</v>
      </c>
      <c r="E833" s="2" t="s">
        <v>20</v>
      </c>
      <c r="F833" s="2" t="n">
        <v>1996</v>
      </c>
      <c r="G833" s="2" t="s">
        <v>20</v>
      </c>
      <c r="H833" s="2" t="s">
        <v>20</v>
      </c>
      <c r="I833" s="2" t="s">
        <v>23</v>
      </c>
      <c r="J833" s="2" t="n">
        <v>5</v>
      </c>
      <c r="K833" s="2" t="s">
        <v>33</v>
      </c>
      <c r="L833" s="2" t="n">
        <v>761</v>
      </c>
      <c r="M833" s="2" t="n">
        <v>2</v>
      </c>
      <c r="N833" s="2" t="n">
        <v>-1</v>
      </c>
      <c r="O833" s="2" t="n">
        <v>0</v>
      </c>
      <c r="P833" s="2" t="s">
        <v>23</v>
      </c>
      <c r="Q833" s="2" t="s">
        <v>26</v>
      </c>
    </row>
    <row r="834" customFormat="false" ht="15" hidden="false" customHeight="false" outlineLevel="0" collapsed="false">
      <c r="A834" s="2" t="n">
        <v>59</v>
      </c>
      <c r="B834" s="2" t="s">
        <v>48</v>
      </c>
      <c r="C834" s="2" t="s">
        <v>18</v>
      </c>
      <c r="D834" s="2" t="s">
        <v>25</v>
      </c>
      <c r="E834" s="2" t="s">
        <v>20</v>
      </c>
      <c r="F834" s="2" t="n">
        <v>163</v>
      </c>
      <c r="G834" s="2" t="s">
        <v>20</v>
      </c>
      <c r="H834" s="2" t="s">
        <v>20</v>
      </c>
      <c r="I834" s="2" t="s">
        <v>21</v>
      </c>
      <c r="J834" s="2" t="n">
        <v>24</v>
      </c>
      <c r="K834" s="2" t="s">
        <v>44</v>
      </c>
      <c r="L834" s="2" t="n">
        <v>464</v>
      </c>
      <c r="M834" s="2" t="n">
        <v>1</v>
      </c>
      <c r="N834" s="2" t="n">
        <v>-1</v>
      </c>
      <c r="O834" s="2" t="n">
        <v>0</v>
      </c>
      <c r="P834" s="2" t="s">
        <v>23</v>
      </c>
      <c r="Q834" s="2" t="s">
        <v>20</v>
      </c>
    </row>
    <row r="835" customFormat="false" ht="15" hidden="false" customHeight="false" outlineLevel="0" collapsed="false">
      <c r="A835" s="2" t="n">
        <v>38</v>
      </c>
      <c r="B835" s="2" t="s">
        <v>40</v>
      </c>
      <c r="C835" s="2" t="s">
        <v>18</v>
      </c>
      <c r="D835" s="2" t="s">
        <v>25</v>
      </c>
      <c r="E835" s="2" t="s">
        <v>20</v>
      </c>
      <c r="F835" s="2" t="n">
        <v>3190</v>
      </c>
      <c r="G835" s="2" t="s">
        <v>26</v>
      </c>
      <c r="H835" s="2" t="s">
        <v>20</v>
      </c>
      <c r="I835" s="2" t="s">
        <v>23</v>
      </c>
      <c r="J835" s="2" t="n">
        <v>20</v>
      </c>
      <c r="K835" s="2" t="s">
        <v>33</v>
      </c>
      <c r="L835" s="2" t="n">
        <v>20</v>
      </c>
      <c r="M835" s="2" t="n">
        <v>2</v>
      </c>
      <c r="N835" s="2" t="n">
        <v>-1</v>
      </c>
      <c r="O835" s="2" t="n">
        <v>0</v>
      </c>
      <c r="P835" s="2" t="s">
        <v>23</v>
      </c>
      <c r="Q835" s="2" t="s">
        <v>20</v>
      </c>
    </row>
    <row r="836" customFormat="false" ht="15" hidden="false" customHeight="false" outlineLevel="0" collapsed="false">
      <c r="A836" s="2" t="n">
        <v>50</v>
      </c>
      <c r="B836" s="2" t="s">
        <v>17</v>
      </c>
      <c r="C836" s="2" t="s">
        <v>18</v>
      </c>
      <c r="D836" s="2" t="s">
        <v>25</v>
      </c>
      <c r="E836" s="2" t="s">
        <v>20</v>
      </c>
      <c r="F836" s="2" t="n">
        <v>1772</v>
      </c>
      <c r="G836" s="2" t="s">
        <v>20</v>
      </c>
      <c r="H836" s="2" t="s">
        <v>20</v>
      </c>
      <c r="I836" s="2" t="s">
        <v>21</v>
      </c>
      <c r="J836" s="2" t="n">
        <v>29</v>
      </c>
      <c r="K836" s="2" t="s">
        <v>44</v>
      </c>
      <c r="L836" s="2" t="n">
        <v>206</v>
      </c>
      <c r="M836" s="2" t="n">
        <v>4</v>
      </c>
      <c r="N836" s="2" t="n">
        <v>-1</v>
      </c>
      <c r="O836" s="2" t="n">
        <v>0</v>
      </c>
      <c r="P836" s="2" t="s">
        <v>23</v>
      </c>
      <c r="Q836" s="2" t="s">
        <v>20</v>
      </c>
    </row>
    <row r="837" customFormat="false" ht="15" hidden="false" customHeight="false" outlineLevel="0" collapsed="false">
      <c r="A837" s="2" t="n">
        <v>27</v>
      </c>
      <c r="B837" s="2" t="s">
        <v>24</v>
      </c>
      <c r="C837" s="2" t="s">
        <v>30</v>
      </c>
      <c r="D837" s="2" t="s">
        <v>25</v>
      </c>
      <c r="E837" s="2" t="s">
        <v>20</v>
      </c>
      <c r="F837" s="2" t="n">
        <v>-151</v>
      </c>
      <c r="G837" s="2" t="s">
        <v>20</v>
      </c>
      <c r="H837" s="2" t="s">
        <v>20</v>
      </c>
      <c r="I837" s="2" t="s">
        <v>21</v>
      </c>
      <c r="J837" s="2" t="n">
        <v>8</v>
      </c>
      <c r="K837" s="2" t="s">
        <v>44</v>
      </c>
      <c r="L837" s="2" t="n">
        <v>283</v>
      </c>
      <c r="M837" s="2" t="n">
        <v>2</v>
      </c>
      <c r="N837" s="2" t="n">
        <v>-1</v>
      </c>
      <c r="O837" s="2" t="n">
        <v>0</v>
      </c>
      <c r="P837" s="2" t="s">
        <v>23</v>
      </c>
      <c r="Q837" s="2" t="s">
        <v>20</v>
      </c>
    </row>
    <row r="838" customFormat="false" ht="15" hidden="false" customHeight="false" outlineLevel="0" collapsed="false">
      <c r="A838" s="2" t="n">
        <v>55</v>
      </c>
      <c r="B838" s="2" t="s">
        <v>47</v>
      </c>
      <c r="C838" s="2" t="s">
        <v>18</v>
      </c>
      <c r="D838" s="2" t="s">
        <v>19</v>
      </c>
      <c r="E838" s="2" t="s">
        <v>20</v>
      </c>
      <c r="F838" s="2" t="n">
        <v>16</v>
      </c>
      <c r="G838" s="2" t="s">
        <v>20</v>
      </c>
      <c r="H838" s="2" t="s">
        <v>20</v>
      </c>
      <c r="I838" s="2" t="s">
        <v>23</v>
      </c>
      <c r="J838" s="2" t="n">
        <v>20</v>
      </c>
      <c r="K838" s="2" t="s">
        <v>33</v>
      </c>
      <c r="L838" s="2" t="n">
        <v>64</v>
      </c>
      <c r="M838" s="2" t="n">
        <v>1</v>
      </c>
      <c r="N838" s="2" t="n">
        <v>-1</v>
      </c>
      <c r="O838" s="2" t="n">
        <v>0</v>
      </c>
      <c r="P838" s="2" t="s">
        <v>23</v>
      </c>
      <c r="Q838" s="2" t="s">
        <v>20</v>
      </c>
    </row>
    <row r="839" customFormat="false" ht="15" hidden="false" customHeight="false" outlineLevel="0" collapsed="false">
      <c r="A839" s="2" t="n">
        <v>39</v>
      </c>
      <c r="B839" s="2" t="s">
        <v>24</v>
      </c>
      <c r="C839" s="2" t="s">
        <v>30</v>
      </c>
      <c r="D839" s="2" t="s">
        <v>25</v>
      </c>
      <c r="E839" s="2" t="s">
        <v>20</v>
      </c>
      <c r="F839" s="2" t="n">
        <v>7066</v>
      </c>
      <c r="G839" s="2" t="s">
        <v>26</v>
      </c>
      <c r="H839" s="2" t="s">
        <v>20</v>
      </c>
      <c r="I839" s="2" t="s">
        <v>21</v>
      </c>
      <c r="J839" s="2" t="n">
        <v>15</v>
      </c>
      <c r="K839" s="2" t="s">
        <v>27</v>
      </c>
      <c r="L839" s="2" t="n">
        <v>667</v>
      </c>
      <c r="M839" s="2" t="n">
        <v>3</v>
      </c>
      <c r="N839" s="2" t="n">
        <v>357</v>
      </c>
      <c r="O839" s="2" t="n">
        <v>3</v>
      </c>
      <c r="P839" s="2" t="s">
        <v>37</v>
      </c>
      <c r="Q839" s="2" t="s">
        <v>26</v>
      </c>
    </row>
    <row r="840" customFormat="false" ht="15" hidden="false" customHeight="false" outlineLevel="0" collapsed="false">
      <c r="A840" s="2" t="n">
        <v>31</v>
      </c>
      <c r="B840" s="2" t="s">
        <v>38</v>
      </c>
      <c r="C840" s="2" t="s">
        <v>30</v>
      </c>
      <c r="D840" s="2" t="s">
        <v>31</v>
      </c>
      <c r="E840" s="2" t="s">
        <v>20</v>
      </c>
      <c r="F840" s="2" t="n">
        <v>454</v>
      </c>
      <c r="G840" s="2" t="s">
        <v>20</v>
      </c>
      <c r="H840" s="2" t="s">
        <v>20</v>
      </c>
      <c r="I840" s="2" t="s">
        <v>21</v>
      </c>
      <c r="J840" s="2" t="n">
        <v>4</v>
      </c>
      <c r="K840" s="2" t="s">
        <v>35</v>
      </c>
      <c r="L840" s="2" t="n">
        <v>73</v>
      </c>
      <c r="M840" s="2" t="n">
        <v>3</v>
      </c>
      <c r="N840" s="2" t="n">
        <v>-1</v>
      </c>
      <c r="O840" s="2" t="n">
        <v>0</v>
      </c>
      <c r="P840" s="2" t="s">
        <v>23</v>
      </c>
      <c r="Q840" s="2" t="s">
        <v>20</v>
      </c>
    </row>
    <row r="841" customFormat="false" ht="15" hidden="false" customHeight="false" outlineLevel="0" collapsed="false">
      <c r="A841" s="2" t="n">
        <v>37</v>
      </c>
      <c r="B841" s="2" t="s">
        <v>39</v>
      </c>
      <c r="C841" s="2" t="s">
        <v>18</v>
      </c>
      <c r="D841" s="2" t="s">
        <v>31</v>
      </c>
      <c r="E841" s="2" t="s">
        <v>20</v>
      </c>
      <c r="F841" s="2" t="n">
        <v>4798</v>
      </c>
      <c r="G841" s="2" t="s">
        <v>26</v>
      </c>
      <c r="H841" s="2" t="s">
        <v>20</v>
      </c>
      <c r="I841" s="2" t="s">
        <v>23</v>
      </c>
      <c r="J841" s="2" t="n">
        <v>20</v>
      </c>
      <c r="K841" s="2" t="s">
        <v>27</v>
      </c>
      <c r="L841" s="2" t="n">
        <v>156</v>
      </c>
      <c r="M841" s="2" t="n">
        <v>2</v>
      </c>
      <c r="N841" s="2" t="n">
        <v>-1</v>
      </c>
      <c r="O841" s="2" t="n">
        <v>0</v>
      </c>
      <c r="P841" s="2" t="s">
        <v>23</v>
      </c>
      <c r="Q841" s="2" t="s">
        <v>20</v>
      </c>
    </row>
    <row r="842" customFormat="false" ht="15" hidden="false" customHeight="false" outlineLevel="0" collapsed="false">
      <c r="A842" s="2" t="n">
        <v>28</v>
      </c>
      <c r="B842" s="2" t="s">
        <v>38</v>
      </c>
      <c r="C842" s="2" t="s">
        <v>30</v>
      </c>
      <c r="D842" s="2" t="s">
        <v>25</v>
      </c>
      <c r="E842" s="2" t="s">
        <v>26</v>
      </c>
      <c r="F842" s="2" t="n">
        <v>-298</v>
      </c>
      <c r="G842" s="2" t="s">
        <v>26</v>
      </c>
      <c r="H842" s="2" t="s">
        <v>20</v>
      </c>
      <c r="I842" s="2" t="s">
        <v>23</v>
      </c>
      <c r="J842" s="2" t="n">
        <v>3</v>
      </c>
      <c r="K842" s="2" t="s">
        <v>33</v>
      </c>
      <c r="L842" s="2" t="n">
        <v>559</v>
      </c>
      <c r="M842" s="2" t="n">
        <v>7</v>
      </c>
      <c r="N842" s="2" t="n">
        <v>-1</v>
      </c>
      <c r="O842" s="2" t="n">
        <v>0</v>
      </c>
      <c r="P842" s="2" t="s">
        <v>23</v>
      </c>
      <c r="Q842" s="2" t="s">
        <v>20</v>
      </c>
    </row>
    <row r="843" customFormat="false" ht="15" hidden="false" customHeight="false" outlineLevel="0" collapsed="false">
      <c r="A843" s="2" t="n">
        <v>42</v>
      </c>
      <c r="B843" s="2" t="s">
        <v>38</v>
      </c>
      <c r="C843" s="2" t="s">
        <v>18</v>
      </c>
      <c r="D843" s="2" t="s">
        <v>25</v>
      </c>
      <c r="E843" s="2" t="s">
        <v>20</v>
      </c>
      <c r="F843" s="2" t="n">
        <v>439</v>
      </c>
      <c r="G843" s="2" t="s">
        <v>20</v>
      </c>
      <c r="H843" s="2" t="s">
        <v>20</v>
      </c>
      <c r="I843" s="2" t="s">
        <v>21</v>
      </c>
      <c r="J843" s="2" t="n">
        <v>20</v>
      </c>
      <c r="K843" s="2" t="s">
        <v>41</v>
      </c>
      <c r="L843" s="2" t="n">
        <v>143</v>
      </c>
      <c r="M843" s="2" t="n">
        <v>2</v>
      </c>
      <c r="N843" s="2" t="n">
        <v>-1</v>
      </c>
      <c r="O843" s="2" t="n">
        <v>0</v>
      </c>
      <c r="P843" s="2" t="s">
        <v>23</v>
      </c>
      <c r="Q843" s="2" t="s">
        <v>20</v>
      </c>
    </row>
    <row r="844" customFormat="false" ht="15" hidden="false" customHeight="false" outlineLevel="0" collapsed="false">
      <c r="A844" s="2" t="n">
        <v>40</v>
      </c>
      <c r="B844" s="2" t="s">
        <v>24</v>
      </c>
      <c r="C844" s="2" t="s">
        <v>45</v>
      </c>
      <c r="D844" s="2" t="s">
        <v>25</v>
      </c>
      <c r="E844" s="2" t="s">
        <v>20</v>
      </c>
      <c r="F844" s="2" t="n">
        <v>1927</v>
      </c>
      <c r="G844" s="2" t="s">
        <v>26</v>
      </c>
      <c r="H844" s="2" t="s">
        <v>20</v>
      </c>
      <c r="I844" s="2" t="s">
        <v>23</v>
      </c>
      <c r="J844" s="2" t="n">
        <v>15</v>
      </c>
      <c r="K844" s="2" t="s">
        <v>27</v>
      </c>
      <c r="L844" s="2" t="n">
        <v>62</v>
      </c>
      <c r="M844" s="2" t="n">
        <v>1</v>
      </c>
      <c r="N844" s="2" t="n">
        <v>-1</v>
      </c>
      <c r="O844" s="2" t="n">
        <v>0</v>
      </c>
      <c r="P844" s="2" t="s">
        <v>23</v>
      </c>
      <c r="Q844" s="2" t="s">
        <v>20</v>
      </c>
    </row>
    <row r="845" customFormat="false" ht="15" hidden="false" customHeight="false" outlineLevel="0" collapsed="false">
      <c r="A845" s="2" t="n">
        <v>59</v>
      </c>
      <c r="B845" s="2" t="s">
        <v>29</v>
      </c>
      <c r="C845" s="2" t="s">
        <v>30</v>
      </c>
      <c r="D845" s="2" t="s">
        <v>25</v>
      </c>
      <c r="E845" s="2" t="s">
        <v>20</v>
      </c>
      <c r="F845" s="2" t="n">
        <v>671</v>
      </c>
      <c r="G845" s="2" t="s">
        <v>26</v>
      </c>
      <c r="H845" s="2" t="s">
        <v>26</v>
      </c>
      <c r="I845" s="2" t="s">
        <v>21</v>
      </c>
      <c r="J845" s="2" t="n">
        <v>29</v>
      </c>
      <c r="K845" s="2" t="s">
        <v>43</v>
      </c>
      <c r="L845" s="2" t="n">
        <v>219</v>
      </c>
      <c r="M845" s="2" t="n">
        <v>2</v>
      </c>
      <c r="N845" s="2" t="n">
        <v>259</v>
      </c>
      <c r="O845" s="2" t="n">
        <v>5</v>
      </c>
      <c r="P845" s="2" t="s">
        <v>28</v>
      </c>
      <c r="Q845" s="2" t="s">
        <v>20</v>
      </c>
    </row>
    <row r="846" customFormat="false" ht="15" hidden="false" customHeight="false" outlineLevel="0" collapsed="false">
      <c r="A846" s="2" t="n">
        <v>40</v>
      </c>
      <c r="B846" s="2" t="s">
        <v>24</v>
      </c>
      <c r="C846" s="2" t="s">
        <v>30</v>
      </c>
      <c r="D846" s="2" t="s">
        <v>25</v>
      </c>
      <c r="E846" s="2" t="s">
        <v>20</v>
      </c>
      <c r="F846" s="2" t="n">
        <v>65</v>
      </c>
      <c r="G846" s="2" t="s">
        <v>26</v>
      </c>
      <c r="H846" s="2" t="s">
        <v>20</v>
      </c>
      <c r="I846" s="2" t="s">
        <v>21</v>
      </c>
      <c r="J846" s="2" t="n">
        <v>15</v>
      </c>
      <c r="K846" s="2" t="s">
        <v>27</v>
      </c>
      <c r="L846" s="2" t="n">
        <v>15</v>
      </c>
      <c r="M846" s="2" t="n">
        <v>3</v>
      </c>
      <c r="N846" s="2" t="n">
        <v>-1</v>
      </c>
      <c r="O846" s="2" t="n">
        <v>0</v>
      </c>
      <c r="P846" s="2" t="s">
        <v>23</v>
      </c>
      <c r="Q846" s="2" t="s">
        <v>20</v>
      </c>
    </row>
    <row r="847" customFormat="false" ht="15" hidden="false" customHeight="false" outlineLevel="0" collapsed="false">
      <c r="A847" s="2" t="n">
        <v>43</v>
      </c>
      <c r="B847" s="2" t="s">
        <v>38</v>
      </c>
      <c r="C847" s="2" t="s">
        <v>18</v>
      </c>
      <c r="D847" s="2" t="s">
        <v>25</v>
      </c>
      <c r="E847" s="2" t="s">
        <v>20</v>
      </c>
      <c r="F847" s="2" t="n">
        <v>-932</v>
      </c>
      <c r="G847" s="2" t="s">
        <v>26</v>
      </c>
      <c r="H847" s="2" t="s">
        <v>20</v>
      </c>
      <c r="I847" s="2" t="s">
        <v>21</v>
      </c>
      <c r="J847" s="2" t="n">
        <v>16</v>
      </c>
      <c r="K847" s="2" t="s">
        <v>32</v>
      </c>
      <c r="L847" s="2" t="n">
        <v>567</v>
      </c>
      <c r="M847" s="2" t="n">
        <v>1</v>
      </c>
      <c r="N847" s="2" t="n">
        <v>-1</v>
      </c>
      <c r="O847" s="2" t="n">
        <v>0</v>
      </c>
      <c r="P847" s="2" t="s">
        <v>23</v>
      </c>
      <c r="Q847" s="2" t="s">
        <v>20</v>
      </c>
    </row>
    <row r="848" customFormat="false" ht="15" hidden="false" customHeight="false" outlineLevel="0" collapsed="false">
      <c r="A848" s="2" t="n">
        <v>38</v>
      </c>
      <c r="B848" s="2" t="s">
        <v>38</v>
      </c>
      <c r="C848" s="2" t="s">
        <v>30</v>
      </c>
      <c r="D848" s="2" t="s">
        <v>25</v>
      </c>
      <c r="E848" s="2" t="s">
        <v>20</v>
      </c>
      <c r="F848" s="2" t="n">
        <v>4366</v>
      </c>
      <c r="G848" s="2" t="s">
        <v>26</v>
      </c>
      <c r="H848" s="2" t="s">
        <v>20</v>
      </c>
      <c r="I848" s="2" t="s">
        <v>21</v>
      </c>
      <c r="J848" s="2" t="n">
        <v>29</v>
      </c>
      <c r="K848" s="2" t="s">
        <v>44</v>
      </c>
      <c r="L848" s="2" t="n">
        <v>188</v>
      </c>
      <c r="M848" s="2" t="n">
        <v>2</v>
      </c>
      <c r="N848" s="2" t="n">
        <v>-1</v>
      </c>
      <c r="O848" s="2" t="n">
        <v>0</v>
      </c>
      <c r="P848" s="2" t="s">
        <v>23</v>
      </c>
      <c r="Q848" s="2" t="s">
        <v>20</v>
      </c>
    </row>
    <row r="849" customFormat="false" ht="15" hidden="false" customHeight="false" outlineLevel="0" collapsed="false">
      <c r="A849" s="2" t="n">
        <v>54</v>
      </c>
      <c r="B849" s="2" t="s">
        <v>48</v>
      </c>
      <c r="C849" s="2" t="s">
        <v>18</v>
      </c>
      <c r="D849" s="2" t="s">
        <v>19</v>
      </c>
      <c r="E849" s="2" t="s">
        <v>20</v>
      </c>
      <c r="F849" s="2" t="n">
        <v>0</v>
      </c>
      <c r="G849" s="2" t="s">
        <v>26</v>
      </c>
      <c r="H849" s="2" t="s">
        <v>20</v>
      </c>
      <c r="I849" s="2" t="s">
        <v>21</v>
      </c>
      <c r="J849" s="2" t="n">
        <v>11</v>
      </c>
      <c r="K849" s="2" t="s">
        <v>44</v>
      </c>
      <c r="L849" s="2" t="n">
        <v>159</v>
      </c>
      <c r="M849" s="2" t="n">
        <v>2</v>
      </c>
      <c r="N849" s="2" t="n">
        <v>-1</v>
      </c>
      <c r="O849" s="2" t="n">
        <v>0</v>
      </c>
      <c r="P849" s="2" t="s">
        <v>23</v>
      </c>
      <c r="Q849" s="2" t="s">
        <v>20</v>
      </c>
    </row>
    <row r="850" customFormat="false" ht="15" hidden="false" customHeight="false" outlineLevel="0" collapsed="false">
      <c r="A850" s="2" t="n">
        <v>41</v>
      </c>
      <c r="B850" s="2" t="s">
        <v>34</v>
      </c>
      <c r="C850" s="2" t="s">
        <v>18</v>
      </c>
      <c r="D850" s="2" t="s">
        <v>25</v>
      </c>
      <c r="E850" s="2" t="s">
        <v>20</v>
      </c>
      <c r="F850" s="2" t="n">
        <v>4900</v>
      </c>
      <c r="G850" s="2" t="s">
        <v>26</v>
      </c>
      <c r="H850" s="2" t="s">
        <v>20</v>
      </c>
      <c r="I850" s="2" t="s">
        <v>49</v>
      </c>
      <c r="J850" s="2" t="n">
        <v>31</v>
      </c>
      <c r="K850" s="2" t="s">
        <v>44</v>
      </c>
      <c r="L850" s="2" t="n">
        <v>121</v>
      </c>
      <c r="M850" s="2" t="n">
        <v>2</v>
      </c>
      <c r="N850" s="2" t="n">
        <v>-1</v>
      </c>
      <c r="O850" s="2" t="n">
        <v>0</v>
      </c>
      <c r="P850" s="2" t="s">
        <v>23</v>
      </c>
      <c r="Q850" s="2" t="s">
        <v>20</v>
      </c>
    </row>
    <row r="851" customFormat="false" ht="15" hidden="false" customHeight="false" outlineLevel="0" collapsed="false">
      <c r="A851" s="2" t="n">
        <v>55</v>
      </c>
      <c r="B851" s="2" t="s">
        <v>47</v>
      </c>
      <c r="C851" s="2" t="s">
        <v>45</v>
      </c>
      <c r="D851" s="2" t="s">
        <v>19</v>
      </c>
      <c r="E851" s="2" t="s">
        <v>20</v>
      </c>
      <c r="F851" s="2" t="n">
        <v>976</v>
      </c>
      <c r="G851" s="2" t="s">
        <v>20</v>
      </c>
      <c r="H851" s="2" t="s">
        <v>20</v>
      </c>
      <c r="I851" s="2" t="s">
        <v>21</v>
      </c>
      <c r="J851" s="2" t="n">
        <v>28</v>
      </c>
      <c r="K851" s="2" t="s">
        <v>33</v>
      </c>
      <c r="L851" s="2" t="n">
        <v>345</v>
      </c>
      <c r="M851" s="2" t="n">
        <v>1</v>
      </c>
      <c r="N851" s="2" t="n">
        <v>94</v>
      </c>
      <c r="O851" s="2" t="n">
        <v>3</v>
      </c>
      <c r="P851" s="2" t="s">
        <v>37</v>
      </c>
      <c r="Q851" s="2" t="s">
        <v>26</v>
      </c>
    </row>
    <row r="852" customFormat="false" ht="15" hidden="false" customHeight="false" outlineLevel="0" collapsed="false">
      <c r="A852" s="2" t="n">
        <v>33</v>
      </c>
      <c r="B852" s="2" t="s">
        <v>29</v>
      </c>
      <c r="C852" s="2" t="s">
        <v>18</v>
      </c>
      <c r="D852" s="2" t="s">
        <v>31</v>
      </c>
      <c r="E852" s="2" t="s">
        <v>20</v>
      </c>
      <c r="F852" s="2" t="n">
        <v>148</v>
      </c>
      <c r="G852" s="2" t="s">
        <v>20</v>
      </c>
      <c r="H852" s="2" t="s">
        <v>20</v>
      </c>
      <c r="I852" s="2" t="s">
        <v>23</v>
      </c>
      <c r="J852" s="2" t="n">
        <v>20</v>
      </c>
      <c r="K852" s="2" t="s">
        <v>27</v>
      </c>
      <c r="L852" s="2" t="n">
        <v>717</v>
      </c>
      <c r="M852" s="2" t="n">
        <v>1</v>
      </c>
      <c r="N852" s="2" t="n">
        <v>-1</v>
      </c>
      <c r="O852" s="2" t="n">
        <v>0</v>
      </c>
      <c r="P852" s="2" t="s">
        <v>23</v>
      </c>
      <c r="Q852" s="2" t="s">
        <v>20</v>
      </c>
    </row>
    <row r="853" customFormat="false" ht="15" hidden="false" customHeight="false" outlineLevel="0" collapsed="false">
      <c r="A853" s="2" t="n">
        <v>46</v>
      </c>
      <c r="B853" s="2" t="s">
        <v>34</v>
      </c>
      <c r="C853" s="2" t="s">
        <v>18</v>
      </c>
      <c r="D853" s="2" t="s">
        <v>25</v>
      </c>
      <c r="E853" s="2" t="s">
        <v>20</v>
      </c>
      <c r="F853" s="2" t="n">
        <v>5</v>
      </c>
      <c r="G853" s="2" t="s">
        <v>20</v>
      </c>
      <c r="H853" s="2" t="s">
        <v>20</v>
      </c>
      <c r="I853" s="2" t="s">
        <v>21</v>
      </c>
      <c r="J853" s="2" t="n">
        <v>18</v>
      </c>
      <c r="K853" s="2" t="s">
        <v>41</v>
      </c>
      <c r="L853" s="2" t="n">
        <v>71</v>
      </c>
      <c r="M853" s="2" t="n">
        <v>3</v>
      </c>
      <c r="N853" s="2" t="n">
        <v>-1</v>
      </c>
      <c r="O853" s="2" t="n">
        <v>0</v>
      </c>
      <c r="P853" s="2" t="s">
        <v>23</v>
      </c>
      <c r="Q853" s="2" t="s">
        <v>20</v>
      </c>
    </row>
    <row r="854" customFormat="false" ht="15" hidden="false" customHeight="false" outlineLevel="0" collapsed="false">
      <c r="A854" s="2" t="n">
        <v>36</v>
      </c>
      <c r="B854" s="2" t="s">
        <v>29</v>
      </c>
      <c r="C854" s="2" t="s">
        <v>18</v>
      </c>
      <c r="D854" s="2" t="s">
        <v>25</v>
      </c>
      <c r="E854" s="2" t="s">
        <v>20</v>
      </c>
      <c r="F854" s="2" t="n">
        <v>-148</v>
      </c>
      <c r="G854" s="2" t="s">
        <v>20</v>
      </c>
      <c r="H854" s="2" t="s">
        <v>20</v>
      </c>
      <c r="I854" s="2" t="s">
        <v>21</v>
      </c>
      <c r="J854" s="2" t="n">
        <v>18</v>
      </c>
      <c r="K854" s="2" t="s">
        <v>46</v>
      </c>
      <c r="L854" s="2" t="n">
        <v>144</v>
      </c>
      <c r="M854" s="2" t="n">
        <v>2</v>
      </c>
      <c r="N854" s="2" t="n">
        <v>-1</v>
      </c>
      <c r="O854" s="2" t="n">
        <v>0</v>
      </c>
      <c r="P854" s="2" t="s">
        <v>23</v>
      </c>
      <c r="Q854" s="2" t="s">
        <v>20</v>
      </c>
    </row>
    <row r="855" customFormat="false" ht="15" hidden="false" customHeight="false" outlineLevel="0" collapsed="false">
      <c r="A855" s="2" t="n">
        <v>48</v>
      </c>
      <c r="B855" s="2" t="s">
        <v>38</v>
      </c>
      <c r="C855" s="2" t="s">
        <v>45</v>
      </c>
      <c r="D855" s="2" t="s">
        <v>31</v>
      </c>
      <c r="E855" s="2" t="s">
        <v>20</v>
      </c>
      <c r="F855" s="2" t="n">
        <v>113</v>
      </c>
      <c r="G855" s="2" t="s">
        <v>20</v>
      </c>
      <c r="H855" s="2" t="s">
        <v>26</v>
      </c>
      <c r="I855" s="2" t="s">
        <v>21</v>
      </c>
      <c r="J855" s="2" t="n">
        <v>22</v>
      </c>
      <c r="K855" s="2" t="s">
        <v>44</v>
      </c>
      <c r="L855" s="2" t="n">
        <v>38</v>
      </c>
      <c r="M855" s="2" t="n">
        <v>1</v>
      </c>
      <c r="N855" s="2" t="n">
        <v>-1</v>
      </c>
      <c r="O855" s="2" t="n">
        <v>0</v>
      </c>
      <c r="P855" s="2" t="s">
        <v>23</v>
      </c>
      <c r="Q855" s="2" t="s">
        <v>20</v>
      </c>
    </row>
    <row r="856" customFormat="false" ht="15" hidden="false" customHeight="false" outlineLevel="0" collapsed="false">
      <c r="A856" s="2" t="n">
        <v>42</v>
      </c>
      <c r="B856" s="2" t="s">
        <v>29</v>
      </c>
      <c r="C856" s="2" t="s">
        <v>18</v>
      </c>
      <c r="D856" s="2" t="s">
        <v>25</v>
      </c>
      <c r="E856" s="2" t="s">
        <v>20</v>
      </c>
      <c r="F856" s="2" t="n">
        <v>-105</v>
      </c>
      <c r="G856" s="2" t="s">
        <v>26</v>
      </c>
      <c r="H856" s="2" t="s">
        <v>20</v>
      </c>
      <c r="I856" s="2" t="s">
        <v>21</v>
      </c>
      <c r="J856" s="2" t="n">
        <v>28</v>
      </c>
      <c r="K856" s="2" t="s">
        <v>41</v>
      </c>
      <c r="L856" s="2" t="n">
        <v>60</v>
      </c>
      <c r="M856" s="2" t="n">
        <v>2</v>
      </c>
      <c r="N856" s="2" t="n">
        <v>-1</v>
      </c>
      <c r="O856" s="2" t="n">
        <v>0</v>
      </c>
      <c r="P856" s="2" t="s">
        <v>23</v>
      </c>
      <c r="Q856" s="2" t="s">
        <v>20</v>
      </c>
    </row>
    <row r="857" customFormat="false" ht="15" hidden="false" customHeight="false" outlineLevel="0" collapsed="false">
      <c r="A857" s="2" t="n">
        <v>46</v>
      </c>
      <c r="B857" s="2" t="s">
        <v>29</v>
      </c>
      <c r="C857" s="2" t="s">
        <v>45</v>
      </c>
      <c r="D857" s="2" t="s">
        <v>31</v>
      </c>
      <c r="E857" s="2" t="s">
        <v>20</v>
      </c>
      <c r="F857" s="2" t="n">
        <v>624</v>
      </c>
      <c r="G857" s="2" t="s">
        <v>20</v>
      </c>
      <c r="H857" s="2" t="s">
        <v>20</v>
      </c>
      <c r="I857" s="2" t="s">
        <v>21</v>
      </c>
      <c r="J857" s="2" t="n">
        <v>17</v>
      </c>
      <c r="K857" s="2" t="s">
        <v>51</v>
      </c>
      <c r="L857" s="2" t="n">
        <v>336</v>
      </c>
      <c r="M857" s="2" t="n">
        <v>2</v>
      </c>
      <c r="N857" s="2" t="n">
        <v>183</v>
      </c>
      <c r="O857" s="2" t="n">
        <v>2</v>
      </c>
      <c r="P857" s="2" t="s">
        <v>50</v>
      </c>
      <c r="Q857" s="2" t="s">
        <v>26</v>
      </c>
    </row>
    <row r="858" customFormat="false" ht="15" hidden="false" customHeight="false" outlineLevel="0" collapsed="false">
      <c r="A858" s="2" t="n">
        <v>49</v>
      </c>
      <c r="B858" s="2" t="s">
        <v>38</v>
      </c>
      <c r="C858" s="2" t="s">
        <v>18</v>
      </c>
      <c r="D858" s="2" t="s">
        <v>25</v>
      </c>
      <c r="E858" s="2" t="s">
        <v>26</v>
      </c>
      <c r="F858" s="2" t="n">
        <v>-1680</v>
      </c>
      <c r="G858" s="2" t="s">
        <v>26</v>
      </c>
      <c r="H858" s="2" t="s">
        <v>26</v>
      </c>
      <c r="I858" s="2" t="s">
        <v>23</v>
      </c>
      <c r="J858" s="2" t="n">
        <v>27</v>
      </c>
      <c r="K858" s="2" t="s">
        <v>33</v>
      </c>
      <c r="L858" s="2" t="n">
        <v>92</v>
      </c>
      <c r="M858" s="2" t="n">
        <v>4</v>
      </c>
      <c r="N858" s="2" t="n">
        <v>-1</v>
      </c>
      <c r="O858" s="2" t="n">
        <v>0</v>
      </c>
      <c r="P858" s="2" t="s">
        <v>23</v>
      </c>
      <c r="Q858" s="2" t="s">
        <v>20</v>
      </c>
    </row>
    <row r="859" customFormat="false" ht="15" hidden="false" customHeight="false" outlineLevel="0" collapsed="false">
      <c r="A859" s="2" t="n">
        <v>36</v>
      </c>
      <c r="B859" s="2" t="s">
        <v>34</v>
      </c>
      <c r="C859" s="2" t="s">
        <v>18</v>
      </c>
      <c r="D859" s="2" t="s">
        <v>25</v>
      </c>
      <c r="E859" s="2" t="s">
        <v>20</v>
      </c>
      <c r="F859" s="2" t="n">
        <v>-461</v>
      </c>
      <c r="G859" s="2" t="s">
        <v>20</v>
      </c>
      <c r="H859" s="2" t="s">
        <v>20</v>
      </c>
      <c r="I859" s="2" t="s">
        <v>21</v>
      </c>
      <c r="J859" s="2" t="n">
        <v>11</v>
      </c>
      <c r="K859" s="2" t="s">
        <v>27</v>
      </c>
      <c r="L859" s="2" t="n">
        <v>254</v>
      </c>
      <c r="M859" s="2" t="n">
        <v>2</v>
      </c>
      <c r="N859" s="2" t="n">
        <v>353</v>
      </c>
      <c r="O859" s="2" t="n">
        <v>1</v>
      </c>
      <c r="P859" s="2" t="s">
        <v>28</v>
      </c>
      <c r="Q859" s="2" t="s">
        <v>20</v>
      </c>
    </row>
    <row r="860" customFormat="false" ht="15" hidden="false" customHeight="false" outlineLevel="0" collapsed="false">
      <c r="A860" s="2" t="n">
        <v>34</v>
      </c>
      <c r="B860" s="2" t="s">
        <v>38</v>
      </c>
      <c r="C860" s="2" t="s">
        <v>30</v>
      </c>
      <c r="D860" s="2" t="s">
        <v>31</v>
      </c>
      <c r="E860" s="2" t="s">
        <v>20</v>
      </c>
      <c r="F860" s="2" t="n">
        <v>144</v>
      </c>
      <c r="G860" s="2" t="s">
        <v>26</v>
      </c>
      <c r="H860" s="2" t="s">
        <v>26</v>
      </c>
      <c r="I860" s="2" t="s">
        <v>21</v>
      </c>
      <c r="J860" s="2" t="n">
        <v>14</v>
      </c>
      <c r="K860" s="2" t="s">
        <v>22</v>
      </c>
      <c r="L860" s="2" t="n">
        <v>104</v>
      </c>
      <c r="M860" s="2" t="n">
        <v>1</v>
      </c>
      <c r="N860" s="2" t="n">
        <v>85</v>
      </c>
      <c r="O860" s="2" t="n">
        <v>19</v>
      </c>
      <c r="P860" s="2" t="s">
        <v>28</v>
      </c>
      <c r="Q860" s="2" t="s">
        <v>20</v>
      </c>
    </row>
    <row r="861" customFormat="false" ht="15" hidden="false" customHeight="false" outlineLevel="0" collapsed="false">
      <c r="A861" s="2" t="n">
        <v>51</v>
      </c>
      <c r="B861" s="2" t="s">
        <v>39</v>
      </c>
      <c r="C861" s="2" t="s">
        <v>45</v>
      </c>
      <c r="D861" s="2" t="s">
        <v>31</v>
      </c>
      <c r="E861" s="2" t="s">
        <v>20</v>
      </c>
      <c r="F861" s="2" t="n">
        <v>4</v>
      </c>
      <c r="G861" s="2" t="s">
        <v>26</v>
      </c>
      <c r="H861" s="2" t="s">
        <v>26</v>
      </c>
      <c r="I861" s="2" t="s">
        <v>21</v>
      </c>
      <c r="J861" s="2" t="n">
        <v>20</v>
      </c>
      <c r="K861" s="2" t="s">
        <v>32</v>
      </c>
      <c r="L861" s="2" t="n">
        <v>74</v>
      </c>
      <c r="M861" s="2" t="n">
        <v>5</v>
      </c>
      <c r="N861" s="2" t="n">
        <v>-1</v>
      </c>
      <c r="O861" s="2" t="n">
        <v>0</v>
      </c>
      <c r="P861" s="2" t="s">
        <v>23</v>
      </c>
      <c r="Q861" s="2" t="s">
        <v>20</v>
      </c>
    </row>
    <row r="862" customFormat="false" ht="15" hidden="false" customHeight="false" outlineLevel="0" collapsed="false">
      <c r="A862" s="2" t="n">
        <v>58</v>
      </c>
      <c r="B862" s="2" t="s">
        <v>34</v>
      </c>
      <c r="C862" s="2" t="s">
        <v>18</v>
      </c>
      <c r="D862" s="2" t="s">
        <v>19</v>
      </c>
      <c r="E862" s="2" t="s">
        <v>20</v>
      </c>
      <c r="F862" s="2" t="n">
        <v>309</v>
      </c>
      <c r="G862" s="2" t="s">
        <v>20</v>
      </c>
      <c r="H862" s="2" t="s">
        <v>20</v>
      </c>
      <c r="I862" s="2" t="s">
        <v>21</v>
      </c>
      <c r="J862" s="2" t="n">
        <v>19</v>
      </c>
      <c r="K862" s="2" t="s">
        <v>41</v>
      </c>
      <c r="L862" s="2" t="n">
        <v>156</v>
      </c>
      <c r="M862" s="2" t="n">
        <v>2</v>
      </c>
      <c r="N862" s="2" t="n">
        <v>-1</v>
      </c>
      <c r="O862" s="2" t="n">
        <v>0</v>
      </c>
      <c r="P862" s="2" t="s">
        <v>23</v>
      </c>
      <c r="Q862" s="2" t="s">
        <v>20</v>
      </c>
    </row>
    <row r="863" customFormat="false" ht="15" hidden="false" customHeight="false" outlineLevel="0" collapsed="false">
      <c r="A863" s="2" t="n">
        <v>48</v>
      </c>
      <c r="B863" s="2" t="s">
        <v>29</v>
      </c>
      <c r="C863" s="2" t="s">
        <v>18</v>
      </c>
      <c r="D863" s="2" t="s">
        <v>31</v>
      </c>
      <c r="E863" s="2" t="s">
        <v>20</v>
      </c>
      <c r="F863" s="2" t="n">
        <v>866</v>
      </c>
      <c r="G863" s="2" t="s">
        <v>20</v>
      </c>
      <c r="H863" s="2" t="s">
        <v>20</v>
      </c>
      <c r="I863" s="2" t="s">
        <v>21</v>
      </c>
      <c r="J863" s="2" t="n">
        <v>29</v>
      </c>
      <c r="K863" s="2" t="s">
        <v>43</v>
      </c>
      <c r="L863" s="2" t="n">
        <v>146</v>
      </c>
      <c r="M863" s="2" t="n">
        <v>2</v>
      </c>
      <c r="N863" s="2" t="n">
        <v>-1</v>
      </c>
      <c r="O863" s="2" t="n">
        <v>0</v>
      </c>
      <c r="P863" s="2" t="s">
        <v>23</v>
      </c>
      <c r="Q863" s="2" t="s">
        <v>20</v>
      </c>
    </row>
    <row r="864" customFormat="false" ht="15" hidden="false" customHeight="false" outlineLevel="0" collapsed="false">
      <c r="A864" s="2" t="n">
        <v>41</v>
      </c>
      <c r="B864" s="2" t="s">
        <v>40</v>
      </c>
      <c r="C864" s="2" t="s">
        <v>30</v>
      </c>
      <c r="D864" s="2" t="s">
        <v>25</v>
      </c>
      <c r="E864" s="2" t="s">
        <v>20</v>
      </c>
      <c r="F864" s="2" t="n">
        <v>1020</v>
      </c>
      <c r="G864" s="2" t="s">
        <v>26</v>
      </c>
      <c r="H864" s="2" t="s">
        <v>20</v>
      </c>
      <c r="I864" s="2" t="s">
        <v>23</v>
      </c>
      <c r="J864" s="2" t="n">
        <v>19</v>
      </c>
      <c r="K864" s="2" t="s">
        <v>27</v>
      </c>
      <c r="L864" s="2" t="n">
        <v>882</v>
      </c>
      <c r="M864" s="2" t="n">
        <v>1</v>
      </c>
      <c r="N864" s="2" t="n">
        <v>-1</v>
      </c>
      <c r="O864" s="2" t="n">
        <v>0</v>
      </c>
      <c r="P864" s="2" t="s">
        <v>23</v>
      </c>
      <c r="Q864" s="2" t="s">
        <v>26</v>
      </c>
    </row>
    <row r="865" customFormat="false" ht="15" hidden="false" customHeight="false" outlineLevel="0" collapsed="false">
      <c r="A865" s="2" t="n">
        <v>49</v>
      </c>
      <c r="B865" s="2" t="s">
        <v>36</v>
      </c>
      <c r="C865" s="2" t="s">
        <v>18</v>
      </c>
      <c r="D865" s="2" t="s">
        <v>19</v>
      </c>
      <c r="E865" s="2" t="s">
        <v>20</v>
      </c>
      <c r="F865" s="2" t="n">
        <v>489</v>
      </c>
      <c r="G865" s="2" t="s">
        <v>26</v>
      </c>
      <c r="H865" s="2" t="s">
        <v>20</v>
      </c>
      <c r="I865" s="2" t="s">
        <v>23</v>
      </c>
      <c r="J865" s="2" t="n">
        <v>27</v>
      </c>
      <c r="K865" s="2" t="s">
        <v>27</v>
      </c>
      <c r="L865" s="2" t="n">
        <v>84</v>
      </c>
      <c r="M865" s="2" t="n">
        <v>4</v>
      </c>
      <c r="N865" s="2" t="n">
        <v>-1</v>
      </c>
      <c r="O865" s="2" t="n">
        <v>0</v>
      </c>
      <c r="P865" s="2" t="s">
        <v>23</v>
      </c>
      <c r="Q865" s="2" t="s">
        <v>20</v>
      </c>
    </row>
    <row r="866" customFormat="false" ht="15" hidden="false" customHeight="false" outlineLevel="0" collapsed="false">
      <c r="A866" s="2" t="n">
        <v>43</v>
      </c>
      <c r="B866" s="2" t="s">
        <v>29</v>
      </c>
      <c r="C866" s="2" t="s">
        <v>18</v>
      </c>
      <c r="D866" s="2" t="s">
        <v>19</v>
      </c>
      <c r="E866" s="2" t="s">
        <v>20</v>
      </c>
      <c r="F866" s="2" t="n">
        <v>8167</v>
      </c>
      <c r="G866" s="2" t="s">
        <v>26</v>
      </c>
      <c r="H866" s="2" t="s">
        <v>20</v>
      </c>
      <c r="I866" s="2" t="s">
        <v>23</v>
      </c>
      <c r="J866" s="2" t="n">
        <v>19</v>
      </c>
      <c r="K866" s="2" t="s">
        <v>27</v>
      </c>
      <c r="L866" s="2" t="n">
        <v>114</v>
      </c>
      <c r="M866" s="2" t="n">
        <v>2</v>
      </c>
      <c r="N866" s="2" t="n">
        <v>-1</v>
      </c>
      <c r="O866" s="2" t="n">
        <v>0</v>
      </c>
      <c r="P866" s="2" t="s">
        <v>23</v>
      </c>
      <c r="Q866" s="2" t="s">
        <v>20</v>
      </c>
    </row>
    <row r="867" customFormat="false" ht="15" hidden="false" customHeight="false" outlineLevel="0" collapsed="false">
      <c r="A867" s="2" t="n">
        <v>32</v>
      </c>
      <c r="B867" s="2" t="s">
        <v>34</v>
      </c>
      <c r="C867" s="2" t="s">
        <v>30</v>
      </c>
      <c r="D867" s="2" t="s">
        <v>25</v>
      </c>
      <c r="E867" s="2" t="s">
        <v>20</v>
      </c>
      <c r="F867" s="2" t="n">
        <v>-255</v>
      </c>
      <c r="G867" s="2" t="s">
        <v>20</v>
      </c>
      <c r="H867" s="2" t="s">
        <v>26</v>
      </c>
      <c r="I867" s="2" t="s">
        <v>23</v>
      </c>
      <c r="J867" s="2" t="n">
        <v>2</v>
      </c>
      <c r="K867" s="2" t="s">
        <v>44</v>
      </c>
      <c r="L867" s="2" t="n">
        <v>957</v>
      </c>
      <c r="M867" s="2" t="n">
        <v>3</v>
      </c>
      <c r="N867" s="2" t="n">
        <v>-1</v>
      </c>
      <c r="O867" s="2" t="n">
        <v>0</v>
      </c>
      <c r="P867" s="2" t="s">
        <v>23</v>
      </c>
      <c r="Q867" s="2" t="s">
        <v>20</v>
      </c>
    </row>
    <row r="868" customFormat="false" ht="15" hidden="false" customHeight="false" outlineLevel="0" collapsed="false">
      <c r="A868" s="2" t="n">
        <v>54</v>
      </c>
      <c r="B868" s="2" t="s">
        <v>48</v>
      </c>
      <c r="C868" s="2" t="s">
        <v>18</v>
      </c>
      <c r="D868" s="2" t="s">
        <v>25</v>
      </c>
      <c r="E868" s="2" t="s">
        <v>20</v>
      </c>
      <c r="F868" s="2" t="n">
        <v>3671</v>
      </c>
      <c r="G868" s="2" t="s">
        <v>20</v>
      </c>
      <c r="H868" s="2" t="s">
        <v>20</v>
      </c>
      <c r="I868" s="2" t="s">
        <v>23</v>
      </c>
      <c r="J868" s="2" t="n">
        <v>11</v>
      </c>
      <c r="K868" s="2" t="s">
        <v>33</v>
      </c>
      <c r="L868" s="2" t="n">
        <v>67</v>
      </c>
      <c r="M868" s="2" t="n">
        <v>3</v>
      </c>
      <c r="N868" s="2" t="n">
        <v>-1</v>
      </c>
      <c r="O868" s="2" t="n">
        <v>0</v>
      </c>
      <c r="P868" s="2" t="s">
        <v>23</v>
      </c>
      <c r="Q868" s="2" t="s">
        <v>20</v>
      </c>
    </row>
    <row r="869" customFormat="false" ht="15" hidden="false" customHeight="false" outlineLevel="0" collapsed="false">
      <c r="A869" s="2" t="n">
        <v>33</v>
      </c>
      <c r="B869" s="2" t="s">
        <v>34</v>
      </c>
      <c r="C869" s="2" t="s">
        <v>45</v>
      </c>
      <c r="D869" s="2" t="s">
        <v>19</v>
      </c>
      <c r="E869" s="2" t="s">
        <v>20</v>
      </c>
      <c r="F869" s="2" t="n">
        <v>636</v>
      </c>
      <c r="G869" s="2" t="s">
        <v>26</v>
      </c>
      <c r="H869" s="2" t="s">
        <v>20</v>
      </c>
      <c r="I869" s="2" t="s">
        <v>21</v>
      </c>
      <c r="J869" s="2" t="n">
        <v>9</v>
      </c>
      <c r="K869" s="2" t="s">
        <v>44</v>
      </c>
      <c r="L869" s="2" t="n">
        <v>211</v>
      </c>
      <c r="M869" s="2" t="n">
        <v>11</v>
      </c>
      <c r="N869" s="2" t="n">
        <v>-1</v>
      </c>
      <c r="O869" s="2" t="n">
        <v>0</v>
      </c>
      <c r="P869" s="2" t="s">
        <v>23</v>
      </c>
      <c r="Q869" s="2" t="s">
        <v>20</v>
      </c>
    </row>
    <row r="870" customFormat="false" ht="15" hidden="false" customHeight="false" outlineLevel="0" collapsed="false">
      <c r="A870" s="2" t="n">
        <v>35</v>
      </c>
      <c r="B870" s="2" t="s">
        <v>38</v>
      </c>
      <c r="C870" s="2" t="s">
        <v>18</v>
      </c>
      <c r="D870" s="2" t="s">
        <v>25</v>
      </c>
      <c r="E870" s="2" t="s">
        <v>20</v>
      </c>
      <c r="F870" s="2" t="n">
        <v>141</v>
      </c>
      <c r="G870" s="2" t="s">
        <v>26</v>
      </c>
      <c r="H870" s="2" t="s">
        <v>20</v>
      </c>
      <c r="I870" s="2" t="s">
        <v>21</v>
      </c>
      <c r="J870" s="2" t="n">
        <v>19</v>
      </c>
      <c r="K870" s="2" t="s">
        <v>41</v>
      </c>
      <c r="L870" s="2" t="n">
        <v>299</v>
      </c>
      <c r="M870" s="2" t="n">
        <v>2</v>
      </c>
      <c r="N870" s="2" t="n">
        <v>-1</v>
      </c>
      <c r="O870" s="2" t="n">
        <v>0</v>
      </c>
      <c r="P870" s="2" t="s">
        <v>23</v>
      </c>
      <c r="Q870" s="2" t="s">
        <v>20</v>
      </c>
    </row>
    <row r="871" customFormat="false" ht="15" hidden="false" customHeight="false" outlineLevel="0" collapsed="false">
      <c r="A871" s="2" t="n">
        <v>56</v>
      </c>
      <c r="B871" s="2" t="s">
        <v>38</v>
      </c>
      <c r="C871" s="2" t="s">
        <v>18</v>
      </c>
      <c r="D871" s="2" t="s">
        <v>25</v>
      </c>
      <c r="E871" s="2" t="s">
        <v>20</v>
      </c>
      <c r="F871" s="2" t="n">
        <v>150</v>
      </c>
      <c r="G871" s="2" t="s">
        <v>26</v>
      </c>
      <c r="H871" s="2" t="s">
        <v>26</v>
      </c>
      <c r="I871" s="2" t="s">
        <v>21</v>
      </c>
      <c r="J871" s="2" t="n">
        <v>11</v>
      </c>
      <c r="K871" s="2" t="s">
        <v>27</v>
      </c>
      <c r="L871" s="2" t="n">
        <v>102</v>
      </c>
      <c r="M871" s="2" t="n">
        <v>6</v>
      </c>
      <c r="N871" s="2" t="n">
        <v>349</v>
      </c>
      <c r="O871" s="2" t="n">
        <v>1</v>
      </c>
      <c r="P871" s="2" t="s">
        <v>28</v>
      </c>
      <c r="Q871" s="2" t="s">
        <v>20</v>
      </c>
    </row>
    <row r="872" customFormat="false" ht="15" hidden="false" customHeight="false" outlineLevel="0" collapsed="false">
      <c r="A872" s="2" t="n">
        <v>57</v>
      </c>
      <c r="B872" s="2" t="s">
        <v>38</v>
      </c>
      <c r="C872" s="2" t="s">
        <v>18</v>
      </c>
      <c r="D872" s="2" t="s">
        <v>25</v>
      </c>
      <c r="E872" s="2" t="s">
        <v>20</v>
      </c>
      <c r="F872" s="2" t="n">
        <v>839</v>
      </c>
      <c r="G872" s="2" t="s">
        <v>20</v>
      </c>
      <c r="H872" s="2" t="s">
        <v>26</v>
      </c>
      <c r="I872" s="2" t="s">
        <v>23</v>
      </c>
      <c r="J872" s="2" t="n">
        <v>5</v>
      </c>
      <c r="K872" s="2" t="s">
        <v>27</v>
      </c>
      <c r="L872" s="2" t="n">
        <v>225</v>
      </c>
      <c r="M872" s="2" t="n">
        <v>1</v>
      </c>
      <c r="N872" s="2" t="n">
        <v>-1</v>
      </c>
      <c r="O872" s="2" t="n">
        <v>0</v>
      </c>
      <c r="P872" s="2" t="s">
        <v>23</v>
      </c>
      <c r="Q872" s="2" t="s">
        <v>20</v>
      </c>
    </row>
    <row r="873" customFormat="false" ht="15" hidden="false" customHeight="false" outlineLevel="0" collapsed="false">
      <c r="A873" s="2" t="n">
        <v>31</v>
      </c>
      <c r="B873" s="2" t="s">
        <v>47</v>
      </c>
      <c r="C873" s="2" t="s">
        <v>30</v>
      </c>
      <c r="D873" s="2" t="s">
        <v>19</v>
      </c>
      <c r="E873" s="2" t="s">
        <v>20</v>
      </c>
      <c r="F873" s="2" t="n">
        <v>26965</v>
      </c>
      <c r="G873" s="2" t="s">
        <v>20</v>
      </c>
      <c r="H873" s="2" t="s">
        <v>20</v>
      </c>
      <c r="I873" s="2" t="s">
        <v>21</v>
      </c>
      <c r="J873" s="2" t="n">
        <v>21</v>
      </c>
      <c r="K873" s="2" t="s">
        <v>32</v>
      </c>
      <c r="L873" s="2" t="n">
        <v>654</v>
      </c>
      <c r="M873" s="2" t="n">
        <v>2</v>
      </c>
      <c r="N873" s="2" t="n">
        <v>-1</v>
      </c>
      <c r="O873" s="2" t="n">
        <v>0</v>
      </c>
      <c r="P873" s="2" t="s">
        <v>23</v>
      </c>
      <c r="Q873" s="2" t="s">
        <v>26</v>
      </c>
    </row>
    <row r="874" customFormat="false" ht="15" hidden="false" customHeight="false" outlineLevel="0" collapsed="false">
      <c r="A874" s="2" t="n">
        <v>33</v>
      </c>
      <c r="B874" s="2" t="s">
        <v>38</v>
      </c>
      <c r="C874" s="2" t="s">
        <v>30</v>
      </c>
      <c r="D874" s="2" t="s">
        <v>25</v>
      </c>
      <c r="E874" s="2" t="s">
        <v>20</v>
      </c>
      <c r="F874" s="2" t="n">
        <v>716</v>
      </c>
      <c r="G874" s="2" t="s">
        <v>26</v>
      </c>
      <c r="H874" s="2" t="s">
        <v>20</v>
      </c>
      <c r="I874" s="2" t="s">
        <v>21</v>
      </c>
      <c r="J874" s="2" t="n">
        <v>14</v>
      </c>
      <c r="K874" s="2" t="s">
        <v>27</v>
      </c>
      <c r="L874" s="2" t="n">
        <v>234</v>
      </c>
      <c r="M874" s="2" t="n">
        <v>2</v>
      </c>
      <c r="N874" s="2" t="n">
        <v>-1</v>
      </c>
      <c r="O874" s="2" t="n">
        <v>0</v>
      </c>
      <c r="P874" s="2" t="s">
        <v>23</v>
      </c>
      <c r="Q874" s="2" t="s">
        <v>20</v>
      </c>
    </row>
    <row r="875" customFormat="false" ht="15" hidden="false" customHeight="false" outlineLevel="0" collapsed="false">
      <c r="A875" s="2" t="n">
        <v>29</v>
      </c>
      <c r="B875" s="2" t="s">
        <v>38</v>
      </c>
      <c r="C875" s="2" t="s">
        <v>30</v>
      </c>
      <c r="D875" s="2" t="s">
        <v>31</v>
      </c>
      <c r="E875" s="2" t="s">
        <v>20</v>
      </c>
      <c r="F875" s="2" t="n">
        <v>2485</v>
      </c>
      <c r="G875" s="2" t="s">
        <v>20</v>
      </c>
      <c r="H875" s="2" t="s">
        <v>20</v>
      </c>
      <c r="I875" s="2" t="s">
        <v>49</v>
      </c>
      <c r="J875" s="2" t="n">
        <v>24</v>
      </c>
      <c r="K875" s="2" t="s">
        <v>44</v>
      </c>
      <c r="L875" s="2" t="n">
        <v>48</v>
      </c>
      <c r="M875" s="2" t="n">
        <v>6</v>
      </c>
      <c r="N875" s="2" t="n">
        <v>-1</v>
      </c>
      <c r="O875" s="2" t="n">
        <v>0</v>
      </c>
      <c r="P875" s="2" t="s">
        <v>23</v>
      </c>
      <c r="Q875" s="2" t="s">
        <v>20</v>
      </c>
    </row>
    <row r="876" customFormat="false" ht="15" hidden="false" customHeight="false" outlineLevel="0" collapsed="false">
      <c r="A876" s="2" t="n">
        <v>38</v>
      </c>
      <c r="B876" s="2" t="s">
        <v>29</v>
      </c>
      <c r="C876" s="2" t="s">
        <v>30</v>
      </c>
      <c r="D876" s="2" t="s">
        <v>31</v>
      </c>
      <c r="E876" s="2" t="s">
        <v>20</v>
      </c>
      <c r="F876" s="2" t="n">
        <v>15030</v>
      </c>
      <c r="G876" s="2" t="s">
        <v>26</v>
      </c>
      <c r="H876" s="2" t="s">
        <v>20</v>
      </c>
      <c r="I876" s="2" t="s">
        <v>21</v>
      </c>
      <c r="J876" s="2" t="n">
        <v>13</v>
      </c>
      <c r="K876" s="2" t="s">
        <v>27</v>
      </c>
      <c r="L876" s="2" t="n">
        <v>167</v>
      </c>
      <c r="M876" s="2" t="n">
        <v>1</v>
      </c>
      <c r="N876" s="2" t="n">
        <v>174</v>
      </c>
      <c r="O876" s="2" t="n">
        <v>7</v>
      </c>
      <c r="P876" s="2" t="s">
        <v>37</v>
      </c>
      <c r="Q876" s="2" t="s">
        <v>20</v>
      </c>
    </row>
    <row r="877" customFormat="false" ht="15" hidden="false" customHeight="false" outlineLevel="0" collapsed="false">
      <c r="A877" s="2" t="n">
        <v>37</v>
      </c>
      <c r="B877" s="2" t="s">
        <v>40</v>
      </c>
      <c r="C877" s="2" t="s">
        <v>18</v>
      </c>
      <c r="D877" s="2" t="s">
        <v>25</v>
      </c>
      <c r="E877" s="2" t="s">
        <v>20</v>
      </c>
      <c r="F877" s="2" t="n">
        <v>11303</v>
      </c>
      <c r="G877" s="2" t="s">
        <v>20</v>
      </c>
      <c r="H877" s="2" t="s">
        <v>20</v>
      </c>
      <c r="I877" s="2" t="s">
        <v>21</v>
      </c>
      <c r="J877" s="2" t="n">
        <v>26</v>
      </c>
      <c r="K877" s="2" t="s">
        <v>27</v>
      </c>
      <c r="L877" s="2" t="n">
        <v>500</v>
      </c>
      <c r="M877" s="2" t="n">
        <v>2</v>
      </c>
      <c r="N877" s="2" t="n">
        <v>-1</v>
      </c>
      <c r="O877" s="2" t="n">
        <v>0</v>
      </c>
      <c r="P877" s="2" t="s">
        <v>23</v>
      </c>
      <c r="Q877" s="2" t="s">
        <v>20</v>
      </c>
    </row>
    <row r="878" customFormat="false" ht="15" hidden="false" customHeight="false" outlineLevel="0" collapsed="false">
      <c r="A878" s="2" t="n">
        <v>33</v>
      </c>
      <c r="B878" s="2" t="s">
        <v>39</v>
      </c>
      <c r="C878" s="2" t="s">
        <v>18</v>
      </c>
      <c r="D878" s="2" t="s">
        <v>31</v>
      </c>
      <c r="E878" s="2" t="s">
        <v>20</v>
      </c>
      <c r="F878" s="2" t="n">
        <v>595</v>
      </c>
      <c r="G878" s="2" t="s">
        <v>20</v>
      </c>
      <c r="H878" s="2" t="s">
        <v>20</v>
      </c>
      <c r="I878" s="2" t="s">
        <v>21</v>
      </c>
      <c r="J878" s="2" t="n">
        <v>7</v>
      </c>
      <c r="K878" s="2" t="s">
        <v>41</v>
      </c>
      <c r="L878" s="2" t="n">
        <v>22</v>
      </c>
      <c r="M878" s="2" t="n">
        <v>2</v>
      </c>
      <c r="N878" s="2" t="n">
        <v>-1</v>
      </c>
      <c r="O878" s="2" t="n">
        <v>0</v>
      </c>
      <c r="P878" s="2" t="s">
        <v>23</v>
      </c>
      <c r="Q878" s="2" t="s">
        <v>20</v>
      </c>
    </row>
    <row r="879" customFormat="false" ht="15" hidden="false" customHeight="false" outlineLevel="0" collapsed="false">
      <c r="A879" s="2" t="n">
        <v>30</v>
      </c>
      <c r="B879" s="2" t="s">
        <v>29</v>
      </c>
      <c r="C879" s="2" t="s">
        <v>30</v>
      </c>
      <c r="D879" s="2" t="s">
        <v>31</v>
      </c>
      <c r="E879" s="2" t="s">
        <v>20</v>
      </c>
      <c r="F879" s="2" t="n">
        <v>19358</v>
      </c>
      <c r="G879" s="2" t="s">
        <v>20</v>
      </c>
      <c r="H879" s="2" t="s">
        <v>20</v>
      </c>
      <c r="I879" s="2" t="s">
        <v>21</v>
      </c>
      <c r="J879" s="2" t="n">
        <v>19</v>
      </c>
      <c r="K879" s="2" t="s">
        <v>46</v>
      </c>
      <c r="L879" s="2" t="n">
        <v>258</v>
      </c>
      <c r="M879" s="2" t="n">
        <v>2</v>
      </c>
      <c r="N879" s="2" t="n">
        <v>-1</v>
      </c>
      <c r="O879" s="2" t="n">
        <v>0</v>
      </c>
      <c r="P879" s="2" t="s">
        <v>23</v>
      </c>
      <c r="Q879" s="2" t="s">
        <v>20</v>
      </c>
    </row>
    <row r="880" customFormat="false" ht="15" hidden="false" customHeight="false" outlineLevel="0" collapsed="false">
      <c r="A880" s="2" t="n">
        <v>31</v>
      </c>
      <c r="B880" s="2" t="s">
        <v>36</v>
      </c>
      <c r="C880" s="2" t="s">
        <v>30</v>
      </c>
      <c r="D880" s="2" t="s">
        <v>25</v>
      </c>
      <c r="E880" s="2" t="s">
        <v>20</v>
      </c>
      <c r="F880" s="2" t="n">
        <v>203</v>
      </c>
      <c r="G880" s="2" t="s">
        <v>20</v>
      </c>
      <c r="H880" s="2" t="s">
        <v>26</v>
      </c>
      <c r="I880" s="2" t="s">
        <v>21</v>
      </c>
      <c r="J880" s="2" t="n">
        <v>19</v>
      </c>
      <c r="K880" s="2" t="s">
        <v>46</v>
      </c>
      <c r="L880" s="2" t="n">
        <v>177</v>
      </c>
      <c r="M880" s="2" t="n">
        <v>1</v>
      </c>
      <c r="N880" s="2" t="n">
        <v>-1</v>
      </c>
      <c r="O880" s="2" t="n">
        <v>0</v>
      </c>
      <c r="P880" s="2" t="s">
        <v>23</v>
      </c>
      <c r="Q880" s="2" t="s">
        <v>20</v>
      </c>
    </row>
    <row r="881" customFormat="false" ht="15" hidden="false" customHeight="false" outlineLevel="0" collapsed="false">
      <c r="A881" s="2" t="n">
        <v>28</v>
      </c>
      <c r="B881" s="2" t="s">
        <v>38</v>
      </c>
      <c r="C881" s="2" t="s">
        <v>30</v>
      </c>
      <c r="D881" s="2" t="s">
        <v>31</v>
      </c>
      <c r="E881" s="2" t="s">
        <v>20</v>
      </c>
      <c r="F881" s="2" t="n">
        <v>183</v>
      </c>
      <c r="G881" s="2" t="s">
        <v>26</v>
      </c>
      <c r="H881" s="2" t="s">
        <v>26</v>
      </c>
      <c r="I881" s="2" t="s">
        <v>23</v>
      </c>
      <c r="J881" s="2" t="n">
        <v>28</v>
      </c>
      <c r="K881" s="2" t="s">
        <v>27</v>
      </c>
      <c r="L881" s="2" t="n">
        <v>62</v>
      </c>
      <c r="M881" s="2" t="n">
        <v>2</v>
      </c>
      <c r="N881" s="2" t="n">
        <v>-1</v>
      </c>
      <c r="O881" s="2" t="n">
        <v>0</v>
      </c>
      <c r="P881" s="2" t="s">
        <v>23</v>
      </c>
      <c r="Q881" s="2" t="s">
        <v>20</v>
      </c>
    </row>
    <row r="882" customFormat="false" ht="15" hidden="false" customHeight="false" outlineLevel="0" collapsed="false">
      <c r="A882" s="2" t="n">
        <v>26</v>
      </c>
      <c r="B882" s="2" t="s">
        <v>40</v>
      </c>
      <c r="C882" s="2" t="s">
        <v>30</v>
      </c>
      <c r="D882" s="2" t="s">
        <v>25</v>
      </c>
      <c r="E882" s="2" t="s">
        <v>20</v>
      </c>
      <c r="F882" s="2" t="n">
        <v>255</v>
      </c>
      <c r="G882" s="2" t="s">
        <v>20</v>
      </c>
      <c r="H882" s="2" t="s">
        <v>20</v>
      </c>
      <c r="I882" s="2" t="s">
        <v>21</v>
      </c>
      <c r="J882" s="2" t="n">
        <v>30</v>
      </c>
      <c r="K882" s="2" t="s">
        <v>32</v>
      </c>
      <c r="L882" s="2" t="n">
        <v>457</v>
      </c>
      <c r="M882" s="2" t="n">
        <v>1</v>
      </c>
      <c r="N882" s="2" t="n">
        <v>80</v>
      </c>
      <c r="O882" s="2" t="n">
        <v>1</v>
      </c>
      <c r="P882" s="2" t="s">
        <v>50</v>
      </c>
      <c r="Q882" s="2" t="s">
        <v>26</v>
      </c>
    </row>
    <row r="883" customFormat="false" ht="15" hidden="false" customHeight="false" outlineLevel="0" collapsed="false">
      <c r="A883" s="2" t="n">
        <v>31</v>
      </c>
      <c r="B883" s="2" t="s">
        <v>38</v>
      </c>
      <c r="C883" s="2" t="s">
        <v>30</v>
      </c>
      <c r="D883" s="2" t="s">
        <v>25</v>
      </c>
      <c r="E883" s="2" t="s">
        <v>20</v>
      </c>
      <c r="F883" s="2" t="n">
        <v>102</v>
      </c>
      <c r="G883" s="2" t="s">
        <v>26</v>
      </c>
      <c r="H883" s="2" t="s">
        <v>20</v>
      </c>
      <c r="I883" s="2" t="s">
        <v>49</v>
      </c>
      <c r="J883" s="2" t="n">
        <v>17</v>
      </c>
      <c r="K883" s="2" t="s">
        <v>32</v>
      </c>
      <c r="L883" s="2" t="n">
        <v>460</v>
      </c>
      <c r="M883" s="2" t="n">
        <v>2</v>
      </c>
      <c r="N883" s="2" t="n">
        <v>345</v>
      </c>
      <c r="O883" s="2" t="n">
        <v>2</v>
      </c>
      <c r="P883" s="2" t="s">
        <v>28</v>
      </c>
      <c r="Q883" s="2" t="s">
        <v>20</v>
      </c>
    </row>
    <row r="884" customFormat="false" ht="15" hidden="false" customHeight="false" outlineLevel="0" collapsed="false">
      <c r="A884" s="2" t="n">
        <v>50</v>
      </c>
      <c r="B884" s="2" t="s">
        <v>47</v>
      </c>
      <c r="C884" s="2" t="s">
        <v>45</v>
      </c>
      <c r="D884" s="2" t="s">
        <v>19</v>
      </c>
      <c r="E884" s="2" t="s">
        <v>20</v>
      </c>
      <c r="F884" s="2" t="n">
        <v>94</v>
      </c>
      <c r="G884" s="2" t="s">
        <v>26</v>
      </c>
      <c r="H884" s="2" t="s">
        <v>20</v>
      </c>
      <c r="I884" s="2" t="s">
        <v>21</v>
      </c>
      <c r="J884" s="2" t="n">
        <v>22</v>
      </c>
      <c r="K884" s="2" t="s">
        <v>44</v>
      </c>
      <c r="L884" s="2" t="n">
        <v>184</v>
      </c>
      <c r="M884" s="2" t="n">
        <v>4</v>
      </c>
      <c r="N884" s="2" t="n">
        <v>-1</v>
      </c>
      <c r="O884" s="2" t="n">
        <v>0</v>
      </c>
      <c r="P884" s="2" t="s">
        <v>23</v>
      </c>
      <c r="Q884" s="2" t="s">
        <v>20</v>
      </c>
    </row>
    <row r="885" customFormat="false" ht="15" hidden="false" customHeight="false" outlineLevel="0" collapsed="false">
      <c r="A885" s="2" t="n">
        <v>45</v>
      </c>
      <c r="B885" s="2" t="s">
        <v>39</v>
      </c>
      <c r="C885" s="2" t="s">
        <v>18</v>
      </c>
      <c r="D885" s="2" t="s">
        <v>19</v>
      </c>
      <c r="E885" s="2" t="s">
        <v>20</v>
      </c>
      <c r="F885" s="2" t="n">
        <v>58</v>
      </c>
      <c r="G885" s="2" t="s">
        <v>26</v>
      </c>
      <c r="H885" s="2" t="s">
        <v>20</v>
      </c>
      <c r="I885" s="2" t="s">
        <v>49</v>
      </c>
      <c r="J885" s="2" t="n">
        <v>13</v>
      </c>
      <c r="K885" s="2" t="s">
        <v>27</v>
      </c>
      <c r="L885" s="2" t="n">
        <v>119</v>
      </c>
      <c r="M885" s="2" t="n">
        <v>3</v>
      </c>
      <c r="N885" s="2" t="n">
        <v>371</v>
      </c>
      <c r="O885" s="2" t="n">
        <v>3</v>
      </c>
      <c r="P885" s="2" t="s">
        <v>28</v>
      </c>
      <c r="Q885" s="2" t="s">
        <v>20</v>
      </c>
    </row>
    <row r="886" customFormat="false" ht="15" hidden="false" customHeight="false" outlineLevel="0" collapsed="false">
      <c r="A886" s="2" t="n">
        <v>48</v>
      </c>
      <c r="B886" s="2" t="s">
        <v>29</v>
      </c>
      <c r="C886" s="2" t="s">
        <v>18</v>
      </c>
      <c r="D886" s="2" t="s">
        <v>19</v>
      </c>
      <c r="E886" s="2" t="s">
        <v>20</v>
      </c>
      <c r="F886" s="2" t="n">
        <v>606</v>
      </c>
      <c r="G886" s="2" t="s">
        <v>20</v>
      </c>
      <c r="H886" s="2" t="s">
        <v>20</v>
      </c>
      <c r="I886" s="2" t="s">
        <v>21</v>
      </c>
      <c r="J886" s="2" t="n">
        <v>5</v>
      </c>
      <c r="K886" s="2" t="s">
        <v>52</v>
      </c>
      <c r="L886" s="2" t="n">
        <v>77</v>
      </c>
      <c r="M886" s="2" t="n">
        <v>6</v>
      </c>
      <c r="N886" s="2" t="n">
        <v>-1</v>
      </c>
      <c r="O886" s="2" t="n">
        <v>0</v>
      </c>
      <c r="P886" s="2" t="s">
        <v>23</v>
      </c>
      <c r="Q886" s="2" t="s">
        <v>20</v>
      </c>
    </row>
    <row r="887" customFormat="false" ht="15" hidden="false" customHeight="false" outlineLevel="0" collapsed="false">
      <c r="A887" s="2" t="n">
        <v>41</v>
      </c>
      <c r="B887" s="2" t="s">
        <v>38</v>
      </c>
      <c r="C887" s="2" t="s">
        <v>18</v>
      </c>
      <c r="D887" s="2" t="s">
        <v>25</v>
      </c>
      <c r="E887" s="2" t="s">
        <v>20</v>
      </c>
      <c r="F887" s="2" t="n">
        <v>0</v>
      </c>
      <c r="G887" s="2" t="s">
        <v>20</v>
      </c>
      <c r="H887" s="2" t="s">
        <v>26</v>
      </c>
      <c r="I887" s="2" t="s">
        <v>21</v>
      </c>
      <c r="J887" s="2" t="n">
        <v>23</v>
      </c>
      <c r="K887" s="2" t="s">
        <v>44</v>
      </c>
      <c r="L887" s="2" t="n">
        <v>107</v>
      </c>
      <c r="M887" s="2" t="n">
        <v>1</v>
      </c>
      <c r="N887" s="2" t="n">
        <v>-1</v>
      </c>
      <c r="O887" s="2" t="n">
        <v>0</v>
      </c>
      <c r="P887" s="2" t="s">
        <v>23</v>
      </c>
      <c r="Q887" s="2" t="s">
        <v>20</v>
      </c>
    </row>
    <row r="888" customFormat="false" ht="15" hidden="false" customHeight="false" outlineLevel="0" collapsed="false">
      <c r="A888" s="2" t="n">
        <v>60</v>
      </c>
      <c r="B888" s="2" t="s">
        <v>38</v>
      </c>
      <c r="C888" s="2" t="s">
        <v>18</v>
      </c>
      <c r="D888" s="2" t="s">
        <v>19</v>
      </c>
      <c r="E888" s="2" t="s">
        <v>20</v>
      </c>
      <c r="F888" s="2" t="n">
        <v>65</v>
      </c>
      <c r="G888" s="2" t="s">
        <v>26</v>
      </c>
      <c r="H888" s="2" t="s">
        <v>20</v>
      </c>
      <c r="I888" s="2" t="s">
        <v>23</v>
      </c>
      <c r="J888" s="2" t="n">
        <v>9</v>
      </c>
      <c r="K888" s="2" t="s">
        <v>27</v>
      </c>
      <c r="L888" s="2" t="n">
        <v>1028</v>
      </c>
      <c r="M888" s="2" t="n">
        <v>2</v>
      </c>
      <c r="N888" s="2" t="n">
        <v>-1</v>
      </c>
      <c r="O888" s="2" t="n">
        <v>0</v>
      </c>
      <c r="P888" s="2" t="s">
        <v>23</v>
      </c>
      <c r="Q888" s="2" t="s">
        <v>26</v>
      </c>
    </row>
    <row r="889" customFormat="false" ht="15" hidden="false" customHeight="false" outlineLevel="0" collapsed="false">
      <c r="A889" s="2" t="n">
        <v>41</v>
      </c>
      <c r="B889" s="2" t="s">
        <v>34</v>
      </c>
      <c r="C889" s="2" t="s">
        <v>18</v>
      </c>
      <c r="D889" s="2" t="s">
        <v>25</v>
      </c>
      <c r="E889" s="2" t="s">
        <v>20</v>
      </c>
      <c r="F889" s="2" t="n">
        <v>338</v>
      </c>
      <c r="G889" s="2" t="s">
        <v>26</v>
      </c>
      <c r="H889" s="2" t="s">
        <v>20</v>
      </c>
      <c r="I889" s="2" t="s">
        <v>23</v>
      </c>
      <c r="J889" s="2" t="n">
        <v>14</v>
      </c>
      <c r="K889" s="2" t="s">
        <v>27</v>
      </c>
      <c r="L889" s="2" t="n">
        <v>87</v>
      </c>
      <c r="M889" s="2" t="n">
        <v>1</v>
      </c>
      <c r="N889" s="2" t="n">
        <v>-1</v>
      </c>
      <c r="O889" s="2" t="n">
        <v>0</v>
      </c>
      <c r="P889" s="2" t="s">
        <v>23</v>
      </c>
      <c r="Q889" s="2" t="s">
        <v>20</v>
      </c>
    </row>
    <row r="890" customFormat="false" ht="15" hidden="false" customHeight="false" outlineLevel="0" collapsed="false">
      <c r="A890" s="2" t="n">
        <v>43</v>
      </c>
      <c r="B890" s="2" t="s">
        <v>34</v>
      </c>
      <c r="C890" s="2" t="s">
        <v>18</v>
      </c>
      <c r="D890" s="2" t="s">
        <v>19</v>
      </c>
      <c r="E890" s="2" t="s">
        <v>20</v>
      </c>
      <c r="F890" s="2" t="n">
        <v>757</v>
      </c>
      <c r="G890" s="2" t="s">
        <v>26</v>
      </c>
      <c r="H890" s="2" t="s">
        <v>20</v>
      </c>
      <c r="I890" s="2" t="s">
        <v>23</v>
      </c>
      <c r="J890" s="2" t="n">
        <v>9</v>
      </c>
      <c r="K890" s="2" t="s">
        <v>27</v>
      </c>
      <c r="L890" s="2" t="n">
        <v>315</v>
      </c>
      <c r="M890" s="2" t="n">
        <v>4</v>
      </c>
      <c r="N890" s="2" t="n">
        <v>-1</v>
      </c>
      <c r="O890" s="2" t="n">
        <v>0</v>
      </c>
      <c r="P890" s="2" t="s">
        <v>23</v>
      </c>
      <c r="Q890" s="2" t="s">
        <v>20</v>
      </c>
    </row>
    <row r="891" customFormat="false" ht="15" hidden="false" customHeight="false" outlineLevel="0" collapsed="false">
      <c r="A891" s="2" t="n">
        <v>36</v>
      </c>
      <c r="B891" s="2" t="s">
        <v>29</v>
      </c>
      <c r="C891" s="2" t="s">
        <v>18</v>
      </c>
      <c r="D891" s="2" t="s">
        <v>31</v>
      </c>
      <c r="E891" s="2" t="s">
        <v>20</v>
      </c>
      <c r="F891" s="2" t="n">
        <v>9269</v>
      </c>
      <c r="G891" s="2" t="s">
        <v>26</v>
      </c>
      <c r="H891" s="2" t="s">
        <v>26</v>
      </c>
      <c r="I891" s="2" t="s">
        <v>21</v>
      </c>
      <c r="J891" s="2" t="n">
        <v>19</v>
      </c>
      <c r="K891" s="2" t="s">
        <v>46</v>
      </c>
      <c r="L891" s="2" t="n">
        <v>107</v>
      </c>
      <c r="M891" s="2" t="n">
        <v>2</v>
      </c>
      <c r="N891" s="2" t="n">
        <v>-1</v>
      </c>
      <c r="O891" s="2" t="n">
        <v>0</v>
      </c>
      <c r="P891" s="2" t="s">
        <v>23</v>
      </c>
      <c r="Q891" s="2" t="s">
        <v>20</v>
      </c>
    </row>
    <row r="892" customFormat="false" ht="15" hidden="false" customHeight="false" outlineLevel="0" collapsed="false">
      <c r="A892" s="2" t="n">
        <v>40</v>
      </c>
      <c r="B892" s="2" t="s">
        <v>34</v>
      </c>
      <c r="C892" s="2" t="s">
        <v>18</v>
      </c>
      <c r="D892" s="2" t="s">
        <v>19</v>
      </c>
      <c r="E892" s="2" t="s">
        <v>20</v>
      </c>
      <c r="F892" s="2" t="n">
        <v>1206</v>
      </c>
      <c r="G892" s="2" t="s">
        <v>20</v>
      </c>
      <c r="H892" s="2" t="s">
        <v>26</v>
      </c>
      <c r="I892" s="2" t="s">
        <v>49</v>
      </c>
      <c r="J892" s="2" t="n">
        <v>16</v>
      </c>
      <c r="K892" s="2" t="s">
        <v>44</v>
      </c>
      <c r="L892" s="2" t="n">
        <v>201</v>
      </c>
      <c r="M892" s="2" t="n">
        <v>5</v>
      </c>
      <c r="N892" s="2" t="n">
        <v>-1</v>
      </c>
      <c r="O892" s="2" t="n">
        <v>0</v>
      </c>
      <c r="P892" s="2" t="s">
        <v>23</v>
      </c>
      <c r="Q892" s="2" t="s">
        <v>20</v>
      </c>
    </row>
    <row r="893" customFormat="false" ht="15" hidden="false" customHeight="false" outlineLevel="0" collapsed="false">
      <c r="A893" s="2" t="n">
        <v>28</v>
      </c>
      <c r="B893" s="2" t="s">
        <v>29</v>
      </c>
      <c r="C893" s="2" t="s">
        <v>30</v>
      </c>
      <c r="D893" s="2" t="s">
        <v>31</v>
      </c>
      <c r="E893" s="2" t="s">
        <v>20</v>
      </c>
      <c r="F893" s="2" t="n">
        <v>882</v>
      </c>
      <c r="G893" s="2" t="s">
        <v>20</v>
      </c>
      <c r="H893" s="2" t="s">
        <v>26</v>
      </c>
      <c r="I893" s="2" t="s">
        <v>21</v>
      </c>
      <c r="J893" s="2" t="n">
        <v>29</v>
      </c>
      <c r="K893" s="2" t="s">
        <v>43</v>
      </c>
      <c r="L893" s="2" t="n">
        <v>94</v>
      </c>
      <c r="M893" s="2" t="n">
        <v>1</v>
      </c>
      <c r="N893" s="2" t="n">
        <v>205</v>
      </c>
      <c r="O893" s="2" t="n">
        <v>2</v>
      </c>
      <c r="P893" s="2" t="s">
        <v>28</v>
      </c>
      <c r="Q893" s="2" t="s">
        <v>20</v>
      </c>
    </row>
    <row r="894" customFormat="false" ht="15" hidden="false" customHeight="false" outlineLevel="0" collapsed="false">
      <c r="A894" s="2" t="n">
        <v>27</v>
      </c>
      <c r="B894" s="2" t="s">
        <v>42</v>
      </c>
      <c r="C894" s="2" t="s">
        <v>30</v>
      </c>
      <c r="D894" s="2" t="s">
        <v>31</v>
      </c>
      <c r="E894" s="2" t="s">
        <v>20</v>
      </c>
      <c r="F894" s="2" t="n">
        <v>5291</v>
      </c>
      <c r="G894" s="2" t="s">
        <v>20</v>
      </c>
      <c r="H894" s="2" t="s">
        <v>20</v>
      </c>
      <c r="I894" s="2" t="s">
        <v>21</v>
      </c>
      <c r="J894" s="2" t="n">
        <v>12</v>
      </c>
      <c r="K894" s="2" t="s">
        <v>46</v>
      </c>
      <c r="L894" s="2" t="n">
        <v>192</v>
      </c>
      <c r="M894" s="2" t="n">
        <v>2</v>
      </c>
      <c r="N894" s="2" t="n">
        <v>92</v>
      </c>
      <c r="O894" s="2" t="n">
        <v>2</v>
      </c>
      <c r="P894" s="2" t="s">
        <v>28</v>
      </c>
      <c r="Q894" s="2" t="s">
        <v>26</v>
      </c>
    </row>
    <row r="895" customFormat="false" ht="15" hidden="false" customHeight="false" outlineLevel="0" collapsed="false">
      <c r="A895" s="2" t="n">
        <v>49</v>
      </c>
      <c r="B895" s="2" t="s">
        <v>29</v>
      </c>
      <c r="C895" s="2" t="s">
        <v>30</v>
      </c>
      <c r="D895" s="2" t="s">
        <v>25</v>
      </c>
      <c r="E895" s="2" t="s">
        <v>20</v>
      </c>
      <c r="F895" s="2" t="n">
        <v>61</v>
      </c>
      <c r="G895" s="2" t="s">
        <v>26</v>
      </c>
      <c r="H895" s="2" t="s">
        <v>20</v>
      </c>
      <c r="I895" s="2" t="s">
        <v>21</v>
      </c>
      <c r="J895" s="2" t="n">
        <v>29</v>
      </c>
      <c r="K895" s="2" t="s">
        <v>43</v>
      </c>
      <c r="L895" s="2" t="n">
        <v>185</v>
      </c>
      <c r="M895" s="2" t="n">
        <v>2</v>
      </c>
      <c r="N895" s="2" t="n">
        <v>246</v>
      </c>
      <c r="O895" s="2" t="n">
        <v>1</v>
      </c>
      <c r="P895" s="2" t="s">
        <v>28</v>
      </c>
      <c r="Q895" s="2" t="s">
        <v>20</v>
      </c>
    </row>
    <row r="896" customFormat="false" ht="15" hidden="false" customHeight="false" outlineLevel="0" collapsed="false">
      <c r="A896" s="2" t="n">
        <v>37</v>
      </c>
      <c r="B896" s="2" t="s">
        <v>38</v>
      </c>
      <c r="C896" s="2" t="s">
        <v>18</v>
      </c>
      <c r="D896" s="2" t="s">
        <v>31</v>
      </c>
      <c r="E896" s="2" t="s">
        <v>20</v>
      </c>
      <c r="F896" s="2" t="n">
        <v>0</v>
      </c>
      <c r="G896" s="2" t="s">
        <v>26</v>
      </c>
      <c r="H896" s="2" t="s">
        <v>20</v>
      </c>
      <c r="I896" s="2" t="s">
        <v>21</v>
      </c>
      <c r="J896" s="2" t="n">
        <v>17</v>
      </c>
      <c r="K896" s="2" t="s">
        <v>46</v>
      </c>
      <c r="L896" s="2" t="n">
        <v>77</v>
      </c>
      <c r="M896" s="2" t="n">
        <v>1</v>
      </c>
      <c r="N896" s="2" t="n">
        <v>-1</v>
      </c>
      <c r="O896" s="2" t="n">
        <v>0</v>
      </c>
      <c r="P896" s="2" t="s">
        <v>23</v>
      </c>
      <c r="Q896" s="2" t="s">
        <v>20</v>
      </c>
    </row>
    <row r="897" customFormat="false" ht="15" hidden="false" customHeight="false" outlineLevel="0" collapsed="false">
      <c r="A897" s="2" t="n">
        <v>31</v>
      </c>
      <c r="B897" s="2" t="s">
        <v>34</v>
      </c>
      <c r="C897" s="2" t="s">
        <v>18</v>
      </c>
      <c r="D897" s="2" t="s">
        <v>25</v>
      </c>
      <c r="E897" s="2" t="s">
        <v>20</v>
      </c>
      <c r="F897" s="2" t="n">
        <v>1407</v>
      </c>
      <c r="G897" s="2" t="s">
        <v>26</v>
      </c>
      <c r="H897" s="2" t="s">
        <v>20</v>
      </c>
      <c r="I897" s="2" t="s">
        <v>21</v>
      </c>
      <c r="J897" s="2" t="n">
        <v>6</v>
      </c>
      <c r="K897" s="2" t="s">
        <v>27</v>
      </c>
      <c r="L897" s="2" t="n">
        <v>142</v>
      </c>
      <c r="M897" s="2" t="n">
        <v>3</v>
      </c>
      <c r="N897" s="2" t="n">
        <v>-1</v>
      </c>
      <c r="O897" s="2" t="n">
        <v>0</v>
      </c>
      <c r="P897" s="2" t="s">
        <v>23</v>
      </c>
      <c r="Q897" s="2" t="s">
        <v>20</v>
      </c>
    </row>
    <row r="898" customFormat="false" ht="15" hidden="false" customHeight="false" outlineLevel="0" collapsed="false">
      <c r="A898" s="2" t="n">
        <v>31</v>
      </c>
      <c r="B898" s="2" t="s">
        <v>38</v>
      </c>
      <c r="C898" s="2" t="s">
        <v>30</v>
      </c>
      <c r="D898" s="2" t="s">
        <v>25</v>
      </c>
      <c r="E898" s="2" t="s">
        <v>26</v>
      </c>
      <c r="F898" s="2" t="n">
        <v>25</v>
      </c>
      <c r="G898" s="2" t="s">
        <v>20</v>
      </c>
      <c r="H898" s="2" t="s">
        <v>20</v>
      </c>
      <c r="I898" s="2" t="s">
        <v>21</v>
      </c>
      <c r="J898" s="2" t="n">
        <v>2</v>
      </c>
      <c r="K898" s="2" t="s">
        <v>35</v>
      </c>
      <c r="L898" s="2" t="n">
        <v>381</v>
      </c>
      <c r="M898" s="2" t="n">
        <v>1</v>
      </c>
      <c r="N898" s="2" t="n">
        <v>-1</v>
      </c>
      <c r="O898" s="2" t="n">
        <v>0</v>
      </c>
      <c r="P898" s="2" t="s">
        <v>23</v>
      </c>
      <c r="Q898" s="2" t="s">
        <v>20</v>
      </c>
    </row>
    <row r="899" customFormat="false" ht="15" hidden="false" customHeight="false" outlineLevel="0" collapsed="false">
      <c r="A899" s="2" t="n">
        <v>31</v>
      </c>
      <c r="B899" s="2" t="s">
        <v>34</v>
      </c>
      <c r="C899" s="2" t="s">
        <v>18</v>
      </c>
      <c r="D899" s="2" t="s">
        <v>25</v>
      </c>
      <c r="E899" s="2" t="s">
        <v>20</v>
      </c>
      <c r="F899" s="2" t="n">
        <v>1354</v>
      </c>
      <c r="G899" s="2" t="s">
        <v>26</v>
      </c>
      <c r="H899" s="2" t="s">
        <v>26</v>
      </c>
      <c r="I899" s="2" t="s">
        <v>21</v>
      </c>
      <c r="J899" s="2" t="n">
        <v>17</v>
      </c>
      <c r="K899" s="2" t="s">
        <v>46</v>
      </c>
      <c r="L899" s="2" t="n">
        <v>222</v>
      </c>
      <c r="M899" s="2" t="n">
        <v>2</v>
      </c>
      <c r="N899" s="2" t="n">
        <v>-1</v>
      </c>
      <c r="O899" s="2" t="n">
        <v>0</v>
      </c>
      <c r="P899" s="2" t="s">
        <v>23</v>
      </c>
      <c r="Q899" s="2" t="s">
        <v>20</v>
      </c>
    </row>
    <row r="900" customFormat="false" ht="15" hidden="false" customHeight="false" outlineLevel="0" collapsed="false">
      <c r="A900" s="2" t="n">
        <v>35</v>
      </c>
      <c r="B900" s="2" t="s">
        <v>34</v>
      </c>
      <c r="C900" s="2" t="s">
        <v>18</v>
      </c>
      <c r="D900" s="2" t="s">
        <v>19</v>
      </c>
      <c r="E900" s="2" t="s">
        <v>20</v>
      </c>
      <c r="F900" s="2" t="n">
        <v>793</v>
      </c>
      <c r="G900" s="2" t="s">
        <v>26</v>
      </c>
      <c r="H900" s="2" t="s">
        <v>20</v>
      </c>
      <c r="I900" s="2" t="s">
        <v>21</v>
      </c>
      <c r="J900" s="2" t="n">
        <v>17</v>
      </c>
      <c r="K900" s="2" t="s">
        <v>32</v>
      </c>
      <c r="L900" s="2" t="n">
        <v>106</v>
      </c>
      <c r="M900" s="2" t="n">
        <v>1</v>
      </c>
      <c r="N900" s="2" t="n">
        <v>-1</v>
      </c>
      <c r="O900" s="2" t="n">
        <v>0</v>
      </c>
      <c r="P900" s="2" t="s">
        <v>23</v>
      </c>
      <c r="Q900" s="2" t="s">
        <v>20</v>
      </c>
    </row>
    <row r="901" customFormat="false" ht="15" hidden="false" customHeight="false" outlineLevel="0" collapsed="false">
      <c r="A901" s="2" t="n">
        <v>51</v>
      </c>
      <c r="B901" s="2" t="s">
        <v>34</v>
      </c>
      <c r="C901" s="2" t="s">
        <v>45</v>
      </c>
      <c r="D901" s="2" t="s">
        <v>23</v>
      </c>
      <c r="E901" s="2" t="s">
        <v>20</v>
      </c>
      <c r="F901" s="2" t="n">
        <v>10287</v>
      </c>
      <c r="G901" s="2" t="s">
        <v>26</v>
      </c>
      <c r="H901" s="2" t="s">
        <v>20</v>
      </c>
      <c r="I901" s="2" t="s">
        <v>23</v>
      </c>
      <c r="J901" s="2" t="n">
        <v>29</v>
      </c>
      <c r="K901" s="2" t="s">
        <v>27</v>
      </c>
      <c r="L901" s="2" t="n">
        <v>117</v>
      </c>
      <c r="M901" s="2" t="n">
        <v>1</v>
      </c>
      <c r="N901" s="2" t="n">
        <v>-1</v>
      </c>
      <c r="O901" s="2" t="n">
        <v>0</v>
      </c>
      <c r="P901" s="2" t="s">
        <v>23</v>
      </c>
      <c r="Q901" s="2" t="s">
        <v>20</v>
      </c>
    </row>
    <row r="902" customFormat="false" ht="15" hidden="false" customHeight="false" outlineLevel="0" collapsed="false">
      <c r="A902" s="2" t="n">
        <v>33</v>
      </c>
      <c r="B902" s="2" t="s">
        <v>38</v>
      </c>
      <c r="C902" s="2" t="s">
        <v>30</v>
      </c>
      <c r="D902" s="2" t="s">
        <v>25</v>
      </c>
      <c r="E902" s="2" t="s">
        <v>20</v>
      </c>
      <c r="F902" s="2" t="n">
        <v>5235</v>
      </c>
      <c r="G902" s="2" t="s">
        <v>20</v>
      </c>
      <c r="H902" s="2" t="s">
        <v>20</v>
      </c>
      <c r="I902" s="2" t="s">
        <v>21</v>
      </c>
      <c r="J902" s="2" t="n">
        <v>7</v>
      </c>
      <c r="K902" s="2" t="s">
        <v>41</v>
      </c>
      <c r="L902" s="2" t="n">
        <v>67</v>
      </c>
      <c r="M902" s="2" t="n">
        <v>3</v>
      </c>
      <c r="N902" s="2" t="n">
        <v>-1</v>
      </c>
      <c r="O902" s="2" t="n">
        <v>0</v>
      </c>
      <c r="P902" s="2" t="s">
        <v>23</v>
      </c>
      <c r="Q902" s="2" t="s">
        <v>20</v>
      </c>
    </row>
    <row r="903" customFormat="false" ht="15" hidden="false" customHeight="false" outlineLevel="0" collapsed="false">
      <c r="A903" s="2" t="n">
        <v>30</v>
      </c>
      <c r="B903" s="2" t="s">
        <v>38</v>
      </c>
      <c r="C903" s="2" t="s">
        <v>30</v>
      </c>
      <c r="D903" s="2" t="s">
        <v>31</v>
      </c>
      <c r="E903" s="2" t="s">
        <v>20</v>
      </c>
      <c r="F903" s="2" t="n">
        <v>3</v>
      </c>
      <c r="G903" s="2" t="s">
        <v>26</v>
      </c>
      <c r="H903" s="2" t="s">
        <v>20</v>
      </c>
      <c r="I903" s="2" t="s">
        <v>21</v>
      </c>
      <c r="J903" s="2" t="n">
        <v>6</v>
      </c>
      <c r="K903" s="2" t="s">
        <v>27</v>
      </c>
      <c r="L903" s="2" t="n">
        <v>45</v>
      </c>
      <c r="M903" s="2" t="n">
        <v>2</v>
      </c>
      <c r="N903" s="2" t="n">
        <v>169</v>
      </c>
      <c r="O903" s="2" t="n">
        <v>2</v>
      </c>
      <c r="P903" s="2" t="s">
        <v>28</v>
      </c>
      <c r="Q903" s="2" t="s">
        <v>20</v>
      </c>
    </row>
    <row r="904" customFormat="false" ht="15" hidden="false" customHeight="false" outlineLevel="0" collapsed="false">
      <c r="A904" s="2" t="n">
        <v>58</v>
      </c>
      <c r="B904" s="2" t="s">
        <v>38</v>
      </c>
      <c r="C904" s="2" t="s">
        <v>30</v>
      </c>
      <c r="D904" s="2" t="s">
        <v>25</v>
      </c>
      <c r="E904" s="2" t="s">
        <v>20</v>
      </c>
      <c r="F904" s="2" t="n">
        <v>409</v>
      </c>
      <c r="G904" s="2" t="s">
        <v>20</v>
      </c>
      <c r="H904" s="2" t="s">
        <v>26</v>
      </c>
      <c r="I904" s="2" t="s">
        <v>21</v>
      </c>
      <c r="J904" s="2" t="n">
        <v>14</v>
      </c>
      <c r="K904" s="2" t="s">
        <v>44</v>
      </c>
      <c r="L904" s="2" t="n">
        <v>643</v>
      </c>
      <c r="M904" s="2" t="n">
        <v>2</v>
      </c>
      <c r="N904" s="2" t="n">
        <v>-1</v>
      </c>
      <c r="O904" s="2" t="n">
        <v>0</v>
      </c>
      <c r="P904" s="2" t="s">
        <v>23</v>
      </c>
      <c r="Q904" s="2" t="s">
        <v>20</v>
      </c>
    </row>
    <row r="905" customFormat="false" ht="15" hidden="false" customHeight="false" outlineLevel="0" collapsed="false">
      <c r="A905" s="2" t="n">
        <v>34</v>
      </c>
      <c r="B905" s="2" t="s">
        <v>40</v>
      </c>
      <c r="C905" s="2" t="s">
        <v>18</v>
      </c>
      <c r="D905" s="2" t="s">
        <v>31</v>
      </c>
      <c r="E905" s="2" t="s">
        <v>20</v>
      </c>
      <c r="F905" s="2" t="n">
        <v>35</v>
      </c>
      <c r="G905" s="2" t="s">
        <v>26</v>
      </c>
      <c r="H905" s="2" t="s">
        <v>20</v>
      </c>
      <c r="I905" s="2" t="s">
        <v>21</v>
      </c>
      <c r="J905" s="2" t="n">
        <v>15</v>
      </c>
      <c r="K905" s="2" t="s">
        <v>22</v>
      </c>
      <c r="L905" s="2" t="n">
        <v>76</v>
      </c>
      <c r="M905" s="2" t="n">
        <v>1</v>
      </c>
      <c r="N905" s="2" t="n">
        <v>69</v>
      </c>
      <c r="O905" s="2" t="n">
        <v>2</v>
      </c>
      <c r="P905" s="2" t="s">
        <v>28</v>
      </c>
      <c r="Q905" s="2" t="s">
        <v>20</v>
      </c>
    </row>
    <row r="906" customFormat="false" ht="15" hidden="false" customHeight="false" outlineLevel="0" collapsed="false">
      <c r="A906" s="2" t="n">
        <v>45</v>
      </c>
      <c r="B906" s="2" t="s">
        <v>29</v>
      </c>
      <c r="C906" s="2" t="s">
        <v>18</v>
      </c>
      <c r="D906" s="2" t="s">
        <v>31</v>
      </c>
      <c r="E906" s="2" t="s">
        <v>20</v>
      </c>
      <c r="F906" s="2" t="n">
        <v>-459</v>
      </c>
      <c r="G906" s="2" t="s">
        <v>20</v>
      </c>
      <c r="H906" s="2" t="s">
        <v>20</v>
      </c>
      <c r="I906" s="2" t="s">
        <v>21</v>
      </c>
      <c r="J906" s="2" t="n">
        <v>21</v>
      </c>
      <c r="K906" s="2" t="s">
        <v>41</v>
      </c>
      <c r="L906" s="2" t="n">
        <v>508</v>
      </c>
      <c r="M906" s="2" t="n">
        <v>6</v>
      </c>
      <c r="N906" s="2" t="n">
        <v>-1</v>
      </c>
      <c r="O906" s="2" t="n">
        <v>0</v>
      </c>
      <c r="P906" s="2" t="s">
        <v>23</v>
      </c>
      <c r="Q906" s="2" t="s">
        <v>20</v>
      </c>
    </row>
    <row r="907" customFormat="false" ht="15" hidden="false" customHeight="false" outlineLevel="0" collapsed="false">
      <c r="A907" s="2" t="n">
        <v>28</v>
      </c>
      <c r="B907" s="2" t="s">
        <v>24</v>
      </c>
      <c r="C907" s="2" t="s">
        <v>30</v>
      </c>
      <c r="D907" s="2" t="s">
        <v>25</v>
      </c>
      <c r="E907" s="2" t="s">
        <v>20</v>
      </c>
      <c r="F907" s="2" t="n">
        <v>198</v>
      </c>
      <c r="G907" s="2" t="s">
        <v>20</v>
      </c>
      <c r="H907" s="2" t="s">
        <v>20</v>
      </c>
      <c r="I907" s="2" t="s">
        <v>21</v>
      </c>
      <c r="J907" s="2" t="n">
        <v>5</v>
      </c>
      <c r="K907" s="2" t="s">
        <v>44</v>
      </c>
      <c r="L907" s="2" t="n">
        <v>128</v>
      </c>
      <c r="M907" s="2" t="n">
        <v>2</v>
      </c>
      <c r="N907" s="2" t="n">
        <v>-1</v>
      </c>
      <c r="O907" s="2" t="n">
        <v>0</v>
      </c>
      <c r="P907" s="2" t="s">
        <v>23</v>
      </c>
      <c r="Q907" s="2" t="s">
        <v>26</v>
      </c>
    </row>
    <row r="908" customFormat="false" ht="15" hidden="false" customHeight="false" outlineLevel="0" collapsed="false">
      <c r="A908" s="2" t="n">
        <v>31</v>
      </c>
      <c r="B908" s="2" t="s">
        <v>34</v>
      </c>
      <c r="C908" s="2" t="s">
        <v>18</v>
      </c>
      <c r="D908" s="2" t="s">
        <v>19</v>
      </c>
      <c r="E908" s="2" t="s">
        <v>20</v>
      </c>
      <c r="F908" s="2" t="n">
        <v>99</v>
      </c>
      <c r="G908" s="2" t="s">
        <v>26</v>
      </c>
      <c r="H908" s="2" t="s">
        <v>20</v>
      </c>
      <c r="I908" s="2" t="s">
        <v>21</v>
      </c>
      <c r="J908" s="2" t="n">
        <v>17</v>
      </c>
      <c r="K908" s="2" t="s">
        <v>32</v>
      </c>
      <c r="L908" s="2" t="n">
        <v>193</v>
      </c>
      <c r="M908" s="2" t="n">
        <v>2</v>
      </c>
      <c r="N908" s="2" t="n">
        <v>322</v>
      </c>
      <c r="O908" s="2" t="n">
        <v>1</v>
      </c>
      <c r="P908" s="2" t="s">
        <v>37</v>
      </c>
      <c r="Q908" s="2" t="s">
        <v>20</v>
      </c>
    </row>
    <row r="909" customFormat="false" ht="15" hidden="false" customHeight="false" outlineLevel="0" collapsed="false">
      <c r="A909" s="2" t="n">
        <v>40</v>
      </c>
      <c r="B909" s="2" t="s">
        <v>29</v>
      </c>
      <c r="C909" s="2" t="s">
        <v>18</v>
      </c>
      <c r="D909" s="2" t="s">
        <v>31</v>
      </c>
      <c r="E909" s="2" t="s">
        <v>20</v>
      </c>
      <c r="F909" s="2" t="n">
        <v>60</v>
      </c>
      <c r="G909" s="2" t="s">
        <v>20</v>
      </c>
      <c r="H909" s="2" t="s">
        <v>20</v>
      </c>
      <c r="I909" s="2" t="s">
        <v>23</v>
      </c>
      <c r="J909" s="2" t="n">
        <v>16</v>
      </c>
      <c r="K909" s="2" t="s">
        <v>33</v>
      </c>
      <c r="L909" s="2" t="n">
        <v>172</v>
      </c>
      <c r="M909" s="2" t="n">
        <v>6</v>
      </c>
      <c r="N909" s="2" t="n">
        <v>-1</v>
      </c>
      <c r="O909" s="2" t="n">
        <v>0</v>
      </c>
      <c r="P909" s="2" t="s">
        <v>23</v>
      </c>
      <c r="Q909" s="2" t="s">
        <v>20</v>
      </c>
    </row>
    <row r="910" customFormat="false" ht="15" hidden="false" customHeight="false" outlineLevel="0" collapsed="false">
      <c r="A910" s="2" t="n">
        <v>30</v>
      </c>
      <c r="B910" s="2" t="s">
        <v>24</v>
      </c>
      <c r="C910" s="2" t="s">
        <v>30</v>
      </c>
      <c r="D910" s="2" t="s">
        <v>25</v>
      </c>
      <c r="E910" s="2" t="s">
        <v>20</v>
      </c>
      <c r="F910" s="2" t="n">
        <v>3485</v>
      </c>
      <c r="G910" s="2" t="s">
        <v>20</v>
      </c>
      <c r="H910" s="2" t="s">
        <v>20</v>
      </c>
      <c r="I910" s="2" t="s">
        <v>21</v>
      </c>
      <c r="J910" s="2" t="n">
        <v>2</v>
      </c>
      <c r="K910" s="2" t="s">
        <v>35</v>
      </c>
      <c r="L910" s="2" t="n">
        <v>142</v>
      </c>
      <c r="M910" s="2" t="n">
        <v>2</v>
      </c>
      <c r="N910" s="2" t="n">
        <v>-1</v>
      </c>
      <c r="O910" s="2" t="n">
        <v>0</v>
      </c>
      <c r="P910" s="2" t="s">
        <v>23</v>
      </c>
      <c r="Q910" s="2" t="s">
        <v>20</v>
      </c>
    </row>
    <row r="911" customFormat="false" ht="15" hidden="false" customHeight="false" outlineLevel="0" collapsed="false">
      <c r="A911" s="2" t="n">
        <v>34</v>
      </c>
      <c r="B911" s="2" t="s">
        <v>39</v>
      </c>
      <c r="C911" s="2" t="s">
        <v>18</v>
      </c>
      <c r="D911" s="2" t="s">
        <v>25</v>
      </c>
      <c r="E911" s="2" t="s">
        <v>20</v>
      </c>
      <c r="F911" s="2" t="n">
        <v>-139</v>
      </c>
      <c r="G911" s="2" t="s">
        <v>26</v>
      </c>
      <c r="H911" s="2" t="s">
        <v>26</v>
      </c>
      <c r="I911" s="2" t="s">
        <v>23</v>
      </c>
      <c r="J911" s="2" t="n">
        <v>27</v>
      </c>
      <c r="K911" s="2" t="s">
        <v>27</v>
      </c>
      <c r="L911" s="2" t="n">
        <v>492</v>
      </c>
      <c r="M911" s="2" t="n">
        <v>2</v>
      </c>
      <c r="N911" s="2" t="n">
        <v>-1</v>
      </c>
      <c r="O911" s="2" t="n">
        <v>0</v>
      </c>
      <c r="P911" s="2" t="s">
        <v>23</v>
      </c>
      <c r="Q911" s="2" t="s">
        <v>20</v>
      </c>
    </row>
    <row r="912" customFormat="false" ht="15" hidden="false" customHeight="false" outlineLevel="0" collapsed="false">
      <c r="A912" s="2" t="n">
        <v>40</v>
      </c>
      <c r="B912" s="2" t="s">
        <v>34</v>
      </c>
      <c r="C912" s="2" t="s">
        <v>18</v>
      </c>
      <c r="D912" s="2" t="s">
        <v>25</v>
      </c>
      <c r="E912" s="2" t="s">
        <v>20</v>
      </c>
      <c r="F912" s="2" t="n">
        <v>952</v>
      </c>
      <c r="G912" s="2" t="s">
        <v>20</v>
      </c>
      <c r="H912" s="2" t="s">
        <v>26</v>
      </c>
      <c r="I912" s="2" t="s">
        <v>23</v>
      </c>
      <c r="J912" s="2" t="n">
        <v>12</v>
      </c>
      <c r="K912" s="2" t="s">
        <v>33</v>
      </c>
      <c r="L912" s="2" t="n">
        <v>140</v>
      </c>
      <c r="M912" s="2" t="n">
        <v>1</v>
      </c>
      <c r="N912" s="2" t="n">
        <v>-1</v>
      </c>
      <c r="O912" s="2" t="n">
        <v>0</v>
      </c>
      <c r="P912" s="2" t="s">
        <v>23</v>
      </c>
      <c r="Q912" s="2" t="s">
        <v>20</v>
      </c>
    </row>
    <row r="913" customFormat="false" ht="15" hidden="false" customHeight="false" outlineLevel="0" collapsed="false">
      <c r="A913" s="2" t="n">
        <v>59</v>
      </c>
      <c r="B913" s="2" t="s">
        <v>48</v>
      </c>
      <c r="C913" s="2" t="s">
        <v>18</v>
      </c>
      <c r="D913" s="2" t="s">
        <v>19</v>
      </c>
      <c r="E913" s="2" t="s">
        <v>20</v>
      </c>
      <c r="F913" s="2" t="n">
        <v>1427</v>
      </c>
      <c r="G913" s="2" t="s">
        <v>20</v>
      </c>
      <c r="H913" s="2" t="s">
        <v>20</v>
      </c>
      <c r="I913" s="2" t="s">
        <v>23</v>
      </c>
      <c r="J913" s="2" t="n">
        <v>18</v>
      </c>
      <c r="K913" s="2" t="s">
        <v>33</v>
      </c>
      <c r="L913" s="2" t="n">
        <v>140</v>
      </c>
      <c r="M913" s="2" t="n">
        <v>2</v>
      </c>
      <c r="N913" s="2" t="n">
        <v>-1</v>
      </c>
      <c r="O913" s="2" t="n">
        <v>0</v>
      </c>
      <c r="P913" s="2" t="s">
        <v>23</v>
      </c>
      <c r="Q913" s="2" t="s">
        <v>20</v>
      </c>
    </row>
    <row r="914" customFormat="false" ht="15" hidden="false" customHeight="false" outlineLevel="0" collapsed="false">
      <c r="A914" s="2" t="n">
        <v>43</v>
      </c>
      <c r="B914" s="2" t="s">
        <v>38</v>
      </c>
      <c r="C914" s="2" t="s">
        <v>30</v>
      </c>
      <c r="D914" s="2" t="s">
        <v>31</v>
      </c>
      <c r="E914" s="2" t="s">
        <v>20</v>
      </c>
      <c r="F914" s="2" t="n">
        <v>1017</v>
      </c>
      <c r="G914" s="2" t="s">
        <v>26</v>
      </c>
      <c r="H914" s="2" t="s">
        <v>20</v>
      </c>
      <c r="I914" s="2" t="s">
        <v>23</v>
      </c>
      <c r="J914" s="2" t="n">
        <v>19</v>
      </c>
      <c r="K914" s="2" t="s">
        <v>27</v>
      </c>
      <c r="L914" s="2" t="n">
        <v>257</v>
      </c>
      <c r="M914" s="2" t="n">
        <v>2</v>
      </c>
      <c r="N914" s="2" t="n">
        <v>-1</v>
      </c>
      <c r="O914" s="2" t="n">
        <v>0</v>
      </c>
      <c r="P914" s="2" t="s">
        <v>23</v>
      </c>
      <c r="Q914" s="2" t="s">
        <v>20</v>
      </c>
    </row>
    <row r="915" customFormat="false" ht="15" hidden="false" customHeight="false" outlineLevel="0" collapsed="false">
      <c r="A915" s="2" t="n">
        <v>41</v>
      </c>
      <c r="B915" s="2" t="s">
        <v>29</v>
      </c>
      <c r="C915" s="2" t="s">
        <v>18</v>
      </c>
      <c r="D915" s="2" t="s">
        <v>31</v>
      </c>
      <c r="E915" s="2" t="s">
        <v>20</v>
      </c>
      <c r="F915" s="2" t="n">
        <v>-29</v>
      </c>
      <c r="G915" s="2" t="s">
        <v>20</v>
      </c>
      <c r="H915" s="2" t="s">
        <v>20</v>
      </c>
      <c r="I915" s="2" t="s">
        <v>21</v>
      </c>
      <c r="J915" s="2" t="n">
        <v>29</v>
      </c>
      <c r="K915" s="2" t="s">
        <v>43</v>
      </c>
      <c r="L915" s="2" t="n">
        <v>41</v>
      </c>
      <c r="M915" s="2" t="n">
        <v>2</v>
      </c>
      <c r="N915" s="2" t="n">
        <v>266</v>
      </c>
      <c r="O915" s="2" t="n">
        <v>2</v>
      </c>
      <c r="P915" s="2" t="s">
        <v>28</v>
      </c>
      <c r="Q915" s="2" t="s">
        <v>20</v>
      </c>
    </row>
    <row r="916" customFormat="false" ht="15" hidden="false" customHeight="false" outlineLevel="0" collapsed="false">
      <c r="A916" s="2" t="n">
        <v>33</v>
      </c>
      <c r="B916" s="2" t="s">
        <v>38</v>
      </c>
      <c r="C916" s="2" t="s">
        <v>45</v>
      </c>
      <c r="D916" s="2" t="s">
        <v>25</v>
      </c>
      <c r="E916" s="2" t="s">
        <v>20</v>
      </c>
      <c r="F916" s="2" t="n">
        <v>9</v>
      </c>
      <c r="G916" s="2" t="s">
        <v>20</v>
      </c>
      <c r="H916" s="2" t="s">
        <v>20</v>
      </c>
      <c r="I916" s="2" t="s">
        <v>21</v>
      </c>
      <c r="J916" s="2" t="n">
        <v>21</v>
      </c>
      <c r="K916" s="2" t="s">
        <v>41</v>
      </c>
      <c r="L916" s="2" t="n">
        <v>91</v>
      </c>
      <c r="M916" s="2" t="n">
        <v>2</v>
      </c>
      <c r="N916" s="2" t="n">
        <v>-1</v>
      </c>
      <c r="O916" s="2" t="n">
        <v>0</v>
      </c>
      <c r="P916" s="2" t="s">
        <v>23</v>
      </c>
      <c r="Q916" s="2" t="s">
        <v>20</v>
      </c>
    </row>
    <row r="917" customFormat="false" ht="15" hidden="false" customHeight="false" outlineLevel="0" collapsed="false">
      <c r="A917" s="2" t="n">
        <v>33</v>
      </c>
      <c r="B917" s="2" t="s">
        <v>29</v>
      </c>
      <c r="C917" s="2" t="s">
        <v>18</v>
      </c>
      <c r="D917" s="2" t="s">
        <v>25</v>
      </c>
      <c r="E917" s="2" t="s">
        <v>20</v>
      </c>
      <c r="F917" s="2" t="n">
        <v>4040</v>
      </c>
      <c r="G917" s="2" t="s">
        <v>26</v>
      </c>
      <c r="H917" s="2" t="s">
        <v>20</v>
      </c>
      <c r="I917" s="2" t="s">
        <v>21</v>
      </c>
      <c r="J917" s="2" t="n">
        <v>20</v>
      </c>
      <c r="K917" s="2" t="s">
        <v>32</v>
      </c>
      <c r="L917" s="2" t="n">
        <v>132</v>
      </c>
      <c r="M917" s="2" t="n">
        <v>2</v>
      </c>
      <c r="N917" s="2" t="n">
        <v>-1</v>
      </c>
      <c r="O917" s="2" t="n">
        <v>0</v>
      </c>
      <c r="P917" s="2" t="s">
        <v>23</v>
      </c>
      <c r="Q917" s="2" t="s">
        <v>20</v>
      </c>
    </row>
    <row r="918" customFormat="false" ht="15" hidden="false" customHeight="false" outlineLevel="0" collapsed="false">
      <c r="A918" s="2" t="n">
        <v>36</v>
      </c>
      <c r="B918" s="2" t="s">
        <v>34</v>
      </c>
      <c r="C918" s="2" t="s">
        <v>18</v>
      </c>
      <c r="D918" s="2" t="s">
        <v>25</v>
      </c>
      <c r="E918" s="2" t="s">
        <v>20</v>
      </c>
      <c r="F918" s="2" t="n">
        <v>13</v>
      </c>
      <c r="G918" s="2" t="s">
        <v>20</v>
      </c>
      <c r="H918" s="2" t="s">
        <v>20</v>
      </c>
      <c r="I918" s="2" t="s">
        <v>23</v>
      </c>
      <c r="J918" s="2" t="n">
        <v>3</v>
      </c>
      <c r="K918" s="2" t="s">
        <v>33</v>
      </c>
      <c r="L918" s="2" t="n">
        <v>284</v>
      </c>
      <c r="M918" s="2" t="n">
        <v>1</v>
      </c>
      <c r="N918" s="2" t="n">
        <v>-1</v>
      </c>
      <c r="O918" s="2" t="n">
        <v>0</v>
      </c>
      <c r="P918" s="2" t="s">
        <v>23</v>
      </c>
      <c r="Q918" s="2" t="s">
        <v>20</v>
      </c>
    </row>
    <row r="919" customFormat="false" ht="15" hidden="false" customHeight="false" outlineLevel="0" collapsed="false">
      <c r="A919" s="2" t="n">
        <v>32</v>
      </c>
      <c r="B919" s="2" t="s">
        <v>36</v>
      </c>
      <c r="C919" s="2" t="s">
        <v>30</v>
      </c>
      <c r="D919" s="2" t="s">
        <v>25</v>
      </c>
      <c r="E919" s="2" t="s">
        <v>20</v>
      </c>
      <c r="F919" s="2" t="n">
        <v>1259</v>
      </c>
      <c r="G919" s="2" t="s">
        <v>20</v>
      </c>
      <c r="H919" s="2" t="s">
        <v>20</v>
      </c>
      <c r="I919" s="2" t="s">
        <v>21</v>
      </c>
      <c r="J919" s="2" t="n">
        <v>25</v>
      </c>
      <c r="K919" s="2" t="s">
        <v>44</v>
      </c>
      <c r="L919" s="2" t="n">
        <v>184</v>
      </c>
      <c r="M919" s="2" t="n">
        <v>2</v>
      </c>
      <c r="N919" s="2" t="n">
        <v>-1</v>
      </c>
      <c r="O919" s="2" t="n">
        <v>0</v>
      </c>
      <c r="P919" s="2" t="s">
        <v>23</v>
      </c>
      <c r="Q919" s="2" t="s">
        <v>20</v>
      </c>
    </row>
    <row r="920" customFormat="false" ht="15" hidden="false" customHeight="false" outlineLevel="0" collapsed="false">
      <c r="A920" s="2" t="n">
        <v>25</v>
      </c>
      <c r="B920" s="2" t="s">
        <v>40</v>
      </c>
      <c r="C920" s="2" t="s">
        <v>18</v>
      </c>
      <c r="D920" s="2" t="s">
        <v>25</v>
      </c>
      <c r="E920" s="2" t="s">
        <v>20</v>
      </c>
      <c r="F920" s="2" t="n">
        <v>18</v>
      </c>
      <c r="G920" s="2" t="s">
        <v>26</v>
      </c>
      <c r="H920" s="2" t="s">
        <v>20</v>
      </c>
      <c r="I920" s="2" t="s">
        <v>21</v>
      </c>
      <c r="J920" s="2" t="n">
        <v>18</v>
      </c>
      <c r="K920" s="2" t="s">
        <v>44</v>
      </c>
      <c r="L920" s="2" t="n">
        <v>225</v>
      </c>
      <c r="M920" s="2" t="n">
        <v>1</v>
      </c>
      <c r="N920" s="2" t="n">
        <v>-1</v>
      </c>
      <c r="O920" s="2" t="n">
        <v>0</v>
      </c>
      <c r="P920" s="2" t="s">
        <v>23</v>
      </c>
      <c r="Q920" s="2" t="s">
        <v>20</v>
      </c>
    </row>
    <row r="921" customFormat="false" ht="15" hidden="false" customHeight="false" outlineLevel="0" collapsed="false">
      <c r="A921" s="2" t="n">
        <v>25</v>
      </c>
      <c r="B921" s="2" t="s">
        <v>34</v>
      </c>
      <c r="C921" s="2" t="s">
        <v>18</v>
      </c>
      <c r="D921" s="2" t="s">
        <v>25</v>
      </c>
      <c r="E921" s="2" t="s">
        <v>20</v>
      </c>
      <c r="F921" s="2" t="n">
        <v>-76</v>
      </c>
      <c r="G921" s="2" t="s">
        <v>26</v>
      </c>
      <c r="H921" s="2" t="s">
        <v>20</v>
      </c>
      <c r="I921" s="2" t="s">
        <v>23</v>
      </c>
      <c r="J921" s="2" t="n">
        <v>12</v>
      </c>
      <c r="K921" s="2" t="s">
        <v>27</v>
      </c>
      <c r="L921" s="2" t="n">
        <v>241</v>
      </c>
      <c r="M921" s="2" t="n">
        <v>3</v>
      </c>
      <c r="N921" s="2" t="n">
        <v>-1</v>
      </c>
      <c r="O921" s="2" t="n">
        <v>0</v>
      </c>
      <c r="P921" s="2" t="s">
        <v>23</v>
      </c>
      <c r="Q921" s="2" t="s">
        <v>20</v>
      </c>
    </row>
    <row r="922" customFormat="false" ht="15" hidden="false" customHeight="false" outlineLevel="0" collapsed="false">
      <c r="A922" s="2" t="n">
        <v>38</v>
      </c>
      <c r="B922" s="2" t="s">
        <v>38</v>
      </c>
      <c r="C922" s="2" t="s">
        <v>30</v>
      </c>
      <c r="D922" s="2" t="s">
        <v>31</v>
      </c>
      <c r="E922" s="2" t="s">
        <v>20</v>
      </c>
      <c r="F922" s="2" t="n">
        <v>221</v>
      </c>
      <c r="G922" s="2" t="s">
        <v>20</v>
      </c>
      <c r="H922" s="2" t="s">
        <v>20</v>
      </c>
      <c r="I922" s="2" t="s">
        <v>21</v>
      </c>
      <c r="J922" s="2" t="n">
        <v>20</v>
      </c>
      <c r="K922" s="2" t="s">
        <v>41</v>
      </c>
      <c r="L922" s="2" t="n">
        <v>79</v>
      </c>
      <c r="M922" s="2" t="n">
        <v>3</v>
      </c>
      <c r="N922" s="2" t="n">
        <v>-1</v>
      </c>
      <c r="O922" s="2" t="n">
        <v>0</v>
      </c>
      <c r="P922" s="2" t="s">
        <v>23</v>
      </c>
      <c r="Q922" s="2" t="s">
        <v>20</v>
      </c>
    </row>
    <row r="923" customFormat="false" ht="15" hidden="false" customHeight="false" outlineLevel="0" collapsed="false">
      <c r="A923" s="2" t="n">
        <v>34</v>
      </c>
      <c r="B923" s="2" t="s">
        <v>29</v>
      </c>
      <c r="C923" s="2" t="s">
        <v>18</v>
      </c>
      <c r="D923" s="2" t="s">
        <v>31</v>
      </c>
      <c r="E923" s="2" t="s">
        <v>20</v>
      </c>
      <c r="F923" s="2" t="n">
        <v>136</v>
      </c>
      <c r="G923" s="2" t="s">
        <v>26</v>
      </c>
      <c r="H923" s="2" t="s">
        <v>20</v>
      </c>
      <c r="I923" s="2" t="s">
        <v>21</v>
      </c>
      <c r="J923" s="2" t="n">
        <v>22</v>
      </c>
      <c r="K923" s="2" t="s">
        <v>32</v>
      </c>
      <c r="L923" s="2" t="n">
        <v>156</v>
      </c>
      <c r="M923" s="2" t="n">
        <v>1</v>
      </c>
      <c r="N923" s="2" t="n">
        <v>-1</v>
      </c>
      <c r="O923" s="2" t="n">
        <v>0</v>
      </c>
      <c r="P923" s="2" t="s">
        <v>23</v>
      </c>
      <c r="Q923" s="2" t="s">
        <v>20</v>
      </c>
    </row>
    <row r="924" customFormat="false" ht="15" hidden="false" customHeight="false" outlineLevel="0" collapsed="false">
      <c r="A924" s="2" t="n">
        <v>67</v>
      </c>
      <c r="B924" s="2" t="s">
        <v>34</v>
      </c>
      <c r="C924" s="2" t="s">
        <v>18</v>
      </c>
      <c r="D924" s="2" t="s">
        <v>25</v>
      </c>
      <c r="E924" s="2" t="s">
        <v>20</v>
      </c>
      <c r="F924" s="2" t="n">
        <v>16353</v>
      </c>
      <c r="G924" s="2" t="s">
        <v>20</v>
      </c>
      <c r="H924" s="2" t="s">
        <v>20</v>
      </c>
      <c r="I924" s="2" t="s">
        <v>21</v>
      </c>
      <c r="J924" s="2" t="n">
        <v>27</v>
      </c>
      <c r="K924" s="2" t="s">
        <v>22</v>
      </c>
      <c r="L924" s="2" t="n">
        <v>223</v>
      </c>
      <c r="M924" s="2" t="n">
        <v>2</v>
      </c>
      <c r="N924" s="2" t="n">
        <v>-1</v>
      </c>
      <c r="O924" s="2" t="n">
        <v>0</v>
      </c>
      <c r="P924" s="2" t="s">
        <v>23</v>
      </c>
      <c r="Q924" s="2" t="s">
        <v>20</v>
      </c>
    </row>
    <row r="925" customFormat="false" ht="15" hidden="false" customHeight="false" outlineLevel="0" collapsed="false">
      <c r="A925" s="2" t="n">
        <v>32</v>
      </c>
      <c r="B925" s="2" t="s">
        <v>34</v>
      </c>
      <c r="C925" s="2" t="s">
        <v>18</v>
      </c>
      <c r="D925" s="2" t="s">
        <v>25</v>
      </c>
      <c r="E925" s="2" t="s">
        <v>20</v>
      </c>
      <c r="F925" s="2" t="n">
        <v>-63</v>
      </c>
      <c r="G925" s="2" t="s">
        <v>26</v>
      </c>
      <c r="H925" s="2" t="s">
        <v>20</v>
      </c>
      <c r="I925" s="2" t="s">
        <v>23</v>
      </c>
      <c r="J925" s="2" t="n">
        <v>30</v>
      </c>
      <c r="K925" s="2" t="s">
        <v>27</v>
      </c>
      <c r="L925" s="2" t="n">
        <v>198</v>
      </c>
      <c r="M925" s="2" t="n">
        <v>1</v>
      </c>
      <c r="N925" s="2" t="n">
        <v>-1</v>
      </c>
      <c r="O925" s="2" t="n">
        <v>0</v>
      </c>
      <c r="P925" s="2" t="s">
        <v>23</v>
      </c>
      <c r="Q925" s="2" t="s">
        <v>20</v>
      </c>
    </row>
    <row r="926" customFormat="false" ht="15" hidden="false" customHeight="false" outlineLevel="0" collapsed="false">
      <c r="A926" s="2" t="n">
        <v>45</v>
      </c>
      <c r="B926" s="2" t="s">
        <v>47</v>
      </c>
      <c r="C926" s="2" t="s">
        <v>18</v>
      </c>
      <c r="D926" s="2" t="s">
        <v>19</v>
      </c>
      <c r="E926" s="2" t="s">
        <v>20</v>
      </c>
      <c r="F926" s="2" t="n">
        <v>7353</v>
      </c>
      <c r="G926" s="2" t="s">
        <v>20</v>
      </c>
      <c r="H926" s="2" t="s">
        <v>20</v>
      </c>
      <c r="I926" s="2" t="s">
        <v>21</v>
      </c>
      <c r="J926" s="2" t="n">
        <v>13</v>
      </c>
      <c r="K926" s="2" t="s">
        <v>41</v>
      </c>
      <c r="L926" s="2" t="n">
        <v>536</v>
      </c>
      <c r="M926" s="2" t="n">
        <v>2</v>
      </c>
      <c r="N926" s="2" t="n">
        <v>-1</v>
      </c>
      <c r="O926" s="2" t="n">
        <v>0</v>
      </c>
      <c r="P926" s="2" t="s">
        <v>23</v>
      </c>
      <c r="Q926" s="2" t="s">
        <v>20</v>
      </c>
    </row>
    <row r="927" customFormat="false" ht="15" hidden="false" customHeight="false" outlineLevel="0" collapsed="false">
      <c r="A927" s="2" t="n">
        <v>33</v>
      </c>
      <c r="B927" s="2" t="s">
        <v>34</v>
      </c>
      <c r="C927" s="2" t="s">
        <v>18</v>
      </c>
      <c r="D927" s="2" t="s">
        <v>19</v>
      </c>
      <c r="E927" s="2" t="s">
        <v>20</v>
      </c>
      <c r="F927" s="2" t="n">
        <v>511</v>
      </c>
      <c r="G927" s="2" t="s">
        <v>26</v>
      </c>
      <c r="H927" s="2" t="s">
        <v>20</v>
      </c>
      <c r="I927" s="2" t="s">
        <v>23</v>
      </c>
      <c r="J927" s="2" t="n">
        <v>21</v>
      </c>
      <c r="K927" s="2" t="s">
        <v>27</v>
      </c>
      <c r="L927" s="2" t="n">
        <v>304</v>
      </c>
      <c r="M927" s="2" t="n">
        <v>2</v>
      </c>
      <c r="N927" s="2" t="n">
        <v>-1</v>
      </c>
      <c r="O927" s="2" t="n">
        <v>0</v>
      </c>
      <c r="P927" s="2" t="s">
        <v>23</v>
      </c>
      <c r="Q927" s="2" t="s">
        <v>20</v>
      </c>
    </row>
    <row r="928" customFormat="false" ht="15" hidden="false" customHeight="false" outlineLevel="0" collapsed="false">
      <c r="A928" s="2" t="n">
        <v>38</v>
      </c>
      <c r="B928" s="2" t="s">
        <v>40</v>
      </c>
      <c r="C928" s="2" t="s">
        <v>18</v>
      </c>
      <c r="D928" s="2" t="s">
        <v>19</v>
      </c>
      <c r="E928" s="2" t="s">
        <v>20</v>
      </c>
      <c r="F928" s="2" t="n">
        <v>3913</v>
      </c>
      <c r="G928" s="2" t="s">
        <v>26</v>
      </c>
      <c r="H928" s="2" t="s">
        <v>20</v>
      </c>
      <c r="I928" s="2" t="s">
        <v>21</v>
      </c>
      <c r="J928" s="2" t="n">
        <v>20</v>
      </c>
      <c r="K928" s="2" t="s">
        <v>32</v>
      </c>
      <c r="L928" s="2" t="n">
        <v>196</v>
      </c>
      <c r="M928" s="2" t="n">
        <v>2</v>
      </c>
      <c r="N928" s="2" t="n">
        <v>315</v>
      </c>
      <c r="O928" s="2" t="n">
        <v>2</v>
      </c>
      <c r="P928" s="2" t="s">
        <v>28</v>
      </c>
      <c r="Q928" s="2" t="s">
        <v>20</v>
      </c>
    </row>
    <row r="929" customFormat="false" ht="15" hidden="false" customHeight="false" outlineLevel="0" collapsed="false">
      <c r="A929" s="2" t="n">
        <v>32</v>
      </c>
      <c r="B929" s="2" t="s">
        <v>38</v>
      </c>
      <c r="C929" s="2" t="s">
        <v>45</v>
      </c>
      <c r="D929" s="2" t="s">
        <v>25</v>
      </c>
      <c r="E929" s="2" t="s">
        <v>20</v>
      </c>
      <c r="F929" s="2" t="n">
        <v>1097</v>
      </c>
      <c r="G929" s="2" t="s">
        <v>26</v>
      </c>
      <c r="H929" s="2" t="s">
        <v>20</v>
      </c>
      <c r="I929" s="2" t="s">
        <v>23</v>
      </c>
      <c r="J929" s="2" t="n">
        <v>12</v>
      </c>
      <c r="K929" s="2" t="s">
        <v>27</v>
      </c>
      <c r="L929" s="2" t="n">
        <v>298</v>
      </c>
      <c r="M929" s="2" t="n">
        <v>2</v>
      </c>
      <c r="N929" s="2" t="n">
        <v>-1</v>
      </c>
      <c r="O929" s="2" t="n">
        <v>0</v>
      </c>
      <c r="P929" s="2" t="s">
        <v>23</v>
      </c>
      <c r="Q929" s="2" t="s">
        <v>20</v>
      </c>
    </row>
    <row r="930" customFormat="false" ht="15" hidden="false" customHeight="false" outlineLevel="0" collapsed="false">
      <c r="A930" s="2" t="n">
        <v>54</v>
      </c>
      <c r="B930" s="2" t="s">
        <v>48</v>
      </c>
      <c r="C930" s="2" t="s">
        <v>45</v>
      </c>
      <c r="D930" s="2" t="s">
        <v>31</v>
      </c>
      <c r="E930" s="2" t="s">
        <v>20</v>
      </c>
      <c r="F930" s="2" t="n">
        <v>6102</v>
      </c>
      <c r="G930" s="2" t="s">
        <v>26</v>
      </c>
      <c r="H930" s="2" t="s">
        <v>26</v>
      </c>
      <c r="I930" s="2" t="s">
        <v>23</v>
      </c>
      <c r="J930" s="2" t="n">
        <v>21</v>
      </c>
      <c r="K930" s="2" t="s">
        <v>27</v>
      </c>
      <c r="L930" s="2" t="n">
        <v>86</v>
      </c>
      <c r="M930" s="2" t="n">
        <v>6</v>
      </c>
      <c r="N930" s="2" t="n">
        <v>-1</v>
      </c>
      <c r="O930" s="2" t="n">
        <v>0</v>
      </c>
      <c r="P930" s="2" t="s">
        <v>23</v>
      </c>
      <c r="Q930" s="2" t="s">
        <v>20</v>
      </c>
    </row>
    <row r="931" customFormat="false" ht="15" hidden="false" customHeight="false" outlineLevel="0" collapsed="false">
      <c r="A931" s="2" t="n">
        <v>51</v>
      </c>
      <c r="B931" s="2" t="s">
        <v>40</v>
      </c>
      <c r="C931" s="2" t="s">
        <v>45</v>
      </c>
      <c r="D931" s="2" t="s">
        <v>25</v>
      </c>
      <c r="E931" s="2" t="s">
        <v>20</v>
      </c>
      <c r="F931" s="2" t="n">
        <v>340</v>
      </c>
      <c r="G931" s="2" t="s">
        <v>26</v>
      </c>
      <c r="H931" s="2" t="s">
        <v>20</v>
      </c>
      <c r="I931" s="2" t="s">
        <v>23</v>
      </c>
      <c r="J931" s="2" t="n">
        <v>8</v>
      </c>
      <c r="K931" s="2" t="s">
        <v>27</v>
      </c>
      <c r="L931" s="2" t="n">
        <v>186</v>
      </c>
      <c r="M931" s="2" t="n">
        <v>1</v>
      </c>
      <c r="N931" s="2" t="n">
        <v>-1</v>
      </c>
      <c r="O931" s="2" t="n">
        <v>0</v>
      </c>
      <c r="P931" s="2" t="s">
        <v>23</v>
      </c>
      <c r="Q931" s="2" t="s">
        <v>20</v>
      </c>
    </row>
    <row r="932" customFormat="false" ht="15" hidden="false" customHeight="false" outlineLevel="0" collapsed="false">
      <c r="A932" s="2" t="n">
        <v>42</v>
      </c>
      <c r="B932" s="2" t="s">
        <v>34</v>
      </c>
      <c r="C932" s="2" t="s">
        <v>18</v>
      </c>
      <c r="D932" s="2" t="s">
        <v>19</v>
      </c>
      <c r="E932" s="2" t="s">
        <v>20</v>
      </c>
      <c r="F932" s="2" t="n">
        <v>-119</v>
      </c>
      <c r="G932" s="2" t="s">
        <v>26</v>
      </c>
      <c r="H932" s="2" t="s">
        <v>20</v>
      </c>
      <c r="I932" s="2" t="s">
        <v>21</v>
      </c>
      <c r="J932" s="2" t="n">
        <v>22</v>
      </c>
      <c r="K932" s="2" t="s">
        <v>44</v>
      </c>
      <c r="L932" s="2" t="n">
        <v>167</v>
      </c>
      <c r="M932" s="2" t="n">
        <v>3</v>
      </c>
      <c r="N932" s="2" t="n">
        <v>-1</v>
      </c>
      <c r="O932" s="2" t="n">
        <v>0</v>
      </c>
      <c r="P932" s="2" t="s">
        <v>23</v>
      </c>
      <c r="Q932" s="2" t="s">
        <v>20</v>
      </c>
    </row>
    <row r="933" customFormat="false" ht="15" hidden="false" customHeight="false" outlineLevel="0" collapsed="false">
      <c r="A933" s="2" t="n">
        <v>41</v>
      </c>
      <c r="B933" s="2" t="s">
        <v>40</v>
      </c>
      <c r="C933" s="2" t="s">
        <v>18</v>
      </c>
      <c r="D933" s="2" t="s">
        <v>25</v>
      </c>
      <c r="E933" s="2" t="s">
        <v>20</v>
      </c>
      <c r="F933" s="2" t="n">
        <v>2993</v>
      </c>
      <c r="G933" s="2" t="s">
        <v>26</v>
      </c>
      <c r="H933" s="2" t="s">
        <v>20</v>
      </c>
      <c r="I933" s="2" t="s">
        <v>21</v>
      </c>
      <c r="J933" s="2" t="n">
        <v>22</v>
      </c>
      <c r="K933" s="2" t="s">
        <v>44</v>
      </c>
      <c r="L933" s="2" t="n">
        <v>24</v>
      </c>
      <c r="M933" s="2" t="n">
        <v>12</v>
      </c>
      <c r="N933" s="2" t="n">
        <v>-1</v>
      </c>
      <c r="O933" s="2" t="n">
        <v>0</v>
      </c>
      <c r="P933" s="2" t="s">
        <v>23</v>
      </c>
      <c r="Q933" s="2" t="s">
        <v>20</v>
      </c>
    </row>
    <row r="934" customFormat="false" ht="15" hidden="false" customHeight="false" outlineLevel="0" collapsed="false">
      <c r="A934" s="2" t="n">
        <v>39</v>
      </c>
      <c r="B934" s="2" t="s">
        <v>29</v>
      </c>
      <c r="C934" s="2" t="s">
        <v>45</v>
      </c>
      <c r="D934" s="2" t="s">
        <v>31</v>
      </c>
      <c r="E934" s="2" t="s">
        <v>20</v>
      </c>
      <c r="F934" s="2" t="n">
        <v>3575</v>
      </c>
      <c r="G934" s="2" t="s">
        <v>20</v>
      </c>
      <c r="H934" s="2" t="s">
        <v>26</v>
      </c>
      <c r="I934" s="2" t="s">
        <v>21</v>
      </c>
      <c r="J934" s="2" t="n">
        <v>18</v>
      </c>
      <c r="K934" s="2" t="s">
        <v>41</v>
      </c>
      <c r="L934" s="2" t="n">
        <v>74</v>
      </c>
      <c r="M934" s="2" t="n">
        <v>3</v>
      </c>
      <c r="N934" s="2" t="n">
        <v>-1</v>
      </c>
      <c r="O934" s="2" t="n">
        <v>0</v>
      </c>
      <c r="P934" s="2" t="s">
        <v>23</v>
      </c>
      <c r="Q934" s="2" t="s">
        <v>20</v>
      </c>
    </row>
    <row r="935" customFormat="false" ht="15" hidden="false" customHeight="false" outlineLevel="0" collapsed="false">
      <c r="A935" s="2" t="n">
        <v>38</v>
      </c>
      <c r="B935" s="2" t="s">
        <v>34</v>
      </c>
      <c r="C935" s="2" t="s">
        <v>18</v>
      </c>
      <c r="D935" s="2" t="s">
        <v>25</v>
      </c>
      <c r="E935" s="2" t="s">
        <v>20</v>
      </c>
      <c r="F935" s="2" t="n">
        <v>361</v>
      </c>
      <c r="G935" s="2" t="s">
        <v>26</v>
      </c>
      <c r="H935" s="2" t="s">
        <v>20</v>
      </c>
      <c r="I935" s="2" t="s">
        <v>23</v>
      </c>
      <c r="J935" s="2" t="n">
        <v>11</v>
      </c>
      <c r="K935" s="2" t="s">
        <v>33</v>
      </c>
      <c r="L935" s="2" t="n">
        <v>601</v>
      </c>
      <c r="M935" s="2" t="n">
        <v>1</v>
      </c>
      <c r="N935" s="2" t="n">
        <v>-1</v>
      </c>
      <c r="O935" s="2" t="n">
        <v>0</v>
      </c>
      <c r="P935" s="2" t="s">
        <v>23</v>
      </c>
      <c r="Q935" s="2" t="s">
        <v>20</v>
      </c>
    </row>
    <row r="936" customFormat="false" ht="15" hidden="false" customHeight="false" outlineLevel="0" collapsed="false">
      <c r="A936" s="2" t="n">
        <v>39</v>
      </c>
      <c r="B936" s="2" t="s">
        <v>29</v>
      </c>
      <c r="C936" s="2" t="s">
        <v>18</v>
      </c>
      <c r="D936" s="2" t="s">
        <v>25</v>
      </c>
      <c r="E936" s="2" t="s">
        <v>20</v>
      </c>
      <c r="F936" s="2" t="n">
        <v>1072</v>
      </c>
      <c r="G936" s="2" t="s">
        <v>26</v>
      </c>
      <c r="H936" s="2" t="s">
        <v>20</v>
      </c>
      <c r="I936" s="2" t="s">
        <v>23</v>
      </c>
      <c r="J936" s="2" t="n">
        <v>27</v>
      </c>
      <c r="K936" s="2" t="s">
        <v>27</v>
      </c>
      <c r="L936" s="2" t="n">
        <v>1168</v>
      </c>
      <c r="M936" s="2" t="n">
        <v>2</v>
      </c>
      <c r="N936" s="2" t="n">
        <v>-1</v>
      </c>
      <c r="O936" s="2" t="n">
        <v>0</v>
      </c>
      <c r="P936" s="2" t="s">
        <v>23</v>
      </c>
      <c r="Q936" s="2" t="s">
        <v>20</v>
      </c>
    </row>
    <row r="937" customFormat="false" ht="15" hidden="false" customHeight="false" outlineLevel="0" collapsed="false">
      <c r="A937" s="2" t="n">
        <v>46</v>
      </c>
      <c r="B937" s="2" t="s">
        <v>34</v>
      </c>
      <c r="C937" s="2" t="s">
        <v>18</v>
      </c>
      <c r="D937" s="2" t="s">
        <v>19</v>
      </c>
      <c r="E937" s="2" t="s">
        <v>20</v>
      </c>
      <c r="F937" s="2" t="n">
        <v>2904</v>
      </c>
      <c r="G937" s="2" t="s">
        <v>20</v>
      </c>
      <c r="H937" s="2" t="s">
        <v>20</v>
      </c>
      <c r="I937" s="2" t="s">
        <v>21</v>
      </c>
      <c r="J937" s="2" t="n">
        <v>20</v>
      </c>
      <c r="K937" s="2" t="s">
        <v>32</v>
      </c>
      <c r="L937" s="2" t="n">
        <v>277</v>
      </c>
      <c r="M937" s="2" t="n">
        <v>2</v>
      </c>
      <c r="N937" s="2" t="n">
        <v>-1</v>
      </c>
      <c r="O937" s="2" t="n">
        <v>0</v>
      </c>
      <c r="P937" s="2" t="s">
        <v>23</v>
      </c>
      <c r="Q937" s="2" t="s">
        <v>20</v>
      </c>
    </row>
    <row r="938" customFormat="false" ht="15" hidden="false" customHeight="false" outlineLevel="0" collapsed="false">
      <c r="A938" s="2" t="n">
        <v>50</v>
      </c>
      <c r="B938" s="2" t="s">
        <v>39</v>
      </c>
      <c r="C938" s="2" t="s">
        <v>45</v>
      </c>
      <c r="D938" s="2" t="s">
        <v>31</v>
      </c>
      <c r="E938" s="2" t="s">
        <v>20</v>
      </c>
      <c r="F938" s="2" t="n">
        <v>1790</v>
      </c>
      <c r="G938" s="2" t="s">
        <v>20</v>
      </c>
      <c r="H938" s="2" t="s">
        <v>26</v>
      </c>
      <c r="I938" s="2" t="s">
        <v>21</v>
      </c>
      <c r="J938" s="2" t="n">
        <v>6</v>
      </c>
      <c r="K938" s="2" t="s">
        <v>35</v>
      </c>
      <c r="L938" s="2" t="n">
        <v>748</v>
      </c>
      <c r="M938" s="2" t="n">
        <v>3</v>
      </c>
      <c r="N938" s="2" t="n">
        <v>-1</v>
      </c>
      <c r="O938" s="2" t="n">
        <v>0</v>
      </c>
      <c r="P938" s="2" t="s">
        <v>23</v>
      </c>
      <c r="Q938" s="2" t="s">
        <v>20</v>
      </c>
    </row>
    <row r="939" customFormat="false" ht="15" hidden="false" customHeight="false" outlineLevel="0" collapsed="false">
      <c r="A939" s="2" t="n">
        <v>33</v>
      </c>
      <c r="B939" s="2" t="s">
        <v>34</v>
      </c>
      <c r="C939" s="2" t="s">
        <v>18</v>
      </c>
      <c r="D939" s="2" t="s">
        <v>25</v>
      </c>
      <c r="E939" s="2" t="s">
        <v>20</v>
      </c>
      <c r="F939" s="2" t="n">
        <v>86</v>
      </c>
      <c r="G939" s="2" t="s">
        <v>26</v>
      </c>
      <c r="H939" s="2" t="s">
        <v>20</v>
      </c>
      <c r="I939" s="2" t="s">
        <v>23</v>
      </c>
      <c r="J939" s="2" t="n">
        <v>19</v>
      </c>
      <c r="K939" s="2" t="s">
        <v>27</v>
      </c>
      <c r="L939" s="2" t="n">
        <v>364</v>
      </c>
      <c r="M939" s="2" t="n">
        <v>1</v>
      </c>
      <c r="N939" s="2" t="n">
        <v>-1</v>
      </c>
      <c r="O939" s="2" t="n">
        <v>0</v>
      </c>
      <c r="P939" s="2" t="s">
        <v>23</v>
      </c>
      <c r="Q939" s="2" t="s">
        <v>20</v>
      </c>
    </row>
    <row r="940" customFormat="false" ht="15" hidden="false" customHeight="false" outlineLevel="0" collapsed="false">
      <c r="A940" s="2" t="n">
        <v>37</v>
      </c>
      <c r="B940" s="2" t="s">
        <v>38</v>
      </c>
      <c r="C940" s="2" t="s">
        <v>18</v>
      </c>
      <c r="D940" s="2" t="s">
        <v>25</v>
      </c>
      <c r="E940" s="2" t="s">
        <v>20</v>
      </c>
      <c r="F940" s="2" t="n">
        <v>1633</v>
      </c>
      <c r="G940" s="2" t="s">
        <v>26</v>
      </c>
      <c r="H940" s="2" t="s">
        <v>20</v>
      </c>
      <c r="I940" s="2" t="s">
        <v>23</v>
      </c>
      <c r="J940" s="2" t="n">
        <v>19</v>
      </c>
      <c r="K940" s="2" t="s">
        <v>27</v>
      </c>
      <c r="L940" s="2" t="n">
        <v>229</v>
      </c>
      <c r="M940" s="2" t="n">
        <v>3</v>
      </c>
      <c r="N940" s="2" t="n">
        <v>-1</v>
      </c>
      <c r="O940" s="2" t="n">
        <v>0</v>
      </c>
      <c r="P940" s="2" t="s">
        <v>23</v>
      </c>
      <c r="Q940" s="2" t="s">
        <v>20</v>
      </c>
    </row>
    <row r="941" customFormat="false" ht="15" hidden="false" customHeight="false" outlineLevel="0" collapsed="false">
      <c r="A941" s="2" t="n">
        <v>31</v>
      </c>
      <c r="B941" s="2" t="s">
        <v>29</v>
      </c>
      <c r="C941" s="2" t="s">
        <v>18</v>
      </c>
      <c r="D941" s="2" t="s">
        <v>31</v>
      </c>
      <c r="E941" s="2" t="s">
        <v>20</v>
      </c>
      <c r="F941" s="2" t="n">
        <v>8312</v>
      </c>
      <c r="G941" s="2" t="s">
        <v>20</v>
      </c>
      <c r="H941" s="2" t="s">
        <v>20</v>
      </c>
      <c r="I941" s="2" t="s">
        <v>21</v>
      </c>
      <c r="J941" s="2" t="n">
        <v>29</v>
      </c>
      <c r="K941" s="2" t="s">
        <v>41</v>
      </c>
      <c r="L941" s="2" t="n">
        <v>43</v>
      </c>
      <c r="M941" s="2" t="n">
        <v>13</v>
      </c>
      <c r="N941" s="2" t="n">
        <v>-1</v>
      </c>
      <c r="O941" s="2" t="n">
        <v>0</v>
      </c>
      <c r="P941" s="2" t="s">
        <v>23</v>
      </c>
      <c r="Q941" s="2" t="s">
        <v>20</v>
      </c>
    </row>
    <row r="942" customFormat="false" ht="15" hidden="false" customHeight="false" outlineLevel="0" collapsed="false">
      <c r="A942" s="2" t="n">
        <v>34</v>
      </c>
      <c r="B942" s="2" t="s">
        <v>34</v>
      </c>
      <c r="C942" s="2" t="s">
        <v>45</v>
      </c>
      <c r="D942" s="2" t="s">
        <v>23</v>
      </c>
      <c r="E942" s="2" t="s">
        <v>20</v>
      </c>
      <c r="F942" s="2" t="n">
        <v>172</v>
      </c>
      <c r="G942" s="2" t="s">
        <v>20</v>
      </c>
      <c r="H942" s="2" t="s">
        <v>20</v>
      </c>
      <c r="I942" s="2" t="s">
        <v>21</v>
      </c>
      <c r="J942" s="2" t="n">
        <v>15</v>
      </c>
      <c r="K942" s="2" t="s">
        <v>33</v>
      </c>
      <c r="L942" s="2" t="n">
        <v>177</v>
      </c>
      <c r="M942" s="2" t="n">
        <v>1</v>
      </c>
      <c r="N942" s="2" t="n">
        <v>-1</v>
      </c>
      <c r="O942" s="2" t="n">
        <v>0</v>
      </c>
      <c r="P942" s="2" t="s">
        <v>23</v>
      </c>
      <c r="Q942" s="2" t="s">
        <v>26</v>
      </c>
    </row>
    <row r="943" customFormat="false" ht="15" hidden="false" customHeight="false" outlineLevel="0" collapsed="false">
      <c r="A943" s="2" t="n">
        <v>34</v>
      </c>
      <c r="B943" s="2" t="s">
        <v>29</v>
      </c>
      <c r="C943" s="2" t="s">
        <v>18</v>
      </c>
      <c r="D943" s="2" t="s">
        <v>31</v>
      </c>
      <c r="E943" s="2" t="s">
        <v>20</v>
      </c>
      <c r="F943" s="2" t="n">
        <v>0</v>
      </c>
      <c r="G943" s="2" t="s">
        <v>26</v>
      </c>
      <c r="H943" s="2" t="s">
        <v>20</v>
      </c>
      <c r="I943" s="2" t="s">
        <v>21</v>
      </c>
      <c r="J943" s="2" t="n">
        <v>7</v>
      </c>
      <c r="K943" s="2" t="s">
        <v>41</v>
      </c>
      <c r="L943" s="2" t="n">
        <v>262</v>
      </c>
      <c r="M943" s="2" t="n">
        <v>1</v>
      </c>
      <c r="N943" s="2" t="n">
        <v>99</v>
      </c>
      <c r="O943" s="2" t="n">
        <v>2</v>
      </c>
      <c r="P943" s="2" t="s">
        <v>50</v>
      </c>
      <c r="Q943" s="2" t="s">
        <v>26</v>
      </c>
    </row>
    <row r="944" customFormat="false" ht="15" hidden="false" customHeight="false" outlineLevel="0" collapsed="false">
      <c r="A944" s="2" t="n">
        <v>36</v>
      </c>
      <c r="B944" s="2" t="s">
        <v>29</v>
      </c>
      <c r="C944" s="2" t="s">
        <v>18</v>
      </c>
      <c r="D944" s="2" t="s">
        <v>31</v>
      </c>
      <c r="E944" s="2" t="s">
        <v>20</v>
      </c>
      <c r="F944" s="2" t="n">
        <v>222</v>
      </c>
      <c r="G944" s="2" t="s">
        <v>26</v>
      </c>
      <c r="H944" s="2" t="s">
        <v>20</v>
      </c>
      <c r="I944" s="2" t="s">
        <v>21</v>
      </c>
      <c r="J944" s="2" t="n">
        <v>6</v>
      </c>
      <c r="K944" s="2" t="s">
        <v>27</v>
      </c>
      <c r="L944" s="2" t="n">
        <v>317</v>
      </c>
      <c r="M944" s="2" t="n">
        <v>1</v>
      </c>
      <c r="N944" s="2" t="n">
        <v>169</v>
      </c>
      <c r="O944" s="2" t="n">
        <v>2</v>
      </c>
      <c r="P944" s="2" t="s">
        <v>28</v>
      </c>
      <c r="Q944" s="2" t="s">
        <v>20</v>
      </c>
    </row>
    <row r="945" customFormat="false" ht="15" hidden="false" customHeight="false" outlineLevel="0" collapsed="false">
      <c r="A945" s="2" t="n">
        <v>40</v>
      </c>
      <c r="B945" s="2" t="s">
        <v>38</v>
      </c>
      <c r="C945" s="2" t="s">
        <v>18</v>
      </c>
      <c r="D945" s="2" t="s">
        <v>25</v>
      </c>
      <c r="E945" s="2" t="s">
        <v>20</v>
      </c>
      <c r="F945" s="2" t="n">
        <v>109</v>
      </c>
      <c r="G945" s="2" t="s">
        <v>20</v>
      </c>
      <c r="H945" s="2" t="s">
        <v>20</v>
      </c>
      <c r="I945" s="2" t="s">
        <v>23</v>
      </c>
      <c r="J945" s="2" t="n">
        <v>20</v>
      </c>
      <c r="K945" s="2" t="s">
        <v>33</v>
      </c>
      <c r="L945" s="2" t="n">
        <v>402</v>
      </c>
      <c r="M945" s="2" t="n">
        <v>22</v>
      </c>
      <c r="N945" s="2" t="n">
        <v>-1</v>
      </c>
      <c r="O945" s="2" t="n">
        <v>0</v>
      </c>
      <c r="P945" s="2" t="s">
        <v>23</v>
      </c>
      <c r="Q945" s="2" t="s">
        <v>20</v>
      </c>
    </row>
    <row r="946" customFormat="false" ht="15" hidden="false" customHeight="false" outlineLevel="0" collapsed="false">
      <c r="A946" s="2" t="n">
        <v>40</v>
      </c>
      <c r="B946" s="2" t="s">
        <v>34</v>
      </c>
      <c r="C946" s="2" t="s">
        <v>18</v>
      </c>
      <c r="D946" s="2" t="s">
        <v>25</v>
      </c>
      <c r="E946" s="2" t="s">
        <v>20</v>
      </c>
      <c r="F946" s="2" t="n">
        <v>1451</v>
      </c>
      <c r="G946" s="2" t="s">
        <v>20</v>
      </c>
      <c r="H946" s="2" t="s">
        <v>20</v>
      </c>
      <c r="I946" s="2" t="s">
        <v>21</v>
      </c>
      <c r="J946" s="2" t="n">
        <v>1</v>
      </c>
      <c r="K946" s="2" t="s">
        <v>33</v>
      </c>
      <c r="L946" s="2" t="n">
        <v>314</v>
      </c>
      <c r="M946" s="2" t="n">
        <v>1</v>
      </c>
      <c r="N946" s="2" t="n">
        <v>-1</v>
      </c>
      <c r="O946" s="2" t="n">
        <v>0</v>
      </c>
      <c r="P946" s="2" t="s">
        <v>23</v>
      </c>
      <c r="Q946" s="2" t="s">
        <v>26</v>
      </c>
    </row>
    <row r="947" customFormat="false" ht="15" hidden="false" customHeight="false" outlineLevel="0" collapsed="false">
      <c r="A947" s="2" t="n">
        <v>41</v>
      </c>
      <c r="B947" s="2" t="s">
        <v>38</v>
      </c>
      <c r="C947" s="2" t="s">
        <v>18</v>
      </c>
      <c r="D947" s="2" t="s">
        <v>25</v>
      </c>
      <c r="E947" s="2" t="s">
        <v>20</v>
      </c>
      <c r="F947" s="2" t="n">
        <v>1066</v>
      </c>
      <c r="G947" s="2" t="s">
        <v>20</v>
      </c>
      <c r="H947" s="2" t="s">
        <v>20</v>
      </c>
      <c r="I947" s="2" t="s">
        <v>21</v>
      </c>
      <c r="J947" s="2" t="n">
        <v>11</v>
      </c>
      <c r="K947" s="2" t="s">
        <v>35</v>
      </c>
      <c r="L947" s="2" t="n">
        <v>109</v>
      </c>
      <c r="M947" s="2" t="n">
        <v>3</v>
      </c>
      <c r="N947" s="2" t="n">
        <v>-1</v>
      </c>
      <c r="O947" s="2" t="n">
        <v>0</v>
      </c>
      <c r="P947" s="2" t="s">
        <v>23</v>
      </c>
      <c r="Q947" s="2" t="s">
        <v>26</v>
      </c>
    </row>
    <row r="948" customFormat="false" ht="15" hidden="false" customHeight="false" outlineLevel="0" collapsed="false">
      <c r="A948" s="2" t="n">
        <v>52</v>
      </c>
      <c r="B948" s="2" t="s">
        <v>29</v>
      </c>
      <c r="C948" s="2" t="s">
        <v>18</v>
      </c>
      <c r="D948" s="2" t="s">
        <v>31</v>
      </c>
      <c r="E948" s="2" t="s">
        <v>20</v>
      </c>
      <c r="F948" s="2" t="n">
        <v>3163</v>
      </c>
      <c r="G948" s="2" t="s">
        <v>20</v>
      </c>
      <c r="H948" s="2" t="s">
        <v>20</v>
      </c>
      <c r="I948" s="2" t="s">
        <v>21</v>
      </c>
      <c r="J948" s="2" t="n">
        <v>25</v>
      </c>
      <c r="K948" s="2" t="s">
        <v>41</v>
      </c>
      <c r="L948" s="2" t="n">
        <v>56</v>
      </c>
      <c r="M948" s="2" t="n">
        <v>6</v>
      </c>
      <c r="N948" s="2" t="n">
        <v>-1</v>
      </c>
      <c r="O948" s="2" t="n">
        <v>0</v>
      </c>
      <c r="P948" s="2" t="s">
        <v>23</v>
      </c>
      <c r="Q948" s="2" t="s">
        <v>20</v>
      </c>
    </row>
    <row r="949" customFormat="false" ht="15" hidden="false" customHeight="false" outlineLevel="0" collapsed="false">
      <c r="A949" s="2" t="n">
        <v>40</v>
      </c>
      <c r="B949" s="2" t="s">
        <v>24</v>
      </c>
      <c r="C949" s="2" t="s">
        <v>30</v>
      </c>
      <c r="D949" s="2" t="s">
        <v>25</v>
      </c>
      <c r="E949" s="2" t="s">
        <v>20</v>
      </c>
      <c r="F949" s="2" t="n">
        <v>888</v>
      </c>
      <c r="G949" s="2" t="s">
        <v>26</v>
      </c>
      <c r="H949" s="2" t="s">
        <v>20</v>
      </c>
      <c r="I949" s="2" t="s">
        <v>23</v>
      </c>
      <c r="J949" s="2" t="n">
        <v>12</v>
      </c>
      <c r="K949" s="2" t="s">
        <v>27</v>
      </c>
      <c r="L949" s="2" t="n">
        <v>169</v>
      </c>
      <c r="M949" s="2" t="n">
        <v>2</v>
      </c>
      <c r="N949" s="2" t="n">
        <v>-1</v>
      </c>
      <c r="O949" s="2" t="n">
        <v>0</v>
      </c>
      <c r="P949" s="2" t="s">
        <v>23</v>
      </c>
      <c r="Q949" s="2" t="s">
        <v>20</v>
      </c>
    </row>
    <row r="950" customFormat="false" ht="15" hidden="false" customHeight="false" outlineLevel="0" collapsed="false">
      <c r="A950" s="2" t="n">
        <v>48</v>
      </c>
      <c r="B950" s="2" t="s">
        <v>34</v>
      </c>
      <c r="C950" s="2" t="s">
        <v>30</v>
      </c>
      <c r="D950" s="2" t="s">
        <v>23</v>
      </c>
      <c r="E950" s="2" t="s">
        <v>20</v>
      </c>
      <c r="F950" s="2" t="n">
        <v>428</v>
      </c>
      <c r="G950" s="2" t="s">
        <v>26</v>
      </c>
      <c r="H950" s="2" t="s">
        <v>20</v>
      </c>
      <c r="I950" s="2" t="s">
        <v>21</v>
      </c>
      <c r="J950" s="2" t="n">
        <v>18</v>
      </c>
      <c r="K950" s="2" t="s">
        <v>27</v>
      </c>
      <c r="L950" s="2" t="n">
        <v>127</v>
      </c>
      <c r="M950" s="2" t="n">
        <v>1</v>
      </c>
      <c r="N950" s="2" t="n">
        <v>-1</v>
      </c>
      <c r="O950" s="2" t="n">
        <v>0</v>
      </c>
      <c r="P950" s="2" t="s">
        <v>23</v>
      </c>
      <c r="Q950" s="2" t="s">
        <v>20</v>
      </c>
    </row>
    <row r="951" customFormat="false" ht="15" hidden="false" customHeight="false" outlineLevel="0" collapsed="false">
      <c r="A951" s="2" t="n">
        <v>33</v>
      </c>
      <c r="B951" s="2" t="s">
        <v>29</v>
      </c>
      <c r="C951" s="2" t="s">
        <v>45</v>
      </c>
      <c r="D951" s="2" t="s">
        <v>25</v>
      </c>
      <c r="E951" s="2" t="s">
        <v>20</v>
      </c>
      <c r="F951" s="2" t="n">
        <v>106</v>
      </c>
      <c r="G951" s="2" t="s">
        <v>20</v>
      </c>
      <c r="H951" s="2" t="s">
        <v>20</v>
      </c>
      <c r="I951" s="2" t="s">
        <v>21</v>
      </c>
      <c r="J951" s="2" t="n">
        <v>20</v>
      </c>
      <c r="K951" s="2" t="s">
        <v>41</v>
      </c>
      <c r="L951" s="2" t="n">
        <v>175</v>
      </c>
      <c r="M951" s="2" t="n">
        <v>3</v>
      </c>
      <c r="N951" s="2" t="n">
        <v>-1</v>
      </c>
      <c r="O951" s="2" t="n">
        <v>0</v>
      </c>
      <c r="P951" s="2" t="s">
        <v>23</v>
      </c>
      <c r="Q951" s="2" t="s">
        <v>20</v>
      </c>
    </row>
    <row r="952" customFormat="false" ht="15" hidden="false" customHeight="false" outlineLevel="0" collapsed="false">
      <c r="A952" s="2" t="n">
        <v>44</v>
      </c>
      <c r="B952" s="2" t="s">
        <v>38</v>
      </c>
      <c r="C952" s="2" t="s">
        <v>45</v>
      </c>
      <c r="D952" s="2" t="s">
        <v>25</v>
      </c>
      <c r="E952" s="2" t="s">
        <v>20</v>
      </c>
      <c r="F952" s="2" t="n">
        <v>0</v>
      </c>
      <c r="G952" s="2" t="s">
        <v>20</v>
      </c>
      <c r="H952" s="2" t="s">
        <v>20</v>
      </c>
      <c r="I952" s="2" t="s">
        <v>21</v>
      </c>
      <c r="J952" s="2" t="n">
        <v>12</v>
      </c>
      <c r="K952" s="2" t="s">
        <v>41</v>
      </c>
      <c r="L952" s="2" t="n">
        <v>56</v>
      </c>
      <c r="M952" s="2" t="n">
        <v>2</v>
      </c>
      <c r="N952" s="2" t="n">
        <v>-1</v>
      </c>
      <c r="O952" s="2" t="n">
        <v>0</v>
      </c>
      <c r="P952" s="2" t="s">
        <v>23</v>
      </c>
      <c r="Q952" s="2" t="s">
        <v>20</v>
      </c>
    </row>
    <row r="953" customFormat="false" ht="15" hidden="false" customHeight="false" outlineLevel="0" collapsed="false">
      <c r="A953" s="2" t="n">
        <v>55</v>
      </c>
      <c r="B953" s="2" t="s">
        <v>29</v>
      </c>
      <c r="C953" s="2" t="s">
        <v>18</v>
      </c>
      <c r="D953" s="2" t="s">
        <v>31</v>
      </c>
      <c r="E953" s="2" t="s">
        <v>20</v>
      </c>
      <c r="F953" s="2" t="n">
        <v>979</v>
      </c>
      <c r="G953" s="2" t="s">
        <v>20</v>
      </c>
      <c r="H953" s="2" t="s">
        <v>26</v>
      </c>
      <c r="I953" s="2" t="s">
        <v>21</v>
      </c>
      <c r="J953" s="2" t="n">
        <v>8</v>
      </c>
      <c r="K953" s="2" t="s">
        <v>44</v>
      </c>
      <c r="L953" s="2" t="n">
        <v>123</v>
      </c>
      <c r="M953" s="2" t="n">
        <v>1</v>
      </c>
      <c r="N953" s="2" t="n">
        <v>-1</v>
      </c>
      <c r="O953" s="2" t="n">
        <v>0</v>
      </c>
      <c r="P953" s="2" t="s">
        <v>23</v>
      </c>
      <c r="Q953" s="2" t="s">
        <v>20</v>
      </c>
    </row>
    <row r="954" customFormat="false" ht="15" hidden="false" customHeight="false" outlineLevel="0" collapsed="false">
      <c r="A954" s="2" t="n">
        <v>51</v>
      </c>
      <c r="B954" s="2" t="s">
        <v>40</v>
      </c>
      <c r="C954" s="2" t="s">
        <v>18</v>
      </c>
      <c r="D954" s="2" t="s">
        <v>25</v>
      </c>
      <c r="E954" s="2" t="s">
        <v>20</v>
      </c>
      <c r="F954" s="2" t="n">
        <v>2662</v>
      </c>
      <c r="G954" s="2" t="s">
        <v>20</v>
      </c>
      <c r="H954" s="2" t="s">
        <v>20</v>
      </c>
      <c r="I954" s="2" t="s">
        <v>49</v>
      </c>
      <c r="J954" s="2" t="n">
        <v>28</v>
      </c>
      <c r="K954" s="2" t="s">
        <v>43</v>
      </c>
      <c r="L954" s="2" t="n">
        <v>148</v>
      </c>
      <c r="M954" s="2" t="n">
        <v>2</v>
      </c>
      <c r="N954" s="2" t="n">
        <v>-1</v>
      </c>
      <c r="O954" s="2" t="n">
        <v>0</v>
      </c>
      <c r="P954" s="2" t="s">
        <v>23</v>
      </c>
      <c r="Q954" s="2" t="s">
        <v>20</v>
      </c>
    </row>
    <row r="955" customFormat="false" ht="15" hidden="false" customHeight="false" outlineLevel="0" collapsed="false">
      <c r="A955" s="2" t="n">
        <v>34</v>
      </c>
      <c r="B955" s="2" t="s">
        <v>29</v>
      </c>
      <c r="C955" s="2" t="s">
        <v>30</v>
      </c>
      <c r="D955" s="2" t="s">
        <v>31</v>
      </c>
      <c r="E955" s="2" t="s">
        <v>20</v>
      </c>
      <c r="F955" s="2" t="n">
        <v>84</v>
      </c>
      <c r="G955" s="2" t="s">
        <v>20</v>
      </c>
      <c r="H955" s="2" t="s">
        <v>20</v>
      </c>
      <c r="I955" s="2" t="s">
        <v>21</v>
      </c>
      <c r="J955" s="2" t="n">
        <v>5</v>
      </c>
      <c r="K955" s="2" t="s">
        <v>35</v>
      </c>
      <c r="L955" s="2" t="n">
        <v>231</v>
      </c>
      <c r="M955" s="2" t="n">
        <v>1</v>
      </c>
      <c r="N955" s="2" t="n">
        <v>-1</v>
      </c>
      <c r="O955" s="2" t="n">
        <v>0</v>
      </c>
      <c r="P955" s="2" t="s">
        <v>23</v>
      </c>
      <c r="Q955" s="2" t="s">
        <v>20</v>
      </c>
    </row>
    <row r="956" customFormat="false" ht="15" hidden="false" customHeight="false" outlineLevel="0" collapsed="false">
      <c r="A956" s="2" t="n">
        <v>58</v>
      </c>
      <c r="B956" s="2" t="s">
        <v>48</v>
      </c>
      <c r="C956" s="2" t="s">
        <v>45</v>
      </c>
      <c r="D956" s="2" t="s">
        <v>23</v>
      </c>
      <c r="E956" s="2" t="s">
        <v>20</v>
      </c>
      <c r="F956" s="2" t="n">
        <v>5920</v>
      </c>
      <c r="G956" s="2" t="s">
        <v>26</v>
      </c>
      <c r="H956" s="2" t="s">
        <v>20</v>
      </c>
      <c r="I956" s="2" t="s">
        <v>21</v>
      </c>
      <c r="J956" s="2" t="n">
        <v>23</v>
      </c>
      <c r="K956" s="2" t="s">
        <v>44</v>
      </c>
      <c r="L956" s="2" t="n">
        <v>255</v>
      </c>
      <c r="M956" s="2" t="n">
        <v>1</v>
      </c>
      <c r="N956" s="2" t="n">
        <v>-1</v>
      </c>
      <c r="O956" s="2" t="n">
        <v>0</v>
      </c>
      <c r="P956" s="2" t="s">
        <v>23</v>
      </c>
      <c r="Q956" s="2" t="s">
        <v>20</v>
      </c>
    </row>
    <row r="957" customFormat="false" ht="15" hidden="false" customHeight="false" outlineLevel="0" collapsed="false">
      <c r="A957" s="2" t="n">
        <v>39</v>
      </c>
      <c r="B957" s="2" t="s">
        <v>29</v>
      </c>
      <c r="C957" s="2" t="s">
        <v>30</v>
      </c>
      <c r="D957" s="2" t="s">
        <v>31</v>
      </c>
      <c r="E957" s="2" t="s">
        <v>20</v>
      </c>
      <c r="F957" s="2" t="n">
        <v>816</v>
      </c>
      <c r="G957" s="2" t="s">
        <v>26</v>
      </c>
      <c r="H957" s="2" t="s">
        <v>20</v>
      </c>
      <c r="I957" s="2" t="s">
        <v>21</v>
      </c>
      <c r="J957" s="2" t="n">
        <v>27</v>
      </c>
      <c r="K957" s="2" t="s">
        <v>41</v>
      </c>
      <c r="L957" s="2" t="n">
        <v>37</v>
      </c>
      <c r="M957" s="2" t="n">
        <v>3</v>
      </c>
      <c r="N957" s="2" t="n">
        <v>-1</v>
      </c>
      <c r="O957" s="2" t="n">
        <v>0</v>
      </c>
      <c r="P957" s="2" t="s">
        <v>23</v>
      </c>
      <c r="Q957" s="2" t="s">
        <v>20</v>
      </c>
    </row>
    <row r="958" customFormat="false" ht="15" hidden="false" customHeight="false" outlineLevel="0" collapsed="false">
      <c r="A958" s="2" t="n">
        <v>27</v>
      </c>
      <c r="B958" s="2" t="s">
        <v>17</v>
      </c>
      <c r="C958" s="2" t="s">
        <v>30</v>
      </c>
      <c r="D958" s="2" t="s">
        <v>25</v>
      </c>
      <c r="E958" s="2" t="s">
        <v>20</v>
      </c>
      <c r="F958" s="2" t="n">
        <v>3276</v>
      </c>
      <c r="G958" s="2" t="s">
        <v>20</v>
      </c>
      <c r="H958" s="2" t="s">
        <v>20</v>
      </c>
      <c r="I958" s="2" t="s">
        <v>21</v>
      </c>
      <c r="J958" s="2" t="n">
        <v>5</v>
      </c>
      <c r="K958" s="2" t="s">
        <v>41</v>
      </c>
      <c r="L958" s="2" t="n">
        <v>106</v>
      </c>
      <c r="M958" s="2" t="n">
        <v>1</v>
      </c>
      <c r="N958" s="2" t="n">
        <v>110</v>
      </c>
      <c r="O958" s="2" t="n">
        <v>2</v>
      </c>
      <c r="P958" s="2" t="s">
        <v>37</v>
      </c>
      <c r="Q958" s="2" t="s">
        <v>20</v>
      </c>
    </row>
    <row r="959" customFormat="false" ht="15" hidden="false" customHeight="false" outlineLevel="0" collapsed="false">
      <c r="A959" s="2" t="n">
        <v>55</v>
      </c>
      <c r="B959" s="2" t="s">
        <v>29</v>
      </c>
      <c r="C959" s="2" t="s">
        <v>45</v>
      </c>
      <c r="D959" s="2" t="s">
        <v>23</v>
      </c>
      <c r="E959" s="2" t="s">
        <v>20</v>
      </c>
      <c r="F959" s="2" t="n">
        <v>2</v>
      </c>
      <c r="G959" s="2" t="s">
        <v>26</v>
      </c>
      <c r="H959" s="2" t="s">
        <v>20</v>
      </c>
      <c r="I959" s="2" t="s">
        <v>23</v>
      </c>
      <c r="J959" s="2" t="n">
        <v>19</v>
      </c>
      <c r="K959" s="2" t="s">
        <v>27</v>
      </c>
      <c r="L959" s="2" t="n">
        <v>95</v>
      </c>
      <c r="M959" s="2" t="n">
        <v>1</v>
      </c>
      <c r="N959" s="2" t="n">
        <v>-1</v>
      </c>
      <c r="O959" s="2" t="n">
        <v>0</v>
      </c>
      <c r="P959" s="2" t="s">
        <v>23</v>
      </c>
      <c r="Q959" s="2" t="s">
        <v>20</v>
      </c>
    </row>
    <row r="960" customFormat="false" ht="15" hidden="false" customHeight="false" outlineLevel="0" collapsed="false">
      <c r="A960" s="2" t="n">
        <v>35</v>
      </c>
      <c r="B960" s="2" t="s">
        <v>38</v>
      </c>
      <c r="C960" s="2" t="s">
        <v>30</v>
      </c>
      <c r="D960" s="2" t="s">
        <v>25</v>
      </c>
      <c r="E960" s="2" t="s">
        <v>20</v>
      </c>
      <c r="F960" s="2" t="n">
        <v>-51</v>
      </c>
      <c r="G960" s="2" t="s">
        <v>20</v>
      </c>
      <c r="H960" s="2" t="s">
        <v>20</v>
      </c>
      <c r="I960" s="2" t="s">
        <v>23</v>
      </c>
      <c r="J960" s="2" t="n">
        <v>2</v>
      </c>
      <c r="K960" s="2" t="s">
        <v>44</v>
      </c>
      <c r="L960" s="2" t="n">
        <v>134</v>
      </c>
      <c r="M960" s="2" t="n">
        <v>2</v>
      </c>
      <c r="N960" s="2" t="n">
        <v>-1</v>
      </c>
      <c r="O960" s="2" t="n">
        <v>0</v>
      </c>
      <c r="P960" s="2" t="s">
        <v>23</v>
      </c>
      <c r="Q960" s="2" t="s">
        <v>20</v>
      </c>
    </row>
    <row r="961" customFormat="false" ht="15" hidden="false" customHeight="false" outlineLevel="0" collapsed="false">
      <c r="A961" s="2" t="n">
        <v>37</v>
      </c>
      <c r="B961" s="2" t="s">
        <v>38</v>
      </c>
      <c r="C961" s="2" t="s">
        <v>30</v>
      </c>
      <c r="D961" s="2" t="s">
        <v>31</v>
      </c>
      <c r="E961" s="2" t="s">
        <v>20</v>
      </c>
      <c r="F961" s="2" t="n">
        <v>3315</v>
      </c>
      <c r="G961" s="2" t="s">
        <v>26</v>
      </c>
      <c r="H961" s="2" t="s">
        <v>20</v>
      </c>
      <c r="I961" s="2" t="s">
        <v>21</v>
      </c>
      <c r="J961" s="2" t="n">
        <v>9</v>
      </c>
      <c r="K961" s="2" t="s">
        <v>32</v>
      </c>
      <c r="L961" s="2" t="n">
        <v>820</v>
      </c>
      <c r="M961" s="2" t="n">
        <v>2</v>
      </c>
      <c r="N961" s="2" t="n">
        <v>-1</v>
      </c>
      <c r="O961" s="2" t="n">
        <v>0</v>
      </c>
      <c r="P961" s="2" t="s">
        <v>23</v>
      </c>
      <c r="Q961" s="2" t="s">
        <v>20</v>
      </c>
    </row>
    <row r="962" customFormat="false" ht="15" hidden="false" customHeight="false" outlineLevel="0" collapsed="false">
      <c r="A962" s="2" t="n">
        <v>52</v>
      </c>
      <c r="B962" s="2" t="s">
        <v>38</v>
      </c>
      <c r="C962" s="2" t="s">
        <v>18</v>
      </c>
      <c r="D962" s="2" t="s">
        <v>25</v>
      </c>
      <c r="E962" s="2" t="s">
        <v>20</v>
      </c>
      <c r="F962" s="2" t="n">
        <v>196</v>
      </c>
      <c r="G962" s="2" t="s">
        <v>26</v>
      </c>
      <c r="H962" s="2" t="s">
        <v>26</v>
      </c>
      <c r="I962" s="2" t="s">
        <v>21</v>
      </c>
      <c r="J962" s="2" t="n">
        <v>24</v>
      </c>
      <c r="K962" s="2" t="s">
        <v>35</v>
      </c>
      <c r="L962" s="2" t="n">
        <v>116</v>
      </c>
      <c r="M962" s="2" t="n">
        <v>1</v>
      </c>
      <c r="N962" s="2" t="n">
        <v>273</v>
      </c>
      <c r="O962" s="2" t="n">
        <v>3</v>
      </c>
      <c r="P962" s="2" t="s">
        <v>28</v>
      </c>
      <c r="Q962" s="2" t="s">
        <v>20</v>
      </c>
    </row>
    <row r="963" customFormat="false" ht="15" hidden="false" customHeight="false" outlineLevel="0" collapsed="false">
      <c r="A963" s="2" t="n">
        <v>41</v>
      </c>
      <c r="B963" s="2" t="s">
        <v>34</v>
      </c>
      <c r="C963" s="2" t="s">
        <v>18</v>
      </c>
      <c r="D963" s="2" t="s">
        <v>25</v>
      </c>
      <c r="E963" s="2" t="s">
        <v>20</v>
      </c>
      <c r="F963" s="2" t="n">
        <v>552</v>
      </c>
      <c r="G963" s="2" t="s">
        <v>26</v>
      </c>
      <c r="H963" s="2" t="s">
        <v>20</v>
      </c>
      <c r="I963" s="2" t="s">
        <v>21</v>
      </c>
      <c r="J963" s="2" t="n">
        <v>12</v>
      </c>
      <c r="K963" s="2" t="s">
        <v>27</v>
      </c>
      <c r="L963" s="2" t="n">
        <v>463</v>
      </c>
      <c r="M963" s="2" t="n">
        <v>1</v>
      </c>
      <c r="N963" s="2" t="n">
        <v>-1</v>
      </c>
      <c r="O963" s="2" t="n">
        <v>0</v>
      </c>
      <c r="P963" s="2" t="s">
        <v>23</v>
      </c>
      <c r="Q963" s="2" t="s">
        <v>20</v>
      </c>
    </row>
    <row r="964" customFormat="false" ht="15" hidden="false" customHeight="false" outlineLevel="0" collapsed="false">
      <c r="A964" s="2" t="n">
        <v>52</v>
      </c>
      <c r="B964" s="2" t="s">
        <v>40</v>
      </c>
      <c r="C964" s="2" t="s">
        <v>18</v>
      </c>
      <c r="D964" s="2" t="s">
        <v>25</v>
      </c>
      <c r="E964" s="2" t="s">
        <v>20</v>
      </c>
      <c r="F964" s="2" t="n">
        <v>2347</v>
      </c>
      <c r="G964" s="2" t="s">
        <v>20</v>
      </c>
      <c r="H964" s="2" t="s">
        <v>26</v>
      </c>
      <c r="I964" s="2" t="s">
        <v>21</v>
      </c>
      <c r="J964" s="2" t="n">
        <v>12</v>
      </c>
      <c r="K964" s="2" t="s">
        <v>41</v>
      </c>
      <c r="L964" s="2" t="n">
        <v>603</v>
      </c>
      <c r="M964" s="2" t="n">
        <v>3</v>
      </c>
      <c r="N964" s="2" t="n">
        <v>-1</v>
      </c>
      <c r="O964" s="2" t="n">
        <v>0</v>
      </c>
      <c r="P964" s="2" t="s">
        <v>23</v>
      </c>
      <c r="Q964" s="2" t="s">
        <v>20</v>
      </c>
    </row>
    <row r="965" customFormat="false" ht="15" hidden="false" customHeight="false" outlineLevel="0" collapsed="false">
      <c r="A965" s="2" t="n">
        <v>34</v>
      </c>
      <c r="B965" s="2" t="s">
        <v>34</v>
      </c>
      <c r="C965" s="2" t="s">
        <v>30</v>
      </c>
      <c r="D965" s="2" t="s">
        <v>25</v>
      </c>
      <c r="E965" s="2" t="s">
        <v>20</v>
      </c>
      <c r="F965" s="2" t="n">
        <v>3723</v>
      </c>
      <c r="G965" s="2" t="s">
        <v>26</v>
      </c>
      <c r="H965" s="2" t="s">
        <v>20</v>
      </c>
      <c r="I965" s="2" t="s">
        <v>23</v>
      </c>
      <c r="J965" s="2" t="n">
        <v>27</v>
      </c>
      <c r="K965" s="2" t="s">
        <v>27</v>
      </c>
      <c r="L965" s="2" t="n">
        <v>47</v>
      </c>
      <c r="M965" s="2" t="n">
        <v>5</v>
      </c>
      <c r="N965" s="2" t="n">
        <v>-1</v>
      </c>
      <c r="O965" s="2" t="n">
        <v>0</v>
      </c>
      <c r="P965" s="2" t="s">
        <v>23</v>
      </c>
      <c r="Q965" s="2" t="s">
        <v>20</v>
      </c>
    </row>
    <row r="966" customFormat="false" ht="15" hidden="false" customHeight="false" outlineLevel="0" collapsed="false">
      <c r="A966" s="2" t="n">
        <v>53</v>
      </c>
      <c r="B966" s="2" t="s">
        <v>29</v>
      </c>
      <c r="C966" s="2" t="s">
        <v>45</v>
      </c>
      <c r="D966" s="2" t="s">
        <v>19</v>
      </c>
      <c r="E966" s="2" t="s">
        <v>20</v>
      </c>
      <c r="F966" s="2" t="n">
        <v>255</v>
      </c>
      <c r="G966" s="2" t="s">
        <v>20</v>
      </c>
      <c r="H966" s="2" t="s">
        <v>20</v>
      </c>
      <c r="I966" s="2" t="s">
        <v>21</v>
      </c>
      <c r="J966" s="2" t="n">
        <v>19</v>
      </c>
      <c r="K966" s="2" t="s">
        <v>46</v>
      </c>
      <c r="L966" s="2" t="n">
        <v>126</v>
      </c>
      <c r="M966" s="2" t="n">
        <v>1</v>
      </c>
      <c r="N966" s="2" t="n">
        <v>-1</v>
      </c>
      <c r="O966" s="2" t="n">
        <v>0</v>
      </c>
      <c r="P966" s="2" t="s">
        <v>23</v>
      </c>
      <c r="Q966" s="2" t="s">
        <v>20</v>
      </c>
    </row>
    <row r="967" customFormat="false" ht="15" hidden="false" customHeight="false" outlineLevel="0" collapsed="false">
      <c r="A967" s="2" t="n">
        <v>33</v>
      </c>
      <c r="B967" s="2" t="s">
        <v>29</v>
      </c>
      <c r="C967" s="2" t="s">
        <v>30</v>
      </c>
      <c r="D967" s="2" t="s">
        <v>31</v>
      </c>
      <c r="E967" s="2" t="s">
        <v>20</v>
      </c>
      <c r="F967" s="2" t="n">
        <v>3143</v>
      </c>
      <c r="G967" s="2" t="s">
        <v>20</v>
      </c>
      <c r="H967" s="2" t="s">
        <v>20</v>
      </c>
      <c r="I967" s="2" t="s">
        <v>21</v>
      </c>
      <c r="J967" s="2" t="n">
        <v>29</v>
      </c>
      <c r="K967" s="2" t="s">
        <v>33</v>
      </c>
      <c r="L967" s="2" t="n">
        <v>421</v>
      </c>
      <c r="M967" s="2" t="n">
        <v>2</v>
      </c>
      <c r="N967" s="2" t="n">
        <v>-1</v>
      </c>
      <c r="O967" s="2" t="n">
        <v>0</v>
      </c>
      <c r="P967" s="2" t="s">
        <v>23</v>
      </c>
      <c r="Q967" s="2" t="s">
        <v>26</v>
      </c>
    </row>
    <row r="968" customFormat="false" ht="15" hidden="false" customHeight="false" outlineLevel="0" collapsed="false">
      <c r="A968" s="2" t="n">
        <v>47</v>
      </c>
      <c r="B968" s="2" t="s">
        <v>36</v>
      </c>
      <c r="C968" s="2" t="s">
        <v>18</v>
      </c>
      <c r="D968" s="2" t="s">
        <v>25</v>
      </c>
      <c r="E968" s="2" t="s">
        <v>20</v>
      </c>
      <c r="F968" s="2" t="n">
        <v>0</v>
      </c>
      <c r="G968" s="2" t="s">
        <v>20</v>
      </c>
      <c r="H968" s="2" t="s">
        <v>20</v>
      </c>
      <c r="I968" s="2" t="s">
        <v>23</v>
      </c>
      <c r="J968" s="2" t="n">
        <v>26</v>
      </c>
      <c r="K968" s="2" t="s">
        <v>33</v>
      </c>
      <c r="L968" s="2" t="n">
        <v>174</v>
      </c>
      <c r="M968" s="2" t="n">
        <v>8</v>
      </c>
      <c r="N968" s="2" t="n">
        <v>-1</v>
      </c>
      <c r="O968" s="2" t="n">
        <v>0</v>
      </c>
      <c r="P968" s="2" t="s">
        <v>23</v>
      </c>
      <c r="Q968" s="2" t="s">
        <v>20</v>
      </c>
    </row>
    <row r="969" customFormat="false" ht="15" hidden="false" customHeight="false" outlineLevel="0" collapsed="false">
      <c r="A969" s="2" t="n">
        <v>35</v>
      </c>
      <c r="B969" s="2" t="s">
        <v>34</v>
      </c>
      <c r="C969" s="2" t="s">
        <v>18</v>
      </c>
      <c r="D969" s="2" t="s">
        <v>25</v>
      </c>
      <c r="E969" s="2" t="s">
        <v>20</v>
      </c>
      <c r="F969" s="2" t="n">
        <v>6411</v>
      </c>
      <c r="G969" s="2" t="s">
        <v>26</v>
      </c>
      <c r="H969" s="2" t="s">
        <v>26</v>
      </c>
      <c r="I969" s="2" t="s">
        <v>21</v>
      </c>
      <c r="J969" s="2" t="n">
        <v>30</v>
      </c>
      <c r="K969" s="2" t="s">
        <v>43</v>
      </c>
      <c r="L969" s="2" t="n">
        <v>144</v>
      </c>
      <c r="M969" s="2" t="n">
        <v>1</v>
      </c>
      <c r="N969" s="2" t="n">
        <v>266</v>
      </c>
      <c r="O969" s="2" t="n">
        <v>2</v>
      </c>
      <c r="P969" s="2" t="s">
        <v>28</v>
      </c>
      <c r="Q969" s="2" t="s">
        <v>20</v>
      </c>
    </row>
    <row r="970" customFormat="false" ht="15" hidden="false" customHeight="false" outlineLevel="0" collapsed="false">
      <c r="A970" s="2" t="n">
        <v>33</v>
      </c>
      <c r="B970" s="2" t="s">
        <v>29</v>
      </c>
      <c r="C970" s="2" t="s">
        <v>30</v>
      </c>
      <c r="D970" s="2" t="s">
        <v>31</v>
      </c>
      <c r="E970" s="2" t="s">
        <v>20</v>
      </c>
      <c r="F970" s="2" t="n">
        <v>1909</v>
      </c>
      <c r="G970" s="2" t="s">
        <v>20</v>
      </c>
      <c r="H970" s="2" t="s">
        <v>20</v>
      </c>
      <c r="I970" s="2" t="s">
        <v>21</v>
      </c>
      <c r="J970" s="2" t="n">
        <v>8</v>
      </c>
      <c r="K970" s="2" t="s">
        <v>41</v>
      </c>
      <c r="L970" s="2" t="n">
        <v>191</v>
      </c>
      <c r="M970" s="2" t="n">
        <v>2</v>
      </c>
      <c r="N970" s="2" t="n">
        <v>-1</v>
      </c>
      <c r="O970" s="2" t="n">
        <v>0</v>
      </c>
      <c r="P970" s="2" t="s">
        <v>23</v>
      </c>
      <c r="Q970" s="2" t="s">
        <v>20</v>
      </c>
    </row>
    <row r="971" customFormat="false" ht="15" hidden="false" customHeight="false" outlineLevel="0" collapsed="false">
      <c r="A971" s="2" t="n">
        <v>55</v>
      </c>
      <c r="B971" s="2" t="s">
        <v>34</v>
      </c>
      <c r="C971" s="2" t="s">
        <v>18</v>
      </c>
      <c r="D971" s="2" t="s">
        <v>19</v>
      </c>
      <c r="E971" s="2" t="s">
        <v>20</v>
      </c>
      <c r="F971" s="2" t="n">
        <v>3873</v>
      </c>
      <c r="G971" s="2" t="s">
        <v>20</v>
      </c>
      <c r="H971" s="2" t="s">
        <v>20</v>
      </c>
      <c r="I971" s="2" t="s">
        <v>49</v>
      </c>
      <c r="J971" s="2" t="n">
        <v>21</v>
      </c>
      <c r="K971" s="2" t="s">
        <v>32</v>
      </c>
      <c r="L971" s="2" t="n">
        <v>222</v>
      </c>
      <c r="M971" s="2" t="n">
        <v>1</v>
      </c>
      <c r="N971" s="2" t="n">
        <v>-1</v>
      </c>
      <c r="O971" s="2" t="n">
        <v>0</v>
      </c>
      <c r="P971" s="2" t="s">
        <v>23</v>
      </c>
      <c r="Q971" s="2" t="s">
        <v>20</v>
      </c>
    </row>
    <row r="972" customFormat="false" ht="15" hidden="false" customHeight="false" outlineLevel="0" collapsed="false">
      <c r="A972" s="2" t="n">
        <v>58</v>
      </c>
      <c r="B972" s="2" t="s">
        <v>36</v>
      </c>
      <c r="C972" s="2" t="s">
        <v>18</v>
      </c>
      <c r="D972" s="2" t="s">
        <v>19</v>
      </c>
      <c r="E972" s="2" t="s">
        <v>20</v>
      </c>
      <c r="F972" s="2" t="n">
        <v>1013</v>
      </c>
      <c r="G972" s="2" t="s">
        <v>26</v>
      </c>
      <c r="H972" s="2" t="s">
        <v>20</v>
      </c>
      <c r="I972" s="2" t="s">
        <v>21</v>
      </c>
      <c r="J972" s="2" t="n">
        <v>11</v>
      </c>
      <c r="K972" s="2" t="s">
        <v>41</v>
      </c>
      <c r="L972" s="2" t="n">
        <v>206</v>
      </c>
      <c r="M972" s="2" t="n">
        <v>1</v>
      </c>
      <c r="N972" s="2" t="n">
        <v>461</v>
      </c>
      <c r="O972" s="2" t="n">
        <v>1</v>
      </c>
      <c r="P972" s="2" t="s">
        <v>28</v>
      </c>
      <c r="Q972" s="2" t="s">
        <v>26</v>
      </c>
    </row>
    <row r="973" customFormat="false" ht="15" hidden="false" customHeight="false" outlineLevel="0" collapsed="false">
      <c r="A973" s="2" t="n">
        <v>44</v>
      </c>
      <c r="B973" s="2" t="s">
        <v>40</v>
      </c>
      <c r="C973" s="2" t="s">
        <v>18</v>
      </c>
      <c r="D973" s="2" t="s">
        <v>25</v>
      </c>
      <c r="E973" s="2" t="s">
        <v>20</v>
      </c>
      <c r="F973" s="2" t="n">
        <v>262</v>
      </c>
      <c r="G973" s="2" t="s">
        <v>26</v>
      </c>
      <c r="H973" s="2" t="s">
        <v>20</v>
      </c>
      <c r="I973" s="2" t="s">
        <v>21</v>
      </c>
      <c r="J973" s="2" t="n">
        <v>9</v>
      </c>
      <c r="K973" s="2" t="s">
        <v>44</v>
      </c>
      <c r="L973" s="2" t="n">
        <v>74</v>
      </c>
      <c r="M973" s="2" t="n">
        <v>1</v>
      </c>
      <c r="N973" s="2" t="n">
        <v>-1</v>
      </c>
      <c r="O973" s="2" t="n">
        <v>0</v>
      </c>
      <c r="P973" s="2" t="s">
        <v>23</v>
      </c>
      <c r="Q973" s="2" t="s">
        <v>20</v>
      </c>
    </row>
    <row r="974" customFormat="false" ht="15" hidden="false" customHeight="false" outlineLevel="0" collapsed="false">
      <c r="A974" s="2" t="n">
        <v>25</v>
      </c>
      <c r="B974" s="2" t="s">
        <v>24</v>
      </c>
      <c r="C974" s="2" t="s">
        <v>30</v>
      </c>
      <c r="D974" s="2" t="s">
        <v>25</v>
      </c>
      <c r="E974" s="2" t="s">
        <v>20</v>
      </c>
      <c r="F974" s="2" t="n">
        <v>3217</v>
      </c>
      <c r="G974" s="2" t="s">
        <v>26</v>
      </c>
      <c r="H974" s="2" t="s">
        <v>20</v>
      </c>
      <c r="I974" s="2" t="s">
        <v>23</v>
      </c>
      <c r="J974" s="2" t="n">
        <v>28</v>
      </c>
      <c r="K974" s="2" t="s">
        <v>27</v>
      </c>
      <c r="L974" s="2" t="n">
        <v>24</v>
      </c>
      <c r="M974" s="2" t="n">
        <v>1</v>
      </c>
      <c r="N974" s="2" t="n">
        <v>-1</v>
      </c>
      <c r="O974" s="2" t="n">
        <v>0</v>
      </c>
      <c r="P974" s="2" t="s">
        <v>23</v>
      </c>
      <c r="Q974" s="2" t="s">
        <v>20</v>
      </c>
    </row>
    <row r="975" customFormat="false" ht="15" hidden="false" customHeight="false" outlineLevel="0" collapsed="false">
      <c r="A975" s="2" t="n">
        <v>37</v>
      </c>
      <c r="B975" s="2" t="s">
        <v>38</v>
      </c>
      <c r="C975" s="2" t="s">
        <v>30</v>
      </c>
      <c r="D975" s="2" t="s">
        <v>25</v>
      </c>
      <c r="E975" s="2" t="s">
        <v>20</v>
      </c>
      <c r="F975" s="2" t="n">
        <v>5436</v>
      </c>
      <c r="G975" s="2" t="s">
        <v>26</v>
      </c>
      <c r="H975" s="2" t="s">
        <v>20</v>
      </c>
      <c r="I975" s="2" t="s">
        <v>21</v>
      </c>
      <c r="J975" s="2" t="n">
        <v>6</v>
      </c>
      <c r="K975" s="2" t="s">
        <v>27</v>
      </c>
      <c r="L975" s="2" t="n">
        <v>7</v>
      </c>
      <c r="M975" s="2" t="n">
        <v>11</v>
      </c>
      <c r="N975" s="2" t="n">
        <v>351</v>
      </c>
      <c r="O975" s="2" t="n">
        <v>1</v>
      </c>
      <c r="P975" s="2" t="s">
        <v>28</v>
      </c>
      <c r="Q975" s="2" t="s">
        <v>20</v>
      </c>
    </row>
    <row r="976" customFormat="false" ht="15" hidden="false" customHeight="false" outlineLevel="0" collapsed="false">
      <c r="A976" s="2" t="n">
        <v>41</v>
      </c>
      <c r="B976" s="2" t="s">
        <v>34</v>
      </c>
      <c r="C976" s="2" t="s">
        <v>18</v>
      </c>
      <c r="D976" s="2" t="s">
        <v>19</v>
      </c>
      <c r="E976" s="2" t="s">
        <v>20</v>
      </c>
      <c r="F976" s="2" t="n">
        <v>2067</v>
      </c>
      <c r="G976" s="2" t="s">
        <v>26</v>
      </c>
      <c r="H976" s="2" t="s">
        <v>20</v>
      </c>
      <c r="I976" s="2" t="s">
        <v>21</v>
      </c>
      <c r="J976" s="2" t="n">
        <v>15</v>
      </c>
      <c r="K976" s="2" t="s">
        <v>27</v>
      </c>
      <c r="L976" s="2" t="n">
        <v>493</v>
      </c>
      <c r="M976" s="2" t="n">
        <v>7</v>
      </c>
      <c r="N976" s="2" t="n">
        <v>-1</v>
      </c>
      <c r="O976" s="2" t="n">
        <v>0</v>
      </c>
      <c r="P976" s="2" t="s">
        <v>23</v>
      </c>
      <c r="Q976" s="2" t="s">
        <v>20</v>
      </c>
    </row>
    <row r="977" customFormat="false" ht="15" hidden="false" customHeight="false" outlineLevel="0" collapsed="false">
      <c r="A977" s="2" t="n">
        <v>34</v>
      </c>
      <c r="B977" s="2" t="s">
        <v>34</v>
      </c>
      <c r="C977" s="2" t="s">
        <v>30</v>
      </c>
      <c r="D977" s="2" t="s">
        <v>25</v>
      </c>
      <c r="E977" s="2" t="s">
        <v>20</v>
      </c>
      <c r="F977" s="2" t="n">
        <v>215</v>
      </c>
      <c r="G977" s="2" t="s">
        <v>20</v>
      </c>
      <c r="H977" s="2" t="s">
        <v>20</v>
      </c>
      <c r="I977" s="2" t="s">
        <v>21</v>
      </c>
      <c r="J977" s="2" t="n">
        <v>3</v>
      </c>
      <c r="K977" s="2" t="s">
        <v>52</v>
      </c>
      <c r="L977" s="2" t="n">
        <v>350</v>
      </c>
      <c r="M977" s="2" t="n">
        <v>3</v>
      </c>
      <c r="N977" s="2" t="n">
        <v>-1</v>
      </c>
      <c r="O977" s="2" t="n">
        <v>0</v>
      </c>
      <c r="P977" s="2" t="s">
        <v>23</v>
      </c>
      <c r="Q977" s="2" t="s">
        <v>26</v>
      </c>
    </row>
    <row r="978" customFormat="false" ht="15" hidden="false" customHeight="false" outlineLevel="0" collapsed="false">
      <c r="A978" s="2" t="n">
        <v>36</v>
      </c>
      <c r="B978" s="2" t="s">
        <v>24</v>
      </c>
      <c r="C978" s="2" t="s">
        <v>45</v>
      </c>
      <c r="D978" s="2" t="s">
        <v>25</v>
      </c>
      <c r="E978" s="2" t="s">
        <v>20</v>
      </c>
      <c r="F978" s="2" t="n">
        <v>1594</v>
      </c>
      <c r="G978" s="2" t="s">
        <v>20</v>
      </c>
      <c r="H978" s="2" t="s">
        <v>20</v>
      </c>
      <c r="I978" s="2" t="s">
        <v>23</v>
      </c>
      <c r="J978" s="2" t="n">
        <v>6</v>
      </c>
      <c r="K978" s="2" t="s">
        <v>33</v>
      </c>
      <c r="L978" s="2" t="n">
        <v>250</v>
      </c>
      <c r="M978" s="2" t="n">
        <v>3</v>
      </c>
      <c r="N978" s="2" t="n">
        <v>-1</v>
      </c>
      <c r="O978" s="2" t="n">
        <v>0</v>
      </c>
      <c r="P978" s="2" t="s">
        <v>23</v>
      </c>
      <c r="Q978" s="2" t="s">
        <v>20</v>
      </c>
    </row>
    <row r="979" customFormat="false" ht="15" hidden="false" customHeight="false" outlineLevel="0" collapsed="false">
      <c r="A979" s="2" t="n">
        <v>44</v>
      </c>
      <c r="B979" s="2" t="s">
        <v>36</v>
      </c>
      <c r="C979" s="2" t="s">
        <v>18</v>
      </c>
      <c r="D979" s="2" t="s">
        <v>31</v>
      </c>
      <c r="E979" s="2" t="s">
        <v>20</v>
      </c>
      <c r="F979" s="2" t="n">
        <v>134</v>
      </c>
      <c r="G979" s="2" t="s">
        <v>20</v>
      </c>
      <c r="H979" s="2" t="s">
        <v>20</v>
      </c>
      <c r="I979" s="2" t="s">
        <v>21</v>
      </c>
      <c r="J979" s="2" t="n">
        <v>28</v>
      </c>
      <c r="K979" s="2" t="s">
        <v>41</v>
      </c>
      <c r="L979" s="2" t="n">
        <v>86</v>
      </c>
      <c r="M979" s="2" t="n">
        <v>4</v>
      </c>
      <c r="N979" s="2" t="n">
        <v>-1</v>
      </c>
      <c r="O979" s="2" t="n">
        <v>0</v>
      </c>
      <c r="P979" s="2" t="s">
        <v>23</v>
      </c>
      <c r="Q979" s="2" t="s">
        <v>20</v>
      </c>
    </row>
    <row r="980" customFormat="false" ht="15" hidden="false" customHeight="false" outlineLevel="0" collapsed="false">
      <c r="A980" s="2" t="n">
        <v>34</v>
      </c>
      <c r="B980" s="2" t="s">
        <v>39</v>
      </c>
      <c r="C980" s="2" t="s">
        <v>45</v>
      </c>
      <c r="D980" s="2" t="s">
        <v>31</v>
      </c>
      <c r="E980" s="2" t="s">
        <v>20</v>
      </c>
      <c r="F980" s="2" t="n">
        <v>262</v>
      </c>
      <c r="G980" s="2" t="s">
        <v>20</v>
      </c>
      <c r="H980" s="2" t="s">
        <v>20</v>
      </c>
      <c r="I980" s="2" t="s">
        <v>21</v>
      </c>
      <c r="J980" s="2" t="n">
        <v>20</v>
      </c>
      <c r="K980" s="2" t="s">
        <v>46</v>
      </c>
      <c r="L980" s="2" t="n">
        <v>371</v>
      </c>
      <c r="M980" s="2" t="n">
        <v>1</v>
      </c>
      <c r="N980" s="2" t="n">
        <v>-1</v>
      </c>
      <c r="O980" s="2" t="n">
        <v>0</v>
      </c>
      <c r="P980" s="2" t="s">
        <v>23</v>
      </c>
      <c r="Q980" s="2" t="s">
        <v>20</v>
      </c>
    </row>
    <row r="981" customFormat="false" ht="15" hidden="false" customHeight="false" outlineLevel="0" collapsed="false">
      <c r="A981" s="2" t="n">
        <v>56</v>
      </c>
      <c r="B981" s="2" t="s">
        <v>34</v>
      </c>
      <c r="C981" s="2" t="s">
        <v>45</v>
      </c>
      <c r="D981" s="2" t="s">
        <v>19</v>
      </c>
      <c r="E981" s="2" t="s">
        <v>20</v>
      </c>
      <c r="F981" s="2" t="n">
        <v>3021</v>
      </c>
      <c r="G981" s="2" t="s">
        <v>20</v>
      </c>
      <c r="H981" s="2" t="s">
        <v>20</v>
      </c>
      <c r="I981" s="2" t="s">
        <v>23</v>
      </c>
      <c r="J981" s="2" t="n">
        <v>9</v>
      </c>
      <c r="K981" s="2" t="s">
        <v>33</v>
      </c>
      <c r="L981" s="2" t="n">
        <v>419</v>
      </c>
      <c r="M981" s="2" t="n">
        <v>2</v>
      </c>
      <c r="N981" s="2" t="n">
        <v>-1</v>
      </c>
      <c r="O981" s="2" t="n">
        <v>0</v>
      </c>
      <c r="P981" s="2" t="s">
        <v>23</v>
      </c>
      <c r="Q981" s="2" t="s">
        <v>20</v>
      </c>
    </row>
    <row r="982" customFormat="false" ht="15" hidden="false" customHeight="false" outlineLevel="0" collapsed="false">
      <c r="A982" s="2" t="n">
        <v>43</v>
      </c>
      <c r="B982" s="2" t="s">
        <v>29</v>
      </c>
      <c r="C982" s="2" t="s">
        <v>45</v>
      </c>
      <c r="D982" s="2" t="s">
        <v>31</v>
      </c>
      <c r="E982" s="2" t="s">
        <v>20</v>
      </c>
      <c r="F982" s="2" t="n">
        <v>388</v>
      </c>
      <c r="G982" s="2" t="s">
        <v>26</v>
      </c>
      <c r="H982" s="2" t="s">
        <v>20</v>
      </c>
      <c r="I982" s="2" t="s">
        <v>23</v>
      </c>
      <c r="J982" s="2" t="n">
        <v>8</v>
      </c>
      <c r="K982" s="2" t="s">
        <v>27</v>
      </c>
      <c r="L982" s="2" t="n">
        <v>2087</v>
      </c>
      <c r="M982" s="2" t="n">
        <v>2</v>
      </c>
      <c r="N982" s="2" t="n">
        <v>-1</v>
      </c>
      <c r="O982" s="2" t="n">
        <v>0</v>
      </c>
      <c r="P982" s="2" t="s">
        <v>23</v>
      </c>
      <c r="Q982" s="2" t="s">
        <v>26</v>
      </c>
    </row>
    <row r="983" customFormat="false" ht="15" hidden="false" customHeight="false" outlineLevel="0" collapsed="false">
      <c r="A983" s="2" t="n">
        <v>28</v>
      </c>
      <c r="B983" s="2" t="s">
        <v>34</v>
      </c>
      <c r="C983" s="2" t="s">
        <v>30</v>
      </c>
      <c r="D983" s="2" t="s">
        <v>25</v>
      </c>
      <c r="E983" s="2" t="s">
        <v>20</v>
      </c>
      <c r="F983" s="2" t="n">
        <v>3412</v>
      </c>
      <c r="G983" s="2" t="s">
        <v>26</v>
      </c>
      <c r="H983" s="2" t="s">
        <v>20</v>
      </c>
      <c r="I983" s="2" t="s">
        <v>21</v>
      </c>
      <c r="J983" s="2" t="n">
        <v>15</v>
      </c>
      <c r="K983" s="2" t="s">
        <v>27</v>
      </c>
      <c r="L983" s="2" t="n">
        <v>22</v>
      </c>
      <c r="M983" s="2" t="n">
        <v>4</v>
      </c>
      <c r="N983" s="2" t="n">
        <v>-1</v>
      </c>
      <c r="O983" s="2" t="n">
        <v>0</v>
      </c>
      <c r="P983" s="2" t="s">
        <v>23</v>
      </c>
      <c r="Q983" s="2" t="s">
        <v>20</v>
      </c>
    </row>
    <row r="984" customFormat="false" ht="15" hidden="false" customHeight="false" outlineLevel="0" collapsed="false">
      <c r="A984" s="2" t="n">
        <v>54</v>
      </c>
      <c r="B984" s="2" t="s">
        <v>34</v>
      </c>
      <c r="C984" s="2" t="s">
        <v>18</v>
      </c>
      <c r="D984" s="2" t="s">
        <v>25</v>
      </c>
      <c r="E984" s="2" t="s">
        <v>20</v>
      </c>
      <c r="F984" s="2" t="n">
        <v>1291</v>
      </c>
      <c r="G984" s="2" t="s">
        <v>26</v>
      </c>
      <c r="H984" s="2" t="s">
        <v>20</v>
      </c>
      <c r="I984" s="2" t="s">
        <v>23</v>
      </c>
      <c r="J984" s="2" t="n">
        <v>5</v>
      </c>
      <c r="K984" s="2" t="s">
        <v>27</v>
      </c>
      <c r="L984" s="2" t="n">
        <v>266</v>
      </c>
      <c r="M984" s="2" t="n">
        <v>1</v>
      </c>
      <c r="N984" s="2" t="n">
        <v>-1</v>
      </c>
      <c r="O984" s="2" t="n">
        <v>0</v>
      </c>
      <c r="P984" s="2" t="s">
        <v>23</v>
      </c>
      <c r="Q984" s="2" t="s">
        <v>20</v>
      </c>
    </row>
    <row r="985" customFormat="false" ht="15" hidden="false" customHeight="false" outlineLevel="0" collapsed="false">
      <c r="A985" s="2" t="n">
        <v>37</v>
      </c>
      <c r="B985" s="2" t="s">
        <v>38</v>
      </c>
      <c r="C985" s="2" t="s">
        <v>45</v>
      </c>
      <c r="D985" s="2" t="s">
        <v>25</v>
      </c>
      <c r="E985" s="2" t="s">
        <v>20</v>
      </c>
      <c r="F985" s="2" t="n">
        <v>79</v>
      </c>
      <c r="G985" s="2" t="s">
        <v>20</v>
      </c>
      <c r="H985" s="2" t="s">
        <v>20</v>
      </c>
      <c r="I985" s="2" t="s">
        <v>21</v>
      </c>
      <c r="J985" s="2" t="n">
        <v>21</v>
      </c>
      <c r="K985" s="2" t="s">
        <v>44</v>
      </c>
      <c r="L985" s="2" t="n">
        <v>191</v>
      </c>
      <c r="M985" s="2" t="n">
        <v>1</v>
      </c>
      <c r="N985" s="2" t="n">
        <v>-1</v>
      </c>
      <c r="O985" s="2" t="n">
        <v>0</v>
      </c>
      <c r="P985" s="2" t="s">
        <v>23</v>
      </c>
      <c r="Q985" s="2" t="s">
        <v>20</v>
      </c>
    </row>
    <row r="986" customFormat="false" ht="15" hidden="false" customHeight="false" outlineLevel="0" collapsed="false">
      <c r="A986" s="2" t="n">
        <v>59</v>
      </c>
      <c r="B986" s="2" t="s">
        <v>36</v>
      </c>
      <c r="C986" s="2" t="s">
        <v>18</v>
      </c>
      <c r="D986" s="2" t="s">
        <v>31</v>
      </c>
      <c r="E986" s="2" t="s">
        <v>20</v>
      </c>
      <c r="F986" s="2" t="n">
        <v>2013</v>
      </c>
      <c r="G986" s="2" t="s">
        <v>20</v>
      </c>
      <c r="H986" s="2" t="s">
        <v>20</v>
      </c>
      <c r="I986" s="2" t="s">
        <v>21</v>
      </c>
      <c r="J986" s="2" t="n">
        <v>19</v>
      </c>
      <c r="K986" s="2" t="s">
        <v>35</v>
      </c>
      <c r="L986" s="2" t="n">
        <v>222</v>
      </c>
      <c r="M986" s="2" t="n">
        <v>4</v>
      </c>
      <c r="N986" s="2" t="n">
        <v>94</v>
      </c>
      <c r="O986" s="2" t="n">
        <v>2</v>
      </c>
      <c r="P986" s="2" t="s">
        <v>50</v>
      </c>
      <c r="Q986" s="2" t="s">
        <v>26</v>
      </c>
    </row>
    <row r="987" customFormat="false" ht="15" hidden="false" customHeight="false" outlineLevel="0" collapsed="false">
      <c r="A987" s="2" t="n">
        <v>58</v>
      </c>
      <c r="B987" s="2" t="s">
        <v>34</v>
      </c>
      <c r="C987" s="2" t="s">
        <v>45</v>
      </c>
      <c r="D987" s="2" t="s">
        <v>25</v>
      </c>
      <c r="E987" s="2" t="s">
        <v>20</v>
      </c>
      <c r="F987" s="2" t="n">
        <v>543</v>
      </c>
      <c r="G987" s="2" t="s">
        <v>20</v>
      </c>
      <c r="H987" s="2" t="s">
        <v>26</v>
      </c>
      <c r="I987" s="2" t="s">
        <v>49</v>
      </c>
      <c r="J987" s="2" t="n">
        <v>17</v>
      </c>
      <c r="K987" s="2" t="s">
        <v>44</v>
      </c>
      <c r="L987" s="2" t="n">
        <v>264</v>
      </c>
      <c r="M987" s="2" t="n">
        <v>3</v>
      </c>
      <c r="N987" s="2" t="n">
        <v>-1</v>
      </c>
      <c r="O987" s="2" t="n">
        <v>0</v>
      </c>
      <c r="P987" s="2" t="s">
        <v>23</v>
      </c>
      <c r="Q987" s="2" t="s">
        <v>20</v>
      </c>
    </row>
    <row r="988" customFormat="false" ht="15" hidden="false" customHeight="false" outlineLevel="0" collapsed="false">
      <c r="A988" s="2" t="n">
        <v>56</v>
      </c>
      <c r="B988" s="2" t="s">
        <v>29</v>
      </c>
      <c r="C988" s="2" t="s">
        <v>45</v>
      </c>
      <c r="D988" s="2" t="s">
        <v>31</v>
      </c>
      <c r="E988" s="2" t="s">
        <v>20</v>
      </c>
      <c r="F988" s="2" t="n">
        <v>1016</v>
      </c>
      <c r="G988" s="2" t="s">
        <v>26</v>
      </c>
      <c r="H988" s="2" t="s">
        <v>20</v>
      </c>
      <c r="I988" s="2" t="s">
        <v>23</v>
      </c>
      <c r="J988" s="2" t="n">
        <v>9</v>
      </c>
      <c r="K988" s="2" t="s">
        <v>33</v>
      </c>
      <c r="L988" s="2" t="n">
        <v>184</v>
      </c>
      <c r="M988" s="2" t="n">
        <v>5</v>
      </c>
      <c r="N988" s="2" t="n">
        <v>-1</v>
      </c>
      <c r="O988" s="2" t="n">
        <v>0</v>
      </c>
      <c r="P988" s="2" t="s">
        <v>23</v>
      </c>
      <c r="Q988" s="2" t="s">
        <v>20</v>
      </c>
    </row>
    <row r="989" customFormat="false" ht="15" hidden="false" customHeight="false" outlineLevel="0" collapsed="false">
      <c r="A989" s="2" t="n">
        <v>32</v>
      </c>
      <c r="B989" s="2" t="s">
        <v>34</v>
      </c>
      <c r="C989" s="2" t="s">
        <v>30</v>
      </c>
      <c r="D989" s="2" t="s">
        <v>25</v>
      </c>
      <c r="E989" s="2" t="s">
        <v>20</v>
      </c>
      <c r="F989" s="2" t="n">
        <v>604</v>
      </c>
      <c r="G989" s="2" t="s">
        <v>20</v>
      </c>
      <c r="H989" s="2" t="s">
        <v>26</v>
      </c>
      <c r="I989" s="2" t="s">
        <v>21</v>
      </c>
      <c r="J989" s="2" t="n">
        <v>28</v>
      </c>
      <c r="K989" s="2" t="s">
        <v>27</v>
      </c>
      <c r="L989" s="2" t="n">
        <v>95</v>
      </c>
      <c r="M989" s="2" t="n">
        <v>3</v>
      </c>
      <c r="N989" s="2" t="n">
        <v>-1</v>
      </c>
      <c r="O989" s="2" t="n">
        <v>0</v>
      </c>
      <c r="P989" s="2" t="s">
        <v>23</v>
      </c>
      <c r="Q989" s="2" t="s">
        <v>20</v>
      </c>
    </row>
    <row r="990" customFormat="false" ht="15" hidden="false" customHeight="false" outlineLevel="0" collapsed="false">
      <c r="A990" s="2" t="n">
        <v>42</v>
      </c>
      <c r="B990" s="2" t="s">
        <v>29</v>
      </c>
      <c r="C990" s="2" t="s">
        <v>30</v>
      </c>
      <c r="D990" s="2" t="s">
        <v>31</v>
      </c>
      <c r="E990" s="2" t="s">
        <v>20</v>
      </c>
      <c r="F990" s="2" t="n">
        <v>525</v>
      </c>
      <c r="G990" s="2" t="s">
        <v>20</v>
      </c>
      <c r="H990" s="2" t="s">
        <v>20</v>
      </c>
      <c r="I990" s="2" t="s">
        <v>21</v>
      </c>
      <c r="J990" s="2" t="n">
        <v>13</v>
      </c>
      <c r="K990" s="2" t="s">
        <v>41</v>
      </c>
      <c r="L990" s="2" t="n">
        <v>127</v>
      </c>
      <c r="M990" s="2" t="n">
        <v>2</v>
      </c>
      <c r="N990" s="2" t="n">
        <v>-1</v>
      </c>
      <c r="O990" s="2" t="n">
        <v>0</v>
      </c>
      <c r="P990" s="2" t="s">
        <v>23</v>
      </c>
      <c r="Q990" s="2" t="s">
        <v>20</v>
      </c>
    </row>
    <row r="991" customFormat="false" ht="15" hidden="false" customHeight="false" outlineLevel="0" collapsed="false">
      <c r="A991" s="2" t="n">
        <v>52</v>
      </c>
      <c r="B991" s="2" t="s">
        <v>48</v>
      </c>
      <c r="C991" s="2" t="s">
        <v>45</v>
      </c>
      <c r="D991" s="2" t="s">
        <v>19</v>
      </c>
      <c r="E991" s="2" t="s">
        <v>20</v>
      </c>
      <c r="F991" s="2" t="n">
        <v>353</v>
      </c>
      <c r="G991" s="2" t="s">
        <v>20</v>
      </c>
      <c r="H991" s="2" t="s">
        <v>20</v>
      </c>
      <c r="I991" s="2" t="s">
        <v>21</v>
      </c>
      <c r="J991" s="2" t="n">
        <v>31</v>
      </c>
      <c r="K991" s="2" t="s">
        <v>44</v>
      </c>
      <c r="L991" s="2" t="n">
        <v>395</v>
      </c>
      <c r="M991" s="2" t="n">
        <v>4</v>
      </c>
      <c r="N991" s="2" t="n">
        <v>-1</v>
      </c>
      <c r="O991" s="2" t="n">
        <v>0</v>
      </c>
      <c r="P991" s="2" t="s">
        <v>23</v>
      </c>
      <c r="Q991" s="2" t="s">
        <v>20</v>
      </c>
    </row>
    <row r="992" customFormat="false" ht="15" hidden="false" customHeight="false" outlineLevel="0" collapsed="false">
      <c r="A992" s="2" t="n">
        <v>46</v>
      </c>
      <c r="B992" s="2" t="s">
        <v>29</v>
      </c>
      <c r="C992" s="2" t="s">
        <v>18</v>
      </c>
      <c r="D992" s="2" t="s">
        <v>31</v>
      </c>
      <c r="E992" s="2" t="s">
        <v>20</v>
      </c>
      <c r="F992" s="2" t="n">
        <v>964</v>
      </c>
      <c r="G992" s="2" t="s">
        <v>26</v>
      </c>
      <c r="H992" s="2" t="s">
        <v>20</v>
      </c>
      <c r="I992" s="2" t="s">
        <v>21</v>
      </c>
      <c r="J992" s="2" t="n">
        <v>8</v>
      </c>
      <c r="K992" s="2" t="s">
        <v>32</v>
      </c>
      <c r="L992" s="2" t="n">
        <v>174</v>
      </c>
      <c r="M992" s="2" t="n">
        <v>1</v>
      </c>
      <c r="N992" s="2" t="n">
        <v>-1</v>
      </c>
      <c r="O992" s="2" t="n">
        <v>0</v>
      </c>
      <c r="P992" s="2" t="s">
        <v>23</v>
      </c>
      <c r="Q992" s="2" t="s">
        <v>20</v>
      </c>
    </row>
    <row r="993" customFormat="false" ht="15" hidden="false" customHeight="false" outlineLevel="0" collapsed="false">
      <c r="A993" s="2" t="n">
        <v>37</v>
      </c>
      <c r="B993" s="2" t="s">
        <v>40</v>
      </c>
      <c r="C993" s="2" t="s">
        <v>18</v>
      </c>
      <c r="D993" s="2" t="s">
        <v>31</v>
      </c>
      <c r="E993" s="2" t="s">
        <v>20</v>
      </c>
      <c r="F993" s="2" t="n">
        <v>3913</v>
      </c>
      <c r="G993" s="2" t="s">
        <v>26</v>
      </c>
      <c r="H993" s="2" t="s">
        <v>20</v>
      </c>
      <c r="I993" s="2" t="s">
        <v>21</v>
      </c>
      <c r="J993" s="2" t="n">
        <v>27</v>
      </c>
      <c r="K993" s="2" t="s">
        <v>32</v>
      </c>
      <c r="L993" s="2" t="n">
        <v>124</v>
      </c>
      <c r="M993" s="2" t="n">
        <v>1</v>
      </c>
      <c r="N993" s="2" t="n">
        <v>-1</v>
      </c>
      <c r="O993" s="2" t="n">
        <v>0</v>
      </c>
      <c r="P993" s="2" t="s">
        <v>23</v>
      </c>
      <c r="Q993" s="2" t="s">
        <v>26</v>
      </c>
    </row>
    <row r="994" customFormat="false" ht="15" hidden="false" customHeight="false" outlineLevel="0" collapsed="false">
      <c r="A994" s="2" t="n">
        <v>39</v>
      </c>
      <c r="B994" s="2" t="s">
        <v>34</v>
      </c>
      <c r="C994" s="2" t="s">
        <v>18</v>
      </c>
      <c r="D994" s="2" t="s">
        <v>19</v>
      </c>
      <c r="E994" s="2" t="s">
        <v>20</v>
      </c>
      <c r="F994" s="2" t="n">
        <v>879</v>
      </c>
      <c r="G994" s="2" t="s">
        <v>26</v>
      </c>
      <c r="H994" s="2" t="s">
        <v>20</v>
      </c>
      <c r="I994" s="2" t="s">
        <v>23</v>
      </c>
      <c r="J994" s="2" t="n">
        <v>26</v>
      </c>
      <c r="K994" s="2" t="s">
        <v>27</v>
      </c>
      <c r="L994" s="2" t="n">
        <v>102</v>
      </c>
      <c r="M994" s="2" t="n">
        <v>2</v>
      </c>
      <c r="N994" s="2" t="n">
        <v>-1</v>
      </c>
      <c r="O994" s="2" t="n">
        <v>0</v>
      </c>
      <c r="P994" s="2" t="s">
        <v>23</v>
      </c>
      <c r="Q994" s="2" t="s">
        <v>20</v>
      </c>
    </row>
    <row r="995" customFormat="false" ht="15" hidden="false" customHeight="false" outlineLevel="0" collapsed="false">
      <c r="A995" s="2" t="n">
        <v>31</v>
      </c>
      <c r="B995" s="2" t="s">
        <v>40</v>
      </c>
      <c r="C995" s="2" t="s">
        <v>18</v>
      </c>
      <c r="D995" s="2" t="s">
        <v>25</v>
      </c>
      <c r="E995" s="2" t="s">
        <v>20</v>
      </c>
      <c r="F995" s="2" t="n">
        <v>314</v>
      </c>
      <c r="G995" s="2" t="s">
        <v>26</v>
      </c>
      <c r="H995" s="2" t="s">
        <v>20</v>
      </c>
      <c r="I995" s="2" t="s">
        <v>21</v>
      </c>
      <c r="J995" s="2" t="n">
        <v>17</v>
      </c>
      <c r="K995" s="2" t="s">
        <v>32</v>
      </c>
      <c r="L995" s="2" t="n">
        <v>279</v>
      </c>
      <c r="M995" s="2" t="n">
        <v>1</v>
      </c>
      <c r="N995" s="2" t="n">
        <v>-1</v>
      </c>
      <c r="O995" s="2" t="n">
        <v>0</v>
      </c>
      <c r="P995" s="2" t="s">
        <v>23</v>
      </c>
      <c r="Q995" s="2" t="s">
        <v>20</v>
      </c>
    </row>
    <row r="996" customFormat="false" ht="15" hidden="false" customHeight="false" outlineLevel="0" collapsed="false">
      <c r="A996" s="2" t="n">
        <v>59</v>
      </c>
      <c r="B996" s="2" t="s">
        <v>47</v>
      </c>
      <c r="C996" s="2" t="s">
        <v>18</v>
      </c>
      <c r="D996" s="2" t="s">
        <v>19</v>
      </c>
      <c r="E996" s="2" t="s">
        <v>20</v>
      </c>
      <c r="F996" s="2" t="n">
        <v>0</v>
      </c>
      <c r="G996" s="2" t="s">
        <v>20</v>
      </c>
      <c r="H996" s="2" t="s">
        <v>20</v>
      </c>
      <c r="I996" s="2" t="s">
        <v>21</v>
      </c>
      <c r="J996" s="2" t="n">
        <v>27</v>
      </c>
      <c r="K996" s="2" t="s">
        <v>41</v>
      </c>
      <c r="L996" s="2" t="n">
        <v>76</v>
      </c>
      <c r="M996" s="2" t="n">
        <v>11</v>
      </c>
      <c r="N996" s="2" t="n">
        <v>-1</v>
      </c>
      <c r="O996" s="2" t="n">
        <v>0</v>
      </c>
      <c r="P996" s="2" t="s">
        <v>23</v>
      </c>
      <c r="Q996" s="2" t="s">
        <v>20</v>
      </c>
    </row>
    <row r="997" customFormat="false" ht="15" hidden="false" customHeight="false" outlineLevel="0" collapsed="false">
      <c r="A997" s="2" t="n">
        <v>38</v>
      </c>
      <c r="B997" s="2" t="s">
        <v>34</v>
      </c>
      <c r="C997" s="2" t="s">
        <v>18</v>
      </c>
      <c r="D997" s="2" t="s">
        <v>25</v>
      </c>
      <c r="E997" s="2" t="s">
        <v>20</v>
      </c>
      <c r="F997" s="2" t="n">
        <v>1370</v>
      </c>
      <c r="G997" s="2" t="s">
        <v>26</v>
      </c>
      <c r="H997" s="2" t="s">
        <v>20</v>
      </c>
      <c r="I997" s="2" t="s">
        <v>21</v>
      </c>
      <c r="J997" s="2" t="n">
        <v>11</v>
      </c>
      <c r="K997" s="2" t="s">
        <v>27</v>
      </c>
      <c r="L997" s="2" t="n">
        <v>472</v>
      </c>
      <c r="M997" s="2" t="n">
        <v>2</v>
      </c>
      <c r="N997" s="2" t="n">
        <v>-1</v>
      </c>
      <c r="O997" s="2" t="n">
        <v>0</v>
      </c>
      <c r="P997" s="2" t="s">
        <v>23</v>
      </c>
      <c r="Q997" s="2" t="s">
        <v>20</v>
      </c>
    </row>
    <row r="998" customFormat="false" ht="15" hidden="false" customHeight="false" outlineLevel="0" collapsed="false">
      <c r="A998" s="2" t="n">
        <v>58</v>
      </c>
      <c r="B998" s="2" t="s">
        <v>29</v>
      </c>
      <c r="C998" s="2" t="s">
        <v>18</v>
      </c>
      <c r="D998" s="2" t="s">
        <v>25</v>
      </c>
      <c r="E998" s="2" t="s">
        <v>20</v>
      </c>
      <c r="F998" s="2" t="n">
        <v>37</v>
      </c>
      <c r="G998" s="2" t="s">
        <v>20</v>
      </c>
      <c r="H998" s="2" t="s">
        <v>20</v>
      </c>
      <c r="I998" s="2" t="s">
        <v>21</v>
      </c>
      <c r="J998" s="2" t="n">
        <v>18</v>
      </c>
      <c r="K998" s="2" t="s">
        <v>41</v>
      </c>
      <c r="L998" s="2" t="n">
        <v>84</v>
      </c>
      <c r="M998" s="2" t="n">
        <v>11</v>
      </c>
      <c r="N998" s="2" t="n">
        <v>-1</v>
      </c>
      <c r="O998" s="2" t="n">
        <v>0</v>
      </c>
      <c r="P998" s="2" t="s">
        <v>23</v>
      </c>
      <c r="Q998" s="2" t="s">
        <v>20</v>
      </c>
    </row>
    <row r="999" customFormat="false" ht="15" hidden="false" customHeight="false" outlineLevel="0" collapsed="false">
      <c r="A999" s="2" t="n">
        <v>34</v>
      </c>
      <c r="B999" s="2" t="s">
        <v>29</v>
      </c>
      <c r="C999" s="2" t="s">
        <v>30</v>
      </c>
      <c r="D999" s="2" t="s">
        <v>31</v>
      </c>
      <c r="E999" s="2" t="s">
        <v>20</v>
      </c>
      <c r="F999" s="2" t="n">
        <v>673</v>
      </c>
      <c r="G999" s="2" t="s">
        <v>26</v>
      </c>
      <c r="H999" s="2" t="s">
        <v>26</v>
      </c>
      <c r="I999" s="2" t="s">
        <v>21</v>
      </c>
      <c r="J999" s="2" t="n">
        <v>20</v>
      </c>
      <c r="K999" s="2" t="s">
        <v>46</v>
      </c>
      <c r="L999" s="2" t="n">
        <v>271</v>
      </c>
      <c r="M999" s="2" t="n">
        <v>1</v>
      </c>
      <c r="N999" s="2" t="n">
        <v>184</v>
      </c>
      <c r="O999" s="2" t="n">
        <v>1</v>
      </c>
      <c r="P999" s="2" t="s">
        <v>28</v>
      </c>
      <c r="Q999" s="2" t="s">
        <v>20</v>
      </c>
    </row>
    <row r="1000" customFormat="false" ht="15" hidden="false" customHeight="false" outlineLevel="0" collapsed="false">
      <c r="A1000" s="2" t="n">
        <v>40</v>
      </c>
      <c r="B1000" s="2" t="s">
        <v>24</v>
      </c>
      <c r="C1000" s="2" t="s">
        <v>18</v>
      </c>
      <c r="D1000" s="2" t="s">
        <v>25</v>
      </c>
      <c r="E1000" s="2" t="s">
        <v>20</v>
      </c>
      <c r="F1000" s="2" t="n">
        <v>-342</v>
      </c>
      <c r="G1000" s="2" t="s">
        <v>26</v>
      </c>
      <c r="H1000" s="2" t="s">
        <v>20</v>
      </c>
      <c r="I1000" s="2" t="s">
        <v>23</v>
      </c>
      <c r="J1000" s="2" t="n">
        <v>26</v>
      </c>
      <c r="K1000" s="2" t="s">
        <v>27</v>
      </c>
      <c r="L1000" s="2" t="n">
        <v>754</v>
      </c>
      <c r="M1000" s="2" t="n">
        <v>1</v>
      </c>
      <c r="N1000" s="2" t="n">
        <v>-1</v>
      </c>
      <c r="O1000" s="2" t="n">
        <v>0</v>
      </c>
      <c r="P1000" s="2" t="s">
        <v>23</v>
      </c>
      <c r="Q1000" s="2" t="s">
        <v>20</v>
      </c>
    </row>
    <row r="1001" customFormat="false" ht="15" hidden="false" customHeight="false" outlineLevel="0" collapsed="false">
      <c r="A1001" s="2" t="n">
        <v>20</v>
      </c>
      <c r="B1001" s="2" t="s">
        <v>42</v>
      </c>
      <c r="C1001" s="2" t="s">
        <v>30</v>
      </c>
      <c r="D1001" s="2" t="s">
        <v>25</v>
      </c>
      <c r="E1001" s="2" t="s">
        <v>20</v>
      </c>
      <c r="F1001" s="2" t="n">
        <v>291</v>
      </c>
      <c r="G1001" s="2" t="s">
        <v>20</v>
      </c>
      <c r="H1001" s="2" t="s">
        <v>20</v>
      </c>
      <c r="I1001" s="2" t="s">
        <v>49</v>
      </c>
      <c r="J1001" s="2" t="n">
        <v>11</v>
      </c>
      <c r="K1001" s="2" t="s">
        <v>27</v>
      </c>
      <c r="L1001" s="2" t="n">
        <v>172</v>
      </c>
      <c r="M1001" s="2" t="n">
        <v>5</v>
      </c>
      <c r="N1001" s="2" t="n">
        <v>371</v>
      </c>
      <c r="O1001" s="2" t="n">
        <v>5</v>
      </c>
      <c r="P1001" s="2" t="s">
        <v>28</v>
      </c>
      <c r="Q1001" s="2" t="s">
        <v>20</v>
      </c>
    </row>
    <row r="1002" customFormat="false" ht="15" hidden="false" customHeight="false" outlineLevel="0" collapsed="false">
      <c r="A1002" s="2" t="n">
        <v>34</v>
      </c>
      <c r="B1002" s="2" t="s">
        <v>38</v>
      </c>
      <c r="C1002" s="2" t="s">
        <v>18</v>
      </c>
      <c r="D1002" s="2" t="s">
        <v>25</v>
      </c>
      <c r="E1002" s="2" t="s">
        <v>20</v>
      </c>
      <c r="F1002" s="2" t="n">
        <v>209</v>
      </c>
      <c r="G1002" s="2" t="s">
        <v>26</v>
      </c>
      <c r="H1002" s="2" t="s">
        <v>26</v>
      </c>
      <c r="I1002" s="2" t="s">
        <v>21</v>
      </c>
      <c r="J1002" s="2" t="n">
        <v>8</v>
      </c>
      <c r="K1002" s="2" t="s">
        <v>32</v>
      </c>
      <c r="L1002" s="2" t="n">
        <v>375</v>
      </c>
      <c r="M1002" s="2" t="n">
        <v>2</v>
      </c>
      <c r="N1002" s="2" t="n">
        <v>-1</v>
      </c>
      <c r="O1002" s="2" t="n">
        <v>0</v>
      </c>
      <c r="P1002" s="2" t="s">
        <v>23</v>
      </c>
      <c r="Q1002" s="2" t="s">
        <v>20</v>
      </c>
    </row>
    <row r="1003" customFormat="false" ht="15" hidden="false" customHeight="false" outlineLevel="0" collapsed="false">
      <c r="A1003" s="2" t="n">
        <v>31</v>
      </c>
      <c r="B1003" s="2" t="s">
        <v>38</v>
      </c>
      <c r="C1003" s="2" t="s">
        <v>30</v>
      </c>
      <c r="D1003" s="2" t="s">
        <v>31</v>
      </c>
      <c r="E1003" s="2" t="s">
        <v>20</v>
      </c>
      <c r="F1003" s="2" t="n">
        <v>438</v>
      </c>
      <c r="G1003" s="2" t="s">
        <v>26</v>
      </c>
      <c r="H1003" s="2" t="s">
        <v>20</v>
      </c>
      <c r="I1003" s="2" t="s">
        <v>21</v>
      </c>
      <c r="J1003" s="2" t="n">
        <v>12</v>
      </c>
      <c r="K1003" s="2" t="s">
        <v>41</v>
      </c>
      <c r="L1003" s="2" t="n">
        <v>130</v>
      </c>
      <c r="M1003" s="2" t="n">
        <v>2</v>
      </c>
      <c r="N1003" s="2" t="n">
        <v>-1</v>
      </c>
      <c r="O1003" s="2" t="n">
        <v>0</v>
      </c>
      <c r="P1003" s="2" t="s">
        <v>23</v>
      </c>
      <c r="Q1003" s="2" t="s">
        <v>20</v>
      </c>
    </row>
    <row r="1004" customFormat="false" ht="15" hidden="false" customHeight="false" outlineLevel="0" collapsed="false">
      <c r="A1004" s="2" t="n">
        <v>39</v>
      </c>
      <c r="B1004" s="2" t="s">
        <v>40</v>
      </c>
      <c r="C1004" s="2" t="s">
        <v>30</v>
      </c>
      <c r="D1004" s="2" t="s">
        <v>25</v>
      </c>
      <c r="E1004" s="2" t="s">
        <v>20</v>
      </c>
      <c r="F1004" s="2" t="n">
        <v>1242</v>
      </c>
      <c r="G1004" s="2" t="s">
        <v>26</v>
      </c>
      <c r="H1004" s="2" t="s">
        <v>20</v>
      </c>
      <c r="I1004" s="2" t="s">
        <v>23</v>
      </c>
      <c r="J1004" s="2" t="n">
        <v>12</v>
      </c>
      <c r="K1004" s="2" t="s">
        <v>27</v>
      </c>
      <c r="L1004" s="2" t="n">
        <v>303</v>
      </c>
      <c r="M1004" s="2" t="n">
        <v>3</v>
      </c>
      <c r="N1004" s="2" t="n">
        <v>-1</v>
      </c>
      <c r="O1004" s="2" t="n">
        <v>0</v>
      </c>
      <c r="P1004" s="2" t="s">
        <v>23</v>
      </c>
      <c r="Q1004" s="2" t="s">
        <v>20</v>
      </c>
    </row>
    <row r="1005" customFormat="false" ht="15" hidden="false" customHeight="false" outlineLevel="0" collapsed="false">
      <c r="A1005" s="2" t="n">
        <v>34</v>
      </c>
      <c r="B1005" s="2" t="s">
        <v>39</v>
      </c>
      <c r="C1005" s="2" t="s">
        <v>18</v>
      </c>
      <c r="D1005" s="2" t="s">
        <v>31</v>
      </c>
      <c r="E1005" s="2" t="s">
        <v>20</v>
      </c>
      <c r="F1005" s="2" t="n">
        <v>355</v>
      </c>
      <c r="G1005" s="2" t="s">
        <v>26</v>
      </c>
      <c r="H1005" s="2" t="s">
        <v>20</v>
      </c>
      <c r="I1005" s="2" t="s">
        <v>23</v>
      </c>
      <c r="J1005" s="2" t="n">
        <v>16</v>
      </c>
      <c r="K1005" s="2" t="s">
        <v>27</v>
      </c>
      <c r="L1005" s="2" t="n">
        <v>261</v>
      </c>
      <c r="M1005" s="2" t="n">
        <v>1</v>
      </c>
      <c r="N1005" s="2" t="n">
        <v>-1</v>
      </c>
      <c r="O1005" s="2" t="n">
        <v>0</v>
      </c>
      <c r="P1005" s="2" t="s">
        <v>23</v>
      </c>
      <c r="Q1005" s="2" t="s">
        <v>20</v>
      </c>
    </row>
    <row r="1006" customFormat="false" ht="15" hidden="false" customHeight="false" outlineLevel="0" collapsed="false">
      <c r="A1006" s="2" t="n">
        <v>24</v>
      </c>
      <c r="B1006" s="2" t="s">
        <v>34</v>
      </c>
      <c r="C1006" s="2" t="s">
        <v>18</v>
      </c>
      <c r="D1006" s="2" t="s">
        <v>25</v>
      </c>
      <c r="E1006" s="2" t="s">
        <v>20</v>
      </c>
      <c r="F1006" s="2" t="n">
        <v>204</v>
      </c>
      <c r="G1006" s="2" t="s">
        <v>26</v>
      </c>
      <c r="H1006" s="2" t="s">
        <v>26</v>
      </c>
      <c r="I1006" s="2" t="s">
        <v>21</v>
      </c>
      <c r="J1006" s="2" t="n">
        <v>17</v>
      </c>
      <c r="K1006" s="2" t="s">
        <v>32</v>
      </c>
      <c r="L1006" s="2" t="n">
        <v>229</v>
      </c>
      <c r="M1006" s="2" t="n">
        <v>3</v>
      </c>
      <c r="N1006" s="2" t="n">
        <v>-1</v>
      </c>
      <c r="O1006" s="2" t="n">
        <v>0</v>
      </c>
      <c r="P1006" s="2" t="s">
        <v>23</v>
      </c>
      <c r="Q1006" s="2" t="s">
        <v>20</v>
      </c>
    </row>
    <row r="1007" customFormat="false" ht="15" hidden="false" customHeight="false" outlineLevel="0" collapsed="false">
      <c r="A1007" s="2" t="n">
        <v>41</v>
      </c>
      <c r="B1007" s="2" t="s">
        <v>29</v>
      </c>
      <c r="C1007" s="2" t="s">
        <v>18</v>
      </c>
      <c r="D1007" s="2" t="s">
        <v>31</v>
      </c>
      <c r="E1007" s="2" t="s">
        <v>20</v>
      </c>
      <c r="F1007" s="2" t="n">
        <v>10758</v>
      </c>
      <c r="G1007" s="2" t="s">
        <v>26</v>
      </c>
      <c r="H1007" s="2" t="s">
        <v>20</v>
      </c>
      <c r="I1007" s="2" t="s">
        <v>21</v>
      </c>
      <c r="J1007" s="2" t="n">
        <v>1</v>
      </c>
      <c r="K1007" s="2" t="s">
        <v>33</v>
      </c>
      <c r="L1007" s="2" t="n">
        <v>288</v>
      </c>
      <c r="M1007" s="2" t="n">
        <v>1</v>
      </c>
      <c r="N1007" s="2" t="n">
        <v>-1</v>
      </c>
      <c r="O1007" s="2" t="n">
        <v>0</v>
      </c>
      <c r="P1007" s="2" t="s">
        <v>23</v>
      </c>
      <c r="Q1007" s="2" t="s">
        <v>20</v>
      </c>
    </row>
    <row r="1008" customFormat="false" ht="15" hidden="false" customHeight="false" outlineLevel="0" collapsed="false">
      <c r="A1008" s="2" t="n">
        <v>40</v>
      </c>
      <c r="B1008" s="2" t="s">
        <v>29</v>
      </c>
      <c r="C1008" s="2" t="s">
        <v>18</v>
      </c>
      <c r="D1008" s="2" t="s">
        <v>31</v>
      </c>
      <c r="E1008" s="2" t="s">
        <v>20</v>
      </c>
      <c r="F1008" s="2" t="n">
        <v>5</v>
      </c>
      <c r="G1008" s="2" t="s">
        <v>26</v>
      </c>
      <c r="H1008" s="2" t="s">
        <v>20</v>
      </c>
      <c r="I1008" s="2" t="s">
        <v>21</v>
      </c>
      <c r="J1008" s="2" t="n">
        <v>18</v>
      </c>
      <c r="K1008" s="2" t="s">
        <v>46</v>
      </c>
      <c r="L1008" s="2" t="n">
        <v>219</v>
      </c>
      <c r="M1008" s="2" t="n">
        <v>3</v>
      </c>
      <c r="N1008" s="2" t="n">
        <v>-1</v>
      </c>
      <c r="O1008" s="2" t="n">
        <v>0</v>
      </c>
      <c r="P1008" s="2" t="s">
        <v>23</v>
      </c>
      <c r="Q1008" s="2" t="s">
        <v>20</v>
      </c>
    </row>
    <row r="1009" customFormat="false" ht="15" hidden="false" customHeight="false" outlineLevel="0" collapsed="false">
      <c r="A1009" s="2" t="n">
        <v>45</v>
      </c>
      <c r="B1009" s="2" t="s">
        <v>38</v>
      </c>
      <c r="C1009" s="2" t="s">
        <v>30</v>
      </c>
      <c r="D1009" s="2" t="s">
        <v>25</v>
      </c>
      <c r="E1009" s="2" t="s">
        <v>20</v>
      </c>
      <c r="F1009" s="2" t="n">
        <v>410</v>
      </c>
      <c r="G1009" s="2" t="s">
        <v>26</v>
      </c>
      <c r="H1009" s="2" t="s">
        <v>20</v>
      </c>
      <c r="I1009" s="2" t="s">
        <v>23</v>
      </c>
      <c r="J1009" s="2" t="n">
        <v>30</v>
      </c>
      <c r="K1009" s="2" t="s">
        <v>27</v>
      </c>
      <c r="L1009" s="2" t="n">
        <v>891</v>
      </c>
      <c r="M1009" s="2" t="n">
        <v>4</v>
      </c>
      <c r="N1009" s="2" t="n">
        <v>-1</v>
      </c>
      <c r="O1009" s="2" t="n">
        <v>0</v>
      </c>
      <c r="P1009" s="2" t="s">
        <v>23</v>
      </c>
      <c r="Q1009" s="2" t="s">
        <v>26</v>
      </c>
    </row>
    <row r="1010" customFormat="false" ht="15" hidden="false" customHeight="false" outlineLevel="0" collapsed="false">
      <c r="A1010" s="2" t="n">
        <v>36</v>
      </c>
      <c r="B1010" s="2" t="s">
        <v>29</v>
      </c>
      <c r="C1010" s="2" t="s">
        <v>18</v>
      </c>
      <c r="D1010" s="2" t="s">
        <v>31</v>
      </c>
      <c r="E1010" s="2" t="s">
        <v>20</v>
      </c>
      <c r="F1010" s="2" t="n">
        <v>605</v>
      </c>
      <c r="G1010" s="2" t="s">
        <v>26</v>
      </c>
      <c r="H1010" s="2" t="s">
        <v>20</v>
      </c>
      <c r="I1010" s="2" t="s">
        <v>23</v>
      </c>
      <c r="J1010" s="2" t="n">
        <v>26</v>
      </c>
      <c r="K1010" s="2" t="s">
        <v>27</v>
      </c>
      <c r="L1010" s="2" t="n">
        <v>204</v>
      </c>
      <c r="M1010" s="2" t="n">
        <v>1</v>
      </c>
      <c r="N1010" s="2" t="n">
        <v>-1</v>
      </c>
      <c r="O1010" s="2" t="n">
        <v>0</v>
      </c>
      <c r="P1010" s="2" t="s">
        <v>23</v>
      </c>
      <c r="Q1010" s="2" t="s">
        <v>20</v>
      </c>
    </row>
    <row r="1011" customFormat="false" ht="15" hidden="false" customHeight="false" outlineLevel="0" collapsed="false">
      <c r="A1011" s="2" t="n">
        <v>53</v>
      </c>
      <c r="B1011" s="2" t="s">
        <v>29</v>
      </c>
      <c r="C1011" s="2" t="s">
        <v>18</v>
      </c>
      <c r="D1011" s="2" t="s">
        <v>31</v>
      </c>
      <c r="E1011" s="2" t="s">
        <v>20</v>
      </c>
      <c r="F1011" s="2" t="n">
        <v>4</v>
      </c>
      <c r="G1011" s="2" t="s">
        <v>20</v>
      </c>
      <c r="H1011" s="2" t="s">
        <v>20</v>
      </c>
      <c r="I1011" s="2" t="s">
        <v>23</v>
      </c>
      <c r="J1011" s="2" t="n">
        <v>20</v>
      </c>
      <c r="K1011" s="2" t="s">
        <v>33</v>
      </c>
      <c r="L1011" s="2" t="n">
        <v>19</v>
      </c>
      <c r="M1011" s="2" t="n">
        <v>6</v>
      </c>
      <c r="N1011" s="2" t="n">
        <v>-1</v>
      </c>
      <c r="O1011" s="2" t="n">
        <v>0</v>
      </c>
      <c r="P1011" s="2" t="s">
        <v>23</v>
      </c>
      <c r="Q1011" s="2" t="s">
        <v>20</v>
      </c>
    </row>
    <row r="1012" customFormat="false" ht="15" hidden="false" customHeight="false" outlineLevel="0" collapsed="false">
      <c r="A1012" s="2" t="n">
        <v>23</v>
      </c>
      <c r="B1012" s="2" t="s">
        <v>42</v>
      </c>
      <c r="C1012" s="2" t="s">
        <v>30</v>
      </c>
      <c r="D1012" s="2" t="s">
        <v>25</v>
      </c>
      <c r="E1012" s="2" t="s">
        <v>20</v>
      </c>
      <c r="F1012" s="2" t="n">
        <v>8494</v>
      </c>
      <c r="G1012" s="2" t="s">
        <v>20</v>
      </c>
      <c r="H1012" s="2" t="s">
        <v>20</v>
      </c>
      <c r="I1012" s="2" t="s">
        <v>21</v>
      </c>
      <c r="J1012" s="2" t="n">
        <v>25</v>
      </c>
      <c r="K1012" s="2" t="s">
        <v>41</v>
      </c>
      <c r="L1012" s="2" t="n">
        <v>158</v>
      </c>
      <c r="M1012" s="2" t="n">
        <v>2</v>
      </c>
      <c r="N1012" s="2" t="n">
        <v>-1</v>
      </c>
      <c r="O1012" s="2" t="n">
        <v>0</v>
      </c>
      <c r="P1012" s="2" t="s">
        <v>23</v>
      </c>
      <c r="Q1012" s="2" t="s">
        <v>20</v>
      </c>
    </row>
    <row r="1013" customFormat="false" ht="15" hidden="false" customHeight="false" outlineLevel="0" collapsed="false">
      <c r="A1013" s="2" t="n">
        <v>42</v>
      </c>
      <c r="B1013" s="2" t="s">
        <v>39</v>
      </c>
      <c r="C1013" s="2" t="s">
        <v>18</v>
      </c>
      <c r="D1013" s="2" t="s">
        <v>19</v>
      </c>
      <c r="E1013" s="2" t="s">
        <v>20</v>
      </c>
      <c r="F1013" s="2" t="n">
        <v>198</v>
      </c>
      <c r="G1013" s="2" t="s">
        <v>26</v>
      </c>
      <c r="H1013" s="2" t="s">
        <v>20</v>
      </c>
      <c r="I1013" s="2" t="s">
        <v>23</v>
      </c>
      <c r="J1013" s="2" t="n">
        <v>8</v>
      </c>
      <c r="K1013" s="2" t="s">
        <v>27</v>
      </c>
      <c r="L1013" s="2" t="n">
        <v>314</v>
      </c>
      <c r="M1013" s="2" t="n">
        <v>1</v>
      </c>
      <c r="N1013" s="2" t="n">
        <v>-1</v>
      </c>
      <c r="O1013" s="2" t="n">
        <v>0</v>
      </c>
      <c r="P1013" s="2" t="s">
        <v>23</v>
      </c>
      <c r="Q1013" s="2" t="s">
        <v>20</v>
      </c>
    </row>
    <row r="1014" customFormat="false" ht="15" hidden="false" customHeight="false" outlineLevel="0" collapsed="false">
      <c r="A1014" s="2" t="n">
        <v>48</v>
      </c>
      <c r="B1014" s="2" t="s">
        <v>34</v>
      </c>
      <c r="C1014" s="2" t="s">
        <v>18</v>
      </c>
      <c r="D1014" s="2" t="s">
        <v>25</v>
      </c>
      <c r="E1014" s="2" t="s">
        <v>20</v>
      </c>
      <c r="F1014" s="2" t="n">
        <v>841</v>
      </c>
      <c r="G1014" s="2" t="s">
        <v>26</v>
      </c>
      <c r="H1014" s="2" t="s">
        <v>20</v>
      </c>
      <c r="I1014" s="2" t="s">
        <v>23</v>
      </c>
      <c r="J1014" s="2" t="n">
        <v>19</v>
      </c>
      <c r="K1014" s="2" t="s">
        <v>27</v>
      </c>
      <c r="L1014" s="2" t="n">
        <v>215</v>
      </c>
      <c r="M1014" s="2" t="n">
        <v>1</v>
      </c>
      <c r="N1014" s="2" t="n">
        <v>-1</v>
      </c>
      <c r="O1014" s="2" t="n">
        <v>0</v>
      </c>
      <c r="P1014" s="2" t="s">
        <v>23</v>
      </c>
      <c r="Q1014" s="2" t="s">
        <v>20</v>
      </c>
    </row>
    <row r="1015" customFormat="false" ht="15" hidden="false" customHeight="false" outlineLevel="0" collapsed="false">
      <c r="A1015" s="2" t="n">
        <v>34</v>
      </c>
      <c r="B1015" s="2" t="s">
        <v>29</v>
      </c>
      <c r="C1015" s="2" t="s">
        <v>18</v>
      </c>
      <c r="D1015" s="2" t="s">
        <v>31</v>
      </c>
      <c r="E1015" s="2" t="s">
        <v>20</v>
      </c>
      <c r="F1015" s="2" t="n">
        <v>8</v>
      </c>
      <c r="G1015" s="2" t="s">
        <v>20</v>
      </c>
      <c r="H1015" s="2" t="s">
        <v>20</v>
      </c>
      <c r="I1015" s="2" t="s">
        <v>21</v>
      </c>
      <c r="J1015" s="2" t="n">
        <v>25</v>
      </c>
      <c r="K1015" s="2" t="s">
        <v>41</v>
      </c>
      <c r="L1015" s="2" t="n">
        <v>169</v>
      </c>
      <c r="M1015" s="2" t="n">
        <v>4</v>
      </c>
      <c r="N1015" s="2" t="n">
        <v>-1</v>
      </c>
      <c r="O1015" s="2" t="n">
        <v>0</v>
      </c>
      <c r="P1015" s="2" t="s">
        <v>23</v>
      </c>
      <c r="Q1015" s="2" t="s">
        <v>20</v>
      </c>
    </row>
    <row r="1016" customFormat="false" ht="15" hidden="false" customHeight="false" outlineLevel="0" collapsed="false">
      <c r="A1016" s="2" t="n">
        <v>36</v>
      </c>
      <c r="B1016" s="2" t="s">
        <v>40</v>
      </c>
      <c r="C1016" s="2" t="s">
        <v>18</v>
      </c>
      <c r="D1016" s="2" t="s">
        <v>25</v>
      </c>
      <c r="E1016" s="2" t="s">
        <v>20</v>
      </c>
      <c r="F1016" s="2" t="n">
        <v>470</v>
      </c>
      <c r="G1016" s="2" t="s">
        <v>26</v>
      </c>
      <c r="H1016" s="2" t="s">
        <v>20</v>
      </c>
      <c r="I1016" s="2" t="s">
        <v>21</v>
      </c>
      <c r="J1016" s="2" t="n">
        <v>31</v>
      </c>
      <c r="K1016" s="2" t="s">
        <v>44</v>
      </c>
      <c r="L1016" s="2" t="n">
        <v>101</v>
      </c>
      <c r="M1016" s="2" t="n">
        <v>4</v>
      </c>
      <c r="N1016" s="2" t="n">
        <v>-1</v>
      </c>
      <c r="O1016" s="2" t="n">
        <v>0</v>
      </c>
      <c r="P1016" s="2" t="s">
        <v>23</v>
      </c>
      <c r="Q1016" s="2" t="s">
        <v>20</v>
      </c>
    </row>
    <row r="1017" customFormat="false" ht="15" hidden="false" customHeight="false" outlineLevel="0" collapsed="false">
      <c r="A1017" s="2" t="n">
        <v>43</v>
      </c>
      <c r="B1017" s="2" t="s">
        <v>48</v>
      </c>
      <c r="C1017" s="2" t="s">
        <v>18</v>
      </c>
      <c r="D1017" s="2" t="s">
        <v>25</v>
      </c>
      <c r="E1017" s="2" t="s">
        <v>20</v>
      </c>
      <c r="F1017" s="2" t="n">
        <v>520</v>
      </c>
      <c r="G1017" s="2" t="s">
        <v>26</v>
      </c>
      <c r="H1017" s="2" t="s">
        <v>20</v>
      </c>
      <c r="I1017" s="2" t="s">
        <v>23</v>
      </c>
      <c r="J1017" s="2" t="n">
        <v>20</v>
      </c>
      <c r="K1017" s="2" t="s">
        <v>27</v>
      </c>
      <c r="L1017" s="2" t="n">
        <v>15</v>
      </c>
      <c r="M1017" s="2" t="n">
        <v>13</v>
      </c>
      <c r="N1017" s="2" t="n">
        <v>-1</v>
      </c>
      <c r="O1017" s="2" t="n">
        <v>0</v>
      </c>
      <c r="P1017" s="2" t="s">
        <v>23</v>
      </c>
      <c r="Q1017" s="2" t="s">
        <v>20</v>
      </c>
    </row>
    <row r="1018" customFormat="false" ht="15" hidden="false" customHeight="false" outlineLevel="0" collapsed="false">
      <c r="A1018" s="2" t="n">
        <v>36</v>
      </c>
      <c r="B1018" s="2" t="s">
        <v>34</v>
      </c>
      <c r="C1018" s="2" t="s">
        <v>18</v>
      </c>
      <c r="D1018" s="2" t="s">
        <v>25</v>
      </c>
      <c r="E1018" s="2" t="s">
        <v>20</v>
      </c>
      <c r="F1018" s="2" t="n">
        <v>439</v>
      </c>
      <c r="G1018" s="2" t="s">
        <v>26</v>
      </c>
      <c r="H1018" s="2" t="s">
        <v>20</v>
      </c>
      <c r="I1018" s="2" t="s">
        <v>23</v>
      </c>
      <c r="J1018" s="2" t="n">
        <v>21</v>
      </c>
      <c r="K1018" s="2" t="s">
        <v>27</v>
      </c>
      <c r="L1018" s="2" t="n">
        <v>260</v>
      </c>
      <c r="M1018" s="2" t="n">
        <v>5</v>
      </c>
      <c r="N1018" s="2" t="n">
        <v>-1</v>
      </c>
      <c r="O1018" s="2" t="n">
        <v>0</v>
      </c>
      <c r="P1018" s="2" t="s">
        <v>23</v>
      </c>
      <c r="Q1018" s="2" t="s">
        <v>20</v>
      </c>
    </row>
    <row r="1019" customFormat="false" ht="15" hidden="false" customHeight="false" outlineLevel="0" collapsed="false">
      <c r="A1019" s="2" t="n">
        <v>49</v>
      </c>
      <c r="B1019" s="2" t="s">
        <v>34</v>
      </c>
      <c r="C1019" s="2" t="s">
        <v>18</v>
      </c>
      <c r="D1019" s="2" t="s">
        <v>25</v>
      </c>
      <c r="E1019" s="2" t="s">
        <v>20</v>
      </c>
      <c r="F1019" s="2" t="n">
        <v>-454</v>
      </c>
      <c r="G1019" s="2" t="s">
        <v>26</v>
      </c>
      <c r="H1019" s="2" t="s">
        <v>20</v>
      </c>
      <c r="I1019" s="2" t="s">
        <v>21</v>
      </c>
      <c r="J1019" s="2" t="n">
        <v>14</v>
      </c>
      <c r="K1019" s="2" t="s">
        <v>27</v>
      </c>
      <c r="L1019" s="2" t="n">
        <v>558</v>
      </c>
      <c r="M1019" s="2" t="n">
        <v>1</v>
      </c>
      <c r="N1019" s="2" t="n">
        <v>-1</v>
      </c>
      <c r="O1019" s="2" t="n">
        <v>0</v>
      </c>
      <c r="P1019" s="2" t="s">
        <v>23</v>
      </c>
      <c r="Q1019" s="2" t="s">
        <v>26</v>
      </c>
    </row>
    <row r="1020" customFormat="false" ht="15" hidden="false" customHeight="false" outlineLevel="0" collapsed="false">
      <c r="A1020" s="2" t="n">
        <v>55</v>
      </c>
      <c r="B1020" s="2" t="s">
        <v>48</v>
      </c>
      <c r="C1020" s="2" t="s">
        <v>18</v>
      </c>
      <c r="D1020" s="2" t="s">
        <v>25</v>
      </c>
      <c r="E1020" s="2" t="s">
        <v>20</v>
      </c>
      <c r="F1020" s="2" t="n">
        <v>466</v>
      </c>
      <c r="G1020" s="2" t="s">
        <v>20</v>
      </c>
      <c r="H1020" s="2" t="s">
        <v>20</v>
      </c>
      <c r="I1020" s="2" t="s">
        <v>23</v>
      </c>
      <c r="J1020" s="2" t="n">
        <v>17</v>
      </c>
      <c r="K1020" s="2" t="s">
        <v>33</v>
      </c>
      <c r="L1020" s="2" t="n">
        <v>287</v>
      </c>
      <c r="M1020" s="2" t="n">
        <v>4</v>
      </c>
      <c r="N1020" s="2" t="n">
        <v>-1</v>
      </c>
      <c r="O1020" s="2" t="n">
        <v>0</v>
      </c>
      <c r="P1020" s="2" t="s">
        <v>23</v>
      </c>
      <c r="Q1020" s="2" t="s">
        <v>20</v>
      </c>
    </row>
    <row r="1021" customFormat="false" ht="15" hidden="false" customHeight="false" outlineLevel="0" collapsed="false">
      <c r="A1021" s="2" t="n">
        <v>53</v>
      </c>
      <c r="B1021" s="2" t="s">
        <v>48</v>
      </c>
      <c r="C1021" s="2" t="s">
        <v>18</v>
      </c>
      <c r="D1021" s="2" t="s">
        <v>25</v>
      </c>
      <c r="E1021" s="2" t="s">
        <v>20</v>
      </c>
      <c r="F1021" s="2" t="n">
        <v>665</v>
      </c>
      <c r="G1021" s="2" t="s">
        <v>26</v>
      </c>
      <c r="H1021" s="2" t="s">
        <v>20</v>
      </c>
      <c r="I1021" s="2" t="s">
        <v>21</v>
      </c>
      <c r="J1021" s="2" t="n">
        <v>22</v>
      </c>
      <c r="K1021" s="2" t="s">
        <v>32</v>
      </c>
      <c r="L1021" s="2" t="n">
        <v>371</v>
      </c>
      <c r="M1021" s="2" t="n">
        <v>2</v>
      </c>
      <c r="N1021" s="2" t="n">
        <v>-1</v>
      </c>
      <c r="O1021" s="2" t="n">
        <v>0</v>
      </c>
      <c r="P1021" s="2" t="s">
        <v>23</v>
      </c>
      <c r="Q1021" s="2" t="s">
        <v>26</v>
      </c>
    </row>
    <row r="1022" customFormat="false" ht="15" hidden="false" customHeight="false" outlineLevel="0" collapsed="false">
      <c r="A1022" s="2" t="n">
        <v>42</v>
      </c>
      <c r="B1022" s="2" t="s">
        <v>38</v>
      </c>
      <c r="C1022" s="2" t="s">
        <v>18</v>
      </c>
      <c r="D1022" s="2" t="s">
        <v>25</v>
      </c>
      <c r="E1022" s="2" t="s">
        <v>20</v>
      </c>
      <c r="F1022" s="2" t="n">
        <v>994</v>
      </c>
      <c r="G1022" s="2" t="s">
        <v>26</v>
      </c>
      <c r="H1022" s="2" t="s">
        <v>20</v>
      </c>
      <c r="I1022" s="2" t="s">
        <v>21</v>
      </c>
      <c r="J1022" s="2" t="n">
        <v>11</v>
      </c>
      <c r="K1022" s="2" t="s">
        <v>41</v>
      </c>
      <c r="L1022" s="2" t="n">
        <v>149</v>
      </c>
      <c r="M1022" s="2" t="n">
        <v>1</v>
      </c>
      <c r="N1022" s="2" t="n">
        <v>78</v>
      </c>
      <c r="O1022" s="2" t="n">
        <v>5</v>
      </c>
      <c r="P1022" s="2" t="s">
        <v>28</v>
      </c>
      <c r="Q1022" s="2" t="s">
        <v>26</v>
      </c>
    </row>
    <row r="1023" customFormat="false" ht="15" hidden="false" customHeight="false" outlineLevel="0" collapsed="false">
      <c r="A1023" s="2" t="n">
        <v>45</v>
      </c>
      <c r="B1023" s="2" t="s">
        <v>40</v>
      </c>
      <c r="C1023" s="2" t="s">
        <v>18</v>
      </c>
      <c r="D1023" s="2" t="s">
        <v>25</v>
      </c>
      <c r="E1023" s="2" t="s">
        <v>20</v>
      </c>
      <c r="F1023" s="2" t="n">
        <v>5346</v>
      </c>
      <c r="G1023" s="2" t="s">
        <v>26</v>
      </c>
      <c r="H1023" s="2" t="s">
        <v>26</v>
      </c>
      <c r="I1023" s="2" t="s">
        <v>23</v>
      </c>
      <c r="J1023" s="2" t="n">
        <v>21</v>
      </c>
      <c r="K1023" s="2" t="s">
        <v>22</v>
      </c>
      <c r="L1023" s="2" t="n">
        <v>187</v>
      </c>
      <c r="M1023" s="2" t="n">
        <v>1</v>
      </c>
      <c r="N1023" s="2" t="n">
        <v>-1</v>
      </c>
      <c r="O1023" s="2" t="n">
        <v>0</v>
      </c>
      <c r="P1023" s="2" t="s">
        <v>23</v>
      </c>
      <c r="Q1023" s="2" t="s">
        <v>26</v>
      </c>
    </row>
    <row r="1024" customFormat="false" ht="15" hidden="false" customHeight="false" outlineLevel="0" collapsed="false">
      <c r="A1024" s="2" t="n">
        <v>31</v>
      </c>
      <c r="B1024" s="2" t="s">
        <v>34</v>
      </c>
      <c r="C1024" s="2" t="s">
        <v>18</v>
      </c>
      <c r="D1024" s="2" t="s">
        <v>25</v>
      </c>
      <c r="E1024" s="2" t="s">
        <v>20</v>
      </c>
      <c r="F1024" s="2" t="n">
        <v>1243</v>
      </c>
      <c r="G1024" s="2" t="s">
        <v>26</v>
      </c>
      <c r="H1024" s="2" t="s">
        <v>20</v>
      </c>
      <c r="I1024" s="2" t="s">
        <v>23</v>
      </c>
      <c r="J1024" s="2" t="n">
        <v>21</v>
      </c>
      <c r="K1024" s="2" t="s">
        <v>27</v>
      </c>
      <c r="L1024" s="2" t="n">
        <v>32</v>
      </c>
      <c r="M1024" s="2" t="n">
        <v>1</v>
      </c>
      <c r="N1024" s="2" t="n">
        <v>-1</v>
      </c>
      <c r="O1024" s="2" t="n">
        <v>0</v>
      </c>
      <c r="P1024" s="2" t="s">
        <v>23</v>
      </c>
      <c r="Q1024" s="2" t="s">
        <v>20</v>
      </c>
    </row>
    <row r="1025" customFormat="false" ht="15" hidden="false" customHeight="false" outlineLevel="0" collapsed="false">
      <c r="A1025" s="2" t="n">
        <v>32</v>
      </c>
      <c r="B1025" s="2" t="s">
        <v>40</v>
      </c>
      <c r="C1025" s="2" t="s">
        <v>18</v>
      </c>
      <c r="D1025" s="2" t="s">
        <v>31</v>
      </c>
      <c r="E1025" s="2" t="s">
        <v>20</v>
      </c>
      <c r="F1025" s="2" t="n">
        <v>0</v>
      </c>
      <c r="G1025" s="2" t="s">
        <v>26</v>
      </c>
      <c r="H1025" s="2" t="s">
        <v>20</v>
      </c>
      <c r="I1025" s="2" t="s">
        <v>23</v>
      </c>
      <c r="J1025" s="2" t="n">
        <v>5</v>
      </c>
      <c r="K1025" s="2" t="s">
        <v>27</v>
      </c>
      <c r="L1025" s="2" t="n">
        <v>138</v>
      </c>
      <c r="M1025" s="2" t="n">
        <v>1</v>
      </c>
      <c r="N1025" s="2" t="n">
        <v>-1</v>
      </c>
      <c r="O1025" s="2" t="n">
        <v>0</v>
      </c>
      <c r="P1025" s="2" t="s">
        <v>23</v>
      </c>
      <c r="Q1025" s="2" t="s">
        <v>20</v>
      </c>
    </row>
    <row r="1026" customFormat="false" ht="15" hidden="false" customHeight="false" outlineLevel="0" collapsed="false">
      <c r="A1026" s="2" t="n">
        <v>36</v>
      </c>
      <c r="B1026" s="2" t="s">
        <v>34</v>
      </c>
      <c r="C1026" s="2" t="s">
        <v>18</v>
      </c>
      <c r="D1026" s="2" t="s">
        <v>25</v>
      </c>
      <c r="E1026" s="2" t="s">
        <v>20</v>
      </c>
      <c r="F1026" s="2" t="n">
        <v>2357</v>
      </c>
      <c r="G1026" s="2" t="s">
        <v>26</v>
      </c>
      <c r="H1026" s="2" t="s">
        <v>20</v>
      </c>
      <c r="I1026" s="2" t="s">
        <v>23</v>
      </c>
      <c r="J1026" s="2" t="n">
        <v>17</v>
      </c>
      <c r="K1026" s="2" t="s">
        <v>33</v>
      </c>
      <c r="L1026" s="2" t="n">
        <v>228</v>
      </c>
      <c r="M1026" s="2" t="n">
        <v>2</v>
      </c>
      <c r="N1026" s="2" t="n">
        <v>-1</v>
      </c>
      <c r="O1026" s="2" t="n">
        <v>0</v>
      </c>
      <c r="P1026" s="2" t="s">
        <v>23</v>
      </c>
      <c r="Q1026" s="2" t="s">
        <v>20</v>
      </c>
    </row>
    <row r="1027" customFormat="false" ht="15" hidden="false" customHeight="false" outlineLevel="0" collapsed="false">
      <c r="A1027" s="2" t="n">
        <v>56</v>
      </c>
      <c r="B1027" s="2" t="s">
        <v>48</v>
      </c>
      <c r="C1027" s="2" t="s">
        <v>18</v>
      </c>
      <c r="D1027" s="2" t="s">
        <v>25</v>
      </c>
      <c r="E1027" s="2" t="s">
        <v>20</v>
      </c>
      <c r="F1027" s="2" t="n">
        <v>1044</v>
      </c>
      <c r="G1027" s="2" t="s">
        <v>20</v>
      </c>
      <c r="H1027" s="2" t="s">
        <v>20</v>
      </c>
      <c r="I1027" s="2" t="s">
        <v>49</v>
      </c>
      <c r="J1027" s="2" t="n">
        <v>3</v>
      </c>
      <c r="K1027" s="2" t="s">
        <v>44</v>
      </c>
      <c r="L1027" s="2" t="n">
        <v>353</v>
      </c>
      <c r="M1027" s="2" t="n">
        <v>2</v>
      </c>
      <c r="N1027" s="2" t="n">
        <v>-1</v>
      </c>
      <c r="O1027" s="2" t="n">
        <v>0</v>
      </c>
      <c r="P1027" s="2" t="s">
        <v>23</v>
      </c>
      <c r="Q1027" s="2" t="s">
        <v>26</v>
      </c>
    </row>
    <row r="1028" customFormat="false" ht="15" hidden="false" customHeight="false" outlineLevel="0" collapsed="false">
      <c r="A1028" s="2" t="n">
        <v>46</v>
      </c>
      <c r="B1028" s="2" t="s">
        <v>40</v>
      </c>
      <c r="C1028" s="2" t="s">
        <v>18</v>
      </c>
      <c r="D1028" s="2" t="s">
        <v>25</v>
      </c>
      <c r="E1028" s="2" t="s">
        <v>20</v>
      </c>
      <c r="F1028" s="2" t="n">
        <v>1069</v>
      </c>
      <c r="G1028" s="2" t="s">
        <v>26</v>
      </c>
      <c r="H1028" s="2" t="s">
        <v>20</v>
      </c>
      <c r="I1028" s="2" t="s">
        <v>23</v>
      </c>
      <c r="J1028" s="2" t="n">
        <v>8</v>
      </c>
      <c r="K1028" s="2" t="s">
        <v>27</v>
      </c>
      <c r="L1028" s="2" t="n">
        <v>45</v>
      </c>
      <c r="M1028" s="2" t="n">
        <v>2</v>
      </c>
      <c r="N1028" s="2" t="n">
        <v>-1</v>
      </c>
      <c r="O1028" s="2" t="n">
        <v>0</v>
      </c>
      <c r="P1028" s="2" t="s">
        <v>23</v>
      </c>
      <c r="Q1028" s="2" t="s">
        <v>20</v>
      </c>
    </row>
    <row r="1029" customFormat="false" ht="15" hidden="false" customHeight="false" outlineLevel="0" collapsed="false">
      <c r="A1029" s="2" t="n">
        <v>41</v>
      </c>
      <c r="B1029" s="2" t="s">
        <v>47</v>
      </c>
      <c r="C1029" s="2" t="s">
        <v>30</v>
      </c>
      <c r="D1029" s="2" t="s">
        <v>25</v>
      </c>
      <c r="E1029" s="2" t="s">
        <v>20</v>
      </c>
      <c r="F1029" s="2" t="n">
        <v>231</v>
      </c>
      <c r="G1029" s="2" t="s">
        <v>20</v>
      </c>
      <c r="H1029" s="2" t="s">
        <v>20</v>
      </c>
      <c r="I1029" s="2" t="s">
        <v>21</v>
      </c>
      <c r="J1029" s="2" t="n">
        <v>9</v>
      </c>
      <c r="K1029" s="2" t="s">
        <v>44</v>
      </c>
      <c r="L1029" s="2" t="n">
        <v>76</v>
      </c>
      <c r="M1029" s="2" t="n">
        <v>2</v>
      </c>
      <c r="N1029" s="2" t="n">
        <v>-1</v>
      </c>
      <c r="O1029" s="2" t="n">
        <v>0</v>
      </c>
      <c r="P1029" s="2" t="s">
        <v>23</v>
      </c>
      <c r="Q1029" s="2" t="s">
        <v>20</v>
      </c>
    </row>
    <row r="1030" customFormat="false" ht="15" hidden="false" customHeight="false" outlineLevel="0" collapsed="false">
      <c r="A1030" s="2" t="n">
        <v>31</v>
      </c>
      <c r="B1030" s="2" t="s">
        <v>40</v>
      </c>
      <c r="C1030" s="2" t="s">
        <v>18</v>
      </c>
      <c r="D1030" s="2" t="s">
        <v>25</v>
      </c>
      <c r="E1030" s="2" t="s">
        <v>20</v>
      </c>
      <c r="F1030" s="2" t="n">
        <v>0</v>
      </c>
      <c r="G1030" s="2" t="s">
        <v>26</v>
      </c>
      <c r="H1030" s="2" t="s">
        <v>26</v>
      </c>
      <c r="I1030" s="2" t="s">
        <v>23</v>
      </c>
      <c r="J1030" s="2" t="n">
        <v>6</v>
      </c>
      <c r="K1030" s="2" t="s">
        <v>27</v>
      </c>
      <c r="L1030" s="2" t="n">
        <v>144</v>
      </c>
      <c r="M1030" s="2" t="n">
        <v>2</v>
      </c>
      <c r="N1030" s="2" t="n">
        <v>-1</v>
      </c>
      <c r="O1030" s="2" t="n">
        <v>0</v>
      </c>
      <c r="P1030" s="2" t="s">
        <v>23</v>
      </c>
      <c r="Q1030" s="2" t="s">
        <v>20</v>
      </c>
    </row>
    <row r="1031" customFormat="false" ht="15" hidden="false" customHeight="false" outlineLevel="0" collapsed="false">
      <c r="A1031" s="2" t="n">
        <v>32</v>
      </c>
      <c r="B1031" s="2" t="s">
        <v>38</v>
      </c>
      <c r="C1031" s="2" t="s">
        <v>18</v>
      </c>
      <c r="D1031" s="2" t="s">
        <v>25</v>
      </c>
      <c r="E1031" s="2" t="s">
        <v>20</v>
      </c>
      <c r="F1031" s="2" t="n">
        <v>266</v>
      </c>
      <c r="G1031" s="2" t="s">
        <v>26</v>
      </c>
      <c r="H1031" s="2" t="s">
        <v>20</v>
      </c>
      <c r="I1031" s="2" t="s">
        <v>21</v>
      </c>
      <c r="J1031" s="2" t="n">
        <v>19</v>
      </c>
      <c r="K1031" s="2" t="s">
        <v>41</v>
      </c>
      <c r="L1031" s="2" t="n">
        <v>168</v>
      </c>
      <c r="M1031" s="2" t="n">
        <v>2</v>
      </c>
      <c r="N1031" s="2" t="n">
        <v>-1</v>
      </c>
      <c r="O1031" s="2" t="n">
        <v>0</v>
      </c>
      <c r="P1031" s="2" t="s">
        <v>23</v>
      </c>
      <c r="Q1031" s="2" t="s">
        <v>20</v>
      </c>
    </row>
    <row r="1032" customFormat="false" ht="15" hidden="false" customHeight="false" outlineLevel="0" collapsed="false">
      <c r="A1032" s="2" t="n">
        <v>38</v>
      </c>
      <c r="B1032" s="2" t="s">
        <v>29</v>
      </c>
      <c r="C1032" s="2" t="s">
        <v>18</v>
      </c>
      <c r="D1032" s="2" t="s">
        <v>31</v>
      </c>
      <c r="E1032" s="2" t="s">
        <v>20</v>
      </c>
      <c r="F1032" s="2" t="n">
        <v>-70</v>
      </c>
      <c r="G1032" s="2" t="s">
        <v>26</v>
      </c>
      <c r="H1032" s="2" t="s">
        <v>20</v>
      </c>
      <c r="I1032" s="2" t="s">
        <v>21</v>
      </c>
      <c r="J1032" s="2" t="n">
        <v>30</v>
      </c>
      <c r="K1032" s="2" t="s">
        <v>43</v>
      </c>
      <c r="L1032" s="2" t="n">
        <v>140</v>
      </c>
      <c r="M1032" s="2" t="n">
        <v>1</v>
      </c>
      <c r="N1032" s="2" t="n">
        <v>2</v>
      </c>
      <c r="O1032" s="2" t="n">
        <v>3</v>
      </c>
      <c r="P1032" s="2" t="s">
        <v>37</v>
      </c>
      <c r="Q1032" s="2" t="s">
        <v>20</v>
      </c>
    </row>
    <row r="1033" customFormat="false" ht="15" hidden="false" customHeight="false" outlineLevel="0" collapsed="false">
      <c r="A1033" s="2" t="n">
        <v>49</v>
      </c>
      <c r="B1033" s="2" t="s">
        <v>48</v>
      </c>
      <c r="C1033" s="2" t="s">
        <v>30</v>
      </c>
      <c r="D1033" s="2" t="s">
        <v>19</v>
      </c>
      <c r="E1033" s="2" t="s">
        <v>20</v>
      </c>
      <c r="F1033" s="2" t="n">
        <v>25824</v>
      </c>
      <c r="G1033" s="2" t="s">
        <v>20</v>
      </c>
      <c r="H1033" s="2" t="s">
        <v>20</v>
      </c>
      <c r="I1033" s="2" t="s">
        <v>23</v>
      </c>
      <c r="J1033" s="2" t="n">
        <v>17</v>
      </c>
      <c r="K1033" s="2" t="s">
        <v>33</v>
      </c>
      <c r="L1033" s="2" t="n">
        <v>94</v>
      </c>
      <c r="M1033" s="2" t="n">
        <v>1</v>
      </c>
      <c r="N1033" s="2" t="n">
        <v>-1</v>
      </c>
      <c r="O1033" s="2" t="n">
        <v>0</v>
      </c>
      <c r="P1033" s="2" t="s">
        <v>23</v>
      </c>
      <c r="Q1033" s="2" t="s">
        <v>20</v>
      </c>
    </row>
    <row r="1034" customFormat="false" ht="15" hidden="false" customHeight="false" outlineLevel="0" collapsed="false">
      <c r="A1034" s="2" t="n">
        <v>46</v>
      </c>
      <c r="B1034" s="2" t="s">
        <v>29</v>
      </c>
      <c r="C1034" s="2" t="s">
        <v>30</v>
      </c>
      <c r="D1034" s="2" t="s">
        <v>19</v>
      </c>
      <c r="E1034" s="2" t="s">
        <v>20</v>
      </c>
      <c r="F1034" s="2" t="n">
        <v>538</v>
      </c>
      <c r="G1034" s="2" t="s">
        <v>20</v>
      </c>
      <c r="H1034" s="2" t="s">
        <v>20</v>
      </c>
      <c r="I1034" s="2" t="s">
        <v>23</v>
      </c>
      <c r="J1034" s="2" t="n">
        <v>17</v>
      </c>
      <c r="K1034" s="2" t="s">
        <v>33</v>
      </c>
      <c r="L1034" s="2" t="n">
        <v>118</v>
      </c>
      <c r="M1034" s="2" t="n">
        <v>3</v>
      </c>
      <c r="N1034" s="2" t="n">
        <v>-1</v>
      </c>
      <c r="O1034" s="2" t="n">
        <v>0</v>
      </c>
      <c r="P1034" s="2" t="s">
        <v>23</v>
      </c>
      <c r="Q1034" s="2" t="s">
        <v>20</v>
      </c>
    </row>
    <row r="1035" customFormat="false" ht="15" hidden="false" customHeight="false" outlineLevel="0" collapsed="false">
      <c r="A1035" s="2" t="n">
        <v>29</v>
      </c>
      <c r="B1035" s="2" t="s">
        <v>38</v>
      </c>
      <c r="C1035" s="2" t="s">
        <v>30</v>
      </c>
      <c r="D1035" s="2" t="s">
        <v>25</v>
      </c>
      <c r="E1035" s="2" t="s">
        <v>20</v>
      </c>
      <c r="F1035" s="2" t="n">
        <v>534</v>
      </c>
      <c r="G1035" s="2" t="s">
        <v>26</v>
      </c>
      <c r="H1035" s="2" t="s">
        <v>20</v>
      </c>
      <c r="I1035" s="2" t="s">
        <v>21</v>
      </c>
      <c r="J1035" s="2" t="n">
        <v>18</v>
      </c>
      <c r="K1035" s="2" t="s">
        <v>27</v>
      </c>
      <c r="L1035" s="2" t="n">
        <v>382</v>
      </c>
      <c r="M1035" s="2" t="n">
        <v>1</v>
      </c>
      <c r="N1035" s="2" t="n">
        <v>-1</v>
      </c>
      <c r="O1035" s="2" t="n">
        <v>0</v>
      </c>
      <c r="P1035" s="2" t="s">
        <v>23</v>
      </c>
      <c r="Q1035" s="2" t="s">
        <v>20</v>
      </c>
    </row>
    <row r="1036" customFormat="false" ht="15" hidden="false" customHeight="false" outlineLevel="0" collapsed="false">
      <c r="A1036" s="2" t="n">
        <v>36</v>
      </c>
      <c r="B1036" s="2" t="s">
        <v>40</v>
      </c>
      <c r="C1036" s="2" t="s">
        <v>18</v>
      </c>
      <c r="D1036" s="2" t="s">
        <v>23</v>
      </c>
      <c r="E1036" s="2" t="s">
        <v>20</v>
      </c>
      <c r="F1036" s="2" t="n">
        <v>2323</v>
      </c>
      <c r="G1036" s="2" t="s">
        <v>20</v>
      </c>
      <c r="H1036" s="2" t="s">
        <v>20</v>
      </c>
      <c r="I1036" s="2" t="s">
        <v>21</v>
      </c>
      <c r="J1036" s="2" t="n">
        <v>19</v>
      </c>
      <c r="K1036" s="2" t="s">
        <v>46</v>
      </c>
      <c r="L1036" s="2" t="n">
        <v>111</v>
      </c>
      <c r="M1036" s="2" t="n">
        <v>1</v>
      </c>
      <c r="N1036" s="2" t="n">
        <v>-1</v>
      </c>
      <c r="O1036" s="2" t="n">
        <v>0</v>
      </c>
      <c r="P1036" s="2" t="s">
        <v>23</v>
      </c>
      <c r="Q1036" s="2" t="s">
        <v>20</v>
      </c>
    </row>
    <row r="1037" customFormat="false" ht="15" hidden="false" customHeight="false" outlineLevel="0" collapsed="false">
      <c r="A1037" s="2" t="n">
        <v>38</v>
      </c>
      <c r="B1037" s="2" t="s">
        <v>40</v>
      </c>
      <c r="C1037" s="2" t="s">
        <v>18</v>
      </c>
      <c r="D1037" s="2" t="s">
        <v>25</v>
      </c>
      <c r="E1037" s="2" t="s">
        <v>20</v>
      </c>
      <c r="F1037" s="2" t="n">
        <v>1852</v>
      </c>
      <c r="G1037" s="2" t="s">
        <v>26</v>
      </c>
      <c r="H1037" s="2" t="s">
        <v>20</v>
      </c>
      <c r="I1037" s="2" t="s">
        <v>21</v>
      </c>
      <c r="J1037" s="2" t="n">
        <v>15</v>
      </c>
      <c r="K1037" s="2" t="s">
        <v>27</v>
      </c>
      <c r="L1037" s="2" t="n">
        <v>298</v>
      </c>
      <c r="M1037" s="2" t="n">
        <v>2</v>
      </c>
      <c r="N1037" s="2" t="n">
        <v>-1</v>
      </c>
      <c r="O1037" s="2" t="n">
        <v>0</v>
      </c>
      <c r="P1037" s="2" t="s">
        <v>23</v>
      </c>
      <c r="Q1037" s="2" t="s">
        <v>20</v>
      </c>
    </row>
    <row r="1038" customFormat="false" ht="15" hidden="false" customHeight="false" outlineLevel="0" collapsed="false">
      <c r="A1038" s="2" t="n">
        <v>53</v>
      </c>
      <c r="B1038" s="2" t="s">
        <v>38</v>
      </c>
      <c r="C1038" s="2" t="s">
        <v>18</v>
      </c>
      <c r="D1038" s="2" t="s">
        <v>25</v>
      </c>
      <c r="E1038" s="2" t="s">
        <v>20</v>
      </c>
      <c r="F1038" s="2" t="n">
        <v>2647</v>
      </c>
      <c r="G1038" s="2" t="s">
        <v>26</v>
      </c>
      <c r="H1038" s="2" t="s">
        <v>20</v>
      </c>
      <c r="I1038" s="2" t="s">
        <v>23</v>
      </c>
      <c r="J1038" s="2" t="n">
        <v>30</v>
      </c>
      <c r="K1038" s="2" t="s">
        <v>27</v>
      </c>
      <c r="L1038" s="2" t="n">
        <v>121</v>
      </c>
      <c r="M1038" s="2" t="n">
        <v>1</v>
      </c>
      <c r="N1038" s="2" t="n">
        <v>-1</v>
      </c>
      <c r="O1038" s="2" t="n">
        <v>0</v>
      </c>
      <c r="P1038" s="2" t="s">
        <v>23</v>
      </c>
      <c r="Q1038" s="2" t="s">
        <v>20</v>
      </c>
    </row>
    <row r="1039" customFormat="false" ht="15" hidden="false" customHeight="false" outlineLevel="0" collapsed="false">
      <c r="A1039" s="2" t="n">
        <v>43</v>
      </c>
      <c r="B1039" s="2" t="s">
        <v>29</v>
      </c>
      <c r="C1039" s="2" t="s">
        <v>18</v>
      </c>
      <c r="D1039" s="2" t="s">
        <v>31</v>
      </c>
      <c r="E1039" s="2" t="s">
        <v>20</v>
      </c>
      <c r="F1039" s="2" t="n">
        <v>2767</v>
      </c>
      <c r="G1039" s="2" t="s">
        <v>26</v>
      </c>
      <c r="H1039" s="2" t="s">
        <v>20</v>
      </c>
      <c r="I1039" s="2" t="s">
        <v>23</v>
      </c>
      <c r="J1039" s="2" t="n">
        <v>15</v>
      </c>
      <c r="K1039" s="2" t="s">
        <v>27</v>
      </c>
      <c r="L1039" s="2" t="n">
        <v>317</v>
      </c>
      <c r="M1039" s="2" t="n">
        <v>7</v>
      </c>
      <c r="N1039" s="2" t="n">
        <v>-1</v>
      </c>
      <c r="O1039" s="2" t="n">
        <v>0</v>
      </c>
      <c r="P1039" s="2" t="s">
        <v>23</v>
      </c>
      <c r="Q1039" s="2" t="s">
        <v>20</v>
      </c>
    </row>
    <row r="1040" customFormat="false" ht="15" hidden="false" customHeight="false" outlineLevel="0" collapsed="false">
      <c r="A1040" s="2" t="n">
        <v>41</v>
      </c>
      <c r="B1040" s="2" t="s">
        <v>29</v>
      </c>
      <c r="C1040" s="2" t="s">
        <v>18</v>
      </c>
      <c r="D1040" s="2" t="s">
        <v>31</v>
      </c>
      <c r="E1040" s="2" t="s">
        <v>20</v>
      </c>
      <c r="F1040" s="2" t="n">
        <v>176</v>
      </c>
      <c r="G1040" s="2" t="s">
        <v>26</v>
      </c>
      <c r="H1040" s="2" t="s">
        <v>26</v>
      </c>
      <c r="I1040" s="2" t="s">
        <v>23</v>
      </c>
      <c r="J1040" s="2" t="n">
        <v>5</v>
      </c>
      <c r="K1040" s="2" t="s">
        <v>27</v>
      </c>
      <c r="L1040" s="2" t="n">
        <v>42</v>
      </c>
      <c r="M1040" s="2" t="n">
        <v>1</v>
      </c>
      <c r="N1040" s="2" t="n">
        <v>-1</v>
      </c>
      <c r="O1040" s="2" t="n">
        <v>0</v>
      </c>
      <c r="P1040" s="2" t="s">
        <v>23</v>
      </c>
      <c r="Q1040" s="2" t="s">
        <v>20</v>
      </c>
    </row>
    <row r="1041" customFormat="false" ht="15" hidden="false" customHeight="false" outlineLevel="0" collapsed="false">
      <c r="A1041" s="2" t="n">
        <v>42</v>
      </c>
      <c r="B1041" s="2" t="s">
        <v>29</v>
      </c>
      <c r="C1041" s="2" t="s">
        <v>30</v>
      </c>
      <c r="D1041" s="2" t="s">
        <v>25</v>
      </c>
      <c r="E1041" s="2" t="s">
        <v>20</v>
      </c>
      <c r="F1041" s="2" t="n">
        <v>9720</v>
      </c>
      <c r="G1041" s="2" t="s">
        <v>20</v>
      </c>
      <c r="H1041" s="2" t="s">
        <v>20</v>
      </c>
      <c r="I1041" s="2" t="s">
        <v>21</v>
      </c>
      <c r="J1041" s="2" t="n">
        <v>5</v>
      </c>
      <c r="K1041" s="2" t="s">
        <v>41</v>
      </c>
      <c r="L1041" s="2" t="n">
        <v>81</v>
      </c>
      <c r="M1041" s="2" t="n">
        <v>2</v>
      </c>
      <c r="N1041" s="2" t="n">
        <v>-1</v>
      </c>
      <c r="O1041" s="2" t="n">
        <v>0</v>
      </c>
      <c r="P1041" s="2" t="s">
        <v>23</v>
      </c>
      <c r="Q1041" s="2" t="s">
        <v>20</v>
      </c>
    </row>
    <row r="1042" customFormat="false" ht="15" hidden="false" customHeight="false" outlineLevel="0" collapsed="false">
      <c r="A1042" s="2" t="n">
        <v>55</v>
      </c>
      <c r="B1042" s="2" t="s">
        <v>34</v>
      </c>
      <c r="C1042" s="2" t="s">
        <v>45</v>
      </c>
      <c r="D1042" s="2" t="s">
        <v>25</v>
      </c>
      <c r="E1042" s="2" t="s">
        <v>20</v>
      </c>
      <c r="F1042" s="2" t="n">
        <v>1613</v>
      </c>
      <c r="G1042" s="2" t="s">
        <v>26</v>
      </c>
      <c r="H1042" s="2" t="s">
        <v>20</v>
      </c>
      <c r="I1042" s="2" t="s">
        <v>21</v>
      </c>
      <c r="J1042" s="2" t="n">
        <v>3</v>
      </c>
      <c r="K1042" s="2" t="s">
        <v>32</v>
      </c>
      <c r="L1042" s="2" t="n">
        <v>296</v>
      </c>
      <c r="M1042" s="2" t="n">
        <v>1</v>
      </c>
      <c r="N1042" s="2" t="n">
        <v>270</v>
      </c>
      <c r="O1042" s="2" t="n">
        <v>3</v>
      </c>
      <c r="P1042" s="2" t="s">
        <v>28</v>
      </c>
      <c r="Q1042" s="2" t="s">
        <v>26</v>
      </c>
    </row>
    <row r="1043" customFormat="false" ht="15" hidden="false" customHeight="false" outlineLevel="0" collapsed="false">
      <c r="A1043" s="2" t="n">
        <v>39</v>
      </c>
      <c r="B1043" s="2" t="s">
        <v>40</v>
      </c>
      <c r="C1043" s="2" t="s">
        <v>45</v>
      </c>
      <c r="D1043" s="2" t="s">
        <v>25</v>
      </c>
      <c r="E1043" s="2" t="s">
        <v>20</v>
      </c>
      <c r="F1043" s="2" t="n">
        <v>2903</v>
      </c>
      <c r="G1043" s="2" t="s">
        <v>26</v>
      </c>
      <c r="H1043" s="2" t="s">
        <v>26</v>
      </c>
      <c r="I1043" s="2" t="s">
        <v>49</v>
      </c>
      <c r="J1043" s="2" t="n">
        <v>25</v>
      </c>
      <c r="K1043" s="2" t="s">
        <v>44</v>
      </c>
      <c r="L1043" s="2" t="n">
        <v>259</v>
      </c>
      <c r="M1043" s="2" t="n">
        <v>2</v>
      </c>
      <c r="N1043" s="2" t="n">
        <v>-1</v>
      </c>
      <c r="O1043" s="2" t="n">
        <v>0</v>
      </c>
      <c r="P1043" s="2" t="s">
        <v>23</v>
      </c>
      <c r="Q1043" s="2" t="s">
        <v>20</v>
      </c>
    </row>
    <row r="1044" customFormat="false" ht="15" hidden="false" customHeight="false" outlineLevel="0" collapsed="false">
      <c r="A1044" s="2" t="n">
        <v>30</v>
      </c>
      <c r="B1044" s="2" t="s">
        <v>40</v>
      </c>
      <c r="C1044" s="2" t="s">
        <v>30</v>
      </c>
      <c r="D1044" s="2" t="s">
        <v>25</v>
      </c>
      <c r="E1044" s="2" t="s">
        <v>20</v>
      </c>
      <c r="F1044" s="2" t="n">
        <v>81</v>
      </c>
      <c r="G1044" s="2" t="s">
        <v>26</v>
      </c>
      <c r="H1044" s="2" t="s">
        <v>20</v>
      </c>
      <c r="I1044" s="2" t="s">
        <v>21</v>
      </c>
      <c r="J1044" s="2" t="n">
        <v>6</v>
      </c>
      <c r="K1044" s="2" t="s">
        <v>41</v>
      </c>
      <c r="L1044" s="2" t="n">
        <v>121</v>
      </c>
      <c r="M1044" s="2" t="n">
        <v>6</v>
      </c>
      <c r="N1044" s="2" t="n">
        <v>112</v>
      </c>
      <c r="O1044" s="2" t="n">
        <v>3</v>
      </c>
      <c r="P1044" s="2" t="s">
        <v>37</v>
      </c>
      <c r="Q1044" s="2" t="s">
        <v>20</v>
      </c>
    </row>
    <row r="1045" customFormat="false" ht="15" hidden="false" customHeight="false" outlineLevel="0" collapsed="false">
      <c r="A1045" s="2" t="n">
        <v>41</v>
      </c>
      <c r="B1045" s="2" t="s">
        <v>34</v>
      </c>
      <c r="C1045" s="2" t="s">
        <v>18</v>
      </c>
      <c r="D1045" s="2" t="s">
        <v>25</v>
      </c>
      <c r="E1045" s="2" t="s">
        <v>20</v>
      </c>
      <c r="F1045" s="2" t="n">
        <v>780</v>
      </c>
      <c r="G1045" s="2" t="s">
        <v>26</v>
      </c>
      <c r="H1045" s="2" t="s">
        <v>20</v>
      </c>
      <c r="I1045" s="2" t="s">
        <v>21</v>
      </c>
      <c r="J1045" s="2" t="n">
        <v>15</v>
      </c>
      <c r="K1045" s="2" t="s">
        <v>27</v>
      </c>
      <c r="L1045" s="2" t="n">
        <v>432</v>
      </c>
      <c r="M1045" s="2" t="n">
        <v>3</v>
      </c>
      <c r="N1045" s="2" t="n">
        <v>-1</v>
      </c>
      <c r="O1045" s="2" t="n">
        <v>0</v>
      </c>
      <c r="P1045" s="2" t="s">
        <v>23</v>
      </c>
      <c r="Q1045" s="2" t="s">
        <v>20</v>
      </c>
    </row>
    <row r="1046" customFormat="false" ht="15" hidden="false" customHeight="false" outlineLevel="0" collapsed="false">
      <c r="A1046" s="2" t="n">
        <v>44</v>
      </c>
      <c r="B1046" s="2" t="s">
        <v>17</v>
      </c>
      <c r="C1046" s="2" t="s">
        <v>18</v>
      </c>
      <c r="D1046" s="2" t="s">
        <v>31</v>
      </c>
      <c r="E1046" s="2" t="s">
        <v>20</v>
      </c>
      <c r="F1046" s="2" t="n">
        <v>178</v>
      </c>
      <c r="G1046" s="2" t="s">
        <v>20</v>
      </c>
      <c r="H1046" s="2" t="s">
        <v>20</v>
      </c>
      <c r="I1046" s="2" t="s">
        <v>21</v>
      </c>
      <c r="J1046" s="2" t="n">
        <v>8</v>
      </c>
      <c r="K1046" s="2" t="s">
        <v>41</v>
      </c>
      <c r="L1046" s="2" t="n">
        <v>126</v>
      </c>
      <c r="M1046" s="2" t="n">
        <v>2</v>
      </c>
      <c r="N1046" s="2" t="n">
        <v>-1</v>
      </c>
      <c r="O1046" s="2" t="n">
        <v>0</v>
      </c>
      <c r="P1046" s="2" t="s">
        <v>23</v>
      </c>
      <c r="Q1046" s="2" t="s">
        <v>20</v>
      </c>
    </row>
    <row r="1047" customFormat="false" ht="15" hidden="false" customHeight="false" outlineLevel="0" collapsed="false">
      <c r="A1047" s="2" t="n">
        <v>58</v>
      </c>
      <c r="B1047" s="2" t="s">
        <v>29</v>
      </c>
      <c r="C1047" s="2" t="s">
        <v>18</v>
      </c>
      <c r="D1047" s="2" t="s">
        <v>31</v>
      </c>
      <c r="E1047" s="2" t="s">
        <v>20</v>
      </c>
      <c r="F1047" s="2" t="n">
        <v>299</v>
      </c>
      <c r="G1047" s="2" t="s">
        <v>20</v>
      </c>
      <c r="H1047" s="2" t="s">
        <v>20</v>
      </c>
      <c r="I1047" s="2" t="s">
        <v>21</v>
      </c>
      <c r="J1047" s="2" t="n">
        <v>16</v>
      </c>
      <c r="K1047" s="2" t="s">
        <v>44</v>
      </c>
      <c r="L1047" s="2" t="n">
        <v>120</v>
      </c>
      <c r="M1047" s="2" t="n">
        <v>4</v>
      </c>
      <c r="N1047" s="2" t="n">
        <v>-1</v>
      </c>
      <c r="O1047" s="2" t="n">
        <v>0</v>
      </c>
      <c r="P1047" s="2" t="s">
        <v>23</v>
      </c>
      <c r="Q1047" s="2" t="s">
        <v>20</v>
      </c>
    </row>
    <row r="1048" customFormat="false" ht="15" hidden="false" customHeight="false" outlineLevel="0" collapsed="false">
      <c r="A1048" s="2" t="n">
        <v>35</v>
      </c>
      <c r="B1048" s="2" t="s">
        <v>48</v>
      </c>
      <c r="C1048" s="2" t="s">
        <v>18</v>
      </c>
      <c r="D1048" s="2" t="s">
        <v>19</v>
      </c>
      <c r="E1048" s="2" t="s">
        <v>20</v>
      </c>
      <c r="F1048" s="2" t="n">
        <v>285</v>
      </c>
      <c r="G1048" s="2" t="s">
        <v>26</v>
      </c>
      <c r="H1048" s="2" t="s">
        <v>20</v>
      </c>
      <c r="I1048" s="2" t="s">
        <v>21</v>
      </c>
      <c r="J1048" s="2" t="n">
        <v>29</v>
      </c>
      <c r="K1048" s="2" t="s">
        <v>43</v>
      </c>
      <c r="L1048" s="2" t="n">
        <v>136</v>
      </c>
      <c r="M1048" s="2" t="n">
        <v>1</v>
      </c>
      <c r="N1048" s="2" t="n">
        <v>-1</v>
      </c>
      <c r="O1048" s="2" t="n">
        <v>0</v>
      </c>
      <c r="P1048" s="2" t="s">
        <v>23</v>
      </c>
      <c r="Q1048" s="2" t="s">
        <v>20</v>
      </c>
    </row>
    <row r="1049" customFormat="false" ht="15" hidden="false" customHeight="false" outlineLevel="0" collapsed="false">
      <c r="A1049" s="2" t="n">
        <v>27</v>
      </c>
      <c r="B1049" s="2" t="s">
        <v>34</v>
      </c>
      <c r="C1049" s="2" t="s">
        <v>18</v>
      </c>
      <c r="D1049" s="2" t="s">
        <v>25</v>
      </c>
      <c r="E1049" s="2" t="s">
        <v>20</v>
      </c>
      <c r="F1049" s="2" t="n">
        <v>872</v>
      </c>
      <c r="G1049" s="2" t="s">
        <v>26</v>
      </c>
      <c r="H1049" s="2" t="s">
        <v>20</v>
      </c>
      <c r="I1049" s="2" t="s">
        <v>21</v>
      </c>
      <c r="J1049" s="2" t="n">
        <v>17</v>
      </c>
      <c r="K1049" s="2" t="s">
        <v>32</v>
      </c>
      <c r="L1049" s="2" t="n">
        <v>1130</v>
      </c>
      <c r="M1049" s="2" t="n">
        <v>3</v>
      </c>
      <c r="N1049" s="2" t="n">
        <v>-1</v>
      </c>
      <c r="O1049" s="2" t="n">
        <v>0</v>
      </c>
      <c r="P1049" s="2" t="s">
        <v>23</v>
      </c>
      <c r="Q1049" s="2" t="s">
        <v>20</v>
      </c>
    </row>
    <row r="1050" customFormat="false" ht="15" hidden="false" customHeight="false" outlineLevel="0" collapsed="false">
      <c r="A1050" s="2" t="n">
        <v>34</v>
      </c>
      <c r="B1050" s="2" t="s">
        <v>24</v>
      </c>
      <c r="C1050" s="2" t="s">
        <v>18</v>
      </c>
      <c r="D1050" s="2" t="s">
        <v>25</v>
      </c>
      <c r="E1050" s="2" t="s">
        <v>20</v>
      </c>
      <c r="F1050" s="2" t="n">
        <v>1337</v>
      </c>
      <c r="G1050" s="2" t="s">
        <v>20</v>
      </c>
      <c r="H1050" s="2" t="s">
        <v>20</v>
      </c>
      <c r="I1050" s="2" t="s">
        <v>21</v>
      </c>
      <c r="J1050" s="2" t="n">
        <v>17</v>
      </c>
      <c r="K1050" s="2" t="s">
        <v>53</v>
      </c>
      <c r="L1050" s="2" t="n">
        <v>330</v>
      </c>
      <c r="M1050" s="2" t="n">
        <v>2</v>
      </c>
      <c r="N1050" s="2" t="n">
        <v>127</v>
      </c>
      <c r="O1050" s="2" t="n">
        <v>3</v>
      </c>
      <c r="P1050" s="2" t="s">
        <v>50</v>
      </c>
      <c r="Q1050" s="2" t="s">
        <v>26</v>
      </c>
    </row>
    <row r="1051" customFormat="false" ht="15" hidden="false" customHeight="false" outlineLevel="0" collapsed="false">
      <c r="A1051" s="2" t="n">
        <v>25</v>
      </c>
      <c r="B1051" s="2" t="s">
        <v>24</v>
      </c>
      <c r="C1051" s="2" t="s">
        <v>18</v>
      </c>
      <c r="D1051" s="2" t="s">
        <v>25</v>
      </c>
      <c r="E1051" s="2" t="s">
        <v>20</v>
      </c>
      <c r="F1051" s="2" t="n">
        <v>72</v>
      </c>
      <c r="G1051" s="2" t="s">
        <v>26</v>
      </c>
      <c r="H1051" s="2" t="s">
        <v>20</v>
      </c>
      <c r="I1051" s="2" t="s">
        <v>21</v>
      </c>
      <c r="J1051" s="2" t="n">
        <v>23</v>
      </c>
      <c r="K1051" s="2" t="s">
        <v>44</v>
      </c>
      <c r="L1051" s="2" t="n">
        <v>305</v>
      </c>
      <c r="M1051" s="2" t="n">
        <v>2</v>
      </c>
      <c r="N1051" s="2" t="n">
        <v>-1</v>
      </c>
      <c r="O1051" s="2" t="n">
        <v>0</v>
      </c>
      <c r="P1051" s="2" t="s">
        <v>23</v>
      </c>
      <c r="Q1051" s="2" t="s">
        <v>20</v>
      </c>
    </row>
    <row r="1052" customFormat="false" ht="15" hidden="false" customHeight="false" outlineLevel="0" collapsed="false">
      <c r="A1052" s="2" t="n">
        <v>36</v>
      </c>
      <c r="B1052" s="2" t="s">
        <v>34</v>
      </c>
      <c r="C1052" s="2" t="s">
        <v>18</v>
      </c>
      <c r="D1052" s="2" t="s">
        <v>25</v>
      </c>
      <c r="E1052" s="2" t="s">
        <v>20</v>
      </c>
      <c r="F1052" s="2" t="n">
        <v>0</v>
      </c>
      <c r="G1052" s="2" t="s">
        <v>20</v>
      </c>
      <c r="H1052" s="2" t="s">
        <v>20</v>
      </c>
      <c r="I1052" s="2" t="s">
        <v>23</v>
      </c>
      <c r="J1052" s="2" t="n">
        <v>20</v>
      </c>
      <c r="K1052" s="2" t="s">
        <v>33</v>
      </c>
      <c r="L1052" s="2" t="n">
        <v>332</v>
      </c>
      <c r="M1052" s="2" t="n">
        <v>3</v>
      </c>
      <c r="N1052" s="2" t="n">
        <v>-1</v>
      </c>
      <c r="O1052" s="2" t="n">
        <v>0</v>
      </c>
      <c r="P1052" s="2" t="s">
        <v>23</v>
      </c>
      <c r="Q1052" s="2" t="s">
        <v>20</v>
      </c>
    </row>
    <row r="1053" customFormat="false" ht="15" hidden="false" customHeight="false" outlineLevel="0" collapsed="false">
      <c r="A1053" s="2" t="n">
        <v>38</v>
      </c>
      <c r="B1053" s="2" t="s">
        <v>34</v>
      </c>
      <c r="C1053" s="2" t="s">
        <v>18</v>
      </c>
      <c r="D1053" s="2" t="s">
        <v>25</v>
      </c>
      <c r="E1053" s="2" t="s">
        <v>20</v>
      </c>
      <c r="F1053" s="2" t="n">
        <v>-388</v>
      </c>
      <c r="G1053" s="2" t="s">
        <v>26</v>
      </c>
      <c r="H1053" s="2" t="s">
        <v>20</v>
      </c>
      <c r="I1053" s="2" t="s">
        <v>23</v>
      </c>
      <c r="J1053" s="2" t="n">
        <v>9</v>
      </c>
      <c r="K1053" s="2" t="s">
        <v>27</v>
      </c>
      <c r="L1053" s="2" t="n">
        <v>412</v>
      </c>
      <c r="M1053" s="2" t="n">
        <v>1</v>
      </c>
      <c r="N1053" s="2" t="n">
        <v>-1</v>
      </c>
      <c r="O1053" s="2" t="n">
        <v>0</v>
      </c>
      <c r="P1053" s="2" t="s">
        <v>23</v>
      </c>
      <c r="Q1053" s="2" t="s">
        <v>20</v>
      </c>
    </row>
    <row r="1054" customFormat="false" ht="15" hidden="false" customHeight="false" outlineLevel="0" collapsed="false">
      <c r="A1054" s="2" t="n">
        <v>30</v>
      </c>
      <c r="B1054" s="2" t="s">
        <v>40</v>
      </c>
      <c r="C1054" s="2" t="s">
        <v>18</v>
      </c>
      <c r="D1054" s="2" t="s">
        <v>25</v>
      </c>
      <c r="E1054" s="2" t="s">
        <v>20</v>
      </c>
      <c r="F1054" s="2" t="n">
        <v>11</v>
      </c>
      <c r="G1054" s="2" t="s">
        <v>26</v>
      </c>
      <c r="H1054" s="2" t="s">
        <v>20</v>
      </c>
      <c r="I1054" s="2" t="s">
        <v>21</v>
      </c>
      <c r="J1054" s="2" t="n">
        <v>11</v>
      </c>
      <c r="K1054" s="2" t="s">
        <v>27</v>
      </c>
      <c r="L1054" s="2" t="n">
        <v>157</v>
      </c>
      <c r="M1054" s="2" t="n">
        <v>1</v>
      </c>
      <c r="N1054" s="2" t="n">
        <v>-1</v>
      </c>
      <c r="O1054" s="2" t="n">
        <v>0</v>
      </c>
      <c r="P1054" s="2" t="s">
        <v>23</v>
      </c>
      <c r="Q1054" s="2" t="s">
        <v>20</v>
      </c>
    </row>
    <row r="1055" customFormat="false" ht="15" hidden="false" customHeight="false" outlineLevel="0" collapsed="false">
      <c r="A1055" s="2" t="n">
        <v>47</v>
      </c>
      <c r="B1055" s="2" t="s">
        <v>34</v>
      </c>
      <c r="C1055" s="2" t="s">
        <v>45</v>
      </c>
      <c r="D1055" s="2" t="s">
        <v>25</v>
      </c>
      <c r="E1055" s="2" t="s">
        <v>26</v>
      </c>
      <c r="F1055" s="2" t="n">
        <v>-535</v>
      </c>
      <c r="G1055" s="2" t="s">
        <v>26</v>
      </c>
      <c r="H1055" s="2" t="s">
        <v>20</v>
      </c>
      <c r="I1055" s="2" t="s">
        <v>21</v>
      </c>
      <c r="J1055" s="2" t="n">
        <v>30</v>
      </c>
      <c r="K1055" s="2" t="s">
        <v>44</v>
      </c>
      <c r="L1055" s="2" t="n">
        <v>71</v>
      </c>
      <c r="M1055" s="2" t="n">
        <v>2</v>
      </c>
      <c r="N1055" s="2" t="n">
        <v>-1</v>
      </c>
      <c r="O1055" s="2" t="n">
        <v>0</v>
      </c>
      <c r="P1055" s="2" t="s">
        <v>23</v>
      </c>
      <c r="Q1055" s="2" t="s">
        <v>20</v>
      </c>
    </row>
    <row r="1056" customFormat="false" ht="15" hidden="false" customHeight="false" outlineLevel="0" collapsed="false">
      <c r="A1056" s="2" t="n">
        <v>41</v>
      </c>
      <c r="B1056" s="2" t="s">
        <v>24</v>
      </c>
      <c r="C1056" s="2" t="s">
        <v>45</v>
      </c>
      <c r="D1056" s="2" t="s">
        <v>25</v>
      </c>
      <c r="E1056" s="2" t="s">
        <v>20</v>
      </c>
      <c r="F1056" s="2" t="n">
        <v>787</v>
      </c>
      <c r="G1056" s="2" t="s">
        <v>26</v>
      </c>
      <c r="H1056" s="2" t="s">
        <v>20</v>
      </c>
      <c r="I1056" s="2" t="s">
        <v>21</v>
      </c>
      <c r="J1056" s="2" t="n">
        <v>8</v>
      </c>
      <c r="K1056" s="2" t="s">
        <v>27</v>
      </c>
      <c r="L1056" s="2" t="n">
        <v>297</v>
      </c>
      <c r="M1056" s="2" t="n">
        <v>2</v>
      </c>
      <c r="N1056" s="2" t="n">
        <v>-1</v>
      </c>
      <c r="O1056" s="2" t="n">
        <v>0</v>
      </c>
      <c r="P1056" s="2" t="s">
        <v>23</v>
      </c>
      <c r="Q1056" s="2" t="s">
        <v>20</v>
      </c>
    </row>
    <row r="1057" customFormat="false" ht="15" hidden="false" customHeight="false" outlineLevel="0" collapsed="false">
      <c r="A1057" s="2" t="n">
        <v>36</v>
      </c>
      <c r="B1057" s="2" t="s">
        <v>29</v>
      </c>
      <c r="C1057" s="2" t="s">
        <v>30</v>
      </c>
      <c r="D1057" s="2" t="s">
        <v>31</v>
      </c>
      <c r="E1057" s="2" t="s">
        <v>20</v>
      </c>
      <c r="F1057" s="2" t="n">
        <v>3343</v>
      </c>
      <c r="G1057" s="2" t="s">
        <v>20</v>
      </c>
      <c r="H1057" s="2" t="s">
        <v>20</v>
      </c>
      <c r="I1057" s="2" t="s">
        <v>21</v>
      </c>
      <c r="J1057" s="2" t="n">
        <v>18</v>
      </c>
      <c r="K1057" s="2" t="s">
        <v>46</v>
      </c>
      <c r="L1057" s="2" t="n">
        <v>307</v>
      </c>
      <c r="M1057" s="2" t="n">
        <v>1</v>
      </c>
      <c r="N1057" s="2" t="n">
        <v>-1</v>
      </c>
      <c r="O1057" s="2" t="n">
        <v>0</v>
      </c>
      <c r="P1057" s="2" t="s">
        <v>23</v>
      </c>
      <c r="Q1057" s="2" t="s">
        <v>20</v>
      </c>
    </row>
    <row r="1058" customFormat="false" ht="15" hidden="false" customHeight="false" outlineLevel="0" collapsed="false">
      <c r="A1058" s="2" t="n">
        <v>63</v>
      </c>
      <c r="B1058" s="2" t="s">
        <v>39</v>
      </c>
      <c r="C1058" s="2" t="s">
        <v>18</v>
      </c>
      <c r="D1058" s="2" t="s">
        <v>25</v>
      </c>
      <c r="E1058" s="2" t="s">
        <v>20</v>
      </c>
      <c r="F1058" s="2" t="n">
        <v>3904</v>
      </c>
      <c r="G1058" s="2" t="s">
        <v>20</v>
      </c>
      <c r="H1058" s="2" t="s">
        <v>20</v>
      </c>
      <c r="I1058" s="2" t="s">
        <v>49</v>
      </c>
      <c r="J1058" s="2" t="n">
        <v>4</v>
      </c>
      <c r="K1058" s="2" t="s">
        <v>41</v>
      </c>
      <c r="L1058" s="2" t="n">
        <v>250</v>
      </c>
      <c r="M1058" s="2" t="n">
        <v>2</v>
      </c>
      <c r="N1058" s="2" t="n">
        <v>187</v>
      </c>
      <c r="O1058" s="2" t="n">
        <v>2</v>
      </c>
      <c r="P1058" s="2" t="s">
        <v>50</v>
      </c>
      <c r="Q1058" s="2" t="s">
        <v>26</v>
      </c>
    </row>
    <row r="1059" customFormat="false" ht="15" hidden="false" customHeight="false" outlineLevel="0" collapsed="false">
      <c r="A1059" s="2" t="n">
        <v>23</v>
      </c>
      <c r="B1059" s="2" t="s">
        <v>29</v>
      </c>
      <c r="C1059" s="2" t="s">
        <v>30</v>
      </c>
      <c r="D1059" s="2" t="s">
        <v>31</v>
      </c>
      <c r="E1059" s="2" t="s">
        <v>20</v>
      </c>
      <c r="F1059" s="2" t="n">
        <v>736</v>
      </c>
      <c r="G1059" s="2" t="s">
        <v>26</v>
      </c>
      <c r="H1059" s="2" t="s">
        <v>20</v>
      </c>
      <c r="I1059" s="2" t="s">
        <v>21</v>
      </c>
      <c r="J1059" s="2" t="n">
        <v>30</v>
      </c>
      <c r="K1059" s="2" t="s">
        <v>32</v>
      </c>
      <c r="L1059" s="2" t="n">
        <v>119</v>
      </c>
      <c r="M1059" s="2" t="n">
        <v>1</v>
      </c>
      <c r="N1059" s="2" t="n">
        <v>-1</v>
      </c>
      <c r="O1059" s="2" t="n">
        <v>0</v>
      </c>
      <c r="P1059" s="2" t="s">
        <v>23</v>
      </c>
      <c r="Q1059" s="2" t="s">
        <v>20</v>
      </c>
    </row>
    <row r="1060" customFormat="false" ht="15" hidden="false" customHeight="false" outlineLevel="0" collapsed="false">
      <c r="A1060" s="2" t="n">
        <v>32</v>
      </c>
      <c r="B1060" s="2" t="s">
        <v>29</v>
      </c>
      <c r="C1060" s="2" t="s">
        <v>18</v>
      </c>
      <c r="D1060" s="2" t="s">
        <v>31</v>
      </c>
      <c r="E1060" s="2" t="s">
        <v>20</v>
      </c>
      <c r="F1060" s="2" t="n">
        <v>1390</v>
      </c>
      <c r="G1060" s="2" t="s">
        <v>20</v>
      </c>
      <c r="H1060" s="2" t="s">
        <v>20</v>
      </c>
      <c r="I1060" s="2" t="s">
        <v>21</v>
      </c>
      <c r="J1060" s="2" t="n">
        <v>7</v>
      </c>
      <c r="K1060" s="2" t="s">
        <v>41</v>
      </c>
      <c r="L1060" s="2" t="n">
        <v>116</v>
      </c>
      <c r="M1060" s="2" t="n">
        <v>2</v>
      </c>
      <c r="N1060" s="2" t="n">
        <v>-1</v>
      </c>
      <c r="O1060" s="2" t="n">
        <v>0</v>
      </c>
      <c r="P1060" s="2" t="s">
        <v>23</v>
      </c>
      <c r="Q1060" s="2" t="s">
        <v>20</v>
      </c>
    </row>
    <row r="1061" customFormat="false" ht="15" hidden="false" customHeight="false" outlineLevel="0" collapsed="false">
      <c r="A1061" s="2" t="n">
        <v>57</v>
      </c>
      <c r="B1061" s="2" t="s">
        <v>48</v>
      </c>
      <c r="C1061" s="2" t="s">
        <v>18</v>
      </c>
      <c r="D1061" s="2" t="s">
        <v>19</v>
      </c>
      <c r="E1061" s="2" t="s">
        <v>20</v>
      </c>
      <c r="F1061" s="2" t="n">
        <v>808</v>
      </c>
      <c r="G1061" s="2" t="s">
        <v>20</v>
      </c>
      <c r="H1061" s="2" t="s">
        <v>20</v>
      </c>
      <c r="I1061" s="2" t="s">
        <v>49</v>
      </c>
      <c r="J1061" s="2" t="n">
        <v>7</v>
      </c>
      <c r="K1061" s="2" t="s">
        <v>44</v>
      </c>
      <c r="L1061" s="2" t="n">
        <v>274</v>
      </c>
      <c r="M1061" s="2" t="n">
        <v>1</v>
      </c>
      <c r="N1061" s="2" t="n">
        <v>-1</v>
      </c>
      <c r="O1061" s="2" t="n">
        <v>0</v>
      </c>
      <c r="P1061" s="2" t="s">
        <v>23</v>
      </c>
      <c r="Q1061" s="2" t="s">
        <v>20</v>
      </c>
    </row>
    <row r="1062" customFormat="false" ht="15" hidden="false" customHeight="false" outlineLevel="0" collapsed="false">
      <c r="A1062" s="2" t="n">
        <v>48</v>
      </c>
      <c r="B1062" s="2" t="s">
        <v>29</v>
      </c>
      <c r="C1062" s="2" t="s">
        <v>18</v>
      </c>
      <c r="D1062" s="2" t="s">
        <v>31</v>
      </c>
      <c r="E1062" s="2" t="s">
        <v>20</v>
      </c>
      <c r="F1062" s="2" t="n">
        <v>1147</v>
      </c>
      <c r="G1062" s="2" t="s">
        <v>20</v>
      </c>
      <c r="H1062" s="2" t="s">
        <v>20</v>
      </c>
      <c r="I1062" s="2" t="s">
        <v>21</v>
      </c>
      <c r="J1062" s="2" t="n">
        <v>5</v>
      </c>
      <c r="K1062" s="2" t="s">
        <v>41</v>
      </c>
      <c r="L1062" s="2" t="n">
        <v>389</v>
      </c>
      <c r="M1062" s="2" t="n">
        <v>1</v>
      </c>
      <c r="N1062" s="2" t="n">
        <v>64</v>
      </c>
      <c r="O1062" s="2" t="n">
        <v>2</v>
      </c>
      <c r="P1062" s="2" t="s">
        <v>50</v>
      </c>
      <c r="Q1062" s="2" t="s">
        <v>26</v>
      </c>
    </row>
    <row r="1063" customFormat="false" ht="15" hidden="false" customHeight="false" outlineLevel="0" collapsed="false">
      <c r="A1063" s="2" t="n">
        <v>49</v>
      </c>
      <c r="B1063" s="2" t="s">
        <v>24</v>
      </c>
      <c r="C1063" s="2" t="s">
        <v>18</v>
      </c>
      <c r="D1063" s="2" t="s">
        <v>25</v>
      </c>
      <c r="E1063" s="2" t="s">
        <v>20</v>
      </c>
      <c r="F1063" s="2" t="n">
        <v>1122</v>
      </c>
      <c r="G1063" s="2" t="s">
        <v>20</v>
      </c>
      <c r="H1063" s="2" t="s">
        <v>20</v>
      </c>
      <c r="I1063" s="2" t="s">
        <v>21</v>
      </c>
      <c r="J1063" s="2" t="n">
        <v>4</v>
      </c>
      <c r="K1063" s="2" t="s">
        <v>41</v>
      </c>
      <c r="L1063" s="2" t="n">
        <v>143</v>
      </c>
      <c r="M1063" s="2" t="n">
        <v>1</v>
      </c>
      <c r="N1063" s="2" t="n">
        <v>-1</v>
      </c>
      <c r="O1063" s="2" t="n">
        <v>0</v>
      </c>
      <c r="P1063" s="2" t="s">
        <v>23</v>
      </c>
      <c r="Q1063" s="2" t="s">
        <v>20</v>
      </c>
    </row>
    <row r="1064" customFormat="false" ht="15" hidden="false" customHeight="false" outlineLevel="0" collapsed="false">
      <c r="A1064" s="2" t="n">
        <v>50</v>
      </c>
      <c r="B1064" s="2" t="s">
        <v>38</v>
      </c>
      <c r="C1064" s="2" t="s">
        <v>18</v>
      </c>
      <c r="D1064" s="2" t="s">
        <v>25</v>
      </c>
      <c r="E1064" s="2" t="s">
        <v>20</v>
      </c>
      <c r="F1064" s="2" t="n">
        <v>-568</v>
      </c>
      <c r="G1064" s="2" t="s">
        <v>26</v>
      </c>
      <c r="H1064" s="2" t="s">
        <v>26</v>
      </c>
      <c r="I1064" s="2" t="s">
        <v>23</v>
      </c>
      <c r="J1064" s="2" t="n">
        <v>28</v>
      </c>
      <c r="K1064" s="2" t="s">
        <v>27</v>
      </c>
      <c r="L1064" s="2" t="n">
        <v>860</v>
      </c>
      <c r="M1064" s="2" t="n">
        <v>2</v>
      </c>
      <c r="N1064" s="2" t="n">
        <v>-1</v>
      </c>
      <c r="O1064" s="2" t="n">
        <v>0</v>
      </c>
      <c r="P1064" s="2" t="s">
        <v>23</v>
      </c>
      <c r="Q1064" s="2" t="s">
        <v>20</v>
      </c>
    </row>
    <row r="1065" customFormat="false" ht="15" hidden="false" customHeight="false" outlineLevel="0" collapsed="false">
      <c r="A1065" s="2" t="n">
        <v>33</v>
      </c>
      <c r="B1065" s="2" t="s">
        <v>34</v>
      </c>
      <c r="C1065" s="2" t="s">
        <v>18</v>
      </c>
      <c r="D1065" s="2" t="s">
        <v>19</v>
      </c>
      <c r="E1065" s="2" t="s">
        <v>20</v>
      </c>
      <c r="F1065" s="2" t="n">
        <v>1165</v>
      </c>
      <c r="G1065" s="2" t="s">
        <v>26</v>
      </c>
      <c r="H1065" s="2" t="s">
        <v>20</v>
      </c>
      <c r="I1065" s="2" t="s">
        <v>23</v>
      </c>
      <c r="J1065" s="2" t="n">
        <v>21</v>
      </c>
      <c r="K1065" s="2" t="s">
        <v>27</v>
      </c>
      <c r="L1065" s="2" t="n">
        <v>420</v>
      </c>
      <c r="M1065" s="2" t="n">
        <v>2</v>
      </c>
      <c r="N1065" s="2" t="n">
        <v>-1</v>
      </c>
      <c r="O1065" s="2" t="n">
        <v>0</v>
      </c>
      <c r="P1065" s="2" t="s">
        <v>23</v>
      </c>
      <c r="Q1065" s="2" t="s">
        <v>20</v>
      </c>
    </row>
    <row r="1066" customFormat="false" ht="15" hidden="false" customHeight="false" outlineLevel="0" collapsed="false">
      <c r="A1066" s="2" t="n">
        <v>53</v>
      </c>
      <c r="B1066" s="2" t="s">
        <v>24</v>
      </c>
      <c r="C1066" s="2" t="s">
        <v>45</v>
      </c>
      <c r="D1066" s="2" t="s">
        <v>25</v>
      </c>
      <c r="E1066" s="2" t="s">
        <v>20</v>
      </c>
      <c r="F1066" s="2" t="n">
        <v>-905</v>
      </c>
      <c r="G1066" s="2" t="s">
        <v>26</v>
      </c>
      <c r="H1066" s="2" t="s">
        <v>20</v>
      </c>
      <c r="I1066" s="2" t="s">
        <v>23</v>
      </c>
      <c r="J1066" s="2" t="n">
        <v>28</v>
      </c>
      <c r="K1066" s="2" t="s">
        <v>27</v>
      </c>
      <c r="L1066" s="2" t="n">
        <v>213</v>
      </c>
      <c r="M1066" s="2" t="n">
        <v>1</v>
      </c>
      <c r="N1066" s="2" t="n">
        <v>-1</v>
      </c>
      <c r="O1066" s="2" t="n">
        <v>0</v>
      </c>
      <c r="P1066" s="2" t="s">
        <v>23</v>
      </c>
      <c r="Q1066" s="2" t="s">
        <v>20</v>
      </c>
    </row>
    <row r="1067" customFormat="false" ht="15" hidden="false" customHeight="false" outlineLevel="0" collapsed="false">
      <c r="A1067" s="2" t="n">
        <v>30</v>
      </c>
      <c r="B1067" s="2" t="s">
        <v>17</v>
      </c>
      <c r="C1067" s="2" t="s">
        <v>18</v>
      </c>
      <c r="D1067" s="2" t="s">
        <v>31</v>
      </c>
      <c r="E1067" s="2" t="s">
        <v>20</v>
      </c>
      <c r="F1067" s="2" t="n">
        <v>0</v>
      </c>
      <c r="G1067" s="2" t="s">
        <v>26</v>
      </c>
      <c r="H1067" s="2" t="s">
        <v>20</v>
      </c>
      <c r="I1067" s="2" t="s">
        <v>21</v>
      </c>
      <c r="J1067" s="2" t="n">
        <v>18</v>
      </c>
      <c r="K1067" s="2" t="s">
        <v>46</v>
      </c>
      <c r="L1067" s="2" t="n">
        <v>756</v>
      </c>
      <c r="M1067" s="2" t="n">
        <v>1</v>
      </c>
      <c r="N1067" s="2" t="n">
        <v>-1</v>
      </c>
      <c r="O1067" s="2" t="n">
        <v>0</v>
      </c>
      <c r="P1067" s="2" t="s">
        <v>23</v>
      </c>
      <c r="Q1067" s="2" t="s">
        <v>20</v>
      </c>
    </row>
    <row r="1068" customFormat="false" ht="15" hidden="false" customHeight="false" outlineLevel="0" collapsed="false">
      <c r="A1068" s="2" t="n">
        <v>38</v>
      </c>
      <c r="B1068" s="2" t="s">
        <v>38</v>
      </c>
      <c r="C1068" s="2" t="s">
        <v>18</v>
      </c>
      <c r="D1068" s="2" t="s">
        <v>25</v>
      </c>
      <c r="E1068" s="2" t="s">
        <v>20</v>
      </c>
      <c r="F1068" s="2" t="n">
        <v>740</v>
      </c>
      <c r="G1068" s="2" t="s">
        <v>20</v>
      </c>
      <c r="H1068" s="2" t="s">
        <v>20</v>
      </c>
      <c r="I1068" s="2" t="s">
        <v>21</v>
      </c>
      <c r="J1068" s="2" t="n">
        <v>7</v>
      </c>
      <c r="K1068" s="2" t="s">
        <v>41</v>
      </c>
      <c r="L1068" s="2" t="n">
        <v>259</v>
      </c>
      <c r="M1068" s="2" t="n">
        <v>3</v>
      </c>
      <c r="N1068" s="2" t="n">
        <v>-1</v>
      </c>
      <c r="O1068" s="2" t="n">
        <v>0</v>
      </c>
      <c r="P1068" s="2" t="s">
        <v>23</v>
      </c>
      <c r="Q1068" s="2" t="s">
        <v>20</v>
      </c>
    </row>
    <row r="1069" customFormat="false" ht="15" hidden="false" customHeight="false" outlineLevel="0" collapsed="false">
      <c r="A1069" s="2" t="n">
        <v>44</v>
      </c>
      <c r="B1069" s="2" t="s">
        <v>29</v>
      </c>
      <c r="C1069" s="2" t="s">
        <v>18</v>
      </c>
      <c r="D1069" s="2" t="s">
        <v>25</v>
      </c>
      <c r="E1069" s="2" t="s">
        <v>20</v>
      </c>
      <c r="F1069" s="2" t="n">
        <v>8262</v>
      </c>
      <c r="G1069" s="2" t="s">
        <v>26</v>
      </c>
      <c r="H1069" s="2" t="s">
        <v>20</v>
      </c>
      <c r="I1069" s="2" t="s">
        <v>21</v>
      </c>
      <c r="J1069" s="2" t="n">
        <v>23</v>
      </c>
      <c r="K1069" s="2" t="s">
        <v>44</v>
      </c>
      <c r="L1069" s="2" t="n">
        <v>201</v>
      </c>
      <c r="M1069" s="2" t="n">
        <v>16</v>
      </c>
      <c r="N1069" s="2" t="n">
        <v>-1</v>
      </c>
      <c r="O1069" s="2" t="n">
        <v>0</v>
      </c>
      <c r="P1069" s="2" t="s">
        <v>23</v>
      </c>
      <c r="Q1069" s="2" t="s">
        <v>20</v>
      </c>
    </row>
    <row r="1070" customFormat="false" ht="15" hidden="false" customHeight="false" outlineLevel="0" collapsed="false">
      <c r="A1070" s="2" t="n">
        <v>39</v>
      </c>
      <c r="B1070" s="2" t="s">
        <v>40</v>
      </c>
      <c r="C1070" s="2" t="s">
        <v>30</v>
      </c>
      <c r="D1070" s="2" t="s">
        <v>25</v>
      </c>
      <c r="E1070" s="2" t="s">
        <v>20</v>
      </c>
      <c r="F1070" s="2" t="n">
        <v>14</v>
      </c>
      <c r="G1070" s="2" t="s">
        <v>26</v>
      </c>
      <c r="H1070" s="2" t="s">
        <v>26</v>
      </c>
      <c r="I1070" s="2" t="s">
        <v>23</v>
      </c>
      <c r="J1070" s="2" t="n">
        <v>13</v>
      </c>
      <c r="K1070" s="2" t="s">
        <v>27</v>
      </c>
      <c r="L1070" s="2" t="n">
        <v>19</v>
      </c>
      <c r="M1070" s="2" t="n">
        <v>9</v>
      </c>
      <c r="N1070" s="2" t="n">
        <v>-1</v>
      </c>
      <c r="O1070" s="2" t="n">
        <v>0</v>
      </c>
      <c r="P1070" s="2" t="s">
        <v>23</v>
      </c>
      <c r="Q1070" s="2" t="s">
        <v>20</v>
      </c>
    </row>
    <row r="1071" customFormat="false" ht="15" hidden="false" customHeight="false" outlineLevel="0" collapsed="false">
      <c r="A1071" s="2" t="n">
        <v>45</v>
      </c>
      <c r="B1071" s="2" t="s">
        <v>38</v>
      </c>
      <c r="C1071" s="2" t="s">
        <v>30</v>
      </c>
      <c r="D1071" s="2" t="s">
        <v>23</v>
      </c>
      <c r="E1071" s="2" t="s">
        <v>20</v>
      </c>
      <c r="F1071" s="2" t="n">
        <v>7108</v>
      </c>
      <c r="G1071" s="2" t="s">
        <v>26</v>
      </c>
      <c r="H1071" s="2" t="s">
        <v>26</v>
      </c>
      <c r="I1071" s="2" t="s">
        <v>21</v>
      </c>
      <c r="J1071" s="2" t="n">
        <v>18</v>
      </c>
      <c r="K1071" s="2" t="s">
        <v>46</v>
      </c>
      <c r="L1071" s="2" t="n">
        <v>53</v>
      </c>
      <c r="M1071" s="2" t="n">
        <v>1</v>
      </c>
      <c r="N1071" s="2" t="n">
        <v>172</v>
      </c>
      <c r="O1071" s="2" t="n">
        <v>3</v>
      </c>
      <c r="P1071" s="2" t="s">
        <v>28</v>
      </c>
      <c r="Q1071" s="2" t="s">
        <v>20</v>
      </c>
    </row>
    <row r="1072" customFormat="false" ht="15" hidden="false" customHeight="false" outlineLevel="0" collapsed="false">
      <c r="A1072" s="2" t="n">
        <v>36</v>
      </c>
      <c r="B1072" s="2" t="s">
        <v>34</v>
      </c>
      <c r="C1072" s="2" t="s">
        <v>18</v>
      </c>
      <c r="D1072" s="2" t="s">
        <v>25</v>
      </c>
      <c r="E1072" s="2" t="s">
        <v>20</v>
      </c>
      <c r="F1072" s="2" t="n">
        <v>1049</v>
      </c>
      <c r="G1072" s="2" t="s">
        <v>26</v>
      </c>
      <c r="H1072" s="2" t="s">
        <v>20</v>
      </c>
      <c r="I1072" s="2" t="s">
        <v>21</v>
      </c>
      <c r="J1072" s="2" t="n">
        <v>14</v>
      </c>
      <c r="K1072" s="2" t="s">
        <v>27</v>
      </c>
      <c r="L1072" s="2" t="n">
        <v>224</v>
      </c>
      <c r="M1072" s="2" t="n">
        <v>4</v>
      </c>
      <c r="N1072" s="2" t="n">
        <v>-1</v>
      </c>
      <c r="O1072" s="2" t="n">
        <v>0</v>
      </c>
      <c r="P1072" s="2" t="s">
        <v>23</v>
      </c>
      <c r="Q1072" s="2" t="s">
        <v>26</v>
      </c>
    </row>
    <row r="1073" customFormat="false" ht="15" hidden="false" customHeight="false" outlineLevel="0" collapsed="false">
      <c r="A1073" s="2" t="n">
        <v>38</v>
      </c>
      <c r="B1073" s="2" t="s">
        <v>34</v>
      </c>
      <c r="C1073" s="2" t="s">
        <v>18</v>
      </c>
      <c r="D1073" s="2" t="s">
        <v>25</v>
      </c>
      <c r="E1073" s="2" t="s">
        <v>20</v>
      </c>
      <c r="F1073" s="2" t="n">
        <v>0</v>
      </c>
      <c r="G1073" s="2" t="s">
        <v>26</v>
      </c>
      <c r="H1073" s="2" t="s">
        <v>20</v>
      </c>
      <c r="I1073" s="2" t="s">
        <v>21</v>
      </c>
      <c r="J1073" s="2" t="n">
        <v>13</v>
      </c>
      <c r="K1073" s="2" t="s">
        <v>27</v>
      </c>
      <c r="L1073" s="2" t="n">
        <v>57</v>
      </c>
      <c r="M1073" s="2" t="n">
        <v>5</v>
      </c>
      <c r="N1073" s="2" t="n">
        <v>349</v>
      </c>
      <c r="O1073" s="2" t="n">
        <v>1</v>
      </c>
      <c r="P1073" s="2" t="s">
        <v>37</v>
      </c>
      <c r="Q1073" s="2" t="s">
        <v>20</v>
      </c>
    </row>
    <row r="1074" customFormat="false" ht="15" hidden="false" customHeight="false" outlineLevel="0" collapsed="false">
      <c r="A1074" s="2" t="n">
        <v>36</v>
      </c>
      <c r="B1074" s="2" t="s">
        <v>47</v>
      </c>
      <c r="C1074" s="2" t="s">
        <v>18</v>
      </c>
      <c r="D1074" s="2" t="s">
        <v>25</v>
      </c>
      <c r="E1074" s="2" t="s">
        <v>20</v>
      </c>
      <c r="F1074" s="2" t="n">
        <v>419</v>
      </c>
      <c r="G1074" s="2" t="s">
        <v>26</v>
      </c>
      <c r="H1074" s="2" t="s">
        <v>20</v>
      </c>
      <c r="I1074" s="2" t="s">
        <v>23</v>
      </c>
      <c r="J1074" s="2" t="n">
        <v>30</v>
      </c>
      <c r="K1074" s="2" t="s">
        <v>27</v>
      </c>
      <c r="L1074" s="2" t="n">
        <v>251</v>
      </c>
      <c r="M1074" s="2" t="n">
        <v>1</v>
      </c>
      <c r="N1074" s="2" t="n">
        <v>-1</v>
      </c>
      <c r="O1074" s="2" t="n">
        <v>0</v>
      </c>
      <c r="P1074" s="2" t="s">
        <v>23</v>
      </c>
      <c r="Q1074" s="2" t="s">
        <v>20</v>
      </c>
    </row>
    <row r="1075" customFormat="false" ht="15" hidden="false" customHeight="false" outlineLevel="0" collapsed="false">
      <c r="A1075" s="2" t="n">
        <v>30</v>
      </c>
      <c r="B1075" s="2" t="s">
        <v>29</v>
      </c>
      <c r="C1075" s="2" t="s">
        <v>30</v>
      </c>
      <c r="D1075" s="2" t="s">
        <v>31</v>
      </c>
      <c r="E1075" s="2" t="s">
        <v>20</v>
      </c>
      <c r="F1075" s="2" t="n">
        <v>726</v>
      </c>
      <c r="G1075" s="2" t="s">
        <v>26</v>
      </c>
      <c r="H1075" s="2" t="s">
        <v>20</v>
      </c>
      <c r="I1075" s="2" t="s">
        <v>21</v>
      </c>
      <c r="J1075" s="2" t="n">
        <v>16</v>
      </c>
      <c r="K1075" s="2" t="s">
        <v>32</v>
      </c>
      <c r="L1075" s="2" t="n">
        <v>39</v>
      </c>
      <c r="M1075" s="2" t="n">
        <v>1</v>
      </c>
      <c r="N1075" s="2" t="n">
        <v>342</v>
      </c>
      <c r="O1075" s="2" t="n">
        <v>3</v>
      </c>
      <c r="P1075" s="2" t="s">
        <v>28</v>
      </c>
      <c r="Q1075" s="2" t="s">
        <v>20</v>
      </c>
    </row>
    <row r="1076" customFormat="false" ht="15" hidden="false" customHeight="false" outlineLevel="0" collapsed="false">
      <c r="A1076" s="2" t="n">
        <v>28</v>
      </c>
      <c r="B1076" s="2" t="s">
        <v>38</v>
      </c>
      <c r="C1076" s="2" t="s">
        <v>45</v>
      </c>
      <c r="D1076" s="2" t="s">
        <v>31</v>
      </c>
      <c r="E1076" s="2" t="s">
        <v>20</v>
      </c>
      <c r="F1076" s="2" t="n">
        <v>594</v>
      </c>
      <c r="G1076" s="2" t="s">
        <v>26</v>
      </c>
      <c r="H1076" s="2" t="s">
        <v>26</v>
      </c>
      <c r="I1076" s="2" t="s">
        <v>23</v>
      </c>
      <c r="J1076" s="2" t="n">
        <v>18</v>
      </c>
      <c r="K1076" s="2" t="s">
        <v>33</v>
      </c>
      <c r="L1076" s="2" t="n">
        <v>54</v>
      </c>
      <c r="M1076" s="2" t="n">
        <v>3</v>
      </c>
      <c r="N1076" s="2" t="n">
        <v>-1</v>
      </c>
      <c r="O1076" s="2" t="n">
        <v>0</v>
      </c>
      <c r="P1076" s="2" t="s">
        <v>23</v>
      </c>
      <c r="Q1076" s="2" t="s">
        <v>20</v>
      </c>
    </row>
    <row r="1077" customFormat="false" ht="15" hidden="false" customHeight="false" outlineLevel="0" collapsed="false">
      <c r="A1077" s="2" t="n">
        <v>26</v>
      </c>
      <c r="B1077" s="2" t="s">
        <v>17</v>
      </c>
      <c r="C1077" s="2" t="s">
        <v>18</v>
      </c>
      <c r="D1077" s="2" t="s">
        <v>31</v>
      </c>
      <c r="E1077" s="2" t="s">
        <v>20</v>
      </c>
      <c r="F1077" s="2" t="n">
        <v>454</v>
      </c>
      <c r="G1077" s="2" t="s">
        <v>26</v>
      </c>
      <c r="H1077" s="2" t="s">
        <v>26</v>
      </c>
      <c r="I1077" s="2" t="s">
        <v>23</v>
      </c>
      <c r="J1077" s="2" t="n">
        <v>23</v>
      </c>
      <c r="K1077" s="2" t="s">
        <v>27</v>
      </c>
      <c r="L1077" s="2" t="n">
        <v>28</v>
      </c>
      <c r="M1077" s="2" t="n">
        <v>18</v>
      </c>
      <c r="N1077" s="2" t="n">
        <v>-1</v>
      </c>
      <c r="O1077" s="2" t="n">
        <v>0</v>
      </c>
      <c r="P1077" s="2" t="s">
        <v>23</v>
      </c>
      <c r="Q1077" s="2" t="s">
        <v>20</v>
      </c>
    </row>
    <row r="1078" customFormat="false" ht="15" hidden="false" customHeight="false" outlineLevel="0" collapsed="false">
      <c r="A1078" s="2" t="n">
        <v>54</v>
      </c>
      <c r="B1078" s="2" t="s">
        <v>23</v>
      </c>
      <c r="C1078" s="2" t="s">
        <v>18</v>
      </c>
      <c r="D1078" s="2" t="s">
        <v>25</v>
      </c>
      <c r="E1078" s="2" t="s">
        <v>20</v>
      </c>
      <c r="F1078" s="2" t="n">
        <v>2206</v>
      </c>
      <c r="G1078" s="2" t="s">
        <v>20</v>
      </c>
      <c r="H1078" s="2" t="s">
        <v>20</v>
      </c>
      <c r="I1078" s="2" t="s">
        <v>21</v>
      </c>
      <c r="J1078" s="2" t="n">
        <v>12</v>
      </c>
      <c r="K1078" s="2" t="s">
        <v>46</v>
      </c>
      <c r="L1078" s="2" t="n">
        <v>104</v>
      </c>
      <c r="M1078" s="2" t="n">
        <v>1</v>
      </c>
      <c r="N1078" s="2" t="n">
        <v>99</v>
      </c>
      <c r="O1078" s="2" t="n">
        <v>2</v>
      </c>
      <c r="P1078" s="2" t="s">
        <v>37</v>
      </c>
      <c r="Q1078" s="2" t="s">
        <v>26</v>
      </c>
    </row>
    <row r="1079" customFormat="false" ht="15" hidden="false" customHeight="false" outlineLevel="0" collapsed="false">
      <c r="A1079" s="2" t="n">
        <v>38</v>
      </c>
      <c r="B1079" s="2" t="s">
        <v>40</v>
      </c>
      <c r="C1079" s="2" t="s">
        <v>18</v>
      </c>
      <c r="D1079" s="2" t="s">
        <v>31</v>
      </c>
      <c r="E1079" s="2" t="s">
        <v>20</v>
      </c>
      <c r="F1079" s="2" t="n">
        <v>1988</v>
      </c>
      <c r="G1079" s="2" t="s">
        <v>20</v>
      </c>
      <c r="H1079" s="2" t="s">
        <v>20</v>
      </c>
      <c r="I1079" s="2" t="s">
        <v>21</v>
      </c>
      <c r="J1079" s="2" t="n">
        <v>27</v>
      </c>
      <c r="K1079" s="2" t="s">
        <v>52</v>
      </c>
      <c r="L1079" s="2" t="n">
        <v>164</v>
      </c>
      <c r="M1079" s="2" t="n">
        <v>2</v>
      </c>
      <c r="N1079" s="2" t="n">
        <v>130</v>
      </c>
      <c r="O1079" s="2" t="n">
        <v>2</v>
      </c>
      <c r="P1079" s="2" t="s">
        <v>28</v>
      </c>
      <c r="Q1079" s="2" t="s">
        <v>26</v>
      </c>
    </row>
    <row r="1080" customFormat="false" ht="15" hidden="false" customHeight="false" outlineLevel="0" collapsed="false">
      <c r="A1080" s="2" t="n">
        <v>32</v>
      </c>
      <c r="B1080" s="2" t="s">
        <v>38</v>
      </c>
      <c r="C1080" s="2" t="s">
        <v>30</v>
      </c>
      <c r="D1080" s="2" t="s">
        <v>31</v>
      </c>
      <c r="E1080" s="2" t="s">
        <v>20</v>
      </c>
      <c r="F1080" s="2" t="n">
        <v>0</v>
      </c>
      <c r="G1080" s="2" t="s">
        <v>20</v>
      </c>
      <c r="H1080" s="2" t="s">
        <v>20</v>
      </c>
      <c r="I1080" s="2" t="s">
        <v>21</v>
      </c>
      <c r="J1080" s="2" t="n">
        <v>7</v>
      </c>
      <c r="K1080" s="2" t="s">
        <v>41</v>
      </c>
      <c r="L1080" s="2" t="n">
        <v>268</v>
      </c>
      <c r="M1080" s="2" t="n">
        <v>2</v>
      </c>
      <c r="N1080" s="2" t="n">
        <v>-1</v>
      </c>
      <c r="O1080" s="2" t="n">
        <v>0</v>
      </c>
      <c r="P1080" s="2" t="s">
        <v>23</v>
      </c>
      <c r="Q1080" s="2" t="s">
        <v>20</v>
      </c>
    </row>
    <row r="1081" customFormat="false" ht="15" hidden="false" customHeight="false" outlineLevel="0" collapsed="false">
      <c r="A1081" s="2" t="n">
        <v>50</v>
      </c>
      <c r="B1081" s="2" t="s">
        <v>40</v>
      </c>
      <c r="C1081" s="2" t="s">
        <v>45</v>
      </c>
      <c r="D1081" s="2" t="s">
        <v>25</v>
      </c>
      <c r="E1081" s="2" t="s">
        <v>20</v>
      </c>
      <c r="F1081" s="2" t="n">
        <v>202</v>
      </c>
      <c r="G1081" s="2" t="s">
        <v>20</v>
      </c>
      <c r="H1081" s="2" t="s">
        <v>26</v>
      </c>
      <c r="I1081" s="2" t="s">
        <v>21</v>
      </c>
      <c r="J1081" s="2" t="n">
        <v>17</v>
      </c>
      <c r="K1081" s="2" t="s">
        <v>46</v>
      </c>
      <c r="L1081" s="2" t="n">
        <v>148</v>
      </c>
      <c r="M1081" s="2" t="n">
        <v>1</v>
      </c>
      <c r="N1081" s="2" t="n">
        <v>-1</v>
      </c>
      <c r="O1081" s="2" t="n">
        <v>0</v>
      </c>
      <c r="P1081" s="2" t="s">
        <v>23</v>
      </c>
      <c r="Q1081" s="2" t="s">
        <v>20</v>
      </c>
    </row>
    <row r="1082" customFormat="false" ht="15" hidden="false" customHeight="false" outlineLevel="0" collapsed="false">
      <c r="A1082" s="2" t="n">
        <v>43</v>
      </c>
      <c r="B1082" s="2" t="s">
        <v>34</v>
      </c>
      <c r="C1082" s="2" t="s">
        <v>18</v>
      </c>
      <c r="D1082" s="2" t="s">
        <v>25</v>
      </c>
      <c r="E1082" s="2" t="s">
        <v>20</v>
      </c>
      <c r="F1082" s="2" t="n">
        <v>667</v>
      </c>
      <c r="G1082" s="2" t="s">
        <v>26</v>
      </c>
      <c r="H1082" s="2" t="s">
        <v>20</v>
      </c>
      <c r="I1082" s="2" t="s">
        <v>23</v>
      </c>
      <c r="J1082" s="2" t="n">
        <v>7</v>
      </c>
      <c r="K1082" s="2" t="s">
        <v>27</v>
      </c>
      <c r="L1082" s="2" t="n">
        <v>228</v>
      </c>
      <c r="M1082" s="2" t="n">
        <v>3</v>
      </c>
      <c r="N1082" s="2" t="n">
        <v>-1</v>
      </c>
      <c r="O1082" s="2" t="n">
        <v>0</v>
      </c>
      <c r="P1082" s="2" t="s">
        <v>23</v>
      </c>
      <c r="Q1082" s="2" t="s">
        <v>20</v>
      </c>
    </row>
    <row r="1083" customFormat="false" ht="15" hidden="false" customHeight="false" outlineLevel="0" collapsed="false">
      <c r="A1083" s="2" t="n">
        <v>48</v>
      </c>
      <c r="B1083" s="2" t="s">
        <v>40</v>
      </c>
      <c r="C1083" s="2" t="s">
        <v>18</v>
      </c>
      <c r="D1083" s="2" t="s">
        <v>25</v>
      </c>
      <c r="E1083" s="2" t="s">
        <v>20</v>
      </c>
      <c r="F1083" s="2" t="n">
        <v>112</v>
      </c>
      <c r="G1083" s="2" t="s">
        <v>20</v>
      </c>
      <c r="H1083" s="2" t="s">
        <v>20</v>
      </c>
      <c r="I1083" s="2" t="s">
        <v>21</v>
      </c>
      <c r="J1083" s="2" t="n">
        <v>18</v>
      </c>
      <c r="K1083" s="2" t="s">
        <v>41</v>
      </c>
      <c r="L1083" s="2" t="n">
        <v>139</v>
      </c>
      <c r="M1083" s="2" t="n">
        <v>5</v>
      </c>
      <c r="N1083" s="2" t="n">
        <v>-1</v>
      </c>
      <c r="O1083" s="2" t="n">
        <v>0</v>
      </c>
      <c r="P1083" s="2" t="s">
        <v>23</v>
      </c>
      <c r="Q1083" s="2" t="s">
        <v>20</v>
      </c>
    </row>
    <row r="1084" customFormat="false" ht="15" hidden="false" customHeight="false" outlineLevel="0" collapsed="false">
      <c r="A1084" s="2" t="n">
        <v>57</v>
      </c>
      <c r="B1084" s="2" t="s">
        <v>47</v>
      </c>
      <c r="C1084" s="2" t="s">
        <v>18</v>
      </c>
      <c r="D1084" s="2" t="s">
        <v>19</v>
      </c>
      <c r="E1084" s="2" t="s">
        <v>20</v>
      </c>
      <c r="F1084" s="2" t="n">
        <v>50</v>
      </c>
      <c r="G1084" s="2" t="s">
        <v>20</v>
      </c>
      <c r="H1084" s="2" t="s">
        <v>20</v>
      </c>
      <c r="I1084" s="2" t="s">
        <v>21</v>
      </c>
      <c r="J1084" s="2" t="n">
        <v>18</v>
      </c>
      <c r="K1084" s="2" t="s">
        <v>41</v>
      </c>
      <c r="L1084" s="2" t="n">
        <v>89</v>
      </c>
      <c r="M1084" s="2" t="n">
        <v>3</v>
      </c>
      <c r="N1084" s="2" t="n">
        <v>-1</v>
      </c>
      <c r="O1084" s="2" t="n">
        <v>0</v>
      </c>
      <c r="P1084" s="2" t="s">
        <v>23</v>
      </c>
      <c r="Q1084" s="2" t="s">
        <v>20</v>
      </c>
    </row>
    <row r="1085" customFormat="false" ht="15" hidden="false" customHeight="false" outlineLevel="0" collapsed="false">
      <c r="A1085" s="2" t="n">
        <v>64</v>
      </c>
      <c r="B1085" s="2" t="s">
        <v>47</v>
      </c>
      <c r="C1085" s="2" t="s">
        <v>18</v>
      </c>
      <c r="D1085" s="2" t="s">
        <v>19</v>
      </c>
      <c r="E1085" s="2" t="s">
        <v>20</v>
      </c>
      <c r="F1085" s="2" t="n">
        <v>768</v>
      </c>
      <c r="G1085" s="2" t="s">
        <v>20</v>
      </c>
      <c r="H1085" s="2" t="s">
        <v>20</v>
      </c>
      <c r="I1085" s="2" t="s">
        <v>21</v>
      </c>
      <c r="J1085" s="2" t="n">
        <v>15</v>
      </c>
      <c r="K1085" s="2" t="s">
        <v>44</v>
      </c>
      <c r="L1085" s="2" t="n">
        <v>250</v>
      </c>
      <c r="M1085" s="2" t="n">
        <v>2</v>
      </c>
      <c r="N1085" s="2" t="n">
        <v>182</v>
      </c>
      <c r="O1085" s="2" t="n">
        <v>1</v>
      </c>
      <c r="P1085" s="2" t="s">
        <v>50</v>
      </c>
      <c r="Q1085" s="2" t="s">
        <v>20</v>
      </c>
    </row>
    <row r="1086" customFormat="false" ht="15" hidden="false" customHeight="false" outlineLevel="0" collapsed="false">
      <c r="A1086" s="2" t="n">
        <v>26</v>
      </c>
      <c r="B1086" s="2" t="s">
        <v>24</v>
      </c>
      <c r="C1086" s="2" t="s">
        <v>45</v>
      </c>
      <c r="D1086" s="2" t="s">
        <v>25</v>
      </c>
      <c r="E1086" s="2" t="s">
        <v>20</v>
      </c>
      <c r="F1086" s="2" t="n">
        <v>74</v>
      </c>
      <c r="G1086" s="2" t="s">
        <v>26</v>
      </c>
      <c r="H1086" s="2" t="s">
        <v>20</v>
      </c>
      <c r="I1086" s="2" t="s">
        <v>23</v>
      </c>
      <c r="J1086" s="2" t="n">
        <v>23</v>
      </c>
      <c r="K1086" s="2" t="s">
        <v>27</v>
      </c>
      <c r="L1086" s="2" t="n">
        <v>106</v>
      </c>
      <c r="M1086" s="2" t="n">
        <v>6</v>
      </c>
      <c r="N1086" s="2" t="n">
        <v>-1</v>
      </c>
      <c r="O1086" s="2" t="n">
        <v>0</v>
      </c>
      <c r="P1086" s="2" t="s">
        <v>23</v>
      </c>
      <c r="Q1086" s="2" t="s">
        <v>20</v>
      </c>
    </row>
    <row r="1087" customFormat="false" ht="15" hidden="false" customHeight="false" outlineLevel="0" collapsed="false">
      <c r="A1087" s="2" t="n">
        <v>33</v>
      </c>
      <c r="B1087" s="2" t="s">
        <v>34</v>
      </c>
      <c r="C1087" s="2" t="s">
        <v>18</v>
      </c>
      <c r="D1087" s="2" t="s">
        <v>25</v>
      </c>
      <c r="E1087" s="2" t="s">
        <v>20</v>
      </c>
      <c r="F1087" s="2" t="n">
        <v>661</v>
      </c>
      <c r="G1087" s="2" t="s">
        <v>26</v>
      </c>
      <c r="H1087" s="2" t="s">
        <v>20</v>
      </c>
      <c r="I1087" s="2" t="s">
        <v>21</v>
      </c>
      <c r="J1087" s="2" t="n">
        <v>18</v>
      </c>
      <c r="K1087" s="2" t="s">
        <v>44</v>
      </c>
      <c r="L1087" s="2" t="n">
        <v>968</v>
      </c>
      <c r="M1087" s="2" t="n">
        <v>1</v>
      </c>
      <c r="N1087" s="2" t="n">
        <v>-1</v>
      </c>
      <c r="O1087" s="2" t="n">
        <v>0</v>
      </c>
      <c r="P1087" s="2" t="s">
        <v>23</v>
      </c>
      <c r="Q1087" s="2" t="s">
        <v>26</v>
      </c>
    </row>
    <row r="1088" customFormat="false" ht="15" hidden="false" customHeight="false" outlineLevel="0" collapsed="false">
      <c r="A1088" s="2" t="n">
        <v>50</v>
      </c>
      <c r="B1088" s="2" t="s">
        <v>36</v>
      </c>
      <c r="C1088" s="2" t="s">
        <v>18</v>
      </c>
      <c r="D1088" s="2" t="s">
        <v>25</v>
      </c>
      <c r="E1088" s="2" t="s">
        <v>20</v>
      </c>
      <c r="F1088" s="2" t="n">
        <v>3025</v>
      </c>
      <c r="G1088" s="2" t="s">
        <v>20</v>
      </c>
      <c r="H1088" s="2" t="s">
        <v>26</v>
      </c>
      <c r="I1088" s="2" t="s">
        <v>21</v>
      </c>
      <c r="J1088" s="2" t="n">
        <v>6</v>
      </c>
      <c r="K1088" s="2" t="s">
        <v>41</v>
      </c>
      <c r="L1088" s="2" t="n">
        <v>168</v>
      </c>
      <c r="M1088" s="2" t="n">
        <v>3</v>
      </c>
      <c r="N1088" s="2" t="n">
        <v>-1</v>
      </c>
      <c r="O1088" s="2" t="n">
        <v>0</v>
      </c>
      <c r="P1088" s="2" t="s">
        <v>23</v>
      </c>
      <c r="Q1088" s="2" t="s">
        <v>20</v>
      </c>
    </row>
    <row r="1089" customFormat="false" ht="15" hidden="false" customHeight="false" outlineLevel="0" collapsed="false">
      <c r="A1089" s="2" t="n">
        <v>47</v>
      </c>
      <c r="B1089" s="2" t="s">
        <v>36</v>
      </c>
      <c r="C1089" s="2" t="s">
        <v>18</v>
      </c>
      <c r="D1089" s="2" t="s">
        <v>31</v>
      </c>
      <c r="E1089" s="2" t="s">
        <v>20</v>
      </c>
      <c r="F1089" s="2" t="n">
        <v>751</v>
      </c>
      <c r="G1089" s="2" t="s">
        <v>20</v>
      </c>
      <c r="H1089" s="2" t="s">
        <v>20</v>
      </c>
      <c r="I1089" s="2" t="s">
        <v>21</v>
      </c>
      <c r="J1089" s="2" t="n">
        <v>24</v>
      </c>
      <c r="K1089" s="2" t="s">
        <v>44</v>
      </c>
      <c r="L1089" s="2" t="n">
        <v>408</v>
      </c>
      <c r="M1089" s="2" t="n">
        <v>14</v>
      </c>
      <c r="N1089" s="2" t="n">
        <v>-1</v>
      </c>
      <c r="O1089" s="2" t="n">
        <v>0</v>
      </c>
      <c r="P1089" s="2" t="s">
        <v>23</v>
      </c>
      <c r="Q1089" s="2" t="s">
        <v>20</v>
      </c>
    </row>
    <row r="1090" customFormat="false" ht="15" hidden="false" customHeight="false" outlineLevel="0" collapsed="false">
      <c r="A1090" s="2" t="n">
        <v>39</v>
      </c>
      <c r="B1090" s="2" t="s">
        <v>29</v>
      </c>
      <c r="C1090" s="2" t="s">
        <v>30</v>
      </c>
      <c r="D1090" s="2" t="s">
        <v>31</v>
      </c>
      <c r="E1090" s="2" t="s">
        <v>20</v>
      </c>
      <c r="F1090" s="2" t="n">
        <v>416</v>
      </c>
      <c r="G1090" s="2" t="s">
        <v>20</v>
      </c>
      <c r="H1090" s="2" t="s">
        <v>20</v>
      </c>
      <c r="I1090" s="2" t="s">
        <v>21</v>
      </c>
      <c r="J1090" s="2" t="n">
        <v>23</v>
      </c>
      <c r="K1090" s="2" t="s">
        <v>22</v>
      </c>
      <c r="L1090" s="2" t="n">
        <v>56</v>
      </c>
      <c r="M1090" s="2" t="n">
        <v>4</v>
      </c>
      <c r="N1090" s="2" t="n">
        <v>-1</v>
      </c>
      <c r="O1090" s="2" t="n">
        <v>0</v>
      </c>
      <c r="P1090" s="2" t="s">
        <v>23</v>
      </c>
      <c r="Q1090" s="2" t="s">
        <v>20</v>
      </c>
    </row>
    <row r="1091" customFormat="false" ht="15" hidden="false" customHeight="false" outlineLevel="0" collapsed="false">
      <c r="A1091" s="2" t="n">
        <v>52</v>
      </c>
      <c r="B1091" s="2" t="s">
        <v>24</v>
      </c>
      <c r="C1091" s="2" t="s">
        <v>18</v>
      </c>
      <c r="D1091" s="2" t="s">
        <v>19</v>
      </c>
      <c r="E1091" s="2" t="s">
        <v>20</v>
      </c>
      <c r="F1091" s="2" t="n">
        <v>14</v>
      </c>
      <c r="G1091" s="2" t="s">
        <v>20</v>
      </c>
      <c r="H1091" s="2" t="s">
        <v>26</v>
      </c>
      <c r="I1091" s="2" t="s">
        <v>21</v>
      </c>
      <c r="J1091" s="2" t="n">
        <v>28</v>
      </c>
      <c r="K1091" s="2" t="s">
        <v>44</v>
      </c>
      <c r="L1091" s="2" t="n">
        <v>55</v>
      </c>
      <c r="M1091" s="2" t="n">
        <v>5</v>
      </c>
      <c r="N1091" s="2" t="n">
        <v>-1</v>
      </c>
      <c r="O1091" s="2" t="n">
        <v>0</v>
      </c>
      <c r="P1091" s="2" t="s">
        <v>23</v>
      </c>
      <c r="Q1091" s="2" t="s">
        <v>20</v>
      </c>
    </row>
    <row r="1092" customFormat="false" ht="15" hidden="false" customHeight="false" outlineLevel="0" collapsed="false">
      <c r="A1092" s="2" t="n">
        <v>31</v>
      </c>
      <c r="B1092" s="2" t="s">
        <v>34</v>
      </c>
      <c r="C1092" s="2" t="s">
        <v>30</v>
      </c>
      <c r="D1092" s="2" t="s">
        <v>19</v>
      </c>
      <c r="E1092" s="2" t="s">
        <v>20</v>
      </c>
      <c r="F1092" s="2" t="n">
        <v>-502</v>
      </c>
      <c r="G1092" s="2" t="s">
        <v>26</v>
      </c>
      <c r="H1092" s="2" t="s">
        <v>20</v>
      </c>
      <c r="I1092" s="2" t="s">
        <v>23</v>
      </c>
      <c r="J1092" s="2" t="n">
        <v>29</v>
      </c>
      <c r="K1092" s="2" t="s">
        <v>27</v>
      </c>
      <c r="L1092" s="2" t="n">
        <v>76</v>
      </c>
      <c r="M1092" s="2" t="n">
        <v>4</v>
      </c>
      <c r="N1092" s="2" t="n">
        <v>-1</v>
      </c>
      <c r="O1092" s="2" t="n">
        <v>0</v>
      </c>
      <c r="P1092" s="2" t="s">
        <v>23</v>
      </c>
      <c r="Q1092" s="2" t="s">
        <v>20</v>
      </c>
    </row>
    <row r="1093" customFormat="false" ht="15" hidden="false" customHeight="false" outlineLevel="0" collapsed="false">
      <c r="A1093" s="2" t="n">
        <v>50</v>
      </c>
      <c r="B1093" s="2" t="s">
        <v>34</v>
      </c>
      <c r="C1093" s="2" t="s">
        <v>18</v>
      </c>
      <c r="D1093" s="2" t="s">
        <v>19</v>
      </c>
      <c r="E1093" s="2" t="s">
        <v>20</v>
      </c>
      <c r="F1093" s="2" t="n">
        <v>0</v>
      </c>
      <c r="G1093" s="2" t="s">
        <v>20</v>
      </c>
      <c r="H1093" s="2" t="s">
        <v>20</v>
      </c>
      <c r="I1093" s="2" t="s">
        <v>21</v>
      </c>
      <c r="J1093" s="2" t="n">
        <v>11</v>
      </c>
      <c r="K1093" s="2" t="s">
        <v>41</v>
      </c>
      <c r="L1093" s="2" t="n">
        <v>72</v>
      </c>
      <c r="M1093" s="2" t="n">
        <v>5</v>
      </c>
      <c r="N1093" s="2" t="n">
        <v>-1</v>
      </c>
      <c r="O1093" s="2" t="n">
        <v>0</v>
      </c>
      <c r="P1093" s="2" t="s">
        <v>23</v>
      </c>
      <c r="Q1093" s="2" t="s">
        <v>20</v>
      </c>
    </row>
    <row r="1094" customFormat="false" ht="15" hidden="false" customHeight="false" outlineLevel="0" collapsed="false">
      <c r="A1094" s="2" t="n">
        <v>47</v>
      </c>
      <c r="B1094" s="2" t="s">
        <v>38</v>
      </c>
      <c r="C1094" s="2" t="s">
        <v>18</v>
      </c>
      <c r="D1094" s="2" t="s">
        <v>25</v>
      </c>
      <c r="E1094" s="2" t="s">
        <v>20</v>
      </c>
      <c r="F1094" s="2" t="n">
        <v>599</v>
      </c>
      <c r="G1094" s="2" t="s">
        <v>26</v>
      </c>
      <c r="H1094" s="2" t="s">
        <v>20</v>
      </c>
      <c r="I1094" s="2" t="s">
        <v>21</v>
      </c>
      <c r="J1094" s="2" t="n">
        <v>13</v>
      </c>
      <c r="K1094" s="2" t="s">
        <v>41</v>
      </c>
      <c r="L1094" s="2" t="n">
        <v>99</v>
      </c>
      <c r="M1094" s="2" t="n">
        <v>3</v>
      </c>
      <c r="N1094" s="2" t="n">
        <v>-1</v>
      </c>
      <c r="O1094" s="2" t="n">
        <v>0</v>
      </c>
      <c r="P1094" s="2" t="s">
        <v>23</v>
      </c>
      <c r="Q1094" s="2" t="s">
        <v>20</v>
      </c>
    </row>
    <row r="1095" customFormat="false" ht="15" hidden="false" customHeight="false" outlineLevel="0" collapsed="false">
      <c r="A1095" s="2" t="n">
        <v>30</v>
      </c>
      <c r="B1095" s="2" t="s">
        <v>29</v>
      </c>
      <c r="C1095" s="2" t="s">
        <v>30</v>
      </c>
      <c r="D1095" s="2" t="s">
        <v>31</v>
      </c>
      <c r="E1095" s="2" t="s">
        <v>20</v>
      </c>
      <c r="F1095" s="2" t="n">
        <v>-218</v>
      </c>
      <c r="G1095" s="2" t="s">
        <v>26</v>
      </c>
      <c r="H1095" s="2" t="s">
        <v>20</v>
      </c>
      <c r="I1095" s="2" t="s">
        <v>21</v>
      </c>
      <c r="J1095" s="2" t="n">
        <v>27</v>
      </c>
      <c r="K1095" s="2" t="s">
        <v>41</v>
      </c>
      <c r="L1095" s="2" t="n">
        <v>13</v>
      </c>
      <c r="M1095" s="2" t="n">
        <v>15</v>
      </c>
      <c r="N1095" s="2" t="n">
        <v>-1</v>
      </c>
      <c r="O1095" s="2" t="n">
        <v>0</v>
      </c>
      <c r="P1095" s="2" t="s">
        <v>23</v>
      </c>
      <c r="Q1095" s="2" t="s">
        <v>20</v>
      </c>
    </row>
    <row r="1096" customFormat="false" ht="15" hidden="false" customHeight="false" outlineLevel="0" collapsed="false">
      <c r="A1096" s="2" t="n">
        <v>32</v>
      </c>
      <c r="B1096" s="2" t="s">
        <v>38</v>
      </c>
      <c r="C1096" s="2" t="s">
        <v>30</v>
      </c>
      <c r="D1096" s="2" t="s">
        <v>31</v>
      </c>
      <c r="E1096" s="2" t="s">
        <v>20</v>
      </c>
      <c r="F1096" s="2" t="n">
        <v>1012</v>
      </c>
      <c r="G1096" s="2" t="s">
        <v>20</v>
      </c>
      <c r="H1096" s="2" t="s">
        <v>20</v>
      </c>
      <c r="I1096" s="2" t="s">
        <v>21</v>
      </c>
      <c r="J1096" s="2" t="n">
        <v>14</v>
      </c>
      <c r="K1096" s="2" t="s">
        <v>32</v>
      </c>
      <c r="L1096" s="2" t="n">
        <v>178</v>
      </c>
      <c r="M1096" s="2" t="n">
        <v>1</v>
      </c>
      <c r="N1096" s="2" t="n">
        <v>-1</v>
      </c>
      <c r="O1096" s="2" t="n">
        <v>0</v>
      </c>
      <c r="P1096" s="2" t="s">
        <v>23</v>
      </c>
      <c r="Q1096" s="2" t="s">
        <v>20</v>
      </c>
    </row>
    <row r="1097" customFormat="false" ht="15" hidden="false" customHeight="false" outlineLevel="0" collapsed="false">
      <c r="A1097" s="2" t="n">
        <v>36</v>
      </c>
      <c r="B1097" s="2" t="s">
        <v>38</v>
      </c>
      <c r="C1097" s="2" t="s">
        <v>18</v>
      </c>
      <c r="D1097" s="2" t="s">
        <v>25</v>
      </c>
      <c r="E1097" s="2" t="s">
        <v>20</v>
      </c>
      <c r="F1097" s="2" t="n">
        <v>300</v>
      </c>
      <c r="G1097" s="2" t="s">
        <v>20</v>
      </c>
      <c r="H1097" s="2" t="s">
        <v>20</v>
      </c>
      <c r="I1097" s="2" t="s">
        <v>23</v>
      </c>
      <c r="J1097" s="2" t="n">
        <v>9</v>
      </c>
      <c r="K1097" s="2" t="s">
        <v>33</v>
      </c>
      <c r="L1097" s="2" t="n">
        <v>287</v>
      </c>
      <c r="M1097" s="2" t="n">
        <v>1</v>
      </c>
      <c r="N1097" s="2" t="n">
        <v>-1</v>
      </c>
      <c r="O1097" s="2" t="n">
        <v>0</v>
      </c>
      <c r="P1097" s="2" t="s">
        <v>23</v>
      </c>
      <c r="Q1097" s="2" t="s">
        <v>20</v>
      </c>
    </row>
    <row r="1098" customFormat="false" ht="15" hidden="false" customHeight="false" outlineLevel="0" collapsed="false">
      <c r="A1098" s="2" t="n">
        <v>46</v>
      </c>
      <c r="B1098" s="2" t="s">
        <v>38</v>
      </c>
      <c r="C1098" s="2" t="s">
        <v>18</v>
      </c>
      <c r="D1098" s="2" t="s">
        <v>31</v>
      </c>
      <c r="E1098" s="2" t="s">
        <v>20</v>
      </c>
      <c r="F1098" s="2" t="n">
        <v>217</v>
      </c>
      <c r="G1098" s="2" t="s">
        <v>26</v>
      </c>
      <c r="H1098" s="2" t="s">
        <v>20</v>
      </c>
      <c r="I1098" s="2" t="s">
        <v>21</v>
      </c>
      <c r="J1098" s="2" t="n">
        <v>14</v>
      </c>
      <c r="K1098" s="2" t="s">
        <v>27</v>
      </c>
      <c r="L1098" s="2" t="n">
        <v>141</v>
      </c>
      <c r="M1098" s="2" t="n">
        <v>1</v>
      </c>
      <c r="N1098" s="2" t="n">
        <v>346</v>
      </c>
      <c r="O1098" s="2" t="n">
        <v>2</v>
      </c>
      <c r="P1098" s="2" t="s">
        <v>37</v>
      </c>
      <c r="Q1098" s="2" t="s">
        <v>20</v>
      </c>
    </row>
    <row r="1099" customFormat="false" ht="15" hidden="false" customHeight="false" outlineLevel="0" collapsed="false">
      <c r="A1099" s="2" t="n">
        <v>45</v>
      </c>
      <c r="B1099" s="2" t="s">
        <v>29</v>
      </c>
      <c r="C1099" s="2" t="s">
        <v>45</v>
      </c>
      <c r="D1099" s="2" t="s">
        <v>31</v>
      </c>
      <c r="E1099" s="2" t="s">
        <v>20</v>
      </c>
      <c r="F1099" s="2" t="n">
        <v>2096</v>
      </c>
      <c r="G1099" s="2" t="s">
        <v>20</v>
      </c>
      <c r="H1099" s="2" t="s">
        <v>20</v>
      </c>
      <c r="I1099" s="2" t="s">
        <v>21</v>
      </c>
      <c r="J1099" s="2" t="n">
        <v>21</v>
      </c>
      <c r="K1099" s="2" t="s">
        <v>46</v>
      </c>
      <c r="L1099" s="2" t="n">
        <v>127</v>
      </c>
      <c r="M1099" s="2" t="n">
        <v>1</v>
      </c>
      <c r="N1099" s="2" t="n">
        <v>100</v>
      </c>
      <c r="O1099" s="2" t="n">
        <v>2</v>
      </c>
      <c r="P1099" s="2" t="s">
        <v>28</v>
      </c>
      <c r="Q1099" s="2" t="s">
        <v>20</v>
      </c>
    </row>
    <row r="1100" customFormat="false" ht="15" hidden="false" customHeight="false" outlineLevel="0" collapsed="false">
      <c r="A1100" s="2" t="n">
        <v>37</v>
      </c>
      <c r="B1100" s="2" t="s">
        <v>38</v>
      </c>
      <c r="C1100" s="2" t="s">
        <v>30</v>
      </c>
      <c r="D1100" s="2" t="s">
        <v>25</v>
      </c>
      <c r="E1100" s="2" t="s">
        <v>20</v>
      </c>
      <c r="F1100" s="2" t="n">
        <v>0</v>
      </c>
      <c r="G1100" s="2" t="s">
        <v>20</v>
      </c>
      <c r="H1100" s="2" t="s">
        <v>20</v>
      </c>
      <c r="I1100" s="2" t="s">
        <v>21</v>
      </c>
      <c r="J1100" s="2" t="n">
        <v>4</v>
      </c>
      <c r="K1100" s="2" t="s">
        <v>41</v>
      </c>
      <c r="L1100" s="2" t="n">
        <v>69</v>
      </c>
      <c r="M1100" s="2" t="n">
        <v>2</v>
      </c>
      <c r="N1100" s="2" t="n">
        <v>-1</v>
      </c>
      <c r="O1100" s="2" t="n">
        <v>0</v>
      </c>
      <c r="P1100" s="2" t="s">
        <v>23</v>
      </c>
      <c r="Q1100" s="2" t="s">
        <v>20</v>
      </c>
    </row>
    <row r="1101" customFormat="false" ht="15" hidden="false" customHeight="false" outlineLevel="0" collapsed="false">
      <c r="A1101" s="2" t="n">
        <v>58</v>
      </c>
      <c r="B1101" s="2" t="s">
        <v>47</v>
      </c>
      <c r="C1101" s="2" t="s">
        <v>18</v>
      </c>
      <c r="D1101" s="2" t="s">
        <v>19</v>
      </c>
      <c r="E1101" s="2" t="s">
        <v>20</v>
      </c>
      <c r="F1101" s="2" t="n">
        <v>5278</v>
      </c>
      <c r="G1101" s="2" t="s">
        <v>26</v>
      </c>
      <c r="H1101" s="2" t="s">
        <v>20</v>
      </c>
      <c r="I1101" s="2" t="s">
        <v>23</v>
      </c>
      <c r="J1101" s="2" t="n">
        <v>4</v>
      </c>
      <c r="K1101" s="2" t="s">
        <v>33</v>
      </c>
      <c r="L1101" s="2" t="n">
        <v>763</v>
      </c>
      <c r="M1101" s="2" t="n">
        <v>4</v>
      </c>
      <c r="N1101" s="2" t="n">
        <v>-1</v>
      </c>
      <c r="O1101" s="2" t="n">
        <v>0</v>
      </c>
      <c r="P1101" s="2" t="s">
        <v>23</v>
      </c>
      <c r="Q1101" s="2" t="s">
        <v>20</v>
      </c>
    </row>
    <row r="1102" customFormat="false" ht="15" hidden="false" customHeight="false" outlineLevel="0" collapsed="false">
      <c r="A1102" s="2" t="n">
        <v>59</v>
      </c>
      <c r="B1102" s="2" t="s">
        <v>29</v>
      </c>
      <c r="C1102" s="2" t="s">
        <v>18</v>
      </c>
      <c r="D1102" s="2" t="s">
        <v>31</v>
      </c>
      <c r="E1102" s="2" t="s">
        <v>20</v>
      </c>
      <c r="F1102" s="2" t="n">
        <v>1831</v>
      </c>
      <c r="G1102" s="2" t="s">
        <v>20</v>
      </c>
      <c r="H1102" s="2" t="s">
        <v>20</v>
      </c>
      <c r="I1102" s="2" t="s">
        <v>21</v>
      </c>
      <c r="J1102" s="2" t="n">
        <v>17</v>
      </c>
      <c r="K1102" s="2" t="s">
        <v>35</v>
      </c>
      <c r="L1102" s="2" t="n">
        <v>122</v>
      </c>
      <c r="M1102" s="2" t="n">
        <v>1</v>
      </c>
      <c r="N1102" s="2" t="n">
        <v>92</v>
      </c>
      <c r="O1102" s="2" t="n">
        <v>1</v>
      </c>
      <c r="P1102" s="2" t="s">
        <v>28</v>
      </c>
      <c r="Q1102" s="2" t="s">
        <v>20</v>
      </c>
    </row>
    <row r="1103" customFormat="false" ht="15" hidden="false" customHeight="false" outlineLevel="0" collapsed="false">
      <c r="A1103" s="2" t="n">
        <v>28</v>
      </c>
      <c r="B1103" s="2" t="s">
        <v>29</v>
      </c>
      <c r="C1103" s="2" t="s">
        <v>18</v>
      </c>
      <c r="D1103" s="2" t="s">
        <v>31</v>
      </c>
      <c r="E1103" s="2" t="s">
        <v>20</v>
      </c>
      <c r="F1103" s="2" t="n">
        <v>1480</v>
      </c>
      <c r="G1103" s="2" t="s">
        <v>26</v>
      </c>
      <c r="H1103" s="2" t="s">
        <v>20</v>
      </c>
      <c r="I1103" s="2" t="s">
        <v>21</v>
      </c>
      <c r="J1103" s="2" t="n">
        <v>18</v>
      </c>
      <c r="K1103" s="2" t="s">
        <v>27</v>
      </c>
      <c r="L1103" s="2" t="n">
        <v>143</v>
      </c>
      <c r="M1103" s="2" t="n">
        <v>1</v>
      </c>
      <c r="N1103" s="2" t="n">
        <v>-1</v>
      </c>
      <c r="O1103" s="2" t="n">
        <v>0</v>
      </c>
      <c r="P1103" s="2" t="s">
        <v>23</v>
      </c>
      <c r="Q1103" s="2" t="s">
        <v>20</v>
      </c>
    </row>
    <row r="1104" customFormat="false" ht="15" hidden="false" customHeight="false" outlineLevel="0" collapsed="false">
      <c r="A1104" s="2" t="n">
        <v>48</v>
      </c>
      <c r="B1104" s="2" t="s">
        <v>29</v>
      </c>
      <c r="C1104" s="2" t="s">
        <v>18</v>
      </c>
      <c r="D1104" s="2" t="s">
        <v>31</v>
      </c>
      <c r="E1104" s="2" t="s">
        <v>20</v>
      </c>
      <c r="F1104" s="2" t="n">
        <v>7289</v>
      </c>
      <c r="G1104" s="2" t="s">
        <v>26</v>
      </c>
      <c r="H1104" s="2" t="s">
        <v>20</v>
      </c>
      <c r="I1104" s="2" t="s">
        <v>21</v>
      </c>
      <c r="J1104" s="2" t="n">
        <v>2</v>
      </c>
      <c r="K1104" s="2" t="s">
        <v>35</v>
      </c>
      <c r="L1104" s="2" t="n">
        <v>316</v>
      </c>
      <c r="M1104" s="2" t="n">
        <v>3</v>
      </c>
      <c r="N1104" s="2" t="n">
        <v>-1</v>
      </c>
      <c r="O1104" s="2" t="n">
        <v>0</v>
      </c>
      <c r="P1104" s="2" t="s">
        <v>23</v>
      </c>
      <c r="Q1104" s="2" t="s">
        <v>20</v>
      </c>
    </row>
    <row r="1105" customFormat="false" ht="15" hidden="false" customHeight="false" outlineLevel="0" collapsed="false">
      <c r="A1105" s="2" t="n">
        <v>55</v>
      </c>
      <c r="B1105" s="2" t="s">
        <v>34</v>
      </c>
      <c r="C1105" s="2" t="s">
        <v>18</v>
      </c>
      <c r="D1105" s="2" t="s">
        <v>23</v>
      </c>
      <c r="E1105" s="2" t="s">
        <v>20</v>
      </c>
      <c r="F1105" s="2" t="n">
        <v>1665</v>
      </c>
      <c r="G1105" s="2" t="s">
        <v>20</v>
      </c>
      <c r="H1105" s="2" t="s">
        <v>20</v>
      </c>
      <c r="I1105" s="2" t="s">
        <v>49</v>
      </c>
      <c r="J1105" s="2" t="n">
        <v>30</v>
      </c>
      <c r="K1105" s="2" t="s">
        <v>44</v>
      </c>
      <c r="L1105" s="2" t="n">
        <v>89</v>
      </c>
      <c r="M1105" s="2" t="n">
        <v>2</v>
      </c>
      <c r="N1105" s="2" t="n">
        <v>-1</v>
      </c>
      <c r="O1105" s="2" t="n">
        <v>0</v>
      </c>
      <c r="P1105" s="2" t="s">
        <v>23</v>
      </c>
      <c r="Q1105" s="2" t="s">
        <v>20</v>
      </c>
    </row>
    <row r="1106" customFormat="false" ht="15" hidden="false" customHeight="false" outlineLevel="0" collapsed="false">
      <c r="A1106" s="2" t="n">
        <v>37</v>
      </c>
      <c r="B1106" s="2" t="s">
        <v>34</v>
      </c>
      <c r="C1106" s="2" t="s">
        <v>30</v>
      </c>
      <c r="D1106" s="2" t="s">
        <v>19</v>
      </c>
      <c r="E1106" s="2" t="s">
        <v>20</v>
      </c>
      <c r="F1106" s="2" t="n">
        <v>851</v>
      </c>
      <c r="G1106" s="2" t="s">
        <v>26</v>
      </c>
      <c r="H1106" s="2" t="s">
        <v>20</v>
      </c>
      <c r="I1106" s="2" t="s">
        <v>21</v>
      </c>
      <c r="J1106" s="2" t="n">
        <v>15</v>
      </c>
      <c r="K1106" s="2" t="s">
        <v>27</v>
      </c>
      <c r="L1106" s="2" t="n">
        <v>151</v>
      </c>
      <c r="M1106" s="2" t="n">
        <v>1</v>
      </c>
      <c r="N1106" s="2" t="n">
        <v>352</v>
      </c>
      <c r="O1106" s="2" t="n">
        <v>1</v>
      </c>
      <c r="P1106" s="2" t="s">
        <v>28</v>
      </c>
      <c r="Q1106" s="2" t="s">
        <v>20</v>
      </c>
    </row>
    <row r="1107" customFormat="false" ht="15" hidden="false" customHeight="false" outlineLevel="0" collapsed="false">
      <c r="A1107" s="2" t="n">
        <v>41</v>
      </c>
      <c r="B1107" s="2" t="s">
        <v>29</v>
      </c>
      <c r="C1107" s="2" t="s">
        <v>18</v>
      </c>
      <c r="D1107" s="2" t="s">
        <v>31</v>
      </c>
      <c r="E1107" s="2" t="s">
        <v>20</v>
      </c>
      <c r="F1107" s="2" t="n">
        <v>2885</v>
      </c>
      <c r="G1107" s="2" t="s">
        <v>20</v>
      </c>
      <c r="H1107" s="2" t="s">
        <v>20</v>
      </c>
      <c r="I1107" s="2" t="s">
        <v>21</v>
      </c>
      <c r="J1107" s="2" t="n">
        <v>19</v>
      </c>
      <c r="K1107" s="2" t="s">
        <v>46</v>
      </c>
      <c r="L1107" s="2" t="n">
        <v>40</v>
      </c>
      <c r="M1107" s="2" t="n">
        <v>1</v>
      </c>
      <c r="N1107" s="2" t="n">
        <v>-1</v>
      </c>
      <c r="O1107" s="2" t="n">
        <v>0</v>
      </c>
      <c r="P1107" s="2" t="s">
        <v>23</v>
      </c>
      <c r="Q1107" s="2" t="s">
        <v>20</v>
      </c>
    </row>
    <row r="1108" customFormat="false" ht="15" hidden="false" customHeight="false" outlineLevel="0" collapsed="false">
      <c r="A1108" s="2" t="n">
        <v>35</v>
      </c>
      <c r="B1108" s="2" t="s">
        <v>34</v>
      </c>
      <c r="C1108" s="2" t="s">
        <v>18</v>
      </c>
      <c r="D1108" s="2" t="s">
        <v>25</v>
      </c>
      <c r="E1108" s="2" t="s">
        <v>20</v>
      </c>
      <c r="F1108" s="2" t="n">
        <v>137</v>
      </c>
      <c r="G1108" s="2" t="s">
        <v>20</v>
      </c>
      <c r="H1108" s="2" t="s">
        <v>26</v>
      </c>
      <c r="I1108" s="2" t="s">
        <v>23</v>
      </c>
      <c r="J1108" s="2" t="n">
        <v>4</v>
      </c>
      <c r="K1108" s="2" t="s">
        <v>22</v>
      </c>
      <c r="L1108" s="2" t="n">
        <v>5</v>
      </c>
      <c r="M1108" s="2" t="n">
        <v>1</v>
      </c>
      <c r="N1108" s="2" t="n">
        <v>808</v>
      </c>
      <c r="O1108" s="2" t="n">
        <v>12</v>
      </c>
      <c r="P1108" s="2" t="s">
        <v>28</v>
      </c>
      <c r="Q1108" s="2" t="s">
        <v>20</v>
      </c>
    </row>
    <row r="1109" customFormat="false" ht="15" hidden="false" customHeight="false" outlineLevel="0" collapsed="false">
      <c r="A1109" s="2" t="n">
        <v>34</v>
      </c>
      <c r="B1109" s="2" t="s">
        <v>34</v>
      </c>
      <c r="C1109" s="2" t="s">
        <v>30</v>
      </c>
      <c r="D1109" s="2" t="s">
        <v>25</v>
      </c>
      <c r="E1109" s="2" t="s">
        <v>20</v>
      </c>
      <c r="F1109" s="2" t="n">
        <v>1239</v>
      </c>
      <c r="G1109" s="2" t="s">
        <v>26</v>
      </c>
      <c r="H1109" s="2" t="s">
        <v>20</v>
      </c>
      <c r="I1109" s="2" t="s">
        <v>21</v>
      </c>
      <c r="J1109" s="2" t="n">
        <v>18</v>
      </c>
      <c r="K1109" s="2" t="s">
        <v>44</v>
      </c>
      <c r="L1109" s="2" t="n">
        <v>90</v>
      </c>
      <c r="M1109" s="2" t="n">
        <v>1</v>
      </c>
      <c r="N1109" s="2" t="n">
        <v>-1</v>
      </c>
      <c r="O1109" s="2" t="n">
        <v>0</v>
      </c>
      <c r="P1109" s="2" t="s">
        <v>23</v>
      </c>
      <c r="Q1109" s="2" t="s">
        <v>20</v>
      </c>
    </row>
    <row r="1110" customFormat="false" ht="15" hidden="false" customHeight="false" outlineLevel="0" collapsed="false">
      <c r="A1110" s="2" t="n">
        <v>43</v>
      </c>
      <c r="B1110" s="2" t="s">
        <v>29</v>
      </c>
      <c r="C1110" s="2" t="s">
        <v>30</v>
      </c>
      <c r="D1110" s="2" t="s">
        <v>31</v>
      </c>
      <c r="E1110" s="2" t="s">
        <v>20</v>
      </c>
      <c r="F1110" s="2" t="n">
        <v>146</v>
      </c>
      <c r="G1110" s="2" t="s">
        <v>20</v>
      </c>
      <c r="H1110" s="2" t="s">
        <v>20</v>
      </c>
      <c r="I1110" s="2" t="s">
        <v>21</v>
      </c>
      <c r="J1110" s="2" t="n">
        <v>21</v>
      </c>
      <c r="K1110" s="2" t="s">
        <v>46</v>
      </c>
      <c r="L1110" s="2" t="n">
        <v>50</v>
      </c>
      <c r="M1110" s="2" t="n">
        <v>1</v>
      </c>
      <c r="N1110" s="2" t="n">
        <v>113</v>
      </c>
      <c r="O1110" s="2" t="n">
        <v>5</v>
      </c>
      <c r="P1110" s="2" t="s">
        <v>37</v>
      </c>
      <c r="Q1110" s="2" t="s">
        <v>20</v>
      </c>
    </row>
    <row r="1111" customFormat="false" ht="15" hidden="false" customHeight="false" outlineLevel="0" collapsed="false">
      <c r="A1111" s="2" t="n">
        <v>59</v>
      </c>
      <c r="B1111" s="2" t="s">
        <v>38</v>
      </c>
      <c r="C1111" s="2" t="s">
        <v>18</v>
      </c>
      <c r="D1111" s="2" t="s">
        <v>25</v>
      </c>
      <c r="E1111" s="2" t="s">
        <v>20</v>
      </c>
      <c r="F1111" s="2" t="n">
        <v>1</v>
      </c>
      <c r="G1111" s="2" t="s">
        <v>20</v>
      </c>
      <c r="H1111" s="2" t="s">
        <v>20</v>
      </c>
      <c r="I1111" s="2" t="s">
        <v>21</v>
      </c>
      <c r="J1111" s="2" t="n">
        <v>15</v>
      </c>
      <c r="K1111" s="2" t="s">
        <v>32</v>
      </c>
      <c r="L1111" s="2" t="n">
        <v>159</v>
      </c>
      <c r="M1111" s="2" t="n">
        <v>2</v>
      </c>
      <c r="N1111" s="2" t="n">
        <v>378</v>
      </c>
      <c r="O1111" s="2" t="n">
        <v>3</v>
      </c>
      <c r="P1111" s="2" t="s">
        <v>28</v>
      </c>
      <c r="Q1111" s="2" t="s">
        <v>26</v>
      </c>
    </row>
    <row r="1112" customFormat="false" ht="15" hidden="false" customHeight="false" outlineLevel="0" collapsed="false">
      <c r="A1112" s="2" t="n">
        <v>50</v>
      </c>
      <c r="B1112" s="2" t="s">
        <v>34</v>
      </c>
      <c r="C1112" s="2" t="s">
        <v>45</v>
      </c>
      <c r="D1112" s="2" t="s">
        <v>19</v>
      </c>
      <c r="E1112" s="2" t="s">
        <v>20</v>
      </c>
      <c r="F1112" s="2" t="n">
        <v>-10</v>
      </c>
      <c r="G1112" s="2" t="s">
        <v>20</v>
      </c>
      <c r="H1112" s="2" t="s">
        <v>26</v>
      </c>
      <c r="I1112" s="2" t="s">
        <v>21</v>
      </c>
      <c r="J1112" s="2" t="n">
        <v>10</v>
      </c>
      <c r="K1112" s="2" t="s">
        <v>44</v>
      </c>
      <c r="L1112" s="2" t="n">
        <v>369</v>
      </c>
      <c r="M1112" s="2" t="n">
        <v>6</v>
      </c>
      <c r="N1112" s="2" t="n">
        <v>-1</v>
      </c>
      <c r="O1112" s="2" t="n">
        <v>0</v>
      </c>
      <c r="P1112" s="2" t="s">
        <v>23</v>
      </c>
      <c r="Q1112" s="2" t="s">
        <v>20</v>
      </c>
    </row>
    <row r="1113" customFormat="false" ht="15" hidden="false" customHeight="false" outlineLevel="0" collapsed="false">
      <c r="A1113" s="2" t="n">
        <v>37</v>
      </c>
      <c r="B1113" s="2" t="s">
        <v>38</v>
      </c>
      <c r="C1113" s="2" t="s">
        <v>18</v>
      </c>
      <c r="D1113" s="2" t="s">
        <v>25</v>
      </c>
      <c r="E1113" s="2" t="s">
        <v>20</v>
      </c>
      <c r="F1113" s="2" t="n">
        <v>480</v>
      </c>
      <c r="G1113" s="2" t="s">
        <v>20</v>
      </c>
      <c r="H1113" s="2" t="s">
        <v>20</v>
      </c>
      <c r="I1113" s="2" t="s">
        <v>21</v>
      </c>
      <c r="J1113" s="2" t="n">
        <v>22</v>
      </c>
      <c r="K1113" s="2" t="s">
        <v>22</v>
      </c>
      <c r="L1113" s="2" t="n">
        <v>344</v>
      </c>
      <c r="M1113" s="2" t="n">
        <v>2</v>
      </c>
      <c r="N1113" s="2" t="n">
        <v>182</v>
      </c>
      <c r="O1113" s="2" t="n">
        <v>8</v>
      </c>
      <c r="P1113" s="2" t="s">
        <v>37</v>
      </c>
      <c r="Q1113" s="2" t="s">
        <v>26</v>
      </c>
    </row>
    <row r="1114" customFormat="false" ht="15" hidden="false" customHeight="false" outlineLevel="0" collapsed="false">
      <c r="A1114" s="2" t="n">
        <v>35</v>
      </c>
      <c r="B1114" s="2" t="s">
        <v>38</v>
      </c>
      <c r="C1114" s="2" t="s">
        <v>18</v>
      </c>
      <c r="D1114" s="2" t="s">
        <v>25</v>
      </c>
      <c r="E1114" s="2" t="s">
        <v>20</v>
      </c>
      <c r="F1114" s="2" t="n">
        <v>2789</v>
      </c>
      <c r="G1114" s="2" t="s">
        <v>26</v>
      </c>
      <c r="H1114" s="2" t="s">
        <v>20</v>
      </c>
      <c r="I1114" s="2" t="s">
        <v>21</v>
      </c>
      <c r="J1114" s="2" t="n">
        <v>4</v>
      </c>
      <c r="K1114" s="2" t="s">
        <v>51</v>
      </c>
      <c r="L1114" s="2" t="n">
        <v>256</v>
      </c>
      <c r="M1114" s="2" t="n">
        <v>2</v>
      </c>
      <c r="N1114" s="2" t="n">
        <v>94</v>
      </c>
      <c r="O1114" s="2" t="n">
        <v>1</v>
      </c>
      <c r="P1114" s="2" t="s">
        <v>28</v>
      </c>
      <c r="Q1114" s="2" t="s">
        <v>20</v>
      </c>
    </row>
    <row r="1115" customFormat="false" ht="15" hidden="false" customHeight="false" outlineLevel="0" collapsed="false">
      <c r="A1115" s="2" t="n">
        <v>50</v>
      </c>
      <c r="B1115" s="2" t="s">
        <v>38</v>
      </c>
      <c r="C1115" s="2" t="s">
        <v>30</v>
      </c>
      <c r="D1115" s="2" t="s">
        <v>25</v>
      </c>
      <c r="E1115" s="2" t="s">
        <v>20</v>
      </c>
      <c r="F1115" s="2" t="n">
        <v>3897</v>
      </c>
      <c r="G1115" s="2" t="s">
        <v>20</v>
      </c>
      <c r="H1115" s="2" t="s">
        <v>20</v>
      </c>
      <c r="I1115" s="2" t="s">
        <v>21</v>
      </c>
      <c r="J1115" s="2" t="n">
        <v>26</v>
      </c>
      <c r="K1115" s="2" t="s">
        <v>22</v>
      </c>
      <c r="L1115" s="2" t="n">
        <v>298</v>
      </c>
      <c r="M1115" s="2" t="n">
        <v>1</v>
      </c>
      <c r="N1115" s="2" t="n">
        <v>-1</v>
      </c>
      <c r="O1115" s="2" t="n">
        <v>0</v>
      </c>
      <c r="P1115" s="2" t="s">
        <v>23</v>
      </c>
      <c r="Q1115" s="2" t="s">
        <v>20</v>
      </c>
    </row>
    <row r="1116" customFormat="false" ht="15" hidden="false" customHeight="false" outlineLevel="0" collapsed="false">
      <c r="A1116" s="2" t="n">
        <v>36</v>
      </c>
      <c r="B1116" s="2" t="s">
        <v>38</v>
      </c>
      <c r="C1116" s="2" t="s">
        <v>45</v>
      </c>
      <c r="D1116" s="2" t="s">
        <v>25</v>
      </c>
      <c r="E1116" s="2" t="s">
        <v>20</v>
      </c>
      <c r="F1116" s="2" t="n">
        <v>487</v>
      </c>
      <c r="G1116" s="2" t="s">
        <v>20</v>
      </c>
      <c r="H1116" s="2" t="s">
        <v>26</v>
      </c>
      <c r="I1116" s="2" t="s">
        <v>21</v>
      </c>
      <c r="J1116" s="2" t="n">
        <v>11</v>
      </c>
      <c r="K1116" s="2" t="s">
        <v>41</v>
      </c>
      <c r="L1116" s="2" t="n">
        <v>268</v>
      </c>
      <c r="M1116" s="2" t="n">
        <v>3</v>
      </c>
      <c r="N1116" s="2" t="n">
        <v>-1</v>
      </c>
      <c r="O1116" s="2" t="n">
        <v>0</v>
      </c>
      <c r="P1116" s="2" t="s">
        <v>23</v>
      </c>
      <c r="Q1116" s="2" t="s">
        <v>20</v>
      </c>
    </row>
    <row r="1117" customFormat="false" ht="15" hidden="false" customHeight="false" outlineLevel="0" collapsed="false">
      <c r="A1117" s="2" t="n">
        <v>41</v>
      </c>
      <c r="B1117" s="2" t="s">
        <v>40</v>
      </c>
      <c r="C1117" s="2" t="s">
        <v>18</v>
      </c>
      <c r="D1117" s="2" t="s">
        <v>25</v>
      </c>
      <c r="E1117" s="2" t="s">
        <v>20</v>
      </c>
      <c r="F1117" s="2" t="n">
        <v>5110</v>
      </c>
      <c r="G1117" s="2" t="s">
        <v>26</v>
      </c>
      <c r="H1117" s="2" t="s">
        <v>20</v>
      </c>
      <c r="I1117" s="2" t="s">
        <v>21</v>
      </c>
      <c r="J1117" s="2" t="n">
        <v>13</v>
      </c>
      <c r="K1117" s="2" t="s">
        <v>32</v>
      </c>
      <c r="L1117" s="2" t="n">
        <v>231</v>
      </c>
      <c r="M1117" s="2" t="n">
        <v>1</v>
      </c>
      <c r="N1117" s="2" t="n">
        <v>-1</v>
      </c>
      <c r="O1117" s="2" t="n">
        <v>0</v>
      </c>
      <c r="P1117" s="2" t="s">
        <v>23</v>
      </c>
      <c r="Q1117" s="2" t="s">
        <v>20</v>
      </c>
    </row>
    <row r="1118" customFormat="false" ht="15" hidden="false" customHeight="false" outlineLevel="0" collapsed="false">
      <c r="A1118" s="2" t="n">
        <v>28</v>
      </c>
      <c r="B1118" s="2" t="s">
        <v>29</v>
      </c>
      <c r="C1118" s="2" t="s">
        <v>18</v>
      </c>
      <c r="D1118" s="2" t="s">
        <v>31</v>
      </c>
      <c r="E1118" s="2" t="s">
        <v>20</v>
      </c>
      <c r="F1118" s="2" t="n">
        <v>318</v>
      </c>
      <c r="G1118" s="2" t="s">
        <v>26</v>
      </c>
      <c r="H1118" s="2" t="s">
        <v>20</v>
      </c>
      <c r="I1118" s="2" t="s">
        <v>23</v>
      </c>
      <c r="J1118" s="2" t="n">
        <v>27</v>
      </c>
      <c r="K1118" s="2" t="s">
        <v>27</v>
      </c>
      <c r="L1118" s="2" t="n">
        <v>4</v>
      </c>
      <c r="M1118" s="2" t="n">
        <v>4</v>
      </c>
      <c r="N1118" s="2" t="n">
        <v>-1</v>
      </c>
      <c r="O1118" s="2" t="n">
        <v>0</v>
      </c>
      <c r="P1118" s="2" t="s">
        <v>23</v>
      </c>
      <c r="Q1118" s="2" t="s">
        <v>20</v>
      </c>
    </row>
    <row r="1119" customFormat="false" ht="15" hidden="false" customHeight="false" outlineLevel="0" collapsed="false">
      <c r="A1119" s="2" t="n">
        <v>42</v>
      </c>
      <c r="B1119" s="2" t="s">
        <v>38</v>
      </c>
      <c r="C1119" s="2" t="s">
        <v>30</v>
      </c>
      <c r="D1119" s="2" t="s">
        <v>31</v>
      </c>
      <c r="E1119" s="2" t="s">
        <v>20</v>
      </c>
      <c r="F1119" s="2" t="n">
        <v>-411</v>
      </c>
      <c r="G1119" s="2" t="s">
        <v>26</v>
      </c>
      <c r="H1119" s="2" t="s">
        <v>20</v>
      </c>
      <c r="I1119" s="2" t="s">
        <v>21</v>
      </c>
      <c r="J1119" s="2" t="n">
        <v>12</v>
      </c>
      <c r="K1119" s="2" t="s">
        <v>27</v>
      </c>
      <c r="L1119" s="2" t="n">
        <v>78</v>
      </c>
      <c r="M1119" s="2" t="n">
        <v>5</v>
      </c>
      <c r="N1119" s="2" t="n">
        <v>292</v>
      </c>
      <c r="O1119" s="2" t="n">
        <v>3</v>
      </c>
      <c r="P1119" s="2" t="s">
        <v>28</v>
      </c>
      <c r="Q1119" s="2" t="s">
        <v>20</v>
      </c>
    </row>
    <row r="1120" customFormat="false" ht="15" hidden="false" customHeight="false" outlineLevel="0" collapsed="false">
      <c r="A1120" s="2" t="n">
        <v>60</v>
      </c>
      <c r="B1120" s="2" t="s">
        <v>48</v>
      </c>
      <c r="C1120" s="2" t="s">
        <v>18</v>
      </c>
      <c r="D1120" s="2" t="s">
        <v>25</v>
      </c>
      <c r="E1120" s="2" t="s">
        <v>20</v>
      </c>
      <c r="F1120" s="2" t="n">
        <v>4820</v>
      </c>
      <c r="G1120" s="2" t="s">
        <v>20</v>
      </c>
      <c r="H1120" s="2" t="s">
        <v>20</v>
      </c>
      <c r="I1120" s="2" t="s">
        <v>23</v>
      </c>
      <c r="J1120" s="2" t="n">
        <v>5</v>
      </c>
      <c r="K1120" s="2" t="s">
        <v>33</v>
      </c>
      <c r="L1120" s="2" t="n">
        <v>419</v>
      </c>
      <c r="M1120" s="2" t="n">
        <v>1</v>
      </c>
      <c r="N1120" s="2" t="n">
        <v>-1</v>
      </c>
      <c r="O1120" s="2" t="n">
        <v>0</v>
      </c>
      <c r="P1120" s="2" t="s">
        <v>23</v>
      </c>
      <c r="Q1120" s="2" t="s">
        <v>20</v>
      </c>
    </row>
    <row r="1121" customFormat="false" ht="15" hidden="false" customHeight="false" outlineLevel="0" collapsed="false">
      <c r="A1121" s="2" t="n">
        <v>28</v>
      </c>
      <c r="B1121" s="2" t="s">
        <v>29</v>
      </c>
      <c r="C1121" s="2" t="s">
        <v>30</v>
      </c>
      <c r="D1121" s="2" t="s">
        <v>31</v>
      </c>
      <c r="E1121" s="2" t="s">
        <v>20</v>
      </c>
      <c r="F1121" s="2" t="n">
        <v>4937</v>
      </c>
      <c r="G1121" s="2" t="s">
        <v>26</v>
      </c>
      <c r="H1121" s="2" t="s">
        <v>20</v>
      </c>
      <c r="I1121" s="2" t="s">
        <v>49</v>
      </c>
      <c r="J1121" s="2" t="n">
        <v>13</v>
      </c>
      <c r="K1121" s="2" t="s">
        <v>27</v>
      </c>
      <c r="L1121" s="2" t="n">
        <v>421</v>
      </c>
      <c r="M1121" s="2" t="n">
        <v>3</v>
      </c>
      <c r="N1121" s="2" t="n">
        <v>-1</v>
      </c>
      <c r="O1121" s="2" t="n">
        <v>0</v>
      </c>
      <c r="P1121" s="2" t="s">
        <v>23</v>
      </c>
      <c r="Q1121" s="2" t="s">
        <v>20</v>
      </c>
    </row>
    <row r="1122" customFormat="false" ht="15" hidden="false" customHeight="false" outlineLevel="0" collapsed="false">
      <c r="A1122" s="2" t="n">
        <v>48</v>
      </c>
      <c r="B1122" s="2" t="s">
        <v>39</v>
      </c>
      <c r="C1122" s="2" t="s">
        <v>18</v>
      </c>
      <c r="D1122" s="2" t="s">
        <v>25</v>
      </c>
      <c r="E1122" s="2" t="s">
        <v>20</v>
      </c>
      <c r="F1122" s="2" t="n">
        <v>725</v>
      </c>
      <c r="G1122" s="2" t="s">
        <v>20</v>
      </c>
      <c r="H1122" s="2" t="s">
        <v>26</v>
      </c>
      <c r="I1122" s="2" t="s">
        <v>21</v>
      </c>
      <c r="J1122" s="2" t="n">
        <v>10</v>
      </c>
      <c r="K1122" s="2" t="s">
        <v>44</v>
      </c>
      <c r="L1122" s="2" t="n">
        <v>105</v>
      </c>
      <c r="M1122" s="2" t="n">
        <v>1</v>
      </c>
      <c r="N1122" s="2" t="n">
        <v>-1</v>
      </c>
      <c r="O1122" s="2" t="n">
        <v>0</v>
      </c>
      <c r="P1122" s="2" t="s">
        <v>23</v>
      </c>
      <c r="Q1122" s="2" t="s">
        <v>20</v>
      </c>
    </row>
    <row r="1123" customFormat="false" ht="15" hidden="false" customHeight="false" outlineLevel="0" collapsed="false">
      <c r="A1123" s="2" t="n">
        <v>51</v>
      </c>
      <c r="B1123" s="2" t="s">
        <v>39</v>
      </c>
      <c r="C1123" s="2" t="s">
        <v>18</v>
      </c>
      <c r="D1123" s="2" t="s">
        <v>31</v>
      </c>
      <c r="E1123" s="2" t="s">
        <v>20</v>
      </c>
      <c r="F1123" s="2" t="n">
        <v>5403</v>
      </c>
      <c r="G1123" s="2" t="s">
        <v>20</v>
      </c>
      <c r="H1123" s="2" t="s">
        <v>20</v>
      </c>
      <c r="I1123" s="2" t="s">
        <v>23</v>
      </c>
      <c r="J1123" s="2" t="n">
        <v>6</v>
      </c>
      <c r="K1123" s="2" t="s">
        <v>33</v>
      </c>
      <c r="L1123" s="2" t="n">
        <v>42</v>
      </c>
      <c r="M1123" s="2" t="n">
        <v>1</v>
      </c>
      <c r="N1123" s="2" t="n">
        <v>-1</v>
      </c>
      <c r="O1123" s="2" t="n">
        <v>0</v>
      </c>
      <c r="P1123" s="2" t="s">
        <v>23</v>
      </c>
      <c r="Q1123" s="2" t="s">
        <v>20</v>
      </c>
    </row>
    <row r="1124" customFormat="false" ht="15" hidden="false" customHeight="false" outlineLevel="0" collapsed="false">
      <c r="A1124" s="2" t="n">
        <v>32</v>
      </c>
      <c r="B1124" s="2" t="s">
        <v>38</v>
      </c>
      <c r="C1124" s="2" t="s">
        <v>18</v>
      </c>
      <c r="D1124" s="2" t="s">
        <v>31</v>
      </c>
      <c r="E1124" s="2" t="s">
        <v>20</v>
      </c>
      <c r="F1124" s="2" t="n">
        <v>4089</v>
      </c>
      <c r="G1124" s="2" t="s">
        <v>20</v>
      </c>
      <c r="H1124" s="2" t="s">
        <v>20</v>
      </c>
      <c r="I1124" s="2" t="s">
        <v>21</v>
      </c>
      <c r="J1124" s="2" t="n">
        <v>26</v>
      </c>
      <c r="K1124" s="2" t="s">
        <v>27</v>
      </c>
      <c r="L1124" s="2" t="n">
        <v>114</v>
      </c>
      <c r="M1124" s="2" t="n">
        <v>7</v>
      </c>
      <c r="N1124" s="2" t="n">
        <v>287</v>
      </c>
      <c r="O1124" s="2" t="n">
        <v>3</v>
      </c>
      <c r="P1124" s="2" t="s">
        <v>28</v>
      </c>
      <c r="Q1124" s="2" t="s">
        <v>20</v>
      </c>
    </row>
    <row r="1125" customFormat="false" ht="15" hidden="false" customHeight="false" outlineLevel="0" collapsed="false">
      <c r="A1125" s="2" t="n">
        <v>35</v>
      </c>
      <c r="B1125" s="2" t="s">
        <v>38</v>
      </c>
      <c r="C1125" s="2" t="s">
        <v>18</v>
      </c>
      <c r="D1125" s="2" t="s">
        <v>31</v>
      </c>
      <c r="E1125" s="2" t="s">
        <v>20</v>
      </c>
      <c r="F1125" s="2" t="n">
        <v>188</v>
      </c>
      <c r="G1125" s="2" t="s">
        <v>20</v>
      </c>
      <c r="H1125" s="2" t="s">
        <v>20</v>
      </c>
      <c r="I1125" s="2" t="s">
        <v>21</v>
      </c>
      <c r="J1125" s="2" t="n">
        <v>26</v>
      </c>
      <c r="K1125" s="2" t="s">
        <v>41</v>
      </c>
      <c r="L1125" s="2" t="n">
        <v>286</v>
      </c>
      <c r="M1125" s="2" t="n">
        <v>2</v>
      </c>
      <c r="N1125" s="2" t="n">
        <v>-1</v>
      </c>
      <c r="O1125" s="2" t="n">
        <v>0</v>
      </c>
      <c r="P1125" s="2" t="s">
        <v>23</v>
      </c>
      <c r="Q1125" s="2" t="s">
        <v>20</v>
      </c>
    </row>
    <row r="1126" customFormat="false" ht="15" hidden="false" customHeight="false" outlineLevel="0" collapsed="false">
      <c r="A1126" s="2" t="n">
        <v>37</v>
      </c>
      <c r="B1126" s="2" t="s">
        <v>38</v>
      </c>
      <c r="C1126" s="2" t="s">
        <v>18</v>
      </c>
      <c r="D1126" s="2" t="s">
        <v>23</v>
      </c>
      <c r="E1126" s="2" t="s">
        <v>20</v>
      </c>
      <c r="F1126" s="2" t="n">
        <v>189</v>
      </c>
      <c r="G1126" s="2" t="s">
        <v>20</v>
      </c>
      <c r="H1126" s="2" t="s">
        <v>20</v>
      </c>
      <c r="I1126" s="2" t="s">
        <v>21</v>
      </c>
      <c r="J1126" s="2" t="n">
        <v>1</v>
      </c>
      <c r="K1126" s="2" t="s">
        <v>22</v>
      </c>
      <c r="L1126" s="2" t="n">
        <v>238</v>
      </c>
      <c r="M1126" s="2" t="n">
        <v>1</v>
      </c>
      <c r="N1126" s="2" t="n">
        <v>107</v>
      </c>
      <c r="O1126" s="2" t="n">
        <v>2</v>
      </c>
      <c r="P1126" s="2" t="s">
        <v>50</v>
      </c>
      <c r="Q1126" s="2" t="s">
        <v>26</v>
      </c>
    </row>
    <row r="1127" customFormat="false" ht="15" hidden="false" customHeight="false" outlineLevel="0" collapsed="false">
      <c r="A1127" s="2" t="n">
        <v>38</v>
      </c>
      <c r="B1127" s="2" t="s">
        <v>34</v>
      </c>
      <c r="C1127" s="2" t="s">
        <v>45</v>
      </c>
      <c r="D1127" s="2" t="s">
        <v>25</v>
      </c>
      <c r="E1127" s="2" t="s">
        <v>20</v>
      </c>
      <c r="F1127" s="2" t="n">
        <v>2998</v>
      </c>
      <c r="G1127" s="2" t="s">
        <v>26</v>
      </c>
      <c r="H1127" s="2" t="s">
        <v>20</v>
      </c>
      <c r="I1127" s="2" t="s">
        <v>23</v>
      </c>
      <c r="J1127" s="2" t="n">
        <v>11</v>
      </c>
      <c r="K1127" s="2" t="s">
        <v>33</v>
      </c>
      <c r="L1127" s="2" t="n">
        <v>91</v>
      </c>
      <c r="M1127" s="2" t="n">
        <v>1</v>
      </c>
      <c r="N1127" s="2" t="n">
        <v>-1</v>
      </c>
      <c r="O1127" s="2" t="n">
        <v>0</v>
      </c>
      <c r="P1127" s="2" t="s">
        <v>23</v>
      </c>
      <c r="Q1127" s="2" t="s">
        <v>20</v>
      </c>
    </row>
    <row r="1128" customFormat="false" ht="15" hidden="false" customHeight="false" outlineLevel="0" collapsed="false">
      <c r="A1128" s="2" t="n">
        <v>77</v>
      </c>
      <c r="B1128" s="2" t="s">
        <v>48</v>
      </c>
      <c r="C1128" s="2" t="s">
        <v>18</v>
      </c>
      <c r="D1128" s="2" t="s">
        <v>25</v>
      </c>
      <c r="E1128" s="2" t="s">
        <v>20</v>
      </c>
      <c r="F1128" s="2" t="n">
        <v>610</v>
      </c>
      <c r="G1128" s="2" t="s">
        <v>20</v>
      </c>
      <c r="H1128" s="2" t="s">
        <v>20</v>
      </c>
      <c r="I1128" s="2" t="s">
        <v>21</v>
      </c>
      <c r="J1128" s="2" t="n">
        <v>13</v>
      </c>
      <c r="K1128" s="2" t="s">
        <v>41</v>
      </c>
      <c r="L1128" s="2" t="n">
        <v>766</v>
      </c>
      <c r="M1128" s="2" t="n">
        <v>3</v>
      </c>
      <c r="N1128" s="2" t="n">
        <v>-1</v>
      </c>
      <c r="O1128" s="2" t="n">
        <v>0</v>
      </c>
      <c r="P1128" s="2" t="s">
        <v>23</v>
      </c>
      <c r="Q1128" s="2" t="s">
        <v>20</v>
      </c>
    </row>
    <row r="1129" customFormat="false" ht="15" hidden="false" customHeight="false" outlineLevel="0" collapsed="false">
      <c r="A1129" s="2" t="n">
        <v>32</v>
      </c>
      <c r="B1129" s="2" t="s">
        <v>29</v>
      </c>
      <c r="C1129" s="2" t="s">
        <v>30</v>
      </c>
      <c r="D1129" s="2" t="s">
        <v>23</v>
      </c>
      <c r="E1129" s="2" t="s">
        <v>20</v>
      </c>
      <c r="F1129" s="2" t="n">
        <v>787</v>
      </c>
      <c r="G1129" s="2" t="s">
        <v>20</v>
      </c>
      <c r="H1129" s="2" t="s">
        <v>20</v>
      </c>
      <c r="I1129" s="2" t="s">
        <v>21</v>
      </c>
      <c r="J1129" s="2" t="n">
        <v>28</v>
      </c>
      <c r="K1129" s="2" t="s">
        <v>43</v>
      </c>
      <c r="L1129" s="2" t="n">
        <v>92</v>
      </c>
      <c r="M1129" s="2" t="n">
        <v>1</v>
      </c>
      <c r="N1129" s="2" t="n">
        <v>-1</v>
      </c>
      <c r="O1129" s="2" t="n">
        <v>0</v>
      </c>
      <c r="P1129" s="2" t="s">
        <v>23</v>
      </c>
      <c r="Q1129" s="2" t="s">
        <v>20</v>
      </c>
    </row>
    <row r="1130" customFormat="false" ht="15" hidden="false" customHeight="false" outlineLevel="0" collapsed="false">
      <c r="A1130" s="2" t="n">
        <v>43</v>
      </c>
      <c r="B1130" s="2" t="s">
        <v>38</v>
      </c>
      <c r="C1130" s="2" t="s">
        <v>45</v>
      </c>
      <c r="D1130" s="2" t="s">
        <v>25</v>
      </c>
      <c r="E1130" s="2" t="s">
        <v>20</v>
      </c>
      <c r="F1130" s="2" t="n">
        <v>167</v>
      </c>
      <c r="G1130" s="2" t="s">
        <v>20</v>
      </c>
      <c r="H1130" s="2" t="s">
        <v>20</v>
      </c>
      <c r="I1130" s="2" t="s">
        <v>21</v>
      </c>
      <c r="J1130" s="2" t="n">
        <v>4</v>
      </c>
      <c r="K1130" s="2" t="s">
        <v>41</v>
      </c>
      <c r="L1130" s="2" t="n">
        <v>211</v>
      </c>
      <c r="M1130" s="2" t="n">
        <v>3</v>
      </c>
      <c r="N1130" s="2" t="n">
        <v>-1</v>
      </c>
      <c r="O1130" s="2" t="n">
        <v>0</v>
      </c>
      <c r="P1130" s="2" t="s">
        <v>23</v>
      </c>
      <c r="Q1130" s="2" t="s">
        <v>20</v>
      </c>
    </row>
    <row r="1131" customFormat="false" ht="15" hidden="false" customHeight="false" outlineLevel="0" collapsed="false">
      <c r="A1131" s="2" t="n">
        <v>36</v>
      </c>
      <c r="B1131" s="2" t="s">
        <v>29</v>
      </c>
      <c r="C1131" s="2" t="s">
        <v>30</v>
      </c>
      <c r="D1131" s="2" t="s">
        <v>31</v>
      </c>
      <c r="E1131" s="2" t="s">
        <v>20</v>
      </c>
      <c r="F1131" s="2" t="n">
        <v>243</v>
      </c>
      <c r="G1131" s="2" t="s">
        <v>26</v>
      </c>
      <c r="H1131" s="2" t="s">
        <v>20</v>
      </c>
      <c r="I1131" s="2" t="s">
        <v>21</v>
      </c>
      <c r="J1131" s="2" t="n">
        <v>7</v>
      </c>
      <c r="K1131" s="2" t="s">
        <v>27</v>
      </c>
      <c r="L1131" s="2" t="n">
        <v>160</v>
      </c>
      <c r="M1131" s="2" t="n">
        <v>2</v>
      </c>
      <c r="N1131" s="2" t="n">
        <v>360</v>
      </c>
      <c r="O1131" s="2" t="n">
        <v>3</v>
      </c>
      <c r="P1131" s="2" t="s">
        <v>28</v>
      </c>
      <c r="Q1131" s="2" t="s">
        <v>20</v>
      </c>
    </row>
    <row r="1132" customFormat="false" ht="15" hidden="false" customHeight="false" outlineLevel="0" collapsed="false">
      <c r="A1132" s="2" t="n">
        <v>29</v>
      </c>
      <c r="B1132" s="2" t="s">
        <v>29</v>
      </c>
      <c r="C1132" s="2" t="s">
        <v>18</v>
      </c>
      <c r="D1132" s="2" t="s">
        <v>31</v>
      </c>
      <c r="E1132" s="2" t="s">
        <v>20</v>
      </c>
      <c r="F1132" s="2" t="n">
        <v>877</v>
      </c>
      <c r="G1132" s="2" t="s">
        <v>20</v>
      </c>
      <c r="H1132" s="2" t="s">
        <v>20</v>
      </c>
      <c r="I1132" s="2" t="s">
        <v>21</v>
      </c>
      <c r="J1132" s="2" t="n">
        <v>3</v>
      </c>
      <c r="K1132" s="2" t="s">
        <v>35</v>
      </c>
      <c r="L1132" s="2" t="n">
        <v>166</v>
      </c>
      <c r="M1132" s="2" t="n">
        <v>3</v>
      </c>
      <c r="N1132" s="2" t="n">
        <v>-1</v>
      </c>
      <c r="O1132" s="2" t="n">
        <v>0</v>
      </c>
      <c r="P1132" s="2" t="s">
        <v>23</v>
      </c>
      <c r="Q1132" s="2" t="s">
        <v>20</v>
      </c>
    </row>
    <row r="1133" customFormat="false" ht="15" hidden="false" customHeight="false" outlineLevel="0" collapsed="false">
      <c r="A1133" s="2" t="n">
        <v>32</v>
      </c>
      <c r="B1133" s="2" t="s">
        <v>40</v>
      </c>
      <c r="C1133" s="2" t="s">
        <v>30</v>
      </c>
      <c r="D1133" s="2" t="s">
        <v>25</v>
      </c>
      <c r="E1133" s="2" t="s">
        <v>20</v>
      </c>
      <c r="F1133" s="2" t="n">
        <v>2817</v>
      </c>
      <c r="G1133" s="2" t="s">
        <v>26</v>
      </c>
      <c r="H1133" s="2" t="s">
        <v>20</v>
      </c>
      <c r="I1133" s="2" t="s">
        <v>21</v>
      </c>
      <c r="J1133" s="2" t="n">
        <v>21</v>
      </c>
      <c r="K1133" s="2" t="s">
        <v>46</v>
      </c>
      <c r="L1133" s="2" t="n">
        <v>195</v>
      </c>
      <c r="M1133" s="2" t="n">
        <v>1</v>
      </c>
      <c r="N1133" s="2" t="n">
        <v>-1</v>
      </c>
      <c r="O1133" s="2" t="n">
        <v>0</v>
      </c>
      <c r="P1133" s="2" t="s">
        <v>23</v>
      </c>
      <c r="Q1133" s="2" t="s">
        <v>20</v>
      </c>
    </row>
    <row r="1134" customFormat="false" ht="15" hidden="false" customHeight="false" outlineLevel="0" collapsed="false">
      <c r="A1134" s="2" t="n">
        <v>41</v>
      </c>
      <c r="B1134" s="2" t="s">
        <v>29</v>
      </c>
      <c r="C1134" s="2" t="s">
        <v>45</v>
      </c>
      <c r="D1134" s="2" t="s">
        <v>31</v>
      </c>
      <c r="E1134" s="2" t="s">
        <v>20</v>
      </c>
      <c r="F1134" s="2" t="n">
        <v>4567</v>
      </c>
      <c r="G1134" s="2" t="s">
        <v>26</v>
      </c>
      <c r="H1134" s="2" t="s">
        <v>26</v>
      </c>
      <c r="I1134" s="2" t="s">
        <v>21</v>
      </c>
      <c r="J1134" s="2" t="n">
        <v>16</v>
      </c>
      <c r="K1134" s="2" t="s">
        <v>44</v>
      </c>
      <c r="L1134" s="2" t="n">
        <v>106</v>
      </c>
      <c r="M1134" s="2" t="n">
        <v>1</v>
      </c>
      <c r="N1134" s="2" t="n">
        <v>-1</v>
      </c>
      <c r="O1134" s="2" t="n">
        <v>0</v>
      </c>
      <c r="P1134" s="2" t="s">
        <v>23</v>
      </c>
      <c r="Q1134" s="2" t="s">
        <v>20</v>
      </c>
    </row>
    <row r="1135" customFormat="false" ht="15" hidden="false" customHeight="false" outlineLevel="0" collapsed="false">
      <c r="A1135" s="2" t="n">
        <v>26</v>
      </c>
      <c r="B1135" s="2" t="s">
        <v>24</v>
      </c>
      <c r="C1135" s="2" t="s">
        <v>30</v>
      </c>
      <c r="D1135" s="2" t="s">
        <v>25</v>
      </c>
      <c r="E1135" s="2" t="s">
        <v>20</v>
      </c>
      <c r="F1135" s="2" t="n">
        <v>127</v>
      </c>
      <c r="G1135" s="2" t="s">
        <v>26</v>
      </c>
      <c r="H1135" s="2" t="s">
        <v>26</v>
      </c>
      <c r="I1135" s="2" t="s">
        <v>21</v>
      </c>
      <c r="J1135" s="2" t="n">
        <v>23</v>
      </c>
      <c r="K1135" s="2" t="s">
        <v>44</v>
      </c>
      <c r="L1135" s="2" t="n">
        <v>85</v>
      </c>
      <c r="M1135" s="2" t="n">
        <v>3</v>
      </c>
      <c r="N1135" s="2" t="n">
        <v>-1</v>
      </c>
      <c r="O1135" s="2" t="n">
        <v>0</v>
      </c>
      <c r="P1135" s="2" t="s">
        <v>23</v>
      </c>
      <c r="Q1135" s="2" t="s">
        <v>20</v>
      </c>
    </row>
    <row r="1136" customFormat="false" ht="15" hidden="false" customHeight="false" outlineLevel="0" collapsed="false">
      <c r="A1136" s="2" t="n">
        <v>34</v>
      </c>
      <c r="B1136" s="2" t="s">
        <v>34</v>
      </c>
      <c r="C1136" s="2" t="s">
        <v>18</v>
      </c>
      <c r="D1136" s="2" t="s">
        <v>19</v>
      </c>
      <c r="E1136" s="2" t="s">
        <v>20</v>
      </c>
      <c r="F1136" s="2" t="n">
        <v>176</v>
      </c>
      <c r="G1136" s="2" t="s">
        <v>20</v>
      </c>
      <c r="H1136" s="2" t="s">
        <v>20</v>
      </c>
      <c r="I1136" s="2" t="s">
        <v>21</v>
      </c>
      <c r="J1136" s="2" t="n">
        <v>24</v>
      </c>
      <c r="K1136" s="2" t="s">
        <v>44</v>
      </c>
      <c r="L1136" s="2" t="n">
        <v>78</v>
      </c>
      <c r="M1136" s="2" t="n">
        <v>1</v>
      </c>
      <c r="N1136" s="2" t="n">
        <v>-1</v>
      </c>
      <c r="O1136" s="2" t="n">
        <v>0</v>
      </c>
      <c r="P1136" s="2" t="s">
        <v>23</v>
      </c>
      <c r="Q1136" s="2" t="s">
        <v>20</v>
      </c>
    </row>
    <row r="1137" customFormat="false" ht="15" hidden="false" customHeight="false" outlineLevel="0" collapsed="false">
      <c r="A1137" s="2" t="n">
        <v>57</v>
      </c>
      <c r="B1137" s="2" t="s">
        <v>48</v>
      </c>
      <c r="C1137" s="2" t="s">
        <v>18</v>
      </c>
      <c r="D1137" s="2" t="s">
        <v>31</v>
      </c>
      <c r="E1137" s="2" t="s">
        <v>20</v>
      </c>
      <c r="F1137" s="2" t="n">
        <v>0</v>
      </c>
      <c r="G1137" s="2" t="s">
        <v>26</v>
      </c>
      <c r="H1137" s="2" t="s">
        <v>26</v>
      </c>
      <c r="I1137" s="2" t="s">
        <v>23</v>
      </c>
      <c r="J1137" s="2" t="n">
        <v>28</v>
      </c>
      <c r="K1137" s="2" t="s">
        <v>27</v>
      </c>
      <c r="L1137" s="2" t="n">
        <v>648</v>
      </c>
      <c r="M1137" s="2" t="n">
        <v>1</v>
      </c>
      <c r="N1137" s="2" t="n">
        <v>-1</v>
      </c>
      <c r="O1137" s="2" t="n">
        <v>0</v>
      </c>
      <c r="P1137" s="2" t="s">
        <v>23</v>
      </c>
      <c r="Q1137" s="2" t="s">
        <v>26</v>
      </c>
    </row>
    <row r="1138" customFormat="false" ht="15" hidden="false" customHeight="false" outlineLevel="0" collapsed="false">
      <c r="A1138" s="2" t="n">
        <v>36</v>
      </c>
      <c r="B1138" s="2" t="s">
        <v>24</v>
      </c>
      <c r="C1138" s="2" t="s">
        <v>30</v>
      </c>
      <c r="D1138" s="2" t="s">
        <v>25</v>
      </c>
      <c r="E1138" s="2" t="s">
        <v>20</v>
      </c>
      <c r="F1138" s="2" t="n">
        <v>1482</v>
      </c>
      <c r="G1138" s="2" t="s">
        <v>26</v>
      </c>
      <c r="H1138" s="2" t="s">
        <v>20</v>
      </c>
      <c r="I1138" s="2" t="s">
        <v>21</v>
      </c>
      <c r="J1138" s="2" t="n">
        <v>18</v>
      </c>
      <c r="K1138" s="2" t="s">
        <v>46</v>
      </c>
      <c r="L1138" s="2" t="n">
        <v>177</v>
      </c>
      <c r="M1138" s="2" t="n">
        <v>2</v>
      </c>
      <c r="N1138" s="2" t="n">
        <v>174</v>
      </c>
      <c r="O1138" s="2" t="n">
        <v>1</v>
      </c>
      <c r="P1138" s="2" t="s">
        <v>37</v>
      </c>
      <c r="Q1138" s="2" t="s">
        <v>20</v>
      </c>
    </row>
    <row r="1139" customFormat="false" ht="15" hidden="false" customHeight="false" outlineLevel="0" collapsed="false">
      <c r="A1139" s="2" t="n">
        <v>42</v>
      </c>
      <c r="B1139" s="2" t="s">
        <v>34</v>
      </c>
      <c r="C1139" s="2" t="s">
        <v>18</v>
      </c>
      <c r="D1139" s="2" t="s">
        <v>25</v>
      </c>
      <c r="E1139" s="2" t="s">
        <v>20</v>
      </c>
      <c r="F1139" s="2" t="n">
        <v>3052</v>
      </c>
      <c r="G1139" s="2" t="s">
        <v>26</v>
      </c>
      <c r="H1139" s="2" t="s">
        <v>20</v>
      </c>
      <c r="I1139" s="2" t="s">
        <v>23</v>
      </c>
      <c r="J1139" s="2" t="n">
        <v>27</v>
      </c>
      <c r="K1139" s="2" t="s">
        <v>27</v>
      </c>
      <c r="L1139" s="2" t="n">
        <v>32</v>
      </c>
      <c r="M1139" s="2" t="n">
        <v>1</v>
      </c>
      <c r="N1139" s="2" t="n">
        <v>-1</v>
      </c>
      <c r="O1139" s="2" t="n">
        <v>0</v>
      </c>
      <c r="P1139" s="2" t="s">
        <v>23</v>
      </c>
      <c r="Q1139" s="2" t="s">
        <v>20</v>
      </c>
    </row>
    <row r="1140" customFormat="false" ht="15" hidden="false" customHeight="false" outlineLevel="0" collapsed="false">
      <c r="A1140" s="2" t="n">
        <v>35</v>
      </c>
      <c r="B1140" s="2" t="s">
        <v>38</v>
      </c>
      <c r="C1140" s="2" t="s">
        <v>45</v>
      </c>
      <c r="D1140" s="2" t="s">
        <v>25</v>
      </c>
      <c r="E1140" s="2" t="s">
        <v>20</v>
      </c>
      <c r="F1140" s="2" t="n">
        <v>56</v>
      </c>
      <c r="G1140" s="2" t="s">
        <v>20</v>
      </c>
      <c r="H1140" s="2" t="s">
        <v>20</v>
      </c>
      <c r="I1140" s="2" t="s">
        <v>21</v>
      </c>
      <c r="J1140" s="2" t="n">
        <v>29</v>
      </c>
      <c r="K1140" s="2" t="s">
        <v>41</v>
      </c>
      <c r="L1140" s="2" t="n">
        <v>24</v>
      </c>
      <c r="M1140" s="2" t="n">
        <v>12</v>
      </c>
      <c r="N1140" s="2" t="n">
        <v>-1</v>
      </c>
      <c r="O1140" s="2" t="n">
        <v>0</v>
      </c>
      <c r="P1140" s="2" t="s">
        <v>23</v>
      </c>
      <c r="Q1140" s="2" t="s">
        <v>20</v>
      </c>
    </row>
    <row r="1141" customFormat="false" ht="15" hidden="false" customHeight="false" outlineLevel="0" collapsed="false">
      <c r="A1141" s="2" t="n">
        <v>52</v>
      </c>
      <c r="B1141" s="2" t="s">
        <v>39</v>
      </c>
      <c r="C1141" s="2" t="s">
        <v>45</v>
      </c>
      <c r="D1141" s="2" t="s">
        <v>19</v>
      </c>
      <c r="E1141" s="2" t="s">
        <v>20</v>
      </c>
      <c r="F1141" s="2" t="n">
        <v>278</v>
      </c>
      <c r="G1141" s="2" t="s">
        <v>26</v>
      </c>
      <c r="H1141" s="2" t="s">
        <v>20</v>
      </c>
      <c r="I1141" s="2" t="s">
        <v>23</v>
      </c>
      <c r="J1141" s="2" t="n">
        <v>7</v>
      </c>
      <c r="K1141" s="2" t="s">
        <v>27</v>
      </c>
      <c r="L1141" s="2" t="n">
        <v>688</v>
      </c>
      <c r="M1141" s="2" t="n">
        <v>2</v>
      </c>
      <c r="N1141" s="2" t="n">
        <v>-1</v>
      </c>
      <c r="O1141" s="2" t="n">
        <v>0</v>
      </c>
      <c r="P1141" s="2" t="s">
        <v>23</v>
      </c>
      <c r="Q1141" s="2" t="s">
        <v>20</v>
      </c>
    </row>
    <row r="1142" customFormat="false" ht="15" hidden="false" customHeight="false" outlineLevel="0" collapsed="false">
      <c r="A1142" s="2" t="n">
        <v>36</v>
      </c>
      <c r="B1142" s="2" t="s">
        <v>29</v>
      </c>
      <c r="C1142" s="2" t="s">
        <v>30</v>
      </c>
      <c r="D1142" s="2" t="s">
        <v>31</v>
      </c>
      <c r="E1142" s="2" t="s">
        <v>20</v>
      </c>
      <c r="F1142" s="2" t="n">
        <v>3875</v>
      </c>
      <c r="G1142" s="2" t="s">
        <v>26</v>
      </c>
      <c r="H1142" s="2" t="s">
        <v>20</v>
      </c>
      <c r="I1142" s="2" t="s">
        <v>23</v>
      </c>
      <c r="J1142" s="2" t="n">
        <v>27</v>
      </c>
      <c r="K1142" s="2" t="s">
        <v>27</v>
      </c>
      <c r="L1142" s="2" t="n">
        <v>21</v>
      </c>
      <c r="M1142" s="2" t="n">
        <v>5</v>
      </c>
      <c r="N1142" s="2" t="n">
        <v>-1</v>
      </c>
      <c r="O1142" s="2" t="n">
        <v>0</v>
      </c>
      <c r="P1142" s="2" t="s">
        <v>23</v>
      </c>
      <c r="Q1142" s="2" t="s">
        <v>20</v>
      </c>
    </row>
    <row r="1143" customFormat="false" ht="15" hidden="false" customHeight="false" outlineLevel="0" collapsed="false">
      <c r="A1143" s="2" t="n">
        <v>46</v>
      </c>
      <c r="B1143" s="2" t="s">
        <v>38</v>
      </c>
      <c r="C1143" s="2" t="s">
        <v>18</v>
      </c>
      <c r="D1143" s="2" t="s">
        <v>25</v>
      </c>
      <c r="E1143" s="2" t="s">
        <v>20</v>
      </c>
      <c r="F1143" s="2" t="n">
        <v>-337</v>
      </c>
      <c r="G1143" s="2" t="s">
        <v>26</v>
      </c>
      <c r="H1143" s="2" t="s">
        <v>20</v>
      </c>
      <c r="I1143" s="2" t="s">
        <v>23</v>
      </c>
      <c r="J1143" s="2" t="n">
        <v>27</v>
      </c>
      <c r="K1143" s="2" t="s">
        <v>27</v>
      </c>
      <c r="L1143" s="2" t="n">
        <v>112</v>
      </c>
      <c r="M1143" s="2" t="n">
        <v>1</v>
      </c>
      <c r="N1143" s="2" t="n">
        <v>-1</v>
      </c>
      <c r="O1143" s="2" t="n">
        <v>0</v>
      </c>
      <c r="P1143" s="2" t="s">
        <v>23</v>
      </c>
      <c r="Q1143" s="2" t="s">
        <v>20</v>
      </c>
    </row>
    <row r="1144" customFormat="false" ht="15" hidden="false" customHeight="false" outlineLevel="0" collapsed="false">
      <c r="A1144" s="2" t="n">
        <v>60</v>
      </c>
      <c r="B1144" s="2" t="s">
        <v>29</v>
      </c>
      <c r="C1144" s="2" t="s">
        <v>45</v>
      </c>
      <c r="D1144" s="2" t="s">
        <v>31</v>
      </c>
      <c r="E1144" s="2" t="s">
        <v>20</v>
      </c>
      <c r="F1144" s="2" t="n">
        <v>366</v>
      </c>
      <c r="G1144" s="2" t="s">
        <v>20</v>
      </c>
      <c r="H1144" s="2" t="s">
        <v>20</v>
      </c>
      <c r="I1144" s="2" t="s">
        <v>21</v>
      </c>
      <c r="J1144" s="2" t="n">
        <v>3</v>
      </c>
      <c r="K1144" s="2" t="s">
        <v>33</v>
      </c>
      <c r="L1144" s="2" t="n">
        <v>593</v>
      </c>
      <c r="M1144" s="2" t="n">
        <v>1</v>
      </c>
      <c r="N1144" s="2" t="n">
        <v>-1</v>
      </c>
      <c r="O1144" s="2" t="n">
        <v>0</v>
      </c>
      <c r="P1144" s="2" t="s">
        <v>23</v>
      </c>
      <c r="Q1144" s="2" t="s">
        <v>26</v>
      </c>
    </row>
    <row r="1145" customFormat="false" ht="15" hidden="false" customHeight="false" outlineLevel="0" collapsed="false">
      <c r="A1145" s="2" t="n">
        <v>57</v>
      </c>
      <c r="B1145" s="2" t="s">
        <v>47</v>
      </c>
      <c r="C1145" s="2" t="s">
        <v>18</v>
      </c>
      <c r="D1145" s="2" t="s">
        <v>19</v>
      </c>
      <c r="E1145" s="2" t="s">
        <v>20</v>
      </c>
      <c r="F1145" s="2" t="n">
        <v>501</v>
      </c>
      <c r="G1145" s="2" t="s">
        <v>26</v>
      </c>
      <c r="H1145" s="2" t="s">
        <v>26</v>
      </c>
      <c r="I1145" s="2" t="s">
        <v>21</v>
      </c>
      <c r="J1145" s="2" t="n">
        <v>7</v>
      </c>
      <c r="K1145" s="2" t="s">
        <v>41</v>
      </c>
      <c r="L1145" s="2" t="n">
        <v>59</v>
      </c>
      <c r="M1145" s="2" t="n">
        <v>2</v>
      </c>
      <c r="N1145" s="2" t="n">
        <v>-1</v>
      </c>
      <c r="O1145" s="2" t="n">
        <v>0</v>
      </c>
      <c r="P1145" s="2" t="s">
        <v>23</v>
      </c>
      <c r="Q1145" s="2" t="s">
        <v>20</v>
      </c>
    </row>
    <row r="1146" customFormat="false" ht="15" hidden="false" customHeight="false" outlineLevel="0" collapsed="false">
      <c r="A1146" s="2" t="n">
        <v>48</v>
      </c>
      <c r="B1146" s="2" t="s">
        <v>29</v>
      </c>
      <c r="C1146" s="2" t="s">
        <v>18</v>
      </c>
      <c r="D1146" s="2" t="s">
        <v>31</v>
      </c>
      <c r="E1146" s="2" t="s">
        <v>20</v>
      </c>
      <c r="F1146" s="2" t="n">
        <v>998</v>
      </c>
      <c r="G1146" s="2" t="s">
        <v>26</v>
      </c>
      <c r="H1146" s="2" t="s">
        <v>20</v>
      </c>
      <c r="I1146" s="2" t="s">
        <v>21</v>
      </c>
      <c r="J1146" s="2" t="n">
        <v>29</v>
      </c>
      <c r="K1146" s="2" t="s">
        <v>43</v>
      </c>
      <c r="L1146" s="2" t="n">
        <v>121</v>
      </c>
      <c r="M1146" s="2" t="n">
        <v>3</v>
      </c>
      <c r="N1146" s="2" t="n">
        <v>-1</v>
      </c>
      <c r="O1146" s="2" t="n">
        <v>0</v>
      </c>
      <c r="P1146" s="2" t="s">
        <v>23</v>
      </c>
      <c r="Q1146" s="2" t="s">
        <v>20</v>
      </c>
    </row>
    <row r="1147" customFormat="false" ht="15" hidden="false" customHeight="false" outlineLevel="0" collapsed="false">
      <c r="A1147" s="2" t="n">
        <v>59</v>
      </c>
      <c r="B1147" s="2" t="s">
        <v>36</v>
      </c>
      <c r="C1147" s="2" t="s">
        <v>18</v>
      </c>
      <c r="D1147" s="2" t="s">
        <v>19</v>
      </c>
      <c r="E1147" s="2" t="s">
        <v>20</v>
      </c>
      <c r="F1147" s="2" t="n">
        <v>0</v>
      </c>
      <c r="G1147" s="2" t="s">
        <v>26</v>
      </c>
      <c r="H1147" s="2" t="s">
        <v>20</v>
      </c>
      <c r="I1147" s="2" t="s">
        <v>49</v>
      </c>
      <c r="J1147" s="2" t="n">
        <v>28</v>
      </c>
      <c r="K1147" s="2" t="s">
        <v>44</v>
      </c>
      <c r="L1147" s="2" t="n">
        <v>97</v>
      </c>
      <c r="M1147" s="2" t="n">
        <v>2</v>
      </c>
      <c r="N1147" s="2" t="n">
        <v>-1</v>
      </c>
      <c r="O1147" s="2" t="n">
        <v>0</v>
      </c>
      <c r="P1147" s="2" t="s">
        <v>23</v>
      </c>
      <c r="Q1147" s="2" t="s">
        <v>20</v>
      </c>
    </row>
    <row r="1148" customFormat="false" ht="15" hidden="false" customHeight="false" outlineLevel="0" collapsed="false">
      <c r="A1148" s="2" t="n">
        <v>39</v>
      </c>
      <c r="B1148" s="2" t="s">
        <v>29</v>
      </c>
      <c r="C1148" s="2" t="s">
        <v>18</v>
      </c>
      <c r="D1148" s="2" t="s">
        <v>31</v>
      </c>
      <c r="E1148" s="2" t="s">
        <v>20</v>
      </c>
      <c r="F1148" s="2" t="n">
        <v>246</v>
      </c>
      <c r="G1148" s="2" t="s">
        <v>20</v>
      </c>
      <c r="H1148" s="2" t="s">
        <v>20</v>
      </c>
      <c r="I1148" s="2" t="s">
        <v>21</v>
      </c>
      <c r="J1148" s="2" t="n">
        <v>11</v>
      </c>
      <c r="K1148" s="2" t="s">
        <v>41</v>
      </c>
      <c r="L1148" s="2" t="n">
        <v>86</v>
      </c>
      <c r="M1148" s="2" t="n">
        <v>2</v>
      </c>
      <c r="N1148" s="2" t="n">
        <v>-1</v>
      </c>
      <c r="O1148" s="2" t="n">
        <v>0</v>
      </c>
      <c r="P1148" s="2" t="s">
        <v>23</v>
      </c>
      <c r="Q1148" s="2" t="s">
        <v>20</v>
      </c>
    </row>
    <row r="1149" customFormat="false" ht="15" hidden="false" customHeight="false" outlineLevel="0" collapsed="false">
      <c r="A1149" s="2" t="n">
        <v>44</v>
      </c>
      <c r="B1149" s="2" t="s">
        <v>34</v>
      </c>
      <c r="C1149" s="2" t="s">
        <v>18</v>
      </c>
      <c r="D1149" s="2" t="s">
        <v>25</v>
      </c>
      <c r="E1149" s="2" t="s">
        <v>20</v>
      </c>
      <c r="F1149" s="2" t="n">
        <v>-182</v>
      </c>
      <c r="G1149" s="2" t="s">
        <v>26</v>
      </c>
      <c r="H1149" s="2" t="s">
        <v>26</v>
      </c>
      <c r="I1149" s="2" t="s">
        <v>21</v>
      </c>
      <c r="J1149" s="2" t="n">
        <v>14</v>
      </c>
      <c r="K1149" s="2" t="s">
        <v>27</v>
      </c>
      <c r="L1149" s="2" t="n">
        <v>10</v>
      </c>
      <c r="M1149" s="2" t="n">
        <v>10</v>
      </c>
      <c r="N1149" s="2" t="n">
        <v>-1</v>
      </c>
      <c r="O1149" s="2" t="n">
        <v>0</v>
      </c>
      <c r="P1149" s="2" t="s">
        <v>23</v>
      </c>
      <c r="Q1149" s="2" t="s">
        <v>20</v>
      </c>
    </row>
    <row r="1150" customFormat="false" ht="15" hidden="false" customHeight="false" outlineLevel="0" collapsed="false">
      <c r="A1150" s="2" t="n">
        <v>27</v>
      </c>
      <c r="B1150" s="2" t="s">
        <v>29</v>
      </c>
      <c r="C1150" s="2" t="s">
        <v>30</v>
      </c>
      <c r="D1150" s="2" t="s">
        <v>31</v>
      </c>
      <c r="E1150" s="2" t="s">
        <v>20</v>
      </c>
      <c r="F1150" s="2" t="n">
        <v>446</v>
      </c>
      <c r="G1150" s="2" t="s">
        <v>20</v>
      </c>
      <c r="H1150" s="2" t="s">
        <v>20</v>
      </c>
      <c r="I1150" s="2" t="s">
        <v>21</v>
      </c>
      <c r="J1150" s="2" t="n">
        <v>23</v>
      </c>
      <c r="K1150" s="2" t="s">
        <v>33</v>
      </c>
      <c r="L1150" s="2" t="n">
        <v>205</v>
      </c>
      <c r="M1150" s="2" t="n">
        <v>3</v>
      </c>
      <c r="N1150" s="2" t="n">
        <v>-1</v>
      </c>
      <c r="O1150" s="2" t="n">
        <v>0</v>
      </c>
      <c r="P1150" s="2" t="s">
        <v>23</v>
      </c>
      <c r="Q1150" s="2" t="s">
        <v>20</v>
      </c>
    </row>
    <row r="1151" customFormat="false" ht="15" hidden="false" customHeight="false" outlineLevel="0" collapsed="false">
      <c r="A1151" s="2" t="n">
        <v>59</v>
      </c>
      <c r="B1151" s="2" t="s">
        <v>48</v>
      </c>
      <c r="C1151" s="2" t="s">
        <v>18</v>
      </c>
      <c r="D1151" s="2" t="s">
        <v>25</v>
      </c>
      <c r="E1151" s="2" t="s">
        <v>20</v>
      </c>
      <c r="F1151" s="2" t="n">
        <v>1173</v>
      </c>
      <c r="G1151" s="2" t="s">
        <v>20</v>
      </c>
      <c r="H1151" s="2" t="s">
        <v>20</v>
      </c>
      <c r="I1151" s="2" t="s">
        <v>23</v>
      </c>
      <c r="J1151" s="2" t="n">
        <v>9</v>
      </c>
      <c r="K1151" s="2" t="s">
        <v>33</v>
      </c>
      <c r="L1151" s="2" t="n">
        <v>77</v>
      </c>
      <c r="M1151" s="2" t="n">
        <v>2</v>
      </c>
      <c r="N1151" s="2" t="n">
        <v>-1</v>
      </c>
      <c r="O1151" s="2" t="n">
        <v>0</v>
      </c>
      <c r="P1151" s="2" t="s">
        <v>23</v>
      </c>
      <c r="Q1151" s="2" t="s">
        <v>20</v>
      </c>
    </row>
    <row r="1152" customFormat="false" ht="15" hidden="false" customHeight="false" outlineLevel="0" collapsed="false">
      <c r="A1152" s="2" t="n">
        <v>36</v>
      </c>
      <c r="B1152" s="2" t="s">
        <v>38</v>
      </c>
      <c r="C1152" s="2" t="s">
        <v>45</v>
      </c>
      <c r="D1152" s="2" t="s">
        <v>25</v>
      </c>
      <c r="E1152" s="2" t="s">
        <v>20</v>
      </c>
      <c r="F1152" s="2" t="n">
        <v>5957</v>
      </c>
      <c r="G1152" s="2" t="s">
        <v>26</v>
      </c>
      <c r="H1152" s="2" t="s">
        <v>20</v>
      </c>
      <c r="I1152" s="2" t="s">
        <v>21</v>
      </c>
      <c r="J1152" s="2" t="n">
        <v>18</v>
      </c>
      <c r="K1152" s="2" t="s">
        <v>46</v>
      </c>
      <c r="L1152" s="2" t="n">
        <v>138</v>
      </c>
      <c r="M1152" s="2" t="n">
        <v>2</v>
      </c>
      <c r="N1152" s="2" t="n">
        <v>-1</v>
      </c>
      <c r="O1152" s="2" t="n">
        <v>0</v>
      </c>
      <c r="P1152" s="2" t="s">
        <v>23</v>
      </c>
      <c r="Q1152" s="2" t="s">
        <v>20</v>
      </c>
    </row>
    <row r="1153" customFormat="false" ht="15" hidden="false" customHeight="false" outlineLevel="0" collapsed="false">
      <c r="A1153" s="2" t="n">
        <v>44</v>
      </c>
      <c r="B1153" s="2" t="s">
        <v>40</v>
      </c>
      <c r="C1153" s="2" t="s">
        <v>18</v>
      </c>
      <c r="D1153" s="2" t="s">
        <v>25</v>
      </c>
      <c r="E1153" s="2" t="s">
        <v>20</v>
      </c>
      <c r="F1153" s="2" t="n">
        <v>205</v>
      </c>
      <c r="G1153" s="2" t="s">
        <v>20</v>
      </c>
      <c r="H1153" s="2" t="s">
        <v>20</v>
      </c>
      <c r="I1153" s="2" t="s">
        <v>21</v>
      </c>
      <c r="J1153" s="2" t="n">
        <v>3</v>
      </c>
      <c r="K1153" s="2" t="s">
        <v>46</v>
      </c>
      <c r="L1153" s="2" t="n">
        <v>289</v>
      </c>
      <c r="M1153" s="2" t="n">
        <v>1</v>
      </c>
      <c r="N1153" s="2" t="n">
        <v>-1</v>
      </c>
      <c r="O1153" s="2" t="n">
        <v>0</v>
      </c>
      <c r="P1153" s="2" t="s">
        <v>23</v>
      </c>
      <c r="Q1153" s="2" t="s">
        <v>26</v>
      </c>
    </row>
    <row r="1154" customFormat="false" ht="15" hidden="false" customHeight="false" outlineLevel="0" collapsed="false">
      <c r="A1154" s="2" t="n">
        <v>50</v>
      </c>
      <c r="B1154" s="2" t="s">
        <v>40</v>
      </c>
      <c r="C1154" s="2" t="s">
        <v>18</v>
      </c>
      <c r="D1154" s="2" t="s">
        <v>25</v>
      </c>
      <c r="E1154" s="2" t="s">
        <v>20</v>
      </c>
      <c r="F1154" s="2" t="n">
        <v>0</v>
      </c>
      <c r="G1154" s="2" t="s">
        <v>20</v>
      </c>
      <c r="H1154" s="2" t="s">
        <v>20</v>
      </c>
      <c r="I1154" s="2" t="s">
        <v>21</v>
      </c>
      <c r="J1154" s="2" t="n">
        <v>4</v>
      </c>
      <c r="K1154" s="2" t="s">
        <v>41</v>
      </c>
      <c r="L1154" s="2" t="n">
        <v>86</v>
      </c>
      <c r="M1154" s="2" t="n">
        <v>4</v>
      </c>
      <c r="N1154" s="2" t="n">
        <v>-1</v>
      </c>
      <c r="O1154" s="2" t="n">
        <v>0</v>
      </c>
      <c r="P1154" s="2" t="s">
        <v>23</v>
      </c>
      <c r="Q1154" s="2" t="s">
        <v>20</v>
      </c>
    </row>
    <row r="1155" customFormat="false" ht="15" hidden="false" customHeight="false" outlineLevel="0" collapsed="false">
      <c r="A1155" s="2" t="n">
        <v>41</v>
      </c>
      <c r="B1155" s="2" t="s">
        <v>29</v>
      </c>
      <c r="C1155" s="2" t="s">
        <v>45</v>
      </c>
      <c r="D1155" s="2" t="s">
        <v>31</v>
      </c>
      <c r="E1155" s="2" t="s">
        <v>20</v>
      </c>
      <c r="F1155" s="2" t="n">
        <v>369</v>
      </c>
      <c r="G1155" s="2" t="s">
        <v>26</v>
      </c>
      <c r="H1155" s="2" t="s">
        <v>20</v>
      </c>
      <c r="I1155" s="2" t="s">
        <v>49</v>
      </c>
      <c r="J1155" s="2" t="n">
        <v>22</v>
      </c>
      <c r="K1155" s="2" t="s">
        <v>41</v>
      </c>
      <c r="L1155" s="2" t="n">
        <v>9</v>
      </c>
      <c r="M1155" s="2" t="n">
        <v>3</v>
      </c>
      <c r="N1155" s="2" t="n">
        <v>-1</v>
      </c>
      <c r="O1155" s="2" t="n">
        <v>0</v>
      </c>
      <c r="P1155" s="2" t="s">
        <v>23</v>
      </c>
      <c r="Q1155" s="2" t="s">
        <v>20</v>
      </c>
    </row>
    <row r="1156" customFormat="false" ht="15" hidden="false" customHeight="false" outlineLevel="0" collapsed="false">
      <c r="A1156" s="2" t="n">
        <v>47</v>
      </c>
      <c r="B1156" s="2" t="s">
        <v>40</v>
      </c>
      <c r="C1156" s="2" t="s">
        <v>18</v>
      </c>
      <c r="D1156" s="2" t="s">
        <v>25</v>
      </c>
      <c r="E1156" s="2" t="s">
        <v>20</v>
      </c>
      <c r="F1156" s="2" t="n">
        <v>1934</v>
      </c>
      <c r="G1156" s="2" t="s">
        <v>20</v>
      </c>
      <c r="H1156" s="2" t="s">
        <v>26</v>
      </c>
      <c r="I1156" s="2" t="s">
        <v>21</v>
      </c>
      <c r="J1156" s="2" t="n">
        <v>14</v>
      </c>
      <c r="K1156" s="2" t="s">
        <v>27</v>
      </c>
      <c r="L1156" s="2" t="n">
        <v>225</v>
      </c>
      <c r="M1156" s="2" t="n">
        <v>1</v>
      </c>
      <c r="N1156" s="2" t="n">
        <v>364</v>
      </c>
      <c r="O1156" s="2" t="n">
        <v>1</v>
      </c>
      <c r="P1156" s="2" t="s">
        <v>28</v>
      </c>
      <c r="Q1156" s="2" t="s">
        <v>20</v>
      </c>
    </row>
    <row r="1157" customFormat="false" ht="15" hidden="false" customHeight="false" outlineLevel="0" collapsed="false">
      <c r="A1157" s="2" t="n">
        <v>32</v>
      </c>
      <c r="B1157" s="2" t="s">
        <v>38</v>
      </c>
      <c r="C1157" s="2" t="s">
        <v>30</v>
      </c>
      <c r="D1157" s="2" t="s">
        <v>31</v>
      </c>
      <c r="E1157" s="2" t="s">
        <v>20</v>
      </c>
      <c r="F1157" s="2" t="n">
        <v>259</v>
      </c>
      <c r="G1157" s="2" t="s">
        <v>20</v>
      </c>
      <c r="H1157" s="2" t="s">
        <v>20</v>
      </c>
      <c r="I1157" s="2" t="s">
        <v>21</v>
      </c>
      <c r="J1157" s="2" t="n">
        <v>22</v>
      </c>
      <c r="K1157" s="2" t="s">
        <v>44</v>
      </c>
      <c r="L1157" s="2" t="n">
        <v>407</v>
      </c>
      <c r="M1157" s="2" t="n">
        <v>4</v>
      </c>
      <c r="N1157" s="2" t="n">
        <v>-1</v>
      </c>
      <c r="O1157" s="2" t="n">
        <v>0</v>
      </c>
      <c r="P1157" s="2" t="s">
        <v>23</v>
      </c>
      <c r="Q1157" s="2" t="s">
        <v>20</v>
      </c>
    </row>
    <row r="1158" customFormat="false" ht="15" hidden="false" customHeight="false" outlineLevel="0" collapsed="false">
      <c r="A1158" s="2" t="n">
        <v>38</v>
      </c>
      <c r="B1158" s="2" t="s">
        <v>34</v>
      </c>
      <c r="C1158" s="2" t="s">
        <v>18</v>
      </c>
      <c r="D1158" s="2" t="s">
        <v>25</v>
      </c>
      <c r="E1158" s="2" t="s">
        <v>20</v>
      </c>
      <c r="F1158" s="2" t="n">
        <v>284</v>
      </c>
      <c r="G1158" s="2" t="s">
        <v>26</v>
      </c>
      <c r="H1158" s="2" t="s">
        <v>26</v>
      </c>
      <c r="I1158" s="2" t="s">
        <v>23</v>
      </c>
      <c r="J1158" s="2" t="n">
        <v>3</v>
      </c>
      <c r="K1158" s="2" t="s">
        <v>33</v>
      </c>
      <c r="L1158" s="2" t="n">
        <v>1030</v>
      </c>
      <c r="M1158" s="2" t="n">
        <v>6</v>
      </c>
      <c r="N1158" s="2" t="n">
        <v>-1</v>
      </c>
      <c r="O1158" s="2" t="n">
        <v>0</v>
      </c>
      <c r="P1158" s="2" t="s">
        <v>23</v>
      </c>
      <c r="Q1158" s="2" t="s">
        <v>20</v>
      </c>
    </row>
    <row r="1159" customFormat="false" ht="15" hidden="false" customHeight="false" outlineLevel="0" collapsed="false">
      <c r="A1159" s="2" t="n">
        <v>55</v>
      </c>
      <c r="B1159" s="2" t="s">
        <v>34</v>
      </c>
      <c r="C1159" s="2" t="s">
        <v>18</v>
      </c>
      <c r="D1159" s="2" t="s">
        <v>23</v>
      </c>
      <c r="E1159" s="2" t="s">
        <v>20</v>
      </c>
      <c r="F1159" s="2" t="n">
        <v>23</v>
      </c>
      <c r="G1159" s="2" t="s">
        <v>20</v>
      </c>
      <c r="H1159" s="2" t="s">
        <v>20</v>
      </c>
      <c r="I1159" s="2" t="s">
        <v>21</v>
      </c>
      <c r="J1159" s="2" t="n">
        <v>13</v>
      </c>
      <c r="K1159" s="2" t="s">
        <v>41</v>
      </c>
      <c r="L1159" s="2" t="n">
        <v>123</v>
      </c>
      <c r="M1159" s="2" t="n">
        <v>2</v>
      </c>
      <c r="N1159" s="2" t="n">
        <v>-1</v>
      </c>
      <c r="O1159" s="2" t="n">
        <v>0</v>
      </c>
      <c r="P1159" s="2" t="s">
        <v>23</v>
      </c>
      <c r="Q1159" s="2" t="s">
        <v>20</v>
      </c>
    </row>
    <row r="1160" customFormat="false" ht="15" hidden="false" customHeight="false" outlineLevel="0" collapsed="false">
      <c r="A1160" s="2" t="n">
        <v>38</v>
      </c>
      <c r="B1160" s="2" t="s">
        <v>29</v>
      </c>
      <c r="C1160" s="2" t="s">
        <v>30</v>
      </c>
      <c r="D1160" s="2" t="s">
        <v>31</v>
      </c>
      <c r="E1160" s="2" t="s">
        <v>20</v>
      </c>
      <c r="F1160" s="2" t="n">
        <v>1373</v>
      </c>
      <c r="G1160" s="2" t="s">
        <v>20</v>
      </c>
      <c r="H1160" s="2" t="s">
        <v>20</v>
      </c>
      <c r="I1160" s="2" t="s">
        <v>21</v>
      </c>
      <c r="J1160" s="2" t="n">
        <v>22</v>
      </c>
      <c r="K1160" s="2" t="s">
        <v>22</v>
      </c>
      <c r="L1160" s="2" t="n">
        <v>119</v>
      </c>
      <c r="M1160" s="2" t="n">
        <v>4</v>
      </c>
      <c r="N1160" s="2" t="n">
        <v>-1</v>
      </c>
      <c r="O1160" s="2" t="n">
        <v>0</v>
      </c>
      <c r="P1160" s="2" t="s">
        <v>23</v>
      </c>
      <c r="Q1160" s="2" t="s">
        <v>20</v>
      </c>
    </row>
    <row r="1161" customFormat="false" ht="15" hidden="false" customHeight="false" outlineLevel="0" collapsed="false">
      <c r="A1161" s="2" t="n">
        <v>31</v>
      </c>
      <c r="B1161" s="2" t="s">
        <v>29</v>
      </c>
      <c r="C1161" s="2" t="s">
        <v>30</v>
      </c>
      <c r="D1161" s="2" t="s">
        <v>31</v>
      </c>
      <c r="E1161" s="2" t="s">
        <v>20</v>
      </c>
      <c r="F1161" s="2" t="n">
        <v>62</v>
      </c>
      <c r="G1161" s="2" t="s">
        <v>26</v>
      </c>
      <c r="H1161" s="2" t="s">
        <v>20</v>
      </c>
      <c r="I1161" s="2" t="s">
        <v>21</v>
      </c>
      <c r="J1161" s="2" t="n">
        <v>18</v>
      </c>
      <c r="K1161" s="2" t="s">
        <v>27</v>
      </c>
      <c r="L1161" s="2" t="n">
        <v>175</v>
      </c>
      <c r="M1161" s="2" t="n">
        <v>1</v>
      </c>
      <c r="N1161" s="2" t="n">
        <v>293</v>
      </c>
      <c r="O1161" s="2" t="n">
        <v>5</v>
      </c>
      <c r="P1161" s="2" t="s">
        <v>28</v>
      </c>
      <c r="Q1161" s="2" t="s">
        <v>20</v>
      </c>
    </row>
    <row r="1162" customFormat="false" ht="15" hidden="false" customHeight="false" outlineLevel="0" collapsed="false">
      <c r="A1162" s="2" t="n">
        <v>38</v>
      </c>
      <c r="B1162" s="2" t="s">
        <v>34</v>
      </c>
      <c r="C1162" s="2" t="s">
        <v>45</v>
      </c>
      <c r="D1162" s="2" t="s">
        <v>25</v>
      </c>
      <c r="E1162" s="2" t="s">
        <v>20</v>
      </c>
      <c r="F1162" s="2" t="n">
        <v>157</v>
      </c>
      <c r="G1162" s="2" t="s">
        <v>20</v>
      </c>
      <c r="H1162" s="2" t="s">
        <v>20</v>
      </c>
      <c r="I1162" s="2" t="s">
        <v>23</v>
      </c>
      <c r="J1162" s="2" t="n">
        <v>9</v>
      </c>
      <c r="K1162" s="2" t="s">
        <v>33</v>
      </c>
      <c r="L1162" s="2" t="n">
        <v>299</v>
      </c>
      <c r="M1162" s="2" t="n">
        <v>5</v>
      </c>
      <c r="N1162" s="2" t="n">
        <v>-1</v>
      </c>
      <c r="O1162" s="2" t="n">
        <v>0</v>
      </c>
      <c r="P1162" s="2" t="s">
        <v>23</v>
      </c>
      <c r="Q1162" s="2" t="s">
        <v>20</v>
      </c>
    </row>
    <row r="1163" customFormat="false" ht="15" hidden="false" customHeight="false" outlineLevel="0" collapsed="false">
      <c r="A1163" s="2" t="n">
        <v>29</v>
      </c>
      <c r="B1163" s="2" t="s">
        <v>17</v>
      </c>
      <c r="C1163" s="2" t="s">
        <v>30</v>
      </c>
      <c r="D1163" s="2" t="s">
        <v>31</v>
      </c>
      <c r="E1163" s="2" t="s">
        <v>20</v>
      </c>
      <c r="F1163" s="2" t="n">
        <v>991</v>
      </c>
      <c r="G1163" s="2" t="s">
        <v>20</v>
      </c>
      <c r="H1163" s="2" t="s">
        <v>20</v>
      </c>
      <c r="I1163" s="2" t="s">
        <v>21</v>
      </c>
      <c r="J1163" s="2" t="n">
        <v>5</v>
      </c>
      <c r="K1163" s="2" t="s">
        <v>35</v>
      </c>
      <c r="L1163" s="2" t="n">
        <v>563</v>
      </c>
      <c r="M1163" s="2" t="n">
        <v>1</v>
      </c>
      <c r="N1163" s="2" t="n">
        <v>-1</v>
      </c>
      <c r="O1163" s="2" t="n">
        <v>0</v>
      </c>
      <c r="P1163" s="2" t="s">
        <v>23</v>
      </c>
      <c r="Q1163" s="2" t="s">
        <v>20</v>
      </c>
    </row>
    <row r="1164" customFormat="false" ht="15" hidden="false" customHeight="false" outlineLevel="0" collapsed="false">
      <c r="A1164" s="2" t="n">
        <v>55</v>
      </c>
      <c r="B1164" s="2" t="s">
        <v>24</v>
      </c>
      <c r="C1164" s="2" t="s">
        <v>18</v>
      </c>
      <c r="D1164" s="2" t="s">
        <v>25</v>
      </c>
      <c r="E1164" s="2" t="s">
        <v>20</v>
      </c>
      <c r="F1164" s="2" t="n">
        <v>186</v>
      </c>
      <c r="G1164" s="2" t="s">
        <v>26</v>
      </c>
      <c r="H1164" s="2" t="s">
        <v>26</v>
      </c>
      <c r="I1164" s="2" t="s">
        <v>23</v>
      </c>
      <c r="J1164" s="2" t="n">
        <v>9</v>
      </c>
      <c r="K1164" s="2" t="s">
        <v>27</v>
      </c>
      <c r="L1164" s="2" t="n">
        <v>241</v>
      </c>
      <c r="M1164" s="2" t="n">
        <v>1</v>
      </c>
      <c r="N1164" s="2" t="n">
        <v>-1</v>
      </c>
      <c r="O1164" s="2" t="n">
        <v>0</v>
      </c>
      <c r="P1164" s="2" t="s">
        <v>23</v>
      </c>
      <c r="Q1164" s="2" t="s">
        <v>20</v>
      </c>
    </row>
    <row r="1165" customFormat="false" ht="15" hidden="false" customHeight="false" outlineLevel="0" collapsed="false">
      <c r="A1165" s="2" t="n">
        <v>35</v>
      </c>
      <c r="B1165" s="2" t="s">
        <v>17</v>
      </c>
      <c r="C1165" s="2" t="s">
        <v>18</v>
      </c>
      <c r="D1165" s="2" t="s">
        <v>25</v>
      </c>
      <c r="E1165" s="2" t="s">
        <v>20</v>
      </c>
      <c r="F1165" s="2" t="n">
        <v>977</v>
      </c>
      <c r="G1165" s="2" t="s">
        <v>26</v>
      </c>
      <c r="H1165" s="2" t="s">
        <v>20</v>
      </c>
      <c r="I1165" s="2" t="s">
        <v>21</v>
      </c>
      <c r="J1165" s="2" t="n">
        <v>4</v>
      </c>
      <c r="K1165" s="2" t="s">
        <v>27</v>
      </c>
      <c r="L1165" s="2" t="n">
        <v>52</v>
      </c>
      <c r="M1165" s="2" t="n">
        <v>4</v>
      </c>
      <c r="N1165" s="2" t="n">
        <v>91</v>
      </c>
      <c r="O1165" s="2" t="n">
        <v>1</v>
      </c>
      <c r="P1165" s="2" t="s">
        <v>37</v>
      </c>
      <c r="Q1165" s="2" t="s">
        <v>20</v>
      </c>
    </row>
    <row r="1166" customFormat="false" ht="15" hidden="false" customHeight="false" outlineLevel="0" collapsed="false">
      <c r="A1166" s="2" t="n">
        <v>40</v>
      </c>
      <c r="B1166" s="2" t="s">
        <v>36</v>
      </c>
      <c r="C1166" s="2" t="s">
        <v>30</v>
      </c>
      <c r="D1166" s="2" t="s">
        <v>31</v>
      </c>
      <c r="E1166" s="2" t="s">
        <v>20</v>
      </c>
      <c r="F1166" s="2" t="n">
        <v>2893</v>
      </c>
      <c r="G1166" s="2" t="s">
        <v>20</v>
      </c>
      <c r="H1166" s="2" t="s">
        <v>20</v>
      </c>
      <c r="I1166" s="2" t="s">
        <v>21</v>
      </c>
      <c r="J1166" s="2" t="n">
        <v>2</v>
      </c>
      <c r="K1166" s="2" t="s">
        <v>33</v>
      </c>
      <c r="L1166" s="2" t="n">
        <v>76</v>
      </c>
      <c r="M1166" s="2" t="n">
        <v>3</v>
      </c>
      <c r="N1166" s="2" t="n">
        <v>-1</v>
      </c>
      <c r="O1166" s="2" t="n">
        <v>0</v>
      </c>
      <c r="P1166" s="2" t="s">
        <v>23</v>
      </c>
      <c r="Q1166" s="2" t="s">
        <v>20</v>
      </c>
    </row>
    <row r="1167" customFormat="false" ht="15" hidden="false" customHeight="false" outlineLevel="0" collapsed="false">
      <c r="A1167" s="2" t="n">
        <v>34</v>
      </c>
      <c r="B1167" s="2" t="s">
        <v>34</v>
      </c>
      <c r="C1167" s="2" t="s">
        <v>18</v>
      </c>
      <c r="D1167" s="2" t="s">
        <v>25</v>
      </c>
      <c r="E1167" s="2" t="s">
        <v>20</v>
      </c>
      <c r="F1167" s="2" t="n">
        <v>1897</v>
      </c>
      <c r="G1167" s="2" t="s">
        <v>26</v>
      </c>
      <c r="H1167" s="2" t="s">
        <v>26</v>
      </c>
      <c r="I1167" s="2" t="s">
        <v>21</v>
      </c>
      <c r="J1167" s="2" t="n">
        <v>19</v>
      </c>
      <c r="K1167" s="2" t="s">
        <v>46</v>
      </c>
      <c r="L1167" s="2" t="n">
        <v>441</v>
      </c>
      <c r="M1167" s="2" t="n">
        <v>1</v>
      </c>
      <c r="N1167" s="2" t="n">
        <v>-1</v>
      </c>
      <c r="O1167" s="2" t="n">
        <v>0</v>
      </c>
      <c r="P1167" s="2" t="s">
        <v>23</v>
      </c>
      <c r="Q1167" s="2" t="s">
        <v>20</v>
      </c>
    </row>
    <row r="1168" customFormat="false" ht="15" hidden="false" customHeight="false" outlineLevel="0" collapsed="false">
      <c r="A1168" s="2" t="n">
        <v>32</v>
      </c>
      <c r="B1168" s="2" t="s">
        <v>38</v>
      </c>
      <c r="C1168" s="2" t="s">
        <v>30</v>
      </c>
      <c r="D1168" s="2" t="s">
        <v>31</v>
      </c>
      <c r="E1168" s="2" t="s">
        <v>20</v>
      </c>
      <c r="F1168" s="2" t="n">
        <v>5514</v>
      </c>
      <c r="G1168" s="2" t="s">
        <v>20</v>
      </c>
      <c r="H1168" s="2" t="s">
        <v>20</v>
      </c>
      <c r="I1168" s="2" t="s">
        <v>21</v>
      </c>
      <c r="J1168" s="2" t="n">
        <v>22</v>
      </c>
      <c r="K1168" s="2" t="s">
        <v>32</v>
      </c>
      <c r="L1168" s="2" t="n">
        <v>319</v>
      </c>
      <c r="M1168" s="2" t="n">
        <v>1</v>
      </c>
      <c r="N1168" s="2" t="n">
        <v>182</v>
      </c>
      <c r="O1168" s="2" t="n">
        <v>1</v>
      </c>
      <c r="P1168" s="2" t="s">
        <v>50</v>
      </c>
      <c r="Q1168" s="2" t="s">
        <v>26</v>
      </c>
    </row>
    <row r="1169" customFormat="false" ht="15" hidden="false" customHeight="false" outlineLevel="0" collapsed="false">
      <c r="A1169" s="2" t="n">
        <v>33</v>
      </c>
      <c r="B1169" s="2" t="s">
        <v>34</v>
      </c>
      <c r="C1169" s="2" t="s">
        <v>18</v>
      </c>
      <c r="D1169" s="2" t="s">
        <v>25</v>
      </c>
      <c r="E1169" s="2" t="s">
        <v>20</v>
      </c>
      <c r="F1169" s="2" t="n">
        <v>889</v>
      </c>
      <c r="G1169" s="2" t="s">
        <v>26</v>
      </c>
      <c r="H1169" s="2" t="s">
        <v>20</v>
      </c>
      <c r="I1169" s="2" t="s">
        <v>23</v>
      </c>
      <c r="J1169" s="2" t="n">
        <v>18</v>
      </c>
      <c r="K1169" s="2" t="s">
        <v>51</v>
      </c>
      <c r="L1169" s="2" t="n">
        <v>13</v>
      </c>
      <c r="M1169" s="2" t="n">
        <v>1</v>
      </c>
      <c r="N1169" s="2" t="n">
        <v>373</v>
      </c>
      <c r="O1169" s="2" t="n">
        <v>6</v>
      </c>
      <c r="P1169" s="2" t="s">
        <v>50</v>
      </c>
      <c r="Q1169" s="2" t="s">
        <v>20</v>
      </c>
    </row>
    <row r="1170" customFormat="false" ht="15" hidden="false" customHeight="false" outlineLevel="0" collapsed="false">
      <c r="A1170" s="2" t="n">
        <v>33</v>
      </c>
      <c r="B1170" s="2" t="s">
        <v>29</v>
      </c>
      <c r="C1170" s="2" t="s">
        <v>18</v>
      </c>
      <c r="D1170" s="2" t="s">
        <v>31</v>
      </c>
      <c r="E1170" s="2" t="s">
        <v>20</v>
      </c>
      <c r="F1170" s="2" t="n">
        <v>273</v>
      </c>
      <c r="G1170" s="2" t="s">
        <v>26</v>
      </c>
      <c r="H1170" s="2" t="s">
        <v>20</v>
      </c>
      <c r="I1170" s="2" t="s">
        <v>23</v>
      </c>
      <c r="J1170" s="2" t="n">
        <v>16</v>
      </c>
      <c r="K1170" s="2" t="s">
        <v>27</v>
      </c>
      <c r="L1170" s="2" t="n">
        <v>803</v>
      </c>
      <c r="M1170" s="2" t="n">
        <v>1</v>
      </c>
      <c r="N1170" s="2" t="n">
        <v>-1</v>
      </c>
      <c r="O1170" s="2" t="n">
        <v>0</v>
      </c>
      <c r="P1170" s="2" t="s">
        <v>23</v>
      </c>
      <c r="Q1170" s="2" t="s">
        <v>26</v>
      </c>
    </row>
    <row r="1171" customFormat="false" ht="15" hidden="false" customHeight="false" outlineLevel="0" collapsed="false">
      <c r="A1171" s="2" t="n">
        <v>37</v>
      </c>
      <c r="B1171" s="2" t="s">
        <v>40</v>
      </c>
      <c r="C1171" s="2" t="s">
        <v>18</v>
      </c>
      <c r="D1171" s="2" t="s">
        <v>25</v>
      </c>
      <c r="E1171" s="2" t="s">
        <v>20</v>
      </c>
      <c r="F1171" s="2" t="n">
        <v>1193</v>
      </c>
      <c r="G1171" s="2" t="s">
        <v>20</v>
      </c>
      <c r="H1171" s="2" t="s">
        <v>20</v>
      </c>
      <c r="I1171" s="2" t="s">
        <v>21</v>
      </c>
      <c r="J1171" s="2" t="n">
        <v>12</v>
      </c>
      <c r="K1171" s="2" t="s">
        <v>27</v>
      </c>
      <c r="L1171" s="2" t="n">
        <v>396</v>
      </c>
      <c r="M1171" s="2" t="n">
        <v>2</v>
      </c>
      <c r="N1171" s="2" t="n">
        <v>-1</v>
      </c>
      <c r="O1171" s="2" t="n">
        <v>0</v>
      </c>
      <c r="P1171" s="2" t="s">
        <v>23</v>
      </c>
      <c r="Q1171" s="2" t="s">
        <v>20</v>
      </c>
    </row>
    <row r="1172" customFormat="false" ht="15" hidden="false" customHeight="false" outlineLevel="0" collapsed="false">
      <c r="A1172" s="2" t="n">
        <v>58</v>
      </c>
      <c r="B1172" s="2" t="s">
        <v>29</v>
      </c>
      <c r="C1172" s="2" t="s">
        <v>18</v>
      </c>
      <c r="D1172" s="2" t="s">
        <v>31</v>
      </c>
      <c r="E1172" s="2" t="s">
        <v>20</v>
      </c>
      <c r="F1172" s="2" t="n">
        <v>2729</v>
      </c>
      <c r="G1172" s="2" t="s">
        <v>20</v>
      </c>
      <c r="H1172" s="2" t="s">
        <v>20</v>
      </c>
      <c r="I1172" s="2" t="s">
        <v>23</v>
      </c>
      <c r="J1172" s="2" t="n">
        <v>18</v>
      </c>
      <c r="K1172" s="2" t="s">
        <v>33</v>
      </c>
      <c r="L1172" s="2" t="n">
        <v>188</v>
      </c>
      <c r="M1172" s="2" t="n">
        <v>1</v>
      </c>
      <c r="N1172" s="2" t="n">
        <v>-1</v>
      </c>
      <c r="O1172" s="2" t="n">
        <v>0</v>
      </c>
      <c r="P1172" s="2" t="s">
        <v>23</v>
      </c>
      <c r="Q1172" s="2" t="s">
        <v>20</v>
      </c>
    </row>
    <row r="1173" customFormat="false" ht="15" hidden="false" customHeight="false" outlineLevel="0" collapsed="false">
      <c r="A1173" s="2" t="n">
        <v>36</v>
      </c>
      <c r="B1173" s="2" t="s">
        <v>40</v>
      </c>
      <c r="C1173" s="2" t="s">
        <v>30</v>
      </c>
      <c r="D1173" s="2" t="s">
        <v>25</v>
      </c>
      <c r="E1173" s="2" t="s">
        <v>20</v>
      </c>
      <c r="F1173" s="2" t="n">
        <v>0</v>
      </c>
      <c r="G1173" s="2" t="s">
        <v>20</v>
      </c>
      <c r="H1173" s="2" t="s">
        <v>20</v>
      </c>
      <c r="I1173" s="2" t="s">
        <v>21</v>
      </c>
      <c r="J1173" s="2" t="n">
        <v>20</v>
      </c>
      <c r="K1173" s="2" t="s">
        <v>32</v>
      </c>
      <c r="L1173" s="2" t="n">
        <v>637</v>
      </c>
      <c r="M1173" s="2" t="n">
        <v>1</v>
      </c>
      <c r="N1173" s="2" t="n">
        <v>-1</v>
      </c>
      <c r="O1173" s="2" t="n">
        <v>0</v>
      </c>
      <c r="P1173" s="2" t="s">
        <v>23</v>
      </c>
      <c r="Q1173" s="2" t="s">
        <v>20</v>
      </c>
    </row>
    <row r="1174" customFormat="false" ht="15" hidden="false" customHeight="false" outlineLevel="0" collapsed="false">
      <c r="A1174" s="2" t="n">
        <v>42</v>
      </c>
      <c r="B1174" s="2" t="s">
        <v>34</v>
      </c>
      <c r="C1174" s="2" t="s">
        <v>18</v>
      </c>
      <c r="D1174" s="2" t="s">
        <v>25</v>
      </c>
      <c r="E1174" s="2" t="s">
        <v>20</v>
      </c>
      <c r="F1174" s="2" t="n">
        <v>230</v>
      </c>
      <c r="G1174" s="2" t="s">
        <v>26</v>
      </c>
      <c r="H1174" s="2" t="s">
        <v>20</v>
      </c>
      <c r="I1174" s="2" t="s">
        <v>23</v>
      </c>
      <c r="J1174" s="2" t="n">
        <v>5</v>
      </c>
      <c r="K1174" s="2" t="s">
        <v>33</v>
      </c>
      <c r="L1174" s="2" t="n">
        <v>175</v>
      </c>
      <c r="M1174" s="2" t="n">
        <v>7</v>
      </c>
      <c r="N1174" s="2" t="n">
        <v>-1</v>
      </c>
      <c r="O1174" s="2" t="n">
        <v>0</v>
      </c>
      <c r="P1174" s="2" t="s">
        <v>23</v>
      </c>
      <c r="Q1174" s="2" t="s">
        <v>20</v>
      </c>
    </row>
    <row r="1175" customFormat="false" ht="15" hidden="false" customHeight="false" outlineLevel="0" collapsed="false">
      <c r="A1175" s="2" t="n">
        <v>34</v>
      </c>
      <c r="B1175" s="2" t="s">
        <v>38</v>
      </c>
      <c r="C1175" s="2" t="s">
        <v>30</v>
      </c>
      <c r="D1175" s="2" t="s">
        <v>25</v>
      </c>
      <c r="E1175" s="2" t="s">
        <v>20</v>
      </c>
      <c r="F1175" s="2" t="n">
        <v>2729</v>
      </c>
      <c r="G1175" s="2" t="s">
        <v>26</v>
      </c>
      <c r="H1175" s="2" t="s">
        <v>20</v>
      </c>
      <c r="I1175" s="2" t="s">
        <v>21</v>
      </c>
      <c r="J1175" s="2" t="n">
        <v>6</v>
      </c>
      <c r="K1175" s="2" t="s">
        <v>32</v>
      </c>
      <c r="L1175" s="2" t="n">
        <v>945</v>
      </c>
      <c r="M1175" s="2" t="n">
        <v>1</v>
      </c>
      <c r="N1175" s="2" t="n">
        <v>139</v>
      </c>
      <c r="O1175" s="2" t="n">
        <v>1</v>
      </c>
      <c r="P1175" s="2" t="s">
        <v>50</v>
      </c>
      <c r="Q1175" s="2" t="s">
        <v>20</v>
      </c>
    </row>
    <row r="1176" customFormat="false" ht="15" hidden="false" customHeight="false" outlineLevel="0" collapsed="false">
      <c r="A1176" s="2" t="n">
        <v>35</v>
      </c>
      <c r="B1176" s="2" t="s">
        <v>29</v>
      </c>
      <c r="C1176" s="2" t="s">
        <v>18</v>
      </c>
      <c r="D1176" s="2" t="s">
        <v>31</v>
      </c>
      <c r="E1176" s="2" t="s">
        <v>20</v>
      </c>
      <c r="F1176" s="2" t="n">
        <v>317</v>
      </c>
      <c r="G1176" s="2" t="s">
        <v>26</v>
      </c>
      <c r="H1176" s="2" t="s">
        <v>20</v>
      </c>
      <c r="I1176" s="2" t="s">
        <v>23</v>
      </c>
      <c r="J1176" s="2" t="n">
        <v>23</v>
      </c>
      <c r="K1176" s="2" t="s">
        <v>27</v>
      </c>
      <c r="L1176" s="2" t="n">
        <v>162</v>
      </c>
      <c r="M1176" s="2" t="n">
        <v>3</v>
      </c>
      <c r="N1176" s="2" t="n">
        <v>-1</v>
      </c>
      <c r="O1176" s="2" t="n">
        <v>0</v>
      </c>
      <c r="P1176" s="2" t="s">
        <v>23</v>
      </c>
      <c r="Q1176" s="2" t="s">
        <v>20</v>
      </c>
    </row>
    <row r="1177" customFormat="false" ht="15" hidden="false" customHeight="false" outlineLevel="0" collapsed="false">
      <c r="A1177" s="2" t="n">
        <v>60</v>
      </c>
      <c r="B1177" s="2" t="s">
        <v>47</v>
      </c>
      <c r="C1177" s="2" t="s">
        <v>18</v>
      </c>
      <c r="D1177" s="2" t="s">
        <v>19</v>
      </c>
      <c r="E1177" s="2" t="s">
        <v>20</v>
      </c>
      <c r="F1177" s="2" t="n">
        <v>517</v>
      </c>
      <c r="G1177" s="2" t="s">
        <v>20</v>
      </c>
      <c r="H1177" s="2" t="s">
        <v>20</v>
      </c>
      <c r="I1177" s="2" t="s">
        <v>23</v>
      </c>
      <c r="J1177" s="2" t="n">
        <v>12</v>
      </c>
      <c r="K1177" s="2" t="s">
        <v>33</v>
      </c>
      <c r="L1177" s="2" t="n">
        <v>1178</v>
      </c>
      <c r="M1177" s="2" t="n">
        <v>3</v>
      </c>
      <c r="N1177" s="2" t="n">
        <v>-1</v>
      </c>
      <c r="O1177" s="2" t="n">
        <v>0</v>
      </c>
      <c r="P1177" s="2" t="s">
        <v>23</v>
      </c>
      <c r="Q1177" s="2" t="s">
        <v>20</v>
      </c>
    </row>
    <row r="1178" customFormat="false" ht="15" hidden="false" customHeight="false" outlineLevel="0" collapsed="false">
      <c r="A1178" s="2" t="n">
        <v>50</v>
      </c>
      <c r="B1178" s="2" t="s">
        <v>29</v>
      </c>
      <c r="C1178" s="2" t="s">
        <v>18</v>
      </c>
      <c r="D1178" s="2" t="s">
        <v>31</v>
      </c>
      <c r="E1178" s="2" t="s">
        <v>20</v>
      </c>
      <c r="F1178" s="2" t="n">
        <v>-470</v>
      </c>
      <c r="G1178" s="2" t="s">
        <v>26</v>
      </c>
      <c r="H1178" s="2" t="s">
        <v>20</v>
      </c>
      <c r="I1178" s="2" t="s">
        <v>21</v>
      </c>
      <c r="J1178" s="2" t="n">
        <v>8</v>
      </c>
      <c r="K1178" s="2" t="s">
        <v>27</v>
      </c>
      <c r="L1178" s="2" t="n">
        <v>506</v>
      </c>
      <c r="M1178" s="2" t="n">
        <v>2</v>
      </c>
      <c r="N1178" s="2" t="n">
        <v>170</v>
      </c>
      <c r="O1178" s="2" t="n">
        <v>3</v>
      </c>
      <c r="P1178" s="2" t="s">
        <v>28</v>
      </c>
      <c r="Q1178" s="2" t="s">
        <v>20</v>
      </c>
    </row>
    <row r="1179" customFormat="false" ht="15" hidden="false" customHeight="false" outlineLevel="0" collapsed="false">
      <c r="A1179" s="2" t="n">
        <v>28</v>
      </c>
      <c r="B1179" s="2" t="s">
        <v>36</v>
      </c>
      <c r="C1179" s="2" t="s">
        <v>30</v>
      </c>
      <c r="D1179" s="2" t="s">
        <v>31</v>
      </c>
      <c r="E1179" s="2" t="s">
        <v>20</v>
      </c>
      <c r="F1179" s="2" t="n">
        <v>4579</v>
      </c>
      <c r="G1179" s="2" t="s">
        <v>20</v>
      </c>
      <c r="H1179" s="2" t="s">
        <v>20</v>
      </c>
      <c r="I1179" s="2" t="s">
        <v>21</v>
      </c>
      <c r="J1179" s="2" t="n">
        <v>12</v>
      </c>
      <c r="K1179" s="2" t="s">
        <v>43</v>
      </c>
      <c r="L1179" s="2" t="n">
        <v>409</v>
      </c>
      <c r="M1179" s="2" t="n">
        <v>2</v>
      </c>
      <c r="N1179" s="2" t="n">
        <v>-1</v>
      </c>
      <c r="O1179" s="2" t="n">
        <v>0</v>
      </c>
      <c r="P1179" s="2" t="s">
        <v>23</v>
      </c>
      <c r="Q1179" s="2" t="s">
        <v>26</v>
      </c>
    </row>
    <row r="1180" customFormat="false" ht="15" hidden="false" customHeight="false" outlineLevel="0" collapsed="false">
      <c r="A1180" s="2" t="n">
        <v>27</v>
      </c>
      <c r="B1180" s="2" t="s">
        <v>34</v>
      </c>
      <c r="C1180" s="2" t="s">
        <v>45</v>
      </c>
      <c r="D1180" s="2" t="s">
        <v>25</v>
      </c>
      <c r="E1180" s="2" t="s">
        <v>20</v>
      </c>
      <c r="F1180" s="2" t="n">
        <v>1</v>
      </c>
      <c r="G1180" s="2" t="s">
        <v>26</v>
      </c>
      <c r="H1180" s="2" t="s">
        <v>20</v>
      </c>
      <c r="I1180" s="2" t="s">
        <v>21</v>
      </c>
      <c r="J1180" s="2" t="n">
        <v>14</v>
      </c>
      <c r="K1180" s="2" t="s">
        <v>44</v>
      </c>
      <c r="L1180" s="2" t="n">
        <v>116</v>
      </c>
      <c r="M1180" s="2" t="n">
        <v>3</v>
      </c>
      <c r="N1180" s="2" t="n">
        <v>-1</v>
      </c>
      <c r="O1180" s="2" t="n">
        <v>0</v>
      </c>
      <c r="P1180" s="2" t="s">
        <v>23</v>
      </c>
      <c r="Q1180" s="2" t="s">
        <v>20</v>
      </c>
    </row>
    <row r="1181" customFormat="false" ht="15" hidden="false" customHeight="false" outlineLevel="0" collapsed="false">
      <c r="A1181" s="2" t="n">
        <v>37</v>
      </c>
      <c r="B1181" s="2" t="s">
        <v>29</v>
      </c>
      <c r="C1181" s="2" t="s">
        <v>18</v>
      </c>
      <c r="D1181" s="2" t="s">
        <v>31</v>
      </c>
      <c r="E1181" s="2" t="s">
        <v>20</v>
      </c>
      <c r="F1181" s="2" t="n">
        <v>5106</v>
      </c>
      <c r="G1181" s="2" t="s">
        <v>20</v>
      </c>
      <c r="H1181" s="2" t="s">
        <v>20</v>
      </c>
      <c r="I1181" s="2" t="s">
        <v>21</v>
      </c>
      <c r="J1181" s="2" t="n">
        <v>30</v>
      </c>
      <c r="K1181" s="2" t="s">
        <v>32</v>
      </c>
      <c r="L1181" s="2" t="n">
        <v>244</v>
      </c>
      <c r="M1181" s="2" t="n">
        <v>1</v>
      </c>
      <c r="N1181" s="2" t="n">
        <v>-1</v>
      </c>
      <c r="O1181" s="2" t="n">
        <v>0</v>
      </c>
      <c r="P1181" s="2" t="s">
        <v>23</v>
      </c>
      <c r="Q1181" s="2" t="s">
        <v>26</v>
      </c>
    </row>
    <row r="1182" customFormat="false" ht="15" hidden="false" customHeight="false" outlineLevel="0" collapsed="false">
      <c r="A1182" s="2" t="n">
        <v>31</v>
      </c>
      <c r="B1182" s="2" t="s">
        <v>38</v>
      </c>
      <c r="C1182" s="2" t="s">
        <v>18</v>
      </c>
      <c r="D1182" s="2" t="s">
        <v>31</v>
      </c>
      <c r="E1182" s="2" t="s">
        <v>20</v>
      </c>
      <c r="F1182" s="2" t="n">
        <v>636</v>
      </c>
      <c r="G1182" s="2" t="s">
        <v>26</v>
      </c>
      <c r="H1182" s="2" t="s">
        <v>20</v>
      </c>
      <c r="I1182" s="2" t="s">
        <v>21</v>
      </c>
      <c r="J1182" s="2" t="n">
        <v>4</v>
      </c>
      <c r="K1182" s="2" t="s">
        <v>27</v>
      </c>
      <c r="L1182" s="2" t="n">
        <v>352</v>
      </c>
      <c r="M1182" s="2" t="n">
        <v>4</v>
      </c>
      <c r="N1182" s="2" t="n">
        <v>-1</v>
      </c>
      <c r="O1182" s="2" t="n">
        <v>0</v>
      </c>
      <c r="P1182" s="2" t="s">
        <v>23</v>
      </c>
      <c r="Q1182" s="2" t="s">
        <v>26</v>
      </c>
    </row>
    <row r="1183" customFormat="false" ht="15" hidden="false" customHeight="false" outlineLevel="0" collapsed="false">
      <c r="A1183" s="2" t="n">
        <v>34</v>
      </c>
      <c r="B1183" s="2" t="s">
        <v>24</v>
      </c>
      <c r="C1183" s="2" t="s">
        <v>18</v>
      </c>
      <c r="D1183" s="2" t="s">
        <v>25</v>
      </c>
      <c r="E1183" s="2" t="s">
        <v>20</v>
      </c>
      <c r="F1183" s="2" t="n">
        <v>1076</v>
      </c>
      <c r="G1183" s="2" t="s">
        <v>20</v>
      </c>
      <c r="H1183" s="2" t="s">
        <v>20</v>
      </c>
      <c r="I1183" s="2" t="s">
        <v>21</v>
      </c>
      <c r="J1183" s="2" t="n">
        <v>12</v>
      </c>
      <c r="K1183" s="2" t="s">
        <v>27</v>
      </c>
      <c r="L1183" s="2" t="n">
        <v>152</v>
      </c>
      <c r="M1183" s="2" t="n">
        <v>1</v>
      </c>
      <c r="N1183" s="2" t="n">
        <v>182</v>
      </c>
      <c r="O1183" s="2" t="n">
        <v>6</v>
      </c>
      <c r="P1183" s="2" t="s">
        <v>50</v>
      </c>
      <c r="Q1183" s="2" t="s">
        <v>26</v>
      </c>
    </row>
    <row r="1184" customFormat="false" ht="15" hidden="false" customHeight="false" outlineLevel="0" collapsed="false">
      <c r="A1184" s="2" t="n">
        <v>38</v>
      </c>
      <c r="B1184" s="2" t="s">
        <v>29</v>
      </c>
      <c r="C1184" s="2" t="s">
        <v>18</v>
      </c>
      <c r="D1184" s="2" t="s">
        <v>31</v>
      </c>
      <c r="E1184" s="2" t="s">
        <v>20</v>
      </c>
      <c r="F1184" s="2" t="n">
        <v>126</v>
      </c>
      <c r="G1184" s="2" t="s">
        <v>26</v>
      </c>
      <c r="H1184" s="2" t="s">
        <v>20</v>
      </c>
      <c r="I1184" s="2" t="s">
        <v>23</v>
      </c>
      <c r="J1184" s="2" t="n">
        <v>21</v>
      </c>
      <c r="K1184" s="2" t="s">
        <v>27</v>
      </c>
      <c r="L1184" s="2" t="n">
        <v>164</v>
      </c>
      <c r="M1184" s="2" t="n">
        <v>2</v>
      </c>
      <c r="N1184" s="2" t="n">
        <v>-1</v>
      </c>
      <c r="O1184" s="2" t="n">
        <v>0</v>
      </c>
      <c r="P1184" s="2" t="s">
        <v>23</v>
      </c>
      <c r="Q1184" s="2" t="s">
        <v>20</v>
      </c>
    </row>
    <row r="1185" customFormat="false" ht="15" hidden="false" customHeight="false" outlineLevel="0" collapsed="false">
      <c r="A1185" s="2" t="n">
        <v>32</v>
      </c>
      <c r="B1185" s="2" t="s">
        <v>36</v>
      </c>
      <c r="C1185" s="2" t="s">
        <v>18</v>
      </c>
      <c r="D1185" s="2" t="s">
        <v>25</v>
      </c>
      <c r="E1185" s="2" t="s">
        <v>20</v>
      </c>
      <c r="F1185" s="2" t="n">
        <v>-33</v>
      </c>
      <c r="G1185" s="2" t="s">
        <v>26</v>
      </c>
      <c r="H1185" s="2" t="s">
        <v>20</v>
      </c>
      <c r="I1185" s="2" t="s">
        <v>23</v>
      </c>
      <c r="J1185" s="2" t="n">
        <v>28</v>
      </c>
      <c r="K1185" s="2" t="s">
        <v>27</v>
      </c>
      <c r="L1185" s="2" t="n">
        <v>234</v>
      </c>
      <c r="M1185" s="2" t="n">
        <v>3</v>
      </c>
      <c r="N1185" s="2" t="n">
        <v>-1</v>
      </c>
      <c r="O1185" s="2" t="n">
        <v>0</v>
      </c>
      <c r="P1185" s="2" t="s">
        <v>23</v>
      </c>
      <c r="Q1185" s="2" t="s">
        <v>20</v>
      </c>
    </row>
    <row r="1186" customFormat="false" ht="15" hidden="false" customHeight="false" outlineLevel="0" collapsed="false">
      <c r="A1186" s="2" t="n">
        <v>37</v>
      </c>
      <c r="B1186" s="2" t="s">
        <v>38</v>
      </c>
      <c r="C1186" s="2" t="s">
        <v>18</v>
      </c>
      <c r="D1186" s="2" t="s">
        <v>25</v>
      </c>
      <c r="E1186" s="2" t="s">
        <v>20</v>
      </c>
      <c r="F1186" s="2" t="n">
        <v>430</v>
      </c>
      <c r="G1186" s="2" t="s">
        <v>20</v>
      </c>
      <c r="H1186" s="2" t="s">
        <v>20</v>
      </c>
      <c r="I1186" s="2" t="s">
        <v>21</v>
      </c>
      <c r="J1186" s="2" t="n">
        <v>27</v>
      </c>
      <c r="K1186" s="2" t="s">
        <v>41</v>
      </c>
      <c r="L1186" s="2" t="n">
        <v>154</v>
      </c>
      <c r="M1186" s="2" t="n">
        <v>4</v>
      </c>
      <c r="N1186" s="2" t="n">
        <v>-1</v>
      </c>
      <c r="O1186" s="2" t="n">
        <v>0</v>
      </c>
      <c r="P1186" s="2" t="s">
        <v>23</v>
      </c>
      <c r="Q1186" s="2" t="s">
        <v>20</v>
      </c>
    </row>
    <row r="1187" customFormat="false" ht="15" hidden="false" customHeight="false" outlineLevel="0" collapsed="false">
      <c r="A1187" s="2" t="n">
        <v>33</v>
      </c>
      <c r="B1187" s="2" t="s">
        <v>40</v>
      </c>
      <c r="C1187" s="2" t="s">
        <v>18</v>
      </c>
      <c r="D1187" s="2" t="s">
        <v>25</v>
      </c>
      <c r="E1187" s="2" t="s">
        <v>20</v>
      </c>
      <c r="F1187" s="2" t="n">
        <v>-6</v>
      </c>
      <c r="G1187" s="2" t="s">
        <v>26</v>
      </c>
      <c r="H1187" s="2" t="s">
        <v>20</v>
      </c>
      <c r="I1187" s="2" t="s">
        <v>23</v>
      </c>
      <c r="J1187" s="2" t="n">
        <v>7</v>
      </c>
      <c r="K1187" s="2" t="s">
        <v>27</v>
      </c>
      <c r="L1187" s="2" t="n">
        <v>566</v>
      </c>
      <c r="M1187" s="2" t="n">
        <v>2</v>
      </c>
      <c r="N1187" s="2" t="n">
        <v>-1</v>
      </c>
      <c r="O1187" s="2" t="n">
        <v>0</v>
      </c>
      <c r="P1187" s="2" t="s">
        <v>23</v>
      </c>
      <c r="Q1187" s="2" t="s">
        <v>20</v>
      </c>
    </row>
    <row r="1188" customFormat="false" ht="15" hidden="false" customHeight="false" outlineLevel="0" collapsed="false">
      <c r="A1188" s="2" t="n">
        <v>71</v>
      </c>
      <c r="B1188" s="2" t="s">
        <v>38</v>
      </c>
      <c r="C1188" s="2" t="s">
        <v>18</v>
      </c>
      <c r="D1188" s="2" t="s">
        <v>31</v>
      </c>
      <c r="E1188" s="2" t="s">
        <v>20</v>
      </c>
      <c r="F1188" s="2" t="n">
        <v>383</v>
      </c>
      <c r="G1188" s="2" t="s">
        <v>20</v>
      </c>
      <c r="H1188" s="2" t="s">
        <v>20</v>
      </c>
      <c r="I1188" s="2" t="s">
        <v>21</v>
      </c>
      <c r="J1188" s="2" t="n">
        <v>27</v>
      </c>
      <c r="K1188" s="2" t="s">
        <v>22</v>
      </c>
      <c r="L1188" s="2" t="n">
        <v>327</v>
      </c>
      <c r="M1188" s="2" t="n">
        <v>2</v>
      </c>
      <c r="N1188" s="2" t="n">
        <v>183</v>
      </c>
      <c r="O1188" s="2" t="n">
        <v>3</v>
      </c>
      <c r="P1188" s="2" t="s">
        <v>50</v>
      </c>
      <c r="Q1188" s="2" t="s">
        <v>20</v>
      </c>
    </row>
    <row r="1189" customFormat="false" ht="15" hidden="false" customHeight="false" outlineLevel="0" collapsed="false">
      <c r="A1189" s="2" t="n">
        <v>27</v>
      </c>
      <c r="B1189" s="2" t="s">
        <v>38</v>
      </c>
      <c r="C1189" s="2" t="s">
        <v>18</v>
      </c>
      <c r="D1189" s="2" t="s">
        <v>25</v>
      </c>
      <c r="E1189" s="2" t="s">
        <v>20</v>
      </c>
      <c r="F1189" s="2" t="n">
        <v>130</v>
      </c>
      <c r="G1189" s="2" t="s">
        <v>26</v>
      </c>
      <c r="H1189" s="2" t="s">
        <v>20</v>
      </c>
      <c r="I1189" s="2" t="s">
        <v>21</v>
      </c>
      <c r="J1189" s="2" t="n">
        <v>7</v>
      </c>
      <c r="K1189" s="2" t="s">
        <v>27</v>
      </c>
      <c r="L1189" s="2" t="n">
        <v>265</v>
      </c>
      <c r="M1189" s="2" t="n">
        <v>3</v>
      </c>
      <c r="N1189" s="2" t="n">
        <v>-1</v>
      </c>
      <c r="O1189" s="2" t="n">
        <v>0</v>
      </c>
      <c r="P1189" s="2" t="s">
        <v>23</v>
      </c>
      <c r="Q1189" s="2" t="s">
        <v>20</v>
      </c>
    </row>
    <row r="1190" customFormat="false" ht="15" hidden="false" customHeight="false" outlineLevel="0" collapsed="false">
      <c r="A1190" s="2" t="n">
        <v>38</v>
      </c>
      <c r="B1190" s="2" t="s">
        <v>34</v>
      </c>
      <c r="C1190" s="2" t="s">
        <v>18</v>
      </c>
      <c r="D1190" s="2" t="s">
        <v>19</v>
      </c>
      <c r="E1190" s="2" t="s">
        <v>20</v>
      </c>
      <c r="F1190" s="2" t="n">
        <v>2569</v>
      </c>
      <c r="G1190" s="2" t="s">
        <v>20</v>
      </c>
      <c r="H1190" s="2" t="s">
        <v>20</v>
      </c>
      <c r="I1190" s="2" t="s">
        <v>23</v>
      </c>
      <c r="J1190" s="2" t="n">
        <v>9</v>
      </c>
      <c r="K1190" s="2" t="s">
        <v>33</v>
      </c>
      <c r="L1190" s="2" t="n">
        <v>172</v>
      </c>
      <c r="M1190" s="2" t="n">
        <v>1</v>
      </c>
      <c r="N1190" s="2" t="n">
        <v>-1</v>
      </c>
      <c r="O1190" s="2" t="n">
        <v>0</v>
      </c>
      <c r="P1190" s="2" t="s">
        <v>23</v>
      </c>
      <c r="Q1190" s="2" t="s">
        <v>20</v>
      </c>
    </row>
    <row r="1191" customFormat="false" ht="15" hidden="false" customHeight="false" outlineLevel="0" collapsed="false">
      <c r="A1191" s="2" t="n">
        <v>34</v>
      </c>
      <c r="B1191" s="2" t="s">
        <v>38</v>
      </c>
      <c r="C1191" s="2" t="s">
        <v>30</v>
      </c>
      <c r="D1191" s="2" t="s">
        <v>25</v>
      </c>
      <c r="E1191" s="2" t="s">
        <v>20</v>
      </c>
      <c r="F1191" s="2" t="n">
        <v>201</v>
      </c>
      <c r="G1191" s="2" t="s">
        <v>20</v>
      </c>
      <c r="H1191" s="2" t="s">
        <v>20</v>
      </c>
      <c r="I1191" s="2" t="s">
        <v>21</v>
      </c>
      <c r="J1191" s="2" t="n">
        <v>22</v>
      </c>
      <c r="K1191" s="2" t="s">
        <v>44</v>
      </c>
      <c r="L1191" s="2" t="n">
        <v>257</v>
      </c>
      <c r="M1191" s="2" t="n">
        <v>2</v>
      </c>
      <c r="N1191" s="2" t="n">
        <v>-1</v>
      </c>
      <c r="O1191" s="2" t="n">
        <v>0</v>
      </c>
      <c r="P1191" s="2" t="s">
        <v>23</v>
      </c>
      <c r="Q1191" s="2" t="s">
        <v>20</v>
      </c>
    </row>
    <row r="1192" customFormat="false" ht="15" hidden="false" customHeight="false" outlineLevel="0" collapsed="false">
      <c r="A1192" s="2" t="n">
        <v>54</v>
      </c>
      <c r="B1192" s="2" t="s">
        <v>48</v>
      </c>
      <c r="C1192" s="2" t="s">
        <v>45</v>
      </c>
      <c r="D1192" s="2" t="s">
        <v>31</v>
      </c>
      <c r="E1192" s="2" t="s">
        <v>20</v>
      </c>
      <c r="F1192" s="2" t="n">
        <v>0</v>
      </c>
      <c r="G1192" s="2" t="s">
        <v>20</v>
      </c>
      <c r="H1192" s="2" t="s">
        <v>20</v>
      </c>
      <c r="I1192" s="2" t="s">
        <v>23</v>
      </c>
      <c r="J1192" s="2" t="n">
        <v>13</v>
      </c>
      <c r="K1192" s="2" t="s">
        <v>27</v>
      </c>
      <c r="L1192" s="2" t="n">
        <v>618</v>
      </c>
      <c r="M1192" s="2" t="n">
        <v>1</v>
      </c>
      <c r="N1192" s="2" t="n">
        <v>-1</v>
      </c>
      <c r="O1192" s="2" t="n">
        <v>0</v>
      </c>
      <c r="P1192" s="2" t="s">
        <v>23</v>
      </c>
      <c r="Q1192" s="2" t="s">
        <v>26</v>
      </c>
    </row>
    <row r="1193" customFormat="false" ht="15" hidden="false" customHeight="false" outlineLevel="0" collapsed="false">
      <c r="A1193" s="2" t="n">
        <v>30</v>
      </c>
      <c r="B1193" s="2" t="s">
        <v>34</v>
      </c>
      <c r="C1193" s="2" t="s">
        <v>18</v>
      </c>
      <c r="D1193" s="2" t="s">
        <v>25</v>
      </c>
      <c r="E1193" s="2" t="s">
        <v>20</v>
      </c>
      <c r="F1193" s="2" t="n">
        <v>6</v>
      </c>
      <c r="G1193" s="2" t="s">
        <v>26</v>
      </c>
      <c r="H1193" s="2" t="s">
        <v>20</v>
      </c>
      <c r="I1193" s="2" t="s">
        <v>21</v>
      </c>
      <c r="J1193" s="2" t="n">
        <v>28</v>
      </c>
      <c r="K1193" s="2" t="s">
        <v>43</v>
      </c>
      <c r="L1193" s="2" t="n">
        <v>241</v>
      </c>
      <c r="M1193" s="2" t="n">
        <v>3</v>
      </c>
      <c r="N1193" s="2" t="n">
        <v>-1</v>
      </c>
      <c r="O1193" s="2" t="n">
        <v>0</v>
      </c>
      <c r="P1193" s="2" t="s">
        <v>23</v>
      </c>
      <c r="Q1193" s="2" t="s">
        <v>20</v>
      </c>
    </row>
    <row r="1194" customFormat="false" ht="15" hidden="false" customHeight="false" outlineLevel="0" collapsed="false">
      <c r="A1194" s="2" t="n">
        <v>35</v>
      </c>
      <c r="B1194" s="2" t="s">
        <v>39</v>
      </c>
      <c r="C1194" s="2" t="s">
        <v>30</v>
      </c>
      <c r="D1194" s="2" t="s">
        <v>25</v>
      </c>
      <c r="E1194" s="2" t="s">
        <v>20</v>
      </c>
      <c r="F1194" s="2" t="n">
        <v>475</v>
      </c>
      <c r="G1194" s="2" t="s">
        <v>20</v>
      </c>
      <c r="H1194" s="2" t="s">
        <v>26</v>
      </c>
      <c r="I1194" s="2" t="s">
        <v>21</v>
      </c>
      <c r="J1194" s="2" t="n">
        <v>21</v>
      </c>
      <c r="K1194" s="2" t="s">
        <v>44</v>
      </c>
      <c r="L1194" s="2" t="n">
        <v>936</v>
      </c>
      <c r="M1194" s="2" t="n">
        <v>4</v>
      </c>
      <c r="N1194" s="2" t="n">
        <v>-1</v>
      </c>
      <c r="O1194" s="2" t="n">
        <v>0</v>
      </c>
      <c r="P1194" s="2" t="s">
        <v>23</v>
      </c>
      <c r="Q1194" s="2" t="s">
        <v>20</v>
      </c>
    </row>
    <row r="1195" customFormat="false" ht="15" hidden="false" customHeight="false" outlineLevel="0" collapsed="false">
      <c r="A1195" s="2" t="n">
        <v>33</v>
      </c>
      <c r="B1195" s="2" t="s">
        <v>34</v>
      </c>
      <c r="C1195" s="2" t="s">
        <v>30</v>
      </c>
      <c r="D1195" s="2" t="s">
        <v>25</v>
      </c>
      <c r="E1195" s="2" t="s">
        <v>20</v>
      </c>
      <c r="F1195" s="2" t="n">
        <v>706</v>
      </c>
      <c r="G1195" s="2" t="s">
        <v>26</v>
      </c>
      <c r="H1195" s="2" t="s">
        <v>20</v>
      </c>
      <c r="I1195" s="2" t="s">
        <v>21</v>
      </c>
      <c r="J1195" s="2" t="n">
        <v>7</v>
      </c>
      <c r="K1195" s="2" t="s">
        <v>32</v>
      </c>
      <c r="L1195" s="2" t="n">
        <v>329</v>
      </c>
      <c r="M1195" s="2" t="n">
        <v>1</v>
      </c>
      <c r="N1195" s="2" t="n">
        <v>322</v>
      </c>
      <c r="O1195" s="2" t="n">
        <v>1</v>
      </c>
      <c r="P1195" s="2" t="s">
        <v>28</v>
      </c>
      <c r="Q1195" s="2" t="s">
        <v>20</v>
      </c>
    </row>
    <row r="1196" customFormat="false" ht="15" hidden="false" customHeight="false" outlineLevel="0" collapsed="false">
      <c r="A1196" s="2" t="n">
        <v>36</v>
      </c>
      <c r="B1196" s="2" t="s">
        <v>29</v>
      </c>
      <c r="C1196" s="2" t="s">
        <v>18</v>
      </c>
      <c r="D1196" s="2" t="s">
        <v>25</v>
      </c>
      <c r="E1196" s="2" t="s">
        <v>20</v>
      </c>
      <c r="F1196" s="2" t="n">
        <v>1825</v>
      </c>
      <c r="G1196" s="2" t="s">
        <v>26</v>
      </c>
      <c r="H1196" s="2" t="s">
        <v>20</v>
      </c>
      <c r="I1196" s="2" t="s">
        <v>21</v>
      </c>
      <c r="J1196" s="2" t="n">
        <v>14</v>
      </c>
      <c r="K1196" s="2" t="s">
        <v>27</v>
      </c>
      <c r="L1196" s="2" t="n">
        <v>24</v>
      </c>
      <c r="M1196" s="2" t="n">
        <v>1</v>
      </c>
      <c r="N1196" s="2" t="n">
        <v>346</v>
      </c>
      <c r="O1196" s="2" t="n">
        <v>1</v>
      </c>
      <c r="P1196" s="2" t="s">
        <v>28</v>
      </c>
      <c r="Q1196" s="2" t="s">
        <v>20</v>
      </c>
    </row>
    <row r="1197" customFormat="false" ht="15" hidden="false" customHeight="false" outlineLevel="0" collapsed="false">
      <c r="A1197" s="2" t="n">
        <v>59</v>
      </c>
      <c r="B1197" s="2" t="s">
        <v>36</v>
      </c>
      <c r="C1197" s="2" t="s">
        <v>18</v>
      </c>
      <c r="D1197" s="2" t="s">
        <v>31</v>
      </c>
      <c r="E1197" s="2" t="s">
        <v>20</v>
      </c>
      <c r="F1197" s="2" t="n">
        <v>185</v>
      </c>
      <c r="G1197" s="2" t="s">
        <v>20</v>
      </c>
      <c r="H1197" s="2" t="s">
        <v>20</v>
      </c>
      <c r="I1197" s="2" t="s">
        <v>21</v>
      </c>
      <c r="J1197" s="2" t="n">
        <v>22</v>
      </c>
      <c r="K1197" s="2" t="s">
        <v>33</v>
      </c>
      <c r="L1197" s="2" t="n">
        <v>177</v>
      </c>
      <c r="M1197" s="2" t="n">
        <v>5</v>
      </c>
      <c r="N1197" s="2" t="n">
        <v>138</v>
      </c>
      <c r="O1197" s="2" t="n">
        <v>1</v>
      </c>
      <c r="P1197" s="2" t="s">
        <v>28</v>
      </c>
      <c r="Q1197" s="2" t="s">
        <v>20</v>
      </c>
    </row>
    <row r="1198" customFormat="false" ht="15" hidden="false" customHeight="false" outlineLevel="0" collapsed="false">
      <c r="A1198" s="2" t="n">
        <v>72</v>
      </c>
      <c r="B1198" s="2" t="s">
        <v>34</v>
      </c>
      <c r="C1198" s="2" t="s">
        <v>18</v>
      </c>
      <c r="D1198" s="2" t="s">
        <v>19</v>
      </c>
      <c r="E1198" s="2" t="s">
        <v>20</v>
      </c>
      <c r="F1198" s="2" t="n">
        <v>4415</v>
      </c>
      <c r="G1198" s="2" t="s">
        <v>20</v>
      </c>
      <c r="H1198" s="2" t="s">
        <v>20</v>
      </c>
      <c r="I1198" s="2" t="s">
        <v>49</v>
      </c>
      <c r="J1198" s="2" t="n">
        <v>13</v>
      </c>
      <c r="K1198" s="2" t="s">
        <v>22</v>
      </c>
      <c r="L1198" s="2" t="n">
        <v>120</v>
      </c>
      <c r="M1198" s="2" t="n">
        <v>1</v>
      </c>
      <c r="N1198" s="2" t="n">
        <v>-1</v>
      </c>
      <c r="O1198" s="2" t="n">
        <v>0</v>
      </c>
      <c r="P1198" s="2" t="s">
        <v>23</v>
      </c>
      <c r="Q1198" s="2" t="s">
        <v>20</v>
      </c>
    </row>
    <row r="1199" customFormat="false" ht="15" hidden="false" customHeight="false" outlineLevel="0" collapsed="false">
      <c r="A1199" s="2" t="n">
        <v>64</v>
      </c>
      <c r="B1199" s="2" t="s">
        <v>29</v>
      </c>
      <c r="C1199" s="2" t="s">
        <v>18</v>
      </c>
      <c r="D1199" s="2" t="s">
        <v>31</v>
      </c>
      <c r="E1199" s="2" t="s">
        <v>20</v>
      </c>
      <c r="F1199" s="2" t="n">
        <v>679</v>
      </c>
      <c r="G1199" s="2" t="s">
        <v>20</v>
      </c>
      <c r="H1199" s="2" t="s">
        <v>20</v>
      </c>
      <c r="I1199" s="2" t="s">
        <v>49</v>
      </c>
      <c r="J1199" s="2" t="n">
        <v>22</v>
      </c>
      <c r="K1199" s="2" t="s">
        <v>32</v>
      </c>
      <c r="L1199" s="2" t="n">
        <v>135</v>
      </c>
      <c r="M1199" s="2" t="n">
        <v>3</v>
      </c>
      <c r="N1199" s="2" t="n">
        <v>-1</v>
      </c>
      <c r="O1199" s="2" t="n">
        <v>0</v>
      </c>
      <c r="P1199" s="2" t="s">
        <v>23</v>
      </c>
      <c r="Q1199" s="2" t="s">
        <v>20</v>
      </c>
    </row>
    <row r="1200" customFormat="false" ht="15" hidden="false" customHeight="false" outlineLevel="0" collapsed="false">
      <c r="A1200" s="2" t="n">
        <v>53</v>
      </c>
      <c r="B1200" s="2" t="s">
        <v>38</v>
      </c>
      <c r="C1200" s="2" t="s">
        <v>45</v>
      </c>
      <c r="D1200" s="2" t="s">
        <v>25</v>
      </c>
      <c r="E1200" s="2" t="s">
        <v>20</v>
      </c>
      <c r="F1200" s="2" t="n">
        <v>320</v>
      </c>
      <c r="G1200" s="2" t="s">
        <v>20</v>
      </c>
      <c r="H1200" s="2" t="s">
        <v>20</v>
      </c>
      <c r="I1200" s="2" t="s">
        <v>21</v>
      </c>
      <c r="J1200" s="2" t="n">
        <v>9</v>
      </c>
      <c r="K1200" s="2" t="s">
        <v>44</v>
      </c>
      <c r="L1200" s="2" t="n">
        <v>175</v>
      </c>
      <c r="M1200" s="2" t="n">
        <v>1</v>
      </c>
      <c r="N1200" s="2" t="n">
        <v>-1</v>
      </c>
      <c r="O1200" s="2" t="n">
        <v>0</v>
      </c>
      <c r="P1200" s="2" t="s">
        <v>23</v>
      </c>
      <c r="Q1200" s="2" t="s">
        <v>20</v>
      </c>
    </row>
    <row r="1201" customFormat="false" ht="15" hidden="false" customHeight="false" outlineLevel="0" collapsed="false">
      <c r="A1201" s="2" t="n">
        <v>35</v>
      </c>
      <c r="B1201" s="2" t="s">
        <v>29</v>
      </c>
      <c r="C1201" s="2" t="s">
        <v>30</v>
      </c>
      <c r="D1201" s="2" t="s">
        <v>31</v>
      </c>
      <c r="E1201" s="2" t="s">
        <v>20</v>
      </c>
      <c r="F1201" s="2" t="n">
        <v>2988</v>
      </c>
      <c r="G1201" s="2" t="s">
        <v>26</v>
      </c>
      <c r="H1201" s="2" t="s">
        <v>20</v>
      </c>
      <c r="I1201" s="2" t="s">
        <v>21</v>
      </c>
      <c r="J1201" s="2" t="n">
        <v>25</v>
      </c>
      <c r="K1201" s="2" t="s">
        <v>27</v>
      </c>
      <c r="L1201" s="2" t="n">
        <v>179</v>
      </c>
      <c r="M1201" s="2" t="n">
        <v>1</v>
      </c>
      <c r="N1201" s="2" t="n">
        <v>-1</v>
      </c>
      <c r="O1201" s="2" t="n">
        <v>0</v>
      </c>
      <c r="P1201" s="2" t="s">
        <v>23</v>
      </c>
      <c r="Q1201" s="2" t="s">
        <v>20</v>
      </c>
    </row>
    <row r="1202" customFormat="false" ht="15" hidden="false" customHeight="false" outlineLevel="0" collapsed="false">
      <c r="A1202" s="2" t="n">
        <v>58</v>
      </c>
      <c r="B1202" s="2" t="s">
        <v>36</v>
      </c>
      <c r="C1202" s="2" t="s">
        <v>18</v>
      </c>
      <c r="D1202" s="2" t="s">
        <v>25</v>
      </c>
      <c r="E1202" s="2" t="s">
        <v>20</v>
      </c>
      <c r="F1202" s="2" t="n">
        <v>1407</v>
      </c>
      <c r="G1202" s="2" t="s">
        <v>26</v>
      </c>
      <c r="H1202" s="2" t="s">
        <v>20</v>
      </c>
      <c r="I1202" s="2" t="s">
        <v>23</v>
      </c>
      <c r="J1202" s="2" t="n">
        <v>30</v>
      </c>
      <c r="K1202" s="2" t="s">
        <v>27</v>
      </c>
      <c r="L1202" s="2" t="n">
        <v>58</v>
      </c>
      <c r="M1202" s="2" t="n">
        <v>1</v>
      </c>
      <c r="N1202" s="2" t="n">
        <v>-1</v>
      </c>
      <c r="O1202" s="2" t="n">
        <v>0</v>
      </c>
      <c r="P1202" s="2" t="s">
        <v>23</v>
      </c>
      <c r="Q1202" s="2" t="s">
        <v>20</v>
      </c>
    </row>
    <row r="1203" customFormat="false" ht="15" hidden="false" customHeight="false" outlineLevel="0" collapsed="false">
      <c r="A1203" s="2" t="n">
        <v>40</v>
      </c>
      <c r="B1203" s="2" t="s">
        <v>38</v>
      </c>
      <c r="C1203" s="2" t="s">
        <v>18</v>
      </c>
      <c r="D1203" s="2" t="s">
        <v>25</v>
      </c>
      <c r="E1203" s="2" t="s">
        <v>20</v>
      </c>
      <c r="F1203" s="2" t="n">
        <v>1270</v>
      </c>
      <c r="G1203" s="2" t="s">
        <v>20</v>
      </c>
      <c r="H1203" s="2" t="s">
        <v>20</v>
      </c>
      <c r="I1203" s="2" t="s">
        <v>21</v>
      </c>
      <c r="J1203" s="2" t="n">
        <v>17</v>
      </c>
      <c r="K1203" s="2" t="s">
        <v>32</v>
      </c>
      <c r="L1203" s="2" t="n">
        <v>342</v>
      </c>
      <c r="M1203" s="2" t="n">
        <v>2</v>
      </c>
      <c r="N1203" s="2" t="n">
        <v>-1</v>
      </c>
      <c r="O1203" s="2" t="n">
        <v>0</v>
      </c>
      <c r="P1203" s="2" t="s">
        <v>23</v>
      </c>
      <c r="Q1203" s="2" t="s">
        <v>20</v>
      </c>
    </row>
    <row r="1204" customFormat="false" ht="15" hidden="false" customHeight="false" outlineLevel="0" collapsed="false">
      <c r="A1204" s="2" t="n">
        <v>41</v>
      </c>
      <c r="B1204" s="2" t="s">
        <v>24</v>
      </c>
      <c r="C1204" s="2" t="s">
        <v>45</v>
      </c>
      <c r="D1204" s="2" t="s">
        <v>25</v>
      </c>
      <c r="E1204" s="2" t="s">
        <v>20</v>
      </c>
      <c r="F1204" s="2" t="n">
        <v>654</v>
      </c>
      <c r="G1204" s="2" t="s">
        <v>26</v>
      </c>
      <c r="H1204" s="2" t="s">
        <v>20</v>
      </c>
      <c r="I1204" s="2" t="s">
        <v>21</v>
      </c>
      <c r="J1204" s="2" t="n">
        <v>13</v>
      </c>
      <c r="K1204" s="2" t="s">
        <v>27</v>
      </c>
      <c r="L1204" s="2" t="n">
        <v>139</v>
      </c>
      <c r="M1204" s="2" t="n">
        <v>2</v>
      </c>
      <c r="N1204" s="2" t="n">
        <v>-1</v>
      </c>
      <c r="O1204" s="2" t="n">
        <v>0</v>
      </c>
      <c r="P1204" s="2" t="s">
        <v>23</v>
      </c>
      <c r="Q1204" s="2" t="s">
        <v>20</v>
      </c>
    </row>
    <row r="1205" customFormat="false" ht="15" hidden="false" customHeight="false" outlineLevel="0" collapsed="false">
      <c r="A1205" s="2" t="n">
        <v>48</v>
      </c>
      <c r="B1205" s="2" t="s">
        <v>48</v>
      </c>
      <c r="C1205" s="2" t="s">
        <v>18</v>
      </c>
      <c r="D1205" s="2" t="s">
        <v>19</v>
      </c>
      <c r="E1205" s="2" t="s">
        <v>20</v>
      </c>
      <c r="F1205" s="2" t="n">
        <v>5173</v>
      </c>
      <c r="G1205" s="2" t="s">
        <v>26</v>
      </c>
      <c r="H1205" s="2" t="s">
        <v>20</v>
      </c>
      <c r="I1205" s="2" t="s">
        <v>23</v>
      </c>
      <c r="J1205" s="2" t="n">
        <v>18</v>
      </c>
      <c r="K1205" s="2" t="s">
        <v>33</v>
      </c>
      <c r="L1205" s="2" t="n">
        <v>88</v>
      </c>
      <c r="M1205" s="2" t="n">
        <v>8</v>
      </c>
      <c r="N1205" s="2" t="n">
        <v>-1</v>
      </c>
      <c r="O1205" s="2" t="n">
        <v>0</v>
      </c>
      <c r="P1205" s="2" t="s">
        <v>23</v>
      </c>
      <c r="Q1205" s="2" t="s">
        <v>20</v>
      </c>
    </row>
    <row r="1206" customFormat="false" ht="15" hidden="false" customHeight="false" outlineLevel="0" collapsed="false">
      <c r="A1206" s="2" t="n">
        <v>44</v>
      </c>
      <c r="B1206" s="2" t="s">
        <v>39</v>
      </c>
      <c r="C1206" s="2" t="s">
        <v>18</v>
      </c>
      <c r="D1206" s="2" t="s">
        <v>31</v>
      </c>
      <c r="E1206" s="2" t="s">
        <v>20</v>
      </c>
      <c r="F1206" s="2" t="n">
        <v>3463</v>
      </c>
      <c r="G1206" s="2" t="s">
        <v>26</v>
      </c>
      <c r="H1206" s="2" t="s">
        <v>26</v>
      </c>
      <c r="I1206" s="2" t="s">
        <v>21</v>
      </c>
      <c r="J1206" s="2" t="n">
        <v>28</v>
      </c>
      <c r="K1206" s="2" t="s">
        <v>41</v>
      </c>
      <c r="L1206" s="2" t="n">
        <v>210</v>
      </c>
      <c r="M1206" s="2" t="n">
        <v>3</v>
      </c>
      <c r="N1206" s="2" t="n">
        <v>-1</v>
      </c>
      <c r="O1206" s="2" t="n">
        <v>0</v>
      </c>
      <c r="P1206" s="2" t="s">
        <v>23</v>
      </c>
      <c r="Q1206" s="2" t="s">
        <v>20</v>
      </c>
    </row>
    <row r="1207" customFormat="false" ht="15" hidden="false" customHeight="false" outlineLevel="0" collapsed="false">
      <c r="A1207" s="2" t="n">
        <v>39</v>
      </c>
      <c r="B1207" s="2" t="s">
        <v>34</v>
      </c>
      <c r="C1207" s="2" t="s">
        <v>18</v>
      </c>
      <c r="D1207" s="2" t="s">
        <v>23</v>
      </c>
      <c r="E1207" s="2" t="s">
        <v>20</v>
      </c>
      <c r="F1207" s="2" t="n">
        <v>0</v>
      </c>
      <c r="G1207" s="2" t="s">
        <v>20</v>
      </c>
      <c r="H1207" s="2" t="s">
        <v>20</v>
      </c>
      <c r="I1207" s="2" t="s">
        <v>21</v>
      </c>
      <c r="J1207" s="2" t="n">
        <v>2</v>
      </c>
      <c r="K1207" s="2" t="s">
        <v>35</v>
      </c>
      <c r="L1207" s="2" t="n">
        <v>731</v>
      </c>
      <c r="M1207" s="2" t="n">
        <v>1</v>
      </c>
      <c r="N1207" s="2" t="n">
        <v>193</v>
      </c>
      <c r="O1207" s="2" t="n">
        <v>3</v>
      </c>
      <c r="P1207" s="2" t="s">
        <v>28</v>
      </c>
      <c r="Q1207" s="2" t="s">
        <v>20</v>
      </c>
    </row>
    <row r="1208" customFormat="false" ht="15" hidden="false" customHeight="false" outlineLevel="0" collapsed="false">
      <c r="A1208" s="2" t="n">
        <v>61</v>
      </c>
      <c r="B1208" s="2" t="s">
        <v>29</v>
      </c>
      <c r="C1208" s="2" t="s">
        <v>18</v>
      </c>
      <c r="D1208" s="2" t="s">
        <v>31</v>
      </c>
      <c r="E1208" s="2" t="s">
        <v>20</v>
      </c>
      <c r="F1208" s="2" t="n">
        <v>6016</v>
      </c>
      <c r="G1208" s="2" t="s">
        <v>20</v>
      </c>
      <c r="H1208" s="2" t="s">
        <v>20</v>
      </c>
      <c r="I1208" s="2" t="s">
        <v>21</v>
      </c>
      <c r="J1208" s="2" t="n">
        <v>2</v>
      </c>
      <c r="K1208" s="2" t="s">
        <v>35</v>
      </c>
      <c r="L1208" s="2" t="n">
        <v>670</v>
      </c>
      <c r="M1208" s="2" t="n">
        <v>3</v>
      </c>
      <c r="N1208" s="2" t="n">
        <v>-1</v>
      </c>
      <c r="O1208" s="2" t="n">
        <v>0</v>
      </c>
      <c r="P1208" s="2" t="s">
        <v>23</v>
      </c>
      <c r="Q1208" s="2" t="s">
        <v>26</v>
      </c>
    </row>
    <row r="1209" customFormat="false" ht="15" hidden="false" customHeight="false" outlineLevel="0" collapsed="false">
      <c r="A1209" s="2" t="n">
        <v>36</v>
      </c>
      <c r="B1209" s="2" t="s">
        <v>39</v>
      </c>
      <c r="C1209" s="2" t="s">
        <v>18</v>
      </c>
      <c r="D1209" s="2" t="s">
        <v>19</v>
      </c>
      <c r="E1209" s="2" t="s">
        <v>20</v>
      </c>
      <c r="F1209" s="2" t="n">
        <v>177</v>
      </c>
      <c r="G1209" s="2" t="s">
        <v>26</v>
      </c>
      <c r="H1209" s="2" t="s">
        <v>20</v>
      </c>
      <c r="I1209" s="2" t="s">
        <v>23</v>
      </c>
      <c r="J1209" s="2" t="n">
        <v>12</v>
      </c>
      <c r="K1209" s="2" t="s">
        <v>27</v>
      </c>
      <c r="L1209" s="2" t="n">
        <v>63</v>
      </c>
      <c r="M1209" s="2" t="n">
        <v>5</v>
      </c>
      <c r="N1209" s="2" t="n">
        <v>-1</v>
      </c>
      <c r="O1209" s="2" t="n">
        <v>0</v>
      </c>
      <c r="P1209" s="2" t="s">
        <v>23</v>
      </c>
      <c r="Q1209" s="2" t="s">
        <v>20</v>
      </c>
    </row>
    <row r="1210" customFormat="false" ht="15" hidden="false" customHeight="false" outlineLevel="0" collapsed="false">
      <c r="A1210" s="2" t="n">
        <v>28</v>
      </c>
      <c r="B1210" s="2" t="s">
        <v>29</v>
      </c>
      <c r="C1210" s="2" t="s">
        <v>18</v>
      </c>
      <c r="D1210" s="2" t="s">
        <v>31</v>
      </c>
      <c r="E1210" s="2" t="s">
        <v>20</v>
      </c>
      <c r="F1210" s="2" t="n">
        <v>3694</v>
      </c>
      <c r="G1210" s="2" t="s">
        <v>20</v>
      </c>
      <c r="H1210" s="2" t="s">
        <v>26</v>
      </c>
      <c r="I1210" s="2" t="s">
        <v>21</v>
      </c>
      <c r="J1210" s="2" t="n">
        <v>8</v>
      </c>
      <c r="K1210" s="2" t="s">
        <v>44</v>
      </c>
      <c r="L1210" s="2" t="n">
        <v>70</v>
      </c>
      <c r="M1210" s="2" t="n">
        <v>2</v>
      </c>
      <c r="N1210" s="2" t="n">
        <v>-1</v>
      </c>
      <c r="O1210" s="2" t="n">
        <v>0</v>
      </c>
      <c r="P1210" s="2" t="s">
        <v>23</v>
      </c>
      <c r="Q1210" s="2" t="s">
        <v>20</v>
      </c>
    </row>
    <row r="1211" customFormat="false" ht="15" hidden="false" customHeight="false" outlineLevel="0" collapsed="false">
      <c r="A1211" s="2" t="n">
        <v>58</v>
      </c>
      <c r="B1211" s="2" t="s">
        <v>48</v>
      </c>
      <c r="C1211" s="2" t="s">
        <v>30</v>
      </c>
      <c r="D1211" s="2" t="s">
        <v>25</v>
      </c>
      <c r="E1211" s="2" t="s">
        <v>20</v>
      </c>
      <c r="F1211" s="2" t="n">
        <v>1640</v>
      </c>
      <c r="G1211" s="2" t="s">
        <v>20</v>
      </c>
      <c r="H1211" s="2" t="s">
        <v>26</v>
      </c>
      <c r="I1211" s="2" t="s">
        <v>21</v>
      </c>
      <c r="J1211" s="2" t="n">
        <v>4</v>
      </c>
      <c r="K1211" s="2" t="s">
        <v>35</v>
      </c>
      <c r="L1211" s="2" t="n">
        <v>72</v>
      </c>
      <c r="M1211" s="2" t="n">
        <v>6</v>
      </c>
      <c r="N1211" s="2" t="n">
        <v>274</v>
      </c>
      <c r="O1211" s="2" t="n">
        <v>4</v>
      </c>
      <c r="P1211" s="2" t="s">
        <v>28</v>
      </c>
      <c r="Q1211" s="2" t="s">
        <v>20</v>
      </c>
    </row>
    <row r="1212" customFormat="false" ht="15" hidden="false" customHeight="false" outlineLevel="0" collapsed="false">
      <c r="A1212" s="2" t="n">
        <v>60</v>
      </c>
      <c r="B1212" s="2" t="s">
        <v>40</v>
      </c>
      <c r="C1212" s="2" t="s">
        <v>45</v>
      </c>
      <c r="D1212" s="2" t="s">
        <v>25</v>
      </c>
      <c r="E1212" s="2" t="s">
        <v>20</v>
      </c>
      <c r="F1212" s="2" t="n">
        <v>174</v>
      </c>
      <c r="G1212" s="2" t="s">
        <v>26</v>
      </c>
      <c r="H1212" s="2" t="s">
        <v>20</v>
      </c>
      <c r="I1212" s="2" t="s">
        <v>21</v>
      </c>
      <c r="J1212" s="2" t="n">
        <v>15</v>
      </c>
      <c r="K1212" s="2" t="s">
        <v>27</v>
      </c>
      <c r="L1212" s="2" t="n">
        <v>241</v>
      </c>
      <c r="M1212" s="2" t="n">
        <v>1</v>
      </c>
      <c r="N1212" s="2" t="n">
        <v>364</v>
      </c>
      <c r="O1212" s="2" t="n">
        <v>1</v>
      </c>
      <c r="P1212" s="2" t="s">
        <v>28</v>
      </c>
      <c r="Q1212" s="2" t="s">
        <v>20</v>
      </c>
    </row>
    <row r="1213" customFormat="false" ht="15" hidden="false" customHeight="false" outlineLevel="0" collapsed="false">
      <c r="A1213" s="2" t="n">
        <v>66</v>
      </c>
      <c r="B1213" s="2" t="s">
        <v>40</v>
      </c>
      <c r="C1213" s="2" t="s">
        <v>30</v>
      </c>
      <c r="D1213" s="2" t="s">
        <v>25</v>
      </c>
      <c r="E1213" s="2" t="s">
        <v>20</v>
      </c>
      <c r="F1213" s="2" t="n">
        <v>10177</v>
      </c>
      <c r="G1213" s="2" t="s">
        <v>20</v>
      </c>
      <c r="H1213" s="2" t="s">
        <v>20</v>
      </c>
      <c r="I1213" s="2" t="s">
        <v>21</v>
      </c>
      <c r="J1213" s="2" t="n">
        <v>5</v>
      </c>
      <c r="K1213" s="2" t="s">
        <v>27</v>
      </c>
      <c r="L1213" s="2" t="n">
        <v>272</v>
      </c>
      <c r="M1213" s="2" t="n">
        <v>4</v>
      </c>
      <c r="N1213" s="2" t="n">
        <v>-1</v>
      </c>
      <c r="O1213" s="2" t="n">
        <v>0</v>
      </c>
      <c r="P1213" s="2" t="s">
        <v>23</v>
      </c>
      <c r="Q1213" s="2" t="s">
        <v>20</v>
      </c>
    </row>
    <row r="1214" customFormat="false" ht="15" hidden="false" customHeight="false" outlineLevel="0" collapsed="false">
      <c r="A1214" s="2" t="n">
        <v>36</v>
      </c>
      <c r="B1214" s="2" t="s">
        <v>29</v>
      </c>
      <c r="C1214" s="2" t="s">
        <v>30</v>
      </c>
      <c r="D1214" s="2" t="s">
        <v>31</v>
      </c>
      <c r="E1214" s="2" t="s">
        <v>20</v>
      </c>
      <c r="F1214" s="2" t="n">
        <v>490</v>
      </c>
      <c r="G1214" s="2" t="s">
        <v>20</v>
      </c>
      <c r="H1214" s="2" t="s">
        <v>20</v>
      </c>
      <c r="I1214" s="2" t="s">
        <v>21</v>
      </c>
      <c r="J1214" s="2" t="n">
        <v>28</v>
      </c>
      <c r="K1214" s="2" t="s">
        <v>41</v>
      </c>
      <c r="L1214" s="2" t="n">
        <v>207</v>
      </c>
      <c r="M1214" s="2" t="n">
        <v>8</v>
      </c>
      <c r="N1214" s="2" t="n">
        <v>98</v>
      </c>
      <c r="O1214" s="2" t="n">
        <v>1</v>
      </c>
      <c r="P1214" s="2" t="s">
        <v>28</v>
      </c>
      <c r="Q1214" s="2" t="s">
        <v>26</v>
      </c>
    </row>
    <row r="1215" customFormat="false" ht="15" hidden="false" customHeight="false" outlineLevel="0" collapsed="false">
      <c r="A1215" s="2" t="n">
        <v>49</v>
      </c>
      <c r="B1215" s="2" t="s">
        <v>36</v>
      </c>
      <c r="C1215" s="2" t="s">
        <v>18</v>
      </c>
      <c r="D1215" s="2" t="s">
        <v>25</v>
      </c>
      <c r="E1215" s="2" t="s">
        <v>20</v>
      </c>
      <c r="F1215" s="2" t="n">
        <v>2576</v>
      </c>
      <c r="G1215" s="2" t="s">
        <v>26</v>
      </c>
      <c r="H1215" s="2" t="s">
        <v>20</v>
      </c>
      <c r="I1215" s="2" t="s">
        <v>21</v>
      </c>
      <c r="J1215" s="2" t="n">
        <v>15</v>
      </c>
      <c r="K1215" s="2" t="s">
        <v>27</v>
      </c>
      <c r="L1215" s="2" t="n">
        <v>64</v>
      </c>
      <c r="M1215" s="2" t="n">
        <v>6</v>
      </c>
      <c r="N1215" s="2" t="n">
        <v>-1</v>
      </c>
      <c r="O1215" s="2" t="n">
        <v>0</v>
      </c>
      <c r="P1215" s="2" t="s">
        <v>23</v>
      </c>
      <c r="Q1215" s="2" t="s">
        <v>20</v>
      </c>
    </row>
    <row r="1216" customFormat="false" ht="15" hidden="false" customHeight="false" outlineLevel="0" collapsed="false">
      <c r="A1216" s="2" t="n">
        <v>40</v>
      </c>
      <c r="B1216" s="2" t="s">
        <v>24</v>
      </c>
      <c r="C1216" s="2" t="s">
        <v>18</v>
      </c>
      <c r="D1216" s="2" t="s">
        <v>25</v>
      </c>
      <c r="E1216" s="2" t="s">
        <v>20</v>
      </c>
      <c r="F1216" s="2" t="n">
        <v>0</v>
      </c>
      <c r="G1216" s="2" t="s">
        <v>20</v>
      </c>
      <c r="H1216" s="2" t="s">
        <v>20</v>
      </c>
      <c r="I1216" s="2" t="s">
        <v>23</v>
      </c>
      <c r="J1216" s="2" t="n">
        <v>12</v>
      </c>
      <c r="K1216" s="2" t="s">
        <v>33</v>
      </c>
      <c r="L1216" s="2" t="n">
        <v>543</v>
      </c>
      <c r="M1216" s="2" t="n">
        <v>2</v>
      </c>
      <c r="N1216" s="2" t="n">
        <v>-1</v>
      </c>
      <c r="O1216" s="2" t="n">
        <v>0</v>
      </c>
      <c r="P1216" s="2" t="s">
        <v>23</v>
      </c>
      <c r="Q1216" s="2" t="s">
        <v>20</v>
      </c>
    </row>
    <row r="1217" customFormat="false" ht="15" hidden="false" customHeight="false" outlineLevel="0" collapsed="false">
      <c r="A1217" s="2" t="n">
        <v>23</v>
      </c>
      <c r="B1217" s="2" t="s">
        <v>38</v>
      </c>
      <c r="C1217" s="2" t="s">
        <v>30</v>
      </c>
      <c r="D1217" s="2" t="s">
        <v>25</v>
      </c>
      <c r="E1217" s="2" t="s">
        <v>20</v>
      </c>
      <c r="F1217" s="2" t="n">
        <v>598</v>
      </c>
      <c r="G1217" s="2" t="s">
        <v>20</v>
      </c>
      <c r="H1217" s="2" t="s">
        <v>20</v>
      </c>
      <c r="I1217" s="2" t="s">
        <v>21</v>
      </c>
      <c r="J1217" s="2" t="n">
        <v>30</v>
      </c>
      <c r="K1217" s="2" t="s">
        <v>32</v>
      </c>
      <c r="L1217" s="2" t="n">
        <v>166</v>
      </c>
      <c r="M1217" s="2" t="n">
        <v>1</v>
      </c>
      <c r="N1217" s="2" t="n">
        <v>-1</v>
      </c>
      <c r="O1217" s="2" t="n">
        <v>0</v>
      </c>
      <c r="P1217" s="2" t="s">
        <v>23</v>
      </c>
      <c r="Q1217" s="2" t="s">
        <v>20</v>
      </c>
    </row>
    <row r="1218" customFormat="false" ht="15" hidden="false" customHeight="false" outlineLevel="0" collapsed="false">
      <c r="A1218" s="2" t="n">
        <v>29</v>
      </c>
      <c r="B1218" s="2" t="s">
        <v>29</v>
      </c>
      <c r="C1218" s="2" t="s">
        <v>30</v>
      </c>
      <c r="D1218" s="2" t="s">
        <v>31</v>
      </c>
      <c r="E1218" s="2" t="s">
        <v>20</v>
      </c>
      <c r="F1218" s="2" t="n">
        <v>15459</v>
      </c>
      <c r="G1218" s="2" t="s">
        <v>20</v>
      </c>
      <c r="H1218" s="2" t="s">
        <v>20</v>
      </c>
      <c r="I1218" s="2" t="s">
        <v>21</v>
      </c>
      <c r="J1218" s="2" t="n">
        <v>26</v>
      </c>
      <c r="K1218" s="2" t="s">
        <v>27</v>
      </c>
      <c r="L1218" s="2" t="n">
        <v>245</v>
      </c>
      <c r="M1218" s="2" t="n">
        <v>3</v>
      </c>
      <c r="N1218" s="2" t="n">
        <v>97</v>
      </c>
      <c r="O1218" s="2" t="n">
        <v>7</v>
      </c>
      <c r="P1218" s="2" t="s">
        <v>50</v>
      </c>
      <c r="Q1218" s="2" t="s">
        <v>20</v>
      </c>
    </row>
    <row r="1219" customFormat="false" ht="15" hidden="false" customHeight="false" outlineLevel="0" collapsed="false">
      <c r="A1219" s="2" t="n">
        <v>44</v>
      </c>
      <c r="B1219" s="2" t="s">
        <v>34</v>
      </c>
      <c r="C1219" s="2" t="s">
        <v>18</v>
      </c>
      <c r="D1219" s="2" t="s">
        <v>19</v>
      </c>
      <c r="E1219" s="2" t="s">
        <v>20</v>
      </c>
      <c r="F1219" s="2" t="n">
        <v>271</v>
      </c>
      <c r="G1219" s="2" t="s">
        <v>26</v>
      </c>
      <c r="H1219" s="2" t="s">
        <v>26</v>
      </c>
      <c r="I1219" s="2" t="s">
        <v>23</v>
      </c>
      <c r="J1219" s="2" t="n">
        <v>9</v>
      </c>
      <c r="K1219" s="2" t="s">
        <v>27</v>
      </c>
      <c r="L1219" s="2" t="n">
        <v>94</v>
      </c>
      <c r="M1219" s="2" t="n">
        <v>1</v>
      </c>
      <c r="N1219" s="2" t="n">
        <v>-1</v>
      </c>
      <c r="O1219" s="2" t="n">
        <v>0</v>
      </c>
      <c r="P1219" s="2" t="s">
        <v>23</v>
      </c>
      <c r="Q1219" s="2" t="s">
        <v>20</v>
      </c>
    </row>
    <row r="1220" customFormat="false" ht="15" hidden="false" customHeight="false" outlineLevel="0" collapsed="false">
      <c r="A1220" s="2" t="n">
        <v>54</v>
      </c>
      <c r="B1220" s="2" t="s">
        <v>23</v>
      </c>
      <c r="C1220" s="2" t="s">
        <v>18</v>
      </c>
      <c r="D1220" s="2" t="s">
        <v>23</v>
      </c>
      <c r="E1220" s="2" t="s">
        <v>20</v>
      </c>
      <c r="F1220" s="2" t="n">
        <v>2508</v>
      </c>
      <c r="G1220" s="2" t="s">
        <v>20</v>
      </c>
      <c r="H1220" s="2" t="s">
        <v>20</v>
      </c>
      <c r="I1220" s="2" t="s">
        <v>23</v>
      </c>
      <c r="J1220" s="2" t="n">
        <v>20</v>
      </c>
      <c r="K1220" s="2" t="s">
        <v>33</v>
      </c>
      <c r="L1220" s="2" t="n">
        <v>34</v>
      </c>
      <c r="M1220" s="2" t="n">
        <v>8</v>
      </c>
      <c r="N1220" s="2" t="n">
        <v>-1</v>
      </c>
      <c r="O1220" s="2" t="n">
        <v>0</v>
      </c>
      <c r="P1220" s="2" t="s">
        <v>23</v>
      </c>
      <c r="Q1220" s="2" t="s">
        <v>20</v>
      </c>
    </row>
    <row r="1221" customFormat="false" ht="15" hidden="false" customHeight="false" outlineLevel="0" collapsed="false">
      <c r="A1221" s="2" t="n">
        <v>47</v>
      </c>
      <c r="B1221" s="2" t="s">
        <v>34</v>
      </c>
      <c r="C1221" s="2" t="s">
        <v>18</v>
      </c>
      <c r="D1221" s="2" t="s">
        <v>19</v>
      </c>
      <c r="E1221" s="2" t="s">
        <v>20</v>
      </c>
      <c r="F1221" s="2" t="n">
        <v>320</v>
      </c>
      <c r="G1221" s="2" t="s">
        <v>20</v>
      </c>
      <c r="H1221" s="2" t="s">
        <v>20</v>
      </c>
      <c r="I1221" s="2" t="s">
        <v>49</v>
      </c>
      <c r="J1221" s="2" t="n">
        <v>30</v>
      </c>
      <c r="K1221" s="2" t="s">
        <v>44</v>
      </c>
      <c r="L1221" s="2" t="n">
        <v>203</v>
      </c>
      <c r="M1221" s="2" t="n">
        <v>2</v>
      </c>
      <c r="N1221" s="2" t="n">
        <v>-1</v>
      </c>
      <c r="O1221" s="2" t="n">
        <v>0</v>
      </c>
      <c r="P1221" s="2" t="s">
        <v>23</v>
      </c>
      <c r="Q1221" s="2" t="s">
        <v>20</v>
      </c>
    </row>
    <row r="1222" customFormat="false" ht="15" hidden="false" customHeight="false" outlineLevel="0" collapsed="false">
      <c r="A1222" s="2" t="n">
        <v>33</v>
      </c>
      <c r="B1222" s="2" t="s">
        <v>40</v>
      </c>
      <c r="C1222" s="2" t="s">
        <v>18</v>
      </c>
      <c r="D1222" s="2" t="s">
        <v>31</v>
      </c>
      <c r="E1222" s="2" t="s">
        <v>20</v>
      </c>
      <c r="F1222" s="2" t="n">
        <v>640</v>
      </c>
      <c r="G1222" s="2" t="s">
        <v>20</v>
      </c>
      <c r="H1222" s="2" t="s">
        <v>20</v>
      </c>
      <c r="I1222" s="2" t="s">
        <v>21</v>
      </c>
      <c r="J1222" s="2" t="n">
        <v>24</v>
      </c>
      <c r="K1222" s="2" t="s">
        <v>44</v>
      </c>
      <c r="L1222" s="2" t="n">
        <v>318</v>
      </c>
      <c r="M1222" s="2" t="n">
        <v>1</v>
      </c>
      <c r="N1222" s="2" t="n">
        <v>-1</v>
      </c>
      <c r="O1222" s="2" t="n">
        <v>0</v>
      </c>
      <c r="P1222" s="2" t="s">
        <v>23</v>
      </c>
      <c r="Q1222" s="2" t="s">
        <v>20</v>
      </c>
    </row>
    <row r="1223" customFormat="false" ht="15" hidden="false" customHeight="false" outlineLevel="0" collapsed="false">
      <c r="A1223" s="2" t="n">
        <v>30</v>
      </c>
      <c r="B1223" s="2" t="s">
        <v>36</v>
      </c>
      <c r="C1223" s="2" t="s">
        <v>18</v>
      </c>
      <c r="D1223" s="2" t="s">
        <v>25</v>
      </c>
      <c r="E1223" s="2" t="s">
        <v>20</v>
      </c>
      <c r="F1223" s="2" t="n">
        <v>1772</v>
      </c>
      <c r="G1223" s="2" t="s">
        <v>26</v>
      </c>
      <c r="H1223" s="2" t="s">
        <v>20</v>
      </c>
      <c r="I1223" s="2" t="s">
        <v>21</v>
      </c>
      <c r="J1223" s="2" t="n">
        <v>13</v>
      </c>
      <c r="K1223" s="2" t="s">
        <v>32</v>
      </c>
      <c r="L1223" s="2" t="n">
        <v>158</v>
      </c>
      <c r="M1223" s="2" t="n">
        <v>4</v>
      </c>
      <c r="N1223" s="2" t="n">
        <v>-1</v>
      </c>
      <c r="O1223" s="2" t="n">
        <v>0</v>
      </c>
      <c r="P1223" s="2" t="s">
        <v>23</v>
      </c>
      <c r="Q1223" s="2" t="s">
        <v>20</v>
      </c>
    </row>
    <row r="1224" customFormat="false" ht="15" hidden="false" customHeight="false" outlineLevel="0" collapsed="false">
      <c r="A1224" s="2" t="n">
        <v>27</v>
      </c>
      <c r="B1224" s="2" t="s">
        <v>40</v>
      </c>
      <c r="C1224" s="2" t="s">
        <v>30</v>
      </c>
      <c r="D1224" s="2" t="s">
        <v>25</v>
      </c>
      <c r="E1224" s="2" t="s">
        <v>20</v>
      </c>
      <c r="F1224" s="2" t="n">
        <v>15</v>
      </c>
      <c r="G1224" s="2" t="s">
        <v>20</v>
      </c>
      <c r="H1224" s="2" t="s">
        <v>26</v>
      </c>
      <c r="I1224" s="2" t="s">
        <v>21</v>
      </c>
      <c r="J1224" s="2" t="n">
        <v>21</v>
      </c>
      <c r="K1224" s="2" t="s">
        <v>44</v>
      </c>
      <c r="L1224" s="2" t="n">
        <v>177</v>
      </c>
      <c r="M1224" s="2" t="n">
        <v>1</v>
      </c>
      <c r="N1224" s="2" t="n">
        <v>-1</v>
      </c>
      <c r="O1224" s="2" t="n">
        <v>0</v>
      </c>
      <c r="P1224" s="2" t="s">
        <v>23</v>
      </c>
      <c r="Q1224" s="2" t="s">
        <v>20</v>
      </c>
    </row>
    <row r="1225" customFormat="false" ht="15" hidden="false" customHeight="false" outlineLevel="0" collapsed="false">
      <c r="A1225" s="2" t="n">
        <v>49</v>
      </c>
      <c r="B1225" s="2" t="s">
        <v>29</v>
      </c>
      <c r="C1225" s="2" t="s">
        <v>45</v>
      </c>
      <c r="D1225" s="2" t="s">
        <v>31</v>
      </c>
      <c r="E1225" s="2" t="s">
        <v>20</v>
      </c>
      <c r="F1225" s="2" t="n">
        <v>2370</v>
      </c>
      <c r="G1225" s="2" t="s">
        <v>26</v>
      </c>
      <c r="H1225" s="2" t="s">
        <v>26</v>
      </c>
      <c r="I1225" s="2" t="s">
        <v>23</v>
      </c>
      <c r="J1225" s="2" t="n">
        <v>17</v>
      </c>
      <c r="K1225" s="2" t="s">
        <v>46</v>
      </c>
      <c r="L1225" s="2" t="n">
        <v>56</v>
      </c>
      <c r="M1225" s="2" t="n">
        <v>1</v>
      </c>
      <c r="N1225" s="2" t="n">
        <v>103</v>
      </c>
      <c r="O1225" s="2" t="n">
        <v>2</v>
      </c>
      <c r="P1225" s="2" t="s">
        <v>37</v>
      </c>
      <c r="Q1225" s="2" t="s">
        <v>20</v>
      </c>
    </row>
    <row r="1226" customFormat="false" ht="15" hidden="false" customHeight="false" outlineLevel="0" collapsed="false">
      <c r="A1226" s="2" t="n">
        <v>27</v>
      </c>
      <c r="B1226" s="2" t="s">
        <v>24</v>
      </c>
      <c r="C1226" s="2" t="s">
        <v>30</v>
      </c>
      <c r="D1226" s="2" t="s">
        <v>25</v>
      </c>
      <c r="E1226" s="2" t="s">
        <v>20</v>
      </c>
      <c r="F1226" s="2" t="n">
        <v>201</v>
      </c>
      <c r="G1226" s="2" t="s">
        <v>26</v>
      </c>
      <c r="H1226" s="2" t="s">
        <v>20</v>
      </c>
      <c r="I1226" s="2" t="s">
        <v>23</v>
      </c>
      <c r="J1226" s="2" t="n">
        <v>4</v>
      </c>
      <c r="K1226" s="2" t="s">
        <v>33</v>
      </c>
      <c r="L1226" s="2" t="n">
        <v>172</v>
      </c>
      <c r="M1226" s="2" t="n">
        <v>2</v>
      </c>
      <c r="N1226" s="2" t="n">
        <v>-1</v>
      </c>
      <c r="O1226" s="2" t="n">
        <v>0</v>
      </c>
      <c r="P1226" s="2" t="s">
        <v>23</v>
      </c>
      <c r="Q1226" s="2" t="s">
        <v>20</v>
      </c>
    </row>
    <row r="1227" customFormat="false" ht="15" hidden="false" customHeight="false" outlineLevel="0" collapsed="false">
      <c r="A1227" s="2" t="n">
        <v>51</v>
      </c>
      <c r="B1227" s="2" t="s">
        <v>34</v>
      </c>
      <c r="C1227" s="2" t="s">
        <v>18</v>
      </c>
      <c r="D1227" s="2" t="s">
        <v>25</v>
      </c>
      <c r="E1227" s="2" t="s">
        <v>20</v>
      </c>
      <c r="F1227" s="2" t="n">
        <v>160</v>
      </c>
      <c r="G1227" s="2" t="s">
        <v>26</v>
      </c>
      <c r="H1227" s="2" t="s">
        <v>20</v>
      </c>
      <c r="I1227" s="2" t="s">
        <v>21</v>
      </c>
      <c r="J1227" s="2" t="n">
        <v>7</v>
      </c>
      <c r="K1227" s="2" t="s">
        <v>27</v>
      </c>
      <c r="L1227" s="2" t="n">
        <v>136</v>
      </c>
      <c r="M1227" s="2" t="n">
        <v>1</v>
      </c>
      <c r="N1227" s="2" t="n">
        <v>359</v>
      </c>
      <c r="O1227" s="2" t="n">
        <v>1</v>
      </c>
      <c r="P1227" s="2" t="s">
        <v>28</v>
      </c>
      <c r="Q1227" s="2" t="s">
        <v>20</v>
      </c>
    </row>
    <row r="1228" customFormat="false" ht="15" hidden="false" customHeight="false" outlineLevel="0" collapsed="false">
      <c r="A1228" s="2" t="n">
        <v>32</v>
      </c>
      <c r="B1228" s="2" t="s">
        <v>40</v>
      </c>
      <c r="C1228" s="2" t="s">
        <v>45</v>
      </c>
      <c r="D1228" s="2" t="s">
        <v>25</v>
      </c>
      <c r="E1228" s="2" t="s">
        <v>26</v>
      </c>
      <c r="F1228" s="2" t="n">
        <v>5</v>
      </c>
      <c r="G1228" s="2" t="s">
        <v>26</v>
      </c>
      <c r="H1228" s="2" t="s">
        <v>26</v>
      </c>
      <c r="I1228" s="2" t="s">
        <v>21</v>
      </c>
      <c r="J1228" s="2" t="n">
        <v>18</v>
      </c>
      <c r="K1228" s="2" t="s">
        <v>27</v>
      </c>
      <c r="L1228" s="2" t="n">
        <v>82</v>
      </c>
      <c r="M1228" s="2" t="n">
        <v>3</v>
      </c>
      <c r="N1228" s="2" t="n">
        <v>363</v>
      </c>
      <c r="O1228" s="2" t="n">
        <v>2</v>
      </c>
      <c r="P1228" s="2" t="s">
        <v>37</v>
      </c>
      <c r="Q1228" s="2" t="s">
        <v>20</v>
      </c>
    </row>
    <row r="1229" customFormat="false" ht="15" hidden="false" customHeight="false" outlineLevel="0" collapsed="false">
      <c r="A1229" s="2" t="n">
        <v>30</v>
      </c>
      <c r="B1229" s="2" t="s">
        <v>34</v>
      </c>
      <c r="C1229" s="2" t="s">
        <v>30</v>
      </c>
      <c r="D1229" s="2" t="s">
        <v>25</v>
      </c>
      <c r="E1229" s="2" t="s">
        <v>20</v>
      </c>
      <c r="F1229" s="2" t="n">
        <v>75</v>
      </c>
      <c r="G1229" s="2" t="s">
        <v>26</v>
      </c>
      <c r="H1229" s="2" t="s">
        <v>20</v>
      </c>
      <c r="I1229" s="2" t="s">
        <v>23</v>
      </c>
      <c r="J1229" s="2" t="n">
        <v>16</v>
      </c>
      <c r="K1229" s="2" t="s">
        <v>27</v>
      </c>
      <c r="L1229" s="2" t="n">
        <v>123</v>
      </c>
      <c r="M1229" s="2" t="n">
        <v>1</v>
      </c>
      <c r="N1229" s="2" t="n">
        <v>-1</v>
      </c>
      <c r="O1229" s="2" t="n">
        <v>0</v>
      </c>
      <c r="P1229" s="2" t="s">
        <v>23</v>
      </c>
      <c r="Q1229" s="2" t="s">
        <v>20</v>
      </c>
    </row>
    <row r="1230" customFormat="false" ht="15" hidden="false" customHeight="false" outlineLevel="0" collapsed="false">
      <c r="A1230" s="2" t="n">
        <v>33</v>
      </c>
      <c r="B1230" s="2" t="s">
        <v>40</v>
      </c>
      <c r="C1230" s="2" t="s">
        <v>18</v>
      </c>
      <c r="D1230" s="2" t="s">
        <v>25</v>
      </c>
      <c r="E1230" s="2" t="s">
        <v>20</v>
      </c>
      <c r="F1230" s="2" t="n">
        <v>4902</v>
      </c>
      <c r="G1230" s="2" t="s">
        <v>26</v>
      </c>
      <c r="H1230" s="2" t="s">
        <v>20</v>
      </c>
      <c r="I1230" s="2" t="s">
        <v>21</v>
      </c>
      <c r="J1230" s="2" t="n">
        <v>20</v>
      </c>
      <c r="K1230" s="2" t="s">
        <v>46</v>
      </c>
      <c r="L1230" s="2" t="n">
        <v>110</v>
      </c>
      <c r="M1230" s="2" t="n">
        <v>1</v>
      </c>
      <c r="N1230" s="2" t="n">
        <v>-1</v>
      </c>
      <c r="O1230" s="2" t="n">
        <v>0</v>
      </c>
      <c r="P1230" s="2" t="s">
        <v>23</v>
      </c>
      <c r="Q1230" s="2" t="s">
        <v>20</v>
      </c>
    </row>
    <row r="1231" customFormat="false" ht="15" hidden="false" customHeight="false" outlineLevel="0" collapsed="false">
      <c r="A1231" s="2" t="n">
        <v>27</v>
      </c>
      <c r="B1231" s="2" t="s">
        <v>34</v>
      </c>
      <c r="C1231" s="2" t="s">
        <v>30</v>
      </c>
      <c r="D1231" s="2" t="s">
        <v>19</v>
      </c>
      <c r="E1231" s="2" t="s">
        <v>20</v>
      </c>
      <c r="F1231" s="2" t="n">
        <v>-79</v>
      </c>
      <c r="G1231" s="2" t="s">
        <v>26</v>
      </c>
      <c r="H1231" s="2" t="s">
        <v>20</v>
      </c>
      <c r="I1231" s="2" t="s">
        <v>23</v>
      </c>
      <c r="J1231" s="2" t="n">
        <v>30</v>
      </c>
      <c r="K1231" s="2" t="s">
        <v>27</v>
      </c>
      <c r="L1231" s="2" t="n">
        <v>385</v>
      </c>
      <c r="M1231" s="2" t="n">
        <v>5</v>
      </c>
      <c r="N1231" s="2" t="n">
        <v>-1</v>
      </c>
      <c r="O1231" s="2" t="n">
        <v>0</v>
      </c>
      <c r="P1231" s="2" t="s">
        <v>23</v>
      </c>
      <c r="Q1231" s="2" t="s">
        <v>20</v>
      </c>
    </row>
    <row r="1232" customFormat="false" ht="15" hidden="false" customHeight="false" outlineLevel="0" collapsed="false">
      <c r="A1232" s="2" t="n">
        <v>75</v>
      </c>
      <c r="B1232" s="2" t="s">
        <v>48</v>
      </c>
      <c r="C1232" s="2" t="s">
        <v>45</v>
      </c>
      <c r="D1232" s="2" t="s">
        <v>25</v>
      </c>
      <c r="E1232" s="2" t="s">
        <v>20</v>
      </c>
      <c r="F1232" s="2" t="n">
        <v>1341</v>
      </c>
      <c r="G1232" s="2" t="s">
        <v>20</v>
      </c>
      <c r="H1232" s="2" t="s">
        <v>20</v>
      </c>
      <c r="I1232" s="2" t="s">
        <v>21</v>
      </c>
      <c r="J1232" s="2" t="n">
        <v>18</v>
      </c>
      <c r="K1232" s="2" t="s">
        <v>53</v>
      </c>
      <c r="L1232" s="2" t="n">
        <v>415</v>
      </c>
      <c r="M1232" s="2" t="n">
        <v>7</v>
      </c>
      <c r="N1232" s="2" t="n">
        <v>-1</v>
      </c>
      <c r="O1232" s="2" t="n">
        <v>0</v>
      </c>
      <c r="P1232" s="2" t="s">
        <v>23</v>
      </c>
      <c r="Q1232" s="2" t="s">
        <v>26</v>
      </c>
    </row>
    <row r="1233" customFormat="false" ht="15" hidden="false" customHeight="false" outlineLevel="0" collapsed="false">
      <c r="A1233" s="2" t="n">
        <v>37</v>
      </c>
      <c r="B1233" s="2" t="s">
        <v>24</v>
      </c>
      <c r="C1233" s="2" t="s">
        <v>45</v>
      </c>
      <c r="D1233" s="2" t="s">
        <v>25</v>
      </c>
      <c r="E1233" s="2" t="s">
        <v>20</v>
      </c>
      <c r="F1233" s="2" t="n">
        <v>490</v>
      </c>
      <c r="G1233" s="2" t="s">
        <v>26</v>
      </c>
      <c r="H1233" s="2" t="s">
        <v>20</v>
      </c>
      <c r="I1233" s="2" t="s">
        <v>21</v>
      </c>
      <c r="J1233" s="2" t="n">
        <v>2</v>
      </c>
      <c r="K1233" s="2" t="s">
        <v>35</v>
      </c>
      <c r="L1233" s="2" t="n">
        <v>73</v>
      </c>
      <c r="M1233" s="2" t="n">
        <v>1</v>
      </c>
      <c r="N1233" s="2" t="n">
        <v>-1</v>
      </c>
      <c r="O1233" s="2" t="n">
        <v>0</v>
      </c>
      <c r="P1233" s="2" t="s">
        <v>23</v>
      </c>
      <c r="Q1233" s="2" t="s">
        <v>20</v>
      </c>
    </row>
    <row r="1234" customFormat="false" ht="15" hidden="false" customHeight="false" outlineLevel="0" collapsed="false">
      <c r="A1234" s="2" t="n">
        <v>36</v>
      </c>
      <c r="B1234" s="2" t="s">
        <v>38</v>
      </c>
      <c r="C1234" s="2" t="s">
        <v>30</v>
      </c>
      <c r="D1234" s="2" t="s">
        <v>25</v>
      </c>
      <c r="E1234" s="2" t="s">
        <v>20</v>
      </c>
      <c r="F1234" s="2" t="n">
        <v>1521</v>
      </c>
      <c r="G1234" s="2" t="s">
        <v>26</v>
      </c>
      <c r="H1234" s="2" t="s">
        <v>20</v>
      </c>
      <c r="I1234" s="2" t="s">
        <v>23</v>
      </c>
      <c r="J1234" s="2" t="n">
        <v>16</v>
      </c>
      <c r="K1234" s="2" t="s">
        <v>33</v>
      </c>
      <c r="L1234" s="2" t="n">
        <v>243</v>
      </c>
      <c r="M1234" s="2" t="n">
        <v>2</v>
      </c>
      <c r="N1234" s="2" t="n">
        <v>-1</v>
      </c>
      <c r="O1234" s="2" t="n">
        <v>0</v>
      </c>
      <c r="P1234" s="2" t="s">
        <v>23</v>
      </c>
      <c r="Q1234" s="2" t="s">
        <v>20</v>
      </c>
    </row>
    <row r="1235" customFormat="false" ht="15" hidden="false" customHeight="false" outlineLevel="0" collapsed="false">
      <c r="A1235" s="2" t="n">
        <v>37</v>
      </c>
      <c r="B1235" s="2" t="s">
        <v>34</v>
      </c>
      <c r="C1235" s="2" t="s">
        <v>18</v>
      </c>
      <c r="D1235" s="2" t="s">
        <v>25</v>
      </c>
      <c r="E1235" s="2" t="s">
        <v>20</v>
      </c>
      <c r="F1235" s="2" t="n">
        <v>131</v>
      </c>
      <c r="G1235" s="2" t="s">
        <v>26</v>
      </c>
      <c r="H1235" s="2" t="s">
        <v>20</v>
      </c>
      <c r="I1235" s="2" t="s">
        <v>23</v>
      </c>
      <c r="J1235" s="2" t="n">
        <v>9</v>
      </c>
      <c r="K1235" s="2" t="s">
        <v>27</v>
      </c>
      <c r="L1235" s="2" t="n">
        <v>137</v>
      </c>
      <c r="M1235" s="2" t="n">
        <v>2</v>
      </c>
      <c r="N1235" s="2" t="n">
        <v>-1</v>
      </c>
      <c r="O1235" s="2" t="n">
        <v>0</v>
      </c>
      <c r="P1235" s="2" t="s">
        <v>23</v>
      </c>
      <c r="Q1235" s="2" t="s">
        <v>20</v>
      </c>
    </row>
    <row r="1236" customFormat="false" ht="15" hidden="false" customHeight="false" outlineLevel="0" collapsed="false">
      <c r="A1236" s="2" t="n">
        <v>35</v>
      </c>
      <c r="B1236" s="2" t="s">
        <v>29</v>
      </c>
      <c r="C1236" s="2" t="s">
        <v>18</v>
      </c>
      <c r="D1236" s="2" t="s">
        <v>31</v>
      </c>
      <c r="E1236" s="2" t="s">
        <v>20</v>
      </c>
      <c r="F1236" s="2" t="n">
        <v>8</v>
      </c>
      <c r="G1236" s="2" t="s">
        <v>26</v>
      </c>
      <c r="H1236" s="2" t="s">
        <v>20</v>
      </c>
      <c r="I1236" s="2" t="s">
        <v>23</v>
      </c>
      <c r="J1236" s="2" t="n">
        <v>23</v>
      </c>
      <c r="K1236" s="2" t="s">
        <v>27</v>
      </c>
      <c r="L1236" s="2" t="n">
        <v>55</v>
      </c>
      <c r="M1236" s="2" t="n">
        <v>4</v>
      </c>
      <c r="N1236" s="2" t="n">
        <v>-1</v>
      </c>
      <c r="O1236" s="2" t="n">
        <v>0</v>
      </c>
      <c r="P1236" s="2" t="s">
        <v>23</v>
      </c>
      <c r="Q1236" s="2" t="s">
        <v>20</v>
      </c>
    </row>
    <row r="1237" customFormat="false" ht="15" hidden="false" customHeight="false" outlineLevel="0" collapsed="false">
      <c r="A1237" s="2" t="n">
        <v>32</v>
      </c>
      <c r="B1237" s="2" t="s">
        <v>24</v>
      </c>
      <c r="C1237" s="2" t="s">
        <v>18</v>
      </c>
      <c r="D1237" s="2" t="s">
        <v>25</v>
      </c>
      <c r="E1237" s="2" t="s">
        <v>20</v>
      </c>
      <c r="F1237" s="2" t="n">
        <v>-632</v>
      </c>
      <c r="G1237" s="2" t="s">
        <v>26</v>
      </c>
      <c r="H1237" s="2" t="s">
        <v>26</v>
      </c>
      <c r="I1237" s="2" t="s">
        <v>21</v>
      </c>
      <c r="J1237" s="2" t="n">
        <v>20</v>
      </c>
      <c r="K1237" s="2" t="s">
        <v>32</v>
      </c>
      <c r="L1237" s="2" t="n">
        <v>18</v>
      </c>
      <c r="M1237" s="2" t="n">
        <v>5</v>
      </c>
      <c r="N1237" s="2" t="n">
        <v>-1</v>
      </c>
      <c r="O1237" s="2" t="n">
        <v>0</v>
      </c>
      <c r="P1237" s="2" t="s">
        <v>23</v>
      </c>
      <c r="Q1237" s="2" t="s">
        <v>20</v>
      </c>
    </row>
    <row r="1238" customFormat="false" ht="15" hidden="false" customHeight="false" outlineLevel="0" collapsed="false">
      <c r="A1238" s="2" t="n">
        <v>32</v>
      </c>
      <c r="B1238" s="2" t="s">
        <v>40</v>
      </c>
      <c r="C1238" s="2" t="s">
        <v>30</v>
      </c>
      <c r="D1238" s="2" t="s">
        <v>25</v>
      </c>
      <c r="E1238" s="2" t="s">
        <v>20</v>
      </c>
      <c r="F1238" s="2" t="n">
        <v>116</v>
      </c>
      <c r="G1238" s="2" t="s">
        <v>20</v>
      </c>
      <c r="H1238" s="2" t="s">
        <v>26</v>
      </c>
      <c r="I1238" s="2" t="s">
        <v>21</v>
      </c>
      <c r="J1238" s="2" t="n">
        <v>16</v>
      </c>
      <c r="K1238" s="2" t="s">
        <v>44</v>
      </c>
      <c r="L1238" s="2" t="n">
        <v>255</v>
      </c>
      <c r="M1238" s="2" t="n">
        <v>2</v>
      </c>
      <c r="N1238" s="2" t="n">
        <v>-1</v>
      </c>
      <c r="O1238" s="2" t="n">
        <v>0</v>
      </c>
      <c r="P1238" s="2" t="s">
        <v>23</v>
      </c>
      <c r="Q1238" s="2" t="s">
        <v>20</v>
      </c>
    </row>
    <row r="1239" customFormat="false" ht="15" hidden="false" customHeight="false" outlineLevel="0" collapsed="false">
      <c r="A1239" s="2" t="n">
        <v>35</v>
      </c>
      <c r="B1239" s="2" t="s">
        <v>40</v>
      </c>
      <c r="C1239" s="2" t="s">
        <v>18</v>
      </c>
      <c r="D1239" s="2" t="s">
        <v>19</v>
      </c>
      <c r="E1239" s="2" t="s">
        <v>20</v>
      </c>
      <c r="F1239" s="2" t="n">
        <v>189</v>
      </c>
      <c r="G1239" s="2" t="s">
        <v>26</v>
      </c>
      <c r="H1239" s="2" t="s">
        <v>20</v>
      </c>
      <c r="I1239" s="2" t="s">
        <v>21</v>
      </c>
      <c r="J1239" s="2" t="n">
        <v>11</v>
      </c>
      <c r="K1239" s="2" t="s">
        <v>27</v>
      </c>
      <c r="L1239" s="2" t="n">
        <v>95</v>
      </c>
      <c r="M1239" s="2" t="n">
        <v>1</v>
      </c>
      <c r="N1239" s="2" t="n">
        <v>-1</v>
      </c>
      <c r="O1239" s="2" t="n">
        <v>0</v>
      </c>
      <c r="P1239" s="2" t="s">
        <v>23</v>
      </c>
      <c r="Q1239" s="2" t="s">
        <v>20</v>
      </c>
    </row>
    <row r="1240" customFormat="false" ht="15" hidden="false" customHeight="false" outlineLevel="0" collapsed="false">
      <c r="A1240" s="2" t="n">
        <v>31</v>
      </c>
      <c r="B1240" s="2" t="s">
        <v>34</v>
      </c>
      <c r="C1240" s="2" t="s">
        <v>18</v>
      </c>
      <c r="D1240" s="2" t="s">
        <v>19</v>
      </c>
      <c r="E1240" s="2" t="s">
        <v>20</v>
      </c>
      <c r="F1240" s="2" t="n">
        <v>2</v>
      </c>
      <c r="G1240" s="2" t="s">
        <v>26</v>
      </c>
      <c r="H1240" s="2" t="s">
        <v>26</v>
      </c>
      <c r="I1240" s="2" t="s">
        <v>21</v>
      </c>
      <c r="J1240" s="2" t="n">
        <v>10</v>
      </c>
      <c r="K1240" s="2" t="s">
        <v>44</v>
      </c>
      <c r="L1240" s="2" t="n">
        <v>112</v>
      </c>
      <c r="M1240" s="2" t="n">
        <v>1</v>
      </c>
      <c r="N1240" s="2" t="n">
        <v>-1</v>
      </c>
      <c r="O1240" s="2" t="n">
        <v>0</v>
      </c>
      <c r="P1240" s="2" t="s">
        <v>23</v>
      </c>
      <c r="Q1240" s="2" t="s">
        <v>20</v>
      </c>
    </row>
    <row r="1241" customFormat="false" ht="15" hidden="false" customHeight="false" outlineLevel="0" collapsed="false">
      <c r="A1241" s="2" t="n">
        <v>28</v>
      </c>
      <c r="B1241" s="2" t="s">
        <v>34</v>
      </c>
      <c r="C1241" s="2" t="s">
        <v>30</v>
      </c>
      <c r="D1241" s="2" t="s">
        <v>25</v>
      </c>
      <c r="E1241" s="2" t="s">
        <v>20</v>
      </c>
      <c r="F1241" s="2" t="n">
        <v>4229</v>
      </c>
      <c r="G1241" s="2" t="s">
        <v>26</v>
      </c>
      <c r="H1241" s="2" t="s">
        <v>26</v>
      </c>
      <c r="I1241" s="2" t="s">
        <v>21</v>
      </c>
      <c r="J1241" s="2" t="n">
        <v>5</v>
      </c>
      <c r="K1241" s="2" t="s">
        <v>27</v>
      </c>
      <c r="L1241" s="2" t="n">
        <v>205</v>
      </c>
      <c r="M1241" s="2" t="n">
        <v>2</v>
      </c>
      <c r="N1241" s="2" t="n">
        <v>-1</v>
      </c>
      <c r="O1241" s="2" t="n">
        <v>0</v>
      </c>
      <c r="P1241" s="2" t="s">
        <v>23</v>
      </c>
      <c r="Q1241" s="2" t="s">
        <v>20</v>
      </c>
    </row>
    <row r="1242" customFormat="false" ht="15" hidden="false" customHeight="false" outlineLevel="0" collapsed="false">
      <c r="A1242" s="2" t="n">
        <v>27</v>
      </c>
      <c r="B1242" s="2" t="s">
        <v>24</v>
      </c>
      <c r="C1242" s="2" t="s">
        <v>18</v>
      </c>
      <c r="D1242" s="2" t="s">
        <v>25</v>
      </c>
      <c r="E1242" s="2" t="s">
        <v>20</v>
      </c>
      <c r="F1242" s="2" t="n">
        <v>54</v>
      </c>
      <c r="G1242" s="2" t="s">
        <v>26</v>
      </c>
      <c r="H1242" s="2" t="s">
        <v>20</v>
      </c>
      <c r="I1242" s="2" t="s">
        <v>21</v>
      </c>
      <c r="J1242" s="2" t="n">
        <v>18</v>
      </c>
      <c r="K1242" s="2" t="s">
        <v>27</v>
      </c>
      <c r="L1242" s="2" t="n">
        <v>97</v>
      </c>
      <c r="M1242" s="2" t="n">
        <v>1</v>
      </c>
      <c r="N1242" s="2" t="n">
        <v>370</v>
      </c>
      <c r="O1242" s="2" t="n">
        <v>1</v>
      </c>
      <c r="P1242" s="2" t="s">
        <v>28</v>
      </c>
      <c r="Q1242" s="2" t="s">
        <v>20</v>
      </c>
    </row>
    <row r="1243" customFormat="false" ht="15" hidden="false" customHeight="false" outlineLevel="0" collapsed="false">
      <c r="A1243" s="2" t="n">
        <v>22</v>
      </c>
      <c r="B1243" s="2" t="s">
        <v>42</v>
      </c>
      <c r="C1243" s="2" t="s">
        <v>30</v>
      </c>
      <c r="D1243" s="2" t="s">
        <v>23</v>
      </c>
      <c r="E1243" s="2" t="s">
        <v>20</v>
      </c>
      <c r="F1243" s="2" t="n">
        <v>549</v>
      </c>
      <c r="G1243" s="2" t="s">
        <v>20</v>
      </c>
      <c r="H1243" s="2" t="s">
        <v>20</v>
      </c>
      <c r="I1243" s="2" t="s">
        <v>21</v>
      </c>
      <c r="J1243" s="2" t="n">
        <v>2</v>
      </c>
      <c r="K1243" s="2" t="s">
        <v>51</v>
      </c>
      <c r="L1243" s="2" t="n">
        <v>154</v>
      </c>
      <c r="M1243" s="2" t="n">
        <v>1</v>
      </c>
      <c r="N1243" s="2" t="n">
        <v>-1</v>
      </c>
      <c r="O1243" s="2" t="n">
        <v>0</v>
      </c>
      <c r="P1243" s="2" t="s">
        <v>23</v>
      </c>
      <c r="Q1243" s="2" t="s">
        <v>20</v>
      </c>
    </row>
    <row r="1244" customFormat="false" ht="15" hidden="false" customHeight="false" outlineLevel="0" collapsed="false">
      <c r="A1244" s="2" t="n">
        <v>35</v>
      </c>
      <c r="B1244" s="2" t="s">
        <v>34</v>
      </c>
      <c r="C1244" s="2" t="s">
        <v>18</v>
      </c>
      <c r="D1244" s="2" t="s">
        <v>19</v>
      </c>
      <c r="E1244" s="2" t="s">
        <v>20</v>
      </c>
      <c r="F1244" s="2" t="n">
        <v>298</v>
      </c>
      <c r="G1244" s="2" t="s">
        <v>26</v>
      </c>
      <c r="H1244" s="2" t="s">
        <v>20</v>
      </c>
      <c r="I1244" s="2" t="s">
        <v>21</v>
      </c>
      <c r="J1244" s="2" t="n">
        <v>13</v>
      </c>
      <c r="K1244" s="2" t="s">
        <v>27</v>
      </c>
      <c r="L1244" s="2" t="n">
        <v>135</v>
      </c>
      <c r="M1244" s="2" t="n">
        <v>2</v>
      </c>
      <c r="N1244" s="2" t="n">
        <v>370</v>
      </c>
      <c r="O1244" s="2" t="n">
        <v>2</v>
      </c>
      <c r="P1244" s="2" t="s">
        <v>28</v>
      </c>
      <c r="Q1244" s="2" t="s">
        <v>20</v>
      </c>
    </row>
    <row r="1245" customFormat="false" ht="15" hidden="false" customHeight="false" outlineLevel="0" collapsed="false">
      <c r="A1245" s="2" t="n">
        <v>69</v>
      </c>
      <c r="B1245" s="2" t="s">
        <v>48</v>
      </c>
      <c r="C1245" s="2" t="s">
        <v>18</v>
      </c>
      <c r="D1245" s="2" t="s">
        <v>19</v>
      </c>
      <c r="E1245" s="2" t="s">
        <v>20</v>
      </c>
      <c r="F1245" s="2" t="n">
        <v>579</v>
      </c>
      <c r="G1245" s="2" t="s">
        <v>20</v>
      </c>
      <c r="H1245" s="2" t="s">
        <v>20</v>
      </c>
      <c r="I1245" s="2" t="s">
        <v>21</v>
      </c>
      <c r="J1245" s="2" t="n">
        <v>14</v>
      </c>
      <c r="K1245" s="2" t="s">
        <v>41</v>
      </c>
      <c r="L1245" s="2" t="n">
        <v>230</v>
      </c>
      <c r="M1245" s="2" t="n">
        <v>1</v>
      </c>
      <c r="N1245" s="2" t="n">
        <v>-1</v>
      </c>
      <c r="O1245" s="2" t="n">
        <v>0</v>
      </c>
      <c r="P1245" s="2" t="s">
        <v>23</v>
      </c>
      <c r="Q1245" s="2" t="s">
        <v>20</v>
      </c>
    </row>
    <row r="1246" customFormat="false" ht="15" hidden="false" customHeight="false" outlineLevel="0" collapsed="false">
      <c r="A1246" s="2" t="n">
        <v>37</v>
      </c>
      <c r="B1246" s="2" t="s">
        <v>39</v>
      </c>
      <c r="C1246" s="2" t="s">
        <v>30</v>
      </c>
      <c r="D1246" s="2" t="s">
        <v>31</v>
      </c>
      <c r="E1246" s="2" t="s">
        <v>20</v>
      </c>
      <c r="F1246" s="2" t="n">
        <v>1467</v>
      </c>
      <c r="G1246" s="2" t="s">
        <v>26</v>
      </c>
      <c r="H1246" s="2" t="s">
        <v>26</v>
      </c>
      <c r="I1246" s="2" t="s">
        <v>21</v>
      </c>
      <c r="J1246" s="2" t="n">
        <v>17</v>
      </c>
      <c r="K1246" s="2" t="s">
        <v>46</v>
      </c>
      <c r="L1246" s="2" t="n">
        <v>349</v>
      </c>
      <c r="M1246" s="2" t="n">
        <v>1</v>
      </c>
      <c r="N1246" s="2" t="n">
        <v>-1</v>
      </c>
      <c r="O1246" s="2" t="n">
        <v>0</v>
      </c>
      <c r="P1246" s="2" t="s">
        <v>23</v>
      </c>
      <c r="Q1246" s="2" t="s">
        <v>20</v>
      </c>
    </row>
    <row r="1247" customFormat="false" ht="15" hidden="false" customHeight="false" outlineLevel="0" collapsed="false">
      <c r="A1247" s="2" t="n">
        <v>45</v>
      </c>
      <c r="B1247" s="2" t="s">
        <v>40</v>
      </c>
      <c r="C1247" s="2" t="s">
        <v>30</v>
      </c>
      <c r="D1247" s="2" t="s">
        <v>25</v>
      </c>
      <c r="E1247" s="2" t="s">
        <v>20</v>
      </c>
      <c r="F1247" s="2" t="n">
        <v>0</v>
      </c>
      <c r="G1247" s="2" t="s">
        <v>26</v>
      </c>
      <c r="H1247" s="2" t="s">
        <v>20</v>
      </c>
      <c r="I1247" s="2" t="s">
        <v>21</v>
      </c>
      <c r="J1247" s="2" t="n">
        <v>8</v>
      </c>
      <c r="K1247" s="2" t="s">
        <v>27</v>
      </c>
      <c r="L1247" s="2" t="n">
        <v>38</v>
      </c>
      <c r="M1247" s="2" t="n">
        <v>1</v>
      </c>
      <c r="N1247" s="2" t="n">
        <v>-1</v>
      </c>
      <c r="O1247" s="2" t="n">
        <v>0</v>
      </c>
      <c r="P1247" s="2" t="s">
        <v>23</v>
      </c>
      <c r="Q1247" s="2" t="s">
        <v>20</v>
      </c>
    </row>
    <row r="1248" customFormat="false" ht="15" hidden="false" customHeight="false" outlineLevel="0" collapsed="false">
      <c r="A1248" s="2" t="n">
        <v>47</v>
      </c>
      <c r="B1248" s="2" t="s">
        <v>29</v>
      </c>
      <c r="C1248" s="2" t="s">
        <v>18</v>
      </c>
      <c r="D1248" s="2" t="s">
        <v>31</v>
      </c>
      <c r="E1248" s="2" t="s">
        <v>20</v>
      </c>
      <c r="F1248" s="2" t="n">
        <v>109</v>
      </c>
      <c r="G1248" s="2" t="s">
        <v>26</v>
      </c>
      <c r="H1248" s="2" t="s">
        <v>20</v>
      </c>
      <c r="I1248" s="2" t="s">
        <v>21</v>
      </c>
      <c r="J1248" s="2" t="n">
        <v>22</v>
      </c>
      <c r="K1248" s="2" t="s">
        <v>44</v>
      </c>
      <c r="L1248" s="2" t="n">
        <v>268</v>
      </c>
      <c r="M1248" s="2" t="n">
        <v>1</v>
      </c>
      <c r="N1248" s="2" t="n">
        <v>-1</v>
      </c>
      <c r="O1248" s="2" t="n">
        <v>0</v>
      </c>
      <c r="P1248" s="2" t="s">
        <v>23</v>
      </c>
      <c r="Q1248" s="2" t="s">
        <v>20</v>
      </c>
    </row>
    <row r="1249" customFormat="false" ht="15" hidden="false" customHeight="false" outlineLevel="0" collapsed="false">
      <c r="A1249" s="2" t="n">
        <v>52</v>
      </c>
      <c r="B1249" s="2" t="s">
        <v>29</v>
      </c>
      <c r="C1249" s="2" t="s">
        <v>18</v>
      </c>
      <c r="D1249" s="2" t="s">
        <v>31</v>
      </c>
      <c r="E1249" s="2" t="s">
        <v>20</v>
      </c>
      <c r="F1249" s="2" t="n">
        <v>-11</v>
      </c>
      <c r="G1249" s="2" t="s">
        <v>26</v>
      </c>
      <c r="H1249" s="2" t="s">
        <v>20</v>
      </c>
      <c r="I1249" s="2" t="s">
        <v>21</v>
      </c>
      <c r="J1249" s="2" t="n">
        <v>11</v>
      </c>
      <c r="K1249" s="2" t="s">
        <v>27</v>
      </c>
      <c r="L1249" s="2" t="n">
        <v>94</v>
      </c>
      <c r="M1249" s="2" t="n">
        <v>4</v>
      </c>
      <c r="N1249" s="2" t="n">
        <v>-1</v>
      </c>
      <c r="O1249" s="2" t="n">
        <v>0</v>
      </c>
      <c r="P1249" s="2" t="s">
        <v>23</v>
      </c>
      <c r="Q1249" s="2" t="s">
        <v>20</v>
      </c>
    </row>
    <row r="1250" customFormat="false" ht="15" hidden="false" customHeight="false" outlineLevel="0" collapsed="false">
      <c r="A1250" s="2" t="n">
        <v>33</v>
      </c>
      <c r="B1250" s="2" t="s">
        <v>24</v>
      </c>
      <c r="C1250" s="2" t="s">
        <v>18</v>
      </c>
      <c r="D1250" s="2" t="s">
        <v>25</v>
      </c>
      <c r="E1250" s="2" t="s">
        <v>20</v>
      </c>
      <c r="F1250" s="2" t="n">
        <v>90</v>
      </c>
      <c r="G1250" s="2" t="s">
        <v>26</v>
      </c>
      <c r="H1250" s="2" t="s">
        <v>20</v>
      </c>
      <c r="I1250" s="2" t="s">
        <v>21</v>
      </c>
      <c r="J1250" s="2" t="n">
        <v>28</v>
      </c>
      <c r="K1250" s="2" t="s">
        <v>44</v>
      </c>
      <c r="L1250" s="2" t="n">
        <v>263</v>
      </c>
      <c r="M1250" s="2" t="n">
        <v>2</v>
      </c>
      <c r="N1250" s="2" t="n">
        <v>-1</v>
      </c>
      <c r="O1250" s="2" t="n">
        <v>0</v>
      </c>
      <c r="P1250" s="2" t="s">
        <v>23</v>
      </c>
      <c r="Q1250" s="2" t="s">
        <v>20</v>
      </c>
    </row>
    <row r="1251" customFormat="false" ht="15" hidden="false" customHeight="false" outlineLevel="0" collapsed="false">
      <c r="A1251" s="2" t="n">
        <v>60</v>
      </c>
      <c r="B1251" s="2" t="s">
        <v>34</v>
      </c>
      <c r="C1251" s="2" t="s">
        <v>18</v>
      </c>
      <c r="D1251" s="2" t="s">
        <v>19</v>
      </c>
      <c r="E1251" s="2" t="s">
        <v>20</v>
      </c>
      <c r="F1251" s="2" t="n">
        <v>493</v>
      </c>
      <c r="G1251" s="2" t="s">
        <v>20</v>
      </c>
      <c r="H1251" s="2" t="s">
        <v>20</v>
      </c>
      <c r="I1251" s="2" t="s">
        <v>21</v>
      </c>
      <c r="J1251" s="2" t="n">
        <v>18</v>
      </c>
      <c r="K1251" s="2" t="s">
        <v>41</v>
      </c>
      <c r="L1251" s="2" t="n">
        <v>671</v>
      </c>
      <c r="M1251" s="2" t="n">
        <v>4</v>
      </c>
      <c r="N1251" s="2" t="n">
        <v>-1</v>
      </c>
      <c r="O1251" s="2" t="n">
        <v>0</v>
      </c>
      <c r="P1251" s="2" t="s">
        <v>23</v>
      </c>
      <c r="Q1251" s="2" t="s">
        <v>26</v>
      </c>
    </row>
    <row r="1252" customFormat="false" ht="15" hidden="false" customHeight="false" outlineLevel="0" collapsed="false">
      <c r="A1252" s="2" t="n">
        <v>33</v>
      </c>
      <c r="B1252" s="2" t="s">
        <v>29</v>
      </c>
      <c r="C1252" s="2" t="s">
        <v>45</v>
      </c>
      <c r="D1252" s="2" t="s">
        <v>25</v>
      </c>
      <c r="E1252" s="2" t="s">
        <v>20</v>
      </c>
      <c r="F1252" s="2" t="n">
        <v>1897</v>
      </c>
      <c r="G1252" s="2" t="s">
        <v>26</v>
      </c>
      <c r="H1252" s="2" t="s">
        <v>26</v>
      </c>
      <c r="I1252" s="2" t="s">
        <v>23</v>
      </c>
      <c r="J1252" s="2" t="n">
        <v>2</v>
      </c>
      <c r="K1252" s="2" t="s">
        <v>33</v>
      </c>
      <c r="L1252" s="2" t="n">
        <v>197</v>
      </c>
      <c r="M1252" s="2" t="n">
        <v>1</v>
      </c>
      <c r="N1252" s="2" t="n">
        <v>-1</v>
      </c>
      <c r="O1252" s="2" t="n">
        <v>0</v>
      </c>
      <c r="P1252" s="2" t="s">
        <v>23</v>
      </c>
      <c r="Q1252" s="2" t="s">
        <v>20</v>
      </c>
    </row>
    <row r="1253" customFormat="false" ht="15" hidden="false" customHeight="false" outlineLevel="0" collapsed="false">
      <c r="A1253" s="2" t="n">
        <v>44</v>
      </c>
      <c r="B1253" s="2" t="s">
        <v>40</v>
      </c>
      <c r="C1253" s="2" t="s">
        <v>18</v>
      </c>
      <c r="D1253" s="2" t="s">
        <v>25</v>
      </c>
      <c r="E1253" s="2" t="s">
        <v>20</v>
      </c>
      <c r="F1253" s="2" t="n">
        <v>2403</v>
      </c>
      <c r="G1253" s="2" t="s">
        <v>26</v>
      </c>
      <c r="H1253" s="2" t="s">
        <v>20</v>
      </c>
      <c r="I1253" s="2" t="s">
        <v>21</v>
      </c>
      <c r="J1253" s="2" t="n">
        <v>28</v>
      </c>
      <c r="K1253" s="2" t="s">
        <v>43</v>
      </c>
      <c r="L1253" s="2" t="n">
        <v>180</v>
      </c>
      <c r="M1253" s="2" t="n">
        <v>2</v>
      </c>
      <c r="N1253" s="2" t="n">
        <v>-1</v>
      </c>
      <c r="O1253" s="2" t="n">
        <v>0</v>
      </c>
      <c r="P1253" s="2" t="s">
        <v>23</v>
      </c>
      <c r="Q1253" s="2" t="s">
        <v>20</v>
      </c>
    </row>
    <row r="1254" customFormat="false" ht="15" hidden="false" customHeight="false" outlineLevel="0" collapsed="false">
      <c r="A1254" s="2" t="n">
        <v>38</v>
      </c>
      <c r="B1254" s="2" t="s">
        <v>39</v>
      </c>
      <c r="C1254" s="2" t="s">
        <v>18</v>
      </c>
      <c r="D1254" s="2" t="s">
        <v>25</v>
      </c>
      <c r="E1254" s="2" t="s">
        <v>20</v>
      </c>
      <c r="F1254" s="2" t="n">
        <v>868</v>
      </c>
      <c r="G1254" s="2" t="s">
        <v>20</v>
      </c>
      <c r="H1254" s="2" t="s">
        <v>20</v>
      </c>
      <c r="I1254" s="2" t="s">
        <v>21</v>
      </c>
      <c r="J1254" s="2" t="n">
        <v>20</v>
      </c>
      <c r="K1254" s="2" t="s">
        <v>46</v>
      </c>
      <c r="L1254" s="2" t="n">
        <v>452</v>
      </c>
      <c r="M1254" s="2" t="n">
        <v>2</v>
      </c>
      <c r="N1254" s="2" t="n">
        <v>-1</v>
      </c>
      <c r="O1254" s="2" t="n">
        <v>0</v>
      </c>
      <c r="P1254" s="2" t="s">
        <v>23</v>
      </c>
      <c r="Q1254" s="2" t="s">
        <v>20</v>
      </c>
    </row>
    <row r="1255" customFormat="false" ht="15" hidden="false" customHeight="false" outlineLevel="0" collapsed="false">
      <c r="A1255" s="2" t="n">
        <v>54</v>
      </c>
      <c r="B1255" s="2" t="s">
        <v>39</v>
      </c>
      <c r="C1255" s="2" t="s">
        <v>18</v>
      </c>
      <c r="D1255" s="2" t="s">
        <v>25</v>
      </c>
      <c r="E1255" s="2" t="s">
        <v>20</v>
      </c>
      <c r="F1255" s="2" t="n">
        <v>653</v>
      </c>
      <c r="G1255" s="2" t="s">
        <v>26</v>
      </c>
      <c r="H1255" s="2" t="s">
        <v>20</v>
      </c>
      <c r="I1255" s="2" t="s">
        <v>23</v>
      </c>
      <c r="J1255" s="2" t="n">
        <v>15</v>
      </c>
      <c r="K1255" s="2" t="s">
        <v>27</v>
      </c>
      <c r="L1255" s="2" t="n">
        <v>352</v>
      </c>
      <c r="M1255" s="2" t="n">
        <v>1</v>
      </c>
      <c r="N1255" s="2" t="n">
        <v>-1</v>
      </c>
      <c r="O1255" s="2" t="n">
        <v>0</v>
      </c>
      <c r="P1255" s="2" t="s">
        <v>23</v>
      </c>
      <c r="Q1255" s="2" t="s">
        <v>20</v>
      </c>
    </row>
    <row r="1256" customFormat="false" ht="15" hidden="false" customHeight="false" outlineLevel="0" collapsed="false">
      <c r="A1256" s="2" t="n">
        <v>32</v>
      </c>
      <c r="B1256" s="2" t="s">
        <v>17</v>
      </c>
      <c r="C1256" s="2" t="s">
        <v>45</v>
      </c>
      <c r="D1256" s="2" t="s">
        <v>19</v>
      </c>
      <c r="E1256" s="2" t="s">
        <v>20</v>
      </c>
      <c r="F1256" s="2" t="n">
        <v>0</v>
      </c>
      <c r="G1256" s="2" t="s">
        <v>20</v>
      </c>
      <c r="H1256" s="2" t="s">
        <v>20</v>
      </c>
      <c r="I1256" s="2" t="s">
        <v>21</v>
      </c>
      <c r="J1256" s="2" t="n">
        <v>15</v>
      </c>
      <c r="K1256" s="2" t="s">
        <v>44</v>
      </c>
      <c r="L1256" s="2" t="n">
        <v>175</v>
      </c>
      <c r="M1256" s="2" t="n">
        <v>4</v>
      </c>
      <c r="N1256" s="2" t="n">
        <v>-1</v>
      </c>
      <c r="O1256" s="2" t="n">
        <v>0</v>
      </c>
      <c r="P1256" s="2" t="s">
        <v>23</v>
      </c>
      <c r="Q1256" s="2" t="s">
        <v>20</v>
      </c>
    </row>
    <row r="1257" customFormat="false" ht="15" hidden="false" customHeight="false" outlineLevel="0" collapsed="false">
      <c r="A1257" s="2" t="n">
        <v>33</v>
      </c>
      <c r="B1257" s="2" t="s">
        <v>38</v>
      </c>
      <c r="C1257" s="2" t="s">
        <v>18</v>
      </c>
      <c r="D1257" s="2" t="s">
        <v>25</v>
      </c>
      <c r="E1257" s="2" t="s">
        <v>20</v>
      </c>
      <c r="F1257" s="2" t="n">
        <v>0</v>
      </c>
      <c r="G1257" s="2" t="s">
        <v>26</v>
      </c>
      <c r="H1257" s="2" t="s">
        <v>26</v>
      </c>
      <c r="I1257" s="2" t="s">
        <v>21</v>
      </c>
      <c r="J1257" s="2" t="n">
        <v>19</v>
      </c>
      <c r="K1257" s="2" t="s">
        <v>46</v>
      </c>
      <c r="L1257" s="2" t="n">
        <v>163</v>
      </c>
      <c r="M1257" s="2" t="n">
        <v>2</v>
      </c>
      <c r="N1257" s="2" t="n">
        <v>-1</v>
      </c>
      <c r="O1257" s="2" t="n">
        <v>0</v>
      </c>
      <c r="P1257" s="2" t="s">
        <v>23</v>
      </c>
      <c r="Q1257" s="2" t="s">
        <v>20</v>
      </c>
    </row>
    <row r="1258" customFormat="false" ht="15" hidden="false" customHeight="false" outlineLevel="0" collapsed="false">
      <c r="A1258" s="2" t="n">
        <v>55</v>
      </c>
      <c r="B1258" s="2" t="s">
        <v>24</v>
      </c>
      <c r="C1258" s="2" t="s">
        <v>45</v>
      </c>
      <c r="D1258" s="2" t="s">
        <v>25</v>
      </c>
      <c r="E1258" s="2" t="s">
        <v>20</v>
      </c>
      <c r="F1258" s="2" t="n">
        <v>218</v>
      </c>
      <c r="G1258" s="2" t="s">
        <v>26</v>
      </c>
      <c r="H1258" s="2" t="s">
        <v>20</v>
      </c>
      <c r="I1258" s="2" t="s">
        <v>23</v>
      </c>
      <c r="J1258" s="2" t="n">
        <v>29</v>
      </c>
      <c r="K1258" s="2" t="s">
        <v>27</v>
      </c>
      <c r="L1258" s="2" t="n">
        <v>200</v>
      </c>
      <c r="M1258" s="2" t="n">
        <v>2</v>
      </c>
      <c r="N1258" s="2" t="n">
        <v>-1</v>
      </c>
      <c r="O1258" s="2" t="n">
        <v>0</v>
      </c>
      <c r="P1258" s="2" t="s">
        <v>23</v>
      </c>
      <c r="Q1258" s="2" t="s">
        <v>20</v>
      </c>
    </row>
    <row r="1259" customFormat="false" ht="15" hidden="false" customHeight="false" outlineLevel="0" collapsed="false">
      <c r="A1259" s="2" t="n">
        <v>51</v>
      </c>
      <c r="B1259" s="2" t="s">
        <v>34</v>
      </c>
      <c r="C1259" s="2" t="s">
        <v>18</v>
      </c>
      <c r="D1259" s="2" t="s">
        <v>19</v>
      </c>
      <c r="E1259" s="2" t="s">
        <v>20</v>
      </c>
      <c r="F1259" s="2" t="n">
        <v>5050</v>
      </c>
      <c r="G1259" s="2" t="s">
        <v>20</v>
      </c>
      <c r="H1259" s="2" t="s">
        <v>26</v>
      </c>
      <c r="I1259" s="2" t="s">
        <v>23</v>
      </c>
      <c r="J1259" s="2" t="n">
        <v>16</v>
      </c>
      <c r="K1259" s="2" t="s">
        <v>33</v>
      </c>
      <c r="L1259" s="2" t="n">
        <v>75</v>
      </c>
      <c r="M1259" s="2" t="n">
        <v>7</v>
      </c>
      <c r="N1259" s="2" t="n">
        <v>-1</v>
      </c>
      <c r="O1259" s="2" t="n">
        <v>0</v>
      </c>
      <c r="P1259" s="2" t="s">
        <v>23</v>
      </c>
      <c r="Q1259" s="2" t="s">
        <v>20</v>
      </c>
    </row>
    <row r="1260" customFormat="false" ht="15" hidden="false" customHeight="false" outlineLevel="0" collapsed="false">
      <c r="A1260" s="2" t="n">
        <v>48</v>
      </c>
      <c r="B1260" s="2" t="s">
        <v>34</v>
      </c>
      <c r="C1260" s="2" t="s">
        <v>18</v>
      </c>
      <c r="D1260" s="2" t="s">
        <v>25</v>
      </c>
      <c r="E1260" s="2" t="s">
        <v>20</v>
      </c>
      <c r="F1260" s="2" t="n">
        <v>741</v>
      </c>
      <c r="G1260" s="2" t="s">
        <v>26</v>
      </c>
      <c r="H1260" s="2" t="s">
        <v>20</v>
      </c>
      <c r="I1260" s="2" t="s">
        <v>21</v>
      </c>
      <c r="J1260" s="2" t="n">
        <v>16</v>
      </c>
      <c r="K1260" s="2" t="s">
        <v>32</v>
      </c>
      <c r="L1260" s="2" t="n">
        <v>227</v>
      </c>
      <c r="M1260" s="2" t="n">
        <v>1</v>
      </c>
      <c r="N1260" s="2" t="n">
        <v>-1</v>
      </c>
      <c r="O1260" s="2" t="n">
        <v>0</v>
      </c>
      <c r="P1260" s="2" t="s">
        <v>23</v>
      </c>
      <c r="Q1260" s="2" t="s">
        <v>20</v>
      </c>
    </row>
    <row r="1261" customFormat="false" ht="15" hidden="false" customHeight="false" outlineLevel="0" collapsed="false">
      <c r="A1261" s="2" t="n">
        <v>37</v>
      </c>
      <c r="B1261" s="2" t="s">
        <v>24</v>
      </c>
      <c r="C1261" s="2" t="s">
        <v>30</v>
      </c>
      <c r="D1261" s="2" t="s">
        <v>25</v>
      </c>
      <c r="E1261" s="2" t="s">
        <v>20</v>
      </c>
      <c r="F1261" s="2" t="n">
        <v>1050</v>
      </c>
      <c r="G1261" s="2" t="s">
        <v>26</v>
      </c>
      <c r="H1261" s="2" t="s">
        <v>20</v>
      </c>
      <c r="I1261" s="2" t="s">
        <v>21</v>
      </c>
      <c r="J1261" s="2" t="n">
        <v>3</v>
      </c>
      <c r="K1261" s="2" t="s">
        <v>35</v>
      </c>
      <c r="L1261" s="2" t="n">
        <v>586</v>
      </c>
      <c r="M1261" s="2" t="n">
        <v>3</v>
      </c>
      <c r="N1261" s="2" t="n">
        <v>-1</v>
      </c>
      <c r="O1261" s="2" t="n">
        <v>0</v>
      </c>
      <c r="P1261" s="2" t="s">
        <v>23</v>
      </c>
      <c r="Q1261" s="2" t="s">
        <v>20</v>
      </c>
    </row>
    <row r="1262" customFormat="false" ht="15" hidden="false" customHeight="false" outlineLevel="0" collapsed="false">
      <c r="A1262" s="2" t="n">
        <v>33</v>
      </c>
      <c r="B1262" s="2" t="s">
        <v>24</v>
      </c>
      <c r="C1262" s="2" t="s">
        <v>30</v>
      </c>
      <c r="D1262" s="2" t="s">
        <v>25</v>
      </c>
      <c r="E1262" s="2" t="s">
        <v>20</v>
      </c>
      <c r="F1262" s="2" t="n">
        <v>-56</v>
      </c>
      <c r="G1262" s="2" t="s">
        <v>20</v>
      </c>
      <c r="H1262" s="2" t="s">
        <v>26</v>
      </c>
      <c r="I1262" s="2" t="s">
        <v>21</v>
      </c>
      <c r="J1262" s="2" t="n">
        <v>10</v>
      </c>
      <c r="K1262" s="2" t="s">
        <v>44</v>
      </c>
      <c r="L1262" s="2" t="n">
        <v>119</v>
      </c>
      <c r="M1262" s="2" t="n">
        <v>5</v>
      </c>
      <c r="N1262" s="2" t="n">
        <v>-1</v>
      </c>
      <c r="O1262" s="2" t="n">
        <v>0</v>
      </c>
      <c r="P1262" s="2" t="s">
        <v>23</v>
      </c>
      <c r="Q1262" s="2" t="s">
        <v>20</v>
      </c>
    </row>
    <row r="1263" customFormat="false" ht="15" hidden="false" customHeight="false" outlineLevel="0" collapsed="false">
      <c r="A1263" s="2" t="n">
        <v>30</v>
      </c>
      <c r="B1263" s="2" t="s">
        <v>34</v>
      </c>
      <c r="C1263" s="2" t="s">
        <v>18</v>
      </c>
      <c r="D1263" s="2" t="s">
        <v>19</v>
      </c>
      <c r="E1263" s="2" t="s">
        <v>20</v>
      </c>
      <c r="F1263" s="2" t="n">
        <v>1</v>
      </c>
      <c r="G1263" s="2" t="s">
        <v>26</v>
      </c>
      <c r="H1263" s="2" t="s">
        <v>26</v>
      </c>
      <c r="I1263" s="2" t="s">
        <v>49</v>
      </c>
      <c r="J1263" s="2" t="n">
        <v>22</v>
      </c>
      <c r="K1263" s="2" t="s">
        <v>44</v>
      </c>
      <c r="L1263" s="2" t="n">
        <v>80</v>
      </c>
      <c r="M1263" s="2" t="n">
        <v>2</v>
      </c>
      <c r="N1263" s="2" t="n">
        <v>-1</v>
      </c>
      <c r="O1263" s="2" t="n">
        <v>0</v>
      </c>
      <c r="P1263" s="2" t="s">
        <v>23</v>
      </c>
      <c r="Q1263" s="2" t="s">
        <v>20</v>
      </c>
    </row>
    <row r="1264" customFormat="false" ht="15" hidden="false" customHeight="false" outlineLevel="0" collapsed="false">
      <c r="A1264" s="2" t="n">
        <v>43</v>
      </c>
      <c r="B1264" s="2" t="s">
        <v>34</v>
      </c>
      <c r="C1264" s="2" t="s">
        <v>18</v>
      </c>
      <c r="D1264" s="2" t="s">
        <v>19</v>
      </c>
      <c r="E1264" s="2" t="s">
        <v>20</v>
      </c>
      <c r="F1264" s="2" t="n">
        <v>-98</v>
      </c>
      <c r="G1264" s="2" t="s">
        <v>26</v>
      </c>
      <c r="H1264" s="2" t="s">
        <v>26</v>
      </c>
      <c r="I1264" s="2" t="s">
        <v>21</v>
      </c>
      <c r="J1264" s="2" t="n">
        <v>12</v>
      </c>
      <c r="K1264" s="2" t="s">
        <v>27</v>
      </c>
      <c r="L1264" s="2" t="n">
        <v>112</v>
      </c>
      <c r="M1264" s="2" t="n">
        <v>2</v>
      </c>
      <c r="N1264" s="2" t="n">
        <v>330</v>
      </c>
      <c r="O1264" s="2" t="n">
        <v>3</v>
      </c>
      <c r="P1264" s="2" t="s">
        <v>37</v>
      </c>
      <c r="Q1264" s="2" t="s">
        <v>20</v>
      </c>
    </row>
    <row r="1265" customFormat="false" ht="15" hidden="false" customHeight="false" outlineLevel="0" collapsed="false">
      <c r="A1265" s="2" t="n">
        <v>49</v>
      </c>
      <c r="B1265" s="2" t="s">
        <v>38</v>
      </c>
      <c r="C1265" s="2" t="s">
        <v>18</v>
      </c>
      <c r="D1265" s="2" t="s">
        <v>25</v>
      </c>
      <c r="E1265" s="2" t="s">
        <v>20</v>
      </c>
      <c r="F1265" s="2" t="n">
        <v>4667</v>
      </c>
      <c r="G1265" s="2" t="s">
        <v>26</v>
      </c>
      <c r="H1265" s="2" t="s">
        <v>20</v>
      </c>
      <c r="I1265" s="2" t="s">
        <v>23</v>
      </c>
      <c r="J1265" s="2" t="n">
        <v>19</v>
      </c>
      <c r="K1265" s="2" t="s">
        <v>27</v>
      </c>
      <c r="L1265" s="2" t="n">
        <v>130</v>
      </c>
      <c r="M1265" s="2" t="n">
        <v>2</v>
      </c>
      <c r="N1265" s="2" t="n">
        <v>-1</v>
      </c>
      <c r="O1265" s="2" t="n">
        <v>0</v>
      </c>
      <c r="P1265" s="2" t="s">
        <v>23</v>
      </c>
      <c r="Q1265" s="2" t="s">
        <v>20</v>
      </c>
    </row>
    <row r="1266" customFormat="false" ht="15" hidden="false" customHeight="false" outlineLevel="0" collapsed="false">
      <c r="A1266" s="2" t="n">
        <v>54</v>
      </c>
      <c r="B1266" s="2" t="s">
        <v>17</v>
      </c>
      <c r="C1266" s="2" t="s">
        <v>18</v>
      </c>
      <c r="D1266" s="2" t="s">
        <v>19</v>
      </c>
      <c r="E1266" s="2" t="s">
        <v>20</v>
      </c>
      <c r="F1266" s="2" t="n">
        <v>541</v>
      </c>
      <c r="G1266" s="2" t="s">
        <v>26</v>
      </c>
      <c r="H1266" s="2" t="s">
        <v>20</v>
      </c>
      <c r="I1266" s="2" t="s">
        <v>21</v>
      </c>
      <c r="J1266" s="2" t="n">
        <v>3</v>
      </c>
      <c r="K1266" s="2" t="s">
        <v>35</v>
      </c>
      <c r="L1266" s="2" t="n">
        <v>237</v>
      </c>
      <c r="M1266" s="2" t="n">
        <v>3</v>
      </c>
      <c r="N1266" s="2" t="n">
        <v>-1</v>
      </c>
      <c r="O1266" s="2" t="n">
        <v>0</v>
      </c>
      <c r="P1266" s="2" t="s">
        <v>23</v>
      </c>
      <c r="Q1266" s="2" t="s">
        <v>20</v>
      </c>
    </row>
    <row r="1267" customFormat="false" ht="15" hidden="false" customHeight="false" outlineLevel="0" collapsed="false">
      <c r="A1267" s="2" t="n">
        <v>31</v>
      </c>
      <c r="B1267" s="2" t="s">
        <v>17</v>
      </c>
      <c r="C1267" s="2" t="s">
        <v>18</v>
      </c>
      <c r="D1267" s="2" t="s">
        <v>31</v>
      </c>
      <c r="E1267" s="2" t="s">
        <v>20</v>
      </c>
      <c r="F1267" s="2" t="n">
        <v>7744</v>
      </c>
      <c r="G1267" s="2" t="s">
        <v>20</v>
      </c>
      <c r="H1267" s="2" t="s">
        <v>20</v>
      </c>
      <c r="I1267" s="2" t="s">
        <v>21</v>
      </c>
      <c r="J1267" s="2" t="n">
        <v>26</v>
      </c>
      <c r="K1267" s="2" t="s">
        <v>41</v>
      </c>
      <c r="L1267" s="2" t="n">
        <v>377</v>
      </c>
      <c r="M1267" s="2" t="n">
        <v>8</v>
      </c>
      <c r="N1267" s="2" t="n">
        <v>-1</v>
      </c>
      <c r="O1267" s="2" t="n">
        <v>0</v>
      </c>
      <c r="P1267" s="2" t="s">
        <v>23</v>
      </c>
      <c r="Q1267" s="2" t="s">
        <v>20</v>
      </c>
    </row>
    <row r="1268" customFormat="false" ht="15" hidden="false" customHeight="false" outlineLevel="0" collapsed="false">
      <c r="A1268" s="2" t="n">
        <v>54</v>
      </c>
      <c r="B1268" s="2" t="s">
        <v>23</v>
      </c>
      <c r="C1268" s="2" t="s">
        <v>18</v>
      </c>
      <c r="D1268" s="2" t="s">
        <v>23</v>
      </c>
      <c r="E1268" s="2" t="s">
        <v>20</v>
      </c>
      <c r="F1268" s="2" t="n">
        <v>895</v>
      </c>
      <c r="G1268" s="2" t="s">
        <v>20</v>
      </c>
      <c r="H1268" s="2" t="s">
        <v>20</v>
      </c>
      <c r="I1268" s="2" t="s">
        <v>21</v>
      </c>
      <c r="J1268" s="2" t="n">
        <v>7</v>
      </c>
      <c r="K1268" s="2" t="s">
        <v>22</v>
      </c>
      <c r="L1268" s="2" t="n">
        <v>335</v>
      </c>
      <c r="M1268" s="2" t="n">
        <v>1</v>
      </c>
      <c r="N1268" s="2" t="n">
        <v>-1</v>
      </c>
      <c r="O1268" s="2" t="n">
        <v>0</v>
      </c>
      <c r="P1268" s="2" t="s">
        <v>23</v>
      </c>
      <c r="Q1268" s="2" t="s">
        <v>26</v>
      </c>
    </row>
    <row r="1269" customFormat="false" ht="15" hidden="false" customHeight="false" outlineLevel="0" collapsed="false">
      <c r="A1269" s="2" t="n">
        <v>36</v>
      </c>
      <c r="B1269" s="2" t="s">
        <v>17</v>
      </c>
      <c r="C1269" s="2" t="s">
        <v>18</v>
      </c>
      <c r="D1269" s="2" t="s">
        <v>25</v>
      </c>
      <c r="E1269" s="2" t="s">
        <v>20</v>
      </c>
      <c r="F1269" s="2" t="n">
        <v>-129</v>
      </c>
      <c r="G1269" s="2" t="s">
        <v>26</v>
      </c>
      <c r="H1269" s="2" t="s">
        <v>20</v>
      </c>
      <c r="I1269" s="2" t="s">
        <v>21</v>
      </c>
      <c r="J1269" s="2" t="n">
        <v>29</v>
      </c>
      <c r="K1269" s="2" t="s">
        <v>44</v>
      </c>
      <c r="L1269" s="2" t="n">
        <v>121</v>
      </c>
      <c r="M1269" s="2" t="n">
        <v>3</v>
      </c>
      <c r="N1269" s="2" t="n">
        <v>-1</v>
      </c>
      <c r="O1269" s="2" t="n">
        <v>0</v>
      </c>
      <c r="P1269" s="2" t="s">
        <v>23</v>
      </c>
      <c r="Q1269" s="2" t="s">
        <v>20</v>
      </c>
    </row>
    <row r="1270" customFormat="false" ht="15" hidden="false" customHeight="false" outlineLevel="0" collapsed="false">
      <c r="A1270" s="2" t="n">
        <v>30</v>
      </c>
      <c r="B1270" s="2" t="s">
        <v>40</v>
      </c>
      <c r="C1270" s="2" t="s">
        <v>18</v>
      </c>
      <c r="D1270" s="2" t="s">
        <v>25</v>
      </c>
      <c r="E1270" s="2" t="s">
        <v>20</v>
      </c>
      <c r="F1270" s="2" t="n">
        <v>0</v>
      </c>
      <c r="G1270" s="2" t="s">
        <v>20</v>
      </c>
      <c r="H1270" s="2" t="s">
        <v>20</v>
      </c>
      <c r="I1270" s="2" t="s">
        <v>21</v>
      </c>
      <c r="J1270" s="2" t="n">
        <v>15</v>
      </c>
      <c r="K1270" s="2" t="s">
        <v>44</v>
      </c>
      <c r="L1270" s="2" t="n">
        <v>127</v>
      </c>
      <c r="M1270" s="2" t="n">
        <v>5</v>
      </c>
      <c r="N1270" s="2" t="n">
        <v>-1</v>
      </c>
      <c r="O1270" s="2" t="n">
        <v>0</v>
      </c>
      <c r="P1270" s="2" t="s">
        <v>23</v>
      </c>
      <c r="Q1270" s="2" t="s">
        <v>20</v>
      </c>
    </row>
    <row r="1271" customFormat="false" ht="15" hidden="false" customHeight="false" outlineLevel="0" collapsed="false">
      <c r="A1271" s="2" t="n">
        <v>27</v>
      </c>
      <c r="B1271" s="2" t="s">
        <v>38</v>
      </c>
      <c r="C1271" s="2" t="s">
        <v>30</v>
      </c>
      <c r="D1271" s="2" t="s">
        <v>25</v>
      </c>
      <c r="E1271" s="2" t="s">
        <v>20</v>
      </c>
      <c r="F1271" s="2" t="n">
        <v>158</v>
      </c>
      <c r="G1271" s="2" t="s">
        <v>20</v>
      </c>
      <c r="H1271" s="2" t="s">
        <v>20</v>
      </c>
      <c r="I1271" s="2" t="s">
        <v>23</v>
      </c>
      <c r="J1271" s="2" t="n">
        <v>1</v>
      </c>
      <c r="K1271" s="2" t="s">
        <v>44</v>
      </c>
      <c r="L1271" s="2" t="n">
        <v>650</v>
      </c>
      <c r="M1271" s="2" t="n">
        <v>2</v>
      </c>
      <c r="N1271" s="2" t="n">
        <v>-1</v>
      </c>
      <c r="O1271" s="2" t="n">
        <v>0</v>
      </c>
      <c r="P1271" s="2" t="s">
        <v>23</v>
      </c>
      <c r="Q1271" s="2" t="s">
        <v>26</v>
      </c>
    </row>
    <row r="1272" customFormat="false" ht="15" hidden="false" customHeight="false" outlineLevel="0" collapsed="false">
      <c r="A1272" s="2" t="n">
        <v>30</v>
      </c>
      <c r="B1272" s="2" t="s">
        <v>40</v>
      </c>
      <c r="C1272" s="2" t="s">
        <v>18</v>
      </c>
      <c r="D1272" s="2" t="s">
        <v>25</v>
      </c>
      <c r="E1272" s="2" t="s">
        <v>20</v>
      </c>
      <c r="F1272" s="2" t="n">
        <v>122</v>
      </c>
      <c r="G1272" s="2" t="s">
        <v>26</v>
      </c>
      <c r="H1272" s="2" t="s">
        <v>20</v>
      </c>
      <c r="I1272" s="2" t="s">
        <v>23</v>
      </c>
      <c r="J1272" s="2" t="n">
        <v>16</v>
      </c>
      <c r="K1272" s="2" t="s">
        <v>27</v>
      </c>
      <c r="L1272" s="2" t="n">
        <v>107</v>
      </c>
      <c r="M1272" s="2" t="n">
        <v>1</v>
      </c>
      <c r="N1272" s="2" t="n">
        <v>-1</v>
      </c>
      <c r="O1272" s="2" t="n">
        <v>0</v>
      </c>
      <c r="P1272" s="2" t="s">
        <v>23</v>
      </c>
      <c r="Q1272" s="2" t="s">
        <v>20</v>
      </c>
    </row>
    <row r="1273" customFormat="false" ht="15" hidden="false" customHeight="false" outlineLevel="0" collapsed="false">
      <c r="A1273" s="2" t="n">
        <v>30</v>
      </c>
      <c r="B1273" s="2" t="s">
        <v>34</v>
      </c>
      <c r="C1273" s="2" t="s">
        <v>18</v>
      </c>
      <c r="D1273" s="2" t="s">
        <v>25</v>
      </c>
      <c r="E1273" s="2" t="s">
        <v>20</v>
      </c>
      <c r="F1273" s="2" t="n">
        <v>673</v>
      </c>
      <c r="G1273" s="2" t="s">
        <v>26</v>
      </c>
      <c r="H1273" s="2" t="s">
        <v>20</v>
      </c>
      <c r="I1273" s="2" t="s">
        <v>23</v>
      </c>
      <c r="J1273" s="2" t="n">
        <v>20</v>
      </c>
      <c r="K1273" s="2" t="s">
        <v>27</v>
      </c>
      <c r="L1273" s="2" t="n">
        <v>610</v>
      </c>
      <c r="M1273" s="2" t="n">
        <v>2</v>
      </c>
      <c r="N1273" s="2" t="n">
        <v>-1</v>
      </c>
      <c r="O1273" s="2" t="n">
        <v>0</v>
      </c>
      <c r="P1273" s="2" t="s">
        <v>23</v>
      </c>
      <c r="Q1273" s="2" t="s">
        <v>20</v>
      </c>
    </row>
    <row r="1274" customFormat="false" ht="15" hidden="false" customHeight="false" outlineLevel="0" collapsed="false">
      <c r="A1274" s="2" t="n">
        <v>35</v>
      </c>
      <c r="B1274" s="2" t="s">
        <v>38</v>
      </c>
      <c r="C1274" s="2" t="s">
        <v>45</v>
      </c>
      <c r="D1274" s="2" t="s">
        <v>25</v>
      </c>
      <c r="E1274" s="2" t="s">
        <v>20</v>
      </c>
      <c r="F1274" s="2" t="n">
        <v>0</v>
      </c>
      <c r="G1274" s="2" t="s">
        <v>20</v>
      </c>
      <c r="H1274" s="2" t="s">
        <v>20</v>
      </c>
      <c r="I1274" s="2" t="s">
        <v>21</v>
      </c>
      <c r="J1274" s="2" t="n">
        <v>25</v>
      </c>
      <c r="K1274" s="2" t="s">
        <v>41</v>
      </c>
      <c r="L1274" s="2" t="n">
        <v>124</v>
      </c>
      <c r="M1274" s="2" t="n">
        <v>4</v>
      </c>
      <c r="N1274" s="2" t="n">
        <v>-1</v>
      </c>
      <c r="O1274" s="2" t="n">
        <v>0</v>
      </c>
      <c r="P1274" s="2" t="s">
        <v>23</v>
      </c>
      <c r="Q1274" s="2" t="s">
        <v>20</v>
      </c>
    </row>
    <row r="1275" customFormat="false" ht="15" hidden="false" customHeight="false" outlineLevel="0" collapsed="false">
      <c r="A1275" s="2" t="n">
        <v>33</v>
      </c>
      <c r="B1275" s="2" t="s">
        <v>24</v>
      </c>
      <c r="C1275" s="2" t="s">
        <v>45</v>
      </c>
      <c r="D1275" s="2" t="s">
        <v>25</v>
      </c>
      <c r="E1275" s="2" t="s">
        <v>20</v>
      </c>
      <c r="F1275" s="2" t="n">
        <v>411</v>
      </c>
      <c r="G1275" s="2" t="s">
        <v>26</v>
      </c>
      <c r="H1275" s="2" t="s">
        <v>20</v>
      </c>
      <c r="I1275" s="2" t="s">
        <v>23</v>
      </c>
      <c r="J1275" s="2" t="n">
        <v>8</v>
      </c>
      <c r="K1275" s="2" t="s">
        <v>27</v>
      </c>
      <c r="L1275" s="2" t="n">
        <v>216</v>
      </c>
      <c r="M1275" s="2" t="n">
        <v>1</v>
      </c>
      <c r="N1275" s="2" t="n">
        <v>-1</v>
      </c>
      <c r="O1275" s="2" t="n">
        <v>0</v>
      </c>
      <c r="P1275" s="2" t="s">
        <v>23</v>
      </c>
      <c r="Q1275" s="2" t="s">
        <v>20</v>
      </c>
    </row>
    <row r="1276" customFormat="false" ht="15" hidden="false" customHeight="false" outlineLevel="0" collapsed="false">
      <c r="A1276" s="2" t="n">
        <v>43</v>
      </c>
      <c r="B1276" s="2" t="s">
        <v>34</v>
      </c>
      <c r="C1276" s="2" t="s">
        <v>45</v>
      </c>
      <c r="D1276" s="2" t="s">
        <v>19</v>
      </c>
      <c r="E1276" s="2" t="s">
        <v>20</v>
      </c>
      <c r="F1276" s="2" t="n">
        <v>-97</v>
      </c>
      <c r="G1276" s="2" t="s">
        <v>26</v>
      </c>
      <c r="H1276" s="2" t="s">
        <v>26</v>
      </c>
      <c r="I1276" s="2" t="s">
        <v>21</v>
      </c>
      <c r="J1276" s="2" t="n">
        <v>31</v>
      </c>
      <c r="K1276" s="2" t="s">
        <v>44</v>
      </c>
      <c r="L1276" s="2" t="n">
        <v>747</v>
      </c>
      <c r="M1276" s="2" t="n">
        <v>4</v>
      </c>
      <c r="N1276" s="2" t="n">
        <v>-1</v>
      </c>
      <c r="O1276" s="2" t="n">
        <v>0</v>
      </c>
      <c r="P1276" s="2" t="s">
        <v>23</v>
      </c>
      <c r="Q1276" s="2" t="s">
        <v>20</v>
      </c>
    </row>
    <row r="1277" customFormat="false" ht="15" hidden="false" customHeight="false" outlineLevel="0" collapsed="false">
      <c r="A1277" s="2" t="n">
        <v>41</v>
      </c>
      <c r="B1277" s="2" t="s">
        <v>34</v>
      </c>
      <c r="C1277" s="2" t="s">
        <v>18</v>
      </c>
      <c r="D1277" s="2" t="s">
        <v>25</v>
      </c>
      <c r="E1277" s="2" t="s">
        <v>20</v>
      </c>
      <c r="F1277" s="2" t="n">
        <v>-217</v>
      </c>
      <c r="G1277" s="2" t="s">
        <v>26</v>
      </c>
      <c r="H1277" s="2" t="s">
        <v>20</v>
      </c>
      <c r="I1277" s="2" t="s">
        <v>21</v>
      </c>
      <c r="J1277" s="2" t="n">
        <v>11</v>
      </c>
      <c r="K1277" s="2" t="s">
        <v>27</v>
      </c>
      <c r="L1277" s="2" t="n">
        <v>313</v>
      </c>
      <c r="M1277" s="2" t="n">
        <v>1</v>
      </c>
      <c r="N1277" s="2" t="n">
        <v>349</v>
      </c>
      <c r="O1277" s="2" t="n">
        <v>3</v>
      </c>
      <c r="P1277" s="2" t="s">
        <v>37</v>
      </c>
      <c r="Q1277" s="2" t="s">
        <v>20</v>
      </c>
    </row>
    <row r="1278" customFormat="false" ht="15" hidden="false" customHeight="false" outlineLevel="0" collapsed="false">
      <c r="A1278" s="2" t="n">
        <v>41</v>
      </c>
      <c r="B1278" s="2" t="s">
        <v>29</v>
      </c>
      <c r="C1278" s="2" t="s">
        <v>45</v>
      </c>
      <c r="D1278" s="2" t="s">
        <v>31</v>
      </c>
      <c r="E1278" s="2" t="s">
        <v>20</v>
      </c>
      <c r="F1278" s="2" t="n">
        <v>5037</v>
      </c>
      <c r="G1278" s="2" t="s">
        <v>20</v>
      </c>
      <c r="H1278" s="2" t="s">
        <v>20</v>
      </c>
      <c r="I1278" s="2" t="s">
        <v>21</v>
      </c>
      <c r="J1278" s="2" t="n">
        <v>23</v>
      </c>
      <c r="K1278" s="2" t="s">
        <v>32</v>
      </c>
      <c r="L1278" s="2" t="n">
        <v>252</v>
      </c>
      <c r="M1278" s="2" t="n">
        <v>9</v>
      </c>
      <c r="N1278" s="2" t="n">
        <v>185</v>
      </c>
      <c r="O1278" s="2" t="n">
        <v>5</v>
      </c>
      <c r="P1278" s="2" t="s">
        <v>37</v>
      </c>
      <c r="Q1278" s="2" t="s">
        <v>26</v>
      </c>
    </row>
    <row r="1279" customFormat="false" ht="15" hidden="false" customHeight="false" outlineLevel="0" collapsed="false">
      <c r="A1279" s="2" t="n">
        <v>46</v>
      </c>
      <c r="B1279" s="2" t="s">
        <v>40</v>
      </c>
      <c r="C1279" s="2" t="s">
        <v>45</v>
      </c>
      <c r="D1279" s="2" t="s">
        <v>25</v>
      </c>
      <c r="E1279" s="2" t="s">
        <v>20</v>
      </c>
      <c r="F1279" s="2" t="n">
        <v>2232</v>
      </c>
      <c r="G1279" s="2" t="s">
        <v>20</v>
      </c>
      <c r="H1279" s="2" t="s">
        <v>20</v>
      </c>
      <c r="I1279" s="2" t="s">
        <v>21</v>
      </c>
      <c r="J1279" s="2" t="n">
        <v>13</v>
      </c>
      <c r="K1279" s="2" t="s">
        <v>35</v>
      </c>
      <c r="L1279" s="2" t="n">
        <v>121</v>
      </c>
      <c r="M1279" s="2" t="n">
        <v>1</v>
      </c>
      <c r="N1279" s="2" t="n">
        <v>-1</v>
      </c>
      <c r="O1279" s="2" t="n">
        <v>0</v>
      </c>
      <c r="P1279" s="2" t="s">
        <v>23</v>
      </c>
      <c r="Q1279" s="2" t="s">
        <v>26</v>
      </c>
    </row>
    <row r="1280" customFormat="false" ht="15" hidden="false" customHeight="false" outlineLevel="0" collapsed="false">
      <c r="A1280" s="2" t="n">
        <v>54</v>
      </c>
      <c r="B1280" s="2" t="s">
        <v>34</v>
      </c>
      <c r="C1280" s="2" t="s">
        <v>18</v>
      </c>
      <c r="D1280" s="2" t="s">
        <v>25</v>
      </c>
      <c r="E1280" s="2" t="s">
        <v>20</v>
      </c>
      <c r="F1280" s="2" t="n">
        <v>-932</v>
      </c>
      <c r="G1280" s="2" t="s">
        <v>26</v>
      </c>
      <c r="H1280" s="2" t="s">
        <v>20</v>
      </c>
      <c r="I1280" s="2" t="s">
        <v>23</v>
      </c>
      <c r="J1280" s="2" t="n">
        <v>7</v>
      </c>
      <c r="K1280" s="2" t="s">
        <v>27</v>
      </c>
      <c r="L1280" s="2" t="n">
        <v>799</v>
      </c>
      <c r="M1280" s="2" t="n">
        <v>1</v>
      </c>
      <c r="N1280" s="2" t="n">
        <v>-1</v>
      </c>
      <c r="O1280" s="2" t="n">
        <v>0</v>
      </c>
      <c r="P1280" s="2" t="s">
        <v>23</v>
      </c>
      <c r="Q1280" s="2" t="s">
        <v>20</v>
      </c>
    </row>
    <row r="1281" customFormat="false" ht="15" hidden="false" customHeight="false" outlineLevel="0" collapsed="false">
      <c r="A1281" s="2" t="n">
        <v>32</v>
      </c>
      <c r="B1281" s="2" t="s">
        <v>29</v>
      </c>
      <c r="C1281" s="2" t="s">
        <v>18</v>
      </c>
      <c r="D1281" s="2" t="s">
        <v>31</v>
      </c>
      <c r="E1281" s="2" t="s">
        <v>20</v>
      </c>
      <c r="F1281" s="2" t="n">
        <v>913</v>
      </c>
      <c r="G1281" s="2" t="s">
        <v>26</v>
      </c>
      <c r="H1281" s="2" t="s">
        <v>20</v>
      </c>
      <c r="I1281" s="2" t="s">
        <v>21</v>
      </c>
      <c r="J1281" s="2" t="n">
        <v>23</v>
      </c>
      <c r="K1281" s="2" t="s">
        <v>33</v>
      </c>
      <c r="L1281" s="2" t="n">
        <v>883</v>
      </c>
      <c r="M1281" s="2" t="n">
        <v>1</v>
      </c>
      <c r="N1281" s="2" t="n">
        <v>674</v>
      </c>
      <c r="O1281" s="2" t="n">
        <v>4</v>
      </c>
      <c r="P1281" s="2" t="s">
        <v>28</v>
      </c>
      <c r="Q1281" s="2" t="s">
        <v>20</v>
      </c>
    </row>
    <row r="1282" customFormat="false" ht="15" hidden="false" customHeight="false" outlineLevel="0" collapsed="false">
      <c r="A1282" s="2" t="n">
        <v>30</v>
      </c>
      <c r="B1282" s="2" t="s">
        <v>38</v>
      </c>
      <c r="C1282" s="2" t="s">
        <v>30</v>
      </c>
      <c r="D1282" s="2" t="s">
        <v>31</v>
      </c>
      <c r="E1282" s="2" t="s">
        <v>20</v>
      </c>
      <c r="F1282" s="2" t="n">
        <v>236</v>
      </c>
      <c r="G1282" s="2" t="s">
        <v>26</v>
      </c>
      <c r="H1282" s="2" t="s">
        <v>20</v>
      </c>
      <c r="I1282" s="2" t="s">
        <v>23</v>
      </c>
      <c r="J1282" s="2" t="n">
        <v>16</v>
      </c>
      <c r="K1282" s="2" t="s">
        <v>27</v>
      </c>
      <c r="L1282" s="2" t="n">
        <v>197</v>
      </c>
      <c r="M1282" s="2" t="n">
        <v>1</v>
      </c>
      <c r="N1282" s="2" t="n">
        <v>-1</v>
      </c>
      <c r="O1282" s="2" t="n">
        <v>0</v>
      </c>
      <c r="P1282" s="2" t="s">
        <v>23</v>
      </c>
      <c r="Q1282" s="2" t="s">
        <v>20</v>
      </c>
    </row>
    <row r="1283" customFormat="false" ht="15" hidden="false" customHeight="false" outlineLevel="0" collapsed="false">
      <c r="A1283" s="2" t="n">
        <v>40</v>
      </c>
      <c r="B1283" s="2" t="s">
        <v>39</v>
      </c>
      <c r="C1283" s="2" t="s">
        <v>18</v>
      </c>
      <c r="D1283" s="2" t="s">
        <v>19</v>
      </c>
      <c r="E1283" s="2" t="s">
        <v>20</v>
      </c>
      <c r="F1283" s="2" t="n">
        <v>0</v>
      </c>
      <c r="G1283" s="2" t="s">
        <v>26</v>
      </c>
      <c r="H1283" s="2" t="s">
        <v>20</v>
      </c>
      <c r="I1283" s="2" t="s">
        <v>21</v>
      </c>
      <c r="J1283" s="2" t="n">
        <v>11</v>
      </c>
      <c r="K1283" s="2" t="s">
        <v>44</v>
      </c>
      <c r="L1283" s="2" t="n">
        <v>271</v>
      </c>
      <c r="M1283" s="2" t="n">
        <v>2</v>
      </c>
      <c r="N1283" s="2" t="n">
        <v>-1</v>
      </c>
      <c r="O1283" s="2" t="n">
        <v>0</v>
      </c>
      <c r="P1283" s="2" t="s">
        <v>23</v>
      </c>
      <c r="Q1283" s="2" t="s">
        <v>20</v>
      </c>
    </row>
    <row r="1284" customFormat="false" ht="15" hidden="false" customHeight="false" outlineLevel="0" collapsed="false">
      <c r="A1284" s="2" t="n">
        <v>30</v>
      </c>
      <c r="B1284" s="2" t="s">
        <v>34</v>
      </c>
      <c r="C1284" s="2" t="s">
        <v>18</v>
      </c>
      <c r="D1284" s="2" t="s">
        <v>19</v>
      </c>
      <c r="E1284" s="2" t="s">
        <v>20</v>
      </c>
      <c r="F1284" s="2" t="n">
        <v>2581</v>
      </c>
      <c r="G1284" s="2" t="s">
        <v>20</v>
      </c>
      <c r="H1284" s="2" t="s">
        <v>20</v>
      </c>
      <c r="I1284" s="2" t="s">
        <v>23</v>
      </c>
      <c r="J1284" s="2" t="n">
        <v>12</v>
      </c>
      <c r="K1284" s="2" t="s">
        <v>27</v>
      </c>
      <c r="L1284" s="2" t="n">
        <v>221</v>
      </c>
      <c r="M1284" s="2" t="n">
        <v>2</v>
      </c>
      <c r="N1284" s="2" t="n">
        <v>-1</v>
      </c>
      <c r="O1284" s="2" t="n">
        <v>0</v>
      </c>
      <c r="P1284" s="2" t="s">
        <v>23</v>
      </c>
      <c r="Q1284" s="2" t="s">
        <v>20</v>
      </c>
    </row>
    <row r="1285" customFormat="false" ht="15" hidden="false" customHeight="false" outlineLevel="0" collapsed="false">
      <c r="A1285" s="2" t="n">
        <v>27</v>
      </c>
      <c r="B1285" s="2" t="s">
        <v>40</v>
      </c>
      <c r="C1285" s="2" t="s">
        <v>18</v>
      </c>
      <c r="D1285" s="2" t="s">
        <v>25</v>
      </c>
      <c r="E1285" s="2" t="s">
        <v>20</v>
      </c>
      <c r="F1285" s="2" t="n">
        <v>639</v>
      </c>
      <c r="G1285" s="2" t="s">
        <v>20</v>
      </c>
      <c r="H1285" s="2" t="s">
        <v>26</v>
      </c>
      <c r="I1285" s="2" t="s">
        <v>21</v>
      </c>
      <c r="J1285" s="2" t="n">
        <v>14</v>
      </c>
      <c r="K1285" s="2" t="s">
        <v>44</v>
      </c>
      <c r="L1285" s="2" t="n">
        <v>243</v>
      </c>
      <c r="M1285" s="2" t="n">
        <v>3</v>
      </c>
      <c r="N1285" s="2" t="n">
        <v>-1</v>
      </c>
      <c r="O1285" s="2" t="n">
        <v>0</v>
      </c>
      <c r="P1285" s="2" t="s">
        <v>23</v>
      </c>
      <c r="Q1285" s="2" t="s">
        <v>20</v>
      </c>
    </row>
    <row r="1286" customFormat="false" ht="15" hidden="false" customHeight="false" outlineLevel="0" collapsed="false">
      <c r="A1286" s="2" t="n">
        <v>41</v>
      </c>
      <c r="B1286" s="2" t="s">
        <v>34</v>
      </c>
      <c r="C1286" s="2" t="s">
        <v>18</v>
      </c>
      <c r="D1286" s="2" t="s">
        <v>19</v>
      </c>
      <c r="E1286" s="2" t="s">
        <v>20</v>
      </c>
      <c r="F1286" s="2" t="n">
        <v>849</v>
      </c>
      <c r="G1286" s="2" t="s">
        <v>26</v>
      </c>
      <c r="H1286" s="2" t="s">
        <v>20</v>
      </c>
      <c r="I1286" s="2" t="s">
        <v>23</v>
      </c>
      <c r="J1286" s="2" t="n">
        <v>15</v>
      </c>
      <c r="K1286" s="2" t="s">
        <v>27</v>
      </c>
      <c r="L1286" s="2" t="n">
        <v>72</v>
      </c>
      <c r="M1286" s="2" t="n">
        <v>1</v>
      </c>
      <c r="N1286" s="2" t="n">
        <v>-1</v>
      </c>
      <c r="O1286" s="2" t="n">
        <v>0</v>
      </c>
      <c r="P1286" s="2" t="s">
        <v>23</v>
      </c>
      <c r="Q1286" s="2" t="s">
        <v>20</v>
      </c>
    </row>
    <row r="1287" customFormat="false" ht="15" hidden="false" customHeight="false" outlineLevel="0" collapsed="false">
      <c r="A1287" s="2" t="n">
        <v>54</v>
      </c>
      <c r="B1287" s="2" t="s">
        <v>24</v>
      </c>
      <c r="C1287" s="2" t="s">
        <v>18</v>
      </c>
      <c r="D1287" s="2" t="s">
        <v>25</v>
      </c>
      <c r="E1287" s="2" t="s">
        <v>20</v>
      </c>
      <c r="F1287" s="2" t="n">
        <v>386</v>
      </c>
      <c r="G1287" s="2" t="s">
        <v>26</v>
      </c>
      <c r="H1287" s="2" t="s">
        <v>20</v>
      </c>
      <c r="I1287" s="2" t="s">
        <v>21</v>
      </c>
      <c r="J1287" s="2" t="n">
        <v>2</v>
      </c>
      <c r="K1287" s="2" t="s">
        <v>41</v>
      </c>
      <c r="L1287" s="2" t="n">
        <v>155</v>
      </c>
      <c r="M1287" s="2" t="n">
        <v>2</v>
      </c>
      <c r="N1287" s="2" t="n">
        <v>-1</v>
      </c>
      <c r="O1287" s="2" t="n">
        <v>0</v>
      </c>
      <c r="P1287" s="2" t="s">
        <v>23</v>
      </c>
      <c r="Q1287" s="2" t="s">
        <v>20</v>
      </c>
    </row>
    <row r="1288" customFormat="false" ht="15" hidden="false" customHeight="false" outlineLevel="0" collapsed="false">
      <c r="A1288" s="2" t="n">
        <v>32</v>
      </c>
      <c r="B1288" s="2" t="s">
        <v>29</v>
      </c>
      <c r="C1288" s="2" t="s">
        <v>30</v>
      </c>
      <c r="D1288" s="2" t="s">
        <v>31</v>
      </c>
      <c r="E1288" s="2" t="s">
        <v>20</v>
      </c>
      <c r="F1288" s="2" t="n">
        <v>1218</v>
      </c>
      <c r="G1288" s="2" t="s">
        <v>26</v>
      </c>
      <c r="H1288" s="2" t="s">
        <v>20</v>
      </c>
      <c r="I1288" s="2" t="s">
        <v>49</v>
      </c>
      <c r="J1288" s="2" t="n">
        <v>28</v>
      </c>
      <c r="K1288" s="2" t="s">
        <v>43</v>
      </c>
      <c r="L1288" s="2" t="n">
        <v>70</v>
      </c>
      <c r="M1288" s="2" t="n">
        <v>2</v>
      </c>
      <c r="N1288" s="2" t="n">
        <v>-1</v>
      </c>
      <c r="O1288" s="2" t="n">
        <v>0</v>
      </c>
      <c r="P1288" s="2" t="s">
        <v>23</v>
      </c>
      <c r="Q1288" s="2" t="s">
        <v>20</v>
      </c>
    </row>
    <row r="1289" customFormat="false" ht="15" hidden="false" customHeight="false" outlineLevel="0" collapsed="false">
      <c r="A1289" s="2" t="n">
        <v>31</v>
      </c>
      <c r="B1289" s="2" t="s">
        <v>29</v>
      </c>
      <c r="C1289" s="2" t="s">
        <v>18</v>
      </c>
      <c r="D1289" s="2" t="s">
        <v>31</v>
      </c>
      <c r="E1289" s="2" t="s">
        <v>20</v>
      </c>
      <c r="F1289" s="2" t="n">
        <v>2603</v>
      </c>
      <c r="G1289" s="2" t="s">
        <v>26</v>
      </c>
      <c r="H1289" s="2" t="s">
        <v>20</v>
      </c>
      <c r="I1289" s="2" t="s">
        <v>21</v>
      </c>
      <c r="J1289" s="2" t="n">
        <v>11</v>
      </c>
      <c r="K1289" s="2" t="s">
        <v>35</v>
      </c>
      <c r="L1289" s="2" t="n">
        <v>280</v>
      </c>
      <c r="M1289" s="2" t="n">
        <v>4</v>
      </c>
      <c r="N1289" s="2" t="n">
        <v>-1</v>
      </c>
      <c r="O1289" s="2" t="n">
        <v>0</v>
      </c>
      <c r="P1289" s="2" t="s">
        <v>23</v>
      </c>
      <c r="Q1289" s="2" t="s">
        <v>26</v>
      </c>
    </row>
    <row r="1290" customFormat="false" ht="15" hidden="false" customHeight="false" outlineLevel="0" collapsed="false">
      <c r="A1290" s="2" t="n">
        <v>42</v>
      </c>
      <c r="B1290" s="2" t="s">
        <v>34</v>
      </c>
      <c r="C1290" s="2" t="s">
        <v>18</v>
      </c>
      <c r="D1290" s="2" t="s">
        <v>25</v>
      </c>
      <c r="E1290" s="2" t="s">
        <v>20</v>
      </c>
      <c r="F1290" s="2" t="n">
        <v>-921</v>
      </c>
      <c r="G1290" s="2" t="s">
        <v>26</v>
      </c>
      <c r="H1290" s="2" t="s">
        <v>20</v>
      </c>
      <c r="I1290" s="2" t="s">
        <v>23</v>
      </c>
      <c r="J1290" s="2" t="n">
        <v>26</v>
      </c>
      <c r="K1290" s="2" t="s">
        <v>27</v>
      </c>
      <c r="L1290" s="2" t="n">
        <v>115</v>
      </c>
      <c r="M1290" s="2" t="n">
        <v>2</v>
      </c>
      <c r="N1290" s="2" t="n">
        <v>-1</v>
      </c>
      <c r="O1290" s="2" t="n">
        <v>0</v>
      </c>
      <c r="P1290" s="2" t="s">
        <v>23</v>
      </c>
      <c r="Q1290" s="2" t="s">
        <v>20</v>
      </c>
    </row>
    <row r="1291" customFormat="false" ht="15" hidden="false" customHeight="false" outlineLevel="0" collapsed="false">
      <c r="A1291" s="2" t="n">
        <v>48</v>
      </c>
      <c r="B1291" s="2" t="s">
        <v>40</v>
      </c>
      <c r="C1291" s="2" t="s">
        <v>18</v>
      </c>
      <c r="D1291" s="2" t="s">
        <v>19</v>
      </c>
      <c r="E1291" s="2" t="s">
        <v>20</v>
      </c>
      <c r="F1291" s="2" t="n">
        <v>607</v>
      </c>
      <c r="G1291" s="2" t="s">
        <v>20</v>
      </c>
      <c r="H1291" s="2" t="s">
        <v>20</v>
      </c>
      <c r="I1291" s="2" t="s">
        <v>23</v>
      </c>
      <c r="J1291" s="2" t="n">
        <v>20</v>
      </c>
      <c r="K1291" s="2" t="s">
        <v>33</v>
      </c>
      <c r="L1291" s="2" t="n">
        <v>29</v>
      </c>
      <c r="M1291" s="2" t="n">
        <v>2</v>
      </c>
      <c r="N1291" s="2" t="n">
        <v>-1</v>
      </c>
      <c r="O1291" s="2" t="n">
        <v>0</v>
      </c>
      <c r="P1291" s="2" t="s">
        <v>23</v>
      </c>
      <c r="Q1291" s="2" t="s">
        <v>20</v>
      </c>
    </row>
    <row r="1292" customFormat="false" ht="15" hidden="false" customHeight="false" outlineLevel="0" collapsed="false">
      <c r="A1292" s="2" t="n">
        <v>34</v>
      </c>
      <c r="B1292" s="2" t="s">
        <v>34</v>
      </c>
      <c r="C1292" s="2" t="s">
        <v>18</v>
      </c>
      <c r="D1292" s="2" t="s">
        <v>19</v>
      </c>
      <c r="E1292" s="2" t="s">
        <v>20</v>
      </c>
      <c r="F1292" s="2" t="n">
        <v>79</v>
      </c>
      <c r="G1292" s="2" t="s">
        <v>26</v>
      </c>
      <c r="H1292" s="2" t="s">
        <v>20</v>
      </c>
      <c r="I1292" s="2" t="s">
        <v>21</v>
      </c>
      <c r="J1292" s="2" t="n">
        <v>14</v>
      </c>
      <c r="K1292" s="2" t="s">
        <v>27</v>
      </c>
      <c r="L1292" s="2" t="n">
        <v>406</v>
      </c>
      <c r="M1292" s="2" t="n">
        <v>2</v>
      </c>
      <c r="N1292" s="2" t="n">
        <v>-1</v>
      </c>
      <c r="O1292" s="2" t="n">
        <v>0</v>
      </c>
      <c r="P1292" s="2" t="s">
        <v>23</v>
      </c>
      <c r="Q1292" s="2" t="s">
        <v>20</v>
      </c>
    </row>
    <row r="1293" customFormat="false" ht="15" hidden="false" customHeight="false" outlineLevel="0" collapsed="false">
      <c r="A1293" s="2" t="n">
        <v>55</v>
      </c>
      <c r="B1293" s="2" t="s">
        <v>38</v>
      </c>
      <c r="C1293" s="2" t="s">
        <v>45</v>
      </c>
      <c r="D1293" s="2" t="s">
        <v>25</v>
      </c>
      <c r="E1293" s="2" t="s">
        <v>20</v>
      </c>
      <c r="F1293" s="2" t="n">
        <v>61</v>
      </c>
      <c r="G1293" s="2" t="s">
        <v>26</v>
      </c>
      <c r="H1293" s="2" t="s">
        <v>26</v>
      </c>
      <c r="I1293" s="2" t="s">
        <v>21</v>
      </c>
      <c r="J1293" s="2" t="n">
        <v>25</v>
      </c>
      <c r="K1293" s="2" t="s">
        <v>41</v>
      </c>
      <c r="L1293" s="2" t="n">
        <v>113</v>
      </c>
      <c r="M1293" s="2" t="n">
        <v>3</v>
      </c>
      <c r="N1293" s="2" t="n">
        <v>-1</v>
      </c>
      <c r="O1293" s="2" t="n">
        <v>0</v>
      </c>
      <c r="P1293" s="2" t="s">
        <v>23</v>
      </c>
      <c r="Q1293" s="2" t="s">
        <v>20</v>
      </c>
    </row>
    <row r="1294" customFormat="false" ht="15" hidden="false" customHeight="false" outlineLevel="0" collapsed="false">
      <c r="A1294" s="2" t="n">
        <v>49</v>
      </c>
      <c r="B1294" s="2" t="s">
        <v>38</v>
      </c>
      <c r="C1294" s="2" t="s">
        <v>18</v>
      </c>
      <c r="D1294" s="2" t="s">
        <v>25</v>
      </c>
      <c r="E1294" s="2" t="s">
        <v>20</v>
      </c>
      <c r="F1294" s="2" t="n">
        <v>1091</v>
      </c>
      <c r="G1294" s="2" t="s">
        <v>20</v>
      </c>
      <c r="H1294" s="2" t="s">
        <v>20</v>
      </c>
      <c r="I1294" s="2" t="s">
        <v>49</v>
      </c>
      <c r="J1294" s="2" t="n">
        <v>30</v>
      </c>
      <c r="K1294" s="2" t="s">
        <v>44</v>
      </c>
      <c r="L1294" s="2" t="n">
        <v>47</v>
      </c>
      <c r="M1294" s="2" t="n">
        <v>2</v>
      </c>
      <c r="N1294" s="2" t="n">
        <v>-1</v>
      </c>
      <c r="O1294" s="2" t="n">
        <v>0</v>
      </c>
      <c r="P1294" s="2" t="s">
        <v>23</v>
      </c>
      <c r="Q1294" s="2" t="s">
        <v>20</v>
      </c>
    </row>
    <row r="1295" customFormat="false" ht="15" hidden="false" customHeight="false" outlineLevel="0" collapsed="false">
      <c r="A1295" s="2" t="n">
        <v>46</v>
      </c>
      <c r="B1295" s="2" t="s">
        <v>29</v>
      </c>
      <c r="C1295" s="2" t="s">
        <v>45</v>
      </c>
      <c r="D1295" s="2" t="s">
        <v>31</v>
      </c>
      <c r="E1295" s="2" t="s">
        <v>20</v>
      </c>
      <c r="F1295" s="2" t="n">
        <v>743</v>
      </c>
      <c r="G1295" s="2" t="s">
        <v>20</v>
      </c>
      <c r="H1295" s="2" t="s">
        <v>20</v>
      </c>
      <c r="I1295" s="2" t="s">
        <v>23</v>
      </c>
      <c r="J1295" s="2" t="n">
        <v>5</v>
      </c>
      <c r="K1295" s="2" t="s">
        <v>33</v>
      </c>
      <c r="L1295" s="2" t="n">
        <v>36</v>
      </c>
      <c r="M1295" s="2" t="n">
        <v>2</v>
      </c>
      <c r="N1295" s="2" t="n">
        <v>-1</v>
      </c>
      <c r="O1295" s="2" t="n">
        <v>0</v>
      </c>
      <c r="P1295" s="2" t="s">
        <v>23</v>
      </c>
      <c r="Q1295" s="2" t="s">
        <v>20</v>
      </c>
    </row>
    <row r="1296" customFormat="false" ht="15" hidden="false" customHeight="false" outlineLevel="0" collapsed="false">
      <c r="A1296" s="2" t="n">
        <v>47</v>
      </c>
      <c r="B1296" s="2" t="s">
        <v>39</v>
      </c>
      <c r="C1296" s="2" t="s">
        <v>18</v>
      </c>
      <c r="D1296" s="2" t="s">
        <v>23</v>
      </c>
      <c r="E1296" s="2" t="s">
        <v>20</v>
      </c>
      <c r="F1296" s="2" t="n">
        <v>209</v>
      </c>
      <c r="G1296" s="2" t="s">
        <v>26</v>
      </c>
      <c r="H1296" s="2" t="s">
        <v>20</v>
      </c>
      <c r="I1296" s="2" t="s">
        <v>23</v>
      </c>
      <c r="J1296" s="2" t="n">
        <v>6</v>
      </c>
      <c r="K1296" s="2" t="s">
        <v>27</v>
      </c>
      <c r="L1296" s="2" t="n">
        <v>135</v>
      </c>
      <c r="M1296" s="2" t="n">
        <v>2</v>
      </c>
      <c r="N1296" s="2" t="n">
        <v>-1</v>
      </c>
      <c r="O1296" s="2" t="n">
        <v>0</v>
      </c>
      <c r="P1296" s="2" t="s">
        <v>23</v>
      </c>
      <c r="Q1296" s="2" t="s">
        <v>20</v>
      </c>
    </row>
    <row r="1297" customFormat="false" ht="15" hidden="false" customHeight="false" outlineLevel="0" collapsed="false">
      <c r="A1297" s="2" t="n">
        <v>24</v>
      </c>
      <c r="B1297" s="2" t="s">
        <v>29</v>
      </c>
      <c r="C1297" s="2" t="s">
        <v>30</v>
      </c>
      <c r="D1297" s="2" t="s">
        <v>31</v>
      </c>
      <c r="E1297" s="2" t="s">
        <v>20</v>
      </c>
      <c r="F1297" s="2" t="n">
        <v>172</v>
      </c>
      <c r="G1297" s="2" t="s">
        <v>20</v>
      </c>
      <c r="H1297" s="2" t="s">
        <v>20</v>
      </c>
      <c r="I1297" s="2" t="s">
        <v>21</v>
      </c>
      <c r="J1297" s="2" t="n">
        <v>3</v>
      </c>
      <c r="K1297" s="2" t="s">
        <v>44</v>
      </c>
      <c r="L1297" s="2" t="n">
        <v>67</v>
      </c>
      <c r="M1297" s="2" t="n">
        <v>2</v>
      </c>
      <c r="N1297" s="2" t="n">
        <v>-1</v>
      </c>
      <c r="O1297" s="2" t="n">
        <v>0</v>
      </c>
      <c r="P1297" s="2" t="s">
        <v>23</v>
      </c>
      <c r="Q1297" s="2" t="s">
        <v>20</v>
      </c>
    </row>
    <row r="1298" customFormat="false" ht="15" hidden="false" customHeight="false" outlineLevel="0" collapsed="false">
      <c r="A1298" s="2" t="n">
        <v>58</v>
      </c>
      <c r="B1298" s="2" t="s">
        <v>39</v>
      </c>
      <c r="C1298" s="2" t="s">
        <v>18</v>
      </c>
      <c r="D1298" s="2" t="s">
        <v>25</v>
      </c>
      <c r="E1298" s="2" t="s">
        <v>20</v>
      </c>
      <c r="F1298" s="2" t="n">
        <v>2</v>
      </c>
      <c r="G1298" s="2" t="s">
        <v>20</v>
      </c>
      <c r="H1298" s="2" t="s">
        <v>20</v>
      </c>
      <c r="I1298" s="2" t="s">
        <v>23</v>
      </c>
      <c r="J1298" s="2" t="n">
        <v>16</v>
      </c>
      <c r="K1298" s="2" t="s">
        <v>33</v>
      </c>
      <c r="L1298" s="2" t="n">
        <v>684</v>
      </c>
      <c r="M1298" s="2" t="n">
        <v>1</v>
      </c>
      <c r="N1298" s="2" t="n">
        <v>-1</v>
      </c>
      <c r="O1298" s="2" t="n">
        <v>0</v>
      </c>
      <c r="P1298" s="2" t="s">
        <v>23</v>
      </c>
      <c r="Q1298" s="2" t="s">
        <v>20</v>
      </c>
    </row>
    <row r="1299" customFormat="false" ht="15" hidden="false" customHeight="false" outlineLevel="0" collapsed="false">
      <c r="A1299" s="2" t="n">
        <v>32</v>
      </c>
      <c r="B1299" s="2" t="s">
        <v>29</v>
      </c>
      <c r="C1299" s="2" t="s">
        <v>30</v>
      </c>
      <c r="D1299" s="2" t="s">
        <v>31</v>
      </c>
      <c r="E1299" s="2" t="s">
        <v>20</v>
      </c>
      <c r="F1299" s="2" t="n">
        <v>41</v>
      </c>
      <c r="G1299" s="2" t="s">
        <v>20</v>
      </c>
      <c r="H1299" s="2" t="s">
        <v>20</v>
      </c>
      <c r="I1299" s="2" t="s">
        <v>21</v>
      </c>
      <c r="J1299" s="2" t="n">
        <v>21</v>
      </c>
      <c r="K1299" s="2" t="s">
        <v>41</v>
      </c>
      <c r="L1299" s="2" t="n">
        <v>686</v>
      </c>
      <c r="M1299" s="2" t="n">
        <v>5</v>
      </c>
      <c r="N1299" s="2" t="n">
        <v>-1</v>
      </c>
      <c r="O1299" s="2" t="n">
        <v>0</v>
      </c>
      <c r="P1299" s="2" t="s">
        <v>23</v>
      </c>
      <c r="Q1299" s="2" t="s">
        <v>26</v>
      </c>
    </row>
    <row r="1300" customFormat="false" ht="15" hidden="false" customHeight="false" outlineLevel="0" collapsed="false">
      <c r="A1300" s="2" t="n">
        <v>25</v>
      </c>
      <c r="B1300" s="2" t="s">
        <v>42</v>
      </c>
      <c r="C1300" s="2" t="s">
        <v>30</v>
      </c>
      <c r="D1300" s="2" t="s">
        <v>25</v>
      </c>
      <c r="E1300" s="2" t="s">
        <v>20</v>
      </c>
      <c r="F1300" s="2" t="n">
        <v>1116</v>
      </c>
      <c r="G1300" s="2" t="s">
        <v>26</v>
      </c>
      <c r="H1300" s="2" t="s">
        <v>20</v>
      </c>
      <c r="I1300" s="2" t="s">
        <v>21</v>
      </c>
      <c r="J1300" s="2" t="n">
        <v>2</v>
      </c>
      <c r="K1300" s="2" t="s">
        <v>52</v>
      </c>
      <c r="L1300" s="2" t="n">
        <v>170</v>
      </c>
      <c r="M1300" s="2" t="n">
        <v>3</v>
      </c>
      <c r="N1300" s="2" t="n">
        <v>-1</v>
      </c>
      <c r="O1300" s="2" t="n">
        <v>0</v>
      </c>
      <c r="P1300" s="2" t="s">
        <v>23</v>
      </c>
      <c r="Q1300" s="2" t="s">
        <v>20</v>
      </c>
    </row>
    <row r="1301" customFormat="false" ht="15" hidden="false" customHeight="false" outlineLevel="0" collapsed="false">
      <c r="A1301" s="2" t="n">
        <v>49</v>
      </c>
      <c r="B1301" s="2" t="s">
        <v>34</v>
      </c>
      <c r="C1301" s="2" t="s">
        <v>18</v>
      </c>
      <c r="D1301" s="2" t="s">
        <v>25</v>
      </c>
      <c r="E1301" s="2" t="s">
        <v>20</v>
      </c>
      <c r="F1301" s="2" t="n">
        <v>-55</v>
      </c>
      <c r="G1301" s="2" t="s">
        <v>20</v>
      </c>
      <c r="H1301" s="2" t="s">
        <v>20</v>
      </c>
      <c r="I1301" s="2" t="s">
        <v>23</v>
      </c>
      <c r="J1301" s="2" t="n">
        <v>17</v>
      </c>
      <c r="K1301" s="2" t="s">
        <v>33</v>
      </c>
      <c r="L1301" s="2" t="n">
        <v>150</v>
      </c>
      <c r="M1301" s="2" t="n">
        <v>3</v>
      </c>
      <c r="N1301" s="2" t="n">
        <v>-1</v>
      </c>
      <c r="O1301" s="2" t="n">
        <v>0</v>
      </c>
      <c r="P1301" s="2" t="s">
        <v>23</v>
      </c>
      <c r="Q1301" s="2" t="s">
        <v>20</v>
      </c>
    </row>
    <row r="1302" customFormat="false" ht="15" hidden="false" customHeight="false" outlineLevel="0" collapsed="false">
      <c r="A1302" s="2" t="n">
        <v>59</v>
      </c>
      <c r="B1302" s="2" t="s">
        <v>48</v>
      </c>
      <c r="C1302" s="2" t="s">
        <v>45</v>
      </c>
      <c r="D1302" s="2" t="s">
        <v>25</v>
      </c>
      <c r="E1302" s="2" t="s">
        <v>20</v>
      </c>
      <c r="F1302" s="2" t="n">
        <v>5845</v>
      </c>
      <c r="G1302" s="2" t="s">
        <v>20</v>
      </c>
      <c r="H1302" s="2" t="s">
        <v>20</v>
      </c>
      <c r="I1302" s="2" t="s">
        <v>21</v>
      </c>
      <c r="J1302" s="2" t="n">
        <v>14</v>
      </c>
      <c r="K1302" s="2" t="s">
        <v>27</v>
      </c>
      <c r="L1302" s="2" t="n">
        <v>1060</v>
      </c>
      <c r="M1302" s="2" t="n">
        <v>2</v>
      </c>
      <c r="N1302" s="2" t="n">
        <v>-1</v>
      </c>
      <c r="O1302" s="2" t="n">
        <v>0</v>
      </c>
      <c r="P1302" s="2" t="s">
        <v>23</v>
      </c>
      <c r="Q1302" s="2" t="s">
        <v>26</v>
      </c>
    </row>
    <row r="1303" customFormat="false" ht="15" hidden="false" customHeight="false" outlineLevel="0" collapsed="false">
      <c r="A1303" s="2" t="n">
        <v>30</v>
      </c>
      <c r="B1303" s="2" t="s">
        <v>29</v>
      </c>
      <c r="C1303" s="2" t="s">
        <v>30</v>
      </c>
      <c r="D1303" s="2" t="s">
        <v>31</v>
      </c>
      <c r="E1303" s="2" t="s">
        <v>20</v>
      </c>
      <c r="F1303" s="2" t="n">
        <v>329</v>
      </c>
      <c r="G1303" s="2" t="s">
        <v>26</v>
      </c>
      <c r="H1303" s="2" t="s">
        <v>20</v>
      </c>
      <c r="I1303" s="2" t="s">
        <v>23</v>
      </c>
      <c r="J1303" s="2" t="n">
        <v>6</v>
      </c>
      <c r="K1303" s="2" t="s">
        <v>33</v>
      </c>
      <c r="L1303" s="2" t="n">
        <v>122</v>
      </c>
      <c r="M1303" s="2" t="n">
        <v>16</v>
      </c>
      <c r="N1303" s="2" t="n">
        <v>-1</v>
      </c>
      <c r="O1303" s="2" t="n">
        <v>0</v>
      </c>
      <c r="P1303" s="2" t="s">
        <v>23</v>
      </c>
      <c r="Q1303" s="2" t="s">
        <v>20</v>
      </c>
    </row>
    <row r="1304" customFormat="false" ht="15" hidden="false" customHeight="false" outlineLevel="0" collapsed="false">
      <c r="A1304" s="2" t="n">
        <v>46</v>
      </c>
      <c r="B1304" s="2" t="s">
        <v>34</v>
      </c>
      <c r="C1304" s="2" t="s">
        <v>18</v>
      </c>
      <c r="D1304" s="2" t="s">
        <v>25</v>
      </c>
      <c r="E1304" s="2" t="s">
        <v>20</v>
      </c>
      <c r="F1304" s="2" t="n">
        <v>494</v>
      </c>
      <c r="G1304" s="2" t="s">
        <v>26</v>
      </c>
      <c r="H1304" s="2" t="s">
        <v>20</v>
      </c>
      <c r="I1304" s="2" t="s">
        <v>23</v>
      </c>
      <c r="J1304" s="2" t="n">
        <v>26</v>
      </c>
      <c r="K1304" s="2" t="s">
        <v>27</v>
      </c>
      <c r="L1304" s="2" t="n">
        <v>724</v>
      </c>
      <c r="M1304" s="2" t="n">
        <v>1</v>
      </c>
      <c r="N1304" s="2" t="n">
        <v>-1</v>
      </c>
      <c r="O1304" s="2" t="n">
        <v>0</v>
      </c>
      <c r="P1304" s="2" t="s">
        <v>23</v>
      </c>
      <c r="Q1304" s="2" t="s">
        <v>20</v>
      </c>
    </row>
    <row r="1305" customFormat="false" ht="15" hidden="false" customHeight="false" outlineLevel="0" collapsed="false">
      <c r="A1305" s="2" t="n">
        <v>42</v>
      </c>
      <c r="B1305" s="2" t="s">
        <v>29</v>
      </c>
      <c r="C1305" s="2" t="s">
        <v>18</v>
      </c>
      <c r="D1305" s="2" t="s">
        <v>23</v>
      </c>
      <c r="E1305" s="2" t="s">
        <v>20</v>
      </c>
      <c r="F1305" s="2" t="n">
        <v>1519</v>
      </c>
      <c r="G1305" s="2" t="s">
        <v>20</v>
      </c>
      <c r="H1305" s="2" t="s">
        <v>20</v>
      </c>
      <c r="I1305" s="2" t="s">
        <v>21</v>
      </c>
      <c r="J1305" s="2" t="n">
        <v>19</v>
      </c>
      <c r="K1305" s="2" t="s">
        <v>22</v>
      </c>
      <c r="L1305" s="2" t="n">
        <v>230</v>
      </c>
      <c r="M1305" s="2" t="n">
        <v>1</v>
      </c>
      <c r="N1305" s="2" t="n">
        <v>92</v>
      </c>
      <c r="O1305" s="2" t="n">
        <v>1</v>
      </c>
      <c r="P1305" s="2" t="s">
        <v>50</v>
      </c>
      <c r="Q1305" s="2" t="s">
        <v>26</v>
      </c>
    </row>
    <row r="1306" customFormat="false" ht="15" hidden="false" customHeight="false" outlineLevel="0" collapsed="false">
      <c r="A1306" s="2" t="n">
        <v>37</v>
      </c>
      <c r="B1306" s="2" t="s">
        <v>39</v>
      </c>
      <c r="C1306" s="2" t="s">
        <v>18</v>
      </c>
      <c r="D1306" s="2" t="s">
        <v>31</v>
      </c>
      <c r="E1306" s="2" t="s">
        <v>20</v>
      </c>
      <c r="F1306" s="2" t="n">
        <v>2685</v>
      </c>
      <c r="G1306" s="2" t="s">
        <v>20</v>
      </c>
      <c r="H1306" s="2" t="s">
        <v>20</v>
      </c>
      <c r="I1306" s="2" t="s">
        <v>23</v>
      </c>
      <c r="J1306" s="2" t="n">
        <v>20</v>
      </c>
      <c r="K1306" s="2" t="s">
        <v>33</v>
      </c>
      <c r="L1306" s="2" t="n">
        <v>187</v>
      </c>
      <c r="M1306" s="2" t="n">
        <v>2</v>
      </c>
      <c r="N1306" s="2" t="n">
        <v>-1</v>
      </c>
      <c r="O1306" s="2" t="n">
        <v>0</v>
      </c>
      <c r="P1306" s="2" t="s">
        <v>23</v>
      </c>
      <c r="Q1306" s="2" t="s">
        <v>20</v>
      </c>
    </row>
    <row r="1307" customFormat="false" ht="15" hidden="false" customHeight="false" outlineLevel="0" collapsed="false">
      <c r="A1307" s="2" t="n">
        <v>44</v>
      </c>
      <c r="B1307" s="2" t="s">
        <v>34</v>
      </c>
      <c r="C1307" s="2" t="s">
        <v>18</v>
      </c>
      <c r="D1307" s="2" t="s">
        <v>19</v>
      </c>
      <c r="E1307" s="2" t="s">
        <v>20</v>
      </c>
      <c r="F1307" s="2" t="n">
        <v>-14</v>
      </c>
      <c r="G1307" s="2" t="s">
        <v>26</v>
      </c>
      <c r="H1307" s="2" t="s">
        <v>26</v>
      </c>
      <c r="I1307" s="2" t="s">
        <v>23</v>
      </c>
      <c r="J1307" s="2" t="n">
        <v>19</v>
      </c>
      <c r="K1307" s="2" t="s">
        <v>27</v>
      </c>
      <c r="L1307" s="2" t="n">
        <v>179</v>
      </c>
      <c r="M1307" s="2" t="n">
        <v>4</v>
      </c>
      <c r="N1307" s="2" t="n">
        <v>-1</v>
      </c>
      <c r="O1307" s="2" t="n">
        <v>0</v>
      </c>
      <c r="P1307" s="2" t="s">
        <v>23</v>
      </c>
      <c r="Q1307" s="2" t="s">
        <v>20</v>
      </c>
    </row>
    <row r="1308" customFormat="false" ht="15" hidden="false" customHeight="false" outlineLevel="0" collapsed="false">
      <c r="A1308" s="2" t="n">
        <v>49</v>
      </c>
      <c r="B1308" s="2" t="s">
        <v>24</v>
      </c>
      <c r="C1308" s="2" t="s">
        <v>18</v>
      </c>
      <c r="D1308" s="2" t="s">
        <v>25</v>
      </c>
      <c r="E1308" s="2" t="s">
        <v>20</v>
      </c>
      <c r="F1308" s="2" t="n">
        <v>5673</v>
      </c>
      <c r="G1308" s="2" t="s">
        <v>20</v>
      </c>
      <c r="H1308" s="2" t="s">
        <v>26</v>
      </c>
      <c r="I1308" s="2" t="s">
        <v>21</v>
      </c>
      <c r="J1308" s="2" t="n">
        <v>4</v>
      </c>
      <c r="K1308" s="2" t="s">
        <v>41</v>
      </c>
      <c r="L1308" s="2" t="n">
        <v>357</v>
      </c>
      <c r="M1308" s="2" t="n">
        <v>3</v>
      </c>
      <c r="N1308" s="2" t="n">
        <v>-1</v>
      </c>
      <c r="O1308" s="2" t="n">
        <v>0</v>
      </c>
      <c r="P1308" s="2" t="s">
        <v>23</v>
      </c>
      <c r="Q1308" s="2" t="s">
        <v>20</v>
      </c>
    </row>
    <row r="1309" customFormat="false" ht="15" hidden="false" customHeight="false" outlineLevel="0" collapsed="false">
      <c r="A1309" s="2" t="n">
        <v>41</v>
      </c>
      <c r="B1309" s="2" t="s">
        <v>34</v>
      </c>
      <c r="C1309" s="2" t="s">
        <v>18</v>
      </c>
      <c r="D1309" s="2" t="s">
        <v>25</v>
      </c>
      <c r="E1309" s="2" t="s">
        <v>20</v>
      </c>
      <c r="F1309" s="2" t="n">
        <v>1459</v>
      </c>
      <c r="G1309" s="2" t="s">
        <v>20</v>
      </c>
      <c r="H1309" s="2" t="s">
        <v>20</v>
      </c>
      <c r="I1309" s="2" t="s">
        <v>23</v>
      </c>
      <c r="J1309" s="2" t="n">
        <v>5</v>
      </c>
      <c r="K1309" s="2" t="s">
        <v>33</v>
      </c>
      <c r="L1309" s="2" t="n">
        <v>82</v>
      </c>
      <c r="M1309" s="2" t="n">
        <v>1</v>
      </c>
      <c r="N1309" s="2" t="n">
        <v>-1</v>
      </c>
      <c r="O1309" s="2" t="n">
        <v>0</v>
      </c>
      <c r="P1309" s="2" t="s">
        <v>23</v>
      </c>
      <c r="Q1309" s="2" t="s">
        <v>20</v>
      </c>
    </row>
    <row r="1310" customFormat="false" ht="15" hidden="false" customHeight="false" outlineLevel="0" collapsed="false">
      <c r="A1310" s="2" t="n">
        <v>48</v>
      </c>
      <c r="B1310" s="2" t="s">
        <v>38</v>
      </c>
      <c r="C1310" s="2" t="s">
        <v>18</v>
      </c>
      <c r="D1310" s="2" t="s">
        <v>31</v>
      </c>
      <c r="E1310" s="2" t="s">
        <v>20</v>
      </c>
      <c r="F1310" s="2" t="n">
        <v>0</v>
      </c>
      <c r="G1310" s="2" t="s">
        <v>20</v>
      </c>
      <c r="H1310" s="2" t="s">
        <v>20</v>
      </c>
      <c r="I1310" s="2" t="s">
        <v>49</v>
      </c>
      <c r="J1310" s="2" t="n">
        <v>26</v>
      </c>
      <c r="K1310" s="2" t="s">
        <v>41</v>
      </c>
      <c r="L1310" s="2" t="n">
        <v>176</v>
      </c>
      <c r="M1310" s="2" t="n">
        <v>15</v>
      </c>
      <c r="N1310" s="2" t="n">
        <v>-1</v>
      </c>
      <c r="O1310" s="2" t="n">
        <v>0</v>
      </c>
      <c r="P1310" s="2" t="s">
        <v>23</v>
      </c>
      <c r="Q1310" s="2" t="s">
        <v>20</v>
      </c>
    </row>
    <row r="1311" customFormat="false" ht="15" hidden="false" customHeight="false" outlineLevel="0" collapsed="false">
      <c r="A1311" s="2" t="n">
        <v>31</v>
      </c>
      <c r="B1311" s="2" t="s">
        <v>29</v>
      </c>
      <c r="C1311" s="2" t="s">
        <v>18</v>
      </c>
      <c r="D1311" s="2" t="s">
        <v>25</v>
      </c>
      <c r="E1311" s="2" t="s">
        <v>20</v>
      </c>
      <c r="F1311" s="2" t="n">
        <v>625</v>
      </c>
      <c r="G1311" s="2" t="s">
        <v>26</v>
      </c>
      <c r="H1311" s="2" t="s">
        <v>20</v>
      </c>
      <c r="I1311" s="2" t="s">
        <v>21</v>
      </c>
      <c r="J1311" s="2" t="n">
        <v>7</v>
      </c>
      <c r="K1311" s="2" t="s">
        <v>32</v>
      </c>
      <c r="L1311" s="2" t="n">
        <v>424</v>
      </c>
      <c r="M1311" s="2" t="n">
        <v>1</v>
      </c>
      <c r="N1311" s="2" t="n">
        <v>138</v>
      </c>
      <c r="O1311" s="2" t="n">
        <v>1</v>
      </c>
      <c r="P1311" s="2" t="s">
        <v>28</v>
      </c>
      <c r="Q1311" s="2" t="s">
        <v>20</v>
      </c>
    </row>
    <row r="1312" customFormat="false" ht="15" hidden="false" customHeight="false" outlineLevel="0" collapsed="false">
      <c r="A1312" s="2" t="n">
        <v>37</v>
      </c>
      <c r="B1312" s="2" t="s">
        <v>42</v>
      </c>
      <c r="C1312" s="2" t="s">
        <v>18</v>
      </c>
      <c r="D1312" s="2" t="s">
        <v>23</v>
      </c>
      <c r="E1312" s="2" t="s">
        <v>20</v>
      </c>
      <c r="F1312" s="2" t="n">
        <v>0</v>
      </c>
      <c r="G1312" s="2" t="s">
        <v>20</v>
      </c>
      <c r="H1312" s="2" t="s">
        <v>20</v>
      </c>
      <c r="I1312" s="2" t="s">
        <v>23</v>
      </c>
      <c r="J1312" s="2" t="n">
        <v>18</v>
      </c>
      <c r="K1312" s="2" t="s">
        <v>33</v>
      </c>
      <c r="L1312" s="2" t="n">
        <v>115</v>
      </c>
      <c r="M1312" s="2" t="n">
        <v>1</v>
      </c>
      <c r="N1312" s="2" t="n">
        <v>-1</v>
      </c>
      <c r="O1312" s="2" t="n">
        <v>0</v>
      </c>
      <c r="P1312" s="2" t="s">
        <v>23</v>
      </c>
      <c r="Q1312" s="2" t="s">
        <v>20</v>
      </c>
    </row>
    <row r="1313" customFormat="false" ht="15" hidden="false" customHeight="false" outlineLevel="0" collapsed="false">
      <c r="A1313" s="2" t="n">
        <v>51</v>
      </c>
      <c r="B1313" s="2" t="s">
        <v>24</v>
      </c>
      <c r="C1313" s="2" t="s">
        <v>18</v>
      </c>
      <c r="D1313" s="2" t="s">
        <v>25</v>
      </c>
      <c r="E1313" s="2" t="s">
        <v>20</v>
      </c>
      <c r="F1313" s="2" t="n">
        <v>867</v>
      </c>
      <c r="G1313" s="2" t="s">
        <v>26</v>
      </c>
      <c r="H1313" s="2" t="s">
        <v>20</v>
      </c>
      <c r="I1313" s="2" t="s">
        <v>21</v>
      </c>
      <c r="J1313" s="2" t="n">
        <v>3</v>
      </c>
      <c r="K1313" s="2" t="s">
        <v>35</v>
      </c>
      <c r="L1313" s="2" t="n">
        <v>177</v>
      </c>
      <c r="M1313" s="2" t="n">
        <v>2</v>
      </c>
      <c r="N1313" s="2" t="n">
        <v>211</v>
      </c>
      <c r="O1313" s="2" t="n">
        <v>3</v>
      </c>
      <c r="P1313" s="2" t="s">
        <v>28</v>
      </c>
      <c r="Q1313" s="2" t="s">
        <v>20</v>
      </c>
    </row>
    <row r="1314" customFormat="false" ht="15" hidden="false" customHeight="false" outlineLevel="0" collapsed="false">
      <c r="A1314" s="2" t="n">
        <v>80</v>
      </c>
      <c r="B1314" s="2" t="s">
        <v>48</v>
      </c>
      <c r="C1314" s="2" t="s">
        <v>18</v>
      </c>
      <c r="D1314" s="2" t="s">
        <v>25</v>
      </c>
      <c r="E1314" s="2" t="s">
        <v>20</v>
      </c>
      <c r="F1314" s="2" t="n">
        <v>8304</v>
      </c>
      <c r="G1314" s="2" t="s">
        <v>20</v>
      </c>
      <c r="H1314" s="2" t="s">
        <v>20</v>
      </c>
      <c r="I1314" s="2" t="s">
        <v>49</v>
      </c>
      <c r="J1314" s="2" t="n">
        <v>9</v>
      </c>
      <c r="K1314" s="2" t="s">
        <v>33</v>
      </c>
      <c r="L1314" s="2" t="n">
        <v>712</v>
      </c>
      <c r="M1314" s="2" t="n">
        <v>1</v>
      </c>
      <c r="N1314" s="2" t="n">
        <v>64</v>
      </c>
      <c r="O1314" s="2" t="n">
        <v>12</v>
      </c>
      <c r="P1314" s="2" t="s">
        <v>28</v>
      </c>
      <c r="Q1314" s="2" t="s">
        <v>26</v>
      </c>
    </row>
    <row r="1315" customFormat="false" ht="15" hidden="false" customHeight="false" outlineLevel="0" collapsed="false">
      <c r="A1315" s="2" t="n">
        <v>32</v>
      </c>
      <c r="B1315" s="2" t="s">
        <v>29</v>
      </c>
      <c r="C1315" s="2" t="s">
        <v>30</v>
      </c>
      <c r="D1315" s="2" t="s">
        <v>31</v>
      </c>
      <c r="E1315" s="2" t="s">
        <v>20</v>
      </c>
      <c r="F1315" s="2" t="n">
        <v>151</v>
      </c>
      <c r="G1315" s="2" t="s">
        <v>26</v>
      </c>
      <c r="H1315" s="2" t="s">
        <v>20</v>
      </c>
      <c r="I1315" s="2" t="s">
        <v>23</v>
      </c>
      <c r="J1315" s="2" t="n">
        <v>6</v>
      </c>
      <c r="K1315" s="2" t="s">
        <v>27</v>
      </c>
      <c r="L1315" s="2" t="n">
        <v>118</v>
      </c>
      <c r="M1315" s="2" t="n">
        <v>1</v>
      </c>
      <c r="N1315" s="2" t="n">
        <v>-1</v>
      </c>
      <c r="O1315" s="2" t="n">
        <v>0</v>
      </c>
      <c r="P1315" s="2" t="s">
        <v>23</v>
      </c>
      <c r="Q1315" s="2" t="s">
        <v>20</v>
      </c>
    </row>
    <row r="1316" customFormat="false" ht="15" hidden="false" customHeight="false" outlineLevel="0" collapsed="false">
      <c r="A1316" s="2" t="n">
        <v>48</v>
      </c>
      <c r="B1316" s="2" t="s">
        <v>24</v>
      </c>
      <c r="C1316" s="2" t="s">
        <v>18</v>
      </c>
      <c r="D1316" s="2" t="s">
        <v>19</v>
      </c>
      <c r="E1316" s="2" t="s">
        <v>26</v>
      </c>
      <c r="F1316" s="2" t="n">
        <v>-583</v>
      </c>
      <c r="G1316" s="2" t="s">
        <v>26</v>
      </c>
      <c r="H1316" s="2" t="s">
        <v>20</v>
      </c>
      <c r="I1316" s="2" t="s">
        <v>23</v>
      </c>
      <c r="J1316" s="2" t="n">
        <v>2</v>
      </c>
      <c r="K1316" s="2" t="s">
        <v>33</v>
      </c>
      <c r="L1316" s="2" t="n">
        <v>25</v>
      </c>
      <c r="M1316" s="2" t="n">
        <v>7</v>
      </c>
      <c r="N1316" s="2" t="n">
        <v>-1</v>
      </c>
      <c r="O1316" s="2" t="n">
        <v>0</v>
      </c>
      <c r="P1316" s="2" t="s">
        <v>23</v>
      </c>
      <c r="Q1316" s="2" t="s">
        <v>20</v>
      </c>
    </row>
    <row r="1317" customFormat="false" ht="15" hidden="false" customHeight="false" outlineLevel="0" collapsed="false">
      <c r="A1317" s="2" t="n">
        <v>49</v>
      </c>
      <c r="B1317" s="2" t="s">
        <v>34</v>
      </c>
      <c r="C1317" s="2" t="s">
        <v>18</v>
      </c>
      <c r="D1317" s="2" t="s">
        <v>31</v>
      </c>
      <c r="E1317" s="2" t="s">
        <v>20</v>
      </c>
      <c r="F1317" s="2" t="n">
        <v>1784</v>
      </c>
      <c r="G1317" s="2" t="s">
        <v>20</v>
      </c>
      <c r="H1317" s="2" t="s">
        <v>20</v>
      </c>
      <c r="I1317" s="2" t="s">
        <v>23</v>
      </c>
      <c r="J1317" s="2" t="n">
        <v>12</v>
      </c>
      <c r="K1317" s="2" t="s">
        <v>33</v>
      </c>
      <c r="L1317" s="2" t="n">
        <v>753</v>
      </c>
      <c r="M1317" s="2" t="n">
        <v>1</v>
      </c>
      <c r="N1317" s="2" t="n">
        <v>-1</v>
      </c>
      <c r="O1317" s="2" t="n">
        <v>0</v>
      </c>
      <c r="P1317" s="2" t="s">
        <v>23</v>
      </c>
      <c r="Q1317" s="2" t="s">
        <v>20</v>
      </c>
    </row>
    <row r="1318" customFormat="false" ht="15" hidden="false" customHeight="false" outlineLevel="0" collapsed="false">
      <c r="A1318" s="2" t="n">
        <v>30</v>
      </c>
      <c r="B1318" s="2" t="s">
        <v>29</v>
      </c>
      <c r="C1318" s="2" t="s">
        <v>18</v>
      </c>
      <c r="D1318" s="2" t="s">
        <v>31</v>
      </c>
      <c r="E1318" s="2" t="s">
        <v>20</v>
      </c>
      <c r="F1318" s="2" t="n">
        <v>3134</v>
      </c>
      <c r="G1318" s="2" t="s">
        <v>26</v>
      </c>
      <c r="H1318" s="2" t="s">
        <v>20</v>
      </c>
      <c r="I1318" s="2" t="s">
        <v>21</v>
      </c>
      <c r="J1318" s="2" t="n">
        <v>17</v>
      </c>
      <c r="K1318" s="2" t="s">
        <v>44</v>
      </c>
      <c r="L1318" s="2" t="n">
        <v>124</v>
      </c>
      <c r="M1318" s="2" t="n">
        <v>1</v>
      </c>
      <c r="N1318" s="2" t="n">
        <v>-1</v>
      </c>
      <c r="O1318" s="2" t="n">
        <v>0</v>
      </c>
      <c r="P1318" s="2" t="s">
        <v>23</v>
      </c>
      <c r="Q1318" s="2" t="s">
        <v>20</v>
      </c>
    </row>
    <row r="1319" customFormat="false" ht="15" hidden="false" customHeight="false" outlineLevel="0" collapsed="false">
      <c r="A1319" s="2" t="n">
        <v>27</v>
      </c>
      <c r="B1319" s="2" t="s">
        <v>36</v>
      </c>
      <c r="C1319" s="2" t="s">
        <v>30</v>
      </c>
      <c r="D1319" s="2" t="s">
        <v>25</v>
      </c>
      <c r="E1319" s="2" t="s">
        <v>20</v>
      </c>
      <c r="F1319" s="2" t="n">
        <v>49</v>
      </c>
      <c r="G1319" s="2" t="s">
        <v>26</v>
      </c>
      <c r="H1319" s="2" t="s">
        <v>20</v>
      </c>
      <c r="I1319" s="2" t="s">
        <v>21</v>
      </c>
      <c r="J1319" s="2" t="n">
        <v>30</v>
      </c>
      <c r="K1319" s="2" t="s">
        <v>43</v>
      </c>
      <c r="L1319" s="2" t="n">
        <v>208</v>
      </c>
      <c r="M1319" s="2" t="n">
        <v>2</v>
      </c>
      <c r="N1319" s="2" t="n">
        <v>-1</v>
      </c>
      <c r="O1319" s="2" t="n">
        <v>0</v>
      </c>
      <c r="P1319" s="2" t="s">
        <v>23</v>
      </c>
      <c r="Q1319" s="2" t="s">
        <v>20</v>
      </c>
    </row>
    <row r="1320" customFormat="false" ht="15" hidden="false" customHeight="false" outlineLevel="0" collapsed="false">
      <c r="A1320" s="2" t="n">
        <v>34</v>
      </c>
      <c r="B1320" s="2" t="s">
        <v>38</v>
      </c>
      <c r="C1320" s="2" t="s">
        <v>18</v>
      </c>
      <c r="D1320" s="2" t="s">
        <v>25</v>
      </c>
      <c r="E1320" s="2" t="s">
        <v>20</v>
      </c>
      <c r="F1320" s="2" t="n">
        <v>-346</v>
      </c>
      <c r="G1320" s="2" t="s">
        <v>20</v>
      </c>
      <c r="H1320" s="2" t="s">
        <v>20</v>
      </c>
      <c r="I1320" s="2" t="s">
        <v>21</v>
      </c>
      <c r="J1320" s="2" t="n">
        <v>13</v>
      </c>
      <c r="K1320" s="2" t="s">
        <v>41</v>
      </c>
      <c r="L1320" s="2" t="n">
        <v>136</v>
      </c>
      <c r="M1320" s="2" t="n">
        <v>4</v>
      </c>
      <c r="N1320" s="2" t="n">
        <v>-1</v>
      </c>
      <c r="O1320" s="2" t="n">
        <v>0</v>
      </c>
      <c r="P1320" s="2" t="s">
        <v>23</v>
      </c>
      <c r="Q1320" s="2" t="s">
        <v>20</v>
      </c>
    </row>
    <row r="1321" customFormat="false" ht="15" hidden="false" customHeight="false" outlineLevel="0" collapsed="false">
      <c r="A1321" s="2" t="n">
        <v>49</v>
      </c>
      <c r="B1321" s="2" t="s">
        <v>29</v>
      </c>
      <c r="C1321" s="2" t="s">
        <v>18</v>
      </c>
      <c r="D1321" s="2" t="s">
        <v>25</v>
      </c>
      <c r="E1321" s="2" t="s">
        <v>20</v>
      </c>
      <c r="F1321" s="2" t="n">
        <v>1623</v>
      </c>
      <c r="G1321" s="2" t="s">
        <v>26</v>
      </c>
      <c r="H1321" s="2" t="s">
        <v>20</v>
      </c>
      <c r="I1321" s="2" t="s">
        <v>21</v>
      </c>
      <c r="J1321" s="2" t="n">
        <v>19</v>
      </c>
      <c r="K1321" s="2" t="s">
        <v>46</v>
      </c>
      <c r="L1321" s="2" t="n">
        <v>1081</v>
      </c>
      <c r="M1321" s="2" t="n">
        <v>2</v>
      </c>
      <c r="N1321" s="2" t="n">
        <v>-1</v>
      </c>
      <c r="O1321" s="2" t="n">
        <v>0</v>
      </c>
      <c r="P1321" s="2" t="s">
        <v>23</v>
      </c>
      <c r="Q1321" s="2" t="s">
        <v>26</v>
      </c>
    </row>
    <row r="1322" customFormat="false" ht="15" hidden="false" customHeight="false" outlineLevel="0" collapsed="false">
      <c r="A1322" s="2" t="n">
        <v>48</v>
      </c>
      <c r="B1322" s="2" t="s">
        <v>29</v>
      </c>
      <c r="C1322" s="2" t="s">
        <v>18</v>
      </c>
      <c r="D1322" s="2" t="s">
        <v>31</v>
      </c>
      <c r="E1322" s="2" t="s">
        <v>20</v>
      </c>
      <c r="F1322" s="2" t="n">
        <v>60</v>
      </c>
      <c r="G1322" s="2" t="s">
        <v>20</v>
      </c>
      <c r="H1322" s="2" t="s">
        <v>20</v>
      </c>
      <c r="I1322" s="2" t="s">
        <v>49</v>
      </c>
      <c r="J1322" s="2" t="n">
        <v>7</v>
      </c>
      <c r="K1322" s="2" t="s">
        <v>27</v>
      </c>
      <c r="L1322" s="2" t="n">
        <v>376</v>
      </c>
      <c r="M1322" s="2" t="n">
        <v>2</v>
      </c>
      <c r="N1322" s="2" t="n">
        <v>339</v>
      </c>
      <c r="O1322" s="2" t="n">
        <v>7</v>
      </c>
      <c r="P1322" s="2" t="s">
        <v>28</v>
      </c>
      <c r="Q1322" s="2" t="s">
        <v>20</v>
      </c>
    </row>
    <row r="1323" customFormat="false" ht="15" hidden="false" customHeight="false" outlineLevel="0" collapsed="false">
      <c r="A1323" s="2" t="n">
        <v>40</v>
      </c>
      <c r="B1323" s="2" t="s">
        <v>24</v>
      </c>
      <c r="C1323" s="2" t="s">
        <v>18</v>
      </c>
      <c r="D1323" s="2" t="s">
        <v>25</v>
      </c>
      <c r="E1323" s="2" t="s">
        <v>20</v>
      </c>
      <c r="F1323" s="2" t="n">
        <v>17</v>
      </c>
      <c r="G1323" s="2" t="s">
        <v>20</v>
      </c>
      <c r="H1323" s="2" t="s">
        <v>20</v>
      </c>
      <c r="I1323" s="2" t="s">
        <v>21</v>
      </c>
      <c r="J1323" s="2" t="n">
        <v>4</v>
      </c>
      <c r="K1323" s="2" t="s">
        <v>33</v>
      </c>
      <c r="L1323" s="2" t="n">
        <v>78</v>
      </c>
      <c r="M1323" s="2" t="n">
        <v>1</v>
      </c>
      <c r="N1323" s="2" t="n">
        <v>-1</v>
      </c>
      <c r="O1323" s="2" t="n">
        <v>0</v>
      </c>
      <c r="P1323" s="2" t="s">
        <v>23</v>
      </c>
      <c r="Q1323" s="2" t="s">
        <v>20</v>
      </c>
    </row>
    <row r="1324" customFormat="false" ht="15" hidden="false" customHeight="false" outlineLevel="0" collapsed="false">
      <c r="A1324" s="2" t="n">
        <v>38</v>
      </c>
      <c r="B1324" s="2" t="s">
        <v>34</v>
      </c>
      <c r="C1324" s="2" t="s">
        <v>18</v>
      </c>
      <c r="D1324" s="2" t="s">
        <v>25</v>
      </c>
      <c r="E1324" s="2" t="s">
        <v>20</v>
      </c>
      <c r="F1324" s="2" t="n">
        <v>2008</v>
      </c>
      <c r="G1324" s="2" t="s">
        <v>26</v>
      </c>
      <c r="H1324" s="2" t="s">
        <v>20</v>
      </c>
      <c r="I1324" s="2" t="s">
        <v>21</v>
      </c>
      <c r="J1324" s="2" t="n">
        <v>18</v>
      </c>
      <c r="K1324" s="2" t="s">
        <v>46</v>
      </c>
      <c r="L1324" s="2" t="n">
        <v>354</v>
      </c>
      <c r="M1324" s="2" t="n">
        <v>1</v>
      </c>
      <c r="N1324" s="2" t="n">
        <v>-1</v>
      </c>
      <c r="O1324" s="2" t="n">
        <v>0</v>
      </c>
      <c r="P1324" s="2" t="s">
        <v>23</v>
      </c>
      <c r="Q1324" s="2" t="s">
        <v>20</v>
      </c>
    </row>
    <row r="1325" customFormat="false" ht="15" hidden="false" customHeight="false" outlineLevel="0" collapsed="false">
      <c r="A1325" s="2" t="n">
        <v>46</v>
      </c>
      <c r="B1325" s="2" t="s">
        <v>34</v>
      </c>
      <c r="C1325" s="2" t="s">
        <v>18</v>
      </c>
      <c r="D1325" s="2" t="s">
        <v>19</v>
      </c>
      <c r="E1325" s="2" t="s">
        <v>20</v>
      </c>
      <c r="F1325" s="2" t="n">
        <v>91</v>
      </c>
      <c r="G1325" s="2" t="s">
        <v>26</v>
      </c>
      <c r="H1325" s="2" t="s">
        <v>20</v>
      </c>
      <c r="I1325" s="2" t="s">
        <v>21</v>
      </c>
      <c r="J1325" s="2" t="n">
        <v>6</v>
      </c>
      <c r="K1325" s="2" t="s">
        <v>27</v>
      </c>
      <c r="L1325" s="2" t="n">
        <v>29</v>
      </c>
      <c r="M1325" s="2" t="n">
        <v>1</v>
      </c>
      <c r="N1325" s="2" t="n">
        <v>356</v>
      </c>
      <c r="O1325" s="2" t="n">
        <v>2</v>
      </c>
      <c r="P1325" s="2" t="s">
        <v>28</v>
      </c>
      <c r="Q1325" s="2" t="s">
        <v>20</v>
      </c>
    </row>
    <row r="1326" customFormat="false" ht="15" hidden="false" customHeight="false" outlineLevel="0" collapsed="false">
      <c r="A1326" s="2" t="n">
        <v>41</v>
      </c>
      <c r="B1326" s="2" t="s">
        <v>39</v>
      </c>
      <c r="C1326" s="2" t="s">
        <v>18</v>
      </c>
      <c r="D1326" s="2" t="s">
        <v>31</v>
      </c>
      <c r="E1326" s="2" t="s">
        <v>20</v>
      </c>
      <c r="F1326" s="2" t="n">
        <v>171</v>
      </c>
      <c r="G1326" s="2" t="s">
        <v>26</v>
      </c>
      <c r="H1326" s="2" t="s">
        <v>20</v>
      </c>
      <c r="I1326" s="2" t="s">
        <v>21</v>
      </c>
      <c r="J1326" s="2" t="n">
        <v>19</v>
      </c>
      <c r="K1326" s="2" t="s">
        <v>46</v>
      </c>
      <c r="L1326" s="2" t="n">
        <v>209</v>
      </c>
      <c r="M1326" s="2" t="n">
        <v>1</v>
      </c>
      <c r="N1326" s="2" t="n">
        <v>191</v>
      </c>
      <c r="O1326" s="2" t="n">
        <v>4</v>
      </c>
      <c r="P1326" s="2" t="s">
        <v>28</v>
      </c>
      <c r="Q1326" s="2" t="s">
        <v>20</v>
      </c>
    </row>
    <row r="1327" customFormat="false" ht="15" hidden="false" customHeight="false" outlineLevel="0" collapsed="false">
      <c r="A1327" s="2" t="n">
        <v>28</v>
      </c>
      <c r="B1327" s="2" t="s">
        <v>29</v>
      </c>
      <c r="C1327" s="2" t="s">
        <v>30</v>
      </c>
      <c r="D1327" s="2" t="s">
        <v>31</v>
      </c>
      <c r="E1327" s="2" t="s">
        <v>20</v>
      </c>
      <c r="F1327" s="2" t="n">
        <v>1027</v>
      </c>
      <c r="G1327" s="2" t="s">
        <v>26</v>
      </c>
      <c r="H1327" s="2" t="s">
        <v>20</v>
      </c>
      <c r="I1327" s="2" t="s">
        <v>21</v>
      </c>
      <c r="J1327" s="2" t="n">
        <v>14</v>
      </c>
      <c r="K1327" s="2" t="s">
        <v>27</v>
      </c>
      <c r="L1327" s="2" t="n">
        <v>433</v>
      </c>
      <c r="M1327" s="2" t="n">
        <v>1</v>
      </c>
      <c r="N1327" s="2" t="n">
        <v>-1</v>
      </c>
      <c r="O1327" s="2" t="n">
        <v>0</v>
      </c>
      <c r="P1327" s="2" t="s">
        <v>23</v>
      </c>
      <c r="Q1327" s="2" t="s">
        <v>20</v>
      </c>
    </row>
    <row r="1328" customFormat="false" ht="15" hidden="false" customHeight="false" outlineLevel="0" collapsed="false">
      <c r="A1328" s="2" t="n">
        <v>51</v>
      </c>
      <c r="B1328" s="2" t="s">
        <v>24</v>
      </c>
      <c r="C1328" s="2" t="s">
        <v>18</v>
      </c>
      <c r="D1328" s="2" t="s">
        <v>23</v>
      </c>
      <c r="E1328" s="2" t="s">
        <v>20</v>
      </c>
      <c r="F1328" s="2" t="n">
        <v>5801</v>
      </c>
      <c r="G1328" s="2" t="s">
        <v>26</v>
      </c>
      <c r="H1328" s="2" t="s">
        <v>20</v>
      </c>
      <c r="I1328" s="2" t="s">
        <v>23</v>
      </c>
      <c r="J1328" s="2" t="n">
        <v>29</v>
      </c>
      <c r="K1328" s="2" t="s">
        <v>27</v>
      </c>
      <c r="L1328" s="2" t="n">
        <v>147</v>
      </c>
      <c r="M1328" s="2" t="n">
        <v>2</v>
      </c>
      <c r="N1328" s="2" t="n">
        <v>-1</v>
      </c>
      <c r="O1328" s="2" t="n">
        <v>0</v>
      </c>
      <c r="P1328" s="2" t="s">
        <v>23</v>
      </c>
      <c r="Q1328" s="2" t="s">
        <v>20</v>
      </c>
    </row>
    <row r="1329" customFormat="false" ht="15" hidden="false" customHeight="false" outlineLevel="0" collapsed="false">
      <c r="A1329" s="2" t="n">
        <v>33</v>
      </c>
      <c r="B1329" s="2" t="s">
        <v>34</v>
      </c>
      <c r="C1329" s="2" t="s">
        <v>45</v>
      </c>
      <c r="D1329" s="2" t="s">
        <v>19</v>
      </c>
      <c r="E1329" s="2" t="s">
        <v>20</v>
      </c>
      <c r="F1329" s="2" t="n">
        <v>142</v>
      </c>
      <c r="G1329" s="2" t="s">
        <v>26</v>
      </c>
      <c r="H1329" s="2" t="s">
        <v>20</v>
      </c>
      <c r="I1329" s="2" t="s">
        <v>49</v>
      </c>
      <c r="J1329" s="2" t="n">
        <v>11</v>
      </c>
      <c r="K1329" s="2" t="s">
        <v>27</v>
      </c>
      <c r="L1329" s="2" t="n">
        <v>41</v>
      </c>
      <c r="M1329" s="2" t="n">
        <v>2</v>
      </c>
      <c r="N1329" s="2" t="n">
        <v>300</v>
      </c>
      <c r="O1329" s="2" t="n">
        <v>5</v>
      </c>
      <c r="P1329" s="2" t="s">
        <v>28</v>
      </c>
      <c r="Q1329" s="2" t="s">
        <v>20</v>
      </c>
    </row>
    <row r="1330" customFormat="false" ht="15" hidden="false" customHeight="false" outlineLevel="0" collapsed="false">
      <c r="A1330" s="2" t="n">
        <v>26</v>
      </c>
      <c r="B1330" s="2" t="s">
        <v>29</v>
      </c>
      <c r="C1330" s="2" t="s">
        <v>30</v>
      </c>
      <c r="D1330" s="2" t="s">
        <v>31</v>
      </c>
      <c r="E1330" s="2" t="s">
        <v>20</v>
      </c>
      <c r="F1330" s="2" t="n">
        <v>205</v>
      </c>
      <c r="G1330" s="2" t="s">
        <v>20</v>
      </c>
      <c r="H1330" s="2" t="s">
        <v>20</v>
      </c>
      <c r="I1330" s="2" t="s">
        <v>23</v>
      </c>
      <c r="J1330" s="2" t="n">
        <v>26</v>
      </c>
      <c r="K1330" s="2" t="s">
        <v>27</v>
      </c>
      <c r="L1330" s="2" t="n">
        <v>111</v>
      </c>
      <c r="M1330" s="2" t="n">
        <v>1</v>
      </c>
      <c r="N1330" s="2" t="n">
        <v>-1</v>
      </c>
      <c r="O1330" s="2" t="n">
        <v>0</v>
      </c>
      <c r="P1330" s="2" t="s">
        <v>23</v>
      </c>
      <c r="Q1330" s="2" t="s">
        <v>20</v>
      </c>
    </row>
    <row r="1331" customFormat="false" ht="15" hidden="false" customHeight="false" outlineLevel="0" collapsed="false">
      <c r="A1331" s="2" t="n">
        <v>34</v>
      </c>
      <c r="B1331" s="2" t="s">
        <v>40</v>
      </c>
      <c r="C1331" s="2" t="s">
        <v>30</v>
      </c>
      <c r="D1331" s="2" t="s">
        <v>25</v>
      </c>
      <c r="E1331" s="2" t="s">
        <v>20</v>
      </c>
      <c r="F1331" s="2" t="n">
        <v>852</v>
      </c>
      <c r="G1331" s="2" t="s">
        <v>20</v>
      </c>
      <c r="H1331" s="2" t="s">
        <v>20</v>
      </c>
      <c r="I1331" s="2" t="s">
        <v>21</v>
      </c>
      <c r="J1331" s="2" t="n">
        <v>14</v>
      </c>
      <c r="K1331" s="2" t="s">
        <v>32</v>
      </c>
      <c r="L1331" s="2" t="n">
        <v>108</v>
      </c>
      <c r="M1331" s="2" t="n">
        <v>2</v>
      </c>
      <c r="N1331" s="2" t="n">
        <v>-1</v>
      </c>
      <c r="O1331" s="2" t="n">
        <v>0</v>
      </c>
      <c r="P1331" s="2" t="s">
        <v>23</v>
      </c>
      <c r="Q1331" s="2" t="s">
        <v>20</v>
      </c>
    </row>
    <row r="1332" customFormat="false" ht="15" hidden="false" customHeight="false" outlineLevel="0" collapsed="false">
      <c r="A1332" s="2" t="n">
        <v>27</v>
      </c>
      <c r="B1332" s="2" t="s">
        <v>34</v>
      </c>
      <c r="C1332" s="2" t="s">
        <v>18</v>
      </c>
      <c r="D1332" s="2" t="s">
        <v>25</v>
      </c>
      <c r="E1332" s="2" t="s">
        <v>26</v>
      </c>
      <c r="F1332" s="2" t="n">
        <v>-584</v>
      </c>
      <c r="G1332" s="2" t="s">
        <v>26</v>
      </c>
      <c r="H1332" s="2" t="s">
        <v>20</v>
      </c>
      <c r="I1332" s="2" t="s">
        <v>21</v>
      </c>
      <c r="J1332" s="2" t="n">
        <v>7</v>
      </c>
      <c r="K1332" s="2" t="s">
        <v>27</v>
      </c>
      <c r="L1332" s="2" t="n">
        <v>411</v>
      </c>
      <c r="M1332" s="2" t="n">
        <v>2</v>
      </c>
      <c r="N1332" s="2" t="n">
        <v>-1</v>
      </c>
      <c r="O1332" s="2" t="n">
        <v>0</v>
      </c>
      <c r="P1332" s="2" t="s">
        <v>23</v>
      </c>
      <c r="Q1332" s="2" t="s">
        <v>20</v>
      </c>
    </row>
    <row r="1333" customFormat="false" ht="15" hidden="false" customHeight="false" outlineLevel="0" collapsed="false">
      <c r="A1333" s="2" t="n">
        <v>42</v>
      </c>
      <c r="B1333" s="2" t="s">
        <v>36</v>
      </c>
      <c r="C1333" s="2" t="s">
        <v>18</v>
      </c>
      <c r="D1333" s="2" t="s">
        <v>25</v>
      </c>
      <c r="E1333" s="2" t="s">
        <v>20</v>
      </c>
      <c r="F1333" s="2" t="n">
        <v>97</v>
      </c>
      <c r="G1333" s="2" t="s">
        <v>20</v>
      </c>
      <c r="H1333" s="2" t="s">
        <v>20</v>
      </c>
      <c r="I1333" s="2" t="s">
        <v>21</v>
      </c>
      <c r="J1333" s="2" t="n">
        <v>10</v>
      </c>
      <c r="K1333" s="2" t="s">
        <v>44</v>
      </c>
      <c r="L1333" s="2" t="n">
        <v>108</v>
      </c>
      <c r="M1333" s="2" t="n">
        <v>2</v>
      </c>
      <c r="N1333" s="2" t="n">
        <v>-1</v>
      </c>
      <c r="O1333" s="2" t="n">
        <v>0</v>
      </c>
      <c r="P1333" s="2" t="s">
        <v>23</v>
      </c>
      <c r="Q1333" s="2" t="s">
        <v>20</v>
      </c>
    </row>
    <row r="1334" customFormat="false" ht="15" hidden="false" customHeight="false" outlineLevel="0" collapsed="false">
      <c r="A1334" s="2" t="n">
        <v>45</v>
      </c>
      <c r="B1334" s="2" t="s">
        <v>40</v>
      </c>
      <c r="C1334" s="2" t="s">
        <v>18</v>
      </c>
      <c r="D1334" s="2" t="s">
        <v>25</v>
      </c>
      <c r="E1334" s="2" t="s">
        <v>20</v>
      </c>
      <c r="F1334" s="2" t="n">
        <v>204</v>
      </c>
      <c r="G1334" s="2" t="s">
        <v>26</v>
      </c>
      <c r="H1334" s="2" t="s">
        <v>20</v>
      </c>
      <c r="I1334" s="2" t="s">
        <v>21</v>
      </c>
      <c r="J1334" s="2" t="n">
        <v>3</v>
      </c>
      <c r="K1334" s="2" t="s">
        <v>33</v>
      </c>
      <c r="L1334" s="2" t="n">
        <v>224</v>
      </c>
      <c r="M1334" s="2" t="n">
        <v>2</v>
      </c>
      <c r="N1334" s="2" t="n">
        <v>-1</v>
      </c>
      <c r="O1334" s="2" t="n">
        <v>0</v>
      </c>
      <c r="P1334" s="2" t="s">
        <v>23</v>
      </c>
      <c r="Q1334" s="2" t="s">
        <v>26</v>
      </c>
    </row>
    <row r="1335" customFormat="false" ht="15" hidden="false" customHeight="false" outlineLevel="0" collapsed="false">
      <c r="A1335" s="2" t="n">
        <v>31</v>
      </c>
      <c r="B1335" s="2" t="s">
        <v>38</v>
      </c>
      <c r="C1335" s="2" t="s">
        <v>30</v>
      </c>
      <c r="D1335" s="2" t="s">
        <v>25</v>
      </c>
      <c r="E1335" s="2" t="s">
        <v>20</v>
      </c>
      <c r="F1335" s="2" t="n">
        <v>628</v>
      </c>
      <c r="G1335" s="2" t="s">
        <v>26</v>
      </c>
      <c r="H1335" s="2" t="s">
        <v>20</v>
      </c>
      <c r="I1335" s="2" t="s">
        <v>23</v>
      </c>
      <c r="J1335" s="2" t="n">
        <v>12</v>
      </c>
      <c r="K1335" s="2" t="s">
        <v>27</v>
      </c>
      <c r="L1335" s="2" t="n">
        <v>1083</v>
      </c>
      <c r="M1335" s="2" t="n">
        <v>2</v>
      </c>
      <c r="N1335" s="2" t="n">
        <v>-1</v>
      </c>
      <c r="O1335" s="2" t="n">
        <v>0</v>
      </c>
      <c r="P1335" s="2" t="s">
        <v>23</v>
      </c>
      <c r="Q1335" s="2" t="s">
        <v>20</v>
      </c>
    </row>
    <row r="1336" customFormat="false" ht="15" hidden="false" customHeight="false" outlineLevel="0" collapsed="false">
      <c r="A1336" s="2" t="n">
        <v>32</v>
      </c>
      <c r="B1336" s="2" t="s">
        <v>29</v>
      </c>
      <c r="C1336" s="2" t="s">
        <v>30</v>
      </c>
      <c r="D1336" s="2" t="s">
        <v>31</v>
      </c>
      <c r="E1336" s="2" t="s">
        <v>20</v>
      </c>
      <c r="F1336" s="2" t="n">
        <v>311</v>
      </c>
      <c r="G1336" s="2" t="s">
        <v>20</v>
      </c>
      <c r="H1336" s="2" t="s">
        <v>20</v>
      </c>
      <c r="I1336" s="2" t="s">
        <v>23</v>
      </c>
      <c r="J1336" s="2" t="n">
        <v>12</v>
      </c>
      <c r="K1336" s="2" t="s">
        <v>27</v>
      </c>
      <c r="L1336" s="2" t="n">
        <v>757</v>
      </c>
      <c r="M1336" s="2" t="n">
        <v>2</v>
      </c>
      <c r="N1336" s="2" t="n">
        <v>-1</v>
      </c>
      <c r="O1336" s="2" t="n">
        <v>0</v>
      </c>
      <c r="P1336" s="2" t="s">
        <v>23</v>
      </c>
      <c r="Q1336" s="2" t="s">
        <v>26</v>
      </c>
    </row>
    <row r="1337" customFormat="false" ht="15" hidden="false" customHeight="false" outlineLevel="0" collapsed="false">
      <c r="A1337" s="2" t="n">
        <v>39</v>
      </c>
      <c r="B1337" s="2" t="s">
        <v>34</v>
      </c>
      <c r="C1337" s="2" t="s">
        <v>18</v>
      </c>
      <c r="D1337" s="2" t="s">
        <v>19</v>
      </c>
      <c r="E1337" s="2" t="s">
        <v>20</v>
      </c>
      <c r="F1337" s="2" t="n">
        <v>1564</v>
      </c>
      <c r="G1337" s="2" t="s">
        <v>20</v>
      </c>
      <c r="H1337" s="2" t="s">
        <v>20</v>
      </c>
      <c r="I1337" s="2" t="s">
        <v>23</v>
      </c>
      <c r="J1337" s="2" t="n">
        <v>17</v>
      </c>
      <c r="K1337" s="2" t="s">
        <v>33</v>
      </c>
      <c r="L1337" s="2" t="n">
        <v>57</v>
      </c>
      <c r="M1337" s="2" t="n">
        <v>1</v>
      </c>
      <c r="N1337" s="2" t="n">
        <v>-1</v>
      </c>
      <c r="O1337" s="2" t="n">
        <v>0</v>
      </c>
      <c r="P1337" s="2" t="s">
        <v>23</v>
      </c>
      <c r="Q1337" s="2" t="s">
        <v>20</v>
      </c>
    </row>
    <row r="1338" customFormat="false" ht="15" hidden="false" customHeight="false" outlineLevel="0" collapsed="false">
      <c r="A1338" s="2" t="n">
        <v>26</v>
      </c>
      <c r="B1338" s="2" t="s">
        <v>34</v>
      </c>
      <c r="C1338" s="2" t="s">
        <v>30</v>
      </c>
      <c r="D1338" s="2" t="s">
        <v>25</v>
      </c>
      <c r="E1338" s="2" t="s">
        <v>20</v>
      </c>
      <c r="F1338" s="2" t="n">
        <v>856</v>
      </c>
      <c r="G1338" s="2" t="s">
        <v>26</v>
      </c>
      <c r="H1338" s="2" t="s">
        <v>26</v>
      </c>
      <c r="I1338" s="2" t="s">
        <v>21</v>
      </c>
      <c r="J1338" s="2" t="n">
        <v>30</v>
      </c>
      <c r="K1338" s="2" t="s">
        <v>44</v>
      </c>
      <c r="L1338" s="2" t="n">
        <v>95</v>
      </c>
      <c r="M1338" s="2" t="n">
        <v>5</v>
      </c>
      <c r="N1338" s="2" t="n">
        <v>-1</v>
      </c>
      <c r="O1338" s="2" t="n">
        <v>0</v>
      </c>
      <c r="P1338" s="2" t="s">
        <v>23</v>
      </c>
      <c r="Q1338" s="2" t="s">
        <v>20</v>
      </c>
    </row>
    <row r="1339" customFormat="false" ht="15" hidden="false" customHeight="false" outlineLevel="0" collapsed="false">
      <c r="A1339" s="2" t="n">
        <v>40</v>
      </c>
      <c r="B1339" s="2" t="s">
        <v>29</v>
      </c>
      <c r="C1339" s="2" t="s">
        <v>30</v>
      </c>
      <c r="D1339" s="2" t="s">
        <v>31</v>
      </c>
      <c r="E1339" s="2" t="s">
        <v>20</v>
      </c>
      <c r="F1339" s="2" t="n">
        <v>1509</v>
      </c>
      <c r="G1339" s="2" t="s">
        <v>20</v>
      </c>
      <c r="H1339" s="2" t="s">
        <v>20</v>
      </c>
      <c r="I1339" s="2" t="s">
        <v>21</v>
      </c>
      <c r="J1339" s="2" t="n">
        <v>15</v>
      </c>
      <c r="K1339" s="2" t="s">
        <v>52</v>
      </c>
      <c r="L1339" s="2" t="n">
        <v>144</v>
      </c>
      <c r="M1339" s="2" t="n">
        <v>2</v>
      </c>
      <c r="N1339" s="2" t="n">
        <v>124</v>
      </c>
      <c r="O1339" s="2" t="n">
        <v>1</v>
      </c>
      <c r="P1339" s="2" t="s">
        <v>28</v>
      </c>
      <c r="Q1339" s="2" t="s">
        <v>20</v>
      </c>
    </row>
    <row r="1340" customFormat="false" ht="15" hidden="false" customHeight="false" outlineLevel="0" collapsed="false">
      <c r="A1340" s="2" t="n">
        <v>52</v>
      </c>
      <c r="B1340" s="2" t="s">
        <v>24</v>
      </c>
      <c r="C1340" s="2" t="s">
        <v>18</v>
      </c>
      <c r="D1340" s="2" t="s">
        <v>25</v>
      </c>
      <c r="E1340" s="2" t="s">
        <v>20</v>
      </c>
      <c r="F1340" s="2" t="n">
        <v>-888</v>
      </c>
      <c r="G1340" s="2" t="s">
        <v>20</v>
      </c>
      <c r="H1340" s="2" t="s">
        <v>20</v>
      </c>
      <c r="I1340" s="2" t="s">
        <v>21</v>
      </c>
      <c r="J1340" s="2" t="n">
        <v>16</v>
      </c>
      <c r="K1340" s="2" t="s">
        <v>44</v>
      </c>
      <c r="L1340" s="2" t="n">
        <v>135</v>
      </c>
      <c r="M1340" s="2" t="n">
        <v>1</v>
      </c>
      <c r="N1340" s="2" t="n">
        <v>-1</v>
      </c>
      <c r="O1340" s="2" t="n">
        <v>0</v>
      </c>
      <c r="P1340" s="2" t="s">
        <v>23</v>
      </c>
      <c r="Q1340" s="2" t="s">
        <v>20</v>
      </c>
    </row>
    <row r="1341" customFormat="false" ht="15" hidden="false" customHeight="false" outlineLevel="0" collapsed="false">
      <c r="A1341" s="2" t="n">
        <v>40</v>
      </c>
      <c r="B1341" s="2" t="s">
        <v>38</v>
      </c>
      <c r="C1341" s="2" t="s">
        <v>30</v>
      </c>
      <c r="D1341" s="2" t="s">
        <v>31</v>
      </c>
      <c r="E1341" s="2" t="s">
        <v>20</v>
      </c>
      <c r="F1341" s="2" t="n">
        <v>226</v>
      </c>
      <c r="G1341" s="2" t="s">
        <v>20</v>
      </c>
      <c r="H1341" s="2" t="s">
        <v>20</v>
      </c>
      <c r="I1341" s="2" t="s">
        <v>21</v>
      </c>
      <c r="J1341" s="2" t="n">
        <v>15</v>
      </c>
      <c r="K1341" s="2" t="s">
        <v>43</v>
      </c>
      <c r="L1341" s="2" t="n">
        <v>176</v>
      </c>
      <c r="M1341" s="2" t="n">
        <v>2</v>
      </c>
      <c r="N1341" s="2" t="n">
        <v>-1</v>
      </c>
      <c r="O1341" s="2" t="n">
        <v>0</v>
      </c>
      <c r="P1341" s="2" t="s">
        <v>23</v>
      </c>
      <c r="Q1341" s="2" t="s">
        <v>20</v>
      </c>
    </row>
    <row r="1342" customFormat="false" ht="15" hidden="false" customHeight="false" outlineLevel="0" collapsed="false">
      <c r="A1342" s="2" t="n">
        <v>48</v>
      </c>
      <c r="B1342" s="2" t="s">
        <v>38</v>
      </c>
      <c r="C1342" s="2" t="s">
        <v>18</v>
      </c>
      <c r="D1342" s="2" t="s">
        <v>25</v>
      </c>
      <c r="E1342" s="2" t="s">
        <v>20</v>
      </c>
      <c r="F1342" s="2" t="n">
        <v>127</v>
      </c>
      <c r="G1342" s="2" t="s">
        <v>20</v>
      </c>
      <c r="H1342" s="2" t="s">
        <v>26</v>
      </c>
      <c r="I1342" s="2" t="s">
        <v>21</v>
      </c>
      <c r="J1342" s="2" t="n">
        <v>7</v>
      </c>
      <c r="K1342" s="2" t="s">
        <v>41</v>
      </c>
      <c r="L1342" s="2" t="n">
        <v>524</v>
      </c>
      <c r="M1342" s="2" t="n">
        <v>5</v>
      </c>
      <c r="N1342" s="2" t="n">
        <v>-1</v>
      </c>
      <c r="O1342" s="2" t="n">
        <v>0</v>
      </c>
      <c r="P1342" s="2" t="s">
        <v>23</v>
      </c>
      <c r="Q1342" s="2" t="s">
        <v>20</v>
      </c>
    </row>
    <row r="1343" customFormat="false" ht="15" hidden="false" customHeight="false" outlineLevel="0" collapsed="false">
      <c r="A1343" s="2" t="n">
        <v>31</v>
      </c>
      <c r="B1343" s="2" t="s">
        <v>24</v>
      </c>
      <c r="C1343" s="2" t="s">
        <v>18</v>
      </c>
      <c r="D1343" s="2" t="s">
        <v>25</v>
      </c>
      <c r="E1343" s="2" t="s">
        <v>20</v>
      </c>
      <c r="F1343" s="2" t="n">
        <v>413</v>
      </c>
      <c r="G1343" s="2" t="s">
        <v>26</v>
      </c>
      <c r="H1343" s="2" t="s">
        <v>20</v>
      </c>
      <c r="I1343" s="2" t="s">
        <v>23</v>
      </c>
      <c r="J1343" s="2" t="n">
        <v>13</v>
      </c>
      <c r="K1343" s="2" t="s">
        <v>27</v>
      </c>
      <c r="L1343" s="2" t="n">
        <v>65</v>
      </c>
      <c r="M1343" s="2" t="n">
        <v>1</v>
      </c>
      <c r="N1343" s="2" t="n">
        <v>-1</v>
      </c>
      <c r="O1343" s="2" t="n">
        <v>0</v>
      </c>
      <c r="P1343" s="2" t="s">
        <v>23</v>
      </c>
      <c r="Q1343" s="2" t="s">
        <v>20</v>
      </c>
    </row>
    <row r="1344" customFormat="false" ht="15" hidden="false" customHeight="false" outlineLevel="0" collapsed="false">
      <c r="A1344" s="2" t="n">
        <v>27</v>
      </c>
      <c r="B1344" s="2" t="s">
        <v>40</v>
      </c>
      <c r="C1344" s="2" t="s">
        <v>18</v>
      </c>
      <c r="D1344" s="2" t="s">
        <v>25</v>
      </c>
      <c r="E1344" s="2" t="s">
        <v>20</v>
      </c>
      <c r="F1344" s="2" t="n">
        <v>710</v>
      </c>
      <c r="G1344" s="2" t="s">
        <v>26</v>
      </c>
      <c r="H1344" s="2" t="s">
        <v>26</v>
      </c>
      <c r="I1344" s="2" t="s">
        <v>21</v>
      </c>
      <c r="J1344" s="2" t="n">
        <v>6</v>
      </c>
      <c r="K1344" s="2" t="s">
        <v>27</v>
      </c>
      <c r="L1344" s="2" t="n">
        <v>653</v>
      </c>
      <c r="M1344" s="2" t="n">
        <v>1</v>
      </c>
      <c r="N1344" s="2" t="n">
        <v>334</v>
      </c>
      <c r="O1344" s="2" t="n">
        <v>2</v>
      </c>
      <c r="P1344" s="2" t="s">
        <v>50</v>
      </c>
      <c r="Q1344" s="2" t="s">
        <v>26</v>
      </c>
    </row>
    <row r="1345" customFormat="false" ht="15" hidden="false" customHeight="false" outlineLevel="0" collapsed="false">
      <c r="A1345" s="2" t="n">
        <v>47</v>
      </c>
      <c r="B1345" s="2" t="s">
        <v>38</v>
      </c>
      <c r="C1345" s="2" t="s">
        <v>18</v>
      </c>
      <c r="D1345" s="2" t="s">
        <v>25</v>
      </c>
      <c r="E1345" s="2" t="s">
        <v>20</v>
      </c>
      <c r="F1345" s="2" t="n">
        <v>1233</v>
      </c>
      <c r="G1345" s="2" t="s">
        <v>26</v>
      </c>
      <c r="H1345" s="2" t="s">
        <v>20</v>
      </c>
      <c r="I1345" s="2" t="s">
        <v>23</v>
      </c>
      <c r="J1345" s="2" t="n">
        <v>11</v>
      </c>
      <c r="K1345" s="2" t="s">
        <v>51</v>
      </c>
      <c r="L1345" s="2" t="n">
        <v>91</v>
      </c>
      <c r="M1345" s="2" t="n">
        <v>1</v>
      </c>
      <c r="N1345" s="2" t="n">
        <v>100</v>
      </c>
      <c r="O1345" s="2" t="n">
        <v>2</v>
      </c>
      <c r="P1345" s="2" t="s">
        <v>37</v>
      </c>
      <c r="Q1345" s="2" t="s">
        <v>26</v>
      </c>
    </row>
    <row r="1346" customFormat="false" ht="15" hidden="false" customHeight="false" outlineLevel="0" collapsed="false">
      <c r="A1346" s="2" t="n">
        <v>28</v>
      </c>
      <c r="B1346" s="2" t="s">
        <v>29</v>
      </c>
      <c r="C1346" s="2" t="s">
        <v>30</v>
      </c>
      <c r="D1346" s="2" t="s">
        <v>25</v>
      </c>
      <c r="E1346" s="2" t="s">
        <v>20</v>
      </c>
      <c r="F1346" s="2" t="n">
        <v>171</v>
      </c>
      <c r="G1346" s="2" t="s">
        <v>20</v>
      </c>
      <c r="H1346" s="2" t="s">
        <v>20</v>
      </c>
      <c r="I1346" s="2" t="s">
        <v>21</v>
      </c>
      <c r="J1346" s="2" t="n">
        <v>10</v>
      </c>
      <c r="K1346" s="2" t="s">
        <v>52</v>
      </c>
      <c r="L1346" s="2" t="n">
        <v>93</v>
      </c>
      <c r="M1346" s="2" t="n">
        <v>1</v>
      </c>
      <c r="N1346" s="2" t="n">
        <v>-1</v>
      </c>
      <c r="O1346" s="2" t="n">
        <v>0</v>
      </c>
      <c r="P1346" s="2" t="s">
        <v>23</v>
      </c>
      <c r="Q1346" s="2" t="s">
        <v>26</v>
      </c>
    </row>
    <row r="1347" customFormat="false" ht="15" hidden="false" customHeight="false" outlineLevel="0" collapsed="false">
      <c r="A1347" s="2" t="n">
        <v>40</v>
      </c>
      <c r="B1347" s="2" t="s">
        <v>29</v>
      </c>
      <c r="C1347" s="2" t="s">
        <v>45</v>
      </c>
      <c r="D1347" s="2" t="s">
        <v>31</v>
      </c>
      <c r="E1347" s="2" t="s">
        <v>20</v>
      </c>
      <c r="F1347" s="2" t="n">
        <v>69</v>
      </c>
      <c r="G1347" s="2" t="s">
        <v>26</v>
      </c>
      <c r="H1347" s="2" t="s">
        <v>20</v>
      </c>
      <c r="I1347" s="2" t="s">
        <v>21</v>
      </c>
      <c r="J1347" s="2" t="n">
        <v>6</v>
      </c>
      <c r="K1347" s="2" t="s">
        <v>27</v>
      </c>
      <c r="L1347" s="2" t="n">
        <v>503</v>
      </c>
      <c r="M1347" s="2" t="n">
        <v>2</v>
      </c>
      <c r="N1347" s="2" t="n">
        <v>280</v>
      </c>
      <c r="O1347" s="2" t="n">
        <v>2</v>
      </c>
      <c r="P1347" s="2" t="s">
        <v>28</v>
      </c>
      <c r="Q1347" s="2" t="s">
        <v>20</v>
      </c>
    </row>
    <row r="1348" customFormat="false" ht="15" hidden="false" customHeight="false" outlineLevel="0" collapsed="false">
      <c r="A1348" s="2" t="n">
        <v>34</v>
      </c>
      <c r="B1348" s="2" t="s">
        <v>40</v>
      </c>
      <c r="C1348" s="2" t="s">
        <v>18</v>
      </c>
      <c r="D1348" s="2" t="s">
        <v>25</v>
      </c>
      <c r="E1348" s="2" t="s">
        <v>20</v>
      </c>
      <c r="F1348" s="2" t="n">
        <v>1499</v>
      </c>
      <c r="G1348" s="2" t="s">
        <v>26</v>
      </c>
      <c r="H1348" s="2" t="s">
        <v>20</v>
      </c>
      <c r="I1348" s="2" t="s">
        <v>21</v>
      </c>
      <c r="J1348" s="2" t="n">
        <v>13</v>
      </c>
      <c r="K1348" s="2" t="s">
        <v>32</v>
      </c>
      <c r="L1348" s="2" t="n">
        <v>186</v>
      </c>
      <c r="M1348" s="2" t="n">
        <v>1</v>
      </c>
      <c r="N1348" s="2" t="n">
        <v>327</v>
      </c>
      <c r="O1348" s="2" t="n">
        <v>2</v>
      </c>
      <c r="P1348" s="2" t="s">
        <v>28</v>
      </c>
      <c r="Q1348" s="2" t="s">
        <v>20</v>
      </c>
    </row>
    <row r="1349" customFormat="false" ht="15" hidden="false" customHeight="false" outlineLevel="0" collapsed="false">
      <c r="A1349" s="2" t="n">
        <v>29</v>
      </c>
      <c r="B1349" s="2" t="s">
        <v>36</v>
      </c>
      <c r="C1349" s="2" t="s">
        <v>18</v>
      </c>
      <c r="D1349" s="2" t="s">
        <v>31</v>
      </c>
      <c r="E1349" s="2" t="s">
        <v>20</v>
      </c>
      <c r="F1349" s="2" t="n">
        <v>751</v>
      </c>
      <c r="G1349" s="2" t="s">
        <v>26</v>
      </c>
      <c r="H1349" s="2" t="s">
        <v>20</v>
      </c>
      <c r="I1349" s="2" t="s">
        <v>23</v>
      </c>
      <c r="J1349" s="2" t="n">
        <v>23</v>
      </c>
      <c r="K1349" s="2" t="s">
        <v>27</v>
      </c>
      <c r="L1349" s="2" t="n">
        <v>121</v>
      </c>
      <c r="M1349" s="2" t="n">
        <v>2</v>
      </c>
      <c r="N1349" s="2" t="n">
        <v>-1</v>
      </c>
      <c r="O1349" s="2" t="n">
        <v>0</v>
      </c>
      <c r="P1349" s="2" t="s">
        <v>23</v>
      </c>
      <c r="Q1349" s="2" t="s">
        <v>20</v>
      </c>
    </row>
    <row r="1350" customFormat="false" ht="15" hidden="false" customHeight="false" outlineLevel="0" collapsed="false">
      <c r="A1350" s="2" t="n">
        <v>36</v>
      </c>
      <c r="B1350" s="2" t="s">
        <v>29</v>
      </c>
      <c r="C1350" s="2" t="s">
        <v>18</v>
      </c>
      <c r="D1350" s="2" t="s">
        <v>31</v>
      </c>
      <c r="E1350" s="2" t="s">
        <v>20</v>
      </c>
      <c r="F1350" s="2" t="n">
        <v>61</v>
      </c>
      <c r="G1350" s="2" t="s">
        <v>20</v>
      </c>
      <c r="H1350" s="2" t="s">
        <v>26</v>
      </c>
      <c r="I1350" s="2" t="s">
        <v>21</v>
      </c>
      <c r="J1350" s="2" t="n">
        <v>19</v>
      </c>
      <c r="K1350" s="2" t="s">
        <v>41</v>
      </c>
      <c r="L1350" s="2" t="n">
        <v>452</v>
      </c>
      <c r="M1350" s="2" t="n">
        <v>2</v>
      </c>
      <c r="N1350" s="2" t="n">
        <v>-1</v>
      </c>
      <c r="O1350" s="2" t="n">
        <v>0</v>
      </c>
      <c r="P1350" s="2" t="s">
        <v>23</v>
      </c>
      <c r="Q1350" s="2" t="s">
        <v>20</v>
      </c>
    </row>
    <row r="1351" customFormat="false" ht="15" hidden="false" customHeight="false" outlineLevel="0" collapsed="false">
      <c r="A1351" s="2" t="n">
        <v>83</v>
      </c>
      <c r="B1351" s="2" t="s">
        <v>48</v>
      </c>
      <c r="C1351" s="2" t="s">
        <v>18</v>
      </c>
      <c r="D1351" s="2" t="s">
        <v>19</v>
      </c>
      <c r="E1351" s="2" t="s">
        <v>20</v>
      </c>
      <c r="F1351" s="2" t="n">
        <v>425</v>
      </c>
      <c r="G1351" s="2" t="s">
        <v>20</v>
      </c>
      <c r="H1351" s="2" t="s">
        <v>20</v>
      </c>
      <c r="I1351" s="2" t="s">
        <v>49</v>
      </c>
      <c r="J1351" s="2" t="n">
        <v>22</v>
      </c>
      <c r="K1351" s="2" t="s">
        <v>33</v>
      </c>
      <c r="L1351" s="2" t="n">
        <v>883</v>
      </c>
      <c r="M1351" s="2" t="n">
        <v>1</v>
      </c>
      <c r="N1351" s="2" t="n">
        <v>140</v>
      </c>
      <c r="O1351" s="2" t="n">
        <v>1</v>
      </c>
      <c r="P1351" s="2" t="s">
        <v>28</v>
      </c>
      <c r="Q1351" s="2" t="s">
        <v>26</v>
      </c>
    </row>
    <row r="1352" customFormat="false" ht="15" hidden="false" customHeight="false" outlineLevel="0" collapsed="false">
      <c r="A1352" s="2" t="n">
        <v>55</v>
      </c>
      <c r="B1352" s="2" t="s">
        <v>24</v>
      </c>
      <c r="C1352" s="2" t="s">
        <v>45</v>
      </c>
      <c r="D1352" s="2" t="s">
        <v>19</v>
      </c>
      <c r="E1352" s="2" t="s">
        <v>20</v>
      </c>
      <c r="F1352" s="2" t="n">
        <v>2923</v>
      </c>
      <c r="G1352" s="2" t="s">
        <v>26</v>
      </c>
      <c r="H1352" s="2" t="s">
        <v>20</v>
      </c>
      <c r="I1352" s="2" t="s">
        <v>23</v>
      </c>
      <c r="J1352" s="2" t="n">
        <v>15</v>
      </c>
      <c r="K1352" s="2" t="s">
        <v>27</v>
      </c>
      <c r="L1352" s="2" t="n">
        <v>104</v>
      </c>
      <c r="M1352" s="2" t="n">
        <v>2</v>
      </c>
      <c r="N1352" s="2" t="n">
        <v>-1</v>
      </c>
      <c r="O1352" s="2" t="n">
        <v>0</v>
      </c>
      <c r="P1352" s="2" t="s">
        <v>23</v>
      </c>
      <c r="Q1352" s="2" t="s">
        <v>20</v>
      </c>
    </row>
    <row r="1353" customFormat="false" ht="15" hidden="false" customHeight="false" outlineLevel="0" collapsed="false">
      <c r="A1353" s="2" t="n">
        <v>43</v>
      </c>
      <c r="B1353" s="2" t="s">
        <v>29</v>
      </c>
      <c r="C1353" s="2" t="s">
        <v>45</v>
      </c>
      <c r="D1353" s="2" t="s">
        <v>31</v>
      </c>
      <c r="E1353" s="2" t="s">
        <v>20</v>
      </c>
      <c r="F1353" s="2" t="n">
        <v>99</v>
      </c>
      <c r="G1353" s="2" t="s">
        <v>20</v>
      </c>
      <c r="H1353" s="2" t="s">
        <v>20</v>
      </c>
      <c r="I1353" s="2" t="s">
        <v>21</v>
      </c>
      <c r="J1353" s="2" t="n">
        <v>29</v>
      </c>
      <c r="K1353" s="2" t="s">
        <v>43</v>
      </c>
      <c r="L1353" s="2" t="n">
        <v>24</v>
      </c>
      <c r="M1353" s="2" t="n">
        <v>3</v>
      </c>
      <c r="N1353" s="2" t="n">
        <v>-1</v>
      </c>
      <c r="O1353" s="2" t="n">
        <v>0</v>
      </c>
      <c r="P1353" s="2" t="s">
        <v>23</v>
      </c>
      <c r="Q1353" s="2" t="s">
        <v>20</v>
      </c>
    </row>
    <row r="1354" customFormat="false" ht="15" hidden="false" customHeight="false" outlineLevel="0" collapsed="false">
      <c r="A1354" s="2" t="n">
        <v>23</v>
      </c>
      <c r="B1354" s="2" t="s">
        <v>42</v>
      </c>
      <c r="C1354" s="2" t="s">
        <v>30</v>
      </c>
      <c r="D1354" s="2" t="s">
        <v>25</v>
      </c>
      <c r="E1354" s="2" t="s">
        <v>20</v>
      </c>
      <c r="F1354" s="2" t="n">
        <v>1021</v>
      </c>
      <c r="G1354" s="2" t="s">
        <v>20</v>
      </c>
      <c r="H1354" s="2" t="s">
        <v>20</v>
      </c>
      <c r="I1354" s="2" t="s">
        <v>49</v>
      </c>
      <c r="J1354" s="2" t="n">
        <v>19</v>
      </c>
      <c r="K1354" s="2" t="s">
        <v>33</v>
      </c>
      <c r="L1354" s="2" t="n">
        <v>79</v>
      </c>
      <c r="M1354" s="2" t="n">
        <v>9</v>
      </c>
      <c r="N1354" s="2" t="n">
        <v>-1</v>
      </c>
      <c r="O1354" s="2" t="n">
        <v>0</v>
      </c>
      <c r="P1354" s="2" t="s">
        <v>23</v>
      </c>
      <c r="Q1354" s="2" t="s">
        <v>20</v>
      </c>
    </row>
    <row r="1355" customFormat="false" ht="15" hidden="false" customHeight="false" outlineLevel="0" collapsed="false">
      <c r="A1355" s="2" t="n">
        <v>44</v>
      </c>
      <c r="B1355" s="2" t="s">
        <v>38</v>
      </c>
      <c r="C1355" s="2" t="s">
        <v>18</v>
      </c>
      <c r="D1355" s="2" t="s">
        <v>31</v>
      </c>
      <c r="E1355" s="2" t="s">
        <v>20</v>
      </c>
      <c r="F1355" s="2" t="n">
        <v>1146</v>
      </c>
      <c r="G1355" s="2" t="s">
        <v>20</v>
      </c>
      <c r="H1355" s="2" t="s">
        <v>20</v>
      </c>
      <c r="I1355" s="2" t="s">
        <v>21</v>
      </c>
      <c r="J1355" s="2" t="n">
        <v>4</v>
      </c>
      <c r="K1355" s="2" t="s">
        <v>44</v>
      </c>
      <c r="L1355" s="2" t="n">
        <v>178</v>
      </c>
      <c r="M1355" s="2" t="n">
        <v>2</v>
      </c>
      <c r="N1355" s="2" t="n">
        <v>-1</v>
      </c>
      <c r="O1355" s="2" t="n">
        <v>0</v>
      </c>
      <c r="P1355" s="2" t="s">
        <v>23</v>
      </c>
      <c r="Q1355" s="2" t="s">
        <v>20</v>
      </c>
    </row>
    <row r="1356" customFormat="false" ht="15" hidden="false" customHeight="false" outlineLevel="0" collapsed="false">
      <c r="A1356" s="2" t="n">
        <v>58</v>
      </c>
      <c r="B1356" s="2" t="s">
        <v>34</v>
      </c>
      <c r="C1356" s="2" t="s">
        <v>18</v>
      </c>
      <c r="D1356" s="2" t="s">
        <v>19</v>
      </c>
      <c r="E1356" s="2" t="s">
        <v>20</v>
      </c>
      <c r="F1356" s="2" t="n">
        <v>781</v>
      </c>
      <c r="G1356" s="2" t="s">
        <v>26</v>
      </c>
      <c r="H1356" s="2" t="s">
        <v>20</v>
      </c>
      <c r="I1356" s="2" t="s">
        <v>21</v>
      </c>
      <c r="J1356" s="2" t="n">
        <v>15</v>
      </c>
      <c r="K1356" s="2" t="s">
        <v>27</v>
      </c>
      <c r="L1356" s="2" t="n">
        <v>74</v>
      </c>
      <c r="M1356" s="2" t="n">
        <v>2</v>
      </c>
      <c r="N1356" s="2" t="n">
        <v>-1</v>
      </c>
      <c r="O1356" s="2" t="n">
        <v>0</v>
      </c>
      <c r="P1356" s="2" t="s">
        <v>23</v>
      </c>
      <c r="Q1356" s="2" t="s">
        <v>20</v>
      </c>
    </row>
    <row r="1357" customFormat="false" ht="15" hidden="false" customHeight="false" outlineLevel="0" collapsed="false">
      <c r="A1357" s="2" t="n">
        <v>29</v>
      </c>
      <c r="B1357" s="2" t="s">
        <v>40</v>
      </c>
      <c r="C1357" s="2" t="s">
        <v>30</v>
      </c>
      <c r="D1357" s="2" t="s">
        <v>25</v>
      </c>
      <c r="E1357" s="2" t="s">
        <v>20</v>
      </c>
      <c r="F1357" s="2" t="n">
        <v>1448</v>
      </c>
      <c r="G1357" s="2" t="s">
        <v>20</v>
      </c>
      <c r="H1357" s="2" t="s">
        <v>20</v>
      </c>
      <c r="I1357" s="2" t="s">
        <v>21</v>
      </c>
      <c r="J1357" s="2" t="n">
        <v>10</v>
      </c>
      <c r="K1357" s="2" t="s">
        <v>52</v>
      </c>
      <c r="L1357" s="2" t="n">
        <v>217</v>
      </c>
      <c r="M1357" s="2" t="n">
        <v>1</v>
      </c>
      <c r="N1357" s="2" t="n">
        <v>184</v>
      </c>
      <c r="O1357" s="2" t="n">
        <v>7</v>
      </c>
      <c r="P1357" s="2" t="s">
        <v>37</v>
      </c>
      <c r="Q1357" s="2" t="s">
        <v>20</v>
      </c>
    </row>
    <row r="1358" customFormat="false" ht="15" hidden="false" customHeight="false" outlineLevel="0" collapsed="false">
      <c r="A1358" s="2" t="n">
        <v>30</v>
      </c>
      <c r="B1358" s="2" t="s">
        <v>29</v>
      </c>
      <c r="C1358" s="2" t="s">
        <v>30</v>
      </c>
      <c r="D1358" s="2" t="s">
        <v>31</v>
      </c>
      <c r="E1358" s="2" t="s">
        <v>20</v>
      </c>
      <c r="F1358" s="2" t="n">
        <v>604</v>
      </c>
      <c r="G1358" s="2" t="s">
        <v>20</v>
      </c>
      <c r="H1358" s="2" t="s">
        <v>26</v>
      </c>
      <c r="I1358" s="2" t="s">
        <v>21</v>
      </c>
      <c r="J1358" s="2" t="n">
        <v>2</v>
      </c>
      <c r="K1358" s="2" t="s">
        <v>35</v>
      </c>
      <c r="L1358" s="2" t="n">
        <v>475</v>
      </c>
      <c r="M1358" s="2" t="n">
        <v>1</v>
      </c>
      <c r="N1358" s="2" t="n">
        <v>-1</v>
      </c>
      <c r="O1358" s="2" t="n">
        <v>0</v>
      </c>
      <c r="P1358" s="2" t="s">
        <v>23</v>
      </c>
      <c r="Q1358" s="2" t="s">
        <v>20</v>
      </c>
    </row>
    <row r="1359" customFormat="false" ht="15" hidden="false" customHeight="false" outlineLevel="0" collapsed="false">
      <c r="A1359" s="2" t="n">
        <v>29</v>
      </c>
      <c r="B1359" s="2" t="s">
        <v>40</v>
      </c>
      <c r="C1359" s="2" t="s">
        <v>30</v>
      </c>
      <c r="D1359" s="2" t="s">
        <v>25</v>
      </c>
      <c r="E1359" s="2" t="s">
        <v>20</v>
      </c>
      <c r="F1359" s="2" t="n">
        <v>-194</v>
      </c>
      <c r="G1359" s="2" t="s">
        <v>26</v>
      </c>
      <c r="H1359" s="2" t="s">
        <v>20</v>
      </c>
      <c r="I1359" s="2" t="s">
        <v>21</v>
      </c>
      <c r="J1359" s="2" t="n">
        <v>7</v>
      </c>
      <c r="K1359" s="2" t="s">
        <v>27</v>
      </c>
      <c r="L1359" s="2" t="n">
        <v>127</v>
      </c>
      <c r="M1359" s="2" t="n">
        <v>1</v>
      </c>
      <c r="N1359" s="2" t="n">
        <v>-1</v>
      </c>
      <c r="O1359" s="2" t="n">
        <v>0</v>
      </c>
      <c r="P1359" s="2" t="s">
        <v>23</v>
      </c>
      <c r="Q1359" s="2" t="s">
        <v>20</v>
      </c>
    </row>
    <row r="1360" customFormat="false" ht="15" hidden="false" customHeight="false" outlineLevel="0" collapsed="false">
      <c r="A1360" s="2" t="n">
        <v>41</v>
      </c>
      <c r="B1360" s="2" t="s">
        <v>38</v>
      </c>
      <c r="C1360" s="2" t="s">
        <v>18</v>
      </c>
      <c r="D1360" s="2" t="s">
        <v>25</v>
      </c>
      <c r="E1360" s="2" t="s">
        <v>20</v>
      </c>
      <c r="F1360" s="2" t="n">
        <v>0</v>
      </c>
      <c r="G1360" s="2" t="s">
        <v>20</v>
      </c>
      <c r="H1360" s="2" t="s">
        <v>20</v>
      </c>
      <c r="I1360" s="2" t="s">
        <v>21</v>
      </c>
      <c r="J1360" s="2" t="n">
        <v>11</v>
      </c>
      <c r="K1360" s="2" t="s">
        <v>52</v>
      </c>
      <c r="L1360" s="2" t="n">
        <v>101</v>
      </c>
      <c r="M1360" s="2" t="n">
        <v>1</v>
      </c>
      <c r="N1360" s="2" t="n">
        <v>-1</v>
      </c>
      <c r="O1360" s="2" t="n">
        <v>0</v>
      </c>
      <c r="P1360" s="2" t="s">
        <v>23</v>
      </c>
      <c r="Q1360" s="2" t="s">
        <v>20</v>
      </c>
    </row>
    <row r="1361" customFormat="false" ht="15" hidden="false" customHeight="false" outlineLevel="0" collapsed="false">
      <c r="A1361" s="2" t="n">
        <v>35</v>
      </c>
      <c r="B1361" s="2" t="s">
        <v>47</v>
      </c>
      <c r="C1361" s="2" t="s">
        <v>18</v>
      </c>
      <c r="D1361" s="2" t="s">
        <v>19</v>
      </c>
      <c r="E1361" s="2" t="s">
        <v>20</v>
      </c>
      <c r="F1361" s="2" t="n">
        <v>0</v>
      </c>
      <c r="G1361" s="2" t="s">
        <v>26</v>
      </c>
      <c r="H1361" s="2" t="s">
        <v>20</v>
      </c>
      <c r="I1361" s="2" t="s">
        <v>21</v>
      </c>
      <c r="J1361" s="2" t="n">
        <v>14</v>
      </c>
      <c r="K1361" s="2" t="s">
        <v>44</v>
      </c>
      <c r="L1361" s="2" t="n">
        <v>340</v>
      </c>
      <c r="M1361" s="2" t="n">
        <v>3</v>
      </c>
      <c r="N1361" s="2" t="n">
        <v>-1</v>
      </c>
      <c r="O1361" s="2" t="n">
        <v>0</v>
      </c>
      <c r="P1361" s="2" t="s">
        <v>23</v>
      </c>
      <c r="Q1361" s="2" t="s">
        <v>20</v>
      </c>
    </row>
    <row r="1362" customFormat="false" ht="15" hidden="false" customHeight="false" outlineLevel="0" collapsed="false">
      <c r="A1362" s="2" t="n">
        <v>31</v>
      </c>
      <c r="B1362" s="2" t="s">
        <v>38</v>
      </c>
      <c r="C1362" s="2" t="s">
        <v>30</v>
      </c>
      <c r="D1362" s="2" t="s">
        <v>25</v>
      </c>
      <c r="E1362" s="2" t="s">
        <v>20</v>
      </c>
      <c r="F1362" s="2" t="n">
        <v>1014</v>
      </c>
      <c r="G1362" s="2" t="s">
        <v>26</v>
      </c>
      <c r="H1362" s="2" t="s">
        <v>20</v>
      </c>
      <c r="I1362" s="2" t="s">
        <v>21</v>
      </c>
      <c r="J1362" s="2" t="n">
        <v>23</v>
      </c>
      <c r="K1362" s="2" t="s">
        <v>44</v>
      </c>
      <c r="L1362" s="2" t="n">
        <v>158</v>
      </c>
      <c r="M1362" s="2" t="n">
        <v>4</v>
      </c>
      <c r="N1362" s="2" t="n">
        <v>-1</v>
      </c>
      <c r="O1362" s="2" t="n">
        <v>0</v>
      </c>
      <c r="P1362" s="2" t="s">
        <v>23</v>
      </c>
      <c r="Q1362" s="2" t="s">
        <v>20</v>
      </c>
    </row>
    <row r="1363" customFormat="false" ht="15" hidden="false" customHeight="false" outlineLevel="0" collapsed="false">
      <c r="A1363" s="2" t="n">
        <v>27</v>
      </c>
      <c r="B1363" s="2" t="s">
        <v>40</v>
      </c>
      <c r="C1363" s="2" t="s">
        <v>30</v>
      </c>
      <c r="D1363" s="2" t="s">
        <v>31</v>
      </c>
      <c r="E1363" s="2" t="s">
        <v>20</v>
      </c>
      <c r="F1363" s="2" t="n">
        <v>73</v>
      </c>
      <c r="G1363" s="2" t="s">
        <v>20</v>
      </c>
      <c r="H1363" s="2" t="s">
        <v>20</v>
      </c>
      <c r="I1363" s="2" t="s">
        <v>21</v>
      </c>
      <c r="J1363" s="2" t="n">
        <v>29</v>
      </c>
      <c r="K1363" s="2" t="s">
        <v>43</v>
      </c>
      <c r="L1363" s="2" t="n">
        <v>242</v>
      </c>
      <c r="M1363" s="2" t="n">
        <v>1</v>
      </c>
      <c r="N1363" s="2" t="n">
        <v>-1</v>
      </c>
      <c r="O1363" s="2" t="n">
        <v>0</v>
      </c>
      <c r="P1363" s="2" t="s">
        <v>23</v>
      </c>
      <c r="Q1363" s="2" t="s">
        <v>20</v>
      </c>
    </row>
    <row r="1364" customFormat="false" ht="15" hidden="false" customHeight="false" outlineLevel="0" collapsed="false">
      <c r="A1364" s="2" t="n">
        <v>47</v>
      </c>
      <c r="B1364" s="2" t="s">
        <v>24</v>
      </c>
      <c r="C1364" s="2" t="s">
        <v>18</v>
      </c>
      <c r="D1364" s="2" t="s">
        <v>25</v>
      </c>
      <c r="E1364" s="2" t="s">
        <v>20</v>
      </c>
      <c r="F1364" s="2" t="n">
        <v>2597</v>
      </c>
      <c r="G1364" s="2" t="s">
        <v>26</v>
      </c>
      <c r="H1364" s="2" t="s">
        <v>20</v>
      </c>
      <c r="I1364" s="2" t="s">
        <v>23</v>
      </c>
      <c r="J1364" s="2" t="n">
        <v>16</v>
      </c>
      <c r="K1364" s="2" t="s">
        <v>27</v>
      </c>
      <c r="L1364" s="2" t="n">
        <v>323</v>
      </c>
      <c r="M1364" s="2" t="n">
        <v>1</v>
      </c>
      <c r="N1364" s="2" t="n">
        <v>-1</v>
      </c>
      <c r="O1364" s="2" t="n">
        <v>0</v>
      </c>
      <c r="P1364" s="2" t="s">
        <v>23</v>
      </c>
      <c r="Q1364" s="2" t="s">
        <v>20</v>
      </c>
    </row>
    <row r="1365" customFormat="false" ht="15" hidden="false" customHeight="false" outlineLevel="0" collapsed="false">
      <c r="A1365" s="2" t="n">
        <v>53</v>
      </c>
      <c r="B1365" s="2" t="s">
        <v>36</v>
      </c>
      <c r="C1365" s="2" t="s">
        <v>18</v>
      </c>
      <c r="D1365" s="2" t="s">
        <v>31</v>
      </c>
      <c r="E1365" s="2" t="s">
        <v>20</v>
      </c>
      <c r="F1365" s="2" t="n">
        <v>2627</v>
      </c>
      <c r="G1365" s="2" t="s">
        <v>26</v>
      </c>
      <c r="H1365" s="2" t="s">
        <v>26</v>
      </c>
      <c r="I1365" s="2" t="s">
        <v>23</v>
      </c>
      <c r="J1365" s="2" t="n">
        <v>16</v>
      </c>
      <c r="K1365" s="2" t="s">
        <v>33</v>
      </c>
      <c r="L1365" s="2" t="n">
        <v>18</v>
      </c>
      <c r="M1365" s="2" t="n">
        <v>30</v>
      </c>
      <c r="N1365" s="2" t="n">
        <v>-1</v>
      </c>
      <c r="O1365" s="2" t="n">
        <v>0</v>
      </c>
      <c r="P1365" s="2" t="s">
        <v>23</v>
      </c>
      <c r="Q1365" s="2" t="s">
        <v>20</v>
      </c>
    </row>
    <row r="1366" customFormat="false" ht="15" hidden="false" customHeight="false" outlineLevel="0" collapsed="false">
      <c r="A1366" s="2" t="n">
        <v>34</v>
      </c>
      <c r="B1366" s="2" t="s">
        <v>29</v>
      </c>
      <c r="C1366" s="2" t="s">
        <v>18</v>
      </c>
      <c r="D1366" s="2" t="s">
        <v>31</v>
      </c>
      <c r="E1366" s="2" t="s">
        <v>20</v>
      </c>
      <c r="F1366" s="2" t="n">
        <v>1906</v>
      </c>
      <c r="G1366" s="2" t="s">
        <v>26</v>
      </c>
      <c r="H1366" s="2" t="s">
        <v>20</v>
      </c>
      <c r="I1366" s="2" t="s">
        <v>21</v>
      </c>
      <c r="J1366" s="2" t="n">
        <v>14</v>
      </c>
      <c r="K1366" s="2" t="s">
        <v>44</v>
      </c>
      <c r="L1366" s="2" t="n">
        <v>68</v>
      </c>
      <c r="M1366" s="2" t="n">
        <v>3</v>
      </c>
      <c r="N1366" s="2" t="n">
        <v>-1</v>
      </c>
      <c r="O1366" s="2" t="n">
        <v>0</v>
      </c>
      <c r="P1366" s="2" t="s">
        <v>23</v>
      </c>
      <c r="Q1366" s="2" t="s">
        <v>20</v>
      </c>
    </row>
    <row r="1367" customFormat="false" ht="15" hidden="false" customHeight="false" outlineLevel="0" collapsed="false">
      <c r="A1367" s="2" t="n">
        <v>34</v>
      </c>
      <c r="B1367" s="2" t="s">
        <v>34</v>
      </c>
      <c r="C1367" s="2" t="s">
        <v>18</v>
      </c>
      <c r="D1367" s="2" t="s">
        <v>19</v>
      </c>
      <c r="E1367" s="2" t="s">
        <v>20</v>
      </c>
      <c r="F1367" s="2" t="n">
        <v>-319</v>
      </c>
      <c r="G1367" s="2" t="s">
        <v>26</v>
      </c>
      <c r="H1367" s="2" t="s">
        <v>26</v>
      </c>
      <c r="I1367" s="2" t="s">
        <v>21</v>
      </c>
      <c r="J1367" s="2" t="n">
        <v>9</v>
      </c>
      <c r="K1367" s="2" t="s">
        <v>44</v>
      </c>
      <c r="L1367" s="2" t="n">
        <v>134</v>
      </c>
      <c r="M1367" s="2" t="n">
        <v>4</v>
      </c>
      <c r="N1367" s="2" t="n">
        <v>-1</v>
      </c>
      <c r="O1367" s="2" t="n">
        <v>0</v>
      </c>
      <c r="P1367" s="2" t="s">
        <v>23</v>
      </c>
      <c r="Q1367" s="2" t="s">
        <v>20</v>
      </c>
    </row>
    <row r="1368" customFormat="false" ht="15" hidden="false" customHeight="false" outlineLevel="0" collapsed="false">
      <c r="A1368" s="2" t="n">
        <v>36</v>
      </c>
      <c r="B1368" s="2" t="s">
        <v>29</v>
      </c>
      <c r="C1368" s="2" t="s">
        <v>18</v>
      </c>
      <c r="D1368" s="2" t="s">
        <v>31</v>
      </c>
      <c r="E1368" s="2" t="s">
        <v>20</v>
      </c>
      <c r="F1368" s="2" t="n">
        <v>-296</v>
      </c>
      <c r="G1368" s="2" t="s">
        <v>26</v>
      </c>
      <c r="H1368" s="2" t="s">
        <v>20</v>
      </c>
      <c r="I1368" s="2" t="s">
        <v>21</v>
      </c>
      <c r="J1368" s="2" t="n">
        <v>14</v>
      </c>
      <c r="K1368" s="2" t="s">
        <v>27</v>
      </c>
      <c r="L1368" s="2" t="n">
        <v>113</v>
      </c>
      <c r="M1368" s="2" t="n">
        <v>3</v>
      </c>
      <c r="N1368" s="2" t="n">
        <v>-1</v>
      </c>
      <c r="O1368" s="2" t="n">
        <v>0</v>
      </c>
      <c r="P1368" s="2" t="s">
        <v>23</v>
      </c>
      <c r="Q1368" s="2" t="s">
        <v>20</v>
      </c>
    </row>
    <row r="1369" customFormat="false" ht="15" hidden="false" customHeight="false" outlineLevel="0" collapsed="false">
      <c r="A1369" s="2" t="n">
        <v>40</v>
      </c>
      <c r="B1369" s="2" t="s">
        <v>38</v>
      </c>
      <c r="C1369" s="2" t="s">
        <v>18</v>
      </c>
      <c r="D1369" s="2" t="s">
        <v>25</v>
      </c>
      <c r="E1369" s="2" t="s">
        <v>20</v>
      </c>
      <c r="F1369" s="2" t="n">
        <v>169</v>
      </c>
      <c r="G1369" s="2" t="s">
        <v>26</v>
      </c>
      <c r="H1369" s="2" t="s">
        <v>20</v>
      </c>
      <c r="I1369" s="2" t="s">
        <v>21</v>
      </c>
      <c r="J1369" s="2" t="n">
        <v>18</v>
      </c>
      <c r="K1369" s="2" t="s">
        <v>41</v>
      </c>
      <c r="L1369" s="2" t="n">
        <v>43</v>
      </c>
      <c r="M1369" s="2" t="n">
        <v>4</v>
      </c>
      <c r="N1369" s="2" t="n">
        <v>-1</v>
      </c>
      <c r="O1369" s="2" t="n">
        <v>0</v>
      </c>
      <c r="P1369" s="2" t="s">
        <v>23</v>
      </c>
      <c r="Q1369" s="2" t="s">
        <v>20</v>
      </c>
    </row>
    <row r="1370" customFormat="false" ht="15" hidden="false" customHeight="false" outlineLevel="0" collapsed="false">
      <c r="A1370" s="2" t="n">
        <v>37</v>
      </c>
      <c r="B1370" s="2" t="s">
        <v>36</v>
      </c>
      <c r="C1370" s="2" t="s">
        <v>30</v>
      </c>
      <c r="D1370" s="2" t="s">
        <v>31</v>
      </c>
      <c r="E1370" s="2" t="s">
        <v>20</v>
      </c>
      <c r="F1370" s="2" t="n">
        <v>556</v>
      </c>
      <c r="G1370" s="2" t="s">
        <v>20</v>
      </c>
      <c r="H1370" s="2" t="s">
        <v>20</v>
      </c>
      <c r="I1370" s="2" t="s">
        <v>23</v>
      </c>
      <c r="J1370" s="2" t="n">
        <v>17</v>
      </c>
      <c r="K1370" s="2" t="s">
        <v>33</v>
      </c>
      <c r="L1370" s="2" t="n">
        <v>200</v>
      </c>
      <c r="M1370" s="2" t="n">
        <v>2</v>
      </c>
      <c r="N1370" s="2" t="n">
        <v>-1</v>
      </c>
      <c r="O1370" s="2" t="n">
        <v>0</v>
      </c>
      <c r="P1370" s="2" t="s">
        <v>23</v>
      </c>
      <c r="Q1370" s="2" t="s">
        <v>20</v>
      </c>
    </row>
    <row r="1371" customFormat="false" ht="15" hidden="false" customHeight="false" outlineLevel="0" collapsed="false">
      <c r="A1371" s="2" t="n">
        <v>65</v>
      </c>
      <c r="B1371" s="2" t="s">
        <v>48</v>
      </c>
      <c r="C1371" s="2" t="s">
        <v>45</v>
      </c>
      <c r="D1371" s="2" t="s">
        <v>23</v>
      </c>
      <c r="E1371" s="2" t="s">
        <v>20</v>
      </c>
      <c r="F1371" s="2" t="n">
        <v>300</v>
      </c>
      <c r="G1371" s="2" t="s">
        <v>20</v>
      </c>
      <c r="H1371" s="2" t="s">
        <v>20</v>
      </c>
      <c r="I1371" s="2" t="s">
        <v>21</v>
      </c>
      <c r="J1371" s="2" t="n">
        <v>2</v>
      </c>
      <c r="K1371" s="2" t="s">
        <v>41</v>
      </c>
      <c r="L1371" s="2" t="n">
        <v>245</v>
      </c>
      <c r="M1371" s="2" t="n">
        <v>2</v>
      </c>
      <c r="N1371" s="2" t="n">
        <v>-1</v>
      </c>
      <c r="O1371" s="2" t="n">
        <v>0</v>
      </c>
      <c r="P1371" s="2" t="s">
        <v>23</v>
      </c>
      <c r="Q1371" s="2" t="s">
        <v>20</v>
      </c>
    </row>
    <row r="1372" customFormat="false" ht="15" hidden="false" customHeight="false" outlineLevel="0" collapsed="false">
      <c r="A1372" s="2" t="n">
        <v>53</v>
      </c>
      <c r="B1372" s="2" t="s">
        <v>38</v>
      </c>
      <c r="C1372" s="2" t="s">
        <v>45</v>
      </c>
      <c r="D1372" s="2" t="s">
        <v>25</v>
      </c>
      <c r="E1372" s="2" t="s">
        <v>20</v>
      </c>
      <c r="F1372" s="2" t="n">
        <v>751</v>
      </c>
      <c r="G1372" s="2" t="s">
        <v>26</v>
      </c>
      <c r="H1372" s="2" t="s">
        <v>20</v>
      </c>
      <c r="I1372" s="2" t="s">
        <v>23</v>
      </c>
      <c r="J1372" s="2" t="n">
        <v>16</v>
      </c>
      <c r="K1372" s="2" t="s">
        <v>27</v>
      </c>
      <c r="L1372" s="2" t="n">
        <v>343</v>
      </c>
      <c r="M1372" s="2" t="n">
        <v>4</v>
      </c>
      <c r="N1372" s="2" t="n">
        <v>-1</v>
      </c>
      <c r="O1372" s="2" t="n">
        <v>0</v>
      </c>
      <c r="P1372" s="2" t="s">
        <v>23</v>
      </c>
      <c r="Q1372" s="2" t="s">
        <v>20</v>
      </c>
    </row>
    <row r="1373" customFormat="false" ht="15" hidden="false" customHeight="false" outlineLevel="0" collapsed="false">
      <c r="A1373" s="2" t="n">
        <v>28</v>
      </c>
      <c r="B1373" s="2" t="s">
        <v>38</v>
      </c>
      <c r="C1373" s="2" t="s">
        <v>30</v>
      </c>
      <c r="D1373" s="2" t="s">
        <v>25</v>
      </c>
      <c r="E1373" s="2" t="s">
        <v>20</v>
      </c>
      <c r="F1373" s="2" t="n">
        <v>126</v>
      </c>
      <c r="G1373" s="2" t="s">
        <v>20</v>
      </c>
      <c r="H1373" s="2" t="s">
        <v>20</v>
      </c>
      <c r="I1373" s="2" t="s">
        <v>21</v>
      </c>
      <c r="J1373" s="2" t="n">
        <v>3</v>
      </c>
      <c r="K1373" s="2" t="s">
        <v>52</v>
      </c>
      <c r="L1373" s="2" t="n">
        <v>229</v>
      </c>
      <c r="M1373" s="2" t="n">
        <v>1</v>
      </c>
      <c r="N1373" s="2" t="n">
        <v>-1</v>
      </c>
      <c r="O1373" s="2" t="n">
        <v>0</v>
      </c>
      <c r="P1373" s="2" t="s">
        <v>23</v>
      </c>
      <c r="Q1373" s="2" t="s">
        <v>20</v>
      </c>
    </row>
    <row r="1374" customFormat="false" ht="15" hidden="false" customHeight="false" outlineLevel="0" collapsed="false">
      <c r="A1374" s="2" t="n">
        <v>33</v>
      </c>
      <c r="B1374" s="2" t="s">
        <v>38</v>
      </c>
      <c r="C1374" s="2" t="s">
        <v>45</v>
      </c>
      <c r="D1374" s="2" t="s">
        <v>31</v>
      </c>
      <c r="E1374" s="2" t="s">
        <v>20</v>
      </c>
      <c r="F1374" s="2" t="n">
        <v>-386</v>
      </c>
      <c r="G1374" s="2" t="s">
        <v>26</v>
      </c>
      <c r="H1374" s="2" t="s">
        <v>20</v>
      </c>
      <c r="I1374" s="2" t="s">
        <v>23</v>
      </c>
      <c r="J1374" s="2" t="n">
        <v>23</v>
      </c>
      <c r="K1374" s="2" t="s">
        <v>27</v>
      </c>
      <c r="L1374" s="2" t="n">
        <v>530</v>
      </c>
      <c r="M1374" s="2" t="n">
        <v>1</v>
      </c>
      <c r="N1374" s="2" t="n">
        <v>-1</v>
      </c>
      <c r="O1374" s="2" t="n">
        <v>0</v>
      </c>
      <c r="P1374" s="2" t="s">
        <v>23</v>
      </c>
      <c r="Q1374" s="2" t="s">
        <v>20</v>
      </c>
    </row>
    <row r="1375" customFormat="false" ht="15" hidden="false" customHeight="false" outlineLevel="0" collapsed="false">
      <c r="A1375" s="2" t="n">
        <v>56</v>
      </c>
      <c r="B1375" s="2" t="s">
        <v>34</v>
      </c>
      <c r="C1375" s="2" t="s">
        <v>18</v>
      </c>
      <c r="D1375" s="2" t="s">
        <v>19</v>
      </c>
      <c r="E1375" s="2" t="s">
        <v>20</v>
      </c>
      <c r="F1375" s="2" t="n">
        <v>379</v>
      </c>
      <c r="G1375" s="2" t="s">
        <v>20</v>
      </c>
      <c r="H1375" s="2" t="s">
        <v>20</v>
      </c>
      <c r="I1375" s="2" t="s">
        <v>21</v>
      </c>
      <c r="J1375" s="2" t="n">
        <v>13</v>
      </c>
      <c r="K1375" s="2" t="s">
        <v>41</v>
      </c>
      <c r="L1375" s="2" t="n">
        <v>58</v>
      </c>
      <c r="M1375" s="2" t="n">
        <v>5</v>
      </c>
      <c r="N1375" s="2" t="n">
        <v>-1</v>
      </c>
      <c r="O1375" s="2" t="n">
        <v>0</v>
      </c>
      <c r="P1375" s="2" t="s">
        <v>23</v>
      </c>
      <c r="Q1375" s="2" t="s">
        <v>20</v>
      </c>
    </row>
    <row r="1376" customFormat="false" ht="15" hidden="false" customHeight="false" outlineLevel="0" collapsed="false">
      <c r="A1376" s="2" t="n">
        <v>45</v>
      </c>
      <c r="B1376" s="2" t="s">
        <v>36</v>
      </c>
      <c r="C1376" s="2" t="s">
        <v>18</v>
      </c>
      <c r="D1376" s="2" t="s">
        <v>25</v>
      </c>
      <c r="E1376" s="2" t="s">
        <v>20</v>
      </c>
      <c r="F1376" s="2" t="n">
        <v>706</v>
      </c>
      <c r="G1376" s="2" t="s">
        <v>20</v>
      </c>
      <c r="H1376" s="2" t="s">
        <v>20</v>
      </c>
      <c r="I1376" s="2" t="s">
        <v>21</v>
      </c>
      <c r="J1376" s="2" t="n">
        <v>30</v>
      </c>
      <c r="K1376" s="2" t="s">
        <v>32</v>
      </c>
      <c r="L1376" s="2" t="n">
        <v>78</v>
      </c>
      <c r="M1376" s="2" t="n">
        <v>2</v>
      </c>
      <c r="N1376" s="2" t="n">
        <v>176</v>
      </c>
      <c r="O1376" s="2" t="n">
        <v>1</v>
      </c>
      <c r="P1376" s="2" t="s">
        <v>50</v>
      </c>
      <c r="Q1376" s="2" t="s">
        <v>20</v>
      </c>
    </row>
    <row r="1377" customFormat="false" ht="15" hidden="false" customHeight="false" outlineLevel="0" collapsed="false">
      <c r="A1377" s="2" t="n">
        <v>39</v>
      </c>
      <c r="B1377" s="2" t="s">
        <v>38</v>
      </c>
      <c r="C1377" s="2" t="s">
        <v>18</v>
      </c>
      <c r="D1377" s="2" t="s">
        <v>25</v>
      </c>
      <c r="E1377" s="2" t="s">
        <v>20</v>
      </c>
      <c r="F1377" s="2" t="n">
        <v>9121</v>
      </c>
      <c r="G1377" s="2" t="s">
        <v>20</v>
      </c>
      <c r="H1377" s="2" t="s">
        <v>20</v>
      </c>
      <c r="I1377" s="2" t="s">
        <v>23</v>
      </c>
      <c r="J1377" s="2" t="n">
        <v>5</v>
      </c>
      <c r="K1377" s="2" t="s">
        <v>33</v>
      </c>
      <c r="L1377" s="2" t="n">
        <v>147</v>
      </c>
      <c r="M1377" s="2" t="n">
        <v>1</v>
      </c>
      <c r="N1377" s="2" t="n">
        <v>-1</v>
      </c>
      <c r="O1377" s="2" t="n">
        <v>0</v>
      </c>
      <c r="P1377" s="2" t="s">
        <v>23</v>
      </c>
      <c r="Q1377" s="2" t="s">
        <v>20</v>
      </c>
    </row>
    <row r="1378" customFormat="false" ht="15" hidden="false" customHeight="false" outlineLevel="0" collapsed="false">
      <c r="A1378" s="2" t="n">
        <v>28</v>
      </c>
      <c r="B1378" s="2" t="s">
        <v>29</v>
      </c>
      <c r="C1378" s="2" t="s">
        <v>30</v>
      </c>
      <c r="D1378" s="2" t="s">
        <v>31</v>
      </c>
      <c r="E1378" s="2" t="s">
        <v>20</v>
      </c>
      <c r="F1378" s="2" t="n">
        <v>1466</v>
      </c>
      <c r="G1378" s="2" t="s">
        <v>26</v>
      </c>
      <c r="H1378" s="2" t="s">
        <v>20</v>
      </c>
      <c r="I1378" s="2" t="s">
        <v>21</v>
      </c>
      <c r="J1378" s="2" t="n">
        <v>25</v>
      </c>
      <c r="K1378" s="2" t="s">
        <v>44</v>
      </c>
      <c r="L1378" s="2" t="n">
        <v>40</v>
      </c>
      <c r="M1378" s="2" t="n">
        <v>1</v>
      </c>
      <c r="N1378" s="2" t="n">
        <v>-1</v>
      </c>
      <c r="O1378" s="2" t="n">
        <v>0</v>
      </c>
      <c r="P1378" s="2" t="s">
        <v>23</v>
      </c>
      <c r="Q1378" s="2" t="s">
        <v>20</v>
      </c>
    </row>
    <row r="1379" customFormat="false" ht="15" hidden="false" customHeight="false" outlineLevel="0" collapsed="false">
      <c r="A1379" s="2" t="n">
        <v>36</v>
      </c>
      <c r="B1379" s="2" t="s">
        <v>34</v>
      </c>
      <c r="C1379" s="2" t="s">
        <v>18</v>
      </c>
      <c r="D1379" s="2" t="s">
        <v>19</v>
      </c>
      <c r="E1379" s="2" t="s">
        <v>20</v>
      </c>
      <c r="F1379" s="2" t="n">
        <v>0</v>
      </c>
      <c r="G1379" s="2" t="s">
        <v>26</v>
      </c>
      <c r="H1379" s="2" t="s">
        <v>20</v>
      </c>
      <c r="I1379" s="2" t="s">
        <v>21</v>
      </c>
      <c r="J1379" s="2" t="n">
        <v>18</v>
      </c>
      <c r="K1379" s="2" t="s">
        <v>46</v>
      </c>
      <c r="L1379" s="2" t="n">
        <v>618</v>
      </c>
      <c r="M1379" s="2" t="n">
        <v>2</v>
      </c>
      <c r="N1379" s="2" t="n">
        <v>-1</v>
      </c>
      <c r="O1379" s="2" t="n">
        <v>0</v>
      </c>
      <c r="P1379" s="2" t="s">
        <v>23</v>
      </c>
      <c r="Q1379" s="2" t="s">
        <v>20</v>
      </c>
    </row>
    <row r="1380" customFormat="false" ht="15" hidden="false" customHeight="false" outlineLevel="0" collapsed="false">
      <c r="A1380" s="2" t="n">
        <v>41</v>
      </c>
      <c r="B1380" s="2" t="s">
        <v>34</v>
      </c>
      <c r="C1380" s="2" t="s">
        <v>18</v>
      </c>
      <c r="D1380" s="2" t="s">
        <v>19</v>
      </c>
      <c r="E1380" s="2" t="s">
        <v>20</v>
      </c>
      <c r="F1380" s="2" t="n">
        <v>951</v>
      </c>
      <c r="G1380" s="2" t="s">
        <v>26</v>
      </c>
      <c r="H1380" s="2" t="s">
        <v>20</v>
      </c>
      <c r="I1380" s="2" t="s">
        <v>21</v>
      </c>
      <c r="J1380" s="2" t="n">
        <v>20</v>
      </c>
      <c r="K1380" s="2" t="s">
        <v>32</v>
      </c>
      <c r="L1380" s="2" t="n">
        <v>23</v>
      </c>
      <c r="M1380" s="2" t="n">
        <v>4</v>
      </c>
      <c r="N1380" s="2" t="n">
        <v>-1</v>
      </c>
      <c r="O1380" s="2" t="n">
        <v>0</v>
      </c>
      <c r="P1380" s="2" t="s">
        <v>23</v>
      </c>
      <c r="Q1380" s="2" t="s">
        <v>20</v>
      </c>
    </row>
    <row r="1381" customFormat="false" ht="15" hidden="false" customHeight="false" outlineLevel="0" collapsed="false">
      <c r="A1381" s="2" t="n">
        <v>46</v>
      </c>
      <c r="B1381" s="2" t="s">
        <v>40</v>
      </c>
      <c r="C1381" s="2" t="s">
        <v>18</v>
      </c>
      <c r="D1381" s="2" t="s">
        <v>25</v>
      </c>
      <c r="E1381" s="2" t="s">
        <v>20</v>
      </c>
      <c r="F1381" s="2" t="n">
        <v>368</v>
      </c>
      <c r="G1381" s="2" t="s">
        <v>20</v>
      </c>
      <c r="H1381" s="2" t="s">
        <v>20</v>
      </c>
      <c r="I1381" s="2" t="s">
        <v>21</v>
      </c>
      <c r="J1381" s="2" t="n">
        <v>20</v>
      </c>
      <c r="K1381" s="2" t="s">
        <v>41</v>
      </c>
      <c r="L1381" s="2" t="n">
        <v>293</v>
      </c>
      <c r="M1381" s="2" t="n">
        <v>1</v>
      </c>
      <c r="N1381" s="2" t="n">
        <v>90</v>
      </c>
      <c r="O1381" s="2" t="n">
        <v>4</v>
      </c>
      <c r="P1381" s="2" t="s">
        <v>37</v>
      </c>
      <c r="Q1381" s="2" t="s">
        <v>26</v>
      </c>
    </row>
    <row r="1382" customFormat="false" ht="15" hidden="false" customHeight="false" outlineLevel="0" collapsed="false">
      <c r="A1382" s="2" t="n">
        <v>41</v>
      </c>
      <c r="B1382" s="2" t="s">
        <v>34</v>
      </c>
      <c r="C1382" s="2" t="s">
        <v>18</v>
      </c>
      <c r="D1382" s="2" t="s">
        <v>25</v>
      </c>
      <c r="E1382" s="2" t="s">
        <v>20</v>
      </c>
      <c r="F1382" s="2" t="n">
        <v>121</v>
      </c>
      <c r="G1382" s="2" t="s">
        <v>26</v>
      </c>
      <c r="H1382" s="2" t="s">
        <v>20</v>
      </c>
      <c r="I1382" s="2" t="s">
        <v>21</v>
      </c>
      <c r="J1382" s="2" t="n">
        <v>13</v>
      </c>
      <c r="K1382" s="2" t="s">
        <v>27</v>
      </c>
      <c r="L1382" s="2" t="n">
        <v>16</v>
      </c>
      <c r="M1382" s="2" t="n">
        <v>6</v>
      </c>
      <c r="N1382" s="2" t="n">
        <v>176</v>
      </c>
      <c r="O1382" s="2" t="n">
        <v>5</v>
      </c>
      <c r="P1382" s="2" t="s">
        <v>37</v>
      </c>
      <c r="Q1382" s="2" t="s">
        <v>20</v>
      </c>
    </row>
    <row r="1383" customFormat="false" ht="15" hidden="false" customHeight="false" outlineLevel="0" collapsed="false">
      <c r="A1383" s="2" t="n">
        <v>59</v>
      </c>
      <c r="B1383" s="2" t="s">
        <v>24</v>
      </c>
      <c r="C1383" s="2" t="s">
        <v>18</v>
      </c>
      <c r="D1383" s="2" t="s">
        <v>25</v>
      </c>
      <c r="E1383" s="2" t="s">
        <v>20</v>
      </c>
      <c r="F1383" s="2" t="n">
        <v>204</v>
      </c>
      <c r="G1383" s="2" t="s">
        <v>20</v>
      </c>
      <c r="H1383" s="2" t="s">
        <v>20</v>
      </c>
      <c r="I1383" s="2" t="s">
        <v>21</v>
      </c>
      <c r="J1383" s="2" t="n">
        <v>23</v>
      </c>
      <c r="K1383" s="2" t="s">
        <v>44</v>
      </c>
      <c r="L1383" s="2" t="n">
        <v>286</v>
      </c>
      <c r="M1383" s="2" t="n">
        <v>2</v>
      </c>
      <c r="N1383" s="2" t="n">
        <v>-1</v>
      </c>
      <c r="O1383" s="2" t="n">
        <v>0</v>
      </c>
      <c r="P1383" s="2" t="s">
        <v>23</v>
      </c>
      <c r="Q1383" s="2" t="s">
        <v>20</v>
      </c>
    </row>
    <row r="1384" customFormat="false" ht="15" hidden="false" customHeight="false" outlineLevel="0" collapsed="false">
      <c r="A1384" s="2" t="n">
        <v>24</v>
      </c>
      <c r="B1384" s="2" t="s">
        <v>40</v>
      </c>
      <c r="C1384" s="2" t="s">
        <v>18</v>
      </c>
      <c r="D1384" s="2" t="s">
        <v>25</v>
      </c>
      <c r="E1384" s="2" t="s">
        <v>20</v>
      </c>
      <c r="F1384" s="2" t="n">
        <v>299</v>
      </c>
      <c r="G1384" s="2" t="s">
        <v>26</v>
      </c>
      <c r="H1384" s="2" t="s">
        <v>20</v>
      </c>
      <c r="I1384" s="2" t="s">
        <v>21</v>
      </c>
      <c r="J1384" s="2" t="n">
        <v>6</v>
      </c>
      <c r="K1384" s="2" t="s">
        <v>27</v>
      </c>
      <c r="L1384" s="2" t="n">
        <v>209</v>
      </c>
      <c r="M1384" s="2" t="n">
        <v>1</v>
      </c>
      <c r="N1384" s="2" t="n">
        <v>321</v>
      </c>
      <c r="O1384" s="2" t="n">
        <v>1</v>
      </c>
      <c r="P1384" s="2" t="s">
        <v>28</v>
      </c>
      <c r="Q1384" s="2" t="s">
        <v>20</v>
      </c>
    </row>
    <row r="1385" customFormat="false" ht="15" hidden="false" customHeight="false" outlineLevel="0" collapsed="false">
      <c r="A1385" s="2" t="n">
        <v>34</v>
      </c>
      <c r="B1385" s="2" t="s">
        <v>29</v>
      </c>
      <c r="C1385" s="2" t="s">
        <v>18</v>
      </c>
      <c r="D1385" s="2" t="s">
        <v>31</v>
      </c>
      <c r="E1385" s="2" t="s">
        <v>20</v>
      </c>
      <c r="F1385" s="2" t="n">
        <v>4170</v>
      </c>
      <c r="G1385" s="2" t="s">
        <v>26</v>
      </c>
      <c r="H1385" s="2" t="s">
        <v>20</v>
      </c>
      <c r="I1385" s="2" t="s">
        <v>23</v>
      </c>
      <c r="J1385" s="2" t="n">
        <v>21</v>
      </c>
      <c r="K1385" s="2" t="s">
        <v>27</v>
      </c>
      <c r="L1385" s="2" t="n">
        <v>935</v>
      </c>
      <c r="M1385" s="2" t="n">
        <v>1</v>
      </c>
      <c r="N1385" s="2" t="n">
        <v>-1</v>
      </c>
      <c r="O1385" s="2" t="n">
        <v>0</v>
      </c>
      <c r="P1385" s="2" t="s">
        <v>23</v>
      </c>
      <c r="Q1385" s="2" t="s">
        <v>20</v>
      </c>
    </row>
    <row r="1386" customFormat="false" ht="15" hidden="false" customHeight="false" outlineLevel="0" collapsed="false">
      <c r="A1386" s="2" t="n">
        <v>40</v>
      </c>
      <c r="B1386" s="2" t="s">
        <v>34</v>
      </c>
      <c r="C1386" s="2" t="s">
        <v>18</v>
      </c>
      <c r="D1386" s="2" t="s">
        <v>19</v>
      </c>
      <c r="E1386" s="2" t="s">
        <v>20</v>
      </c>
      <c r="F1386" s="2" t="n">
        <v>-335</v>
      </c>
      <c r="G1386" s="2" t="s">
        <v>26</v>
      </c>
      <c r="H1386" s="2" t="s">
        <v>20</v>
      </c>
      <c r="I1386" s="2" t="s">
        <v>23</v>
      </c>
      <c r="J1386" s="2" t="n">
        <v>27</v>
      </c>
      <c r="K1386" s="2" t="s">
        <v>27</v>
      </c>
      <c r="L1386" s="2" t="n">
        <v>260</v>
      </c>
      <c r="M1386" s="2" t="n">
        <v>1</v>
      </c>
      <c r="N1386" s="2" t="n">
        <v>-1</v>
      </c>
      <c r="O1386" s="2" t="n">
        <v>0</v>
      </c>
      <c r="P1386" s="2" t="s">
        <v>23</v>
      </c>
      <c r="Q1386" s="2" t="s">
        <v>20</v>
      </c>
    </row>
    <row r="1387" customFormat="false" ht="15" hidden="false" customHeight="false" outlineLevel="0" collapsed="false">
      <c r="A1387" s="2" t="n">
        <v>42</v>
      </c>
      <c r="B1387" s="2" t="s">
        <v>40</v>
      </c>
      <c r="C1387" s="2" t="s">
        <v>18</v>
      </c>
      <c r="D1387" s="2" t="s">
        <v>25</v>
      </c>
      <c r="E1387" s="2" t="s">
        <v>20</v>
      </c>
      <c r="F1387" s="2" t="n">
        <v>3165</v>
      </c>
      <c r="G1387" s="2" t="s">
        <v>26</v>
      </c>
      <c r="H1387" s="2" t="s">
        <v>20</v>
      </c>
      <c r="I1387" s="2" t="s">
        <v>23</v>
      </c>
      <c r="J1387" s="2" t="n">
        <v>16</v>
      </c>
      <c r="K1387" s="2" t="s">
        <v>33</v>
      </c>
      <c r="L1387" s="2" t="n">
        <v>298</v>
      </c>
      <c r="M1387" s="2" t="n">
        <v>4</v>
      </c>
      <c r="N1387" s="2" t="n">
        <v>-1</v>
      </c>
      <c r="O1387" s="2" t="n">
        <v>0</v>
      </c>
      <c r="P1387" s="2" t="s">
        <v>23</v>
      </c>
      <c r="Q1387" s="2" t="s">
        <v>20</v>
      </c>
    </row>
    <row r="1388" customFormat="false" ht="15" hidden="false" customHeight="false" outlineLevel="0" collapsed="false">
      <c r="A1388" s="2" t="n">
        <v>50</v>
      </c>
      <c r="B1388" s="2" t="s">
        <v>24</v>
      </c>
      <c r="C1388" s="2" t="s">
        <v>18</v>
      </c>
      <c r="D1388" s="2" t="s">
        <v>25</v>
      </c>
      <c r="E1388" s="2" t="s">
        <v>20</v>
      </c>
      <c r="F1388" s="2" t="n">
        <v>254</v>
      </c>
      <c r="G1388" s="2" t="s">
        <v>26</v>
      </c>
      <c r="H1388" s="2" t="s">
        <v>20</v>
      </c>
      <c r="I1388" s="2" t="s">
        <v>21</v>
      </c>
      <c r="J1388" s="2" t="n">
        <v>15</v>
      </c>
      <c r="K1388" s="2" t="s">
        <v>32</v>
      </c>
      <c r="L1388" s="2" t="n">
        <v>397</v>
      </c>
      <c r="M1388" s="2" t="n">
        <v>2</v>
      </c>
      <c r="N1388" s="2" t="n">
        <v>337</v>
      </c>
      <c r="O1388" s="2" t="n">
        <v>1</v>
      </c>
      <c r="P1388" s="2" t="s">
        <v>28</v>
      </c>
      <c r="Q1388" s="2" t="s">
        <v>20</v>
      </c>
    </row>
    <row r="1389" customFormat="false" ht="15" hidden="false" customHeight="false" outlineLevel="0" collapsed="false">
      <c r="A1389" s="2" t="n">
        <v>25</v>
      </c>
      <c r="B1389" s="2" t="s">
        <v>29</v>
      </c>
      <c r="C1389" s="2" t="s">
        <v>30</v>
      </c>
      <c r="D1389" s="2" t="s">
        <v>31</v>
      </c>
      <c r="E1389" s="2" t="s">
        <v>20</v>
      </c>
      <c r="F1389" s="2" t="n">
        <v>553</v>
      </c>
      <c r="G1389" s="2" t="s">
        <v>26</v>
      </c>
      <c r="H1389" s="2" t="s">
        <v>20</v>
      </c>
      <c r="I1389" s="2" t="s">
        <v>21</v>
      </c>
      <c r="J1389" s="2" t="n">
        <v>17</v>
      </c>
      <c r="K1389" s="2" t="s">
        <v>51</v>
      </c>
      <c r="L1389" s="2" t="n">
        <v>113</v>
      </c>
      <c r="M1389" s="2" t="n">
        <v>4</v>
      </c>
      <c r="N1389" s="2" t="n">
        <v>479</v>
      </c>
      <c r="O1389" s="2" t="n">
        <v>1</v>
      </c>
      <c r="P1389" s="2" t="s">
        <v>28</v>
      </c>
      <c r="Q1389" s="2" t="s">
        <v>20</v>
      </c>
    </row>
    <row r="1390" customFormat="false" ht="15" hidden="false" customHeight="false" outlineLevel="0" collapsed="false">
      <c r="A1390" s="2" t="n">
        <v>51</v>
      </c>
      <c r="B1390" s="2" t="s">
        <v>24</v>
      </c>
      <c r="C1390" s="2" t="s">
        <v>45</v>
      </c>
      <c r="D1390" s="2" t="s">
        <v>25</v>
      </c>
      <c r="E1390" s="2" t="s">
        <v>20</v>
      </c>
      <c r="F1390" s="2" t="n">
        <v>518</v>
      </c>
      <c r="G1390" s="2" t="s">
        <v>26</v>
      </c>
      <c r="H1390" s="2" t="s">
        <v>20</v>
      </c>
      <c r="I1390" s="2" t="s">
        <v>49</v>
      </c>
      <c r="J1390" s="2" t="n">
        <v>17</v>
      </c>
      <c r="K1390" s="2" t="s">
        <v>46</v>
      </c>
      <c r="L1390" s="2" t="n">
        <v>76</v>
      </c>
      <c r="M1390" s="2" t="n">
        <v>1</v>
      </c>
      <c r="N1390" s="2" t="n">
        <v>-1</v>
      </c>
      <c r="O1390" s="2" t="n">
        <v>0</v>
      </c>
      <c r="P1390" s="2" t="s">
        <v>23</v>
      </c>
      <c r="Q1390" s="2" t="s">
        <v>20</v>
      </c>
    </row>
    <row r="1391" customFormat="false" ht="15" hidden="false" customHeight="false" outlineLevel="0" collapsed="false">
      <c r="A1391" s="2" t="n">
        <v>50</v>
      </c>
      <c r="B1391" s="2" t="s">
        <v>29</v>
      </c>
      <c r="C1391" s="2" t="s">
        <v>18</v>
      </c>
      <c r="D1391" s="2" t="s">
        <v>31</v>
      </c>
      <c r="E1391" s="2" t="s">
        <v>20</v>
      </c>
      <c r="F1391" s="2" t="n">
        <v>85</v>
      </c>
      <c r="G1391" s="2" t="s">
        <v>20</v>
      </c>
      <c r="H1391" s="2" t="s">
        <v>26</v>
      </c>
      <c r="I1391" s="2" t="s">
        <v>21</v>
      </c>
      <c r="J1391" s="2" t="n">
        <v>1</v>
      </c>
      <c r="K1391" s="2" t="s">
        <v>33</v>
      </c>
      <c r="L1391" s="2" t="n">
        <v>141</v>
      </c>
      <c r="M1391" s="2" t="n">
        <v>1</v>
      </c>
      <c r="N1391" s="2" t="n">
        <v>-1</v>
      </c>
      <c r="O1391" s="2" t="n">
        <v>0</v>
      </c>
      <c r="P1391" s="2" t="s">
        <v>23</v>
      </c>
      <c r="Q1391" s="2" t="s">
        <v>20</v>
      </c>
    </row>
    <row r="1392" customFormat="false" ht="15" hidden="false" customHeight="false" outlineLevel="0" collapsed="false">
      <c r="A1392" s="2" t="n">
        <v>37</v>
      </c>
      <c r="B1392" s="2" t="s">
        <v>34</v>
      </c>
      <c r="C1392" s="2" t="s">
        <v>18</v>
      </c>
      <c r="D1392" s="2" t="s">
        <v>23</v>
      </c>
      <c r="E1392" s="2" t="s">
        <v>20</v>
      </c>
      <c r="F1392" s="2" t="n">
        <v>603</v>
      </c>
      <c r="G1392" s="2" t="s">
        <v>26</v>
      </c>
      <c r="H1392" s="2" t="s">
        <v>20</v>
      </c>
      <c r="I1392" s="2" t="s">
        <v>23</v>
      </c>
      <c r="J1392" s="2" t="n">
        <v>23</v>
      </c>
      <c r="K1392" s="2" t="s">
        <v>27</v>
      </c>
      <c r="L1392" s="2" t="n">
        <v>773</v>
      </c>
      <c r="M1392" s="2" t="n">
        <v>2</v>
      </c>
      <c r="N1392" s="2" t="n">
        <v>-1</v>
      </c>
      <c r="O1392" s="2" t="n">
        <v>0</v>
      </c>
      <c r="P1392" s="2" t="s">
        <v>23</v>
      </c>
      <c r="Q1392" s="2" t="s">
        <v>20</v>
      </c>
    </row>
    <row r="1393" customFormat="false" ht="15" hidden="false" customHeight="false" outlineLevel="0" collapsed="false">
      <c r="A1393" s="2" t="n">
        <v>21</v>
      </c>
      <c r="B1393" s="2" t="s">
        <v>24</v>
      </c>
      <c r="C1393" s="2" t="s">
        <v>30</v>
      </c>
      <c r="D1393" s="2" t="s">
        <v>25</v>
      </c>
      <c r="E1393" s="2" t="s">
        <v>20</v>
      </c>
      <c r="F1393" s="2" t="n">
        <v>361</v>
      </c>
      <c r="G1393" s="2" t="s">
        <v>20</v>
      </c>
      <c r="H1393" s="2" t="s">
        <v>20</v>
      </c>
      <c r="I1393" s="2" t="s">
        <v>49</v>
      </c>
      <c r="J1393" s="2" t="n">
        <v>5</v>
      </c>
      <c r="K1393" s="2" t="s">
        <v>33</v>
      </c>
      <c r="L1393" s="2" t="n">
        <v>329</v>
      </c>
      <c r="M1393" s="2" t="n">
        <v>1</v>
      </c>
      <c r="N1393" s="2" t="n">
        <v>95</v>
      </c>
      <c r="O1393" s="2" t="n">
        <v>1</v>
      </c>
      <c r="P1393" s="2" t="s">
        <v>37</v>
      </c>
      <c r="Q1393" s="2" t="s">
        <v>20</v>
      </c>
    </row>
    <row r="1394" customFormat="false" ht="15" hidden="false" customHeight="false" outlineLevel="0" collapsed="false">
      <c r="A1394" s="2" t="n">
        <v>52</v>
      </c>
      <c r="B1394" s="2" t="s">
        <v>34</v>
      </c>
      <c r="C1394" s="2" t="s">
        <v>18</v>
      </c>
      <c r="D1394" s="2" t="s">
        <v>25</v>
      </c>
      <c r="E1394" s="2" t="s">
        <v>20</v>
      </c>
      <c r="F1394" s="2" t="n">
        <v>-98</v>
      </c>
      <c r="G1394" s="2" t="s">
        <v>26</v>
      </c>
      <c r="H1394" s="2" t="s">
        <v>20</v>
      </c>
      <c r="I1394" s="2" t="s">
        <v>23</v>
      </c>
      <c r="J1394" s="2" t="n">
        <v>7</v>
      </c>
      <c r="K1394" s="2" t="s">
        <v>27</v>
      </c>
      <c r="L1394" s="2" t="n">
        <v>423</v>
      </c>
      <c r="M1394" s="2" t="n">
        <v>1</v>
      </c>
      <c r="N1394" s="2" t="n">
        <v>-1</v>
      </c>
      <c r="O1394" s="2" t="n">
        <v>0</v>
      </c>
      <c r="P1394" s="2" t="s">
        <v>23</v>
      </c>
      <c r="Q1394" s="2" t="s">
        <v>20</v>
      </c>
    </row>
    <row r="1395" customFormat="false" ht="15" hidden="false" customHeight="false" outlineLevel="0" collapsed="false">
      <c r="A1395" s="2" t="n">
        <v>55</v>
      </c>
      <c r="B1395" s="2" t="s">
        <v>48</v>
      </c>
      <c r="C1395" s="2" t="s">
        <v>18</v>
      </c>
      <c r="D1395" s="2" t="s">
        <v>19</v>
      </c>
      <c r="E1395" s="2" t="s">
        <v>20</v>
      </c>
      <c r="F1395" s="2" t="n">
        <v>4424</v>
      </c>
      <c r="G1395" s="2" t="s">
        <v>20</v>
      </c>
      <c r="H1395" s="2" t="s">
        <v>20</v>
      </c>
      <c r="I1395" s="2" t="s">
        <v>21</v>
      </c>
      <c r="J1395" s="2" t="n">
        <v>5</v>
      </c>
      <c r="K1395" s="2" t="s">
        <v>41</v>
      </c>
      <c r="L1395" s="2" t="n">
        <v>67</v>
      </c>
      <c r="M1395" s="2" t="n">
        <v>4</v>
      </c>
      <c r="N1395" s="2" t="n">
        <v>-1</v>
      </c>
      <c r="O1395" s="2" t="n">
        <v>0</v>
      </c>
      <c r="P1395" s="2" t="s">
        <v>23</v>
      </c>
      <c r="Q1395" s="2" t="s">
        <v>20</v>
      </c>
    </row>
    <row r="1396" customFormat="false" ht="15" hidden="false" customHeight="false" outlineLevel="0" collapsed="false">
      <c r="A1396" s="2" t="n">
        <v>26</v>
      </c>
      <c r="B1396" s="2" t="s">
        <v>38</v>
      </c>
      <c r="C1396" s="2" t="s">
        <v>30</v>
      </c>
      <c r="D1396" s="2" t="s">
        <v>25</v>
      </c>
      <c r="E1396" s="2" t="s">
        <v>20</v>
      </c>
      <c r="F1396" s="2" t="n">
        <v>2610</v>
      </c>
      <c r="G1396" s="2" t="s">
        <v>26</v>
      </c>
      <c r="H1396" s="2" t="s">
        <v>26</v>
      </c>
      <c r="I1396" s="2" t="s">
        <v>23</v>
      </c>
      <c r="J1396" s="2" t="n">
        <v>2</v>
      </c>
      <c r="K1396" s="2" t="s">
        <v>33</v>
      </c>
      <c r="L1396" s="2" t="n">
        <v>626</v>
      </c>
      <c r="M1396" s="2" t="n">
        <v>1</v>
      </c>
      <c r="N1396" s="2" t="n">
        <v>-1</v>
      </c>
      <c r="O1396" s="2" t="n">
        <v>0</v>
      </c>
      <c r="P1396" s="2" t="s">
        <v>23</v>
      </c>
      <c r="Q1396" s="2" t="s">
        <v>20</v>
      </c>
    </row>
    <row r="1397" customFormat="false" ht="15" hidden="false" customHeight="false" outlineLevel="0" collapsed="false">
      <c r="A1397" s="2" t="n">
        <v>38</v>
      </c>
      <c r="B1397" s="2" t="s">
        <v>38</v>
      </c>
      <c r="C1397" s="2" t="s">
        <v>18</v>
      </c>
      <c r="D1397" s="2" t="s">
        <v>31</v>
      </c>
      <c r="E1397" s="2" t="s">
        <v>20</v>
      </c>
      <c r="F1397" s="2" t="n">
        <v>3234</v>
      </c>
      <c r="G1397" s="2" t="s">
        <v>20</v>
      </c>
      <c r="H1397" s="2" t="s">
        <v>20</v>
      </c>
      <c r="I1397" s="2" t="s">
        <v>21</v>
      </c>
      <c r="J1397" s="2" t="n">
        <v>18</v>
      </c>
      <c r="K1397" s="2" t="s">
        <v>46</v>
      </c>
      <c r="L1397" s="2" t="n">
        <v>578</v>
      </c>
      <c r="M1397" s="2" t="n">
        <v>2</v>
      </c>
      <c r="N1397" s="2" t="n">
        <v>-1</v>
      </c>
      <c r="O1397" s="2" t="n">
        <v>0</v>
      </c>
      <c r="P1397" s="2" t="s">
        <v>23</v>
      </c>
      <c r="Q1397" s="2" t="s">
        <v>26</v>
      </c>
    </row>
    <row r="1398" customFormat="false" ht="15" hidden="false" customHeight="false" outlineLevel="0" collapsed="false">
      <c r="A1398" s="2" t="n">
        <v>32</v>
      </c>
      <c r="B1398" s="2" t="s">
        <v>34</v>
      </c>
      <c r="C1398" s="2" t="s">
        <v>18</v>
      </c>
      <c r="D1398" s="2" t="s">
        <v>25</v>
      </c>
      <c r="E1398" s="2" t="s">
        <v>20</v>
      </c>
      <c r="F1398" s="2" t="n">
        <v>687</v>
      </c>
      <c r="G1398" s="2" t="s">
        <v>26</v>
      </c>
      <c r="H1398" s="2" t="s">
        <v>20</v>
      </c>
      <c r="I1398" s="2" t="s">
        <v>23</v>
      </c>
      <c r="J1398" s="2" t="n">
        <v>9</v>
      </c>
      <c r="K1398" s="2" t="s">
        <v>27</v>
      </c>
      <c r="L1398" s="2" t="n">
        <v>61</v>
      </c>
      <c r="M1398" s="2" t="n">
        <v>1</v>
      </c>
      <c r="N1398" s="2" t="n">
        <v>-1</v>
      </c>
      <c r="O1398" s="2" t="n">
        <v>0</v>
      </c>
      <c r="P1398" s="2" t="s">
        <v>23</v>
      </c>
      <c r="Q1398" s="2" t="s">
        <v>20</v>
      </c>
    </row>
    <row r="1399" customFormat="false" ht="15" hidden="false" customHeight="false" outlineLevel="0" collapsed="false">
      <c r="A1399" s="2" t="n">
        <v>31</v>
      </c>
      <c r="B1399" s="2" t="s">
        <v>34</v>
      </c>
      <c r="C1399" s="2" t="s">
        <v>18</v>
      </c>
      <c r="D1399" s="2" t="s">
        <v>25</v>
      </c>
      <c r="E1399" s="2" t="s">
        <v>20</v>
      </c>
      <c r="F1399" s="2" t="n">
        <v>631</v>
      </c>
      <c r="G1399" s="2" t="s">
        <v>26</v>
      </c>
      <c r="H1399" s="2" t="s">
        <v>20</v>
      </c>
      <c r="I1399" s="2" t="s">
        <v>23</v>
      </c>
      <c r="J1399" s="2" t="n">
        <v>23</v>
      </c>
      <c r="K1399" s="2" t="s">
        <v>27</v>
      </c>
      <c r="L1399" s="2" t="n">
        <v>248</v>
      </c>
      <c r="M1399" s="2" t="n">
        <v>4</v>
      </c>
      <c r="N1399" s="2" t="n">
        <v>-1</v>
      </c>
      <c r="O1399" s="2" t="n">
        <v>0</v>
      </c>
      <c r="P1399" s="2" t="s">
        <v>23</v>
      </c>
      <c r="Q1399" s="2" t="s">
        <v>20</v>
      </c>
    </row>
    <row r="1400" customFormat="false" ht="15" hidden="false" customHeight="false" outlineLevel="0" collapsed="false">
      <c r="A1400" s="2" t="n">
        <v>34</v>
      </c>
      <c r="B1400" s="2" t="s">
        <v>38</v>
      </c>
      <c r="C1400" s="2" t="s">
        <v>30</v>
      </c>
      <c r="D1400" s="2" t="s">
        <v>25</v>
      </c>
      <c r="E1400" s="2" t="s">
        <v>20</v>
      </c>
      <c r="F1400" s="2" t="n">
        <v>341</v>
      </c>
      <c r="G1400" s="2" t="s">
        <v>20</v>
      </c>
      <c r="H1400" s="2" t="s">
        <v>26</v>
      </c>
      <c r="I1400" s="2" t="s">
        <v>21</v>
      </c>
      <c r="J1400" s="2" t="n">
        <v>29</v>
      </c>
      <c r="K1400" s="2" t="s">
        <v>43</v>
      </c>
      <c r="L1400" s="2" t="n">
        <v>136</v>
      </c>
      <c r="M1400" s="2" t="n">
        <v>1</v>
      </c>
      <c r="N1400" s="2" t="n">
        <v>262</v>
      </c>
      <c r="O1400" s="2" t="n">
        <v>3</v>
      </c>
      <c r="P1400" s="2" t="s">
        <v>28</v>
      </c>
      <c r="Q1400" s="2" t="s">
        <v>20</v>
      </c>
    </row>
    <row r="1401" customFormat="false" ht="15" hidden="false" customHeight="false" outlineLevel="0" collapsed="false">
      <c r="A1401" s="2" t="n">
        <v>33</v>
      </c>
      <c r="B1401" s="2" t="s">
        <v>38</v>
      </c>
      <c r="C1401" s="2" t="s">
        <v>30</v>
      </c>
      <c r="D1401" s="2" t="s">
        <v>31</v>
      </c>
      <c r="E1401" s="2" t="s">
        <v>20</v>
      </c>
      <c r="F1401" s="2" t="n">
        <v>316</v>
      </c>
      <c r="G1401" s="2" t="s">
        <v>20</v>
      </c>
      <c r="H1401" s="2" t="s">
        <v>20</v>
      </c>
      <c r="I1401" s="2" t="s">
        <v>21</v>
      </c>
      <c r="J1401" s="2" t="n">
        <v>21</v>
      </c>
      <c r="K1401" s="2" t="s">
        <v>41</v>
      </c>
      <c r="L1401" s="2" t="n">
        <v>126</v>
      </c>
      <c r="M1401" s="2" t="n">
        <v>3</v>
      </c>
      <c r="N1401" s="2" t="n">
        <v>-1</v>
      </c>
      <c r="O1401" s="2" t="n">
        <v>0</v>
      </c>
      <c r="P1401" s="2" t="s">
        <v>23</v>
      </c>
      <c r="Q1401" s="2" t="s">
        <v>20</v>
      </c>
    </row>
    <row r="1402" customFormat="false" ht="15" hidden="false" customHeight="false" outlineLevel="0" collapsed="false">
      <c r="A1402" s="2" t="n">
        <v>35</v>
      </c>
      <c r="B1402" s="2" t="s">
        <v>38</v>
      </c>
      <c r="C1402" s="2" t="s">
        <v>18</v>
      </c>
      <c r="D1402" s="2" t="s">
        <v>25</v>
      </c>
      <c r="E1402" s="2" t="s">
        <v>20</v>
      </c>
      <c r="F1402" s="2" t="n">
        <v>2</v>
      </c>
      <c r="G1402" s="2" t="s">
        <v>20</v>
      </c>
      <c r="H1402" s="2" t="s">
        <v>20</v>
      </c>
      <c r="I1402" s="2" t="s">
        <v>49</v>
      </c>
      <c r="J1402" s="2" t="n">
        <v>28</v>
      </c>
      <c r="K1402" s="2" t="s">
        <v>43</v>
      </c>
      <c r="L1402" s="2" t="n">
        <v>653</v>
      </c>
      <c r="M1402" s="2" t="n">
        <v>3</v>
      </c>
      <c r="N1402" s="2" t="n">
        <v>-1</v>
      </c>
      <c r="O1402" s="2" t="n">
        <v>0</v>
      </c>
      <c r="P1402" s="2" t="s">
        <v>23</v>
      </c>
      <c r="Q1402" s="2" t="s">
        <v>20</v>
      </c>
    </row>
    <row r="1403" customFormat="false" ht="15" hidden="false" customHeight="false" outlineLevel="0" collapsed="false">
      <c r="A1403" s="2" t="n">
        <v>44</v>
      </c>
      <c r="B1403" s="2" t="s">
        <v>29</v>
      </c>
      <c r="C1403" s="2" t="s">
        <v>18</v>
      </c>
      <c r="D1403" s="2" t="s">
        <v>23</v>
      </c>
      <c r="E1403" s="2" t="s">
        <v>20</v>
      </c>
      <c r="F1403" s="2" t="n">
        <v>415</v>
      </c>
      <c r="G1403" s="2" t="s">
        <v>26</v>
      </c>
      <c r="H1403" s="2" t="s">
        <v>20</v>
      </c>
      <c r="I1403" s="2" t="s">
        <v>49</v>
      </c>
      <c r="J1403" s="2" t="n">
        <v>14</v>
      </c>
      <c r="K1403" s="2" t="s">
        <v>27</v>
      </c>
      <c r="L1403" s="2" t="n">
        <v>7</v>
      </c>
      <c r="M1403" s="2" t="n">
        <v>7</v>
      </c>
      <c r="N1403" s="2" t="n">
        <v>-1</v>
      </c>
      <c r="O1403" s="2" t="n">
        <v>0</v>
      </c>
      <c r="P1403" s="2" t="s">
        <v>23</v>
      </c>
      <c r="Q1403" s="2" t="s">
        <v>20</v>
      </c>
    </row>
    <row r="1404" customFormat="false" ht="15" hidden="false" customHeight="false" outlineLevel="0" collapsed="false">
      <c r="A1404" s="2" t="n">
        <v>48</v>
      </c>
      <c r="B1404" s="2" t="s">
        <v>29</v>
      </c>
      <c r="C1404" s="2" t="s">
        <v>45</v>
      </c>
      <c r="D1404" s="2" t="s">
        <v>31</v>
      </c>
      <c r="E1404" s="2" t="s">
        <v>20</v>
      </c>
      <c r="F1404" s="2" t="n">
        <v>507</v>
      </c>
      <c r="G1404" s="2" t="s">
        <v>26</v>
      </c>
      <c r="H1404" s="2" t="s">
        <v>20</v>
      </c>
      <c r="I1404" s="2" t="s">
        <v>21</v>
      </c>
      <c r="J1404" s="2" t="n">
        <v>9</v>
      </c>
      <c r="K1404" s="2" t="s">
        <v>32</v>
      </c>
      <c r="L1404" s="2" t="n">
        <v>528</v>
      </c>
      <c r="M1404" s="2" t="n">
        <v>1</v>
      </c>
      <c r="N1404" s="2" t="n">
        <v>-1</v>
      </c>
      <c r="O1404" s="2" t="n">
        <v>0</v>
      </c>
      <c r="P1404" s="2" t="s">
        <v>23</v>
      </c>
      <c r="Q1404" s="2" t="s">
        <v>20</v>
      </c>
    </row>
    <row r="1405" customFormat="false" ht="15" hidden="false" customHeight="false" outlineLevel="0" collapsed="false">
      <c r="A1405" s="2" t="n">
        <v>29</v>
      </c>
      <c r="B1405" s="2" t="s">
        <v>34</v>
      </c>
      <c r="C1405" s="2" t="s">
        <v>18</v>
      </c>
      <c r="D1405" s="2" t="s">
        <v>25</v>
      </c>
      <c r="E1405" s="2" t="s">
        <v>20</v>
      </c>
      <c r="F1405" s="2" t="n">
        <v>912</v>
      </c>
      <c r="G1405" s="2" t="s">
        <v>26</v>
      </c>
      <c r="H1405" s="2" t="s">
        <v>20</v>
      </c>
      <c r="I1405" s="2" t="s">
        <v>21</v>
      </c>
      <c r="J1405" s="2" t="n">
        <v>13</v>
      </c>
      <c r="K1405" s="2" t="s">
        <v>27</v>
      </c>
      <c r="L1405" s="2" t="n">
        <v>785</v>
      </c>
      <c r="M1405" s="2" t="n">
        <v>1</v>
      </c>
      <c r="N1405" s="2" t="n">
        <v>-1</v>
      </c>
      <c r="O1405" s="2" t="n">
        <v>0</v>
      </c>
      <c r="P1405" s="2" t="s">
        <v>23</v>
      </c>
      <c r="Q1405" s="2" t="s">
        <v>20</v>
      </c>
    </row>
    <row r="1406" customFormat="false" ht="15" hidden="false" customHeight="false" outlineLevel="0" collapsed="false">
      <c r="A1406" s="2" t="n">
        <v>50</v>
      </c>
      <c r="B1406" s="2" t="s">
        <v>29</v>
      </c>
      <c r="C1406" s="2" t="s">
        <v>18</v>
      </c>
      <c r="D1406" s="2" t="s">
        <v>31</v>
      </c>
      <c r="E1406" s="2" t="s">
        <v>20</v>
      </c>
      <c r="F1406" s="2" t="n">
        <v>0</v>
      </c>
      <c r="G1406" s="2" t="s">
        <v>20</v>
      </c>
      <c r="H1406" s="2" t="s">
        <v>20</v>
      </c>
      <c r="I1406" s="2" t="s">
        <v>21</v>
      </c>
      <c r="J1406" s="2" t="n">
        <v>9</v>
      </c>
      <c r="K1406" s="2" t="s">
        <v>44</v>
      </c>
      <c r="L1406" s="2" t="n">
        <v>243</v>
      </c>
      <c r="M1406" s="2" t="n">
        <v>5</v>
      </c>
      <c r="N1406" s="2" t="n">
        <v>-1</v>
      </c>
      <c r="O1406" s="2" t="n">
        <v>0</v>
      </c>
      <c r="P1406" s="2" t="s">
        <v>23</v>
      </c>
      <c r="Q1406" s="2" t="s">
        <v>20</v>
      </c>
    </row>
    <row r="1407" customFormat="false" ht="15" hidden="false" customHeight="false" outlineLevel="0" collapsed="false">
      <c r="A1407" s="2" t="n">
        <v>37</v>
      </c>
      <c r="B1407" s="2" t="s">
        <v>34</v>
      </c>
      <c r="C1407" s="2" t="s">
        <v>18</v>
      </c>
      <c r="D1407" s="2" t="s">
        <v>19</v>
      </c>
      <c r="E1407" s="2" t="s">
        <v>20</v>
      </c>
      <c r="F1407" s="2" t="n">
        <v>37</v>
      </c>
      <c r="G1407" s="2" t="s">
        <v>26</v>
      </c>
      <c r="H1407" s="2" t="s">
        <v>20</v>
      </c>
      <c r="I1407" s="2" t="s">
        <v>21</v>
      </c>
      <c r="J1407" s="2" t="n">
        <v>13</v>
      </c>
      <c r="K1407" s="2" t="s">
        <v>27</v>
      </c>
      <c r="L1407" s="2" t="n">
        <v>24</v>
      </c>
      <c r="M1407" s="2" t="n">
        <v>2</v>
      </c>
      <c r="N1407" s="2" t="n">
        <v>362</v>
      </c>
      <c r="O1407" s="2" t="n">
        <v>1</v>
      </c>
      <c r="P1407" s="2" t="s">
        <v>37</v>
      </c>
      <c r="Q1407" s="2" t="s">
        <v>20</v>
      </c>
    </row>
    <row r="1408" customFormat="false" ht="15" hidden="false" customHeight="false" outlineLevel="0" collapsed="false">
      <c r="A1408" s="2" t="n">
        <v>44</v>
      </c>
      <c r="B1408" s="2" t="s">
        <v>40</v>
      </c>
      <c r="C1408" s="2" t="s">
        <v>30</v>
      </c>
      <c r="D1408" s="2" t="s">
        <v>25</v>
      </c>
      <c r="E1408" s="2" t="s">
        <v>20</v>
      </c>
      <c r="F1408" s="2" t="n">
        <v>2524</v>
      </c>
      <c r="G1408" s="2" t="s">
        <v>20</v>
      </c>
      <c r="H1408" s="2" t="s">
        <v>20</v>
      </c>
      <c r="I1408" s="2" t="s">
        <v>23</v>
      </c>
      <c r="J1408" s="2" t="n">
        <v>19</v>
      </c>
      <c r="K1408" s="2" t="s">
        <v>33</v>
      </c>
      <c r="L1408" s="2" t="n">
        <v>82</v>
      </c>
      <c r="M1408" s="2" t="n">
        <v>1</v>
      </c>
      <c r="N1408" s="2" t="n">
        <v>-1</v>
      </c>
      <c r="O1408" s="2" t="n">
        <v>0</v>
      </c>
      <c r="P1408" s="2" t="s">
        <v>23</v>
      </c>
      <c r="Q1408" s="2" t="s">
        <v>20</v>
      </c>
    </row>
    <row r="1409" customFormat="false" ht="15" hidden="false" customHeight="false" outlineLevel="0" collapsed="false">
      <c r="A1409" s="2" t="n">
        <v>36</v>
      </c>
      <c r="B1409" s="2" t="s">
        <v>17</v>
      </c>
      <c r="C1409" s="2" t="s">
        <v>30</v>
      </c>
      <c r="D1409" s="2" t="s">
        <v>31</v>
      </c>
      <c r="E1409" s="2" t="s">
        <v>20</v>
      </c>
      <c r="F1409" s="2" t="n">
        <v>9019</v>
      </c>
      <c r="G1409" s="2" t="s">
        <v>26</v>
      </c>
      <c r="H1409" s="2" t="s">
        <v>20</v>
      </c>
      <c r="I1409" s="2" t="s">
        <v>23</v>
      </c>
      <c r="J1409" s="2" t="n">
        <v>11</v>
      </c>
      <c r="K1409" s="2" t="s">
        <v>33</v>
      </c>
      <c r="L1409" s="2" t="n">
        <v>952</v>
      </c>
      <c r="M1409" s="2" t="n">
        <v>3</v>
      </c>
      <c r="N1409" s="2" t="n">
        <v>-1</v>
      </c>
      <c r="O1409" s="2" t="n">
        <v>0</v>
      </c>
      <c r="P1409" s="2" t="s">
        <v>23</v>
      </c>
      <c r="Q1409" s="2" t="s">
        <v>20</v>
      </c>
    </row>
    <row r="1410" customFormat="false" ht="15" hidden="false" customHeight="false" outlineLevel="0" collapsed="false">
      <c r="A1410" s="2" t="n">
        <v>49</v>
      </c>
      <c r="B1410" s="2" t="s">
        <v>34</v>
      </c>
      <c r="C1410" s="2" t="s">
        <v>45</v>
      </c>
      <c r="D1410" s="2" t="s">
        <v>23</v>
      </c>
      <c r="E1410" s="2" t="s">
        <v>20</v>
      </c>
      <c r="F1410" s="2" t="n">
        <v>39</v>
      </c>
      <c r="G1410" s="2" t="s">
        <v>26</v>
      </c>
      <c r="H1410" s="2" t="s">
        <v>20</v>
      </c>
      <c r="I1410" s="2" t="s">
        <v>21</v>
      </c>
      <c r="J1410" s="2" t="n">
        <v>13</v>
      </c>
      <c r="K1410" s="2" t="s">
        <v>27</v>
      </c>
      <c r="L1410" s="2" t="n">
        <v>27</v>
      </c>
      <c r="M1410" s="2" t="n">
        <v>5</v>
      </c>
      <c r="N1410" s="2" t="n">
        <v>-1</v>
      </c>
      <c r="O1410" s="2" t="n">
        <v>0</v>
      </c>
      <c r="P1410" s="2" t="s">
        <v>23</v>
      </c>
      <c r="Q1410" s="2" t="s">
        <v>20</v>
      </c>
    </row>
    <row r="1411" customFormat="false" ht="15" hidden="false" customHeight="false" outlineLevel="0" collapsed="false">
      <c r="A1411" s="2" t="n">
        <v>31</v>
      </c>
      <c r="B1411" s="2" t="s">
        <v>34</v>
      </c>
      <c r="C1411" s="2" t="s">
        <v>18</v>
      </c>
      <c r="D1411" s="2" t="s">
        <v>25</v>
      </c>
      <c r="E1411" s="2" t="s">
        <v>20</v>
      </c>
      <c r="F1411" s="2" t="n">
        <v>0</v>
      </c>
      <c r="G1411" s="2" t="s">
        <v>26</v>
      </c>
      <c r="H1411" s="2" t="s">
        <v>20</v>
      </c>
      <c r="I1411" s="2" t="s">
        <v>23</v>
      </c>
      <c r="J1411" s="2" t="n">
        <v>5</v>
      </c>
      <c r="K1411" s="2" t="s">
        <v>27</v>
      </c>
      <c r="L1411" s="2" t="n">
        <v>143</v>
      </c>
      <c r="M1411" s="2" t="n">
        <v>1</v>
      </c>
      <c r="N1411" s="2" t="n">
        <v>-1</v>
      </c>
      <c r="O1411" s="2" t="n">
        <v>0</v>
      </c>
      <c r="P1411" s="2" t="s">
        <v>23</v>
      </c>
      <c r="Q1411" s="2" t="s">
        <v>20</v>
      </c>
    </row>
    <row r="1412" customFormat="false" ht="15" hidden="false" customHeight="false" outlineLevel="0" collapsed="false">
      <c r="A1412" s="2" t="n">
        <v>49</v>
      </c>
      <c r="B1412" s="2" t="s">
        <v>38</v>
      </c>
      <c r="C1412" s="2" t="s">
        <v>45</v>
      </c>
      <c r="D1412" s="2" t="s">
        <v>25</v>
      </c>
      <c r="E1412" s="2" t="s">
        <v>20</v>
      </c>
      <c r="F1412" s="2" t="n">
        <v>265</v>
      </c>
      <c r="G1412" s="2" t="s">
        <v>26</v>
      </c>
      <c r="H1412" s="2" t="s">
        <v>20</v>
      </c>
      <c r="I1412" s="2" t="s">
        <v>23</v>
      </c>
      <c r="J1412" s="2" t="n">
        <v>12</v>
      </c>
      <c r="K1412" s="2" t="s">
        <v>27</v>
      </c>
      <c r="L1412" s="2" t="n">
        <v>274</v>
      </c>
      <c r="M1412" s="2" t="n">
        <v>6</v>
      </c>
      <c r="N1412" s="2" t="n">
        <v>-1</v>
      </c>
      <c r="O1412" s="2" t="n">
        <v>0</v>
      </c>
      <c r="P1412" s="2" t="s">
        <v>23</v>
      </c>
      <c r="Q1412" s="2" t="s">
        <v>20</v>
      </c>
    </row>
    <row r="1413" customFormat="false" ht="15" hidden="false" customHeight="false" outlineLevel="0" collapsed="false">
      <c r="A1413" s="2" t="n">
        <v>35</v>
      </c>
      <c r="B1413" s="2" t="s">
        <v>34</v>
      </c>
      <c r="C1413" s="2" t="s">
        <v>30</v>
      </c>
      <c r="D1413" s="2" t="s">
        <v>25</v>
      </c>
      <c r="E1413" s="2" t="s">
        <v>20</v>
      </c>
      <c r="F1413" s="2" t="n">
        <v>0</v>
      </c>
      <c r="G1413" s="2" t="s">
        <v>26</v>
      </c>
      <c r="H1413" s="2" t="s">
        <v>20</v>
      </c>
      <c r="I1413" s="2" t="s">
        <v>21</v>
      </c>
      <c r="J1413" s="2" t="n">
        <v>16</v>
      </c>
      <c r="K1413" s="2" t="s">
        <v>32</v>
      </c>
      <c r="L1413" s="2" t="n">
        <v>1174</v>
      </c>
      <c r="M1413" s="2" t="n">
        <v>1</v>
      </c>
      <c r="N1413" s="2" t="n">
        <v>345</v>
      </c>
      <c r="O1413" s="2" t="n">
        <v>4</v>
      </c>
      <c r="P1413" s="2" t="s">
        <v>37</v>
      </c>
      <c r="Q1413" s="2" t="s">
        <v>26</v>
      </c>
    </row>
    <row r="1414" customFormat="false" ht="15" hidden="false" customHeight="false" outlineLevel="0" collapsed="false">
      <c r="A1414" s="2" t="n">
        <v>57</v>
      </c>
      <c r="B1414" s="2" t="s">
        <v>40</v>
      </c>
      <c r="C1414" s="2" t="s">
        <v>45</v>
      </c>
      <c r="D1414" s="2" t="s">
        <v>23</v>
      </c>
      <c r="E1414" s="2" t="s">
        <v>20</v>
      </c>
      <c r="F1414" s="2" t="n">
        <v>4012</v>
      </c>
      <c r="G1414" s="2" t="s">
        <v>20</v>
      </c>
      <c r="H1414" s="2" t="s">
        <v>20</v>
      </c>
      <c r="I1414" s="2" t="s">
        <v>21</v>
      </c>
      <c r="J1414" s="2" t="n">
        <v>20</v>
      </c>
      <c r="K1414" s="2" t="s">
        <v>46</v>
      </c>
      <c r="L1414" s="2" t="n">
        <v>915</v>
      </c>
      <c r="M1414" s="2" t="n">
        <v>1</v>
      </c>
      <c r="N1414" s="2" t="n">
        <v>-1</v>
      </c>
      <c r="O1414" s="2" t="n">
        <v>0</v>
      </c>
      <c r="P1414" s="2" t="s">
        <v>23</v>
      </c>
      <c r="Q1414" s="2" t="s">
        <v>20</v>
      </c>
    </row>
    <row r="1415" customFormat="false" ht="15" hidden="false" customHeight="false" outlineLevel="0" collapsed="false">
      <c r="A1415" s="2" t="n">
        <v>42</v>
      </c>
      <c r="B1415" s="2" t="s">
        <v>34</v>
      </c>
      <c r="C1415" s="2" t="s">
        <v>18</v>
      </c>
      <c r="D1415" s="2" t="s">
        <v>19</v>
      </c>
      <c r="E1415" s="2" t="s">
        <v>20</v>
      </c>
      <c r="F1415" s="2" t="n">
        <v>1520</v>
      </c>
      <c r="G1415" s="2" t="s">
        <v>26</v>
      </c>
      <c r="H1415" s="2" t="s">
        <v>20</v>
      </c>
      <c r="I1415" s="2" t="s">
        <v>21</v>
      </c>
      <c r="J1415" s="2" t="n">
        <v>5</v>
      </c>
      <c r="K1415" s="2" t="s">
        <v>35</v>
      </c>
      <c r="L1415" s="2" t="n">
        <v>115</v>
      </c>
      <c r="M1415" s="2" t="n">
        <v>1</v>
      </c>
      <c r="N1415" s="2" t="n">
        <v>-1</v>
      </c>
      <c r="O1415" s="2" t="n">
        <v>0</v>
      </c>
      <c r="P1415" s="2" t="s">
        <v>23</v>
      </c>
      <c r="Q1415" s="2" t="s">
        <v>20</v>
      </c>
    </row>
    <row r="1416" customFormat="false" ht="15" hidden="false" customHeight="false" outlineLevel="0" collapsed="false">
      <c r="A1416" s="2" t="n">
        <v>36</v>
      </c>
      <c r="B1416" s="2" t="s">
        <v>34</v>
      </c>
      <c r="C1416" s="2" t="s">
        <v>45</v>
      </c>
      <c r="D1416" s="2" t="s">
        <v>25</v>
      </c>
      <c r="E1416" s="2" t="s">
        <v>20</v>
      </c>
      <c r="F1416" s="2" t="n">
        <v>-140</v>
      </c>
      <c r="G1416" s="2" t="s">
        <v>26</v>
      </c>
      <c r="H1416" s="2" t="s">
        <v>20</v>
      </c>
      <c r="I1416" s="2" t="s">
        <v>23</v>
      </c>
      <c r="J1416" s="2" t="n">
        <v>26</v>
      </c>
      <c r="K1416" s="2" t="s">
        <v>27</v>
      </c>
      <c r="L1416" s="2" t="n">
        <v>222</v>
      </c>
      <c r="M1416" s="2" t="n">
        <v>2</v>
      </c>
      <c r="N1416" s="2" t="n">
        <v>-1</v>
      </c>
      <c r="O1416" s="2" t="n">
        <v>0</v>
      </c>
      <c r="P1416" s="2" t="s">
        <v>23</v>
      </c>
      <c r="Q1416" s="2" t="s">
        <v>20</v>
      </c>
    </row>
    <row r="1417" customFormat="false" ht="15" hidden="false" customHeight="false" outlineLevel="0" collapsed="false">
      <c r="A1417" s="2" t="n">
        <v>75</v>
      </c>
      <c r="B1417" s="2" t="s">
        <v>48</v>
      </c>
      <c r="C1417" s="2" t="s">
        <v>45</v>
      </c>
      <c r="D1417" s="2" t="s">
        <v>19</v>
      </c>
      <c r="E1417" s="2" t="s">
        <v>20</v>
      </c>
      <c r="F1417" s="2" t="n">
        <v>852</v>
      </c>
      <c r="G1417" s="2" t="s">
        <v>20</v>
      </c>
      <c r="H1417" s="2" t="s">
        <v>20</v>
      </c>
      <c r="I1417" s="2" t="s">
        <v>21</v>
      </c>
      <c r="J1417" s="2" t="n">
        <v>15</v>
      </c>
      <c r="K1417" s="2" t="s">
        <v>52</v>
      </c>
      <c r="L1417" s="2" t="n">
        <v>341</v>
      </c>
      <c r="M1417" s="2" t="n">
        <v>1</v>
      </c>
      <c r="N1417" s="2" t="n">
        <v>-1</v>
      </c>
      <c r="O1417" s="2" t="n">
        <v>0</v>
      </c>
      <c r="P1417" s="2" t="s">
        <v>23</v>
      </c>
      <c r="Q1417" s="2" t="s">
        <v>20</v>
      </c>
    </row>
    <row r="1418" customFormat="false" ht="15" hidden="false" customHeight="false" outlineLevel="0" collapsed="false">
      <c r="A1418" s="2" t="n">
        <v>38</v>
      </c>
      <c r="B1418" s="2" t="s">
        <v>34</v>
      </c>
      <c r="C1418" s="2" t="s">
        <v>30</v>
      </c>
      <c r="D1418" s="2" t="s">
        <v>25</v>
      </c>
      <c r="E1418" s="2" t="s">
        <v>20</v>
      </c>
      <c r="F1418" s="2" t="n">
        <v>578</v>
      </c>
      <c r="G1418" s="2" t="s">
        <v>26</v>
      </c>
      <c r="H1418" s="2" t="s">
        <v>20</v>
      </c>
      <c r="I1418" s="2" t="s">
        <v>23</v>
      </c>
      <c r="J1418" s="2" t="n">
        <v>21</v>
      </c>
      <c r="K1418" s="2" t="s">
        <v>27</v>
      </c>
      <c r="L1418" s="2" t="n">
        <v>112</v>
      </c>
      <c r="M1418" s="2" t="n">
        <v>2</v>
      </c>
      <c r="N1418" s="2" t="n">
        <v>-1</v>
      </c>
      <c r="O1418" s="2" t="n">
        <v>0</v>
      </c>
      <c r="P1418" s="2" t="s">
        <v>23</v>
      </c>
      <c r="Q1418" s="2" t="s">
        <v>20</v>
      </c>
    </row>
    <row r="1419" customFormat="false" ht="15" hidden="false" customHeight="false" outlineLevel="0" collapsed="false">
      <c r="A1419" s="2" t="n">
        <v>40</v>
      </c>
      <c r="B1419" s="2" t="s">
        <v>34</v>
      </c>
      <c r="C1419" s="2" t="s">
        <v>18</v>
      </c>
      <c r="D1419" s="2" t="s">
        <v>19</v>
      </c>
      <c r="E1419" s="2" t="s">
        <v>26</v>
      </c>
      <c r="F1419" s="2" t="n">
        <v>0</v>
      </c>
      <c r="G1419" s="2" t="s">
        <v>26</v>
      </c>
      <c r="H1419" s="2" t="s">
        <v>20</v>
      </c>
      <c r="I1419" s="2" t="s">
        <v>23</v>
      </c>
      <c r="J1419" s="2" t="n">
        <v>6</v>
      </c>
      <c r="K1419" s="2" t="s">
        <v>27</v>
      </c>
      <c r="L1419" s="2" t="n">
        <v>64</v>
      </c>
      <c r="M1419" s="2" t="n">
        <v>2</v>
      </c>
      <c r="N1419" s="2" t="n">
        <v>-1</v>
      </c>
      <c r="O1419" s="2" t="n">
        <v>0</v>
      </c>
      <c r="P1419" s="2" t="s">
        <v>23</v>
      </c>
      <c r="Q1419" s="2" t="s">
        <v>20</v>
      </c>
    </row>
    <row r="1420" customFormat="false" ht="15" hidden="false" customHeight="false" outlineLevel="0" collapsed="false">
      <c r="A1420" s="2" t="n">
        <v>38</v>
      </c>
      <c r="B1420" s="2" t="s">
        <v>24</v>
      </c>
      <c r="C1420" s="2" t="s">
        <v>30</v>
      </c>
      <c r="D1420" s="2" t="s">
        <v>25</v>
      </c>
      <c r="E1420" s="2" t="s">
        <v>20</v>
      </c>
      <c r="F1420" s="2" t="n">
        <v>2253</v>
      </c>
      <c r="G1420" s="2" t="s">
        <v>26</v>
      </c>
      <c r="H1420" s="2" t="s">
        <v>20</v>
      </c>
      <c r="I1420" s="2" t="s">
        <v>21</v>
      </c>
      <c r="J1420" s="2" t="n">
        <v>13</v>
      </c>
      <c r="K1420" s="2" t="s">
        <v>27</v>
      </c>
      <c r="L1420" s="2" t="n">
        <v>937</v>
      </c>
      <c r="M1420" s="2" t="n">
        <v>3</v>
      </c>
      <c r="N1420" s="2" t="n">
        <v>-1</v>
      </c>
      <c r="O1420" s="2" t="n">
        <v>0</v>
      </c>
      <c r="P1420" s="2" t="s">
        <v>23</v>
      </c>
      <c r="Q1420" s="2" t="s">
        <v>26</v>
      </c>
    </row>
    <row r="1421" customFormat="false" ht="15" hidden="false" customHeight="false" outlineLevel="0" collapsed="false">
      <c r="A1421" s="2" t="n">
        <v>34</v>
      </c>
      <c r="B1421" s="2" t="s">
        <v>29</v>
      </c>
      <c r="C1421" s="2" t="s">
        <v>30</v>
      </c>
      <c r="D1421" s="2" t="s">
        <v>31</v>
      </c>
      <c r="E1421" s="2" t="s">
        <v>20</v>
      </c>
      <c r="F1421" s="2" t="n">
        <v>1171</v>
      </c>
      <c r="G1421" s="2" t="s">
        <v>26</v>
      </c>
      <c r="H1421" s="2" t="s">
        <v>20</v>
      </c>
      <c r="I1421" s="2" t="s">
        <v>21</v>
      </c>
      <c r="J1421" s="2" t="n">
        <v>10</v>
      </c>
      <c r="K1421" s="2" t="s">
        <v>44</v>
      </c>
      <c r="L1421" s="2" t="n">
        <v>129</v>
      </c>
      <c r="M1421" s="2" t="n">
        <v>1</v>
      </c>
      <c r="N1421" s="2" t="n">
        <v>-1</v>
      </c>
      <c r="O1421" s="2" t="n">
        <v>0</v>
      </c>
      <c r="P1421" s="2" t="s">
        <v>23</v>
      </c>
      <c r="Q1421" s="2" t="s">
        <v>20</v>
      </c>
    </row>
    <row r="1422" customFormat="false" ht="15" hidden="false" customHeight="false" outlineLevel="0" collapsed="false">
      <c r="A1422" s="2" t="n">
        <v>29</v>
      </c>
      <c r="B1422" s="2" t="s">
        <v>38</v>
      </c>
      <c r="C1422" s="2" t="s">
        <v>30</v>
      </c>
      <c r="D1422" s="2" t="s">
        <v>31</v>
      </c>
      <c r="E1422" s="2" t="s">
        <v>20</v>
      </c>
      <c r="F1422" s="2" t="n">
        <v>452</v>
      </c>
      <c r="G1422" s="2" t="s">
        <v>26</v>
      </c>
      <c r="H1422" s="2" t="s">
        <v>20</v>
      </c>
      <c r="I1422" s="2" t="s">
        <v>21</v>
      </c>
      <c r="J1422" s="2" t="n">
        <v>11</v>
      </c>
      <c r="K1422" s="2" t="s">
        <v>27</v>
      </c>
      <c r="L1422" s="2" t="n">
        <v>59</v>
      </c>
      <c r="M1422" s="2" t="n">
        <v>1</v>
      </c>
      <c r="N1422" s="2" t="n">
        <v>-1</v>
      </c>
      <c r="O1422" s="2" t="n">
        <v>0</v>
      </c>
      <c r="P1422" s="2" t="s">
        <v>23</v>
      </c>
      <c r="Q1422" s="2" t="s">
        <v>20</v>
      </c>
    </row>
    <row r="1423" customFormat="false" ht="15" hidden="false" customHeight="false" outlineLevel="0" collapsed="false">
      <c r="A1423" s="2" t="n">
        <v>28</v>
      </c>
      <c r="B1423" s="2" t="s">
        <v>40</v>
      </c>
      <c r="C1423" s="2" t="s">
        <v>18</v>
      </c>
      <c r="D1423" s="2" t="s">
        <v>25</v>
      </c>
      <c r="E1423" s="2" t="s">
        <v>20</v>
      </c>
      <c r="F1423" s="2" t="n">
        <v>-97</v>
      </c>
      <c r="G1423" s="2" t="s">
        <v>26</v>
      </c>
      <c r="H1423" s="2" t="s">
        <v>20</v>
      </c>
      <c r="I1423" s="2" t="s">
        <v>21</v>
      </c>
      <c r="J1423" s="2" t="n">
        <v>29</v>
      </c>
      <c r="K1423" s="2" t="s">
        <v>43</v>
      </c>
      <c r="L1423" s="2" t="n">
        <v>79</v>
      </c>
      <c r="M1423" s="2" t="n">
        <v>1</v>
      </c>
      <c r="N1423" s="2" t="n">
        <v>225</v>
      </c>
      <c r="O1423" s="2" t="n">
        <v>2</v>
      </c>
      <c r="P1423" s="2" t="s">
        <v>50</v>
      </c>
      <c r="Q1423" s="2" t="s">
        <v>20</v>
      </c>
    </row>
    <row r="1424" customFormat="false" ht="15" hidden="false" customHeight="false" outlineLevel="0" collapsed="false">
      <c r="A1424" s="2" t="n">
        <v>79</v>
      </c>
      <c r="B1424" s="2" t="s">
        <v>48</v>
      </c>
      <c r="C1424" s="2" t="s">
        <v>18</v>
      </c>
      <c r="D1424" s="2" t="s">
        <v>25</v>
      </c>
      <c r="E1424" s="2" t="s">
        <v>20</v>
      </c>
      <c r="F1424" s="2" t="n">
        <v>4738</v>
      </c>
      <c r="G1424" s="2" t="s">
        <v>20</v>
      </c>
      <c r="H1424" s="2" t="s">
        <v>20</v>
      </c>
      <c r="I1424" s="2" t="s">
        <v>49</v>
      </c>
      <c r="J1424" s="2" t="n">
        <v>9</v>
      </c>
      <c r="K1424" s="2" t="s">
        <v>44</v>
      </c>
      <c r="L1424" s="2" t="n">
        <v>151</v>
      </c>
      <c r="M1424" s="2" t="n">
        <v>5</v>
      </c>
      <c r="N1424" s="2" t="n">
        <v>-1</v>
      </c>
      <c r="O1424" s="2" t="n">
        <v>0</v>
      </c>
      <c r="P1424" s="2" t="s">
        <v>23</v>
      </c>
      <c r="Q1424" s="2" t="s">
        <v>20</v>
      </c>
    </row>
    <row r="1425" customFormat="false" ht="15" hidden="false" customHeight="false" outlineLevel="0" collapsed="false">
      <c r="A1425" s="2" t="n">
        <v>51</v>
      </c>
      <c r="B1425" s="2" t="s">
        <v>40</v>
      </c>
      <c r="C1425" s="2" t="s">
        <v>45</v>
      </c>
      <c r="D1425" s="2" t="s">
        <v>25</v>
      </c>
      <c r="E1425" s="2" t="s">
        <v>20</v>
      </c>
      <c r="F1425" s="2" t="n">
        <v>467</v>
      </c>
      <c r="G1425" s="2" t="s">
        <v>26</v>
      </c>
      <c r="H1425" s="2" t="s">
        <v>20</v>
      </c>
      <c r="I1425" s="2" t="s">
        <v>23</v>
      </c>
      <c r="J1425" s="2" t="n">
        <v>19</v>
      </c>
      <c r="K1425" s="2" t="s">
        <v>27</v>
      </c>
      <c r="L1425" s="2" t="n">
        <v>83</v>
      </c>
      <c r="M1425" s="2" t="n">
        <v>1</v>
      </c>
      <c r="N1425" s="2" t="n">
        <v>-1</v>
      </c>
      <c r="O1425" s="2" t="n">
        <v>0</v>
      </c>
      <c r="P1425" s="2" t="s">
        <v>23</v>
      </c>
      <c r="Q1425" s="2" t="s">
        <v>20</v>
      </c>
    </row>
    <row r="1426" customFormat="false" ht="15" hidden="false" customHeight="false" outlineLevel="0" collapsed="false">
      <c r="A1426" s="2" t="n">
        <v>32</v>
      </c>
      <c r="B1426" s="2" t="s">
        <v>42</v>
      </c>
      <c r="C1426" s="2" t="s">
        <v>30</v>
      </c>
      <c r="D1426" s="2" t="s">
        <v>31</v>
      </c>
      <c r="E1426" s="2" t="s">
        <v>20</v>
      </c>
      <c r="F1426" s="2" t="n">
        <v>0</v>
      </c>
      <c r="G1426" s="2" t="s">
        <v>20</v>
      </c>
      <c r="H1426" s="2" t="s">
        <v>20</v>
      </c>
      <c r="I1426" s="2" t="s">
        <v>21</v>
      </c>
      <c r="J1426" s="2" t="n">
        <v>6</v>
      </c>
      <c r="K1426" s="2" t="s">
        <v>41</v>
      </c>
      <c r="L1426" s="2" t="n">
        <v>101</v>
      </c>
      <c r="M1426" s="2" t="n">
        <v>5</v>
      </c>
      <c r="N1426" s="2" t="n">
        <v>3</v>
      </c>
      <c r="O1426" s="2" t="n">
        <v>6</v>
      </c>
      <c r="P1426" s="2" t="s">
        <v>37</v>
      </c>
      <c r="Q1426" s="2" t="s">
        <v>20</v>
      </c>
    </row>
    <row r="1427" customFormat="false" ht="15" hidden="false" customHeight="false" outlineLevel="0" collapsed="false">
      <c r="A1427" s="2" t="n">
        <v>36</v>
      </c>
      <c r="B1427" s="2" t="s">
        <v>29</v>
      </c>
      <c r="C1427" s="2" t="s">
        <v>18</v>
      </c>
      <c r="D1427" s="2" t="s">
        <v>31</v>
      </c>
      <c r="E1427" s="2" t="s">
        <v>20</v>
      </c>
      <c r="F1427" s="2" t="n">
        <v>495</v>
      </c>
      <c r="G1427" s="2" t="s">
        <v>20</v>
      </c>
      <c r="H1427" s="2" t="s">
        <v>20</v>
      </c>
      <c r="I1427" s="2" t="s">
        <v>21</v>
      </c>
      <c r="J1427" s="2" t="n">
        <v>5</v>
      </c>
      <c r="K1427" s="2" t="s">
        <v>41</v>
      </c>
      <c r="L1427" s="2" t="n">
        <v>157</v>
      </c>
      <c r="M1427" s="2" t="n">
        <v>3</v>
      </c>
      <c r="N1427" s="2" t="n">
        <v>97</v>
      </c>
      <c r="O1427" s="2" t="n">
        <v>2</v>
      </c>
      <c r="P1427" s="2" t="s">
        <v>50</v>
      </c>
      <c r="Q1427" s="2" t="s">
        <v>26</v>
      </c>
    </row>
    <row r="1428" customFormat="false" ht="15" hidden="false" customHeight="false" outlineLevel="0" collapsed="false">
      <c r="A1428" s="2" t="n">
        <v>38</v>
      </c>
      <c r="B1428" s="2" t="s">
        <v>39</v>
      </c>
      <c r="C1428" s="2" t="s">
        <v>18</v>
      </c>
      <c r="D1428" s="2" t="s">
        <v>25</v>
      </c>
      <c r="E1428" s="2" t="s">
        <v>20</v>
      </c>
      <c r="F1428" s="2" t="n">
        <v>157</v>
      </c>
      <c r="G1428" s="2" t="s">
        <v>20</v>
      </c>
      <c r="H1428" s="2" t="s">
        <v>26</v>
      </c>
      <c r="I1428" s="2" t="s">
        <v>21</v>
      </c>
      <c r="J1428" s="2" t="n">
        <v>15</v>
      </c>
      <c r="K1428" s="2" t="s">
        <v>27</v>
      </c>
      <c r="L1428" s="2" t="n">
        <v>57</v>
      </c>
      <c r="M1428" s="2" t="n">
        <v>11</v>
      </c>
      <c r="N1428" s="2" t="n">
        <v>366</v>
      </c>
      <c r="O1428" s="2" t="n">
        <v>1</v>
      </c>
      <c r="P1428" s="2" t="s">
        <v>37</v>
      </c>
      <c r="Q1428" s="2" t="s">
        <v>20</v>
      </c>
    </row>
    <row r="1429" customFormat="false" ht="15" hidden="false" customHeight="false" outlineLevel="0" collapsed="false">
      <c r="A1429" s="2" t="n">
        <v>49</v>
      </c>
      <c r="B1429" s="2" t="s">
        <v>36</v>
      </c>
      <c r="C1429" s="2" t="s">
        <v>18</v>
      </c>
      <c r="D1429" s="2" t="s">
        <v>25</v>
      </c>
      <c r="E1429" s="2" t="s">
        <v>20</v>
      </c>
      <c r="F1429" s="2" t="n">
        <v>358</v>
      </c>
      <c r="G1429" s="2" t="s">
        <v>26</v>
      </c>
      <c r="H1429" s="2" t="s">
        <v>26</v>
      </c>
      <c r="I1429" s="2" t="s">
        <v>23</v>
      </c>
      <c r="J1429" s="2" t="n">
        <v>13</v>
      </c>
      <c r="K1429" s="2" t="s">
        <v>27</v>
      </c>
      <c r="L1429" s="2" t="n">
        <v>176</v>
      </c>
      <c r="M1429" s="2" t="n">
        <v>3</v>
      </c>
      <c r="N1429" s="2" t="n">
        <v>-1</v>
      </c>
      <c r="O1429" s="2" t="n">
        <v>0</v>
      </c>
      <c r="P1429" s="2" t="s">
        <v>23</v>
      </c>
      <c r="Q1429" s="2" t="s">
        <v>20</v>
      </c>
    </row>
    <row r="1430" customFormat="false" ht="15" hidden="false" customHeight="false" outlineLevel="0" collapsed="false">
      <c r="A1430" s="2" t="n">
        <v>42</v>
      </c>
      <c r="B1430" s="2" t="s">
        <v>24</v>
      </c>
      <c r="C1430" s="2" t="s">
        <v>18</v>
      </c>
      <c r="D1430" s="2" t="s">
        <v>25</v>
      </c>
      <c r="E1430" s="2" t="s">
        <v>20</v>
      </c>
      <c r="F1430" s="2" t="n">
        <v>292</v>
      </c>
      <c r="G1430" s="2" t="s">
        <v>26</v>
      </c>
      <c r="H1430" s="2" t="s">
        <v>20</v>
      </c>
      <c r="I1430" s="2" t="s">
        <v>21</v>
      </c>
      <c r="J1430" s="2" t="n">
        <v>11</v>
      </c>
      <c r="K1430" s="2" t="s">
        <v>27</v>
      </c>
      <c r="L1430" s="2" t="n">
        <v>222</v>
      </c>
      <c r="M1430" s="2" t="n">
        <v>3</v>
      </c>
      <c r="N1430" s="2" t="n">
        <v>-1</v>
      </c>
      <c r="O1430" s="2" t="n">
        <v>0</v>
      </c>
      <c r="P1430" s="2" t="s">
        <v>23</v>
      </c>
      <c r="Q1430" s="2" t="s">
        <v>20</v>
      </c>
    </row>
    <row r="1431" customFormat="false" ht="15" hidden="false" customHeight="false" outlineLevel="0" collapsed="false">
      <c r="A1431" s="2" t="n">
        <v>43</v>
      </c>
      <c r="B1431" s="2" t="s">
        <v>34</v>
      </c>
      <c r="C1431" s="2" t="s">
        <v>18</v>
      </c>
      <c r="D1431" s="2" t="s">
        <v>19</v>
      </c>
      <c r="E1431" s="2" t="s">
        <v>20</v>
      </c>
      <c r="F1431" s="2" t="n">
        <v>7343</v>
      </c>
      <c r="G1431" s="2" t="s">
        <v>26</v>
      </c>
      <c r="H1431" s="2" t="s">
        <v>20</v>
      </c>
      <c r="I1431" s="2" t="s">
        <v>23</v>
      </c>
      <c r="J1431" s="2" t="n">
        <v>2</v>
      </c>
      <c r="K1431" s="2" t="s">
        <v>33</v>
      </c>
      <c r="L1431" s="2" t="n">
        <v>217</v>
      </c>
      <c r="M1431" s="2" t="n">
        <v>4</v>
      </c>
      <c r="N1431" s="2" t="n">
        <v>-1</v>
      </c>
      <c r="O1431" s="2" t="n">
        <v>0</v>
      </c>
      <c r="P1431" s="2" t="s">
        <v>23</v>
      </c>
      <c r="Q1431" s="2" t="s">
        <v>20</v>
      </c>
    </row>
    <row r="1432" customFormat="false" ht="15" hidden="false" customHeight="false" outlineLevel="0" collapsed="false">
      <c r="A1432" s="2" t="n">
        <v>34</v>
      </c>
      <c r="B1432" s="2" t="s">
        <v>34</v>
      </c>
      <c r="C1432" s="2" t="s">
        <v>18</v>
      </c>
      <c r="D1432" s="2" t="s">
        <v>25</v>
      </c>
      <c r="E1432" s="2" t="s">
        <v>20</v>
      </c>
      <c r="F1432" s="2" t="n">
        <v>-563</v>
      </c>
      <c r="G1432" s="2" t="s">
        <v>26</v>
      </c>
      <c r="H1432" s="2" t="s">
        <v>20</v>
      </c>
      <c r="I1432" s="2" t="s">
        <v>23</v>
      </c>
      <c r="J1432" s="2" t="n">
        <v>26</v>
      </c>
      <c r="K1432" s="2" t="s">
        <v>27</v>
      </c>
      <c r="L1432" s="2" t="n">
        <v>252</v>
      </c>
      <c r="M1432" s="2" t="n">
        <v>1</v>
      </c>
      <c r="N1432" s="2" t="n">
        <v>-1</v>
      </c>
      <c r="O1432" s="2" t="n">
        <v>0</v>
      </c>
      <c r="P1432" s="2" t="s">
        <v>23</v>
      </c>
      <c r="Q1432" s="2" t="s">
        <v>20</v>
      </c>
    </row>
    <row r="1433" customFormat="false" ht="15" hidden="false" customHeight="false" outlineLevel="0" collapsed="false">
      <c r="A1433" s="2" t="n">
        <v>59</v>
      </c>
      <c r="B1433" s="2" t="s">
        <v>48</v>
      </c>
      <c r="C1433" s="2" t="s">
        <v>30</v>
      </c>
      <c r="D1433" s="2" t="s">
        <v>25</v>
      </c>
      <c r="E1433" s="2" t="s">
        <v>20</v>
      </c>
      <c r="F1433" s="2" t="n">
        <v>351</v>
      </c>
      <c r="G1433" s="2" t="s">
        <v>26</v>
      </c>
      <c r="H1433" s="2" t="s">
        <v>20</v>
      </c>
      <c r="I1433" s="2" t="s">
        <v>23</v>
      </c>
      <c r="J1433" s="2" t="n">
        <v>27</v>
      </c>
      <c r="K1433" s="2" t="s">
        <v>27</v>
      </c>
      <c r="L1433" s="2" t="n">
        <v>1063</v>
      </c>
      <c r="M1433" s="2" t="n">
        <v>5</v>
      </c>
      <c r="N1433" s="2" t="n">
        <v>-1</v>
      </c>
      <c r="O1433" s="2" t="n">
        <v>0</v>
      </c>
      <c r="P1433" s="2" t="s">
        <v>23</v>
      </c>
      <c r="Q1433" s="2" t="s">
        <v>26</v>
      </c>
    </row>
    <row r="1434" customFormat="false" ht="15" hidden="false" customHeight="false" outlineLevel="0" collapsed="false">
      <c r="A1434" s="2" t="n">
        <v>35</v>
      </c>
      <c r="B1434" s="2" t="s">
        <v>23</v>
      </c>
      <c r="C1434" s="2" t="s">
        <v>18</v>
      </c>
      <c r="D1434" s="2" t="s">
        <v>19</v>
      </c>
      <c r="E1434" s="2" t="s">
        <v>20</v>
      </c>
      <c r="F1434" s="2" t="n">
        <v>365</v>
      </c>
      <c r="G1434" s="2" t="s">
        <v>20</v>
      </c>
      <c r="H1434" s="2" t="s">
        <v>20</v>
      </c>
      <c r="I1434" s="2" t="s">
        <v>21</v>
      </c>
      <c r="J1434" s="2" t="n">
        <v>29</v>
      </c>
      <c r="K1434" s="2" t="s">
        <v>41</v>
      </c>
      <c r="L1434" s="2" t="n">
        <v>41</v>
      </c>
      <c r="M1434" s="2" t="n">
        <v>2</v>
      </c>
      <c r="N1434" s="2" t="n">
        <v>-1</v>
      </c>
      <c r="O1434" s="2" t="n">
        <v>0</v>
      </c>
      <c r="P1434" s="2" t="s">
        <v>23</v>
      </c>
      <c r="Q1434" s="2" t="s">
        <v>20</v>
      </c>
    </row>
    <row r="1435" customFormat="false" ht="15" hidden="false" customHeight="false" outlineLevel="0" collapsed="false">
      <c r="A1435" s="2" t="n">
        <v>33</v>
      </c>
      <c r="B1435" s="2" t="s">
        <v>34</v>
      </c>
      <c r="C1435" s="2" t="s">
        <v>30</v>
      </c>
      <c r="D1435" s="2" t="s">
        <v>25</v>
      </c>
      <c r="E1435" s="2" t="s">
        <v>20</v>
      </c>
      <c r="F1435" s="2" t="n">
        <v>13494</v>
      </c>
      <c r="G1435" s="2" t="s">
        <v>26</v>
      </c>
      <c r="H1435" s="2" t="s">
        <v>20</v>
      </c>
      <c r="I1435" s="2" t="s">
        <v>23</v>
      </c>
      <c r="J1435" s="2" t="n">
        <v>20</v>
      </c>
      <c r="K1435" s="2" t="s">
        <v>33</v>
      </c>
      <c r="L1435" s="2" t="n">
        <v>27</v>
      </c>
      <c r="M1435" s="2" t="n">
        <v>25</v>
      </c>
      <c r="N1435" s="2" t="n">
        <v>-1</v>
      </c>
      <c r="O1435" s="2" t="n">
        <v>0</v>
      </c>
      <c r="P1435" s="2" t="s">
        <v>23</v>
      </c>
      <c r="Q1435" s="2" t="s">
        <v>20</v>
      </c>
    </row>
    <row r="1436" customFormat="false" ht="15" hidden="false" customHeight="false" outlineLevel="0" collapsed="false">
      <c r="A1436" s="2" t="n">
        <v>34</v>
      </c>
      <c r="B1436" s="2" t="s">
        <v>40</v>
      </c>
      <c r="C1436" s="2" t="s">
        <v>30</v>
      </c>
      <c r="D1436" s="2" t="s">
        <v>25</v>
      </c>
      <c r="E1436" s="2" t="s">
        <v>20</v>
      </c>
      <c r="F1436" s="2" t="n">
        <v>846</v>
      </c>
      <c r="G1436" s="2" t="s">
        <v>26</v>
      </c>
      <c r="H1436" s="2" t="s">
        <v>20</v>
      </c>
      <c r="I1436" s="2" t="s">
        <v>21</v>
      </c>
      <c r="J1436" s="2" t="n">
        <v>17</v>
      </c>
      <c r="K1436" s="2" t="s">
        <v>32</v>
      </c>
      <c r="L1436" s="2" t="n">
        <v>758</v>
      </c>
      <c r="M1436" s="2" t="n">
        <v>2</v>
      </c>
      <c r="N1436" s="2" t="n">
        <v>-1</v>
      </c>
      <c r="O1436" s="2" t="n">
        <v>0</v>
      </c>
      <c r="P1436" s="2" t="s">
        <v>23</v>
      </c>
      <c r="Q1436" s="2" t="s">
        <v>20</v>
      </c>
    </row>
    <row r="1437" customFormat="false" ht="15" hidden="false" customHeight="false" outlineLevel="0" collapsed="false">
      <c r="A1437" s="2" t="n">
        <v>64</v>
      </c>
      <c r="B1437" s="2" t="s">
        <v>48</v>
      </c>
      <c r="C1437" s="2" t="s">
        <v>18</v>
      </c>
      <c r="D1437" s="2" t="s">
        <v>25</v>
      </c>
      <c r="E1437" s="2" t="s">
        <v>20</v>
      </c>
      <c r="F1437" s="2" t="n">
        <v>1574</v>
      </c>
      <c r="G1437" s="2" t="s">
        <v>20</v>
      </c>
      <c r="H1437" s="2" t="s">
        <v>20</v>
      </c>
      <c r="I1437" s="2" t="s">
        <v>49</v>
      </c>
      <c r="J1437" s="2" t="n">
        <v>29</v>
      </c>
      <c r="K1437" s="2" t="s">
        <v>44</v>
      </c>
      <c r="L1437" s="2" t="n">
        <v>301</v>
      </c>
      <c r="M1437" s="2" t="n">
        <v>3</v>
      </c>
      <c r="N1437" s="2" t="n">
        <v>-1</v>
      </c>
      <c r="O1437" s="2" t="n">
        <v>0</v>
      </c>
      <c r="P1437" s="2" t="s">
        <v>23</v>
      </c>
      <c r="Q1437" s="2" t="s">
        <v>26</v>
      </c>
    </row>
    <row r="1438" customFormat="false" ht="15" hidden="false" customHeight="false" outlineLevel="0" collapsed="false">
      <c r="A1438" s="2" t="n">
        <v>34</v>
      </c>
      <c r="B1438" s="2" t="s">
        <v>39</v>
      </c>
      <c r="C1438" s="2" t="s">
        <v>18</v>
      </c>
      <c r="D1438" s="2" t="s">
        <v>31</v>
      </c>
      <c r="E1438" s="2" t="s">
        <v>20</v>
      </c>
      <c r="F1438" s="2" t="n">
        <v>-28</v>
      </c>
      <c r="G1438" s="2" t="s">
        <v>26</v>
      </c>
      <c r="H1438" s="2" t="s">
        <v>20</v>
      </c>
      <c r="I1438" s="2" t="s">
        <v>21</v>
      </c>
      <c r="J1438" s="2" t="n">
        <v>16</v>
      </c>
      <c r="K1438" s="2" t="s">
        <v>44</v>
      </c>
      <c r="L1438" s="2" t="n">
        <v>574</v>
      </c>
      <c r="M1438" s="2" t="n">
        <v>1</v>
      </c>
      <c r="N1438" s="2" t="n">
        <v>-1</v>
      </c>
      <c r="O1438" s="2" t="n">
        <v>0</v>
      </c>
      <c r="P1438" s="2" t="s">
        <v>23</v>
      </c>
      <c r="Q1438" s="2" t="s">
        <v>20</v>
      </c>
    </row>
    <row r="1439" customFormat="false" ht="15" hidden="false" customHeight="false" outlineLevel="0" collapsed="false">
      <c r="A1439" s="2" t="n">
        <v>77</v>
      </c>
      <c r="B1439" s="2" t="s">
        <v>48</v>
      </c>
      <c r="C1439" s="2" t="s">
        <v>18</v>
      </c>
      <c r="D1439" s="2" t="s">
        <v>31</v>
      </c>
      <c r="E1439" s="2" t="s">
        <v>20</v>
      </c>
      <c r="F1439" s="2" t="n">
        <v>0</v>
      </c>
      <c r="G1439" s="2" t="s">
        <v>20</v>
      </c>
      <c r="H1439" s="2" t="s">
        <v>20</v>
      </c>
      <c r="I1439" s="2" t="s">
        <v>21</v>
      </c>
      <c r="J1439" s="2" t="n">
        <v>16</v>
      </c>
      <c r="K1439" s="2" t="s">
        <v>22</v>
      </c>
      <c r="L1439" s="2" t="n">
        <v>847</v>
      </c>
      <c r="M1439" s="2" t="n">
        <v>1</v>
      </c>
      <c r="N1439" s="2" t="n">
        <v>60</v>
      </c>
      <c r="O1439" s="2" t="n">
        <v>1</v>
      </c>
      <c r="P1439" s="2" t="s">
        <v>50</v>
      </c>
      <c r="Q1439" s="2" t="s">
        <v>26</v>
      </c>
    </row>
    <row r="1440" customFormat="false" ht="15" hidden="false" customHeight="false" outlineLevel="0" collapsed="false">
      <c r="A1440" s="2" t="n">
        <v>57</v>
      </c>
      <c r="B1440" s="2" t="s">
        <v>48</v>
      </c>
      <c r="C1440" s="2" t="s">
        <v>18</v>
      </c>
      <c r="D1440" s="2" t="s">
        <v>19</v>
      </c>
      <c r="E1440" s="2" t="s">
        <v>20</v>
      </c>
      <c r="F1440" s="2" t="n">
        <v>2927</v>
      </c>
      <c r="G1440" s="2" t="s">
        <v>20</v>
      </c>
      <c r="H1440" s="2" t="s">
        <v>26</v>
      </c>
      <c r="I1440" s="2" t="s">
        <v>49</v>
      </c>
      <c r="J1440" s="2" t="n">
        <v>30</v>
      </c>
      <c r="K1440" s="2" t="s">
        <v>44</v>
      </c>
      <c r="L1440" s="2" t="n">
        <v>78</v>
      </c>
      <c r="M1440" s="2" t="n">
        <v>5</v>
      </c>
      <c r="N1440" s="2" t="n">
        <v>-1</v>
      </c>
      <c r="O1440" s="2" t="n">
        <v>0</v>
      </c>
      <c r="P1440" s="2" t="s">
        <v>23</v>
      </c>
      <c r="Q1440" s="2" t="s">
        <v>20</v>
      </c>
    </row>
    <row r="1441" customFormat="false" ht="15" hidden="false" customHeight="false" outlineLevel="0" collapsed="false">
      <c r="A1441" s="2" t="n">
        <v>30</v>
      </c>
      <c r="B1441" s="2" t="s">
        <v>34</v>
      </c>
      <c r="C1441" s="2" t="s">
        <v>18</v>
      </c>
      <c r="D1441" s="2" t="s">
        <v>25</v>
      </c>
      <c r="E1441" s="2" t="s">
        <v>20</v>
      </c>
      <c r="F1441" s="2" t="n">
        <v>501</v>
      </c>
      <c r="G1441" s="2" t="s">
        <v>26</v>
      </c>
      <c r="H1441" s="2" t="s">
        <v>26</v>
      </c>
      <c r="I1441" s="2" t="s">
        <v>23</v>
      </c>
      <c r="J1441" s="2" t="n">
        <v>27</v>
      </c>
      <c r="K1441" s="2" t="s">
        <v>27</v>
      </c>
      <c r="L1441" s="2" t="n">
        <v>514</v>
      </c>
      <c r="M1441" s="2" t="n">
        <v>1</v>
      </c>
      <c r="N1441" s="2" t="n">
        <v>-1</v>
      </c>
      <c r="O1441" s="2" t="n">
        <v>0</v>
      </c>
      <c r="P1441" s="2" t="s">
        <v>23</v>
      </c>
      <c r="Q1441" s="2" t="s">
        <v>20</v>
      </c>
    </row>
    <row r="1442" customFormat="false" ht="15" hidden="false" customHeight="false" outlineLevel="0" collapsed="false">
      <c r="A1442" s="2" t="n">
        <v>56</v>
      </c>
      <c r="B1442" s="2" t="s">
        <v>47</v>
      </c>
      <c r="C1442" s="2" t="s">
        <v>45</v>
      </c>
      <c r="D1442" s="2" t="s">
        <v>19</v>
      </c>
      <c r="E1442" s="2" t="s">
        <v>26</v>
      </c>
      <c r="F1442" s="2" t="n">
        <v>1238</v>
      </c>
      <c r="G1442" s="2" t="s">
        <v>20</v>
      </c>
      <c r="H1442" s="2" t="s">
        <v>20</v>
      </c>
      <c r="I1442" s="2" t="s">
        <v>23</v>
      </c>
      <c r="J1442" s="2" t="n">
        <v>5</v>
      </c>
      <c r="K1442" s="2" t="s">
        <v>33</v>
      </c>
      <c r="L1442" s="2" t="n">
        <v>1558</v>
      </c>
      <c r="M1442" s="2" t="n">
        <v>1</v>
      </c>
      <c r="N1442" s="2" t="n">
        <v>-1</v>
      </c>
      <c r="O1442" s="2" t="n">
        <v>0</v>
      </c>
      <c r="P1442" s="2" t="s">
        <v>23</v>
      </c>
      <c r="Q1442" s="2" t="s">
        <v>26</v>
      </c>
    </row>
    <row r="1443" customFormat="false" ht="15" hidden="false" customHeight="false" outlineLevel="0" collapsed="false">
      <c r="A1443" s="2" t="n">
        <v>49</v>
      </c>
      <c r="B1443" s="2" t="s">
        <v>23</v>
      </c>
      <c r="C1443" s="2" t="s">
        <v>18</v>
      </c>
      <c r="D1443" s="2" t="s">
        <v>23</v>
      </c>
      <c r="E1443" s="2" t="s">
        <v>20</v>
      </c>
      <c r="F1443" s="2" t="n">
        <v>301</v>
      </c>
      <c r="G1443" s="2" t="s">
        <v>20</v>
      </c>
      <c r="H1443" s="2" t="s">
        <v>20</v>
      </c>
      <c r="I1443" s="2" t="s">
        <v>21</v>
      </c>
      <c r="J1443" s="2" t="n">
        <v>14</v>
      </c>
      <c r="K1443" s="2" t="s">
        <v>41</v>
      </c>
      <c r="L1443" s="2" t="n">
        <v>789</v>
      </c>
      <c r="M1443" s="2" t="n">
        <v>2</v>
      </c>
      <c r="N1443" s="2" t="n">
        <v>-1</v>
      </c>
      <c r="O1443" s="2" t="n">
        <v>0</v>
      </c>
      <c r="P1443" s="2" t="s">
        <v>23</v>
      </c>
      <c r="Q1443" s="2" t="s">
        <v>20</v>
      </c>
    </row>
    <row r="1444" customFormat="false" ht="15" hidden="false" customHeight="false" outlineLevel="0" collapsed="false">
      <c r="A1444" s="2" t="n">
        <v>73</v>
      </c>
      <c r="B1444" s="2" t="s">
        <v>48</v>
      </c>
      <c r="C1444" s="2" t="s">
        <v>18</v>
      </c>
      <c r="D1444" s="2" t="s">
        <v>19</v>
      </c>
      <c r="E1444" s="2" t="s">
        <v>20</v>
      </c>
      <c r="F1444" s="2" t="n">
        <v>1388</v>
      </c>
      <c r="G1444" s="2" t="s">
        <v>20</v>
      </c>
      <c r="H1444" s="2" t="s">
        <v>20</v>
      </c>
      <c r="I1444" s="2" t="s">
        <v>21</v>
      </c>
      <c r="J1444" s="2" t="n">
        <v>20</v>
      </c>
      <c r="K1444" s="2" t="s">
        <v>44</v>
      </c>
      <c r="L1444" s="2" t="n">
        <v>146</v>
      </c>
      <c r="M1444" s="2" t="n">
        <v>3</v>
      </c>
      <c r="N1444" s="2" t="n">
        <v>190</v>
      </c>
      <c r="O1444" s="2" t="n">
        <v>3</v>
      </c>
      <c r="P1444" s="2" t="s">
        <v>50</v>
      </c>
      <c r="Q1444" s="2" t="s">
        <v>20</v>
      </c>
    </row>
    <row r="1445" customFormat="false" ht="15" hidden="false" customHeight="false" outlineLevel="0" collapsed="false">
      <c r="A1445" s="2" t="n">
        <v>39</v>
      </c>
      <c r="B1445" s="2" t="s">
        <v>38</v>
      </c>
      <c r="C1445" s="2" t="s">
        <v>30</v>
      </c>
      <c r="D1445" s="2" t="s">
        <v>25</v>
      </c>
      <c r="E1445" s="2" t="s">
        <v>20</v>
      </c>
      <c r="F1445" s="2" t="n">
        <v>102</v>
      </c>
      <c r="G1445" s="2" t="s">
        <v>26</v>
      </c>
      <c r="H1445" s="2" t="s">
        <v>20</v>
      </c>
      <c r="I1445" s="2" t="s">
        <v>21</v>
      </c>
      <c r="J1445" s="2" t="n">
        <v>14</v>
      </c>
      <c r="K1445" s="2" t="s">
        <v>41</v>
      </c>
      <c r="L1445" s="2" t="n">
        <v>272</v>
      </c>
      <c r="M1445" s="2" t="n">
        <v>2</v>
      </c>
      <c r="N1445" s="2" t="n">
        <v>-1</v>
      </c>
      <c r="O1445" s="2" t="n">
        <v>0</v>
      </c>
      <c r="P1445" s="2" t="s">
        <v>23</v>
      </c>
      <c r="Q1445" s="2" t="s">
        <v>20</v>
      </c>
    </row>
    <row r="1446" customFormat="false" ht="15" hidden="false" customHeight="false" outlineLevel="0" collapsed="false">
      <c r="A1446" s="2" t="n">
        <v>57</v>
      </c>
      <c r="B1446" s="2" t="s">
        <v>38</v>
      </c>
      <c r="C1446" s="2" t="s">
        <v>45</v>
      </c>
      <c r="D1446" s="2" t="s">
        <v>19</v>
      </c>
      <c r="E1446" s="2" t="s">
        <v>20</v>
      </c>
      <c r="F1446" s="2" t="n">
        <v>13</v>
      </c>
      <c r="G1446" s="2" t="s">
        <v>26</v>
      </c>
      <c r="H1446" s="2" t="s">
        <v>20</v>
      </c>
      <c r="I1446" s="2" t="s">
        <v>21</v>
      </c>
      <c r="J1446" s="2" t="n">
        <v>8</v>
      </c>
      <c r="K1446" s="2" t="s">
        <v>27</v>
      </c>
      <c r="L1446" s="2" t="n">
        <v>323</v>
      </c>
      <c r="M1446" s="2" t="n">
        <v>2</v>
      </c>
      <c r="N1446" s="2" t="n">
        <v>368</v>
      </c>
      <c r="O1446" s="2" t="n">
        <v>2</v>
      </c>
      <c r="P1446" s="2" t="s">
        <v>28</v>
      </c>
      <c r="Q1446" s="2" t="s">
        <v>20</v>
      </c>
    </row>
    <row r="1447" customFormat="false" ht="15" hidden="false" customHeight="false" outlineLevel="0" collapsed="false">
      <c r="A1447" s="2" t="n">
        <v>32</v>
      </c>
      <c r="B1447" s="2" t="s">
        <v>36</v>
      </c>
      <c r="C1447" s="2" t="s">
        <v>18</v>
      </c>
      <c r="D1447" s="2" t="s">
        <v>25</v>
      </c>
      <c r="E1447" s="2" t="s">
        <v>20</v>
      </c>
      <c r="F1447" s="2" t="n">
        <v>413</v>
      </c>
      <c r="G1447" s="2" t="s">
        <v>26</v>
      </c>
      <c r="H1447" s="2" t="s">
        <v>20</v>
      </c>
      <c r="I1447" s="2" t="s">
        <v>21</v>
      </c>
      <c r="J1447" s="2" t="n">
        <v>11</v>
      </c>
      <c r="K1447" s="2" t="s">
        <v>44</v>
      </c>
      <c r="L1447" s="2" t="n">
        <v>712</v>
      </c>
      <c r="M1447" s="2" t="n">
        <v>2</v>
      </c>
      <c r="N1447" s="2" t="n">
        <v>-1</v>
      </c>
      <c r="O1447" s="2" t="n">
        <v>0</v>
      </c>
      <c r="P1447" s="2" t="s">
        <v>23</v>
      </c>
      <c r="Q1447" s="2" t="s">
        <v>20</v>
      </c>
    </row>
    <row r="1448" customFormat="false" ht="15" hidden="false" customHeight="false" outlineLevel="0" collapsed="false">
      <c r="A1448" s="2" t="n">
        <v>32</v>
      </c>
      <c r="B1448" s="2" t="s">
        <v>38</v>
      </c>
      <c r="C1448" s="2" t="s">
        <v>30</v>
      </c>
      <c r="D1448" s="2" t="s">
        <v>31</v>
      </c>
      <c r="E1448" s="2" t="s">
        <v>20</v>
      </c>
      <c r="F1448" s="2" t="n">
        <v>4665</v>
      </c>
      <c r="G1448" s="2" t="s">
        <v>26</v>
      </c>
      <c r="H1448" s="2" t="s">
        <v>20</v>
      </c>
      <c r="I1448" s="2" t="s">
        <v>23</v>
      </c>
      <c r="J1448" s="2" t="n">
        <v>21</v>
      </c>
      <c r="K1448" s="2" t="s">
        <v>27</v>
      </c>
      <c r="L1448" s="2" t="n">
        <v>860</v>
      </c>
      <c r="M1448" s="2" t="n">
        <v>2</v>
      </c>
      <c r="N1448" s="2" t="n">
        <v>-1</v>
      </c>
      <c r="O1448" s="2" t="n">
        <v>0</v>
      </c>
      <c r="P1448" s="2" t="s">
        <v>23</v>
      </c>
      <c r="Q1448" s="2" t="s">
        <v>26</v>
      </c>
    </row>
    <row r="1449" customFormat="false" ht="15" hidden="false" customHeight="false" outlineLevel="0" collapsed="false">
      <c r="A1449" s="2" t="n">
        <v>45</v>
      </c>
      <c r="B1449" s="2" t="s">
        <v>40</v>
      </c>
      <c r="C1449" s="2" t="s">
        <v>18</v>
      </c>
      <c r="D1449" s="2" t="s">
        <v>25</v>
      </c>
      <c r="E1449" s="2" t="s">
        <v>20</v>
      </c>
      <c r="F1449" s="2" t="n">
        <v>638</v>
      </c>
      <c r="G1449" s="2" t="s">
        <v>26</v>
      </c>
      <c r="H1449" s="2" t="s">
        <v>20</v>
      </c>
      <c r="I1449" s="2" t="s">
        <v>21</v>
      </c>
      <c r="J1449" s="2" t="n">
        <v>20</v>
      </c>
      <c r="K1449" s="2" t="s">
        <v>41</v>
      </c>
      <c r="L1449" s="2" t="n">
        <v>75</v>
      </c>
      <c r="M1449" s="2" t="n">
        <v>9</v>
      </c>
      <c r="N1449" s="2" t="n">
        <v>-1</v>
      </c>
      <c r="O1449" s="2" t="n">
        <v>0</v>
      </c>
      <c r="P1449" s="2" t="s">
        <v>23</v>
      </c>
      <c r="Q1449" s="2" t="s">
        <v>20</v>
      </c>
    </row>
    <row r="1450" customFormat="false" ht="15" hidden="false" customHeight="false" outlineLevel="0" collapsed="false">
      <c r="A1450" s="2" t="n">
        <v>32</v>
      </c>
      <c r="B1450" s="2" t="s">
        <v>34</v>
      </c>
      <c r="C1450" s="2" t="s">
        <v>18</v>
      </c>
      <c r="D1450" s="2" t="s">
        <v>25</v>
      </c>
      <c r="E1450" s="2" t="s">
        <v>20</v>
      </c>
      <c r="F1450" s="2" t="n">
        <v>101</v>
      </c>
      <c r="G1450" s="2" t="s">
        <v>26</v>
      </c>
      <c r="H1450" s="2" t="s">
        <v>20</v>
      </c>
      <c r="I1450" s="2" t="s">
        <v>23</v>
      </c>
      <c r="J1450" s="2" t="n">
        <v>19</v>
      </c>
      <c r="K1450" s="2" t="s">
        <v>27</v>
      </c>
      <c r="L1450" s="2" t="n">
        <v>191</v>
      </c>
      <c r="M1450" s="2" t="n">
        <v>4</v>
      </c>
      <c r="N1450" s="2" t="n">
        <v>-1</v>
      </c>
      <c r="O1450" s="2" t="n">
        <v>0</v>
      </c>
      <c r="P1450" s="2" t="s">
        <v>23</v>
      </c>
      <c r="Q1450" s="2" t="s">
        <v>20</v>
      </c>
    </row>
    <row r="1451" customFormat="false" ht="15" hidden="false" customHeight="false" outlineLevel="0" collapsed="false">
      <c r="A1451" s="2" t="n">
        <v>31</v>
      </c>
      <c r="B1451" s="2" t="s">
        <v>29</v>
      </c>
      <c r="C1451" s="2" t="s">
        <v>18</v>
      </c>
      <c r="D1451" s="2" t="s">
        <v>31</v>
      </c>
      <c r="E1451" s="2" t="s">
        <v>20</v>
      </c>
      <c r="F1451" s="2" t="n">
        <v>1224</v>
      </c>
      <c r="G1451" s="2" t="s">
        <v>26</v>
      </c>
      <c r="H1451" s="2" t="s">
        <v>26</v>
      </c>
      <c r="I1451" s="2" t="s">
        <v>21</v>
      </c>
      <c r="J1451" s="2" t="n">
        <v>24</v>
      </c>
      <c r="K1451" s="2" t="s">
        <v>44</v>
      </c>
      <c r="L1451" s="2" t="n">
        <v>1441</v>
      </c>
      <c r="M1451" s="2" t="n">
        <v>2</v>
      </c>
      <c r="N1451" s="2" t="n">
        <v>-1</v>
      </c>
      <c r="O1451" s="2" t="n">
        <v>0</v>
      </c>
      <c r="P1451" s="2" t="s">
        <v>23</v>
      </c>
      <c r="Q1451" s="2" t="s">
        <v>26</v>
      </c>
    </row>
    <row r="1452" customFormat="false" ht="15" hidden="false" customHeight="false" outlineLevel="0" collapsed="false">
      <c r="A1452" s="2" t="n">
        <v>49</v>
      </c>
      <c r="B1452" s="2" t="s">
        <v>36</v>
      </c>
      <c r="C1452" s="2" t="s">
        <v>18</v>
      </c>
      <c r="D1452" s="2" t="s">
        <v>25</v>
      </c>
      <c r="E1452" s="2" t="s">
        <v>20</v>
      </c>
      <c r="F1452" s="2" t="n">
        <v>1103</v>
      </c>
      <c r="G1452" s="2" t="s">
        <v>20</v>
      </c>
      <c r="H1452" s="2" t="s">
        <v>20</v>
      </c>
      <c r="I1452" s="2" t="s">
        <v>21</v>
      </c>
      <c r="J1452" s="2" t="n">
        <v>12</v>
      </c>
      <c r="K1452" s="2" t="s">
        <v>41</v>
      </c>
      <c r="L1452" s="2" t="n">
        <v>428</v>
      </c>
      <c r="M1452" s="2" t="n">
        <v>2</v>
      </c>
      <c r="N1452" s="2" t="n">
        <v>-1</v>
      </c>
      <c r="O1452" s="2" t="n">
        <v>0</v>
      </c>
      <c r="P1452" s="2" t="s">
        <v>23</v>
      </c>
      <c r="Q1452" s="2" t="s">
        <v>20</v>
      </c>
    </row>
    <row r="1453" customFormat="false" ht="15" hidden="false" customHeight="false" outlineLevel="0" collapsed="false">
      <c r="A1453" s="2" t="n">
        <v>29</v>
      </c>
      <c r="B1453" s="2" t="s">
        <v>24</v>
      </c>
      <c r="C1453" s="2" t="s">
        <v>18</v>
      </c>
      <c r="D1453" s="2" t="s">
        <v>25</v>
      </c>
      <c r="E1453" s="2" t="s">
        <v>20</v>
      </c>
      <c r="F1453" s="2" t="n">
        <v>3748</v>
      </c>
      <c r="G1453" s="2" t="s">
        <v>20</v>
      </c>
      <c r="H1453" s="2" t="s">
        <v>20</v>
      </c>
      <c r="I1453" s="2" t="s">
        <v>21</v>
      </c>
      <c r="J1453" s="2" t="n">
        <v>28</v>
      </c>
      <c r="K1453" s="2" t="s">
        <v>27</v>
      </c>
      <c r="L1453" s="2" t="n">
        <v>322</v>
      </c>
      <c r="M1453" s="2" t="n">
        <v>3</v>
      </c>
      <c r="N1453" s="2" t="n">
        <v>-1</v>
      </c>
      <c r="O1453" s="2" t="n">
        <v>0</v>
      </c>
      <c r="P1453" s="2" t="s">
        <v>23</v>
      </c>
      <c r="Q1453" s="2" t="s">
        <v>20</v>
      </c>
    </row>
    <row r="1454" customFormat="false" ht="15" hidden="false" customHeight="false" outlineLevel="0" collapsed="false">
      <c r="A1454" s="2" t="n">
        <v>55</v>
      </c>
      <c r="B1454" s="2" t="s">
        <v>38</v>
      </c>
      <c r="C1454" s="2" t="s">
        <v>18</v>
      </c>
      <c r="D1454" s="2" t="s">
        <v>25</v>
      </c>
      <c r="E1454" s="2" t="s">
        <v>20</v>
      </c>
      <c r="F1454" s="2" t="n">
        <v>955</v>
      </c>
      <c r="G1454" s="2" t="s">
        <v>26</v>
      </c>
      <c r="H1454" s="2" t="s">
        <v>20</v>
      </c>
      <c r="I1454" s="2" t="s">
        <v>21</v>
      </c>
      <c r="J1454" s="2" t="n">
        <v>29</v>
      </c>
      <c r="K1454" s="2" t="s">
        <v>43</v>
      </c>
      <c r="L1454" s="2" t="n">
        <v>104</v>
      </c>
      <c r="M1454" s="2" t="n">
        <v>1</v>
      </c>
      <c r="N1454" s="2" t="n">
        <v>-1</v>
      </c>
      <c r="O1454" s="2" t="n">
        <v>0</v>
      </c>
      <c r="P1454" s="2" t="s">
        <v>23</v>
      </c>
      <c r="Q1454" s="2" t="s">
        <v>20</v>
      </c>
    </row>
    <row r="1455" customFormat="false" ht="15" hidden="false" customHeight="false" outlineLevel="0" collapsed="false">
      <c r="A1455" s="2" t="n">
        <v>30</v>
      </c>
      <c r="B1455" s="2" t="s">
        <v>40</v>
      </c>
      <c r="C1455" s="2" t="s">
        <v>18</v>
      </c>
      <c r="D1455" s="2" t="s">
        <v>25</v>
      </c>
      <c r="E1455" s="2" t="s">
        <v>20</v>
      </c>
      <c r="F1455" s="2" t="n">
        <v>518</v>
      </c>
      <c r="G1455" s="2" t="s">
        <v>26</v>
      </c>
      <c r="H1455" s="2" t="s">
        <v>20</v>
      </c>
      <c r="I1455" s="2" t="s">
        <v>21</v>
      </c>
      <c r="J1455" s="2" t="n">
        <v>8</v>
      </c>
      <c r="K1455" s="2" t="s">
        <v>27</v>
      </c>
      <c r="L1455" s="2" t="n">
        <v>127</v>
      </c>
      <c r="M1455" s="2" t="n">
        <v>1</v>
      </c>
      <c r="N1455" s="2" t="n">
        <v>-1</v>
      </c>
      <c r="O1455" s="2" t="n">
        <v>0</v>
      </c>
      <c r="P1455" s="2" t="s">
        <v>23</v>
      </c>
      <c r="Q1455" s="2" t="s">
        <v>20</v>
      </c>
    </row>
    <row r="1456" customFormat="false" ht="15" hidden="false" customHeight="false" outlineLevel="0" collapsed="false">
      <c r="A1456" s="2" t="n">
        <v>45</v>
      </c>
      <c r="B1456" s="2" t="s">
        <v>24</v>
      </c>
      <c r="C1456" s="2" t="s">
        <v>30</v>
      </c>
      <c r="D1456" s="2" t="s">
        <v>19</v>
      </c>
      <c r="E1456" s="2" t="s">
        <v>20</v>
      </c>
      <c r="F1456" s="2" t="n">
        <v>1893</v>
      </c>
      <c r="G1456" s="2" t="s">
        <v>26</v>
      </c>
      <c r="H1456" s="2" t="s">
        <v>20</v>
      </c>
      <c r="I1456" s="2" t="s">
        <v>23</v>
      </c>
      <c r="J1456" s="2" t="n">
        <v>3</v>
      </c>
      <c r="K1456" s="2" t="s">
        <v>33</v>
      </c>
      <c r="L1456" s="2" t="n">
        <v>1259</v>
      </c>
      <c r="M1456" s="2" t="n">
        <v>6</v>
      </c>
      <c r="N1456" s="2" t="n">
        <v>-1</v>
      </c>
      <c r="O1456" s="2" t="n">
        <v>0</v>
      </c>
      <c r="P1456" s="2" t="s">
        <v>23</v>
      </c>
      <c r="Q1456" s="2" t="s">
        <v>26</v>
      </c>
    </row>
    <row r="1457" customFormat="false" ht="15" hidden="false" customHeight="false" outlineLevel="0" collapsed="false">
      <c r="A1457" s="2" t="n">
        <v>39</v>
      </c>
      <c r="B1457" s="2" t="s">
        <v>38</v>
      </c>
      <c r="C1457" s="2" t="s">
        <v>18</v>
      </c>
      <c r="D1457" s="2" t="s">
        <v>31</v>
      </c>
      <c r="E1457" s="2" t="s">
        <v>20</v>
      </c>
      <c r="F1457" s="2" t="n">
        <v>14</v>
      </c>
      <c r="G1457" s="2" t="s">
        <v>20</v>
      </c>
      <c r="H1457" s="2" t="s">
        <v>20</v>
      </c>
      <c r="I1457" s="2" t="s">
        <v>21</v>
      </c>
      <c r="J1457" s="2" t="n">
        <v>28</v>
      </c>
      <c r="K1457" s="2" t="s">
        <v>43</v>
      </c>
      <c r="L1457" s="2" t="n">
        <v>114</v>
      </c>
      <c r="M1457" s="2" t="n">
        <v>2</v>
      </c>
      <c r="N1457" s="2" t="n">
        <v>-1</v>
      </c>
      <c r="O1457" s="2" t="n">
        <v>0</v>
      </c>
      <c r="P1457" s="2" t="s">
        <v>23</v>
      </c>
      <c r="Q1457" s="2" t="s">
        <v>20</v>
      </c>
    </row>
    <row r="1458" customFormat="false" ht="15" hidden="false" customHeight="false" outlineLevel="0" collapsed="false">
      <c r="A1458" s="2" t="n">
        <v>36</v>
      </c>
      <c r="B1458" s="2" t="s">
        <v>40</v>
      </c>
      <c r="C1458" s="2" t="s">
        <v>18</v>
      </c>
      <c r="D1458" s="2" t="s">
        <v>25</v>
      </c>
      <c r="E1458" s="2" t="s">
        <v>20</v>
      </c>
      <c r="F1458" s="2" t="n">
        <v>-423</v>
      </c>
      <c r="G1458" s="2" t="s">
        <v>26</v>
      </c>
      <c r="H1458" s="2" t="s">
        <v>26</v>
      </c>
      <c r="I1458" s="2" t="s">
        <v>23</v>
      </c>
      <c r="J1458" s="2" t="n">
        <v>13</v>
      </c>
      <c r="K1458" s="2" t="s">
        <v>27</v>
      </c>
      <c r="L1458" s="2" t="n">
        <v>106</v>
      </c>
      <c r="M1458" s="2" t="n">
        <v>1</v>
      </c>
      <c r="N1458" s="2" t="n">
        <v>-1</v>
      </c>
      <c r="O1458" s="2" t="n">
        <v>0</v>
      </c>
      <c r="P1458" s="2" t="s">
        <v>23</v>
      </c>
      <c r="Q1458" s="2" t="s">
        <v>20</v>
      </c>
    </row>
    <row r="1459" customFormat="false" ht="15" hidden="false" customHeight="false" outlineLevel="0" collapsed="false">
      <c r="A1459" s="2" t="n">
        <v>33</v>
      </c>
      <c r="B1459" s="2" t="s">
        <v>29</v>
      </c>
      <c r="C1459" s="2" t="s">
        <v>18</v>
      </c>
      <c r="D1459" s="2" t="s">
        <v>31</v>
      </c>
      <c r="E1459" s="2" t="s">
        <v>20</v>
      </c>
      <c r="F1459" s="2" t="n">
        <v>3696</v>
      </c>
      <c r="G1459" s="2" t="s">
        <v>20</v>
      </c>
      <c r="H1459" s="2" t="s">
        <v>20</v>
      </c>
      <c r="I1459" s="2" t="s">
        <v>21</v>
      </c>
      <c r="J1459" s="2" t="n">
        <v>19</v>
      </c>
      <c r="K1459" s="2" t="s">
        <v>46</v>
      </c>
      <c r="L1459" s="2" t="n">
        <v>305</v>
      </c>
      <c r="M1459" s="2" t="n">
        <v>1</v>
      </c>
      <c r="N1459" s="2" t="n">
        <v>182</v>
      </c>
      <c r="O1459" s="2" t="n">
        <v>3</v>
      </c>
      <c r="P1459" s="2" t="s">
        <v>28</v>
      </c>
      <c r="Q1459" s="2" t="s">
        <v>20</v>
      </c>
    </row>
    <row r="1460" customFormat="false" ht="15" hidden="false" customHeight="false" outlineLevel="0" collapsed="false">
      <c r="A1460" s="2" t="n">
        <v>36</v>
      </c>
      <c r="B1460" s="2" t="s">
        <v>29</v>
      </c>
      <c r="C1460" s="2" t="s">
        <v>18</v>
      </c>
      <c r="D1460" s="2" t="s">
        <v>31</v>
      </c>
      <c r="E1460" s="2" t="s">
        <v>20</v>
      </c>
      <c r="F1460" s="2" t="n">
        <v>2987</v>
      </c>
      <c r="G1460" s="2" t="s">
        <v>26</v>
      </c>
      <c r="H1460" s="2" t="s">
        <v>20</v>
      </c>
      <c r="I1460" s="2" t="s">
        <v>21</v>
      </c>
      <c r="J1460" s="2" t="n">
        <v>12</v>
      </c>
      <c r="K1460" s="2" t="s">
        <v>41</v>
      </c>
      <c r="L1460" s="2" t="n">
        <v>307</v>
      </c>
      <c r="M1460" s="2" t="n">
        <v>1</v>
      </c>
      <c r="N1460" s="2" t="n">
        <v>-1</v>
      </c>
      <c r="O1460" s="2" t="n">
        <v>0</v>
      </c>
      <c r="P1460" s="2" t="s">
        <v>23</v>
      </c>
      <c r="Q1460" s="2" t="s">
        <v>26</v>
      </c>
    </row>
    <row r="1461" customFormat="false" ht="15" hidden="false" customHeight="false" outlineLevel="0" collapsed="false">
      <c r="A1461" s="2" t="n">
        <v>31</v>
      </c>
      <c r="B1461" s="2" t="s">
        <v>38</v>
      </c>
      <c r="C1461" s="2" t="s">
        <v>30</v>
      </c>
      <c r="D1461" s="2" t="s">
        <v>25</v>
      </c>
      <c r="E1461" s="2" t="s">
        <v>20</v>
      </c>
      <c r="F1461" s="2" t="n">
        <v>433</v>
      </c>
      <c r="G1461" s="2" t="s">
        <v>20</v>
      </c>
      <c r="H1461" s="2" t="s">
        <v>20</v>
      </c>
      <c r="I1461" s="2" t="s">
        <v>21</v>
      </c>
      <c r="J1461" s="2" t="n">
        <v>11</v>
      </c>
      <c r="K1461" s="2" t="s">
        <v>41</v>
      </c>
      <c r="L1461" s="2" t="n">
        <v>1504</v>
      </c>
      <c r="M1461" s="2" t="n">
        <v>2</v>
      </c>
      <c r="N1461" s="2" t="n">
        <v>-1</v>
      </c>
      <c r="O1461" s="2" t="n">
        <v>0</v>
      </c>
      <c r="P1461" s="2" t="s">
        <v>23</v>
      </c>
      <c r="Q1461" s="2" t="s">
        <v>20</v>
      </c>
    </row>
    <row r="1462" customFormat="false" ht="15" hidden="false" customHeight="false" outlineLevel="0" collapsed="false">
      <c r="A1462" s="2" t="n">
        <v>36</v>
      </c>
      <c r="B1462" s="2" t="s">
        <v>38</v>
      </c>
      <c r="C1462" s="2" t="s">
        <v>18</v>
      </c>
      <c r="D1462" s="2" t="s">
        <v>23</v>
      </c>
      <c r="E1462" s="2" t="s">
        <v>20</v>
      </c>
      <c r="F1462" s="2" t="n">
        <v>756</v>
      </c>
      <c r="G1462" s="2" t="s">
        <v>20</v>
      </c>
      <c r="H1462" s="2" t="s">
        <v>20</v>
      </c>
      <c r="I1462" s="2" t="s">
        <v>21</v>
      </c>
      <c r="J1462" s="2" t="n">
        <v>11</v>
      </c>
      <c r="K1462" s="2" t="s">
        <v>44</v>
      </c>
      <c r="L1462" s="2" t="n">
        <v>396</v>
      </c>
      <c r="M1462" s="2" t="n">
        <v>3</v>
      </c>
      <c r="N1462" s="2" t="n">
        <v>-1</v>
      </c>
      <c r="O1462" s="2" t="n">
        <v>0</v>
      </c>
      <c r="P1462" s="2" t="s">
        <v>23</v>
      </c>
      <c r="Q1462" s="2" t="s">
        <v>20</v>
      </c>
    </row>
    <row r="1463" customFormat="false" ht="15" hidden="false" customHeight="false" outlineLevel="0" collapsed="false">
      <c r="A1463" s="2" t="n">
        <v>38</v>
      </c>
      <c r="B1463" s="2" t="s">
        <v>38</v>
      </c>
      <c r="C1463" s="2" t="s">
        <v>30</v>
      </c>
      <c r="D1463" s="2" t="s">
        <v>31</v>
      </c>
      <c r="E1463" s="2" t="s">
        <v>20</v>
      </c>
      <c r="F1463" s="2" t="n">
        <v>0</v>
      </c>
      <c r="G1463" s="2" t="s">
        <v>26</v>
      </c>
      <c r="H1463" s="2" t="s">
        <v>20</v>
      </c>
      <c r="I1463" s="2" t="s">
        <v>21</v>
      </c>
      <c r="J1463" s="2" t="n">
        <v>1</v>
      </c>
      <c r="K1463" s="2" t="s">
        <v>33</v>
      </c>
      <c r="L1463" s="2" t="n">
        <v>71</v>
      </c>
      <c r="M1463" s="2" t="n">
        <v>1</v>
      </c>
      <c r="N1463" s="2" t="n">
        <v>-1</v>
      </c>
      <c r="O1463" s="2" t="n">
        <v>0</v>
      </c>
      <c r="P1463" s="2" t="s">
        <v>23</v>
      </c>
      <c r="Q1463" s="2" t="s">
        <v>20</v>
      </c>
    </row>
    <row r="1464" customFormat="false" ht="15" hidden="false" customHeight="false" outlineLevel="0" collapsed="false">
      <c r="A1464" s="2" t="n">
        <v>33</v>
      </c>
      <c r="B1464" s="2" t="s">
        <v>23</v>
      </c>
      <c r="C1464" s="2" t="s">
        <v>18</v>
      </c>
      <c r="D1464" s="2" t="s">
        <v>25</v>
      </c>
      <c r="E1464" s="2" t="s">
        <v>20</v>
      </c>
      <c r="F1464" s="2" t="n">
        <v>2727</v>
      </c>
      <c r="G1464" s="2" t="s">
        <v>20</v>
      </c>
      <c r="H1464" s="2" t="s">
        <v>20</v>
      </c>
      <c r="I1464" s="2" t="s">
        <v>21</v>
      </c>
      <c r="J1464" s="2" t="n">
        <v>6</v>
      </c>
      <c r="K1464" s="2" t="s">
        <v>41</v>
      </c>
      <c r="L1464" s="2" t="n">
        <v>205</v>
      </c>
      <c r="M1464" s="2" t="n">
        <v>3</v>
      </c>
      <c r="N1464" s="2" t="n">
        <v>-1</v>
      </c>
      <c r="O1464" s="2" t="n">
        <v>0</v>
      </c>
      <c r="P1464" s="2" t="s">
        <v>23</v>
      </c>
      <c r="Q1464" s="2" t="s">
        <v>20</v>
      </c>
    </row>
    <row r="1465" customFormat="false" ht="15" hidden="false" customHeight="false" outlineLevel="0" collapsed="false">
      <c r="A1465" s="2" t="n">
        <v>40</v>
      </c>
      <c r="B1465" s="2" t="s">
        <v>38</v>
      </c>
      <c r="C1465" s="2" t="s">
        <v>18</v>
      </c>
      <c r="D1465" s="2" t="s">
        <v>25</v>
      </c>
      <c r="E1465" s="2" t="s">
        <v>20</v>
      </c>
      <c r="F1465" s="2" t="n">
        <v>93</v>
      </c>
      <c r="G1465" s="2" t="s">
        <v>26</v>
      </c>
      <c r="H1465" s="2" t="s">
        <v>20</v>
      </c>
      <c r="I1465" s="2" t="s">
        <v>23</v>
      </c>
      <c r="J1465" s="2" t="n">
        <v>13</v>
      </c>
      <c r="K1465" s="2" t="s">
        <v>27</v>
      </c>
      <c r="L1465" s="2" t="n">
        <v>134</v>
      </c>
      <c r="M1465" s="2" t="n">
        <v>2</v>
      </c>
      <c r="N1465" s="2" t="n">
        <v>-1</v>
      </c>
      <c r="O1465" s="2" t="n">
        <v>0</v>
      </c>
      <c r="P1465" s="2" t="s">
        <v>23</v>
      </c>
      <c r="Q1465" s="2" t="s">
        <v>20</v>
      </c>
    </row>
    <row r="1466" customFormat="false" ht="15" hidden="false" customHeight="false" outlineLevel="0" collapsed="false">
      <c r="A1466" s="2" t="n">
        <v>31</v>
      </c>
      <c r="B1466" s="2" t="s">
        <v>34</v>
      </c>
      <c r="C1466" s="2" t="s">
        <v>18</v>
      </c>
      <c r="D1466" s="2" t="s">
        <v>25</v>
      </c>
      <c r="E1466" s="2" t="s">
        <v>20</v>
      </c>
      <c r="F1466" s="2" t="n">
        <v>1766</v>
      </c>
      <c r="G1466" s="2" t="s">
        <v>20</v>
      </c>
      <c r="H1466" s="2" t="s">
        <v>26</v>
      </c>
      <c r="I1466" s="2" t="s">
        <v>21</v>
      </c>
      <c r="J1466" s="2" t="n">
        <v>5</v>
      </c>
      <c r="K1466" s="2" t="s">
        <v>33</v>
      </c>
      <c r="L1466" s="2" t="n">
        <v>166</v>
      </c>
      <c r="M1466" s="2" t="n">
        <v>2</v>
      </c>
      <c r="N1466" s="2" t="n">
        <v>-1</v>
      </c>
      <c r="O1466" s="2" t="n">
        <v>0</v>
      </c>
      <c r="P1466" s="2" t="s">
        <v>23</v>
      </c>
      <c r="Q1466" s="2" t="s">
        <v>26</v>
      </c>
    </row>
    <row r="1467" customFormat="false" ht="15" hidden="false" customHeight="false" outlineLevel="0" collapsed="false">
      <c r="A1467" s="2" t="n">
        <v>39</v>
      </c>
      <c r="B1467" s="2" t="s">
        <v>24</v>
      </c>
      <c r="C1467" s="2" t="s">
        <v>18</v>
      </c>
      <c r="D1467" s="2" t="s">
        <v>25</v>
      </c>
      <c r="E1467" s="2" t="s">
        <v>20</v>
      </c>
      <c r="F1467" s="2" t="n">
        <v>124</v>
      </c>
      <c r="G1467" s="2" t="s">
        <v>26</v>
      </c>
      <c r="H1467" s="2" t="s">
        <v>20</v>
      </c>
      <c r="I1467" s="2" t="s">
        <v>21</v>
      </c>
      <c r="J1467" s="2" t="n">
        <v>31</v>
      </c>
      <c r="K1467" s="2" t="s">
        <v>44</v>
      </c>
      <c r="L1467" s="2" t="n">
        <v>81</v>
      </c>
      <c r="M1467" s="2" t="n">
        <v>5</v>
      </c>
      <c r="N1467" s="2" t="n">
        <v>-1</v>
      </c>
      <c r="O1467" s="2" t="n">
        <v>0</v>
      </c>
      <c r="P1467" s="2" t="s">
        <v>23</v>
      </c>
      <c r="Q1467" s="2" t="s">
        <v>20</v>
      </c>
    </row>
    <row r="1468" customFormat="false" ht="15" hidden="false" customHeight="false" outlineLevel="0" collapsed="false">
      <c r="A1468" s="2" t="n">
        <v>33</v>
      </c>
      <c r="B1468" s="2" t="s">
        <v>40</v>
      </c>
      <c r="C1468" s="2" t="s">
        <v>18</v>
      </c>
      <c r="D1468" s="2" t="s">
        <v>31</v>
      </c>
      <c r="E1468" s="2" t="s">
        <v>20</v>
      </c>
      <c r="F1468" s="2" t="n">
        <v>69</v>
      </c>
      <c r="G1468" s="2" t="s">
        <v>20</v>
      </c>
      <c r="H1468" s="2" t="s">
        <v>26</v>
      </c>
      <c r="I1468" s="2" t="s">
        <v>21</v>
      </c>
      <c r="J1468" s="2" t="n">
        <v>4</v>
      </c>
      <c r="K1468" s="2" t="s">
        <v>27</v>
      </c>
      <c r="L1468" s="2" t="n">
        <v>77</v>
      </c>
      <c r="M1468" s="2" t="n">
        <v>2</v>
      </c>
      <c r="N1468" s="2" t="n">
        <v>-1</v>
      </c>
      <c r="O1468" s="2" t="n">
        <v>0</v>
      </c>
      <c r="P1468" s="2" t="s">
        <v>23</v>
      </c>
      <c r="Q1468" s="2" t="s">
        <v>20</v>
      </c>
    </row>
    <row r="1469" customFormat="false" ht="15" hidden="false" customHeight="false" outlineLevel="0" collapsed="false">
      <c r="A1469" s="2" t="n">
        <v>53</v>
      </c>
      <c r="B1469" s="2" t="s">
        <v>24</v>
      </c>
      <c r="C1469" s="2" t="s">
        <v>45</v>
      </c>
      <c r="D1469" s="2" t="s">
        <v>25</v>
      </c>
      <c r="E1469" s="2" t="s">
        <v>20</v>
      </c>
      <c r="F1469" s="2" t="n">
        <v>0</v>
      </c>
      <c r="G1469" s="2" t="s">
        <v>20</v>
      </c>
      <c r="H1469" s="2" t="s">
        <v>20</v>
      </c>
      <c r="I1469" s="2" t="s">
        <v>21</v>
      </c>
      <c r="J1469" s="2" t="n">
        <v>12</v>
      </c>
      <c r="K1469" s="2" t="s">
        <v>52</v>
      </c>
      <c r="L1469" s="2" t="n">
        <v>80</v>
      </c>
      <c r="M1469" s="2" t="n">
        <v>2</v>
      </c>
      <c r="N1469" s="2" t="n">
        <v>-1</v>
      </c>
      <c r="O1469" s="2" t="n">
        <v>0</v>
      </c>
      <c r="P1469" s="2" t="s">
        <v>23</v>
      </c>
      <c r="Q1469" s="2" t="s">
        <v>26</v>
      </c>
    </row>
    <row r="1470" customFormat="false" ht="15" hidden="false" customHeight="false" outlineLevel="0" collapsed="false">
      <c r="A1470" s="2" t="n">
        <v>38</v>
      </c>
      <c r="B1470" s="2" t="s">
        <v>29</v>
      </c>
      <c r="C1470" s="2" t="s">
        <v>18</v>
      </c>
      <c r="D1470" s="2" t="s">
        <v>31</v>
      </c>
      <c r="E1470" s="2" t="s">
        <v>20</v>
      </c>
      <c r="F1470" s="2" t="n">
        <v>0</v>
      </c>
      <c r="G1470" s="2" t="s">
        <v>26</v>
      </c>
      <c r="H1470" s="2" t="s">
        <v>20</v>
      </c>
      <c r="I1470" s="2" t="s">
        <v>21</v>
      </c>
      <c r="J1470" s="2" t="n">
        <v>13</v>
      </c>
      <c r="K1470" s="2" t="s">
        <v>27</v>
      </c>
      <c r="L1470" s="2" t="n">
        <v>537</v>
      </c>
      <c r="M1470" s="2" t="n">
        <v>5</v>
      </c>
      <c r="N1470" s="2" t="n">
        <v>303</v>
      </c>
      <c r="O1470" s="2" t="n">
        <v>2</v>
      </c>
      <c r="P1470" s="2" t="s">
        <v>28</v>
      </c>
      <c r="Q1470" s="2" t="s">
        <v>20</v>
      </c>
    </row>
    <row r="1471" customFormat="false" ht="15" hidden="false" customHeight="false" outlineLevel="0" collapsed="false">
      <c r="A1471" s="2" t="n">
        <v>59</v>
      </c>
      <c r="B1471" s="2" t="s">
        <v>38</v>
      </c>
      <c r="C1471" s="2" t="s">
        <v>18</v>
      </c>
      <c r="D1471" s="2" t="s">
        <v>25</v>
      </c>
      <c r="E1471" s="2" t="s">
        <v>20</v>
      </c>
      <c r="F1471" s="2" t="n">
        <v>259</v>
      </c>
      <c r="G1471" s="2" t="s">
        <v>20</v>
      </c>
      <c r="H1471" s="2" t="s">
        <v>20</v>
      </c>
      <c r="I1471" s="2" t="s">
        <v>21</v>
      </c>
      <c r="J1471" s="2" t="n">
        <v>15</v>
      </c>
      <c r="K1471" s="2" t="s">
        <v>33</v>
      </c>
      <c r="L1471" s="2" t="n">
        <v>415</v>
      </c>
      <c r="M1471" s="2" t="n">
        <v>1</v>
      </c>
      <c r="N1471" s="2" t="n">
        <v>89</v>
      </c>
      <c r="O1471" s="2" t="n">
        <v>1</v>
      </c>
      <c r="P1471" s="2" t="s">
        <v>50</v>
      </c>
      <c r="Q1471" s="2" t="s">
        <v>26</v>
      </c>
    </row>
    <row r="1472" customFormat="false" ht="15" hidden="false" customHeight="false" outlineLevel="0" collapsed="false">
      <c r="A1472" s="2" t="n">
        <v>55</v>
      </c>
      <c r="B1472" s="2" t="s">
        <v>34</v>
      </c>
      <c r="C1472" s="2" t="s">
        <v>18</v>
      </c>
      <c r="D1472" s="2" t="s">
        <v>19</v>
      </c>
      <c r="E1472" s="2" t="s">
        <v>20</v>
      </c>
      <c r="F1472" s="2" t="n">
        <v>4103</v>
      </c>
      <c r="G1472" s="2" t="s">
        <v>20</v>
      </c>
      <c r="H1472" s="2" t="s">
        <v>20</v>
      </c>
      <c r="I1472" s="2" t="s">
        <v>21</v>
      </c>
      <c r="J1472" s="2" t="n">
        <v>19</v>
      </c>
      <c r="K1472" s="2" t="s">
        <v>46</v>
      </c>
      <c r="L1472" s="2" t="n">
        <v>291</v>
      </c>
      <c r="M1472" s="2" t="n">
        <v>1</v>
      </c>
      <c r="N1472" s="2" t="n">
        <v>-1</v>
      </c>
      <c r="O1472" s="2" t="n">
        <v>0</v>
      </c>
      <c r="P1472" s="2" t="s">
        <v>23</v>
      </c>
      <c r="Q1472" s="2" t="s">
        <v>20</v>
      </c>
    </row>
    <row r="1473" customFormat="false" ht="15" hidden="false" customHeight="false" outlineLevel="0" collapsed="false">
      <c r="A1473" s="2" t="n">
        <v>38</v>
      </c>
      <c r="B1473" s="2" t="s">
        <v>38</v>
      </c>
      <c r="C1473" s="2" t="s">
        <v>30</v>
      </c>
      <c r="D1473" s="2" t="s">
        <v>31</v>
      </c>
      <c r="E1473" s="2" t="s">
        <v>20</v>
      </c>
      <c r="F1473" s="2" t="n">
        <v>744</v>
      </c>
      <c r="G1473" s="2" t="s">
        <v>26</v>
      </c>
      <c r="H1473" s="2" t="s">
        <v>20</v>
      </c>
      <c r="I1473" s="2" t="s">
        <v>21</v>
      </c>
      <c r="J1473" s="2" t="n">
        <v>14</v>
      </c>
      <c r="K1473" s="2" t="s">
        <v>27</v>
      </c>
      <c r="L1473" s="2" t="n">
        <v>283</v>
      </c>
      <c r="M1473" s="2" t="n">
        <v>1</v>
      </c>
      <c r="N1473" s="2" t="n">
        <v>288</v>
      </c>
      <c r="O1473" s="2" t="n">
        <v>12</v>
      </c>
      <c r="P1473" s="2" t="s">
        <v>37</v>
      </c>
      <c r="Q1473" s="2" t="s">
        <v>20</v>
      </c>
    </row>
    <row r="1474" customFormat="false" ht="15" hidden="false" customHeight="false" outlineLevel="0" collapsed="false">
      <c r="A1474" s="2" t="n">
        <v>48</v>
      </c>
      <c r="B1474" s="2" t="s">
        <v>24</v>
      </c>
      <c r="C1474" s="2" t="s">
        <v>18</v>
      </c>
      <c r="D1474" s="2" t="s">
        <v>25</v>
      </c>
      <c r="E1474" s="2" t="s">
        <v>20</v>
      </c>
      <c r="F1474" s="2" t="n">
        <v>116</v>
      </c>
      <c r="G1474" s="2" t="s">
        <v>26</v>
      </c>
      <c r="H1474" s="2" t="s">
        <v>20</v>
      </c>
      <c r="I1474" s="2" t="s">
        <v>49</v>
      </c>
      <c r="J1474" s="2" t="n">
        <v>20</v>
      </c>
      <c r="K1474" s="2" t="s">
        <v>32</v>
      </c>
      <c r="L1474" s="2" t="n">
        <v>70</v>
      </c>
      <c r="M1474" s="2" t="n">
        <v>4</v>
      </c>
      <c r="N1474" s="2" t="n">
        <v>-1</v>
      </c>
      <c r="O1474" s="2" t="n">
        <v>0</v>
      </c>
      <c r="P1474" s="2" t="s">
        <v>23</v>
      </c>
      <c r="Q1474" s="2" t="s">
        <v>20</v>
      </c>
    </row>
    <row r="1475" customFormat="false" ht="15" hidden="false" customHeight="false" outlineLevel="0" collapsed="false">
      <c r="A1475" s="2" t="n">
        <v>53</v>
      </c>
      <c r="B1475" s="2" t="s">
        <v>34</v>
      </c>
      <c r="C1475" s="2" t="s">
        <v>18</v>
      </c>
      <c r="D1475" s="2" t="s">
        <v>25</v>
      </c>
      <c r="E1475" s="2" t="s">
        <v>20</v>
      </c>
      <c r="F1475" s="2" t="n">
        <v>70</v>
      </c>
      <c r="G1475" s="2" t="s">
        <v>26</v>
      </c>
      <c r="H1475" s="2" t="s">
        <v>20</v>
      </c>
      <c r="I1475" s="2" t="s">
        <v>23</v>
      </c>
      <c r="J1475" s="2" t="n">
        <v>5</v>
      </c>
      <c r="K1475" s="2" t="s">
        <v>27</v>
      </c>
      <c r="L1475" s="2" t="n">
        <v>611</v>
      </c>
      <c r="M1475" s="2" t="n">
        <v>2</v>
      </c>
      <c r="N1475" s="2" t="n">
        <v>-1</v>
      </c>
      <c r="O1475" s="2" t="n">
        <v>0</v>
      </c>
      <c r="P1475" s="2" t="s">
        <v>23</v>
      </c>
      <c r="Q1475" s="2" t="s">
        <v>20</v>
      </c>
    </row>
    <row r="1476" customFormat="false" ht="15" hidden="false" customHeight="false" outlineLevel="0" collapsed="false">
      <c r="A1476" s="2" t="n">
        <v>44</v>
      </c>
      <c r="B1476" s="2" t="s">
        <v>40</v>
      </c>
      <c r="C1476" s="2" t="s">
        <v>45</v>
      </c>
      <c r="D1476" s="2" t="s">
        <v>25</v>
      </c>
      <c r="E1476" s="2" t="s">
        <v>20</v>
      </c>
      <c r="F1476" s="2" t="n">
        <v>432</v>
      </c>
      <c r="G1476" s="2" t="s">
        <v>20</v>
      </c>
      <c r="H1476" s="2" t="s">
        <v>20</v>
      </c>
      <c r="I1476" s="2" t="s">
        <v>21</v>
      </c>
      <c r="J1476" s="2" t="n">
        <v>9</v>
      </c>
      <c r="K1476" s="2" t="s">
        <v>35</v>
      </c>
      <c r="L1476" s="2" t="n">
        <v>132</v>
      </c>
      <c r="M1476" s="2" t="n">
        <v>3</v>
      </c>
      <c r="N1476" s="2" t="n">
        <v>-1</v>
      </c>
      <c r="O1476" s="2" t="n">
        <v>0</v>
      </c>
      <c r="P1476" s="2" t="s">
        <v>23</v>
      </c>
      <c r="Q1476" s="2" t="s">
        <v>20</v>
      </c>
    </row>
    <row r="1477" customFormat="false" ht="15" hidden="false" customHeight="false" outlineLevel="0" collapsed="false">
      <c r="A1477" s="2" t="n">
        <v>57</v>
      </c>
      <c r="B1477" s="2" t="s">
        <v>29</v>
      </c>
      <c r="C1477" s="2" t="s">
        <v>18</v>
      </c>
      <c r="D1477" s="2" t="s">
        <v>31</v>
      </c>
      <c r="E1477" s="2" t="s">
        <v>20</v>
      </c>
      <c r="F1477" s="2" t="n">
        <v>1172</v>
      </c>
      <c r="G1477" s="2" t="s">
        <v>20</v>
      </c>
      <c r="H1477" s="2" t="s">
        <v>20</v>
      </c>
      <c r="I1477" s="2" t="s">
        <v>23</v>
      </c>
      <c r="J1477" s="2" t="n">
        <v>18</v>
      </c>
      <c r="K1477" s="2" t="s">
        <v>33</v>
      </c>
      <c r="L1477" s="2" t="n">
        <v>26</v>
      </c>
      <c r="M1477" s="2" t="n">
        <v>1</v>
      </c>
      <c r="N1477" s="2" t="n">
        <v>-1</v>
      </c>
      <c r="O1477" s="2" t="n">
        <v>0</v>
      </c>
      <c r="P1477" s="2" t="s">
        <v>23</v>
      </c>
      <c r="Q1477" s="2" t="s">
        <v>20</v>
      </c>
    </row>
    <row r="1478" customFormat="false" ht="15" hidden="false" customHeight="false" outlineLevel="0" collapsed="false">
      <c r="A1478" s="2" t="n">
        <v>29</v>
      </c>
      <c r="B1478" s="2" t="s">
        <v>34</v>
      </c>
      <c r="C1478" s="2" t="s">
        <v>30</v>
      </c>
      <c r="D1478" s="2" t="s">
        <v>25</v>
      </c>
      <c r="E1478" s="2" t="s">
        <v>20</v>
      </c>
      <c r="F1478" s="2" t="n">
        <v>9</v>
      </c>
      <c r="G1478" s="2" t="s">
        <v>26</v>
      </c>
      <c r="H1478" s="2" t="s">
        <v>20</v>
      </c>
      <c r="I1478" s="2" t="s">
        <v>21</v>
      </c>
      <c r="J1478" s="2" t="n">
        <v>11</v>
      </c>
      <c r="K1478" s="2" t="s">
        <v>27</v>
      </c>
      <c r="L1478" s="2" t="n">
        <v>262</v>
      </c>
      <c r="M1478" s="2" t="n">
        <v>3</v>
      </c>
      <c r="N1478" s="2" t="n">
        <v>-1</v>
      </c>
      <c r="O1478" s="2" t="n">
        <v>0</v>
      </c>
      <c r="P1478" s="2" t="s">
        <v>23</v>
      </c>
      <c r="Q1478" s="2" t="s">
        <v>20</v>
      </c>
    </row>
    <row r="1479" customFormat="false" ht="15" hidden="false" customHeight="false" outlineLevel="0" collapsed="false">
      <c r="A1479" s="2" t="n">
        <v>31</v>
      </c>
      <c r="B1479" s="2" t="s">
        <v>24</v>
      </c>
      <c r="C1479" s="2" t="s">
        <v>18</v>
      </c>
      <c r="D1479" s="2" t="s">
        <v>25</v>
      </c>
      <c r="E1479" s="2" t="s">
        <v>20</v>
      </c>
      <c r="F1479" s="2" t="n">
        <v>428</v>
      </c>
      <c r="G1479" s="2" t="s">
        <v>26</v>
      </c>
      <c r="H1479" s="2" t="s">
        <v>20</v>
      </c>
      <c r="I1479" s="2" t="s">
        <v>23</v>
      </c>
      <c r="J1479" s="2" t="n">
        <v>21</v>
      </c>
      <c r="K1479" s="2" t="s">
        <v>27</v>
      </c>
      <c r="L1479" s="2" t="n">
        <v>272</v>
      </c>
      <c r="M1479" s="2" t="n">
        <v>1</v>
      </c>
      <c r="N1479" s="2" t="n">
        <v>-1</v>
      </c>
      <c r="O1479" s="2" t="n">
        <v>0</v>
      </c>
      <c r="P1479" s="2" t="s">
        <v>23</v>
      </c>
      <c r="Q1479" s="2" t="s">
        <v>20</v>
      </c>
    </row>
    <row r="1480" customFormat="false" ht="15" hidden="false" customHeight="false" outlineLevel="0" collapsed="false">
      <c r="A1480" s="2" t="n">
        <v>35</v>
      </c>
      <c r="B1480" s="2" t="s">
        <v>38</v>
      </c>
      <c r="C1480" s="2" t="s">
        <v>30</v>
      </c>
      <c r="D1480" s="2" t="s">
        <v>31</v>
      </c>
      <c r="E1480" s="2" t="s">
        <v>20</v>
      </c>
      <c r="F1480" s="2" t="n">
        <v>7546</v>
      </c>
      <c r="G1480" s="2" t="s">
        <v>26</v>
      </c>
      <c r="H1480" s="2" t="s">
        <v>20</v>
      </c>
      <c r="I1480" s="2" t="s">
        <v>21</v>
      </c>
      <c r="J1480" s="2" t="n">
        <v>28</v>
      </c>
      <c r="K1480" s="2" t="s">
        <v>53</v>
      </c>
      <c r="L1480" s="2" t="n">
        <v>137</v>
      </c>
      <c r="M1480" s="2" t="n">
        <v>1</v>
      </c>
      <c r="N1480" s="2" t="n">
        <v>122</v>
      </c>
      <c r="O1480" s="2" t="n">
        <v>3</v>
      </c>
      <c r="P1480" s="2" t="s">
        <v>28</v>
      </c>
      <c r="Q1480" s="2" t="s">
        <v>20</v>
      </c>
    </row>
    <row r="1481" customFormat="false" ht="15" hidden="false" customHeight="false" outlineLevel="0" collapsed="false">
      <c r="A1481" s="2" t="n">
        <v>31</v>
      </c>
      <c r="B1481" s="2" t="s">
        <v>34</v>
      </c>
      <c r="C1481" s="2" t="s">
        <v>18</v>
      </c>
      <c r="D1481" s="2" t="s">
        <v>19</v>
      </c>
      <c r="E1481" s="2" t="s">
        <v>20</v>
      </c>
      <c r="F1481" s="2" t="n">
        <v>620</v>
      </c>
      <c r="G1481" s="2" t="s">
        <v>20</v>
      </c>
      <c r="H1481" s="2" t="s">
        <v>20</v>
      </c>
      <c r="I1481" s="2" t="s">
        <v>21</v>
      </c>
      <c r="J1481" s="2" t="n">
        <v>30</v>
      </c>
      <c r="K1481" s="2" t="s">
        <v>52</v>
      </c>
      <c r="L1481" s="2" t="n">
        <v>95</v>
      </c>
      <c r="M1481" s="2" t="n">
        <v>1</v>
      </c>
      <c r="N1481" s="2" t="n">
        <v>-1</v>
      </c>
      <c r="O1481" s="2" t="n">
        <v>0</v>
      </c>
      <c r="P1481" s="2" t="s">
        <v>23</v>
      </c>
      <c r="Q1481" s="2" t="s">
        <v>20</v>
      </c>
    </row>
    <row r="1482" customFormat="false" ht="15" hidden="false" customHeight="false" outlineLevel="0" collapsed="false">
      <c r="A1482" s="2" t="n">
        <v>35</v>
      </c>
      <c r="B1482" s="2" t="s">
        <v>36</v>
      </c>
      <c r="C1482" s="2" t="s">
        <v>18</v>
      </c>
      <c r="D1482" s="2" t="s">
        <v>31</v>
      </c>
      <c r="E1482" s="2" t="s">
        <v>20</v>
      </c>
      <c r="F1482" s="2" t="n">
        <v>8647</v>
      </c>
      <c r="G1482" s="2" t="s">
        <v>20</v>
      </c>
      <c r="H1482" s="2" t="s">
        <v>20</v>
      </c>
      <c r="I1482" s="2" t="s">
        <v>21</v>
      </c>
      <c r="J1482" s="2" t="n">
        <v>19</v>
      </c>
      <c r="K1482" s="2" t="s">
        <v>46</v>
      </c>
      <c r="L1482" s="2" t="n">
        <v>140</v>
      </c>
      <c r="M1482" s="2" t="n">
        <v>2</v>
      </c>
      <c r="N1482" s="2" t="n">
        <v>-1</v>
      </c>
      <c r="O1482" s="2" t="n">
        <v>0</v>
      </c>
      <c r="P1482" s="2" t="s">
        <v>23</v>
      </c>
      <c r="Q1482" s="2" t="s">
        <v>20</v>
      </c>
    </row>
    <row r="1483" customFormat="false" ht="15" hidden="false" customHeight="false" outlineLevel="0" collapsed="false">
      <c r="A1483" s="2" t="n">
        <v>40</v>
      </c>
      <c r="B1483" s="2" t="s">
        <v>29</v>
      </c>
      <c r="C1483" s="2" t="s">
        <v>30</v>
      </c>
      <c r="D1483" s="2" t="s">
        <v>25</v>
      </c>
      <c r="E1483" s="2" t="s">
        <v>20</v>
      </c>
      <c r="F1483" s="2" t="n">
        <v>192</v>
      </c>
      <c r="G1483" s="2" t="s">
        <v>26</v>
      </c>
      <c r="H1483" s="2" t="s">
        <v>20</v>
      </c>
      <c r="I1483" s="2" t="s">
        <v>23</v>
      </c>
      <c r="J1483" s="2" t="n">
        <v>16</v>
      </c>
      <c r="K1483" s="2" t="s">
        <v>27</v>
      </c>
      <c r="L1483" s="2" t="n">
        <v>71</v>
      </c>
      <c r="M1483" s="2" t="n">
        <v>11</v>
      </c>
      <c r="N1483" s="2" t="n">
        <v>-1</v>
      </c>
      <c r="O1483" s="2" t="n">
        <v>0</v>
      </c>
      <c r="P1483" s="2" t="s">
        <v>23</v>
      </c>
      <c r="Q1483" s="2" t="s">
        <v>20</v>
      </c>
    </row>
    <row r="1484" customFormat="false" ht="15" hidden="false" customHeight="false" outlineLevel="0" collapsed="false">
      <c r="A1484" s="2" t="n">
        <v>39</v>
      </c>
      <c r="B1484" s="2" t="s">
        <v>34</v>
      </c>
      <c r="C1484" s="2" t="s">
        <v>18</v>
      </c>
      <c r="D1484" s="2" t="s">
        <v>25</v>
      </c>
      <c r="E1484" s="2" t="s">
        <v>20</v>
      </c>
      <c r="F1484" s="2" t="n">
        <v>0</v>
      </c>
      <c r="G1484" s="2" t="s">
        <v>26</v>
      </c>
      <c r="H1484" s="2" t="s">
        <v>20</v>
      </c>
      <c r="I1484" s="2" t="s">
        <v>21</v>
      </c>
      <c r="J1484" s="2" t="n">
        <v>7</v>
      </c>
      <c r="K1484" s="2" t="s">
        <v>27</v>
      </c>
      <c r="L1484" s="2" t="n">
        <v>502</v>
      </c>
      <c r="M1484" s="2" t="n">
        <v>1</v>
      </c>
      <c r="N1484" s="2" t="n">
        <v>7</v>
      </c>
      <c r="O1484" s="2" t="n">
        <v>2</v>
      </c>
      <c r="P1484" s="2" t="s">
        <v>28</v>
      </c>
      <c r="Q1484" s="2" t="s">
        <v>20</v>
      </c>
    </row>
    <row r="1485" customFormat="false" ht="15" hidden="false" customHeight="false" outlineLevel="0" collapsed="false">
      <c r="A1485" s="2" t="n">
        <v>43</v>
      </c>
      <c r="B1485" s="2" t="s">
        <v>38</v>
      </c>
      <c r="C1485" s="2" t="s">
        <v>30</v>
      </c>
      <c r="D1485" s="2" t="s">
        <v>31</v>
      </c>
      <c r="E1485" s="2" t="s">
        <v>20</v>
      </c>
      <c r="F1485" s="2" t="n">
        <v>27733</v>
      </c>
      <c r="G1485" s="2" t="s">
        <v>26</v>
      </c>
      <c r="H1485" s="2" t="s">
        <v>20</v>
      </c>
      <c r="I1485" s="2" t="s">
        <v>23</v>
      </c>
      <c r="J1485" s="2" t="n">
        <v>3</v>
      </c>
      <c r="K1485" s="2" t="s">
        <v>33</v>
      </c>
      <c r="L1485" s="2" t="n">
        <v>164</v>
      </c>
      <c r="M1485" s="2" t="n">
        <v>7</v>
      </c>
      <c r="N1485" s="2" t="n">
        <v>-1</v>
      </c>
      <c r="O1485" s="2" t="n">
        <v>0</v>
      </c>
      <c r="P1485" s="2" t="s">
        <v>23</v>
      </c>
      <c r="Q1485" s="2" t="s">
        <v>20</v>
      </c>
    </row>
    <row r="1486" customFormat="false" ht="15" hidden="false" customHeight="false" outlineLevel="0" collapsed="false">
      <c r="A1486" s="2" t="n">
        <v>44</v>
      </c>
      <c r="B1486" s="2" t="s">
        <v>39</v>
      </c>
      <c r="C1486" s="2" t="s">
        <v>18</v>
      </c>
      <c r="D1486" s="2" t="s">
        <v>19</v>
      </c>
      <c r="E1486" s="2" t="s">
        <v>20</v>
      </c>
      <c r="F1486" s="2" t="n">
        <v>276</v>
      </c>
      <c r="G1486" s="2" t="s">
        <v>26</v>
      </c>
      <c r="H1486" s="2" t="s">
        <v>26</v>
      </c>
      <c r="I1486" s="2" t="s">
        <v>23</v>
      </c>
      <c r="J1486" s="2" t="n">
        <v>15</v>
      </c>
      <c r="K1486" s="2" t="s">
        <v>27</v>
      </c>
      <c r="L1486" s="2" t="n">
        <v>219</v>
      </c>
      <c r="M1486" s="2" t="n">
        <v>1</v>
      </c>
      <c r="N1486" s="2" t="n">
        <v>-1</v>
      </c>
      <c r="O1486" s="2" t="n">
        <v>0</v>
      </c>
      <c r="P1486" s="2" t="s">
        <v>23</v>
      </c>
      <c r="Q1486" s="2" t="s">
        <v>20</v>
      </c>
    </row>
    <row r="1487" customFormat="false" ht="15" hidden="false" customHeight="false" outlineLevel="0" collapsed="false">
      <c r="A1487" s="2" t="n">
        <v>29</v>
      </c>
      <c r="B1487" s="2" t="s">
        <v>38</v>
      </c>
      <c r="C1487" s="2" t="s">
        <v>30</v>
      </c>
      <c r="D1487" s="2" t="s">
        <v>25</v>
      </c>
      <c r="E1487" s="2" t="s">
        <v>20</v>
      </c>
      <c r="F1487" s="2" t="n">
        <v>113</v>
      </c>
      <c r="G1487" s="2" t="s">
        <v>20</v>
      </c>
      <c r="H1487" s="2" t="s">
        <v>20</v>
      </c>
      <c r="I1487" s="2" t="s">
        <v>21</v>
      </c>
      <c r="J1487" s="2" t="n">
        <v>12</v>
      </c>
      <c r="K1487" s="2" t="s">
        <v>35</v>
      </c>
      <c r="L1487" s="2" t="n">
        <v>328</v>
      </c>
      <c r="M1487" s="2" t="n">
        <v>2</v>
      </c>
      <c r="N1487" s="2" t="n">
        <v>183</v>
      </c>
      <c r="O1487" s="2" t="n">
        <v>4</v>
      </c>
      <c r="P1487" s="2" t="s">
        <v>50</v>
      </c>
      <c r="Q1487" s="2" t="s">
        <v>26</v>
      </c>
    </row>
    <row r="1488" customFormat="false" ht="15" hidden="false" customHeight="false" outlineLevel="0" collapsed="false">
      <c r="A1488" s="2" t="n">
        <v>40</v>
      </c>
      <c r="B1488" s="2" t="s">
        <v>38</v>
      </c>
      <c r="C1488" s="2" t="s">
        <v>18</v>
      </c>
      <c r="D1488" s="2" t="s">
        <v>25</v>
      </c>
      <c r="E1488" s="2" t="s">
        <v>20</v>
      </c>
      <c r="F1488" s="2" t="n">
        <v>782</v>
      </c>
      <c r="G1488" s="2" t="s">
        <v>26</v>
      </c>
      <c r="H1488" s="2" t="s">
        <v>20</v>
      </c>
      <c r="I1488" s="2" t="s">
        <v>23</v>
      </c>
      <c r="J1488" s="2" t="n">
        <v>14</v>
      </c>
      <c r="K1488" s="2" t="s">
        <v>27</v>
      </c>
      <c r="L1488" s="2" t="n">
        <v>224</v>
      </c>
      <c r="M1488" s="2" t="n">
        <v>2</v>
      </c>
      <c r="N1488" s="2" t="n">
        <v>-1</v>
      </c>
      <c r="O1488" s="2" t="n">
        <v>0</v>
      </c>
      <c r="P1488" s="2" t="s">
        <v>23</v>
      </c>
      <c r="Q1488" s="2" t="s">
        <v>20</v>
      </c>
    </row>
    <row r="1489" customFormat="false" ht="15" hidden="false" customHeight="false" outlineLevel="0" collapsed="false">
      <c r="A1489" s="2" t="n">
        <v>33</v>
      </c>
      <c r="B1489" s="2" t="s">
        <v>39</v>
      </c>
      <c r="C1489" s="2" t="s">
        <v>18</v>
      </c>
      <c r="D1489" s="2" t="s">
        <v>19</v>
      </c>
      <c r="E1489" s="2" t="s">
        <v>20</v>
      </c>
      <c r="F1489" s="2" t="n">
        <v>82</v>
      </c>
      <c r="G1489" s="2" t="s">
        <v>26</v>
      </c>
      <c r="H1489" s="2" t="s">
        <v>20</v>
      </c>
      <c r="I1489" s="2" t="s">
        <v>21</v>
      </c>
      <c r="J1489" s="2" t="n">
        <v>18</v>
      </c>
      <c r="K1489" s="2" t="s">
        <v>46</v>
      </c>
      <c r="L1489" s="2" t="n">
        <v>63</v>
      </c>
      <c r="M1489" s="2" t="n">
        <v>2</v>
      </c>
      <c r="N1489" s="2" t="n">
        <v>-1</v>
      </c>
      <c r="O1489" s="2" t="n">
        <v>0</v>
      </c>
      <c r="P1489" s="2" t="s">
        <v>23</v>
      </c>
      <c r="Q1489" s="2" t="s">
        <v>20</v>
      </c>
    </row>
    <row r="1490" customFormat="false" ht="15" hidden="false" customHeight="false" outlineLevel="0" collapsed="false">
      <c r="A1490" s="2" t="n">
        <v>46</v>
      </c>
      <c r="B1490" s="2" t="s">
        <v>29</v>
      </c>
      <c r="C1490" s="2" t="s">
        <v>18</v>
      </c>
      <c r="D1490" s="2" t="s">
        <v>31</v>
      </c>
      <c r="E1490" s="2" t="s">
        <v>20</v>
      </c>
      <c r="F1490" s="2" t="n">
        <v>1008</v>
      </c>
      <c r="G1490" s="2" t="s">
        <v>20</v>
      </c>
      <c r="H1490" s="2" t="s">
        <v>20</v>
      </c>
      <c r="I1490" s="2" t="s">
        <v>21</v>
      </c>
      <c r="J1490" s="2" t="n">
        <v>29</v>
      </c>
      <c r="K1490" s="2" t="s">
        <v>41</v>
      </c>
      <c r="L1490" s="2" t="n">
        <v>24</v>
      </c>
      <c r="M1490" s="2" t="n">
        <v>13</v>
      </c>
      <c r="N1490" s="2" t="n">
        <v>-1</v>
      </c>
      <c r="O1490" s="2" t="n">
        <v>0</v>
      </c>
      <c r="P1490" s="2" t="s">
        <v>23</v>
      </c>
      <c r="Q1490" s="2" t="s">
        <v>20</v>
      </c>
    </row>
    <row r="1491" customFormat="false" ht="15" hidden="false" customHeight="false" outlineLevel="0" collapsed="false">
      <c r="A1491" s="2" t="n">
        <v>27</v>
      </c>
      <c r="B1491" s="2" t="s">
        <v>23</v>
      </c>
      <c r="C1491" s="2" t="s">
        <v>30</v>
      </c>
      <c r="D1491" s="2" t="s">
        <v>31</v>
      </c>
      <c r="E1491" s="2" t="s">
        <v>20</v>
      </c>
      <c r="F1491" s="2" t="n">
        <v>6421</v>
      </c>
      <c r="G1491" s="2" t="s">
        <v>20</v>
      </c>
      <c r="H1491" s="2" t="s">
        <v>20</v>
      </c>
      <c r="I1491" s="2" t="s">
        <v>49</v>
      </c>
      <c r="J1491" s="2" t="n">
        <v>28</v>
      </c>
      <c r="K1491" s="2" t="s">
        <v>43</v>
      </c>
      <c r="L1491" s="2" t="n">
        <v>147</v>
      </c>
      <c r="M1491" s="2" t="n">
        <v>4</v>
      </c>
      <c r="N1491" s="2" t="n">
        <v>-1</v>
      </c>
      <c r="O1491" s="2" t="n">
        <v>0</v>
      </c>
      <c r="P1491" s="2" t="s">
        <v>23</v>
      </c>
      <c r="Q1491" s="2" t="s">
        <v>20</v>
      </c>
    </row>
    <row r="1492" customFormat="false" ht="15" hidden="false" customHeight="false" outlineLevel="0" collapsed="false">
      <c r="A1492" s="2" t="n">
        <v>26</v>
      </c>
      <c r="B1492" s="2" t="s">
        <v>40</v>
      </c>
      <c r="C1492" s="2" t="s">
        <v>30</v>
      </c>
      <c r="D1492" s="2" t="s">
        <v>25</v>
      </c>
      <c r="E1492" s="2" t="s">
        <v>20</v>
      </c>
      <c r="F1492" s="2" t="n">
        <v>443</v>
      </c>
      <c r="G1492" s="2" t="s">
        <v>20</v>
      </c>
      <c r="H1492" s="2" t="s">
        <v>20</v>
      </c>
      <c r="I1492" s="2" t="s">
        <v>21</v>
      </c>
      <c r="J1492" s="2" t="n">
        <v>30</v>
      </c>
      <c r="K1492" s="2" t="s">
        <v>44</v>
      </c>
      <c r="L1492" s="2" t="n">
        <v>84</v>
      </c>
      <c r="M1492" s="2" t="n">
        <v>3</v>
      </c>
      <c r="N1492" s="2" t="n">
        <v>-1</v>
      </c>
      <c r="O1492" s="2" t="n">
        <v>0</v>
      </c>
      <c r="P1492" s="2" t="s">
        <v>23</v>
      </c>
      <c r="Q1492" s="2" t="s">
        <v>20</v>
      </c>
    </row>
    <row r="1493" customFormat="false" ht="15" hidden="false" customHeight="false" outlineLevel="0" collapsed="false">
      <c r="A1493" s="2" t="n">
        <v>41</v>
      </c>
      <c r="B1493" s="2" t="s">
        <v>38</v>
      </c>
      <c r="C1493" s="2" t="s">
        <v>18</v>
      </c>
      <c r="D1493" s="2" t="s">
        <v>25</v>
      </c>
      <c r="E1493" s="2" t="s">
        <v>20</v>
      </c>
      <c r="F1493" s="2" t="n">
        <v>351</v>
      </c>
      <c r="G1493" s="2" t="s">
        <v>26</v>
      </c>
      <c r="H1493" s="2" t="s">
        <v>20</v>
      </c>
      <c r="I1493" s="2" t="s">
        <v>21</v>
      </c>
      <c r="J1493" s="2" t="n">
        <v>9</v>
      </c>
      <c r="K1493" s="2" t="s">
        <v>44</v>
      </c>
      <c r="L1493" s="2" t="n">
        <v>175</v>
      </c>
      <c r="M1493" s="2" t="n">
        <v>1</v>
      </c>
      <c r="N1493" s="2" t="n">
        <v>-1</v>
      </c>
      <c r="O1493" s="2" t="n">
        <v>0</v>
      </c>
      <c r="P1493" s="2" t="s">
        <v>23</v>
      </c>
      <c r="Q1493" s="2" t="s">
        <v>20</v>
      </c>
    </row>
    <row r="1494" customFormat="false" ht="15" hidden="false" customHeight="false" outlineLevel="0" collapsed="false">
      <c r="A1494" s="2" t="n">
        <v>34</v>
      </c>
      <c r="B1494" s="2" t="s">
        <v>38</v>
      </c>
      <c r="C1494" s="2" t="s">
        <v>18</v>
      </c>
      <c r="D1494" s="2" t="s">
        <v>31</v>
      </c>
      <c r="E1494" s="2" t="s">
        <v>20</v>
      </c>
      <c r="F1494" s="2" t="n">
        <v>5060</v>
      </c>
      <c r="G1494" s="2" t="s">
        <v>26</v>
      </c>
      <c r="H1494" s="2" t="s">
        <v>20</v>
      </c>
      <c r="I1494" s="2" t="s">
        <v>21</v>
      </c>
      <c r="J1494" s="2" t="n">
        <v>21</v>
      </c>
      <c r="K1494" s="2" t="s">
        <v>41</v>
      </c>
      <c r="L1494" s="2" t="n">
        <v>12</v>
      </c>
      <c r="M1494" s="2" t="n">
        <v>21</v>
      </c>
      <c r="N1494" s="2" t="n">
        <v>-1</v>
      </c>
      <c r="O1494" s="2" t="n">
        <v>0</v>
      </c>
      <c r="P1494" s="2" t="s">
        <v>23</v>
      </c>
      <c r="Q1494" s="2" t="s">
        <v>20</v>
      </c>
    </row>
    <row r="1495" customFormat="false" ht="15" hidden="false" customHeight="false" outlineLevel="0" collapsed="false">
      <c r="A1495" s="2" t="n">
        <v>39</v>
      </c>
      <c r="B1495" s="2" t="s">
        <v>38</v>
      </c>
      <c r="C1495" s="2" t="s">
        <v>30</v>
      </c>
      <c r="D1495" s="2" t="s">
        <v>31</v>
      </c>
      <c r="E1495" s="2" t="s">
        <v>20</v>
      </c>
      <c r="F1495" s="2" t="n">
        <v>-41</v>
      </c>
      <c r="G1495" s="2" t="s">
        <v>20</v>
      </c>
      <c r="H1495" s="2" t="s">
        <v>26</v>
      </c>
      <c r="I1495" s="2" t="s">
        <v>21</v>
      </c>
      <c r="J1495" s="2" t="n">
        <v>25</v>
      </c>
      <c r="K1495" s="2" t="s">
        <v>41</v>
      </c>
      <c r="L1495" s="2" t="n">
        <v>40</v>
      </c>
      <c r="M1495" s="2" t="n">
        <v>15</v>
      </c>
      <c r="N1495" s="2" t="n">
        <v>-1</v>
      </c>
      <c r="O1495" s="2" t="n">
        <v>0</v>
      </c>
      <c r="P1495" s="2" t="s">
        <v>23</v>
      </c>
      <c r="Q1495" s="2" t="s">
        <v>20</v>
      </c>
    </row>
    <row r="1496" customFormat="false" ht="15" hidden="false" customHeight="false" outlineLevel="0" collapsed="false">
      <c r="A1496" s="2" t="n">
        <v>27</v>
      </c>
      <c r="B1496" s="2" t="s">
        <v>24</v>
      </c>
      <c r="C1496" s="2" t="s">
        <v>30</v>
      </c>
      <c r="D1496" s="2" t="s">
        <v>25</v>
      </c>
      <c r="E1496" s="2" t="s">
        <v>20</v>
      </c>
      <c r="F1496" s="2" t="n">
        <v>-124</v>
      </c>
      <c r="G1496" s="2" t="s">
        <v>20</v>
      </c>
      <c r="H1496" s="2" t="s">
        <v>20</v>
      </c>
      <c r="I1496" s="2" t="s">
        <v>21</v>
      </c>
      <c r="J1496" s="2" t="n">
        <v>18</v>
      </c>
      <c r="K1496" s="2" t="s">
        <v>44</v>
      </c>
      <c r="L1496" s="2" t="n">
        <v>217</v>
      </c>
      <c r="M1496" s="2" t="n">
        <v>1</v>
      </c>
      <c r="N1496" s="2" t="n">
        <v>-1</v>
      </c>
      <c r="O1496" s="2" t="n">
        <v>0</v>
      </c>
      <c r="P1496" s="2" t="s">
        <v>23</v>
      </c>
      <c r="Q1496" s="2" t="s">
        <v>20</v>
      </c>
    </row>
    <row r="1497" customFormat="false" ht="15" hidden="false" customHeight="false" outlineLevel="0" collapsed="false">
      <c r="A1497" s="2" t="n">
        <v>31</v>
      </c>
      <c r="B1497" s="2" t="s">
        <v>34</v>
      </c>
      <c r="C1497" s="2" t="s">
        <v>18</v>
      </c>
      <c r="D1497" s="2" t="s">
        <v>25</v>
      </c>
      <c r="E1497" s="2" t="s">
        <v>20</v>
      </c>
      <c r="F1497" s="2" t="n">
        <v>79</v>
      </c>
      <c r="G1497" s="2" t="s">
        <v>26</v>
      </c>
      <c r="H1497" s="2" t="s">
        <v>26</v>
      </c>
      <c r="I1497" s="2" t="s">
        <v>21</v>
      </c>
      <c r="J1497" s="2" t="n">
        <v>23</v>
      </c>
      <c r="K1497" s="2" t="s">
        <v>44</v>
      </c>
      <c r="L1497" s="2" t="n">
        <v>235</v>
      </c>
      <c r="M1497" s="2" t="n">
        <v>11</v>
      </c>
      <c r="N1497" s="2" t="n">
        <v>-1</v>
      </c>
      <c r="O1497" s="2" t="n">
        <v>0</v>
      </c>
      <c r="P1497" s="2" t="s">
        <v>23</v>
      </c>
      <c r="Q1497" s="2" t="s">
        <v>20</v>
      </c>
    </row>
    <row r="1498" customFormat="false" ht="15" hidden="false" customHeight="false" outlineLevel="0" collapsed="false">
      <c r="A1498" s="2" t="n">
        <v>44</v>
      </c>
      <c r="B1498" s="2" t="s">
        <v>17</v>
      </c>
      <c r="C1498" s="2" t="s">
        <v>30</v>
      </c>
      <c r="D1498" s="2" t="s">
        <v>25</v>
      </c>
      <c r="E1498" s="2" t="s">
        <v>20</v>
      </c>
      <c r="F1498" s="2" t="n">
        <v>3945</v>
      </c>
      <c r="G1498" s="2" t="s">
        <v>20</v>
      </c>
      <c r="H1498" s="2" t="s">
        <v>20</v>
      </c>
      <c r="I1498" s="2" t="s">
        <v>21</v>
      </c>
      <c r="J1498" s="2" t="n">
        <v>28</v>
      </c>
      <c r="K1498" s="2" t="s">
        <v>43</v>
      </c>
      <c r="L1498" s="2" t="n">
        <v>255</v>
      </c>
      <c r="M1498" s="2" t="n">
        <v>1</v>
      </c>
      <c r="N1498" s="2" t="n">
        <v>-1</v>
      </c>
      <c r="O1498" s="2" t="n">
        <v>0</v>
      </c>
      <c r="P1498" s="2" t="s">
        <v>23</v>
      </c>
      <c r="Q1498" s="2" t="s">
        <v>20</v>
      </c>
    </row>
    <row r="1499" customFormat="false" ht="15" hidden="false" customHeight="false" outlineLevel="0" collapsed="false">
      <c r="A1499" s="2" t="n">
        <v>55</v>
      </c>
      <c r="B1499" s="2" t="s">
        <v>48</v>
      </c>
      <c r="C1499" s="2" t="s">
        <v>18</v>
      </c>
      <c r="D1499" s="2" t="s">
        <v>31</v>
      </c>
      <c r="E1499" s="2" t="s">
        <v>20</v>
      </c>
      <c r="F1499" s="2" t="n">
        <v>197</v>
      </c>
      <c r="G1499" s="2" t="s">
        <v>20</v>
      </c>
      <c r="H1499" s="2" t="s">
        <v>26</v>
      </c>
      <c r="I1499" s="2" t="s">
        <v>21</v>
      </c>
      <c r="J1499" s="2" t="n">
        <v>8</v>
      </c>
      <c r="K1499" s="2" t="s">
        <v>44</v>
      </c>
      <c r="L1499" s="2" t="n">
        <v>256</v>
      </c>
      <c r="M1499" s="2" t="n">
        <v>1</v>
      </c>
      <c r="N1499" s="2" t="n">
        <v>-1</v>
      </c>
      <c r="O1499" s="2" t="n">
        <v>0</v>
      </c>
      <c r="P1499" s="2" t="s">
        <v>23</v>
      </c>
      <c r="Q1499" s="2" t="s">
        <v>20</v>
      </c>
    </row>
    <row r="1500" customFormat="false" ht="15" hidden="false" customHeight="false" outlineLevel="0" collapsed="false">
      <c r="A1500" s="2" t="n">
        <v>51</v>
      </c>
      <c r="B1500" s="2" t="s">
        <v>34</v>
      </c>
      <c r="C1500" s="2" t="s">
        <v>45</v>
      </c>
      <c r="D1500" s="2" t="s">
        <v>19</v>
      </c>
      <c r="E1500" s="2" t="s">
        <v>20</v>
      </c>
      <c r="F1500" s="2" t="n">
        <v>837</v>
      </c>
      <c r="G1500" s="2" t="s">
        <v>20</v>
      </c>
      <c r="H1500" s="2" t="s">
        <v>20</v>
      </c>
      <c r="I1500" s="2" t="s">
        <v>49</v>
      </c>
      <c r="J1500" s="2" t="n">
        <v>30</v>
      </c>
      <c r="K1500" s="2" t="s">
        <v>44</v>
      </c>
      <c r="L1500" s="2" t="n">
        <v>41</v>
      </c>
      <c r="M1500" s="2" t="n">
        <v>2</v>
      </c>
      <c r="N1500" s="2" t="n">
        <v>-1</v>
      </c>
      <c r="O1500" s="2" t="n">
        <v>0</v>
      </c>
      <c r="P1500" s="2" t="s">
        <v>23</v>
      </c>
      <c r="Q1500" s="2" t="s">
        <v>20</v>
      </c>
    </row>
    <row r="1501" customFormat="false" ht="15" hidden="false" customHeight="false" outlineLevel="0" collapsed="false">
      <c r="A1501" s="2" t="n">
        <v>50</v>
      </c>
      <c r="B1501" s="2" t="s">
        <v>29</v>
      </c>
      <c r="C1501" s="2" t="s">
        <v>18</v>
      </c>
      <c r="D1501" s="2" t="s">
        <v>31</v>
      </c>
      <c r="E1501" s="2" t="s">
        <v>20</v>
      </c>
      <c r="F1501" s="2" t="n">
        <v>-94</v>
      </c>
      <c r="G1501" s="2" t="s">
        <v>20</v>
      </c>
      <c r="H1501" s="2" t="s">
        <v>26</v>
      </c>
      <c r="I1501" s="2" t="s">
        <v>23</v>
      </c>
      <c r="J1501" s="2" t="n">
        <v>25</v>
      </c>
      <c r="K1501" s="2" t="s">
        <v>33</v>
      </c>
      <c r="L1501" s="2" t="n">
        <v>75</v>
      </c>
      <c r="M1501" s="2" t="n">
        <v>1</v>
      </c>
      <c r="N1501" s="2" t="n">
        <v>-1</v>
      </c>
      <c r="O1501" s="2" t="n">
        <v>0</v>
      </c>
      <c r="P1501" s="2" t="s">
        <v>23</v>
      </c>
      <c r="Q1501" s="2" t="s">
        <v>20</v>
      </c>
    </row>
    <row r="1502" customFormat="false" ht="15" hidden="false" customHeight="false" outlineLevel="0" collapsed="false">
      <c r="A1502" s="2" t="n">
        <v>30</v>
      </c>
      <c r="B1502" s="2" t="s">
        <v>24</v>
      </c>
      <c r="C1502" s="2" t="s">
        <v>18</v>
      </c>
      <c r="D1502" s="2" t="s">
        <v>25</v>
      </c>
      <c r="E1502" s="2" t="s">
        <v>20</v>
      </c>
      <c r="F1502" s="2" t="n">
        <v>1743</v>
      </c>
      <c r="G1502" s="2" t="s">
        <v>26</v>
      </c>
      <c r="H1502" s="2" t="s">
        <v>20</v>
      </c>
      <c r="I1502" s="2" t="s">
        <v>21</v>
      </c>
      <c r="J1502" s="2" t="n">
        <v>5</v>
      </c>
      <c r="K1502" s="2" t="s">
        <v>35</v>
      </c>
      <c r="L1502" s="2" t="n">
        <v>192</v>
      </c>
      <c r="M1502" s="2" t="n">
        <v>4</v>
      </c>
      <c r="N1502" s="2" t="n">
        <v>-1</v>
      </c>
      <c r="O1502" s="2" t="n">
        <v>0</v>
      </c>
      <c r="P1502" s="2" t="s">
        <v>23</v>
      </c>
      <c r="Q1502" s="2" t="s">
        <v>20</v>
      </c>
    </row>
    <row r="1503" customFormat="false" ht="15" hidden="false" customHeight="false" outlineLevel="0" collapsed="false">
      <c r="A1503" s="2" t="n">
        <v>46</v>
      </c>
      <c r="B1503" s="2" t="s">
        <v>38</v>
      </c>
      <c r="C1503" s="2" t="s">
        <v>18</v>
      </c>
      <c r="D1503" s="2" t="s">
        <v>25</v>
      </c>
      <c r="E1503" s="2" t="s">
        <v>20</v>
      </c>
      <c r="F1503" s="2" t="n">
        <v>57</v>
      </c>
      <c r="G1503" s="2" t="s">
        <v>20</v>
      </c>
      <c r="H1503" s="2" t="s">
        <v>20</v>
      </c>
      <c r="I1503" s="2" t="s">
        <v>23</v>
      </c>
      <c r="J1503" s="2" t="n">
        <v>28</v>
      </c>
      <c r="K1503" s="2" t="s">
        <v>27</v>
      </c>
      <c r="L1503" s="2" t="n">
        <v>796</v>
      </c>
      <c r="M1503" s="2" t="n">
        <v>1</v>
      </c>
      <c r="N1503" s="2" t="n">
        <v>-1</v>
      </c>
      <c r="O1503" s="2" t="n">
        <v>0</v>
      </c>
      <c r="P1503" s="2" t="s">
        <v>23</v>
      </c>
      <c r="Q1503" s="2" t="s">
        <v>26</v>
      </c>
    </row>
    <row r="1504" customFormat="false" ht="15" hidden="false" customHeight="false" outlineLevel="0" collapsed="false">
      <c r="A1504" s="2" t="n">
        <v>49</v>
      </c>
      <c r="B1504" s="2" t="s">
        <v>40</v>
      </c>
      <c r="C1504" s="2" t="s">
        <v>18</v>
      </c>
      <c r="D1504" s="2" t="s">
        <v>25</v>
      </c>
      <c r="E1504" s="2" t="s">
        <v>20</v>
      </c>
      <c r="F1504" s="2" t="n">
        <v>635</v>
      </c>
      <c r="G1504" s="2" t="s">
        <v>20</v>
      </c>
      <c r="H1504" s="2" t="s">
        <v>20</v>
      </c>
      <c r="I1504" s="2" t="s">
        <v>21</v>
      </c>
      <c r="J1504" s="2" t="n">
        <v>25</v>
      </c>
      <c r="K1504" s="2" t="s">
        <v>41</v>
      </c>
      <c r="L1504" s="2" t="n">
        <v>220</v>
      </c>
      <c r="M1504" s="2" t="n">
        <v>3</v>
      </c>
      <c r="N1504" s="2" t="n">
        <v>-1</v>
      </c>
      <c r="O1504" s="2" t="n">
        <v>0</v>
      </c>
      <c r="P1504" s="2" t="s">
        <v>23</v>
      </c>
      <c r="Q1504" s="2" t="s">
        <v>20</v>
      </c>
    </row>
    <row r="1505" customFormat="false" ht="15" hidden="false" customHeight="false" outlineLevel="0" collapsed="false">
      <c r="A1505" s="2" t="n">
        <v>56</v>
      </c>
      <c r="B1505" s="2" t="s">
        <v>48</v>
      </c>
      <c r="C1505" s="2" t="s">
        <v>18</v>
      </c>
      <c r="D1505" s="2" t="s">
        <v>25</v>
      </c>
      <c r="E1505" s="2" t="s">
        <v>20</v>
      </c>
      <c r="F1505" s="2" t="n">
        <v>-113</v>
      </c>
      <c r="G1505" s="2" t="s">
        <v>26</v>
      </c>
      <c r="H1505" s="2" t="s">
        <v>26</v>
      </c>
      <c r="I1505" s="2" t="s">
        <v>21</v>
      </c>
      <c r="J1505" s="2" t="n">
        <v>12</v>
      </c>
      <c r="K1505" s="2" t="s">
        <v>41</v>
      </c>
      <c r="L1505" s="2" t="n">
        <v>614</v>
      </c>
      <c r="M1505" s="2" t="n">
        <v>2</v>
      </c>
      <c r="N1505" s="2" t="n">
        <v>-1</v>
      </c>
      <c r="O1505" s="2" t="n">
        <v>0</v>
      </c>
      <c r="P1505" s="2" t="s">
        <v>23</v>
      </c>
      <c r="Q1505" s="2" t="s">
        <v>20</v>
      </c>
    </row>
    <row r="1506" customFormat="false" ht="15" hidden="false" customHeight="false" outlineLevel="0" collapsed="false">
      <c r="A1506" s="2" t="n">
        <v>47</v>
      </c>
      <c r="B1506" s="2" t="s">
        <v>40</v>
      </c>
      <c r="C1506" s="2" t="s">
        <v>45</v>
      </c>
      <c r="D1506" s="2" t="s">
        <v>25</v>
      </c>
      <c r="E1506" s="2" t="s">
        <v>20</v>
      </c>
      <c r="F1506" s="2" t="n">
        <v>225</v>
      </c>
      <c r="G1506" s="2" t="s">
        <v>20</v>
      </c>
      <c r="H1506" s="2" t="s">
        <v>20</v>
      </c>
      <c r="I1506" s="2" t="s">
        <v>21</v>
      </c>
      <c r="J1506" s="2" t="n">
        <v>28</v>
      </c>
      <c r="K1506" s="2" t="s">
        <v>41</v>
      </c>
      <c r="L1506" s="2" t="n">
        <v>1126</v>
      </c>
      <c r="M1506" s="2" t="n">
        <v>4</v>
      </c>
      <c r="N1506" s="2" t="n">
        <v>-1</v>
      </c>
      <c r="O1506" s="2" t="n">
        <v>0</v>
      </c>
      <c r="P1506" s="2" t="s">
        <v>23</v>
      </c>
      <c r="Q1506" s="2" t="s">
        <v>26</v>
      </c>
    </row>
    <row r="1507" customFormat="false" ht="15" hidden="false" customHeight="false" outlineLevel="0" collapsed="false">
      <c r="A1507" s="2" t="n">
        <v>30</v>
      </c>
      <c r="B1507" s="2" t="s">
        <v>40</v>
      </c>
      <c r="C1507" s="2" t="s">
        <v>18</v>
      </c>
      <c r="D1507" s="2" t="s">
        <v>25</v>
      </c>
      <c r="E1507" s="2" t="s">
        <v>20</v>
      </c>
      <c r="F1507" s="2" t="n">
        <v>124</v>
      </c>
      <c r="G1507" s="2" t="s">
        <v>20</v>
      </c>
      <c r="H1507" s="2" t="s">
        <v>20</v>
      </c>
      <c r="I1507" s="2" t="s">
        <v>49</v>
      </c>
      <c r="J1507" s="2" t="n">
        <v>16</v>
      </c>
      <c r="K1507" s="2" t="s">
        <v>33</v>
      </c>
      <c r="L1507" s="2" t="n">
        <v>161</v>
      </c>
      <c r="M1507" s="2" t="n">
        <v>2</v>
      </c>
      <c r="N1507" s="2" t="n">
        <v>-1</v>
      </c>
      <c r="O1507" s="2" t="n">
        <v>0</v>
      </c>
      <c r="P1507" s="2" t="s">
        <v>23</v>
      </c>
      <c r="Q1507" s="2" t="s">
        <v>20</v>
      </c>
    </row>
    <row r="1508" customFormat="false" ht="15" hidden="false" customHeight="false" outlineLevel="0" collapsed="false">
      <c r="A1508" s="2" t="n">
        <v>36</v>
      </c>
      <c r="B1508" s="2" t="s">
        <v>39</v>
      </c>
      <c r="C1508" s="2" t="s">
        <v>30</v>
      </c>
      <c r="D1508" s="2" t="s">
        <v>25</v>
      </c>
      <c r="E1508" s="2" t="s">
        <v>20</v>
      </c>
      <c r="F1508" s="2" t="n">
        <v>475</v>
      </c>
      <c r="G1508" s="2" t="s">
        <v>20</v>
      </c>
      <c r="H1508" s="2" t="s">
        <v>20</v>
      </c>
      <c r="I1508" s="2" t="s">
        <v>21</v>
      </c>
      <c r="J1508" s="2" t="n">
        <v>25</v>
      </c>
      <c r="K1508" s="2" t="s">
        <v>44</v>
      </c>
      <c r="L1508" s="2" t="n">
        <v>141</v>
      </c>
      <c r="M1508" s="2" t="n">
        <v>3</v>
      </c>
      <c r="N1508" s="2" t="n">
        <v>-1</v>
      </c>
      <c r="O1508" s="2" t="n">
        <v>0</v>
      </c>
      <c r="P1508" s="2" t="s">
        <v>23</v>
      </c>
      <c r="Q1508" s="2" t="s">
        <v>20</v>
      </c>
    </row>
    <row r="1509" customFormat="false" ht="15" hidden="false" customHeight="false" outlineLevel="0" collapsed="false">
      <c r="A1509" s="2" t="n">
        <v>40</v>
      </c>
      <c r="B1509" s="2" t="s">
        <v>29</v>
      </c>
      <c r="C1509" s="2" t="s">
        <v>18</v>
      </c>
      <c r="D1509" s="2" t="s">
        <v>31</v>
      </c>
      <c r="E1509" s="2" t="s">
        <v>20</v>
      </c>
      <c r="F1509" s="2" t="n">
        <v>-7</v>
      </c>
      <c r="G1509" s="2" t="s">
        <v>20</v>
      </c>
      <c r="H1509" s="2" t="s">
        <v>26</v>
      </c>
      <c r="I1509" s="2" t="s">
        <v>49</v>
      </c>
      <c r="J1509" s="2" t="n">
        <v>25</v>
      </c>
      <c r="K1509" s="2" t="s">
        <v>44</v>
      </c>
      <c r="L1509" s="2" t="n">
        <v>697</v>
      </c>
      <c r="M1509" s="2" t="n">
        <v>1</v>
      </c>
      <c r="N1509" s="2" t="n">
        <v>-1</v>
      </c>
      <c r="O1509" s="2" t="n">
        <v>0</v>
      </c>
      <c r="P1509" s="2" t="s">
        <v>23</v>
      </c>
      <c r="Q1509" s="2" t="s">
        <v>20</v>
      </c>
    </row>
    <row r="1510" customFormat="false" ht="15" hidden="false" customHeight="false" outlineLevel="0" collapsed="false">
      <c r="A1510" s="2" t="n">
        <v>37</v>
      </c>
      <c r="B1510" s="2" t="s">
        <v>38</v>
      </c>
      <c r="C1510" s="2" t="s">
        <v>30</v>
      </c>
      <c r="D1510" s="2" t="s">
        <v>25</v>
      </c>
      <c r="E1510" s="2" t="s">
        <v>26</v>
      </c>
      <c r="F1510" s="2" t="n">
        <v>375</v>
      </c>
      <c r="G1510" s="2" t="s">
        <v>20</v>
      </c>
      <c r="H1510" s="2" t="s">
        <v>20</v>
      </c>
      <c r="I1510" s="2" t="s">
        <v>23</v>
      </c>
      <c r="J1510" s="2" t="n">
        <v>9</v>
      </c>
      <c r="K1510" s="2" t="s">
        <v>33</v>
      </c>
      <c r="L1510" s="2" t="n">
        <v>223</v>
      </c>
      <c r="M1510" s="2" t="n">
        <v>2</v>
      </c>
      <c r="N1510" s="2" t="n">
        <v>-1</v>
      </c>
      <c r="O1510" s="2" t="n">
        <v>0</v>
      </c>
      <c r="P1510" s="2" t="s">
        <v>23</v>
      </c>
      <c r="Q1510" s="2" t="s">
        <v>20</v>
      </c>
    </row>
    <row r="1511" customFormat="false" ht="15" hidden="false" customHeight="false" outlineLevel="0" collapsed="false">
      <c r="A1511" s="2" t="n">
        <v>42</v>
      </c>
      <c r="B1511" s="2" t="s">
        <v>40</v>
      </c>
      <c r="C1511" s="2" t="s">
        <v>45</v>
      </c>
      <c r="D1511" s="2" t="s">
        <v>25</v>
      </c>
      <c r="E1511" s="2" t="s">
        <v>20</v>
      </c>
      <c r="F1511" s="2" t="n">
        <v>936</v>
      </c>
      <c r="G1511" s="2" t="s">
        <v>20</v>
      </c>
      <c r="H1511" s="2" t="s">
        <v>20</v>
      </c>
      <c r="I1511" s="2" t="s">
        <v>21</v>
      </c>
      <c r="J1511" s="2" t="n">
        <v>30</v>
      </c>
      <c r="K1511" s="2" t="s">
        <v>43</v>
      </c>
      <c r="L1511" s="2" t="n">
        <v>931</v>
      </c>
      <c r="M1511" s="2" t="n">
        <v>1</v>
      </c>
      <c r="N1511" s="2" t="n">
        <v>-1</v>
      </c>
      <c r="O1511" s="2" t="n">
        <v>0</v>
      </c>
      <c r="P1511" s="2" t="s">
        <v>23</v>
      </c>
      <c r="Q1511" s="2" t="s">
        <v>26</v>
      </c>
    </row>
    <row r="1512" customFormat="false" ht="15" hidden="false" customHeight="false" outlineLevel="0" collapsed="false">
      <c r="A1512" s="2" t="n">
        <v>45</v>
      </c>
      <c r="B1512" s="2" t="s">
        <v>38</v>
      </c>
      <c r="C1512" s="2" t="s">
        <v>18</v>
      </c>
      <c r="D1512" s="2" t="s">
        <v>25</v>
      </c>
      <c r="E1512" s="2" t="s">
        <v>20</v>
      </c>
      <c r="F1512" s="2" t="n">
        <v>1415</v>
      </c>
      <c r="G1512" s="2" t="s">
        <v>26</v>
      </c>
      <c r="H1512" s="2" t="s">
        <v>20</v>
      </c>
      <c r="I1512" s="2" t="s">
        <v>21</v>
      </c>
      <c r="J1512" s="2" t="n">
        <v>17</v>
      </c>
      <c r="K1512" s="2" t="s">
        <v>46</v>
      </c>
      <c r="L1512" s="2" t="n">
        <v>483</v>
      </c>
      <c r="M1512" s="2" t="n">
        <v>1</v>
      </c>
      <c r="N1512" s="2" t="n">
        <v>116</v>
      </c>
      <c r="O1512" s="2" t="n">
        <v>1</v>
      </c>
      <c r="P1512" s="2" t="s">
        <v>28</v>
      </c>
      <c r="Q1512" s="2" t="s">
        <v>20</v>
      </c>
    </row>
    <row r="1513" customFormat="false" ht="15" hidden="false" customHeight="false" outlineLevel="0" collapsed="false">
      <c r="A1513" s="2" t="n">
        <v>34</v>
      </c>
      <c r="B1513" s="2" t="s">
        <v>17</v>
      </c>
      <c r="C1513" s="2" t="s">
        <v>30</v>
      </c>
      <c r="D1513" s="2" t="s">
        <v>25</v>
      </c>
      <c r="E1513" s="2" t="s">
        <v>20</v>
      </c>
      <c r="F1513" s="2" t="n">
        <v>0</v>
      </c>
      <c r="G1513" s="2" t="s">
        <v>20</v>
      </c>
      <c r="H1513" s="2" t="s">
        <v>20</v>
      </c>
      <c r="I1513" s="2" t="s">
        <v>21</v>
      </c>
      <c r="J1513" s="2" t="n">
        <v>17</v>
      </c>
      <c r="K1513" s="2" t="s">
        <v>46</v>
      </c>
      <c r="L1513" s="2" t="n">
        <v>63</v>
      </c>
      <c r="M1513" s="2" t="n">
        <v>2</v>
      </c>
      <c r="N1513" s="2" t="n">
        <v>-1</v>
      </c>
      <c r="O1513" s="2" t="n">
        <v>0</v>
      </c>
      <c r="P1513" s="2" t="s">
        <v>23</v>
      </c>
      <c r="Q1513" s="2" t="s">
        <v>20</v>
      </c>
    </row>
    <row r="1514" customFormat="false" ht="15" hidden="false" customHeight="false" outlineLevel="0" collapsed="false">
      <c r="A1514" s="2" t="n">
        <v>27</v>
      </c>
      <c r="B1514" s="2" t="s">
        <v>40</v>
      </c>
      <c r="C1514" s="2" t="s">
        <v>30</v>
      </c>
      <c r="D1514" s="2" t="s">
        <v>25</v>
      </c>
      <c r="E1514" s="2" t="s">
        <v>20</v>
      </c>
      <c r="F1514" s="2" t="n">
        <v>3638</v>
      </c>
      <c r="G1514" s="2" t="s">
        <v>20</v>
      </c>
      <c r="H1514" s="2" t="s">
        <v>20</v>
      </c>
      <c r="I1514" s="2" t="s">
        <v>21</v>
      </c>
      <c r="J1514" s="2" t="n">
        <v>11</v>
      </c>
      <c r="K1514" s="2" t="s">
        <v>44</v>
      </c>
      <c r="L1514" s="2" t="n">
        <v>271</v>
      </c>
      <c r="M1514" s="2" t="n">
        <v>5</v>
      </c>
      <c r="N1514" s="2" t="n">
        <v>-1</v>
      </c>
      <c r="O1514" s="2" t="n">
        <v>0</v>
      </c>
      <c r="P1514" s="2" t="s">
        <v>23</v>
      </c>
      <c r="Q1514" s="2" t="s">
        <v>20</v>
      </c>
    </row>
    <row r="1515" customFormat="false" ht="15" hidden="false" customHeight="false" outlineLevel="0" collapsed="false">
      <c r="A1515" s="2" t="n">
        <v>30</v>
      </c>
      <c r="B1515" s="2" t="s">
        <v>34</v>
      </c>
      <c r="C1515" s="2" t="s">
        <v>18</v>
      </c>
      <c r="D1515" s="2" t="s">
        <v>25</v>
      </c>
      <c r="E1515" s="2" t="s">
        <v>20</v>
      </c>
      <c r="F1515" s="2" t="n">
        <v>-99</v>
      </c>
      <c r="G1515" s="2" t="s">
        <v>26</v>
      </c>
      <c r="H1515" s="2" t="s">
        <v>20</v>
      </c>
      <c r="I1515" s="2" t="s">
        <v>21</v>
      </c>
      <c r="J1515" s="2" t="n">
        <v>15</v>
      </c>
      <c r="K1515" s="2" t="s">
        <v>27</v>
      </c>
      <c r="L1515" s="2" t="n">
        <v>144</v>
      </c>
      <c r="M1515" s="2" t="n">
        <v>5</v>
      </c>
      <c r="N1515" s="2" t="n">
        <v>-1</v>
      </c>
      <c r="O1515" s="2" t="n">
        <v>0</v>
      </c>
      <c r="P1515" s="2" t="s">
        <v>23</v>
      </c>
      <c r="Q1515" s="2" t="s">
        <v>20</v>
      </c>
    </row>
    <row r="1516" customFormat="false" ht="15" hidden="false" customHeight="false" outlineLevel="0" collapsed="false">
      <c r="A1516" s="2" t="n">
        <v>32</v>
      </c>
      <c r="B1516" s="2" t="s">
        <v>38</v>
      </c>
      <c r="C1516" s="2" t="s">
        <v>18</v>
      </c>
      <c r="D1516" s="2" t="s">
        <v>25</v>
      </c>
      <c r="E1516" s="2" t="s">
        <v>20</v>
      </c>
      <c r="F1516" s="2" t="n">
        <v>167</v>
      </c>
      <c r="G1516" s="2" t="s">
        <v>26</v>
      </c>
      <c r="H1516" s="2" t="s">
        <v>26</v>
      </c>
      <c r="I1516" s="2" t="s">
        <v>21</v>
      </c>
      <c r="J1516" s="2" t="n">
        <v>8</v>
      </c>
      <c r="K1516" s="2" t="s">
        <v>41</v>
      </c>
      <c r="L1516" s="2" t="n">
        <v>79</v>
      </c>
      <c r="M1516" s="2" t="n">
        <v>3</v>
      </c>
      <c r="N1516" s="2" t="n">
        <v>-1</v>
      </c>
      <c r="O1516" s="2" t="n">
        <v>0</v>
      </c>
      <c r="P1516" s="2" t="s">
        <v>23</v>
      </c>
      <c r="Q1516" s="2" t="s">
        <v>20</v>
      </c>
    </row>
    <row r="1517" customFormat="false" ht="15" hidden="false" customHeight="false" outlineLevel="0" collapsed="false">
      <c r="A1517" s="2" t="n">
        <v>46</v>
      </c>
      <c r="B1517" s="2" t="s">
        <v>47</v>
      </c>
      <c r="C1517" s="2" t="s">
        <v>18</v>
      </c>
      <c r="D1517" s="2" t="s">
        <v>19</v>
      </c>
      <c r="E1517" s="2" t="s">
        <v>20</v>
      </c>
      <c r="F1517" s="2" t="n">
        <v>19</v>
      </c>
      <c r="G1517" s="2" t="s">
        <v>26</v>
      </c>
      <c r="H1517" s="2" t="s">
        <v>20</v>
      </c>
      <c r="I1517" s="2" t="s">
        <v>49</v>
      </c>
      <c r="J1517" s="2" t="n">
        <v>21</v>
      </c>
      <c r="K1517" s="2" t="s">
        <v>44</v>
      </c>
      <c r="L1517" s="2" t="n">
        <v>171</v>
      </c>
      <c r="M1517" s="2" t="n">
        <v>1</v>
      </c>
      <c r="N1517" s="2" t="n">
        <v>-1</v>
      </c>
      <c r="O1517" s="2" t="n">
        <v>0</v>
      </c>
      <c r="P1517" s="2" t="s">
        <v>23</v>
      </c>
      <c r="Q1517" s="2" t="s">
        <v>20</v>
      </c>
    </row>
    <row r="1518" customFormat="false" ht="15" hidden="false" customHeight="false" outlineLevel="0" collapsed="false">
      <c r="A1518" s="2" t="n">
        <v>29</v>
      </c>
      <c r="B1518" s="2" t="s">
        <v>36</v>
      </c>
      <c r="C1518" s="2" t="s">
        <v>18</v>
      </c>
      <c r="D1518" s="2" t="s">
        <v>31</v>
      </c>
      <c r="E1518" s="2" t="s">
        <v>20</v>
      </c>
      <c r="F1518" s="2" t="n">
        <v>242</v>
      </c>
      <c r="G1518" s="2" t="s">
        <v>26</v>
      </c>
      <c r="H1518" s="2" t="s">
        <v>20</v>
      </c>
      <c r="I1518" s="2" t="s">
        <v>21</v>
      </c>
      <c r="J1518" s="2" t="n">
        <v>18</v>
      </c>
      <c r="K1518" s="2" t="s">
        <v>44</v>
      </c>
      <c r="L1518" s="2" t="n">
        <v>73</v>
      </c>
      <c r="M1518" s="2" t="n">
        <v>4</v>
      </c>
      <c r="N1518" s="2" t="n">
        <v>-1</v>
      </c>
      <c r="O1518" s="2" t="n">
        <v>0</v>
      </c>
      <c r="P1518" s="2" t="s">
        <v>23</v>
      </c>
      <c r="Q1518" s="2" t="s">
        <v>20</v>
      </c>
    </row>
    <row r="1519" customFormat="false" ht="15" hidden="false" customHeight="false" outlineLevel="0" collapsed="false">
      <c r="A1519" s="2" t="n">
        <v>53</v>
      </c>
      <c r="B1519" s="2" t="s">
        <v>23</v>
      </c>
      <c r="C1519" s="2" t="s">
        <v>18</v>
      </c>
      <c r="D1519" s="2" t="s">
        <v>23</v>
      </c>
      <c r="E1519" s="2" t="s">
        <v>20</v>
      </c>
      <c r="F1519" s="2" t="n">
        <v>13</v>
      </c>
      <c r="G1519" s="2" t="s">
        <v>20</v>
      </c>
      <c r="H1519" s="2" t="s">
        <v>20</v>
      </c>
      <c r="I1519" s="2" t="s">
        <v>49</v>
      </c>
      <c r="J1519" s="2" t="n">
        <v>28</v>
      </c>
      <c r="K1519" s="2" t="s">
        <v>43</v>
      </c>
      <c r="L1519" s="2" t="n">
        <v>69</v>
      </c>
      <c r="M1519" s="2" t="n">
        <v>1</v>
      </c>
      <c r="N1519" s="2" t="n">
        <v>-1</v>
      </c>
      <c r="O1519" s="2" t="n">
        <v>0</v>
      </c>
      <c r="P1519" s="2" t="s">
        <v>23</v>
      </c>
      <c r="Q1519" s="2" t="s">
        <v>20</v>
      </c>
    </row>
    <row r="1520" customFormat="false" ht="15" hidden="false" customHeight="false" outlineLevel="0" collapsed="false">
      <c r="A1520" s="2" t="n">
        <v>32</v>
      </c>
      <c r="B1520" s="2" t="s">
        <v>38</v>
      </c>
      <c r="C1520" s="2" t="s">
        <v>18</v>
      </c>
      <c r="D1520" s="2" t="s">
        <v>25</v>
      </c>
      <c r="E1520" s="2" t="s">
        <v>20</v>
      </c>
      <c r="F1520" s="2" t="n">
        <v>286</v>
      </c>
      <c r="G1520" s="2" t="s">
        <v>20</v>
      </c>
      <c r="H1520" s="2" t="s">
        <v>20</v>
      </c>
      <c r="I1520" s="2" t="s">
        <v>21</v>
      </c>
      <c r="J1520" s="2" t="n">
        <v>20</v>
      </c>
      <c r="K1520" s="2" t="s">
        <v>32</v>
      </c>
      <c r="L1520" s="2" t="n">
        <v>60</v>
      </c>
      <c r="M1520" s="2" t="n">
        <v>1</v>
      </c>
      <c r="N1520" s="2" t="n">
        <v>343</v>
      </c>
      <c r="O1520" s="2" t="n">
        <v>4</v>
      </c>
      <c r="P1520" s="2" t="s">
        <v>28</v>
      </c>
      <c r="Q1520" s="2" t="s">
        <v>20</v>
      </c>
    </row>
    <row r="1521" customFormat="false" ht="15" hidden="false" customHeight="false" outlineLevel="0" collapsed="false">
      <c r="A1521" s="2" t="n">
        <v>49</v>
      </c>
      <c r="B1521" s="2" t="s">
        <v>17</v>
      </c>
      <c r="C1521" s="2" t="s">
        <v>18</v>
      </c>
      <c r="D1521" s="2" t="s">
        <v>25</v>
      </c>
      <c r="E1521" s="2" t="s">
        <v>20</v>
      </c>
      <c r="F1521" s="2" t="n">
        <v>769</v>
      </c>
      <c r="G1521" s="2" t="s">
        <v>26</v>
      </c>
      <c r="H1521" s="2" t="s">
        <v>20</v>
      </c>
      <c r="I1521" s="2" t="s">
        <v>23</v>
      </c>
      <c r="J1521" s="2" t="n">
        <v>14</v>
      </c>
      <c r="K1521" s="2" t="s">
        <v>27</v>
      </c>
      <c r="L1521" s="2" t="n">
        <v>257</v>
      </c>
      <c r="M1521" s="2" t="n">
        <v>1</v>
      </c>
      <c r="N1521" s="2" t="n">
        <v>-1</v>
      </c>
      <c r="O1521" s="2" t="n">
        <v>0</v>
      </c>
      <c r="P1521" s="2" t="s">
        <v>23</v>
      </c>
      <c r="Q1521" s="2" t="s">
        <v>20</v>
      </c>
    </row>
    <row r="1522" customFormat="false" ht="15" hidden="false" customHeight="false" outlineLevel="0" collapsed="false">
      <c r="A1522" s="2" t="n">
        <v>35</v>
      </c>
      <c r="B1522" s="2" t="s">
        <v>29</v>
      </c>
      <c r="C1522" s="2" t="s">
        <v>18</v>
      </c>
      <c r="D1522" s="2" t="s">
        <v>31</v>
      </c>
      <c r="E1522" s="2" t="s">
        <v>20</v>
      </c>
      <c r="F1522" s="2" t="n">
        <v>93</v>
      </c>
      <c r="G1522" s="2" t="s">
        <v>20</v>
      </c>
      <c r="H1522" s="2" t="s">
        <v>20</v>
      </c>
      <c r="I1522" s="2" t="s">
        <v>21</v>
      </c>
      <c r="J1522" s="2" t="n">
        <v>4</v>
      </c>
      <c r="K1522" s="2" t="s">
        <v>27</v>
      </c>
      <c r="L1522" s="2" t="n">
        <v>198</v>
      </c>
      <c r="M1522" s="2" t="n">
        <v>2</v>
      </c>
      <c r="N1522" s="2" t="n">
        <v>88</v>
      </c>
      <c r="O1522" s="2" t="n">
        <v>1</v>
      </c>
      <c r="P1522" s="2" t="s">
        <v>37</v>
      </c>
      <c r="Q1522" s="2" t="s">
        <v>20</v>
      </c>
    </row>
    <row r="1523" customFormat="false" ht="15" hidden="false" customHeight="false" outlineLevel="0" collapsed="false">
      <c r="A1523" s="2" t="n">
        <v>38</v>
      </c>
      <c r="B1523" s="2" t="s">
        <v>34</v>
      </c>
      <c r="C1523" s="2" t="s">
        <v>18</v>
      </c>
      <c r="D1523" s="2" t="s">
        <v>25</v>
      </c>
      <c r="E1523" s="2" t="s">
        <v>20</v>
      </c>
      <c r="F1523" s="2" t="n">
        <v>1663</v>
      </c>
      <c r="G1523" s="2" t="s">
        <v>26</v>
      </c>
      <c r="H1523" s="2" t="s">
        <v>20</v>
      </c>
      <c r="I1523" s="2" t="s">
        <v>21</v>
      </c>
      <c r="J1523" s="2" t="n">
        <v>13</v>
      </c>
      <c r="K1523" s="2" t="s">
        <v>32</v>
      </c>
      <c r="L1523" s="2" t="n">
        <v>217</v>
      </c>
      <c r="M1523" s="2" t="n">
        <v>3</v>
      </c>
      <c r="N1523" s="2" t="n">
        <v>327</v>
      </c>
      <c r="O1523" s="2" t="n">
        <v>1</v>
      </c>
      <c r="P1523" s="2" t="s">
        <v>28</v>
      </c>
      <c r="Q1523" s="2" t="s">
        <v>20</v>
      </c>
    </row>
    <row r="1524" customFormat="false" ht="15" hidden="false" customHeight="false" outlineLevel="0" collapsed="false">
      <c r="A1524" s="2" t="n">
        <v>39</v>
      </c>
      <c r="B1524" s="2" t="s">
        <v>39</v>
      </c>
      <c r="C1524" s="2" t="s">
        <v>18</v>
      </c>
      <c r="D1524" s="2" t="s">
        <v>19</v>
      </c>
      <c r="E1524" s="2" t="s">
        <v>20</v>
      </c>
      <c r="F1524" s="2" t="n">
        <v>238</v>
      </c>
      <c r="G1524" s="2" t="s">
        <v>26</v>
      </c>
      <c r="H1524" s="2" t="s">
        <v>26</v>
      </c>
      <c r="I1524" s="2" t="s">
        <v>21</v>
      </c>
      <c r="J1524" s="2" t="n">
        <v>19</v>
      </c>
      <c r="K1524" s="2" t="s">
        <v>46</v>
      </c>
      <c r="L1524" s="2" t="n">
        <v>134</v>
      </c>
      <c r="M1524" s="2" t="n">
        <v>1</v>
      </c>
      <c r="N1524" s="2" t="n">
        <v>-1</v>
      </c>
      <c r="O1524" s="2" t="n">
        <v>0</v>
      </c>
      <c r="P1524" s="2" t="s">
        <v>23</v>
      </c>
      <c r="Q1524" s="2" t="s">
        <v>20</v>
      </c>
    </row>
    <row r="1525" customFormat="false" ht="15" hidden="false" customHeight="false" outlineLevel="0" collapsed="false">
      <c r="A1525" s="2" t="n">
        <v>34</v>
      </c>
      <c r="B1525" s="2" t="s">
        <v>38</v>
      </c>
      <c r="C1525" s="2" t="s">
        <v>30</v>
      </c>
      <c r="D1525" s="2" t="s">
        <v>25</v>
      </c>
      <c r="E1525" s="2" t="s">
        <v>20</v>
      </c>
      <c r="F1525" s="2" t="n">
        <v>2178</v>
      </c>
      <c r="G1525" s="2" t="s">
        <v>26</v>
      </c>
      <c r="H1525" s="2" t="s">
        <v>20</v>
      </c>
      <c r="I1525" s="2" t="s">
        <v>21</v>
      </c>
      <c r="J1525" s="2" t="n">
        <v>26</v>
      </c>
      <c r="K1525" s="2" t="s">
        <v>27</v>
      </c>
      <c r="L1525" s="2" t="n">
        <v>41</v>
      </c>
      <c r="M1525" s="2" t="n">
        <v>1</v>
      </c>
      <c r="N1525" s="2" t="n">
        <v>-1</v>
      </c>
      <c r="O1525" s="2" t="n">
        <v>0</v>
      </c>
      <c r="P1525" s="2" t="s">
        <v>23</v>
      </c>
      <c r="Q1525" s="2" t="s">
        <v>20</v>
      </c>
    </row>
    <row r="1526" customFormat="false" ht="15" hidden="false" customHeight="false" outlineLevel="0" collapsed="false">
      <c r="A1526" s="2" t="n">
        <v>42</v>
      </c>
      <c r="B1526" s="2" t="s">
        <v>34</v>
      </c>
      <c r="C1526" s="2" t="s">
        <v>18</v>
      </c>
      <c r="D1526" s="2" t="s">
        <v>19</v>
      </c>
      <c r="E1526" s="2" t="s">
        <v>20</v>
      </c>
      <c r="F1526" s="2" t="n">
        <v>792</v>
      </c>
      <c r="G1526" s="2" t="s">
        <v>26</v>
      </c>
      <c r="H1526" s="2" t="s">
        <v>26</v>
      </c>
      <c r="I1526" s="2" t="s">
        <v>21</v>
      </c>
      <c r="J1526" s="2" t="n">
        <v>19</v>
      </c>
      <c r="K1526" s="2" t="s">
        <v>46</v>
      </c>
      <c r="L1526" s="2" t="n">
        <v>611</v>
      </c>
      <c r="M1526" s="2" t="n">
        <v>2</v>
      </c>
      <c r="N1526" s="2" t="n">
        <v>175</v>
      </c>
      <c r="O1526" s="2" t="n">
        <v>12</v>
      </c>
      <c r="P1526" s="2" t="s">
        <v>37</v>
      </c>
      <c r="Q1526" s="2" t="s">
        <v>20</v>
      </c>
    </row>
    <row r="1527" customFormat="false" ht="15" hidden="false" customHeight="false" outlineLevel="0" collapsed="false">
      <c r="A1527" s="2" t="n">
        <v>35</v>
      </c>
      <c r="B1527" s="2" t="s">
        <v>34</v>
      </c>
      <c r="C1527" s="2" t="s">
        <v>30</v>
      </c>
      <c r="D1527" s="2" t="s">
        <v>23</v>
      </c>
      <c r="E1527" s="2" t="s">
        <v>20</v>
      </c>
      <c r="F1527" s="2" t="n">
        <v>871</v>
      </c>
      <c r="G1527" s="2" t="s">
        <v>26</v>
      </c>
      <c r="H1527" s="2" t="s">
        <v>20</v>
      </c>
      <c r="I1527" s="2" t="s">
        <v>23</v>
      </c>
      <c r="J1527" s="2" t="n">
        <v>6</v>
      </c>
      <c r="K1527" s="2" t="s">
        <v>33</v>
      </c>
      <c r="L1527" s="2" t="n">
        <v>216</v>
      </c>
      <c r="M1527" s="2" t="n">
        <v>3</v>
      </c>
      <c r="N1527" s="2" t="n">
        <v>-1</v>
      </c>
      <c r="O1527" s="2" t="n">
        <v>0</v>
      </c>
      <c r="P1527" s="2" t="s">
        <v>23</v>
      </c>
      <c r="Q1527" s="2" t="s">
        <v>20</v>
      </c>
    </row>
    <row r="1528" customFormat="false" ht="15" hidden="false" customHeight="false" outlineLevel="0" collapsed="false">
      <c r="A1528" s="2" t="n">
        <v>60</v>
      </c>
      <c r="B1528" s="2" t="s">
        <v>40</v>
      </c>
      <c r="C1528" s="2" t="s">
        <v>18</v>
      </c>
      <c r="D1528" s="2" t="s">
        <v>25</v>
      </c>
      <c r="E1528" s="2" t="s">
        <v>20</v>
      </c>
      <c r="F1528" s="2" t="n">
        <v>1025</v>
      </c>
      <c r="G1528" s="2" t="s">
        <v>20</v>
      </c>
      <c r="H1528" s="2" t="s">
        <v>20</v>
      </c>
      <c r="I1528" s="2" t="s">
        <v>21</v>
      </c>
      <c r="J1528" s="2" t="n">
        <v>6</v>
      </c>
      <c r="K1528" s="2" t="s">
        <v>41</v>
      </c>
      <c r="L1528" s="2" t="n">
        <v>388</v>
      </c>
      <c r="M1528" s="2" t="n">
        <v>8</v>
      </c>
      <c r="N1528" s="2" t="n">
        <v>-1</v>
      </c>
      <c r="O1528" s="2" t="n">
        <v>0</v>
      </c>
      <c r="P1528" s="2" t="s">
        <v>23</v>
      </c>
      <c r="Q1528" s="2" t="s">
        <v>20</v>
      </c>
    </row>
    <row r="1529" customFormat="false" ht="15" hidden="false" customHeight="false" outlineLevel="0" collapsed="false">
      <c r="A1529" s="2" t="n">
        <v>57</v>
      </c>
      <c r="B1529" s="2" t="s">
        <v>38</v>
      </c>
      <c r="C1529" s="2" t="s">
        <v>45</v>
      </c>
      <c r="D1529" s="2" t="s">
        <v>25</v>
      </c>
      <c r="E1529" s="2" t="s">
        <v>20</v>
      </c>
      <c r="F1529" s="2" t="n">
        <v>63</v>
      </c>
      <c r="G1529" s="2" t="s">
        <v>26</v>
      </c>
      <c r="H1529" s="2" t="s">
        <v>20</v>
      </c>
      <c r="I1529" s="2" t="s">
        <v>23</v>
      </c>
      <c r="J1529" s="2" t="n">
        <v>5</v>
      </c>
      <c r="K1529" s="2" t="s">
        <v>27</v>
      </c>
      <c r="L1529" s="2" t="n">
        <v>242</v>
      </c>
      <c r="M1529" s="2" t="n">
        <v>1</v>
      </c>
      <c r="N1529" s="2" t="n">
        <v>-1</v>
      </c>
      <c r="O1529" s="2" t="n">
        <v>0</v>
      </c>
      <c r="P1529" s="2" t="s">
        <v>23</v>
      </c>
      <c r="Q1529" s="2" t="s">
        <v>20</v>
      </c>
    </row>
    <row r="1530" customFormat="false" ht="15" hidden="false" customHeight="false" outlineLevel="0" collapsed="false">
      <c r="A1530" s="2" t="n">
        <v>31</v>
      </c>
      <c r="B1530" s="2" t="s">
        <v>34</v>
      </c>
      <c r="C1530" s="2" t="s">
        <v>30</v>
      </c>
      <c r="D1530" s="2" t="s">
        <v>25</v>
      </c>
      <c r="E1530" s="2" t="s">
        <v>20</v>
      </c>
      <c r="F1530" s="2" t="n">
        <v>16</v>
      </c>
      <c r="G1530" s="2" t="s">
        <v>20</v>
      </c>
      <c r="H1530" s="2" t="s">
        <v>20</v>
      </c>
      <c r="I1530" s="2" t="s">
        <v>21</v>
      </c>
      <c r="J1530" s="2" t="n">
        <v>7</v>
      </c>
      <c r="K1530" s="2" t="s">
        <v>44</v>
      </c>
      <c r="L1530" s="2" t="n">
        <v>387</v>
      </c>
      <c r="M1530" s="2" t="n">
        <v>1</v>
      </c>
      <c r="N1530" s="2" t="n">
        <v>-1</v>
      </c>
      <c r="O1530" s="2" t="n">
        <v>0</v>
      </c>
      <c r="P1530" s="2" t="s">
        <v>23</v>
      </c>
      <c r="Q1530" s="2" t="s">
        <v>20</v>
      </c>
    </row>
    <row r="1531" customFormat="false" ht="15" hidden="false" customHeight="false" outlineLevel="0" collapsed="false">
      <c r="A1531" s="2" t="n">
        <v>29</v>
      </c>
      <c r="B1531" s="2" t="s">
        <v>29</v>
      </c>
      <c r="C1531" s="2" t="s">
        <v>30</v>
      </c>
      <c r="D1531" s="2" t="s">
        <v>25</v>
      </c>
      <c r="E1531" s="2" t="s">
        <v>20</v>
      </c>
      <c r="F1531" s="2" t="n">
        <v>417</v>
      </c>
      <c r="G1531" s="2" t="s">
        <v>20</v>
      </c>
      <c r="H1531" s="2" t="s">
        <v>20</v>
      </c>
      <c r="I1531" s="2" t="s">
        <v>21</v>
      </c>
      <c r="J1531" s="2" t="n">
        <v>7</v>
      </c>
      <c r="K1531" s="2" t="s">
        <v>22</v>
      </c>
      <c r="L1531" s="2" t="n">
        <v>90</v>
      </c>
      <c r="M1531" s="2" t="n">
        <v>1</v>
      </c>
      <c r="N1531" s="2" t="n">
        <v>-1</v>
      </c>
      <c r="O1531" s="2" t="n">
        <v>0</v>
      </c>
      <c r="P1531" s="2" t="s">
        <v>23</v>
      </c>
      <c r="Q1531" s="2" t="s">
        <v>20</v>
      </c>
    </row>
    <row r="1532" customFormat="false" ht="15" hidden="false" customHeight="false" outlineLevel="0" collapsed="false">
      <c r="A1532" s="2" t="n">
        <v>41</v>
      </c>
      <c r="B1532" s="2" t="s">
        <v>24</v>
      </c>
      <c r="C1532" s="2" t="s">
        <v>18</v>
      </c>
      <c r="D1532" s="2" t="s">
        <v>25</v>
      </c>
      <c r="E1532" s="2" t="s">
        <v>20</v>
      </c>
      <c r="F1532" s="2" t="n">
        <v>3992</v>
      </c>
      <c r="G1532" s="2" t="s">
        <v>26</v>
      </c>
      <c r="H1532" s="2" t="s">
        <v>20</v>
      </c>
      <c r="I1532" s="2" t="s">
        <v>49</v>
      </c>
      <c r="J1532" s="2" t="n">
        <v>20</v>
      </c>
      <c r="K1532" s="2" t="s">
        <v>46</v>
      </c>
      <c r="L1532" s="2" t="n">
        <v>281</v>
      </c>
      <c r="M1532" s="2" t="n">
        <v>2</v>
      </c>
      <c r="N1532" s="2" t="n">
        <v>-1</v>
      </c>
      <c r="O1532" s="2" t="n">
        <v>0</v>
      </c>
      <c r="P1532" s="2" t="s">
        <v>23</v>
      </c>
      <c r="Q1532" s="2" t="s">
        <v>20</v>
      </c>
    </row>
    <row r="1533" customFormat="false" ht="15" hidden="false" customHeight="false" outlineLevel="0" collapsed="false">
      <c r="A1533" s="2" t="n">
        <v>46</v>
      </c>
      <c r="B1533" s="2" t="s">
        <v>34</v>
      </c>
      <c r="C1533" s="2" t="s">
        <v>18</v>
      </c>
      <c r="D1533" s="2" t="s">
        <v>19</v>
      </c>
      <c r="E1533" s="2" t="s">
        <v>20</v>
      </c>
      <c r="F1533" s="2" t="n">
        <v>2749</v>
      </c>
      <c r="G1533" s="2" t="s">
        <v>26</v>
      </c>
      <c r="H1533" s="2" t="s">
        <v>20</v>
      </c>
      <c r="I1533" s="2" t="s">
        <v>21</v>
      </c>
      <c r="J1533" s="2" t="n">
        <v>17</v>
      </c>
      <c r="K1533" s="2" t="s">
        <v>46</v>
      </c>
      <c r="L1533" s="2" t="n">
        <v>332</v>
      </c>
      <c r="M1533" s="2" t="n">
        <v>1</v>
      </c>
      <c r="N1533" s="2" t="n">
        <v>-1</v>
      </c>
      <c r="O1533" s="2" t="n">
        <v>0</v>
      </c>
      <c r="P1533" s="2" t="s">
        <v>23</v>
      </c>
      <c r="Q1533" s="2" t="s">
        <v>20</v>
      </c>
    </row>
    <row r="1534" customFormat="false" ht="15" hidden="false" customHeight="false" outlineLevel="0" collapsed="false">
      <c r="A1534" s="2" t="n">
        <v>33</v>
      </c>
      <c r="B1534" s="2" t="s">
        <v>38</v>
      </c>
      <c r="C1534" s="2" t="s">
        <v>18</v>
      </c>
      <c r="D1534" s="2" t="s">
        <v>25</v>
      </c>
      <c r="E1534" s="2" t="s">
        <v>20</v>
      </c>
      <c r="F1534" s="2" t="n">
        <v>133</v>
      </c>
      <c r="G1534" s="2" t="s">
        <v>20</v>
      </c>
      <c r="H1534" s="2" t="s">
        <v>20</v>
      </c>
      <c r="I1534" s="2" t="s">
        <v>21</v>
      </c>
      <c r="J1534" s="2" t="n">
        <v>4</v>
      </c>
      <c r="K1534" s="2" t="s">
        <v>27</v>
      </c>
      <c r="L1534" s="2" t="n">
        <v>218</v>
      </c>
      <c r="M1534" s="2" t="n">
        <v>1</v>
      </c>
      <c r="N1534" s="2" t="n">
        <v>-1</v>
      </c>
      <c r="O1534" s="2" t="n">
        <v>0</v>
      </c>
      <c r="P1534" s="2" t="s">
        <v>23</v>
      </c>
      <c r="Q1534" s="2" t="s">
        <v>26</v>
      </c>
    </row>
    <row r="1535" customFormat="false" ht="15" hidden="false" customHeight="false" outlineLevel="0" collapsed="false">
      <c r="A1535" s="2" t="n">
        <v>32</v>
      </c>
      <c r="B1535" s="2" t="s">
        <v>34</v>
      </c>
      <c r="C1535" s="2" t="s">
        <v>30</v>
      </c>
      <c r="D1535" s="2" t="s">
        <v>25</v>
      </c>
      <c r="E1535" s="2" t="s">
        <v>20</v>
      </c>
      <c r="F1535" s="2" t="n">
        <v>1721</v>
      </c>
      <c r="G1535" s="2" t="s">
        <v>26</v>
      </c>
      <c r="H1535" s="2" t="s">
        <v>20</v>
      </c>
      <c r="I1535" s="2" t="s">
        <v>23</v>
      </c>
      <c r="J1535" s="2" t="n">
        <v>21</v>
      </c>
      <c r="K1535" s="2" t="s">
        <v>27</v>
      </c>
      <c r="L1535" s="2" t="n">
        <v>650</v>
      </c>
      <c r="M1535" s="2" t="n">
        <v>2</v>
      </c>
      <c r="N1535" s="2" t="n">
        <v>-1</v>
      </c>
      <c r="O1535" s="2" t="n">
        <v>0</v>
      </c>
      <c r="P1535" s="2" t="s">
        <v>23</v>
      </c>
      <c r="Q1535" s="2" t="s">
        <v>20</v>
      </c>
    </row>
    <row r="1536" customFormat="false" ht="15" hidden="false" customHeight="false" outlineLevel="0" collapsed="false">
      <c r="A1536" s="2" t="n">
        <v>54</v>
      </c>
      <c r="B1536" s="2" t="s">
        <v>29</v>
      </c>
      <c r="C1536" s="2" t="s">
        <v>45</v>
      </c>
      <c r="D1536" s="2" t="s">
        <v>31</v>
      </c>
      <c r="E1536" s="2" t="s">
        <v>20</v>
      </c>
      <c r="F1536" s="2" t="n">
        <v>2171</v>
      </c>
      <c r="G1536" s="2" t="s">
        <v>26</v>
      </c>
      <c r="H1536" s="2" t="s">
        <v>26</v>
      </c>
      <c r="I1536" s="2" t="s">
        <v>49</v>
      </c>
      <c r="J1536" s="2" t="n">
        <v>18</v>
      </c>
      <c r="K1536" s="2" t="s">
        <v>46</v>
      </c>
      <c r="L1536" s="2" t="n">
        <v>1034</v>
      </c>
      <c r="M1536" s="2" t="n">
        <v>1</v>
      </c>
      <c r="N1536" s="2" t="n">
        <v>-1</v>
      </c>
      <c r="O1536" s="2" t="n">
        <v>0</v>
      </c>
      <c r="P1536" s="2" t="s">
        <v>23</v>
      </c>
      <c r="Q1536" s="2" t="s">
        <v>26</v>
      </c>
    </row>
    <row r="1537" customFormat="false" ht="15" hidden="false" customHeight="false" outlineLevel="0" collapsed="false">
      <c r="A1537" s="2" t="n">
        <v>37</v>
      </c>
      <c r="B1537" s="2" t="s">
        <v>24</v>
      </c>
      <c r="C1537" s="2" t="s">
        <v>18</v>
      </c>
      <c r="D1537" s="2" t="s">
        <v>25</v>
      </c>
      <c r="E1537" s="2" t="s">
        <v>20</v>
      </c>
      <c r="F1537" s="2" t="n">
        <v>4760</v>
      </c>
      <c r="G1537" s="2" t="s">
        <v>26</v>
      </c>
      <c r="H1537" s="2" t="s">
        <v>20</v>
      </c>
      <c r="I1537" s="2" t="s">
        <v>21</v>
      </c>
      <c r="J1537" s="2" t="n">
        <v>8</v>
      </c>
      <c r="K1537" s="2" t="s">
        <v>27</v>
      </c>
      <c r="L1537" s="2" t="n">
        <v>182</v>
      </c>
      <c r="M1537" s="2" t="n">
        <v>2</v>
      </c>
      <c r="N1537" s="2" t="n">
        <v>169</v>
      </c>
      <c r="O1537" s="2" t="n">
        <v>2</v>
      </c>
      <c r="P1537" s="2" t="s">
        <v>28</v>
      </c>
      <c r="Q1537" s="2" t="s">
        <v>20</v>
      </c>
    </row>
    <row r="1538" customFormat="false" ht="15" hidden="false" customHeight="false" outlineLevel="0" collapsed="false">
      <c r="A1538" s="2" t="n">
        <v>32</v>
      </c>
      <c r="B1538" s="2" t="s">
        <v>38</v>
      </c>
      <c r="C1538" s="2" t="s">
        <v>30</v>
      </c>
      <c r="D1538" s="2" t="s">
        <v>25</v>
      </c>
      <c r="E1538" s="2" t="s">
        <v>20</v>
      </c>
      <c r="F1538" s="2" t="n">
        <v>2979</v>
      </c>
      <c r="G1538" s="2" t="s">
        <v>20</v>
      </c>
      <c r="H1538" s="2" t="s">
        <v>20</v>
      </c>
      <c r="I1538" s="2" t="s">
        <v>21</v>
      </c>
      <c r="J1538" s="2" t="n">
        <v>25</v>
      </c>
      <c r="K1538" s="2" t="s">
        <v>27</v>
      </c>
      <c r="L1538" s="2" t="n">
        <v>156</v>
      </c>
      <c r="M1538" s="2" t="n">
        <v>1</v>
      </c>
      <c r="N1538" s="2" t="n">
        <v>-1</v>
      </c>
      <c r="O1538" s="2" t="n">
        <v>0</v>
      </c>
      <c r="P1538" s="2" t="s">
        <v>23</v>
      </c>
      <c r="Q1538" s="2" t="s">
        <v>20</v>
      </c>
    </row>
    <row r="1539" customFormat="false" ht="15" hidden="false" customHeight="false" outlineLevel="0" collapsed="false">
      <c r="A1539" s="2" t="n">
        <v>43</v>
      </c>
      <c r="B1539" s="2" t="s">
        <v>29</v>
      </c>
      <c r="C1539" s="2" t="s">
        <v>18</v>
      </c>
      <c r="D1539" s="2" t="s">
        <v>31</v>
      </c>
      <c r="E1539" s="2" t="s">
        <v>20</v>
      </c>
      <c r="F1539" s="2" t="n">
        <v>690</v>
      </c>
      <c r="G1539" s="2" t="s">
        <v>26</v>
      </c>
      <c r="H1539" s="2" t="s">
        <v>20</v>
      </c>
      <c r="I1539" s="2" t="s">
        <v>21</v>
      </c>
      <c r="J1539" s="2" t="n">
        <v>6</v>
      </c>
      <c r="K1539" s="2" t="s">
        <v>41</v>
      </c>
      <c r="L1539" s="2" t="n">
        <v>171</v>
      </c>
      <c r="M1539" s="2" t="n">
        <v>3</v>
      </c>
      <c r="N1539" s="2" t="n">
        <v>-1</v>
      </c>
      <c r="O1539" s="2" t="n">
        <v>0</v>
      </c>
      <c r="P1539" s="2" t="s">
        <v>23</v>
      </c>
      <c r="Q1539" s="2" t="s">
        <v>20</v>
      </c>
    </row>
    <row r="1540" customFormat="false" ht="15" hidden="false" customHeight="false" outlineLevel="0" collapsed="false">
      <c r="A1540" s="2" t="n">
        <v>50</v>
      </c>
      <c r="B1540" s="2" t="s">
        <v>34</v>
      </c>
      <c r="C1540" s="2" t="s">
        <v>45</v>
      </c>
      <c r="D1540" s="2" t="s">
        <v>25</v>
      </c>
      <c r="E1540" s="2" t="s">
        <v>20</v>
      </c>
      <c r="F1540" s="2" t="n">
        <v>203</v>
      </c>
      <c r="G1540" s="2" t="s">
        <v>26</v>
      </c>
      <c r="H1540" s="2" t="s">
        <v>20</v>
      </c>
      <c r="I1540" s="2" t="s">
        <v>49</v>
      </c>
      <c r="J1540" s="2" t="n">
        <v>19</v>
      </c>
      <c r="K1540" s="2" t="s">
        <v>46</v>
      </c>
      <c r="L1540" s="2" t="n">
        <v>265</v>
      </c>
      <c r="M1540" s="2" t="n">
        <v>1</v>
      </c>
      <c r="N1540" s="2" t="n">
        <v>127</v>
      </c>
      <c r="O1540" s="2" t="n">
        <v>4</v>
      </c>
      <c r="P1540" s="2" t="s">
        <v>37</v>
      </c>
      <c r="Q1540" s="2" t="s">
        <v>20</v>
      </c>
    </row>
    <row r="1541" customFormat="false" ht="15" hidden="false" customHeight="false" outlineLevel="0" collapsed="false">
      <c r="A1541" s="2" t="n">
        <v>34</v>
      </c>
      <c r="B1541" s="2" t="s">
        <v>34</v>
      </c>
      <c r="C1541" s="2" t="s">
        <v>18</v>
      </c>
      <c r="D1541" s="2" t="s">
        <v>25</v>
      </c>
      <c r="E1541" s="2" t="s">
        <v>20</v>
      </c>
      <c r="F1541" s="2" t="n">
        <v>322</v>
      </c>
      <c r="G1541" s="2" t="s">
        <v>26</v>
      </c>
      <c r="H1541" s="2" t="s">
        <v>20</v>
      </c>
      <c r="I1541" s="2" t="s">
        <v>21</v>
      </c>
      <c r="J1541" s="2" t="n">
        <v>20</v>
      </c>
      <c r="K1541" s="2" t="s">
        <v>32</v>
      </c>
      <c r="L1541" s="2" t="n">
        <v>10</v>
      </c>
      <c r="M1541" s="2" t="n">
        <v>3</v>
      </c>
      <c r="N1541" s="2" t="n">
        <v>-1</v>
      </c>
      <c r="O1541" s="2" t="n">
        <v>0</v>
      </c>
      <c r="P1541" s="2" t="s">
        <v>23</v>
      </c>
      <c r="Q1541" s="2" t="s">
        <v>20</v>
      </c>
    </row>
    <row r="1542" customFormat="false" ht="15" hidden="false" customHeight="false" outlineLevel="0" collapsed="false">
      <c r="A1542" s="2" t="n">
        <v>31</v>
      </c>
      <c r="B1542" s="2" t="s">
        <v>40</v>
      </c>
      <c r="C1542" s="2" t="s">
        <v>45</v>
      </c>
      <c r="D1542" s="2" t="s">
        <v>25</v>
      </c>
      <c r="E1542" s="2" t="s">
        <v>20</v>
      </c>
      <c r="F1542" s="2" t="n">
        <v>1210</v>
      </c>
      <c r="G1542" s="2" t="s">
        <v>20</v>
      </c>
      <c r="H1542" s="2" t="s">
        <v>20</v>
      </c>
      <c r="I1542" s="2" t="s">
        <v>21</v>
      </c>
      <c r="J1542" s="2" t="n">
        <v>16</v>
      </c>
      <c r="K1542" s="2" t="s">
        <v>44</v>
      </c>
      <c r="L1542" s="2" t="n">
        <v>350</v>
      </c>
      <c r="M1542" s="2" t="n">
        <v>1</v>
      </c>
      <c r="N1542" s="2" t="n">
        <v>-1</v>
      </c>
      <c r="O1542" s="2" t="n">
        <v>0</v>
      </c>
      <c r="P1542" s="2" t="s">
        <v>23</v>
      </c>
      <c r="Q1542" s="2" t="s">
        <v>20</v>
      </c>
    </row>
    <row r="1543" customFormat="false" ht="15" hidden="false" customHeight="false" outlineLevel="0" collapsed="false">
      <c r="A1543" s="2" t="n">
        <v>43</v>
      </c>
      <c r="B1543" s="2" t="s">
        <v>36</v>
      </c>
      <c r="C1543" s="2" t="s">
        <v>18</v>
      </c>
      <c r="D1543" s="2" t="s">
        <v>25</v>
      </c>
      <c r="E1543" s="2" t="s">
        <v>20</v>
      </c>
      <c r="F1543" s="2" t="n">
        <v>634</v>
      </c>
      <c r="G1543" s="2" t="s">
        <v>26</v>
      </c>
      <c r="H1543" s="2" t="s">
        <v>20</v>
      </c>
      <c r="I1543" s="2" t="s">
        <v>21</v>
      </c>
      <c r="J1543" s="2" t="n">
        <v>17</v>
      </c>
      <c r="K1543" s="2" t="s">
        <v>46</v>
      </c>
      <c r="L1543" s="2" t="n">
        <v>65</v>
      </c>
      <c r="M1543" s="2" t="n">
        <v>1</v>
      </c>
      <c r="N1543" s="2" t="n">
        <v>131</v>
      </c>
      <c r="O1543" s="2" t="n">
        <v>1</v>
      </c>
      <c r="P1543" s="2" t="s">
        <v>28</v>
      </c>
      <c r="Q1543" s="2" t="s">
        <v>20</v>
      </c>
    </row>
    <row r="1544" customFormat="false" ht="15" hidden="false" customHeight="false" outlineLevel="0" collapsed="false">
      <c r="A1544" s="2" t="n">
        <v>49</v>
      </c>
      <c r="B1544" s="2" t="s">
        <v>39</v>
      </c>
      <c r="C1544" s="2" t="s">
        <v>18</v>
      </c>
      <c r="D1544" s="2" t="s">
        <v>25</v>
      </c>
      <c r="E1544" s="2" t="s">
        <v>20</v>
      </c>
      <c r="F1544" s="2" t="n">
        <v>273</v>
      </c>
      <c r="G1544" s="2" t="s">
        <v>20</v>
      </c>
      <c r="H1544" s="2" t="s">
        <v>20</v>
      </c>
      <c r="I1544" s="2" t="s">
        <v>21</v>
      </c>
      <c r="J1544" s="2" t="n">
        <v>23</v>
      </c>
      <c r="K1544" s="2" t="s">
        <v>44</v>
      </c>
      <c r="L1544" s="2" t="n">
        <v>58</v>
      </c>
      <c r="M1544" s="2" t="n">
        <v>1</v>
      </c>
      <c r="N1544" s="2" t="n">
        <v>-1</v>
      </c>
      <c r="O1544" s="2" t="n">
        <v>0</v>
      </c>
      <c r="P1544" s="2" t="s">
        <v>23</v>
      </c>
      <c r="Q1544" s="2" t="s">
        <v>20</v>
      </c>
    </row>
    <row r="1545" customFormat="false" ht="15" hidden="false" customHeight="false" outlineLevel="0" collapsed="false">
      <c r="A1545" s="2" t="n">
        <v>22</v>
      </c>
      <c r="B1545" s="2" t="s">
        <v>42</v>
      </c>
      <c r="C1545" s="2" t="s">
        <v>30</v>
      </c>
      <c r="D1545" s="2" t="s">
        <v>23</v>
      </c>
      <c r="E1545" s="2" t="s">
        <v>20</v>
      </c>
      <c r="F1545" s="2" t="n">
        <v>47</v>
      </c>
      <c r="G1545" s="2" t="s">
        <v>20</v>
      </c>
      <c r="H1545" s="2" t="s">
        <v>20</v>
      </c>
      <c r="I1545" s="2" t="s">
        <v>21</v>
      </c>
      <c r="J1545" s="2" t="n">
        <v>3</v>
      </c>
      <c r="K1545" s="2" t="s">
        <v>44</v>
      </c>
      <c r="L1545" s="2" t="n">
        <v>69</v>
      </c>
      <c r="M1545" s="2" t="n">
        <v>3</v>
      </c>
      <c r="N1545" s="2" t="n">
        <v>-1</v>
      </c>
      <c r="O1545" s="2" t="n">
        <v>0</v>
      </c>
      <c r="P1545" s="2" t="s">
        <v>23</v>
      </c>
      <c r="Q1545" s="2" t="s">
        <v>20</v>
      </c>
    </row>
    <row r="1546" customFormat="false" ht="15" hidden="false" customHeight="false" outlineLevel="0" collapsed="false">
      <c r="A1546" s="2" t="n">
        <v>35</v>
      </c>
      <c r="B1546" s="2" t="s">
        <v>29</v>
      </c>
      <c r="C1546" s="2" t="s">
        <v>18</v>
      </c>
      <c r="D1546" s="2" t="s">
        <v>31</v>
      </c>
      <c r="E1546" s="2" t="s">
        <v>20</v>
      </c>
      <c r="F1546" s="2" t="n">
        <v>1100</v>
      </c>
      <c r="G1546" s="2" t="s">
        <v>20</v>
      </c>
      <c r="H1546" s="2" t="s">
        <v>26</v>
      </c>
      <c r="I1546" s="2" t="s">
        <v>21</v>
      </c>
      <c r="J1546" s="2" t="n">
        <v>29</v>
      </c>
      <c r="K1546" s="2" t="s">
        <v>43</v>
      </c>
      <c r="L1546" s="2" t="n">
        <v>127</v>
      </c>
      <c r="M1546" s="2" t="n">
        <v>2</v>
      </c>
      <c r="N1546" s="2" t="n">
        <v>-1</v>
      </c>
      <c r="O1546" s="2" t="n">
        <v>0</v>
      </c>
      <c r="P1546" s="2" t="s">
        <v>23</v>
      </c>
      <c r="Q1546" s="2" t="s">
        <v>20</v>
      </c>
    </row>
    <row r="1547" customFormat="false" ht="15" hidden="false" customHeight="false" outlineLevel="0" collapsed="false">
      <c r="A1547" s="2" t="n">
        <v>56</v>
      </c>
      <c r="B1547" s="2" t="s">
        <v>40</v>
      </c>
      <c r="C1547" s="2" t="s">
        <v>18</v>
      </c>
      <c r="D1547" s="2" t="s">
        <v>25</v>
      </c>
      <c r="E1547" s="2" t="s">
        <v>20</v>
      </c>
      <c r="F1547" s="2" t="n">
        <v>0</v>
      </c>
      <c r="G1547" s="2" t="s">
        <v>26</v>
      </c>
      <c r="H1547" s="2" t="s">
        <v>20</v>
      </c>
      <c r="I1547" s="2" t="s">
        <v>49</v>
      </c>
      <c r="J1547" s="2" t="n">
        <v>19</v>
      </c>
      <c r="K1547" s="2" t="s">
        <v>46</v>
      </c>
      <c r="L1547" s="2" t="n">
        <v>154</v>
      </c>
      <c r="M1547" s="2" t="n">
        <v>2</v>
      </c>
      <c r="N1547" s="2" t="n">
        <v>-1</v>
      </c>
      <c r="O1547" s="2" t="n">
        <v>0</v>
      </c>
      <c r="P1547" s="2" t="s">
        <v>23</v>
      </c>
      <c r="Q1547" s="2" t="s">
        <v>20</v>
      </c>
    </row>
    <row r="1548" customFormat="false" ht="15" hidden="false" customHeight="false" outlineLevel="0" collapsed="false">
      <c r="A1548" s="2" t="n">
        <v>53</v>
      </c>
      <c r="B1548" s="2" t="s">
        <v>34</v>
      </c>
      <c r="C1548" s="2" t="s">
        <v>18</v>
      </c>
      <c r="D1548" s="2" t="s">
        <v>25</v>
      </c>
      <c r="E1548" s="2" t="s">
        <v>20</v>
      </c>
      <c r="F1548" s="2" t="n">
        <v>0</v>
      </c>
      <c r="G1548" s="2" t="s">
        <v>20</v>
      </c>
      <c r="H1548" s="2" t="s">
        <v>20</v>
      </c>
      <c r="I1548" s="2" t="s">
        <v>49</v>
      </c>
      <c r="J1548" s="2" t="n">
        <v>31</v>
      </c>
      <c r="K1548" s="2" t="s">
        <v>44</v>
      </c>
      <c r="L1548" s="2" t="n">
        <v>36</v>
      </c>
      <c r="M1548" s="2" t="n">
        <v>4</v>
      </c>
      <c r="N1548" s="2" t="n">
        <v>-1</v>
      </c>
      <c r="O1548" s="2" t="n">
        <v>0</v>
      </c>
      <c r="P1548" s="2" t="s">
        <v>23</v>
      </c>
      <c r="Q1548" s="2" t="s">
        <v>20</v>
      </c>
    </row>
    <row r="1549" customFormat="false" ht="15" hidden="false" customHeight="false" outlineLevel="0" collapsed="false">
      <c r="A1549" s="2" t="n">
        <v>54</v>
      </c>
      <c r="B1549" s="2" t="s">
        <v>39</v>
      </c>
      <c r="C1549" s="2" t="s">
        <v>18</v>
      </c>
      <c r="D1549" s="2" t="s">
        <v>31</v>
      </c>
      <c r="E1549" s="2" t="s">
        <v>20</v>
      </c>
      <c r="F1549" s="2" t="n">
        <v>1544</v>
      </c>
      <c r="G1549" s="2" t="s">
        <v>20</v>
      </c>
      <c r="H1549" s="2" t="s">
        <v>26</v>
      </c>
      <c r="I1549" s="2" t="s">
        <v>21</v>
      </c>
      <c r="J1549" s="2" t="n">
        <v>5</v>
      </c>
      <c r="K1549" s="2" t="s">
        <v>35</v>
      </c>
      <c r="L1549" s="2" t="n">
        <v>85</v>
      </c>
      <c r="M1549" s="2" t="n">
        <v>7</v>
      </c>
      <c r="N1549" s="2" t="n">
        <v>196</v>
      </c>
      <c r="O1549" s="2" t="n">
        <v>3</v>
      </c>
      <c r="P1549" s="2" t="s">
        <v>28</v>
      </c>
      <c r="Q1549" s="2" t="s">
        <v>20</v>
      </c>
    </row>
    <row r="1550" customFormat="false" ht="15" hidden="false" customHeight="false" outlineLevel="0" collapsed="false">
      <c r="A1550" s="2" t="n">
        <v>32</v>
      </c>
      <c r="B1550" s="2" t="s">
        <v>24</v>
      </c>
      <c r="C1550" s="2" t="s">
        <v>30</v>
      </c>
      <c r="D1550" s="2" t="s">
        <v>23</v>
      </c>
      <c r="E1550" s="2" t="s">
        <v>20</v>
      </c>
      <c r="F1550" s="2" t="n">
        <v>6145</v>
      </c>
      <c r="G1550" s="2" t="s">
        <v>26</v>
      </c>
      <c r="H1550" s="2" t="s">
        <v>20</v>
      </c>
      <c r="I1550" s="2" t="s">
        <v>21</v>
      </c>
      <c r="J1550" s="2" t="n">
        <v>14</v>
      </c>
      <c r="K1550" s="2" t="s">
        <v>27</v>
      </c>
      <c r="L1550" s="2" t="n">
        <v>362</v>
      </c>
      <c r="M1550" s="2" t="n">
        <v>1</v>
      </c>
      <c r="N1550" s="2" t="n">
        <v>287</v>
      </c>
      <c r="O1550" s="2" t="n">
        <v>13</v>
      </c>
      <c r="P1550" s="2" t="s">
        <v>28</v>
      </c>
      <c r="Q1550" s="2" t="s">
        <v>20</v>
      </c>
    </row>
    <row r="1551" customFormat="false" ht="15" hidden="false" customHeight="false" outlineLevel="0" collapsed="false">
      <c r="A1551" s="2" t="n">
        <v>41</v>
      </c>
      <c r="B1551" s="2" t="s">
        <v>36</v>
      </c>
      <c r="C1551" s="2" t="s">
        <v>18</v>
      </c>
      <c r="D1551" s="2" t="s">
        <v>25</v>
      </c>
      <c r="E1551" s="2" t="s">
        <v>20</v>
      </c>
      <c r="F1551" s="2" t="n">
        <v>28</v>
      </c>
      <c r="G1551" s="2" t="s">
        <v>26</v>
      </c>
      <c r="H1551" s="2" t="s">
        <v>20</v>
      </c>
      <c r="I1551" s="2" t="s">
        <v>21</v>
      </c>
      <c r="J1551" s="2" t="n">
        <v>11</v>
      </c>
      <c r="K1551" s="2" t="s">
        <v>27</v>
      </c>
      <c r="L1551" s="2" t="n">
        <v>49</v>
      </c>
      <c r="M1551" s="2" t="n">
        <v>1</v>
      </c>
      <c r="N1551" s="2" t="n">
        <v>-1</v>
      </c>
      <c r="O1551" s="2" t="n">
        <v>0</v>
      </c>
      <c r="P1551" s="2" t="s">
        <v>23</v>
      </c>
      <c r="Q1551" s="2" t="s">
        <v>20</v>
      </c>
    </row>
    <row r="1552" customFormat="false" ht="15" hidden="false" customHeight="false" outlineLevel="0" collapsed="false">
      <c r="A1552" s="2" t="n">
        <v>40</v>
      </c>
      <c r="B1552" s="2" t="s">
        <v>34</v>
      </c>
      <c r="C1552" s="2" t="s">
        <v>18</v>
      </c>
      <c r="D1552" s="2" t="s">
        <v>25</v>
      </c>
      <c r="E1552" s="2" t="s">
        <v>20</v>
      </c>
      <c r="F1552" s="2" t="n">
        <v>1012</v>
      </c>
      <c r="G1552" s="2" t="s">
        <v>26</v>
      </c>
      <c r="H1552" s="2" t="s">
        <v>20</v>
      </c>
      <c r="I1552" s="2" t="s">
        <v>21</v>
      </c>
      <c r="J1552" s="2" t="n">
        <v>6</v>
      </c>
      <c r="K1552" s="2" t="s">
        <v>27</v>
      </c>
      <c r="L1552" s="2" t="n">
        <v>410</v>
      </c>
      <c r="M1552" s="2" t="n">
        <v>1</v>
      </c>
      <c r="N1552" s="2" t="n">
        <v>-1</v>
      </c>
      <c r="O1552" s="2" t="n">
        <v>0</v>
      </c>
      <c r="P1552" s="2" t="s">
        <v>23</v>
      </c>
      <c r="Q1552" s="2" t="s">
        <v>20</v>
      </c>
    </row>
    <row r="1553" customFormat="false" ht="15" hidden="false" customHeight="false" outlineLevel="0" collapsed="false">
      <c r="A1553" s="2" t="n">
        <v>33</v>
      </c>
      <c r="B1553" s="2" t="s">
        <v>34</v>
      </c>
      <c r="C1553" s="2" t="s">
        <v>18</v>
      </c>
      <c r="D1553" s="2" t="s">
        <v>19</v>
      </c>
      <c r="E1553" s="2" t="s">
        <v>20</v>
      </c>
      <c r="F1553" s="2" t="n">
        <v>245</v>
      </c>
      <c r="G1553" s="2" t="s">
        <v>26</v>
      </c>
      <c r="H1553" s="2" t="s">
        <v>26</v>
      </c>
      <c r="I1553" s="2" t="s">
        <v>21</v>
      </c>
      <c r="J1553" s="2" t="n">
        <v>8</v>
      </c>
      <c r="K1553" s="2" t="s">
        <v>27</v>
      </c>
      <c r="L1553" s="2" t="n">
        <v>253</v>
      </c>
      <c r="M1553" s="2" t="n">
        <v>3</v>
      </c>
      <c r="N1553" s="2" t="n">
        <v>-1</v>
      </c>
      <c r="O1553" s="2" t="n">
        <v>0</v>
      </c>
      <c r="P1553" s="2" t="s">
        <v>23</v>
      </c>
      <c r="Q1553" s="2" t="s">
        <v>20</v>
      </c>
    </row>
    <row r="1554" customFormat="false" ht="15" hidden="false" customHeight="false" outlineLevel="0" collapsed="false">
      <c r="A1554" s="2" t="n">
        <v>33</v>
      </c>
      <c r="B1554" s="2" t="s">
        <v>29</v>
      </c>
      <c r="C1554" s="2" t="s">
        <v>30</v>
      </c>
      <c r="D1554" s="2" t="s">
        <v>31</v>
      </c>
      <c r="E1554" s="2" t="s">
        <v>20</v>
      </c>
      <c r="F1554" s="2" t="n">
        <v>1998</v>
      </c>
      <c r="G1554" s="2" t="s">
        <v>20</v>
      </c>
      <c r="H1554" s="2" t="s">
        <v>20</v>
      </c>
      <c r="I1554" s="2" t="s">
        <v>21</v>
      </c>
      <c r="J1554" s="2" t="n">
        <v>19</v>
      </c>
      <c r="K1554" s="2" t="s">
        <v>46</v>
      </c>
      <c r="L1554" s="2" t="n">
        <v>570</v>
      </c>
      <c r="M1554" s="2" t="n">
        <v>1</v>
      </c>
      <c r="N1554" s="2" t="n">
        <v>-1</v>
      </c>
      <c r="O1554" s="2" t="n">
        <v>0</v>
      </c>
      <c r="P1554" s="2" t="s">
        <v>23</v>
      </c>
      <c r="Q1554" s="2" t="s">
        <v>20</v>
      </c>
    </row>
    <row r="1555" customFormat="false" ht="15" hidden="false" customHeight="false" outlineLevel="0" collapsed="false">
      <c r="A1555" s="2" t="n">
        <v>34</v>
      </c>
      <c r="B1555" s="2" t="s">
        <v>34</v>
      </c>
      <c r="C1555" s="2" t="s">
        <v>18</v>
      </c>
      <c r="D1555" s="2" t="s">
        <v>25</v>
      </c>
      <c r="E1555" s="2" t="s">
        <v>20</v>
      </c>
      <c r="F1555" s="2" t="n">
        <v>3990</v>
      </c>
      <c r="G1555" s="2" t="s">
        <v>26</v>
      </c>
      <c r="H1555" s="2" t="s">
        <v>20</v>
      </c>
      <c r="I1555" s="2" t="s">
        <v>21</v>
      </c>
      <c r="J1555" s="2" t="n">
        <v>24</v>
      </c>
      <c r="K1555" s="2" t="s">
        <v>44</v>
      </c>
      <c r="L1555" s="2" t="n">
        <v>633</v>
      </c>
      <c r="M1555" s="2" t="n">
        <v>7</v>
      </c>
      <c r="N1555" s="2" t="n">
        <v>-1</v>
      </c>
      <c r="O1555" s="2" t="n">
        <v>0</v>
      </c>
      <c r="P1555" s="2" t="s">
        <v>23</v>
      </c>
      <c r="Q1555" s="2" t="s">
        <v>20</v>
      </c>
    </row>
    <row r="1556" customFormat="false" ht="15" hidden="false" customHeight="false" outlineLevel="0" collapsed="false">
      <c r="A1556" s="2" t="n">
        <v>36</v>
      </c>
      <c r="B1556" s="2" t="s">
        <v>24</v>
      </c>
      <c r="C1556" s="2" t="s">
        <v>18</v>
      </c>
      <c r="D1556" s="2" t="s">
        <v>25</v>
      </c>
      <c r="E1556" s="2" t="s">
        <v>20</v>
      </c>
      <c r="F1556" s="2" t="n">
        <v>1328</v>
      </c>
      <c r="G1556" s="2" t="s">
        <v>26</v>
      </c>
      <c r="H1556" s="2" t="s">
        <v>20</v>
      </c>
      <c r="I1556" s="2" t="s">
        <v>23</v>
      </c>
      <c r="J1556" s="2" t="n">
        <v>6</v>
      </c>
      <c r="K1556" s="2" t="s">
        <v>33</v>
      </c>
      <c r="L1556" s="2" t="n">
        <v>82</v>
      </c>
      <c r="M1556" s="2" t="n">
        <v>4</v>
      </c>
      <c r="N1556" s="2" t="n">
        <v>-1</v>
      </c>
      <c r="O1556" s="2" t="n">
        <v>0</v>
      </c>
      <c r="P1556" s="2" t="s">
        <v>23</v>
      </c>
      <c r="Q1556" s="2" t="s">
        <v>20</v>
      </c>
    </row>
    <row r="1557" customFormat="false" ht="15" hidden="false" customHeight="false" outlineLevel="0" collapsed="false">
      <c r="A1557" s="2" t="n">
        <v>34</v>
      </c>
      <c r="B1557" s="2" t="s">
        <v>39</v>
      </c>
      <c r="C1557" s="2" t="s">
        <v>18</v>
      </c>
      <c r="D1557" s="2" t="s">
        <v>31</v>
      </c>
      <c r="E1557" s="2" t="s">
        <v>20</v>
      </c>
      <c r="F1557" s="2" t="n">
        <v>412</v>
      </c>
      <c r="G1557" s="2" t="s">
        <v>26</v>
      </c>
      <c r="H1557" s="2" t="s">
        <v>26</v>
      </c>
      <c r="I1557" s="2" t="s">
        <v>21</v>
      </c>
      <c r="J1557" s="2" t="n">
        <v>8</v>
      </c>
      <c r="K1557" s="2" t="s">
        <v>44</v>
      </c>
      <c r="L1557" s="2" t="n">
        <v>164</v>
      </c>
      <c r="M1557" s="2" t="n">
        <v>1</v>
      </c>
      <c r="N1557" s="2" t="n">
        <v>-1</v>
      </c>
      <c r="O1557" s="2" t="n">
        <v>0</v>
      </c>
      <c r="P1557" s="2" t="s">
        <v>23</v>
      </c>
      <c r="Q1557" s="2" t="s">
        <v>20</v>
      </c>
    </row>
    <row r="1558" customFormat="false" ht="15" hidden="false" customHeight="false" outlineLevel="0" collapsed="false">
      <c r="A1558" s="2" t="n">
        <v>55</v>
      </c>
      <c r="B1558" s="2" t="s">
        <v>29</v>
      </c>
      <c r="C1558" s="2" t="s">
        <v>18</v>
      </c>
      <c r="D1558" s="2" t="s">
        <v>19</v>
      </c>
      <c r="E1558" s="2" t="s">
        <v>20</v>
      </c>
      <c r="F1558" s="2" t="n">
        <v>229</v>
      </c>
      <c r="G1558" s="2" t="s">
        <v>20</v>
      </c>
      <c r="H1558" s="2" t="s">
        <v>26</v>
      </c>
      <c r="I1558" s="2" t="s">
        <v>23</v>
      </c>
      <c r="J1558" s="2" t="n">
        <v>9</v>
      </c>
      <c r="K1558" s="2" t="s">
        <v>33</v>
      </c>
      <c r="L1558" s="2" t="n">
        <v>175</v>
      </c>
      <c r="M1558" s="2" t="n">
        <v>3</v>
      </c>
      <c r="N1558" s="2" t="n">
        <v>-1</v>
      </c>
      <c r="O1558" s="2" t="n">
        <v>0</v>
      </c>
      <c r="P1558" s="2" t="s">
        <v>23</v>
      </c>
      <c r="Q1558" s="2" t="s">
        <v>20</v>
      </c>
    </row>
    <row r="1559" customFormat="false" ht="15" hidden="false" customHeight="false" outlineLevel="0" collapsed="false">
      <c r="A1559" s="2" t="n">
        <v>28</v>
      </c>
      <c r="B1559" s="2" t="s">
        <v>42</v>
      </c>
      <c r="C1559" s="2" t="s">
        <v>30</v>
      </c>
      <c r="D1559" s="2" t="s">
        <v>31</v>
      </c>
      <c r="E1559" s="2" t="s">
        <v>20</v>
      </c>
      <c r="F1559" s="2" t="n">
        <v>1562</v>
      </c>
      <c r="G1559" s="2" t="s">
        <v>20</v>
      </c>
      <c r="H1559" s="2" t="s">
        <v>20</v>
      </c>
      <c r="I1559" s="2" t="s">
        <v>21</v>
      </c>
      <c r="J1559" s="2" t="n">
        <v>15</v>
      </c>
      <c r="K1559" s="2" t="s">
        <v>35</v>
      </c>
      <c r="L1559" s="2" t="n">
        <v>659</v>
      </c>
      <c r="M1559" s="2" t="n">
        <v>4</v>
      </c>
      <c r="N1559" s="2" t="n">
        <v>-1</v>
      </c>
      <c r="O1559" s="2" t="n">
        <v>0</v>
      </c>
      <c r="P1559" s="2" t="s">
        <v>23</v>
      </c>
      <c r="Q1559" s="2" t="s">
        <v>26</v>
      </c>
    </row>
    <row r="1560" customFormat="false" ht="15" hidden="false" customHeight="false" outlineLevel="0" collapsed="false">
      <c r="A1560" s="2" t="n">
        <v>29</v>
      </c>
      <c r="B1560" s="2" t="s">
        <v>40</v>
      </c>
      <c r="C1560" s="2" t="s">
        <v>30</v>
      </c>
      <c r="D1560" s="2" t="s">
        <v>25</v>
      </c>
      <c r="E1560" s="2" t="s">
        <v>20</v>
      </c>
      <c r="F1560" s="2" t="n">
        <v>3432</v>
      </c>
      <c r="G1560" s="2" t="s">
        <v>26</v>
      </c>
      <c r="H1560" s="2" t="s">
        <v>20</v>
      </c>
      <c r="I1560" s="2" t="s">
        <v>21</v>
      </c>
      <c r="J1560" s="2" t="n">
        <v>17</v>
      </c>
      <c r="K1560" s="2" t="s">
        <v>32</v>
      </c>
      <c r="L1560" s="2" t="n">
        <v>139</v>
      </c>
      <c r="M1560" s="2" t="n">
        <v>2</v>
      </c>
      <c r="N1560" s="2" t="n">
        <v>-1</v>
      </c>
      <c r="O1560" s="2" t="n">
        <v>0</v>
      </c>
      <c r="P1560" s="2" t="s">
        <v>23</v>
      </c>
      <c r="Q1560" s="2" t="s">
        <v>20</v>
      </c>
    </row>
    <row r="1561" customFormat="false" ht="15" hidden="false" customHeight="false" outlineLevel="0" collapsed="false">
      <c r="A1561" s="2" t="n">
        <v>31</v>
      </c>
      <c r="B1561" s="2" t="s">
        <v>40</v>
      </c>
      <c r="C1561" s="2" t="s">
        <v>30</v>
      </c>
      <c r="D1561" s="2" t="s">
        <v>25</v>
      </c>
      <c r="E1561" s="2" t="s">
        <v>20</v>
      </c>
      <c r="F1561" s="2" t="n">
        <v>144</v>
      </c>
      <c r="G1561" s="2" t="s">
        <v>26</v>
      </c>
      <c r="H1561" s="2" t="s">
        <v>20</v>
      </c>
      <c r="I1561" s="2" t="s">
        <v>23</v>
      </c>
      <c r="J1561" s="2" t="n">
        <v>4</v>
      </c>
      <c r="K1561" s="2" t="s">
        <v>44</v>
      </c>
      <c r="L1561" s="2" t="n">
        <v>43</v>
      </c>
      <c r="M1561" s="2" t="n">
        <v>11</v>
      </c>
      <c r="N1561" s="2" t="n">
        <v>-1</v>
      </c>
      <c r="O1561" s="2" t="n">
        <v>0</v>
      </c>
      <c r="P1561" s="2" t="s">
        <v>23</v>
      </c>
      <c r="Q1561" s="2" t="s">
        <v>20</v>
      </c>
    </row>
    <row r="1562" customFormat="false" ht="15" hidden="false" customHeight="false" outlineLevel="0" collapsed="false">
      <c r="A1562" s="2" t="n">
        <v>52</v>
      </c>
      <c r="B1562" s="2" t="s">
        <v>29</v>
      </c>
      <c r="C1562" s="2" t="s">
        <v>18</v>
      </c>
      <c r="D1562" s="2" t="s">
        <v>31</v>
      </c>
      <c r="E1562" s="2" t="s">
        <v>20</v>
      </c>
      <c r="F1562" s="2" t="n">
        <v>1339</v>
      </c>
      <c r="G1562" s="2" t="s">
        <v>26</v>
      </c>
      <c r="H1562" s="2" t="s">
        <v>20</v>
      </c>
      <c r="I1562" s="2" t="s">
        <v>21</v>
      </c>
      <c r="J1562" s="2" t="n">
        <v>22</v>
      </c>
      <c r="K1562" s="2" t="s">
        <v>41</v>
      </c>
      <c r="L1562" s="2" t="n">
        <v>343</v>
      </c>
      <c r="M1562" s="2" t="n">
        <v>5</v>
      </c>
      <c r="N1562" s="2" t="n">
        <v>-1</v>
      </c>
      <c r="O1562" s="2" t="n">
        <v>0</v>
      </c>
      <c r="P1562" s="2" t="s">
        <v>23</v>
      </c>
      <c r="Q1562" s="2" t="s">
        <v>20</v>
      </c>
    </row>
    <row r="1563" customFormat="false" ht="15" hidden="false" customHeight="false" outlineLevel="0" collapsed="false">
      <c r="A1563" s="2" t="n">
        <v>54</v>
      </c>
      <c r="B1563" s="2" t="s">
        <v>24</v>
      </c>
      <c r="C1563" s="2" t="s">
        <v>18</v>
      </c>
      <c r="D1563" s="2" t="s">
        <v>23</v>
      </c>
      <c r="E1563" s="2" t="s">
        <v>20</v>
      </c>
      <c r="F1563" s="2" t="n">
        <v>386</v>
      </c>
      <c r="G1563" s="2" t="s">
        <v>20</v>
      </c>
      <c r="H1563" s="2" t="s">
        <v>26</v>
      </c>
      <c r="I1563" s="2" t="s">
        <v>21</v>
      </c>
      <c r="J1563" s="2" t="n">
        <v>19</v>
      </c>
      <c r="K1563" s="2" t="s">
        <v>46</v>
      </c>
      <c r="L1563" s="2" t="n">
        <v>74</v>
      </c>
      <c r="M1563" s="2" t="n">
        <v>1</v>
      </c>
      <c r="N1563" s="2" t="n">
        <v>152</v>
      </c>
      <c r="O1563" s="2" t="n">
        <v>1</v>
      </c>
      <c r="P1563" s="2" t="s">
        <v>50</v>
      </c>
      <c r="Q1563" s="2" t="s">
        <v>20</v>
      </c>
    </row>
    <row r="1564" customFormat="false" ht="15" hidden="false" customHeight="false" outlineLevel="0" collapsed="false">
      <c r="A1564" s="2" t="n">
        <v>43</v>
      </c>
      <c r="B1564" s="2" t="s">
        <v>34</v>
      </c>
      <c r="C1564" s="2" t="s">
        <v>18</v>
      </c>
      <c r="D1564" s="2" t="s">
        <v>19</v>
      </c>
      <c r="E1564" s="2" t="s">
        <v>20</v>
      </c>
      <c r="F1564" s="2" t="n">
        <v>7727</v>
      </c>
      <c r="G1564" s="2" t="s">
        <v>26</v>
      </c>
      <c r="H1564" s="2" t="s">
        <v>20</v>
      </c>
      <c r="I1564" s="2" t="s">
        <v>23</v>
      </c>
      <c r="J1564" s="2" t="n">
        <v>15</v>
      </c>
      <c r="K1564" s="2" t="s">
        <v>27</v>
      </c>
      <c r="L1564" s="2" t="n">
        <v>302</v>
      </c>
      <c r="M1564" s="2" t="n">
        <v>8</v>
      </c>
      <c r="N1564" s="2" t="n">
        <v>-1</v>
      </c>
      <c r="O1564" s="2" t="n">
        <v>0</v>
      </c>
      <c r="P1564" s="2" t="s">
        <v>23</v>
      </c>
      <c r="Q1564" s="2" t="s">
        <v>20</v>
      </c>
    </row>
    <row r="1565" customFormat="false" ht="15" hidden="false" customHeight="false" outlineLevel="0" collapsed="false">
      <c r="A1565" s="2" t="n">
        <v>55</v>
      </c>
      <c r="B1565" s="2" t="s">
        <v>39</v>
      </c>
      <c r="C1565" s="2" t="s">
        <v>18</v>
      </c>
      <c r="D1565" s="2" t="s">
        <v>25</v>
      </c>
      <c r="E1565" s="2" t="s">
        <v>20</v>
      </c>
      <c r="F1565" s="2" t="n">
        <v>204</v>
      </c>
      <c r="G1565" s="2" t="s">
        <v>20</v>
      </c>
      <c r="H1565" s="2" t="s">
        <v>20</v>
      </c>
      <c r="I1565" s="2" t="s">
        <v>21</v>
      </c>
      <c r="J1565" s="2" t="n">
        <v>14</v>
      </c>
      <c r="K1565" s="2" t="s">
        <v>44</v>
      </c>
      <c r="L1565" s="2" t="n">
        <v>455</v>
      </c>
      <c r="M1565" s="2" t="n">
        <v>13</v>
      </c>
      <c r="N1565" s="2" t="n">
        <v>-1</v>
      </c>
      <c r="O1565" s="2" t="n">
        <v>0</v>
      </c>
      <c r="P1565" s="2" t="s">
        <v>23</v>
      </c>
      <c r="Q1565" s="2" t="s">
        <v>20</v>
      </c>
    </row>
    <row r="1566" customFormat="false" ht="15" hidden="false" customHeight="false" outlineLevel="0" collapsed="false">
      <c r="A1566" s="2" t="n">
        <v>28</v>
      </c>
      <c r="B1566" s="2" t="s">
        <v>34</v>
      </c>
      <c r="C1566" s="2" t="s">
        <v>45</v>
      </c>
      <c r="D1566" s="2" t="s">
        <v>23</v>
      </c>
      <c r="E1566" s="2" t="s">
        <v>20</v>
      </c>
      <c r="F1566" s="2" t="n">
        <v>101</v>
      </c>
      <c r="G1566" s="2" t="s">
        <v>26</v>
      </c>
      <c r="H1566" s="2" t="s">
        <v>20</v>
      </c>
      <c r="I1566" s="2" t="s">
        <v>23</v>
      </c>
      <c r="J1566" s="2" t="n">
        <v>28</v>
      </c>
      <c r="K1566" s="2" t="s">
        <v>27</v>
      </c>
      <c r="L1566" s="2" t="n">
        <v>126</v>
      </c>
      <c r="M1566" s="2" t="n">
        <v>4</v>
      </c>
      <c r="N1566" s="2" t="n">
        <v>-1</v>
      </c>
      <c r="O1566" s="2" t="n">
        <v>0</v>
      </c>
      <c r="P1566" s="2" t="s">
        <v>23</v>
      </c>
      <c r="Q1566" s="2" t="s">
        <v>20</v>
      </c>
    </row>
    <row r="1567" customFormat="false" ht="15" hidden="false" customHeight="false" outlineLevel="0" collapsed="false">
      <c r="A1567" s="2" t="n">
        <v>45</v>
      </c>
      <c r="B1567" s="2" t="s">
        <v>17</v>
      </c>
      <c r="C1567" s="2" t="s">
        <v>45</v>
      </c>
      <c r="D1567" s="2" t="s">
        <v>25</v>
      </c>
      <c r="E1567" s="2" t="s">
        <v>20</v>
      </c>
      <c r="F1567" s="2" t="n">
        <v>728</v>
      </c>
      <c r="G1567" s="2" t="s">
        <v>26</v>
      </c>
      <c r="H1567" s="2" t="s">
        <v>26</v>
      </c>
      <c r="I1567" s="2" t="s">
        <v>21</v>
      </c>
      <c r="J1567" s="2" t="n">
        <v>18</v>
      </c>
      <c r="K1567" s="2" t="s">
        <v>46</v>
      </c>
      <c r="L1567" s="2" t="n">
        <v>107</v>
      </c>
      <c r="M1567" s="2" t="n">
        <v>1</v>
      </c>
      <c r="N1567" s="2" t="n">
        <v>-1</v>
      </c>
      <c r="O1567" s="2" t="n">
        <v>0</v>
      </c>
      <c r="P1567" s="2" t="s">
        <v>23</v>
      </c>
      <c r="Q1567" s="2" t="s">
        <v>20</v>
      </c>
    </row>
    <row r="1568" customFormat="false" ht="15" hidden="false" customHeight="false" outlineLevel="0" collapsed="false">
      <c r="A1568" s="2" t="n">
        <v>45</v>
      </c>
      <c r="B1568" s="2" t="s">
        <v>39</v>
      </c>
      <c r="C1568" s="2" t="s">
        <v>18</v>
      </c>
      <c r="D1568" s="2" t="s">
        <v>19</v>
      </c>
      <c r="E1568" s="2" t="s">
        <v>20</v>
      </c>
      <c r="F1568" s="2" t="n">
        <v>2418</v>
      </c>
      <c r="G1568" s="2" t="s">
        <v>26</v>
      </c>
      <c r="H1568" s="2" t="s">
        <v>20</v>
      </c>
      <c r="I1568" s="2" t="s">
        <v>23</v>
      </c>
      <c r="J1568" s="2" t="n">
        <v>14</v>
      </c>
      <c r="K1568" s="2" t="s">
        <v>27</v>
      </c>
      <c r="L1568" s="2" t="n">
        <v>120</v>
      </c>
      <c r="M1568" s="2" t="n">
        <v>1</v>
      </c>
      <c r="N1568" s="2" t="n">
        <v>-1</v>
      </c>
      <c r="O1568" s="2" t="n">
        <v>0</v>
      </c>
      <c r="P1568" s="2" t="s">
        <v>23</v>
      </c>
      <c r="Q1568" s="2" t="s">
        <v>20</v>
      </c>
    </row>
    <row r="1569" customFormat="false" ht="15" hidden="false" customHeight="false" outlineLevel="0" collapsed="false">
      <c r="A1569" s="2" t="n">
        <v>51</v>
      </c>
      <c r="B1569" s="2" t="s">
        <v>29</v>
      </c>
      <c r="C1569" s="2" t="s">
        <v>18</v>
      </c>
      <c r="D1569" s="2" t="s">
        <v>31</v>
      </c>
      <c r="E1569" s="2" t="s">
        <v>20</v>
      </c>
      <c r="F1569" s="2" t="n">
        <v>2934</v>
      </c>
      <c r="G1569" s="2" t="s">
        <v>26</v>
      </c>
      <c r="H1569" s="2" t="s">
        <v>20</v>
      </c>
      <c r="I1569" s="2" t="s">
        <v>21</v>
      </c>
      <c r="J1569" s="2" t="n">
        <v>18</v>
      </c>
      <c r="K1569" s="2" t="s">
        <v>46</v>
      </c>
      <c r="L1569" s="2" t="n">
        <v>727</v>
      </c>
      <c r="M1569" s="2" t="n">
        <v>4</v>
      </c>
      <c r="N1569" s="2" t="n">
        <v>-1</v>
      </c>
      <c r="O1569" s="2" t="n">
        <v>0</v>
      </c>
      <c r="P1569" s="2" t="s">
        <v>23</v>
      </c>
      <c r="Q1569" s="2" t="s">
        <v>20</v>
      </c>
    </row>
    <row r="1570" customFormat="false" ht="15" hidden="false" customHeight="false" outlineLevel="0" collapsed="false">
      <c r="A1570" s="2" t="n">
        <v>42</v>
      </c>
      <c r="B1570" s="2" t="s">
        <v>38</v>
      </c>
      <c r="C1570" s="2" t="s">
        <v>30</v>
      </c>
      <c r="D1570" s="2" t="s">
        <v>25</v>
      </c>
      <c r="E1570" s="2" t="s">
        <v>20</v>
      </c>
      <c r="F1570" s="2" t="n">
        <v>0</v>
      </c>
      <c r="G1570" s="2" t="s">
        <v>26</v>
      </c>
      <c r="H1570" s="2" t="s">
        <v>20</v>
      </c>
      <c r="I1570" s="2" t="s">
        <v>23</v>
      </c>
      <c r="J1570" s="2" t="n">
        <v>7</v>
      </c>
      <c r="K1570" s="2" t="s">
        <v>27</v>
      </c>
      <c r="L1570" s="2" t="n">
        <v>275</v>
      </c>
      <c r="M1570" s="2" t="n">
        <v>4</v>
      </c>
      <c r="N1570" s="2" t="n">
        <v>-1</v>
      </c>
      <c r="O1570" s="2" t="n">
        <v>0</v>
      </c>
      <c r="P1570" s="2" t="s">
        <v>23</v>
      </c>
      <c r="Q1570" s="2" t="s">
        <v>20</v>
      </c>
    </row>
    <row r="1571" customFormat="false" ht="15" hidden="false" customHeight="false" outlineLevel="0" collapsed="false">
      <c r="A1571" s="2" t="n">
        <v>43</v>
      </c>
      <c r="B1571" s="2" t="s">
        <v>23</v>
      </c>
      <c r="C1571" s="2" t="s">
        <v>30</v>
      </c>
      <c r="D1571" s="2" t="s">
        <v>23</v>
      </c>
      <c r="E1571" s="2" t="s">
        <v>20</v>
      </c>
      <c r="F1571" s="2" t="n">
        <v>181</v>
      </c>
      <c r="G1571" s="2" t="s">
        <v>20</v>
      </c>
      <c r="H1571" s="2" t="s">
        <v>20</v>
      </c>
      <c r="I1571" s="2" t="s">
        <v>49</v>
      </c>
      <c r="J1571" s="2" t="n">
        <v>28</v>
      </c>
      <c r="K1571" s="2" t="s">
        <v>43</v>
      </c>
      <c r="L1571" s="2" t="n">
        <v>41</v>
      </c>
      <c r="M1571" s="2" t="n">
        <v>1</v>
      </c>
      <c r="N1571" s="2" t="n">
        <v>-1</v>
      </c>
      <c r="O1571" s="2" t="n">
        <v>0</v>
      </c>
      <c r="P1571" s="2" t="s">
        <v>23</v>
      </c>
      <c r="Q1571" s="2" t="s">
        <v>20</v>
      </c>
    </row>
    <row r="1572" customFormat="false" ht="15" hidden="false" customHeight="false" outlineLevel="0" collapsed="false">
      <c r="A1572" s="2" t="n">
        <v>34</v>
      </c>
      <c r="B1572" s="2" t="s">
        <v>29</v>
      </c>
      <c r="C1572" s="2" t="s">
        <v>18</v>
      </c>
      <c r="D1572" s="2" t="s">
        <v>31</v>
      </c>
      <c r="E1572" s="2" t="s">
        <v>20</v>
      </c>
      <c r="F1572" s="2" t="n">
        <v>176</v>
      </c>
      <c r="G1572" s="2" t="s">
        <v>20</v>
      </c>
      <c r="H1572" s="2" t="s">
        <v>20</v>
      </c>
      <c r="I1572" s="2" t="s">
        <v>21</v>
      </c>
      <c r="J1572" s="2" t="n">
        <v>18</v>
      </c>
      <c r="K1572" s="2" t="s">
        <v>41</v>
      </c>
      <c r="L1572" s="2" t="n">
        <v>61</v>
      </c>
      <c r="M1572" s="2" t="n">
        <v>4</v>
      </c>
      <c r="N1572" s="2" t="n">
        <v>-1</v>
      </c>
      <c r="O1572" s="2" t="n">
        <v>0</v>
      </c>
      <c r="P1572" s="2" t="s">
        <v>23</v>
      </c>
      <c r="Q1572" s="2" t="s">
        <v>20</v>
      </c>
    </row>
    <row r="1573" customFormat="false" ht="15" hidden="false" customHeight="false" outlineLevel="0" collapsed="false">
      <c r="A1573" s="2" t="n">
        <v>36</v>
      </c>
      <c r="B1573" s="2" t="s">
        <v>34</v>
      </c>
      <c r="C1573" s="2" t="s">
        <v>18</v>
      </c>
      <c r="D1573" s="2" t="s">
        <v>19</v>
      </c>
      <c r="E1573" s="2" t="s">
        <v>20</v>
      </c>
      <c r="F1573" s="2" t="n">
        <v>49</v>
      </c>
      <c r="G1573" s="2" t="s">
        <v>26</v>
      </c>
      <c r="H1573" s="2" t="s">
        <v>20</v>
      </c>
      <c r="I1573" s="2" t="s">
        <v>21</v>
      </c>
      <c r="J1573" s="2" t="n">
        <v>15</v>
      </c>
      <c r="K1573" s="2" t="s">
        <v>27</v>
      </c>
      <c r="L1573" s="2" t="n">
        <v>232</v>
      </c>
      <c r="M1573" s="2" t="n">
        <v>2</v>
      </c>
      <c r="N1573" s="2" t="n">
        <v>365</v>
      </c>
      <c r="O1573" s="2" t="n">
        <v>5</v>
      </c>
      <c r="P1573" s="2" t="s">
        <v>37</v>
      </c>
      <c r="Q1573" s="2" t="s">
        <v>20</v>
      </c>
    </row>
    <row r="1574" customFormat="false" ht="15" hidden="false" customHeight="false" outlineLevel="0" collapsed="false">
      <c r="A1574" s="2" t="n">
        <v>37</v>
      </c>
      <c r="B1574" s="2" t="s">
        <v>34</v>
      </c>
      <c r="C1574" s="2" t="s">
        <v>18</v>
      </c>
      <c r="D1574" s="2" t="s">
        <v>25</v>
      </c>
      <c r="E1574" s="2" t="s">
        <v>20</v>
      </c>
      <c r="F1574" s="2" t="n">
        <v>2023</v>
      </c>
      <c r="G1574" s="2" t="s">
        <v>26</v>
      </c>
      <c r="H1574" s="2" t="s">
        <v>20</v>
      </c>
      <c r="I1574" s="2" t="s">
        <v>21</v>
      </c>
      <c r="J1574" s="2" t="n">
        <v>10</v>
      </c>
      <c r="K1574" s="2" t="s">
        <v>44</v>
      </c>
      <c r="L1574" s="2" t="n">
        <v>214</v>
      </c>
      <c r="M1574" s="2" t="n">
        <v>1</v>
      </c>
      <c r="N1574" s="2" t="n">
        <v>-1</v>
      </c>
      <c r="O1574" s="2" t="n">
        <v>0</v>
      </c>
      <c r="P1574" s="2" t="s">
        <v>23</v>
      </c>
      <c r="Q1574" s="2" t="s">
        <v>20</v>
      </c>
    </row>
    <row r="1575" customFormat="false" ht="15" hidden="false" customHeight="false" outlineLevel="0" collapsed="false">
      <c r="A1575" s="2" t="n">
        <v>50</v>
      </c>
      <c r="B1575" s="2" t="s">
        <v>34</v>
      </c>
      <c r="C1575" s="2" t="s">
        <v>18</v>
      </c>
      <c r="D1575" s="2" t="s">
        <v>25</v>
      </c>
      <c r="E1575" s="2" t="s">
        <v>20</v>
      </c>
      <c r="F1575" s="2" t="n">
        <v>372</v>
      </c>
      <c r="G1575" s="2" t="s">
        <v>26</v>
      </c>
      <c r="H1575" s="2" t="s">
        <v>20</v>
      </c>
      <c r="I1575" s="2" t="s">
        <v>49</v>
      </c>
      <c r="J1575" s="2" t="n">
        <v>11</v>
      </c>
      <c r="K1575" s="2" t="s">
        <v>27</v>
      </c>
      <c r="L1575" s="2" t="n">
        <v>21</v>
      </c>
      <c r="M1575" s="2" t="n">
        <v>1</v>
      </c>
      <c r="N1575" s="2" t="n">
        <v>-1</v>
      </c>
      <c r="O1575" s="2" t="n">
        <v>0</v>
      </c>
      <c r="P1575" s="2" t="s">
        <v>23</v>
      </c>
      <c r="Q1575" s="2" t="s">
        <v>20</v>
      </c>
    </row>
    <row r="1576" customFormat="false" ht="15" hidden="false" customHeight="false" outlineLevel="0" collapsed="false">
      <c r="A1576" s="2" t="n">
        <v>42</v>
      </c>
      <c r="B1576" s="2" t="s">
        <v>29</v>
      </c>
      <c r="C1576" s="2" t="s">
        <v>45</v>
      </c>
      <c r="D1576" s="2" t="s">
        <v>23</v>
      </c>
      <c r="E1576" s="2" t="s">
        <v>20</v>
      </c>
      <c r="F1576" s="2" t="n">
        <v>7702</v>
      </c>
      <c r="G1576" s="2" t="s">
        <v>20</v>
      </c>
      <c r="H1576" s="2" t="s">
        <v>20</v>
      </c>
      <c r="I1576" s="2" t="s">
        <v>21</v>
      </c>
      <c r="J1576" s="2" t="n">
        <v>16</v>
      </c>
      <c r="K1576" s="2" t="s">
        <v>35</v>
      </c>
      <c r="L1576" s="2" t="n">
        <v>138</v>
      </c>
      <c r="M1576" s="2" t="n">
        <v>2</v>
      </c>
      <c r="N1576" s="2" t="n">
        <v>-1</v>
      </c>
      <c r="O1576" s="2" t="n">
        <v>0</v>
      </c>
      <c r="P1576" s="2" t="s">
        <v>23</v>
      </c>
      <c r="Q1576" s="2" t="s">
        <v>26</v>
      </c>
    </row>
    <row r="1577" customFormat="false" ht="15" hidden="false" customHeight="false" outlineLevel="0" collapsed="false">
      <c r="A1577" s="2" t="n">
        <v>34</v>
      </c>
      <c r="B1577" s="2" t="s">
        <v>34</v>
      </c>
      <c r="C1577" s="2" t="s">
        <v>30</v>
      </c>
      <c r="D1577" s="2" t="s">
        <v>19</v>
      </c>
      <c r="E1577" s="2" t="s">
        <v>20</v>
      </c>
      <c r="F1577" s="2" t="n">
        <v>464</v>
      </c>
      <c r="G1577" s="2" t="s">
        <v>26</v>
      </c>
      <c r="H1577" s="2" t="s">
        <v>20</v>
      </c>
      <c r="I1577" s="2" t="s">
        <v>21</v>
      </c>
      <c r="J1577" s="2" t="n">
        <v>18</v>
      </c>
      <c r="K1577" s="2" t="s">
        <v>27</v>
      </c>
      <c r="L1577" s="2" t="n">
        <v>173</v>
      </c>
      <c r="M1577" s="2" t="n">
        <v>1</v>
      </c>
      <c r="N1577" s="2" t="n">
        <v>299</v>
      </c>
      <c r="O1577" s="2" t="n">
        <v>2</v>
      </c>
      <c r="P1577" s="2" t="s">
        <v>37</v>
      </c>
      <c r="Q1577" s="2" t="s">
        <v>20</v>
      </c>
    </row>
    <row r="1578" customFormat="false" ht="15" hidden="false" customHeight="false" outlineLevel="0" collapsed="false">
      <c r="A1578" s="2" t="n">
        <v>48</v>
      </c>
      <c r="B1578" s="2" t="s">
        <v>29</v>
      </c>
      <c r="C1578" s="2" t="s">
        <v>18</v>
      </c>
      <c r="D1578" s="2" t="s">
        <v>25</v>
      </c>
      <c r="E1578" s="2" t="s">
        <v>20</v>
      </c>
      <c r="F1578" s="2" t="n">
        <v>117</v>
      </c>
      <c r="G1578" s="2" t="s">
        <v>26</v>
      </c>
      <c r="H1578" s="2" t="s">
        <v>20</v>
      </c>
      <c r="I1578" s="2" t="s">
        <v>21</v>
      </c>
      <c r="J1578" s="2" t="n">
        <v>16</v>
      </c>
      <c r="K1578" s="2" t="s">
        <v>32</v>
      </c>
      <c r="L1578" s="2" t="n">
        <v>635</v>
      </c>
      <c r="M1578" s="2" t="n">
        <v>1</v>
      </c>
      <c r="N1578" s="2" t="n">
        <v>-1</v>
      </c>
      <c r="O1578" s="2" t="n">
        <v>0</v>
      </c>
      <c r="P1578" s="2" t="s">
        <v>23</v>
      </c>
      <c r="Q1578" s="2" t="s">
        <v>20</v>
      </c>
    </row>
    <row r="1579" customFormat="false" ht="15" hidden="false" customHeight="false" outlineLevel="0" collapsed="false">
      <c r="A1579" s="2" t="n">
        <v>47</v>
      </c>
      <c r="B1579" s="2" t="s">
        <v>40</v>
      </c>
      <c r="C1579" s="2" t="s">
        <v>18</v>
      </c>
      <c r="D1579" s="2" t="s">
        <v>25</v>
      </c>
      <c r="E1579" s="2" t="s">
        <v>20</v>
      </c>
      <c r="F1579" s="2" t="n">
        <v>104</v>
      </c>
      <c r="G1579" s="2" t="s">
        <v>26</v>
      </c>
      <c r="H1579" s="2" t="s">
        <v>26</v>
      </c>
      <c r="I1579" s="2" t="s">
        <v>21</v>
      </c>
      <c r="J1579" s="2" t="n">
        <v>14</v>
      </c>
      <c r="K1579" s="2" t="s">
        <v>44</v>
      </c>
      <c r="L1579" s="2" t="n">
        <v>77</v>
      </c>
      <c r="M1579" s="2" t="n">
        <v>2</v>
      </c>
      <c r="N1579" s="2" t="n">
        <v>-1</v>
      </c>
      <c r="O1579" s="2" t="n">
        <v>0</v>
      </c>
      <c r="P1579" s="2" t="s">
        <v>23</v>
      </c>
      <c r="Q1579" s="2" t="s">
        <v>20</v>
      </c>
    </row>
    <row r="1580" customFormat="false" ht="15" hidden="false" customHeight="false" outlineLevel="0" collapsed="false">
      <c r="A1580" s="2" t="n">
        <v>40</v>
      </c>
      <c r="B1580" s="2" t="s">
        <v>29</v>
      </c>
      <c r="C1580" s="2" t="s">
        <v>18</v>
      </c>
      <c r="D1580" s="2" t="s">
        <v>31</v>
      </c>
      <c r="E1580" s="2" t="s">
        <v>20</v>
      </c>
      <c r="F1580" s="2" t="n">
        <v>1041</v>
      </c>
      <c r="G1580" s="2" t="s">
        <v>26</v>
      </c>
      <c r="H1580" s="2" t="s">
        <v>20</v>
      </c>
      <c r="I1580" s="2" t="s">
        <v>23</v>
      </c>
      <c r="J1580" s="2" t="n">
        <v>12</v>
      </c>
      <c r="K1580" s="2" t="s">
        <v>33</v>
      </c>
      <c r="L1580" s="2" t="n">
        <v>73</v>
      </c>
      <c r="M1580" s="2" t="n">
        <v>1</v>
      </c>
      <c r="N1580" s="2" t="n">
        <v>-1</v>
      </c>
      <c r="O1580" s="2" t="n">
        <v>0</v>
      </c>
      <c r="P1580" s="2" t="s">
        <v>23</v>
      </c>
      <c r="Q1580" s="2" t="s">
        <v>20</v>
      </c>
    </row>
    <row r="1581" customFormat="false" ht="15" hidden="false" customHeight="false" outlineLevel="0" collapsed="false">
      <c r="A1581" s="2" t="n">
        <v>37</v>
      </c>
      <c r="B1581" s="2" t="s">
        <v>29</v>
      </c>
      <c r="C1581" s="2" t="s">
        <v>18</v>
      </c>
      <c r="D1581" s="2" t="s">
        <v>31</v>
      </c>
      <c r="E1581" s="2" t="s">
        <v>20</v>
      </c>
      <c r="F1581" s="2" t="n">
        <v>539</v>
      </c>
      <c r="G1581" s="2" t="s">
        <v>20</v>
      </c>
      <c r="H1581" s="2" t="s">
        <v>20</v>
      </c>
      <c r="I1581" s="2" t="s">
        <v>21</v>
      </c>
      <c r="J1581" s="2" t="n">
        <v>18</v>
      </c>
      <c r="K1581" s="2" t="s">
        <v>43</v>
      </c>
      <c r="L1581" s="2" t="n">
        <v>540</v>
      </c>
      <c r="M1581" s="2" t="n">
        <v>2</v>
      </c>
      <c r="N1581" s="2" t="n">
        <v>115</v>
      </c>
      <c r="O1581" s="2" t="n">
        <v>3</v>
      </c>
      <c r="P1581" s="2" t="s">
        <v>28</v>
      </c>
      <c r="Q1581" s="2" t="s">
        <v>20</v>
      </c>
    </row>
    <row r="1582" customFormat="false" ht="15" hidden="false" customHeight="false" outlineLevel="0" collapsed="false">
      <c r="A1582" s="2" t="n">
        <v>38</v>
      </c>
      <c r="B1582" s="2" t="s">
        <v>34</v>
      </c>
      <c r="C1582" s="2" t="s">
        <v>18</v>
      </c>
      <c r="D1582" s="2" t="s">
        <v>19</v>
      </c>
      <c r="E1582" s="2" t="s">
        <v>20</v>
      </c>
      <c r="F1582" s="2" t="n">
        <v>0</v>
      </c>
      <c r="G1582" s="2" t="s">
        <v>26</v>
      </c>
      <c r="H1582" s="2" t="s">
        <v>20</v>
      </c>
      <c r="I1582" s="2" t="s">
        <v>23</v>
      </c>
      <c r="J1582" s="2" t="n">
        <v>3</v>
      </c>
      <c r="K1582" s="2" t="s">
        <v>33</v>
      </c>
      <c r="L1582" s="2" t="n">
        <v>179</v>
      </c>
      <c r="M1582" s="2" t="n">
        <v>2</v>
      </c>
      <c r="N1582" s="2" t="n">
        <v>-1</v>
      </c>
      <c r="O1582" s="2" t="n">
        <v>0</v>
      </c>
      <c r="P1582" s="2" t="s">
        <v>23</v>
      </c>
      <c r="Q1582" s="2" t="s">
        <v>20</v>
      </c>
    </row>
    <row r="1583" customFormat="false" ht="15" hidden="false" customHeight="false" outlineLevel="0" collapsed="false">
      <c r="A1583" s="2" t="n">
        <v>29</v>
      </c>
      <c r="B1583" s="2" t="s">
        <v>38</v>
      </c>
      <c r="C1583" s="2" t="s">
        <v>30</v>
      </c>
      <c r="D1583" s="2" t="s">
        <v>31</v>
      </c>
      <c r="E1583" s="2" t="s">
        <v>20</v>
      </c>
      <c r="F1583" s="2" t="n">
        <v>406</v>
      </c>
      <c r="G1583" s="2" t="s">
        <v>26</v>
      </c>
      <c r="H1583" s="2" t="s">
        <v>20</v>
      </c>
      <c r="I1583" s="2" t="s">
        <v>21</v>
      </c>
      <c r="J1583" s="2" t="n">
        <v>17</v>
      </c>
      <c r="K1583" s="2" t="s">
        <v>44</v>
      </c>
      <c r="L1583" s="2" t="n">
        <v>119</v>
      </c>
      <c r="M1583" s="2" t="n">
        <v>1</v>
      </c>
      <c r="N1583" s="2" t="n">
        <v>-1</v>
      </c>
      <c r="O1583" s="2" t="n">
        <v>0</v>
      </c>
      <c r="P1583" s="2" t="s">
        <v>23</v>
      </c>
      <c r="Q1583" s="2" t="s">
        <v>20</v>
      </c>
    </row>
    <row r="1584" customFormat="false" ht="15" hidden="false" customHeight="false" outlineLevel="0" collapsed="false">
      <c r="A1584" s="2" t="n">
        <v>46</v>
      </c>
      <c r="B1584" s="2" t="s">
        <v>34</v>
      </c>
      <c r="C1584" s="2" t="s">
        <v>18</v>
      </c>
      <c r="D1584" s="2" t="s">
        <v>19</v>
      </c>
      <c r="E1584" s="2" t="s">
        <v>20</v>
      </c>
      <c r="F1584" s="2" t="n">
        <v>2558</v>
      </c>
      <c r="G1584" s="2" t="s">
        <v>26</v>
      </c>
      <c r="H1584" s="2" t="s">
        <v>20</v>
      </c>
      <c r="I1584" s="2" t="s">
        <v>49</v>
      </c>
      <c r="J1584" s="2" t="n">
        <v>20</v>
      </c>
      <c r="K1584" s="2" t="s">
        <v>46</v>
      </c>
      <c r="L1584" s="2" t="n">
        <v>107</v>
      </c>
      <c r="M1584" s="2" t="n">
        <v>1</v>
      </c>
      <c r="N1584" s="2" t="n">
        <v>167</v>
      </c>
      <c r="O1584" s="2" t="n">
        <v>1</v>
      </c>
      <c r="P1584" s="2" t="s">
        <v>37</v>
      </c>
      <c r="Q1584" s="2" t="s">
        <v>20</v>
      </c>
    </row>
    <row r="1585" customFormat="false" ht="15" hidden="false" customHeight="false" outlineLevel="0" collapsed="false">
      <c r="A1585" s="2" t="n">
        <v>26</v>
      </c>
      <c r="B1585" s="2" t="s">
        <v>34</v>
      </c>
      <c r="C1585" s="2" t="s">
        <v>18</v>
      </c>
      <c r="D1585" s="2" t="s">
        <v>25</v>
      </c>
      <c r="E1585" s="2" t="s">
        <v>20</v>
      </c>
      <c r="F1585" s="2" t="n">
        <v>484</v>
      </c>
      <c r="G1585" s="2" t="s">
        <v>26</v>
      </c>
      <c r="H1585" s="2" t="s">
        <v>20</v>
      </c>
      <c r="I1585" s="2" t="s">
        <v>23</v>
      </c>
      <c r="J1585" s="2" t="n">
        <v>19</v>
      </c>
      <c r="K1585" s="2" t="s">
        <v>27</v>
      </c>
      <c r="L1585" s="2" t="n">
        <v>48</v>
      </c>
      <c r="M1585" s="2" t="n">
        <v>2</v>
      </c>
      <c r="N1585" s="2" t="n">
        <v>-1</v>
      </c>
      <c r="O1585" s="2" t="n">
        <v>0</v>
      </c>
      <c r="P1585" s="2" t="s">
        <v>23</v>
      </c>
      <c r="Q1585" s="2" t="s">
        <v>20</v>
      </c>
    </row>
    <row r="1586" customFormat="false" ht="15" hidden="false" customHeight="false" outlineLevel="0" collapsed="false">
      <c r="A1586" s="2" t="n">
        <v>30</v>
      </c>
      <c r="B1586" s="2" t="s">
        <v>24</v>
      </c>
      <c r="C1586" s="2" t="s">
        <v>30</v>
      </c>
      <c r="D1586" s="2" t="s">
        <v>31</v>
      </c>
      <c r="E1586" s="2" t="s">
        <v>20</v>
      </c>
      <c r="F1586" s="2" t="n">
        <v>3516</v>
      </c>
      <c r="G1586" s="2" t="s">
        <v>26</v>
      </c>
      <c r="H1586" s="2" t="s">
        <v>20</v>
      </c>
      <c r="I1586" s="2" t="s">
        <v>23</v>
      </c>
      <c r="J1586" s="2" t="n">
        <v>29</v>
      </c>
      <c r="K1586" s="2" t="s">
        <v>27</v>
      </c>
      <c r="L1586" s="2" t="n">
        <v>447</v>
      </c>
      <c r="M1586" s="2" t="n">
        <v>4</v>
      </c>
      <c r="N1586" s="2" t="n">
        <v>-1</v>
      </c>
      <c r="O1586" s="2" t="n">
        <v>0</v>
      </c>
      <c r="P1586" s="2" t="s">
        <v>23</v>
      </c>
      <c r="Q1586" s="2" t="s">
        <v>20</v>
      </c>
    </row>
    <row r="1587" customFormat="false" ht="15" hidden="false" customHeight="false" outlineLevel="0" collapsed="false">
      <c r="A1587" s="2" t="n">
        <v>42</v>
      </c>
      <c r="B1587" s="2" t="s">
        <v>34</v>
      </c>
      <c r="C1587" s="2" t="s">
        <v>18</v>
      </c>
      <c r="D1587" s="2" t="s">
        <v>25</v>
      </c>
      <c r="E1587" s="2" t="s">
        <v>20</v>
      </c>
      <c r="F1587" s="2" t="n">
        <v>5639</v>
      </c>
      <c r="G1587" s="2" t="s">
        <v>26</v>
      </c>
      <c r="H1587" s="2" t="s">
        <v>20</v>
      </c>
      <c r="I1587" s="2" t="s">
        <v>21</v>
      </c>
      <c r="J1587" s="2" t="n">
        <v>17</v>
      </c>
      <c r="K1587" s="2" t="s">
        <v>44</v>
      </c>
      <c r="L1587" s="2" t="n">
        <v>430</v>
      </c>
      <c r="M1587" s="2" t="n">
        <v>2</v>
      </c>
      <c r="N1587" s="2" t="n">
        <v>-1</v>
      </c>
      <c r="O1587" s="2" t="n">
        <v>0</v>
      </c>
      <c r="P1587" s="2" t="s">
        <v>23</v>
      </c>
      <c r="Q1587" s="2" t="s">
        <v>20</v>
      </c>
    </row>
    <row r="1588" customFormat="false" ht="15" hidden="false" customHeight="false" outlineLevel="0" collapsed="false">
      <c r="A1588" s="2" t="n">
        <v>42</v>
      </c>
      <c r="B1588" s="2" t="s">
        <v>29</v>
      </c>
      <c r="C1588" s="2" t="s">
        <v>30</v>
      </c>
      <c r="D1588" s="2" t="s">
        <v>31</v>
      </c>
      <c r="E1588" s="2" t="s">
        <v>20</v>
      </c>
      <c r="F1588" s="2" t="n">
        <v>100</v>
      </c>
      <c r="G1588" s="2" t="s">
        <v>20</v>
      </c>
      <c r="H1588" s="2" t="s">
        <v>20</v>
      </c>
      <c r="I1588" s="2" t="s">
        <v>21</v>
      </c>
      <c r="J1588" s="2" t="n">
        <v>7</v>
      </c>
      <c r="K1588" s="2" t="s">
        <v>41</v>
      </c>
      <c r="L1588" s="2" t="n">
        <v>64</v>
      </c>
      <c r="M1588" s="2" t="n">
        <v>2</v>
      </c>
      <c r="N1588" s="2" t="n">
        <v>-1</v>
      </c>
      <c r="O1588" s="2" t="n">
        <v>0</v>
      </c>
      <c r="P1588" s="2" t="s">
        <v>23</v>
      </c>
      <c r="Q1588" s="2" t="s">
        <v>20</v>
      </c>
    </row>
    <row r="1589" customFormat="false" ht="15" hidden="false" customHeight="false" outlineLevel="0" collapsed="false">
      <c r="A1589" s="2" t="n">
        <v>31</v>
      </c>
      <c r="B1589" s="2" t="s">
        <v>40</v>
      </c>
      <c r="C1589" s="2" t="s">
        <v>30</v>
      </c>
      <c r="D1589" s="2" t="s">
        <v>25</v>
      </c>
      <c r="E1589" s="2" t="s">
        <v>20</v>
      </c>
      <c r="F1589" s="2" t="n">
        <v>1306</v>
      </c>
      <c r="G1589" s="2" t="s">
        <v>26</v>
      </c>
      <c r="H1589" s="2" t="s">
        <v>20</v>
      </c>
      <c r="I1589" s="2" t="s">
        <v>23</v>
      </c>
      <c r="J1589" s="2" t="n">
        <v>28</v>
      </c>
      <c r="K1589" s="2" t="s">
        <v>27</v>
      </c>
      <c r="L1589" s="2" t="n">
        <v>217</v>
      </c>
      <c r="M1589" s="2" t="n">
        <v>5</v>
      </c>
      <c r="N1589" s="2" t="n">
        <v>-1</v>
      </c>
      <c r="O1589" s="2" t="n">
        <v>0</v>
      </c>
      <c r="P1589" s="2" t="s">
        <v>23</v>
      </c>
      <c r="Q1589" s="2" t="s">
        <v>20</v>
      </c>
    </row>
    <row r="1590" customFormat="false" ht="15" hidden="false" customHeight="false" outlineLevel="0" collapsed="false">
      <c r="A1590" s="2" t="n">
        <v>37</v>
      </c>
      <c r="B1590" s="2" t="s">
        <v>29</v>
      </c>
      <c r="C1590" s="2" t="s">
        <v>30</v>
      </c>
      <c r="D1590" s="2" t="s">
        <v>31</v>
      </c>
      <c r="E1590" s="2" t="s">
        <v>20</v>
      </c>
      <c r="F1590" s="2" t="n">
        <v>815</v>
      </c>
      <c r="G1590" s="2" t="s">
        <v>26</v>
      </c>
      <c r="H1590" s="2" t="s">
        <v>20</v>
      </c>
      <c r="I1590" s="2" t="s">
        <v>21</v>
      </c>
      <c r="J1590" s="2" t="n">
        <v>7</v>
      </c>
      <c r="K1590" s="2" t="s">
        <v>27</v>
      </c>
      <c r="L1590" s="2" t="n">
        <v>77</v>
      </c>
      <c r="M1590" s="2" t="n">
        <v>1</v>
      </c>
      <c r="N1590" s="2" t="n">
        <v>-1</v>
      </c>
      <c r="O1590" s="2" t="n">
        <v>0</v>
      </c>
      <c r="P1590" s="2" t="s">
        <v>23</v>
      </c>
      <c r="Q1590" s="2" t="s">
        <v>20</v>
      </c>
    </row>
    <row r="1591" customFormat="false" ht="15" hidden="false" customHeight="false" outlineLevel="0" collapsed="false">
      <c r="A1591" s="2" t="n">
        <v>26</v>
      </c>
      <c r="B1591" s="2" t="s">
        <v>34</v>
      </c>
      <c r="C1591" s="2" t="s">
        <v>18</v>
      </c>
      <c r="D1591" s="2" t="s">
        <v>25</v>
      </c>
      <c r="E1591" s="2" t="s">
        <v>20</v>
      </c>
      <c r="F1591" s="2" t="n">
        <v>245</v>
      </c>
      <c r="G1591" s="2" t="s">
        <v>26</v>
      </c>
      <c r="H1591" s="2" t="s">
        <v>20</v>
      </c>
      <c r="I1591" s="2" t="s">
        <v>23</v>
      </c>
      <c r="J1591" s="2" t="n">
        <v>26</v>
      </c>
      <c r="K1591" s="2" t="s">
        <v>27</v>
      </c>
      <c r="L1591" s="2" t="n">
        <v>16</v>
      </c>
      <c r="M1591" s="2" t="n">
        <v>11</v>
      </c>
      <c r="N1591" s="2" t="n">
        <v>-1</v>
      </c>
      <c r="O1591" s="2" t="n">
        <v>0</v>
      </c>
      <c r="P1591" s="2" t="s">
        <v>23</v>
      </c>
      <c r="Q1591" s="2" t="s">
        <v>20</v>
      </c>
    </row>
    <row r="1592" customFormat="false" ht="15" hidden="false" customHeight="false" outlineLevel="0" collapsed="false">
      <c r="A1592" s="2" t="n">
        <v>54</v>
      </c>
      <c r="B1592" s="2" t="s">
        <v>34</v>
      </c>
      <c r="C1592" s="2" t="s">
        <v>18</v>
      </c>
      <c r="D1592" s="2" t="s">
        <v>23</v>
      </c>
      <c r="E1592" s="2" t="s">
        <v>20</v>
      </c>
      <c r="F1592" s="2" t="n">
        <v>191</v>
      </c>
      <c r="G1592" s="2" t="s">
        <v>20</v>
      </c>
      <c r="H1592" s="2" t="s">
        <v>20</v>
      </c>
      <c r="I1592" s="2" t="s">
        <v>21</v>
      </c>
      <c r="J1592" s="2" t="n">
        <v>4</v>
      </c>
      <c r="K1592" s="2" t="s">
        <v>41</v>
      </c>
      <c r="L1592" s="2" t="n">
        <v>753</v>
      </c>
      <c r="M1592" s="2" t="n">
        <v>2</v>
      </c>
      <c r="N1592" s="2" t="n">
        <v>-1</v>
      </c>
      <c r="O1592" s="2" t="n">
        <v>0</v>
      </c>
      <c r="P1592" s="2" t="s">
        <v>23</v>
      </c>
      <c r="Q1592" s="2" t="s">
        <v>20</v>
      </c>
    </row>
    <row r="1593" customFormat="false" ht="15" hidden="false" customHeight="false" outlineLevel="0" collapsed="false">
      <c r="A1593" s="2" t="n">
        <v>70</v>
      </c>
      <c r="B1593" s="2" t="s">
        <v>48</v>
      </c>
      <c r="C1593" s="2" t="s">
        <v>18</v>
      </c>
      <c r="D1593" s="2" t="s">
        <v>25</v>
      </c>
      <c r="E1593" s="2" t="s">
        <v>20</v>
      </c>
      <c r="F1593" s="2" t="n">
        <v>2815</v>
      </c>
      <c r="G1593" s="2" t="s">
        <v>20</v>
      </c>
      <c r="H1593" s="2" t="s">
        <v>20</v>
      </c>
      <c r="I1593" s="2" t="s">
        <v>21</v>
      </c>
      <c r="J1593" s="2" t="n">
        <v>26</v>
      </c>
      <c r="K1593" s="2" t="s">
        <v>32</v>
      </c>
      <c r="L1593" s="2" t="n">
        <v>125</v>
      </c>
      <c r="M1593" s="2" t="n">
        <v>2</v>
      </c>
      <c r="N1593" s="2" t="n">
        <v>182</v>
      </c>
      <c r="O1593" s="2" t="n">
        <v>1</v>
      </c>
      <c r="P1593" s="2" t="s">
        <v>28</v>
      </c>
      <c r="Q1593" s="2" t="s">
        <v>20</v>
      </c>
    </row>
    <row r="1594" customFormat="false" ht="15" hidden="false" customHeight="false" outlineLevel="0" collapsed="false">
      <c r="A1594" s="2" t="n">
        <v>29</v>
      </c>
      <c r="B1594" s="2" t="s">
        <v>36</v>
      </c>
      <c r="C1594" s="2" t="s">
        <v>30</v>
      </c>
      <c r="D1594" s="2" t="s">
        <v>25</v>
      </c>
      <c r="E1594" s="2" t="s">
        <v>20</v>
      </c>
      <c r="F1594" s="2" t="n">
        <v>3672</v>
      </c>
      <c r="G1594" s="2" t="s">
        <v>26</v>
      </c>
      <c r="H1594" s="2" t="s">
        <v>26</v>
      </c>
      <c r="I1594" s="2" t="s">
        <v>23</v>
      </c>
      <c r="J1594" s="2" t="n">
        <v>28</v>
      </c>
      <c r="K1594" s="2" t="s">
        <v>27</v>
      </c>
      <c r="L1594" s="2" t="n">
        <v>1210</v>
      </c>
      <c r="M1594" s="2" t="n">
        <v>1</v>
      </c>
      <c r="N1594" s="2" t="n">
        <v>-1</v>
      </c>
      <c r="O1594" s="2" t="n">
        <v>0</v>
      </c>
      <c r="P1594" s="2" t="s">
        <v>23</v>
      </c>
      <c r="Q1594" s="2" t="s">
        <v>20</v>
      </c>
    </row>
    <row r="1595" customFormat="false" ht="15" hidden="false" customHeight="false" outlineLevel="0" collapsed="false">
      <c r="A1595" s="2" t="n">
        <v>50</v>
      </c>
      <c r="B1595" s="2" t="s">
        <v>24</v>
      </c>
      <c r="C1595" s="2" t="s">
        <v>18</v>
      </c>
      <c r="D1595" s="2" t="s">
        <v>25</v>
      </c>
      <c r="E1595" s="2" t="s">
        <v>20</v>
      </c>
      <c r="F1595" s="2" t="n">
        <v>1572</v>
      </c>
      <c r="G1595" s="2" t="s">
        <v>26</v>
      </c>
      <c r="H1595" s="2" t="s">
        <v>20</v>
      </c>
      <c r="I1595" s="2" t="s">
        <v>21</v>
      </c>
      <c r="J1595" s="2" t="n">
        <v>9</v>
      </c>
      <c r="K1595" s="2" t="s">
        <v>44</v>
      </c>
      <c r="L1595" s="2" t="n">
        <v>185</v>
      </c>
      <c r="M1595" s="2" t="n">
        <v>1</v>
      </c>
      <c r="N1595" s="2" t="n">
        <v>-1</v>
      </c>
      <c r="O1595" s="2" t="n">
        <v>0</v>
      </c>
      <c r="P1595" s="2" t="s">
        <v>23</v>
      </c>
      <c r="Q1595" s="2" t="s">
        <v>20</v>
      </c>
    </row>
    <row r="1596" customFormat="false" ht="15" hidden="false" customHeight="false" outlineLevel="0" collapsed="false">
      <c r="A1596" s="2" t="n">
        <v>60</v>
      </c>
      <c r="B1596" s="2" t="s">
        <v>17</v>
      </c>
      <c r="C1596" s="2" t="s">
        <v>45</v>
      </c>
      <c r="D1596" s="2" t="s">
        <v>25</v>
      </c>
      <c r="E1596" s="2" t="s">
        <v>20</v>
      </c>
      <c r="F1596" s="2" t="n">
        <v>385</v>
      </c>
      <c r="G1596" s="2" t="s">
        <v>26</v>
      </c>
      <c r="H1596" s="2" t="s">
        <v>20</v>
      </c>
      <c r="I1596" s="2" t="s">
        <v>21</v>
      </c>
      <c r="J1596" s="2" t="n">
        <v>4</v>
      </c>
      <c r="K1596" s="2" t="s">
        <v>35</v>
      </c>
      <c r="L1596" s="2" t="n">
        <v>80</v>
      </c>
      <c r="M1596" s="2" t="n">
        <v>1</v>
      </c>
      <c r="N1596" s="2" t="n">
        <v>-1</v>
      </c>
      <c r="O1596" s="2" t="n">
        <v>0</v>
      </c>
      <c r="P1596" s="2" t="s">
        <v>23</v>
      </c>
      <c r="Q1596" s="2" t="s">
        <v>20</v>
      </c>
    </row>
    <row r="1597" customFormat="false" ht="15" hidden="false" customHeight="false" outlineLevel="0" collapsed="false">
      <c r="A1597" s="2" t="n">
        <v>32</v>
      </c>
      <c r="B1597" s="2" t="s">
        <v>38</v>
      </c>
      <c r="C1597" s="2" t="s">
        <v>30</v>
      </c>
      <c r="D1597" s="2" t="s">
        <v>25</v>
      </c>
      <c r="E1597" s="2" t="s">
        <v>20</v>
      </c>
      <c r="F1597" s="2" t="n">
        <v>29</v>
      </c>
      <c r="G1597" s="2" t="s">
        <v>20</v>
      </c>
      <c r="H1597" s="2" t="s">
        <v>20</v>
      </c>
      <c r="I1597" s="2" t="s">
        <v>21</v>
      </c>
      <c r="J1597" s="2" t="n">
        <v>19</v>
      </c>
      <c r="K1597" s="2" t="s">
        <v>41</v>
      </c>
      <c r="L1597" s="2" t="n">
        <v>156</v>
      </c>
      <c r="M1597" s="2" t="n">
        <v>2</v>
      </c>
      <c r="N1597" s="2" t="n">
        <v>-1</v>
      </c>
      <c r="O1597" s="2" t="n">
        <v>0</v>
      </c>
      <c r="P1597" s="2" t="s">
        <v>23</v>
      </c>
      <c r="Q1597" s="2" t="s">
        <v>20</v>
      </c>
    </row>
    <row r="1598" customFormat="false" ht="15" hidden="false" customHeight="false" outlineLevel="0" collapsed="false">
      <c r="A1598" s="2" t="n">
        <v>32</v>
      </c>
      <c r="B1598" s="2" t="s">
        <v>38</v>
      </c>
      <c r="C1598" s="2" t="s">
        <v>18</v>
      </c>
      <c r="D1598" s="2" t="s">
        <v>25</v>
      </c>
      <c r="E1598" s="2" t="s">
        <v>20</v>
      </c>
      <c r="F1598" s="2" t="n">
        <v>84</v>
      </c>
      <c r="G1598" s="2" t="s">
        <v>20</v>
      </c>
      <c r="H1598" s="2" t="s">
        <v>26</v>
      </c>
      <c r="I1598" s="2" t="s">
        <v>21</v>
      </c>
      <c r="J1598" s="2" t="n">
        <v>29</v>
      </c>
      <c r="K1598" s="2" t="s">
        <v>44</v>
      </c>
      <c r="L1598" s="2" t="n">
        <v>403</v>
      </c>
      <c r="M1598" s="2" t="n">
        <v>3</v>
      </c>
      <c r="N1598" s="2" t="n">
        <v>-1</v>
      </c>
      <c r="O1598" s="2" t="n">
        <v>0</v>
      </c>
      <c r="P1598" s="2" t="s">
        <v>23</v>
      </c>
      <c r="Q1598" s="2" t="s">
        <v>20</v>
      </c>
    </row>
    <row r="1599" customFormat="false" ht="15" hidden="false" customHeight="false" outlineLevel="0" collapsed="false">
      <c r="A1599" s="2" t="n">
        <v>34</v>
      </c>
      <c r="B1599" s="2" t="s">
        <v>36</v>
      </c>
      <c r="C1599" s="2" t="s">
        <v>30</v>
      </c>
      <c r="D1599" s="2" t="s">
        <v>31</v>
      </c>
      <c r="E1599" s="2" t="s">
        <v>20</v>
      </c>
      <c r="F1599" s="2" t="n">
        <v>876</v>
      </c>
      <c r="G1599" s="2" t="s">
        <v>26</v>
      </c>
      <c r="H1599" s="2" t="s">
        <v>20</v>
      </c>
      <c r="I1599" s="2" t="s">
        <v>21</v>
      </c>
      <c r="J1599" s="2" t="n">
        <v>17</v>
      </c>
      <c r="K1599" s="2" t="s">
        <v>46</v>
      </c>
      <c r="L1599" s="2" t="n">
        <v>145</v>
      </c>
      <c r="M1599" s="2" t="n">
        <v>2</v>
      </c>
      <c r="N1599" s="2" t="n">
        <v>-1</v>
      </c>
      <c r="O1599" s="2" t="n">
        <v>0</v>
      </c>
      <c r="P1599" s="2" t="s">
        <v>23</v>
      </c>
      <c r="Q1599" s="2" t="s">
        <v>20</v>
      </c>
    </row>
    <row r="1600" customFormat="false" ht="15" hidden="false" customHeight="false" outlineLevel="0" collapsed="false">
      <c r="A1600" s="2" t="n">
        <v>48</v>
      </c>
      <c r="B1600" s="2" t="s">
        <v>24</v>
      </c>
      <c r="C1600" s="2" t="s">
        <v>30</v>
      </c>
      <c r="D1600" s="2" t="s">
        <v>19</v>
      </c>
      <c r="E1600" s="2" t="s">
        <v>20</v>
      </c>
      <c r="F1600" s="2" t="n">
        <v>1499</v>
      </c>
      <c r="G1600" s="2" t="s">
        <v>26</v>
      </c>
      <c r="H1600" s="2" t="s">
        <v>20</v>
      </c>
      <c r="I1600" s="2" t="s">
        <v>21</v>
      </c>
      <c r="J1600" s="2" t="n">
        <v>12</v>
      </c>
      <c r="K1600" s="2" t="s">
        <v>27</v>
      </c>
      <c r="L1600" s="2" t="n">
        <v>17</v>
      </c>
      <c r="M1600" s="2" t="n">
        <v>7</v>
      </c>
      <c r="N1600" s="2" t="n">
        <v>-1</v>
      </c>
      <c r="O1600" s="2" t="n">
        <v>0</v>
      </c>
      <c r="P1600" s="2" t="s">
        <v>23</v>
      </c>
      <c r="Q1600" s="2" t="s">
        <v>20</v>
      </c>
    </row>
    <row r="1601" customFormat="false" ht="15" hidden="false" customHeight="false" outlineLevel="0" collapsed="false">
      <c r="A1601" s="2" t="n">
        <v>25</v>
      </c>
      <c r="B1601" s="2" t="s">
        <v>42</v>
      </c>
      <c r="C1601" s="2" t="s">
        <v>18</v>
      </c>
      <c r="D1601" s="2" t="s">
        <v>31</v>
      </c>
      <c r="E1601" s="2" t="s">
        <v>20</v>
      </c>
      <c r="F1601" s="2" t="n">
        <v>0</v>
      </c>
      <c r="G1601" s="2" t="s">
        <v>26</v>
      </c>
      <c r="H1601" s="2" t="s">
        <v>20</v>
      </c>
      <c r="I1601" s="2" t="s">
        <v>21</v>
      </c>
      <c r="J1601" s="2" t="n">
        <v>9</v>
      </c>
      <c r="K1601" s="2" t="s">
        <v>44</v>
      </c>
      <c r="L1601" s="2" t="n">
        <v>160</v>
      </c>
      <c r="M1601" s="2" t="n">
        <v>1</v>
      </c>
      <c r="N1601" s="2" t="n">
        <v>-1</v>
      </c>
      <c r="O1601" s="2" t="n">
        <v>0</v>
      </c>
      <c r="P1601" s="2" t="s">
        <v>23</v>
      </c>
      <c r="Q1601" s="2" t="s">
        <v>20</v>
      </c>
    </row>
    <row r="1602" customFormat="false" ht="15" hidden="false" customHeight="false" outlineLevel="0" collapsed="false">
      <c r="A1602" s="2" t="n">
        <v>32</v>
      </c>
      <c r="B1602" s="2" t="s">
        <v>29</v>
      </c>
      <c r="C1602" s="2" t="s">
        <v>18</v>
      </c>
      <c r="D1602" s="2" t="s">
        <v>25</v>
      </c>
      <c r="E1602" s="2" t="s">
        <v>20</v>
      </c>
      <c r="F1602" s="2" t="n">
        <v>6217</v>
      </c>
      <c r="G1602" s="2" t="s">
        <v>26</v>
      </c>
      <c r="H1602" s="2" t="s">
        <v>26</v>
      </c>
      <c r="I1602" s="2" t="s">
        <v>21</v>
      </c>
      <c r="J1602" s="2" t="n">
        <v>18</v>
      </c>
      <c r="K1602" s="2" t="s">
        <v>46</v>
      </c>
      <c r="L1602" s="2" t="n">
        <v>486</v>
      </c>
      <c r="M1602" s="2" t="n">
        <v>2</v>
      </c>
      <c r="N1602" s="2" t="n">
        <v>181</v>
      </c>
      <c r="O1602" s="2" t="n">
        <v>2</v>
      </c>
      <c r="P1602" s="2" t="s">
        <v>28</v>
      </c>
      <c r="Q1602" s="2" t="s">
        <v>20</v>
      </c>
    </row>
    <row r="1603" customFormat="false" ht="15" hidden="false" customHeight="false" outlineLevel="0" collapsed="false">
      <c r="A1603" s="2" t="n">
        <v>32</v>
      </c>
      <c r="B1603" s="2" t="s">
        <v>34</v>
      </c>
      <c r="C1603" s="2" t="s">
        <v>18</v>
      </c>
      <c r="D1603" s="2" t="s">
        <v>19</v>
      </c>
      <c r="E1603" s="2" t="s">
        <v>20</v>
      </c>
      <c r="F1603" s="2" t="n">
        <v>329</v>
      </c>
      <c r="G1603" s="2" t="s">
        <v>26</v>
      </c>
      <c r="H1603" s="2" t="s">
        <v>20</v>
      </c>
      <c r="I1603" s="2" t="s">
        <v>21</v>
      </c>
      <c r="J1603" s="2" t="n">
        <v>3</v>
      </c>
      <c r="K1603" s="2" t="s">
        <v>35</v>
      </c>
      <c r="L1603" s="2" t="n">
        <v>321</v>
      </c>
      <c r="M1603" s="2" t="n">
        <v>1</v>
      </c>
      <c r="N1603" s="2" t="n">
        <v>-1</v>
      </c>
      <c r="O1603" s="2" t="n">
        <v>0</v>
      </c>
      <c r="P1603" s="2" t="s">
        <v>23</v>
      </c>
      <c r="Q1603" s="2" t="s">
        <v>20</v>
      </c>
    </row>
    <row r="1604" customFormat="false" ht="15" hidden="false" customHeight="false" outlineLevel="0" collapsed="false">
      <c r="A1604" s="2" t="n">
        <v>47</v>
      </c>
      <c r="B1604" s="2" t="s">
        <v>40</v>
      </c>
      <c r="C1604" s="2" t="s">
        <v>45</v>
      </c>
      <c r="D1604" s="2" t="s">
        <v>25</v>
      </c>
      <c r="E1604" s="2" t="s">
        <v>20</v>
      </c>
      <c r="F1604" s="2" t="n">
        <v>162</v>
      </c>
      <c r="G1604" s="2" t="s">
        <v>26</v>
      </c>
      <c r="H1604" s="2" t="s">
        <v>20</v>
      </c>
      <c r="I1604" s="2" t="s">
        <v>23</v>
      </c>
      <c r="J1604" s="2" t="n">
        <v>9</v>
      </c>
      <c r="K1604" s="2" t="s">
        <v>27</v>
      </c>
      <c r="L1604" s="2" t="n">
        <v>203</v>
      </c>
      <c r="M1604" s="2" t="n">
        <v>4</v>
      </c>
      <c r="N1604" s="2" t="n">
        <v>-1</v>
      </c>
      <c r="O1604" s="2" t="n">
        <v>0</v>
      </c>
      <c r="P1604" s="2" t="s">
        <v>23</v>
      </c>
      <c r="Q1604" s="2" t="s">
        <v>20</v>
      </c>
    </row>
    <row r="1605" customFormat="false" ht="15" hidden="false" customHeight="false" outlineLevel="0" collapsed="false">
      <c r="A1605" s="2" t="n">
        <v>32</v>
      </c>
      <c r="B1605" s="2" t="s">
        <v>38</v>
      </c>
      <c r="C1605" s="2" t="s">
        <v>18</v>
      </c>
      <c r="D1605" s="2" t="s">
        <v>23</v>
      </c>
      <c r="E1605" s="2" t="s">
        <v>20</v>
      </c>
      <c r="F1605" s="2" t="n">
        <v>14533</v>
      </c>
      <c r="G1605" s="2" t="s">
        <v>20</v>
      </c>
      <c r="H1605" s="2" t="s">
        <v>20</v>
      </c>
      <c r="I1605" s="2" t="s">
        <v>21</v>
      </c>
      <c r="J1605" s="2" t="n">
        <v>31</v>
      </c>
      <c r="K1605" s="2" t="s">
        <v>53</v>
      </c>
      <c r="L1605" s="2" t="n">
        <v>646</v>
      </c>
      <c r="M1605" s="2" t="n">
        <v>3</v>
      </c>
      <c r="N1605" s="2" t="n">
        <v>198</v>
      </c>
      <c r="O1605" s="2" t="n">
        <v>2</v>
      </c>
      <c r="P1605" s="2" t="s">
        <v>50</v>
      </c>
      <c r="Q1605" s="2" t="s">
        <v>20</v>
      </c>
    </row>
    <row r="1606" customFormat="false" ht="15" hidden="false" customHeight="false" outlineLevel="0" collapsed="false">
      <c r="A1606" s="2" t="n">
        <v>49</v>
      </c>
      <c r="B1606" s="2" t="s">
        <v>29</v>
      </c>
      <c r="C1606" s="2" t="s">
        <v>30</v>
      </c>
      <c r="D1606" s="2" t="s">
        <v>31</v>
      </c>
      <c r="E1606" s="2" t="s">
        <v>20</v>
      </c>
      <c r="F1606" s="2" t="n">
        <v>151</v>
      </c>
      <c r="G1606" s="2" t="s">
        <v>26</v>
      </c>
      <c r="H1606" s="2" t="s">
        <v>20</v>
      </c>
      <c r="I1606" s="2" t="s">
        <v>21</v>
      </c>
      <c r="J1606" s="2" t="n">
        <v>8</v>
      </c>
      <c r="K1606" s="2" t="s">
        <v>44</v>
      </c>
      <c r="L1606" s="2" t="n">
        <v>97</v>
      </c>
      <c r="M1606" s="2" t="n">
        <v>3</v>
      </c>
      <c r="N1606" s="2" t="n">
        <v>-1</v>
      </c>
      <c r="O1606" s="2" t="n">
        <v>0</v>
      </c>
      <c r="P1606" s="2" t="s">
        <v>23</v>
      </c>
      <c r="Q1606" s="2" t="s">
        <v>26</v>
      </c>
    </row>
    <row r="1607" customFormat="false" ht="15" hidden="false" customHeight="false" outlineLevel="0" collapsed="false">
      <c r="A1607" s="2" t="n">
        <v>53</v>
      </c>
      <c r="B1607" s="2" t="s">
        <v>24</v>
      </c>
      <c r="C1607" s="2" t="s">
        <v>18</v>
      </c>
      <c r="D1607" s="2" t="s">
        <v>25</v>
      </c>
      <c r="E1607" s="2" t="s">
        <v>20</v>
      </c>
      <c r="F1607" s="2" t="n">
        <v>-2</v>
      </c>
      <c r="G1607" s="2" t="s">
        <v>26</v>
      </c>
      <c r="H1607" s="2" t="s">
        <v>26</v>
      </c>
      <c r="I1607" s="2" t="s">
        <v>21</v>
      </c>
      <c r="J1607" s="2" t="n">
        <v>16</v>
      </c>
      <c r="K1607" s="2" t="s">
        <v>32</v>
      </c>
      <c r="L1607" s="2" t="n">
        <v>144</v>
      </c>
      <c r="M1607" s="2" t="n">
        <v>2</v>
      </c>
      <c r="N1607" s="2" t="n">
        <v>-1</v>
      </c>
      <c r="O1607" s="2" t="n">
        <v>0</v>
      </c>
      <c r="P1607" s="2" t="s">
        <v>23</v>
      </c>
      <c r="Q1607" s="2" t="s">
        <v>20</v>
      </c>
    </row>
    <row r="1608" customFormat="false" ht="15" hidden="false" customHeight="false" outlineLevel="0" collapsed="false">
      <c r="A1608" s="2" t="n">
        <v>41</v>
      </c>
      <c r="B1608" s="2" t="s">
        <v>34</v>
      </c>
      <c r="C1608" s="2" t="s">
        <v>30</v>
      </c>
      <c r="D1608" s="2" t="s">
        <v>23</v>
      </c>
      <c r="E1608" s="2" t="s">
        <v>20</v>
      </c>
      <c r="F1608" s="2" t="n">
        <v>4684</v>
      </c>
      <c r="G1608" s="2" t="s">
        <v>20</v>
      </c>
      <c r="H1608" s="2" t="s">
        <v>20</v>
      </c>
      <c r="I1608" s="2" t="s">
        <v>23</v>
      </c>
      <c r="J1608" s="2" t="n">
        <v>20</v>
      </c>
      <c r="K1608" s="2" t="s">
        <v>33</v>
      </c>
      <c r="L1608" s="2" t="n">
        <v>30</v>
      </c>
      <c r="M1608" s="2" t="n">
        <v>6</v>
      </c>
      <c r="N1608" s="2" t="n">
        <v>-1</v>
      </c>
      <c r="O1608" s="2" t="n">
        <v>0</v>
      </c>
      <c r="P1608" s="2" t="s">
        <v>23</v>
      </c>
      <c r="Q1608" s="2" t="s">
        <v>20</v>
      </c>
    </row>
    <row r="1609" customFormat="false" ht="15" hidden="false" customHeight="false" outlineLevel="0" collapsed="false">
      <c r="A1609" s="2" t="n">
        <v>47</v>
      </c>
      <c r="B1609" s="2" t="s">
        <v>29</v>
      </c>
      <c r="C1609" s="2" t="s">
        <v>45</v>
      </c>
      <c r="D1609" s="2" t="s">
        <v>31</v>
      </c>
      <c r="E1609" s="2" t="s">
        <v>20</v>
      </c>
      <c r="F1609" s="2" t="n">
        <v>1149</v>
      </c>
      <c r="G1609" s="2" t="s">
        <v>20</v>
      </c>
      <c r="H1609" s="2" t="s">
        <v>26</v>
      </c>
      <c r="I1609" s="2" t="s">
        <v>21</v>
      </c>
      <c r="J1609" s="2" t="n">
        <v>15</v>
      </c>
      <c r="K1609" s="2" t="s">
        <v>44</v>
      </c>
      <c r="L1609" s="2" t="n">
        <v>82</v>
      </c>
      <c r="M1609" s="2" t="n">
        <v>2</v>
      </c>
      <c r="N1609" s="2" t="n">
        <v>-1</v>
      </c>
      <c r="O1609" s="2" t="n">
        <v>0</v>
      </c>
      <c r="P1609" s="2" t="s">
        <v>23</v>
      </c>
      <c r="Q1609" s="2" t="s">
        <v>20</v>
      </c>
    </row>
    <row r="1610" customFormat="false" ht="15" hidden="false" customHeight="false" outlineLevel="0" collapsed="false">
      <c r="A1610" s="2" t="n">
        <v>35</v>
      </c>
      <c r="B1610" s="2" t="s">
        <v>34</v>
      </c>
      <c r="C1610" s="2" t="s">
        <v>18</v>
      </c>
      <c r="D1610" s="2" t="s">
        <v>19</v>
      </c>
      <c r="E1610" s="2" t="s">
        <v>20</v>
      </c>
      <c r="F1610" s="2" t="n">
        <v>11</v>
      </c>
      <c r="G1610" s="2" t="s">
        <v>26</v>
      </c>
      <c r="H1610" s="2" t="s">
        <v>20</v>
      </c>
      <c r="I1610" s="2" t="s">
        <v>23</v>
      </c>
      <c r="J1610" s="2" t="n">
        <v>13</v>
      </c>
      <c r="K1610" s="2" t="s">
        <v>27</v>
      </c>
      <c r="L1610" s="2" t="n">
        <v>326</v>
      </c>
      <c r="M1610" s="2" t="n">
        <v>4</v>
      </c>
      <c r="N1610" s="2" t="n">
        <v>-1</v>
      </c>
      <c r="O1610" s="2" t="n">
        <v>0</v>
      </c>
      <c r="P1610" s="2" t="s">
        <v>23</v>
      </c>
      <c r="Q1610" s="2" t="s">
        <v>20</v>
      </c>
    </row>
    <row r="1611" customFormat="false" ht="15" hidden="false" customHeight="false" outlineLevel="0" collapsed="false">
      <c r="A1611" s="2" t="n">
        <v>33</v>
      </c>
      <c r="B1611" s="2" t="s">
        <v>29</v>
      </c>
      <c r="C1611" s="2" t="s">
        <v>30</v>
      </c>
      <c r="D1611" s="2" t="s">
        <v>25</v>
      </c>
      <c r="E1611" s="2" t="s">
        <v>20</v>
      </c>
      <c r="F1611" s="2" t="n">
        <v>8004</v>
      </c>
      <c r="G1611" s="2" t="s">
        <v>20</v>
      </c>
      <c r="H1611" s="2" t="s">
        <v>20</v>
      </c>
      <c r="I1611" s="2" t="s">
        <v>21</v>
      </c>
      <c r="J1611" s="2" t="n">
        <v>19</v>
      </c>
      <c r="K1611" s="2" t="s">
        <v>46</v>
      </c>
      <c r="L1611" s="2" t="n">
        <v>414</v>
      </c>
      <c r="M1611" s="2" t="n">
        <v>3</v>
      </c>
      <c r="N1611" s="2" t="n">
        <v>-1</v>
      </c>
      <c r="O1611" s="2" t="n">
        <v>0</v>
      </c>
      <c r="P1611" s="2" t="s">
        <v>23</v>
      </c>
      <c r="Q1611" s="2" t="s">
        <v>20</v>
      </c>
    </row>
    <row r="1612" customFormat="false" ht="15" hidden="false" customHeight="false" outlineLevel="0" collapsed="false">
      <c r="A1612" s="2" t="n">
        <v>49</v>
      </c>
      <c r="B1612" s="2" t="s">
        <v>34</v>
      </c>
      <c r="C1612" s="2" t="s">
        <v>18</v>
      </c>
      <c r="D1612" s="2" t="s">
        <v>19</v>
      </c>
      <c r="E1612" s="2" t="s">
        <v>20</v>
      </c>
      <c r="F1612" s="2" t="n">
        <v>1019</v>
      </c>
      <c r="G1612" s="2" t="s">
        <v>26</v>
      </c>
      <c r="H1612" s="2" t="s">
        <v>20</v>
      </c>
      <c r="I1612" s="2" t="s">
        <v>21</v>
      </c>
      <c r="J1612" s="2" t="n">
        <v>16</v>
      </c>
      <c r="K1612" s="2" t="s">
        <v>32</v>
      </c>
      <c r="L1612" s="2" t="n">
        <v>285</v>
      </c>
      <c r="M1612" s="2" t="n">
        <v>5</v>
      </c>
      <c r="N1612" s="2" t="n">
        <v>-1</v>
      </c>
      <c r="O1612" s="2" t="n">
        <v>0</v>
      </c>
      <c r="P1612" s="2" t="s">
        <v>23</v>
      </c>
      <c r="Q1612" s="2" t="s">
        <v>20</v>
      </c>
    </row>
    <row r="1613" customFormat="false" ht="15" hidden="false" customHeight="false" outlineLevel="0" collapsed="false">
      <c r="A1613" s="2" t="n">
        <v>46</v>
      </c>
      <c r="B1613" s="2" t="s">
        <v>29</v>
      </c>
      <c r="C1613" s="2" t="s">
        <v>45</v>
      </c>
      <c r="D1613" s="2" t="s">
        <v>31</v>
      </c>
      <c r="E1613" s="2" t="s">
        <v>20</v>
      </c>
      <c r="F1613" s="2" t="n">
        <v>1297</v>
      </c>
      <c r="G1613" s="2" t="s">
        <v>20</v>
      </c>
      <c r="H1613" s="2" t="s">
        <v>20</v>
      </c>
      <c r="I1613" s="2" t="s">
        <v>21</v>
      </c>
      <c r="J1613" s="2" t="n">
        <v>11</v>
      </c>
      <c r="K1613" s="2" t="s">
        <v>41</v>
      </c>
      <c r="L1613" s="2" t="n">
        <v>716</v>
      </c>
      <c r="M1613" s="2" t="n">
        <v>3</v>
      </c>
      <c r="N1613" s="2" t="n">
        <v>-1</v>
      </c>
      <c r="O1613" s="2" t="n">
        <v>0</v>
      </c>
      <c r="P1613" s="2" t="s">
        <v>23</v>
      </c>
      <c r="Q1613" s="2" t="s">
        <v>26</v>
      </c>
    </row>
    <row r="1614" customFormat="false" ht="15" hidden="false" customHeight="false" outlineLevel="0" collapsed="false">
      <c r="A1614" s="2" t="n">
        <v>29</v>
      </c>
      <c r="B1614" s="2" t="s">
        <v>29</v>
      </c>
      <c r="C1614" s="2" t="s">
        <v>45</v>
      </c>
      <c r="D1614" s="2" t="s">
        <v>31</v>
      </c>
      <c r="E1614" s="2" t="s">
        <v>20</v>
      </c>
      <c r="F1614" s="2" t="n">
        <v>415</v>
      </c>
      <c r="G1614" s="2" t="s">
        <v>26</v>
      </c>
      <c r="H1614" s="2" t="s">
        <v>26</v>
      </c>
      <c r="I1614" s="2" t="s">
        <v>23</v>
      </c>
      <c r="J1614" s="2" t="n">
        <v>28</v>
      </c>
      <c r="K1614" s="2" t="s">
        <v>27</v>
      </c>
      <c r="L1614" s="2" t="n">
        <v>449</v>
      </c>
      <c r="M1614" s="2" t="n">
        <v>4</v>
      </c>
      <c r="N1614" s="2" t="n">
        <v>-1</v>
      </c>
      <c r="O1614" s="2" t="n">
        <v>0</v>
      </c>
      <c r="P1614" s="2" t="s">
        <v>23</v>
      </c>
      <c r="Q1614" s="2" t="s">
        <v>20</v>
      </c>
    </row>
    <row r="1615" customFormat="false" ht="15" hidden="false" customHeight="false" outlineLevel="0" collapsed="false">
      <c r="A1615" s="2" t="n">
        <v>58</v>
      </c>
      <c r="B1615" s="2" t="s">
        <v>36</v>
      </c>
      <c r="C1615" s="2" t="s">
        <v>18</v>
      </c>
      <c r="D1615" s="2" t="s">
        <v>19</v>
      </c>
      <c r="E1615" s="2" t="s">
        <v>20</v>
      </c>
      <c r="F1615" s="2" t="n">
        <v>671</v>
      </c>
      <c r="G1615" s="2" t="s">
        <v>26</v>
      </c>
      <c r="H1615" s="2" t="s">
        <v>20</v>
      </c>
      <c r="I1615" s="2" t="s">
        <v>23</v>
      </c>
      <c r="J1615" s="2" t="n">
        <v>17</v>
      </c>
      <c r="K1615" s="2" t="s">
        <v>33</v>
      </c>
      <c r="L1615" s="2" t="n">
        <v>16</v>
      </c>
      <c r="M1615" s="2" t="n">
        <v>3</v>
      </c>
      <c r="N1615" s="2" t="n">
        <v>-1</v>
      </c>
      <c r="O1615" s="2" t="n">
        <v>0</v>
      </c>
      <c r="P1615" s="2" t="s">
        <v>23</v>
      </c>
      <c r="Q1615" s="2" t="s">
        <v>20</v>
      </c>
    </row>
    <row r="1616" customFormat="false" ht="15" hidden="false" customHeight="false" outlineLevel="0" collapsed="false">
      <c r="A1616" s="2" t="n">
        <v>40</v>
      </c>
      <c r="B1616" s="2" t="s">
        <v>40</v>
      </c>
      <c r="C1616" s="2" t="s">
        <v>30</v>
      </c>
      <c r="D1616" s="2" t="s">
        <v>25</v>
      </c>
      <c r="E1616" s="2" t="s">
        <v>20</v>
      </c>
      <c r="F1616" s="2" t="n">
        <v>2378</v>
      </c>
      <c r="G1616" s="2" t="s">
        <v>26</v>
      </c>
      <c r="H1616" s="2" t="s">
        <v>20</v>
      </c>
      <c r="I1616" s="2" t="s">
        <v>23</v>
      </c>
      <c r="J1616" s="2" t="n">
        <v>2</v>
      </c>
      <c r="K1616" s="2" t="s">
        <v>33</v>
      </c>
      <c r="L1616" s="2" t="n">
        <v>65</v>
      </c>
      <c r="M1616" s="2" t="n">
        <v>1</v>
      </c>
      <c r="N1616" s="2" t="n">
        <v>-1</v>
      </c>
      <c r="O1616" s="2" t="n">
        <v>0</v>
      </c>
      <c r="P1616" s="2" t="s">
        <v>23</v>
      </c>
      <c r="Q1616" s="2" t="s">
        <v>20</v>
      </c>
    </row>
    <row r="1617" customFormat="false" ht="15" hidden="false" customHeight="false" outlineLevel="0" collapsed="false">
      <c r="A1617" s="2" t="n">
        <v>34</v>
      </c>
      <c r="B1617" s="2" t="s">
        <v>29</v>
      </c>
      <c r="C1617" s="2" t="s">
        <v>18</v>
      </c>
      <c r="D1617" s="2" t="s">
        <v>31</v>
      </c>
      <c r="E1617" s="2" t="s">
        <v>20</v>
      </c>
      <c r="F1617" s="2" t="n">
        <v>417</v>
      </c>
      <c r="G1617" s="2" t="s">
        <v>26</v>
      </c>
      <c r="H1617" s="2" t="s">
        <v>20</v>
      </c>
      <c r="I1617" s="2" t="s">
        <v>21</v>
      </c>
      <c r="J1617" s="2" t="n">
        <v>18</v>
      </c>
      <c r="K1617" s="2" t="s">
        <v>46</v>
      </c>
      <c r="L1617" s="2" t="n">
        <v>138</v>
      </c>
      <c r="M1617" s="2" t="n">
        <v>1</v>
      </c>
      <c r="N1617" s="2" t="n">
        <v>-1</v>
      </c>
      <c r="O1617" s="2" t="n">
        <v>0</v>
      </c>
      <c r="P1617" s="2" t="s">
        <v>23</v>
      </c>
      <c r="Q1617" s="2" t="s">
        <v>20</v>
      </c>
    </row>
    <row r="1618" customFormat="false" ht="15" hidden="false" customHeight="false" outlineLevel="0" collapsed="false">
      <c r="A1618" s="2" t="n">
        <v>60</v>
      </c>
      <c r="B1618" s="2" t="s">
        <v>48</v>
      </c>
      <c r="C1618" s="2" t="s">
        <v>18</v>
      </c>
      <c r="D1618" s="2" t="s">
        <v>19</v>
      </c>
      <c r="E1618" s="2" t="s">
        <v>20</v>
      </c>
      <c r="F1618" s="2" t="n">
        <v>71</v>
      </c>
      <c r="G1618" s="2" t="s">
        <v>20</v>
      </c>
      <c r="H1618" s="2" t="s">
        <v>20</v>
      </c>
      <c r="I1618" s="2" t="s">
        <v>21</v>
      </c>
      <c r="J1618" s="2" t="n">
        <v>10</v>
      </c>
      <c r="K1618" s="2" t="s">
        <v>44</v>
      </c>
      <c r="L1618" s="2" t="n">
        <v>121</v>
      </c>
      <c r="M1618" s="2" t="n">
        <v>3</v>
      </c>
      <c r="N1618" s="2" t="n">
        <v>-1</v>
      </c>
      <c r="O1618" s="2" t="n">
        <v>0</v>
      </c>
      <c r="P1618" s="2" t="s">
        <v>23</v>
      </c>
      <c r="Q1618" s="2" t="s">
        <v>20</v>
      </c>
    </row>
    <row r="1619" customFormat="false" ht="15" hidden="false" customHeight="false" outlineLevel="0" collapsed="false">
      <c r="A1619" s="2" t="n">
        <v>43</v>
      </c>
      <c r="B1619" s="2" t="s">
        <v>29</v>
      </c>
      <c r="C1619" s="2" t="s">
        <v>18</v>
      </c>
      <c r="D1619" s="2" t="s">
        <v>31</v>
      </c>
      <c r="E1619" s="2" t="s">
        <v>20</v>
      </c>
      <c r="F1619" s="2" t="n">
        <v>1188</v>
      </c>
      <c r="G1619" s="2" t="s">
        <v>20</v>
      </c>
      <c r="H1619" s="2" t="s">
        <v>20</v>
      </c>
      <c r="I1619" s="2" t="s">
        <v>21</v>
      </c>
      <c r="J1619" s="2" t="n">
        <v>27</v>
      </c>
      <c r="K1619" s="2" t="s">
        <v>27</v>
      </c>
      <c r="L1619" s="2" t="n">
        <v>140</v>
      </c>
      <c r="M1619" s="2" t="n">
        <v>2</v>
      </c>
      <c r="N1619" s="2" t="n">
        <v>-1</v>
      </c>
      <c r="O1619" s="2" t="n">
        <v>0</v>
      </c>
      <c r="P1619" s="2" t="s">
        <v>23</v>
      </c>
      <c r="Q1619" s="2" t="s">
        <v>20</v>
      </c>
    </row>
    <row r="1620" customFormat="false" ht="15" hidden="false" customHeight="false" outlineLevel="0" collapsed="false">
      <c r="A1620" s="2" t="n">
        <v>50</v>
      </c>
      <c r="B1620" s="2" t="s">
        <v>34</v>
      </c>
      <c r="C1620" s="2" t="s">
        <v>18</v>
      </c>
      <c r="D1620" s="2" t="s">
        <v>19</v>
      </c>
      <c r="E1620" s="2" t="s">
        <v>20</v>
      </c>
      <c r="F1620" s="2" t="n">
        <v>8139</v>
      </c>
      <c r="G1620" s="2" t="s">
        <v>26</v>
      </c>
      <c r="H1620" s="2" t="s">
        <v>20</v>
      </c>
      <c r="I1620" s="2" t="s">
        <v>21</v>
      </c>
      <c r="J1620" s="2" t="n">
        <v>18</v>
      </c>
      <c r="K1620" s="2" t="s">
        <v>41</v>
      </c>
      <c r="L1620" s="2" t="n">
        <v>256</v>
      </c>
      <c r="M1620" s="2" t="n">
        <v>6</v>
      </c>
      <c r="N1620" s="2" t="n">
        <v>-1</v>
      </c>
      <c r="O1620" s="2" t="n">
        <v>0</v>
      </c>
      <c r="P1620" s="2" t="s">
        <v>23</v>
      </c>
      <c r="Q1620" s="2" t="s">
        <v>20</v>
      </c>
    </row>
    <row r="1621" customFormat="false" ht="15" hidden="false" customHeight="false" outlineLevel="0" collapsed="false">
      <c r="A1621" s="2" t="n">
        <v>33</v>
      </c>
      <c r="B1621" s="2" t="s">
        <v>34</v>
      </c>
      <c r="C1621" s="2" t="s">
        <v>18</v>
      </c>
      <c r="D1621" s="2" t="s">
        <v>25</v>
      </c>
      <c r="E1621" s="2" t="s">
        <v>20</v>
      </c>
      <c r="F1621" s="2" t="n">
        <v>249</v>
      </c>
      <c r="G1621" s="2" t="s">
        <v>26</v>
      </c>
      <c r="H1621" s="2" t="s">
        <v>20</v>
      </c>
      <c r="I1621" s="2" t="s">
        <v>21</v>
      </c>
      <c r="J1621" s="2" t="n">
        <v>31</v>
      </c>
      <c r="K1621" s="2" t="s">
        <v>44</v>
      </c>
      <c r="L1621" s="2" t="n">
        <v>61</v>
      </c>
      <c r="M1621" s="2" t="n">
        <v>4</v>
      </c>
      <c r="N1621" s="2" t="n">
        <v>-1</v>
      </c>
      <c r="O1621" s="2" t="n">
        <v>0</v>
      </c>
      <c r="P1621" s="2" t="s">
        <v>23</v>
      </c>
      <c r="Q1621" s="2" t="s">
        <v>20</v>
      </c>
    </row>
    <row r="1622" customFormat="false" ht="15" hidden="false" customHeight="false" outlineLevel="0" collapsed="false">
      <c r="A1622" s="2" t="n">
        <v>37</v>
      </c>
      <c r="B1622" s="2" t="s">
        <v>34</v>
      </c>
      <c r="C1622" s="2" t="s">
        <v>18</v>
      </c>
      <c r="D1622" s="2" t="s">
        <v>19</v>
      </c>
      <c r="E1622" s="2" t="s">
        <v>20</v>
      </c>
      <c r="F1622" s="2" t="n">
        <v>689</v>
      </c>
      <c r="G1622" s="2" t="s">
        <v>26</v>
      </c>
      <c r="H1622" s="2" t="s">
        <v>20</v>
      </c>
      <c r="I1622" s="2" t="s">
        <v>21</v>
      </c>
      <c r="J1622" s="2" t="n">
        <v>14</v>
      </c>
      <c r="K1622" s="2" t="s">
        <v>44</v>
      </c>
      <c r="L1622" s="2" t="n">
        <v>367</v>
      </c>
      <c r="M1622" s="2" t="n">
        <v>2</v>
      </c>
      <c r="N1622" s="2" t="n">
        <v>-1</v>
      </c>
      <c r="O1622" s="2" t="n">
        <v>0</v>
      </c>
      <c r="P1622" s="2" t="s">
        <v>23</v>
      </c>
      <c r="Q1622" s="2" t="s">
        <v>20</v>
      </c>
    </row>
    <row r="1623" customFormat="false" ht="15" hidden="false" customHeight="false" outlineLevel="0" collapsed="false">
      <c r="A1623" s="2" t="n">
        <v>55</v>
      </c>
      <c r="B1623" s="2" t="s">
        <v>36</v>
      </c>
      <c r="C1623" s="2" t="s">
        <v>18</v>
      </c>
      <c r="D1623" s="2" t="s">
        <v>25</v>
      </c>
      <c r="E1623" s="2" t="s">
        <v>20</v>
      </c>
      <c r="F1623" s="2" t="n">
        <v>203</v>
      </c>
      <c r="G1623" s="2" t="s">
        <v>26</v>
      </c>
      <c r="H1623" s="2" t="s">
        <v>20</v>
      </c>
      <c r="I1623" s="2" t="s">
        <v>49</v>
      </c>
      <c r="J1623" s="2" t="n">
        <v>14</v>
      </c>
      <c r="K1623" s="2" t="s">
        <v>27</v>
      </c>
      <c r="L1623" s="2" t="n">
        <v>9</v>
      </c>
      <c r="M1623" s="2" t="n">
        <v>5</v>
      </c>
      <c r="N1623" s="2" t="n">
        <v>174</v>
      </c>
      <c r="O1623" s="2" t="n">
        <v>12</v>
      </c>
      <c r="P1623" s="2" t="s">
        <v>37</v>
      </c>
      <c r="Q1623" s="2" t="s">
        <v>20</v>
      </c>
    </row>
    <row r="1624" customFormat="false" ht="15" hidden="false" customHeight="false" outlineLevel="0" collapsed="false">
      <c r="A1624" s="2" t="n">
        <v>45</v>
      </c>
      <c r="B1624" s="2" t="s">
        <v>34</v>
      </c>
      <c r="C1624" s="2" t="s">
        <v>30</v>
      </c>
      <c r="D1624" s="2" t="s">
        <v>19</v>
      </c>
      <c r="E1624" s="2" t="s">
        <v>26</v>
      </c>
      <c r="F1624" s="2" t="n">
        <v>-183</v>
      </c>
      <c r="G1624" s="2" t="s">
        <v>20</v>
      </c>
      <c r="H1624" s="2" t="s">
        <v>26</v>
      </c>
      <c r="I1624" s="2" t="s">
        <v>21</v>
      </c>
      <c r="J1624" s="2" t="n">
        <v>15</v>
      </c>
      <c r="K1624" s="2" t="s">
        <v>44</v>
      </c>
      <c r="L1624" s="2" t="n">
        <v>395</v>
      </c>
      <c r="M1624" s="2" t="n">
        <v>4</v>
      </c>
      <c r="N1624" s="2" t="n">
        <v>-1</v>
      </c>
      <c r="O1624" s="2" t="n">
        <v>0</v>
      </c>
      <c r="P1624" s="2" t="s">
        <v>23</v>
      </c>
      <c r="Q1624" s="2" t="s">
        <v>20</v>
      </c>
    </row>
    <row r="1625" customFormat="false" ht="15" hidden="false" customHeight="false" outlineLevel="0" collapsed="false">
      <c r="A1625" s="2" t="n">
        <v>47</v>
      </c>
      <c r="B1625" s="2" t="s">
        <v>34</v>
      </c>
      <c r="C1625" s="2" t="s">
        <v>18</v>
      </c>
      <c r="D1625" s="2" t="s">
        <v>19</v>
      </c>
      <c r="E1625" s="2" t="s">
        <v>20</v>
      </c>
      <c r="F1625" s="2" t="n">
        <v>3451</v>
      </c>
      <c r="G1625" s="2" t="s">
        <v>20</v>
      </c>
      <c r="H1625" s="2" t="s">
        <v>26</v>
      </c>
      <c r="I1625" s="2" t="s">
        <v>21</v>
      </c>
      <c r="J1625" s="2" t="n">
        <v>21</v>
      </c>
      <c r="K1625" s="2" t="s">
        <v>46</v>
      </c>
      <c r="L1625" s="2" t="n">
        <v>125</v>
      </c>
      <c r="M1625" s="2" t="n">
        <v>2</v>
      </c>
      <c r="N1625" s="2" t="n">
        <v>-1</v>
      </c>
      <c r="O1625" s="2" t="n">
        <v>0</v>
      </c>
      <c r="P1625" s="2" t="s">
        <v>23</v>
      </c>
      <c r="Q1625" s="2" t="s">
        <v>20</v>
      </c>
    </row>
    <row r="1626" customFormat="false" ht="15" hidden="false" customHeight="false" outlineLevel="0" collapsed="false">
      <c r="A1626" s="2" t="n">
        <v>58</v>
      </c>
      <c r="B1626" s="2" t="s">
        <v>38</v>
      </c>
      <c r="C1626" s="2" t="s">
        <v>18</v>
      </c>
      <c r="D1626" s="2" t="s">
        <v>25</v>
      </c>
      <c r="E1626" s="2" t="s">
        <v>20</v>
      </c>
      <c r="F1626" s="2" t="n">
        <v>116</v>
      </c>
      <c r="G1626" s="2" t="s">
        <v>20</v>
      </c>
      <c r="H1626" s="2" t="s">
        <v>20</v>
      </c>
      <c r="I1626" s="2" t="s">
        <v>23</v>
      </c>
      <c r="J1626" s="2" t="n">
        <v>16</v>
      </c>
      <c r="K1626" s="2" t="s">
        <v>33</v>
      </c>
      <c r="L1626" s="2" t="n">
        <v>580</v>
      </c>
      <c r="M1626" s="2" t="n">
        <v>3</v>
      </c>
      <c r="N1626" s="2" t="n">
        <v>-1</v>
      </c>
      <c r="O1626" s="2" t="n">
        <v>0</v>
      </c>
      <c r="P1626" s="2" t="s">
        <v>23</v>
      </c>
      <c r="Q1626" s="2" t="s">
        <v>20</v>
      </c>
    </row>
    <row r="1627" customFormat="false" ht="15" hidden="false" customHeight="false" outlineLevel="0" collapsed="false">
      <c r="A1627" s="2" t="n">
        <v>36</v>
      </c>
      <c r="B1627" s="2" t="s">
        <v>24</v>
      </c>
      <c r="C1627" s="2" t="s">
        <v>18</v>
      </c>
      <c r="D1627" s="2" t="s">
        <v>25</v>
      </c>
      <c r="E1627" s="2" t="s">
        <v>20</v>
      </c>
      <c r="F1627" s="2" t="n">
        <v>1746</v>
      </c>
      <c r="G1627" s="2" t="s">
        <v>26</v>
      </c>
      <c r="H1627" s="2" t="s">
        <v>20</v>
      </c>
      <c r="I1627" s="2" t="s">
        <v>21</v>
      </c>
      <c r="J1627" s="2" t="n">
        <v>7</v>
      </c>
      <c r="K1627" s="2" t="s">
        <v>32</v>
      </c>
      <c r="L1627" s="2" t="n">
        <v>15</v>
      </c>
      <c r="M1627" s="2" t="n">
        <v>1</v>
      </c>
      <c r="N1627" s="2" t="n">
        <v>316</v>
      </c>
      <c r="O1627" s="2" t="n">
        <v>1</v>
      </c>
      <c r="P1627" s="2" t="s">
        <v>28</v>
      </c>
      <c r="Q1627" s="2" t="s">
        <v>20</v>
      </c>
    </row>
    <row r="1628" customFormat="false" ht="15" hidden="false" customHeight="false" outlineLevel="0" collapsed="false">
      <c r="A1628" s="2" t="n">
        <v>55</v>
      </c>
      <c r="B1628" s="2" t="s">
        <v>38</v>
      </c>
      <c r="C1628" s="2" t="s">
        <v>18</v>
      </c>
      <c r="D1628" s="2" t="s">
        <v>25</v>
      </c>
      <c r="E1628" s="2" t="s">
        <v>20</v>
      </c>
      <c r="F1628" s="2" t="n">
        <v>0</v>
      </c>
      <c r="G1628" s="2" t="s">
        <v>26</v>
      </c>
      <c r="H1628" s="2" t="s">
        <v>20</v>
      </c>
      <c r="I1628" s="2" t="s">
        <v>23</v>
      </c>
      <c r="J1628" s="2" t="n">
        <v>30</v>
      </c>
      <c r="K1628" s="2" t="s">
        <v>27</v>
      </c>
      <c r="L1628" s="2" t="n">
        <v>119</v>
      </c>
      <c r="M1628" s="2" t="n">
        <v>2</v>
      </c>
      <c r="N1628" s="2" t="n">
        <v>-1</v>
      </c>
      <c r="O1628" s="2" t="n">
        <v>0</v>
      </c>
      <c r="P1628" s="2" t="s">
        <v>23</v>
      </c>
      <c r="Q1628" s="2" t="s">
        <v>20</v>
      </c>
    </row>
    <row r="1629" customFormat="false" ht="15" hidden="false" customHeight="false" outlineLevel="0" collapsed="false">
      <c r="A1629" s="2" t="n">
        <v>31</v>
      </c>
      <c r="B1629" s="2" t="s">
        <v>34</v>
      </c>
      <c r="C1629" s="2" t="s">
        <v>18</v>
      </c>
      <c r="D1629" s="2" t="s">
        <v>25</v>
      </c>
      <c r="E1629" s="2" t="s">
        <v>20</v>
      </c>
      <c r="F1629" s="2" t="n">
        <v>897</v>
      </c>
      <c r="G1629" s="2" t="s">
        <v>26</v>
      </c>
      <c r="H1629" s="2" t="s">
        <v>20</v>
      </c>
      <c r="I1629" s="2" t="s">
        <v>23</v>
      </c>
      <c r="J1629" s="2" t="n">
        <v>20</v>
      </c>
      <c r="K1629" s="2" t="s">
        <v>27</v>
      </c>
      <c r="L1629" s="2" t="n">
        <v>26</v>
      </c>
      <c r="M1629" s="2" t="n">
        <v>2</v>
      </c>
      <c r="N1629" s="2" t="n">
        <v>-1</v>
      </c>
      <c r="O1629" s="2" t="n">
        <v>0</v>
      </c>
      <c r="P1629" s="2" t="s">
        <v>23</v>
      </c>
      <c r="Q1629" s="2" t="s">
        <v>20</v>
      </c>
    </row>
    <row r="1630" customFormat="false" ht="15" hidden="false" customHeight="false" outlineLevel="0" collapsed="false">
      <c r="A1630" s="2" t="n">
        <v>38</v>
      </c>
      <c r="B1630" s="2" t="s">
        <v>38</v>
      </c>
      <c r="C1630" s="2" t="s">
        <v>18</v>
      </c>
      <c r="D1630" s="2" t="s">
        <v>25</v>
      </c>
      <c r="E1630" s="2" t="s">
        <v>20</v>
      </c>
      <c r="F1630" s="2" t="n">
        <v>821</v>
      </c>
      <c r="G1630" s="2" t="s">
        <v>26</v>
      </c>
      <c r="H1630" s="2" t="s">
        <v>26</v>
      </c>
      <c r="I1630" s="2" t="s">
        <v>21</v>
      </c>
      <c r="J1630" s="2" t="n">
        <v>17</v>
      </c>
      <c r="K1630" s="2" t="s">
        <v>46</v>
      </c>
      <c r="L1630" s="2" t="n">
        <v>224</v>
      </c>
      <c r="M1630" s="2" t="n">
        <v>2</v>
      </c>
      <c r="N1630" s="2" t="n">
        <v>180</v>
      </c>
      <c r="O1630" s="2" t="n">
        <v>1</v>
      </c>
      <c r="P1630" s="2" t="s">
        <v>28</v>
      </c>
      <c r="Q1630" s="2" t="s">
        <v>20</v>
      </c>
    </row>
    <row r="1631" customFormat="false" ht="15" hidden="false" customHeight="false" outlineLevel="0" collapsed="false">
      <c r="A1631" s="2" t="n">
        <v>42</v>
      </c>
      <c r="B1631" s="2" t="s">
        <v>34</v>
      </c>
      <c r="C1631" s="2" t="s">
        <v>18</v>
      </c>
      <c r="D1631" s="2" t="s">
        <v>25</v>
      </c>
      <c r="E1631" s="2" t="s">
        <v>20</v>
      </c>
      <c r="F1631" s="2" t="n">
        <v>130</v>
      </c>
      <c r="G1631" s="2" t="s">
        <v>26</v>
      </c>
      <c r="H1631" s="2" t="s">
        <v>20</v>
      </c>
      <c r="I1631" s="2" t="s">
        <v>23</v>
      </c>
      <c r="J1631" s="2" t="n">
        <v>29</v>
      </c>
      <c r="K1631" s="2" t="s">
        <v>27</v>
      </c>
      <c r="L1631" s="2" t="n">
        <v>285</v>
      </c>
      <c r="M1631" s="2" t="n">
        <v>1</v>
      </c>
      <c r="N1631" s="2" t="n">
        <v>-1</v>
      </c>
      <c r="O1631" s="2" t="n">
        <v>0</v>
      </c>
      <c r="P1631" s="2" t="s">
        <v>23</v>
      </c>
      <c r="Q1631" s="2" t="s">
        <v>20</v>
      </c>
    </row>
    <row r="1632" customFormat="false" ht="15" hidden="false" customHeight="false" outlineLevel="0" collapsed="false">
      <c r="A1632" s="2" t="n">
        <v>32</v>
      </c>
      <c r="B1632" s="2" t="s">
        <v>29</v>
      </c>
      <c r="C1632" s="2" t="s">
        <v>45</v>
      </c>
      <c r="D1632" s="2" t="s">
        <v>31</v>
      </c>
      <c r="E1632" s="2" t="s">
        <v>20</v>
      </c>
      <c r="F1632" s="2" t="n">
        <v>1</v>
      </c>
      <c r="G1632" s="2" t="s">
        <v>26</v>
      </c>
      <c r="H1632" s="2" t="s">
        <v>20</v>
      </c>
      <c r="I1632" s="2" t="s">
        <v>23</v>
      </c>
      <c r="J1632" s="2" t="n">
        <v>8</v>
      </c>
      <c r="K1632" s="2" t="s">
        <v>27</v>
      </c>
      <c r="L1632" s="2" t="n">
        <v>399</v>
      </c>
      <c r="M1632" s="2" t="n">
        <v>4</v>
      </c>
      <c r="N1632" s="2" t="n">
        <v>-1</v>
      </c>
      <c r="O1632" s="2" t="n">
        <v>0</v>
      </c>
      <c r="P1632" s="2" t="s">
        <v>23</v>
      </c>
      <c r="Q1632" s="2" t="s">
        <v>20</v>
      </c>
    </row>
    <row r="1633" customFormat="false" ht="15" hidden="false" customHeight="false" outlineLevel="0" collapsed="false">
      <c r="A1633" s="2" t="n">
        <v>39</v>
      </c>
      <c r="B1633" s="2" t="s">
        <v>34</v>
      </c>
      <c r="C1633" s="2" t="s">
        <v>18</v>
      </c>
      <c r="D1633" s="2" t="s">
        <v>25</v>
      </c>
      <c r="E1633" s="2" t="s">
        <v>20</v>
      </c>
      <c r="F1633" s="2" t="n">
        <v>8</v>
      </c>
      <c r="G1633" s="2" t="s">
        <v>20</v>
      </c>
      <c r="H1633" s="2" t="s">
        <v>20</v>
      </c>
      <c r="I1633" s="2" t="s">
        <v>21</v>
      </c>
      <c r="J1633" s="2" t="n">
        <v>30</v>
      </c>
      <c r="K1633" s="2" t="s">
        <v>44</v>
      </c>
      <c r="L1633" s="2" t="n">
        <v>88</v>
      </c>
      <c r="M1633" s="2" t="n">
        <v>3</v>
      </c>
      <c r="N1633" s="2" t="n">
        <v>-1</v>
      </c>
      <c r="O1633" s="2" t="n">
        <v>0</v>
      </c>
      <c r="P1633" s="2" t="s">
        <v>23</v>
      </c>
      <c r="Q1633" s="2" t="s">
        <v>20</v>
      </c>
    </row>
    <row r="1634" customFormat="false" ht="15" hidden="false" customHeight="false" outlineLevel="0" collapsed="false">
      <c r="A1634" s="2" t="n">
        <v>41</v>
      </c>
      <c r="B1634" s="2" t="s">
        <v>38</v>
      </c>
      <c r="C1634" s="2" t="s">
        <v>18</v>
      </c>
      <c r="D1634" s="2" t="s">
        <v>25</v>
      </c>
      <c r="E1634" s="2" t="s">
        <v>20</v>
      </c>
      <c r="F1634" s="2" t="n">
        <v>55</v>
      </c>
      <c r="G1634" s="2" t="s">
        <v>26</v>
      </c>
      <c r="H1634" s="2" t="s">
        <v>20</v>
      </c>
      <c r="I1634" s="2" t="s">
        <v>21</v>
      </c>
      <c r="J1634" s="2" t="n">
        <v>6</v>
      </c>
      <c r="K1634" s="2" t="s">
        <v>41</v>
      </c>
      <c r="L1634" s="2" t="n">
        <v>185</v>
      </c>
      <c r="M1634" s="2" t="n">
        <v>4</v>
      </c>
      <c r="N1634" s="2" t="n">
        <v>-1</v>
      </c>
      <c r="O1634" s="2" t="n">
        <v>0</v>
      </c>
      <c r="P1634" s="2" t="s">
        <v>23</v>
      </c>
      <c r="Q1634" s="2" t="s">
        <v>20</v>
      </c>
    </row>
    <row r="1635" customFormat="false" ht="15" hidden="false" customHeight="false" outlineLevel="0" collapsed="false">
      <c r="A1635" s="2" t="n">
        <v>59</v>
      </c>
      <c r="B1635" s="2" t="s">
        <v>34</v>
      </c>
      <c r="C1635" s="2" t="s">
        <v>18</v>
      </c>
      <c r="D1635" s="2" t="s">
        <v>19</v>
      </c>
      <c r="E1635" s="2" t="s">
        <v>20</v>
      </c>
      <c r="F1635" s="2" t="n">
        <v>699</v>
      </c>
      <c r="G1635" s="2" t="s">
        <v>20</v>
      </c>
      <c r="H1635" s="2" t="s">
        <v>20</v>
      </c>
      <c r="I1635" s="2" t="s">
        <v>21</v>
      </c>
      <c r="J1635" s="2" t="n">
        <v>28</v>
      </c>
      <c r="K1635" s="2" t="s">
        <v>43</v>
      </c>
      <c r="L1635" s="2" t="n">
        <v>98</v>
      </c>
      <c r="M1635" s="2" t="n">
        <v>1</v>
      </c>
      <c r="N1635" s="2" t="n">
        <v>154</v>
      </c>
      <c r="O1635" s="2" t="n">
        <v>6</v>
      </c>
      <c r="P1635" s="2" t="s">
        <v>28</v>
      </c>
      <c r="Q1635" s="2" t="s">
        <v>20</v>
      </c>
    </row>
    <row r="1636" customFormat="false" ht="15" hidden="false" customHeight="false" outlineLevel="0" collapsed="false">
      <c r="A1636" s="2" t="n">
        <v>42</v>
      </c>
      <c r="B1636" s="2" t="s">
        <v>17</v>
      </c>
      <c r="C1636" s="2" t="s">
        <v>45</v>
      </c>
      <c r="D1636" s="2" t="s">
        <v>25</v>
      </c>
      <c r="E1636" s="2" t="s">
        <v>20</v>
      </c>
      <c r="F1636" s="2" t="n">
        <v>759</v>
      </c>
      <c r="G1636" s="2" t="s">
        <v>20</v>
      </c>
      <c r="H1636" s="2" t="s">
        <v>20</v>
      </c>
      <c r="I1636" s="2" t="s">
        <v>21</v>
      </c>
      <c r="J1636" s="2" t="n">
        <v>28</v>
      </c>
      <c r="K1636" s="2" t="s">
        <v>43</v>
      </c>
      <c r="L1636" s="2" t="n">
        <v>97</v>
      </c>
      <c r="M1636" s="2" t="n">
        <v>1</v>
      </c>
      <c r="N1636" s="2" t="n">
        <v>169</v>
      </c>
      <c r="O1636" s="2" t="n">
        <v>3</v>
      </c>
      <c r="P1636" s="2" t="s">
        <v>28</v>
      </c>
      <c r="Q1636" s="2" t="s">
        <v>20</v>
      </c>
    </row>
    <row r="1637" customFormat="false" ht="15" hidden="false" customHeight="false" outlineLevel="0" collapsed="false">
      <c r="A1637" s="2" t="n">
        <v>33</v>
      </c>
      <c r="B1637" s="2" t="s">
        <v>34</v>
      </c>
      <c r="C1637" s="2" t="s">
        <v>18</v>
      </c>
      <c r="D1637" s="2" t="s">
        <v>25</v>
      </c>
      <c r="E1637" s="2" t="s">
        <v>20</v>
      </c>
      <c r="F1637" s="2" t="n">
        <v>687</v>
      </c>
      <c r="G1637" s="2" t="s">
        <v>26</v>
      </c>
      <c r="H1637" s="2" t="s">
        <v>20</v>
      </c>
      <c r="I1637" s="2" t="s">
        <v>21</v>
      </c>
      <c r="J1637" s="2" t="n">
        <v>14</v>
      </c>
      <c r="K1637" s="2" t="s">
        <v>27</v>
      </c>
      <c r="L1637" s="2" t="n">
        <v>72</v>
      </c>
      <c r="M1637" s="2" t="n">
        <v>2</v>
      </c>
      <c r="N1637" s="2" t="n">
        <v>370</v>
      </c>
      <c r="O1637" s="2" t="n">
        <v>1</v>
      </c>
      <c r="P1637" s="2" t="s">
        <v>28</v>
      </c>
      <c r="Q1637" s="2" t="s">
        <v>20</v>
      </c>
    </row>
    <row r="1638" customFormat="false" ht="15" hidden="false" customHeight="false" outlineLevel="0" collapsed="false">
      <c r="A1638" s="2" t="n">
        <v>53</v>
      </c>
      <c r="B1638" s="2" t="s">
        <v>48</v>
      </c>
      <c r="C1638" s="2" t="s">
        <v>18</v>
      </c>
      <c r="D1638" s="2" t="s">
        <v>25</v>
      </c>
      <c r="E1638" s="2" t="s">
        <v>20</v>
      </c>
      <c r="F1638" s="2" t="n">
        <v>4968</v>
      </c>
      <c r="G1638" s="2" t="s">
        <v>20</v>
      </c>
      <c r="H1638" s="2" t="s">
        <v>20</v>
      </c>
      <c r="I1638" s="2" t="s">
        <v>21</v>
      </c>
      <c r="J1638" s="2" t="n">
        <v>6</v>
      </c>
      <c r="K1638" s="2" t="s">
        <v>27</v>
      </c>
      <c r="L1638" s="2" t="n">
        <v>109</v>
      </c>
      <c r="M1638" s="2" t="n">
        <v>1</v>
      </c>
      <c r="N1638" s="2" t="n">
        <v>87</v>
      </c>
      <c r="O1638" s="2" t="n">
        <v>2</v>
      </c>
      <c r="P1638" s="2" t="s">
        <v>28</v>
      </c>
      <c r="Q1638" s="2" t="s">
        <v>20</v>
      </c>
    </row>
    <row r="1639" customFormat="false" ht="15" hidden="false" customHeight="false" outlineLevel="0" collapsed="false">
      <c r="A1639" s="2" t="n">
        <v>43</v>
      </c>
      <c r="B1639" s="2" t="s">
        <v>34</v>
      </c>
      <c r="C1639" s="2" t="s">
        <v>18</v>
      </c>
      <c r="D1639" s="2" t="s">
        <v>19</v>
      </c>
      <c r="E1639" s="2" t="s">
        <v>20</v>
      </c>
      <c r="F1639" s="2" t="n">
        <v>1211</v>
      </c>
      <c r="G1639" s="2" t="s">
        <v>26</v>
      </c>
      <c r="H1639" s="2" t="s">
        <v>20</v>
      </c>
      <c r="I1639" s="2" t="s">
        <v>23</v>
      </c>
      <c r="J1639" s="2" t="n">
        <v>6</v>
      </c>
      <c r="K1639" s="2" t="s">
        <v>27</v>
      </c>
      <c r="L1639" s="2" t="n">
        <v>208</v>
      </c>
      <c r="M1639" s="2" t="n">
        <v>3</v>
      </c>
      <c r="N1639" s="2" t="n">
        <v>-1</v>
      </c>
      <c r="O1639" s="2" t="n">
        <v>0</v>
      </c>
      <c r="P1639" s="2" t="s">
        <v>23</v>
      </c>
      <c r="Q1639" s="2" t="s">
        <v>20</v>
      </c>
    </row>
    <row r="1640" customFormat="false" ht="15" hidden="false" customHeight="false" outlineLevel="0" collapsed="false">
      <c r="A1640" s="2" t="n">
        <v>39</v>
      </c>
      <c r="B1640" s="2" t="s">
        <v>36</v>
      </c>
      <c r="C1640" s="2" t="s">
        <v>30</v>
      </c>
      <c r="D1640" s="2" t="s">
        <v>31</v>
      </c>
      <c r="E1640" s="2" t="s">
        <v>20</v>
      </c>
      <c r="F1640" s="2" t="n">
        <v>426</v>
      </c>
      <c r="G1640" s="2" t="s">
        <v>20</v>
      </c>
      <c r="H1640" s="2" t="s">
        <v>20</v>
      </c>
      <c r="I1640" s="2" t="s">
        <v>23</v>
      </c>
      <c r="J1640" s="2" t="n">
        <v>18</v>
      </c>
      <c r="K1640" s="2" t="s">
        <v>33</v>
      </c>
      <c r="L1640" s="2" t="n">
        <v>1029</v>
      </c>
      <c r="M1640" s="2" t="n">
        <v>1</v>
      </c>
      <c r="N1640" s="2" t="n">
        <v>-1</v>
      </c>
      <c r="O1640" s="2" t="n">
        <v>0</v>
      </c>
      <c r="P1640" s="2" t="s">
        <v>23</v>
      </c>
      <c r="Q1640" s="2" t="s">
        <v>26</v>
      </c>
    </row>
    <row r="1641" customFormat="false" ht="15" hidden="false" customHeight="false" outlineLevel="0" collapsed="false">
      <c r="A1641" s="2" t="n">
        <v>27</v>
      </c>
      <c r="B1641" s="2" t="s">
        <v>39</v>
      </c>
      <c r="C1641" s="2" t="s">
        <v>30</v>
      </c>
      <c r="D1641" s="2" t="s">
        <v>25</v>
      </c>
      <c r="E1641" s="2" t="s">
        <v>20</v>
      </c>
      <c r="F1641" s="2" t="n">
        <v>376</v>
      </c>
      <c r="G1641" s="2" t="s">
        <v>26</v>
      </c>
      <c r="H1641" s="2" t="s">
        <v>26</v>
      </c>
      <c r="I1641" s="2" t="s">
        <v>21</v>
      </c>
      <c r="J1641" s="2" t="n">
        <v>5</v>
      </c>
      <c r="K1641" s="2" t="s">
        <v>27</v>
      </c>
      <c r="L1641" s="2" t="n">
        <v>273</v>
      </c>
      <c r="M1641" s="2" t="n">
        <v>1</v>
      </c>
      <c r="N1641" s="2" t="n">
        <v>-1</v>
      </c>
      <c r="O1641" s="2" t="n">
        <v>0</v>
      </c>
      <c r="P1641" s="2" t="s">
        <v>23</v>
      </c>
      <c r="Q1641" s="2" t="s">
        <v>20</v>
      </c>
    </row>
    <row r="1642" customFormat="false" ht="15" hidden="false" customHeight="false" outlineLevel="0" collapsed="false">
      <c r="A1642" s="2" t="n">
        <v>39</v>
      </c>
      <c r="B1642" s="2" t="s">
        <v>29</v>
      </c>
      <c r="C1642" s="2" t="s">
        <v>18</v>
      </c>
      <c r="D1642" s="2" t="s">
        <v>31</v>
      </c>
      <c r="E1642" s="2" t="s">
        <v>20</v>
      </c>
      <c r="F1642" s="2" t="n">
        <v>12</v>
      </c>
      <c r="G1642" s="2" t="s">
        <v>26</v>
      </c>
      <c r="H1642" s="2" t="s">
        <v>20</v>
      </c>
      <c r="I1642" s="2" t="s">
        <v>23</v>
      </c>
      <c r="J1642" s="2" t="n">
        <v>23</v>
      </c>
      <c r="K1642" s="2" t="s">
        <v>27</v>
      </c>
      <c r="L1642" s="2" t="n">
        <v>130</v>
      </c>
      <c r="M1642" s="2" t="n">
        <v>1</v>
      </c>
      <c r="N1642" s="2" t="n">
        <v>-1</v>
      </c>
      <c r="O1642" s="2" t="n">
        <v>0</v>
      </c>
      <c r="P1642" s="2" t="s">
        <v>23</v>
      </c>
      <c r="Q1642" s="2" t="s">
        <v>20</v>
      </c>
    </row>
    <row r="1643" customFormat="false" ht="15" hidden="false" customHeight="false" outlineLevel="0" collapsed="false">
      <c r="A1643" s="2" t="n">
        <v>27</v>
      </c>
      <c r="B1643" s="2" t="s">
        <v>34</v>
      </c>
      <c r="C1643" s="2" t="s">
        <v>30</v>
      </c>
      <c r="D1643" s="2" t="s">
        <v>25</v>
      </c>
      <c r="E1643" s="2" t="s">
        <v>20</v>
      </c>
      <c r="F1643" s="2" t="n">
        <v>23</v>
      </c>
      <c r="G1643" s="2" t="s">
        <v>20</v>
      </c>
      <c r="H1643" s="2" t="s">
        <v>20</v>
      </c>
      <c r="I1643" s="2" t="s">
        <v>21</v>
      </c>
      <c r="J1643" s="2" t="n">
        <v>26</v>
      </c>
      <c r="K1643" s="2" t="s">
        <v>35</v>
      </c>
      <c r="L1643" s="2" t="n">
        <v>590</v>
      </c>
      <c r="M1643" s="2" t="n">
        <v>2</v>
      </c>
      <c r="N1643" s="2" t="n">
        <v>-1</v>
      </c>
      <c r="O1643" s="2" t="n">
        <v>0</v>
      </c>
      <c r="P1643" s="2" t="s">
        <v>23</v>
      </c>
      <c r="Q1643" s="2" t="s">
        <v>20</v>
      </c>
    </row>
    <row r="1644" customFormat="false" ht="15" hidden="false" customHeight="false" outlineLevel="0" collapsed="false">
      <c r="A1644" s="2" t="n">
        <v>33</v>
      </c>
      <c r="B1644" s="2" t="s">
        <v>40</v>
      </c>
      <c r="C1644" s="2" t="s">
        <v>18</v>
      </c>
      <c r="D1644" s="2" t="s">
        <v>25</v>
      </c>
      <c r="E1644" s="2" t="s">
        <v>20</v>
      </c>
      <c r="F1644" s="2" t="n">
        <v>353</v>
      </c>
      <c r="G1644" s="2" t="s">
        <v>26</v>
      </c>
      <c r="H1644" s="2" t="s">
        <v>20</v>
      </c>
      <c r="I1644" s="2" t="s">
        <v>21</v>
      </c>
      <c r="J1644" s="2" t="n">
        <v>19</v>
      </c>
      <c r="K1644" s="2" t="s">
        <v>46</v>
      </c>
      <c r="L1644" s="2" t="n">
        <v>107</v>
      </c>
      <c r="M1644" s="2" t="n">
        <v>2</v>
      </c>
      <c r="N1644" s="2" t="n">
        <v>-1</v>
      </c>
      <c r="O1644" s="2" t="n">
        <v>0</v>
      </c>
      <c r="P1644" s="2" t="s">
        <v>23</v>
      </c>
      <c r="Q1644" s="2" t="s">
        <v>20</v>
      </c>
    </row>
    <row r="1645" customFormat="false" ht="15" hidden="false" customHeight="false" outlineLevel="0" collapsed="false">
      <c r="A1645" s="2" t="n">
        <v>29</v>
      </c>
      <c r="B1645" s="2" t="s">
        <v>24</v>
      </c>
      <c r="C1645" s="2" t="s">
        <v>45</v>
      </c>
      <c r="D1645" s="2" t="s">
        <v>25</v>
      </c>
      <c r="E1645" s="2" t="s">
        <v>20</v>
      </c>
      <c r="F1645" s="2" t="n">
        <v>330</v>
      </c>
      <c r="G1645" s="2" t="s">
        <v>26</v>
      </c>
      <c r="H1645" s="2" t="s">
        <v>20</v>
      </c>
      <c r="I1645" s="2" t="s">
        <v>23</v>
      </c>
      <c r="J1645" s="2" t="n">
        <v>12</v>
      </c>
      <c r="K1645" s="2" t="s">
        <v>27</v>
      </c>
      <c r="L1645" s="2" t="n">
        <v>88</v>
      </c>
      <c r="M1645" s="2" t="n">
        <v>2</v>
      </c>
      <c r="N1645" s="2" t="n">
        <v>-1</v>
      </c>
      <c r="O1645" s="2" t="n">
        <v>0</v>
      </c>
      <c r="P1645" s="2" t="s">
        <v>23</v>
      </c>
      <c r="Q1645" s="2" t="s">
        <v>20</v>
      </c>
    </row>
    <row r="1646" customFormat="false" ht="15" hidden="false" customHeight="false" outlineLevel="0" collapsed="false">
      <c r="A1646" s="2" t="n">
        <v>33</v>
      </c>
      <c r="B1646" s="2" t="s">
        <v>29</v>
      </c>
      <c r="C1646" s="2" t="s">
        <v>45</v>
      </c>
      <c r="D1646" s="2" t="s">
        <v>31</v>
      </c>
      <c r="E1646" s="2" t="s">
        <v>20</v>
      </c>
      <c r="F1646" s="2" t="n">
        <v>0</v>
      </c>
      <c r="G1646" s="2" t="s">
        <v>20</v>
      </c>
      <c r="H1646" s="2" t="s">
        <v>20</v>
      </c>
      <c r="I1646" s="2" t="s">
        <v>21</v>
      </c>
      <c r="J1646" s="2" t="n">
        <v>13</v>
      </c>
      <c r="K1646" s="2" t="s">
        <v>41</v>
      </c>
      <c r="L1646" s="2" t="n">
        <v>305</v>
      </c>
      <c r="M1646" s="2" t="n">
        <v>2</v>
      </c>
      <c r="N1646" s="2" t="n">
        <v>-1</v>
      </c>
      <c r="O1646" s="2" t="n">
        <v>0</v>
      </c>
      <c r="P1646" s="2" t="s">
        <v>23</v>
      </c>
      <c r="Q1646" s="2" t="s">
        <v>20</v>
      </c>
    </row>
    <row r="1647" customFormat="false" ht="15" hidden="false" customHeight="false" outlineLevel="0" collapsed="false">
      <c r="A1647" s="2" t="n">
        <v>41</v>
      </c>
      <c r="B1647" s="2" t="s">
        <v>39</v>
      </c>
      <c r="C1647" s="2" t="s">
        <v>18</v>
      </c>
      <c r="D1647" s="2" t="s">
        <v>25</v>
      </c>
      <c r="E1647" s="2" t="s">
        <v>20</v>
      </c>
      <c r="F1647" s="2" t="n">
        <v>353</v>
      </c>
      <c r="G1647" s="2" t="s">
        <v>20</v>
      </c>
      <c r="H1647" s="2" t="s">
        <v>20</v>
      </c>
      <c r="I1647" s="2" t="s">
        <v>21</v>
      </c>
      <c r="J1647" s="2" t="n">
        <v>19</v>
      </c>
      <c r="K1647" s="2" t="s">
        <v>46</v>
      </c>
      <c r="L1647" s="2" t="n">
        <v>90</v>
      </c>
      <c r="M1647" s="2" t="n">
        <v>2</v>
      </c>
      <c r="N1647" s="2" t="n">
        <v>-1</v>
      </c>
      <c r="O1647" s="2" t="n">
        <v>0</v>
      </c>
      <c r="P1647" s="2" t="s">
        <v>23</v>
      </c>
      <c r="Q1647" s="2" t="s">
        <v>20</v>
      </c>
    </row>
    <row r="1648" customFormat="false" ht="15" hidden="false" customHeight="false" outlineLevel="0" collapsed="false">
      <c r="A1648" s="2" t="n">
        <v>38</v>
      </c>
      <c r="B1648" s="2" t="s">
        <v>38</v>
      </c>
      <c r="C1648" s="2" t="s">
        <v>30</v>
      </c>
      <c r="D1648" s="2" t="s">
        <v>31</v>
      </c>
      <c r="E1648" s="2" t="s">
        <v>20</v>
      </c>
      <c r="F1648" s="2" t="n">
        <v>2273</v>
      </c>
      <c r="G1648" s="2" t="s">
        <v>26</v>
      </c>
      <c r="H1648" s="2" t="s">
        <v>20</v>
      </c>
      <c r="I1648" s="2" t="s">
        <v>21</v>
      </c>
      <c r="J1648" s="2" t="n">
        <v>17</v>
      </c>
      <c r="K1648" s="2" t="s">
        <v>32</v>
      </c>
      <c r="L1648" s="2" t="n">
        <v>222</v>
      </c>
      <c r="M1648" s="2" t="n">
        <v>1</v>
      </c>
      <c r="N1648" s="2" t="n">
        <v>-1</v>
      </c>
      <c r="O1648" s="2" t="n">
        <v>0</v>
      </c>
      <c r="P1648" s="2" t="s">
        <v>23</v>
      </c>
      <c r="Q1648" s="2" t="s">
        <v>20</v>
      </c>
    </row>
    <row r="1649" customFormat="false" ht="15" hidden="false" customHeight="false" outlineLevel="0" collapsed="false">
      <c r="A1649" s="2" t="n">
        <v>30</v>
      </c>
      <c r="B1649" s="2" t="s">
        <v>29</v>
      </c>
      <c r="C1649" s="2" t="s">
        <v>18</v>
      </c>
      <c r="D1649" s="2" t="s">
        <v>31</v>
      </c>
      <c r="E1649" s="2" t="s">
        <v>20</v>
      </c>
      <c r="F1649" s="2" t="n">
        <v>0</v>
      </c>
      <c r="G1649" s="2" t="s">
        <v>26</v>
      </c>
      <c r="H1649" s="2" t="s">
        <v>20</v>
      </c>
      <c r="I1649" s="2" t="s">
        <v>21</v>
      </c>
      <c r="J1649" s="2" t="n">
        <v>9</v>
      </c>
      <c r="K1649" s="2" t="s">
        <v>44</v>
      </c>
      <c r="L1649" s="2" t="n">
        <v>127</v>
      </c>
      <c r="M1649" s="2" t="n">
        <v>1</v>
      </c>
      <c r="N1649" s="2" t="n">
        <v>-1</v>
      </c>
      <c r="O1649" s="2" t="n">
        <v>0</v>
      </c>
      <c r="P1649" s="2" t="s">
        <v>23</v>
      </c>
      <c r="Q1649" s="2" t="s">
        <v>20</v>
      </c>
    </row>
    <row r="1650" customFormat="false" ht="15" hidden="false" customHeight="false" outlineLevel="0" collapsed="false">
      <c r="A1650" s="2" t="n">
        <v>58</v>
      </c>
      <c r="B1650" s="2" t="s">
        <v>17</v>
      </c>
      <c r="C1650" s="2" t="s">
        <v>18</v>
      </c>
      <c r="D1650" s="2" t="s">
        <v>31</v>
      </c>
      <c r="E1650" s="2" t="s">
        <v>20</v>
      </c>
      <c r="F1650" s="2" t="n">
        <v>744</v>
      </c>
      <c r="G1650" s="2" t="s">
        <v>20</v>
      </c>
      <c r="H1650" s="2" t="s">
        <v>20</v>
      </c>
      <c r="I1650" s="2" t="s">
        <v>49</v>
      </c>
      <c r="J1650" s="2" t="n">
        <v>28</v>
      </c>
      <c r="K1650" s="2" t="s">
        <v>43</v>
      </c>
      <c r="L1650" s="2" t="n">
        <v>38</v>
      </c>
      <c r="M1650" s="2" t="n">
        <v>1</v>
      </c>
      <c r="N1650" s="2" t="n">
        <v>-1</v>
      </c>
      <c r="O1650" s="2" t="n">
        <v>0</v>
      </c>
      <c r="P1650" s="2" t="s">
        <v>23</v>
      </c>
      <c r="Q1650" s="2" t="s">
        <v>20</v>
      </c>
    </row>
    <row r="1651" customFormat="false" ht="15" hidden="false" customHeight="false" outlineLevel="0" collapsed="false">
      <c r="A1651" s="2" t="n">
        <v>37</v>
      </c>
      <c r="B1651" s="2" t="s">
        <v>24</v>
      </c>
      <c r="C1651" s="2" t="s">
        <v>30</v>
      </c>
      <c r="D1651" s="2" t="s">
        <v>25</v>
      </c>
      <c r="E1651" s="2" t="s">
        <v>20</v>
      </c>
      <c r="F1651" s="2" t="n">
        <v>608</v>
      </c>
      <c r="G1651" s="2" t="s">
        <v>20</v>
      </c>
      <c r="H1651" s="2" t="s">
        <v>20</v>
      </c>
      <c r="I1651" s="2" t="s">
        <v>21</v>
      </c>
      <c r="J1651" s="2" t="n">
        <v>14</v>
      </c>
      <c r="K1651" s="2" t="s">
        <v>27</v>
      </c>
      <c r="L1651" s="2" t="n">
        <v>380</v>
      </c>
      <c r="M1651" s="2" t="n">
        <v>3</v>
      </c>
      <c r="N1651" s="2" t="n">
        <v>-1</v>
      </c>
      <c r="O1651" s="2" t="n">
        <v>0</v>
      </c>
      <c r="P1651" s="2" t="s">
        <v>23</v>
      </c>
      <c r="Q1651" s="2" t="s">
        <v>20</v>
      </c>
    </row>
    <row r="1652" customFormat="false" ht="15" hidden="false" customHeight="false" outlineLevel="0" collapsed="false">
      <c r="A1652" s="2" t="n">
        <v>36</v>
      </c>
      <c r="B1652" s="2" t="s">
        <v>40</v>
      </c>
      <c r="C1652" s="2" t="s">
        <v>45</v>
      </c>
      <c r="D1652" s="2" t="s">
        <v>25</v>
      </c>
      <c r="E1652" s="2" t="s">
        <v>20</v>
      </c>
      <c r="F1652" s="2" t="n">
        <v>356</v>
      </c>
      <c r="G1652" s="2" t="s">
        <v>26</v>
      </c>
      <c r="H1652" s="2" t="s">
        <v>20</v>
      </c>
      <c r="I1652" s="2" t="s">
        <v>21</v>
      </c>
      <c r="J1652" s="2" t="n">
        <v>7</v>
      </c>
      <c r="K1652" s="2" t="s">
        <v>32</v>
      </c>
      <c r="L1652" s="2" t="n">
        <v>244</v>
      </c>
      <c r="M1652" s="2" t="n">
        <v>3</v>
      </c>
      <c r="N1652" s="2" t="n">
        <v>313</v>
      </c>
      <c r="O1652" s="2" t="n">
        <v>1</v>
      </c>
      <c r="P1652" s="2" t="s">
        <v>28</v>
      </c>
      <c r="Q1652" s="2" t="s">
        <v>20</v>
      </c>
    </row>
    <row r="1653" customFormat="false" ht="15" hidden="false" customHeight="false" outlineLevel="0" collapsed="false">
      <c r="A1653" s="2" t="n">
        <v>45</v>
      </c>
      <c r="B1653" s="2" t="s">
        <v>34</v>
      </c>
      <c r="C1653" s="2" t="s">
        <v>18</v>
      </c>
      <c r="D1653" s="2" t="s">
        <v>19</v>
      </c>
      <c r="E1653" s="2" t="s">
        <v>20</v>
      </c>
      <c r="F1653" s="2" t="n">
        <v>1291</v>
      </c>
      <c r="G1653" s="2" t="s">
        <v>26</v>
      </c>
      <c r="H1653" s="2" t="s">
        <v>20</v>
      </c>
      <c r="I1653" s="2" t="s">
        <v>21</v>
      </c>
      <c r="J1653" s="2" t="n">
        <v>28</v>
      </c>
      <c r="K1653" s="2" t="s">
        <v>41</v>
      </c>
      <c r="L1653" s="2" t="n">
        <v>189</v>
      </c>
      <c r="M1653" s="2" t="n">
        <v>17</v>
      </c>
      <c r="N1653" s="2" t="n">
        <v>-1</v>
      </c>
      <c r="O1653" s="2" t="n">
        <v>0</v>
      </c>
      <c r="P1653" s="2" t="s">
        <v>23</v>
      </c>
      <c r="Q1653" s="2" t="s">
        <v>20</v>
      </c>
    </row>
    <row r="1654" customFormat="false" ht="15" hidden="false" customHeight="false" outlineLevel="0" collapsed="false">
      <c r="A1654" s="2" t="n">
        <v>23</v>
      </c>
      <c r="B1654" s="2" t="s">
        <v>38</v>
      </c>
      <c r="C1654" s="2" t="s">
        <v>30</v>
      </c>
      <c r="D1654" s="2" t="s">
        <v>25</v>
      </c>
      <c r="E1654" s="2" t="s">
        <v>20</v>
      </c>
      <c r="F1654" s="2" t="n">
        <v>-306</v>
      </c>
      <c r="G1654" s="2" t="s">
        <v>26</v>
      </c>
      <c r="H1654" s="2" t="s">
        <v>20</v>
      </c>
      <c r="I1654" s="2" t="s">
        <v>23</v>
      </c>
      <c r="J1654" s="2" t="n">
        <v>4</v>
      </c>
      <c r="K1654" s="2" t="s">
        <v>33</v>
      </c>
      <c r="L1654" s="2" t="n">
        <v>217</v>
      </c>
      <c r="M1654" s="2" t="n">
        <v>2</v>
      </c>
      <c r="N1654" s="2" t="n">
        <v>-1</v>
      </c>
      <c r="O1654" s="2" t="n">
        <v>0</v>
      </c>
      <c r="P1654" s="2" t="s">
        <v>23</v>
      </c>
      <c r="Q1654" s="2" t="s">
        <v>20</v>
      </c>
    </row>
    <row r="1655" customFormat="false" ht="15" hidden="false" customHeight="false" outlineLevel="0" collapsed="false">
      <c r="A1655" s="2" t="n">
        <v>53</v>
      </c>
      <c r="B1655" s="2" t="s">
        <v>34</v>
      </c>
      <c r="C1655" s="2" t="s">
        <v>18</v>
      </c>
      <c r="D1655" s="2" t="s">
        <v>19</v>
      </c>
      <c r="E1655" s="2" t="s">
        <v>20</v>
      </c>
      <c r="F1655" s="2" t="n">
        <v>306</v>
      </c>
      <c r="G1655" s="2" t="s">
        <v>20</v>
      </c>
      <c r="H1655" s="2" t="s">
        <v>20</v>
      </c>
      <c r="I1655" s="2" t="s">
        <v>21</v>
      </c>
      <c r="J1655" s="2" t="n">
        <v>28</v>
      </c>
      <c r="K1655" s="2" t="s">
        <v>44</v>
      </c>
      <c r="L1655" s="2" t="n">
        <v>388</v>
      </c>
      <c r="M1655" s="2" t="n">
        <v>3</v>
      </c>
      <c r="N1655" s="2" t="n">
        <v>181</v>
      </c>
      <c r="O1655" s="2" t="n">
        <v>1</v>
      </c>
      <c r="P1655" s="2" t="s">
        <v>50</v>
      </c>
      <c r="Q1655" s="2" t="s">
        <v>26</v>
      </c>
    </row>
    <row r="1656" customFormat="false" ht="15" hidden="false" customHeight="false" outlineLevel="0" collapsed="false">
      <c r="A1656" s="2" t="n">
        <v>44</v>
      </c>
      <c r="B1656" s="2" t="s">
        <v>34</v>
      </c>
      <c r="C1656" s="2" t="s">
        <v>18</v>
      </c>
      <c r="D1656" s="2" t="s">
        <v>19</v>
      </c>
      <c r="E1656" s="2" t="s">
        <v>20</v>
      </c>
      <c r="F1656" s="2" t="n">
        <v>-312</v>
      </c>
      <c r="G1656" s="2" t="s">
        <v>26</v>
      </c>
      <c r="H1656" s="2" t="s">
        <v>20</v>
      </c>
      <c r="I1656" s="2" t="s">
        <v>23</v>
      </c>
      <c r="J1656" s="2" t="n">
        <v>20</v>
      </c>
      <c r="K1656" s="2" t="s">
        <v>33</v>
      </c>
      <c r="L1656" s="2" t="n">
        <v>22</v>
      </c>
      <c r="M1656" s="2" t="n">
        <v>3</v>
      </c>
      <c r="N1656" s="2" t="n">
        <v>-1</v>
      </c>
      <c r="O1656" s="2" t="n">
        <v>0</v>
      </c>
      <c r="P1656" s="2" t="s">
        <v>23</v>
      </c>
      <c r="Q1656" s="2" t="s">
        <v>20</v>
      </c>
    </row>
    <row r="1657" customFormat="false" ht="15" hidden="false" customHeight="false" outlineLevel="0" collapsed="false">
      <c r="A1657" s="2" t="n">
        <v>32</v>
      </c>
      <c r="B1657" s="2" t="s">
        <v>38</v>
      </c>
      <c r="C1657" s="2" t="s">
        <v>30</v>
      </c>
      <c r="D1657" s="2" t="s">
        <v>25</v>
      </c>
      <c r="E1657" s="2" t="s">
        <v>20</v>
      </c>
      <c r="F1657" s="2" t="n">
        <v>493</v>
      </c>
      <c r="G1657" s="2" t="s">
        <v>20</v>
      </c>
      <c r="H1657" s="2" t="s">
        <v>20</v>
      </c>
      <c r="I1657" s="2" t="s">
        <v>21</v>
      </c>
      <c r="J1657" s="2" t="n">
        <v>13</v>
      </c>
      <c r="K1657" s="2" t="s">
        <v>41</v>
      </c>
      <c r="L1657" s="2" t="n">
        <v>289</v>
      </c>
      <c r="M1657" s="2" t="n">
        <v>2</v>
      </c>
      <c r="N1657" s="2" t="n">
        <v>-1</v>
      </c>
      <c r="O1657" s="2" t="n">
        <v>0</v>
      </c>
      <c r="P1657" s="2" t="s">
        <v>23</v>
      </c>
      <c r="Q1657" s="2" t="s">
        <v>20</v>
      </c>
    </row>
    <row r="1658" customFormat="false" ht="15" hidden="false" customHeight="false" outlineLevel="0" collapsed="false">
      <c r="A1658" s="2" t="n">
        <v>32</v>
      </c>
      <c r="B1658" s="2" t="s">
        <v>29</v>
      </c>
      <c r="C1658" s="2" t="s">
        <v>18</v>
      </c>
      <c r="D1658" s="2" t="s">
        <v>31</v>
      </c>
      <c r="E1658" s="2" t="s">
        <v>20</v>
      </c>
      <c r="F1658" s="2" t="n">
        <v>71</v>
      </c>
      <c r="G1658" s="2" t="s">
        <v>26</v>
      </c>
      <c r="H1658" s="2" t="s">
        <v>20</v>
      </c>
      <c r="I1658" s="2" t="s">
        <v>21</v>
      </c>
      <c r="J1658" s="2" t="n">
        <v>21</v>
      </c>
      <c r="K1658" s="2" t="s">
        <v>44</v>
      </c>
      <c r="L1658" s="2" t="n">
        <v>221</v>
      </c>
      <c r="M1658" s="2" t="n">
        <v>8</v>
      </c>
      <c r="N1658" s="2" t="n">
        <v>-1</v>
      </c>
      <c r="O1658" s="2" t="n">
        <v>0</v>
      </c>
      <c r="P1658" s="2" t="s">
        <v>23</v>
      </c>
      <c r="Q1658" s="2" t="s">
        <v>20</v>
      </c>
    </row>
    <row r="1659" customFormat="false" ht="15" hidden="false" customHeight="false" outlineLevel="0" collapsed="false">
      <c r="A1659" s="2" t="n">
        <v>38</v>
      </c>
      <c r="B1659" s="2" t="s">
        <v>40</v>
      </c>
      <c r="C1659" s="2" t="s">
        <v>18</v>
      </c>
      <c r="D1659" s="2" t="s">
        <v>31</v>
      </c>
      <c r="E1659" s="2" t="s">
        <v>20</v>
      </c>
      <c r="F1659" s="2" t="n">
        <v>669</v>
      </c>
      <c r="G1659" s="2" t="s">
        <v>26</v>
      </c>
      <c r="H1659" s="2" t="s">
        <v>26</v>
      </c>
      <c r="I1659" s="2" t="s">
        <v>21</v>
      </c>
      <c r="J1659" s="2" t="n">
        <v>31</v>
      </c>
      <c r="K1659" s="2" t="s">
        <v>44</v>
      </c>
      <c r="L1659" s="2" t="n">
        <v>129</v>
      </c>
      <c r="M1659" s="2" t="n">
        <v>2</v>
      </c>
      <c r="N1659" s="2" t="n">
        <v>-1</v>
      </c>
      <c r="O1659" s="2" t="n">
        <v>0</v>
      </c>
      <c r="P1659" s="2" t="s">
        <v>23</v>
      </c>
      <c r="Q1659" s="2" t="s">
        <v>20</v>
      </c>
    </row>
    <row r="1660" customFormat="false" ht="15" hidden="false" customHeight="false" outlineLevel="0" collapsed="false">
      <c r="A1660" s="2" t="n">
        <v>47</v>
      </c>
      <c r="B1660" s="2" t="s">
        <v>34</v>
      </c>
      <c r="C1660" s="2" t="s">
        <v>18</v>
      </c>
      <c r="D1660" s="2" t="s">
        <v>19</v>
      </c>
      <c r="E1660" s="2" t="s">
        <v>20</v>
      </c>
      <c r="F1660" s="2" t="n">
        <v>556</v>
      </c>
      <c r="G1660" s="2" t="s">
        <v>26</v>
      </c>
      <c r="H1660" s="2" t="s">
        <v>20</v>
      </c>
      <c r="I1660" s="2" t="s">
        <v>21</v>
      </c>
      <c r="J1660" s="2" t="n">
        <v>4</v>
      </c>
      <c r="K1660" s="2" t="s">
        <v>35</v>
      </c>
      <c r="L1660" s="2" t="n">
        <v>147</v>
      </c>
      <c r="M1660" s="2" t="n">
        <v>2</v>
      </c>
      <c r="N1660" s="2" t="n">
        <v>264</v>
      </c>
      <c r="O1660" s="2" t="n">
        <v>4</v>
      </c>
      <c r="P1660" s="2" t="s">
        <v>37</v>
      </c>
      <c r="Q1660" s="2" t="s">
        <v>20</v>
      </c>
    </row>
    <row r="1661" customFormat="false" ht="15" hidden="false" customHeight="false" outlineLevel="0" collapsed="false">
      <c r="A1661" s="2" t="n">
        <v>34</v>
      </c>
      <c r="B1661" s="2" t="s">
        <v>24</v>
      </c>
      <c r="C1661" s="2" t="s">
        <v>30</v>
      </c>
      <c r="D1661" s="2" t="s">
        <v>25</v>
      </c>
      <c r="E1661" s="2" t="s">
        <v>20</v>
      </c>
      <c r="F1661" s="2" t="n">
        <v>84</v>
      </c>
      <c r="G1661" s="2" t="s">
        <v>26</v>
      </c>
      <c r="H1661" s="2" t="s">
        <v>20</v>
      </c>
      <c r="I1661" s="2" t="s">
        <v>23</v>
      </c>
      <c r="J1661" s="2" t="n">
        <v>23</v>
      </c>
      <c r="K1661" s="2" t="s">
        <v>27</v>
      </c>
      <c r="L1661" s="2" t="n">
        <v>299</v>
      </c>
      <c r="M1661" s="2" t="n">
        <v>1</v>
      </c>
      <c r="N1661" s="2" t="n">
        <v>-1</v>
      </c>
      <c r="O1661" s="2" t="n">
        <v>0</v>
      </c>
      <c r="P1661" s="2" t="s">
        <v>23</v>
      </c>
      <c r="Q1661" s="2" t="s">
        <v>20</v>
      </c>
    </row>
    <row r="1662" customFormat="false" ht="15" hidden="false" customHeight="false" outlineLevel="0" collapsed="false">
      <c r="A1662" s="2" t="n">
        <v>52</v>
      </c>
      <c r="B1662" s="2" t="s">
        <v>24</v>
      </c>
      <c r="C1662" s="2" t="s">
        <v>18</v>
      </c>
      <c r="D1662" s="2" t="s">
        <v>25</v>
      </c>
      <c r="E1662" s="2" t="s">
        <v>20</v>
      </c>
      <c r="F1662" s="2" t="n">
        <v>108</v>
      </c>
      <c r="G1662" s="2" t="s">
        <v>26</v>
      </c>
      <c r="H1662" s="2" t="s">
        <v>20</v>
      </c>
      <c r="I1662" s="2" t="s">
        <v>23</v>
      </c>
      <c r="J1662" s="2" t="n">
        <v>15</v>
      </c>
      <c r="K1662" s="2" t="s">
        <v>27</v>
      </c>
      <c r="L1662" s="2" t="n">
        <v>543</v>
      </c>
      <c r="M1662" s="2" t="n">
        <v>12</v>
      </c>
      <c r="N1662" s="2" t="n">
        <v>-1</v>
      </c>
      <c r="O1662" s="2" t="n">
        <v>0</v>
      </c>
      <c r="P1662" s="2" t="s">
        <v>23</v>
      </c>
      <c r="Q1662" s="2" t="s">
        <v>20</v>
      </c>
    </row>
    <row r="1663" customFormat="false" ht="15" hidden="false" customHeight="false" outlineLevel="0" collapsed="false">
      <c r="A1663" s="2" t="n">
        <v>45</v>
      </c>
      <c r="B1663" s="2" t="s">
        <v>40</v>
      </c>
      <c r="C1663" s="2" t="s">
        <v>30</v>
      </c>
      <c r="D1663" s="2" t="s">
        <v>25</v>
      </c>
      <c r="E1663" s="2" t="s">
        <v>20</v>
      </c>
      <c r="F1663" s="2" t="n">
        <v>-11</v>
      </c>
      <c r="G1663" s="2" t="s">
        <v>26</v>
      </c>
      <c r="H1663" s="2" t="s">
        <v>20</v>
      </c>
      <c r="I1663" s="2" t="s">
        <v>21</v>
      </c>
      <c r="J1663" s="2" t="n">
        <v>5</v>
      </c>
      <c r="K1663" s="2" t="s">
        <v>27</v>
      </c>
      <c r="L1663" s="2" t="n">
        <v>247</v>
      </c>
      <c r="M1663" s="2" t="n">
        <v>1</v>
      </c>
      <c r="N1663" s="2" t="n">
        <v>-1</v>
      </c>
      <c r="O1663" s="2" t="n">
        <v>0</v>
      </c>
      <c r="P1663" s="2" t="s">
        <v>23</v>
      </c>
      <c r="Q1663" s="2" t="s">
        <v>20</v>
      </c>
    </row>
    <row r="1664" customFormat="false" ht="15" hidden="false" customHeight="false" outlineLevel="0" collapsed="false">
      <c r="A1664" s="2" t="n">
        <v>50</v>
      </c>
      <c r="B1664" s="2" t="s">
        <v>34</v>
      </c>
      <c r="C1664" s="2" t="s">
        <v>18</v>
      </c>
      <c r="D1664" s="2" t="s">
        <v>19</v>
      </c>
      <c r="E1664" s="2" t="s">
        <v>20</v>
      </c>
      <c r="F1664" s="2" t="n">
        <v>1164</v>
      </c>
      <c r="G1664" s="2" t="s">
        <v>26</v>
      </c>
      <c r="H1664" s="2" t="s">
        <v>20</v>
      </c>
      <c r="I1664" s="2" t="s">
        <v>23</v>
      </c>
      <c r="J1664" s="2" t="n">
        <v>8</v>
      </c>
      <c r="K1664" s="2" t="s">
        <v>27</v>
      </c>
      <c r="L1664" s="2" t="n">
        <v>166</v>
      </c>
      <c r="M1664" s="2" t="n">
        <v>2</v>
      </c>
      <c r="N1664" s="2" t="n">
        <v>-1</v>
      </c>
      <c r="O1664" s="2" t="n">
        <v>0</v>
      </c>
      <c r="P1664" s="2" t="s">
        <v>23</v>
      </c>
      <c r="Q1664" s="2" t="s">
        <v>20</v>
      </c>
    </row>
    <row r="1665" customFormat="false" ht="15" hidden="false" customHeight="false" outlineLevel="0" collapsed="false">
      <c r="A1665" s="2" t="n">
        <v>52</v>
      </c>
      <c r="B1665" s="2" t="s">
        <v>34</v>
      </c>
      <c r="C1665" s="2" t="s">
        <v>45</v>
      </c>
      <c r="D1665" s="2" t="s">
        <v>19</v>
      </c>
      <c r="E1665" s="2" t="s">
        <v>20</v>
      </c>
      <c r="F1665" s="2" t="n">
        <v>-191</v>
      </c>
      <c r="G1665" s="2" t="s">
        <v>26</v>
      </c>
      <c r="H1665" s="2" t="s">
        <v>20</v>
      </c>
      <c r="I1665" s="2" t="s">
        <v>23</v>
      </c>
      <c r="J1665" s="2" t="n">
        <v>15</v>
      </c>
      <c r="K1665" s="2" t="s">
        <v>27</v>
      </c>
      <c r="L1665" s="2" t="n">
        <v>755</v>
      </c>
      <c r="M1665" s="2" t="n">
        <v>1</v>
      </c>
      <c r="N1665" s="2" t="n">
        <v>-1</v>
      </c>
      <c r="O1665" s="2" t="n">
        <v>0</v>
      </c>
      <c r="P1665" s="2" t="s">
        <v>23</v>
      </c>
      <c r="Q1665" s="2" t="s">
        <v>26</v>
      </c>
    </row>
    <row r="1666" customFormat="false" ht="15" hidden="false" customHeight="false" outlineLevel="0" collapsed="false">
      <c r="A1666" s="2" t="n">
        <v>37</v>
      </c>
      <c r="B1666" s="2" t="s">
        <v>34</v>
      </c>
      <c r="C1666" s="2" t="s">
        <v>18</v>
      </c>
      <c r="D1666" s="2" t="s">
        <v>25</v>
      </c>
      <c r="E1666" s="2" t="s">
        <v>20</v>
      </c>
      <c r="F1666" s="2" t="n">
        <v>132</v>
      </c>
      <c r="G1666" s="2" t="s">
        <v>20</v>
      </c>
      <c r="H1666" s="2" t="s">
        <v>20</v>
      </c>
      <c r="I1666" s="2" t="s">
        <v>23</v>
      </c>
      <c r="J1666" s="2" t="n">
        <v>27</v>
      </c>
      <c r="K1666" s="2" t="s">
        <v>27</v>
      </c>
      <c r="L1666" s="2" t="n">
        <v>336</v>
      </c>
      <c r="M1666" s="2" t="n">
        <v>2</v>
      </c>
      <c r="N1666" s="2" t="n">
        <v>-1</v>
      </c>
      <c r="O1666" s="2" t="n">
        <v>0</v>
      </c>
      <c r="P1666" s="2" t="s">
        <v>23</v>
      </c>
      <c r="Q1666" s="2" t="s">
        <v>20</v>
      </c>
    </row>
    <row r="1667" customFormat="false" ht="15" hidden="false" customHeight="false" outlineLevel="0" collapsed="false">
      <c r="A1667" s="2" t="n">
        <v>51</v>
      </c>
      <c r="B1667" s="2" t="s">
        <v>34</v>
      </c>
      <c r="C1667" s="2" t="s">
        <v>18</v>
      </c>
      <c r="D1667" s="2" t="s">
        <v>25</v>
      </c>
      <c r="E1667" s="2" t="s">
        <v>20</v>
      </c>
      <c r="F1667" s="2" t="n">
        <v>2237</v>
      </c>
      <c r="G1667" s="2" t="s">
        <v>26</v>
      </c>
      <c r="H1667" s="2" t="s">
        <v>20</v>
      </c>
      <c r="I1667" s="2" t="s">
        <v>23</v>
      </c>
      <c r="J1667" s="2" t="n">
        <v>29</v>
      </c>
      <c r="K1667" s="2" t="s">
        <v>27</v>
      </c>
      <c r="L1667" s="2" t="n">
        <v>619</v>
      </c>
      <c r="M1667" s="2" t="n">
        <v>1</v>
      </c>
      <c r="N1667" s="2" t="n">
        <v>-1</v>
      </c>
      <c r="O1667" s="2" t="n">
        <v>0</v>
      </c>
      <c r="P1667" s="2" t="s">
        <v>23</v>
      </c>
      <c r="Q1667" s="2" t="s">
        <v>20</v>
      </c>
    </row>
    <row r="1668" customFormat="false" ht="15" hidden="false" customHeight="false" outlineLevel="0" collapsed="false">
      <c r="A1668" s="2" t="n">
        <v>32</v>
      </c>
      <c r="B1668" s="2" t="s">
        <v>29</v>
      </c>
      <c r="C1668" s="2" t="s">
        <v>18</v>
      </c>
      <c r="D1668" s="2" t="s">
        <v>31</v>
      </c>
      <c r="E1668" s="2" t="s">
        <v>20</v>
      </c>
      <c r="F1668" s="2" t="n">
        <v>4761</v>
      </c>
      <c r="G1668" s="2" t="s">
        <v>26</v>
      </c>
      <c r="H1668" s="2" t="s">
        <v>20</v>
      </c>
      <c r="I1668" s="2" t="s">
        <v>21</v>
      </c>
      <c r="J1668" s="2" t="n">
        <v>5</v>
      </c>
      <c r="K1668" s="2" t="s">
        <v>27</v>
      </c>
      <c r="L1668" s="2" t="n">
        <v>159</v>
      </c>
      <c r="M1668" s="2" t="n">
        <v>2</v>
      </c>
      <c r="N1668" s="2" t="n">
        <v>350</v>
      </c>
      <c r="O1668" s="2" t="n">
        <v>2</v>
      </c>
      <c r="P1668" s="2" t="s">
        <v>28</v>
      </c>
      <c r="Q1668" s="2" t="s">
        <v>20</v>
      </c>
    </row>
    <row r="1669" customFormat="false" ht="15" hidden="false" customHeight="false" outlineLevel="0" collapsed="false">
      <c r="A1669" s="2" t="n">
        <v>33</v>
      </c>
      <c r="B1669" s="2" t="s">
        <v>34</v>
      </c>
      <c r="C1669" s="2" t="s">
        <v>18</v>
      </c>
      <c r="D1669" s="2" t="s">
        <v>25</v>
      </c>
      <c r="E1669" s="2" t="s">
        <v>20</v>
      </c>
      <c r="F1669" s="2" t="n">
        <v>-346</v>
      </c>
      <c r="G1669" s="2" t="s">
        <v>26</v>
      </c>
      <c r="H1669" s="2" t="s">
        <v>26</v>
      </c>
      <c r="I1669" s="2" t="s">
        <v>23</v>
      </c>
      <c r="J1669" s="2" t="n">
        <v>23</v>
      </c>
      <c r="K1669" s="2" t="s">
        <v>27</v>
      </c>
      <c r="L1669" s="2" t="n">
        <v>29</v>
      </c>
      <c r="M1669" s="2" t="n">
        <v>3</v>
      </c>
      <c r="N1669" s="2" t="n">
        <v>-1</v>
      </c>
      <c r="O1669" s="2" t="n">
        <v>0</v>
      </c>
      <c r="P1669" s="2" t="s">
        <v>23</v>
      </c>
      <c r="Q1669" s="2" t="s">
        <v>20</v>
      </c>
    </row>
    <row r="1670" customFormat="false" ht="15" hidden="false" customHeight="false" outlineLevel="0" collapsed="false">
      <c r="A1670" s="2" t="n">
        <v>28</v>
      </c>
      <c r="B1670" s="2" t="s">
        <v>17</v>
      </c>
      <c r="C1670" s="2" t="s">
        <v>18</v>
      </c>
      <c r="D1670" s="2" t="s">
        <v>25</v>
      </c>
      <c r="E1670" s="2" t="s">
        <v>20</v>
      </c>
      <c r="F1670" s="2" t="n">
        <v>655</v>
      </c>
      <c r="G1670" s="2" t="s">
        <v>26</v>
      </c>
      <c r="H1670" s="2" t="s">
        <v>20</v>
      </c>
      <c r="I1670" s="2" t="s">
        <v>23</v>
      </c>
      <c r="J1670" s="2" t="n">
        <v>4</v>
      </c>
      <c r="K1670" s="2" t="s">
        <v>33</v>
      </c>
      <c r="L1670" s="2" t="n">
        <v>606</v>
      </c>
      <c r="M1670" s="2" t="n">
        <v>2</v>
      </c>
      <c r="N1670" s="2" t="n">
        <v>-1</v>
      </c>
      <c r="O1670" s="2" t="n">
        <v>0</v>
      </c>
      <c r="P1670" s="2" t="s">
        <v>23</v>
      </c>
      <c r="Q1670" s="2" t="s">
        <v>20</v>
      </c>
    </row>
    <row r="1671" customFormat="false" ht="15" hidden="false" customHeight="false" outlineLevel="0" collapsed="false">
      <c r="A1671" s="2" t="n">
        <v>66</v>
      </c>
      <c r="B1671" s="2" t="s">
        <v>29</v>
      </c>
      <c r="C1671" s="2" t="s">
        <v>18</v>
      </c>
      <c r="D1671" s="2" t="s">
        <v>31</v>
      </c>
      <c r="E1671" s="2" t="s">
        <v>20</v>
      </c>
      <c r="F1671" s="2" t="n">
        <v>1048</v>
      </c>
      <c r="G1671" s="2" t="s">
        <v>26</v>
      </c>
      <c r="H1671" s="2" t="s">
        <v>20</v>
      </c>
      <c r="I1671" s="2" t="s">
        <v>21</v>
      </c>
      <c r="J1671" s="2" t="n">
        <v>23</v>
      </c>
      <c r="K1671" s="2" t="s">
        <v>33</v>
      </c>
      <c r="L1671" s="2" t="n">
        <v>971</v>
      </c>
      <c r="M1671" s="2" t="n">
        <v>2</v>
      </c>
      <c r="N1671" s="2" t="n">
        <v>-1</v>
      </c>
      <c r="O1671" s="2" t="n">
        <v>0</v>
      </c>
      <c r="P1671" s="2" t="s">
        <v>23</v>
      </c>
      <c r="Q1671" s="2" t="s">
        <v>20</v>
      </c>
    </row>
    <row r="1672" customFormat="false" ht="15" hidden="false" customHeight="false" outlineLevel="0" collapsed="false">
      <c r="A1672" s="2" t="n">
        <v>31</v>
      </c>
      <c r="B1672" s="2" t="s">
        <v>24</v>
      </c>
      <c r="C1672" s="2" t="s">
        <v>30</v>
      </c>
      <c r="D1672" s="2" t="s">
        <v>25</v>
      </c>
      <c r="E1672" s="2" t="s">
        <v>20</v>
      </c>
      <c r="F1672" s="2" t="n">
        <v>0</v>
      </c>
      <c r="G1672" s="2" t="s">
        <v>26</v>
      </c>
      <c r="H1672" s="2" t="s">
        <v>20</v>
      </c>
      <c r="I1672" s="2" t="s">
        <v>23</v>
      </c>
      <c r="J1672" s="2" t="n">
        <v>28</v>
      </c>
      <c r="K1672" s="2" t="s">
        <v>27</v>
      </c>
      <c r="L1672" s="2" t="n">
        <v>231</v>
      </c>
      <c r="M1672" s="2" t="n">
        <v>2</v>
      </c>
      <c r="N1672" s="2" t="n">
        <v>-1</v>
      </c>
      <c r="O1672" s="2" t="n">
        <v>0</v>
      </c>
      <c r="P1672" s="2" t="s">
        <v>23</v>
      </c>
      <c r="Q1672" s="2" t="s">
        <v>20</v>
      </c>
    </row>
    <row r="1673" customFormat="false" ht="15" hidden="false" customHeight="false" outlineLevel="0" collapsed="false">
      <c r="A1673" s="2" t="n">
        <v>35</v>
      </c>
      <c r="B1673" s="2" t="s">
        <v>34</v>
      </c>
      <c r="C1673" s="2" t="s">
        <v>18</v>
      </c>
      <c r="D1673" s="2" t="s">
        <v>19</v>
      </c>
      <c r="E1673" s="2" t="s">
        <v>20</v>
      </c>
      <c r="F1673" s="2" t="n">
        <v>624</v>
      </c>
      <c r="G1673" s="2" t="s">
        <v>26</v>
      </c>
      <c r="H1673" s="2" t="s">
        <v>20</v>
      </c>
      <c r="I1673" s="2" t="s">
        <v>23</v>
      </c>
      <c r="J1673" s="2" t="n">
        <v>7</v>
      </c>
      <c r="K1673" s="2" t="s">
        <v>27</v>
      </c>
      <c r="L1673" s="2" t="n">
        <v>163</v>
      </c>
      <c r="M1673" s="2" t="n">
        <v>1</v>
      </c>
      <c r="N1673" s="2" t="n">
        <v>-1</v>
      </c>
      <c r="O1673" s="2" t="n">
        <v>0</v>
      </c>
      <c r="P1673" s="2" t="s">
        <v>23</v>
      </c>
      <c r="Q1673" s="2" t="s">
        <v>20</v>
      </c>
    </row>
    <row r="1674" customFormat="false" ht="15" hidden="false" customHeight="false" outlineLevel="0" collapsed="false">
      <c r="A1674" s="2" t="n">
        <v>47</v>
      </c>
      <c r="B1674" s="2" t="s">
        <v>24</v>
      </c>
      <c r="C1674" s="2" t="s">
        <v>30</v>
      </c>
      <c r="D1674" s="2" t="s">
        <v>23</v>
      </c>
      <c r="E1674" s="2" t="s">
        <v>20</v>
      </c>
      <c r="F1674" s="2" t="n">
        <v>1784</v>
      </c>
      <c r="G1674" s="2" t="s">
        <v>20</v>
      </c>
      <c r="H1674" s="2" t="s">
        <v>20</v>
      </c>
      <c r="I1674" s="2" t="s">
        <v>21</v>
      </c>
      <c r="J1674" s="2" t="n">
        <v>19</v>
      </c>
      <c r="K1674" s="2" t="s">
        <v>22</v>
      </c>
      <c r="L1674" s="2" t="n">
        <v>385</v>
      </c>
      <c r="M1674" s="2" t="n">
        <v>2</v>
      </c>
      <c r="N1674" s="2" t="n">
        <v>-1</v>
      </c>
      <c r="O1674" s="2" t="n">
        <v>0</v>
      </c>
      <c r="P1674" s="2" t="s">
        <v>23</v>
      </c>
      <c r="Q1674" s="2" t="s">
        <v>26</v>
      </c>
    </row>
    <row r="1675" customFormat="false" ht="15" hidden="false" customHeight="false" outlineLevel="0" collapsed="false">
      <c r="A1675" s="2" t="n">
        <v>36</v>
      </c>
      <c r="B1675" s="2" t="s">
        <v>40</v>
      </c>
      <c r="C1675" s="2" t="s">
        <v>30</v>
      </c>
      <c r="D1675" s="2" t="s">
        <v>25</v>
      </c>
      <c r="E1675" s="2" t="s">
        <v>20</v>
      </c>
      <c r="F1675" s="2" t="n">
        <v>1281</v>
      </c>
      <c r="G1675" s="2" t="s">
        <v>20</v>
      </c>
      <c r="H1675" s="2" t="s">
        <v>20</v>
      </c>
      <c r="I1675" s="2" t="s">
        <v>49</v>
      </c>
      <c r="J1675" s="2" t="n">
        <v>24</v>
      </c>
      <c r="K1675" s="2" t="s">
        <v>44</v>
      </c>
      <c r="L1675" s="2" t="n">
        <v>119</v>
      </c>
      <c r="M1675" s="2" t="n">
        <v>2</v>
      </c>
      <c r="N1675" s="2" t="n">
        <v>-1</v>
      </c>
      <c r="O1675" s="2" t="n">
        <v>0</v>
      </c>
      <c r="P1675" s="2" t="s">
        <v>23</v>
      </c>
      <c r="Q1675" s="2" t="s">
        <v>20</v>
      </c>
    </row>
    <row r="1676" customFormat="false" ht="15" hidden="false" customHeight="false" outlineLevel="0" collapsed="false">
      <c r="A1676" s="2" t="n">
        <v>32</v>
      </c>
      <c r="B1676" s="2" t="s">
        <v>38</v>
      </c>
      <c r="C1676" s="2" t="s">
        <v>30</v>
      </c>
      <c r="D1676" s="2" t="s">
        <v>31</v>
      </c>
      <c r="E1676" s="2" t="s">
        <v>20</v>
      </c>
      <c r="F1676" s="2" t="n">
        <v>569</v>
      </c>
      <c r="G1676" s="2" t="s">
        <v>20</v>
      </c>
      <c r="H1676" s="2" t="s">
        <v>26</v>
      </c>
      <c r="I1676" s="2" t="s">
        <v>21</v>
      </c>
      <c r="J1676" s="2" t="n">
        <v>29</v>
      </c>
      <c r="K1676" s="2" t="s">
        <v>43</v>
      </c>
      <c r="L1676" s="2" t="n">
        <v>348</v>
      </c>
      <c r="M1676" s="2" t="n">
        <v>1</v>
      </c>
      <c r="N1676" s="2" t="n">
        <v>-1</v>
      </c>
      <c r="O1676" s="2" t="n">
        <v>0</v>
      </c>
      <c r="P1676" s="2" t="s">
        <v>23</v>
      </c>
      <c r="Q1676" s="2" t="s">
        <v>20</v>
      </c>
    </row>
    <row r="1677" customFormat="false" ht="15" hidden="false" customHeight="false" outlineLevel="0" collapsed="false">
      <c r="A1677" s="2" t="n">
        <v>34</v>
      </c>
      <c r="B1677" s="2" t="s">
        <v>34</v>
      </c>
      <c r="C1677" s="2" t="s">
        <v>18</v>
      </c>
      <c r="D1677" s="2" t="s">
        <v>19</v>
      </c>
      <c r="E1677" s="2" t="s">
        <v>20</v>
      </c>
      <c r="F1677" s="2" t="n">
        <v>1666</v>
      </c>
      <c r="G1677" s="2" t="s">
        <v>26</v>
      </c>
      <c r="H1677" s="2" t="s">
        <v>20</v>
      </c>
      <c r="I1677" s="2" t="s">
        <v>23</v>
      </c>
      <c r="J1677" s="2" t="n">
        <v>31</v>
      </c>
      <c r="K1677" s="2" t="s">
        <v>52</v>
      </c>
      <c r="L1677" s="2" t="n">
        <v>30</v>
      </c>
      <c r="M1677" s="2" t="n">
        <v>1</v>
      </c>
      <c r="N1677" s="2" t="n">
        <v>-1</v>
      </c>
      <c r="O1677" s="2" t="n">
        <v>0</v>
      </c>
      <c r="P1677" s="2" t="s">
        <v>23</v>
      </c>
      <c r="Q1677" s="2" t="s">
        <v>20</v>
      </c>
    </row>
    <row r="1678" customFormat="false" ht="15" hidden="false" customHeight="false" outlineLevel="0" collapsed="false">
      <c r="A1678" s="2" t="n">
        <v>40</v>
      </c>
      <c r="B1678" s="2" t="s">
        <v>40</v>
      </c>
      <c r="C1678" s="2" t="s">
        <v>18</v>
      </c>
      <c r="D1678" s="2" t="s">
        <v>25</v>
      </c>
      <c r="E1678" s="2" t="s">
        <v>20</v>
      </c>
      <c r="F1678" s="2" t="n">
        <v>168</v>
      </c>
      <c r="G1678" s="2" t="s">
        <v>26</v>
      </c>
      <c r="H1678" s="2" t="s">
        <v>20</v>
      </c>
      <c r="I1678" s="2" t="s">
        <v>21</v>
      </c>
      <c r="J1678" s="2" t="n">
        <v>7</v>
      </c>
      <c r="K1678" s="2" t="s">
        <v>27</v>
      </c>
      <c r="L1678" s="2" t="n">
        <v>249</v>
      </c>
      <c r="M1678" s="2" t="n">
        <v>2</v>
      </c>
      <c r="N1678" s="2" t="n">
        <v>169</v>
      </c>
      <c r="O1678" s="2" t="n">
        <v>1</v>
      </c>
      <c r="P1678" s="2" t="s">
        <v>28</v>
      </c>
      <c r="Q1678" s="2" t="s">
        <v>20</v>
      </c>
    </row>
    <row r="1679" customFormat="false" ht="15" hidden="false" customHeight="false" outlineLevel="0" collapsed="false">
      <c r="A1679" s="2" t="n">
        <v>33</v>
      </c>
      <c r="B1679" s="2" t="s">
        <v>36</v>
      </c>
      <c r="C1679" s="2" t="s">
        <v>18</v>
      </c>
      <c r="D1679" s="2" t="s">
        <v>31</v>
      </c>
      <c r="E1679" s="2" t="s">
        <v>20</v>
      </c>
      <c r="F1679" s="2" t="n">
        <v>263</v>
      </c>
      <c r="G1679" s="2" t="s">
        <v>20</v>
      </c>
      <c r="H1679" s="2" t="s">
        <v>20</v>
      </c>
      <c r="I1679" s="2" t="s">
        <v>21</v>
      </c>
      <c r="J1679" s="2" t="n">
        <v>4</v>
      </c>
      <c r="K1679" s="2" t="s">
        <v>27</v>
      </c>
      <c r="L1679" s="2" t="n">
        <v>119</v>
      </c>
      <c r="M1679" s="2" t="n">
        <v>2</v>
      </c>
      <c r="N1679" s="2" t="n">
        <v>-1</v>
      </c>
      <c r="O1679" s="2" t="n">
        <v>0</v>
      </c>
      <c r="P1679" s="2" t="s">
        <v>23</v>
      </c>
      <c r="Q1679" s="2" t="s">
        <v>20</v>
      </c>
    </row>
    <row r="1680" customFormat="false" ht="15" hidden="false" customHeight="false" outlineLevel="0" collapsed="false">
      <c r="A1680" s="2" t="n">
        <v>39</v>
      </c>
      <c r="B1680" s="2" t="s">
        <v>34</v>
      </c>
      <c r="C1680" s="2" t="s">
        <v>18</v>
      </c>
      <c r="D1680" s="2" t="s">
        <v>25</v>
      </c>
      <c r="E1680" s="2" t="s">
        <v>20</v>
      </c>
      <c r="F1680" s="2" t="n">
        <v>-405</v>
      </c>
      <c r="G1680" s="2" t="s">
        <v>26</v>
      </c>
      <c r="H1680" s="2" t="s">
        <v>20</v>
      </c>
      <c r="I1680" s="2" t="s">
        <v>21</v>
      </c>
      <c r="J1680" s="2" t="n">
        <v>8</v>
      </c>
      <c r="K1680" s="2" t="s">
        <v>27</v>
      </c>
      <c r="L1680" s="2" t="n">
        <v>177</v>
      </c>
      <c r="M1680" s="2" t="n">
        <v>1</v>
      </c>
      <c r="N1680" s="2" t="n">
        <v>-1</v>
      </c>
      <c r="O1680" s="2" t="n">
        <v>0</v>
      </c>
      <c r="P1680" s="2" t="s">
        <v>23</v>
      </c>
      <c r="Q1680" s="2" t="s">
        <v>20</v>
      </c>
    </row>
    <row r="1681" customFormat="false" ht="15" hidden="false" customHeight="false" outlineLevel="0" collapsed="false">
      <c r="A1681" s="2" t="n">
        <v>38</v>
      </c>
      <c r="B1681" s="2" t="s">
        <v>36</v>
      </c>
      <c r="C1681" s="2" t="s">
        <v>18</v>
      </c>
      <c r="D1681" s="2" t="s">
        <v>25</v>
      </c>
      <c r="E1681" s="2" t="s">
        <v>20</v>
      </c>
      <c r="F1681" s="2" t="n">
        <v>279</v>
      </c>
      <c r="G1681" s="2" t="s">
        <v>26</v>
      </c>
      <c r="H1681" s="2" t="s">
        <v>20</v>
      </c>
      <c r="I1681" s="2" t="s">
        <v>23</v>
      </c>
      <c r="J1681" s="2" t="n">
        <v>28</v>
      </c>
      <c r="K1681" s="2" t="s">
        <v>27</v>
      </c>
      <c r="L1681" s="2" t="n">
        <v>110</v>
      </c>
      <c r="M1681" s="2" t="n">
        <v>5</v>
      </c>
      <c r="N1681" s="2" t="n">
        <v>-1</v>
      </c>
      <c r="O1681" s="2" t="n">
        <v>0</v>
      </c>
      <c r="P1681" s="2" t="s">
        <v>23</v>
      </c>
      <c r="Q1681" s="2" t="s">
        <v>20</v>
      </c>
    </row>
    <row r="1682" customFormat="false" ht="15" hidden="false" customHeight="false" outlineLevel="0" collapsed="false">
      <c r="A1682" s="2" t="n">
        <v>32</v>
      </c>
      <c r="B1682" s="2" t="s">
        <v>38</v>
      </c>
      <c r="C1682" s="2" t="s">
        <v>30</v>
      </c>
      <c r="D1682" s="2" t="s">
        <v>25</v>
      </c>
      <c r="E1682" s="2" t="s">
        <v>20</v>
      </c>
      <c r="F1682" s="2" t="n">
        <v>0</v>
      </c>
      <c r="G1682" s="2" t="s">
        <v>20</v>
      </c>
      <c r="H1682" s="2" t="s">
        <v>20</v>
      </c>
      <c r="I1682" s="2" t="s">
        <v>21</v>
      </c>
      <c r="J1682" s="2" t="n">
        <v>18</v>
      </c>
      <c r="K1682" s="2" t="s">
        <v>41</v>
      </c>
      <c r="L1682" s="2" t="n">
        <v>594</v>
      </c>
      <c r="M1682" s="2" t="n">
        <v>4</v>
      </c>
      <c r="N1682" s="2" t="n">
        <v>-1</v>
      </c>
      <c r="O1682" s="2" t="n">
        <v>0</v>
      </c>
      <c r="P1682" s="2" t="s">
        <v>23</v>
      </c>
      <c r="Q1682" s="2" t="s">
        <v>26</v>
      </c>
    </row>
    <row r="1683" customFormat="false" ht="15" hidden="false" customHeight="false" outlineLevel="0" collapsed="false">
      <c r="A1683" s="2" t="n">
        <v>65</v>
      </c>
      <c r="B1683" s="2" t="s">
        <v>23</v>
      </c>
      <c r="C1683" s="2" t="s">
        <v>18</v>
      </c>
      <c r="D1683" s="2" t="s">
        <v>23</v>
      </c>
      <c r="E1683" s="2" t="s">
        <v>20</v>
      </c>
      <c r="F1683" s="2" t="n">
        <v>300</v>
      </c>
      <c r="G1683" s="2" t="s">
        <v>20</v>
      </c>
      <c r="H1683" s="2" t="s">
        <v>20</v>
      </c>
      <c r="I1683" s="2" t="s">
        <v>21</v>
      </c>
      <c r="J1683" s="2" t="n">
        <v>12</v>
      </c>
      <c r="K1683" s="2" t="s">
        <v>43</v>
      </c>
      <c r="L1683" s="2" t="n">
        <v>105</v>
      </c>
      <c r="M1683" s="2" t="n">
        <v>1</v>
      </c>
      <c r="N1683" s="2" t="n">
        <v>-1</v>
      </c>
      <c r="O1683" s="2" t="n">
        <v>0</v>
      </c>
      <c r="P1683" s="2" t="s">
        <v>23</v>
      </c>
      <c r="Q1683" s="2" t="s">
        <v>20</v>
      </c>
    </row>
    <row r="1684" customFormat="false" ht="15" hidden="false" customHeight="false" outlineLevel="0" collapsed="false">
      <c r="A1684" s="2" t="n">
        <v>34</v>
      </c>
      <c r="B1684" s="2" t="s">
        <v>17</v>
      </c>
      <c r="C1684" s="2" t="s">
        <v>30</v>
      </c>
      <c r="D1684" s="2" t="s">
        <v>31</v>
      </c>
      <c r="E1684" s="2" t="s">
        <v>20</v>
      </c>
      <c r="F1684" s="2" t="n">
        <v>415</v>
      </c>
      <c r="G1684" s="2" t="s">
        <v>20</v>
      </c>
      <c r="H1684" s="2" t="s">
        <v>20</v>
      </c>
      <c r="I1684" s="2" t="s">
        <v>21</v>
      </c>
      <c r="J1684" s="2" t="n">
        <v>12</v>
      </c>
      <c r="K1684" s="2" t="s">
        <v>41</v>
      </c>
      <c r="L1684" s="2" t="n">
        <v>123</v>
      </c>
      <c r="M1684" s="2" t="n">
        <v>1</v>
      </c>
      <c r="N1684" s="2" t="n">
        <v>-1</v>
      </c>
      <c r="O1684" s="2" t="n">
        <v>0</v>
      </c>
      <c r="P1684" s="2" t="s">
        <v>23</v>
      </c>
      <c r="Q1684" s="2" t="s">
        <v>20</v>
      </c>
    </row>
    <row r="1685" customFormat="false" ht="15" hidden="false" customHeight="false" outlineLevel="0" collapsed="false">
      <c r="A1685" s="2" t="n">
        <v>34</v>
      </c>
      <c r="B1685" s="2" t="s">
        <v>40</v>
      </c>
      <c r="C1685" s="2" t="s">
        <v>30</v>
      </c>
      <c r="D1685" s="2" t="s">
        <v>19</v>
      </c>
      <c r="E1685" s="2" t="s">
        <v>20</v>
      </c>
      <c r="F1685" s="2" t="n">
        <v>0</v>
      </c>
      <c r="G1685" s="2" t="s">
        <v>26</v>
      </c>
      <c r="H1685" s="2" t="s">
        <v>26</v>
      </c>
      <c r="I1685" s="2" t="s">
        <v>21</v>
      </c>
      <c r="J1685" s="2" t="n">
        <v>6</v>
      </c>
      <c r="K1685" s="2" t="s">
        <v>27</v>
      </c>
      <c r="L1685" s="2" t="n">
        <v>172</v>
      </c>
      <c r="M1685" s="2" t="n">
        <v>4</v>
      </c>
      <c r="N1685" s="2" t="n">
        <v>-1</v>
      </c>
      <c r="O1685" s="2" t="n">
        <v>0</v>
      </c>
      <c r="P1685" s="2" t="s">
        <v>23</v>
      </c>
      <c r="Q1685" s="2" t="s">
        <v>20</v>
      </c>
    </row>
    <row r="1686" customFormat="false" ht="15" hidden="false" customHeight="false" outlineLevel="0" collapsed="false">
      <c r="A1686" s="2" t="n">
        <v>42</v>
      </c>
      <c r="B1686" s="2" t="s">
        <v>34</v>
      </c>
      <c r="C1686" s="2" t="s">
        <v>30</v>
      </c>
      <c r="D1686" s="2" t="s">
        <v>19</v>
      </c>
      <c r="E1686" s="2" t="s">
        <v>20</v>
      </c>
      <c r="F1686" s="2" t="n">
        <v>1322</v>
      </c>
      <c r="G1686" s="2" t="s">
        <v>26</v>
      </c>
      <c r="H1686" s="2" t="s">
        <v>26</v>
      </c>
      <c r="I1686" s="2" t="s">
        <v>21</v>
      </c>
      <c r="J1686" s="2" t="n">
        <v>8</v>
      </c>
      <c r="K1686" s="2" t="s">
        <v>44</v>
      </c>
      <c r="L1686" s="2" t="n">
        <v>178</v>
      </c>
      <c r="M1686" s="2" t="n">
        <v>1</v>
      </c>
      <c r="N1686" s="2" t="n">
        <v>-1</v>
      </c>
      <c r="O1686" s="2" t="n">
        <v>0</v>
      </c>
      <c r="P1686" s="2" t="s">
        <v>23</v>
      </c>
      <c r="Q1686" s="2" t="s">
        <v>20</v>
      </c>
    </row>
    <row r="1687" customFormat="false" ht="15" hidden="false" customHeight="false" outlineLevel="0" collapsed="false">
      <c r="A1687" s="2" t="n">
        <v>31</v>
      </c>
      <c r="B1687" s="2" t="s">
        <v>24</v>
      </c>
      <c r="C1687" s="2" t="s">
        <v>18</v>
      </c>
      <c r="D1687" s="2" t="s">
        <v>25</v>
      </c>
      <c r="E1687" s="2" t="s">
        <v>20</v>
      </c>
      <c r="F1687" s="2" t="n">
        <v>1062</v>
      </c>
      <c r="G1687" s="2" t="s">
        <v>26</v>
      </c>
      <c r="H1687" s="2" t="s">
        <v>26</v>
      </c>
      <c r="I1687" s="2" t="s">
        <v>21</v>
      </c>
      <c r="J1687" s="2" t="n">
        <v>6</v>
      </c>
      <c r="K1687" s="2" t="s">
        <v>32</v>
      </c>
      <c r="L1687" s="2" t="n">
        <v>230</v>
      </c>
      <c r="M1687" s="2" t="n">
        <v>1</v>
      </c>
      <c r="N1687" s="2" t="n">
        <v>-1</v>
      </c>
      <c r="O1687" s="2" t="n">
        <v>0</v>
      </c>
      <c r="P1687" s="2" t="s">
        <v>23</v>
      </c>
      <c r="Q1687" s="2" t="s">
        <v>20</v>
      </c>
    </row>
    <row r="1688" customFormat="false" ht="15" hidden="false" customHeight="false" outlineLevel="0" collapsed="false">
      <c r="A1688" s="2" t="n">
        <v>47</v>
      </c>
      <c r="B1688" s="2" t="s">
        <v>38</v>
      </c>
      <c r="C1688" s="2" t="s">
        <v>18</v>
      </c>
      <c r="D1688" s="2" t="s">
        <v>25</v>
      </c>
      <c r="E1688" s="2" t="s">
        <v>20</v>
      </c>
      <c r="F1688" s="2" t="n">
        <v>302</v>
      </c>
      <c r="G1688" s="2" t="s">
        <v>26</v>
      </c>
      <c r="H1688" s="2" t="s">
        <v>20</v>
      </c>
      <c r="I1688" s="2" t="s">
        <v>23</v>
      </c>
      <c r="J1688" s="2" t="n">
        <v>20</v>
      </c>
      <c r="K1688" s="2" t="s">
        <v>33</v>
      </c>
      <c r="L1688" s="2" t="n">
        <v>89</v>
      </c>
      <c r="M1688" s="2" t="n">
        <v>3</v>
      </c>
      <c r="N1688" s="2" t="n">
        <v>-1</v>
      </c>
      <c r="O1688" s="2" t="n">
        <v>0</v>
      </c>
      <c r="P1688" s="2" t="s">
        <v>23</v>
      </c>
      <c r="Q1688" s="2" t="s">
        <v>20</v>
      </c>
    </row>
    <row r="1689" customFormat="false" ht="15" hidden="false" customHeight="false" outlineLevel="0" collapsed="false">
      <c r="A1689" s="2" t="n">
        <v>44</v>
      </c>
      <c r="B1689" s="2" t="s">
        <v>38</v>
      </c>
      <c r="C1689" s="2" t="s">
        <v>45</v>
      </c>
      <c r="D1689" s="2" t="s">
        <v>25</v>
      </c>
      <c r="E1689" s="2" t="s">
        <v>20</v>
      </c>
      <c r="F1689" s="2" t="n">
        <v>809</v>
      </c>
      <c r="G1689" s="2" t="s">
        <v>26</v>
      </c>
      <c r="H1689" s="2" t="s">
        <v>20</v>
      </c>
      <c r="I1689" s="2" t="s">
        <v>23</v>
      </c>
      <c r="J1689" s="2" t="n">
        <v>15</v>
      </c>
      <c r="K1689" s="2" t="s">
        <v>27</v>
      </c>
      <c r="L1689" s="2" t="n">
        <v>118</v>
      </c>
      <c r="M1689" s="2" t="n">
        <v>4</v>
      </c>
      <c r="N1689" s="2" t="n">
        <v>-1</v>
      </c>
      <c r="O1689" s="2" t="n">
        <v>0</v>
      </c>
      <c r="P1689" s="2" t="s">
        <v>23</v>
      </c>
      <c r="Q1689" s="2" t="s">
        <v>20</v>
      </c>
    </row>
    <row r="1690" customFormat="false" ht="15" hidden="false" customHeight="false" outlineLevel="0" collapsed="false">
      <c r="A1690" s="2" t="n">
        <v>38</v>
      </c>
      <c r="B1690" s="2" t="s">
        <v>47</v>
      </c>
      <c r="C1690" s="2" t="s">
        <v>18</v>
      </c>
      <c r="D1690" s="2" t="s">
        <v>25</v>
      </c>
      <c r="E1690" s="2" t="s">
        <v>20</v>
      </c>
      <c r="F1690" s="2" t="n">
        <v>-278</v>
      </c>
      <c r="G1690" s="2" t="s">
        <v>26</v>
      </c>
      <c r="H1690" s="2" t="s">
        <v>20</v>
      </c>
      <c r="I1690" s="2" t="s">
        <v>21</v>
      </c>
      <c r="J1690" s="2" t="n">
        <v>28</v>
      </c>
      <c r="K1690" s="2" t="s">
        <v>44</v>
      </c>
      <c r="L1690" s="2" t="n">
        <v>143</v>
      </c>
      <c r="M1690" s="2" t="n">
        <v>2</v>
      </c>
      <c r="N1690" s="2" t="n">
        <v>-1</v>
      </c>
      <c r="O1690" s="2" t="n">
        <v>0</v>
      </c>
      <c r="P1690" s="2" t="s">
        <v>23</v>
      </c>
      <c r="Q1690" s="2" t="s">
        <v>20</v>
      </c>
    </row>
    <row r="1691" customFormat="false" ht="15" hidden="false" customHeight="false" outlineLevel="0" collapsed="false">
      <c r="A1691" s="2" t="n">
        <v>28</v>
      </c>
      <c r="B1691" s="2" t="s">
        <v>29</v>
      </c>
      <c r="C1691" s="2" t="s">
        <v>30</v>
      </c>
      <c r="D1691" s="2" t="s">
        <v>31</v>
      </c>
      <c r="E1691" s="2" t="s">
        <v>20</v>
      </c>
      <c r="F1691" s="2" t="n">
        <v>3238</v>
      </c>
      <c r="G1691" s="2" t="s">
        <v>26</v>
      </c>
      <c r="H1691" s="2" t="s">
        <v>20</v>
      </c>
      <c r="I1691" s="2" t="s">
        <v>23</v>
      </c>
      <c r="J1691" s="2" t="n">
        <v>19</v>
      </c>
      <c r="K1691" s="2" t="s">
        <v>27</v>
      </c>
      <c r="L1691" s="2" t="n">
        <v>7</v>
      </c>
      <c r="M1691" s="2" t="n">
        <v>1</v>
      </c>
      <c r="N1691" s="2" t="n">
        <v>-1</v>
      </c>
      <c r="O1691" s="2" t="n">
        <v>0</v>
      </c>
      <c r="P1691" s="2" t="s">
        <v>23</v>
      </c>
      <c r="Q1691" s="2" t="s">
        <v>20</v>
      </c>
    </row>
    <row r="1692" customFormat="false" ht="15" hidden="false" customHeight="false" outlineLevel="0" collapsed="false">
      <c r="A1692" s="2" t="n">
        <v>46</v>
      </c>
      <c r="B1692" s="2" t="s">
        <v>40</v>
      </c>
      <c r="C1692" s="2" t="s">
        <v>30</v>
      </c>
      <c r="D1692" s="2" t="s">
        <v>25</v>
      </c>
      <c r="E1692" s="2" t="s">
        <v>20</v>
      </c>
      <c r="F1692" s="2" t="n">
        <v>751</v>
      </c>
      <c r="G1692" s="2" t="s">
        <v>26</v>
      </c>
      <c r="H1692" s="2" t="s">
        <v>20</v>
      </c>
      <c r="I1692" s="2" t="s">
        <v>23</v>
      </c>
      <c r="J1692" s="2" t="n">
        <v>13</v>
      </c>
      <c r="K1692" s="2" t="s">
        <v>27</v>
      </c>
      <c r="L1692" s="2" t="n">
        <v>104</v>
      </c>
      <c r="M1692" s="2" t="n">
        <v>2</v>
      </c>
      <c r="N1692" s="2" t="n">
        <v>-1</v>
      </c>
      <c r="O1692" s="2" t="n">
        <v>0</v>
      </c>
      <c r="P1692" s="2" t="s">
        <v>23</v>
      </c>
      <c r="Q1692" s="2" t="s">
        <v>20</v>
      </c>
    </row>
    <row r="1693" customFormat="false" ht="15" hidden="false" customHeight="false" outlineLevel="0" collapsed="false">
      <c r="A1693" s="2" t="n">
        <v>51</v>
      </c>
      <c r="B1693" s="2" t="s">
        <v>34</v>
      </c>
      <c r="C1693" s="2" t="s">
        <v>45</v>
      </c>
      <c r="D1693" s="2" t="s">
        <v>19</v>
      </c>
      <c r="E1693" s="2" t="s">
        <v>20</v>
      </c>
      <c r="F1693" s="2" t="n">
        <v>-28</v>
      </c>
      <c r="G1693" s="2" t="s">
        <v>20</v>
      </c>
      <c r="H1693" s="2" t="s">
        <v>26</v>
      </c>
      <c r="I1693" s="2" t="s">
        <v>23</v>
      </c>
      <c r="J1693" s="2" t="n">
        <v>2</v>
      </c>
      <c r="K1693" s="2" t="s">
        <v>44</v>
      </c>
      <c r="L1693" s="2" t="n">
        <v>220</v>
      </c>
      <c r="M1693" s="2" t="n">
        <v>2</v>
      </c>
      <c r="N1693" s="2" t="n">
        <v>-1</v>
      </c>
      <c r="O1693" s="2" t="n">
        <v>0</v>
      </c>
      <c r="P1693" s="2" t="s">
        <v>23</v>
      </c>
      <c r="Q1693" s="2" t="s">
        <v>20</v>
      </c>
    </row>
    <row r="1694" customFormat="false" ht="15" hidden="false" customHeight="false" outlineLevel="0" collapsed="false">
      <c r="A1694" s="2" t="n">
        <v>42</v>
      </c>
      <c r="B1694" s="2" t="s">
        <v>29</v>
      </c>
      <c r="C1694" s="2" t="s">
        <v>45</v>
      </c>
      <c r="D1694" s="2" t="s">
        <v>31</v>
      </c>
      <c r="E1694" s="2" t="s">
        <v>20</v>
      </c>
      <c r="F1694" s="2" t="n">
        <v>0</v>
      </c>
      <c r="G1694" s="2" t="s">
        <v>20</v>
      </c>
      <c r="H1694" s="2" t="s">
        <v>20</v>
      </c>
      <c r="I1694" s="2" t="s">
        <v>23</v>
      </c>
      <c r="J1694" s="2" t="n">
        <v>20</v>
      </c>
      <c r="K1694" s="2" t="s">
        <v>33</v>
      </c>
      <c r="L1694" s="2" t="n">
        <v>85</v>
      </c>
      <c r="M1694" s="2" t="n">
        <v>2</v>
      </c>
      <c r="N1694" s="2" t="n">
        <v>-1</v>
      </c>
      <c r="O1694" s="2" t="n">
        <v>0</v>
      </c>
      <c r="P1694" s="2" t="s">
        <v>23</v>
      </c>
      <c r="Q1694" s="2" t="s">
        <v>20</v>
      </c>
    </row>
    <row r="1695" customFormat="false" ht="15" hidden="false" customHeight="false" outlineLevel="0" collapsed="false">
      <c r="A1695" s="2" t="n">
        <v>37</v>
      </c>
      <c r="B1695" s="2" t="s">
        <v>38</v>
      </c>
      <c r="C1695" s="2" t="s">
        <v>30</v>
      </c>
      <c r="D1695" s="2" t="s">
        <v>25</v>
      </c>
      <c r="E1695" s="2" t="s">
        <v>20</v>
      </c>
      <c r="F1695" s="2" t="n">
        <v>2442</v>
      </c>
      <c r="G1695" s="2" t="s">
        <v>20</v>
      </c>
      <c r="H1695" s="2" t="s">
        <v>20</v>
      </c>
      <c r="I1695" s="2" t="s">
        <v>21</v>
      </c>
      <c r="J1695" s="2" t="n">
        <v>16</v>
      </c>
      <c r="K1695" s="2" t="s">
        <v>35</v>
      </c>
      <c r="L1695" s="2" t="n">
        <v>91</v>
      </c>
      <c r="M1695" s="2" t="n">
        <v>3</v>
      </c>
      <c r="N1695" s="2" t="n">
        <v>-1</v>
      </c>
      <c r="O1695" s="2" t="n">
        <v>0</v>
      </c>
      <c r="P1695" s="2" t="s">
        <v>23</v>
      </c>
      <c r="Q1695" s="2" t="s">
        <v>26</v>
      </c>
    </row>
    <row r="1696" customFormat="false" ht="15" hidden="false" customHeight="false" outlineLevel="0" collapsed="false">
      <c r="A1696" s="2" t="n">
        <v>58</v>
      </c>
      <c r="B1696" s="2" t="s">
        <v>17</v>
      </c>
      <c r="C1696" s="2" t="s">
        <v>18</v>
      </c>
      <c r="D1696" s="2" t="s">
        <v>31</v>
      </c>
      <c r="E1696" s="2" t="s">
        <v>20</v>
      </c>
      <c r="F1696" s="2" t="n">
        <v>1798</v>
      </c>
      <c r="G1696" s="2" t="s">
        <v>26</v>
      </c>
      <c r="H1696" s="2" t="s">
        <v>20</v>
      </c>
      <c r="I1696" s="2" t="s">
        <v>21</v>
      </c>
      <c r="J1696" s="2" t="n">
        <v>5</v>
      </c>
      <c r="K1696" s="2" t="s">
        <v>35</v>
      </c>
      <c r="L1696" s="2" t="n">
        <v>19</v>
      </c>
      <c r="M1696" s="2" t="n">
        <v>8</v>
      </c>
      <c r="N1696" s="2" t="n">
        <v>-1</v>
      </c>
      <c r="O1696" s="2" t="n">
        <v>0</v>
      </c>
      <c r="P1696" s="2" t="s">
        <v>23</v>
      </c>
      <c r="Q1696" s="2" t="s">
        <v>20</v>
      </c>
    </row>
    <row r="1697" customFormat="false" ht="15" hidden="false" customHeight="false" outlineLevel="0" collapsed="false">
      <c r="A1697" s="2" t="n">
        <v>43</v>
      </c>
      <c r="B1697" s="2" t="s">
        <v>40</v>
      </c>
      <c r="C1697" s="2" t="s">
        <v>18</v>
      </c>
      <c r="D1697" s="2" t="s">
        <v>25</v>
      </c>
      <c r="E1697" s="2" t="s">
        <v>20</v>
      </c>
      <c r="F1697" s="2" t="n">
        <v>132</v>
      </c>
      <c r="G1697" s="2" t="s">
        <v>20</v>
      </c>
      <c r="H1697" s="2" t="s">
        <v>20</v>
      </c>
      <c r="I1697" s="2" t="s">
        <v>21</v>
      </c>
      <c r="J1697" s="2" t="n">
        <v>19</v>
      </c>
      <c r="K1697" s="2" t="s">
        <v>41</v>
      </c>
      <c r="L1697" s="2" t="n">
        <v>574</v>
      </c>
      <c r="M1697" s="2" t="n">
        <v>1</v>
      </c>
      <c r="N1697" s="2" t="n">
        <v>84</v>
      </c>
      <c r="O1697" s="2" t="n">
        <v>3</v>
      </c>
      <c r="P1697" s="2" t="s">
        <v>50</v>
      </c>
      <c r="Q1697" s="2" t="s">
        <v>26</v>
      </c>
    </row>
    <row r="1698" customFormat="false" ht="15" hidden="false" customHeight="false" outlineLevel="0" collapsed="false">
      <c r="A1698" s="2" t="n">
        <v>36</v>
      </c>
      <c r="B1698" s="2" t="s">
        <v>29</v>
      </c>
      <c r="C1698" s="2" t="s">
        <v>30</v>
      </c>
      <c r="D1698" s="2" t="s">
        <v>31</v>
      </c>
      <c r="E1698" s="2" t="s">
        <v>20</v>
      </c>
      <c r="F1698" s="2" t="n">
        <v>260</v>
      </c>
      <c r="G1698" s="2" t="s">
        <v>26</v>
      </c>
      <c r="H1698" s="2" t="s">
        <v>20</v>
      </c>
      <c r="I1698" s="2" t="s">
        <v>21</v>
      </c>
      <c r="J1698" s="2" t="n">
        <v>7</v>
      </c>
      <c r="K1698" s="2" t="s">
        <v>27</v>
      </c>
      <c r="L1698" s="2" t="n">
        <v>49</v>
      </c>
      <c r="M1698" s="2" t="n">
        <v>1</v>
      </c>
      <c r="N1698" s="2" t="n">
        <v>-1</v>
      </c>
      <c r="O1698" s="2" t="n">
        <v>0</v>
      </c>
      <c r="P1698" s="2" t="s">
        <v>23</v>
      </c>
      <c r="Q1698" s="2" t="s">
        <v>20</v>
      </c>
    </row>
    <row r="1699" customFormat="false" ht="15" hidden="false" customHeight="false" outlineLevel="0" collapsed="false">
      <c r="A1699" s="2" t="n">
        <v>34</v>
      </c>
      <c r="B1699" s="2" t="s">
        <v>34</v>
      </c>
      <c r="C1699" s="2" t="s">
        <v>18</v>
      </c>
      <c r="D1699" s="2" t="s">
        <v>25</v>
      </c>
      <c r="E1699" s="2" t="s">
        <v>20</v>
      </c>
      <c r="F1699" s="2" t="n">
        <v>7</v>
      </c>
      <c r="G1699" s="2" t="s">
        <v>26</v>
      </c>
      <c r="H1699" s="2" t="s">
        <v>26</v>
      </c>
      <c r="I1699" s="2" t="s">
        <v>21</v>
      </c>
      <c r="J1699" s="2" t="n">
        <v>2</v>
      </c>
      <c r="K1699" s="2" t="s">
        <v>35</v>
      </c>
      <c r="L1699" s="2" t="n">
        <v>171</v>
      </c>
      <c r="M1699" s="2" t="n">
        <v>2</v>
      </c>
      <c r="N1699" s="2" t="n">
        <v>193</v>
      </c>
      <c r="O1699" s="2" t="n">
        <v>2</v>
      </c>
      <c r="P1699" s="2" t="s">
        <v>37</v>
      </c>
      <c r="Q1699" s="2" t="s">
        <v>20</v>
      </c>
    </row>
    <row r="1700" customFormat="false" ht="15" hidden="false" customHeight="false" outlineLevel="0" collapsed="false">
      <c r="A1700" s="2" t="n">
        <v>31</v>
      </c>
      <c r="B1700" s="2" t="s">
        <v>29</v>
      </c>
      <c r="C1700" s="2" t="s">
        <v>30</v>
      </c>
      <c r="D1700" s="2" t="s">
        <v>31</v>
      </c>
      <c r="E1700" s="2" t="s">
        <v>20</v>
      </c>
      <c r="F1700" s="2" t="n">
        <v>3283</v>
      </c>
      <c r="G1700" s="2" t="s">
        <v>20</v>
      </c>
      <c r="H1700" s="2" t="s">
        <v>20</v>
      </c>
      <c r="I1700" s="2" t="s">
        <v>21</v>
      </c>
      <c r="J1700" s="2" t="n">
        <v>2</v>
      </c>
      <c r="K1700" s="2" t="s">
        <v>35</v>
      </c>
      <c r="L1700" s="2" t="n">
        <v>258</v>
      </c>
      <c r="M1700" s="2" t="n">
        <v>1</v>
      </c>
      <c r="N1700" s="2" t="n">
        <v>73</v>
      </c>
      <c r="O1700" s="2" t="n">
        <v>1</v>
      </c>
      <c r="P1700" s="2" t="s">
        <v>28</v>
      </c>
      <c r="Q1700" s="2" t="s">
        <v>26</v>
      </c>
    </row>
    <row r="1701" customFormat="false" ht="15" hidden="false" customHeight="false" outlineLevel="0" collapsed="false">
      <c r="A1701" s="2" t="n">
        <v>49</v>
      </c>
      <c r="B1701" s="2" t="s">
        <v>38</v>
      </c>
      <c r="C1701" s="2" t="s">
        <v>18</v>
      </c>
      <c r="D1701" s="2" t="s">
        <v>23</v>
      </c>
      <c r="E1701" s="2" t="s">
        <v>20</v>
      </c>
      <c r="F1701" s="2" t="n">
        <v>323</v>
      </c>
      <c r="G1701" s="2" t="s">
        <v>26</v>
      </c>
      <c r="H1701" s="2" t="s">
        <v>20</v>
      </c>
      <c r="I1701" s="2" t="s">
        <v>21</v>
      </c>
      <c r="J1701" s="2" t="n">
        <v>18</v>
      </c>
      <c r="K1701" s="2" t="s">
        <v>46</v>
      </c>
      <c r="L1701" s="2" t="n">
        <v>41</v>
      </c>
      <c r="M1701" s="2" t="n">
        <v>2</v>
      </c>
      <c r="N1701" s="2" t="n">
        <v>-1</v>
      </c>
      <c r="O1701" s="2" t="n">
        <v>0</v>
      </c>
      <c r="P1701" s="2" t="s">
        <v>23</v>
      </c>
      <c r="Q1701" s="2" t="s">
        <v>20</v>
      </c>
    </row>
    <row r="1702" customFormat="false" ht="15" hidden="false" customHeight="false" outlineLevel="0" collapsed="false">
      <c r="A1702" s="2" t="n">
        <v>54</v>
      </c>
      <c r="B1702" s="2" t="s">
        <v>29</v>
      </c>
      <c r="C1702" s="2" t="s">
        <v>18</v>
      </c>
      <c r="D1702" s="2" t="s">
        <v>31</v>
      </c>
      <c r="E1702" s="2" t="s">
        <v>20</v>
      </c>
      <c r="F1702" s="2" t="n">
        <v>2960</v>
      </c>
      <c r="G1702" s="2" t="s">
        <v>26</v>
      </c>
      <c r="H1702" s="2" t="s">
        <v>20</v>
      </c>
      <c r="I1702" s="2" t="s">
        <v>21</v>
      </c>
      <c r="J1702" s="2" t="n">
        <v>20</v>
      </c>
      <c r="K1702" s="2" t="s">
        <v>46</v>
      </c>
      <c r="L1702" s="2" t="n">
        <v>83</v>
      </c>
      <c r="M1702" s="2" t="n">
        <v>1</v>
      </c>
      <c r="N1702" s="2" t="n">
        <v>-1</v>
      </c>
      <c r="O1702" s="2" t="n">
        <v>0</v>
      </c>
      <c r="P1702" s="2" t="s">
        <v>23</v>
      </c>
      <c r="Q1702" s="2" t="s">
        <v>20</v>
      </c>
    </row>
    <row r="1703" customFormat="false" ht="15" hidden="false" customHeight="false" outlineLevel="0" collapsed="false">
      <c r="A1703" s="2" t="n">
        <v>29</v>
      </c>
      <c r="B1703" s="2" t="s">
        <v>17</v>
      </c>
      <c r="C1703" s="2" t="s">
        <v>30</v>
      </c>
      <c r="D1703" s="2" t="s">
        <v>25</v>
      </c>
      <c r="E1703" s="2" t="s">
        <v>20</v>
      </c>
      <c r="F1703" s="2" t="n">
        <v>486</v>
      </c>
      <c r="G1703" s="2" t="s">
        <v>20</v>
      </c>
      <c r="H1703" s="2" t="s">
        <v>20</v>
      </c>
      <c r="I1703" s="2" t="s">
        <v>49</v>
      </c>
      <c r="J1703" s="2" t="n">
        <v>30</v>
      </c>
      <c r="K1703" s="2" t="s">
        <v>32</v>
      </c>
      <c r="L1703" s="2" t="n">
        <v>95</v>
      </c>
      <c r="M1703" s="2" t="n">
        <v>1</v>
      </c>
      <c r="N1703" s="2" t="n">
        <v>-1</v>
      </c>
      <c r="O1703" s="2" t="n">
        <v>0</v>
      </c>
      <c r="P1703" s="2" t="s">
        <v>23</v>
      </c>
      <c r="Q1703" s="2" t="s">
        <v>20</v>
      </c>
    </row>
    <row r="1704" customFormat="false" ht="15" hidden="false" customHeight="false" outlineLevel="0" collapsed="false">
      <c r="A1704" s="2" t="n">
        <v>51</v>
      </c>
      <c r="B1704" s="2" t="s">
        <v>48</v>
      </c>
      <c r="C1704" s="2" t="s">
        <v>45</v>
      </c>
      <c r="D1704" s="2" t="s">
        <v>25</v>
      </c>
      <c r="E1704" s="2" t="s">
        <v>20</v>
      </c>
      <c r="F1704" s="2" t="n">
        <v>343</v>
      </c>
      <c r="G1704" s="2" t="s">
        <v>26</v>
      </c>
      <c r="H1704" s="2" t="s">
        <v>20</v>
      </c>
      <c r="I1704" s="2" t="s">
        <v>23</v>
      </c>
      <c r="J1704" s="2" t="n">
        <v>30</v>
      </c>
      <c r="K1704" s="2" t="s">
        <v>27</v>
      </c>
      <c r="L1704" s="2" t="n">
        <v>78</v>
      </c>
      <c r="M1704" s="2" t="n">
        <v>2</v>
      </c>
      <c r="N1704" s="2" t="n">
        <v>-1</v>
      </c>
      <c r="O1704" s="2" t="n">
        <v>0</v>
      </c>
      <c r="P1704" s="2" t="s">
        <v>23</v>
      </c>
      <c r="Q1704" s="2" t="s">
        <v>20</v>
      </c>
    </row>
    <row r="1705" customFormat="false" ht="15" hidden="false" customHeight="false" outlineLevel="0" collapsed="false">
      <c r="A1705" s="2" t="n">
        <v>40</v>
      </c>
      <c r="B1705" s="2" t="s">
        <v>17</v>
      </c>
      <c r="C1705" s="2" t="s">
        <v>45</v>
      </c>
      <c r="D1705" s="2" t="s">
        <v>25</v>
      </c>
      <c r="E1705" s="2" t="s">
        <v>20</v>
      </c>
      <c r="F1705" s="2" t="n">
        <v>507</v>
      </c>
      <c r="G1705" s="2" t="s">
        <v>26</v>
      </c>
      <c r="H1705" s="2" t="s">
        <v>20</v>
      </c>
      <c r="I1705" s="2" t="s">
        <v>21</v>
      </c>
      <c r="J1705" s="2" t="n">
        <v>2</v>
      </c>
      <c r="K1705" s="2" t="s">
        <v>35</v>
      </c>
      <c r="L1705" s="2" t="n">
        <v>134</v>
      </c>
      <c r="M1705" s="2" t="n">
        <v>1</v>
      </c>
      <c r="N1705" s="2" t="n">
        <v>266</v>
      </c>
      <c r="O1705" s="2" t="n">
        <v>7</v>
      </c>
      <c r="P1705" s="2" t="s">
        <v>28</v>
      </c>
      <c r="Q1705" s="2" t="s">
        <v>20</v>
      </c>
    </row>
    <row r="1706" customFormat="false" ht="15" hidden="false" customHeight="false" outlineLevel="0" collapsed="false">
      <c r="A1706" s="2" t="n">
        <v>35</v>
      </c>
      <c r="B1706" s="2" t="s">
        <v>29</v>
      </c>
      <c r="C1706" s="2" t="s">
        <v>30</v>
      </c>
      <c r="D1706" s="2" t="s">
        <v>31</v>
      </c>
      <c r="E1706" s="2" t="s">
        <v>20</v>
      </c>
      <c r="F1706" s="2" t="n">
        <v>5958</v>
      </c>
      <c r="G1706" s="2" t="s">
        <v>26</v>
      </c>
      <c r="H1706" s="2" t="s">
        <v>20</v>
      </c>
      <c r="I1706" s="2" t="s">
        <v>21</v>
      </c>
      <c r="J1706" s="2" t="n">
        <v>22</v>
      </c>
      <c r="K1706" s="2" t="s">
        <v>52</v>
      </c>
      <c r="L1706" s="2" t="n">
        <v>215</v>
      </c>
      <c r="M1706" s="2" t="n">
        <v>1</v>
      </c>
      <c r="N1706" s="2" t="n">
        <v>-1</v>
      </c>
      <c r="O1706" s="2" t="n">
        <v>0</v>
      </c>
      <c r="P1706" s="2" t="s">
        <v>23</v>
      </c>
      <c r="Q1706" s="2" t="s">
        <v>26</v>
      </c>
    </row>
    <row r="1707" customFormat="false" ht="15" hidden="false" customHeight="false" outlineLevel="0" collapsed="false">
      <c r="A1707" s="2" t="n">
        <v>25</v>
      </c>
      <c r="B1707" s="2" t="s">
        <v>42</v>
      </c>
      <c r="C1707" s="2" t="s">
        <v>30</v>
      </c>
      <c r="D1707" s="2" t="s">
        <v>25</v>
      </c>
      <c r="E1707" s="2" t="s">
        <v>20</v>
      </c>
      <c r="F1707" s="2" t="n">
        <v>304</v>
      </c>
      <c r="G1707" s="2" t="s">
        <v>20</v>
      </c>
      <c r="H1707" s="2" t="s">
        <v>20</v>
      </c>
      <c r="I1707" s="2" t="s">
        <v>21</v>
      </c>
      <c r="J1707" s="2" t="n">
        <v>26</v>
      </c>
      <c r="K1707" s="2" t="s">
        <v>27</v>
      </c>
      <c r="L1707" s="2" t="n">
        <v>226</v>
      </c>
      <c r="M1707" s="2" t="n">
        <v>2</v>
      </c>
      <c r="N1707" s="2" t="n">
        <v>-1</v>
      </c>
      <c r="O1707" s="2" t="n">
        <v>0</v>
      </c>
      <c r="P1707" s="2" t="s">
        <v>23</v>
      </c>
      <c r="Q1707" s="2" t="s">
        <v>26</v>
      </c>
    </row>
    <row r="1708" customFormat="false" ht="15" hidden="false" customHeight="false" outlineLevel="0" collapsed="false">
      <c r="A1708" s="2" t="n">
        <v>32</v>
      </c>
      <c r="B1708" s="2" t="s">
        <v>34</v>
      </c>
      <c r="C1708" s="2" t="s">
        <v>30</v>
      </c>
      <c r="D1708" s="2" t="s">
        <v>25</v>
      </c>
      <c r="E1708" s="2" t="s">
        <v>20</v>
      </c>
      <c r="F1708" s="2" t="n">
        <v>118</v>
      </c>
      <c r="G1708" s="2" t="s">
        <v>26</v>
      </c>
      <c r="H1708" s="2" t="s">
        <v>20</v>
      </c>
      <c r="I1708" s="2" t="s">
        <v>21</v>
      </c>
      <c r="J1708" s="2" t="n">
        <v>17</v>
      </c>
      <c r="K1708" s="2" t="s">
        <v>44</v>
      </c>
      <c r="L1708" s="2" t="n">
        <v>1275</v>
      </c>
      <c r="M1708" s="2" t="n">
        <v>1</v>
      </c>
      <c r="N1708" s="2" t="n">
        <v>-1</v>
      </c>
      <c r="O1708" s="2" t="n">
        <v>0</v>
      </c>
      <c r="P1708" s="2" t="s">
        <v>23</v>
      </c>
      <c r="Q1708" s="2" t="s">
        <v>26</v>
      </c>
    </row>
    <row r="1709" customFormat="false" ht="15" hidden="false" customHeight="false" outlineLevel="0" collapsed="false">
      <c r="A1709" s="2" t="n">
        <v>30</v>
      </c>
      <c r="B1709" s="2" t="s">
        <v>36</v>
      </c>
      <c r="C1709" s="2" t="s">
        <v>18</v>
      </c>
      <c r="D1709" s="2" t="s">
        <v>25</v>
      </c>
      <c r="E1709" s="2" t="s">
        <v>20</v>
      </c>
      <c r="F1709" s="2" t="n">
        <v>123</v>
      </c>
      <c r="G1709" s="2" t="s">
        <v>20</v>
      </c>
      <c r="H1709" s="2" t="s">
        <v>26</v>
      </c>
      <c r="I1709" s="2" t="s">
        <v>23</v>
      </c>
      <c r="J1709" s="2" t="n">
        <v>17</v>
      </c>
      <c r="K1709" s="2" t="s">
        <v>44</v>
      </c>
      <c r="L1709" s="2" t="n">
        <v>66</v>
      </c>
      <c r="M1709" s="2" t="n">
        <v>1</v>
      </c>
      <c r="N1709" s="2" t="n">
        <v>85</v>
      </c>
      <c r="O1709" s="2" t="n">
        <v>5</v>
      </c>
      <c r="P1709" s="2" t="s">
        <v>37</v>
      </c>
      <c r="Q1709" s="2" t="s">
        <v>20</v>
      </c>
    </row>
    <row r="1710" customFormat="false" ht="15" hidden="false" customHeight="false" outlineLevel="0" collapsed="false">
      <c r="A1710" s="2" t="n">
        <v>38</v>
      </c>
      <c r="B1710" s="2" t="s">
        <v>29</v>
      </c>
      <c r="C1710" s="2" t="s">
        <v>18</v>
      </c>
      <c r="D1710" s="2" t="s">
        <v>31</v>
      </c>
      <c r="E1710" s="2" t="s">
        <v>20</v>
      </c>
      <c r="F1710" s="2" t="n">
        <v>76</v>
      </c>
      <c r="G1710" s="2" t="s">
        <v>26</v>
      </c>
      <c r="H1710" s="2" t="s">
        <v>20</v>
      </c>
      <c r="I1710" s="2" t="s">
        <v>21</v>
      </c>
      <c r="J1710" s="2" t="n">
        <v>7</v>
      </c>
      <c r="K1710" s="2" t="s">
        <v>44</v>
      </c>
      <c r="L1710" s="2" t="n">
        <v>196</v>
      </c>
      <c r="M1710" s="2" t="n">
        <v>3</v>
      </c>
      <c r="N1710" s="2" t="n">
        <v>-1</v>
      </c>
      <c r="O1710" s="2" t="n">
        <v>0</v>
      </c>
      <c r="P1710" s="2" t="s">
        <v>23</v>
      </c>
      <c r="Q1710" s="2" t="s">
        <v>20</v>
      </c>
    </row>
    <row r="1711" customFormat="false" ht="15" hidden="false" customHeight="false" outlineLevel="0" collapsed="false">
      <c r="A1711" s="2" t="n">
        <v>46</v>
      </c>
      <c r="B1711" s="2" t="s">
        <v>40</v>
      </c>
      <c r="C1711" s="2" t="s">
        <v>18</v>
      </c>
      <c r="D1711" s="2" t="s">
        <v>25</v>
      </c>
      <c r="E1711" s="2" t="s">
        <v>20</v>
      </c>
      <c r="F1711" s="2" t="n">
        <v>70</v>
      </c>
      <c r="G1711" s="2" t="s">
        <v>26</v>
      </c>
      <c r="H1711" s="2" t="s">
        <v>20</v>
      </c>
      <c r="I1711" s="2" t="s">
        <v>21</v>
      </c>
      <c r="J1711" s="2" t="n">
        <v>27</v>
      </c>
      <c r="K1711" s="2" t="s">
        <v>52</v>
      </c>
      <c r="L1711" s="2" t="n">
        <v>229</v>
      </c>
      <c r="M1711" s="2" t="n">
        <v>2</v>
      </c>
      <c r="N1711" s="2" t="n">
        <v>-1</v>
      </c>
      <c r="O1711" s="2" t="n">
        <v>0</v>
      </c>
      <c r="P1711" s="2" t="s">
        <v>23</v>
      </c>
      <c r="Q1711" s="2" t="s">
        <v>26</v>
      </c>
    </row>
    <row r="1712" customFormat="false" ht="15" hidden="false" customHeight="false" outlineLevel="0" collapsed="false">
      <c r="A1712" s="2" t="n">
        <v>43</v>
      </c>
      <c r="B1712" s="2" t="s">
        <v>17</v>
      </c>
      <c r="C1712" s="2" t="s">
        <v>18</v>
      </c>
      <c r="D1712" s="2" t="s">
        <v>19</v>
      </c>
      <c r="E1712" s="2" t="s">
        <v>20</v>
      </c>
      <c r="F1712" s="2" t="n">
        <v>960</v>
      </c>
      <c r="G1712" s="2" t="s">
        <v>26</v>
      </c>
      <c r="H1712" s="2" t="s">
        <v>26</v>
      </c>
      <c r="I1712" s="2" t="s">
        <v>23</v>
      </c>
      <c r="J1712" s="2" t="n">
        <v>15</v>
      </c>
      <c r="K1712" s="2" t="s">
        <v>27</v>
      </c>
      <c r="L1712" s="2" t="n">
        <v>241</v>
      </c>
      <c r="M1712" s="2" t="n">
        <v>2</v>
      </c>
      <c r="N1712" s="2" t="n">
        <v>-1</v>
      </c>
      <c r="O1712" s="2" t="n">
        <v>0</v>
      </c>
      <c r="P1712" s="2" t="s">
        <v>23</v>
      </c>
      <c r="Q1712" s="2" t="s">
        <v>20</v>
      </c>
    </row>
    <row r="1713" customFormat="false" ht="15" hidden="false" customHeight="false" outlineLevel="0" collapsed="false">
      <c r="A1713" s="2" t="n">
        <v>32</v>
      </c>
      <c r="B1713" s="2" t="s">
        <v>38</v>
      </c>
      <c r="C1713" s="2" t="s">
        <v>30</v>
      </c>
      <c r="D1713" s="2" t="s">
        <v>31</v>
      </c>
      <c r="E1713" s="2" t="s">
        <v>20</v>
      </c>
      <c r="F1713" s="2" t="n">
        <v>2185</v>
      </c>
      <c r="G1713" s="2" t="s">
        <v>20</v>
      </c>
      <c r="H1713" s="2" t="s">
        <v>20</v>
      </c>
      <c r="I1713" s="2" t="s">
        <v>21</v>
      </c>
      <c r="J1713" s="2" t="n">
        <v>20</v>
      </c>
      <c r="K1713" s="2" t="s">
        <v>46</v>
      </c>
      <c r="L1713" s="2" t="n">
        <v>354</v>
      </c>
      <c r="M1713" s="2" t="n">
        <v>2</v>
      </c>
      <c r="N1713" s="2" t="n">
        <v>-1</v>
      </c>
      <c r="O1713" s="2" t="n">
        <v>0</v>
      </c>
      <c r="P1713" s="2" t="s">
        <v>23</v>
      </c>
      <c r="Q1713" s="2" t="s">
        <v>20</v>
      </c>
    </row>
    <row r="1714" customFormat="false" ht="15" hidden="false" customHeight="false" outlineLevel="0" collapsed="false">
      <c r="A1714" s="2" t="n">
        <v>29</v>
      </c>
      <c r="B1714" s="2" t="s">
        <v>34</v>
      </c>
      <c r="C1714" s="2" t="s">
        <v>30</v>
      </c>
      <c r="D1714" s="2" t="s">
        <v>25</v>
      </c>
      <c r="E1714" s="2" t="s">
        <v>20</v>
      </c>
      <c r="F1714" s="2" t="n">
        <v>309</v>
      </c>
      <c r="G1714" s="2" t="s">
        <v>26</v>
      </c>
      <c r="H1714" s="2" t="s">
        <v>20</v>
      </c>
      <c r="I1714" s="2" t="s">
        <v>21</v>
      </c>
      <c r="J1714" s="2" t="n">
        <v>11</v>
      </c>
      <c r="K1714" s="2" t="s">
        <v>27</v>
      </c>
      <c r="L1714" s="2" t="n">
        <v>471</v>
      </c>
      <c r="M1714" s="2" t="n">
        <v>3</v>
      </c>
      <c r="N1714" s="2" t="n">
        <v>-1</v>
      </c>
      <c r="O1714" s="2" t="n">
        <v>0</v>
      </c>
      <c r="P1714" s="2" t="s">
        <v>23</v>
      </c>
      <c r="Q1714" s="2" t="s">
        <v>20</v>
      </c>
    </row>
    <row r="1715" customFormat="false" ht="15" hidden="false" customHeight="false" outlineLevel="0" collapsed="false">
      <c r="A1715" s="2" t="n">
        <v>56</v>
      </c>
      <c r="B1715" s="2" t="s">
        <v>34</v>
      </c>
      <c r="C1715" s="2" t="s">
        <v>18</v>
      </c>
      <c r="D1715" s="2" t="s">
        <v>25</v>
      </c>
      <c r="E1715" s="2" t="s">
        <v>20</v>
      </c>
      <c r="F1715" s="2" t="n">
        <v>2190</v>
      </c>
      <c r="G1715" s="2" t="s">
        <v>20</v>
      </c>
      <c r="H1715" s="2" t="s">
        <v>26</v>
      </c>
      <c r="I1715" s="2" t="s">
        <v>21</v>
      </c>
      <c r="J1715" s="2" t="n">
        <v>30</v>
      </c>
      <c r="K1715" s="2" t="s">
        <v>43</v>
      </c>
      <c r="L1715" s="2" t="n">
        <v>90</v>
      </c>
      <c r="M1715" s="2" t="n">
        <v>2</v>
      </c>
      <c r="N1715" s="2" t="n">
        <v>232</v>
      </c>
      <c r="O1715" s="2" t="n">
        <v>1</v>
      </c>
      <c r="P1715" s="2" t="s">
        <v>28</v>
      </c>
      <c r="Q1715" s="2" t="s">
        <v>20</v>
      </c>
    </row>
    <row r="1716" customFormat="false" ht="15" hidden="false" customHeight="false" outlineLevel="0" collapsed="false">
      <c r="A1716" s="2" t="n">
        <v>57</v>
      </c>
      <c r="B1716" s="2" t="s">
        <v>38</v>
      </c>
      <c r="C1716" s="2" t="s">
        <v>18</v>
      </c>
      <c r="D1716" s="2" t="s">
        <v>19</v>
      </c>
      <c r="E1716" s="2" t="s">
        <v>20</v>
      </c>
      <c r="F1716" s="2" t="n">
        <v>0</v>
      </c>
      <c r="G1716" s="2" t="s">
        <v>20</v>
      </c>
      <c r="H1716" s="2" t="s">
        <v>20</v>
      </c>
      <c r="I1716" s="2" t="s">
        <v>23</v>
      </c>
      <c r="J1716" s="2" t="n">
        <v>5</v>
      </c>
      <c r="K1716" s="2" t="s">
        <v>33</v>
      </c>
      <c r="L1716" s="2" t="n">
        <v>58</v>
      </c>
      <c r="M1716" s="2" t="n">
        <v>8</v>
      </c>
      <c r="N1716" s="2" t="n">
        <v>-1</v>
      </c>
      <c r="O1716" s="2" t="n">
        <v>0</v>
      </c>
      <c r="P1716" s="2" t="s">
        <v>23</v>
      </c>
      <c r="Q1716" s="2" t="s">
        <v>20</v>
      </c>
    </row>
    <row r="1717" customFormat="false" ht="15" hidden="false" customHeight="false" outlineLevel="0" collapsed="false">
      <c r="A1717" s="2" t="n">
        <v>38</v>
      </c>
      <c r="B1717" s="2" t="s">
        <v>40</v>
      </c>
      <c r="C1717" s="2" t="s">
        <v>18</v>
      </c>
      <c r="D1717" s="2" t="s">
        <v>25</v>
      </c>
      <c r="E1717" s="2" t="s">
        <v>20</v>
      </c>
      <c r="F1717" s="2" t="n">
        <v>3732</v>
      </c>
      <c r="G1717" s="2" t="s">
        <v>26</v>
      </c>
      <c r="H1717" s="2" t="s">
        <v>20</v>
      </c>
      <c r="I1717" s="2" t="s">
        <v>23</v>
      </c>
      <c r="J1717" s="2" t="n">
        <v>21</v>
      </c>
      <c r="K1717" s="2" t="s">
        <v>27</v>
      </c>
      <c r="L1717" s="2" t="n">
        <v>379</v>
      </c>
      <c r="M1717" s="2" t="n">
        <v>2</v>
      </c>
      <c r="N1717" s="2" t="n">
        <v>-1</v>
      </c>
      <c r="O1717" s="2" t="n">
        <v>0</v>
      </c>
      <c r="P1717" s="2" t="s">
        <v>23</v>
      </c>
      <c r="Q1717" s="2" t="s">
        <v>20</v>
      </c>
    </row>
    <row r="1718" customFormat="false" ht="15" hidden="false" customHeight="false" outlineLevel="0" collapsed="false">
      <c r="A1718" s="2" t="n">
        <v>51</v>
      </c>
      <c r="B1718" s="2" t="s">
        <v>38</v>
      </c>
      <c r="C1718" s="2" t="s">
        <v>18</v>
      </c>
      <c r="D1718" s="2" t="s">
        <v>19</v>
      </c>
      <c r="E1718" s="2" t="s">
        <v>20</v>
      </c>
      <c r="F1718" s="2" t="n">
        <v>1550</v>
      </c>
      <c r="G1718" s="2" t="s">
        <v>20</v>
      </c>
      <c r="H1718" s="2" t="s">
        <v>20</v>
      </c>
      <c r="I1718" s="2" t="s">
        <v>23</v>
      </c>
      <c r="J1718" s="2" t="n">
        <v>20</v>
      </c>
      <c r="K1718" s="2" t="s">
        <v>33</v>
      </c>
      <c r="L1718" s="2" t="n">
        <v>12</v>
      </c>
      <c r="M1718" s="2" t="n">
        <v>5</v>
      </c>
      <c r="N1718" s="2" t="n">
        <v>-1</v>
      </c>
      <c r="O1718" s="2" t="n">
        <v>0</v>
      </c>
      <c r="P1718" s="2" t="s">
        <v>23</v>
      </c>
      <c r="Q1718" s="2" t="s">
        <v>20</v>
      </c>
    </row>
    <row r="1719" customFormat="false" ht="15" hidden="false" customHeight="false" outlineLevel="0" collapsed="false">
      <c r="A1719" s="2" t="n">
        <v>35</v>
      </c>
      <c r="B1719" s="2" t="s">
        <v>40</v>
      </c>
      <c r="C1719" s="2" t="s">
        <v>30</v>
      </c>
      <c r="D1719" s="2" t="s">
        <v>31</v>
      </c>
      <c r="E1719" s="2" t="s">
        <v>20</v>
      </c>
      <c r="F1719" s="2" t="n">
        <v>62</v>
      </c>
      <c r="G1719" s="2" t="s">
        <v>20</v>
      </c>
      <c r="H1719" s="2" t="s">
        <v>26</v>
      </c>
      <c r="I1719" s="2" t="s">
        <v>21</v>
      </c>
      <c r="J1719" s="2" t="n">
        <v>30</v>
      </c>
      <c r="K1719" s="2" t="s">
        <v>32</v>
      </c>
      <c r="L1719" s="2" t="n">
        <v>67</v>
      </c>
      <c r="M1719" s="2" t="n">
        <v>1</v>
      </c>
      <c r="N1719" s="2" t="n">
        <v>-1</v>
      </c>
      <c r="O1719" s="2" t="n">
        <v>0</v>
      </c>
      <c r="P1719" s="2" t="s">
        <v>23</v>
      </c>
      <c r="Q1719" s="2" t="s">
        <v>20</v>
      </c>
    </row>
    <row r="1720" customFormat="false" ht="15" hidden="false" customHeight="false" outlineLevel="0" collapsed="false">
      <c r="A1720" s="2" t="n">
        <v>37</v>
      </c>
      <c r="B1720" s="2" t="s">
        <v>34</v>
      </c>
      <c r="C1720" s="2" t="s">
        <v>18</v>
      </c>
      <c r="D1720" s="2" t="s">
        <v>19</v>
      </c>
      <c r="E1720" s="2" t="s">
        <v>20</v>
      </c>
      <c r="F1720" s="2" t="n">
        <v>704</v>
      </c>
      <c r="G1720" s="2" t="s">
        <v>20</v>
      </c>
      <c r="H1720" s="2" t="s">
        <v>20</v>
      </c>
      <c r="I1720" s="2" t="s">
        <v>23</v>
      </c>
      <c r="J1720" s="2" t="n">
        <v>18</v>
      </c>
      <c r="K1720" s="2" t="s">
        <v>33</v>
      </c>
      <c r="L1720" s="2" t="n">
        <v>165</v>
      </c>
      <c r="M1720" s="2" t="n">
        <v>7</v>
      </c>
      <c r="N1720" s="2" t="n">
        <v>-1</v>
      </c>
      <c r="O1720" s="2" t="n">
        <v>0</v>
      </c>
      <c r="P1720" s="2" t="s">
        <v>23</v>
      </c>
      <c r="Q1720" s="2" t="s">
        <v>20</v>
      </c>
    </row>
    <row r="1721" customFormat="false" ht="15" hidden="false" customHeight="false" outlineLevel="0" collapsed="false">
      <c r="A1721" s="2" t="n">
        <v>48</v>
      </c>
      <c r="B1721" s="2" t="s">
        <v>29</v>
      </c>
      <c r="C1721" s="2" t="s">
        <v>18</v>
      </c>
      <c r="D1721" s="2" t="s">
        <v>25</v>
      </c>
      <c r="E1721" s="2" t="s">
        <v>20</v>
      </c>
      <c r="F1721" s="2" t="n">
        <v>4415</v>
      </c>
      <c r="G1721" s="2" t="s">
        <v>26</v>
      </c>
      <c r="H1721" s="2" t="s">
        <v>20</v>
      </c>
      <c r="I1721" s="2" t="s">
        <v>21</v>
      </c>
      <c r="J1721" s="2" t="n">
        <v>8</v>
      </c>
      <c r="K1721" s="2" t="s">
        <v>32</v>
      </c>
      <c r="L1721" s="2" t="n">
        <v>1032</v>
      </c>
      <c r="M1721" s="2" t="n">
        <v>3</v>
      </c>
      <c r="N1721" s="2" t="n">
        <v>141</v>
      </c>
      <c r="O1721" s="2" t="n">
        <v>7</v>
      </c>
      <c r="P1721" s="2" t="s">
        <v>28</v>
      </c>
      <c r="Q1721" s="2" t="s">
        <v>26</v>
      </c>
    </row>
    <row r="1722" customFormat="false" ht="15" hidden="false" customHeight="false" outlineLevel="0" collapsed="false">
      <c r="A1722" s="2" t="n">
        <v>30</v>
      </c>
      <c r="B1722" s="2" t="s">
        <v>34</v>
      </c>
      <c r="C1722" s="2" t="s">
        <v>30</v>
      </c>
      <c r="D1722" s="2" t="s">
        <v>25</v>
      </c>
      <c r="E1722" s="2" t="s">
        <v>26</v>
      </c>
      <c r="F1722" s="2" t="n">
        <v>4</v>
      </c>
      <c r="G1722" s="2" t="s">
        <v>26</v>
      </c>
      <c r="H1722" s="2" t="s">
        <v>20</v>
      </c>
      <c r="I1722" s="2" t="s">
        <v>23</v>
      </c>
      <c r="J1722" s="2" t="n">
        <v>23</v>
      </c>
      <c r="K1722" s="2" t="s">
        <v>27</v>
      </c>
      <c r="L1722" s="2" t="n">
        <v>84</v>
      </c>
      <c r="M1722" s="2" t="n">
        <v>3</v>
      </c>
      <c r="N1722" s="2" t="n">
        <v>-1</v>
      </c>
      <c r="O1722" s="2" t="n">
        <v>0</v>
      </c>
      <c r="P1722" s="2" t="s">
        <v>23</v>
      </c>
      <c r="Q1722" s="2" t="s">
        <v>20</v>
      </c>
    </row>
    <row r="1723" customFormat="false" ht="15" hidden="false" customHeight="false" outlineLevel="0" collapsed="false">
      <c r="A1723" s="2" t="n">
        <v>60</v>
      </c>
      <c r="B1723" s="2" t="s">
        <v>48</v>
      </c>
      <c r="C1723" s="2" t="s">
        <v>18</v>
      </c>
      <c r="D1723" s="2" t="s">
        <v>25</v>
      </c>
      <c r="E1723" s="2" t="s">
        <v>20</v>
      </c>
      <c r="F1723" s="2" t="n">
        <v>262</v>
      </c>
      <c r="G1723" s="2" t="s">
        <v>20</v>
      </c>
      <c r="H1723" s="2" t="s">
        <v>20</v>
      </c>
      <c r="I1723" s="2" t="s">
        <v>21</v>
      </c>
      <c r="J1723" s="2" t="n">
        <v>18</v>
      </c>
      <c r="K1723" s="2" t="s">
        <v>41</v>
      </c>
      <c r="L1723" s="2" t="n">
        <v>393</v>
      </c>
      <c r="M1723" s="2" t="n">
        <v>4</v>
      </c>
      <c r="N1723" s="2" t="n">
        <v>-1</v>
      </c>
      <c r="O1723" s="2" t="n">
        <v>0</v>
      </c>
      <c r="P1723" s="2" t="s">
        <v>23</v>
      </c>
      <c r="Q1723" s="2" t="s">
        <v>20</v>
      </c>
    </row>
    <row r="1724" customFormat="false" ht="15" hidden="false" customHeight="false" outlineLevel="0" collapsed="false">
      <c r="A1724" s="2" t="n">
        <v>56</v>
      </c>
      <c r="B1724" s="2" t="s">
        <v>29</v>
      </c>
      <c r="C1724" s="2" t="s">
        <v>18</v>
      </c>
      <c r="D1724" s="2" t="s">
        <v>25</v>
      </c>
      <c r="E1724" s="2" t="s">
        <v>20</v>
      </c>
      <c r="F1724" s="2" t="n">
        <v>238</v>
      </c>
      <c r="G1724" s="2" t="s">
        <v>26</v>
      </c>
      <c r="H1724" s="2" t="s">
        <v>20</v>
      </c>
      <c r="I1724" s="2" t="s">
        <v>21</v>
      </c>
      <c r="J1724" s="2" t="n">
        <v>19</v>
      </c>
      <c r="K1724" s="2" t="s">
        <v>46</v>
      </c>
      <c r="L1724" s="2" t="n">
        <v>808</v>
      </c>
      <c r="M1724" s="2" t="n">
        <v>1</v>
      </c>
      <c r="N1724" s="2" t="n">
        <v>-1</v>
      </c>
      <c r="O1724" s="2" t="n">
        <v>0</v>
      </c>
      <c r="P1724" s="2" t="s">
        <v>23</v>
      </c>
      <c r="Q1724" s="2" t="s">
        <v>20</v>
      </c>
    </row>
    <row r="1725" customFormat="false" ht="15" hidden="false" customHeight="false" outlineLevel="0" collapsed="false">
      <c r="A1725" s="2" t="n">
        <v>45</v>
      </c>
      <c r="B1725" s="2" t="s">
        <v>34</v>
      </c>
      <c r="C1725" s="2" t="s">
        <v>18</v>
      </c>
      <c r="D1725" s="2" t="s">
        <v>19</v>
      </c>
      <c r="E1725" s="2" t="s">
        <v>20</v>
      </c>
      <c r="F1725" s="2" t="n">
        <v>97</v>
      </c>
      <c r="G1725" s="2" t="s">
        <v>26</v>
      </c>
      <c r="H1725" s="2" t="s">
        <v>20</v>
      </c>
      <c r="I1725" s="2" t="s">
        <v>23</v>
      </c>
      <c r="J1725" s="2" t="n">
        <v>7</v>
      </c>
      <c r="K1725" s="2" t="s">
        <v>27</v>
      </c>
      <c r="L1725" s="2" t="n">
        <v>923</v>
      </c>
      <c r="M1725" s="2" t="n">
        <v>3</v>
      </c>
      <c r="N1725" s="2" t="n">
        <v>-1</v>
      </c>
      <c r="O1725" s="2" t="n">
        <v>0</v>
      </c>
      <c r="P1725" s="2" t="s">
        <v>23</v>
      </c>
      <c r="Q1725" s="2" t="s">
        <v>20</v>
      </c>
    </row>
    <row r="1726" customFormat="false" ht="15" hidden="false" customHeight="false" outlineLevel="0" collapsed="false">
      <c r="A1726" s="2" t="n">
        <v>38</v>
      </c>
      <c r="B1726" s="2" t="s">
        <v>38</v>
      </c>
      <c r="C1726" s="2" t="s">
        <v>45</v>
      </c>
      <c r="D1726" s="2" t="s">
        <v>25</v>
      </c>
      <c r="E1726" s="2" t="s">
        <v>20</v>
      </c>
      <c r="F1726" s="2" t="n">
        <v>410</v>
      </c>
      <c r="G1726" s="2" t="s">
        <v>20</v>
      </c>
      <c r="H1726" s="2" t="s">
        <v>20</v>
      </c>
      <c r="I1726" s="2" t="s">
        <v>21</v>
      </c>
      <c r="J1726" s="2" t="n">
        <v>11</v>
      </c>
      <c r="K1726" s="2" t="s">
        <v>41</v>
      </c>
      <c r="L1726" s="2" t="n">
        <v>63</v>
      </c>
      <c r="M1726" s="2" t="n">
        <v>6</v>
      </c>
      <c r="N1726" s="2" t="n">
        <v>-1</v>
      </c>
      <c r="O1726" s="2" t="n">
        <v>0</v>
      </c>
      <c r="P1726" s="2" t="s">
        <v>23</v>
      </c>
      <c r="Q1726" s="2" t="s">
        <v>20</v>
      </c>
    </row>
    <row r="1727" customFormat="false" ht="15" hidden="false" customHeight="false" outlineLevel="0" collapsed="false">
      <c r="A1727" s="2" t="n">
        <v>20</v>
      </c>
      <c r="B1727" s="2" t="s">
        <v>42</v>
      </c>
      <c r="C1727" s="2" t="s">
        <v>30</v>
      </c>
      <c r="D1727" s="2" t="s">
        <v>25</v>
      </c>
      <c r="E1727" s="2" t="s">
        <v>20</v>
      </c>
      <c r="F1727" s="2" t="n">
        <v>1191</v>
      </c>
      <c r="G1727" s="2" t="s">
        <v>20</v>
      </c>
      <c r="H1727" s="2" t="s">
        <v>20</v>
      </c>
      <c r="I1727" s="2" t="s">
        <v>21</v>
      </c>
      <c r="J1727" s="2" t="n">
        <v>12</v>
      </c>
      <c r="K1727" s="2" t="s">
        <v>35</v>
      </c>
      <c r="L1727" s="2" t="n">
        <v>274</v>
      </c>
      <c r="M1727" s="2" t="n">
        <v>1</v>
      </c>
      <c r="N1727" s="2" t="n">
        <v>-1</v>
      </c>
      <c r="O1727" s="2" t="n">
        <v>0</v>
      </c>
      <c r="P1727" s="2" t="s">
        <v>23</v>
      </c>
      <c r="Q1727" s="2" t="s">
        <v>20</v>
      </c>
    </row>
    <row r="1728" customFormat="false" ht="15" hidden="false" customHeight="false" outlineLevel="0" collapsed="false">
      <c r="A1728" s="2" t="n">
        <v>59</v>
      </c>
      <c r="B1728" s="2" t="s">
        <v>48</v>
      </c>
      <c r="C1728" s="2" t="s">
        <v>18</v>
      </c>
      <c r="D1728" s="2" t="s">
        <v>19</v>
      </c>
      <c r="E1728" s="2" t="s">
        <v>20</v>
      </c>
      <c r="F1728" s="2" t="n">
        <v>-47</v>
      </c>
      <c r="G1728" s="2" t="s">
        <v>26</v>
      </c>
      <c r="H1728" s="2" t="s">
        <v>20</v>
      </c>
      <c r="I1728" s="2" t="s">
        <v>21</v>
      </c>
      <c r="J1728" s="2" t="n">
        <v>27</v>
      </c>
      <c r="K1728" s="2" t="s">
        <v>41</v>
      </c>
      <c r="L1728" s="2" t="n">
        <v>84</v>
      </c>
      <c r="M1728" s="2" t="n">
        <v>4</v>
      </c>
      <c r="N1728" s="2" t="n">
        <v>-1</v>
      </c>
      <c r="O1728" s="2" t="n">
        <v>0</v>
      </c>
      <c r="P1728" s="2" t="s">
        <v>23</v>
      </c>
      <c r="Q1728" s="2" t="s">
        <v>20</v>
      </c>
    </row>
    <row r="1729" customFormat="false" ht="15" hidden="false" customHeight="false" outlineLevel="0" collapsed="false">
      <c r="A1729" s="2" t="n">
        <v>34</v>
      </c>
      <c r="B1729" s="2" t="s">
        <v>38</v>
      </c>
      <c r="C1729" s="2" t="s">
        <v>18</v>
      </c>
      <c r="D1729" s="2" t="s">
        <v>31</v>
      </c>
      <c r="E1729" s="2" t="s">
        <v>20</v>
      </c>
      <c r="F1729" s="2" t="n">
        <v>197</v>
      </c>
      <c r="G1729" s="2" t="s">
        <v>20</v>
      </c>
      <c r="H1729" s="2" t="s">
        <v>20</v>
      </c>
      <c r="I1729" s="2" t="s">
        <v>21</v>
      </c>
      <c r="J1729" s="2" t="n">
        <v>20</v>
      </c>
      <c r="K1729" s="2" t="s">
        <v>41</v>
      </c>
      <c r="L1729" s="2" t="n">
        <v>78</v>
      </c>
      <c r="M1729" s="2" t="n">
        <v>3</v>
      </c>
      <c r="N1729" s="2" t="n">
        <v>-1</v>
      </c>
      <c r="O1729" s="2" t="n">
        <v>0</v>
      </c>
      <c r="P1729" s="2" t="s">
        <v>23</v>
      </c>
      <c r="Q1729" s="2" t="s">
        <v>26</v>
      </c>
    </row>
    <row r="1730" customFormat="false" ht="15" hidden="false" customHeight="false" outlineLevel="0" collapsed="false">
      <c r="A1730" s="2" t="n">
        <v>36</v>
      </c>
      <c r="B1730" s="2" t="s">
        <v>34</v>
      </c>
      <c r="C1730" s="2" t="s">
        <v>18</v>
      </c>
      <c r="D1730" s="2" t="s">
        <v>23</v>
      </c>
      <c r="E1730" s="2" t="s">
        <v>20</v>
      </c>
      <c r="F1730" s="2" t="n">
        <v>6</v>
      </c>
      <c r="G1730" s="2" t="s">
        <v>20</v>
      </c>
      <c r="H1730" s="2" t="s">
        <v>20</v>
      </c>
      <c r="I1730" s="2" t="s">
        <v>23</v>
      </c>
      <c r="J1730" s="2" t="n">
        <v>20</v>
      </c>
      <c r="K1730" s="2" t="s">
        <v>33</v>
      </c>
      <c r="L1730" s="2" t="n">
        <v>41</v>
      </c>
      <c r="M1730" s="2" t="n">
        <v>7</v>
      </c>
      <c r="N1730" s="2" t="n">
        <v>-1</v>
      </c>
      <c r="O1730" s="2" t="n">
        <v>0</v>
      </c>
      <c r="P1730" s="2" t="s">
        <v>23</v>
      </c>
      <c r="Q1730" s="2" t="s">
        <v>20</v>
      </c>
    </row>
    <row r="1731" customFormat="false" ht="15" hidden="false" customHeight="false" outlineLevel="0" collapsed="false">
      <c r="A1731" s="2" t="n">
        <v>53</v>
      </c>
      <c r="B1731" s="2" t="s">
        <v>40</v>
      </c>
      <c r="C1731" s="2" t="s">
        <v>30</v>
      </c>
      <c r="D1731" s="2" t="s">
        <v>25</v>
      </c>
      <c r="E1731" s="2" t="s">
        <v>20</v>
      </c>
      <c r="F1731" s="2" t="n">
        <v>2398</v>
      </c>
      <c r="G1731" s="2" t="s">
        <v>26</v>
      </c>
      <c r="H1731" s="2" t="s">
        <v>20</v>
      </c>
      <c r="I1731" s="2" t="s">
        <v>21</v>
      </c>
      <c r="J1731" s="2" t="n">
        <v>2</v>
      </c>
      <c r="K1731" s="2" t="s">
        <v>41</v>
      </c>
      <c r="L1731" s="2" t="n">
        <v>317</v>
      </c>
      <c r="M1731" s="2" t="n">
        <v>1</v>
      </c>
      <c r="N1731" s="2" t="n">
        <v>180</v>
      </c>
      <c r="O1731" s="2" t="n">
        <v>2</v>
      </c>
      <c r="P1731" s="2" t="s">
        <v>28</v>
      </c>
      <c r="Q1731" s="2" t="s">
        <v>26</v>
      </c>
    </row>
    <row r="1732" customFormat="false" ht="15" hidden="false" customHeight="false" outlineLevel="0" collapsed="false">
      <c r="A1732" s="2" t="n">
        <v>51</v>
      </c>
      <c r="B1732" s="2" t="s">
        <v>29</v>
      </c>
      <c r="C1732" s="2" t="s">
        <v>18</v>
      </c>
      <c r="D1732" s="2" t="s">
        <v>31</v>
      </c>
      <c r="E1732" s="2" t="s">
        <v>20</v>
      </c>
      <c r="F1732" s="2" t="n">
        <v>630</v>
      </c>
      <c r="G1732" s="2" t="s">
        <v>26</v>
      </c>
      <c r="H1732" s="2" t="s">
        <v>20</v>
      </c>
      <c r="I1732" s="2" t="s">
        <v>21</v>
      </c>
      <c r="J1732" s="2" t="n">
        <v>5</v>
      </c>
      <c r="K1732" s="2" t="s">
        <v>27</v>
      </c>
      <c r="L1732" s="2" t="n">
        <v>138</v>
      </c>
      <c r="M1732" s="2" t="n">
        <v>1</v>
      </c>
      <c r="N1732" s="2" t="n">
        <v>-1</v>
      </c>
      <c r="O1732" s="2" t="n">
        <v>0</v>
      </c>
      <c r="P1732" s="2" t="s">
        <v>23</v>
      </c>
      <c r="Q1732" s="2" t="s">
        <v>20</v>
      </c>
    </row>
    <row r="1733" customFormat="false" ht="15" hidden="false" customHeight="false" outlineLevel="0" collapsed="false">
      <c r="A1733" s="2" t="n">
        <v>58</v>
      </c>
      <c r="B1733" s="2" t="s">
        <v>48</v>
      </c>
      <c r="C1733" s="2" t="s">
        <v>18</v>
      </c>
      <c r="D1733" s="2" t="s">
        <v>25</v>
      </c>
      <c r="E1733" s="2" t="s">
        <v>20</v>
      </c>
      <c r="F1733" s="2" t="n">
        <v>235</v>
      </c>
      <c r="G1733" s="2" t="s">
        <v>20</v>
      </c>
      <c r="H1733" s="2" t="s">
        <v>20</v>
      </c>
      <c r="I1733" s="2" t="s">
        <v>21</v>
      </c>
      <c r="J1733" s="2" t="n">
        <v>27</v>
      </c>
      <c r="K1733" s="2" t="s">
        <v>41</v>
      </c>
      <c r="L1733" s="2" t="n">
        <v>88</v>
      </c>
      <c r="M1733" s="2" t="n">
        <v>4</v>
      </c>
      <c r="N1733" s="2" t="n">
        <v>-1</v>
      </c>
      <c r="O1733" s="2" t="n">
        <v>0</v>
      </c>
      <c r="P1733" s="2" t="s">
        <v>23</v>
      </c>
      <c r="Q1733" s="2" t="s">
        <v>20</v>
      </c>
    </row>
    <row r="1734" customFormat="false" ht="15" hidden="false" customHeight="false" outlineLevel="0" collapsed="false">
      <c r="A1734" s="2" t="n">
        <v>48</v>
      </c>
      <c r="B1734" s="2" t="s">
        <v>29</v>
      </c>
      <c r="C1734" s="2" t="s">
        <v>18</v>
      </c>
      <c r="D1734" s="2" t="s">
        <v>19</v>
      </c>
      <c r="E1734" s="2" t="s">
        <v>20</v>
      </c>
      <c r="F1734" s="2" t="n">
        <v>1910</v>
      </c>
      <c r="G1734" s="2" t="s">
        <v>26</v>
      </c>
      <c r="H1734" s="2" t="s">
        <v>20</v>
      </c>
      <c r="I1734" s="2" t="s">
        <v>23</v>
      </c>
      <c r="J1734" s="2" t="n">
        <v>29</v>
      </c>
      <c r="K1734" s="2" t="s">
        <v>27</v>
      </c>
      <c r="L1734" s="2" t="n">
        <v>413</v>
      </c>
      <c r="M1734" s="2" t="n">
        <v>2</v>
      </c>
      <c r="N1734" s="2" t="n">
        <v>-1</v>
      </c>
      <c r="O1734" s="2" t="n">
        <v>0</v>
      </c>
      <c r="P1734" s="2" t="s">
        <v>23</v>
      </c>
      <c r="Q1734" s="2" t="s">
        <v>20</v>
      </c>
    </row>
    <row r="1735" customFormat="false" ht="15" hidden="false" customHeight="false" outlineLevel="0" collapsed="false">
      <c r="A1735" s="2" t="n">
        <v>56</v>
      </c>
      <c r="B1735" s="2" t="s">
        <v>29</v>
      </c>
      <c r="C1735" s="2" t="s">
        <v>18</v>
      </c>
      <c r="D1735" s="2" t="s">
        <v>31</v>
      </c>
      <c r="E1735" s="2" t="s">
        <v>20</v>
      </c>
      <c r="F1735" s="2" t="n">
        <v>3172</v>
      </c>
      <c r="G1735" s="2" t="s">
        <v>26</v>
      </c>
      <c r="H1735" s="2" t="s">
        <v>20</v>
      </c>
      <c r="I1735" s="2" t="s">
        <v>21</v>
      </c>
      <c r="J1735" s="2" t="n">
        <v>5</v>
      </c>
      <c r="K1735" s="2" t="s">
        <v>35</v>
      </c>
      <c r="L1735" s="2" t="n">
        <v>139</v>
      </c>
      <c r="M1735" s="2" t="n">
        <v>1</v>
      </c>
      <c r="N1735" s="2" t="n">
        <v>-1</v>
      </c>
      <c r="O1735" s="2" t="n">
        <v>0</v>
      </c>
      <c r="P1735" s="2" t="s">
        <v>23</v>
      </c>
      <c r="Q1735" s="2" t="s">
        <v>20</v>
      </c>
    </row>
    <row r="1736" customFormat="false" ht="15" hidden="false" customHeight="false" outlineLevel="0" collapsed="false">
      <c r="A1736" s="2" t="n">
        <v>51</v>
      </c>
      <c r="B1736" s="2" t="s">
        <v>34</v>
      </c>
      <c r="C1736" s="2" t="s">
        <v>18</v>
      </c>
      <c r="D1736" s="2" t="s">
        <v>19</v>
      </c>
      <c r="E1736" s="2" t="s">
        <v>20</v>
      </c>
      <c r="F1736" s="2" t="n">
        <v>872</v>
      </c>
      <c r="G1736" s="2" t="s">
        <v>20</v>
      </c>
      <c r="H1736" s="2" t="s">
        <v>20</v>
      </c>
      <c r="I1736" s="2" t="s">
        <v>21</v>
      </c>
      <c r="J1736" s="2" t="n">
        <v>8</v>
      </c>
      <c r="K1736" s="2" t="s">
        <v>41</v>
      </c>
      <c r="L1736" s="2" t="n">
        <v>82</v>
      </c>
      <c r="M1736" s="2" t="n">
        <v>2</v>
      </c>
      <c r="N1736" s="2" t="n">
        <v>-1</v>
      </c>
      <c r="O1736" s="2" t="n">
        <v>0</v>
      </c>
      <c r="P1736" s="2" t="s">
        <v>23</v>
      </c>
      <c r="Q1736" s="2" t="s">
        <v>20</v>
      </c>
    </row>
    <row r="1737" customFormat="false" ht="15" hidden="false" customHeight="false" outlineLevel="0" collapsed="false">
      <c r="A1737" s="2" t="n">
        <v>35</v>
      </c>
      <c r="B1737" s="2" t="s">
        <v>34</v>
      </c>
      <c r="C1737" s="2" t="s">
        <v>18</v>
      </c>
      <c r="D1737" s="2" t="s">
        <v>25</v>
      </c>
      <c r="E1737" s="2" t="s">
        <v>20</v>
      </c>
      <c r="F1737" s="2" t="n">
        <v>407</v>
      </c>
      <c r="G1737" s="2" t="s">
        <v>26</v>
      </c>
      <c r="H1737" s="2" t="s">
        <v>20</v>
      </c>
      <c r="I1737" s="2" t="s">
        <v>21</v>
      </c>
      <c r="J1737" s="2" t="n">
        <v>20</v>
      </c>
      <c r="K1737" s="2" t="s">
        <v>32</v>
      </c>
      <c r="L1737" s="2" t="n">
        <v>12</v>
      </c>
      <c r="M1737" s="2" t="n">
        <v>6</v>
      </c>
      <c r="N1737" s="2" t="n">
        <v>-1</v>
      </c>
      <c r="O1737" s="2" t="n">
        <v>0</v>
      </c>
      <c r="P1737" s="2" t="s">
        <v>23</v>
      </c>
      <c r="Q1737" s="2" t="s">
        <v>20</v>
      </c>
    </row>
    <row r="1738" customFormat="false" ht="15" hidden="false" customHeight="false" outlineLevel="0" collapsed="false">
      <c r="A1738" s="2" t="n">
        <v>40</v>
      </c>
      <c r="B1738" s="2" t="s">
        <v>40</v>
      </c>
      <c r="C1738" s="2" t="s">
        <v>30</v>
      </c>
      <c r="D1738" s="2" t="s">
        <v>25</v>
      </c>
      <c r="E1738" s="2" t="s">
        <v>20</v>
      </c>
      <c r="F1738" s="2" t="n">
        <v>100</v>
      </c>
      <c r="G1738" s="2" t="s">
        <v>26</v>
      </c>
      <c r="H1738" s="2" t="s">
        <v>20</v>
      </c>
      <c r="I1738" s="2" t="s">
        <v>21</v>
      </c>
      <c r="J1738" s="2" t="n">
        <v>11</v>
      </c>
      <c r="K1738" s="2" t="s">
        <v>41</v>
      </c>
      <c r="L1738" s="2" t="n">
        <v>221</v>
      </c>
      <c r="M1738" s="2" t="n">
        <v>1</v>
      </c>
      <c r="N1738" s="2" t="n">
        <v>461</v>
      </c>
      <c r="O1738" s="2" t="n">
        <v>1</v>
      </c>
      <c r="P1738" s="2" t="s">
        <v>50</v>
      </c>
      <c r="Q1738" s="2" t="s">
        <v>26</v>
      </c>
    </row>
    <row r="1739" customFormat="false" ht="15" hidden="false" customHeight="false" outlineLevel="0" collapsed="false">
      <c r="A1739" s="2" t="n">
        <v>59</v>
      </c>
      <c r="B1739" s="2" t="s">
        <v>47</v>
      </c>
      <c r="C1739" s="2" t="s">
        <v>18</v>
      </c>
      <c r="D1739" s="2" t="s">
        <v>25</v>
      </c>
      <c r="E1739" s="2" t="s">
        <v>20</v>
      </c>
      <c r="F1739" s="2" t="n">
        <v>345</v>
      </c>
      <c r="G1739" s="2" t="s">
        <v>20</v>
      </c>
      <c r="H1739" s="2" t="s">
        <v>20</v>
      </c>
      <c r="I1739" s="2" t="s">
        <v>23</v>
      </c>
      <c r="J1739" s="2" t="n">
        <v>9</v>
      </c>
      <c r="K1739" s="2" t="s">
        <v>33</v>
      </c>
      <c r="L1739" s="2" t="n">
        <v>38</v>
      </c>
      <c r="M1739" s="2" t="n">
        <v>1</v>
      </c>
      <c r="N1739" s="2" t="n">
        <v>-1</v>
      </c>
      <c r="O1739" s="2" t="n">
        <v>0</v>
      </c>
      <c r="P1739" s="2" t="s">
        <v>23</v>
      </c>
      <c r="Q1739" s="2" t="s">
        <v>20</v>
      </c>
    </row>
    <row r="1740" customFormat="false" ht="15" hidden="false" customHeight="false" outlineLevel="0" collapsed="false">
      <c r="A1740" s="2" t="n">
        <v>44</v>
      </c>
      <c r="B1740" s="2" t="s">
        <v>29</v>
      </c>
      <c r="C1740" s="2" t="s">
        <v>45</v>
      </c>
      <c r="D1740" s="2" t="s">
        <v>31</v>
      </c>
      <c r="E1740" s="2" t="s">
        <v>20</v>
      </c>
      <c r="F1740" s="2" t="n">
        <v>2058</v>
      </c>
      <c r="G1740" s="2" t="s">
        <v>20</v>
      </c>
      <c r="H1740" s="2" t="s">
        <v>26</v>
      </c>
      <c r="I1740" s="2" t="s">
        <v>21</v>
      </c>
      <c r="J1740" s="2" t="n">
        <v>21</v>
      </c>
      <c r="K1740" s="2" t="s">
        <v>46</v>
      </c>
      <c r="L1740" s="2" t="n">
        <v>661</v>
      </c>
      <c r="M1740" s="2" t="n">
        <v>1</v>
      </c>
      <c r="N1740" s="2" t="n">
        <v>-1</v>
      </c>
      <c r="O1740" s="2" t="n">
        <v>0</v>
      </c>
      <c r="P1740" s="2" t="s">
        <v>23</v>
      </c>
      <c r="Q1740" s="2" t="s">
        <v>20</v>
      </c>
    </row>
    <row r="1741" customFormat="false" ht="15" hidden="false" customHeight="false" outlineLevel="0" collapsed="false">
      <c r="A1741" s="2" t="n">
        <v>49</v>
      </c>
      <c r="B1741" s="2" t="s">
        <v>47</v>
      </c>
      <c r="C1741" s="2" t="s">
        <v>18</v>
      </c>
      <c r="D1741" s="2" t="s">
        <v>19</v>
      </c>
      <c r="E1741" s="2" t="s">
        <v>20</v>
      </c>
      <c r="F1741" s="2" t="n">
        <v>889</v>
      </c>
      <c r="G1741" s="2" t="s">
        <v>20</v>
      </c>
      <c r="H1741" s="2" t="s">
        <v>20</v>
      </c>
      <c r="I1741" s="2" t="s">
        <v>49</v>
      </c>
      <c r="J1741" s="2" t="n">
        <v>7</v>
      </c>
      <c r="K1741" s="2" t="s">
        <v>44</v>
      </c>
      <c r="L1741" s="2" t="n">
        <v>388</v>
      </c>
      <c r="M1741" s="2" t="n">
        <v>1</v>
      </c>
      <c r="N1741" s="2" t="n">
        <v>-1</v>
      </c>
      <c r="O1741" s="2" t="n">
        <v>0</v>
      </c>
      <c r="P1741" s="2" t="s">
        <v>23</v>
      </c>
      <c r="Q1741" s="2" t="s">
        <v>26</v>
      </c>
    </row>
    <row r="1742" customFormat="false" ht="15" hidden="false" customHeight="false" outlineLevel="0" collapsed="false">
      <c r="A1742" s="2" t="n">
        <v>35</v>
      </c>
      <c r="B1742" s="2" t="s">
        <v>40</v>
      </c>
      <c r="C1742" s="2" t="s">
        <v>18</v>
      </c>
      <c r="D1742" s="2" t="s">
        <v>31</v>
      </c>
      <c r="E1742" s="2" t="s">
        <v>20</v>
      </c>
      <c r="F1742" s="2" t="n">
        <v>0</v>
      </c>
      <c r="G1742" s="2" t="s">
        <v>26</v>
      </c>
      <c r="H1742" s="2" t="s">
        <v>20</v>
      </c>
      <c r="I1742" s="2" t="s">
        <v>21</v>
      </c>
      <c r="J1742" s="2" t="n">
        <v>28</v>
      </c>
      <c r="K1742" s="2" t="s">
        <v>44</v>
      </c>
      <c r="L1742" s="2" t="n">
        <v>151</v>
      </c>
      <c r="M1742" s="2" t="n">
        <v>7</v>
      </c>
      <c r="N1742" s="2" t="n">
        <v>-1</v>
      </c>
      <c r="O1742" s="2" t="n">
        <v>0</v>
      </c>
      <c r="P1742" s="2" t="s">
        <v>23</v>
      </c>
      <c r="Q1742" s="2" t="s">
        <v>20</v>
      </c>
    </row>
    <row r="1743" customFormat="false" ht="15" hidden="false" customHeight="false" outlineLevel="0" collapsed="false">
      <c r="A1743" s="2" t="n">
        <v>41</v>
      </c>
      <c r="B1743" s="2" t="s">
        <v>29</v>
      </c>
      <c r="C1743" s="2" t="s">
        <v>18</v>
      </c>
      <c r="D1743" s="2" t="s">
        <v>31</v>
      </c>
      <c r="E1743" s="2" t="s">
        <v>20</v>
      </c>
      <c r="F1743" s="2" t="n">
        <v>51</v>
      </c>
      <c r="G1743" s="2" t="s">
        <v>20</v>
      </c>
      <c r="H1743" s="2" t="s">
        <v>20</v>
      </c>
      <c r="I1743" s="2" t="s">
        <v>21</v>
      </c>
      <c r="J1743" s="2" t="n">
        <v>25</v>
      </c>
      <c r="K1743" s="2" t="s">
        <v>41</v>
      </c>
      <c r="L1743" s="2" t="n">
        <v>140</v>
      </c>
      <c r="M1743" s="2" t="n">
        <v>8</v>
      </c>
      <c r="N1743" s="2" t="n">
        <v>-1</v>
      </c>
      <c r="O1743" s="2" t="n">
        <v>0</v>
      </c>
      <c r="P1743" s="2" t="s">
        <v>23</v>
      </c>
      <c r="Q1743" s="2" t="s">
        <v>20</v>
      </c>
    </row>
    <row r="1744" customFormat="false" ht="15" hidden="false" customHeight="false" outlineLevel="0" collapsed="false">
      <c r="A1744" s="2" t="n">
        <v>55</v>
      </c>
      <c r="B1744" s="2" t="s">
        <v>48</v>
      </c>
      <c r="C1744" s="2" t="s">
        <v>18</v>
      </c>
      <c r="D1744" s="2" t="s">
        <v>19</v>
      </c>
      <c r="E1744" s="2" t="s">
        <v>20</v>
      </c>
      <c r="F1744" s="2" t="n">
        <v>150</v>
      </c>
      <c r="G1744" s="2" t="s">
        <v>20</v>
      </c>
      <c r="H1744" s="2" t="s">
        <v>20</v>
      </c>
      <c r="I1744" s="2" t="s">
        <v>21</v>
      </c>
      <c r="J1744" s="2" t="n">
        <v>8</v>
      </c>
      <c r="K1744" s="2" t="s">
        <v>44</v>
      </c>
      <c r="L1744" s="2" t="n">
        <v>124</v>
      </c>
      <c r="M1744" s="2" t="n">
        <v>1</v>
      </c>
      <c r="N1744" s="2" t="n">
        <v>-1</v>
      </c>
      <c r="O1744" s="2" t="n">
        <v>0</v>
      </c>
      <c r="P1744" s="2" t="s">
        <v>23</v>
      </c>
      <c r="Q1744" s="2" t="s">
        <v>20</v>
      </c>
    </row>
    <row r="1745" customFormat="false" ht="15" hidden="false" customHeight="false" outlineLevel="0" collapsed="false">
      <c r="A1745" s="2" t="n">
        <v>51</v>
      </c>
      <c r="B1745" s="2" t="s">
        <v>36</v>
      </c>
      <c r="C1745" s="2" t="s">
        <v>18</v>
      </c>
      <c r="D1745" s="2" t="s">
        <v>25</v>
      </c>
      <c r="E1745" s="2" t="s">
        <v>26</v>
      </c>
      <c r="F1745" s="2" t="n">
        <v>34</v>
      </c>
      <c r="G1745" s="2" t="s">
        <v>20</v>
      </c>
      <c r="H1745" s="2" t="s">
        <v>26</v>
      </c>
      <c r="I1745" s="2" t="s">
        <v>21</v>
      </c>
      <c r="J1745" s="2" t="n">
        <v>7</v>
      </c>
      <c r="K1745" s="2" t="s">
        <v>44</v>
      </c>
      <c r="L1745" s="2" t="n">
        <v>200</v>
      </c>
      <c r="M1745" s="2" t="n">
        <v>1</v>
      </c>
      <c r="N1745" s="2" t="n">
        <v>-1</v>
      </c>
      <c r="O1745" s="2" t="n">
        <v>0</v>
      </c>
      <c r="P1745" s="2" t="s">
        <v>23</v>
      </c>
      <c r="Q1745" s="2" t="s">
        <v>20</v>
      </c>
    </row>
    <row r="1746" customFormat="false" ht="15" hidden="false" customHeight="false" outlineLevel="0" collapsed="false">
      <c r="A1746" s="2" t="n">
        <v>27</v>
      </c>
      <c r="B1746" s="2" t="s">
        <v>24</v>
      </c>
      <c r="C1746" s="2" t="s">
        <v>30</v>
      </c>
      <c r="D1746" s="2" t="s">
        <v>25</v>
      </c>
      <c r="E1746" s="2" t="s">
        <v>20</v>
      </c>
      <c r="F1746" s="2" t="n">
        <v>795</v>
      </c>
      <c r="G1746" s="2" t="s">
        <v>20</v>
      </c>
      <c r="H1746" s="2" t="s">
        <v>20</v>
      </c>
      <c r="I1746" s="2" t="s">
        <v>21</v>
      </c>
      <c r="J1746" s="2" t="n">
        <v>6</v>
      </c>
      <c r="K1746" s="2" t="s">
        <v>35</v>
      </c>
      <c r="L1746" s="2" t="n">
        <v>101</v>
      </c>
      <c r="M1746" s="2" t="n">
        <v>3</v>
      </c>
      <c r="N1746" s="2" t="n">
        <v>-1</v>
      </c>
      <c r="O1746" s="2" t="n">
        <v>0</v>
      </c>
      <c r="P1746" s="2" t="s">
        <v>23</v>
      </c>
      <c r="Q1746" s="2" t="s">
        <v>20</v>
      </c>
    </row>
    <row r="1747" customFormat="false" ht="15" hidden="false" customHeight="false" outlineLevel="0" collapsed="false">
      <c r="A1747" s="2" t="n">
        <v>57</v>
      </c>
      <c r="B1747" s="2" t="s">
        <v>34</v>
      </c>
      <c r="C1747" s="2" t="s">
        <v>18</v>
      </c>
      <c r="D1747" s="2" t="s">
        <v>19</v>
      </c>
      <c r="E1747" s="2" t="s">
        <v>20</v>
      </c>
      <c r="F1747" s="2" t="n">
        <v>282</v>
      </c>
      <c r="G1747" s="2" t="s">
        <v>20</v>
      </c>
      <c r="H1747" s="2" t="s">
        <v>26</v>
      </c>
      <c r="I1747" s="2" t="s">
        <v>21</v>
      </c>
      <c r="J1747" s="2" t="n">
        <v>7</v>
      </c>
      <c r="K1747" s="2" t="s">
        <v>44</v>
      </c>
      <c r="L1747" s="2" t="n">
        <v>261</v>
      </c>
      <c r="M1747" s="2" t="n">
        <v>12</v>
      </c>
      <c r="N1747" s="2" t="n">
        <v>-1</v>
      </c>
      <c r="O1747" s="2" t="n">
        <v>0</v>
      </c>
      <c r="P1747" s="2" t="s">
        <v>23</v>
      </c>
      <c r="Q1747" s="2" t="s">
        <v>20</v>
      </c>
    </row>
    <row r="1748" customFormat="false" ht="15" hidden="false" customHeight="false" outlineLevel="0" collapsed="false">
      <c r="A1748" s="2" t="n">
        <v>51</v>
      </c>
      <c r="B1748" s="2" t="s">
        <v>29</v>
      </c>
      <c r="C1748" s="2" t="s">
        <v>30</v>
      </c>
      <c r="D1748" s="2" t="s">
        <v>31</v>
      </c>
      <c r="E1748" s="2" t="s">
        <v>20</v>
      </c>
      <c r="F1748" s="2" t="n">
        <v>2139</v>
      </c>
      <c r="G1748" s="2" t="s">
        <v>20</v>
      </c>
      <c r="H1748" s="2" t="s">
        <v>20</v>
      </c>
      <c r="I1748" s="2" t="s">
        <v>21</v>
      </c>
      <c r="J1748" s="2" t="n">
        <v>17</v>
      </c>
      <c r="K1748" s="2" t="s">
        <v>46</v>
      </c>
      <c r="L1748" s="2" t="n">
        <v>176</v>
      </c>
      <c r="M1748" s="2" t="n">
        <v>2</v>
      </c>
      <c r="N1748" s="2" t="n">
        <v>-1</v>
      </c>
      <c r="O1748" s="2" t="n">
        <v>0</v>
      </c>
      <c r="P1748" s="2" t="s">
        <v>23</v>
      </c>
      <c r="Q1748" s="2" t="s">
        <v>20</v>
      </c>
    </row>
    <row r="1749" customFormat="false" ht="15" hidden="false" customHeight="false" outlineLevel="0" collapsed="false">
      <c r="A1749" s="2" t="n">
        <v>38</v>
      </c>
      <c r="B1749" s="2" t="s">
        <v>29</v>
      </c>
      <c r="C1749" s="2" t="s">
        <v>18</v>
      </c>
      <c r="D1749" s="2" t="s">
        <v>31</v>
      </c>
      <c r="E1749" s="2" t="s">
        <v>20</v>
      </c>
      <c r="F1749" s="2" t="n">
        <v>-469</v>
      </c>
      <c r="G1749" s="2" t="s">
        <v>26</v>
      </c>
      <c r="H1749" s="2" t="s">
        <v>20</v>
      </c>
      <c r="I1749" s="2" t="s">
        <v>23</v>
      </c>
      <c r="J1749" s="2" t="n">
        <v>16</v>
      </c>
      <c r="K1749" s="2" t="s">
        <v>33</v>
      </c>
      <c r="L1749" s="2" t="n">
        <v>209</v>
      </c>
      <c r="M1749" s="2" t="n">
        <v>12</v>
      </c>
      <c r="N1749" s="2" t="n">
        <v>-1</v>
      </c>
      <c r="O1749" s="2" t="n">
        <v>0</v>
      </c>
      <c r="P1749" s="2" t="s">
        <v>23</v>
      </c>
      <c r="Q1749" s="2" t="s">
        <v>20</v>
      </c>
    </row>
    <row r="1750" customFormat="false" ht="15" hidden="false" customHeight="false" outlineLevel="0" collapsed="false">
      <c r="A1750" s="2" t="n">
        <v>49</v>
      </c>
      <c r="B1750" s="2" t="s">
        <v>40</v>
      </c>
      <c r="C1750" s="2" t="s">
        <v>18</v>
      </c>
      <c r="D1750" s="2" t="s">
        <v>25</v>
      </c>
      <c r="E1750" s="2" t="s">
        <v>20</v>
      </c>
      <c r="F1750" s="2" t="n">
        <v>197</v>
      </c>
      <c r="G1750" s="2" t="s">
        <v>26</v>
      </c>
      <c r="H1750" s="2" t="s">
        <v>20</v>
      </c>
      <c r="I1750" s="2" t="s">
        <v>21</v>
      </c>
      <c r="J1750" s="2" t="n">
        <v>13</v>
      </c>
      <c r="K1750" s="2" t="s">
        <v>32</v>
      </c>
      <c r="L1750" s="2" t="n">
        <v>223</v>
      </c>
      <c r="M1750" s="2" t="n">
        <v>1</v>
      </c>
      <c r="N1750" s="2" t="n">
        <v>182</v>
      </c>
      <c r="O1750" s="2" t="n">
        <v>2</v>
      </c>
      <c r="P1750" s="2" t="s">
        <v>28</v>
      </c>
      <c r="Q1750" s="2" t="s">
        <v>26</v>
      </c>
    </row>
    <row r="1751" customFormat="false" ht="15" hidden="false" customHeight="false" outlineLevel="0" collapsed="false">
      <c r="A1751" s="2" t="n">
        <v>40</v>
      </c>
      <c r="B1751" s="2" t="s">
        <v>38</v>
      </c>
      <c r="C1751" s="2" t="s">
        <v>30</v>
      </c>
      <c r="D1751" s="2" t="s">
        <v>31</v>
      </c>
      <c r="E1751" s="2" t="s">
        <v>20</v>
      </c>
      <c r="F1751" s="2" t="n">
        <v>825</v>
      </c>
      <c r="G1751" s="2" t="s">
        <v>26</v>
      </c>
      <c r="H1751" s="2" t="s">
        <v>20</v>
      </c>
      <c r="I1751" s="2" t="s">
        <v>21</v>
      </c>
      <c r="J1751" s="2" t="n">
        <v>20</v>
      </c>
      <c r="K1751" s="2" t="s">
        <v>32</v>
      </c>
      <c r="L1751" s="2" t="n">
        <v>38</v>
      </c>
      <c r="M1751" s="2" t="n">
        <v>1</v>
      </c>
      <c r="N1751" s="2" t="n">
        <v>335</v>
      </c>
      <c r="O1751" s="2" t="n">
        <v>1</v>
      </c>
      <c r="P1751" s="2" t="s">
        <v>37</v>
      </c>
      <c r="Q1751" s="2" t="s">
        <v>20</v>
      </c>
    </row>
    <row r="1752" customFormat="false" ht="15" hidden="false" customHeight="false" outlineLevel="0" collapsed="false">
      <c r="A1752" s="2" t="n">
        <v>47</v>
      </c>
      <c r="B1752" s="2" t="s">
        <v>47</v>
      </c>
      <c r="C1752" s="2" t="s">
        <v>30</v>
      </c>
      <c r="D1752" s="2" t="s">
        <v>31</v>
      </c>
      <c r="E1752" s="2" t="s">
        <v>20</v>
      </c>
      <c r="F1752" s="2" t="n">
        <v>3232</v>
      </c>
      <c r="G1752" s="2" t="s">
        <v>20</v>
      </c>
      <c r="H1752" s="2" t="s">
        <v>20</v>
      </c>
      <c r="I1752" s="2" t="s">
        <v>49</v>
      </c>
      <c r="J1752" s="2" t="n">
        <v>6</v>
      </c>
      <c r="K1752" s="2" t="s">
        <v>22</v>
      </c>
      <c r="L1752" s="2" t="n">
        <v>541</v>
      </c>
      <c r="M1752" s="2" t="n">
        <v>1</v>
      </c>
      <c r="N1752" s="2" t="n">
        <v>204</v>
      </c>
      <c r="O1752" s="2" t="n">
        <v>3</v>
      </c>
      <c r="P1752" s="2" t="s">
        <v>28</v>
      </c>
      <c r="Q1752" s="2" t="s">
        <v>20</v>
      </c>
    </row>
    <row r="1753" customFormat="false" ht="15" hidden="false" customHeight="false" outlineLevel="0" collapsed="false">
      <c r="A1753" s="2" t="n">
        <v>48</v>
      </c>
      <c r="B1753" s="2" t="s">
        <v>29</v>
      </c>
      <c r="C1753" s="2" t="s">
        <v>45</v>
      </c>
      <c r="D1753" s="2" t="s">
        <v>25</v>
      </c>
      <c r="E1753" s="2" t="s">
        <v>20</v>
      </c>
      <c r="F1753" s="2" t="n">
        <v>1598</v>
      </c>
      <c r="G1753" s="2" t="s">
        <v>26</v>
      </c>
      <c r="H1753" s="2" t="s">
        <v>20</v>
      </c>
      <c r="I1753" s="2" t="s">
        <v>23</v>
      </c>
      <c r="J1753" s="2" t="n">
        <v>29</v>
      </c>
      <c r="K1753" s="2" t="s">
        <v>27</v>
      </c>
      <c r="L1753" s="2" t="n">
        <v>84</v>
      </c>
      <c r="M1753" s="2" t="n">
        <v>1</v>
      </c>
      <c r="N1753" s="2" t="n">
        <v>-1</v>
      </c>
      <c r="O1753" s="2" t="n">
        <v>0</v>
      </c>
      <c r="P1753" s="2" t="s">
        <v>23</v>
      </c>
      <c r="Q1753" s="2" t="s">
        <v>20</v>
      </c>
    </row>
    <row r="1754" customFormat="false" ht="15" hidden="false" customHeight="false" outlineLevel="0" collapsed="false">
      <c r="A1754" s="2" t="n">
        <v>47</v>
      </c>
      <c r="B1754" s="2" t="s">
        <v>24</v>
      </c>
      <c r="C1754" s="2" t="s">
        <v>18</v>
      </c>
      <c r="D1754" s="2" t="s">
        <v>31</v>
      </c>
      <c r="E1754" s="2" t="s">
        <v>20</v>
      </c>
      <c r="F1754" s="2" t="n">
        <v>871</v>
      </c>
      <c r="G1754" s="2" t="s">
        <v>20</v>
      </c>
      <c r="H1754" s="2" t="s">
        <v>20</v>
      </c>
      <c r="I1754" s="2" t="s">
        <v>21</v>
      </c>
      <c r="J1754" s="2" t="n">
        <v>22</v>
      </c>
      <c r="K1754" s="2" t="s">
        <v>41</v>
      </c>
      <c r="L1754" s="2" t="n">
        <v>602</v>
      </c>
      <c r="M1754" s="2" t="n">
        <v>9</v>
      </c>
      <c r="N1754" s="2" t="n">
        <v>-1</v>
      </c>
      <c r="O1754" s="2" t="n">
        <v>0</v>
      </c>
      <c r="P1754" s="2" t="s">
        <v>23</v>
      </c>
      <c r="Q1754" s="2" t="s">
        <v>20</v>
      </c>
    </row>
    <row r="1755" customFormat="false" ht="15" hidden="false" customHeight="false" outlineLevel="0" collapsed="false">
      <c r="A1755" s="2" t="n">
        <v>56</v>
      </c>
      <c r="B1755" s="2" t="s">
        <v>24</v>
      </c>
      <c r="C1755" s="2" t="s">
        <v>18</v>
      </c>
      <c r="D1755" s="2" t="s">
        <v>25</v>
      </c>
      <c r="E1755" s="2" t="s">
        <v>20</v>
      </c>
      <c r="F1755" s="2" t="n">
        <v>83</v>
      </c>
      <c r="G1755" s="2" t="s">
        <v>20</v>
      </c>
      <c r="H1755" s="2" t="s">
        <v>20</v>
      </c>
      <c r="I1755" s="2" t="s">
        <v>21</v>
      </c>
      <c r="J1755" s="2" t="n">
        <v>27</v>
      </c>
      <c r="K1755" s="2" t="s">
        <v>41</v>
      </c>
      <c r="L1755" s="2" t="n">
        <v>26</v>
      </c>
      <c r="M1755" s="2" t="n">
        <v>11</v>
      </c>
      <c r="N1755" s="2" t="n">
        <v>-1</v>
      </c>
      <c r="O1755" s="2" t="n">
        <v>0</v>
      </c>
      <c r="P1755" s="2" t="s">
        <v>23</v>
      </c>
      <c r="Q1755" s="2" t="s">
        <v>20</v>
      </c>
    </row>
    <row r="1756" customFormat="false" ht="15" hidden="false" customHeight="false" outlineLevel="0" collapsed="false">
      <c r="A1756" s="2" t="n">
        <v>29</v>
      </c>
      <c r="B1756" s="2" t="s">
        <v>29</v>
      </c>
      <c r="C1756" s="2" t="s">
        <v>30</v>
      </c>
      <c r="D1756" s="2" t="s">
        <v>31</v>
      </c>
      <c r="E1756" s="2" t="s">
        <v>20</v>
      </c>
      <c r="F1756" s="2" t="n">
        <v>1445</v>
      </c>
      <c r="G1756" s="2" t="s">
        <v>20</v>
      </c>
      <c r="H1756" s="2" t="s">
        <v>20</v>
      </c>
      <c r="I1756" s="2" t="s">
        <v>21</v>
      </c>
      <c r="J1756" s="2" t="n">
        <v>26</v>
      </c>
      <c r="K1756" s="2" t="s">
        <v>32</v>
      </c>
      <c r="L1756" s="2" t="n">
        <v>328</v>
      </c>
      <c r="M1756" s="2" t="n">
        <v>2</v>
      </c>
      <c r="N1756" s="2" t="n">
        <v>143</v>
      </c>
      <c r="O1756" s="2" t="n">
        <v>2</v>
      </c>
      <c r="P1756" s="2" t="s">
        <v>50</v>
      </c>
      <c r="Q1756" s="2" t="s">
        <v>26</v>
      </c>
    </row>
    <row r="1757" customFormat="false" ht="15" hidden="false" customHeight="false" outlineLevel="0" collapsed="false">
      <c r="A1757" s="2" t="n">
        <v>38</v>
      </c>
      <c r="B1757" s="2" t="s">
        <v>38</v>
      </c>
      <c r="C1757" s="2" t="s">
        <v>18</v>
      </c>
      <c r="D1757" s="2" t="s">
        <v>25</v>
      </c>
      <c r="E1757" s="2" t="s">
        <v>20</v>
      </c>
      <c r="F1757" s="2" t="n">
        <v>226</v>
      </c>
      <c r="G1757" s="2" t="s">
        <v>26</v>
      </c>
      <c r="H1757" s="2" t="s">
        <v>20</v>
      </c>
      <c r="I1757" s="2" t="s">
        <v>23</v>
      </c>
      <c r="J1757" s="2" t="n">
        <v>30</v>
      </c>
      <c r="K1757" s="2" t="s">
        <v>27</v>
      </c>
      <c r="L1757" s="2" t="n">
        <v>762</v>
      </c>
      <c r="M1757" s="2" t="n">
        <v>3</v>
      </c>
      <c r="N1757" s="2" t="n">
        <v>-1</v>
      </c>
      <c r="O1757" s="2" t="n">
        <v>0</v>
      </c>
      <c r="P1757" s="2" t="s">
        <v>23</v>
      </c>
      <c r="Q1757" s="2" t="s">
        <v>26</v>
      </c>
    </row>
    <row r="1758" customFormat="false" ht="15" hidden="false" customHeight="false" outlineLevel="0" collapsed="false">
      <c r="A1758" s="2" t="n">
        <v>32</v>
      </c>
      <c r="B1758" s="2" t="s">
        <v>29</v>
      </c>
      <c r="C1758" s="2" t="s">
        <v>18</v>
      </c>
      <c r="D1758" s="2" t="s">
        <v>31</v>
      </c>
      <c r="E1758" s="2" t="s">
        <v>20</v>
      </c>
      <c r="F1758" s="2" t="n">
        <v>-55</v>
      </c>
      <c r="G1758" s="2" t="s">
        <v>26</v>
      </c>
      <c r="H1758" s="2" t="s">
        <v>20</v>
      </c>
      <c r="I1758" s="2" t="s">
        <v>21</v>
      </c>
      <c r="J1758" s="2" t="n">
        <v>26</v>
      </c>
      <c r="K1758" s="2" t="s">
        <v>41</v>
      </c>
      <c r="L1758" s="2" t="n">
        <v>107</v>
      </c>
      <c r="M1758" s="2" t="n">
        <v>4</v>
      </c>
      <c r="N1758" s="2" t="n">
        <v>-1</v>
      </c>
      <c r="O1758" s="2" t="n">
        <v>0</v>
      </c>
      <c r="P1758" s="2" t="s">
        <v>23</v>
      </c>
      <c r="Q1758" s="2" t="s">
        <v>20</v>
      </c>
    </row>
    <row r="1759" customFormat="false" ht="15" hidden="false" customHeight="false" outlineLevel="0" collapsed="false">
      <c r="A1759" s="2" t="n">
        <v>42</v>
      </c>
      <c r="B1759" s="2" t="s">
        <v>40</v>
      </c>
      <c r="C1759" s="2" t="s">
        <v>30</v>
      </c>
      <c r="D1759" s="2" t="s">
        <v>25</v>
      </c>
      <c r="E1759" s="2" t="s">
        <v>20</v>
      </c>
      <c r="F1759" s="2" t="n">
        <v>243</v>
      </c>
      <c r="G1759" s="2" t="s">
        <v>26</v>
      </c>
      <c r="H1759" s="2" t="s">
        <v>20</v>
      </c>
      <c r="I1759" s="2" t="s">
        <v>23</v>
      </c>
      <c r="J1759" s="2" t="n">
        <v>14</v>
      </c>
      <c r="K1759" s="2" t="s">
        <v>27</v>
      </c>
      <c r="L1759" s="2" t="n">
        <v>46</v>
      </c>
      <c r="M1759" s="2" t="n">
        <v>5</v>
      </c>
      <c r="N1759" s="2" t="n">
        <v>-1</v>
      </c>
      <c r="O1759" s="2" t="n">
        <v>0</v>
      </c>
      <c r="P1759" s="2" t="s">
        <v>23</v>
      </c>
      <c r="Q1759" s="2" t="s">
        <v>20</v>
      </c>
    </row>
    <row r="1760" customFormat="false" ht="15" hidden="false" customHeight="false" outlineLevel="0" collapsed="false">
      <c r="A1760" s="2" t="n">
        <v>30</v>
      </c>
      <c r="B1760" s="2" t="s">
        <v>34</v>
      </c>
      <c r="C1760" s="2" t="s">
        <v>18</v>
      </c>
      <c r="D1760" s="2" t="s">
        <v>19</v>
      </c>
      <c r="E1760" s="2" t="s">
        <v>20</v>
      </c>
      <c r="F1760" s="2" t="n">
        <v>-336</v>
      </c>
      <c r="G1760" s="2" t="s">
        <v>20</v>
      </c>
      <c r="H1760" s="2" t="s">
        <v>20</v>
      </c>
      <c r="I1760" s="2" t="s">
        <v>21</v>
      </c>
      <c r="J1760" s="2" t="n">
        <v>10</v>
      </c>
      <c r="K1760" s="2" t="s">
        <v>44</v>
      </c>
      <c r="L1760" s="2" t="n">
        <v>128</v>
      </c>
      <c r="M1760" s="2" t="n">
        <v>6</v>
      </c>
      <c r="N1760" s="2" t="n">
        <v>-1</v>
      </c>
      <c r="O1760" s="2" t="n">
        <v>0</v>
      </c>
      <c r="P1760" s="2" t="s">
        <v>23</v>
      </c>
      <c r="Q1760" s="2" t="s">
        <v>20</v>
      </c>
    </row>
    <row r="1761" customFormat="false" ht="15" hidden="false" customHeight="false" outlineLevel="0" collapsed="false">
      <c r="A1761" s="2" t="n">
        <v>26</v>
      </c>
      <c r="B1761" s="2" t="s">
        <v>40</v>
      </c>
      <c r="C1761" s="2" t="s">
        <v>30</v>
      </c>
      <c r="D1761" s="2" t="s">
        <v>31</v>
      </c>
      <c r="E1761" s="2" t="s">
        <v>20</v>
      </c>
      <c r="F1761" s="2" t="n">
        <v>3672</v>
      </c>
      <c r="G1761" s="2" t="s">
        <v>26</v>
      </c>
      <c r="H1761" s="2" t="s">
        <v>20</v>
      </c>
      <c r="I1761" s="2" t="s">
        <v>23</v>
      </c>
      <c r="J1761" s="2" t="n">
        <v>29</v>
      </c>
      <c r="K1761" s="2" t="s">
        <v>27</v>
      </c>
      <c r="L1761" s="2" t="n">
        <v>360</v>
      </c>
      <c r="M1761" s="2" t="n">
        <v>5</v>
      </c>
      <c r="N1761" s="2" t="n">
        <v>-1</v>
      </c>
      <c r="O1761" s="2" t="n">
        <v>0</v>
      </c>
      <c r="P1761" s="2" t="s">
        <v>23</v>
      </c>
      <c r="Q1761" s="2" t="s">
        <v>20</v>
      </c>
    </row>
    <row r="1762" customFormat="false" ht="15" hidden="false" customHeight="false" outlineLevel="0" collapsed="false">
      <c r="A1762" s="2" t="n">
        <v>35</v>
      </c>
      <c r="B1762" s="2" t="s">
        <v>38</v>
      </c>
      <c r="C1762" s="2" t="s">
        <v>18</v>
      </c>
      <c r="D1762" s="2" t="s">
        <v>25</v>
      </c>
      <c r="E1762" s="2" t="s">
        <v>20</v>
      </c>
      <c r="F1762" s="2" t="n">
        <v>0</v>
      </c>
      <c r="G1762" s="2" t="s">
        <v>26</v>
      </c>
      <c r="H1762" s="2" t="s">
        <v>20</v>
      </c>
      <c r="I1762" s="2" t="s">
        <v>21</v>
      </c>
      <c r="J1762" s="2" t="n">
        <v>9</v>
      </c>
      <c r="K1762" s="2" t="s">
        <v>46</v>
      </c>
      <c r="L1762" s="2" t="n">
        <v>524</v>
      </c>
      <c r="M1762" s="2" t="n">
        <v>1</v>
      </c>
      <c r="N1762" s="2" t="n">
        <v>96</v>
      </c>
      <c r="O1762" s="2" t="n">
        <v>5</v>
      </c>
      <c r="P1762" s="2" t="s">
        <v>50</v>
      </c>
      <c r="Q1762" s="2" t="s">
        <v>26</v>
      </c>
    </row>
    <row r="1763" customFormat="false" ht="15" hidden="false" customHeight="false" outlineLevel="0" collapsed="false">
      <c r="A1763" s="2" t="n">
        <v>35</v>
      </c>
      <c r="B1763" s="2" t="s">
        <v>38</v>
      </c>
      <c r="C1763" s="2" t="s">
        <v>18</v>
      </c>
      <c r="D1763" s="2" t="s">
        <v>25</v>
      </c>
      <c r="E1763" s="2" t="s">
        <v>20</v>
      </c>
      <c r="F1763" s="2" t="n">
        <v>251</v>
      </c>
      <c r="G1763" s="2" t="s">
        <v>26</v>
      </c>
      <c r="H1763" s="2" t="s">
        <v>26</v>
      </c>
      <c r="I1763" s="2" t="s">
        <v>23</v>
      </c>
      <c r="J1763" s="2" t="n">
        <v>1</v>
      </c>
      <c r="K1763" s="2" t="s">
        <v>44</v>
      </c>
      <c r="L1763" s="2" t="n">
        <v>128</v>
      </c>
      <c r="M1763" s="2" t="n">
        <v>3</v>
      </c>
      <c r="N1763" s="2" t="n">
        <v>-1</v>
      </c>
      <c r="O1763" s="2" t="n">
        <v>0</v>
      </c>
      <c r="P1763" s="2" t="s">
        <v>23</v>
      </c>
      <c r="Q1763" s="2" t="s">
        <v>20</v>
      </c>
    </row>
    <row r="1764" customFormat="false" ht="15" hidden="false" customHeight="false" outlineLevel="0" collapsed="false">
      <c r="A1764" s="2" t="n">
        <v>35</v>
      </c>
      <c r="B1764" s="2" t="s">
        <v>36</v>
      </c>
      <c r="C1764" s="2" t="s">
        <v>30</v>
      </c>
      <c r="D1764" s="2" t="s">
        <v>31</v>
      </c>
      <c r="E1764" s="2" t="s">
        <v>20</v>
      </c>
      <c r="F1764" s="2" t="n">
        <v>44</v>
      </c>
      <c r="G1764" s="2" t="s">
        <v>20</v>
      </c>
      <c r="H1764" s="2" t="s">
        <v>20</v>
      </c>
      <c r="I1764" s="2" t="s">
        <v>21</v>
      </c>
      <c r="J1764" s="2" t="n">
        <v>7</v>
      </c>
      <c r="K1764" s="2" t="s">
        <v>51</v>
      </c>
      <c r="L1764" s="2" t="n">
        <v>310</v>
      </c>
      <c r="M1764" s="2" t="n">
        <v>2</v>
      </c>
      <c r="N1764" s="2" t="n">
        <v>96</v>
      </c>
      <c r="O1764" s="2" t="n">
        <v>2</v>
      </c>
      <c r="P1764" s="2" t="s">
        <v>37</v>
      </c>
      <c r="Q1764" s="2" t="s">
        <v>20</v>
      </c>
    </row>
    <row r="1765" customFormat="false" ht="15" hidden="false" customHeight="false" outlineLevel="0" collapsed="false">
      <c r="A1765" s="2" t="n">
        <v>57</v>
      </c>
      <c r="B1765" s="2" t="s">
        <v>34</v>
      </c>
      <c r="C1765" s="2" t="s">
        <v>18</v>
      </c>
      <c r="D1765" s="2" t="s">
        <v>25</v>
      </c>
      <c r="E1765" s="2" t="s">
        <v>20</v>
      </c>
      <c r="F1765" s="2" t="n">
        <v>2887</v>
      </c>
      <c r="G1765" s="2" t="s">
        <v>20</v>
      </c>
      <c r="H1765" s="2" t="s">
        <v>20</v>
      </c>
      <c r="I1765" s="2" t="s">
        <v>21</v>
      </c>
      <c r="J1765" s="2" t="n">
        <v>21</v>
      </c>
      <c r="K1765" s="2" t="s">
        <v>41</v>
      </c>
      <c r="L1765" s="2" t="n">
        <v>819</v>
      </c>
      <c r="M1765" s="2" t="n">
        <v>10</v>
      </c>
      <c r="N1765" s="2" t="n">
        <v>-1</v>
      </c>
      <c r="O1765" s="2" t="n">
        <v>0</v>
      </c>
      <c r="P1765" s="2" t="s">
        <v>23</v>
      </c>
      <c r="Q1765" s="2" t="s">
        <v>26</v>
      </c>
    </row>
    <row r="1766" customFormat="false" ht="15" hidden="false" customHeight="false" outlineLevel="0" collapsed="false">
      <c r="A1766" s="2" t="n">
        <v>29</v>
      </c>
      <c r="B1766" s="2" t="s">
        <v>40</v>
      </c>
      <c r="C1766" s="2" t="s">
        <v>30</v>
      </c>
      <c r="D1766" s="2" t="s">
        <v>25</v>
      </c>
      <c r="E1766" s="2" t="s">
        <v>20</v>
      </c>
      <c r="F1766" s="2" t="n">
        <v>1992</v>
      </c>
      <c r="G1766" s="2" t="s">
        <v>20</v>
      </c>
      <c r="H1766" s="2" t="s">
        <v>20</v>
      </c>
      <c r="I1766" s="2" t="s">
        <v>21</v>
      </c>
      <c r="J1766" s="2" t="n">
        <v>8</v>
      </c>
      <c r="K1766" s="2" t="s">
        <v>44</v>
      </c>
      <c r="L1766" s="2" t="n">
        <v>202</v>
      </c>
      <c r="M1766" s="2" t="n">
        <v>1</v>
      </c>
      <c r="N1766" s="2" t="n">
        <v>87</v>
      </c>
      <c r="O1766" s="2" t="n">
        <v>2</v>
      </c>
      <c r="P1766" s="2" t="s">
        <v>28</v>
      </c>
      <c r="Q1766" s="2" t="s">
        <v>20</v>
      </c>
    </row>
    <row r="1767" customFormat="false" ht="15" hidden="false" customHeight="false" outlineLevel="0" collapsed="false">
      <c r="A1767" s="2" t="n">
        <v>32</v>
      </c>
      <c r="B1767" s="2" t="s">
        <v>34</v>
      </c>
      <c r="C1767" s="2" t="s">
        <v>30</v>
      </c>
      <c r="D1767" s="2" t="s">
        <v>25</v>
      </c>
      <c r="E1767" s="2" t="s">
        <v>20</v>
      </c>
      <c r="F1767" s="2" t="n">
        <v>2</v>
      </c>
      <c r="G1767" s="2" t="s">
        <v>20</v>
      </c>
      <c r="H1767" s="2" t="s">
        <v>20</v>
      </c>
      <c r="I1767" s="2" t="s">
        <v>23</v>
      </c>
      <c r="J1767" s="2" t="n">
        <v>9</v>
      </c>
      <c r="K1767" s="2" t="s">
        <v>27</v>
      </c>
      <c r="L1767" s="2" t="n">
        <v>144</v>
      </c>
      <c r="M1767" s="2" t="n">
        <v>2</v>
      </c>
      <c r="N1767" s="2" t="n">
        <v>-1</v>
      </c>
      <c r="O1767" s="2" t="n">
        <v>0</v>
      </c>
      <c r="P1767" s="2" t="s">
        <v>23</v>
      </c>
      <c r="Q1767" s="2" t="s">
        <v>20</v>
      </c>
    </row>
    <row r="1768" customFormat="false" ht="15" hidden="false" customHeight="false" outlineLevel="0" collapsed="false">
      <c r="A1768" s="2" t="n">
        <v>45</v>
      </c>
      <c r="B1768" s="2" t="s">
        <v>38</v>
      </c>
      <c r="C1768" s="2" t="s">
        <v>18</v>
      </c>
      <c r="D1768" s="2" t="s">
        <v>25</v>
      </c>
      <c r="E1768" s="2" t="s">
        <v>20</v>
      </c>
      <c r="F1768" s="2" t="n">
        <v>1415</v>
      </c>
      <c r="G1768" s="2" t="s">
        <v>26</v>
      </c>
      <c r="H1768" s="2" t="s">
        <v>20</v>
      </c>
      <c r="I1768" s="2" t="s">
        <v>21</v>
      </c>
      <c r="J1768" s="2" t="n">
        <v>24</v>
      </c>
      <c r="K1768" s="2" t="s">
        <v>44</v>
      </c>
      <c r="L1768" s="2" t="n">
        <v>311</v>
      </c>
      <c r="M1768" s="2" t="n">
        <v>1</v>
      </c>
      <c r="N1768" s="2" t="n">
        <v>-1</v>
      </c>
      <c r="O1768" s="2" t="n">
        <v>0</v>
      </c>
      <c r="P1768" s="2" t="s">
        <v>23</v>
      </c>
      <c r="Q1768" s="2" t="s">
        <v>20</v>
      </c>
    </row>
    <row r="1769" customFormat="false" ht="15" hidden="false" customHeight="false" outlineLevel="0" collapsed="false">
      <c r="A1769" s="2" t="n">
        <v>51</v>
      </c>
      <c r="B1769" s="2" t="s">
        <v>29</v>
      </c>
      <c r="C1769" s="2" t="s">
        <v>30</v>
      </c>
      <c r="D1769" s="2" t="s">
        <v>31</v>
      </c>
      <c r="E1769" s="2" t="s">
        <v>20</v>
      </c>
      <c r="F1769" s="2" t="n">
        <v>297</v>
      </c>
      <c r="G1769" s="2" t="s">
        <v>26</v>
      </c>
      <c r="H1769" s="2" t="s">
        <v>20</v>
      </c>
      <c r="I1769" s="2" t="s">
        <v>21</v>
      </c>
      <c r="J1769" s="2" t="n">
        <v>15</v>
      </c>
      <c r="K1769" s="2" t="s">
        <v>27</v>
      </c>
      <c r="L1769" s="2" t="n">
        <v>415</v>
      </c>
      <c r="M1769" s="2" t="n">
        <v>4</v>
      </c>
      <c r="N1769" s="2" t="n">
        <v>375</v>
      </c>
      <c r="O1769" s="2" t="n">
        <v>1</v>
      </c>
      <c r="P1769" s="2" t="s">
        <v>28</v>
      </c>
      <c r="Q1769" s="2" t="s">
        <v>26</v>
      </c>
    </row>
    <row r="1770" customFormat="false" ht="15" hidden="false" customHeight="false" outlineLevel="0" collapsed="false">
      <c r="A1770" s="2" t="n">
        <v>31</v>
      </c>
      <c r="B1770" s="2" t="s">
        <v>38</v>
      </c>
      <c r="C1770" s="2" t="s">
        <v>30</v>
      </c>
      <c r="D1770" s="2" t="s">
        <v>25</v>
      </c>
      <c r="E1770" s="2" t="s">
        <v>20</v>
      </c>
      <c r="F1770" s="2" t="n">
        <v>1094</v>
      </c>
      <c r="G1770" s="2" t="s">
        <v>26</v>
      </c>
      <c r="H1770" s="2" t="s">
        <v>20</v>
      </c>
      <c r="I1770" s="2" t="s">
        <v>23</v>
      </c>
      <c r="J1770" s="2" t="n">
        <v>12</v>
      </c>
      <c r="K1770" s="2" t="s">
        <v>33</v>
      </c>
      <c r="L1770" s="2" t="n">
        <v>93</v>
      </c>
      <c r="M1770" s="2" t="n">
        <v>8</v>
      </c>
      <c r="N1770" s="2" t="n">
        <v>-1</v>
      </c>
      <c r="O1770" s="2" t="n">
        <v>0</v>
      </c>
      <c r="P1770" s="2" t="s">
        <v>23</v>
      </c>
      <c r="Q1770" s="2" t="s">
        <v>20</v>
      </c>
    </row>
    <row r="1771" customFormat="false" ht="15" hidden="false" customHeight="false" outlineLevel="0" collapsed="false">
      <c r="A1771" s="2" t="n">
        <v>50</v>
      </c>
      <c r="B1771" s="2" t="s">
        <v>36</v>
      </c>
      <c r="C1771" s="2" t="s">
        <v>18</v>
      </c>
      <c r="D1771" s="2" t="s">
        <v>23</v>
      </c>
      <c r="E1771" s="2" t="s">
        <v>20</v>
      </c>
      <c r="F1771" s="2" t="n">
        <v>-84</v>
      </c>
      <c r="G1771" s="2" t="s">
        <v>26</v>
      </c>
      <c r="H1771" s="2" t="s">
        <v>20</v>
      </c>
      <c r="I1771" s="2" t="s">
        <v>23</v>
      </c>
      <c r="J1771" s="2" t="n">
        <v>6</v>
      </c>
      <c r="K1771" s="2" t="s">
        <v>27</v>
      </c>
      <c r="L1771" s="2" t="n">
        <v>101</v>
      </c>
      <c r="M1771" s="2" t="n">
        <v>1</v>
      </c>
      <c r="N1771" s="2" t="n">
        <v>-1</v>
      </c>
      <c r="O1771" s="2" t="n">
        <v>0</v>
      </c>
      <c r="P1771" s="2" t="s">
        <v>23</v>
      </c>
      <c r="Q1771" s="2" t="s">
        <v>20</v>
      </c>
    </row>
    <row r="1772" customFormat="false" ht="15" hidden="false" customHeight="false" outlineLevel="0" collapsed="false">
      <c r="A1772" s="2" t="n">
        <v>38</v>
      </c>
      <c r="B1772" s="2" t="s">
        <v>34</v>
      </c>
      <c r="C1772" s="2" t="s">
        <v>30</v>
      </c>
      <c r="D1772" s="2" t="s">
        <v>25</v>
      </c>
      <c r="E1772" s="2" t="s">
        <v>20</v>
      </c>
      <c r="F1772" s="2" t="n">
        <v>-1</v>
      </c>
      <c r="G1772" s="2" t="s">
        <v>26</v>
      </c>
      <c r="H1772" s="2" t="s">
        <v>20</v>
      </c>
      <c r="I1772" s="2" t="s">
        <v>23</v>
      </c>
      <c r="J1772" s="2" t="n">
        <v>7</v>
      </c>
      <c r="K1772" s="2" t="s">
        <v>27</v>
      </c>
      <c r="L1772" s="2" t="n">
        <v>72</v>
      </c>
      <c r="M1772" s="2" t="n">
        <v>1</v>
      </c>
      <c r="N1772" s="2" t="n">
        <v>-1</v>
      </c>
      <c r="O1772" s="2" t="n">
        <v>0</v>
      </c>
      <c r="P1772" s="2" t="s">
        <v>23</v>
      </c>
      <c r="Q1772" s="2" t="s">
        <v>20</v>
      </c>
    </row>
    <row r="1773" customFormat="false" ht="15" hidden="false" customHeight="false" outlineLevel="0" collapsed="false">
      <c r="A1773" s="2" t="n">
        <v>37</v>
      </c>
      <c r="B1773" s="2" t="s">
        <v>29</v>
      </c>
      <c r="C1773" s="2" t="s">
        <v>18</v>
      </c>
      <c r="D1773" s="2" t="s">
        <v>31</v>
      </c>
      <c r="E1773" s="2" t="s">
        <v>20</v>
      </c>
      <c r="F1773" s="2" t="n">
        <v>347</v>
      </c>
      <c r="G1773" s="2" t="s">
        <v>26</v>
      </c>
      <c r="H1773" s="2" t="s">
        <v>20</v>
      </c>
      <c r="I1773" s="2" t="s">
        <v>21</v>
      </c>
      <c r="J1773" s="2" t="n">
        <v>22</v>
      </c>
      <c r="K1773" s="2" t="s">
        <v>44</v>
      </c>
      <c r="L1773" s="2" t="n">
        <v>282</v>
      </c>
      <c r="M1773" s="2" t="n">
        <v>1</v>
      </c>
      <c r="N1773" s="2" t="n">
        <v>-1</v>
      </c>
      <c r="O1773" s="2" t="n">
        <v>0</v>
      </c>
      <c r="P1773" s="2" t="s">
        <v>23</v>
      </c>
      <c r="Q1773" s="2" t="s">
        <v>20</v>
      </c>
    </row>
    <row r="1774" customFormat="false" ht="15" hidden="false" customHeight="false" outlineLevel="0" collapsed="false">
      <c r="A1774" s="2" t="n">
        <v>35</v>
      </c>
      <c r="B1774" s="2" t="s">
        <v>29</v>
      </c>
      <c r="C1774" s="2" t="s">
        <v>18</v>
      </c>
      <c r="D1774" s="2" t="s">
        <v>31</v>
      </c>
      <c r="E1774" s="2" t="s">
        <v>20</v>
      </c>
      <c r="F1774" s="2" t="n">
        <v>1253</v>
      </c>
      <c r="G1774" s="2" t="s">
        <v>26</v>
      </c>
      <c r="H1774" s="2" t="s">
        <v>20</v>
      </c>
      <c r="I1774" s="2" t="s">
        <v>23</v>
      </c>
      <c r="J1774" s="2" t="n">
        <v>19</v>
      </c>
      <c r="K1774" s="2" t="s">
        <v>27</v>
      </c>
      <c r="L1774" s="2" t="n">
        <v>210</v>
      </c>
      <c r="M1774" s="2" t="n">
        <v>2</v>
      </c>
      <c r="N1774" s="2" t="n">
        <v>-1</v>
      </c>
      <c r="O1774" s="2" t="n">
        <v>0</v>
      </c>
      <c r="P1774" s="2" t="s">
        <v>23</v>
      </c>
      <c r="Q1774" s="2" t="s">
        <v>20</v>
      </c>
    </row>
    <row r="1775" customFormat="false" ht="15" hidden="false" customHeight="false" outlineLevel="0" collapsed="false">
      <c r="A1775" s="2" t="n">
        <v>37</v>
      </c>
      <c r="B1775" s="2" t="s">
        <v>17</v>
      </c>
      <c r="C1775" s="2" t="s">
        <v>18</v>
      </c>
      <c r="D1775" s="2" t="s">
        <v>23</v>
      </c>
      <c r="E1775" s="2" t="s">
        <v>20</v>
      </c>
      <c r="F1775" s="2" t="n">
        <v>4565</v>
      </c>
      <c r="G1775" s="2" t="s">
        <v>20</v>
      </c>
      <c r="H1775" s="2" t="s">
        <v>20</v>
      </c>
      <c r="I1775" s="2" t="s">
        <v>21</v>
      </c>
      <c r="J1775" s="2" t="n">
        <v>4</v>
      </c>
      <c r="K1775" s="2" t="s">
        <v>51</v>
      </c>
      <c r="L1775" s="2" t="n">
        <v>369</v>
      </c>
      <c r="M1775" s="2" t="n">
        <v>1</v>
      </c>
      <c r="N1775" s="2" t="n">
        <v>-1</v>
      </c>
      <c r="O1775" s="2" t="n">
        <v>0</v>
      </c>
      <c r="P1775" s="2" t="s">
        <v>23</v>
      </c>
      <c r="Q1775" s="2" t="s">
        <v>20</v>
      </c>
    </row>
    <row r="1776" customFormat="false" ht="15" hidden="false" customHeight="false" outlineLevel="0" collapsed="false">
      <c r="A1776" s="2" t="n">
        <v>28</v>
      </c>
      <c r="B1776" s="2" t="s">
        <v>29</v>
      </c>
      <c r="C1776" s="2" t="s">
        <v>30</v>
      </c>
      <c r="D1776" s="2" t="s">
        <v>31</v>
      </c>
      <c r="E1776" s="2" t="s">
        <v>20</v>
      </c>
      <c r="F1776" s="2" t="n">
        <v>781</v>
      </c>
      <c r="G1776" s="2" t="s">
        <v>20</v>
      </c>
      <c r="H1776" s="2" t="s">
        <v>20</v>
      </c>
      <c r="I1776" s="2" t="s">
        <v>21</v>
      </c>
      <c r="J1776" s="2" t="n">
        <v>9</v>
      </c>
      <c r="K1776" s="2" t="s">
        <v>32</v>
      </c>
      <c r="L1776" s="2" t="n">
        <v>125</v>
      </c>
      <c r="M1776" s="2" t="n">
        <v>6</v>
      </c>
      <c r="N1776" s="2" t="n">
        <v>-1</v>
      </c>
      <c r="O1776" s="2" t="n">
        <v>0</v>
      </c>
      <c r="P1776" s="2" t="s">
        <v>23</v>
      </c>
      <c r="Q1776" s="2" t="s">
        <v>20</v>
      </c>
    </row>
    <row r="1777" customFormat="false" ht="15" hidden="false" customHeight="false" outlineLevel="0" collapsed="false">
      <c r="A1777" s="2" t="n">
        <v>38</v>
      </c>
      <c r="B1777" s="2" t="s">
        <v>29</v>
      </c>
      <c r="C1777" s="2" t="s">
        <v>18</v>
      </c>
      <c r="D1777" s="2" t="s">
        <v>31</v>
      </c>
      <c r="E1777" s="2" t="s">
        <v>20</v>
      </c>
      <c r="F1777" s="2" t="n">
        <v>7124</v>
      </c>
      <c r="G1777" s="2" t="s">
        <v>20</v>
      </c>
      <c r="H1777" s="2" t="s">
        <v>20</v>
      </c>
      <c r="I1777" s="2" t="s">
        <v>23</v>
      </c>
      <c r="J1777" s="2" t="n">
        <v>16</v>
      </c>
      <c r="K1777" s="2" t="s">
        <v>33</v>
      </c>
      <c r="L1777" s="2" t="n">
        <v>301</v>
      </c>
      <c r="M1777" s="2" t="n">
        <v>6</v>
      </c>
      <c r="N1777" s="2" t="n">
        <v>-1</v>
      </c>
      <c r="O1777" s="2" t="n">
        <v>0</v>
      </c>
      <c r="P1777" s="2" t="s">
        <v>23</v>
      </c>
      <c r="Q1777" s="2" t="s">
        <v>20</v>
      </c>
    </row>
    <row r="1778" customFormat="false" ht="15" hidden="false" customHeight="false" outlineLevel="0" collapsed="false">
      <c r="A1778" s="2" t="n">
        <v>43</v>
      </c>
      <c r="B1778" s="2" t="s">
        <v>29</v>
      </c>
      <c r="C1778" s="2" t="s">
        <v>18</v>
      </c>
      <c r="D1778" s="2" t="s">
        <v>25</v>
      </c>
      <c r="E1778" s="2" t="s">
        <v>20</v>
      </c>
      <c r="F1778" s="2" t="n">
        <v>17555</v>
      </c>
      <c r="G1778" s="2" t="s">
        <v>20</v>
      </c>
      <c r="H1778" s="2" t="s">
        <v>20</v>
      </c>
      <c r="I1778" s="2" t="s">
        <v>21</v>
      </c>
      <c r="J1778" s="2" t="n">
        <v>26</v>
      </c>
      <c r="K1778" s="2" t="s">
        <v>41</v>
      </c>
      <c r="L1778" s="2" t="n">
        <v>14</v>
      </c>
      <c r="M1778" s="2" t="n">
        <v>14</v>
      </c>
      <c r="N1778" s="2" t="n">
        <v>-1</v>
      </c>
      <c r="O1778" s="2" t="n">
        <v>0</v>
      </c>
      <c r="P1778" s="2" t="s">
        <v>23</v>
      </c>
      <c r="Q1778" s="2" t="s">
        <v>20</v>
      </c>
    </row>
    <row r="1779" customFormat="false" ht="15" hidden="false" customHeight="false" outlineLevel="0" collapsed="false">
      <c r="A1779" s="2" t="n">
        <v>43</v>
      </c>
      <c r="B1779" s="2" t="s">
        <v>29</v>
      </c>
      <c r="C1779" s="2" t="s">
        <v>18</v>
      </c>
      <c r="D1779" s="2" t="s">
        <v>23</v>
      </c>
      <c r="E1779" s="2" t="s">
        <v>20</v>
      </c>
      <c r="F1779" s="2" t="n">
        <v>5172</v>
      </c>
      <c r="G1779" s="2" t="s">
        <v>26</v>
      </c>
      <c r="H1779" s="2" t="s">
        <v>20</v>
      </c>
      <c r="I1779" s="2" t="s">
        <v>23</v>
      </c>
      <c r="J1779" s="2" t="n">
        <v>29</v>
      </c>
      <c r="K1779" s="2" t="s">
        <v>27</v>
      </c>
      <c r="L1779" s="2" t="n">
        <v>57</v>
      </c>
      <c r="M1779" s="2" t="n">
        <v>3</v>
      </c>
      <c r="N1779" s="2" t="n">
        <v>-1</v>
      </c>
      <c r="O1779" s="2" t="n">
        <v>0</v>
      </c>
      <c r="P1779" s="2" t="s">
        <v>23</v>
      </c>
      <c r="Q1779" s="2" t="s">
        <v>20</v>
      </c>
    </row>
    <row r="1780" customFormat="false" ht="15" hidden="false" customHeight="false" outlineLevel="0" collapsed="false">
      <c r="A1780" s="2" t="n">
        <v>56</v>
      </c>
      <c r="B1780" s="2" t="s">
        <v>29</v>
      </c>
      <c r="C1780" s="2" t="s">
        <v>18</v>
      </c>
      <c r="D1780" s="2" t="s">
        <v>31</v>
      </c>
      <c r="E1780" s="2" t="s">
        <v>20</v>
      </c>
      <c r="F1780" s="2" t="n">
        <v>15520</v>
      </c>
      <c r="G1780" s="2" t="s">
        <v>20</v>
      </c>
      <c r="H1780" s="2" t="s">
        <v>20</v>
      </c>
      <c r="I1780" s="2" t="s">
        <v>21</v>
      </c>
      <c r="J1780" s="2" t="n">
        <v>18</v>
      </c>
      <c r="K1780" s="2" t="s">
        <v>46</v>
      </c>
      <c r="L1780" s="2" t="n">
        <v>420</v>
      </c>
      <c r="M1780" s="2" t="n">
        <v>1</v>
      </c>
      <c r="N1780" s="2" t="n">
        <v>-1</v>
      </c>
      <c r="O1780" s="2" t="n">
        <v>0</v>
      </c>
      <c r="P1780" s="2" t="s">
        <v>23</v>
      </c>
      <c r="Q1780" s="2" t="s">
        <v>20</v>
      </c>
    </row>
    <row r="1781" customFormat="false" ht="15" hidden="false" customHeight="false" outlineLevel="0" collapsed="false">
      <c r="A1781" s="2" t="n">
        <v>32</v>
      </c>
      <c r="B1781" s="2" t="s">
        <v>38</v>
      </c>
      <c r="C1781" s="2" t="s">
        <v>30</v>
      </c>
      <c r="D1781" s="2" t="s">
        <v>31</v>
      </c>
      <c r="E1781" s="2" t="s">
        <v>20</v>
      </c>
      <c r="F1781" s="2" t="n">
        <v>13711</v>
      </c>
      <c r="G1781" s="2" t="s">
        <v>26</v>
      </c>
      <c r="H1781" s="2" t="s">
        <v>20</v>
      </c>
      <c r="I1781" s="2" t="s">
        <v>21</v>
      </c>
      <c r="J1781" s="2" t="n">
        <v>14</v>
      </c>
      <c r="K1781" s="2" t="s">
        <v>27</v>
      </c>
      <c r="L1781" s="2" t="n">
        <v>638</v>
      </c>
      <c r="M1781" s="2" t="n">
        <v>1</v>
      </c>
      <c r="N1781" s="2" t="n">
        <v>175</v>
      </c>
      <c r="O1781" s="2" t="n">
        <v>3</v>
      </c>
      <c r="P1781" s="2" t="s">
        <v>50</v>
      </c>
      <c r="Q1781" s="2" t="s">
        <v>20</v>
      </c>
    </row>
    <row r="1782" customFormat="false" ht="15" hidden="false" customHeight="false" outlineLevel="0" collapsed="false">
      <c r="A1782" s="2" t="n">
        <v>58</v>
      </c>
      <c r="B1782" s="2" t="s">
        <v>29</v>
      </c>
      <c r="C1782" s="2" t="s">
        <v>45</v>
      </c>
      <c r="D1782" s="2" t="s">
        <v>31</v>
      </c>
      <c r="E1782" s="2" t="s">
        <v>20</v>
      </c>
      <c r="F1782" s="2" t="n">
        <v>1533</v>
      </c>
      <c r="G1782" s="2" t="s">
        <v>20</v>
      </c>
      <c r="H1782" s="2" t="s">
        <v>20</v>
      </c>
      <c r="I1782" s="2" t="s">
        <v>23</v>
      </c>
      <c r="J1782" s="2" t="n">
        <v>15</v>
      </c>
      <c r="K1782" s="2" t="s">
        <v>27</v>
      </c>
      <c r="L1782" s="2" t="n">
        <v>137</v>
      </c>
      <c r="M1782" s="2" t="n">
        <v>2</v>
      </c>
      <c r="N1782" s="2" t="n">
        <v>-1</v>
      </c>
      <c r="O1782" s="2" t="n">
        <v>0</v>
      </c>
      <c r="P1782" s="2" t="s">
        <v>23</v>
      </c>
      <c r="Q1782" s="2" t="s">
        <v>20</v>
      </c>
    </row>
    <row r="1783" customFormat="false" ht="15" hidden="false" customHeight="false" outlineLevel="0" collapsed="false">
      <c r="A1783" s="2" t="n">
        <v>47</v>
      </c>
      <c r="B1783" s="2" t="s">
        <v>29</v>
      </c>
      <c r="C1783" s="2" t="s">
        <v>18</v>
      </c>
      <c r="D1783" s="2" t="s">
        <v>31</v>
      </c>
      <c r="E1783" s="2" t="s">
        <v>20</v>
      </c>
      <c r="F1783" s="2" t="n">
        <v>286</v>
      </c>
      <c r="G1783" s="2" t="s">
        <v>20</v>
      </c>
      <c r="H1783" s="2" t="s">
        <v>20</v>
      </c>
      <c r="I1783" s="2" t="s">
        <v>21</v>
      </c>
      <c r="J1783" s="2" t="n">
        <v>22</v>
      </c>
      <c r="K1783" s="2" t="s">
        <v>41</v>
      </c>
      <c r="L1783" s="2" t="n">
        <v>557</v>
      </c>
      <c r="M1783" s="2" t="n">
        <v>7</v>
      </c>
      <c r="N1783" s="2" t="n">
        <v>-1</v>
      </c>
      <c r="O1783" s="2" t="n">
        <v>0</v>
      </c>
      <c r="P1783" s="2" t="s">
        <v>23</v>
      </c>
      <c r="Q1783" s="2" t="s">
        <v>20</v>
      </c>
    </row>
    <row r="1784" customFormat="false" ht="15" hidden="false" customHeight="false" outlineLevel="0" collapsed="false">
      <c r="A1784" s="2" t="n">
        <v>31</v>
      </c>
      <c r="B1784" s="2" t="s">
        <v>34</v>
      </c>
      <c r="C1784" s="2" t="s">
        <v>30</v>
      </c>
      <c r="D1784" s="2" t="s">
        <v>25</v>
      </c>
      <c r="E1784" s="2" t="s">
        <v>20</v>
      </c>
      <c r="F1784" s="2" t="n">
        <v>-219</v>
      </c>
      <c r="G1784" s="2" t="s">
        <v>26</v>
      </c>
      <c r="H1784" s="2" t="s">
        <v>20</v>
      </c>
      <c r="I1784" s="2" t="s">
        <v>23</v>
      </c>
      <c r="J1784" s="2" t="n">
        <v>30</v>
      </c>
      <c r="K1784" s="2" t="s">
        <v>27</v>
      </c>
      <c r="L1784" s="2" t="n">
        <v>66</v>
      </c>
      <c r="M1784" s="2" t="n">
        <v>2</v>
      </c>
      <c r="N1784" s="2" t="n">
        <v>-1</v>
      </c>
      <c r="O1784" s="2" t="n">
        <v>0</v>
      </c>
      <c r="P1784" s="2" t="s">
        <v>23</v>
      </c>
      <c r="Q1784" s="2" t="s">
        <v>20</v>
      </c>
    </row>
    <row r="1785" customFormat="false" ht="15" hidden="false" customHeight="false" outlineLevel="0" collapsed="false">
      <c r="A1785" s="2" t="n">
        <v>38</v>
      </c>
      <c r="B1785" s="2" t="s">
        <v>29</v>
      </c>
      <c r="C1785" s="2" t="s">
        <v>18</v>
      </c>
      <c r="D1785" s="2" t="s">
        <v>31</v>
      </c>
      <c r="E1785" s="2" t="s">
        <v>20</v>
      </c>
      <c r="F1785" s="2" t="n">
        <v>0</v>
      </c>
      <c r="G1785" s="2" t="s">
        <v>26</v>
      </c>
      <c r="H1785" s="2" t="s">
        <v>20</v>
      </c>
      <c r="I1785" s="2" t="s">
        <v>23</v>
      </c>
      <c r="J1785" s="2" t="n">
        <v>20</v>
      </c>
      <c r="K1785" s="2" t="s">
        <v>27</v>
      </c>
      <c r="L1785" s="2" t="n">
        <v>206</v>
      </c>
      <c r="M1785" s="2" t="n">
        <v>1</v>
      </c>
      <c r="N1785" s="2" t="n">
        <v>-1</v>
      </c>
      <c r="O1785" s="2" t="n">
        <v>0</v>
      </c>
      <c r="P1785" s="2" t="s">
        <v>23</v>
      </c>
      <c r="Q1785" s="2" t="s">
        <v>20</v>
      </c>
    </row>
    <row r="1786" customFormat="false" ht="15" hidden="false" customHeight="false" outlineLevel="0" collapsed="false">
      <c r="A1786" s="2" t="n">
        <v>50</v>
      </c>
      <c r="B1786" s="2" t="s">
        <v>34</v>
      </c>
      <c r="C1786" s="2" t="s">
        <v>18</v>
      </c>
      <c r="D1786" s="2" t="s">
        <v>25</v>
      </c>
      <c r="E1786" s="2" t="s">
        <v>20</v>
      </c>
      <c r="F1786" s="2" t="n">
        <v>810</v>
      </c>
      <c r="G1786" s="2" t="s">
        <v>26</v>
      </c>
      <c r="H1786" s="2" t="s">
        <v>20</v>
      </c>
      <c r="I1786" s="2" t="s">
        <v>23</v>
      </c>
      <c r="J1786" s="2" t="n">
        <v>14</v>
      </c>
      <c r="K1786" s="2" t="s">
        <v>27</v>
      </c>
      <c r="L1786" s="2" t="n">
        <v>19</v>
      </c>
      <c r="M1786" s="2" t="n">
        <v>14</v>
      </c>
      <c r="N1786" s="2" t="n">
        <v>-1</v>
      </c>
      <c r="O1786" s="2" t="n">
        <v>0</v>
      </c>
      <c r="P1786" s="2" t="s">
        <v>23</v>
      </c>
      <c r="Q1786" s="2" t="s">
        <v>20</v>
      </c>
    </row>
    <row r="1787" customFormat="false" ht="15" hidden="false" customHeight="false" outlineLevel="0" collapsed="false">
      <c r="A1787" s="2" t="n">
        <v>32</v>
      </c>
      <c r="B1787" s="2" t="s">
        <v>34</v>
      </c>
      <c r="C1787" s="2" t="s">
        <v>18</v>
      </c>
      <c r="D1787" s="2" t="s">
        <v>25</v>
      </c>
      <c r="E1787" s="2" t="s">
        <v>20</v>
      </c>
      <c r="F1787" s="2" t="n">
        <v>300</v>
      </c>
      <c r="G1787" s="2" t="s">
        <v>20</v>
      </c>
      <c r="H1787" s="2" t="s">
        <v>20</v>
      </c>
      <c r="I1787" s="2" t="s">
        <v>21</v>
      </c>
      <c r="J1787" s="2" t="n">
        <v>6</v>
      </c>
      <c r="K1787" s="2" t="s">
        <v>35</v>
      </c>
      <c r="L1787" s="2" t="n">
        <v>166</v>
      </c>
      <c r="M1787" s="2" t="n">
        <v>2</v>
      </c>
      <c r="N1787" s="2" t="n">
        <v>-1</v>
      </c>
      <c r="O1787" s="2" t="n">
        <v>0</v>
      </c>
      <c r="P1787" s="2" t="s">
        <v>23</v>
      </c>
      <c r="Q1787" s="2" t="s">
        <v>20</v>
      </c>
    </row>
    <row r="1788" customFormat="false" ht="15" hidden="false" customHeight="false" outlineLevel="0" collapsed="false">
      <c r="A1788" s="2" t="n">
        <v>37</v>
      </c>
      <c r="B1788" s="2" t="s">
        <v>24</v>
      </c>
      <c r="C1788" s="2" t="s">
        <v>30</v>
      </c>
      <c r="D1788" s="2" t="s">
        <v>25</v>
      </c>
      <c r="E1788" s="2" t="s">
        <v>20</v>
      </c>
      <c r="F1788" s="2" t="n">
        <v>1175</v>
      </c>
      <c r="G1788" s="2" t="s">
        <v>26</v>
      </c>
      <c r="H1788" s="2" t="s">
        <v>20</v>
      </c>
      <c r="I1788" s="2" t="s">
        <v>21</v>
      </c>
      <c r="J1788" s="2" t="n">
        <v>15</v>
      </c>
      <c r="K1788" s="2" t="s">
        <v>27</v>
      </c>
      <c r="L1788" s="2" t="n">
        <v>102</v>
      </c>
      <c r="M1788" s="2" t="n">
        <v>1</v>
      </c>
      <c r="N1788" s="2" t="n">
        <v>333</v>
      </c>
      <c r="O1788" s="2" t="n">
        <v>2</v>
      </c>
      <c r="P1788" s="2" t="s">
        <v>28</v>
      </c>
      <c r="Q1788" s="2" t="s">
        <v>20</v>
      </c>
    </row>
    <row r="1789" customFormat="false" ht="15" hidden="false" customHeight="false" outlineLevel="0" collapsed="false">
      <c r="A1789" s="2" t="n">
        <v>39</v>
      </c>
      <c r="B1789" s="2" t="s">
        <v>29</v>
      </c>
      <c r="C1789" s="2" t="s">
        <v>18</v>
      </c>
      <c r="D1789" s="2" t="s">
        <v>31</v>
      </c>
      <c r="E1789" s="2" t="s">
        <v>20</v>
      </c>
      <c r="F1789" s="2" t="n">
        <v>0</v>
      </c>
      <c r="G1789" s="2" t="s">
        <v>26</v>
      </c>
      <c r="H1789" s="2" t="s">
        <v>20</v>
      </c>
      <c r="I1789" s="2" t="s">
        <v>23</v>
      </c>
      <c r="J1789" s="2" t="n">
        <v>2</v>
      </c>
      <c r="K1789" s="2" t="s">
        <v>33</v>
      </c>
      <c r="L1789" s="2" t="n">
        <v>46</v>
      </c>
      <c r="M1789" s="2" t="n">
        <v>2</v>
      </c>
      <c r="N1789" s="2" t="n">
        <v>-1</v>
      </c>
      <c r="O1789" s="2" t="n">
        <v>0</v>
      </c>
      <c r="P1789" s="2" t="s">
        <v>23</v>
      </c>
      <c r="Q1789" s="2" t="s">
        <v>20</v>
      </c>
    </row>
    <row r="1790" customFormat="false" ht="15" hidden="false" customHeight="false" outlineLevel="0" collapsed="false">
      <c r="A1790" s="2" t="n">
        <v>40</v>
      </c>
      <c r="B1790" s="2" t="s">
        <v>24</v>
      </c>
      <c r="C1790" s="2" t="s">
        <v>18</v>
      </c>
      <c r="D1790" s="2" t="s">
        <v>25</v>
      </c>
      <c r="E1790" s="2" t="s">
        <v>20</v>
      </c>
      <c r="F1790" s="2" t="n">
        <v>113</v>
      </c>
      <c r="G1790" s="2" t="s">
        <v>26</v>
      </c>
      <c r="H1790" s="2" t="s">
        <v>20</v>
      </c>
      <c r="I1790" s="2" t="s">
        <v>23</v>
      </c>
      <c r="J1790" s="2" t="n">
        <v>4</v>
      </c>
      <c r="K1790" s="2" t="s">
        <v>33</v>
      </c>
      <c r="L1790" s="2" t="n">
        <v>126</v>
      </c>
      <c r="M1790" s="2" t="n">
        <v>1</v>
      </c>
      <c r="N1790" s="2" t="n">
        <v>-1</v>
      </c>
      <c r="O1790" s="2" t="n">
        <v>0</v>
      </c>
      <c r="P1790" s="2" t="s">
        <v>23</v>
      </c>
      <c r="Q1790" s="2" t="s">
        <v>20</v>
      </c>
    </row>
    <row r="1791" customFormat="false" ht="15" hidden="false" customHeight="false" outlineLevel="0" collapsed="false">
      <c r="A1791" s="2" t="n">
        <v>41</v>
      </c>
      <c r="B1791" s="2" t="s">
        <v>34</v>
      </c>
      <c r="C1791" s="2" t="s">
        <v>18</v>
      </c>
      <c r="D1791" s="2" t="s">
        <v>25</v>
      </c>
      <c r="E1791" s="2" t="s">
        <v>20</v>
      </c>
      <c r="F1791" s="2" t="n">
        <v>641</v>
      </c>
      <c r="G1791" s="2" t="s">
        <v>26</v>
      </c>
      <c r="H1791" s="2" t="s">
        <v>20</v>
      </c>
      <c r="I1791" s="2" t="s">
        <v>23</v>
      </c>
      <c r="J1791" s="2" t="n">
        <v>13</v>
      </c>
      <c r="K1791" s="2" t="s">
        <v>27</v>
      </c>
      <c r="L1791" s="2" t="n">
        <v>161</v>
      </c>
      <c r="M1791" s="2" t="n">
        <v>1</v>
      </c>
      <c r="N1791" s="2" t="n">
        <v>-1</v>
      </c>
      <c r="O1791" s="2" t="n">
        <v>0</v>
      </c>
      <c r="P1791" s="2" t="s">
        <v>23</v>
      </c>
      <c r="Q1791" s="2" t="s">
        <v>20</v>
      </c>
    </row>
    <row r="1792" customFormat="false" ht="15" hidden="false" customHeight="false" outlineLevel="0" collapsed="false">
      <c r="A1792" s="2" t="n">
        <v>45</v>
      </c>
      <c r="B1792" s="2" t="s">
        <v>38</v>
      </c>
      <c r="C1792" s="2" t="s">
        <v>18</v>
      </c>
      <c r="D1792" s="2" t="s">
        <v>25</v>
      </c>
      <c r="E1792" s="2" t="s">
        <v>20</v>
      </c>
      <c r="F1792" s="2" t="n">
        <v>1477</v>
      </c>
      <c r="G1792" s="2" t="s">
        <v>26</v>
      </c>
      <c r="H1792" s="2" t="s">
        <v>20</v>
      </c>
      <c r="I1792" s="2" t="s">
        <v>21</v>
      </c>
      <c r="J1792" s="2" t="n">
        <v>8</v>
      </c>
      <c r="K1792" s="2" t="s">
        <v>44</v>
      </c>
      <c r="L1792" s="2" t="n">
        <v>355</v>
      </c>
      <c r="M1792" s="2" t="n">
        <v>1</v>
      </c>
      <c r="N1792" s="2" t="n">
        <v>-1</v>
      </c>
      <c r="O1792" s="2" t="n">
        <v>0</v>
      </c>
      <c r="P1792" s="2" t="s">
        <v>23</v>
      </c>
      <c r="Q1792" s="2" t="s">
        <v>20</v>
      </c>
    </row>
    <row r="1793" customFormat="false" ht="15" hidden="false" customHeight="false" outlineLevel="0" collapsed="false">
      <c r="A1793" s="2" t="n">
        <v>31</v>
      </c>
      <c r="B1793" s="2" t="s">
        <v>40</v>
      </c>
      <c r="C1793" s="2" t="s">
        <v>18</v>
      </c>
      <c r="D1793" s="2" t="s">
        <v>25</v>
      </c>
      <c r="E1793" s="2" t="s">
        <v>20</v>
      </c>
      <c r="F1793" s="2" t="n">
        <v>0</v>
      </c>
      <c r="G1793" s="2" t="s">
        <v>26</v>
      </c>
      <c r="H1793" s="2" t="s">
        <v>20</v>
      </c>
      <c r="I1793" s="2" t="s">
        <v>23</v>
      </c>
      <c r="J1793" s="2" t="n">
        <v>14</v>
      </c>
      <c r="K1793" s="2" t="s">
        <v>27</v>
      </c>
      <c r="L1793" s="2" t="n">
        <v>40</v>
      </c>
      <c r="M1793" s="2" t="n">
        <v>2</v>
      </c>
      <c r="N1793" s="2" t="n">
        <v>-1</v>
      </c>
      <c r="O1793" s="2" t="n">
        <v>0</v>
      </c>
      <c r="P1793" s="2" t="s">
        <v>23</v>
      </c>
      <c r="Q1793" s="2" t="s">
        <v>20</v>
      </c>
    </row>
    <row r="1794" customFormat="false" ht="15" hidden="false" customHeight="false" outlineLevel="0" collapsed="false">
      <c r="A1794" s="2" t="n">
        <v>54</v>
      </c>
      <c r="B1794" s="2" t="s">
        <v>24</v>
      </c>
      <c r="C1794" s="2" t="s">
        <v>18</v>
      </c>
      <c r="D1794" s="2" t="s">
        <v>19</v>
      </c>
      <c r="E1794" s="2" t="s">
        <v>20</v>
      </c>
      <c r="F1794" s="2" t="n">
        <v>8</v>
      </c>
      <c r="G1794" s="2" t="s">
        <v>26</v>
      </c>
      <c r="H1794" s="2" t="s">
        <v>20</v>
      </c>
      <c r="I1794" s="2" t="s">
        <v>21</v>
      </c>
      <c r="J1794" s="2" t="n">
        <v>14</v>
      </c>
      <c r="K1794" s="2" t="s">
        <v>27</v>
      </c>
      <c r="L1794" s="2" t="n">
        <v>143</v>
      </c>
      <c r="M1794" s="2" t="n">
        <v>1</v>
      </c>
      <c r="N1794" s="2" t="n">
        <v>-1</v>
      </c>
      <c r="O1794" s="2" t="n">
        <v>0</v>
      </c>
      <c r="P1794" s="2" t="s">
        <v>23</v>
      </c>
      <c r="Q1794" s="2" t="s">
        <v>20</v>
      </c>
    </row>
    <row r="1795" customFormat="false" ht="15" hidden="false" customHeight="false" outlineLevel="0" collapsed="false">
      <c r="A1795" s="2" t="n">
        <v>39</v>
      </c>
      <c r="B1795" s="2" t="s">
        <v>40</v>
      </c>
      <c r="C1795" s="2" t="s">
        <v>45</v>
      </c>
      <c r="D1795" s="2" t="s">
        <v>25</v>
      </c>
      <c r="E1795" s="2" t="s">
        <v>20</v>
      </c>
      <c r="F1795" s="2" t="n">
        <v>399</v>
      </c>
      <c r="G1795" s="2" t="s">
        <v>26</v>
      </c>
      <c r="H1795" s="2" t="s">
        <v>26</v>
      </c>
      <c r="I1795" s="2" t="s">
        <v>21</v>
      </c>
      <c r="J1795" s="2" t="n">
        <v>14</v>
      </c>
      <c r="K1795" s="2" t="s">
        <v>41</v>
      </c>
      <c r="L1795" s="2" t="n">
        <v>133</v>
      </c>
      <c r="M1795" s="2" t="n">
        <v>2</v>
      </c>
      <c r="N1795" s="2" t="n">
        <v>-1</v>
      </c>
      <c r="O1795" s="2" t="n">
        <v>0</v>
      </c>
      <c r="P1795" s="2" t="s">
        <v>23</v>
      </c>
      <c r="Q1795" s="2" t="s">
        <v>20</v>
      </c>
    </row>
    <row r="1796" customFormat="false" ht="15" hidden="false" customHeight="false" outlineLevel="0" collapsed="false">
      <c r="A1796" s="2" t="n">
        <v>56</v>
      </c>
      <c r="B1796" s="2" t="s">
        <v>40</v>
      </c>
      <c r="C1796" s="2" t="s">
        <v>45</v>
      </c>
      <c r="D1796" s="2" t="s">
        <v>25</v>
      </c>
      <c r="E1796" s="2" t="s">
        <v>26</v>
      </c>
      <c r="F1796" s="2" t="n">
        <v>-435</v>
      </c>
      <c r="G1796" s="2" t="s">
        <v>26</v>
      </c>
      <c r="H1796" s="2" t="s">
        <v>26</v>
      </c>
      <c r="I1796" s="2" t="s">
        <v>23</v>
      </c>
      <c r="J1796" s="2" t="n">
        <v>9</v>
      </c>
      <c r="K1796" s="2" t="s">
        <v>27</v>
      </c>
      <c r="L1796" s="2" t="n">
        <v>185</v>
      </c>
      <c r="M1796" s="2" t="n">
        <v>2</v>
      </c>
      <c r="N1796" s="2" t="n">
        <v>-1</v>
      </c>
      <c r="O1796" s="2" t="n">
        <v>0</v>
      </c>
      <c r="P1796" s="2" t="s">
        <v>23</v>
      </c>
      <c r="Q1796" s="2" t="s">
        <v>20</v>
      </c>
    </row>
    <row r="1797" customFormat="false" ht="15" hidden="false" customHeight="false" outlineLevel="0" collapsed="false">
      <c r="A1797" s="2" t="n">
        <v>35</v>
      </c>
      <c r="B1797" s="2" t="s">
        <v>40</v>
      </c>
      <c r="C1797" s="2" t="s">
        <v>30</v>
      </c>
      <c r="D1797" s="2" t="s">
        <v>25</v>
      </c>
      <c r="E1797" s="2" t="s">
        <v>20</v>
      </c>
      <c r="F1797" s="2" t="n">
        <v>2830</v>
      </c>
      <c r="G1797" s="2" t="s">
        <v>20</v>
      </c>
      <c r="H1797" s="2" t="s">
        <v>20</v>
      </c>
      <c r="I1797" s="2" t="s">
        <v>23</v>
      </c>
      <c r="J1797" s="2" t="n">
        <v>20</v>
      </c>
      <c r="K1797" s="2" t="s">
        <v>33</v>
      </c>
      <c r="L1797" s="2" t="n">
        <v>22</v>
      </c>
      <c r="M1797" s="2" t="n">
        <v>12</v>
      </c>
      <c r="N1797" s="2" t="n">
        <v>-1</v>
      </c>
      <c r="O1797" s="2" t="n">
        <v>0</v>
      </c>
      <c r="P1797" s="2" t="s">
        <v>23</v>
      </c>
      <c r="Q1797" s="2" t="s">
        <v>20</v>
      </c>
    </row>
    <row r="1798" customFormat="false" ht="15" hidden="false" customHeight="false" outlineLevel="0" collapsed="false">
      <c r="A1798" s="2" t="n">
        <v>34</v>
      </c>
      <c r="B1798" s="2" t="s">
        <v>29</v>
      </c>
      <c r="C1798" s="2" t="s">
        <v>18</v>
      </c>
      <c r="D1798" s="2" t="s">
        <v>25</v>
      </c>
      <c r="E1798" s="2" t="s">
        <v>20</v>
      </c>
      <c r="F1798" s="2" t="n">
        <v>15</v>
      </c>
      <c r="G1798" s="2" t="s">
        <v>20</v>
      </c>
      <c r="H1798" s="2" t="s">
        <v>20</v>
      </c>
      <c r="I1798" s="2" t="s">
        <v>21</v>
      </c>
      <c r="J1798" s="2" t="n">
        <v>25</v>
      </c>
      <c r="K1798" s="2" t="s">
        <v>41</v>
      </c>
      <c r="L1798" s="2" t="n">
        <v>184</v>
      </c>
      <c r="M1798" s="2" t="n">
        <v>7</v>
      </c>
      <c r="N1798" s="2" t="n">
        <v>-1</v>
      </c>
      <c r="O1798" s="2" t="n">
        <v>0</v>
      </c>
      <c r="P1798" s="2" t="s">
        <v>23</v>
      </c>
      <c r="Q1798" s="2" t="s">
        <v>20</v>
      </c>
    </row>
    <row r="1799" customFormat="false" ht="15" hidden="false" customHeight="false" outlineLevel="0" collapsed="false">
      <c r="A1799" s="2" t="n">
        <v>31</v>
      </c>
      <c r="B1799" s="2" t="s">
        <v>38</v>
      </c>
      <c r="C1799" s="2" t="s">
        <v>30</v>
      </c>
      <c r="D1799" s="2" t="s">
        <v>25</v>
      </c>
      <c r="E1799" s="2" t="s">
        <v>20</v>
      </c>
      <c r="F1799" s="2" t="n">
        <v>125</v>
      </c>
      <c r="G1799" s="2" t="s">
        <v>20</v>
      </c>
      <c r="H1799" s="2" t="s">
        <v>20</v>
      </c>
      <c r="I1799" s="2" t="s">
        <v>21</v>
      </c>
      <c r="J1799" s="2" t="n">
        <v>22</v>
      </c>
      <c r="K1799" s="2" t="s">
        <v>41</v>
      </c>
      <c r="L1799" s="2" t="n">
        <v>78</v>
      </c>
      <c r="M1799" s="2" t="n">
        <v>2</v>
      </c>
      <c r="N1799" s="2" t="n">
        <v>-1</v>
      </c>
      <c r="O1799" s="2" t="n">
        <v>0</v>
      </c>
      <c r="P1799" s="2" t="s">
        <v>23</v>
      </c>
      <c r="Q1799" s="2" t="s">
        <v>20</v>
      </c>
    </row>
    <row r="1800" customFormat="false" ht="15" hidden="false" customHeight="false" outlineLevel="0" collapsed="false">
      <c r="A1800" s="2" t="n">
        <v>38</v>
      </c>
      <c r="B1800" s="2" t="s">
        <v>38</v>
      </c>
      <c r="C1800" s="2" t="s">
        <v>18</v>
      </c>
      <c r="D1800" s="2" t="s">
        <v>31</v>
      </c>
      <c r="E1800" s="2" t="s">
        <v>20</v>
      </c>
      <c r="F1800" s="2" t="n">
        <v>45</v>
      </c>
      <c r="G1800" s="2" t="s">
        <v>20</v>
      </c>
      <c r="H1800" s="2" t="s">
        <v>20</v>
      </c>
      <c r="I1800" s="2" t="s">
        <v>21</v>
      </c>
      <c r="J1800" s="2" t="n">
        <v>22</v>
      </c>
      <c r="K1800" s="2" t="s">
        <v>44</v>
      </c>
      <c r="L1800" s="2" t="n">
        <v>125</v>
      </c>
      <c r="M1800" s="2" t="n">
        <v>4</v>
      </c>
      <c r="N1800" s="2" t="n">
        <v>-1</v>
      </c>
      <c r="O1800" s="2" t="n">
        <v>0</v>
      </c>
      <c r="P1800" s="2" t="s">
        <v>23</v>
      </c>
      <c r="Q1800" s="2" t="s">
        <v>20</v>
      </c>
    </row>
    <row r="1801" customFormat="false" ht="15" hidden="false" customHeight="false" outlineLevel="0" collapsed="false">
      <c r="A1801" s="2" t="n">
        <v>41</v>
      </c>
      <c r="B1801" s="2" t="s">
        <v>38</v>
      </c>
      <c r="C1801" s="2" t="s">
        <v>18</v>
      </c>
      <c r="D1801" s="2" t="s">
        <v>31</v>
      </c>
      <c r="E1801" s="2" t="s">
        <v>20</v>
      </c>
      <c r="F1801" s="2" t="n">
        <v>13</v>
      </c>
      <c r="G1801" s="2" t="s">
        <v>20</v>
      </c>
      <c r="H1801" s="2" t="s">
        <v>20</v>
      </c>
      <c r="I1801" s="2" t="s">
        <v>23</v>
      </c>
      <c r="J1801" s="2" t="n">
        <v>5</v>
      </c>
      <c r="K1801" s="2" t="s">
        <v>33</v>
      </c>
      <c r="L1801" s="2" t="n">
        <v>189</v>
      </c>
      <c r="M1801" s="2" t="n">
        <v>2</v>
      </c>
      <c r="N1801" s="2" t="n">
        <v>-1</v>
      </c>
      <c r="O1801" s="2" t="n">
        <v>0</v>
      </c>
      <c r="P1801" s="2" t="s">
        <v>23</v>
      </c>
      <c r="Q1801" s="2" t="s">
        <v>20</v>
      </c>
    </row>
    <row r="1802" customFormat="false" ht="15" hidden="false" customHeight="false" outlineLevel="0" collapsed="false">
      <c r="A1802" s="2" t="n">
        <v>44</v>
      </c>
      <c r="B1802" s="2" t="s">
        <v>39</v>
      </c>
      <c r="C1802" s="2" t="s">
        <v>18</v>
      </c>
      <c r="D1802" s="2" t="s">
        <v>31</v>
      </c>
      <c r="E1802" s="2" t="s">
        <v>20</v>
      </c>
      <c r="F1802" s="2" t="n">
        <v>0</v>
      </c>
      <c r="G1802" s="2" t="s">
        <v>26</v>
      </c>
      <c r="H1802" s="2" t="s">
        <v>20</v>
      </c>
      <c r="I1802" s="2" t="s">
        <v>23</v>
      </c>
      <c r="J1802" s="2" t="n">
        <v>9</v>
      </c>
      <c r="K1802" s="2" t="s">
        <v>44</v>
      </c>
      <c r="L1802" s="2" t="n">
        <v>300</v>
      </c>
      <c r="M1802" s="2" t="n">
        <v>1</v>
      </c>
      <c r="N1802" s="2" t="n">
        <v>-1</v>
      </c>
      <c r="O1802" s="2" t="n">
        <v>0</v>
      </c>
      <c r="P1802" s="2" t="s">
        <v>23</v>
      </c>
      <c r="Q1802" s="2" t="s">
        <v>20</v>
      </c>
    </row>
    <row r="1803" customFormat="false" ht="15" hidden="false" customHeight="false" outlineLevel="0" collapsed="false">
      <c r="A1803" s="2" t="n">
        <v>49</v>
      </c>
      <c r="B1803" s="2" t="s">
        <v>34</v>
      </c>
      <c r="C1803" s="2" t="s">
        <v>18</v>
      </c>
      <c r="D1803" s="2" t="s">
        <v>25</v>
      </c>
      <c r="E1803" s="2" t="s">
        <v>20</v>
      </c>
      <c r="F1803" s="2" t="n">
        <v>579</v>
      </c>
      <c r="G1803" s="2" t="s">
        <v>26</v>
      </c>
      <c r="H1803" s="2" t="s">
        <v>20</v>
      </c>
      <c r="I1803" s="2" t="s">
        <v>23</v>
      </c>
      <c r="J1803" s="2" t="n">
        <v>28</v>
      </c>
      <c r="K1803" s="2" t="s">
        <v>27</v>
      </c>
      <c r="L1803" s="2" t="n">
        <v>396</v>
      </c>
      <c r="M1803" s="2" t="n">
        <v>1</v>
      </c>
      <c r="N1803" s="2" t="n">
        <v>-1</v>
      </c>
      <c r="O1803" s="2" t="n">
        <v>0</v>
      </c>
      <c r="P1803" s="2" t="s">
        <v>23</v>
      </c>
      <c r="Q1803" s="2" t="s">
        <v>20</v>
      </c>
    </row>
    <row r="1804" customFormat="false" ht="15" hidden="false" customHeight="false" outlineLevel="0" collapsed="false">
      <c r="A1804" s="2" t="n">
        <v>30</v>
      </c>
      <c r="B1804" s="2" t="s">
        <v>24</v>
      </c>
      <c r="C1804" s="2" t="s">
        <v>30</v>
      </c>
      <c r="D1804" s="2" t="s">
        <v>25</v>
      </c>
      <c r="E1804" s="2" t="s">
        <v>20</v>
      </c>
      <c r="F1804" s="2" t="n">
        <v>432</v>
      </c>
      <c r="G1804" s="2" t="s">
        <v>26</v>
      </c>
      <c r="H1804" s="2" t="s">
        <v>20</v>
      </c>
      <c r="I1804" s="2" t="s">
        <v>23</v>
      </c>
      <c r="J1804" s="2" t="n">
        <v>20</v>
      </c>
      <c r="K1804" s="2" t="s">
        <v>27</v>
      </c>
      <c r="L1804" s="2" t="n">
        <v>340</v>
      </c>
      <c r="M1804" s="2" t="n">
        <v>3</v>
      </c>
      <c r="N1804" s="2" t="n">
        <v>-1</v>
      </c>
      <c r="O1804" s="2" t="n">
        <v>0</v>
      </c>
      <c r="P1804" s="2" t="s">
        <v>23</v>
      </c>
      <c r="Q1804" s="2" t="s">
        <v>20</v>
      </c>
    </row>
    <row r="1805" customFormat="false" ht="15" hidden="false" customHeight="false" outlineLevel="0" collapsed="false">
      <c r="A1805" s="2" t="n">
        <v>31</v>
      </c>
      <c r="B1805" s="2" t="s">
        <v>24</v>
      </c>
      <c r="C1805" s="2" t="s">
        <v>30</v>
      </c>
      <c r="D1805" s="2" t="s">
        <v>25</v>
      </c>
      <c r="E1805" s="2" t="s">
        <v>20</v>
      </c>
      <c r="F1805" s="2" t="n">
        <v>1987</v>
      </c>
      <c r="G1805" s="2" t="s">
        <v>26</v>
      </c>
      <c r="H1805" s="2" t="s">
        <v>20</v>
      </c>
      <c r="I1805" s="2" t="s">
        <v>49</v>
      </c>
      <c r="J1805" s="2" t="n">
        <v>20</v>
      </c>
      <c r="K1805" s="2" t="s">
        <v>46</v>
      </c>
      <c r="L1805" s="2" t="n">
        <v>55</v>
      </c>
      <c r="M1805" s="2" t="n">
        <v>2</v>
      </c>
      <c r="N1805" s="2" t="n">
        <v>-1</v>
      </c>
      <c r="O1805" s="2" t="n">
        <v>0</v>
      </c>
      <c r="P1805" s="2" t="s">
        <v>23</v>
      </c>
      <c r="Q1805" s="2" t="s">
        <v>20</v>
      </c>
    </row>
    <row r="1806" customFormat="false" ht="15" hidden="false" customHeight="false" outlineLevel="0" collapsed="false">
      <c r="A1806" s="2" t="n">
        <v>34</v>
      </c>
      <c r="B1806" s="2" t="s">
        <v>29</v>
      </c>
      <c r="C1806" s="2" t="s">
        <v>18</v>
      </c>
      <c r="D1806" s="2" t="s">
        <v>25</v>
      </c>
      <c r="E1806" s="2" t="s">
        <v>20</v>
      </c>
      <c r="F1806" s="2" t="n">
        <v>857</v>
      </c>
      <c r="G1806" s="2" t="s">
        <v>26</v>
      </c>
      <c r="H1806" s="2" t="s">
        <v>20</v>
      </c>
      <c r="I1806" s="2" t="s">
        <v>21</v>
      </c>
      <c r="J1806" s="2" t="n">
        <v>22</v>
      </c>
      <c r="K1806" s="2" t="s">
        <v>41</v>
      </c>
      <c r="L1806" s="2" t="n">
        <v>238</v>
      </c>
      <c r="M1806" s="2" t="n">
        <v>6</v>
      </c>
      <c r="N1806" s="2" t="n">
        <v>-1</v>
      </c>
      <c r="O1806" s="2" t="n">
        <v>0</v>
      </c>
      <c r="P1806" s="2" t="s">
        <v>23</v>
      </c>
      <c r="Q1806" s="2" t="s">
        <v>20</v>
      </c>
    </row>
    <row r="1807" customFormat="false" ht="15" hidden="false" customHeight="false" outlineLevel="0" collapsed="false">
      <c r="A1807" s="2" t="n">
        <v>70</v>
      </c>
      <c r="B1807" s="2" t="s">
        <v>48</v>
      </c>
      <c r="C1807" s="2" t="s">
        <v>18</v>
      </c>
      <c r="D1807" s="2" t="s">
        <v>31</v>
      </c>
      <c r="E1807" s="2" t="s">
        <v>20</v>
      </c>
      <c r="F1807" s="2" t="n">
        <v>15834</v>
      </c>
      <c r="G1807" s="2" t="s">
        <v>20</v>
      </c>
      <c r="H1807" s="2" t="s">
        <v>20</v>
      </c>
      <c r="I1807" s="2" t="s">
        <v>21</v>
      </c>
      <c r="J1807" s="2" t="n">
        <v>5</v>
      </c>
      <c r="K1807" s="2" t="s">
        <v>32</v>
      </c>
      <c r="L1807" s="2" t="n">
        <v>172</v>
      </c>
      <c r="M1807" s="2" t="n">
        <v>3</v>
      </c>
      <c r="N1807" s="2" t="n">
        <v>186</v>
      </c>
      <c r="O1807" s="2" t="n">
        <v>1</v>
      </c>
      <c r="P1807" s="2" t="s">
        <v>28</v>
      </c>
      <c r="Q1807" s="2" t="s">
        <v>20</v>
      </c>
    </row>
    <row r="1808" customFormat="false" ht="15" hidden="false" customHeight="false" outlineLevel="0" collapsed="false">
      <c r="A1808" s="2" t="n">
        <v>45</v>
      </c>
      <c r="B1808" s="2" t="s">
        <v>29</v>
      </c>
      <c r="C1808" s="2" t="s">
        <v>18</v>
      </c>
      <c r="D1808" s="2" t="s">
        <v>31</v>
      </c>
      <c r="E1808" s="2" t="s">
        <v>20</v>
      </c>
      <c r="F1808" s="2" t="n">
        <v>3370</v>
      </c>
      <c r="G1808" s="2" t="s">
        <v>20</v>
      </c>
      <c r="H1808" s="2" t="s">
        <v>20</v>
      </c>
      <c r="I1808" s="2" t="s">
        <v>23</v>
      </c>
      <c r="J1808" s="2" t="n">
        <v>12</v>
      </c>
      <c r="K1808" s="2" t="s">
        <v>33</v>
      </c>
      <c r="L1808" s="2" t="n">
        <v>36</v>
      </c>
      <c r="M1808" s="2" t="n">
        <v>3</v>
      </c>
      <c r="N1808" s="2" t="n">
        <v>-1</v>
      </c>
      <c r="O1808" s="2" t="n">
        <v>0</v>
      </c>
      <c r="P1808" s="2" t="s">
        <v>23</v>
      </c>
      <c r="Q1808" s="2" t="s">
        <v>20</v>
      </c>
    </row>
    <row r="1809" customFormat="false" ht="15" hidden="false" customHeight="false" outlineLevel="0" collapsed="false">
      <c r="A1809" s="2" t="n">
        <v>31</v>
      </c>
      <c r="B1809" s="2" t="s">
        <v>29</v>
      </c>
      <c r="C1809" s="2" t="s">
        <v>18</v>
      </c>
      <c r="D1809" s="2" t="s">
        <v>31</v>
      </c>
      <c r="E1809" s="2" t="s">
        <v>20</v>
      </c>
      <c r="F1809" s="2" t="n">
        <v>6290</v>
      </c>
      <c r="G1809" s="2" t="s">
        <v>20</v>
      </c>
      <c r="H1809" s="2" t="s">
        <v>20</v>
      </c>
      <c r="I1809" s="2" t="s">
        <v>21</v>
      </c>
      <c r="J1809" s="2" t="n">
        <v>20</v>
      </c>
      <c r="K1809" s="2" t="s">
        <v>46</v>
      </c>
      <c r="L1809" s="2" t="n">
        <v>303</v>
      </c>
      <c r="M1809" s="2" t="n">
        <v>2</v>
      </c>
      <c r="N1809" s="2" t="n">
        <v>-1</v>
      </c>
      <c r="O1809" s="2" t="n">
        <v>0</v>
      </c>
      <c r="P1809" s="2" t="s">
        <v>23</v>
      </c>
      <c r="Q1809" s="2" t="s">
        <v>20</v>
      </c>
    </row>
    <row r="1810" customFormat="false" ht="15" hidden="false" customHeight="false" outlineLevel="0" collapsed="false">
      <c r="A1810" s="2" t="n">
        <v>57</v>
      </c>
      <c r="B1810" s="2" t="s">
        <v>40</v>
      </c>
      <c r="C1810" s="2" t="s">
        <v>18</v>
      </c>
      <c r="D1810" s="2" t="s">
        <v>25</v>
      </c>
      <c r="E1810" s="2" t="s">
        <v>20</v>
      </c>
      <c r="F1810" s="2" t="n">
        <v>808</v>
      </c>
      <c r="G1810" s="2" t="s">
        <v>20</v>
      </c>
      <c r="H1810" s="2" t="s">
        <v>20</v>
      </c>
      <c r="I1810" s="2" t="s">
        <v>21</v>
      </c>
      <c r="J1810" s="2" t="n">
        <v>14</v>
      </c>
      <c r="K1810" s="2" t="s">
        <v>44</v>
      </c>
      <c r="L1810" s="2" t="n">
        <v>417</v>
      </c>
      <c r="M1810" s="2" t="n">
        <v>3</v>
      </c>
      <c r="N1810" s="2" t="n">
        <v>-1</v>
      </c>
      <c r="O1810" s="2" t="n">
        <v>0</v>
      </c>
      <c r="P1810" s="2" t="s">
        <v>23</v>
      </c>
      <c r="Q1810" s="2" t="s">
        <v>20</v>
      </c>
    </row>
    <row r="1811" customFormat="false" ht="15" hidden="false" customHeight="false" outlineLevel="0" collapsed="false">
      <c r="A1811" s="2" t="n">
        <v>40</v>
      </c>
      <c r="B1811" s="2" t="s">
        <v>24</v>
      </c>
      <c r="C1811" s="2" t="s">
        <v>18</v>
      </c>
      <c r="D1811" s="2" t="s">
        <v>23</v>
      </c>
      <c r="E1811" s="2" t="s">
        <v>20</v>
      </c>
      <c r="F1811" s="2" t="n">
        <v>4075</v>
      </c>
      <c r="G1811" s="2" t="s">
        <v>26</v>
      </c>
      <c r="H1811" s="2" t="s">
        <v>20</v>
      </c>
      <c r="I1811" s="2" t="s">
        <v>23</v>
      </c>
      <c r="J1811" s="2" t="n">
        <v>16</v>
      </c>
      <c r="K1811" s="2" t="s">
        <v>33</v>
      </c>
      <c r="L1811" s="2" t="n">
        <v>162</v>
      </c>
      <c r="M1811" s="2" t="n">
        <v>3</v>
      </c>
      <c r="N1811" s="2" t="n">
        <v>-1</v>
      </c>
      <c r="O1811" s="2" t="n">
        <v>0</v>
      </c>
      <c r="P1811" s="2" t="s">
        <v>23</v>
      </c>
      <c r="Q1811" s="2" t="s">
        <v>20</v>
      </c>
    </row>
    <row r="1812" customFormat="false" ht="15" hidden="false" customHeight="false" outlineLevel="0" collapsed="false">
      <c r="A1812" s="2" t="n">
        <v>28</v>
      </c>
      <c r="B1812" s="2" t="s">
        <v>34</v>
      </c>
      <c r="C1812" s="2" t="s">
        <v>18</v>
      </c>
      <c r="D1812" s="2" t="s">
        <v>25</v>
      </c>
      <c r="E1812" s="2" t="s">
        <v>20</v>
      </c>
      <c r="F1812" s="2" t="n">
        <v>373</v>
      </c>
      <c r="G1812" s="2" t="s">
        <v>26</v>
      </c>
      <c r="H1812" s="2" t="s">
        <v>20</v>
      </c>
      <c r="I1812" s="2" t="s">
        <v>21</v>
      </c>
      <c r="J1812" s="2" t="n">
        <v>14</v>
      </c>
      <c r="K1812" s="2" t="s">
        <v>27</v>
      </c>
      <c r="L1812" s="2" t="n">
        <v>10</v>
      </c>
      <c r="M1812" s="2" t="n">
        <v>9</v>
      </c>
      <c r="N1812" s="2" t="n">
        <v>344</v>
      </c>
      <c r="O1812" s="2" t="n">
        <v>1</v>
      </c>
      <c r="P1812" s="2" t="s">
        <v>28</v>
      </c>
      <c r="Q1812" s="2" t="s">
        <v>20</v>
      </c>
    </row>
    <row r="1813" customFormat="false" ht="15" hidden="false" customHeight="false" outlineLevel="0" collapsed="false">
      <c r="A1813" s="2" t="n">
        <v>44</v>
      </c>
      <c r="B1813" s="2" t="s">
        <v>40</v>
      </c>
      <c r="C1813" s="2" t="s">
        <v>30</v>
      </c>
      <c r="D1813" s="2" t="s">
        <v>25</v>
      </c>
      <c r="E1813" s="2" t="s">
        <v>20</v>
      </c>
      <c r="F1813" s="2" t="n">
        <v>-101</v>
      </c>
      <c r="G1813" s="2" t="s">
        <v>26</v>
      </c>
      <c r="H1813" s="2" t="s">
        <v>20</v>
      </c>
      <c r="I1813" s="2" t="s">
        <v>21</v>
      </c>
      <c r="J1813" s="2" t="n">
        <v>10</v>
      </c>
      <c r="K1813" s="2" t="s">
        <v>44</v>
      </c>
      <c r="L1813" s="2" t="n">
        <v>99</v>
      </c>
      <c r="M1813" s="2" t="n">
        <v>1</v>
      </c>
      <c r="N1813" s="2" t="n">
        <v>-1</v>
      </c>
      <c r="O1813" s="2" t="n">
        <v>0</v>
      </c>
      <c r="P1813" s="2" t="s">
        <v>23</v>
      </c>
      <c r="Q1813" s="2" t="s">
        <v>20</v>
      </c>
    </row>
    <row r="1814" customFormat="false" ht="15" hidden="false" customHeight="false" outlineLevel="0" collapsed="false">
      <c r="A1814" s="2" t="n">
        <v>49</v>
      </c>
      <c r="B1814" s="2" t="s">
        <v>24</v>
      </c>
      <c r="C1814" s="2" t="s">
        <v>45</v>
      </c>
      <c r="D1814" s="2" t="s">
        <v>25</v>
      </c>
      <c r="E1814" s="2" t="s">
        <v>20</v>
      </c>
      <c r="F1814" s="2" t="n">
        <v>3250</v>
      </c>
      <c r="G1814" s="2" t="s">
        <v>20</v>
      </c>
      <c r="H1814" s="2" t="s">
        <v>20</v>
      </c>
      <c r="I1814" s="2" t="s">
        <v>23</v>
      </c>
      <c r="J1814" s="2" t="n">
        <v>16</v>
      </c>
      <c r="K1814" s="2" t="s">
        <v>33</v>
      </c>
      <c r="L1814" s="2" t="n">
        <v>32</v>
      </c>
      <c r="M1814" s="2" t="n">
        <v>3</v>
      </c>
      <c r="N1814" s="2" t="n">
        <v>-1</v>
      </c>
      <c r="O1814" s="2" t="n">
        <v>0</v>
      </c>
      <c r="P1814" s="2" t="s">
        <v>23</v>
      </c>
      <c r="Q1814" s="2" t="s">
        <v>20</v>
      </c>
    </row>
    <row r="1815" customFormat="false" ht="15" hidden="false" customHeight="false" outlineLevel="0" collapsed="false">
      <c r="A1815" s="2" t="n">
        <v>46</v>
      </c>
      <c r="B1815" s="2" t="s">
        <v>29</v>
      </c>
      <c r="C1815" s="2" t="s">
        <v>18</v>
      </c>
      <c r="D1815" s="2" t="s">
        <v>31</v>
      </c>
      <c r="E1815" s="2" t="s">
        <v>20</v>
      </c>
      <c r="F1815" s="2" t="n">
        <v>1375</v>
      </c>
      <c r="G1815" s="2" t="s">
        <v>26</v>
      </c>
      <c r="H1815" s="2" t="s">
        <v>20</v>
      </c>
      <c r="I1815" s="2" t="s">
        <v>21</v>
      </c>
      <c r="J1815" s="2" t="n">
        <v>17</v>
      </c>
      <c r="K1815" s="2" t="s">
        <v>46</v>
      </c>
      <c r="L1815" s="2" t="n">
        <v>308</v>
      </c>
      <c r="M1815" s="2" t="n">
        <v>3</v>
      </c>
      <c r="N1815" s="2" t="n">
        <v>-1</v>
      </c>
      <c r="O1815" s="2" t="n">
        <v>0</v>
      </c>
      <c r="P1815" s="2" t="s">
        <v>23</v>
      </c>
      <c r="Q1815" s="2" t="s">
        <v>20</v>
      </c>
    </row>
    <row r="1816" customFormat="false" ht="15" hidden="false" customHeight="false" outlineLevel="0" collapsed="false">
      <c r="A1816" s="2" t="n">
        <v>34</v>
      </c>
      <c r="B1816" s="2" t="s">
        <v>29</v>
      </c>
      <c r="C1816" s="2" t="s">
        <v>18</v>
      </c>
      <c r="D1816" s="2" t="s">
        <v>31</v>
      </c>
      <c r="E1816" s="2" t="s">
        <v>20</v>
      </c>
      <c r="F1816" s="2" t="n">
        <v>180</v>
      </c>
      <c r="G1816" s="2" t="s">
        <v>20</v>
      </c>
      <c r="H1816" s="2" t="s">
        <v>20</v>
      </c>
      <c r="I1816" s="2" t="s">
        <v>21</v>
      </c>
      <c r="J1816" s="2" t="n">
        <v>16</v>
      </c>
      <c r="K1816" s="2" t="s">
        <v>33</v>
      </c>
      <c r="L1816" s="2" t="n">
        <v>298</v>
      </c>
      <c r="M1816" s="2" t="n">
        <v>3</v>
      </c>
      <c r="N1816" s="2" t="n">
        <v>-1</v>
      </c>
      <c r="O1816" s="2" t="n">
        <v>0</v>
      </c>
      <c r="P1816" s="2" t="s">
        <v>23</v>
      </c>
      <c r="Q1816" s="2" t="s">
        <v>20</v>
      </c>
    </row>
    <row r="1817" customFormat="false" ht="15" hidden="false" customHeight="false" outlineLevel="0" collapsed="false">
      <c r="A1817" s="2" t="n">
        <v>58</v>
      </c>
      <c r="B1817" s="2" t="s">
        <v>38</v>
      </c>
      <c r="C1817" s="2" t="s">
        <v>18</v>
      </c>
      <c r="D1817" s="2" t="s">
        <v>25</v>
      </c>
      <c r="E1817" s="2" t="s">
        <v>20</v>
      </c>
      <c r="F1817" s="2" t="n">
        <v>175</v>
      </c>
      <c r="G1817" s="2" t="s">
        <v>20</v>
      </c>
      <c r="H1817" s="2" t="s">
        <v>20</v>
      </c>
      <c r="I1817" s="2" t="s">
        <v>21</v>
      </c>
      <c r="J1817" s="2" t="n">
        <v>12</v>
      </c>
      <c r="K1817" s="2" t="s">
        <v>41</v>
      </c>
      <c r="L1817" s="2" t="n">
        <v>92</v>
      </c>
      <c r="M1817" s="2" t="n">
        <v>4</v>
      </c>
      <c r="N1817" s="2" t="n">
        <v>-1</v>
      </c>
      <c r="O1817" s="2" t="n">
        <v>0</v>
      </c>
      <c r="P1817" s="2" t="s">
        <v>23</v>
      </c>
      <c r="Q1817" s="2" t="s">
        <v>20</v>
      </c>
    </row>
    <row r="1818" customFormat="false" ht="15" hidden="false" customHeight="false" outlineLevel="0" collapsed="false">
      <c r="A1818" s="2" t="n">
        <v>52</v>
      </c>
      <c r="B1818" s="2" t="s">
        <v>24</v>
      </c>
      <c r="C1818" s="2" t="s">
        <v>18</v>
      </c>
      <c r="D1818" s="2" t="s">
        <v>25</v>
      </c>
      <c r="E1818" s="2" t="s">
        <v>20</v>
      </c>
      <c r="F1818" s="2" t="n">
        <v>381</v>
      </c>
      <c r="G1818" s="2" t="s">
        <v>20</v>
      </c>
      <c r="H1818" s="2" t="s">
        <v>26</v>
      </c>
      <c r="I1818" s="2" t="s">
        <v>21</v>
      </c>
      <c r="J1818" s="2" t="n">
        <v>25</v>
      </c>
      <c r="K1818" s="2" t="s">
        <v>41</v>
      </c>
      <c r="L1818" s="2" t="n">
        <v>288</v>
      </c>
      <c r="M1818" s="2" t="n">
        <v>12</v>
      </c>
      <c r="N1818" s="2" t="n">
        <v>-1</v>
      </c>
      <c r="O1818" s="2" t="n">
        <v>0</v>
      </c>
      <c r="P1818" s="2" t="s">
        <v>23</v>
      </c>
      <c r="Q1818" s="2" t="s">
        <v>20</v>
      </c>
    </row>
    <row r="1819" customFormat="false" ht="15" hidden="false" customHeight="false" outlineLevel="0" collapsed="false">
      <c r="A1819" s="2" t="n">
        <v>27</v>
      </c>
      <c r="B1819" s="2" t="s">
        <v>34</v>
      </c>
      <c r="C1819" s="2" t="s">
        <v>18</v>
      </c>
      <c r="D1819" s="2" t="s">
        <v>25</v>
      </c>
      <c r="E1819" s="2" t="s">
        <v>20</v>
      </c>
      <c r="F1819" s="2" t="n">
        <v>2171</v>
      </c>
      <c r="G1819" s="2" t="s">
        <v>26</v>
      </c>
      <c r="H1819" s="2" t="s">
        <v>20</v>
      </c>
      <c r="I1819" s="2" t="s">
        <v>21</v>
      </c>
      <c r="J1819" s="2" t="n">
        <v>16</v>
      </c>
      <c r="K1819" s="2" t="s">
        <v>32</v>
      </c>
      <c r="L1819" s="2" t="n">
        <v>130</v>
      </c>
      <c r="M1819" s="2" t="n">
        <v>1</v>
      </c>
      <c r="N1819" s="2" t="n">
        <v>323</v>
      </c>
      <c r="O1819" s="2" t="n">
        <v>1</v>
      </c>
      <c r="P1819" s="2" t="s">
        <v>37</v>
      </c>
      <c r="Q1819" s="2" t="s">
        <v>20</v>
      </c>
    </row>
    <row r="1820" customFormat="false" ht="15" hidden="false" customHeight="false" outlineLevel="0" collapsed="false">
      <c r="A1820" s="2" t="n">
        <v>48</v>
      </c>
      <c r="B1820" s="2" t="s">
        <v>38</v>
      </c>
      <c r="C1820" s="2" t="s">
        <v>18</v>
      </c>
      <c r="D1820" s="2" t="s">
        <v>25</v>
      </c>
      <c r="E1820" s="2" t="s">
        <v>20</v>
      </c>
      <c r="F1820" s="2" t="n">
        <v>340</v>
      </c>
      <c r="G1820" s="2" t="s">
        <v>26</v>
      </c>
      <c r="H1820" s="2" t="s">
        <v>20</v>
      </c>
      <c r="I1820" s="2" t="s">
        <v>21</v>
      </c>
      <c r="J1820" s="2" t="n">
        <v>28</v>
      </c>
      <c r="K1820" s="2" t="s">
        <v>43</v>
      </c>
      <c r="L1820" s="2" t="n">
        <v>255</v>
      </c>
      <c r="M1820" s="2" t="n">
        <v>2</v>
      </c>
      <c r="N1820" s="2" t="n">
        <v>-1</v>
      </c>
      <c r="O1820" s="2" t="n">
        <v>0</v>
      </c>
      <c r="P1820" s="2" t="s">
        <v>23</v>
      </c>
      <c r="Q1820" s="2" t="s">
        <v>20</v>
      </c>
    </row>
    <row r="1821" customFormat="false" ht="15" hidden="false" customHeight="false" outlineLevel="0" collapsed="false">
      <c r="A1821" s="2" t="n">
        <v>33</v>
      </c>
      <c r="B1821" s="2" t="s">
        <v>38</v>
      </c>
      <c r="C1821" s="2" t="s">
        <v>45</v>
      </c>
      <c r="D1821" s="2" t="s">
        <v>25</v>
      </c>
      <c r="E1821" s="2" t="s">
        <v>26</v>
      </c>
      <c r="F1821" s="2" t="n">
        <v>10</v>
      </c>
      <c r="G1821" s="2" t="s">
        <v>26</v>
      </c>
      <c r="H1821" s="2" t="s">
        <v>26</v>
      </c>
      <c r="I1821" s="2" t="s">
        <v>21</v>
      </c>
      <c r="J1821" s="2" t="n">
        <v>18</v>
      </c>
      <c r="K1821" s="2" t="s">
        <v>46</v>
      </c>
      <c r="L1821" s="2" t="n">
        <v>167</v>
      </c>
      <c r="M1821" s="2" t="n">
        <v>5</v>
      </c>
      <c r="N1821" s="2" t="n">
        <v>-1</v>
      </c>
      <c r="O1821" s="2" t="n">
        <v>0</v>
      </c>
      <c r="P1821" s="2" t="s">
        <v>23</v>
      </c>
      <c r="Q1821" s="2" t="s">
        <v>20</v>
      </c>
    </row>
    <row r="1822" customFormat="false" ht="15" hidden="false" customHeight="false" outlineLevel="0" collapsed="false">
      <c r="A1822" s="2" t="n">
        <v>46</v>
      </c>
      <c r="B1822" s="2" t="s">
        <v>40</v>
      </c>
      <c r="C1822" s="2" t="s">
        <v>18</v>
      </c>
      <c r="D1822" s="2" t="s">
        <v>25</v>
      </c>
      <c r="E1822" s="2" t="s">
        <v>20</v>
      </c>
      <c r="F1822" s="2" t="n">
        <v>4958</v>
      </c>
      <c r="G1822" s="2" t="s">
        <v>26</v>
      </c>
      <c r="H1822" s="2" t="s">
        <v>20</v>
      </c>
      <c r="I1822" s="2" t="s">
        <v>21</v>
      </c>
      <c r="J1822" s="2" t="n">
        <v>17</v>
      </c>
      <c r="K1822" s="2" t="s">
        <v>46</v>
      </c>
      <c r="L1822" s="2" t="n">
        <v>64</v>
      </c>
      <c r="M1822" s="2" t="n">
        <v>3</v>
      </c>
      <c r="N1822" s="2" t="n">
        <v>150</v>
      </c>
      <c r="O1822" s="2" t="n">
        <v>5</v>
      </c>
      <c r="P1822" s="2" t="s">
        <v>37</v>
      </c>
      <c r="Q1822" s="2" t="s">
        <v>20</v>
      </c>
    </row>
    <row r="1823" customFormat="false" ht="15" hidden="false" customHeight="false" outlineLevel="0" collapsed="false">
      <c r="A1823" s="2" t="n">
        <v>51</v>
      </c>
      <c r="B1823" s="2" t="s">
        <v>47</v>
      </c>
      <c r="C1823" s="2" t="s">
        <v>18</v>
      </c>
      <c r="D1823" s="2" t="s">
        <v>23</v>
      </c>
      <c r="E1823" s="2" t="s">
        <v>20</v>
      </c>
      <c r="F1823" s="2" t="n">
        <v>21244</v>
      </c>
      <c r="G1823" s="2" t="s">
        <v>20</v>
      </c>
      <c r="H1823" s="2" t="s">
        <v>26</v>
      </c>
      <c r="I1823" s="2" t="s">
        <v>21</v>
      </c>
      <c r="J1823" s="2" t="n">
        <v>4</v>
      </c>
      <c r="K1823" s="2" t="s">
        <v>41</v>
      </c>
      <c r="L1823" s="2" t="n">
        <v>166</v>
      </c>
      <c r="M1823" s="2" t="n">
        <v>2</v>
      </c>
      <c r="N1823" s="2" t="n">
        <v>-1</v>
      </c>
      <c r="O1823" s="2" t="n">
        <v>0</v>
      </c>
      <c r="P1823" s="2" t="s">
        <v>23</v>
      </c>
      <c r="Q1823" s="2" t="s">
        <v>20</v>
      </c>
    </row>
    <row r="1824" customFormat="false" ht="15" hidden="false" customHeight="false" outlineLevel="0" collapsed="false">
      <c r="A1824" s="2" t="n">
        <v>31</v>
      </c>
      <c r="B1824" s="2" t="s">
        <v>29</v>
      </c>
      <c r="C1824" s="2" t="s">
        <v>18</v>
      </c>
      <c r="D1824" s="2" t="s">
        <v>31</v>
      </c>
      <c r="E1824" s="2" t="s">
        <v>20</v>
      </c>
      <c r="F1824" s="2" t="n">
        <v>156</v>
      </c>
      <c r="G1824" s="2" t="s">
        <v>20</v>
      </c>
      <c r="H1824" s="2" t="s">
        <v>20</v>
      </c>
      <c r="I1824" s="2" t="s">
        <v>21</v>
      </c>
      <c r="J1824" s="2" t="n">
        <v>13</v>
      </c>
      <c r="K1824" s="2" t="s">
        <v>41</v>
      </c>
      <c r="L1824" s="2" t="n">
        <v>657</v>
      </c>
      <c r="M1824" s="2" t="n">
        <v>7</v>
      </c>
      <c r="N1824" s="2" t="n">
        <v>-1</v>
      </c>
      <c r="O1824" s="2" t="n">
        <v>0</v>
      </c>
      <c r="P1824" s="2" t="s">
        <v>23</v>
      </c>
      <c r="Q1824" s="2" t="s">
        <v>26</v>
      </c>
    </row>
    <row r="1825" customFormat="false" ht="15" hidden="false" customHeight="false" outlineLevel="0" collapsed="false">
      <c r="A1825" s="2" t="n">
        <v>35</v>
      </c>
      <c r="B1825" s="2" t="s">
        <v>38</v>
      </c>
      <c r="C1825" s="2" t="s">
        <v>45</v>
      </c>
      <c r="D1825" s="2" t="s">
        <v>25</v>
      </c>
      <c r="E1825" s="2" t="s">
        <v>20</v>
      </c>
      <c r="F1825" s="2" t="n">
        <v>473</v>
      </c>
      <c r="G1825" s="2" t="s">
        <v>26</v>
      </c>
      <c r="H1825" s="2" t="s">
        <v>26</v>
      </c>
      <c r="I1825" s="2" t="s">
        <v>23</v>
      </c>
      <c r="J1825" s="2" t="n">
        <v>26</v>
      </c>
      <c r="K1825" s="2" t="s">
        <v>27</v>
      </c>
      <c r="L1825" s="2" t="n">
        <v>434</v>
      </c>
      <c r="M1825" s="2" t="n">
        <v>4</v>
      </c>
      <c r="N1825" s="2" t="n">
        <v>-1</v>
      </c>
      <c r="O1825" s="2" t="n">
        <v>0</v>
      </c>
      <c r="P1825" s="2" t="s">
        <v>23</v>
      </c>
      <c r="Q1825" s="2" t="s">
        <v>20</v>
      </c>
    </row>
    <row r="1826" customFormat="false" ht="15" hidden="false" customHeight="false" outlineLevel="0" collapsed="false">
      <c r="A1826" s="2" t="n">
        <v>37</v>
      </c>
      <c r="B1826" s="2" t="s">
        <v>40</v>
      </c>
      <c r="C1826" s="2" t="s">
        <v>30</v>
      </c>
      <c r="D1826" s="2" t="s">
        <v>25</v>
      </c>
      <c r="E1826" s="2" t="s">
        <v>20</v>
      </c>
      <c r="F1826" s="2" t="n">
        <v>781</v>
      </c>
      <c r="G1826" s="2" t="s">
        <v>20</v>
      </c>
      <c r="H1826" s="2" t="s">
        <v>20</v>
      </c>
      <c r="I1826" s="2" t="s">
        <v>21</v>
      </c>
      <c r="J1826" s="2" t="n">
        <v>20</v>
      </c>
      <c r="K1826" s="2" t="s">
        <v>41</v>
      </c>
      <c r="L1826" s="2" t="n">
        <v>75</v>
      </c>
      <c r="M1826" s="2" t="n">
        <v>1</v>
      </c>
      <c r="N1826" s="2" t="n">
        <v>-1</v>
      </c>
      <c r="O1826" s="2" t="n">
        <v>0</v>
      </c>
      <c r="P1826" s="2" t="s">
        <v>23</v>
      </c>
      <c r="Q1826" s="2" t="s">
        <v>20</v>
      </c>
    </row>
    <row r="1827" customFormat="false" ht="15" hidden="false" customHeight="false" outlineLevel="0" collapsed="false">
      <c r="A1827" s="2" t="n">
        <v>60</v>
      </c>
      <c r="B1827" s="2" t="s">
        <v>39</v>
      </c>
      <c r="C1827" s="2" t="s">
        <v>18</v>
      </c>
      <c r="D1827" s="2" t="s">
        <v>19</v>
      </c>
      <c r="E1827" s="2" t="s">
        <v>20</v>
      </c>
      <c r="F1827" s="2" t="n">
        <v>0</v>
      </c>
      <c r="G1827" s="2" t="s">
        <v>20</v>
      </c>
      <c r="H1827" s="2" t="s">
        <v>20</v>
      </c>
      <c r="I1827" s="2" t="s">
        <v>49</v>
      </c>
      <c r="J1827" s="2" t="n">
        <v>23</v>
      </c>
      <c r="K1827" s="2" t="s">
        <v>44</v>
      </c>
      <c r="L1827" s="2" t="n">
        <v>40</v>
      </c>
      <c r="M1827" s="2" t="n">
        <v>1</v>
      </c>
      <c r="N1827" s="2" t="n">
        <v>-1</v>
      </c>
      <c r="O1827" s="2" t="n">
        <v>0</v>
      </c>
      <c r="P1827" s="2" t="s">
        <v>23</v>
      </c>
      <c r="Q1827" s="2" t="s">
        <v>20</v>
      </c>
    </row>
    <row r="1828" customFormat="false" ht="15" hidden="false" customHeight="false" outlineLevel="0" collapsed="false">
      <c r="A1828" s="2" t="n">
        <v>40</v>
      </c>
      <c r="B1828" s="2" t="s">
        <v>38</v>
      </c>
      <c r="C1828" s="2" t="s">
        <v>18</v>
      </c>
      <c r="D1828" s="2" t="s">
        <v>25</v>
      </c>
      <c r="E1828" s="2" t="s">
        <v>20</v>
      </c>
      <c r="F1828" s="2" t="n">
        <v>1819</v>
      </c>
      <c r="G1828" s="2" t="s">
        <v>20</v>
      </c>
      <c r="H1828" s="2" t="s">
        <v>20</v>
      </c>
      <c r="I1828" s="2" t="s">
        <v>21</v>
      </c>
      <c r="J1828" s="2" t="n">
        <v>5</v>
      </c>
      <c r="K1828" s="2" t="s">
        <v>33</v>
      </c>
      <c r="L1828" s="2" t="n">
        <v>398</v>
      </c>
      <c r="M1828" s="2" t="n">
        <v>2</v>
      </c>
      <c r="N1828" s="2" t="n">
        <v>-1</v>
      </c>
      <c r="O1828" s="2" t="n">
        <v>0</v>
      </c>
      <c r="P1828" s="2" t="s">
        <v>23</v>
      </c>
      <c r="Q1828" s="2" t="s">
        <v>20</v>
      </c>
    </row>
    <row r="1829" customFormat="false" ht="15" hidden="false" customHeight="false" outlineLevel="0" collapsed="false">
      <c r="A1829" s="2" t="n">
        <v>50</v>
      </c>
      <c r="B1829" s="2" t="s">
        <v>29</v>
      </c>
      <c r="C1829" s="2" t="s">
        <v>18</v>
      </c>
      <c r="D1829" s="2" t="s">
        <v>31</v>
      </c>
      <c r="E1829" s="2" t="s">
        <v>20</v>
      </c>
      <c r="F1829" s="2" t="n">
        <v>4374</v>
      </c>
      <c r="G1829" s="2" t="s">
        <v>26</v>
      </c>
      <c r="H1829" s="2" t="s">
        <v>20</v>
      </c>
      <c r="I1829" s="2" t="s">
        <v>21</v>
      </c>
      <c r="J1829" s="2" t="n">
        <v>21</v>
      </c>
      <c r="K1829" s="2" t="s">
        <v>46</v>
      </c>
      <c r="L1829" s="2" t="n">
        <v>163</v>
      </c>
      <c r="M1829" s="2" t="n">
        <v>2</v>
      </c>
      <c r="N1829" s="2" t="n">
        <v>113</v>
      </c>
      <c r="O1829" s="2" t="n">
        <v>3</v>
      </c>
      <c r="P1829" s="2" t="s">
        <v>28</v>
      </c>
      <c r="Q1829" s="2" t="s">
        <v>20</v>
      </c>
    </row>
    <row r="1830" customFormat="false" ht="15" hidden="false" customHeight="false" outlineLevel="0" collapsed="false">
      <c r="A1830" s="2" t="n">
        <v>34</v>
      </c>
      <c r="B1830" s="2" t="s">
        <v>39</v>
      </c>
      <c r="C1830" s="2" t="s">
        <v>18</v>
      </c>
      <c r="D1830" s="2" t="s">
        <v>25</v>
      </c>
      <c r="E1830" s="2" t="s">
        <v>20</v>
      </c>
      <c r="F1830" s="2" t="n">
        <v>456</v>
      </c>
      <c r="G1830" s="2" t="s">
        <v>26</v>
      </c>
      <c r="H1830" s="2" t="s">
        <v>26</v>
      </c>
      <c r="I1830" s="2" t="s">
        <v>21</v>
      </c>
      <c r="J1830" s="2" t="n">
        <v>28</v>
      </c>
      <c r="K1830" s="2" t="s">
        <v>41</v>
      </c>
      <c r="L1830" s="2" t="n">
        <v>137</v>
      </c>
      <c r="M1830" s="2" t="n">
        <v>8</v>
      </c>
      <c r="N1830" s="2" t="n">
        <v>-1</v>
      </c>
      <c r="O1830" s="2" t="n">
        <v>0</v>
      </c>
      <c r="P1830" s="2" t="s">
        <v>23</v>
      </c>
      <c r="Q1830" s="2" t="s">
        <v>20</v>
      </c>
    </row>
    <row r="1831" customFormat="false" ht="15" hidden="false" customHeight="false" outlineLevel="0" collapsed="false">
      <c r="A1831" s="2" t="n">
        <v>32</v>
      </c>
      <c r="B1831" s="2" t="s">
        <v>38</v>
      </c>
      <c r="C1831" s="2" t="s">
        <v>18</v>
      </c>
      <c r="D1831" s="2" t="s">
        <v>25</v>
      </c>
      <c r="E1831" s="2" t="s">
        <v>20</v>
      </c>
      <c r="F1831" s="2" t="n">
        <v>253</v>
      </c>
      <c r="G1831" s="2" t="s">
        <v>26</v>
      </c>
      <c r="H1831" s="2" t="s">
        <v>20</v>
      </c>
      <c r="I1831" s="2" t="s">
        <v>23</v>
      </c>
      <c r="J1831" s="2" t="n">
        <v>4</v>
      </c>
      <c r="K1831" s="2" t="s">
        <v>33</v>
      </c>
      <c r="L1831" s="2" t="n">
        <v>257</v>
      </c>
      <c r="M1831" s="2" t="n">
        <v>3</v>
      </c>
      <c r="N1831" s="2" t="n">
        <v>-1</v>
      </c>
      <c r="O1831" s="2" t="n">
        <v>0</v>
      </c>
      <c r="P1831" s="2" t="s">
        <v>23</v>
      </c>
      <c r="Q1831" s="2" t="s">
        <v>20</v>
      </c>
    </row>
    <row r="1832" customFormat="false" ht="15" hidden="false" customHeight="false" outlineLevel="0" collapsed="false">
      <c r="A1832" s="2" t="n">
        <v>36</v>
      </c>
      <c r="B1832" s="2" t="s">
        <v>24</v>
      </c>
      <c r="C1832" s="2" t="s">
        <v>30</v>
      </c>
      <c r="D1832" s="2" t="s">
        <v>25</v>
      </c>
      <c r="E1832" s="2" t="s">
        <v>20</v>
      </c>
      <c r="F1832" s="2" t="n">
        <v>774</v>
      </c>
      <c r="G1832" s="2" t="s">
        <v>26</v>
      </c>
      <c r="H1832" s="2" t="s">
        <v>20</v>
      </c>
      <c r="I1832" s="2" t="s">
        <v>21</v>
      </c>
      <c r="J1832" s="2" t="n">
        <v>3</v>
      </c>
      <c r="K1832" s="2" t="s">
        <v>35</v>
      </c>
      <c r="L1832" s="2" t="n">
        <v>231</v>
      </c>
      <c r="M1832" s="2" t="n">
        <v>2</v>
      </c>
      <c r="N1832" s="2" t="n">
        <v>259</v>
      </c>
      <c r="O1832" s="2" t="n">
        <v>1</v>
      </c>
      <c r="P1832" s="2" t="s">
        <v>28</v>
      </c>
      <c r="Q1832" s="2" t="s">
        <v>20</v>
      </c>
    </row>
    <row r="1833" customFormat="false" ht="15" hidden="false" customHeight="false" outlineLevel="0" collapsed="false">
      <c r="A1833" s="2" t="n">
        <v>32</v>
      </c>
      <c r="B1833" s="2" t="s">
        <v>40</v>
      </c>
      <c r="C1833" s="2" t="s">
        <v>30</v>
      </c>
      <c r="D1833" s="2" t="s">
        <v>31</v>
      </c>
      <c r="E1833" s="2" t="s">
        <v>20</v>
      </c>
      <c r="F1833" s="2" t="n">
        <v>-59</v>
      </c>
      <c r="G1833" s="2" t="s">
        <v>20</v>
      </c>
      <c r="H1833" s="2" t="s">
        <v>26</v>
      </c>
      <c r="I1833" s="2" t="s">
        <v>23</v>
      </c>
      <c r="J1833" s="2" t="n">
        <v>4</v>
      </c>
      <c r="K1833" s="2" t="s">
        <v>44</v>
      </c>
      <c r="L1833" s="2" t="n">
        <v>192</v>
      </c>
      <c r="M1833" s="2" t="n">
        <v>1</v>
      </c>
      <c r="N1833" s="2" t="n">
        <v>-1</v>
      </c>
      <c r="O1833" s="2" t="n">
        <v>0</v>
      </c>
      <c r="P1833" s="2" t="s">
        <v>23</v>
      </c>
      <c r="Q1833" s="2" t="s">
        <v>20</v>
      </c>
    </row>
    <row r="1834" customFormat="false" ht="15" hidden="false" customHeight="false" outlineLevel="0" collapsed="false">
      <c r="A1834" s="2" t="n">
        <v>40</v>
      </c>
      <c r="B1834" s="2" t="s">
        <v>24</v>
      </c>
      <c r="C1834" s="2" t="s">
        <v>45</v>
      </c>
      <c r="D1834" s="2" t="s">
        <v>25</v>
      </c>
      <c r="E1834" s="2" t="s">
        <v>20</v>
      </c>
      <c r="F1834" s="2" t="n">
        <v>-81</v>
      </c>
      <c r="G1834" s="2" t="s">
        <v>20</v>
      </c>
      <c r="H1834" s="2" t="s">
        <v>26</v>
      </c>
      <c r="I1834" s="2" t="s">
        <v>21</v>
      </c>
      <c r="J1834" s="2" t="n">
        <v>23</v>
      </c>
      <c r="K1834" s="2" t="s">
        <v>44</v>
      </c>
      <c r="L1834" s="2" t="n">
        <v>186</v>
      </c>
      <c r="M1834" s="2" t="n">
        <v>1</v>
      </c>
      <c r="N1834" s="2" t="n">
        <v>-1</v>
      </c>
      <c r="O1834" s="2" t="n">
        <v>0</v>
      </c>
      <c r="P1834" s="2" t="s">
        <v>23</v>
      </c>
      <c r="Q1834" s="2" t="s">
        <v>20</v>
      </c>
    </row>
    <row r="1835" customFormat="false" ht="15" hidden="false" customHeight="false" outlineLevel="0" collapsed="false">
      <c r="A1835" s="2" t="n">
        <v>37</v>
      </c>
      <c r="B1835" s="2" t="s">
        <v>34</v>
      </c>
      <c r="C1835" s="2" t="s">
        <v>18</v>
      </c>
      <c r="D1835" s="2" t="s">
        <v>19</v>
      </c>
      <c r="E1835" s="2" t="s">
        <v>20</v>
      </c>
      <c r="F1835" s="2" t="n">
        <v>0</v>
      </c>
      <c r="G1835" s="2" t="s">
        <v>26</v>
      </c>
      <c r="H1835" s="2" t="s">
        <v>20</v>
      </c>
      <c r="I1835" s="2" t="s">
        <v>21</v>
      </c>
      <c r="J1835" s="2" t="n">
        <v>6</v>
      </c>
      <c r="K1835" s="2" t="s">
        <v>27</v>
      </c>
      <c r="L1835" s="2" t="n">
        <v>226</v>
      </c>
      <c r="M1835" s="2" t="n">
        <v>1</v>
      </c>
      <c r="N1835" s="2" t="n">
        <v>363</v>
      </c>
      <c r="O1835" s="2" t="n">
        <v>3</v>
      </c>
      <c r="P1835" s="2" t="s">
        <v>37</v>
      </c>
      <c r="Q1835" s="2" t="s">
        <v>20</v>
      </c>
    </row>
    <row r="1836" customFormat="false" ht="15" hidden="false" customHeight="false" outlineLevel="0" collapsed="false">
      <c r="A1836" s="2" t="n">
        <v>57</v>
      </c>
      <c r="B1836" s="2" t="s">
        <v>29</v>
      </c>
      <c r="C1836" s="2" t="s">
        <v>18</v>
      </c>
      <c r="D1836" s="2" t="s">
        <v>31</v>
      </c>
      <c r="E1836" s="2" t="s">
        <v>20</v>
      </c>
      <c r="F1836" s="2" t="n">
        <v>0</v>
      </c>
      <c r="G1836" s="2" t="s">
        <v>26</v>
      </c>
      <c r="H1836" s="2" t="s">
        <v>20</v>
      </c>
      <c r="I1836" s="2" t="s">
        <v>21</v>
      </c>
      <c r="J1836" s="2" t="n">
        <v>21</v>
      </c>
      <c r="K1836" s="2" t="s">
        <v>46</v>
      </c>
      <c r="L1836" s="2" t="n">
        <v>67</v>
      </c>
      <c r="M1836" s="2" t="n">
        <v>1</v>
      </c>
      <c r="N1836" s="2" t="n">
        <v>-1</v>
      </c>
      <c r="O1836" s="2" t="n">
        <v>0</v>
      </c>
      <c r="P1836" s="2" t="s">
        <v>23</v>
      </c>
      <c r="Q1836" s="2" t="s">
        <v>20</v>
      </c>
    </row>
    <row r="1837" customFormat="false" ht="15" hidden="false" customHeight="false" outlineLevel="0" collapsed="false">
      <c r="A1837" s="2" t="n">
        <v>46</v>
      </c>
      <c r="B1837" s="2" t="s">
        <v>29</v>
      </c>
      <c r="C1837" s="2" t="s">
        <v>18</v>
      </c>
      <c r="D1837" s="2" t="s">
        <v>31</v>
      </c>
      <c r="E1837" s="2" t="s">
        <v>20</v>
      </c>
      <c r="F1837" s="2" t="n">
        <v>-3</v>
      </c>
      <c r="G1837" s="2" t="s">
        <v>20</v>
      </c>
      <c r="H1837" s="2" t="s">
        <v>20</v>
      </c>
      <c r="I1837" s="2" t="s">
        <v>21</v>
      </c>
      <c r="J1837" s="2" t="n">
        <v>28</v>
      </c>
      <c r="K1837" s="2" t="s">
        <v>41</v>
      </c>
      <c r="L1837" s="2" t="n">
        <v>205</v>
      </c>
      <c r="M1837" s="2" t="n">
        <v>2</v>
      </c>
      <c r="N1837" s="2" t="n">
        <v>-1</v>
      </c>
      <c r="O1837" s="2" t="n">
        <v>0</v>
      </c>
      <c r="P1837" s="2" t="s">
        <v>23</v>
      </c>
      <c r="Q1837" s="2" t="s">
        <v>20</v>
      </c>
    </row>
    <row r="1838" customFormat="false" ht="15" hidden="false" customHeight="false" outlineLevel="0" collapsed="false">
      <c r="A1838" s="2" t="n">
        <v>31</v>
      </c>
      <c r="B1838" s="2" t="s">
        <v>34</v>
      </c>
      <c r="C1838" s="2" t="s">
        <v>30</v>
      </c>
      <c r="D1838" s="2" t="s">
        <v>19</v>
      </c>
      <c r="E1838" s="2" t="s">
        <v>20</v>
      </c>
      <c r="F1838" s="2" t="n">
        <v>2488</v>
      </c>
      <c r="G1838" s="2" t="s">
        <v>26</v>
      </c>
      <c r="H1838" s="2" t="s">
        <v>20</v>
      </c>
      <c r="I1838" s="2" t="s">
        <v>21</v>
      </c>
      <c r="J1838" s="2" t="n">
        <v>20</v>
      </c>
      <c r="K1838" s="2" t="s">
        <v>32</v>
      </c>
      <c r="L1838" s="2" t="n">
        <v>14</v>
      </c>
      <c r="M1838" s="2" t="n">
        <v>1</v>
      </c>
      <c r="N1838" s="2" t="n">
        <v>-1</v>
      </c>
      <c r="O1838" s="2" t="n">
        <v>0</v>
      </c>
      <c r="P1838" s="2" t="s">
        <v>23</v>
      </c>
      <c r="Q1838" s="2" t="s">
        <v>20</v>
      </c>
    </row>
    <row r="1839" customFormat="false" ht="15" hidden="false" customHeight="false" outlineLevel="0" collapsed="false">
      <c r="A1839" s="2" t="n">
        <v>39</v>
      </c>
      <c r="B1839" s="2" t="s">
        <v>38</v>
      </c>
      <c r="C1839" s="2" t="s">
        <v>45</v>
      </c>
      <c r="D1839" s="2" t="s">
        <v>31</v>
      </c>
      <c r="E1839" s="2" t="s">
        <v>26</v>
      </c>
      <c r="F1839" s="2" t="n">
        <v>3</v>
      </c>
      <c r="G1839" s="2" t="s">
        <v>20</v>
      </c>
      <c r="H1839" s="2" t="s">
        <v>20</v>
      </c>
      <c r="I1839" s="2" t="s">
        <v>21</v>
      </c>
      <c r="J1839" s="2" t="n">
        <v>6</v>
      </c>
      <c r="K1839" s="2" t="s">
        <v>27</v>
      </c>
      <c r="L1839" s="2" t="n">
        <v>488</v>
      </c>
      <c r="M1839" s="2" t="n">
        <v>1</v>
      </c>
      <c r="N1839" s="2" t="n">
        <v>-1</v>
      </c>
      <c r="O1839" s="2" t="n">
        <v>0</v>
      </c>
      <c r="P1839" s="2" t="s">
        <v>23</v>
      </c>
      <c r="Q1839" s="2" t="s">
        <v>26</v>
      </c>
    </row>
    <row r="1840" customFormat="false" ht="15" hidden="false" customHeight="false" outlineLevel="0" collapsed="false">
      <c r="A1840" s="2" t="n">
        <v>35</v>
      </c>
      <c r="B1840" s="2" t="s">
        <v>29</v>
      </c>
      <c r="C1840" s="2" t="s">
        <v>18</v>
      </c>
      <c r="D1840" s="2" t="s">
        <v>25</v>
      </c>
      <c r="E1840" s="2" t="s">
        <v>20</v>
      </c>
      <c r="F1840" s="2" t="n">
        <v>839</v>
      </c>
      <c r="G1840" s="2" t="s">
        <v>26</v>
      </c>
      <c r="H1840" s="2" t="s">
        <v>20</v>
      </c>
      <c r="I1840" s="2" t="s">
        <v>23</v>
      </c>
      <c r="J1840" s="2" t="n">
        <v>23</v>
      </c>
      <c r="K1840" s="2" t="s">
        <v>27</v>
      </c>
      <c r="L1840" s="2" t="n">
        <v>50</v>
      </c>
      <c r="M1840" s="2" t="n">
        <v>3</v>
      </c>
      <c r="N1840" s="2" t="n">
        <v>-1</v>
      </c>
      <c r="O1840" s="2" t="n">
        <v>0</v>
      </c>
      <c r="P1840" s="2" t="s">
        <v>23</v>
      </c>
      <c r="Q1840" s="2" t="s">
        <v>20</v>
      </c>
    </row>
    <row r="1841" customFormat="false" ht="15" hidden="false" customHeight="false" outlineLevel="0" collapsed="false">
      <c r="A1841" s="2" t="n">
        <v>32</v>
      </c>
      <c r="B1841" s="2" t="s">
        <v>34</v>
      </c>
      <c r="C1841" s="2" t="s">
        <v>18</v>
      </c>
      <c r="D1841" s="2" t="s">
        <v>19</v>
      </c>
      <c r="E1841" s="2" t="s">
        <v>20</v>
      </c>
      <c r="F1841" s="2" t="n">
        <v>103</v>
      </c>
      <c r="G1841" s="2" t="s">
        <v>20</v>
      </c>
      <c r="H1841" s="2" t="s">
        <v>20</v>
      </c>
      <c r="I1841" s="2" t="s">
        <v>21</v>
      </c>
      <c r="J1841" s="2" t="n">
        <v>23</v>
      </c>
      <c r="K1841" s="2" t="s">
        <v>44</v>
      </c>
      <c r="L1841" s="2" t="n">
        <v>312</v>
      </c>
      <c r="M1841" s="2" t="n">
        <v>1</v>
      </c>
      <c r="N1841" s="2" t="n">
        <v>-1</v>
      </c>
      <c r="O1841" s="2" t="n">
        <v>0</v>
      </c>
      <c r="P1841" s="2" t="s">
        <v>23</v>
      </c>
      <c r="Q1841" s="2" t="s">
        <v>20</v>
      </c>
    </row>
    <row r="1842" customFormat="false" ht="15" hidden="false" customHeight="false" outlineLevel="0" collapsed="false">
      <c r="A1842" s="2" t="n">
        <v>44</v>
      </c>
      <c r="B1842" s="2" t="s">
        <v>38</v>
      </c>
      <c r="C1842" s="2" t="s">
        <v>45</v>
      </c>
      <c r="D1842" s="2" t="s">
        <v>25</v>
      </c>
      <c r="E1842" s="2" t="s">
        <v>20</v>
      </c>
      <c r="F1842" s="2" t="n">
        <v>316</v>
      </c>
      <c r="G1842" s="2" t="s">
        <v>26</v>
      </c>
      <c r="H1842" s="2" t="s">
        <v>20</v>
      </c>
      <c r="I1842" s="2" t="s">
        <v>21</v>
      </c>
      <c r="J1842" s="2" t="n">
        <v>21</v>
      </c>
      <c r="K1842" s="2" t="s">
        <v>44</v>
      </c>
      <c r="L1842" s="2" t="n">
        <v>163</v>
      </c>
      <c r="M1842" s="2" t="n">
        <v>3</v>
      </c>
      <c r="N1842" s="2" t="n">
        <v>-1</v>
      </c>
      <c r="O1842" s="2" t="n">
        <v>0</v>
      </c>
      <c r="P1842" s="2" t="s">
        <v>23</v>
      </c>
      <c r="Q1842" s="2" t="s">
        <v>20</v>
      </c>
    </row>
    <row r="1843" customFormat="false" ht="15" hidden="false" customHeight="false" outlineLevel="0" collapsed="false">
      <c r="A1843" s="2" t="n">
        <v>41</v>
      </c>
      <c r="B1843" s="2" t="s">
        <v>38</v>
      </c>
      <c r="C1843" s="2" t="s">
        <v>30</v>
      </c>
      <c r="D1843" s="2" t="s">
        <v>25</v>
      </c>
      <c r="E1843" s="2" t="s">
        <v>20</v>
      </c>
      <c r="F1843" s="2" t="n">
        <v>1680</v>
      </c>
      <c r="G1843" s="2" t="s">
        <v>26</v>
      </c>
      <c r="H1843" s="2" t="s">
        <v>20</v>
      </c>
      <c r="I1843" s="2" t="s">
        <v>23</v>
      </c>
      <c r="J1843" s="2" t="n">
        <v>2</v>
      </c>
      <c r="K1843" s="2" t="s">
        <v>33</v>
      </c>
      <c r="L1843" s="2" t="n">
        <v>76</v>
      </c>
      <c r="M1843" s="2" t="n">
        <v>2</v>
      </c>
      <c r="N1843" s="2" t="n">
        <v>-1</v>
      </c>
      <c r="O1843" s="2" t="n">
        <v>0</v>
      </c>
      <c r="P1843" s="2" t="s">
        <v>23</v>
      </c>
      <c r="Q1843" s="2" t="s">
        <v>20</v>
      </c>
    </row>
    <row r="1844" customFormat="false" ht="15" hidden="false" customHeight="false" outlineLevel="0" collapsed="false">
      <c r="A1844" s="2" t="n">
        <v>59</v>
      </c>
      <c r="B1844" s="2" t="s">
        <v>48</v>
      </c>
      <c r="C1844" s="2" t="s">
        <v>45</v>
      </c>
      <c r="D1844" s="2" t="s">
        <v>19</v>
      </c>
      <c r="E1844" s="2" t="s">
        <v>20</v>
      </c>
      <c r="F1844" s="2" t="n">
        <v>7179</v>
      </c>
      <c r="G1844" s="2" t="s">
        <v>20</v>
      </c>
      <c r="H1844" s="2" t="s">
        <v>20</v>
      </c>
      <c r="I1844" s="2" t="s">
        <v>21</v>
      </c>
      <c r="J1844" s="2" t="n">
        <v>5</v>
      </c>
      <c r="K1844" s="2" t="s">
        <v>35</v>
      </c>
      <c r="L1844" s="2" t="n">
        <v>150</v>
      </c>
      <c r="M1844" s="2" t="n">
        <v>1</v>
      </c>
      <c r="N1844" s="2" t="n">
        <v>-1</v>
      </c>
      <c r="O1844" s="2" t="n">
        <v>0</v>
      </c>
      <c r="P1844" s="2" t="s">
        <v>23</v>
      </c>
      <c r="Q1844" s="2" t="s">
        <v>20</v>
      </c>
    </row>
    <row r="1845" customFormat="false" ht="15" hidden="false" customHeight="false" outlineLevel="0" collapsed="false">
      <c r="A1845" s="2" t="n">
        <v>39</v>
      </c>
      <c r="B1845" s="2" t="s">
        <v>24</v>
      </c>
      <c r="C1845" s="2" t="s">
        <v>18</v>
      </c>
      <c r="D1845" s="2" t="s">
        <v>25</v>
      </c>
      <c r="E1845" s="2" t="s">
        <v>20</v>
      </c>
      <c r="F1845" s="2" t="n">
        <v>247</v>
      </c>
      <c r="G1845" s="2" t="s">
        <v>26</v>
      </c>
      <c r="H1845" s="2" t="s">
        <v>20</v>
      </c>
      <c r="I1845" s="2" t="s">
        <v>21</v>
      </c>
      <c r="J1845" s="2" t="n">
        <v>17</v>
      </c>
      <c r="K1845" s="2" t="s">
        <v>32</v>
      </c>
      <c r="L1845" s="2" t="n">
        <v>244</v>
      </c>
      <c r="M1845" s="2" t="n">
        <v>2</v>
      </c>
      <c r="N1845" s="2" t="n">
        <v>-1</v>
      </c>
      <c r="O1845" s="2" t="n">
        <v>0</v>
      </c>
      <c r="P1845" s="2" t="s">
        <v>23</v>
      </c>
      <c r="Q1845" s="2" t="s">
        <v>20</v>
      </c>
    </row>
    <row r="1846" customFormat="false" ht="15" hidden="false" customHeight="false" outlineLevel="0" collapsed="false">
      <c r="A1846" s="2" t="n">
        <v>54</v>
      </c>
      <c r="B1846" s="2" t="s">
        <v>29</v>
      </c>
      <c r="C1846" s="2" t="s">
        <v>18</v>
      </c>
      <c r="D1846" s="2" t="s">
        <v>31</v>
      </c>
      <c r="E1846" s="2" t="s">
        <v>20</v>
      </c>
      <c r="F1846" s="2" t="n">
        <v>8295</v>
      </c>
      <c r="G1846" s="2" t="s">
        <v>20</v>
      </c>
      <c r="H1846" s="2" t="s">
        <v>20</v>
      </c>
      <c r="I1846" s="2" t="s">
        <v>21</v>
      </c>
      <c r="J1846" s="2" t="n">
        <v>5</v>
      </c>
      <c r="K1846" s="2" t="s">
        <v>33</v>
      </c>
      <c r="L1846" s="2" t="n">
        <v>207</v>
      </c>
      <c r="M1846" s="2" t="n">
        <v>1</v>
      </c>
      <c r="N1846" s="2" t="n">
        <v>-1</v>
      </c>
      <c r="O1846" s="2" t="n">
        <v>0</v>
      </c>
      <c r="P1846" s="2" t="s">
        <v>23</v>
      </c>
      <c r="Q1846" s="2" t="s">
        <v>26</v>
      </c>
    </row>
    <row r="1847" customFormat="false" ht="15" hidden="false" customHeight="false" outlineLevel="0" collapsed="false">
      <c r="A1847" s="2" t="n">
        <v>27</v>
      </c>
      <c r="B1847" s="2" t="s">
        <v>24</v>
      </c>
      <c r="C1847" s="2" t="s">
        <v>30</v>
      </c>
      <c r="D1847" s="2" t="s">
        <v>25</v>
      </c>
      <c r="E1847" s="2" t="s">
        <v>20</v>
      </c>
      <c r="F1847" s="2" t="n">
        <v>261</v>
      </c>
      <c r="G1847" s="2" t="s">
        <v>26</v>
      </c>
      <c r="H1847" s="2" t="s">
        <v>26</v>
      </c>
      <c r="I1847" s="2" t="s">
        <v>21</v>
      </c>
      <c r="J1847" s="2" t="n">
        <v>18</v>
      </c>
      <c r="K1847" s="2" t="s">
        <v>27</v>
      </c>
      <c r="L1847" s="2" t="n">
        <v>113</v>
      </c>
      <c r="M1847" s="2" t="n">
        <v>1</v>
      </c>
      <c r="N1847" s="2" t="n">
        <v>-1</v>
      </c>
      <c r="O1847" s="2" t="n">
        <v>0</v>
      </c>
      <c r="P1847" s="2" t="s">
        <v>23</v>
      </c>
      <c r="Q1847" s="2" t="s">
        <v>20</v>
      </c>
    </row>
    <row r="1848" customFormat="false" ht="15" hidden="false" customHeight="false" outlineLevel="0" collapsed="false">
      <c r="A1848" s="2" t="n">
        <v>51</v>
      </c>
      <c r="B1848" s="2" t="s">
        <v>36</v>
      </c>
      <c r="C1848" s="2" t="s">
        <v>18</v>
      </c>
      <c r="D1848" s="2" t="s">
        <v>25</v>
      </c>
      <c r="E1848" s="2" t="s">
        <v>20</v>
      </c>
      <c r="F1848" s="2" t="n">
        <v>95</v>
      </c>
      <c r="G1848" s="2" t="s">
        <v>26</v>
      </c>
      <c r="H1848" s="2" t="s">
        <v>20</v>
      </c>
      <c r="I1848" s="2" t="s">
        <v>21</v>
      </c>
      <c r="J1848" s="2" t="n">
        <v>23</v>
      </c>
      <c r="K1848" s="2" t="s">
        <v>44</v>
      </c>
      <c r="L1848" s="2" t="n">
        <v>1309</v>
      </c>
      <c r="M1848" s="2" t="n">
        <v>4</v>
      </c>
      <c r="N1848" s="2" t="n">
        <v>-1</v>
      </c>
      <c r="O1848" s="2" t="n">
        <v>0</v>
      </c>
      <c r="P1848" s="2" t="s">
        <v>23</v>
      </c>
      <c r="Q1848" s="2" t="s">
        <v>26</v>
      </c>
    </row>
    <row r="1849" customFormat="false" ht="15" hidden="false" customHeight="false" outlineLevel="0" collapsed="false">
      <c r="A1849" s="2" t="n">
        <v>33</v>
      </c>
      <c r="B1849" s="2" t="s">
        <v>38</v>
      </c>
      <c r="C1849" s="2" t="s">
        <v>30</v>
      </c>
      <c r="D1849" s="2" t="s">
        <v>25</v>
      </c>
      <c r="E1849" s="2" t="s">
        <v>20</v>
      </c>
      <c r="F1849" s="2" t="n">
        <v>291</v>
      </c>
      <c r="G1849" s="2" t="s">
        <v>20</v>
      </c>
      <c r="H1849" s="2" t="s">
        <v>20</v>
      </c>
      <c r="I1849" s="2" t="s">
        <v>21</v>
      </c>
      <c r="J1849" s="2" t="n">
        <v>25</v>
      </c>
      <c r="K1849" s="2" t="s">
        <v>41</v>
      </c>
      <c r="L1849" s="2" t="n">
        <v>72</v>
      </c>
      <c r="M1849" s="2" t="n">
        <v>6</v>
      </c>
      <c r="N1849" s="2" t="n">
        <v>-1</v>
      </c>
      <c r="O1849" s="2" t="n">
        <v>0</v>
      </c>
      <c r="P1849" s="2" t="s">
        <v>23</v>
      </c>
      <c r="Q1849" s="2" t="s">
        <v>20</v>
      </c>
    </row>
    <row r="1850" customFormat="false" ht="15" hidden="false" customHeight="false" outlineLevel="0" collapsed="false">
      <c r="A1850" s="2" t="n">
        <v>38</v>
      </c>
      <c r="B1850" s="2" t="s">
        <v>34</v>
      </c>
      <c r="C1850" s="2" t="s">
        <v>18</v>
      </c>
      <c r="D1850" s="2" t="s">
        <v>19</v>
      </c>
      <c r="E1850" s="2" t="s">
        <v>20</v>
      </c>
      <c r="F1850" s="2" t="n">
        <v>2240</v>
      </c>
      <c r="G1850" s="2" t="s">
        <v>26</v>
      </c>
      <c r="H1850" s="2" t="s">
        <v>20</v>
      </c>
      <c r="I1850" s="2" t="s">
        <v>21</v>
      </c>
      <c r="J1850" s="2" t="n">
        <v>19</v>
      </c>
      <c r="K1850" s="2" t="s">
        <v>46</v>
      </c>
      <c r="L1850" s="2" t="n">
        <v>551</v>
      </c>
      <c r="M1850" s="2" t="n">
        <v>1</v>
      </c>
      <c r="N1850" s="2" t="n">
        <v>183</v>
      </c>
      <c r="O1850" s="2" t="n">
        <v>1</v>
      </c>
      <c r="P1850" s="2" t="s">
        <v>28</v>
      </c>
      <c r="Q1850" s="2" t="s">
        <v>20</v>
      </c>
    </row>
    <row r="1851" customFormat="false" ht="15" hidden="false" customHeight="false" outlineLevel="0" collapsed="false">
      <c r="A1851" s="2" t="n">
        <v>52</v>
      </c>
      <c r="B1851" s="2" t="s">
        <v>39</v>
      </c>
      <c r="C1851" s="2" t="s">
        <v>18</v>
      </c>
      <c r="D1851" s="2" t="s">
        <v>31</v>
      </c>
      <c r="E1851" s="2" t="s">
        <v>20</v>
      </c>
      <c r="F1851" s="2" t="n">
        <v>0</v>
      </c>
      <c r="G1851" s="2" t="s">
        <v>20</v>
      </c>
      <c r="H1851" s="2" t="s">
        <v>20</v>
      </c>
      <c r="I1851" s="2" t="s">
        <v>23</v>
      </c>
      <c r="J1851" s="2" t="n">
        <v>19</v>
      </c>
      <c r="K1851" s="2" t="s">
        <v>33</v>
      </c>
      <c r="L1851" s="2" t="n">
        <v>163</v>
      </c>
      <c r="M1851" s="2" t="n">
        <v>3</v>
      </c>
      <c r="N1851" s="2" t="n">
        <v>-1</v>
      </c>
      <c r="O1851" s="2" t="n">
        <v>0</v>
      </c>
      <c r="P1851" s="2" t="s">
        <v>23</v>
      </c>
      <c r="Q1851" s="2" t="s">
        <v>20</v>
      </c>
    </row>
    <row r="1852" customFormat="false" ht="15" hidden="false" customHeight="false" outlineLevel="0" collapsed="false">
      <c r="A1852" s="2" t="n">
        <v>54</v>
      </c>
      <c r="B1852" s="2" t="s">
        <v>29</v>
      </c>
      <c r="C1852" s="2" t="s">
        <v>45</v>
      </c>
      <c r="D1852" s="2" t="s">
        <v>31</v>
      </c>
      <c r="E1852" s="2" t="s">
        <v>20</v>
      </c>
      <c r="F1852" s="2" t="n">
        <v>1295</v>
      </c>
      <c r="G1852" s="2" t="s">
        <v>26</v>
      </c>
      <c r="H1852" s="2" t="s">
        <v>20</v>
      </c>
      <c r="I1852" s="2" t="s">
        <v>21</v>
      </c>
      <c r="J1852" s="2" t="n">
        <v>21</v>
      </c>
      <c r="K1852" s="2" t="s">
        <v>44</v>
      </c>
      <c r="L1852" s="2" t="n">
        <v>179</v>
      </c>
      <c r="M1852" s="2" t="n">
        <v>10</v>
      </c>
      <c r="N1852" s="2" t="n">
        <v>-1</v>
      </c>
      <c r="O1852" s="2" t="n">
        <v>0</v>
      </c>
      <c r="P1852" s="2" t="s">
        <v>23</v>
      </c>
      <c r="Q1852" s="2" t="s">
        <v>20</v>
      </c>
    </row>
    <row r="1853" customFormat="false" ht="15" hidden="false" customHeight="false" outlineLevel="0" collapsed="false">
      <c r="A1853" s="2" t="n">
        <v>33</v>
      </c>
      <c r="B1853" s="2" t="s">
        <v>34</v>
      </c>
      <c r="C1853" s="2" t="s">
        <v>18</v>
      </c>
      <c r="D1853" s="2" t="s">
        <v>19</v>
      </c>
      <c r="E1853" s="2" t="s">
        <v>20</v>
      </c>
      <c r="F1853" s="2" t="n">
        <v>324</v>
      </c>
      <c r="G1853" s="2" t="s">
        <v>26</v>
      </c>
      <c r="H1853" s="2" t="s">
        <v>20</v>
      </c>
      <c r="I1853" s="2" t="s">
        <v>21</v>
      </c>
      <c r="J1853" s="2" t="n">
        <v>13</v>
      </c>
      <c r="K1853" s="2" t="s">
        <v>27</v>
      </c>
      <c r="L1853" s="2" t="n">
        <v>217</v>
      </c>
      <c r="M1853" s="2" t="n">
        <v>2</v>
      </c>
      <c r="N1853" s="2" t="n">
        <v>-1</v>
      </c>
      <c r="O1853" s="2" t="n">
        <v>0</v>
      </c>
      <c r="P1853" s="2" t="s">
        <v>23</v>
      </c>
      <c r="Q1853" s="2" t="s">
        <v>20</v>
      </c>
    </row>
    <row r="1854" customFormat="false" ht="15" hidden="false" customHeight="false" outlineLevel="0" collapsed="false">
      <c r="A1854" s="2" t="n">
        <v>50</v>
      </c>
      <c r="B1854" s="2" t="s">
        <v>38</v>
      </c>
      <c r="C1854" s="2" t="s">
        <v>18</v>
      </c>
      <c r="D1854" s="2" t="s">
        <v>25</v>
      </c>
      <c r="E1854" s="2" t="s">
        <v>20</v>
      </c>
      <c r="F1854" s="2" t="n">
        <v>669</v>
      </c>
      <c r="G1854" s="2" t="s">
        <v>26</v>
      </c>
      <c r="H1854" s="2" t="s">
        <v>20</v>
      </c>
      <c r="I1854" s="2" t="s">
        <v>23</v>
      </c>
      <c r="J1854" s="2" t="n">
        <v>2</v>
      </c>
      <c r="K1854" s="2" t="s">
        <v>33</v>
      </c>
      <c r="L1854" s="2" t="n">
        <v>88</v>
      </c>
      <c r="M1854" s="2" t="n">
        <v>1</v>
      </c>
      <c r="N1854" s="2" t="n">
        <v>-1</v>
      </c>
      <c r="O1854" s="2" t="n">
        <v>0</v>
      </c>
      <c r="P1854" s="2" t="s">
        <v>23</v>
      </c>
      <c r="Q1854" s="2" t="s">
        <v>20</v>
      </c>
    </row>
    <row r="1855" customFormat="false" ht="15" hidden="false" customHeight="false" outlineLevel="0" collapsed="false">
      <c r="A1855" s="2" t="n">
        <v>39</v>
      </c>
      <c r="B1855" s="2" t="s">
        <v>34</v>
      </c>
      <c r="C1855" s="2" t="s">
        <v>30</v>
      </c>
      <c r="D1855" s="2" t="s">
        <v>25</v>
      </c>
      <c r="E1855" s="2" t="s">
        <v>20</v>
      </c>
      <c r="F1855" s="2" t="n">
        <v>4143</v>
      </c>
      <c r="G1855" s="2" t="s">
        <v>26</v>
      </c>
      <c r="H1855" s="2" t="s">
        <v>26</v>
      </c>
      <c r="I1855" s="2" t="s">
        <v>23</v>
      </c>
      <c r="J1855" s="2" t="n">
        <v>2</v>
      </c>
      <c r="K1855" s="2" t="s">
        <v>33</v>
      </c>
      <c r="L1855" s="2" t="n">
        <v>21</v>
      </c>
      <c r="M1855" s="2" t="n">
        <v>1</v>
      </c>
      <c r="N1855" s="2" t="n">
        <v>-1</v>
      </c>
      <c r="O1855" s="2" t="n">
        <v>0</v>
      </c>
      <c r="P1855" s="2" t="s">
        <v>23</v>
      </c>
      <c r="Q1855" s="2" t="s">
        <v>20</v>
      </c>
    </row>
    <row r="1856" customFormat="false" ht="15" hidden="false" customHeight="false" outlineLevel="0" collapsed="false">
      <c r="A1856" s="2" t="n">
        <v>34</v>
      </c>
      <c r="B1856" s="2" t="s">
        <v>29</v>
      </c>
      <c r="C1856" s="2" t="s">
        <v>30</v>
      </c>
      <c r="D1856" s="2" t="s">
        <v>31</v>
      </c>
      <c r="E1856" s="2" t="s">
        <v>20</v>
      </c>
      <c r="F1856" s="2" t="n">
        <v>2646</v>
      </c>
      <c r="G1856" s="2" t="s">
        <v>20</v>
      </c>
      <c r="H1856" s="2" t="s">
        <v>20</v>
      </c>
      <c r="I1856" s="2" t="s">
        <v>21</v>
      </c>
      <c r="J1856" s="2" t="n">
        <v>14</v>
      </c>
      <c r="K1856" s="2" t="s">
        <v>32</v>
      </c>
      <c r="L1856" s="2" t="n">
        <v>142</v>
      </c>
      <c r="M1856" s="2" t="n">
        <v>1</v>
      </c>
      <c r="N1856" s="2" t="n">
        <v>-1</v>
      </c>
      <c r="O1856" s="2" t="n">
        <v>0</v>
      </c>
      <c r="P1856" s="2" t="s">
        <v>23</v>
      </c>
      <c r="Q1856" s="2" t="s">
        <v>26</v>
      </c>
    </row>
    <row r="1857" customFormat="false" ht="15" hidden="false" customHeight="false" outlineLevel="0" collapsed="false">
      <c r="A1857" s="2" t="n">
        <v>41</v>
      </c>
      <c r="B1857" s="2" t="s">
        <v>38</v>
      </c>
      <c r="C1857" s="2" t="s">
        <v>30</v>
      </c>
      <c r="D1857" s="2" t="s">
        <v>25</v>
      </c>
      <c r="E1857" s="2" t="s">
        <v>20</v>
      </c>
      <c r="F1857" s="2" t="n">
        <v>618</v>
      </c>
      <c r="G1857" s="2" t="s">
        <v>20</v>
      </c>
      <c r="H1857" s="2" t="s">
        <v>20</v>
      </c>
      <c r="I1857" s="2" t="s">
        <v>21</v>
      </c>
      <c r="J1857" s="2" t="n">
        <v>5</v>
      </c>
      <c r="K1857" s="2" t="s">
        <v>35</v>
      </c>
      <c r="L1857" s="2" t="n">
        <v>1056</v>
      </c>
      <c r="M1857" s="2" t="n">
        <v>1</v>
      </c>
      <c r="N1857" s="2" t="n">
        <v>-1</v>
      </c>
      <c r="O1857" s="2" t="n">
        <v>0</v>
      </c>
      <c r="P1857" s="2" t="s">
        <v>23</v>
      </c>
      <c r="Q1857" s="2" t="s">
        <v>20</v>
      </c>
    </row>
    <row r="1858" customFormat="false" ht="15" hidden="false" customHeight="false" outlineLevel="0" collapsed="false">
      <c r="A1858" s="2" t="n">
        <v>48</v>
      </c>
      <c r="B1858" s="2" t="s">
        <v>29</v>
      </c>
      <c r="C1858" s="2" t="s">
        <v>45</v>
      </c>
      <c r="D1858" s="2" t="s">
        <v>31</v>
      </c>
      <c r="E1858" s="2" t="s">
        <v>20</v>
      </c>
      <c r="F1858" s="2" t="n">
        <v>541</v>
      </c>
      <c r="G1858" s="2" t="s">
        <v>26</v>
      </c>
      <c r="H1858" s="2" t="s">
        <v>20</v>
      </c>
      <c r="I1858" s="2" t="s">
        <v>21</v>
      </c>
      <c r="J1858" s="2" t="n">
        <v>14</v>
      </c>
      <c r="K1858" s="2" t="s">
        <v>27</v>
      </c>
      <c r="L1858" s="2" t="n">
        <v>72</v>
      </c>
      <c r="M1858" s="2" t="n">
        <v>1</v>
      </c>
      <c r="N1858" s="2" t="n">
        <v>363</v>
      </c>
      <c r="O1858" s="2" t="n">
        <v>2</v>
      </c>
      <c r="P1858" s="2" t="s">
        <v>37</v>
      </c>
      <c r="Q1858" s="2" t="s">
        <v>20</v>
      </c>
    </row>
    <row r="1859" customFormat="false" ht="15" hidden="false" customHeight="false" outlineLevel="0" collapsed="false">
      <c r="A1859" s="2" t="n">
        <v>38</v>
      </c>
      <c r="B1859" s="2" t="s">
        <v>24</v>
      </c>
      <c r="C1859" s="2" t="s">
        <v>18</v>
      </c>
      <c r="D1859" s="2" t="s">
        <v>25</v>
      </c>
      <c r="E1859" s="2" t="s">
        <v>20</v>
      </c>
      <c r="F1859" s="2" t="n">
        <v>434</v>
      </c>
      <c r="G1859" s="2" t="s">
        <v>26</v>
      </c>
      <c r="H1859" s="2" t="s">
        <v>20</v>
      </c>
      <c r="I1859" s="2" t="s">
        <v>23</v>
      </c>
      <c r="J1859" s="2" t="n">
        <v>20</v>
      </c>
      <c r="K1859" s="2" t="s">
        <v>27</v>
      </c>
      <c r="L1859" s="2" t="n">
        <v>411</v>
      </c>
      <c r="M1859" s="2" t="n">
        <v>1</v>
      </c>
      <c r="N1859" s="2" t="n">
        <v>-1</v>
      </c>
      <c r="O1859" s="2" t="n">
        <v>0</v>
      </c>
      <c r="P1859" s="2" t="s">
        <v>23</v>
      </c>
      <c r="Q1859" s="2" t="s">
        <v>20</v>
      </c>
    </row>
    <row r="1860" customFormat="false" ht="15" hidden="false" customHeight="false" outlineLevel="0" collapsed="false">
      <c r="A1860" s="2" t="n">
        <v>34</v>
      </c>
      <c r="B1860" s="2" t="s">
        <v>34</v>
      </c>
      <c r="C1860" s="2" t="s">
        <v>18</v>
      </c>
      <c r="D1860" s="2" t="s">
        <v>25</v>
      </c>
      <c r="E1860" s="2" t="s">
        <v>20</v>
      </c>
      <c r="F1860" s="2" t="n">
        <v>622</v>
      </c>
      <c r="G1860" s="2" t="s">
        <v>26</v>
      </c>
      <c r="H1860" s="2" t="s">
        <v>20</v>
      </c>
      <c r="I1860" s="2" t="s">
        <v>23</v>
      </c>
      <c r="J1860" s="2" t="n">
        <v>21</v>
      </c>
      <c r="K1860" s="2" t="s">
        <v>27</v>
      </c>
      <c r="L1860" s="2" t="n">
        <v>145</v>
      </c>
      <c r="M1860" s="2" t="n">
        <v>1</v>
      </c>
      <c r="N1860" s="2" t="n">
        <v>-1</v>
      </c>
      <c r="O1860" s="2" t="n">
        <v>0</v>
      </c>
      <c r="P1860" s="2" t="s">
        <v>23</v>
      </c>
      <c r="Q1860" s="2" t="s">
        <v>20</v>
      </c>
    </row>
    <row r="1861" customFormat="false" ht="15" hidden="false" customHeight="false" outlineLevel="0" collapsed="false">
      <c r="A1861" s="2" t="n">
        <v>32</v>
      </c>
      <c r="B1861" s="2" t="s">
        <v>34</v>
      </c>
      <c r="C1861" s="2" t="s">
        <v>18</v>
      </c>
      <c r="D1861" s="2" t="s">
        <v>25</v>
      </c>
      <c r="E1861" s="2" t="s">
        <v>20</v>
      </c>
      <c r="F1861" s="2" t="n">
        <v>0</v>
      </c>
      <c r="G1861" s="2" t="s">
        <v>26</v>
      </c>
      <c r="H1861" s="2" t="s">
        <v>20</v>
      </c>
      <c r="I1861" s="2" t="s">
        <v>21</v>
      </c>
      <c r="J1861" s="2" t="n">
        <v>8</v>
      </c>
      <c r="K1861" s="2" t="s">
        <v>27</v>
      </c>
      <c r="L1861" s="2" t="n">
        <v>80</v>
      </c>
      <c r="M1861" s="2" t="n">
        <v>2</v>
      </c>
      <c r="N1861" s="2" t="n">
        <v>-1</v>
      </c>
      <c r="O1861" s="2" t="n">
        <v>0</v>
      </c>
      <c r="P1861" s="2" t="s">
        <v>23</v>
      </c>
      <c r="Q1861" s="2" t="s">
        <v>20</v>
      </c>
    </row>
    <row r="1862" customFormat="false" ht="15" hidden="false" customHeight="false" outlineLevel="0" collapsed="false">
      <c r="A1862" s="2" t="n">
        <v>48</v>
      </c>
      <c r="B1862" s="2" t="s">
        <v>29</v>
      </c>
      <c r="C1862" s="2" t="s">
        <v>18</v>
      </c>
      <c r="D1862" s="2" t="s">
        <v>25</v>
      </c>
      <c r="E1862" s="2" t="s">
        <v>20</v>
      </c>
      <c r="F1862" s="2" t="n">
        <v>99</v>
      </c>
      <c r="G1862" s="2" t="s">
        <v>26</v>
      </c>
      <c r="H1862" s="2" t="s">
        <v>20</v>
      </c>
      <c r="I1862" s="2" t="s">
        <v>23</v>
      </c>
      <c r="J1862" s="2" t="n">
        <v>28</v>
      </c>
      <c r="K1862" s="2" t="s">
        <v>27</v>
      </c>
      <c r="L1862" s="2" t="n">
        <v>344</v>
      </c>
      <c r="M1862" s="2" t="n">
        <v>1</v>
      </c>
      <c r="N1862" s="2" t="n">
        <v>-1</v>
      </c>
      <c r="O1862" s="2" t="n">
        <v>0</v>
      </c>
      <c r="P1862" s="2" t="s">
        <v>23</v>
      </c>
      <c r="Q1862" s="2" t="s">
        <v>20</v>
      </c>
    </row>
    <row r="1863" customFormat="false" ht="15" hidden="false" customHeight="false" outlineLevel="0" collapsed="false">
      <c r="A1863" s="2" t="n">
        <v>28</v>
      </c>
      <c r="B1863" s="2" t="s">
        <v>24</v>
      </c>
      <c r="C1863" s="2" t="s">
        <v>30</v>
      </c>
      <c r="D1863" s="2" t="s">
        <v>25</v>
      </c>
      <c r="E1863" s="2" t="s">
        <v>20</v>
      </c>
      <c r="F1863" s="2" t="n">
        <v>290</v>
      </c>
      <c r="G1863" s="2" t="s">
        <v>26</v>
      </c>
      <c r="H1863" s="2" t="s">
        <v>20</v>
      </c>
      <c r="I1863" s="2" t="s">
        <v>21</v>
      </c>
      <c r="J1863" s="2" t="n">
        <v>18</v>
      </c>
      <c r="K1863" s="2" t="s">
        <v>27</v>
      </c>
      <c r="L1863" s="2" t="n">
        <v>128</v>
      </c>
      <c r="M1863" s="2" t="n">
        <v>1</v>
      </c>
      <c r="N1863" s="2" t="n">
        <v>-1</v>
      </c>
      <c r="O1863" s="2" t="n">
        <v>0</v>
      </c>
      <c r="P1863" s="2" t="s">
        <v>23</v>
      </c>
      <c r="Q1863" s="2" t="s">
        <v>20</v>
      </c>
    </row>
    <row r="1864" customFormat="false" ht="15" hidden="false" customHeight="false" outlineLevel="0" collapsed="false">
      <c r="A1864" s="2" t="n">
        <v>47</v>
      </c>
      <c r="B1864" s="2" t="s">
        <v>34</v>
      </c>
      <c r="C1864" s="2" t="s">
        <v>18</v>
      </c>
      <c r="D1864" s="2" t="s">
        <v>25</v>
      </c>
      <c r="E1864" s="2" t="s">
        <v>20</v>
      </c>
      <c r="F1864" s="2" t="n">
        <v>1230</v>
      </c>
      <c r="G1864" s="2" t="s">
        <v>26</v>
      </c>
      <c r="H1864" s="2" t="s">
        <v>20</v>
      </c>
      <c r="I1864" s="2" t="s">
        <v>21</v>
      </c>
      <c r="J1864" s="2" t="n">
        <v>30</v>
      </c>
      <c r="K1864" s="2" t="s">
        <v>32</v>
      </c>
      <c r="L1864" s="2" t="n">
        <v>412</v>
      </c>
      <c r="M1864" s="2" t="n">
        <v>1</v>
      </c>
      <c r="N1864" s="2" t="n">
        <v>169</v>
      </c>
      <c r="O1864" s="2" t="n">
        <v>1</v>
      </c>
      <c r="P1864" s="2" t="s">
        <v>50</v>
      </c>
      <c r="Q1864" s="2" t="s">
        <v>26</v>
      </c>
    </row>
    <row r="1865" customFormat="false" ht="15" hidden="false" customHeight="false" outlineLevel="0" collapsed="false">
      <c r="A1865" s="2" t="n">
        <v>32</v>
      </c>
      <c r="B1865" s="2" t="s">
        <v>40</v>
      </c>
      <c r="C1865" s="2" t="s">
        <v>30</v>
      </c>
      <c r="D1865" s="2" t="s">
        <v>25</v>
      </c>
      <c r="E1865" s="2" t="s">
        <v>20</v>
      </c>
      <c r="F1865" s="2" t="n">
        <v>45</v>
      </c>
      <c r="G1865" s="2" t="s">
        <v>26</v>
      </c>
      <c r="H1865" s="2" t="s">
        <v>26</v>
      </c>
      <c r="I1865" s="2" t="s">
        <v>21</v>
      </c>
      <c r="J1865" s="2" t="n">
        <v>14</v>
      </c>
      <c r="K1865" s="2" t="s">
        <v>27</v>
      </c>
      <c r="L1865" s="2" t="n">
        <v>908</v>
      </c>
      <c r="M1865" s="2" t="n">
        <v>3</v>
      </c>
      <c r="N1865" s="2" t="n">
        <v>344</v>
      </c>
      <c r="O1865" s="2" t="n">
        <v>7</v>
      </c>
      <c r="P1865" s="2" t="s">
        <v>37</v>
      </c>
      <c r="Q1865" s="2" t="s">
        <v>20</v>
      </c>
    </row>
    <row r="1866" customFormat="false" ht="15" hidden="false" customHeight="false" outlineLevel="0" collapsed="false">
      <c r="A1866" s="2" t="n">
        <v>32</v>
      </c>
      <c r="B1866" s="2" t="s">
        <v>40</v>
      </c>
      <c r="C1866" s="2" t="s">
        <v>18</v>
      </c>
      <c r="D1866" s="2" t="s">
        <v>25</v>
      </c>
      <c r="E1866" s="2" t="s">
        <v>20</v>
      </c>
      <c r="F1866" s="2" t="n">
        <v>923</v>
      </c>
      <c r="G1866" s="2" t="s">
        <v>26</v>
      </c>
      <c r="H1866" s="2" t="s">
        <v>20</v>
      </c>
      <c r="I1866" s="2" t="s">
        <v>21</v>
      </c>
      <c r="J1866" s="2" t="n">
        <v>17</v>
      </c>
      <c r="K1866" s="2" t="s">
        <v>32</v>
      </c>
      <c r="L1866" s="2" t="n">
        <v>819</v>
      </c>
      <c r="M1866" s="2" t="n">
        <v>4</v>
      </c>
      <c r="N1866" s="2" t="n">
        <v>-1</v>
      </c>
      <c r="O1866" s="2" t="n">
        <v>0</v>
      </c>
      <c r="P1866" s="2" t="s">
        <v>23</v>
      </c>
      <c r="Q1866" s="2" t="s">
        <v>20</v>
      </c>
    </row>
    <row r="1867" customFormat="false" ht="15" hidden="false" customHeight="false" outlineLevel="0" collapsed="false">
      <c r="A1867" s="2" t="n">
        <v>38</v>
      </c>
      <c r="B1867" s="2" t="s">
        <v>29</v>
      </c>
      <c r="C1867" s="2" t="s">
        <v>18</v>
      </c>
      <c r="D1867" s="2" t="s">
        <v>31</v>
      </c>
      <c r="E1867" s="2" t="s">
        <v>20</v>
      </c>
      <c r="F1867" s="2" t="n">
        <v>950</v>
      </c>
      <c r="G1867" s="2" t="s">
        <v>20</v>
      </c>
      <c r="H1867" s="2" t="s">
        <v>20</v>
      </c>
      <c r="I1867" s="2" t="s">
        <v>21</v>
      </c>
      <c r="J1867" s="2" t="n">
        <v>5</v>
      </c>
      <c r="K1867" s="2" t="s">
        <v>41</v>
      </c>
      <c r="L1867" s="2" t="n">
        <v>210</v>
      </c>
      <c r="M1867" s="2" t="n">
        <v>2</v>
      </c>
      <c r="N1867" s="2" t="n">
        <v>-1</v>
      </c>
      <c r="O1867" s="2" t="n">
        <v>0</v>
      </c>
      <c r="P1867" s="2" t="s">
        <v>23</v>
      </c>
      <c r="Q1867" s="2" t="s">
        <v>20</v>
      </c>
    </row>
    <row r="1868" customFormat="false" ht="15" hidden="false" customHeight="false" outlineLevel="0" collapsed="false">
      <c r="A1868" s="2" t="n">
        <v>86</v>
      </c>
      <c r="B1868" s="2" t="s">
        <v>48</v>
      </c>
      <c r="C1868" s="2" t="s">
        <v>18</v>
      </c>
      <c r="D1868" s="2" t="s">
        <v>25</v>
      </c>
      <c r="E1868" s="2" t="s">
        <v>20</v>
      </c>
      <c r="F1868" s="2" t="n">
        <v>1503</v>
      </c>
      <c r="G1868" s="2" t="s">
        <v>20</v>
      </c>
      <c r="H1868" s="2" t="s">
        <v>20</v>
      </c>
      <c r="I1868" s="2" t="s">
        <v>49</v>
      </c>
      <c r="J1868" s="2" t="n">
        <v>18</v>
      </c>
      <c r="K1868" s="2" t="s">
        <v>52</v>
      </c>
      <c r="L1868" s="2" t="n">
        <v>165</v>
      </c>
      <c r="M1868" s="2" t="n">
        <v>3</v>
      </c>
      <c r="N1868" s="2" t="n">
        <v>101</v>
      </c>
      <c r="O1868" s="2" t="n">
        <v>1</v>
      </c>
      <c r="P1868" s="2" t="s">
        <v>37</v>
      </c>
      <c r="Q1868" s="2" t="s">
        <v>20</v>
      </c>
    </row>
    <row r="1869" customFormat="false" ht="15" hidden="false" customHeight="false" outlineLevel="0" collapsed="false">
      <c r="A1869" s="2" t="n">
        <v>47</v>
      </c>
      <c r="B1869" s="2" t="s">
        <v>38</v>
      </c>
      <c r="C1869" s="2" t="s">
        <v>18</v>
      </c>
      <c r="D1869" s="2" t="s">
        <v>25</v>
      </c>
      <c r="E1869" s="2" t="s">
        <v>20</v>
      </c>
      <c r="F1869" s="2" t="n">
        <v>65</v>
      </c>
      <c r="G1869" s="2" t="s">
        <v>20</v>
      </c>
      <c r="H1869" s="2" t="s">
        <v>20</v>
      </c>
      <c r="I1869" s="2" t="s">
        <v>21</v>
      </c>
      <c r="J1869" s="2" t="n">
        <v>28</v>
      </c>
      <c r="K1869" s="2" t="s">
        <v>41</v>
      </c>
      <c r="L1869" s="2" t="n">
        <v>118</v>
      </c>
      <c r="M1869" s="2" t="n">
        <v>8</v>
      </c>
      <c r="N1869" s="2" t="n">
        <v>-1</v>
      </c>
      <c r="O1869" s="2" t="n">
        <v>0</v>
      </c>
      <c r="P1869" s="2" t="s">
        <v>23</v>
      </c>
      <c r="Q1869" s="2" t="s">
        <v>20</v>
      </c>
    </row>
    <row r="1870" customFormat="false" ht="15" hidden="false" customHeight="false" outlineLevel="0" collapsed="false">
      <c r="A1870" s="2" t="n">
        <v>42</v>
      </c>
      <c r="B1870" s="2" t="s">
        <v>29</v>
      </c>
      <c r="C1870" s="2" t="s">
        <v>18</v>
      </c>
      <c r="D1870" s="2" t="s">
        <v>19</v>
      </c>
      <c r="E1870" s="2" t="s">
        <v>20</v>
      </c>
      <c r="F1870" s="2" t="n">
        <v>-679</v>
      </c>
      <c r="G1870" s="2" t="s">
        <v>26</v>
      </c>
      <c r="H1870" s="2" t="s">
        <v>26</v>
      </c>
      <c r="I1870" s="2" t="s">
        <v>21</v>
      </c>
      <c r="J1870" s="2" t="n">
        <v>6</v>
      </c>
      <c r="K1870" s="2" t="s">
        <v>27</v>
      </c>
      <c r="L1870" s="2" t="n">
        <v>159</v>
      </c>
      <c r="M1870" s="2" t="n">
        <v>1</v>
      </c>
      <c r="N1870" s="2" t="n">
        <v>343</v>
      </c>
      <c r="O1870" s="2" t="n">
        <v>2</v>
      </c>
      <c r="P1870" s="2" t="s">
        <v>28</v>
      </c>
      <c r="Q1870" s="2" t="s">
        <v>20</v>
      </c>
    </row>
    <row r="1871" customFormat="false" ht="15" hidden="false" customHeight="false" outlineLevel="0" collapsed="false">
      <c r="A1871" s="2" t="n">
        <v>44</v>
      </c>
      <c r="B1871" s="2" t="s">
        <v>29</v>
      </c>
      <c r="C1871" s="2" t="s">
        <v>18</v>
      </c>
      <c r="D1871" s="2" t="s">
        <v>31</v>
      </c>
      <c r="E1871" s="2" t="s">
        <v>20</v>
      </c>
      <c r="F1871" s="2" t="n">
        <v>773</v>
      </c>
      <c r="G1871" s="2" t="s">
        <v>20</v>
      </c>
      <c r="H1871" s="2" t="s">
        <v>26</v>
      </c>
      <c r="I1871" s="2" t="s">
        <v>21</v>
      </c>
      <c r="J1871" s="2" t="n">
        <v>9</v>
      </c>
      <c r="K1871" s="2" t="s">
        <v>44</v>
      </c>
      <c r="L1871" s="2" t="n">
        <v>618</v>
      </c>
      <c r="M1871" s="2" t="n">
        <v>1</v>
      </c>
      <c r="N1871" s="2" t="n">
        <v>-1</v>
      </c>
      <c r="O1871" s="2" t="n">
        <v>0</v>
      </c>
      <c r="P1871" s="2" t="s">
        <v>23</v>
      </c>
      <c r="Q1871" s="2" t="s">
        <v>20</v>
      </c>
    </row>
    <row r="1872" customFormat="false" ht="15" hidden="false" customHeight="false" outlineLevel="0" collapsed="false">
      <c r="A1872" s="2" t="n">
        <v>25</v>
      </c>
      <c r="B1872" s="2" t="s">
        <v>42</v>
      </c>
      <c r="C1872" s="2" t="s">
        <v>30</v>
      </c>
      <c r="D1872" s="2" t="s">
        <v>23</v>
      </c>
      <c r="E1872" s="2" t="s">
        <v>20</v>
      </c>
      <c r="F1872" s="2" t="n">
        <v>10788</v>
      </c>
      <c r="G1872" s="2" t="s">
        <v>20</v>
      </c>
      <c r="H1872" s="2" t="s">
        <v>20</v>
      </c>
      <c r="I1872" s="2" t="s">
        <v>21</v>
      </c>
      <c r="J1872" s="2" t="n">
        <v>23</v>
      </c>
      <c r="K1872" s="2" t="s">
        <v>53</v>
      </c>
      <c r="L1872" s="2" t="n">
        <v>102</v>
      </c>
      <c r="M1872" s="2" t="n">
        <v>2</v>
      </c>
      <c r="N1872" s="2" t="n">
        <v>210</v>
      </c>
      <c r="O1872" s="2" t="n">
        <v>2</v>
      </c>
      <c r="P1872" s="2" t="s">
        <v>37</v>
      </c>
      <c r="Q1872" s="2" t="s">
        <v>20</v>
      </c>
    </row>
    <row r="1873" customFormat="false" ht="15" hidden="false" customHeight="false" outlineLevel="0" collapsed="false">
      <c r="A1873" s="2" t="n">
        <v>34</v>
      </c>
      <c r="B1873" s="2" t="s">
        <v>24</v>
      </c>
      <c r="C1873" s="2" t="s">
        <v>45</v>
      </c>
      <c r="D1873" s="2" t="s">
        <v>25</v>
      </c>
      <c r="E1873" s="2" t="s">
        <v>20</v>
      </c>
      <c r="F1873" s="2" t="n">
        <v>991</v>
      </c>
      <c r="G1873" s="2" t="s">
        <v>26</v>
      </c>
      <c r="H1873" s="2" t="s">
        <v>20</v>
      </c>
      <c r="I1873" s="2" t="s">
        <v>21</v>
      </c>
      <c r="J1873" s="2" t="n">
        <v>6</v>
      </c>
      <c r="K1873" s="2" t="s">
        <v>27</v>
      </c>
      <c r="L1873" s="2" t="n">
        <v>89</v>
      </c>
      <c r="M1873" s="2" t="n">
        <v>1</v>
      </c>
      <c r="N1873" s="2" t="n">
        <v>344</v>
      </c>
      <c r="O1873" s="2" t="n">
        <v>1</v>
      </c>
      <c r="P1873" s="2" t="s">
        <v>28</v>
      </c>
      <c r="Q1873" s="2" t="s">
        <v>20</v>
      </c>
    </row>
    <row r="1874" customFormat="false" ht="15" hidden="false" customHeight="false" outlineLevel="0" collapsed="false">
      <c r="A1874" s="2" t="n">
        <v>34</v>
      </c>
      <c r="B1874" s="2" t="s">
        <v>40</v>
      </c>
      <c r="C1874" s="2" t="s">
        <v>18</v>
      </c>
      <c r="D1874" s="2" t="s">
        <v>25</v>
      </c>
      <c r="E1874" s="2" t="s">
        <v>20</v>
      </c>
      <c r="F1874" s="2" t="n">
        <v>247</v>
      </c>
      <c r="G1874" s="2" t="s">
        <v>20</v>
      </c>
      <c r="H1874" s="2" t="s">
        <v>20</v>
      </c>
      <c r="I1874" s="2" t="s">
        <v>21</v>
      </c>
      <c r="J1874" s="2" t="n">
        <v>8</v>
      </c>
      <c r="K1874" s="2" t="s">
        <v>22</v>
      </c>
      <c r="L1874" s="2" t="n">
        <v>401</v>
      </c>
      <c r="M1874" s="2" t="n">
        <v>2</v>
      </c>
      <c r="N1874" s="2" t="n">
        <v>-1</v>
      </c>
      <c r="O1874" s="2" t="n">
        <v>0</v>
      </c>
      <c r="P1874" s="2" t="s">
        <v>23</v>
      </c>
      <c r="Q1874" s="2" t="s">
        <v>26</v>
      </c>
    </row>
    <row r="1875" customFormat="false" ht="15" hidden="false" customHeight="false" outlineLevel="0" collapsed="false">
      <c r="A1875" s="2" t="n">
        <v>53</v>
      </c>
      <c r="B1875" s="2" t="s">
        <v>34</v>
      </c>
      <c r="C1875" s="2" t="s">
        <v>18</v>
      </c>
      <c r="D1875" s="2" t="s">
        <v>19</v>
      </c>
      <c r="E1875" s="2" t="s">
        <v>20</v>
      </c>
      <c r="F1875" s="2" t="n">
        <v>4143</v>
      </c>
      <c r="G1875" s="2" t="s">
        <v>20</v>
      </c>
      <c r="H1875" s="2" t="s">
        <v>20</v>
      </c>
      <c r="I1875" s="2" t="s">
        <v>21</v>
      </c>
      <c r="J1875" s="2" t="n">
        <v>15</v>
      </c>
      <c r="K1875" s="2" t="s">
        <v>44</v>
      </c>
      <c r="L1875" s="2" t="n">
        <v>200</v>
      </c>
      <c r="M1875" s="2" t="n">
        <v>3</v>
      </c>
      <c r="N1875" s="2" t="n">
        <v>-1</v>
      </c>
      <c r="O1875" s="2" t="n">
        <v>0</v>
      </c>
      <c r="P1875" s="2" t="s">
        <v>23</v>
      </c>
      <c r="Q1875" s="2" t="s">
        <v>20</v>
      </c>
    </row>
    <row r="1876" customFormat="false" ht="15" hidden="false" customHeight="false" outlineLevel="0" collapsed="false">
      <c r="A1876" s="2" t="n">
        <v>42</v>
      </c>
      <c r="B1876" s="2" t="s">
        <v>34</v>
      </c>
      <c r="C1876" s="2" t="s">
        <v>18</v>
      </c>
      <c r="D1876" s="2" t="s">
        <v>23</v>
      </c>
      <c r="E1876" s="2" t="s">
        <v>20</v>
      </c>
      <c r="F1876" s="2" t="n">
        <v>-406</v>
      </c>
      <c r="G1876" s="2" t="s">
        <v>26</v>
      </c>
      <c r="H1876" s="2" t="s">
        <v>20</v>
      </c>
      <c r="I1876" s="2" t="s">
        <v>21</v>
      </c>
      <c r="J1876" s="2" t="n">
        <v>30</v>
      </c>
      <c r="K1876" s="2" t="s">
        <v>44</v>
      </c>
      <c r="L1876" s="2" t="n">
        <v>152</v>
      </c>
      <c r="M1876" s="2" t="n">
        <v>5</v>
      </c>
      <c r="N1876" s="2" t="n">
        <v>-1</v>
      </c>
      <c r="O1876" s="2" t="n">
        <v>0</v>
      </c>
      <c r="P1876" s="2" t="s">
        <v>23</v>
      </c>
      <c r="Q1876" s="2" t="s">
        <v>20</v>
      </c>
    </row>
    <row r="1877" customFormat="false" ht="15" hidden="false" customHeight="false" outlineLevel="0" collapsed="false">
      <c r="A1877" s="2" t="n">
        <v>30</v>
      </c>
      <c r="B1877" s="2" t="s">
        <v>34</v>
      </c>
      <c r="C1877" s="2" t="s">
        <v>30</v>
      </c>
      <c r="D1877" s="2" t="s">
        <v>25</v>
      </c>
      <c r="E1877" s="2" t="s">
        <v>20</v>
      </c>
      <c r="F1877" s="2" t="n">
        <v>180</v>
      </c>
      <c r="G1877" s="2" t="s">
        <v>20</v>
      </c>
      <c r="H1877" s="2" t="s">
        <v>20</v>
      </c>
      <c r="I1877" s="2" t="s">
        <v>21</v>
      </c>
      <c r="J1877" s="2" t="n">
        <v>14</v>
      </c>
      <c r="K1877" s="2" t="s">
        <v>44</v>
      </c>
      <c r="L1877" s="2" t="n">
        <v>203</v>
      </c>
      <c r="M1877" s="2" t="n">
        <v>1</v>
      </c>
      <c r="N1877" s="2" t="n">
        <v>183</v>
      </c>
      <c r="O1877" s="2" t="n">
        <v>2</v>
      </c>
      <c r="P1877" s="2" t="s">
        <v>28</v>
      </c>
      <c r="Q1877" s="2" t="s">
        <v>20</v>
      </c>
    </row>
    <row r="1878" customFormat="false" ht="15" hidden="false" customHeight="false" outlineLevel="0" collapsed="false">
      <c r="A1878" s="2" t="n">
        <v>26</v>
      </c>
      <c r="B1878" s="2" t="s">
        <v>34</v>
      </c>
      <c r="C1878" s="2" t="s">
        <v>30</v>
      </c>
      <c r="D1878" s="2" t="s">
        <v>19</v>
      </c>
      <c r="E1878" s="2" t="s">
        <v>20</v>
      </c>
      <c r="F1878" s="2" t="n">
        <v>-887</v>
      </c>
      <c r="G1878" s="2" t="s">
        <v>26</v>
      </c>
      <c r="H1878" s="2" t="s">
        <v>20</v>
      </c>
      <c r="I1878" s="2" t="s">
        <v>21</v>
      </c>
      <c r="J1878" s="2" t="n">
        <v>18</v>
      </c>
      <c r="K1878" s="2" t="s">
        <v>27</v>
      </c>
      <c r="L1878" s="2" t="n">
        <v>827</v>
      </c>
      <c r="M1878" s="2" t="n">
        <v>2</v>
      </c>
      <c r="N1878" s="2" t="n">
        <v>-1</v>
      </c>
      <c r="O1878" s="2" t="n">
        <v>0</v>
      </c>
      <c r="P1878" s="2" t="s">
        <v>23</v>
      </c>
      <c r="Q1878" s="2" t="s">
        <v>26</v>
      </c>
    </row>
    <row r="1879" customFormat="false" ht="15" hidden="false" customHeight="false" outlineLevel="0" collapsed="false">
      <c r="A1879" s="2" t="n">
        <v>40</v>
      </c>
      <c r="B1879" s="2" t="s">
        <v>24</v>
      </c>
      <c r="C1879" s="2" t="s">
        <v>18</v>
      </c>
      <c r="D1879" s="2" t="s">
        <v>25</v>
      </c>
      <c r="E1879" s="2" t="s">
        <v>20</v>
      </c>
      <c r="F1879" s="2" t="n">
        <v>4157</v>
      </c>
      <c r="G1879" s="2" t="s">
        <v>26</v>
      </c>
      <c r="H1879" s="2" t="s">
        <v>20</v>
      </c>
      <c r="I1879" s="2" t="s">
        <v>23</v>
      </c>
      <c r="J1879" s="2" t="n">
        <v>15</v>
      </c>
      <c r="K1879" s="2" t="s">
        <v>27</v>
      </c>
      <c r="L1879" s="2" t="n">
        <v>735</v>
      </c>
      <c r="M1879" s="2" t="n">
        <v>1</v>
      </c>
      <c r="N1879" s="2" t="n">
        <v>-1</v>
      </c>
      <c r="O1879" s="2" t="n">
        <v>0</v>
      </c>
      <c r="P1879" s="2" t="s">
        <v>23</v>
      </c>
      <c r="Q1879" s="2" t="s">
        <v>20</v>
      </c>
    </row>
    <row r="1880" customFormat="false" ht="15" hidden="false" customHeight="false" outlineLevel="0" collapsed="false">
      <c r="A1880" s="2" t="n">
        <v>34</v>
      </c>
      <c r="B1880" s="2" t="s">
        <v>38</v>
      </c>
      <c r="C1880" s="2" t="s">
        <v>30</v>
      </c>
      <c r="D1880" s="2" t="s">
        <v>25</v>
      </c>
      <c r="E1880" s="2" t="s">
        <v>20</v>
      </c>
      <c r="F1880" s="2" t="n">
        <v>1386</v>
      </c>
      <c r="G1880" s="2" t="s">
        <v>26</v>
      </c>
      <c r="H1880" s="2" t="s">
        <v>26</v>
      </c>
      <c r="I1880" s="2" t="s">
        <v>23</v>
      </c>
      <c r="J1880" s="2" t="n">
        <v>28</v>
      </c>
      <c r="K1880" s="2" t="s">
        <v>27</v>
      </c>
      <c r="L1880" s="2" t="n">
        <v>185</v>
      </c>
      <c r="M1880" s="2" t="n">
        <v>6</v>
      </c>
      <c r="N1880" s="2" t="n">
        <v>-1</v>
      </c>
      <c r="O1880" s="2" t="n">
        <v>0</v>
      </c>
      <c r="P1880" s="2" t="s">
        <v>23</v>
      </c>
      <c r="Q1880" s="2" t="s">
        <v>20</v>
      </c>
    </row>
    <row r="1881" customFormat="false" ht="15" hidden="false" customHeight="false" outlineLevel="0" collapsed="false">
      <c r="A1881" s="2" t="n">
        <v>34</v>
      </c>
      <c r="B1881" s="2" t="s">
        <v>24</v>
      </c>
      <c r="C1881" s="2" t="s">
        <v>18</v>
      </c>
      <c r="D1881" s="2" t="s">
        <v>25</v>
      </c>
      <c r="E1881" s="2" t="s">
        <v>20</v>
      </c>
      <c r="F1881" s="2" t="n">
        <v>2211</v>
      </c>
      <c r="G1881" s="2" t="s">
        <v>20</v>
      </c>
      <c r="H1881" s="2" t="s">
        <v>20</v>
      </c>
      <c r="I1881" s="2" t="s">
        <v>23</v>
      </c>
      <c r="J1881" s="2" t="n">
        <v>8</v>
      </c>
      <c r="K1881" s="2" t="s">
        <v>27</v>
      </c>
      <c r="L1881" s="2" t="n">
        <v>149</v>
      </c>
      <c r="M1881" s="2" t="n">
        <v>1</v>
      </c>
      <c r="N1881" s="2" t="n">
        <v>-1</v>
      </c>
      <c r="O1881" s="2" t="n">
        <v>0</v>
      </c>
      <c r="P1881" s="2" t="s">
        <v>23</v>
      </c>
      <c r="Q1881" s="2" t="s">
        <v>20</v>
      </c>
    </row>
    <row r="1882" customFormat="false" ht="15" hidden="false" customHeight="false" outlineLevel="0" collapsed="false">
      <c r="A1882" s="2" t="n">
        <v>40</v>
      </c>
      <c r="B1882" s="2" t="s">
        <v>29</v>
      </c>
      <c r="C1882" s="2" t="s">
        <v>18</v>
      </c>
      <c r="D1882" s="2" t="s">
        <v>31</v>
      </c>
      <c r="E1882" s="2" t="s">
        <v>20</v>
      </c>
      <c r="F1882" s="2" t="n">
        <v>-495</v>
      </c>
      <c r="G1882" s="2" t="s">
        <v>20</v>
      </c>
      <c r="H1882" s="2" t="s">
        <v>26</v>
      </c>
      <c r="I1882" s="2" t="s">
        <v>21</v>
      </c>
      <c r="J1882" s="2" t="n">
        <v>29</v>
      </c>
      <c r="K1882" s="2" t="s">
        <v>44</v>
      </c>
      <c r="L1882" s="2" t="n">
        <v>303</v>
      </c>
      <c r="M1882" s="2" t="n">
        <v>2</v>
      </c>
      <c r="N1882" s="2" t="n">
        <v>-1</v>
      </c>
      <c r="O1882" s="2" t="n">
        <v>0</v>
      </c>
      <c r="P1882" s="2" t="s">
        <v>23</v>
      </c>
      <c r="Q1882" s="2" t="s">
        <v>20</v>
      </c>
    </row>
    <row r="1883" customFormat="false" ht="15" hidden="false" customHeight="false" outlineLevel="0" collapsed="false">
      <c r="A1883" s="2" t="n">
        <v>36</v>
      </c>
      <c r="B1883" s="2" t="s">
        <v>29</v>
      </c>
      <c r="C1883" s="2" t="s">
        <v>18</v>
      </c>
      <c r="D1883" s="2" t="s">
        <v>31</v>
      </c>
      <c r="E1883" s="2" t="s">
        <v>20</v>
      </c>
      <c r="F1883" s="2" t="n">
        <v>27359</v>
      </c>
      <c r="G1883" s="2" t="s">
        <v>26</v>
      </c>
      <c r="H1883" s="2" t="s">
        <v>20</v>
      </c>
      <c r="I1883" s="2" t="s">
        <v>23</v>
      </c>
      <c r="J1883" s="2" t="n">
        <v>3</v>
      </c>
      <c r="K1883" s="2" t="s">
        <v>33</v>
      </c>
      <c r="L1883" s="2" t="n">
        <v>71</v>
      </c>
      <c r="M1883" s="2" t="n">
        <v>2</v>
      </c>
      <c r="N1883" s="2" t="n">
        <v>-1</v>
      </c>
      <c r="O1883" s="2" t="n">
        <v>0</v>
      </c>
      <c r="P1883" s="2" t="s">
        <v>23</v>
      </c>
      <c r="Q1883" s="2" t="s">
        <v>20</v>
      </c>
    </row>
    <row r="1884" customFormat="false" ht="15" hidden="false" customHeight="false" outlineLevel="0" collapsed="false">
      <c r="A1884" s="2" t="n">
        <v>34</v>
      </c>
      <c r="B1884" s="2" t="s">
        <v>38</v>
      </c>
      <c r="C1884" s="2" t="s">
        <v>30</v>
      </c>
      <c r="D1884" s="2" t="s">
        <v>25</v>
      </c>
      <c r="E1884" s="2" t="s">
        <v>20</v>
      </c>
      <c r="F1884" s="2" t="n">
        <v>440</v>
      </c>
      <c r="G1884" s="2" t="s">
        <v>26</v>
      </c>
      <c r="H1884" s="2" t="s">
        <v>20</v>
      </c>
      <c r="I1884" s="2" t="s">
        <v>21</v>
      </c>
      <c r="J1884" s="2" t="n">
        <v>6</v>
      </c>
      <c r="K1884" s="2" t="s">
        <v>27</v>
      </c>
      <c r="L1884" s="2" t="n">
        <v>445</v>
      </c>
      <c r="M1884" s="2" t="n">
        <v>2</v>
      </c>
      <c r="N1884" s="2" t="n">
        <v>345</v>
      </c>
      <c r="O1884" s="2" t="n">
        <v>2</v>
      </c>
      <c r="P1884" s="2" t="s">
        <v>28</v>
      </c>
      <c r="Q1884" s="2" t="s">
        <v>20</v>
      </c>
    </row>
    <row r="1885" customFormat="false" ht="15" hidden="false" customHeight="false" outlineLevel="0" collapsed="false">
      <c r="A1885" s="2" t="n">
        <v>32</v>
      </c>
      <c r="B1885" s="2" t="s">
        <v>34</v>
      </c>
      <c r="C1885" s="2" t="s">
        <v>30</v>
      </c>
      <c r="D1885" s="2" t="s">
        <v>25</v>
      </c>
      <c r="E1885" s="2" t="s">
        <v>20</v>
      </c>
      <c r="F1885" s="2" t="n">
        <v>135</v>
      </c>
      <c r="G1885" s="2" t="s">
        <v>26</v>
      </c>
      <c r="H1885" s="2" t="s">
        <v>20</v>
      </c>
      <c r="I1885" s="2" t="s">
        <v>21</v>
      </c>
      <c r="J1885" s="2" t="n">
        <v>18</v>
      </c>
      <c r="K1885" s="2" t="s">
        <v>27</v>
      </c>
      <c r="L1885" s="2" t="n">
        <v>232</v>
      </c>
      <c r="M1885" s="2" t="n">
        <v>2</v>
      </c>
      <c r="N1885" s="2" t="n">
        <v>-1</v>
      </c>
      <c r="O1885" s="2" t="n">
        <v>0</v>
      </c>
      <c r="P1885" s="2" t="s">
        <v>23</v>
      </c>
      <c r="Q1885" s="2" t="s">
        <v>20</v>
      </c>
    </row>
    <row r="1886" customFormat="false" ht="15" hidden="false" customHeight="false" outlineLevel="0" collapsed="false">
      <c r="A1886" s="2" t="n">
        <v>39</v>
      </c>
      <c r="B1886" s="2" t="s">
        <v>38</v>
      </c>
      <c r="C1886" s="2" t="s">
        <v>18</v>
      </c>
      <c r="D1886" s="2" t="s">
        <v>25</v>
      </c>
      <c r="E1886" s="2" t="s">
        <v>20</v>
      </c>
      <c r="F1886" s="2" t="n">
        <v>-735</v>
      </c>
      <c r="G1886" s="2" t="s">
        <v>26</v>
      </c>
      <c r="H1886" s="2" t="s">
        <v>20</v>
      </c>
      <c r="I1886" s="2" t="s">
        <v>21</v>
      </c>
      <c r="J1886" s="2" t="n">
        <v>30</v>
      </c>
      <c r="K1886" s="2" t="s">
        <v>43</v>
      </c>
      <c r="L1886" s="2" t="n">
        <v>144</v>
      </c>
      <c r="M1886" s="2" t="n">
        <v>5</v>
      </c>
      <c r="N1886" s="2" t="n">
        <v>248</v>
      </c>
      <c r="O1886" s="2" t="n">
        <v>2</v>
      </c>
      <c r="P1886" s="2" t="s">
        <v>28</v>
      </c>
      <c r="Q1886" s="2" t="s">
        <v>20</v>
      </c>
    </row>
    <row r="1887" customFormat="false" ht="15" hidden="false" customHeight="false" outlineLevel="0" collapsed="false">
      <c r="A1887" s="2" t="n">
        <v>36</v>
      </c>
      <c r="B1887" s="2" t="s">
        <v>38</v>
      </c>
      <c r="C1887" s="2" t="s">
        <v>18</v>
      </c>
      <c r="D1887" s="2" t="s">
        <v>31</v>
      </c>
      <c r="E1887" s="2" t="s">
        <v>20</v>
      </c>
      <c r="F1887" s="2" t="n">
        <v>60</v>
      </c>
      <c r="G1887" s="2" t="s">
        <v>20</v>
      </c>
      <c r="H1887" s="2" t="s">
        <v>20</v>
      </c>
      <c r="I1887" s="2" t="s">
        <v>21</v>
      </c>
      <c r="J1887" s="2" t="n">
        <v>19</v>
      </c>
      <c r="K1887" s="2" t="s">
        <v>41</v>
      </c>
      <c r="L1887" s="2" t="n">
        <v>209</v>
      </c>
      <c r="M1887" s="2" t="n">
        <v>2</v>
      </c>
      <c r="N1887" s="2" t="n">
        <v>-1</v>
      </c>
      <c r="O1887" s="2" t="n">
        <v>0</v>
      </c>
      <c r="P1887" s="2" t="s">
        <v>23</v>
      </c>
      <c r="Q1887" s="2" t="s">
        <v>20</v>
      </c>
    </row>
    <row r="1888" customFormat="false" ht="15" hidden="false" customHeight="false" outlineLevel="0" collapsed="false">
      <c r="A1888" s="2" t="n">
        <v>39</v>
      </c>
      <c r="B1888" s="2" t="s">
        <v>38</v>
      </c>
      <c r="C1888" s="2" t="s">
        <v>45</v>
      </c>
      <c r="D1888" s="2" t="s">
        <v>25</v>
      </c>
      <c r="E1888" s="2" t="s">
        <v>20</v>
      </c>
      <c r="F1888" s="2" t="n">
        <v>902</v>
      </c>
      <c r="G1888" s="2" t="s">
        <v>26</v>
      </c>
      <c r="H1888" s="2" t="s">
        <v>20</v>
      </c>
      <c r="I1888" s="2" t="s">
        <v>21</v>
      </c>
      <c r="J1888" s="2" t="n">
        <v>10</v>
      </c>
      <c r="K1888" s="2" t="s">
        <v>35</v>
      </c>
      <c r="L1888" s="2" t="n">
        <v>691</v>
      </c>
      <c r="M1888" s="2" t="n">
        <v>2</v>
      </c>
      <c r="N1888" s="2" t="n">
        <v>180</v>
      </c>
      <c r="O1888" s="2" t="n">
        <v>5</v>
      </c>
      <c r="P1888" s="2" t="s">
        <v>28</v>
      </c>
      <c r="Q1888" s="2" t="s">
        <v>26</v>
      </c>
    </row>
    <row r="1889" customFormat="false" ht="15" hidden="false" customHeight="false" outlineLevel="0" collapsed="false">
      <c r="A1889" s="2" t="n">
        <v>33</v>
      </c>
      <c r="B1889" s="2" t="s">
        <v>29</v>
      </c>
      <c r="C1889" s="2" t="s">
        <v>18</v>
      </c>
      <c r="D1889" s="2" t="s">
        <v>23</v>
      </c>
      <c r="E1889" s="2" t="s">
        <v>20</v>
      </c>
      <c r="F1889" s="2" t="n">
        <v>18347</v>
      </c>
      <c r="G1889" s="2" t="s">
        <v>26</v>
      </c>
      <c r="H1889" s="2" t="s">
        <v>20</v>
      </c>
      <c r="I1889" s="2" t="s">
        <v>23</v>
      </c>
      <c r="J1889" s="2" t="n">
        <v>23</v>
      </c>
      <c r="K1889" s="2" t="s">
        <v>27</v>
      </c>
      <c r="L1889" s="2" t="n">
        <v>415</v>
      </c>
      <c r="M1889" s="2" t="n">
        <v>1</v>
      </c>
      <c r="N1889" s="2" t="n">
        <v>-1</v>
      </c>
      <c r="O1889" s="2" t="n">
        <v>0</v>
      </c>
      <c r="P1889" s="2" t="s">
        <v>23</v>
      </c>
      <c r="Q1889" s="2" t="s">
        <v>20</v>
      </c>
    </row>
    <row r="1890" customFormat="false" ht="15" hidden="false" customHeight="false" outlineLevel="0" collapsed="false">
      <c r="A1890" s="2" t="n">
        <v>34</v>
      </c>
      <c r="B1890" s="2" t="s">
        <v>34</v>
      </c>
      <c r="C1890" s="2" t="s">
        <v>30</v>
      </c>
      <c r="D1890" s="2" t="s">
        <v>25</v>
      </c>
      <c r="E1890" s="2" t="s">
        <v>20</v>
      </c>
      <c r="F1890" s="2" t="n">
        <v>-72</v>
      </c>
      <c r="G1890" s="2" t="s">
        <v>26</v>
      </c>
      <c r="H1890" s="2" t="s">
        <v>20</v>
      </c>
      <c r="I1890" s="2" t="s">
        <v>21</v>
      </c>
      <c r="J1890" s="2" t="n">
        <v>7</v>
      </c>
      <c r="K1890" s="2" t="s">
        <v>44</v>
      </c>
      <c r="L1890" s="2" t="n">
        <v>273</v>
      </c>
      <c r="M1890" s="2" t="n">
        <v>5</v>
      </c>
      <c r="N1890" s="2" t="n">
        <v>-1</v>
      </c>
      <c r="O1890" s="2" t="n">
        <v>0</v>
      </c>
      <c r="P1890" s="2" t="s">
        <v>23</v>
      </c>
      <c r="Q1890" s="2" t="s">
        <v>20</v>
      </c>
    </row>
    <row r="1891" customFormat="false" ht="15" hidden="false" customHeight="false" outlineLevel="0" collapsed="false">
      <c r="A1891" s="2" t="n">
        <v>42</v>
      </c>
      <c r="B1891" s="2" t="s">
        <v>29</v>
      </c>
      <c r="C1891" s="2" t="s">
        <v>18</v>
      </c>
      <c r="D1891" s="2" t="s">
        <v>31</v>
      </c>
      <c r="E1891" s="2" t="s">
        <v>20</v>
      </c>
      <c r="F1891" s="2" t="n">
        <v>1205</v>
      </c>
      <c r="G1891" s="2" t="s">
        <v>20</v>
      </c>
      <c r="H1891" s="2" t="s">
        <v>20</v>
      </c>
      <c r="I1891" s="2" t="s">
        <v>49</v>
      </c>
      <c r="J1891" s="2" t="n">
        <v>8</v>
      </c>
      <c r="K1891" s="2" t="s">
        <v>51</v>
      </c>
      <c r="L1891" s="2" t="n">
        <v>376</v>
      </c>
      <c r="M1891" s="2" t="n">
        <v>2</v>
      </c>
      <c r="N1891" s="2" t="n">
        <v>-1</v>
      </c>
      <c r="O1891" s="2" t="n">
        <v>0</v>
      </c>
      <c r="P1891" s="2" t="s">
        <v>23</v>
      </c>
      <c r="Q1891" s="2" t="s">
        <v>26</v>
      </c>
    </row>
    <row r="1892" customFormat="false" ht="15" hidden="false" customHeight="false" outlineLevel="0" collapsed="false">
      <c r="A1892" s="2" t="n">
        <v>46</v>
      </c>
      <c r="B1892" s="2" t="s">
        <v>38</v>
      </c>
      <c r="C1892" s="2" t="s">
        <v>18</v>
      </c>
      <c r="D1892" s="2" t="s">
        <v>25</v>
      </c>
      <c r="E1892" s="2" t="s">
        <v>20</v>
      </c>
      <c r="F1892" s="2" t="n">
        <v>499</v>
      </c>
      <c r="G1892" s="2" t="s">
        <v>26</v>
      </c>
      <c r="H1892" s="2" t="s">
        <v>20</v>
      </c>
      <c r="I1892" s="2" t="s">
        <v>21</v>
      </c>
      <c r="J1892" s="2" t="n">
        <v>31</v>
      </c>
      <c r="K1892" s="2" t="s">
        <v>44</v>
      </c>
      <c r="L1892" s="2" t="n">
        <v>37</v>
      </c>
      <c r="M1892" s="2" t="n">
        <v>10</v>
      </c>
      <c r="N1892" s="2" t="n">
        <v>-1</v>
      </c>
      <c r="O1892" s="2" t="n">
        <v>0</v>
      </c>
      <c r="P1892" s="2" t="s">
        <v>23</v>
      </c>
      <c r="Q1892" s="2" t="s">
        <v>20</v>
      </c>
    </row>
    <row r="1893" customFormat="false" ht="15" hidden="false" customHeight="false" outlineLevel="0" collapsed="false">
      <c r="A1893" s="2" t="n">
        <v>32</v>
      </c>
      <c r="B1893" s="2" t="s">
        <v>29</v>
      </c>
      <c r="C1893" s="2" t="s">
        <v>30</v>
      </c>
      <c r="D1893" s="2" t="s">
        <v>31</v>
      </c>
      <c r="E1893" s="2" t="s">
        <v>20</v>
      </c>
      <c r="F1893" s="2" t="n">
        <v>656</v>
      </c>
      <c r="G1893" s="2" t="s">
        <v>26</v>
      </c>
      <c r="H1893" s="2" t="s">
        <v>26</v>
      </c>
      <c r="I1893" s="2" t="s">
        <v>21</v>
      </c>
      <c r="J1893" s="2" t="n">
        <v>20</v>
      </c>
      <c r="K1893" s="2" t="s">
        <v>32</v>
      </c>
      <c r="L1893" s="2" t="n">
        <v>148</v>
      </c>
      <c r="M1893" s="2" t="n">
        <v>2</v>
      </c>
      <c r="N1893" s="2" t="n">
        <v>-1</v>
      </c>
      <c r="O1893" s="2" t="n">
        <v>0</v>
      </c>
      <c r="P1893" s="2" t="s">
        <v>23</v>
      </c>
      <c r="Q1893" s="2" t="s">
        <v>20</v>
      </c>
    </row>
    <row r="1894" customFormat="false" ht="15" hidden="false" customHeight="false" outlineLevel="0" collapsed="false">
      <c r="A1894" s="2" t="n">
        <v>27</v>
      </c>
      <c r="B1894" s="2" t="s">
        <v>24</v>
      </c>
      <c r="C1894" s="2" t="s">
        <v>18</v>
      </c>
      <c r="D1894" s="2" t="s">
        <v>25</v>
      </c>
      <c r="E1894" s="2" t="s">
        <v>20</v>
      </c>
      <c r="F1894" s="2" t="n">
        <v>100</v>
      </c>
      <c r="G1894" s="2" t="s">
        <v>20</v>
      </c>
      <c r="H1894" s="2" t="s">
        <v>20</v>
      </c>
      <c r="I1894" s="2" t="s">
        <v>21</v>
      </c>
      <c r="J1894" s="2" t="n">
        <v>16</v>
      </c>
      <c r="K1894" s="2" t="s">
        <v>44</v>
      </c>
      <c r="L1894" s="2" t="n">
        <v>57</v>
      </c>
      <c r="M1894" s="2" t="n">
        <v>2</v>
      </c>
      <c r="N1894" s="2" t="n">
        <v>-1</v>
      </c>
      <c r="O1894" s="2" t="n">
        <v>0</v>
      </c>
      <c r="P1894" s="2" t="s">
        <v>23</v>
      </c>
      <c r="Q1894" s="2" t="s">
        <v>20</v>
      </c>
    </row>
    <row r="1895" customFormat="false" ht="15" hidden="false" customHeight="false" outlineLevel="0" collapsed="false">
      <c r="A1895" s="2" t="n">
        <v>35</v>
      </c>
      <c r="B1895" s="2" t="s">
        <v>38</v>
      </c>
      <c r="C1895" s="2" t="s">
        <v>45</v>
      </c>
      <c r="D1895" s="2" t="s">
        <v>25</v>
      </c>
      <c r="E1895" s="2" t="s">
        <v>20</v>
      </c>
      <c r="F1895" s="2" t="n">
        <v>69</v>
      </c>
      <c r="G1895" s="2" t="s">
        <v>26</v>
      </c>
      <c r="H1895" s="2" t="s">
        <v>20</v>
      </c>
      <c r="I1895" s="2" t="s">
        <v>23</v>
      </c>
      <c r="J1895" s="2" t="n">
        <v>8</v>
      </c>
      <c r="K1895" s="2" t="s">
        <v>27</v>
      </c>
      <c r="L1895" s="2" t="n">
        <v>461</v>
      </c>
      <c r="M1895" s="2" t="n">
        <v>3</v>
      </c>
      <c r="N1895" s="2" t="n">
        <v>-1</v>
      </c>
      <c r="O1895" s="2" t="n">
        <v>0</v>
      </c>
      <c r="P1895" s="2" t="s">
        <v>23</v>
      </c>
      <c r="Q1895" s="2" t="s">
        <v>20</v>
      </c>
    </row>
    <row r="1896" customFormat="false" ht="15" hidden="false" customHeight="false" outlineLevel="0" collapsed="false">
      <c r="A1896" s="2" t="n">
        <v>53</v>
      </c>
      <c r="B1896" s="2" t="s">
        <v>38</v>
      </c>
      <c r="C1896" s="2" t="s">
        <v>18</v>
      </c>
      <c r="D1896" s="2" t="s">
        <v>23</v>
      </c>
      <c r="E1896" s="2" t="s">
        <v>20</v>
      </c>
      <c r="F1896" s="2" t="n">
        <v>619</v>
      </c>
      <c r="G1896" s="2" t="s">
        <v>20</v>
      </c>
      <c r="H1896" s="2" t="s">
        <v>20</v>
      </c>
      <c r="I1896" s="2" t="s">
        <v>23</v>
      </c>
      <c r="J1896" s="2" t="n">
        <v>17</v>
      </c>
      <c r="K1896" s="2" t="s">
        <v>33</v>
      </c>
      <c r="L1896" s="2" t="n">
        <v>198</v>
      </c>
      <c r="M1896" s="2" t="n">
        <v>6</v>
      </c>
      <c r="N1896" s="2" t="n">
        <v>-1</v>
      </c>
      <c r="O1896" s="2" t="n">
        <v>0</v>
      </c>
      <c r="P1896" s="2" t="s">
        <v>23</v>
      </c>
      <c r="Q1896" s="2" t="s">
        <v>20</v>
      </c>
    </row>
    <row r="1897" customFormat="false" ht="15" hidden="false" customHeight="false" outlineLevel="0" collapsed="false">
      <c r="A1897" s="2" t="n">
        <v>29</v>
      </c>
      <c r="B1897" s="2" t="s">
        <v>24</v>
      </c>
      <c r="C1897" s="2" t="s">
        <v>30</v>
      </c>
      <c r="D1897" s="2" t="s">
        <v>25</v>
      </c>
      <c r="E1897" s="2" t="s">
        <v>20</v>
      </c>
      <c r="F1897" s="2" t="n">
        <v>192</v>
      </c>
      <c r="G1897" s="2" t="s">
        <v>20</v>
      </c>
      <c r="H1897" s="2" t="s">
        <v>20</v>
      </c>
      <c r="I1897" s="2" t="s">
        <v>21</v>
      </c>
      <c r="J1897" s="2" t="n">
        <v>30</v>
      </c>
      <c r="K1897" s="2" t="s">
        <v>43</v>
      </c>
      <c r="L1897" s="2" t="n">
        <v>327</v>
      </c>
      <c r="M1897" s="2" t="n">
        <v>4</v>
      </c>
      <c r="N1897" s="2" t="n">
        <v>-1</v>
      </c>
      <c r="O1897" s="2" t="n">
        <v>0</v>
      </c>
      <c r="P1897" s="2" t="s">
        <v>23</v>
      </c>
      <c r="Q1897" s="2" t="s">
        <v>20</v>
      </c>
    </row>
    <row r="1898" customFormat="false" ht="15" hidden="false" customHeight="false" outlineLevel="0" collapsed="false">
      <c r="A1898" s="2" t="n">
        <v>35</v>
      </c>
      <c r="B1898" s="2" t="s">
        <v>29</v>
      </c>
      <c r="C1898" s="2" t="s">
        <v>30</v>
      </c>
      <c r="D1898" s="2" t="s">
        <v>31</v>
      </c>
      <c r="E1898" s="2" t="s">
        <v>20</v>
      </c>
      <c r="F1898" s="2" t="n">
        <v>0</v>
      </c>
      <c r="G1898" s="2" t="s">
        <v>20</v>
      </c>
      <c r="H1898" s="2" t="s">
        <v>20</v>
      </c>
      <c r="I1898" s="2" t="s">
        <v>21</v>
      </c>
      <c r="J1898" s="2" t="n">
        <v>29</v>
      </c>
      <c r="K1898" s="2" t="s">
        <v>41</v>
      </c>
      <c r="L1898" s="2" t="n">
        <v>669</v>
      </c>
      <c r="M1898" s="2" t="n">
        <v>6</v>
      </c>
      <c r="N1898" s="2" t="n">
        <v>-1</v>
      </c>
      <c r="O1898" s="2" t="n">
        <v>0</v>
      </c>
      <c r="P1898" s="2" t="s">
        <v>23</v>
      </c>
      <c r="Q1898" s="2" t="s">
        <v>20</v>
      </c>
    </row>
    <row r="1899" customFormat="false" ht="15" hidden="false" customHeight="false" outlineLevel="0" collapsed="false">
      <c r="A1899" s="2" t="n">
        <v>49</v>
      </c>
      <c r="B1899" s="2" t="s">
        <v>29</v>
      </c>
      <c r="C1899" s="2" t="s">
        <v>18</v>
      </c>
      <c r="D1899" s="2" t="s">
        <v>31</v>
      </c>
      <c r="E1899" s="2" t="s">
        <v>20</v>
      </c>
      <c r="F1899" s="2" t="n">
        <v>87</v>
      </c>
      <c r="G1899" s="2" t="s">
        <v>20</v>
      </c>
      <c r="H1899" s="2" t="s">
        <v>20</v>
      </c>
      <c r="I1899" s="2" t="s">
        <v>21</v>
      </c>
      <c r="J1899" s="2" t="n">
        <v>29</v>
      </c>
      <c r="K1899" s="2" t="s">
        <v>43</v>
      </c>
      <c r="L1899" s="2" t="n">
        <v>165</v>
      </c>
      <c r="M1899" s="2" t="n">
        <v>1</v>
      </c>
      <c r="N1899" s="2" t="n">
        <v>-1</v>
      </c>
      <c r="O1899" s="2" t="n">
        <v>0</v>
      </c>
      <c r="P1899" s="2" t="s">
        <v>23</v>
      </c>
      <c r="Q1899" s="2" t="s">
        <v>20</v>
      </c>
    </row>
    <row r="1900" customFormat="false" ht="15" hidden="false" customHeight="false" outlineLevel="0" collapsed="false">
      <c r="A1900" s="2" t="n">
        <v>58</v>
      </c>
      <c r="B1900" s="2" t="s">
        <v>29</v>
      </c>
      <c r="C1900" s="2" t="s">
        <v>18</v>
      </c>
      <c r="D1900" s="2" t="s">
        <v>31</v>
      </c>
      <c r="E1900" s="2" t="s">
        <v>20</v>
      </c>
      <c r="F1900" s="2" t="n">
        <v>3228</v>
      </c>
      <c r="G1900" s="2" t="s">
        <v>20</v>
      </c>
      <c r="H1900" s="2" t="s">
        <v>20</v>
      </c>
      <c r="I1900" s="2" t="s">
        <v>21</v>
      </c>
      <c r="J1900" s="2" t="n">
        <v>19</v>
      </c>
      <c r="K1900" s="2" t="s">
        <v>41</v>
      </c>
      <c r="L1900" s="2" t="n">
        <v>58</v>
      </c>
      <c r="M1900" s="2" t="n">
        <v>2</v>
      </c>
      <c r="N1900" s="2" t="n">
        <v>-1</v>
      </c>
      <c r="O1900" s="2" t="n">
        <v>0</v>
      </c>
      <c r="P1900" s="2" t="s">
        <v>23</v>
      </c>
      <c r="Q1900" s="2" t="s">
        <v>20</v>
      </c>
    </row>
    <row r="1901" customFormat="false" ht="15" hidden="false" customHeight="false" outlineLevel="0" collapsed="false">
      <c r="A1901" s="2" t="n">
        <v>40</v>
      </c>
      <c r="B1901" s="2" t="s">
        <v>29</v>
      </c>
      <c r="C1901" s="2" t="s">
        <v>30</v>
      </c>
      <c r="D1901" s="2" t="s">
        <v>31</v>
      </c>
      <c r="E1901" s="2" t="s">
        <v>20</v>
      </c>
      <c r="F1901" s="2" t="n">
        <v>1361</v>
      </c>
      <c r="G1901" s="2" t="s">
        <v>20</v>
      </c>
      <c r="H1901" s="2" t="s">
        <v>20</v>
      </c>
      <c r="I1901" s="2" t="s">
        <v>21</v>
      </c>
      <c r="J1901" s="2" t="n">
        <v>29</v>
      </c>
      <c r="K1901" s="2" t="s">
        <v>43</v>
      </c>
      <c r="L1901" s="2" t="n">
        <v>1473</v>
      </c>
      <c r="M1901" s="2" t="n">
        <v>1</v>
      </c>
      <c r="N1901" s="2" t="n">
        <v>-1</v>
      </c>
      <c r="O1901" s="2" t="n">
        <v>0</v>
      </c>
      <c r="P1901" s="2" t="s">
        <v>23</v>
      </c>
      <c r="Q1901" s="2" t="s">
        <v>26</v>
      </c>
    </row>
    <row r="1902" customFormat="false" ht="15" hidden="false" customHeight="false" outlineLevel="0" collapsed="false">
      <c r="A1902" s="2" t="n">
        <v>19</v>
      </c>
      <c r="B1902" s="2" t="s">
        <v>42</v>
      </c>
      <c r="C1902" s="2" t="s">
        <v>30</v>
      </c>
      <c r="D1902" s="2" t="s">
        <v>23</v>
      </c>
      <c r="E1902" s="2" t="s">
        <v>20</v>
      </c>
      <c r="F1902" s="2" t="n">
        <v>0</v>
      </c>
      <c r="G1902" s="2" t="s">
        <v>20</v>
      </c>
      <c r="H1902" s="2" t="s">
        <v>20</v>
      </c>
      <c r="I1902" s="2" t="s">
        <v>21</v>
      </c>
      <c r="J1902" s="2" t="n">
        <v>11</v>
      </c>
      <c r="K1902" s="2" t="s">
        <v>35</v>
      </c>
      <c r="L1902" s="2" t="n">
        <v>123</v>
      </c>
      <c r="M1902" s="2" t="n">
        <v>3</v>
      </c>
      <c r="N1902" s="2" t="n">
        <v>-1</v>
      </c>
      <c r="O1902" s="2" t="n">
        <v>0</v>
      </c>
      <c r="P1902" s="2" t="s">
        <v>23</v>
      </c>
      <c r="Q1902" s="2" t="s">
        <v>20</v>
      </c>
    </row>
    <row r="1903" customFormat="false" ht="15" hidden="false" customHeight="false" outlineLevel="0" collapsed="false">
      <c r="A1903" s="2" t="n">
        <v>30</v>
      </c>
      <c r="B1903" s="2" t="s">
        <v>42</v>
      </c>
      <c r="C1903" s="2" t="s">
        <v>30</v>
      </c>
      <c r="D1903" s="2" t="s">
        <v>31</v>
      </c>
      <c r="E1903" s="2" t="s">
        <v>20</v>
      </c>
      <c r="F1903" s="2" t="n">
        <v>34</v>
      </c>
      <c r="G1903" s="2" t="s">
        <v>26</v>
      </c>
      <c r="H1903" s="2" t="s">
        <v>20</v>
      </c>
      <c r="I1903" s="2" t="s">
        <v>23</v>
      </c>
      <c r="J1903" s="2" t="n">
        <v>6</v>
      </c>
      <c r="K1903" s="2" t="s">
        <v>27</v>
      </c>
      <c r="L1903" s="2" t="n">
        <v>289</v>
      </c>
      <c r="M1903" s="2" t="n">
        <v>1</v>
      </c>
      <c r="N1903" s="2" t="n">
        <v>-1</v>
      </c>
      <c r="O1903" s="2" t="n">
        <v>0</v>
      </c>
      <c r="P1903" s="2" t="s">
        <v>23</v>
      </c>
      <c r="Q1903" s="2" t="s">
        <v>20</v>
      </c>
    </row>
    <row r="1904" customFormat="false" ht="15" hidden="false" customHeight="false" outlineLevel="0" collapsed="false">
      <c r="A1904" s="2" t="n">
        <v>34</v>
      </c>
      <c r="B1904" s="2" t="s">
        <v>38</v>
      </c>
      <c r="C1904" s="2" t="s">
        <v>30</v>
      </c>
      <c r="D1904" s="2" t="s">
        <v>25</v>
      </c>
      <c r="E1904" s="2" t="s">
        <v>20</v>
      </c>
      <c r="F1904" s="2" t="n">
        <v>318</v>
      </c>
      <c r="G1904" s="2" t="s">
        <v>20</v>
      </c>
      <c r="H1904" s="2" t="s">
        <v>26</v>
      </c>
      <c r="I1904" s="2" t="s">
        <v>21</v>
      </c>
      <c r="J1904" s="2" t="n">
        <v>25</v>
      </c>
      <c r="K1904" s="2" t="s">
        <v>44</v>
      </c>
      <c r="L1904" s="2" t="n">
        <v>239</v>
      </c>
      <c r="M1904" s="2" t="n">
        <v>5</v>
      </c>
      <c r="N1904" s="2" t="n">
        <v>-1</v>
      </c>
      <c r="O1904" s="2" t="n">
        <v>0</v>
      </c>
      <c r="P1904" s="2" t="s">
        <v>23</v>
      </c>
      <c r="Q1904" s="2" t="s">
        <v>20</v>
      </c>
    </row>
    <row r="1905" customFormat="false" ht="15" hidden="false" customHeight="false" outlineLevel="0" collapsed="false">
      <c r="A1905" s="2" t="n">
        <v>60</v>
      </c>
      <c r="B1905" s="2" t="s">
        <v>48</v>
      </c>
      <c r="C1905" s="2" t="s">
        <v>18</v>
      </c>
      <c r="D1905" s="2" t="s">
        <v>25</v>
      </c>
      <c r="E1905" s="2" t="s">
        <v>20</v>
      </c>
      <c r="F1905" s="2" t="n">
        <v>197</v>
      </c>
      <c r="G1905" s="2" t="s">
        <v>20</v>
      </c>
      <c r="H1905" s="2" t="s">
        <v>20</v>
      </c>
      <c r="I1905" s="2" t="s">
        <v>21</v>
      </c>
      <c r="J1905" s="2" t="n">
        <v>7</v>
      </c>
      <c r="K1905" s="2" t="s">
        <v>22</v>
      </c>
      <c r="L1905" s="2" t="n">
        <v>1386</v>
      </c>
      <c r="M1905" s="2" t="n">
        <v>1</v>
      </c>
      <c r="N1905" s="2" t="n">
        <v>-1</v>
      </c>
      <c r="O1905" s="2" t="n">
        <v>0</v>
      </c>
      <c r="P1905" s="2" t="s">
        <v>23</v>
      </c>
      <c r="Q1905" s="2" t="s">
        <v>20</v>
      </c>
    </row>
    <row r="1906" customFormat="false" ht="15" hidden="false" customHeight="false" outlineLevel="0" collapsed="false">
      <c r="A1906" s="2" t="n">
        <v>28</v>
      </c>
      <c r="B1906" s="2" t="s">
        <v>42</v>
      </c>
      <c r="C1906" s="2" t="s">
        <v>30</v>
      </c>
      <c r="D1906" s="2" t="s">
        <v>31</v>
      </c>
      <c r="E1906" s="2" t="s">
        <v>20</v>
      </c>
      <c r="F1906" s="2" t="n">
        <v>0</v>
      </c>
      <c r="G1906" s="2" t="s">
        <v>20</v>
      </c>
      <c r="H1906" s="2" t="s">
        <v>20</v>
      </c>
      <c r="I1906" s="2" t="s">
        <v>21</v>
      </c>
      <c r="J1906" s="2" t="n">
        <v>28</v>
      </c>
      <c r="K1906" s="2" t="s">
        <v>51</v>
      </c>
      <c r="L1906" s="2" t="n">
        <v>294</v>
      </c>
      <c r="M1906" s="2" t="n">
        <v>2</v>
      </c>
      <c r="N1906" s="2" t="n">
        <v>105</v>
      </c>
      <c r="O1906" s="2" t="n">
        <v>7</v>
      </c>
      <c r="P1906" s="2" t="s">
        <v>37</v>
      </c>
      <c r="Q1906" s="2" t="s">
        <v>26</v>
      </c>
    </row>
    <row r="1907" customFormat="false" ht="15" hidden="false" customHeight="false" outlineLevel="0" collapsed="false">
      <c r="A1907" s="2" t="n">
        <v>46</v>
      </c>
      <c r="B1907" s="2" t="s">
        <v>29</v>
      </c>
      <c r="C1907" s="2" t="s">
        <v>18</v>
      </c>
      <c r="D1907" s="2" t="s">
        <v>31</v>
      </c>
      <c r="E1907" s="2" t="s">
        <v>20</v>
      </c>
      <c r="F1907" s="2" t="n">
        <v>273</v>
      </c>
      <c r="G1907" s="2" t="s">
        <v>26</v>
      </c>
      <c r="H1907" s="2" t="s">
        <v>20</v>
      </c>
      <c r="I1907" s="2" t="s">
        <v>21</v>
      </c>
      <c r="J1907" s="2" t="n">
        <v>18</v>
      </c>
      <c r="K1907" s="2" t="s">
        <v>52</v>
      </c>
      <c r="L1907" s="2" t="n">
        <v>910</v>
      </c>
      <c r="M1907" s="2" t="n">
        <v>2</v>
      </c>
      <c r="N1907" s="2" t="n">
        <v>184</v>
      </c>
      <c r="O1907" s="2" t="n">
        <v>4</v>
      </c>
      <c r="P1907" s="2" t="s">
        <v>50</v>
      </c>
      <c r="Q1907" s="2" t="s">
        <v>26</v>
      </c>
    </row>
    <row r="1908" customFormat="false" ht="15" hidden="false" customHeight="false" outlineLevel="0" collapsed="false">
      <c r="A1908" s="2" t="n">
        <v>49</v>
      </c>
      <c r="B1908" s="2" t="s">
        <v>34</v>
      </c>
      <c r="C1908" s="2" t="s">
        <v>45</v>
      </c>
      <c r="D1908" s="2" t="s">
        <v>19</v>
      </c>
      <c r="E1908" s="2" t="s">
        <v>20</v>
      </c>
      <c r="F1908" s="2" t="n">
        <v>15</v>
      </c>
      <c r="G1908" s="2" t="s">
        <v>26</v>
      </c>
      <c r="H1908" s="2" t="s">
        <v>20</v>
      </c>
      <c r="I1908" s="2" t="s">
        <v>23</v>
      </c>
      <c r="J1908" s="2" t="n">
        <v>27</v>
      </c>
      <c r="K1908" s="2" t="s">
        <v>27</v>
      </c>
      <c r="L1908" s="2" t="n">
        <v>550</v>
      </c>
      <c r="M1908" s="2" t="n">
        <v>7</v>
      </c>
      <c r="N1908" s="2" t="n">
        <v>-1</v>
      </c>
      <c r="O1908" s="2" t="n">
        <v>0</v>
      </c>
      <c r="P1908" s="2" t="s">
        <v>23</v>
      </c>
      <c r="Q1908" s="2" t="s">
        <v>20</v>
      </c>
    </row>
    <row r="1909" customFormat="false" ht="15" hidden="false" customHeight="false" outlineLevel="0" collapsed="false">
      <c r="A1909" s="2" t="n">
        <v>59</v>
      </c>
      <c r="B1909" s="2" t="s">
        <v>29</v>
      </c>
      <c r="C1909" s="2" t="s">
        <v>45</v>
      </c>
      <c r="D1909" s="2" t="s">
        <v>31</v>
      </c>
      <c r="E1909" s="2" t="s">
        <v>20</v>
      </c>
      <c r="F1909" s="2" t="n">
        <v>7813</v>
      </c>
      <c r="G1909" s="2" t="s">
        <v>26</v>
      </c>
      <c r="H1909" s="2" t="s">
        <v>20</v>
      </c>
      <c r="I1909" s="2" t="s">
        <v>21</v>
      </c>
      <c r="J1909" s="2" t="n">
        <v>21</v>
      </c>
      <c r="K1909" s="2" t="s">
        <v>46</v>
      </c>
      <c r="L1909" s="2" t="n">
        <v>75</v>
      </c>
      <c r="M1909" s="2" t="n">
        <v>1</v>
      </c>
      <c r="N1909" s="2" t="n">
        <v>-1</v>
      </c>
      <c r="O1909" s="2" t="n">
        <v>0</v>
      </c>
      <c r="P1909" s="2" t="s">
        <v>23</v>
      </c>
      <c r="Q1909" s="2" t="s">
        <v>20</v>
      </c>
    </row>
    <row r="1910" customFormat="false" ht="15" hidden="false" customHeight="false" outlineLevel="0" collapsed="false">
      <c r="A1910" s="2" t="n">
        <v>44</v>
      </c>
      <c r="B1910" s="2" t="s">
        <v>38</v>
      </c>
      <c r="C1910" s="2" t="s">
        <v>30</v>
      </c>
      <c r="D1910" s="2" t="s">
        <v>25</v>
      </c>
      <c r="E1910" s="2" t="s">
        <v>20</v>
      </c>
      <c r="F1910" s="2" t="n">
        <v>-27</v>
      </c>
      <c r="G1910" s="2" t="s">
        <v>26</v>
      </c>
      <c r="H1910" s="2" t="s">
        <v>26</v>
      </c>
      <c r="I1910" s="2" t="s">
        <v>23</v>
      </c>
      <c r="J1910" s="2" t="n">
        <v>14</v>
      </c>
      <c r="K1910" s="2" t="s">
        <v>27</v>
      </c>
      <c r="L1910" s="2" t="n">
        <v>100</v>
      </c>
      <c r="M1910" s="2" t="n">
        <v>3</v>
      </c>
      <c r="N1910" s="2" t="n">
        <v>-1</v>
      </c>
      <c r="O1910" s="2" t="n">
        <v>0</v>
      </c>
      <c r="P1910" s="2" t="s">
        <v>23</v>
      </c>
      <c r="Q1910" s="2" t="s">
        <v>20</v>
      </c>
    </row>
    <row r="1911" customFormat="false" ht="15" hidden="false" customHeight="false" outlineLevel="0" collapsed="false">
      <c r="A1911" s="2" t="n">
        <v>33</v>
      </c>
      <c r="B1911" s="2" t="s">
        <v>38</v>
      </c>
      <c r="C1911" s="2" t="s">
        <v>18</v>
      </c>
      <c r="D1911" s="2" t="s">
        <v>31</v>
      </c>
      <c r="E1911" s="2" t="s">
        <v>20</v>
      </c>
      <c r="F1911" s="2" t="n">
        <v>75</v>
      </c>
      <c r="G1911" s="2" t="s">
        <v>20</v>
      </c>
      <c r="H1911" s="2" t="s">
        <v>20</v>
      </c>
      <c r="I1911" s="2" t="s">
        <v>21</v>
      </c>
      <c r="J1911" s="2" t="n">
        <v>21</v>
      </c>
      <c r="K1911" s="2" t="s">
        <v>44</v>
      </c>
      <c r="L1911" s="2" t="n">
        <v>204</v>
      </c>
      <c r="M1911" s="2" t="n">
        <v>4</v>
      </c>
      <c r="N1911" s="2" t="n">
        <v>-1</v>
      </c>
      <c r="O1911" s="2" t="n">
        <v>0</v>
      </c>
      <c r="P1911" s="2" t="s">
        <v>23</v>
      </c>
      <c r="Q1911" s="2" t="s">
        <v>20</v>
      </c>
    </row>
    <row r="1912" customFormat="false" ht="15" hidden="false" customHeight="false" outlineLevel="0" collapsed="false">
      <c r="A1912" s="2" t="n">
        <v>54</v>
      </c>
      <c r="B1912" s="2" t="s">
        <v>48</v>
      </c>
      <c r="C1912" s="2" t="s">
        <v>18</v>
      </c>
      <c r="D1912" s="2" t="s">
        <v>25</v>
      </c>
      <c r="E1912" s="2" t="s">
        <v>20</v>
      </c>
      <c r="F1912" s="2" t="n">
        <v>1139</v>
      </c>
      <c r="G1912" s="2" t="s">
        <v>26</v>
      </c>
      <c r="H1912" s="2" t="s">
        <v>20</v>
      </c>
      <c r="I1912" s="2" t="s">
        <v>21</v>
      </c>
      <c r="J1912" s="2" t="n">
        <v>14</v>
      </c>
      <c r="K1912" s="2" t="s">
        <v>27</v>
      </c>
      <c r="L1912" s="2" t="n">
        <v>155</v>
      </c>
      <c r="M1912" s="2" t="n">
        <v>1</v>
      </c>
      <c r="N1912" s="2" t="n">
        <v>177</v>
      </c>
      <c r="O1912" s="2" t="n">
        <v>7</v>
      </c>
      <c r="P1912" s="2" t="s">
        <v>28</v>
      </c>
      <c r="Q1912" s="2" t="s">
        <v>20</v>
      </c>
    </row>
    <row r="1913" customFormat="false" ht="15" hidden="false" customHeight="false" outlineLevel="0" collapsed="false">
      <c r="A1913" s="2" t="n">
        <v>26</v>
      </c>
      <c r="B1913" s="2" t="s">
        <v>34</v>
      </c>
      <c r="C1913" s="2" t="s">
        <v>18</v>
      </c>
      <c r="D1913" s="2" t="s">
        <v>25</v>
      </c>
      <c r="E1913" s="2" t="s">
        <v>20</v>
      </c>
      <c r="F1913" s="2" t="n">
        <v>115</v>
      </c>
      <c r="G1913" s="2" t="s">
        <v>26</v>
      </c>
      <c r="H1913" s="2" t="s">
        <v>20</v>
      </c>
      <c r="I1913" s="2" t="s">
        <v>23</v>
      </c>
      <c r="J1913" s="2" t="n">
        <v>4</v>
      </c>
      <c r="K1913" s="2" t="s">
        <v>44</v>
      </c>
      <c r="L1913" s="2" t="n">
        <v>46</v>
      </c>
      <c r="M1913" s="2" t="n">
        <v>3</v>
      </c>
      <c r="N1913" s="2" t="n">
        <v>-1</v>
      </c>
      <c r="O1913" s="2" t="n">
        <v>0</v>
      </c>
      <c r="P1913" s="2" t="s">
        <v>23</v>
      </c>
      <c r="Q1913" s="2" t="s">
        <v>20</v>
      </c>
    </row>
    <row r="1914" customFormat="false" ht="15" hidden="false" customHeight="false" outlineLevel="0" collapsed="false">
      <c r="A1914" s="2" t="n">
        <v>54</v>
      </c>
      <c r="B1914" s="2" t="s">
        <v>34</v>
      </c>
      <c r="C1914" s="2" t="s">
        <v>18</v>
      </c>
      <c r="D1914" s="2" t="s">
        <v>25</v>
      </c>
      <c r="E1914" s="2" t="s">
        <v>20</v>
      </c>
      <c r="F1914" s="2" t="n">
        <v>0</v>
      </c>
      <c r="G1914" s="2" t="s">
        <v>20</v>
      </c>
      <c r="H1914" s="2" t="s">
        <v>20</v>
      </c>
      <c r="I1914" s="2" t="s">
        <v>49</v>
      </c>
      <c r="J1914" s="2" t="n">
        <v>16</v>
      </c>
      <c r="K1914" s="2" t="s">
        <v>32</v>
      </c>
      <c r="L1914" s="2" t="n">
        <v>1366</v>
      </c>
      <c r="M1914" s="2" t="n">
        <v>1</v>
      </c>
      <c r="N1914" s="2" t="n">
        <v>150</v>
      </c>
      <c r="O1914" s="2" t="n">
        <v>1</v>
      </c>
      <c r="P1914" s="2" t="s">
        <v>28</v>
      </c>
      <c r="Q1914" s="2" t="s">
        <v>20</v>
      </c>
    </row>
    <row r="1915" customFormat="false" ht="15" hidden="false" customHeight="false" outlineLevel="0" collapsed="false">
      <c r="A1915" s="2" t="n">
        <v>48</v>
      </c>
      <c r="B1915" s="2" t="s">
        <v>47</v>
      </c>
      <c r="C1915" s="2" t="s">
        <v>18</v>
      </c>
      <c r="D1915" s="2" t="s">
        <v>19</v>
      </c>
      <c r="E1915" s="2" t="s">
        <v>20</v>
      </c>
      <c r="F1915" s="2" t="n">
        <v>7195</v>
      </c>
      <c r="G1915" s="2" t="s">
        <v>20</v>
      </c>
      <c r="H1915" s="2" t="s">
        <v>20</v>
      </c>
      <c r="I1915" s="2" t="s">
        <v>21</v>
      </c>
      <c r="J1915" s="2" t="n">
        <v>21</v>
      </c>
      <c r="K1915" s="2" t="s">
        <v>46</v>
      </c>
      <c r="L1915" s="2" t="n">
        <v>609</v>
      </c>
      <c r="M1915" s="2" t="n">
        <v>2</v>
      </c>
      <c r="N1915" s="2" t="n">
        <v>-1</v>
      </c>
      <c r="O1915" s="2" t="n">
        <v>0</v>
      </c>
      <c r="P1915" s="2" t="s">
        <v>23</v>
      </c>
      <c r="Q1915" s="2" t="s">
        <v>26</v>
      </c>
    </row>
    <row r="1916" customFormat="false" ht="15" hidden="false" customHeight="false" outlineLevel="0" collapsed="false">
      <c r="A1916" s="2" t="n">
        <v>30</v>
      </c>
      <c r="B1916" s="2" t="s">
        <v>24</v>
      </c>
      <c r="C1916" s="2" t="s">
        <v>30</v>
      </c>
      <c r="D1916" s="2" t="s">
        <v>31</v>
      </c>
      <c r="E1916" s="2" t="s">
        <v>20</v>
      </c>
      <c r="F1916" s="2" t="n">
        <v>-477</v>
      </c>
      <c r="G1916" s="2" t="s">
        <v>20</v>
      </c>
      <c r="H1916" s="2" t="s">
        <v>26</v>
      </c>
      <c r="I1916" s="2" t="s">
        <v>21</v>
      </c>
      <c r="J1916" s="2" t="n">
        <v>21</v>
      </c>
      <c r="K1916" s="2" t="s">
        <v>41</v>
      </c>
      <c r="L1916" s="2" t="n">
        <v>1532</v>
      </c>
      <c r="M1916" s="2" t="n">
        <v>2</v>
      </c>
      <c r="N1916" s="2" t="n">
        <v>-1</v>
      </c>
      <c r="O1916" s="2" t="n">
        <v>0</v>
      </c>
      <c r="P1916" s="2" t="s">
        <v>23</v>
      </c>
      <c r="Q1916" s="2" t="s">
        <v>26</v>
      </c>
    </row>
    <row r="1917" customFormat="false" ht="15" hidden="false" customHeight="false" outlineLevel="0" collapsed="false">
      <c r="A1917" s="2" t="n">
        <v>29</v>
      </c>
      <c r="B1917" s="2" t="s">
        <v>29</v>
      </c>
      <c r="C1917" s="2" t="s">
        <v>30</v>
      </c>
      <c r="D1917" s="2" t="s">
        <v>31</v>
      </c>
      <c r="E1917" s="2" t="s">
        <v>20</v>
      </c>
      <c r="F1917" s="2" t="n">
        <v>1026</v>
      </c>
      <c r="G1917" s="2" t="s">
        <v>20</v>
      </c>
      <c r="H1917" s="2" t="s">
        <v>20</v>
      </c>
      <c r="I1917" s="2" t="s">
        <v>21</v>
      </c>
      <c r="J1917" s="2" t="n">
        <v>12</v>
      </c>
      <c r="K1917" s="2" t="s">
        <v>46</v>
      </c>
      <c r="L1917" s="2" t="n">
        <v>226</v>
      </c>
      <c r="M1917" s="2" t="n">
        <v>1</v>
      </c>
      <c r="N1917" s="2" t="n">
        <v>92</v>
      </c>
      <c r="O1917" s="2" t="n">
        <v>1</v>
      </c>
      <c r="P1917" s="2" t="s">
        <v>37</v>
      </c>
      <c r="Q1917" s="2" t="s">
        <v>26</v>
      </c>
    </row>
    <row r="1918" customFormat="false" ht="15" hidden="false" customHeight="false" outlineLevel="0" collapsed="false">
      <c r="A1918" s="2" t="n">
        <v>51</v>
      </c>
      <c r="B1918" s="2" t="s">
        <v>39</v>
      </c>
      <c r="C1918" s="2" t="s">
        <v>18</v>
      </c>
      <c r="D1918" s="2" t="s">
        <v>31</v>
      </c>
      <c r="E1918" s="2" t="s">
        <v>20</v>
      </c>
      <c r="F1918" s="2" t="n">
        <v>3921</v>
      </c>
      <c r="G1918" s="2" t="s">
        <v>26</v>
      </c>
      <c r="H1918" s="2" t="s">
        <v>20</v>
      </c>
      <c r="I1918" s="2" t="s">
        <v>21</v>
      </c>
      <c r="J1918" s="2" t="n">
        <v>5</v>
      </c>
      <c r="K1918" s="2" t="s">
        <v>27</v>
      </c>
      <c r="L1918" s="2" t="n">
        <v>168</v>
      </c>
      <c r="M1918" s="2" t="n">
        <v>1</v>
      </c>
      <c r="N1918" s="2" t="n">
        <v>-1</v>
      </c>
      <c r="O1918" s="2" t="n">
        <v>0</v>
      </c>
      <c r="P1918" s="2" t="s">
        <v>23</v>
      </c>
      <c r="Q1918" s="2" t="s">
        <v>20</v>
      </c>
    </row>
    <row r="1919" customFormat="false" ht="15" hidden="false" customHeight="false" outlineLevel="0" collapsed="false">
      <c r="A1919" s="2" t="n">
        <v>53</v>
      </c>
      <c r="B1919" s="2" t="s">
        <v>17</v>
      </c>
      <c r="C1919" s="2" t="s">
        <v>18</v>
      </c>
      <c r="D1919" s="2" t="s">
        <v>19</v>
      </c>
      <c r="E1919" s="2" t="s">
        <v>20</v>
      </c>
      <c r="F1919" s="2" t="n">
        <v>980</v>
      </c>
      <c r="G1919" s="2" t="s">
        <v>26</v>
      </c>
      <c r="H1919" s="2" t="s">
        <v>20</v>
      </c>
      <c r="I1919" s="2" t="s">
        <v>21</v>
      </c>
      <c r="J1919" s="2" t="n">
        <v>3</v>
      </c>
      <c r="K1919" s="2" t="s">
        <v>53</v>
      </c>
      <c r="L1919" s="2" t="n">
        <v>352</v>
      </c>
      <c r="M1919" s="2" t="n">
        <v>1</v>
      </c>
      <c r="N1919" s="2" t="n">
        <v>-1</v>
      </c>
      <c r="O1919" s="2" t="n">
        <v>0</v>
      </c>
      <c r="P1919" s="2" t="s">
        <v>23</v>
      </c>
      <c r="Q1919" s="2" t="s">
        <v>26</v>
      </c>
    </row>
    <row r="1920" customFormat="false" ht="15" hidden="false" customHeight="false" outlineLevel="0" collapsed="false">
      <c r="A1920" s="2" t="n">
        <v>43</v>
      </c>
      <c r="B1920" s="2" t="s">
        <v>34</v>
      </c>
      <c r="C1920" s="2" t="s">
        <v>18</v>
      </c>
      <c r="D1920" s="2" t="s">
        <v>25</v>
      </c>
      <c r="E1920" s="2" t="s">
        <v>20</v>
      </c>
      <c r="F1920" s="2" t="n">
        <v>-179</v>
      </c>
      <c r="G1920" s="2" t="s">
        <v>26</v>
      </c>
      <c r="H1920" s="2" t="s">
        <v>20</v>
      </c>
      <c r="I1920" s="2" t="s">
        <v>21</v>
      </c>
      <c r="J1920" s="2" t="n">
        <v>30</v>
      </c>
      <c r="K1920" s="2" t="s">
        <v>44</v>
      </c>
      <c r="L1920" s="2" t="n">
        <v>335</v>
      </c>
      <c r="M1920" s="2" t="n">
        <v>6</v>
      </c>
      <c r="N1920" s="2" t="n">
        <v>-1</v>
      </c>
      <c r="O1920" s="2" t="n">
        <v>0</v>
      </c>
      <c r="P1920" s="2" t="s">
        <v>23</v>
      </c>
      <c r="Q1920" s="2" t="s">
        <v>20</v>
      </c>
    </row>
    <row r="1921" customFormat="false" ht="15" hidden="false" customHeight="false" outlineLevel="0" collapsed="false">
      <c r="A1921" s="2" t="n">
        <v>34</v>
      </c>
      <c r="B1921" s="2" t="s">
        <v>40</v>
      </c>
      <c r="C1921" s="2" t="s">
        <v>18</v>
      </c>
      <c r="D1921" s="2" t="s">
        <v>31</v>
      </c>
      <c r="E1921" s="2" t="s">
        <v>20</v>
      </c>
      <c r="F1921" s="2" t="n">
        <v>2552</v>
      </c>
      <c r="G1921" s="2" t="s">
        <v>26</v>
      </c>
      <c r="H1921" s="2" t="s">
        <v>26</v>
      </c>
      <c r="I1921" s="2" t="s">
        <v>21</v>
      </c>
      <c r="J1921" s="2" t="n">
        <v>25</v>
      </c>
      <c r="K1921" s="2" t="s">
        <v>51</v>
      </c>
      <c r="L1921" s="2" t="n">
        <v>74</v>
      </c>
      <c r="M1921" s="2" t="n">
        <v>1</v>
      </c>
      <c r="N1921" s="2" t="n">
        <v>-1</v>
      </c>
      <c r="O1921" s="2" t="n">
        <v>0</v>
      </c>
      <c r="P1921" s="2" t="s">
        <v>23</v>
      </c>
      <c r="Q1921" s="2" t="s">
        <v>20</v>
      </c>
    </row>
    <row r="1922" customFormat="false" ht="15" hidden="false" customHeight="false" outlineLevel="0" collapsed="false">
      <c r="A1922" s="2" t="n">
        <v>40</v>
      </c>
      <c r="B1922" s="2" t="s">
        <v>39</v>
      </c>
      <c r="C1922" s="2" t="s">
        <v>18</v>
      </c>
      <c r="D1922" s="2" t="s">
        <v>31</v>
      </c>
      <c r="E1922" s="2" t="s">
        <v>20</v>
      </c>
      <c r="F1922" s="2" t="n">
        <v>1729</v>
      </c>
      <c r="G1922" s="2" t="s">
        <v>26</v>
      </c>
      <c r="H1922" s="2" t="s">
        <v>20</v>
      </c>
      <c r="I1922" s="2" t="s">
        <v>21</v>
      </c>
      <c r="J1922" s="2" t="n">
        <v>12</v>
      </c>
      <c r="K1922" s="2" t="s">
        <v>27</v>
      </c>
      <c r="L1922" s="2" t="n">
        <v>85</v>
      </c>
      <c r="M1922" s="2" t="n">
        <v>1</v>
      </c>
      <c r="N1922" s="2" t="n">
        <v>-1</v>
      </c>
      <c r="O1922" s="2" t="n">
        <v>0</v>
      </c>
      <c r="P1922" s="2" t="s">
        <v>23</v>
      </c>
      <c r="Q1922" s="2" t="s">
        <v>20</v>
      </c>
    </row>
    <row r="1923" customFormat="false" ht="15" hidden="false" customHeight="false" outlineLevel="0" collapsed="false">
      <c r="A1923" s="2" t="n">
        <v>43</v>
      </c>
      <c r="B1923" s="2" t="s">
        <v>38</v>
      </c>
      <c r="C1923" s="2" t="s">
        <v>18</v>
      </c>
      <c r="D1923" s="2" t="s">
        <v>25</v>
      </c>
      <c r="E1923" s="2" t="s">
        <v>20</v>
      </c>
      <c r="F1923" s="2" t="n">
        <v>434</v>
      </c>
      <c r="G1923" s="2" t="s">
        <v>26</v>
      </c>
      <c r="H1923" s="2" t="s">
        <v>20</v>
      </c>
      <c r="I1923" s="2" t="s">
        <v>23</v>
      </c>
      <c r="J1923" s="2" t="n">
        <v>5</v>
      </c>
      <c r="K1923" s="2" t="s">
        <v>27</v>
      </c>
      <c r="L1923" s="2" t="n">
        <v>117</v>
      </c>
      <c r="M1923" s="2" t="n">
        <v>1</v>
      </c>
      <c r="N1923" s="2" t="n">
        <v>-1</v>
      </c>
      <c r="O1923" s="2" t="n">
        <v>0</v>
      </c>
      <c r="P1923" s="2" t="s">
        <v>23</v>
      </c>
      <c r="Q1923" s="2" t="s">
        <v>20</v>
      </c>
    </row>
    <row r="1924" customFormat="false" ht="15" hidden="false" customHeight="false" outlineLevel="0" collapsed="false">
      <c r="A1924" s="2" t="n">
        <v>33</v>
      </c>
      <c r="B1924" s="2" t="s">
        <v>40</v>
      </c>
      <c r="C1924" s="2" t="s">
        <v>30</v>
      </c>
      <c r="D1924" s="2" t="s">
        <v>25</v>
      </c>
      <c r="E1924" s="2" t="s">
        <v>20</v>
      </c>
      <c r="F1924" s="2" t="n">
        <v>-300</v>
      </c>
      <c r="G1924" s="2" t="s">
        <v>26</v>
      </c>
      <c r="H1924" s="2" t="s">
        <v>26</v>
      </c>
      <c r="I1924" s="2" t="s">
        <v>21</v>
      </c>
      <c r="J1924" s="2" t="n">
        <v>25</v>
      </c>
      <c r="K1924" s="2" t="s">
        <v>44</v>
      </c>
      <c r="L1924" s="2" t="n">
        <v>184</v>
      </c>
      <c r="M1924" s="2" t="n">
        <v>1</v>
      </c>
      <c r="N1924" s="2" t="n">
        <v>-1</v>
      </c>
      <c r="O1924" s="2" t="n">
        <v>0</v>
      </c>
      <c r="P1924" s="2" t="s">
        <v>23</v>
      </c>
      <c r="Q1924" s="2" t="s">
        <v>20</v>
      </c>
    </row>
    <row r="1925" customFormat="false" ht="15" hidden="false" customHeight="false" outlineLevel="0" collapsed="false">
      <c r="A1925" s="2" t="n">
        <v>66</v>
      </c>
      <c r="B1925" s="2" t="s">
        <v>48</v>
      </c>
      <c r="C1925" s="2" t="s">
        <v>18</v>
      </c>
      <c r="D1925" s="2" t="s">
        <v>25</v>
      </c>
      <c r="E1925" s="2" t="s">
        <v>20</v>
      </c>
      <c r="F1925" s="2" t="n">
        <v>4785</v>
      </c>
      <c r="G1925" s="2" t="s">
        <v>20</v>
      </c>
      <c r="H1925" s="2" t="s">
        <v>20</v>
      </c>
      <c r="I1925" s="2" t="s">
        <v>21</v>
      </c>
      <c r="J1925" s="2" t="n">
        <v>13</v>
      </c>
      <c r="K1925" s="2" t="s">
        <v>41</v>
      </c>
      <c r="L1925" s="2" t="n">
        <v>72</v>
      </c>
      <c r="M1925" s="2" t="n">
        <v>3</v>
      </c>
      <c r="N1925" s="2" t="n">
        <v>-1</v>
      </c>
      <c r="O1925" s="2" t="n">
        <v>0</v>
      </c>
      <c r="P1925" s="2" t="s">
        <v>23</v>
      </c>
      <c r="Q1925" s="2" t="s">
        <v>20</v>
      </c>
    </row>
    <row r="1926" customFormat="false" ht="15" hidden="false" customHeight="false" outlineLevel="0" collapsed="false">
      <c r="A1926" s="2" t="n">
        <v>44</v>
      </c>
      <c r="B1926" s="2" t="s">
        <v>38</v>
      </c>
      <c r="C1926" s="2" t="s">
        <v>45</v>
      </c>
      <c r="D1926" s="2" t="s">
        <v>25</v>
      </c>
      <c r="E1926" s="2" t="s">
        <v>20</v>
      </c>
      <c r="F1926" s="2" t="n">
        <v>-329</v>
      </c>
      <c r="G1926" s="2" t="s">
        <v>26</v>
      </c>
      <c r="H1926" s="2" t="s">
        <v>20</v>
      </c>
      <c r="I1926" s="2" t="s">
        <v>23</v>
      </c>
      <c r="J1926" s="2" t="n">
        <v>7</v>
      </c>
      <c r="K1926" s="2" t="s">
        <v>27</v>
      </c>
      <c r="L1926" s="2" t="n">
        <v>171</v>
      </c>
      <c r="M1926" s="2" t="n">
        <v>1</v>
      </c>
      <c r="N1926" s="2" t="n">
        <v>-1</v>
      </c>
      <c r="O1926" s="2" t="n">
        <v>0</v>
      </c>
      <c r="P1926" s="2" t="s">
        <v>23</v>
      </c>
      <c r="Q1926" s="2" t="s">
        <v>20</v>
      </c>
    </row>
    <row r="1927" customFormat="false" ht="15" hidden="false" customHeight="false" outlineLevel="0" collapsed="false">
      <c r="A1927" s="2" t="n">
        <v>33</v>
      </c>
      <c r="B1927" s="2" t="s">
        <v>24</v>
      </c>
      <c r="C1927" s="2" t="s">
        <v>18</v>
      </c>
      <c r="D1927" s="2" t="s">
        <v>25</v>
      </c>
      <c r="E1927" s="2" t="s">
        <v>20</v>
      </c>
      <c r="F1927" s="2" t="n">
        <v>0</v>
      </c>
      <c r="G1927" s="2" t="s">
        <v>26</v>
      </c>
      <c r="H1927" s="2" t="s">
        <v>20</v>
      </c>
      <c r="I1927" s="2" t="s">
        <v>49</v>
      </c>
      <c r="J1927" s="2" t="n">
        <v>22</v>
      </c>
      <c r="K1927" s="2" t="s">
        <v>44</v>
      </c>
      <c r="L1927" s="2" t="n">
        <v>44</v>
      </c>
      <c r="M1927" s="2" t="n">
        <v>8</v>
      </c>
      <c r="N1927" s="2" t="n">
        <v>-1</v>
      </c>
      <c r="O1927" s="2" t="n">
        <v>0</v>
      </c>
      <c r="P1927" s="2" t="s">
        <v>23</v>
      </c>
      <c r="Q1927" s="2" t="s">
        <v>20</v>
      </c>
    </row>
    <row r="1928" customFormat="false" ht="15" hidden="false" customHeight="false" outlineLevel="0" collapsed="false">
      <c r="A1928" s="2" t="n">
        <v>31</v>
      </c>
      <c r="B1928" s="2" t="s">
        <v>38</v>
      </c>
      <c r="C1928" s="2" t="s">
        <v>30</v>
      </c>
      <c r="D1928" s="2" t="s">
        <v>25</v>
      </c>
      <c r="E1928" s="2" t="s">
        <v>20</v>
      </c>
      <c r="F1928" s="2" t="n">
        <v>391</v>
      </c>
      <c r="G1928" s="2" t="s">
        <v>20</v>
      </c>
      <c r="H1928" s="2" t="s">
        <v>20</v>
      </c>
      <c r="I1928" s="2" t="s">
        <v>21</v>
      </c>
      <c r="J1928" s="2" t="n">
        <v>13</v>
      </c>
      <c r="K1928" s="2" t="s">
        <v>41</v>
      </c>
      <c r="L1928" s="2" t="n">
        <v>336</v>
      </c>
      <c r="M1928" s="2" t="n">
        <v>2</v>
      </c>
      <c r="N1928" s="2" t="n">
        <v>-1</v>
      </c>
      <c r="O1928" s="2" t="n">
        <v>0</v>
      </c>
      <c r="P1928" s="2" t="s">
        <v>23</v>
      </c>
      <c r="Q1928" s="2" t="s">
        <v>20</v>
      </c>
    </row>
    <row r="1929" customFormat="false" ht="15" hidden="false" customHeight="false" outlineLevel="0" collapsed="false">
      <c r="A1929" s="2" t="n">
        <v>71</v>
      </c>
      <c r="B1929" s="2" t="s">
        <v>48</v>
      </c>
      <c r="C1929" s="2" t="s">
        <v>18</v>
      </c>
      <c r="D1929" s="2" t="s">
        <v>19</v>
      </c>
      <c r="E1929" s="2" t="s">
        <v>20</v>
      </c>
      <c r="F1929" s="2" t="n">
        <v>4657</v>
      </c>
      <c r="G1929" s="2" t="s">
        <v>20</v>
      </c>
      <c r="H1929" s="2" t="s">
        <v>20</v>
      </c>
      <c r="I1929" s="2" t="s">
        <v>21</v>
      </c>
      <c r="J1929" s="2" t="n">
        <v>16</v>
      </c>
      <c r="K1929" s="2" t="s">
        <v>35</v>
      </c>
      <c r="L1929" s="2" t="n">
        <v>93</v>
      </c>
      <c r="M1929" s="2" t="n">
        <v>5</v>
      </c>
      <c r="N1929" s="2" t="n">
        <v>-1</v>
      </c>
      <c r="O1929" s="2" t="n">
        <v>0</v>
      </c>
      <c r="P1929" s="2" t="s">
        <v>23</v>
      </c>
      <c r="Q1929" s="2" t="s">
        <v>26</v>
      </c>
    </row>
    <row r="1930" customFormat="false" ht="15" hidden="false" customHeight="false" outlineLevel="0" collapsed="false">
      <c r="A1930" s="2" t="n">
        <v>22</v>
      </c>
      <c r="B1930" s="2" t="s">
        <v>42</v>
      </c>
      <c r="C1930" s="2" t="s">
        <v>30</v>
      </c>
      <c r="D1930" s="2" t="s">
        <v>19</v>
      </c>
      <c r="E1930" s="2" t="s">
        <v>20</v>
      </c>
      <c r="F1930" s="2" t="n">
        <v>3472</v>
      </c>
      <c r="G1930" s="2" t="s">
        <v>20</v>
      </c>
      <c r="H1930" s="2" t="s">
        <v>20</v>
      </c>
      <c r="I1930" s="2" t="s">
        <v>21</v>
      </c>
      <c r="J1930" s="2" t="n">
        <v>20</v>
      </c>
      <c r="K1930" s="2" t="s">
        <v>22</v>
      </c>
      <c r="L1930" s="2" t="n">
        <v>332</v>
      </c>
      <c r="M1930" s="2" t="n">
        <v>1</v>
      </c>
      <c r="N1930" s="2" t="n">
        <v>183</v>
      </c>
      <c r="O1930" s="2" t="n">
        <v>3</v>
      </c>
      <c r="P1930" s="2" t="s">
        <v>28</v>
      </c>
      <c r="Q1930" s="2" t="s">
        <v>26</v>
      </c>
    </row>
    <row r="1931" customFormat="false" ht="15" hidden="false" customHeight="false" outlineLevel="0" collapsed="false">
      <c r="A1931" s="2" t="n">
        <v>46</v>
      </c>
      <c r="B1931" s="2" t="s">
        <v>17</v>
      </c>
      <c r="C1931" s="2" t="s">
        <v>30</v>
      </c>
      <c r="D1931" s="2" t="s">
        <v>31</v>
      </c>
      <c r="E1931" s="2" t="s">
        <v>20</v>
      </c>
      <c r="F1931" s="2" t="n">
        <v>705</v>
      </c>
      <c r="G1931" s="2" t="s">
        <v>20</v>
      </c>
      <c r="H1931" s="2" t="s">
        <v>20</v>
      </c>
      <c r="I1931" s="2" t="s">
        <v>21</v>
      </c>
      <c r="J1931" s="2" t="n">
        <v>4</v>
      </c>
      <c r="K1931" s="2" t="s">
        <v>35</v>
      </c>
      <c r="L1931" s="2" t="n">
        <v>398</v>
      </c>
      <c r="M1931" s="2" t="n">
        <v>1</v>
      </c>
      <c r="N1931" s="2" t="n">
        <v>-1</v>
      </c>
      <c r="O1931" s="2" t="n">
        <v>0</v>
      </c>
      <c r="P1931" s="2" t="s">
        <v>23</v>
      </c>
      <c r="Q1931" s="2" t="s">
        <v>20</v>
      </c>
    </row>
    <row r="1932" customFormat="false" ht="15" hidden="false" customHeight="false" outlineLevel="0" collapsed="false">
      <c r="A1932" s="2" t="n">
        <v>32</v>
      </c>
      <c r="B1932" s="2" t="s">
        <v>24</v>
      </c>
      <c r="C1932" s="2" t="s">
        <v>18</v>
      </c>
      <c r="D1932" s="2" t="s">
        <v>25</v>
      </c>
      <c r="E1932" s="2" t="s">
        <v>20</v>
      </c>
      <c r="F1932" s="2" t="n">
        <v>255</v>
      </c>
      <c r="G1932" s="2" t="s">
        <v>26</v>
      </c>
      <c r="H1932" s="2" t="s">
        <v>26</v>
      </c>
      <c r="I1932" s="2" t="s">
        <v>23</v>
      </c>
      <c r="J1932" s="2" t="n">
        <v>21</v>
      </c>
      <c r="K1932" s="2" t="s">
        <v>27</v>
      </c>
      <c r="L1932" s="2" t="n">
        <v>86</v>
      </c>
      <c r="M1932" s="2" t="n">
        <v>2</v>
      </c>
      <c r="N1932" s="2" t="n">
        <v>-1</v>
      </c>
      <c r="O1932" s="2" t="n">
        <v>0</v>
      </c>
      <c r="P1932" s="2" t="s">
        <v>23</v>
      </c>
      <c r="Q1932" s="2" t="s">
        <v>20</v>
      </c>
    </row>
    <row r="1933" customFormat="false" ht="15" hidden="false" customHeight="false" outlineLevel="0" collapsed="false">
      <c r="A1933" s="2" t="n">
        <v>45</v>
      </c>
      <c r="B1933" s="2" t="s">
        <v>34</v>
      </c>
      <c r="C1933" s="2" t="s">
        <v>18</v>
      </c>
      <c r="D1933" s="2" t="s">
        <v>25</v>
      </c>
      <c r="E1933" s="2" t="s">
        <v>20</v>
      </c>
      <c r="F1933" s="2" t="n">
        <v>4365</v>
      </c>
      <c r="G1933" s="2" t="s">
        <v>20</v>
      </c>
      <c r="H1933" s="2" t="s">
        <v>26</v>
      </c>
      <c r="I1933" s="2" t="s">
        <v>21</v>
      </c>
      <c r="J1933" s="2" t="n">
        <v>9</v>
      </c>
      <c r="K1933" s="2" t="s">
        <v>35</v>
      </c>
      <c r="L1933" s="2" t="n">
        <v>45</v>
      </c>
      <c r="M1933" s="2" t="n">
        <v>2</v>
      </c>
      <c r="N1933" s="2" t="n">
        <v>-1</v>
      </c>
      <c r="O1933" s="2" t="n">
        <v>0</v>
      </c>
      <c r="P1933" s="2" t="s">
        <v>23</v>
      </c>
      <c r="Q1933" s="2" t="s">
        <v>20</v>
      </c>
    </row>
    <row r="1934" customFormat="false" ht="15" hidden="false" customHeight="false" outlineLevel="0" collapsed="false">
      <c r="A1934" s="2" t="n">
        <v>32</v>
      </c>
      <c r="B1934" s="2" t="s">
        <v>29</v>
      </c>
      <c r="C1934" s="2" t="s">
        <v>18</v>
      </c>
      <c r="D1934" s="2" t="s">
        <v>25</v>
      </c>
      <c r="E1934" s="2" t="s">
        <v>20</v>
      </c>
      <c r="F1934" s="2" t="n">
        <v>350</v>
      </c>
      <c r="G1934" s="2" t="s">
        <v>26</v>
      </c>
      <c r="H1934" s="2" t="s">
        <v>20</v>
      </c>
      <c r="I1934" s="2" t="s">
        <v>23</v>
      </c>
      <c r="J1934" s="2" t="n">
        <v>28</v>
      </c>
      <c r="K1934" s="2" t="s">
        <v>27</v>
      </c>
      <c r="L1934" s="2" t="n">
        <v>110</v>
      </c>
      <c r="M1934" s="2" t="n">
        <v>2</v>
      </c>
      <c r="N1934" s="2" t="n">
        <v>-1</v>
      </c>
      <c r="O1934" s="2" t="n">
        <v>0</v>
      </c>
      <c r="P1934" s="2" t="s">
        <v>23</v>
      </c>
      <c r="Q1934" s="2" t="s">
        <v>20</v>
      </c>
    </row>
    <row r="1935" customFormat="false" ht="15" hidden="false" customHeight="false" outlineLevel="0" collapsed="false">
      <c r="A1935" s="2" t="n">
        <v>49</v>
      </c>
      <c r="B1935" s="2" t="s">
        <v>34</v>
      </c>
      <c r="C1935" s="2" t="s">
        <v>18</v>
      </c>
      <c r="D1935" s="2" t="s">
        <v>19</v>
      </c>
      <c r="E1935" s="2" t="s">
        <v>20</v>
      </c>
      <c r="F1935" s="2" t="n">
        <v>474</v>
      </c>
      <c r="G1935" s="2" t="s">
        <v>26</v>
      </c>
      <c r="H1935" s="2" t="s">
        <v>26</v>
      </c>
      <c r="I1935" s="2" t="s">
        <v>49</v>
      </c>
      <c r="J1935" s="2" t="n">
        <v>9</v>
      </c>
      <c r="K1935" s="2" t="s">
        <v>35</v>
      </c>
      <c r="L1935" s="2" t="n">
        <v>152</v>
      </c>
      <c r="M1935" s="2" t="n">
        <v>3</v>
      </c>
      <c r="N1935" s="2" t="n">
        <v>221</v>
      </c>
      <c r="O1935" s="2" t="n">
        <v>1</v>
      </c>
      <c r="P1935" s="2" t="s">
        <v>28</v>
      </c>
      <c r="Q1935" s="2" t="s">
        <v>20</v>
      </c>
    </row>
    <row r="1936" customFormat="false" ht="15" hidden="false" customHeight="false" outlineLevel="0" collapsed="false">
      <c r="A1936" s="2" t="n">
        <v>27</v>
      </c>
      <c r="B1936" s="2" t="s">
        <v>38</v>
      </c>
      <c r="C1936" s="2" t="s">
        <v>30</v>
      </c>
      <c r="D1936" s="2" t="s">
        <v>25</v>
      </c>
      <c r="E1936" s="2" t="s">
        <v>20</v>
      </c>
      <c r="F1936" s="2" t="n">
        <v>489</v>
      </c>
      <c r="G1936" s="2" t="s">
        <v>26</v>
      </c>
      <c r="H1936" s="2" t="s">
        <v>20</v>
      </c>
      <c r="I1936" s="2" t="s">
        <v>21</v>
      </c>
      <c r="J1936" s="2" t="n">
        <v>30</v>
      </c>
      <c r="K1936" s="2" t="s">
        <v>44</v>
      </c>
      <c r="L1936" s="2" t="n">
        <v>356</v>
      </c>
      <c r="M1936" s="2" t="n">
        <v>4</v>
      </c>
      <c r="N1936" s="2" t="n">
        <v>-1</v>
      </c>
      <c r="O1936" s="2" t="n">
        <v>0</v>
      </c>
      <c r="P1936" s="2" t="s">
        <v>23</v>
      </c>
      <c r="Q1936" s="2" t="s">
        <v>26</v>
      </c>
    </row>
    <row r="1937" customFormat="false" ht="15" hidden="false" customHeight="false" outlineLevel="0" collapsed="false">
      <c r="A1937" s="2" t="n">
        <v>46</v>
      </c>
      <c r="B1937" s="2" t="s">
        <v>39</v>
      </c>
      <c r="C1937" s="2" t="s">
        <v>18</v>
      </c>
      <c r="D1937" s="2" t="s">
        <v>25</v>
      </c>
      <c r="E1937" s="2" t="s">
        <v>20</v>
      </c>
      <c r="F1937" s="2" t="n">
        <v>757</v>
      </c>
      <c r="G1937" s="2" t="s">
        <v>20</v>
      </c>
      <c r="H1937" s="2" t="s">
        <v>20</v>
      </c>
      <c r="I1937" s="2" t="s">
        <v>23</v>
      </c>
      <c r="J1937" s="2" t="n">
        <v>16</v>
      </c>
      <c r="K1937" s="2" t="s">
        <v>33</v>
      </c>
      <c r="L1937" s="2" t="n">
        <v>382</v>
      </c>
      <c r="M1937" s="2" t="n">
        <v>3</v>
      </c>
      <c r="N1937" s="2" t="n">
        <v>-1</v>
      </c>
      <c r="O1937" s="2" t="n">
        <v>0</v>
      </c>
      <c r="P1937" s="2" t="s">
        <v>23</v>
      </c>
      <c r="Q1937" s="2" t="s">
        <v>20</v>
      </c>
    </row>
    <row r="1938" customFormat="false" ht="15" hidden="false" customHeight="false" outlineLevel="0" collapsed="false">
      <c r="A1938" s="2" t="n">
        <v>37</v>
      </c>
      <c r="B1938" s="2" t="s">
        <v>29</v>
      </c>
      <c r="C1938" s="2" t="s">
        <v>30</v>
      </c>
      <c r="D1938" s="2" t="s">
        <v>31</v>
      </c>
      <c r="E1938" s="2" t="s">
        <v>20</v>
      </c>
      <c r="F1938" s="2" t="n">
        <v>695</v>
      </c>
      <c r="G1938" s="2" t="s">
        <v>20</v>
      </c>
      <c r="H1938" s="2" t="s">
        <v>20</v>
      </c>
      <c r="I1938" s="2" t="s">
        <v>21</v>
      </c>
      <c r="J1938" s="2" t="n">
        <v>28</v>
      </c>
      <c r="K1938" s="2" t="s">
        <v>43</v>
      </c>
      <c r="L1938" s="2" t="n">
        <v>233</v>
      </c>
      <c r="M1938" s="2" t="n">
        <v>1</v>
      </c>
      <c r="N1938" s="2" t="n">
        <v>-1</v>
      </c>
      <c r="O1938" s="2" t="n">
        <v>0</v>
      </c>
      <c r="P1938" s="2" t="s">
        <v>23</v>
      </c>
      <c r="Q1938" s="2" t="s">
        <v>20</v>
      </c>
    </row>
    <row r="1939" customFormat="false" ht="15" hidden="false" customHeight="false" outlineLevel="0" collapsed="false">
      <c r="A1939" s="2" t="n">
        <v>30</v>
      </c>
      <c r="B1939" s="2" t="s">
        <v>17</v>
      </c>
      <c r="C1939" s="2" t="s">
        <v>30</v>
      </c>
      <c r="D1939" s="2" t="s">
        <v>25</v>
      </c>
      <c r="E1939" s="2" t="s">
        <v>26</v>
      </c>
      <c r="F1939" s="2" t="n">
        <v>-770</v>
      </c>
      <c r="G1939" s="2" t="s">
        <v>26</v>
      </c>
      <c r="H1939" s="2" t="s">
        <v>20</v>
      </c>
      <c r="I1939" s="2" t="s">
        <v>23</v>
      </c>
      <c r="J1939" s="2" t="n">
        <v>28</v>
      </c>
      <c r="K1939" s="2" t="s">
        <v>27</v>
      </c>
      <c r="L1939" s="2" t="n">
        <v>87</v>
      </c>
      <c r="M1939" s="2" t="n">
        <v>1</v>
      </c>
      <c r="N1939" s="2" t="n">
        <v>-1</v>
      </c>
      <c r="O1939" s="2" t="n">
        <v>0</v>
      </c>
      <c r="P1939" s="2" t="s">
        <v>23</v>
      </c>
      <c r="Q1939" s="2" t="s">
        <v>20</v>
      </c>
    </row>
    <row r="1940" customFormat="false" ht="15" hidden="false" customHeight="false" outlineLevel="0" collapsed="false">
      <c r="A1940" s="2" t="n">
        <v>44</v>
      </c>
      <c r="B1940" s="2" t="s">
        <v>36</v>
      </c>
      <c r="C1940" s="2" t="s">
        <v>45</v>
      </c>
      <c r="D1940" s="2" t="s">
        <v>25</v>
      </c>
      <c r="E1940" s="2" t="s">
        <v>20</v>
      </c>
      <c r="F1940" s="2" t="n">
        <v>80</v>
      </c>
      <c r="G1940" s="2" t="s">
        <v>26</v>
      </c>
      <c r="H1940" s="2" t="s">
        <v>26</v>
      </c>
      <c r="I1940" s="2" t="s">
        <v>23</v>
      </c>
      <c r="J1940" s="2" t="n">
        <v>14</v>
      </c>
      <c r="K1940" s="2" t="s">
        <v>27</v>
      </c>
      <c r="L1940" s="2" t="n">
        <v>387</v>
      </c>
      <c r="M1940" s="2" t="n">
        <v>2</v>
      </c>
      <c r="N1940" s="2" t="n">
        <v>-1</v>
      </c>
      <c r="O1940" s="2" t="n">
        <v>0</v>
      </c>
      <c r="P1940" s="2" t="s">
        <v>23</v>
      </c>
      <c r="Q1940" s="2" t="s">
        <v>20</v>
      </c>
    </row>
    <row r="1941" customFormat="false" ht="15" hidden="false" customHeight="false" outlineLevel="0" collapsed="false">
      <c r="A1941" s="2" t="n">
        <v>45</v>
      </c>
      <c r="B1941" s="2" t="s">
        <v>38</v>
      </c>
      <c r="C1941" s="2" t="s">
        <v>18</v>
      </c>
      <c r="D1941" s="2" t="s">
        <v>25</v>
      </c>
      <c r="E1941" s="2" t="s">
        <v>20</v>
      </c>
      <c r="F1941" s="2" t="n">
        <v>315</v>
      </c>
      <c r="G1941" s="2" t="s">
        <v>26</v>
      </c>
      <c r="H1941" s="2" t="s">
        <v>20</v>
      </c>
      <c r="I1941" s="2" t="s">
        <v>21</v>
      </c>
      <c r="J1941" s="2" t="n">
        <v>30</v>
      </c>
      <c r="K1941" s="2" t="s">
        <v>33</v>
      </c>
      <c r="L1941" s="2" t="n">
        <v>103</v>
      </c>
      <c r="M1941" s="2" t="n">
        <v>1</v>
      </c>
      <c r="N1941" s="2" t="n">
        <v>-1</v>
      </c>
      <c r="O1941" s="2" t="n">
        <v>0</v>
      </c>
      <c r="P1941" s="2" t="s">
        <v>23</v>
      </c>
      <c r="Q1941" s="2" t="s">
        <v>20</v>
      </c>
    </row>
    <row r="1942" customFormat="false" ht="15" hidden="false" customHeight="false" outlineLevel="0" collapsed="false">
      <c r="A1942" s="2" t="n">
        <v>27</v>
      </c>
      <c r="B1942" s="2" t="s">
        <v>42</v>
      </c>
      <c r="C1942" s="2" t="s">
        <v>30</v>
      </c>
      <c r="D1942" s="2" t="s">
        <v>25</v>
      </c>
      <c r="E1942" s="2" t="s">
        <v>20</v>
      </c>
      <c r="F1942" s="2" t="n">
        <v>213</v>
      </c>
      <c r="G1942" s="2" t="s">
        <v>20</v>
      </c>
      <c r="H1942" s="2" t="s">
        <v>20</v>
      </c>
      <c r="I1942" s="2" t="s">
        <v>21</v>
      </c>
      <c r="J1942" s="2" t="n">
        <v>27</v>
      </c>
      <c r="K1942" s="2" t="s">
        <v>52</v>
      </c>
      <c r="L1942" s="2" t="n">
        <v>378</v>
      </c>
      <c r="M1942" s="2" t="n">
        <v>1</v>
      </c>
      <c r="N1942" s="2" t="n">
        <v>-1</v>
      </c>
      <c r="O1942" s="2" t="n">
        <v>0</v>
      </c>
      <c r="P1942" s="2" t="s">
        <v>23</v>
      </c>
      <c r="Q1942" s="2" t="s">
        <v>26</v>
      </c>
    </row>
    <row r="1943" customFormat="false" ht="15" hidden="false" customHeight="false" outlineLevel="0" collapsed="false">
      <c r="A1943" s="2" t="n">
        <v>57</v>
      </c>
      <c r="B1943" s="2" t="s">
        <v>47</v>
      </c>
      <c r="C1943" s="2" t="s">
        <v>18</v>
      </c>
      <c r="D1943" s="2" t="s">
        <v>19</v>
      </c>
      <c r="E1943" s="2" t="s">
        <v>20</v>
      </c>
      <c r="F1943" s="2" t="n">
        <v>0</v>
      </c>
      <c r="G1943" s="2" t="s">
        <v>20</v>
      </c>
      <c r="H1943" s="2" t="s">
        <v>20</v>
      </c>
      <c r="I1943" s="2" t="s">
        <v>23</v>
      </c>
      <c r="J1943" s="2" t="n">
        <v>9</v>
      </c>
      <c r="K1943" s="2" t="s">
        <v>33</v>
      </c>
      <c r="L1943" s="2" t="n">
        <v>257</v>
      </c>
      <c r="M1943" s="2" t="n">
        <v>2</v>
      </c>
      <c r="N1943" s="2" t="n">
        <v>-1</v>
      </c>
      <c r="O1943" s="2" t="n">
        <v>0</v>
      </c>
      <c r="P1943" s="2" t="s">
        <v>23</v>
      </c>
      <c r="Q1943" s="2" t="s">
        <v>20</v>
      </c>
    </row>
    <row r="1944" customFormat="false" ht="15" hidden="false" customHeight="false" outlineLevel="0" collapsed="false">
      <c r="A1944" s="2" t="n">
        <v>66</v>
      </c>
      <c r="B1944" s="2" t="s">
        <v>29</v>
      </c>
      <c r="C1944" s="2" t="s">
        <v>18</v>
      </c>
      <c r="D1944" s="2" t="s">
        <v>31</v>
      </c>
      <c r="E1944" s="2" t="s">
        <v>20</v>
      </c>
      <c r="F1944" s="2" t="n">
        <v>2169</v>
      </c>
      <c r="G1944" s="2" t="s">
        <v>20</v>
      </c>
      <c r="H1944" s="2" t="s">
        <v>20</v>
      </c>
      <c r="I1944" s="2" t="s">
        <v>21</v>
      </c>
      <c r="J1944" s="2" t="n">
        <v>7</v>
      </c>
      <c r="K1944" s="2" t="s">
        <v>44</v>
      </c>
      <c r="L1944" s="2" t="n">
        <v>282</v>
      </c>
      <c r="M1944" s="2" t="n">
        <v>1</v>
      </c>
      <c r="N1944" s="2" t="n">
        <v>-1</v>
      </c>
      <c r="O1944" s="2" t="n">
        <v>0</v>
      </c>
      <c r="P1944" s="2" t="s">
        <v>23</v>
      </c>
      <c r="Q1944" s="2" t="s">
        <v>20</v>
      </c>
    </row>
    <row r="1945" customFormat="false" ht="15" hidden="false" customHeight="false" outlineLevel="0" collapsed="false">
      <c r="A1945" s="2" t="n">
        <v>40</v>
      </c>
      <c r="B1945" s="2" t="s">
        <v>40</v>
      </c>
      <c r="C1945" s="2" t="s">
        <v>45</v>
      </c>
      <c r="D1945" s="2" t="s">
        <v>25</v>
      </c>
      <c r="E1945" s="2" t="s">
        <v>20</v>
      </c>
      <c r="F1945" s="2" t="n">
        <v>212</v>
      </c>
      <c r="G1945" s="2" t="s">
        <v>20</v>
      </c>
      <c r="H1945" s="2" t="s">
        <v>20</v>
      </c>
      <c r="I1945" s="2" t="s">
        <v>23</v>
      </c>
      <c r="J1945" s="2" t="n">
        <v>7</v>
      </c>
      <c r="K1945" s="2" t="s">
        <v>43</v>
      </c>
      <c r="L1945" s="2" t="n">
        <v>176</v>
      </c>
      <c r="M1945" s="2" t="n">
        <v>1</v>
      </c>
      <c r="N1945" s="2" t="n">
        <v>-1</v>
      </c>
      <c r="O1945" s="2" t="n">
        <v>0</v>
      </c>
      <c r="P1945" s="2" t="s">
        <v>23</v>
      </c>
      <c r="Q1945" s="2" t="s">
        <v>20</v>
      </c>
    </row>
    <row r="1946" customFormat="false" ht="15" hidden="false" customHeight="false" outlineLevel="0" collapsed="false">
      <c r="A1946" s="2" t="n">
        <v>48</v>
      </c>
      <c r="B1946" s="2" t="s">
        <v>34</v>
      </c>
      <c r="C1946" s="2" t="s">
        <v>18</v>
      </c>
      <c r="D1946" s="2" t="s">
        <v>25</v>
      </c>
      <c r="E1946" s="2" t="s">
        <v>20</v>
      </c>
      <c r="F1946" s="2" t="n">
        <v>333</v>
      </c>
      <c r="G1946" s="2" t="s">
        <v>26</v>
      </c>
      <c r="H1946" s="2" t="s">
        <v>20</v>
      </c>
      <c r="I1946" s="2" t="s">
        <v>21</v>
      </c>
      <c r="J1946" s="2" t="n">
        <v>14</v>
      </c>
      <c r="K1946" s="2" t="s">
        <v>27</v>
      </c>
      <c r="L1946" s="2" t="n">
        <v>24</v>
      </c>
      <c r="M1946" s="2" t="n">
        <v>6</v>
      </c>
      <c r="N1946" s="2" t="n">
        <v>-1</v>
      </c>
      <c r="O1946" s="2" t="n">
        <v>0</v>
      </c>
      <c r="P1946" s="2" t="s">
        <v>23</v>
      </c>
      <c r="Q1946" s="2" t="s">
        <v>20</v>
      </c>
    </row>
    <row r="1947" customFormat="false" ht="15" hidden="false" customHeight="false" outlineLevel="0" collapsed="false">
      <c r="A1947" s="2" t="n">
        <v>33</v>
      </c>
      <c r="B1947" s="2" t="s">
        <v>34</v>
      </c>
      <c r="C1947" s="2" t="s">
        <v>30</v>
      </c>
      <c r="D1947" s="2" t="s">
        <v>25</v>
      </c>
      <c r="E1947" s="2" t="s">
        <v>20</v>
      </c>
      <c r="F1947" s="2" t="n">
        <v>4404</v>
      </c>
      <c r="G1947" s="2" t="s">
        <v>26</v>
      </c>
      <c r="H1947" s="2" t="s">
        <v>20</v>
      </c>
      <c r="I1947" s="2" t="s">
        <v>21</v>
      </c>
      <c r="J1947" s="2" t="n">
        <v>20</v>
      </c>
      <c r="K1947" s="2" t="s">
        <v>46</v>
      </c>
      <c r="L1947" s="2" t="n">
        <v>766</v>
      </c>
      <c r="M1947" s="2" t="n">
        <v>3</v>
      </c>
      <c r="N1947" s="2" t="n">
        <v>-1</v>
      </c>
      <c r="O1947" s="2" t="n">
        <v>0</v>
      </c>
      <c r="P1947" s="2" t="s">
        <v>23</v>
      </c>
      <c r="Q1947" s="2" t="s">
        <v>20</v>
      </c>
    </row>
    <row r="1948" customFormat="false" ht="15" hidden="false" customHeight="false" outlineLevel="0" collapsed="false">
      <c r="A1948" s="2" t="n">
        <v>42</v>
      </c>
      <c r="B1948" s="2" t="s">
        <v>24</v>
      </c>
      <c r="C1948" s="2" t="s">
        <v>45</v>
      </c>
      <c r="D1948" s="2" t="s">
        <v>25</v>
      </c>
      <c r="E1948" s="2" t="s">
        <v>20</v>
      </c>
      <c r="F1948" s="2" t="n">
        <v>257</v>
      </c>
      <c r="G1948" s="2" t="s">
        <v>26</v>
      </c>
      <c r="H1948" s="2" t="s">
        <v>20</v>
      </c>
      <c r="I1948" s="2" t="s">
        <v>21</v>
      </c>
      <c r="J1948" s="2" t="n">
        <v>12</v>
      </c>
      <c r="K1948" s="2" t="s">
        <v>27</v>
      </c>
      <c r="L1948" s="2" t="n">
        <v>955</v>
      </c>
      <c r="M1948" s="2" t="n">
        <v>2</v>
      </c>
      <c r="N1948" s="2" t="n">
        <v>-1</v>
      </c>
      <c r="O1948" s="2" t="n">
        <v>0</v>
      </c>
      <c r="P1948" s="2" t="s">
        <v>23</v>
      </c>
      <c r="Q1948" s="2" t="s">
        <v>26</v>
      </c>
    </row>
    <row r="1949" customFormat="false" ht="15" hidden="false" customHeight="false" outlineLevel="0" collapsed="false">
      <c r="A1949" s="2" t="n">
        <v>47</v>
      </c>
      <c r="B1949" s="2" t="s">
        <v>17</v>
      </c>
      <c r="C1949" s="2" t="s">
        <v>18</v>
      </c>
      <c r="D1949" s="2" t="s">
        <v>25</v>
      </c>
      <c r="E1949" s="2" t="s">
        <v>20</v>
      </c>
      <c r="F1949" s="2" t="n">
        <v>3188</v>
      </c>
      <c r="G1949" s="2" t="s">
        <v>26</v>
      </c>
      <c r="H1949" s="2" t="s">
        <v>20</v>
      </c>
      <c r="I1949" s="2" t="s">
        <v>21</v>
      </c>
      <c r="J1949" s="2" t="n">
        <v>3</v>
      </c>
      <c r="K1949" s="2" t="s">
        <v>35</v>
      </c>
      <c r="L1949" s="2" t="n">
        <v>426</v>
      </c>
      <c r="M1949" s="2" t="n">
        <v>3</v>
      </c>
      <c r="N1949" s="2" t="n">
        <v>-1</v>
      </c>
      <c r="O1949" s="2" t="n">
        <v>0</v>
      </c>
      <c r="P1949" s="2" t="s">
        <v>23</v>
      </c>
      <c r="Q1949" s="2" t="s">
        <v>20</v>
      </c>
    </row>
    <row r="1950" customFormat="false" ht="15" hidden="false" customHeight="false" outlineLevel="0" collapsed="false">
      <c r="A1950" s="2" t="n">
        <v>27</v>
      </c>
      <c r="B1950" s="2" t="s">
        <v>38</v>
      </c>
      <c r="C1950" s="2" t="s">
        <v>30</v>
      </c>
      <c r="D1950" s="2" t="s">
        <v>31</v>
      </c>
      <c r="E1950" s="2" t="s">
        <v>20</v>
      </c>
      <c r="F1950" s="2" t="n">
        <v>3083</v>
      </c>
      <c r="G1950" s="2" t="s">
        <v>26</v>
      </c>
      <c r="H1950" s="2" t="s">
        <v>20</v>
      </c>
      <c r="I1950" s="2" t="s">
        <v>23</v>
      </c>
      <c r="J1950" s="2" t="n">
        <v>29</v>
      </c>
      <c r="K1950" s="2" t="s">
        <v>27</v>
      </c>
      <c r="L1950" s="2" t="n">
        <v>244</v>
      </c>
      <c r="M1950" s="2" t="n">
        <v>2</v>
      </c>
      <c r="N1950" s="2" t="n">
        <v>-1</v>
      </c>
      <c r="O1950" s="2" t="n">
        <v>0</v>
      </c>
      <c r="P1950" s="2" t="s">
        <v>23</v>
      </c>
      <c r="Q1950" s="2" t="s">
        <v>20</v>
      </c>
    </row>
    <row r="1951" customFormat="false" ht="15" hidden="false" customHeight="false" outlineLevel="0" collapsed="false">
      <c r="A1951" s="2" t="n">
        <v>78</v>
      </c>
      <c r="B1951" s="2" t="s">
        <v>48</v>
      </c>
      <c r="C1951" s="2" t="s">
        <v>18</v>
      </c>
      <c r="D1951" s="2" t="s">
        <v>31</v>
      </c>
      <c r="E1951" s="2" t="s">
        <v>20</v>
      </c>
      <c r="F1951" s="2" t="n">
        <v>226</v>
      </c>
      <c r="G1951" s="2" t="s">
        <v>20</v>
      </c>
      <c r="H1951" s="2" t="s">
        <v>20</v>
      </c>
      <c r="I1951" s="2" t="s">
        <v>49</v>
      </c>
      <c r="J1951" s="2" t="n">
        <v>6</v>
      </c>
      <c r="K1951" s="2" t="s">
        <v>46</v>
      </c>
      <c r="L1951" s="2" t="n">
        <v>136</v>
      </c>
      <c r="M1951" s="2" t="n">
        <v>1</v>
      </c>
      <c r="N1951" s="2" t="n">
        <v>-1</v>
      </c>
      <c r="O1951" s="2" t="n">
        <v>0</v>
      </c>
      <c r="P1951" s="2" t="s">
        <v>23</v>
      </c>
      <c r="Q1951" s="2" t="s">
        <v>20</v>
      </c>
    </row>
    <row r="1952" customFormat="false" ht="15" hidden="false" customHeight="false" outlineLevel="0" collapsed="false">
      <c r="A1952" s="2" t="n">
        <v>50</v>
      </c>
      <c r="B1952" s="2" t="s">
        <v>24</v>
      </c>
      <c r="C1952" s="2" t="s">
        <v>18</v>
      </c>
      <c r="D1952" s="2" t="s">
        <v>19</v>
      </c>
      <c r="E1952" s="2" t="s">
        <v>20</v>
      </c>
      <c r="F1952" s="2" t="n">
        <v>1260</v>
      </c>
      <c r="G1952" s="2" t="s">
        <v>20</v>
      </c>
      <c r="H1952" s="2" t="s">
        <v>20</v>
      </c>
      <c r="I1952" s="2" t="s">
        <v>21</v>
      </c>
      <c r="J1952" s="2" t="n">
        <v>18</v>
      </c>
      <c r="K1952" s="2" t="s">
        <v>46</v>
      </c>
      <c r="L1952" s="2" t="n">
        <v>172</v>
      </c>
      <c r="M1952" s="2" t="n">
        <v>1</v>
      </c>
      <c r="N1952" s="2" t="n">
        <v>-1</v>
      </c>
      <c r="O1952" s="2" t="n">
        <v>0</v>
      </c>
      <c r="P1952" s="2" t="s">
        <v>23</v>
      </c>
      <c r="Q1952" s="2" t="s">
        <v>20</v>
      </c>
    </row>
    <row r="1953" customFormat="false" ht="15" hidden="false" customHeight="false" outlineLevel="0" collapsed="false">
      <c r="A1953" s="2" t="n">
        <v>46</v>
      </c>
      <c r="B1953" s="2" t="s">
        <v>39</v>
      </c>
      <c r="C1953" s="2" t="s">
        <v>30</v>
      </c>
      <c r="D1953" s="2" t="s">
        <v>31</v>
      </c>
      <c r="E1953" s="2" t="s">
        <v>20</v>
      </c>
      <c r="F1953" s="2" t="n">
        <v>1410</v>
      </c>
      <c r="G1953" s="2" t="s">
        <v>26</v>
      </c>
      <c r="H1953" s="2" t="s">
        <v>20</v>
      </c>
      <c r="I1953" s="2" t="s">
        <v>21</v>
      </c>
      <c r="J1953" s="2" t="n">
        <v>19</v>
      </c>
      <c r="K1953" s="2" t="s">
        <v>46</v>
      </c>
      <c r="L1953" s="2" t="n">
        <v>93</v>
      </c>
      <c r="M1953" s="2" t="n">
        <v>1</v>
      </c>
      <c r="N1953" s="2" t="n">
        <v>189</v>
      </c>
      <c r="O1953" s="2" t="n">
        <v>8</v>
      </c>
      <c r="P1953" s="2" t="s">
        <v>28</v>
      </c>
      <c r="Q1953" s="2" t="s">
        <v>20</v>
      </c>
    </row>
    <row r="1954" customFormat="false" ht="15" hidden="false" customHeight="false" outlineLevel="0" collapsed="false">
      <c r="A1954" s="2" t="n">
        <v>41</v>
      </c>
      <c r="B1954" s="2" t="s">
        <v>40</v>
      </c>
      <c r="C1954" s="2" t="s">
        <v>45</v>
      </c>
      <c r="D1954" s="2" t="s">
        <v>25</v>
      </c>
      <c r="E1954" s="2" t="s">
        <v>20</v>
      </c>
      <c r="F1954" s="2" t="n">
        <v>6046</v>
      </c>
      <c r="G1954" s="2" t="s">
        <v>26</v>
      </c>
      <c r="H1954" s="2" t="s">
        <v>26</v>
      </c>
      <c r="I1954" s="2" t="s">
        <v>49</v>
      </c>
      <c r="J1954" s="2" t="n">
        <v>15</v>
      </c>
      <c r="K1954" s="2" t="s">
        <v>52</v>
      </c>
      <c r="L1954" s="2" t="n">
        <v>300</v>
      </c>
      <c r="M1954" s="2" t="n">
        <v>6</v>
      </c>
      <c r="N1954" s="2" t="n">
        <v>182</v>
      </c>
      <c r="O1954" s="2" t="n">
        <v>2</v>
      </c>
      <c r="P1954" s="2" t="s">
        <v>50</v>
      </c>
      <c r="Q1954" s="2" t="s">
        <v>26</v>
      </c>
    </row>
    <row r="1955" customFormat="false" ht="15" hidden="false" customHeight="false" outlineLevel="0" collapsed="false">
      <c r="A1955" s="2" t="n">
        <v>36</v>
      </c>
      <c r="B1955" s="2" t="s">
        <v>40</v>
      </c>
      <c r="C1955" s="2" t="s">
        <v>30</v>
      </c>
      <c r="D1955" s="2" t="s">
        <v>31</v>
      </c>
      <c r="E1955" s="2" t="s">
        <v>20</v>
      </c>
      <c r="F1955" s="2" t="n">
        <v>980</v>
      </c>
      <c r="G1955" s="2" t="s">
        <v>20</v>
      </c>
      <c r="H1955" s="2" t="s">
        <v>20</v>
      </c>
      <c r="I1955" s="2" t="s">
        <v>21</v>
      </c>
      <c r="J1955" s="2" t="n">
        <v>11</v>
      </c>
      <c r="K1955" s="2" t="s">
        <v>46</v>
      </c>
      <c r="L1955" s="2" t="n">
        <v>118</v>
      </c>
      <c r="M1955" s="2" t="n">
        <v>4</v>
      </c>
      <c r="N1955" s="2" t="n">
        <v>104</v>
      </c>
      <c r="O1955" s="2" t="n">
        <v>7</v>
      </c>
      <c r="P1955" s="2" t="s">
        <v>28</v>
      </c>
      <c r="Q1955" s="2" t="s">
        <v>20</v>
      </c>
    </row>
    <row r="1956" customFormat="false" ht="15" hidden="false" customHeight="false" outlineLevel="0" collapsed="false">
      <c r="A1956" s="2" t="n">
        <v>49</v>
      </c>
      <c r="B1956" s="2" t="s">
        <v>48</v>
      </c>
      <c r="C1956" s="2" t="s">
        <v>18</v>
      </c>
      <c r="D1956" s="2" t="s">
        <v>19</v>
      </c>
      <c r="E1956" s="2" t="s">
        <v>20</v>
      </c>
      <c r="F1956" s="2" t="n">
        <v>-37</v>
      </c>
      <c r="G1956" s="2" t="s">
        <v>20</v>
      </c>
      <c r="H1956" s="2" t="s">
        <v>20</v>
      </c>
      <c r="I1956" s="2" t="s">
        <v>23</v>
      </c>
      <c r="J1956" s="2" t="n">
        <v>4</v>
      </c>
      <c r="K1956" s="2" t="s">
        <v>44</v>
      </c>
      <c r="L1956" s="2" t="n">
        <v>191</v>
      </c>
      <c r="M1956" s="2" t="n">
        <v>2</v>
      </c>
      <c r="N1956" s="2" t="n">
        <v>-1</v>
      </c>
      <c r="O1956" s="2" t="n">
        <v>0</v>
      </c>
      <c r="P1956" s="2" t="s">
        <v>23</v>
      </c>
      <c r="Q1956" s="2" t="s">
        <v>20</v>
      </c>
    </row>
    <row r="1957" customFormat="false" ht="15" hidden="false" customHeight="false" outlineLevel="0" collapsed="false">
      <c r="A1957" s="2" t="n">
        <v>46</v>
      </c>
      <c r="B1957" s="2" t="s">
        <v>29</v>
      </c>
      <c r="C1957" s="2" t="s">
        <v>45</v>
      </c>
      <c r="D1957" s="2" t="s">
        <v>31</v>
      </c>
      <c r="E1957" s="2" t="s">
        <v>20</v>
      </c>
      <c r="F1957" s="2" t="n">
        <v>-154</v>
      </c>
      <c r="G1957" s="2" t="s">
        <v>26</v>
      </c>
      <c r="H1957" s="2" t="s">
        <v>26</v>
      </c>
      <c r="I1957" s="2" t="s">
        <v>23</v>
      </c>
      <c r="J1957" s="2" t="n">
        <v>27</v>
      </c>
      <c r="K1957" s="2" t="s">
        <v>27</v>
      </c>
      <c r="L1957" s="2" t="n">
        <v>107</v>
      </c>
      <c r="M1957" s="2" t="n">
        <v>2</v>
      </c>
      <c r="N1957" s="2" t="n">
        <v>-1</v>
      </c>
      <c r="O1957" s="2" t="n">
        <v>0</v>
      </c>
      <c r="P1957" s="2" t="s">
        <v>23</v>
      </c>
      <c r="Q1957" s="2" t="s">
        <v>20</v>
      </c>
    </row>
    <row r="1958" customFormat="false" ht="15" hidden="false" customHeight="false" outlineLevel="0" collapsed="false">
      <c r="A1958" s="2" t="n">
        <v>77</v>
      </c>
      <c r="B1958" s="2" t="s">
        <v>48</v>
      </c>
      <c r="C1958" s="2" t="s">
        <v>18</v>
      </c>
      <c r="D1958" s="2" t="s">
        <v>19</v>
      </c>
      <c r="E1958" s="2" t="s">
        <v>20</v>
      </c>
      <c r="F1958" s="2" t="n">
        <v>680</v>
      </c>
      <c r="G1958" s="2" t="s">
        <v>20</v>
      </c>
      <c r="H1958" s="2" t="s">
        <v>20</v>
      </c>
      <c r="I1958" s="2" t="s">
        <v>49</v>
      </c>
      <c r="J1958" s="2" t="n">
        <v>24</v>
      </c>
      <c r="K1958" s="2" t="s">
        <v>35</v>
      </c>
      <c r="L1958" s="2" t="n">
        <v>513</v>
      </c>
      <c r="M1958" s="2" t="n">
        <v>2</v>
      </c>
      <c r="N1958" s="2" t="n">
        <v>89</v>
      </c>
      <c r="O1958" s="2" t="n">
        <v>7</v>
      </c>
      <c r="P1958" s="2" t="s">
        <v>28</v>
      </c>
      <c r="Q1958" s="2" t="s">
        <v>20</v>
      </c>
    </row>
    <row r="1959" customFormat="false" ht="15" hidden="false" customHeight="false" outlineLevel="0" collapsed="false">
      <c r="A1959" s="2" t="n">
        <v>30</v>
      </c>
      <c r="B1959" s="2" t="s">
        <v>38</v>
      </c>
      <c r="C1959" s="2" t="s">
        <v>30</v>
      </c>
      <c r="D1959" s="2" t="s">
        <v>31</v>
      </c>
      <c r="E1959" s="2" t="s">
        <v>20</v>
      </c>
      <c r="F1959" s="2" t="n">
        <v>799</v>
      </c>
      <c r="G1959" s="2" t="s">
        <v>26</v>
      </c>
      <c r="H1959" s="2" t="s">
        <v>26</v>
      </c>
      <c r="I1959" s="2" t="s">
        <v>23</v>
      </c>
      <c r="J1959" s="2" t="n">
        <v>6</v>
      </c>
      <c r="K1959" s="2" t="s">
        <v>33</v>
      </c>
      <c r="L1959" s="2" t="n">
        <v>91</v>
      </c>
      <c r="M1959" s="2" t="n">
        <v>18</v>
      </c>
      <c r="N1959" s="2" t="n">
        <v>-1</v>
      </c>
      <c r="O1959" s="2" t="n">
        <v>0</v>
      </c>
      <c r="P1959" s="2" t="s">
        <v>23</v>
      </c>
      <c r="Q1959" s="2" t="s">
        <v>20</v>
      </c>
    </row>
    <row r="1960" customFormat="false" ht="15" hidden="false" customHeight="false" outlineLevel="0" collapsed="false">
      <c r="A1960" s="2" t="n">
        <v>43</v>
      </c>
      <c r="B1960" s="2" t="s">
        <v>29</v>
      </c>
      <c r="C1960" s="2" t="s">
        <v>30</v>
      </c>
      <c r="D1960" s="2" t="s">
        <v>25</v>
      </c>
      <c r="E1960" s="2" t="s">
        <v>26</v>
      </c>
      <c r="F1960" s="2" t="n">
        <v>-1164</v>
      </c>
      <c r="G1960" s="2" t="s">
        <v>26</v>
      </c>
      <c r="H1960" s="2" t="s">
        <v>26</v>
      </c>
      <c r="I1960" s="2" t="s">
        <v>21</v>
      </c>
      <c r="J1960" s="2" t="n">
        <v>18</v>
      </c>
      <c r="K1960" s="2" t="s">
        <v>44</v>
      </c>
      <c r="L1960" s="2" t="n">
        <v>76</v>
      </c>
      <c r="M1960" s="2" t="n">
        <v>4</v>
      </c>
      <c r="N1960" s="2" t="n">
        <v>-1</v>
      </c>
      <c r="O1960" s="2" t="n">
        <v>0</v>
      </c>
      <c r="P1960" s="2" t="s">
        <v>23</v>
      </c>
      <c r="Q1960" s="2" t="s">
        <v>20</v>
      </c>
    </row>
    <row r="1961" customFormat="false" ht="15" hidden="false" customHeight="false" outlineLevel="0" collapsed="false">
      <c r="A1961" s="2" t="n">
        <v>44</v>
      </c>
      <c r="B1961" s="2" t="s">
        <v>34</v>
      </c>
      <c r="C1961" s="2" t="s">
        <v>18</v>
      </c>
      <c r="D1961" s="2" t="s">
        <v>25</v>
      </c>
      <c r="E1961" s="2" t="s">
        <v>20</v>
      </c>
      <c r="F1961" s="2" t="n">
        <v>2523</v>
      </c>
      <c r="G1961" s="2" t="s">
        <v>26</v>
      </c>
      <c r="H1961" s="2" t="s">
        <v>20</v>
      </c>
      <c r="I1961" s="2" t="s">
        <v>23</v>
      </c>
      <c r="J1961" s="2" t="n">
        <v>29</v>
      </c>
      <c r="K1961" s="2" t="s">
        <v>27</v>
      </c>
      <c r="L1961" s="2" t="n">
        <v>1236</v>
      </c>
      <c r="M1961" s="2" t="n">
        <v>2</v>
      </c>
      <c r="N1961" s="2" t="n">
        <v>-1</v>
      </c>
      <c r="O1961" s="2" t="n">
        <v>0</v>
      </c>
      <c r="P1961" s="2" t="s">
        <v>23</v>
      </c>
      <c r="Q1961" s="2" t="s">
        <v>20</v>
      </c>
    </row>
    <row r="1962" customFormat="false" ht="15" hidden="false" customHeight="false" outlineLevel="0" collapsed="false">
      <c r="A1962" s="2" t="n">
        <v>40</v>
      </c>
      <c r="B1962" s="2" t="s">
        <v>34</v>
      </c>
      <c r="C1962" s="2" t="s">
        <v>18</v>
      </c>
      <c r="D1962" s="2" t="s">
        <v>19</v>
      </c>
      <c r="E1962" s="2" t="s">
        <v>20</v>
      </c>
      <c r="F1962" s="2" t="n">
        <v>98</v>
      </c>
      <c r="G1962" s="2" t="s">
        <v>26</v>
      </c>
      <c r="H1962" s="2" t="s">
        <v>20</v>
      </c>
      <c r="I1962" s="2" t="s">
        <v>23</v>
      </c>
      <c r="J1962" s="2" t="n">
        <v>2</v>
      </c>
      <c r="K1962" s="2" t="s">
        <v>33</v>
      </c>
      <c r="L1962" s="2" t="n">
        <v>193</v>
      </c>
      <c r="M1962" s="2" t="n">
        <v>5</v>
      </c>
      <c r="N1962" s="2" t="n">
        <v>-1</v>
      </c>
      <c r="O1962" s="2" t="n">
        <v>0</v>
      </c>
      <c r="P1962" s="2" t="s">
        <v>23</v>
      </c>
      <c r="Q1962" s="2" t="s">
        <v>20</v>
      </c>
    </row>
    <row r="1963" customFormat="false" ht="15" hidden="false" customHeight="false" outlineLevel="0" collapsed="false">
      <c r="A1963" s="2" t="n">
        <v>38</v>
      </c>
      <c r="B1963" s="2" t="s">
        <v>34</v>
      </c>
      <c r="C1963" s="2" t="s">
        <v>18</v>
      </c>
      <c r="D1963" s="2" t="s">
        <v>19</v>
      </c>
      <c r="E1963" s="2" t="s">
        <v>20</v>
      </c>
      <c r="F1963" s="2" t="n">
        <v>3419</v>
      </c>
      <c r="G1963" s="2" t="s">
        <v>26</v>
      </c>
      <c r="H1963" s="2" t="s">
        <v>20</v>
      </c>
      <c r="I1963" s="2" t="s">
        <v>23</v>
      </c>
      <c r="J1963" s="2" t="n">
        <v>20</v>
      </c>
      <c r="K1963" s="2" t="s">
        <v>33</v>
      </c>
      <c r="L1963" s="2" t="n">
        <v>324</v>
      </c>
      <c r="M1963" s="2" t="n">
        <v>5</v>
      </c>
      <c r="N1963" s="2" t="n">
        <v>-1</v>
      </c>
      <c r="O1963" s="2" t="n">
        <v>0</v>
      </c>
      <c r="P1963" s="2" t="s">
        <v>23</v>
      </c>
      <c r="Q1963" s="2" t="s">
        <v>20</v>
      </c>
    </row>
    <row r="1964" customFormat="false" ht="15" hidden="false" customHeight="false" outlineLevel="0" collapsed="false">
      <c r="A1964" s="2" t="n">
        <v>25</v>
      </c>
      <c r="B1964" s="2" t="s">
        <v>17</v>
      </c>
      <c r="C1964" s="2" t="s">
        <v>30</v>
      </c>
      <c r="D1964" s="2" t="s">
        <v>31</v>
      </c>
      <c r="E1964" s="2" t="s">
        <v>20</v>
      </c>
      <c r="F1964" s="2" t="n">
        <v>343</v>
      </c>
      <c r="G1964" s="2" t="s">
        <v>20</v>
      </c>
      <c r="H1964" s="2" t="s">
        <v>20</v>
      </c>
      <c r="I1964" s="2" t="s">
        <v>21</v>
      </c>
      <c r="J1964" s="2" t="n">
        <v>1</v>
      </c>
      <c r="K1964" s="2" t="s">
        <v>33</v>
      </c>
      <c r="L1964" s="2" t="n">
        <v>377</v>
      </c>
      <c r="M1964" s="2" t="n">
        <v>1</v>
      </c>
      <c r="N1964" s="2" t="n">
        <v>-1</v>
      </c>
      <c r="O1964" s="2" t="n">
        <v>0</v>
      </c>
      <c r="P1964" s="2" t="s">
        <v>23</v>
      </c>
      <c r="Q1964" s="2" t="s">
        <v>26</v>
      </c>
    </row>
    <row r="1965" customFormat="false" ht="15" hidden="false" customHeight="false" outlineLevel="0" collapsed="false">
      <c r="A1965" s="2" t="n">
        <v>49</v>
      </c>
      <c r="B1965" s="2" t="s">
        <v>29</v>
      </c>
      <c r="C1965" s="2" t="s">
        <v>18</v>
      </c>
      <c r="D1965" s="2" t="s">
        <v>31</v>
      </c>
      <c r="E1965" s="2" t="s">
        <v>20</v>
      </c>
      <c r="F1965" s="2" t="n">
        <v>852</v>
      </c>
      <c r="G1965" s="2" t="s">
        <v>26</v>
      </c>
      <c r="H1965" s="2" t="s">
        <v>20</v>
      </c>
      <c r="I1965" s="2" t="s">
        <v>21</v>
      </c>
      <c r="J1965" s="2" t="n">
        <v>20</v>
      </c>
      <c r="K1965" s="2" t="s">
        <v>46</v>
      </c>
      <c r="L1965" s="2" t="n">
        <v>408</v>
      </c>
      <c r="M1965" s="2" t="n">
        <v>1</v>
      </c>
      <c r="N1965" s="2" t="n">
        <v>-1</v>
      </c>
      <c r="O1965" s="2" t="n">
        <v>0</v>
      </c>
      <c r="P1965" s="2" t="s">
        <v>23</v>
      </c>
      <c r="Q1965" s="2" t="s">
        <v>20</v>
      </c>
    </row>
    <row r="1966" customFormat="false" ht="15" hidden="false" customHeight="false" outlineLevel="0" collapsed="false">
      <c r="A1966" s="2" t="n">
        <v>33</v>
      </c>
      <c r="B1966" s="2" t="s">
        <v>34</v>
      </c>
      <c r="C1966" s="2" t="s">
        <v>18</v>
      </c>
      <c r="D1966" s="2" t="s">
        <v>19</v>
      </c>
      <c r="E1966" s="2" t="s">
        <v>20</v>
      </c>
      <c r="F1966" s="2" t="n">
        <v>50</v>
      </c>
      <c r="G1966" s="2" t="s">
        <v>26</v>
      </c>
      <c r="H1966" s="2" t="s">
        <v>20</v>
      </c>
      <c r="I1966" s="2" t="s">
        <v>21</v>
      </c>
      <c r="J1966" s="2" t="n">
        <v>7</v>
      </c>
      <c r="K1966" s="2" t="s">
        <v>27</v>
      </c>
      <c r="L1966" s="2" t="n">
        <v>246</v>
      </c>
      <c r="M1966" s="2" t="n">
        <v>2</v>
      </c>
      <c r="N1966" s="2" t="n">
        <v>-1</v>
      </c>
      <c r="O1966" s="2" t="n">
        <v>0</v>
      </c>
      <c r="P1966" s="2" t="s">
        <v>23</v>
      </c>
      <c r="Q1966" s="2" t="s">
        <v>20</v>
      </c>
    </row>
    <row r="1967" customFormat="false" ht="15" hidden="false" customHeight="false" outlineLevel="0" collapsed="false">
      <c r="A1967" s="2" t="n">
        <v>40</v>
      </c>
      <c r="B1967" s="2" t="s">
        <v>29</v>
      </c>
      <c r="C1967" s="2" t="s">
        <v>30</v>
      </c>
      <c r="D1967" s="2" t="s">
        <v>31</v>
      </c>
      <c r="E1967" s="2" t="s">
        <v>20</v>
      </c>
      <c r="F1967" s="2" t="n">
        <v>0</v>
      </c>
      <c r="G1967" s="2" t="s">
        <v>20</v>
      </c>
      <c r="H1967" s="2" t="s">
        <v>20</v>
      </c>
      <c r="I1967" s="2" t="s">
        <v>21</v>
      </c>
      <c r="J1967" s="2" t="n">
        <v>26</v>
      </c>
      <c r="K1967" s="2" t="s">
        <v>41</v>
      </c>
      <c r="L1967" s="2" t="n">
        <v>58</v>
      </c>
      <c r="M1967" s="2" t="n">
        <v>7</v>
      </c>
      <c r="N1967" s="2" t="n">
        <v>-1</v>
      </c>
      <c r="O1967" s="2" t="n">
        <v>0</v>
      </c>
      <c r="P1967" s="2" t="s">
        <v>23</v>
      </c>
      <c r="Q1967" s="2" t="s">
        <v>20</v>
      </c>
    </row>
    <row r="1968" customFormat="false" ht="15" hidden="false" customHeight="false" outlineLevel="0" collapsed="false">
      <c r="A1968" s="2" t="n">
        <v>44</v>
      </c>
      <c r="B1968" s="2" t="s">
        <v>34</v>
      </c>
      <c r="C1968" s="2" t="s">
        <v>18</v>
      </c>
      <c r="D1968" s="2" t="s">
        <v>19</v>
      </c>
      <c r="E1968" s="2" t="s">
        <v>20</v>
      </c>
      <c r="F1968" s="2" t="n">
        <v>10</v>
      </c>
      <c r="G1968" s="2" t="s">
        <v>26</v>
      </c>
      <c r="H1968" s="2" t="s">
        <v>20</v>
      </c>
      <c r="I1968" s="2" t="s">
        <v>21</v>
      </c>
      <c r="J1968" s="2" t="n">
        <v>17</v>
      </c>
      <c r="K1968" s="2" t="s">
        <v>44</v>
      </c>
      <c r="L1968" s="2" t="n">
        <v>196</v>
      </c>
      <c r="M1968" s="2" t="n">
        <v>1</v>
      </c>
      <c r="N1968" s="2" t="n">
        <v>-1</v>
      </c>
      <c r="O1968" s="2" t="n">
        <v>0</v>
      </c>
      <c r="P1968" s="2" t="s">
        <v>23</v>
      </c>
      <c r="Q1968" s="2" t="s">
        <v>20</v>
      </c>
    </row>
    <row r="1969" customFormat="false" ht="15" hidden="false" customHeight="false" outlineLevel="0" collapsed="false">
      <c r="A1969" s="2" t="n">
        <v>32</v>
      </c>
      <c r="B1969" s="2" t="s">
        <v>34</v>
      </c>
      <c r="C1969" s="2" t="s">
        <v>18</v>
      </c>
      <c r="D1969" s="2" t="s">
        <v>25</v>
      </c>
      <c r="E1969" s="2" t="s">
        <v>20</v>
      </c>
      <c r="F1969" s="2" t="n">
        <v>950</v>
      </c>
      <c r="G1969" s="2" t="s">
        <v>26</v>
      </c>
      <c r="H1969" s="2" t="s">
        <v>26</v>
      </c>
      <c r="I1969" s="2" t="s">
        <v>21</v>
      </c>
      <c r="J1969" s="2" t="n">
        <v>20</v>
      </c>
      <c r="K1969" s="2" t="s">
        <v>32</v>
      </c>
      <c r="L1969" s="2" t="n">
        <v>219</v>
      </c>
      <c r="M1969" s="2" t="n">
        <v>4</v>
      </c>
      <c r="N1969" s="2" t="n">
        <v>-1</v>
      </c>
      <c r="O1969" s="2" t="n">
        <v>0</v>
      </c>
      <c r="P1969" s="2" t="s">
        <v>23</v>
      </c>
      <c r="Q1969" s="2" t="s">
        <v>20</v>
      </c>
    </row>
    <row r="1970" customFormat="false" ht="15" hidden="false" customHeight="false" outlineLevel="0" collapsed="false">
      <c r="A1970" s="2" t="n">
        <v>52</v>
      </c>
      <c r="B1970" s="2" t="s">
        <v>29</v>
      </c>
      <c r="C1970" s="2" t="s">
        <v>18</v>
      </c>
      <c r="D1970" s="2" t="s">
        <v>31</v>
      </c>
      <c r="E1970" s="2" t="s">
        <v>20</v>
      </c>
      <c r="F1970" s="2" t="n">
        <v>0</v>
      </c>
      <c r="G1970" s="2" t="s">
        <v>26</v>
      </c>
      <c r="H1970" s="2" t="s">
        <v>20</v>
      </c>
      <c r="I1970" s="2" t="s">
        <v>21</v>
      </c>
      <c r="J1970" s="2" t="n">
        <v>9</v>
      </c>
      <c r="K1970" s="2" t="s">
        <v>44</v>
      </c>
      <c r="L1970" s="2" t="n">
        <v>197</v>
      </c>
      <c r="M1970" s="2" t="n">
        <v>1</v>
      </c>
      <c r="N1970" s="2" t="n">
        <v>-1</v>
      </c>
      <c r="O1970" s="2" t="n">
        <v>0</v>
      </c>
      <c r="P1970" s="2" t="s">
        <v>23</v>
      </c>
      <c r="Q1970" s="2" t="s">
        <v>20</v>
      </c>
    </row>
    <row r="1971" customFormat="false" ht="15" hidden="false" customHeight="false" outlineLevel="0" collapsed="false">
      <c r="A1971" s="2" t="n">
        <v>35</v>
      </c>
      <c r="B1971" s="2" t="s">
        <v>29</v>
      </c>
      <c r="C1971" s="2" t="s">
        <v>18</v>
      </c>
      <c r="D1971" s="2" t="s">
        <v>31</v>
      </c>
      <c r="E1971" s="2" t="s">
        <v>20</v>
      </c>
      <c r="F1971" s="2" t="n">
        <v>175</v>
      </c>
      <c r="G1971" s="2" t="s">
        <v>26</v>
      </c>
      <c r="H1971" s="2" t="s">
        <v>20</v>
      </c>
      <c r="I1971" s="2" t="s">
        <v>21</v>
      </c>
      <c r="J1971" s="2" t="n">
        <v>7</v>
      </c>
      <c r="K1971" s="2" t="s">
        <v>41</v>
      </c>
      <c r="L1971" s="2" t="n">
        <v>257</v>
      </c>
      <c r="M1971" s="2" t="n">
        <v>2</v>
      </c>
      <c r="N1971" s="2" t="n">
        <v>-1</v>
      </c>
      <c r="O1971" s="2" t="n">
        <v>0</v>
      </c>
      <c r="P1971" s="2" t="s">
        <v>23</v>
      </c>
      <c r="Q1971" s="2" t="s">
        <v>20</v>
      </c>
    </row>
    <row r="1972" customFormat="false" ht="15" hidden="false" customHeight="false" outlineLevel="0" collapsed="false">
      <c r="A1972" s="2" t="n">
        <v>35</v>
      </c>
      <c r="B1972" s="2" t="s">
        <v>38</v>
      </c>
      <c r="C1972" s="2" t="s">
        <v>18</v>
      </c>
      <c r="D1972" s="2" t="s">
        <v>25</v>
      </c>
      <c r="E1972" s="2" t="s">
        <v>20</v>
      </c>
      <c r="F1972" s="2" t="n">
        <v>-259</v>
      </c>
      <c r="G1972" s="2" t="s">
        <v>26</v>
      </c>
      <c r="H1972" s="2" t="s">
        <v>20</v>
      </c>
      <c r="I1972" s="2" t="s">
        <v>21</v>
      </c>
      <c r="J1972" s="2" t="n">
        <v>29</v>
      </c>
      <c r="K1972" s="2" t="s">
        <v>43</v>
      </c>
      <c r="L1972" s="2" t="n">
        <v>381</v>
      </c>
      <c r="M1972" s="2" t="n">
        <v>1</v>
      </c>
      <c r="N1972" s="2" t="n">
        <v>247</v>
      </c>
      <c r="O1972" s="2" t="n">
        <v>2</v>
      </c>
      <c r="P1972" s="2" t="s">
        <v>28</v>
      </c>
      <c r="Q1972" s="2" t="s">
        <v>20</v>
      </c>
    </row>
    <row r="1973" customFormat="false" ht="15" hidden="false" customHeight="false" outlineLevel="0" collapsed="false">
      <c r="A1973" s="2" t="n">
        <v>32</v>
      </c>
      <c r="B1973" s="2" t="s">
        <v>29</v>
      </c>
      <c r="C1973" s="2" t="s">
        <v>18</v>
      </c>
      <c r="D1973" s="2" t="s">
        <v>25</v>
      </c>
      <c r="E1973" s="2" t="s">
        <v>20</v>
      </c>
      <c r="F1973" s="2" t="n">
        <v>6217</v>
      </c>
      <c r="G1973" s="2" t="s">
        <v>26</v>
      </c>
      <c r="H1973" s="2" t="s">
        <v>26</v>
      </c>
      <c r="I1973" s="2" t="s">
        <v>23</v>
      </c>
      <c r="J1973" s="2" t="n">
        <v>21</v>
      </c>
      <c r="K1973" s="2" t="s">
        <v>27</v>
      </c>
      <c r="L1973" s="2" t="n">
        <v>486</v>
      </c>
      <c r="M1973" s="2" t="n">
        <v>2</v>
      </c>
      <c r="N1973" s="2" t="n">
        <v>-1</v>
      </c>
      <c r="O1973" s="2" t="n">
        <v>0</v>
      </c>
      <c r="P1973" s="2" t="s">
        <v>23</v>
      </c>
      <c r="Q1973" s="2" t="s">
        <v>20</v>
      </c>
    </row>
    <row r="1974" customFormat="false" ht="15" hidden="false" customHeight="false" outlineLevel="0" collapsed="false">
      <c r="A1974" s="2" t="n">
        <v>42</v>
      </c>
      <c r="B1974" s="2" t="s">
        <v>38</v>
      </c>
      <c r="C1974" s="2" t="s">
        <v>18</v>
      </c>
      <c r="D1974" s="2" t="s">
        <v>25</v>
      </c>
      <c r="E1974" s="2" t="s">
        <v>20</v>
      </c>
      <c r="F1974" s="2" t="n">
        <v>-1310</v>
      </c>
      <c r="G1974" s="2" t="s">
        <v>26</v>
      </c>
      <c r="H1974" s="2" t="s">
        <v>26</v>
      </c>
      <c r="I1974" s="2" t="s">
        <v>23</v>
      </c>
      <c r="J1974" s="2" t="n">
        <v>28</v>
      </c>
      <c r="K1974" s="2" t="s">
        <v>27</v>
      </c>
      <c r="L1974" s="2" t="n">
        <v>162</v>
      </c>
      <c r="M1974" s="2" t="n">
        <v>1</v>
      </c>
      <c r="N1974" s="2" t="n">
        <v>-1</v>
      </c>
      <c r="O1974" s="2" t="n">
        <v>0</v>
      </c>
      <c r="P1974" s="2" t="s">
        <v>23</v>
      </c>
      <c r="Q1974" s="2" t="s">
        <v>20</v>
      </c>
    </row>
    <row r="1975" customFormat="false" ht="15" hidden="false" customHeight="false" outlineLevel="0" collapsed="false">
      <c r="A1975" s="2" t="n">
        <v>59</v>
      </c>
      <c r="B1975" s="2" t="s">
        <v>34</v>
      </c>
      <c r="C1975" s="2" t="s">
        <v>18</v>
      </c>
      <c r="D1975" s="2" t="s">
        <v>23</v>
      </c>
      <c r="E1975" s="2" t="s">
        <v>20</v>
      </c>
      <c r="F1975" s="2" t="n">
        <v>139</v>
      </c>
      <c r="G1975" s="2" t="s">
        <v>20</v>
      </c>
      <c r="H1975" s="2" t="s">
        <v>20</v>
      </c>
      <c r="I1975" s="2" t="s">
        <v>23</v>
      </c>
      <c r="J1975" s="2" t="n">
        <v>5</v>
      </c>
      <c r="K1975" s="2" t="s">
        <v>33</v>
      </c>
      <c r="L1975" s="2" t="n">
        <v>153</v>
      </c>
      <c r="M1975" s="2" t="n">
        <v>1</v>
      </c>
      <c r="N1975" s="2" t="n">
        <v>-1</v>
      </c>
      <c r="O1975" s="2" t="n">
        <v>0</v>
      </c>
      <c r="P1975" s="2" t="s">
        <v>23</v>
      </c>
      <c r="Q1975" s="2" t="s">
        <v>20</v>
      </c>
    </row>
    <row r="1976" customFormat="false" ht="15" hidden="false" customHeight="false" outlineLevel="0" collapsed="false">
      <c r="A1976" s="2" t="n">
        <v>44</v>
      </c>
      <c r="B1976" s="2" t="s">
        <v>38</v>
      </c>
      <c r="C1976" s="2" t="s">
        <v>30</v>
      </c>
      <c r="D1976" s="2" t="s">
        <v>25</v>
      </c>
      <c r="E1976" s="2" t="s">
        <v>20</v>
      </c>
      <c r="F1976" s="2" t="n">
        <v>7138</v>
      </c>
      <c r="G1976" s="2" t="s">
        <v>20</v>
      </c>
      <c r="H1976" s="2" t="s">
        <v>20</v>
      </c>
      <c r="I1976" s="2" t="s">
        <v>21</v>
      </c>
      <c r="J1976" s="2" t="n">
        <v>8</v>
      </c>
      <c r="K1976" s="2" t="s">
        <v>41</v>
      </c>
      <c r="L1976" s="2" t="n">
        <v>809</v>
      </c>
      <c r="M1976" s="2" t="n">
        <v>2</v>
      </c>
      <c r="N1976" s="2" t="n">
        <v>-1</v>
      </c>
      <c r="O1976" s="2" t="n">
        <v>0</v>
      </c>
      <c r="P1976" s="2" t="s">
        <v>23</v>
      </c>
      <c r="Q1976" s="2" t="s">
        <v>26</v>
      </c>
    </row>
    <row r="1977" customFormat="false" ht="15" hidden="false" customHeight="false" outlineLevel="0" collapsed="false">
      <c r="A1977" s="2" t="n">
        <v>50</v>
      </c>
      <c r="B1977" s="2" t="s">
        <v>40</v>
      </c>
      <c r="C1977" s="2" t="s">
        <v>45</v>
      </c>
      <c r="D1977" s="2" t="s">
        <v>25</v>
      </c>
      <c r="E1977" s="2" t="s">
        <v>20</v>
      </c>
      <c r="F1977" s="2" t="n">
        <v>1111</v>
      </c>
      <c r="G1977" s="2" t="s">
        <v>26</v>
      </c>
      <c r="H1977" s="2" t="s">
        <v>20</v>
      </c>
      <c r="I1977" s="2" t="s">
        <v>21</v>
      </c>
      <c r="J1977" s="2" t="n">
        <v>17</v>
      </c>
      <c r="K1977" s="2" t="s">
        <v>32</v>
      </c>
      <c r="L1977" s="2" t="n">
        <v>50</v>
      </c>
      <c r="M1977" s="2" t="n">
        <v>1</v>
      </c>
      <c r="N1977" s="2" t="n">
        <v>-1</v>
      </c>
      <c r="O1977" s="2" t="n">
        <v>0</v>
      </c>
      <c r="P1977" s="2" t="s">
        <v>23</v>
      </c>
      <c r="Q1977" s="2" t="s">
        <v>20</v>
      </c>
    </row>
    <row r="1978" customFormat="false" ht="15" hidden="false" customHeight="false" outlineLevel="0" collapsed="false">
      <c r="A1978" s="2" t="n">
        <v>27</v>
      </c>
      <c r="B1978" s="2" t="s">
        <v>34</v>
      </c>
      <c r="C1978" s="2" t="s">
        <v>30</v>
      </c>
      <c r="D1978" s="2" t="s">
        <v>25</v>
      </c>
      <c r="E1978" s="2" t="s">
        <v>20</v>
      </c>
      <c r="F1978" s="2" t="n">
        <v>113</v>
      </c>
      <c r="G1978" s="2" t="s">
        <v>20</v>
      </c>
      <c r="H1978" s="2" t="s">
        <v>20</v>
      </c>
      <c r="I1978" s="2" t="s">
        <v>21</v>
      </c>
      <c r="J1978" s="2" t="n">
        <v>22</v>
      </c>
      <c r="K1978" s="2" t="s">
        <v>44</v>
      </c>
      <c r="L1978" s="2" t="n">
        <v>39</v>
      </c>
      <c r="M1978" s="2" t="n">
        <v>17</v>
      </c>
      <c r="N1978" s="2" t="n">
        <v>-1</v>
      </c>
      <c r="O1978" s="2" t="n">
        <v>0</v>
      </c>
      <c r="P1978" s="2" t="s">
        <v>23</v>
      </c>
      <c r="Q1978" s="2" t="s">
        <v>20</v>
      </c>
    </row>
    <row r="1979" customFormat="false" ht="15" hidden="false" customHeight="false" outlineLevel="0" collapsed="false">
      <c r="A1979" s="2" t="n">
        <v>55</v>
      </c>
      <c r="B1979" s="2" t="s">
        <v>29</v>
      </c>
      <c r="C1979" s="2" t="s">
        <v>45</v>
      </c>
      <c r="D1979" s="2" t="s">
        <v>31</v>
      </c>
      <c r="E1979" s="2" t="s">
        <v>20</v>
      </c>
      <c r="F1979" s="2" t="n">
        <v>-612</v>
      </c>
      <c r="G1979" s="2" t="s">
        <v>20</v>
      </c>
      <c r="H1979" s="2" t="s">
        <v>20</v>
      </c>
      <c r="I1979" s="2" t="s">
        <v>21</v>
      </c>
      <c r="J1979" s="2" t="n">
        <v>26</v>
      </c>
      <c r="K1979" s="2" t="s">
        <v>41</v>
      </c>
      <c r="L1979" s="2" t="n">
        <v>131</v>
      </c>
      <c r="M1979" s="2" t="n">
        <v>2</v>
      </c>
      <c r="N1979" s="2" t="n">
        <v>-1</v>
      </c>
      <c r="O1979" s="2" t="n">
        <v>0</v>
      </c>
      <c r="P1979" s="2" t="s">
        <v>23</v>
      </c>
      <c r="Q1979" s="2" t="s">
        <v>20</v>
      </c>
    </row>
    <row r="1980" customFormat="false" ht="15" hidden="false" customHeight="false" outlineLevel="0" collapsed="false">
      <c r="A1980" s="2" t="n">
        <v>54</v>
      </c>
      <c r="B1980" s="2" t="s">
        <v>34</v>
      </c>
      <c r="C1980" s="2" t="s">
        <v>18</v>
      </c>
      <c r="D1980" s="2" t="s">
        <v>23</v>
      </c>
      <c r="E1980" s="2" t="s">
        <v>20</v>
      </c>
      <c r="F1980" s="2" t="n">
        <v>310</v>
      </c>
      <c r="G1980" s="2" t="s">
        <v>26</v>
      </c>
      <c r="H1980" s="2" t="s">
        <v>20</v>
      </c>
      <c r="I1980" s="2" t="s">
        <v>49</v>
      </c>
      <c r="J1980" s="2" t="n">
        <v>28</v>
      </c>
      <c r="K1980" s="2" t="s">
        <v>43</v>
      </c>
      <c r="L1980" s="2" t="n">
        <v>526</v>
      </c>
      <c r="M1980" s="2" t="n">
        <v>4</v>
      </c>
      <c r="N1980" s="2" t="n">
        <v>258</v>
      </c>
      <c r="O1980" s="2" t="n">
        <v>3</v>
      </c>
      <c r="P1980" s="2" t="s">
        <v>37</v>
      </c>
      <c r="Q1980" s="2" t="s">
        <v>20</v>
      </c>
    </row>
    <row r="1981" customFormat="false" ht="15" hidden="false" customHeight="false" outlineLevel="0" collapsed="false">
      <c r="A1981" s="2" t="n">
        <v>31</v>
      </c>
      <c r="B1981" s="2" t="s">
        <v>17</v>
      </c>
      <c r="C1981" s="2" t="s">
        <v>30</v>
      </c>
      <c r="D1981" s="2" t="s">
        <v>25</v>
      </c>
      <c r="E1981" s="2" t="s">
        <v>20</v>
      </c>
      <c r="F1981" s="2" t="n">
        <v>-186</v>
      </c>
      <c r="G1981" s="2" t="s">
        <v>26</v>
      </c>
      <c r="H1981" s="2" t="s">
        <v>20</v>
      </c>
      <c r="I1981" s="2" t="s">
        <v>23</v>
      </c>
      <c r="J1981" s="2" t="n">
        <v>26</v>
      </c>
      <c r="K1981" s="2" t="s">
        <v>27</v>
      </c>
      <c r="L1981" s="2" t="n">
        <v>172</v>
      </c>
      <c r="M1981" s="2" t="n">
        <v>3</v>
      </c>
      <c r="N1981" s="2" t="n">
        <v>-1</v>
      </c>
      <c r="O1981" s="2" t="n">
        <v>0</v>
      </c>
      <c r="P1981" s="2" t="s">
        <v>23</v>
      </c>
      <c r="Q1981" s="2" t="s">
        <v>20</v>
      </c>
    </row>
    <row r="1982" customFormat="false" ht="15" hidden="false" customHeight="false" outlineLevel="0" collapsed="false">
      <c r="A1982" s="2" t="n">
        <v>56</v>
      </c>
      <c r="B1982" s="2" t="s">
        <v>40</v>
      </c>
      <c r="C1982" s="2" t="s">
        <v>18</v>
      </c>
      <c r="D1982" s="2" t="s">
        <v>23</v>
      </c>
      <c r="E1982" s="2" t="s">
        <v>20</v>
      </c>
      <c r="F1982" s="2" t="n">
        <v>2038</v>
      </c>
      <c r="G1982" s="2" t="s">
        <v>20</v>
      </c>
      <c r="H1982" s="2" t="s">
        <v>20</v>
      </c>
      <c r="I1982" s="2" t="s">
        <v>21</v>
      </c>
      <c r="J1982" s="2" t="n">
        <v>8</v>
      </c>
      <c r="K1982" s="2" t="s">
        <v>35</v>
      </c>
      <c r="L1982" s="2" t="n">
        <v>405</v>
      </c>
      <c r="M1982" s="2" t="n">
        <v>1</v>
      </c>
      <c r="N1982" s="2" t="n">
        <v>305</v>
      </c>
      <c r="O1982" s="2" t="n">
        <v>1</v>
      </c>
      <c r="P1982" s="2" t="s">
        <v>50</v>
      </c>
      <c r="Q1982" s="2" t="s">
        <v>20</v>
      </c>
    </row>
    <row r="1983" customFormat="false" ht="15" hidden="false" customHeight="false" outlineLevel="0" collapsed="false">
      <c r="A1983" s="2" t="n">
        <v>51</v>
      </c>
      <c r="B1983" s="2" t="s">
        <v>36</v>
      </c>
      <c r="C1983" s="2" t="s">
        <v>18</v>
      </c>
      <c r="D1983" s="2" t="s">
        <v>31</v>
      </c>
      <c r="E1983" s="2" t="s">
        <v>20</v>
      </c>
      <c r="F1983" s="2" t="n">
        <v>833</v>
      </c>
      <c r="G1983" s="2" t="s">
        <v>20</v>
      </c>
      <c r="H1983" s="2" t="s">
        <v>20</v>
      </c>
      <c r="I1983" s="2" t="s">
        <v>21</v>
      </c>
      <c r="J1983" s="2" t="n">
        <v>31</v>
      </c>
      <c r="K1983" s="2" t="s">
        <v>44</v>
      </c>
      <c r="L1983" s="2" t="n">
        <v>77</v>
      </c>
      <c r="M1983" s="2" t="n">
        <v>3</v>
      </c>
      <c r="N1983" s="2" t="n">
        <v>-1</v>
      </c>
      <c r="O1983" s="2" t="n">
        <v>0</v>
      </c>
      <c r="P1983" s="2" t="s">
        <v>23</v>
      </c>
      <c r="Q1983" s="2" t="s">
        <v>20</v>
      </c>
    </row>
    <row r="1984" customFormat="false" ht="15" hidden="false" customHeight="false" outlineLevel="0" collapsed="false">
      <c r="A1984" s="2" t="n">
        <v>61</v>
      </c>
      <c r="B1984" s="2" t="s">
        <v>34</v>
      </c>
      <c r="C1984" s="2" t="s">
        <v>18</v>
      </c>
      <c r="D1984" s="2" t="s">
        <v>19</v>
      </c>
      <c r="E1984" s="2" t="s">
        <v>20</v>
      </c>
      <c r="F1984" s="2" t="n">
        <v>625</v>
      </c>
      <c r="G1984" s="2" t="s">
        <v>26</v>
      </c>
      <c r="H1984" s="2" t="s">
        <v>20</v>
      </c>
      <c r="I1984" s="2" t="s">
        <v>23</v>
      </c>
      <c r="J1984" s="2" t="n">
        <v>19</v>
      </c>
      <c r="K1984" s="2" t="s">
        <v>27</v>
      </c>
      <c r="L1984" s="2" t="n">
        <v>158</v>
      </c>
      <c r="M1984" s="2" t="n">
        <v>2</v>
      </c>
      <c r="N1984" s="2" t="n">
        <v>-1</v>
      </c>
      <c r="O1984" s="2" t="n">
        <v>0</v>
      </c>
      <c r="P1984" s="2" t="s">
        <v>23</v>
      </c>
      <c r="Q1984" s="2" t="s">
        <v>20</v>
      </c>
    </row>
    <row r="1985" customFormat="false" ht="15" hidden="false" customHeight="false" outlineLevel="0" collapsed="false">
      <c r="A1985" s="2" t="n">
        <v>34</v>
      </c>
      <c r="B1985" s="2" t="s">
        <v>38</v>
      </c>
      <c r="C1985" s="2" t="s">
        <v>30</v>
      </c>
      <c r="D1985" s="2" t="s">
        <v>25</v>
      </c>
      <c r="E1985" s="2" t="s">
        <v>20</v>
      </c>
      <c r="F1985" s="2" t="n">
        <v>105</v>
      </c>
      <c r="G1985" s="2" t="s">
        <v>26</v>
      </c>
      <c r="H1985" s="2" t="s">
        <v>20</v>
      </c>
      <c r="I1985" s="2" t="s">
        <v>21</v>
      </c>
      <c r="J1985" s="2" t="n">
        <v>7</v>
      </c>
      <c r="K1985" s="2" t="s">
        <v>27</v>
      </c>
      <c r="L1985" s="2" t="n">
        <v>146</v>
      </c>
      <c r="M1985" s="2" t="n">
        <v>2</v>
      </c>
      <c r="N1985" s="2" t="n">
        <v>171</v>
      </c>
      <c r="O1985" s="2" t="n">
        <v>3</v>
      </c>
      <c r="P1985" s="2" t="s">
        <v>28</v>
      </c>
      <c r="Q1985" s="2" t="s">
        <v>20</v>
      </c>
    </row>
    <row r="1986" customFormat="false" ht="15" hidden="false" customHeight="false" outlineLevel="0" collapsed="false">
      <c r="A1986" s="2" t="n">
        <v>56</v>
      </c>
      <c r="B1986" s="2" t="s">
        <v>34</v>
      </c>
      <c r="C1986" s="2" t="s">
        <v>18</v>
      </c>
      <c r="D1986" s="2" t="s">
        <v>19</v>
      </c>
      <c r="E1986" s="2" t="s">
        <v>20</v>
      </c>
      <c r="F1986" s="2" t="n">
        <v>551</v>
      </c>
      <c r="G1986" s="2" t="s">
        <v>20</v>
      </c>
      <c r="H1986" s="2" t="s">
        <v>20</v>
      </c>
      <c r="I1986" s="2" t="s">
        <v>23</v>
      </c>
      <c r="J1986" s="2" t="n">
        <v>29</v>
      </c>
      <c r="K1986" s="2" t="s">
        <v>27</v>
      </c>
      <c r="L1986" s="2" t="n">
        <v>27</v>
      </c>
      <c r="M1986" s="2" t="n">
        <v>1</v>
      </c>
      <c r="N1986" s="2" t="n">
        <v>-1</v>
      </c>
      <c r="O1986" s="2" t="n">
        <v>0</v>
      </c>
      <c r="P1986" s="2" t="s">
        <v>23</v>
      </c>
      <c r="Q1986" s="2" t="s">
        <v>20</v>
      </c>
    </row>
    <row r="1987" customFormat="false" ht="15" hidden="false" customHeight="false" outlineLevel="0" collapsed="false">
      <c r="A1987" s="2" t="n">
        <v>29</v>
      </c>
      <c r="B1987" s="2" t="s">
        <v>42</v>
      </c>
      <c r="C1987" s="2" t="s">
        <v>30</v>
      </c>
      <c r="D1987" s="2" t="s">
        <v>23</v>
      </c>
      <c r="E1987" s="2" t="s">
        <v>20</v>
      </c>
      <c r="F1987" s="2" t="n">
        <v>145</v>
      </c>
      <c r="G1987" s="2" t="s">
        <v>20</v>
      </c>
      <c r="H1987" s="2" t="s">
        <v>20</v>
      </c>
      <c r="I1987" s="2" t="s">
        <v>21</v>
      </c>
      <c r="J1987" s="2" t="n">
        <v>14</v>
      </c>
      <c r="K1987" s="2" t="s">
        <v>41</v>
      </c>
      <c r="L1987" s="2" t="n">
        <v>105</v>
      </c>
      <c r="M1987" s="2" t="n">
        <v>1</v>
      </c>
      <c r="N1987" s="2" t="n">
        <v>-1</v>
      </c>
      <c r="O1987" s="2" t="n">
        <v>0</v>
      </c>
      <c r="P1987" s="2" t="s">
        <v>23</v>
      </c>
      <c r="Q1987" s="2" t="s">
        <v>20</v>
      </c>
    </row>
    <row r="1988" customFormat="false" ht="15" hidden="false" customHeight="false" outlineLevel="0" collapsed="false">
      <c r="A1988" s="2" t="n">
        <v>34</v>
      </c>
      <c r="B1988" s="2" t="s">
        <v>29</v>
      </c>
      <c r="C1988" s="2" t="s">
        <v>30</v>
      </c>
      <c r="D1988" s="2" t="s">
        <v>31</v>
      </c>
      <c r="E1988" s="2" t="s">
        <v>20</v>
      </c>
      <c r="F1988" s="2" t="n">
        <v>618</v>
      </c>
      <c r="G1988" s="2" t="s">
        <v>26</v>
      </c>
      <c r="H1988" s="2" t="s">
        <v>20</v>
      </c>
      <c r="I1988" s="2" t="s">
        <v>23</v>
      </c>
      <c r="J1988" s="2" t="n">
        <v>3</v>
      </c>
      <c r="K1988" s="2" t="s">
        <v>33</v>
      </c>
      <c r="L1988" s="2" t="n">
        <v>119</v>
      </c>
      <c r="M1988" s="2" t="n">
        <v>4</v>
      </c>
      <c r="N1988" s="2" t="n">
        <v>-1</v>
      </c>
      <c r="O1988" s="2" t="n">
        <v>0</v>
      </c>
      <c r="P1988" s="2" t="s">
        <v>23</v>
      </c>
      <c r="Q1988" s="2" t="s">
        <v>20</v>
      </c>
    </row>
    <row r="1989" customFormat="false" ht="15" hidden="false" customHeight="false" outlineLevel="0" collapsed="false">
      <c r="A1989" s="2" t="n">
        <v>35</v>
      </c>
      <c r="B1989" s="2" t="s">
        <v>24</v>
      </c>
      <c r="C1989" s="2" t="s">
        <v>30</v>
      </c>
      <c r="D1989" s="2" t="s">
        <v>25</v>
      </c>
      <c r="E1989" s="2" t="s">
        <v>20</v>
      </c>
      <c r="F1989" s="2" t="n">
        <v>1063</v>
      </c>
      <c r="G1989" s="2" t="s">
        <v>26</v>
      </c>
      <c r="H1989" s="2" t="s">
        <v>26</v>
      </c>
      <c r="I1989" s="2" t="s">
        <v>21</v>
      </c>
      <c r="J1989" s="2" t="n">
        <v>16</v>
      </c>
      <c r="K1989" s="2" t="s">
        <v>32</v>
      </c>
      <c r="L1989" s="2" t="n">
        <v>327</v>
      </c>
      <c r="M1989" s="2" t="n">
        <v>1</v>
      </c>
      <c r="N1989" s="2" t="n">
        <v>-1</v>
      </c>
      <c r="O1989" s="2" t="n">
        <v>0</v>
      </c>
      <c r="P1989" s="2" t="s">
        <v>23</v>
      </c>
      <c r="Q1989" s="2" t="s">
        <v>20</v>
      </c>
    </row>
    <row r="1990" customFormat="false" ht="15" hidden="false" customHeight="false" outlineLevel="0" collapsed="false">
      <c r="A1990" s="2" t="n">
        <v>56</v>
      </c>
      <c r="B1990" s="2" t="s">
        <v>40</v>
      </c>
      <c r="C1990" s="2" t="s">
        <v>45</v>
      </c>
      <c r="D1990" s="2" t="s">
        <v>25</v>
      </c>
      <c r="E1990" s="2" t="s">
        <v>20</v>
      </c>
      <c r="F1990" s="2" t="n">
        <v>985</v>
      </c>
      <c r="G1990" s="2" t="s">
        <v>20</v>
      </c>
      <c r="H1990" s="2" t="s">
        <v>26</v>
      </c>
      <c r="I1990" s="2" t="s">
        <v>21</v>
      </c>
      <c r="J1990" s="2" t="n">
        <v>18</v>
      </c>
      <c r="K1990" s="2" t="s">
        <v>41</v>
      </c>
      <c r="L1990" s="2" t="n">
        <v>150</v>
      </c>
      <c r="M1990" s="2" t="n">
        <v>2</v>
      </c>
      <c r="N1990" s="2" t="n">
        <v>-1</v>
      </c>
      <c r="O1990" s="2" t="n">
        <v>0</v>
      </c>
      <c r="P1990" s="2" t="s">
        <v>23</v>
      </c>
      <c r="Q1990" s="2" t="s">
        <v>20</v>
      </c>
    </row>
    <row r="1991" customFormat="false" ht="15" hidden="false" customHeight="false" outlineLevel="0" collapsed="false">
      <c r="A1991" s="2" t="n">
        <v>45</v>
      </c>
      <c r="B1991" s="2" t="s">
        <v>34</v>
      </c>
      <c r="C1991" s="2" t="s">
        <v>18</v>
      </c>
      <c r="D1991" s="2" t="s">
        <v>25</v>
      </c>
      <c r="E1991" s="2" t="s">
        <v>20</v>
      </c>
      <c r="F1991" s="2" t="n">
        <v>2926</v>
      </c>
      <c r="G1991" s="2" t="s">
        <v>26</v>
      </c>
      <c r="H1991" s="2" t="s">
        <v>26</v>
      </c>
      <c r="I1991" s="2" t="s">
        <v>21</v>
      </c>
      <c r="J1991" s="2" t="n">
        <v>19</v>
      </c>
      <c r="K1991" s="2" t="s">
        <v>46</v>
      </c>
      <c r="L1991" s="2" t="n">
        <v>482</v>
      </c>
      <c r="M1991" s="2" t="n">
        <v>3</v>
      </c>
      <c r="N1991" s="2" t="n">
        <v>120</v>
      </c>
      <c r="O1991" s="2" t="n">
        <v>2</v>
      </c>
      <c r="P1991" s="2" t="s">
        <v>28</v>
      </c>
      <c r="Q1991" s="2" t="s">
        <v>20</v>
      </c>
    </row>
    <row r="1992" customFormat="false" ht="15" hidden="false" customHeight="false" outlineLevel="0" collapsed="false">
      <c r="A1992" s="2" t="n">
        <v>31</v>
      </c>
      <c r="B1992" s="2" t="s">
        <v>40</v>
      </c>
      <c r="C1992" s="2" t="s">
        <v>30</v>
      </c>
      <c r="D1992" s="2" t="s">
        <v>25</v>
      </c>
      <c r="E1992" s="2" t="s">
        <v>20</v>
      </c>
      <c r="F1992" s="2" t="n">
        <v>-449</v>
      </c>
      <c r="G1992" s="2" t="s">
        <v>26</v>
      </c>
      <c r="H1992" s="2" t="s">
        <v>20</v>
      </c>
      <c r="I1992" s="2" t="s">
        <v>23</v>
      </c>
      <c r="J1992" s="2" t="n">
        <v>28</v>
      </c>
      <c r="K1992" s="2" t="s">
        <v>27</v>
      </c>
      <c r="L1992" s="2" t="n">
        <v>81</v>
      </c>
      <c r="M1992" s="2" t="n">
        <v>2</v>
      </c>
      <c r="N1992" s="2" t="n">
        <v>-1</v>
      </c>
      <c r="O1992" s="2" t="n">
        <v>0</v>
      </c>
      <c r="P1992" s="2" t="s">
        <v>23</v>
      </c>
      <c r="Q1992" s="2" t="s">
        <v>20</v>
      </c>
    </row>
    <row r="1993" customFormat="false" ht="15" hidden="false" customHeight="false" outlineLevel="0" collapsed="false">
      <c r="A1993" s="2" t="n">
        <v>37</v>
      </c>
      <c r="B1993" s="2" t="s">
        <v>39</v>
      </c>
      <c r="C1993" s="2" t="s">
        <v>45</v>
      </c>
      <c r="D1993" s="2" t="s">
        <v>31</v>
      </c>
      <c r="E1993" s="2" t="s">
        <v>20</v>
      </c>
      <c r="F1993" s="2" t="n">
        <v>66</v>
      </c>
      <c r="G1993" s="2" t="s">
        <v>20</v>
      </c>
      <c r="H1993" s="2" t="s">
        <v>20</v>
      </c>
      <c r="I1993" s="2" t="s">
        <v>21</v>
      </c>
      <c r="J1993" s="2" t="n">
        <v>18</v>
      </c>
      <c r="K1993" s="2" t="s">
        <v>46</v>
      </c>
      <c r="L1993" s="2" t="n">
        <v>1164</v>
      </c>
      <c r="M1993" s="2" t="n">
        <v>2</v>
      </c>
      <c r="N1993" s="2" t="n">
        <v>-1</v>
      </c>
      <c r="O1993" s="2" t="n">
        <v>0</v>
      </c>
      <c r="P1993" s="2" t="s">
        <v>23</v>
      </c>
      <c r="Q1993" s="2" t="s">
        <v>26</v>
      </c>
    </row>
    <row r="1994" customFormat="false" ht="15" hidden="false" customHeight="false" outlineLevel="0" collapsed="false">
      <c r="A1994" s="2" t="n">
        <v>43</v>
      </c>
      <c r="B1994" s="2" t="s">
        <v>40</v>
      </c>
      <c r="C1994" s="2" t="s">
        <v>18</v>
      </c>
      <c r="D1994" s="2" t="s">
        <v>25</v>
      </c>
      <c r="E1994" s="2" t="s">
        <v>20</v>
      </c>
      <c r="F1994" s="2" t="n">
        <v>0</v>
      </c>
      <c r="G1994" s="2" t="s">
        <v>26</v>
      </c>
      <c r="H1994" s="2" t="s">
        <v>20</v>
      </c>
      <c r="I1994" s="2" t="s">
        <v>21</v>
      </c>
      <c r="J1994" s="2" t="n">
        <v>17</v>
      </c>
      <c r="K1994" s="2" t="s">
        <v>44</v>
      </c>
      <c r="L1994" s="2" t="n">
        <v>674</v>
      </c>
      <c r="M1994" s="2" t="n">
        <v>3</v>
      </c>
      <c r="N1994" s="2" t="n">
        <v>-1</v>
      </c>
      <c r="O1994" s="2" t="n">
        <v>0</v>
      </c>
      <c r="P1994" s="2" t="s">
        <v>23</v>
      </c>
      <c r="Q1994" s="2" t="s">
        <v>20</v>
      </c>
    </row>
    <row r="1995" customFormat="false" ht="15" hidden="false" customHeight="false" outlineLevel="0" collapsed="false">
      <c r="A1995" s="2" t="n">
        <v>40</v>
      </c>
      <c r="B1995" s="2" t="s">
        <v>29</v>
      </c>
      <c r="C1995" s="2" t="s">
        <v>18</v>
      </c>
      <c r="D1995" s="2" t="s">
        <v>23</v>
      </c>
      <c r="E1995" s="2" t="s">
        <v>20</v>
      </c>
      <c r="F1995" s="2" t="n">
        <v>419</v>
      </c>
      <c r="G1995" s="2" t="s">
        <v>26</v>
      </c>
      <c r="H1995" s="2" t="s">
        <v>20</v>
      </c>
      <c r="I1995" s="2" t="s">
        <v>21</v>
      </c>
      <c r="J1995" s="2" t="n">
        <v>10</v>
      </c>
      <c r="K1995" s="2" t="s">
        <v>44</v>
      </c>
      <c r="L1995" s="2" t="n">
        <v>347</v>
      </c>
      <c r="M1995" s="2" t="n">
        <v>1</v>
      </c>
      <c r="N1995" s="2" t="n">
        <v>-1</v>
      </c>
      <c r="O1995" s="2" t="n">
        <v>0</v>
      </c>
      <c r="P1995" s="2" t="s">
        <v>23</v>
      </c>
      <c r="Q1995" s="2" t="s">
        <v>20</v>
      </c>
    </row>
    <row r="1996" customFormat="false" ht="15" hidden="false" customHeight="false" outlineLevel="0" collapsed="false">
      <c r="A1996" s="2" t="n">
        <v>44</v>
      </c>
      <c r="B1996" s="2" t="s">
        <v>29</v>
      </c>
      <c r="C1996" s="2" t="s">
        <v>18</v>
      </c>
      <c r="D1996" s="2" t="s">
        <v>19</v>
      </c>
      <c r="E1996" s="2" t="s">
        <v>20</v>
      </c>
      <c r="F1996" s="2" t="n">
        <v>4758</v>
      </c>
      <c r="G1996" s="2" t="s">
        <v>26</v>
      </c>
      <c r="H1996" s="2" t="s">
        <v>20</v>
      </c>
      <c r="I1996" s="2" t="s">
        <v>21</v>
      </c>
      <c r="J1996" s="2" t="n">
        <v>22</v>
      </c>
      <c r="K1996" s="2" t="s">
        <v>44</v>
      </c>
      <c r="L1996" s="2" t="n">
        <v>712</v>
      </c>
      <c r="M1996" s="2" t="n">
        <v>6</v>
      </c>
      <c r="N1996" s="2" t="n">
        <v>-1</v>
      </c>
      <c r="O1996" s="2" t="n">
        <v>0</v>
      </c>
      <c r="P1996" s="2" t="s">
        <v>23</v>
      </c>
      <c r="Q1996" s="2" t="s">
        <v>26</v>
      </c>
    </row>
    <row r="1997" customFormat="false" ht="15" hidden="false" customHeight="false" outlineLevel="0" collapsed="false">
      <c r="A1997" s="2" t="n">
        <v>38</v>
      </c>
      <c r="B1997" s="2" t="s">
        <v>40</v>
      </c>
      <c r="C1997" s="2" t="s">
        <v>30</v>
      </c>
      <c r="D1997" s="2" t="s">
        <v>25</v>
      </c>
      <c r="E1997" s="2" t="s">
        <v>20</v>
      </c>
      <c r="F1997" s="2" t="n">
        <v>-23</v>
      </c>
      <c r="G1997" s="2" t="s">
        <v>20</v>
      </c>
      <c r="H1997" s="2" t="s">
        <v>20</v>
      </c>
      <c r="I1997" s="2" t="s">
        <v>21</v>
      </c>
      <c r="J1997" s="2" t="n">
        <v>20</v>
      </c>
      <c r="K1997" s="2" t="s">
        <v>46</v>
      </c>
      <c r="L1997" s="2" t="n">
        <v>48</v>
      </c>
      <c r="M1997" s="2" t="n">
        <v>2</v>
      </c>
      <c r="N1997" s="2" t="n">
        <v>-1</v>
      </c>
      <c r="O1997" s="2" t="n">
        <v>0</v>
      </c>
      <c r="P1997" s="2" t="s">
        <v>23</v>
      </c>
      <c r="Q1997" s="2" t="s">
        <v>20</v>
      </c>
    </row>
    <row r="1998" customFormat="false" ht="15" hidden="false" customHeight="false" outlineLevel="0" collapsed="false">
      <c r="A1998" s="2" t="n">
        <v>58</v>
      </c>
      <c r="B1998" s="2" t="s">
        <v>29</v>
      </c>
      <c r="C1998" s="2" t="s">
        <v>45</v>
      </c>
      <c r="D1998" s="2" t="s">
        <v>31</v>
      </c>
      <c r="E1998" s="2" t="s">
        <v>20</v>
      </c>
      <c r="F1998" s="2" t="n">
        <v>1573</v>
      </c>
      <c r="G1998" s="2" t="s">
        <v>26</v>
      </c>
      <c r="H1998" s="2" t="s">
        <v>26</v>
      </c>
      <c r="I1998" s="2" t="s">
        <v>21</v>
      </c>
      <c r="J1998" s="2" t="n">
        <v>17</v>
      </c>
      <c r="K1998" s="2" t="s">
        <v>46</v>
      </c>
      <c r="L1998" s="2" t="n">
        <v>279</v>
      </c>
      <c r="M1998" s="2" t="n">
        <v>1</v>
      </c>
      <c r="N1998" s="2" t="n">
        <v>-1</v>
      </c>
      <c r="O1998" s="2" t="n">
        <v>0</v>
      </c>
      <c r="P1998" s="2" t="s">
        <v>23</v>
      </c>
      <c r="Q1998" s="2" t="s">
        <v>20</v>
      </c>
    </row>
    <row r="1999" customFormat="false" ht="15" hidden="false" customHeight="false" outlineLevel="0" collapsed="false">
      <c r="A1999" s="2" t="n">
        <v>24</v>
      </c>
      <c r="B1999" s="2" t="s">
        <v>34</v>
      </c>
      <c r="C1999" s="2" t="s">
        <v>30</v>
      </c>
      <c r="D1999" s="2" t="s">
        <v>25</v>
      </c>
      <c r="E1999" s="2" t="s">
        <v>20</v>
      </c>
      <c r="F1999" s="2" t="n">
        <v>77</v>
      </c>
      <c r="G1999" s="2" t="s">
        <v>26</v>
      </c>
      <c r="H1999" s="2" t="s">
        <v>20</v>
      </c>
      <c r="I1999" s="2" t="s">
        <v>23</v>
      </c>
      <c r="J1999" s="2" t="n">
        <v>16</v>
      </c>
      <c r="K1999" s="2" t="s">
        <v>27</v>
      </c>
      <c r="L1999" s="2" t="n">
        <v>236</v>
      </c>
      <c r="M1999" s="2" t="n">
        <v>2</v>
      </c>
      <c r="N1999" s="2" t="n">
        <v>-1</v>
      </c>
      <c r="O1999" s="2" t="n">
        <v>0</v>
      </c>
      <c r="P1999" s="2" t="s">
        <v>23</v>
      </c>
      <c r="Q1999" s="2" t="s">
        <v>20</v>
      </c>
    </row>
    <row r="2000" customFormat="false" ht="15" hidden="false" customHeight="false" outlineLevel="0" collapsed="false">
      <c r="A2000" s="2" t="n">
        <v>53</v>
      </c>
      <c r="B2000" s="2" t="s">
        <v>24</v>
      </c>
      <c r="C2000" s="2" t="s">
        <v>18</v>
      </c>
      <c r="D2000" s="2" t="s">
        <v>25</v>
      </c>
      <c r="E2000" s="2" t="s">
        <v>20</v>
      </c>
      <c r="F2000" s="2" t="n">
        <v>1378</v>
      </c>
      <c r="G2000" s="2" t="s">
        <v>26</v>
      </c>
      <c r="H2000" s="2" t="s">
        <v>20</v>
      </c>
      <c r="I2000" s="2" t="s">
        <v>21</v>
      </c>
      <c r="J2000" s="2" t="n">
        <v>18</v>
      </c>
      <c r="K2000" s="2" t="s">
        <v>44</v>
      </c>
      <c r="L2000" s="2" t="n">
        <v>91</v>
      </c>
      <c r="M2000" s="2" t="n">
        <v>2</v>
      </c>
      <c r="N2000" s="2" t="n">
        <v>-1</v>
      </c>
      <c r="O2000" s="2" t="n">
        <v>0</v>
      </c>
      <c r="P2000" s="2" t="s">
        <v>23</v>
      </c>
      <c r="Q2000" s="2" t="s">
        <v>20</v>
      </c>
    </row>
    <row r="2001" customFormat="false" ht="15" hidden="false" customHeight="false" outlineLevel="0" collapsed="false">
      <c r="A2001" s="2" t="n">
        <v>36</v>
      </c>
      <c r="B2001" s="2" t="s">
        <v>34</v>
      </c>
      <c r="C2001" s="2" t="s">
        <v>18</v>
      </c>
      <c r="D2001" s="2" t="s">
        <v>25</v>
      </c>
      <c r="E2001" s="2" t="s">
        <v>20</v>
      </c>
      <c r="F2001" s="2" t="n">
        <v>-73</v>
      </c>
      <c r="G2001" s="2" t="s">
        <v>26</v>
      </c>
      <c r="H2001" s="2" t="s">
        <v>26</v>
      </c>
      <c r="I2001" s="2" t="s">
        <v>21</v>
      </c>
      <c r="J2001" s="2" t="n">
        <v>18</v>
      </c>
      <c r="K2001" s="2" t="s">
        <v>27</v>
      </c>
      <c r="L2001" s="2" t="n">
        <v>15</v>
      </c>
      <c r="M2001" s="2" t="n">
        <v>8</v>
      </c>
      <c r="N2001" s="2" t="n">
        <v>-1</v>
      </c>
      <c r="O2001" s="2" t="n">
        <v>0</v>
      </c>
      <c r="P2001" s="2" t="s">
        <v>23</v>
      </c>
      <c r="Q2001" s="2" t="s">
        <v>20</v>
      </c>
    </row>
    <row r="2002" customFormat="false" ht="15" hidden="false" customHeight="false" outlineLevel="0" collapsed="false">
      <c r="A2002" s="2" t="n">
        <v>28</v>
      </c>
      <c r="B2002" s="2" t="s">
        <v>34</v>
      </c>
      <c r="C2002" s="2" t="s">
        <v>18</v>
      </c>
      <c r="D2002" s="2" t="s">
        <v>19</v>
      </c>
      <c r="E2002" s="2" t="s">
        <v>20</v>
      </c>
      <c r="F2002" s="2" t="n">
        <v>60</v>
      </c>
      <c r="G2002" s="2" t="s">
        <v>26</v>
      </c>
      <c r="H2002" s="2" t="s">
        <v>20</v>
      </c>
      <c r="I2002" s="2" t="s">
        <v>21</v>
      </c>
      <c r="J2002" s="2" t="n">
        <v>6</v>
      </c>
      <c r="K2002" s="2" t="s">
        <v>27</v>
      </c>
      <c r="L2002" s="2" t="n">
        <v>161</v>
      </c>
      <c r="M2002" s="2" t="n">
        <v>1</v>
      </c>
      <c r="N2002" s="2" t="n">
        <v>337</v>
      </c>
      <c r="O2002" s="2" t="n">
        <v>1</v>
      </c>
      <c r="P2002" s="2" t="s">
        <v>28</v>
      </c>
      <c r="Q2002" s="2" t="s">
        <v>20</v>
      </c>
    </row>
    <row r="2003" customFormat="false" ht="15" hidden="false" customHeight="false" outlineLevel="0" collapsed="false">
      <c r="A2003" s="2" t="n">
        <v>45</v>
      </c>
      <c r="B2003" s="2" t="s">
        <v>34</v>
      </c>
      <c r="C2003" s="2" t="s">
        <v>18</v>
      </c>
      <c r="D2003" s="2" t="s">
        <v>19</v>
      </c>
      <c r="E2003" s="2" t="s">
        <v>20</v>
      </c>
      <c r="F2003" s="2" t="n">
        <v>137</v>
      </c>
      <c r="G2003" s="2" t="s">
        <v>26</v>
      </c>
      <c r="H2003" s="2" t="s">
        <v>26</v>
      </c>
      <c r="I2003" s="2" t="s">
        <v>23</v>
      </c>
      <c r="J2003" s="2" t="n">
        <v>16</v>
      </c>
      <c r="K2003" s="2" t="s">
        <v>27</v>
      </c>
      <c r="L2003" s="2" t="n">
        <v>187</v>
      </c>
      <c r="M2003" s="2" t="n">
        <v>19</v>
      </c>
      <c r="N2003" s="2" t="n">
        <v>-1</v>
      </c>
      <c r="O2003" s="2" t="n">
        <v>0</v>
      </c>
      <c r="P2003" s="2" t="s">
        <v>23</v>
      </c>
      <c r="Q2003" s="2" t="s">
        <v>20</v>
      </c>
    </row>
    <row r="2004" customFormat="false" ht="15" hidden="false" customHeight="false" outlineLevel="0" collapsed="false">
      <c r="A2004" s="2" t="n">
        <v>32</v>
      </c>
      <c r="B2004" s="2" t="s">
        <v>40</v>
      </c>
      <c r="C2004" s="2" t="s">
        <v>30</v>
      </c>
      <c r="D2004" s="2" t="s">
        <v>31</v>
      </c>
      <c r="E2004" s="2" t="s">
        <v>20</v>
      </c>
      <c r="F2004" s="2" t="n">
        <v>1583</v>
      </c>
      <c r="G2004" s="2" t="s">
        <v>26</v>
      </c>
      <c r="H2004" s="2" t="s">
        <v>20</v>
      </c>
      <c r="I2004" s="2" t="s">
        <v>21</v>
      </c>
      <c r="J2004" s="2" t="n">
        <v>19</v>
      </c>
      <c r="K2004" s="2" t="s">
        <v>46</v>
      </c>
      <c r="L2004" s="2" t="n">
        <v>100</v>
      </c>
      <c r="M2004" s="2" t="n">
        <v>1</v>
      </c>
      <c r="N2004" s="2" t="n">
        <v>182</v>
      </c>
      <c r="O2004" s="2" t="n">
        <v>1</v>
      </c>
      <c r="P2004" s="2" t="s">
        <v>28</v>
      </c>
      <c r="Q2004" s="2" t="s">
        <v>20</v>
      </c>
    </row>
    <row r="2005" customFormat="false" ht="15" hidden="false" customHeight="false" outlineLevel="0" collapsed="false">
      <c r="A2005" s="2" t="n">
        <v>46</v>
      </c>
      <c r="B2005" s="2" t="s">
        <v>40</v>
      </c>
      <c r="C2005" s="2" t="s">
        <v>18</v>
      </c>
      <c r="D2005" s="2" t="s">
        <v>25</v>
      </c>
      <c r="E2005" s="2" t="s">
        <v>20</v>
      </c>
      <c r="F2005" s="2" t="n">
        <v>-121</v>
      </c>
      <c r="G2005" s="2" t="s">
        <v>26</v>
      </c>
      <c r="H2005" s="2" t="s">
        <v>26</v>
      </c>
      <c r="I2005" s="2" t="s">
        <v>21</v>
      </c>
      <c r="J2005" s="2" t="n">
        <v>8</v>
      </c>
      <c r="K2005" s="2" t="s">
        <v>44</v>
      </c>
      <c r="L2005" s="2" t="n">
        <v>214</v>
      </c>
      <c r="M2005" s="2" t="n">
        <v>4</v>
      </c>
      <c r="N2005" s="2" t="n">
        <v>-1</v>
      </c>
      <c r="O2005" s="2" t="n">
        <v>0</v>
      </c>
      <c r="P2005" s="2" t="s">
        <v>23</v>
      </c>
      <c r="Q2005" s="2" t="s">
        <v>20</v>
      </c>
    </row>
    <row r="2006" customFormat="false" ht="15" hidden="false" customHeight="false" outlineLevel="0" collapsed="false">
      <c r="A2006" s="2" t="n">
        <v>28</v>
      </c>
      <c r="B2006" s="2" t="s">
        <v>34</v>
      </c>
      <c r="C2006" s="2" t="s">
        <v>30</v>
      </c>
      <c r="D2006" s="2" t="s">
        <v>25</v>
      </c>
      <c r="E2006" s="2" t="s">
        <v>20</v>
      </c>
      <c r="F2006" s="2" t="n">
        <v>1065</v>
      </c>
      <c r="G2006" s="2" t="s">
        <v>26</v>
      </c>
      <c r="H2006" s="2" t="s">
        <v>26</v>
      </c>
      <c r="I2006" s="2" t="s">
        <v>21</v>
      </c>
      <c r="J2006" s="2" t="n">
        <v>17</v>
      </c>
      <c r="K2006" s="2" t="s">
        <v>32</v>
      </c>
      <c r="L2006" s="2" t="n">
        <v>406</v>
      </c>
      <c r="M2006" s="2" t="n">
        <v>1</v>
      </c>
      <c r="N2006" s="2" t="n">
        <v>317</v>
      </c>
      <c r="O2006" s="2" t="n">
        <v>1</v>
      </c>
      <c r="P2006" s="2" t="s">
        <v>28</v>
      </c>
      <c r="Q2006" s="2" t="s">
        <v>20</v>
      </c>
    </row>
    <row r="2007" customFormat="false" ht="15" hidden="false" customHeight="false" outlineLevel="0" collapsed="false">
      <c r="A2007" s="2" t="n">
        <v>51</v>
      </c>
      <c r="B2007" s="2" t="s">
        <v>17</v>
      </c>
      <c r="C2007" s="2" t="s">
        <v>18</v>
      </c>
      <c r="D2007" s="2" t="s">
        <v>25</v>
      </c>
      <c r="E2007" s="2" t="s">
        <v>20</v>
      </c>
      <c r="F2007" s="2" t="n">
        <v>-13</v>
      </c>
      <c r="G2007" s="2" t="s">
        <v>26</v>
      </c>
      <c r="H2007" s="2" t="s">
        <v>20</v>
      </c>
      <c r="I2007" s="2" t="s">
        <v>21</v>
      </c>
      <c r="J2007" s="2" t="n">
        <v>13</v>
      </c>
      <c r="K2007" s="2" t="s">
        <v>27</v>
      </c>
      <c r="L2007" s="2" t="n">
        <v>361</v>
      </c>
      <c r="M2007" s="2" t="n">
        <v>1</v>
      </c>
      <c r="N2007" s="2" t="n">
        <v>364</v>
      </c>
      <c r="O2007" s="2" t="n">
        <v>1</v>
      </c>
      <c r="P2007" s="2" t="s">
        <v>28</v>
      </c>
      <c r="Q2007" s="2" t="s">
        <v>20</v>
      </c>
    </row>
    <row r="2008" customFormat="false" ht="15" hidden="false" customHeight="false" outlineLevel="0" collapsed="false">
      <c r="A2008" s="2" t="n">
        <v>51</v>
      </c>
      <c r="B2008" s="2" t="s">
        <v>34</v>
      </c>
      <c r="C2008" s="2" t="s">
        <v>18</v>
      </c>
      <c r="D2008" s="2" t="s">
        <v>19</v>
      </c>
      <c r="E2008" s="2" t="s">
        <v>20</v>
      </c>
      <c r="F2008" s="2" t="n">
        <v>1869</v>
      </c>
      <c r="G2008" s="2" t="s">
        <v>20</v>
      </c>
      <c r="H2008" s="2" t="s">
        <v>20</v>
      </c>
      <c r="I2008" s="2" t="s">
        <v>23</v>
      </c>
      <c r="J2008" s="2" t="n">
        <v>17</v>
      </c>
      <c r="K2008" s="2" t="s">
        <v>33</v>
      </c>
      <c r="L2008" s="2" t="n">
        <v>30</v>
      </c>
      <c r="M2008" s="2" t="n">
        <v>3</v>
      </c>
      <c r="N2008" s="2" t="n">
        <v>-1</v>
      </c>
      <c r="O2008" s="2" t="n">
        <v>0</v>
      </c>
      <c r="P2008" s="2" t="s">
        <v>23</v>
      </c>
      <c r="Q2008" s="2" t="s">
        <v>20</v>
      </c>
    </row>
    <row r="2009" customFormat="false" ht="15" hidden="false" customHeight="false" outlineLevel="0" collapsed="false">
      <c r="A2009" s="2" t="n">
        <v>30</v>
      </c>
      <c r="B2009" s="2" t="s">
        <v>38</v>
      </c>
      <c r="C2009" s="2" t="s">
        <v>30</v>
      </c>
      <c r="D2009" s="2" t="s">
        <v>25</v>
      </c>
      <c r="E2009" s="2" t="s">
        <v>20</v>
      </c>
      <c r="F2009" s="2" t="n">
        <v>4787</v>
      </c>
      <c r="G2009" s="2" t="s">
        <v>26</v>
      </c>
      <c r="H2009" s="2" t="s">
        <v>20</v>
      </c>
      <c r="I2009" s="2" t="s">
        <v>23</v>
      </c>
      <c r="J2009" s="2" t="n">
        <v>4</v>
      </c>
      <c r="K2009" s="2" t="s">
        <v>33</v>
      </c>
      <c r="L2009" s="2" t="n">
        <v>99</v>
      </c>
      <c r="M2009" s="2" t="n">
        <v>2</v>
      </c>
      <c r="N2009" s="2" t="n">
        <v>-1</v>
      </c>
      <c r="O2009" s="2" t="n">
        <v>0</v>
      </c>
      <c r="P2009" s="2" t="s">
        <v>23</v>
      </c>
      <c r="Q2009" s="2" t="s">
        <v>20</v>
      </c>
    </row>
    <row r="2010" customFormat="false" ht="15" hidden="false" customHeight="false" outlineLevel="0" collapsed="false">
      <c r="A2010" s="2" t="n">
        <v>39</v>
      </c>
      <c r="B2010" s="2" t="s">
        <v>38</v>
      </c>
      <c r="C2010" s="2" t="s">
        <v>18</v>
      </c>
      <c r="D2010" s="2" t="s">
        <v>25</v>
      </c>
      <c r="E2010" s="2" t="s">
        <v>26</v>
      </c>
      <c r="F2010" s="2" t="n">
        <v>-183</v>
      </c>
      <c r="G2010" s="2" t="s">
        <v>26</v>
      </c>
      <c r="H2010" s="2" t="s">
        <v>20</v>
      </c>
      <c r="I2010" s="2" t="s">
        <v>23</v>
      </c>
      <c r="J2010" s="2" t="n">
        <v>14</v>
      </c>
      <c r="K2010" s="2" t="s">
        <v>27</v>
      </c>
      <c r="L2010" s="2" t="n">
        <v>202</v>
      </c>
      <c r="M2010" s="2" t="n">
        <v>2</v>
      </c>
      <c r="N2010" s="2" t="n">
        <v>-1</v>
      </c>
      <c r="O2010" s="2" t="n">
        <v>0</v>
      </c>
      <c r="P2010" s="2" t="s">
        <v>23</v>
      </c>
      <c r="Q2010" s="2" t="s">
        <v>20</v>
      </c>
    </row>
    <row r="2011" customFormat="false" ht="15" hidden="false" customHeight="false" outlineLevel="0" collapsed="false">
      <c r="A2011" s="2" t="n">
        <v>28</v>
      </c>
      <c r="B2011" s="2" t="s">
        <v>34</v>
      </c>
      <c r="C2011" s="2" t="s">
        <v>18</v>
      </c>
      <c r="D2011" s="2" t="s">
        <v>19</v>
      </c>
      <c r="E2011" s="2" t="s">
        <v>20</v>
      </c>
      <c r="F2011" s="2" t="n">
        <v>702</v>
      </c>
      <c r="G2011" s="2" t="s">
        <v>26</v>
      </c>
      <c r="H2011" s="2" t="s">
        <v>20</v>
      </c>
      <c r="I2011" s="2" t="s">
        <v>23</v>
      </c>
      <c r="J2011" s="2" t="n">
        <v>26</v>
      </c>
      <c r="K2011" s="2" t="s">
        <v>33</v>
      </c>
      <c r="L2011" s="2" t="n">
        <v>318</v>
      </c>
      <c r="M2011" s="2" t="n">
        <v>2</v>
      </c>
      <c r="N2011" s="2" t="n">
        <v>-1</v>
      </c>
      <c r="O2011" s="2" t="n">
        <v>0</v>
      </c>
      <c r="P2011" s="2" t="s">
        <v>23</v>
      </c>
      <c r="Q2011" s="2" t="s">
        <v>20</v>
      </c>
    </row>
    <row r="2012" customFormat="false" ht="15" hidden="false" customHeight="false" outlineLevel="0" collapsed="false">
      <c r="A2012" s="2" t="n">
        <v>31</v>
      </c>
      <c r="B2012" s="2" t="s">
        <v>29</v>
      </c>
      <c r="C2012" s="2" t="s">
        <v>30</v>
      </c>
      <c r="D2012" s="2" t="s">
        <v>31</v>
      </c>
      <c r="E2012" s="2" t="s">
        <v>20</v>
      </c>
      <c r="F2012" s="2" t="n">
        <v>1494</v>
      </c>
      <c r="G2012" s="2" t="s">
        <v>20</v>
      </c>
      <c r="H2012" s="2" t="s">
        <v>20</v>
      </c>
      <c r="I2012" s="2" t="s">
        <v>21</v>
      </c>
      <c r="J2012" s="2" t="n">
        <v>13</v>
      </c>
      <c r="K2012" s="2" t="s">
        <v>41</v>
      </c>
      <c r="L2012" s="2" t="n">
        <v>275</v>
      </c>
      <c r="M2012" s="2" t="n">
        <v>12</v>
      </c>
      <c r="N2012" s="2" t="n">
        <v>-1</v>
      </c>
      <c r="O2012" s="2" t="n">
        <v>0</v>
      </c>
      <c r="P2012" s="2" t="s">
        <v>23</v>
      </c>
      <c r="Q2012" s="2" t="s">
        <v>20</v>
      </c>
    </row>
    <row r="2013" customFormat="false" ht="15" hidden="false" customHeight="false" outlineLevel="0" collapsed="false">
      <c r="A2013" s="2" t="n">
        <v>31</v>
      </c>
      <c r="B2013" s="2" t="s">
        <v>34</v>
      </c>
      <c r="C2013" s="2" t="s">
        <v>18</v>
      </c>
      <c r="D2013" s="2" t="s">
        <v>19</v>
      </c>
      <c r="E2013" s="2" t="s">
        <v>20</v>
      </c>
      <c r="F2013" s="2" t="n">
        <v>0</v>
      </c>
      <c r="G2013" s="2" t="s">
        <v>26</v>
      </c>
      <c r="H2013" s="2" t="s">
        <v>26</v>
      </c>
      <c r="I2013" s="2" t="s">
        <v>23</v>
      </c>
      <c r="J2013" s="2" t="n">
        <v>12</v>
      </c>
      <c r="K2013" s="2" t="s">
        <v>27</v>
      </c>
      <c r="L2013" s="2" t="n">
        <v>59</v>
      </c>
      <c r="M2013" s="2" t="n">
        <v>4</v>
      </c>
      <c r="N2013" s="2" t="n">
        <v>-1</v>
      </c>
      <c r="O2013" s="2" t="n">
        <v>0</v>
      </c>
      <c r="P2013" s="2" t="s">
        <v>23</v>
      </c>
      <c r="Q2013" s="2" t="s">
        <v>20</v>
      </c>
    </row>
    <row r="2014" customFormat="false" ht="15" hidden="false" customHeight="false" outlineLevel="0" collapsed="false">
      <c r="A2014" s="2" t="n">
        <v>38</v>
      </c>
      <c r="B2014" s="2" t="s">
        <v>29</v>
      </c>
      <c r="C2014" s="2" t="s">
        <v>18</v>
      </c>
      <c r="D2014" s="2" t="s">
        <v>31</v>
      </c>
      <c r="E2014" s="2" t="s">
        <v>20</v>
      </c>
      <c r="F2014" s="2" t="n">
        <v>46</v>
      </c>
      <c r="G2014" s="2" t="s">
        <v>20</v>
      </c>
      <c r="H2014" s="2" t="s">
        <v>20</v>
      </c>
      <c r="I2014" s="2" t="s">
        <v>21</v>
      </c>
      <c r="J2014" s="2" t="n">
        <v>29</v>
      </c>
      <c r="K2014" s="2" t="s">
        <v>41</v>
      </c>
      <c r="L2014" s="2" t="n">
        <v>70</v>
      </c>
      <c r="M2014" s="2" t="n">
        <v>4</v>
      </c>
      <c r="N2014" s="2" t="n">
        <v>-1</v>
      </c>
      <c r="O2014" s="2" t="n">
        <v>0</v>
      </c>
      <c r="P2014" s="2" t="s">
        <v>23</v>
      </c>
      <c r="Q2014" s="2" t="s">
        <v>20</v>
      </c>
    </row>
    <row r="2015" customFormat="false" ht="15" hidden="false" customHeight="false" outlineLevel="0" collapsed="false">
      <c r="A2015" s="2" t="n">
        <v>31</v>
      </c>
      <c r="B2015" s="2" t="s">
        <v>34</v>
      </c>
      <c r="C2015" s="2" t="s">
        <v>30</v>
      </c>
      <c r="D2015" s="2" t="s">
        <v>25</v>
      </c>
      <c r="E2015" s="2" t="s">
        <v>20</v>
      </c>
      <c r="F2015" s="2" t="n">
        <v>609</v>
      </c>
      <c r="G2015" s="2" t="s">
        <v>26</v>
      </c>
      <c r="H2015" s="2" t="s">
        <v>20</v>
      </c>
      <c r="I2015" s="2" t="s">
        <v>21</v>
      </c>
      <c r="J2015" s="2" t="n">
        <v>14</v>
      </c>
      <c r="K2015" s="2" t="s">
        <v>32</v>
      </c>
      <c r="L2015" s="2" t="n">
        <v>1126</v>
      </c>
      <c r="M2015" s="2" t="n">
        <v>1</v>
      </c>
      <c r="N2015" s="2" t="n">
        <v>335</v>
      </c>
      <c r="O2015" s="2" t="n">
        <v>1</v>
      </c>
      <c r="P2015" s="2" t="s">
        <v>28</v>
      </c>
      <c r="Q2015" s="2" t="s">
        <v>20</v>
      </c>
    </row>
    <row r="2016" customFormat="false" ht="15" hidden="false" customHeight="false" outlineLevel="0" collapsed="false">
      <c r="A2016" s="2" t="n">
        <v>74</v>
      </c>
      <c r="B2016" s="2" t="s">
        <v>48</v>
      </c>
      <c r="C2016" s="2" t="s">
        <v>45</v>
      </c>
      <c r="D2016" s="2" t="s">
        <v>25</v>
      </c>
      <c r="E2016" s="2" t="s">
        <v>20</v>
      </c>
      <c r="F2016" s="2" t="n">
        <v>4079</v>
      </c>
      <c r="G2016" s="2" t="s">
        <v>20</v>
      </c>
      <c r="H2016" s="2" t="s">
        <v>20</v>
      </c>
      <c r="I2016" s="2" t="s">
        <v>21</v>
      </c>
      <c r="J2016" s="2" t="n">
        <v>19</v>
      </c>
      <c r="K2016" s="2" t="s">
        <v>22</v>
      </c>
      <c r="L2016" s="2" t="n">
        <v>343</v>
      </c>
      <c r="M2016" s="2" t="n">
        <v>3</v>
      </c>
      <c r="N2016" s="2" t="n">
        <v>-1</v>
      </c>
      <c r="O2016" s="2" t="n">
        <v>0</v>
      </c>
      <c r="P2016" s="2" t="s">
        <v>23</v>
      </c>
      <c r="Q2016" s="2" t="s">
        <v>26</v>
      </c>
    </row>
    <row r="2017" customFormat="false" ht="15" hidden="false" customHeight="false" outlineLevel="0" collapsed="false">
      <c r="A2017" s="2" t="n">
        <v>40</v>
      </c>
      <c r="B2017" s="2" t="s">
        <v>29</v>
      </c>
      <c r="C2017" s="2" t="s">
        <v>30</v>
      </c>
      <c r="D2017" s="2" t="s">
        <v>31</v>
      </c>
      <c r="E2017" s="2" t="s">
        <v>20</v>
      </c>
      <c r="F2017" s="2" t="n">
        <v>0</v>
      </c>
      <c r="G2017" s="2" t="s">
        <v>26</v>
      </c>
      <c r="H2017" s="2" t="s">
        <v>20</v>
      </c>
      <c r="I2017" s="2" t="s">
        <v>21</v>
      </c>
      <c r="J2017" s="2" t="n">
        <v>23</v>
      </c>
      <c r="K2017" s="2" t="s">
        <v>35</v>
      </c>
      <c r="L2017" s="2" t="n">
        <v>228</v>
      </c>
      <c r="M2017" s="2" t="n">
        <v>2</v>
      </c>
      <c r="N2017" s="2" t="n">
        <v>182</v>
      </c>
      <c r="O2017" s="2" t="n">
        <v>6</v>
      </c>
      <c r="P2017" s="2" t="s">
        <v>28</v>
      </c>
      <c r="Q2017" s="2" t="s">
        <v>26</v>
      </c>
    </row>
    <row r="2018" customFormat="false" ht="15" hidden="false" customHeight="false" outlineLevel="0" collapsed="false">
      <c r="A2018" s="2" t="n">
        <v>43</v>
      </c>
      <c r="B2018" s="2" t="s">
        <v>38</v>
      </c>
      <c r="C2018" s="2" t="s">
        <v>18</v>
      </c>
      <c r="D2018" s="2" t="s">
        <v>25</v>
      </c>
      <c r="E2018" s="2" t="s">
        <v>20</v>
      </c>
      <c r="F2018" s="2" t="n">
        <v>7876</v>
      </c>
      <c r="G2018" s="2" t="s">
        <v>26</v>
      </c>
      <c r="H2018" s="2" t="s">
        <v>20</v>
      </c>
      <c r="I2018" s="2" t="s">
        <v>21</v>
      </c>
      <c r="J2018" s="2" t="n">
        <v>11</v>
      </c>
      <c r="K2018" s="2" t="s">
        <v>41</v>
      </c>
      <c r="L2018" s="2" t="n">
        <v>209</v>
      </c>
      <c r="M2018" s="2" t="n">
        <v>2</v>
      </c>
      <c r="N2018" s="2" t="n">
        <v>-1</v>
      </c>
      <c r="O2018" s="2" t="n">
        <v>0</v>
      </c>
      <c r="P2018" s="2" t="s">
        <v>23</v>
      </c>
      <c r="Q2018" s="2" t="s">
        <v>20</v>
      </c>
    </row>
    <row r="2019" customFormat="false" ht="15" hidden="false" customHeight="false" outlineLevel="0" collapsed="false">
      <c r="A2019" s="2" t="n">
        <v>34</v>
      </c>
      <c r="B2019" s="2" t="s">
        <v>38</v>
      </c>
      <c r="C2019" s="2" t="s">
        <v>30</v>
      </c>
      <c r="D2019" s="2" t="s">
        <v>31</v>
      </c>
      <c r="E2019" s="2" t="s">
        <v>20</v>
      </c>
      <c r="F2019" s="2" t="n">
        <v>925</v>
      </c>
      <c r="G2019" s="2" t="s">
        <v>26</v>
      </c>
      <c r="H2019" s="2" t="s">
        <v>20</v>
      </c>
      <c r="I2019" s="2" t="s">
        <v>21</v>
      </c>
      <c r="J2019" s="2" t="n">
        <v>13</v>
      </c>
      <c r="K2019" s="2" t="s">
        <v>32</v>
      </c>
      <c r="L2019" s="2" t="n">
        <v>709</v>
      </c>
      <c r="M2019" s="2" t="n">
        <v>1</v>
      </c>
      <c r="N2019" s="2" t="n">
        <v>-1</v>
      </c>
      <c r="O2019" s="2" t="n">
        <v>0</v>
      </c>
      <c r="P2019" s="2" t="s">
        <v>23</v>
      </c>
      <c r="Q2019" s="2" t="s">
        <v>26</v>
      </c>
    </row>
    <row r="2020" customFormat="false" ht="15" hidden="false" customHeight="false" outlineLevel="0" collapsed="false">
      <c r="A2020" s="2" t="n">
        <v>54</v>
      </c>
      <c r="B2020" s="2" t="s">
        <v>29</v>
      </c>
      <c r="C2020" s="2" t="s">
        <v>45</v>
      </c>
      <c r="D2020" s="2" t="s">
        <v>31</v>
      </c>
      <c r="E2020" s="2" t="s">
        <v>20</v>
      </c>
      <c r="F2020" s="2" t="n">
        <v>7010</v>
      </c>
      <c r="G2020" s="2" t="s">
        <v>20</v>
      </c>
      <c r="H2020" s="2" t="s">
        <v>20</v>
      </c>
      <c r="I2020" s="2" t="s">
        <v>21</v>
      </c>
      <c r="J2020" s="2" t="n">
        <v>11</v>
      </c>
      <c r="K2020" s="2" t="s">
        <v>52</v>
      </c>
      <c r="L2020" s="2" t="n">
        <v>275</v>
      </c>
      <c r="M2020" s="2" t="n">
        <v>2</v>
      </c>
      <c r="N2020" s="2" t="n">
        <v>-1</v>
      </c>
      <c r="O2020" s="2" t="n">
        <v>0</v>
      </c>
      <c r="P2020" s="2" t="s">
        <v>23</v>
      </c>
      <c r="Q2020" s="2" t="s">
        <v>20</v>
      </c>
    </row>
    <row r="2021" customFormat="false" ht="15" hidden="false" customHeight="false" outlineLevel="0" collapsed="false">
      <c r="A2021" s="2" t="n">
        <v>51</v>
      </c>
      <c r="B2021" s="2" t="s">
        <v>34</v>
      </c>
      <c r="C2021" s="2" t="s">
        <v>18</v>
      </c>
      <c r="D2021" s="2" t="s">
        <v>19</v>
      </c>
      <c r="E2021" s="2" t="s">
        <v>20</v>
      </c>
      <c r="F2021" s="2" t="n">
        <v>42</v>
      </c>
      <c r="G2021" s="2" t="s">
        <v>26</v>
      </c>
      <c r="H2021" s="2" t="s">
        <v>20</v>
      </c>
      <c r="I2021" s="2" t="s">
        <v>21</v>
      </c>
      <c r="J2021" s="2" t="n">
        <v>12</v>
      </c>
      <c r="K2021" s="2" t="s">
        <v>27</v>
      </c>
      <c r="L2021" s="2" t="n">
        <v>51</v>
      </c>
      <c r="M2021" s="2" t="n">
        <v>2</v>
      </c>
      <c r="N2021" s="2" t="n">
        <v>342</v>
      </c>
      <c r="O2021" s="2" t="n">
        <v>3</v>
      </c>
      <c r="P2021" s="2" t="s">
        <v>28</v>
      </c>
      <c r="Q2021" s="2" t="s">
        <v>20</v>
      </c>
    </row>
    <row r="2022" customFormat="false" ht="15" hidden="false" customHeight="false" outlineLevel="0" collapsed="false">
      <c r="A2022" s="2" t="n">
        <v>33</v>
      </c>
      <c r="B2022" s="2" t="s">
        <v>34</v>
      </c>
      <c r="C2022" s="2" t="s">
        <v>18</v>
      </c>
      <c r="D2022" s="2" t="s">
        <v>25</v>
      </c>
      <c r="E2022" s="2" t="s">
        <v>20</v>
      </c>
      <c r="F2022" s="2" t="n">
        <v>285</v>
      </c>
      <c r="G2022" s="2" t="s">
        <v>20</v>
      </c>
      <c r="H2022" s="2" t="s">
        <v>26</v>
      </c>
      <c r="I2022" s="2" t="s">
        <v>23</v>
      </c>
      <c r="J2022" s="2" t="n">
        <v>3</v>
      </c>
      <c r="K2022" s="2" t="s">
        <v>44</v>
      </c>
      <c r="L2022" s="2" t="n">
        <v>267</v>
      </c>
      <c r="M2022" s="2" t="n">
        <v>1</v>
      </c>
      <c r="N2022" s="2" t="n">
        <v>-1</v>
      </c>
      <c r="O2022" s="2" t="n">
        <v>0</v>
      </c>
      <c r="P2022" s="2" t="s">
        <v>23</v>
      </c>
      <c r="Q2022" s="2" t="s">
        <v>20</v>
      </c>
    </row>
    <row r="2023" customFormat="false" ht="15" hidden="false" customHeight="false" outlineLevel="0" collapsed="false">
      <c r="A2023" s="2" t="n">
        <v>41</v>
      </c>
      <c r="B2023" s="2" t="s">
        <v>38</v>
      </c>
      <c r="C2023" s="2" t="s">
        <v>18</v>
      </c>
      <c r="D2023" s="2" t="s">
        <v>31</v>
      </c>
      <c r="E2023" s="2" t="s">
        <v>20</v>
      </c>
      <c r="F2023" s="2" t="n">
        <v>0</v>
      </c>
      <c r="G2023" s="2" t="s">
        <v>20</v>
      </c>
      <c r="H2023" s="2" t="s">
        <v>20</v>
      </c>
      <c r="I2023" s="2" t="s">
        <v>23</v>
      </c>
      <c r="J2023" s="2" t="n">
        <v>20</v>
      </c>
      <c r="K2023" s="2" t="s">
        <v>33</v>
      </c>
      <c r="L2023" s="2" t="n">
        <v>95</v>
      </c>
      <c r="M2023" s="2" t="n">
        <v>1</v>
      </c>
      <c r="N2023" s="2" t="n">
        <v>-1</v>
      </c>
      <c r="O2023" s="2" t="n">
        <v>0</v>
      </c>
      <c r="P2023" s="2" t="s">
        <v>23</v>
      </c>
      <c r="Q2023" s="2" t="s">
        <v>20</v>
      </c>
    </row>
    <row r="2024" customFormat="false" ht="15" hidden="false" customHeight="false" outlineLevel="0" collapsed="false">
      <c r="A2024" s="2" t="n">
        <v>33</v>
      </c>
      <c r="B2024" s="2" t="s">
        <v>29</v>
      </c>
      <c r="C2024" s="2" t="s">
        <v>30</v>
      </c>
      <c r="D2024" s="2" t="s">
        <v>31</v>
      </c>
      <c r="E2024" s="2" t="s">
        <v>20</v>
      </c>
      <c r="F2024" s="2" t="n">
        <v>3170</v>
      </c>
      <c r="G2024" s="2" t="s">
        <v>20</v>
      </c>
      <c r="H2024" s="2" t="s">
        <v>20</v>
      </c>
      <c r="I2024" s="2" t="s">
        <v>21</v>
      </c>
      <c r="J2024" s="2" t="n">
        <v>28</v>
      </c>
      <c r="K2024" s="2" t="s">
        <v>22</v>
      </c>
      <c r="L2024" s="2" t="n">
        <v>246</v>
      </c>
      <c r="M2024" s="2" t="n">
        <v>2</v>
      </c>
      <c r="N2024" s="2" t="n">
        <v>-1</v>
      </c>
      <c r="O2024" s="2" t="n">
        <v>0</v>
      </c>
      <c r="P2024" s="2" t="s">
        <v>23</v>
      </c>
      <c r="Q2024" s="2" t="s">
        <v>20</v>
      </c>
    </row>
    <row r="2025" customFormat="false" ht="15" hidden="false" customHeight="false" outlineLevel="0" collapsed="false">
      <c r="A2025" s="2" t="n">
        <v>48</v>
      </c>
      <c r="B2025" s="2" t="s">
        <v>40</v>
      </c>
      <c r="C2025" s="2" t="s">
        <v>18</v>
      </c>
      <c r="D2025" s="2" t="s">
        <v>25</v>
      </c>
      <c r="E2025" s="2" t="s">
        <v>20</v>
      </c>
      <c r="F2025" s="2" t="n">
        <v>8</v>
      </c>
      <c r="G2025" s="2" t="s">
        <v>20</v>
      </c>
      <c r="H2025" s="2" t="s">
        <v>26</v>
      </c>
      <c r="I2025" s="2" t="s">
        <v>21</v>
      </c>
      <c r="J2025" s="2" t="n">
        <v>7</v>
      </c>
      <c r="K2025" s="2" t="s">
        <v>44</v>
      </c>
      <c r="L2025" s="2" t="n">
        <v>46</v>
      </c>
      <c r="M2025" s="2" t="n">
        <v>1</v>
      </c>
      <c r="N2025" s="2" t="n">
        <v>-1</v>
      </c>
      <c r="O2025" s="2" t="n">
        <v>0</v>
      </c>
      <c r="P2025" s="2" t="s">
        <v>23</v>
      </c>
      <c r="Q2025" s="2" t="s">
        <v>20</v>
      </c>
    </row>
    <row r="2026" customFormat="false" ht="15" hidden="false" customHeight="false" outlineLevel="0" collapsed="false">
      <c r="A2026" s="2" t="n">
        <v>42</v>
      </c>
      <c r="B2026" s="2" t="s">
        <v>36</v>
      </c>
      <c r="C2026" s="2" t="s">
        <v>45</v>
      </c>
      <c r="D2026" s="2" t="s">
        <v>31</v>
      </c>
      <c r="E2026" s="2" t="s">
        <v>20</v>
      </c>
      <c r="F2026" s="2" t="n">
        <v>216</v>
      </c>
      <c r="G2026" s="2" t="s">
        <v>26</v>
      </c>
      <c r="H2026" s="2" t="s">
        <v>20</v>
      </c>
      <c r="I2026" s="2" t="s">
        <v>21</v>
      </c>
      <c r="J2026" s="2" t="n">
        <v>8</v>
      </c>
      <c r="K2026" s="2" t="s">
        <v>27</v>
      </c>
      <c r="L2026" s="2" t="n">
        <v>144</v>
      </c>
      <c r="M2026" s="2" t="n">
        <v>3</v>
      </c>
      <c r="N2026" s="2" t="n">
        <v>-1</v>
      </c>
      <c r="O2026" s="2" t="n">
        <v>0</v>
      </c>
      <c r="P2026" s="2" t="s">
        <v>23</v>
      </c>
      <c r="Q2026" s="2" t="s">
        <v>20</v>
      </c>
    </row>
    <row r="2027" customFormat="false" ht="15" hidden="false" customHeight="false" outlineLevel="0" collapsed="false">
      <c r="A2027" s="2" t="n">
        <v>35</v>
      </c>
      <c r="B2027" s="2" t="s">
        <v>29</v>
      </c>
      <c r="C2027" s="2" t="s">
        <v>30</v>
      </c>
      <c r="D2027" s="2" t="s">
        <v>31</v>
      </c>
      <c r="E2027" s="2" t="s">
        <v>20</v>
      </c>
      <c r="F2027" s="2" t="n">
        <v>2975</v>
      </c>
      <c r="G2027" s="2" t="s">
        <v>20</v>
      </c>
      <c r="H2027" s="2" t="s">
        <v>20</v>
      </c>
      <c r="I2027" s="2" t="s">
        <v>21</v>
      </c>
      <c r="J2027" s="2" t="n">
        <v>8</v>
      </c>
      <c r="K2027" s="2" t="s">
        <v>41</v>
      </c>
      <c r="L2027" s="2" t="n">
        <v>249</v>
      </c>
      <c r="M2027" s="2" t="n">
        <v>2</v>
      </c>
      <c r="N2027" s="2" t="n">
        <v>-1</v>
      </c>
      <c r="O2027" s="2" t="n">
        <v>0</v>
      </c>
      <c r="P2027" s="2" t="s">
        <v>23</v>
      </c>
      <c r="Q2027" s="2" t="s">
        <v>20</v>
      </c>
    </row>
    <row r="2028" customFormat="false" ht="15" hidden="false" customHeight="false" outlineLevel="0" collapsed="false">
      <c r="A2028" s="2" t="n">
        <v>25</v>
      </c>
      <c r="B2028" s="2" t="s">
        <v>40</v>
      </c>
      <c r="C2028" s="2" t="s">
        <v>18</v>
      </c>
      <c r="D2028" s="2" t="s">
        <v>25</v>
      </c>
      <c r="E2028" s="2" t="s">
        <v>20</v>
      </c>
      <c r="F2028" s="2" t="n">
        <v>894</v>
      </c>
      <c r="G2028" s="2" t="s">
        <v>26</v>
      </c>
      <c r="H2028" s="2" t="s">
        <v>20</v>
      </c>
      <c r="I2028" s="2" t="s">
        <v>23</v>
      </c>
      <c r="J2028" s="2" t="n">
        <v>28</v>
      </c>
      <c r="K2028" s="2" t="s">
        <v>27</v>
      </c>
      <c r="L2028" s="2" t="n">
        <v>328</v>
      </c>
      <c r="M2028" s="2" t="n">
        <v>1</v>
      </c>
      <c r="N2028" s="2" t="n">
        <v>-1</v>
      </c>
      <c r="O2028" s="2" t="n">
        <v>0</v>
      </c>
      <c r="P2028" s="2" t="s">
        <v>23</v>
      </c>
      <c r="Q2028" s="2" t="s">
        <v>20</v>
      </c>
    </row>
    <row r="2029" customFormat="false" ht="15" hidden="false" customHeight="false" outlineLevel="0" collapsed="false">
      <c r="A2029" s="2" t="n">
        <v>38</v>
      </c>
      <c r="B2029" s="2" t="s">
        <v>34</v>
      </c>
      <c r="C2029" s="2" t="s">
        <v>30</v>
      </c>
      <c r="D2029" s="2" t="s">
        <v>19</v>
      </c>
      <c r="E2029" s="2" t="s">
        <v>20</v>
      </c>
      <c r="F2029" s="2" t="n">
        <v>490</v>
      </c>
      <c r="G2029" s="2" t="s">
        <v>26</v>
      </c>
      <c r="H2029" s="2" t="s">
        <v>26</v>
      </c>
      <c r="I2029" s="2" t="s">
        <v>23</v>
      </c>
      <c r="J2029" s="2" t="n">
        <v>25</v>
      </c>
      <c r="K2029" s="2" t="s">
        <v>41</v>
      </c>
      <c r="L2029" s="2" t="n">
        <v>17</v>
      </c>
      <c r="M2029" s="2" t="n">
        <v>1</v>
      </c>
      <c r="N2029" s="2" t="n">
        <v>-1</v>
      </c>
      <c r="O2029" s="2" t="n">
        <v>0</v>
      </c>
      <c r="P2029" s="2" t="s">
        <v>23</v>
      </c>
      <c r="Q2029" s="2" t="s">
        <v>20</v>
      </c>
    </row>
    <row r="2030" customFormat="false" ht="15" hidden="false" customHeight="false" outlineLevel="0" collapsed="false">
      <c r="A2030" s="2" t="n">
        <v>45</v>
      </c>
      <c r="B2030" s="2" t="s">
        <v>39</v>
      </c>
      <c r="C2030" s="2" t="s">
        <v>18</v>
      </c>
      <c r="D2030" s="2" t="s">
        <v>25</v>
      </c>
      <c r="E2030" s="2" t="s">
        <v>20</v>
      </c>
      <c r="F2030" s="2" t="n">
        <v>245</v>
      </c>
      <c r="G2030" s="2" t="s">
        <v>26</v>
      </c>
      <c r="H2030" s="2" t="s">
        <v>20</v>
      </c>
      <c r="I2030" s="2" t="s">
        <v>23</v>
      </c>
      <c r="J2030" s="2" t="n">
        <v>14</v>
      </c>
      <c r="K2030" s="2" t="s">
        <v>27</v>
      </c>
      <c r="L2030" s="2" t="n">
        <v>126</v>
      </c>
      <c r="M2030" s="2" t="n">
        <v>3</v>
      </c>
      <c r="N2030" s="2" t="n">
        <v>-1</v>
      </c>
      <c r="O2030" s="2" t="n">
        <v>0</v>
      </c>
      <c r="P2030" s="2" t="s">
        <v>23</v>
      </c>
      <c r="Q2030" s="2" t="s">
        <v>20</v>
      </c>
    </row>
    <row r="2031" customFormat="false" ht="15" hidden="false" customHeight="false" outlineLevel="0" collapsed="false">
      <c r="A2031" s="2" t="n">
        <v>59</v>
      </c>
      <c r="B2031" s="2" t="s">
        <v>29</v>
      </c>
      <c r="C2031" s="2" t="s">
        <v>45</v>
      </c>
      <c r="D2031" s="2" t="s">
        <v>31</v>
      </c>
      <c r="E2031" s="2" t="s">
        <v>20</v>
      </c>
      <c r="F2031" s="2" t="n">
        <v>0</v>
      </c>
      <c r="G2031" s="2" t="s">
        <v>26</v>
      </c>
      <c r="H2031" s="2" t="s">
        <v>20</v>
      </c>
      <c r="I2031" s="2" t="s">
        <v>21</v>
      </c>
      <c r="J2031" s="2" t="n">
        <v>31</v>
      </c>
      <c r="K2031" s="2" t="s">
        <v>44</v>
      </c>
      <c r="L2031" s="2" t="n">
        <v>52</v>
      </c>
      <c r="M2031" s="2" t="n">
        <v>8</v>
      </c>
      <c r="N2031" s="2" t="n">
        <v>-1</v>
      </c>
      <c r="O2031" s="2" t="n">
        <v>0</v>
      </c>
      <c r="P2031" s="2" t="s">
        <v>23</v>
      </c>
      <c r="Q2031" s="2" t="s">
        <v>20</v>
      </c>
    </row>
    <row r="2032" customFormat="false" ht="15" hidden="false" customHeight="false" outlineLevel="0" collapsed="false">
      <c r="A2032" s="2" t="n">
        <v>47</v>
      </c>
      <c r="B2032" s="2" t="s">
        <v>29</v>
      </c>
      <c r="C2032" s="2" t="s">
        <v>18</v>
      </c>
      <c r="D2032" s="2" t="s">
        <v>23</v>
      </c>
      <c r="E2032" s="2" t="s">
        <v>20</v>
      </c>
      <c r="F2032" s="2" t="n">
        <v>150</v>
      </c>
      <c r="G2032" s="2" t="s">
        <v>20</v>
      </c>
      <c r="H2032" s="2" t="s">
        <v>20</v>
      </c>
      <c r="I2032" s="2" t="s">
        <v>23</v>
      </c>
      <c r="J2032" s="2" t="n">
        <v>9</v>
      </c>
      <c r="K2032" s="2" t="s">
        <v>33</v>
      </c>
      <c r="L2032" s="2" t="n">
        <v>52</v>
      </c>
      <c r="M2032" s="2" t="n">
        <v>1</v>
      </c>
      <c r="N2032" s="2" t="n">
        <v>-1</v>
      </c>
      <c r="O2032" s="2" t="n">
        <v>0</v>
      </c>
      <c r="P2032" s="2" t="s">
        <v>23</v>
      </c>
      <c r="Q2032" s="2" t="s">
        <v>20</v>
      </c>
    </row>
    <row r="2033" customFormat="false" ht="15" hidden="false" customHeight="false" outlineLevel="0" collapsed="false">
      <c r="A2033" s="2" t="n">
        <v>33</v>
      </c>
      <c r="B2033" s="2" t="s">
        <v>29</v>
      </c>
      <c r="C2033" s="2" t="s">
        <v>18</v>
      </c>
      <c r="D2033" s="2" t="s">
        <v>31</v>
      </c>
      <c r="E2033" s="2" t="s">
        <v>20</v>
      </c>
      <c r="F2033" s="2" t="n">
        <v>4</v>
      </c>
      <c r="G2033" s="2" t="s">
        <v>26</v>
      </c>
      <c r="H2033" s="2" t="s">
        <v>20</v>
      </c>
      <c r="I2033" s="2" t="s">
        <v>21</v>
      </c>
      <c r="J2033" s="2" t="n">
        <v>16</v>
      </c>
      <c r="K2033" s="2" t="s">
        <v>44</v>
      </c>
      <c r="L2033" s="2" t="n">
        <v>285</v>
      </c>
      <c r="M2033" s="2" t="n">
        <v>5</v>
      </c>
      <c r="N2033" s="2" t="n">
        <v>-1</v>
      </c>
      <c r="O2033" s="2" t="n">
        <v>0</v>
      </c>
      <c r="P2033" s="2" t="s">
        <v>23</v>
      </c>
      <c r="Q2033" s="2" t="s">
        <v>20</v>
      </c>
    </row>
    <row r="2034" customFormat="false" ht="15" hidden="false" customHeight="false" outlineLevel="0" collapsed="false">
      <c r="A2034" s="2" t="n">
        <v>59</v>
      </c>
      <c r="B2034" s="2" t="s">
        <v>29</v>
      </c>
      <c r="C2034" s="2" t="s">
        <v>18</v>
      </c>
      <c r="D2034" s="2" t="s">
        <v>19</v>
      </c>
      <c r="E2034" s="2" t="s">
        <v>20</v>
      </c>
      <c r="F2034" s="2" t="n">
        <v>1727</v>
      </c>
      <c r="G2034" s="2" t="s">
        <v>20</v>
      </c>
      <c r="H2034" s="2" t="s">
        <v>20</v>
      </c>
      <c r="I2034" s="2" t="s">
        <v>49</v>
      </c>
      <c r="J2034" s="2" t="n">
        <v>25</v>
      </c>
      <c r="K2034" s="2" t="s">
        <v>27</v>
      </c>
      <c r="L2034" s="2" t="n">
        <v>500</v>
      </c>
      <c r="M2034" s="2" t="n">
        <v>4</v>
      </c>
      <c r="N2034" s="2" t="n">
        <v>358</v>
      </c>
      <c r="O2034" s="2" t="n">
        <v>2</v>
      </c>
      <c r="P2034" s="2" t="s">
        <v>28</v>
      </c>
      <c r="Q2034" s="2" t="s">
        <v>26</v>
      </c>
    </row>
    <row r="2035" customFormat="false" ht="15" hidden="false" customHeight="false" outlineLevel="0" collapsed="false">
      <c r="A2035" s="2" t="n">
        <v>41</v>
      </c>
      <c r="B2035" s="2" t="s">
        <v>34</v>
      </c>
      <c r="C2035" s="2" t="s">
        <v>45</v>
      </c>
      <c r="D2035" s="2" t="s">
        <v>19</v>
      </c>
      <c r="E2035" s="2" t="s">
        <v>20</v>
      </c>
      <c r="F2035" s="2" t="n">
        <v>664</v>
      </c>
      <c r="G2035" s="2" t="s">
        <v>20</v>
      </c>
      <c r="H2035" s="2" t="s">
        <v>26</v>
      </c>
      <c r="I2035" s="2" t="s">
        <v>21</v>
      </c>
      <c r="J2035" s="2" t="n">
        <v>15</v>
      </c>
      <c r="K2035" s="2" t="s">
        <v>44</v>
      </c>
      <c r="L2035" s="2" t="n">
        <v>955</v>
      </c>
      <c r="M2035" s="2" t="n">
        <v>5</v>
      </c>
      <c r="N2035" s="2" t="n">
        <v>-1</v>
      </c>
      <c r="O2035" s="2" t="n">
        <v>0</v>
      </c>
      <c r="P2035" s="2" t="s">
        <v>23</v>
      </c>
      <c r="Q2035" s="2" t="s">
        <v>26</v>
      </c>
    </row>
    <row r="2036" customFormat="false" ht="15" hidden="false" customHeight="false" outlineLevel="0" collapsed="false">
      <c r="A2036" s="2" t="n">
        <v>42</v>
      </c>
      <c r="B2036" s="2" t="s">
        <v>38</v>
      </c>
      <c r="C2036" s="2" t="s">
        <v>18</v>
      </c>
      <c r="D2036" s="2" t="s">
        <v>25</v>
      </c>
      <c r="E2036" s="2" t="s">
        <v>20</v>
      </c>
      <c r="F2036" s="2" t="n">
        <v>473</v>
      </c>
      <c r="G2036" s="2" t="s">
        <v>26</v>
      </c>
      <c r="H2036" s="2" t="s">
        <v>20</v>
      </c>
      <c r="I2036" s="2" t="s">
        <v>21</v>
      </c>
      <c r="J2036" s="2" t="n">
        <v>7</v>
      </c>
      <c r="K2036" s="2" t="s">
        <v>44</v>
      </c>
      <c r="L2036" s="2" t="n">
        <v>216</v>
      </c>
      <c r="M2036" s="2" t="n">
        <v>5</v>
      </c>
      <c r="N2036" s="2" t="n">
        <v>-1</v>
      </c>
      <c r="O2036" s="2" t="n">
        <v>0</v>
      </c>
      <c r="P2036" s="2" t="s">
        <v>23</v>
      </c>
      <c r="Q2036" s="2" t="s">
        <v>20</v>
      </c>
    </row>
    <row r="2037" customFormat="false" ht="15" hidden="false" customHeight="false" outlineLevel="0" collapsed="false">
      <c r="A2037" s="2" t="n">
        <v>51</v>
      </c>
      <c r="B2037" s="2" t="s">
        <v>38</v>
      </c>
      <c r="C2037" s="2" t="s">
        <v>45</v>
      </c>
      <c r="D2037" s="2" t="s">
        <v>31</v>
      </c>
      <c r="E2037" s="2" t="s">
        <v>20</v>
      </c>
      <c r="F2037" s="2" t="n">
        <v>0</v>
      </c>
      <c r="G2037" s="2" t="s">
        <v>20</v>
      </c>
      <c r="H2037" s="2" t="s">
        <v>20</v>
      </c>
      <c r="I2037" s="2" t="s">
        <v>21</v>
      </c>
      <c r="J2037" s="2" t="n">
        <v>28</v>
      </c>
      <c r="K2037" s="2" t="s">
        <v>41</v>
      </c>
      <c r="L2037" s="2" t="n">
        <v>84</v>
      </c>
      <c r="M2037" s="2" t="n">
        <v>7</v>
      </c>
      <c r="N2037" s="2" t="n">
        <v>-1</v>
      </c>
      <c r="O2037" s="2" t="n">
        <v>0</v>
      </c>
      <c r="P2037" s="2" t="s">
        <v>23</v>
      </c>
      <c r="Q2037" s="2" t="s">
        <v>20</v>
      </c>
    </row>
    <row r="2038" customFormat="false" ht="15" hidden="false" customHeight="false" outlineLevel="0" collapsed="false">
      <c r="A2038" s="2" t="n">
        <v>45</v>
      </c>
      <c r="B2038" s="2" t="s">
        <v>29</v>
      </c>
      <c r="C2038" s="2" t="s">
        <v>18</v>
      </c>
      <c r="D2038" s="2" t="s">
        <v>31</v>
      </c>
      <c r="E2038" s="2" t="s">
        <v>20</v>
      </c>
      <c r="F2038" s="2" t="n">
        <v>-192</v>
      </c>
      <c r="G2038" s="2" t="s">
        <v>26</v>
      </c>
      <c r="H2038" s="2" t="s">
        <v>20</v>
      </c>
      <c r="I2038" s="2" t="s">
        <v>21</v>
      </c>
      <c r="J2038" s="2" t="n">
        <v>6</v>
      </c>
      <c r="K2038" s="2" t="s">
        <v>27</v>
      </c>
      <c r="L2038" s="2" t="n">
        <v>138</v>
      </c>
      <c r="M2038" s="2" t="n">
        <v>3</v>
      </c>
      <c r="N2038" s="2" t="n">
        <v>-1</v>
      </c>
      <c r="O2038" s="2" t="n">
        <v>0</v>
      </c>
      <c r="P2038" s="2" t="s">
        <v>23</v>
      </c>
      <c r="Q2038" s="2" t="s">
        <v>20</v>
      </c>
    </row>
    <row r="2039" customFormat="false" ht="15" hidden="false" customHeight="false" outlineLevel="0" collapsed="false">
      <c r="A2039" s="2" t="n">
        <v>30</v>
      </c>
      <c r="B2039" s="2" t="s">
        <v>29</v>
      </c>
      <c r="C2039" s="2" t="s">
        <v>18</v>
      </c>
      <c r="D2039" s="2" t="s">
        <v>31</v>
      </c>
      <c r="E2039" s="2" t="s">
        <v>20</v>
      </c>
      <c r="F2039" s="2" t="n">
        <v>1942</v>
      </c>
      <c r="G2039" s="2" t="s">
        <v>26</v>
      </c>
      <c r="H2039" s="2" t="s">
        <v>26</v>
      </c>
      <c r="I2039" s="2" t="s">
        <v>21</v>
      </c>
      <c r="J2039" s="2" t="n">
        <v>21</v>
      </c>
      <c r="K2039" s="2" t="s">
        <v>46</v>
      </c>
      <c r="L2039" s="2" t="n">
        <v>436</v>
      </c>
      <c r="M2039" s="2" t="n">
        <v>2</v>
      </c>
      <c r="N2039" s="2" t="n">
        <v>178</v>
      </c>
      <c r="O2039" s="2" t="n">
        <v>3</v>
      </c>
      <c r="P2039" s="2" t="s">
        <v>37</v>
      </c>
      <c r="Q2039" s="2" t="s">
        <v>26</v>
      </c>
    </row>
    <row r="2040" customFormat="false" ht="15" hidden="false" customHeight="false" outlineLevel="0" collapsed="false">
      <c r="A2040" s="2" t="n">
        <v>33</v>
      </c>
      <c r="B2040" s="2" t="s">
        <v>34</v>
      </c>
      <c r="C2040" s="2" t="s">
        <v>30</v>
      </c>
      <c r="D2040" s="2" t="s">
        <v>25</v>
      </c>
      <c r="E2040" s="2" t="s">
        <v>20</v>
      </c>
      <c r="F2040" s="2" t="n">
        <v>5137</v>
      </c>
      <c r="G2040" s="2" t="s">
        <v>26</v>
      </c>
      <c r="H2040" s="2" t="s">
        <v>20</v>
      </c>
      <c r="I2040" s="2" t="s">
        <v>21</v>
      </c>
      <c r="J2040" s="2" t="n">
        <v>6</v>
      </c>
      <c r="K2040" s="2" t="s">
        <v>27</v>
      </c>
      <c r="L2040" s="2" t="n">
        <v>123</v>
      </c>
      <c r="M2040" s="2" t="n">
        <v>1</v>
      </c>
      <c r="N2040" s="2" t="n">
        <v>-1</v>
      </c>
      <c r="O2040" s="2" t="n">
        <v>0</v>
      </c>
      <c r="P2040" s="2" t="s">
        <v>23</v>
      </c>
      <c r="Q2040" s="2" t="s">
        <v>20</v>
      </c>
    </row>
    <row r="2041" customFormat="false" ht="15" hidden="false" customHeight="false" outlineLevel="0" collapsed="false">
      <c r="A2041" s="2" t="n">
        <v>43</v>
      </c>
      <c r="B2041" s="2" t="s">
        <v>29</v>
      </c>
      <c r="C2041" s="2" t="s">
        <v>18</v>
      </c>
      <c r="D2041" s="2" t="s">
        <v>31</v>
      </c>
      <c r="E2041" s="2" t="s">
        <v>20</v>
      </c>
      <c r="F2041" s="2" t="n">
        <v>13044</v>
      </c>
      <c r="G2041" s="2" t="s">
        <v>20</v>
      </c>
      <c r="H2041" s="2" t="s">
        <v>20</v>
      </c>
      <c r="I2041" s="2" t="s">
        <v>21</v>
      </c>
      <c r="J2041" s="2" t="n">
        <v>18</v>
      </c>
      <c r="K2041" s="2" t="s">
        <v>41</v>
      </c>
      <c r="L2041" s="2" t="n">
        <v>36</v>
      </c>
      <c r="M2041" s="2" t="n">
        <v>4</v>
      </c>
      <c r="N2041" s="2" t="n">
        <v>-1</v>
      </c>
      <c r="O2041" s="2" t="n">
        <v>0</v>
      </c>
      <c r="P2041" s="2" t="s">
        <v>23</v>
      </c>
      <c r="Q2041" s="2" t="s">
        <v>20</v>
      </c>
    </row>
    <row r="2042" customFormat="false" ht="15" hidden="false" customHeight="false" outlineLevel="0" collapsed="false">
      <c r="A2042" s="2" t="n">
        <v>37</v>
      </c>
      <c r="B2042" s="2" t="s">
        <v>34</v>
      </c>
      <c r="C2042" s="2" t="s">
        <v>18</v>
      </c>
      <c r="D2042" s="2" t="s">
        <v>25</v>
      </c>
      <c r="E2042" s="2" t="s">
        <v>20</v>
      </c>
      <c r="F2042" s="2" t="n">
        <v>1053</v>
      </c>
      <c r="G2042" s="2" t="s">
        <v>20</v>
      </c>
      <c r="H2042" s="2" t="s">
        <v>20</v>
      </c>
      <c r="I2042" s="2" t="s">
        <v>23</v>
      </c>
      <c r="J2042" s="2" t="n">
        <v>16</v>
      </c>
      <c r="K2042" s="2" t="s">
        <v>33</v>
      </c>
      <c r="L2042" s="2" t="n">
        <v>405</v>
      </c>
      <c r="M2042" s="2" t="n">
        <v>3</v>
      </c>
      <c r="N2042" s="2" t="n">
        <v>-1</v>
      </c>
      <c r="O2042" s="2" t="n">
        <v>0</v>
      </c>
      <c r="P2042" s="2" t="s">
        <v>23</v>
      </c>
      <c r="Q2042" s="2" t="s">
        <v>20</v>
      </c>
    </row>
    <row r="2043" customFormat="false" ht="15" hidden="false" customHeight="false" outlineLevel="0" collapsed="false">
      <c r="A2043" s="2" t="n">
        <v>73</v>
      </c>
      <c r="B2043" s="2" t="s">
        <v>48</v>
      </c>
      <c r="C2043" s="2" t="s">
        <v>18</v>
      </c>
      <c r="D2043" s="2" t="s">
        <v>19</v>
      </c>
      <c r="E2043" s="2" t="s">
        <v>20</v>
      </c>
      <c r="F2043" s="2" t="n">
        <v>154</v>
      </c>
      <c r="G2043" s="2" t="s">
        <v>20</v>
      </c>
      <c r="H2043" s="2" t="s">
        <v>20</v>
      </c>
      <c r="I2043" s="2" t="s">
        <v>21</v>
      </c>
      <c r="J2043" s="2" t="n">
        <v>15</v>
      </c>
      <c r="K2043" s="2" t="s">
        <v>22</v>
      </c>
      <c r="L2043" s="2" t="n">
        <v>103</v>
      </c>
      <c r="M2043" s="2" t="n">
        <v>1</v>
      </c>
      <c r="N2043" s="2" t="n">
        <v>-1</v>
      </c>
      <c r="O2043" s="2" t="n">
        <v>0</v>
      </c>
      <c r="P2043" s="2" t="s">
        <v>23</v>
      </c>
      <c r="Q2043" s="2" t="s">
        <v>20</v>
      </c>
    </row>
    <row r="2044" customFormat="false" ht="15" hidden="false" customHeight="false" outlineLevel="0" collapsed="false">
      <c r="A2044" s="2" t="n">
        <v>43</v>
      </c>
      <c r="B2044" s="2" t="s">
        <v>34</v>
      </c>
      <c r="C2044" s="2" t="s">
        <v>18</v>
      </c>
      <c r="D2044" s="2" t="s">
        <v>25</v>
      </c>
      <c r="E2044" s="2" t="s">
        <v>20</v>
      </c>
      <c r="F2044" s="2" t="n">
        <v>625</v>
      </c>
      <c r="G2044" s="2" t="s">
        <v>26</v>
      </c>
      <c r="H2044" s="2" t="s">
        <v>20</v>
      </c>
      <c r="I2044" s="2" t="s">
        <v>23</v>
      </c>
      <c r="J2044" s="2" t="n">
        <v>30</v>
      </c>
      <c r="K2044" s="2" t="s">
        <v>51</v>
      </c>
      <c r="L2044" s="2" t="n">
        <v>175</v>
      </c>
      <c r="M2044" s="2" t="n">
        <v>1</v>
      </c>
      <c r="N2044" s="2" t="n">
        <v>-1</v>
      </c>
      <c r="O2044" s="2" t="n">
        <v>0</v>
      </c>
      <c r="P2044" s="2" t="s">
        <v>23</v>
      </c>
      <c r="Q2044" s="2" t="s">
        <v>20</v>
      </c>
    </row>
    <row r="2045" customFormat="false" ht="15" hidden="false" customHeight="false" outlineLevel="0" collapsed="false">
      <c r="A2045" s="2" t="n">
        <v>52</v>
      </c>
      <c r="B2045" s="2" t="s">
        <v>17</v>
      </c>
      <c r="C2045" s="2" t="s">
        <v>18</v>
      </c>
      <c r="D2045" s="2" t="s">
        <v>19</v>
      </c>
      <c r="E2045" s="2" t="s">
        <v>20</v>
      </c>
      <c r="F2045" s="2" t="n">
        <v>255</v>
      </c>
      <c r="G2045" s="2" t="s">
        <v>20</v>
      </c>
      <c r="H2045" s="2" t="s">
        <v>26</v>
      </c>
      <c r="I2045" s="2" t="s">
        <v>21</v>
      </c>
      <c r="J2045" s="2" t="n">
        <v>10</v>
      </c>
      <c r="K2045" s="2" t="s">
        <v>44</v>
      </c>
      <c r="L2045" s="2" t="n">
        <v>374</v>
      </c>
      <c r="M2045" s="2" t="n">
        <v>3</v>
      </c>
      <c r="N2045" s="2" t="n">
        <v>-1</v>
      </c>
      <c r="O2045" s="2" t="n">
        <v>0</v>
      </c>
      <c r="P2045" s="2" t="s">
        <v>23</v>
      </c>
      <c r="Q2045" s="2" t="s">
        <v>20</v>
      </c>
    </row>
    <row r="2046" customFormat="false" ht="15" hidden="false" customHeight="false" outlineLevel="0" collapsed="false">
      <c r="A2046" s="2" t="n">
        <v>44</v>
      </c>
      <c r="B2046" s="2" t="s">
        <v>29</v>
      </c>
      <c r="C2046" s="2" t="s">
        <v>18</v>
      </c>
      <c r="D2046" s="2" t="s">
        <v>31</v>
      </c>
      <c r="E2046" s="2" t="s">
        <v>20</v>
      </c>
      <c r="F2046" s="2" t="n">
        <v>529</v>
      </c>
      <c r="G2046" s="2" t="s">
        <v>26</v>
      </c>
      <c r="H2046" s="2" t="s">
        <v>20</v>
      </c>
      <c r="I2046" s="2" t="s">
        <v>23</v>
      </c>
      <c r="J2046" s="2" t="n">
        <v>4</v>
      </c>
      <c r="K2046" s="2" t="s">
        <v>33</v>
      </c>
      <c r="L2046" s="2" t="n">
        <v>129</v>
      </c>
      <c r="M2046" s="2" t="n">
        <v>4</v>
      </c>
      <c r="N2046" s="2" t="n">
        <v>-1</v>
      </c>
      <c r="O2046" s="2" t="n">
        <v>0</v>
      </c>
      <c r="P2046" s="2" t="s">
        <v>23</v>
      </c>
      <c r="Q2046" s="2" t="s">
        <v>20</v>
      </c>
    </row>
    <row r="2047" customFormat="false" ht="15" hidden="false" customHeight="false" outlineLevel="0" collapsed="false">
      <c r="A2047" s="2" t="n">
        <v>56</v>
      </c>
      <c r="B2047" s="2" t="s">
        <v>29</v>
      </c>
      <c r="C2047" s="2" t="s">
        <v>18</v>
      </c>
      <c r="D2047" s="2" t="s">
        <v>31</v>
      </c>
      <c r="E2047" s="2" t="s">
        <v>20</v>
      </c>
      <c r="F2047" s="2" t="n">
        <v>318</v>
      </c>
      <c r="G2047" s="2" t="s">
        <v>20</v>
      </c>
      <c r="H2047" s="2" t="s">
        <v>26</v>
      </c>
      <c r="I2047" s="2" t="s">
        <v>49</v>
      </c>
      <c r="J2047" s="2" t="n">
        <v>9</v>
      </c>
      <c r="K2047" s="2" t="s">
        <v>44</v>
      </c>
      <c r="L2047" s="2" t="n">
        <v>246</v>
      </c>
      <c r="M2047" s="2" t="n">
        <v>3</v>
      </c>
      <c r="N2047" s="2" t="n">
        <v>-1</v>
      </c>
      <c r="O2047" s="2" t="n">
        <v>0</v>
      </c>
      <c r="P2047" s="2" t="s">
        <v>23</v>
      </c>
      <c r="Q2047" s="2" t="s">
        <v>20</v>
      </c>
    </row>
    <row r="2048" customFormat="false" ht="15" hidden="false" customHeight="false" outlineLevel="0" collapsed="false">
      <c r="A2048" s="2" t="n">
        <v>21</v>
      </c>
      <c r="B2048" s="2" t="s">
        <v>24</v>
      </c>
      <c r="C2048" s="2" t="s">
        <v>30</v>
      </c>
      <c r="D2048" s="2" t="s">
        <v>25</v>
      </c>
      <c r="E2048" s="2" t="s">
        <v>20</v>
      </c>
      <c r="F2048" s="2" t="n">
        <v>1903</v>
      </c>
      <c r="G2048" s="2" t="s">
        <v>26</v>
      </c>
      <c r="H2048" s="2" t="s">
        <v>20</v>
      </c>
      <c r="I2048" s="2" t="s">
        <v>23</v>
      </c>
      <c r="J2048" s="2" t="n">
        <v>29</v>
      </c>
      <c r="K2048" s="2" t="s">
        <v>27</v>
      </c>
      <c r="L2048" s="2" t="n">
        <v>107</v>
      </c>
      <c r="M2048" s="2" t="n">
        <v>2</v>
      </c>
      <c r="N2048" s="2" t="n">
        <v>-1</v>
      </c>
      <c r="O2048" s="2" t="n">
        <v>0</v>
      </c>
      <c r="P2048" s="2" t="s">
        <v>23</v>
      </c>
      <c r="Q2048" s="2" t="s">
        <v>20</v>
      </c>
    </row>
    <row r="2049" customFormat="false" ht="15" hidden="false" customHeight="false" outlineLevel="0" collapsed="false">
      <c r="A2049" s="2" t="n">
        <v>43</v>
      </c>
      <c r="B2049" s="2" t="s">
        <v>23</v>
      </c>
      <c r="C2049" s="2" t="s">
        <v>18</v>
      </c>
      <c r="D2049" s="2" t="s">
        <v>31</v>
      </c>
      <c r="E2049" s="2" t="s">
        <v>20</v>
      </c>
      <c r="F2049" s="2" t="n">
        <v>1937</v>
      </c>
      <c r="G2049" s="2" t="s">
        <v>20</v>
      </c>
      <c r="H2049" s="2" t="s">
        <v>20</v>
      </c>
      <c r="I2049" s="2" t="s">
        <v>23</v>
      </c>
      <c r="J2049" s="2" t="n">
        <v>19</v>
      </c>
      <c r="K2049" s="2" t="s">
        <v>33</v>
      </c>
      <c r="L2049" s="2" t="n">
        <v>385</v>
      </c>
      <c r="M2049" s="2" t="n">
        <v>1</v>
      </c>
      <c r="N2049" s="2" t="n">
        <v>-1</v>
      </c>
      <c r="O2049" s="2" t="n">
        <v>0</v>
      </c>
      <c r="P2049" s="2" t="s">
        <v>23</v>
      </c>
      <c r="Q2049" s="2" t="s">
        <v>20</v>
      </c>
    </row>
    <row r="2050" customFormat="false" ht="15" hidden="false" customHeight="false" outlineLevel="0" collapsed="false">
      <c r="A2050" s="2" t="n">
        <v>54</v>
      </c>
      <c r="B2050" s="2" t="s">
        <v>29</v>
      </c>
      <c r="C2050" s="2" t="s">
        <v>18</v>
      </c>
      <c r="D2050" s="2" t="s">
        <v>19</v>
      </c>
      <c r="E2050" s="2" t="s">
        <v>20</v>
      </c>
      <c r="F2050" s="2" t="n">
        <v>3859</v>
      </c>
      <c r="G2050" s="2" t="s">
        <v>20</v>
      </c>
      <c r="H2050" s="2" t="s">
        <v>26</v>
      </c>
      <c r="I2050" s="2" t="s">
        <v>21</v>
      </c>
      <c r="J2050" s="2" t="n">
        <v>20</v>
      </c>
      <c r="K2050" s="2" t="s">
        <v>46</v>
      </c>
      <c r="L2050" s="2" t="n">
        <v>104</v>
      </c>
      <c r="M2050" s="2" t="n">
        <v>3</v>
      </c>
      <c r="N2050" s="2" t="n">
        <v>-1</v>
      </c>
      <c r="O2050" s="2" t="n">
        <v>0</v>
      </c>
      <c r="P2050" s="2" t="s">
        <v>23</v>
      </c>
      <c r="Q2050" s="2" t="s">
        <v>20</v>
      </c>
    </row>
    <row r="2051" customFormat="false" ht="15" hidden="false" customHeight="false" outlineLevel="0" collapsed="false">
      <c r="A2051" s="2" t="n">
        <v>59</v>
      </c>
      <c r="B2051" s="2" t="s">
        <v>38</v>
      </c>
      <c r="C2051" s="2" t="s">
        <v>18</v>
      </c>
      <c r="D2051" s="2" t="s">
        <v>19</v>
      </c>
      <c r="E2051" s="2" t="s">
        <v>20</v>
      </c>
      <c r="F2051" s="2" t="n">
        <v>4198</v>
      </c>
      <c r="G2051" s="2" t="s">
        <v>20</v>
      </c>
      <c r="H2051" s="2" t="s">
        <v>20</v>
      </c>
      <c r="I2051" s="2" t="s">
        <v>21</v>
      </c>
      <c r="J2051" s="2" t="n">
        <v>14</v>
      </c>
      <c r="K2051" s="2" t="s">
        <v>43</v>
      </c>
      <c r="L2051" s="2" t="n">
        <v>309</v>
      </c>
      <c r="M2051" s="2" t="n">
        <v>1</v>
      </c>
      <c r="N2051" s="2" t="n">
        <v>91</v>
      </c>
      <c r="O2051" s="2" t="n">
        <v>10</v>
      </c>
      <c r="P2051" s="2" t="s">
        <v>50</v>
      </c>
      <c r="Q2051" s="2" t="s">
        <v>26</v>
      </c>
    </row>
    <row r="2052" customFormat="false" ht="15" hidden="false" customHeight="false" outlineLevel="0" collapsed="false">
      <c r="A2052" s="2" t="n">
        <v>52</v>
      </c>
      <c r="B2052" s="2" t="s">
        <v>34</v>
      </c>
      <c r="C2052" s="2" t="s">
        <v>18</v>
      </c>
      <c r="D2052" s="2" t="s">
        <v>19</v>
      </c>
      <c r="E2052" s="2" t="s">
        <v>20</v>
      </c>
      <c r="F2052" s="2" t="n">
        <v>230</v>
      </c>
      <c r="G2052" s="2" t="s">
        <v>26</v>
      </c>
      <c r="H2052" s="2" t="s">
        <v>20</v>
      </c>
      <c r="I2052" s="2" t="s">
        <v>21</v>
      </c>
      <c r="J2052" s="2" t="n">
        <v>6</v>
      </c>
      <c r="K2052" s="2" t="s">
        <v>27</v>
      </c>
      <c r="L2052" s="2" t="n">
        <v>198</v>
      </c>
      <c r="M2052" s="2" t="n">
        <v>2</v>
      </c>
      <c r="N2052" s="2" t="n">
        <v>170</v>
      </c>
      <c r="O2052" s="2" t="n">
        <v>2</v>
      </c>
      <c r="P2052" s="2" t="s">
        <v>28</v>
      </c>
      <c r="Q2052" s="2" t="s">
        <v>20</v>
      </c>
    </row>
    <row r="2053" customFormat="false" ht="15" hidden="false" customHeight="false" outlineLevel="0" collapsed="false">
      <c r="A2053" s="2" t="n">
        <v>31</v>
      </c>
      <c r="B2053" s="2" t="s">
        <v>40</v>
      </c>
      <c r="C2053" s="2" t="s">
        <v>30</v>
      </c>
      <c r="D2053" s="2" t="s">
        <v>25</v>
      </c>
      <c r="E2053" s="2" t="s">
        <v>20</v>
      </c>
      <c r="F2053" s="2" t="n">
        <v>747</v>
      </c>
      <c r="G2053" s="2" t="s">
        <v>26</v>
      </c>
      <c r="H2053" s="2" t="s">
        <v>20</v>
      </c>
      <c r="I2053" s="2" t="s">
        <v>23</v>
      </c>
      <c r="J2053" s="2" t="n">
        <v>26</v>
      </c>
      <c r="K2053" s="2" t="s">
        <v>27</v>
      </c>
      <c r="L2053" s="2" t="n">
        <v>543</v>
      </c>
      <c r="M2053" s="2" t="n">
        <v>2</v>
      </c>
      <c r="N2053" s="2" t="n">
        <v>-1</v>
      </c>
      <c r="O2053" s="2" t="n">
        <v>0</v>
      </c>
      <c r="P2053" s="2" t="s">
        <v>23</v>
      </c>
      <c r="Q2053" s="2" t="s">
        <v>26</v>
      </c>
    </row>
    <row r="2054" customFormat="false" ht="15" hidden="false" customHeight="false" outlineLevel="0" collapsed="false">
      <c r="A2054" s="2" t="n">
        <v>53</v>
      </c>
      <c r="B2054" s="2" t="s">
        <v>40</v>
      </c>
      <c r="C2054" s="2" t="s">
        <v>18</v>
      </c>
      <c r="D2054" s="2" t="s">
        <v>25</v>
      </c>
      <c r="E2054" s="2" t="s">
        <v>20</v>
      </c>
      <c r="F2054" s="2" t="n">
        <v>263</v>
      </c>
      <c r="G2054" s="2" t="s">
        <v>20</v>
      </c>
      <c r="H2054" s="2" t="s">
        <v>26</v>
      </c>
      <c r="I2054" s="2" t="s">
        <v>21</v>
      </c>
      <c r="J2054" s="2" t="n">
        <v>18</v>
      </c>
      <c r="K2054" s="2" t="s">
        <v>44</v>
      </c>
      <c r="L2054" s="2" t="n">
        <v>143</v>
      </c>
      <c r="M2054" s="2" t="n">
        <v>7</v>
      </c>
      <c r="N2054" s="2" t="n">
        <v>-1</v>
      </c>
      <c r="O2054" s="2" t="n">
        <v>0</v>
      </c>
      <c r="P2054" s="2" t="s">
        <v>23</v>
      </c>
      <c r="Q2054" s="2" t="s">
        <v>20</v>
      </c>
    </row>
    <row r="2055" customFormat="false" ht="15" hidden="false" customHeight="false" outlineLevel="0" collapsed="false">
      <c r="A2055" s="2" t="n">
        <v>24</v>
      </c>
      <c r="B2055" s="2" t="s">
        <v>38</v>
      </c>
      <c r="C2055" s="2" t="s">
        <v>30</v>
      </c>
      <c r="D2055" s="2" t="s">
        <v>25</v>
      </c>
      <c r="E2055" s="2" t="s">
        <v>20</v>
      </c>
      <c r="F2055" s="2" t="n">
        <v>-46</v>
      </c>
      <c r="G2055" s="2" t="s">
        <v>26</v>
      </c>
      <c r="H2055" s="2" t="s">
        <v>20</v>
      </c>
      <c r="I2055" s="2" t="s">
        <v>23</v>
      </c>
      <c r="J2055" s="2" t="n">
        <v>19</v>
      </c>
      <c r="K2055" s="2" t="s">
        <v>27</v>
      </c>
      <c r="L2055" s="2" t="n">
        <v>23</v>
      </c>
      <c r="M2055" s="2" t="n">
        <v>1</v>
      </c>
      <c r="N2055" s="2" t="n">
        <v>-1</v>
      </c>
      <c r="O2055" s="2" t="n">
        <v>0</v>
      </c>
      <c r="P2055" s="2" t="s">
        <v>23</v>
      </c>
      <c r="Q2055" s="2" t="s">
        <v>20</v>
      </c>
    </row>
    <row r="2056" customFormat="false" ht="15" hidden="false" customHeight="false" outlineLevel="0" collapsed="false">
      <c r="A2056" s="2" t="n">
        <v>57</v>
      </c>
      <c r="B2056" s="2" t="s">
        <v>48</v>
      </c>
      <c r="C2056" s="2" t="s">
        <v>18</v>
      </c>
      <c r="D2056" s="2" t="s">
        <v>25</v>
      </c>
      <c r="E2056" s="2" t="s">
        <v>20</v>
      </c>
      <c r="F2056" s="2" t="n">
        <v>0</v>
      </c>
      <c r="G2056" s="2" t="s">
        <v>20</v>
      </c>
      <c r="H2056" s="2" t="s">
        <v>26</v>
      </c>
      <c r="I2056" s="2" t="s">
        <v>23</v>
      </c>
      <c r="J2056" s="2" t="n">
        <v>30</v>
      </c>
      <c r="K2056" s="2" t="s">
        <v>33</v>
      </c>
      <c r="L2056" s="2" t="n">
        <v>104</v>
      </c>
      <c r="M2056" s="2" t="n">
        <v>2</v>
      </c>
      <c r="N2056" s="2" t="n">
        <v>-1</v>
      </c>
      <c r="O2056" s="2" t="n">
        <v>0</v>
      </c>
      <c r="P2056" s="2" t="s">
        <v>23</v>
      </c>
      <c r="Q2056" s="2" t="s">
        <v>20</v>
      </c>
    </row>
    <row r="2057" customFormat="false" ht="15" hidden="false" customHeight="false" outlineLevel="0" collapsed="false">
      <c r="A2057" s="2" t="n">
        <v>48</v>
      </c>
      <c r="B2057" s="2" t="s">
        <v>38</v>
      </c>
      <c r="C2057" s="2" t="s">
        <v>18</v>
      </c>
      <c r="D2057" s="2" t="s">
        <v>25</v>
      </c>
      <c r="E2057" s="2" t="s">
        <v>20</v>
      </c>
      <c r="F2057" s="2" t="n">
        <v>568</v>
      </c>
      <c r="G2057" s="2" t="s">
        <v>26</v>
      </c>
      <c r="H2057" s="2" t="s">
        <v>20</v>
      </c>
      <c r="I2057" s="2" t="s">
        <v>21</v>
      </c>
      <c r="J2057" s="2" t="n">
        <v>2</v>
      </c>
      <c r="K2057" s="2" t="s">
        <v>51</v>
      </c>
      <c r="L2057" s="2" t="n">
        <v>378</v>
      </c>
      <c r="M2057" s="2" t="n">
        <v>2</v>
      </c>
      <c r="N2057" s="2" t="n">
        <v>386</v>
      </c>
      <c r="O2057" s="2" t="n">
        <v>1</v>
      </c>
      <c r="P2057" s="2" t="s">
        <v>50</v>
      </c>
      <c r="Q2057" s="2" t="s">
        <v>26</v>
      </c>
    </row>
    <row r="2058" customFormat="false" ht="15" hidden="false" customHeight="false" outlineLevel="0" collapsed="false">
      <c r="A2058" s="2" t="n">
        <v>57</v>
      </c>
      <c r="B2058" s="2" t="s">
        <v>38</v>
      </c>
      <c r="C2058" s="2" t="s">
        <v>18</v>
      </c>
      <c r="D2058" s="2" t="s">
        <v>25</v>
      </c>
      <c r="E2058" s="2" t="s">
        <v>20</v>
      </c>
      <c r="F2058" s="2" t="n">
        <v>1469</v>
      </c>
      <c r="G2058" s="2" t="s">
        <v>26</v>
      </c>
      <c r="H2058" s="2" t="s">
        <v>20</v>
      </c>
      <c r="I2058" s="2" t="s">
        <v>21</v>
      </c>
      <c r="J2058" s="2" t="n">
        <v>17</v>
      </c>
      <c r="K2058" s="2" t="s">
        <v>46</v>
      </c>
      <c r="L2058" s="2" t="n">
        <v>364</v>
      </c>
      <c r="M2058" s="2" t="n">
        <v>1</v>
      </c>
      <c r="N2058" s="2" t="n">
        <v>-1</v>
      </c>
      <c r="O2058" s="2" t="n">
        <v>0</v>
      </c>
      <c r="P2058" s="2" t="s">
        <v>23</v>
      </c>
      <c r="Q2058" s="2" t="s">
        <v>20</v>
      </c>
    </row>
    <row r="2059" customFormat="false" ht="15" hidden="false" customHeight="false" outlineLevel="0" collapsed="false">
      <c r="A2059" s="2" t="n">
        <v>51</v>
      </c>
      <c r="B2059" s="2" t="s">
        <v>38</v>
      </c>
      <c r="C2059" s="2" t="s">
        <v>18</v>
      </c>
      <c r="D2059" s="2" t="s">
        <v>25</v>
      </c>
      <c r="E2059" s="2" t="s">
        <v>20</v>
      </c>
      <c r="F2059" s="2" t="n">
        <v>18</v>
      </c>
      <c r="G2059" s="2" t="s">
        <v>20</v>
      </c>
      <c r="H2059" s="2" t="s">
        <v>26</v>
      </c>
      <c r="I2059" s="2" t="s">
        <v>21</v>
      </c>
      <c r="J2059" s="2" t="n">
        <v>25</v>
      </c>
      <c r="K2059" s="2" t="s">
        <v>44</v>
      </c>
      <c r="L2059" s="2" t="n">
        <v>363</v>
      </c>
      <c r="M2059" s="2" t="n">
        <v>6</v>
      </c>
      <c r="N2059" s="2" t="n">
        <v>-1</v>
      </c>
      <c r="O2059" s="2" t="n">
        <v>0</v>
      </c>
      <c r="P2059" s="2" t="s">
        <v>23</v>
      </c>
      <c r="Q2059" s="2" t="s">
        <v>20</v>
      </c>
    </row>
    <row r="2060" customFormat="false" ht="15" hidden="false" customHeight="false" outlineLevel="0" collapsed="false">
      <c r="A2060" s="2" t="n">
        <v>50</v>
      </c>
      <c r="B2060" s="2" t="s">
        <v>29</v>
      </c>
      <c r="C2060" s="2" t="s">
        <v>45</v>
      </c>
      <c r="D2060" s="2" t="s">
        <v>31</v>
      </c>
      <c r="E2060" s="2" t="s">
        <v>20</v>
      </c>
      <c r="F2060" s="2" t="n">
        <v>201</v>
      </c>
      <c r="G2060" s="2" t="s">
        <v>26</v>
      </c>
      <c r="H2060" s="2" t="s">
        <v>20</v>
      </c>
      <c r="I2060" s="2" t="s">
        <v>21</v>
      </c>
      <c r="J2060" s="2" t="n">
        <v>24</v>
      </c>
      <c r="K2060" s="2" t="s">
        <v>44</v>
      </c>
      <c r="L2060" s="2" t="n">
        <v>248</v>
      </c>
      <c r="M2060" s="2" t="n">
        <v>1</v>
      </c>
      <c r="N2060" s="2" t="n">
        <v>-1</v>
      </c>
      <c r="O2060" s="2" t="n">
        <v>0</v>
      </c>
      <c r="P2060" s="2" t="s">
        <v>23</v>
      </c>
      <c r="Q2060" s="2" t="s">
        <v>20</v>
      </c>
    </row>
    <row r="2061" customFormat="false" ht="15" hidden="false" customHeight="false" outlineLevel="0" collapsed="false">
      <c r="A2061" s="2" t="n">
        <v>34</v>
      </c>
      <c r="B2061" s="2" t="s">
        <v>34</v>
      </c>
      <c r="C2061" s="2" t="s">
        <v>18</v>
      </c>
      <c r="D2061" s="2" t="s">
        <v>25</v>
      </c>
      <c r="E2061" s="2" t="s">
        <v>20</v>
      </c>
      <c r="F2061" s="2" t="n">
        <v>1412</v>
      </c>
      <c r="G2061" s="2" t="s">
        <v>26</v>
      </c>
      <c r="H2061" s="2" t="s">
        <v>26</v>
      </c>
      <c r="I2061" s="2" t="s">
        <v>23</v>
      </c>
      <c r="J2061" s="2" t="n">
        <v>27</v>
      </c>
      <c r="K2061" s="2" t="s">
        <v>27</v>
      </c>
      <c r="L2061" s="2" t="n">
        <v>157</v>
      </c>
      <c r="M2061" s="2" t="n">
        <v>2</v>
      </c>
      <c r="N2061" s="2" t="n">
        <v>-1</v>
      </c>
      <c r="O2061" s="2" t="n">
        <v>0</v>
      </c>
      <c r="P2061" s="2" t="s">
        <v>23</v>
      </c>
      <c r="Q2061" s="2" t="s">
        <v>20</v>
      </c>
    </row>
    <row r="2062" customFormat="false" ht="15" hidden="false" customHeight="false" outlineLevel="0" collapsed="false">
      <c r="A2062" s="2" t="n">
        <v>43</v>
      </c>
      <c r="B2062" s="2" t="s">
        <v>34</v>
      </c>
      <c r="C2062" s="2" t="s">
        <v>18</v>
      </c>
      <c r="D2062" s="2" t="s">
        <v>19</v>
      </c>
      <c r="E2062" s="2" t="s">
        <v>20</v>
      </c>
      <c r="F2062" s="2" t="n">
        <v>-93</v>
      </c>
      <c r="G2062" s="2" t="s">
        <v>26</v>
      </c>
      <c r="H2062" s="2" t="s">
        <v>20</v>
      </c>
      <c r="I2062" s="2" t="s">
        <v>23</v>
      </c>
      <c r="J2062" s="2" t="n">
        <v>26</v>
      </c>
      <c r="K2062" s="2" t="s">
        <v>27</v>
      </c>
      <c r="L2062" s="2" t="n">
        <v>402</v>
      </c>
      <c r="M2062" s="2" t="n">
        <v>2</v>
      </c>
      <c r="N2062" s="2" t="n">
        <v>-1</v>
      </c>
      <c r="O2062" s="2" t="n">
        <v>0</v>
      </c>
      <c r="P2062" s="2" t="s">
        <v>23</v>
      </c>
      <c r="Q2062" s="2" t="s">
        <v>20</v>
      </c>
    </row>
    <row r="2063" customFormat="false" ht="15" hidden="false" customHeight="false" outlineLevel="0" collapsed="false">
      <c r="A2063" s="2" t="n">
        <v>31</v>
      </c>
      <c r="B2063" s="2" t="s">
        <v>24</v>
      </c>
      <c r="C2063" s="2" t="s">
        <v>18</v>
      </c>
      <c r="D2063" s="2" t="s">
        <v>25</v>
      </c>
      <c r="E2063" s="2" t="s">
        <v>20</v>
      </c>
      <c r="F2063" s="2" t="n">
        <v>-331</v>
      </c>
      <c r="G2063" s="2" t="s">
        <v>26</v>
      </c>
      <c r="H2063" s="2" t="s">
        <v>20</v>
      </c>
      <c r="I2063" s="2" t="s">
        <v>23</v>
      </c>
      <c r="J2063" s="2" t="n">
        <v>23</v>
      </c>
      <c r="K2063" s="2" t="s">
        <v>27</v>
      </c>
      <c r="L2063" s="2" t="n">
        <v>203</v>
      </c>
      <c r="M2063" s="2" t="n">
        <v>5</v>
      </c>
      <c r="N2063" s="2" t="n">
        <v>-1</v>
      </c>
      <c r="O2063" s="2" t="n">
        <v>0</v>
      </c>
      <c r="P2063" s="2" t="s">
        <v>23</v>
      </c>
      <c r="Q2063" s="2" t="s">
        <v>20</v>
      </c>
    </row>
    <row r="2064" customFormat="false" ht="15" hidden="false" customHeight="false" outlineLevel="0" collapsed="false">
      <c r="A2064" s="2" t="n">
        <v>29</v>
      </c>
      <c r="B2064" s="2" t="s">
        <v>34</v>
      </c>
      <c r="C2064" s="2" t="s">
        <v>18</v>
      </c>
      <c r="D2064" s="2" t="s">
        <v>23</v>
      </c>
      <c r="E2064" s="2" t="s">
        <v>20</v>
      </c>
      <c r="F2064" s="2" t="n">
        <v>486</v>
      </c>
      <c r="G2064" s="2" t="s">
        <v>26</v>
      </c>
      <c r="H2064" s="2" t="s">
        <v>20</v>
      </c>
      <c r="I2064" s="2" t="s">
        <v>21</v>
      </c>
      <c r="J2064" s="2" t="n">
        <v>6</v>
      </c>
      <c r="K2064" s="2" t="s">
        <v>27</v>
      </c>
      <c r="L2064" s="2" t="n">
        <v>422</v>
      </c>
      <c r="M2064" s="2" t="n">
        <v>1</v>
      </c>
      <c r="N2064" s="2" t="n">
        <v>363</v>
      </c>
      <c r="O2064" s="2" t="n">
        <v>1</v>
      </c>
      <c r="P2064" s="2" t="s">
        <v>28</v>
      </c>
      <c r="Q2064" s="2" t="s">
        <v>20</v>
      </c>
    </row>
    <row r="2065" customFormat="false" ht="15" hidden="false" customHeight="false" outlineLevel="0" collapsed="false">
      <c r="A2065" s="2" t="n">
        <v>39</v>
      </c>
      <c r="B2065" s="2" t="s">
        <v>34</v>
      </c>
      <c r="C2065" s="2" t="s">
        <v>18</v>
      </c>
      <c r="D2065" s="2" t="s">
        <v>19</v>
      </c>
      <c r="E2065" s="2" t="s">
        <v>20</v>
      </c>
      <c r="F2065" s="2" t="n">
        <v>694</v>
      </c>
      <c r="G2065" s="2" t="s">
        <v>26</v>
      </c>
      <c r="H2065" s="2" t="s">
        <v>20</v>
      </c>
      <c r="I2065" s="2" t="s">
        <v>21</v>
      </c>
      <c r="J2065" s="2" t="n">
        <v>21</v>
      </c>
      <c r="K2065" s="2" t="s">
        <v>46</v>
      </c>
      <c r="L2065" s="2" t="n">
        <v>44</v>
      </c>
      <c r="M2065" s="2" t="n">
        <v>1</v>
      </c>
      <c r="N2065" s="2" t="n">
        <v>-1</v>
      </c>
      <c r="O2065" s="2" t="n">
        <v>0</v>
      </c>
      <c r="P2065" s="2" t="s">
        <v>23</v>
      </c>
      <c r="Q2065" s="2" t="s">
        <v>20</v>
      </c>
    </row>
    <row r="2066" customFormat="false" ht="15" hidden="false" customHeight="false" outlineLevel="0" collapsed="false">
      <c r="A2066" s="2" t="n">
        <v>36</v>
      </c>
      <c r="B2066" s="2" t="s">
        <v>29</v>
      </c>
      <c r="C2066" s="2" t="s">
        <v>30</v>
      </c>
      <c r="D2066" s="2" t="s">
        <v>31</v>
      </c>
      <c r="E2066" s="2" t="s">
        <v>20</v>
      </c>
      <c r="F2066" s="2" t="n">
        <v>2806</v>
      </c>
      <c r="G2066" s="2" t="s">
        <v>26</v>
      </c>
      <c r="H2066" s="2" t="s">
        <v>20</v>
      </c>
      <c r="I2066" s="2" t="s">
        <v>23</v>
      </c>
      <c r="J2066" s="2" t="n">
        <v>30</v>
      </c>
      <c r="K2066" s="2" t="s">
        <v>27</v>
      </c>
      <c r="L2066" s="2" t="n">
        <v>358</v>
      </c>
      <c r="M2066" s="2" t="n">
        <v>4</v>
      </c>
      <c r="N2066" s="2" t="n">
        <v>-1</v>
      </c>
      <c r="O2066" s="2" t="n">
        <v>0</v>
      </c>
      <c r="P2066" s="2" t="s">
        <v>23</v>
      </c>
      <c r="Q2066" s="2" t="s">
        <v>20</v>
      </c>
    </row>
    <row r="2067" customFormat="false" ht="15" hidden="false" customHeight="false" outlineLevel="0" collapsed="false">
      <c r="A2067" s="2" t="n">
        <v>38</v>
      </c>
      <c r="B2067" s="2" t="s">
        <v>17</v>
      </c>
      <c r="C2067" s="2" t="s">
        <v>30</v>
      </c>
      <c r="D2067" s="2" t="s">
        <v>31</v>
      </c>
      <c r="E2067" s="2" t="s">
        <v>20</v>
      </c>
      <c r="F2067" s="2" t="n">
        <v>0</v>
      </c>
      <c r="G2067" s="2" t="s">
        <v>20</v>
      </c>
      <c r="H2067" s="2" t="s">
        <v>20</v>
      </c>
      <c r="I2067" s="2" t="s">
        <v>21</v>
      </c>
      <c r="J2067" s="2" t="n">
        <v>6</v>
      </c>
      <c r="K2067" s="2" t="s">
        <v>35</v>
      </c>
      <c r="L2067" s="2" t="n">
        <v>39</v>
      </c>
      <c r="M2067" s="2" t="n">
        <v>2</v>
      </c>
      <c r="N2067" s="2" t="n">
        <v>-1</v>
      </c>
      <c r="O2067" s="2" t="n">
        <v>0</v>
      </c>
      <c r="P2067" s="2" t="s">
        <v>23</v>
      </c>
      <c r="Q2067" s="2" t="s">
        <v>20</v>
      </c>
    </row>
    <row r="2068" customFormat="false" ht="15" hidden="false" customHeight="false" outlineLevel="0" collapsed="false">
      <c r="A2068" s="2" t="n">
        <v>56</v>
      </c>
      <c r="B2068" s="2" t="s">
        <v>29</v>
      </c>
      <c r="C2068" s="2" t="s">
        <v>45</v>
      </c>
      <c r="D2068" s="2" t="s">
        <v>31</v>
      </c>
      <c r="E2068" s="2" t="s">
        <v>20</v>
      </c>
      <c r="F2068" s="2" t="n">
        <v>2959</v>
      </c>
      <c r="G2068" s="2" t="s">
        <v>26</v>
      </c>
      <c r="H2068" s="2" t="s">
        <v>20</v>
      </c>
      <c r="I2068" s="2" t="s">
        <v>49</v>
      </c>
      <c r="J2068" s="2" t="n">
        <v>18</v>
      </c>
      <c r="K2068" s="2" t="s">
        <v>27</v>
      </c>
      <c r="L2068" s="2" t="n">
        <v>325</v>
      </c>
      <c r="M2068" s="2" t="n">
        <v>1</v>
      </c>
      <c r="N2068" s="2" t="n">
        <v>-1</v>
      </c>
      <c r="O2068" s="2" t="n">
        <v>0</v>
      </c>
      <c r="P2068" s="2" t="s">
        <v>23</v>
      </c>
      <c r="Q2068" s="2" t="s">
        <v>20</v>
      </c>
    </row>
    <row r="2069" customFormat="false" ht="15" hidden="false" customHeight="false" outlineLevel="0" collapsed="false">
      <c r="A2069" s="2" t="n">
        <v>41</v>
      </c>
      <c r="B2069" s="2" t="s">
        <v>47</v>
      </c>
      <c r="C2069" s="2" t="s">
        <v>45</v>
      </c>
      <c r="D2069" s="2" t="s">
        <v>19</v>
      </c>
      <c r="E2069" s="2" t="s">
        <v>20</v>
      </c>
      <c r="F2069" s="2" t="n">
        <v>22</v>
      </c>
      <c r="G2069" s="2" t="s">
        <v>26</v>
      </c>
      <c r="H2069" s="2" t="s">
        <v>20</v>
      </c>
      <c r="I2069" s="2" t="s">
        <v>21</v>
      </c>
      <c r="J2069" s="2" t="n">
        <v>18</v>
      </c>
      <c r="K2069" s="2" t="s">
        <v>46</v>
      </c>
      <c r="L2069" s="2" t="n">
        <v>238</v>
      </c>
      <c r="M2069" s="2" t="n">
        <v>3</v>
      </c>
      <c r="N2069" s="2" t="n">
        <v>126</v>
      </c>
      <c r="O2069" s="2" t="n">
        <v>4</v>
      </c>
      <c r="P2069" s="2" t="s">
        <v>37</v>
      </c>
      <c r="Q2069" s="2" t="s">
        <v>20</v>
      </c>
    </row>
    <row r="2070" customFormat="false" ht="15" hidden="false" customHeight="false" outlineLevel="0" collapsed="false">
      <c r="A2070" s="2" t="n">
        <v>47</v>
      </c>
      <c r="B2070" s="2" t="s">
        <v>38</v>
      </c>
      <c r="C2070" s="2" t="s">
        <v>18</v>
      </c>
      <c r="D2070" s="2" t="s">
        <v>25</v>
      </c>
      <c r="E2070" s="2" t="s">
        <v>20</v>
      </c>
      <c r="F2070" s="2" t="n">
        <v>1167</v>
      </c>
      <c r="G2070" s="2" t="s">
        <v>26</v>
      </c>
      <c r="H2070" s="2" t="s">
        <v>20</v>
      </c>
      <c r="I2070" s="2" t="s">
        <v>21</v>
      </c>
      <c r="J2070" s="2" t="n">
        <v>30</v>
      </c>
      <c r="K2070" s="2" t="s">
        <v>32</v>
      </c>
      <c r="L2070" s="2" t="n">
        <v>968</v>
      </c>
      <c r="M2070" s="2" t="n">
        <v>1</v>
      </c>
      <c r="N2070" s="2" t="n">
        <v>87</v>
      </c>
      <c r="O2070" s="2" t="n">
        <v>5</v>
      </c>
      <c r="P2070" s="2" t="s">
        <v>28</v>
      </c>
      <c r="Q2070" s="2" t="s">
        <v>26</v>
      </c>
    </row>
    <row r="2071" customFormat="false" ht="15" hidden="false" customHeight="false" outlineLevel="0" collapsed="false">
      <c r="A2071" s="2" t="n">
        <v>38</v>
      </c>
      <c r="B2071" s="2" t="s">
        <v>29</v>
      </c>
      <c r="C2071" s="2" t="s">
        <v>30</v>
      </c>
      <c r="D2071" s="2" t="s">
        <v>31</v>
      </c>
      <c r="E2071" s="2" t="s">
        <v>20</v>
      </c>
      <c r="F2071" s="2" t="n">
        <v>35</v>
      </c>
      <c r="G2071" s="2" t="s">
        <v>26</v>
      </c>
      <c r="H2071" s="2" t="s">
        <v>20</v>
      </c>
      <c r="I2071" s="2" t="s">
        <v>21</v>
      </c>
      <c r="J2071" s="2" t="n">
        <v>17</v>
      </c>
      <c r="K2071" s="2" t="s">
        <v>32</v>
      </c>
      <c r="L2071" s="2" t="n">
        <v>156</v>
      </c>
      <c r="M2071" s="2" t="n">
        <v>1</v>
      </c>
      <c r="N2071" s="2" t="n">
        <v>273</v>
      </c>
      <c r="O2071" s="2" t="n">
        <v>3</v>
      </c>
      <c r="P2071" s="2" t="s">
        <v>28</v>
      </c>
      <c r="Q2071" s="2" t="s">
        <v>20</v>
      </c>
    </row>
    <row r="2072" customFormat="false" ht="15" hidden="false" customHeight="false" outlineLevel="0" collapsed="false">
      <c r="A2072" s="2" t="n">
        <v>80</v>
      </c>
      <c r="B2072" s="2" t="s">
        <v>48</v>
      </c>
      <c r="C2072" s="2" t="s">
        <v>18</v>
      </c>
      <c r="D2072" s="2" t="s">
        <v>25</v>
      </c>
      <c r="E2072" s="2" t="s">
        <v>20</v>
      </c>
      <c r="F2072" s="2" t="n">
        <v>8304</v>
      </c>
      <c r="G2072" s="2" t="s">
        <v>20</v>
      </c>
      <c r="H2072" s="2" t="s">
        <v>20</v>
      </c>
      <c r="I2072" s="2" t="s">
        <v>49</v>
      </c>
      <c r="J2072" s="2" t="n">
        <v>6</v>
      </c>
      <c r="K2072" s="2" t="s">
        <v>32</v>
      </c>
      <c r="L2072" s="2" t="n">
        <v>681</v>
      </c>
      <c r="M2072" s="2" t="n">
        <v>1</v>
      </c>
      <c r="N2072" s="2" t="n">
        <v>118</v>
      </c>
      <c r="O2072" s="2" t="n">
        <v>11</v>
      </c>
      <c r="P2072" s="2" t="s">
        <v>50</v>
      </c>
      <c r="Q2072" s="2" t="s">
        <v>20</v>
      </c>
    </row>
    <row r="2073" customFormat="false" ht="15" hidden="false" customHeight="false" outlineLevel="0" collapsed="false">
      <c r="A2073" s="2" t="n">
        <v>37</v>
      </c>
      <c r="B2073" s="2" t="s">
        <v>24</v>
      </c>
      <c r="C2073" s="2" t="s">
        <v>18</v>
      </c>
      <c r="D2073" s="2" t="s">
        <v>25</v>
      </c>
      <c r="E2073" s="2" t="s">
        <v>20</v>
      </c>
      <c r="F2073" s="2" t="n">
        <v>4760</v>
      </c>
      <c r="G2073" s="2" t="s">
        <v>26</v>
      </c>
      <c r="H2073" s="2" t="s">
        <v>20</v>
      </c>
      <c r="I2073" s="2" t="s">
        <v>21</v>
      </c>
      <c r="J2073" s="2" t="n">
        <v>20</v>
      </c>
      <c r="K2073" s="2" t="s">
        <v>46</v>
      </c>
      <c r="L2073" s="2" t="n">
        <v>187</v>
      </c>
      <c r="M2073" s="2" t="n">
        <v>2</v>
      </c>
      <c r="N2073" s="2" t="n">
        <v>-1</v>
      </c>
      <c r="O2073" s="2" t="n">
        <v>0</v>
      </c>
      <c r="P2073" s="2" t="s">
        <v>23</v>
      </c>
      <c r="Q2073" s="2" t="s">
        <v>20</v>
      </c>
    </row>
    <row r="2074" customFormat="false" ht="15" hidden="false" customHeight="false" outlineLevel="0" collapsed="false">
      <c r="A2074" s="2" t="n">
        <v>44</v>
      </c>
      <c r="B2074" s="2" t="s">
        <v>29</v>
      </c>
      <c r="C2074" s="2" t="s">
        <v>30</v>
      </c>
      <c r="D2074" s="2" t="s">
        <v>31</v>
      </c>
      <c r="E2074" s="2" t="s">
        <v>20</v>
      </c>
      <c r="F2074" s="2" t="n">
        <v>-1313</v>
      </c>
      <c r="G2074" s="2" t="s">
        <v>26</v>
      </c>
      <c r="H2074" s="2" t="s">
        <v>26</v>
      </c>
      <c r="I2074" s="2" t="s">
        <v>21</v>
      </c>
      <c r="J2074" s="2" t="n">
        <v>15</v>
      </c>
      <c r="K2074" s="2" t="s">
        <v>27</v>
      </c>
      <c r="L2074" s="2" t="n">
        <v>104</v>
      </c>
      <c r="M2074" s="2" t="n">
        <v>10</v>
      </c>
      <c r="N2074" s="2" t="n">
        <v>-1</v>
      </c>
      <c r="O2074" s="2" t="n">
        <v>0</v>
      </c>
      <c r="P2074" s="2" t="s">
        <v>23</v>
      </c>
      <c r="Q2074" s="2" t="s">
        <v>20</v>
      </c>
    </row>
    <row r="2075" customFormat="false" ht="15" hidden="false" customHeight="false" outlineLevel="0" collapsed="false">
      <c r="A2075" s="2" t="n">
        <v>33</v>
      </c>
      <c r="B2075" s="2" t="s">
        <v>34</v>
      </c>
      <c r="C2075" s="2" t="s">
        <v>30</v>
      </c>
      <c r="D2075" s="2" t="s">
        <v>25</v>
      </c>
      <c r="E2075" s="2" t="s">
        <v>20</v>
      </c>
      <c r="F2075" s="2" t="n">
        <v>697</v>
      </c>
      <c r="G2075" s="2" t="s">
        <v>20</v>
      </c>
      <c r="H2075" s="2" t="s">
        <v>20</v>
      </c>
      <c r="I2075" s="2" t="s">
        <v>21</v>
      </c>
      <c r="J2075" s="2" t="n">
        <v>6</v>
      </c>
      <c r="K2075" s="2" t="s">
        <v>35</v>
      </c>
      <c r="L2075" s="2" t="n">
        <v>860</v>
      </c>
      <c r="M2075" s="2" t="n">
        <v>2</v>
      </c>
      <c r="N2075" s="2" t="n">
        <v>-1</v>
      </c>
      <c r="O2075" s="2" t="n">
        <v>0</v>
      </c>
      <c r="P2075" s="2" t="s">
        <v>23</v>
      </c>
      <c r="Q2075" s="2" t="s">
        <v>26</v>
      </c>
    </row>
    <row r="2076" customFormat="false" ht="15" hidden="false" customHeight="false" outlineLevel="0" collapsed="false">
      <c r="A2076" s="2" t="n">
        <v>53</v>
      </c>
      <c r="B2076" s="2" t="s">
        <v>38</v>
      </c>
      <c r="C2076" s="2" t="s">
        <v>18</v>
      </c>
      <c r="D2076" s="2" t="s">
        <v>25</v>
      </c>
      <c r="E2076" s="2" t="s">
        <v>20</v>
      </c>
      <c r="F2076" s="2" t="n">
        <v>230</v>
      </c>
      <c r="G2076" s="2" t="s">
        <v>20</v>
      </c>
      <c r="H2076" s="2" t="s">
        <v>26</v>
      </c>
      <c r="I2076" s="2" t="s">
        <v>21</v>
      </c>
      <c r="J2076" s="2" t="n">
        <v>13</v>
      </c>
      <c r="K2076" s="2" t="s">
        <v>41</v>
      </c>
      <c r="L2076" s="2" t="n">
        <v>112</v>
      </c>
      <c r="M2076" s="2" t="n">
        <v>2</v>
      </c>
      <c r="N2076" s="2" t="n">
        <v>-1</v>
      </c>
      <c r="O2076" s="2" t="n">
        <v>0</v>
      </c>
      <c r="P2076" s="2" t="s">
        <v>23</v>
      </c>
      <c r="Q2076" s="2" t="s">
        <v>20</v>
      </c>
    </row>
    <row r="2077" customFormat="false" ht="15" hidden="false" customHeight="false" outlineLevel="0" collapsed="false">
      <c r="A2077" s="2" t="n">
        <v>69</v>
      </c>
      <c r="B2077" s="2" t="s">
        <v>48</v>
      </c>
      <c r="C2077" s="2" t="s">
        <v>18</v>
      </c>
      <c r="D2077" s="2" t="s">
        <v>31</v>
      </c>
      <c r="E2077" s="2" t="s">
        <v>20</v>
      </c>
      <c r="F2077" s="2" t="n">
        <v>473</v>
      </c>
      <c r="G2077" s="2" t="s">
        <v>20</v>
      </c>
      <c r="H2077" s="2" t="s">
        <v>20</v>
      </c>
      <c r="I2077" s="2" t="s">
        <v>21</v>
      </c>
      <c r="J2077" s="2" t="n">
        <v>7</v>
      </c>
      <c r="K2077" s="2" t="s">
        <v>44</v>
      </c>
      <c r="L2077" s="2" t="n">
        <v>112</v>
      </c>
      <c r="M2077" s="2" t="n">
        <v>1</v>
      </c>
      <c r="N2077" s="2" t="n">
        <v>78</v>
      </c>
      <c r="O2077" s="2" t="n">
        <v>1</v>
      </c>
      <c r="P2077" s="2" t="s">
        <v>28</v>
      </c>
      <c r="Q2077" s="2" t="s">
        <v>20</v>
      </c>
    </row>
    <row r="2078" customFormat="false" ht="15" hidden="false" customHeight="false" outlineLevel="0" collapsed="false">
      <c r="A2078" s="2" t="n">
        <v>46</v>
      </c>
      <c r="B2078" s="2" t="s">
        <v>38</v>
      </c>
      <c r="C2078" s="2" t="s">
        <v>18</v>
      </c>
      <c r="D2078" s="2" t="s">
        <v>25</v>
      </c>
      <c r="E2078" s="2" t="s">
        <v>20</v>
      </c>
      <c r="F2078" s="2" t="n">
        <v>1427</v>
      </c>
      <c r="G2078" s="2" t="s">
        <v>26</v>
      </c>
      <c r="H2078" s="2" t="s">
        <v>20</v>
      </c>
      <c r="I2078" s="2" t="s">
        <v>23</v>
      </c>
      <c r="J2078" s="2" t="n">
        <v>14</v>
      </c>
      <c r="K2078" s="2" t="s">
        <v>27</v>
      </c>
      <c r="L2078" s="2" t="n">
        <v>32</v>
      </c>
      <c r="M2078" s="2" t="n">
        <v>3</v>
      </c>
      <c r="N2078" s="2" t="n">
        <v>-1</v>
      </c>
      <c r="O2078" s="2" t="n">
        <v>0</v>
      </c>
      <c r="P2078" s="2" t="s">
        <v>23</v>
      </c>
      <c r="Q2078" s="2" t="s">
        <v>20</v>
      </c>
    </row>
    <row r="2079" customFormat="false" ht="15" hidden="false" customHeight="false" outlineLevel="0" collapsed="false">
      <c r="A2079" s="2" t="n">
        <v>30</v>
      </c>
      <c r="B2079" s="2" t="s">
        <v>29</v>
      </c>
      <c r="C2079" s="2" t="s">
        <v>30</v>
      </c>
      <c r="D2079" s="2" t="s">
        <v>31</v>
      </c>
      <c r="E2079" s="2" t="s">
        <v>20</v>
      </c>
      <c r="F2079" s="2" t="n">
        <v>201</v>
      </c>
      <c r="G2079" s="2" t="s">
        <v>26</v>
      </c>
      <c r="H2079" s="2" t="s">
        <v>20</v>
      </c>
      <c r="I2079" s="2" t="s">
        <v>21</v>
      </c>
      <c r="J2079" s="2" t="n">
        <v>17</v>
      </c>
      <c r="K2079" s="2" t="s">
        <v>52</v>
      </c>
      <c r="L2079" s="2" t="n">
        <v>325</v>
      </c>
      <c r="M2079" s="2" t="n">
        <v>2</v>
      </c>
      <c r="N2079" s="2" t="n">
        <v>-1</v>
      </c>
      <c r="O2079" s="2" t="n">
        <v>0</v>
      </c>
      <c r="P2079" s="2" t="s">
        <v>23</v>
      </c>
      <c r="Q2079" s="2" t="s">
        <v>26</v>
      </c>
    </row>
    <row r="2080" customFormat="false" ht="15" hidden="false" customHeight="false" outlineLevel="0" collapsed="false">
      <c r="A2080" s="2" t="n">
        <v>31</v>
      </c>
      <c r="B2080" s="2" t="s">
        <v>36</v>
      </c>
      <c r="C2080" s="2" t="s">
        <v>30</v>
      </c>
      <c r="D2080" s="2" t="s">
        <v>25</v>
      </c>
      <c r="E2080" s="2" t="s">
        <v>20</v>
      </c>
      <c r="F2080" s="2" t="n">
        <v>1086</v>
      </c>
      <c r="G2080" s="2" t="s">
        <v>20</v>
      </c>
      <c r="H2080" s="2" t="s">
        <v>20</v>
      </c>
      <c r="I2080" s="2" t="s">
        <v>21</v>
      </c>
      <c r="J2080" s="2" t="n">
        <v>20</v>
      </c>
      <c r="K2080" s="2" t="s">
        <v>46</v>
      </c>
      <c r="L2080" s="2" t="n">
        <v>410</v>
      </c>
      <c r="M2080" s="2" t="n">
        <v>1</v>
      </c>
      <c r="N2080" s="2" t="n">
        <v>-1</v>
      </c>
      <c r="O2080" s="2" t="n">
        <v>0</v>
      </c>
      <c r="P2080" s="2" t="s">
        <v>23</v>
      </c>
      <c r="Q2080" s="2" t="s">
        <v>20</v>
      </c>
    </row>
    <row r="2081" customFormat="false" ht="15" hidden="false" customHeight="false" outlineLevel="0" collapsed="false">
      <c r="A2081" s="2" t="n">
        <v>38</v>
      </c>
      <c r="B2081" s="2" t="s">
        <v>29</v>
      </c>
      <c r="C2081" s="2" t="s">
        <v>45</v>
      </c>
      <c r="D2081" s="2" t="s">
        <v>31</v>
      </c>
      <c r="E2081" s="2" t="s">
        <v>20</v>
      </c>
      <c r="F2081" s="2" t="n">
        <v>4335</v>
      </c>
      <c r="G2081" s="2" t="s">
        <v>26</v>
      </c>
      <c r="H2081" s="2" t="s">
        <v>20</v>
      </c>
      <c r="I2081" s="2" t="s">
        <v>21</v>
      </c>
      <c r="J2081" s="2" t="n">
        <v>20</v>
      </c>
      <c r="K2081" s="2" t="s">
        <v>46</v>
      </c>
      <c r="L2081" s="2" t="n">
        <v>640</v>
      </c>
      <c r="M2081" s="2" t="n">
        <v>1</v>
      </c>
      <c r="N2081" s="2" t="n">
        <v>-1</v>
      </c>
      <c r="O2081" s="2" t="n">
        <v>0</v>
      </c>
      <c r="P2081" s="2" t="s">
        <v>23</v>
      </c>
      <c r="Q2081" s="2" t="s">
        <v>20</v>
      </c>
    </row>
    <row r="2082" customFormat="false" ht="15" hidden="false" customHeight="false" outlineLevel="0" collapsed="false">
      <c r="A2082" s="2" t="n">
        <v>34</v>
      </c>
      <c r="B2082" s="2" t="s">
        <v>24</v>
      </c>
      <c r="C2082" s="2" t="s">
        <v>45</v>
      </c>
      <c r="D2082" s="2" t="s">
        <v>25</v>
      </c>
      <c r="E2082" s="2" t="s">
        <v>20</v>
      </c>
      <c r="F2082" s="2" t="n">
        <v>44</v>
      </c>
      <c r="G2082" s="2" t="s">
        <v>20</v>
      </c>
      <c r="H2082" s="2" t="s">
        <v>20</v>
      </c>
      <c r="I2082" s="2" t="s">
        <v>23</v>
      </c>
      <c r="J2082" s="2" t="n">
        <v>9</v>
      </c>
      <c r="K2082" s="2" t="s">
        <v>33</v>
      </c>
      <c r="L2082" s="2" t="n">
        <v>118</v>
      </c>
      <c r="M2082" s="2" t="n">
        <v>1</v>
      </c>
      <c r="N2082" s="2" t="n">
        <v>-1</v>
      </c>
      <c r="O2082" s="2" t="n">
        <v>0</v>
      </c>
      <c r="P2082" s="2" t="s">
        <v>23</v>
      </c>
      <c r="Q2082" s="2" t="s">
        <v>20</v>
      </c>
    </row>
    <row r="2083" customFormat="false" ht="15" hidden="false" customHeight="false" outlineLevel="0" collapsed="false">
      <c r="A2083" s="2" t="n">
        <v>48</v>
      </c>
      <c r="B2083" s="2" t="s">
        <v>23</v>
      </c>
      <c r="C2083" s="2" t="s">
        <v>18</v>
      </c>
      <c r="D2083" s="2" t="s">
        <v>23</v>
      </c>
      <c r="E2083" s="2" t="s">
        <v>20</v>
      </c>
      <c r="F2083" s="2" t="n">
        <v>286</v>
      </c>
      <c r="G2083" s="2" t="s">
        <v>20</v>
      </c>
      <c r="H2083" s="2" t="s">
        <v>20</v>
      </c>
      <c r="I2083" s="2" t="s">
        <v>21</v>
      </c>
      <c r="J2083" s="2" t="n">
        <v>30</v>
      </c>
      <c r="K2083" s="2" t="s">
        <v>44</v>
      </c>
      <c r="L2083" s="2" t="n">
        <v>166</v>
      </c>
      <c r="M2083" s="2" t="n">
        <v>2</v>
      </c>
      <c r="N2083" s="2" t="n">
        <v>-1</v>
      </c>
      <c r="O2083" s="2" t="n">
        <v>0</v>
      </c>
      <c r="P2083" s="2" t="s">
        <v>23</v>
      </c>
      <c r="Q2083" s="2" t="s">
        <v>20</v>
      </c>
    </row>
    <row r="2084" customFormat="false" ht="15" hidden="false" customHeight="false" outlineLevel="0" collapsed="false">
      <c r="A2084" s="2" t="n">
        <v>46</v>
      </c>
      <c r="B2084" s="2" t="s">
        <v>34</v>
      </c>
      <c r="C2084" s="2" t="s">
        <v>45</v>
      </c>
      <c r="D2084" s="2" t="s">
        <v>19</v>
      </c>
      <c r="E2084" s="2" t="s">
        <v>20</v>
      </c>
      <c r="F2084" s="2" t="n">
        <v>216</v>
      </c>
      <c r="G2084" s="2" t="s">
        <v>20</v>
      </c>
      <c r="H2084" s="2" t="s">
        <v>20</v>
      </c>
      <c r="I2084" s="2" t="s">
        <v>21</v>
      </c>
      <c r="J2084" s="2" t="n">
        <v>2</v>
      </c>
      <c r="K2084" s="2" t="s">
        <v>35</v>
      </c>
      <c r="L2084" s="2" t="n">
        <v>173</v>
      </c>
      <c r="M2084" s="2" t="n">
        <v>1</v>
      </c>
      <c r="N2084" s="2" t="n">
        <v>-1</v>
      </c>
      <c r="O2084" s="2" t="n">
        <v>0</v>
      </c>
      <c r="P2084" s="2" t="s">
        <v>23</v>
      </c>
      <c r="Q2084" s="2" t="s">
        <v>20</v>
      </c>
    </row>
    <row r="2085" customFormat="false" ht="15" hidden="false" customHeight="false" outlineLevel="0" collapsed="false">
      <c r="A2085" s="2" t="n">
        <v>42</v>
      </c>
      <c r="B2085" s="2" t="s">
        <v>40</v>
      </c>
      <c r="C2085" s="2" t="s">
        <v>18</v>
      </c>
      <c r="D2085" s="2" t="s">
        <v>25</v>
      </c>
      <c r="E2085" s="2" t="s">
        <v>20</v>
      </c>
      <c r="F2085" s="2" t="n">
        <v>214</v>
      </c>
      <c r="G2085" s="2" t="s">
        <v>26</v>
      </c>
      <c r="H2085" s="2" t="s">
        <v>20</v>
      </c>
      <c r="I2085" s="2" t="s">
        <v>23</v>
      </c>
      <c r="J2085" s="2" t="n">
        <v>28</v>
      </c>
      <c r="K2085" s="2" t="s">
        <v>27</v>
      </c>
      <c r="L2085" s="2" t="n">
        <v>21</v>
      </c>
      <c r="M2085" s="2" t="n">
        <v>24</v>
      </c>
      <c r="N2085" s="2" t="n">
        <v>-1</v>
      </c>
      <c r="O2085" s="2" t="n">
        <v>0</v>
      </c>
      <c r="P2085" s="2" t="s">
        <v>23</v>
      </c>
      <c r="Q2085" s="2" t="s">
        <v>20</v>
      </c>
    </row>
    <row r="2086" customFormat="false" ht="15" hidden="false" customHeight="false" outlineLevel="0" collapsed="false">
      <c r="A2086" s="2" t="n">
        <v>41</v>
      </c>
      <c r="B2086" s="2" t="s">
        <v>34</v>
      </c>
      <c r="C2086" s="2" t="s">
        <v>18</v>
      </c>
      <c r="D2086" s="2" t="s">
        <v>25</v>
      </c>
      <c r="E2086" s="2" t="s">
        <v>20</v>
      </c>
      <c r="F2086" s="2" t="n">
        <v>343</v>
      </c>
      <c r="G2086" s="2" t="s">
        <v>26</v>
      </c>
      <c r="H2086" s="2" t="s">
        <v>20</v>
      </c>
      <c r="I2086" s="2" t="s">
        <v>23</v>
      </c>
      <c r="J2086" s="2" t="n">
        <v>14</v>
      </c>
      <c r="K2086" s="2" t="s">
        <v>27</v>
      </c>
      <c r="L2086" s="2" t="n">
        <v>89</v>
      </c>
      <c r="M2086" s="2" t="n">
        <v>7</v>
      </c>
      <c r="N2086" s="2" t="n">
        <v>-1</v>
      </c>
      <c r="O2086" s="2" t="n">
        <v>0</v>
      </c>
      <c r="P2086" s="2" t="s">
        <v>23</v>
      </c>
      <c r="Q2086" s="2" t="s">
        <v>20</v>
      </c>
    </row>
    <row r="2087" customFormat="false" ht="15" hidden="false" customHeight="false" outlineLevel="0" collapsed="false">
      <c r="A2087" s="2" t="n">
        <v>33</v>
      </c>
      <c r="B2087" s="2" t="s">
        <v>34</v>
      </c>
      <c r="C2087" s="2" t="s">
        <v>18</v>
      </c>
      <c r="D2087" s="2" t="s">
        <v>25</v>
      </c>
      <c r="E2087" s="2" t="s">
        <v>20</v>
      </c>
      <c r="F2087" s="2" t="n">
        <v>-77</v>
      </c>
      <c r="G2087" s="2" t="s">
        <v>26</v>
      </c>
      <c r="H2087" s="2" t="s">
        <v>20</v>
      </c>
      <c r="I2087" s="2" t="s">
        <v>21</v>
      </c>
      <c r="J2087" s="2" t="n">
        <v>28</v>
      </c>
      <c r="K2087" s="2" t="s">
        <v>44</v>
      </c>
      <c r="L2087" s="2" t="n">
        <v>151</v>
      </c>
      <c r="M2087" s="2" t="n">
        <v>3</v>
      </c>
      <c r="N2087" s="2" t="n">
        <v>-1</v>
      </c>
      <c r="O2087" s="2" t="n">
        <v>0</v>
      </c>
      <c r="P2087" s="2" t="s">
        <v>23</v>
      </c>
      <c r="Q2087" s="2" t="s">
        <v>20</v>
      </c>
    </row>
    <row r="2088" customFormat="false" ht="15" hidden="false" customHeight="false" outlineLevel="0" collapsed="false">
      <c r="A2088" s="2" t="n">
        <v>39</v>
      </c>
      <c r="B2088" s="2" t="s">
        <v>34</v>
      </c>
      <c r="C2088" s="2" t="s">
        <v>18</v>
      </c>
      <c r="D2088" s="2" t="s">
        <v>19</v>
      </c>
      <c r="E2088" s="2" t="s">
        <v>20</v>
      </c>
      <c r="F2088" s="2" t="n">
        <v>1046</v>
      </c>
      <c r="G2088" s="2" t="s">
        <v>20</v>
      </c>
      <c r="H2088" s="2" t="s">
        <v>20</v>
      </c>
      <c r="I2088" s="2" t="s">
        <v>23</v>
      </c>
      <c r="J2088" s="2" t="n">
        <v>19</v>
      </c>
      <c r="K2088" s="2" t="s">
        <v>33</v>
      </c>
      <c r="L2088" s="2" t="n">
        <v>112</v>
      </c>
      <c r="M2088" s="2" t="n">
        <v>4</v>
      </c>
      <c r="N2088" s="2" t="n">
        <v>-1</v>
      </c>
      <c r="O2088" s="2" t="n">
        <v>0</v>
      </c>
      <c r="P2088" s="2" t="s">
        <v>23</v>
      </c>
      <c r="Q2088" s="2" t="s">
        <v>20</v>
      </c>
    </row>
    <row r="2089" customFormat="false" ht="15" hidden="false" customHeight="false" outlineLevel="0" collapsed="false">
      <c r="A2089" s="2" t="n">
        <v>27</v>
      </c>
      <c r="B2089" s="2" t="s">
        <v>42</v>
      </c>
      <c r="C2089" s="2" t="s">
        <v>30</v>
      </c>
      <c r="D2089" s="2" t="s">
        <v>25</v>
      </c>
      <c r="E2089" s="2" t="s">
        <v>20</v>
      </c>
      <c r="F2089" s="2" t="n">
        <v>1566</v>
      </c>
      <c r="G2089" s="2" t="s">
        <v>20</v>
      </c>
      <c r="H2089" s="2" t="s">
        <v>20</v>
      </c>
      <c r="I2089" s="2" t="s">
        <v>21</v>
      </c>
      <c r="J2089" s="2" t="n">
        <v>30</v>
      </c>
      <c r="K2089" s="2" t="s">
        <v>43</v>
      </c>
      <c r="L2089" s="2" t="n">
        <v>164</v>
      </c>
      <c r="M2089" s="2" t="n">
        <v>5</v>
      </c>
      <c r="N2089" s="2" t="n">
        <v>-1</v>
      </c>
      <c r="O2089" s="2" t="n">
        <v>0</v>
      </c>
      <c r="P2089" s="2" t="s">
        <v>23</v>
      </c>
      <c r="Q2089" s="2" t="s">
        <v>20</v>
      </c>
    </row>
    <row r="2090" customFormat="false" ht="15" hidden="false" customHeight="false" outlineLevel="0" collapsed="false">
      <c r="A2090" s="2" t="n">
        <v>26</v>
      </c>
      <c r="B2090" s="2" t="s">
        <v>29</v>
      </c>
      <c r="C2090" s="2" t="s">
        <v>30</v>
      </c>
      <c r="D2090" s="2" t="s">
        <v>31</v>
      </c>
      <c r="E2090" s="2" t="s">
        <v>20</v>
      </c>
      <c r="F2090" s="2" t="n">
        <v>592</v>
      </c>
      <c r="G2090" s="2" t="s">
        <v>20</v>
      </c>
      <c r="H2090" s="2" t="s">
        <v>20</v>
      </c>
      <c r="I2090" s="2" t="s">
        <v>49</v>
      </c>
      <c r="J2090" s="2" t="n">
        <v>29</v>
      </c>
      <c r="K2090" s="2" t="s">
        <v>43</v>
      </c>
      <c r="L2090" s="2" t="n">
        <v>145</v>
      </c>
      <c r="M2090" s="2" t="n">
        <v>2</v>
      </c>
      <c r="N2090" s="2" t="n">
        <v>164</v>
      </c>
      <c r="O2090" s="2" t="n">
        <v>1</v>
      </c>
      <c r="P2090" s="2" t="s">
        <v>37</v>
      </c>
      <c r="Q2090" s="2" t="s">
        <v>20</v>
      </c>
    </row>
    <row r="2091" customFormat="false" ht="15" hidden="false" customHeight="false" outlineLevel="0" collapsed="false">
      <c r="A2091" s="2" t="n">
        <v>38</v>
      </c>
      <c r="B2091" s="2" t="s">
        <v>29</v>
      </c>
      <c r="C2091" s="2" t="s">
        <v>30</v>
      </c>
      <c r="D2091" s="2" t="s">
        <v>31</v>
      </c>
      <c r="E2091" s="2" t="s">
        <v>20</v>
      </c>
      <c r="F2091" s="2" t="n">
        <v>104</v>
      </c>
      <c r="G2091" s="2" t="s">
        <v>26</v>
      </c>
      <c r="H2091" s="2" t="s">
        <v>20</v>
      </c>
      <c r="I2091" s="2" t="s">
        <v>21</v>
      </c>
      <c r="J2091" s="2" t="n">
        <v>6</v>
      </c>
      <c r="K2091" s="2" t="s">
        <v>27</v>
      </c>
      <c r="L2091" s="2" t="n">
        <v>606</v>
      </c>
      <c r="M2091" s="2" t="n">
        <v>3</v>
      </c>
      <c r="N2091" s="2" t="n">
        <v>-1</v>
      </c>
      <c r="O2091" s="2" t="n">
        <v>0</v>
      </c>
      <c r="P2091" s="2" t="s">
        <v>23</v>
      </c>
      <c r="Q2091" s="2" t="s">
        <v>26</v>
      </c>
    </row>
    <row r="2092" customFormat="false" ht="15" hidden="false" customHeight="false" outlineLevel="0" collapsed="false">
      <c r="A2092" s="2" t="n">
        <v>48</v>
      </c>
      <c r="B2092" s="2" t="s">
        <v>34</v>
      </c>
      <c r="C2092" s="2" t="s">
        <v>18</v>
      </c>
      <c r="D2092" s="2" t="s">
        <v>25</v>
      </c>
      <c r="E2092" s="2" t="s">
        <v>20</v>
      </c>
      <c r="F2092" s="2" t="n">
        <v>0</v>
      </c>
      <c r="G2092" s="2" t="s">
        <v>26</v>
      </c>
      <c r="H2092" s="2" t="s">
        <v>20</v>
      </c>
      <c r="I2092" s="2" t="s">
        <v>23</v>
      </c>
      <c r="J2092" s="2" t="n">
        <v>26</v>
      </c>
      <c r="K2092" s="2" t="s">
        <v>27</v>
      </c>
      <c r="L2092" s="2" t="n">
        <v>105</v>
      </c>
      <c r="M2092" s="2" t="n">
        <v>1</v>
      </c>
      <c r="N2092" s="2" t="n">
        <v>-1</v>
      </c>
      <c r="O2092" s="2" t="n">
        <v>0</v>
      </c>
      <c r="P2092" s="2" t="s">
        <v>23</v>
      </c>
      <c r="Q2092" s="2" t="s">
        <v>20</v>
      </c>
    </row>
    <row r="2093" customFormat="false" ht="15" hidden="false" customHeight="false" outlineLevel="0" collapsed="false">
      <c r="A2093" s="2" t="n">
        <v>54</v>
      </c>
      <c r="B2093" s="2" t="s">
        <v>24</v>
      </c>
      <c r="C2093" s="2" t="s">
        <v>18</v>
      </c>
      <c r="D2093" s="2" t="s">
        <v>25</v>
      </c>
      <c r="E2093" s="2" t="s">
        <v>20</v>
      </c>
      <c r="F2093" s="2" t="n">
        <v>-22</v>
      </c>
      <c r="G2093" s="2" t="s">
        <v>20</v>
      </c>
      <c r="H2093" s="2" t="s">
        <v>26</v>
      </c>
      <c r="I2093" s="2" t="s">
        <v>21</v>
      </c>
      <c r="J2093" s="2" t="n">
        <v>9</v>
      </c>
      <c r="K2093" s="2" t="s">
        <v>44</v>
      </c>
      <c r="L2093" s="2" t="n">
        <v>85</v>
      </c>
      <c r="M2093" s="2" t="n">
        <v>1</v>
      </c>
      <c r="N2093" s="2" t="n">
        <v>-1</v>
      </c>
      <c r="O2093" s="2" t="n">
        <v>0</v>
      </c>
      <c r="P2093" s="2" t="s">
        <v>23</v>
      </c>
      <c r="Q2093" s="2" t="s">
        <v>20</v>
      </c>
    </row>
    <row r="2094" customFormat="false" ht="15" hidden="false" customHeight="false" outlineLevel="0" collapsed="false">
      <c r="A2094" s="2" t="n">
        <v>51</v>
      </c>
      <c r="B2094" s="2" t="s">
        <v>24</v>
      </c>
      <c r="C2094" s="2" t="s">
        <v>18</v>
      </c>
      <c r="D2094" s="2" t="s">
        <v>25</v>
      </c>
      <c r="E2094" s="2" t="s">
        <v>20</v>
      </c>
      <c r="F2094" s="2" t="n">
        <v>0</v>
      </c>
      <c r="G2094" s="2" t="s">
        <v>20</v>
      </c>
      <c r="H2094" s="2" t="s">
        <v>20</v>
      </c>
      <c r="I2094" s="2" t="s">
        <v>21</v>
      </c>
      <c r="J2094" s="2" t="n">
        <v>18</v>
      </c>
      <c r="K2094" s="2" t="s">
        <v>44</v>
      </c>
      <c r="L2094" s="2" t="n">
        <v>439</v>
      </c>
      <c r="M2094" s="2" t="n">
        <v>3</v>
      </c>
      <c r="N2094" s="2" t="n">
        <v>-1</v>
      </c>
      <c r="O2094" s="2" t="n">
        <v>0</v>
      </c>
      <c r="P2094" s="2" t="s">
        <v>23</v>
      </c>
      <c r="Q2094" s="2" t="s">
        <v>20</v>
      </c>
    </row>
    <row r="2095" customFormat="false" ht="15" hidden="false" customHeight="false" outlineLevel="0" collapsed="false">
      <c r="A2095" s="2" t="n">
        <v>47</v>
      </c>
      <c r="B2095" s="2" t="s">
        <v>38</v>
      </c>
      <c r="C2095" s="2" t="s">
        <v>18</v>
      </c>
      <c r="D2095" s="2" t="s">
        <v>25</v>
      </c>
      <c r="E2095" s="2" t="s">
        <v>20</v>
      </c>
      <c r="F2095" s="2" t="n">
        <v>72</v>
      </c>
      <c r="G2095" s="2" t="s">
        <v>20</v>
      </c>
      <c r="H2095" s="2" t="s">
        <v>20</v>
      </c>
      <c r="I2095" s="2" t="s">
        <v>23</v>
      </c>
      <c r="J2095" s="2" t="n">
        <v>29</v>
      </c>
      <c r="K2095" s="2" t="s">
        <v>27</v>
      </c>
      <c r="L2095" s="2" t="n">
        <v>278</v>
      </c>
      <c r="M2095" s="2" t="n">
        <v>1</v>
      </c>
      <c r="N2095" s="2" t="n">
        <v>-1</v>
      </c>
      <c r="O2095" s="2" t="n">
        <v>0</v>
      </c>
      <c r="P2095" s="2" t="s">
        <v>23</v>
      </c>
      <c r="Q2095" s="2" t="s">
        <v>20</v>
      </c>
    </row>
    <row r="2096" customFormat="false" ht="15" hidden="false" customHeight="false" outlineLevel="0" collapsed="false">
      <c r="A2096" s="2" t="n">
        <v>53</v>
      </c>
      <c r="B2096" s="2" t="s">
        <v>38</v>
      </c>
      <c r="C2096" s="2" t="s">
        <v>18</v>
      </c>
      <c r="D2096" s="2" t="s">
        <v>25</v>
      </c>
      <c r="E2096" s="2" t="s">
        <v>20</v>
      </c>
      <c r="F2096" s="2" t="n">
        <v>100</v>
      </c>
      <c r="G2096" s="2" t="s">
        <v>20</v>
      </c>
      <c r="H2096" s="2" t="s">
        <v>20</v>
      </c>
      <c r="I2096" s="2" t="s">
        <v>21</v>
      </c>
      <c r="J2096" s="2" t="n">
        <v>13</v>
      </c>
      <c r="K2096" s="2" t="s">
        <v>41</v>
      </c>
      <c r="L2096" s="2" t="n">
        <v>205</v>
      </c>
      <c r="M2096" s="2" t="n">
        <v>4</v>
      </c>
      <c r="N2096" s="2" t="n">
        <v>-1</v>
      </c>
      <c r="O2096" s="2" t="n">
        <v>0</v>
      </c>
      <c r="P2096" s="2" t="s">
        <v>23</v>
      </c>
      <c r="Q2096" s="2" t="s">
        <v>20</v>
      </c>
    </row>
    <row r="2097" customFormat="false" ht="15" hidden="false" customHeight="false" outlineLevel="0" collapsed="false">
      <c r="A2097" s="2" t="n">
        <v>35</v>
      </c>
      <c r="B2097" s="2" t="s">
        <v>34</v>
      </c>
      <c r="C2097" s="2" t="s">
        <v>18</v>
      </c>
      <c r="D2097" s="2" t="s">
        <v>19</v>
      </c>
      <c r="E2097" s="2" t="s">
        <v>20</v>
      </c>
      <c r="F2097" s="2" t="n">
        <v>319</v>
      </c>
      <c r="G2097" s="2" t="s">
        <v>26</v>
      </c>
      <c r="H2097" s="2" t="s">
        <v>20</v>
      </c>
      <c r="I2097" s="2" t="s">
        <v>21</v>
      </c>
      <c r="J2097" s="2" t="n">
        <v>16</v>
      </c>
      <c r="K2097" s="2" t="s">
        <v>44</v>
      </c>
      <c r="L2097" s="2" t="n">
        <v>221</v>
      </c>
      <c r="M2097" s="2" t="n">
        <v>1</v>
      </c>
      <c r="N2097" s="2" t="n">
        <v>-1</v>
      </c>
      <c r="O2097" s="2" t="n">
        <v>0</v>
      </c>
      <c r="P2097" s="2" t="s">
        <v>23</v>
      </c>
      <c r="Q2097" s="2" t="s">
        <v>20</v>
      </c>
    </row>
    <row r="2098" customFormat="false" ht="15" hidden="false" customHeight="false" outlineLevel="0" collapsed="false">
      <c r="A2098" s="2" t="n">
        <v>58</v>
      </c>
      <c r="B2098" s="2" t="s">
        <v>29</v>
      </c>
      <c r="C2098" s="2" t="s">
        <v>18</v>
      </c>
      <c r="D2098" s="2" t="s">
        <v>31</v>
      </c>
      <c r="E2098" s="2" t="s">
        <v>20</v>
      </c>
      <c r="F2098" s="2" t="n">
        <v>9339</v>
      </c>
      <c r="G2098" s="2" t="s">
        <v>26</v>
      </c>
      <c r="H2098" s="2" t="s">
        <v>20</v>
      </c>
      <c r="I2098" s="2" t="s">
        <v>49</v>
      </c>
      <c r="J2098" s="2" t="n">
        <v>18</v>
      </c>
      <c r="K2098" s="2" t="s">
        <v>46</v>
      </c>
      <c r="L2098" s="2" t="n">
        <v>52</v>
      </c>
      <c r="M2098" s="2" t="n">
        <v>3</v>
      </c>
      <c r="N2098" s="2" t="n">
        <v>172</v>
      </c>
      <c r="O2098" s="2" t="n">
        <v>3</v>
      </c>
      <c r="P2098" s="2" t="s">
        <v>37</v>
      </c>
      <c r="Q2098" s="2" t="s">
        <v>20</v>
      </c>
    </row>
    <row r="2099" customFormat="false" ht="15" hidden="false" customHeight="false" outlineLevel="0" collapsed="false">
      <c r="A2099" s="2" t="n">
        <v>52</v>
      </c>
      <c r="B2099" s="2" t="s">
        <v>29</v>
      </c>
      <c r="C2099" s="2" t="s">
        <v>45</v>
      </c>
      <c r="D2099" s="2" t="s">
        <v>31</v>
      </c>
      <c r="E2099" s="2" t="s">
        <v>20</v>
      </c>
      <c r="F2099" s="2" t="n">
        <v>50</v>
      </c>
      <c r="G2099" s="2" t="s">
        <v>26</v>
      </c>
      <c r="H2099" s="2" t="s">
        <v>20</v>
      </c>
      <c r="I2099" s="2" t="s">
        <v>23</v>
      </c>
      <c r="J2099" s="2" t="n">
        <v>12</v>
      </c>
      <c r="K2099" s="2" t="s">
        <v>33</v>
      </c>
      <c r="L2099" s="2" t="n">
        <v>84</v>
      </c>
      <c r="M2099" s="2" t="n">
        <v>3</v>
      </c>
      <c r="N2099" s="2" t="n">
        <v>-1</v>
      </c>
      <c r="O2099" s="2" t="n">
        <v>0</v>
      </c>
      <c r="P2099" s="2" t="s">
        <v>23</v>
      </c>
      <c r="Q2099" s="2" t="s">
        <v>20</v>
      </c>
    </row>
    <row r="2100" customFormat="false" ht="15" hidden="false" customHeight="false" outlineLevel="0" collapsed="false">
      <c r="A2100" s="2" t="n">
        <v>57</v>
      </c>
      <c r="B2100" s="2" t="s">
        <v>48</v>
      </c>
      <c r="C2100" s="2" t="s">
        <v>18</v>
      </c>
      <c r="D2100" s="2" t="s">
        <v>25</v>
      </c>
      <c r="E2100" s="2" t="s">
        <v>26</v>
      </c>
      <c r="F2100" s="2" t="n">
        <v>32</v>
      </c>
      <c r="G2100" s="2" t="s">
        <v>26</v>
      </c>
      <c r="H2100" s="2" t="s">
        <v>20</v>
      </c>
      <c r="I2100" s="2" t="s">
        <v>21</v>
      </c>
      <c r="J2100" s="2" t="n">
        <v>15</v>
      </c>
      <c r="K2100" s="2" t="s">
        <v>27</v>
      </c>
      <c r="L2100" s="2" t="n">
        <v>476</v>
      </c>
      <c r="M2100" s="2" t="n">
        <v>3</v>
      </c>
      <c r="N2100" s="2" t="n">
        <v>-1</v>
      </c>
      <c r="O2100" s="2" t="n">
        <v>0</v>
      </c>
      <c r="P2100" s="2" t="s">
        <v>23</v>
      </c>
      <c r="Q2100" s="2" t="s">
        <v>20</v>
      </c>
    </row>
    <row r="2101" customFormat="false" ht="15" hidden="false" customHeight="false" outlineLevel="0" collapsed="false">
      <c r="A2101" s="2" t="n">
        <v>52</v>
      </c>
      <c r="B2101" s="2" t="s">
        <v>29</v>
      </c>
      <c r="C2101" s="2" t="s">
        <v>18</v>
      </c>
      <c r="D2101" s="2" t="s">
        <v>31</v>
      </c>
      <c r="E2101" s="2" t="s">
        <v>20</v>
      </c>
      <c r="F2101" s="2" t="n">
        <v>6922</v>
      </c>
      <c r="G2101" s="2" t="s">
        <v>20</v>
      </c>
      <c r="H2101" s="2" t="s">
        <v>20</v>
      </c>
      <c r="I2101" s="2" t="s">
        <v>21</v>
      </c>
      <c r="J2101" s="2" t="n">
        <v>20</v>
      </c>
      <c r="K2101" s="2" t="s">
        <v>46</v>
      </c>
      <c r="L2101" s="2" t="n">
        <v>371</v>
      </c>
      <c r="M2101" s="2" t="n">
        <v>1</v>
      </c>
      <c r="N2101" s="2" t="n">
        <v>-1</v>
      </c>
      <c r="O2101" s="2" t="n">
        <v>0</v>
      </c>
      <c r="P2101" s="2" t="s">
        <v>23</v>
      </c>
      <c r="Q2101" s="2" t="s">
        <v>20</v>
      </c>
    </row>
    <row r="2102" customFormat="false" ht="15" hidden="false" customHeight="false" outlineLevel="0" collapsed="false">
      <c r="A2102" s="2" t="n">
        <v>35</v>
      </c>
      <c r="B2102" s="2" t="s">
        <v>29</v>
      </c>
      <c r="C2102" s="2" t="s">
        <v>30</v>
      </c>
      <c r="D2102" s="2" t="s">
        <v>31</v>
      </c>
      <c r="E2102" s="2" t="s">
        <v>20</v>
      </c>
      <c r="F2102" s="2" t="n">
        <v>633</v>
      </c>
      <c r="G2102" s="2" t="s">
        <v>26</v>
      </c>
      <c r="H2102" s="2" t="s">
        <v>20</v>
      </c>
      <c r="I2102" s="2" t="s">
        <v>21</v>
      </c>
      <c r="J2102" s="2" t="n">
        <v>17</v>
      </c>
      <c r="K2102" s="2" t="s">
        <v>32</v>
      </c>
      <c r="L2102" s="2" t="n">
        <v>128</v>
      </c>
      <c r="M2102" s="2" t="n">
        <v>3</v>
      </c>
      <c r="N2102" s="2" t="n">
        <v>-1</v>
      </c>
      <c r="O2102" s="2" t="n">
        <v>0</v>
      </c>
      <c r="P2102" s="2" t="s">
        <v>23</v>
      </c>
      <c r="Q2102" s="2" t="s">
        <v>20</v>
      </c>
    </row>
    <row r="2103" customFormat="false" ht="15" hidden="false" customHeight="false" outlineLevel="0" collapsed="false">
      <c r="A2103" s="2" t="n">
        <v>48</v>
      </c>
      <c r="B2103" s="2" t="s">
        <v>38</v>
      </c>
      <c r="C2103" s="2" t="s">
        <v>18</v>
      </c>
      <c r="D2103" s="2" t="s">
        <v>25</v>
      </c>
      <c r="E2103" s="2" t="s">
        <v>20</v>
      </c>
      <c r="F2103" s="2" t="n">
        <v>4265</v>
      </c>
      <c r="G2103" s="2" t="s">
        <v>26</v>
      </c>
      <c r="H2103" s="2" t="s">
        <v>20</v>
      </c>
      <c r="I2103" s="2" t="s">
        <v>23</v>
      </c>
      <c r="J2103" s="2" t="n">
        <v>13</v>
      </c>
      <c r="K2103" s="2" t="s">
        <v>27</v>
      </c>
      <c r="L2103" s="2" t="n">
        <v>220</v>
      </c>
      <c r="M2103" s="2" t="n">
        <v>2</v>
      </c>
      <c r="N2103" s="2" t="n">
        <v>-1</v>
      </c>
      <c r="O2103" s="2" t="n">
        <v>0</v>
      </c>
      <c r="P2103" s="2" t="s">
        <v>23</v>
      </c>
      <c r="Q2103" s="2" t="s">
        <v>20</v>
      </c>
    </row>
    <row r="2104" customFormat="false" ht="15" hidden="false" customHeight="false" outlineLevel="0" collapsed="false">
      <c r="A2104" s="2" t="n">
        <v>46</v>
      </c>
      <c r="B2104" s="2" t="s">
        <v>39</v>
      </c>
      <c r="C2104" s="2" t="s">
        <v>18</v>
      </c>
      <c r="D2104" s="2" t="s">
        <v>31</v>
      </c>
      <c r="E2104" s="2" t="s">
        <v>20</v>
      </c>
      <c r="F2104" s="2" t="n">
        <v>2262</v>
      </c>
      <c r="G2104" s="2" t="s">
        <v>20</v>
      </c>
      <c r="H2104" s="2" t="s">
        <v>20</v>
      </c>
      <c r="I2104" s="2" t="s">
        <v>49</v>
      </c>
      <c r="J2104" s="2" t="n">
        <v>14</v>
      </c>
      <c r="K2104" s="2" t="s">
        <v>44</v>
      </c>
      <c r="L2104" s="2" t="n">
        <v>44</v>
      </c>
      <c r="M2104" s="2" t="n">
        <v>14</v>
      </c>
      <c r="N2104" s="2" t="n">
        <v>-1</v>
      </c>
      <c r="O2104" s="2" t="n">
        <v>0</v>
      </c>
      <c r="P2104" s="2" t="s">
        <v>23</v>
      </c>
      <c r="Q2104" s="2" t="s">
        <v>20</v>
      </c>
    </row>
    <row r="2105" customFormat="false" ht="15" hidden="false" customHeight="false" outlineLevel="0" collapsed="false">
      <c r="A2105" s="2" t="n">
        <v>39</v>
      </c>
      <c r="B2105" s="2" t="s">
        <v>24</v>
      </c>
      <c r="C2105" s="2" t="s">
        <v>18</v>
      </c>
      <c r="D2105" s="2" t="s">
        <v>25</v>
      </c>
      <c r="E2105" s="2" t="s">
        <v>20</v>
      </c>
      <c r="F2105" s="2" t="n">
        <v>1970</v>
      </c>
      <c r="G2105" s="2" t="s">
        <v>26</v>
      </c>
      <c r="H2105" s="2" t="s">
        <v>20</v>
      </c>
      <c r="I2105" s="2" t="s">
        <v>23</v>
      </c>
      <c r="J2105" s="2" t="n">
        <v>8</v>
      </c>
      <c r="K2105" s="2" t="s">
        <v>33</v>
      </c>
      <c r="L2105" s="2" t="n">
        <v>30</v>
      </c>
      <c r="M2105" s="2" t="n">
        <v>1</v>
      </c>
      <c r="N2105" s="2" t="n">
        <v>404</v>
      </c>
      <c r="O2105" s="2" t="n">
        <v>2</v>
      </c>
      <c r="P2105" s="2" t="s">
        <v>50</v>
      </c>
      <c r="Q2105" s="2" t="s">
        <v>20</v>
      </c>
    </row>
    <row r="2106" customFormat="false" ht="15" hidden="false" customHeight="false" outlineLevel="0" collapsed="false">
      <c r="A2106" s="2" t="n">
        <v>38</v>
      </c>
      <c r="B2106" s="2" t="s">
        <v>36</v>
      </c>
      <c r="C2106" s="2" t="s">
        <v>45</v>
      </c>
      <c r="D2106" s="2" t="s">
        <v>31</v>
      </c>
      <c r="E2106" s="2" t="s">
        <v>20</v>
      </c>
      <c r="F2106" s="2" t="n">
        <v>1513</v>
      </c>
      <c r="G2106" s="2" t="s">
        <v>20</v>
      </c>
      <c r="H2106" s="2" t="s">
        <v>20</v>
      </c>
      <c r="I2106" s="2" t="s">
        <v>21</v>
      </c>
      <c r="J2106" s="2" t="n">
        <v>7</v>
      </c>
      <c r="K2106" s="2" t="s">
        <v>27</v>
      </c>
      <c r="L2106" s="2" t="n">
        <v>330</v>
      </c>
      <c r="M2106" s="2" t="n">
        <v>1</v>
      </c>
      <c r="N2106" s="2" t="n">
        <v>342</v>
      </c>
      <c r="O2106" s="2" t="n">
        <v>1</v>
      </c>
      <c r="P2106" s="2" t="s">
        <v>28</v>
      </c>
      <c r="Q2106" s="2" t="s">
        <v>20</v>
      </c>
    </row>
    <row r="2107" customFormat="false" ht="15" hidden="false" customHeight="false" outlineLevel="0" collapsed="false">
      <c r="A2107" s="2" t="n">
        <v>34</v>
      </c>
      <c r="B2107" s="2" t="s">
        <v>39</v>
      </c>
      <c r="C2107" s="2" t="s">
        <v>18</v>
      </c>
      <c r="D2107" s="2" t="s">
        <v>25</v>
      </c>
      <c r="E2107" s="2" t="s">
        <v>20</v>
      </c>
      <c r="F2107" s="2" t="n">
        <v>4659</v>
      </c>
      <c r="G2107" s="2" t="s">
        <v>26</v>
      </c>
      <c r="H2107" s="2" t="s">
        <v>20</v>
      </c>
      <c r="I2107" s="2" t="s">
        <v>23</v>
      </c>
      <c r="J2107" s="2" t="n">
        <v>30</v>
      </c>
      <c r="K2107" s="2" t="s">
        <v>41</v>
      </c>
      <c r="L2107" s="2" t="n">
        <v>28</v>
      </c>
      <c r="M2107" s="2" t="n">
        <v>1</v>
      </c>
      <c r="N2107" s="2" t="n">
        <v>-1</v>
      </c>
      <c r="O2107" s="2" t="n">
        <v>0</v>
      </c>
      <c r="P2107" s="2" t="s">
        <v>23</v>
      </c>
      <c r="Q2107" s="2" t="s">
        <v>20</v>
      </c>
    </row>
    <row r="2108" customFormat="false" ht="15" hidden="false" customHeight="false" outlineLevel="0" collapsed="false">
      <c r="A2108" s="2" t="n">
        <v>47</v>
      </c>
      <c r="B2108" s="2" t="s">
        <v>39</v>
      </c>
      <c r="C2108" s="2" t="s">
        <v>18</v>
      </c>
      <c r="D2108" s="2" t="s">
        <v>19</v>
      </c>
      <c r="E2108" s="2" t="s">
        <v>20</v>
      </c>
      <c r="F2108" s="2" t="n">
        <v>668</v>
      </c>
      <c r="G2108" s="2" t="s">
        <v>20</v>
      </c>
      <c r="H2108" s="2" t="s">
        <v>20</v>
      </c>
      <c r="I2108" s="2" t="s">
        <v>21</v>
      </c>
      <c r="J2108" s="2" t="n">
        <v>12</v>
      </c>
      <c r="K2108" s="2" t="s">
        <v>27</v>
      </c>
      <c r="L2108" s="2" t="n">
        <v>908</v>
      </c>
      <c r="M2108" s="2" t="n">
        <v>1</v>
      </c>
      <c r="N2108" s="2" t="n">
        <v>-1</v>
      </c>
      <c r="O2108" s="2" t="n">
        <v>0</v>
      </c>
      <c r="P2108" s="2" t="s">
        <v>23</v>
      </c>
      <c r="Q2108" s="2" t="s">
        <v>20</v>
      </c>
    </row>
    <row r="2109" customFormat="false" ht="15" hidden="false" customHeight="false" outlineLevel="0" collapsed="false">
      <c r="A2109" s="2" t="n">
        <v>35</v>
      </c>
      <c r="B2109" s="2" t="s">
        <v>29</v>
      </c>
      <c r="C2109" s="2" t="s">
        <v>45</v>
      </c>
      <c r="D2109" s="2" t="s">
        <v>31</v>
      </c>
      <c r="E2109" s="2" t="s">
        <v>20</v>
      </c>
      <c r="F2109" s="2" t="n">
        <v>649</v>
      </c>
      <c r="G2109" s="2" t="s">
        <v>20</v>
      </c>
      <c r="H2109" s="2" t="s">
        <v>20</v>
      </c>
      <c r="I2109" s="2" t="s">
        <v>21</v>
      </c>
      <c r="J2109" s="2" t="n">
        <v>16</v>
      </c>
      <c r="K2109" s="2" t="s">
        <v>32</v>
      </c>
      <c r="L2109" s="2" t="n">
        <v>177</v>
      </c>
      <c r="M2109" s="2" t="n">
        <v>1</v>
      </c>
      <c r="N2109" s="2" t="n">
        <v>-1</v>
      </c>
      <c r="O2109" s="2" t="n">
        <v>0</v>
      </c>
      <c r="P2109" s="2" t="s">
        <v>23</v>
      </c>
      <c r="Q2109" s="2" t="s">
        <v>20</v>
      </c>
    </row>
    <row r="2110" customFormat="false" ht="15" hidden="false" customHeight="false" outlineLevel="0" collapsed="false">
      <c r="A2110" s="2" t="n">
        <v>46</v>
      </c>
      <c r="B2110" s="2" t="s">
        <v>34</v>
      </c>
      <c r="C2110" s="2" t="s">
        <v>45</v>
      </c>
      <c r="D2110" s="2" t="s">
        <v>19</v>
      </c>
      <c r="E2110" s="2" t="s">
        <v>20</v>
      </c>
      <c r="F2110" s="2" t="n">
        <v>452</v>
      </c>
      <c r="G2110" s="2" t="s">
        <v>26</v>
      </c>
      <c r="H2110" s="2" t="s">
        <v>20</v>
      </c>
      <c r="I2110" s="2" t="s">
        <v>23</v>
      </c>
      <c r="J2110" s="2" t="n">
        <v>9</v>
      </c>
      <c r="K2110" s="2" t="s">
        <v>27</v>
      </c>
      <c r="L2110" s="2" t="n">
        <v>113</v>
      </c>
      <c r="M2110" s="2" t="n">
        <v>4</v>
      </c>
      <c r="N2110" s="2" t="n">
        <v>-1</v>
      </c>
      <c r="O2110" s="2" t="n">
        <v>0</v>
      </c>
      <c r="P2110" s="2" t="s">
        <v>23</v>
      </c>
      <c r="Q2110" s="2" t="s">
        <v>20</v>
      </c>
    </row>
    <row r="2111" customFormat="false" ht="15" hidden="false" customHeight="false" outlineLevel="0" collapsed="false">
      <c r="A2111" s="2" t="n">
        <v>27</v>
      </c>
      <c r="B2111" s="2" t="s">
        <v>40</v>
      </c>
      <c r="C2111" s="2" t="s">
        <v>30</v>
      </c>
      <c r="D2111" s="2" t="s">
        <v>25</v>
      </c>
      <c r="E2111" s="2" t="s">
        <v>20</v>
      </c>
      <c r="F2111" s="2" t="n">
        <v>-145</v>
      </c>
      <c r="G2111" s="2" t="s">
        <v>26</v>
      </c>
      <c r="H2111" s="2" t="s">
        <v>20</v>
      </c>
      <c r="I2111" s="2" t="s">
        <v>49</v>
      </c>
      <c r="J2111" s="2" t="n">
        <v>15</v>
      </c>
      <c r="K2111" s="2" t="s">
        <v>27</v>
      </c>
      <c r="L2111" s="2" t="n">
        <v>289</v>
      </c>
      <c r="M2111" s="2" t="n">
        <v>8</v>
      </c>
      <c r="N2111" s="2" t="n">
        <v>-1</v>
      </c>
      <c r="O2111" s="2" t="n">
        <v>0</v>
      </c>
      <c r="P2111" s="2" t="s">
        <v>23</v>
      </c>
      <c r="Q2111" s="2" t="s">
        <v>20</v>
      </c>
    </row>
    <row r="2112" customFormat="false" ht="15" hidden="false" customHeight="false" outlineLevel="0" collapsed="false">
      <c r="A2112" s="2" t="n">
        <v>31</v>
      </c>
      <c r="B2112" s="2" t="s">
        <v>34</v>
      </c>
      <c r="C2112" s="2" t="s">
        <v>18</v>
      </c>
      <c r="D2112" s="2" t="s">
        <v>25</v>
      </c>
      <c r="E2112" s="2" t="s">
        <v>20</v>
      </c>
      <c r="F2112" s="2" t="n">
        <v>-498</v>
      </c>
      <c r="G2112" s="2" t="s">
        <v>26</v>
      </c>
      <c r="H2112" s="2" t="s">
        <v>20</v>
      </c>
      <c r="I2112" s="2" t="s">
        <v>21</v>
      </c>
      <c r="J2112" s="2" t="n">
        <v>21</v>
      </c>
      <c r="K2112" s="2" t="s">
        <v>44</v>
      </c>
      <c r="L2112" s="2" t="n">
        <v>357</v>
      </c>
      <c r="M2112" s="2" t="n">
        <v>1</v>
      </c>
      <c r="N2112" s="2" t="n">
        <v>-1</v>
      </c>
      <c r="O2112" s="2" t="n">
        <v>0</v>
      </c>
      <c r="P2112" s="2" t="s">
        <v>23</v>
      </c>
      <c r="Q2112" s="2" t="s">
        <v>20</v>
      </c>
    </row>
    <row r="2113" customFormat="false" ht="15" hidden="false" customHeight="false" outlineLevel="0" collapsed="false">
      <c r="A2113" s="2" t="n">
        <v>31</v>
      </c>
      <c r="B2113" s="2" t="s">
        <v>29</v>
      </c>
      <c r="C2113" s="2" t="s">
        <v>30</v>
      </c>
      <c r="D2113" s="2" t="s">
        <v>31</v>
      </c>
      <c r="E2113" s="2" t="s">
        <v>20</v>
      </c>
      <c r="F2113" s="2" t="n">
        <v>0</v>
      </c>
      <c r="G2113" s="2" t="s">
        <v>20</v>
      </c>
      <c r="H2113" s="2" t="s">
        <v>20</v>
      </c>
      <c r="I2113" s="2" t="s">
        <v>21</v>
      </c>
      <c r="J2113" s="2" t="n">
        <v>28</v>
      </c>
      <c r="K2113" s="2" t="s">
        <v>41</v>
      </c>
      <c r="L2113" s="2" t="n">
        <v>38</v>
      </c>
      <c r="M2113" s="2" t="n">
        <v>16</v>
      </c>
      <c r="N2113" s="2" t="n">
        <v>-1</v>
      </c>
      <c r="O2113" s="2" t="n">
        <v>0</v>
      </c>
      <c r="P2113" s="2" t="s">
        <v>23</v>
      </c>
      <c r="Q2113" s="2" t="s">
        <v>20</v>
      </c>
    </row>
    <row r="2114" customFormat="false" ht="15" hidden="false" customHeight="false" outlineLevel="0" collapsed="false">
      <c r="A2114" s="2" t="n">
        <v>46</v>
      </c>
      <c r="B2114" s="2" t="s">
        <v>40</v>
      </c>
      <c r="C2114" s="2" t="s">
        <v>18</v>
      </c>
      <c r="D2114" s="2" t="s">
        <v>25</v>
      </c>
      <c r="E2114" s="2" t="s">
        <v>20</v>
      </c>
      <c r="F2114" s="2" t="n">
        <v>22</v>
      </c>
      <c r="G2114" s="2" t="s">
        <v>26</v>
      </c>
      <c r="H2114" s="2" t="s">
        <v>20</v>
      </c>
      <c r="I2114" s="2" t="s">
        <v>21</v>
      </c>
      <c r="J2114" s="2" t="n">
        <v>7</v>
      </c>
      <c r="K2114" s="2" t="s">
        <v>41</v>
      </c>
      <c r="L2114" s="2" t="n">
        <v>414</v>
      </c>
      <c r="M2114" s="2" t="n">
        <v>4</v>
      </c>
      <c r="N2114" s="2" t="n">
        <v>-1</v>
      </c>
      <c r="O2114" s="2" t="n">
        <v>0</v>
      </c>
      <c r="P2114" s="2" t="s">
        <v>23</v>
      </c>
      <c r="Q2114" s="2" t="s">
        <v>20</v>
      </c>
    </row>
    <row r="2115" customFormat="false" ht="15" hidden="false" customHeight="false" outlineLevel="0" collapsed="false">
      <c r="A2115" s="2" t="n">
        <v>31</v>
      </c>
      <c r="B2115" s="2" t="s">
        <v>40</v>
      </c>
      <c r="C2115" s="2" t="s">
        <v>18</v>
      </c>
      <c r="D2115" s="2" t="s">
        <v>25</v>
      </c>
      <c r="E2115" s="2" t="s">
        <v>20</v>
      </c>
      <c r="F2115" s="2" t="n">
        <v>2304</v>
      </c>
      <c r="G2115" s="2" t="s">
        <v>26</v>
      </c>
      <c r="H2115" s="2" t="s">
        <v>20</v>
      </c>
      <c r="I2115" s="2" t="s">
        <v>21</v>
      </c>
      <c r="J2115" s="2" t="n">
        <v>20</v>
      </c>
      <c r="K2115" s="2" t="s">
        <v>46</v>
      </c>
      <c r="L2115" s="2" t="n">
        <v>257</v>
      </c>
      <c r="M2115" s="2" t="n">
        <v>2</v>
      </c>
      <c r="N2115" s="2" t="n">
        <v>-1</v>
      </c>
      <c r="O2115" s="2" t="n">
        <v>0</v>
      </c>
      <c r="P2115" s="2" t="s">
        <v>23</v>
      </c>
      <c r="Q2115" s="2" t="s">
        <v>20</v>
      </c>
    </row>
    <row r="2116" customFormat="false" ht="15" hidden="false" customHeight="false" outlineLevel="0" collapsed="false">
      <c r="A2116" s="2" t="n">
        <v>33</v>
      </c>
      <c r="B2116" s="2" t="s">
        <v>29</v>
      </c>
      <c r="C2116" s="2" t="s">
        <v>18</v>
      </c>
      <c r="D2116" s="2" t="s">
        <v>31</v>
      </c>
      <c r="E2116" s="2" t="s">
        <v>20</v>
      </c>
      <c r="F2116" s="2" t="n">
        <v>1412</v>
      </c>
      <c r="G2116" s="2" t="s">
        <v>26</v>
      </c>
      <c r="H2116" s="2" t="s">
        <v>20</v>
      </c>
      <c r="I2116" s="2" t="s">
        <v>23</v>
      </c>
      <c r="J2116" s="2" t="n">
        <v>19</v>
      </c>
      <c r="K2116" s="2" t="s">
        <v>41</v>
      </c>
      <c r="L2116" s="2" t="n">
        <v>480</v>
      </c>
      <c r="M2116" s="2" t="n">
        <v>1</v>
      </c>
      <c r="N2116" s="2" t="n">
        <v>-1</v>
      </c>
      <c r="O2116" s="2" t="n">
        <v>0</v>
      </c>
      <c r="P2116" s="2" t="s">
        <v>23</v>
      </c>
      <c r="Q2116" s="2" t="s">
        <v>26</v>
      </c>
    </row>
    <row r="2117" customFormat="false" ht="15" hidden="false" customHeight="false" outlineLevel="0" collapsed="false">
      <c r="A2117" s="2" t="n">
        <v>42</v>
      </c>
      <c r="B2117" s="2" t="s">
        <v>47</v>
      </c>
      <c r="C2117" s="2" t="s">
        <v>18</v>
      </c>
      <c r="D2117" s="2" t="s">
        <v>19</v>
      </c>
      <c r="E2117" s="2" t="s">
        <v>20</v>
      </c>
      <c r="F2117" s="2" t="n">
        <v>145</v>
      </c>
      <c r="G2117" s="2" t="s">
        <v>20</v>
      </c>
      <c r="H2117" s="2" t="s">
        <v>20</v>
      </c>
      <c r="I2117" s="2" t="s">
        <v>21</v>
      </c>
      <c r="J2117" s="2" t="n">
        <v>20</v>
      </c>
      <c r="K2117" s="2" t="s">
        <v>41</v>
      </c>
      <c r="L2117" s="2" t="n">
        <v>252</v>
      </c>
      <c r="M2117" s="2" t="n">
        <v>2</v>
      </c>
      <c r="N2117" s="2" t="n">
        <v>-1</v>
      </c>
      <c r="O2117" s="2" t="n">
        <v>0</v>
      </c>
      <c r="P2117" s="2" t="s">
        <v>23</v>
      </c>
      <c r="Q2117" s="2" t="s">
        <v>20</v>
      </c>
    </row>
    <row r="2118" customFormat="false" ht="15" hidden="false" customHeight="false" outlineLevel="0" collapsed="false">
      <c r="A2118" s="2" t="n">
        <v>33</v>
      </c>
      <c r="B2118" s="2" t="s">
        <v>29</v>
      </c>
      <c r="C2118" s="2" t="s">
        <v>30</v>
      </c>
      <c r="D2118" s="2" t="s">
        <v>19</v>
      </c>
      <c r="E2118" s="2" t="s">
        <v>20</v>
      </c>
      <c r="F2118" s="2" t="n">
        <v>4897</v>
      </c>
      <c r="G2118" s="2" t="s">
        <v>26</v>
      </c>
      <c r="H2118" s="2" t="s">
        <v>20</v>
      </c>
      <c r="I2118" s="2" t="s">
        <v>23</v>
      </c>
      <c r="J2118" s="2" t="n">
        <v>20</v>
      </c>
      <c r="K2118" s="2" t="s">
        <v>27</v>
      </c>
      <c r="L2118" s="2" t="n">
        <v>151</v>
      </c>
      <c r="M2118" s="2" t="n">
        <v>1</v>
      </c>
      <c r="N2118" s="2" t="n">
        <v>-1</v>
      </c>
      <c r="O2118" s="2" t="n">
        <v>0</v>
      </c>
      <c r="P2118" s="2" t="s">
        <v>23</v>
      </c>
      <c r="Q2118" s="2" t="s">
        <v>20</v>
      </c>
    </row>
    <row r="2119" customFormat="false" ht="15" hidden="false" customHeight="false" outlineLevel="0" collapsed="false">
      <c r="A2119" s="2" t="n">
        <v>40</v>
      </c>
      <c r="B2119" s="2" t="s">
        <v>47</v>
      </c>
      <c r="C2119" s="2" t="s">
        <v>18</v>
      </c>
      <c r="D2119" s="2" t="s">
        <v>19</v>
      </c>
      <c r="E2119" s="2" t="s">
        <v>20</v>
      </c>
      <c r="F2119" s="2" t="n">
        <v>1832</v>
      </c>
      <c r="G2119" s="2" t="s">
        <v>20</v>
      </c>
      <c r="H2119" s="2" t="s">
        <v>20</v>
      </c>
      <c r="I2119" s="2" t="s">
        <v>21</v>
      </c>
      <c r="J2119" s="2" t="n">
        <v>6</v>
      </c>
      <c r="K2119" s="2" t="s">
        <v>35</v>
      </c>
      <c r="L2119" s="2" t="n">
        <v>213</v>
      </c>
      <c r="M2119" s="2" t="n">
        <v>4</v>
      </c>
      <c r="N2119" s="2" t="n">
        <v>-1</v>
      </c>
      <c r="O2119" s="2" t="n">
        <v>0</v>
      </c>
      <c r="P2119" s="2" t="s">
        <v>23</v>
      </c>
      <c r="Q2119" s="2" t="s">
        <v>20</v>
      </c>
    </row>
    <row r="2120" customFormat="false" ht="15" hidden="false" customHeight="false" outlineLevel="0" collapsed="false">
      <c r="A2120" s="2" t="n">
        <v>51</v>
      </c>
      <c r="B2120" s="2" t="s">
        <v>34</v>
      </c>
      <c r="C2120" s="2" t="s">
        <v>18</v>
      </c>
      <c r="D2120" s="2" t="s">
        <v>19</v>
      </c>
      <c r="E2120" s="2" t="s">
        <v>20</v>
      </c>
      <c r="F2120" s="2" t="n">
        <v>3726</v>
      </c>
      <c r="G2120" s="2" t="s">
        <v>20</v>
      </c>
      <c r="H2120" s="2" t="s">
        <v>26</v>
      </c>
      <c r="I2120" s="2" t="s">
        <v>21</v>
      </c>
      <c r="J2120" s="2" t="n">
        <v>27</v>
      </c>
      <c r="K2120" s="2" t="s">
        <v>41</v>
      </c>
      <c r="L2120" s="2" t="n">
        <v>119</v>
      </c>
      <c r="M2120" s="2" t="n">
        <v>12</v>
      </c>
      <c r="N2120" s="2" t="n">
        <v>-1</v>
      </c>
      <c r="O2120" s="2" t="n">
        <v>0</v>
      </c>
      <c r="P2120" s="2" t="s">
        <v>23</v>
      </c>
      <c r="Q2120" s="2" t="s">
        <v>20</v>
      </c>
    </row>
    <row r="2121" customFormat="false" ht="15" hidden="false" customHeight="false" outlineLevel="0" collapsed="false">
      <c r="A2121" s="2" t="n">
        <v>31</v>
      </c>
      <c r="B2121" s="2" t="s">
        <v>17</v>
      </c>
      <c r="C2121" s="2" t="s">
        <v>18</v>
      </c>
      <c r="D2121" s="2" t="s">
        <v>31</v>
      </c>
      <c r="E2121" s="2" t="s">
        <v>20</v>
      </c>
      <c r="F2121" s="2" t="n">
        <v>591</v>
      </c>
      <c r="G2121" s="2" t="s">
        <v>20</v>
      </c>
      <c r="H2121" s="2" t="s">
        <v>20</v>
      </c>
      <c r="I2121" s="2" t="s">
        <v>21</v>
      </c>
      <c r="J2121" s="2" t="n">
        <v>21</v>
      </c>
      <c r="K2121" s="2" t="s">
        <v>46</v>
      </c>
      <c r="L2121" s="2" t="n">
        <v>161</v>
      </c>
      <c r="M2121" s="2" t="n">
        <v>2</v>
      </c>
      <c r="N2121" s="2" t="n">
        <v>-1</v>
      </c>
      <c r="O2121" s="2" t="n">
        <v>0</v>
      </c>
      <c r="P2121" s="2" t="s">
        <v>23</v>
      </c>
      <c r="Q2121" s="2" t="s">
        <v>20</v>
      </c>
    </row>
    <row r="2122" customFormat="false" ht="15" hidden="false" customHeight="false" outlineLevel="0" collapsed="false">
      <c r="A2122" s="2" t="n">
        <v>62</v>
      </c>
      <c r="B2122" s="2" t="s">
        <v>48</v>
      </c>
      <c r="C2122" s="2" t="s">
        <v>45</v>
      </c>
      <c r="D2122" s="2" t="s">
        <v>31</v>
      </c>
      <c r="E2122" s="2" t="s">
        <v>20</v>
      </c>
      <c r="F2122" s="2" t="n">
        <v>0</v>
      </c>
      <c r="G2122" s="2" t="s">
        <v>20</v>
      </c>
      <c r="H2122" s="2" t="s">
        <v>20</v>
      </c>
      <c r="I2122" s="2" t="s">
        <v>21</v>
      </c>
      <c r="J2122" s="2" t="n">
        <v>13</v>
      </c>
      <c r="K2122" s="2" t="s">
        <v>46</v>
      </c>
      <c r="L2122" s="2" t="n">
        <v>227</v>
      </c>
      <c r="M2122" s="2" t="n">
        <v>2</v>
      </c>
      <c r="N2122" s="2" t="n">
        <v>-1</v>
      </c>
      <c r="O2122" s="2" t="n">
        <v>0</v>
      </c>
      <c r="P2122" s="2" t="s">
        <v>23</v>
      </c>
      <c r="Q2122" s="2" t="s">
        <v>26</v>
      </c>
    </row>
    <row r="2123" customFormat="false" ht="15" hidden="false" customHeight="false" outlineLevel="0" collapsed="false">
      <c r="A2123" s="2" t="n">
        <v>24</v>
      </c>
      <c r="B2123" s="2" t="s">
        <v>42</v>
      </c>
      <c r="C2123" s="2" t="s">
        <v>30</v>
      </c>
      <c r="D2123" s="2" t="s">
        <v>25</v>
      </c>
      <c r="E2123" s="2" t="s">
        <v>20</v>
      </c>
      <c r="F2123" s="2" t="n">
        <v>508</v>
      </c>
      <c r="G2123" s="2" t="s">
        <v>26</v>
      </c>
      <c r="H2123" s="2" t="s">
        <v>20</v>
      </c>
      <c r="I2123" s="2" t="s">
        <v>49</v>
      </c>
      <c r="J2123" s="2" t="n">
        <v>18</v>
      </c>
      <c r="K2123" s="2" t="s">
        <v>27</v>
      </c>
      <c r="L2123" s="2" t="n">
        <v>12</v>
      </c>
      <c r="M2123" s="2" t="n">
        <v>3</v>
      </c>
      <c r="N2123" s="2" t="n">
        <v>374</v>
      </c>
      <c r="O2123" s="2" t="n">
        <v>1</v>
      </c>
      <c r="P2123" s="2" t="s">
        <v>37</v>
      </c>
      <c r="Q2123" s="2" t="s">
        <v>20</v>
      </c>
    </row>
    <row r="2124" customFormat="false" ht="15" hidden="false" customHeight="false" outlineLevel="0" collapsed="false">
      <c r="A2124" s="2" t="n">
        <v>48</v>
      </c>
      <c r="B2124" s="2" t="s">
        <v>17</v>
      </c>
      <c r="C2124" s="2" t="s">
        <v>18</v>
      </c>
      <c r="D2124" s="2" t="s">
        <v>25</v>
      </c>
      <c r="E2124" s="2" t="s">
        <v>20</v>
      </c>
      <c r="F2124" s="2" t="n">
        <v>817</v>
      </c>
      <c r="G2124" s="2" t="s">
        <v>20</v>
      </c>
      <c r="H2124" s="2" t="s">
        <v>20</v>
      </c>
      <c r="I2124" s="2" t="s">
        <v>21</v>
      </c>
      <c r="J2124" s="2" t="n">
        <v>14</v>
      </c>
      <c r="K2124" s="2" t="s">
        <v>43</v>
      </c>
      <c r="L2124" s="2" t="n">
        <v>517</v>
      </c>
      <c r="M2124" s="2" t="n">
        <v>1</v>
      </c>
      <c r="N2124" s="2" t="n">
        <v>282</v>
      </c>
      <c r="O2124" s="2" t="n">
        <v>4</v>
      </c>
      <c r="P2124" s="2" t="s">
        <v>50</v>
      </c>
      <c r="Q2124" s="2" t="s">
        <v>26</v>
      </c>
    </row>
    <row r="2125" customFormat="false" ht="15" hidden="false" customHeight="false" outlineLevel="0" collapsed="false">
      <c r="A2125" s="2" t="n">
        <v>41</v>
      </c>
      <c r="B2125" s="2" t="s">
        <v>38</v>
      </c>
      <c r="C2125" s="2" t="s">
        <v>45</v>
      </c>
      <c r="D2125" s="2" t="s">
        <v>25</v>
      </c>
      <c r="E2125" s="2" t="s">
        <v>20</v>
      </c>
      <c r="F2125" s="2" t="n">
        <v>348</v>
      </c>
      <c r="G2125" s="2" t="s">
        <v>26</v>
      </c>
      <c r="H2125" s="2" t="s">
        <v>20</v>
      </c>
      <c r="I2125" s="2" t="s">
        <v>21</v>
      </c>
      <c r="J2125" s="2" t="n">
        <v>7</v>
      </c>
      <c r="K2125" s="2" t="s">
        <v>27</v>
      </c>
      <c r="L2125" s="2" t="n">
        <v>225</v>
      </c>
      <c r="M2125" s="2" t="n">
        <v>2</v>
      </c>
      <c r="N2125" s="2" t="n">
        <v>275</v>
      </c>
      <c r="O2125" s="2" t="n">
        <v>2</v>
      </c>
      <c r="P2125" s="2" t="s">
        <v>28</v>
      </c>
      <c r="Q2125" s="2" t="s">
        <v>20</v>
      </c>
    </row>
    <row r="2126" customFormat="false" ht="15" hidden="false" customHeight="false" outlineLevel="0" collapsed="false">
      <c r="A2126" s="2" t="n">
        <v>43</v>
      </c>
      <c r="B2126" s="2" t="s">
        <v>29</v>
      </c>
      <c r="C2126" s="2" t="s">
        <v>18</v>
      </c>
      <c r="D2126" s="2" t="s">
        <v>31</v>
      </c>
      <c r="E2126" s="2" t="s">
        <v>20</v>
      </c>
      <c r="F2126" s="2" t="n">
        <v>291</v>
      </c>
      <c r="G2126" s="2" t="s">
        <v>26</v>
      </c>
      <c r="H2126" s="2" t="s">
        <v>20</v>
      </c>
      <c r="I2126" s="2" t="s">
        <v>23</v>
      </c>
      <c r="J2126" s="2" t="n">
        <v>9</v>
      </c>
      <c r="K2126" s="2" t="s">
        <v>27</v>
      </c>
      <c r="L2126" s="2" t="n">
        <v>150</v>
      </c>
      <c r="M2126" s="2" t="n">
        <v>2</v>
      </c>
      <c r="N2126" s="2" t="n">
        <v>-1</v>
      </c>
      <c r="O2126" s="2" t="n">
        <v>0</v>
      </c>
      <c r="P2126" s="2" t="s">
        <v>23</v>
      </c>
      <c r="Q2126" s="2" t="s">
        <v>20</v>
      </c>
    </row>
    <row r="2127" customFormat="false" ht="15" hidden="false" customHeight="false" outlineLevel="0" collapsed="false">
      <c r="A2127" s="2" t="n">
        <v>52</v>
      </c>
      <c r="B2127" s="2" t="s">
        <v>38</v>
      </c>
      <c r="C2127" s="2" t="s">
        <v>18</v>
      </c>
      <c r="D2127" s="2" t="s">
        <v>25</v>
      </c>
      <c r="E2127" s="2" t="s">
        <v>20</v>
      </c>
      <c r="F2127" s="2" t="n">
        <v>3554</v>
      </c>
      <c r="G2127" s="2" t="s">
        <v>20</v>
      </c>
      <c r="H2127" s="2" t="s">
        <v>26</v>
      </c>
      <c r="I2127" s="2" t="s">
        <v>21</v>
      </c>
      <c r="J2127" s="2" t="n">
        <v>8</v>
      </c>
      <c r="K2127" s="2" t="s">
        <v>44</v>
      </c>
      <c r="L2127" s="2" t="n">
        <v>89</v>
      </c>
      <c r="M2127" s="2" t="n">
        <v>1</v>
      </c>
      <c r="N2127" s="2" t="n">
        <v>-1</v>
      </c>
      <c r="O2127" s="2" t="n">
        <v>0</v>
      </c>
      <c r="P2127" s="2" t="s">
        <v>23</v>
      </c>
      <c r="Q2127" s="2" t="s">
        <v>20</v>
      </c>
    </row>
    <row r="2128" customFormat="false" ht="15" hidden="false" customHeight="false" outlineLevel="0" collapsed="false">
      <c r="A2128" s="2" t="n">
        <v>54</v>
      </c>
      <c r="B2128" s="2" t="s">
        <v>34</v>
      </c>
      <c r="C2128" s="2" t="s">
        <v>18</v>
      </c>
      <c r="D2128" s="2" t="s">
        <v>19</v>
      </c>
      <c r="E2128" s="2" t="s">
        <v>20</v>
      </c>
      <c r="F2128" s="2" t="n">
        <v>781</v>
      </c>
      <c r="G2128" s="2" t="s">
        <v>26</v>
      </c>
      <c r="H2128" s="2" t="s">
        <v>20</v>
      </c>
      <c r="I2128" s="2" t="s">
        <v>23</v>
      </c>
      <c r="J2128" s="2" t="n">
        <v>9</v>
      </c>
      <c r="K2128" s="2" t="s">
        <v>27</v>
      </c>
      <c r="L2128" s="2" t="n">
        <v>103</v>
      </c>
      <c r="M2128" s="2" t="n">
        <v>2</v>
      </c>
      <c r="N2128" s="2" t="n">
        <v>-1</v>
      </c>
      <c r="O2128" s="2" t="n">
        <v>0</v>
      </c>
      <c r="P2128" s="2" t="s">
        <v>23</v>
      </c>
      <c r="Q2128" s="2" t="s">
        <v>20</v>
      </c>
    </row>
    <row r="2129" customFormat="false" ht="15" hidden="false" customHeight="false" outlineLevel="0" collapsed="false">
      <c r="A2129" s="2" t="n">
        <v>32</v>
      </c>
      <c r="B2129" s="2" t="s">
        <v>38</v>
      </c>
      <c r="C2129" s="2" t="s">
        <v>45</v>
      </c>
      <c r="D2129" s="2" t="s">
        <v>31</v>
      </c>
      <c r="E2129" s="2" t="s">
        <v>20</v>
      </c>
      <c r="F2129" s="2" t="n">
        <v>267</v>
      </c>
      <c r="G2129" s="2" t="s">
        <v>20</v>
      </c>
      <c r="H2129" s="2" t="s">
        <v>20</v>
      </c>
      <c r="I2129" s="2" t="s">
        <v>21</v>
      </c>
      <c r="J2129" s="2" t="n">
        <v>26</v>
      </c>
      <c r="K2129" s="2" t="s">
        <v>27</v>
      </c>
      <c r="L2129" s="2" t="n">
        <v>128</v>
      </c>
      <c r="M2129" s="2" t="n">
        <v>1</v>
      </c>
      <c r="N2129" s="2" t="n">
        <v>-1</v>
      </c>
      <c r="O2129" s="2" t="n">
        <v>0</v>
      </c>
      <c r="P2129" s="2" t="s">
        <v>23</v>
      </c>
      <c r="Q2129" s="2" t="s">
        <v>20</v>
      </c>
    </row>
    <row r="2130" customFormat="false" ht="15" hidden="false" customHeight="false" outlineLevel="0" collapsed="false">
      <c r="A2130" s="2" t="n">
        <v>38</v>
      </c>
      <c r="B2130" s="2" t="s">
        <v>34</v>
      </c>
      <c r="C2130" s="2" t="s">
        <v>18</v>
      </c>
      <c r="D2130" s="2" t="s">
        <v>19</v>
      </c>
      <c r="E2130" s="2" t="s">
        <v>20</v>
      </c>
      <c r="F2130" s="2" t="n">
        <v>1327</v>
      </c>
      <c r="G2130" s="2" t="s">
        <v>26</v>
      </c>
      <c r="H2130" s="2" t="s">
        <v>20</v>
      </c>
      <c r="I2130" s="2" t="s">
        <v>21</v>
      </c>
      <c r="J2130" s="2" t="n">
        <v>20</v>
      </c>
      <c r="K2130" s="2" t="s">
        <v>46</v>
      </c>
      <c r="L2130" s="2" t="n">
        <v>277</v>
      </c>
      <c r="M2130" s="2" t="n">
        <v>1</v>
      </c>
      <c r="N2130" s="2" t="n">
        <v>-1</v>
      </c>
      <c r="O2130" s="2" t="n">
        <v>0</v>
      </c>
      <c r="P2130" s="2" t="s">
        <v>23</v>
      </c>
      <c r="Q2130" s="2" t="s">
        <v>20</v>
      </c>
    </row>
    <row r="2131" customFormat="false" ht="15" hidden="false" customHeight="false" outlineLevel="0" collapsed="false">
      <c r="A2131" s="2" t="n">
        <v>41</v>
      </c>
      <c r="B2131" s="2" t="s">
        <v>40</v>
      </c>
      <c r="C2131" s="2" t="s">
        <v>18</v>
      </c>
      <c r="D2131" s="2" t="s">
        <v>19</v>
      </c>
      <c r="E2131" s="2" t="s">
        <v>20</v>
      </c>
      <c r="F2131" s="2" t="n">
        <v>-306</v>
      </c>
      <c r="G2131" s="2" t="s">
        <v>26</v>
      </c>
      <c r="H2131" s="2" t="s">
        <v>20</v>
      </c>
      <c r="I2131" s="2" t="s">
        <v>23</v>
      </c>
      <c r="J2131" s="2" t="n">
        <v>15</v>
      </c>
      <c r="K2131" s="2" t="s">
        <v>27</v>
      </c>
      <c r="L2131" s="2" t="n">
        <v>500</v>
      </c>
      <c r="M2131" s="2" t="n">
        <v>1</v>
      </c>
      <c r="N2131" s="2" t="n">
        <v>-1</v>
      </c>
      <c r="O2131" s="2" t="n">
        <v>0</v>
      </c>
      <c r="P2131" s="2" t="s">
        <v>23</v>
      </c>
      <c r="Q2131" s="2" t="s">
        <v>26</v>
      </c>
    </row>
    <row r="2132" customFormat="false" ht="15" hidden="false" customHeight="false" outlineLevel="0" collapsed="false">
      <c r="A2132" s="2" t="n">
        <v>31</v>
      </c>
      <c r="B2132" s="2" t="s">
        <v>34</v>
      </c>
      <c r="C2132" s="2" t="s">
        <v>30</v>
      </c>
      <c r="D2132" s="2" t="s">
        <v>19</v>
      </c>
      <c r="E2132" s="2" t="s">
        <v>20</v>
      </c>
      <c r="F2132" s="2" t="n">
        <v>864</v>
      </c>
      <c r="G2132" s="2" t="s">
        <v>26</v>
      </c>
      <c r="H2132" s="2" t="s">
        <v>20</v>
      </c>
      <c r="I2132" s="2" t="s">
        <v>49</v>
      </c>
      <c r="J2132" s="2" t="n">
        <v>14</v>
      </c>
      <c r="K2132" s="2" t="s">
        <v>27</v>
      </c>
      <c r="L2132" s="2" t="n">
        <v>113</v>
      </c>
      <c r="M2132" s="2" t="n">
        <v>2</v>
      </c>
      <c r="N2132" s="2" t="n">
        <v>-1</v>
      </c>
      <c r="O2132" s="2" t="n">
        <v>0</v>
      </c>
      <c r="P2132" s="2" t="s">
        <v>23</v>
      </c>
      <c r="Q2132" s="2" t="s">
        <v>20</v>
      </c>
    </row>
    <row r="2133" customFormat="false" ht="15" hidden="false" customHeight="false" outlineLevel="0" collapsed="false">
      <c r="A2133" s="2" t="n">
        <v>35</v>
      </c>
      <c r="B2133" s="2" t="s">
        <v>47</v>
      </c>
      <c r="C2133" s="2" t="s">
        <v>18</v>
      </c>
      <c r="D2133" s="2" t="s">
        <v>31</v>
      </c>
      <c r="E2133" s="2" t="s">
        <v>20</v>
      </c>
      <c r="F2133" s="2" t="n">
        <v>1265</v>
      </c>
      <c r="G2133" s="2" t="s">
        <v>26</v>
      </c>
      <c r="H2133" s="2" t="s">
        <v>20</v>
      </c>
      <c r="I2133" s="2" t="s">
        <v>21</v>
      </c>
      <c r="J2133" s="2" t="n">
        <v>15</v>
      </c>
      <c r="K2133" s="2" t="s">
        <v>27</v>
      </c>
      <c r="L2133" s="2" t="n">
        <v>326</v>
      </c>
      <c r="M2133" s="2" t="n">
        <v>5</v>
      </c>
      <c r="N2133" s="2" t="n">
        <v>179</v>
      </c>
      <c r="O2133" s="2" t="n">
        <v>4</v>
      </c>
      <c r="P2133" s="2" t="s">
        <v>28</v>
      </c>
      <c r="Q2133" s="2" t="s">
        <v>26</v>
      </c>
    </row>
    <row r="2134" customFormat="false" ht="15" hidden="false" customHeight="false" outlineLevel="0" collapsed="false">
      <c r="A2134" s="2" t="n">
        <v>26</v>
      </c>
      <c r="B2134" s="2" t="s">
        <v>40</v>
      </c>
      <c r="C2134" s="2" t="s">
        <v>18</v>
      </c>
      <c r="D2134" s="2" t="s">
        <v>25</v>
      </c>
      <c r="E2134" s="2" t="s">
        <v>20</v>
      </c>
      <c r="F2134" s="2" t="n">
        <v>0</v>
      </c>
      <c r="G2134" s="2" t="s">
        <v>20</v>
      </c>
      <c r="H2134" s="2" t="s">
        <v>20</v>
      </c>
      <c r="I2134" s="2" t="s">
        <v>23</v>
      </c>
      <c r="J2134" s="2" t="n">
        <v>27</v>
      </c>
      <c r="K2134" s="2" t="s">
        <v>27</v>
      </c>
      <c r="L2134" s="2" t="n">
        <v>755</v>
      </c>
      <c r="M2134" s="2" t="n">
        <v>1</v>
      </c>
      <c r="N2134" s="2" t="n">
        <v>-1</v>
      </c>
      <c r="O2134" s="2" t="n">
        <v>0</v>
      </c>
      <c r="P2134" s="2" t="s">
        <v>23</v>
      </c>
      <c r="Q2134" s="2" t="s">
        <v>20</v>
      </c>
    </row>
    <row r="2135" customFormat="false" ht="15" hidden="false" customHeight="false" outlineLevel="0" collapsed="false">
      <c r="A2135" s="2" t="n">
        <v>52</v>
      </c>
      <c r="B2135" s="2" t="s">
        <v>38</v>
      </c>
      <c r="C2135" s="2" t="s">
        <v>18</v>
      </c>
      <c r="D2135" s="2" t="s">
        <v>31</v>
      </c>
      <c r="E2135" s="2" t="s">
        <v>20</v>
      </c>
      <c r="F2135" s="2" t="n">
        <v>214</v>
      </c>
      <c r="G2135" s="2" t="s">
        <v>20</v>
      </c>
      <c r="H2135" s="2" t="s">
        <v>20</v>
      </c>
      <c r="I2135" s="2" t="s">
        <v>21</v>
      </c>
      <c r="J2135" s="2" t="n">
        <v>29</v>
      </c>
      <c r="K2135" s="2" t="s">
        <v>41</v>
      </c>
      <c r="L2135" s="2" t="n">
        <v>161</v>
      </c>
      <c r="M2135" s="2" t="n">
        <v>3</v>
      </c>
      <c r="N2135" s="2" t="n">
        <v>-1</v>
      </c>
      <c r="O2135" s="2" t="n">
        <v>0</v>
      </c>
      <c r="P2135" s="2" t="s">
        <v>23</v>
      </c>
      <c r="Q2135" s="2" t="s">
        <v>20</v>
      </c>
    </row>
    <row r="2136" customFormat="false" ht="15" hidden="false" customHeight="false" outlineLevel="0" collapsed="false">
      <c r="A2136" s="2" t="n">
        <v>58</v>
      </c>
      <c r="B2136" s="2" t="s">
        <v>48</v>
      </c>
      <c r="C2136" s="2" t="s">
        <v>18</v>
      </c>
      <c r="D2136" s="2" t="s">
        <v>25</v>
      </c>
      <c r="E2136" s="2" t="s">
        <v>20</v>
      </c>
      <c r="F2136" s="2" t="n">
        <v>425</v>
      </c>
      <c r="G2136" s="2" t="s">
        <v>26</v>
      </c>
      <c r="H2136" s="2" t="s">
        <v>26</v>
      </c>
      <c r="I2136" s="2" t="s">
        <v>21</v>
      </c>
      <c r="J2136" s="2" t="n">
        <v>17</v>
      </c>
      <c r="K2136" s="2" t="s">
        <v>46</v>
      </c>
      <c r="L2136" s="2" t="n">
        <v>100</v>
      </c>
      <c r="M2136" s="2" t="n">
        <v>1</v>
      </c>
      <c r="N2136" s="2" t="n">
        <v>-1</v>
      </c>
      <c r="O2136" s="2" t="n">
        <v>0</v>
      </c>
      <c r="P2136" s="2" t="s">
        <v>23</v>
      </c>
      <c r="Q2136" s="2" t="s">
        <v>20</v>
      </c>
    </row>
    <row r="2137" customFormat="false" ht="15" hidden="false" customHeight="false" outlineLevel="0" collapsed="false">
      <c r="A2137" s="2" t="n">
        <v>57</v>
      </c>
      <c r="B2137" s="2" t="s">
        <v>47</v>
      </c>
      <c r="C2137" s="2" t="s">
        <v>18</v>
      </c>
      <c r="D2137" s="2" t="s">
        <v>31</v>
      </c>
      <c r="E2137" s="2" t="s">
        <v>20</v>
      </c>
      <c r="F2137" s="2" t="n">
        <v>3</v>
      </c>
      <c r="G2137" s="2" t="s">
        <v>20</v>
      </c>
      <c r="H2137" s="2" t="s">
        <v>20</v>
      </c>
      <c r="I2137" s="2" t="s">
        <v>21</v>
      </c>
      <c r="J2137" s="2" t="n">
        <v>4</v>
      </c>
      <c r="K2137" s="2" t="s">
        <v>41</v>
      </c>
      <c r="L2137" s="2" t="n">
        <v>142</v>
      </c>
      <c r="M2137" s="2" t="n">
        <v>2</v>
      </c>
      <c r="N2137" s="2" t="n">
        <v>-1</v>
      </c>
      <c r="O2137" s="2" t="n">
        <v>0</v>
      </c>
      <c r="P2137" s="2" t="s">
        <v>23</v>
      </c>
      <c r="Q2137" s="2" t="s">
        <v>20</v>
      </c>
    </row>
    <row r="2138" customFormat="false" ht="15" hidden="false" customHeight="false" outlineLevel="0" collapsed="false">
      <c r="A2138" s="2" t="n">
        <v>34</v>
      </c>
      <c r="B2138" s="2" t="s">
        <v>29</v>
      </c>
      <c r="C2138" s="2" t="s">
        <v>18</v>
      </c>
      <c r="D2138" s="2" t="s">
        <v>31</v>
      </c>
      <c r="E2138" s="2" t="s">
        <v>20</v>
      </c>
      <c r="F2138" s="2" t="n">
        <v>0</v>
      </c>
      <c r="G2138" s="2" t="s">
        <v>26</v>
      </c>
      <c r="H2138" s="2" t="s">
        <v>20</v>
      </c>
      <c r="I2138" s="2" t="s">
        <v>23</v>
      </c>
      <c r="J2138" s="2" t="n">
        <v>8</v>
      </c>
      <c r="K2138" s="2" t="s">
        <v>27</v>
      </c>
      <c r="L2138" s="2" t="n">
        <v>214</v>
      </c>
      <c r="M2138" s="2" t="n">
        <v>2</v>
      </c>
      <c r="N2138" s="2" t="n">
        <v>-1</v>
      </c>
      <c r="O2138" s="2" t="n">
        <v>0</v>
      </c>
      <c r="P2138" s="2" t="s">
        <v>23</v>
      </c>
      <c r="Q2138" s="2" t="s">
        <v>20</v>
      </c>
    </row>
    <row r="2139" customFormat="false" ht="15" hidden="false" customHeight="false" outlineLevel="0" collapsed="false">
      <c r="A2139" s="2" t="n">
        <v>59</v>
      </c>
      <c r="B2139" s="2" t="s">
        <v>34</v>
      </c>
      <c r="C2139" s="2" t="s">
        <v>18</v>
      </c>
      <c r="D2139" s="2" t="s">
        <v>19</v>
      </c>
      <c r="E2139" s="2" t="s">
        <v>20</v>
      </c>
      <c r="F2139" s="2" t="n">
        <v>0</v>
      </c>
      <c r="G2139" s="2" t="s">
        <v>20</v>
      </c>
      <c r="H2139" s="2" t="s">
        <v>20</v>
      </c>
      <c r="I2139" s="2" t="s">
        <v>21</v>
      </c>
      <c r="J2139" s="2" t="n">
        <v>18</v>
      </c>
      <c r="K2139" s="2" t="s">
        <v>46</v>
      </c>
      <c r="L2139" s="2" t="n">
        <v>167</v>
      </c>
      <c r="M2139" s="2" t="n">
        <v>2</v>
      </c>
      <c r="N2139" s="2" t="n">
        <v>-1</v>
      </c>
      <c r="O2139" s="2" t="n">
        <v>0</v>
      </c>
      <c r="P2139" s="2" t="s">
        <v>23</v>
      </c>
      <c r="Q2139" s="2" t="s">
        <v>20</v>
      </c>
    </row>
    <row r="2140" customFormat="false" ht="15" hidden="false" customHeight="false" outlineLevel="0" collapsed="false">
      <c r="A2140" s="2" t="n">
        <v>27</v>
      </c>
      <c r="B2140" s="2" t="s">
        <v>38</v>
      </c>
      <c r="C2140" s="2" t="s">
        <v>30</v>
      </c>
      <c r="D2140" s="2" t="s">
        <v>25</v>
      </c>
      <c r="E2140" s="2" t="s">
        <v>20</v>
      </c>
      <c r="F2140" s="2" t="n">
        <v>282</v>
      </c>
      <c r="G2140" s="2" t="s">
        <v>20</v>
      </c>
      <c r="H2140" s="2" t="s">
        <v>26</v>
      </c>
      <c r="I2140" s="2" t="s">
        <v>21</v>
      </c>
      <c r="J2140" s="2" t="n">
        <v>9</v>
      </c>
      <c r="K2140" s="2" t="s">
        <v>44</v>
      </c>
      <c r="L2140" s="2" t="n">
        <v>676</v>
      </c>
      <c r="M2140" s="2" t="n">
        <v>5</v>
      </c>
      <c r="N2140" s="2" t="n">
        <v>-1</v>
      </c>
      <c r="O2140" s="2" t="n">
        <v>0</v>
      </c>
      <c r="P2140" s="2" t="s">
        <v>23</v>
      </c>
      <c r="Q2140" s="2" t="s">
        <v>20</v>
      </c>
    </row>
    <row r="2141" customFormat="false" ht="15" hidden="false" customHeight="false" outlineLevel="0" collapsed="false">
      <c r="A2141" s="2" t="n">
        <v>42</v>
      </c>
      <c r="B2141" s="2" t="s">
        <v>39</v>
      </c>
      <c r="C2141" s="2" t="s">
        <v>18</v>
      </c>
      <c r="D2141" s="2" t="s">
        <v>31</v>
      </c>
      <c r="E2141" s="2" t="s">
        <v>20</v>
      </c>
      <c r="F2141" s="2" t="n">
        <v>0</v>
      </c>
      <c r="G2141" s="2" t="s">
        <v>20</v>
      </c>
      <c r="H2141" s="2" t="s">
        <v>20</v>
      </c>
      <c r="I2141" s="2" t="s">
        <v>21</v>
      </c>
      <c r="J2141" s="2" t="n">
        <v>9</v>
      </c>
      <c r="K2141" s="2" t="s">
        <v>44</v>
      </c>
      <c r="L2141" s="2" t="n">
        <v>236</v>
      </c>
      <c r="M2141" s="2" t="n">
        <v>1</v>
      </c>
      <c r="N2141" s="2" t="n">
        <v>-1</v>
      </c>
      <c r="O2141" s="2" t="n">
        <v>0</v>
      </c>
      <c r="P2141" s="2" t="s">
        <v>23</v>
      </c>
      <c r="Q2141" s="2" t="s">
        <v>20</v>
      </c>
    </row>
    <row r="2142" customFormat="false" ht="15" hidden="false" customHeight="false" outlineLevel="0" collapsed="false">
      <c r="A2142" s="2" t="n">
        <v>47</v>
      </c>
      <c r="B2142" s="2" t="s">
        <v>47</v>
      </c>
      <c r="C2142" s="2" t="s">
        <v>30</v>
      </c>
      <c r="D2142" s="2" t="s">
        <v>31</v>
      </c>
      <c r="E2142" s="2" t="s">
        <v>20</v>
      </c>
      <c r="F2142" s="2" t="n">
        <v>3727</v>
      </c>
      <c r="G2142" s="2" t="s">
        <v>20</v>
      </c>
      <c r="H2142" s="2" t="s">
        <v>20</v>
      </c>
      <c r="I2142" s="2" t="s">
        <v>23</v>
      </c>
      <c r="J2142" s="2" t="n">
        <v>12</v>
      </c>
      <c r="K2142" s="2" t="s">
        <v>33</v>
      </c>
      <c r="L2142" s="2" t="n">
        <v>993</v>
      </c>
      <c r="M2142" s="2" t="n">
        <v>6</v>
      </c>
      <c r="N2142" s="2" t="n">
        <v>-1</v>
      </c>
      <c r="O2142" s="2" t="n">
        <v>0</v>
      </c>
      <c r="P2142" s="2" t="s">
        <v>23</v>
      </c>
      <c r="Q2142" s="2" t="s">
        <v>26</v>
      </c>
    </row>
    <row r="2143" customFormat="false" ht="15" hidden="false" customHeight="false" outlineLevel="0" collapsed="false">
      <c r="A2143" s="2" t="n">
        <v>33</v>
      </c>
      <c r="B2143" s="2" t="s">
        <v>34</v>
      </c>
      <c r="C2143" s="2" t="s">
        <v>18</v>
      </c>
      <c r="D2143" s="2" t="s">
        <v>25</v>
      </c>
      <c r="E2143" s="2" t="s">
        <v>20</v>
      </c>
      <c r="F2143" s="2" t="n">
        <v>0</v>
      </c>
      <c r="G2143" s="2" t="s">
        <v>26</v>
      </c>
      <c r="H2143" s="2" t="s">
        <v>26</v>
      </c>
      <c r="I2143" s="2" t="s">
        <v>21</v>
      </c>
      <c r="J2143" s="2" t="n">
        <v>28</v>
      </c>
      <c r="K2143" s="2" t="s">
        <v>44</v>
      </c>
      <c r="L2143" s="2" t="n">
        <v>83</v>
      </c>
      <c r="M2143" s="2" t="n">
        <v>12</v>
      </c>
      <c r="N2143" s="2" t="n">
        <v>-1</v>
      </c>
      <c r="O2143" s="2" t="n">
        <v>0</v>
      </c>
      <c r="P2143" s="2" t="s">
        <v>23</v>
      </c>
      <c r="Q2143" s="2" t="s">
        <v>20</v>
      </c>
    </row>
    <row r="2144" customFormat="false" ht="15" hidden="false" customHeight="false" outlineLevel="0" collapsed="false">
      <c r="A2144" s="2" t="n">
        <v>31</v>
      </c>
      <c r="B2144" s="2" t="s">
        <v>24</v>
      </c>
      <c r="C2144" s="2" t="s">
        <v>30</v>
      </c>
      <c r="D2144" s="2" t="s">
        <v>25</v>
      </c>
      <c r="E2144" s="2" t="s">
        <v>20</v>
      </c>
      <c r="F2144" s="2" t="n">
        <v>864</v>
      </c>
      <c r="G2144" s="2" t="s">
        <v>26</v>
      </c>
      <c r="H2144" s="2" t="s">
        <v>20</v>
      </c>
      <c r="I2144" s="2" t="s">
        <v>21</v>
      </c>
      <c r="J2144" s="2" t="n">
        <v>6</v>
      </c>
      <c r="K2144" s="2" t="s">
        <v>27</v>
      </c>
      <c r="L2144" s="2" t="n">
        <v>100</v>
      </c>
      <c r="M2144" s="2" t="n">
        <v>1</v>
      </c>
      <c r="N2144" s="2" t="n">
        <v>-1</v>
      </c>
      <c r="O2144" s="2" t="n">
        <v>0</v>
      </c>
      <c r="P2144" s="2" t="s">
        <v>23</v>
      </c>
      <c r="Q2144" s="2" t="s">
        <v>20</v>
      </c>
    </row>
    <row r="2145" customFormat="false" ht="15" hidden="false" customHeight="false" outlineLevel="0" collapsed="false">
      <c r="A2145" s="2" t="n">
        <v>37</v>
      </c>
      <c r="B2145" s="2" t="s">
        <v>29</v>
      </c>
      <c r="C2145" s="2" t="s">
        <v>18</v>
      </c>
      <c r="D2145" s="2" t="s">
        <v>31</v>
      </c>
      <c r="E2145" s="2" t="s">
        <v>20</v>
      </c>
      <c r="F2145" s="2" t="n">
        <v>4089</v>
      </c>
      <c r="G2145" s="2" t="s">
        <v>26</v>
      </c>
      <c r="H2145" s="2" t="s">
        <v>20</v>
      </c>
      <c r="I2145" s="2" t="s">
        <v>21</v>
      </c>
      <c r="J2145" s="2" t="n">
        <v>2</v>
      </c>
      <c r="K2145" s="2" t="s">
        <v>35</v>
      </c>
      <c r="L2145" s="2" t="n">
        <v>289</v>
      </c>
      <c r="M2145" s="2" t="n">
        <v>2</v>
      </c>
      <c r="N2145" s="2" t="n">
        <v>174</v>
      </c>
      <c r="O2145" s="2" t="n">
        <v>4</v>
      </c>
      <c r="P2145" s="2" t="s">
        <v>37</v>
      </c>
      <c r="Q2145" s="2" t="s">
        <v>26</v>
      </c>
    </row>
    <row r="2146" customFormat="false" ht="15" hidden="false" customHeight="false" outlineLevel="0" collapsed="false">
      <c r="A2146" s="2" t="n">
        <v>29</v>
      </c>
      <c r="B2146" s="2" t="s">
        <v>34</v>
      </c>
      <c r="C2146" s="2" t="s">
        <v>18</v>
      </c>
      <c r="D2146" s="2" t="s">
        <v>25</v>
      </c>
      <c r="E2146" s="2" t="s">
        <v>20</v>
      </c>
      <c r="F2146" s="2" t="n">
        <v>-478</v>
      </c>
      <c r="G2146" s="2" t="s">
        <v>20</v>
      </c>
      <c r="H2146" s="2" t="s">
        <v>26</v>
      </c>
      <c r="I2146" s="2" t="s">
        <v>21</v>
      </c>
      <c r="J2146" s="2" t="n">
        <v>8</v>
      </c>
      <c r="K2146" s="2" t="s">
        <v>44</v>
      </c>
      <c r="L2146" s="2" t="n">
        <v>528</v>
      </c>
      <c r="M2146" s="2" t="n">
        <v>2</v>
      </c>
      <c r="N2146" s="2" t="n">
        <v>-1</v>
      </c>
      <c r="O2146" s="2" t="n">
        <v>0</v>
      </c>
      <c r="P2146" s="2" t="s">
        <v>23</v>
      </c>
      <c r="Q2146" s="2" t="s">
        <v>20</v>
      </c>
    </row>
    <row r="2147" customFormat="false" ht="15" hidden="false" customHeight="false" outlineLevel="0" collapsed="false">
      <c r="A2147" s="2" t="n">
        <v>38</v>
      </c>
      <c r="B2147" s="2" t="s">
        <v>17</v>
      </c>
      <c r="C2147" s="2" t="s">
        <v>18</v>
      </c>
      <c r="D2147" s="2" t="s">
        <v>19</v>
      </c>
      <c r="E2147" s="2" t="s">
        <v>20</v>
      </c>
      <c r="F2147" s="2" t="n">
        <v>-363</v>
      </c>
      <c r="G2147" s="2" t="s">
        <v>20</v>
      </c>
      <c r="H2147" s="2" t="s">
        <v>20</v>
      </c>
      <c r="I2147" s="2" t="s">
        <v>23</v>
      </c>
      <c r="J2147" s="2" t="n">
        <v>12</v>
      </c>
      <c r="K2147" s="2" t="s">
        <v>33</v>
      </c>
      <c r="L2147" s="2" t="n">
        <v>340</v>
      </c>
      <c r="M2147" s="2" t="n">
        <v>2</v>
      </c>
      <c r="N2147" s="2" t="n">
        <v>-1</v>
      </c>
      <c r="O2147" s="2" t="n">
        <v>0</v>
      </c>
      <c r="P2147" s="2" t="s">
        <v>23</v>
      </c>
      <c r="Q2147" s="2" t="s">
        <v>20</v>
      </c>
    </row>
    <row r="2148" customFormat="false" ht="15" hidden="false" customHeight="false" outlineLevel="0" collapsed="false">
      <c r="A2148" s="2" t="n">
        <v>35</v>
      </c>
      <c r="B2148" s="2" t="s">
        <v>36</v>
      </c>
      <c r="C2148" s="2" t="s">
        <v>18</v>
      </c>
      <c r="D2148" s="2" t="s">
        <v>25</v>
      </c>
      <c r="E2148" s="2" t="s">
        <v>20</v>
      </c>
      <c r="F2148" s="2" t="n">
        <v>8883</v>
      </c>
      <c r="G2148" s="2" t="s">
        <v>20</v>
      </c>
      <c r="H2148" s="2" t="s">
        <v>20</v>
      </c>
      <c r="I2148" s="2" t="s">
        <v>21</v>
      </c>
      <c r="J2148" s="2" t="n">
        <v>21</v>
      </c>
      <c r="K2148" s="2" t="s">
        <v>46</v>
      </c>
      <c r="L2148" s="2" t="n">
        <v>33</v>
      </c>
      <c r="M2148" s="2" t="n">
        <v>3</v>
      </c>
      <c r="N2148" s="2" t="n">
        <v>-1</v>
      </c>
      <c r="O2148" s="2" t="n">
        <v>0</v>
      </c>
      <c r="P2148" s="2" t="s">
        <v>23</v>
      </c>
      <c r="Q2148" s="2" t="s">
        <v>20</v>
      </c>
    </row>
    <row r="2149" customFormat="false" ht="15" hidden="false" customHeight="false" outlineLevel="0" collapsed="false">
      <c r="A2149" s="2" t="n">
        <v>31</v>
      </c>
      <c r="B2149" s="2" t="s">
        <v>38</v>
      </c>
      <c r="C2149" s="2" t="s">
        <v>30</v>
      </c>
      <c r="D2149" s="2" t="s">
        <v>25</v>
      </c>
      <c r="E2149" s="2" t="s">
        <v>20</v>
      </c>
      <c r="F2149" s="2" t="n">
        <v>1970</v>
      </c>
      <c r="G2149" s="2" t="s">
        <v>20</v>
      </c>
      <c r="H2149" s="2" t="s">
        <v>20</v>
      </c>
      <c r="I2149" s="2" t="s">
        <v>49</v>
      </c>
      <c r="J2149" s="2" t="n">
        <v>17</v>
      </c>
      <c r="K2149" s="2" t="s">
        <v>32</v>
      </c>
      <c r="L2149" s="2" t="n">
        <v>284</v>
      </c>
      <c r="M2149" s="2" t="n">
        <v>3</v>
      </c>
      <c r="N2149" s="2" t="n">
        <v>-1</v>
      </c>
      <c r="O2149" s="2" t="n">
        <v>0</v>
      </c>
      <c r="P2149" s="2" t="s">
        <v>23</v>
      </c>
      <c r="Q2149" s="2" t="s">
        <v>20</v>
      </c>
    </row>
    <row r="2150" customFormat="false" ht="15" hidden="false" customHeight="false" outlineLevel="0" collapsed="false">
      <c r="A2150" s="2" t="n">
        <v>62</v>
      </c>
      <c r="B2150" s="2" t="s">
        <v>29</v>
      </c>
      <c r="C2150" s="2" t="s">
        <v>18</v>
      </c>
      <c r="D2150" s="2" t="s">
        <v>31</v>
      </c>
      <c r="E2150" s="2" t="s">
        <v>20</v>
      </c>
      <c r="F2150" s="2" t="n">
        <v>1859</v>
      </c>
      <c r="G2150" s="2" t="s">
        <v>20</v>
      </c>
      <c r="H2150" s="2" t="s">
        <v>20</v>
      </c>
      <c r="I2150" s="2" t="s">
        <v>49</v>
      </c>
      <c r="J2150" s="2" t="n">
        <v>6</v>
      </c>
      <c r="K2150" s="2" t="s">
        <v>41</v>
      </c>
      <c r="L2150" s="2" t="n">
        <v>245</v>
      </c>
      <c r="M2150" s="2" t="n">
        <v>3</v>
      </c>
      <c r="N2150" s="2" t="n">
        <v>-1</v>
      </c>
      <c r="O2150" s="2" t="n">
        <v>0</v>
      </c>
      <c r="P2150" s="2" t="s">
        <v>23</v>
      </c>
      <c r="Q2150" s="2" t="s">
        <v>26</v>
      </c>
    </row>
    <row r="2151" customFormat="false" ht="15" hidden="false" customHeight="false" outlineLevel="0" collapsed="false">
      <c r="A2151" s="2" t="n">
        <v>32</v>
      </c>
      <c r="B2151" s="2" t="s">
        <v>38</v>
      </c>
      <c r="C2151" s="2" t="s">
        <v>30</v>
      </c>
      <c r="D2151" s="2" t="s">
        <v>31</v>
      </c>
      <c r="E2151" s="2" t="s">
        <v>20</v>
      </c>
      <c r="F2151" s="2" t="n">
        <v>1059</v>
      </c>
      <c r="G2151" s="2" t="s">
        <v>26</v>
      </c>
      <c r="H2151" s="2" t="s">
        <v>20</v>
      </c>
      <c r="I2151" s="2" t="s">
        <v>21</v>
      </c>
      <c r="J2151" s="2" t="n">
        <v>17</v>
      </c>
      <c r="K2151" s="2" t="s">
        <v>32</v>
      </c>
      <c r="L2151" s="2" t="n">
        <v>115</v>
      </c>
      <c r="M2151" s="2" t="n">
        <v>1</v>
      </c>
      <c r="N2151" s="2" t="n">
        <v>-1</v>
      </c>
      <c r="O2151" s="2" t="n">
        <v>0</v>
      </c>
      <c r="P2151" s="2" t="s">
        <v>23</v>
      </c>
      <c r="Q2151" s="2" t="s">
        <v>20</v>
      </c>
    </row>
    <row r="2152" customFormat="false" ht="15" hidden="false" customHeight="false" outlineLevel="0" collapsed="false">
      <c r="A2152" s="2" t="n">
        <v>31</v>
      </c>
      <c r="B2152" s="2" t="s">
        <v>24</v>
      </c>
      <c r="C2152" s="2" t="s">
        <v>18</v>
      </c>
      <c r="D2152" s="2" t="s">
        <v>25</v>
      </c>
      <c r="E2152" s="2" t="s">
        <v>20</v>
      </c>
      <c r="F2152" s="2" t="n">
        <v>388</v>
      </c>
      <c r="G2152" s="2" t="s">
        <v>26</v>
      </c>
      <c r="H2152" s="2" t="s">
        <v>20</v>
      </c>
      <c r="I2152" s="2" t="s">
        <v>23</v>
      </c>
      <c r="J2152" s="2" t="n">
        <v>5</v>
      </c>
      <c r="K2152" s="2" t="s">
        <v>27</v>
      </c>
      <c r="L2152" s="2" t="n">
        <v>730</v>
      </c>
      <c r="M2152" s="2" t="n">
        <v>2</v>
      </c>
      <c r="N2152" s="2" t="n">
        <v>-1</v>
      </c>
      <c r="O2152" s="2" t="n">
        <v>0</v>
      </c>
      <c r="P2152" s="2" t="s">
        <v>23</v>
      </c>
      <c r="Q2152" s="2" t="s">
        <v>20</v>
      </c>
    </row>
    <row r="2153" customFormat="false" ht="15" hidden="false" customHeight="false" outlineLevel="0" collapsed="false">
      <c r="A2153" s="2" t="n">
        <v>51</v>
      </c>
      <c r="B2153" s="2" t="s">
        <v>34</v>
      </c>
      <c r="C2153" s="2" t="s">
        <v>45</v>
      </c>
      <c r="D2153" s="2" t="s">
        <v>19</v>
      </c>
      <c r="E2153" s="2" t="s">
        <v>20</v>
      </c>
      <c r="F2153" s="2" t="n">
        <v>602</v>
      </c>
      <c r="G2153" s="2" t="s">
        <v>26</v>
      </c>
      <c r="H2153" s="2" t="s">
        <v>20</v>
      </c>
      <c r="I2153" s="2" t="s">
        <v>21</v>
      </c>
      <c r="J2153" s="2" t="n">
        <v>11</v>
      </c>
      <c r="K2153" s="2" t="s">
        <v>27</v>
      </c>
      <c r="L2153" s="2" t="n">
        <v>347</v>
      </c>
      <c r="M2153" s="2" t="n">
        <v>1</v>
      </c>
      <c r="N2153" s="2" t="n">
        <v>284</v>
      </c>
      <c r="O2153" s="2" t="n">
        <v>2</v>
      </c>
      <c r="P2153" s="2" t="s">
        <v>28</v>
      </c>
      <c r="Q2153" s="2" t="s">
        <v>20</v>
      </c>
    </row>
    <row r="2154" customFormat="false" ht="15" hidden="false" customHeight="false" outlineLevel="0" collapsed="false">
      <c r="A2154" s="2" t="n">
        <v>29</v>
      </c>
      <c r="B2154" s="2" t="s">
        <v>24</v>
      </c>
      <c r="C2154" s="2" t="s">
        <v>30</v>
      </c>
      <c r="D2154" s="2" t="s">
        <v>25</v>
      </c>
      <c r="E2154" s="2" t="s">
        <v>20</v>
      </c>
      <c r="F2154" s="2" t="n">
        <v>0</v>
      </c>
      <c r="G2154" s="2" t="s">
        <v>20</v>
      </c>
      <c r="H2154" s="2" t="s">
        <v>20</v>
      </c>
      <c r="I2154" s="2" t="s">
        <v>21</v>
      </c>
      <c r="J2154" s="2" t="n">
        <v>17</v>
      </c>
      <c r="K2154" s="2" t="s">
        <v>44</v>
      </c>
      <c r="L2154" s="2" t="n">
        <v>58</v>
      </c>
      <c r="M2154" s="2" t="n">
        <v>1</v>
      </c>
      <c r="N2154" s="2" t="n">
        <v>-1</v>
      </c>
      <c r="O2154" s="2" t="n">
        <v>0</v>
      </c>
      <c r="P2154" s="2" t="s">
        <v>23</v>
      </c>
      <c r="Q2154" s="2" t="s">
        <v>20</v>
      </c>
    </row>
    <row r="2155" customFormat="false" ht="15" hidden="false" customHeight="false" outlineLevel="0" collapsed="false">
      <c r="A2155" s="2" t="n">
        <v>43</v>
      </c>
      <c r="B2155" s="2" t="s">
        <v>34</v>
      </c>
      <c r="C2155" s="2" t="s">
        <v>18</v>
      </c>
      <c r="D2155" s="2" t="s">
        <v>19</v>
      </c>
      <c r="E2155" s="2" t="s">
        <v>20</v>
      </c>
      <c r="F2155" s="2" t="n">
        <v>255</v>
      </c>
      <c r="G2155" s="2" t="s">
        <v>26</v>
      </c>
      <c r="H2155" s="2" t="s">
        <v>20</v>
      </c>
      <c r="I2155" s="2" t="s">
        <v>21</v>
      </c>
      <c r="J2155" s="2" t="n">
        <v>17</v>
      </c>
      <c r="K2155" s="2" t="s">
        <v>44</v>
      </c>
      <c r="L2155" s="2" t="n">
        <v>180</v>
      </c>
      <c r="M2155" s="2" t="n">
        <v>1</v>
      </c>
      <c r="N2155" s="2" t="n">
        <v>-1</v>
      </c>
      <c r="O2155" s="2" t="n">
        <v>0</v>
      </c>
      <c r="P2155" s="2" t="s">
        <v>23</v>
      </c>
      <c r="Q2155" s="2" t="s">
        <v>20</v>
      </c>
    </row>
    <row r="2156" customFormat="false" ht="15" hidden="false" customHeight="false" outlineLevel="0" collapsed="false">
      <c r="A2156" s="2" t="n">
        <v>36</v>
      </c>
      <c r="B2156" s="2" t="s">
        <v>34</v>
      </c>
      <c r="C2156" s="2" t="s">
        <v>18</v>
      </c>
      <c r="D2156" s="2" t="s">
        <v>25</v>
      </c>
      <c r="E2156" s="2" t="s">
        <v>20</v>
      </c>
      <c r="F2156" s="2" t="n">
        <v>63</v>
      </c>
      <c r="G2156" s="2" t="s">
        <v>26</v>
      </c>
      <c r="H2156" s="2" t="s">
        <v>20</v>
      </c>
      <c r="I2156" s="2" t="s">
        <v>23</v>
      </c>
      <c r="J2156" s="2" t="n">
        <v>2</v>
      </c>
      <c r="K2156" s="2" t="s">
        <v>33</v>
      </c>
      <c r="L2156" s="2" t="n">
        <v>56</v>
      </c>
      <c r="M2156" s="2" t="n">
        <v>8</v>
      </c>
      <c r="N2156" s="2" t="n">
        <v>-1</v>
      </c>
      <c r="O2156" s="2" t="n">
        <v>0</v>
      </c>
      <c r="P2156" s="2" t="s">
        <v>23</v>
      </c>
      <c r="Q2156" s="2" t="s">
        <v>20</v>
      </c>
    </row>
    <row r="2157" customFormat="false" ht="15" hidden="false" customHeight="false" outlineLevel="0" collapsed="false">
      <c r="A2157" s="2" t="n">
        <v>34</v>
      </c>
      <c r="B2157" s="2" t="s">
        <v>36</v>
      </c>
      <c r="C2157" s="2" t="s">
        <v>18</v>
      </c>
      <c r="D2157" s="2" t="s">
        <v>19</v>
      </c>
      <c r="E2157" s="2" t="s">
        <v>20</v>
      </c>
      <c r="F2157" s="2" t="n">
        <v>712</v>
      </c>
      <c r="G2157" s="2" t="s">
        <v>26</v>
      </c>
      <c r="H2157" s="2" t="s">
        <v>20</v>
      </c>
      <c r="I2157" s="2" t="s">
        <v>23</v>
      </c>
      <c r="J2157" s="2" t="n">
        <v>2</v>
      </c>
      <c r="K2157" s="2" t="s">
        <v>33</v>
      </c>
      <c r="L2157" s="2" t="n">
        <v>326</v>
      </c>
      <c r="M2157" s="2" t="n">
        <v>3</v>
      </c>
      <c r="N2157" s="2" t="n">
        <v>-1</v>
      </c>
      <c r="O2157" s="2" t="n">
        <v>0</v>
      </c>
      <c r="P2157" s="2" t="s">
        <v>23</v>
      </c>
      <c r="Q2157" s="2" t="s">
        <v>20</v>
      </c>
    </row>
    <row r="2158" customFormat="false" ht="15" hidden="false" customHeight="false" outlineLevel="0" collapsed="false">
      <c r="A2158" s="2" t="n">
        <v>29</v>
      </c>
      <c r="B2158" s="2" t="s">
        <v>24</v>
      </c>
      <c r="C2158" s="2" t="s">
        <v>18</v>
      </c>
      <c r="D2158" s="2" t="s">
        <v>25</v>
      </c>
      <c r="E2158" s="2" t="s">
        <v>20</v>
      </c>
      <c r="F2158" s="2" t="n">
        <v>57</v>
      </c>
      <c r="G2158" s="2" t="s">
        <v>26</v>
      </c>
      <c r="H2158" s="2" t="s">
        <v>20</v>
      </c>
      <c r="I2158" s="2" t="s">
        <v>49</v>
      </c>
      <c r="J2158" s="2" t="n">
        <v>21</v>
      </c>
      <c r="K2158" s="2" t="s">
        <v>44</v>
      </c>
      <c r="L2158" s="2" t="n">
        <v>342</v>
      </c>
      <c r="M2158" s="2" t="n">
        <v>9</v>
      </c>
      <c r="N2158" s="2" t="n">
        <v>-1</v>
      </c>
      <c r="O2158" s="2" t="n">
        <v>0</v>
      </c>
      <c r="P2158" s="2" t="s">
        <v>23</v>
      </c>
      <c r="Q2158" s="2" t="s">
        <v>20</v>
      </c>
    </row>
    <row r="2159" customFormat="false" ht="15" hidden="false" customHeight="false" outlineLevel="0" collapsed="false">
      <c r="A2159" s="2" t="n">
        <v>57</v>
      </c>
      <c r="B2159" s="2" t="s">
        <v>48</v>
      </c>
      <c r="C2159" s="2" t="s">
        <v>18</v>
      </c>
      <c r="D2159" s="2" t="s">
        <v>25</v>
      </c>
      <c r="E2159" s="2" t="s">
        <v>20</v>
      </c>
      <c r="F2159" s="2" t="n">
        <v>523</v>
      </c>
      <c r="G2159" s="2" t="s">
        <v>20</v>
      </c>
      <c r="H2159" s="2" t="s">
        <v>26</v>
      </c>
      <c r="I2159" s="2" t="s">
        <v>21</v>
      </c>
      <c r="J2159" s="2" t="n">
        <v>2</v>
      </c>
      <c r="K2159" s="2" t="s">
        <v>35</v>
      </c>
      <c r="L2159" s="2" t="n">
        <v>49</v>
      </c>
      <c r="M2159" s="2" t="n">
        <v>6</v>
      </c>
      <c r="N2159" s="2" t="n">
        <v>-1</v>
      </c>
      <c r="O2159" s="2" t="n">
        <v>0</v>
      </c>
      <c r="P2159" s="2" t="s">
        <v>23</v>
      </c>
      <c r="Q2159" s="2" t="s">
        <v>20</v>
      </c>
    </row>
    <row r="2160" customFormat="false" ht="15" hidden="false" customHeight="false" outlineLevel="0" collapsed="false">
      <c r="A2160" s="2" t="n">
        <v>43</v>
      </c>
      <c r="B2160" s="2" t="s">
        <v>29</v>
      </c>
      <c r="C2160" s="2" t="s">
        <v>18</v>
      </c>
      <c r="D2160" s="2" t="s">
        <v>31</v>
      </c>
      <c r="E2160" s="2" t="s">
        <v>20</v>
      </c>
      <c r="F2160" s="2" t="n">
        <v>422</v>
      </c>
      <c r="G2160" s="2" t="s">
        <v>20</v>
      </c>
      <c r="H2160" s="2" t="s">
        <v>20</v>
      </c>
      <c r="I2160" s="2" t="s">
        <v>21</v>
      </c>
      <c r="J2160" s="2" t="n">
        <v>12</v>
      </c>
      <c r="K2160" s="2" t="s">
        <v>41</v>
      </c>
      <c r="L2160" s="2" t="n">
        <v>110</v>
      </c>
      <c r="M2160" s="2" t="n">
        <v>1</v>
      </c>
      <c r="N2160" s="2" t="n">
        <v>-1</v>
      </c>
      <c r="O2160" s="2" t="n">
        <v>0</v>
      </c>
      <c r="P2160" s="2" t="s">
        <v>23</v>
      </c>
      <c r="Q2160" s="2" t="s">
        <v>20</v>
      </c>
    </row>
    <row r="2161" customFormat="false" ht="15" hidden="false" customHeight="false" outlineLevel="0" collapsed="false">
      <c r="A2161" s="2" t="n">
        <v>33</v>
      </c>
      <c r="B2161" s="2" t="s">
        <v>24</v>
      </c>
      <c r="C2161" s="2" t="s">
        <v>18</v>
      </c>
      <c r="D2161" s="2" t="s">
        <v>25</v>
      </c>
      <c r="E2161" s="2" t="s">
        <v>20</v>
      </c>
      <c r="F2161" s="2" t="n">
        <v>386</v>
      </c>
      <c r="G2161" s="2" t="s">
        <v>20</v>
      </c>
      <c r="H2161" s="2" t="s">
        <v>20</v>
      </c>
      <c r="I2161" s="2" t="s">
        <v>21</v>
      </c>
      <c r="J2161" s="2" t="n">
        <v>12</v>
      </c>
      <c r="K2161" s="2" t="s">
        <v>46</v>
      </c>
      <c r="L2161" s="2" t="n">
        <v>253</v>
      </c>
      <c r="M2161" s="2" t="n">
        <v>1</v>
      </c>
      <c r="N2161" s="2" t="n">
        <v>92</v>
      </c>
      <c r="O2161" s="2" t="n">
        <v>4</v>
      </c>
      <c r="P2161" s="2" t="s">
        <v>28</v>
      </c>
      <c r="Q2161" s="2" t="s">
        <v>26</v>
      </c>
    </row>
    <row r="2162" customFormat="false" ht="15" hidden="false" customHeight="false" outlineLevel="0" collapsed="false">
      <c r="A2162" s="2" t="n">
        <v>60</v>
      </c>
      <c r="B2162" s="2" t="s">
        <v>29</v>
      </c>
      <c r="C2162" s="2" t="s">
        <v>18</v>
      </c>
      <c r="D2162" s="2" t="s">
        <v>31</v>
      </c>
      <c r="E2162" s="2" t="s">
        <v>20</v>
      </c>
      <c r="F2162" s="2" t="n">
        <v>3387</v>
      </c>
      <c r="G2162" s="2" t="s">
        <v>20</v>
      </c>
      <c r="H2162" s="2" t="s">
        <v>20</v>
      </c>
      <c r="I2162" s="2" t="s">
        <v>21</v>
      </c>
      <c r="J2162" s="2" t="n">
        <v>14</v>
      </c>
      <c r="K2162" s="2" t="s">
        <v>41</v>
      </c>
      <c r="L2162" s="2" t="n">
        <v>636</v>
      </c>
      <c r="M2162" s="2" t="n">
        <v>2</v>
      </c>
      <c r="N2162" s="2" t="n">
        <v>-1</v>
      </c>
      <c r="O2162" s="2" t="n">
        <v>0</v>
      </c>
      <c r="P2162" s="2" t="s">
        <v>23</v>
      </c>
      <c r="Q2162" s="2" t="s">
        <v>20</v>
      </c>
    </row>
    <row r="2163" customFormat="false" ht="15" hidden="false" customHeight="false" outlineLevel="0" collapsed="false">
      <c r="A2163" s="2" t="n">
        <v>51</v>
      </c>
      <c r="B2163" s="2" t="s">
        <v>38</v>
      </c>
      <c r="C2163" s="2" t="s">
        <v>18</v>
      </c>
      <c r="D2163" s="2" t="s">
        <v>19</v>
      </c>
      <c r="E2163" s="2" t="s">
        <v>20</v>
      </c>
      <c r="F2163" s="2" t="n">
        <v>260</v>
      </c>
      <c r="G2163" s="2" t="s">
        <v>20</v>
      </c>
      <c r="H2163" s="2" t="s">
        <v>20</v>
      </c>
      <c r="I2163" s="2" t="s">
        <v>21</v>
      </c>
      <c r="J2163" s="2" t="n">
        <v>19</v>
      </c>
      <c r="K2163" s="2" t="s">
        <v>41</v>
      </c>
      <c r="L2163" s="2" t="n">
        <v>137</v>
      </c>
      <c r="M2163" s="2" t="n">
        <v>2</v>
      </c>
      <c r="N2163" s="2" t="n">
        <v>-1</v>
      </c>
      <c r="O2163" s="2" t="n">
        <v>0</v>
      </c>
      <c r="P2163" s="2" t="s">
        <v>23</v>
      </c>
      <c r="Q2163" s="2" t="s">
        <v>20</v>
      </c>
    </row>
    <row r="2164" customFormat="false" ht="15" hidden="false" customHeight="false" outlineLevel="0" collapsed="false">
      <c r="A2164" s="2" t="n">
        <v>40</v>
      </c>
      <c r="B2164" s="2" t="s">
        <v>40</v>
      </c>
      <c r="C2164" s="2" t="s">
        <v>30</v>
      </c>
      <c r="D2164" s="2" t="s">
        <v>25</v>
      </c>
      <c r="E2164" s="2" t="s">
        <v>20</v>
      </c>
      <c r="F2164" s="2" t="n">
        <v>-1</v>
      </c>
      <c r="G2164" s="2" t="s">
        <v>20</v>
      </c>
      <c r="H2164" s="2" t="s">
        <v>20</v>
      </c>
      <c r="I2164" s="2" t="s">
        <v>21</v>
      </c>
      <c r="J2164" s="2" t="n">
        <v>7</v>
      </c>
      <c r="K2164" s="2" t="s">
        <v>44</v>
      </c>
      <c r="L2164" s="2" t="n">
        <v>173</v>
      </c>
      <c r="M2164" s="2" t="n">
        <v>1</v>
      </c>
      <c r="N2164" s="2" t="n">
        <v>-1</v>
      </c>
      <c r="O2164" s="2" t="n">
        <v>0</v>
      </c>
      <c r="P2164" s="2" t="s">
        <v>23</v>
      </c>
      <c r="Q2164" s="2" t="s">
        <v>20</v>
      </c>
    </row>
    <row r="2165" customFormat="false" ht="15" hidden="false" customHeight="false" outlineLevel="0" collapsed="false">
      <c r="A2165" s="2" t="n">
        <v>51</v>
      </c>
      <c r="B2165" s="2" t="s">
        <v>38</v>
      </c>
      <c r="C2165" s="2" t="s">
        <v>18</v>
      </c>
      <c r="D2165" s="2" t="s">
        <v>25</v>
      </c>
      <c r="E2165" s="2" t="s">
        <v>20</v>
      </c>
      <c r="F2165" s="2" t="n">
        <v>1490</v>
      </c>
      <c r="G2165" s="2" t="s">
        <v>26</v>
      </c>
      <c r="H2165" s="2" t="s">
        <v>20</v>
      </c>
      <c r="I2165" s="2" t="s">
        <v>21</v>
      </c>
      <c r="J2165" s="2" t="n">
        <v>18</v>
      </c>
      <c r="K2165" s="2" t="s">
        <v>44</v>
      </c>
      <c r="L2165" s="2" t="n">
        <v>227</v>
      </c>
      <c r="M2165" s="2" t="n">
        <v>2</v>
      </c>
      <c r="N2165" s="2" t="n">
        <v>-1</v>
      </c>
      <c r="O2165" s="2" t="n">
        <v>0</v>
      </c>
      <c r="P2165" s="2" t="s">
        <v>23</v>
      </c>
      <c r="Q2165" s="2" t="s">
        <v>20</v>
      </c>
    </row>
    <row r="2166" customFormat="false" ht="15" hidden="false" customHeight="false" outlineLevel="0" collapsed="false">
      <c r="A2166" s="2" t="n">
        <v>38</v>
      </c>
      <c r="B2166" s="2" t="s">
        <v>24</v>
      </c>
      <c r="C2166" s="2" t="s">
        <v>18</v>
      </c>
      <c r="D2166" s="2" t="s">
        <v>25</v>
      </c>
      <c r="E2166" s="2" t="s">
        <v>20</v>
      </c>
      <c r="F2166" s="2" t="n">
        <v>497</v>
      </c>
      <c r="G2166" s="2" t="s">
        <v>26</v>
      </c>
      <c r="H2166" s="2" t="s">
        <v>26</v>
      </c>
      <c r="I2166" s="2" t="s">
        <v>23</v>
      </c>
      <c r="J2166" s="2" t="n">
        <v>19</v>
      </c>
      <c r="K2166" s="2" t="s">
        <v>27</v>
      </c>
      <c r="L2166" s="2" t="n">
        <v>88</v>
      </c>
      <c r="M2166" s="2" t="n">
        <v>5</v>
      </c>
      <c r="N2166" s="2" t="n">
        <v>-1</v>
      </c>
      <c r="O2166" s="2" t="n">
        <v>0</v>
      </c>
      <c r="P2166" s="2" t="s">
        <v>23</v>
      </c>
      <c r="Q2166" s="2" t="s">
        <v>20</v>
      </c>
    </row>
    <row r="2167" customFormat="false" ht="15" hidden="false" customHeight="false" outlineLevel="0" collapsed="false">
      <c r="A2167" s="2" t="n">
        <v>35</v>
      </c>
      <c r="B2167" s="2" t="s">
        <v>38</v>
      </c>
      <c r="C2167" s="2" t="s">
        <v>18</v>
      </c>
      <c r="D2167" s="2" t="s">
        <v>25</v>
      </c>
      <c r="E2167" s="2" t="s">
        <v>20</v>
      </c>
      <c r="F2167" s="2" t="n">
        <v>1707</v>
      </c>
      <c r="G2167" s="2" t="s">
        <v>26</v>
      </c>
      <c r="H2167" s="2" t="s">
        <v>20</v>
      </c>
      <c r="I2167" s="2" t="s">
        <v>23</v>
      </c>
      <c r="J2167" s="2" t="n">
        <v>2</v>
      </c>
      <c r="K2167" s="2" t="s">
        <v>33</v>
      </c>
      <c r="L2167" s="2" t="n">
        <v>426</v>
      </c>
      <c r="M2167" s="2" t="n">
        <v>3</v>
      </c>
      <c r="N2167" s="2" t="n">
        <v>-1</v>
      </c>
      <c r="O2167" s="2" t="n">
        <v>0</v>
      </c>
      <c r="P2167" s="2" t="s">
        <v>23</v>
      </c>
      <c r="Q2167" s="2" t="s">
        <v>20</v>
      </c>
    </row>
    <row r="2168" customFormat="false" ht="15" hidden="false" customHeight="false" outlineLevel="0" collapsed="false">
      <c r="A2168" s="2" t="n">
        <v>47</v>
      </c>
      <c r="B2168" s="2" t="s">
        <v>38</v>
      </c>
      <c r="C2168" s="2" t="s">
        <v>18</v>
      </c>
      <c r="D2168" s="2" t="s">
        <v>25</v>
      </c>
      <c r="E2168" s="2" t="s">
        <v>20</v>
      </c>
      <c r="F2168" s="2" t="n">
        <v>826</v>
      </c>
      <c r="G2168" s="2" t="s">
        <v>26</v>
      </c>
      <c r="H2168" s="2" t="s">
        <v>20</v>
      </c>
      <c r="I2168" s="2" t="s">
        <v>49</v>
      </c>
      <c r="J2168" s="2" t="n">
        <v>18</v>
      </c>
      <c r="K2168" s="2" t="s">
        <v>46</v>
      </c>
      <c r="L2168" s="2" t="n">
        <v>195</v>
      </c>
      <c r="M2168" s="2" t="n">
        <v>3</v>
      </c>
      <c r="N2168" s="2" t="n">
        <v>112</v>
      </c>
      <c r="O2168" s="2" t="n">
        <v>8</v>
      </c>
      <c r="P2168" s="2" t="s">
        <v>37</v>
      </c>
      <c r="Q2168" s="2" t="s">
        <v>20</v>
      </c>
    </row>
    <row r="2169" customFormat="false" ht="15" hidden="false" customHeight="false" outlineLevel="0" collapsed="false">
      <c r="A2169" s="2" t="n">
        <v>45</v>
      </c>
      <c r="B2169" s="2" t="s">
        <v>34</v>
      </c>
      <c r="C2169" s="2" t="s">
        <v>18</v>
      </c>
      <c r="D2169" s="2" t="s">
        <v>19</v>
      </c>
      <c r="E2169" s="2" t="s">
        <v>20</v>
      </c>
      <c r="F2169" s="2" t="n">
        <v>907</v>
      </c>
      <c r="G2169" s="2" t="s">
        <v>20</v>
      </c>
      <c r="H2169" s="2" t="s">
        <v>20</v>
      </c>
      <c r="I2169" s="2" t="s">
        <v>21</v>
      </c>
      <c r="J2169" s="2" t="n">
        <v>18</v>
      </c>
      <c r="K2169" s="2" t="s">
        <v>41</v>
      </c>
      <c r="L2169" s="2" t="n">
        <v>230</v>
      </c>
      <c r="M2169" s="2" t="n">
        <v>8</v>
      </c>
      <c r="N2169" s="2" t="n">
        <v>-1</v>
      </c>
      <c r="O2169" s="2" t="n">
        <v>0</v>
      </c>
      <c r="P2169" s="2" t="s">
        <v>23</v>
      </c>
      <c r="Q2169" s="2" t="s">
        <v>20</v>
      </c>
    </row>
    <row r="2170" customFormat="false" ht="15" hidden="false" customHeight="false" outlineLevel="0" collapsed="false">
      <c r="A2170" s="2" t="n">
        <v>40</v>
      </c>
      <c r="B2170" s="2" t="s">
        <v>24</v>
      </c>
      <c r="C2170" s="2" t="s">
        <v>18</v>
      </c>
      <c r="D2170" s="2" t="s">
        <v>25</v>
      </c>
      <c r="E2170" s="2" t="s">
        <v>20</v>
      </c>
      <c r="F2170" s="2" t="n">
        <v>1836</v>
      </c>
      <c r="G2170" s="2" t="s">
        <v>26</v>
      </c>
      <c r="H2170" s="2" t="s">
        <v>20</v>
      </c>
      <c r="I2170" s="2" t="s">
        <v>21</v>
      </c>
      <c r="J2170" s="2" t="n">
        <v>12</v>
      </c>
      <c r="K2170" s="2" t="s">
        <v>27</v>
      </c>
      <c r="L2170" s="2" t="n">
        <v>750</v>
      </c>
      <c r="M2170" s="2" t="n">
        <v>2</v>
      </c>
      <c r="N2170" s="2" t="n">
        <v>-1</v>
      </c>
      <c r="O2170" s="2" t="n">
        <v>0</v>
      </c>
      <c r="P2170" s="2" t="s">
        <v>23</v>
      </c>
      <c r="Q2170" s="2" t="s">
        <v>26</v>
      </c>
    </row>
    <row r="2171" customFormat="false" ht="15" hidden="false" customHeight="false" outlineLevel="0" collapsed="false">
      <c r="A2171" s="2" t="n">
        <v>29</v>
      </c>
      <c r="B2171" s="2" t="s">
        <v>39</v>
      </c>
      <c r="C2171" s="2" t="s">
        <v>30</v>
      </c>
      <c r="D2171" s="2" t="s">
        <v>25</v>
      </c>
      <c r="E2171" s="2" t="s">
        <v>20</v>
      </c>
      <c r="F2171" s="2" t="n">
        <v>404</v>
      </c>
      <c r="G2171" s="2" t="s">
        <v>20</v>
      </c>
      <c r="H2171" s="2" t="s">
        <v>20</v>
      </c>
      <c r="I2171" s="2" t="s">
        <v>21</v>
      </c>
      <c r="J2171" s="2" t="n">
        <v>30</v>
      </c>
      <c r="K2171" s="2" t="s">
        <v>43</v>
      </c>
      <c r="L2171" s="2" t="n">
        <v>413</v>
      </c>
      <c r="M2171" s="2" t="n">
        <v>3</v>
      </c>
      <c r="N2171" s="2" t="n">
        <v>-1</v>
      </c>
      <c r="O2171" s="2" t="n">
        <v>0</v>
      </c>
      <c r="P2171" s="2" t="s">
        <v>23</v>
      </c>
      <c r="Q2171" s="2" t="s">
        <v>20</v>
      </c>
    </row>
    <row r="2172" customFormat="false" ht="15" hidden="false" customHeight="false" outlineLevel="0" collapsed="false">
      <c r="A2172" s="2" t="n">
        <v>52</v>
      </c>
      <c r="B2172" s="2" t="s">
        <v>29</v>
      </c>
      <c r="C2172" s="2" t="s">
        <v>45</v>
      </c>
      <c r="D2172" s="2" t="s">
        <v>31</v>
      </c>
      <c r="E2172" s="2" t="s">
        <v>20</v>
      </c>
      <c r="F2172" s="2" t="n">
        <v>907</v>
      </c>
      <c r="G2172" s="2" t="s">
        <v>26</v>
      </c>
      <c r="H2172" s="2" t="s">
        <v>20</v>
      </c>
      <c r="I2172" s="2" t="s">
        <v>23</v>
      </c>
      <c r="J2172" s="2" t="n">
        <v>4</v>
      </c>
      <c r="K2172" s="2" t="s">
        <v>33</v>
      </c>
      <c r="L2172" s="2" t="n">
        <v>104</v>
      </c>
      <c r="M2172" s="2" t="n">
        <v>2</v>
      </c>
      <c r="N2172" s="2" t="n">
        <v>-1</v>
      </c>
      <c r="O2172" s="2" t="n">
        <v>0</v>
      </c>
      <c r="P2172" s="2" t="s">
        <v>23</v>
      </c>
      <c r="Q2172" s="2" t="s">
        <v>20</v>
      </c>
    </row>
    <row r="2173" customFormat="false" ht="15" hidden="false" customHeight="false" outlineLevel="0" collapsed="false">
      <c r="A2173" s="2" t="n">
        <v>26</v>
      </c>
      <c r="B2173" s="2" t="s">
        <v>38</v>
      </c>
      <c r="C2173" s="2" t="s">
        <v>18</v>
      </c>
      <c r="D2173" s="2" t="s">
        <v>25</v>
      </c>
      <c r="E2173" s="2" t="s">
        <v>20</v>
      </c>
      <c r="F2173" s="2" t="n">
        <v>18</v>
      </c>
      <c r="G2173" s="2" t="s">
        <v>26</v>
      </c>
      <c r="H2173" s="2" t="s">
        <v>26</v>
      </c>
      <c r="I2173" s="2" t="s">
        <v>21</v>
      </c>
      <c r="J2173" s="2" t="n">
        <v>5</v>
      </c>
      <c r="K2173" s="2" t="s">
        <v>27</v>
      </c>
      <c r="L2173" s="2" t="n">
        <v>138</v>
      </c>
      <c r="M2173" s="2" t="n">
        <v>1</v>
      </c>
      <c r="N2173" s="2" t="n">
        <v>-1</v>
      </c>
      <c r="O2173" s="2" t="n">
        <v>0</v>
      </c>
      <c r="P2173" s="2" t="s">
        <v>23</v>
      </c>
      <c r="Q2173" s="2" t="s">
        <v>20</v>
      </c>
    </row>
    <row r="2174" customFormat="false" ht="15" hidden="false" customHeight="false" outlineLevel="0" collapsed="false">
      <c r="A2174" s="2" t="n">
        <v>31</v>
      </c>
      <c r="B2174" s="2" t="s">
        <v>34</v>
      </c>
      <c r="C2174" s="2" t="s">
        <v>30</v>
      </c>
      <c r="D2174" s="2" t="s">
        <v>19</v>
      </c>
      <c r="E2174" s="2" t="s">
        <v>20</v>
      </c>
      <c r="F2174" s="2" t="n">
        <v>-495</v>
      </c>
      <c r="G2174" s="2" t="s">
        <v>26</v>
      </c>
      <c r="H2174" s="2" t="s">
        <v>20</v>
      </c>
      <c r="I2174" s="2" t="s">
        <v>23</v>
      </c>
      <c r="J2174" s="2" t="n">
        <v>29</v>
      </c>
      <c r="K2174" s="2" t="s">
        <v>27</v>
      </c>
      <c r="L2174" s="2" t="n">
        <v>334</v>
      </c>
      <c r="M2174" s="2" t="n">
        <v>2</v>
      </c>
      <c r="N2174" s="2" t="n">
        <v>-1</v>
      </c>
      <c r="O2174" s="2" t="n">
        <v>0</v>
      </c>
      <c r="P2174" s="2" t="s">
        <v>23</v>
      </c>
      <c r="Q2174" s="2" t="s">
        <v>20</v>
      </c>
    </row>
    <row r="2175" customFormat="false" ht="15" hidden="false" customHeight="false" outlineLevel="0" collapsed="false">
      <c r="A2175" s="2" t="n">
        <v>55</v>
      </c>
      <c r="B2175" s="2" t="s">
        <v>24</v>
      </c>
      <c r="C2175" s="2" t="s">
        <v>18</v>
      </c>
      <c r="D2175" s="2" t="s">
        <v>23</v>
      </c>
      <c r="E2175" s="2" t="s">
        <v>20</v>
      </c>
      <c r="F2175" s="2" t="n">
        <v>1210</v>
      </c>
      <c r="G2175" s="2" t="s">
        <v>26</v>
      </c>
      <c r="H2175" s="2" t="s">
        <v>20</v>
      </c>
      <c r="I2175" s="2" t="s">
        <v>23</v>
      </c>
      <c r="J2175" s="2" t="n">
        <v>30</v>
      </c>
      <c r="K2175" s="2" t="s">
        <v>27</v>
      </c>
      <c r="L2175" s="2" t="n">
        <v>868</v>
      </c>
      <c r="M2175" s="2" t="n">
        <v>1</v>
      </c>
      <c r="N2175" s="2" t="n">
        <v>-1</v>
      </c>
      <c r="O2175" s="2" t="n">
        <v>0</v>
      </c>
      <c r="P2175" s="2" t="s">
        <v>23</v>
      </c>
      <c r="Q2175" s="2" t="s">
        <v>20</v>
      </c>
    </row>
    <row r="2176" customFormat="false" ht="15" hidden="false" customHeight="false" outlineLevel="0" collapsed="false">
      <c r="A2176" s="2" t="n">
        <v>35</v>
      </c>
      <c r="B2176" s="2" t="s">
        <v>24</v>
      </c>
      <c r="C2176" s="2" t="s">
        <v>18</v>
      </c>
      <c r="D2176" s="2" t="s">
        <v>25</v>
      </c>
      <c r="E2176" s="2" t="s">
        <v>20</v>
      </c>
      <c r="F2176" s="2" t="n">
        <v>819</v>
      </c>
      <c r="G2176" s="2" t="s">
        <v>26</v>
      </c>
      <c r="H2176" s="2" t="s">
        <v>20</v>
      </c>
      <c r="I2176" s="2" t="s">
        <v>49</v>
      </c>
      <c r="J2176" s="2" t="n">
        <v>14</v>
      </c>
      <c r="K2176" s="2" t="s">
        <v>44</v>
      </c>
      <c r="L2176" s="2" t="n">
        <v>102</v>
      </c>
      <c r="M2176" s="2" t="n">
        <v>14</v>
      </c>
      <c r="N2176" s="2" t="n">
        <v>-1</v>
      </c>
      <c r="O2176" s="2" t="n">
        <v>0</v>
      </c>
      <c r="P2176" s="2" t="s">
        <v>23</v>
      </c>
      <c r="Q2176" s="2" t="s">
        <v>20</v>
      </c>
    </row>
    <row r="2177" customFormat="false" ht="15" hidden="false" customHeight="false" outlineLevel="0" collapsed="false">
      <c r="A2177" s="2" t="n">
        <v>56</v>
      </c>
      <c r="B2177" s="2" t="s">
        <v>29</v>
      </c>
      <c r="C2177" s="2" t="s">
        <v>45</v>
      </c>
      <c r="D2177" s="2" t="s">
        <v>31</v>
      </c>
      <c r="E2177" s="2" t="s">
        <v>20</v>
      </c>
      <c r="F2177" s="2" t="n">
        <v>442</v>
      </c>
      <c r="G2177" s="2" t="s">
        <v>20</v>
      </c>
      <c r="H2177" s="2" t="s">
        <v>20</v>
      </c>
      <c r="I2177" s="2" t="s">
        <v>23</v>
      </c>
      <c r="J2177" s="2" t="n">
        <v>28</v>
      </c>
      <c r="K2177" s="2" t="s">
        <v>27</v>
      </c>
      <c r="L2177" s="2" t="n">
        <v>77</v>
      </c>
      <c r="M2177" s="2" t="n">
        <v>3</v>
      </c>
      <c r="N2177" s="2" t="n">
        <v>-1</v>
      </c>
      <c r="O2177" s="2" t="n">
        <v>0</v>
      </c>
      <c r="P2177" s="2" t="s">
        <v>23</v>
      </c>
      <c r="Q2177" s="2" t="s">
        <v>20</v>
      </c>
    </row>
    <row r="2178" customFormat="false" ht="15" hidden="false" customHeight="false" outlineLevel="0" collapsed="false">
      <c r="A2178" s="2" t="n">
        <v>28</v>
      </c>
      <c r="B2178" s="2" t="s">
        <v>34</v>
      </c>
      <c r="C2178" s="2" t="s">
        <v>30</v>
      </c>
      <c r="D2178" s="2" t="s">
        <v>25</v>
      </c>
      <c r="E2178" s="2" t="s">
        <v>20</v>
      </c>
      <c r="F2178" s="2" t="n">
        <v>-46</v>
      </c>
      <c r="G2178" s="2" t="s">
        <v>26</v>
      </c>
      <c r="H2178" s="2" t="s">
        <v>20</v>
      </c>
      <c r="I2178" s="2" t="s">
        <v>21</v>
      </c>
      <c r="J2178" s="2" t="n">
        <v>1</v>
      </c>
      <c r="K2178" s="2" t="s">
        <v>51</v>
      </c>
      <c r="L2178" s="2" t="n">
        <v>199</v>
      </c>
      <c r="M2178" s="2" t="n">
        <v>1</v>
      </c>
      <c r="N2178" s="2" t="n">
        <v>92</v>
      </c>
      <c r="O2178" s="2" t="n">
        <v>14</v>
      </c>
      <c r="P2178" s="2" t="s">
        <v>50</v>
      </c>
      <c r="Q2178" s="2" t="s">
        <v>26</v>
      </c>
    </row>
    <row r="2179" customFormat="false" ht="15" hidden="false" customHeight="false" outlineLevel="0" collapsed="false">
      <c r="A2179" s="2" t="n">
        <v>27</v>
      </c>
      <c r="B2179" s="2" t="s">
        <v>42</v>
      </c>
      <c r="C2179" s="2" t="s">
        <v>30</v>
      </c>
      <c r="D2179" s="2" t="s">
        <v>25</v>
      </c>
      <c r="E2179" s="2" t="s">
        <v>20</v>
      </c>
      <c r="F2179" s="2" t="n">
        <v>671</v>
      </c>
      <c r="G2179" s="2" t="s">
        <v>26</v>
      </c>
      <c r="H2179" s="2" t="s">
        <v>20</v>
      </c>
      <c r="I2179" s="2" t="s">
        <v>23</v>
      </c>
      <c r="J2179" s="2" t="n">
        <v>7</v>
      </c>
      <c r="K2179" s="2" t="s">
        <v>27</v>
      </c>
      <c r="L2179" s="2" t="n">
        <v>332</v>
      </c>
      <c r="M2179" s="2" t="n">
        <v>2</v>
      </c>
      <c r="N2179" s="2" t="n">
        <v>-1</v>
      </c>
      <c r="O2179" s="2" t="n">
        <v>0</v>
      </c>
      <c r="P2179" s="2" t="s">
        <v>23</v>
      </c>
      <c r="Q2179" s="2" t="s">
        <v>20</v>
      </c>
    </row>
    <row r="2180" customFormat="false" ht="15" hidden="false" customHeight="false" outlineLevel="0" collapsed="false">
      <c r="A2180" s="2" t="n">
        <v>30</v>
      </c>
      <c r="B2180" s="2" t="s">
        <v>38</v>
      </c>
      <c r="C2180" s="2" t="s">
        <v>18</v>
      </c>
      <c r="D2180" s="2" t="s">
        <v>25</v>
      </c>
      <c r="E2180" s="2" t="s">
        <v>20</v>
      </c>
      <c r="F2180" s="2" t="n">
        <v>371</v>
      </c>
      <c r="G2180" s="2" t="s">
        <v>20</v>
      </c>
      <c r="H2180" s="2" t="s">
        <v>20</v>
      </c>
      <c r="I2180" s="2" t="s">
        <v>21</v>
      </c>
      <c r="J2180" s="2" t="n">
        <v>7</v>
      </c>
      <c r="K2180" s="2" t="s">
        <v>41</v>
      </c>
      <c r="L2180" s="2" t="n">
        <v>124</v>
      </c>
      <c r="M2180" s="2" t="n">
        <v>2</v>
      </c>
      <c r="N2180" s="2" t="n">
        <v>-1</v>
      </c>
      <c r="O2180" s="2" t="n">
        <v>0</v>
      </c>
      <c r="P2180" s="2" t="s">
        <v>23</v>
      </c>
      <c r="Q2180" s="2" t="s">
        <v>20</v>
      </c>
    </row>
    <row r="2181" customFormat="false" ht="15" hidden="false" customHeight="false" outlineLevel="0" collapsed="false">
      <c r="A2181" s="2" t="n">
        <v>51</v>
      </c>
      <c r="B2181" s="2" t="s">
        <v>38</v>
      </c>
      <c r="C2181" s="2" t="s">
        <v>18</v>
      </c>
      <c r="D2181" s="2" t="s">
        <v>31</v>
      </c>
      <c r="E2181" s="2" t="s">
        <v>20</v>
      </c>
      <c r="F2181" s="2" t="n">
        <v>-3</v>
      </c>
      <c r="G2181" s="2" t="s">
        <v>20</v>
      </c>
      <c r="H2181" s="2" t="s">
        <v>20</v>
      </c>
      <c r="I2181" s="2" t="s">
        <v>21</v>
      </c>
      <c r="J2181" s="2" t="n">
        <v>25</v>
      </c>
      <c r="K2181" s="2" t="s">
        <v>41</v>
      </c>
      <c r="L2181" s="2" t="n">
        <v>91</v>
      </c>
      <c r="M2181" s="2" t="n">
        <v>9</v>
      </c>
      <c r="N2181" s="2" t="n">
        <v>-1</v>
      </c>
      <c r="O2181" s="2" t="n">
        <v>0</v>
      </c>
      <c r="P2181" s="2" t="s">
        <v>23</v>
      </c>
      <c r="Q2181" s="2" t="s">
        <v>20</v>
      </c>
    </row>
    <row r="2182" customFormat="false" ht="15" hidden="false" customHeight="false" outlineLevel="0" collapsed="false">
      <c r="A2182" s="2" t="n">
        <v>33</v>
      </c>
      <c r="B2182" s="2" t="s">
        <v>29</v>
      </c>
      <c r="C2182" s="2" t="s">
        <v>18</v>
      </c>
      <c r="D2182" s="2" t="s">
        <v>25</v>
      </c>
      <c r="E2182" s="2" t="s">
        <v>20</v>
      </c>
      <c r="F2182" s="2" t="n">
        <v>11</v>
      </c>
      <c r="G2182" s="2" t="s">
        <v>26</v>
      </c>
      <c r="H2182" s="2" t="s">
        <v>20</v>
      </c>
      <c r="I2182" s="2" t="s">
        <v>21</v>
      </c>
      <c r="J2182" s="2" t="n">
        <v>4</v>
      </c>
      <c r="K2182" s="2" t="s">
        <v>27</v>
      </c>
      <c r="L2182" s="2" t="n">
        <v>104</v>
      </c>
      <c r="M2182" s="2" t="n">
        <v>3</v>
      </c>
      <c r="N2182" s="2" t="n">
        <v>-1</v>
      </c>
      <c r="O2182" s="2" t="n">
        <v>0</v>
      </c>
      <c r="P2182" s="2" t="s">
        <v>23</v>
      </c>
      <c r="Q2182" s="2" t="s">
        <v>20</v>
      </c>
    </row>
    <row r="2183" customFormat="false" ht="15" hidden="false" customHeight="false" outlineLevel="0" collapsed="false">
      <c r="A2183" s="2" t="n">
        <v>32</v>
      </c>
      <c r="B2183" s="2" t="s">
        <v>34</v>
      </c>
      <c r="C2183" s="2" t="s">
        <v>30</v>
      </c>
      <c r="D2183" s="2" t="s">
        <v>25</v>
      </c>
      <c r="E2183" s="2" t="s">
        <v>20</v>
      </c>
      <c r="F2183" s="2" t="n">
        <v>33</v>
      </c>
      <c r="G2183" s="2" t="s">
        <v>26</v>
      </c>
      <c r="H2183" s="2" t="s">
        <v>20</v>
      </c>
      <c r="I2183" s="2" t="s">
        <v>21</v>
      </c>
      <c r="J2183" s="2" t="n">
        <v>18</v>
      </c>
      <c r="K2183" s="2" t="s">
        <v>27</v>
      </c>
      <c r="L2183" s="2" t="n">
        <v>125</v>
      </c>
      <c r="M2183" s="2" t="n">
        <v>1</v>
      </c>
      <c r="N2183" s="2" t="n">
        <v>368</v>
      </c>
      <c r="O2183" s="2" t="n">
        <v>4</v>
      </c>
      <c r="P2183" s="2" t="s">
        <v>28</v>
      </c>
      <c r="Q2183" s="2" t="s">
        <v>20</v>
      </c>
    </row>
    <row r="2184" customFormat="false" ht="15" hidden="false" customHeight="false" outlineLevel="0" collapsed="false">
      <c r="A2184" s="2" t="n">
        <v>43</v>
      </c>
      <c r="B2184" s="2" t="s">
        <v>39</v>
      </c>
      <c r="C2184" s="2" t="s">
        <v>18</v>
      </c>
      <c r="D2184" s="2" t="s">
        <v>25</v>
      </c>
      <c r="E2184" s="2" t="s">
        <v>20</v>
      </c>
      <c r="F2184" s="2" t="n">
        <v>104</v>
      </c>
      <c r="G2184" s="2" t="s">
        <v>26</v>
      </c>
      <c r="H2184" s="2" t="s">
        <v>20</v>
      </c>
      <c r="I2184" s="2" t="s">
        <v>21</v>
      </c>
      <c r="J2184" s="2" t="n">
        <v>18</v>
      </c>
      <c r="K2184" s="2" t="s">
        <v>44</v>
      </c>
      <c r="L2184" s="2" t="n">
        <v>635</v>
      </c>
      <c r="M2184" s="2" t="n">
        <v>3</v>
      </c>
      <c r="N2184" s="2" t="n">
        <v>-1</v>
      </c>
      <c r="O2184" s="2" t="n">
        <v>0</v>
      </c>
      <c r="P2184" s="2" t="s">
        <v>23</v>
      </c>
      <c r="Q2184" s="2" t="s">
        <v>26</v>
      </c>
    </row>
    <row r="2185" customFormat="false" ht="15" hidden="false" customHeight="false" outlineLevel="0" collapsed="false">
      <c r="A2185" s="2" t="n">
        <v>46</v>
      </c>
      <c r="B2185" s="2" t="s">
        <v>34</v>
      </c>
      <c r="C2185" s="2" t="s">
        <v>18</v>
      </c>
      <c r="D2185" s="2" t="s">
        <v>19</v>
      </c>
      <c r="E2185" s="2" t="s">
        <v>20</v>
      </c>
      <c r="F2185" s="2" t="n">
        <v>174</v>
      </c>
      <c r="G2185" s="2" t="s">
        <v>20</v>
      </c>
      <c r="H2185" s="2" t="s">
        <v>26</v>
      </c>
      <c r="I2185" s="2" t="s">
        <v>21</v>
      </c>
      <c r="J2185" s="2" t="n">
        <v>15</v>
      </c>
      <c r="K2185" s="2" t="s">
        <v>44</v>
      </c>
      <c r="L2185" s="2" t="n">
        <v>90</v>
      </c>
      <c r="M2185" s="2" t="n">
        <v>1</v>
      </c>
      <c r="N2185" s="2" t="n">
        <v>-1</v>
      </c>
      <c r="O2185" s="2" t="n">
        <v>0</v>
      </c>
      <c r="P2185" s="2" t="s">
        <v>23</v>
      </c>
      <c r="Q2185" s="2" t="s">
        <v>20</v>
      </c>
    </row>
    <row r="2186" customFormat="false" ht="15" hidden="false" customHeight="false" outlineLevel="0" collapsed="false">
      <c r="A2186" s="2" t="n">
        <v>32</v>
      </c>
      <c r="B2186" s="2" t="s">
        <v>29</v>
      </c>
      <c r="C2186" s="2" t="s">
        <v>18</v>
      </c>
      <c r="D2186" s="2" t="s">
        <v>31</v>
      </c>
      <c r="E2186" s="2" t="s">
        <v>20</v>
      </c>
      <c r="F2186" s="2" t="n">
        <v>3107</v>
      </c>
      <c r="G2186" s="2" t="s">
        <v>26</v>
      </c>
      <c r="H2186" s="2" t="s">
        <v>26</v>
      </c>
      <c r="I2186" s="2" t="s">
        <v>21</v>
      </c>
      <c r="J2186" s="2" t="n">
        <v>25</v>
      </c>
      <c r="K2186" s="2" t="s">
        <v>44</v>
      </c>
      <c r="L2186" s="2" t="n">
        <v>310</v>
      </c>
      <c r="M2186" s="2" t="n">
        <v>1</v>
      </c>
      <c r="N2186" s="2" t="n">
        <v>-1</v>
      </c>
      <c r="O2186" s="2" t="n">
        <v>0</v>
      </c>
      <c r="P2186" s="2" t="s">
        <v>23</v>
      </c>
      <c r="Q2186" s="2" t="s">
        <v>20</v>
      </c>
    </row>
    <row r="2187" customFormat="false" ht="15" hidden="false" customHeight="false" outlineLevel="0" collapsed="false">
      <c r="A2187" s="2" t="n">
        <v>40</v>
      </c>
      <c r="B2187" s="2" t="s">
        <v>24</v>
      </c>
      <c r="C2187" s="2" t="s">
        <v>18</v>
      </c>
      <c r="D2187" s="2" t="s">
        <v>25</v>
      </c>
      <c r="E2187" s="2" t="s">
        <v>20</v>
      </c>
      <c r="F2187" s="2" t="n">
        <v>1438</v>
      </c>
      <c r="G2187" s="2" t="s">
        <v>26</v>
      </c>
      <c r="H2187" s="2" t="s">
        <v>20</v>
      </c>
      <c r="I2187" s="2" t="s">
        <v>21</v>
      </c>
      <c r="J2187" s="2" t="n">
        <v>6</v>
      </c>
      <c r="K2187" s="2" t="s">
        <v>27</v>
      </c>
      <c r="L2187" s="2" t="n">
        <v>207</v>
      </c>
      <c r="M2187" s="2" t="n">
        <v>1</v>
      </c>
      <c r="N2187" s="2" t="n">
        <v>351</v>
      </c>
      <c r="O2187" s="2" t="n">
        <v>2</v>
      </c>
      <c r="P2187" s="2" t="s">
        <v>28</v>
      </c>
      <c r="Q2187" s="2" t="s">
        <v>20</v>
      </c>
    </row>
    <row r="2188" customFormat="false" ht="15" hidden="false" customHeight="false" outlineLevel="0" collapsed="false">
      <c r="A2188" s="2" t="n">
        <v>39</v>
      </c>
      <c r="B2188" s="2" t="s">
        <v>34</v>
      </c>
      <c r="C2188" s="2" t="s">
        <v>18</v>
      </c>
      <c r="D2188" s="2" t="s">
        <v>25</v>
      </c>
      <c r="E2188" s="2" t="s">
        <v>20</v>
      </c>
      <c r="F2188" s="2" t="n">
        <v>1367</v>
      </c>
      <c r="G2188" s="2" t="s">
        <v>20</v>
      </c>
      <c r="H2188" s="2" t="s">
        <v>20</v>
      </c>
      <c r="I2188" s="2" t="s">
        <v>23</v>
      </c>
      <c r="J2188" s="2" t="n">
        <v>12</v>
      </c>
      <c r="K2188" s="2" t="s">
        <v>33</v>
      </c>
      <c r="L2188" s="2" t="n">
        <v>43</v>
      </c>
      <c r="M2188" s="2" t="n">
        <v>1</v>
      </c>
      <c r="N2188" s="2" t="n">
        <v>-1</v>
      </c>
      <c r="O2188" s="2" t="n">
        <v>0</v>
      </c>
      <c r="P2188" s="2" t="s">
        <v>23</v>
      </c>
      <c r="Q2188" s="2" t="s">
        <v>20</v>
      </c>
    </row>
    <row r="2189" customFormat="false" ht="15" hidden="false" customHeight="false" outlineLevel="0" collapsed="false">
      <c r="A2189" s="2" t="n">
        <v>51</v>
      </c>
      <c r="B2189" s="2" t="s">
        <v>34</v>
      </c>
      <c r="C2189" s="2" t="s">
        <v>18</v>
      </c>
      <c r="D2189" s="2" t="s">
        <v>19</v>
      </c>
      <c r="E2189" s="2" t="s">
        <v>20</v>
      </c>
      <c r="F2189" s="2" t="n">
        <v>-11</v>
      </c>
      <c r="G2189" s="2" t="s">
        <v>20</v>
      </c>
      <c r="H2189" s="2" t="s">
        <v>20</v>
      </c>
      <c r="I2189" s="2" t="s">
        <v>49</v>
      </c>
      <c r="J2189" s="2" t="n">
        <v>16</v>
      </c>
      <c r="K2189" s="2" t="s">
        <v>44</v>
      </c>
      <c r="L2189" s="2" t="n">
        <v>126</v>
      </c>
      <c r="M2189" s="2" t="n">
        <v>4</v>
      </c>
      <c r="N2189" s="2" t="n">
        <v>-1</v>
      </c>
      <c r="O2189" s="2" t="n">
        <v>0</v>
      </c>
      <c r="P2189" s="2" t="s">
        <v>23</v>
      </c>
      <c r="Q2189" s="2" t="s">
        <v>20</v>
      </c>
    </row>
    <row r="2190" customFormat="false" ht="15" hidden="false" customHeight="false" outlineLevel="0" collapsed="false">
      <c r="A2190" s="2" t="n">
        <v>46</v>
      </c>
      <c r="B2190" s="2" t="s">
        <v>40</v>
      </c>
      <c r="C2190" s="2" t="s">
        <v>30</v>
      </c>
      <c r="D2190" s="2" t="s">
        <v>25</v>
      </c>
      <c r="E2190" s="2" t="s">
        <v>20</v>
      </c>
      <c r="F2190" s="2" t="n">
        <v>1693</v>
      </c>
      <c r="G2190" s="2" t="s">
        <v>26</v>
      </c>
      <c r="H2190" s="2" t="s">
        <v>20</v>
      </c>
      <c r="I2190" s="2" t="s">
        <v>21</v>
      </c>
      <c r="J2190" s="2" t="n">
        <v>25</v>
      </c>
      <c r="K2190" s="2" t="s">
        <v>43</v>
      </c>
      <c r="L2190" s="2" t="n">
        <v>137</v>
      </c>
      <c r="M2190" s="2" t="n">
        <v>1</v>
      </c>
      <c r="N2190" s="2" t="n">
        <v>97</v>
      </c>
      <c r="O2190" s="2" t="n">
        <v>1</v>
      </c>
      <c r="P2190" s="2" t="s">
        <v>50</v>
      </c>
      <c r="Q2190" s="2" t="s">
        <v>20</v>
      </c>
    </row>
    <row r="2191" customFormat="false" ht="15" hidden="false" customHeight="false" outlineLevel="0" collapsed="false">
      <c r="A2191" s="2" t="n">
        <v>43</v>
      </c>
      <c r="B2191" s="2" t="s">
        <v>34</v>
      </c>
      <c r="C2191" s="2" t="s">
        <v>18</v>
      </c>
      <c r="D2191" s="2" t="s">
        <v>19</v>
      </c>
      <c r="E2191" s="2" t="s">
        <v>20</v>
      </c>
      <c r="F2191" s="2" t="n">
        <v>778</v>
      </c>
      <c r="G2191" s="2" t="s">
        <v>26</v>
      </c>
      <c r="H2191" s="2" t="s">
        <v>26</v>
      </c>
      <c r="I2191" s="2" t="s">
        <v>23</v>
      </c>
      <c r="J2191" s="2" t="n">
        <v>15</v>
      </c>
      <c r="K2191" s="2" t="s">
        <v>27</v>
      </c>
      <c r="L2191" s="2" t="n">
        <v>284</v>
      </c>
      <c r="M2191" s="2" t="n">
        <v>5</v>
      </c>
      <c r="N2191" s="2" t="n">
        <v>-1</v>
      </c>
      <c r="O2191" s="2" t="n">
        <v>0</v>
      </c>
      <c r="P2191" s="2" t="s">
        <v>23</v>
      </c>
      <c r="Q2191" s="2" t="s">
        <v>20</v>
      </c>
    </row>
    <row r="2192" customFormat="false" ht="15" hidden="false" customHeight="false" outlineLevel="0" collapsed="false">
      <c r="A2192" s="2" t="n">
        <v>36</v>
      </c>
      <c r="B2192" s="2" t="s">
        <v>38</v>
      </c>
      <c r="C2192" s="2" t="s">
        <v>18</v>
      </c>
      <c r="D2192" s="2" t="s">
        <v>31</v>
      </c>
      <c r="E2192" s="2" t="s">
        <v>20</v>
      </c>
      <c r="F2192" s="2" t="n">
        <v>837</v>
      </c>
      <c r="G2192" s="2" t="s">
        <v>20</v>
      </c>
      <c r="H2192" s="2" t="s">
        <v>20</v>
      </c>
      <c r="I2192" s="2" t="s">
        <v>21</v>
      </c>
      <c r="J2192" s="2" t="n">
        <v>28</v>
      </c>
      <c r="K2192" s="2" t="s">
        <v>41</v>
      </c>
      <c r="L2192" s="2" t="n">
        <v>68</v>
      </c>
      <c r="M2192" s="2" t="n">
        <v>6</v>
      </c>
      <c r="N2192" s="2" t="n">
        <v>-1</v>
      </c>
      <c r="O2192" s="2" t="n">
        <v>0</v>
      </c>
      <c r="P2192" s="2" t="s">
        <v>23</v>
      </c>
      <c r="Q2192" s="2" t="s">
        <v>20</v>
      </c>
    </row>
    <row r="2193" customFormat="false" ht="15" hidden="false" customHeight="false" outlineLevel="0" collapsed="false">
      <c r="A2193" s="2" t="n">
        <v>48</v>
      </c>
      <c r="B2193" s="2" t="s">
        <v>29</v>
      </c>
      <c r="C2193" s="2" t="s">
        <v>18</v>
      </c>
      <c r="D2193" s="2" t="s">
        <v>31</v>
      </c>
      <c r="E2193" s="2" t="s">
        <v>20</v>
      </c>
      <c r="F2193" s="2" t="n">
        <v>363</v>
      </c>
      <c r="G2193" s="2" t="s">
        <v>20</v>
      </c>
      <c r="H2193" s="2" t="s">
        <v>20</v>
      </c>
      <c r="I2193" s="2" t="s">
        <v>21</v>
      </c>
      <c r="J2193" s="2" t="n">
        <v>18</v>
      </c>
      <c r="K2193" s="2" t="s">
        <v>46</v>
      </c>
      <c r="L2193" s="2" t="n">
        <v>67</v>
      </c>
      <c r="M2193" s="2" t="n">
        <v>1</v>
      </c>
      <c r="N2193" s="2" t="n">
        <v>-1</v>
      </c>
      <c r="O2193" s="2" t="n">
        <v>0</v>
      </c>
      <c r="P2193" s="2" t="s">
        <v>23</v>
      </c>
      <c r="Q2193" s="2" t="s">
        <v>20</v>
      </c>
    </row>
    <row r="2194" customFormat="false" ht="15" hidden="false" customHeight="false" outlineLevel="0" collapsed="false">
      <c r="A2194" s="2" t="n">
        <v>26</v>
      </c>
      <c r="B2194" s="2" t="s">
        <v>40</v>
      </c>
      <c r="C2194" s="2" t="s">
        <v>30</v>
      </c>
      <c r="D2194" s="2" t="s">
        <v>25</v>
      </c>
      <c r="E2194" s="2" t="s">
        <v>20</v>
      </c>
      <c r="F2194" s="2" t="n">
        <v>236</v>
      </c>
      <c r="G2194" s="2" t="s">
        <v>26</v>
      </c>
      <c r="H2194" s="2" t="s">
        <v>26</v>
      </c>
      <c r="I2194" s="2" t="s">
        <v>21</v>
      </c>
      <c r="J2194" s="2" t="n">
        <v>18</v>
      </c>
      <c r="K2194" s="2" t="s">
        <v>27</v>
      </c>
      <c r="L2194" s="2" t="n">
        <v>8</v>
      </c>
      <c r="M2194" s="2" t="n">
        <v>2</v>
      </c>
      <c r="N2194" s="2" t="n">
        <v>-1</v>
      </c>
      <c r="O2194" s="2" t="n">
        <v>0</v>
      </c>
      <c r="P2194" s="2" t="s">
        <v>23</v>
      </c>
      <c r="Q2194" s="2" t="s">
        <v>20</v>
      </c>
    </row>
    <row r="2195" customFormat="false" ht="15" hidden="false" customHeight="false" outlineLevel="0" collapsed="false">
      <c r="A2195" s="2" t="n">
        <v>39</v>
      </c>
      <c r="B2195" s="2" t="s">
        <v>40</v>
      </c>
      <c r="C2195" s="2" t="s">
        <v>30</v>
      </c>
      <c r="D2195" s="2" t="s">
        <v>23</v>
      </c>
      <c r="E2195" s="2" t="s">
        <v>20</v>
      </c>
      <c r="F2195" s="2" t="n">
        <v>0</v>
      </c>
      <c r="G2195" s="2" t="s">
        <v>26</v>
      </c>
      <c r="H2195" s="2" t="s">
        <v>20</v>
      </c>
      <c r="I2195" s="2" t="s">
        <v>21</v>
      </c>
      <c r="J2195" s="2" t="n">
        <v>11</v>
      </c>
      <c r="K2195" s="2" t="s">
        <v>27</v>
      </c>
      <c r="L2195" s="2" t="n">
        <v>62</v>
      </c>
      <c r="M2195" s="2" t="n">
        <v>1</v>
      </c>
      <c r="N2195" s="2" t="n">
        <v>-1</v>
      </c>
      <c r="O2195" s="2" t="n">
        <v>0</v>
      </c>
      <c r="P2195" s="2" t="s">
        <v>23</v>
      </c>
      <c r="Q2195" s="2" t="s">
        <v>20</v>
      </c>
    </row>
    <row r="2196" customFormat="false" ht="15" hidden="false" customHeight="false" outlineLevel="0" collapsed="false">
      <c r="A2196" s="2" t="n">
        <v>47</v>
      </c>
      <c r="B2196" s="2" t="s">
        <v>29</v>
      </c>
      <c r="C2196" s="2" t="s">
        <v>18</v>
      </c>
      <c r="D2196" s="2" t="s">
        <v>31</v>
      </c>
      <c r="E2196" s="2" t="s">
        <v>20</v>
      </c>
      <c r="F2196" s="2" t="n">
        <v>-50</v>
      </c>
      <c r="G2196" s="2" t="s">
        <v>20</v>
      </c>
      <c r="H2196" s="2" t="s">
        <v>26</v>
      </c>
      <c r="I2196" s="2" t="s">
        <v>21</v>
      </c>
      <c r="J2196" s="2" t="n">
        <v>7</v>
      </c>
      <c r="K2196" s="2" t="s">
        <v>44</v>
      </c>
      <c r="L2196" s="2" t="n">
        <v>175</v>
      </c>
      <c r="M2196" s="2" t="n">
        <v>1</v>
      </c>
      <c r="N2196" s="2" t="n">
        <v>-1</v>
      </c>
      <c r="O2196" s="2" t="n">
        <v>0</v>
      </c>
      <c r="P2196" s="2" t="s">
        <v>23</v>
      </c>
      <c r="Q2196" s="2" t="s">
        <v>20</v>
      </c>
    </row>
    <row r="2197" customFormat="false" ht="15" hidden="false" customHeight="false" outlineLevel="0" collapsed="false">
      <c r="A2197" s="2" t="n">
        <v>23</v>
      </c>
      <c r="B2197" s="2" t="s">
        <v>39</v>
      </c>
      <c r="C2197" s="2" t="s">
        <v>30</v>
      </c>
      <c r="D2197" s="2" t="s">
        <v>19</v>
      </c>
      <c r="E2197" s="2" t="s">
        <v>20</v>
      </c>
      <c r="F2197" s="2" t="n">
        <v>4</v>
      </c>
      <c r="G2197" s="2" t="s">
        <v>26</v>
      </c>
      <c r="H2197" s="2" t="s">
        <v>20</v>
      </c>
      <c r="I2197" s="2" t="s">
        <v>23</v>
      </c>
      <c r="J2197" s="2" t="n">
        <v>13</v>
      </c>
      <c r="K2197" s="2" t="s">
        <v>27</v>
      </c>
      <c r="L2197" s="2" t="n">
        <v>395</v>
      </c>
      <c r="M2197" s="2" t="n">
        <v>2</v>
      </c>
      <c r="N2197" s="2" t="n">
        <v>-1</v>
      </c>
      <c r="O2197" s="2" t="n">
        <v>0</v>
      </c>
      <c r="P2197" s="2" t="s">
        <v>23</v>
      </c>
      <c r="Q2197" s="2" t="s">
        <v>26</v>
      </c>
    </row>
    <row r="2198" customFormat="false" ht="15" hidden="false" customHeight="false" outlineLevel="0" collapsed="false">
      <c r="A2198" s="2" t="n">
        <v>54</v>
      </c>
      <c r="B2198" s="2" t="s">
        <v>29</v>
      </c>
      <c r="C2198" s="2" t="s">
        <v>45</v>
      </c>
      <c r="D2198" s="2" t="s">
        <v>31</v>
      </c>
      <c r="E2198" s="2" t="s">
        <v>20</v>
      </c>
      <c r="F2198" s="2" t="n">
        <v>26306</v>
      </c>
      <c r="G2198" s="2" t="s">
        <v>26</v>
      </c>
      <c r="H2198" s="2" t="s">
        <v>20</v>
      </c>
      <c r="I2198" s="2" t="s">
        <v>21</v>
      </c>
      <c r="J2198" s="2" t="n">
        <v>11</v>
      </c>
      <c r="K2198" s="2" t="s">
        <v>35</v>
      </c>
      <c r="L2198" s="2" t="n">
        <v>27</v>
      </c>
      <c r="M2198" s="2" t="n">
        <v>1</v>
      </c>
      <c r="N2198" s="2" t="n">
        <v>84</v>
      </c>
      <c r="O2198" s="2" t="n">
        <v>3</v>
      </c>
      <c r="P2198" s="2" t="s">
        <v>28</v>
      </c>
      <c r="Q2198" s="2" t="s">
        <v>20</v>
      </c>
    </row>
    <row r="2199" customFormat="false" ht="15" hidden="false" customHeight="false" outlineLevel="0" collapsed="false">
      <c r="A2199" s="2" t="n">
        <v>38</v>
      </c>
      <c r="B2199" s="2" t="s">
        <v>40</v>
      </c>
      <c r="C2199" s="2" t="s">
        <v>18</v>
      </c>
      <c r="D2199" s="2" t="s">
        <v>25</v>
      </c>
      <c r="E2199" s="2" t="s">
        <v>20</v>
      </c>
      <c r="F2199" s="2" t="n">
        <v>46</v>
      </c>
      <c r="G2199" s="2" t="s">
        <v>26</v>
      </c>
      <c r="H2199" s="2" t="s">
        <v>26</v>
      </c>
      <c r="I2199" s="2" t="s">
        <v>23</v>
      </c>
      <c r="J2199" s="2" t="n">
        <v>6</v>
      </c>
      <c r="K2199" s="2" t="s">
        <v>27</v>
      </c>
      <c r="L2199" s="2" t="n">
        <v>195</v>
      </c>
      <c r="M2199" s="2" t="n">
        <v>1</v>
      </c>
      <c r="N2199" s="2" t="n">
        <v>-1</v>
      </c>
      <c r="O2199" s="2" t="n">
        <v>0</v>
      </c>
      <c r="P2199" s="2" t="s">
        <v>23</v>
      </c>
      <c r="Q2199" s="2" t="s">
        <v>20</v>
      </c>
    </row>
    <row r="2200" customFormat="false" ht="15" hidden="false" customHeight="false" outlineLevel="0" collapsed="false">
      <c r="A2200" s="2" t="n">
        <v>33</v>
      </c>
      <c r="B2200" s="2" t="s">
        <v>38</v>
      </c>
      <c r="C2200" s="2" t="s">
        <v>18</v>
      </c>
      <c r="D2200" s="2" t="s">
        <v>25</v>
      </c>
      <c r="E2200" s="2" t="s">
        <v>20</v>
      </c>
      <c r="F2200" s="2" t="n">
        <v>575</v>
      </c>
      <c r="G2200" s="2" t="s">
        <v>20</v>
      </c>
      <c r="H2200" s="2" t="s">
        <v>26</v>
      </c>
      <c r="I2200" s="2" t="s">
        <v>21</v>
      </c>
      <c r="J2200" s="2" t="n">
        <v>4</v>
      </c>
      <c r="K2200" s="2" t="s">
        <v>35</v>
      </c>
      <c r="L2200" s="2" t="n">
        <v>254</v>
      </c>
      <c r="M2200" s="2" t="n">
        <v>2</v>
      </c>
      <c r="N2200" s="2" t="n">
        <v>-1</v>
      </c>
      <c r="O2200" s="2" t="n">
        <v>0</v>
      </c>
      <c r="P2200" s="2" t="s">
        <v>23</v>
      </c>
      <c r="Q2200" s="2" t="s">
        <v>20</v>
      </c>
    </row>
    <row r="2201" customFormat="false" ht="15" hidden="false" customHeight="false" outlineLevel="0" collapsed="false">
      <c r="A2201" s="2" t="n">
        <v>35</v>
      </c>
      <c r="B2201" s="2" t="s">
        <v>40</v>
      </c>
      <c r="C2201" s="2" t="s">
        <v>45</v>
      </c>
      <c r="D2201" s="2" t="s">
        <v>25</v>
      </c>
      <c r="E2201" s="2" t="s">
        <v>20</v>
      </c>
      <c r="F2201" s="2" t="n">
        <v>148</v>
      </c>
      <c r="G2201" s="2" t="s">
        <v>20</v>
      </c>
      <c r="H2201" s="2" t="s">
        <v>26</v>
      </c>
      <c r="I2201" s="2" t="s">
        <v>21</v>
      </c>
      <c r="J2201" s="2" t="n">
        <v>8</v>
      </c>
      <c r="K2201" s="2" t="s">
        <v>44</v>
      </c>
      <c r="L2201" s="2" t="n">
        <v>199</v>
      </c>
      <c r="M2201" s="2" t="n">
        <v>1</v>
      </c>
      <c r="N2201" s="2" t="n">
        <v>-1</v>
      </c>
      <c r="O2201" s="2" t="n">
        <v>0</v>
      </c>
      <c r="P2201" s="2" t="s">
        <v>23</v>
      </c>
      <c r="Q2201" s="2" t="s">
        <v>20</v>
      </c>
    </row>
    <row r="2202" customFormat="false" ht="15" hidden="false" customHeight="false" outlineLevel="0" collapsed="false">
      <c r="A2202" s="2" t="n">
        <v>52</v>
      </c>
      <c r="B2202" s="2" t="s">
        <v>24</v>
      </c>
      <c r="C2202" s="2" t="s">
        <v>18</v>
      </c>
      <c r="D2202" s="2" t="s">
        <v>25</v>
      </c>
      <c r="E2202" s="2" t="s">
        <v>20</v>
      </c>
      <c r="F2202" s="2" t="n">
        <v>431</v>
      </c>
      <c r="G2202" s="2" t="s">
        <v>20</v>
      </c>
      <c r="H2202" s="2" t="s">
        <v>20</v>
      </c>
      <c r="I2202" s="2" t="s">
        <v>21</v>
      </c>
      <c r="J2202" s="2" t="n">
        <v>26</v>
      </c>
      <c r="K2202" s="2" t="s">
        <v>41</v>
      </c>
      <c r="L2202" s="2" t="n">
        <v>73</v>
      </c>
      <c r="M2202" s="2" t="n">
        <v>17</v>
      </c>
      <c r="N2202" s="2" t="n">
        <v>-1</v>
      </c>
      <c r="O2202" s="2" t="n">
        <v>0</v>
      </c>
      <c r="P2202" s="2" t="s">
        <v>23</v>
      </c>
      <c r="Q2202" s="2" t="s">
        <v>20</v>
      </c>
    </row>
    <row r="2203" customFormat="false" ht="15" hidden="false" customHeight="false" outlineLevel="0" collapsed="false">
      <c r="A2203" s="2" t="n">
        <v>25</v>
      </c>
      <c r="B2203" s="2" t="s">
        <v>38</v>
      </c>
      <c r="C2203" s="2" t="s">
        <v>30</v>
      </c>
      <c r="D2203" s="2" t="s">
        <v>31</v>
      </c>
      <c r="E2203" s="2" t="s">
        <v>20</v>
      </c>
      <c r="F2203" s="2" t="n">
        <v>777</v>
      </c>
      <c r="G2203" s="2" t="s">
        <v>26</v>
      </c>
      <c r="H2203" s="2" t="s">
        <v>20</v>
      </c>
      <c r="I2203" s="2" t="s">
        <v>23</v>
      </c>
      <c r="J2203" s="2" t="n">
        <v>14</v>
      </c>
      <c r="K2203" s="2" t="s">
        <v>27</v>
      </c>
      <c r="L2203" s="2" t="n">
        <v>351</v>
      </c>
      <c r="M2203" s="2" t="n">
        <v>1</v>
      </c>
      <c r="N2203" s="2" t="n">
        <v>-1</v>
      </c>
      <c r="O2203" s="2" t="n">
        <v>0</v>
      </c>
      <c r="P2203" s="2" t="s">
        <v>23</v>
      </c>
      <c r="Q2203" s="2" t="s">
        <v>20</v>
      </c>
    </row>
    <row r="2204" customFormat="false" ht="15" hidden="false" customHeight="false" outlineLevel="0" collapsed="false">
      <c r="A2204" s="2" t="n">
        <v>29</v>
      </c>
      <c r="B2204" s="2" t="s">
        <v>29</v>
      </c>
      <c r="C2204" s="2" t="s">
        <v>18</v>
      </c>
      <c r="D2204" s="2" t="s">
        <v>31</v>
      </c>
      <c r="E2204" s="2" t="s">
        <v>20</v>
      </c>
      <c r="F2204" s="2" t="n">
        <v>199</v>
      </c>
      <c r="G2204" s="2" t="s">
        <v>26</v>
      </c>
      <c r="H2204" s="2" t="s">
        <v>26</v>
      </c>
      <c r="I2204" s="2" t="s">
        <v>23</v>
      </c>
      <c r="J2204" s="2" t="n">
        <v>7</v>
      </c>
      <c r="K2204" s="2" t="s">
        <v>27</v>
      </c>
      <c r="L2204" s="2" t="n">
        <v>1689</v>
      </c>
      <c r="M2204" s="2" t="n">
        <v>4</v>
      </c>
      <c r="N2204" s="2" t="n">
        <v>-1</v>
      </c>
      <c r="O2204" s="2" t="n">
        <v>0</v>
      </c>
      <c r="P2204" s="2" t="s">
        <v>23</v>
      </c>
      <c r="Q2204" s="2" t="s">
        <v>26</v>
      </c>
    </row>
    <row r="2205" customFormat="false" ht="15" hidden="false" customHeight="false" outlineLevel="0" collapsed="false">
      <c r="A2205" s="2" t="n">
        <v>35</v>
      </c>
      <c r="B2205" s="2" t="s">
        <v>38</v>
      </c>
      <c r="C2205" s="2" t="s">
        <v>30</v>
      </c>
      <c r="D2205" s="2" t="s">
        <v>31</v>
      </c>
      <c r="E2205" s="2" t="s">
        <v>20</v>
      </c>
      <c r="F2205" s="2" t="n">
        <v>3552</v>
      </c>
      <c r="G2205" s="2" t="s">
        <v>20</v>
      </c>
      <c r="H2205" s="2" t="s">
        <v>20</v>
      </c>
      <c r="I2205" s="2" t="s">
        <v>21</v>
      </c>
      <c r="J2205" s="2" t="n">
        <v>21</v>
      </c>
      <c r="K2205" s="2" t="s">
        <v>46</v>
      </c>
      <c r="L2205" s="2" t="n">
        <v>267</v>
      </c>
      <c r="M2205" s="2" t="n">
        <v>1</v>
      </c>
      <c r="N2205" s="2" t="n">
        <v>-1</v>
      </c>
      <c r="O2205" s="2" t="n">
        <v>0</v>
      </c>
      <c r="P2205" s="2" t="s">
        <v>23</v>
      </c>
      <c r="Q2205" s="2" t="s">
        <v>20</v>
      </c>
    </row>
    <row r="2206" customFormat="false" ht="15" hidden="false" customHeight="false" outlineLevel="0" collapsed="false">
      <c r="A2206" s="2" t="n">
        <v>49</v>
      </c>
      <c r="B2206" s="2" t="s">
        <v>24</v>
      </c>
      <c r="C2206" s="2" t="s">
        <v>18</v>
      </c>
      <c r="D2206" s="2" t="s">
        <v>25</v>
      </c>
      <c r="E2206" s="2" t="s">
        <v>20</v>
      </c>
      <c r="F2206" s="2" t="n">
        <v>47</v>
      </c>
      <c r="G2206" s="2" t="s">
        <v>20</v>
      </c>
      <c r="H2206" s="2" t="s">
        <v>20</v>
      </c>
      <c r="I2206" s="2" t="s">
        <v>23</v>
      </c>
      <c r="J2206" s="2" t="n">
        <v>5</v>
      </c>
      <c r="K2206" s="2" t="s">
        <v>27</v>
      </c>
      <c r="L2206" s="2" t="n">
        <v>234</v>
      </c>
      <c r="M2206" s="2" t="n">
        <v>2</v>
      </c>
      <c r="N2206" s="2" t="n">
        <v>-1</v>
      </c>
      <c r="O2206" s="2" t="n">
        <v>0</v>
      </c>
      <c r="P2206" s="2" t="s">
        <v>23</v>
      </c>
      <c r="Q2206" s="2" t="s">
        <v>20</v>
      </c>
    </row>
    <row r="2207" customFormat="false" ht="15" hidden="false" customHeight="false" outlineLevel="0" collapsed="false">
      <c r="A2207" s="2" t="n">
        <v>41</v>
      </c>
      <c r="B2207" s="2" t="s">
        <v>40</v>
      </c>
      <c r="C2207" s="2" t="s">
        <v>45</v>
      </c>
      <c r="D2207" s="2" t="s">
        <v>25</v>
      </c>
      <c r="E2207" s="2" t="s">
        <v>20</v>
      </c>
      <c r="F2207" s="2" t="n">
        <v>3823</v>
      </c>
      <c r="G2207" s="2" t="s">
        <v>20</v>
      </c>
      <c r="H2207" s="2" t="s">
        <v>20</v>
      </c>
      <c r="I2207" s="2" t="s">
        <v>21</v>
      </c>
      <c r="J2207" s="2" t="n">
        <v>26</v>
      </c>
      <c r="K2207" s="2" t="s">
        <v>32</v>
      </c>
      <c r="L2207" s="2" t="n">
        <v>234</v>
      </c>
      <c r="M2207" s="2" t="n">
        <v>10</v>
      </c>
      <c r="N2207" s="2" t="n">
        <v>-1</v>
      </c>
      <c r="O2207" s="2" t="n">
        <v>0</v>
      </c>
      <c r="P2207" s="2" t="s">
        <v>23</v>
      </c>
      <c r="Q2207" s="2" t="s">
        <v>20</v>
      </c>
    </row>
    <row r="2208" customFormat="false" ht="15" hidden="false" customHeight="false" outlineLevel="0" collapsed="false">
      <c r="A2208" s="2" t="n">
        <v>32</v>
      </c>
      <c r="B2208" s="2" t="s">
        <v>29</v>
      </c>
      <c r="C2208" s="2" t="s">
        <v>18</v>
      </c>
      <c r="D2208" s="2" t="s">
        <v>31</v>
      </c>
      <c r="E2208" s="2" t="s">
        <v>20</v>
      </c>
      <c r="F2208" s="2" t="n">
        <v>138</v>
      </c>
      <c r="G2208" s="2" t="s">
        <v>20</v>
      </c>
      <c r="H2208" s="2" t="s">
        <v>20</v>
      </c>
      <c r="I2208" s="2" t="s">
        <v>21</v>
      </c>
      <c r="J2208" s="2" t="n">
        <v>20</v>
      </c>
      <c r="K2208" s="2" t="s">
        <v>41</v>
      </c>
      <c r="L2208" s="2" t="n">
        <v>94</v>
      </c>
      <c r="M2208" s="2" t="n">
        <v>4</v>
      </c>
      <c r="N2208" s="2" t="n">
        <v>-1</v>
      </c>
      <c r="O2208" s="2" t="n">
        <v>0</v>
      </c>
      <c r="P2208" s="2" t="s">
        <v>23</v>
      </c>
      <c r="Q2208" s="2" t="s">
        <v>20</v>
      </c>
    </row>
    <row r="2209" customFormat="false" ht="15" hidden="false" customHeight="false" outlineLevel="0" collapsed="false">
      <c r="A2209" s="2" t="n">
        <v>29</v>
      </c>
      <c r="B2209" s="2" t="s">
        <v>40</v>
      </c>
      <c r="C2209" s="2" t="s">
        <v>30</v>
      </c>
      <c r="D2209" s="2" t="s">
        <v>25</v>
      </c>
      <c r="E2209" s="2" t="s">
        <v>20</v>
      </c>
      <c r="F2209" s="2" t="n">
        <v>1117</v>
      </c>
      <c r="G2209" s="2" t="s">
        <v>26</v>
      </c>
      <c r="H2209" s="2" t="s">
        <v>20</v>
      </c>
      <c r="I2209" s="2" t="s">
        <v>23</v>
      </c>
      <c r="J2209" s="2" t="n">
        <v>8</v>
      </c>
      <c r="K2209" s="2" t="s">
        <v>27</v>
      </c>
      <c r="L2209" s="2" t="n">
        <v>77</v>
      </c>
      <c r="M2209" s="2" t="n">
        <v>2</v>
      </c>
      <c r="N2209" s="2" t="n">
        <v>-1</v>
      </c>
      <c r="O2209" s="2" t="n">
        <v>0</v>
      </c>
      <c r="P2209" s="2" t="s">
        <v>23</v>
      </c>
      <c r="Q2209" s="2" t="s">
        <v>20</v>
      </c>
    </row>
    <row r="2210" customFormat="false" ht="15" hidden="false" customHeight="false" outlineLevel="0" collapsed="false">
      <c r="A2210" s="2" t="n">
        <v>28</v>
      </c>
      <c r="B2210" s="2" t="s">
        <v>34</v>
      </c>
      <c r="C2210" s="2" t="s">
        <v>18</v>
      </c>
      <c r="D2210" s="2" t="s">
        <v>25</v>
      </c>
      <c r="E2210" s="2" t="s">
        <v>20</v>
      </c>
      <c r="F2210" s="2" t="n">
        <v>1325</v>
      </c>
      <c r="G2210" s="2" t="s">
        <v>26</v>
      </c>
      <c r="H2210" s="2" t="s">
        <v>20</v>
      </c>
      <c r="I2210" s="2" t="s">
        <v>21</v>
      </c>
      <c r="J2210" s="2" t="n">
        <v>15</v>
      </c>
      <c r="K2210" s="2" t="s">
        <v>27</v>
      </c>
      <c r="L2210" s="2" t="n">
        <v>242</v>
      </c>
      <c r="M2210" s="2" t="n">
        <v>1</v>
      </c>
      <c r="N2210" s="2" t="n">
        <v>-1</v>
      </c>
      <c r="O2210" s="2" t="n">
        <v>0</v>
      </c>
      <c r="P2210" s="2" t="s">
        <v>23</v>
      </c>
      <c r="Q2210" s="2" t="s">
        <v>20</v>
      </c>
    </row>
    <row r="2211" customFormat="false" ht="15" hidden="false" customHeight="false" outlineLevel="0" collapsed="false">
      <c r="A2211" s="2" t="n">
        <v>59</v>
      </c>
      <c r="B2211" s="2" t="s">
        <v>48</v>
      </c>
      <c r="C2211" s="2" t="s">
        <v>18</v>
      </c>
      <c r="D2211" s="2" t="s">
        <v>25</v>
      </c>
      <c r="E2211" s="2" t="s">
        <v>20</v>
      </c>
      <c r="F2211" s="2" t="n">
        <v>0</v>
      </c>
      <c r="G2211" s="2" t="s">
        <v>20</v>
      </c>
      <c r="H2211" s="2" t="s">
        <v>20</v>
      </c>
      <c r="I2211" s="2" t="s">
        <v>21</v>
      </c>
      <c r="J2211" s="2" t="n">
        <v>18</v>
      </c>
      <c r="K2211" s="2" t="s">
        <v>44</v>
      </c>
      <c r="L2211" s="2" t="n">
        <v>247</v>
      </c>
      <c r="M2211" s="2" t="n">
        <v>4</v>
      </c>
      <c r="N2211" s="2" t="n">
        <v>-1</v>
      </c>
      <c r="O2211" s="2" t="n">
        <v>0</v>
      </c>
      <c r="P2211" s="2" t="s">
        <v>23</v>
      </c>
      <c r="Q2211" s="2" t="s">
        <v>20</v>
      </c>
    </row>
    <row r="2212" customFormat="false" ht="15" hidden="false" customHeight="false" outlineLevel="0" collapsed="false">
      <c r="A2212" s="2" t="n">
        <v>34</v>
      </c>
      <c r="B2212" s="2" t="s">
        <v>39</v>
      </c>
      <c r="C2212" s="2" t="s">
        <v>18</v>
      </c>
      <c r="D2212" s="2" t="s">
        <v>31</v>
      </c>
      <c r="E2212" s="2" t="s">
        <v>20</v>
      </c>
      <c r="F2212" s="2" t="n">
        <v>4343</v>
      </c>
      <c r="G2212" s="2" t="s">
        <v>20</v>
      </c>
      <c r="H2212" s="2" t="s">
        <v>20</v>
      </c>
      <c r="I2212" s="2" t="s">
        <v>23</v>
      </c>
      <c r="J2212" s="2" t="n">
        <v>9</v>
      </c>
      <c r="K2212" s="2" t="s">
        <v>33</v>
      </c>
      <c r="L2212" s="2" t="n">
        <v>85</v>
      </c>
      <c r="M2212" s="2" t="n">
        <v>4</v>
      </c>
      <c r="N2212" s="2" t="n">
        <v>-1</v>
      </c>
      <c r="O2212" s="2" t="n">
        <v>0</v>
      </c>
      <c r="P2212" s="2" t="s">
        <v>23</v>
      </c>
      <c r="Q2212" s="2" t="s">
        <v>20</v>
      </c>
    </row>
    <row r="2213" customFormat="false" ht="15" hidden="false" customHeight="false" outlineLevel="0" collapsed="false">
      <c r="A2213" s="2" t="n">
        <v>55</v>
      </c>
      <c r="B2213" s="2" t="s">
        <v>29</v>
      </c>
      <c r="C2213" s="2" t="s">
        <v>45</v>
      </c>
      <c r="D2213" s="2" t="s">
        <v>31</v>
      </c>
      <c r="E2213" s="2" t="s">
        <v>20</v>
      </c>
      <c r="F2213" s="2" t="n">
        <v>1598</v>
      </c>
      <c r="G2213" s="2" t="s">
        <v>20</v>
      </c>
      <c r="H2213" s="2" t="s">
        <v>20</v>
      </c>
      <c r="I2213" s="2" t="s">
        <v>21</v>
      </c>
      <c r="J2213" s="2" t="n">
        <v>22</v>
      </c>
      <c r="K2213" s="2" t="s">
        <v>41</v>
      </c>
      <c r="L2213" s="2" t="n">
        <v>607</v>
      </c>
      <c r="M2213" s="2" t="n">
        <v>4</v>
      </c>
      <c r="N2213" s="2" t="n">
        <v>-1</v>
      </c>
      <c r="O2213" s="2" t="n">
        <v>0</v>
      </c>
      <c r="P2213" s="2" t="s">
        <v>23</v>
      </c>
      <c r="Q2213" s="2" t="s">
        <v>20</v>
      </c>
    </row>
    <row r="2214" customFormat="false" ht="15" hidden="false" customHeight="false" outlineLevel="0" collapsed="false">
      <c r="A2214" s="2" t="n">
        <v>34</v>
      </c>
      <c r="B2214" s="2" t="s">
        <v>29</v>
      </c>
      <c r="C2214" s="2" t="s">
        <v>18</v>
      </c>
      <c r="D2214" s="2" t="s">
        <v>31</v>
      </c>
      <c r="E2214" s="2" t="s">
        <v>20</v>
      </c>
      <c r="F2214" s="2" t="n">
        <v>3301</v>
      </c>
      <c r="G2214" s="2" t="s">
        <v>26</v>
      </c>
      <c r="H2214" s="2" t="s">
        <v>20</v>
      </c>
      <c r="I2214" s="2" t="s">
        <v>21</v>
      </c>
      <c r="J2214" s="2" t="n">
        <v>17</v>
      </c>
      <c r="K2214" s="2" t="s">
        <v>33</v>
      </c>
      <c r="L2214" s="2" t="n">
        <v>485</v>
      </c>
      <c r="M2214" s="2" t="n">
        <v>2</v>
      </c>
      <c r="N2214" s="2" t="n">
        <v>227</v>
      </c>
      <c r="O2214" s="2" t="n">
        <v>4</v>
      </c>
      <c r="P2214" s="2" t="s">
        <v>28</v>
      </c>
      <c r="Q2214" s="2" t="s">
        <v>26</v>
      </c>
    </row>
    <row r="2215" customFormat="false" ht="15" hidden="false" customHeight="false" outlineLevel="0" collapsed="false">
      <c r="A2215" s="2" t="n">
        <v>24</v>
      </c>
      <c r="B2215" s="2" t="s">
        <v>42</v>
      </c>
      <c r="C2215" s="2" t="s">
        <v>30</v>
      </c>
      <c r="D2215" s="2" t="s">
        <v>25</v>
      </c>
      <c r="E2215" s="2" t="s">
        <v>20</v>
      </c>
      <c r="F2215" s="2" t="n">
        <v>822</v>
      </c>
      <c r="G2215" s="2" t="s">
        <v>20</v>
      </c>
      <c r="H2215" s="2" t="s">
        <v>20</v>
      </c>
      <c r="I2215" s="2" t="s">
        <v>21</v>
      </c>
      <c r="J2215" s="2" t="n">
        <v>27</v>
      </c>
      <c r="K2215" s="2" t="s">
        <v>22</v>
      </c>
      <c r="L2215" s="2" t="n">
        <v>184</v>
      </c>
      <c r="M2215" s="2" t="n">
        <v>1</v>
      </c>
      <c r="N2215" s="2" t="n">
        <v>91</v>
      </c>
      <c r="O2215" s="2" t="n">
        <v>2</v>
      </c>
      <c r="P2215" s="2" t="s">
        <v>28</v>
      </c>
      <c r="Q2215" s="2" t="s">
        <v>26</v>
      </c>
    </row>
    <row r="2216" customFormat="false" ht="15" hidden="false" customHeight="false" outlineLevel="0" collapsed="false">
      <c r="A2216" s="2" t="n">
        <v>42</v>
      </c>
      <c r="B2216" s="2" t="s">
        <v>38</v>
      </c>
      <c r="C2216" s="2" t="s">
        <v>45</v>
      </c>
      <c r="D2216" s="2" t="s">
        <v>25</v>
      </c>
      <c r="E2216" s="2" t="s">
        <v>20</v>
      </c>
      <c r="F2216" s="2" t="n">
        <v>-280</v>
      </c>
      <c r="G2216" s="2" t="s">
        <v>26</v>
      </c>
      <c r="H2216" s="2" t="s">
        <v>20</v>
      </c>
      <c r="I2216" s="2" t="s">
        <v>23</v>
      </c>
      <c r="J2216" s="2" t="n">
        <v>26</v>
      </c>
      <c r="K2216" s="2" t="s">
        <v>27</v>
      </c>
      <c r="L2216" s="2" t="n">
        <v>258</v>
      </c>
      <c r="M2216" s="2" t="n">
        <v>1</v>
      </c>
      <c r="N2216" s="2" t="n">
        <v>-1</v>
      </c>
      <c r="O2216" s="2" t="n">
        <v>0</v>
      </c>
      <c r="P2216" s="2" t="s">
        <v>23</v>
      </c>
      <c r="Q2216" s="2" t="s">
        <v>20</v>
      </c>
    </row>
    <row r="2217" customFormat="false" ht="15" hidden="false" customHeight="false" outlineLevel="0" collapsed="false">
      <c r="A2217" s="2" t="n">
        <v>34</v>
      </c>
      <c r="B2217" s="2" t="s">
        <v>29</v>
      </c>
      <c r="C2217" s="2" t="s">
        <v>30</v>
      </c>
      <c r="D2217" s="2" t="s">
        <v>23</v>
      </c>
      <c r="E2217" s="2" t="s">
        <v>20</v>
      </c>
      <c r="F2217" s="2" t="n">
        <v>1534</v>
      </c>
      <c r="G2217" s="2" t="s">
        <v>26</v>
      </c>
      <c r="H2217" s="2" t="s">
        <v>20</v>
      </c>
      <c r="I2217" s="2" t="s">
        <v>21</v>
      </c>
      <c r="J2217" s="2" t="n">
        <v>16</v>
      </c>
      <c r="K2217" s="2" t="s">
        <v>32</v>
      </c>
      <c r="L2217" s="2" t="n">
        <v>156</v>
      </c>
      <c r="M2217" s="2" t="n">
        <v>1</v>
      </c>
      <c r="N2217" s="2" t="n">
        <v>147</v>
      </c>
      <c r="O2217" s="2" t="n">
        <v>7</v>
      </c>
      <c r="P2217" s="2" t="s">
        <v>37</v>
      </c>
      <c r="Q2217" s="2" t="s">
        <v>20</v>
      </c>
    </row>
    <row r="2218" customFormat="false" ht="15" hidden="false" customHeight="false" outlineLevel="0" collapsed="false">
      <c r="A2218" s="2" t="n">
        <v>34</v>
      </c>
      <c r="B2218" s="2" t="s">
        <v>40</v>
      </c>
      <c r="C2218" s="2" t="s">
        <v>18</v>
      </c>
      <c r="D2218" s="2" t="s">
        <v>25</v>
      </c>
      <c r="E2218" s="2" t="s">
        <v>20</v>
      </c>
      <c r="F2218" s="2" t="n">
        <v>1671</v>
      </c>
      <c r="G2218" s="2" t="s">
        <v>20</v>
      </c>
      <c r="H2218" s="2" t="s">
        <v>20</v>
      </c>
      <c r="I2218" s="2" t="s">
        <v>23</v>
      </c>
      <c r="J2218" s="2" t="n">
        <v>21</v>
      </c>
      <c r="K2218" s="2" t="s">
        <v>27</v>
      </c>
      <c r="L2218" s="2" t="n">
        <v>160</v>
      </c>
      <c r="M2218" s="2" t="n">
        <v>1</v>
      </c>
      <c r="N2218" s="2" t="n">
        <v>-1</v>
      </c>
      <c r="O2218" s="2" t="n">
        <v>0</v>
      </c>
      <c r="P2218" s="2" t="s">
        <v>23</v>
      </c>
      <c r="Q2218" s="2" t="s">
        <v>20</v>
      </c>
    </row>
    <row r="2219" customFormat="false" ht="15" hidden="false" customHeight="false" outlineLevel="0" collapsed="false">
      <c r="A2219" s="2" t="n">
        <v>51</v>
      </c>
      <c r="B2219" s="2" t="s">
        <v>36</v>
      </c>
      <c r="C2219" s="2" t="s">
        <v>18</v>
      </c>
      <c r="D2219" s="2" t="s">
        <v>31</v>
      </c>
      <c r="E2219" s="2" t="s">
        <v>20</v>
      </c>
      <c r="F2219" s="2" t="n">
        <v>2007</v>
      </c>
      <c r="G2219" s="2" t="s">
        <v>20</v>
      </c>
      <c r="H2219" s="2" t="s">
        <v>20</v>
      </c>
      <c r="I2219" s="2" t="s">
        <v>23</v>
      </c>
      <c r="J2219" s="2" t="n">
        <v>16</v>
      </c>
      <c r="K2219" s="2" t="s">
        <v>33</v>
      </c>
      <c r="L2219" s="2" t="n">
        <v>1021</v>
      </c>
      <c r="M2219" s="2" t="n">
        <v>1</v>
      </c>
      <c r="N2219" s="2" t="n">
        <v>-1</v>
      </c>
      <c r="O2219" s="2" t="n">
        <v>0</v>
      </c>
      <c r="P2219" s="2" t="s">
        <v>23</v>
      </c>
      <c r="Q2219" s="2" t="s">
        <v>20</v>
      </c>
    </row>
    <row r="2220" customFormat="false" ht="15" hidden="false" customHeight="false" outlineLevel="0" collapsed="false">
      <c r="A2220" s="2" t="n">
        <v>58</v>
      </c>
      <c r="B2220" s="2" t="s">
        <v>34</v>
      </c>
      <c r="C2220" s="2" t="s">
        <v>18</v>
      </c>
      <c r="D2220" s="2" t="s">
        <v>19</v>
      </c>
      <c r="E2220" s="2" t="s">
        <v>20</v>
      </c>
      <c r="F2220" s="2" t="n">
        <v>0</v>
      </c>
      <c r="G2220" s="2" t="s">
        <v>26</v>
      </c>
      <c r="H2220" s="2" t="s">
        <v>20</v>
      </c>
      <c r="I2220" s="2" t="s">
        <v>21</v>
      </c>
      <c r="J2220" s="2" t="n">
        <v>31</v>
      </c>
      <c r="K2220" s="2" t="s">
        <v>44</v>
      </c>
      <c r="L2220" s="2" t="n">
        <v>5</v>
      </c>
      <c r="M2220" s="2" t="n">
        <v>25</v>
      </c>
      <c r="N2220" s="2" t="n">
        <v>-1</v>
      </c>
      <c r="O2220" s="2" t="n">
        <v>0</v>
      </c>
      <c r="P2220" s="2" t="s">
        <v>23</v>
      </c>
      <c r="Q2220" s="2" t="s">
        <v>20</v>
      </c>
    </row>
    <row r="2221" customFormat="false" ht="15" hidden="false" customHeight="false" outlineLevel="0" collapsed="false">
      <c r="A2221" s="2" t="n">
        <v>44</v>
      </c>
      <c r="B2221" s="2" t="s">
        <v>38</v>
      </c>
      <c r="C2221" s="2" t="s">
        <v>18</v>
      </c>
      <c r="D2221" s="2" t="s">
        <v>25</v>
      </c>
      <c r="E2221" s="2" t="s">
        <v>20</v>
      </c>
      <c r="F2221" s="2" t="n">
        <v>2776</v>
      </c>
      <c r="G2221" s="2" t="s">
        <v>26</v>
      </c>
      <c r="H2221" s="2" t="s">
        <v>20</v>
      </c>
      <c r="I2221" s="2" t="s">
        <v>21</v>
      </c>
      <c r="J2221" s="2" t="n">
        <v>27</v>
      </c>
      <c r="K2221" s="2" t="s">
        <v>43</v>
      </c>
      <c r="L2221" s="2" t="n">
        <v>701</v>
      </c>
      <c r="M2221" s="2" t="n">
        <v>1</v>
      </c>
      <c r="N2221" s="2" t="n">
        <v>-1</v>
      </c>
      <c r="O2221" s="2" t="n">
        <v>0</v>
      </c>
      <c r="P2221" s="2" t="s">
        <v>23</v>
      </c>
      <c r="Q2221" s="2" t="s">
        <v>26</v>
      </c>
    </row>
    <row r="2222" customFormat="false" ht="15" hidden="false" customHeight="false" outlineLevel="0" collapsed="false">
      <c r="A2222" s="2" t="n">
        <v>33</v>
      </c>
      <c r="B2222" s="2" t="s">
        <v>34</v>
      </c>
      <c r="C2222" s="2" t="s">
        <v>18</v>
      </c>
      <c r="D2222" s="2" t="s">
        <v>25</v>
      </c>
      <c r="E2222" s="2" t="s">
        <v>20</v>
      </c>
      <c r="F2222" s="2" t="n">
        <v>139</v>
      </c>
      <c r="G2222" s="2" t="s">
        <v>26</v>
      </c>
      <c r="H2222" s="2" t="s">
        <v>26</v>
      </c>
      <c r="I2222" s="2" t="s">
        <v>21</v>
      </c>
      <c r="J2222" s="2" t="n">
        <v>18</v>
      </c>
      <c r="K2222" s="2" t="s">
        <v>27</v>
      </c>
      <c r="L2222" s="2" t="n">
        <v>732</v>
      </c>
      <c r="M2222" s="2" t="n">
        <v>2</v>
      </c>
      <c r="N2222" s="2" t="n">
        <v>291</v>
      </c>
      <c r="O2222" s="2" t="n">
        <v>5</v>
      </c>
      <c r="P2222" s="2" t="s">
        <v>28</v>
      </c>
      <c r="Q2222" s="2" t="s">
        <v>26</v>
      </c>
    </row>
    <row r="2223" customFormat="false" ht="15" hidden="false" customHeight="false" outlineLevel="0" collapsed="false">
      <c r="A2223" s="2" t="n">
        <v>34</v>
      </c>
      <c r="B2223" s="2" t="s">
        <v>29</v>
      </c>
      <c r="C2223" s="2" t="s">
        <v>18</v>
      </c>
      <c r="D2223" s="2" t="s">
        <v>31</v>
      </c>
      <c r="E2223" s="2" t="s">
        <v>20</v>
      </c>
      <c r="F2223" s="2" t="n">
        <v>573</v>
      </c>
      <c r="G2223" s="2" t="s">
        <v>20</v>
      </c>
      <c r="H2223" s="2" t="s">
        <v>20</v>
      </c>
      <c r="I2223" s="2" t="s">
        <v>21</v>
      </c>
      <c r="J2223" s="2" t="n">
        <v>10</v>
      </c>
      <c r="K2223" s="2" t="s">
        <v>41</v>
      </c>
      <c r="L2223" s="2" t="n">
        <v>122</v>
      </c>
      <c r="M2223" s="2" t="n">
        <v>1</v>
      </c>
      <c r="N2223" s="2" t="n">
        <v>-1</v>
      </c>
      <c r="O2223" s="2" t="n">
        <v>0</v>
      </c>
      <c r="P2223" s="2" t="s">
        <v>23</v>
      </c>
      <c r="Q2223" s="2" t="s">
        <v>20</v>
      </c>
    </row>
    <row r="2224" customFormat="false" ht="15" hidden="false" customHeight="false" outlineLevel="0" collapsed="false">
      <c r="A2224" s="2" t="n">
        <v>34</v>
      </c>
      <c r="B2224" s="2" t="s">
        <v>40</v>
      </c>
      <c r="C2224" s="2" t="s">
        <v>18</v>
      </c>
      <c r="D2224" s="2" t="s">
        <v>25</v>
      </c>
      <c r="E2224" s="2" t="s">
        <v>20</v>
      </c>
      <c r="F2224" s="2" t="n">
        <v>475</v>
      </c>
      <c r="G2224" s="2" t="s">
        <v>26</v>
      </c>
      <c r="H2224" s="2" t="s">
        <v>20</v>
      </c>
      <c r="I2224" s="2" t="s">
        <v>23</v>
      </c>
      <c r="J2224" s="2" t="n">
        <v>7</v>
      </c>
      <c r="K2224" s="2" t="s">
        <v>27</v>
      </c>
      <c r="L2224" s="2" t="n">
        <v>559</v>
      </c>
      <c r="M2224" s="2" t="n">
        <v>1</v>
      </c>
      <c r="N2224" s="2" t="n">
        <v>-1</v>
      </c>
      <c r="O2224" s="2" t="n">
        <v>0</v>
      </c>
      <c r="P2224" s="2" t="s">
        <v>23</v>
      </c>
      <c r="Q2224" s="2" t="s">
        <v>20</v>
      </c>
    </row>
    <row r="2225" customFormat="false" ht="15" hidden="false" customHeight="false" outlineLevel="0" collapsed="false">
      <c r="A2225" s="2" t="n">
        <v>42</v>
      </c>
      <c r="B2225" s="2" t="s">
        <v>34</v>
      </c>
      <c r="C2225" s="2" t="s">
        <v>45</v>
      </c>
      <c r="D2225" s="2" t="s">
        <v>25</v>
      </c>
      <c r="E2225" s="2" t="s">
        <v>20</v>
      </c>
      <c r="F2225" s="2" t="n">
        <v>47</v>
      </c>
      <c r="G2225" s="2" t="s">
        <v>26</v>
      </c>
      <c r="H2225" s="2" t="s">
        <v>26</v>
      </c>
      <c r="I2225" s="2" t="s">
        <v>23</v>
      </c>
      <c r="J2225" s="2" t="n">
        <v>8</v>
      </c>
      <c r="K2225" s="2" t="s">
        <v>27</v>
      </c>
      <c r="L2225" s="2" t="n">
        <v>141</v>
      </c>
      <c r="M2225" s="2" t="n">
        <v>1</v>
      </c>
      <c r="N2225" s="2" t="n">
        <v>-1</v>
      </c>
      <c r="O2225" s="2" t="n">
        <v>0</v>
      </c>
      <c r="P2225" s="2" t="s">
        <v>23</v>
      </c>
      <c r="Q2225" s="2" t="s">
        <v>20</v>
      </c>
    </row>
    <row r="2226" customFormat="false" ht="15" hidden="false" customHeight="false" outlineLevel="0" collapsed="false">
      <c r="A2226" s="2" t="n">
        <v>46</v>
      </c>
      <c r="B2226" s="2" t="s">
        <v>29</v>
      </c>
      <c r="C2226" s="2" t="s">
        <v>30</v>
      </c>
      <c r="D2226" s="2" t="s">
        <v>31</v>
      </c>
      <c r="E2226" s="2" t="s">
        <v>20</v>
      </c>
      <c r="F2226" s="2" t="n">
        <v>2154</v>
      </c>
      <c r="G2226" s="2" t="s">
        <v>26</v>
      </c>
      <c r="H2226" s="2" t="s">
        <v>20</v>
      </c>
      <c r="I2226" s="2" t="s">
        <v>21</v>
      </c>
      <c r="J2226" s="2" t="n">
        <v>21</v>
      </c>
      <c r="K2226" s="2" t="s">
        <v>44</v>
      </c>
      <c r="L2226" s="2" t="n">
        <v>87</v>
      </c>
      <c r="M2226" s="2" t="n">
        <v>4</v>
      </c>
      <c r="N2226" s="2" t="n">
        <v>-1</v>
      </c>
      <c r="O2226" s="2" t="n">
        <v>0</v>
      </c>
      <c r="P2226" s="2" t="s">
        <v>23</v>
      </c>
      <c r="Q2226" s="2" t="s">
        <v>20</v>
      </c>
    </row>
    <row r="2227" customFormat="false" ht="15" hidden="false" customHeight="false" outlineLevel="0" collapsed="false">
      <c r="A2227" s="2" t="n">
        <v>31</v>
      </c>
      <c r="B2227" s="2" t="s">
        <v>36</v>
      </c>
      <c r="C2227" s="2" t="s">
        <v>30</v>
      </c>
      <c r="D2227" s="2" t="s">
        <v>31</v>
      </c>
      <c r="E2227" s="2" t="s">
        <v>20</v>
      </c>
      <c r="F2227" s="2" t="n">
        <v>96</v>
      </c>
      <c r="G2227" s="2" t="s">
        <v>20</v>
      </c>
      <c r="H2227" s="2" t="s">
        <v>20</v>
      </c>
      <c r="I2227" s="2" t="s">
        <v>21</v>
      </c>
      <c r="J2227" s="2" t="n">
        <v>5</v>
      </c>
      <c r="K2227" s="2" t="s">
        <v>35</v>
      </c>
      <c r="L2227" s="2" t="n">
        <v>577</v>
      </c>
      <c r="M2227" s="2" t="n">
        <v>1</v>
      </c>
      <c r="N2227" s="2" t="n">
        <v>-1</v>
      </c>
      <c r="O2227" s="2" t="n">
        <v>0</v>
      </c>
      <c r="P2227" s="2" t="s">
        <v>23</v>
      </c>
      <c r="Q2227" s="2" t="s">
        <v>20</v>
      </c>
    </row>
    <row r="2228" customFormat="false" ht="15" hidden="false" customHeight="false" outlineLevel="0" collapsed="false">
      <c r="A2228" s="2" t="n">
        <v>39</v>
      </c>
      <c r="B2228" s="2" t="s">
        <v>39</v>
      </c>
      <c r="C2228" s="2" t="s">
        <v>18</v>
      </c>
      <c r="D2228" s="2" t="s">
        <v>31</v>
      </c>
      <c r="E2228" s="2" t="s">
        <v>20</v>
      </c>
      <c r="F2228" s="2" t="n">
        <v>83</v>
      </c>
      <c r="G2228" s="2" t="s">
        <v>26</v>
      </c>
      <c r="H2228" s="2" t="s">
        <v>20</v>
      </c>
      <c r="I2228" s="2" t="s">
        <v>21</v>
      </c>
      <c r="J2228" s="2" t="n">
        <v>11</v>
      </c>
      <c r="K2228" s="2" t="s">
        <v>44</v>
      </c>
      <c r="L2228" s="2" t="n">
        <v>193</v>
      </c>
      <c r="M2228" s="2" t="n">
        <v>2</v>
      </c>
      <c r="N2228" s="2" t="n">
        <v>-1</v>
      </c>
      <c r="O2228" s="2" t="n">
        <v>0</v>
      </c>
      <c r="P2228" s="2" t="s">
        <v>23</v>
      </c>
      <c r="Q2228" s="2" t="s">
        <v>20</v>
      </c>
    </row>
    <row r="2229" customFormat="false" ht="15" hidden="false" customHeight="false" outlineLevel="0" collapsed="false">
      <c r="A2229" s="2" t="n">
        <v>34</v>
      </c>
      <c r="B2229" s="2" t="s">
        <v>29</v>
      </c>
      <c r="C2229" s="2" t="s">
        <v>30</v>
      </c>
      <c r="D2229" s="2" t="s">
        <v>31</v>
      </c>
      <c r="E2229" s="2" t="s">
        <v>20</v>
      </c>
      <c r="F2229" s="2" t="n">
        <v>6766</v>
      </c>
      <c r="G2229" s="2" t="s">
        <v>20</v>
      </c>
      <c r="H2229" s="2" t="s">
        <v>20</v>
      </c>
      <c r="I2229" s="2" t="s">
        <v>21</v>
      </c>
      <c r="J2229" s="2" t="n">
        <v>28</v>
      </c>
      <c r="K2229" s="2" t="s">
        <v>41</v>
      </c>
      <c r="L2229" s="2" t="n">
        <v>210</v>
      </c>
      <c r="M2229" s="2" t="n">
        <v>5</v>
      </c>
      <c r="N2229" s="2" t="n">
        <v>-1</v>
      </c>
      <c r="O2229" s="2" t="n">
        <v>0</v>
      </c>
      <c r="P2229" s="2" t="s">
        <v>23</v>
      </c>
      <c r="Q2229" s="2" t="s">
        <v>20</v>
      </c>
    </row>
    <row r="2230" customFormat="false" ht="15" hidden="false" customHeight="false" outlineLevel="0" collapsed="false">
      <c r="A2230" s="2" t="n">
        <v>47</v>
      </c>
      <c r="B2230" s="2" t="s">
        <v>38</v>
      </c>
      <c r="C2230" s="2" t="s">
        <v>18</v>
      </c>
      <c r="D2230" s="2" t="s">
        <v>25</v>
      </c>
      <c r="E2230" s="2" t="s">
        <v>20</v>
      </c>
      <c r="F2230" s="2" t="n">
        <v>3973</v>
      </c>
      <c r="G2230" s="2" t="s">
        <v>20</v>
      </c>
      <c r="H2230" s="2" t="s">
        <v>20</v>
      </c>
      <c r="I2230" s="2" t="s">
        <v>21</v>
      </c>
      <c r="J2230" s="2" t="n">
        <v>6</v>
      </c>
      <c r="K2230" s="2" t="s">
        <v>41</v>
      </c>
      <c r="L2230" s="2" t="n">
        <v>732</v>
      </c>
      <c r="M2230" s="2" t="n">
        <v>2</v>
      </c>
      <c r="N2230" s="2" t="n">
        <v>-1</v>
      </c>
      <c r="O2230" s="2" t="n">
        <v>0</v>
      </c>
      <c r="P2230" s="2" t="s">
        <v>23</v>
      </c>
      <c r="Q2230" s="2" t="s">
        <v>20</v>
      </c>
    </row>
    <row r="2231" customFormat="false" ht="15" hidden="false" customHeight="false" outlineLevel="0" collapsed="false">
      <c r="A2231" s="2" t="n">
        <v>42</v>
      </c>
      <c r="B2231" s="2" t="s">
        <v>24</v>
      </c>
      <c r="C2231" s="2" t="s">
        <v>45</v>
      </c>
      <c r="D2231" s="2" t="s">
        <v>25</v>
      </c>
      <c r="E2231" s="2" t="s">
        <v>20</v>
      </c>
      <c r="F2231" s="2" t="n">
        <v>372</v>
      </c>
      <c r="G2231" s="2" t="s">
        <v>26</v>
      </c>
      <c r="H2231" s="2" t="s">
        <v>26</v>
      </c>
      <c r="I2231" s="2" t="s">
        <v>23</v>
      </c>
      <c r="J2231" s="2" t="n">
        <v>6</v>
      </c>
      <c r="K2231" s="2" t="s">
        <v>27</v>
      </c>
      <c r="L2231" s="2" t="n">
        <v>121</v>
      </c>
      <c r="M2231" s="2" t="n">
        <v>2</v>
      </c>
      <c r="N2231" s="2" t="n">
        <v>-1</v>
      </c>
      <c r="O2231" s="2" t="n">
        <v>0</v>
      </c>
      <c r="P2231" s="2" t="s">
        <v>23</v>
      </c>
      <c r="Q2231" s="2" t="s">
        <v>20</v>
      </c>
    </row>
    <row r="2232" customFormat="false" ht="15" hidden="false" customHeight="false" outlineLevel="0" collapsed="false">
      <c r="A2232" s="2" t="n">
        <v>48</v>
      </c>
      <c r="B2232" s="2" t="s">
        <v>34</v>
      </c>
      <c r="C2232" s="2" t="s">
        <v>30</v>
      </c>
      <c r="D2232" s="2" t="s">
        <v>25</v>
      </c>
      <c r="E2232" s="2" t="s">
        <v>20</v>
      </c>
      <c r="F2232" s="2" t="n">
        <v>-552</v>
      </c>
      <c r="G2232" s="2" t="s">
        <v>20</v>
      </c>
      <c r="H2232" s="2" t="s">
        <v>26</v>
      </c>
      <c r="I2232" s="2" t="s">
        <v>21</v>
      </c>
      <c r="J2232" s="2" t="n">
        <v>21</v>
      </c>
      <c r="K2232" s="2" t="s">
        <v>46</v>
      </c>
      <c r="L2232" s="2" t="n">
        <v>150</v>
      </c>
      <c r="M2232" s="2" t="n">
        <v>2</v>
      </c>
      <c r="N2232" s="2" t="n">
        <v>-1</v>
      </c>
      <c r="O2232" s="2" t="n">
        <v>0</v>
      </c>
      <c r="P2232" s="2" t="s">
        <v>23</v>
      </c>
      <c r="Q2232" s="2" t="s">
        <v>20</v>
      </c>
    </row>
    <row r="2233" customFormat="false" ht="15" hidden="false" customHeight="false" outlineLevel="0" collapsed="false">
      <c r="A2233" s="2" t="n">
        <v>30</v>
      </c>
      <c r="B2233" s="2" t="s">
        <v>36</v>
      </c>
      <c r="C2233" s="2" t="s">
        <v>30</v>
      </c>
      <c r="D2233" s="2" t="s">
        <v>31</v>
      </c>
      <c r="E2233" s="2" t="s">
        <v>20</v>
      </c>
      <c r="F2233" s="2" t="n">
        <v>48</v>
      </c>
      <c r="G2233" s="2" t="s">
        <v>20</v>
      </c>
      <c r="H2233" s="2" t="s">
        <v>20</v>
      </c>
      <c r="I2233" s="2" t="s">
        <v>21</v>
      </c>
      <c r="J2233" s="2" t="n">
        <v>21</v>
      </c>
      <c r="K2233" s="2" t="s">
        <v>46</v>
      </c>
      <c r="L2233" s="2" t="n">
        <v>140</v>
      </c>
      <c r="M2233" s="2" t="n">
        <v>1</v>
      </c>
      <c r="N2233" s="2" t="n">
        <v>-1</v>
      </c>
      <c r="O2233" s="2" t="n">
        <v>0</v>
      </c>
      <c r="P2233" s="2" t="s">
        <v>23</v>
      </c>
      <c r="Q2233" s="2" t="s">
        <v>20</v>
      </c>
    </row>
    <row r="2234" customFormat="false" ht="15" hidden="false" customHeight="false" outlineLevel="0" collapsed="false">
      <c r="A2234" s="2" t="n">
        <v>38</v>
      </c>
      <c r="B2234" s="2" t="s">
        <v>38</v>
      </c>
      <c r="C2234" s="2" t="s">
        <v>18</v>
      </c>
      <c r="D2234" s="2" t="s">
        <v>25</v>
      </c>
      <c r="E2234" s="2" t="s">
        <v>20</v>
      </c>
      <c r="F2234" s="2" t="n">
        <v>7696</v>
      </c>
      <c r="G2234" s="2" t="s">
        <v>26</v>
      </c>
      <c r="H2234" s="2" t="s">
        <v>20</v>
      </c>
      <c r="I2234" s="2" t="s">
        <v>21</v>
      </c>
      <c r="J2234" s="2" t="n">
        <v>20</v>
      </c>
      <c r="K2234" s="2" t="s">
        <v>46</v>
      </c>
      <c r="L2234" s="2" t="n">
        <v>386</v>
      </c>
      <c r="M2234" s="2" t="n">
        <v>2</v>
      </c>
      <c r="N2234" s="2" t="n">
        <v>-1</v>
      </c>
      <c r="O2234" s="2" t="n">
        <v>0</v>
      </c>
      <c r="P2234" s="2" t="s">
        <v>23</v>
      </c>
      <c r="Q2234" s="2" t="s">
        <v>20</v>
      </c>
    </row>
    <row r="2235" customFormat="false" ht="15" hidden="false" customHeight="false" outlineLevel="0" collapsed="false">
      <c r="A2235" s="2" t="n">
        <v>24</v>
      </c>
      <c r="B2235" s="2" t="s">
        <v>24</v>
      </c>
      <c r="C2235" s="2" t="s">
        <v>18</v>
      </c>
      <c r="D2235" s="2" t="s">
        <v>25</v>
      </c>
      <c r="E2235" s="2" t="s">
        <v>20</v>
      </c>
      <c r="F2235" s="2" t="n">
        <v>4500</v>
      </c>
      <c r="G2235" s="2" t="s">
        <v>26</v>
      </c>
      <c r="H2235" s="2" t="s">
        <v>20</v>
      </c>
      <c r="I2235" s="2" t="s">
        <v>21</v>
      </c>
      <c r="J2235" s="2" t="n">
        <v>11</v>
      </c>
      <c r="K2235" s="2" t="s">
        <v>27</v>
      </c>
      <c r="L2235" s="2" t="n">
        <v>733</v>
      </c>
      <c r="M2235" s="2" t="n">
        <v>2</v>
      </c>
      <c r="N2235" s="2" t="n">
        <v>-1</v>
      </c>
      <c r="O2235" s="2" t="n">
        <v>0</v>
      </c>
      <c r="P2235" s="2" t="s">
        <v>23</v>
      </c>
      <c r="Q2235" s="2" t="s">
        <v>26</v>
      </c>
    </row>
    <row r="2236" customFormat="false" ht="15" hidden="false" customHeight="false" outlineLevel="0" collapsed="false">
      <c r="A2236" s="2" t="n">
        <v>34</v>
      </c>
      <c r="B2236" s="2" t="s">
        <v>38</v>
      </c>
      <c r="C2236" s="2" t="s">
        <v>18</v>
      </c>
      <c r="D2236" s="2" t="s">
        <v>25</v>
      </c>
      <c r="E2236" s="2" t="s">
        <v>20</v>
      </c>
      <c r="F2236" s="2" t="n">
        <v>1</v>
      </c>
      <c r="G2236" s="2" t="s">
        <v>26</v>
      </c>
      <c r="H2236" s="2" t="s">
        <v>20</v>
      </c>
      <c r="I2236" s="2" t="s">
        <v>21</v>
      </c>
      <c r="J2236" s="2" t="n">
        <v>19</v>
      </c>
      <c r="K2236" s="2" t="s">
        <v>46</v>
      </c>
      <c r="L2236" s="2" t="n">
        <v>108</v>
      </c>
      <c r="M2236" s="2" t="n">
        <v>1</v>
      </c>
      <c r="N2236" s="2" t="n">
        <v>-1</v>
      </c>
      <c r="O2236" s="2" t="n">
        <v>0</v>
      </c>
      <c r="P2236" s="2" t="s">
        <v>23</v>
      </c>
      <c r="Q2236" s="2" t="s">
        <v>20</v>
      </c>
    </row>
    <row r="2237" customFormat="false" ht="15" hidden="false" customHeight="false" outlineLevel="0" collapsed="false">
      <c r="A2237" s="2" t="n">
        <v>46</v>
      </c>
      <c r="B2237" s="2" t="s">
        <v>29</v>
      </c>
      <c r="C2237" s="2" t="s">
        <v>30</v>
      </c>
      <c r="D2237" s="2" t="s">
        <v>31</v>
      </c>
      <c r="E2237" s="2" t="s">
        <v>20</v>
      </c>
      <c r="F2237" s="2" t="n">
        <v>46</v>
      </c>
      <c r="G2237" s="2" t="s">
        <v>20</v>
      </c>
      <c r="H2237" s="2" t="s">
        <v>26</v>
      </c>
      <c r="I2237" s="2" t="s">
        <v>21</v>
      </c>
      <c r="J2237" s="2" t="n">
        <v>17</v>
      </c>
      <c r="K2237" s="2" t="s">
        <v>46</v>
      </c>
      <c r="L2237" s="2" t="n">
        <v>80</v>
      </c>
      <c r="M2237" s="2" t="n">
        <v>1</v>
      </c>
      <c r="N2237" s="2" t="n">
        <v>152</v>
      </c>
      <c r="O2237" s="2" t="n">
        <v>1</v>
      </c>
      <c r="P2237" s="2" t="s">
        <v>28</v>
      </c>
      <c r="Q2237" s="2" t="s">
        <v>20</v>
      </c>
    </row>
    <row r="2238" customFormat="false" ht="15" hidden="false" customHeight="false" outlineLevel="0" collapsed="false">
      <c r="A2238" s="2" t="n">
        <v>32</v>
      </c>
      <c r="B2238" s="2" t="s">
        <v>40</v>
      </c>
      <c r="C2238" s="2" t="s">
        <v>45</v>
      </c>
      <c r="D2238" s="2" t="s">
        <v>25</v>
      </c>
      <c r="E2238" s="2" t="s">
        <v>26</v>
      </c>
      <c r="F2238" s="2" t="n">
        <v>-18</v>
      </c>
      <c r="G2238" s="2" t="s">
        <v>26</v>
      </c>
      <c r="H2238" s="2" t="s">
        <v>20</v>
      </c>
      <c r="I2238" s="2" t="s">
        <v>23</v>
      </c>
      <c r="J2238" s="2" t="n">
        <v>12</v>
      </c>
      <c r="K2238" s="2" t="s">
        <v>27</v>
      </c>
      <c r="L2238" s="2" t="n">
        <v>155</v>
      </c>
      <c r="M2238" s="2" t="n">
        <v>3</v>
      </c>
      <c r="N2238" s="2" t="n">
        <v>-1</v>
      </c>
      <c r="O2238" s="2" t="n">
        <v>0</v>
      </c>
      <c r="P2238" s="2" t="s">
        <v>23</v>
      </c>
      <c r="Q2238" s="2" t="s">
        <v>20</v>
      </c>
    </row>
    <row r="2239" customFormat="false" ht="15" hidden="false" customHeight="false" outlineLevel="0" collapsed="false">
      <c r="A2239" s="2" t="n">
        <v>46</v>
      </c>
      <c r="B2239" s="2" t="s">
        <v>24</v>
      </c>
      <c r="C2239" s="2" t="s">
        <v>18</v>
      </c>
      <c r="D2239" s="2" t="s">
        <v>25</v>
      </c>
      <c r="E2239" s="2" t="s">
        <v>20</v>
      </c>
      <c r="F2239" s="2" t="n">
        <v>451</v>
      </c>
      <c r="G2239" s="2" t="s">
        <v>26</v>
      </c>
      <c r="H2239" s="2" t="s">
        <v>26</v>
      </c>
      <c r="I2239" s="2" t="s">
        <v>21</v>
      </c>
      <c r="J2239" s="2" t="n">
        <v>13</v>
      </c>
      <c r="K2239" s="2" t="s">
        <v>27</v>
      </c>
      <c r="L2239" s="2" t="n">
        <v>389</v>
      </c>
      <c r="M2239" s="2" t="n">
        <v>4</v>
      </c>
      <c r="N2239" s="2" t="n">
        <v>-1</v>
      </c>
      <c r="O2239" s="2" t="n">
        <v>0</v>
      </c>
      <c r="P2239" s="2" t="s">
        <v>23</v>
      </c>
      <c r="Q2239" s="2" t="s">
        <v>20</v>
      </c>
    </row>
    <row r="2240" customFormat="false" ht="15" hidden="false" customHeight="false" outlineLevel="0" collapsed="false">
      <c r="A2240" s="2" t="n">
        <v>26</v>
      </c>
      <c r="B2240" s="2" t="s">
        <v>36</v>
      </c>
      <c r="C2240" s="2" t="s">
        <v>18</v>
      </c>
      <c r="D2240" s="2" t="s">
        <v>31</v>
      </c>
      <c r="E2240" s="2" t="s">
        <v>20</v>
      </c>
      <c r="F2240" s="2" t="n">
        <v>479</v>
      </c>
      <c r="G2240" s="2" t="s">
        <v>26</v>
      </c>
      <c r="H2240" s="2" t="s">
        <v>20</v>
      </c>
      <c r="I2240" s="2" t="s">
        <v>21</v>
      </c>
      <c r="J2240" s="2" t="n">
        <v>9</v>
      </c>
      <c r="K2240" s="2" t="s">
        <v>35</v>
      </c>
      <c r="L2240" s="2" t="n">
        <v>133</v>
      </c>
      <c r="M2240" s="2" t="n">
        <v>3</v>
      </c>
      <c r="N2240" s="2" t="n">
        <v>-1</v>
      </c>
      <c r="O2240" s="2" t="n">
        <v>0</v>
      </c>
      <c r="P2240" s="2" t="s">
        <v>23</v>
      </c>
      <c r="Q2240" s="2" t="s">
        <v>20</v>
      </c>
    </row>
    <row r="2241" customFormat="false" ht="15" hidden="false" customHeight="false" outlineLevel="0" collapsed="false">
      <c r="A2241" s="2" t="n">
        <v>42</v>
      </c>
      <c r="B2241" s="2" t="s">
        <v>34</v>
      </c>
      <c r="C2241" s="2" t="s">
        <v>18</v>
      </c>
      <c r="D2241" s="2" t="s">
        <v>25</v>
      </c>
      <c r="E2241" s="2" t="s">
        <v>20</v>
      </c>
      <c r="F2241" s="2" t="n">
        <v>0</v>
      </c>
      <c r="G2241" s="2" t="s">
        <v>26</v>
      </c>
      <c r="H2241" s="2" t="s">
        <v>20</v>
      </c>
      <c r="I2241" s="2" t="s">
        <v>21</v>
      </c>
      <c r="J2241" s="2" t="n">
        <v>21</v>
      </c>
      <c r="K2241" s="2" t="s">
        <v>46</v>
      </c>
      <c r="L2241" s="2" t="n">
        <v>328</v>
      </c>
      <c r="M2241" s="2" t="n">
        <v>6</v>
      </c>
      <c r="N2241" s="2" t="n">
        <v>-1</v>
      </c>
      <c r="O2241" s="2" t="n">
        <v>0</v>
      </c>
      <c r="P2241" s="2" t="s">
        <v>23</v>
      </c>
      <c r="Q2241" s="2" t="s">
        <v>20</v>
      </c>
    </row>
    <row r="2242" customFormat="false" ht="15" hidden="false" customHeight="false" outlineLevel="0" collapsed="false">
      <c r="A2242" s="2" t="n">
        <v>50</v>
      </c>
      <c r="B2242" s="2" t="s">
        <v>38</v>
      </c>
      <c r="C2242" s="2" t="s">
        <v>18</v>
      </c>
      <c r="D2242" s="2" t="s">
        <v>25</v>
      </c>
      <c r="E2242" s="2" t="s">
        <v>20</v>
      </c>
      <c r="F2242" s="2" t="n">
        <v>1130</v>
      </c>
      <c r="G2242" s="2" t="s">
        <v>26</v>
      </c>
      <c r="H2242" s="2" t="s">
        <v>20</v>
      </c>
      <c r="I2242" s="2" t="s">
        <v>21</v>
      </c>
      <c r="J2242" s="2" t="n">
        <v>23</v>
      </c>
      <c r="K2242" s="2" t="s">
        <v>44</v>
      </c>
      <c r="L2242" s="2" t="n">
        <v>119</v>
      </c>
      <c r="M2242" s="2" t="n">
        <v>2</v>
      </c>
      <c r="N2242" s="2" t="n">
        <v>-1</v>
      </c>
      <c r="O2242" s="2" t="n">
        <v>0</v>
      </c>
      <c r="P2242" s="2" t="s">
        <v>23</v>
      </c>
      <c r="Q2242" s="2" t="s">
        <v>20</v>
      </c>
    </row>
    <row r="2243" customFormat="false" ht="15" hidden="false" customHeight="false" outlineLevel="0" collapsed="false">
      <c r="A2243" s="2" t="n">
        <v>41</v>
      </c>
      <c r="B2243" s="2" t="s">
        <v>34</v>
      </c>
      <c r="C2243" s="2" t="s">
        <v>18</v>
      </c>
      <c r="D2243" s="2" t="s">
        <v>19</v>
      </c>
      <c r="E2243" s="2" t="s">
        <v>20</v>
      </c>
      <c r="F2243" s="2" t="n">
        <v>389</v>
      </c>
      <c r="G2243" s="2" t="s">
        <v>26</v>
      </c>
      <c r="H2243" s="2" t="s">
        <v>20</v>
      </c>
      <c r="I2243" s="2" t="s">
        <v>23</v>
      </c>
      <c r="J2243" s="2" t="n">
        <v>16</v>
      </c>
      <c r="K2243" s="2" t="s">
        <v>33</v>
      </c>
      <c r="L2243" s="2" t="n">
        <v>87</v>
      </c>
      <c r="M2243" s="2" t="n">
        <v>6</v>
      </c>
      <c r="N2243" s="2" t="n">
        <v>-1</v>
      </c>
      <c r="O2243" s="2" t="n">
        <v>0</v>
      </c>
      <c r="P2243" s="2" t="s">
        <v>23</v>
      </c>
      <c r="Q2243" s="2" t="s">
        <v>20</v>
      </c>
    </row>
    <row r="2244" customFormat="false" ht="15" hidden="false" customHeight="false" outlineLevel="0" collapsed="false">
      <c r="A2244" s="2" t="n">
        <v>34</v>
      </c>
      <c r="B2244" s="2" t="s">
        <v>40</v>
      </c>
      <c r="C2244" s="2" t="s">
        <v>30</v>
      </c>
      <c r="D2244" s="2" t="s">
        <v>25</v>
      </c>
      <c r="E2244" s="2" t="s">
        <v>20</v>
      </c>
      <c r="F2244" s="2" t="n">
        <v>10</v>
      </c>
      <c r="G2244" s="2" t="s">
        <v>20</v>
      </c>
      <c r="H2244" s="2" t="s">
        <v>26</v>
      </c>
      <c r="I2244" s="2" t="s">
        <v>21</v>
      </c>
      <c r="J2244" s="2" t="n">
        <v>18</v>
      </c>
      <c r="K2244" s="2" t="s">
        <v>46</v>
      </c>
      <c r="L2244" s="2" t="n">
        <v>162</v>
      </c>
      <c r="M2244" s="2" t="n">
        <v>1</v>
      </c>
      <c r="N2244" s="2" t="n">
        <v>173</v>
      </c>
      <c r="O2244" s="2" t="n">
        <v>3</v>
      </c>
      <c r="P2244" s="2" t="s">
        <v>28</v>
      </c>
      <c r="Q2244" s="2" t="s">
        <v>20</v>
      </c>
    </row>
    <row r="2245" customFormat="false" ht="15" hidden="false" customHeight="false" outlineLevel="0" collapsed="false">
      <c r="A2245" s="2" t="n">
        <v>32</v>
      </c>
      <c r="B2245" s="2" t="s">
        <v>24</v>
      </c>
      <c r="C2245" s="2" t="s">
        <v>18</v>
      </c>
      <c r="D2245" s="2" t="s">
        <v>25</v>
      </c>
      <c r="E2245" s="2" t="s">
        <v>20</v>
      </c>
      <c r="F2245" s="2" t="n">
        <v>401</v>
      </c>
      <c r="G2245" s="2" t="s">
        <v>26</v>
      </c>
      <c r="H2245" s="2" t="s">
        <v>20</v>
      </c>
      <c r="I2245" s="2" t="s">
        <v>23</v>
      </c>
      <c r="J2245" s="2" t="n">
        <v>15</v>
      </c>
      <c r="K2245" s="2" t="s">
        <v>27</v>
      </c>
      <c r="L2245" s="2" t="n">
        <v>294</v>
      </c>
      <c r="M2245" s="2" t="n">
        <v>2</v>
      </c>
      <c r="N2245" s="2" t="n">
        <v>-1</v>
      </c>
      <c r="O2245" s="2" t="n">
        <v>0</v>
      </c>
      <c r="P2245" s="2" t="s">
        <v>23</v>
      </c>
      <c r="Q2245" s="2" t="s">
        <v>20</v>
      </c>
    </row>
    <row r="2246" customFormat="false" ht="15" hidden="false" customHeight="false" outlineLevel="0" collapsed="false">
      <c r="A2246" s="2" t="n">
        <v>58</v>
      </c>
      <c r="B2246" s="2" t="s">
        <v>47</v>
      </c>
      <c r="C2246" s="2" t="s">
        <v>30</v>
      </c>
      <c r="D2246" s="2" t="s">
        <v>31</v>
      </c>
      <c r="E2246" s="2" t="s">
        <v>20</v>
      </c>
      <c r="F2246" s="2" t="n">
        <v>145</v>
      </c>
      <c r="G2246" s="2" t="s">
        <v>26</v>
      </c>
      <c r="H2246" s="2" t="s">
        <v>26</v>
      </c>
      <c r="I2246" s="2" t="s">
        <v>21</v>
      </c>
      <c r="J2246" s="2" t="n">
        <v>16</v>
      </c>
      <c r="K2246" s="2" t="s">
        <v>44</v>
      </c>
      <c r="L2246" s="2" t="n">
        <v>128</v>
      </c>
      <c r="M2246" s="2" t="n">
        <v>2</v>
      </c>
      <c r="N2246" s="2" t="n">
        <v>-1</v>
      </c>
      <c r="O2246" s="2" t="n">
        <v>0</v>
      </c>
      <c r="P2246" s="2" t="s">
        <v>23</v>
      </c>
      <c r="Q2246" s="2" t="s">
        <v>20</v>
      </c>
    </row>
    <row r="2247" customFormat="false" ht="15" hidden="false" customHeight="false" outlineLevel="0" collapsed="false">
      <c r="A2247" s="2" t="n">
        <v>45</v>
      </c>
      <c r="B2247" s="2" t="s">
        <v>38</v>
      </c>
      <c r="C2247" s="2" t="s">
        <v>18</v>
      </c>
      <c r="D2247" s="2" t="s">
        <v>25</v>
      </c>
      <c r="E2247" s="2" t="s">
        <v>20</v>
      </c>
      <c r="F2247" s="2" t="n">
        <v>115</v>
      </c>
      <c r="G2247" s="2" t="s">
        <v>26</v>
      </c>
      <c r="H2247" s="2" t="s">
        <v>20</v>
      </c>
      <c r="I2247" s="2" t="s">
        <v>21</v>
      </c>
      <c r="J2247" s="2" t="n">
        <v>6</v>
      </c>
      <c r="K2247" s="2" t="s">
        <v>27</v>
      </c>
      <c r="L2247" s="2" t="n">
        <v>108</v>
      </c>
      <c r="M2247" s="2" t="n">
        <v>1</v>
      </c>
      <c r="N2247" s="2" t="n">
        <v>-1</v>
      </c>
      <c r="O2247" s="2" t="n">
        <v>0</v>
      </c>
      <c r="P2247" s="2" t="s">
        <v>23</v>
      </c>
      <c r="Q2247" s="2" t="s">
        <v>20</v>
      </c>
    </row>
    <row r="2248" customFormat="false" ht="15" hidden="false" customHeight="false" outlineLevel="0" collapsed="false">
      <c r="A2248" s="2" t="n">
        <v>28</v>
      </c>
      <c r="B2248" s="2" t="s">
        <v>40</v>
      </c>
      <c r="C2248" s="2" t="s">
        <v>30</v>
      </c>
      <c r="D2248" s="2" t="s">
        <v>25</v>
      </c>
      <c r="E2248" s="2" t="s">
        <v>20</v>
      </c>
      <c r="F2248" s="2" t="n">
        <v>89</v>
      </c>
      <c r="G2248" s="2" t="s">
        <v>26</v>
      </c>
      <c r="H2248" s="2" t="s">
        <v>26</v>
      </c>
      <c r="I2248" s="2" t="s">
        <v>21</v>
      </c>
      <c r="J2248" s="2" t="n">
        <v>6</v>
      </c>
      <c r="K2248" s="2" t="s">
        <v>35</v>
      </c>
      <c r="L2248" s="2" t="n">
        <v>172</v>
      </c>
      <c r="M2248" s="2" t="n">
        <v>2</v>
      </c>
      <c r="N2248" s="2" t="n">
        <v>-1</v>
      </c>
      <c r="O2248" s="2" t="n">
        <v>0</v>
      </c>
      <c r="P2248" s="2" t="s">
        <v>23</v>
      </c>
      <c r="Q2248" s="2" t="s">
        <v>20</v>
      </c>
    </row>
    <row r="2249" customFormat="false" ht="15" hidden="false" customHeight="false" outlineLevel="0" collapsed="false">
      <c r="A2249" s="2" t="n">
        <v>35</v>
      </c>
      <c r="B2249" s="2" t="s">
        <v>38</v>
      </c>
      <c r="C2249" s="2" t="s">
        <v>18</v>
      </c>
      <c r="D2249" s="2" t="s">
        <v>25</v>
      </c>
      <c r="E2249" s="2" t="s">
        <v>20</v>
      </c>
      <c r="F2249" s="2" t="n">
        <v>94</v>
      </c>
      <c r="G2249" s="2" t="s">
        <v>26</v>
      </c>
      <c r="H2249" s="2" t="s">
        <v>26</v>
      </c>
      <c r="I2249" s="2" t="s">
        <v>23</v>
      </c>
      <c r="J2249" s="2" t="n">
        <v>14</v>
      </c>
      <c r="K2249" s="2" t="s">
        <v>27</v>
      </c>
      <c r="L2249" s="2" t="n">
        <v>208</v>
      </c>
      <c r="M2249" s="2" t="n">
        <v>5</v>
      </c>
      <c r="N2249" s="2" t="n">
        <v>-1</v>
      </c>
      <c r="O2249" s="2" t="n">
        <v>0</v>
      </c>
      <c r="P2249" s="2" t="s">
        <v>23</v>
      </c>
      <c r="Q2249" s="2" t="s">
        <v>20</v>
      </c>
    </row>
    <row r="2250" customFormat="false" ht="15" hidden="false" customHeight="false" outlineLevel="0" collapsed="false">
      <c r="A2250" s="2" t="n">
        <v>39</v>
      </c>
      <c r="B2250" s="2" t="s">
        <v>24</v>
      </c>
      <c r="C2250" s="2" t="s">
        <v>18</v>
      </c>
      <c r="D2250" s="2" t="s">
        <v>25</v>
      </c>
      <c r="E2250" s="2" t="s">
        <v>20</v>
      </c>
      <c r="F2250" s="2" t="n">
        <v>1438</v>
      </c>
      <c r="G2250" s="2" t="s">
        <v>26</v>
      </c>
      <c r="H2250" s="2" t="s">
        <v>20</v>
      </c>
      <c r="I2250" s="2" t="s">
        <v>23</v>
      </c>
      <c r="J2250" s="2" t="n">
        <v>20</v>
      </c>
      <c r="K2250" s="2" t="s">
        <v>27</v>
      </c>
      <c r="L2250" s="2" t="n">
        <v>212</v>
      </c>
      <c r="M2250" s="2" t="n">
        <v>2</v>
      </c>
      <c r="N2250" s="2" t="n">
        <v>-1</v>
      </c>
      <c r="O2250" s="2" t="n">
        <v>0</v>
      </c>
      <c r="P2250" s="2" t="s">
        <v>23</v>
      </c>
      <c r="Q2250" s="2" t="s">
        <v>20</v>
      </c>
    </row>
    <row r="2251" customFormat="false" ht="15" hidden="false" customHeight="false" outlineLevel="0" collapsed="false">
      <c r="A2251" s="2" t="n">
        <v>49</v>
      </c>
      <c r="B2251" s="2" t="s">
        <v>17</v>
      </c>
      <c r="C2251" s="2" t="s">
        <v>45</v>
      </c>
      <c r="D2251" s="2" t="s">
        <v>31</v>
      </c>
      <c r="E2251" s="2" t="s">
        <v>20</v>
      </c>
      <c r="F2251" s="2" t="n">
        <v>780</v>
      </c>
      <c r="G2251" s="2" t="s">
        <v>20</v>
      </c>
      <c r="H2251" s="2" t="s">
        <v>20</v>
      </c>
      <c r="I2251" s="2" t="s">
        <v>21</v>
      </c>
      <c r="J2251" s="2" t="n">
        <v>8</v>
      </c>
      <c r="K2251" s="2" t="s">
        <v>46</v>
      </c>
      <c r="L2251" s="2" t="n">
        <v>148</v>
      </c>
      <c r="M2251" s="2" t="n">
        <v>1</v>
      </c>
      <c r="N2251" s="2" t="n">
        <v>871</v>
      </c>
      <c r="O2251" s="2" t="n">
        <v>2</v>
      </c>
      <c r="P2251" s="2" t="s">
        <v>28</v>
      </c>
      <c r="Q2251" s="2" t="s">
        <v>20</v>
      </c>
    </row>
    <row r="2252" customFormat="false" ht="15" hidden="false" customHeight="false" outlineLevel="0" collapsed="false">
      <c r="A2252" s="2" t="n">
        <v>50</v>
      </c>
      <c r="B2252" s="2" t="s">
        <v>29</v>
      </c>
      <c r="C2252" s="2" t="s">
        <v>18</v>
      </c>
      <c r="D2252" s="2" t="s">
        <v>31</v>
      </c>
      <c r="E2252" s="2" t="s">
        <v>20</v>
      </c>
      <c r="F2252" s="2" t="n">
        <v>207</v>
      </c>
      <c r="G2252" s="2" t="s">
        <v>26</v>
      </c>
      <c r="H2252" s="2" t="s">
        <v>20</v>
      </c>
      <c r="I2252" s="2" t="s">
        <v>21</v>
      </c>
      <c r="J2252" s="2" t="n">
        <v>4</v>
      </c>
      <c r="K2252" s="2" t="s">
        <v>35</v>
      </c>
      <c r="L2252" s="2" t="n">
        <v>99</v>
      </c>
      <c r="M2252" s="2" t="n">
        <v>1</v>
      </c>
      <c r="N2252" s="2" t="n">
        <v>-1</v>
      </c>
      <c r="O2252" s="2" t="n">
        <v>0</v>
      </c>
      <c r="P2252" s="2" t="s">
        <v>23</v>
      </c>
      <c r="Q2252" s="2" t="s">
        <v>20</v>
      </c>
    </row>
    <row r="2253" customFormat="false" ht="15" hidden="false" customHeight="false" outlineLevel="0" collapsed="false">
      <c r="A2253" s="2" t="n">
        <v>37</v>
      </c>
      <c r="B2253" s="2" t="s">
        <v>29</v>
      </c>
      <c r="C2253" s="2" t="s">
        <v>18</v>
      </c>
      <c r="D2253" s="2" t="s">
        <v>31</v>
      </c>
      <c r="E2253" s="2" t="s">
        <v>20</v>
      </c>
      <c r="F2253" s="2" t="n">
        <v>238</v>
      </c>
      <c r="G2253" s="2" t="s">
        <v>20</v>
      </c>
      <c r="H2253" s="2" t="s">
        <v>20</v>
      </c>
      <c r="I2253" s="2" t="s">
        <v>21</v>
      </c>
      <c r="J2253" s="2" t="n">
        <v>3</v>
      </c>
      <c r="K2253" s="2" t="s">
        <v>35</v>
      </c>
      <c r="L2253" s="2" t="n">
        <v>185</v>
      </c>
      <c r="M2253" s="2" t="n">
        <v>1</v>
      </c>
      <c r="N2253" s="2" t="n">
        <v>92</v>
      </c>
      <c r="O2253" s="2" t="n">
        <v>1</v>
      </c>
      <c r="P2253" s="2" t="s">
        <v>50</v>
      </c>
      <c r="Q2253" s="2" t="s">
        <v>26</v>
      </c>
    </row>
    <row r="2254" customFormat="false" ht="15" hidden="false" customHeight="false" outlineLevel="0" collapsed="false">
      <c r="A2254" s="2" t="n">
        <v>45</v>
      </c>
      <c r="B2254" s="2" t="s">
        <v>34</v>
      </c>
      <c r="C2254" s="2" t="s">
        <v>18</v>
      </c>
      <c r="D2254" s="2" t="s">
        <v>19</v>
      </c>
      <c r="E2254" s="2" t="s">
        <v>20</v>
      </c>
      <c r="F2254" s="2" t="n">
        <v>2433</v>
      </c>
      <c r="G2254" s="2" t="s">
        <v>20</v>
      </c>
      <c r="H2254" s="2" t="s">
        <v>20</v>
      </c>
      <c r="I2254" s="2" t="s">
        <v>21</v>
      </c>
      <c r="J2254" s="2" t="n">
        <v>6</v>
      </c>
      <c r="K2254" s="2" t="s">
        <v>41</v>
      </c>
      <c r="L2254" s="2" t="n">
        <v>133</v>
      </c>
      <c r="M2254" s="2" t="n">
        <v>2</v>
      </c>
      <c r="N2254" s="2" t="n">
        <v>-1</v>
      </c>
      <c r="O2254" s="2" t="n">
        <v>0</v>
      </c>
      <c r="P2254" s="2" t="s">
        <v>23</v>
      </c>
      <c r="Q2254" s="2" t="s">
        <v>20</v>
      </c>
    </row>
    <row r="2255" customFormat="false" ht="15" hidden="false" customHeight="false" outlineLevel="0" collapsed="false">
      <c r="A2255" s="2" t="n">
        <v>30</v>
      </c>
      <c r="B2255" s="2" t="s">
        <v>47</v>
      </c>
      <c r="C2255" s="2" t="s">
        <v>30</v>
      </c>
      <c r="D2255" s="2" t="s">
        <v>25</v>
      </c>
      <c r="E2255" s="2" t="s">
        <v>20</v>
      </c>
      <c r="F2255" s="2" t="n">
        <v>1924</v>
      </c>
      <c r="G2255" s="2" t="s">
        <v>20</v>
      </c>
      <c r="H2255" s="2" t="s">
        <v>20</v>
      </c>
      <c r="I2255" s="2" t="s">
        <v>21</v>
      </c>
      <c r="J2255" s="2" t="n">
        <v>6</v>
      </c>
      <c r="K2255" s="2" t="s">
        <v>35</v>
      </c>
      <c r="L2255" s="2" t="n">
        <v>170</v>
      </c>
      <c r="M2255" s="2" t="n">
        <v>1</v>
      </c>
      <c r="N2255" s="2" t="n">
        <v>-1</v>
      </c>
      <c r="O2255" s="2" t="n">
        <v>0</v>
      </c>
      <c r="P2255" s="2" t="s">
        <v>23</v>
      </c>
      <c r="Q2255" s="2" t="s">
        <v>20</v>
      </c>
    </row>
    <row r="2256" customFormat="false" ht="15" hidden="false" customHeight="false" outlineLevel="0" collapsed="false">
      <c r="A2256" s="2" t="n">
        <v>48</v>
      </c>
      <c r="B2256" s="2" t="s">
        <v>17</v>
      </c>
      <c r="C2256" s="2" t="s">
        <v>18</v>
      </c>
      <c r="D2256" s="2" t="s">
        <v>31</v>
      </c>
      <c r="E2256" s="2" t="s">
        <v>20</v>
      </c>
      <c r="F2256" s="2" t="n">
        <v>-471</v>
      </c>
      <c r="G2256" s="2" t="s">
        <v>26</v>
      </c>
      <c r="H2256" s="2" t="s">
        <v>20</v>
      </c>
      <c r="I2256" s="2" t="s">
        <v>23</v>
      </c>
      <c r="J2256" s="2" t="n">
        <v>19</v>
      </c>
      <c r="K2256" s="2" t="s">
        <v>27</v>
      </c>
      <c r="L2256" s="2" t="n">
        <v>668</v>
      </c>
      <c r="M2256" s="2" t="n">
        <v>7</v>
      </c>
      <c r="N2256" s="2" t="n">
        <v>-1</v>
      </c>
      <c r="O2256" s="2" t="n">
        <v>0</v>
      </c>
      <c r="P2256" s="2" t="s">
        <v>23</v>
      </c>
      <c r="Q2256" s="2" t="s">
        <v>20</v>
      </c>
    </row>
    <row r="2257" customFormat="false" ht="15" hidden="false" customHeight="false" outlineLevel="0" collapsed="false">
      <c r="A2257" s="2" t="n">
        <v>36</v>
      </c>
      <c r="B2257" s="2" t="s">
        <v>29</v>
      </c>
      <c r="C2257" s="2" t="s">
        <v>30</v>
      </c>
      <c r="D2257" s="2" t="s">
        <v>31</v>
      </c>
      <c r="E2257" s="2" t="s">
        <v>20</v>
      </c>
      <c r="F2257" s="2" t="n">
        <v>1531</v>
      </c>
      <c r="G2257" s="2" t="s">
        <v>26</v>
      </c>
      <c r="H2257" s="2" t="s">
        <v>20</v>
      </c>
      <c r="I2257" s="2" t="s">
        <v>21</v>
      </c>
      <c r="J2257" s="2" t="n">
        <v>8</v>
      </c>
      <c r="K2257" s="2" t="s">
        <v>27</v>
      </c>
      <c r="L2257" s="2" t="n">
        <v>81</v>
      </c>
      <c r="M2257" s="2" t="n">
        <v>3</v>
      </c>
      <c r="N2257" s="2" t="n">
        <v>170</v>
      </c>
      <c r="O2257" s="2" t="n">
        <v>1</v>
      </c>
      <c r="P2257" s="2" t="s">
        <v>28</v>
      </c>
      <c r="Q2257" s="2" t="s">
        <v>20</v>
      </c>
    </row>
    <row r="2258" customFormat="false" ht="15" hidden="false" customHeight="false" outlineLevel="0" collapsed="false">
      <c r="A2258" s="2" t="n">
        <v>41</v>
      </c>
      <c r="B2258" s="2" t="s">
        <v>29</v>
      </c>
      <c r="C2258" s="2" t="s">
        <v>30</v>
      </c>
      <c r="D2258" s="2" t="s">
        <v>25</v>
      </c>
      <c r="E2258" s="2" t="s">
        <v>20</v>
      </c>
      <c r="F2258" s="2" t="n">
        <v>764</v>
      </c>
      <c r="G2258" s="2" t="s">
        <v>20</v>
      </c>
      <c r="H2258" s="2" t="s">
        <v>20</v>
      </c>
      <c r="I2258" s="2" t="s">
        <v>21</v>
      </c>
      <c r="J2258" s="2" t="n">
        <v>12</v>
      </c>
      <c r="K2258" s="2" t="s">
        <v>33</v>
      </c>
      <c r="L2258" s="2" t="n">
        <v>230</v>
      </c>
      <c r="M2258" s="2" t="n">
        <v>2</v>
      </c>
      <c r="N2258" s="2" t="n">
        <v>-1</v>
      </c>
      <c r="O2258" s="2" t="n">
        <v>0</v>
      </c>
      <c r="P2258" s="2" t="s">
        <v>23</v>
      </c>
      <c r="Q2258" s="2" t="s">
        <v>20</v>
      </c>
    </row>
    <row r="2259" customFormat="false" ht="15" hidden="false" customHeight="false" outlineLevel="0" collapsed="false">
      <c r="A2259" s="2" t="n">
        <v>55</v>
      </c>
      <c r="B2259" s="2" t="s">
        <v>34</v>
      </c>
      <c r="C2259" s="2" t="s">
        <v>18</v>
      </c>
      <c r="D2259" s="2" t="s">
        <v>25</v>
      </c>
      <c r="E2259" s="2" t="s">
        <v>20</v>
      </c>
      <c r="F2259" s="2" t="n">
        <v>383</v>
      </c>
      <c r="G2259" s="2" t="s">
        <v>20</v>
      </c>
      <c r="H2259" s="2" t="s">
        <v>20</v>
      </c>
      <c r="I2259" s="2" t="s">
        <v>23</v>
      </c>
      <c r="J2259" s="2" t="n">
        <v>5</v>
      </c>
      <c r="K2259" s="2" t="s">
        <v>27</v>
      </c>
      <c r="L2259" s="2" t="n">
        <v>287</v>
      </c>
      <c r="M2259" s="2" t="n">
        <v>1</v>
      </c>
      <c r="N2259" s="2" t="n">
        <v>-1</v>
      </c>
      <c r="O2259" s="2" t="n">
        <v>0</v>
      </c>
      <c r="P2259" s="2" t="s">
        <v>23</v>
      </c>
      <c r="Q2259" s="2" t="s">
        <v>20</v>
      </c>
    </row>
    <row r="2260" customFormat="false" ht="15" hidden="false" customHeight="false" outlineLevel="0" collapsed="false">
      <c r="A2260" s="2" t="n">
        <v>70</v>
      </c>
      <c r="B2260" s="2" t="s">
        <v>48</v>
      </c>
      <c r="C2260" s="2" t="s">
        <v>18</v>
      </c>
      <c r="D2260" s="2" t="s">
        <v>19</v>
      </c>
      <c r="E2260" s="2" t="s">
        <v>20</v>
      </c>
      <c r="F2260" s="2" t="n">
        <v>3782</v>
      </c>
      <c r="G2260" s="2" t="s">
        <v>20</v>
      </c>
      <c r="H2260" s="2" t="s">
        <v>20</v>
      </c>
      <c r="I2260" s="2" t="s">
        <v>21</v>
      </c>
      <c r="J2260" s="2" t="n">
        <v>16</v>
      </c>
      <c r="K2260" s="2" t="s">
        <v>52</v>
      </c>
      <c r="L2260" s="2" t="n">
        <v>618</v>
      </c>
      <c r="M2260" s="2" t="n">
        <v>1</v>
      </c>
      <c r="N2260" s="2" t="n">
        <v>-1</v>
      </c>
      <c r="O2260" s="2" t="n">
        <v>0</v>
      </c>
      <c r="P2260" s="2" t="s">
        <v>23</v>
      </c>
      <c r="Q2260" s="2" t="s">
        <v>20</v>
      </c>
    </row>
    <row r="2261" customFormat="false" ht="15" hidden="false" customHeight="false" outlineLevel="0" collapsed="false">
      <c r="A2261" s="2" t="n">
        <v>41</v>
      </c>
      <c r="B2261" s="2" t="s">
        <v>29</v>
      </c>
      <c r="C2261" s="2" t="s">
        <v>18</v>
      </c>
      <c r="D2261" s="2" t="s">
        <v>31</v>
      </c>
      <c r="E2261" s="2" t="s">
        <v>20</v>
      </c>
      <c r="F2261" s="2" t="n">
        <v>326</v>
      </c>
      <c r="G2261" s="2" t="s">
        <v>26</v>
      </c>
      <c r="H2261" s="2" t="s">
        <v>20</v>
      </c>
      <c r="I2261" s="2" t="s">
        <v>21</v>
      </c>
      <c r="J2261" s="2" t="n">
        <v>5</v>
      </c>
      <c r="K2261" s="2" t="s">
        <v>27</v>
      </c>
      <c r="L2261" s="2" t="n">
        <v>788</v>
      </c>
      <c r="M2261" s="2" t="n">
        <v>1</v>
      </c>
      <c r="N2261" s="2" t="n">
        <v>-1</v>
      </c>
      <c r="O2261" s="2" t="n">
        <v>0</v>
      </c>
      <c r="P2261" s="2" t="s">
        <v>23</v>
      </c>
      <c r="Q2261" s="2" t="s">
        <v>26</v>
      </c>
    </row>
    <row r="2262" customFormat="false" ht="15" hidden="false" customHeight="false" outlineLevel="0" collapsed="false">
      <c r="A2262" s="2" t="n">
        <v>47</v>
      </c>
      <c r="B2262" s="2" t="s">
        <v>24</v>
      </c>
      <c r="C2262" s="2" t="s">
        <v>45</v>
      </c>
      <c r="D2262" s="2" t="s">
        <v>25</v>
      </c>
      <c r="E2262" s="2" t="s">
        <v>20</v>
      </c>
      <c r="F2262" s="2" t="n">
        <v>691</v>
      </c>
      <c r="G2262" s="2" t="s">
        <v>20</v>
      </c>
      <c r="H2262" s="2" t="s">
        <v>20</v>
      </c>
      <c r="I2262" s="2" t="s">
        <v>21</v>
      </c>
      <c r="J2262" s="2" t="n">
        <v>6</v>
      </c>
      <c r="K2262" s="2" t="s">
        <v>35</v>
      </c>
      <c r="L2262" s="2" t="n">
        <v>285</v>
      </c>
      <c r="M2262" s="2" t="n">
        <v>6</v>
      </c>
      <c r="N2262" s="2" t="n">
        <v>-1</v>
      </c>
      <c r="O2262" s="2" t="n">
        <v>0</v>
      </c>
      <c r="P2262" s="2" t="s">
        <v>23</v>
      </c>
      <c r="Q2262" s="2" t="s">
        <v>20</v>
      </c>
    </row>
    <row r="2263" customFormat="false" ht="15" hidden="false" customHeight="false" outlineLevel="0" collapsed="false">
      <c r="A2263" s="2" t="n">
        <v>34</v>
      </c>
      <c r="B2263" s="2" t="s">
        <v>38</v>
      </c>
      <c r="C2263" s="2" t="s">
        <v>30</v>
      </c>
      <c r="D2263" s="2" t="s">
        <v>25</v>
      </c>
      <c r="E2263" s="2" t="s">
        <v>20</v>
      </c>
      <c r="F2263" s="2" t="n">
        <v>0</v>
      </c>
      <c r="G2263" s="2" t="s">
        <v>20</v>
      </c>
      <c r="H2263" s="2" t="s">
        <v>20</v>
      </c>
      <c r="I2263" s="2" t="s">
        <v>21</v>
      </c>
      <c r="J2263" s="2" t="n">
        <v>21</v>
      </c>
      <c r="K2263" s="2" t="s">
        <v>41</v>
      </c>
      <c r="L2263" s="2" t="n">
        <v>163</v>
      </c>
      <c r="M2263" s="2" t="n">
        <v>2</v>
      </c>
      <c r="N2263" s="2" t="n">
        <v>-1</v>
      </c>
      <c r="O2263" s="2" t="n">
        <v>0</v>
      </c>
      <c r="P2263" s="2" t="s">
        <v>23</v>
      </c>
      <c r="Q2263" s="2" t="s">
        <v>20</v>
      </c>
    </row>
    <row r="2264" customFormat="false" ht="15" hidden="false" customHeight="false" outlineLevel="0" collapsed="false">
      <c r="A2264" s="2" t="n">
        <v>33</v>
      </c>
      <c r="B2264" s="2" t="s">
        <v>29</v>
      </c>
      <c r="C2264" s="2" t="s">
        <v>30</v>
      </c>
      <c r="D2264" s="2" t="s">
        <v>31</v>
      </c>
      <c r="E2264" s="2" t="s">
        <v>20</v>
      </c>
      <c r="F2264" s="2" t="n">
        <v>99</v>
      </c>
      <c r="G2264" s="2" t="s">
        <v>20</v>
      </c>
      <c r="H2264" s="2" t="s">
        <v>20</v>
      </c>
      <c r="I2264" s="2" t="s">
        <v>21</v>
      </c>
      <c r="J2264" s="2" t="n">
        <v>8</v>
      </c>
      <c r="K2264" s="2" t="s">
        <v>44</v>
      </c>
      <c r="L2264" s="2" t="n">
        <v>159</v>
      </c>
      <c r="M2264" s="2" t="n">
        <v>1</v>
      </c>
      <c r="N2264" s="2" t="n">
        <v>-1</v>
      </c>
      <c r="O2264" s="2" t="n">
        <v>0</v>
      </c>
      <c r="P2264" s="2" t="s">
        <v>23</v>
      </c>
      <c r="Q2264" s="2" t="s">
        <v>20</v>
      </c>
    </row>
    <row r="2265" customFormat="false" ht="15" hidden="false" customHeight="false" outlineLevel="0" collapsed="false">
      <c r="A2265" s="2" t="n">
        <v>58</v>
      </c>
      <c r="B2265" s="2" t="s">
        <v>48</v>
      </c>
      <c r="C2265" s="2" t="s">
        <v>18</v>
      </c>
      <c r="D2265" s="2" t="s">
        <v>25</v>
      </c>
      <c r="E2265" s="2" t="s">
        <v>20</v>
      </c>
      <c r="F2265" s="2" t="n">
        <v>502</v>
      </c>
      <c r="G2265" s="2" t="s">
        <v>26</v>
      </c>
      <c r="H2265" s="2" t="s">
        <v>20</v>
      </c>
      <c r="I2265" s="2" t="s">
        <v>21</v>
      </c>
      <c r="J2265" s="2" t="n">
        <v>12</v>
      </c>
      <c r="K2265" s="2" t="s">
        <v>27</v>
      </c>
      <c r="L2265" s="2" t="n">
        <v>197</v>
      </c>
      <c r="M2265" s="2" t="n">
        <v>2</v>
      </c>
      <c r="N2265" s="2" t="n">
        <v>370</v>
      </c>
      <c r="O2265" s="2" t="n">
        <v>3</v>
      </c>
      <c r="P2265" s="2" t="s">
        <v>28</v>
      </c>
      <c r="Q2265" s="2" t="s">
        <v>20</v>
      </c>
    </row>
    <row r="2266" customFormat="false" ht="15" hidden="false" customHeight="false" outlineLevel="0" collapsed="false">
      <c r="A2266" s="2" t="n">
        <v>51</v>
      </c>
      <c r="B2266" s="2" t="s">
        <v>29</v>
      </c>
      <c r="C2266" s="2" t="s">
        <v>18</v>
      </c>
      <c r="D2266" s="2" t="s">
        <v>31</v>
      </c>
      <c r="E2266" s="2" t="s">
        <v>20</v>
      </c>
      <c r="F2266" s="2" t="n">
        <v>-15</v>
      </c>
      <c r="G2266" s="2" t="s">
        <v>20</v>
      </c>
      <c r="H2266" s="2" t="s">
        <v>20</v>
      </c>
      <c r="I2266" s="2" t="s">
        <v>21</v>
      </c>
      <c r="J2266" s="2" t="n">
        <v>25</v>
      </c>
      <c r="K2266" s="2" t="s">
        <v>44</v>
      </c>
      <c r="L2266" s="2" t="n">
        <v>212</v>
      </c>
      <c r="M2266" s="2" t="n">
        <v>2</v>
      </c>
      <c r="N2266" s="2" t="n">
        <v>-1</v>
      </c>
      <c r="O2266" s="2" t="n">
        <v>0</v>
      </c>
      <c r="P2266" s="2" t="s">
        <v>23</v>
      </c>
      <c r="Q2266" s="2" t="s">
        <v>20</v>
      </c>
    </row>
    <row r="2267" customFormat="false" ht="15" hidden="false" customHeight="false" outlineLevel="0" collapsed="false">
      <c r="A2267" s="2" t="n">
        <v>45</v>
      </c>
      <c r="B2267" s="2" t="s">
        <v>29</v>
      </c>
      <c r="C2267" s="2" t="s">
        <v>18</v>
      </c>
      <c r="D2267" s="2" t="s">
        <v>31</v>
      </c>
      <c r="E2267" s="2" t="s">
        <v>20</v>
      </c>
      <c r="F2267" s="2" t="n">
        <v>1929</v>
      </c>
      <c r="G2267" s="2" t="s">
        <v>26</v>
      </c>
      <c r="H2267" s="2" t="s">
        <v>20</v>
      </c>
      <c r="I2267" s="2" t="s">
        <v>23</v>
      </c>
      <c r="J2267" s="2" t="n">
        <v>29</v>
      </c>
      <c r="K2267" s="2" t="s">
        <v>27</v>
      </c>
      <c r="L2267" s="2" t="n">
        <v>44</v>
      </c>
      <c r="M2267" s="2" t="n">
        <v>15</v>
      </c>
      <c r="N2267" s="2" t="n">
        <v>-1</v>
      </c>
      <c r="O2267" s="2" t="n">
        <v>0</v>
      </c>
      <c r="P2267" s="2" t="s">
        <v>23</v>
      </c>
      <c r="Q2267" s="2" t="s">
        <v>20</v>
      </c>
    </row>
    <row r="2268" customFormat="false" ht="15" hidden="false" customHeight="false" outlineLevel="0" collapsed="false">
      <c r="A2268" s="2" t="n">
        <v>55</v>
      </c>
      <c r="B2268" s="2" t="s">
        <v>40</v>
      </c>
      <c r="C2268" s="2" t="s">
        <v>18</v>
      </c>
      <c r="D2268" s="2" t="s">
        <v>25</v>
      </c>
      <c r="E2268" s="2" t="s">
        <v>20</v>
      </c>
      <c r="F2268" s="2" t="n">
        <v>0</v>
      </c>
      <c r="G2268" s="2" t="s">
        <v>20</v>
      </c>
      <c r="H2268" s="2" t="s">
        <v>20</v>
      </c>
      <c r="I2268" s="2" t="s">
        <v>21</v>
      </c>
      <c r="J2268" s="2" t="n">
        <v>23</v>
      </c>
      <c r="K2268" s="2" t="s">
        <v>51</v>
      </c>
      <c r="L2268" s="2" t="n">
        <v>180</v>
      </c>
      <c r="M2268" s="2" t="n">
        <v>2</v>
      </c>
      <c r="N2268" s="2" t="n">
        <v>238</v>
      </c>
      <c r="O2268" s="2" t="n">
        <v>3</v>
      </c>
      <c r="P2268" s="2" t="s">
        <v>50</v>
      </c>
      <c r="Q2268" s="2" t="s">
        <v>20</v>
      </c>
    </row>
    <row r="2269" customFormat="false" ht="15" hidden="false" customHeight="false" outlineLevel="0" collapsed="false">
      <c r="A2269" s="2" t="n">
        <v>30</v>
      </c>
      <c r="B2269" s="2" t="s">
        <v>34</v>
      </c>
      <c r="C2269" s="2" t="s">
        <v>30</v>
      </c>
      <c r="D2269" s="2" t="s">
        <v>19</v>
      </c>
      <c r="E2269" s="2" t="s">
        <v>20</v>
      </c>
      <c r="F2269" s="2" t="n">
        <v>185</v>
      </c>
      <c r="G2269" s="2" t="s">
        <v>20</v>
      </c>
      <c r="H2269" s="2" t="s">
        <v>20</v>
      </c>
      <c r="I2269" s="2" t="s">
        <v>23</v>
      </c>
      <c r="J2269" s="2" t="n">
        <v>26</v>
      </c>
      <c r="K2269" s="2" t="s">
        <v>33</v>
      </c>
      <c r="L2269" s="2" t="n">
        <v>11</v>
      </c>
      <c r="M2269" s="2" t="n">
        <v>1</v>
      </c>
      <c r="N2269" s="2" t="n">
        <v>-1</v>
      </c>
      <c r="O2269" s="2" t="n">
        <v>0</v>
      </c>
      <c r="P2269" s="2" t="s">
        <v>23</v>
      </c>
      <c r="Q2269" s="2" t="s">
        <v>20</v>
      </c>
    </row>
    <row r="2270" customFormat="false" ht="15" hidden="false" customHeight="false" outlineLevel="0" collapsed="false">
      <c r="A2270" s="2" t="n">
        <v>33</v>
      </c>
      <c r="B2270" s="2" t="s">
        <v>29</v>
      </c>
      <c r="C2270" s="2" t="s">
        <v>30</v>
      </c>
      <c r="D2270" s="2" t="s">
        <v>25</v>
      </c>
      <c r="E2270" s="2" t="s">
        <v>20</v>
      </c>
      <c r="F2270" s="2" t="n">
        <v>-424</v>
      </c>
      <c r="G2270" s="2" t="s">
        <v>26</v>
      </c>
      <c r="H2270" s="2" t="s">
        <v>20</v>
      </c>
      <c r="I2270" s="2" t="s">
        <v>23</v>
      </c>
      <c r="J2270" s="2" t="n">
        <v>26</v>
      </c>
      <c r="K2270" s="2" t="s">
        <v>27</v>
      </c>
      <c r="L2270" s="2" t="n">
        <v>863</v>
      </c>
      <c r="M2270" s="2" t="n">
        <v>1</v>
      </c>
      <c r="N2270" s="2" t="n">
        <v>-1</v>
      </c>
      <c r="O2270" s="2" t="n">
        <v>0</v>
      </c>
      <c r="P2270" s="2" t="s">
        <v>23</v>
      </c>
      <c r="Q2270" s="2" t="s">
        <v>20</v>
      </c>
    </row>
    <row r="2271" customFormat="false" ht="15" hidden="false" customHeight="false" outlineLevel="0" collapsed="false">
      <c r="A2271" s="2" t="n">
        <v>27</v>
      </c>
      <c r="B2271" s="2" t="s">
        <v>24</v>
      </c>
      <c r="C2271" s="2" t="s">
        <v>30</v>
      </c>
      <c r="D2271" s="2" t="s">
        <v>25</v>
      </c>
      <c r="E2271" s="2" t="s">
        <v>20</v>
      </c>
      <c r="F2271" s="2" t="n">
        <v>0</v>
      </c>
      <c r="G2271" s="2" t="s">
        <v>26</v>
      </c>
      <c r="H2271" s="2" t="s">
        <v>20</v>
      </c>
      <c r="I2271" s="2" t="s">
        <v>23</v>
      </c>
      <c r="J2271" s="2" t="n">
        <v>7</v>
      </c>
      <c r="K2271" s="2" t="s">
        <v>27</v>
      </c>
      <c r="L2271" s="2" t="n">
        <v>388</v>
      </c>
      <c r="M2271" s="2" t="n">
        <v>7</v>
      </c>
      <c r="N2271" s="2" t="n">
        <v>-1</v>
      </c>
      <c r="O2271" s="2" t="n">
        <v>0</v>
      </c>
      <c r="P2271" s="2" t="s">
        <v>23</v>
      </c>
      <c r="Q2271" s="2" t="s">
        <v>20</v>
      </c>
    </row>
    <row r="2272" customFormat="false" ht="15" hidden="false" customHeight="false" outlineLevel="0" collapsed="false">
      <c r="A2272" s="2" t="n">
        <v>59</v>
      </c>
      <c r="B2272" s="2" t="s">
        <v>48</v>
      </c>
      <c r="C2272" s="2" t="s">
        <v>18</v>
      </c>
      <c r="D2272" s="2" t="s">
        <v>25</v>
      </c>
      <c r="E2272" s="2" t="s">
        <v>20</v>
      </c>
      <c r="F2272" s="2" t="n">
        <v>319</v>
      </c>
      <c r="G2272" s="2" t="s">
        <v>26</v>
      </c>
      <c r="H2272" s="2" t="s">
        <v>20</v>
      </c>
      <c r="I2272" s="2" t="s">
        <v>23</v>
      </c>
      <c r="J2272" s="2" t="n">
        <v>5</v>
      </c>
      <c r="K2272" s="2" t="s">
        <v>27</v>
      </c>
      <c r="L2272" s="2" t="n">
        <v>143</v>
      </c>
      <c r="M2272" s="2" t="n">
        <v>3</v>
      </c>
      <c r="N2272" s="2" t="n">
        <v>-1</v>
      </c>
      <c r="O2272" s="2" t="n">
        <v>0</v>
      </c>
      <c r="P2272" s="2" t="s">
        <v>23</v>
      </c>
      <c r="Q2272" s="2" t="s">
        <v>20</v>
      </c>
    </row>
    <row r="2273" customFormat="false" ht="15" hidden="false" customHeight="false" outlineLevel="0" collapsed="false">
      <c r="A2273" s="2" t="n">
        <v>34</v>
      </c>
      <c r="B2273" s="2" t="s">
        <v>29</v>
      </c>
      <c r="C2273" s="2" t="s">
        <v>30</v>
      </c>
      <c r="D2273" s="2" t="s">
        <v>31</v>
      </c>
      <c r="E2273" s="2" t="s">
        <v>20</v>
      </c>
      <c r="F2273" s="2" t="n">
        <v>171</v>
      </c>
      <c r="G2273" s="2" t="s">
        <v>26</v>
      </c>
      <c r="H2273" s="2" t="s">
        <v>20</v>
      </c>
      <c r="I2273" s="2" t="s">
        <v>21</v>
      </c>
      <c r="J2273" s="2" t="n">
        <v>7</v>
      </c>
      <c r="K2273" s="2" t="s">
        <v>27</v>
      </c>
      <c r="L2273" s="2" t="n">
        <v>191</v>
      </c>
      <c r="M2273" s="2" t="n">
        <v>1</v>
      </c>
      <c r="N2273" s="2" t="n">
        <v>294</v>
      </c>
      <c r="O2273" s="2" t="n">
        <v>1</v>
      </c>
      <c r="P2273" s="2" t="s">
        <v>28</v>
      </c>
      <c r="Q2273" s="2" t="s">
        <v>20</v>
      </c>
    </row>
    <row r="2274" customFormat="false" ht="15" hidden="false" customHeight="false" outlineLevel="0" collapsed="false">
      <c r="A2274" s="2" t="n">
        <v>47</v>
      </c>
      <c r="B2274" s="2" t="s">
        <v>38</v>
      </c>
      <c r="C2274" s="2" t="s">
        <v>45</v>
      </c>
      <c r="D2274" s="2" t="s">
        <v>31</v>
      </c>
      <c r="E2274" s="2" t="s">
        <v>20</v>
      </c>
      <c r="F2274" s="2" t="n">
        <v>-1148</v>
      </c>
      <c r="G2274" s="2" t="s">
        <v>26</v>
      </c>
      <c r="H2274" s="2" t="s">
        <v>26</v>
      </c>
      <c r="I2274" s="2" t="s">
        <v>23</v>
      </c>
      <c r="J2274" s="2" t="n">
        <v>27</v>
      </c>
      <c r="K2274" s="2" t="s">
        <v>27</v>
      </c>
      <c r="L2274" s="2" t="n">
        <v>62</v>
      </c>
      <c r="M2274" s="2" t="n">
        <v>2</v>
      </c>
      <c r="N2274" s="2" t="n">
        <v>-1</v>
      </c>
      <c r="O2274" s="2" t="n">
        <v>0</v>
      </c>
      <c r="P2274" s="2" t="s">
        <v>23</v>
      </c>
      <c r="Q2274" s="2" t="s">
        <v>20</v>
      </c>
    </row>
    <row r="2275" customFormat="false" ht="15" hidden="false" customHeight="false" outlineLevel="0" collapsed="false">
      <c r="A2275" s="2" t="n">
        <v>44</v>
      </c>
      <c r="B2275" s="2" t="s">
        <v>34</v>
      </c>
      <c r="C2275" s="2" t="s">
        <v>18</v>
      </c>
      <c r="D2275" s="2" t="s">
        <v>19</v>
      </c>
      <c r="E2275" s="2" t="s">
        <v>20</v>
      </c>
      <c r="F2275" s="2" t="n">
        <v>-11</v>
      </c>
      <c r="G2275" s="2" t="s">
        <v>26</v>
      </c>
      <c r="H2275" s="2" t="s">
        <v>20</v>
      </c>
      <c r="I2275" s="2" t="s">
        <v>23</v>
      </c>
      <c r="J2275" s="2" t="n">
        <v>9</v>
      </c>
      <c r="K2275" s="2" t="s">
        <v>27</v>
      </c>
      <c r="L2275" s="2" t="n">
        <v>13</v>
      </c>
      <c r="M2275" s="2" t="n">
        <v>1</v>
      </c>
      <c r="N2275" s="2" t="n">
        <v>-1</v>
      </c>
      <c r="O2275" s="2" t="n">
        <v>0</v>
      </c>
      <c r="P2275" s="2" t="s">
        <v>23</v>
      </c>
      <c r="Q2275" s="2" t="s">
        <v>20</v>
      </c>
    </row>
    <row r="2276" customFormat="false" ht="15" hidden="false" customHeight="false" outlineLevel="0" collapsed="false">
      <c r="A2276" s="2" t="n">
        <v>35</v>
      </c>
      <c r="B2276" s="2" t="s">
        <v>40</v>
      </c>
      <c r="C2276" s="2" t="s">
        <v>30</v>
      </c>
      <c r="D2276" s="2" t="s">
        <v>25</v>
      </c>
      <c r="E2276" s="2" t="s">
        <v>20</v>
      </c>
      <c r="F2276" s="2" t="n">
        <v>0</v>
      </c>
      <c r="G2276" s="2" t="s">
        <v>26</v>
      </c>
      <c r="H2276" s="2" t="s">
        <v>20</v>
      </c>
      <c r="I2276" s="2" t="s">
        <v>21</v>
      </c>
      <c r="J2276" s="2" t="n">
        <v>13</v>
      </c>
      <c r="K2276" s="2" t="s">
        <v>27</v>
      </c>
      <c r="L2276" s="2" t="n">
        <v>1073</v>
      </c>
      <c r="M2276" s="2" t="n">
        <v>1</v>
      </c>
      <c r="N2276" s="2" t="n">
        <v>-1</v>
      </c>
      <c r="O2276" s="2" t="n">
        <v>0</v>
      </c>
      <c r="P2276" s="2" t="s">
        <v>23</v>
      </c>
      <c r="Q2276" s="2" t="s">
        <v>26</v>
      </c>
    </row>
    <row r="2277" customFormat="false" ht="15" hidden="false" customHeight="false" outlineLevel="0" collapsed="false">
      <c r="A2277" s="2" t="n">
        <v>45</v>
      </c>
      <c r="B2277" s="2" t="s">
        <v>29</v>
      </c>
      <c r="C2277" s="2" t="s">
        <v>18</v>
      </c>
      <c r="D2277" s="2" t="s">
        <v>31</v>
      </c>
      <c r="E2277" s="2" t="s">
        <v>20</v>
      </c>
      <c r="F2277" s="2" t="n">
        <v>-206</v>
      </c>
      <c r="G2277" s="2" t="s">
        <v>26</v>
      </c>
      <c r="H2277" s="2" t="s">
        <v>20</v>
      </c>
      <c r="I2277" s="2" t="s">
        <v>21</v>
      </c>
      <c r="J2277" s="2" t="n">
        <v>6</v>
      </c>
      <c r="K2277" s="2" t="s">
        <v>27</v>
      </c>
      <c r="L2277" s="2" t="n">
        <v>337</v>
      </c>
      <c r="M2277" s="2" t="n">
        <v>2</v>
      </c>
      <c r="N2277" s="2" t="n">
        <v>-1</v>
      </c>
      <c r="O2277" s="2" t="n">
        <v>0</v>
      </c>
      <c r="P2277" s="2" t="s">
        <v>23</v>
      </c>
      <c r="Q2277" s="2" t="s">
        <v>20</v>
      </c>
    </row>
    <row r="2278" customFormat="false" ht="15" hidden="false" customHeight="false" outlineLevel="0" collapsed="false">
      <c r="A2278" s="2" t="n">
        <v>42</v>
      </c>
      <c r="B2278" s="2" t="s">
        <v>34</v>
      </c>
      <c r="C2278" s="2" t="s">
        <v>18</v>
      </c>
      <c r="D2278" s="2" t="s">
        <v>19</v>
      </c>
      <c r="E2278" s="2" t="s">
        <v>20</v>
      </c>
      <c r="F2278" s="2" t="n">
        <v>704</v>
      </c>
      <c r="G2278" s="2" t="s">
        <v>26</v>
      </c>
      <c r="H2278" s="2" t="s">
        <v>26</v>
      </c>
      <c r="I2278" s="2" t="s">
        <v>49</v>
      </c>
      <c r="J2278" s="2" t="n">
        <v>31</v>
      </c>
      <c r="K2278" s="2" t="s">
        <v>44</v>
      </c>
      <c r="L2278" s="2" t="n">
        <v>88</v>
      </c>
      <c r="M2278" s="2" t="n">
        <v>10</v>
      </c>
      <c r="N2278" s="2" t="n">
        <v>-1</v>
      </c>
      <c r="O2278" s="2" t="n">
        <v>0</v>
      </c>
      <c r="P2278" s="2" t="s">
        <v>23</v>
      </c>
      <c r="Q2278" s="2" t="s">
        <v>20</v>
      </c>
    </row>
    <row r="2279" customFormat="false" ht="15" hidden="false" customHeight="false" outlineLevel="0" collapsed="false">
      <c r="A2279" s="2" t="n">
        <v>38</v>
      </c>
      <c r="B2279" s="2" t="s">
        <v>38</v>
      </c>
      <c r="C2279" s="2" t="s">
        <v>18</v>
      </c>
      <c r="D2279" s="2" t="s">
        <v>25</v>
      </c>
      <c r="E2279" s="2" t="s">
        <v>20</v>
      </c>
      <c r="F2279" s="2" t="n">
        <v>1931</v>
      </c>
      <c r="G2279" s="2" t="s">
        <v>20</v>
      </c>
      <c r="H2279" s="2" t="s">
        <v>20</v>
      </c>
      <c r="I2279" s="2" t="s">
        <v>21</v>
      </c>
      <c r="J2279" s="2" t="n">
        <v>2</v>
      </c>
      <c r="K2279" s="2" t="s">
        <v>33</v>
      </c>
      <c r="L2279" s="2" t="n">
        <v>167</v>
      </c>
      <c r="M2279" s="2" t="n">
        <v>1</v>
      </c>
      <c r="N2279" s="2" t="n">
        <v>298</v>
      </c>
      <c r="O2279" s="2" t="n">
        <v>10</v>
      </c>
      <c r="P2279" s="2" t="s">
        <v>37</v>
      </c>
      <c r="Q2279" s="2" t="s">
        <v>20</v>
      </c>
    </row>
    <row r="2280" customFormat="false" ht="15" hidden="false" customHeight="false" outlineLevel="0" collapsed="false">
      <c r="A2280" s="2" t="n">
        <v>34</v>
      </c>
      <c r="B2280" s="2" t="s">
        <v>38</v>
      </c>
      <c r="C2280" s="2" t="s">
        <v>30</v>
      </c>
      <c r="D2280" s="2" t="s">
        <v>25</v>
      </c>
      <c r="E2280" s="2" t="s">
        <v>20</v>
      </c>
      <c r="F2280" s="2" t="n">
        <v>943</v>
      </c>
      <c r="G2280" s="2" t="s">
        <v>20</v>
      </c>
      <c r="H2280" s="2" t="s">
        <v>20</v>
      </c>
      <c r="I2280" s="2" t="s">
        <v>21</v>
      </c>
      <c r="J2280" s="2" t="n">
        <v>29</v>
      </c>
      <c r="K2280" s="2" t="s">
        <v>41</v>
      </c>
      <c r="L2280" s="2" t="n">
        <v>96</v>
      </c>
      <c r="M2280" s="2" t="n">
        <v>4</v>
      </c>
      <c r="N2280" s="2" t="n">
        <v>-1</v>
      </c>
      <c r="O2280" s="2" t="n">
        <v>0</v>
      </c>
      <c r="P2280" s="2" t="s">
        <v>23</v>
      </c>
      <c r="Q2280" s="2" t="s">
        <v>20</v>
      </c>
    </row>
    <row r="2281" customFormat="false" ht="15" hidden="false" customHeight="false" outlineLevel="0" collapsed="false">
      <c r="A2281" s="2" t="n">
        <v>35</v>
      </c>
      <c r="B2281" s="2" t="s">
        <v>38</v>
      </c>
      <c r="C2281" s="2" t="s">
        <v>18</v>
      </c>
      <c r="D2281" s="2" t="s">
        <v>25</v>
      </c>
      <c r="E2281" s="2" t="s">
        <v>20</v>
      </c>
      <c r="F2281" s="2" t="n">
        <v>327</v>
      </c>
      <c r="G2281" s="2" t="s">
        <v>26</v>
      </c>
      <c r="H2281" s="2" t="s">
        <v>20</v>
      </c>
      <c r="I2281" s="2" t="s">
        <v>21</v>
      </c>
      <c r="J2281" s="2" t="n">
        <v>13</v>
      </c>
      <c r="K2281" s="2" t="s">
        <v>32</v>
      </c>
      <c r="L2281" s="2" t="n">
        <v>537</v>
      </c>
      <c r="M2281" s="2" t="n">
        <v>3</v>
      </c>
      <c r="N2281" s="2" t="n">
        <v>-1</v>
      </c>
      <c r="O2281" s="2" t="n">
        <v>0</v>
      </c>
      <c r="P2281" s="2" t="s">
        <v>23</v>
      </c>
      <c r="Q2281" s="2" t="s">
        <v>20</v>
      </c>
    </row>
    <row r="2282" customFormat="false" ht="15" hidden="false" customHeight="false" outlineLevel="0" collapsed="false">
      <c r="A2282" s="2" t="n">
        <v>29</v>
      </c>
      <c r="B2282" s="2" t="s">
        <v>29</v>
      </c>
      <c r="C2282" s="2" t="s">
        <v>30</v>
      </c>
      <c r="D2282" s="2" t="s">
        <v>25</v>
      </c>
      <c r="E2282" s="2" t="s">
        <v>20</v>
      </c>
      <c r="F2282" s="2" t="n">
        <v>-105</v>
      </c>
      <c r="G2282" s="2" t="s">
        <v>26</v>
      </c>
      <c r="H2282" s="2" t="s">
        <v>20</v>
      </c>
      <c r="I2282" s="2" t="s">
        <v>23</v>
      </c>
      <c r="J2282" s="2" t="n">
        <v>27</v>
      </c>
      <c r="K2282" s="2" t="s">
        <v>27</v>
      </c>
      <c r="L2282" s="2" t="n">
        <v>5</v>
      </c>
      <c r="M2282" s="2" t="n">
        <v>3</v>
      </c>
      <c r="N2282" s="2" t="n">
        <v>-1</v>
      </c>
      <c r="O2282" s="2" t="n">
        <v>0</v>
      </c>
      <c r="P2282" s="2" t="s">
        <v>23</v>
      </c>
      <c r="Q2282" s="2" t="s">
        <v>20</v>
      </c>
    </row>
    <row r="2283" customFormat="false" ht="15" hidden="false" customHeight="false" outlineLevel="0" collapsed="false">
      <c r="A2283" s="2" t="n">
        <v>58</v>
      </c>
      <c r="B2283" s="2" t="s">
        <v>48</v>
      </c>
      <c r="C2283" s="2" t="s">
        <v>18</v>
      </c>
      <c r="D2283" s="2" t="s">
        <v>25</v>
      </c>
      <c r="E2283" s="2" t="s">
        <v>20</v>
      </c>
      <c r="F2283" s="2" t="n">
        <v>983</v>
      </c>
      <c r="G2283" s="2" t="s">
        <v>20</v>
      </c>
      <c r="H2283" s="2" t="s">
        <v>20</v>
      </c>
      <c r="I2283" s="2" t="s">
        <v>21</v>
      </c>
      <c r="J2283" s="2" t="n">
        <v>5</v>
      </c>
      <c r="K2283" s="2" t="s">
        <v>41</v>
      </c>
      <c r="L2283" s="2" t="n">
        <v>139</v>
      </c>
      <c r="M2283" s="2" t="n">
        <v>1</v>
      </c>
      <c r="N2283" s="2" t="n">
        <v>-1</v>
      </c>
      <c r="O2283" s="2" t="n">
        <v>0</v>
      </c>
      <c r="P2283" s="2" t="s">
        <v>23</v>
      </c>
      <c r="Q2283" s="2" t="s">
        <v>20</v>
      </c>
    </row>
    <row r="2284" customFormat="false" ht="15" hidden="false" customHeight="false" outlineLevel="0" collapsed="false">
      <c r="A2284" s="2" t="n">
        <v>44</v>
      </c>
      <c r="B2284" s="2" t="s">
        <v>34</v>
      </c>
      <c r="C2284" s="2" t="s">
        <v>30</v>
      </c>
      <c r="D2284" s="2" t="s">
        <v>19</v>
      </c>
      <c r="E2284" s="2" t="s">
        <v>20</v>
      </c>
      <c r="F2284" s="2" t="n">
        <v>787</v>
      </c>
      <c r="G2284" s="2" t="s">
        <v>26</v>
      </c>
      <c r="H2284" s="2" t="s">
        <v>20</v>
      </c>
      <c r="I2284" s="2" t="s">
        <v>23</v>
      </c>
      <c r="J2284" s="2" t="n">
        <v>30</v>
      </c>
      <c r="K2284" s="2" t="s">
        <v>27</v>
      </c>
      <c r="L2284" s="2" t="n">
        <v>570</v>
      </c>
      <c r="M2284" s="2" t="n">
        <v>2</v>
      </c>
      <c r="N2284" s="2" t="n">
        <v>-1</v>
      </c>
      <c r="O2284" s="2" t="n">
        <v>0</v>
      </c>
      <c r="P2284" s="2" t="s">
        <v>23</v>
      </c>
      <c r="Q2284" s="2" t="s">
        <v>20</v>
      </c>
    </row>
    <row r="2285" customFormat="false" ht="15" hidden="false" customHeight="false" outlineLevel="0" collapsed="false">
      <c r="A2285" s="2" t="n">
        <v>45</v>
      </c>
      <c r="B2285" s="2" t="s">
        <v>39</v>
      </c>
      <c r="C2285" s="2" t="s">
        <v>18</v>
      </c>
      <c r="D2285" s="2" t="s">
        <v>31</v>
      </c>
      <c r="E2285" s="2" t="s">
        <v>20</v>
      </c>
      <c r="F2285" s="2" t="n">
        <v>0</v>
      </c>
      <c r="G2285" s="2" t="s">
        <v>26</v>
      </c>
      <c r="H2285" s="2" t="s">
        <v>20</v>
      </c>
      <c r="I2285" s="2" t="s">
        <v>21</v>
      </c>
      <c r="J2285" s="2" t="n">
        <v>29</v>
      </c>
      <c r="K2285" s="2" t="s">
        <v>44</v>
      </c>
      <c r="L2285" s="2" t="n">
        <v>100</v>
      </c>
      <c r="M2285" s="2" t="n">
        <v>3</v>
      </c>
      <c r="N2285" s="2" t="n">
        <v>-1</v>
      </c>
      <c r="O2285" s="2" t="n">
        <v>0</v>
      </c>
      <c r="P2285" s="2" t="s">
        <v>23</v>
      </c>
      <c r="Q2285" s="2" t="s">
        <v>20</v>
      </c>
    </row>
    <row r="2286" customFormat="false" ht="15" hidden="false" customHeight="false" outlineLevel="0" collapsed="false">
      <c r="A2286" s="2" t="n">
        <v>43</v>
      </c>
      <c r="B2286" s="2" t="s">
        <v>34</v>
      </c>
      <c r="C2286" s="2" t="s">
        <v>18</v>
      </c>
      <c r="D2286" s="2" t="s">
        <v>25</v>
      </c>
      <c r="E2286" s="2" t="s">
        <v>20</v>
      </c>
      <c r="F2286" s="2" t="n">
        <v>3060</v>
      </c>
      <c r="G2286" s="2" t="s">
        <v>26</v>
      </c>
      <c r="H2286" s="2" t="s">
        <v>20</v>
      </c>
      <c r="I2286" s="2" t="s">
        <v>23</v>
      </c>
      <c r="J2286" s="2" t="n">
        <v>15</v>
      </c>
      <c r="K2286" s="2" t="s">
        <v>27</v>
      </c>
      <c r="L2286" s="2" t="n">
        <v>253</v>
      </c>
      <c r="M2286" s="2" t="n">
        <v>2</v>
      </c>
      <c r="N2286" s="2" t="n">
        <v>-1</v>
      </c>
      <c r="O2286" s="2" t="n">
        <v>0</v>
      </c>
      <c r="P2286" s="2" t="s">
        <v>23</v>
      </c>
      <c r="Q2286" s="2" t="s">
        <v>20</v>
      </c>
    </row>
    <row r="2287" customFormat="false" ht="15" hidden="false" customHeight="false" outlineLevel="0" collapsed="false">
      <c r="A2287" s="2" t="n">
        <v>44</v>
      </c>
      <c r="B2287" s="2" t="s">
        <v>24</v>
      </c>
      <c r="C2287" s="2" t="s">
        <v>18</v>
      </c>
      <c r="D2287" s="2" t="s">
        <v>25</v>
      </c>
      <c r="E2287" s="2" t="s">
        <v>20</v>
      </c>
      <c r="F2287" s="2" t="n">
        <v>5780</v>
      </c>
      <c r="G2287" s="2" t="s">
        <v>26</v>
      </c>
      <c r="H2287" s="2" t="s">
        <v>20</v>
      </c>
      <c r="I2287" s="2" t="s">
        <v>21</v>
      </c>
      <c r="J2287" s="2" t="n">
        <v>1</v>
      </c>
      <c r="K2287" s="2" t="s">
        <v>32</v>
      </c>
      <c r="L2287" s="2" t="n">
        <v>525</v>
      </c>
      <c r="M2287" s="2" t="n">
        <v>2</v>
      </c>
      <c r="N2287" s="2" t="n">
        <v>-1</v>
      </c>
      <c r="O2287" s="2" t="n">
        <v>0</v>
      </c>
      <c r="P2287" s="2" t="s">
        <v>23</v>
      </c>
      <c r="Q2287" s="2" t="s">
        <v>20</v>
      </c>
    </row>
    <row r="2288" customFormat="false" ht="15" hidden="false" customHeight="false" outlineLevel="0" collapsed="false">
      <c r="A2288" s="2" t="n">
        <v>30</v>
      </c>
      <c r="B2288" s="2" t="s">
        <v>38</v>
      </c>
      <c r="C2288" s="2" t="s">
        <v>30</v>
      </c>
      <c r="D2288" s="2" t="s">
        <v>25</v>
      </c>
      <c r="E2288" s="2" t="s">
        <v>20</v>
      </c>
      <c r="F2288" s="2" t="n">
        <v>790</v>
      </c>
      <c r="G2288" s="2" t="s">
        <v>20</v>
      </c>
      <c r="H2288" s="2" t="s">
        <v>20</v>
      </c>
      <c r="I2288" s="2" t="s">
        <v>21</v>
      </c>
      <c r="J2288" s="2" t="n">
        <v>20</v>
      </c>
      <c r="K2288" s="2" t="s">
        <v>41</v>
      </c>
      <c r="L2288" s="2" t="n">
        <v>696</v>
      </c>
      <c r="M2288" s="2" t="n">
        <v>3</v>
      </c>
      <c r="N2288" s="2" t="n">
        <v>-1</v>
      </c>
      <c r="O2288" s="2" t="n">
        <v>0</v>
      </c>
      <c r="P2288" s="2" t="s">
        <v>23</v>
      </c>
      <c r="Q2288" s="2" t="s">
        <v>20</v>
      </c>
    </row>
    <row r="2289" customFormat="false" ht="15" hidden="false" customHeight="false" outlineLevel="0" collapsed="false">
      <c r="A2289" s="2" t="n">
        <v>38</v>
      </c>
      <c r="B2289" s="2" t="s">
        <v>17</v>
      </c>
      <c r="C2289" s="2" t="s">
        <v>18</v>
      </c>
      <c r="D2289" s="2" t="s">
        <v>31</v>
      </c>
      <c r="E2289" s="2" t="s">
        <v>20</v>
      </c>
      <c r="F2289" s="2" t="n">
        <v>1449</v>
      </c>
      <c r="G2289" s="2" t="s">
        <v>20</v>
      </c>
      <c r="H2289" s="2" t="s">
        <v>20</v>
      </c>
      <c r="I2289" s="2" t="s">
        <v>23</v>
      </c>
      <c r="J2289" s="2" t="n">
        <v>26</v>
      </c>
      <c r="K2289" s="2" t="s">
        <v>27</v>
      </c>
      <c r="L2289" s="2" t="n">
        <v>535</v>
      </c>
      <c r="M2289" s="2" t="n">
        <v>6</v>
      </c>
      <c r="N2289" s="2" t="n">
        <v>-1</v>
      </c>
      <c r="O2289" s="2" t="n">
        <v>0</v>
      </c>
      <c r="P2289" s="2" t="s">
        <v>23</v>
      </c>
      <c r="Q2289" s="2" t="s">
        <v>20</v>
      </c>
    </row>
    <row r="2290" customFormat="false" ht="15" hidden="false" customHeight="false" outlineLevel="0" collapsed="false">
      <c r="A2290" s="2" t="n">
        <v>50</v>
      </c>
      <c r="B2290" s="2" t="s">
        <v>38</v>
      </c>
      <c r="C2290" s="2" t="s">
        <v>18</v>
      </c>
      <c r="D2290" s="2" t="s">
        <v>25</v>
      </c>
      <c r="E2290" s="2" t="s">
        <v>20</v>
      </c>
      <c r="F2290" s="2" t="n">
        <v>1412</v>
      </c>
      <c r="G2290" s="2" t="s">
        <v>20</v>
      </c>
      <c r="H2290" s="2" t="s">
        <v>20</v>
      </c>
      <c r="I2290" s="2" t="s">
        <v>21</v>
      </c>
      <c r="J2290" s="2" t="n">
        <v>6</v>
      </c>
      <c r="K2290" s="2" t="s">
        <v>41</v>
      </c>
      <c r="L2290" s="2" t="n">
        <v>131</v>
      </c>
      <c r="M2290" s="2" t="n">
        <v>3</v>
      </c>
      <c r="N2290" s="2" t="n">
        <v>-1</v>
      </c>
      <c r="O2290" s="2" t="n">
        <v>0</v>
      </c>
      <c r="P2290" s="2" t="s">
        <v>23</v>
      </c>
      <c r="Q2290" s="2" t="s">
        <v>20</v>
      </c>
    </row>
    <row r="2291" customFormat="false" ht="15" hidden="false" customHeight="false" outlineLevel="0" collapsed="false">
      <c r="A2291" s="2" t="n">
        <v>21</v>
      </c>
      <c r="B2291" s="2" t="s">
        <v>42</v>
      </c>
      <c r="C2291" s="2" t="s">
        <v>30</v>
      </c>
      <c r="D2291" s="2" t="s">
        <v>25</v>
      </c>
      <c r="E2291" s="2" t="s">
        <v>20</v>
      </c>
      <c r="F2291" s="2" t="n">
        <v>681</v>
      </c>
      <c r="G2291" s="2" t="s">
        <v>20</v>
      </c>
      <c r="H2291" s="2" t="s">
        <v>20</v>
      </c>
      <c r="I2291" s="2" t="s">
        <v>23</v>
      </c>
      <c r="J2291" s="2" t="n">
        <v>20</v>
      </c>
      <c r="K2291" s="2" t="s">
        <v>41</v>
      </c>
      <c r="L2291" s="2" t="n">
        <v>6</v>
      </c>
      <c r="M2291" s="2" t="n">
        <v>1</v>
      </c>
      <c r="N2291" s="2" t="n">
        <v>-1</v>
      </c>
      <c r="O2291" s="2" t="n">
        <v>0</v>
      </c>
      <c r="P2291" s="2" t="s">
        <v>23</v>
      </c>
      <c r="Q2291" s="2" t="s">
        <v>20</v>
      </c>
    </row>
    <row r="2292" customFormat="false" ht="15" hidden="false" customHeight="false" outlineLevel="0" collapsed="false">
      <c r="A2292" s="2" t="n">
        <v>38</v>
      </c>
      <c r="B2292" s="2" t="s">
        <v>39</v>
      </c>
      <c r="C2292" s="2" t="s">
        <v>18</v>
      </c>
      <c r="D2292" s="2" t="s">
        <v>31</v>
      </c>
      <c r="E2292" s="2" t="s">
        <v>20</v>
      </c>
      <c r="F2292" s="2" t="n">
        <v>228</v>
      </c>
      <c r="G2292" s="2" t="s">
        <v>26</v>
      </c>
      <c r="H2292" s="2" t="s">
        <v>20</v>
      </c>
      <c r="I2292" s="2" t="s">
        <v>21</v>
      </c>
      <c r="J2292" s="2" t="n">
        <v>5</v>
      </c>
      <c r="K2292" s="2" t="s">
        <v>35</v>
      </c>
      <c r="L2292" s="2" t="n">
        <v>105</v>
      </c>
      <c r="M2292" s="2" t="n">
        <v>1</v>
      </c>
      <c r="N2292" s="2" t="n">
        <v>-1</v>
      </c>
      <c r="O2292" s="2" t="n">
        <v>0</v>
      </c>
      <c r="P2292" s="2" t="s">
        <v>23</v>
      </c>
      <c r="Q2292" s="2" t="s">
        <v>20</v>
      </c>
    </row>
    <row r="2293" customFormat="false" ht="15" hidden="false" customHeight="false" outlineLevel="0" collapsed="false">
      <c r="A2293" s="2" t="n">
        <v>42</v>
      </c>
      <c r="B2293" s="2" t="s">
        <v>40</v>
      </c>
      <c r="C2293" s="2" t="s">
        <v>18</v>
      </c>
      <c r="D2293" s="2" t="s">
        <v>25</v>
      </c>
      <c r="E2293" s="2" t="s">
        <v>20</v>
      </c>
      <c r="F2293" s="2" t="n">
        <v>0</v>
      </c>
      <c r="G2293" s="2" t="s">
        <v>20</v>
      </c>
      <c r="H2293" s="2" t="s">
        <v>20</v>
      </c>
      <c r="I2293" s="2" t="s">
        <v>23</v>
      </c>
      <c r="J2293" s="2" t="n">
        <v>19</v>
      </c>
      <c r="K2293" s="2" t="s">
        <v>33</v>
      </c>
      <c r="L2293" s="2" t="n">
        <v>370</v>
      </c>
      <c r="M2293" s="2" t="n">
        <v>1</v>
      </c>
      <c r="N2293" s="2" t="n">
        <v>-1</v>
      </c>
      <c r="O2293" s="2" t="n">
        <v>0</v>
      </c>
      <c r="P2293" s="2" t="s">
        <v>23</v>
      </c>
      <c r="Q2293" s="2" t="s">
        <v>20</v>
      </c>
    </row>
    <row r="2294" customFormat="false" ht="15" hidden="false" customHeight="false" outlineLevel="0" collapsed="false">
      <c r="A2294" s="2" t="n">
        <v>45</v>
      </c>
      <c r="B2294" s="2" t="s">
        <v>38</v>
      </c>
      <c r="C2294" s="2" t="s">
        <v>30</v>
      </c>
      <c r="D2294" s="2" t="s">
        <v>31</v>
      </c>
      <c r="E2294" s="2" t="s">
        <v>20</v>
      </c>
      <c r="F2294" s="2" t="n">
        <v>2087</v>
      </c>
      <c r="G2294" s="2" t="s">
        <v>20</v>
      </c>
      <c r="H2294" s="2" t="s">
        <v>20</v>
      </c>
      <c r="I2294" s="2" t="s">
        <v>21</v>
      </c>
      <c r="J2294" s="2" t="n">
        <v>29</v>
      </c>
      <c r="K2294" s="2" t="s">
        <v>41</v>
      </c>
      <c r="L2294" s="2" t="n">
        <v>29</v>
      </c>
      <c r="M2294" s="2" t="n">
        <v>14</v>
      </c>
      <c r="N2294" s="2" t="n">
        <v>-1</v>
      </c>
      <c r="O2294" s="2" t="n">
        <v>0</v>
      </c>
      <c r="P2294" s="2" t="s">
        <v>23</v>
      </c>
      <c r="Q2294" s="2" t="s">
        <v>20</v>
      </c>
    </row>
    <row r="2295" customFormat="false" ht="15" hidden="false" customHeight="false" outlineLevel="0" collapsed="false">
      <c r="A2295" s="2" t="n">
        <v>34</v>
      </c>
      <c r="B2295" s="2" t="s">
        <v>39</v>
      </c>
      <c r="C2295" s="2" t="s">
        <v>18</v>
      </c>
      <c r="D2295" s="2" t="s">
        <v>25</v>
      </c>
      <c r="E2295" s="2" t="s">
        <v>20</v>
      </c>
      <c r="F2295" s="2" t="n">
        <v>2</v>
      </c>
      <c r="G2295" s="2" t="s">
        <v>26</v>
      </c>
      <c r="H2295" s="2" t="s">
        <v>26</v>
      </c>
      <c r="I2295" s="2" t="s">
        <v>21</v>
      </c>
      <c r="J2295" s="2" t="n">
        <v>5</v>
      </c>
      <c r="K2295" s="2" t="s">
        <v>27</v>
      </c>
      <c r="L2295" s="2" t="n">
        <v>184</v>
      </c>
      <c r="M2295" s="2" t="n">
        <v>1</v>
      </c>
      <c r="N2295" s="2" t="n">
        <v>167</v>
      </c>
      <c r="O2295" s="2" t="n">
        <v>6</v>
      </c>
      <c r="P2295" s="2" t="s">
        <v>28</v>
      </c>
      <c r="Q2295" s="2" t="s">
        <v>20</v>
      </c>
    </row>
    <row r="2296" customFormat="false" ht="15" hidden="false" customHeight="false" outlineLevel="0" collapsed="false">
      <c r="A2296" s="2" t="n">
        <v>48</v>
      </c>
      <c r="B2296" s="2" t="s">
        <v>38</v>
      </c>
      <c r="C2296" s="2" t="s">
        <v>18</v>
      </c>
      <c r="D2296" s="2" t="s">
        <v>25</v>
      </c>
      <c r="E2296" s="2" t="s">
        <v>20</v>
      </c>
      <c r="F2296" s="2" t="n">
        <v>197</v>
      </c>
      <c r="G2296" s="2" t="s">
        <v>20</v>
      </c>
      <c r="H2296" s="2" t="s">
        <v>26</v>
      </c>
      <c r="I2296" s="2" t="s">
        <v>21</v>
      </c>
      <c r="J2296" s="2" t="n">
        <v>3</v>
      </c>
      <c r="K2296" s="2" t="s">
        <v>35</v>
      </c>
      <c r="L2296" s="2" t="n">
        <v>47</v>
      </c>
      <c r="M2296" s="2" t="n">
        <v>2</v>
      </c>
      <c r="N2296" s="2" t="n">
        <v>222</v>
      </c>
      <c r="O2296" s="2" t="n">
        <v>3</v>
      </c>
      <c r="P2296" s="2" t="s">
        <v>37</v>
      </c>
      <c r="Q2296" s="2" t="s">
        <v>20</v>
      </c>
    </row>
    <row r="2297" customFormat="false" ht="15" hidden="false" customHeight="false" outlineLevel="0" collapsed="false">
      <c r="A2297" s="2" t="n">
        <v>34</v>
      </c>
      <c r="B2297" s="2" t="s">
        <v>24</v>
      </c>
      <c r="C2297" s="2" t="s">
        <v>18</v>
      </c>
      <c r="D2297" s="2" t="s">
        <v>25</v>
      </c>
      <c r="E2297" s="2" t="s">
        <v>20</v>
      </c>
      <c r="F2297" s="2" t="n">
        <v>0</v>
      </c>
      <c r="G2297" s="2" t="s">
        <v>20</v>
      </c>
      <c r="H2297" s="2" t="s">
        <v>26</v>
      </c>
      <c r="I2297" s="2" t="s">
        <v>23</v>
      </c>
      <c r="J2297" s="2" t="n">
        <v>2</v>
      </c>
      <c r="K2297" s="2" t="s">
        <v>44</v>
      </c>
      <c r="L2297" s="2" t="n">
        <v>193</v>
      </c>
      <c r="M2297" s="2" t="n">
        <v>4</v>
      </c>
      <c r="N2297" s="2" t="n">
        <v>-1</v>
      </c>
      <c r="O2297" s="2" t="n">
        <v>0</v>
      </c>
      <c r="P2297" s="2" t="s">
        <v>23</v>
      </c>
      <c r="Q2297" s="2" t="s">
        <v>20</v>
      </c>
    </row>
    <row r="2298" customFormat="false" ht="15" hidden="false" customHeight="false" outlineLevel="0" collapsed="false">
      <c r="A2298" s="2" t="n">
        <v>32</v>
      </c>
      <c r="B2298" s="2" t="s">
        <v>34</v>
      </c>
      <c r="C2298" s="2" t="s">
        <v>18</v>
      </c>
      <c r="D2298" s="2" t="s">
        <v>25</v>
      </c>
      <c r="E2298" s="2" t="s">
        <v>20</v>
      </c>
      <c r="F2298" s="2" t="n">
        <v>1905</v>
      </c>
      <c r="G2298" s="2" t="s">
        <v>26</v>
      </c>
      <c r="H2298" s="2" t="s">
        <v>20</v>
      </c>
      <c r="I2298" s="2" t="s">
        <v>21</v>
      </c>
      <c r="J2298" s="2" t="n">
        <v>16</v>
      </c>
      <c r="K2298" s="2" t="s">
        <v>44</v>
      </c>
      <c r="L2298" s="2" t="n">
        <v>709</v>
      </c>
      <c r="M2298" s="2" t="n">
        <v>2</v>
      </c>
      <c r="N2298" s="2" t="n">
        <v>-1</v>
      </c>
      <c r="O2298" s="2" t="n">
        <v>0</v>
      </c>
      <c r="P2298" s="2" t="s">
        <v>23</v>
      </c>
      <c r="Q2298" s="2" t="s">
        <v>26</v>
      </c>
    </row>
    <row r="2299" customFormat="false" ht="15" hidden="false" customHeight="false" outlineLevel="0" collapsed="false">
      <c r="A2299" s="2" t="n">
        <v>35</v>
      </c>
      <c r="B2299" s="2" t="s">
        <v>38</v>
      </c>
      <c r="C2299" s="2" t="s">
        <v>18</v>
      </c>
      <c r="D2299" s="2" t="s">
        <v>31</v>
      </c>
      <c r="E2299" s="2" t="s">
        <v>20</v>
      </c>
      <c r="F2299" s="2" t="n">
        <v>118</v>
      </c>
      <c r="G2299" s="2" t="s">
        <v>20</v>
      </c>
      <c r="H2299" s="2" t="s">
        <v>20</v>
      </c>
      <c r="I2299" s="2" t="s">
        <v>21</v>
      </c>
      <c r="J2299" s="2" t="n">
        <v>6</v>
      </c>
      <c r="K2299" s="2" t="s">
        <v>41</v>
      </c>
      <c r="L2299" s="2" t="n">
        <v>358</v>
      </c>
      <c r="M2299" s="2" t="n">
        <v>2</v>
      </c>
      <c r="N2299" s="2" t="n">
        <v>-1</v>
      </c>
      <c r="O2299" s="2" t="n">
        <v>0</v>
      </c>
      <c r="P2299" s="2" t="s">
        <v>23</v>
      </c>
      <c r="Q2299" s="2" t="s">
        <v>20</v>
      </c>
    </row>
    <row r="2300" customFormat="false" ht="15" hidden="false" customHeight="false" outlineLevel="0" collapsed="false">
      <c r="A2300" s="2" t="n">
        <v>39</v>
      </c>
      <c r="B2300" s="2" t="s">
        <v>39</v>
      </c>
      <c r="C2300" s="2" t="s">
        <v>18</v>
      </c>
      <c r="D2300" s="2" t="s">
        <v>31</v>
      </c>
      <c r="E2300" s="2" t="s">
        <v>20</v>
      </c>
      <c r="F2300" s="2" t="n">
        <v>2644</v>
      </c>
      <c r="G2300" s="2" t="s">
        <v>26</v>
      </c>
      <c r="H2300" s="2" t="s">
        <v>20</v>
      </c>
      <c r="I2300" s="2" t="s">
        <v>23</v>
      </c>
      <c r="J2300" s="2" t="n">
        <v>20</v>
      </c>
      <c r="K2300" s="2" t="s">
        <v>27</v>
      </c>
      <c r="L2300" s="2" t="n">
        <v>253</v>
      </c>
      <c r="M2300" s="2" t="n">
        <v>1</v>
      </c>
      <c r="N2300" s="2" t="n">
        <v>-1</v>
      </c>
      <c r="O2300" s="2" t="n">
        <v>0</v>
      </c>
      <c r="P2300" s="2" t="s">
        <v>23</v>
      </c>
      <c r="Q2300" s="2" t="s">
        <v>20</v>
      </c>
    </row>
    <row r="2301" customFormat="false" ht="15" hidden="false" customHeight="false" outlineLevel="0" collapsed="false">
      <c r="A2301" s="2" t="n">
        <v>36</v>
      </c>
      <c r="B2301" s="2" t="s">
        <v>36</v>
      </c>
      <c r="C2301" s="2" t="s">
        <v>18</v>
      </c>
      <c r="D2301" s="2" t="s">
        <v>31</v>
      </c>
      <c r="E2301" s="2" t="s">
        <v>20</v>
      </c>
      <c r="F2301" s="2" t="n">
        <v>16430</v>
      </c>
      <c r="G2301" s="2" t="s">
        <v>26</v>
      </c>
      <c r="H2301" s="2" t="s">
        <v>20</v>
      </c>
      <c r="I2301" s="2" t="s">
        <v>23</v>
      </c>
      <c r="J2301" s="2" t="n">
        <v>6</v>
      </c>
      <c r="K2301" s="2" t="s">
        <v>33</v>
      </c>
      <c r="L2301" s="2" t="n">
        <v>197</v>
      </c>
      <c r="M2301" s="2" t="n">
        <v>3</v>
      </c>
      <c r="N2301" s="2" t="n">
        <v>-1</v>
      </c>
      <c r="O2301" s="2" t="n">
        <v>0</v>
      </c>
      <c r="P2301" s="2" t="s">
        <v>23</v>
      </c>
      <c r="Q2301" s="2" t="s">
        <v>20</v>
      </c>
    </row>
    <row r="2302" customFormat="false" ht="15" hidden="false" customHeight="false" outlineLevel="0" collapsed="false">
      <c r="A2302" s="2" t="n">
        <v>35</v>
      </c>
      <c r="B2302" s="2" t="s">
        <v>38</v>
      </c>
      <c r="C2302" s="2" t="s">
        <v>18</v>
      </c>
      <c r="D2302" s="2" t="s">
        <v>25</v>
      </c>
      <c r="E2302" s="2" t="s">
        <v>20</v>
      </c>
      <c r="F2302" s="2" t="n">
        <v>13</v>
      </c>
      <c r="G2302" s="2" t="s">
        <v>20</v>
      </c>
      <c r="H2302" s="2" t="s">
        <v>20</v>
      </c>
      <c r="I2302" s="2" t="s">
        <v>21</v>
      </c>
      <c r="J2302" s="2" t="n">
        <v>22</v>
      </c>
      <c r="K2302" s="2" t="s">
        <v>41</v>
      </c>
      <c r="L2302" s="2" t="n">
        <v>94</v>
      </c>
      <c r="M2302" s="2" t="n">
        <v>2</v>
      </c>
      <c r="N2302" s="2" t="n">
        <v>-1</v>
      </c>
      <c r="O2302" s="2" t="n">
        <v>0</v>
      </c>
      <c r="P2302" s="2" t="s">
        <v>23</v>
      </c>
      <c r="Q2302" s="2" t="s">
        <v>20</v>
      </c>
    </row>
    <row r="2303" customFormat="false" ht="15" hidden="false" customHeight="false" outlineLevel="0" collapsed="false">
      <c r="A2303" s="2" t="n">
        <v>57</v>
      </c>
      <c r="B2303" s="2" t="s">
        <v>24</v>
      </c>
      <c r="C2303" s="2" t="s">
        <v>45</v>
      </c>
      <c r="D2303" s="2" t="s">
        <v>25</v>
      </c>
      <c r="E2303" s="2" t="s">
        <v>20</v>
      </c>
      <c r="F2303" s="2" t="n">
        <v>14</v>
      </c>
      <c r="G2303" s="2" t="s">
        <v>20</v>
      </c>
      <c r="H2303" s="2" t="s">
        <v>26</v>
      </c>
      <c r="I2303" s="2" t="s">
        <v>21</v>
      </c>
      <c r="J2303" s="2" t="n">
        <v>22</v>
      </c>
      <c r="K2303" s="2" t="s">
        <v>44</v>
      </c>
      <c r="L2303" s="2" t="n">
        <v>445</v>
      </c>
      <c r="M2303" s="2" t="n">
        <v>2</v>
      </c>
      <c r="N2303" s="2" t="n">
        <v>-1</v>
      </c>
      <c r="O2303" s="2" t="n">
        <v>0</v>
      </c>
      <c r="P2303" s="2" t="s">
        <v>23</v>
      </c>
      <c r="Q2303" s="2" t="s">
        <v>20</v>
      </c>
    </row>
    <row r="2304" customFormat="false" ht="15" hidden="false" customHeight="false" outlineLevel="0" collapsed="false">
      <c r="A2304" s="2" t="n">
        <v>28</v>
      </c>
      <c r="B2304" s="2" t="s">
        <v>38</v>
      </c>
      <c r="C2304" s="2" t="s">
        <v>30</v>
      </c>
      <c r="D2304" s="2" t="s">
        <v>25</v>
      </c>
      <c r="E2304" s="2" t="s">
        <v>20</v>
      </c>
      <c r="F2304" s="2" t="n">
        <v>769</v>
      </c>
      <c r="G2304" s="2" t="s">
        <v>26</v>
      </c>
      <c r="H2304" s="2" t="s">
        <v>20</v>
      </c>
      <c r="I2304" s="2" t="s">
        <v>21</v>
      </c>
      <c r="J2304" s="2" t="n">
        <v>15</v>
      </c>
      <c r="K2304" s="2" t="s">
        <v>27</v>
      </c>
      <c r="L2304" s="2" t="n">
        <v>153</v>
      </c>
      <c r="M2304" s="2" t="n">
        <v>1</v>
      </c>
      <c r="N2304" s="2" t="n">
        <v>371</v>
      </c>
      <c r="O2304" s="2" t="n">
        <v>2</v>
      </c>
      <c r="P2304" s="2" t="s">
        <v>28</v>
      </c>
      <c r="Q2304" s="2" t="s">
        <v>20</v>
      </c>
    </row>
    <row r="2305" customFormat="false" ht="15" hidden="false" customHeight="false" outlineLevel="0" collapsed="false">
      <c r="A2305" s="2" t="n">
        <v>43</v>
      </c>
      <c r="B2305" s="2" t="s">
        <v>40</v>
      </c>
      <c r="C2305" s="2" t="s">
        <v>18</v>
      </c>
      <c r="D2305" s="2" t="s">
        <v>23</v>
      </c>
      <c r="E2305" s="2" t="s">
        <v>20</v>
      </c>
      <c r="F2305" s="2" t="n">
        <v>3485</v>
      </c>
      <c r="G2305" s="2" t="s">
        <v>20</v>
      </c>
      <c r="H2305" s="2" t="s">
        <v>20</v>
      </c>
      <c r="I2305" s="2" t="s">
        <v>23</v>
      </c>
      <c r="J2305" s="2" t="n">
        <v>18</v>
      </c>
      <c r="K2305" s="2" t="s">
        <v>33</v>
      </c>
      <c r="L2305" s="2" t="n">
        <v>113</v>
      </c>
      <c r="M2305" s="2" t="n">
        <v>1</v>
      </c>
      <c r="N2305" s="2" t="n">
        <v>-1</v>
      </c>
      <c r="O2305" s="2" t="n">
        <v>0</v>
      </c>
      <c r="P2305" s="2" t="s">
        <v>23</v>
      </c>
      <c r="Q2305" s="2" t="s">
        <v>20</v>
      </c>
    </row>
    <row r="2306" customFormat="false" ht="15" hidden="false" customHeight="false" outlineLevel="0" collapsed="false">
      <c r="A2306" s="2" t="n">
        <v>57</v>
      </c>
      <c r="B2306" s="2" t="s">
        <v>29</v>
      </c>
      <c r="C2306" s="2" t="s">
        <v>18</v>
      </c>
      <c r="D2306" s="2" t="s">
        <v>25</v>
      </c>
      <c r="E2306" s="2" t="s">
        <v>20</v>
      </c>
      <c r="F2306" s="2" t="n">
        <v>139</v>
      </c>
      <c r="G2306" s="2" t="s">
        <v>20</v>
      </c>
      <c r="H2306" s="2" t="s">
        <v>20</v>
      </c>
      <c r="I2306" s="2" t="s">
        <v>21</v>
      </c>
      <c r="J2306" s="2" t="n">
        <v>17</v>
      </c>
      <c r="K2306" s="2" t="s">
        <v>41</v>
      </c>
      <c r="L2306" s="2" t="n">
        <v>80</v>
      </c>
      <c r="M2306" s="2" t="n">
        <v>1</v>
      </c>
      <c r="N2306" s="2" t="n">
        <v>-1</v>
      </c>
      <c r="O2306" s="2" t="n">
        <v>0</v>
      </c>
      <c r="P2306" s="2" t="s">
        <v>23</v>
      </c>
      <c r="Q2306" s="2" t="s">
        <v>20</v>
      </c>
    </row>
    <row r="2307" customFormat="false" ht="15" hidden="false" customHeight="false" outlineLevel="0" collapsed="false">
      <c r="A2307" s="2" t="n">
        <v>34</v>
      </c>
      <c r="B2307" s="2" t="s">
        <v>24</v>
      </c>
      <c r="C2307" s="2" t="s">
        <v>45</v>
      </c>
      <c r="D2307" s="2" t="s">
        <v>25</v>
      </c>
      <c r="E2307" s="2" t="s">
        <v>20</v>
      </c>
      <c r="F2307" s="2" t="n">
        <v>202</v>
      </c>
      <c r="G2307" s="2" t="s">
        <v>26</v>
      </c>
      <c r="H2307" s="2" t="s">
        <v>20</v>
      </c>
      <c r="I2307" s="2" t="s">
        <v>23</v>
      </c>
      <c r="J2307" s="2" t="n">
        <v>15</v>
      </c>
      <c r="K2307" s="2" t="s">
        <v>27</v>
      </c>
      <c r="L2307" s="2" t="n">
        <v>318</v>
      </c>
      <c r="M2307" s="2" t="n">
        <v>1</v>
      </c>
      <c r="N2307" s="2" t="n">
        <v>-1</v>
      </c>
      <c r="O2307" s="2" t="n">
        <v>0</v>
      </c>
      <c r="P2307" s="2" t="s">
        <v>23</v>
      </c>
      <c r="Q2307" s="2" t="s">
        <v>20</v>
      </c>
    </row>
    <row r="2308" customFormat="false" ht="15" hidden="false" customHeight="false" outlineLevel="0" collapsed="false">
      <c r="A2308" s="2" t="n">
        <v>36</v>
      </c>
      <c r="B2308" s="2" t="s">
        <v>38</v>
      </c>
      <c r="C2308" s="2" t="s">
        <v>18</v>
      </c>
      <c r="D2308" s="2" t="s">
        <v>31</v>
      </c>
      <c r="E2308" s="2" t="s">
        <v>20</v>
      </c>
      <c r="F2308" s="2" t="n">
        <v>6</v>
      </c>
      <c r="G2308" s="2" t="s">
        <v>26</v>
      </c>
      <c r="H2308" s="2" t="s">
        <v>20</v>
      </c>
      <c r="I2308" s="2" t="s">
        <v>21</v>
      </c>
      <c r="J2308" s="2" t="n">
        <v>27</v>
      </c>
      <c r="K2308" s="2" t="s">
        <v>43</v>
      </c>
      <c r="L2308" s="2" t="n">
        <v>100</v>
      </c>
      <c r="M2308" s="2" t="n">
        <v>1</v>
      </c>
      <c r="N2308" s="2" t="n">
        <v>435</v>
      </c>
      <c r="O2308" s="2" t="n">
        <v>1</v>
      </c>
      <c r="P2308" s="2" t="s">
        <v>28</v>
      </c>
      <c r="Q2308" s="2" t="s">
        <v>20</v>
      </c>
    </row>
    <row r="2309" customFormat="false" ht="15" hidden="false" customHeight="false" outlineLevel="0" collapsed="false">
      <c r="A2309" s="2" t="n">
        <v>47</v>
      </c>
      <c r="B2309" s="2" t="s">
        <v>29</v>
      </c>
      <c r="C2309" s="2" t="s">
        <v>45</v>
      </c>
      <c r="D2309" s="2" t="s">
        <v>31</v>
      </c>
      <c r="E2309" s="2" t="s">
        <v>20</v>
      </c>
      <c r="F2309" s="2" t="n">
        <v>2515</v>
      </c>
      <c r="G2309" s="2" t="s">
        <v>20</v>
      </c>
      <c r="H2309" s="2" t="s">
        <v>20</v>
      </c>
      <c r="I2309" s="2" t="s">
        <v>23</v>
      </c>
      <c r="J2309" s="2" t="n">
        <v>20</v>
      </c>
      <c r="K2309" s="2" t="s">
        <v>33</v>
      </c>
      <c r="L2309" s="2" t="n">
        <v>40</v>
      </c>
      <c r="M2309" s="2" t="n">
        <v>3</v>
      </c>
      <c r="N2309" s="2" t="n">
        <v>-1</v>
      </c>
      <c r="O2309" s="2" t="n">
        <v>0</v>
      </c>
      <c r="P2309" s="2" t="s">
        <v>23</v>
      </c>
      <c r="Q2309" s="2" t="s">
        <v>20</v>
      </c>
    </row>
    <row r="2310" customFormat="false" ht="15" hidden="false" customHeight="false" outlineLevel="0" collapsed="false">
      <c r="A2310" s="2" t="n">
        <v>36</v>
      </c>
      <c r="B2310" s="2" t="s">
        <v>29</v>
      </c>
      <c r="C2310" s="2" t="s">
        <v>45</v>
      </c>
      <c r="D2310" s="2" t="s">
        <v>31</v>
      </c>
      <c r="E2310" s="2" t="s">
        <v>20</v>
      </c>
      <c r="F2310" s="2" t="n">
        <v>5195</v>
      </c>
      <c r="G2310" s="2" t="s">
        <v>26</v>
      </c>
      <c r="H2310" s="2" t="s">
        <v>20</v>
      </c>
      <c r="I2310" s="2" t="s">
        <v>23</v>
      </c>
      <c r="J2310" s="2" t="n">
        <v>2</v>
      </c>
      <c r="K2310" s="2" t="s">
        <v>33</v>
      </c>
      <c r="L2310" s="2" t="n">
        <v>55</v>
      </c>
      <c r="M2310" s="2" t="n">
        <v>25</v>
      </c>
      <c r="N2310" s="2" t="n">
        <v>-1</v>
      </c>
      <c r="O2310" s="2" t="n">
        <v>0</v>
      </c>
      <c r="P2310" s="2" t="s">
        <v>23</v>
      </c>
      <c r="Q2310" s="2" t="s">
        <v>20</v>
      </c>
    </row>
    <row r="2311" customFormat="false" ht="15" hidden="false" customHeight="false" outlineLevel="0" collapsed="false">
      <c r="A2311" s="2" t="n">
        <v>33</v>
      </c>
      <c r="B2311" s="2" t="s">
        <v>29</v>
      </c>
      <c r="C2311" s="2" t="s">
        <v>18</v>
      </c>
      <c r="D2311" s="2" t="s">
        <v>31</v>
      </c>
      <c r="E2311" s="2" t="s">
        <v>20</v>
      </c>
      <c r="F2311" s="2" t="n">
        <v>2098</v>
      </c>
      <c r="G2311" s="2" t="s">
        <v>20</v>
      </c>
      <c r="H2311" s="2" t="s">
        <v>20</v>
      </c>
      <c r="I2311" s="2" t="s">
        <v>21</v>
      </c>
      <c r="J2311" s="2" t="n">
        <v>20</v>
      </c>
      <c r="K2311" s="2" t="s">
        <v>46</v>
      </c>
      <c r="L2311" s="2" t="n">
        <v>67</v>
      </c>
      <c r="M2311" s="2" t="n">
        <v>1</v>
      </c>
      <c r="N2311" s="2" t="n">
        <v>-1</v>
      </c>
      <c r="O2311" s="2" t="n">
        <v>0</v>
      </c>
      <c r="P2311" s="2" t="s">
        <v>23</v>
      </c>
      <c r="Q2311" s="2" t="s">
        <v>20</v>
      </c>
    </row>
    <row r="2312" customFormat="false" ht="15" hidden="false" customHeight="false" outlineLevel="0" collapsed="false">
      <c r="A2312" s="2" t="n">
        <v>57</v>
      </c>
      <c r="B2312" s="2" t="s">
        <v>29</v>
      </c>
      <c r="C2312" s="2" t="s">
        <v>18</v>
      </c>
      <c r="D2312" s="2" t="s">
        <v>31</v>
      </c>
      <c r="E2312" s="2" t="s">
        <v>20</v>
      </c>
      <c r="F2312" s="2" t="n">
        <v>320</v>
      </c>
      <c r="G2312" s="2" t="s">
        <v>20</v>
      </c>
      <c r="H2312" s="2" t="s">
        <v>20</v>
      </c>
      <c r="I2312" s="2" t="s">
        <v>21</v>
      </c>
      <c r="J2312" s="2" t="n">
        <v>7</v>
      </c>
      <c r="K2312" s="2" t="s">
        <v>41</v>
      </c>
      <c r="L2312" s="2" t="n">
        <v>76</v>
      </c>
      <c r="M2312" s="2" t="n">
        <v>2</v>
      </c>
      <c r="N2312" s="2" t="n">
        <v>-1</v>
      </c>
      <c r="O2312" s="2" t="n">
        <v>0</v>
      </c>
      <c r="P2312" s="2" t="s">
        <v>23</v>
      </c>
      <c r="Q2312" s="2" t="s">
        <v>20</v>
      </c>
    </row>
    <row r="2313" customFormat="false" ht="15" hidden="false" customHeight="false" outlineLevel="0" collapsed="false">
      <c r="A2313" s="2" t="n">
        <v>57</v>
      </c>
      <c r="B2313" s="2" t="s">
        <v>29</v>
      </c>
      <c r="C2313" s="2" t="s">
        <v>18</v>
      </c>
      <c r="D2313" s="2" t="s">
        <v>31</v>
      </c>
      <c r="E2313" s="2" t="s">
        <v>20</v>
      </c>
      <c r="F2313" s="2" t="n">
        <v>3431</v>
      </c>
      <c r="G2313" s="2" t="s">
        <v>26</v>
      </c>
      <c r="H2313" s="2" t="s">
        <v>20</v>
      </c>
      <c r="I2313" s="2" t="s">
        <v>23</v>
      </c>
      <c r="J2313" s="2" t="n">
        <v>16</v>
      </c>
      <c r="K2313" s="2" t="s">
        <v>27</v>
      </c>
      <c r="L2313" s="2" t="n">
        <v>73</v>
      </c>
      <c r="M2313" s="2" t="n">
        <v>1</v>
      </c>
      <c r="N2313" s="2" t="n">
        <v>-1</v>
      </c>
      <c r="O2313" s="2" t="n">
        <v>0</v>
      </c>
      <c r="P2313" s="2" t="s">
        <v>23</v>
      </c>
      <c r="Q2313" s="2" t="s">
        <v>20</v>
      </c>
    </row>
    <row r="2314" customFormat="false" ht="15" hidden="false" customHeight="false" outlineLevel="0" collapsed="false">
      <c r="A2314" s="2" t="n">
        <v>34</v>
      </c>
      <c r="B2314" s="2" t="s">
        <v>40</v>
      </c>
      <c r="C2314" s="2" t="s">
        <v>18</v>
      </c>
      <c r="D2314" s="2" t="s">
        <v>25</v>
      </c>
      <c r="E2314" s="2" t="s">
        <v>20</v>
      </c>
      <c r="F2314" s="2" t="n">
        <v>50</v>
      </c>
      <c r="G2314" s="2" t="s">
        <v>26</v>
      </c>
      <c r="H2314" s="2" t="s">
        <v>20</v>
      </c>
      <c r="I2314" s="2" t="s">
        <v>23</v>
      </c>
      <c r="J2314" s="2" t="n">
        <v>20</v>
      </c>
      <c r="K2314" s="2" t="s">
        <v>27</v>
      </c>
      <c r="L2314" s="2" t="n">
        <v>89</v>
      </c>
      <c r="M2314" s="2" t="n">
        <v>2</v>
      </c>
      <c r="N2314" s="2" t="n">
        <v>-1</v>
      </c>
      <c r="O2314" s="2" t="n">
        <v>0</v>
      </c>
      <c r="P2314" s="2" t="s">
        <v>23</v>
      </c>
      <c r="Q2314" s="2" t="s">
        <v>20</v>
      </c>
    </row>
    <row r="2315" customFormat="false" ht="15" hidden="false" customHeight="false" outlineLevel="0" collapsed="false">
      <c r="A2315" s="2" t="n">
        <v>51</v>
      </c>
      <c r="B2315" s="2" t="s">
        <v>47</v>
      </c>
      <c r="C2315" s="2" t="s">
        <v>45</v>
      </c>
      <c r="D2315" s="2" t="s">
        <v>31</v>
      </c>
      <c r="E2315" s="2" t="s">
        <v>20</v>
      </c>
      <c r="F2315" s="2" t="n">
        <v>370</v>
      </c>
      <c r="G2315" s="2" t="s">
        <v>26</v>
      </c>
      <c r="H2315" s="2" t="s">
        <v>20</v>
      </c>
      <c r="I2315" s="2" t="s">
        <v>21</v>
      </c>
      <c r="J2315" s="2" t="n">
        <v>19</v>
      </c>
      <c r="K2315" s="2" t="s">
        <v>41</v>
      </c>
      <c r="L2315" s="2" t="n">
        <v>109</v>
      </c>
      <c r="M2315" s="2" t="n">
        <v>3</v>
      </c>
      <c r="N2315" s="2" t="n">
        <v>-1</v>
      </c>
      <c r="O2315" s="2" t="n">
        <v>0</v>
      </c>
      <c r="P2315" s="2" t="s">
        <v>23</v>
      </c>
      <c r="Q2315" s="2" t="s">
        <v>20</v>
      </c>
    </row>
    <row r="2316" customFormat="false" ht="15" hidden="false" customHeight="false" outlineLevel="0" collapsed="false">
      <c r="A2316" s="2" t="n">
        <v>54</v>
      </c>
      <c r="B2316" s="2" t="s">
        <v>34</v>
      </c>
      <c r="C2316" s="2" t="s">
        <v>45</v>
      </c>
      <c r="D2316" s="2" t="s">
        <v>19</v>
      </c>
      <c r="E2316" s="2" t="s">
        <v>20</v>
      </c>
      <c r="F2316" s="2" t="n">
        <v>-182</v>
      </c>
      <c r="G2316" s="2" t="s">
        <v>20</v>
      </c>
      <c r="H2316" s="2" t="s">
        <v>20</v>
      </c>
      <c r="I2316" s="2" t="s">
        <v>21</v>
      </c>
      <c r="J2316" s="2" t="n">
        <v>9</v>
      </c>
      <c r="K2316" s="2" t="s">
        <v>44</v>
      </c>
      <c r="L2316" s="2" t="n">
        <v>98</v>
      </c>
      <c r="M2316" s="2" t="n">
        <v>1</v>
      </c>
      <c r="N2316" s="2" t="n">
        <v>-1</v>
      </c>
      <c r="O2316" s="2" t="n">
        <v>0</v>
      </c>
      <c r="P2316" s="2" t="s">
        <v>23</v>
      </c>
      <c r="Q2316" s="2" t="s">
        <v>20</v>
      </c>
    </row>
    <row r="2317" customFormat="false" ht="15" hidden="false" customHeight="false" outlineLevel="0" collapsed="false">
      <c r="A2317" s="2" t="n">
        <v>52</v>
      </c>
      <c r="B2317" s="2" t="s">
        <v>36</v>
      </c>
      <c r="C2317" s="2" t="s">
        <v>30</v>
      </c>
      <c r="D2317" s="2" t="s">
        <v>31</v>
      </c>
      <c r="E2317" s="2" t="s">
        <v>20</v>
      </c>
      <c r="F2317" s="2" t="n">
        <v>1623</v>
      </c>
      <c r="G2317" s="2" t="s">
        <v>26</v>
      </c>
      <c r="H2317" s="2" t="s">
        <v>20</v>
      </c>
      <c r="I2317" s="2" t="s">
        <v>23</v>
      </c>
      <c r="J2317" s="2" t="n">
        <v>5</v>
      </c>
      <c r="K2317" s="2" t="s">
        <v>33</v>
      </c>
      <c r="L2317" s="2" t="n">
        <v>21</v>
      </c>
      <c r="M2317" s="2" t="n">
        <v>17</v>
      </c>
      <c r="N2317" s="2" t="n">
        <v>-1</v>
      </c>
      <c r="O2317" s="2" t="n">
        <v>0</v>
      </c>
      <c r="P2317" s="2" t="s">
        <v>23</v>
      </c>
      <c r="Q2317" s="2" t="s">
        <v>20</v>
      </c>
    </row>
    <row r="2318" customFormat="false" ht="15" hidden="false" customHeight="false" outlineLevel="0" collapsed="false">
      <c r="A2318" s="2" t="n">
        <v>43</v>
      </c>
      <c r="B2318" s="2" t="s">
        <v>39</v>
      </c>
      <c r="C2318" s="2" t="s">
        <v>18</v>
      </c>
      <c r="D2318" s="2" t="s">
        <v>31</v>
      </c>
      <c r="E2318" s="2" t="s">
        <v>20</v>
      </c>
      <c r="F2318" s="2" t="n">
        <v>13342</v>
      </c>
      <c r="G2318" s="2" t="s">
        <v>26</v>
      </c>
      <c r="H2318" s="2" t="s">
        <v>20</v>
      </c>
      <c r="I2318" s="2" t="s">
        <v>21</v>
      </c>
      <c r="J2318" s="2" t="n">
        <v>18</v>
      </c>
      <c r="K2318" s="2" t="s">
        <v>46</v>
      </c>
      <c r="L2318" s="2" t="n">
        <v>465</v>
      </c>
      <c r="M2318" s="2" t="n">
        <v>1</v>
      </c>
      <c r="N2318" s="2" t="n">
        <v>-1</v>
      </c>
      <c r="O2318" s="2" t="n">
        <v>0</v>
      </c>
      <c r="P2318" s="2" t="s">
        <v>23</v>
      </c>
      <c r="Q2318" s="2" t="s">
        <v>20</v>
      </c>
    </row>
    <row r="2319" customFormat="false" ht="15" hidden="false" customHeight="false" outlineLevel="0" collapsed="false">
      <c r="A2319" s="2" t="n">
        <v>58</v>
      </c>
      <c r="B2319" s="2" t="s">
        <v>48</v>
      </c>
      <c r="C2319" s="2" t="s">
        <v>30</v>
      </c>
      <c r="D2319" s="2" t="s">
        <v>19</v>
      </c>
      <c r="E2319" s="2" t="s">
        <v>20</v>
      </c>
      <c r="F2319" s="2" t="n">
        <v>6570</v>
      </c>
      <c r="G2319" s="2" t="s">
        <v>20</v>
      </c>
      <c r="H2319" s="2" t="s">
        <v>20</v>
      </c>
      <c r="I2319" s="2" t="s">
        <v>21</v>
      </c>
      <c r="J2319" s="2" t="n">
        <v>21</v>
      </c>
      <c r="K2319" s="2" t="s">
        <v>44</v>
      </c>
      <c r="L2319" s="2" t="n">
        <v>106</v>
      </c>
      <c r="M2319" s="2" t="n">
        <v>3</v>
      </c>
      <c r="N2319" s="2" t="n">
        <v>-1</v>
      </c>
      <c r="O2319" s="2" t="n">
        <v>0</v>
      </c>
      <c r="P2319" s="2" t="s">
        <v>23</v>
      </c>
      <c r="Q2319" s="2" t="s">
        <v>20</v>
      </c>
    </row>
    <row r="2320" customFormat="false" ht="15" hidden="false" customHeight="false" outlineLevel="0" collapsed="false">
      <c r="A2320" s="2" t="n">
        <v>53</v>
      </c>
      <c r="B2320" s="2" t="s">
        <v>40</v>
      </c>
      <c r="C2320" s="2" t="s">
        <v>18</v>
      </c>
      <c r="D2320" s="2" t="s">
        <v>25</v>
      </c>
      <c r="E2320" s="2" t="s">
        <v>20</v>
      </c>
      <c r="F2320" s="2" t="n">
        <v>225</v>
      </c>
      <c r="G2320" s="2" t="s">
        <v>26</v>
      </c>
      <c r="H2320" s="2" t="s">
        <v>20</v>
      </c>
      <c r="I2320" s="2" t="s">
        <v>21</v>
      </c>
      <c r="J2320" s="2" t="n">
        <v>20</v>
      </c>
      <c r="K2320" s="2" t="s">
        <v>32</v>
      </c>
      <c r="L2320" s="2" t="n">
        <v>304</v>
      </c>
      <c r="M2320" s="2" t="n">
        <v>1</v>
      </c>
      <c r="N2320" s="2" t="n">
        <v>340</v>
      </c>
      <c r="O2320" s="2" t="n">
        <v>1</v>
      </c>
      <c r="P2320" s="2" t="s">
        <v>28</v>
      </c>
      <c r="Q2320" s="2" t="s">
        <v>20</v>
      </c>
    </row>
    <row r="2321" customFormat="false" ht="15" hidden="false" customHeight="false" outlineLevel="0" collapsed="false">
      <c r="A2321" s="2" t="n">
        <v>44</v>
      </c>
      <c r="B2321" s="2" t="s">
        <v>29</v>
      </c>
      <c r="C2321" s="2" t="s">
        <v>18</v>
      </c>
      <c r="D2321" s="2" t="s">
        <v>25</v>
      </c>
      <c r="E2321" s="2" t="s">
        <v>20</v>
      </c>
      <c r="F2321" s="2" t="n">
        <v>-665</v>
      </c>
      <c r="G2321" s="2" t="s">
        <v>20</v>
      </c>
      <c r="H2321" s="2" t="s">
        <v>20</v>
      </c>
      <c r="I2321" s="2" t="s">
        <v>21</v>
      </c>
      <c r="J2321" s="2" t="n">
        <v>30</v>
      </c>
      <c r="K2321" s="2" t="s">
        <v>44</v>
      </c>
      <c r="L2321" s="2" t="n">
        <v>342</v>
      </c>
      <c r="M2321" s="2" t="n">
        <v>3</v>
      </c>
      <c r="N2321" s="2" t="n">
        <v>-1</v>
      </c>
      <c r="O2321" s="2" t="n">
        <v>0</v>
      </c>
      <c r="P2321" s="2" t="s">
        <v>23</v>
      </c>
      <c r="Q2321" s="2" t="s">
        <v>20</v>
      </c>
    </row>
    <row r="2322" customFormat="false" ht="15" hidden="false" customHeight="false" outlineLevel="0" collapsed="false">
      <c r="A2322" s="2" t="n">
        <v>29</v>
      </c>
      <c r="B2322" s="2" t="s">
        <v>29</v>
      </c>
      <c r="C2322" s="2" t="s">
        <v>30</v>
      </c>
      <c r="D2322" s="2" t="s">
        <v>31</v>
      </c>
      <c r="E2322" s="2" t="s">
        <v>20</v>
      </c>
      <c r="F2322" s="2" t="n">
        <v>0</v>
      </c>
      <c r="G2322" s="2" t="s">
        <v>20</v>
      </c>
      <c r="H2322" s="2" t="s">
        <v>20</v>
      </c>
      <c r="I2322" s="2" t="s">
        <v>23</v>
      </c>
      <c r="J2322" s="2" t="n">
        <v>16</v>
      </c>
      <c r="K2322" s="2" t="s">
        <v>27</v>
      </c>
      <c r="L2322" s="2" t="n">
        <v>16</v>
      </c>
      <c r="M2322" s="2" t="n">
        <v>25</v>
      </c>
      <c r="N2322" s="2" t="n">
        <v>-1</v>
      </c>
      <c r="O2322" s="2" t="n">
        <v>0</v>
      </c>
      <c r="P2322" s="2" t="s">
        <v>23</v>
      </c>
      <c r="Q2322" s="2" t="s">
        <v>20</v>
      </c>
    </row>
    <row r="2323" customFormat="false" ht="15" hidden="false" customHeight="false" outlineLevel="0" collapsed="false">
      <c r="A2323" s="2" t="n">
        <v>27</v>
      </c>
      <c r="B2323" s="2" t="s">
        <v>24</v>
      </c>
      <c r="C2323" s="2" t="s">
        <v>30</v>
      </c>
      <c r="D2323" s="2" t="s">
        <v>25</v>
      </c>
      <c r="E2323" s="2" t="s">
        <v>20</v>
      </c>
      <c r="F2323" s="2" t="n">
        <v>54</v>
      </c>
      <c r="G2323" s="2" t="s">
        <v>26</v>
      </c>
      <c r="H2323" s="2" t="s">
        <v>20</v>
      </c>
      <c r="I2323" s="2" t="s">
        <v>23</v>
      </c>
      <c r="J2323" s="2" t="n">
        <v>28</v>
      </c>
      <c r="K2323" s="2" t="s">
        <v>27</v>
      </c>
      <c r="L2323" s="2" t="n">
        <v>543</v>
      </c>
      <c r="M2323" s="2" t="n">
        <v>2</v>
      </c>
      <c r="N2323" s="2" t="n">
        <v>-1</v>
      </c>
      <c r="O2323" s="2" t="n">
        <v>0</v>
      </c>
      <c r="P2323" s="2" t="s">
        <v>23</v>
      </c>
      <c r="Q2323" s="2" t="s">
        <v>26</v>
      </c>
    </row>
    <row r="2324" customFormat="false" ht="15" hidden="false" customHeight="false" outlineLevel="0" collapsed="false">
      <c r="A2324" s="2" t="n">
        <v>35</v>
      </c>
      <c r="B2324" s="2" t="s">
        <v>34</v>
      </c>
      <c r="C2324" s="2" t="s">
        <v>18</v>
      </c>
      <c r="D2324" s="2" t="s">
        <v>19</v>
      </c>
      <c r="E2324" s="2" t="s">
        <v>20</v>
      </c>
      <c r="F2324" s="2" t="n">
        <v>46</v>
      </c>
      <c r="G2324" s="2" t="s">
        <v>20</v>
      </c>
      <c r="H2324" s="2" t="s">
        <v>20</v>
      </c>
      <c r="I2324" s="2" t="s">
        <v>21</v>
      </c>
      <c r="J2324" s="2" t="n">
        <v>8</v>
      </c>
      <c r="K2324" s="2" t="s">
        <v>44</v>
      </c>
      <c r="L2324" s="2" t="n">
        <v>338</v>
      </c>
      <c r="M2324" s="2" t="n">
        <v>3</v>
      </c>
      <c r="N2324" s="2" t="n">
        <v>-1</v>
      </c>
      <c r="O2324" s="2" t="n">
        <v>0</v>
      </c>
      <c r="P2324" s="2" t="s">
        <v>23</v>
      </c>
      <c r="Q2324" s="2" t="s">
        <v>20</v>
      </c>
    </row>
    <row r="2325" customFormat="false" ht="15" hidden="false" customHeight="false" outlineLevel="0" collapsed="false">
      <c r="A2325" s="2" t="n">
        <v>40</v>
      </c>
      <c r="B2325" s="2" t="s">
        <v>36</v>
      </c>
      <c r="C2325" s="2" t="s">
        <v>18</v>
      </c>
      <c r="D2325" s="2" t="s">
        <v>25</v>
      </c>
      <c r="E2325" s="2" t="s">
        <v>20</v>
      </c>
      <c r="F2325" s="2" t="n">
        <v>2</v>
      </c>
      <c r="G2325" s="2" t="s">
        <v>20</v>
      </c>
      <c r="H2325" s="2" t="s">
        <v>20</v>
      </c>
      <c r="I2325" s="2" t="s">
        <v>21</v>
      </c>
      <c r="J2325" s="2" t="n">
        <v>22</v>
      </c>
      <c r="K2325" s="2" t="s">
        <v>41</v>
      </c>
      <c r="L2325" s="2" t="n">
        <v>197</v>
      </c>
      <c r="M2325" s="2" t="n">
        <v>5</v>
      </c>
      <c r="N2325" s="2" t="n">
        <v>-1</v>
      </c>
      <c r="O2325" s="2" t="n">
        <v>0</v>
      </c>
      <c r="P2325" s="2" t="s">
        <v>23</v>
      </c>
      <c r="Q2325" s="2" t="s">
        <v>20</v>
      </c>
    </row>
    <row r="2326" customFormat="false" ht="15" hidden="false" customHeight="false" outlineLevel="0" collapsed="false">
      <c r="A2326" s="2" t="n">
        <v>34</v>
      </c>
      <c r="B2326" s="2" t="s">
        <v>34</v>
      </c>
      <c r="C2326" s="2" t="s">
        <v>18</v>
      </c>
      <c r="D2326" s="2" t="s">
        <v>25</v>
      </c>
      <c r="E2326" s="2" t="s">
        <v>20</v>
      </c>
      <c r="F2326" s="2" t="n">
        <v>103</v>
      </c>
      <c r="G2326" s="2" t="s">
        <v>26</v>
      </c>
      <c r="H2326" s="2" t="s">
        <v>26</v>
      </c>
      <c r="I2326" s="2" t="s">
        <v>23</v>
      </c>
      <c r="J2326" s="2" t="n">
        <v>8</v>
      </c>
      <c r="K2326" s="2" t="s">
        <v>27</v>
      </c>
      <c r="L2326" s="2" t="n">
        <v>956</v>
      </c>
      <c r="M2326" s="2" t="n">
        <v>2</v>
      </c>
      <c r="N2326" s="2" t="n">
        <v>-1</v>
      </c>
      <c r="O2326" s="2" t="n">
        <v>0</v>
      </c>
      <c r="P2326" s="2" t="s">
        <v>23</v>
      </c>
      <c r="Q2326" s="2" t="s">
        <v>20</v>
      </c>
    </row>
    <row r="2327" customFormat="false" ht="15" hidden="false" customHeight="false" outlineLevel="0" collapsed="false">
      <c r="A2327" s="2" t="n">
        <v>38</v>
      </c>
      <c r="B2327" s="2" t="s">
        <v>40</v>
      </c>
      <c r="C2327" s="2" t="s">
        <v>30</v>
      </c>
      <c r="D2327" s="2" t="s">
        <v>25</v>
      </c>
      <c r="E2327" s="2" t="s">
        <v>20</v>
      </c>
      <c r="F2327" s="2" t="n">
        <v>883</v>
      </c>
      <c r="G2327" s="2" t="s">
        <v>26</v>
      </c>
      <c r="H2327" s="2" t="s">
        <v>20</v>
      </c>
      <c r="I2327" s="2" t="s">
        <v>21</v>
      </c>
      <c r="J2327" s="2" t="n">
        <v>12</v>
      </c>
      <c r="K2327" s="2" t="s">
        <v>27</v>
      </c>
      <c r="L2327" s="2" t="n">
        <v>95</v>
      </c>
      <c r="M2327" s="2" t="n">
        <v>1</v>
      </c>
      <c r="N2327" s="2" t="n">
        <v>327</v>
      </c>
      <c r="O2327" s="2" t="n">
        <v>9</v>
      </c>
      <c r="P2327" s="2" t="s">
        <v>37</v>
      </c>
      <c r="Q2327" s="2" t="s">
        <v>20</v>
      </c>
    </row>
    <row r="2328" customFormat="false" ht="15" hidden="false" customHeight="false" outlineLevel="0" collapsed="false">
      <c r="A2328" s="2" t="n">
        <v>32</v>
      </c>
      <c r="B2328" s="2" t="s">
        <v>24</v>
      </c>
      <c r="C2328" s="2" t="s">
        <v>18</v>
      </c>
      <c r="D2328" s="2" t="s">
        <v>25</v>
      </c>
      <c r="E2328" s="2" t="s">
        <v>20</v>
      </c>
      <c r="F2328" s="2" t="n">
        <v>55</v>
      </c>
      <c r="G2328" s="2" t="s">
        <v>26</v>
      </c>
      <c r="H2328" s="2" t="s">
        <v>20</v>
      </c>
      <c r="I2328" s="2" t="s">
        <v>23</v>
      </c>
      <c r="J2328" s="2" t="n">
        <v>15</v>
      </c>
      <c r="K2328" s="2" t="s">
        <v>27</v>
      </c>
      <c r="L2328" s="2" t="n">
        <v>546</v>
      </c>
      <c r="M2328" s="2" t="n">
        <v>9</v>
      </c>
      <c r="N2328" s="2" t="n">
        <v>-1</v>
      </c>
      <c r="O2328" s="2" t="n">
        <v>0</v>
      </c>
      <c r="P2328" s="2" t="s">
        <v>23</v>
      </c>
      <c r="Q2328" s="2" t="s">
        <v>20</v>
      </c>
    </row>
    <row r="2329" customFormat="false" ht="15" hidden="false" customHeight="false" outlineLevel="0" collapsed="false">
      <c r="A2329" s="2" t="n">
        <v>41</v>
      </c>
      <c r="B2329" s="2" t="s">
        <v>40</v>
      </c>
      <c r="C2329" s="2" t="s">
        <v>18</v>
      </c>
      <c r="D2329" s="2" t="s">
        <v>25</v>
      </c>
      <c r="E2329" s="2" t="s">
        <v>20</v>
      </c>
      <c r="F2329" s="2" t="n">
        <v>8238</v>
      </c>
      <c r="G2329" s="2" t="s">
        <v>26</v>
      </c>
      <c r="H2329" s="2" t="s">
        <v>26</v>
      </c>
      <c r="I2329" s="2" t="s">
        <v>23</v>
      </c>
      <c r="J2329" s="2" t="n">
        <v>30</v>
      </c>
      <c r="K2329" s="2" t="s">
        <v>27</v>
      </c>
      <c r="L2329" s="2" t="n">
        <v>124</v>
      </c>
      <c r="M2329" s="2" t="n">
        <v>4</v>
      </c>
      <c r="N2329" s="2" t="n">
        <v>-1</v>
      </c>
      <c r="O2329" s="2" t="n">
        <v>0</v>
      </c>
      <c r="P2329" s="2" t="s">
        <v>23</v>
      </c>
      <c r="Q2329" s="2" t="s">
        <v>20</v>
      </c>
    </row>
    <row r="2330" customFormat="false" ht="15" hidden="false" customHeight="false" outlineLevel="0" collapsed="false">
      <c r="A2330" s="2" t="n">
        <v>25</v>
      </c>
      <c r="B2330" s="2" t="s">
        <v>34</v>
      </c>
      <c r="C2330" s="2" t="s">
        <v>30</v>
      </c>
      <c r="D2330" s="2" t="s">
        <v>25</v>
      </c>
      <c r="E2330" s="2" t="s">
        <v>20</v>
      </c>
      <c r="F2330" s="2" t="n">
        <v>913</v>
      </c>
      <c r="G2330" s="2" t="s">
        <v>26</v>
      </c>
      <c r="H2330" s="2" t="s">
        <v>20</v>
      </c>
      <c r="I2330" s="2" t="s">
        <v>21</v>
      </c>
      <c r="J2330" s="2" t="n">
        <v>7</v>
      </c>
      <c r="K2330" s="2" t="s">
        <v>44</v>
      </c>
      <c r="L2330" s="2" t="n">
        <v>113</v>
      </c>
      <c r="M2330" s="2" t="n">
        <v>4</v>
      </c>
      <c r="N2330" s="2" t="n">
        <v>-1</v>
      </c>
      <c r="O2330" s="2" t="n">
        <v>0</v>
      </c>
      <c r="P2330" s="2" t="s">
        <v>23</v>
      </c>
      <c r="Q2330" s="2" t="s">
        <v>20</v>
      </c>
    </row>
    <row r="2331" customFormat="false" ht="15" hidden="false" customHeight="false" outlineLevel="0" collapsed="false">
      <c r="A2331" s="2" t="n">
        <v>38</v>
      </c>
      <c r="B2331" s="2" t="s">
        <v>34</v>
      </c>
      <c r="C2331" s="2" t="s">
        <v>45</v>
      </c>
      <c r="D2331" s="2" t="s">
        <v>25</v>
      </c>
      <c r="E2331" s="2" t="s">
        <v>20</v>
      </c>
      <c r="F2331" s="2" t="n">
        <v>595</v>
      </c>
      <c r="G2331" s="2" t="s">
        <v>26</v>
      </c>
      <c r="H2331" s="2" t="s">
        <v>20</v>
      </c>
      <c r="I2331" s="2" t="s">
        <v>21</v>
      </c>
      <c r="J2331" s="2" t="n">
        <v>7</v>
      </c>
      <c r="K2331" s="2" t="s">
        <v>27</v>
      </c>
      <c r="L2331" s="2" t="n">
        <v>245</v>
      </c>
      <c r="M2331" s="2" t="n">
        <v>3</v>
      </c>
      <c r="N2331" s="2" t="n">
        <v>-1</v>
      </c>
      <c r="O2331" s="2" t="n">
        <v>0</v>
      </c>
      <c r="P2331" s="2" t="s">
        <v>23</v>
      </c>
      <c r="Q2331" s="2" t="s">
        <v>20</v>
      </c>
    </row>
    <row r="2332" customFormat="false" ht="15" hidden="false" customHeight="false" outlineLevel="0" collapsed="false">
      <c r="A2332" s="2" t="n">
        <v>26</v>
      </c>
      <c r="B2332" s="2" t="s">
        <v>38</v>
      </c>
      <c r="C2332" s="2" t="s">
        <v>30</v>
      </c>
      <c r="D2332" s="2" t="s">
        <v>25</v>
      </c>
      <c r="E2332" s="2" t="s">
        <v>20</v>
      </c>
      <c r="F2332" s="2" t="n">
        <v>7</v>
      </c>
      <c r="G2332" s="2" t="s">
        <v>26</v>
      </c>
      <c r="H2332" s="2" t="s">
        <v>20</v>
      </c>
      <c r="I2332" s="2" t="s">
        <v>21</v>
      </c>
      <c r="J2332" s="2" t="n">
        <v>22</v>
      </c>
      <c r="K2332" s="2" t="s">
        <v>44</v>
      </c>
      <c r="L2332" s="2" t="n">
        <v>188</v>
      </c>
      <c r="M2332" s="2" t="n">
        <v>2</v>
      </c>
      <c r="N2332" s="2" t="n">
        <v>-1</v>
      </c>
      <c r="O2332" s="2" t="n">
        <v>0</v>
      </c>
      <c r="P2332" s="2" t="s">
        <v>23</v>
      </c>
      <c r="Q2332" s="2" t="s">
        <v>20</v>
      </c>
    </row>
    <row r="2333" customFormat="false" ht="15" hidden="false" customHeight="false" outlineLevel="0" collapsed="false">
      <c r="A2333" s="2" t="n">
        <v>37</v>
      </c>
      <c r="B2333" s="2" t="s">
        <v>38</v>
      </c>
      <c r="C2333" s="2" t="s">
        <v>30</v>
      </c>
      <c r="D2333" s="2" t="s">
        <v>31</v>
      </c>
      <c r="E2333" s="2" t="s">
        <v>20</v>
      </c>
      <c r="F2333" s="2" t="n">
        <v>1661</v>
      </c>
      <c r="G2333" s="2" t="s">
        <v>20</v>
      </c>
      <c r="H2333" s="2" t="s">
        <v>20</v>
      </c>
      <c r="I2333" s="2" t="s">
        <v>21</v>
      </c>
      <c r="J2333" s="2" t="n">
        <v>19</v>
      </c>
      <c r="K2333" s="2" t="s">
        <v>41</v>
      </c>
      <c r="L2333" s="2" t="n">
        <v>199</v>
      </c>
      <c r="M2333" s="2" t="n">
        <v>5</v>
      </c>
      <c r="N2333" s="2" t="n">
        <v>-1</v>
      </c>
      <c r="O2333" s="2" t="n">
        <v>0</v>
      </c>
      <c r="P2333" s="2" t="s">
        <v>23</v>
      </c>
      <c r="Q2333" s="2" t="s">
        <v>20</v>
      </c>
    </row>
    <row r="2334" customFormat="false" ht="15" hidden="false" customHeight="false" outlineLevel="0" collapsed="false">
      <c r="A2334" s="2" t="n">
        <v>30</v>
      </c>
      <c r="B2334" s="2" t="s">
        <v>29</v>
      </c>
      <c r="C2334" s="2" t="s">
        <v>18</v>
      </c>
      <c r="D2334" s="2" t="s">
        <v>31</v>
      </c>
      <c r="E2334" s="2" t="s">
        <v>20</v>
      </c>
      <c r="F2334" s="2" t="n">
        <v>102</v>
      </c>
      <c r="G2334" s="2" t="s">
        <v>26</v>
      </c>
      <c r="H2334" s="2" t="s">
        <v>20</v>
      </c>
      <c r="I2334" s="2" t="s">
        <v>21</v>
      </c>
      <c r="J2334" s="2" t="n">
        <v>5</v>
      </c>
      <c r="K2334" s="2" t="s">
        <v>32</v>
      </c>
      <c r="L2334" s="2" t="n">
        <v>470</v>
      </c>
      <c r="M2334" s="2" t="n">
        <v>7</v>
      </c>
      <c r="N2334" s="2" t="n">
        <v>426</v>
      </c>
      <c r="O2334" s="2" t="n">
        <v>3</v>
      </c>
      <c r="P2334" s="2" t="s">
        <v>37</v>
      </c>
      <c r="Q2334" s="2" t="s">
        <v>26</v>
      </c>
    </row>
    <row r="2335" customFormat="false" ht="15" hidden="false" customHeight="false" outlineLevel="0" collapsed="false">
      <c r="A2335" s="2" t="n">
        <v>36</v>
      </c>
      <c r="B2335" s="2" t="s">
        <v>24</v>
      </c>
      <c r="C2335" s="2" t="s">
        <v>18</v>
      </c>
      <c r="D2335" s="2" t="s">
        <v>25</v>
      </c>
      <c r="E2335" s="2" t="s">
        <v>20</v>
      </c>
      <c r="F2335" s="2" t="n">
        <v>338</v>
      </c>
      <c r="G2335" s="2" t="s">
        <v>20</v>
      </c>
      <c r="H2335" s="2" t="s">
        <v>20</v>
      </c>
      <c r="I2335" s="2" t="s">
        <v>23</v>
      </c>
      <c r="J2335" s="2" t="n">
        <v>14</v>
      </c>
      <c r="K2335" s="2" t="s">
        <v>27</v>
      </c>
      <c r="L2335" s="2" t="n">
        <v>90</v>
      </c>
      <c r="M2335" s="2" t="n">
        <v>1</v>
      </c>
      <c r="N2335" s="2" t="n">
        <v>-1</v>
      </c>
      <c r="O2335" s="2" t="n">
        <v>0</v>
      </c>
      <c r="P2335" s="2" t="s">
        <v>23</v>
      </c>
      <c r="Q2335" s="2" t="s">
        <v>20</v>
      </c>
    </row>
    <row r="2336" customFormat="false" ht="15" hidden="false" customHeight="false" outlineLevel="0" collapsed="false">
      <c r="A2336" s="2" t="n">
        <v>33</v>
      </c>
      <c r="B2336" s="2" t="s">
        <v>29</v>
      </c>
      <c r="C2336" s="2" t="s">
        <v>18</v>
      </c>
      <c r="D2336" s="2" t="s">
        <v>25</v>
      </c>
      <c r="E2336" s="2" t="s">
        <v>20</v>
      </c>
      <c r="F2336" s="2" t="n">
        <v>3132</v>
      </c>
      <c r="G2336" s="2" t="s">
        <v>26</v>
      </c>
      <c r="H2336" s="2" t="s">
        <v>20</v>
      </c>
      <c r="I2336" s="2" t="s">
        <v>23</v>
      </c>
      <c r="J2336" s="2" t="n">
        <v>23</v>
      </c>
      <c r="K2336" s="2" t="s">
        <v>27</v>
      </c>
      <c r="L2336" s="2" t="n">
        <v>350</v>
      </c>
      <c r="M2336" s="2" t="n">
        <v>5</v>
      </c>
      <c r="N2336" s="2" t="n">
        <v>-1</v>
      </c>
      <c r="O2336" s="2" t="n">
        <v>0</v>
      </c>
      <c r="P2336" s="2" t="s">
        <v>23</v>
      </c>
      <c r="Q2336" s="2" t="s">
        <v>20</v>
      </c>
    </row>
    <row r="2337" customFormat="false" ht="15" hidden="false" customHeight="false" outlineLevel="0" collapsed="false">
      <c r="A2337" s="2" t="n">
        <v>33</v>
      </c>
      <c r="B2337" s="2" t="s">
        <v>40</v>
      </c>
      <c r="C2337" s="2" t="s">
        <v>30</v>
      </c>
      <c r="D2337" s="2" t="s">
        <v>31</v>
      </c>
      <c r="E2337" s="2" t="s">
        <v>20</v>
      </c>
      <c r="F2337" s="2" t="n">
        <v>490</v>
      </c>
      <c r="G2337" s="2" t="s">
        <v>26</v>
      </c>
      <c r="H2337" s="2" t="s">
        <v>20</v>
      </c>
      <c r="I2337" s="2" t="s">
        <v>21</v>
      </c>
      <c r="J2337" s="2" t="n">
        <v>7</v>
      </c>
      <c r="K2337" s="2" t="s">
        <v>27</v>
      </c>
      <c r="L2337" s="2" t="n">
        <v>31</v>
      </c>
      <c r="M2337" s="2" t="n">
        <v>1</v>
      </c>
      <c r="N2337" s="2" t="n">
        <v>363</v>
      </c>
      <c r="O2337" s="2" t="n">
        <v>2</v>
      </c>
      <c r="P2337" s="2" t="s">
        <v>28</v>
      </c>
      <c r="Q2337" s="2" t="s">
        <v>20</v>
      </c>
    </row>
    <row r="2338" customFormat="false" ht="15" hidden="false" customHeight="false" outlineLevel="0" collapsed="false">
      <c r="A2338" s="2" t="n">
        <v>35</v>
      </c>
      <c r="B2338" s="2" t="s">
        <v>29</v>
      </c>
      <c r="C2338" s="2" t="s">
        <v>18</v>
      </c>
      <c r="D2338" s="2" t="s">
        <v>31</v>
      </c>
      <c r="E2338" s="2" t="s">
        <v>20</v>
      </c>
      <c r="F2338" s="2" t="n">
        <v>2682</v>
      </c>
      <c r="G2338" s="2" t="s">
        <v>26</v>
      </c>
      <c r="H2338" s="2" t="s">
        <v>20</v>
      </c>
      <c r="I2338" s="2" t="s">
        <v>21</v>
      </c>
      <c r="J2338" s="2" t="n">
        <v>9</v>
      </c>
      <c r="K2338" s="2" t="s">
        <v>44</v>
      </c>
      <c r="L2338" s="2" t="n">
        <v>156</v>
      </c>
      <c r="M2338" s="2" t="n">
        <v>1</v>
      </c>
      <c r="N2338" s="2" t="n">
        <v>-1</v>
      </c>
      <c r="O2338" s="2" t="n">
        <v>0</v>
      </c>
      <c r="P2338" s="2" t="s">
        <v>23</v>
      </c>
      <c r="Q2338" s="2" t="s">
        <v>20</v>
      </c>
    </row>
    <row r="2339" customFormat="false" ht="15" hidden="false" customHeight="false" outlineLevel="0" collapsed="false">
      <c r="A2339" s="2" t="n">
        <v>24</v>
      </c>
      <c r="B2339" s="2" t="s">
        <v>24</v>
      </c>
      <c r="C2339" s="2" t="s">
        <v>18</v>
      </c>
      <c r="D2339" s="2" t="s">
        <v>31</v>
      </c>
      <c r="E2339" s="2" t="s">
        <v>20</v>
      </c>
      <c r="F2339" s="2" t="n">
        <v>0</v>
      </c>
      <c r="G2339" s="2" t="s">
        <v>26</v>
      </c>
      <c r="H2339" s="2" t="s">
        <v>20</v>
      </c>
      <c r="I2339" s="2" t="s">
        <v>23</v>
      </c>
      <c r="J2339" s="2" t="n">
        <v>27</v>
      </c>
      <c r="K2339" s="2" t="s">
        <v>27</v>
      </c>
      <c r="L2339" s="2" t="n">
        <v>299</v>
      </c>
      <c r="M2339" s="2" t="n">
        <v>1</v>
      </c>
      <c r="N2339" s="2" t="n">
        <v>-1</v>
      </c>
      <c r="O2339" s="2" t="n">
        <v>0</v>
      </c>
      <c r="P2339" s="2" t="s">
        <v>23</v>
      </c>
      <c r="Q2339" s="2" t="s">
        <v>20</v>
      </c>
    </row>
    <row r="2340" customFormat="false" ht="15" hidden="false" customHeight="false" outlineLevel="0" collapsed="false">
      <c r="A2340" s="2" t="n">
        <v>29</v>
      </c>
      <c r="B2340" s="2" t="s">
        <v>17</v>
      </c>
      <c r="C2340" s="2" t="s">
        <v>18</v>
      </c>
      <c r="D2340" s="2" t="s">
        <v>25</v>
      </c>
      <c r="E2340" s="2" t="s">
        <v>20</v>
      </c>
      <c r="F2340" s="2" t="n">
        <v>596</v>
      </c>
      <c r="G2340" s="2" t="s">
        <v>20</v>
      </c>
      <c r="H2340" s="2" t="s">
        <v>20</v>
      </c>
      <c r="I2340" s="2" t="s">
        <v>21</v>
      </c>
      <c r="J2340" s="2" t="n">
        <v>30</v>
      </c>
      <c r="K2340" s="2" t="s">
        <v>43</v>
      </c>
      <c r="L2340" s="2" t="n">
        <v>510</v>
      </c>
      <c r="M2340" s="2" t="n">
        <v>2</v>
      </c>
      <c r="N2340" s="2" t="n">
        <v>-1</v>
      </c>
      <c r="O2340" s="2" t="n">
        <v>0</v>
      </c>
      <c r="P2340" s="2" t="s">
        <v>23</v>
      </c>
      <c r="Q2340" s="2" t="s">
        <v>20</v>
      </c>
    </row>
    <row r="2341" customFormat="false" ht="15" hidden="false" customHeight="false" outlineLevel="0" collapsed="false">
      <c r="A2341" s="2" t="n">
        <v>54</v>
      </c>
      <c r="B2341" s="2" t="s">
        <v>34</v>
      </c>
      <c r="C2341" s="2" t="s">
        <v>18</v>
      </c>
      <c r="D2341" s="2" t="s">
        <v>25</v>
      </c>
      <c r="E2341" s="2" t="s">
        <v>20</v>
      </c>
      <c r="F2341" s="2" t="n">
        <v>2059</v>
      </c>
      <c r="G2341" s="2" t="s">
        <v>26</v>
      </c>
      <c r="H2341" s="2" t="s">
        <v>20</v>
      </c>
      <c r="I2341" s="2" t="s">
        <v>21</v>
      </c>
      <c r="J2341" s="2" t="n">
        <v>25</v>
      </c>
      <c r="K2341" s="2" t="s">
        <v>41</v>
      </c>
      <c r="L2341" s="2" t="n">
        <v>177</v>
      </c>
      <c r="M2341" s="2" t="n">
        <v>4</v>
      </c>
      <c r="N2341" s="2" t="n">
        <v>-1</v>
      </c>
      <c r="O2341" s="2" t="n">
        <v>0</v>
      </c>
      <c r="P2341" s="2" t="s">
        <v>23</v>
      </c>
      <c r="Q2341" s="2" t="s">
        <v>20</v>
      </c>
    </row>
    <row r="2342" customFormat="false" ht="15" hidden="false" customHeight="false" outlineLevel="0" collapsed="false">
      <c r="A2342" s="2" t="n">
        <v>27</v>
      </c>
      <c r="B2342" s="2" t="s">
        <v>40</v>
      </c>
      <c r="C2342" s="2" t="s">
        <v>18</v>
      </c>
      <c r="D2342" s="2" t="s">
        <v>25</v>
      </c>
      <c r="E2342" s="2" t="s">
        <v>20</v>
      </c>
      <c r="F2342" s="2" t="n">
        <v>132</v>
      </c>
      <c r="G2342" s="2" t="s">
        <v>20</v>
      </c>
      <c r="H2342" s="2" t="s">
        <v>20</v>
      </c>
      <c r="I2342" s="2" t="s">
        <v>21</v>
      </c>
      <c r="J2342" s="2" t="n">
        <v>13</v>
      </c>
      <c r="K2342" s="2" t="s">
        <v>22</v>
      </c>
      <c r="L2342" s="2" t="n">
        <v>123</v>
      </c>
      <c r="M2342" s="2" t="n">
        <v>2</v>
      </c>
      <c r="N2342" s="2" t="n">
        <v>-1</v>
      </c>
      <c r="O2342" s="2" t="n">
        <v>0</v>
      </c>
      <c r="P2342" s="2" t="s">
        <v>23</v>
      </c>
      <c r="Q2342" s="2" t="s">
        <v>20</v>
      </c>
    </row>
    <row r="2343" customFormat="false" ht="15" hidden="false" customHeight="false" outlineLevel="0" collapsed="false">
      <c r="A2343" s="2" t="n">
        <v>34</v>
      </c>
      <c r="B2343" s="2" t="s">
        <v>29</v>
      </c>
      <c r="C2343" s="2" t="s">
        <v>18</v>
      </c>
      <c r="D2343" s="2" t="s">
        <v>25</v>
      </c>
      <c r="E2343" s="2" t="s">
        <v>20</v>
      </c>
      <c r="F2343" s="2" t="n">
        <v>0</v>
      </c>
      <c r="G2343" s="2" t="s">
        <v>20</v>
      </c>
      <c r="H2343" s="2" t="s">
        <v>20</v>
      </c>
      <c r="I2343" s="2" t="s">
        <v>21</v>
      </c>
      <c r="J2343" s="2" t="n">
        <v>2</v>
      </c>
      <c r="K2343" s="2" t="s">
        <v>35</v>
      </c>
      <c r="L2343" s="2" t="n">
        <v>270</v>
      </c>
      <c r="M2343" s="2" t="n">
        <v>1</v>
      </c>
      <c r="N2343" s="2" t="n">
        <v>-1</v>
      </c>
      <c r="O2343" s="2" t="n">
        <v>0</v>
      </c>
      <c r="P2343" s="2" t="s">
        <v>23</v>
      </c>
      <c r="Q2343" s="2" t="s">
        <v>20</v>
      </c>
    </row>
    <row r="2344" customFormat="false" ht="15" hidden="false" customHeight="false" outlineLevel="0" collapsed="false">
      <c r="A2344" s="2" t="n">
        <v>39</v>
      </c>
      <c r="B2344" s="2" t="s">
        <v>34</v>
      </c>
      <c r="C2344" s="2" t="s">
        <v>18</v>
      </c>
      <c r="D2344" s="2" t="s">
        <v>19</v>
      </c>
      <c r="E2344" s="2" t="s">
        <v>20</v>
      </c>
      <c r="F2344" s="2" t="n">
        <v>385</v>
      </c>
      <c r="G2344" s="2" t="s">
        <v>26</v>
      </c>
      <c r="H2344" s="2" t="s">
        <v>20</v>
      </c>
      <c r="I2344" s="2" t="s">
        <v>23</v>
      </c>
      <c r="J2344" s="2" t="n">
        <v>16</v>
      </c>
      <c r="K2344" s="2" t="s">
        <v>27</v>
      </c>
      <c r="L2344" s="2" t="n">
        <v>225</v>
      </c>
      <c r="M2344" s="2" t="n">
        <v>4</v>
      </c>
      <c r="N2344" s="2" t="n">
        <v>-1</v>
      </c>
      <c r="O2344" s="2" t="n">
        <v>0</v>
      </c>
      <c r="P2344" s="2" t="s">
        <v>23</v>
      </c>
      <c r="Q2344" s="2" t="s">
        <v>20</v>
      </c>
    </row>
    <row r="2345" customFormat="false" ht="15" hidden="false" customHeight="false" outlineLevel="0" collapsed="false">
      <c r="A2345" s="2" t="n">
        <v>38</v>
      </c>
      <c r="B2345" s="2" t="s">
        <v>29</v>
      </c>
      <c r="C2345" s="2" t="s">
        <v>18</v>
      </c>
      <c r="D2345" s="2" t="s">
        <v>31</v>
      </c>
      <c r="E2345" s="2" t="s">
        <v>20</v>
      </c>
      <c r="F2345" s="2" t="n">
        <v>223</v>
      </c>
      <c r="G2345" s="2" t="s">
        <v>20</v>
      </c>
      <c r="H2345" s="2" t="s">
        <v>20</v>
      </c>
      <c r="I2345" s="2" t="s">
        <v>21</v>
      </c>
      <c r="J2345" s="2" t="n">
        <v>28</v>
      </c>
      <c r="K2345" s="2" t="s">
        <v>43</v>
      </c>
      <c r="L2345" s="2" t="n">
        <v>63</v>
      </c>
      <c r="M2345" s="2" t="n">
        <v>1</v>
      </c>
      <c r="N2345" s="2" t="n">
        <v>-1</v>
      </c>
      <c r="O2345" s="2" t="n">
        <v>0</v>
      </c>
      <c r="P2345" s="2" t="s">
        <v>23</v>
      </c>
      <c r="Q2345" s="2" t="s">
        <v>20</v>
      </c>
    </row>
    <row r="2346" customFormat="false" ht="15" hidden="false" customHeight="false" outlineLevel="0" collapsed="false">
      <c r="A2346" s="2" t="n">
        <v>37</v>
      </c>
      <c r="B2346" s="2" t="s">
        <v>29</v>
      </c>
      <c r="C2346" s="2" t="s">
        <v>18</v>
      </c>
      <c r="D2346" s="2" t="s">
        <v>31</v>
      </c>
      <c r="E2346" s="2" t="s">
        <v>20</v>
      </c>
      <c r="F2346" s="2" t="n">
        <v>0</v>
      </c>
      <c r="G2346" s="2" t="s">
        <v>26</v>
      </c>
      <c r="H2346" s="2" t="s">
        <v>20</v>
      </c>
      <c r="I2346" s="2" t="s">
        <v>23</v>
      </c>
      <c r="J2346" s="2" t="n">
        <v>3</v>
      </c>
      <c r="K2346" s="2" t="s">
        <v>33</v>
      </c>
      <c r="L2346" s="2" t="n">
        <v>247</v>
      </c>
      <c r="M2346" s="2" t="n">
        <v>13</v>
      </c>
      <c r="N2346" s="2" t="n">
        <v>-1</v>
      </c>
      <c r="O2346" s="2" t="n">
        <v>0</v>
      </c>
      <c r="P2346" s="2" t="s">
        <v>23</v>
      </c>
      <c r="Q2346" s="2" t="s">
        <v>20</v>
      </c>
    </row>
    <row r="2347" customFormat="false" ht="15" hidden="false" customHeight="false" outlineLevel="0" collapsed="false">
      <c r="A2347" s="2" t="n">
        <v>26</v>
      </c>
      <c r="B2347" s="2" t="s">
        <v>24</v>
      </c>
      <c r="C2347" s="2" t="s">
        <v>30</v>
      </c>
      <c r="D2347" s="2" t="s">
        <v>25</v>
      </c>
      <c r="E2347" s="2" t="s">
        <v>20</v>
      </c>
      <c r="F2347" s="2" t="n">
        <v>512</v>
      </c>
      <c r="G2347" s="2" t="s">
        <v>26</v>
      </c>
      <c r="H2347" s="2" t="s">
        <v>26</v>
      </c>
      <c r="I2347" s="2" t="s">
        <v>21</v>
      </c>
      <c r="J2347" s="2" t="n">
        <v>30</v>
      </c>
      <c r="K2347" s="2" t="s">
        <v>43</v>
      </c>
      <c r="L2347" s="2" t="n">
        <v>206</v>
      </c>
      <c r="M2347" s="2" t="n">
        <v>5</v>
      </c>
      <c r="N2347" s="2" t="n">
        <v>239</v>
      </c>
      <c r="O2347" s="2" t="n">
        <v>3</v>
      </c>
      <c r="P2347" s="2" t="s">
        <v>28</v>
      </c>
      <c r="Q2347" s="2" t="s">
        <v>20</v>
      </c>
    </row>
    <row r="2348" customFormat="false" ht="15" hidden="false" customHeight="false" outlineLevel="0" collapsed="false">
      <c r="A2348" s="2" t="n">
        <v>36</v>
      </c>
      <c r="B2348" s="2" t="s">
        <v>39</v>
      </c>
      <c r="C2348" s="2" t="s">
        <v>18</v>
      </c>
      <c r="D2348" s="2" t="s">
        <v>31</v>
      </c>
      <c r="E2348" s="2" t="s">
        <v>20</v>
      </c>
      <c r="F2348" s="2" t="n">
        <v>1169</v>
      </c>
      <c r="G2348" s="2" t="s">
        <v>26</v>
      </c>
      <c r="H2348" s="2" t="s">
        <v>20</v>
      </c>
      <c r="I2348" s="2" t="s">
        <v>23</v>
      </c>
      <c r="J2348" s="2" t="n">
        <v>6</v>
      </c>
      <c r="K2348" s="2" t="s">
        <v>27</v>
      </c>
      <c r="L2348" s="2" t="n">
        <v>168</v>
      </c>
      <c r="M2348" s="2" t="n">
        <v>2</v>
      </c>
      <c r="N2348" s="2" t="n">
        <v>-1</v>
      </c>
      <c r="O2348" s="2" t="n">
        <v>0</v>
      </c>
      <c r="P2348" s="2" t="s">
        <v>23</v>
      </c>
      <c r="Q2348" s="2" t="s">
        <v>20</v>
      </c>
    </row>
    <row r="2349" customFormat="false" ht="15" hidden="false" customHeight="false" outlineLevel="0" collapsed="false">
      <c r="A2349" s="2" t="n">
        <v>35</v>
      </c>
      <c r="B2349" s="2" t="s">
        <v>29</v>
      </c>
      <c r="C2349" s="2" t="s">
        <v>30</v>
      </c>
      <c r="D2349" s="2" t="s">
        <v>31</v>
      </c>
      <c r="E2349" s="2" t="s">
        <v>20</v>
      </c>
      <c r="F2349" s="2" t="n">
        <v>71</v>
      </c>
      <c r="G2349" s="2" t="s">
        <v>26</v>
      </c>
      <c r="H2349" s="2" t="s">
        <v>20</v>
      </c>
      <c r="I2349" s="2" t="s">
        <v>23</v>
      </c>
      <c r="J2349" s="2" t="n">
        <v>21</v>
      </c>
      <c r="K2349" s="2" t="s">
        <v>27</v>
      </c>
      <c r="L2349" s="2" t="n">
        <v>836</v>
      </c>
      <c r="M2349" s="2" t="n">
        <v>12</v>
      </c>
      <c r="N2349" s="2" t="n">
        <v>-1</v>
      </c>
      <c r="O2349" s="2" t="n">
        <v>0</v>
      </c>
      <c r="P2349" s="2" t="s">
        <v>23</v>
      </c>
      <c r="Q2349" s="2" t="s">
        <v>20</v>
      </c>
    </row>
    <row r="2350" customFormat="false" ht="15" hidden="false" customHeight="false" outlineLevel="0" collapsed="false">
      <c r="A2350" s="2" t="n">
        <v>30</v>
      </c>
      <c r="B2350" s="2" t="s">
        <v>29</v>
      </c>
      <c r="C2350" s="2" t="s">
        <v>30</v>
      </c>
      <c r="D2350" s="2" t="s">
        <v>31</v>
      </c>
      <c r="E2350" s="2" t="s">
        <v>20</v>
      </c>
      <c r="F2350" s="2" t="n">
        <v>940</v>
      </c>
      <c r="G2350" s="2" t="s">
        <v>20</v>
      </c>
      <c r="H2350" s="2" t="s">
        <v>20</v>
      </c>
      <c r="I2350" s="2" t="s">
        <v>21</v>
      </c>
      <c r="J2350" s="2" t="n">
        <v>8</v>
      </c>
      <c r="K2350" s="2" t="s">
        <v>41</v>
      </c>
      <c r="L2350" s="2" t="n">
        <v>131</v>
      </c>
      <c r="M2350" s="2" t="n">
        <v>2</v>
      </c>
      <c r="N2350" s="2" t="n">
        <v>-1</v>
      </c>
      <c r="O2350" s="2" t="n">
        <v>0</v>
      </c>
      <c r="P2350" s="2" t="s">
        <v>23</v>
      </c>
      <c r="Q2350" s="2" t="s">
        <v>20</v>
      </c>
    </row>
    <row r="2351" customFormat="false" ht="15" hidden="false" customHeight="false" outlineLevel="0" collapsed="false">
      <c r="A2351" s="2" t="n">
        <v>25</v>
      </c>
      <c r="B2351" s="2" t="s">
        <v>38</v>
      </c>
      <c r="C2351" s="2" t="s">
        <v>30</v>
      </c>
      <c r="D2351" s="2" t="s">
        <v>25</v>
      </c>
      <c r="E2351" s="2" t="s">
        <v>20</v>
      </c>
      <c r="F2351" s="2" t="n">
        <v>-80</v>
      </c>
      <c r="G2351" s="2" t="s">
        <v>26</v>
      </c>
      <c r="H2351" s="2" t="s">
        <v>26</v>
      </c>
      <c r="I2351" s="2" t="s">
        <v>23</v>
      </c>
      <c r="J2351" s="2" t="n">
        <v>3</v>
      </c>
      <c r="K2351" s="2" t="s">
        <v>33</v>
      </c>
      <c r="L2351" s="2" t="n">
        <v>89</v>
      </c>
      <c r="M2351" s="2" t="n">
        <v>1</v>
      </c>
      <c r="N2351" s="2" t="n">
        <v>-1</v>
      </c>
      <c r="O2351" s="2" t="n">
        <v>0</v>
      </c>
      <c r="P2351" s="2" t="s">
        <v>23</v>
      </c>
      <c r="Q2351" s="2" t="s">
        <v>20</v>
      </c>
    </row>
    <row r="2352" customFormat="false" ht="15" hidden="false" customHeight="false" outlineLevel="0" collapsed="false">
      <c r="A2352" s="2" t="n">
        <v>34</v>
      </c>
      <c r="B2352" s="2" t="s">
        <v>38</v>
      </c>
      <c r="C2352" s="2" t="s">
        <v>18</v>
      </c>
      <c r="D2352" s="2" t="s">
        <v>25</v>
      </c>
      <c r="E2352" s="2" t="s">
        <v>20</v>
      </c>
      <c r="F2352" s="2" t="n">
        <v>0</v>
      </c>
      <c r="G2352" s="2" t="s">
        <v>26</v>
      </c>
      <c r="H2352" s="2" t="s">
        <v>20</v>
      </c>
      <c r="I2352" s="2" t="s">
        <v>21</v>
      </c>
      <c r="J2352" s="2" t="n">
        <v>29</v>
      </c>
      <c r="K2352" s="2" t="s">
        <v>41</v>
      </c>
      <c r="L2352" s="2" t="n">
        <v>116</v>
      </c>
      <c r="M2352" s="2" t="n">
        <v>4</v>
      </c>
      <c r="N2352" s="2" t="n">
        <v>-1</v>
      </c>
      <c r="O2352" s="2" t="n">
        <v>0</v>
      </c>
      <c r="P2352" s="2" t="s">
        <v>23</v>
      </c>
      <c r="Q2352" s="2" t="s">
        <v>20</v>
      </c>
    </row>
    <row r="2353" customFormat="false" ht="15" hidden="false" customHeight="false" outlineLevel="0" collapsed="false">
      <c r="A2353" s="2" t="n">
        <v>52</v>
      </c>
      <c r="B2353" s="2" t="s">
        <v>23</v>
      </c>
      <c r="C2353" s="2" t="s">
        <v>18</v>
      </c>
      <c r="D2353" s="2" t="s">
        <v>23</v>
      </c>
      <c r="E2353" s="2" t="s">
        <v>20</v>
      </c>
      <c r="F2353" s="2" t="n">
        <v>1317</v>
      </c>
      <c r="G2353" s="2" t="s">
        <v>20</v>
      </c>
      <c r="H2353" s="2" t="s">
        <v>20</v>
      </c>
      <c r="I2353" s="2" t="s">
        <v>23</v>
      </c>
      <c r="J2353" s="2" t="n">
        <v>12</v>
      </c>
      <c r="K2353" s="2" t="s">
        <v>33</v>
      </c>
      <c r="L2353" s="2" t="n">
        <v>58</v>
      </c>
      <c r="M2353" s="2" t="n">
        <v>1</v>
      </c>
      <c r="N2353" s="2" t="n">
        <v>-1</v>
      </c>
      <c r="O2353" s="2" t="n">
        <v>0</v>
      </c>
      <c r="P2353" s="2" t="s">
        <v>23</v>
      </c>
      <c r="Q2353" s="2" t="s">
        <v>20</v>
      </c>
    </row>
    <row r="2354" customFormat="false" ht="15" hidden="false" customHeight="false" outlineLevel="0" collapsed="false">
      <c r="A2354" s="2" t="n">
        <v>39</v>
      </c>
      <c r="B2354" s="2" t="s">
        <v>40</v>
      </c>
      <c r="C2354" s="2" t="s">
        <v>18</v>
      </c>
      <c r="D2354" s="2" t="s">
        <v>25</v>
      </c>
      <c r="E2354" s="2" t="s">
        <v>20</v>
      </c>
      <c r="F2354" s="2" t="n">
        <v>179</v>
      </c>
      <c r="G2354" s="2" t="s">
        <v>20</v>
      </c>
      <c r="H2354" s="2" t="s">
        <v>20</v>
      </c>
      <c r="I2354" s="2" t="s">
        <v>23</v>
      </c>
      <c r="J2354" s="2" t="n">
        <v>6</v>
      </c>
      <c r="K2354" s="2" t="s">
        <v>51</v>
      </c>
      <c r="L2354" s="2" t="n">
        <v>36</v>
      </c>
      <c r="M2354" s="2" t="n">
        <v>1</v>
      </c>
      <c r="N2354" s="2" t="n">
        <v>-1</v>
      </c>
      <c r="O2354" s="2" t="n">
        <v>0</v>
      </c>
      <c r="P2354" s="2" t="s">
        <v>23</v>
      </c>
      <c r="Q2354" s="2" t="s">
        <v>20</v>
      </c>
    </row>
    <row r="2355" customFormat="false" ht="15" hidden="false" customHeight="false" outlineLevel="0" collapsed="false">
      <c r="A2355" s="2" t="n">
        <v>34</v>
      </c>
      <c r="B2355" s="2" t="s">
        <v>29</v>
      </c>
      <c r="C2355" s="2" t="s">
        <v>18</v>
      </c>
      <c r="D2355" s="2" t="s">
        <v>25</v>
      </c>
      <c r="E2355" s="2" t="s">
        <v>20</v>
      </c>
      <c r="F2355" s="2" t="n">
        <v>1007</v>
      </c>
      <c r="G2355" s="2" t="s">
        <v>26</v>
      </c>
      <c r="H2355" s="2" t="s">
        <v>20</v>
      </c>
      <c r="I2355" s="2" t="s">
        <v>21</v>
      </c>
      <c r="J2355" s="2" t="n">
        <v>21</v>
      </c>
      <c r="K2355" s="2" t="s">
        <v>44</v>
      </c>
      <c r="L2355" s="2" t="n">
        <v>240</v>
      </c>
      <c r="M2355" s="2" t="n">
        <v>2</v>
      </c>
      <c r="N2355" s="2" t="n">
        <v>-1</v>
      </c>
      <c r="O2355" s="2" t="n">
        <v>0</v>
      </c>
      <c r="P2355" s="2" t="s">
        <v>23</v>
      </c>
      <c r="Q2355" s="2" t="s">
        <v>20</v>
      </c>
    </row>
    <row r="2356" customFormat="false" ht="15" hidden="false" customHeight="false" outlineLevel="0" collapsed="false">
      <c r="A2356" s="2" t="n">
        <v>34</v>
      </c>
      <c r="B2356" s="2" t="s">
        <v>29</v>
      </c>
      <c r="C2356" s="2" t="s">
        <v>30</v>
      </c>
      <c r="D2356" s="2" t="s">
        <v>25</v>
      </c>
      <c r="E2356" s="2" t="s">
        <v>20</v>
      </c>
      <c r="F2356" s="2" t="n">
        <v>0</v>
      </c>
      <c r="G2356" s="2" t="s">
        <v>20</v>
      </c>
      <c r="H2356" s="2" t="s">
        <v>20</v>
      </c>
      <c r="I2356" s="2" t="s">
        <v>21</v>
      </c>
      <c r="J2356" s="2" t="n">
        <v>22</v>
      </c>
      <c r="K2356" s="2" t="s">
        <v>41</v>
      </c>
      <c r="L2356" s="2" t="n">
        <v>132</v>
      </c>
      <c r="M2356" s="2" t="n">
        <v>4</v>
      </c>
      <c r="N2356" s="2" t="n">
        <v>-1</v>
      </c>
      <c r="O2356" s="2" t="n">
        <v>0</v>
      </c>
      <c r="P2356" s="2" t="s">
        <v>23</v>
      </c>
      <c r="Q2356" s="2" t="s">
        <v>20</v>
      </c>
    </row>
    <row r="2357" customFormat="false" ht="15" hidden="false" customHeight="false" outlineLevel="0" collapsed="false">
      <c r="A2357" s="2" t="n">
        <v>30</v>
      </c>
      <c r="B2357" s="2" t="s">
        <v>24</v>
      </c>
      <c r="C2357" s="2" t="s">
        <v>18</v>
      </c>
      <c r="D2357" s="2" t="s">
        <v>25</v>
      </c>
      <c r="E2357" s="2" t="s">
        <v>20</v>
      </c>
      <c r="F2357" s="2" t="n">
        <v>1286</v>
      </c>
      <c r="G2357" s="2" t="s">
        <v>26</v>
      </c>
      <c r="H2357" s="2" t="s">
        <v>26</v>
      </c>
      <c r="I2357" s="2" t="s">
        <v>21</v>
      </c>
      <c r="J2357" s="2" t="n">
        <v>17</v>
      </c>
      <c r="K2357" s="2" t="s">
        <v>44</v>
      </c>
      <c r="L2357" s="2" t="n">
        <v>544</v>
      </c>
      <c r="M2357" s="2" t="n">
        <v>1</v>
      </c>
      <c r="N2357" s="2" t="n">
        <v>-1</v>
      </c>
      <c r="O2357" s="2" t="n">
        <v>0</v>
      </c>
      <c r="P2357" s="2" t="s">
        <v>23</v>
      </c>
      <c r="Q2357" s="2" t="s">
        <v>20</v>
      </c>
    </row>
    <row r="2358" customFormat="false" ht="15" hidden="false" customHeight="false" outlineLevel="0" collapsed="false">
      <c r="A2358" s="2" t="n">
        <v>33</v>
      </c>
      <c r="B2358" s="2" t="s">
        <v>24</v>
      </c>
      <c r="C2358" s="2" t="s">
        <v>18</v>
      </c>
      <c r="D2358" s="2" t="s">
        <v>25</v>
      </c>
      <c r="E2358" s="2" t="s">
        <v>20</v>
      </c>
      <c r="F2358" s="2" t="n">
        <v>804</v>
      </c>
      <c r="G2358" s="2" t="s">
        <v>26</v>
      </c>
      <c r="H2358" s="2" t="s">
        <v>26</v>
      </c>
      <c r="I2358" s="2" t="s">
        <v>23</v>
      </c>
      <c r="J2358" s="2" t="n">
        <v>8</v>
      </c>
      <c r="K2358" s="2" t="s">
        <v>27</v>
      </c>
      <c r="L2358" s="2" t="n">
        <v>266</v>
      </c>
      <c r="M2358" s="2" t="n">
        <v>1</v>
      </c>
      <c r="N2358" s="2" t="n">
        <v>-1</v>
      </c>
      <c r="O2358" s="2" t="n">
        <v>0</v>
      </c>
      <c r="P2358" s="2" t="s">
        <v>23</v>
      </c>
      <c r="Q2358" s="2" t="s">
        <v>20</v>
      </c>
    </row>
    <row r="2359" customFormat="false" ht="15" hidden="false" customHeight="false" outlineLevel="0" collapsed="false">
      <c r="A2359" s="2" t="n">
        <v>30</v>
      </c>
      <c r="B2359" s="2" t="s">
        <v>42</v>
      </c>
      <c r="C2359" s="2" t="s">
        <v>30</v>
      </c>
      <c r="D2359" s="2" t="s">
        <v>25</v>
      </c>
      <c r="E2359" s="2" t="s">
        <v>20</v>
      </c>
      <c r="F2359" s="2" t="n">
        <v>4</v>
      </c>
      <c r="G2359" s="2" t="s">
        <v>20</v>
      </c>
      <c r="H2359" s="2" t="s">
        <v>20</v>
      </c>
      <c r="I2359" s="2" t="s">
        <v>21</v>
      </c>
      <c r="J2359" s="2" t="n">
        <v>4</v>
      </c>
      <c r="K2359" s="2" t="s">
        <v>35</v>
      </c>
      <c r="L2359" s="2" t="n">
        <v>443</v>
      </c>
      <c r="M2359" s="2" t="n">
        <v>2</v>
      </c>
      <c r="N2359" s="2" t="n">
        <v>-1</v>
      </c>
      <c r="O2359" s="2" t="n">
        <v>0</v>
      </c>
      <c r="P2359" s="2" t="s">
        <v>23</v>
      </c>
      <c r="Q2359" s="2" t="s">
        <v>20</v>
      </c>
    </row>
    <row r="2360" customFormat="false" ht="15" hidden="false" customHeight="false" outlineLevel="0" collapsed="false">
      <c r="A2360" s="2" t="n">
        <v>51</v>
      </c>
      <c r="B2360" s="2" t="s">
        <v>34</v>
      </c>
      <c r="C2360" s="2" t="s">
        <v>18</v>
      </c>
      <c r="D2360" s="2" t="s">
        <v>19</v>
      </c>
      <c r="E2360" s="2" t="s">
        <v>20</v>
      </c>
      <c r="F2360" s="2" t="n">
        <v>0</v>
      </c>
      <c r="G2360" s="2" t="s">
        <v>26</v>
      </c>
      <c r="H2360" s="2" t="s">
        <v>20</v>
      </c>
      <c r="I2360" s="2" t="s">
        <v>21</v>
      </c>
      <c r="J2360" s="2" t="n">
        <v>10</v>
      </c>
      <c r="K2360" s="2" t="s">
        <v>44</v>
      </c>
      <c r="L2360" s="2" t="n">
        <v>324</v>
      </c>
      <c r="M2360" s="2" t="n">
        <v>1</v>
      </c>
      <c r="N2360" s="2" t="n">
        <v>-1</v>
      </c>
      <c r="O2360" s="2" t="n">
        <v>0</v>
      </c>
      <c r="P2360" s="2" t="s">
        <v>23</v>
      </c>
      <c r="Q2360" s="2" t="s">
        <v>20</v>
      </c>
    </row>
    <row r="2361" customFormat="false" ht="15" hidden="false" customHeight="false" outlineLevel="0" collapsed="false">
      <c r="A2361" s="2" t="n">
        <v>36</v>
      </c>
      <c r="B2361" s="2" t="s">
        <v>24</v>
      </c>
      <c r="C2361" s="2" t="s">
        <v>30</v>
      </c>
      <c r="D2361" s="2" t="s">
        <v>25</v>
      </c>
      <c r="E2361" s="2" t="s">
        <v>20</v>
      </c>
      <c r="F2361" s="2" t="n">
        <v>417</v>
      </c>
      <c r="G2361" s="2" t="s">
        <v>26</v>
      </c>
      <c r="H2361" s="2" t="s">
        <v>20</v>
      </c>
      <c r="I2361" s="2" t="s">
        <v>21</v>
      </c>
      <c r="J2361" s="2" t="n">
        <v>6</v>
      </c>
      <c r="K2361" s="2" t="s">
        <v>35</v>
      </c>
      <c r="L2361" s="2" t="n">
        <v>15</v>
      </c>
      <c r="M2361" s="2" t="n">
        <v>10</v>
      </c>
      <c r="N2361" s="2" t="n">
        <v>207</v>
      </c>
      <c r="O2361" s="2" t="n">
        <v>3</v>
      </c>
      <c r="P2361" s="2" t="s">
        <v>28</v>
      </c>
      <c r="Q2361" s="2" t="s">
        <v>20</v>
      </c>
    </row>
    <row r="2362" customFormat="false" ht="15" hidden="false" customHeight="false" outlineLevel="0" collapsed="false">
      <c r="A2362" s="2" t="n">
        <v>48</v>
      </c>
      <c r="B2362" s="2" t="s">
        <v>34</v>
      </c>
      <c r="C2362" s="2" t="s">
        <v>18</v>
      </c>
      <c r="D2362" s="2" t="s">
        <v>19</v>
      </c>
      <c r="E2362" s="2" t="s">
        <v>20</v>
      </c>
      <c r="F2362" s="2" t="n">
        <v>1678</v>
      </c>
      <c r="G2362" s="2" t="s">
        <v>20</v>
      </c>
      <c r="H2362" s="2" t="s">
        <v>20</v>
      </c>
      <c r="I2362" s="2" t="s">
        <v>21</v>
      </c>
      <c r="J2362" s="2" t="n">
        <v>28</v>
      </c>
      <c r="K2362" s="2" t="s">
        <v>43</v>
      </c>
      <c r="L2362" s="2" t="n">
        <v>263</v>
      </c>
      <c r="M2362" s="2" t="n">
        <v>2</v>
      </c>
      <c r="N2362" s="2" t="n">
        <v>-1</v>
      </c>
      <c r="O2362" s="2" t="n">
        <v>0</v>
      </c>
      <c r="P2362" s="2" t="s">
        <v>23</v>
      </c>
      <c r="Q2362" s="2" t="s">
        <v>20</v>
      </c>
    </row>
    <row r="2363" customFormat="false" ht="15" hidden="false" customHeight="false" outlineLevel="0" collapsed="false">
      <c r="A2363" s="2" t="n">
        <v>37</v>
      </c>
      <c r="B2363" s="2" t="s">
        <v>24</v>
      </c>
      <c r="C2363" s="2" t="s">
        <v>45</v>
      </c>
      <c r="D2363" s="2" t="s">
        <v>25</v>
      </c>
      <c r="E2363" s="2" t="s">
        <v>20</v>
      </c>
      <c r="F2363" s="2" t="n">
        <v>532</v>
      </c>
      <c r="G2363" s="2" t="s">
        <v>26</v>
      </c>
      <c r="H2363" s="2" t="s">
        <v>20</v>
      </c>
      <c r="I2363" s="2" t="s">
        <v>23</v>
      </c>
      <c r="J2363" s="2" t="n">
        <v>11</v>
      </c>
      <c r="K2363" s="2" t="s">
        <v>33</v>
      </c>
      <c r="L2363" s="2" t="n">
        <v>199</v>
      </c>
      <c r="M2363" s="2" t="n">
        <v>1</v>
      </c>
      <c r="N2363" s="2" t="n">
        <v>-1</v>
      </c>
      <c r="O2363" s="2" t="n">
        <v>0</v>
      </c>
      <c r="P2363" s="2" t="s">
        <v>23</v>
      </c>
      <c r="Q2363" s="2" t="s">
        <v>20</v>
      </c>
    </row>
    <row r="2364" customFormat="false" ht="15" hidden="false" customHeight="false" outlineLevel="0" collapsed="false">
      <c r="A2364" s="2" t="n">
        <v>58</v>
      </c>
      <c r="B2364" s="2" t="s">
        <v>29</v>
      </c>
      <c r="C2364" s="2" t="s">
        <v>18</v>
      </c>
      <c r="D2364" s="2" t="s">
        <v>25</v>
      </c>
      <c r="E2364" s="2" t="s">
        <v>20</v>
      </c>
      <c r="F2364" s="2" t="n">
        <v>407</v>
      </c>
      <c r="G2364" s="2" t="s">
        <v>26</v>
      </c>
      <c r="H2364" s="2" t="s">
        <v>20</v>
      </c>
      <c r="I2364" s="2" t="s">
        <v>21</v>
      </c>
      <c r="J2364" s="2" t="n">
        <v>29</v>
      </c>
      <c r="K2364" s="2" t="s">
        <v>44</v>
      </c>
      <c r="L2364" s="2" t="n">
        <v>145</v>
      </c>
      <c r="M2364" s="2" t="n">
        <v>2</v>
      </c>
      <c r="N2364" s="2" t="n">
        <v>-1</v>
      </c>
      <c r="O2364" s="2" t="n">
        <v>0</v>
      </c>
      <c r="P2364" s="2" t="s">
        <v>23</v>
      </c>
      <c r="Q2364" s="2" t="s">
        <v>20</v>
      </c>
    </row>
    <row r="2365" customFormat="false" ht="15" hidden="false" customHeight="false" outlineLevel="0" collapsed="false">
      <c r="A2365" s="2" t="n">
        <v>56</v>
      </c>
      <c r="B2365" s="2" t="s">
        <v>29</v>
      </c>
      <c r="C2365" s="2" t="s">
        <v>45</v>
      </c>
      <c r="D2365" s="2" t="s">
        <v>31</v>
      </c>
      <c r="E2365" s="2" t="s">
        <v>20</v>
      </c>
      <c r="F2365" s="2" t="n">
        <v>659</v>
      </c>
      <c r="G2365" s="2" t="s">
        <v>20</v>
      </c>
      <c r="H2365" s="2" t="s">
        <v>26</v>
      </c>
      <c r="I2365" s="2" t="s">
        <v>21</v>
      </c>
      <c r="J2365" s="2" t="n">
        <v>2</v>
      </c>
      <c r="K2365" s="2" t="s">
        <v>33</v>
      </c>
      <c r="L2365" s="2" t="n">
        <v>56</v>
      </c>
      <c r="M2365" s="2" t="n">
        <v>1</v>
      </c>
      <c r="N2365" s="2" t="n">
        <v>-1</v>
      </c>
      <c r="O2365" s="2" t="n">
        <v>0</v>
      </c>
      <c r="P2365" s="2" t="s">
        <v>23</v>
      </c>
      <c r="Q2365" s="2" t="s">
        <v>20</v>
      </c>
    </row>
    <row r="2366" customFormat="false" ht="15" hidden="false" customHeight="false" outlineLevel="0" collapsed="false">
      <c r="A2366" s="2" t="n">
        <v>34</v>
      </c>
      <c r="B2366" s="2" t="s">
        <v>34</v>
      </c>
      <c r="C2366" s="2" t="s">
        <v>18</v>
      </c>
      <c r="D2366" s="2" t="s">
        <v>25</v>
      </c>
      <c r="E2366" s="2" t="s">
        <v>20</v>
      </c>
      <c r="F2366" s="2" t="n">
        <v>393</v>
      </c>
      <c r="G2366" s="2" t="s">
        <v>26</v>
      </c>
      <c r="H2366" s="2" t="s">
        <v>20</v>
      </c>
      <c r="I2366" s="2" t="s">
        <v>21</v>
      </c>
      <c r="J2366" s="2" t="n">
        <v>5</v>
      </c>
      <c r="K2366" s="2" t="s">
        <v>27</v>
      </c>
      <c r="L2366" s="2" t="n">
        <v>11</v>
      </c>
      <c r="M2366" s="2" t="n">
        <v>9</v>
      </c>
      <c r="N2366" s="2" t="n">
        <v>-1</v>
      </c>
      <c r="O2366" s="2" t="n">
        <v>0</v>
      </c>
      <c r="P2366" s="2" t="s">
        <v>23</v>
      </c>
      <c r="Q2366" s="2" t="s">
        <v>20</v>
      </c>
    </row>
    <row r="2367" customFormat="false" ht="15" hidden="false" customHeight="false" outlineLevel="0" collapsed="false">
      <c r="A2367" s="2" t="n">
        <v>33</v>
      </c>
      <c r="B2367" s="2" t="s">
        <v>40</v>
      </c>
      <c r="C2367" s="2" t="s">
        <v>45</v>
      </c>
      <c r="D2367" s="2" t="s">
        <v>25</v>
      </c>
      <c r="E2367" s="2" t="s">
        <v>20</v>
      </c>
      <c r="F2367" s="2" t="n">
        <v>661</v>
      </c>
      <c r="G2367" s="2" t="s">
        <v>26</v>
      </c>
      <c r="H2367" s="2" t="s">
        <v>20</v>
      </c>
      <c r="I2367" s="2" t="s">
        <v>21</v>
      </c>
      <c r="J2367" s="2" t="n">
        <v>18</v>
      </c>
      <c r="K2367" s="2" t="s">
        <v>46</v>
      </c>
      <c r="L2367" s="2" t="n">
        <v>411</v>
      </c>
      <c r="M2367" s="2" t="n">
        <v>1</v>
      </c>
      <c r="N2367" s="2" t="n">
        <v>173</v>
      </c>
      <c r="O2367" s="2" t="n">
        <v>2</v>
      </c>
      <c r="P2367" s="2" t="s">
        <v>37</v>
      </c>
      <c r="Q2367" s="2" t="s">
        <v>20</v>
      </c>
    </row>
    <row r="2368" customFormat="false" ht="15" hidden="false" customHeight="false" outlineLevel="0" collapsed="false">
      <c r="A2368" s="2" t="n">
        <v>26</v>
      </c>
      <c r="B2368" s="2" t="s">
        <v>24</v>
      </c>
      <c r="C2368" s="2" t="s">
        <v>30</v>
      </c>
      <c r="D2368" s="2" t="s">
        <v>25</v>
      </c>
      <c r="E2368" s="2" t="s">
        <v>20</v>
      </c>
      <c r="F2368" s="2" t="n">
        <v>0</v>
      </c>
      <c r="G2368" s="2" t="s">
        <v>20</v>
      </c>
      <c r="H2368" s="2" t="s">
        <v>20</v>
      </c>
      <c r="I2368" s="2" t="s">
        <v>21</v>
      </c>
      <c r="J2368" s="2" t="n">
        <v>29</v>
      </c>
      <c r="K2368" s="2" t="s">
        <v>44</v>
      </c>
      <c r="L2368" s="2" t="n">
        <v>165</v>
      </c>
      <c r="M2368" s="2" t="n">
        <v>23</v>
      </c>
      <c r="N2368" s="2" t="n">
        <v>-1</v>
      </c>
      <c r="O2368" s="2" t="n">
        <v>0</v>
      </c>
      <c r="P2368" s="2" t="s">
        <v>23</v>
      </c>
      <c r="Q2368" s="2" t="s">
        <v>20</v>
      </c>
    </row>
    <row r="2369" customFormat="false" ht="15" hidden="false" customHeight="false" outlineLevel="0" collapsed="false">
      <c r="A2369" s="2" t="n">
        <v>40</v>
      </c>
      <c r="B2369" s="2" t="s">
        <v>29</v>
      </c>
      <c r="C2369" s="2" t="s">
        <v>30</v>
      </c>
      <c r="D2369" s="2" t="s">
        <v>23</v>
      </c>
      <c r="E2369" s="2" t="s">
        <v>20</v>
      </c>
      <c r="F2369" s="2" t="n">
        <v>838</v>
      </c>
      <c r="G2369" s="2" t="s">
        <v>26</v>
      </c>
      <c r="H2369" s="2" t="s">
        <v>20</v>
      </c>
      <c r="I2369" s="2" t="s">
        <v>23</v>
      </c>
      <c r="J2369" s="2" t="n">
        <v>12</v>
      </c>
      <c r="K2369" s="2" t="s">
        <v>27</v>
      </c>
      <c r="L2369" s="2" t="n">
        <v>619</v>
      </c>
      <c r="M2369" s="2" t="n">
        <v>3</v>
      </c>
      <c r="N2369" s="2" t="n">
        <v>-1</v>
      </c>
      <c r="O2369" s="2" t="n">
        <v>0</v>
      </c>
      <c r="P2369" s="2" t="s">
        <v>23</v>
      </c>
      <c r="Q2369" s="2" t="s">
        <v>20</v>
      </c>
    </row>
    <row r="2370" customFormat="false" ht="15" hidden="false" customHeight="false" outlineLevel="0" collapsed="false">
      <c r="A2370" s="2" t="n">
        <v>35</v>
      </c>
      <c r="B2370" s="2" t="s">
        <v>24</v>
      </c>
      <c r="C2370" s="2" t="s">
        <v>18</v>
      </c>
      <c r="D2370" s="2" t="s">
        <v>25</v>
      </c>
      <c r="E2370" s="2" t="s">
        <v>20</v>
      </c>
      <c r="F2370" s="2" t="n">
        <v>195</v>
      </c>
      <c r="G2370" s="2" t="s">
        <v>26</v>
      </c>
      <c r="H2370" s="2" t="s">
        <v>20</v>
      </c>
      <c r="I2370" s="2" t="s">
        <v>21</v>
      </c>
      <c r="J2370" s="2" t="n">
        <v>17</v>
      </c>
      <c r="K2370" s="2" t="s">
        <v>32</v>
      </c>
      <c r="L2370" s="2" t="n">
        <v>203</v>
      </c>
      <c r="M2370" s="2" t="n">
        <v>1</v>
      </c>
      <c r="N2370" s="2" t="n">
        <v>-1</v>
      </c>
      <c r="O2370" s="2" t="n">
        <v>0</v>
      </c>
      <c r="P2370" s="2" t="s">
        <v>23</v>
      </c>
      <c r="Q2370" s="2" t="s">
        <v>20</v>
      </c>
    </row>
    <row r="2371" customFormat="false" ht="15" hidden="false" customHeight="false" outlineLevel="0" collapsed="false">
      <c r="A2371" s="2" t="n">
        <v>45</v>
      </c>
      <c r="B2371" s="2" t="s">
        <v>39</v>
      </c>
      <c r="C2371" s="2" t="s">
        <v>18</v>
      </c>
      <c r="D2371" s="2" t="s">
        <v>25</v>
      </c>
      <c r="E2371" s="2" t="s">
        <v>20</v>
      </c>
      <c r="F2371" s="2" t="n">
        <v>68</v>
      </c>
      <c r="G2371" s="2" t="s">
        <v>26</v>
      </c>
      <c r="H2371" s="2" t="s">
        <v>20</v>
      </c>
      <c r="I2371" s="2" t="s">
        <v>23</v>
      </c>
      <c r="J2371" s="2" t="n">
        <v>7</v>
      </c>
      <c r="K2371" s="2" t="s">
        <v>27</v>
      </c>
      <c r="L2371" s="2" t="n">
        <v>254</v>
      </c>
      <c r="M2371" s="2" t="n">
        <v>1</v>
      </c>
      <c r="N2371" s="2" t="n">
        <v>-1</v>
      </c>
      <c r="O2371" s="2" t="n">
        <v>0</v>
      </c>
      <c r="P2371" s="2" t="s">
        <v>23</v>
      </c>
      <c r="Q2371" s="2" t="s">
        <v>20</v>
      </c>
    </row>
    <row r="2372" customFormat="false" ht="15" hidden="false" customHeight="false" outlineLevel="0" collapsed="false">
      <c r="A2372" s="2" t="n">
        <v>37</v>
      </c>
      <c r="B2372" s="2" t="s">
        <v>38</v>
      </c>
      <c r="C2372" s="2" t="s">
        <v>30</v>
      </c>
      <c r="D2372" s="2" t="s">
        <v>25</v>
      </c>
      <c r="E2372" s="2" t="s">
        <v>20</v>
      </c>
      <c r="F2372" s="2" t="n">
        <v>-242</v>
      </c>
      <c r="G2372" s="2" t="s">
        <v>26</v>
      </c>
      <c r="H2372" s="2" t="s">
        <v>20</v>
      </c>
      <c r="I2372" s="2" t="s">
        <v>21</v>
      </c>
      <c r="J2372" s="2" t="n">
        <v>13</v>
      </c>
      <c r="K2372" s="2" t="s">
        <v>41</v>
      </c>
      <c r="L2372" s="2" t="n">
        <v>1149</v>
      </c>
      <c r="M2372" s="2" t="n">
        <v>6</v>
      </c>
      <c r="N2372" s="2" t="n">
        <v>-1</v>
      </c>
      <c r="O2372" s="2" t="n">
        <v>0</v>
      </c>
      <c r="P2372" s="2" t="s">
        <v>23</v>
      </c>
      <c r="Q2372" s="2" t="s">
        <v>26</v>
      </c>
    </row>
    <row r="2373" customFormat="false" ht="15" hidden="false" customHeight="false" outlineLevel="0" collapsed="false">
      <c r="A2373" s="2" t="n">
        <v>35</v>
      </c>
      <c r="B2373" s="2" t="s">
        <v>29</v>
      </c>
      <c r="C2373" s="2" t="s">
        <v>45</v>
      </c>
      <c r="D2373" s="2" t="s">
        <v>31</v>
      </c>
      <c r="E2373" s="2" t="s">
        <v>20</v>
      </c>
      <c r="F2373" s="2" t="n">
        <v>321</v>
      </c>
      <c r="G2373" s="2" t="s">
        <v>26</v>
      </c>
      <c r="H2373" s="2" t="s">
        <v>20</v>
      </c>
      <c r="I2373" s="2" t="s">
        <v>23</v>
      </c>
      <c r="J2373" s="2" t="n">
        <v>9</v>
      </c>
      <c r="K2373" s="2" t="s">
        <v>27</v>
      </c>
      <c r="L2373" s="2" t="n">
        <v>189</v>
      </c>
      <c r="M2373" s="2" t="n">
        <v>1</v>
      </c>
      <c r="N2373" s="2" t="n">
        <v>-1</v>
      </c>
      <c r="O2373" s="2" t="n">
        <v>0</v>
      </c>
      <c r="P2373" s="2" t="s">
        <v>23</v>
      </c>
      <c r="Q2373" s="2" t="s">
        <v>20</v>
      </c>
    </row>
    <row r="2374" customFormat="false" ht="15" hidden="false" customHeight="false" outlineLevel="0" collapsed="false">
      <c r="A2374" s="2" t="n">
        <v>43</v>
      </c>
      <c r="B2374" s="2" t="s">
        <v>24</v>
      </c>
      <c r="C2374" s="2" t="s">
        <v>30</v>
      </c>
      <c r="D2374" s="2" t="s">
        <v>25</v>
      </c>
      <c r="E2374" s="2" t="s">
        <v>20</v>
      </c>
      <c r="F2374" s="2" t="n">
        <v>3403</v>
      </c>
      <c r="G2374" s="2" t="s">
        <v>26</v>
      </c>
      <c r="H2374" s="2" t="s">
        <v>20</v>
      </c>
      <c r="I2374" s="2" t="s">
        <v>21</v>
      </c>
      <c r="J2374" s="2" t="n">
        <v>12</v>
      </c>
      <c r="K2374" s="2" t="s">
        <v>46</v>
      </c>
      <c r="L2374" s="2" t="n">
        <v>707</v>
      </c>
      <c r="M2374" s="2" t="n">
        <v>2</v>
      </c>
      <c r="N2374" s="2" t="n">
        <v>97</v>
      </c>
      <c r="O2374" s="2" t="n">
        <v>2</v>
      </c>
      <c r="P2374" s="2" t="s">
        <v>50</v>
      </c>
      <c r="Q2374" s="2" t="s">
        <v>26</v>
      </c>
    </row>
    <row r="2375" customFormat="false" ht="15" hidden="false" customHeight="false" outlineLevel="0" collapsed="false">
      <c r="A2375" s="2" t="n">
        <v>28</v>
      </c>
      <c r="B2375" s="2" t="s">
        <v>34</v>
      </c>
      <c r="C2375" s="2" t="s">
        <v>18</v>
      </c>
      <c r="D2375" s="2" t="s">
        <v>25</v>
      </c>
      <c r="E2375" s="2" t="s">
        <v>20</v>
      </c>
      <c r="F2375" s="2" t="n">
        <v>8</v>
      </c>
      <c r="G2375" s="2" t="s">
        <v>26</v>
      </c>
      <c r="H2375" s="2" t="s">
        <v>20</v>
      </c>
      <c r="I2375" s="2" t="s">
        <v>21</v>
      </c>
      <c r="J2375" s="2" t="n">
        <v>15</v>
      </c>
      <c r="K2375" s="2" t="s">
        <v>27</v>
      </c>
      <c r="L2375" s="2" t="n">
        <v>196</v>
      </c>
      <c r="M2375" s="2" t="n">
        <v>1</v>
      </c>
      <c r="N2375" s="2" t="n">
        <v>-1</v>
      </c>
      <c r="O2375" s="2" t="n">
        <v>0</v>
      </c>
      <c r="P2375" s="2" t="s">
        <v>23</v>
      </c>
      <c r="Q2375" s="2" t="s">
        <v>20</v>
      </c>
    </row>
    <row r="2376" customFormat="false" ht="15" hidden="false" customHeight="false" outlineLevel="0" collapsed="false">
      <c r="A2376" s="2" t="n">
        <v>32</v>
      </c>
      <c r="B2376" s="2" t="s">
        <v>34</v>
      </c>
      <c r="C2376" s="2" t="s">
        <v>45</v>
      </c>
      <c r="D2376" s="2" t="s">
        <v>25</v>
      </c>
      <c r="E2376" s="2" t="s">
        <v>20</v>
      </c>
      <c r="F2376" s="2" t="n">
        <v>739</v>
      </c>
      <c r="G2376" s="2" t="s">
        <v>26</v>
      </c>
      <c r="H2376" s="2" t="s">
        <v>20</v>
      </c>
      <c r="I2376" s="2" t="s">
        <v>23</v>
      </c>
      <c r="J2376" s="2" t="n">
        <v>9</v>
      </c>
      <c r="K2376" s="2" t="s">
        <v>27</v>
      </c>
      <c r="L2376" s="2" t="n">
        <v>171</v>
      </c>
      <c r="M2376" s="2" t="n">
        <v>1</v>
      </c>
      <c r="N2376" s="2" t="n">
        <v>-1</v>
      </c>
      <c r="O2376" s="2" t="n">
        <v>0</v>
      </c>
      <c r="P2376" s="2" t="s">
        <v>23</v>
      </c>
      <c r="Q2376" s="2" t="s">
        <v>20</v>
      </c>
    </row>
    <row r="2377" customFormat="false" ht="15" hidden="false" customHeight="false" outlineLevel="0" collapsed="false">
      <c r="A2377" s="2" t="n">
        <v>26</v>
      </c>
      <c r="B2377" s="2" t="s">
        <v>17</v>
      </c>
      <c r="C2377" s="2" t="s">
        <v>30</v>
      </c>
      <c r="D2377" s="2" t="s">
        <v>25</v>
      </c>
      <c r="E2377" s="2" t="s">
        <v>20</v>
      </c>
      <c r="F2377" s="2" t="n">
        <v>622</v>
      </c>
      <c r="G2377" s="2" t="s">
        <v>20</v>
      </c>
      <c r="H2377" s="2" t="s">
        <v>20</v>
      </c>
      <c r="I2377" s="2" t="s">
        <v>21</v>
      </c>
      <c r="J2377" s="2" t="n">
        <v>28</v>
      </c>
      <c r="K2377" s="2" t="s">
        <v>43</v>
      </c>
      <c r="L2377" s="2" t="n">
        <v>1451</v>
      </c>
      <c r="M2377" s="2" t="n">
        <v>2</v>
      </c>
      <c r="N2377" s="2" t="n">
        <v>-1</v>
      </c>
      <c r="O2377" s="2" t="n">
        <v>0</v>
      </c>
      <c r="P2377" s="2" t="s">
        <v>23</v>
      </c>
      <c r="Q2377" s="2" t="s">
        <v>26</v>
      </c>
    </row>
    <row r="2378" customFormat="false" ht="15" hidden="false" customHeight="false" outlineLevel="0" collapsed="false">
      <c r="A2378" s="2" t="n">
        <v>35</v>
      </c>
      <c r="B2378" s="2" t="s">
        <v>24</v>
      </c>
      <c r="C2378" s="2" t="s">
        <v>18</v>
      </c>
      <c r="D2378" s="2" t="s">
        <v>25</v>
      </c>
      <c r="E2378" s="2" t="s">
        <v>20</v>
      </c>
      <c r="F2378" s="2" t="n">
        <v>152</v>
      </c>
      <c r="G2378" s="2" t="s">
        <v>26</v>
      </c>
      <c r="H2378" s="2" t="s">
        <v>20</v>
      </c>
      <c r="I2378" s="2" t="s">
        <v>23</v>
      </c>
      <c r="J2378" s="2" t="n">
        <v>2</v>
      </c>
      <c r="K2378" s="2" t="s">
        <v>33</v>
      </c>
      <c r="L2378" s="2" t="n">
        <v>563</v>
      </c>
      <c r="M2378" s="2" t="n">
        <v>1</v>
      </c>
      <c r="N2378" s="2" t="n">
        <v>-1</v>
      </c>
      <c r="O2378" s="2" t="n">
        <v>0</v>
      </c>
      <c r="P2378" s="2" t="s">
        <v>23</v>
      </c>
      <c r="Q2378" s="2" t="s">
        <v>26</v>
      </c>
    </row>
    <row r="2379" customFormat="false" ht="15" hidden="false" customHeight="false" outlineLevel="0" collapsed="false">
      <c r="A2379" s="2" t="n">
        <v>35</v>
      </c>
      <c r="B2379" s="2" t="s">
        <v>38</v>
      </c>
      <c r="C2379" s="2" t="s">
        <v>30</v>
      </c>
      <c r="D2379" s="2" t="s">
        <v>25</v>
      </c>
      <c r="E2379" s="2" t="s">
        <v>20</v>
      </c>
      <c r="F2379" s="2" t="n">
        <v>2</v>
      </c>
      <c r="G2379" s="2" t="s">
        <v>20</v>
      </c>
      <c r="H2379" s="2" t="s">
        <v>20</v>
      </c>
      <c r="I2379" s="2" t="s">
        <v>21</v>
      </c>
      <c r="J2379" s="2" t="n">
        <v>11</v>
      </c>
      <c r="K2379" s="2" t="s">
        <v>41</v>
      </c>
      <c r="L2379" s="2" t="n">
        <v>239</v>
      </c>
      <c r="M2379" s="2" t="n">
        <v>4</v>
      </c>
      <c r="N2379" s="2" t="n">
        <v>-1</v>
      </c>
      <c r="O2379" s="2" t="n">
        <v>0</v>
      </c>
      <c r="P2379" s="2" t="s">
        <v>23</v>
      </c>
      <c r="Q2379" s="2" t="s">
        <v>20</v>
      </c>
    </row>
    <row r="2380" customFormat="false" ht="15" hidden="false" customHeight="false" outlineLevel="0" collapsed="false">
      <c r="A2380" s="2" t="n">
        <v>39</v>
      </c>
      <c r="B2380" s="2" t="s">
        <v>34</v>
      </c>
      <c r="C2380" s="2" t="s">
        <v>18</v>
      </c>
      <c r="D2380" s="2" t="s">
        <v>25</v>
      </c>
      <c r="E2380" s="2" t="s">
        <v>20</v>
      </c>
      <c r="F2380" s="2" t="n">
        <v>1439</v>
      </c>
      <c r="G2380" s="2" t="s">
        <v>26</v>
      </c>
      <c r="H2380" s="2" t="s">
        <v>20</v>
      </c>
      <c r="I2380" s="2" t="s">
        <v>49</v>
      </c>
      <c r="J2380" s="2" t="n">
        <v>28</v>
      </c>
      <c r="K2380" s="2" t="s">
        <v>44</v>
      </c>
      <c r="L2380" s="2" t="n">
        <v>73</v>
      </c>
      <c r="M2380" s="2" t="n">
        <v>6</v>
      </c>
      <c r="N2380" s="2" t="n">
        <v>-1</v>
      </c>
      <c r="O2380" s="2" t="n">
        <v>0</v>
      </c>
      <c r="P2380" s="2" t="s">
        <v>23</v>
      </c>
      <c r="Q2380" s="2" t="s">
        <v>20</v>
      </c>
    </row>
    <row r="2381" customFormat="false" ht="15" hidden="false" customHeight="false" outlineLevel="0" collapsed="false">
      <c r="A2381" s="2" t="n">
        <v>42</v>
      </c>
      <c r="B2381" s="2" t="s">
        <v>34</v>
      </c>
      <c r="C2381" s="2" t="s">
        <v>45</v>
      </c>
      <c r="D2381" s="2" t="s">
        <v>25</v>
      </c>
      <c r="E2381" s="2" t="s">
        <v>20</v>
      </c>
      <c r="F2381" s="2" t="n">
        <v>1491</v>
      </c>
      <c r="G2381" s="2" t="s">
        <v>26</v>
      </c>
      <c r="H2381" s="2" t="s">
        <v>20</v>
      </c>
      <c r="I2381" s="2" t="s">
        <v>21</v>
      </c>
      <c r="J2381" s="2" t="n">
        <v>6</v>
      </c>
      <c r="K2381" s="2" t="s">
        <v>27</v>
      </c>
      <c r="L2381" s="2" t="n">
        <v>203</v>
      </c>
      <c r="M2381" s="2" t="n">
        <v>2</v>
      </c>
      <c r="N2381" s="2" t="n">
        <v>334</v>
      </c>
      <c r="O2381" s="2" t="n">
        <v>2</v>
      </c>
      <c r="P2381" s="2" t="s">
        <v>28</v>
      </c>
      <c r="Q2381" s="2" t="s">
        <v>20</v>
      </c>
    </row>
    <row r="2382" customFormat="false" ht="15" hidden="false" customHeight="false" outlineLevel="0" collapsed="false">
      <c r="A2382" s="2" t="n">
        <v>32</v>
      </c>
      <c r="B2382" s="2" t="s">
        <v>38</v>
      </c>
      <c r="C2382" s="2" t="s">
        <v>30</v>
      </c>
      <c r="D2382" s="2" t="s">
        <v>25</v>
      </c>
      <c r="E2382" s="2" t="s">
        <v>20</v>
      </c>
      <c r="F2382" s="2" t="n">
        <v>6402</v>
      </c>
      <c r="G2382" s="2" t="s">
        <v>26</v>
      </c>
      <c r="H2382" s="2" t="s">
        <v>20</v>
      </c>
      <c r="I2382" s="2" t="s">
        <v>21</v>
      </c>
      <c r="J2382" s="2" t="n">
        <v>6</v>
      </c>
      <c r="K2382" s="2" t="s">
        <v>27</v>
      </c>
      <c r="L2382" s="2" t="n">
        <v>158</v>
      </c>
      <c r="M2382" s="2" t="n">
        <v>1</v>
      </c>
      <c r="N2382" s="2" t="n">
        <v>167</v>
      </c>
      <c r="O2382" s="2" t="n">
        <v>1</v>
      </c>
      <c r="P2382" s="2" t="s">
        <v>50</v>
      </c>
      <c r="Q2382" s="2" t="s">
        <v>20</v>
      </c>
    </row>
    <row r="2383" customFormat="false" ht="15" hidden="false" customHeight="false" outlineLevel="0" collapsed="false">
      <c r="A2383" s="2" t="n">
        <v>30</v>
      </c>
      <c r="B2383" s="2" t="s">
        <v>17</v>
      </c>
      <c r="C2383" s="2" t="s">
        <v>18</v>
      </c>
      <c r="D2383" s="2" t="s">
        <v>25</v>
      </c>
      <c r="E2383" s="2" t="s">
        <v>20</v>
      </c>
      <c r="F2383" s="2" t="n">
        <v>1210</v>
      </c>
      <c r="G2383" s="2" t="s">
        <v>20</v>
      </c>
      <c r="H2383" s="2" t="s">
        <v>20</v>
      </c>
      <c r="I2383" s="2" t="s">
        <v>21</v>
      </c>
      <c r="J2383" s="2" t="n">
        <v>9</v>
      </c>
      <c r="K2383" s="2" t="s">
        <v>44</v>
      </c>
      <c r="L2383" s="2" t="n">
        <v>100</v>
      </c>
      <c r="M2383" s="2" t="n">
        <v>4</v>
      </c>
      <c r="N2383" s="2" t="n">
        <v>-1</v>
      </c>
      <c r="O2383" s="2" t="n">
        <v>0</v>
      </c>
      <c r="P2383" s="2" t="s">
        <v>23</v>
      </c>
      <c r="Q2383" s="2" t="s">
        <v>20</v>
      </c>
    </row>
    <row r="2384" customFormat="false" ht="15" hidden="false" customHeight="false" outlineLevel="0" collapsed="false">
      <c r="A2384" s="2" t="n">
        <v>26</v>
      </c>
      <c r="B2384" s="2" t="s">
        <v>29</v>
      </c>
      <c r="C2384" s="2" t="s">
        <v>30</v>
      </c>
      <c r="D2384" s="2" t="s">
        <v>31</v>
      </c>
      <c r="E2384" s="2" t="s">
        <v>20</v>
      </c>
      <c r="F2384" s="2" t="n">
        <v>122</v>
      </c>
      <c r="G2384" s="2" t="s">
        <v>20</v>
      </c>
      <c r="H2384" s="2" t="s">
        <v>26</v>
      </c>
      <c r="I2384" s="2" t="s">
        <v>21</v>
      </c>
      <c r="J2384" s="2" t="n">
        <v>8</v>
      </c>
      <c r="K2384" s="2" t="s">
        <v>44</v>
      </c>
      <c r="L2384" s="2" t="n">
        <v>160</v>
      </c>
      <c r="M2384" s="2" t="n">
        <v>1</v>
      </c>
      <c r="N2384" s="2" t="n">
        <v>-1</v>
      </c>
      <c r="O2384" s="2" t="n">
        <v>0</v>
      </c>
      <c r="P2384" s="2" t="s">
        <v>23</v>
      </c>
      <c r="Q2384" s="2" t="s">
        <v>20</v>
      </c>
    </row>
    <row r="2385" customFormat="false" ht="15" hidden="false" customHeight="false" outlineLevel="0" collapsed="false">
      <c r="A2385" s="2" t="n">
        <v>30</v>
      </c>
      <c r="B2385" s="2" t="s">
        <v>42</v>
      </c>
      <c r="C2385" s="2" t="s">
        <v>30</v>
      </c>
      <c r="D2385" s="2" t="s">
        <v>25</v>
      </c>
      <c r="E2385" s="2" t="s">
        <v>20</v>
      </c>
      <c r="F2385" s="2" t="n">
        <v>0</v>
      </c>
      <c r="G2385" s="2" t="s">
        <v>26</v>
      </c>
      <c r="H2385" s="2" t="s">
        <v>20</v>
      </c>
      <c r="I2385" s="2" t="s">
        <v>21</v>
      </c>
      <c r="J2385" s="2" t="n">
        <v>19</v>
      </c>
      <c r="K2385" s="2" t="s">
        <v>46</v>
      </c>
      <c r="L2385" s="2" t="n">
        <v>661</v>
      </c>
      <c r="M2385" s="2" t="n">
        <v>1</v>
      </c>
      <c r="N2385" s="2" t="n">
        <v>-1</v>
      </c>
      <c r="O2385" s="2" t="n">
        <v>0</v>
      </c>
      <c r="P2385" s="2" t="s">
        <v>23</v>
      </c>
      <c r="Q2385" s="2" t="s">
        <v>20</v>
      </c>
    </row>
    <row r="2386" customFormat="false" ht="15" hidden="false" customHeight="false" outlineLevel="0" collapsed="false">
      <c r="A2386" s="2" t="n">
        <v>32</v>
      </c>
      <c r="B2386" s="2" t="s">
        <v>29</v>
      </c>
      <c r="C2386" s="2" t="s">
        <v>18</v>
      </c>
      <c r="D2386" s="2" t="s">
        <v>31</v>
      </c>
      <c r="E2386" s="2" t="s">
        <v>20</v>
      </c>
      <c r="F2386" s="2" t="n">
        <v>62</v>
      </c>
      <c r="G2386" s="2" t="s">
        <v>26</v>
      </c>
      <c r="H2386" s="2" t="s">
        <v>20</v>
      </c>
      <c r="I2386" s="2" t="s">
        <v>21</v>
      </c>
      <c r="J2386" s="2" t="n">
        <v>14</v>
      </c>
      <c r="K2386" s="2" t="s">
        <v>27</v>
      </c>
      <c r="L2386" s="2" t="n">
        <v>166</v>
      </c>
      <c r="M2386" s="2" t="n">
        <v>1</v>
      </c>
      <c r="N2386" s="2" t="n">
        <v>-1</v>
      </c>
      <c r="O2386" s="2" t="n">
        <v>0</v>
      </c>
      <c r="P2386" s="2" t="s">
        <v>23</v>
      </c>
      <c r="Q2386" s="2" t="s">
        <v>20</v>
      </c>
    </row>
    <row r="2387" customFormat="false" ht="15" hidden="false" customHeight="false" outlineLevel="0" collapsed="false">
      <c r="A2387" s="2" t="n">
        <v>47</v>
      </c>
      <c r="B2387" s="2" t="s">
        <v>24</v>
      </c>
      <c r="C2387" s="2" t="s">
        <v>18</v>
      </c>
      <c r="D2387" s="2" t="s">
        <v>25</v>
      </c>
      <c r="E2387" s="2" t="s">
        <v>20</v>
      </c>
      <c r="F2387" s="2" t="n">
        <v>3333</v>
      </c>
      <c r="G2387" s="2" t="s">
        <v>26</v>
      </c>
      <c r="H2387" s="2" t="s">
        <v>26</v>
      </c>
      <c r="I2387" s="2" t="s">
        <v>21</v>
      </c>
      <c r="J2387" s="2" t="n">
        <v>29</v>
      </c>
      <c r="K2387" s="2" t="s">
        <v>44</v>
      </c>
      <c r="L2387" s="2" t="n">
        <v>114</v>
      </c>
      <c r="M2387" s="2" t="n">
        <v>2</v>
      </c>
      <c r="N2387" s="2" t="n">
        <v>-1</v>
      </c>
      <c r="O2387" s="2" t="n">
        <v>0</v>
      </c>
      <c r="P2387" s="2" t="s">
        <v>23</v>
      </c>
      <c r="Q2387" s="2" t="s">
        <v>20</v>
      </c>
    </row>
    <row r="2388" customFormat="false" ht="15" hidden="false" customHeight="false" outlineLevel="0" collapsed="false">
      <c r="A2388" s="2" t="n">
        <v>33</v>
      </c>
      <c r="B2388" s="2" t="s">
        <v>38</v>
      </c>
      <c r="C2388" s="2" t="s">
        <v>18</v>
      </c>
      <c r="D2388" s="2" t="s">
        <v>31</v>
      </c>
      <c r="E2388" s="2" t="s">
        <v>20</v>
      </c>
      <c r="F2388" s="2" t="n">
        <v>16992</v>
      </c>
      <c r="G2388" s="2" t="s">
        <v>26</v>
      </c>
      <c r="H2388" s="2" t="s">
        <v>20</v>
      </c>
      <c r="I2388" s="2" t="s">
        <v>23</v>
      </c>
      <c r="J2388" s="2" t="n">
        <v>29</v>
      </c>
      <c r="K2388" s="2" t="s">
        <v>27</v>
      </c>
      <c r="L2388" s="2" t="n">
        <v>58</v>
      </c>
      <c r="M2388" s="2" t="n">
        <v>1</v>
      </c>
      <c r="N2388" s="2" t="n">
        <v>-1</v>
      </c>
      <c r="O2388" s="2" t="n">
        <v>0</v>
      </c>
      <c r="P2388" s="2" t="s">
        <v>23</v>
      </c>
      <c r="Q2388" s="2" t="s">
        <v>20</v>
      </c>
    </row>
    <row r="2389" customFormat="false" ht="15" hidden="false" customHeight="false" outlineLevel="0" collapsed="false">
      <c r="A2389" s="2" t="n">
        <v>57</v>
      </c>
      <c r="B2389" s="2" t="s">
        <v>34</v>
      </c>
      <c r="C2389" s="2" t="s">
        <v>18</v>
      </c>
      <c r="D2389" s="2" t="s">
        <v>19</v>
      </c>
      <c r="E2389" s="2" t="s">
        <v>20</v>
      </c>
      <c r="F2389" s="2" t="n">
        <v>23</v>
      </c>
      <c r="G2389" s="2" t="s">
        <v>26</v>
      </c>
      <c r="H2389" s="2" t="s">
        <v>20</v>
      </c>
      <c r="I2389" s="2" t="s">
        <v>49</v>
      </c>
      <c r="J2389" s="2" t="n">
        <v>31</v>
      </c>
      <c r="K2389" s="2" t="s">
        <v>44</v>
      </c>
      <c r="L2389" s="2" t="n">
        <v>25</v>
      </c>
      <c r="M2389" s="2" t="n">
        <v>8</v>
      </c>
      <c r="N2389" s="2" t="n">
        <v>-1</v>
      </c>
      <c r="O2389" s="2" t="n">
        <v>0</v>
      </c>
      <c r="P2389" s="2" t="s">
        <v>23</v>
      </c>
      <c r="Q2389" s="2" t="s">
        <v>20</v>
      </c>
    </row>
    <row r="2390" customFormat="false" ht="15" hidden="false" customHeight="false" outlineLevel="0" collapsed="false">
      <c r="A2390" s="2" t="n">
        <v>35</v>
      </c>
      <c r="B2390" s="2" t="s">
        <v>40</v>
      </c>
      <c r="C2390" s="2" t="s">
        <v>18</v>
      </c>
      <c r="D2390" s="2" t="s">
        <v>25</v>
      </c>
      <c r="E2390" s="2" t="s">
        <v>20</v>
      </c>
      <c r="F2390" s="2" t="n">
        <v>0</v>
      </c>
      <c r="G2390" s="2" t="s">
        <v>26</v>
      </c>
      <c r="H2390" s="2" t="s">
        <v>20</v>
      </c>
      <c r="I2390" s="2" t="s">
        <v>21</v>
      </c>
      <c r="J2390" s="2" t="n">
        <v>7</v>
      </c>
      <c r="K2390" s="2" t="s">
        <v>27</v>
      </c>
      <c r="L2390" s="2" t="n">
        <v>121</v>
      </c>
      <c r="M2390" s="2" t="n">
        <v>2</v>
      </c>
      <c r="N2390" s="2" t="n">
        <v>-1</v>
      </c>
      <c r="O2390" s="2" t="n">
        <v>0</v>
      </c>
      <c r="P2390" s="2" t="s">
        <v>23</v>
      </c>
      <c r="Q2390" s="2" t="s">
        <v>20</v>
      </c>
    </row>
    <row r="2391" customFormat="false" ht="15" hidden="false" customHeight="false" outlineLevel="0" collapsed="false">
      <c r="A2391" s="2" t="n">
        <v>53</v>
      </c>
      <c r="B2391" s="2" t="s">
        <v>38</v>
      </c>
      <c r="C2391" s="2" t="s">
        <v>18</v>
      </c>
      <c r="D2391" s="2" t="s">
        <v>31</v>
      </c>
      <c r="E2391" s="2" t="s">
        <v>20</v>
      </c>
      <c r="F2391" s="2" t="n">
        <v>6072</v>
      </c>
      <c r="G2391" s="2" t="s">
        <v>20</v>
      </c>
      <c r="H2391" s="2" t="s">
        <v>26</v>
      </c>
      <c r="I2391" s="2" t="s">
        <v>23</v>
      </c>
      <c r="J2391" s="2" t="n">
        <v>16</v>
      </c>
      <c r="K2391" s="2" t="s">
        <v>33</v>
      </c>
      <c r="L2391" s="2" t="n">
        <v>226</v>
      </c>
      <c r="M2391" s="2" t="n">
        <v>4</v>
      </c>
      <c r="N2391" s="2" t="n">
        <v>-1</v>
      </c>
      <c r="O2391" s="2" t="n">
        <v>0</v>
      </c>
      <c r="P2391" s="2" t="s">
        <v>23</v>
      </c>
      <c r="Q2391" s="2" t="s">
        <v>20</v>
      </c>
    </row>
    <row r="2392" customFormat="false" ht="15" hidden="false" customHeight="false" outlineLevel="0" collapsed="false">
      <c r="A2392" s="2" t="n">
        <v>24</v>
      </c>
      <c r="B2392" s="2" t="s">
        <v>48</v>
      </c>
      <c r="C2392" s="2" t="s">
        <v>30</v>
      </c>
      <c r="D2392" s="2" t="s">
        <v>25</v>
      </c>
      <c r="E2392" s="2" t="s">
        <v>20</v>
      </c>
      <c r="F2392" s="2" t="n">
        <v>366</v>
      </c>
      <c r="G2392" s="2" t="s">
        <v>20</v>
      </c>
      <c r="H2392" s="2" t="s">
        <v>26</v>
      </c>
      <c r="I2392" s="2" t="s">
        <v>23</v>
      </c>
      <c r="J2392" s="2" t="n">
        <v>16</v>
      </c>
      <c r="K2392" s="2" t="s">
        <v>27</v>
      </c>
      <c r="L2392" s="2" t="n">
        <v>234</v>
      </c>
      <c r="M2392" s="2" t="n">
        <v>2</v>
      </c>
      <c r="N2392" s="2" t="n">
        <v>-1</v>
      </c>
      <c r="O2392" s="2" t="n">
        <v>0</v>
      </c>
      <c r="P2392" s="2" t="s">
        <v>23</v>
      </c>
      <c r="Q2392" s="2" t="s">
        <v>20</v>
      </c>
    </row>
    <row r="2393" customFormat="false" ht="15" hidden="false" customHeight="false" outlineLevel="0" collapsed="false">
      <c r="A2393" s="2" t="n">
        <v>54</v>
      </c>
      <c r="B2393" s="2" t="s">
        <v>29</v>
      </c>
      <c r="C2393" s="2" t="s">
        <v>45</v>
      </c>
      <c r="D2393" s="2" t="s">
        <v>31</v>
      </c>
      <c r="E2393" s="2" t="s">
        <v>20</v>
      </c>
      <c r="F2393" s="2" t="n">
        <v>0</v>
      </c>
      <c r="G2393" s="2" t="s">
        <v>20</v>
      </c>
      <c r="H2393" s="2" t="s">
        <v>26</v>
      </c>
      <c r="I2393" s="2" t="s">
        <v>21</v>
      </c>
      <c r="J2393" s="2" t="n">
        <v>10</v>
      </c>
      <c r="K2393" s="2" t="s">
        <v>44</v>
      </c>
      <c r="L2393" s="2" t="n">
        <v>88</v>
      </c>
      <c r="M2393" s="2" t="n">
        <v>1</v>
      </c>
      <c r="N2393" s="2" t="n">
        <v>-1</v>
      </c>
      <c r="O2393" s="2" t="n">
        <v>0</v>
      </c>
      <c r="P2393" s="2" t="s">
        <v>23</v>
      </c>
      <c r="Q2393" s="2" t="s">
        <v>20</v>
      </c>
    </row>
    <row r="2394" customFormat="false" ht="15" hidden="false" customHeight="false" outlineLevel="0" collapsed="false">
      <c r="A2394" s="2" t="n">
        <v>31</v>
      </c>
      <c r="B2394" s="2" t="s">
        <v>29</v>
      </c>
      <c r="C2394" s="2" t="s">
        <v>18</v>
      </c>
      <c r="D2394" s="2" t="s">
        <v>31</v>
      </c>
      <c r="E2394" s="2" t="s">
        <v>20</v>
      </c>
      <c r="F2394" s="2" t="n">
        <v>1343</v>
      </c>
      <c r="G2394" s="2" t="s">
        <v>26</v>
      </c>
      <c r="H2394" s="2" t="s">
        <v>26</v>
      </c>
      <c r="I2394" s="2" t="s">
        <v>23</v>
      </c>
      <c r="J2394" s="2" t="n">
        <v>21</v>
      </c>
      <c r="K2394" s="2" t="s">
        <v>27</v>
      </c>
      <c r="L2394" s="2" t="n">
        <v>85</v>
      </c>
      <c r="M2394" s="2" t="n">
        <v>1</v>
      </c>
      <c r="N2394" s="2" t="n">
        <v>-1</v>
      </c>
      <c r="O2394" s="2" t="n">
        <v>0</v>
      </c>
      <c r="P2394" s="2" t="s">
        <v>23</v>
      </c>
      <c r="Q2394" s="2" t="s">
        <v>20</v>
      </c>
    </row>
    <row r="2395" customFormat="false" ht="15" hidden="false" customHeight="false" outlineLevel="0" collapsed="false">
      <c r="A2395" s="2" t="n">
        <v>41</v>
      </c>
      <c r="B2395" s="2" t="s">
        <v>39</v>
      </c>
      <c r="C2395" s="2" t="s">
        <v>18</v>
      </c>
      <c r="D2395" s="2" t="s">
        <v>25</v>
      </c>
      <c r="E2395" s="2" t="s">
        <v>20</v>
      </c>
      <c r="F2395" s="2" t="n">
        <v>2105</v>
      </c>
      <c r="G2395" s="2" t="s">
        <v>26</v>
      </c>
      <c r="H2395" s="2" t="s">
        <v>20</v>
      </c>
      <c r="I2395" s="2" t="s">
        <v>21</v>
      </c>
      <c r="J2395" s="2" t="n">
        <v>18</v>
      </c>
      <c r="K2395" s="2" t="s">
        <v>46</v>
      </c>
      <c r="L2395" s="2" t="n">
        <v>134</v>
      </c>
      <c r="M2395" s="2" t="n">
        <v>1</v>
      </c>
      <c r="N2395" s="2" t="n">
        <v>-1</v>
      </c>
      <c r="O2395" s="2" t="n">
        <v>0</v>
      </c>
      <c r="P2395" s="2" t="s">
        <v>23</v>
      </c>
      <c r="Q2395" s="2" t="s">
        <v>20</v>
      </c>
    </row>
    <row r="2396" customFormat="false" ht="15" hidden="false" customHeight="false" outlineLevel="0" collapsed="false">
      <c r="A2396" s="2" t="n">
        <v>44</v>
      </c>
      <c r="B2396" s="2" t="s">
        <v>23</v>
      </c>
      <c r="C2396" s="2" t="s">
        <v>18</v>
      </c>
      <c r="D2396" s="2" t="s">
        <v>25</v>
      </c>
      <c r="E2396" s="2" t="s">
        <v>20</v>
      </c>
      <c r="F2396" s="2" t="n">
        <v>2319</v>
      </c>
      <c r="G2396" s="2" t="s">
        <v>20</v>
      </c>
      <c r="H2396" s="2" t="s">
        <v>20</v>
      </c>
      <c r="I2396" s="2" t="s">
        <v>21</v>
      </c>
      <c r="J2396" s="2" t="n">
        <v>4</v>
      </c>
      <c r="K2396" s="2" t="s">
        <v>41</v>
      </c>
      <c r="L2396" s="2" t="n">
        <v>251</v>
      </c>
      <c r="M2396" s="2" t="n">
        <v>3</v>
      </c>
      <c r="N2396" s="2" t="n">
        <v>-1</v>
      </c>
      <c r="O2396" s="2" t="n">
        <v>0</v>
      </c>
      <c r="P2396" s="2" t="s">
        <v>23</v>
      </c>
      <c r="Q2396" s="2" t="s">
        <v>20</v>
      </c>
    </row>
    <row r="2397" customFormat="false" ht="15" hidden="false" customHeight="false" outlineLevel="0" collapsed="false">
      <c r="A2397" s="2" t="n">
        <v>35</v>
      </c>
      <c r="B2397" s="2" t="s">
        <v>24</v>
      </c>
      <c r="C2397" s="2" t="s">
        <v>30</v>
      </c>
      <c r="D2397" s="2" t="s">
        <v>25</v>
      </c>
      <c r="E2397" s="2" t="s">
        <v>20</v>
      </c>
      <c r="F2397" s="2" t="n">
        <v>35</v>
      </c>
      <c r="G2397" s="2" t="s">
        <v>26</v>
      </c>
      <c r="H2397" s="2" t="s">
        <v>20</v>
      </c>
      <c r="I2397" s="2" t="s">
        <v>21</v>
      </c>
      <c r="J2397" s="2" t="n">
        <v>14</v>
      </c>
      <c r="K2397" s="2" t="s">
        <v>27</v>
      </c>
      <c r="L2397" s="2" t="n">
        <v>152</v>
      </c>
      <c r="M2397" s="2" t="n">
        <v>1</v>
      </c>
      <c r="N2397" s="2" t="n">
        <v>-1</v>
      </c>
      <c r="O2397" s="2" t="n">
        <v>0</v>
      </c>
      <c r="P2397" s="2" t="s">
        <v>23</v>
      </c>
      <c r="Q2397" s="2" t="s">
        <v>20</v>
      </c>
    </row>
    <row r="2398" customFormat="false" ht="15" hidden="false" customHeight="false" outlineLevel="0" collapsed="false">
      <c r="A2398" s="2" t="n">
        <v>30</v>
      </c>
      <c r="B2398" s="2" t="s">
        <v>29</v>
      </c>
      <c r="C2398" s="2" t="s">
        <v>18</v>
      </c>
      <c r="D2398" s="2" t="s">
        <v>31</v>
      </c>
      <c r="E2398" s="2" t="s">
        <v>20</v>
      </c>
      <c r="F2398" s="2" t="n">
        <v>877</v>
      </c>
      <c r="G2398" s="2" t="s">
        <v>20</v>
      </c>
      <c r="H2398" s="2" t="s">
        <v>20</v>
      </c>
      <c r="I2398" s="2" t="s">
        <v>21</v>
      </c>
      <c r="J2398" s="2" t="n">
        <v>13</v>
      </c>
      <c r="K2398" s="2" t="s">
        <v>41</v>
      </c>
      <c r="L2398" s="2" t="n">
        <v>202</v>
      </c>
      <c r="M2398" s="2" t="n">
        <v>1</v>
      </c>
      <c r="N2398" s="2" t="n">
        <v>83</v>
      </c>
      <c r="O2398" s="2" t="n">
        <v>5</v>
      </c>
      <c r="P2398" s="2" t="s">
        <v>28</v>
      </c>
      <c r="Q2398" s="2" t="s">
        <v>20</v>
      </c>
    </row>
    <row r="2399" customFormat="false" ht="15" hidden="false" customHeight="false" outlineLevel="0" collapsed="false">
      <c r="A2399" s="2" t="n">
        <v>43</v>
      </c>
      <c r="B2399" s="2" t="s">
        <v>34</v>
      </c>
      <c r="C2399" s="2" t="s">
        <v>30</v>
      </c>
      <c r="D2399" s="2" t="s">
        <v>19</v>
      </c>
      <c r="E2399" s="2" t="s">
        <v>20</v>
      </c>
      <c r="F2399" s="2" t="n">
        <v>30</v>
      </c>
      <c r="G2399" s="2" t="s">
        <v>26</v>
      </c>
      <c r="H2399" s="2" t="s">
        <v>20</v>
      </c>
      <c r="I2399" s="2" t="s">
        <v>23</v>
      </c>
      <c r="J2399" s="2" t="n">
        <v>30</v>
      </c>
      <c r="K2399" s="2" t="s">
        <v>27</v>
      </c>
      <c r="L2399" s="2" t="n">
        <v>379</v>
      </c>
      <c r="M2399" s="2" t="n">
        <v>17</v>
      </c>
      <c r="N2399" s="2" t="n">
        <v>-1</v>
      </c>
      <c r="O2399" s="2" t="n">
        <v>0</v>
      </c>
      <c r="P2399" s="2" t="s">
        <v>23</v>
      </c>
      <c r="Q2399" s="2" t="s">
        <v>20</v>
      </c>
    </row>
    <row r="2400" customFormat="false" ht="15" hidden="false" customHeight="false" outlineLevel="0" collapsed="false">
      <c r="A2400" s="2" t="n">
        <v>51</v>
      </c>
      <c r="B2400" s="2" t="s">
        <v>39</v>
      </c>
      <c r="C2400" s="2" t="s">
        <v>18</v>
      </c>
      <c r="D2400" s="2" t="s">
        <v>25</v>
      </c>
      <c r="E2400" s="2" t="s">
        <v>26</v>
      </c>
      <c r="F2400" s="2" t="n">
        <v>-2082</v>
      </c>
      <c r="G2400" s="2" t="s">
        <v>20</v>
      </c>
      <c r="H2400" s="2" t="s">
        <v>26</v>
      </c>
      <c r="I2400" s="2" t="s">
        <v>21</v>
      </c>
      <c r="J2400" s="2" t="n">
        <v>28</v>
      </c>
      <c r="K2400" s="2" t="s">
        <v>44</v>
      </c>
      <c r="L2400" s="2" t="n">
        <v>123</v>
      </c>
      <c r="M2400" s="2" t="n">
        <v>6</v>
      </c>
      <c r="N2400" s="2" t="n">
        <v>-1</v>
      </c>
      <c r="O2400" s="2" t="n">
        <v>0</v>
      </c>
      <c r="P2400" s="2" t="s">
        <v>23</v>
      </c>
      <c r="Q2400" s="2" t="s">
        <v>20</v>
      </c>
    </row>
    <row r="2401" customFormat="false" ht="15" hidden="false" customHeight="false" outlineLevel="0" collapsed="false">
      <c r="A2401" s="2" t="n">
        <v>60</v>
      </c>
      <c r="B2401" s="2" t="s">
        <v>48</v>
      </c>
      <c r="C2401" s="2" t="s">
        <v>18</v>
      </c>
      <c r="D2401" s="2" t="s">
        <v>25</v>
      </c>
      <c r="E2401" s="2" t="s">
        <v>20</v>
      </c>
      <c r="F2401" s="2" t="n">
        <v>89</v>
      </c>
      <c r="G2401" s="2" t="s">
        <v>20</v>
      </c>
      <c r="H2401" s="2" t="s">
        <v>20</v>
      </c>
      <c r="I2401" s="2" t="s">
        <v>21</v>
      </c>
      <c r="J2401" s="2" t="n">
        <v>30</v>
      </c>
      <c r="K2401" s="2" t="s">
        <v>32</v>
      </c>
      <c r="L2401" s="2" t="n">
        <v>156</v>
      </c>
      <c r="M2401" s="2" t="n">
        <v>2</v>
      </c>
      <c r="N2401" s="2" t="n">
        <v>-1</v>
      </c>
      <c r="O2401" s="2" t="n">
        <v>0</v>
      </c>
      <c r="P2401" s="2" t="s">
        <v>23</v>
      </c>
      <c r="Q2401" s="2" t="s">
        <v>20</v>
      </c>
    </row>
    <row r="2402" customFormat="false" ht="15" hidden="false" customHeight="false" outlineLevel="0" collapsed="false">
      <c r="A2402" s="2" t="n">
        <v>43</v>
      </c>
      <c r="B2402" s="2" t="s">
        <v>36</v>
      </c>
      <c r="C2402" s="2" t="s">
        <v>18</v>
      </c>
      <c r="D2402" s="2" t="s">
        <v>25</v>
      </c>
      <c r="E2402" s="2" t="s">
        <v>20</v>
      </c>
      <c r="F2402" s="2" t="n">
        <v>104</v>
      </c>
      <c r="G2402" s="2" t="s">
        <v>20</v>
      </c>
      <c r="H2402" s="2" t="s">
        <v>20</v>
      </c>
      <c r="I2402" s="2" t="s">
        <v>23</v>
      </c>
      <c r="J2402" s="2" t="n">
        <v>17</v>
      </c>
      <c r="K2402" s="2" t="s">
        <v>33</v>
      </c>
      <c r="L2402" s="2" t="n">
        <v>332</v>
      </c>
      <c r="M2402" s="2" t="n">
        <v>1</v>
      </c>
      <c r="N2402" s="2" t="n">
        <v>-1</v>
      </c>
      <c r="O2402" s="2" t="n">
        <v>0</v>
      </c>
      <c r="P2402" s="2" t="s">
        <v>23</v>
      </c>
      <c r="Q2402" s="2" t="s">
        <v>20</v>
      </c>
    </row>
    <row r="2403" customFormat="false" ht="15" hidden="false" customHeight="false" outlineLevel="0" collapsed="false">
      <c r="A2403" s="2" t="n">
        <v>31</v>
      </c>
      <c r="B2403" s="2" t="s">
        <v>29</v>
      </c>
      <c r="C2403" s="2" t="s">
        <v>18</v>
      </c>
      <c r="D2403" s="2" t="s">
        <v>31</v>
      </c>
      <c r="E2403" s="2" t="s">
        <v>20</v>
      </c>
      <c r="F2403" s="2" t="n">
        <v>1750</v>
      </c>
      <c r="G2403" s="2" t="s">
        <v>26</v>
      </c>
      <c r="H2403" s="2" t="s">
        <v>20</v>
      </c>
      <c r="I2403" s="2" t="s">
        <v>49</v>
      </c>
      <c r="J2403" s="2" t="n">
        <v>14</v>
      </c>
      <c r="K2403" s="2" t="s">
        <v>27</v>
      </c>
      <c r="L2403" s="2" t="n">
        <v>90</v>
      </c>
      <c r="M2403" s="2" t="n">
        <v>3</v>
      </c>
      <c r="N2403" s="2" t="n">
        <v>-1</v>
      </c>
      <c r="O2403" s="2" t="n">
        <v>0</v>
      </c>
      <c r="P2403" s="2" t="s">
        <v>23</v>
      </c>
      <c r="Q2403" s="2" t="s">
        <v>20</v>
      </c>
    </row>
    <row r="2404" customFormat="false" ht="15" hidden="false" customHeight="false" outlineLevel="0" collapsed="false">
      <c r="A2404" s="2" t="n">
        <v>56</v>
      </c>
      <c r="B2404" s="2" t="s">
        <v>29</v>
      </c>
      <c r="C2404" s="2" t="s">
        <v>18</v>
      </c>
      <c r="D2404" s="2" t="s">
        <v>19</v>
      </c>
      <c r="E2404" s="2" t="s">
        <v>20</v>
      </c>
      <c r="F2404" s="2" t="n">
        <v>772</v>
      </c>
      <c r="G2404" s="2" t="s">
        <v>26</v>
      </c>
      <c r="H2404" s="2" t="s">
        <v>20</v>
      </c>
      <c r="I2404" s="2" t="s">
        <v>49</v>
      </c>
      <c r="J2404" s="2" t="n">
        <v>20</v>
      </c>
      <c r="K2404" s="2" t="s">
        <v>46</v>
      </c>
      <c r="L2404" s="2" t="n">
        <v>291</v>
      </c>
      <c r="M2404" s="2" t="n">
        <v>1</v>
      </c>
      <c r="N2404" s="2" t="n">
        <v>-1</v>
      </c>
      <c r="O2404" s="2" t="n">
        <v>0</v>
      </c>
      <c r="P2404" s="2" t="s">
        <v>23</v>
      </c>
      <c r="Q2404" s="2" t="s">
        <v>20</v>
      </c>
    </row>
    <row r="2405" customFormat="false" ht="15" hidden="false" customHeight="false" outlineLevel="0" collapsed="false">
      <c r="A2405" s="2" t="n">
        <v>42</v>
      </c>
      <c r="B2405" s="2" t="s">
        <v>38</v>
      </c>
      <c r="C2405" s="2" t="s">
        <v>18</v>
      </c>
      <c r="D2405" s="2" t="s">
        <v>25</v>
      </c>
      <c r="E2405" s="2" t="s">
        <v>20</v>
      </c>
      <c r="F2405" s="2" t="n">
        <v>1048</v>
      </c>
      <c r="G2405" s="2" t="s">
        <v>26</v>
      </c>
      <c r="H2405" s="2" t="s">
        <v>20</v>
      </c>
      <c r="I2405" s="2" t="s">
        <v>49</v>
      </c>
      <c r="J2405" s="2" t="n">
        <v>6</v>
      </c>
      <c r="K2405" s="2" t="s">
        <v>35</v>
      </c>
      <c r="L2405" s="2" t="n">
        <v>23</v>
      </c>
      <c r="M2405" s="2" t="n">
        <v>2</v>
      </c>
      <c r="N2405" s="2" t="n">
        <v>-1</v>
      </c>
      <c r="O2405" s="2" t="n">
        <v>0</v>
      </c>
      <c r="P2405" s="2" t="s">
        <v>23</v>
      </c>
      <c r="Q2405" s="2" t="s">
        <v>20</v>
      </c>
    </row>
    <row r="2406" customFormat="false" ht="15" hidden="false" customHeight="false" outlineLevel="0" collapsed="false">
      <c r="A2406" s="2" t="n">
        <v>52</v>
      </c>
      <c r="B2406" s="2" t="s">
        <v>39</v>
      </c>
      <c r="C2406" s="2" t="s">
        <v>18</v>
      </c>
      <c r="D2406" s="2" t="s">
        <v>19</v>
      </c>
      <c r="E2406" s="2" t="s">
        <v>20</v>
      </c>
      <c r="F2406" s="2" t="n">
        <v>592</v>
      </c>
      <c r="G2406" s="2" t="s">
        <v>20</v>
      </c>
      <c r="H2406" s="2" t="s">
        <v>20</v>
      </c>
      <c r="I2406" s="2" t="s">
        <v>21</v>
      </c>
      <c r="J2406" s="2" t="n">
        <v>21</v>
      </c>
      <c r="K2406" s="2" t="s">
        <v>44</v>
      </c>
      <c r="L2406" s="2" t="n">
        <v>122</v>
      </c>
      <c r="M2406" s="2" t="n">
        <v>2</v>
      </c>
      <c r="N2406" s="2" t="n">
        <v>-1</v>
      </c>
      <c r="O2406" s="2" t="n">
        <v>0</v>
      </c>
      <c r="P2406" s="2" t="s">
        <v>23</v>
      </c>
      <c r="Q2406" s="2" t="s">
        <v>20</v>
      </c>
    </row>
    <row r="2407" customFormat="false" ht="15" hidden="false" customHeight="false" outlineLevel="0" collapsed="false">
      <c r="A2407" s="2" t="n">
        <v>40</v>
      </c>
      <c r="B2407" s="2" t="s">
        <v>38</v>
      </c>
      <c r="C2407" s="2" t="s">
        <v>18</v>
      </c>
      <c r="D2407" s="2" t="s">
        <v>25</v>
      </c>
      <c r="E2407" s="2" t="s">
        <v>20</v>
      </c>
      <c r="F2407" s="2" t="n">
        <v>0</v>
      </c>
      <c r="G2407" s="2" t="s">
        <v>26</v>
      </c>
      <c r="H2407" s="2" t="s">
        <v>26</v>
      </c>
      <c r="I2407" s="2" t="s">
        <v>21</v>
      </c>
      <c r="J2407" s="2" t="n">
        <v>26</v>
      </c>
      <c r="K2407" s="2" t="s">
        <v>44</v>
      </c>
      <c r="L2407" s="2" t="n">
        <v>105</v>
      </c>
      <c r="M2407" s="2" t="n">
        <v>2</v>
      </c>
      <c r="N2407" s="2" t="n">
        <v>172</v>
      </c>
      <c r="O2407" s="2" t="n">
        <v>1</v>
      </c>
      <c r="P2407" s="2" t="s">
        <v>28</v>
      </c>
      <c r="Q2407" s="2" t="s">
        <v>20</v>
      </c>
    </row>
    <row r="2408" customFormat="false" ht="15" hidden="false" customHeight="false" outlineLevel="0" collapsed="false">
      <c r="A2408" s="2" t="n">
        <v>36</v>
      </c>
      <c r="B2408" s="2" t="s">
        <v>24</v>
      </c>
      <c r="C2408" s="2" t="s">
        <v>18</v>
      </c>
      <c r="D2408" s="2" t="s">
        <v>25</v>
      </c>
      <c r="E2408" s="2" t="s">
        <v>20</v>
      </c>
      <c r="F2408" s="2" t="n">
        <v>3064</v>
      </c>
      <c r="G2408" s="2" t="s">
        <v>26</v>
      </c>
      <c r="H2408" s="2" t="s">
        <v>20</v>
      </c>
      <c r="I2408" s="2" t="s">
        <v>49</v>
      </c>
      <c r="J2408" s="2" t="n">
        <v>11</v>
      </c>
      <c r="K2408" s="2" t="s">
        <v>27</v>
      </c>
      <c r="L2408" s="2" t="n">
        <v>1143</v>
      </c>
      <c r="M2408" s="2" t="n">
        <v>4</v>
      </c>
      <c r="N2408" s="2" t="n">
        <v>-1</v>
      </c>
      <c r="O2408" s="2" t="n">
        <v>0</v>
      </c>
      <c r="P2408" s="2" t="s">
        <v>23</v>
      </c>
      <c r="Q2408" s="2" t="s">
        <v>20</v>
      </c>
    </row>
    <row r="2409" customFormat="false" ht="15" hidden="false" customHeight="false" outlineLevel="0" collapsed="false">
      <c r="A2409" s="2" t="n">
        <v>40</v>
      </c>
      <c r="B2409" s="2" t="s">
        <v>24</v>
      </c>
      <c r="C2409" s="2" t="s">
        <v>18</v>
      </c>
      <c r="D2409" s="2" t="s">
        <v>19</v>
      </c>
      <c r="E2409" s="2" t="s">
        <v>20</v>
      </c>
      <c r="F2409" s="2" t="n">
        <v>33</v>
      </c>
      <c r="G2409" s="2" t="s">
        <v>20</v>
      </c>
      <c r="H2409" s="2" t="s">
        <v>20</v>
      </c>
      <c r="I2409" s="2" t="s">
        <v>23</v>
      </c>
      <c r="J2409" s="2" t="n">
        <v>26</v>
      </c>
      <c r="K2409" s="2" t="s">
        <v>27</v>
      </c>
      <c r="L2409" s="2" t="n">
        <v>70</v>
      </c>
      <c r="M2409" s="2" t="n">
        <v>3</v>
      </c>
      <c r="N2409" s="2" t="n">
        <v>-1</v>
      </c>
      <c r="O2409" s="2" t="n">
        <v>0</v>
      </c>
      <c r="P2409" s="2" t="s">
        <v>23</v>
      </c>
      <c r="Q2409" s="2" t="s">
        <v>20</v>
      </c>
    </row>
    <row r="2410" customFormat="false" ht="15" hidden="false" customHeight="false" outlineLevel="0" collapsed="false">
      <c r="A2410" s="2" t="n">
        <v>46</v>
      </c>
      <c r="B2410" s="2" t="s">
        <v>34</v>
      </c>
      <c r="C2410" s="2" t="s">
        <v>18</v>
      </c>
      <c r="D2410" s="2" t="s">
        <v>25</v>
      </c>
      <c r="E2410" s="2" t="s">
        <v>20</v>
      </c>
      <c r="F2410" s="2" t="n">
        <v>0</v>
      </c>
      <c r="G2410" s="2" t="s">
        <v>26</v>
      </c>
      <c r="H2410" s="2" t="s">
        <v>20</v>
      </c>
      <c r="I2410" s="2" t="s">
        <v>21</v>
      </c>
      <c r="J2410" s="2" t="n">
        <v>8</v>
      </c>
      <c r="K2410" s="2" t="s">
        <v>27</v>
      </c>
      <c r="L2410" s="2" t="n">
        <v>264</v>
      </c>
      <c r="M2410" s="2" t="n">
        <v>2</v>
      </c>
      <c r="N2410" s="2" t="n">
        <v>-1</v>
      </c>
      <c r="O2410" s="2" t="n">
        <v>0</v>
      </c>
      <c r="P2410" s="2" t="s">
        <v>23</v>
      </c>
      <c r="Q2410" s="2" t="s">
        <v>20</v>
      </c>
    </row>
    <row r="2411" customFormat="false" ht="15" hidden="false" customHeight="false" outlineLevel="0" collapsed="false">
      <c r="A2411" s="2" t="n">
        <v>32</v>
      </c>
      <c r="B2411" s="2" t="s">
        <v>40</v>
      </c>
      <c r="C2411" s="2" t="s">
        <v>30</v>
      </c>
      <c r="D2411" s="2" t="s">
        <v>25</v>
      </c>
      <c r="E2411" s="2" t="s">
        <v>20</v>
      </c>
      <c r="F2411" s="2" t="n">
        <v>1649</v>
      </c>
      <c r="G2411" s="2" t="s">
        <v>20</v>
      </c>
      <c r="H2411" s="2" t="s">
        <v>20</v>
      </c>
      <c r="I2411" s="2" t="s">
        <v>21</v>
      </c>
      <c r="J2411" s="2" t="n">
        <v>27</v>
      </c>
      <c r="K2411" s="2" t="s">
        <v>27</v>
      </c>
      <c r="L2411" s="2" t="n">
        <v>204</v>
      </c>
      <c r="M2411" s="2" t="n">
        <v>2</v>
      </c>
      <c r="N2411" s="2" t="n">
        <v>-1</v>
      </c>
      <c r="O2411" s="2" t="n">
        <v>0</v>
      </c>
      <c r="P2411" s="2" t="s">
        <v>23</v>
      </c>
      <c r="Q2411" s="2" t="s">
        <v>20</v>
      </c>
    </row>
    <row r="2412" customFormat="false" ht="15" hidden="false" customHeight="false" outlineLevel="0" collapsed="false">
      <c r="A2412" s="2" t="n">
        <v>31</v>
      </c>
      <c r="B2412" s="2" t="s">
        <v>47</v>
      </c>
      <c r="C2412" s="2" t="s">
        <v>30</v>
      </c>
      <c r="D2412" s="2" t="s">
        <v>31</v>
      </c>
      <c r="E2412" s="2" t="s">
        <v>20</v>
      </c>
      <c r="F2412" s="2" t="n">
        <v>287</v>
      </c>
      <c r="G2412" s="2" t="s">
        <v>26</v>
      </c>
      <c r="H2412" s="2" t="s">
        <v>20</v>
      </c>
      <c r="I2412" s="2" t="s">
        <v>21</v>
      </c>
      <c r="J2412" s="2" t="n">
        <v>19</v>
      </c>
      <c r="K2412" s="2" t="s">
        <v>46</v>
      </c>
      <c r="L2412" s="2" t="n">
        <v>182</v>
      </c>
      <c r="M2412" s="2" t="n">
        <v>1</v>
      </c>
      <c r="N2412" s="2" t="n">
        <v>-1</v>
      </c>
      <c r="O2412" s="2" t="n">
        <v>0</v>
      </c>
      <c r="P2412" s="2" t="s">
        <v>23</v>
      </c>
      <c r="Q2412" s="2" t="s">
        <v>20</v>
      </c>
    </row>
    <row r="2413" customFormat="false" ht="15" hidden="false" customHeight="false" outlineLevel="0" collapsed="false">
      <c r="A2413" s="2" t="n">
        <v>41</v>
      </c>
      <c r="B2413" s="2" t="s">
        <v>38</v>
      </c>
      <c r="C2413" s="2" t="s">
        <v>45</v>
      </c>
      <c r="D2413" s="2" t="s">
        <v>25</v>
      </c>
      <c r="E2413" s="2" t="s">
        <v>20</v>
      </c>
      <c r="F2413" s="2" t="n">
        <v>0</v>
      </c>
      <c r="G2413" s="2" t="s">
        <v>26</v>
      </c>
      <c r="H2413" s="2" t="s">
        <v>20</v>
      </c>
      <c r="I2413" s="2" t="s">
        <v>21</v>
      </c>
      <c r="J2413" s="2" t="n">
        <v>17</v>
      </c>
      <c r="K2413" s="2" t="s">
        <v>46</v>
      </c>
      <c r="L2413" s="2" t="n">
        <v>386</v>
      </c>
      <c r="M2413" s="2" t="n">
        <v>2</v>
      </c>
      <c r="N2413" s="2" t="n">
        <v>-1</v>
      </c>
      <c r="O2413" s="2" t="n">
        <v>0</v>
      </c>
      <c r="P2413" s="2" t="s">
        <v>23</v>
      </c>
      <c r="Q2413" s="2" t="s">
        <v>20</v>
      </c>
    </row>
    <row r="2414" customFormat="false" ht="15" hidden="false" customHeight="false" outlineLevel="0" collapsed="false">
      <c r="A2414" s="2" t="n">
        <v>58</v>
      </c>
      <c r="B2414" s="2" t="s">
        <v>47</v>
      </c>
      <c r="C2414" s="2" t="s">
        <v>18</v>
      </c>
      <c r="D2414" s="2" t="s">
        <v>19</v>
      </c>
      <c r="E2414" s="2" t="s">
        <v>20</v>
      </c>
      <c r="F2414" s="2" t="n">
        <v>419</v>
      </c>
      <c r="G2414" s="2" t="s">
        <v>20</v>
      </c>
      <c r="H2414" s="2" t="s">
        <v>26</v>
      </c>
      <c r="I2414" s="2" t="s">
        <v>23</v>
      </c>
      <c r="J2414" s="2" t="n">
        <v>5</v>
      </c>
      <c r="K2414" s="2" t="s">
        <v>33</v>
      </c>
      <c r="L2414" s="2" t="n">
        <v>295</v>
      </c>
      <c r="M2414" s="2" t="n">
        <v>3</v>
      </c>
      <c r="N2414" s="2" t="n">
        <v>-1</v>
      </c>
      <c r="O2414" s="2" t="n">
        <v>0</v>
      </c>
      <c r="P2414" s="2" t="s">
        <v>23</v>
      </c>
      <c r="Q2414" s="2" t="s">
        <v>20</v>
      </c>
    </row>
    <row r="2415" customFormat="false" ht="15" hidden="false" customHeight="false" outlineLevel="0" collapsed="false">
      <c r="A2415" s="2" t="n">
        <v>36</v>
      </c>
      <c r="B2415" s="2" t="s">
        <v>24</v>
      </c>
      <c r="C2415" s="2" t="s">
        <v>18</v>
      </c>
      <c r="D2415" s="2" t="s">
        <v>25</v>
      </c>
      <c r="E2415" s="2" t="s">
        <v>20</v>
      </c>
      <c r="F2415" s="2" t="n">
        <v>257</v>
      </c>
      <c r="G2415" s="2" t="s">
        <v>26</v>
      </c>
      <c r="H2415" s="2" t="s">
        <v>20</v>
      </c>
      <c r="I2415" s="2" t="s">
        <v>21</v>
      </c>
      <c r="J2415" s="2" t="n">
        <v>12</v>
      </c>
      <c r="K2415" s="2" t="s">
        <v>27</v>
      </c>
      <c r="L2415" s="2" t="n">
        <v>86</v>
      </c>
      <c r="M2415" s="2" t="n">
        <v>2</v>
      </c>
      <c r="N2415" s="2" t="n">
        <v>-1</v>
      </c>
      <c r="O2415" s="2" t="n">
        <v>0</v>
      </c>
      <c r="P2415" s="2" t="s">
        <v>23</v>
      </c>
      <c r="Q2415" s="2" t="s">
        <v>20</v>
      </c>
    </row>
    <row r="2416" customFormat="false" ht="15" hidden="false" customHeight="false" outlineLevel="0" collapsed="false">
      <c r="A2416" s="2" t="n">
        <v>52</v>
      </c>
      <c r="B2416" s="2" t="s">
        <v>38</v>
      </c>
      <c r="C2416" s="2" t="s">
        <v>18</v>
      </c>
      <c r="D2416" s="2" t="s">
        <v>25</v>
      </c>
      <c r="E2416" s="2" t="s">
        <v>20</v>
      </c>
      <c r="F2416" s="2" t="n">
        <v>118</v>
      </c>
      <c r="G2416" s="2" t="s">
        <v>20</v>
      </c>
      <c r="H2416" s="2" t="s">
        <v>20</v>
      </c>
      <c r="I2416" s="2" t="s">
        <v>21</v>
      </c>
      <c r="J2416" s="2" t="n">
        <v>28</v>
      </c>
      <c r="K2416" s="2" t="s">
        <v>41</v>
      </c>
      <c r="L2416" s="2" t="n">
        <v>16</v>
      </c>
      <c r="M2416" s="2" t="n">
        <v>20</v>
      </c>
      <c r="N2416" s="2" t="n">
        <v>-1</v>
      </c>
      <c r="O2416" s="2" t="n">
        <v>0</v>
      </c>
      <c r="P2416" s="2" t="s">
        <v>23</v>
      </c>
      <c r="Q2416" s="2" t="s">
        <v>20</v>
      </c>
    </row>
    <row r="2417" customFormat="false" ht="15" hidden="false" customHeight="false" outlineLevel="0" collapsed="false">
      <c r="A2417" s="2" t="n">
        <v>42</v>
      </c>
      <c r="B2417" s="2" t="s">
        <v>29</v>
      </c>
      <c r="C2417" s="2" t="s">
        <v>18</v>
      </c>
      <c r="D2417" s="2" t="s">
        <v>31</v>
      </c>
      <c r="E2417" s="2" t="s">
        <v>20</v>
      </c>
      <c r="F2417" s="2" t="n">
        <v>251</v>
      </c>
      <c r="G2417" s="2" t="s">
        <v>20</v>
      </c>
      <c r="H2417" s="2" t="s">
        <v>20</v>
      </c>
      <c r="I2417" s="2" t="s">
        <v>21</v>
      </c>
      <c r="J2417" s="2" t="n">
        <v>20</v>
      </c>
      <c r="K2417" s="2" t="s">
        <v>41</v>
      </c>
      <c r="L2417" s="2" t="n">
        <v>413</v>
      </c>
      <c r="M2417" s="2" t="n">
        <v>2</v>
      </c>
      <c r="N2417" s="2" t="n">
        <v>-1</v>
      </c>
      <c r="O2417" s="2" t="n">
        <v>0</v>
      </c>
      <c r="P2417" s="2" t="s">
        <v>23</v>
      </c>
      <c r="Q2417" s="2" t="s">
        <v>20</v>
      </c>
    </row>
    <row r="2418" customFormat="false" ht="15" hidden="false" customHeight="false" outlineLevel="0" collapsed="false">
      <c r="A2418" s="2" t="n">
        <v>32</v>
      </c>
      <c r="B2418" s="2" t="s">
        <v>29</v>
      </c>
      <c r="C2418" s="2" t="s">
        <v>30</v>
      </c>
      <c r="D2418" s="2" t="s">
        <v>31</v>
      </c>
      <c r="E2418" s="2" t="s">
        <v>20</v>
      </c>
      <c r="F2418" s="2" t="n">
        <v>1731</v>
      </c>
      <c r="G2418" s="2" t="s">
        <v>26</v>
      </c>
      <c r="H2418" s="2" t="s">
        <v>26</v>
      </c>
      <c r="I2418" s="2" t="s">
        <v>23</v>
      </c>
      <c r="J2418" s="2" t="n">
        <v>29</v>
      </c>
      <c r="K2418" s="2" t="s">
        <v>27</v>
      </c>
      <c r="L2418" s="2" t="n">
        <v>323</v>
      </c>
      <c r="M2418" s="2" t="n">
        <v>3</v>
      </c>
      <c r="N2418" s="2" t="n">
        <v>-1</v>
      </c>
      <c r="O2418" s="2" t="n">
        <v>0</v>
      </c>
      <c r="P2418" s="2" t="s">
        <v>23</v>
      </c>
      <c r="Q2418" s="2" t="s">
        <v>20</v>
      </c>
    </row>
    <row r="2419" customFormat="false" ht="15" hidden="false" customHeight="false" outlineLevel="0" collapsed="false">
      <c r="A2419" s="2" t="n">
        <v>62</v>
      </c>
      <c r="B2419" s="2" t="s">
        <v>29</v>
      </c>
      <c r="C2419" s="2" t="s">
        <v>18</v>
      </c>
      <c r="D2419" s="2" t="s">
        <v>31</v>
      </c>
      <c r="E2419" s="2" t="s">
        <v>20</v>
      </c>
      <c r="F2419" s="2" t="n">
        <v>0</v>
      </c>
      <c r="G2419" s="2" t="s">
        <v>20</v>
      </c>
      <c r="H2419" s="2" t="s">
        <v>20</v>
      </c>
      <c r="I2419" s="2" t="s">
        <v>21</v>
      </c>
      <c r="J2419" s="2" t="n">
        <v>13</v>
      </c>
      <c r="K2419" s="2" t="s">
        <v>22</v>
      </c>
      <c r="L2419" s="2" t="n">
        <v>78</v>
      </c>
      <c r="M2419" s="2" t="n">
        <v>3</v>
      </c>
      <c r="N2419" s="2" t="n">
        <v>-1</v>
      </c>
      <c r="O2419" s="2" t="n">
        <v>0</v>
      </c>
      <c r="P2419" s="2" t="s">
        <v>23</v>
      </c>
      <c r="Q2419" s="2" t="s">
        <v>20</v>
      </c>
    </row>
    <row r="2420" customFormat="false" ht="15" hidden="false" customHeight="false" outlineLevel="0" collapsed="false">
      <c r="A2420" s="2" t="n">
        <v>31</v>
      </c>
      <c r="B2420" s="2" t="s">
        <v>38</v>
      </c>
      <c r="C2420" s="2" t="s">
        <v>30</v>
      </c>
      <c r="D2420" s="2" t="s">
        <v>31</v>
      </c>
      <c r="E2420" s="2" t="s">
        <v>20</v>
      </c>
      <c r="F2420" s="2" t="n">
        <v>23</v>
      </c>
      <c r="G2420" s="2" t="s">
        <v>20</v>
      </c>
      <c r="H2420" s="2" t="s">
        <v>20</v>
      </c>
      <c r="I2420" s="2" t="s">
        <v>21</v>
      </c>
      <c r="J2420" s="2" t="n">
        <v>25</v>
      </c>
      <c r="K2420" s="2" t="s">
        <v>41</v>
      </c>
      <c r="L2420" s="2" t="n">
        <v>121</v>
      </c>
      <c r="M2420" s="2" t="n">
        <v>3</v>
      </c>
      <c r="N2420" s="2" t="n">
        <v>-1</v>
      </c>
      <c r="O2420" s="2" t="n">
        <v>0</v>
      </c>
      <c r="P2420" s="2" t="s">
        <v>23</v>
      </c>
      <c r="Q2420" s="2" t="s">
        <v>20</v>
      </c>
    </row>
    <row r="2421" customFormat="false" ht="15" hidden="false" customHeight="false" outlineLevel="0" collapsed="false">
      <c r="A2421" s="2" t="n">
        <v>41</v>
      </c>
      <c r="B2421" s="2" t="s">
        <v>34</v>
      </c>
      <c r="C2421" s="2" t="s">
        <v>30</v>
      </c>
      <c r="D2421" s="2" t="s">
        <v>25</v>
      </c>
      <c r="E2421" s="2" t="s">
        <v>26</v>
      </c>
      <c r="F2421" s="2" t="n">
        <v>-386</v>
      </c>
      <c r="G2421" s="2" t="s">
        <v>20</v>
      </c>
      <c r="H2421" s="2" t="s">
        <v>26</v>
      </c>
      <c r="I2421" s="2" t="s">
        <v>21</v>
      </c>
      <c r="J2421" s="2" t="n">
        <v>20</v>
      </c>
      <c r="K2421" s="2" t="s">
        <v>46</v>
      </c>
      <c r="L2421" s="2" t="n">
        <v>477</v>
      </c>
      <c r="M2421" s="2" t="n">
        <v>1</v>
      </c>
      <c r="N2421" s="2" t="n">
        <v>-1</v>
      </c>
      <c r="O2421" s="2" t="n">
        <v>0</v>
      </c>
      <c r="P2421" s="2" t="s">
        <v>23</v>
      </c>
      <c r="Q2421" s="2" t="s">
        <v>26</v>
      </c>
    </row>
    <row r="2422" customFormat="false" ht="15" hidden="false" customHeight="false" outlineLevel="0" collapsed="false">
      <c r="A2422" s="2" t="n">
        <v>34</v>
      </c>
      <c r="B2422" s="2" t="s">
        <v>36</v>
      </c>
      <c r="C2422" s="2" t="s">
        <v>18</v>
      </c>
      <c r="D2422" s="2" t="s">
        <v>31</v>
      </c>
      <c r="E2422" s="2" t="s">
        <v>20</v>
      </c>
      <c r="F2422" s="2" t="n">
        <v>5498</v>
      </c>
      <c r="G2422" s="2" t="s">
        <v>20</v>
      </c>
      <c r="H2422" s="2" t="s">
        <v>20</v>
      </c>
      <c r="I2422" s="2" t="s">
        <v>21</v>
      </c>
      <c r="J2422" s="2" t="n">
        <v>19</v>
      </c>
      <c r="K2422" s="2" t="s">
        <v>46</v>
      </c>
      <c r="L2422" s="2" t="n">
        <v>265</v>
      </c>
      <c r="M2422" s="2" t="n">
        <v>1</v>
      </c>
      <c r="N2422" s="2" t="n">
        <v>-1</v>
      </c>
      <c r="O2422" s="2" t="n">
        <v>0</v>
      </c>
      <c r="P2422" s="2" t="s">
        <v>23</v>
      </c>
      <c r="Q2422" s="2" t="s">
        <v>20</v>
      </c>
    </row>
    <row r="2423" customFormat="false" ht="15" hidden="false" customHeight="false" outlineLevel="0" collapsed="false">
      <c r="A2423" s="2" t="n">
        <v>44</v>
      </c>
      <c r="B2423" s="2" t="s">
        <v>29</v>
      </c>
      <c r="C2423" s="2" t="s">
        <v>30</v>
      </c>
      <c r="D2423" s="2" t="s">
        <v>31</v>
      </c>
      <c r="E2423" s="2" t="s">
        <v>20</v>
      </c>
      <c r="F2423" s="2" t="n">
        <v>5063</v>
      </c>
      <c r="G2423" s="2" t="s">
        <v>20</v>
      </c>
      <c r="H2423" s="2" t="s">
        <v>20</v>
      </c>
      <c r="I2423" s="2" t="s">
        <v>21</v>
      </c>
      <c r="J2423" s="2" t="n">
        <v>27</v>
      </c>
      <c r="K2423" s="2" t="s">
        <v>22</v>
      </c>
      <c r="L2423" s="2" t="n">
        <v>418</v>
      </c>
      <c r="M2423" s="2" t="n">
        <v>2</v>
      </c>
      <c r="N2423" s="2" t="n">
        <v>-1</v>
      </c>
      <c r="O2423" s="2" t="n">
        <v>0</v>
      </c>
      <c r="P2423" s="2" t="s">
        <v>23</v>
      </c>
      <c r="Q2423" s="2" t="s">
        <v>26</v>
      </c>
    </row>
    <row r="2424" customFormat="false" ht="15" hidden="false" customHeight="false" outlineLevel="0" collapsed="false">
      <c r="A2424" s="2" t="n">
        <v>42</v>
      </c>
      <c r="B2424" s="2" t="s">
        <v>34</v>
      </c>
      <c r="C2424" s="2" t="s">
        <v>18</v>
      </c>
      <c r="D2424" s="2" t="s">
        <v>19</v>
      </c>
      <c r="E2424" s="2" t="s">
        <v>20</v>
      </c>
      <c r="F2424" s="2" t="n">
        <v>7041</v>
      </c>
      <c r="G2424" s="2" t="s">
        <v>26</v>
      </c>
      <c r="H2424" s="2" t="s">
        <v>20</v>
      </c>
      <c r="I2424" s="2" t="s">
        <v>21</v>
      </c>
      <c r="J2424" s="2" t="n">
        <v>28</v>
      </c>
      <c r="K2424" s="2" t="s">
        <v>44</v>
      </c>
      <c r="L2424" s="2" t="n">
        <v>386</v>
      </c>
      <c r="M2424" s="2" t="n">
        <v>4</v>
      </c>
      <c r="N2424" s="2" t="n">
        <v>-1</v>
      </c>
      <c r="O2424" s="2" t="n">
        <v>0</v>
      </c>
      <c r="P2424" s="2" t="s">
        <v>23</v>
      </c>
      <c r="Q2424" s="2" t="s">
        <v>20</v>
      </c>
    </row>
    <row r="2425" customFormat="false" ht="15" hidden="false" customHeight="false" outlineLevel="0" collapsed="false">
      <c r="A2425" s="2" t="n">
        <v>37</v>
      </c>
      <c r="B2425" s="2" t="s">
        <v>39</v>
      </c>
      <c r="C2425" s="2" t="s">
        <v>30</v>
      </c>
      <c r="D2425" s="2" t="s">
        <v>25</v>
      </c>
      <c r="E2425" s="2" t="s">
        <v>20</v>
      </c>
      <c r="F2425" s="2" t="n">
        <v>654</v>
      </c>
      <c r="G2425" s="2" t="s">
        <v>20</v>
      </c>
      <c r="H2425" s="2" t="s">
        <v>20</v>
      </c>
      <c r="I2425" s="2" t="s">
        <v>23</v>
      </c>
      <c r="J2425" s="2" t="n">
        <v>19</v>
      </c>
      <c r="K2425" s="2" t="s">
        <v>27</v>
      </c>
      <c r="L2425" s="2" t="n">
        <v>594</v>
      </c>
      <c r="M2425" s="2" t="n">
        <v>2</v>
      </c>
      <c r="N2425" s="2" t="n">
        <v>-1</v>
      </c>
      <c r="O2425" s="2" t="n">
        <v>0</v>
      </c>
      <c r="P2425" s="2" t="s">
        <v>23</v>
      </c>
      <c r="Q2425" s="2" t="s">
        <v>20</v>
      </c>
    </row>
    <row r="2426" customFormat="false" ht="15" hidden="false" customHeight="false" outlineLevel="0" collapsed="false">
      <c r="A2426" s="2" t="n">
        <v>47</v>
      </c>
      <c r="B2426" s="2" t="s">
        <v>29</v>
      </c>
      <c r="C2426" s="2" t="s">
        <v>18</v>
      </c>
      <c r="D2426" s="2" t="s">
        <v>31</v>
      </c>
      <c r="E2426" s="2" t="s">
        <v>20</v>
      </c>
      <c r="F2426" s="2" t="n">
        <v>1890</v>
      </c>
      <c r="G2426" s="2" t="s">
        <v>20</v>
      </c>
      <c r="H2426" s="2" t="s">
        <v>20</v>
      </c>
      <c r="I2426" s="2" t="s">
        <v>21</v>
      </c>
      <c r="J2426" s="2" t="n">
        <v>8</v>
      </c>
      <c r="K2426" s="2" t="s">
        <v>44</v>
      </c>
      <c r="L2426" s="2" t="n">
        <v>161</v>
      </c>
      <c r="M2426" s="2" t="n">
        <v>1</v>
      </c>
      <c r="N2426" s="2" t="n">
        <v>-1</v>
      </c>
      <c r="O2426" s="2" t="n">
        <v>0</v>
      </c>
      <c r="P2426" s="2" t="s">
        <v>23</v>
      </c>
      <c r="Q2426" s="2" t="s">
        <v>20</v>
      </c>
    </row>
    <row r="2427" customFormat="false" ht="15" hidden="false" customHeight="false" outlineLevel="0" collapsed="false">
      <c r="A2427" s="2" t="n">
        <v>32</v>
      </c>
      <c r="B2427" s="2" t="s">
        <v>17</v>
      </c>
      <c r="C2427" s="2" t="s">
        <v>18</v>
      </c>
      <c r="D2427" s="2" t="s">
        <v>25</v>
      </c>
      <c r="E2427" s="2" t="s">
        <v>20</v>
      </c>
      <c r="F2427" s="2" t="n">
        <v>2400</v>
      </c>
      <c r="G2427" s="2" t="s">
        <v>26</v>
      </c>
      <c r="H2427" s="2" t="s">
        <v>26</v>
      </c>
      <c r="I2427" s="2" t="s">
        <v>21</v>
      </c>
      <c r="J2427" s="2" t="n">
        <v>5</v>
      </c>
      <c r="K2427" s="2" t="s">
        <v>35</v>
      </c>
      <c r="L2427" s="2" t="n">
        <v>450</v>
      </c>
      <c r="M2427" s="2" t="n">
        <v>3</v>
      </c>
      <c r="N2427" s="2" t="n">
        <v>-1</v>
      </c>
      <c r="O2427" s="2" t="n">
        <v>0</v>
      </c>
      <c r="P2427" s="2" t="s">
        <v>23</v>
      </c>
      <c r="Q2427" s="2" t="s">
        <v>20</v>
      </c>
    </row>
    <row r="2428" customFormat="false" ht="15" hidden="false" customHeight="false" outlineLevel="0" collapsed="false">
      <c r="A2428" s="2" t="n">
        <v>46</v>
      </c>
      <c r="B2428" s="2" t="s">
        <v>34</v>
      </c>
      <c r="C2428" s="2" t="s">
        <v>18</v>
      </c>
      <c r="D2428" s="2" t="s">
        <v>25</v>
      </c>
      <c r="E2428" s="2" t="s">
        <v>20</v>
      </c>
      <c r="F2428" s="2" t="n">
        <v>519</v>
      </c>
      <c r="G2428" s="2" t="s">
        <v>26</v>
      </c>
      <c r="H2428" s="2" t="s">
        <v>20</v>
      </c>
      <c r="I2428" s="2" t="s">
        <v>21</v>
      </c>
      <c r="J2428" s="2" t="n">
        <v>25</v>
      </c>
      <c r="K2428" s="2" t="s">
        <v>41</v>
      </c>
      <c r="L2428" s="2" t="n">
        <v>217</v>
      </c>
      <c r="M2428" s="2" t="n">
        <v>6</v>
      </c>
      <c r="N2428" s="2" t="n">
        <v>-1</v>
      </c>
      <c r="O2428" s="2" t="n">
        <v>0</v>
      </c>
      <c r="P2428" s="2" t="s">
        <v>23</v>
      </c>
      <c r="Q2428" s="2" t="s">
        <v>20</v>
      </c>
    </row>
    <row r="2429" customFormat="false" ht="15" hidden="false" customHeight="false" outlineLevel="0" collapsed="false">
      <c r="A2429" s="2" t="n">
        <v>39</v>
      </c>
      <c r="B2429" s="2" t="s">
        <v>38</v>
      </c>
      <c r="C2429" s="2" t="s">
        <v>30</v>
      </c>
      <c r="D2429" s="2" t="s">
        <v>31</v>
      </c>
      <c r="E2429" s="2" t="s">
        <v>20</v>
      </c>
      <c r="F2429" s="2" t="n">
        <v>1190</v>
      </c>
      <c r="G2429" s="2" t="s">
        <v>20</v>
      </c>
      <c r="H2429" s="2" t="s">
        <v>20</v>
      </c>
      <c r="I2429" s="2" t="s">
        <v>21</v>
      </c>
      <c r="J2429" s="2" t="n">
        <v>8</v>
      </c>
      <c r="K2429" s="2" t="s">
        <v>41</v>
      </c>
      <c r="L2429" s="2" t="n">
        <v>136</v>
      </c>
      <c r="M2429" s="2" t="n">
        <v>1</v>
      </c>
      <c r="N2429" s="2" t="n">
        <v>-1</v>
      </c>
      <c r="O2429" s="2" t="n">
        <v>0</v>
      </c>
      <c r="P2429" s="2" t="s">
        <v>23</v>
      </c>
      <c r="Q2429" s="2" t="s">
        <v>20</v>
      </c>
    </row>
    <row r="2430" customFormat="false" ht="15" hidden="false" customHeight="false" outlineLevel="0" collapsed="false">
      <c r="A2430" s="2" t="n">
        <v>28</v>
      </c>
      <c r="B2430" s="2" t="s">
        <v>24</v>
      </c>
      <c r="C2430" s="2" t="s">
        <v>30</v>
      </c>
      <c r="D2430" s="2" t="s">
        <v>25</v>
      </c>
      <c r="E2430" s="2" t="s">
        <v>20</v>
      </c>
      <c r="F2430" s="2" t="n">
        <v>229</v>
      </c>
      <c r="G2430" s="2" t="s">
        <v>26</v>
      </c>
      <c r="H2430" s="2" t="s">
        <v>20</v>
      </c>
      <c r="I2430" s="2" t="s">
        <v>23</v>
      </c>
      <c r="J2430" s="2" t="n">
        <v>9</v>
      </c>
      <c r="K2430" s="2" t="s">
        <v>27</v>
      </c>
      <c r="L2430" s="2" t="n">
        <v>322</v>
      </c>
      <c r="M2430" s="2" t="n">
        <v>1</v>
      </c>
      <c r="N2430" s="2" t="n">
        <v>-1</v>
      </c>
      <c r="O2430" s="2" t="n">
        <v>0</v>
      </c>
      <c r="P2430" s="2" t="s">
        <v>23</v>
      </c>
      <c r="Q2430" s="2" t="s">
        <v>20</v>
      </c>
    </row>
    <row r="2431" customFormat="false" ht="15" hidden="false" customHeight="false" outlineLevel="0" collapsed="false">
      <c r="A2431" s="2" t="n">
        <v>26</v>
      </c>
      <c r="B2431" s="2" t="s">
        <v>42</v>
      </c>
      <c r="C2431" s="2" t="s">
        <v>30</v>
      </c>
      <c r="D2431" s="2" t="s">
        <v>25</v>
      </c>
      <c r="E2431" s="2" t="s">
        <v>20</v>
      </c>
      <c r="F2431" s="2" t="n">
        <v>203</v>
      </c>
      <c r="G2431" s="2" t="s">
        <v>20</v>
      </c>
      <c r="H2431" s="2" t="s">
        <v>20</v>
      </c>
      <c r="I2431" s="2" t="s">
        <v>21</v>
      </c>
      <c r="J2431" s="2" t="n">
        <v>16</v>
      </c>
      <c r="K2431" s="2" t="s">
        <v>46</v>
      </c>
      <c r="L2431" s="2" t="n">
        <v>104</v>
      </c>
      <c r="M2431" s="2" t="n">
        <v>1</v>
      </c>
      <c r="N2431" s="2" t="n">
        <v>196</v>
      </c>
      <c r="O2431" s="2" t="n">
        <v>1</v>
      </c>
      <c r="P2431" s="2" t="s">
        <v>28</v>
      </c>
      <c r="Q2431" s="2" t="s">
        <v>20</v>
      </c>
    </row>
    <row r="2432" customFormat="false" ht="15" hidden="false" customHeight="false" outlineLevel="0" collapsed="false">
      <c r="A2432" s="2" t="n">
        <v>52</v>
      </c>
      <c r="B2432" s="2" t="s">
        <v>38</v>
      </c>
      <c r="C2432" s="2" t="s">
        <v>18</v>
      </c>
      <c r="D2432" s="2" t="s">
        <v>25</v>
      </c>
      <c r="E2432" s="2" t="s">
        <v>20</v>
      </c>
      <c r="F2432" s="2" t="n">
        <v>1818</v>
      </c>
      <c r="G2432" s="2" t="s">
        <v>20</v>
      </c>
      <c r="H2432" s="2" t="s">
        <v>26</v>
      </c>
      <c r="I2432" s="2" t="s">
        <v>21</v>
      </c>
      <c r="J2432" s="2" t="n">
        <v>17</v>
      </c>
      <c r="K2432" s="2" t="s">
        <v>46</v>
      </c>
      <c r="L2432" s="2" t="n">
        <v>189</v>
      </c>
      <c r="M2432" s="2" t="n">
        <v>2</v>
      </c>
      <c r="N2432" s="2" t="n">
        <v>111</v>
      </c>
      <c r="O2432" s="2" t="n">
        <v>4</v>
      </c>
      <c r="P2432" s="2" t="s">
        <v>28</v>
      </c>
      <c r="Q2432" s="2" t="s">
        <v>20</v>
      </c>
    </row>
    <row r="2433" customFormat="false" ht="15" hidden="false" customHeight="false" outlineLevel="0" collapsed="false">
      <c r="A2433" s="2" t="n">
        <v>42</v>
      </c>
      <c r="B2433" s="2" t="s">
        <v>17</v>
      </c>
      <c r="C2433" s="2" t="s">
        <v>18</v>
      </c>
      <c r="D2433" s="2" t="s">
        <v>25</v>
      </c>
      <c r="E2433" s="2" t="s">
        <v>20</v>
      </c>
      <c r="F2433" s="2" t="n">
        <v>1289</v>
      </c>
      <c r="G2433" s="2" t="s">
        <v>20</v>
      </c>
      <c r="H2433" s="2" t="s">
        <v>20</v>
      </c>
      <c r="I2433" s="2" t="s">
        <v>21</v>
      </c>
      <c r="J2433" s="2" t="n">
        <v>15</v>
      </c>
      <c r="K2433" s="2" t="s">
        <v>44</v>
      </c>
      <c r="L2433" s="2" t="n">
        <v>250</v>
      </c>
      <c r="M2433" s="2" t="n">
        <v>4</v>
      </c>
      <c r="N2433" s="2" t="n">
        <v>415</v>
      </c>
      <c r="O2433" s="2" t="n">
        <v>2</v>
      </c>
      <c r="P2433" s="2" t="s">
        <v>28</v>
      </c>
      <c r="Q2433" s="2" t="s">
        <v>26</v>
      </c>
    </row>
    <row r="2434" customFormat="false" ht="15" hidden="false" customHeight="false" outlineLevel="0" collapsed="false">
      <c r="A2434" s="2" t="n">
        <v>33</v>
      </c>
      <c r="B2434" s="2" t="s">
        <v>38</v>
      </c>
      <c r="C2434" s="2" t="s">
        <v>45</v>
      </c>
      <c r="D2434" s="2" t="s">
        <v>31</v>
      </c>
      <c r="E2434" s="2" t="s">
        <v>20</v>
      </c>
      <c r="F2434" s="2" t="n">
        <v>39</v>
      </c>
      <c r="G2434" s="2" t="s">
        <v>20</v>
      </c>
      <c r="H2434" s="2" t="s">
        <v>20</v>
      </c>
      <c r="I2434" s="2" t="s">
        <v>21</v>
      </c>
      <c r="J2434" s="2" t="n">
        <v>19</v>
      </c>
      <c r="K2434" s="2" t="s">
        <v>41</v>
      </c>
      <c r="L2434" s="2" t="n">
        <v>123</v>
      </c>
      <c r="M2434" s="2" t="n">
        <v>5</v>
      </c>
      <c r="N2434" s="2" t="n">
        <v>-1</v>
      </c>
      <c r="O2434" s="2" t="n">
        <v>0</v>
      </c>
      <c r="P2434" s="2" t="s">
        <v>23</v>
      </c>
      <c r="Q2434" s="2" t="s">
        <v>20</v>
      </c>
    </row>
    <row r="2435" customFormat="false" ht="15" hidden="false" customHeight="false" outlineLevel="0" collapsed="false">
      <c r="A2435" s="2" t="n">
        <v>73</v>
      </c>
      <c r="B2435" s="2" t="s">
        <v>48</v>
      </c>
      <c r="C2435" s="2" t="s">
        <v>18</v>
      </c>
      <c r="D2435" s="2" t="s">
        <v>19</v>
      </c>
      <c r="E2435" s="2" t="s">
        <v>20</v>
      </c>
      <c r="F2435" s="2" t="n">
        <v>796</v>
      </c>
      <c r="G2435" s="2" t="s">
        <v>20</v>
      </c>
      <c r="H2435" s="2" t="s">
        <v>20</v>
      </c>
      <c r="I2435" s="2" t="s">
        <v>21</v>
      </c>
      <c r="J2435" s="2" t="n">
        <v>23</v>
      </c>
      <c r="K2435" s="2" t="s">
        <v>22</v>
      </c>
      <c r="L2435" s="2" t="n">
        <v>427</v>
      </c>
      <c r="M2435" s="2" t="n">
        <v>1</v>
      </c>
      <c r="N2435" s="2" t="n">
        <v>182</v>
      </c>
      <c r="O2435" s="2" t="n">
        <v>2</v>
      </c>
      <c r="P2435" s="2" t="s">
        <v>28</v>
      </c>
      <c r="Q2435" s="2" t="s">
        <v>26</v>
      </c>
    </row>
    <row r="2436" customFormat="false" ht="15" hidden="false" customHeight="false" outlineLevel="0" collapsed="false">
      <c r="A2436" s="2" t="n">
        <v>35</v>
      </c>
      <c r="B2436" s="2" t="s">
        <v>40</v>
      </c>
      <c r="C2436" s="2" t="s">
        <v>30</v>
      </c>
      <c r="D2436" s="2" t="s">
        <v>25</v>
      </c>
      <c r="E2436" s="2" t="s">
        <v>20</v>
      </c>
      <c r="F2436" s="2" t="n">
        <v>57</v>
      </c>
      <c r="G2436" s="2" t="s">
        <v>20</v>
      </c>
      <c r="H2436" s="2" t="s">
        <v>26</v>
      </c>
      <c r="I2436" s="2" t="s">
        <v>21</v>
      </c>
      <c r="J2436" s="2" t="n">
        <v>8</v>
      </c>
      <c r="K2436" s="2" t="s">
        <v>44</v>
      </c>
      <c r="L2436" s="2" t="n">
        <v>632</v>
      </c>
      <c r="M2436" s="2" t="n">
        <v>2</v>
      </c>
      <c r="N2436" s="2" t="n">
        <v>-1</v>
      </c>
      <c r="O2436" s="2" t="n">
        <v>0</v>
      </c>
      <c r="P2436" s="2" t="s">
        <v>23</v>
      </c>
      <c r="Q2436" s="2" t="s">
        <v>20</v>
      </c>
    </row>
    <row r="2437" customFormat="false" ht="15" hidden="false" customHeight="false" outlineLevel="0" collapsed="false">
      <c r="A2437" s="2" t="n">
        <v>40</v>
      </c>
      <c r="B2437" s="2" t="s">
        <v>29</v>
      </c>
      <c r="C2437" s="2" t="s">
        <v>18</v>
      </c>
      <c r="D2437" s="2" t="s">
        <v>31</v>
      </c>
      <c r="E2437" s="2" t="s">
        <v>20</v>
      </c>
      <c r="F2437" s="2" t="n">
        <v>1548</v>
      </c>
      <c r="G2437" s="2" t="s">
        <v>26</v>
      </c>
      <c r="H2437" s="2" t="s">
        <v>20</v>
      </c>
      <c r="I2437" s="2" t="s">
        <v>21</v>
      </c>
      <c r="J2437" s="2" t="n">
        <v>13</v>
      </c>
      <c r="K2437" s="2" t="s">
        <v>32</v>
      </c>
      <c r="L2437" s="2" t="n">
        <v>101</v>
      </c>
      <c r="M2437" s="2" t="n">
        <v>3</v>
      </c>
      <c r="N2437" s="2" t="n">
        <v>-1</v>
      </c>
      <c r="O2437" s="2" t="n">
        <v>0</v>
      </c>
      <c r="P2437" s="2" t="s">
        <v>23</v>
      </c>
      <c r="Q2437" s="2" t="s">
        <v>20</v>
      </c>
    </row>
    <row r="2438" customFormat="false" ht="15" hidden="false" customHeight="false" outlineLevel="0" collapsed="false">
      <c r="A2438" s="2" t="n">
        <v>51</v>
      </c>
      <c r="B2438" s="2" t="s">
        <v>38</v>
      </c>
      <c r="C2438" s="2" t="s">
        <v>18</v>
      </c>
      <c r="D2438" s="2" t="s">
        <v>25</v>
      </c>
      <c r="E2438" s="2" t="s">
        <v>20</v>
      </c>
      <c r="F2438" s="2" t="n">
        <v>117</v>
      </c>
      <c r="G2438" s="2" t="s">
        <v>20</v>
      </c>
      <c r="H2438" s="2" t="s">
        <v>20</v>
      </c>
      <c r="I2438" s="2" t="s">
        <v>21</v>
      </c>
      <c r="J2438" s="2" t="n">
        <v>24</v>
      </c>
      <c r="K2438" s="2" t="s">
        <v>41</v>
      </c>
      <c r="L2438" s="2" t="n">
        <v>467</v>
      </c>
      <c r="M2438" s="2" t="n">
        <v>2</v>
      </c>
      <c r="N2438" s="2" t="n">
        <v>88</v>
      </c>
      <c r="O2438" s="2" t="n">
        <v>4</v>
      </c>
      <c r="P2438" s="2" t="s">
        <v>37</v>
      </c>
      <c r="Q2438" s="2" t="s">
        <v>26</v>
      </c>
    </row>
    <row r="2439" customFormat="false" ht="15" hidden="false" customHeight="false" outlineLevel="0" collapsed="false">
      <c r="A2439" s="2" t="n">
        <v>37</v>
      </c>
      <c r="B2439" s="2" t="s">
        <v>40</v>
      </c>
      <c r="C2439" s="2" t="s">
        <v>30</v>
      </c>
      <c r="D2439" s="2" t="s">
        <v>25</v>
      </c>
      <c r="E2439" s="2" t="s">
        <v>20</v>
      </c>
      <c r="F2439" s="2" t="n">
        <v>0</v>
      </c>
      <c r="G2439" s="2" t="s">
        <v>26</v>
      </c>
      <c r="H2439" s="2" t="s">
        <v>20</v>
      </c>
      <c r="I2439" s="2" t="s">
        <v>21</v>
      </c>
      <c r="J2439" s="2" t="n">
        <v>16</v>
      </c>
      <c r="K2439" s="2" t="s">
        <v>32</v>
      </c>
      <c r="L2439" s="2" t="n">
        <v>640</v>
      </c>
      <c r="M2439" s="2" t="n">
        <v>2</v>
      </c>
      <c r="N2439" s="2" t="n">
        <v>-1</v>
      </c>
      <c r="O2439" s="2" t="n">
        <v>0</v>
      </c>
      <c r="P2439" s="2" t="s">
        <v>23</v>
      </c>
      <c r="Q2439" s="2" t="s">
        <v>20</v>
      </c>
    </row>
    <row r="2440" customFormat="false" ht="15" hidden="false" customHeight="false" outlineLevel="0" collapsed="false">
      <c r="A2440" s="2" t="n">
        <v>39</v>
      </c>
      <c r="B2440" s="2" t="s">
        <v>29</v>
      </c>
      <c r="C2440" s="2" t="s">
        <v>18</v>
      </c>
      <c r="D2440" s="2" t="s">
        <v>31</v>
      </c>
      <c r="E2440" s="2" t="s">
        <v>20</v>
      </c>
      <c r="F2440" s="2" t="n">
        <v>691</v>
      </c>
      <c r="G2440" s="2" t="s">
        <v>26</v>
      </c>
      <c r="H2440" s="2" t="s">
        <v>26</v>
      </c>
      <c r="I2440" s="2" t="s">
        <v>21</v>
      </c>
      <c r="J2440" s="2" t="n">
        <v>16</v>
      </c>
      <c r="K2440" s="2" t="s">
        <v>32</v>
      </c>
      <c r="L2440" s="2" t="n">
        <v>517</v>
      </c>
      <c r="M2440" s="2" t="n">
        <v>1</v>
      </c>
      <c r="N2440" s="2" t="n">
        <v>255</v>
      </c>
      <c r="O2440" s="2" t="n">
        <v>1</v>
      </c>
      <c r="P2440" s="2" t="s">
        <v>28</v>
      </c>
      <c r="Q2440" s="2" t="s">
        <v>20</v>
      </c>
    </row>
    <row r="2441" customFormat="false" ht="15" hidden="false" customHeight="false" outlineLevel="0" collapsed="false">
      <c r="A2441" s="2" t="n">
        <v>28</v>
      </c>
      <c r="B2441" s="2" t="s">
        <v>34</v>
      </c>
      <c r="C2441" s="2" t="s">
        <v>18</v>
      </c>
      <c r="D2441" s="2" t="s">
        <v>25</v>
      </c>
      <c r="E2441" s="2" t="s">
        <v>20</v>
      </c>
      <c r="F2441" s="2" t="n">
        <v>64</v>
      </c>
      <c r="G2441" s="2" t="s">
        <v>26</v>
      </c>
      <c r="H2441" s="2" t="s">
        <v>20</v>
      </c>
      <c r="I2441" s="2" t="s">
        <v>23</v>
      </c>
      <c r="J2441" s="2" t="n">
        <v>13</v>
      </c>
      <c r="K2441" s="2" t="s">
        <v>27</v>
      </c>
      <c r="L2441" s="2" t="n">
        <v>160</v>
      </c>
      <c r="M2441" s="2" t="n">
        <v>3</v>
      </c>
      <c r="N2441" s="2" t="n">
        <v>-1</v>
      </c>
      <c r="O2441" s="2" t="n">
        <v>0</v>
      </c>
      <c r="P2441" s="2" t="s">
        <v>23</v>
      </c>
      <c r="Q2441" s="2" t="s">
        <v>20</v>
      </c>
    </row>
    <row r="2442" customFormat="false" ht="15" hidden="false" customHeight="false" outlineLevel="0" collapsed="false">
      <c r="A2442" s="2" t="n">
        <v>49</v>
      </c>
      <c r="B2442" s="2" t="s">
        <v>38</v>
      </c>
      <c r="C2442" s="2" t="s">
        <v>45</v>
      </c>
      <c r="D2442" s="2" t="s">
        <v>31</v>
      </c>
      <c r="E2442" s="2" t="s">
        <v>20</v>
      </c>
      <c r="F2442" s="2" t="n">
        <v>0</v>
      </c>
      <c r="G2442" s="2" t="s">
        <v>26</v>
      </c>
      <c r="H2442" s="2" t="s">
        <v>20</v>
      </c>
      <c r="I2442" s="2" t="s">
        <v>21</v>
      </c>
      <c r="J2442" s="2" t="n">
        <v>12</v>
      </c>
      <c r="K2442" s="2" t="s">
        <v>33</v>
      </c>
      <c r="L2442" s="2" t="n">
        <v>177</v>
      </c>
      <c r="M2442" s="2" t="n">
        <v>3</v>
      </c>
      <c r="N2442" s="2" t="n">
        <v>-1</v>
      </c>
      <c r="O2442" s="2" t="n">
        <v>0</v>
      </c>
      <c r="P2442" s="2" t="s">
        <v>23</v>
      </c>
      <c r="Q2442" s="2" t="s">
        <v>20</v>
      </c>
    </row>
    <row r="2443" customFormat="false" ht="15" hidden="false" customHeight="false" outlineLevel="0" collapsed="false">
      <c r="A2443" s="2" t="n">
        <v>36</v>
      </c>
      <c r="B2443" s="2" t="s">
        <v>40</v>
      </c>
      <c r="C2443" s="2" t="s">
        <v>18</v>
      </c>
      <c r="D2443" s="2" t="s">
        <v>25</v>
      </c>
      <c r="E2443" s="2" t="s">
        <v>20</v>
      </c>
      <c r="F2443" s="2" t="n">
        <v>957</v>
      </c>
      <c r="G2443" s="2" t="s">
        <v>26</v>
      </c>
      <c r="H2443" s="2" t="s">
        <v>20</v>
      </c>
      <c r="I2443" s="2" t="s">
        <v>23</v>
      </c>
      <c r="J2443" s="2" t="n">
        <v>21</v>
      </c>
      <c r="K2443" s="2" t="s">
        <v>27</v>
      </c>
      <c r="L2443" s="2" t="n">
        <v>206</v>
      </c>
      <c r="M2443" s="2" t="n">
        <v>1</v>
      </c>
      <c r="N2443" s="2" t="n">
        <v>-1</v>
      </c>
      <c r="O2443" s="2" t="n">
        <v>0</v>
      </c>
      <c r="P2443" s="2" t="s">
        <v>23</v>
      </c>
      <c r="Q2443" s="2" t="s">
        <v>20</v>
      </c>
    </row>
    <row r="2444" customFormat="false" ht="15" hidden="false" customHeight="false" outlineLevel="0" collapsed="false">
      <c r="A2444" s="2" t="n">
        <v>45</v>
      </c>
      <c r="B2444" s="2" t="s">
        <v>38</v>
      </c>
      <c r="C2444" s="2" t="s">
        <v>18</v>
      </c>
      <c r="D2444" s="2" t="s">
        <v>25</v>
      </c>
      <c r="E2444" s="2" t="s">
        <v>20</v>
      </c>
      <c r="F2444" s="2" t="n">
        <v>118</v>
      </c>
      <c r="G2444" s="2" t="s">
        <v>26</v>
      </c>
      <c r="H2444" s="2" t="s">
        <v>20</v>
      </c>
      <c r="I2444" s="2" t="s">
        <v>23</v>
      </c>
      <c r="J2444" s="2" t="n">
        <v>7</v>
      </c>
      <c r="K2444" s="2" t="s">
        <v>27</v>
      </c>
      <c r="L2444" s="2" t="n">
        <v>208</v>
      </c>
      <c r="M2444" s="2" t="n">
        <v>2</v>
      </c>
      <c r="N2444" s="2" t="n">
        <v>-1</v>
      </c>
      <c r="O2444" s="2" t="n">
        <v>0</v>
      </c>
      <c r="P2444" s="2" t="s">
        <v>23</v>
      </c>
      <c r="Q2444" s="2" t="s">
        <v>20</v>
      </c>
    </row>
    <row r="2445" customFormat="false" ht="15" hidden="false" customHeight="false" outlineLevel="0" collapsed="false">
      <c r="A2445" s="2" t="n">
        <v>29</v>
      </c>
      <c r="B2445" s="2" t="s">
        <v>38</v>
      </c>
      <c r="C2445" s="2" t="s">
        <v>30</v>
      </c>
      <c r="D2445" s="2" t="s">
        <v>31</v>
      </c>
      <c r="E2445" s="2" t="s">
        <v>20</v>
      </c>
      <c r="F2445" s="2" t="n">
        <v>218</v>
      </c>
      <c r="G2445" s="2" t="s">
        <v>26</v>
      </c>
      <c r="H2445" s="2" t="s">
        <v>20</v>
      </c>
      <c r="I2445" s="2" t="s">
        <v>21</v>
      </c>
      <c r="J2445" s="2" t="n">
        <v>12</v>
      </c>
      <c r="K2445" s="2" t="s">
        <v>32</v>
      </c>
      <c r="L2445" s="2" t="n">
        <v>169</v>
      </c>
      <c r="M2445" s="2" t="n">
        <v>1</v>
      </c>
      <c r="N2445" s="2" t="n">
        <v>-1</v>
      </c>
      <c r="O2445" s="2" t="n">
        <v>0</v>
      </c>
      <c r="P2445" s="2" t="s">
        <v>23</v>
      </c>
      <c r="Q2445" s="2" t="s">
        <v>20</v>
      </c>
    </row>
    <row r="2446" customFormat="false" ht="15" hidden="false" customHeight="false" outlineLevel="0" collapsed="false">
      <c r="A2446" s="2" t="n">
        <v>35</v>
      </c>
      <c r="B2446" s="2" t="s">
        <v>29</v>
      </c>
      <c r="C2446" s="2" t="s">
        <v>18</v>
      </c>
      <c r="D2446" s="2" t="s">
        <v>25</v>
      </c>
      <c r="E2446" s="2" t="s">
        <v>20</v>
      </c>
      <c r="F2446" s="2" t="n">
        <v>724</v>
      </c>
      <c r="G2446" s="2" t="s">
        <v>26</v>
      </c>
      <c r="H2446" s="2" t="s">
        <v>20</v>
      </c>
      <c r="I2446" s="2" t="s">
        <v>21</v>
      </c>
      <c r="J2446" s="2" t="n">
        <v>14</v>
      </c>
      <c r="K2446" s="2" t="s">
        <v>44</v>
      </c>
      <c r="L2446" s="2" t="n">
        <v>287</v>
      </c>
      <c r="M2446" s="2" t="n">
        <v>2</v>
      </c>
      <c r="N2446" s="2" t="n">
        <v>415</v>
      </c>
      <c r="O2446" s="2" t="n">
        <v>1</v>
      </c>
      <c r="P2446" s="2" t="s">
        <v>28</v>
      </c>
      <c r="Q2446" s="2" t="s">
        <v>26</v>
      </c>
    </row>
    <row r="2447" customFormat="false" ht="15" hidden="false" customHeight="false" outlineLevel="0" collapsed="false">
      <c r="A2447" s="2" t="n">
        <v>35</v>
      </c>
      <c r="B2447" s="2" t="s">
        <v>47</v>
      </c>
      <c r="C2447" s="2" t="s">
        <v>18</v>
      </c>
      <c r="D2447" s="2" t="s">
        <v>31</v>
      </c>
      <c r="E2447" s="2" t="s">
        <v>20</v>
      </c>
      <c r="F2447" s="2" t="n">
        <v>20</v>
      </c>
      <c r="G2447" s="2" t="s">
        <v>26</v>
      </c>
      <c r="H2447" s="2" t="s">
        <v>26</v>
      </c>
      <c r="I2447" s="2" t="s">
        <v>21</v>
      </c>
      <c r="J2447" s="2" t="n">
        <v>17</v>
      </c>
      <c r="K2447" s="2" t="s">
        <v>44</v>
      </c>
      <c r="L2447" s="2" t="n">
        <v>505</v>
      </c>
      <c r="M2447" s="2" t="n">
        <v>3</v>
      </c>
      <c r="N2447" s="2" t="n">
        <v>-1</v>
      </c>
      <c r="O2447" s="2" t="n">
        <v>0</v>
      </c>
      <c r="P2447" s="2" t="s">
        <v>23</v>
      </c>
      <c r="Q2447" s="2" t="s">
        <v>20</v>
      </c>
    </row>
    <row r="2448" customFormat="false" ht="15" hidden="false" customHeight="false" outlineLevel="0" collapsed="false">
      <c r="A2448" s="2" t="n">
        <v>30</v>
      </c>
      <c r="B2448" s="2" t="s">
        <v>34</v>
      </c>
      <c r="C2448" s="2" t="s">
        <v>18</v>
      </c>
      <c r="D2448" s="2" t="s">
        <v>25</v>
      </c>
      <c r="E2448" s="2" t="s">
        <v>20</v>
      </c>
      <c r="F2448" s="2" t="n">
        <v>-28</v>
      </c>
      <c r="G2448" s="2" t="s">
        <v>26</v>
      </c>
      <c r="H2448" s="2" t="s">
        <v>20</v>
      </c>
      <c r="I2448" s="2" t="s">
        <v>21</v>
      </c>
      <c r="J2448" s="2" t="n">
        <v>18</v>
      </c>
      <c r="K2448" s="2" t="s">
        <v>27</v>
      </c>
      <c r="L2448" s="2" t="n">
        <v>284</v>
      </c>
      <c r="M2448" s="2" t="n">
        <v>2</v>
      </c>
      <c r="N2448" s="2" t="n">
        <v>371</v>
      </c>
      <c r="O2448" s="2" t="n">
        <v>1</v>
      </c>
      <c r="P2448" s="2" t="s">
        <v>28</v>
      </c>
      <c r="Q2448" s="2" t="s">
        <v>20</v>
      </c>
    </row>
    <row r="2449" customFormat="false" ht="15" hidden="false" customHeight="false" outlineLevel="0" collapsed="false">
      <c r="A2449" s="2" t="n">
        <v>46</v>
      </c>
      <c r="B2449" s="2" t="s">
        <v>34</v>
      </c>
      <c r="C2449" s="2" t="s">
        <v>18</v>
      </c>
      <c r="D2449" s="2" t="s">
        <v>19</v>
      </c>
      <c r="E2449" s="2" t="s">
        <v>20</v>
      </c>
      <c r="F2449" s="2" t="n">
        <v>665</v>
      </c>
      <c r="G2449" s="2" t="s">
        <v>20</v>
      </c>
      <c r="H2449" s="2" t="s">
        <v>20</v>
      </c>
      <c r="I2449" s="2" t="s">
        <v>21</v>
      </c>
      <c r="J2449" s="2" t="n">
        <v>30</v>
      </c>
      <c r="K2449" s="2" t="s">
        <v>43</v>
      </c>
      <c r="L2449" s="2" t="n">
        <v>89</v>
      </c>
      <c r="M2449" s="2" t="n">
        <v>4</v>
      </c>
      <c r="N2449" s="2" t="n">
        <v>235</v>
      </c>
      <c r="O2449" s="2" t="n">
        <v>2</v>
      </c>
      <c r="P2449" s="2" t="s">
        <v>28</v>
      </c>
      <c r="Q2449" s="2" t="s">
        <v>20</v>
      </c>
    </row>
    <row r="2450" customFormat="false" ht="15" hidden="false" customHeight="false" outlineLevel="0" collapsed="false">
      <c r="A2450" s="2" t="n">
        <v>25</v>
      </c>
      <c r="B2450" s="2" t="s">
        <v>42</v>
      </c>
      <c r="C2450" s="2" t="s">
        <v>30</v>
      </c>
      <c r="D2450" s="2" t="s">
        <v>31</v>
      </c>
      <c r="E2450" s="2" t="s">
        <v>20</v>
      </c>
      <c r="F2450" s="2" t="n">
        <v>5</v>
      </c>
      <c r="G2450" s="2" t="s">
        <v>20</v>
      </c>
      <c r="H2450" s="2" t="s">
        <v>20</v>
      </c>
      <c r="I2450" s="2" t="s">
        <v>21</v>
      </c>
      <c r="J2450" s="2" t="n">
        <v>29</v>
      </c>
      <c r="K2450" s="2" t="s">
        <v>51</v>
      </c>
      <c r="L2450" s="2" t="n">
        <v>138</v>
      </c>
      <c r="M2450" s="2" t="n">
        <v>1</v>
      </c>
      <c r="N2450" s="2" t="n">
        <v>-1</v>
      </c>
      <c r="O2450" s="2" t="n">
        <v>0</v>
      </c>
      <c r="P2450" s="2" t="s">
        <v>23</v>
      </c>
      <c r="Q2450" s="2" t="s">
        <v>20</v>
      </c>
    </row>
    <row r="2451" customFormat="false" ht="15" hidden="false" customHeight="false" outlineLevel="0" collapsed="false">
      <c r="A2451" s="2" t="n">
        <v>36</v>
      </c>
      <c r="B2451" s="2" t="s">
        <v>29</v>
      </c>
      <c r="C2451" s="2" t="s">
        <v>18</v>
      </c>
      <c r="D2451" s="2" t="s">
        <v>31</v>
      </c>
      <c r="E2451" s="2" t="s">
        <v>20</v>
      </c>
      <c r="F2451" s="2" t="n">
        <v>925</v>
      </c>
      <c r="G2451" s="2" t="s">
        <v>20</v>
      </c>
      <c r="H2451" s="2" t="s">
        <v>20</v>
      </c>
      <c r="I2451" s="2" t="s">
        <v>21</v>
      </c>
      <c r="J2451" s="2" t="n">
        <v>14</v>
      </c>
      <c r="K2451" s="2" t="s">
        <v>53</v>
      </c>
      <c r="L2451" s="2" t="n">
        <v>321</v>
      </c>
      <c r="M2451" s="2" t="n">
        <v>3</v>
      </c>
      <c r="N2451" s="2" t="n">
        <v>189</v>
      </c>
      <c r="O2451" s="2" t="n">
        <v>4</v>
      </c>
      <c r="P2451" s="2" t="s">
        <v>50</v>
      </c>
      <c r="Q2451" s="2" t="s">
        <v>26</v>
      </c>
    </row>
    <row r="2452" customFormat="false" ht="15" hidden="false" customHeight="false" outlineLevel="0" collapsed="false">
      <c r="A2452" s="2" t="n">
        <v>42</v>
      </c>
      <c r="B2452" s="2" t="s">
        <v>34</v>
      </c>
      <c r="C2452" s="2" t="s">
        <v>18</v>
      </c>
      <c r="D2452" s="2" t="s">
        <v>19</v>
      </c>
      <c r="E2452" s="2" t="s">
        <v>20</v>
      </c>
      <c r="F2452" s="2" t="n">
        <v>2519</v>
      </c>
      <c r="G2452" s="2" t="s">
        <v>26</v>
      </c>
      <c r="H2452" s="2" t="s">
        <v>20</v>
      </c>
      <c r="I2452" s="2" t="s">
        <v>23</v>
      </c>
      <c r="J2452" s="2" t="n">
        <v>15</v>
      </c>
      <c r="K2452" s="2" t="s">
        <v>27</v>
      </c>
      <c r="L2452" s="2" t="n">
        <v>262</v>
      </c>
      <c r="M2452" s="2" t="n">
        <v>4</v>
      </c>
      <c r="N2452" s="2" t="n">
        <v>-1</v>
      </c>
      <c r="O2452" s="2" t="n">
        <v>0</v>
      </c>
      <c r="P2452" s="2" t="s">
        <v>23</v>
      </c>
      <c r="Q2452" s="2" t="s">
        <v>20</v>
      </c>
    </row>
    <row r="2453" customFormat="false" ht="15" hidden="false" customHeight="false" outlineLevel="0" collapsed="false">
      <c r="A2453" s="2" t="n">
        <v>57</v>
      </c>
      <c r="B2453" s="2" t="s">
        <v>40</v>
      </c>
      <c r="C2453" s="2" t="s">
        <v>18</v>
      </c>
      <c r="D2453" s="2" t="s">
        <v>25</v>
      </c>
      <c r="E2453" s="2" t="s">
        <v>20</v>
      </c>
      <c r="F2453" s="2" t="n">
        <v>3927</v>
      </c>
      <c r="G2453" s="2" t="s">
        <v>20</v>
      </c>
      <c r="H2453" s="2" t="s">
        <v>20</v>
      </c>
      <c r="I2453" s="2" t="s">
        <v>21</v>
      </c>
      <c r="J2453" s="2" t="n">
        <v>13</v>
      </c>
      <c r="K2453" s="2" t="s">
        <v>22</v>
      </c>
      <c r="L2453" s="2" t="n">
        <v>61</v>
      </c>
      <c r="M2453" s="2" t="n">
        <v>1</v>
      </c>
      <c r="N2453" s="2" t="n">
        <v>-1</v>
      </c>
      <c r="O2453" s="2" t="n">
        <v>0</v>
      </c>
      <c r="P2453" s="2" t="s">
        <v>23</v>
      </c>
      <c r="Q2453" s="2" t="s">
        <v>20</v>
      </c>
    </row>
    <row r="2454" customFormat="false" ht="15" hidden="false" customHeight="false" outlineLevel="0" collapsed="false">
      <c r="A2454" s="2" t="n">
        <v>42</v>
      </c>
      <c r="B2454" s="2" t="s">
        <v>29</v>
      </c>
      <c r="C2454" s="2" t="s">
        <v>45</v>
      </c>
      <c r="D2454" s="2" t="s">
        <v>31</v>
      </c>
      <c r="E2454" s="2" t="s">
        <v>20</v>
      </c>
      <c r="F2454" s="2" t="n">
        <v>401</v>
      </c>
      <c r="G2454" s="2" t="s">
        <v>26</v>
      </c>
      <c r="H2454" s="2" t="s">
        <v>20</v>
      </c>
      <c r="I2454" s="2" t="s">
        <v>21</v>
      </c>
      <c r="J2454" s="2" t="n">
        <v>24</v>
      </c>
      <c r="K2454" s="2" t="s">
        <v>44</v>
      </c>
      <c r="L2454" s="2" t="n">
        <v>217</v>
      </c>
      <c r="M2454" s="2" t="n">
        <v>9</v>
      </c>
      <c r="N2454" s="2" t="n">
        <v>-1</v>
      </c>
      <c r="O2454" s="2" t="n">
        <v>0</v>
      </c>
      <c r="P2454" s="2" t="s">
        <v>23</v>
      </c>
      <c r="Q2454" s="2" t="s">
        <v>20</v>
      </c>
    </row>
    <row r="2455" customFormat="false" ht="15" hidden="false" customHeight="false" outlineLevel="0" collapsed="false">
      <c r="A2455" s="2" t="n">
        <v>29</v>
      </c>
      <c r="B2455" s="2" t="s">
        <v>29</v>
      </c>
      <c r="C2455" s="2" t="s">
        <v>18</v>
      </c>
      <c r="D2455" s="2" t="s">
        <v>31</v>
      </c>
      <c r="E2455" s="2" t="s">
        <v>20</v>
      </c>
      <c r="F2455" s="2" t="n">
        <v>581</v>
      </c>
      <c r="G2455" s="2" t="s">
        <v>26</v>
      </c>
      <c r="H2455" s="2" t="s">
        <v>26</v>
      </c>
      <c r="I2455" s="2" t="s">
        <v>21</v>
      </c>
      <c r="J2455" s="2" t="n">
        <v>14</v>
      </c>
      <c r="K2455" s="2" t="s">
        <v>44</v>
      </c>
      <c r="L2455" s="2" t="n">
        <v>192</v>
      </c>
      <c r="M2455" s="2" t="n">
        <v>2</v>
      </c>
      <c r="N2455" s="2" t="n">
        <v>-1</v>
      </c>
      <c r="O2455" s="2" t="n">
        <v>0</v>
      </c>
      <c r="P2455" s="2" t="s">
        <v>23</v>
      </c>
      <c r="Q2455" s="2" t="s">
        <v>20</v>
      </c>
    </row>
    <row r="2456" customFormat="false" ht="15" hidden="false" customHeight="false" outlineLevel="0" collapsed="false">
      <c r="A2456" s="2" t="n">
        <v>36</v>
      </c>
      <c r="B2456" s="2" t="s">
        <v>38</v>
      </c>
      <c r="C2456" s="2" t="s">
        <v>18</v>
      </c>
      <c r="D2456" s="2" t="s">
        <v>31</v>
      </c>
      <c r="E2456" s="2" t="s">
        <v>20</v>
      </c>
      <c r="F2456" s="2" t="n">
        <v>1327</v>
      </c>
      <c r="G2456" s="2" t="s">
        <v>20</v>
      </c>
      <c r="H2456" s="2" t="s">
        <v>20</v>
      </c>
      <c r="I2456" s="2" t="s">
        <v>21</v>
      </c>
      <c r="J2456" s="2" t="n">
        <v>29</v>
      </c>
      <c r="K2456" s="2" t="s">
        <v>22</v>
      </c>
      <c r="L2456" s="2" t="n">
        <v>174</v>
      </c>
      <c r="M2456" s="2" t="n">
        <v>2</v>
      </c>
      <c r="N2456" s="2" t="n">
        <v>-1</v>
      </c>
      <c r="O2456" s="2" t="n">
        <v>0</v>
      </c>
      <c r="P2456" s="2" t="s">
        <v>23</v>
      </c>
      <c r="Q2456" s="2" t="s">
        <v>20</v>
      </c>
    </row>
    <row r="2457" customFormat="false" ht="15" hidden="false" customHeight="false" outlineLevel="0" collapsed="false">
      <c r="A2457" s="2" t="n">
        <v>31</v>
      </c>
      <c r="B2457" s="2" t="s">
        <v>17</v>
      </c>
      <c r="C2457" s="2" t="s">
        <v>18</v>
      </c>
      <c r="D2457" s="2" t="s">
        <v>25</v>
      </c>
      <c r="E2457" s="2" t="s">
        <v>20</v>
      </c>
      <c r="F2457" s="2" t="n">
        <v>3242</v>
      </c>
      <c r="G2457" s="2" t="s">
        <v>20</v>
      </c>
      <c r="H2457" s="2" t="s">
        <v>20</v>
      </c>
      <c r="I2457" s="2" t="s">
        <v>23</v>
      </c>
      <c r="J2457" s="2" t="n">
        <v>25</v>
      </c>
      <c r="K2457" s="2" t="s">
        <v>33</v>
      </c>
      <c r="L2457" s="2" t="n">
        <v>292</v>
      </c>
      <c r="M2457" s="2" t="n">
        <v>2</v>
      </c>
      <c r="N2457" s="2" t="n">
        <v>-1</v>
      </c>
      <c r="O2457" s="2" t="n">
        <v>0</v>
      </c>
      <c r="P2457" s="2" t="s">
        <v>23</v>
      </c>
      <c r="Q2457" s="2" t="s">
        <v>20</v>
      </c>
    </row>
    <row r="2458" customFormat="false" ht="15" hidden="false" customHeight="false" outlineLevel="0" collapsed="false">
      <c r="A2458" s="2" t="n">
        <v>59</v>
      </c>
      <c r="B2458" s="2" t="s">
        <v>38</v>
      </c>
      <c r="C2458" s="2" t="s">
        <v>18</v>
      </c>
      <c r="D2458" s="2" t="s">
        <v>19</v>
      </c>
      <c r="E2458" s="2" t="s">
        <v>20</v>
      </c>
      <c r="F2458" s="2" t="n">
        <v>3163</v>
      </c>
      <c r="G2458" s="2" t="s">
        <v>26</v>
      </c>
      <c r="H2458" s="2" t="s">
        <v>20</v>
      </c>
      <c r="I2458" s="2" t="s">
        <v>23</v>
      </c>
      <c r="J2458" s="2" t="n">
        <v>29</v>
      </c>
      <c r="K2458" s="2" t="s">
        <v>27</v>
      </c>
      <c r="L2458" s="2" t="n">
        <v>240</v>
      </c>
      <c r="M2458" s="2" t="n">
        <v>2</v>
      </c>
      <c r="N2458" s="2" t="n">
        <v>-1</v>
      </c>
      <c r="O2458" s="2" t="n">
        <v>0</v>
      </c>
      <c r="P2458" s="2" t="s">
        <v>23</v>
      </c>
      <c r="Q2458" s="2" t="s">
        <v>20</v>
      </c>
    </row>
    <row r="2459" customFormat="false" ht="15" hidden="false" customHeight="false" outlineLevel="0" collapsed="false">
      <c r="A2459" s="2" t="n">
        <v>50</v>
      </c>
      <c r="B2459" s="2" t="s">
        <v>17</v>
      </c>
      <c r="C2459" s="2" t="s">
        <v>45</v>
      </c>
      <c r="D2459" s="2" t="s">
        <v>25</v>
      </c>
      <c r="E2459" s="2" t="s">
        <v>20</v>
      </c>
      <c r="F2459" s="2" t="n">
        <v>32</v>
      </c>
      <c r="G2459" s="2" t="s">
        <v>20</v>
      </c>
      <c r="H2459" s="2" t="s">
        <v>20</v>
      </c>
      <c r="I2459" s="2" t="s">
        <v>21</v>
      </c>
      <c r="J2459" s="2" t="n">
        <v>4</v>
      </c>
      <c r="K2459" s="2" t="s">
        <v>41</v>
      </c>
      <c r="L2459" s="2" t="n">
        <v>282</v>
      </c>
      <c r="M2459" s="2" t="n">
        <v>2</v>
      </c>
      <c r="N2459" s="2" t="n">
        <v>-1</v>
      </c>
      <c r="O2459" s="2" t="n">
        <v>0</v>
      </c>
      <c r="P2459" s="2" t="s">
        <v>23</v>
      </c>
      <c r="Q2459" s="2" t="s">
        <v>20</v>
      </c>
    </row>
    <row r="2460" customFormat="false" ht="15" hidden="false" customHeight="false" outlineLevel="0" collapsed="false">
      <c r="A2460" s="2" t="n">
        <v>47</v>
      </c>
      <c r="B2460" s="2" t="s">
        <v>40</v>
      </c>
      <c r="C2460" s="2" t="s">
        <v>18</v>
      </c>
      <c r="D2460" s="2" t="s">
        <v>25</v>
      </c>
      <c r="E2460" s="2" t="s">
        <v>20</v>
      </c>
      <c r="F2460" s="2" t="n">
        <v>310</v>
      </c>
      <c r="G2460" s="2" t="s">
        <v>26</v>
      </c>
      <c r="H2460" s="2" t="s">
        <v>26</v>
      </c>
      <c r="I2460" s="2" t="s">
        <v>49</v>
      </c>
      <c r="J2460" s="2" t="n">
        <v>14</v>
      </c>
      <c r="K2460" s="2" t="s">
        <v>41</v>
      </c>
      <c r="L2460" s="2" t="n">
        <v>128</v>
      </c>
      <c r="M2460" s="2" t="n">
        <v>6</v>
      </c>
      <c r="N2460" s="2" t="n">
        <v>-1</v>
      </c>
      <c r="O2460" s="2" t="n">
        <v>0</v>
      </c>
      <c r="P2460" s="2" t="s">
        <v>23</v>
      </c>
      <c r="Q2460" s="2" t="s">
        <v>20</v>
      </c>
    </row>
    <row r="2461" customFormat="false" ht="15" hidden="false" customHeight="false" outlineLevel="0" collapsed="false">
      <c r="A2461" s="2" t="n">
        <v>46</v>
      </c>
      <c r="B2461" s="2" t="s">
        <v>47</v>
      </c>
      <c r="C2461" s="2" t="s">
        <v>18</v>
      </c>
      <c r="D2461" s="2" t="s">
        <v>19</v>
      </c>
      <c r="E2461" s="2" t="s">
        <v>20</v>
      </c>
      <c r="F2461" s="2" t="n">
        <v>0</v>
      </c>
      <c r="G2461" s="2" t="s">
        <v>20</v>
      </c>
      <c r="H2461" s="2" t="s">
        <v>20</v>
      </c>
      <c r="I2461" s="2" t="s">
        <v>49</v>
      </c>
      <c r="J2461" s="2" t="n">
        <v>2</v>
      </c>
      <c r="K2461" s="2" t="s">
        <v>35</v>
      </c>
      <c r="L2461" s="2" t="n">
        <v>161</v>
      </c>
      <c r="M2461" s="2" t="n">
        <v>1</v>
      </c>
      <c r="N2461" s="2" t="n">
        <v>-1</v>
      </c>
      <c r="O2461" s="2" t="n">
        <v>0</v>
      </c>
      <c r="P2461" s="2" t="s">
        <v>23</v>
      </c>
      <c r="Q2461" s="2" t="s">
        <v>20</v>
      </c>
    </row>
    <row r="2462" customFormat="false" ht="15" hidden="false" customHeight="false" outlineLevel="0" collapsed="false">
      <c r="A2462" s="2" t="n">
        <v>26</v>
      </c>
      <c r="B2462" s="2" t="s">
        <v>34</v>
      </c>
      <c r="C2462" s="2" t="s">
        <v>30</v>
      </c>
      <c r="D2462" s="2" t="s">
        <v>19</v>
      </c>
      <c r="E2462" s="2" t="s">
        <v>20</v>
      </c>
      <c r="F2462" s="2" t="n">
        <v>155</v>
      </c>
      <c r="G2462" s="2" t="s">
        <v>26</v>
      </c>
      <c r="H2462" s="2" t="s">
        <v>20</v>
      </c>
      <c r="I2462" s="2" t="s">
        <v>21</v>
      </c>
      <c r="J2462" s="2" t="n">
        <v>29</v>
      </c>
      <c r="K2462" s="2" t="s">
        <v>43</v>
      </c>
      <c r="L2462" s="2" t="n">
        <v>291</v>
      </c>
      <c r="M2462" s="2" t="n">
        <v>1</v>
      </c>
      <c r="N2462" s="2" t="n">
        <v>244</v>
      </c>
      <c r="O2462" s="2" t="n">
        <v>4</v>
      </c>
      <c r="P2462" s="2" t="s">
        <v>28</v>
      </c>
      <c r="Q2462" s="2" t="s">
        <v>20</v>
      </c>
    </row>
    <row r="2463" customFormat="false" ht="15" hidden="false" customHeight="false" outlineLevel="0" collapsed="false">
      <c r="A2463" s="2" t="n">
        <v>31</v>
      </c>
      <c r="B2463" s="2" t="s">
        <v>24</v>
      </c>
      <c r="C2463" s="2" t="s">
        <v>30</v>
      </c>
      <c r="D2463" s="2" t="s">
        <v>25</v>
      </c>
      <c r="E2463" s="2" t="s">
        <v>20</v>
      </c>
      <c r="F2463" s="2" t="n">
        <v>11386</v>
      </c>
      <c r="G2463" s="2" t="s">
        <v>26</v>
      </c>
      <c r="H2463" s="2" t="s">
        <v>20</v>
      </c>
      <c r="I2463" s="2" t="s">
        <v>21</v>
      </c>
      <c r="J2463" s="2" t="n">
        <v>20</v>
      </c>
      <c r="K2463" s="2" t="s">
        <v>46</v>
      </c>
      <c r="L2463" s="2" t="n">
        <v>356</v>
      </c>
      <c r="M2463" s="2" t="n">
        <v>1</v>
      </c>
      <c r="N2463" s="2" t="n">
        <v>-1</v>
      </c>
      <c r="O2463" s="2" t="n">
        <v>0</v>
      </c>
      <c r="P2463" s="2" t="s">
        <v>23</v>
      </c>
      <c r="Q2463" s="2" t="s">
        <v>20</v>
      </c>
    </row>
    <row r="2464" customFormat="false" ht="15" hidden="false" customHeight="false" outlineLevel="0" collapsed="false">
      <c r="A2464" s="2" t="n">
        <v>30</v>
      </c>
      <c r="B2464" s="2" t="s">
        <v>24</v>
      </c>
      <c r="C2464" s="2" t="s">
        <v>18</v>
      </c>
      <c r="D2464" s="2" t="s">
        <v>31</v>
      </c>
      <c r="E2464" s="2" t="s">
        <v>20</v>
      </c>
      <c r="F2464" s="2" t="n">
        <v>1380</v>
      </c>
      <c r="G2464" s="2" t="s">
        <v>26</v>
      </c>
      <c r="H2464" s="2" t="s">
        <v>20</v>
      </c>
      <c r="I2464" s="2" t="s">
        <v>23</v>
      </c>
      <c r="J2464" s="2" t="n">
        <v>21</v>
      </c>
      <c r="K2464" s="2" t="s">
        <v>27</v>
      </c>
      <c r="L2464" s="2" t="n">
        <v>294</v>
      </c>
      <c r="M2464" s="2" t="n">
        <v>2</v>
      </c>
      <c r="N2464" s="2" t="n">
        <v>-1</v>
      </c>
      <c r="O2464" s="2" t="n">
        <v>0</v>
      </c>
      <c r="P2464" s="2" t="s">
        <v>23</v>
      </c>
      <c r="Q2464" s="2" t="s">
        <v>20</v>
      </c>
    </row>
    <row r="2465" customFormat="false" ht="15" hidden="false" customHeight="false" outlineLevel="0" collapsed="false">
      <c r="A2465" s="2" t="n">
        <v>47</v>
      </c>
      <c r="B2465" s="2" t="s">
        <v>34</v>
      </c>
      <c r="C2465" s="2" t="s">
        <v>30</v>
      </c>
      <c r="D2465" s="2" t="s">
        <v>23</v>
      </c>
      <c r="E2465" s="2" t="s">
        <v>20</v>
      </c>
      <c r="F2465" s="2" t="n">
        <v>2443</v>
      </c>
      <c r="G2465" s="2" t="s">
        <v>20</v>
      </c>
      <c r="H2465" s="2" t="s">
        <v>20</v>
      </c>
      <c r="I2465" s="2" t="s">
        <v>23</v>
      </c>
      <c r="J2465" s="2" t="n">
        <v>18</v>
      </c>
      <c r="K2465" s="2" t="s">
        <v>33</v>
      </c>
      <c r="L2465" s="2" t="n">
        <v>422</v>
      </c>
      <c r="M2465" s="2" t="n">
        <v>1</v>
      </c>
      <c r="N2465" s="2" t="n">
        <v>-1</v>
      </c>
      <c r="O2465" s="2" t="n">
        <v>0</v>
      </c>
      <c r="P2465" s="2" t="s">
        <v>23</v>
      </c>
      <c r="Q2465" s="2" t="s">
        <v>20</v>
      </c>
    </row>
    <row r="2466" customFormat="false" ht="15" hidden="false" customHeight="false" outlineLevel="0" collapsed="false">
      <c r="A2466" s="2" t="n">
        <v>23</v>
      </c>
      <c r="B2466" s="2" t="s">
        <v>38</v>
      </c>
      <c r="C2466" s="2" t="s">
        <v>30</v>
      </c>
      <c r="D2466" s="2" t="s">
        <v>31</v>
      </c>
      <c r="E2466" s="2" t="s">
        <v>20</v>
      </c>
      <c r="F2466" s="2" t="n">
        <v>1129</v>
      </c>
      <c r="G2466" s="2" t="s">
        <v>26</v>
      </c>
      <c r="H2466" s="2" t="s">
        <v>20</v>
      </c>
      <c r="I2466" s="2" t="s">
        <v>23</v>
      </c>
      <c r="J2466" s="2" t="n">
        <v>28</v>
      </c>
      <c r="K2466" s="2" t="s">
        <v>27</v>
      </c>
      <c r="L2466" s="2" t="n">
        <v>806</v>
      </c>
      <c r="M2466" s="2" t="n">
        <v>1</v>
      </c>
      <c r="N2466" s="2" t="n">
        <v>-1</v>
      </c>
      <c r="O2466" s="2" t="n">
        <v>0</v>
      </c>
      <c r="P2466" s="2" t="s">
        <v>23</v>
      </c>
      <c r="Q2466" s="2" t="s">
        <v>26</v>
      </c>
    </row>
    <row r="2467" customFormat="false" ht="15" hidden="false" customHeight="false" outlineLevel="0" collapsed="false">
      <c r="A2467" s="2" t="n">
        <v>44</v>
      </c>
      <c r="B2467" s="2" t="s">
        <v>17</v>
      </c>
      <c r="C2467" s="2" t="s">
        <v>30</v>
      </c>
      <c r="D2467" s="2" t="s">
        <v>19</v>
      </c>
      <c r="E2467" s="2" t="s">
        <v>20</v>
      </c>
      <c r="F2467" s="2" t="n">
        <v>4232</v>
      </c>
      <c r="G2467" s="2" t="s">
        <v>20</v>
      </c>
      <c r="H2467" s="2" t="s">
        <v>20</v>
      </c>
      <c r="I2467" s="2" t="s">
        <v>23</v>
      </c>
      <c r="J2467" s="2" t="n">
        <v>16</v>
      </c>
      <c r="K2467" s="2" t="s">
        <v>33</v>
      </c>
      <c r="L2467" s="2" t="n">
        <v>227</v>
      </c>
      <c r="M2467" s="2" t="n">
        <v>1</v>
      </c>
      <c r="N2467" s="2" t="n">
        <v>-1</v>
      </c>
      <c r="O2467" s="2" t="n">
        <v>0</v>
      </c>
      <c r="P2467" s="2" t="s">
        <v>23</v>
      </c>
      <c r="Q2467" s="2" t="s">
        <v>20</v>
      </c>
    </row>
    <row r="2468" customFormat="false" ht="15" hidden="false" customHeight="false" outlineLevel="0" collapsed="false">
      <c r="A2468" s="2" t="n">
        <v>42</v>
      </c>
      <c r="B2468" s="2" t="s">
        <v>36</v>
      </c>
      <c r="C2468" s="2" t="s">
        <v>18</v>
      </c>
      <c r="D2468" s="2" t="s">
        <v>25</v>
      </c>
      <c r="E2468" s="2" t="s">
        <v>20</v>
      </c>
      <c r="F2468" s="2" t="n">
        <v>5564</v>
      </c>
      <c r="G2468" s="2" t="s">
        <v>20</v>
      </c>
      <c r="H2468" s="2" t="s">
        <v>20</v>
      </c>
      <c r="I2468" s="2" t="s">
        <v>21</v>
      </c>
      <c r="J2468" s="2" t="n">
        <v>17</v>
      </c>
      <c r="K2468" s="2" t="s">
        <v>46</v>
      </c>
      <c r="L2468" s="2" t="n">
        <v>560</v>
      </c>
      <c r="M2468" s="2" t="n">
        <v>2</v>
      </c>
      <c r="N2468" s="2" t="n">
        <v>-1</v>
      </c>
      <c r="O2468" s="2" t="n">
        <v>0</v>
      </c>
      <c r="P2468" s="2" t="s">
        <v>23</v>
      </c>
      <c r="Q2468" s="2" t="s">
        <v>20</v>
      </c>
    </row>
    <row r="2469" customFormat="false" ht="15" hidden="false" customHeight="false" outlineLevel="0" collapsed="false">
      <c r="A2469" s="2" t="n">
        <v>32</v>
      </c>
      <c r="B2469" s="2" t="s">
        <v>24</v>
      </c>
      <c r="C2469" s="2" t="s">
        <v>30</v>
      </c>
      <c r="D2469" s="2" t="s">
        <v>25</v>
      </c>
      <c r="E2469" s="2" t="s">
        <v>20</v>
      </c>
      <c r="F2469" s="2" t="n">
        <v>-402</v>
      </c>
      <c r="G2469" s="2" t="s">
        <v>26</v>
      </c>
      <c r="H2469" s="2" t="s">
        <v>20</v>
      </c>
      <c r="I2469" s="2" t="s">
        <v>21</v>
      </c>
      <c r="J2469" s="2" t="n">
        <v>17</v>
      </c>
      <c r="K2469" s="2" t="s">
        <v>32</v>
      </c>
      <c r="L2469" s="2" t="n">
        <v>135</v>
      </c>
      <c r="M2469" s="2" t="n">
        <v>1</v>
      </c>
      <c r="N2469" s="2" t="n">
        <v>-1</v>
      </c>
      <c r="O2469" s="2" t="n">
        <v>0</v>
      </c>
      <c r="P2469" s="2" t="s">
        <v>23</v>
      </c>
      <c r="Q2469" s="2" t="s">
        <v>20</v>
      </c>
    </row>
    <row r="2470" customFormat="false" ht="15" hidden="false" customHeight="false" outlineLevel="0" collapsed="false">
      <c r="A2470" s="2" t="n">
        <v>28</v>
      </c>
      <c r="B2470" s="2" t="s">
        <v>40</v>
      </c>
      <c r="C2470" s="2" t="s">
        <v>30</v>
      </c>
      <c r="D2470" s="2" t="s">
        <v>25</v>
      </c>
      <c r="E2470" s="2" t="s">
        <v>20</v>
      </c>
      <c r="F2470" s="2" t="n">
        <v>1323</v>
      </c>
      <c r="G2470" s="2" t="s">
        <v>26</v>
      </c>
      <c r="H2470" s="2" t="s">
        <v>20</v>
      </c>
      <c r="I2470" s="2" t="s">
        <v>23</v>
      </c>
      <c r="J2470" s="2" t="n">
        <v>3</v>
      </c>
      <c r="K2470" s="2" t="s">
        <v>33</v>
      </c>
      <c r="L2470" s="2" t="n">
        <v>361</v>
      </c>
      <c r="M2470" s="2" t="n">
        <v>1</v>
      </c>
      <c r="N2470" s="2" t="n">
        <v>-1</v>
      </c>
      <c r="O2470" s="2" t="n">
        <v>0</v>
      </c>
      <c r="P2470" s="2" t="s">
        <v>23</v>
      </c>
      <c r="Q2470" s="2" t="s">
        <v>20</v>
      </c>
    </row>
    <row r="2471" customFormat="false" ht="15" hidden="false" customHeight="false" outlineLevel="0" collapsed="false">
      <c r="A2471" s="2" t="n">
        <v>57</v>
      </c>
      <c r="B2471" s="2" t="s">
        <v>48</v>
      </c>
      <c r="C2471" s="2" t="s">
        <v>18</v>
      </c>
      <c r="D2471" s="2" t="s">
        <v>19</v>
      </c>
      <c r="E2471" s="2" t="s">
        <v>20</v>
      </c>
      <c r="F2471" s="2" t="n">
        <v>1623</v>
      </c>
      <c r="G2471" s="2" t="s">
        <v>26</v>
      </c>
      <c r="H2471" s="2" t="s">
        <v>26</v>
      </c>
      <c r="I2471" s="2" t="s">
        <v>21</v>
      </c>
      <c r="J2471" s="2" t="n">
        <v>18</v>
      </c>
      <c r="K2471" s="2" t="s">
        <v>44</v>
      </c>
      <c r="L2471" s="2" t="n">
        <v>246</v>
      </c>
      <c r="M2471" s="2" t="n">
        <v>1</v>
      </c>
      <c r="N2471" s="2" t="n">
        <v>-1</v>
      </c>
      <c r="O2471" s="2" t="n">
        <v>0</v>
      </c>
      <c r="P2471" s="2" t="s">
        <v>23</v>
      </c>
      <c r="Q2471" s="2" t="s">
        <v>20</v>
      </c>
    </row>
    <row r="2472" customFormat="false" ht="15" hidden="false" customHeight="false" outlineLevel="0" collapsed="false">
      <c r="A2472" s="2" t="n">
        <v>38</v>
      </c>
      <c r="B2472" s="2" t="s">
        <v>38</v>
      </c>
      <c r="C2472" s="2" t="s">
        <v>18</v>
      </c>
      <c r="D2472" s="2" t="s">
        <v>31</v>
      </c>
      <c r="E2472" s="2" t="s">
        <v>20</v>
      </c>
      <c r="F2472" s="2" t="n">
        <v>1042</v>
      </c>
      <c r="G2472" s="2" t="s">
        <v>26</v>
      </c>
      <c r="H2472" s="2" t="s">
        <v>20</v>
      </c>
      <c r="I2472" s="2" t="s">
        <v>21</v>
      </c>
      <c r="J2472" s="2" t="n">
        <v>4</v>
      </c>
      <c r="K2472" s="2" t="s">
        <v>35</v>
      </c>
      <c r="L2472" s="2" t="n">
        <v>419</v>
      </c>
      <c r="M2472" s="2" t="n">
        <v>2</v>
      </c>
      <c r="N2472" s="2" t="n">
        <v>-1</v>
      </c>
      <c r="O2472" s="2" t="n">
        <v>0</v>
      </c>
      <c r="P2472" s="2" t="s">
        <v>23</v>
      </c>
      <c r="Q2472" s="2" t="s">
        <v>20</v>
      </c>
    </row>
    <row r="2473" customFormat="false" ht="15" hidden="false" customHeight="false" outlineLevel="0" collapsed="false">
      <c r="A2473" s="2" t="n">
        <v>22</v>
      </c>
      <c r="B2473" s="2" t="s">
        <v>42</v>
      </c>
      <c r="C2473" s="2" t="s">
        <v>30</v>
      </c>
      <c r="D2473" s="2" t="s">
        <v>25</v>
      </c>
      <c r="E2473" s="2" t="s">
        <v>20</v>
      </c>
      <c r="F2473" s="2" t="n">
        <v>2488</v>
      </c>
      <c r="G2473" s="2" t="s">
        <v>20</v>
      </c>
      <c r="H2473" s="2" t="s">
        <v>20</v>
      </c>
      <c r="I2473" s="2" t="s">
        <v>21</v>
      </c>
      <c r="J2473" s="2" t="n">
        <v>8</v>
      </c>
      <c r="K2473" s="2" t="s">
        <v>46</v>
      </c>
      <c r="L2473" s="2" t="n">
        <v>449</v>
      </c>
      <c r="M2473" s="2" t="n">
        <v>2</v>
      </c>
      <c r="N2473" s="2" t="n">
        <v>38</v>
      </c>
      <c r="O2473" s="2" t="n">
        <v>10</v>
      </c>
      <c r="P2473" s="2" t="s">
        <v>37</v>
      </c>
      <c r="Q2473" s="2" t="s">
        <v>26</v>
      </c>
    </row>
    <row r="2474" customFormat="false" ht="15" hidden="false" customHeight="false" outlineLevel="0" collapsed="false">
      <c r="A2474" s="2" t="n">
        <v>54</v>
      </c>
      <c r="B2474" s="2" t="s">
        <v>40</v>
      </c>
      <c r="C2474" s="2" t="s">
        <v>18</v>
      </c>
      <c r="D2474" s="2" t="s">
        <v>25</v>
      </c>
      <c r="E2474" s="2" t="s">
        <v>20</v>
      </c>
      <c r="F2474" s="2" t="n">
        <v>865</v>
      </c>
      <c r="G2474" s="2" t="s">
        <v>26</v>
      </c>
      <c r="H2474" s="2" t="s">
        <v>20</v>
      </c>
      <c r="I2474" s="2" t="s">
        <v>21</v>
      </c>
      <c r="J2474" s="2" t="n">
        <v>17</v>
      </c>
      <c r="K2474" s="2" t="s">
        <v>46</v>
      </c>
      <c r="L2474" s="2" t="n">
        <v>71</v>
      </c>
      <c r="M2474" s="2" t="n">
        <v>1</v>
      </c>
      <c r="N2474" s="2" t="n">
        <v>-1</v>
      </c>
      <c r="O2474" s="2" t="n">
        <v>0</v>
      </c>
      <c r="P2474" s="2" t="s">
        <v>23</v>
      </c>
      <c r="Q2474" s="2" t="s">
        <v>20</v>
      </c>
    </row>
    <row r="2475" customFormat="false" ht="15" hidden="false" customHeight="false" outlineLevel="0" collapsed="false">
      <c r="A2475" s="2" t="n">
        <v>32</v>
      </c>
      <c r="B2475" s="2" t="s">
        <v>38</v>
      </c>
      <c r="C2475" s="2" t="s">
        <v>18</v>
      </c>
      <c r="D2475" s="2" t="s">
        <v>31</v>
      </c>
      <c r="E2475" s="2" t="s">
        <v>20</v>
      </c>
      <c r="F2475" s="2" t="n">
        <v>-1053</v>
      </c>
      <c r="G2475" s="2" t="s">
        <v>26</v>
      </c>
      <c r="H2475" s="2" t="s">
        <v>20</v>
      </c>
      <c r="I2475" s="2" t="s">
        <v>21</v>
      </c>
      <c r="J2475" s="2" t="n">
        <v>21</v>
      </c>
      <c r="K2475" s="2" t="s">
        <v>44</v>
      </c>
      <c r="L2475" s="2" t="n">
        <v>357</v>
      </c>
      <c r="M2475" s="2" t="n">
        <v>3</v>
      </c>
      <c r="N2475" s="2" t="n">
        <v>-1</v>
      </c>
      <c r="O2475" s="2" t="n">
        <v>0</v>
      </c>
      <c r="P2475" s="2" t="s">
        <v>23</v>
      </c>
      <c r="Q2475" s="2" t="s">
        <v>20</v>
      </c>
    </row>
    <row r="2476" customFormat="false" ht="15" hidden="false" customHeight="false" outlineLevel="0" collapsed="false">
      <c r="A2476" s="2" t="n">
        <v>32</v>
      </c>
      <c r="B2476" s="2" t="s">
        <v>29</v>
      </c>
      <c r="C2476" s="2" t="s">
        <v>18</v>
      </c>
      <c r="D2476" s="2" t="s">
        <v>31</v>
      </c>
      <c r="E2476" s="2" t="s">
        <v>20</v>
      </c>
      <c r="F2476" s="2" t="n">
        <v>1667</v>
      </c>
      <c r="G2476" s="2" t="s">
        <v>26</v>
      </c>
      <c r="H2476" s="2" t="s">
        <v>20</v>
      </c>
      <c r="I2476" s="2" t="s">
        <v>21</v>
      </c>
      <c r="J2476" s="2" t="n">
        <v>18</v>
      </c>
      <c r="K2476" s="2" t="s">
        <v>46</v>
      </c>
      <c r="L2476" s="2" t="n">
        <v>164</v>
      </c>
      <c r="M2476" s="2" t="n">
        <v>2</v>
      </c>
      <c r="N2476" s="2" t="n">
        <v>179</v>
      </c>
      <c r="O2476" s="2" t="n">
        <v>3</v>
      </c>
      <c r="P2476" s="2" t="s">
        <v>28</v>
      </c>
      <c r="Q2476" s="2" t="s">
        <v>20</v>
      </c>
    </row>
    <row r="2477" customFormat="false" ht="15" hidden="false" customHeight="false" outlineLevel="0" collapsed="false">
      <c r="A2477" s="2" t="n">
        <v>59</v>
      </c>
      <c r="B2477" s="2" t="s">
        <v>40</v>
      </c>
      <c r="C2477" s="2" t="s">
        <v>45</v>
      </c>
      <c r="D2477" s="2" t="s">
        <v>25</v>
      </c>
      <c r="E2477" s="2" t="s">
        <v>20</v>
      </c>
      <c r="F2477" s="2" t="n">
        <v>975</v>
      </c>
      <c r="G2477" s="2" t="s">
        <v>26</v>
      </c>
      <c r="H2477" s="2" t="s">
        <v>20</v>
      </c>
      <c r="I2477" s="2" t="s">
        <v>23</v>
      </c>
      <c r="J2477" s="2" t="n">
        <v>15</v>
      </c>
      <c r="K2477" s="2" t="s">
        <v>27</v>
      </c>
      <c r="L2477" s="2" t="n">
        <v>263</v>
      </c>
      <c r="M2477" s="2" t="n">
        <v>4</v>
      </c>
      <c r="N2477" s="2" t="n">
        <v>-1</v>
      </c>
      <c r="O2477" s="2" t="n">
        <v>0</v>
      </c>
      <c r="P2477" s="2" t="s">
        <v>23</v>
      </c>
      <c r="Q2477" s="2" t="s">
        <v>20</v>
      </c>
    </row>
    <row r="2478" customFormat="false" ht="15" hidden="false" customHeight="false" outlineLevel="0" collapsed="false">
      <c r="A2478" s="2" t="n">
        <v>45</v>
      </c>
      <c r="B2478" s="2" t="s">
        <v>38</v>
      </c>
      <c r="C2478" s="2" t="s">
        <v>18</v>
      </c>
      <c r="D2478" s="2" t="s">
        <v>25</v>
      </c>
      <c r="E2478" s="2" t="s">
        <v>20</v>
      </c>
      <c r="F2478" s="2" t="n">
        <v>2571</v>
      </c>
      <c r="G2478" s="2" t="s">
        <v>20</v>
      </c>
      <c r="H2478" s="2" t="s">
        <v>20</v>
      </c>
      <c r="I2478" s="2" t="s">
        <v>23</v>
      </c>
      <c r="J2478" s="2" t="n">
        <v>18</v>
      </c>
      <c r="K2478" s="2" t="s">
        <v>33</v>
      </c>
      <c r="L2478" s="2" t="n">
        <v>146</v>
      </c>
      <c r="M2478" s="2" t="n">
        <v>2</v>
      </c>
      <c r="N2478" s="2" t="n">
        <v>-1</v>
      </c>
      <c r="O2478" s="2" t="n">
        <v>0</v>
      </c>
      <c r="P2478" s="2" t="s">
        <v>23</v>
      </c>
      <c r="Q2478" s="2" t="s">
        <v>20</v>
      </c>
    </row>
    <row r="2479" customFormat="false" ht="15" hidden="false" customHeight="false" outlineLevel="0" collapsed="false">
      <c r="A2479" s="2" t="n">
        <v>53</v>
      </c>
      <c r="B2479" s="2" t="s">
        <v>23</v>
      </c>
      <c r="C2479" s="2" t="s">
        <v>18</v>
      </c>
      <c r="D2479" s="2" t="s">
        <v>19</v>
      </c>
      <c r="E2479" s="2" t="s">
        <v>20</v>
      </c>
      <c r="F2479" s="2" t="n">
        <v>732</v>
      </c>
      <c r="G2479" s="2" t="s">
        <v>20</v>
      </c>
      <c r="H2479" s="2" t="s">
        <v>20</v>
      </c>
      <c r="I2479" s="2" t="s">
        <v>21</v>
      </c>
      <c r="J2479" s="2" t="n">
        <v>27</v>
      </c>
      <c r="K2479" s="2" t="s">
        <v>22</v>
      </c>
      <c r="L2479" s="2" t="n">
        <v>759</v>
      </c>
      <c r="M2479" s="2" t="n">
        <v>2</v>
      </c>
      <c r="N2479" s="2" t="n">
        <v>-1</v>
      </c>
      <c r="O2479" s="2" t="n">
        <v>0</v>
      </c>
      <c r="P2479" s="2" t="s">
        <v>23</v>
      </c>
      <c r="Q2479" s="2" t="s">
        <v>26</v>
      </c>
    </row>
    <row r="2480" customFormat="false" ht="15" hidden="false" customHeight="false" outlineLevel="0" collapsed="false">
      <c r="A2480" s="2" t="n">
        <v>50</v>
      </c>
      <c r="B2480" s="2" t="s">
        <v>40</v>
      </c>
      <c r="C2480" s="2" t="s">
        <v>45</v>
      </c>
      <c r="D2480" s="2" t="s">
        <v>25</v>
      </c>
      <c r="E2480" s="2" t="s">
        <v>20</v>
      </c>
      <c r="F2480" s="2" t="n">
        <v>769</v>
      </c>
      <c r="G2480" s="2" t="s">
        <v>20</v>
      </c>
      <c r="H2480" s="2" t="s">
        <v>20</v>
      </c>
      <c r="I2480" s="2" t="s">
        <v>21</v>
      </c>
      <c r="J2480" s="2" t="n">
        <v>28</v>
      </c>
      <c r="K2480" s="2" t="s">
        <v>44</v>
      </c>
      <c r="L2480" s="2" t="n">
        <v>72</v>
      </c>
      <c r="M2480" s="2" t="n">
        <v>2</v>
      </c>
      <c r="N2480" s="2" t="n">
        <v>363</v>
      </c>
      <c r="O2480" s="2" t="n">
        <v>4</v>
      </c>
      <c r="P2480" s="2" t="s">
        <v>28</v>
      </c>
      <c r="Q2480" s="2" t="s">
        <v>20</v>
      </c>
    </row>
    <row r="2481" customFormat="false" ht="15" hidden="false" customHeight="false" outlineLevel="0" collapsed="false">
      <c r="A2481" s="2" t="n">
        <v>34</v>
      </c>
      <c r="B2481" s="2" t="s">
        <v>38</v>
      </c>
      <c r="C2481" s="2" t="s">
        <v>18</v>
      </c>
      <c r="D2481" s="2" t="s">
        <v>25</v>
      </c>
      <c r="E2481" s="2" t="s">
        <v>20</v>
      </c>
      <c r="F2481" s="2" t="n">
        <v>-136</v>
      </c>
      <c r="G2481" s="2" t="s">
        <v>26</v>
      </c>
      <c r="H2481" s="2" t="s">
        <v>26</v>
      </c>
      <c r="I2481" s="2" t="s">
        <v>21</v>
      </c>
      <c r="J2481" s="2" t="n">
        <v>12</v>
      </c>
      <c r="K2481" s="2" t="s">
        <v>41</v>
      </c>
      <c r="L2481" s="2" t="n">
        <v>131</v>
      </c>
      <c r="M2481" s="2" t="n">
        <v>2</v>
      </c>
      <c r="N2481" s="2" t="n">
        <v>-1</v>
      </c>
      <c r="O2481" s="2" t="n">
        <v>0</v>
      </c>
      <c r="P2481" s="2" t="s">
        <v>23</v>
      </c>
      <c r="Q2481" s="2" t="s">
        <v>20</v>
      </c>
    </row>
    <row r="2482" customFormat="false" ht="15" hidden="false" customHeight="false" outlineLevel="0" collapsed="false">
      <c r="A2482" s="2" t="n">
        <v>35</v>
      </c>
      <c r="B2482" s="2" t="s">
        <v>40</v>
      </c>
      <c r="C2482" s="2" t="s">
        <v>45</v>
      </c>
      <c r="D2482" s="2" t="s">
        <v>25</v>
      </c>
      <c r="E2482" s="2" t="s">
        <v>20</v>
      </c>
      <c r="F2482" s="2" t="n">
        <v>3636</v>
      </c>
      <c r="G2482" s="2" t="s">
        <v>20</v>
      </c>
      <c r="H2482" s="2" t="s">
        <v>26</v>
      </c>
      <c r="I2482" s="2" t="s">
        <v>21</v>
      </c>
      <c r="J2482" s="2" t="n">
        <v>21</v>
      </c>
      <c r="K2482" s="2" t="s">
        <v>46</v>
      </c>
      <c r="L2482" s="2" t="n">
        <v>808</v>
      </c>
      <c r="M2482" s="2" t="n">
        <v>2</v>
      </c>
      <c r="N2482" s="2" t="n">
        <v>-1</v>
      </c>
      <c r="O2482" s="2" t="n">
        <v>0</v>
      </c>
      <c r="P2482" s="2" t="s">
        <v>23</v>
      </c>
      <c r="Q2482" s="2" t="s">
        <v>26</v>
      </c>
    </row>
    <row r="2483" customFormat="false" ht="15" hidden="false" customHeight="false" outlineLevel="0" collapsed="false">
      <c r="A2483" s="2" t="n">
        <v>30</v>
      </c>
      <c r="B2483" s="2" t="s">
        <v>29</v>
      </c>
      <c r="C2483" s="2" t="s">
        <v>18</v>
      </c>
      <c r="D2483" s="2" t="s">
        <v>31</v>
      </c>
      <c r="E2483" s="2" t="s">
        <v>20</v>
      </c>
      <c r="F2483" s="2" t="n">
        <v>931</v>
      </c>
      <c r="G2483" s="2" t="s">
        <v>20</v>
      </c>
      <c r="H2483" s="2" t="s">
        <v>20</v>
      </c>
      <c r="I2483" s="2" t="s">
        <v>21</v>
      </c>
      <c r="J2483" s="2" t="n">
        <v>17</v>
      </c>
      <c r="K2483" s="2" t="s">
        <v>44</v>
      </c>
      <c r="L2483" s="2" t="n">
        <v>1183</v>
      </c>
      <c r="M2483" s="2" t="n">
        <v>1</v>
      </c>
      <c r="N2483" s="2" t="n">
        <v>-1</v>
      </c>
      <c r="O2483" s="2" t="n">
        <v>0</v>
      </c>
      <c r="P2483" s="2" t="s">
        <v>23</v>
      </c>
      <c r="Q2483" s="2" t="s">
        <v>20</v>
      </c>
    </row>
    <row r="2484" customFormat="false" ht="15" hidden="false" customHeight="false" outlineLevel="0" collapsed="false">
      <c r="A2484" s="2" t="n">
        <v>62</v>
      </c>
      <c r="B2484" s="2" t="s">
        <v>47</v>
      </c>
      <c r="C2484" s="2" t="s">
        <v>18</v>
      </c>
      <c r="D2484" s="2" t="s">
        <v>25</v>
      </c>
      <c r="E2484" s="2" t="s">
        <v>20</v>
      </c>
      <c r="F2484" s="2" t="n">
        <v>565</v>
      </c>
      <c r="G2484" s="2" t="s">
        <v>20</v>
      </c>
      <c r="H2484" s="2" t="s">
        <v>20</v>
      </c>
      <c r="I2484" s="2" t="s">
        <v>21</v>
      </c>
      <c r="J2484" s="2" t="n">
        <v>4</v>
      </c>
      <c r="K2484" s="2" t="s">
        <v>51</v>
      </c>
      <c r="L2484" s="2" t="n">
        <v>123</v>
      </c>
      <c r="M2484" s="2" t="n">
        <v>3</v>
      </c>
      <c r="N2484" s="2" t="n">
        <v>-1</v>
      </c>
      <c r="O2484" s="2" t="n">
        <v>0</v>
      </c>
      <c r="P2484" s="2" t="s">
        <v>23</v>
      </c>
      <c r="Q2484" s="2" t="s">
        <v>20</v>
      </c>
    </row>
    <row r="2485" customFormat="false" ht="15" hidden="false" customHeight="false" outlineLevel="0" collapsed="false">
      <c r="A2485" s="2" t="n">
        <v>40</v>
      </c>
      <c r="B2485" s="2" t="s">
        <v>34</v>
      </c>
      <c r="C2485" s="2" t="s">
        <v>18</v>
      </c>
      <c r="D2485" s="2" t="s">
        <v>25</v>
      </c>
      <c r="E2485" s="2" t="s">
        <v>20</v>
      </c>
      <c r="F2485" s="2" t="n">
        <v>271</v>
      </c>
      <c r="G2485" s="2" t="s">
        <v>26</v>
      </c>
      <c r="H2485" s="2" t="s">
        <v>20</v>
      </c>
      <c r="I2485" s="2" t="s">
        <v>23</v>
      </c>
      <c r="J2485" s="2" t="n">
        <v>29</v>
      </c>
      <c r="K2485" s="2" t="s">
        <v>27</v>
      </c>
      <c r="L2485" s="2" t="n">
        <v>483</v>
      </c>
      <c r="M2485" s="2" t="n">
        <v>2</v>
      </c>
      <c r="N2485" s="2" t="n">
        <v>-1</v>
      </c>
      <c r="O2485" s="2" t="n">
        <v>0</v>
      </c>
      <c r="P2485" s="2" t="s">
        <v>23</v>
      </c>
      <c r="Q2485" s="2" t="s">
        <v>20</v>
      </c>
    </row>
    <row r="2486" customFormat="false" ht="15" hidden="false" customHeight="false" outlineLevel="0" collapsed="false">
      <c r="A2486" s="2" t="n">
        <v>26</v>
      </c>
      <c r="B2486" s="2" t="s">
        <v>36</v>
      </c>
      <c r="C2486" s="2" t="s">
        <v>30</v>
      </c>
      <c r="D2486" s="2" t="s">
        <v>31</v>
      </c>
      <c r="E2486" s="2" t="s">
        <v>20</v>
      </c>
      <c r="F2486" s="2" t="n">
        <v>1153</v>
      </c>
      <c r="G2486" s="2" t="s">
        <v>20</v>
      </c>
      <c r="H2486" s="2" t="s">
        <v>20</v>
      </c>
      <c r="I2486" s="2" t="s">
        <v>21</v>
      </c>
      <c r="J2486" s="2" t="n">
        <v>4</v>
      </c>
      <c r="K2486" s="2" t="s">
        <v>27</v>
      </c>
      <c r="L2486" s="2" t="n">
        <v>238</v>
      </c>
      <c r="M2486" s="2" t="n">
        <v>3</v>
      </c>
      <c r="N2486" s="2" t="n">
        <v>-1</v>
      </c>
      <c r="O2486" s="2" t="n">
        <v>0</v>
      </c>
      <c r="P2486" s="2" t="s">
        <v>23</v>
      </c>
      <c r="Q2486" s="2" t="s">
        <v>20</v>
      </c>
    </row>
    <row r="2487" customFormat="false" ht="15" hidden="false" customHeight="false" outlineLevel="0" collapsed="false">
      <c r="A2487" s="2" t="n">
        <v>34</v>
      </c>
      <c r="B2487" s="2" t="s">
        <v>29</v>
      </c>
      <c r="C2487" s="2" t="s">
        <v>18</v>
      </c>
      <c r="D2487" s="2" t="s">
        <v>31</v>
      </c>
      <c r="E2487" s="2" t="s">
        <v>20</v>
      </c>
      <c r="F2487" s="2" t="n">
        <v>-73</v>
      </c>
      <c r="G2487" s="2" t="s">
        <v>26</v>
      </c>
      <c r="H2487" s="2" t="s">
        <v>20</v>
      </c>
      <c r="I2487" s="2" t="s">
        <v>21</v>
      </c>
      <c r="J2487" s="2" t="n">
        <v>11</v>
      </c>
      <c r="K2487" s="2" t="s">
        <v>44</v>
      </c>
      <c r="L2487" s="2" t="n">
        <v>90</v>
      </c>
      <c r="M2487" s="2" t="n">
        <v>1</v>
      </c>
      <c r="N2487" s="2" t="n">
        <v>-1</v>
      </c>
      <c r="O2487" s="2" t="n">
        <v>0</v>
      </c>
      <c r="P2487" s="2" t="s">
        <v>23</v>
      </c>
      <c r="Q2487" s="2" t="s">
        <v>20</v>
      </c>
    </row>
    <row r="2488" customFormat="false" ht="15" hidden="false" customHeight="false" outlineLevel="0" collapsed="false">
      <c r="A2488" s="2" t="n">
        <v>50</v>
      </c>
      <c r="B2488" s="2" t="s">
        <v>23</v>
      </c>
      <c r="C2488" s="2" t="s">
        <v>18</v>
      </c>
      <c r="D2488" s="2" t="s">
        <v>23</v>
      </c>
      <c r="E2488" s="2" t="s">
        <v>20</v>
      </c>
      <c r="F2488" s="2" t="n">
        <v>558</v>
      </c>
      <c r="G2488" s="2" t="s">
        <v>20</v>
      </c>
      <c r="H2488" s="2" t="s">
        <v>20</v>
      </c>
      <c r="I2488" s="2" t="s">
        <v>21</v>
      </c>
      <c r="J2488" s="2" t="n">
        <v>9</v>
      </c>
      <c r="K2488" s="2" t="s">
        <v>44</v>
      </c>
      <c r="L2488" s="2" t="n">
        <v>464</v>
      </c>
      <c r="M2488" s="2" t="n">
        <v>1</v>
      </c>
      <c r="N2488" s="2" t="n">
        <v>683</v>
      </c>
      <c r="O2488" s="2" t="n">
        <v>6</v>
      </c>
      <c r="P2488" s="2" t="s">
        <v>28</v>
      </c>
      <c r="Q2488" s="2" t="s">
        <v>26</v>
      </c>
    </row>
    <row r="2489" customFormat="false" ht="15" hidden="false" customHeight="false" outlineLevel="0" collapsed="false">
      <c r="A2489" s="2" t="n">
        <v>31</v>
      </c>
      <c r="B2489" s="2" t="s">
        <v>23</v>
      </c>
      <c r="C2489" s="2" t="s">
        <v>45</v>
      </c>
      <c r="D2489" s="2" t="s">
        <v>31</v>
      </c>
      <c r="E2489" s="2" t="s">
        <v>20</v>
      </c>
      <c r="F2489" s="2" t="n">
        <v>137</v>
      </c>
      <c r="G2489" s="2" t="s">
        <v>20</v>
      </c>
      <c r="H2489" s="2" t="s">
        <v>20</v>
      </c>
      <c r="I2489" s="2" t="s">
        <v>21</v>
      </c>
      <c r="J2489" s="2" t="n">
        <v>22</v>
      </c>
      <c r="K2489" s="2" t="s">
        <v>41</v>
      </c>
      <c r="L2489" s="2" t="n">
        <v>385</v>
      </c>
      <c r="M2489" s="2" t="n">
        <v>9</v>
      </c>
      <c r="N2489" s="2" t="n">
        <v>-1</v>
      </c>
      <c r="O2489" s="2" t="n">
        <v>0</v>
      </c>
      <c r="P2489" s="2" t="s">
        <v>23</v>
      </c>
      <c r="Q2489" s="2" t="s">
        <v>20</v>
      </c>
    </row>
    <row r="2490" customFormat="false" ht="15" hidden="false" customHeight="false" outlineLevel="0" collapsed="false">
      <c r="A2490" s="2" t="n">
        <v>35</v>
      </c>
      <c r="B2490" s="2" t="s">
        <v>38</v>
      </c>
      <c r="C2490" s="2" t="s">
        <v>18</v>
      </c>
      <c r="D2490" s="2" t="s">
        <v>25</v>
      </c>
      <c r="E2490" s="2" t="s">
        <v>20</v>
      </c>
      <c r="F2490" s="2" t="n">
        <v>700</v>
      </c>
      <c r="G2490" s="2" t="s">
        <v>26</v>
      </c>
      <c r="H2490" s="2" t="s">
        <v>20</v>
      </c>
      <c r="I2490" s="2" t="s">
        <v>23</v>
      </c>
      <c r="J2490" s="2" t="n">
        <v>23</v>
      </c>
      <c r="K2490" s="2" t="s">
        <v>27</v>
      </c>
      <c r="L2490" s="2" t="n">
        <v>240</v>
      </c>
      <c r="M2490" s="2" t="n">
        <v>2</v>
      </c>
      <c r="N2490" s="2" t="n">
        <v>-1</v>
      </c>
      <c r="O2490" s="2" t="n">
        <v>0</v>
      </c>
      <c r="P2490" s="2" t="s">
        <v>23</v>
      </c>
      <c r="Q2490" s="2" t="s">
        <v>20</v>
      </c>
    </row>
    <row r="2491" customFormat="false" ht="15" hidden="false" customHeight="false" outlineLevel="0" collapsed="false">
      <c r="A2491" s="2" t="n">
        <v>55</v>
      </c>
      <c r="B2491" s="2" t="s">
        <v>48</v>
      </c>
      <c r="C2491" s="2" t="s">
        <v>18</v>
      </c>
      <c r="D2491" s="2" t="s">
        <v>19</v>
      </c>
      <c r="E2491" s="2" t="s">
        <v>20</v>
      </c>
      <c r="F2491" s="2" t="n">
        <v>-966</v>
      </c>
      <c r="G2491" s="2" t="s">
        <v>20</v>
      </c>
      <c r="H2491" s="2" t="s">
        <v>26</v>
      </c>
      <c r="I2491" s="2" t="s">
        <v>21</v>
      </c>
      <c r="J2491" s="2" t="n">
        <v>14</v>
      </c>
      <c r="K2491" s="2" t="s">
        <v>27</v>
      </c>
      <c r="L2491" s="2" t="n">
        <v>104</v>
      </c>
      <c r="M2491" s="2" t="n">
        <v>1</v>
      </c>
      <c r="N2491" s="2" t="n">
        <v>-1</v>
      </c>
      <c r="O2491" s="2" t="n">
        <v>0</v>
      </c>
      <c r="P2491" s="2" t="s">
        <v>23</v>
      </c>
      <c r="Q2491" s="2" t="s">
        <v>20</v>
      </c>
    </row>
    <row r="2492" customFormat="false" ht="15" hidden="false" customHeight="false" outlineLevel="0" collapsed="false">
      <c r="A2492" s="2" t="n">
        <v>34</v>
      </c>
      <c r="B2492" s="2" t="s">
        <v>40</v>
      </c>
      <c r="C2492" s="2" t="s">
        <v>18</v>
      </c>
      <c r="D2492" s="2" t="s">
        <v>25</v>
      </c>
      <c r="E2492" s="2" t="s">
        <v>20</v>
      </c>
      <c r="F2492" s="2" t="n">
        <v>96</v>
      </c>
      <c r="G2492" s="2" t="s">
        <v>20</v>
      </c>
      <c r="H2492" s="2" t="s">
        <v>20</v>
      </c>
      <c r="I2492" s="2" t="s">
        <v>21</v>
      </c>
      <c r="J2492" s="2" t="n">
        <v>29</v>
      </c>
      <c r="K2492" s="2" t="s">
        <v>41</v>
      </c>
      <c r="L2492" s="2" t="n">
        <v>109</v>
      </c>
      <c r="M2492" s="2" t="n">
        <v>2</v>
      </c>
      <c r="N2492" s="2" t="n">
        <v>-1</v>
      </c>
      <c r="O2492" s="2" t="n">
        <v>0</v>
      </c>
      <c r="P2492" s="2" t="s">
        <v>23</v>
      </c>
      <c r="Q2492" s="2" t="s">
        <v>20</v>
      </c>
    </row>
    <row r="2493" customFormat="false" ht="15" hidden="false" customHeight="false" outlineLevel="0" collapsed="false">
      <c r="A2493" s="2" t="n">
        <v>58</v>
      </c>
      <c r="B2493" s="2" t="s">
        <v>48</v>
      </c>
      <c r="C2493" s="2" t="s">
        <v>18</v>
      </c>
      <c r="D2493" s="2" t="s">
        <v>19</v>
      </c>
      <c r="E2493" s="2" t="s">
        <v>20</v>
      </c>
      <c r="F2493" s="2" t="n">
        <v>4007</v>
      </c>
      <c r="G2493" s="2" t="s">
        <v>20</v>
      </c>
      <c r="H2493" s="2" t="s">
        <v>20</v>
      </c>
      <c r="I2493" s="2" t="s">
        <v>21</v>
      </c>
      <c r="J2493" s="2" t="n">
        <v>30</v>
      </c>
      <c r="K2493" s="2" t="s">
        <v>46</v>
      </c>
      <c r="L2493" s="2" t="n">
        <v>598</v>
      </c>
      <c r="M2493" s="2" t="n">
        <v>4</v>
      </c>
      <c r="N2493" s="2" t="n">
        <v>-1</v>
      </c>
      <c r="O2493" s="2" t="n">
        <v>0</v>
      </c>
      <c r="P2493" s="2" t="s">
        <v>23</v>
      </c>
      <c r="Q2493" s="2" t="s">
        <v>20</v>
      </c>
    </row>
    <row r="2494" customFormat="false" ht="15" hidden="false" customHeight="false" outlineLevel="0" collapsed="false">
      <c r="A2494" s="2" t="n">
        <v>50</v>
      </c>
      <c r="B2494" s="2" t="s">
        <v>29</v>
      </c>
      <c r="C2494" s="2" t="s">
        <v>30</v>
      </c>
      <c r="D2494" s="2" t="s">
        <v>31</v>
      </c>
      <c r="E2494" s="2" t="s">
        <v>20</v>
      </c>
      <c r="F2494" s="2" t="n">
        <v>567</v>
      </c>
      <c r="G2494" s="2" t="s">
        <v>26</v>
      </c>
      <c r="H2494" s="2" t="s">
        <v>20</v>
      </c>
      <c r="I2494" s="2" t="s">
        <v>23</v>
      </c>
      <c r="J2494" s="2" t="n">
        <v>16</v>
      </c>
      <c r="K2494" s="2" t="s">
        <v>27</v>
      </c>
      <c r="L2494" s="2" t="n">
        <v>274</v>
      </c>
      <c r="M2494" s="2" t="n">
        <v>8</v>
      </c>
      <c r="N2494" s="2" t="n">
        <v>-1</v>
      </c>
      <c r="O2494" s="2" t="n">
        <v>0</v>
      </c>
      <c r="P2494" s="2" t="s">
        <v>23</v>
      </c>
      <c r="Q2494" s="2" t="s">
        <v>20</v>
      </c>
    </row>
    <row r="2495" customFormat="false" ht="15" hidden="false" customHeight="false" outlineLevel="0" collapsed="false">
      <c r="A2495" s="2" t="n">
        <v>31</v>
      </c>
      <c r="B2495" s="2" t="s">
        <v>38</v>
      </c>
      <c r="C2495" s="2" t="s">
        <v>30</v>
      </c>
      <c r="D2495" s="2" t="s">
        <v>25</v>
      </c>
      <c r="E2495" s="2" t="s">
        <v>20</v>
      </c>
      <c r="F2495" s="2" t="n">
        <v>40</v>
      </c>
      <c r="G2495" s="2" t="s">
        <v>20</v>
      </c>
      <c r="H2495" s="2" t="s">
        <v>20</v>
      </c>
      <c r="I2495" s="2" t="s">
        <v>21</v>
      </c>
      <c r="J2495" s="2" t="n">
        <v>7</v>
      </c>
      <c r="K2495" s="2" t="s">
        <v>41</v>
      </c>
      <c r="L2495" s="2" t="n">
        <v>123</v>
      </c>
      <c r="M2495" s="2" t="n">
        <v>2</v>
      </c>
      <c r="N2495" s="2" t="n">
        <v>-1</v>
      </c>
      <c r="O2495" s="2" t="n">
        <v>0</v>
      </c>
      <c r="P2495" s="2" t="s">
        <v>23</v>
      </c>
      <c r="Q2495" s="2" t="s">
        <v>20</v>
      </c>
    </row>
    <row r="2496" customFormat="false" ht="15" hidden="false" customHeight="false" outlineLevel="0" collapsed="false">
      <c r="A2496" s="2" t="n">
        <v>47</v>
      </c>
      <c r="B2496" s="2" t="s">
        <v>40</v>
      </c>
      <c r="C2496" s="2" t="s">
        <v>45</v>
      </c>
      <c r="D2496" s="2" t="s">
        <v>25</v>
      </c>
      <c r="E2496" s="2" t="s">
        <v>20</v>
      </c>
      <c r="F2496" s="2" t="n">
        <v>136</v>
      </c>
      <c r="G2496" s="2" t="s">
        <v>20</v>
      </c>
      <c r="H2496" s="2" t="s">
        <v>26</v>
      </c>
      <c r="I2496" s="2" t="s">
        <v>21</v>
      </c>
      <c r="J2496" s="2" t="n">
        <v>23</v>
      </c>
      <c r="K2496" s="2" t="s">
        <v>44</v>
      </c>
      <c r="L2496" s="2" t="n">
        <v>70</v>
      </c>
      <c r="M2496" s="2" t="n">
        <v>1</v>
      </c>
      <c r="N2496" s="2" t="n">
        <v>-1</v>
      </c>
      <c r="O2496" s="2" t="n">
        <v>0</v>
      </c>
      <c r="P2496" s="2" t="s">
        <v>23</v>
      </c>
      <c r="Q2496" s="2" t="s">
        <v>20</v>
      </c>
    </row>
    <row r="2497" customFormat="false" ht="15" hidden="false" customHeight="false" outlineLevel="0" collapsed="false">
      <c r="A2497" s="2" t="n">
        <v>38</v>
      </c>
      <c r="B2497" s="2" t="s">
        <v>36</v>
      </c>
      <c r="C2497" s="2" t="s">
        <v>30</v>
      </c>
      <c r="D2497" s="2" t="s">
        <v>31</v>
      </c>
      <c r="E2497" s="2" t="s">
        <v>20</v>
      </c>
      <c r="F2497" s="2" t="n">
        <v>917</v>
      </c>
      <c r="G2497" s="2" t="s">
        <v>26</v>
      </c>
      <c r="H2497" s="2" t="s">
        <v>20</v>
      </c>
      <c r="I2497" s="2" t="s">
        <v>23</v>
      </c>
      <c r="J2497" s="2" t="n">
        <v>23</v>
      </c>
      <c r="K2497" s="2" t="s">
        <v>27</v>
      </c>
      <c r="L2497" s="2" t="n">
        <v>260</v>
      </c>
      <c r="M2497" s="2" t="n">
        <v>1</v>
      </c>
      <c r="N2497" s="2" t="n">
        <v>-1</v>
      </c>
      <c r="O2497" s="2" t="n">
        <v>0</v>
      </c>
      <c r="P2497" s="2" t="s">
        <v>23</v>
      </c>
      <c r="Q2497" s="2" t="s">
        <v>20</v>
      </c>
    </row>
    <row r="2498" customFormat="false" ht="15" hidden="false" customHeight="false" outlineLevel="0" collapsed="false">
      <c r="A2498" s="2" t="n">
        <v>46</v>
      </c>
      <c r="B2498" s="2" t="s">
        <v>29</v>
      </c>
      <c r="C2498" s="2" t="s">
        <v>30</v>
      </c>
      <c r="D2498" s="2" t="s">
        <v>31</v>
      </c>
      <c r="E2498" s="2" t="s">
        <v>20</v>
      </c>
      <c r="F2498" s="2" t="n">
        <v>593</v>
      </c>
      <c r="G2498" s="2" t="s">
        <v>26</v>
      </c>
      <c r="H2498" s="2" t="s">
        <v>20</v>
      </c>
      <c r="I2498" s="2" t="s">
        <v>21</v>
      </c>
      <c r="J2498" s="2" t="n">
        <v>29</v>
      </c>
      <c r="K2498" s="2" t="s">
        <v>43</v>
      </c>
      <c r="L2498" s="2" t="n">
        <v>190</v>
      </c>
      <c r="M2498" s="2" t="n">
        <v>3</v>
      </c>
      <c r="N2498" s="2" t="n">
        <v>-1</v>
      </c>
      <c r="O2498" s="2" t="n">
        <v>0</v>
      </c>
      <c r="P2498" s="2" t="s">
        <v>23</v>
      </c>
      <c r="Q2498" s="2" t="s">
        <v>20</v>
      </c>
    </row>
    <row r="2499" customFormat="false" ht="15" hidden="false" customHeight="false" outlineLevel="0" collapsed="false">
      <c r="A2499" s="2" t="n">
        <v>42</v>
      </c>
      <c r="B2499" s="2" t="s">
        <v>34</v>
      </c>
      <c r="C2499" s="2" t="s">
        <v>18</v>
      </c>
      <c r="D2499" s="2" t="s">
        <v>19</v>
      </c>
      <c r="E2499" s="2" t="s">
        <v>20</v>
      </c>
      <c r="F2499" s="2" t="n">
        <v>505</v>
      </c>
      <c r="G2499" s="2" t="s">
        <v>26</v>
      </c>
      <c r="H2499" s="2" t="s">
        <v>20</v>
      </c>
      <c r="I2499" s="2" t="s">
        <v>23</v>
      </c>
      <c r="J2499" s="2" t="n">
        <v>14</v>
      </c>
      <c r="K2499" s="2" t="s">
        <v>27</v>
      </c>
      <c r="L2499" s="2" t="n">
        <v>521</v>
      </c>
      <c r="M2499" s="2" t="n">
        <v>2</v>
      </c>
      <c r="N2499" s="2" t="n">
        <v>-1</v>
      </c>
      <c r="O2499" s="2" t="n">
        <v>0</v>
      </c>
      <c r="P2499" s="2" t="s">
        <v>23</v>
      </c>
      <c r="Q2499" s="2" t="s">
        <v>20</v>
      </c>
    </row>
    <row r="2500" customFormat="false" ht="15" hidden="false" customHeight="false" outlineLevel="0" collapsed="false">
      <c r="A2500" s="2" t="n">
        <v>34</v>
      </c>
      <c r="B2500" s="2" t="s">
        <v>34</v>
      </c>
      <c r="C2500" s="2" t="s">
        <v>18</v>
      </c>
      <c r="D2500" s="2" t="s">
        <v>25</v>
      </c>
      <c r="E2500" s="2" t="s">
        <v>20</v>
      </c>
      <c r="F2500" s="2" t="n">
        <v>2542</v>
      </c>
      <c r="G2500" s="2" t="s">
        <v>26</v>
      </c>
      <c r="H2500" s="2" t="s">
        <v>20</v>
      </c>
      <c r="I2500" s="2" t="s">
        <v>21</v>
      </c>
      <c r="J2500" s="2" t="n">
        <v>14</v>
      </c>
      <c r="K2500" s="2" t="s">
        <v>27</v>
      </c>
      <c r="L2500" s="2" t="n">
        <v>228</v>
      </c>
      <c r="M2500" s="2" t="n">
        <v>1</v>
      </c>
      <c r="N2500" s="2" t="n">
        <v>-1</v>
      </c>
      <c r="O2500" s="2" t="n">
        <v>0</v>
      </c>
      <c r="P2500" s="2" t="s">
        <v>23</v>
      </c>
      <c r="Q2500" s="2" t="s">
        <v>20</v>
      </c>
    </row>
    <row r="2501" customFormat="false" ht="15" hidden="false" customHeight="false" outlineLevel="0" collapsed="false">
      <c r="A2501" s="2" t="n">
        <v>37</v>
      </c>
      <c r="B2501" s="2" t="s">
        <v>29</v>
      </c>
      <c r="C2501" s="2" t="s">
        <v>18</v>
      </c>
      <c r="D2501" s="2" t="s">
        <v>31</v>
      </c>
      <c r="E2501" s="2" t="s">
        <v>20</v>
      </c>
      <c r="F2501" s="2" t="n">
        <v>5355</v>
      </c>
      <c r="G2501" s="2" t="s">
        <v>20</v>
      </c>
      <c r="H2501" s="2" t="s">
        <v>20</v>
      </c>
      <c r="I2501" s="2" t="s">
        <v>49</v>
      </c>
      <c r="J2501" s="2" t="n">
        <v>17</v>
      </c>
      <c r="K2501" s="2" t="s">
        <v>35</v>
      </c>
      <c r="L2501" s="2" t="n">
        <v>466</v>
      </c>
      <c r="M2501" s="2" t="n">
        <v>4</v>
      </c>
      <c r="N2501" s="2" t="n">
        <v>-1</v>
      </c>
      <c r="O2501" s="2" t="n">
        <v>0</v>
      </c>
      <c r="P2501" s="2" t="s">
        <v>23</v>
      </c>
      <c r="Q2501" s="2" t="s">
        <v>26</v>
      </c>
    </row>
    <row r="2502" customFormat="false" ht="15" hidden="false" customHeight="false" outlineLevel="0" collapsed="false">
      <c r="A2502" s="2" t="n">
        <v>38</v>
      </c>
      <c r="B2502" s="2" t="s">
        <v>42</v>
      </c>
      <c r="C2502" s="2" t="s">
        <v>30</v>
      </c>
      <c r="D2502" s="2" t="s">
        <v>31</v>
      </c>
      <c r="E2502" s="2" t="s">
        <v>20</v>
      </c>
      <c r="F2502" s="2" t="n">
        <v>807</v>
      </c>
      <c r="G2502" s="2" t="s">
        <v>20</v>
      </c>
      <c r="H2502" s="2" t="s">
        <v>20</v>
      </c>
      <c r="I2502" s="2" t="s">
        <v>21</v>
      </c>
      <c r="J2502" s="2" t="n">
        <v>27</v>
      </c>
      <c r="K2502" s="2" t="s">
        <v>35</v>
      </c>
      <c r="L2502" s="2" t="n">
        <v>74</v>
      </c>
      <c r="M2502" s="2" t="n">
        <v>2</v>
      </c>
      <c r="N2502" s="2" t="n">
        <v>-1</v>
      </c>
      <c r="O2502" s="2" t="n">
        <v>0</v>
      </c>
      <c r="P2502" s="2" t="s">
        <v>23</v>
      </c>
      <c r="Q2502" s="2" t="s">
        <v>20</v>
      </c>
    </row>
    <row r="2503" customFormat="false" ht="15" hidden="false" customHeight="false" outlineLevel="0" collapsed="false">
      <c r="A2503" s="2" t="n">
        <v>59</v>
      </c>
      <c r="B2503" s="2" t="s">
        <v>48</v>
      </c>
      <c r="C2503" s="2" t="s">
        <v>18</v>
      </c>
      <c r="D2503" s="2" t="s">
        <v>25</v>
      </c>
      <c r="E2503" s="2" t="s">
        <v>20</v>
      </c>
      <c r="F2503" s="2" t="n">
        <v>9976</v>
      </c>
      <c r="G2503" s="2" t="s">
        <v>26</v>
      </c>
      <c r="H2503" s="2" t="s">
        <v>20</v>
      </c>
      <c r="I2503" s="2" t="s">
        <v>23</v>
      </c>
      <c r="J2503" s="2" t="n">
        <v>29</v>
      </c>
      <c r="K2503" s="2" t="s">
        <v>27</v>
      </c>
      <c r="L2503" s="2" t="n">
        <v>57</v>
      </c>
      <c r="M2503" s="2" t="n">
        <v>2</v>
      </c>
      <c r="N2503" s="2" t="n">
        <v>-1</v>
      </c>
      <c r="O2503" s="2" t="n">
        <v>0</v>
      </c>
      <c r="P2503" s="2" t="s">
        <v>23</v>
      </c>
      <c r="Q2503" s="2" t="s">
        <v>20</v>
      </c>
    </row>
    <row r="2504" customFormat="false" ht="15" hidden="false" customHeight="false" outlineLevel="0" collapsed="false">
      <c r="A2504" s="2" t="n">
        <v>32</v>
      </c>
      <c r="B2504" s="2" t="s">
        <v>40</v>
      </c>
      <c r="C2504" s="2" t="s">
        <v>18</v>
      </c>
      <c r="D2504" s="2" t="s">
        <v>25</v>
      </c>
      <c r="E2504" s="2" t="s">
        <v>20</v>
      </c>
      <c r="F2504" s="2" t="n">
        <v>0</v>
      </c>
      <c r="G2504" s="2" t="s">
        <v>20</v>
      </c>
      <c r="H2504" s="2" t="s">
        <v>20</v>
      </c>
      <c r="I2504" s="2" t="s">
        <v>21</v>
      </c>
      <c r="J2504" s="2" t="n">
        <v>30</v>
      </c>
      <c r="K2504" s="2" t="s">
        <v>43</v>
      </c>
      <c r="L2504" s="2" t="n">
        <v>119</v>
      </c>
      <c r="M2504" s="2" t="n">
        <v>3</v>
      </c>
      <c r="N2504" s="2" t="n">
        <v>-1</v>
      </c>
      <c r="O2504" s="2" t="n">
        <v>0</v>
      </c>
      <c r="P2504" s="2" t="s">
        <v>23</v>
      </c>
      <c r="Q2504" s="2" t="s">
        <v>20</v>
      </c>
    </row>
    <row r="2505" customFormat="false" ht="15" hidden="false" customHeight="false" outlineLevel="0" collapsed="false">
      <c r="A2505" s="2" t="n">
        <v>55</v>
      </c>
      <c r="B2505" s="2" t="s">
        <v>29</v>
      </c>
      <c r="C2505" s="2" t="s">
        <v>18</v>
      </c>
      <c r="D2505" s="2" t="s">
        <v>31</v>
      </c>
      <c r="E2505" s="2" t="s">
        <v>20</v>
      </c>
      <c r="F2505" s="2" t="n">
        <v>540</v>
      </c>
      <c r="G2505" s="2" t="s">
        <v>20</v>
      </c>
      <c r="H2505" s="2" t="s">
        <v>20</v>
      </c>
      <c r="I2505" s="2" t="s">
        <v>21</v>
      </c>
      <c r="J2505" s="2" t="n">
        <v>19</v>
      </c>
      <c r="K2505" s="2" t="s">
        <v>46</v>
      </c>
      <c r="L2505" s="2" t="n">
        <v>124</v>
      </c>
      <c r="M2505" s="2" t="n">
        <v>2</v>
      </c>
      <c r="N2505" s="2" t="n">
        <v>-1</v>
      </c>
      <c r="O2505" s="2" t="n">
        <v>0</v>
      </c>
      <c r="P2505" s="2" t="s">
        <v>23</v>
      </c>
      <c r="Q2505" s="2" t="s">
        <v>20</v>
      </c>
    </row>
    <row r="2506" customFormat="false" ht="15" hidden="false" customHeight="false" outlineLevel="0" collapsed="false">
      <c r="A2506" s="2" t="n">
        <v>35</v>
      </c>
      <c r="B2506" s="2" t="s">
        <v>34</v>
      </c>
      <c r="C2506" s="2" t="s">
        <v>18</v>
      </c>
      <c r="D2506" s="2" t="s">
        <v>25</v>
      </c>
      <c r="E2506" s="2" t="s">
        <v>20</v>
      </c>
      <c r="F2506" s="2" t="n">
        <v>280</v>
      </c>
      <c r="G2506" s="2" t="s">
        <v>26</v>
      </c>
      <c r="H2506" s="2" t="s">
        <v>26</v>
      </c>
      <c r="I2506" s="2" t="s">
        <v>21</v>
      </c>
      <c r="J2506" s="2" t="n">
        <v>31</v>
      </c>
      <c r="K2506" s="2" t="s">
        <v>44</v>
      </c>
      <c r="L2506" s="2" t="n">
        <v>65</v>
      </c>
      <c r="M2506" s="2" t="n">
        <v>50</v>
      </c>
      <c r="N2506" s="2" t="n">
        <v>-1</v>
      </c>
      <c r="O2506" s="2" t="n">
        <v>0</v>
      </c>
      <c r="P2506" s="2" t="s">
        <v>23</v>
      </c>
      <c r="Q2506" s="2" t="s">
        <v>20</v>
      </c>
    </row>
    <row r="2507" customFormat="false" ht="15" hidden="false" customHeight="false" outlineLevel="0" collapsed="false">
      <c r="A2507" s="2" t="n">
        <v>56</v>
      </c>
      <c r="B2507" s="2" t="s">
        <v>29</v>
      </c>
      <c r="C2507" s="2" t="s">
        <v>45</v>
      </c>
      <c r="D2507" s="2" t="s">
        <v>31</v>
      </c>
      <c r="E2507" s="2" t="s">
        <v>20</v>
      </c>
      <c r="F2507" s="2" t="n">
        <v>-59</v>
      </c>
      <c r="G2507" s="2" t="s">
        <v>20</v>
      </c>
      <c r="H2507" s="2" t="s">
        <v>26</v>
      </c>
      <c r="I2507" s="2" t="s">
        <v>21</v>
      </c>
      <c r="J2507" s="2" t="n">
        <v>28</v>
      </c>
      <c r="K2507" s="2" t="s">
        <v>44</v>
      </c>
      <c r="L2507" s="2" t="n">
        <v>127</v>
      </c>
      <c r="M2507" s="2" t="n">
        <v>6</v>
      </c>
      <c r="N2507" s="2" t="n">
        <v>-1</v>
      </c>
      <c r="O2507" s="2" t="n">
        <v>0</v>
      </c>
      <c r="P2507" s="2" t="s">
        <v>23</v>
      </c>
      <c r="Q2507" s="2" t="s">
        <v>20</v>
      </c>
    </row>
    <row r="2508" customFormat="false" ht="15" hidden="false" customHeight="false" outlineLevel="0" collapsed="false">
      <c r="A2508" s="2" t="n">
        <v>27</v>
      </c>
      <c r="B2508" s="2" t="s">
        <v>40</v>
      </c>
      <c r="C2508" s="2" t="s">
        <v>18</v>
      </c>
      <c r="D2508" s="2" t="s">
        <v>25</v>
      </c>
      <c r="E2508" s="2" t="s">
        <v>26</v>
      </c>
      <c r="F2508" s="2" t="n">
        <v>-517</v>
      </c>
      <c r="G2508" s="2" t="s">
        <v>26</v>
      </c>
      <c r="H2508" s="2" t="s">
        <v>20</v>
      </c>
      <c r="I2508" s="2" t="s">
        <v>21</v>
      </c>
      <c r="J2508" s="2" t="n">
        <v>14</v>
      </c>
      <c r="K2508" s="2" t="s">
        <v>44</v>
      </c>
      <c r="L2508" s="2" t="n">
        <v>172</v>
      </c>
      <c r="M2508" s="2" t="n">
        <v>3</v>
      </c>
      <c r="N2508" s="2" t="n">
        <v>-1</v>
      </c>
      <c r="O2508" s="2" t="n">
        <v>0</v>
      </c>
      <c r="P2508" s="2" t="s">
        <v>23</v>
      </c>
      <c r="Q2508" s="2" t="s">
        <v>20</v>
      </c>
    </row>
    <row r="2509" customFormat="false" ht="15" hidden="false" customHeight="false" outlineLevel="0" collapsed="false">
      <c r="A2509" s="2" t="n">
        <v>42</v>
      </c>
      <c r="B2509" s="2" t="s">
        <v>17</v>
      </c>
      <c r="C2509" s="2" t="s">
        <v>30</v>
      </c>
      <c r="D2509" s="2" t="s">
        <v>25</v>
      </c>
      <c r="E2509" s="2" t="s">
        <v>20</v>
      </c>
      <c r="F2509" s="2" t="n">
        <v>2613</v>
      </c>
      <c r="G2509" s="2" t="s">
        <v>26</v>
      </c>
      <c r="H2509" s="2" t="s">
        <v>20</v>
      </c>
      <c r="I2509" s="2" t="s">
        <v>21</v>
      </c>
      <c r="J2509" s="2" t="n">
        <v>30</v>
      </c>
      <c r="K2509" s="2" t="s">
        <v>44</v>
      </c>
      <c r="L2509" s="2" t="n">
        <v>174</v>
      </c>
      <c r="M2509" s="2" t="n">
        <v>6</v>
      </c>
      <c r="N2509" s="2" t="n">
        <v>-1</v>
      </c>
      <c r="O2509" s="2" t="n">
        <v>0</v>
      </c>
      <c r="P2509" s="2" t="s">
        <v>23</v>
      </c>
      <c r="Q2509" s="2" t="s">
        <v>20</v>
      </c>
    </row>
    <row r="2510" customFormat="false" ht="15" hidden="false" customHeight="false" outlineLevel="0" collapsed="false">
      <c r="A2510" s="2" t="n">
        <v>42</v>
      </c>
      <c r="B2510" s="2" t="s">
        <v>42</v>
      </c>
      <c r="C2510" s="2" t="s">
        <v>18</v>
      </c>
      <c r="D2510" s="2" t="s">
        <v>23</v>
      </c>
      <c r="E2510" s="2" t="s">
        <v>20</v>
      </c>
      <c r="F2510" s="2" t="n">
        <v>-7</v>
      </c>
      <c r="G2510" s="2" t="s">
        <v>20</v>
      </c>
      <c r="H2510" s="2" t="s">
        <v>20</v>
      </c>
      <c r="I2510" s="2" t="s">
        <v>49</v>
      </c>
      <c r="J2510" s="2" t="n">
        <v>31</v>
      </c>
      <c r="K2510" s="2" t="s">
        <v>44</v>
      </c>
      <c r="L2510" s="2" t="n">
        <v>41</v>
      </c>
      <c r="M2510" s="2" t="n">
        <v>6</v>
      </c>
      <c r="N2510" s="2" t="n">
        <v>-1</v>
      </c>
      <c r="O2510" s="2" t="n">
        <v>0</v>
      </c>
      <c r="P2510" s="2" t="s">
        <v>23</v>
      </c>
      <c r="Q2510" s="2" t="s">
        <v>20</v>
      </c>
    </row>
    <row r="2511" customFormat="false" ht="15" hidden="false" customHeight="false" outlineLevel="0" collapsed="false">
      <c r="A2511" s="2" t="n">
        <v>41</v>
      </c>
      <c r="B2511" s="2" t="s">
        <v>34</v>
      </c>
      <c r="C2511" s="2" t="s">
        <v>18</v>
      </c>
      <c r="D2511" s="2" t="s">
        <v>19</v>
      </c>
      <c r="E2511" s="2" t="s">
        <v>20</v>
      </c>
      <c r="F2511" s="2" t="n">
        <v>0</v>
      </c>
      <c r="G2511" s="2" t="s">
        <v>26</v>
      </c>
      <c r="H2511" s="2" t="s">
        <v>20</v>
      </c>
      <c r="I2511" s="2" t="s">
        <v>23</v>
      </c>
      <c r="J2511" s="2" t="n">
        <v>30</v>
      </c>
      <c r="K2511" s="2" t="s">
        <v>27</v>
      </c>
      <c r="L2511" s="2" t="n">
        <v>232</v>
      </c>
      <c r="M2511" s="2" t="n">
        <v>3</v>
      </c>
      <c r="N2511" s="2" t="n">
        <v>-1</v>
      </c>
      <c r="O2511" s="2" t="n">
        <v>0</v>
      </c>
      <c r="P2511" s="2" t="s">
        <v>23</v>
      </c>
      <c r="Q2511" s="2" t="s">
        <v>20</v>
      </c>
    </row>
    <row r="2512" customFormat="false" ht="15" hidden="false" customHeight="false" outlineLevel="0" collapsed="false">
      <c r="A2512" s="2" t="n">
        <v>53</v>
      </c>
      <c r="B2512" s="2" t="s">
        <v>48</v>
      </c>
      <c r="C2512" s="2" t="s">
        <v>45</v>
      </c>
      <c r="D2512" s="2" t="s">
        <v>25</v>
      </c>
      <c r="E2512" s="2" t="s">
        <v>26</v>
      </c>
      <c r="F2512" s="2" t="n">
        <v>-200</v>
      </c>
      <c r="G2512" s="2" t="s">
        <v>20</v>
      </c>
      <c r="H2512" s="2" t="s">
        <v>26</v>
      </c>
      <c r="I2512" s="2" t="s">
        <v>23</v>
      </c>
      <c r="J2512" s="2" t="n">
        <v>6</v>
      </c>
      <c r="K2512" s="2" t="s">
        <v>33</v>
      </c>
      <c r="L2512" s="2" t="n">
        <v>161</v>
      </c>
      <c r="M2512" s="2" t="n">
        <v>1</v>
      </c>
      <c r="N2512" s="2" t="n">
        <v>-1</v>
      </c>
      <c r="O2512" s="2" t="n">
        <v>0</v>
      </c>
      <c r="P2512" s="2" t="s">
        <v>23</v>
      </c>
      <c r="Q2512" s="2" t="s">
        <v>20</v>
      </c>
    </row>
    <row r="2513" customFormat="false" ht="15" hidden="false" customHeight="false" outlineLevel="0" collapsed="false">
      <c r="A2513" s="2" t="n">
        <v>67</v>
      </c>
      <c r="B2513" s="2" t="s">
        <v>48</v>
      </c>
      <c r="C2513" s="2" t="s">
        <v>18</v>
      </c>
      <c r="D2513" s="2" t="s">
        <v>19</v>
      </c>
      <c r="E2513" s="2" t="s">
        <v>20</v>
      </c>
      <c r="F2513" s="2" t="n">
        <v>2301</v>
      </c>
      <c r="G2513" s="2" t="s">
        <v>20</v>
      </c>
      <c r="H2513" s="2" t="s">
        <v>20</v>
      </c>
      <c r="I2513" s="2" t="s">
        <v>21</v>
      </c>
      <c r="J2513" s="2" t="n">
        <v>16</v>
      </c>
      <c r="K2513" s="2" t="s">
        <v>32</v>
      </c>
      <c r="L2513" s="2" t="n">
        <v>124</v>
      </c>
      <c r="M2513" s="2" t="n">
        <v>1</v>
      </c>
      <c r="N2513" s="2" t="n">
        <v>-1</v>
      </c>
      <c r="O2513" s="2" t="n">
        <v>0</v>
      </c>
      <c r="P2513" s="2" t="s">
        <v>23</v>
      </c>
      <c r="Q2513" s="2" t="s">
        <v>20</v>
      </c>
    </row>
    <row r="2514" customFormat="false" ht="15" hidden="false" customHeight="false" outlineLevel="0" collapsed="false">
      <c r="A2514" s="2" t="n">
        <v>53</v>
      </c>
      <c r="B2514" s="2" t="s">
        <v>47</v>
      </c>
      <c r="C2514" s="2" t="s">
        <v>18</v>
      </c>
      <c r="D2514" s="2" t="s">
        <v>19</v>
      </c>
      <c r="E2514" s="2" t="s">
        <v>20</v>
      </c>
      <c r="F2514" s="2" t="n">
        <v>104</v>
      </c>
      <c r="G2514" s="2" t="s">
        <v>20</v>
      </c>
      <c r="H2514" s="2" t="s">
        <v>26</v>
      </c>
      <c r="I2514" s="2" t="s">
        <v>23</v>
      </c>
      <c r="J2514" s="2" t="n">
        <v>5</v>
      </c>
      <c r="K2514" s="2" t="s">
        <v>33</v>
      </c>
      <c r="L2514" s="2" t="n">
        <v>701</v>
      </c>
      <c r="M2514" s="2" t="n">
        <v>1</v>
      </c>
      <c r="N2514" s="2" t="n">
        <v>-1</v>
      </c>
      <c r="O2514" s="2" t="n">
        <v>0</v>
      </c>
      <c r="P2514" s="2" t="s">
        <v>23</v>
      </c>
      <c r="Q2514" s="2" t="s">
        <v>26</v>
      </c>
    </row>
    <row r="2515" customFormat="false" ht="15" hidden="false" customHeight="false" outlineLevel="0" collapsed="false">
      <c r="A2515" s="2" t="n">
        <v>33</v>
      </c>
      <c r="B2515" s="2" t="s">
        <v>34</v>
      </c>
      <c r="C2515" s="2" t="s">
        <v>18</v>
      </c>
      <c r="D2515" s="2" t="s">
        <v>19</v>
      </c>
      <c r="E2515" s="2" t="s">
        <v>20</v>
      </c>
      <c r="F2515" s="2" t="n">
        <v>191</v>
      </c>
      <c r="G2515" s="2" t="s">
        <v>26</v>
      </c>
      <c r="H2515" s="2" t="s">
        <v>20</v>
      </c>
      <c r="I2515" s="2" t="s">
        <v>23</v>
      </c>
      <c r="J2515" s="2" t="n">
        <v>9</v>
      </c>
      <c r="K2515" s="2" t="s">
        <v>27</v>
      </c>
      <c r="L2515" s="2" t="n">
        <v>162</v>
      </c>
      <c r="M2515" s="2" t="n">
        <v>2</v>
      </c>
      <c r="N2515" s="2" t="n">
        <v>-1</v>
      </c>
      <c r="O2515" s="2" t="n">
        <v>0</v>
      </c>
      <c r="P2515" s="2" t="s">
        <v>23</v>
      </c>
      <c r="Q2515" s="2" t="s">
        <v>20</v>
      </c>
    </row>
    <row r="2516" customFormat="false" ht="15" hidden="false" customHeight="false" outlineLevel="0" collapsed="false">
      <c r="A2516" s="2" t="n">
        <v>31</v>
      </c>
      <c r="B2516" s="2" t="s">
        <v>38</v>
      </c>
      <c r="C2516" s="2" t="s">
        <v>30</v>
      </c>
      <c r="D2516" s="2" t="s">
        <v>23</v>
      </c>
      <c r="E2516" s="2" t="s">
        <v>20</v>
      </c>
      <c r="F2516" s="2" t="n">
        <v>694</v>
      </c>
      <c r="G2516" s="2" t="s">
        <v>26</v>
      </c>
      <c r="H2516" s="2" t="s">
        <v>20</v>
      </c>
      <c r="I2516" s="2" t="s">
        <v>23</v>
      </c>
      <c r="J2516" s="2" t="n">
        <v>6</v>
      </c>
      <c r="K2516" s="2" t="s">
        <v>33</v>
      </c>
      <c r="L2516" s="2" t="n">
        <v>431</v>
      </c>
      <c r="M2516" s="2" t="n">
        <v>2</v>
      </c>
      <c r="N2516" s="2" t="n">
        <v>-1</v>
      </c>
      <c r="O2516" s="2" t="n">
        <v>0</v>
      </c>
      <c r="P2516" s="2" t="s">
        <v>23</v>
      </c>
      <c r="Q2516" s="2" t="s">
        <v>20</v>
      </c>
    </row>
    <row r="2517" customFormat="false" ht="15" hidden="false" customHeight="false" outlineLevel="0" collapsed="false">
      <c r="A2517" s="2" t="n">
        <v>31</v>
      </c>
      <c r="B2517" s="2" t="s">
        <v>40</v>
      </c>
      <c r="C2517" s="2" t="s">
        <v>18</v>
      </c>
      <c r="D2517" s="2" t="s">
        <v>25</v>
      </c>
      <c r="E2517" s="2" t="s">
        <v>20</v>
      </c>
      <c r="F2517" s="2" t="n">
        <v>212</v>
      </c>
      <c r="G2517" s="2" t="s">
        <v>26</v>
      </c>
      <c r="H2517" s="2" t="s">
        <v>20</v>
      </c>
      <c r="I2517" s="2" t="s">
        <v>21</v>
      </c>
      <c r="J2517" s="2" t="n">
        <v>18</v>
      </c>
      <c r="K2517" s="2" t="s">
        <v>44</v>
      </c>
      <c r="L2517" s="2" t="n">
        <v>191</v>
      </c>
      <c r="M2517" s="2" t="n">
        <v>3</v>
      </c>
      <c r="N2517" s="2" t="n">
        <v>-1</v>
      </c>
      <c r="O2517" s="2" t="n">
        <v>0</v>
      </c>
      <c r="P2517" s="2" t="s">
        <v>23</v>
      </c>
      <c r="Q2517" s="2" t="s">
        <v>20</v>
      </c>
    </row>
    <row r="2518" customFormat="false" ht="15" hidden="false" customHeight="false" outlineLevel="0" collapsed="false">
      <c r="A2518" s="2" t="n">
        <v>30</v>
      </c>
      <c r="B2518" s="2" t="s">
        <v>29</v>
      </c>
      <c r="C2518" s="2" t="s">
        <v>18</v>
      </c>
      <c r="D2518" s="2" t="s">
        <v>31</v>
      </c>
      <c r="E2518" s="2" t="s">
        <v>20</v>
      </c>
      <c r="F2518" s="2" t="n">
        <v>1882</v>
      </c>
      <c r="G2518" s="2" t="s">
        <v>26</v>
      </c>
      <c r="H2518" s="2" t="s">
        <v>20</v>
      </c>
      <c r="I2518" s="2" t="s">
        <v>21</v>
      </c>
      <c r="J2518" s="2" t="n">
        <v>11</v>
      </c>
      <c r="K2518" s="2" t="s">
        <v>41</v>
      </c>
      <c r="L2518" s="2" t="n">
        <v>249</v>
      </c>
      <c r="M2518" s="2" t="n">
        <v>5</v>
      </c>
      <c r="N2518" s="2" t="n">
        <v>-1</v>
      </c>
      <c r="O2518" s="2" t="n">
        <v>0</v>
      </c>
      <c r="P2518" s="2" t="s">
        <v>23</v>
      </c>
      <c r="Q2518" s="2" t="s">
        <v>20</v>
      </c>
    </row>
    <row r="2519" customFormat="false" ht="15" hidden="false" customHeight="false" outlineLevel="0" collapsed="false">
      <c r="A2519" s="2" t="n">
        <v>48</v>
      </c>
      <c r="B2519" s="2" t="s">
        <v>34</v>
      </c>
      <c r="C2519" s="2" t="s">
        <v>18</v>
      </c>
      <c r="D2519" s="2" t="s">
        <v>23</v>
      </c>
      <c r="E2519" s="2" t="s">
        <v>20</v>
      </c>
      <c r="F2519" s="2" t="n">
        <v>131</v>
      </c>
      <c r="G2519" s="2" t="s">
        <v>26</v>
      </c>
      <c r="H2519" s="2" t="s">
        <v>20</v>
      </c>
      <c r="I2519" s="2" t="s">
        <v>23</v>
      </c>
      <c r="J2519" s="2" t="n">
        <v>6</v>
      </c>
      <c r="K2519" s="2" t="s">
        <v>27</v>
      </c>
      <c r="L2519" s="2" t="n">
        <v>189</v>
      </c>
      <c r="M2519" s="2" t="n">
        <v>1</v>
      </c>
      <c r="N2519" s="2" t="n">
        <v>-1</v>
      </c>
      <c r="O2519" s="2" t="n">
        <v>0</v>
      </c>
      <c r="P2519" s="2" t="s">
        <v>23</v>
      </c>
      <c r="Q2519" s="2" t="s">
        <v>20</v>
      </c>
    </row>
    <row r="2520" customFormat="false" ht="15" hidden="false" customHeight="false" outlineLevel="0" collapsed="false">
      <c r="A2520" s="2" t="n">
        <v>30</v>
      </c>
      <c r="B2520" s="2" t="s">
        <v>38</v>
      </c>
      <c r="C2520" s="2" t="s">
        <v>30</v>
      </c>
      <c r="D2520" s="2" t="s">
        <v>25</v>
      </c>
      <c r="E2520" s="2" t="s">
        <v>20</v>
      </c>
      <c r="F2520" s="2" t="n">
        <v>175</v>
      </c>
      <c r="G2520" s="2" t="s">
        <v>20</v>
      </c>
      <c r="H2520" s="2" t="s">
        <v>20</v>
      </c>
      <c r="I2520" s="2" t="s">
        <v>21</v>
      </c>
      <c r="J2520" s="2" t="n">
        <v>25</v>
      </c>
      <c r="K2520" s="2" t="s">
        <v>41</v>
      </c>
      <c r="L2520" s="2" t="n">
        <v>167</v>
      </c>
      <c r="M2520" s="2" t="n">
        <v>4</v>
      </c>
      <c r="N2520" s="2" t="n">
        <v>-1</v>
      </c>
      <c r="O2520" s="2" t="n">
        <v>0</v>
      </c>
      <c r="P2520" s="2" t="s">
        <v>23</v>
      </c>
      <c r="Q2520" s="2" t="s">
        <v>20</v>
      </c>
    </row>
    <row r="2521" customFormat="false" ht="15" hidden="false" customHeight="false" outlineLevel="0" collapsed="false">
      <c r="A2521" s="2" t="n">
        <v>43</v>
      </c>
      <c r="B2521" s="2" t="s">
        <v>38</v>
      </c>
      <c r="C2521" s="2" t="s">
        <v>30</v>
      </c>
      <c r="D2521" s="2" t="s">
        <v>31</v>
      </c>
      <c r="E2521" s="2" t="s">
        <v>26</v>
      </c>
      <c r="F2521" s="2" t="n">
        <v>0</v>
      </c>
      <c r="G2521" s="2" t="s">
        <v>20</v>
      </c>
      <c r="H2521" s="2" t="s">
        <v>20</v>
      </c>
      <c r="I2521" s="2" t="s">
        <v>21</v>
      </c>
      <c r="J2521" s="2" t="n">
        <v>29</v>
      </c>
      <c r="K2521" s="2" t="s">
        <v>41</v>
      </c>
      <c r="L2521" s="2" t="n">
        <v>73</v>
      </c>
      <c r="M2521" s="2" t="n">
        <v>4</v>
      </c>
      <c r="N2521" s="2" t="n">
        <v>-1</v>
      </c>
      <c r="O2521" s="2" t="n">
        <v>0</v>
      </c>
      <c r="P2521" s="2" t="s">
        <v>23</v>
      </c>
      <c r="Q2521" s="2" t="s">
        <v>20</v>
      </c>
    </row>
    <row r="2522" customFormat="false" ht="15" hidden="false" customHeight="false" outlineLevel="0" collapsed="false">
      <c r="A2522" s="2" t="n">
        <v>38</v>
      </c>
      <c r="B2522" s="2" t="s">
        <v>29</v>
      </c>
      <c r="C2522" s="2" t="s">
        <v>45</v>
      </c>
      <c r="D2522" s="2" t="s">
        <v>31</v>
      </c>
      <c r="E2522" s="2" t="s">
        <v>20</v>
      </c>
      <c r="F2522" s="2" t="n">
        <v>4425</v>
      </c>
      <c r="G2522" s="2" t="s">
        <v>26</v>
      </c>
      <c r="H2522" s="2" t="s">
        <v>20</v>
      </c>
      <c r="I2522" s="2" t="s">
        <v>23</v>
      </c>
      <c r="J2522" s="2" t="n">
        <v>30</v>
      </c>
      <c r="K2522" s="2" t="s">
        <v>27</v>
      </c>
      <c r="L2522" s="2" t="n">
        <v>162</v>
      </c>
      <c r="M2522" s="2" t="n">
        <v>1</v>
      </c>
      <c r="N2522" s="2" t="n">
        <v>-1</v>
      </c>
      <c r="O2522" s="2" t="n">
        <v>0</v>
      </c>
      <c r="P2522" s="2" t="s">
        <v>23</v>
      </c>
      <c r="Q2522" s="2" t="s">
        <v>20</v>
      </c>
    </row>
    <row r="2523" customFormat="false" ht="15" hidden="false" customHeight="false" outlineLevel="0" collapsed="false">
      <c r="A2523" s="2" t="n">
        <v>46</v>
      </c>
      <c r="B2523" s="2" t="s">
        <v>17</v>
      </c>
      <c r="C2523" s="2" t="s">
        <v>18</v>
      </c>
      <c r="D2523" s="2" t="s">
        <v>25</v>
      </c>
      <c r="E2523" s="2" t="s">
        <v>20</v>
      </c>
      <c r="F2523" s="2" t="n">
        <v>3533</v>
      </c>
      <c r="G2523" s="2" t="s">
        <v>26</v>
      </c>
      <c r="H2523" s="2" t="s">
        <v>20</v>
      </c>
      <c r="I2523" s="2" t="s">
        <v>21</v>
      </c>
      <c r="J2523" s="2" t="n">
        <v>12</v>
      </c>
      <c r="K2523" s="2" t="s">
        <v>41</v>
      </c>
      <c r="L2523" s="2" t="n">
        <v>235</v>
      </c>
      <c r="M2523" s="2" t="n">
        <v>2</v>
      </c>
      <c r="N2523" s="2" t="n">
        <v>-1</v>
      </c>
      <c r="O2523" s="2" t="n">
        <v>0</v>
      </c>
      <c r="P2523" s="2" t="s">
        <v>23</v>
      </c>
      <c r="Q2523" s="2" t="s">
        <v>20</v>
      </c>
    </row>
    <row r="2524" customFormat="false" ht="15" hidden="false" customHeight="false" outlineLevel="0" collapsed="false">
      <c r="A2524" s="2" t="n">
        <v>59</v>
      </c>
      <c r="B2524" s="2" t="s">
        <v>34</v>
      </c>
      <c r="C2524" s="2" t="s">
        <v>45</v>
      </c>
      <c r="D2524" s="2" t="s">
        <v>25</v>
      </c>
      <c r="E2524" s="2" t="s">
        <v>20</v>
      </c>
      <c r="F2524" s="2" t="n">
        <v>3573</v>
      </c>
      <c r="G2524" s="2" t="s">
        <v>20</v>
      </c>
      <c r="H2524" s="2" t="s">
        <v>20</v>
      </c>
      <c r="I2524" s="2" t="s">
        <v>21</v>
      </c>
      <c r="J2524" s="2" t="n">
        <v>15</v>
      </c>
      <c r="K2524" s="2" t="s">
        <v>27</v>
      </c>
      <c r="L2524" s="2" t="n">
        <v>44</v>
      </c>
      <c r="M2524" s="2" t="n">
        <v>1</v>
      </c>
      <c r="N2524" s="2" t="n">
        <v>-1</v>
      </c>
      <c r="O2524" s="2" t="n">
        <v>0</v>
      </c>
      <c r="P2524" s="2" t="s">
        <v>23</v>
      </c>
      <c r="Q2524" s="2" t="s">
        <v>20</v>
      </c>
    </row>
    <row r="2525" customFormat="false" ht="15" hidden="false" customHeight="false" outlineLevel="0" collapsed="false">
      <c r="A2525" s="2" t="n">
        <v>44</v>
      </c>
      <c r="B2525" s="2" t="s">
        <v>29</v>
      </c>
      <c r="C2525" s="2" t="s">
        <v>45</v>
      </c>
      <c r="D2525" s="2" t="s">
        <v>31</v>
      </c>
      <c r="E2525" s="2" t="s">
        <v>20</v>
      </c>
      <c r="F2525" s="2" t="n">
        <v>476</v>
      </c>
      <c r="G2525" s="2" t="s">
        <v>26</v>
      </c>
      <c r="H2525" s="2" t="s">
        <v>26</v>
      </c>
      <c r="I2525" s="2" t="s">
        <v>23</v>
      </c>
      <c r="J2525" s="2" t="n">
        <v>26</v>
      </c>
      <c r="K2525" s="2" t="s">
        <v>27</v>
      </c>
      <c r="L2525" s="2" t="n">
        <v>127</v>
      </c>
      <c r="M2525" s="2" t="n">
        <v>2</v>
      </c>
      <c r="N2525" s="2" t="n">
        <v>-1</v>
      </c>
      <c r="O2525" s="2" t="n">
        <v>0</v>
      </c>
      <c r="P2525" s="2" t="s">
        <v>23</v>
      </c>
      <c r="Q2525" s="2" t="s">
        <v>20</v>
      </c>
    </row>
    <row r="2526" customFormat="false" ht="15" hidden="false" customHeight="false" outlineLevel="0" collapsed="false">
      <c r="A2526" s="2" t="n">
        <v>35</v>
      </c>
      <c r="B2526" s="2" t="s">
        <v>34</v>
      </c>
      <c r="C2526" s="2" t="s">
        <v>18</v>
      </c>
      <c r="D2526" s="2" t="s">
        <v>25</v>
      </c>
      <c r="E2526" s="2" t="s">
        <v>20</v>
      </c>
      <c r="F2526" s="2" t="n">
        <v>1257</v>
      </c>
      <c r="G2526" s="2" t="s">
        <v>26</v>
      </c>
      <c r="H2526" s="2" t="s">
        <v>20</v>
      </c>
      <c r="I2526" s="2" t="s">
        <v>21</v>
      </c>
      <c r="J2526" s="2" t="n">
        <v>20</v>
      </c>
      <c r="K2526" s="2" t="s">
        <v>32</v>
      </c>
      <c r="L2526" s="2" t="n">
        <v>93</v>
      </c>
      <c r="M2526" s="2" t="n">
        <v>3</v>
      </c>
      <c r="N2526" s="2" t="n">
        <v>329</v>
      </c>
      <c r="O2526" s="2" t="n">
        <v>7</v>
      </c>
      <c r="P2526" s="2" t="s">
        <v>28</v>
      </c>
      <c r="Q2526" s="2" t="s">
        <v>20</v>
      </c>
    </row>
    <row r="2527" customFormat="false" ht="15" hidden="false" customHeight="false" outlineLevel="0" collapsed="false">
      <c r="A2527" s="2" t="n">
        <v>55</v>
      </c>
      <c r="B2527" s="2" t="s">
        <v>34</v>
      </c>
      <c r="C2527" s="2" t="s">
        <v>18</v>
      </c>
      <c r="D2527" s="2" t="s">
        <v>23</v>
      </c>
      <c r="E2527" s="2" t="s">
        <v>20</v>
      </c>
      <c r="F2527" s="2" t="n">
        <v>23</v>
      </c>
      <c r="G2527" s="2" t="s">
        <v>20</v>
      </c>
      <c r="H2527" s="2" t="s">
        <v>20</v>
      </c>
      <c r="I2527" s="2" t="s">
        <v>21</v>
      </c>
      <c r="J2527" s="2" t="n">
        <v>30</v>
      </c>
      <c r="K2527" s="2" t="s">
        <v>43</v>
      </c>
      <c r="L2527" s="2" t="n">
        <v>143</v>
      </c>
      <c r="M2527" s="2" t="n">
        <v>1</v>
      </c>
      <c r="N2527" s="2" t="n">
        <v>2</v>
      </c>
      <c r="O2527" s="2" t="n">
        <v>3</v>
      </c>
      <c r="P2527" s="2" t="s">
        <v>37</v>
      </c>
      <c r="Q2527" s="2" t="s">
        <v>20</v>
      </c>
    </row>
    <row r="2528" customFormat="false" ht="15" hidden="false" customHeight="false" outlineLevel="0" collapsed="false">
      <c r="A2528" s="2" t="n">
        <v>39</v>
      </c>
      <c r="B2528" s="2" t="s">
        <v>29</v>
      </c>
      <c r="C2528" s="2" t="s">
        <v>30</v>
      </c>
      <c r="D2528" s="2" t="s">
        <v>31</v>
      </c>
      <c r="E2528" s="2" t="s">
        <v>20</v>
      </c>
      <c r="F2528" s="2" t="n">
        <v>0</v>
      </c>
      <c r="G2528" s="2" t="s">
        <v>26</v>
      </c>
      <c r="H2528" s="2" t="s">
        <v>20</v>
      </c>
      <c r="I2528" s="2" t="s">
        <v>21</v>
      </c>
      <c r="J2528" s="2" t="n">
        <v>16</v>
      </c>
      <c r="K2528" s="2" t="s">
        <v>32</v>
      </c>
      <c r="L2528" s="2" t="n">
        <v>81</v>
      </c>
      <c r="M2528" s="2" t="n">
        <v>2</v>
      </c>
      <c r="N2528" s="2" t="n">
        <v>-1</v>
      </c>
      <c r="O2528" s="2" t="n">
        <v>0</v>
      </c>
      <c r="P2528" s="2" t="s">
        <v>23</v>
      </c>
      <c r="Q2528" s="2" t="s">
        <v>20</v>
      </c>
    </row>
    <row r="2529" customFormat="false" ht="15" hidden="false" customHeight="false" outlineLevel="0" collapsed="false">
      <c r="A2529" s="2" t="n">
        <v>36</v>
      </c>
      <c r="B2529" s="2" t="s">
        <v>24</v>
      </c>
      <c r="C2529" s="2" t="s">
        <v>30</v>
      </c>
      <c r="D2529" s="2" t="s">
        <v>25</v>
      </c>
      <c r="E2529" s="2" t="s">
        <v>20</v>
      </c>
      <c r="F2529" s="2" t="n">
        <v>398</v>
      </c>
      <c r="G2529" s="2" t="s">
        <v>26</v>
      </c>
      <c r="H2529" s="2" t="s">
        <v>26</v>
      </c>
      <c r="I2529" s="2" t="s">
        <v>23</v>
      </c>
      <c r="J2529" s="2" t="n">
        <v>17</v>
      </c>
      <c r="K2529" s="2" t="s">
        <v>33</v>
      </c>
      <c r="L2529" s="2" t="n">
        <v>77</v>
      </c>
      <c r="M2529" s="2" t="n">
        <v>2</v>
      </c>
      <c r="N2529" s="2" t="n">
        <v>-1</v>
      </c>
      <c r="O2529" s="2" t="n">
        <v>0</v>
      </c>
      <c r="P2529" s="2" t="s">
        <v>23</v>
      </c>
      <c r="Q2529" s="2" t="s">
        <v>20</v>
      </c>
    </row>
    <row r="2530" customFormat="false" ht="15" hidden="false" customHeight="false" outlineLevel="0" collapsed="false">
      <c r="A2530" s="2" t="n">
        <v>33</v>
      </c>
      <c r="B2530" s="2" t="s">
        <v>34</v>
      </c>
      <c r="C2530" s="2" t="s">
        <v>18</v>
      </c>
      <c r="D2530" s="2" t="s">
        <v>25</v>
      </c>
      <c r="E2530" s="2" t="s">
        <v>20</v>
      </c>
      <c r="F2530" s="2" t="n">
        <v>745</v>
      </c>
      <c r="G2530" s="2" t="s">
        <v>26</v>
      </c>
      <c r="H2530" s="2" t="s">
        <v>20</v>
      </c>
      <c r="I2530" s="2" t="s">
        <v>23</v>
      </c>
      <c r="J2530" s="2" t="n">
        <v>23</v>
      </c>
      <c r="K2530" s="2" t="s">
        <v>27</v>
      </c>
      <c r="L2530" s="2" t="n">
        <v>115</v>
      </c>
      <c r="M2530" s="2" t="n">
        <v>4</v>
      </c>
      <c r="N2530" s="2" t="n">
        <v>-1</v>
      </c>
      <c r="O2530" s="2" t="n">
        <v>0</v>
      </c>
      <c r="P2530" s="2" t="s">
        <v>23</v>
      </c>
      <c r="Q2530" s="2" t="s">
        <v>20</v>
      </c>
    </row>
    <row r="2531" customFormat="false" ht="15" hidden="false" customHeight="false" outlineLevel="0" collapsed="false">
      <c r="A2531" s="2" t="n">
        <v>48</v>
      </c>
      <c r="B2531" s="2" t="s">
        <v>29</v>
      </c>
      <c r="C2531" s="2" t="s">
        <v>30</v>
      </c>
      <c r="D2531" s="2" t="s">
        <v>31</v>
      </c>
      <c r="E2531" s="2" t="s">
        <v>20</v>
      </c>
      <c r="F2531" s="2" t="n">
        <v>8106</v>
      </c>
      <c r="G2531" s="2" t="s">
        <v>20</v>
      </c>
      <c r="H2531" s="2" t="s">
        <v>20</v>
      </c>
      <c r="I2531" s="2" t="s">
        <v>23</v>
      </c>
      <c r="J2531" s="2" t="n">
        <v>17</v>
      </c>
      <c r="K2531" s="2" t="s">
        <v>46</v>
      </c>
      <c r="L2531" s="2" t="n">
        <v>125</v>
      </c>
      <c r="M2531" s="2" t="n">
        <v>1</v>
      </c>
      <c r="N2531" s="2" t="n">
        <v>111</v>
      </c>
      <c r="O2531" s="2" t="n">
        <v>3</v>
      </c>
      <c r="P2531" s="2" t="s">
        <v>28</v>
      </c>
      <c r="Q2531" s="2" t="s">
        <v>20</v>
      </c>
    </row>
    <row r="2532" customFormat="false" ht="15" hidden="false" customHeight="false" outlineLevel="0" collapsed="false">
      <c r="A2532" s="2" t="n">
        <v>33</v>
      </c>
      <c r="B2532" s="2" t="s">
        <v>29</v>
      </c>
      <c r="C2532" s="2" t="s">
        <v>30</v>
      </c>
      <c r="D2532" s="2" t="s">
        <v>31</v>
      </c>
      <c r="E2532" s="2" t="s">
        <v>20</v>
      </c>
      <c r="F2532" s="2" t="n">
        <v>0</v>
      </c>
      <c r="G2532" s="2" t="s">
        <v>20</v>
      </c>
      <c r="H2532" s="2" t="s">
        <v>20</v>
      </c>
      <c r="I2532" s="2" t="s">
        <v>21</v>
      </c>
      <c r="J2532" s="2" t="n">
        <v>19</v>
      </c>
      <c r="K2532" s="2" t="s">
        <v>41</v>
      </c>
      <c r="L2532" s="2" t="n">
        <v>53</v>
      </c>
      <c r="M2532" s="2" t="n">
        <v>4</v>
      </c>
      <c r="N2532" s="2" t="n">
        <v>-1</v>
      </c>
      <c r="O2532" s="2" t="n">
        <v>0</v>
      </c>
      <c r="P2532" s="2" t="s">
        <v>23</v>
      </c>
      <c r="Q2532" s="2" t="s">
        <v>20</v>
      </c>
    </row>
    <row r="2533" customFormat="false" ht="15" hidden="false" customHeight="false" outlineLevel="0" collapsed="false">
      <c r="A2533" s="2" t="n">
        <v>67</v>
      </c>
      <c r="B2533" s="2" t="s">
        <v>48</v>
      </c>
      <c r="C2533" s="2" t="s">
        <v>18</v>
      </c>
      <c r="D2533" s="2" t="s">
        <v>23</v>
      </c>
      <c r="E2533" s="2" t="s">
        <v>20</v>
      </c>
      <c r="F2533" s="2" t="n">
        <v>696</v>
      </c>
      <c r="G2533" s="2" t="s">
        <v>20</v>
      </c>
      <c r="H2533" s="2" t="s">
        <v>20</v>
      </c>
      <c r="I2533" s="2" t="s">
        <v>49</v>
      </c>
      <c r="J2533" s="2" t="n">
        <v>4</v>
      </c>
      <c r="K2533" s="2" t="s">
        <v>27</v>
      </c>
      <c r="L2533" s="2" t="n">
        <v>77</v>
      </c>
      <c r="M2533" s="2" t="n">
        <v>2</v>
      </c>
      <c r="N2533" s="2" t="n">
        <v>-1</v>
      </c>
      <c r="O2533" s="2" t="n">
        <v>0</v>
      </c>
      <c r="P2533" s="2" t="s">
        <v>23</v>
      </c>
      <c r="Q2533" s="2" t="s">
        <v>20</v>
      </c>
    </row>
    <row r="2534" customFormat="false" ht="15" hidden="false" customHeight="false" outlineLevel="0" collapsed="false">
      <c r="A2534" s="2" t="n">
        <v>48</v>
      </c>
      <c r="B2534" s="2" t="s">
        <v>17</v>
      </c>
      <c r="C2534" s="2" t="s">
        <v>45</v>
      </c>
      <c r="D2534" s="2" t="s">
        <v>25</v>
      </c>
      <c r="E2534" s="2" t="s">
        <v>20</v>
      </c>
      <c r="F2534" s="2" t="n">
        <v>1266</v>
      </c>
      <c r="G2534" s="2" t="s">
        <v>26</v>
      </c>
      <c r="H2534" s="2" t="s">
        <v>20</v>
      </c>
      <c r="I2534" s="2" t="s">
        <v>49</v>
      </c>
      <c r="J2534" s="2" t="n">
        <v>3</v>
      </c>
      <c r="K2534" s="2" t="s">
        <v>35</v>
      </c>
      <c r="L2534" s="2" t="n">
        <v>45</v>
      </c>
      <c r="M2534" s="2" t="n">
        <v>1</v>
      </c>
      <c r="N2534" s="2" t="n">
        <v>-1</v>
      </c>
      <c r="O2534" s="2" t="n">
        <v>0</v>
      </c>
      <c r="P2534" s="2" t="s">
        <v>23</v>
      </c>
      <c r="Q2534" s="2" t="s">
        <v>20</v>
      </c>
    </row>
    <row r="2535" customFormat="false" ht="15" hidden="false" customHeight="false" outlineLevel="0" collapsed="false">
      <c r="A2535" s="2" t="n">
        <v>57</v>
      </c>
      <c r="B2535" s="2" t="s">
        <v>29</v>
      </c>
      <c r="C2535" s="2" t="s">
        <v>18</v>
      </c>
      <c r="D2535" s="2" t="s">
        <v>31</v>
      </c>
      <c r="E2535" s="2" t="s">
        <v>20</v>
      </c>
      <c r="F2535" s="2" t="n">
        <v>2416</v>
      </c>
      <c r="G2535" s="2" t="s">
        <v>20</v>
      </c>
      <c r="H2535" s="2" t="s">
        <v>20</v>
      </c>
      <c r="I2535" s="2" t="s">
        <v>21</v>
      </c>
      <c r="J2535" s="2" t="n">
        <v>11</v>
      </c>
      <c r="K2535" s="2" t="s">
        <v>41</v>
      </c>
      <c r="L2535" s="2" t="n">
        <v>74</v>
      </c>
      <c r="M2535" s="2" t="n">
        <v>2</v>
      </c>
      <c r="N2535" s="2" t="n">
        <v>-1</v>
      </c>
      <c r="O2535" s="2" t="n">
        <v>0</v>
      </c>
      <c r="P2535" s="2" t="s">
        <v>23</v>
      </c>
      <c r="Q2535" s="2" t="s">
        <v>20</v>
      </c>
    </row>
    <row r="2536" customFormat="false" ht="15" hidden="false" customHeight="false" outlineLevel="0" collapsed="false">
      <c r="A2536" s="2" t="n">
        <v>31</v>
      </c>
      <c r="B2536" s="2" t="s">
        <v>47</v>
      </c>
      <c r="C2536" s="2" t="s">
        <v>18</v>
      </c>
      <c r="D2536" s="2" t="s">
        <v>19</v>
      </c>
      <c r="E2536" s="2" t="s">
        <v>20</v>
      </c>
      <c r="F2536" s="2" t="n">
        <v>25</v>
      </c>
      <c r="G2536" s="2" t="s">
        <v>20</v>
      </c>
      <c r="H2536" s="2" t="s">
        <v>20</v>
      </c>
      <c r="I2536" s="2" t="s">
        <v>21</v>
      </c>
      <c r="J2536" s="2" t="n">
        <v>21</v>
      </c>
      <c r="K2536" s="2" t="s">
        <v>41</v>
      </c>
      <c r="L2536" s="2" t="n">
        <v>169</v>
      </c>
      <c r="M2536" s="2" t="n">
        <v>5</v>
      </c>
      <c r="N2536" s="2" t="n">
        <v>-1</v>
      </c>
      <c r="O2536" s="2" t="n">
        <v>0</v>
      </c>
      <c r="P2536" s="2" t="s">
        <v>23</v>
      </c>
      <c r="Q2536" s="2" t="s">
        <v>20</v>
      </c>
    </row>
    <row r="2537" customFormat="false" ht="15" hidden="false" customHeight="false" outlineLevel="0" collapsed="false">
      <c r="A2537" s="2" t="n">
        <v>30</v>
      </c>
      <c r="B2537" s="2" t="s">
        <v>42</v>
      </c>
      <c r="C2537" s="2" t="s">
        <v>30</v>
      </c>
      <c r="D2537" s="2" t="s">
        <v>31</v>
      </c>
      <c r="E2537" s="2" t="s">
        <v>20</v>
      </c>
      <c r="F2537" s="2" t="n">
        <v>7513</v>
      </c>
      <c r="G2537" s="2" t="s">
        <v>20</v>
      </c>
      <c r="H2537" s="2" t="s">
        <v>20</v>
      </c>
      <c r="I2537" s="2" t="s">
        <v>21</v>
      </c>
      <c r="J2537" s="2" t="n">
        <v>11</v>
      </c>
      <c r="K2537" s="2" t="s">
        <v>41</v>
      </c>
      <c r="L2537" s="2" t="n">
        <v>269</v>
      </c>
      <c r="M2537" s="2" t="n">
        <v>2</v>
      </c>
      <c r="N2537" s="2" t="n">
        <v>-1</v>
      </c>
      <c r="O2537" s="2" t="n">
        <v>0</v>
      </c>
      <c r="P2537" s="2" t="s">
        <v>23</v>
      </c>
      <c r="Q2537" s="2" t="s">
        <v>20</v>
      </c>
    </row>
    <row r="2538" customFormat="false" ht="15" hidden="false" customHeight="false" outlineLevel="0" collapsed="false">
      <c r="A2538" s="2" t="n">
        <v>56</v>
      </c>
      <c r="B2538" s="2" t="s">
        <v>39</v>
      </c>
      <c r="C2538" s="2" t="s">
        <v>45</v>
      </c>
      <c r="D2538" s="2" t="s">
        <v>19</v>
      </c>
      <c r="E2538" s="2" t="s">
        <v>20</v>
      </c>
      <c r="F2538" s="2" t="n">
        <v>29</v>
      </c>
      <c r="G2538" s="2" t="s">
        <v>20</v>
      </c>
      <c r="H2538" s="2" t="s">
        <v>20</v>
      </c>
      <c r="I2538" s="2" t="s">
        <v>21</v>
      </c>
      <c r="J2538" s="2" t="n">
        <v>29</v>
      </c>
      <c r="K2538" s="2" t="s">
        <v>43</v>
      </c>
      <c r="L2538" s="2" t="n">
        <v>52</v>
      </c>
      <c r="M2538" s="2" t="n">
        <v>2</v>
      </c>
      <c r="N2538" s="2" t="n">
        <v>227</v>
      </c>
      <c r="O2538" s="2" t="n">
        <v>1</v>
      </c>
      <c r="P2538" s="2" t="s">
        <v>28</v>
      </c>
      <c r="Q2538" s="2" t="s">
        <v>20</v>
      </c>
    </row>
    <row r="2539" customFormat="false" ht="15" hidden="false" customHeight="false" outlineLevel="0" collapsed="false">
      <c r="A2539" s="2" t="n">
        <v>26</v>
      </c>
      <c r="B2539" s="2" t="s">
        <v>34</v>
      </c>
      <c r="C2539" s="2" t="s">
        <v>18</v>
      </c>
      <c r="D2539" s="2" t="s">
        <v>19</v>
      </c>
      <c r="E2539" s="2" t="s">
        <v>20</v>
      </c>
      <c r="F2539" s="2" t="n">
        <v>5116</v>
      </c>
      <c r="G2539" s="2" t="s">
        <v>26</v>
      </c>
      <c r="H2539" s="2" t="s">
        <v>20</v>
      </c>
      <c r="I2539" s="2" t="s">
        <v>21</v>
      </c>
      <c r="J2539" s="2" t="n">
        <v>22</v>
      </c>
      <c r="K2539" s="2" t="s">
        <v>44</v>
      </c>
      <c r="L2539" s="2" t="n">
        <v>246</v>
      </c>
      <c r="M2539" s="2" t="n">
        <v>3</v>
      </c>
      <c r="N2539" s="2" t="n">
        <v>-1</v>
      </c>
      <c r="O2539" s="2" t="n">
        <v>0</v>
      </c>
      <c r="P2539" s="2" t="s">
        <v>23</v>
      </c>
      <c r="Q2539" s="2" t="s">
        <v>20</v>
      </c>
    </row>
    <row r="2540" customFormat="false" ht="15" hidden="false" customHeight="false" outlineLevel="0" collapsed="false">
      <c r="A2540" s="2" t="n">
        <v>44</v>
      </c>
      <c r="B2540" s="2" t="s">
        <v>29</v>
      </c>
      <c r="C2540" s="2" t="s">
        <v>18</v>
      </c>
      <c r="D2540" s="2" t="s">
        <v>25</v>
      </c>
      <c r="E2540" s="2" t="s">
        <v>20</v>
      </c>
      <c r="F2540" s="2" t="n">
        <v>-1746</v>
      </c>
      <c r="G2540" s="2" t="s">
        <v>26</v>
      </c>
      <c r="H2540" s="2" t="s">
        <v>20</v>
      </c>
      <c r="I2540" s="2" t="s">
        <v>23</v>
      </c>
      <c r="J2540" s="2" t="n">
        <v>20</v>
      </c>
      <c r="K2540" s="2" t="s">
        <v>33</v>
      </c>
      <c r="L2540" s="2" t="n">
        <v>218</v>
      </c>
      <c r="M2540" s="2" t="n">
        <v>1</v>
      </c>
      <c r="N2540" s="2" t="n">
        <v>-1</v>
      </c>
      <c r="O2540" s="2" t="n">
        <v>0</v>
      </c>
      <c r="P2540" s="2" t="s">
        <v>23</v>
      </c>
      <c r="Q2540" s="2" t="s">
        <v>20</v>
      </c>
    </row>
    <row r="2541" customFormat="false" ht="15" hidden="false" customHeight="false" outlineLevel="0" collapsed="false">
      <c r="A2541" s="2" t="n">
        <v>44</v>
      </c>
      <c r="B2541" s="2" t="s">
        <v>38</v>
      </c>
      <c r="C2541" s="2" t="s">
        <v>45</v>
      </c>
      <c r="D2541" s="2" t="s">
        <v>25</v>
      </c>
      <c r="E2541" s="2" t="s">
        <v>20</v>
      </c>
      <c r="F2541" s="2" t="n">
        <v>14</v>
      </c>
      <c r="G2541" s="2" t="s">
        <v>20</v>
      </c>
      <c r="H2541" s="2" t="s">
        <v>20</v>
      </c>
      <c r="I2541" s="2" t="s">
        <v>21</v>
      </c>
      <c r="J2541" s="2" t="n">
        <v>13</v>
      </c>
      <c r="K2541" s="2" t="s">
        <v>46</v>
      </c>
      <c r="L2541" s="2" t="n">
        <v>167</v>
      </c>
      <c r="M2541" s="2" t="n">
        <v>1</v>
      </c>
      <c r="N2541" s="2" t="n">
        <v>92</v>
      </c>
      <c r="O2541" s="2" t="n">
        <v>1</v>
      </c>
      <c r="P2541" s="2" t="s">
        <v>50</v>
      </c>
      <c r="Q2541" s="2" t="s">
        <v>26</v>
      </c>
    </row>
    <row r="2542" customFormat="false" ht="15" hidden="false" customHeight="false" outlineLevel="0" collapsed="false">
      <c r="A2542" s="2" t="n">
        <v>31</v>
      </c>
      <c r="B2542" s="2" t="s">
        <v>29</v>
      </c>
      <c r="C2542" s="2" t="s">
        <v>18</v>
      </c>
      <c r="D2542" s="2" t="s">
        <v>31</v>
      </c>
      <c r="E2542" s="2" t="s">
        <v>20</v>
      </c>
      <c r="F2542" s="2" t="n">
        <v>4148</v>
      </c>
      <c r="G2542" s="2" t="s">
        <v>26</v>
      </c>
      <c r="H2542" s="2" t="s">
        <v>20</v>
      </c>
      <c r="I2542" s="2" t="s">
        <v>21</v>
      </c>
      <c r="J2542" s="2" t="n">
        <v>21</v>
      </c>
      <c r="K2542" s="2" t="s">
        <v>46</v>
      </c>
      <c r="L2542" s="2" t="n">
        <v>316</v>
      </c>
      <c r="M2542" s="2" t="n">
        <v>3</v>
      </c>
      <c r="N2542" s="2" t="n">
        <v>99</v>
      </c>
      <c r="O2542" s="2" t="n">
        <v>9</v>
      </c>
      <c r="P2542" s="2" t="s">
        <v>37</v>
      </c>
      <c r="Q2542" s="2" t="s">
        <v>26</v>
      </c>
    </row>
    <row r="2543" customFormat="false" ht="15" hidden="false" customHeight="false" outlineLevel="0" collapsed="false">
      <c r="A2543" s="2" t="n">
        <v>47</v>
      </c>
      <c r="B2543" s="2" t="s">
        <v>36</v>
      </c>
      <c r="C2543" s="2" t="s">
        <v>18</v>
      </c>
      <c r="D2543" s="2" t="s">
        <v>23</v>
      </c>
      <c r="E2543" s="2" t="s">
        <v>20</v>
      </c>
      <c r="F2543" s="2" t="n">
        <v>14</v>
      </c>
      <c r="G2543" s="2" t="s">
        <v>26</v>
      </c>
      <c r="H2543" s="2" t="s">
        <v>20</v>
      </c>
      <c r="I2543" s="2" t="s">
        <v>21</v>
      </c>
      <c r="J2543" s="2" t="n">
        <v>15</v>
      </c>
      <c r="K2543" s="2" t="s">
        <v>27</v>
      </c>
      <c r="L2543" s="2" t="n">
        <v>142</v>
      </c>
      <c r="M2543" s="2" t="n">
        <v>1</v>
      </c>
      <c r="N2543" s="2" t="n">
        <v>-1</v>
      </c>
      <c r="O2543" s="2" t="n">
        <v>0</v>
      </c>
      <c r="P2543" s="2" t="s">
        <v>23</v>
      </c>
      <c r="Q2543" s="2" t="s">
        <v>20</v>
      </c>
    </row>
    <row r="2544" customFormat="false" ht="15" hidden="false" customHeight="false" outlineLevel="0" collapsed="false">
      <c r="A2544" s="2" t="n">
        <v>30</v>
      </c>
      <c r="B2544" s="2" t="s">
        <v>40</v>
      </c>
      <c r="C2544" s="2" t="s">
        <v>30</v>
      </c>
      <c r="D2544" s="2" t="s">
        <v>25</v>
      </c>
      <c r="E2544" s="2" t="s">
        <v>20</v>
      </c>
      <c r="F2544" s="2" t="n">
        <v>105</v>
      </c>
      <c r="G2544" s="2" t="s">
        <v>26</v>
      </c>
      <c r="H2544" s="2" t="s">
        <v>20</v>
      </c>
      <c r="I2544" s="2" t="s">
        <v>21</v>
      </c>
      <c r="J2544" s="2" t="n">
        <v>21</v>
      </c>
      <c r="K2544" s="2" t="s">
        <v>46</v>
      </c>
      <c r="L2544" s="2" t="n">
        <v>75</v>
      </c>
      <c r="M2544" s="2" t="n">
        <v>1</v>
      </c>
      <c r="N2544" s="2" t="n">
        <v>-1</v>
      </c>
      <c r="O2544" s="2" t="n">
        <v>0</v>
      </c>
      <c r="P2544" s="2" t="s">
        <v>23</v>
      </c>
      <c r="Q2544" s="2" t="s">
        <v>20</v>
      </c>
    </row>
    <row r="2545" customFormat="false" ht="15" hidden="false" customHeight="false" outlineLevel="0" collapsed="false">
      <c r="A2545" s="2" t="n">
        <v>37</v>
      </c>
      <c r="B2545" s="2" t="s">
        <v>29</v>
      </c>
      <c r="C2545" s="2" t="s">
        <v>18</v>
      </c>
      <c r="D2545" s="2" t="s">
        <v>31</v>
      </c>
      <c r="E2545" s="2" t="s">
        <v>20</v>
      </c>
      <c r="F2545" s="2" t="n">
        <v>767</v>
      </c>
      <c r="G2545" s="2" t="s">
        <v>20</v>
      </c>
      <c r="H2545" s="2" t="s">
        <v>26</v>
      </c>
      <c r="I2545" s="2" t="s">
        <v>21</v>
      </c>
      <c r="J2545" s="2" t="n">
        <v>2</v>
      </c>
      <c r="K2545" s="2" t="s">
        <v>35</v>
      </c>
      <c r="L2545" s="2" t="n">
        <v>204</v>
      </c>
      <c r="M2545" s="2" t="n">
        <v>1</v>
      </c>
      <c r="N2545" s="2" t="n">
        <v>-1</v>
      </c>
      <c r="O2545" s="2" t="n">
        <v>0</v>
      </c>
      <c r="P2545" s="2" t="s">
        <v>23</v>
      </c>
      <c r="Q2545" s="2" t="s">
        <v>20</v>
      </c>
    </row>
    <row r="2546" customFormat="false" ht="15" hidden="false" customHeight="false" outlineLevel="0" collapsed="false">
      <c r="A2546" s="2" t="n">
        <v>56</v>
      </c>
      <c r="B2546" s="2" t="s">
        <v>40</v>
      </c>
      <c r="C2546" s="2" t="s">
        <v>45</v>
      </c>
      <c r="D2546" s="2" t="s">
        <v>19</v>
      </c>
      <c r="E2546" s="2" t="s">
        <v>20</v>
      </c>
      <c r="F2546" s="2" t="n">
        <v>0</v>
      </c>
      <c r="G2546" s="2" t="s">
        <v>20</v>
      </c>
      <c r="H2546" s="2" t="s">
        <v>26</v>
      </c>
      <c r="I2546" s="2" t="s">
        <v>21</v>
      </c>
      <c r="J2546" s="2" t="n">
        <v>10</v>
      </c>
      <c r="K2546" s="2" t="s">
        <v>44</v>
      </c>
      <c r="L2546" s="2" t="n">
        <v>542</v>
      </c>
      <c r="M2546" s="2" t="n">
        <v>1</v>
      </c>
      <c r="N2546" s="2" t="n">
        <v>-1</v>
      </c>
      <c r="O2546" s="2" t="n">
        <v>0</v>
      </c>
      <c r="P2546" s="2" t="s">
        <v>23</v>
      </c>
      <c r="Q2546" s="2" t="s">
        <v>20</v>
      </c>
    </row>
    <row r="2547" customFormat="false" ht="15" hidden="false" customHeight="false" outlineLevel="0" collapsed="false">
      <c r="A2547" s="2" t="n">
        <v>43</v>
      </c>
      <c r="B2547" s="2" t="s">
        <v>29</v>
      </c>
      <c r="C2547" s="2" t="s">
        <v>30</v>
      </c>
      <c r="D2547" s="2" t="s">
        <v>25</v>
      </c>
      <c r="E2547" s="2" t="s">
        <v>20</v>
      </c>
      <c r="F2547" s="2" t="n">
        <v>-228</v>
      </c>
      <c r="G2547" s="2" t="s">
        <v>26</v>
      </c>
      <c r="H2547" s="2" t="s">
        <v>26</v>
      </c>
      <c r="I2547" s="2" t="s">
        <v>23</v>
      </c>
      <c r="J2547" s="2" t="n">
        <v>16</v>
      </c>
      <c r="K2547" s="2" t="s">
        <v>27</v>
      </c>
      <c r="L2547" s="2" t="n">
        <v>122</v>
      </c>
      <c r="M2547" s="2" t="n">
        <v>2</v>
      </c>
      <c r="N2547" s="2" t="n">
        <v>-1</v>
      </c>
      <c r="O2547" s="2" t="n">
        <v>0</v>
      </c>
      <c r="P2547" s="2" t="s">
        <v>23</v>
      </c>
      <c r="Q2547" s="2" t="s">
        <v>20</v>
      </c>
    </row>
    <row r="2548" customFormat="false" ht="15" hidden="false" customHeight="false" outlineLevel="0" collapsed="false">
      <c r="A2548" s="2" t="n">
        <v>42</v>
      </c>
      <c r="B2548" s="2" t="s">
        <v>24</v>
      </c>
      <c r="C2548" s="2" t="s">
        <v>18</v>
      </c>
      <c r="D2548" s="2" t="s">
        <v>25</v>
      </c>
      <c r="E2548" s="2" t="s">
        <v>20</v>
      </c>
      <c r="F2548" s="2" t="n">
        <v>508</v>
      </c>
      <c r="G2548" s="2" t="s">
        <v>26</v>
      </c>
      <c r="H2548" s="2" t="s">
        <v>20</v>
      </c>
      <c r="I2548" s="2" t="s">
        <v>23</v>
      </c>
      <c r="J2548" s="2" t="n">
        <v>30</v>
      </c>
      <c r="K2548" s="2" t="s">
        <v>27</v>
      </c>
      <c r="L2548" s="2" t="n">
        <v>70</v>
      </c>
      <c r="M2548" s="2" t="n">
        <v>1</v>
      </c>
      <c r="N2548" s="2" t="n">
        <v>-1</v>
      </c>
      <c r="O2548" s="2" t="n">
        <v>0</v>
      </c>
      <c r="P2548" s="2" t="s">
        <v>23</v>
      </c>
      <c r="Q2548" s="2" t="s">
        <v>20</v>
      </c>
    </row>
    <row r="2549" customFormat="false" ht="15" hidden="false" customHeight="false" outlineLevel="0" collapsed="false">
      <c r="A2549" s="2" t="n">
        <v>60</v>
      </c>
      <c r="B2549" s="2" t="s">
        <v>29</v>
      </c>
      <c r="C2549" s="2" t="s">
        <v>18</v>
      </c>
      <c r="D2549" s="2" t="s">
        <v>25</v>
      </c>
      <c r="E2549" s="2" t="s">
        <v>20</v>
      </c>
      <c r="F2549" s="2" t="n">
        <v>725</v>
      </c>
      <c r="G2549" s="2" t="s">
        <v>26</v>
      </c>
      <c r="H2549" s="2" t="s">
        <v>20</v>
      </c>
      <c r="I2549" s="2" t="s">
        <v>21</v>
      </c>
      <c r="J2549" s="2" t="n">
        <v>8</v>
      </c>
      <c r="K2549" s="2" t="s">
        <v>44</v>
      </c>
      <c r="L2549" s="2" t="n">
        <v>266</v>
      </c>
      <c r="M2549" s="2" t="n">
        <v>1</v>
      </c>
      <c r="N2549" s="2" t="n">
        <v>-1</v>
      </c>
      <c r="O2549" s="2" t="n">
        <v>0</v>
      </c>
      <c r="P2549" s="2" t="s">
        <v>23</v>
      </c>
      <c r="Q2549" s="2" t="s">
        <v>20</v>
      </c>
    </row>
    <row r="2550" customFormat="false" ht="15" hidden="false" customHeight="false" outlineLevel="0" collapsed="false">
      <c r="A2550" s="2" t="n">
        <v>34</v>
      </c>
      <c r="B2550" s="2" t="s">
        <v>34</v>
      </c>
      <c r="C2550" s="2" t="s">
        <v>18</v>
      </c>
      <c r="D2550" s="2" t="s">
        <v>23</v>
      </c>
      <c r="E2550" s="2" t="s">
        <v>20</v>
      </c>
      <c r="F2550" s="2" t="n">
        <v>41</v>
      </c>
      <c r="G2550" s="2" t="s">
        <v>26</v>
      </c>
      <c r="H2550" s="2" t="s">
        <v>20</v>
      </c>
      <c r="I2550" s="2" t="s">
        <v>21</v>
      </c>
      <c r="J2550" s="2" t="n">
        <v>6</v>
      </c>
      <c r="K2550" s="2" t="s">
        <v>27</v>
      </c>
      <c r="L2550" s="2" t="n">
        <v>34</v>
      </c>
      <c r="M2550" s="2" t="n">
        <v>9</v>
      </c>
      <c r="N2550" s="2" t="n">
        <v>-1</v>
      </c>
      <c r="O2550" s="2" t="n">
        <v>0</v>
      </c>
      <c r="P2550" s="2" t="s">
        <v>23</v>
      </c>
      <c r="Q2550" s="2" t="s">
        <v>20</v>
      </c>
    </row>
    <row r="2551" customFormat="false" ht="15" hidden="false" customHeight="false" outlineLevel="0" collapsed="false">
      <c r="A2551" s="2" t="n">
        <v>34</v>
      </c>
      <c r="B2551" s="2" t="s">
        <v>29</v>
      </c>
      <c r="C2551" s="2" t="s">
        <v>30</v>
      </c>
      <c r="D2551" s="2" t="s">
        <v>31</v>
      </c>
      <c r="E2551" s="2" t="s">
        <v>20</v>
      </c>
      <c r="F2551" s="2" t="n">
        <v>184</v>
      </c>
      <c r="G2551" s="2" t="s">
        <v>20</v>
      </c>
      <c r="H2551" s="2" t="s">
        <v>20</v>
      </c>
      <c r="I2551" s="2" t="s">
        <v>21</v>
      </c>
      <c r="J2551" s="2" t="n">
        <v>22</v>
      </c>
      <c r="K2551" s="2" t="s">
        <v>44</v>
      </c>
      <c r="L2551" s="2" t="n">
        <v>203</v>
      </c>
      <c r="M2551" s="2" t="n">
        <v>4</v>
      </c>
      <c r="N2551" s="2" t="n">
        <v>-1</v>
      </c>
      <c r="O2551" s="2" t="n">
        <v>0</v>
      </c>
      <c r="P2551" s="2" t="s">
        <v>23</v>
      </c>
      <c r="Q2551" s="2" t="s">
        <v>20</v>
      </c>
    </row>
    <row r="2552" customFormat="false" ht="15" hidden="false" customHeight="false" outlineLevel="0" collapsed="false">
      <c r="A2552" s="2" t="n">
        <v>41</v>
      </c>
      <c r="B2552" s="2" t="s">
        <v>29</v>
      </c>
      <c r="C2552" s="2" t="s">
        <v>18</v>
      </c>
      <c r="D2552" s="2" t="s">
        <v>31</v>
      </c>
      <c r="E2552" s="2" t="s">
        <v>20</v>
      </c>
      <c r="F2552" s="2" t="n">
        <v>251</v>
      </c>
      <c r="G2552" s="2" t="s">
        <v>20</v>
      </c>
      <c r="H2552" s="2" t="s">
        <v>26</v>
      </c>
      <c r="I2552" s="2" t="s">
        <v>23</v>
      </c>
      <c r="J2552" s="2" t="n">
        <v>6</v>
      </c>
      <c r="K2552" s="2" t="s">
        <v>33</v>
      </c>
      <c r="L2552" s="2" t="n">
        <v>85</v>
      </c>
      <c r="M2552" s="2" t="n">
        <v>3</v>
      </c>
      <c r="N2552" s="2" t="n">
        <v>-1</v>
      </c>
      <c r="O2552" s="2" t="n">
        <v>0</v>
      </c>
      <c r="P2552" s="2" t="s">
        <v>23</v>
      </c>
      <c r="Q2552" s="2" t="s">
        <v>20</v>
      </c>
    </row>
    <row r="2553" customFormat="false" ht="15" hidden="false" customHeight="false" outlineLevel="0" collapsed="false">
      <c r="A2553" s="2" t="n">
        <v>38</v>
      </c>
      <c r="B2553" s="2" t="s">
        <v>29</v>
      </c>
      <c r="C2553" s="2" t="s">
        <v>45</v>
      </c>
      <c r="D2553" s="2" t="s">
        <v>25</v>
      </c>
      <c r="E2553" s="2" t="s">
        <v>20</v>
      </c>
      <c r="F2553" s="2" t="n">
        <v>-17</v>
      </c>
      <c r="G2553" s="2" t="s">
        <v>20</v>
      </c>
      <c r="H2553" s="2" t="s">
        <v>20</v>
      </c>
      <c r="I2553" s="2" t="s">
        <v>21</v>
      </c>
      <c r="J2553" s="2" t="n">
        <v>21</v>
      </c>
      <c r="K2553" s="2" t="s">
        <v>46</v>
      </c>
      <c r="L2553" s="2" t="n">
        <v>11</v>
      </c>
      <c r="M2553" s="2" t="n">
        <v>4</v>
      </c>
      <c r="N2553" s="2" t="n">
        <v>-1</v>
      </c>
      <c r="O2553" s="2" t="n">
        <v>0</v>
      </c>
      <c r="P2553" s="2" t="s">
        <v>23</v>
      </c>
      <c r="Q2553" s="2" t="s">
        <v>20</v>
      </c>
    </row>
    <row r="2554" customFormat="false" ht="15" hidden="false" customHeight="false" outlineLevel="0" collapsed="false">
      <c r="A2554" s="2" t="n">
        <v>23</v>
      </c>
      <c r="B2554" s="2" t="s">
        <v>24</v>
      </c>
      <c r="C2554" s="2" t="s">
        <v>18</v>
      </c>
      <c r="D2554" s="2" t="s">
        <v>25</v>
      </c>
      <c r="E2554" s="2" t="s">
        <v>20</v>
      </c>
      <c r="F2554" s="2" t="n">
        <v>-19</v>
      </c>
      <c r="G2554" s="2" t="s">
        <v>26</v>
      </c>
      <c r="H2554" s="2" t="s">
        <v>20</v>
      </c>
      <c r="I2554" s="2" t="s">
        <v>23</v>
      </c>
      <c r="J2554" s="2" t="n">
        <v>20</v>
      </c>
      <c r="K2554" s="2" t="s">
        <v>33</v>
      </c>
      <c r="L2554" s="2" t="n">
        <v>13</v>
      </c>
      <c r="M2554" s="2" t="n">
        <v>10</v>
      </c>
      <c r="N2554" s="2" t="n">
        <v>-1</v>
      </c>
      <c r="O2554" s="2" t="n">
        <v>0</v>
      </c>
      <c r="P2554" s="2" t="s">
        <v>23</v>
      </c>
      <c r="Q2554" s="2" t="s">
        <v>20</v>
      </c>
    </row>
    <row r="2555" customFormat="false" ht="15" hidden="false" customHeight="false" outlineLevel="0" collapsed="false">
      <c r="A2555" s="2" t="n">
        <v>33</v>
      </c>
      <c r="B2555" s="2" t="s">
        <v>29</v>
      </c>
      <c r="C2555" s="2" t="s">
        <v>18</v>
      </c>
      <c r="D2555" s="2" t="s">
        <v>31</v>
      </c>
      <c r="E2555" s="2" t="s">
        <v>20</v>
      </c>
      <c r="F2555" s="2" t="n">
        <v>1064</v>
      </c>
      <c r="G2555" s="2" t="s">
        <v>26</v>
      </c>
      <c r="H2555" s="2" t="s">
        <v>20</v>
      </c>
      <c r="I2555" s="2" t="s">
        <v>21</v>
      </c>
      <c r="J2555" s="2" t="n">
        <v>13</v>
      </c>
      <c r="K2555" s="2" t="s">
        <v>27</v>
      </c>
      <c r="L2555" s="2" t="n">
        <v>562</v>
      </c>
      <c r="M2555" s="2" t="n">
        <v>1</v>
      </c>
      <c r="N2555" s="2" t="n">
        <v>-1</v>
      </c>
      <c r="O2555" s="2" t="n">
        <v>0</v>
      </c>
      <c r="P2555" s="2" t="s">
        <v>23</v>
      </c>
      <c r="Q2555" s="2" t="s">
        <v>26</v>
      </c>
    </row>
    <row r="2556" customFormat="false" ht="15" hidden="false" customHeight="false" outlineLevel="0" collapsed="false">
      <c r="A2556" s="2" t="n">
        <v>36</v>
      </c>
      <c r="B2556" s="2" t="s">
        <v>34</v>
      </c>
      <c r="C2556" s="2" t="s">
        <v>18</v>
      </c>
      <c r="D2556" s="2" t="s">
        <v>25</v>
      </c>
      <c r="E2556" s="2" t="s">
        <v>20</v>
      </c>
      <c r="F2556" s="2" t="n">
        <v>777</v>
      </c>
      <c r="G2556" s="2" t="s">
        <v>26</v>
      </c>
      <c r="H2556" s="2" t="s">
        <v>20</v>
      </c>
      <c r="I2556" s="2" t="s">
        <v>21</v>
      </c>
      <c r="J2556" s="2" t="n">
        <v>6</v>
      </c>
      <c r="K2556" s="2" t="s">
        <v>27</v>
      </c>
      <c r="L2556" s="2" t="n">
        <v>185</v>
      </c>
      <c r="M2556" s="2" t="n">
        <v>3</v>
      </c>
      <c r="N2556" s="2" t="n">
        <v>-1</v>
      </c>
      <c r="O2556" s="2" t="n">
        <v>0</v>
      </c>
      <c r="P2556" s="2" t="s">
        <v>23</v>
      </c>
      <c r="Q2556" s="2" t="s">
        <v>20</v>
      </c>
    </row>
    <row r="2557" customFormat="false" ht="15" hidden="false" customHeight="false" outlineLevel="0" collapsed="false">
      <c r="A2557" s="2" t="n">
        <v>49</v>
      </c>
      <c r="B2557" s="2" t="s">
        <v>17</v>
      </c>
      <c r="C2557" s="2" t="s">
        <v>18</v>
      </c>
      <c r="D2557" s="2" t="s">
        <v>31</v>
      </c>
      <c r="E2557" s="2" t="s">
        <v>20</v>
      </c>
      <c r="F2557" s="2" t="n">
        <v>377</v>
      </c>
      <c r="G2557" s="2" t="s">
        <v>20</v>
      </c>
      <c r="H2557" s="2" t="s">
        <v>20</v>
      </c>
      <c r="I2557" s="2" t="s">
        <v>21</v>
      </c>
      <c r="J2557" s="2" t="n">
        <v>22</v>
      </c>
      <c r="K2557" s="2" t="s">
        <v>27</v>
      </c>
      <c r="L2557" s="2" t="n">
        <v>158</v>
      </c>
      <c r="M2557" s="2" t="n">
        <v>1</v>
      </c>
      <c r="N2557" s="2" t="n">
        <v>59</v>
      </c>
      <c r="O2557" s="2" t="n">
        <v>2</v>
      </c>
      <c r="P2557" s="2" t="s">
        <v>28</v>
      </c>
      <c r="Q2557" s="2" t="s">
        <v>20</v>
      </c>
    </row>
    <row r="2558" customFormat="false" ht="15" hidden="false" customHeight="false" outlineLevel="0" collapsed="false">
      <c r="A2558" s="2" t="n">
        <v>34</v>
      </c>
      <c r="B2558" s="2" t="s">
        <v>40</v>
      </c>
      <c r="C2558" s="2" t="s">
        <v>45</v>
      </c>
      <c r="D2558" s="2" t="s">
        <v>25</v>
      </c>
      <c r="E2558" s="2" t="s">
        <v>20</v>
      </c>
      <c r="F2558" s="2" t="n">
        <v>479</v>
      </c>
      <c r="G2558" s="2" t="s">
        <v>26</v>
      </c>
      <c r="H2558" s="2" t="s">
        <v>20</v>
      </c>
      <c r="I2558" s="2" t="s">
        <v>21</v>
      </c>
      <c r="J2558" s="2" t="n">
        <v>12</v>
      </c>
      <c r="K2558" s="2" t="s">
        <v>27</v>
      </c>
      <c r="L2558" s="2" t="n">
        <v>515</v>
      </c>
      <c r="M2558" s="2" t="n">
        <v>1</v>
      </c>
      <c r="N2558" s="2" t="n">
        <v>350</v>
      </c>
      <c r="O2558" s="2" t="n">
        <v>5</v>
      </c>
      <c r="P2558" s="2" t="s">
        <v>28</v>
      </c>
      <c r="Q2558" s="2" t="s">
        <v>26</v>
      </c>
    </row>
    <row r="2559" customFormat="false" ht="15" hidden="false" customHeight="false" outlineLevel="0" collapsed="false">
      <c r="A2559" s="2" t="n">
        <v>40</v>
      </c>
      <c r="B2559" s="2" t="s">
        <v>38</v>
      </c>
      <c r="C2559" s="2" t="s">
        <v>45</v>
      </c>
      <c r="D2559" s="2" t="s">
        <v>25</v>
      </c>
      <c r="E2559" s="2" t="s">
        <v>20</v>
      </c>
      <c r="F2559" s="2" t="n">
        <v>-375</v>
      </c>
      <c r="G2559" s="2" t="s">
        <v>26</v>
      </c>
      <c r="H2559" s="2" t="s">
        <v>20</v>
      </c>
      <c r="I2559" s="2" t="s">
        <v>21</v>
      </c>
      <c r="J2559" s="2" t="n">
        <v>13</v>
      </c>
      <c r="K2559" s="2" t="s">
        <v>27</v>
      </c>
      <c r="L2559" s="2" t="n">
        <v>60</v>
      </c>
      <c r="M2559" s="2" t="n">
        <v>5</v>
      </c>
      <c r="N2559" s="2" t="n">
        <v>-1</v>
      </c>
      <c r="O2559" s="2" t="n">
        <v>0</v>
      </c>
      <c r="P2559" s="2" t="s">
        <v>23</v>
      </c>
      <c r="Q2559" s="2" t="s">
        <v>20</v>
      </c>
    </row>
    <row r="2560" customFormat="false" ht="15" hidden="false" customHeight="false" outlineLevel="0" collapsed="false">
      <c r="A2560" s="2" t="n">
        <v>72</v>
      </c>
      <c r="B2560" s="2" t="s">
        <v>48</v>
      </c>
      <c r="C2560" s="2" t="s">
        <v>18</v>
      </c>
      <c r="D2560" s="2" t="s">
        <v>19</v>
      </c>
      <c r="E2560" s="2" t="s">
        <v>20</v>
      </c>
      <c r="F2560" s="2" t="n">
        <v>796</v>
      </c>
      <c r="G2560" s="2" t="s">
        <v>20</v>
      </c>
      <c r="H2560" s="2" t="s">
        <v>20</v>
      </c>
      <c r="I2560" s="2" t="s">
        <v>21</v>
      </c>
      <c r="J2560" s="2" t="n">
        <v>24</v>
      </c>
      <c r="K2560" s="2" t="s">
        <v>32</v>
      </c>
      <c r="L2560" s="2" t="n">
        <v>173</v>
      </c>
      <c r="M2560" s="2" t="n">
        <v>2</v>
      </c>
      <c r="N2560" s="2" t="n">
        <v>-1</v>
      </c>
      <c r="O2560" s="2" t="n">
        <v>0</v>
      </c>
      <c r="P2560" s="2" t="s">
        <v>23</v>
      </c>
      <c r="Q2560" s="2" t="s">
        <v>20</v>
      </c>
    </row>
    <row r="2561" customFormat="false" ht="15" hidden="false" customHeight="false" outlineLevel="0" collapsed="false">
      <c r="A2561" s="2" t="n">
        <v>43</v>
      </c>
      <c r="B2561" s="2" t="s">
        <v>38</v>
      </c>
      <c r="C2561" s="2" t="s">
        <v>18</v>
      </c>
      <c r="D2561" s="2" t="s">
        <v>25</v>
      </c>
      <c r="E2561" s="2" t="s">
        <v>20</v>
      </c>
      <c r="F2561" s="2" t="n">
        <v>17</v>
      </c>
      <c r="G2561" s="2" t="s">
        <v>26</v>
      </c>
      <c r="H2561" s="2" t="s">
        <v>20</v>
      </c>
      <c r="I2561" s="2" t="s">
        <v>23</v>
      </c>
      <c r="J2561" s="2" t="n">
        <v>16</v>
      </c>
      <c r="K2561" s="2" t="s">
        <v>27</v>
      </c>
      <c r="L2561" s="2" t="n">
        <v>353</v>
      </c>
      <c r="M2561" s="2" t="n">
        <v>4</v>
      </c>
      <c r="N2561" s="2" t="n">
        <v>-1</v>
      </c>
      <c r="O2561" s="2" t="n">
        <v>0</v>
      </c>
      <c r="P2561" s="2" t="s">
        <v>23</v>
      </c>
      <c r="Q2561" s="2" t="s">
        <v>20</v>
      </c>
    </row>
    <row r="2562" customFormat="false" ht="15" hidden="false" customHeight="false" outlineLevel="0" collapsed="false">
      <c r="A2562" s="2" t="n">
        <v>44</v>
      </c>
      <c r="B2562" s="2" t="s">
        <v>34</v>
      </c>
      <c r="C2562" s="2" t="s">
        <v>18</v>
      </c>
      <c r="D2562" s="2" t="s">
        <v>25</v>
      </c>
      <c r="E2562" s="2" t="s">
        <v>20</v>
      </c>
      <c r="F2562" s="2" t="n">
        <v>1071</v>
      </c>
      <c r="G2562" s="2" t="s">
        <v>26</v>
      </c>
      <c r="H2562" s="2" t="s">
        <v>20</v>
      </c>
      <c r="I2562" s="2" t="s">
        <v>21</v>
      </c>
      <c r="J2562" s="2" t="n">
        <v>11</v>
      </c>
      <c r="K2562" s="2" t="s">
        <v>27</v>
      </c>
      <c r="L2562" s="2" t="n">
        <v>143</v>
      </c>
      <c r="M2562" s="2" t="n">
        <v>3</v>
      </c>
      <c r="N2562" s="2" t="n">
        <v>357</v>
      </c>
      <c r="O2562" s="2" t="n">
        <v>1</v>
      </c>
      <c r="P2562" s="2" t="s">
        <v>28</v>
      </c>
      <c r="Q2562" s="2" t="s">
        <v>20</v>
      </c>
    </row>
    <row r="2563" customFormat="false" ht="15" hidden="false" customHeight="false" outlineLevel="0" collapsed="false">
      <c r="A2563" s="2" t="n">
        <v>35</v>
      </c>
      <c r="B2563" s="2" t="s">
        <v>40</v>
      </c>
      <c r="C2563" s="2" t="s">
        <v>18</v>
      </c>
      <c r="D2563" s="2" t="s">
        <v>25</v>
      </c>
      <c r="E2563" s="2" t="s">
        <v>20</v>
      </c>
      <c r="F2563" s="2" t="n">
        <v>0</v>
      </c>
      <c r="G2563" s="2" t="s">
        <v>26</v>
      </c>
      <c r="H2563" s="2" t="s">
        <v>20</v>
      </c>
      <c r="I2563" s="2" t="s">
        <v>21</v>
      </c>
      <c r="J2563" s="2" t="n">
        <v>20</v>
      </c>
      <c r="K2563" s="2" t="s">
        <v>32</v>
      </c>
      <c r="L2563" s="2" t="n">
        <v>18</v>
      </c>
      <c r="M2563" s="2" t="n">
        <v>5</v>
      </c>
      <c r="N2563" s="2" t="n">
        <v>-1</v>
      </c>
      <c r="O2563" s="2" t="n">
        <v>0</v>
      </c>
      <c r="P2563" s="2" t="s">
        <v>23</v>
      </c>
      <c r="Q2563" s="2" t="s">
        <v>20</v>
      </c>
    </row>
    <row r="2564" customFormat="false" ht="15" hidden="false" customHeight="false" outlineLevel="0" collapsed="false">
      <c r="A2564" s="2" t="n">
        <v>46</v>
      </c>
      <c r="B2564" s="2" t="s">
        <v>40</v>
      </c>
      <c r="C2564" s="2" t="s">
        <v>45</v>
      </c>
      <c r="D2564" s="2" t="s">
        <v>25</v>
      </c>
      <c r="E2564" s="2" t="s">
        <v>20</v>
      </c>
      <c r="F2564" s="2" t="n">
        <v>7378</v>
      </c>
      <c r="G2564" s="2" t="s">
        <v>20</v>
      </c>
      <c r="H2564" s="2" t="s">
        <v>20</v>
      </c>
      <c r="I2564" s="2" t="s">
        <v>21</v>
      </c>
      <c r="J2564" s="2" t="n">
        <v>18</v>
      </c>
      <c r="K2564" s="2" t="s">
        <v>46</v>
      </c>
      <c r="L2564" s="2" t="n">
        <v>466</v>
      </c>
      <c r="M2564" s="2" t="n">
        <v>1</v>
      </c>
      <c r="N2564" s="2" t="n">
        <v>-1</v>
      </c>
      <c r="O2564" s="2" t="n">
        <v>0</v>
      </c>
      <c r="P2564" s="2" t="s">
        <v>23</v>
      </c>
      <c r="Q2564" s="2" t="s">
        <v>20</v>
      </c>
    </row>
    <row r="2565" customFormat="false" ht="15" hidden="false" customHeight="false" outlineLevel="0" collapsed="false">
      <c r="A2565" s="2" t="n">
        <v>55</v>
      </c>
      <c r="B2565" s="2" t="s">
        <v>40</v>
      </c>
      <c r="C2565" s="2" t="s">
        <v>18</v>
      </c>
      <c r="D2565" s="2" t="s">
        <v>25</v>
      </c>
      <c r="E2565" s="2" t="s">
        <v>20</v>
      </c>
      <c r="F2565" s="2" t="n">
        <v>865</v>
      </c>
      <c r="G2565" s="2" t="s">
        <v>26</v>
      </c>
      <c r="H2565" s="2" t="s">
        <v>20</v>
      </c>
      <c r="I2565" s="2" t="s">
        <v>21</v>
      </c>
      <c r="J2565" s="2" t="n">
        <v>17</v>
      </c>
      <c r="K2565" s="2" t="s">
        <v>32</v>
      </c>
      <c r="L2565" s="2" t="n">
        <v>85</v>
      </c>
      <c r="M2565" s="2" t="n">
        <v>1</v>
      </c>
      <c r="N2565" s="2" t="n">
        <v>151</v>
      </c>
      <c r="O2565" s="2" t="n">
        <v>1</v>
      </c>
      <c r="P2565" s="2" t="s">
        <v>28</v>
      </c>
      <c r="Q2565" s="2" t="s">
        <v>20</v>
      </c>
    </row>
    <row r="2566" customFormat="false" ht="15" hidden="false" customHeight="false" outlineLevel="0" collapsed="false">
      <c r="A2566" s="2" t="n">
        <v>50</v>
      </c>
      <c r="B2566" s="2" t="s">
        <v>38</v>
      </c>
      <c r="C2566" s="2" t="s">
        <v>45</v>
      </c>
      <c r="D2566" s="2" t="s">
        <v>25</v>
      </c>
      <c r="E2566" s="2" t="s">
        <v>20</v>
      </c>
      <c r="F2566" s="2" t="n">
        <v>-701</v>
      </c>
      <c r="G2566" s="2" t="s">
        <v>26</v>
      </c>
      <c r="H2566" s="2" t="s">
        <v>26</v>
      </c>
      <c r="I2566" s="2" t="s">
        <v>21</v>
      </c>
      <c r="J2566" s="2" t="n">
        <v>24</v>
      </c>
      <c r="K2566" s="2" t="s">
        <v>44</v>
      </c>
      <c r="L2566" s="2" t="n">
        <v>148</v>
      </c>
      <c r="M2566" s="2" t="n">
        <v>1</v>
      </c>
      <c r="N2566" s="2" t="n">
        <v>-1</v>
      </c>
      <c r="O2566" s="2" t="n">
        <v>0</v>
      </c>
      <c r="P2566" s="2" t="s">
        <v>23</v>
      </c>
      <c r="Q2566" s="2" t="s">
        <v>20</v>
      </c>
    </row>
    <row r="2567" customFormat="false" ht="15" hidden="false" customHeight="false" outlineLevel="0" collapsed="false">
      <c r="A2567" s="2" t="n">
        <v>23</v>
      </c>
      <c r="B2567" s="2" t="s">
        <v>34</v>
      </c>
      <c r="C2567" s="2" t="s">
        <v>30</v>
      </c>
      <c r="D2567" s="2" t="s">
        <v>23</v>
      </c>
      <c r="E2567" s="2" t="s">
        <v>20</v>
      </c>
      <c r="F2567" s="2" t="n">
        <v>817</v>
      </c>
      <c r="G2567" s="2" t="s">
        <v>26</v>
      </c>
      <c r="H2567" s="2" t="s">
        <v>20</v>
      </c>
      <c r="I2567" s="2" t="s">
        <v>21</v>
      </c>
      <c r="J2567" s="2" t="n">
        <v>18</v>
      </c>
      <c r="K2567" s="2" t="s">
        <v>27</v>
      </c>
      <c r="L2567" s="2" t="n">
        <v>123</v>
      </c>
      <c r="M2567" s="2" t="n">
        <v>1</v>
      </c>
      <c r="N2567" s="2" t="n">
        <v>-1</v>
      </c>
      <c r="O2567" s="2" t="n">
        <v>0</v>
      </c>
      <c r="P2567" s="2" t="s">
        <v>23</v>
      </c>
      <c r="Q2567" s="2" t="s">
        <v>20</v>
      </c>
    </row>
    <row r="2568" customFormat="false" ht="15" hidden="false" customHeight="false" outlineLevel="0" collapsed="false">
      <c r="A2568" s="2" t="n">
        <v>34</v>
      </c>
      <c r="B2568" s="2" t="s">
        <v>42</v>
      </c>
      <c r="C2568" s="2" t="s">
        <v>18</v>
      </c>
      <c r="D2568" s="2" t="s">
        <v>23</v>
      </c>
      <c r="E2568" s="2" t="s">
        <v>20</v>
      </c>
      <c r="F2568" s="2" t="n">
        <v>1387</v>
      </c>
      <c r="G2568" s="2" t="s">
        <v>20</v>
      </c>
      <c r="H2568" s="2" t="s">
        <v>20</v>
      </c>
      <c r="I2568" s="2" t="s">
        <v>21</v>
      </c>
      <c r="J2568" s="2" t="n">
        <v>30</v>
      </c>
      <c r="K2568" s="2" t="s">
        <v>32</v>
      </c>
      <c r="L2568" s="2" t="n">
        <v>121</v>
      </c>
      <c r="M2568" s="2" t="n">
        <v>1</v>
      </c>
      <c r="N2568" s="2" t="n">
        <v>-1</v>
      </c>
      <c r="O2568" s="2" t="n">
        <v>0</v>
      </c>
      <c r="P2568" s="2" t="s">
        <v>23</v>
      </c>
      <c r="Q2568" s="2" t="s">
        <v>20</v>
      </c>
    </row>
    <row r="2569" customFormat="false" ht="15" hidden="false" customHeight="false" outlineLevel="0" collapsed="false">
      <c r="A2569" s="2" t="n">
        <v>40</v>
      </c>
      <c r="B2569" s="2" t="s">
        <v>34</v>
      </c>
      <c r="C2569" s="2" t="s">
        <v>18</v>
      </c>
      <c r="D2569" s="2" t="s">
        <v>25</v>
      </c>
      <c r="E2569" s="2" t="s">
        <v>20</v>
      </c>
      <c r="F2569" s="2" t="n">
        <v>0</v>
      </c>
      <c r="G2569" s="2" t="s">
        <v>26</v>
      </c>
      <c r="H2569" s="2" t="s">
        <v>26</v>
      </c>
      <c r="I2569" s="2" t="s">
        <v>23</v>
      </c>
      <c r="J2569" s="2" t="n">
        <v>29</v>
      </c>
      <c r="K2569" s="2" t="s">
        <v>27</v>
      </c>
      <c r="L2569" s="2" t="n">
        <v>245</v>
      </c>
      <c r="M2569" s="2" t="n">
        <v>3</v>
      </c>
      <c r="N2569" s="2" t="n">
        <v>-1</v>
      </c>
      <c r="O2569" s="2" t="n">
        <v>0</v>
      </c>
      <c r="P2569" s="2" t="s">
        <v>23</v>
      </c>
      <c r="Q2569" s="2" t="s">
        <v>20</v>
      </c>
    </row>
    <row r="2570" customFormat="false" ht="15" hidden="false" customHeight="false" outlineLevel="0" collapsed="false">
      <c r="A2570" s="2" t="n">
        <v>61</v>
      </c>
      <c r="B2570" s="2" t="s">
        <v>48</v>
      </c>
      <c r="C2570" s="2" t="s">
        <v>18</v>
      </c>
      <c r="D2570" s="2" t="s">
        <v>25</v>
      </c>
      <c r="E2570" s="2" t="s">
        <v>20</v>
      </c>
      <c r="F2570" s="2" t="n">
        <v>2917</v>
      </c>
      <c r="G2570" s="2" t="s">
        <v>20</v>
      </c>
      <c r="H2570" s="2" t="s">
        <v>20</v>
      </c>
      <c r="I2570" s="2" t="s">
        <v>21</v>
      </c>
      <c r="J2570" s="2" t="n">
        <v>6</v>
      </c>
      <c r="K2570" s="2" t="s">
        <v>22</v>
      </c>
      <c r="L2570" s="2" t="n">
        <v>215</v>
      </c>
      <c r="M2570" s="2" t="n">
        <v>1</v>
      </c>
      <c r="N2570" s="2" t="n">
        <v>-1</v>
      </c>
      <c r="O2570" s="2" t="n">
        <v>0</v>
      </c>
      <c r="P2570" s="2" t="s">
        <v>23</v>
      </c>
      <c r="Q2570" s="2" t="s">
        <v>26</v>
      </c>
    </row>
    <row r="2571" customFormat="false" ht="15" hidden="false" customHeight="false" outlineLevel="0" collapsed="false">
      <c r="A2571" s="2" t="n">
        <v>53</v>
      </c>
      <c r="B2571" s="2" t="s">
        <v>38</v>
      </c>
      <c r="C2571" s="2" t="s">
        <v>18</v>
      </c>
      <c r="D2571" s="2" t="s">
        <v>25</v>
      </c>
      <c r="E2571" s="2" t="s">
        <v>20</v>
      </c>
      <c r="F2571" s="2" t="n">
        <v>4541</v>
      </c>
      <c r="G2571" s="2" t="s">
        <v>26</v>
      </c>
      <c r="H2571" s="2" t="s">
        <v>20</v>
      </c>
      <c r="I2571" s="2" t="s">
        <v>23</v>
      </c>
      <c r="J2571" s="2" t="n">
        <v>15</v>
      </c>
      <c r="K2571" s="2" t="s">
        <v>27</v>
      </c>
      <c r="L2571" s="2" t="n">
        <v>190</v>
      </c>
      <c r="M2571" s="2" t="n">
        <v>6</v>
      </c>
      <c r="N2571" s="2" t="n">
        <v>-1</v>
      </c>
      <c r="O2571" s="2" t="n">
        <v>0</v>
      </c>
      <c r="P2571" s="2" t="s">
        <v>23</v>
      </c>
      <c r="Q2571" s="2" t="s">
        <v>20</v>
      </c>
    </row>
    <row r="2572" customFormat="false" ht="15" hidden="false" customHeight="false" outlineLevel="0" collapsed="false">
      <c r="A2572" s="2" t="n">
        <v>57</v>
      </c>
      <c r="B2572" s="2" t="s">
        <v>38</v>
      </c>
      <c r="C2572" s="2" t="s">
        <v>18</v>
      </c>
      <c r="D2572" s="2" t="s">
        <v>25</v>
      </c>
      <c r="E2572" s="2" t="s">
        <v>20</v>
      </c>
      <c r="F2572" s="2" t="n">
        <v>0</v>
      </c>
      <c r="G2572" s="2" t="s">
        <v>20</v>
      </c>
      <c r="H2572" s="2" t="s">
        <v>20</v>
      </c>
      <c r="I2572" s="2" t="s">
        <v>23</v>
      </c>
      <c r="J2572" s="2" t="n">
        <v>13</v>
      </c>
      <c r="K2572" s="2" t="s">
        <v>27</v>
      </c>
      <c r="L2572" s="2" t="n">
        <v>44</v>
      </c>
      <c r="M2572" s="2" t="n">
        <v>1</v>
      </c>
      <c r="N2572" s="2" t="n">
        <v>-1</v>
      </c>
      <c r="O2572" s="2" t="n">
        <v>0</v>
      </c>
      <c r="P2572" s="2" t="s">
        <v>23</v>
      </c>
      <c r="Q2572" s="2" t="s">
        <v>20</v>
      </c>
    </row>
    <row r="2573" customFormat="false" ht="15" hidden="false" customHeight="false" outlineLevel="0" collapsed="false">
      <c r="A2573" s="2" t="n">
        <v>28</v>
      </c>
      <c r="B2573" s="2" t="s">
        <v>34</v>
      </c>
      <c r="C2573" s="2" t="s">
        <v>18</v>
      </c>
      <c r="D2573" s="2" t="s">
        <v>25</v>
      </c>
      <c r="E2573" s="2" t="s">
        <v>20</v>
      </c>
      <c r="F2573" s="2" t="n">
        <v>4287</v>
      </c>
      <c r="G2573" s="2" t="s">
        <v>20</v>
      </c>
      <c r="H2573" s="2" t="s">
        <v>20</v>
      </c>
      <c r="I2573" s="2" t="s">
        <v>21</v>
      </c>
      <c r="J2573" s="2" t="n">
        <v>30</v>
      </c>
      <c r="K2573" s="2" t="s">
        <v>32</v>
      </c>
      <c r="L2573" s="2" t="n">
        <v>171</v>
      </c>
      <c r="M2573" s="2" t="n">
        <v>1</v>
      </c>
      <c r="N2573" s="2" t="n">
        <v>-1</v>
      </c>
      <c r="O2573" s="2" t="n">
        <v>0</v>
      </c>
      <c r="P2573" s="2" t="s">
        <v>23</v>
      </c>
      <c r="Q2573" s="2" t="s">
        <v>20</v>
      </c>
    </row>
    <row r="2574" customFormat="false" ht="15" hidden="false" customHeight="false" outlineLevel="0" collapsed="false">
      <c r="A2574" s="2" t="n">
        <v>25</v>
      </c>
      <c r="B2574" s="2" t="s">
        <v>40</v>
      </c>
      <c r="C2574" s="2" t="s">
        <v>18</v>
      </c>
      <c r="D2574" s="2" t="s">
        <v>25</v>
      </c>
      <c r="E2574" s="2" t="s">
        <v>20</v>
      </c>
      <c r="F2574" s="2" t="n">
        <v>242</v>
      </c>
      <c r="G2574" s="2" t="s">
        <v>26</v>
      </c>
      <c r="H2574" s="2" t="s">
        <v>20</v>
      </c>
      <c r="I2574" s="2" t="s">
        <v>21</v>
      </c>
      <c r="J2574" s="2" t="n">
        <v>30</v>
      </c>
      <c r="K2574" s="2" t="s">
        <v>44</v>
      </c>
      <c r="L2574" s="2" t="n">
        <v>62</v>
      </c>
      <c r="M2574" s="2" t="n">
        <v>12</v>
      </c>
      <c r="N2574" s="2" t="n">
        <v>-1</v>
      </c>
      <c r="O2574" s="2" t="n">
        <v>0</v>
      </c>
      <c r="P2574" s="2" t="s">
        <v>23</v>
      </c>
      <c r="Q2574" s="2" t="s">
        <v>20</v>
      </c>
    </row>
    <row r="2575" customFormat="false" ht="15" hidden="false" customHeight="false" outlineLevel="0" collapsed="false">
      <c r="A2575" s="2" t="n">
        <v>38</v>
      </c>
      <c r="B2575" s="2" t="s">
        <v>34</v>
      </c>
      <c r="C2575" s="2" t="s">
        <v>18</v>
      </c>
      <c r="D2575" s="2" t="s">
        <v>25</v>
      </c>
      <c r="E2575" s="2" t="s">
        <v>20</v>
      </c>
      <c r="F2575" s="2" t="n">
        <v>171</v>
      </c>
      <c r="G2575" s="2" t="s">
        <v>26</v>
      </c>
      <c r="H2575" s="2" t="s">
        <v>26</v>
      </c>
      <c r="I2575" s="2" t="s">
        <v>23</v>
      </c>
      <c r="J2575" s="2" t="n">
        <v>20</v>
      </c>
      <c r="K2575" s="2" t="s">
        <v>27</v>
      </c>
      <c r="L2575" s="2" t="n">
        <v>172</v>
      </c>
      <c r="M2575" s="2" t="n">
        <v>1</v>
      </c>
      <c r="N2575" s="2" t="n">
        <v>-1</v>
      </c>
      <c r="O2575" s="2" t="n">
        <v>0</v>
      </c>
      <c r="P2575" s="2" t="s">
        <v>23</v>
      </c>
      <c r="Q2575" s="2" t="s">
        <v>20</v>
      </c>
    </row>
    <row r="2576" customFormat="false" ht="15" hidden="false" customHeight="false" outlineLevel="0" collapsed="false">
      <c r="A2576" s="2" t="n">
        <v>27</v>
      </c>
      <c r="B2576" s="2" t="s">
        <v>24</v>
      </c>
      <c r="C2576" s="2" t="s">
        <v>30</v>
      </c>
      <c r="D2576" s="2" t="s">
        <v>25</v>
      </c>
      <c r="E2576" s="2" t="s">
        <v>20</v>
      </c>
      <c r="F2576" s="2" t="n">
        <v>259</v>
      </c>
      <c r="G2576" s="2" t="s">
        <v>26</v>
      </c>
      <c r="H2576" s="2" t="s">
        <v>20</v>
      </c>
      <c r="I2576" s="2" t="s">
        <v>23</v>
      </c>
      <c r="J2576" s="2" t="n">
        <v>23</v>
      </c>
      <c r="K2576" s="2" t="s">
        <v>27</v>
      </c>
      <c r="L2576" s="2" t="n">
        <v>78</v>
      </c>
      <c r="M2576" s="2" t="n">
        <v>10</v>
      </c>
      <c r="N2576" s="2" t="n">
        <v>-1</v>
      </c>
      <c r="O2576" s="2" t="n">
        <v>0</v>
      </c>
      <c r="P2576" s="2" t="s">
        <v>23</v>
      </c>
      <c r="Q2576" s="2" t="s">
        <v>20</v>
      </c>
    </row>
    <row r="2577" customFormat="false" ht="15" hidden="false" customHeight="false" outlineLevel="0" collapsed="false">
      <c r="A2577" s="2" t="n">
        <v>45</v>
      </c>
      <c r="B2577" s="2" t="s">
        <v>34</v>
      </c>
      <c r="C2577" s="2" t="s">
        <v>18</v>
      </c>
      <c r="D2577" s="2" t="s">
        <v>25</v>
      </c>
      <c r="E2577" s="2" t="s">
        <v>20</v>
      </c>
      <c r="F2577" s="2" t="n">
        <v>827</v>
      </c>
      <c r="G2577" s="2" t="s">
        <v>26</v>
      </c>
      <c r="H2577" s="2" t="s">
        <v>20</v>
      </c>
      <c r="I2577" s="2" t="s">
        <v>23</v>
      </c>
      <c r="J2577" s="2" t="n">
        <v>15</v>
      </c>
      <c r="K2577" s="2" t="s">
        <v>27</v>
      </c>
      <c r="L2577" s="2" t="n">
        <v>319</v>
      </c>
      <c r="M2577" s="2" t="n">
        <v>5</v>
      </c>
      <c r="N2577" s="2" t="n">
        <v>-1</v>
      </c>
      <c r="O2577" s="2" t="n">
        <v>0</v>
      </c>
      <c r="P2577" s="2" t="s">
        <v>23</v>
      </c>
      <c r="Q2577" s="2" t="s">
        <v>20</v>
      </c>
    </row>
    <row r="2578" customFormat="false" ht="15" hidden="false" customHeight="false" outlineLevel="0" collapsed="false">
      <c r="A2578" s="2" t="n">
        <v>31</v>
      </c>
      <c r="B2578" s="2" t="s">
        <v>24</v>
      </c>
      <c r="C2578" s="2" t="s">
        <v>30</v>
      </c>
      <c r="D2578" s="2" t="s">
        <v>25</v>
      </c>
      <c r="E2578" s="2" t="s">
        <v>20</v>
      </c>
      <c r="F2578" s="2" t="n">
        <v>469</v>
      </c>
      <c r="G2578" s="2" t="s">
        <v>20</v>
      </c>
      <c r="H2578" s="2" t="s">
        <v>26</v>
      </c>
      <c r="I2578" s="2" t="s">
        <v>21</v>
      </c>
      <c r="J2578" s="2" t="n">
        <v>2</v>
      </c>
      <c r="K2578" s="2" t="s">
        <v>35</v>
      </c>
      <c r="L2578" s="2" t="n">
        <v>111</v>
      </c>
      <c r="M2578" s="2" t="n">
        <v>1</v>
      </c>
      <c r="N2578" s="2" t="n">
        <v>-1</v>
      </c>
      <c r="O2578" s="2" t="n">
        <v>0</v>
      </c>
      <c r="P2578" s="2" t="s">
        <v>23</v>
      </c>
      <c r="Q2578" s="2" t="s">
        <v>20</v>
      </c>
    </row>
    <row r="2579" customFormat="false" ht="15" hidden="false" customHeight="false" outlineLevel="0" collapsed="false">
      <c r="A2579" s="2" t="n">
        <v>39</v>
      </c>
      <c r="B2579" s="2" t="s">
        <v>34</v>
      </c>
      <c r="C2579" s="2" t="s">
        <v>18</v>
      </c>
      <c r="D2579" s="2" t="s">
        <v>19</v>
      </c>
      <c r="E2579" s="2" t="s">
        <v>20</v>
      </c>
      <c r="F2579" s="2" t="n">
        <v>2226</v>
      </c>
      <c r="G2579" s="2" t="s">
        <v>26</v>
      </c>
      <c r="H2579" s="2" t="s">
        <v>20</v>
      </c>
      <c r="I2579" s="2" t="s">
        <v>23</v>
      </c>
      <c r="J2579" s="2" t="n">
        <v>6</v>
      </c>
      <c r="K2579" s="2" t="s">
        <v>27</v>
      </c>
      <c r="L2579" s="2" t="n">
        <v>158</v>
      </c>
      <c r="M2579" s="2" t="n">
        <v>1</v>
      </c>
      <c r="N2579" s="2" t="n">
        <v>-1</v>
      </c>
      <c r="O2579" s="2" t="n">
        <v>0</v>
      </c>
      <c r="P2579" s="2" t="s">
        <v>23</v>
      </c>
      <c r="Q2579" s="2" t="s">
        <v>20</v>
      </c>
    </row>
    <row r="2580" customFormat="false" ht="15" hidden="false" customHeight="false" outlineLevel="0" collapsed="false">
      <c r="A2580" s="2" t="n">
        <v>42</v>
      </c>
      <c r="B2580" s="2" t="s">
        <v>38</v>
      </c>
      <c r="C2580" s="2" t="s">
        <v>18</v>
      </c>
      <c r="D2580" s="2" t="s">
        <v>25</v>
      </c>
      <c r="E2580" s="2" t="s">
        <v>20</v>
      </c>
      <c r="F2580" s="2" t="n">
        <v>0</v>
      </c>
      <c r="G2580" s="2" t="s">
        <v>20</v>
      </c>
      <c r="H2580" s="2" t="s">
        <v>20</v>
      </c>
      <c r="I2580" s="2" t="s">
        <v>21</v>
      </c>
      <c r="J2580" s="2" t="n">
        <v>29</v>
      </c>
      <c r="K2580" s="2" t="s">
        <v>41</v>
      </c>
      <c r="L2580" s="2" t="n">
        <v>82</v>
      </c>
      <c r="M2580" s="2" t="n">
        <v>12</v>
      </c>
      <c r="N2580" s="2" t="n">
        <v>-1</v>
      </c>
      <c r="O2580" s="2" t="n">
        <v>0</v>
      </c>
      <c r="P2580" s="2" t="s">
        <v>23</v>
      </c>
      <c r="Q2580" s="2" t="s">
        <v>20</v>
      </c>
    </row>
    <row r="2581" customFormat="false" ht="15" hidden="false" customHeight="false" outlineLevel="0" collapsed="false">
      <c r="A2581" s="2" t="n">
        <v>46</v>
      </c>
      <c r="B2581" s="2" t="s">
        <v>29</v>
      </c>
      <c r="C2581" s="2" t="s">
        <v>18</v>
      </c>
      <c r="D2581" s="2" t="s">
        <v>31</v>
      </c>
      <c r="E2581" s="2" t="s">
        <v>20</v>
      </c>
      <c r="F2581" s="2" t="n">
        <v>477</v>
      </c>
      <c r="G2581" s="2" t="s">
        <v>26</v>
      </c>
      <c r="H2581" s="2" t="s">
        <v>20</v>
      </c>
      <c r="I2581" s="2" t="s">
        <v>23</v>
      </c>
      <c r="J2581" s="2" t="n">
        <v>20</v>
      </c>
      <c r="K2581" s="2" t="s">
        <v>27</v>
      </c>
      <c r="L2581" s="2" t="n">
        <v>128</v>
      </c>
      <c r="M2581" s="2" t="n">
        <v>6</v>
      </c>
      <c r="N2581" s="2" t="n">
        <v>-1</v>
      </c>
      <c r="O2581" s="2" t="n">
        <v>0</v>
      </c>
      <c r="P2581" s="2" t="s">
        <v>23</v>
      </c>
      <c r="Q2581" s="2" t="s">
        <v>20</v>
      </c>
    </row>
    <row r="2582" customFormat="false" ht="15" hidden="false" customHeight="false" outlineLevel="0" collapsed="false">
      <c r="A2582" s="2" t="n">
        <v>36</v>
      </c>
      <c r="B2582" s="2" t="s">
        <v>24</v>
      </c>
      <c r="C2582" s="2" t="s">
        <v>18</v>
      </c>
      <c r="D2582" s="2" t="s">
        <v>25</v>
      </c>
      <c r="E2582" s="2" t="s">
        <v>20</v>
      </c>
      <c r="F2582" s="2" t="n">
        <v>42</v>
      </c>
      <c r="G2582" s="2" t="s">
        <v>26</v>
      </c>
      <c r="H2582" s="2" t="s">
        <v>20</v>
      </c>
      <c r="I2582" s="2" t="s">
        <v>23</v>
      </c>
      <c r="J2582" s="2" t="n">
        <v>8</v>
      </c>
      <c r="K2582" s="2" t="s">
        <v>27</v>
      </c>
      <c r="L2582" s="2" t="n">
        <v>102</v>
      </c>
      <c r="M2582" s="2" t="n">
        <v>4</v>
      </c>
      <c r="N2582" s="2" t="n">
        <v>-1</v>
      </c>
      <c r="O2582" s="2" t="n">
        <v>0</v>
      </c>
      <c r="P2582" s="2" t="s">
        <v>23</v>
      </c>
      <c r="Q2582" s="2" t="s">
        <v>20</v>
      </c>
    </row>
    <row r="2583" customFormat="false" ht="15" hidden="false" customHeight="false" outlineLevel="0" collapsed="false">
      <c r="A2583" s="2" t="n">
        <v>30</v>
      </c>
      <c r="B2583" s="2" t="s">
        <v>29</v>
      </c>
      <c r="C2583" s="2" t="s">
        <v>30</v>
      </c>
      <c r="D2583" s="2" t="s">
        <v>31</v>
      </c>
      <c r="E2583" s="2" t="s">
        <v>20</v>
      </c>
      <c r="F2583" s="2" t="n">
        <v>775</v>
      </c>
      <c r="G2583" s="2" t="s">
        <v>26</v>
      </c>
      <c r="H2583" s="2" t="s">
        <v>20</v>
      </c>
      <c r="I2583" s="2" t="s">
        <v>23</v>
      </c>
      <c r="J2583" s="2" t="n">
        <v>16</v>
      </c>
      <c r="K2583" s="2" t="s">
        <v>33</v>
      </c>
      <c r="L2583" s="2" t="n">
        <v>124</v>
      </c>
      <c r="M2583" s="2" t="n">
        <v>2</v>
      </c>
      <c r="N2583" s="2" t="n">
        <v>-1</v>
      </c>
      <c r="O2583" s="2" t="n">
        <v>0</v>
      </c>
      <c r="P2583" s="2" t="s">
        <v>23</v>
      </c>
      <c r="Q2583" s="2" t="s">
        <v>20</v>
      </c>
    </row>
    <row r="2584" customFormat="false" ht="15" hidden="false" customHeight="false" outlineLevel="0" collapsed="false">
      <c r="A2584" s="2" t="n">
        <v>32</v>
      </c>
      <c r="B2584" s="2" t="s">
        <v>34</v>
      </c>
      <c r="C2584" s="2" t="s">
        <v>18</v>
      </c>
      <c r="D2584" s="2" t="s">
        <v>25</v>
      </c>
      <c r="E2584" s="2" t="s">
        <v>20</v>
      </c>
      <c r="F2584" s="2" t="n">
        <v>9</v>
      </c>
      <c r="G2584" s="2" t="s">
        <v>26</v>
      </c>
      <c r="H2584" s="2" t="s">
        <v>20</v>
      </c>
      <c r="I2584" s="2" t="s">
        <v>21</v>
      </c>
      <c r="J2584" s="2" t="n">
        <v>17</v>
      </c>
      <c r="K2584" s="2" t="s">
        <v>32</v>
      </c>
      <c r="L2584" s="2" t="n">
        <v>334</v>
      </c>
      <c r="M2584" s="2" t="n">
        <v>2</v>
      </c>
      <c r="N2584" s="2" t="n">
        <v>-1</v>
      </c>
      <c r="O2584" s="2" t="n">
        <v>0</v>
      </c>
      <c r="P2584" s="2" t="s">
        <v>23</v>
      </c>
      <c r="Q2584" s="2" t="s">
        <v>20</v>
      </c>
    </row>
    <row r="2585" customFormat="false" ht="15" hidden="false" customHeight="false" outlineLevel="0" collapsed="false">
      <c r="A2585" s="2" t="n">
        <v>52</v>
      </c>
      <c r="B2585" s="2" t="s">
        <v>38</v>
      </c>
      <c r="C2585" s="2" t="s">
        <v>18</v>
      </c>
      <c r="D2585" s="2" t="s">
        <v>31</v>
      </c>
      <c r="E2585" s="2" t="s">
        <v>20</v>
      </c>
      <c r="F2585" s="2" t="n">
        <v>2557</v>
      </c>
      <c r="G2585" s="2" t="s">
        <v>20</v>
      </c>
      <c r="H2585" s="2" t="s">
        <v>20</v>
      </c>
      <c r="I2585" s="2" t="s">
        <v>21</v>
      </c>
      <c r="J2585" s="2" t="n">
        <v>28</v>
      </c>
      <c r="K2585" s="2" t="s">
        <v>43</v>
      </c>
      <c r="L2585" s="2" t="n">
        <v>134</v>
      </c>
      <c r="M2585" s="2" t="n">
        <v>5</v>
      </c>
      <c r="N2585" s="2" t="n">
        <v>204</v>
      </c>
      <c r="O2585" s="2" t="n">
        <v>2</v>
      </c>
      <c r="P2585" s="2" t="s">
        <v>50</v>
      </c>
      <c r="Q2585" s="2" t="s">
        <v>26</v>
      </c>
    </row>
    <row r="2586" customFormat="false" ht="15" hidden="false" customHeight="false" outlineLevel="0" collapsed="false">
      <c r="A2586" s="2" t="n">
        <v>31</v>
      </c>
      <c r="B2586" s="2" t="s">
        <v>29</v>
      </c>
      <c r="C2586" s="2" t="s">
        <v>18</v>
      </c>
      <c r="D2586" s="2" t="s">
        <v>31</v>
      </c>
      <c r="E2586" s="2" t="s">
        <v>20</v>
      </c>
      <c r="F2586" s="2" t="n">
        <v>2395</v>
      </c>
      <c r="G2586" s="2" t="s">
        <v>20</v>
      </c>
      <c r="H2586" s="2" t="s">
        <v>20</v>
      </c>
      <c r="I2586" s="2" t="s">
        <v>21</v>
      </c>
      <c r="J2586" s="2" t="n">
        <v>27</v>
      </c>
      <c r="K2586" s="2" t="s">
        <v>32</v>
      </c>
      <c r="L2586" s="2" t="n">
        <v>218</v>
      </c>
      <c r="M2586" s="2" t="n">
        <v>1</v>
      </c>
      <c r="N2586" s="2" t="n">
        <v>-1</v>
      </c>
      <c r="O2586" s="2" t="n">
        <v>0</v>
      </c>
      <c r="P2586" s="2" t="s">
        <v>23</v>
      </c>
      <c r="Q2586" s="2" t="s">
        <v>20</v>
      </c>
    </row>
    <row r="2587" customFormat="false" ht="15" hidden="false" customHeight="false" outlineLevel="0" collapsed="false">
      <c r="A2587" s="2" t="n">
        <v>60</v>
      </c>
      <c r="B2587" s="2" t="s">
        <v>29</v>
      </c>
      <c r="C2587" s="2" t="s">
        <v>18</v>
      </c>
      <c r="D2587" s="2" t="s">
        <v>19</v>
      </c>
      <c r="E2587" s="2" t="s">
        <v>20</v>
      </c>
      <c r="F2587" s="2" t="n">
        <v>4895</v>
      </c>
      <c r="G2587" s="2" t="s">
        <v>20</v>
      </c>
      <c r="H2587" s="2" t="s">
        <v>20</v>
      </c>
      <c r="I2587" s="2" t="s">
        <v>23</v>
      </c>
      <c r="J2587" s="2" t="n">
        <v>9</v>
      </c>
      <c r="K2587" s="2" t="s">
        <v>33</v>
      </c>
      <c r="L2587" s="2" t="n">
        <v>313</v>
      </c>
      <c r="M2587" s="2" t="n">
        <v>1</v>
      </c>
      <c r="N2587" s="2" t="n">
        <v>-1</v>
      </c>
      <c r="O2587" s="2" t="n">
        <v>0</v>
      </c>
      <c r="P2587" s="2" t="s">
        <v>23</v>
      </c>
      <c r="Q2587" s="2" t="s">
        <v>20</v>
      </c>
    </row>
    <row r="2588" customFormat="false" ht="15" hidden="false" customHeight="false" outlineLevel="0" collapsed="false">
      <c r="A2588" s="2" t="n">
        <v>35</v>
      </c>
      <c r="B2588" s="2" t="s">
        <v>34</v>
      </c>
      <c r="C2588" s="2" t="s">
        <v>30</v>
      </c>
      <c r="D2588" s="2" t="s">
        <v>25</v>
      </c>
      <c r="E2588" s="2" t="s">
        <v>20</v>
      </c>
      <c r="F2588" s="2" t="n">
        <v>376</v>
      </c>
      <c r="G2588" s="2" t="s">
        <v>26</v>
      </c>
      <c r="H2588" s="2" t="s">
        <v>26</v>
      </c>
      <c r="I2588" s="2" t="s">
        <v>23</v>
      </c>
      <c r="J2588" s="2" t="n">
        <v>6</v>
      </c>
      <c r="K2588" s="2" t="s">
        <v>27</v>
      </c>
      <c r="L2588" s="2" t="n">
        <v>207</v>
      </c>
      <c r="M2588" s="2" t="n">
        <v>3</v>
      </c>
      <c r="N2588" s="2" t="n">
        <v>-1</v>
      </c>
      <c r="O2588" s="2" t="n">
        <v>0</v>
      </c>
      <c r="P2588" s="2" t="s">
        <v>23</v>
      </c>
      <c r="Q2588" s="2" t="s">
        <v>20</v>
      </c>
    </row>
    <row r="2589" customFormat="false" ht="15" hidden="false" customHeight="false" outlineLevel="0" collapsed="false">
      <c r="A2589" s="2" t="n">
        <v>38</v>
      </c>
      <c r="B2589" s="2" t="s">
        <v>29</v>
      </c>
      <c r="C2589" s="2" t="s">
        <v>18</v>
      </c>
      <c r="D2589" s="2" t="s">
        <v>31</v>
      </c>
      <c r="E2589" s="2" t="s">
        <v>20</v>
      </c>
      <c r="F2589" s="2" t="n">
        <v>389</v>
      </c>
      <c r="G2589" s="2" t="s">
        <v>26</v>
      </c>
      <c r="H2589" s="2" t="s">
        <v>20</v>
      </c>
      <c r="I2589" s="2" t="s">
        <v>23</v>
      </c>
      <c r="J2589" s="2" t="n">
        <v>6</v>
      </c>
      <c r="K2589" s="2" t="s">
        <v>27</v>
      </c>
      <c r="L2589" s="2" t="n">
        <v>262</v>
      </c>
      <c r="M2589" s="2" t="n">
        <v>1</v>
      </c>
      <c r="N2589" s="2" t="n">
        <v>-1</v>
      </c>
      <c r="O2589" s="2" t="n">
        <v>0</v>
      </c>
      <c r="P2589" s="2" t="s">
        <v>23</v>
      </c>
      <c r="Q2589" s="2" t="s">
        <v>20</v>
      </c>
    </row>
    <row r="2590" customFormat="false" ht="15" hidden="false" customHeight="false" outlineLevel="0" collapsed="false">
      <c r="A2590" s="2" t="n">
        <v>46</v>
      </c>
      <c r="B2590" s="2" t="s">
        <v>29</v>
      </c>
      <c r="C2590" s="2" t="s">
        <v>45</v>
      </c>
      <c r="D2590" s="2" t="s">
        <v>31</v>
      </c>
      <c r="E2590" s="2" t="s">
        <v>20</v>
      </c>
      <c r="F2590" s="2" t="n">
        <v>134</v>
      </c>
      <c r="G2590" s="2" t="s">
        <v>20</v>
      </c>
      <c r="H2590" s="2" t="s">
        <v>20</v>
      </c>
      <c r="I2590" s="2" t="s">
        <v>21</v>
      </c>
      <c r="J2590" s="2" t="n">
        <v>19</v>
      </c>
      <c r="K2590" s="2" t="s">
        <v>41</v>
      </c>
      <c r="L2590" s="2" t="n">
        <v>134</v>
      </c>
      <c r="M2590" s="2" t="n">
        <v>2</v>
      </c>
      <c r="N2590" s="2" t="n">
        <v>-1</v>
      </c>
      <c r="O2590" s="2" t="n">
        <v>0</v>
      </c>
      <c r="P2590" s="2" t="s">
        <v>23</v>
      </c>
      <c r="Q2590" s="2" t="s">
        <v>20</v>
      </c>
    </row>
    <row r="2591" customFormat="false" ht="15" hidden="false" customHeight="false" outlineLevel="0" collapsed="false">
      <c r="A2591" s="2" t="n">
        <v>45</v>
      </c>
      <c r="B2591" s="2" t="s">
        <v>39</v>
      </c>
      <c r="C2591" s="2" t="s">
        <v>45</v>
      </c>
      <c r="D2591" s="2" t="s">
        <v>31</v>
      </c>
      <c r="E2591" s="2" t="s">
        <v>20</v>
      </c>
      <c r="F2591" s="2" t="n">
        <v>1273</v>
      </c>
      <c r="G2591" s="2" t="s">
        <v>26</v>
      </c>
      <c r="H2591" s="2" t="s">
        <v>26</v>
      </c>
      <c r="I2591" s="2" t="s">
        <v>23</v>
      </c>
      <c r="J2591" s="2" t="n">
        <v>11</v>
      </c>
      <c r="K2591" s="2" t="s">
        <v>33</v>
      </c>
      <c r="L2591" s="2" t="n">
        <v>197</v>
      </c>
      <c r="M2591" s="2" t="n">
        <v>3</v>
      </c>
      <c r="N2591" s="2" t="n">
        <v>-1</v>
      </c>
      <c r="O2591" s="2" t="n">
        <v>0</v>
      </c>
      <c r="P2591" s="2" t="s">
        <v>23</v>
      </c>
      <c r="Q2591" s="2" t="s">
        <v>20</v>
      </c>
    </row>
    <row r="2592" customFormat="false" ht="15" hidden="false" customHeight="false" outlineLevel="0" collapsed="false">
      <c r="A2592" s="2" t="n">
        <v>59</v>
      </c>
      <c r="B2592" s="2" t="s">
        <v>24</v>
      </c>
      <c r="C2592" s="2" t="s">
        <v>18</v>
      </c>
      <c r="D2592" s="2" t="s">
        <v>25</v>
      </c>
      <c r="E2592" s="2" t="s">
        <v>20</v>
      </c>
      <c r="F2592" s="2" t="n">
        <v>0</v>
      </c>
      <c r="G2592" s="2" t="s">
        <v>26</v>
      </c>
      <c r="H2592" s="2" t="s">
        <v>20</v>
      </c>
      <c r="I2592" s="2" t="s">
        <v>21</v>
      </c>
      <c r="J2592" s="2" t="n">
        <v>12</v>
      </c>
      <c r="K2592" s="2" t="s">
        <v>27</v>
      </c>
      <c r="L2592" s="2" t="n">
        <v>214</v>
      </c>
      <c r="M2592" s="2" t="n">
        <v>3</v>
      </c>
      <c r="N2592" s="2" t="n">
        <v>-1</v>
      </c>
      <c r="O2592" s="2" t="n">
        <v>0</v>
      </c>
      <c r="P2592" s="2" t="s">
        <v>23</v>
      </c>
      <c r="Q2592" s="2" t="s">
        <v>20</v>
      </c>
    </row>
    <row r="2593" customFormat="false" ht="15" hidden="false" customHeight="false" outlineLevel="0" collapsed="false">
      <c r="A2593" s="2" t="n">
        <v>34</v>
      </c>
      <c r="B2593" s="2" t="s">
        <v>29</v>
      </c>
      <c r="C2593" s="2" t="s">
        <v>18</v>
      </c>
      <c r="D2593" s="2" t="s">
        <v>31</v>
      </c>
      <c r="E2593" s="2" t="s">
        <v>20</v>
      </c>
      <c r="F2593" s="2" t="n">
        <v>2892</v>
      </c>
      <c r="G2593" s="2" t="s">
        <v>26</v>
      </c>
      <c r="H2593" s="2" t="s">
        <v>26</v>
      </c>
      <c r="I2593" s="2" t="s">
        <v>21</v>
      </c>
      <c r="J2593" s="2" t="n">
        <v>30</v>
      </c>
      <c r="K2593" s="2" t="s">
        <v>44</v>
      </c>
      <c r="L2593" s="2" t="n">
        <v>1165</v>
      </c>
      <c r="M2593" s="2" t="n">
        <v>7</v>
      </c>
      <c r="N2593" s="2" t="n">
        <v>-1</v>
      </c>
      <c r="O2593" s="2" t="n">
        <v>0</v>
      </c>
      <c r="P2593" s="2" t="s">
        <v>23</v>
      </c>
      <c r="Q2593" s="2" t="s">
        <v>20</v>
      </c>
    </row>
    <row r="2594" customFormat="false" ht="15" hidden="false" customHeight="false" outlineLevel="0" collapsed="false">
      <c r="A2594" s="2" t="n">
        <v>33</v>
      </c>
      <c r="B2594" s="2" t="s">
        <v>38</v>
      </c>
      <c r="C2594" s="2" t="s">
        <v>45</v>
      </c>
      <c r="D2594" s="2" t="s">
        <v>25</v>
      </c>
      <c r="E2594" s="2" t="s">
        <v>20</v>
      </c>
      <c r="F2594" s="2" t="n">
        <v>0</v>
      </c>
      <c r="G2594" s="2" t="s">
        <v>26</v>
      </c>
      <c r="H2594" s="2" t="s">
        <v>20</v>
      </c>
      <c r="I2594" s="2" t="s">
        <v>21</v>
      </c>
      <c r="J2594" s="2" t="n">
        <v>7</v>
      </c>
      <c r="K2594" s="2" t="s">
        <v>27</v>
      </c>
      <c r="L2594" s="2" t="n">
        <v>177</v>
      </c>
      <c r="M2594" s="2" t="n">
        <v>2</v>
      </c>
      <c r="N2594" s="2" t="n">
        <v>-1</v>
      </c>
      <c r="O2594" s="2" t="n">
        <v>0</v>
      </c>
      <c r="P2594" s="2" t="s">
        <v>23</v>
      </c>
      <c r="Q2594" s="2" t="s">
        <v>20</v>
      </c>
    </row>
    <row r="2595" customFormat="false" ht="15" hidden="false" customHeight="false" outlineLevel="0" collapsed="false">
      <c r="A2595" s="2" t="n">
        <v>46</v>
      </c>
      <c r="B2595" s="2" t="s">
        <v>29</v>
      </c>
      <c r="C2595" s="2" t="s">
        <v>30</v>
      </c>
      <c r="D2595" s="2" t="s">
        <v>25</v>
      </c>
      <c r="E2595" s="2" t="s">
        <v>20</v>
      </c>
      <c r="F2595" s="2" t="n">
        <v>295</v>
      </c>
      <c r="G2595" s="2" t="s">
        <v>26</v>
      </c>
      <c r="H2595" s="2" t="s">
        <v>20</v>
      </c>
      <c r="I2595" s="2" t="s">
        <v>23</v>
      </c>
      <c r="J2595" s="2" t="n">
        <v>23</v>
      </c>
      <c r="K2595" s="2" t="s">
        <v>27</v>
      </c>
      <c r="L2595" s="2" t="n">
        <v>141</v>
      </c>
      <c r="M2595" s="2" t="n">
        <v>6</v>
      </c>
      <c r="N2595" s="2" t="n">
        <v>-1</v>
      </c>
      <c r="O2595" s="2" t="n">
        <v>0</v>
      </c>
      <c r="P2595" s="2" t="s">
        <v>23</v>
      </c>
      <c r="Q2595" s="2" t="s">
        <v>20</v>
      </c>
    </row>
    <row r="2596" customFormat="false" ht="15" hidden="false" customHeight="false" outlineLevel="0" collapsed="false">
      <c r="A2596" s="2" t="n">
        <v>48</v>
      </c>
      <c r="B2596" s="2" t="s">
        <v>40</v>
      </c>
      <c r="C2596" s="2" t="s">
        <v>18</v>
      </c>
      <c r="D2596" s="2" t="s">
        <v>25</v>
      </c>
      <c r="E2596" s="2" t="s">
        <v>20</v>
      </c>
      <c r="F2596" s="2" t="n">
        <v>292</v>
      </c>
      <c r="G2596" s="2" t="s">
        <v>26</v>
      </c>
      <c r="H2596" s="2" t="s">
        <v>26</v>
      </c>
      <c r="I2596" s="2" t="s">
        <v>21</v>
      </c>
      <c r="J2596" s="2" t="n">
        <v>29</v>
      </c>
      <c r="K2596" s="2" t="s">
        <v>44</v>
      </c>
      <c r="L2596" s="2" t="n">
        <v>164</v>
      </c>
      <c r="M2596" s="2" t="n">
        <v>6</v>
      </c>
      <c r="N2596" s="2" t="n">
        <v>-1</v>
      </c>
      <c r="O2596" s="2" t="n">
        <v>0</v>
      </c>
      <c r="P2596" s="2" t="s">
        <v>23</v>
      </c>
      <c r="Q2596" s="2" t="s">
        <v>20</v>
      </c>
    </row>
    <row r="2597" customFormat="false" ht="15" hidden="false" customHeight="false" outlineLevel="0" collapsed="false">
      <c r="A2597" s="2" t="n">
        <v>31</v>
      </c>
      <c r="B2597" s="2" t="s">
        <v>24</v>
      </c>
      <c r="C2597" s="2" t="s">
        <v>30</v>
      </c>
      <c r="D2597" s="2" t="s">
        <v>25</v>
      </c>
      <c r="E2597" s="2" t="s">
        <v>20</v>
      </c>
      <c r="F2597" s="2" t="n">
        <v>85</v>
      </c>
      <c r="G2597" s="2" t="s">
        <v>20</v>
      </c>
      <c r="H2597" s="2" t="s">
        <v>20</v>
      </c>
      <c r="I2597" s="2" t="s">
        <v>21</v>
      </c>
      <c r="J2597" s="2" t="n">
        <v>16</v>
      </c>
      <c r="K2597" s="2" t="s">
        <v>44</v>
      </c>
      <c r="L2597" s="2" t="n">
        <v>151</v>
      </c>
      <c r="M2597" s="2" t="n">
        <v>1</v>
      </c>
      <c r="N2597" s="2" t="n">
        <v>-1</v>
      </c>
      <c r="O2597" s="2" t="n">
        <v>0</v>
      </c>
      <c r="P2597" s="2" t="s">
        <v>23</v>
      </c>
      <c r="Q2597" s="2" t="s">
        <v>20</v>
      </c>
    </row>
    <row r="2598" customFormat="false" ht="15" hidden="false" customHeight="false" outlineLevel="0" collapsed="false">
      <c r="A2598" s="2" t="n">
        <v>32</v>
      </c>
      <c r="B2598" s="2" t="s">
        <v>38</v>
      </c>
      <c r="C2598" s="2" t="s">
        <v>18</v>
      </c>
      <c r="D2598" s="2" t="s">
        <v>25</v>
      </c>
      <c r="E2598" s="2" t="s">
        <v>20</v>
      </c>
      <c r="F2598" s="2" t="n">
        <v>4</v>
      </c>
      <c r="G2598" s="2" t="s">
        <v>20</v>
      </c>
      <c r="H2598" s="2" t="s">
        <v>20</v>
      </c>
      <c r="I2598" s="2" t="s">
        <v>21</v>
      </c>
      <c r="J2598" s="2" t="n">
        <v>4</v>
      </c>
      <c r="K2598" s="2" t="s">
        <v>35</v>
      </c>
      <c r="L2598" s="2" t="n">
        <v>145</v>
      </c>
      <c r="M2598" s="2" t="n">
        <v>2</v>
      </c>
      <c r="N2598" s="2" t="n">
        <v>260</v>
      </c>
      <c r="O2598" s="2" t="n">
        <v>4</v>
      </c>
      <c r="P2598" s="2" t="s">
        <v>28</v>
      </c>
      <c r="Q2598" s="2" t="s">
        <v>20</v>
      </c>
    </row>
    <row r="2599" customFormat="false" ht="15" hidden="false" customHeight="false" outlineLevel="0" collapsed="false">
      <c r="A2599" s="2" t="n">
        <v>35</v>
      </c>
      <c r="B2599" s="2" t="s">
        <v>34</v>
      </c>
      <c r="C2599" s="2" t="s">
        <v>45</v>
      </c>
      <c r="D2599" s="2" t="s">
        <v>19</v>
      </c>
      <c r="E2599" s="2" t="s">
        <v>20</v>
      </c>
      <c r="F2599" s="2" t="n">
        <v>-587</v>
      </c>
      <c r="G2599" s="2" t="s">
        <v>26</v>
      </c>
      <c r="H2599" s="2" t="s">
        <v>20</v>
      </c>
      <c r="I2599" s="2" t="s">
        <v>23</v>
      </c>
      <c r="J2599" s="2" t="n">
        <v>26</v>
      </c>
      <c r="K2599" s="2" t="s">
        <v>27</v>
      </c>
      <c r="L2599" s="2" t="n">
        <v>111</v>
      </c>
      <c r="M2599" s="2" t="n">
        <v>1</v>
      </c>
      <c r="N2599" s="2" t="n">
        <v>-1</v>
      </c>
      <c r="O2599" s="2" t="n">
        <v>0</v>
      </c>
      <c r="P2599" s="2" t="s">
        <v>23</v>
      </c>
      <c r="Q2599" s="2" t="s">
        <v>20</v>
      </c>
    </row>
    <row r="2600" customFormat="false" ht="15" hidden="false" customHeight="false" outlineLevel="0" collapsed="false">
      <c r="A2600" s="2" t="n">
        <v>36</v>
      </c>
      <c r="B2600" s="2" t="s">
        <v>34</v>
      </c>
      <c r="C2600" s="2" t="s">
        <v>30</v>
      </c>
      <c r="D2600" s="2" t="s">
        <v>19</v>
      </c>
      <c r="E2600" s="2" t="s">
        <v>20</v>
      </c>
      <c r="F2600" s="2" t="n">
        <v>367</v>
      </c>
      <c r="G2600" s="2" t="s">
        <v>20</v>
      </c>
      <c r="H2600" s="2" t="s">
        <v>20</v>
      </c>
      <c r="I2600" s="2" t="s">
        <v>21</v>
      </c>
      <c r="J2600" s="2" t="n">
        <v>2</v>
      </c>
      <c r="K2600" s="2" t="s">
        <v>35</v>
      </c>
      <c r="L2600" s="2" t="n">
        <v>217</v>
      </c>
      <c r="M2600" s="2" t="n">
        <v>1</v>
      </c>
      <c r="N2600" s="2" t="n">
        <v>221</v>
      </c>
      <c r="O2600" s="2" t="n">
        <v>1</v>
      </c>
      <c r="P2600" s="2" t="s">
        <v>28</v>
      </c>
      <c r="Q2600" s="2" t="s">
        <v>20</v>
      </c>
    </row>
    <row r="2601" customFormat="false" ht="15" hidden="false" customHeight="false" outlineLevel="0" collapsed="false">
      <c r="A2601" s="2" t="n">
        <v>52</v>
      </c>
      <c r="B2601" s="2" t="s">
        <v>29</v>
      </c>
      <c r="C2601" s="2" t="s">
        <v>18</v>
      </c>
      <c r="D2601" s="2" t="s">
        <v>31</v>
      </c>
      <c r="E2601" s="2" t="s">
        <v>20</v>
      </c>
      <c r="F2601" s="2" t="n">
        <v>-1224</v>
      </c>
      <c r="G2601" s="2" t="s">
        <v>26</v>
      </c>
      <c r="H2601" s="2" t="s">
        <v>20</v>
      </c>
      <c r="I2601" s="2" t="s">
        <v>21</v>
      </c>
      <c r="J2601" s="2" t="n">
        <v>7</v>
      </c>
      <c r="K2601" s="2" t="s">
        <v>27</v>
      </c>
      <c r="L2601" s="2" t="n">
        <v>253</v>
      </c>
      <c r="M2601" s="2" t="n">
        <v>4</v>
      </c>
      <c r="N2601" s="2" t="n">
        <v>-1</v>
      </c>
      <c r="O2601" s="2" t="n">
        <v>0</v>
      </c>
      <c r="P2601" s="2" t="s">
        <v>23</v>
      </c>
      <c r="Q2601" s="2" t="s">
        <v>20</v>
      </c>
    </row>
    <row r="2602" customFormat="false" ht="15" hidden="false" customHeight="false" outlineLevel="0" collapsed="false">
      <c r="A2602" s="2" t="n">
        <v>45</v>
      </c>
      <c r="B2602" s="2" t="s">
        <v>29</v>
      </c>
      <c r="C2602" s="2" t="s">
        <v>45</v>
      </c>
      <c r="D2602" s="2" t="s">
        <v>31</v>
      </c>
      <c r="E2602" s="2" t="s">
        <v>20</v>
      </c>
      <c r="F2602" s="2" t="n">
        <v>959</v>
      </c>
      <c r="G2602" s="2" t="s">
        <v>20</v>
      </c>
      <c r="H2602" s="2" t="s">
        <v>20</v>
      </c>
      <c r="I2602" s="2" t="s">
        <v>23</v>
      </c>
      <c r="J2602" s="2" t="n">
        <v>18</v>
      </c>
      <c r="K2602" s="2" t="s">
        <v>33</v>
      </c>
      <c r="L2602" s="2" t="n">
        <v>74</v>
      </c>
      <c r="M2602" s="2" t="n">
        <v>1</v>
      </c>
      <c r="N2602" s="2" t="n">
        <v>-1</v>
      </c>
      <c r="O2602" s="2" t="n">
        <v>0</v>
      </c>
      <c r="P2602" s="2" t="s">
        <v>23</v>
      </c>
      <c r="Q2602" s="2" t="s">
        <v>20</v>
      </c>
    </row>
    <row r="2603" customFormat="false" ht="15" hidden="false" customHeight="false" outlineLevel="0" collapsed="false">
      <c r="A2603" s="2" t="n">
        <v>34</v>
      </c>
      <c r="B2603" s="2" t="s">
        <v>29</v>
      </c>
      <c r="C2603" s="2" t="s">
        <v>18</v>
      </c>
      <c r="D2603" s="2" t="s">
        <v>31</v>
      </c>
      <c r="E2603" s="2" t="s">
        <v>20</v>
      </c>
      <c r="F2603" s="2" t="n">
        <v>0</v>
      </c>
      <c r="G2603" s="2" t="s">
        <v>20</v>
      </c>
      <c r="H2603" s="2" t="s">
        <v>20</v>
      </c>
      <c r="I2603" s="2" t="s">
        <v>21</v>
      </c>
      <c r="J2603" s="2" t="n">
        <v>20</v>
      </c>
      <c r="K2603" s="2" t="s">
        <v>41</v>
      </c>
      <c r="L2603" s="2" t="n">
        <v>263</v>
      </c>
      <c r="M2603" s="2" t="n">
        <v>2</v>
      </c>
      <c r="N2603" s="2" t="n">
        <v>-1</v>
      </c>
      <c r="O2603" s="2" t="n">
        <v>0</v>
      </c>
      <c r="P2603" s="2" t="s">
        <v>23</v>
      </c>
      <c r="Q2603" s="2" t="s">
        <v>20</v>
      </c>
    </row>
    <row r="2604" customFormat="false" ht="15" hidden="false" customHeight="false" outlineLevel="0" collapsed="false">
      <c r="A2604" s="2" t="n">
        <v>25</v>
      </c>
      <c r="B2604" s="2" t="s">
        <v>34</v>
      </c>
      <c r="C2604" s="2" t="s">
        <v>18</v>
      </c>
      <c r="D2604" s="2" t="s">
        <v>19</v>
      </c>
      <c r="E2604" s="2" t="s">
        <v>26</v>
      </c>
      <c r="F2604" s="2" t="n">
        <v>-589</v>
      </c>
      <c r="G2604" s="2" t="s">
        <v>26</v>
      </c>
      <c r="H2604" s="2" t="s">
        <v>20</v>
      </c>
      <c r="I2604" s="2" t="s">
        <v>23</v>
      </c>
      <c r="J2604" s="2" t="n">
        <v>3</v>
      </c>
      <c r="K2604" s="2" t="s">
        <v>33</v>
      </c>
      <c r="L2604" s="2" t="n">
        <v>233</v>
      </c>
      <c r="M2604" s="2" t="n">
        <v>1</v>
      </c>
      <c r="N2604" s="2" t="n">
        <v>-1</v>
      </c>
      <c r="O2604" s="2" t="n">
        <v>0</v>
      </c>
      <c r="P2604" s="2" t="s">
        <v>23</v>
      </c>
      <c r="Q2604" s="2" t="s">
        <v>20</v>
      </c>
    </row>
    <row r="2605" customFormat="false" ht="15" hidden="false" customHeight="false" outlineLevel="0" collapsed="false">
      <c r="A2605" s="2" t="n">
        <v>26</v>
      </c>
      <c r="B2605" s="2" t="s">
        <v>29</v>
      </c>
      <c r="C2605" s="2" t="s">
        <v>30</v>
      </c>
      <c r="D2605" s="2" t="s">
        <v>31</v>
      </c>
      <c r="E2605" s="2" t="s">
        <v>20</v>
      </c>
      <c r="F2605" s="2" t="n">
        <v>-8</v>
      </c>
      <c r="G2605" s="2" t="s">
        <v>20</v>
      </c>
      <c r="H2605" s="2" t="s">
        <v>20</v>
      </c>
      <c r="I2605" s="2" t="s">
        <v>21</v>
      </c>
      <c r="J2605" s="2" t="n">
        <v>13</v>
      </c>
      <c r="K2605" s="2" t="s">
        <v>41</v>
      </c>
      <c r="L2605" s="2" t="n">
        <v>402</v>
      </c>
      <c r="M2605" s="2" t="n">
        <v>2</v>
      </c>
      <c r="N2605" s="2" t="n">
        <v>-1</v>
      </c>
      <c r="O2605" s="2" t="n">
        <v>0</v>
      </c>
      <c r="P2605" s="2" t="s">
        <v>23</v>
      </c>
      <c r="Q2605" s="2" t="s">
        <v>20</v>
      </c>
    </row>
    <row r="2606" customFormat="false" ht="15" hidden="false" customHeight="false" outlineLevel="0" collapsed="false">
      <c r="A2606" s="2" t="n">
        <v>57</v>
      </c>
      <c r="B2606" s="2" t="s">
        <v>29</v>
      </c>
      <c r="C2606" s="2" t="s">
        <v>18</v>
      </c>
      <c r="D2606" s="2" t="s">
        <v>23</v>
      </c>
      <c r="E2606" s="2" t="s">
        <v>20</v>
      </c>
      <c r="F2606" s="2" t="n">
        <v>0</v>
      </c>
      <c r="G2606" s="2" t="s">
        <v>20</v>
      </c>
      <c r="H2606" s="2" t="s">
        <v>20</v>
      </c>
      <c r="I2606" s="2" t="s">
        <v>21</v>
      </c>
      <c r="J2606" s="2" t="n">
        <v>30</v>
      </c>
      <c r="K2606" s="2" t="s">
        <v>51</v>
      </c>
      <c r="L2606" s="2" t="n">
        <v>585</v>
      </c>
      <c r="M2606" s="2" t="n">
        <v>1</v>
      </c>
      <c r="N2606" s="2" t="n">
        <v>-1</v>
      </c>
      <c r="O2606" s="2" t="n">
        <v>0</v>
      </c>
      <c r="P2606" s="2" t="s">
        <v>23</v>
      </c>
      <c r="Q2606" s="2" t="s">
        <v>20</v>
      </c>
    </row>
    <row r="2607" customFormat="false" ht="15" hidden="false" customHeight="false" outlineLevel="0" collapsed="false">
      <c r="A2607" s="2" t="n">
        <v>48</v>
      </c>
      <c r="B2607" s="2" t="s">
        <v>29</v>
      </c>
      <c r="C2607" s="2" t="s">
        <v>18</v>
      </c>
      <c r="D2607" s="2" t="s">
        <v>19</v>
      </c>
      <c r="E2607" s="2" t="s">
        <v>20</v>
      </c>
      <c r="F2607" s="2" t="n">
        <v>247</v>
      </c>
      <c r="G2607" s="2" t="s">
        <v>26</v>
      </c>
      <c r="H2607" s="2" t="s">
        <v>26</v>
      </c>
      <c r="I2607" s="2" t="s">
        <v>23</v>
      </c>
      <c r="J2607" s="2" t="n">
        <v>14</v>
      </c>
      <c r="K2607" s="2" t="s">
        <v>27</v>
      </c>
      <c r="L2607" s="2" t="n">
        <v>145</v>
      </c>
      <c r="M2607" s="2" t="n">
        <v>1</v>
      </c>
      <c r="N2607" s="2" t="n">
        <v>-1</v>
      </c>
      <c r="O2607" s="2" t="n">
        <v>0</v>
      </c>
      <c r="P2607" s="2" t="s">
        <v>23</v>
      </c>
      <c r="Q2607" s="2" t="s">
        <v>20</v>
      </c>
    </row>
    <row r="2608" customFormat="false" ht="15" hidden="false" customHeight="false" outlineLevel="0" collapsed="false">
      <c r="A2608" s="2" t="n">
        <v>48</v>
      </c>
      <c r="B2608" s="2" t="s">
        <v>38</v>
      </c>
      <c r="C2608" s="2" t="s">
        <v>18</v>
      </c>
      <c r="D2608" s="2" t="s">
        <v>23</v>
      </c>
      <c r="E2608" s="2" t="s">
        <v>20</v>
      </c>
      <c r="F2608" s="2" t="n">
        <v>5543</v>
      </c>
      <c r="G2608" s="2" t="s">
        <v>20</v>
      </c>
      <c r="H2608" s="2" t="s">
        <v>20</v>
      </c>
      <c r="I2608" s="2" t="s">
        <v>23</v>
      </c>
      <c r="J2608" s="2" t="n">
        <v>16</v>
      </c>
      <c r="K2608" s="2" t="s">
        <v>33</v>
      </c>
      <c r="L2608" s="2" t="n">
        <v>143</v>
      </c>
      <c r="M2608" s="2" t="n">
        <v>5</v>
      </c>
      <c r="N2608" s="2" t="n">
        <v>-1</v>
      </c>
      <c r="O2608" s="2" t="n">
        <v>0</v>
      </c>
      <c r="P2608" s="2" t="s">
        <v>23</v>
      </c>
      <c r="Q2608" s="2" t="s">
        <v>20</v>
      </c>
    </row>
    <row r="2609" customFormat="false" ht="15" hidden="false" customHeight="false" outlineLevel="0" collapsed="false">
      <c r="A2609" s="2" t="n">
        <v>32</v>
      </c>
      <c r="B2609" s="2" t="s">
        <v>34</v>
      </c>
      <c r="C2609" s="2" t="s">
        <v>18</v>
      </c>
      <c r="D2609" s="2" t="s">
        <v>19</v>
      </c>
      <c r="E2609" s="2" t="s">
        <v>20</v>
      </c>
      <c r="F2609" s="2" t="n">
        <v>642</v>
      </c>
      <c r="G2609" s="2" t="s">
        <v>20</v>
      </c>
      <c r="H2609" s="2" t="s">
        <v>26</v>
      </c>
      <c r="I2609" s="2" t="s">
        <v>21</v>
      </c>
      <c r="J2609" s="2" t="n">
        <v>8</v>
      </c>
      <c r="K2609" s="2" t="s">
        <v>44</v>
      </c>
      <c r="L2609" s="2" t="n">
        <v>524</v>
      </c>
      <c r="M2609" s="2" t="n">
        <v>1</v>
      </c>
      <c r="N2609" s="2" t="n">
        <v>-1</v>
      </c>
      <c r="O2609" s="2" t="n">
        <v>0</v>
      </c>
      <c r="P2609" s="2" t="s">
        <v>23</v>
      </c>
      <c r="Q2609" s="2" t="s">
        <v>20</v>
      </c>
    </row>
    <row r="2610" customFormat="false" ht="15" hidden="false" customHeight="false" outlineLevel="0" collapsed="false">
      <c r="A2610" s="2" t="n">
        <v>58</v>
      </c>
      <c r="B2610" s="2" t="s">
        <v>48</v>
      </c>
      <c r="C2610" s="2" t="s">
        <v>18</v>
      </c>
      <c r="D2610" s="2" t="s">
        <v>25</v>
      </c>
      <c r="E2610" s="2" t="s">
        <v>20</v>
      </c>
      <c r="F2610" s="2" t="n">
        <v>11</v>
      </c>
      <c r="G2610" s="2" t="s">
        <v>20</v>
      </c>
      <c r="H2610" s="2" t="s">
        <v>20</v>
      </c>
      <c r="I2610" s="2" t="s">
        <v>21</v>
      </c>
      <c r="J2610" s="2" t="n">
        <v>11</v>
      </c>
      <c r="K2610" s="2" t="s">
        <v>41</v>
      </c>
      <c r="L2610" s="2" t="n">
        <v>270</v>
      </c>
      <c r="M2610" s="2" t="n">
        <v>1</v>
      </c>
      <c r="N2610" s="2" t="n">
        <v>-1</v>
      </c>
      <c r="O2610" s="2" t="n">
        <v>0</v>
      </c>
      <c r="P2610" s="2" t="s">
        <v>23</v>
      </c>
      <c r="Q2610" s="2" t="s">
        <v>20</v>
      </c>
    </row>
    <row r="2611" customFormat="false" ht="15" hidden="false" customHeight="false" outlineLevel="0" collapsed="false">
      <c r="A2611" s="2" t="n">
        <v>57</v>
      </c>
      <c r="B2611" s="2" t="s">
        <v>29</v>
      </c>
      <c r="C2611" s="2" t="s">
        <v>18</v>
      </c>
      <c r="D2611" s="2" t="s">
        <v>19</v>
      </c>
      <c r="E2611" s="2" t="s">
        <v>20</v>
      </c>
      <c r="F2611" s="2" t="n">
        <v>-226</v>
      </c>
      <c r="G2611" s="2" t="s">
        <v>26</v>
      </c>
      <c r="H2611" s="2" t="s">
        <v>20</v>
      </c>
      <c r="I2611" s="2" t="s">
        <v>23</v>
      </c>
      <c r="J2611" s="2" t="n">
        <v>4</v>
      </c>
      <c r="K2611" s="2" t="s">
        <v>33</v>
      </c>
      <c r="L2611" s="2" t="n">
        <v>272</v>
      </c>
      <c r="M2611" s="2" t="n">
        <v>1</v>
      </c>
      <c r="N2611" s="2" t="n">
        <v>-1</v>
      </c>
      <c r="O2611" s="2" t="n">
        <v>0</v>
      </c>
      <c r="P2611" s="2" t="s">
        <v>23</v>
      </c>
      <c r="Q2611" s="2" t="s">
        <v>20</v>
      </c>
    </row>
    <row r="2612" customFormat="false" ht="15" hidden="false" customHeight="false" outlineLevel="0" collapsed="false">
      <c r="A2612" s="2" t="n">
        <v>31</v>
      </c>
      <c r="B2612" s="2" t="s">
        <v>39</v>
      </c>
      <c r="C2612" s="2" t="s">
        <v>18</v>
      </c>
      <c r="D2612" s="2" t="s">
        <v>31</v>
      </c>
      <c r="E2612" s="2" t="s">
        <v>20</v>
      </c>
      <c r="F2612" s="2" t="n">
        <v>5191</v>
      </c>
      <c r="G2612" s="2" t="s">
        <v>20</v>
      </c>
      <c r="H2612" s="2" t="s">
        <v>20</v>
      </c>
      <c r="I2612" s="2" t="s">
        <v>21</v>
      </c>
      <c r="J2612" s="2" t="n">
        <v>20</v>
      </c>
      <c r="K2612" s="2" t="s">
        <v>46</v>
      </c>
      <c r="L2612" s="2" t="n">
        <v>187</v>
      </c>
      <c r="M2612" s="2" t="n">
        <v>2</v>
      </c>
      <c r="N2612" s="2" t="n">
        <v>-1</v>
      </c>
      <c r="O2612" s="2" t="n">
        <v>0</v>
      </c>
      <c r="P2612" s="2" t="s">
        <v>23</v>
      </c>
      <c r="Q2612" s="2" t="s">
        <v>20</v>
      </c>
    </row>
    <row r="2613" customFormat="false" ht="15" hidden="false" customHeight="false" outlineLevel="0" collapsed="false">
      <c r="A2613" s="2" t="n">
        <v>33</v>
      </c>
      <c r="B2613" s="2" t="s">
        <v>34</v>
      </c>
      <c r="C2613" s="2" t="s">
        <v>30</v>
      </c>
      <c r="D2613" s="2" t="s">
        <v>25</v>
      </c>
      <c r="E2613" s="2" t="s">
        <v>20</v>
      </c>
      <c r="F2613" s="2" t="n">
        <v>-320</v>
      </c>
      <c r="G2613" s="2" t="s">
        <v>20</v>
      </c>
      <c r="H2613" s="2" t="s">
        <v>20</v>
      </c>
      <c r="I2613" s="2" t="s">
        <v>21</v>
      </c>
      <c r="J2613" s="2" t="n">
        <v>18</v>
      </c>
      <c r="K2613" s="2" t="s">
        <v>27</v>
      </c>
      <c r="L2613" s="2" t="n">
        <v>268</v>
      </c>
      <c r="M2613" s="2" t="n">
        <v>2</v>
      </c>
      <c r="N2613" s="2" t="n">
        <v>-1</v>
      </c>
      <c r="O2613" s="2" t="n">
        <v>0</v>
      </c>
      <c r="P2613" s="2" t="s">
        <v>23</v>
      </c>
      <c r="Q2613" s="2" t="s">
        <v>20</v>
      </c>
    </row>
    <row r="2614" customFormat="false" ht="15" hidden="false" customHeight="false" outlineLevel="0" collapsed="false">
      <c r="A2614" s="2" t="n">
        <v>53</v>
      </c>
      <c r="B2614" s="2" t="s">
        <v>39</v>
      </c>
      <c r="C2614" s="2" t="s">
        <v>18</v>
      </c>
      <c r="D2614" s="2" t="s">
        <v>31</v>
      </c>
      <c r="E2614" s="2" t="s">
        <v>20</v>
      </c>
      <c r="F2614" s="2" t="n">
        <v>2289</v>
      </c>
      <c r="G2614" s="2" t="s">
        <v>26</v>
      </c>
      <c r="H2614" s="2" t="s">
        <v>26</v>
      </c>
      <c r="I2614" s="2" t="s">
        <v>21</v>
      </c>
      <c r="J2614" s="2" t="n">
        <v>17</v>
      </c>
      <c r="K2614" s="2" t="s">
        <v>46</v>
      </c>
      <c r="L2614" s="2" t="n">
        <v>183</v>
      </c>
      <c r="M2614" s="2" t="n">
        <v>1</v>
      </c>
      <c r="N2614" s="2" t="n">
        <v>-1</v>
      </c>
      <c r="O2614" s="2" t="n">
        <v>0</v>
      </c>
      <c r="P2614" s="2" t="s">
        <v>23</v>
      </c>
      <c r="Q2614" s="2" t="s">
        <v>20</v>
      </c>
    </row>
    <row r="2615" customFormat="false" ht="15" hidden="false" customHeight="false" outlineLevel="0" collapsed="false">
      <c r="A2615" s="2" t="n">
        <v>36</v>
      </c>
      <c r="B2615" s="2" t="s">
        <v>40</v>
      </c>
      <c r="C2615" s="2" t="s">
        <v>18</v>
      </c>
      <c r="D2615" s="2" t="s">
        <v>25</v>
      </c>
      <c r="E2615" s="2" t="s">
        <v>20</v>
      </c>
      <c r="F2615" s="2" t="n">
        <v>725</v>
      </c>
      <c r="G2615" s="2" t="s">
        <v>26</v>
      </c>
      <c r="H2615" s="2" t="s">
        <v>20</v>
      </c>
      <c r="I2615" s="2" t="s">
        <v>21</v>
      </c>
      <c r="J2615" s="2" t="n">
        <v>27</v>
      </c>
      <c r="K2615" s="2" t="s">
        <v>35</v>
      </c>
      <c r="L2615" s="2" t="n">
        <v>123</v>
      </c>
      <c r="M2615" s="2" t="n">
        <v>3</v>
      </c>
      <c r="N2615" s="2" t="n">
        <v>99</v>
      </c>
      <c r="O2615" s="2" t="n">
        <v>8</v>
      </c>
      <c r="P2615" s="2" t="s">
        <v>28</v>
      </c>
      <c r="Q2615" s="2" t="s">
        <v>20</v>
      </c>
    </row>
    <row r="2616" customFormat="false" ht="15" hidden="false" customHeight="false" outlineLevel="0" collapsed="false">
      <c r="A2616" s="2" t="n">
        <v>32</v>
      </c>
      <c r="B2616" s="2" t="s">
        <v>38</v>
      </c>
      <c r="C2616" s="2" t="s">
        <v>30</v>
      </c>
      <c r="D2616" s="2" t="s">
        <v>31</v>
      </c>
      <c r="E2616" s="2" t="s">
        <v>20</v>
      </c>
      <c r="F2616" s="2" t="n">
        <v>705</v>
      </c>
      <c r="G2616" s="2" t="s">
        <v>26</v>
      </c>
      <c r="H2616" s="2" t="s">
        <v>20</v>
      </c>
      <c r="I2616" s="2" t="s">
        <v>21</v>
      </c>
      <c r="J2616" s="2" t="n">
        <v>20</v>
      </c>
      <c r="K2616" s="2" t="s">
        <v>32</v>
      </c>
      <c r="L2616" s="2" t="n">
        <v>20</v>
      </c>
      <c r="M2616" s="2" t="n">
        <v>4</v>
      </c>
      <c r="N2616" s="2" t="n">
        <v>-1</v>
      </c>
      <c r="O2616" s="2" t="n">
        <v>0</v>
      </c>
      <c r="P2616" s="2" t="s">
        <v>23</v>
      </c>
      <c r="Q2616" s="2" t="s">
        <v>20</v>
      </c>
    </row>
    <row r="2617" customFormat="false" ht="15" hidden="false" customHeight="false" outlineLevel="0" collapsed="false">
      <c r="A2617" s="2" t="n">
        <v>45</v>
      </c>
      <c r="B2617" s="2" t="s">
        <v>34</v>
      </c>
      <c r="C2617" s="2" t="s">
        <v>18</v>
      </c>
      <c r="D2617" s="2" t="s">
        <v>25</v>
      </c>
      <c r="E2617" s="2" t="s">
        <v>20</v>
      </c>
      <c r="F2617" s="2" t="n">
        <v>776</v>
      </c>
      <c r="G2617" s="2" t="s">
        <v>26</v>
      </c>
      <c r="H2617" s="2" t="s">
        <v>20</v>
      </c>
      <c r="I2617" s="2" t="s">
        <v>21</v>
      </c>
      <c r="J2617" s="2" t="n">
        <v>6</v>
      </c>
      <c r="K2617" s="2" t="s">
        <v>35</v>
      </c>
      <c r="L2617" s="2" t="n">
        <v>232</v>
      </c>
      <c r="M2617" s="2" t="n">
        <v>4</v>
      </c>
      <c r="N2617" s="2" t="n">
        <v>253</v>
      </c>
      <c r="O2617" s="2" t="n">
        <v>1</v>
      </c>
      <c r="P2617" s="2" t="s">
        <v>28</v>
      </c>
      <c r="Q2617" s="2" t="s">
        <v>20</v>
      </c>
    </row>
    <row r="2618" customFormat="false" ht="15" hidden="false" customHeight="false" outlineLevel="0" collapsed="false">
      <c r="A2618" s="2" t="n">
        <v>35</v>
      </c>
      <c r="B2618" s="2" t="s">
        <v>17</v>
      </c>
      <c r="C2618" s="2" t="s">
        <v>18</v>
      </c>
      <c r="D2618" s="2" t="s">
        <v>31</v>
      </c>
      <c r="E2618" s="2" t="s">
        <v>20</v>
      </c>
      <c r="F2618" s="2" t="n">
        <v>816</v>
      </c>
      <c r="G2618" s="2" t="s">
        <v>26</v>
      </c>
      <c r="H2618" s="2" t="s">
        <v>20</v>
      </c>
      <c r="I2618" s="2" t="s">
        <v>21</v>
      </c>
      <c r="J2618" s="2" t="n">
        <v>19</v>
      </c>
      <c r="K2618" s="2" t="s">
        <v>46</v>
      </c>
      <c r="L2618" s="2" t="n">
        <v>547</v>
      </c>
      <c r="M2618" s="2" t="n">
        <v>7</v>
      </c>
      <c r="N2618" s="2" t="n">
        <v>-1</v>
      </c>
      <c r="O2618" s="2" t="n">
        <v>0</v>
      </c>
      <c r="P2618" s="2" t="s">
        <v>23</v>
      </c>
      <c r="Q2618" s="2" t="s">
        <v>20</v>
      </c>
    </row>
    <row r="2619" customFormat="false" ht="15" hidden="false" customHeight="false" outlineLevel="0" collapsed="false">
      <c r="A2619" s="2" t="n">
        <v>41</v>
      </c>
      <c r="B2619" s="2" t="s">
        <v>24</v>
      </c>
      <c r="C2619" s="2" t="s">
        <v>18</v>
      </c>
      <c r="D2619" s="2" t="s">
        <v>25</v>
      </c>
      <c r="E2619" s="2" t="s">
        <v>20</v>
      </c>
      <c r="F2619" s="2" t="n">
        <v>171</v>
      </c>
      <c r="G2619" s="2" t="s">
        <v>20</v>
      </c>
      <c r="H2619" s="2" t="s">
        <v>20</v>
      </c>
      <c r="I2619" s="2" t="s">
        <v>21</v>
      </c>
      <c r="J2619" s="2" t="n">
        <v>21</v>
      </c>
      <c r="K2619" s="2" t="s">
        <v>44</v>
      </c>
      <c r="L2619" s="2" t="n">
        <v>71</v>
      </c>
      <c r="M2619" s="2" t="n">
        <v>9</v>
      </c>
      <c r="N2619" s="2" t="n">
        <v>-1</v>
      </c>
      <c r="O2619" s="2" t="n">
        <v>0</v>
      </c>
      <c r="P2619" s="2" t="s">
        <v>23</v>
      </c>
      <c r="Q2619" s="2" t="s">
        <v>20</v>
      </c>
    </row>
    <row r="2620" customFormat="false" ht="15" hidden="false" customHeight="false" outlineLevel="0" collapsed="false">
      <c r="A2620" s="2" t="n">
        <v>54</v>
      </c>
      <c r="B2620" s="2" t="s">
        <v>24</v>
      </c>
      <c r="C2620" s="2" t="s">
        <v>18</v>
      </c>
      <c r="D2620" s="2" t="s">
        <v>25</v>
      </c>
      <c r="E2620" s="2" t="s">
        <v>20</v>
      </c>
      <c r="F2620" s="2" t="n">
        <v>812</v>
      </c>
      <c r="G2620" s="2" t="s">
        <v>20</v>
      </c>
      <c r="H2620" s="2" t="s">
        <v>20</v>
      </c>
      <c r="I2620" s="2" t="s">
        <v>21</v>
      </c>
      <c r="J2620" s="2" t="n">
        <v>31</v>
      </c>
      <c r="K2620" s="2" t="s">
        <v>44</v>
      </c>
      <c r="L2620" s="2" t="n">
        <v>113</v>
      </c>
      <c r="M2620" s="2" t="n">
        <v>6</v>
      </c>
      <c r="N2620" s="2" t="n">
        <v>-1</v>
      </c>
      <c r="O2620" s="2" t="n">
        <v>0</v>
      </c>
      <c r="P2620" s="2" t="s">
        <v>23</v>
      </c>
      <c r="Q2620" s="2" t="s">
        <v>20</v>
      </c>
    </row>
    <row r="2621" customFormat="false" ht="15" hidden="false" customHeight="false" outlineLevel="0" collapsed="false">
      <c r="A2621" s="2" t="n">
        <v>49</v>
      </c>
      <c r="B2621" s="2" t="s">
        <v>24</v>
      </c>
      <c r="C2621" s="2" t="s">
        <v>18</v>
      </c>
      <c r="D2621" s="2" t="s">
        <v>25</v>
      </c>
      <c r="E2621" s="2" t="s">
        <v>20</v>
      </c>
      <c r="F2621" s="2" t="n">
        <v>823</v>
      </c>
      <c r="G2621" s="2" t="s">
        <v>20</v>
      </c>
      <c r="H2621" s="2" t="s">
        <v>20</v>
      </c>
      <c r="I2621" s="2" t="s">
        <v>21</v>
      </c>
      <c r="J2621" s="2" t="n">
        <v>8</v>
      </c>
      <c r="K2621" s="2" t="s">
        <v>41</v>
      </c>
      <c r="L2621" s="2" t="n">
        <v>780</v>
      </c>
      <c r="M2621" s="2" t="n">
        <v>4</v>
      </c>
      <c r="N2621" s="2" t="n">
        <v>-1</v>
      </c>
      <c r="O2621" s="2" t="n">
        <v>0</v>
      </c>
      <c r="P2621" s="2" t="s">
        <v>23</v>
      </c>
      <c r="Q2621" s="2" t="s">
        <v>26</v>
      </c>
    </row>
    <row r="2622" customFormat="false" ht="15" hidden="false" customHeight="false" outlineLevel="0" collapsed="false">
      <c r="A2622" s="2" t="n">
        <v>28</v>
      </c>
      <c r="B2622" s="2" t="s">
        <v>38</v>
      </c>
      <c r="C2622" s="2" t="s">
        <v>30</v>
      </c>
      <c r="D2622" s="2" t="s">
        <v>25</v>
      </c>
      <c r="E2622" s="2" t="s">
        <v>20</v>
      </c>
      <c r="F2622" s="2" t="n">
        <v>1453</v>
      </c>
      <c r="G2622" s="2" t="s">
        <v>26</v>
      </c>
      <c r="H2622" s="2" t="s">
        <v>20</v>
      </c>
      <c r="I2622" s="2" t="s">
        <v>21</v>
      </c>
      <c r="J2622" s="2" t="n">
        <v>12</v>
      </c>
      <c r="K2622" s="2" t="s">
        <v>27</v>
      </c>
      <c r="L2622" s="2" t="n">
        <v>246</v>
      </c>
      <c r="M2622" s="2" t="n">
        <v>1</v>
      </c>
      <c r="N2622" s="2" t="n">
        <v>343</v>
      </c>
      <c r="O2622" s="2" t="n">
        <v>1</v>
      </c>
      <c r="P2622" s="2" t="s">
        <v>37</v>
      </c>
      <c r="Q2622" s="2" t="s">
        <v>20</v>
      </c>
    </row>
    <row r="2623" customFormat="false" ht="15" hidden="false" customHeight="false" outlineLevel="0" collapsed="false">
      <c r="A2623" s="2" t="n">
        <v>24</v>
      </c>
      <c r="B2623" s="2" t="s">
        <v>34</v>
      </c>
      <c r="C2623" s="2" t="s">
        <v>30</v>
      </c>
      <c r="D2623" s="2" t="s">
        <v>23</v>
      </c>
      <c r="E2623" s="2" t="s">
        <v>20</v>
      </c>
      <c r="F2623" s="2" t="n">
        <v>431</v>
      </c>
      <c r="G2623" s="2" t="s">
        <v>26</v>
      </c>
      <c r="H2623" s="2" t="s">
        <v>20</v>
      </c>
      <c r="I2623" s="2" t="s">
        <v>23</v>
      </c>
      <c r="J2623" s="2" t="n">
        <v>3</v>
      </c>
      <c r="K2623" s="2" t="s">
        <v>33</v>
      </c>
      <c r="L2623" s="2" t="n">
        <v>108</v>
      </c>
      <c r="M2623" s="2" t="n">
        <v>12</v>
      </c>
      <c r="N2623" s="2" t="n">
        <v>-1</v>
      </c>
      <c r="O2623" s="2" t="n">
        <v>0</v>
      </c>
      <c r="P2623" s="2" t="s">
        <v>23</v>
      </c>
      <c r="Q2623" s="2" t="s">
        <v>20</v>
      </c>
    </row>
    <row r="2624" customFormat="false" ht="15" hidden="false" customHeight="false" outlineLevel="0" collapsed="false">
      <c r="A2624" s="2" t="n">
        <v>30</v>
      </c>
      <c r="B2624" s="2" t="s">
        <v>40</v>
      </c>
      <c r="C2624" s="2" t="s">
        <v>30</v>
      </c>
      <c r="D2624" s="2" t="s">
        <v>25</v>
      </c>
      <c r="E2624" s="2" t="s">
        <v>20</v>
      </c>
      <c r="F2624" s="2" t="n">
        <v>1009</v>
      </c>
      <c r="G2624" s="2" t="s">
        <v>26</v>
      </c>
      <c r="H2624" s="2" t="s">
        <v>20</v>
      </c>
      <c r="I2624" s="2" t="s">
        <v>21</v>
      </c>
      <c r="J2624" s="2" t="n">
        <v>29</v>
      </c>
      <c r="K2624" s="2" t="s">
        <v>43</v>
      </c>
      <c r="L2624" s="2" t="n">
        <v>253</v>
      </c>
      <c r="M2624" s="2" t="n">
        <v>1</v>
      </c>
      <c r="N2624" s="2" t="n">
        <v>-1</v>
      </c>
      <c r="O2624" s="2" t="n">
        <v>0</v>
      </c>
      <c r="P2624" s="2" t="s">
        <v>23</v>
      </c>
      <c r="Q2624" s="2" t="s">
        <v>20</v>
      </c>
    </row>
    <row r="2625" customFormat="false" ht="15" hidden="false" customHeight="false" outlineLevel="0" collapsed="false">
      <c r="A2625" s="2" t="n">
        <v>32</v>
      </c>
      <c r="B2625" s="2" t="s">
        <v>36</v>
      </c>
      <c r="C2625" s="2" t="s">
        <v>18</v>
      </c>
      <c r="D2625" s="2" t="s">
        <v>19</v>
      </c>
      <c r="E2625" s="2" t="s">
        <v>20</v>
      </c>
      <c r="F2625" s="2" t="n">
        <v>286</v>
      </c>
      <c r="G2625" s="2" t="s">
        <v>26</v>
      </c>
      <c r="H2625" s="2" t="s">
        <v>20</v>
      </c>
      <c r="I2625" s="2" t="s">
        <v>21</v>
      </c>
      <c r="J2625" s="2" t="n">
        <v>6</v>
      </c>
      <c r="K2625" s="2" t="s">
        <v>41</v>
      </c>
      <c r="L2625" s="2" t="n">
        <v>175</v>
      </c>
      <c r="M2625" s="2" t="n">
        <v>1</v>
      </c>
      <c r="N2625" s="2" t="n">
        <v>-1</v>
      </c>
      <c r="O2625" s="2" t="n">
        <v>0</v>
      </c>
      <c r="P2625" s="2" t="s">
        <v>23</v>
      </c>
      <c r="Q2625" s="2" t="s">
        <v>20</v>
      </c>
    </row>
    <row r="2626" customFormat="false" ht="15" hidden="false" customHeight="false" outlineLevel="0" collapsed="false">
      <c r="A2626" s="2" t="n">
        <v>53</v>
      </c>
      <c r="B2626" s="2" t="s">
        <v>39</v>
      </c>
      <c r="C2626" s="2" t="s">
        <v>18</v>
      </c>
      <c r="D2626" s="2" t="s">
        <v>31</v>
      </c>
      <c r="E2626" s="2" t="s">
        <v>20</v>
      </c>
      <c r="F2626" s="2" t="n">
        <v>22370</v>
      </c>
      <c r="G2626" s="2" t="s">
        <v>26</v>
      </c>
      <c r="H2626" s="2" t="s">
        <v>20</v>
      </c>
      <c r="I2626" s="2" t="s">
        <v>23</v>
      </c>
      <c r="J2626" s="2" t="n">
        <v>15</v>
      </c>
      <c r="K2626" s="2" t="s">
        <v>27</v>
      </c>
      <c r="L2626" s="2" t="n">
        <v>106</v>
      </c>
      <c r="M2626" s="2" t="n">
        <v>1</v>
      </c>
      <c r="N2626" s="2" t="n">
        <v>-1</v>
      </c>
      <c r="O2626" s="2" t="n">
        <v>0</v>
      </c>
      <c r="P2626" s="2" t="s">
        <v>23</v>
      </c>
      <c r="Q2626" s="2" t="s">
        <v>20</v>
      </c>
    </row>
    <row r="2627" customFormat="false" ht="15" hidden="false" customHeight="false" outlineLevel="0" collapsed="false">
      <c r="A2627" s="2" t="n">
        <v>42</v>
      </c>
      <c r="B2627" s="2" t="s">
        <v>34</v>
      </c>
      <c r="C2627" s="2" t="s">
        <v>18</v>
      </c>
      <c r="D2627" s="2" t="s">
        <v>19</v>
      </c>
      <c r="E2627" s="2" t="s">
        <v>20</v>
      </c>
      <c r="F2627" s="2" t="n">
        <v>2111</v>
      </c>
      <c r="G2627" s="2" t="s">
        <v>26</v>
      </c>
      <c r="H2627" s="2" t="s">
        <v>20</v>
      </c>
      <c r="I2627" s="2" t="s">
        <v>21</v>
      </c>
      <c r="J2627" s="2" t="n">
        <v>7</v>
      </c>
      <c r="K2627" s="2" t="s">
        <v>27</v>
      </c>
      <c r="L2627" s="2" t="n">
        <v>86</v>
      </c>
      <c r="M2627" s="2" t="n">
        <v>2</v>
      </c>
      <c r="N2627" s="2" t="n">
        <v>-1</v>
      </c>
      <c r="O2627" s="2" t="n">
        <v>0</v>
      </c>
      <c r="P2627" s="2" t="s">
        <v>23</v>
      </c>
      <c r="Q2627" s="2" t="s">
        <v>20</v>
      </c>
    </row>
    <row r="2628" customFormat="false" ht="15" hidden="false" customHeight="false" outlineLevel="0" collapsed="false">
      <c r="A2628" s="2" t="n">
        <v>48</v>
      </c>
      <c r="B2628" s="2" t="s">
        <v>34</v>
      </c>
      <c r="C2628" s="2" t="s">
        <v>18</v>
      </c>
      <c r="D2628" s="2" t="s">
        <v>19</v>
      </c>
      <c r="E2628" s="2" t="s">
        <v>20</v>
      </c>
      <c r="F2628" s="2" t="n">
        <v>5366</v>
      </c>
      <c r="G2628" s="2" t="s">
        <v>26</v>
      </c>
      <c r="H2628" s="2" t="s">
        <v>20</v>
      </c>
      <c r="I2628" s="2" t="s">
        <v>23</v>
      </c>
      <c r="J2628" s="2" t="n">
        <v>21</v>
      </c>
      <c r="K2628" s="2" t="s">
        <v>27</v>
      </c>
      <c r="L2628" s="2" t="n">
        <v>248</v>
      </c>
      <c r="M2628" s="2" t="n">
        <v>3</v>
      </c>
      <c r="N2628" s="2" t="n">
        <v>-1</v>
      </c>
      <c r="O2628" s="2" t="n">
        <v>0</v>
      </c>
      <c r="P2628" s="2" t="s">
        <v>23</v>
      </c>
      <c r="Q2628" s="2" t="s">
        <v>20</v>
      </c>
    </row>
    <row r="2629" customFormat="false" ht="15" hidden="false" customHeight="false" outlineLevel="0" collapsed="false">
      <c r="A2629" s="2" t="n">
        <v>33</v>
      </c>
      <c r="B2629" s="2" t="s">
        <v>38</v>
      </c>
      <c r="C2629" s="2" t="s">
        <v>18</v>
      </c>
      <c r="D2629" s="2" t="s">
        <v>25</v>
      </c>
      <c r="E2629" s="2" t="s">
        <v>20</v>
      </c>
      <c r="F2629" s="2" t="n">
        <v>181</v>
      </c>
      <c r="G2629" s="2" t="s">
        <v>26</v>
      </c>
      <c r="H2629" s="2" t="s">
        <v>26</v>
      </c>
      <c r="I2629" s="2" t="s">
        <v>49</v>
      </c>
      <c r="J2629" s="2" t="n">
        <v>28</v>
      </c>
      <c r="K2629" s="2" t="s">
        <v>44</v>
      </c>
      <c r="L2629" s="2" t="n">
        <v>265</v>
      </c>
      <c r="M2629" s="2" t="n">
        <v>2</v>
      </c>
      <c r="N2629" s="2" t="n">
        <v>-1</v>
      </c>
      <c r="O2629" s="2" t="n">
        <v>0</v>
      </c>
      <c r="P2629" s="2" t="s">
        <v>23</v>
      </c>
      <c r="Q2629" s="2" t="s">
        <v>20</v>
      </c>
    </row>
    <row r="2630" customFormat="false" ht="15" hidden="false" customHeight="false" outlineLevel="0" collapsed="false">
      <c r="A2630" s="2" t="n">
        <v>31</v>
      </c>
      <c r="B2630" s="2" t="s">
        <v>34</v>
      </c>
      <c r="C2630" s="2" t="s">
        <v>45</v>
      </c>
      <c r="D2630" s="2" t="s">
        <v>25</v>
      </c>
      <c r="E2630" s="2" t="s">
        <v>20</v>
      </c>
      <c r="F2630" s="2" t="n">
        <v>-452</v>
      </c>
      <c r="G2630" s="2" t="s">
        <v>26</v>
      </c>
      <c r="H2630" s="2" t="s">
        <v>20</v>
      </c>
      <c r="I2630" s="2" t="s">
        <v>23</v>
      </c>
      <c r="J2630" s="2" t="n">
        <v>26</v>
      </c>
      <c r="K2630" s="2" t="s">
        <v>27</v>
      </c>
      <c r="L2630" s="2" t="n">
        <v>182</v>
      </c>
      <c r="M2630" s="2" t="n">
        <v>5</v>
      </c>
      <c r="N2630" s="2" t="n">
        <v>-1</v>
      </c>
      <c r="O2630" s="2" t="n">
        <v>0</v>
      </c>
      <c r="P2630" s="2" t="s">
        <v>23</v>
      </c>
      <c r="Q2630" s="2" t="s">
        <v>20</v>
      </c>
    </row>
    <row r="2631" customFormat="false" ht="15" hidden="false" customHeight="false" outlineLevel="0" collapsed="false">
      <c r="A2631" s="2" t="n">
        <v>56</v>
      </c>
      <c r="B2631" s="2" t="s">
        <v>17</v>
      </c>
      <c r="C2631" s="2" t="s">
        <v>45</v>
      </c>
      <c r="D2631" s="2" t="s">
        <v>19</v>
      </c>
      <c r="E2631" s="2" t="s">
        <v>20</v>
      </c>
      <c r="F2631" s="2" t="n">
        <v>1770</v>
      </c>
      <c r="G2631" s="2" t="s">
        <v>20</v>
      </c>
      <c r="H2631" s="2" t="s">
        <v>20</v>
      </c>
      <c r="I2631" s="2" t="s">
        <v>21</v>
      </c>
      <c r="J2631" s="2" t="n">
        <v>5</v>
      </c>
      <c r="K2631" s="2" t="s">
        <v>35</v>
      </c>
      <c r="L2631" s="2" t="n">
        <v>916</v>
      </c>
      <c r="M2631" s="2" t="n">
        <v>3</v>
      </c>
      <c r="N2631" s="2" t="n">
        <v>-1</v>
      </c>
      <c r="O2631" s="2" t="n">
        <v>0</v>
      </c>
      <c r="P2631" s="2" t="s">
        <v>23</v>
      </c>
      <c r="Q2631" s="2" t="s">
        <v>20</v>
      </c>
    </row>
    <row r="2632" customFormat="false" ht="15" hidden="false" customHeight="false" outlineLevel="0" collapsed="false">
      <c r="A2632" s="2" t="n">
        <v>58</v>
      </c>
      <c r="B2632" s="2" t="s">
        <v>48</v>
      </c>
      <c r="C2632" s="2" t="s">
        <v>18</v>
      </c>
      <c r="D2632" s="2" t="s">
        <v>19</v>
      </c>
      <c r="E2632" s="2" t="s">
        <v>20</v>
      </c>
      <c r="F2632" s="2" t="n">
        <v>0</v>
      </c>
      <c r="G2632" s="2" t="s">
        <v>20</v>
      </c>
      <c r="H2632" s="2" t="s">
        <v>20</v>
      </c>
      <c r="I2632" s="2" t="s">
        <v>21</v>
      </c>
      <c r="J2632" s="2" t="n">
        <v>4</v>
      </c>
      <c r="K2632" s="2" t="s">
        <v>41</v>
      </c>
      <c r="L2632" s="2" t="n">
        <v>506</v>
      </c>
      <c r="M2632" s="2" t="n">
        <v>1</v>
      </c>
      <c r="N2632" s="2" t="n">
        <v>-1</v>
      </c>
      <c r="O2632" s="2" t="n">
        <v>0</v>
      </c>
      <c r="P2632" s="2" t="s">
        <v>23</v>
      </c>
      <c r="Q2632" s="2" t="s">
        <v>20</v>
      </c>
    </row>
    <row r="2633" customFormat="false" ht="15" hidden="false" customHeight="false" outlineLevel="0" collapsed="false">
      <c r="A2633" s="2" t="n">
        <v>37</v>
      </c>
      <c r="B2633" s="2" t="s">
        <v>40</v>
      </c>
      <c r="C2633" s="2" t="s">
        <v>30</v>
      </c>
      <c r="D2633" s="2" t="s">
        <v>25</v>
      </c>
      <c r="E2633" s="2" t="s">
        <v>20</v>
      </c>
      <c r="F2633" s="2" t="n">
        <v>-296</v>
      </c>
      <c r="G2633" s="2" t="s">
        <v>26</v>
      </c>
      <c r="H2633" s="2" t="s">
        <v>20</v>
      </c>
      <c r="I2633" s="2" t="s">
        <v>21</v>
      </c>
      <c r="J2633" s="2" t="n">
        <v>20</v>
      </c>
      <c r="K2633" s="2" t="s">
        <v>32</v>
      </c>
      <c r="L2633" s="2" t="n">
        <v>81</v>
      </c>
      <c r="M2633" s="2" t="n">
        <v>1</v>
      </c>
      <c r="N2633" s="2" t="n">
        <v>-1</v>
      </c>
      <c r="O2633" s="2" t="n">
        <v>0</v>
      </c>
      <c r="P2633" s="2" t="s">
        <v>23</v>
      </c>
      <c r="Q2633" s="2" t="s">
        <v>20</v>
      </c>
    </row>
    <row r="2634" customFormat="false" ht="15" hidden="false" customHeight="false" outlineLevel="0" collapsed="false">
      <c r="A2634" s="2" t="n">
        <v>59</v>
      </c>
      <c r="B2634" s="2" t="s">
        <v>29</v>
      </c>
      <c r="C2634" s="2" t="s">
        <v>18</v>
      </c>
      <c r="D2634" s="2" t="s">
        <v>19</v>
      </c>
      <c r="E2634" s="2" t="s">
        <v>20</v>
      </c>
      <c r="F2634" s="2" t="n">
        <v>2358</v>
      </c>
      <c r="G2634" s="2" t="s">
        <v>26</v>
      </c>
      <c r="H2634" s="2" t="s">
        <v>20</v>
      </c>
      <c r="I2634" s="2" t="s">
        <v>21</v>
      </c>
      <c r="J2634" s="2" t="n">
        <v>17</v>
      </c>
      <c r="K2634" s="2" t="s">
        <v>32</v>
      </c>
      <c r="L2634" s="2" t="n">
        <v>30</v>
      </c>
      <c r="M2634" s="2" t="n">
        <v>1</v>
      </c>
      <c r="N2634" s="2" t="n">
        <v>-1</v>
      </c>
      <c r="O2634" s="2" t="n">
        <v>0</v>
      </c>
      <c r="P2634" s="2" t="s">
        <v>23</v>
      </c>
      <c r="Q2634" s="2" t="s">
        <v>20</v>
      </c>
    </row>
    <row r="2635" customFormat="false" ht="15" hidden="false" customHeight="false" outlineLevel="0" collapsed="false">
      <c r="A2635" s="2" t="n">
        <v>50</v>
      </c>
      <c r="B2635" s="2" t="s">
        <v>29</v>
      </c>
      <c r="C2635" s="2" t="s">
        <v>30</v>
      </c>
      <c r="D2635" s="2" t="s">
        <v>31</v>
      </c>
      <c r="E2635" s="2" t="s">
        <v>20</v>
      </c>
      <c r="F2635" s="2" t="n">
        <v>1200</v>
      </c>
      <c r="G2635" s="2" t="s">
        <v>20</v>
      </c>
      <c r="H2635" s="2" t="s">
        <v>20</v>
      </c>
      <c r="I2635" s="2" t="s">
        <v>21</v>
      </c>
      <c r="J2635" s="2" t="n">
        <v>14</v>
      </c>
      <c r="K2635" s="2" t="s">
        <v>41</v>
      </c>
      <c r="L2635" s="2" t="n">
        <v>904</v>
      </c>
      <c r="M2635" s="2" t="n">
        <v>3</v>
      </c>
      <c r="N2635" s="2" t="n">
        <v>-1</v>
      </c>
      <c r="O2635" s="2" t="n">
        <v>0</v>
      </c>
      <c r="P2635" s="2" t="s">
        <v>23</v>
      </c>
      <c r="Q2635" s="2" t="s">
        <v>26</v>
      </c>
    </row>
    <row r="2636" customFormat="false" ht="15" hidden="false" customHeight="false" outlineLevel="0" collapsed="false">
      <c r="A2636" s="2" t="n">
        <v>39</v>
      </c>
      <c r="B2636" s="2" t="s">
        <v>47</v>
      </c>
      <c r="C2636" s="2" t="s">
        <v>30</v>
      </c>
      <c r="D2636" s="2" t="s">
        <v>19</v>
      </c>
      <c r="E2636" s="2" t="s">
        <v>20</v>
      </c>
      <c r="F2636" s="2" t="n">
        <v>109</v>
      </c>
      <c r="G2636" s="2" t="s">
        <v>26</v>
      </c>
      <c r="H2636" s="2" t="s">
        <v>20</v>
      </c>
      <c r="I2636" s="2" t="s">
        <v>23</v>
      </c>
      <c r="J2636" s="2" t="n">
        <v>6</v>
      </c>
      <c r="K2636" s="2" t="s">
        <v>27</v>
      </c>
      <c r="L2636" s="2" t="n">
        <v>699</v>
      </c>
      <c r="M2636" s="2" t="n">
        <v>3</v>
      </c>
      <c r="N2636" s="2" t="n">
        <v>-1</v>
      </c>
      <c r="O2636" s="2" t="n">
        <v>0</v>
      </c>
      <c r="P2636" s="2" t="s">
        <v>23</v>
      </c>
      <c r="Q2636" s="2" t="s">
        <v>20</v>
      </c>
    </row>
    <row r="2637" customFormat="false" ht="15" hidden="false" customHeight="false" outlineLevel="0" collapsed="false">
      <c r="A2637" s="2" t="n">
        <v>30</v>
      </c>
      <c r="B2637" s="2" t="s">
        <v>38</v>
      </c>
      <c r="C2637" s="2" t="s">
        <v>18</v>
      </c>
      <c r="D2637" s="2" t="s">
        <v>25</v>
      </c>
      <c r="E2637" s="2" t="s">
        <v>20</v>
      </c>
      <c r="F2637" s="2" t="n">
        <v>616</v>
      </c>
      <c r="G2637" s="2" t="s">
        <v>26</v>
      </c>
      <c r="H2637" s="2" t="s">
        <v>20</v>
      </c>
      <c r="I2637" s="2" t="s">
        <v>21</v>
      </c>
      <c r="J2637" s="2" t="n">
        <v>6</v>
      </c>
      <c r="K2637" s="2" t="s">
        <v>27</v>
      </c>
      <c r="L2637" s="2" t="n">
        <v>19</v>
      </c>
      <c r="M2637" s="2" t="n">
        <v>1</v>
      </c>
      <c r="N2637" s="2" t="n">
        <v>-1</v>
      </c>
      <c r="O2637" s="2" t="n">
        <v>0</v>
      </c>
      <c r="P2637" s="2" t="s">
        <v>23</v>
      </c>
      <c r="Q2637" s="2" t="s">
        <v>20</v>
      </c>
    </row>
    <row r="2638" customFormat="false" ht="15" hidden="false" customHeight="false" outlineLevel="0" collapsed="false">
      <c r="A2638" s="2" t="n">
        <v>47</v>
      </c>
      <c r="B2638" s="2" t="s">
        <v>24</v>
      </c>
      <c r="C2638" s="2" t="s">
        <v>45</v>
      </c>
      <c r="D2638" s="2" t="s">
        <v>25</v>
      </c>
      <c r="E2638" s="2" t="s">
        <v>20</v>
      </c>
      <c r="F2638" s="2" t="n">
        <v>4906</v>
      </c>
      <c r="G2638" s="2" t="s">
        <v>26</v>
      </c>
      <c r="H2638" s="2" t="s">
        <v>20</v>
      </c>
      <c r="I2638" s="2" t="s">
        <v>23</v>
      </c>
      <c r="J2638" s="2" t="n">
        <v>14</v>
      </c>
      <c r="K2638" s="2" t="s">
        <v>27</v>
      </c>
      <c r="L2638" s="2" t="n">
        <v>389</v>
      </c>
      <c r="M2638" s="2" t="n">
        <v>1</v>
      </c>
      <c r="N2638" s="2" t="n">
        <v>-1</v>
      </c>
      <c r="O2638" s="2" t="n">
        <v>0</v>
      </c>
      <c r="P2638" s="2" t="s">
        <v>23</v>
      </c>
      <c r="Q2638" s="2" t="s">
        <v>20</v>
      </c>
    </row>
    <row r="2639" customFormat="false" ht="15" hidden="false" customHeight="false" outlineLevel="0" collapsed="false">
      <c r="A2639" s="2" t="n">
        <v>44</v>
      </c>
      <c r="B2639" s="2" t="s">
        <v>36</v>
      </c>
      <c r="C2639" s="2" t="s">
        <v>18</v>
      </c>
      <c r="D2639" s="2" t="s">
        <v>25</v>
      </c>
      <c r="E2639" s="2" t="s">
        <v>20</v>
      </c>
      <c r="F2639" s="2" t="n">
        <v>313</v>
      </c>
      <c r="G2639" s="2" t="s">
        <v>20</v>
      </c>
      <c r="H2639" s="2" t="s">
        <v>20</v>
      </c>
      <c r="I2639" s="2" t="s">
        <v>21</v>
      </c>
      <c r="J2639" s="2" t="n">
        <v>6</v>
      </c>
      <c r="K2639" s="2" t="s">
        <v>41</v>
      </c>
      <c r="L2639" s="2" t="n">
        <v>211</v>
      </c>
      <c r="M2639" s="2" t="n">
        <v>4</v>
      </c>
      <c r="N2639" s="2" t="n">
        <v>-1</v>
      </c>
      <c r="O2639" s="2" t="n">
        <v>0</v>
      </c>
      <c r="P2639" s="2" t="s">
        <v>23</v>
      </c>
      <c r="Q2639" s="2" t="s">
        <v>20</v>
      </c>
    </row>
    <row r="2640" customFormat="false" ht="15" hidden="false" customHeight="false" outlineLevel="0" collapsed="false">
      <c r="A2640" s="2" t="n">
        <v>38</v>
      </c>
      <c r="B2640" s="2" t="s">
        <v>34</v>
      </c>
      <c r="C2640" s="2" t="s">
        <v>18</v>
      </c>
      <c r="D2640" s="2" t="s">
        <v>19</v>
      </c>
      <c r="E2640" s="2" t="s">
        <v>20</v>
      </c>
      <c r="F2640" s="2" t="n">
        <v>290</v>
      </c>
      <c r="G2640" s="2" t="s">
        <v>26</v>
      </c>
      <c r="H2640" s="2" t="s">
        <v>20</v>
      </c>
      <c r="I2640" s="2" t="s">
        <v>21</v>
      </c>
      <c r="J2640" s="2" t="n">
        <v>16</v>
      </c>
      <c r="K2640" s="2" t="s">
        <v>32</v>
      </c>
      <c r="L2640" s="2" t="n">
        <v>283</v>
      </c>
      <c r="M2640" s="2" t="n">
        <v>1</v>
      </c>
      <c r="N2640" s="2" t="n">
        <v>-1</v>
      </c>
      <c r="O2640" s="2" t="n">
        <v>0</v>
      </c>
      <c r="P2640" s="2" t="s">
        <v>23</v>
      </c>
      <c r="Q2640" s="2" t="s">
        <v>20</v>
      </c>
    </row>
    <row r="2641" customFormat="false" ht="15" hidden="false" customHeight="false" outlineLevel="0" collapsed="false">
      <c r="A2641" s="2" t="n">
        <v>50</v>
      </c>
      <c r="B2641" s="2" t="s">
        <v>29</v>
      </c>
      <c r="C2641" s="2" t="s">
        <v>18</v>
      </c>
      <c r="D2641" s="2" t="s">
        <v>31</v>
      </c>
      <c r="E2641" s="2" t="s">
        <v>20</v>
      </c>
      <c r="F2641" s="2" t="n">
        <v>1240</v>
      </c>
      <c r="G2641" s="2" t="s">
        <v>20</v>
      </c>
      <c r="H2641" s="2" t="s">
        <v>20</v>
      </c>
      <c r="I2641" s="2" t="s">
        <v>21</v>
      </c>
      <c r="J2641" s="2" t="n">
        <v>12</v>
      </c>
      <c r="K2641" s="2" t="s">
        <v>41</v>
      </c>
      <c r="L2641" s="2" t="n">
        <v>474</v>
      </c>
      <c r="M2641" s="2" t="n">
        <v>2</v>
      </c>
      <c r="N2641" s="2" t="n">
        <v>-1</v>
      </c>
      <c r="O2641" s="2" t="n">
        <v>0</v>
      </c>
      <c r="P2641" s="2" t="s">
        <v>23</v>
      </c>
      <c r="Q2641" s="2" t="s">
        <v>20</v>
      </c>
    </row>
    <row r="2642" customFormat="false" ht="15" hidden="false" customHeight="false" outlineLevel="0" collapsed="false">
      <c r="A2642" s="2" t="n">
        <v>27</v>
      </c>
      <c r="B2642" s="2" t="s">
        <v>40</v>
      </c>
      <c r="C2642" s="2" t="s">
        <v>30</v>
      </c>
      <c r="D2642" s="2" t="s">
        <v>31</v>
      </c>
      <c r="E2642" s="2" t="s">
        <v>20</v>
      </c>
      <c r="F2642" s="2" t="n">
        <v>3672</v>
      </c>
      <c r="G2642" s="2" t="s">
        <v>26</v>
      </c>
      <c r="H2642" s="2" t="s">
        <v>20</v>
      </c>
      <c r="I2642" s="2" t="s">
        <v>21</v>
      </c>
      <c r="J2642" s="2" t="n">
        <v>15</v>
      </c>
      <c r="K2642" s="2" t="s">
        <v>27</v>
      </c>
      <c r="L2642" s="2" t="n">
        <v>157</v>
      </c>
      <c r="M2642" s="2" t="n">
        <v>2</v>
      </c>
      <c r="N2642" s="2" t="n">
        <v>351</v>
      </c>
      <c r="O2642" s="2" t="n">
        <v>5</v>
      </c>
      <c r="P2642" s="2" t="s">
        <v>28</v>
      </c>
      <c r="Q2642" s="2" t="s">
        <v>20</v>
      </c>
    </row>
    <row r="2643" customFormat="false" ht="15" hidden="false" customHeight="false" outlineLevel="0" collapsed="false">
      <c r="A2643" s="2" t="n">
        <v>73</v>
      </c>
      <c r="B2643" s="2" t="s">
        <v>48</v>
      </c>
      <c r="C2643" s="2" t="s">
        <v>18</v>
      </c>
      <c r="D2643" s="2" t="s">
        <v>25</v>
      </c>
      <c r="E2643" s="2" t="s">
        <v>20</v>
      </c>
      <c r="F2643" s="2" t="n">
        <v>19</v>
      </c>
      <c r="G2643" s="2" t="s">
        <v>20</v>
      </c>
      <c r="H2643" s="2" t="s">
        <v>20</v>
      </c>
      <c r="I2643" s="2" t="s">
        <v>21</v>
      </c>
      <c r="J2643" s="2" t="n">
        <v>5</v>
      </c>
      <c r="K2643" s="2" t="s">
        <v>46</v>
      </c>
      <c r="L2643" s="2" t="n">
        <v>509</v>
      </c>
      <c r="M2643" s="2" t="n">
        <v>2</v>
      </c>
      <c r="N2643" s="2" t="n">
        <v>-1</v>
      </c>
      <c r="O2643" s="2" t="n">
        <v>0</v>
      </c>
      <c r="P2643" s="2" t="s">
        <v>23</v>
      </c>
      <c r="Q2643" s="2" t="s">
        <v>20</v>
      </c>
    </row>
    <row r="2644" customFormat="false" ht="15" hidden="false" customHeight="false" outlineLevel="0" collapsed="false">
      <c r="A2644" s="2" t="n">
        <v>46</v>
      </c>
      <c r="B2644" s="2" t="s">
        <v>34</v>
      </c>
      <c r="C2644" s="2" t="s">
        <v>18</v>
      </c>
      <c r="D2644" s="2" t="s">
        <v>19</v>
      </c>
      <c r="E2644" s="2" t="s">
        <v>20</v>
      </c>
      <c r="F2644" s="2" t="n">
        <v>143</v>
      </c>
      <c r="G2644" s="2" t="s">
        <v>26</v>
      </c>
      <c r="H2644" s="2" t="s">
        <v>20</v>
      </c>
      <c r="I2644" s="2" t="s">
        <v>23</v>
      </c>
      <c r="J2644" s="2" t="n">
        <v>7</v>
      </c>
      <c r="K2644" s="2" t="s">
        <v>27</v>
      </c>
      <c r="L2644" s="2" t="n">
        <v>279</v>
      </c>
      <c r="M2644" s="2" t="n">
        <v>1</v>
      </c>
      <c r="N2644" s="2" t="n">
        <v>-1</v>
      </c>
      <c r="O2644" s="2" t="n">
        <v>0</v>
      </c>
      <c r="P2644" s="2" t="s">
        <v>23</v>
      </c>
      <c r="Q2644" s="2" t="s">
        <v>20</v>
      </c>
    </row>
    <row r="2645" customFormat="false" ht="15" hidden="false" customHeight="false" outlineLevel="0" collapsed="false">
      <c r="A2645" s="2" t="n">
        <v>56</v>
      </c>
      <c r="B2645" s="2" t="s">
        <v>48</v>
      </c>
      <c r="C2645" s="2" t="s">
        <v>45</v>
      </c>
      <c r="D2645" s="2" t="s">
        <v>25</v>
      </c>
      <c r="E2645" s="2" t="s">
        <v>20</v>
      </c>
      <c r="F2645" s="2" t="n">
        <v>212</v>
      </c>
      <c r="G2645" s="2" t="s">
        <v>20</v>
      </c>
      <c r="H2645" s="2" t="s">
        <v>26</v>
      </c>
      <c r="I2645" s="2" t="s">
        <v>49</v>
      </c>
      <c r="J2645" s="2" t="n">
        <v>17</v>
      </c>
      <c r="K2645" s="2" t="s">
        <v>44</v>
      </c>
      <c r="L2645" s="2" t="n">
        <v>27</v>
      </c>
      <c r="M2645" s="2" t="n">
        <v>1</v>
      </c>
      <c r="N2645" s="2" t="n">
        <v>-1</v>
      </c>
      <c r="O2645" s="2" t="n">
        <v>0</v>
      </c>
      <c r="P2645" s="2" t="s">
        <v>23</v>
      </c>
      <c r="Q2645" s="2" t="s">
        <v>20</v>
      </c>
    </row>
    <row r="2646" customFormat="false" ht="15" hidden="false" customHeight="false" outlineLevel="0" collapsed="false">
      <c r="A2646" s="2" t="n">
        <v>36</v>
      </c>
      <c r="B2646" s="2" t="s">
        <v>29</v>
      </c>
      <c r="C2646" s="2" t="s">
        <v>18</v>
      </c>
      <c r="D2646" s="2" t="s">
        <v>31</v>
      </c>
      <c r="E2646" s="2" t="s">
        <v>20</v>
      </c>
      <c r="F2646" s="2" t="n">
        <v>9</v>
      </c>
      <c r="G2646" s="2" t="s">
        <v>20</v>
      </c>
      <c r="H2646" s="2" t="s">
        <v>20</v>
      </c>
      <c r="I2646" s="2" t="s">
        <v>21</v>
      </c>
      <c r="J2646" s="2" t="n">
        <v>11</v>
      </c>
      <c r="K2646" s="2" t="s">
        <v>41</v>
      </c>
      <c r="L2646" s="2" t="n">
        <v>386</v>
      </c>
      <c r="M2646" s="2" t="n">
        <v>4</v>
      </c>
      <c r="N2646" s="2" t="n">
        <v>-1</v>
      </c>
      <c r="O2646" s="2" t="n">
        <v>0</v>
      </c>
      <c r="P2646" s="2" t="s">
        <v>23</v>
      </c>
      <c r="Q2646" s="2" t="s">
        <v>26</v>
      </c>
    </row>
    <row r="2647" customFormat="false" ht="15" hidden="false" customHeight="false" outlineLevel="0" collapsed="false">
      <c r="A2647" s="2" t="n">
        <v>33</v>
      </c>
      <c r="B2647" s="2" t="s">
        <v>34</v>
      </c>
      <c r="C2647" s="2" t="s">
        <v>18</v>
      </c>
      <c r="D2647" s="2" t="s">
        <v>19</v>
      </c>
      <c r="E2647" s="2" t="s">
        <v>20</v>
      </c>
      <c r="F2647" s="2" t="n">
        <v>3074</v>
      </c>
      <c r="G2647" s="2" t="s">
        <v>20</v>
      </c>
      <c r="H2647" s="2" t="s">
        <v>20</v>
      </c>
      <c r="I2647" s="2" t="s">
        <v>21</v>
      </c>
      <c r="J2647" s="2" t="n">
        <v>18</v>
      </c>
      <c r="K2647" s="2" t="s">
        <v>46</v>
      </c>
      <c r="L2647" s="2" t="n">
        <v>679</v>
      </c>
      <c r="M2647" s="2" t="n">
        <v>1</v>
      </c>
      <c r="N2647" s="2" t="n">
        <v>-1</v>
      </c>
      <c r="O2647" s="2" t="n">
        <v>0</v>
      </c>
      <c r="P2647" s="2" t="s">
        <v>23</v>
      </c>
      <c r="Q2647" s="2" t="s">
        <v>20</v>
      </c>
    </row>
    <row r="2648" customFormat="false" ht="15" hidden="false" customHeight="false" outlineLevel="0" collapsed="false">
      <c r="A2648" s="2" t="n">
        <v>40</v>
      </c>
      <c r="B2648" s="2" t="s">
        <v>29</v>
      </c>
      <c r="C2648" s="2" t="s">
        <v>18</v>
      </c>
      <c r="D2648" s="2" t="s">
        <v>31</v>
      </c>
      <c r="E2648" s="2" t="s">
        <v>20</v>
      </c>
      <c r="F2648" s="2" t="n">
        <v>1734</v>
      </c>
      <c r="G2648" s="2" t="s">
        <v>26</v>
      </c>
      <c r="H2648" s="2" t="s">
        <v>20</v>
      </c>
      <c r="I2648" s="2" t="s">
        <v>23</v>
      </c>
      <c r="J2648" s="2" t="n">
        <v>2</v>
      </c>
      <c r="K2648" s="2" t="s">
        <v>33</v>
      </c>
      <c r="L2648" s="2" t="n">
        <v>169</v>
      </c>
      <c r="M2648" s="2" t="n">
        <v>1</v>
      </c>
      <c r="N2648" s="2" t="n">
        <v>-1</v>
      </c>
      <c r="O2648" s="2" t="n">
        <v>0</v>
      </c>
      <c r="P2648" s="2" t="s">
        <v>23</v>
      </c>
      <c r="Q2648" s="2" t="s">
        <v>20</v>
      </c>
    </row>
    <row r="2649" customFormat="false" ht="15" hidden="false" customHeight="false" outlineLevel="0" collapsed="false">
      <c r="A2649" s="2" t="n">
        <v>52</v>
      </c>
      <c r="B2649" s="2" t="s">
        <v>29</v>
      </c>
      <c r="C2649" s="2" t="s">
        <v>18</v>
      </c>
      <c r="D2649" s="2" t="s">
        <v>31</v>
      </c>
      <c r="E2649" s="2" t="s">
        <v>20</v>
      </c>
      <c r="F2649" s="2" t="n">
        <v>575</v>
      </c>
      <c r="G2649" s="2" t="s">
        <v>20</v>
      </c>
      <c r="H2649" s="2" t="s">
        <v>20</v>
      </c>
      <c r="I2649" s="2" t="s">
        <v>23</v>
      </c>
      <c r="J2649" s="2" t="n">
        <v>3</v>
      </c>
      <c r="K2649" s="2" t="s">
        <v>33</v>
      </c>
      <c r="L2649" s="2" t="n">
        <v>315</v>
      </c>
      <c r="M2649" s="2" t="n">
        <v>1</v>
      </c>
      <c r="N2649" s="2" t="n">
        <v>-1</v>
      </c>
      <c r="O2649" s="2" t="n">
        <v>0</v>
      </c>
      <c r="P2649" s="2" t="s">
        <v>23</v>
      </c>
      <c r="Q2649" s="2" t="s">
        <v>20</v>
      </c>
    </row>
    <row r="2650" customFormat="false" ht="15" hidden="false" customHeight="false" outlineLevel="0" collapsed="false">
      <c r="A2650" s="2" t="n">
        <v>51</v>
      </c>
      <c r="B2650" s="2" t="s">
        <v>34</v>
      </c>
      <c r="C2650" s="2" t="s">
        <v>18</v>
      </c>
      <c r="D2650" s="2" t="s">
        <v>25</v>
      </c>
      <c r="E2650" s="2" t="s">
        <v>20</v>
      </c>
      <c r="F2650" s="2" t="n">
        <v>397</v>
      </c>
      <c r="G2650" s="2" t="s">
        <v>26</v>
      </c>
      <c r="H2650" s="2" t="s">
        <v>20</v>
      </c>
      <c r="I2650" s="2" t="s">
        <v>21</v>
      </c>
      <c r="J2650" s="2" t="n">
        <v>20</v>
      </c>
      <c r="K2650" s="2" t="s">
        <v>41</v>
      </c>
      <c r="L2650" s="2" t="n">
        <v>293</v>
      </c>
      <c r="M2650" s="2" t="n">
        <v>2</v>
      </c>
      <c r="N2650" s="2" t="n">
        <v>-1</v>
      </c>
      <c r="O2650" s="2" t="n">
        <v>0</v>
      </c>
      <c r="P2650" s="2" t="s">
        <v>23</v>
      </c>
      <c r="Q2650" s="2" t="s">
        <v>20</v>
      </c>
    </row>
    <row r="2651" customFormat="false" ht="15" hidden="false" customHeight="false" outlineLevel="0" collapsed="false">
      <c r="A2651" s="2" t="n">
        <v>33</v>
      </c>
      <c r="B2651" s="2" t="s">
        <v>34</v>
      </c>
      <c r="C2651" s="2" t="s">
        <v>18</v>
      </c>
      <c r="D2651" s="2" t="s">
        <v>25</v>
      </c>
      <c r="E2651" s="2" t="s">
        <v>20</v>
      </c>
      <c r="F2651" s="2" t="n">
        <v>640</v>
      </c>
      <c r="G2651" s="2" t="s">
        <v>26</v>
      </c>
      <c r="H2651" s="2" t="s">
        <v>20</v>
      </c>
      <c r="I2651" s="2" t="s">
        <v>21</v>
      </c>
      <c r="J2651" s="2" t="n">
        <v>3</v>
      </c>
      <c r="K2651" s="2" t="s">
        <v>35</v>
      </c>
      <c r="L2651" s="2" t="n">
        <v>439</v>
      </c>
      <c r="M2651" s="2" t="n">
        <v>3</v>
      </c>
      <c r="N2651" s="2" t="n">
        <v>-1</v>
      </c>
      <c r="O2651" s="2" t="n">
        <v>0</v>
      </c>
      <c r="P2651" s="2" t="s">
        <v>23</v>
      </c>
      <c r="Q2651" s="2" t="s">
        <v>20</v>
      </c>
    </row>
    <row r="2652" customFormat="false" ht="15" hidden="false" customHeight="false" outlineLevel="0" collapsed="false">
      <c r="A2652" s="2" t="n">
        <v>54</v>
      </c>
      <c r="B2652" s="2" t="s">
        <v>24</v>
      </c>
      <c r="C2652" s="2" t="s">
        <v>18</v>
      </c>
      <c r="D2652" s="2" t="s">
        <v>25</v>
      </c>
      <c r="E2652" s="2" t="s">
        <v>20</v>
      </c>
      <c r="F2652" s="2" t="n">
        <v>158</v>
      </c>
      <c r="G2652" s="2" t="s">
        <v>26</v>
      </c>
      <c r="H2652" s="2" t="s">
        <v>20</v>
      </c>
      <c r="I2652" s="2" t="s">
        <v>23</v>
      </c>
      <c r="J2652" s="2" t="n">
        <v>19</v>
      </c>
      <c r="K2652" s="2" t="s">
        <v>27</v>
      </c>
      <c r="L2652" s="2" t="n">
        <v>198</v>
      </c>
      <c r="M2652" s="2" t="n">
        <v>1</v>
      </c>
      <c r="N2652" s="2" t="n">
        <v>-1</v>
      </c>
      <c r="O2652" s="2" t="n">
        <v>0</v>
      </c>
      <c r="P2652" s="2" t="s">
        <v>23</v>
      </c>
      <c r="Q2652" s="2" t="s">
        <v>20</v>
      </c>
    </row>
    <row r="2653" customFormat="false" ht="15" hidden="false" customHeight="false" outlineLevel="0" collapsed="false">
      <c r="A2653" s="2" t="n">
        <v>44</v>
      </c>
      <c r="B2653" s="2" t="s">
        <v>29</v>
      </c>
      <c r="C2653" s="2" t="s">
        <v>18</v>
      </c>
      <c r="D2653" s="2" t="s">
        <v>25</v>
      </c>
      <c r="E2653" s="2" t="s">
        <v>20</v>
      </c>
      <c r="F2653" s="2" t="n">
        <v>2984</v>
      </c>
      <c r="G2653" s="2" t="s">
        <v>26</v>
      </c>
      <c r="H2653" s="2" t="s">
        <v>20</v>
      </c>
      <c r="I2653" s="2" t="s">
        <v>23</v>
      </c>
      <c r="J2653" s="2" t="n">
        <v>15</v>
      </c>
      <c r="K2653" s="2" t="s">
        <v>27</v>
      </c>
      <c r="L2653" s="2" t="n">
        <v>770</v>
      </c>
      <c r="M2653" s="2" t="n">
        <v>2</v>
      </c>
      <c r="N2653" s="2" t="n">
        <v>-1</v>
      </c>
      <c r="O2653" s="2" t="n">
        <v>0</v>
      </c>
      <c r="P2653" s="2" t="s">
        <v>23</v>
      </c>
      <c r="Q2653" s="2" t="s">
        <v>20</v>
      </c>
    </row>
    <row r="2654" customFormat="false" ht="15" hidden="false" customHeight="false" outlineLevel="0" collapsed="false">
      <c r="A2654" s="2" t="n">
        <v>50</v>
      </c>
      <c r="B2654" s="2" t="s">
        <v>39</v>
      </c>
      <c r="C2654" s="2" t="s">
        <v>18</v>
      </c>
      <c r="D2654" s="2" t="s">
        <v>25</v>
      </c>
      <c r="E2654" s="2" t="s">
        <v>20</v>
      </c>
      <c r="F2654" s="2" t="n">
        <v>1011</v>
      </c>
      <c r="G2654" s="2" t="s">
        <v>26</v>
      </c>
      <c r="H2654" s="2" t="s">
        <v>20</v>
      </c>
      <c r="I2654" s="2" t="s">
        <v>49</v>
      </c>
      <c r="J2654" s="2" t="n">
        <v>30</v>
      </c>
      <c r="K2654" s="2" t="s">
        <v>44</v>
      </c>
      <c r="L2654" s="2" t="n">
        <v>340</v>
      </c>
      <c r="M2654" s="2" t="n">
        <v>2</v>
      </c>
      <c r="N2654" s="2" t="n">
        <v>-1</v>
      </c>
      <c r="O2654" s="2" t="n">
        <v>0</v>
      </c>
      <c r="P2654" s="2" t="s">
        <v>23</v>
      </c>
      <c r="Q2654" s="2" t="s">
        <v>20</v>
      </c>
    </row>
    <row r="2655" customFormat="false" ht="15" hidden="false" customHeight="false" outlineLevel="0" collapsed="false">
      <c r="A2655" s="2" t="n">
        <v>45</v>
      </c>
      <c r="B2655" s="2" t="s">
        <v>34</v>
      </c>
      <c r="C2655" s="2" t="s">
        <v>30</v>
      </c>
      <c r="D2655" s="2" t="s">
        <v>25</v>
      </c>
      <c r="E2655" s="2" t="s">
        <v>20</v>
      </c>
      <c r="F2655" s="2" t="n">
        <v>0</v>
      </c>
      <c r="G2655" s="2" t="s">
        <v>26</v>
      </c>
      <c r="H2655" s="2" t="s">
        <v>20</v>
      </c>
      <c r="I2655" s="2" t="s">
        <v>21</v>
      </c>
      <c r="J2655" s="2" t="n">
        <v>26</v>
      </c>
      <c r="K2655" s="2" t="s">
        <v>32</v>
      </c>
      <c r="L2655" s="2" t="n">
        <v>1472</v>
      </c>
      <c r="M2655" s="2" t="n">
        <v>1</v>
      </c>
      <c r="N2655" s="2" t="n">
        <v>192</v>
      </c>
      <c r="O2655" s="2" t="n">
        <v>4</v>
      </c>
      <c r="P2655" s="2" t="s">
        <v>28</v>
      </c>
      <c r="Q2655" s="2" t="s">
        <v>26</v>
      </c>
    </row>
    <row r="2656" customFormat="false" ht="15" hidden="false" customHeight="false" outlineLevel="0" collapsed="false">
      <c r="A2656" s="2" t="n">
        <v>36</v>
      </c>
      <c r="B2656" s="2" t="s">
        <v>29</v>
      </c>
      <c r="C2656" s="2" t="s">
        <v>18</v>
      </c>
      <c r="D2656" s="2" t="s">
        <v>31</v>
      </c>
      <c r="E2656" s="2" t="s">
        <v>20</v>
      </c>
      <c r="F2656" s="2" t="n">
        <v>1133</v>
      </c>
      <c r="G2656" s="2" t="s">
        <v>26</v>
      </c>
      <c r="H2656" s="2" t="s">
        <v>20</v>
      </c>
      <c r="I2656" s="2" t="s">
        <v>21</v>
      </c>
      <c r="J2656" s="2" t="n">
        <v>4</v>
      </c>
      <c r="K2656" s="2" t="s">
        <v>41</v>
      </c>
      <c r="L2656" s="2" t="n">
        <v>293</v>
      </c>
      <c r="M2656" s="2" t="n">
        <v>1</v>
      </c>
      <c r="N2656" s="2" t="n">
        <v>181</v>
      </c>
      <c r="O2656" s="2" t="n">
        <v>2</v>
      </c>
      <c r="P2656" s="2" t="s">
        <v>37</v>
      </c>
      <c r="Q2656" s="2" t="s">
        <v>26</v>
      </c>
    </row>
    <row r="2657" customFormat="false" ht="15" hidden="false" customHeight="false" outlineLevel="0" collapsed="false">
      <c r="A2657" s="2" t="n">
        <v>42</v>
      </c>
      <c r="B2657" s="2" t="s">
        <v>38</v>
      </c>
      <c r="C2657" s="2" t="s">
        <v>18</v>
      </c>
      <c r="D2657" s="2" t="s">
        <v>25</v>
      </c>
      <c r="E2657" s="2" t="s">
        <v>20</v>
      </c>
      <c r="F2657" s="2" t="n">
        <v>4945</v>
      </c>
      <c r="G2657" s="2" t="s">
        <v>26</v>
      </c>
      <c r="H2657" s="2" t="s">
        <v>20</v>
      </c>
      <c r="I2657" s="2" t="s">
        <v>21</v>
      </c>
      <c r="J2657" s="2" t="n">
        <v>2</v>
      </c>
      <c r="K2657" s="2" t="s">
        <v>52</v>
      </c>
      <c r="L2657" s="2" t="n">
        <v>311</v>
      </c>
      <c r="M2657" s="2" t="n">
        <v>2</v>
      </c>
      <c r="N2657" s="2" t="n">
        <v>-1</v>
      </c>
      <c r="O2657" s="2" t="n">
        <v>0</v>
      </c>
      <c r="P2657" s="2" t="s">
        <v>23</v>
      </c>
      <c r="Q2657" s="2" t="s">
        <v>26</v>
      </c>
    </row>
    <row r="2658" customFormat="false" ht="15" hidden="false" customHeight="false" outlineLevel="0" collapsed="false">
      <c r="A2658" s="2" t="n">
        <v>37</v>
      </c>
      <c r="B2658" s="2" t="s">
        <v>38</v>
      </c>
      <c r="C2658" s="2" t="s">
        <v>18</v>
      </c>
      <c r="D2658" s="2" t="s">
        <v>25</v>
      </c>
      <c r="E2658" s="2" t="s">
        <v>20</v>
      </c>
      <c r="F2658" s="2" t="n">
        <v>712</v>
      </c>
      <c r="G2658" s="2" t="s">
        <v>26</v>
      </c>
      <c r="H2658" s="2" t="s">
        <v>20</v>
      </c>
      <c r="I2658" s="2" t="s">
        <v>21</v>
      </c>
      <c r="J2658" s="2" t="n">
        <v>18</v>
      </c>
      <c r="K2658" s="2" t="s">
        <v>46</v>
      </c>
      <c r="L2658" s="2" t="n">
        <v>291</v>
      </c>
      <c r="M2658" s="2" t="n">
        <v>2</v>
      </c>
      <c r="N2658" s="2" t="n">
        <v>-1</v>
      </c>
      <c r="O2658" s="2" t="n">
        <v>0</v>
      </c>
      <c r="P2658" s="2" t="s">
        <v>23</v>
      </c>
      <c r="Q2658" s="2" t="s">
        <v>20</v>
      </c>
    </row>
    <row r="2659" customFormat="false" ht="15" hidden="false" customHeight="false" outlineLevel="0" collapsed="false">
      <c r="A2659" s="2" t="n">
        <v>28</v>
      </c>
      <c r="B2659" s="2" t="s">
        <v>24</v>
      </c>
      <c r="C2659" s="2" t="s">
        <v>30</v>
      </c>
      <c r="D2659" s="2" t="s">
        <v>25</v>
      </c>
      <c r="E2659" s="2" t="s">
        <v>20</v>
      </c>
      <c r="F2659" s="2" t="n">
        <v>-427</v>
      </c>
      <c r="G2659" s="2" t="s">
        <v>26</v>
      </c>
      <c r="H2659" s="2" t="s">
        <v>26</v>
      </c>
      <c r="I2659" s="2" t="s">
        <v>23</v>
      </c>
      <c r="J2659" s="2" t="n">
        <v>21</v>
      </c>
      <c r="K2659" s="2" t="s">
        <v>27</v>
      </c>
      <c r="L2659" s="2" t="n">
        <v>965</v>
      </c>
      <c r="M2659" s="2" t="n">
        <v>2</v>
      </c>
      <c r="N2659" s="2" t="n">
        <v>-1</v>
      </c>
      <c r="O2659" s="2" t="n">
        <v>0</v>
      </c>
      <c r="P2659" s="2" t="s">
        <v>23</v>
      </c>
      <c r="Q2659" s="2" t="s">
        <v>20</v>
      </c>
    </row>
    <row r="2660" customFormat="false" ht="15" hidden="false" customHeight="false" outlineLevel="0" collapsed="false">
      <c r="A2660" s="2" t="n">
        <v>56</v>
      </c>
      <c r="B2660" s="2" t="s">
        <v>40</v>
      </c>
      <c r="C2660" s="2" t="s">
        <v>18</v>
      </c>
      <c r="D2660" s="2" t="s">
        <v>25</v>
      </c>
      <c r="E2660" s="2" t="s">
        <v>20</v>
      </c>
      <c r="F2660" s="2" t="n">
        <v>2146</v>
      </c>
      <c r="G2660" s="2" t="s">
        <v>20</v>
      </c>
      <c r="H2660" s="2" t="s">
        <v>26</v>
      </c>
      <c r="I2660" s="2" t="s">
        <v>23</v>
      </c>
      <c r="J2660" s="2" t="n">
        <v>9</v>
      </c>
      <c r="K2660" s="2" t="s">
        <v>33</v>
      </c>
      <c r="L2660" s="2" t="n">
        <v>594</v>
      </c>
      <c r="M2660" s="2" t="n">
        <v>1</v>
      </c>
      <c r="N2660" s="2" t="n">
        <v>-1</v>
      </c>
      <c r="O2660" s="2" t="n">
        <v>0</v>
      </c>
      <c r="P2660" s="2" t="s">
        <v>23</v>
      </c>
      <c r="Q2660" s="2" t="s">
        <v>20</v>
      </c>
    </row>
    <row r="2661" customFormat="false" ht="15" hidden="false" customHeight="false" outlineLevel="0" collapsed="false">
      <c r="A2661" s="2" t="n">
        <v>59</v>
      </c>
      <c r="B2661" s="2" t="s">
        <v>40</v>
      </c>
      <c r="C2661" s="2" t="s">
        <v>18</v>
      </c>
      <c r="D2661" s="2" t="s">
        <v>25</v>
      </c>
      <c r="E2661" s="2" t="s">
        <v>20</v>
      </c>
      <c r="F2661" s="2" t="n">
        <v>92</v>
      </c>
      <c r="G2661" s="2" t="s">
        <v>26</v>
      </c>
      <c r="H2661" s="2" t="s">
        <v>20</v>
      </c>
      <c r="I2661" s="2" t="s">
        <v>21</v>
      </c>
      <c r="J2661" s="2" t="n">
        <v>12</v>
      </c>
      <c r="K2661" s="2" t="s">
        <v>27</v>
      </c>
      <c r="L2661" s="2" t="n">
        <v>139</v>
      </c>
      <c r="M2661" s="2" t="n">
        <v>2</v>
      </c>
      <c r="N2661" s="2" t="n">
        <v>350</v>
      </c>
      <c r="O2661" s="2" t="n">
        <v>1</v>
      </c>
      <c r="P2661" s="2" t="s">
        <v>28</v>
      </c>
      <c r="Q2661" s="2" t="s">
        <v>20</v>
      </c>
    </row>
    <row r="2662" customFormat="false" ht="15" hidden="false" customHeight="false" outlineLevel="0" collapsed="false">
      <c r="A2662" s="2" t="n">
        <v>32</v>
      </c>
      <c r="B2662" s="2" t="s">
        <v>17</v>
      </c>
      <c r="C2662" s="2" t="s">
        <v>18</v>
      </c>
      <c r="D2662" s="2" t="s">
        <v>25</v>
      </c>
      <c r="E2662" s="2" t="s">
        <v>20</v>
      </c>
      <c r="F2662" s="2" t="n">
        <v>10</v>
      </c>
      <c r="G2662" s="2" t="s">
        <v>26</v>
      </c>
      <c r="H2662" s="2" t="s">
        <v>20</v>
      </c>
      <c r="I2662" s="2" t="s">
        <v>23</v>
      </c>
      <c r="J2662" s="2" t="n">
        <v>6</v>
      </c>
      <c r="K2662" s="2" t="s">
        <v>27</v>
      </c>
      <c r="L2662" s="2" t="n">
        <v>501</v>
      </c>
      <c r="M2662" s="2" t="n">
        <v>4</v>
      </c>
      <c r="N2662" s="2" t="n">
        <v>-1</v>
      </c>
      <c r="O2662" s="2" t="n">
        <v>0</v>
      </c>
      <c r="P2662" s="2" t="s">
        <v>23</v>
      </c>
      <c r="Q2662" s="2" t="s">
        <v>20</v>
      </c>
    </row>
    <row r="2663" customFormat="false" ht="15" hidden="false" customHeight="false" outlineLevel="0" collapsed="false">
      <c r="A2663" s="2" t="n">
        <v>57</v>
      </c>
      <c r="B2663" s="2" t="s">
        <v>48</v>
      </c>
      <c r="C2663" s="2" t="s">
        <v>18</v>
      </c>
      <c r="D2663" s="2" t="s">
        <v>19</v>
      </c>
      <c r="E2663" s="2" t="s">
        <v>20</v>
      </c>
      <c r="F2663" s="2" t="n">
        <v>1238</v>
      </c>
      <c r="G2663" s="2" t="s">
        <v>26</v>
      </c>
      <c r="H2663" s="2" t="s">
        <v>20</v>
      </c>
      <c r="I2663" s="2" t="s">
        <v>21</v>
      </c>
      <c r="J2663" s="2" t="n">
        <v>15</v>
      </c>
      <c r="K2663" s="2" t="s">
        <v>44</v>
      </c>
      <c r="L2663" s="2" t="n">
        <v>274</v>
      </c>
      <c r="M2663" s="2" t="n">
        <v>1</v>
      </c>
      <c r="N2663" s="2" t="n">
        <v>-1</v>
      </c>
      <c r="O2663" s="2" t="n">
        <v>0</v>
      </c>
      <c r="P2663" s="2" t="s">
        <v>23</v>
      </c>
      <c r="Q2663" s="2" t="s">
        <v>20</v>
      </c>
    </row>
    <row r="2664" customFormat="false" ht="15" hidden="false" customHeight="false" outlineLevel="0" collapsed="false">
      <c r="A2664" s="2" t="n">
        <v>49</v>
      </c>
      <c r="B2664" s="2" t="s">
        <v>40</v>
      </c>
      <c r="C2664" s="2" t="s">
        <v>30</v>
      </c>
      <c r="D2664" s="2" t="s">
        <v>25</v>
      </c>
      <c r="E2664" s="2" t="s">
        <v>20</v>
      </c>
      <c r="F2664" s="2" t="n">
        <v>981</v>
      </c>
      <c r="G2664" s="2" t="s">
        <v>26</v>
      </c>
      <c r="H2664" s="2" t="s">
        <v>20</v>
      </c>
      <c r="I2664" s="2" t="s">
        <v>49</v>
      </c>
      <c r="J2664" s="2" t="n">
        <v>21</v>
      </c>
      <c r="K2664" s="2" t="s">
        <v>46</v>
      </c>
      <c r="L2664" s="2" t="n">
        <v>10</v>
      </c>
      <c r="M2664" s="2" t="n">
        <v>3</v>
      </c>
      <c r="N2664" s="2" t="n">
        <v>-1</v>
      </c>
      <c r="O2664" s="2" t="n">
        <v>0</v>
      </c>
      <c r="P2664" s="2" t="s">
        <v>23</v>
      </c>
      <c r="Q2664" s="2" t="s">
        <v>20</v>
      </c>
    </row>
    <row r="2665" customFormat="false" ht="15" hidden="false" customHeight="false" outlineLevel="0" collapsed="false">
      <c r="A2665" s="2" t="n">
        <v>56</v>
      </c>
      <c r="B2665" s="2" t="s">
        <v>39</v>
      </c>
      <c r="C2665" s="2" t="s">
        <v>18</v>
      </c>
      <c r="D2665" s="2" t="s">
        <v>23</v>
      </c>
      <c r="E2665" s="2" t="s">
        <v>20</v>
      </c>
      <c r="F2665" s="2" t="n">
        <v>575</v>
      </c>
      <c r="G2665" s="2" t="s">
        <v>20</v>
      </c>
      <c r="H2665" s="2" t="s">
        <v>20</v>
      </c>
      <c r="I2665" s="2" t="s">
        <v>23</v>
      </c>
      <c r="J2665" s="2" t="n">
        <v>20</v>
      </c>
      <c r="K2665" s="2" t="s">
        <v>33</v>
      </c>
      <c r="L2665" s="2" t="n">
        <v>18</v>
      </c>
      <c r="M2665" s="2" t="n">
        <v>2</v>
      </c>
      <c r="N2665" s="2" t="n">
        <v>-1</v>
      </c>
      <c r="O2665" s="2" t="n">
        <v>0</v>
      </c>
      <c r="P2665" s="2" t="s">
        <v>23</v>
      </c>
      <c r="Q2665" s="2" t="s">
        <v>20</v>
      </c>
    </row>
    <row r="2666" customFormat="false" ht="15" hidden="false" customHeight="false" outlineLevel="0" collapsed="false">
      <c r="A2666" s="2" t="n">
        <v>48</v>
      </c>
      <c r="B2666" s="2" t="s">
        <v>40</v>
      </c>
      <c r="C2666" s="2" t="s">
        <v>45</v>
      </c>
      <c r="D2666" s="2" t="s">
        <v>23</v>
      </c>
      <c r="E2666" s="2" t="s">
        <v>20</v>
      </c>
      <c r="F2666" s="2" t="n">
        <v>-70</v>
      </c>
      <c r="G2666" s="2" t="s">
        <v>20</v>
      </c>
      <c r="H2666" s="2" t="s">
        <v>20</v>
      </c>
      <c r="I2666" s="2" t="s">
        <v>21</v>
      </c>
      <c r="J2666" s="2" t="n">
        <v>14</v>
      </c>
      <c r="K2666" s="2" t="s">
        <v>27</v>
      </c>
      <c r="L2666" s="2" t="n">
        <v>243</v>
      </c>
      <c r="M2666" s="2" t="n">
        <v>1</v>
      </c>
      <c r="N2666" s="2" t="n">
        <v>-1</v>
      </c>
      <c r="O2666" s="2" t="n">
        <v>0</v>
      </c>
      <c r="P2666" s="2" t="s">
        <v>23</v>
      </c>
      <c r="Q2666" s="2" t="s">
        <v>20</v>
      </c>
    </row>
    <row r="2667" customFormat="false" ht="15" hidden="false" customHeight="false" outlineLevel="0" collapsed="false">
      <c r="A2667" s="2" t="n">
        <v>27</v>
      </c>
      <c r="B2667" s="2" t="s">
        <v>42</v>
      </c>
      <c r="C2667" s="2" t="s">
        <v>30</v>
      </c>
      <c r="D2667" s="2" t="s">
        <v>31</v>
      </c>
      <c r="E2667" s="2" t="s">
        <v>20</v>
      </c>
      <c r="F2667" s="2" t="n">
        <v>3733</v>
      </c>
      <c r="G2667" s="2" t="s">
        <v>26</v>
      </c>
      <c r="H2667" s="2" t="s">
        <v>20</v>
      </c>
      <c r="I2667" s="2" t="s">
        <v>21</v>
      </c>
      <c r="J2667" s="2" t="n">
        <v>22</v>
      </c>
      <c r="K2667" s="2" t="s">
        <v>27</v>
      </c>
      <c r="L2667" s="2" t="n">
        <v>198</v>
      </c>
      <c r="M2667" s="2" t="n">
        <v>1</v>
      </c>
      <c r="N2667" s="2" t="n">
        <v>98</v>
      </c>
      <c r="O2667" s="2" t="n">
        <v>6</v>
      </c>
      <c r="P2667" s="2" t="s">
        <v>50</v>
      </c>
      <c r="Q2667" s="2" t="s">
        <v>26</v>
      </c>
    </row>
    <row r="2668" customFormat="false" ht="15" hidden="false" customHeight="false" outlineLevel="0" collapsed="false">
      <c r="A2668" s="2" t="n">
        <v>31</v>
      </c>
      <c r="B2668" s="2" t="s">
        <v>29</v>
      </c>
      <c r="C2668" s="2" t="s">
        <v>30</v>
      </c>
      <c r="D2668" s="2" t="s">
        <v>31</v>
      </c>
      <c r="E2668" s="2" t="s">
        <v>20</v>
      </c>
      <c r="F2668" s="2" t="n">
        <v>574</v>
      </c>
      <c r="G2668" s="2" t="s">
        <v>26</v>
      </c>
      <c r="H2668" s="2" t="s">
        <v>20</v>
      </c>
      <c r="I2668" s="2" t="s">
        <v>21</v>
      </c>
      <c r="J2668" s="2" t="n">
        <v>16</v>
      </c>
      <c r="K2668" s="2" t="s">
        <v>44</v>
      </c>
      <c r="L2668" s="2" t="n">
        <v>410</v>
      </c>
      <c r="M2668" s="2" t="n">
        <v>2</v>
      </c>
      <c r="N2668" s="2" t="n">
        <v>-1</v>
      </c>
      <c r="O2668" s="2" t="n">
        <v>0</v>
      </c>
      <c r="P2668" s="2" t="s">
        <v>23</v>
      </c>
      <c r="Q2668" s="2" t="s">
        <v>20</v>
      </c>
    </row>
    <row r="2669" customFormat="false" ht="15" hidden="false" customHeight="false" outlineLevel="0" collapsed="false">
      <c r="A2669" s="2" t="n">
        <v>28</v>
      </c>
      <c r="B2669" s="2" t="s">
        <v>34</v>
      </c>
      <c r="C2669" s="2" t="s">
        <v>30</v>
      </c>
      <c r="D2669" s="2" t="s">
        <v>25</v>
      </c>
      <c r="E2669" s="2" t="s">
        <v>20</v>
      </c>
      <c r="F2669" s="2" t="n">
        <v>43</v>
      </c>
      <c r="G2669" s="2" t="s">
        <v>20</v>
      </c>
      <c r="H2669" s="2" t="s">
        <v>20</v>
      </c>
      <c r="I2669" s="2" t="s">
        <v>23</v>
      </c>
      <c r="J2669" s="2" t="n">
        <v>19</v>
      </c>
      <c r="K2669" s="2" t="s">
        <v>27</v>
      </c>
      <c r="L2669" s="2" t="n">
        <v>190</v>
      </c>
      <c r="M2669" s="2" t="n">
        <v>1</v>
      </c>
      <c r="N2669" s="2" t="n">
        <v>-1</v>
      </c>
      <c r="O2669" s="2" t="n">
        <v>0</v>
      </c>
      <c r="P2669" s="2" t="s">
        <v>23</v>
      </c>
      <c r="Q2669" s="2" t="s">
        <v>20</v>
      </c>
    </row>
    <row r="2670" customFormat="false" ht="15" hidden="false" customHeight="false" outlineLevel="0" collapsed="false">
      <c r="A2670" s="2" t="n">
        <v>36</v>
      </c>
      <c r="B2670" s="2" t="s">
        <v>29</v>
      </c>
      <c r="C2670" s="2" t="s">
        <v>18</v>
      </c>
      <c r="D2670" s="2" t="s">
        <v>31</v>
      </c>
      <c r="E2670" s="2" t="s">
        <v>20</v>
      </c>
      <c r="F2670" s="2" t="n">
        <v>428</v>
      </c>
      <c r="G2670" s="2" t="s">
        <v>20</v>
      </c>
      <c r="H2670" s="2" t="s">
        <v>20</v>
      </c>
      <c r="I2670" s="2" t="s">
        <v>23</v>
      </c>
      <c r="J2670" s="2" t="n">
        <v>28</v>
      </c>
      <c r="K2670" s="2" t="s">
        <v>27</v>
      </c>
      <c r="L2670" s="2" t="n">
        <v>121</v>
      </c>
      <c r="M2670" s="2" t="n">
        <v>1</v>
      </c>
      <c r="N2670" s="2" t="n">
        <v>-1</v>
      </c>
      <c r="O2670" s="2" t="n">
        <v>0</v>
      </c>
      <c r="P2670" s="2" t="s">
        <v>23</v>
      </c>
      <c r="Q2670" s="2" t="s">
        <v>20</v>
      </c>
    </row>
    <row r="2671" customFormat="false" ht="15" hidden="false" customHeight="false" outlineLevel="0" collapsed="false">
      <c r="A2671" s="2" t="n">
        <v>58</v>
      </c>
      <c r="B2671" s="2" t="s">
        <v>47</v>
      </c>
      <c r="C2671" s="2" t="s">
        <v>18</v>
      </c>
      <c r="D2671" s="2" t="s">
        <v>19</v>
      </c>
      <c r="E2671" s="2" t="s">
        <v>20</v>
      </c>
      <c r="F2671" s="2" t="n">
        <v>0</v>
      </c>
      <c r="G2671" s="2" t="s">
        <v>26</v>
      </c>
      <c r="H2671" s="2" t="s">
        <v>20</v>
      </c>
      <c r="I2671" s="2" t="s">
        <v>49</v>
      </c>
      <c r="J2671" s="2" t="n">
        <v>9</v>
      </c>
      <c r="K2671" s="2" t="s">
        <v>44</v>
      </c>
      <c r="L2671" s="2" t="n">
        <v>148</v>
      </c>
      <c r="M2671" s="2" t="n">
        <v>1</v>
      </c>
      <c r="N2671" s="2" t="n">
        <v>-1</v>
      </c>
      <c r="O2671" s="2" t="n">
        <v>0</v>
      </c>
      <c r="P2671" s="2" t="s">
        <v>23</v>
      </c>
      <c r="Q2671" s="2" t="s">
        <v>20</v>
      </c>
    </row>
    <row r="2672" customFormat="false" ht="15" hidden="false" customHeight="false" outlineLevel="0" collapsed="false">
      <c r="A2672" s="2" t="n">
        <v>46</v>
      </c>
      <c r="B2672" s="2" t="s">
        <v>40</v>
      </c>
      <c r="C2672" s="2" t="s">
        <v>18</v>
      </c>
      <c r="D2672" s="2" t="s">
        <v>25</v>
      </c>
      <c r="E2672" s="2" t="s">
        <v>20</v>
      </c>
      <c r="F2672" s="2" t="n">
        <v>0</v>
      </c>
      <c r="G2672" s="2" t="s">
        <v>26</v>
      </c>
      <c r="H2672" s="2" t="s">
        <v>26</v>
      </c>
      <c r="I2672" s="2" t="s">
        <v>21</v>
      </c>
      <c r="J2672" s="2" t="n">
        <v>20</v>
      </c>
      <c r="K2672" s="2" t="s">
        <v>32</v>
      </c>
      <c r="L2672" s="2" t="n">
        <v>239</v>
      </c>
      <c r="M2672" s="2" t="n">
        <v>2</v>
      </c>
      <c r="N2672" s="2" t="n">
        <v>259</v>
      </c>
      <c r="O2672" s="2" t="n">
        <v>2</v>
      </c>
      <c r="P2672" s="2" t="s">
        <v>28</v>
      </c>
      <c r="Q2672" s="2" t="s">
        <v>20</v>
      </c>
    </row>
    <row r="2673" customFormat="false" ht="15" hidden="false" customHeight="false" outlineLevel="0" collapsed="false">
      <c r="A2673" s="2" t="n">
        <v>32</v>
      </c>
      <c r="B2673" s="2" t="s">
        <v>29</v>
      </c>
      <c r="C2673" s="2" t="s">
        <v>30</v>
      </c>
      <c r="D2673" s="2" t="s">
        <v>31</v>
      </c>
      <c r="E2673" s="2" t="s">
        <v>20</v>
      </c>
      <c r="F2673" s="2" t="n">
        <v>474</v>
      </c>
      <c r="G2673" s="2" t="s">
        <v>26</v>
      </c>
      <c r="H2673" s="2" t="s">
        <v>20</v>
      </c>
      <c r="I2673" s="2" t="s">
        <v>21</v>
      </c>
      <c r="J2673" s="2" t="n">
        <v>7</v>
      </c>
      <c r="K2673" s="2" t="s">
        <v>41</v>
      </c>
      <c r="L2673" s="2" t="n">
        <v>90</v>
      </c>
      <c r="M2673" s="2" t="n">
        <v>3</v>
      </c>
      <c r="N2673" s="2" t="n">
        <v>-1</v>
      </c>
      <c r="O2673" s="2" t="n">
        <v>0</v>
      </c>
      <c r="P2673" s="2" t="s">
        <v>23</v>
      </c>
      <c r="Q2673" s="2" t="s">
        <v>20</v>
      </c>
    </row>
    <row r="2674" customFormat="false" ht="15" hidden="false" customHeight="false" outlineLevel="0" collapsed="false">
      <c r="A2674" s="2" t="n">
        <v>39</v>
      </c>
      <c r="B2674" s="2" t="s">
        <v>24</v>
      </c>
      <c r="C2674" s="2" t="s">
        <v>18</v>
      </c>
      <c r="D2674" s="2" t="s">
        <v>25</v>
      </c>
      <c r="E2674" s="2" t="s">
        <v>20</v>
      </c>
      <c r="F2674" s="2" t="n">
        <v>-540</v>
      </c>
      <c r="G2674" s="2" t="s">
        <v>20</v>
      </c>
      <c r="H2674" s="2" t="s">
        <v>20</v>
      </c>
      <c r="I2674" s="2" t="s">
        <v>23</v>
      </c>
      <c r="J2674" s="2" t="n">
        <v>6</v>
      </c>
      <c r="K2674" s="2" t="s">
        <v>33</v>
      </c>
      <c r="L2674" s="2" t="n">
        <v>29</v>
      </c>
      <c r="M2674" s="2" t="n">
        <v>1</v>
      </c>
      <c r="N2674" s="2" t="n">
        <v>-1</v>
      </c>
      <c r="O2674" s="2" t="n">
        <v>0</v>
      </c>
      <c r="P2674" s="2" t="s">
        <v>23</v>
      </c>
      <c r="Q2674" s="2" t="s">
        <v>20</v>
      </c>
    </row>
    <row r="2675" customFormat="false" ht="15" hidden="false" customHeight="false" outlineLevel="0" collapsed="false">
      <c r="A2675" s="2" t="n">
        <v>35</v>
      </c>
      <c r="B2675" s="2" t="s">
        <v>36</v>
      </c>
      <c r="C2675" s="2" t="s">
        <v>18</v>
      </c>
      <c r="D2675" s="2" t="s">
        <v>31</v>
      </c>
      <c r="E2675" s="2" t="s">
        <v>20</v>
      </c>
      <c r="F2675" s="2" t="n">
        <v>560</v>
      </c>
      <c r="G2675" s="2" t="s">
        <v>26</v>
      </c>
      <c r="H2675" s="2" t="s">
        <v>20</v>
      </c>
      <c r="I2675" s="2" t="s">
        <v>21</v>
      </c>
      <c r="J2675" s="2" t="n">
        <v>2</v>
      </c>
      <c r="K2675" s="2" t="s">
        <v>32</v>
      </c>
      <c r="L2675" s="2" t="n">
        <v>58</v>
      </c>
      <c r="M2675" s="2" t="n">
        <v>1</v>
      </c>
      <c r="N2675" s="2" t="n">
        <v>136</v>
      </c>
      <c r="O2675" s="2" t="n">
        <v>1</v>
      </c>
      <c r="P2675" s="2" t="s">
        <v>28</v>
      </c>
      <c r="Q2675" s="2" t="s">
        <v>20</v>
      </c>
    </row>
    <row r="2676" customFormat="false" ht="15" hidden="false" customHeight="false" outlineLevel="0" collapsed="false">
      <c r="A2676" s="2" t="n">
        <v>31</v>
      </c>
      <c r="B2676" s="2" t="s">
        <v>29</v>
      </c>
      <c r="C2676" s="2" t="s">
        <v>18</v>
      </c>
      <c r="D2676" s="2" t="s">
        <v>31</v>
      </c>
      <c r="E2676" s="2" t="s">
        <v>20</v>
      </c>
      <c r="F2676" s="2" t="n">
        <v>325</v>
      </c>
      <c r="G2676" s="2" t="s">
        <v>26</v>
      </c>
      <c r="H2676" s="2" t="s">
        <v>20</v>
      </c>
      <c r="I2676" s="2" t="s">
        <v>21</v>
      </c>
      <c r="J2676" s="2" t="n">
        <v>18</v>
      </c>
      <c r="K2676" s="2" t="s">
        <v>44</v>
      </c>
      <c r="L2676" s="2" t="n">
        <v>1139</v>
      </c>
      <c r="M2676" s="2" t="n">
        <v>2</v>
      </c>
      <c r="N2676" s="2" t="n">
        <v>-1</v>
      </c>
      <c r="O2676" s="2" t="n">
        <v>0</v>
      </c>
      <c r="P2676" s="2" t="s">
        <v>23</v>
      </c>
      <c r="Q2676" s="2" t="s">
        <v>26</v>
      </c>
    </row>
    <row r="2677" customFormat="false" ht="15" hidden="false" customHeight="false" outlineLevel="0" collapsed="false">
      <c r="A2677" s="2" t="n">
        <v>29</v>
      </c>
      <c r="B2677" s="2" t="s">
        <v>29</v>
      </c>
      <c r="C2677" s="2" t="s">
        <v>30</v>
      </c>
      <c r="D2677" s="2" t="s">
        <v>31</v>
      </c>
      <c r="E2677" s="2" t="s">
        <v>20</v>
      </c>
      <c r="F2677" s="2" t="n">
        <v>437</v>
      </c>
      <c r="G2677" s="2" t="s">
        <v>20</v>
      </c>
      <c r="H2677" s="2" t="s">
        <v>20</v>
      </c>
      <c r="I2677" s="2" t="s">
        <v>21</v>
      </c>
      <c r="J2677" s="2" t="n">
        <v>5</v>
      </c>
      <c r="K2677" s="2" t="s">
        <v>41</v>
      </c>
      <c r="L2677" s="2" t="n">
        <v>504</v>
      </c>
      <c r="M2677" s="2" t="n">
        <v>1</v>
      </c>
      <c r="N2677" s="2" t="n">
        <v>92</v>
      </c>
      <c r="O2677" s="2" t="n">
        <v>1</v>
      </c>
      <c r="P2677" s="2" t="s">
        <v>50</v>
      </c>
      <c r="Q2677" s="2" t="s">
        <v>26</v>
      </c>
    </row>
    <row r="2678" customFormat="false" ht="15" hidden="false" customHeight="false" outlineLevel="0" collapsed="false">
      <c r="A2678" s="2" t="n">
        <v>48</v>
      </c>
      <c r="B2678" s="2" t="s">
        <v>34</v>
      </c>
      <c r="C2678" s="2" t="s">
        <v>18</v>
      </c>
      <c r="D2678" s="2" t="s">
        <v>19</v>
      </c>
      <c r="E2678" s="2" t="s">
        <v>20</v>
      </c>
      <c r="F2678" s="2" t="n">
        <v>574</v>
      </c>
      <c r="G2678" s="2" t="s">
        <v>20</v>
      </c>
      <c r="H2678" s="2" t="s">
        <v>20</v>
      </c>
      <c r="I2678" s="2" t="s">
        <v>21</v>
      </c>
      <c r="J2678" s="2" t="n">
        <v>5</v>
      </c>
      <c r="K2678" s="2" t="s">
        <v>41</v>
      </c>
      <c r="L2678" s="2" t="n">
        <v>348</v>
      </c>
      <c r="M2678" s="2" t="n">
        <v>1</v>
      </c>
      <c r="N2678" s="2" t="n">
        <v>-1</v>
      </c>
      <c r="O2678" s="2" t="n">
        <v>0</v>
      </c>
      <c r="P2678" s="2" t="s">
        <v>23</v>
      </c>
      <c r="Q2678" s="2" t="s">
        <v>20</v>
      </c>
    </row>
    <row r="2679" customFormat="false" ht="15" hidden="false" customHeight="false" outlineLevel="0" collapsed="false">
      <c r="A2679" s="2" t="n">
        <v>60</v>
      </c>
      <c r="B2679" s="2" t="s">
        <v>48</v>
      </c>
      <c r="C2679" s="2" t="s">
        <v>18</v>
      </c>
      <c r="D2679" s="2" t="s">
        <v>19</v>
      </c>
      <c r="E2679" s="2" t="s">
        <v>20</v>
      </c>
      <c r="F2679" s="2" t="n">
        <v>0</v>
      </c>
      <c r="G2679" s="2" t="s">
        <v>20</v>
      </c>
      <c r="H2679" s="2" t="s">
        <v>20</v>
      </c>
      <c r="I2679" s="2" t="s">
        <v>49</v>
      </c>
      <c r="J2679" s="2" t="n">
        <v>30</v>
      </c>
      <c r="K2679" s="2" t="s">
        <v>44</v>
      </c>
      <c r="L2679" s="2" t="n">
        <v>130</v>
      </c>
      <c r="M2679" s="2" t="n">
        <v>3</v>
      </c>
      <c r="N2679" s="2" t="n">
        <v>-1</v>
      </c>
      <c r="O2679" s="2" t="n">
        <v>0</v>
      </c>
      <c r="P2679" s="2" t="s">
        <v>23</v>
      </c>
      <c r="Q2679" s="2" t="s">
        <v>20</v>
      </c>
    </row>
    <row r="2680" customFormat="false" ht="15" hidden="false" customHeight="false" outlineLevel="0" collapsed="false">
      <c r="A2680" s="2" t="n">
        <v>74</v>
      </c>
      <c r="B2680" s="2" t="s">
        <v>48</v>
      </c>
      <c r="C2680" s="2" t="s">
        <v>18</v>
      </c>
      <c r="D2680" s="2" t="s">
        <v>25</v>
      </c>
      <c r="E2680" s="2" t="s">
        <v>20</v>
      </c>
      <c r="F2680" s="2" t="n">
        <v>935</v>
      </c>
      <c r="G2680" s="2" t="s">
        <v>20</v>
      </c>
      <c r="H2680" s="2" t="s">
        <v>20</v>
      </c>
      <c r="I2680" s="2" t="s">
        <v>21</v>
      </c>
      <c r="J2680" s="2" t="n">
        <v>26</v>
      </c>
      <c r="K2680" s="2" t="s">
        <v>43</v>
      </c>
      <c r="L2680" s="2" t="n">
        <v>100</v>
      </c>
      <c r="M2680" s="2" t="n">
        <v>1</v>
      </c>
      <c r="N2680" s="2" t="n">
        <v>104</v>
      </c>
      <c r="O2680" s="2" t="n">
        <v>1</v>
      </c>
      <c r="P2680" s="2" t="s">
        <v>37</v>
      </c>
      <c r="Q2680" s="2" t="s">
        <v>20</v>
      </c>
    </row>
    <row r="2681" customFormat="false" ht="15" hidden="false" customHeight="false" outlineLevel="0" collapsed="false">
      <c r="A2681" s="2" t="n">
        <v>30</v>
      </c>
      <c r="B2681" s="2" t="s">
        <v>24</v>
      </c>
      <c r="C2681" s="2" t="s">
        <v>18</v>
      </c>
      <c r="D2681" s="2" t="s">
        <v>25</v>
      </c>
      <c r="E2681" s="2" t="s">
        <v>20</v>
      </c>
      <c r="F2681" s="2" t="n">
        <v>699</v>
      </c>
      <c r="G2681" s="2" t="s">
        <v>26</v>
      </c>
      <c r="H2681" s="2" t="s">
        <v>20</v>
      </c>
      <c r="I2681" s="2" t="s">
        <v>23</v>
      </c>
      <c r="J2681" s="2" t="n">
        <v>29</v>
      </c>
      <c r="K2681" s="2" t="s">
        <v>27</v>
      </c>
      <c r="L2681" s="2" t="n">
        <v>544</v>
      </c>
      <c r="M2681" s="2" t="n">
        <v>1</v>
      </c>
      <c r="N2681" s="2" t="n">
        <v>-1</v>
      </c>
      <c r="O2681" s="2" t="n">
        <v>0</v>
      </c>
      <c r="P2681" s="2" t="s">
        <v>23</v>
      </c>
      <c r="Q2681" s="2" t="s">
        <v>20</v>
      </c>
    </row>
    <row r="2682" customFormat="false" ht="15" hidden="false" customHeight="false" outlineLevel="0" collapsed="false">
      <c r="A2682" s="2" t="n">
        <v>52</v>
      </c>
      <c r="B2682" s="2" t="s">
        <v>40</v>
      </c>
      <c r="C2682" s="2" t="s">
        <v>30</v>
      </c>
      <c r="D2682" s="2" t="s">
        <v>19</v>
      </c>
      <c r="E2682" s="2" t="s">
        <v>20</v>
      </c>
      <c r="F2682" s="2" t="n">
        <v>0</v>
      </c>
      <c r="G2682" s="2" t="s">
        <v>20</v>
      </c>
      <c r="H2682" s="2" t="s">
        <v>20</v>
      </c>
      <c r="I2682" s="2" t="s">
        <v>23</v>
      </c>
      <c r="J2682" s="2" t="n">
        <v>19</v>
      </c>
      <c r="K2682" s="2" t="s">
        <v>27</v>
      </c>
      <c r="L2682" s="2" t="n">
        <v>182</v>
      </c>
      <c r="M2682" s="2" t="n">
        <v>11</v>
      </c>
      <c r="N2682" s="2" t="n">
        <v>-1</v>
      </c>
      <c r="O2682" s="2" t="n">
        <v>0</v>
      </c>
      <c r="P2682" s="2" t="s">
        <v>23</v>
      </c>
      <c r="Q2682" s="2" t="s">
        <v>20</v>
      </c>
    </row>
    <row r="2683" customFormat="false" ht="15" hidden="false" customHeight="false" outlineLevel="0" collapsed="false">
      <c r="A2683" s="2" t="n">
        <v>24</v>
      </c>
      <c r="B2683" s="2" t="s">
        <v>34</v>
      </c>
      <c r="C2683" s="2" t="s">
        <v>18</v>
      </c>
      <c r="D2683" s="2" t="s">
        <v>25</v>
      </c>
      <c r="E2683" s="2" t="s">
        <v>20</v>
      </c>
      <c r="F2683" s="2" t="n">
        <v>-220</v>
      </c>
      <c r="G2683" s="2" t="s">
        <v>26</v>
      </c>
      <c r="H2683" s="2" t="s">
        <v>20</v>
      </c>
      <c r="I2683" s="2" t="s">
        <v>21</v>
      </c>
      <c r="J2683" s="2" t="n">
        <v>2</v>
      </c>
      <c r="K2683" s="2" t="s">
        <v>32</v>
      </c>
      <c r="L2683" s="2" t="n">
        <v>90</v>
      </c>
      <c r="M2683" s="2" t="n">
        <v>1</v>
      </c>
      <c r="N2683" s="2" t="n">
        <v>-1</v>
      </c>
      <c r="O2683" s="2" t="n">
        <v>0</v>
      </c>
      <c r="P2683" s="2" t="s">
        <v>23</v>
      </c>
      <c r="Q2683" s="2" t="s">
        <v>20</v>
      </c>
    </row>
    <row r="2684" customFormat="false" ht="15" hidden="false" customHeight="false" outlineLevel="0" collapsed="false">
      <c r="A2684" s="2" t="n">
        <v>29</v>
      </c>
      <c r="B2684" s="2" t="s">
        <v>24</v>
      </c>
      <c r="C2684" s="2" t="s">
        <v>18</v>
      </c>
      <c r="D2684" s="2" t="s">
        <v>25</v>
      </c>
      <c r="E2684" s="2" t="s">
        <v>20</v>
      </c>
      <c r="F2684" s="2" t="n">
        <v>11417</v>
      </c>
      <c r="G2684" s="2" t="s">
        <v>26</v>
      </c>
      <c r="H2684" s="2" t="s">
        <v>20</v>
      </c>
      <c r="I2684" s="2" t="s">
        <v>23</v>
      </c>
      <c r="J2684" s="2" t="n">
        <v>28</v>
      </c>
      <c r="K2684" s="2" t="s">
        <v>27</v>
      </c>
      <c r="L2684" s="2" t="n">
        <v>272</v>
      </c>
      <c r="M2684" s="2" t="n">
        <v>2</v>
      </c>
      <c r="N2684" s="2" t="n">
        <v>-1</v>
      </c>
      <c r="O2684" s="2" t="n">
        <v>0</v>
      </c>
      <c r="P2684" s="2" t="s">
        <v>23</v>
      </c>
      <c r="Q2684" s="2" t="s">
        <v>20</v>
      </c>
    </row>
    <row r="2685" customFormat="false" ht="15" hidden="false" customHeight="false" outlineLevel="0" collapsed="false">
      <c r="A2685" s="2" t="n">
        <v>33</v>
      </c>
      <c r="B2685" s="2" t="s">
        <v>47</v>
      </c>
      <c r="C2685" s="2" t="s">
        <v>18</v>
      </c>
      <c r="D2685" s="2" t="s">
        <v>19</v>
      </c>
      <c r="E2685" s="2" t="s">
        <v>20</v>
      </c>
      <c r="F2685" s="2" t="n">
        <v>212</v>
      </c>
      <c r="G2685" s="2" t="s">
        <v>26</v>
      </c>
      <c r="H2685" s="2" t="s">
        <v>20</v>
      </c>
      <c r="I2685" s="2" t="s">
        <v>21</v>
      </c>
      <c r="J2685" s="2" t="n">
        <v>11</v>
      </c>
      <c r="K2685" s="2" t="s">
        <v>44</v>
      </c>
      <c r="L2685" s="2" t="n">
        <v>260</v>
      </c>
      <c r="M2685" s="2" t="n">
        <v>2</v>
      </c>
      <c r="N2685" s="2" t="n">
        <v>-1</v>
      </c>
      <c r="O2685" s="2" t="n">
        <v>0</v>
      </c>
      <c r="P2685" s="2" t="s">
        <v>23</v>
      </c>
      <c r="Q2685" s="2" t="s">
        <v>20</v>
      </c>
    </row>
    <row r="2686" customFormat="false" ht="15" hidden="false" customHeight="false" outlineLevel="0" collapsed="false">
      <c r="A2686" s="2" t="n">
        <v>34</v>
      </c>
      <c r="B2686" s="2" t="s">
        <v>34</v>
      </c>
      <c r="C2686" s="2" t="s">
        <v>18</v>
      </c>
      <c r="D2686" s="2" t="s">
        <v>25</v>
      </c>
      <c r="E2686" s="2" t="s">
        <v>20</v>
      </c>
      <c r="F2686" s="2" t="n">
        <v>67</v>
      </c>
      <c r="G2686" s="2" t="s">
        <v>26</v>
      </c>
      <c r="H2686" s="2" t="s">
        <v>26</v>
      </c>
      <c r="I2686" s="2" t="s">
        <v>23</v>
      </c>
      <c r="J2686" s="2" t="n">
        <v>8</v>
      </c>
      <c r="K2686" s="2" t="s">
        <v>27</v>
      </c>
      <c r="L2686" s="2" t="n">
        <v>672</v>
      </c>
      <c r="M2686" s="2" t="n">
        <v>3</v>
      </c>
      <c r="N2686" s="2" t="n">
        <v>-1</v>
      </c>
      <c r="O2686" s="2" t="n">
        <v>0</v>
      </c>
      <c r="P2686" s="2" t="s">
        <v>23</v>
      </c>
      <c r="Q2686" s="2" t="s">
        <v>20</v>
      </c>
    </row>
    <row r="2687" customFormat="false" ht="15" hidden="false" customHeight="false" outlineLevel="0" collapsed="false">
      <c r="A2687" s="2" t="n">
        <v>45</v>
      </c>
      <c r="B2687" s="2" t="s">
        <v>40</v>
      </c>
      <c r="C2687" s="2" t="s">
        <v>45</v>
      </c>
      <c r="D2687" s="2" t="s">
        <v>25</v>
      </c>
      <c r="E2687" s="2" t="s">
        <v>20</v>
      </c>
      <c r="F2687" s="2" t="n">
        <v>0</v>
      </c>
      <c r="G2687" s="2" t="s">
        <v>20</v>
      </c>
      <c r="H2687" s="2" t="s">
        <v>20</v>
      </c>
      <c r="I2687" s="2" t="s">
        <v>21</v>
      </c>
      <c r="J2687" s="2" t="n">
        <v>29</v>
      </c>
      <c r="K2687" s="2" t="s">
        <v>22</v>
      </c>
      <c r="L2687" s="2" t="n">
        <v>264</v>
      </c>
      <c r="M2687" s="2" t="n">
        <v>1</v>
      </c>
      <c r="N2687" s="2" t="n">
        <v>-1</v>
      </c>
      <c r="O2687" s="2" t="n">
        <v>0</v>
      </c>
      <c r="P2687" s="2" t="s">
        <v>23</v>
      </c>
      <c r="Q2687" s="2" t="s">
        <v>26</v>
      </c>
    </row>
    <row r="2688" customFormat="false" ht="15" hidden="false" customHeight="false" outlineLevel="0" collapsed="false">
      <c r="A2688" s="2" t="n">
        <v>31</v>
      </c>
      <c r="B2688" s="2" t="s">
        <v>34</v>
      </c>
      <c r="C2688" s="2" t="s">
        <v>18</v>
      </c>
      <c r="D2688" s="2" t="s">
        <v>25</v>
      </c>
      <c r="E2688" s="2" t="s">
        <v>20</v>
      </c>
      <c r="F2688" s="2" t="n">
        <v>0</v>
      </c>
      <c r="G2688" s="2" t="s">
        <v>20</v>
      </c>
      <c r="H2688" s="2" t="s">
        <v>26</v>
      </c>
      <c r="I2688" s="2" t="s">
        <v>49</v>
      </c>
      <c r="J2688" s="2" t="n">
        <v>15</v>
      </c>
      <c r="K2688" s="2" t="s">
        <v>44</v>
      </c>
      <c r="L2688" s="2" t="n">
        <v>275</v>
      </c>
      <c r="M2688" s="2" t="n">
        <v>2</v>
      </c>
      <c r="N2688" s="2" t="n">
        <v>-1</v>
      </c>
      <c r="O2688" s="2" t="n">
        <v>0</v>
      </c>
      <c r="P2688" s="2" t="s">
        <v>23</v>
      </c>
      <c r="Q2688" s="2" t="s">
        <v>20</v>
      </c>
    </row>
    <row r="2689" customFormat="false" ht="15" hidden="false" customHeight="false" outlineLevel="0" collapsed="false">
      <c r="A2689" s="2" t="n">
        <v>45</v>
      </c>
      <c r="B2689" s="2" t="s">
        <v>38</v>
      </c>
      <c r="C2689" s="2" t="s">
        <v>18</v>
      </c>
      <c r="D2689" s="2" t="s">
        <v>25</v>
      </c>
      <c r="E2689" s="2" t="s">
        <v>20</v>
      </c>
      <c r="F2689" s="2" t="n">
        <v>1673</v>
      </c>
      <c r="G2689" s="2" t="s">
        <v>20</v>
      </c>
      <c r="H2689" s="2" t="s">
        <v>20</v>
      </c>
      <c r="I2689" s="2" t="s">
        <v>21</v>
      </c>
      <c r="J2689" s="2" t="n">
        <v>23</v>
      </c>
      <c r="K2689" s="2" t="s">
        <v>22</v>
      </c>
      <c r="L2689" s="2" t="n">
        <v>76</v>
      </c>
      <c r="M2689" s="2" t="n">
        <v>1</v>
      </c>
      <c r="N2689" s="2" t="n">
        <v>-1</v>
      </c>
      <c r="O2689" s="2" t="n">
        <v>0</v>
      </c>
      <c r="P2689" s="2" t="s">
        <v>23</v>
      </c>
      <c r="Q2689" s="2" t="s">
        <v>20</v>
      </c>
    </row>
    <row r="2690" customFormat="false" ht="15" hidden="false" customHeight="false" outlineLevel="0" collapsed="false">
      <c r="A2690" s="2" t="n">
        <v>27</v>
      </c>
      <c r="B2690" s="2" t="s">
        <v>24</v>
      </c>
      <c r="C2690" s="2" t="s">
        <v>18</v>
      </c>
      <c r="D2690" s="2" t="s">
        <v>25</v>
      </c>
      <c r="E2690" s="2" t="s">
        <v>20</v>
      </c>
      <c r="F2690" s="2" t="n">
        <v>-1202</v>
      </c>
      <c r="G2690" s="2" t="s">
        <v>26</v>
      </c>
      <c r="H2690" s="2" t="s">
        <v>20</v>
      </c>
      <c r="I2690" s="2" t="s">
        <v>23</v>
      </c>
      <c r="J2690" s="2" t="n">
        <v>4</v>
      </c>
      <c r="K2690" s="2" t="s">
        <v>33</v>
      </c>
      <c r="L2690" s="2" t="n">
        <v>749</v>
      </c>
      <c r="M2690" s="2" t="n">
        <v>2</v>
      </c>
      <c r="N2690" s="2" t="n">
        <v>-1</v>
      </c>
      <c r="O2690" s="2" t="n">
        <v>0</v>
      </c>
      <c r="P2690" s="2" t="s">
        <v>23</v>
      </c>
      <c r="Q2690" s="2" t="s">
        <v>20</v>
      </c>
    </row>
    <row r="2691" customFormat="false" ht="15" hidden="false" customHeight="false" outlineLevel="0" collapsed="false">
      <c r="A2691" s="2" t="n">
        <v>30</v>
      </c>
      <c r="B2691" s="2" t="s">
        <v>29</v>
      </c>
      <c r="C2691" s="2" t="s">
        <v>30</v>
      </c>
      <c r="D2691" s="2" t="s">
        <v>31</v>
      </c>
      <c r="E2691" s="2" t="s">
        <v>20</v>
      </c>
      <c r="F2691" s="2" t="n">
        <v>4213</v>
      </c>
      <c r="G2691" s="2" t="s">
        <v>20</v>
      </c>
      <c r="H2691" s="2" t="s">
        <v>20</v>
      </c>
      <c r="I2691" s="2" t="s">
        <v>21</v>
      </c>
      <c r="J2691" s="2" t="n">
        <v>25</v>
      </c>
      <c r="K2691" s="2" t="s">
        <v>41</v>
      </c>
      <c r="L2691" s="2" t="n">
        <v>142</v>
      </c>
      <c r="M2691" s="2" t="n">
        <v>4</v>
      </c>
      <c r="N2691" s="2" t="n">
        <v>-1</v>
      </c>
      <c r="O2691" s="2" t="n">
        <v>0</v>
      </c>
      <c r="P2691" s="2" t="s">
        <v>23</v>
      </c>
      <c r="Q2691" s="2" t="s">
        <v>20</v>
      </c>
    </row>
    <row r="2692" customFormat="false" ht="15" hidden="false" customHeight="false" outlineLevel="0" collapsed="false">
      <c r="A2692" s="2" t="n">
        <v>45</v>
      </c>
      <c r="B2692" s="2" t="s">
        <v>34</v>
      </c>
      <c r="C2692" s="2" t="s">
        <v>18</v>
      </c>
      <c r="D2692" s="2" t="s">
        <v>19</v>
      </c>
      <c r="E2692" s="2" t="s">
        <v>20</v>
      </c>
      <c r="F2692" s="2" t="n">
        <v>0</v>
      </c>
      <c r="G2692" s="2" t="s">
        <v>20</v>
      </c>
      <c r="H2692" s="2" t="s">
        <v>20</v>
      </c>
      <c r="I2692" s="2" t="s">
        <v>21</v>
      </c>
      <c r="J2692" s="2" t="n">
        <v>26</v>
      </c>
      <c r="K2692" s="2" t="s">
        <v>41</v>
      </c>
      <c r="L2692" s="2" t="n">
        <v>454</v>
      </c>
      <c r="M2692" s="2" t="n">
        <v>2</v>
      </c>
      <c r="N2692" s="2" t="n">
        <v>-1</v>
      </c>
      <c r="O2692" s="2" t="n">
        <v>0</v>
      </c>
      <c r="P2692" s="2" t="s">
        <v>23</v>
      </c>
      <c r="Q2692" s="2" t="s">
        <v>20</v>
      </c>
    </row>
    <row r="2693" customFormat="false" ht="15" hidden="false" customHeight="false" outlineLevel="0" collapsed="false">
      <c r="A2693" s="2" t="n">
        <v>57</v>
      </c>
      <c r="B2693" s="2" t="s">
        <v>34</v>
      </c>
      <c r="C2693" s="2" t="s">
        <v>18</v>
      </c>
      <c r="D2693" s="2" t="s">
        <v>25</v>
      </c>
      <c r="E2693" s="2" t="s">
        <v>20</v>
      </c>
      <c r="F2693" s="2" t="n">
        <v>1521</v>
      </c>
      <c r="G2693" s="2" t="s">
        <v>26</v>
      </c>
      <c r="H2693" s="2" t="s">
        <v>26</v>
      </c>
      <c r="I2693" s="2" t="s">
        <v>21</v>
      </c>
      <c r="J2693" s="2" t="n">
        <v>18</v>
      </c>
      <c r="K2693" s="2" t="s">
        <v>27</v>
      </c>
      <c r="L2693" s="2" t="n">
        <v>102</v>
      </c>
      <c r="M2693" s="2" t="n">
        <v>2</v>
      </c>
      <c r="N2693" s="2" t="n">
        <v>178</v>
      </c>
      <c r="O2693" s="2" t="n">
        <v>5</v>
      </c>
      <c r="P2693" s="2" t="s">
        <v>28</v>
      </c>
      <c r="Q2693" s="2" t="s">
        <v>20</v>
      </c>
    </row>
    <row r="2694" customFormat="false" ht="15" hidden="false" customHeight="false" outlineLevel="0" collapsed="false">
      <c r="A2694" s="2" t="n">
        <v>34</v>
      </c>
      <c r="B2694" s="2" t="s">
        <v>29</v>
      </c>
      <c r="C2694" s="2" t="s">
        <v>18</v>
      </c>
      <c r="D2694" s="2" t="s">
        <v>31</v>
      </c>
      <c r="E2694" s="2" t="s">
        <v>20</v>
      </c>
      <c r="F2694" s="2" t="n">
        <v>1310</v>
      </c>
      <c r="G2694" s="2" t="s">
        <v>20</v>
      </c>
      <c r="H2694" s="2" t="s">
        <v>20</v>
      </c>
      <c r="I2694" s="2" t="s">
        <v>49</v>
      </c>
      <c r="J2694" s="2" t="n">
        <v>30</v>
      </c>
      <c r="K2694" s="2" t="s">
        <v>43</v>
      </c>
      <c r="L2694" s="2" t="n">
        <v>521</v>
      </c>
      <c r="M2694" s="2" t="n">
        <v>3</v>
      </c>
      <c r="N2694" s="2" t="n">
        <v>158</v>
      </c>
      <c r="O2694" s="2" t="n">
        <v>7</v>
      </c>
      <c r="P2694" s="2" t="s">
        <v>37</v>
      </c>
      <c r="Q2694" s="2" t="s">
        <v>20</v>
      </c>
    </row>
    <row r="2695" customFormat="false" ht="15" hidden="false" customHeight="false" outlineLevel="0" collapsed="false">
      <c r="A2695" s="2" t="n">
        <v>40</v>
      </c>
      <c r="B2695" s="2" t="s">
        <v>40</v>
      </c>
      <c r="C2695" s="2" t="s">
        <v>18</v>
      </c>
      <c r="D2695" s="2" t="s">
        <v>25</v>
      </c>
      <c r="E2695" s="2" t="s">
        <v>20</v>
      </c>
      <c r="F2695" s="2" t="n">
        <v>0</v>
      </c>
      <c r="G2695" s="2" t="s">
        <v>26</v>
      </c>
      <c r="H2695" s="2" t="s">
        <v>26</v>
      </c>
      <c r="I2695" s="2" t="s">
        <v>21</v>
      </c>
      <c r="J2695" s="2" t="n">
        <v>17</v>
      </c>
      <c r="K2695" s="2" t="s">
        <v>46</v>
      </c>
      <c r="L2695" s="2" t="n">
        <v>57</v>
      </c>
      <c r="M2695" s="2" t="n">
        <v>1</v>
      </c>
      <c r="N2695" s="2" t="n">
        <v>-1</v>
      </c>
      <c r="O2695" s="2" t="n">
        <v>0</v>
      </c>
      <c r="P2695" s="2" t="s">
        <v>23</v>
      </c>
      <c r="Q2695" s="2" t="s">
        <v>20</v>
      </c>
    </row>
    <row r="2696" customFormat="false" ht="15" hidden="false" customHeight="false" outlineLevel="0" collapsed="false">
      <c r="A2696" s="2" t="n">
        <v>39</v>
      </c>
      <c r="B2696" s="2" t="s">
        <v>29</v>
      </c>
      <c r="C2696" s="2" t="s">
        <v>18</v>
      </c>
      <c r="D2696" s="2" t="s">
        <v>31</v>
      </c>
      <c r="E2696" s="2" t="s">
        <v>20</v>
      </c>
      <c r="F2696" s="2" t="n">
        <v>399</v>
      </c>
      <c r="G2696" s="2" t="s">
        <v>20</v>
      </c>
      <c r="H2696" s="2" t="s">
        <v>20</v>
      </c>
      <c r="I2696" s="2" t="s">
        <v>21</v>
      </c>
      <c r="J2696" s="2" t="n">
        <v>9</v>
      </c>
      <c r="K2696" s="2" t="s">
        <v>32</v>
      </c>
      <c r="L2696" s="2" t="n">
        <v>504</v>
      </c>
      <c r="M2696" s="2" t="n">
        <v>1</v>
      </c>
      <c r="N2696" s="2" t="n">
        <v>-1</v>
      </c>
      <c r="O2696" s="2" t="n">
        <v>0</v>
      </c>
      <c r="P2696" s="2" t="s">
        <v>23</v>
      </c>
      <c r="Q2696" s="2" t="s">
        <v>20</v>
      </c>
    </row>
    <row r="2697" customFormat="false" ht="15" hidden="false" customHeight="false" outlineLevel="0" collapsed="false">
      <c r="A2697" s="2" t="n">
        <v>46</v>
      </c>
      <c r="B2697" s="2" t="s">
        <v>38</v>
      </c>
      <c r="C2697" s="2" t="s">
        <v>18</v>
      </c>
      <c r="D2697" s="2" t="s">
        <v>31</v>
      </c>
      <c r="E2697" s="2" t="s">
        <v>20</v>
      </c>
      <c r="F2697" s="2" t="n">
        <v>405</v>
      </c>
      <c r="G2697" s="2" t="s">
        <v>20</v>
      </c>
      <c r="H2697" s="2" t="s">
        <v>20</v>
      </c>
      <c r="I2697" s="2" t="s">
        <v>21</v>
      </c>
      <c r="J2697" s="2" t="n">
        <v>11</v>
      </c>
      <c r="K2697" s="2" t="s">
        <v>41</v>
      </c>
      <c r="L2697" s="2" t="n">
        <v>138</v>
      </c>
      <c r="M2697" s="2" t="n">
        <v>3</v>
      </c>
      <c r="N2697" s="2" t="n">
        <v>-1</v>
      </c>
      <c r="O2697" s="2" t="n">
        <v>0</v>
      </c>
      <c r="P2697" s="2" t="s">
        <v>23</v>
      </c>
      <c r="Q2697" s="2" t="s">
        <v>20</v>
      </c>
    </row>
    <row r="2698" customFormat="false" ht="15" hidden="false" customHeight="false" outlineLevel="0" collapsed="false">
      <c r="A2698" s="2" t="n">
        <v>55</v>
      </c>
      <c r="B2698" s="2" t="s">
        <v>29</v>
      </c>
      <c r="C2698" s="2" t="s">
        <v>45</v>
      </c>
      <c r="D2698" s="2" t="s">
        <v>31</v>
      </c>
      <c r="E2698" s="2" t="s">
        <v>20</v>
      </c>
      <c r="F2698" s="2" t="n">
        <v>9756</v>
      </c>
      <c r="G2698" s="2" t="s">
        <v>26</v>
      </c>
      <c r="H2698" s="2" t="s">
        <v>20</v>
      </c>
      <c r="I2698" s="2" t="s">
        <v>21</v>
      </c>
      <c r="J2698" s="2" t="n">
        <v>5</v>
      </c>
      <c r="K2698" s="2" t="s">
        <v>33</v>
      </c>
      <c r="L2698" s="2" t="n">
        <v>103</v>
      </c>
      <c r="M2698" s="2" t="n">
        <v>2</v>
      </c>
      <c r="N2698" s="2" t="n">
        <v>95</v>
      </c>
      <c r="O2698" s="2" t="n">
        <v>1</v>
      </c>
      <c r="P2698" s="2" t="s">
        <v>37</v>
      </c>
      <c r="Q2698" s="2" t="s">
        <v>26</v>
      </c>
    </row>
    <row r="2699" customFormat="false" ht="15" hidden="false" customHeight="false" outlineLevel="0" collapsed="false">
      <c r="A2699" s="2" t="n">
        <v>25</v>
      </c>
      <c r="B2699" s="2" t="s">
        <v>29</v>
      </c>
      <c r="C2699" s="2" t="s">
        <v>30</v>
      </c>
      <c r="D2699" s="2" t="s">
        <v>31</v>
      </c>
      <c r="E2699" s="2" t="s">
        <v>20</v>
      </c>
      <c r="F2699" s="2" t="n">
        <v>2506</v>
      </c>
      <c r="G2699" s="2" t="s">
        <v>20</v>
      </c>
      <c r="H2699" s="2" t="s">
        <v>20</v>
      </c>
      <c r="I2699" s="2" t="s">
        <v>21</v>
      </c>
      <c r="J2699" s="2" t="n">
        <v>17</v>
      </c>
      <c r="K2699" s="2" t="s">
        <v>35</v>
      </c>
      <c r="L2699" s="2" t="n">
        <v>485</v>
      </c>
      <c r="M2699" s="2" t="n">
        <v>1</v>
      </c>
      <c r="N2699" s="2" t="n">
        <v>-1</v>
      </c>
      <c r="O2699" s="2" t="n">
        <v>0</v>
      </c>
      <c r="P2699" s="2" t="s">
        <v>23</v>
      </c>
      <c r="Q2699" s="2" t="s">
        <v>26</v>
      </c>
    </row>
    <row r="2700" customFormat="false" ht="15" hidden="false" customHeight="false" outlineLevel="0" collapsed="false">
      <c r="A2700" s="2" t="n">
        <v>34</v>
      </c>
      <c r="B2700" s="2" t="s">
        <v>29</v>
      </c>
      <c r="C2700" s="2" t="s">
        <v>18</v>
      </c>
      <c r="D2700" s="2" t="s">
        <v>31</v>
      </c>
      <c r="E2700" s="2" t="s">
        <v>20</v>
      </c>
      <c r="F2700" s="2" t="n">
        <v>697</v>
      </c>
      <c r="G2700" s="2" t="s">
        <v>20</v>
      </c>
      <c r="H2700" s="2" t="s">
        <v>20</v>
      </c>
      <c r="I2700" s="2" t="s">
        <v>21</v>
      </c>
      <c r="J2700" s="2" t="n">
        <v>5</v>
      </c>
      <c r="K2700" s="2" t="s">
        <v>41</v>
      </c>
      <c r="L2700" s="2" t="n">
        <v>166</v>
      </c>
      <c r="M2700" s="2" t="n">
        <v>1</v>
      </c>
      <c r="N2700" s="2" t="n">
        <v>-1</v>
      </c>
      <c r="O2700" s="2" t="n">
        <v>0</v>
      </c>
      <c r="P2700" s="2" t="s">
        <v>23</v>
      </c>
      <c r="Q2700" s="2" t="s">
        <v>20</v>
      </c>
    </row>
    <row r="2701" customFormat="false" ht="15" hidden="false" customHeight="false" outlineLevel="0" collapsed="false">
      <c r="A2701" s="2" t="n">
        <v>37</v>
      </c>
      <c r="B2701" s="2" t="s">
        <v>34</v>
      </c>
      <c r="C2701" s="2" t="s">
        <v>18</v>
      </c>
      <c r="D2701" s="2" t="s">
        <v>19</v>
      </c>
      <c r="E2701" s="2" t="s">
        <v>20</v>
      </c>
      <c r="F2701" s="2" t="n">
        <v>403</v>
      </c>
      <c r="G2701" s="2" t="s">
        <v>26</v>
      </c>
      <c r="H2701" s="2" t="s">
        <v>20</v>
      </c>
      <c r="I2701" s="2" t="s">
        <v>21</v>
      </c>
      <c r="J2701" s="2" t="n">
        <v>8</v>
      </c>
      <c r="K2701" s="2" t="s">
        <v>27</v>
      </c>
      <c r="L2701" s="2" t="n">
        <v>318</v>
      </c>
      <c r="M2701" s="2" t="n">
        <v>2</v>
      </c>
      <c r="N2701" s="2" t="n">
        <v>338</v>
      </c>
      <c r="O2701" s="2" t="n">
        <v>1</v>
      </c>
      <c r="P2701" s="2" t="s">
        <v>50</v>
      </c>
      <c r="Q2701" s="2" t="s">
        <v>20</v>
      </c>
    </row>
    <row r="2702" customFormat="false" ht="15" hidden="false" customHeight="false" outlineLevel="0" collapsed="false">
      <c r="A2702" s="2" t="n">
        <v>64</v>
      </c>
      <c r="B2702" s="2" t="s">
        <v>48</v>
      </c>
      <c r="C2702" s="2" t="s">
        <v>45</v>
      </c>
      <c r="D2702" s="2" t="s">
        <v>31</v>
      </c>
      <c r="E2702" s="2" t="s">
        <v>20</v>
      </c>
      <c r="F2702" s="2" t="n">
        <v>890</v>
      </c>
      <c r="G2702" s="2" t="s">
        <v>20</v>
      </c>
      <c r="H2702" s="2" t="s">
        <v>20</v>
      </c>
      <c r="I2702" s="2" t="s">
        <v>21</v>
      </c>
      <c r="J2702" s="2" t="n">
        <v>3</v>
      </c>
      <c r="K2702" s="2" t="s">
        <v>44</v>
      </c>
      <c r="L2702" s="2" t="n">
        <v>531</v>
      </c>
      <c r="M2702" s="2" t="n">
        <v>3</v>
      </c>
      <c r="N2702" s="2" t="n">
        <v>-1</v>
      </c>
      <c r="O2702" s="2" t="n">
        <v>0</v>
      </c>
      <c r="P2702" s="2" t="s">
        <v>23</v>
      </c>
      <c r="Q2702" s="2" t="s">
        <v>20</v>
      </c>
    </row>
    <row r="2703" customFormat="false" ht="15" hidden="false" customHeight="false" outlineLevel="0" collapsed="false">
      <c r="A2703" s="2" t="n">
        <v>45</v>
      </c>
      <c r="B2703" s="2" t="s">
        <v>38</v>
      </c>
      <c r="C2703" s="2" t="s">
        <v>45</v>
      </c>
      <c r="D2703" s="2" t="s">
        <v>25</v>
      </c>
      <c r="E2703" s="2" t="s">
        <v>20</v>
      </c>
      <c r="F2703" s="2" t="n">
        <v>809</v>
      </c>
      <c r="G2703" s="2" t="s">
        <v>26</v>
      </c>
      <c r="H2703" s="2" t="s">
        <v>20</v>
      </c>
      <c r="I2703" s="2" t="s">
        <v>21</v>
      </c>
      <c r="J2703" s="2" t="n">
        <v>13</v>
      </c>
      <c r="K2703" s="2" t="s">
        <v>27</v>
      </c>
      <c r="L2703" s="2" t="n">
        <v>155</v>
      </c>
      <c r="M2703" s="2" t="n">
        <v>2</v>
      </c>
      <c r="N2703" s="2" t="n">
        <v>363</v>
      </c>
      <c r="O2703" s="2" t="n">
        <v>4</v>
      </c>
      <c r="P2703" s="2" t="s">
        <v>28</v>
      </c>
      <c r="Q2703" s="2" t="s">
        <v>20</v>
      </c>
    </row>
    <row r="2704" customFormat="false" ht="15" hidden="false" customHeight="false" outlineLevel="0" collapsed="false">
      <c r="A2704" s="2" t="n">
        <v>57</v>
      </c>
      <c r="B2704" s="2" t="s">
        <v>47</v>
      </c>
      <c r="C2704" s="2" t="s">
        <v>18</v>
      </c>
      <c r="D2704" s="2" t="s">
        <v>25</v>
      </c>
      <c r="E2704" s="2" t="s">
        <v>20</v>
      </c>
      <c r="F2704" s="2" t="n">
        <v>158</v>
      </c>
      <c r="G2704" s="2" t="s">
        <v>26</v>
      </c>
      <c r="H2704" s="2" t="s">
        <v>20</v>
      </c>
      <c r="I2704" s="2" t="s">
        <v>49</v>
      </c>
      <c r="J2704" s="2" t="n">
        <v>10</v>
      </c>
      <c r="K2704" s="2" t="s">
        <v>44</v>
      </c>
      <c r="L2704" s="2" t="n">
        <v>73</v>
      </c>
      <c r="M2704" s="2" t="n">
        <v>1</v>
      </c>
      <c r="N2704" s="2" t="n">
        <v>-1</v>
      </c>
      <c r="O2704" s="2" t="n">
        <v>0</v>
      </c>
      <c r="P2704" s="2" t="s">
        <v>23</v>
      </c>
      <c r="Q2704" s="2" t="s">
        <v>20</v>
      </c>
    </row>
    <row r="2705" customFormat="false" ht="15" hidden="false" customHeight="false" outlineLevel="0" collapsed="false">
      <c r="A2705" s="2" t="n">
        <v>21</v>
      </c>
      <c r="B2705" s="2" t="s">
        <v>42</v>
      </c>
      <c r="C2705" s="2" t="s">
        <v>30</v>
      </c>
      <c r="D2705" s="2" t="s">
        <v>23</v>
      </c>
      <c r="E2705" s="2" t="s">
        <v>20</v>
      </c>
      <c r="F2705" s="2" t="n">
        <v>137</v>
      </c>
      <c r="G2705" s="2" t="s">
        <v>26</v>
      </c>
      <c r="H2705" s="2" t="s">
        <v>20</v>
      </c>
      <c r="I2705" s="2" t="s">
        <v>23</v>
      </c>
      <c r="J2705" s="2" t="n">
        <v>12</v>
      </c>
      <c r="K2705" s="2" t="s">
        <v>27</v>
      </c>
      <c r="L2705" s="2" t="n">
        <v>198</v>
      </c>
      <c r="M2705" s="2" t="n">
        <v>3</v>
      </c>
      <c r="N2705" s="2" t="n">
        <v>-1</v>
      </c>
      <c r="O2705" s="2" t="n">
        <v>0</v>
      </c>
      <c r="P2705" s="2" t="s">
        <v>23</v>
      </c>
      <c r="Q2705" s="2" t="s">
        <v>20</v>
      </c>
    </row>
    <row r="2706" customFormat="false" ht="15" hidden="false" customHeight="false" outlineLevel="0" collapsed="false">
      <c r="A2706" s="2" t="n">
        <v>58</v>
      </c>
      <c r="B2706" s="2" t="s">
        <v>47</v>
      </c>
      <c r="C2706" s="2" t="s">
        <v>18</v>
      </c>
      <c r="D2706" s="2" t="s">
        <v>25</v>
      </c>
      <c r="E2706" s="2" t="s">
        <v>20</v>
      </c>
      <c r="F2706" s="2" t="n">
        <v>2705</v>
      </c>
      <c r="G2706" s="2" t="s">
        <v>20</v>
      </c>
      <c r="H2706" s="2" t="s">
        <v>20</v>
      </c>
      <c r="I2706" s="2" t="s">
        <v>49</v>
      </c>
      <c r="J2706" s="2" t="n">
        <v>14</v>
      </c>
      <c r="K2706" s="2" t="s">
        <v>41</v>
      </c>
      <c r="L2706" s="2" t="n">
        <v>137</v>
      </c>
      <c r="M2706" s="2" t="n">
        <v>1</v>
      </c>
      <c r="N2706" s="2" t="n">
        <v>-1</v>
      </c>
      <c r="O2706" s="2" t="n">
        <v>0</v>
      </c>
      <c r="P2706" s="2" t="s">
        <v>23</v>
      </c>
      <c r="Q2706" s="2" t="s">
        <v>20</v>
      </c>
    </row>
    <row r="2707" customFormat="false" ht="15" hidden="false" customHeight="false" outlineLevel="0" collapsed="false">
      <c r="A2707" s="2" t="n">
        <v>41</v>
      </c>
      <c r="B2707" s="2" t="s">
        <v>34</v>
      </c>
      <c r="C2707" s="2" t="s">
        <v>30</v>
      </c>
      <c r="D2707" s="2" t="s">
        <v>25</v>
      </c>
      <c r="E2707" s="2" t="s">
        <v>20</v>
      </c>
      <c r="F2707" s="2" t="n">
        <v>75</v>
      </c>
      <c r="G2707" s="2" t="s">
        <v>26</v>
      </c>
      <c r="H2707" s="2" t="s">
        <v>20</v>
      </c>
      <c r="I2707" s="2" t="s">
        <v>23</v>
      </c>
      <c r="J2707" s="2" t="n">
        <v>1</v>
      </c>
      <c r="K2707" s="2" t="s">
        <v>44</v>
      </c>
      <c r="L2707" s="2" t="n">
        <v>479</v>
      </c>
      <c r="M2707" s="2" t="n">
        <v>9</v>
      </c>
      <c r="N2707" s="2" t="n">
        <v>-1</v>
      </c>
      <c r="O2707" s="2" t="n">
        <v>0</v>
      </c>
      <c r="P2707" s="2" t="s">
        <v>23</v>
      </c>
      <c r="Q2707" s="2" t="s">
        <v>26</v>
      </c>
    </row>
    <row r="2708" customFormat="false" ht="15" hidden="false" customHeight="false" outlineLevel="0" collapsed="false">
      <c r="A2708" s="2" t="n">
        <v>41</v>
      </c>
      <c r="B2708" s="2" t="s">
        <v>29</v>
      </c>
      <c r="C2708" s="2" t="s">
        <v>18</v>
      </c>
      <c r="D2708" s="2" t="s">
        <v>23</v>
      </c>
      <c r="E2708" s="2" t="s">
        <v>20</v>
      </c>
      <c r="F2708" s="2" t="n">
        <v>2457</v>
      </c>
      <c r="G2708" s="2" t="s">
        <v>26</v>
      </c>
      <c r="H2708" s="2" t="s">
        <v>20</v>
      </c>
      <c r="I2708" s="2" t="s">
        <v>23</v>
      </c>
      <c r="J2708" s="2" t="n">
        <v>9</v>
      </c>
      <c r="K2708" s="2" t="s">
        <v>27</v>
      </c>
      <c r="L2708" s="2" t="n">
        <v>285</v>
      </c>
      <c r="M2708" s="2" t="n">
        <v>1</v>
      </c>
      <c r="N2708" s="2" t="n">
        <v>-1</v>
      </c>
      <c r="O2708" s="2" t="n">
        <v>0</v>
      </c>
      <c r="P2708" s="2" t="s">
        <v>23</v>
      </c>
      <c r="Q2708" s="2" t="s">
        <v>20</v>
      </c>
    </row>
    <row r="2709" customFormat="false" ht="15" hidden="false" customHeight="false" outlineLevel="0" collapsed="false">
      <c r="A2709" s="2" t="n">
        <v>58</v>
      </c>
      <c r="B2709" s="2" t="s">
        <v>29</v>
      </c>
      <c r="C2709" s="2" t="s">
        <v>18</v>
      </c>
      <c r="D2709" s="2" t="s">
        <v>31</v>
      </c>
      <c r="E2709" s="2" t="s">
        <v>20</v>
      </c>
      <c r="F2709" s="2" t="n">
        <v>541</v>
      </c>
      <c r="G2709" s="2" t="s">
        <v>26</v>
      </c>
      <c r="H2709" s="2" t="s">
        <v>20</v>
      </c>
      <c r="I2709" s="2" t="s">
        <v>21</v>
      </c>
      <c r="J2709" s="2" t="n">
        <v>8</v>
      </c>
      <c r="K2709" s="2" t="s">
        <v>27</v>
      </c>
      <c r="L2709" s="2" t="n">
        <v>98</v>
      </c>
      <c r="M2709" s="2" t="n">
        <v>1</v>
      </c>
      <c r="N2709" s="2" t="n">
        <v>-1</v>
      </c>
      <c r="O2709" s="2" t="n">
        <v>0</v>
      </c>
      <c r="P2709" s="2" t="s">
        <v>23</v>
      </c>
      <c r="Q2709" s="2" t="s">
        <v>20</v>
      </c>
    </row>
    <row r="2710" customFormat="false" ht="15" hidden="false" customHeight="false" outlineLevel="0" collapsed="false">
      <c r="A2710" s="2" t="n">
        <v>33</v>
      </c>
      <c r="B2710" s="2" t="s">
        <v>29</v>
      </c>
      <c r="C2710" s="2" t="s">
        <v>18</v>
      </c>
      <c r="D2710" s="2" t="s">
        <v>31</v>
      </c>
      <c r="E2710" s="2" t="s">
        <v>20</v>
      </c>
      <c r="F2710" s="2" t="n">
        <v>287</v>
      </c>
      <c r="G2710" s="2" t="s">
        <v>26</v>
      </c>
      <c r="H2710" s="2" t="s">
        <v>20</v>
      </c>
      <c r="I2710" s="2" t="s">
        <v>21</v>
      </c>
      <c r="J2710" s="2" t="n">
        <v>15</v>
      </c>
      <c r="K2710" s="2" t="s">
        <v>27</v>
      </c>
      <c r="L2710" s="2" t="n">
        <v>199</v>
      </c>
      <c r="M2710" s="2" t="n">
        <v>2</v>
      </c>
      <c r="N2710" s="2" t="n">
        <v>274</v>
      </c>
      <c r="O2710" s="2" t="n">
        <v>3</v>
      </c>
      <c r="P2710" s="2" t="s">
        <v>37</v>
      </c>
      <c r="Q2710" s="2" t="s">
        <v>20</v>
      </c>
    </row>
    <row r="2711" customFormat="false" ht="15" hidden="false" customHeight="false" outlineLevel="0" collapsed="false">
      <c r="A2711" s="2" t="n">
        <v>32</v>
      </c>
      <c r="B2711" s="2" t="s">
        <v>29</v>
      </c>
      <c r="C2711" s="2" t="s">
        <v>18</v>
      </c>
      <c r="D2711" s="2" t="s">
        <v>31</v>
      </c>
      <c r="E2711" s="2" t="s">
        <v>20</v>
      </c>
      <c r="F2711" s="2" t="n">
        <v>273</v>
      </c>
      <c r="G2711" s="2" t="s">
        <v>26</v>
      </c>
      <c r="H2711" s="2" t="s">
        <v>26</v>
      </c>
      <c r="I2711" s="2" t="s">
        <v>21</v>
      </c>
      <c r="J2711" s="2" t="n">
        <v>18</v>
      </c>
      <c r="K2711" s="2" t="s">
        <v>44</v>
      </c>
      <c r="L2711" s="2" t="n">
        <v>97</v>
      </c>
      <c r="M2711" s="2" t="n">
        <v>3</v>
      </c>
      <c r="N2711" s="2" t="n">
        <v>-1</v>
      </c>
      <c r="O2711" s="2" t="n">
        <v>0</v>
      </c>
      <c r="P2711" s="2" t="s">
        <v>23</v>
      </c>
      <c r="Q2711" s="2" t="s">
        <v>20</v>
      </c>
    </row>
    <row r="2712" customFormat="false" ht="15" hidden="false" customHeight="false" outlineLevel="0" collapsed="false">
      <c r="A2712" s="2" t="n">
        <v>44</v>
      </c>
      <c r="B2712" s="2" t="s">
        <v>24</v>
      </c>
      <c r="C2712" s="2" t="s">
        <v>45</v>
      </c>
      <c r="D2712" s="2" t="s">
        <v>25</v>
      </c>
      <c r="E2712" s="2" t="s">
        <v>20</v>
      </c>
      <c r="F2712" s="2" t="n">
        <v>0</v>
      </c>
      <c r="G2712" s="2" t="s">
        <v>26</v>
      </c>
      <c r="H2712" s="2" t="s">
        <v>20</v>
      </c>
      <c r="I2712" s="2" t="s">
        <v>23</v>
      </c>
      <c r="J2712" s="2" t="n">
        <v>4</v>
      </c>
      <c r="K2712" s="2" t="s">
        <v>33</v>
      </c>
      <c r="L2712" s="2" t="n">
        <v>389</v>
      </c>
      <c r="M2712" s="2" t="n">
        <v>5</v>
      </c>
      <c r="N2712" s="2" t="n">
        <v>-1</v>
      </c>
      <c r="O2712" s="2" t="n">
        <v>0</v>
      </c>
      <c r="P2712" s="2" t="s">
        <v>23</v>
      </c>
      <c r="Q2712" s="2" t="s">
        <v>20</v>
      </c>
    </row>
    <row r="2713" customFormat="false" ht="15" hidden="false" customHeight="false" outlineLevel="0" collapsed="false">
      <c r="A2713" s="2" t="n">
        <v>47</v>
      </c>
      <c r="B2713" s="2" t="s">
        <v>23</v>
      </c>
      <c r="C2713" s="2" t="s">
        <v>18</v>
      </c>
      <c r="D2713" s="2" t="s">
        <v>23</v>
      </c>
      <c r="E2713" s="2" t="s">
        <v>20</v>
      </c>
      <c r="F2713" s="2" t="n">
        <v>677</v>
      </c>
      <c r="G2713" s="2" t="s">
        <v>20</v>
      </c>
      <c r="H2713" s="2" t="s">
        <v>20</v>
      </c>
      <c r="I2713" s="2" t="s">
        <v>21</v>
      </c>
      <c r="J2713" s="2" t="n">
        <v>7</v>
      </c>
      <c r="K2713" s="2" t="s">
        <v>41</v>
      </c>
      <c r="L2713" s="2" t="n">
        <v>384</v>
      </c>
      <c r="M2713" s="2" t="n">
        <v>1</v>
      </c>
      <c r="N2713" s="2" t="n">
        <v>99</v>
      </c>
      <c r="O2713" s="2" t="n">
        <v>4</v>
      </c>
      <c r="P2713" s="2" t="s">
        <v>50</v>
      </c>
      <c r="Q2713" s="2" t="s">
        <v>20</v>
      </c>
    </row>
    <row r="2714" customFormat="false" ht="15" hidden="false" customHeight="false" outlineLevel="0" collapsed="false">
      <c r="A2714" s="2" t="n">
        <v>41</v>
      </c>
      <c r="B2714" s="2" t="s">
        <v>36</v>
      </c>
      <c r="C2714" s="2" t="s">
        <v>18</v>
      </c>
      <c r="D2714" s="2" t="s">
        <v>19</v>
      </c>
      <c r="E2714" s="2" t="s">
        <v>20</v>
      </c>
      <c r="F2714" s="2" t="n">
        <v>340</v>
      </c>
      <c r="G2714" s="2" t="s">
        <v>20</v>
      </c>
      <c r="H2714" s="2" t="s">
        <v>20</v>
      </c>
      <c r="I2714" s="2" t="s">
        <v>23</v>
      </c>
      <c r="J2714" s="2" t="n">
        <v>6</v>
      </c>
      <c r="K2714" s="2" t="s">
        <v>33</v>
      </c>
      <c r="L2714" s="2" t="n">
        <v>37</v>
      </c>
      <c r="M2714" s="2" t="n">
        <v>3</v>
      </c>
      <c r="N2714" s="2" t="n">
        <v>-1</v>
      </c>
      <c r="O2714" s="2" t="n">
        <v>0</v>
      </c>
      <c r="P2714" s="2" t="s">
        <v>23</v>
      </c>
      <c r="Q2714" s="2" t="s">
        <v>20</v>
      </c>
    </row>
    <row r="2715" customFormat="false" ht="15" hidden="false" customHeight="false" outlineLevel="0" collapsed="false">
      <c r="A2715" s="2" t="n">
        <v>54</v>
      </c>
      <c r="B2715" s="2" t="s">
        <v>38</v>
      </c>
      <c r="C2715" s="2" t="s">
        <v>18</v>
      </c>
      <c r="D2715" s="2" t="s">
        <v>31</v>
      </c>
      <c r="E2715" s="2" t="s">
        <v>20</v>
      </c>
      <c r="F2715" s="2" t="n">
        <v>98</v>
      </c>
      <c r="G2715" s="2" t="s">
        <v>20</v>
      </c>
      <c r="H2715" s="2" t="s">
        <v>20</v>
      </c>
      <c r="I2715" s="2" t="s">
        <v>21</v>
      </c>
      <c r="J2715" s="2" t="n">
        <v>8</v>
      </c>
      <c r="K2715" s="2" t="s">
        <v>41</v>
      </c>
      <c r="L2715" s="2" t="n">
        <v>420</v>
      </c>
      <c r="M2715" s="2" t="n">
        <v>4</v>
      </c>
      <c r="N2715" s="2" t="n">
        <v>-1</v>
      </c>
      <c r="O2715" s="2" t="n">
        <v>0</v>
      </c>
      <c r="P2715" s="2" t="s">
        <v>23</v>
      </c>
      <c r="Q2715" s="2" t="s">
        <v>20</v>
      </c>
    </row>
    <row r="2716" customFormat="false" ht="15" hidden="false" customHeight="false" outlineLevel="0" collapsed="false">
      <c r="A2716" s="2" t="n">
        <v>47</v>
      </c>
      <c r="B2716" s="2" t="s">
        <v>38</v>
      </c>
      <c r="C2716" s="2" t="s">
        <v>45</v>
      </c>
      <c r="D2716" s="2" t="s">
        <v>31</v>
      </c>
      <c r="E2716" s="2" t="s">
        <v>20</v>
      </c>
      <c r="F2716" s="2" t="n">
        <v>477</v>
      </c>
      <c r="G2716" s="2" t="s">
        <v>26</v>
      </c>
      <c r="H2716" s="2" t="s">
        <v>20</v>
      </c>
      <c r="I2716" s="2" t="s">
        <v>49</v>
      </c>
      <c r="J2716" s="2" t="n">
        <v>7</v>
      </c>
      <c r="K2716" s="2" t="s">
        <v>27</v>
      </c>
      <c r="L2716" s="2" t="n">
        <v>973</v>
      </c>
      <c r="M2716" s="2" t="n">
        <v>1</v>
      </c>
      <c r="N2716" s="2" t="n">
        <v>366</v>
      </c>
      <c r="O2716" s="2" t="n">
        <v>1</v>
      </c>
      <c r="P2716" s="2" t="s">
        <v>28</v>
      </c>
      <c r="Q2716" s="2" t="s">
        <v>20</v>
      </c>
    </row>
    <row r="2717" customFormat="false" ht="15" hidden="false" customHeight="false" outlineLevel="0" collapsed="false">
      <c r="A2717" s="2" t="n">
        <v>32</v>
      </c>
      <c r="B2717" s="2" t="s">
        <v>29</v>
      </c>
      <c r="C2717" s="2" t="s">
        <v>30</v>
      </c>
      <c r="D2717" s="2" t="s">
        <v>31</v>
      </c>
      <c r="E2717" s="2" t="s">
        <v>20</v>
      </c>
      <c r="F2717" s="2" t="n">
        <v>2629</v>
      </c>
      <c r="G2717" s="2" t="s">
        <v>20</v>
      </c>
      <c r="H2717" s="2" t="s">
        <v>20</v>
      </c>
      <c r="I2717" s="2" t="s">
        <v>21</v>
      </c>
      <c r="J2717" s="2" t="n">
        <v>28</v>
      </c>
      <c r="K2717" s="2" t="s">
        <v>41</v>
      </c>
      <c r="L2717" s="2" t="n">
        <v>77</v>
      </c>
      <c r="M2717" s="2" t="n">
        <v>4</v>
      </c>
      <c r="N2717" s="2" t="n">
        <v>-1</v>
      </c>
      <c r="O2717" s="2" t="n">
        <v>0</v>
      </c>
      <c r="P2717" s="2" t="s">
        <v>23</v>
      </c>
      <c r="Q2717" s="2" t="s">
        <v>20</v>
      </c>
    </row>
    <row r="2718" customFormat="false" ht="15" hidden="false" customHeight="false" outlineLevel="0" collapsed="false">
      <c r="A2718" s="2" t="n">
        <v>59</v>
      </c>
      <c r="B2718" s="2" t="s">
        <v>47</v>
      </c>
      <c r="C2718" s="2" t="s">
        <v>18</v>
      </c>
      <c r="D2718" s="2" t="s">
        <v>31</v>
      </c>
      <c r="E2718" s="2" t="s">
        <v>20</v>
      </c>
      <c r="F2718" s="2" t="n">
        <v>0</v>
      </c>
      <c r="G2718" s="2" t="s">
        <v>20</v>
      </c>
      <c r="H2718" s="2" t="s">
        <v>26</v>
      </c>
      <c r="I2718" s="2" t="s">
        <v>21</v>
      </c>
      <c r="J2718" s="2" t="n">
        <v>29</v>
      </c>
      <c r="K2718" s="2" t="s">
        <v>44</v>
      </c>
      <c r="L2718" s="2" t="n">
        <v>376</v>
      </c>
      <c r="M2718" s="2" t="n">
        <v>2</v>
      </c>
      <c r="N2718" s="2" t="n">
        <v>-1</v>
      </c>
      <c r="O2718" s="2" t="n">
        <v>0</v>
      </c>
      <c r="P2718" s="2" t="s">
        <v>23</v>
      </c>
      <c r="Q2718" s="2" t="s">
        <v>20</v>
      </c>
    </row>
    <row r="2719" customFormat="false" ht="15" hidden="false" customHeight="false" outlineLevel="0" collapsed="false">
      <c r="A2719" s="2" t="n">
        <v>29</v>
      </c>
      <c r="B2719" s="2" t="s">
        <v>38</v>
      </c>
      <c r="C2719" s="2" t="s">
        <v>30</v>
      </c>
      <c r="D2719" s="2" t="s">
        <v>31</v>
      </c>
      <c r="E2719" s="2" t="s">
        <v>20</v>
      </c>
      <c r="F2719" s="2" t="n">
        <v>2325</v>
      </c>
      <c r="G2719" s="2" t="s">
        <v>20</v>
      </c>
      <c r="H2719" s="2" t="s">
        <v>20</v>
      </c>
      <c r="I2719" s="2" t="s">
        <v>21</v>
      </c>
      <c r="J2719" s="2" t="n">
        <v>2</v>
      </c>
      <c r="K2719" s="2" t="s">
        <v>35</v>
      </c>
      <c r="L2719" s="2" t="n">
        <v>125</v>
      </c>
      <c r="M2719" s="2" t="n">
        <v>1</v>
      </c>
      <c r="N2719" s="2" t="n">
        <v>-1</v>
      </c>
      <c r="O2719" s="2" t="n">
        <v>0</v>
      </c>
      <c r="P2719" s="2" t="s">
        <v>23</v>
      </c>
      <c r="Q2719" s="2" t="s">
        <v>26</v>
      </c>
    </row>
    <row r="2720" customFormat="false" ht="15" hidden="false" customHeight="false" outlineLevel="0" collapsed="false">
      <c r="A2720" s="2" t="n">
        <v>48</v>
      </c>
      <c r="B2720" s="2" t="s">
        <v>24</v>
      </c>
      <c r="C2720" s="2" t="s">
        <v>18</v>
      </c>
      <c r="D2720" s="2" t="s">
        <v>25</v>
      </c>
      <c r="E2720" s="2" t="s">
        <v>26</v>
      </c>
      <c r="F2720" s="2" t="n">
        <v>-20</v>
      </c>
      <c r="G2720" s="2" t="s">
        <v>20</v>
      </c>
      <c r="H2720" s="2" t="s">
        <v>20</v>
      </c>
      <c r="I2720" s="2" t="s">
        <v>21</v>
      </c>
      <c r="J2720" s="2" t="n">
        <v>20</v>
      </c>
      <c r="K2720" s="2" t="s">
        <v>41</v>
      </c>
      <c r="L2720" s="2" t="n">
        <v>142</v>
      </c>
      <c r="M2720" s="2" t="n">
        <v>2</v>
      </c>
      <c r="N2720" s="2" t="n">
        <v>-1</v>
      </c>
      <c r="O2720" s="2" t="n">
        <v>0</v>
      </c>
      <c r="P2720" s="2" t="s">
        <v>23</v>
      </c>
      <c r="Q2720" s="2" t="s">
        <v>20</v>
      </c>
    </row>
    <row r="2721" customFormat="false" ht="15" hidden="false" customHeight="false" outlineLevel="0" collapsed="false">
      <c r="A2721" s="2" t="n">
        <v>32</v>
      </c>
      <c r="B2721" s="2" t="s">
        <v>38</v>
      </c>
      <c r="C2721" s="2" t="s">
        <v>30</v>
      </c>
      <c r="D2721" s="2" t="s">
        <v>25</v>
      </c>
      <c r="E2721" s="2" t="s">
        <v>20</v>
      </c>
      <c r="F2721" s="2" t="n">
        <v>230</v>
      </c>
      <c r="G2721" s="2" t="s">
        <v>26</v>
      </c>
      <c r="H2721" s="2" t="s">
        <v>20</v>
      </c>
      <c r="I2721" s="2" t="s">
        <v>21</v>
      </c>
      <c r="J2721" s="2" t="n">
        <v>18</v>
      </c>
      <c r="K2721" s="2" t="s">
        <v>27</v>
      </c>
      <c r="L2721" s="2" t="n">
        <v>442</v>
      </c>
      <c r="M2721" s="2" t="n">
        <v>1</v>
      </c>
      <c r="N2721" s="2" t="n">
        <v>266</v>
      </c>
      <c r="O2721" s="2" t="n">
        <v>8</v>
      </c>
      <c r="P2721" s="2" t="s">
        <v>28</v>
      </c>
      <c r="Q2721" s="2" t="s">
        <v>26</v>
      </c>
    </row>
    <row r="2722" customFormat="false" ht="15" hidden="false" customHeight="false" outlineLevel="0" collapsed="false">
      <c r="A2722" s="2" t="n">
        <v>46</v>
      </c>
      <c r="B2722" s="2" t="s">
        <v>29</v>
      </c>
      <c r="C2722" s="2" t="s">
        <v>45</v>
      </c>
      <c r="D2722" s="2" t="s">
        <v>25</v>
      </c>
      <c r="E2722" s="2" t="s">
        <v>20</v>
      </c>
      <c r="F2722" s="2" t="n">
        <v>-852</v>
      </c>
      <c r="G2722" s="2" t="s">
        <v>20</v>
      </c>
      <c r="H2722" s="2" t="s">
        <v>26</v>
      </c>
      <c r="I2722" s="2" t="s">
        <v>21</v>
      </c>
      <c r="J2722" s="2" t="n">
        <v>29</v>
      </c>
      <c r="K2722" s="2" t="s">
        <v>41</v>
      </c>
      <c r="L2722" s="2" t="n">
        <v>728</v>
      </c>
      <c r="M2722" s="2" t="n">
        <v>2</v>
      </c>
      <c r="N2722" s="2" t="n">
        <v>-1</v>
      </c>
      <c r="O2722" s="2" t="n">
        <v>0</v>
      </c>
      <c r="P2722" s="2" t="s">
        <v>23</v>
      </c>
      <c r="Q2722" s="2" t="s">
        <v>20</v>
      </c>
    </row>
    <row r="2723" customFormat="false" ht="15" hidden="false" customHeight="false" outlineLevel="0" collapsed="false">
      <c r="A2723" s="2" t="n">
        <v>31</v>
      </c>
      <c r="B2723" s="2" t="s">
        <v>34</v>
      </c>
      <c r="C2723" s="2" t="s">
        <v>30</v>
      </c>
      <c r="D2723" s="2" t="s">
        <v>19</v>
      </c>
      <c r="E2723" s="2" t="s">
        <v>20</v>
      </c>
      <c r="F2723" s="2" t="n">
        <v>-280</v>
      </c>
      <c r="G2723" s="2" t="s">
        <v>20</v>
      </c>
      <c r="H2723" s="2" t="s">
        <v>20</v>
      </c>
      <c r="I2723" s="2" t="s">
        <v>23</v>
      </c>
      <c r="J2723" s="2" t="n">
        <v>21</v>
      </c>
      <c r="K2723" s="2" t="s">
        <v>27</v>
      </c>
      <c r="L2723" s="2" t="n">
        <v>281</v>
      </c>
      <c r="M2723" s="2" t="n">
        <v>3</v>
      </c>
      <c r="N2723" s="2" t="n">
        <v>-1</v>
      </c>
      <c r="O2723" s="2" t="n">
        <v>0</v>
      </c>
      <c r="P2723" s="2" t="s">
        <v>23</v>
      </c>
      <c r="Q2723" s="2" t="s">
        <v>20</v>
      </c>
    </row>
    <row r="2724" customFormat="false" ht="15" hidden="false" customHeight="false" outlineLevel="0" collapsed="false">
      <c r="A2724" s="2" t="n">
        <v>53</v>
      </c>
      <c r="B2724" s="2" t="s">
        <v>34</v>
      </c>
      <c r="C2724" s="2" t="s">
        <v>18</v>
      </c>
      <c r="D2724" s="2" t="s">
        <v>25</v>
      </c>
      <c r="E2724" s="2" t="s">
        <v>20</v>
      </c>
      <c r="F2724" s="2" t="n">
        <v>25</v>
      </c>
      <c r="G2724" s="2" t="s">
        <v>20</v>
      </c>
      <c r="H2724" s="2" t="s">
        <v>20</v>
      </c>
      <c r="I2724" s="2" t="s">
        <v>21</v>
      </c>
      <c r="J2724" s="2" t="n">
        <v>22</v>
      </c>
      <c r="K2724" s="2" t="s">
        <v>41</v>
      </c>
      <c r="L2724" s="2" t="n">
        <v>528</v>
      </c>
      <c r="M2724" s="2" t="n">
        <v>2</v>
      </c>
      <c r="N2724" s="2" t="n">
        <v>-1</v>
      </c>
      <c r="O2724" s="2" t="n">
        <v>0</v>
      </c>
      <c r="P2724" s="2" t="s">
        <v>23</v>
      </c>
      <c r="Q2724" s="2" t="s">
        <v>26</v>
      </c>
    </row>
    <row r="2725" customFormat="false" ht="15" hidden="false" customHeight="false" outlineLevel="0" collapsed="false">
      <c r="A2725" s="2" t="n">
        <v>34</v>
      </c>
      <c r="B2725" s="2" t="s">
        <v>38</v>
      </c>
      <c r="C2725" s="2" t="s">
        <v>30</v>
      </c>
      <c r="D2725" s="2" t="s">
        <v>31</v>
      </c>
      <c r="E2725" s="2" t="s">
        <v>20</v>
      </c>
      <c r="F2725" s="2" t="n">
        <v>9851</v>
      </c>
      <c r="G2725" s="2" t="s">
        <v>26</v>
      </c>
      <c r="H2725" s="2" t="s">
        <v>20</v>
      </c>
      <c r="I2725" s="2" t="s">
        <v>21</v>
      </c>
      <c r="J2725" s="2" t="n">
        <v>20</v>
      </c>
      <c r="K2725" s="2" t="s">
        <v>46</v>
      </c>
      <c r="L2725" s="2" t="n">
        <v>128</v>
      </c>
      <c r="M2725" s="2" t="n">
        <v>5</v>
      </c>
      <c r="N2725" s="2" t="n">
        <v>-1</v>
      </c>
      <c r="O2725" s="2" t="n">
        <v>0</v>
      </c>
      <c r="P2725" s="2" t="s">
        <v>23</v>
      </c>
      <c r="Q2725" s="2" t="s">
        <v>20</v>
      </c>
    </row>
    <row r="2726" customFormat="false" ht="15" hidden="false" customHeight="false" outlineLevel="0" collapsed="false">
      <c r="A2726" s="2" t="n">
        <v>48</v>
      </c>
      <c r="B2726" s="2" t="s">
        <v>24</v>
      </c>
      <c r="C2726" s="2" t="s">
        <v>30</v>
      </c>
      <c r="D2726" s="2" t="s">
        <v>23</v>
      </c>
      <c r="E2726" s="2" t="s">
        <v>20</v>
      </c>
      <c r="F2726" s="2" t="n">
        <v>5095</v>
      </c>
      <c r="G2726" s="2" t="s">
        <v>26</v>
      </c>
      <c r="H2726" s="2" t="s">
        <v>20</v>
      </c>
      <c r="I2726" s="2" t="s">
        <v>23</v>
      </c>
      <c r="J2726" s="2" t="n">
        <v>16</v>
      </c>
      <c r="K2726" s="2" t="s">
        <v>33</v>
      </c>
      <c r="L2726" s="2" t="n">
        <v>71</v>
      </c>
      <c r="M2726" s="2" t="n">
        <v>1</v>
      </c>
      <c r="N2726" s="2" t="n">
        <v>-1</v>
      </c>
      <c r="O2726" s="2" t="n">
        <v>0</v>
      </c>
      <c r="P2726" s="2" t="s">
        <v>23</v>
      </c>
      <c r="Q2726" s="2" t="s">
        <v>20</v>
      </c>
    </row>
    <row r="2727" customFormat="false" ht="15" hidden="false" customHeight="false" outlineLevel="0" collapsed="false">
      <c r="A2727" s="2" t="n">
        <v>32</v>
      </c>
      <c r="B2727" s="2" t="s">
        <v>38</v>
      </c>
      <c r="C2727" s="2" t="s">
        <v>18</v>
      </c>
      <c r="D2727" s="2" t="s">
        <v>25</v>
      </c>
      <c r="E2727" s="2" t="s">
        <v>20</v>
      </c>
      <c r="F2727" s="2" t="n">
        <v>687</v>
      </c>
      <c r="G2727" s="2" t="s">
        <v>20</v>
      </c>
      <c r="H2727" s="2" t="s">
        <v>20</v>
      </c>
      <c r="I2727" s="2" t="s">
        <v>21</v>
      </c>
      <c r="J2727" s="2" t="n">
        <v>20</v>
      </c>
      <c r="K2727" s="2" t="s">
        <v>41</v>
      </c>
      <c r="L2727" s="2" t="n">
        <v>161</v>
      </c>
      <c r="M2727" s="2" t="n">
        <v>4</v>
      </c>
      <c r="N2727" s="2" t="n">
        <v>-1</v>
      </c>
      <c r="O2727" s="2" t="n">
        <v>0</v>
      </c>
      <c r="P2727" s="2" t="s">
        <v>23</v>
      </c>
      <c r="Q2727" s="2" t="s">
        <v>20</v>
      </c>
    </row>
    <row r="2728" customFormat="false" ht="15" hidden="false" customHeight="false" outlineLevel="0" collapsed="false">
      <c r="A2728" s="2" t="n">
        <v>31</v>
      </c>
      <c r="B2728" s="2" t="s">
        <v>29</v>
      </c>
      <c r="C2728" s="2" t="s">
        <v>18</v>
      </c>
      <c r="D2728" s="2" t="s">
        <v>25</v>
      </c>
      <c r="E2728" s="2" t="s">
        <v>20</v>
      </c>
      <c r="F2728" s="2" t="n">
        <v>1368</v>
      </c>
      <c r="G2728" s="2" t="s">
        <v>26</v>
      </c>
      <c r="H2728" s="2" t="s">
        <v>20</v>
      </c>
      <c r="I2728" s="2" t="s">
        <v>21</v>
      </c>
      <c r="J2728" s="2" t="n">
        <v>12</v>
      </c>
      <c r="K2728" s="2" t="s">
        <v>41</v>
      </c>
      <c r="L2728" s="2" t="n">
        <v>129</v>
      </c>
      <c r="M2728" s="2" t="n">
        <v>4</v>
      </c>
      <c r="N2728" s="2" t="n">
        <v>-1</v>
      </c>
      <c r="O2728" s="2" t="n">
        <v>0</v>
      </c>
      <c r="P2728" s="2" t="s">
        <v>23</v>
      </c>
      <c r="Q2728" s="2" t="s">
        <v>20</v>
      </c>
    </row>
    <row r="2729" customFormat="false" ht="15" hidden="false" customHeight="false" outlineLevel="0" collapsed="false">
      <c r="A2729" s="2" t="n">
        <v>27</v>
      </c>
      <c r="B2729" s="2" t="s">
        <v>34</v>
      </c>
      <c r="C2729" s="2" t="s">
        <v>30</v>
      </c>
      <c r="D2729" s="2" t="s">
        <v>19</v>
      </c>
      <c r="E2729" s="2" t="s">
        <v>20</v>
      </c>
      <c r="F2729" s="2" t="n">
        <v>-179</v>
      </c>
      <c r="G2729" s="2" t="s">
        <v>26</v>
      </c>
      <c r="H2729" s="2" t="s">
        <v>20</v>
      </c>
      <c r="I2729" s="2" t="s">
        <v>21</v>
      </c>
      <c r="J2729" s="2" t="n">
        <v>15</v>
      </c>
      <c r="K2729" s="2" t="s">
        <v>27</v>
      </c>
      <c r="L2729" s="2" t="n">
        <v>54</v>
      </c>
      <c r="M2729" s="2" t="n">
        <v>2</v>
      </c>
      <c r="N2729" s="2" t="n">
        <v>-1</v>
      </c>
      <c r="O2729" s="2" t="n">
        <v>0</v>
      </c>
      <c r="P2729" s="2" t="s">
        <v>23</v>
      </c>
      <c r="Q2729" s="2" t="s">
        <v>20</v>
      </c>
    </row>
    <row r="2730" customFormat="false" ht="15" hidden="false" customHeight="false" outlineLevel="0" collapsed="false">
      <c r="A2730" s="2" t="n">
        <v>60</v>
      </c>
      <c r="B2730" s="2" t="s">
        <v>40</v>
      </c>
      <c r="C2730" s="2" t="s">
        <v>18</v>
      </c>
      <c r="D2730" s="2" t="s">
        <v>25</v>
      </c>
      <c r="E2730" s="2" t="s">
        <v>20</v>
      </c>
      <c r="F2730" s="2" t="n">
        <v>-396</v>
      </c>
      <c r="G2730" s="2" t="s">
        <v>26</v>
      </c>
      <c r="H2730" s="2" t="s">
        <v>20</v>
      </c>
      <c r="I2730" s="2" t="s">
        <v>21</v>
      </c>
      <c r="J2730" s="2" t="n">
        <v>11</v>
      </c>
      <c r="K2730" s="2" t="s">
        <v>27</v>
      </c>
      <c r="L2730" s="2" t="n">
        <v>443</v>
      </c>
      <c r="M2730" s="2" t="n">
        <v>1</v>
      </c>
      <c r="N2730" s="2" t="n">
        <v>350</v>
      </c>
      <c r="O2730" s="2" t="n">
        <v>1</v>
      </c>
      <c r="P2730" s="2" t="s">
        <v>28</v>
      </c>
      <c r="Q2730" s="2" t="s">
        <v>20</v>
      </c>
    </row>
    <row r="2731" customFormat="false" ht="15" hidden="false" customHeight="false" outlineLevel="0" collapsed="false">
      <c r="A2731" s="2" t="n">
        <v>34</v>
      </c>
      <c r="B2731" s="2" t="s">
        <v>34</v>
      </c>
      <c r="C2731" s="2" t="s">
        <v>30</v>
      </c>
      <c r="D2731" s="2" t="s">
        <v>31</v>
      </c>
      <c r="E2731" s="2" t="s">
        <v>20</v>
      </c>
      <c r="F2731" s="2" t="n">
        <v>1011</v>
      </c>
      <c r="G2731" s="2" t="s">
        <v>26</v>
      </c>
      <c r="H2731" s="2" t="s">
        <v>20</v>
      </c>
      <c r="I2731" s="2" t="s">
        <v>23</v>
      </c>
      <c r="J2731" s="2" t="n">
        <v>6</v>
      </c>
      <c r="K2731" s="2" t="s">
        <v>27</v>
      </c>
      <c r="L2731" s="2" t="n">
        <v>136</v>
      </c>
      <c r="M2731" s="2" t="n">
        <v>1</v>
      </c>
      <c r="N2731" s="2" t="n">
        <v>-1</v>
      </c>
      <c r="O2731" s="2" t="n">
        <v>0</v>
      </c>
      <c r="P2731" s="2" t="s">
        <v>23</v>
      </c>
      <c r="Q2731" s="2" t="s">
        <v>20</v>
      </c>
    </row>
    <row r="2732" customFormat="false" ht="15" hidden="false" customHeight="false" outlineLevel="0" collapsed="false">
      <c r="A2732" s="2" t="n">
        <v>52</v>
      </c>
      <c r="B2732" s="2" t="s">
        <v>36</v>
      </c>
      <c r="C2732" s="2" t="s">
        <v>18</v>
      </c>
      <c r="D2732" s="2" t="s">
        <v>25</v>
      </c>
      <c r="E2732" s="2" t="s">
        <v>20</v>
      </c>
      <c r="F2732" s="2" t="n">
        <v>9</v>
      </c>
      <c r="G2732" s="2" t="s">
        <v>20</v>
      </c>
      <c r="H2732" s="2" t="s">
        <v>26</v>
      </c>
      <c r="I2732" s="2" t="s">
        <v>23</v>
      </c>
      <c r="J2732" s="2" t="n">
        <v>6</v>
      </c>
      <c r="K2732" s="2" t="s">
        <v>33</v>
      </c>
      <c r="L2732" s="2" t="n">
        <v>44</v>
      </c>
      <c r="M2732" s="2" t="n">
        <v>1</v>
      </c>
      <c r="N2732" s="2" t="n">
        <v>-1</v>
      </c>
      <c r="O2732" s="2" t="n">
        <v>0</v>
      </c>
      <c r="P2732" s="2" t="s">
        <v>23</v>
      </c>
      <c r="Q2732" s="2" t="s">
        <v>20</v>
      </c>
    </row>
    <row r="2733" customFormat="false" ht="15" hidden="false" customHeight="false" outlineLevel="0" collapsed="false">
      <c r="A2733" s="2" t="n">
        <v>48</v>
      </c>
      <c r="B2733" s="2" t="s">
        <v>34</v>
      </c>
      <c r="C2733" s="2" t="s">
        <v>18</v>
      </c>
      <c r="D2733" s="2" t="s">
        <v>25</v>
      </c>
      <c r="E2733" s="2" t="s">
        <v>20</v>
      </c>
      <c r="F2733" s="2" t="n">
        <v>1159</v>
      </c>
      <c r="G2733" s="2" t="s">
        <v>26</v>
      </c>
      <c r="H2733" s="2" t="s">
        <v>26</v>
      </c>
      <c r="I2733" s="2" t="s">
        <v>21</v>
      </c>
      <c r="J2733" s="2" t="n">
        <v>15</v>
      </c>
      <c r="K2733" s="2" t="s">
        <v>27</v>
      </c>
      <c r="L2733" s="2" t="n">
        <v>1181</v>
      </c>
      <c r="M2733" s="2" t="n">
        <v>9</v>
      </c>
      <c r="N2733" s="2" t="n">
        <v>-1</v>
      </c>
      <c r="O2733" s="2" t="n">
        <v>0</v>
      </c>
      <c r="P2733" s="2" t="s">
        <v>23</v>
      </c>
      <c r="Q2733" s="2" t="s">
        <v>20</v>
      </c>
    </row>
    <row r="2734" customFormat="false" ht="15" hidden="false" customHeight="false" outlineLevel="0" collapsed="false">
      <c r="A2734" s="2" t="n">
        <v>45</v>
      </c>
      <c r="B2734" s="2" t="s">
        <v>38</v>
      </c>
      <c r="C2734" s="2" t="s">
        <v>18</v>
      </c>
      <c r="D2734" s="2" t="s">
        <v>19</v>
      </c>
      <c r="E2734" s="2" t="s">
        <v>20</v>
      </c>
      <c r="F2734" s="2" t="n">
        <v>-322</v>
      </c>
      <c r="G2734" s="2" t="s">
        <v>20</v>
      </c>
      <c r="H2734" s="2" t="s">
        <v>20</v>
      </c>
      <c r="I2734" s="2" t="s">
        <v>23</v>
      </c>
      <c r="J2734" s="2" t="n">
        <v>9</v>
      </c>
      <c r="K2734" s="2" t="s">
        <v>33</v>
      </c>
      <c r="L2734" s="2" t="n">
        <v>225</v>
      </c>
      <c r="M2734" s="2" t="n">
        <v>2</v>
      </c>
      <c r="N2734" s="2" t="n">
        <v>-1</v>
      </c>
      <c r="O2734" s="2" t="n">
        <v>0</v>
      </c>
      <c r="P2734" s="2" t="s">
        <v>23</v>
      </c>
      <c r="Q2734" s="2" t="s">
        <v>20</v>
      </c>
    </row>
    <row r="2735" customFormat="false" ht="15" hidden="false" customHeight="false" outlineLevel="0" collapsed="false">
      <c r="A2735" s="2" t="n">
        <v>54</v>
      </c>
      <c r="B2735" s="2" t="s">
        <v>38</v>
      </c>
      <c r="C2735" s="2" t="s">
        <v>45</v>
      </c>
      <c r="D2735" s="2" t="s">
        <v>25</v>
      </c>
      <c r="E2735" s="2" t="s">
        <v>20</v>
      </c>
      <c r="F2735" s="2" t="n">
        <v>1114</v>
      </c>
      <c r="G2735" s="2" t="s">
        <v>26</v>
      </c>
      <c r="H2735" s="2" t="s">
        <v>20</v>
      </c>
      <c r="I2735" s="2" t="s">
        <v>21</v>
      </c>
      <c r="J2735" s="2" t="n">
        <v>30</v>
      </c>
      <c r="K2735" s="2" t="s">
        <v>43</v>
      </c>
      <c r="L2735" s="2" t="n">
        <v>81</v>
      </c>
      <c r="M2735" s="2" t="n">
        <v>1</v>
      </c>
      <c r="N2735" s="2" t="n">
        <v>-1</v>
      </c>
      <c r="O2735" s="2" t="n">
        <v>0</v>
      </c>
      <c r="P2735" s="2" t="s">
        <v>23</v>
      </c>
      <c r="Q2735" s="2" t="s">
        <v>20</v>
      </c>
    </row>
    <row r="2736" customFormat="false" ht="15" hidden="false" customHeight="false" outlineLevel="0" collapsed="false">
      <c r="A2736" s="2" t="n">
        <v>52</v>
      </c>
      <c r="B2736" s="2" t="s">
        <v>24</v>
      </c>
      <c r="C2736" s="2" t="s">
        <v>18</v>
      </c>
      <c r="D2736" s="2" t="s">
        <v>25</v>
      </c>
      <c r="E2736" s="2" t="s">
        <v>20</v>
      </c>
      <c r="F2736" s="2" t="n">
        <v>2072</v>
      </c>
      <c r="G2736" s="2" t="s">
        <v>20</v>
      </c>
      <c r="H2736" s="2" t="s">
        <v>20</v>
      </c>
      <c r="I2736" s="2" t="s">
        <v>21</v>
      </c>
      <c r="J2736" s="2" t="n">
        <v>10</v>
      </c>
      <c r="K2736" s="2" t="s">
        <v>44</v>
      </c>
      <c r="L2736" s="2" t="n">
        <v>224</v>
      </c>
      <c r="M2736" s="2" t="n">
        <v>1</v>
      </c>
      <c r="N2736" s="2" t="n">
        <v>-1</v>
      </c>
      <c r="O2736" s="2" t="n">
        <v>0</v>
      </c>
      <c r="P2736" s="2" t="s">
        <v>23</v>
      </c>
      <c r="Q2736" s="2" t="s">
        <v>20</v>
      </c>
    </row>
    <row r="2737" customFormat="false" ht="15" hidden="false" customHeight="false" outlineLevel="0" collapsed="false">
      <c r="A2737" s="2" t="n">
        <v>47</v>
      </c>
      <c r="B2737" s="2" t="s">
        <v>39</v>
      </c>
      <c r="C2737" s="2" t="s">
        <v>18</v>
      </c>
      <c r="D2737" s="2" t="s">
        <v>31</v>
      </c>
      <c r="E2737" s="2" t="s">
        <v>20</v>
      </c>
      <c r="F2737" s="2" t="n">
        <v>459</v>
      </c>
      <c r="G2737" s="2" t="s">
        <v>26</v>
      </c>
      <c r="H2737" s="2" t="s">
        <v>20</v>
      </c>
      <c r="I2737" s="2" t="s">
        <v>21</v>
      </c>
      <c r="J2737" s="2" t="n">
        <v>29</v>
      </c>
      <c r="K2737" s="2" t="s">
        <v>44</v>
      </c>
      <c r="L2737" s="2" t="n">
        <v>189</v>
      </c>
      <c r="M2737" s="2" t="n">
        <v>4</v>
      </c>
      <c r="N2737" s="2" t="n">
        <v>-1</v>
      </c>
      <c r="O2737" s="2" t="n">
        <v>0</v>
      </c>
      <c r="P2737" s="2" t="s">
        <v>23</v>
      </c>
      <c r="Q2737" s="2" t="s">
        <v>20</v>
      </c>
    </row>
    <row r="2738" customFormat="false" ht="15" hidden="false" customHeight="false" outlineLevel="0" collapsed="false">
      <c r="A2738" s="2" t="n">
        <v>54</v>
      </c>
      <c r="B2738" s="2" t="s">
        <v>23</v>
      </c>
      <c r="C2738" s="2" t="s">
        <v>18</v>
      </c>
      <c r="D2738" s="2" t="s">
        <v>25</v>
      </c>
      <c r="E2738" s="2" t="s">
        <v>20</v>
      </c>
      <c r="F2738" s="2" t="n">
        <v>1157</v>
      </c>
      <c r="G2738" s="2" t="s">
        <v>20</v>
      </c>
      <c r="H2738" s="2" t="s">
        <v>20</v>
      </c>
      <c r="I2738" s="2" t="s">
        <v>21</v>
      </c>
      <c r="J2738" s="2" t="n">
        <v>26</v>
      </c>
      <c r="K2738" s="2" t="s">
        <v>27</v>
      </c>
      <c r="L2738" s="2" t="n">
        <v>98</v>
      </c>
      <c r="M2738" s="2" t="n">
        <v>2</v>
      </c>
      <c r="N2738" s="2" t="n">
        <v>-1</v>
      </c>
      <c r="O2738" s="2" t="n">
        <v>0</v>
      </c>
      <c r="P2738" s="2" t="s">
        <v>23</v>
      </c>
      <c r="Q2738" s="2" t="s">
        <v>20</v>
      </c>
    </row>
    <row r="2739" customFormat="false" ht="15" hidden="false" customHeight="false" outlineLevel="0" collapsed="false">
      <c r="A2739" s="2" t="n">
        <v>34</v>
      </c>
      <c r="B2739" s="2" t="s">
        <v>34</v>
      </c>
      <c r="C2739" s="2" t="s">
        <v>18</v>
      </c>
      <c r="D2739" s="2" t="s">
        <v>25</v>
      </c>
      <c r="E2739" s="2" t="s">
        <v>20</v>
      </c>
      <c r="F2739" s="2" t="n">
        <v>8309</v>
      </c>
      <c r="G2739" s="2" t="s">
        <v>26</v>
      </c>
      <c r="H2739" s="2" t="s">
        <v>26</v>
      </c>
      <c r="I2739" s="2" t="s">
        <v>21</v>
      </c>
      <c r="J2739" s="2" t="n">
        <v>19</v>
      </c>
      <c r="K2739" s="2" t="s">
        <v>46</v>
      </c>
      <c r="L2739" s="2" t="n">
        <v>50</v>
      </c>
      <c r="M2739" s="2" t="n">
        <v>1</v>
      </c>
      <c r="N2739" s="2" t="n">
        <v>-1</v>
      </c>
      <c r="O2739" s="2" t="n">
        <v>0</v>
      </c>
      <c r="P2739" s="2" t="s">
        <v>23</v>
      </c>
      <c r="Q2739" s="2" t="s">
        <v>20</v>
      </c>
    </row>
    <row r="2740" customFormat="false" ht="15" hidden="false" customHeight="false" outlineLevel="0" collapsed="false">
      <c r="A2740" s="2" t="n">
        <v>39</v>
      </c>
      <c r="B2740" s="2" t="s">
        <v>38</v>
      </c>
      <c r="C2740" s="2" t="s">
        <v>30</v>
      </c>
      <c r="D2740" s="2" t="s">
        <v>31</v>
      </c>
      <c r="E2740" s="2" t="s">
        <v>20</v>
      </c>
      <c r="F2740" s="2" t="n">
        <v>1043</v>
      </c>
      <c r="G2740" s="2" t="s">
        <v>20</v>
      </c>
      <c r="H2740" s="2" t="s">
        <v>20</v>
      </c>
      <c r="I2740" s="2" t="s">
        <v>21</v>
      </c>
      <c r="J2740" s="2" t="n">
        <v>18</v>
      </c>
      <c r="K2740" s="2" t="s">
        <v>41</v>
      </c>
      <c r="L2740" s="2" t="n">
        <v>195</v>
      </c>
      <c r="M2740" s="2" t="n">
        <v>10</v>
      </c>
      <c r="N2740" s="2" t="n">
        <v>-1</v>
      </c>
      <c r="O2740" s="2" t="n">
        <v>0</v>
      </c>
      <c r="P2740" s="2" t="s">
        <v>23</v>
      </c>
      <c r="Q2740" s="2" t="s">
        <v>20</v>
      </c>
    </row>
    <row r="2741" customFormat="false" ht="15" hidden="false" customHeight="false" outlineLevel="0" collapsed="false">
      <c r="A2741" s="2" t="n">
        <v>46</v>
      </c>
      <c r="B2741" s="2" t="s">
        <v>38</v>
      </c>
      <c r="C2741" s="2" t="s">
        <v>18</v>
      </c>
      <c r="D2741" s="2" t="s">
        <v>25</v>
      </c>
      <c r="E2741" s="2" t="s">
        <v>20</v>
      </c>
      <c r="F2741" s="2" t="n">
        <v>2098</v>
      </c>
      <c r="G2741" s="2" t="s">
        <v>20</v>
      </c>
      <c r="H2741" s="2" t="s">
        <v>20</v>
      </c>
      <c r="I2741" s="2" t="s">
        <v>21</v>
      </c>
      <c r="J2741" s="2" t="n">
        <v>7</v>
      </c>
      <c r="K2741" s="2" t="s">
        <v>41</v>
      </c>
      <c r="L2741" s="2" t="n">
        <v>110</v>
      </c>
      <c r="M2741" s="2" t="n">
        <v>2</v>
      </c>
      <c r="N2741" s="2" t="n">
        <v>-1</v>
      </c>
      <c r="O2741" s="2" t="n">
        <v>0</v>
      </c>
      <c r="P2741" s="2" t="s">
        <v>23</v>
      </c>
      <c r="Q2741" s="2" t="s">
        <v>20</v>
      </c>
    </row>
    <row r="2742" customFormat="false" ht="15" hidden="false" customHeight="false" outlineLevel="0" collapsed="false">
      <c r="A2742" s="2" t="n">
        <v>26</v>
      </c>
      <c r="B2742" s="2" t="s">
        <v>17</v>
      </c>
      <c r="C2742" s="2" t="s">
        <v>30</v>
      </c>
      <c r="D2742" s="2" t="s">
        <v>25</v>
      </c>
      <c r="E2742" s="2" t="s">
        <v>20</v>
      </c>
      <c r="F2742" s="2" t="n">
        <v>461</v>
      </c>
      <c r="G2742" s="2" t="s">
        <v>20</v>
      </c>
      <c r="H2742" s="2" t="s">
        <v>20</v>
      </c>
      <c r="I2742" s="2" t="s">
        <v>21</v>
      </c>
      <c r="J2742" s="2" t="n">
        <v>28</v>
      </c>
      <c r="K2742" s="2" t="s">
        <v>43</v>
      </c>
      <c r="L2742" s="2" t="n">
        <v>214</v>
      </c>
      <c r="M2742" s="2" t="n">
        <v>1</v>
      </c>
      <c r="N2742" s="2" t="n">
        <v>-1</v>
      </c>
      <c r="O2742" s="2" t="n">
        <v>0</v>
      </c>
      <c r="P2742" s="2" t="s">
        <v>23</v>
      </c>
      <c r="Q2742" s="2" t="s">
        <v>20</v>
      </c>
    </row>
    <row r="2743" customFormat="false" ht="15" hidden="false" customHeight="false" outlineLevel="0" collapsed="false">
      <c r="A2743" s="2" t="n">
        <v>37</v>
      </c>
      <c r="B2743" s="2" t="s">
        <v>38</v>
      </c>
      <c r="C2743" s="2" t="s">
        <v>30</v>
      </c>
      <c r="D2743" s="2" t="s">
        <v>25</v>
      </c>
      <c r="E2743" s="2" t="s">
        <v>20</v>
      </c>
      <c r="F2743" s="2" t="n">
        <v>61</v>
      </c>
      <c r="G2743" s="2" t="s">
        <v>26</v>
      </c>
      <c r="H2743" s="2" t="s">
        <v>20</v>
      </c>
      <c r="I2743" s="2" t="s">
        <v>23</v>
      </c>
      <c r="J2743" s="2" t="n">
        <v>19</v>
      </c>
      <c r="K2743" s="2" t="s">
        <v>27</v>
      </c>
      <c r="L2743" s="2" t="n">
        <v>182</v>
      </c>
      <c r="M2743" s="2" t="n">
        <v>8</v>
      </c>
      <c r="N2743" s="2" t="n">
        <v>-1</v>
      </c>
      <c r="O2743" s="2" t="n">
        <v>0</v>
      </c>
      <c r="P2743" s="2" t="s">
        <v>23</v>
      </c>
      <c r="Q2743" s="2" t="s">
        <v>20</v>
      </c>
    </row>
    <row r="2744" customFormat="false" ht="15" hidden="false" customHeight="false" outlineLevel="0" collapsed="false">
      <c r="A2744" s="2" t="n">
        <v>47</v>
      </c>
      <c r="B2744" s="2" t="s">
        <v>34</v>
      </c>
      <c r="C2744" s="2" t="s">
        <v>18</v>
      </c>
      <c r="D2744" s="2" t="s">
        <v>25</v>
      </c>
      <c r="E2744" s="2" t="s">
        <v>20</v>
      </c>
      <c r="F2744" s="2" t="n">
        <v>1203</v>
      </c>
      <c r="G2744" s="2" t="s">
        <v>26</v>
      </c>
      <c r="H2744" s="2" t="s">
        <v>20</v>
      </c>
      <c r="I2744" s="2" t="s">
        <v>21</v>
      </c>
      <c r="J2744" s="2" t="n">
        <v>17</v>
      </c>
      <c r="K2744" s="2" t="s">
        <v>32</v>
      </c>
      <c r="L2744" s="2" t="n">
        <v>239</v>
      </c>
      <c r="M2744" s="2" t="n">
        <v>2</v>
      </c>
      <c r="N2744" s="2" t="n">
        <v>-1</v>
      </c>
      <c r="O2744" s="2" t="n">
        <v>0</v>
      </c>
      <c r="P2744" s="2" t="s">
        <v>23</v>
      </c>
      <c r="Q2744" s="2" t="s">
        <v>20</v>
      </c>
    </row>
    <row r="2745" customFormat="false" ht="15" hidden="false" customHeight="false" outlineLevel="0" collapsed="false">
      <c r="A2745" s="2" t="n">
        <v>35</v>
      </c>
      <c r="B2745" s="2" t="s">
        <v>38</v>
      </c>
      <c r="C2745" s="2" t="s">
        <v>18</v>
      </c>
      <c r="D2745" s="2" t="s">
        <v>25</v>
      </c>
      <c r="E2745" s="2" t="s">
        <v>20</v>
      </c>
      <c r="F2745" s="2" t="n">
        <v>1067</v>
      </c>
      <c r="G2745" s="2" t="s">
        <v>20</v>
      </c>
      <c r="H2745" s="2" t="s">
        <v>26</v>
      </c>
      <c r="I2745" s="2" t="s">
        <v>21</v>
      </c>
      <c r="J2745" s="2" t="n">
        <v>12</v>
      </c>
      <c r="K2745" s="2" t="s">
        <v>41</v>
      </c>
      <c r="L2745" s="2" t="n">
        <v>179</v>
      </c>
      <c r="M2745" s="2" t="n">
        <v>6</v>
      </c>
      <c r="N2745" s="2" t="n">
        <v>-1</v>
      </c>
      <c r="O2745" s="2" t="n">
        <v>0</v>
      </c>
      <c r="P2745" s="2" t="s">
        <v>23</v>
      </c>
      <c r="Q2745" s="2" t="s">
        <v>20</v>
      </c>
    </row>
    <row r="2746" customFormat="false" ht="15" hidden="false" customHeight="false" outlineLevel="0" collapsed="false">
      <c r="A2746" s="2" t="n">
        <v>57</v>
      </c>
      <c r="B2746" s="2" t="s">
        <v>17</v>
      </c>
      <c r="C2746" s="2" t="s">
        <v>18</v>
      </c>
      <c r="D2746" s="2" t="s">
        <v>19</v>
      </c>
      <c r="E2746" s="2" t="s">
        <v>20</v>
      </c>
      <c r="F2746" s="2" t="n">
        <v>0</v>
      </c>
      <c r="G2746" s="2" t="s">
        <v>20</v>
      </c>
      <c r="H2746" s="2" t="s">
        <v>20</v>
      </c>
      <c r="I2746" s="2" t="s">
        <v>23</v>
      </c>
      <c r="J2746" s="2" t="n">
        <v>9</v>
      </c>
      <c r="K2746" s="2" t="s">
        <v>33</v>
      </c>
      <c r="L2746" s="2" t="n">
        <v>540</v>
      </c>
      <c r="M2746" s="2" t="n">
        <v>1</v>
      </c>
      <c r="N2746" s="2" t="n">
        <v>-1</v>
      </c>
      <c r="O2746" s="2" t="n">
        <v>0</v>
      </c>
      <c r="P2746" s="2" t="s">
        <v>23</v>
      </c>
      <c r="Q2746" s="2" t="s">
        <v>20</v>
      </c>
    </row>
    <row r="2747" customFormat="false" ht="15" hidden="false" customHeight="false" outlineLevel="0" collapsed="false">
      <c r="A2747" s="2" t="n">
        <v>34</v>
      </c>
      <c r="B2747" s="2" t="s">
        <v>29</v>
      </c>
      <c r="C2747" s="2" t="s">
        <v>18</v>
      </c>
      <c r="D2747" s="2" t="s">
        <v>31</v>
      </c>
      <c r="E2747" s="2" t="s">
        <v>20</v>
      </c>
      <c r="F2747" s="2" t="n">
        <v>1657</v>
      </c>
      <c r="G2747" s="2" t="s">
        <v>26</v>
      </c>
      <c r="H2747" s="2" t="s">
        <v>20</v>
      </c>
      <c r="I2747" s="2" t="s">
        <v>21</v>
      </c>
      <c r="J2747" s="2" t="n">
        <v>18</v>
      </c>
      <c r="K2747" s="2" t="s">
        <v>27</v>
      </c>
      <c r="L2747" s="2" t="n">
        <v>566</v>
      </c>
      <c r="M2747" s="2" t="n">
        <v>2</v>
      </c>
      <c r="N2747" s="2" t="n">
        <v>356</v>
      </c>
      <c r="O2747" s="2" t="n">
        <v>4</v>
      </c>
      <c r="P2747" s="2" t="s">
        <v>28</v>
      </c>
      <c r="Q2747" s="2" t="s">
        <v>20</v>
      </c>
    </row>
    <row r="2748" customFormat="false" ht="15" hidden="false" customHeight="false" outlineLevel="0" collapsed="false">
      <c r="A2748" s="2" t="n">
        <v>47</v>
      </c>
      <c r="B2748" s="2" t="s">
        <v>38</v>
      </c>
      <c r="C2748" s="2" t="s">
        <v>18</v>
      </c>
      <c r="D2748" s="2" t="s">
        <v>25</v>
      </c>
      <c r="E2748" s="2" t="s">
        <v>20</v>
      </c>
      <c r="F2748" s="2" t="n">
        <v>1219</v>
      </c>
      <c r="G2748" s="2" t="s">
        <v>20</v>
      </c>
      <c r="H2748" s="2" t="s">
        <v>20</v>
      </c>
      <c r="I2748" s="2" t="s">
        <v>21</v>
      </c>
      <c r="J2748" s="2" t="n">
        <v>18</v>
      </c>
      <c r="K2748" s="2" t="s">
        <v>41</v>
      </c>
      <c r="L2748" s="2" t="n">
        <v>697</v>
      </c>
      <c r="M2748" s="2" t="n">
        <v>4</v>
      </c>
      <c r="N2748" s="2" t="n">
        <v>-1</v>
      </c>
      <c r="O2748" s="2" t="n">
        <v>0</v>
      </c>
      <c r="P2748" s="2" t="s">
        <v>23</v>
      </c>
      <c r="Q2748" s="2" t="s">
        <v>26</v>
      </c>
    </row>
    <row r="2749" customFormat="false" ht="15" hidden="false" customHeight="false" outlineLevel="0" collapsed="false">
      <c r="A2749" s="2" t="n">
        <v>27</v>
      </c>
      <c r="B2749" s="2" t="s">
        <v>38</v>
      </c>
      <c r="C2749" s="2" t="s">
        <v>18</v>
      </c>
      <c r="D2749" s="2" t="s">
        <v>25</v>
      </c>
      <c r="E2749" s="2" t="s">
        <v>20</v>
      </c>
      <c r="F2749" s="2" t="n">
        <v>7</v>
      </c>
      <c r="G2749" s="2" t="s">
        <v>26</v>
      </c>
      <c r="H2749" s="2" t="s">
        <v>20</v>
      </c>
      <c r="I2749" s="2" t="s">
        <v>23</v>
      </c>
      <c r="J2749" s="2" t="n">
        <v>15</v>
      </c>
      <c r="K2749" s="2" t="s">
        <v>27</v>
      </c>
      <c r="L2749" s="2" t="n">
        <v>98</v>
      </c>
      <c r="M2749" s="2" t="n">
        <v>2</v>
      </c>
      <c r="N2749" s="2" t="n">
        <v>-1</v>
      </c>
      <c r="O2749" s="2" t="n">
        <v>0</v>
      </c>
      <c r="P2749" s="2" t="s">
        <v>23</v>
      </c>
      <c r="Q2749" s="2" t="s">
        <v>20</v>
      </c>
    </row>
    <row r="2750" customFormat="false" ht="15" hidden="false" customHeight="false" outlineLevel="0" collapsed="false">
      <c r="A2750" s="2" t="n">
        <v>40</v>
      </c>
      <c r="B2750" s="2" t="s">
        <v>34</v>
      </c>
      <c r="C2750" s="2" t="s">
        <v>18</v>
      </c>
      <c r="D2750" s="2" t="s">
        <v>25</v>
      </c>
      <c r="E2750" s="2" t="s">
        <v>20</v>
      </c>
      <c r="F2750" s="2" t="n">
        <v>-839</v>
      </c>
      <c r="G2750" s="2" t="s">
        <v>26</v>
      </c>
      <c r="H2750" s="2" t="s">
        <v>26</v>
      </c>
      <c r="I2750" s="2" t="s">
        <v>21</v>
      </c>
      <c r="J2750" s="2" t="n">
        <v>16</v>
      </c>
      <c r="K2750" s="2" t="s">
        <v>44</v>
      </c>
      <c r="L2750" s="2" t="n">
        <v>1018</v>
      </c>
      <c r="M2750" s="2" t="n">
        <v>2</v>
      </c>
      <c r="N2750" s="2" t="n">
        <v>-1</v>
      </c>
      <c r="O2750" s="2" t="n">
        <v>0</v>
      </c>
      <c r="P2750" s="2" t="s">
        <v>23</v>
      </c>
      <c r="Q2750" s="2" t="s">
        <v>26</v>
      </c>
    </row>
    <row r="2751" customFormat="false" ht="15" hidden="false" customHeight="false" outlineLevel="0" collapsed="false">
      <c r="A2751" s="2" t="n">
        <v>39</v>
      </c>
      <c r="B2751" s="2" t="s">
        <v>38</v>
      </c>
      <c r="C2751" s="2" t="s">
        <v>18</v>
      </c>
      <c r="D2751" s="2" t="s">
        <v>25</v>
      </c>
      <c r="E2751" s="2" t="s">
        <v>20</v>
      </c>
      <c r="F2751" s="2" t="n">
        <v>994</v>
      </c>
      <c r="G2751" s="2" t="s">
        <v>20</v>
      </c>
      <c r="H2751" s="2" t="s">
        <v>20</v>
      </c>
      <c r="I2751" s="2" t="s">
        <v>21</v>
      </c>
      <c r="J2751" s="2" t="n">
        <v>5</v>
      </c>
      <c r="K2751" s="2" t="s">
        <v>35</v>
      </c>
      <c r="L2751" s="2" t="n">
        <v>221</v>
      </c>
      <c r="M2751" s="2" t="n">
        <v>1</v>
      </c>
      <c r="N2751" s="2" t="n">
        <v>241</v>
      </c>
      <c r="O2751" s="2" t="n">
        <v>1</v>
      </c>
      <c r="P2751" s="2" t="s">
        <v>28</v>
      </c>
      <c r="Q2751" s="2" t="s">
        <v>20</v>
      </c>
    </row>
    <row r="2752" customFormat="false" ht="15" hidden="false" customHeight="false" outlineLevel="0" collapsed="false">
      <c r="A2752" s="2" t="n">
        <v>36</v>
      </c>
      <c r="B2752" s="2" t="s">
        <v>39</v>
      </c>
      <c r="C2752" s="2" t="s">
        <v>18</v>
      </c>
      <c r="D2752" s="2" t="s">
        <v>31</v>
      </c>
      <c r="E2752" s="2" t="s">
        <v>20</v>
      </c>
      <c r="F2752" s="2" t="n">
        <v>6</v>
      </c>
      <c r="G2752" s="2" t="s">
        <v>20</v>
      </c>
      <c r="H2752" s="2" t="s">
        <v>20</v>
      </c>
      <c r="I2752" s="2" t="s">
        <v>49</v>
      </c>
      <c r="J2752" s="2" t="n">
        <v>30</v>
      </c>
      <c r="K2752" s="2" t="s">
        <v>22</v>
      </c>
      <c r="L2752" s="2" t="n">
        <v>246</v>
      </c>
      <c r="M2752" s="2" t="n">
        <v>1</v>
      </c>
      <c r="N2752" s="2" t="n">
        <v>-1</v>
      </c>
      <c r="O2752" s="2" t="n">
        <v>0</v>
      </c>
      <c r="P2752" s="2" t="s">
        <v>23</v>
      </c>
      <c r="Q2752" s="2" t="s">
        <v>20</v>
      </c>
    </row>
    <row r="2753" customFormat="false" ht="15" hidden="false" customHeight="false" outlineLevel="0" collapsed="false">
      <c r="A2753" s="2" t="n">
        <v>42</v>
      </c>
      <c r="B2753" s="2" t="s">
        <v>38</v>
      </c>
      <c r="C2753" s="2" t="s">
        <v>30</v>
      </c>
      <c r="D2753" s="2" t="s">
        <v>25</v>
      </c>
      <c r="E2753" s="2" t="s">
        <v>20</v>
      </c>
      <c r="F2753" s="2" t="n">
        <v>0</v>
      </c>
      <c r="G2753" s="2" t="s">
        <v>20</v>
      </c>
      <c r="H2753" s="2" t="s">
        <v>20</v>
      </c>
      <c r="I2753" s="2" t="s">
        <v>21</v>
      </c>
      <c r="J2753" s="2" t="n">
        <v>21</v>
      </c>
      <c r="K2753" s="2" t="s">
        <v>41</v>
      </c>
      <c r="L2753" s="2" t="n">
        <v>656</v>
      </c>
      <c r="M2753" s="2" t="n">
        <v>2</v>
      </c>
      <c r="N2753" s="2" t="n">
        <v>-1</v>
      </c>
      <c r="O2753" s="2" t="n">
        <v>0</v>
      </c>
      <c r="P2753" s="2" t="s">
        <v>23</v>
      </c>
      <c r="Q2753" s="2" t="s">
        <v>20</v>
      </c>
    </row>
    <row r="2754" customFormat="false" ht="15" hidden="false" customHeight="false" outlineLevel="0" collapsed="false">
      <c r="A2754" s="2" t="n">
        <v>23</v>
      </c>
      <c r="B2754" s="2" t="s">
        <v>34</v>
      </c>
      <c r="C2754" s="2" t="s">
        <v>30</v>
      </c>
      <c r="D2754" s="2" t="s">
        <v>19</v>
      </c>
      <c r="E2754" s="2" t="s">
        <v>20</v>
      </c>
      <c r="F2754" s="2" t="n">
        <v>8627</v>
      </c>
      <c r="G2754" s="2" t="s">
        <v>26</v>
      </c>
      <c r="H2754" s="2" t="s">
        <v>20</v>
      </c>
      <c r="I2754" s="2" t="s">
        <v>23</v>
      </c>
      <c r="J2754" s="2" t="n">
        <v>3</v>
      </c>
      <c r="K2754" s="2" t="s">
        <v>33</v>
      </c>
      <c r="L2754" s="2" t="n">
        <v>281</v>
      </c>
      <c r="M2754" s="2" t="n">
        <v>1</v>
      </c>
      <c r="N2754" s="2" t="n">
        <v>-1</v>
      </c>
      <c r="O2754" s="2" t="n">
        <v>0</v>
      </c>
      <c r="P2754" s="2" t="s">
        <v>23</v>
      </c>
      <c r="Q2754" s="2" t="s">
        <v>20</v>
      </c>
    </row>
    <row r="2755" customFormat="false" ht="15" hidden="false" customHeight="false" outlineLevel="0" collapsed="false">
      <c r="A2755" s="2" t="n">
        <v>34</v>
      </c>
      <c r="B2755" s="2" t="s">
        <v>29</v>
      </c>
      <c r="C2755" s="2" t="s">
        <v>18</v>
      </c>
      <c r="D2755" s="2" t="s">
        <v>31</v>
      </c>
      <c r="E2755" s="2" t="s">
        <v>20</v>
      </c>
      <c r="F2755" s="2" t="n">
        <v>133</v>
      </c>
      <c r="G2755" s="2" t="s">
        <v>26</v>
      </c>
      <c r="H2755" s="2" t="s">
        <v>20</v>
      </c>
      <c r="I2755" s="2" t="s">
        <v>23</v>
      </c>
      <c r="J2755" s="2" t="n">
        <v>8</v>
      </c>
      <c r="K2755" s="2" t="s">
        <v>27</v>
      </c>
      <c r="L2755" s="2" t="n">
        <v>65</v>
      </c>
      <c r="M2755" s="2" t="n">
        <v>1</v>
      </c>
      <c r="N2755" s="2" t="n">
        <v>-1</v>
      </c>
      <c r="O2755" s="2" t="n">
        <v>0</v>
      </c>
      <c r="P2755" s="2" t="s">
        <v>23</v>
      </c>
      <c r="Q2755" s="2" t="s">
        <v>20</v>
      </c>
    </row>
    <row r="2756" customFormat="false" ht="15" hidden="false" customHeight="false" outlineLevel="0" collapsed="false">
      <c r="A2756" s="2" t="n">
        <v>34</v>
      </c>
      <c r="B2756" s="2" t="s">
        <v>34</v>
      </c>
      <c r="C2756" s="2" t="s">
        <v>18</v>
      </c>
      <c r="D2756" s="2" t="s">
        <v>25</v>
      </c>
      <c r="E2756" s="2" t="s">
        <v>20</v>
      </c>
      <c r="F2756" s="2" t="n">
        <v>247</v>
      </c>
      <c r="G2756" s="2" t="s">
        <v>26</v>
      </c>
      <c r="H2756" s="2" t="s">
        <v>26</v>
      </c>
      <c r="I2756" s="2" t="s">
        <v>23</v>
      </c>
      <c r="J2756" s="2" t="n">
        <v>26</v>
      </c>
      <c r="K2756" s="2" t="s">
        <v>27</v>
      </c>
      <c r="L2756" s="2" t="n">
        <v>193</v>
      </c>
      <c r="M2756" s="2" t="n">
        <v>5</v>
      </c>
      <c r="N2756" s="2" t="n">
        <v>-1</v>
      </c>
      <c r="O2756" s="2" t="n">
        <v>0</v>
      </c>
      <c r="P2756" s="2" t="s">
        <v>23</v>
      </c>
      <c r="Q2756" s="2" t="s">
        <v>20</v>
      </c>
    </row>
    <row r="2757" customFormat="false" ht="15" hidden="false" customHeight="false" outlineLevel="0" collapsed="false">
      <c r="A2757" s="2" t="n">
        <v>49</v>
      </c>
      <c r="B2757" s="2" t="s">
        <v>24</v>
      </c>
      <c r="C2757" s="2" t="s">
        <v>18</v>
      </c>
      <c r="D2757" s="2" t="s">
        <v>25</v>
      </c>
      <c r="E2757" s="2" t="s">
        <v>20</v>
      </c>
      <c r="F2757" s="2" t="n">
        <v>1114</v>
      </c>
      <c r="G2757" s="2" t="s">
        <v>20</v>
      </c>
      <c r="H2757" s="2" t="s">
        <v>20</v>
      </c>
      <c r="I2757" s="2" t="s">
        <v>21</v>
      </c>
      <c r="J2757" s="2" t="n">
        <v>17</v>
      </c>
      <c r="K2757" s="2" t="s">
        <v>46</v>
      </c>
      <c r="L2757" s="2" t="n">
        <v>283</v>
      </c>
      <c r="M2757" s="2" t="n">
        <v>1</v>
      </c>
      <c r="N2757" s="2" t="n">
        <v>-1</v>
      </c>
      <c r="O2757" s="2" t="n">
        <v>0</v>
      </c>
      <c r="P2757" s="2" t="s">
        <v>23</v>
      </c>
      <c r="Q2757" s="2" t="s">
        <v>20</v>
      </c>
    </row>
    <row r="2758" customFormat="false" ht="15" hidden="false" customHeight="false" outlineLevel="0" collapsed="false">
      <c r="A2758" s="2" t="n">
        <v>57</v>
      </c>
      <c r="B2758" s="2" t="s">
        <v>34</v>
      </c>
      <c r="C2758" s="2" t="s">
        <v>18</v>
      </c>
      <c r="D2758" s="2" t="s">
        <v>19</v>
      </c>
      <c r="E2758" s="2" t="s">
        <v>20</v>
      </c>
      <c r="F2758" s="2" t="n">
        <v>1592</v>
      </c>
      <c r="G2758" s="2" t="s">
        <v>20</v>
      </c>
      <c r="H2758" s="2" t="s">
        <v>26</v>
      </c>
      <c r="I2758" s="2" t="s">
        <v>23</v>
      </c>
      <c r="J2758" s="2" t="n">
        <v>20</v>
      </c>
      <c r="K2758" s="2" t="s">
        <v>33</v>
      </c>
      <c r="L2758" s="2" t="n">
        <v>78</v>
      </c>
      <c r="M2758" s="2" t="n">
        <v>4</v>
      </c>
      <c r="N2758" s="2" t="n">
        <v>-1</v>
      </c>
      <c r="O2758" s="2" t="n">
        <v>0</v>
      </c>
      <c r="P2758" s="2" t="s">
        <v>23</v>
      </c>
      <c r="Q2758" s="2" t="s">
        <v>20</v>
      </c>
    </row>
    <row r="2759" customFormat="false" ht="15" hidden="false" customHeight="false" outlineLevel="0" collapsed="false">
      <c r="A2759" s="2" t="n">
        <v>59</v>
      </c>
      <c r="B2759" s="2" t="s">
        <v>48</v>
      </c>
      <c r="C2759" s="2" t="s">
        <v>18</v>
      </c>
      <c r="D2759" s="2" t="s">
        <v>23</v>
      </c>
      <c r="E2759" s="2" t="s">
        <v>20</v>
      </c>
      <c r="F2759" s="2" t="n">
        <v>0</v>
      </c>
      <c r="G2759" s="2" t="s">
        <v>20</v>
      </c>
      <c r="H2759" s="2" t="s">
        <v>20</v>
      </c>
      <c r="I2759" s="2" t="s">
        <v>23</v>
      </c>
      <c r="J2759" s="2" t="n">
        <v>8</v>
      </c>
      <c r="K2759" s="2" t="s">
        <v>27</v>
      </c>
      <c r="L2759" s="2" t="n">
        <v>425</v>
      </c>
      <c r="M2759" s="2" t="n">
        <v>6</v>
      </c>
      <c r="N2759" s="2" t="n">
        <v>-1</v>
      </c>
      <c r="O2759" s="2" t="n">
        <v>0</v>
      </c>
      <c r="P2759" s="2" t="s">
        <v>23</v>
      </c>
      <c r="Q2759" s="2" t="s">
        <v>20</v>
      </c>
    </row>
    <row r="2760" customFormat="false" ht="15" hidden="false" customHeight="false" outlineLevel="0" collapsed="false">
      <c r="A2760" s="2" t="n">
        <v>57</v>
      </c>
      <c r="B2760" s="2" t="s">
        <v>40</v>
      </c>
      <c r="C2760" s="2" t="s">
        <v>18</v>
      </c>
      <c r="D2760" s="2" t="s">
        <v>31</v>
      </c>
      <c r="E2760" s="2" t="s">
        <v>20</v>
      </c>
      <c r="F2760" s="2" t="n">
        <v>46</v>
      </c>
      <c r="G2760" s="2" t="s">
        <v>20</v>
      </c>
      <c r="H2760" s="2" t="s">
        <v>20</v>
      </c>
      <c r="I2760" s="2" t="s">
        <v>21</v>
      </c>
      <c r="J2760" s="2" t="n">
        <v>7</v>
      </c>
      <c r="K2760" s="2" t="s">
        <v>41</v>
      </c>
      <c r="L2760" s="2" t="n">
        <v>238</v>
      </c>
      <c r="M2760" s="2" t="n">
        <v>2</v>
      </c>
      <c r="N2760" s="2" t="n">
        <v>-1</v>
      </c>
      <c r="O2760" s="2" t="n">
        <v>0</v>
      </c>
      <c r="P2760" s="2" t="s">
        <v>23</v>
      </c>
      <c r="Q2760" s="2" t="s">
        <v>20</v>
      </c>
    </row>
    <row r="2761" customFormat="false" ht="15" hidden="false" customHeight="false" outlineLevel="0" collapsed="false">
      <c r="A2761" s="2" t="n">
        <v>34</v>
      </c>
      <c r="B2761" s="2" t="s">
        <v>34</v>
      </c>
      <c r="C2761" s="2" t="s">
        <v>18</v>
      </c>
      <c r="D2761" s="2" t="s">
        <v>25</v>
      </c>
      <c r="E2761" s="2" t="s">
        <v>20</v>
      </c>
      <c r="F2761" s="2" t="n">
        <v>1221</v>
      </c>
      <c r="G2761" s="2" t="s">
        <v>26</v>
      </c>
      <c r="H2761" s="2" t="s">
        <v>20</v>
      </c>
      <c r="I2761" s="2" t="s">
        <v>21</v>
      </c>
      <c r="J2761" s="2" t="n">
        <v>6</v>
      </c>
      <c r="K2761" s="2" t="s">
        <v>27</v>
      </c>
      <c r="L2761" s="2" t="n">
        <v>182</v>
      </c>
      <c r="M2761" s="2" t="n">
        <v>1</v>
      </c>
      <c r="N2761" s="2" t="n">
        <v>90</v>
      </c>
      <c r="O2761" s="2" t="n">
        <v>8</v>
      </c>
      <c r="P2761" s="2" t="s">
        <v>28</v>
      </c>
      <c r="Q2761" s="2" t="s">
        <v>20</v>
      </c>
    </row>
    <row r="2762" customFormat="false" ht="15" hidden="false" customHeight="false" outlineLevel="0" collapsed="false">
      <c r="A2762" s="2" t="n">
        <v>61</v>
      </c>
      <c r="B2762" s="2" t="s">
        <v>29</v>
      </c>
      <c r="C2762" s="2" t="s">
        <v>18</v>
      </c>
      <c r="D2762" s="2" t="s">
        <v>25</v>
      </c>
      <c r="E2762" s="2" t="s">
        <v>20</v>
      </c>
      <c r="F2762" s="2" t="n">
        <v>985</v>
      </c>
      <c r="G2762" s="2" t="s">
        <v>20</v>
      </c>
      <c r="H2762" s="2" t="s">
        <v>20</v>
      </c>
      <c r="I2762" s="2" t="s">
        <v>21</v>
      </c>
      <c r="J2762" s="2" t="n">
        <v>18</v>
      </c>
      <c r="K2762" s="2" t="s">
        <v>41</v>
      </c>
      <c r="L2762" s="2" t="n">
        <v>998</v>
      </c>
      <c r="M2762" s="2" t="n">
        <v>6</v>
      </c>
      <c r="N2762" s="2" t="n">
        <v>-1</v>
      </c>
      <c r="O2762" s="2" t="n">
        <v>0</v>
      </c>
      <c r="P2762" s="2" t="s">
        <v>23</v>
      </c>
      <c r="Q2762" s="2" t="s">
        <v>26</v>
      </c>
    </row>
    <row r="2763" customFormat="false" ht="15" hidden="false" customHeight="false" outlineLevel="0" collapsed="false">
      <c r="A2763" s="2" t="n">
        <v>35</v>
      </c>
      <c r="B2763" s="2" t="s">
        <v>34</v>
      </c>
      <c r="C2763" s="2" t="s">
        <v>45</v>
      </c>
      <c r="D2763" s="2" t="s">
        <v>25</v>
      </c>
      <c r="E2763" s="2" t="s">
        <v>20</v>
      </c>
      <c r="F2763" s="2" t="n">
        <v>0</v>
      </c>
      <c r="G2763" s="2" t="s">
        <v>26</v>
      </c>
      <c r="H2763" s="2" t="s">
        <v>20</v>
      </c>
      <c r="I2763" s="2" t="s">
        <v>23</v>
      </c>
      <c r="J2763" s="2" t="n">
        <v>8</v>
      </c>
      <c r="K2763" s="2" t="s">
        <v>27</v>
      </c>
      <c r="L2763" s="2" t="n">
        <v>477</v>
      </c>
      <c r="M2763" s="2" t="n">
        <v>1</v>
      </c>
      <c r="N2763" s="2" t="n">
        <v>-1</v>
      </c>
      <c r="O2763" s="2" t="n">
        <v>0</v>
      </c>
      <c r="P2763" s="2" t="s">
        <v>23</v>
      </c>
      <c r="Q2763" s="2" t="s">
        <v>20</v>
      </c>
    </row>
    <row r="2764" customFormat="false" ht="15" hidden="false" customHeight="false" outlineLevel="0" collapsed="false">
      <c r="A2764" s="2" t="n">
        <v>42</v>
      </c>
      <c r="B2764" s="2" t="s">
        <v>29</v>
      </c>
      <c r="C2764" s="2" t="s">
        <v>18</v>
      </c>
      <c r="D2764" s="2" t="s">
        <v>31</v>
      </c>
      <c r="E2764" s="2" t="s">
        <v>20</v>
      </c>
      <c r="F2764" s="2" t="n">
        <v>520</v>
      </c>
      <c r="G2764" s="2" t="s">
        <v>20</v>
      </c>
      <c r="H2764" s="2" t="s">
        <v>20</v>
      </c>
      <c r="I2764" s="2" t="s">
        <v>21</v>
      </c>
      <c r="J2764" s="2" t="n">
        <v>4</v>
      </c>
      <c r="K2764" s="2" t="s">
        <v>46</v>
      </c>
      <c r="L2764" s="2" t="n">
        <v>158</v>
      </c>
      <c r="M2764" s="2" t="n">
        <v>1</v>
      </c>
      <c r="N2764" s="2" t="n">
        <v>-1</v>
      </c>
      <c r="O2764" s="2" t="n">
        <v>0</v>
      </c>
      <c r="P2764" s="2" t="s">
        <v>23</v>
      </c>
      <c r="Q2764" s="2" t="s">
        <v>20</v>
      </c>
    </row>
    <row r="2765" customFormat="false" ht="15" hidden="false" customHeight="false" outlineLevel="0" collapsed="false">
      <c r="A2765" s="2" t="n">
        <v>57</v>
      </c>
      <c r="B2765" s="2" t="s">
        <v>24</v>
      </c>
      <c r="C2765" s="2" t="s">
        <v>18</v>
      </c>
      <c r="D2765" s="2" t="s">
        <v>31</v>
      </c>
      <c r="E2765" s="2" t="s">
        <v>20</v>
      </c>
      <c r="F2765" s="2" t="n">
        <v>10</v>
      </c>
      <c r="G2765" s="2" t="s">
        <v>20</v>
      </c>
      <c r="H2765" s="2" t="s">
        <v>20</v>
      </c>
      <c r="I2765" s="2" t="s">
        <v>49</v>
      </c>
      <c r="J2765" s="2" t="n">
        <v>8</v>
      </c>
      <c r="K2765" s="2" t="s">
        <v>44</v>
      </c>
      <c r="L2765" s="2" t="n">
        <v>320</v>
      </c>
      <c r="M2765" s="2" t="n">
        <v>3</v>
      </c>
      <c r="N2765" s="2" t="n">
        <v>-1</v>
      </c>
      <c r="O2765" s="2" t="n">
        <v>0</v>
      </c>
      <c r="P2765" s="2" t="s">
        <v>23</v>
      </c>
      <c r="Q2765" s="2" t="s">
        <v>20</v>
      </c>
    </row>
    <row r="2766" customFormat="false" ht="15" hidden="false" customHeight="false" outlineLevel="0" collapsed="false">
      <c r="A2766" s="2" t="n">
        <v>42</v>
      </c>
      <c r="B2766" s="2" t="s">
        <v>34</v>
      </c>
      <c r="C2766" s="2" t="s">
        <v>18</v>
      </c>
      <c r="D2766" s="2" t="s">
        <v>25</v>
      </c>
      <c r="E2766" s="2" t="s">
        <v>20</v>
      </c>
      <c r="F2766" s="2" t="n">
        <v>2157</v>
      </c>
      <c r="G2766" s="2" t="s">
        <v>26</v>
      </c>
      <c r="H2766" s="2" t="s">
        <v>20</v>
      </c>
      <c r="I2766" s="2" t="s">
        <v>21</v>
      </c>
      <c r="J2766" s="2" t="n">
        <v>13</v>
      </c>
      <c r="K2766" s="2" t="s">
        <v>27</v>
      </c>
      <c r="L2766" s="2" t="n">
        <v>149</v>
      </c>
      <c r="M2766" s="2" t="n">
        <v>1</v>
      </c>
      <c r="N2766" s="2" t="n">
        <v>364</v>
      </c>
      <c r="O2766" s="2" t="n">
        <v>2</v>
      </c>
      <c r="P2766" s="2" t="s">
        <v>28</v>
      </c>
      <c r="Q2766" s="2" t="s">
        <v>20</v>
      </c>
    </row>
    <row r="2767" customFormat="false" ht="15" hidden="false" customHeight="false" outlineLevel="0" collapsed="false">
      <c r="A2767" s="2" t="n">
        <v>53</v>
      </c>
      <c r="B2767" s="2" t="s">
        <v>48</v>
      </c>
      <c r="C2767" s="2" t="s">
        <v>18</v>
      </c>
      <c r="D2767" s="2" t="s">
        <v>25</v>
      </c>
      <c r="E2767" s="2" t="s">
        <v>20</v>
      </c>
      <c r="F2767" s="2" t="n">
        <v>6095</v>
      </c>
      <c r="G2767" s="2" t="s">
        <v>26</v>
      </c>
      <c r="H2767" s="2" t="s">
        <v>26</v>
      </c>
      <c r="I2767" s="2" t="s">
        <v>21</v>
      </c>
      <c r="J2767" s="2" t="n">
        <v>14</v>
      </c>
      <c r="K2767" s="2" t="s">
        <v>27</v>
      </c>
      <c r="L2767" s="2" t="n">
        <v>410</v>
      </c>
      <c r="M2767" s="2" t="n">
        <v>5</v>
      </c>
      <c r="N2767" s="2" t="n">
        <v>-1</v>
      </c>
      <c r="O2767" s="2" t="n">
        <v>0</v>
      </c>
      <c r="P2767" s="2" t="s">
        <v>23</v>
      </c>
      <c r="Q2767" s="2" t="s">
        <v>20</v>
      </c>
    </row>
    <row r="2768" customFormat="false" ht="15" hidden="false" customHeight="false" outlineLevel="0" collapsed="false">
      <c r="A2768" s="2" t="n">
        <v>63</v>
      </c>
      <c r="B2768" s="2" t="s">
        <v>48</v>
      </c>
      <c r="C2768" s="2" t="s">
        <v>18</v>
      </c>
      <c r="D2768" s="2" t="s">
        <v>31</v>
      </c>
      <c r="E2768" s="2" t="s">
        <v>20</v>
      </c>
      <c r="F2768" s="2" t="n">
        <v>133</v>
      </c>
      <c r="G2768" s="2" t="s">
        <v>26</v>
      </c>
      <c r="H2768" s="2" t="s">
        <v>20</v>
      </c>
      <c r="I2768" s="2" t="s">
        <v>21</v>
      </c>
      <c r="J2768" s="2" t="n">
        <v>13</v>
      </c>
      <c r="K2768" s="2" t="s">
        <v>35</v>
      </c>
      <c r="L2768" s="2" t="n">
        <v>104</v>
      </c>
      <c r="M2768" s="2" t="n">
        <v>2</v>
      </c>
      <c r="N2768" s="2" t="n">
        <v>-1</v>
      </c>
      <c r="O2768" s="2" t="n">
        <v>0</v>
      </c>
      <c r="P2768" s="2" t="s">
        <v>23</v>
      </c>
      <c r="Q2768" s="2" t="s">
        <v>20</v>
      </c>
    </row>
    <row r="2769" customFormat="false" ht="15" hidden="false" customHeight="false" outlineLevel="0" collapsed="false">
      <c r="A2769" s="2" t="n">
        <v>47</v>
      </c>
      <c r="B2769" s="2" t="s">
        <v>36</v>
      </c>
      <c r="C2769" s="2" t="s">
        <v>18</v>
      </c>
      <c r="D2769" s="2" t="s">
        <v>25</v>
      </c>
      <c r="E2769" s="2" t="s">
        <v>20</v>
      </c>
      <c r="F2769" s="2" t="n">
        <v>1121</v>
      </c>
      <c r="G2769" s="2" t="s">
        <v>20</v>
      </c>
      <c r="H2769" s="2" t="s">
        <v>20</v>
      </c>
      <c r="I2769" s="2" t="s">
        <v>23</v>
      </c>
      <c r="J2769" s="2" t="n">
        <v>20</v>
      </c>
      <c r="K2769" s="2" t="s">
        <v>33</v>
      </c>
      <c r="L2769" s="2" t="n">
        <v>454</v>
      </c>
      <c r="M2769" s="2" t="n">
        <v>6</v>
      </c>
      <c r="N2769" s="2" t="n">
        <v>-1</v>
      </c>
      <c r="O2769" s="2" t="n">
        <v>0</v>
      </c>
      <c r="P2769" s="2" t="s">
        <v>23</v>
      </c>
      <c r="Q2769" s="2" t="s">
        <v>20</v>
      </c>
    </row>
    <row r="2770" customFormat="false" ht="15" hidden="false" customHeight="false" outlineLevel="0" collapsed="false">
      <c r="A2770" s="2" t="n">
        <v>54</v>
      </c>
      <c r="B2770" s="2" t="s">
        <v>24</v>
      </c>
      <c r="C2770" s="2" t="s">
        <v>18</v>
      </c>
      <c r="D2770" s="2" t="s">
        <v>25</v>
      </c>
      <c r="E2770" s="2" t="s">
        <v>20</v>
      </c>
      <c r="F2770" s="2" t="n">
        <v>88</v>
      </c>
      <c r="G2770" s="2" t="s">
        <v>26</v>
      </c>
      <c r="H2770" s="2" t="s">
        <v>20</v>
      </c>
      <c r="I2770" s="2" t="s">
        <v>23</v>
      </c>
      <c r="J2770" s="2" t="n">
        <v>13</v>
      </c>
      <c r="K2770" s="2" t="s">
        <v>27</v>
      </c>
      <c r="L2770" s="2" t="n">
        <v>190</v>
      </c>
      <c r="M2770" s="2" t="n">
        <v>1</v>
      </c>
      <c r="N2770" s="2" t="n">
        <v>-1</v>
      </c>
      <c r="O2770" s="2" t="n">
        <v>0</v>
      </c>
      <c r="P2770" s="2" t="s">
        <v>23</v>
      </c>
      <c r="Q2770" s="2" t="s">
        <v>20</v>
      </c>
    </row>
    <row r="2771" customFormat="false" ht="15" hidden="false" customHeight="false" outlineLevel="0" collapsed="false">
      <c r="A2771" s="2" t="n">
        <v>45</v>
      </c>
      <c r="B2771" s="2" t="s">
        <v>40</v>
      </c>
      <c r="C2771" s="2" t="s">
        <v>18</v>
      </c>
      <c r="D2771" s="2" t="s">
        <v>25</v>
      </c>
      <c r="E2771" s="2" t="s">
        <v>20</v>
      </c>
      <c r="F2771" s="2" t="n">
        <v>0</v>
      </c>
      <c r="G2771" s="2" t="s">
        <v>20</v>
      </c>
      <c r="H2771" s="2" t="s">
        <v>20</v>
      </c>
      <c r="I2771" s="2" t="s">
        <v>21</v>
      </c>
      <c r="J2771" s="2" t="n">
        <v>19</v>
      </c>
      <c r="K2771" s="2" t="s">
        <v>41</v>
      </c>
      <c r="L2771" s="2" t="n">
        <v>145</v>
      </c>
      <c r="M2771" s="2" t="n">
        <v>10</v>
      </c>
      <c r="N2771" s="2" t="n">
        <v>-1</v>
      </c>
      <c r="O2771" s="2" t="n">
        <v>0</v>
      </c>
      <c r="P2771" s="2" t="s">
        <v>23</v>
      </c>
      <c r="Q2771" s="2" t="s">
        <v>20</v>
      </c>
    </row>
    <row r="2772" customFormat="false" ht="15" hidden="false" customHeight="false" outlineLevel="0" collapsed="false">
      <c r="A2772" s="2" t="n">
        <v>28</v>
      </c>
      <c r="B2772" s="2" t="s">
        <v>29</v>
      </c>
      <c r="C2772" s="2" t="s">
        <v>30</v>
      </c>
      <c r="D2772" s="2" t="s">
        <v>31</v>
      </c>
      <c r="E2772" s="2" t="s">
        <v>20</v>
      </c>
      <c r="F2772" s="2" t="n">
        <v>-328</v>
      </c>
      <c r="G2772" s="2" t="s">
        <v>26</v>
      </c>
      <c r="H2772" s="2" t="s">
        <v>20</v>
      </c>
      <c r="I2772" s="2" t="s">
        <v>49</v>
      </c>
      <c r="J2772" s="2" t="n">
        <v>2</v>
      </c>
      <c r="K2772" s="2" t="s">
        <v>35</v>
      </c>
      <c r="L2772" s="2" t="n">
        <v>318</v>
      </c>
      <c r="M2772" s="2" t="n">
        <v>2</v>
      </c>
      <c r="N2772" s="2" t="n">
        <v>-1</v>
      </c>
      <c r="O2772" s="2" t="n">
        <v>0</v>
      </c>
      <c r="P2772" s="2" t="s">
        <v>23</v>
      </c>
      <c r="Q2772" s="2" t="s">
        <v>20</v>
      </c>
    </row>
    <row r="2773" customFormat="false" ht="15" hidden="false" customHeight="false" outlineLevel="0" collapsed="false">
      <c r="A2773" s="2" t="n">
        <v>58</v>
      </c>
      <c r="B2773" s="2" t="s">
        <v>17</v>
      </c>
      <c r="C2773" s="2" t="s">
        <v>18</v>
      </c>
      <c r="D2773" s="2" t="s">
        <v>25</v>
      </c>
      <c r="E2773" s="2" t="s">
        <v>20</v>
      </c>
      <c r="F2773" s="2" t="n">
        <v>610</v>
      </c>
      <c r="G2773" s="2" t="s">
        <v>26</v>
      </c>
      <c r="H2773" s="2" t="s">
        <v>20</v>
      </c>
      <c r="I2773" s="2" t="s">
        <v>49</v>
      </c>
      <c r="J2773" s="2" t="n">
        <v>29</v>
      </c>
      <c r="K2773" s="2" t="s">
        <v>44</v>
      </c>
      <c r="L2773" s="2" t="n">
        <v>246</v>
      </c>
      <c r="M2773" s="2" t="n">
        <v>2</v>
      </c>
      <c r="N2773" s="2" t="n">
        <v>-1</v>
      </c>
      <c r="O2773" s="2" t="n">
        <v>0</v>
      </c>
      <c r="P2773" s="2" t="s">
        <v>23</v>
      </c>
      <c r="Q2773" s="2" t="s">
        <v>20</v>
      </c>
    </row>
    <row r="2774" customFormat="false" ht="15" hidden="false" customHeight="false" outlineLevel="0" collapsed="false">
      <c r="A2774" s="2" t="n">
        <v>48</v>
      </c>
      <c r="B2774" s="2" t="s">
        <v>29</v>
      </c>
      <c r="C2774" s="2" t="s">
        <v>30</v>
      </c>
      <c r="D2774" s="2" t="s">
        <v>31</v>
      </c>
      <c r="E2774" s="2" t="s">
        <v>20</v>
      </c>
      <c r="F2774" s="2" t="n">
        <v>414</v>
      </c>
      <c r="G2774" s="2" t="s">
        <v>20</v>
      </c>
      <c r="H2774" s="2" t="s">
        <v>20</v>
      </c>
      <c r="I2774" s="2" t="s">
        <v>21</v>
      </c>
      <c r="J2774" s="2" t="n">
        <v>21</v>
      </c>
      <c r="K2774" s="2" t="s">
        <v>44</v>
      </c>
      <c r="L2774" s="2" t="n">
        <v>761</v>
      </c>
      <c r="M2774" s="2" t="n">
        <v>2</v>
      </c>
      <c r="N2774" s="2" t="n">
        <v>-1</v>
      </c>
      <c r="O2774" s="2" t="n">
        <v>0</v>
      </c>
      <c r="P2774" s="2" t="s">
        <v>23</v>
      </c>
      <c r="Q2774" s="2" t="s">
        <v>20</v>
      </c>
    </row>
    <row r="2775" customFormat="false" ht="15" hidden="false" customHeight="false" outlineLevel="0" collapsed="false">
      <c r="A2775" s="2" t="n">
        <v>35</v>
      </c>
      <c r="B2775" s="2" t="s">
        <v>29</v>
      </c>
      <c r="C2775" s="2" t="s">
        <v>45</v>
      </c>
      <c r="D2775" s="2" t="s">
        <v>31</v>
      </c>
      <c r="E2775" s="2" t="s">
        <v>20</v>
      </c>
      <c r="F2775" s="2" t="n">
        <v>0</v>
      </c>
      <c r="G2775" s="2" t="s">
        <v>26</v>
      </c>
      <c r="H2775" s="2" t="s">
        <v>20</v>
      </c>
      <c r="I2775" s="2" t="s">
        <v>49</v>
      </c>
      <c r="J2775" s="2" t="n">
        <v>29</v>
      </c>
      <c r="K2775" s="2" t="s">
        <v>22</v>
      </c>
      <c r="L2775" s="2" t="n">
        <v>171</v>
      </c>
      <c r="M2775" s="2" t="n">
        <v>1</v>
      </c>
      <c r="N2775" s="2" t="n">
        <v>-1</v>
      </c>
      <c r="O2775" s="2" t="n">
        <v>0</v>
      </c>
      <c r="P2775" s="2" t="s">
        <v>23</v>
      </c>
      <c r="Q2775" s="2" t="s">
        <v>26</v>
      </c>
    </row>
    <row r="2776" customFormat="false" ht="15" hidden="false" customHeight="false" outlineLevel="0" collapsed="false">
      <c r="A2776" s="2" t="n">
        <v>37</v>
      </c>
      <c r="B2776" s="2" t="s">
        <v>36</v>
      </c>
      <c r="C2776" s="2" t="s">
        <v>18</v>
      </c>
      <c r="D2776" s="2" t="s">
        <v>31</v>
      </c>
      <c r="E2776" s="2" t="s">
        <v>20</v>
      </c>
      <c r="F2776" s="2" t="n">
        <v>0</v>
      </c>
      <c r="G2776" s="2" t="s">
        <v>20</v>
      </c>
      <c r="H2776" s="2" t="s">
        <v>20</v>
      </c>
      <c r="I2776" s="2" t="s">
        <v>23</v>
      </c>
      <c r="J2776" s="2" t="n">
        <v>6</v>
      </c>
      <c r="K2776" s="2" t="s">
        <v>33</v>
      </c>
      <c r="L2776" s="2" t="n">
        <v>143</v>
      </c>
      <c r="M2776" s="2" t="n">
        <v>1</v>
      </c>
      <c r="N2776" s="2" t="n">
        <v>-1</v>
      </c>
      <c r="O2776" s="2" t="n">
        <v>0</v>
      </c>
      <c r="P2776" s="2" t="s">
        <v>23</v>
      </c>
      <c r="Q2776" s="2" t="s">
        <v>20</v>
      </c>
    </row>
    <row r="2777" customFormat="false" ht="15" hidden="false" customHeight="false" outlineLevel="0" collapsed="false">
      <c r="A2777" s="2" t="n">
        <v>37</v>
      </c>
      <c r="B2777" s="2" t="s">
        <v>34</v>
      </c>
      <c r="C2777" s="2" t="s">
        <v>18</v>
      </c>
      <c r="D2777" s="2" t="s">
        <v>25</v>
      </c>
      <c r="E2777" s="2" t="s">
        <v>20</v>
      </c>
      <c r="F2777" s="2" t="n">
        <v>685</v>
      </c>
      <c r="G2777" s="2" t="s">
        <v>26</v>
      </c>
      <c r="H2777" s="2" t="s">
        <v>20</v>
      </c>
      <c r="I2777" s="2" t="s">
        <v>23</v>
      </c>
      <c r="J2777" s="2" t="n">
        <v>6</v>
      </c>
      <c r="K2777" s="2" t="s">
        <v>33</v>
      </c>
      <c r="L2777" s="2" t="n">
        <v>968</v>
      </c>
      <c r="M2777" s="2" t="n">
        <v>1</v>
      </c>
      <c r="N2777" s="2" t="n">
        <v>-1</v>
      </c>
      <c r="O2777" s="2" t="n">
        <v>0</v>
      </c>
      <c r="P2777" s="2" t="s">
        <v>23</v>
      </c>
      <c r="Q2777" s="2" t="s">
        <v>20</v>
      </c>
    </row>
    <row r="2778" customFormat="false" ht="15" hidden="false" customHeight="false" outlineLevel="0" collapsed="false">
      <c r="A2778" s="2" t="n">
        <v>37</v>
      </c>
      <c r="B2778" s="2" t="s">
        <v>29</v>
      </c>
      <c r="C2778" s="2" t="s">
        <v>18</v>
      </c>
      <c r="D2778" s="2" t="s">
        <v>19</v>
      </c>
      <c r="E2778" s="2" t="s">
        <v>20</v>
      </c>
      <c r="F2778" s="2" t="n">
        <v>22856</v>
      </c>
      <c r="G2778" s="2" t="s">
        <v>20</v>
      </c>
      <c r="H2778" s="2" t="s">
        <v>20</v>
      </c>
      <c r="I2778" s="2" t="s">
        <v>21</v>
      </c>
      <c r="J2778" s="2" t="n">
        <v>2</v>
      </c>
      <c r="K2778" s="2" t="s">
        <v>44</v>
      </c>
      <c r="L2778" s="2" t="n">
        <v>154</v>
      </c>
      <c r="M2778" s="2" t="n">
        <v>1</v>
      </c>
      <c r="N2778" s="2" t="n">
        <v>388</v>
      </c>
      <c r="O2778" s="2" t="n">
        <v>1</v>
      </c>
      <c r="P2778" s="2" t="s">
        <v>28</v>
      </c>
      <c r="Q2778" s="2" t="s">
        <v>20</v>
      </c>
    </row>
    <row r="2779" customFormat="false" ht="15" hidden="false" customHeight="false" outlineLevel="0" collapsed="false">
      <c r="A2779" s="2" t="n">
        <v>25</v>
      </c>
      <c r="B2779" s="2" t="s">
        <v>24</v>
      </c>
      <c r="C2779" s="2" t="s">
        <v>30</v>
      </c>
      <c r="D2779" s="2" t="s">
        <v>25</v>
      </c>
      <c r="E2779" s="2" t="s">
        <v>20</v>
      </c>
      <c r="F2779" s="2" t="n">
        <v>-352</v>
      </c>
      <c r="G2779" s="2" t="s">
        <v>20</v>
      </c>
      <c r="H2779" s="2" t="s">
        <v>20</v>
      </c>
      <c r="I2779" s="2" t="s">
        <v>21</v>
      </c>
      <c r="J2779" s="2" t="n">
        <v>15</v>
      </c>
      <c r="K2779" s="2" t="s">
        <v>44</v>
      </c>
      <c r="L2779" s="2" t="n">
        <v>246</v>
      </c>
      <c r="M2779" s="2" t="n">
        <v>1</v>
      </c>
      <c r="N2779" s="2" t="n">
        <v>-1</v>
      </c>
      <c r="O2779" s="2" t="n">
        <v>0</v>
      </c>
      <c r="P2779" s="2" t="s">
        <v>23</v>
      </c>
      <c r="Q2779" s="2" t="s">
        <v>20</v>
      </c>
    </row>
    <row r="2780" customFormat="false" ht="15" hidden="false" customHeight="false" outlineLevel="0" collapsed="false">
      <c r="A2780" s="2" t="n">
        <v>58</v>
      </c>
      <c r="B2780" s="2" t="s">
        <v>34</v>
      </c>
      <c r="C2780" s="2" t="s">
        <v>18</v>
      </c>
      <c r="D2780" s="2" t="s">
        <v>25</v>
      </c>
      <c r="E2780" s="2" t="s">
        <v>20</v>
      </c>
      <c r="F2780" s="2" t="n">
        <v>602</v>
      </c>
      <c r="G2780" s="2" t="s">
        <v>26</v>
      </c>
      <c r="H2780" s="2" t="s">
        <v>20</v>
      </c>
      <c r="I2780" s="2" t="s">
        <v>21</v>
      </c>
      <c r="J2780" s="2" t="n">
        <v>13</v>
      </c>
      <c r="K2780" s="2" t="s">
        <v>27</v>
      </c>
      <c r="L2780" s="2" t="n">
        <v>201</v>
      </c>
      <c r="M2780" s="2" t="n">
        <v>1</v>
      </c>
      <c r="N2780" s="2" t="n">
        <v>-1</v>
      </c>
      <c r="O2780" s="2" t="n">
        <v>0</v>
      </c>
      <c r="P2780" s="2" t="s">
        <v>23</v>
      </c>
      <c r="Q2780" s="2" t="s">
        <v>20</v>
      </c>
    </row>
    <row r="2781" customFormat="false" ht="15" hidden="false" customHeight="false" outlineLevel="0" collapsed="false">
      <c r="A2781" s="2" t="n">
        <v>52</v>
      </c>
      <c r="B2781" s="2" t="s">
        <v>29</v>
      </c>
      <c r="C2781" s="2" t="s">
        <v>18</v>
      </c>
      <c r="D2781" s="2" t="s">
        <v>25</v>
      </c>
      <c r="E2781" s="2" t="s">
        <v>20</v>
      </c>
      <c r="F2781" s="2" t="n">
        <v>-588</v>
      </c>
      <c r="G2781" s="2" t="s">
        <v>26</v>
      </c>
      <c r="H2781" s="2" t="s">
        <v>20</v>
      </c>
      <c r="I2781" s="2" t="s">
        <v>21</v>
      </c>
      <c r="J2781" s="2" t="n">
        <v>22</v>
      </c>
      <c r="K2781" s="2" t="s">
        <v>44</v>
      </c>
      <c r="L2781" s="2" t="n">
        <v>81</v>
      </c>
      <c r="M2781" s="2" t="n">
        <v>4</v>
      </c>
      <c r="N2781" s="2" t="n">
        <v>-1</v>
      </c>
      <c r="O2781" s="2" t="n">
        <v>0</v>
      </c>
      <c r="P2781" s="2" t="s">
        <v>23</v>
      </c>
      <c r="Q2781" s="2" t="s">
        <v>20</v>
      </c>
    </row>
    <row r="2782" customFormat="false" ht="15" hidden="false" customHeight="false" outlineLevel="0" collapsed="false">
      <c r="A2782" s="2" t="n">
        <v>19</v>
      </c>
      <c r="B2782" s="2" t="s">
        <v>42</v>
      </c>
      <c r="C2782" s="2" t="s">
        <v>30</v>
      </c>
      <c r="D2782" s="2" t="s">
        <v>25</v>
      </c>
      <c r="E2782" s="2" t="s">
        <v>20</v>
      </c>
      <c r="F2782" s="2" t="n">
        <v>302</v>
      </c>
      <c r="G2782" s="2" t="s">
        <v>20</v>
      </c>
      <c r="H2782" s="2" t="s">
        <v>20</v>
      </c>
      <c r="I2782" s="2" t="s">
        <v>21</v>
      </c>
      <c r="J2782" s="2" t="n">
        <v>16</v>
      </c>
      <c r="K2782" s="2" t="s">
        <v>44</v>
      </c>
      <c r="L2782" s="2" t="n">
        <v>205</v>
      </c>
      <c r="M2782" s="2" t="n">
        <v>1</v>
      </c>
      <c r="N2782" s="2" t="n">
        <v>-1</v>
      </c>
      <c r="O2782" s="2" t="n">
        <v>0</v>
      </c>
      <c r="P2782" s="2" t="s">
        <v>23</v>
      </c>
      <c r="Q2782" s="2" t="s">
        <v>26</v>
      </c>
    </row>
    <row r="2783" customFormat="false" ht="15" hidden="false" customHeight="false" outlineLevel="0" collapsed="false">
      <c r="A2783" s="2" t="n">
        <v>59</v>
      </c>
      <c r="B2783" s="2" t="s">
        <v>34</v>
      </c>
      <c r="C2783" s="2" t="s">
        <v>18</v>
      </c>
      <c r="D2783" s="2" t="s">
        <v>25</v>
      </c>
      <c r="E2783" s="2" t="s">
        <v>20</v>
      </c>
      <c r="F2783" s="2" t="n">
        <v>5314</v>
      </c>
      <c r="G2783" s="2" t="s">
        <v>26</v>
      </c>
      <c r="H2783" s="2" t="s">
        <v>20</v>
      </c>
      <c r="I2783" s="2" t="s">
        <v>21</v>
      </c>
      <c r="J2783" s="2" t="n">
        <v>5</v>
      </c>
      <c r="K2783" s="2" t="s">
        <v>27</v>
      </c>
      <c r="L2783" s="2" t="n">
        <v>200</v>
      </c>
      <c r="M2783" s="2" t="n">
        <v>3</v>
      </c>
      <c r="N2783" s="2" t="n">
        <v>-1</v>
      </c>
      <c r="O2783" s="2" t="n">
        <v>0</v>
      </c>
      <c r="P2783" s="2" t="s">
        <v>23</v>
      </c>
      <c r="Q2783" s="2" t="s">
        <v>20</v>
      </c>
    </row>
    <row r="2784" customFormat="false" ht="15" hidden="false" customHeight="false" outlineLevel="0" collapsed="false">
      <c r="A2784" s="2" t="n">
        <v>41</v>
      </c>
      <c r="B2784" s="2" t="s">
        <v>38</v>
      </c>
      <c r="C2784" s="2" t="s">
        <v>18</v>
      </c>
      <c r="D2784" s="2" t="s">
        <v>25</v>
      </c>
      <c r="E2784" s="2" t="s">
        <v>20</v>
      </c>
      <c r="F2784" s="2" t="n">
        <v>64</v>
      </c>
      <c r="G2784" s="2" t="s">
        <v>26</v>
      </c>
      <c r="H2784" s="2" t="s">
        <v>26</v>
      </c>
      <c r="I2784" s="2" t="s">
        <v>23</v>
      </c>
      <c r="J2784" s="2" t="n">
        <v>8</v>
      </c>
      <c r="K2784" s="2" t="s">
        <v>27</v>
      </c>
      <c r="L2784" s="2" t="n">
        <v>210</v>
      </c>
      <c r="M2784" s="2" t="n">
        <v>2</v>
      </c>
      <c r="N2784" s="2" t="n">
        <v>-1</v>
      </c>
      <c r="O2784" s="2" t="n">
        <v>0</v>
      </c>
      <c r="P2784" s="2" t="s">
        <v>23</v>
      </c>
      <c r="Q2784" s="2" t="s">
        <v>20</v>
      </c>
    </row>
    <row r="2785" customFormat="false" ht="15" hidden="false" customHeight="false" outlineLevel="0" collapsed="false">
      <c r="A2785" s="2" t="n">
        <v>34</v>
      </c>
      <c r="B2785" s="2" t="s">
        <v>38</v>
      </c>
      <c r="C2785" s="2" t="s">
        <v>30</v>
      </c>
      <c r="D2785" s="2" t="s">
        <v>31</v>
      </c>
      <c r="E2785" s="2" t="s">
        <v>20</v>
      </c>
      <c r="F2785" s="2" t="n">
        <v>632</v>
      </c>
      <c r="G2785" s="2" t="s">
        <v>20</v>
      </c>
      <c r="H2785" s="2" t="s">
        <v>20</v>
      </c>
      <c r="I2785" s="2" t="s">
        <v>21</v>
      </c>
      <c r="J2785" s="2" t="n">
        <v>22</v>
      </c>
      <c r="K2785" s="2" t="s">
        <v>41</v>
      </c>
      <c r="L2785" s="2" t="n">
        <v>215</v>
      </c>
      <c r="M2785" s="2" t="n">
        <v>10</v>
      </c>
      <c r="N2785" s="2" t="n">
        <v>-1</v>
      </c>
      <c r="O2785" s="2" t="n">
        <v>0</v>
      </c>
      <c r="P2785" s="2" t="s">
        <v>23</v>
      </c>
      <c r="Q2785" s="2" t="s">
        <v>20</v>
      </c>
    </row>
    <row r="2786" customFormat="false" ht="15" hidden="false" customHeight="false" outlineLevel="0" collapsed="false">
      <c r="A2786" s="2" t="n">
        <v>35</v>
      </c>
      <c r="B2786" s="2" t="s">
        <v>38</v>
      </c>
      <c r="C2786" s="2" t="s">
        <v>30</v>
      </c>
      <c r="D2786" s="2" t="s">
        <v>25</v>
      </c>
      <c r="E2786" s="2" t="s">
        <v>20</v>
      </c>
      <c r="F2786" s="2" t="n">
        <v>5731</v>
      </c>
      <c r="G2786" s="2" t="s">
        <v>26</v>
      </c>
      <c r="H2786" s="2" t="s">
        <v>20</v>
      </c>
      <c r="I2786" s="2" t="s">
        <v>21</v>
      </c>
      <c r="J2786" s="2" t="n">
        <v>4</v>
      </c>
      <c r="K2786" s="2" t="s">
        <v>27</v>
      </c>
      <c r="L2786" s="2" t="n">
        <v>164</v>
      </c>
      <c r="M2786" s="2" t="n">
        <v>2</v>
      </c>
      <c r="N2786" s="2" t="n">
        <v>167</v>
      </c>
      <c r="O2786" s="2" t="n">
        <v>4</v>
      </c>
      <c r="P2786" s="2" t="s">
        <v>37</v>
      </c>
      <c r="Q2786" s="2" t="s">
        <v>20</v>
      </c>
    </row>
    <row r="2787" customFormat="false" ht="15" hidden="false" customHeight="false" outlineLevel="0" collapsed="false">
      <c r="A2787" s="2" t="n">
        <v>41</v>
      </c>
      <c r="B2787" s="2" t="s">
        <v>38</v>
      </c>
      <c r="C2787" s="2" t="s">
        <v>18</v>
      </c>
      <c r="D2787" s="2" t="s">
        <v>25</v>
      </c>
      <c r="E2787" s="2" t="s">
        <v>20</v>
      </c>
      <c r="F2787" s="2" t="n">
        <v>902</v>
      </c>
      <c r="G2787" s="2" t="s">
        <v>20</v>
      </c>
      <c r="H2787" s="2" t="s">
        <v>20</v>
      </c>
      <c r="I2787" s="2" t="s">
        <v>23</v>
      </c>
      <c r="J2787" s="2" t="n">
        <v>16</v>
      </c>
      <c r="K2787" s="2" t="s">
        <v>33</v>
      </c>
      <c r="L2787" s="2" t="n">
        <v>35</v>
      </c>
      <c r="M2787" s="2" t="n">
        <v>6</v>
      </c>
      <c r="N2787" s="2" t="n">
        <v>-1</v>
      </c>
      <c r="O2787" s="2" t="n">
        <v>0</v>
      </c>
      <c r="P2787" s="2" t="s">
        <v>23</v>
      </c>
      <c r="Q2787" s="2" t="s">
        <v>20</v>
      </c>
    </row>
    <row r="2788" customFormat="false" ht="15" hidden="false" customHeight="false" outlineLevel="0" collapsed="false">
      <c r="A2788" s="2" t="n">
        <v>28</v>
      </c>
      <c r="B2788" s="2" t="s">
        <v>34</v>
      </c>
      <c r="C2788" s="2" t="s">
        <v>30</v>
      </c>
      <c r="D2788" s="2" t="s">
        <v>25</v>
      </c>
      <c r="E2788" s="2" t="s">
        <v>20</v>
      </c>
      <c r="F2788" s="2" t="n">
        <v>6307</v>
      </c>
      <c r="G2788" s="2" t="s">
        <v>26</v>
      </c>
      <c r="H2788" s="2" t="s">
        <v>20</v>
      </c>
      <c r="I2788" s="2" t="s">
        <v>23</v>
      </c>
      <c r="J2788" s="2" t="n">
        <v>28</v>
      </c>
      <c r="K2788" s="2" t="s">
        <v>27</v>
      </c>
      <c r="L2788" s="2" t="n">
        <v>615</v>
      </c>
      <c r="M2788" s="2" t="n">
        <v>1</v>
      </c>
      <c r="N2788" s="2" t="n">
        <v>-1</v>
      </c>
      <c r="O2788" s="2" t="n">
        <v>0</v>
      </c>
      <c r="P2788" s="2" t="s">
        <v>23</v>
      </c>
      <c r="Q2788" s="2" t="s">
        <v>20</v>
      </c>
    </row>
    <row r="2789" customFormat="false" ht="15" hidden="false" customHeight="false" outlineLevel="0" collapsed="false">
      <c r="A2789" s="2" t="n">
        <v>53</v>
      </c>
      <c r="B2789" s="2" t="s">
        <v>29</v>
      </c>
      <c r="C2789" s="2" t="s">
        <v>45</v>
      </c>
      <c r="D2789" s="2" t="s">
        <v>25</v>
      </c>
      <c r="E2789" s="2" t="s">
        <v>20</v>
      </c>
      <c r="F2789" s="2" t="n">
        <v>112</v>
      </c>
      <c r="G2789" s="2" t="s">
        <v>20</v>
      </c>
      <c r="H2789" s="2" t="s">
        <v>26</v>
      </c>
      <c r="I2789" s="2" t="s">
        <v>21</v>
      </c>
      <c r="J2789" s="2" t="n">
        <v>11</v>
      </c>
      <c r="K2789" s="2" t="s">
        <v>41</v>
      </c>
      <c r="L2789" s="2" t="n">
        <v>246</v>
      </c>
      <c r="M2789" s="2" t="n">
        <v>3</v>
      </c>
      <c r="N2789" s="2" t="n">
        <v>-1</v>
      </c>
      <c r="O2789" s="2" t="n">
        <v>0</v>
      </c>
      <c r="P2789" s="2" t="s">
        <v>23</v>
      </c>
      <c r="Q2789" s="2" t="s">
        <v>20</v>
      </c>
    </row>
    <row r="2790" customFormat="false" ht="15" hidden="false" customHeight="false" outlineLevel="0" collapsed="false">
      <c r="A2790" s="2" t="n">
        <v>35</v>
      </c>
      <c r="B2790" s="2" t="s">
        <v>24</v>
      </c>
      <c r="C2790" s="2" t="s">
        <v>18</v>
      </c>
      <c r="D2790" s="2" t="s">
        <v>25</v>
      </c>
      <c r="E2790" s="2" t="s">
        <v>20</v>
      </c>
      <c r="F2790" s="2" t="n">
        <v>0</v>
      </c>
      <c r="G2790" s="2" t="s">
        <v>20</v>
      </c>
      <c r="H2790" s="2" t="s">
        <v>26</v>
      </c>
      <c r="I2790" s="2" t="s">
        <v>49</v>
      </c>
      <c r="J2790" s="2" t="n">
        <v>9</v>
      </c>
      <c r="K2790" s="2" t="s">
        <v>44</v>
      </c>
      <c r="L2790" s="2" t="n">
        <v>42</v>
      </c>
      <c r="M2790" s="2" t="n">
        <v>1</v>
      </c>
      <c r="N2790" s="2" t="n">
        <v>-1</v>
      </c>
      <c r="O2790" s="2" t="n">
        <v>0</v>
      </c>
      <c r="P2790" s="2" t="s">
        <v>23</v>
      </c>
      <c r="Q2790" s="2" t="s">
        <v>20</v>
      </c>
    </row>
    <row r="2791" customFormat="false" ht="15" hidden="false" customHeight="false" outlineLevel="0" collapsed="false">
      <c r="A2791" s="2" t="n">
        <v>33</v>
      </c>
      <c r="B2791" s="2" t="s">
        <v>40</v>
      </c>
      <c r="C2791" s="2" t="s">
        <v>30</v>
      </c>
      <c r="D2791" s="2" t="s">
        <v>31</v>
      </c>
      <c r="E2791" s="2" t="s">
        <v>20</v>
      </c>
      <c r="F2791" s="2" t="n">
        <v>621</v>
      </c>
      <c r="G2791" s="2" t="s">
        <v>20</v>
      </c>
      <c r="H2791" s="2" t="s">
        <v>20</v>
      </c>
      <c r="I2791" s="2" t="s">
        <v>21</v>
      </c>
      <c r="J2791" s="2" t="n">
        <v>8</v>
      </c>
      <c r="K2791" s="2" t="s">
        <v>44</v>
      </c>
      <c r="L2791" s="2" t="n">
        <v>217</v>
      </c>
      <c r="M2791" s="2" t="n">
        <v>1</v>
      </c>
      <c r="N2791" s="2" t="n">
        <v>-1</v>
      </c>
      <c r="O2791" s="2" t="n">
        <v>0</v>
      </c>
      <c r="P2791" s="2" t="s">
        <v>23</v>
      </c>
      <c r="Q2791" s="2" t="s">
        <v>20</v>
      </c>
    </row>
    <row r="2792" customFormat="false" ht="15" hidden="false" customHeight="false" outlineLevel="0" collapsed="false">
      <c r="A2792" s="2" t="n">
        <v>37</v>
      </c>
      <c r="B2792" s="2" t="s">
        <v>38</v>
      </c>
      <c r="C2792" s="2" t="s">
        <v>30</v>
      </c>
      <c r="D2792" s="2" t="s">
        <v>25</v>
      </c>
      <c r="E2792" s="2" t="s">
        <v>20</v>
      </c>
      <c r="F2792" s="2" t="n">
        <v>435</v>
      </c>
      <c r="G2792" s="2" t="s">
        <v>26</v>
      </c>
      <c r="H2792" s="2" t="s">
        <v>20</v>
      </c>
      <c r="I2792" s="2" t="s">
        <v>23</v>
      </c>
      <c r="J2792" s="2" t="n">
        <v>26</v>
      </c>
      <c r="K2792" s="2" t="s">
        <v>27</v>
      </c>
      <c r="L2792" s="2" t="n">
        <v>210</v>
      </c>
      <c r="M2792" s="2" t="n">
        <v>1</v>
      </c>
      <c r="N2792" s="2" t="n">
        <v>-1</v>
      </c>
      <c r="O2792" s="2" t="n">
        <v>0</v>
      </c>
      <c r="P2792" s="2" t="s">
        <v>23</v>
      </c>
      <c r="Q2792" s="2" t="s">
        <v>20</v>
      </c>
    </row>
    <row r="2793" customFormat="false" ht="15" hidden="false" customHeight="false" outlineLevel="0" collapsed="false">
      <c r="A2793" s="2" t="n">
        <v>32</v>
      </c>
      <c r="B2793" s="2" t="s">
        <v>38</v>
      </c>
      <c r="C2793" s="2" t="s">
        <v>18</v>
      </c>
      <c r="D2793" s="2" t="s">
        <v>25</v>
      </c>
      <c r="E2793" s="2" t="s">
        <v>20</v>
      </c>
      <c r="F2793" s="2" t="n">
        <v>782</v>
      </c>
      <c r="G2793" s="2" t="s">
        <v>26</v>
      </c>
      <c r="H2793" s="2" t="s">
        <v>20</v>
      </c>
      <c r="I2793" s="2" t="s">
        <v>23</v>
      </c>
      <c r="J2793" s="2" t="n">
        <v>26</v>
      </c>
      <c r="K2793" s="2" t="s">
        <v>27</v>
      </c>
      <c r="L2793" s="2" t="n">
        <v>116</v>
      </c>
      <c r="M2793" s="2" t="n">
        <v>4</v>
      </c>
      <c r="N2793" s="2" t="n">
        <v>-1</v>
      </c>
      <c r="O2793" s="2" t="n">
        <v>0</v>
      </c>
      <c r="P2793" s="2" t="s">
        <v>23</v>
      </c>
      <c r="Q2793" s="2" t="s">
        <v>20</v>
      </c>
    </row>
    <row r="2794" customFormat="false" ht="15" hidden="false" customHeight="false" outlineLevel="0" collapsed="false">
      <c r="A2794" s="2" t="n">
        <v>32</v>
      </c>
      <c r="B2794" s="2" t="s">
        <v>34</v>
      </c>
      <c r="C2794" s="2" t="s">
        <v>18</v>
      </c>
      <c r="D2794" s="2" t="s">
        <v>25</v>
      </c>
      <c r="E2794" s="2" t="s">
        <v>20</v>
      </c>
      <c r="F2794" s="2" t="n">
        <v>478</v>
      </c>
      <c r="G2794" s="2" t="s">
        <v>26</v>
      </c>
      <c r="H2794" s="2" t="s">
        <v>20</v>
      </c>
      <c r="I2794" s="2" t="s">
        <v>23</v>
      </c>
      <c r="J2794" s="2" t="n">
        <v>3</v>
      </c>
      <c r="K2794" s="2" t="s">
        <v>33</v>
      </c>
      <c r="L2794" s="2" t="n">
        <v>200</v>
      </c>
      <c r="M2794" s="2" t="n">
        <v>1</v>
      </c>
      <c r="N2794" s="2" t="n">
        <v>-1</v>
      </c>
      <c r="O2794" s="2" t="n">
        <v>0</v>
      </c>
      <c r="P2794" s="2" t="s">
        <v>23</v>
      </c>
      <c r="Q2794" s="2" t="s">
        <v>20</v>
      </c>
    </row>
    <row r="2795" customFormat="false" ht="15" hidden="false" customHeight="false" outlineLevel="0" collapsed="false">
      <c r="A2795" s="2" t="n">
        <v>54</v>
      </c>
      <c r="B2795" s="2" t="s">
        <v>24</v>
      </c>
      <c r="C2795" s="2" t="s">
        <v>18</v>
      </c>
      <c r="D2795" s="2" t="s">
        <v>23</v>
      </c>
      <c r="E2795" s="2" t="s">
        <v>20</v>
      </c>
      <c r="F2795" s="2" t="n">
        <v>7864</v>
      </c>
      <c r="G2795" s="2" t="s">
        <v>26</v>
      </c>
      <c r="H2795" s="2" t="s">
        <v>20</v>
      </c>
      <c r="I2795" s="2" t="s">
        <v>23</v>
      </c>
      <c r="J2795" s="2" t="n">
        <v>15</v>
      </c>
      <c r="K2795" s="2" t="s">
        <v>27</v>
      </c>
      <c r="L2795" s="2" t="n">
        <v>145</v>
      </c>
      <c r="M2795" s="2" t="n">
        <v>4</v>
      </c>
      <c r="N2795" s="2" t="n">
        <v>-1</v>
      </c>
      <c r="O2795" s="2" t="n">
        <v>0</v>
      </c>
      <c r="P2795" s="2" t="s">
        <v>23</v>
      </c>
      <c r="Q2795" s="2" t="s">
        <v>20</v>
      </c>
    </row>
    <row r="2796" customFormat="false" ht="15" hidden="false" customHeight="false" outlineLevel="0" collapsed="false">
      <c r="A2796" s="2" t="n">
        <v>44</v>
      </c>
      <c r="B2796" s="2" t="s">
        <v>34</v>
      </c>
      <c r="C2796" s="2" t="s">
        <v>18</v>
      </c>
      <c r="D2796" s="2" t="s">
        <v>25</v>
      </c>
      <c r="E2796" s="2" t="s">
        <v>20</v>
      </c>
      <c r="F2796" s="2" t="n">
        <v>1910</v>
      </c>
      <c r="G2796" s="2" t="s">
        <v>26</v>
      </c>
      <c r="H2796" s="2" t="s">
        <v>20</v>
      </c>
      <c r="I2796" s="2" t="s">
        <v>23</v>
      </c>
      <c r="J2796" s="2" t="n">
        <v>5</v>
      </c>
      <c r="K2796" s="2" t="s">
        <v>33</v>
      </c>
      <c r="L2796" s="2" t="n">
        <v>41</v>
      </c>
      <c r="M2796" s="2" t="n">
        <v>1</v>
      </c>
      <c r="N2796" s="2" t="n">
        <v>-1</v>
      </c>
      <c r="O2796" s="2" t="n">
        <v>0</v>
      </c>
      <c r="P2796" s="2" t="s">
        <v>23</v>
      </c>
      <c r="Q2796" s="2" t="s">
        <v>20</v>
      </c>
    </row>
    <row r="2797" customFormat="false" ht="15" hidden="false" customHeight="false" outlineLevel="0" collapsed="false">
      <c r="A2797" s="2" t="n">
        <v>36</v>
      </c>
      <c r="B2797" s="2" t="s">
        <v>38</v>
      </c>
      <c r="C2797" s="2" t="s">
        <v>45</v>
      </c>
      <c r="D2797" s="2" t="s">
        <v>31</v>
      </c>
      <c r="E2797" s="2" t="s">
        <v>20</v>
      </c>
      <c r="F2797" s="2" t="n">
        <v>1174</v>
      </c>
      <c r="G2797" s="2" t="s">
        <v>26</v>
      </c>
      <c r="H2797" s="2" t="s">
        <v>20</v>
      </c>
      <c r="I2797" s="2" t="s">
        <v>21</v>
      </c>
      <c r="J2797" s="2" t="n">
        <v>18</v>
      </c>
      <c r="K2797" s="2" t="s">
        <v>46</v>
      </c>
      <c r="L2797" s="2" t="n">
        <v>192</v>
      </c>
      <c r="M2797" s="2" t="n">
        <v>2</v>
      </c>
      <c r="N2797" s="2" t="n">
        <v>-1</v>
      </c>
      <c r="O2797" s="2" t="n">
        <v>0</v>
      </c>
      <c r="P2797" s="2" t="s">
        <v>23</v>
      </c>
      <c r="Q2797" s="2" t="s">
        <v>20</v>
      </c>
    </row>
    <row r="2798" customFormat="false" ht="15" hidden="false" customHeight="false" outlineLevel="0" collapsed="false">
      <c r="A2798" s="2" t="n">
        <v>56</v>
      </c>
      <c r="B2798" s="2" t="s">
        <v>40</v>
      </c>
      <c r="C2798" s="2" t="s">
        <v>18</v>
      </c>
      <c r="D2798" s="2" t="s">
        <v>25</v>
      </c>
      <c r="E2798" s="2" t="s">
        <v>20</v>
      </c>
      <c r="F2798" s="2" t="n">
        <v>1270</v>
      </c>
      <c r="G2798" s="2" t="s">
        <v>26</v>
      </c>
      <c r="H2798" s="2" t="s">
        <v>20</v>
      </c>
      <c r="I2798" s="2" t="s">
        <v>21</v>
      </c>
      <c r="J2798" s="2" t="n">
        <v>17</v>
      </c>
      <c r="K2798" s="2" t="s">
        <v>46</v>
      </c>
      <c r="L2798" s="2" t="n">
        <v>80</v>
      </c>
      <c r="M2798" s="2" t="n">
        <v>2</v>
      </c>
      <c r="N2798" s="2" t="n">
        <v>165</v>
      </c>
      <c r="O2798" s="2" t="n">
        <v>2</v>
      </c>
      <c r="P2798" s="2" t="s">
        <v>37</v>
      </c>
      <c r="Q2798" s="2" t="s">
        <v>20</v>
      </c>
    </row>
    <row r="2799" customFormat="false" ht="15" hidden="false" customHeight="false" outlineLevel="0" collapsed="false">
      <c r="A2799" s="2" t="n">
        <v>30</v>
      </c>
      <c r="B2799" s="2" t="s">
        <v>29</v>
      </c>
      <c r="C2799" s="2" t="s">
        <v>30</v>
      </c>
      <c r="D2799" s="2" t="s">
        <v>31</v>
      </c>
      <c r="E2799" s="2" t="s">
        <v>20</v>
      </c>
      <c r="F2799" s="2" t="n">
        <v>18</v>
      </c>
      <c r="G2799" s="2" t="s">
        <v>20</v>
      </c>
      <c r="H2799" s="2" t="s">
        <v>20</v>
      </c>
      <c r="I2799" s="2" t="s">
        <v>23</v>
      </c>
      <c r="J2799" s="2" t="n">
        <v>20</v>
      </c>
      <c r="K2799" s="2" t="s">
        <v>27</v>
      </c>
      <c r="L2799" s="2" t="n">
        <v>121</v>
      </c>
      <c r="M2799" s="2" t="n">
        <v>11</v>
      </c>
      <c r="N2799" s="2" t="n">
        <v>-1</v>
      </c>
      <c r="O2799" s="2" t="n">
        <v>0</v>
      </c>
      <c r="P2799" s="2" t="s">
        <v>23</v>
      </c>
      <c r="Q2799" s="2" t="s">
        <v>20</v>
      </c>
    </row>
    <row r="2800" customFormat="false" ht="15" hidden="false" customHeight="false" outlineLevel="0" collapsed="false">
      <c r="A2800" s="2" t="n">
        <v>36</v>
      </c>
      <c r="B2800" s="2" t="s">
        <v>34</v>
      </c>
      <c r="C2800" s="2" t="s">
        <v>18</v>
      </c>
      <c r="D2800" s="2" t="s">
        <v>25</v>
      </c>
      <c r="E2800" s="2" t="s">
        <v>20</v>
      </c>
      <c r="F2800" s="2" t="n">
        <v>141</v>
      </c>
      <c r="G2800" s="2" t="s">
        <v>26</v>
      </c>
      <c r="H2800" s="2" t="s">
        <v>20</v>
      </c>
      <c r="I2800" s="2" t="s">
        <v>23</v>
      </c>
      <c r="J2800" s="2" t="n">
        <v>23</v>
      </c>
      <c r="K2800" s="2" t="s">
        <v>27</v>
      </c>
      <c r="L2800" s="2" t="n">
        <v>106</v>
      </c>
      <c r="M2800" s="2" t="n">
        <v>3</v>
      </c>
      <c r="N2800" s="2" t="n">
        <v>-1</v>
      </c>
      <c r="O2800" s="2" t="n">
        <v>0</v>
      </c>
      <c r="P2800" s="2" t="s">
        <v>23</v>
      </c>
      <c r="Q2800" s="2" t="s">
        <v>20</v>
      </c>
    </row>
    <row r="2801" customFormat="false" ht="15" hidden="false" customHeight="false" outlineLevel="0" collapsed="false">
      <c r="A2801" s="2" t="n">
        <v>43</v>
      </c>
      <c r="B2801" s="2" t="s">
        <v>29</v>
      </c>
      <c r="C2801" s="2" t="s">
        <v>18</v>
      </c>
      <c r="D2801" s="2" t="s">
        <v>31</v>
      </c>
      <c r="E2801" s="2" t="s">
        <v>20</v>
      </c>
      <c r="F2801" s="2" t="n">
        <v>2886</v>
      </c>
      <c r="G2801" s="2" t="s">
        <v>20</v>
      </c>
      <c r="H2801" s="2" t="s">
        <v>20</v>
      </c>
      <c r="I2801" s="2" t="s">
        <v>21</v>
      </c>
      <c r="J2801" s="2" t="n">
        <v>20</v>
      </c>
      <c r="K2801" s="2" t="s">
        <v>46</v>
      </c>
      <c r="L2801" s="2" t="n">
        <v>230</v>
      </c>
      <c r="M2801" s="2" t="n">
        <v>1</v>
      </c>
      <c r="N2801" s="2" t="n">
        <v>-1</v>
      </c>
      <c r="O2801" s="2" t="n">
        <v>0</v>
      </c>
      <c r="P2801" s="2" t="s">
        <v>23</v>
      </c>
      <c r="Q2801" s="2" t="s">
        <v>20</v>
      </c>
    </row>
    <row r="2802" customFormat="false" ht="15" hidden="false" customHeight="false" outlineLevel="0" collapsed="false">
      <c r="A2802" s="2" t="n">
        <v>40</v>
      </c>
      <c r="B2802" s="2" t="s">
        <v>38</v>
      </c>
      <c r="C2802" s="2" t="s">
        <v>18</v>
      </c>
      <c r="D2802" s="2" t="s">
        <v>25</v>
      </c>
      <c r="E2802" s="2" t="s">
        <v>20</v>
      </c>
      <c r="F2802" s="2" t="n">
        <v>2715</v>
      </c>
      <c r="G2802" s="2" t="s">
        <v>26</v>
      </c>
      <c r="H2802" s="2" t="s">
        <v>20</v>
      </c>
      <c r="I2802" s="2" t="s">
        <v>23</v>
      </c>
      <c r="J2802" s="2" t="n">
        <v>29</v>
      </c>
      <c r="K2802" s="2" t="s">
        <v>27</v>
      </c>
      <c r="L2802" s="2" t="n">
        <v>125</v>
      </c>
      <c r="M2802" s="2" t="n">
        <v>2</v>
      </c>
      <c r="N2802" s="2" t="n">
        <v>-1</v>
      </c>
      <c r="O2802" s="2" t="n">
        <v>0</v>
      </c>
      <c r="P2802" s="2" t="s">
        <v>23</v>
      </c>
      <c r="Q2802" s="2" t="s">
        <v>20</v>
      </c>
    </row>
    <row r="2803" customFormat="false" ht="15" hidden="false" customHeight="false" outlineLevel="0" collapsed="false">
      <c r="A2803" s="2" t="n">
        <v>32</v>
      </c>
      <c r="B2803" s="2" t="s">
        <v>38</v>
      </c>
      <c r="C2803" s="2" t="s">
        <v>30</v>
      </c>
      <c r="D2803" s="2" t="s">
        <v>31</v>
      </c>
      <c r="E2803" s="2" t="s">
        <v>20</v>
      </c>
      <c r="F2803" s="2" t="n">
        <v>1100</v>
      </c>
      <c r="G2803" s="2" t="s">
        <v>26</v>
      </c>
      <c r="H2803" s="2" t="s">
        <v>26</v>
      </c>
      <c r="I2803" s="2" t="s">
        <v>21</v>
      </c>
      <c r="J2803" s="2" t="n">
        <v>11</v>
      </c>
      <c r="K2803" s="2" t="s">
        <v>41</v>
      </c>
      <c r="L2803" s="2" t="n">
        <v>67</v>
      </c>
      <c r="M2803" s="2" t="n">
        <v>1</v>
      </c>
      <c r="N2803" s="2" t="n">
        <v>-1</v>
      </c>
      <c r="O2803" s="2" t="n">
        <v>0</v>
      </c>
      <c r="P2803" s="2" t="s">
        <v>23</v>
      </c>
      <c r="Q2803" s="2" t="s">
        <v>20</v>
      </c>
    </row>
    <row r="2804" customFormat="false" ht="15" hidden="false" customHeight="false" outlineLevel="0" collapsed="false">
      <c r="A2804" s="2" t="n">
        <v>34</v>
      </c>
      <c r="B2804" s="2" t="s">
        <v>34</v>
      </c>
      <c r="C2804" s="2" t="s">
        <v>18</v>
      </c>
      <c r="D2804" s="2" t="s">
        <v>25</v>
      </c>
      <c r="E2804" s="2" t="s">
        <v>20</v>
      </c>
      <c r="F2804" s="2" t="n">
        <v>516</v>
      </c>
      <c r="G2804" s="2" t="s">
        <v>26</v>
      </c>
      <c r="H2804" s="2" t="s">
        <v>26</v>
      </c>
      <c r="I2804" s="2" t="s">
        <v>23</v>
      </c>
      <c r="J2804" s="2" t="n">
        <v>2</v>
      </c>
      <c r="K2804" s="2" t="s">
        <v>33</v>
      </c>
      <c r="L2804" s="2" t="n">
        <v>26</v>
      </c>
      <c r="M2804" s="2" t="n">
        <v>1</v>
      </c>
      <c r="N2804" s="2" t="n">
        <v>-1</v>
      </c>
      <c r="O2804" s="2" t="n">
        <v>0</v>
      </c>
      <c r="P2804" s="2" t="s">
        <v>23</v>
      </c>
      <c r="Q2804" s="2" t="s">
        <v>20</v>
      </c>
    </row>
    <row r="2805" customFormat="false" ht="15" hidden="false" customHeight="false" outlineLevel="0" collapsed="false">
      <c r="A2805" s="2" t="n">
        <v>37</v>
      </c>
      <c r="B2805" s="2" t="s">
        <v>24</v>
      </c>
      <c r="C2805" s="2" t="s">
        <v>18</v>
      </c>
      <c r="D2805" s="2" t="s">
        <v>25</v>
      </c>
      <c r="E2805" s="2" t="s">
        <v>20</v>
      </c>
      <c r="F2805" s="2" t="n">
        <v>1</v>
      </c>
      <c r="G2805" s="2" t="s">
        <v>20</v>
      </c>
      <c r="H2805" s="2" t="s">
        <v>20</v>
      </c>
      <c r="I2805" s="2" t="s">
        <v>23</v>
      </c>
      <c r="J2805" s="2" t="n">
        <v>15</v>
      </c>
      <c r="K2805" s="2" t="s">
        <v>27</v>
      </c>
      <c r="L2805" s="2" t="n">
        <v>395</v>
      </c>
      <c r="M2805" s="2" t="n">
        <v>2</v>
      </c>
      <c r="N2805" s="2" t="n">
        <v>-1</v>
      </c>
      <c r="O2805" s="2" t="n">
        <v>0</v>
      </c>
      <c r="P2805" s="2" t="s">
        <v>23</v>
      </c>
      <c r="Q2805" s="2" t="s">
        <v>20</v>
      </c>
    </row>
    <row r="2806" customFormat="false" ht="15" hidden="false" customHeight="false" outlineLevel="0" collapsed="false">
      <c r="A2806" s="2" t="n">
        <v>28</v>
      </c>
      <c r="B2806" s="2" t="s">
        <v>40</v>
      </c>
      <c r="C2806" s="2" t="s">
        <v>30</v>
      </c>
      <c r="D2806" s="2" t="s">
        <v>25</v>
      </c>
      <c r="E2806" s="2" t="s">
        <v>20</v>
      </c>
      <c r="F2806" s="2" t="n">
        <v>775</v>
      </c>
      <c r="G2806" s="2" t="s">
        <v>20</v>
      </c>
      <c r="H2806" s="2" t="s">
        <v>20</v>
      </c>
      <c r="I2806" s="2" t="s">
        <v>21</v>
      </c>
      <c r="J2806" s="2" t="n">
        <v>29</v>
      </c>
      <c r="K2806" s="2" t="s">
        <v>43</v>
      </c>
      <c r="L2806" s="2" t="n">
        <v>603</v>
      </c>
      <c r="M2806" s="2" t="n">
        <v>2</v>
      </c>
      <c r="N2806" s="2" t="n">
        <v>-1</v>
      </c>
      <c r="O2806" s="2" t="n">
        <v>0</v>
      </c>
      <c r="P2806" s="2" t="s">
        <v>23</v>
      </c>
      <c r="Q2806" s="2" t="s">
        <v>20</v>
      </c>
    </row>
    <row r="2807" customFormat="false" ht="15" hidden="false" customHeight="false" outlineLevel="0" collapsed="false">
      <c r="A2807" s="2" t="n">
        <v>35</v>
      </c>
      <c r="B2807" s="2" t="s">
        <v>23</v>
      </c>
      <c r="C2807" s="2" t="s">
        <v>18</v>
      </c>
      <c r="D2807" s="2" t="s">
        <v>19</v>
      </c>
      <c r="E2807" s="2" t="s">
        <v>20</v>
      </c>
      <c r="F2807" s="2" t="n">
        <v>634</v>
      </c>
      <c r="G2807" s="2" t="s">
        <v>20</v>
      </c>
      <c r="H2807" s="2" t="s">
        <v>20</v>
      </c>
      <c r="I2807" s="2" t="s">
        <v>21</v>
      </c>
      <c r="J2807" s="2" t="n">
        <v>7</v>
      </c>
      <c r="K2807" s="2" t="s">
        <v>44</v>
      </c>
      <c r="L2807" s="2" t="n">
        <v>185</v>
      </c>
      <c r="M2807" s="2" t="n">
        <v>2</v>
      </c>
      <c r="N2807" s="2" t="n">
        <v>-1</v>
      </c>
      <c r="O2807" s="2" t="n">
        <v>0</v>
      </c>
      <c r="P2807" s="2" t="s">
        <v>23</v>
      </c>
      <c r="Q2807" s="2" t="s">
        <v>20</v>
      </c>
    </row>
    <row r="2808" customFormat="false" ht="15" hidden="false" customHeight="false" outlineLevel="0" collapsed="false">
      <c r="A2808" s="2" t="n">
        <v>53</v>
      </c>
      <c r="B2808" s="2" t="s">
        <v>34</v>
      </c>
      <c r="C2808" s="2" t="s">
        <v>30</v>
      </c>
      <c r="D2808" s="2" t="s">
        <v>25</v>
      </c>
      <c r="E2808" s="2" t="s">
        <v>20</v>
      </c>
      <c r="F2808" s="2" t="n">
        <v>5715</v>
      </c>
      <c r="G2808" s="2" t="s">
        <v>20</v>
      </c>
      <c r="H2808" s="2" t="s">
        <v>20</v>
      </c>
      <c r="I2808" s="2" t="s">
        <v>21</v>
      </c>
      <c r="J2808" s="2" t="n">
        <v>28</v>
      </c>
      <c r="K2808" s="2" t="s">
        <v>43</v>
      </c>
      <c r="L2808" s="2" t="n">
        <v>287</v>
      </c>
      <c r="M2808" s="2" t="n">
        <v>2</v>
      </c>
      <c r="N2808" s="2" t="n">
        <v>-1</v>
      </c>
      <c r="O2808" s="2" t="n">
        <v>0</v>
      </c>
      <c r="P2808" s="2" t="s">
        <v>23</v>
      </c>
      <c r="Q2808" s="2" t="s">
        <v>20</v>
      </c>
    </row>
    <row r="2809" customFormat="false" ht="15" hidden="false" customHeight="false" outlineLevel="0" collapsed="false">
      <c r="A2809" s="2" t="n">
        <v>60</v>
      </c>
      <c r="B2809" s="2" t="s">
        <v>40</v>
      </c>
      <c r="C2809" s="2" t="s">
        <v>18</v>
      </c>
      <c r="D2809" s="2" t="s">
        <v>23</v>
      </c>
      <c r="E2809" s="2" t="s">
        <v>20</v>
      </c>
      <c r="F2809" s="2" t="n">
        <v>1088</v>
      </c>
      <c r="G2809" s="2" t="s">
        <v>26</v>
      </c>
      <c r="H2809" s="2" t="s">
        <v>20</v>
      </c>
      <c r="I2809" s="2" t="s">
        <v>21</v>
      </c>
      <c r="J2809" s="2" t="n">
        <v>26</v>
      </c>
      <c r="K2809" s="2" t="s">
        <v>27</v>
      </c>
      <c r="L2809" s="2" t="n">
        <v>149</v>
      </c>
      <c r="M2809" s="2" t="n">
        <v>1</v>
      </c>
      <c r="N2809" s="2" t="n">
        <v>-1</v>
      </c>
      <c r="O2809" s="2" t="n">
        <v>0</v>
      </c>
      <c r="P2809" s="2" t="s">
        <v>23</v>
      </c>
      <c r="Q2809" s="2" t="s">
        <v>20</v>
      </c>
    </row>
    <row r="2810" customFormat="false" ht="15" hidden="false" customHeight="false" outlineLevel="0" collapsed="false">
      <c r="A2810" s="2" t="n">
        <v>40</v>
      </c>
      <c r="B2810" s="2" t="s">
        <v>39</v>
      </c>
      <c r="C2810" s="2" t="s">
        <v>18</v>
      </c>
      <c r="D2810" s="2" t="s">
        <v>25</v>
      </c>
      <c r="E2810" s="2" t="s">
        <v>20</v>
      </c>
      <c r="F2810" s="2" t="n">
        <v>1532</v>
      </c>
      <c r="G2810" s="2" t="s">
        <v>26</v>
      </c>
      <c r="H2810" s="2" t="s">
        <v>26</v>
      </c>
      <c r="I2810" s="2" t="s">
        <v>21</v>
      </c>
      <c r="J2810" s="2" t="n">
        <v>18</v>
      </c>
      <c r="K2810" s="2" t="s">
        <v>46</v>
      </c>
      <c r="L2810" s="2" t="n">
        <v>173</v>
      </c>
      <c r="M2810" s="2" t="n">
        <v>7</v>
      </c>
      <c r="N2810" s="2" t="n">
        <v>-1</v>
      </c>
      <c r="O2810" s="2" t="n">
        <v>0</v>
      </c>
      <c r="P2810" s="2" t="s">
        <v>23</v>
      </c>
      <c r="Q2810" s="2" t="s">
        <v>20</v>
      </c>
    </row>
    <row r="2811" customFormat="false" ht="15" hidden="false" customHeight="false" outlineLevel="0" collapsed="false">
      <c r="A2811" s="2" t="n">
        <v>57</v>
      </c>
      <c r="B2811" s="2" t="s">
        <v>48</v>
      </c>
      <c r="C2811" s="2" t="s">
        <v>18</v>
      </c>
      <c r="D2811" s="2" t="s">
        <v>19</v>
      </c>
      <c r="E2811" s="2" t="s">
        <v>20</v>
      </c>
      <c r="F2811" s="2" t="n">
        <v>75</v>
      </c>
      <c r="G2811" s="2" t="s">
        <v>20</v>
      </c>
      <c r="H2811" s="2" t="s">
        <v>20</v>
      </c>
      <c r="I2811" s="2" t="s">
        <v>21</v>
      </c>
      <c r="J2811" s="2" t="n">
        <v>28</v>
      </c>
      <c r="K2811" s="2" t="s">
        <v>41</v>
      </c>
      <c r="L2811" s="2" t="n">
        <v>118</v>
      </c>
      <c r="M2811" s="2" t="n">
        <v>2</v>
      </c>
      <c r="N2811" s="2" t="n">
        <v>-1</v>
      </c>
      <c r="O2811" s="2" t="n">
        <v>0</v>
      </c>
      <c r="P2811" s="2" t="s">
        <v>23</v>
      </c>
      <c r="Q2811" s="2" t="s">
        <v>20</v>
      </c>
    </row>
    <row r="2812" customFormat="false" ht="15" hidden="false" customHeight="false" outlineLevel="0" collapsed="false">
      <c r="A2812" s="2" t="n">
        <v>29</v>
      </c>
      <c r="B2812" s="2" t="s">
        <v>38</v>
      </c>
      <c r="C2812" s="2" t="s">
        <v>30</v>
      </c>
      <c r="D2812" s="2" t="s">
        <v>25</v>
      </c>
      <c r="E2812" s="2" t="s">
        <v>20</v>
      </c>
      <c r="F2812" s="2" t="n">
        <v>103</v>
      </c>
      <c r="G2812" s="2" t="s">
        <v>20</v>
      </c>
      <c r="H2812" s="2" t="s">
        <v>20</v>
      </c>
      <c r="I2812" s="2" t="s">
        <v>23</v>
      </c>
      <c r="J2812" s="2" t="n">
        <v>19</v>
      </c>
      <c r="K2812" s="2" t="s">
        <v>27</v>
      </c>
      <c r="L2812" s="2" t="n">
        <v>314</v>
      </c>
      <c r="M2812" s="2" t="n">
        <v>1</v>
      </c>
      <c r="N2812" s="2" t="n">
        <v>-1</v>
      </c>
      <c r="O2812" s="2" t="n">
        <v>0</v>
      </c>
      <c r="P2812" s="2" t="s">
        <v>23</v>
      </c>
      <c r="Q2812" s="2" t="s">
        <v>20</v>
      </c>
    </row>
    <row r="2813" customFormat="false" ht="15" hidden="false" customHeight="false" outlineLevel="0" collapsed="false">
      <c r="A2813" s="2" t="n">
        <v>44</v>
      </c>
      <c r="B2813" s="2" t="s">
        <v>34</v>
      </c>
      <c r="C2813" s="2" t="s">
        <v>18</v>
      </c>
      <c r="D2813" s="2" t="s">
        <v>19</v>
      </c>
      <c r="E2813" s="2" t="s">
        <v>20</v>
      </c>
      <c r="F2813" s="2" t="n">
        <v>134</v>
      </c>
      <c r="G2813" s="2" t="s">
        <v>26</v>
      </c>
      <c r="H2813" s="2" t="s">
        <v>20</v>
      </c>
      <c r="I2813" s="2" t="s">
        <v>21</v>
      </c>
      <c r="J2813" s="2" t="n">
        <v>7</v>
      </c>
      <c r="K2813" s="2" t="s">
        <v>27</v>
      </c>
      <c r="L2813" s="2" t="n">
        <v>378</v>
      </c>
      <c r="M2813" s="2" t="n">
        <v>1</v>
      </c>
      <c r="N2813" s="2" t="n">
        <v>-1</v>
      </c>
      <c r="O2813" s="2" t="n">
        <v>0</v>
      </c>
      <c r="P2813" s="2" t="s">
        <v>23</v>
      </c>
      <c r="Q2813" s="2" t="s">
        <v>20</v>
      </c>
    </row>
    <row r="2814" customFormat="false" ht="15" hidden="false" customHeight="false" outlineLevel="0" collapsed="false">
      <c r="A2814" s="2" t="n">
        <v>41</v>
      </c>
      <c r="B2814" s="2" t="s">
        <v>40</v>
      </c>
      <c r="C2814" s="2" t="s">
        <v>30</v>
      </c>
      <c r="D2814" s="2" t="s">
        <v>25</v>
      </c>
      <c r="E2814" s="2" t="s">
        <v>20</v>
      </c>
      <c r="F2814" s="2" t="n">
        <v>748</v>
      </c>
      <c r="G2814" s="2" t="s">
        <v>20</v>
      </c>
      <c r="H2814" s="2" t="s">
        <v>20</v>
      </c>
      <c r="I2814" s="2" t="s">
        <v>49</v>
      </c>
      <c r="J2814" s="2" t="n">
        <v>21</v>
      </c>
      <c r="K2814" s="2" t="s">
        <v>46</v>
      </c>
      <c r="L2814" s="2" t="n">
        <v>94</v>
      </c>
      <c r="M2814" s="2" t="n">
        <v>7</v>
      </c>
      <c r="N2814" s="2" t="n">
        <v>130</v>
      </c>
      <c r="O2814" s="2" t="n">
        <v>3</v>
      </c>
      <c r="P2814" s="2" t="s">
        <v>37</v>
      </c>
      <c r="Q2814" s="2" t="s">
        <v>20</v>
      </c>
    </row>
    <row r="2815" customFormat="false" ht="15" hidden="false" customHeight="false" outlineLevel="0" collapsed="false">
      <c r="A2815" s="2" t="n">
        <v>47</v>
      </c>
      <c r="B2815" s="2" t="s">
        <v>38</v>
      </c>
      <c r="C2815" s="2" t="s">
        <v>18</v>
      </c>
      <c r="D2815" s="2" t="s">
        <v>25</v>
      </c>
      <c r="E2815" s="2" t="s">
        <v>20</v>
      </c>
      <c r="F2815" s="2" t="n">
        <v>1990</v>
      </c>
      <c r="G2815" s="2" t="s">
        <v>26</v>
      </c>
      <c r="H2815" s="2" t="s">
        <v>26</v>
      </c>
      <c r="I2815" s="2" t="s">
        <v>21</v>
      </c>
      <c r="J2815" s="2" t="n">
        <v>25</v>
      </c>
      <c r="K2815" s="2" t="s">
        <v>41</v>
      </c>
      <c r="L2815" s="2" t="n">
        <v>108</v>
      </c>
      <c r="M2815" s="2" t="n">
        <v>4</v>
      </c>
      <c r="N2815" s="2" t="n">
        <v>-1</v>
      </c>
      <c r="O2815" s="2" t="n">
        <v>0</v>
      </c>
      <c r="P2815" s="2" t="s">
        <v>23</v>
      </c>
      <c r="Q2815" s="2" t="s">
        <v>20</v>
      </c>
    </row>
    <row r="2816" customFormat="false" ht="15" hidden="false" customHeight="false" outlineLevel="0" collapsed="false">
      <c r="A2816" s="2" t="n">
        <v>43</v>
      </c>
      <c r="B2816" s="2" t="s">
        <v>38</v>
      </c>
      <c r="C2816" s="2" t="s">
        <v>18</v>
      </c>
      <c r="D2816" s="2" t="s">
        <v>31</v>
      </c>
      <c r="E2816" s="2" t="s">
        <v>20</v>
      </c>
      <c r="F2816" s="2" t="n">
        <v>192</v>
      </c>
      <c r="G2816" s="2" t="s">
        <v>20</v>
      </c>
      <c r="H2816" s="2" t="s">
        <v>20</v>
      </c>
      <c r="I2816" s="2" t="s">
        <v>21</v>
      </c>
      <c r="J2816" s="2" t="n">
        <v>5</v>
      </c>
      <c r="K2816" s="2" t="s">
        <v>41</v>
      </c>
      <c r="L2816" s="2" t="n">
        <v>203</v>
      </c>
      <c r="M2816" s="2" t="n">
        <v>2</v>
      </c>
      <c r="N2816" s="2" t="n">
        <v>-1</v>
      </c>
      <c r="O2816" s="2" t="n">
        <v>0</v>
      </c>
      <c r="P2816" s="2" t="s">
        <v>23</v>
      </c>
      <c r="Q2816" s="2" t="s">
        <v>20</v>
      </c>
    </row>
    <row r="2817" customFormat="false" ht="15" hidden="false" customHeight="false" outlineLevel="0" collapsed="false">
      <c r="A2817" s="2" t="n">
        <v>37</v>
      </c>
      <c r="B2817" s="2" t="s">
        <v>38</v>
      </c>
      <c r="C2817" s="2" t="s">
        <v>30</v>
      </c>
      <c r="D2817" s="2" t="s">
        <v>25</v>
      </c>
      <c r="E2817" s="2" t="s">
        <v>20</v>
      </c>
      <c r="F2817" s="2" t="n">
        <v>267</v>
      </c>
      <c r="G2817" s="2" t="s">
        <v>20</v>
      </c>
      <c r="H2817" s="2" t="s">
        <v>20</v>
      </c>
      <c r="I2817" s="2" t="s">
        <v>21</v>
      </c>
      <c r="J2817" s="2" t="n">
        <v>13</v>
      </c>
      <c r="K2817" s="2" t="s">
        <v>27</v>
      </c>
      <c r="L2817" s="2" t="n">
        <v>121</v>
      </c>
      <c r="M2817" s="2" t="n">
        <v>1</v>
      </c>
      <c r="N2817" s="2" t="n">
        <v>-1</v>
      </c>
      <c r="O2817" s="2" t="n">
        <v>0</v>
      </c>
      <c r="P2817" s="2" t="s">
        <v>23</v>
      </c>
      <c r="Q2817" s="2" t="s">
        <v>20</v>
      </c>
    </row>
    <row r="2818" customFormat="false" ht="15" hidden="false" customHeight="false" outlineLevel="0" collapsed="false">
      <c r="A2818" s="2" t="n">
        <v>34</v>
      </c>
      <c r="B2818" s="2" t="s">
        <v>38</v>
      </c>
      <c r="C2818" s="2" t="s">
        <v>30</v>
      </c>
      <c r="D2818" s="2" t="s">
        <v>31</v>
      </c>
      <c r="E2818" s="2" t="s">
        <v>20</v>
      </c>
      <c r="F2818" s="2" t="n">
        <v>586</v>
      </c>
      <c r="G2818" s="2" t="s">
        <v>26</v>
      </c>
      <c r="H2818" s="2" t="s">
        <v>20</v>
      </c>
      <c r="I2818" s="2" t="s">
        <v>23</v>
      </c>
      <c r="J2818" s="2" t="n">
        <v>16</v>
      </c>
      <c r="K2818" s="2" t="s">
        <v>27</v>
      </c>
      <c r="L2818" s="2" t="n">
        <v>489</v>
      </c>
      <c r="M2818" s="2" t="n">
        <v>2</v>
      </c>
      <c r="N2818" s="2" t="n">
        <v>-1</v>
      </c>
      <c r="O2818" s="2" t="n">
        <v>0</v>
      </c>
      <c r="P2818" s="2" t="s">
        <v>23</v>
      </c>
      <c r="Q2818" s="2" t="s">
        <v>20</v>
      </c>
    </row>
    <row r="2819" customFormat="false" ht="15" hidden="false" customHeight="false" outlineLevel="0" collapsed="false">
      <c r="A2819" s="2" t="n">
        <v>30</v>
      </c>
      <c r="B2819" s="2" t="s">
        <v>34</v>
      </c>
      <c r="C2819" s="2" t="s">
        <v>30</v>
      </c>
      <c r="D2819" s="2" t="s">
        <v>25</v>
      </c>
      <c r="E2819" s="2" t="s">
        <v>20</v>
      </c>
      <c r="F2819" s="2" t="n">
        <v>648</v>
      </c>
      <c r="G2819" s="2" t="s">
        <v>26</v>
      </c>
      <c r="H2819" s="2" t="s">
        <v>26</v>
      </c>
      <c r="I2819" s="2" t="s">
        <v>23</v>
      </c>
      <c r="J2819" s="2" t="n">
        <v>8</v>
      </c>
      <c r="K2819" s="2" t="s">
        <v>27</v>
      </c>
      <c r="L2819" s="2" t="n">
        <v>287</v>
      </c>
      <c r="M2819" s="2" t="n">
        <v>1</v>
      </c>
      <c r="N2819" s="2" t="n">
        <v>-1</v>
      </c>
      <c r="O2819" s="2" t="n">
        <v>0</v>
      </c>
      <c r="P2819" s="2" t="s">
        <v>23</v>
      </c>
      <c r="Q2819" s="2" t="s">
        <v>20</v>
      </c>
    </row>
    <row r="2820" customFormat="false" ht="15" hidden="false" customHeight="false" outlineLevel="0" collapsed="false">
      <c r="A2820" s="2" t="n">
        <v>57</v>
      </c>
      <c r="B2820" s="2" t="s">
        <v>39</v>
      </c>
      <c r="C2820" s="2" t="s">
        <v>45</v>
      </c>
      <c r="D2820" s="2" t="s">
        <v>25</v>
      </c>
      <c r="E2820" s="2" t="s">
        <v>26</v>
      </c>
      <c r="F2820" s="2" t="n">
        <v>25</v>
      </c>
      <c r="G2820" s="2" t="s">
        <v>26</v>
      </c>
      <c r="H2820" s="2" t="s">
        <v>20</v>
      </c>
      <c r="I2820" s="2" t="s">
        <v>21</v>
      </c>
      <c r="J2820" s="2" t="n">
        <v>11</v>
      </c>
      <c r="K2820" s="2" t="s">
        <v>27</v>
      </c>
      <c r="L2820" s="2" t="n">
        <v>652</v>
      </c>
      <c r="M2820" s="2" t="n">
        <v>1</v>
      </c>
      <c r="N2820" s="2" t="n">
        <v>370</v>
      </c>
      <c r="O2820" s="2" t="n">
        <v>4</v>
      </c>
      <c r="P2820" s="2" t="s">
        <v>37</v>
      </c>
      <c r="Q2820" s="2" t="s">
        <v>20</v>
      </c>
    </row>
    <row r="2821" customFormat="false" ht="15" hidden="false" customHeight="false" outlineLevel="0" collapsed="false">
      <c r="A2821" s="2" t="n">
        <v>26</v>
      </c>
      <c r="B2821" s="2" t="s">
        <v>40</v>
      </c>
      <c r="C2821" s="2" t="s">
        <v>30</v>
      </c>
      <c r="D2821" s="2" t="s">
        <v>25</v>
      </c>
      <c r="E2821" s="2" t="s">
        <v>20</v>
      </c>
      <c r="F2821" s="2" t="n">
        <v>96</v>
      </c>
      <c r="G2821" s="2" t="s">
        <v>26</v>
      </c>
      <c r="H2821" s="2" t="s">
        <v>20</v>
      </c>
      <c r="I2821" s="2" t="s">
        <v>21</v>
      </c>
      <c r="J2821" s="2" t="n">
        <v>13</v>
      </c>
      <c r="K2821" s="2" t="s">
        <v>27</v>
      </c>
      <c r="L2821" s="2" t="n">
        <v>612</v>
      </c>
      <c r="M2821" s="2" t="n">
        <v>2</v>
      </c>
      <c r="N2821" s="2" t="n">
        <v>348</v>
      </c>
      <c r="O2821" s="2" t="n">
        <v>3</v>
      </c>
      <c r="P2821" s="2" t="s">
        <v>37</v>
      </c>
      <c r="Q2821" s="2" t="s">
        <v>20</v>
      </c>
    </row>
    <row r="2822" customFormat="false" ht="15" hidden="false" customHeight="false" outlineLevel="0" collapsed="false">
      <c r="A2822" s="2" t="n">
        <v>34</v>
      </c>
      <c r="B2822" s="2" t="s">
        <v>29</v>
      </c>
      <c r="C2822" s="2" t="s">
        <v>18</v>
      </c>
      <c r="D2822" s="2" t="s">
        <v>31</v>
      </c>
      <c r="E2822" s="2" t="s">
        <v>20</v>
      </c>
      <c r="F2822" s="2" t="n">
        <v>1116</v>
      </c>
      <c r="G2822" s="2" t="s">
        <v>26</v>
      </c>
      <c r="H2822" s="2" t="s">
        <v>20</v>
      </c>
      <c r="I2822" s="2" t="s">
        <v>21</v>
      </c>
      <c r="J2822" s="2" t="n">
        <v>25</v>
      </c>
      <c r="K2822" s="2" t="s">
        <v>44</v>
      </c>
      <c r="L2822" s="2" t="n">
        <v>53</v>
      </c>
      <c r="M2822" s="2" t="n">
        <v>5</v>
      </c>
      <c r="N2822" s="2" t="n">
        <v>-1</v>
      </c>
      <c r="O2822" s="2" t="n">
        <v>0</v>
      </c>
      <c r="P2822" s="2" t="s">
        <v>23</v>
      </c>
      <c r="Q2822" s="2" t="s">
        <v>20</v>
      </c>
    </row>
    <row r="2823" customFormat="false" ht="15" hidden="false" customHeight="false" outlineLevel="0" collapsed="false">
      <c r="A2823" s="2" t="n">
        <v>46</v>
      </c>
      <c r="B2823" s="2" t="s">
        <v>38</v>
      </c>
      <c r="C2823" s="2" t="s">
        <v>45</v>
      </c>
      <c r="D2823" s="2" t="s">
        <v>25</v>
      </c>
      <c r="E2823" s="2" t="s">
        <v>20</v>
      </c>
      <c r="F2823" s="2" t="n">
        <v>-90</v>
      </c>
      <c r="G2823" s="2" t="s">
        <v>20</v>
      </c>
      <c r="H2823" s="2" t="s">
        <v>26</v>
      </c>
      <c r="I2823" s="2" t="s">
        <v>49</v>
      </c>
      <c r="J2823" s="2" t="n">
        <v>17</v>
      </c>
      <c r="K2823" s="2" t="s">
        <v>22</v>
      </c>
      <c r="L2823" s="2" t="n">
        <v>270</v>
      </c>
      <c r="M2823" s="2" t="n">
        <v>1</v>
      </c>
      <c r="N2823" s="2" t="n">
        <v>-1</v>
      </c>
      <c r="O2823" s="2" t="n">
        <v>0</v>
      </c>
      <c r="P2823" s="2" t="s">
        <v>23</v>
      </c>
      <c r="Q2823" s="2" t="s">
        <v>26</v>
      </c>
    </row>
    <row r="2824" customFormat="false" ht="15" hidden="false" customHeight="false" outlineLevel="0" collapsed="false">
      <c r="A2824" s="2" t="n">
        <v>38</v>
      </c>
      <c r="B2824" s="2" t="s">
        <v>39</v>
      </c>
      <c r="C2824" s="2" t="s">
        <v>18</v>
      </c>
      <c r="D2824" s="2" t="s">
        <v>31</v>
      </c>
      <c r="E2824" s="2" t="s">
        <v>20</v>
      </c>
      <c r="F2824" s="2" t="n">
        <v>170</v>
      </c>
      <c r="G2824" s="2" t="s">
        <v>26</v>
      </c>
      <c r="H2824" s="2" t="s">
        <v>20</v>
      </c>
      <c r="I2824" s="2" t="s">
        <v>21</v>
      </c>
      <c r="J2824" s="2" t="n">
        <v>18</v>
      </c>
      <c r="K2824" s="2" t="s">
        <v>27</v>
      </c>
      <c r="L2824" s="2" t="n">
        <v>442</v>
      </c>
      <c r="M2824" s="2" t="n">
        <v>1</v>
      </c>
      <c r="N2824" s="2" t="n">
        <v>-1</v>
      </c>
      <c r="O2824" s="2" t="n">
        <v>0</v>
      </c>
      <c r="P2824" s="2" t="s">
        <v>23</v>
      </c>
      <c r="Q2824" s="2" t="s">
        <v>26</v>
      </c>
    </row>
    <row r="2825" customFormat="false" ht="15" hidden="false" customHeight="false" outlineLevel="0" collapsed="false">
      <c r="A2825" s="2" t="n">
        <v>37</v>
      </c>
      <c r="B2825" s="2" t="s">
        <v>38</v>
      </c>
      <c r="C2825" s="2" t="s">
        <v>30</v>
      </c>
      <c r="D2825" s="2" t="s">
        <v>25</v>
      </c>
      <c r="E2825" s="2" t="s">
        <v>20</v>
      </c>
      <c r="F2825" s="2" t="n">
        <v>3665</v>
      </c>
      <c r="G2825" s="2" t="s">
        <v>20</v>
      </c>
      <c r="H2825" s="2" t="s">
        <v>20</v>
      </c>
      <c r="I2825" s="2" t="s">
        <v>21</v>
      </c>
      <c r="J2825" s="2" t="n">
        <v>12</v>
      </c>
      <c r="K2825" s="2" t="s">
        <v>41</v>
      </c>
      <c r="L2825" s="2" t="n">
        <v>664</v>
      </c>
      <c r="M2825" s="2" t="n">
        <v>3</v>
      </c>
      <c r="N2825" s="2" t="n">
        <v>-1</v>
      </c>
      <c r="O2825" s="2" t="n">
        <v>0</v>
      </c>
      <c r="P2825" s="2" t="s">
        <v>23</v>
      </c>
      <c r="Q2825" s="2" t="s">
        <v>26</v>
      </c>
    </row>
    <row r="2826" customFormat="false" ht="15" hidden="false" customHeight="false" outlineLevel="0" collapsed="false">
      <c r="A2826" s="2" t="n">
        <v>28</v>
      </c>
      <c r="B2826" s="2" t="s">
        <v>29</v>
      </c>
      <c r="C2826" s="2" t="s">
        <v>30</v>
      </c>
      <c r="D2826" s="2" t="s">
        <v>31</v>
      </c>
      <c r="E2826" s="2" t="s">
        <v>20</v>
      </c>
      <c r="F2826" s="2" t="n">
        <v>2380</v>
      </c>
      <c r="G2826" s="2" t="s">
        <v>20</v>
      </c>
      <c r="H2826" s="2" t="s">
        <v>20</v>
      </c>
      <c r="I2826" s="2" t="s">
        <v>21</v>
      </c>
      <c r="J2826" s="2" t="n">
        <v>14</v>
      </c>
      <c r="K2826" s="2" t="s">
        <v>51</v>
      </c>
      <c r="L2826" s="2" t="n">
        <v>394</v>
      </c>
      <c r="M2826" s="2" t="n">
        <v>2</v>
      </c>
      <c r="N2826" s="2" t="n">
        <v>-1</v>
      </c>
      <c r="O2826" s="2" t="n">
        <v>0</v>
      </c>
      <c r="P2826" s="2" t="s">
        <v>23</v>
      </c>
      <c r="Q2826" s="2" t="s">
        <v>20</v>
      </c>
    </row>
    <row r="2827" customFormat="false" ht="15" hidden="false" customHeight="false" outlineLevel="0" collapsed="false">
      <c r="A2827" s="2" t="n">
        <v>57</v>
      </c>
      <c r="B2827" s="2" t="s">
        <v>34</v>
      </c>
      <c r="C2827" s="2" t="s">
        <v>18</v>
      </c>
      <c r="D2827" s="2" t="s">
        <v>19</v>
      </c>
      <c r="E2827" s="2" t="s">
        <v>20</v>
      </c>
      <c r="F2827" s="2" t="n">
        <v>179</v>
      </c>
      <c r="G2827" s="2" t="s">
        <v>20</v>
      </c>
      <c r="H2827" s="2" t="s">
        <v>20</v>
      </c>
      <c r="I2827" s="2" t="s">
        <v>23</v>
      </c>
      <c r="J2827" s="2" t="n">
        <v>9</v>
      </c>
      <c r="K2827" s="2" t="s">
        <v>33</v>
      </c>
      <c r="L2827" s="2" t="n">
        <v>230</v>
      </c>
      <c r="M2827" s="2" t="n">
        <v>3</v>
      </c>
      <c r="N2827" s="2" t="n">
        <v>-1</v>
      </c>
      <c r="O2827" s="2" t="n">
        <v>0</v>
      </c>
      <c r="P2827" s="2" t="s">
        <v>23</v>
      </c>
      <c r="Q2827" s="2" t="s">
        <v>20</v>
      </c>
    </row>
    <row r="2828" customFormat="false" ht="15" hidden="false" customHeight="false" outlineLevel="0" collapsed="false">
      <c r="A2828" s="2" t="n">
        <v>39</v>
      </c>
      <c r="B2828" s="2" t="s">
        <v>29</v>
      </c>
      <c r="C2828" s="2" t="s">
        <v>18</v>
      </c>
      <c r="D2828" s="2" t="s">
        <v>31</v>
      </c>
      <c r="E2828" s="2" t="s">
        <v>20</v>
      </c>
      <c r="F2828" s="2" t="n">
        <v>763</v>
      </c>
      <c r="G2828" s="2" t="s">
        <v>26</v>
      </c>
      <c r="H2828" s="2" t="s">
        <v>20</v>
      </c>
      <c r="I2828" s="2" t="s">
        <v>21</v>
      </c>
      <c r="J2828" s="2" t="n">
        <v>11</v>
      </c>
      <c r="K2828" s="2" t="s">
        <v>27</v>
      </c>
      <c r="L2828" s="2" t="n">
        <v>877</v>
      </c>
      <c r="M2828" s="2" t="n">
        <v>7</v>
      </c>
      <c r="N2828" s="2" t="n">
        <v>300</v>
      </c>
      <c r="O2828" s="2" t="n">
        <v>2</v>
      </c>
      <c r="P2828" s="2" t="s">
        <v>37</v>
      </c>
      <c r="Q2828" s="2" t="s">
        <v>26</v>
      </c>
    </row>
    <row r="2829" customFormat="false" ht="15" hidden="false" customHeight="false" outlineLevel="0" collapsed="false">
      <c r="A2829" s="2" t="n">
        <v>49</v>
      </c>
      <c r="B2829" s="2" t="s">
        <v>24</v>
      </c>
      <c r="C2829" s="2" t="s">
        <v>18</v>
      </c>
      <c r="D2829" s="2" t="s">
        <v>25</v>
      </c>
      <c r="E2829" s="2" t="s">
        <v>20</v>
      </c>
      <c r="F2829" s="2" t="n">
        <v>320</v>
      </c>
      <c r="G2829" s="2" t="s">
        <v>20</v>
      </c>
      <c r="H2829" s="2" t="s">
        <v>20</v>
      </c>
      <c r="I2829" s="2" t="s">
        <v>49</v>
      </c>
      <c r="J2829" s="2" t="n">
        <v>9</v>
      </c>
      <c r="K2829" s="2" t="s">
        <v>35</v>
      </c>
      <c r="L2829" s="2" t="n">
        <v>1971</v>
      </c>
      <c r="M2829" s="2" t="n">
        <v>4</v>
      </c>
      <c r="N2829" s="2" t="n">
        <v>-1</v>
      </c>
      <c r="O2829" s="2" t="n">
        <v>0</v>
      </c>
      <c r="P2829" s="2" t="s">
        <v>23</v>
      </c>
      <c r="Q2829" s="2" t="s">
        <v>26</v>
      </c>
    </row>
    <row r="2830" customFormat="false" ht="15" hidden="false" customHeight="false" outlineLevel="0" collapsed="false">
      <c r="A2830" s="2" t="n">
        <v>38</v>
      </c>
      <c r="B2830" s="2" t="s">
        <v>38</v>
      </c>
      <c r="C2830" s="2" t="s">
        <v>18</v>
      </c>
      <c r="D2830" s="2" t="s">
        <v>25</v>
      </c>
      <c r="E2830" s="2" t="s">
        <v>20</v>
      </c>
      <c r="F2830" s="2" t="n">
        <v>1960</v>
      </c>
      <c r="G2830" s="2" t="s">
        <v>26</v>
      </c>
      <c r="H2830" s="2" t="s">
        <v>20</v>
      </c>
      <c r="I2830" s="2" t="s">
        <v>21</v>
      </c>
      <c r="J2830" s="2" t="n">
        <v>21</v>
      </c>
      <c r="K2830" s="2" t="s">
        <v>41</v>
      </c>
      <c r="L2830" s="2" t="n">
        <v>161</v>
      </c>
      <c r="M2830" s="2" t="n">
        <v>2</v>
      </c>
      <c r="N2830" s="2" t="n">
        <v>-1</v>
      </c>
      <c r="O2830" s="2" t="n">
        <v>0</v>
      </c>
      <c r="P2830" s="2" t="s">
        <v>23</v>
      </c>
      <c r="Q2830" s="2" t="s">
        <v>20</v>
      </c>
    </row>
    <row r="2831" customFormat="false" ht="15" hidden="false" customHeight="false" outlineLevel="0" collapsed="false">
      <c r="A2831" s="2" t="n">
        <v>27</v>
      </c>
      <c r="B2831" s="2" t="s">
        <v>34</v>
      </c>
      <c r="C2831" s="2" t="s">
        <v>18</v>
      </c>
      <c r="D2831" s="2" t="s">
        <v>25</v>
      </c>
      <c r="E2831" s="2" t="s">
        <v>20</v>
      </c>
      <c r="F2831" s="2" t="n">
        <v>818</v>
      </c>
      <c r="G2831" s="2" t="s">
        <v>26</v>
      </c>
      <c r="H2831" s="2" t="s">
        <v>20</v>
      </c>
      <c r="I2831" s="2" t="s">
        <v>23</v>
      </c>
      <c r="J2831" s="2" t="n">
        <v>3</v>
      </c>
      <c r="K2831" s="2" t="s">
        <v>33</v>
      </c>
      <c r="L2831" s="2" t="n">
        <v>188</v>
      </c>
      <c r="M2831" s="2" t="n">
        <v>5</v>
      </c>
      <c r="N2831" s="2" t="n">
        <v>-1</v>
      </c>
      <c r="O2831" s="2" t="n">
        <v>0</v>
      </c>
      <c r="P2831" s="2" t="s">
        <v>23</v>
      </c>
      <c r="Q2831" s="2" t="s">
        <v>20</v>
      </c>
    </row>
    <row r="2832" customFormat="false" ht="15" hidden="false" customHeight="false" outlineLevel="0" collapsed="false">
      <c r="A2832" s="2" t="n">
        <v>30</v>
      </c>
      <c r="B2832" s="2" t="s">
        <v>40</v>
      </c>
      <c r="C2832" s="2" t="s">
        <v>18</v>
      </c>
      <c r="D2832" s="2" t="s">
        <v>25</v>
      </c>
      <c r="E2832" s="2" t="s">
        <v>20</v>
      </c>
      <c r="F2832" s="2" t="n">
        <v>2678</v>
      </c>
      <c r="G2832" s="2" t="s">
        <v>26</v>
      </c>
      <c r="H2832" s="2" t="s">
        <v>20</v>
      </c>
      <c r="I2832" s="2" t="s">
        <v>21</v>
      </c>
      <c r="J2832" s="2" t="n">
        <v>18</v>
      </c>
      <c r="K2832" s="2" t="s">
        <v>27</v>
      </c>
      <c r="L2832" s="2" t="n">
        <v>23</v>
      </c>
      <c r="M2832" s="2" t="n">
        <v>5</v>
      </c>
      <c r="N2832" s="2" t="n">
        <v>-1</v>
      </c>
      <c r="O2832" s="2" t="n">
        <v>0</v>
      </c>
      <c r="P2832" s="2" t="s">
        <v>23</v>
      </c>
      <c r="Q2832" s="2" t="s">
        <v>20</v>
      </c>
    </row>
    <row r="2833" customFormat="false" ht="15" hidden="false" customHeight="false" outlineLevel="0" collapsed="false">
      <c r="A2833" s="2" t="n">
        <v>38</v>
      </c>
      <c r="B2833" s="2" t="s">
        <v>40</v>
      </c>
      <c r="C2833" s="2" t="s">
        <v>18</v>
      </c>
      <c r="D2833" s="2" t="s">
        <v>31</v>
      </c>
      <c r="E2833" s="2" t="s">
        <v>20</v>
      </c>
      <c r="F2833" s="2" t="n">
        <v>1980</v>
      </c>
      <c r="G2833" s="2" t="s">
        <v>20</v>
      </c>
      <c r="H2833" s="2" t="s">
        <v>20</v>
      </c>
      <c r="I2833" s="2" t="s">
        <v>21</v>
      </c>
      <c r="J2833" s="2" t="n">
        <v>5</v>
      </c>
      <c r="K2833" s="2" t="s">
        <v>41</v>
      </c>
      <c r="L2833" s="2" t="n">
        <v>176</v>
      </c>
      <c r="M2833" s="2" t="n">
        <v>2</v>
      </c>
      <c r="N2833" s="2" t="n">
        <v>-1</v>
      </c>
      <c r="O2833" s="2" t="n">
        <v>0</v>
      </c>
      <c r="P2833" s="2" t="s">
        <v>23</v>
      </c>
      <c r="Q2833" s="2" t="s">
        <v>20</v>
      </c>
    </row>
    <row r="2834" customFormat="false" ht="15" hidden="false" customHeight="false" outlineLevel="0" collapsed="false">
      <c r="A2834" s="2" t="n">
        <v>36</v>
      </c>
      <c r="B2834" s="2" t="s">
        <v>29</v>
      </c>
      <c r="C2834" s="2" t="s">
        <v>18</v>
      </c>
      <c r="D2834" s="2" t="s">
        <v>31</v>
      </c>
      <c r="E2834" s="2" t="s">
        <v>20</v>
      </c>
      <c r="F2834" s="2" t="n">
        <v>1582</v>
      </c>
      <c r="G2834" s="2" t="s">
        <v>20</v>
      </c>
      <c r="H2834" s="2" t="s">
        <v>20</v>
      </c>
      <c r="I2834" s="2" t="s">
        <v>49</v>
      </c>
      <c r="J2834" s="2" t="n">
        <v>3</v>
      </c>
      <c r="K2834" s="2" t="s">
        <v>35</v>
      </c>
      <c r="L2834" s="2" t="n">
        <v>26</v>
      </c>
      <c r="M2834" s="2" t="n">
        <v>2</v>
      </c>
      <c r="N2834" s="2" t="n">
        <v>197</v>
      </c>
      <c r="O2834" s="2" t="n">
        <v>1</v>
      </c>
      <c r="P2834" s="2" t="s">
        <v>28</v>
      </c>
      <c r="Q2834" s="2" t="s">
        <v>20</v>
      </c>
    </row>
    <row r="2835" customFormat="false" ht="15" hidden="false" customHeight="false" outlineLevel="0" collapsed="false">
      <c r="A2835" s="2" t="n">
        <v>38</v>
      </c>
      <c r="B2835" s="2" t="s">
        <v>48</v>
      </c>
      <c r="C2835" s="2" t="s">
        <v>30</v>
      </c>
      <c r="D2835" s="2" t="s">
        <v>23</v>
      </c>
      <c r="E2835" s="2" t="s">
        <v>20</v>
      </c>
      <c r="F2835" s="2" t="n">
        <v>62</v>
      </c>
      <c r="G2835" s="2" t="s">
        <v>20</v>
      </c>
      <c r="H2835" s="2" t="s">
        <v>20</v>
      </c>
      <c r="I2835" s="2" t="s">
        <v>23</v>
      </c>
      <c r="J2835" s="2" t="n">
        <v>19</v>
      </c>
      <c r="K2835" s="2" t="s">
        <v>33</v>
      </c>
      <c r="L2835" s="2" t="n">
        <v>212</v>
      </c>
      <c r="M2835" s="2" t="n">
        <v>1</v>
      </c>
      <c r="N2835" s="2" t="n">
        <v>-1</v>
      </c>
      <c r="O2835" s="2" t="n">
        <v>0</v>
      </c>
      <c r="P2835" s="2" t="s">
        <v>23</v>
      </c>
      <c r="Q2835" s="2" t="s">
        <v>20</v>
      </c>
    </row>
    <row r="2836" customFormat="false" ht="15" hidden="false" customHeight="false" outlineLevel="0" collapsed="false">
      <c r="A2836" s="2" t="n">
        <v>59</v>
      </c>
      <c r="B2836" s="2" t="s">
        <v>47</v>
      </c>
      <c r="C2836" s="2" t="s">
        <v>18</v>
      </c>
      <c r="D2836" s="2" t="s">
        <v>19</v>
      </c>
      <c r="E2836" s="2" t="s">
        <v>20</v>
      </c>
      <c r="F2836" s="2" t="n">
        <v>235</v>
      </c>
      <c r="G2836" s="2" t="s">
        <v>20</v>
      </c>
      <c r="H2836" s="2" t="s">
        <v>20</v>
      </c>
      <c r="I2836" s="2" t="s">
        <v>21</v>
      </c>
      <c r="J2836" s="2" t="n">
        <v>13</v>
      </c>
      <c r="K2836" s="2" t="s">
        <v>41</v>
      </c>
      <c r="L2836" s="2" t="n">
        <v>119</v>
      </c>
      <c r="M2836" s="2" t="n">
        <v>2</v>
      </c>
      <c r="N2836" s="2" t="n">
        <v>-1</v>
      </c>
      <c r="O2836" s="2" t="n">
        <v>0</v>
      </c>
      <c r="P2836" s="2" t="s">
        <v>23</v>
      </c>
      <c r="Q2836" s="2" t="s">
        <v>20</v>
      </c>
    </row>
    <row r="2837" customFormat="false" ht="15" hidden="false" customHeight="false" outlineLevel="0" collapsed="false">
      <c r="A2837" s="2" t="n">
        <v>37</v>
      </c>
      <c r="B2837" s="2" t="s">
        <v>29</v>
      </c>
      <c r="C2837" s="2" t="s">
        <v>18</v>
      </c>
      <c r="D2837" s="2" t="s">
        <v>31</v>
      </c>
      <c r="E2837" s="2" t="s">
        <v>20</v>
      </c>
      <c r="F2837" s="2" t="n">
        <v>489</v>
      </c>
      <c r="G2837" s="2" t="s">
        <v>26</v>
      </c>
      <c r="H2837" s="2" t="s">
        <v>20</v>
      </c>
      <c r="I2837" s="2" t="s">
        <v>21</v>
      </c>
      <c r="J2837" s="2" t="n">
        <v>7</v>
      </c>
      <c r="K2837" s="2" t="s">
        <v>41</v>
      </c>
      <c r="L2837" s="2" t="n">
        <v>205</v>
      </c>
      <c r="M2837" s="2" t="n">
        <v>5</v>
      </c>
      <c r="N2837" s="2" t="n">
        <v>-1</v>
      </c>
      <c r="O2837" s="2" t="n">
        <v>0</v>
      </c>
      <c r="P2837" s="2" t="s">
        <v>23</v>
      </c>
      <c r="Q2837" s="2" t="s">
        <v>20</v>
      </c>
    </row>
    <row r="2838" customFormat="false" ht="15" hidden="false" customHeight="false" outlineLevel="0" collapsed="false">
      <c r="A2838" s="2" t="n">
        <v>29</v>
      </c>
      <c r="B2838" s="2" t="s">
        <v>36</v>
      </c>
      <c r="C2838" s="2" t="s">
        <v>18</v>
      </c>
      <c r="D2838" s="2" t="s">
        <v>31</v>
      </c>
      <c r="E2838" s="2" t="s">
        <v>20</v>
      </c>
      <c r="F2838" s="2" t="n">
        <v>3931</v>
      </c>
      <c r="G2838" s="2" t="s">
        <v>26</v>
      </c>
      <c r="H2838" s="2" t="s">
        <v>20</v>
      </c>
      <c r="I2838" s="2" t="s">
        <v>23</v>
      </c>
      <c r="J2838" s="2" t="n">
        <v>3</v>
      </c>
      <c r="K2838" s="2" t="s">
        <v>33</v>
      </c>
      <c r="L2838" s="2" t="n">
        <v>73</v>
      </c>
      <c r="M2838" s="2" t="n">
        <v>4</v>
      </c>
      <c r="N2838" s="2" t="n">
        <v>-1</v>
      </c>
      <c r="O2838" s="2" t="n">
        <v>0</v>
      </c>
      <c r="P2838" s="2" t="s">
        <v>23</v>
      </c>
      <c r="Q2838" s="2" t="s">
        <v>20</v>
      </c>
    </row>
    <row r="2839" customFormat="false" ht="15" hidden="false" customHeight="false" outlineLevel="0" collapsed="false">
      <c r="A2839" s="2" t="n">
        <v>43</v>
      </c>
      <c r="B2839" s="2" t="s">
        <v>34</v>
      </c>
      <c r="C2839" s="2" t="s">
        <v>18</v>
      </c>
      <c r="D2839" s="2" t="s">
        <v>25</v>
      </c>
      <c r="E2839" s="2" t="s">
        <v>20</v>
      </c>
      <c r="F2839" s="2" t="n">
        <v>699</v>
      </c>
      <c r="G2839" s="2" t="s">
        <v>26</v>
      </c>
      <c r="H2839" s="2" t="s">
        <v>26</v>
      </c>
      <c r="I2839" s="2" t="s">
        <v>21</v>
      </c>
      <c r="J2839" s="2" t="n">
        <v>20</v>
      </c>
      <c r="K2839" s="2" t="s">
        <v>46</v>
      </c>
      <c r="L2839" s="2" t="n">
        <v>1258</v>
      </c>
      <c r="M2839" s="2" t="n">
        <v>2</v>
      </c>
      <c r="N2839" s="2" t="n">
        <v>122</v>
      </c>
      <c r="O2839" s="2" t="n">
        <v>2</v>
      </c>
      <c r="P2839" s="2" t="s">
        <v>37</v>
      </c>
      <c r="Q2839" s="2" t="s">
        <v>26</v>
      </c>
    </row>
    <row r="2840" customFormat="false" ht="15" hidden="false" customHeight="false" outlineLevel="0" collapsed="false">
      <c r="A2840" s="2" t="n">
        <v>33</v>
      </c>
      <c r="B2840" s="2" t="s">
        <v>38</v>
      </c>
      <c r="C2840" s="2" t="s">
        <v>18</v>
      </c>
      <c r="D2840" s="2" t="s">
        <v>25</v>
      </c>
      <c r="E2840" s="2" t="s">
        <v>20</v>
      </c>
      <c r="F2840" s="2" t="n">
        <v>58</v>
      </c>
      <c r="G2840" s="2" t="s">
        <v>26</v>
      </c>
      <c r="H2840" s="2" t="s">
        <v>20</v>
      </c>
      <c r="I2840" s="2" t="s">
        <v>49</v>
      </c>
      <c r="J2840" s="2" t="n">
        <v>29</v>
      </c>
      <c r="K2840" s="2" t="s">
        <v>41</v>
      </c>
      <c r="L2840" s="2" t="n">
        <v>57</v>
      </c>
      <c r="M2840" s="2" t="n">
        <v>2</v>
      </c>
      <c r="N2840" s="2" t="n">
        <v>-1</v>
      </c>
      <c r="O2840" s="2" t="n">
        <v>0</v>
      </c>
      <c r="P2840" s="2" t="s">
        <v>23</v>
      </c>
      <c r="Q2840" s="2" t="s">
        <v>20</v>
      </c>
    </row>
    <row r="2841" customFormat="false" ht="15" hidden="false" customHeight="false" outlineLevel="0" collapsed="false">
      <c r="A2841" s="2" t="n">
        <v>54</v>
      </c>
      <c r="B2841" s="2" t="s">
        <v>47</v>
      </c>
      <c r="C2841" s="2" t="s">
        <v>45</v>
      </c>
      <c r="D2841" s="2" t="s">
        <v>25</v>
      </c>
      <c r="E2841" s="2" t="s">
        <v>20</v>
      </c>
      <c r="F2841" s="2" t="n">
        <v>1327</v>
      </c>
      <c r="G2841" s="2" t="s">
        <v>20</v>
      </c>
      <c r="H2841" s="2" t="s">
        <v>20</v>
      </c>
      <c r="I2841" s="2" t="s">
        <v>23</v>
      </c>
      <c r="J2841" s="2" t="n">
        <v>5</v>
      </c>
      <c r="K2841" s="2" t="s">
        <v>33</v>
      </c>
      <c r="L2841" s="2" t="n">
        <v>115</v>
      </c>
      <c r="M2841" s="2" t="n">
        <v>2</v>
      </c>
      <c r="N2841" s="2" t="n">
        <v>-1</v>
      </c>
      <c r="O2841" s="2" t="n">
        <v>0</v>
      </c>
      <c r="P2841" s="2" t="s">
        <v>23</v>
      </c>
      <c r="Q2841" s="2" t="s">
        <v>20</v>
      </c>
    </row>
    <row r="2842" customFormat="false" ht="15" hidden="false" customHeight="false" outlineLevel="0" collapsed="false">
      <c r="A2842" s="2" t="n">
        <v>55</v>
      </c>
      <c r="B2842" s="2" t="s">
        <v>24</v>
      </c>
      <c r="C2842" s="2" t="s">
        <v>18</v>
      </c>
      <c r="D2842" s="2" t="s">
        <v>25</v>
      </c>
      <c r="E2842" s="2" t="s">
        <v>20</v>
      </c>
      <c r="F2842" s="2" t="n">
        <v>557</v>
      </c>
      <c r="G2842" s="2" t="s">
        <v>20</v>
      </c>
      <c r="H2842" s="2" t="s">
        <v>20</v>
      </c>
      <c r="I2842" s="2" t="s">
        <v>23</v>
      </c>
      <c r="J2842" s="2" t="n">
        <v>19</v>
      </c>
      <c r="K2842" s="2" t="s">
        <v>33</v>
      </c>
      <c r="L2842" s="2" t="n">
        <v>58</v>
      </c>
      <c r="M2842" s="2" t="n">
        <v>1</v>
      </c>
      <c r="N2842" s="2" t="n">
        <v>-1</v>
      </c>
      <c r="O2842" s="2" t="n">
        <v>0</v>
      </c>
      <c r="P2842" s="2" t="s">
        <v>23</v>
      </c>
      <c r="Q2842" s="2" t="s">
        <v>20</v>
      </c>
    </row>
    <row r="2843" customFormat="false" ht="15" hidden="false" customHeight="false" outlineLevel="0" collapsed="false">
      <c r="A2843" s="2" t="n">
        <v>32</v>
      </c>
      <c r="B2843" s="2" t="s">
        <v>38</v>
      </c>
      <c r="C2843" s="2" t="s">
        <v>30</v>
      </c>
      <c r="D2843" s="2" t="s">
        <v>31</v>
      </c>
      <c r="E2843" s="2" t="s">
        <v>20</v>
      </c>
      <c r="F2843" s="2" t="n">
        <v>741</v>
      </c>
      <c r="G2843" s="2" t="s">
        <v>26</v>
      </c>
      <c r="H2843" s="2" t="s">
        <v>20</v>
      </c>
      <c r="I2843" s="2" t="s">
        <v>21</v>
      </c>
      <c r="J2843" s="2" t="n">
        <v>11</v>
      </c>
      <c r="K2843" s="2" t="s">
        <v>41</v>
      </c>
      <c r="L2843" s="2" t="n">
        <v>238</v>
      </c>
      <c r="M2843" s="2" t="n">
        <v>1</v>
      </c>
      <c r="N2843" s="2" t="n">
        <v>-1</v>
      </c>
      <c r="O2843" s="2" t="n">
        <v>0</v>
      </c>
      <c r="P2843" s="2" t="s">
        <v>23</v>
      </c>
      <c r="Q2843" s="2" t="s">
        <v>20</v>
      </c>
    </row>
    <row r="2844" customFormat="false" ht="15" hidden="false" customHeight="false" outlineLevel="0" collapsed="false">
      <c r="A2844" s="2" t="n">
        <v>48</v>
      </c>
      <c r="B2844" s="2" t="s">
        <v>29</v>
      </c>
      <c r="C2844" s="2" t="s">
        <v>18</v>
      </c>
      <c r="D2844" s="2" t="s">
        <v>19</v>
      </c>
      <c r="E2844" s="2" t="s">
        <v>20</v>
      </c>
      <c r="F2844" s="2" t="n">
        <v>3230</v>
      </c>
      <c r="G2844" s="2" t="s">
        <v>26</v>
      </c>
      <c r="H2844" s="2" t="s">
        <v>20</v>
      </c>
      <c r="I2844" s="2" t="s">
        <v>49</v>
      </c>
      <c r="J2844" s="2" t="n">
        <v>20</v>
      </c>
      <c r="K2844" s="2" t="s">
        <v>46</v>
      </c>
      <c r="L2844" s="2" t="n">
        <v>207</v>
      </c>
      <c r="M2844" s="2" t="n">
        <v>3</v>
      </c>
      <c r="N2844" s="2" t="n">
        <v>-1</v>
      </c>
      <c r="O2844" s="2" t="n">
        <v>0</v>
      </c>
      <c r="P2844" s="2" t="s">
        <v>23</v>
      </c>
      <c r="Q2844" s="2" t="s">
        <v>20</v>
      </c>
    </row>
    <row r="2845" customFormat="false" ht="15" hidden="false" customHeight="false" outlineLevel="0" collapsed="false">
      <c r="A2845" s="2" t="n">
        <v>33</v>
      </c>
      <c r="B2845" s="2" t="s">
        <v>29</v>
      </c>
      <c r="C2845" s="2" t="s">
        <v>30</v>
      </c>
      <c r="D2845" s="2" t="s">
        <v>31</v>
      </c>
      <c r="E2845" s="2" t="s">
        <v>20</v>
      </c>
      <c r="F2845" s="2" t="n">
        <v>1439</v>
      </c>
      <c r="G2845" s="2" t="s">
        <v>26</v>
      </c>
      <c r="H2845" s="2" t="s">
        <v>20</v>
      </c>
      <c r="I2845" s="2" t="s">
        <v>21</v>
      </c>
      <c r="J2845" s="2" t="n">
        <v>3</v>
      </c>
      <c r="K2845" s="2" t="s">
        <v>33</v>
      </c>
      <c r="L2845" s="2" t="n">
        <v>178</v>
      </c>
      <c r="M2845" s="2" t="n">
        <v>2</v>
      </c>
      <c r="N2845" s="2" t="n">
        <v>-1</v>
      </c>
      <c r="O2845" s="2" t="n">
        <v>0</v>
      </c>
      <c r="P2845" s="2" t="s">
        <v>23</v>
      </c>
      <c r="Q2845" s="2" t="s">
        <v>20</v>
      </c>
    </row>
    <row r="2846" customFormat="false" ht="15" hidden="false" customHeight="false" outlineLevel="0" collapsed="false">
      <c r="A2846" s="2" t="n">
        <v>46</v>
      </c>
      <c r="B2846" s="2" t="s">
        <v>40</v>
      </c>
      <c r="C2846" s="2" t="s">
        <v>18</v>
      </c>
      <c r="D2846" s="2" t="s">
        <v>25</v>
      </c>
      <c r="E2846" s="2" t="s">
        <v>20</v>
      </c>
      <c r="F2846" s="2" t="n">
        <v>120</v>
      </c>
      <c r="G2846" s="2" t="s">
        <v>26</v>
      </c>
      <c r="H2846" s="2" t="s">
        <v>20</v>
      </c>
      <c r="I2846" s="2" t="s">
        <v>23</v>
      </c>
      <c r="J2846" s="2" t="n">
        <v>14</v>
      </c>
      <c r="K2846" s="2" t="s">
        <v>27</v>
      </c>
      <c r="L2846" s="2" t="n">
        <v>20</v>
      </c>
      <c r="M2846" s="2" t="n">
        <v>11</v>
      </c>
      <c r="N2846" s="2" t="n">
        <v>-1</v>
      </c>
      <c r="O2846" s="2" t="n">
        <v>0</v>
      </c>
      <c r="P2846" s="2" t="s">
        <v>23</v>
      </c>
      <c r="Q2846" s="2" t="s">
        <v>20</v>
      </c>
    </row>
    <row r="2847" customFormat="false" ht="15" hidden="false" customHeight="false" outlineLevel="0" collapsed="false">
      <c r="A2847" s="2" t="n">
        <v>44</v>
      </c>
      <c r="B2847" s="2" t="s">
        <v>29</v>
      </c>
      <c r="C2847" s="2" t="s">
        <v>18</v>
      </c>
      <c r="D2847" s="2" t="s">
        <v>31</v>
      </c>
      <c r="E2847" s="2" t="s">
        <v>20</v>
      </c>
      <c r="F2847" s="2" t="n">
        <v>1058</v>
      </c>
      <c r="G2847" s="2" t="s">
        <v>20</v>
      </c>
      <c r="H2847" s="2" t="s">
        <v>20</v>
      </c>
      <c r="I2847" s="2" t="s">
        <v>21</v>
      </c>
      <c r="J2847" s="2" t="n">
        <v>11</v>
      </c>
      <c r="K2847" s="2" t="s">
        <v>52</v>
      </c>
      <c r="L2847" s="2" t="n">
        <v>188</v>
      </c>
      <c r="M2847" s="2" t="n">
        <v>3</v>
      </c>
      <c r="N2847" s="2" t="n">
        <v>-1</v>
      </c>
      <c r="O2847" s="2" t="n">
        <v>0</v>
      </c>
      <c r="P2847" s="2" t="s">
        <v>23</v>
      </c>
      <c r="Q2847" s="2" t="s">
        <v>26</v>
      </c>
    </row>
    <row r="2848" customFormat="false" ht="15" hidden="false" customHeight="false" outlineLevel="0" collapsed="false">
      <c r="A2848" s="2" t="n">
        <v>47</v>
      </c>
      <c r="B2848" s="2" t="s">
        <v>34</v>
      </c>
      <c r="C2848" s="2" t="s">
        <v>18</v>
      </c>
      <c r="D2848" s="2" t="s">
        <v>19</v>
      </c>
      <c r="E2848" s="2" t="s">
        <v>20</v>
      </c>
      <c r="F2848" s="2" t="n">
        <v>881</v>
      </c>
      <c r="G2848" s="2" t="s">
        <v>26</v>
      </c>
      <c r="H2848" s="2" t="s">
        <v>20</v>
      </c>
      <c r="I2848" s="2" t="s">
        <v>21</v>
      </c>
      <c r="J2848" s="2" t="n">
        <v>14</v>
      </c>
      <c r="K2848" s="2" t="s">
        <v>27</v>
      </c>
      <c r="L2848" s="2" t="n">
        <v>143</v>
      </c>
      <c r="M2848" s="2" t="n">
        <v>1</v>
      </c>
      <c r="N2848" s="2" t="n">
        <v>370</v>
      </c>
      <c r="O2848" s="2" t="n">
        <v>2</v>
      </c>
      <c r="P2848" s="2" t="s">
        <v>28</v>
      </c>
      <c r="Q2848" s="2" t="s">
        <v>20</v>
      </c>
    </row>
    <row r="2849" customFormat="false" ht="15" hidden="false" customHeight="false" outlineLevel="0" collapsed="false">
      <c r="A2849" s="2" t="n">
        <v>38</v>
      </c>
      <c r="B2849" s="2" t="s">
        <v>38</v>
      </c>
      <c r="C2849" s="2" t="s">
        <v>18</v>
      </c>
      <c r="D2849" s="2" t="s">
        <v>25</v>
      </c>
      <c r="E2849" s="2" t="s">
        <v>20</v>
      </c>
      <c r="F2849" s="2" t="n">
        <v>6728</v>
      </c>
      <c r="G2849" s="2" t="s">
        <v>20</v>
      </c>
      <c r="H2849" s="2" t="s">
        <v>20</v>
      </c>
      <c r="I2849" s="2" t="s">
        <v>21</v>
      </c>
      <c r="J2849" s="2" t="n">
        <v>25</v>
      </c>
      <c r="K2849" s="2" t="s">
        <v>46</v>
      </c>
      <c r="L2849" s="2" t="n">
        <v>232</v>
      </c>
      <c r="M2849" s="2" t="n">
        <v>1</v>
      </c>
      <c r="N2849" s="2" t="n">
        <v>96</v>
      </c>
      <c r="O2849" s="2" t="n">
        <v>4</v>
      </c>
      <c r="P2849" s="2" t="s">
        <v>50</v>
      </c>
      <c r="Q2849" s="2" t="s">
        <v>26</v>
      </c>
    </row>
    <row r="2850" customFormat="false" ht="15" hidden="false" customHeight="false" outlineLevel="0" collapsed="false">
      <c r="A2850" s="2" t="n">
        <v>80</v>
      </c>
      <c r="B2850" s="2" t="s">
        <v>48</v>
      </c>
      <c r="C2850" s="2" t="s">
        <v>18</v>
      </c>
      <c r="D2850" s="2" t="s">
        <v>25</v>
      </c>
      <c r="E2850" s="2" t="s">
        <v>20</v>
      </c>
      <c r="F2850" s="2" t="n">
        <v>462</v>
      </c>
      <c r="G2850" s="2" t="s">
        <v>20</v>
      </c>
      <c r="H2850" s="2" t="s">
        <v>20</v>
      </c>
      <c r="I2850" s="2" t="s">
        <v>21</v>
      </c>
      <c r="J2850" s="2" t="n">
        <v>7</v>
      </c>
      <c r="K2850" s="2" t="s">
        <v>53</v>
      </c>
      <c r="L2850" s="2" t="n">
        <v>127</v>
      </c>
      <c r="M2850" s="2" t="n">
        <v>2</v>
      </c>
      <c r="N2850" s="2" t="n">
        <v>-1</v>
      </c>
      <c r="O2850" s="2" t="n">
        <v>0</v>
      </c>
      <c r="P2850" s="2" t="s">
        <v>23</v>
      </c>
      <c r="Q2850" s="2" t="s">
        <v>20</v>
      </c>
    </row>
    <row r="2851" customFormat="false" ht="15" hidden="false" customHeight="false" outlineLevel="0" collapsed="false">
      <c r="A2851" s="2" t="n">
        <v>40</v>
      </c>
      <c r="B2851" s="2" t="s">
        <v>36</v>
      </c>
      <c r="C2851" s="2" t="s">
        <v>18</v>
      </c>
      <c r="D2851" s="2" t="s">
        <v>25</v>
      </c>
      <c r="E2851" s="2" t="s">
        <v>20</v>
      </c>
      <c r="F2851" s="2" t="n">
        <v>167</v>
      </c>
      <c r="G2851" s="2" t="s">
        <v>26</v>
      </c>
      <c r="H2851" s="2" t="s">
        <v>26</v>
      </c>
      <c r="I2851" s="2" t="s">
        <v>21</v>
      </c>
      <c r="J2851" s="2" t="n">
        <v>8</v>
      </c>
      <c r="K2851" s="2" t="s">
        <v>27</v>
      </c>
      <c r="L2851" s="2" t="n">
        <v>380</v>
      </c>
      <c r="M2851" s="2" t="n">
        <v>4</v>
      </c>
      <c r="N2851" s="2" t="n">
        <v>295</v>
      </c>
      <c r="O2851" s="2" t="n">
        <v>1</v>
      </c>
      <c r="P2851" s="2" t="s">
        <v>28</v>
      </c>
      <c r="Q2851" s="2" t="s">
        <v>20</v>
      </c>
    </row>
    <row r="2852" customFormat="false" ht="15" hidden="false" customHeight="false" outlineLevel="0" collapsed="false">
      <c r="A2852" s="2" t="n">
        <v>43</v>
      </c>
      <c r="B2852" s="2" t="s">
        <v>39</v>
      </c>
      <c r="C2852" s="2" t="s">
        <v>18</v>
      </c>
      <c r="D2852" s="2" t="s">
        <v>31</v>
      </c>
      <c r="E2852" s="2" t="s">
        <v>20</v>
      </c>
      <c r="F2852" s="2" t="n">
        <v>1574</v>
      </c>
      <c r="G2852" s="2" t="s">
        <v>26</v>
      </c>
      <c r="H2852" s="2" t="s">
        <v>20</v>
      </c>
      <c r="I2852" s="2" t="s">
        <v>21</v>
      </c>
      <c r="J2852" s="2" t="n">
        <v>19</v>
      </c>
      <c r="K2852" s="2" t="s">
        <v>46</v>
      </c>
      <c r="L2852" s="2" t="n">
        <v>167</v>
      </c>
      <c r="M2852" s="2" t="n">
        <v>3</v>
      </c>
      <c r="N2852" s="2" t="n">
        <v>-1</v>
      </c>
      <c r="O2852" s="2" t="n">
        <v>0</v>
      </c>
      <c r="P2852" s="2" t="s">
        <v>23</v>
      </c>
      <c r="Q2852" s="2" t="s">
        <v>20</v>
      </c>
    </row>
    <row r="2853" customFormat="false" ht="15" hidden="false" customHeight="false" outlineLevel="0" collapsed="false">
      <c r="A2853" s="2" t="n">
        <v>32</v>
      </c>
      <c r="B2853" s="2" t="s">
        <v>38</v>
      </c>
      <c r="C2853" s="2" t="s">
        <v>30</v>
      </c>
      <c r="D2853" s="2" t="s">
        <v>31</v>
      </c>
      <c r="E2853" s="2" t="s">
        <v>20</v>
      </c>
      <c r="F2853" s="2" t="n">
        <v>1625</v>
      </c>
      <c r="G2853" s="2" t="s">
        <v>20</v>
      </c>
      <c r="H2853" s="2" t="s">
        <v>20</v>
      </c>
      <c r="I2853" s="2" t="s">
        <v>21</v>
      </c>
      <c r="J2853" s="2" t="n">
        <v>22</v>
      </c>
      <c r="K2853" s="2" t="s">
        <v>27</v>
      </c>
      <c r="L2853" s="2" t="n">
        <v>796</v>
      </c>
      <c r="M2853" s="2" t="n">
        <v>1</v>
      </c>
      <c r="N2853" s="2" t="n">
        <v>109</v>
      </c>
      <c r="O2853" s="2" t="n">
        <v>1</v>
      </c>
      <c r="P2853" s="2" t="s">
        <v>28</v>
      </c>
      <c r="Q2853" s="2" t="s">
        <v>26</v>
      </c>
    </row>
    <row r="2854" customFormat="false" ht="15" hidden="false" customHeight="false" outlineLevel="0" collapsed="false">
      <c r="A2854" s="2" t="n">
        <v>39</v>
      </c>
      <c r="B2854" s="2" t="s">
        <v>29</v>
      </c>
      <c r="C2854" s="2" t="s">
        <v>18</v>
      </c>
      <c r="D2854" s="2" t="s">
        <v>31</v>
      </c>
      <c r="E2854" s="2" t="s">
        <v>20</v>
      </c>
      <c r="F2854" s="2" t="n">
        <v>562</v>
      </c>
      <c r="G2854" s="2" t="s">
        <v>20</v>
      </c>
      <c r="H2854" s="2" t="s">
        <v>20</v>
      </c>
      <c r="I2854" s="2" t="s">
        <v>21</v>
      </c>
      <c r="J2854" s="2" t="n">
        <v>13</v>
      </c>
      <c r="K2854" s="2" t="s">
        <v>51</v>
      </c>
      <c r="L2854" s="2" t="n">
        <v>303</v>
      </c>
      <c r="M2854" s="2" t="n">
        <v>2</v>
      </c>
      <c r="N2854" s="2" t="n">
        <v>-1</v>
      </c>
      <c r="O2854" s="2" t="n">
        <v>0</v>
      </c>
      <c r="P2854" s="2" t="s">
        <v>23</v>
      </c>
      <c r="Q2854" s="2" t="s">
        <v>20</v>
      </c>
    </row>
    <row r="2855" customFormat="false" ht="15" hidden="false" customHeight="false" outlineLevel="0" collapsed="false">
      <c r="A2855" s="2" t="n">
        <v>33</v>
      </c>
      <c r="B2855" s="2" t="s">
        <v>38</v>
      </c>
      <c r="C2855" s="2" t="s">
        <v>18</v>
      </c>
      <c r="D2855" s="2" t="s">
        <v>25</v>
      </c>
      <c r="E2855" s="2" t="s">
        <v>20</v>
      </c>
      <c r="F2855" s="2" t="n">
        <v>9305</v>
      </c>
      <c r="G2855" s="2" t="s">
        <v>26</v>
      </c>
      <c r="H2855" s="2" t="s">
        <v>20</v>
      </c>
      <c r="I2855" s="2" t="s">
        <v>21</v>
      </c>
      <c r="J2855" s="2" t="n">
        <v>17</v>
      </c>
      <c r="K2855" s="2" t="s">
        <v>32</v>
      </c>
      <c r="L2855" s="2" t="n">
        <v>407</v>
      </c>
      <c r="M2855" s="2" t="n">
        <v>2</v>
      </c>
      <c r="N2855" s="2" t="n">
        <v>-1</v>
      </c>
      <c r="O2855" s="2" t="n">
        <v>0</v>
      </c>
      <c r="P2855" s="2" t="s">
        <v>23</v>
      </c>
      <c r="Q2855" s="2" t="s">
        <v>20</v>
      </c>
    </row>
    <row r="2856" customFormat="false" ht="15" hidden="false" customHeight="false" outlineLevel="0" collapsed="false">
      <c r="A2856" s="2" t="n">
        <v>31</v>
      </c>
      <c r="B2856" s="2" t="s">
        <v>38</v>
      </c>
      <c r="C2856" s="2" t="s">
        <v>30</v>
      </c>
      <c r="D2856" s="2" t="s">
        <v>25</v>
      </c>
      <c r="E2856" s="2" t="s">
        <v>20</v>
      </c>
      <c r="F2856" s="2" t="n">
        <v>35</v>
      </c>
      <c r="G2856" s="2" t="s">
        <v>20</v>
      </c>
      <c r="H2856" s="2" t="s">
        <v>26</v>
      </c>
      <c r="I2856" s="2" t="s">
        <v>21</v>
      </c>
      <c r="J2856" s="2" t="n">
        <v>16</v>
      </c>
      <c r="K2856" s="2" t="s">
        <v>44</v>
      </c>
      <c r="L2856" s="2" t="n">
        <v>229</v>
      </c>
      <c r="M2856" s="2" t="n">
        <v>1</v>
      </c>
      <c r="N2856" s="2" t="n">
        <v>-1</v>
      </c>
      <c r="O2856" s="2" t="n">
        <v>0</v>
      </c>
      <c r="P2856" s="2" t="s">
        <v>23</v>
      </c>
      <c r="Q2856" s="2" t="s">
        <v>20</v>
      </c>
    </row>
    <row r="2857" customFormat="false" ht="15" hidden="false" customHeight="false" outlineLevel="0" collapsed="false">
      <c r="A2857" s="2" t="n">
        <v>36</v>
      </c>
      <c r="B2857" s="2" t="s">
        <v>29</v>
      </c>
      <c r="C2857" s="2" t="s">
        <v>30</v>
      </c>
      <c r="D2857" s="2" t="s">
        <v>31</v>
      </c>
      <c r="E2857" s="2" t="s">
        <v>20</v>
      </c>
      <c r="F2857" s="2" t="n">
        <v>0</v>
      </c>
      <c r="G2857" s="2" t="s">
        <v>20</v>
      </c>
      <c r="H2857" s="2" t="s">
        <v>20</v>
      </c>
      <c r="I2857" s="2" t="s">
        <v>21</v>
      </c>
      <c r="J2857" s="2" t="n">
        <v>11</v>
      </c>
      <c r="K2857" s="2" t="s">
        <v>41</v>
      </c>
      <c r="L2857" s="2" t="n">
        <v>108</v>
      </c>
      <c r="M2857" s="2" t="n">
        <v>2</v>
      </c>
      <c r="N2857" s="2" t="n">
        <v>-1</v>
      </c>
      <c r="O2857" s="2" t="n">
        <v>0</v>
      </c>
      <c r="P2857" s="2" t="s">
        <v>23</v>
      </c>
      <c r="Q2857" s="2" t="s">
        <v>20</v>
      </c>
    </row>
    <row r="2858" customFormat="false" ht="15" hidden="false" customHeight="false" outlineLevel="0" collapsed="false">
      <c r="A2858" s="2" t="n">
        <v>35</v>
      </c>
      <c r="B2858" s="2" t="s">
        <v>29</v>
      </c>
      <c r="C2858" s="2" t="s">
        <v>30</v>
      </c>
      <c r="D2858" s="2" t="s">
        <v>31</v>
      </c>
      <c r="E2858" s="2" t="s">
        <v>20</v>
      </c>
      <c r="F2858" s="2" t="n">
        <v>2486</v>
      </c>
      <c r="G2858" s="2" t="s">
        <v>26</v>
      </c>
      <c r="H2858" s="2" t="s">
        <v>20</v>
      </c>
      <c r="I2858" s="2" t="s">
        <v>21</v>
      </c>
      <c r="J2858" s="2" t="n">
        <v>25</v>
      </c>
      <c r="K2858" s="2" t="s">
        <v>27</v>
      </c>
      <c r="L2858" s="2" t="n">
        <v>265</v>
      </c>
      <c r="M2858" s="2" t="n">
        <v>1</v>
      </c>
      <c r="N2858" s="2" t="n">
        <v>-1</v>
      </c>
      <c r="O2858" s="2" t="n">
        <v>0</v>
      </c>
      <c r="P2858" s="2" t="s">
        <v>23</v>
      </c>
      <c r="Q2858" s="2" t="s">
        <v>20</v>
      </c>
    </row>
    <row r="2859" customFormat="false" ht="15" hidden="false" customHeight="false" outlineLevel="0" collapsed="false">
      <c r="A2859" s="2" t="n">
        <v>25</v>
      </c>
      <c r="B2859" s="2" t="s">
        <v>24</v>
      </c>
      <c r="C2859" s="2" t="s">
        <v>30</v>
      </c>
      <c r="D2859" s="2" t="s">
        <v>25</v>
      </c>
      <c r="E2859" s="2" t="s">
        <v>20</v>
      </c>
      <c r="F2859" s="2" t="n">
        <v>368</v>
      </c>
      <c r="G2859" s="2" t="s">
        <v>20</v>
      </c>
      <c r="H2859" s="2" t="s">
        <v>20</v>
      </c>
      <c r="I2859" s="2" t="s">
        <v>49</v>
      </c>
      <c r="J2859" s="2" t="n">
        <v>25</v>
      </c>
      <c r="K2859" s="2" t="s">
        <v>44</v>
      </c>
      <c r="L2859" s="2" t="n">
        <v>168</v>
      </c>
      <c r="M2859" s="2" t="n">
        <v>1</v>
      </c>
      <c r="N2859" s="2" t="n">
        <v>-1</v>
      </c>
      <c r="O2859" s="2" t="n">
        <v>0</v>
      </c>
      <c r="P2859" s="2" t="s">
        <v>23</v>
      </c>
      <c r="Q2859" s="2" t="s">
        <v>20</v>
      </c>
    </row>
    <row r="2860" customFormat="false" ht="15" hidden="false" customHeight="false" outlineLevel="0" collapsed="false">
      <c r="A2860" s="2" t="n">
        <v>33</v>
      </c>
      <c r="B2860" s="2" t="s">
        <v>29</v>
      </c>
      <c r="C2860" s="2" t="s">
        <v>30</v>
      </c>
      <c r="D2860" s="2" t="s">
        <v>25</v>
      </c>
      <c r="E2860" s="2" t="s">
        <v>20</v>
      </c>
      <c r="F2860" s="2" t="n">
        <v>1558</v>
      </c>
      <c r="G2860" s="2" t="s">
        <v>26</v>
      </c>
      <c r="H2860" s="2" t="s">
        <v>20</v>
      </c>
      <c r="I2860" s="2" t="s">
        <v>21</v>
      </c>
      <c r="J2860" s="2" t="n">
        <v>17</v>
      </c>
      <c r="K2860" s="2" t="s">
        <v>32</v>
      </c>
      <c r="L2860" s="2" t="n">
        <v>97</v>
      </c>
      <c r="M2860" s="2" t="n">
        <v>1</v>
      </c>
      <c r="N2860" s="2" t="n">
        <v>-1</v>
      </c>
      <c r="O2860" s="2" t="n">
        <v>0</v>
      </c>
      <c r="P2860" s="2" t="s">
        <v>23</v>
      </c>
      <c r="Q2860" s="2" t="s">
        <v>20</v>
      </c>
    </row>
    <row r="2861" customFormat="false" ht="15" hidden="false" customHeight="false" outlineLevel="0" collapsed="false">
      <c r="A2861" s="2" t="n">
        <v>23</v>
      </c>
      <c r="B2861" s="2" t="s">
        <v>34</v>
      </c>
      <c r="C2861" s="2" t="s">
        <v>30</v>
      </c>
      <c r="D2861" s="2" t="s">
        <v>19</v>
      </c>
      <c r="E2861" s="2" t="s">
        <v>20</v>
      </c>
      <c r="F2861" s="2" t="n">
        <v>8627</v>
      </c>
      <c r="G2861" s="2" t="s">
        <v>26</v>
      </c>
      <c r="H2861" s="2" t="s">
        <v>20</v>
      </c>
      <c r="I2861" s="2" t="s">
        <v>21</v>
      </c>
      <c r="J2861" s="2" t="n">
        <v>15</v>
      </c>
      <c r="K2861" s="2" t="s">
        <v>27</v>
      </c>
      <c r="L2861" s="2" t="n">
        <v>169</v>
      </c>
      <c r="M2861" s="2" t="n">
        <v>1</v>
      </c>
      <c r="N2861" s="2" t="n">
        <v>346</v>
      </c>
      <c r="O2861" s="2" t="n">
        <v>1</v>
      </c>
      <c r="P2861" s="2" t="s">
        <v>28</v>
      </c>
      <c r="Q2861" s="2" t="s">
        <v>20</v>
      </c>
    </row>
    <row r="2862" customFormat="false" ht="15" hidden="false" customHeight="false" outlineLevel="0" collapsed="false">
      <c r="A2862" s="2" t="n">
        <v>31</v>
      </c>
      <c r="B2862" s="2" t="s">
        <v>29</v>
      </c>
      <c r="C2862" s="2" t="s">
        <v>30</v>
      </c>
      <c r="D2862" s="2" t="s">
        <v>31</v>
      </c>
      <c r="E2862" s="2" t="s">
        <v>20</v>
      </c>
      <c r="F2862" s="2" t="n">
        <v>2590</v>
      </c>
      <c r="G2862" s="2" t="s">
        <v>20</v>
      </c>
      <c r="H2862" s="2" t="s">
        <v>20</v>
      </c>
      <c r="I2862" s="2" t="s">
        <v>21</v>
      </c>
      <c r="J2862" s="2" t="n">
        <v>23</v>
      </c>
      <c r="K2862" s="2" t="s">
        <v>51</v>
      </c>
      <c r="L2862" s="2" t="n">
        <v>103</v>
      </c>
      <c r="M2862" s="2" t="n">
        <v>2</v>
      </c>
      <c r="N2862" s="2" t="n">
        <v>484</v>
      </c>
      <c r="O2862" s="2" t="n">
        <v>2</v>
      </c>
      <c r="P2862" s="2" t="s">
        <v>37</v>
      </c>
      <c r="Q2862" s="2" t="s">
        <v>20</v>
      </c>
    </row>
    <row r="2863" customFormat="false" ht="15" hidden="false" customHeight="false" outlineLevel="0" collapsed="false">
      <c r="A2863" s="2" t="n">
        <v>36</v>
      </c>
      <c r="B2863" s="2" t="s">
        <v>29</v>
      </c>
      <c r="C2863" s="2" t="s">
        <v>18</v>
      </c>
      <c r="D2863" s="2" t="s">
        <v>31</v>
      </c>
      <c r="E2863" s="2" t="s">
        <v>20</v>
      </c>
      <c r="F2863" s="2" t="n">
        <v>0</v>
      </c>
      <c r="G2863" s="2" t="s">
        <v>26</v>
      </c>
      <c r="H2863" s="2" t="s">
        <v>26</v>
      </c>
      <c r="I2863" s="2" t="s">
        <v>23</v>
      </c>
      <c r="J2863" s="2" t="n">
        <v>3</v>
      </c>
      <c r="K2863" s="2" t="s">
        <v>33</v>
      </c>
      <c r="L2863" s="2" t="n">
        <v>599</v>
      </c>
      <c r="M2863" s="2" t="n">
        <v>3</v>
      </c>
      <c r="N2863" s="2" t="n">
        <v>-1</v>
      </c>
      <c r="O2863" s="2" t="n">
        <v>0</v>
      </c>
      <c r="P2863" s="2" t="s">
        <v>23</v>
      </c>
      <c r="Q2863" s="2" t="s">
        <v>20</v>
      </c>
    </row>
    <row r="2864" customFormat="false" ht="15" hidden="false" customHeight="false" outlineLevel="0" collapsed="false">
      <c r="A2864" s="2" t="n">
        <v>44</v>
      </c>
      <c r="B2864" s="2" t="s">
        <v>38</v>
      </c>
      <c r="C2864" s="2" t="s">
        <v>30</v>
      </c>
      <c r="D2864" s="2" t="s">
        <v>31</v>
      </c>
      <c r="E2864" s="2" t="s">
        <v>20</v>
      </c>
      <c r="F2864" s="2" t="n">
        <v>900</v>
      </c>
      <c r="G2864" s="2" t="s">
        <v>26</v>
      </c>
      <c r="H2864" s="2" t="s">
        <v>20</v>
      </c>
      <c r="I2864" s="2" t="s">
        <v>21</v>
      </c>
      <c r="J2864" s="2" t="n">
        <v>29</v>
      </c>
      <c r="K2864" s="2" t="s">
        <v>43</v>
      </c>
      <c r="L2864" s="2" t="n">
        <v>322</v>
      </c>
      <c r="M2864" s="2" t="n">
        <v>2</v>
      </c>
      <c r="N2864" s="2" t="n">
        <v>-1</v>
      </c>
      <c r="O2864" s="2" t="n">
        <v>0</v>
      </c>
      <c r="P2864" s="2" t="s">
        <v>23</v>
      </c>
      <c r="Q2864" s="2" t="s">
        <v>20</v>
      </c>
    </row>
    <row r="2865" customFormat="false" ht="15" hidden="false" customHeight="false" outlineLevel="0" collapsed="false">
      <c r="A2865" s="2" t="n">
        <v>31</v>
      </c>
      <c r="B2865" s="2" t="s">
        <v>29</v>
      </c>
      <c r="C2865" s="2" t="s">
        <v>30</v>
      </c>
      <c r="D2865" s="2" t="s">
        <v>31</v>
      </c>
      <c r="E2865" s="2" t="s">
        <v>20</v>
      </c>
      <c r="F2865" s="2" t="n">
        <v>385</v>
      </c>
      <c r="G2865" s="2" t="s">
        <v>26</v>
      </c>
      <c r="H2865" s="2" t="s">
        <v>20</v>
      </c>
      <c r="I2865" s="2" t="s">
        <v>23</v>
      </c>
      <c r="J2865" s="2" t="n">
        <v>21</v>
      </c>
      <c r="K2865" s="2" t="s">
        <v>27</v>
      </c>
      <c r="L2865" s="2" t="n">
        <v>304</v>
      </c>
      <c r="M2865" s="2" t="n">
        <v>1</v>
      </c>
      <c r="N2865" s="2" t="n">
        <v>-1</v>
      </c>
      <c r="O2865" s="2" t="n">
        <v>0</v>
      </c>
      <c r="P2865" s="2" t="s">
        <v>23</v>
      </c>
      <c r="Q2865" s="2" t="s">
        <v>20</v>
      </c>
    </row>
    <row r="2866" customFormat="false" ht="15" hidden="false" customHeight="false" outlineLevel="0" collapsed="false">
      <c r="A2866" s="2" t="n">
        <v>55</v>
      </c>
      <c r="B2866" s="2" t="s">
        <v>34</v>
      </c>
      <c r="C2866" s="2" t="s">
        <v>18</v>
      </c>
      <c r="D2866" s="2" t="s">
        <v>19</v>
      </c>
      <c r="E2866" s="2" t="s">
        <v>20</v>
      </c>
      <c r="F2866" s="2" t="n">
        <v>1649</v>
      </c>
      <c r="G2866" s="2" t="s">
        <v>26</v>
      </c>
      <c r="H2866" s="2" t="s">
        <v>20</v>
      </c>
      <c r="I2866" s="2" t="s">
        <v>21</v>
      </c>
      <c r="J2866" s="2" t="n">
        <v>12</v>
      </c>
      <c r="K2866" s="2" t="s">
        <v>27</v>
      </c>
      <c r="L2866" s="2" t="n">
        <v>52</v>
      </c>
      <c r="M2866" s="2" t="n">
        <v>3</v>
      </c>
      <c r="N2866" s="2" t="n">
        <v>-1</v>
      </c>
      <c r="O2866" s="2" t="n">
        <v>0</v>
      </c>
      <c r="P2866" s="2" t="s">
        <v>23</v>
      </c>
      <c r="Q2866" s="2" t="s">
        <v>20</v>
      </c>
    </row>
    <row r="2867" customFormat="false" ht="15" hidden="false" customHeight="false" outlineLevel="0" collapsed="false">
      <c r="A2867" s="2" t="n">
        <v>51</v>
      </c>
      <c r="B2867" s="2" t="s">
        <v>47</v>
      </c>
      <c r="C2867" s="2" t="s">
        <v>45</v>
      </c>
      <c r="D2867" s="2" t="s">
        <v>25</v>
      </c>
      <c r="E2867" s="2" t="s">
        <v>20</v>
      </c>
      <c r="F2867" s="2" t="n">
        <v>9228</v>
      </c>
      <c r="G2867" s="2" t="s">
        <v>20</v>
      </c>
      <c r="H2867" s="2" t="s">
        <v>20</v>
      </c>
      <c r="I2867" s="2" t="s">
        <v>21</v>
      </c>
      <c r="J2867" s="2" t="n">
        <v>18</v>
      </c>
      <c r="K2867" s="2" t="s">
        <v>44</v>
      </c>
      <c r="L2867" s="2" t="n">
        <v>655</v>
      </c>
      <c r="M2867" s="2" t="n">
        <v>4</v>
      </c>
      <c r="N2867" s="2" t="n">
        <v>-1</v>
      </c>
      <c r="O2867" s="2" t="n">
        <v>0</v>
      </c>
      <c r="P2867" s="2" t="s">
        <v>23</v>
      </c>
      <c r="Q2867" s="2" t="s">
        <v>26</v>
      </c>
    </row>
    <row r="2868" customFormat="false" ht="15" hidden="false" customHeight="false" outlineLevel="0" collapsed="false">
      <c r="A2868" s="2" t="n">
        <v>36</v>
      </c>
      <c r="B2868" s="2" t="s">
        <v>40</v>
      </c>
      <c r="C2868" s="2" t="s">
        <v>18</v>
      </c>
      <c r="D2868" s="2" t="s">
        <v>25</v>
      </c>
      <c r="E2868" s="2" t="s">
        <v>20</v>
      </c>
      <c r="F2868" s="2" t="n">
        <v>0</v>
      </c>
      <c r="G2868" s="2" t="s">
        <v>26</v>
      </c>
      <c r="H2868" s="2" t="s">
        <v>26</v>
      </c>
      <c r="I2868" s="2" t="s">
        <v>21</v>
      </c>
      <c r="J2868" s="2" t="n">
        <v>9</v>
      </c>
      <c r="K2868" s="2" t="s">
        <v>35</v>
      </c>
      <c r="L2868" s="2" t="n">
        <v>101</v>
      </c>
      <c r="M2868" s="2" t="n">
        <v>2</v>
      </c>
      <c r="N2868" s="2" t="n">
        <v>-1</v>
      </c>
      <c r="O2868" s="2" t="n">
        <v>0</v>
      </c>
      <c r="P2868" s="2" t="s">
        <v>23</v>
      </c>
      <c r="Q2868" s="2" t="s">
        <v>20</v>
      </c>
    </row>
    <row r="2869" customFormat="false" ht="15" hidden="false" customHeight="false" outlineLevel="0" collapsed="false">
      <c r="A2869" s="2" t="n">
        <v>27</v>
      </c>
      <c r="B2869" s="2" t="s">
        <v>17</v>
      </c>
      <c r="C2869" s="2" t="s">
        <v>30</v>
      </c>
      <c r="D2869" s="2" t="s">
        <v>31</v>
      </c>
      <c r="E2869" s="2" t="s">
        <v>20</v>
      </c>
      <c r="F2869" s="2" t="n">
        <v>1</v>
      </c>
      <c r="G2869" s="2" t="s">
        <v>20</v>
      </c>
      <c r="H2869" s="2" t="s">
        <v>20</v>
      </c>
      <c r="I2869" s="2" t="s">
        <v>21</v>
      </c>
      <c r="J2869" s="2" t="n">
        <v>3</v>
      </c>
      <c r="K2869" s="2" t="s">
        <v>35</v>
      </c>
      <c r="L2869" s="2" t="n">
        <v>65</v>
      </c>
      <c r="M2869" s="2" t="n">
        <v>2</v>
      </c>
      <c r="N2869" s="2" t="n">
        <v>-1</v>
      </c>
      <c r="O2869" s="2" t="n">
        <v>0</v>
      </c>
      <c r="P2869" s="2" t="s">
        <v>23</v>
      </c>
      <c r="Q2869" s="2" t="s">
        <v>20</v>
      </c>
    </row>
    <row r="2870" customFormat="false" ht="15" hidden="false" customHeight="false" outlineLevel="0" collapsed="false">
      <c r="A2870" s="2" t="n">
        <v>40</v>
      </c>
      <c r="B2870" s="2" t="s">
        <v>24</v>
      </c>
      <c r="C2870" s="2" t="s">
        <v>18</v>
      </c>
      <c r="D2870" s="2" t="s">
        <v>25</v>
      </c>
      <c r="E2870" s="2" t="s">
        <v>20</v>
      </c>
      <c r="F2870" s="2" t="n">
        <v>771</v>
      </c>
      <c r="G2870" s="2" t="s">
        <v>26</v>
      </c>
      <c r="H2870" s="2" t="s">
        <v>20</v>
      </c>
      <c r="I2870" s="2" t="s">
        <v>21</v>
      </c>
      <c r="J2870" s="2" t="n">
        <v>15</v>
      </c>
      <c r="K2870" s="2" t="s">
        <v>27</v>
      </c>
      <c r="L2870" s="2" t="n">
        <v>173</v>
      </c>
      <c r="M2870" s="2" t="n">
        <v>4</v>
      </c>
      <c r="N2870" s="2" t="n">
        <v>-1</v>
      </c>
      <c r="O2870" s="2" t="n">
        <v>0</v>
      </c>
      <c r="P2870" s="2" t="s">
        <v>23</v>
      </c>
      <c r="Q2870" s="2" t="s">
        <v>20</v>
      </c>
    </row>
    <row r="2871" customFormat="false" ht="15" hidden="false" customHeight="false" outlineLevel="0" collapsed="false">
      <c r="A2871" s="2" t="n">
        <v>49</v>
      </c>
      <c r="B2871" s="2" t="s">
        <v>24</v>
      </c>
      <c r="C2871" s="2" t="s">
        <v>18</v>
      </c>
      <c r="D2871" s="2" t="s">
        <v>25</v>
      </c>
      <c r="E2871" s="2" t="s">
        <v>20</v>
      </c>
      <c r="F2871" s="2" t="n">
        <v>280</v>
      </c>
      <c r="G2871" s="2" t="s">
        <v>26</v>
      </c>
      <c r="H2871" s="2" t="s">
        <v>20</v>
      </c>
      <c r="I2871" s="2" t="s">
        <v>49</v>
      </c>
      <c r="J2871" s="2" t="n">
        <v>14</v>
      </c>
      <c r="K2871" s="2" t="s">
        <v>44</v>
      </c>
      <c r="L2871" s="2" t="n">
        <v>162</v>
      </c>
      <c r="M2871" s="2" t="n">
        <v>3</v>
      </c>
      <c r="N2871" s="2" t="n">
        <v>-1</v>
      </c>
      <c r="O2871" s="2" t="n">
        <v>0</v>
      </c>
      <c r="P2871" s="2" t="s">
        <v>23</v>
      </c>
      <c r="Q2871" s="2" t="s">
        <v>20</v>
      </c>
    </row>
    <row r="2872" customFormat="false" ht="15" hidden="false" customHeight="false" outlineLevel="0" collapsed="false">
      <c r="A2872" s="2" t="n">
        <v>59</v>
      </c>
      <c r="B2872" s="2" t="s">
        <v>48</v>
      </c>
      <c r="C2872" s="2" t="s">
        <v>18</v>
      </c>
      <c r="D2872" s="2" t="s">
        <v>19</v>
      </c>
      <c r="E2872" s="2" t="s">
        <v>20</v>
      </c>
      <c r="F2872" s="2" t="n">
        <v>46</v>
      </c>
      <c r="G2872" s="2" t="s">
        <v>20</v>
      </c>
      <c r="H2872" s="2" t="s">
        <v>20</v>
      </c>
      <c r="I2872" s="2" t="s">
        <v>21</v>
      </c>
      <c r="J2872" s="2" t="n">
        <v>14</v>
      </c>
      <c r="K2872" s="2" t="s">
        <v>41</v>
      </c>
      <c r="L2872" s="2" t="n">
        <v>78</v>
      </c>
      <c r="M2872" s="2" t="n">
        <v>2</v>
      </c>
      <c r="N2872" s="2" t="n">
        <v>-1</v>
      </c>
      <c r="O2872" s="2" t="n">
        <v>0</v>
      </c>
      <c r="P2872" s="2" t="s">
        <v>23</v>
      </c>
      <c r="Q2872" s="2" t="s">
        <v>20</v>
      </c>
    </row>
    <row r="2873" customFormat="false" ht="15" hidden="false" customHeight="false" outlineLevel="0" collapsed="false">
      <c r="A2873" s="2" t="n">
        <v>32</v>
      </c>
      <c r="B2873" s="2" t="s">
        <v>29</v>
      </c>
      <c r="C2873" s="2" t="s">
        <v>18</v>
      </c>
      <c r="D2873" s="2" t="s">
        <v>31</v>
      </c>
      <c r="E2873" s="2" t="s">
        <v>20</v>
      </c>
      <c r="F2873" s="2" t="n">
        <v>2431</v>
      </c>
      <c r="G2873" s="2" t="s">
        <v>26</v>
      </c>
      <c r="H2873" s="2" t="s">
        <v>20</v>
      </c>
      <c r="I2873" s="2" t="s">
        <v>21</v>
      </c>
      <c r="J2873" s="2" t="n">
        <v>14</v>
      </c>
      <c r="K2873" s="2" t="s">
        <v>27</v>
      </c>
      <c r="L2873" s="2" t="n">
        <v>646</v>
      </c>
      <c r="M2873" s="2" t="n">
        <v>5</v>
      </c>
      <c r="N2873" s="2" t="n">
        <v>-1</v>
      </c>
      <c r="O2873" s="2" t="n">
        <v>0</v>
      </c>
      <c r="P2873" s="2" t="s">
        <v>23</v>
      </c>
      <c r="Q2873" s="2" t="s">
        <v>26</v>
      </c>
    </row>
    <row r="2874" customFormat="false" ht="15" hidden="false" customHeight="false" outlineLevel="0" collapsed="false">
      <c r="A2874" s="2" t="n">
        <v>42</v>
      </c>
      <c r="B2874" s="2" t="s">
        <v>48</v>
      </c>
      <c r="C2874" s="2" t="s">
        <v>30</v>
      </c>
      <c r="D2874" s="2" t="s">
        <v>31</v>
      </c>
      <c r="E2874" s="2" t="s">
        <v>20</v>
      </c>
      <c r="F2874" s="2" t="n">
        <v>308</v>
      </c>
      <c r="G2874" s="2" t="s">
        <v>20</v>
      </c>
      <c r="H2874" s="2" t="s">
        <v>20</v>
      </c>
      <c r="I2874" s="2" t="s">
        <v>21</v>
      </c>
      <c r="J2874" s="2" t="n">
        <v>30</v>
      </c>
      <c r="K2874" s="2" t="s">
        <v>43</v>
      </c>
      <c r="L2874" s="2" t="n">
        <v>114</v>
      </c>
      <c r="M2874" s="2" t="n">
        <v>2</v>
      </c>
      <c r="N2874" s="2" t="n">
        <v>-1</v>
      </c>
      <c r="O2874" s="2" t="n">
        <v>0</v>
      </c>
      <c r="P2874" s="2" t="s">
        <v>23</v>
      </c>
      <c r="Q2874" s="2" t="s">
        <v>20</v>
      </c>
    </row>
    <row r="2875" customFormat="false" ht="15" hidden="false" customHeight="false" outlineLevel="0" collapsed="false">
      <c r="A2875" s="2" t="n">
        <v>35</v>
      </c>
      <c r="B2875" s="2" t="s">
        <v>29</v>
      </c>
      <c r="C2875" s="2" t="s">
        <v>45</v>
      </c>
      <c r="D2875" s="2" t="s">
        <v>31</v>
      </c>
      <c r="E2875" s="2" t="s">
        <v>20</v>
      </c>
      <c r="F2875" s="2" t="n">
        <v>160</v>
      </c>
      <c r="G2875" s="2" t="s">
        <v>26</v>
      </c>
      <c r="H2875" s="2" t="s">
        <v>20</v>
      </c>
      <c r="I2875" s="2" t="s">
        <v>23</v>
      </c>
      <c r="J2875" s="2" t="n">
        <v>4</v>
      </c>
      <c r="K2875" s="2" t="s">
        <v>33</v>
      </c>
      <c r="L2875" s="2" t="n">
        <v>141</v>
      </c>
      <c r="M2875" s="2" t="n">
        <v>6</v>
      </c>
      <c r="N2875" s="2" t="n">
        <v>-1</v>
      </c>
      <c r="O2875" s="2" t="n">
        <v>0</v>
      </c>
      <c r="P2875" s="2" t="s">
        <v>23</v>
      </c>
      <c r="Q2875" s="2" t="s">
        <v>20</v>
      </c>
    </row>
    <row r="2876" customFormat="false" ht="15" hidden="false" customHeight="false" outlineLevel="0" collapsed="false">
      <c r="A2876" s="2" t="n">
        <v>29</v>
      </c>
      <c r="B2876" s="2" t="s">
        <v>34</v>
      </c>
      <c r="C2876" s="2" t="s">
        <v>30</v>
      </c>
      <c r="D2876" s="2" t="s">
        <v>25</v>
      </c>
      <c r="E2876" s="2" t="s">
        <v>20</v>
      </c>
      <c r="F2876" s="2" t="n">
        <v>555</v>
      </c>
      <c r="G2876" s="2" t="s">
        <v>26</v>
      </c>
      <c r="H2876" s="2" t="s">
        <v>20</v>
      </c>
      <c r="I2876" s="2" t="s">
        <v>21</v>
      </c>
      <c r="J2876" s="2" t="n">
        <v>15</v>
      </c>
      <c r="K2876" s="2" t="s">
        <v>27</v>
      </c>
      <c r="L2876" s="2" t="n">
        <v>133</v>
      </c>
      <c r="M2876" s="2" t="n">
        <v>4</v>
      </c>
      <c r="N2876" s="2" t="n">
        <v>-1</v>
      </c>
      <c r="O2876" s="2" t="n">
        <v>0</v>
      </c>
      <c r="P2876" s="2" t="s">
        <v>23</v>
      </c>
      <c r="Q2876" s="2" t="s">
        <v>20</v>
      </c>
    </row>
    <row r="2877" customFormat="false" ht="15" hidden="false" customHeight="false" outlineLevel="0" collapsed="false">
      <c r="A2877" s="2" t="n">
        <v>29</v>
      </c>
      <c r="B2877" s="2" t="s">
        <v>38</v>
      </c>
      <c r="C2877" s="2" t="s">
        <v>30</v>
      </c>
      <c r="D2877" s="2" t="s">
        <v>25</v>
      </c>
      <c r="E2877" s="2" t="s">
        <v>20</v>
      </c>
      <c r="F2877" s="2" t="n">
        <v>778</v>
      </c>
      <c r="G2877" s="2" t="s">
        <v>26</v>
      </c>
      <c r="H2877" s="2" t="s">
        <v>20</v>
      </c>
      <c r="I2877" s="2" t="s">
        <v>23</v>
      </c>
      <c r="J2877" s="2" t="n">
        <v>6</v>
      </c>
      <c r="K2877" s="2" t="s">
        <v>33</v>
      </c>
      <c r="L2877" s="2" t="n">
        <v>1994</v>
      </c>
      <c r="M2877" s="2" t="n">
        <v>2</v>
      </c>
      <c r="N2877" s="2" t="n">
        <v>-1</v>
      </c>
      <c r="O2877" s="2" t="n">
        <v>0</v>
      </c>
      <c r="P2877" s="2" t="s">
        <v>23</v>
      </c>
      <c r="Q2877" s="2" t="s">
        <v>20</v>
      </c>
    </row>
    <row r="2878" customFormat="false" ht="15" hidden="false" customHeight="false" outlineLevel="0" collapsed="false">
      <c r="A2878" s="2" t="n">
        <v>37</v>
      </c>
      <c r="B2878" s="2" t="s">
        <v>34</v>
      </c>
      <c r="C2878" s="2" t="s">
        <v>30</v>
      </c>
      <c r="D2878" s="2" t="s">
        <v>25</v>
      </c>
      <c r="E2878" s="2" t="s">
        <v>20</v>
      </c>
      <c r="F2878" s="2" t="n">
        <v>48</v>
      </c>
      <c r="G2878" s="2" t="s">
        <v>20</v>
      </c>
      <c r="H2878" s="2" t="s">
        <v>20</v>
      </c>
      <c r="I2878" s="2" t="s">
        <v>21</v>
      </c>
      <c r="J2878" s="2" t="n">
        <v>6</v>
      </c>
      <c r="K2878" s="2" t="s">
        <v>27</v>
      </c>
      <c r="L2878" s="2" t="n">
        <v>140</v>
      </c>
      <c r="M2878" s="2" t="n">
        <v>2</v>
      </c>
      <c r="N2878" s="2" t="n">
        <v>-1</v>
      </c>
      <c r="O2878" s="2" t="n">
        <v>0</v>
      </c>
      <c r="P2878" s="2" t="s">
        <v>23</v>
      </c>
      <c r="Q2878" s="2" t="s">
        <v>20</v>
      </c>
    </row>
    <row r="2879" customFormat="false" ht="15" hidden="false" customHeight="false" outlineLevel="0" collapsed="false">
      <c r="A2879" s="2" t="n">
        <v>49</v>
      </c>
      <c r="B2879" s="2" t="s">
        <v>40</v>
      </c>
      <c r="C2879" s="2" t="s">
        <v>18</v>
      </c>
      <c r="D2879" s="2" t="s">
        <v>19</v>
      </c>
      <c r="E2879" s="2" t="s">
        <v>20</v>
      </c>
      <c r="F2879" s="2" t="n">
        <v>169</v>
      </c>
      <c r="G2879" s="2" t="s">
        <v>26</v>
      </c>
      <c r="H2879" s="2" t="s">
        <v>20</v>
      </c>
      <c r="I2879" s="2" t="s">
        <v>21</v>
      </c>
      <c r="J2879" s="2" t="n">
        <v>15</v>
      </c>
      <c r="K2879" s="2" t="s">
        <v>27</v>
      </c>
      <c r="L2879" s="2" t="n">
        <v>82</v>
      </c>
      <c r="M2879" s="2" t="n">
        <v>3</v>
      </c>
      <c r="N2879" s="2" t="n">
        <v>-1</v>
      </c>
      <c r="O2879" s="2" t="n">
        <v>0</v>
      </c>
      <c r="P2879" s="2" t="s">
        <v>23</v>
      </c>
      <c r="Q2879" s="2" t="s">
        <v>20</v>
      </c>
    </row>
    <row r="2880" customFormat="false" ht="15" hidden="false" customHeight="false" outlineLevel="0" collapsed="false">
      <c r="A2880" s="2" t="n">
        <v>51</v>
      </c>
      <c r="B2880" s="2" t="s">
        <v>24</v>
      </c>
      <c r="C2880" s="2" t="s">
        <v>45</v>
      </c>
      <c r="D2880" s="2" t="s">
        <v>25</v>
      </c>
      <c r="E2880" s="2" t="s">
        <v>20</v>
      </c>
      <c r="F2880" s="2" t="n">
        <v>12</v>
      </c>
      <c r="G2880" s="2" t="s">
        <v>26</v>
      </c>
      <c r="H2880" s="2" t="s">
        <v>20</v>
      </c>
      <c r="I2880" s="2" t="s">
        <v>21</v>
      </c>
      <c r="J2880" s="2" t="n">
        <v>17</v>
      </c>
      <c r="K2880" s="2" t="s">
        <v>46</v>
      </c>
      <c r="L2880" s="2" t="n">
        <v>150</v>
      </c>
      <c r="M2880" s="2" t="n">
        <v>1</v>
      </c>
      <c r="N2880" s="2" t="n">
        <v>-1</v>
      </c>
      <c r="O2880" s="2" t="n">
        <v>0</v>
      </c>
      <c r="P2880" s="2" t="s">
        <v>23</v>
      </c>
      <c r="Q2880" s="2" t="s">
        <v>20</v>
      </c>
    </row>
    <row r="2881" customFormat="false" ht="15" hidden="false" customHeight="false" outlineLevel="0" collapsed="false">
      <c r="A2881" s="2" t="n">
        <v>61</v>
      </c>
      <c r="B2881" s="2" t="s">
        <v>47</v>
      </c>
      <c r="C2881" s="2" t="s">
        <v>18</v>
      </c>
      <c r="D2881" s="2" t="s">
        <v>19</v>
      </c>
      <c r="E2881" s="2" t="s">
        <v>20</v>
      </c>
      <c r="F2881" s="2" t="n">
        <v>848</v>
      </c>
      <c r="G2881" s="2" t="s">
        <v>20</v>
      </c>
      <c r="H2881" s="2" t="s">
        <v>20</v>
      </c>
      <c r="I2881" s="2" t="s">
        <v>21</v>
      </c>
      <c r="J2881" s="2" t="n">
        <v>27</v>
      </c>
      <c r="K2881" s="2" t="s">
        <v>32</v>
      </c>
      <c r="L2881" s="2" t="n">
        <v>605</v>
      </c>
      <c r="M2881" s="2" t="n">
        <v>1</v>
      </c>
      <c r="N2881" s="2" t="n">
        <v>187</v>
      </c>
      <c r="O2881" s="2" t="n">
        <v>1</v>
      </c>
      <c r="P2881" s="2" t="s">
        <v>37</v>
      </c>
      <c r="Q2881" s="2" t="s">
        <v>20</v>
      </c>
    </row>
    <row r="2882" customFormat="false" ht="15" hidden="false" customHeight="false" outlineLevel="0" collapsed="false">
      <c r="A2882" s="2" t="n">
        <v>43</v>
      </c>
      <c r="B2882" s="2" t="s">
        <v>29</v>
      </c>
      <c r="C2882" s="2" t="s">
        <v>18</v>
      </c>
      <c r="D2882" s="2" t="s">
        <v>25</v>
      </c>
      <c r="E2882" s="2" t="s">
        <v>20</v>
      </c>
      <c r="F2882" s="2" t="n">
        <v>481</v>
      </c>
      <c r="G2882" s="2" t="s">
        <v>26</v>
      </c>
      <c r="H2882" s="2" t="s">
        <v>20</v>
      </c>
      <c r="I2882" s="2" t="s">
        <v>49</v>
      </c>
      <c r="J2882" s="2" t="n">
        <v>18</v>
      </c>
      <c r="K2882" s="2" t="s">
        <v>46</v>
      </c>
      <c r="L2882" s="2" t="n">
        <v>164</v>
      </c>
      <c r="M2882" s="2" t="n">
        <v>1</v>
      </c>
      <c r="N2882" s="2" t="n">
        <v>110</v>
      </c>
      <c r="O2882" s="2" t="n">
        <v>2</v>
      </c>
      <c r="P2882" s="2" t="s">
        <v>37</v>
      </c>
      <c r="Q2882" s="2" t="s">
        <v>20</v>
      </c>
    </row>
    <row r="2883" customFormat="false" ht="15" hidden="false" customHeight="false" outlineLevel="0" collapsed="false">
      <c r="A2883" s="2" t="n">
        <v>42</v>
      </c>
      <c r="B2883" s="2" t="s">
        <v>24</v>
      </c>
      <c r="C2883" s="2" t="s">
        <v>18</v>
      </c>
      <c r="D2883" s="2" t="s">
        <v>31</v>
      </c>
      <c r="E2883" s="2" t="s">
        <v>20</v>
      </c>
      <c r="F2883" s="2" t="n">
        <v>12223</v>
      </c>
      <c r="G2883" s="2" t="s">
        <v>26</v>
      </c>
      <c r="H2883" s="2" t="s">
        <v>20</v>
      </c>
      <c r="I2883" s="2" t="s">
        <v>21</v>
      </c>
      <c r="J2883" s="2" t="n">
        <v>19</v>
      </c>
      <c r="K2883" s="2" t="s">
        <v>46</v>
      </c>
      <c r="L2883" s="2" t="n">
        <v>36</v>
      </c>
      <c r="M2883" s="2" t="n">
        <v>1</v>
      </c>
      <c r="N2883" s="2" t="n">
        <v>-1</v>
      </c>
      <c r="O2883" s="2" t="n">
        <v>0</v>
      </c>
      <c r="P2883" s="2" t="s">
        <v>23</v>
      </c>
      <c r="Q2883" s="2" t="s">
        <v>20</v>
      </c>
    </row>
    <row r="2884" customFormat="false" ht="15" hidden="false" customHeight="false" outlineLevel="0" collapsed="false">
      <c r="A2884" s="2" t="n">
        <v>24</v>
      </c>
      <c r="B2884" s="2" t="s">
        <v>34</v>
      </c>
      <c r="C2884" s="2" t="s">
        <v>18</v>
      </c>
      <c r="D2884" s="2" t="s">
        <v>25</v>
      </c>
      <c r="E2884" s="2" t="s">
        <v>20</v>
      </c>
      <c r="F2884" s="2" t="n">
        <v>-254</v>
      </c>
      <c r="G2884" s="2" t="s">
        <v>26</v>
      </c>
      <c r="H2884" s="2" t="s">
        <v>26</v>
      </c>
      <c r="I2884" s="2" t="s">
        <v>23</v>
      </c>
      <c r="J2884" s="2" t="n">
        <v>27</v>
      </c>
      <c r="K2884" s="2" t="s">
        <v>27</v>
      </c>
      <c r="L2884" s="2" t="n">
        <v>290</v>
      </c>
      <c r="M2884" s="2" t="n">
        <v>2</v>
      </c>
      <c r="N2884" s="2" t="n">
        <v>-1</v>
      </c>
      <c r="O2884" s="2" t="n">
        <v>0</v>
      </c>
      <c r="P2884" s="2" t="s">
        <v>23</v>
      </c>
      <c r="Q2884" s="2" t="s">
        <v>20</v>
      </c>
    </row>
    <row r="2885" customFormat="false" ht="15" hidden="false" customHeight="false" outlineLevel="0" collapsed="false">
      <c r="A2885" s="2" t="n">
        <v>46</v>
      </c>
      <c r="B2885" s="2" t="s">
        <v>36</v>
      </c>
      <c r="C2885" s="2" t="s">
        <v>18</v>
      </c>
      <c r="D2885" s="2" t="s">
        <v>31</v>
      </c>
      <c r="E2885" s="2" t="s">
        <v>20</v>
      </c>
      <c r="F2885" s="2" t="n">
        <v>1148</v>
      </c>
      <c r="G2885" s="2" t="s">
        <v>20</v>
      </c>
      <c r="H2885" s="2" t="s">
        <v>20</v>
      </c>
      <c r="I2885" s="2" t="s">
        <v>49</v>
      </c>
      <c r="J2885" s="2" t="n">
        <v>29</v>
      </c>
      <c r="K2885" s="2" t="s">
        <v>44</v>
      </c>
      <c r="L2885" s="2" t="n">
        <v>104</v>
      </c>
      <c r="M2885" s="2" t="n">
        <v>2</v>
      </c>
      <c r="N2885" s="2" t="n">
        <v>-1</v>
      </c>
      <c r="O2885" s="2" t="n">
        <v>0</v>
      </c>
      <c r="P2885" s="2" t="s">
        <v>23</v>
      </c>
      <c r="Q2885" s="2" t="s">
        <v>20</v>
      </c>
    </row>
    <row r="2886" customFormat="false" ht="15" hidden="false" customHeight="false" outlineLevel="0" collapsed="false">
      <c r="A2886" s="2" t="n">
        <v>23</v>
      </c>
      <c r="B2886" s="2" t="s">
        <v>40</v>
      </c>
      <c r="C2886" s="2" t="s">
        <v>30</v>
      </c>
      <c r="D2886" s="2" t="s">
        <v>25</v>
      </c>
      <c r="E2886" s="2" t="s">
        <v>20</v>
      </c>
      <c r="F2886" s="2" t="n">
        <v>5</v>
      </c>
      <c r="G2886" s="2" t="s">
        <v>20</v>
      </c>
      <c r="H2886" s="2" t="s">
        <v>20</v>
      </c>
      <c r="I2886" s="2" t="s">
        <v>23</v>
      </c>
      <c r="J2886" s="2" t="n">
        <v>12</v>
      </c>
      <c r="K2886" s="2" t="s">
        <v>27</v>
      </c>
      <c r="L2886" s="2" t="n">
        <v>413</v>
      </c>
      <c r="M2886" s="2" t="n">
        <v>1</v>
      </c>
      <c r="N2886" s="2" t="n">
        <v>-1</v>
      </c>
      <c r="O2886" s="2" t="n">
        <v>0</v>
      </c>
      <c r="P2886" s="2" t="s">
        <v>23</v>
      </c>
      <c r="Q2886" s="2" t="s">
        <v>20</v>
      </c>
    </row>
    <row r="2887" customFormat="false" ht="15" hidden="false" customHeight="false" outlineLevel="0" collapsed="false">
      <c r="A2887" s="2" t="n">
        <v>26</v>
      </c>
      <c r="B2887" s="2" t="s">
        <v>24</v>
      </c>
      <c r="C2887" s="2" t="s">
        <v>30</v>
      </c>
      <c r="D2887" s="2" t="s">
        <v>25</v>
      </c>
      <c r="E2887" s="2" t="s">
        <v>20</v>
      </c>
      <c r="F2887" s="2" t="n">
        <v>50</v>
      </c>
      <c r="G2887" s="2" t="s">
        <v>26</v>
      </c>
      <c r="H2887" s="2" t="s">
        <v>20</v>
      </c>
      <c r="I2887" s="2" t="s">
        <v>21</v>
      </c>
      <c r="J2887" s="2" t="n">
        <v>12</v>
      </c>
      <c r="K2887" s="2" t="s">
        <v>41</v>
      </c>
      <c r="L2887" s="2" t="n">
        <v>153</v>
      </c>
      <c r="M2887" s="2" t="n">
        <v>1</v>
      </c>
      <c r="N2887" s="2" t="n">
        <v>-1</v>
      </c>
      <c r="O2887" s="2" t="n">
        <v>0</v>
      </c>
      <c r="P2887" s="2" t="s">
        <v>23</v>
      </c>
      <c r="Q2887" s="2" t="s">
        <v>20</v>
      </c>
    </row>
    <row r="2888" customFormat="false" ht="15" hidden="false" customHeight="false" outlineLevel="0" collapsed="false">
      <c r="A2888" s="2" t="n">
        <v>43</v>
      </c>
      <c r="B2888" s="2" t="s">
        <v>34</v>
      </c>
      <c r="C2888" s="2" t="s">
        <v>45</v>
      </c>
      <c r="D2888" s="2" t="s">
        <v>19</v>
      </c>
      <c r="E2888" s="2" t="s">
        <v>20</v>
      </c>
      <c r="F2888" s="2" t="n">
        <v>92</v>
      </c>
      <c r="G2888" s="2" t="s">
        <v>26</v>
      </c>
      <c r="H2888" s="2" t="s">
        <v>20</v>
      </c>
      <c r="I2888" s="2" t="s">
        <v>23</v>
      </c>
      <c r="J2888" s="2" t="n">
        <v>15</v>
      </c>
      <c r="K2888" s="2" t="s">
        <v>27</v>
      </c>
      <c r="L2888" s="2" t="n">
        <v>237</v>
      </c>
      <c r="M2888" s="2" t="n">
        <v>2</v>
      </c>
      <c r="N2888" s="2" t="n">
        <v>-1</v>
      </c>
      <c r="O2888" s="2" t="n">
        <v>0</v>
      </c>
      <c r="P2888" s="2" t="s">
        <v>23</v>
      </c>
      <c r="Q2888" s="2" t="s">
        <v>20</v>
      </c>
    </row>
    <row r="2889" customFormat="false" ht="15" hidden="false" customHeight="false" outlineLevel="0" collapsed="false">
      <c r="A2889" s="2" t="n">
        <v>35</v>
      </c>
      <c r="B2889" s="2" t="s">
        <v>38</v>
      </c>
      <c r="C2889" s="2" t="s">
        <v>30</v>
      </c>
      <c r="D2889" s="2" t="s">
        <v>31</v>
      </c>
      <c r="E2889" s="2" t="s">
        <v>20</v>
      </c>
      <c r="F2889" s="2" t="n">
        <v>470</v>
      </c>
      <c r="G2889" s="2" t="s">
        <v>26</v>
      </c>
      <c r="H2889" s="2" t="s">
        <v>20</v>
      </c>
      <c r="I2889" s="2" t="s">
        <v>21</v>
      </c>
      <c r="J2889" s="2" t="n">
        <v>25</v>
      </c>
      <c r="K2889" s="2" t="s">
        <v>44</v>
      </c>
      <c r="L2889" s="2" t="n">
        <v>743</v>
      </c>
      <c r="M2889" s="2" t="n">
        <v>13</v>
      </c>
      <c r="N2889" s="2" t="n">
        <v>-1</v>
      </c>
      <c r="O2889" s="2" t="n">
        <v>0</v>
      </c>
      <c r="P2889" s="2" t="s">
        <v>23</v>
      </c>
      <c r="Q2889" s="2" t="s">
        <v>26</v>
      </c>
    </row>
    <row r="2890" customFormat="false" ht="15" hidden="false" customHeight="false" outlineLevel="0" collapsed="false">
      <c r="A2890" s="2" t="n">
        <v>38</v>
      </c>
      <c r="B2890" s="2" t="s">
        <v>38</v>
      </c>
      <c r="C2890" s="2" t="s">
        <v>18</v>
      </c>
      <c r="D2890" s="2" t="s">
        <v>25</v>
      </c>
      <c r="E2890" s="2" t="s">
        <v>20</v>
      </c>
      <c r="F2890" s="2" t="n">
        <v>0</v>
      </c>
      <c r="G2890" s="2" t="s">
        <v>20</v>
      </c>
      <c r="H2890" s="2" t="s">
        <v>20</v>
      </c>
      <c r="I2890" s="2" t="s">
        <v>21</v>
      </c>
      <c r="J2890" s="2" t="n">
        <v>28</v>
      </c>
      <c r="K2890" s="2" t="s">
        <v>41</v>
      </c>
      <c r="L2890" s="2" t="n">
        <v>82</v>
      </c>
      <c r="M2890" s="2" t="n">
        <v>4</v>
      </c>
      <c r="N2890" s="2" t="n">
        <v>-1</v>
      </c>
      <c r="O2890" s="2" t="n">
        <v>0</v>
      </c>
      <c r="P2890" s="2" t="s">
        <v>23</v>
      </c>
      <c r="Q2890" s="2" t="s">
        <v>20</v>
      </c>
    </row>
    <row r="2891" customFormat="false" ht="15" hidden="false" customHeight="false" outlineLevel="0" collapsed="false">
      <c r="A2891" s="2" t="n">
        <v>56</v>
      </c>
      <c r="B2891" s="2" t="s">
        <v>17</v>
      </c>
      <c r="C2891" s="2" t="s">
        <v>45</v>
      </c>
      <c r="D2891" s="2" t="s">
        <v>19</v>
      </c>
      <c r="E2891" s="2" t="s">
        <v>20</v>
      </c>
      <c r="F2891" s="2" t="n">
        <v>109</v>
      </c>
      <c r="G2891" s="2" t="s">
        <v>20</v>
      </c>
      <c r="H2891" s="2" t="s">
        <v>20</v>
      </c>
      <c r="I2891" s="2" t="s">
        <v>21</v>
      </c>
      <c r="J2891" s="2" t="n">
        <v>15</v>
      </c>
      <c r="K2891" s="2" t="s">
        <v>44</v>
      </c>
      <c r="L2891" s="2" t="n">
        <v>924</v>
      </c>
      <c r="M2891" s="2" t="n">
        <v>4</v>
      </c>
      <c r="N2891" s="2" t="n">
        <v>-1</v>
      </c>
      <c r="O2891" s="2" t="n">
        <v>0</v>
      </c>
      <c r="P2891" s="2" t="s">
        <v>23</v>
      </c>
      <c r="Q2891" s="2" t="s">
        <v>20</v>
      </c>
    </row>
    <row r="2892" customFormat="false" ht="15" hidden="false" customHeight="false" outlineLevel="0" collapsed="false">
      <c r="A2892" s="2" t="n">
        <v>31</v>
      </c>
      <c r="B2892" s="2" t="s">
        <v>24</v>
      </c>
      <c r="C2892" s="2" t="s">
        <v>18</v>
      </c>
      <c r="D2892" s="2" t="s">
        <v>25</v>
      </c>
      <c r="E2892" s="2" t="s">
        <v>20</v>
      </c>
      <c r="F2892" s="2" t="n">
        <v>440</v>
      </c>
      <c r="G2892" s="2" t="s">
        <v>26</v>
      </c>
      <c r="H2892" s="2" t="s">
        <v>20</v>
      </c>
      <c r="I2892" s="2" t="s">
        <v>23</v>
      </c>
      <c r="J2892" s="2" t="n">
        <v>17</v>
      </c>
      <c r="K2892" s="2" t="s">
        <v>33</v>
      </c>
      <c r="L2892" s="2" t="n">
        <v>117</v>
      </c>
      <c r="M2892" s="2" t="n">
        <v>3</v>
      </c>
      <c r="N2892" s="2" t="n">
        <v>-1</v>
      </c>
      <c r="O2892" s="2" t="n">
        <v>0</v>
      </c>
      <c r="P2892" s="2" t="s">
        <v>23</v>
      </c>
      <c r="Q2892" s="2" t="s">
        <v>20</v>
      </c>
    </row>
    <row r="2893" customFormat="false" ht="15" hidden="false" customHeight="false" outlineLevel="0" collapsed="false">
      <c r="A2893" s="2" t="n">
        <v>32</v>
      </c>
      <c r="B2893" s="2" t="s">
        <v>29</v>
      </c>
      <c r="C2893" s="2" t="s">
        <v>30</v>
      </c>
      <c r="D2893" s="2" t="s">
        <v>31</v>
      </c>
      <c r="E2893" s="2" t="s">
        <v>20</v>
      </c>
      <c r="F2893" s="2" t="n">
        <v>0</v>
      </c>
      <c r="G2893" s="2" t="s">
        <v>20</v>
      </c>
      <c r="H2893" s="2" t="s">
        <v>20</v>
      </c>
      <c r="I2893" s="2" t="s">
        <v>21</v>
      </c>
      <c r="J2893" s="2" t="n">
        <v>5</v>
      </c>
      <c r="K2893" s="2" t="s">
        <v>35</v>
      </c>
      <c r="L2893" s="2" t="n">
        <v>550</v>
      </c>
      <c r="M2893" s="2" t="n">
        <v>4</v>
      </c>
      <c r="N2893" s="2" t="n">
        <v>-1</v>
      </c>
      <c r="O2893" s="2" t="n">
        <v>0</v>
      </c>
      <c r="P2893" s="2" t="s">
        <v>23</v>
      </c>
      <c r="Q2893" s="2" t="s">
        <v>26</v>
      </c>
    </row>
    <row r="2894" customFormat="false" ht="15" hidden="false" customHeight="false" outlineLevel="0" collapsed="false">
      <c r="A2894" s="2" t="n">
        <v>28</v>
      </c>
      <c r="B2894" s="2" t="s">
        <v>24</v>
      </c>
      <c r="C2894" s="2" t="s">
        <v>30</v>
      </c>
      <c r="D2894" s="2" t="s">
        <v>25</v>
      </c>
      <c r="E2894" s="2" t="s">
        <v>20</v>
      </c>
      <c r="F2894" s="2" t="n">
        <v>2685</v>
      </c>
      <c r="G2894" s="2" t="s">
        <v>20</v>
      </c>
      <c r="H2894" s="2" t="s">
        <v>26</v>
      </c>
      <c r="I2894" s="2" t="s">
        <v>23</v>
      </c>
      <c r="J2894" s="2" t="n">
        <v>24</v>
      </c>
      <c r="K2894" s="2" t="s">
        <v>41</v>
      </c>
      <c r="L2894" s="2" t="n">
        <v>5</v>
      </c>
      <c r="M2894" s="2" t="n">
        <v>1</v>
      </c>
      <c r="N2894" s="2" t="n">
        <v>-1</v>
      </c>
      <c r="O2894" s="2" t="n">
        <v>0</v>
      </c>
      <c r="P2894" s="2" t="s">
        <v>23</v>
      </c>
      <c r="Q2894" s="2" t="s">
        <v>20</v>
      </c>
    </row>
    <row r="2895" customFormat="false" ht="15" hidden="false" customHeight="false" outlineLevel="0" collapsed="false">
      <c r="A2895" s="2" t="n">
        <v>26</v>
      </c>
      <c r="B2895" s="2" t="s">
        <v>40</v>
      </c>
      <c r="C2895" s="2" t="s">
        <v>45</v>
      </c>
      <c r="D2895" s="2" t="s">
        <v>25</v>
      </c>
      <c r="E2895" s="2" t="s">
        <v>26</v>
      </c>
      <c r="F2895" s="2" t="n">
        <v>-3</v>
      </c>
      <c r="G2895" s="2" t="s">
        <v>26</v>
      </c>
      <c r="H2895" s="2" t="s">
        <v>20</v>
      </c>
      <c r="I2895" s="2" t="s">
        <v>23</v>
      </c>
      <c r="J2895" s="2" t="n">
        <v>13</v>
      </c>
      <c r="K2895" s="2" t="s">
        <v>27</v>
      </c>
      <c r="L2895" s="2" t="n">
        <v>181</v>
      </c>
      <c r="M2895" s="2" t="n">
        <v>5</v>
      </c>
      <c r="N2895" s="2" t="n">
        <v>-1</v>
      </c>
      <c r="O2895" s="2" t="n">
        <v>0</v>
      </c>
      <c r="P2895" s="2" t="s">
        <v>23</v>
      </c>
      <c r="Q2895" s="2" t="s">
        <v>20</v>
      </c>
    </row>
    <row r="2896" customFormat="false" ht="15" hidden="false" customHeight="false" outlineLevel="0" collapsed="false">
      <c r="A2896" s="2" t="n">
        <v>49</v>
      </c>
      <c r="B2896" s="2" t="s">
        <v>29</v>
      </c>
      <c r="C2896" s="2" t="s">
        <v>18</v>
      </c>
      <c r="D2896" s="2" t="s">
        <v>31</v>
      </c>
      <c r="E2896" s="2" t="s">
        <v>20</v>
      </c>
      <c r="F2896" s="2" t="n">
        <v>7007</v>
      </c>
      <c r="G2896" s="2" t="s">
        <v>20</v>
      </c>
      <c r="H2896" s="2" t="s">
        <v>20</v>
      </c>
      <c r="I2896" s="2" t="s">
        <v>21</v>
      </c>
      <c r="J2896" s="2" t="n">
        <v>17</v>
      </c>
      <c r="K2896" s="2" t="s">
        <v>46</v>
      </c>
      <c r="L2896" s="2" t="n">
        <v>325</v>
      </c>
      <c r="M2896" s="2" t="n">
        <v>2</v>
      </c>
      <c r="N2896" s="2" t="n">
        <v>-1</v>
      </c>
      <c r="O2896" s="2" t="n">
        <v>0</v>
      </c>
      <c r="P2896" s="2" t="s">
        <v>23</v>
      </c>
      <c r="Q2896" s="2" t="s">
        <v>20</v>
      </c>
    </row>
    <row r="2897" customFormat="false" ht="15" hidden="false" customHeight="false" outlineLevel="0" collapsed="false">
      <c r="A2897" s="2" t="n">
        <v>33</v>
      </c>
      <c r="B2897" s="2" t="s">
        <v>40</v>
      </c>
      <c r="C2897" s="2" t="s">
        <v>18</v>
      </c>
      <c r="D2897" s="2" t="s">
        <v>25</v>
      </c>
      <c r="E2897" s="2" t="s">
        <v>20</v>
      </c>
      <c r="F2897" s="2" t="n">
        <v>220</v>
      </c>
      <c r="G2897" s="2" t="s">
        <v>26</v>
      </c>
      <c r="H2897" s="2" t="s">
        <v>20</v>
      </c>
      <c r="I2897" s="2" t="s">
        <v>23</v>
      </c>
      <c r="J2897" s="2" t="n">
        <v>27</v>
      </c>
      <c r="K2897" s="2" t="s">
        <v>27</v>
      </c>
      <c r="L2897" s="2" t="n">
        <v>345</v>
      </c>
      <c r="M2897" s="2" t="n">
        <v>1</v>
      </c>
      <c r="N2897" s="2" t="n">
        <v>-1</v>
      </c>
      <c r="O2897" s="2" t="n">
        <v>0</v>
      </c>
      <c r="P2897" s="2" t="s">
        <v>23</v>
      </c>
      <c r="Q2897" s="2" t="s">
        <v>20</v>
      </c>
    </row>
    <row r="2898" customFormat="false" ht="15" hidden="false" customHeight="false" outlineLevel="0" collapsed="false">
      <c r="A2898" s="2" t="n">
        <v>80</v>
      </c>
      <c r="B2898" s="2" t="s">
        <v>48</v>
      </c>
      <c r="C2898" s="2" t="s">
        <v>18</v>
      </c>
      <c r="D2898" s="2" t="s">
        <v>19</v>
      </c>
      <c r="E2898" s="2" t="s">
        <v>20</v>
      </c>
      <c r="F2898" s="2" t="n">
        <v>1548</v>
      </c>
      <c r="G2898" s="2" t="s">
        <v>20</v>
      </c>
      <c r="H2898" s="2" t="s">
        <v>20</v>
      </c>
      <c r="I2898" s="2" t="s">
        <v>21</v>
      </c>
      <c r="J2898" s="2" t="n">
        <v>6</v>
      </c>
      <c r="K2898" s="2" t="s">
        <v>41</v>
      </c>
      <c r="L2898" s="2" t="n">
        <v>331</v>
      </c>
      <c r="M2898" s="2" t="n">
        <v>2</v>
      </c>
      <c r="N2898" s="2" t="n">
        <v>-1</v>
      </c>
      <c r="O2898" s="2" t="n">
        <v>0</v>
      </c>
      <c r="P2898" s="2" t="s">
        <v>23</v>
      </c>
      <c r="Q2898" s="2" t="s">
        <v>20</v>
      </c>
    </row>
    <row r="2899" customFormat="false" ht="15" hidden="false" customHeight="false" outlineLevel="0" collapsed="false">
      <c r="A2899" s="2" t="n">
        <v>40</v>
      </c>
      <c r="B2899" s="2" t="s">
        <v>34</v>
      </c>
      <c r="C2899" s="2" t="s">
        <v>18</v>
      </c>
      <c r="D2899" s="2" t="s">
        <v>25</v>
      </c>
      <c r="E2899" s="2" t="s">
        <v>20</v>
      </c>
      <c r="F2899" s="2" t="n">
        <v>326</v>
      </c>
      <c r="G2899" s="2" t="s">
        <v>26</v>
      </c>
      <c r="H2899" s="2" t="s">
        <v>26</v>
      </c>
      <c r="I2899" s="2" t="s">
        <v>21</v>
      </c>
      <c r="J2899" s="2" t="n">
        <v>7</v>
      </c>
      <c r="K2899" s="2" t="s">
        <v>44</v>
      </c>
      <c r="L2899" s="2" t="n">
        <v>112</v>
      </c>
      <c r="M2899" s="2" t="n">
        <v>1</v>
      </c>
      <c r="N2899" s="2" t="n">
        <v>-1</v>
      </c>
      <c r="O2899" s="2" t="n">
        <v>0</v>
      </c>
      <c r="P2899" s="2" t="s">
        <v>23</v>
      </c>
      <c r="Q2899" s="2" t="s">
        <v>20</v>
      </c>
    </row>
    <row r="2900" customFormat="false" ht="15" hidden="false" customHeight="false" outlineLevel="0" collapsed="false">
      <c r="A2900" s="2" t="n">
        <v>42</v>
      </c>
      <c r="B2900" s="2" t="s">
        <v>38</v>
      </c>
      <c r="C2900" s="2" t="s">
        <v>45</v>
      </c>
      <c r="D2900" s="2" t="s">
        <v>25</v>
      </c>
      <c r="E2900" s="2" t="s">
        <v>20</v>
      </c>
      <c r="F2900" s="2" t="n">
        <v>0</v>
      </c>
      <c r="G2900" s="2" t="s">
        <v>26</v>
      </c>
      <c r="H2900" s="2" t="s">
        <v>20</v>
      </c>
      <c r="I2900" s="2" t="s">
        <v>23</v>
      </c>
      <c r="J2900" s="2" t="n">
        <v>30</v>
      </c>
      <c r="K2900" s="2" t="s">
        <v>27</v>
      </c>
      <c r="L2900" s="2" t="n">
        <v>115</v>
      </c>
      <c r="M2900" s="2" t="n">
        <v>6</v>
      </c>
      <c r="N2900" s="2" t="n">
        <v>-1</v>
      </c>
      <c r="O2900" s="2" t="n">
        <v>0</v>
      </c>
      <c r="P2900" s="2" t="s">
        <v>23</v>
      </c>
      <c r="Q2900" s="2" t="s">
        <v>20</v>
      </c>
    </row>
    <row r="2901" customFormat="false" ht="15" hidden="false" customHeight="false" outlineLevel="0" collapsed="false">
      <c r="A2901" s="2" t="n">
        <v>46</v>
      </c>
      <c r="B2901" s="2" t="s">
        <v>34</v>
      </c>
      <c r="C2901" s="2" t="s">
        <v>18</v>
      </c>
      <c r="D2901" s="2" t="s">
        <v>25</v>
      </c>
      <c r="E2901" s="2" t="s">
        <v>20</v>
      </c>
      <c r="F2901" s="2" t="n">
        <v>123</v>
      </c>
      <c r="G2901" s="2" t="s">
        <v>20</v>
      </c>
      <c r="H2901" s="2" t="s">
        <v>20</v>
      </c>
      <c r="I2901" s="2" t="s">
        <v>21</v>
      </c>
      <c r="J2901" s="2" t="n">
        <v>20</v>
      </c>
      <c r="K2901" s="2" t="s">
        <v>41</v>
      </c>
      <c r="L2901" s="2" t="n">
        <v>381</v>
      </c>
      <c r="M2901" s="2" t="n">
        <v>3</v>
      </c>
      <c r="N2901" s="2" t="n">
        <v>-1</v>
      </c>
      <c r="O2901" s="2" t="n">
        <v>0</v>
      </c>
      <c r="P2901" s="2" t="s">
        <v>23</v>
      </c>
      <c r="Q2901" s="2" t="s">
        <v>20</v>
      </c>
    </row>
    <row r="2902" customFormat="false" ht="15" hidden="false" customHeight="false" outlineLevel="0" collapsed="false">
      <c r="A2902" s="2" t="n">
        <v>32</v>
      </c>
      <c r="B2902" s="2" t="s">
        <v>29</v>
      </c>
      <c r="C2902" s="2" t="s">
        <v>30</v>
      </c>
      <c r="D2902" s="2" t="s">
        <v>31</v>
      </c>
      <c r="E2902" s="2" t="s">
        <v>20</v>
      </c>
      <c r="F2902" s="2" t="n">
        <v>697</v>
      </c>
      <c r="G2902" s="2" t="s">
        <v>20</v>
      </c>
      <c r="H2902" s="2" t="s">
        <v>20</v>
      </c>
      <c r="I2902" s="2" t="s">
        <v>21</v>
      </c>
      <c r="J2902" s="2" t="n">
        <v>7</v>
      </c>
      <c r="K2902" s="2" t="s">
        <v>41</v>
      </c>
      <c r="L2902" s="2" t="n">
        <v>119</v>
      </c>
      <c r="M2902" s="2" t="n">
        <v>1</v>
      </c>
      <c r="N2902" s="2" t="n">
        <v>99</v>
      </c>
      <c r="O2902" s="2" t="n">
        <v>3</v>
      </c>
      <c r="P2902" s="2" t="s">
        <v>28</v>
      </c>
      <c r="Q2902" s="2" t="s">
        <v>20</v>
      </c>
    </row>
    <row r="2903" customFormat="false" ht="15" hidden="false" customHeight="false" outlineLevel="0" collapsed="false">
      <c r="A2903" s="2" t="n">
        <v>37</v>
      </c>
      <c r="B2903" s="2" t="s">
        <v>24</v>
      </c>
      <c r="C2903" s="2" t="s">
        <v>30</v>
      </c>
      <c r="D2903" s="2" t="s">
        <v>31</v>
      </c>
      <c r="E2903" s="2" t="s">
        <v>20</v>
      </c>
      <c r="F2903" s="2" t="n">
        <v>223</v>
      </c>
      <c r="G2903" s="2" t="s">
        <v>26</v>
      </c>
      <c r="H2903" s="2" t="s">
        <v>20</v>
      </c>
      <c r="I2903" s="2" t="s">
        <v>23</v>
      </c>
      <c r="J2903" s="2" t="n">
        <v>28</v>
      </c>
      <c r="K2903" s="2" t="s">
        <v>27</v>
      </c>
      <c r="L2903" s="2" t="n">
        <v>25</v>
      </c>
      <c r="M2903" s="2" t="n">
        <v>1</v>
      </c>
      <c r="N2903" s="2" t="n">
        <v>-1</v>
      </c>
      <c r="O2903" s="2" t="n">
        <v>0</v>
      </c>
      <c r="P2903" s="2" t="s">
        <v>23</v>
      </c>
      <c r="Q2903" s="2" t="s">
        <v>20</v>
      </c>
    </row>
    <row r="2904" customFormat="false" ht="15" hidden="false" customHeight="false" outlineLevel="0" collapsed="false">
      <c r="A2904" s="2" t="n">
        <v>32</v>
      </c>
      <c r="B2904" s="2" t="s">
        <v>42</v>
      </c>
      <c r="C2904" s="2" t="s">
        <v>18</v>
      </c>
      <c r="D2904" s="2" t="s">
        <v>25</v>
      </c>
      <c r="E2904" s="2" t="s">
        <v>20</v>
      </c>
      <c r="F2904" s="2" t="n">
        <v>1694</v>
      </c>
      <c r="G2904" s="2" t="s">
        <v>26</v>
      </c>
      <c r="H2904" s="2" t="s">
        <v>20</v>
      </c>
      <c r="I2904" s="2" t="s">
        <v>21</v>
      </c>
      <c r="J2904" s="2" t="n">
        <v>28</v>
      </c>
      <c r="K2904" s="2" t="s">
        <v>43</v>
      </c>
      <c r="L2904" s="2" t="n">
        <v>929</v>
      </c>
      <c r="M2904" s="2" t="n">
        <v>1</v>
      </c>
      <c r="N2904" s="2" t="n">
        <v>-1</v>
      </c>
      <c r="O2904" s="2" t="n">
        <v>0</v>
      </c>
      <c r="P2904" s="2" t="s">
        <v>23</v>
      </c>
      <c r="Q2904" s="2" t="s">
        <v>20</v>
      </c>
    </row>
    <row r="2905" customFormat="false" ht="15" hidden="false" customHeight="false" outlineLevel="0" collapsed="false">
      <c r="A2905" s="2" t="n">
        <v>53</v>
      </c>
      <c r="B2905" s="2" t="s">
        <v>29</v>
      </c>
      <c r="C2905" s="2" t="s">
        <v>18</v>
      </c>
      <c r="D2905" s="2" t="s">
        <v>31</v>
      </c>
      <c r="E2905" s="2" t="s">
        <v>20</v>
      </c>
      <c r="F2905" s="2" t="n">
        <v>4446</v>
      </c>
      <c r="G2905" s="2" t="s">
        <v>26</v>
      </c>
      <c r="H2905" s="2" t="s">
        <v>20</v>
      </c>
      <c r="I2905" s="2" t="s">
        <v>23</v>
      </c>
      <c r="J2905" s="2" t="n">
        <v>14</v>
      </c>
      <c r="K2905" s="2" t="s">
        <v>27</v>
      </c>
      <c r="L2905" s="2" t="n">
        <v>429</v>
      </c>
      <c r="M2905" s="2" t="n">
        <v>1</v>
      </c>
      <c r="N2905" s="2" t="n">
        <v>-1</v>
      </c>
      <c r="O2905" s="2" t="n">
        <v>0</v>
      </c>
      <c r="P2905" s="2" t="s">
        <v>23</v>
      </c>
      <c r="Q2905" s="2" t="s">
        <v>20</v>
      </c>
    </row>
    <row r="2906" customFormat="false" ht="15" hidden="false" customHeight="false" outlineLevel="0" collapsed="false">
      <c r="A2906" s="2" t="n">
        <v>39</v>
      </c>
      <c r="B2906" s="2" t="s">
        <v>29</v>
      </c>
      <c r="C2906" s="2" t="s">
        <v>18</v>
      </c>
      <c r="D2906" s="2" t="s">
        <v>31</v>
      </c>
      <c r="E2906" s="2" t="s">
        <v>20</v>
      </c>
      <c r="F2906" s="2" t="n">
        <v>894</v>
      </c>
      <c r="G2906" s="2" t="s">
        <v>26</v>
      </c>
      <c r="H2906" s="2" t="s">
        <v>20</v>
      </c>
      <c r="I2906" s="2" t="s">
        <v>21</v>
      </c>
      <c r="J2906" s="2" t="n">
        <v>20</v>
      </c>
      <c r="K2906" s="2" t="s">
        <v>32</v>
      </c>
      <c r="L2906" s="2" t="n">
        <v>491</v>
      </c>
      <c r="M2906" s="2" t="n">
        <v>1</v>
      </c>
      <c r="N2906" s="2" t="n">
        <v>326</v>
      </c>
      <c r="O2906" s="2" t="n">
        <v>1</v>
      </c>
      <c r="P2906" s="2" t="s">
        <v>37</v>
      </c>
      <c r="Q2906" s="2" t="s">
        <v>20</v>
      </c>
    </row>
    <row r="2907" customFormat="false" ht="15" hidden="false" customHeight="false" outlineLevel="0" collapsed="false">
      <c r="A2907" s="2" t="n">
        <v>31</v>
      </c>
      <c r="B2907" s="2" t="s">
        <v>38</v>
      </c>
      <c r="C2907" s="2" t="s">
        <v>45</v>
      </c>
      <c r="D2907" s="2" t="s">
        <v>25</v>
      </c>
      <c r="E2907" s="2" t="s">
        <v>20</v>
      </c>
      <c r="F2907" s="2" t="n">
        <v>202</v>
      </c>
      <c r="G2907" s="2" t="s">
        <v>26</v>
      </c>
      <c r="H2907" s="2" t="s">
        <v>20</v>
      </c>
      <c r="I2907" s="2" t="s">
        <v>21</v>
      </c>
      <c r="J2907" s="2" t="n">
        <v>18</v>
      </c>
      <c r="K2907" s="2" t="s">
        <v>44</v>
      </c>
      <c r="L2907" s="2" t="n">
        <v>146</v>
      </c>
      <c r="M2907" s="2" t="n">
        <v>1</v>
      </c>
      <c r="N2907" s="2" t="n">
        <v>-1</v>
      </c>
      <c r="O2907" s="2" t="n">
        <v>0</v>
      </c>
      <c r="P2907" s="2" t="s">
        <v>23</v>
      </c>
      <c r="Q2907" s="2" t="s">
        <v>20</v>
      </c>
    </row>
    <row r="2908" customFormat="false" ht="15" hidden="false" customHeight="false" outlineLevel="0" collapsed="false">
      <c r="A2908" s="2" t="n">
        <v>34</v>
      </c>
      <c r="B2908" s="2" t="s">
        <v>29</v>
      </c>
      <c r="C2908" s="2" t="s">
        <v>30</v>
      </c>
      <c r="D2908" s="2" t="s">
        <v>31</v>
      </c>
      <c r="E2908" s="2" t="s">
        <v>20</v>
      </c>
      <c r="F2908" s="2" t="n">
        <v>0</v>
      </c>
      <c r="G2908" s="2" t="s">
        <v>20</v>
      </c>
      <c r="H2908" s="2" t="s">
        <v>20</v>
      </c>
      <c r="I2908" s="2" t="s">
        <v>21</v>
      </c>
      <c r="J2908" s="2" t="n">
        <v>21</v>
      </c>
      <c r="K2908" s="2" t="s">
        <v>41</v>
      </c>
      <c r="L2908" s="2" t="n">
        <v>191</v>
      </c>
      <c r="M2908" s="2" t="n">
        <v>2</v>
      </c>
      <c r="N2908" s="2" t="n">
        <v>-1</v>
      </c>
      <c r="O2908" s="2" t="n">
        <v>0</v>
      </c>
      <c r="P2908" s="2" t="s">
        <v>23</v>
      </c>
      <c r="Q2908" s="2" t="s">
        <v>20</v>
      </c>
    </row>
    <row r="2909" customFormat="false" ht="15" hidden="false" customHeight="false" outlineLevel="0" collapsed="false">
      <c r="A2909" s="2" t="n">
        <v>44</v>
      </c>
      <c r="B2909" s="2" t="s">
        <v>38</v>
      </c>
      <c r="C2909" s="2" t="s">
        <v>18</v>
      </c>
      <c r="D2909" s="2" t="s">
        <v>31</v>
      </c>
      <c r="E2909" s="2" t="s">
        <v>20</v>
      </c>
      <c r="F2909" s="2" t="n">
        <v>1707</v>
      </c>
      <c r="G2909" s="2" t="s">
        <v>20</v>
      </c>
      <c r="H2909" s="2" t="s">
        <v>20</v>
      </c>
      <c r="I2909" s="2" t="s">
        <v>21</v>
      </c>
      <c r="J2909" s="2" t="n">
        <v>8</v>
      </c>
      <c r="K2909" s="2" t="s">
        <v>41</v>
      </c>
      <c r="L2909" s="2" t="n">
        <v>406</v>
      </c>
      <c r="M2909" s="2" t="n">
        <v>3</v>
      </c>
      <c r="N2909" s="2" t="n">
        <v>-1</v>
      </c>
      <c r="O2909" s="2" t="n">
        <v>0</v>
      </c>
      <c r="P2909" s="2" t="s">
        <v>23</v>
      </c>
      <c r="Q2909" s="2" t="s">
        <v>20</v>
      </c>
    </row>
    <row r="2910" customFormat="false" ht="15" hidden="false" customHeight="false" outlineLevel="0" collapsed="false">
      <c r="A2910" s="2" t="n">
        <v>35</v>
      </c>
      <c r="B2910" s="2" t="s">
        <v>38</v>
      </c>
      <c r="C2910" s="2" t="s">
        <v>18</v>
      </c>
      <c r="D2910" s="2" t="s">
        <v>25</v>
      </c>
      <c r="E2910" s="2" t="s">
        <v>20</v>
      </c>
      <c r="F2910" s="2" t="n">
        <v>13658</v>
      </c>
      <c r="G2910" s="2" t="s">
        <v>26</v>
      </c>
      <c r="H2910" s="2" t="s">
        <v>20</v>
      </c>
      <c r="I2910" s="2" t="s">
        <v>49</v>
      </c>
      <c r="J2910" s="2" t="n">
        <v>9</v>
      </c>
      <c r="K2910" s="2" t="s">
        <v>53</v>
      </c>
      <c r="L2910" s="2" t="n">
        <v>220</v>
      </c>
      <c r="M2910" s="2" t="n">
        <v>2</v>
      </c>
      <c r="N2910" s="2" t="n">
        <v>-1</v>
      </c>
      <c r="O2910" s="2" t="n">
        <v>0</v>
      </c>
      <c r="P2910" s="2" t="s">
        <v>23</v>
      </c>
      <c r="Q2910" s="2" t="s">
        <v>20</v>
      </c>
    </row>
    <row r="2911" customFormat="false" ht="15" hidden="false" customHeight="false" outlineLevel="0" collapsed="false">
      <c r="A2911" s="2" t="n">
        <v>39</v>
      </c>
      <c r="B2911" s="2" t="s">
        <v>40</v>
      </c>
      <c r="C2911" s="2" t="s">
        <v>18</v>
      </c>
      <c r="D2911" s="2" t="s">
        <v>25</v>
      </c>
      <c r="E2911" s="2" t="s">
        <v>20</v>
      </c>
      <c r="F2911" s="2" t="n">
        <v>406</v>
      </c>
      <c r="G2911" s="2" t="s">
        <v>20</v>
      </c>
      <c r="H2911" s="2" t="s">
        <v>20</v>
      </c>
      <c r="I2911" s="2" t="s">
        <v>21</v>
      </c>
      <c r="J2911" s="2" t="n">
        <v>30</v>
      </c>
      <c r="K2911" s="2" t="s">
        <v>44</v>
      </c>
      <c r="L2911" s="2" t="n">
        <v>253</v>
      </c>
      <c r="M2911" s="2" t="n">
        <v>5</v>
      </c>
      <c r="N2911" s="2" t="n">
        <v>-1</v>
      </c>
      <c r="O2911" s="2" t="n">
        <v>0</v>
      </c>
      <c r="P2911" s="2" t="s">
        <v>23</v>
      </c>
      <c r="Q2911" s="2" t="s">
        <v>20</v>
      </c>
    </row>
    <row r="2912" customFormat="false" ht="15" hidden="false" customHeight="false" outlineLevel="0" collapsed="false">
      <c r="A2912" s="2" t="n">
        <v>55</v>
      </c>
      <c r="B2912" s="2" t="s">
        <v>24</v>
      </c>
      <c r="C2912" s="2" t="s">
        <v>18</v>
      </c>
      <c r="D2912" s="2" t="s">
        <v>25</v>
      </c>
      <c r="E2912" s="2" t="s">
        <v>20</v>
      </c>
      <c r="F2912" s="2" t="n">
        <v>96</v>
      </c>
      <c r="G2912" s="2" t="s">
        <v>20</v>
      </c>
      <c r="H2912" s="2" t="s">
        <v>20</v>
      </c>
      <c r="I2912" s="2" t="s">
        <v>49</v>
      </c>
      <c r="J2912" s="2" t="n">
        <v>30</v>
      </c>
      <c r="K2912" s="2" t="s">
        <v>44</v>
      </c>
      <c r="L2912" s="2" t="n">
        <v>340</v>
      </c>
      <c r="M2912" s="2" t="n">
        <v>2</v>
      </c>
      <c r="N2912" s="2" t="n">
        <v>-1</v>
      </c>
      <c r="O2912" s="2" t="n">
        <v>0</v>
      </c>
      <c r="P2912" s="2" t="s">
        <v>23</v>
      </c>
      <c r="Q2912" s="2" t="s">
        <v>20</v>
      </c>
    </row>
    <row r="2913" customFormat="false" ht="15" hidden="false" customHeight="false" outlineLevel="0" collapsed="false">
      <c r="A2913" s="2" t="n">
        <v>34</v>
      </c>
      <c r="B2913" s="2" t="s">
        <v>47</v>
      </c>
      <c r="C2913" s="2" t="s">
        <v>18</v>
      </c>
      <c r="D2913" s="2" t="s">
        <v>25</v>
      </c>
      <c r="E2913" s="2" t="s">
        <v>20</v>
      </c>
      <c r="F2913" s="2" t="n">
        <v>0</v>
      </c>
      <c r="G2913" s="2" t="s">
        <v>26</v>
      </c>
      <c r="H2913" s="2" t="s">
        <v>20</v>
      </c>
      <c r="I2913" s="2" t="s">
        <v>23</v>
      </c>
      <c r="J2913" s="2" t="n">
        <v>30</v>
      </c>
      <c r="K2913" s="2" t="s">
        <v>22</v>
      </c>
      <c r="L2913" s="2" t="n">
        <v>154</v>
      </c>
      <c r="M2913" s="2" t="n">
        <v>1</v>
      </c>
      <c r="N2913" s="2" t="n">
        <v>-1</v>
      </c>
      <c r="O2913" s="2" t="n">
        <v>0</v>
      </c>
      <c r="P2913" s="2" t="s">
        <v>23</v>
      </c>
      <c r="Q2913" s="2" t="s">
        <v>26</v>
      </c>
    </row>
    <row r="2914" customFormat="false" ht="15" hidden="false" customHeight="false" outlineLevel="0" collapsed="false">
      <c r="A2914" s="2" t="n">
        <v>39</v>
      </c>
      <c r="B2914" s="2" t="s">
        <v>38</v>
      </c>
      <c r="C2914" s="2" t="s">
        <v>18</v>
      </c>
      <c r="D2914" s="2" t="s">
        <v>31</v>
      </c>
      <c r="E2914" s="2" t="s">
        <v>20</v>
      </c>
      <c r="F2914" s="2" t="n">
        <v>-276</v>
      </c>
      <c r="G2914" s="2" t="s">
        <v>20</v>
      </c>
      <c r="H2914" s="2" t="s">
        <v>26</v>
      </c>
      <c r="I2914" s="2" t="s">
        <v>21</v>
      </c>
      <c r="J2914" s="2" t="n">
        <v>11</v>
      </c>
      <c r="K2914" s="2" t="s">
        <v>41</v>
      </c>
      <c r="L2914" s="2" t="n">
        <v>121</v>
      </c>
      <c r="M2914" s="2" t="n">
        <v>4</v>
      </c>
      <c r="N2914" s="2" t="n">
        <v>-1</v>
      </c>
      <c r="O2914" s="2" t="n">
        <v>0</v>
      </c>
      <c r="P2914" s="2" t="s">
        <v>23</v>
      </c>
      <c r="Q2914" s="2" t="s">
        <v>20</v>
      </c>
    </row>
    <row r="2915" customFormat="false" ht="15" hidden="false" customHeight="false" outlineLevel="0" collapsed="false">
      <c r="A2915" s="2" t="n">
        <v>58</v>
      </c>
      <c r="B2915" s="2" t="s">
        <v>48</v>
      </c>
      <c r="C2915" s="2" t="s">
        <v>18</v>
      </c>
      <c r="D2915" s="2" t="s">
        <v>25</v>
      </c>
      <c r="E2915" s="2" t="s">
        <v>20</v>
      </c>
      <c r="F2915" s="2" t="n">
        <v>413</v>
      </c>
      <c r="G2915" s="2" t="s">
        <v>20</v>
      </c>
      <c r="H2915" s="2" t="s">
        <v>20</v>
      </c>
      <c r="I2915" s="2" t="s">
        <v>21</v>
      </c>
      <c r="J2915" s="2" t="n">
        <v>27</v>
      </c>
      <c r="K2915" s="2" t="s">
        <v>41</v>
      </c>
      <c r="L2915" s="2" t="n">
        <v>104</v>
      </c>
      <c r="M2915" s="2" t="n">
        <v>5</v>
      </c>
      <c r="N2915" s="2" t="n">
        <v>-1</v>
      </c>
      <c r="O2915" s="2" t="n">
        <v>0</v>
      </c>
      <c r="P2915" s="2" t="s">
        <v>23</v>
      </c>
      <c r="Q2915" s="2" t="s">
        <v>20</v>
      </c>
    </row>
    <row r="2916" customFormat="false" ht="15" hidden="false" customHeight="false" outlineLevel="0" collapsed="false">
      <c r="A2916" s="2" t="n">
        <v>37</v>
      </c>
      <c r="B2916" s="2" t="s">
        <v>34</v>
      </c>
      <c r="C2916" s="2" t="s">
        <v>18</v>
      </c>
      <c r="D2916" s="2" t="s">
        <v>19</v>
      </c>
      <c r="E2916" s="2" t="s">
        <v>20</v>
      </c>
      <c r="F2916" s="2" t="n">
        <v>655</v>
      </c>
      <c r="G2916" s="2" t="s">
        <v>26</v>
      </c>
      <c r="H2916" s="2" t="s">
        <v>20</v>
      </c>
      <c r="I2916" s="2" t="s">
        <v>21</v>
      </c>
      <c r="J2916" s="2" t="n">
        <v>5</v>
      </c>
      <c r="K2916" s="2" t="s">
        <v>35</v>
      </c>
      <c r="L2916" s="2" t="n">
        <v>127</v>
      </c>
      <c r="M2916" s="2" t="n">
        <v>2</v>
      </c>
      <c r="N2916" s="2" t="n">
        <v>258</v>
      </c>
      <c r="O2916" s="2" t="n">
        <v>4</v>
      </c>
      <c r="P2916" s="2" t="s">
        <v>28</v>
      </c>
      <c r="Q2916" s="2" t="s">
        <v>20</v>
      </c>
    </row>
    <row r="2917" customFormat="false" ht="15" hidden="false" customHeight="false" outlineLevel="0" collapsed="false">
      <c r="A2917" s="2" t="n">
        <v>56</v>
      </c>
      <c r="B2917" s="2" t="s">
        <v>48</v>
      </c>
      <c r="C2917" s="2" t="s">
        <v>45</v>
      </c>
      <c r="D2917" s="2" t="s">
        <v>19</v>
      </c>
      <c r="E2917" s="2" t="s">
        <v>20</v>
      </c>
      <c r="F2917" s="2" t="n">
        <v>694</v>
      </c>
      <c r="G2917" s="2" t="s">
        <v>20</v>
      </c>
      <c r="H2917" s="2" t="s">
        <v>20</v>
      </c>
      <c r="I2917" s="2" t="s">
        <v>21</v>
      </c>
      <c r="J2917" s="2" t="n">
        <v>29</v>
      </c>
      <c r="K2917" s="2" t="s">
        <v>43</v>
      </c>
      <c r="L2917" s="2" t="n">
        <v>144</v>
      </c>
      <c r="M2917" s="2" t="n">
        <v>1</v>
      </c>
      <c r="N2917" s="2" t="n">
        <v>102</v>
      </c>
      <c r="O2917" s="2" t="n">
        <v>1</v>
      </c>
      <c r="P2917" s="2" t="s">
        <v>37</v>
      </c>
      <c r="Q2917" s="2" t="s">
        <v>26</v>
      </c>
    </row>
    <row r="2918" customFormat="false" ht="15" hidden="false" customHeight="false" outlineLevel="0" collapsed="false">
      <c r="A2918" s="2" t="n">
        <v>32</v>
      </c>
      <c r="B2918" s="2" t="s">
        <v>40</v>
      </c>
      <c r="C2918" s="2" t="s">
        <v>30</v>
      </c>
      <c r="D2918" s="2" t="s">
        <v>25</v>
      </c>
      <c r="E2918" s="2" t="s">
        <v>20</v>
      </c>
      <c r="F2918" s="2" t="n">
        <v>10218</v>
      </c>
      <c r="G2918" s="2" t="s">
        <v>26</v>
      </c>
      <c r="H2918" s="2" t="s">
        <v>20</v>
      </c>
      <c r="I2918" s="2" t="s">
        <v>21</v>
      </c>
      <c r="J2918" s="2" t="n">
        <v>19</v>
      </c>
      <c r="K2918" s="2" t="s">
        <v>46</v>
      </c>
      <c r="L2918" s="2" t="n">
        <v>149</v>
      </c>
      <c r="M2918" s="2" t="n">
        <v>2</v>
      </c>
      <c r="N2918" s="2" t="n">
        <v>-1</v>
      </c>
      <c r="O2918" s="2" t="n">
        <v>0</v>
      </c>
      <c r="P2918" s="2" t="s">
        <v>23</v>
      </c>
      <c r="Q2918" s="2" t="s">
        <v>20</v>
      </c>
    </row>
    <row r="2919" customFormat="false" ht="15" hidden="false" customHeight="false" outlineLevel="0" collapsed="false">
      <c r="A2919" s="2" t="n">
        <v>41</v>
      </c>
      <c r="B2919" s="2" t="s">
        <v>38</v>
      </c>
      <c r="C2919" s="2" t="s">
        <v>30</v>
      </c>
      <c r="D2919" s="2" t="s">
        <v>31</v>
      </c>
      <c r="E2919" s="2" t="s">
        <v>20</v>
      </c>
      <c r="F2919" s="2" t="n">
        <v>1646</v>
      </c>
      <c r="G2919" s="2" t="s">
        <v>26</v>
      </c>
      <c r="H2919" s="2" t="s">
        <v>20</v>
      </c>
      <c r="I2919" s="2" t="s">
        <v>21</v>
      </c>
      <c r="J2919" s="2" t="n">
        <v>4</v>
      </c>
      <c r="K2919" s="2" t="s">
        <v>35</v>
      </c>
      <c r="L2919" s="2" t="n">
        <v>261</v>
      </c>
      <c r="M2919" s="2" t="n">
        <v>1</v>
      </c>
      <c r="N2919" s="2" t="n">
        <v>184</v>
      </c>
      <c r="O2919" s="2" t="n">
        <v>6</v>
      </c>
      <c r="P2919" s="2" t="s">
        <v>50</v>
      </c>
      <c r="Q2919" s="2" t="s">
        <v>26</v>
      </c>
    </row>
    <row r="2920" customFormat="false" ht="15" hidden="false" customHeight="false" outlineLevel="0" collapsed="false">
      <c r="A2920" s="2" t="n">
        <v>29</v>
      </c>
      <c r="B2920" s="2" t="s">
        <v>40</v>
      </c>
      <c r="C2920" s="2" t="s">
        <v>30</v>
      </c>
      <c r="D2920" s="2" t="s">
        <v>31</v>
      </c>
      <c r="E2920" s="2" t="s">
        <v>20</v>
      </c>
      <c r="F2920" s="2" t="n">
        <v>14</v>
      </c>
      <c r="G2920" s="2" t="s">
        <v>20</v>
      </c>
      <c r="H2920" s="2" t="s">
        <v>20</v>
      </c>
      <c r="I2920" s="2" t="s">
        <v>21</v>
      </c>
      <c r="J2920" s="2" t="n">
        <v>29</v>
      </c>
      <c r="K2920" s="2" t="s">
        <v>51</v>
      </c>
      <c r="L2920" s="2" t="n">
        <v>87</v>
      </c>
      <c r="M2920" s="2" t="n">
        <v>1</v>
      </c>
      <c r="N2920" s="2" t="n">
        <v>120</v>
      </c>
      <c r="O2920" s="2" t="n">
        <v>1</v>
      </c>
      <c r="P2920" s="2" t="s">
        <v>28</v>
      </c>
      <c r="Q2920" s="2" t="s">
        <v>20</v>
      </c>
    </row>
    <row r="2921" customFormat="false" ht="15" hidden="false" customHeight="false" outlineLevel="0" collapsed="false">
      <c r="A2921" s="2" t="n">
        <v>44</v>
      </c>
      <c r="B2921" s="2" t="s">
        <v>29</v>
      </c>
      <c r="C2921" s="2" t="s">
        <v>18</v>
      </c>
      <c r="D2921" s="2" t="s">
        <v>31</v>
      </c>
      <c r="E2921" s="2" t="s">
        <v>20</v>
      </c>
      <c r="F2921" s="2" t="n">
        <v>7635</v>
      </c>
      <c r="G2921" s="2" t="s">
        <v>20</v>
      </c>
      <c r="H2921" s="2" t="s">
        <v>20</v>
      </c>
      <c r="I2921" s="2" t="s">
        <v>21</v>
      </c>
      <c r="J2921" s="2" t="n">
        <v>21</v>
      </c>
      <c r="K2921" s="2" t="s">
        <v>41</v>
      </c>
      <c r="L2921" s="2" t="n">
        <v>719</v>
      </c>
      <c r="M2921" s="2" t="n">
        <v>5</v>
      </c>
      <c r="N2921" s="2" t="n">
        <v>-1</v>
      </c>
      <c r="O2921" s="2" t="n">
        <v>0</v>
      </c>
      <c r="P2921" s="2" t="s">
        <v>23</v>
      </c>
      <c r="Q2921" s="2" t="s">
        <v>20</v>
      </c>
    </row>
    <row r="2922" customFormat="false" ht="15" hidden="false" customHeight="false" outlineLevel="0" collapsed="false">
      <c r="A2922" s="2" t="n">
        <v>24</v>
      </c>
      <c r="B2922" s="2" t="s">
        <v>34</v>
      </c>
      <c r="C2922" s="2" t="s">
        <v>18</v>
      </c>
      <c r="D2922" s="2" t="s">
        <v>25</v>
      </c>
      <c r="E2922" s="2" t="s">
        <v>20</v>
      </c>
      <c r="F2922" s="2" t="n">
        <v>9</v>
      </c>
      <c r="G2922" s="2" t="s">
        <v>26</v>
      </c>
      <c r="H2922" s="2" t="s">
        <v>20</v>
      </c>
      <c r="I2922" s="2" t="s">
        <v>23</v>
      </c>
      <c r="J2922" s="2" t="n">
        <v>27</v>
      </c>
      <c r="K2922" s="2" t="s">
        <v>27</v>
      </c>
      <c r="L2922" s="2" t="n">
        <v>292</v>
      </c>
      <c r="M2922" s="2" t="n">
        <v>7</v>
      </c>
      <c r="N2922" s="2" t="n">
        <v>-1</v>
      </c>
      <c r="O2922" s="2" t="n">
        <v>0</v>
      </c>
      <c r="P2922" s="2" t="s">
        <v>23</v>
      </c>
      <c r="Q2922" s="2" t="s">
        <v>20</v>
      </c>
    </row>
    <row r="2923" customFormat="false" ht="15" hidden="false" customHeight="false" outlineLevel="0" collapsed="false">
      <c r="A2923" s="2" t="n">
        <v>43</v>
      </c>
      <c r="B2923" s="2" t="s">
        <v>29</v>
      </c>
      <c r="C2923" s="2" t="s">
        <v>30</v>
      </c>
      <c r="D2923" s="2" t="s">
        <v>25</v>
      </c>
      <c r="E2923" s="2" t="s">
        <v>20</v>
      </c>
      <c r="F2923" s="2" t="n">
        <v>1029</v>
      </c>
      <c r="G2923" s="2" t="s">
        <v>26</v>
      </c>
      <c r="H2923" s="2" t="s">
        <v>20</v>
      </c>
      <c r="I2923" s="2" t="s">
        <v>23</v>
      </c>
      <c r="J2923" s="2" t="n">
        <v>2</v>
      </c>
      <c r="K2923" s="2" t="s">
        <v>33</v>
      </c>
      <c r="L2923" s="2" t="n">
        <v>145</v>
      </c>
      <c r="M2923" s="2" t="n">
        <v>1</v>
      </c>
      <c r="N2923" s="2" t="n">
        <v>-1</v>
      </c>
      <c r="O2923" s="2" t="n">
        <v>0</v>
      </c>
      <c r="P2923" s="2" t="s">
        <v>23</v>
      </c>
      <c r="Q2923" s="2" t="s">
        <v>20</v>
      </c>
    </row>
    <row r="2924" customFormat="false" ht="15" hidden="false" customHeight="false" outlineLevel="0" collapsed="false">
      <c r="A2924" s="2" t="n">
        <v>26</v>
      </c>
      <c r="B2924" s="2" t="s">
        <v>40</v>
      </c>
      <c r="C2924" s="2" t="s">
        <v>18</v>
      </c>
      <c r="D2924" s="2" t="s">
        <v>31</v>
      </c>
      <c r="E2924" s="2" t="s">
        <v>20</v>
      </c>
      <c r="F2924" s="2" t="n">
        <v>2855</v>
      </c>
      <c r="G2924" s="2" t="s">
        <v>20</v>
      </c>
      <c r="H2924" s="2" t="s">
        <v>20</v>
      </c>
      <c r="I2924" s="2" t="s">
        <v>21</v>
      </c>
      <c r="J2924" s="2" t="n">
        <v>30</v>
      </c>
      <c r="K2924" s="2" t="s">
        <v>52</v>
      </c>
      <c r="L2924" s="2" t="n">
        <v>52</v>
      </c>
      <c r="M2924" s="2" t="n">
        <v>3</v>
      </c>
      <c r="N2924" s="2" t="n">
        <v>-1</v>
      </c>
      <c r="O2924" s="2" t="n">
        <v>0</v>
      </c>
      <c r="P2924" s="2" t="s">
        <v>23</v>
      </c>
      <c r="Q2924" s="2" t="s">
        <v>20</v>
      </c>
    </row>
    <row r="2925" customFormat="false" ht="15" hidden="false" customHeight="false" outlineLevel="0" collapsed="false">
      <c r="A2925" s="2" t="n">
        <v>39</v>
      </c>
      <c r="B2925" s="2" t="s">
        <v>40</v>
      </c>
      <c r="C2925" s="2" t="s">
        <v>18</v>
      </c>
      <c r="D2925" s="2" t="s">
        <v>25</v>
      </c>
      <c r="E2925" s="2" t="s">
        <v>20</v>
      </c>
      <c r="F2925" s="2" t="n">
        <v>260</v>
      </c>
      <c r="G2925" s="2" t="s">
        <v>26</v>
      </c>
      <c r="H2925" s="2" t="s">
        <v>20</v>
      </c>
      <c r="I2925" s="2" t="s">
        <v>21</v>
      </c>
      <c r="J2925" s="2" t="n">
        <v>17</v>
      </c>
      <c r="K2925" s="2" t="s">
        <v>32</v>
      </c>
      <c r="L2925" s="2" t="n">
        <v>146</v>
      </c>
      <c r="M2925" s="2" t="n">
        <v>1</v>
      </c>
      <c r="N2925" s="2" t="n">
        <v>281</v>
      </c>
      <c r="O2925" s="2" t="n">
        <v>1</v>
      </c>
      <c r="P2925" s="2" t="s">
        <v>28</v>
      </c>
      <c r="Q2925" s="2" t="s">
        <v>20</v>
      </c>
    </row>
    <row r="2926" customFormat="false" ht="15" hidden="false" customHeight="false" outlineLevel="0" collapsed="false">
      <c r="A2926" s="2" t="n">
        <v>49</v>
      </c>
      <c r="B2926" s="2" t="s">
        <v>34</v>
      </c>
      <c r="C2926" s="2" t="s">
        <v>18</v>
      </c>
      <c r="D2926" s="2" t="s">
        <v>25</v>
      </c>
      <c r="E2926" s="2" t="s">
        <v>20</v>
      </c>
      <c r="F2926" s="2" t="n">
        <v>2039</v>
      </c>
      <c r="G2926" s="2" t="s">
        <v>26</v>
      </c>
      <c r="H2926" s="2" t="s">
        <v>20</v>
      </c>
      <c r="I2926" s="2" t="s">
        <v>21</v>
      </c>
      <c r="J2926" s="2" t="n">
        <v>6</v>
      </c>
      <c r="K2926" s="2" t="s">
        <v>27</v>
      </c>
      <c r="L2926" s="2" t="n">
        <v>451</v>
      </c>
      <c r="M2926" s="2" t="n">
        <v>1</v>
      </c>
      <c r="N2926" s="2" t="n">
        <v>169</v>
      </c>
      <c r="O2926" s="2" t="n">
        <v>2</v>
      </c>
      <c r="P2926" s="2" t="s">
        <v>28</v>
      </c>
      <c r="Q2926" s="2" t="s">
        <v>26</v>
      </c>
    </row>
    <row r="2927" customFormat="false" ht="15" hidden="false" customHeight="false" outlineLevel="0" collapsed="false">
      <c r="A2927" s="2" t="n">
        <v>52</v>
      </c>
      <c r="B2927" s="2" t="s">
        <v>34</v>
      </c>
      <c r="C2927" s="2" t="s">
        <v>45</v>
      </c>
      <c r="D2927" s="2" t="s">
        <v>19</v>
      </c>
      <c r="E2927" s="2" t="s">
        <v>20</v>
      </c>
      <c r="F2927" s="2" t="n">
        <v>-97</v>
      </c>
      <c r="G2927" s="2" t="s">
        <v>26</v>
      </c>
      <c r="H2927" s="2" t="s">
        <v>26</v>
      </c>
      <c r="I2927" s="2" t="s">
        <v>23</v>
      </c>
      <c r="J2927" s="2" t="n">
        <v>9</v>
      </c>
      <c r="K2927" s="2" t="s">
        <v>27</v>
      </c>
      <c r="L2927" s="2" t="n">
        <v>167</v>
      </c>
      <c r="M2927" s="2" t="n">
        <v>4</v>
      </c>
      <c r="N2927" s="2" t="n">
        <v>-1</v>
      </c>
      <c r="O2927" s="2" t="n">
        <v>0</v>
      </c>
      <c r="P2927" s="2" t="s">
        <v>23</v>
      </c>
      <c r="Q2927" s="2" t="s">
        <v>20</v>
      </c>
    </row>
    <row r="2928" customFormat="false" ht="15" hidden="false" customHeight="false" outlineLevel="0" collapsed="false">
      <c r="A2928" s="2" t="n">
        <v>33</v>
      </c>
      <c r="B2928" s="2" t="s">
        <v>34</v>
      </c>
      <c r="C2928" s="2" t="s">
        <v>18</v>
      </c>
      <c r="D2928" s="2" t="s">
        <v>31</v>
      </c>
      <c r="E2928" s="2" t="s">
        <v>20</v>
      </c>
      <c r="F2928" s="2" t="n">
        <v>1465</v>
      </c>
      <c r="G2928" s="2" t="s">
        <v>20</v>
      </c>
      <c r="H2928" s="2" t="s">
        <v>20</v>
      </c>
      <c r="I2928" s="2" t="s">
        <v>21</v>
      </c>
      <c r="J2928" s="2" t="n">
        <v>19</v>
      </c>
      <c r="K2928" s="2" t="s">
        <v>41</v>
      </c>
      <c r="L2928" s="2" t="n">
        <v>98</v>
      </c>
      <c r="M2928" s="2" t="n">
        <v>4</v>
      </c>
      <c r="N2928" s="2" t="n">
        <v>-1</v>
      </c>
      <c r="O2928" s="2" t="n">
        <v>0</v>
      </c>
      <c r="P2928" s="2" t="s">
        <v>23</v>
      </c>
      <c r="Q2928" s="2" t="s">
        <v>20</v>
      </c>
    </row>
    <row r="2929" customFormat="false" ht="15" hidden="false" customHeight="false" outlineLevel="0" collapsed="false">
      <c r="A2929" s="2" t="n">
        <v>30</v>
      </c>
      <c r="B2929" s="2" t="s">
        <v>34</v>
      </c>
      <c r="C2929" s="2" t="s">
        <v>18</v>
      </c>
      <c r="D2929" s="2" t="s">
        <v>25</v>
      </c>
      <c r="E2929" s="2" t="s">
        <v>20</v>
      </c>
      <c r="F2929" s="2" t="n">
        <v>125</v>
      </c>
      <c r="G2929" s="2" t="s">
        <v>26</v>
      </c>
      <c r="H2929" s="2" t="s">
        <v>20</v>
      </c>
      <c r="I2929" s="2" t="s">
        <v>23</v>
      </c>
      <c r="J2929" s="2" t="n">
        <v>29</v>
      </c>
      <c r="K2929" s="2" t="s">
        <v>27</v>
      </c>
      <c r="L2929" s="2" t="n">
        <v>238</v>
      </c>
      <c r="M2929" s="2" t="n">
        <v>2</v>
      </c>
      <c r="N2929" s="2" t="n">
        <v>-1</v>
      </c>
      <c r="O2929" s="2" t="n">
        <v>0</v>
      </c>
      <c r="P2929" s="2" t="s">
        <v>23</v>
      </c>
      <c r="Q2929" s="2" t="s">
        <v>20</v>
      </c>
    </row>
    <row r="2930" customFormat="false" ht="15" hidden="false" customHeight="false" outlineLevel="0" collapsed="false">
      <c r="A2930" s="2" t="n">
        <v>32</v>
      </c>
      <c r="B2930" s="2" t="s">
        <v>38</v>
      </c>
      <c r="C2930" s="2" t="s">
        <v>30</v>
      </c>
      <c r="D2930" s="2" t="s">
        <v>31</v>
      </c>
      <c r="E2930" s="2" t="s">
        <v>20</v>
      </c>
      <c r="F2930" s="2" t="n">
        <v>930</v>
      </c>
      <c r="G2930" s="2" t="s">
        <v>20</v>
      </c>
      <c r="H2930" s="2" t="s">
        <v>20</v>
      </c>
      <c r="I2930" s="2" t="s">
        <v>21</v>
      </c>
      <c r="J2930" s="2" t="n">
        <v>27</v>
      </c>
      <c r="K2930" s="2" t="s">
        <v>41</v>
      </c>
      <c r="L2930" s="2" t="n">
        <v>85</v>
      </c>
      <c r="M2930" s="2" t="n">
        <v>7</v>
      </c>
      <c r="N2930" s="2" t="n">
        <v>-1</v>
      </c>
      <c r="O2930" s="2" t="n">
        <v>0</v>
      </c>
      <c r="P2930" s="2" t="s">
        <v>23</v>
      </c>
      <c r="Q2930" s="2" t="s">
        <v>20</v>
      </c>
    </row>
    <row r="2931" customFormat="false" ht="15" hidden="false" customHeight="false" outlineLevel="0" collapsed="false">
      <c r="A2931" s="2" t="n">
        <v>27</v>
      </c>
      <c r="B2931" s="2" t="s">
        <v>29</v>
      </c>
      <c r="C2931" s="2" t="s">
        <v>30</v>
      </c>
      <c r="D2931" s="2" t="s">
        <v>31</v>
      </c>
      <c r="E2931" s="2" t="s">
        <v>20</v>
      </c>
      <c r="F2931" s="2" t="n">
        <v>0</v>
      </c>
      <c r="G2931" s="2" t="s">
        <v>26</v>
      </c>
      <c r="H2931" s="2" t="s">
        <v>20</v>
      </c>
      <c r="I2931" s="2" t="s">
        <v>21</v>
      </c>
      <c r="J2931" s="2" t="n">
        <v>30</v>
      </c>
      <c r="K2931" s="2" t="s">
        <v>43</v>
      </c>
      <c r="L2931" s="2" t="n">
        <v>323</v>
      </c>
      <c r="M2931" s="2" t="n">
        <v>4</v>
      </c>
      <c r="N2931" s="2" t="n">
        <v>-1</v>
      </c>
      <c r="O2931" s="2" t="n">
        <v>0</v>
      </c>
      <c r="P2931" s="2" t="s">
        <v>23</v>
      </c>
      <c r="Q2931" s="2" t="s">
        <v>20</v>
      </c>
    </row>
    <row r="2932" customFormat="false" ht="15" hidden="false" customHeight="false" outlineLevel="0" collapsed="false">
      <c r="A2932" s="2" t="n">
        <v>58</v>
      </c>
      <c r="B2932" s="2" t="s">
        <v>34</v>
      </c>
      <c r="C2932" s="2" t="s">
        <v>18</v>
      </c>
      <c r="D2932" s="2" t="s">
        <v>19</v>
      </c>
      <c r="E2932" s="2" t="s">
        <v>20</v>
      </c>
      <c r="F2932" s="2" t="n">
        <v>73</v>
      </c>
      <c r="G2932" s="2" t="s">
        <v>20</v>
      </c>
      <c r="H2932" s="2" t="s">
        <v>20</v>
      </c>
      <c r="I2932" s="2" t="s">
        <v>23</v>
      </c>
      <c r="J2932" s="2" t="n">
        <v>17</v>
      </c>
      <c r="K2932" s="2" t="s">
        <v>33</v>
      </c>
      <c r="L2932" s="2" t="n">
        <v>116</v>
      </c>
      <c r="M2932" s="2" t="n">
        <v>1</v>
      </c>
      <c r="N2932" s="2" t="n">
        <v>-1</v>
      </c>
      <c r="O2932" s="2" t="n">
        <v>0</v>
      </c>
      <c r="P2932" s="2" t="s">
        <v>23</v>
      </c>
      <c r="Q2932" s="2" t="s">
        <v>20</v>
      </c>
    </row>
    <row r="2933" customFormat="false" ht="15" hidden="false" customHeight="false" outlineLevel="0" collapsed="false">
      <c r="A2933" s="2" t="n">
        <v>46</v>
      </c>
      <c r="B2933" s="2" t="s">
        <v>48</v>
      </c>
      <c r="C2933" s="2" t="s">
        <v>18</v>
      </c>
      <c r="D2933" s="2" t="s">
        <v>19</v>
      </c>
      <c r="E2933" s="2" t="s">
        <v>20</v>
      </c>
      <c r="F2933" s="2" t="n">
        <v>-35</v>
      </c>
      <c r="G2933" s="2" t="s">
        <v>26</v>
      </c>
      <c r="H2933" s="2" t="s">
        <v>20</v>
      </c>
      <c r="I2933" s="2" t="s">
        <v>21</v>
      </c>
      <c r="J2933" s="2" t="n">
        <v>7</v>
      </c>
      <c r="K2933" s="2" t="s">
        <v>27</v>
      </c>
      <c r="L2933" s="2" t="n">
        <v>304</v>
      </c>
      <c r="M2933" s="2" t="n">
        <v>3</v>
      </c>
      <c r="N2933" s="2" t="n">
        <v>-1</v>
      </c>
      <c r="O2933" s="2" t="n">
        <v>0</v>
      </c>
      <c r="P2933" s="2" t="s">
        <v>23</v>
      </c>
      <c r="Q2933" s="2" t="s">
        <v>20</v>
      </c>
    </row>
    <row r="2934" customFormat="false" ht="15" hidden="false" customHeight="false" outlineLevel="0" collapsed="false">
      <c r="A2934" s="2" t="n">
        <v>28</v>
      </c>
      <c r="B2934" s="2" t="s">
        <v>29</v>
      </c>
      <c r="C2934" s="2" t="s">
        <v>30</v>
      </c>
      <c r="D2934" s="2" t="s">
        <v>31</v>
      </c>
      <c r="E2934" s="2" t="s">
        <v>20</v>
      </c>
      <c r="F2934" s="2" t="n">
        <v>1351</v>
      </c>
      <c r="G2934" s="2" t="s">
        <v>20</v>
      </c>
      <c r="H2934" s="2" t="s">
        <v>20</v>
      </c>
      <c r="I2934" s="2" t="s">
        <v>21</v>
      </c>
      <c r="J2934" s="2" t="n">
        <v>10</v>
      </c>
      <c r="K2934" s="2" t="s">
        <v>53</v>
      </c>
      <c r="L2934" s="2" t="n">
        <v>267</v>
      </c>
      <c r="M2934" s="2" t="n">
        <v>1</v>
      </c>
      <c r="N2934" s="2" t="n">
        <v>-1</v>
      </c>
      <c r="O2934" s="2" t="n">
        <v>0</v>
      </c>
      <c r="P2934" s="2" t="s">
        <v>23</v>
      </c>
      <c r="Q2934" s="2" t="s">
        <v>20</v>
      </c>
    </row>
    <row r="2935" customFormat="false" ht="15" hidden="false" customHeight="false" outlineLevel="0" collapsed="false">
      <c r="A2935" s="2" t="n">
        <v>39</v>
      </c>
      <c r="B2935" s="2" t="s">
        <v>24</v>
      </c>
      <c r="C2935" s="2" t="s">
        <v>18</v>
      </c>
      <c r="D2935" s="2" t="s">
        <v>19</v>
      </c>
      <c r="E2935" s="2" t="s">
        <v>20</v>
      </c>
      <c r="F2935" s="2" t="n">
        <v>1601</v>
      </c>
      <c r="G2935" s="2" t="s">
        <v>26</v>
      </c>
      <c r="H2935" s="2" t="s">
        <v>20</v>
      </c>
      <c r="I2935" s="2" t="s">
        <v>23</v>
      </c>
      <c r="J2935" s="2" t="n">
        <v>23</v>
      </c>
      <c r="K2935" s="2" t="s">
        <v>27</v>
      </c>
      <c r="L2935" s="2" t="n">
        <v>201</v>
      </c>
      <c r="M2935" s="2" t="n">
        <v>2</v>
      </c>
      <c r="N2935" s="2" t="n">
        <v>-1</v>
      </c>
      <c r="O2935" s="2" t="n">
        <v>0</v>
      </c>
      <c r="P2935" s="2" t="s">
        <v>23</v>
      </c>
      <c r="Q2935" s="2" t="s">
        <v>20</v>
      </c>
    </row>
    <row r="2936" customFormat="false" ht="15" hidden="false" customHeight="false" outlineLevel="0" collapsed="false">
      <c r="A2936" s="2" t="n">
        <v>41</v>
      </c>
      <c r="B2936" s="2" t="s">
        <v>24</v>
      </c>
      <c r="C2936" s="2" t="s">
        <v>18</v>
      </c>
      <c r="D2936" s="2" t="s">
        <v>23</v>
      </c>
      <c r="E2936" s="2" t="s">
        <v>20</v>
      </c>
      <c r="F2936" s="2" t="n">
        <v>88</v>
      </c>
      <c r="G2936" s="2" t="s">
        <v>26</v>
      </c>
      <c r="H2936" s="2" t="s">
        <v>20</v>
      </c>
      <c r="I2936" s="2" t="s">
        <v>21</v>
      </c>
      <c r="J2936" s="2" t="n">
        <v>11</v>
      </c>
      <c r="K2936" s="2" t="s">
        <v>27</v>
      </c>
      <c r="L2936" s="2" t="n">
        <v>105</v>
      </c>
      <c r="M2936" s="2" t="n">
        <v>1</v>
      </c>
      <c r="N2936" s="2" t="n">
        <v>336</v>
      </c>
      <c r="O2936" s="2" t="n">
        <v>2</v>
      </c>
      <c r="P2936" s="2" t="s">
        <v>28</v>
      </c>
      <c r="Q2936" s="2" t="s">
        <v>20</v>
      </c>
    </row>
    <row r="2937" customFormat="false" ht="15" hidden="false" customHeight="false" outlineLevel="0" collapsed="false">
      <c r="A2937" s="2" t="n">
        <v>38</v>
      </c>
      <c r="B2937" s="2" t="s">
        <v>24</v>
      </c>
      <c r="C2937" s="2" t="s">
        <v>18</v>
      </c>
      <c r="D2937" s="2" t="s">
        <v>25</v>
      </c>
      <c r="E2937" s="2" t="s">
        <v>20</v>
      </c>
      <c r="F2937" s="2" t="n">
        <v>435</v>
      </c>
      <c r="G2937" s="2" t="s">
        <v>26</v>
      </c>
      <c r="H2937" s="2" t="s">
        <v>20</v>
      </c>
      <c r="I2937" s="2" t="s">
        <v>23</v>
      </c>
      <c r="J2937" s="2" t="n">
        <v>23</v>
      </c>
      <c r="K2937" s="2" t="s">
        <v>27</v>
      </c>
      <c r="L2937" s="2" t="n">
        <v>193</v>
      </c>
      <c r="M2937" s="2" t="n">
        <v>2</v>
      </c>
      <c r="N2937" s="2" t="n">
        <v>-1</v>
      </c>
      <c r="O2937" s="2" t="n">
        <v>0</v>
      </c>
      <c r="P2937" s="2" t="s">
        <v>23</v>
      </c>
      <c r="Q2937" s="2" t="s">
        <v>20</v>
      </c>
    </row>
    <row r="2938" customFormat="false" ht="15" hidden="false" customHeight="false" outlineLevel="0" collapsed="false">
      <c r="A2938" s="2" t="n">
        <v>50</v>
      </c>
      <c r="B2938" s="2" t="s">
        <v>17</v>
      </c>
      <c r="C2938" s="2" t="s">
        <v>45</v>
      </c>
      <c r="D2938" s="2" t="s">
        <v>25</v>
      </c>
      <c r="E2938" s="2" t="s">
        <v>20</v>
      </c>
      <c r="F2938" s="2" t="n">
        <v>717</v>
      </c>
      <c r="G2938" s="2" t="s">
        <v>26</v>
      </c>
      <c r="H2938" s="2" t="s">
        <v>20</v>
      </c>
      <c r="I2938" s="2" t="s">
        <v>21</v>
      </c>
      <c r="J2938" s="2" t="n">
        <v>30</v>
      </c>
      <c r="K2938" s="2" t="s">
        <v>43</v>
      </c>
      <c r="L2938" s="2" t="n">
        <v>113</v>
      </c>
      <c r="M2938" s="2" t="n">
        <v>1</v>
      </c>
      <c r="N2938" s="2" t="n">
        <v>-1</v>
      </c>
      <c r="O2938" s="2" t="n">
        <v>0</v>
      </c>
      <c r="P2938" s="2" t="s">
        <v>23</v>
      </c>
      <c r="Q2938" s="2" t="s">
        <v>20</v>
      </c>
    </row>
    <row r="2939" customFormat="false" ht="15" hidden="false" customHeight="false" outlineLevel="0" collapsed="false">
      <c r="A2939" s="2" t="n">
        <v>56</v>
      </c>
      <c r="B2939" s="2" t="s">
        <v>24</v>
      </c>
      <c r="C2939" s="2" t="s">
        <v>18</v>
      </c>
      <c r="D2939" s="2" t="s">
        <v>25</v>
      </c>
      <c r="E2939" s="2" t="s">
        <v>20</v>
      </c>
      <c r="F2939" s="2" t="n">
        <v>705</v>
      </c>
      <c r="G2939" s="2" t="s">
        <v>26</v>
      </c>
      <c r="H2939" s="2" t="s">
        <v>20</v>
      </c>
      <c r="I2939" s="2" t="s">
        <v>23</v>
      </c>
      <c r="J2939" s="2" t="n">
        <v>29</v>
      </c>
      <c r="K2939" s="2" t="s">
        <v>27</v>
      </c>
      <c r="L2939" s="2" t="n">
        <v>151</v>
      </c>
      <c r="M2939" s="2" t="n">
        <v>2</v>
      </c>
      <c r="N2939" s="2" t="n">
        <v>-1</v>
      </c>
      <c r="O2939" s="2" t="n">
        <v>0</v>
      </c>
      <c r="P2939" s="2" t="s">
        <v>23</v>
      </c>
      <c r="Q2939" s="2" t="s">
        <v>20</v>
      </c>
    </row>
    <row r="2940" customFormat="false" ht="15" hidden="false" customHeight="false" outlineLevel="0" collapsed="false">
      <c r="A2940" s="2" t="n">
        <v>34</v>
      </c>
      <c r="B2940" s="2" t="s">
        <v>38</v>
      </c>
      <c r="C2940" s="2" t="s">
        <v>18</v>
      </c>
      <c r="D2940" s="2" t="s">
        <v>25</v>
      </c>
      <c r="E2940" s="2" t="s">
        <v>20</v>
      </c>
      <c r="F2940" s="2" t="n">
        <v>1553</v>
      </c>
      <c r="G2940" s="2" t="s">
        <v>20</v>
      </c>
      <c r="H2940" s="2" t="s">
        <v>20</v>
      </c>
      <c r="I2940" s="2" t="s">
        <v>21</v>
      </c>
      <c r="J2940" s="2" t="n">
        <v>20</v>
      </c>
      <c r="K2940" s="2" t="s">
        <v>41</v>
      </c>
      <c r="L2940" s="2" t="n">
        <v>200</v>
      </c>
      <c r="M2940" s="2" t="n">
        <v>2</v>
      </c>
      <c r="N2940" s="2" t="n">
        <v>-1</v>
      </c>
      <c r="O2940" s="2" t="n">
        <v>0</v>
      </c>
      <c r="P2940" s="2" t="s">
        <v>23</v>
      </c>
      <c r="Q2940" s="2" t="s">
        <v>20</v>
      </c>
    </row>
    <row r="2941" customFormat="false" ht="15" hidden="false" customHeight="false" outlineLevel="0" collapsed="false">
      <c r="A2941" s="2" t="n">
        <v>33</v>
      </c>
      <c r="B2941" s="2" t="s">
        <v>34</v>
      </c>
      <c r="C2941" s="2" t="s">
        <v>45</v>
      </c>
      <c r="D2941" s="2" t="s">
        <v>25</v>
      </c>
      <c r="E2941" s="2" t="s">
        <v>20</v>
      </c>
      <c r="F2941" s="2" t="n">
        <v>-131</v>
      </c>
      <c r="G2941" s="2" t="s">
        <v>26</v>
      </c>
      <c r="H2941" s="2" t="s">
        <v>20</v>
      </c>
      <c r="I2941" s="2" t="s">
        <v>23</v>
      </c>
      <c r="J2941" s="2" t="n">
        <v>16</v>
      </c>
      <c r="K2941" s="2" t="s">
        <v>27</v>
      </c>
      <c r="L2941" s="2" t="n">
        <v>145</v>
      </c>
      <c r="M2941" s="2" t="n">
        <v>1</v>
      </c>
      <c r="N2941" s="2" t="n">
        <v>-1</v>
      </c>
      <c r="O2941" s="2" t="n">
        <v>0</v>
      </c>
      <c r="P2941" s="2" t="s">
        <v>23</v>
      </c>
      <c r="Q2941" s="2" t="s">
        <v>20</v>
      </c>
    </row>
    <row r="2942" customFormat="false" ht="15" hidden="false" customHeight="false" outlineLevel="0" collapsed="false">
      <c r="A2942" s="2" t="n">
        <v>61</v>
      </c>
      <c r="B2942" s="2" t="s">
        <v>38</v>
      </c>
      <c r="C2942" s="2" t="s">
        <v>18</v>
      </c>
      <c r="D2942" s="2" t="s">
        <v>25</v>
      </c>
      <c r="E2942" s="2" t="s">
        <v>20</v>
      </c>
      <c r="F2942" s="2" t="n">
        <v>1191</v>
      </c>
      <c r="G2942" s="2" t="s">
        <v>20</v>
      </c>
      <c r="H2942" s="2" t="s">
        <v>20</v>
      </c>
      <c r="I2942" s="2" t="s">
        <v>21</v>
      </c>
      <c r="J2942" s="2" t="n">
        <v>21</v>
      </c>
      <c r="K2942" s="2" t="s">
        <v>27</v>
      </c>
      <c r="L2942" s="2" t="n">
        <v>214</v>
      </c>
      <c r="M2942" s="2" t="n">
        <v>4</v>
      </c>
      <c r="N2942" s="2" t="n">
        <v>-1</v>
      </c>
      <c r="O2942" s="2" t="n">
        <v>0</v>
      </c>
      <c r="P2942" s="2" t="s">
        <v>23</v>
      </c>
      <c r="Q2942" s="2" t="s">
        <v>26</v>
      </c>
    </row>
    <row r="2943" customFormat="false" ht="15" hidden="false" customHeight="false" outlineLevel="0" collapsed="false">
      <c r="A2943" s="2" t="n">
        <v>36</v>
      </c>
      <c r="B2943" s="2" t="s">
        <v>40</v>
      </c>
      <c r="C2943" s="2" t="s">
        <v>30</v>
      </c>
      <c r="D2943" s="2" t="s">
        <v>25</v>
      </c>
      <c r="E2943" s="2" t="s">
        <v>20</v>
      </c>
      <c r="F2943" s="2" t="n">
        <v>47</v>
      </c>
      <c r="G2943" s="2" t="s">
        <v>20</v>
      </c>
      <c r="H2943" s="2" t="s">
        <v>26</v>
      </c>
      <c r="I2943" s="2" t="s">
        <v>21</v>
      </c>
      <c r="J2943" s="2" t="n">
        <v>9</v>
      </c>
      <c r="K2943" s="2" t="s">
        <v>44</v>
      </c>
      <c r="L2943" s="2" t="n">
        <v>36</v>
      </c>
      <c r="M2943" s="2" t="n">
        <v>6</v>
      </c>
      <c r="N2943" s="2" t="n">
        <v>-1</v>
      </c>
      <c r="O2943" s="2" t="n">
        <v>0</v>
      </c>
      <c r="P2943" s="2" t="s">
        <v>23</v>
      </c>
      <c r="Q2943" s="2" t="s">
        <v>20</v>
      </c>
    </row>
    <row r="2944" customFormat="false" ht="15" hidden="false" customHeight="false" outlineLevel="0" collapsed="false">
      <c r="A2944" s="2" t="n">
        <v>34</v>
      </c>
      <c r="B2944" s="2" t="s">
        <v>38</v>
      </c>
      <c r="C2944" s="2" t="s">
        <v>18</v>
      </c>
      <c r="D2944" s="2" t="s">
        <v>31</v>
      </c>
      <c r="E2944" s="2" t="s">
        <v>20</v>
      </c>
      <c r="F2944" s="2" t="n">
        <v>544</v>
      </c>
      <c r="G2944" s="2" t="s">
        <v>26</v>
      </c>
      <c r="H2944" s="2" t="s">
        <v>26</v>
      </c>
      <c r="I2944" s="2" t="s">
        <v>21</v>
      </c>
      <c r="J2944" s="2" t="n">
        <v>18</v>
      </c>
      <c r="K2944" s="2" t="s">
        <v>46</v>
      </c>
      <c r="L2944" s="2" t="n">
        <v>58</v>
      </c>
      <c r="M2944" s="2" t="n">
        <v>2</v>
      </c>
      <c r="N2944" s="2" t="n">
        <v>-1</v>
      </c>
      <c r="O2944" s="2" t="n">
        <v>0</v>
      </c>
      <c r="P2944" s="2" t="s">
        <v>23</v>
      </c>
      <c r="Q2944" s="2" t="s">
        <v>20</v>
      </c>
    </row>
    <row r="2945" customFormat="false" ht="15" hidden="false" customHeight="false" outlineLevel="0" collapsed="false">
      <c r="A2945" s="2" t="n">
        <v>36</v>
      </c>
      <c r="B2945" s="2" t="s">
        <v>34</v>
      </c>
      <c r="C2945" s="2" t="s">
        <v>18</v>
      </c>
      <c r="D2945" s="2" t="s">
        <v>25</v>
      </c>
      <c r="E2945" s="2" t="s">
        <v>20</v>
      </c>
      <c r="F2945" s="2" t="n">
        <v>688</v>
      </c>
      <c r="G2945" s="2" t="s">
        <v>26</v>
      </c>
      <c r="H2945" s="2" t="s">
        <v>20</v>
      </c>
      <c r="I2945" s="2" t="s">
        <v>23</v>
      </c>
      <c r="J2945" s="2" t="n">
        <v>6</v>
      </c>
      <c r="K2945" s="2" t="s">
        <v>27</v>
      </c>
      <c r="L2945" s="2" t="n">
        <v>174</v>
      </c>
      <c r="M2945" s="2" t="n">
        <v>2</v>
      </c>
      <c r="N2945" s="2" t="n">
        <v>-1</v>
      </c>
      <c r="O2945" s="2" t="n">
        <v>0</v>
      </c>
      <c r="P2945" s="2" t="s">
        <v>23</v>
      </c>
      <c r="Q2945" s="2" t="s">
        <v>20</v>
      </c>
    </row>
    <row r="2946" customFormat="false" ht="15" hidden="false" customHeight="false" outlineLevel="0" collapsed="false">
      <c r="A2946" s="2" t="n">
        <v>45</v>
      </c>
      <c r="B2946" s="2" t="s">
        <v>29</v>
      </c>
      <c r="C2946" s="2" t="s">
        <v>18</v>
      </c>
      <c r="D2946" s="2" t="s">
        <v>31</v>
      </c>
      <c r="E2946" s="2" t="s">
        <v>20</v>
      </c>
      <c r="F2946" s="2" t="n">
        <v>242</v>
      </c>
      <c r="G2946" s="2" t="s">
        <v>20</v>
      </c>
      <c r="H2946" s="2" t="s">
        <v>20</v>
      </c>
      <c r="I2946" s="2" t="s">
        <v>21</v>
      </c>
      <c r="J2946" s="2" t="n">
        <v>30</v>
      </c>
      <c r="K2946" s="2" t="s">
        <v>32</v>
      </c>
      <c r="L2946" s="2" t="n">
        <v>587</v>
      </c>
      <c r="M2946" s="2" t="n">
        <v>1</v>
      </c>
      <c r="N2946" s="2" t="n">
        <v>-1</v>
      </c>
      <c r="O2946" s="2" t="n">
        <v>0</v>
      </c>
      <c r="P2946" s="2" t="s">
        <v>23</v>
      </c>
      <c r="Q2946" s="2" t="s">
        <v>26</v>
      </c>
    </row>
    <row r="2947" customFormat="false" ht="15" hidden="false" customHeight="false" outlineLevel="0" collapsed="false">
      <c r="A2947" s="2" t="n">
        <v>27</v>
      </c>
      <c r="B2947" s="2" t="s">
        <v>42</v>
      </c>
      <c r="C2947" s="2" t="s">
        <v>30</v>
      </c>
      <c r="D2947" s="2" t="s">
        <v>31</v>
      </c>
      <c r="E2947" s="2" t="s">
        <v>20</v>
      </c>
      <c r="F2947" s="2" t="n">
        <v>118</v>
      </c>
      <c r="G2947" s="2" t="s">
        <v>20</v>
      </c>
      <c r="H2947" s="2" t="s">
        <v>20</v>
      </c>
      <c r="I2947" s="2" t="s">
        <v>21</v>
      </c>
      <c r="J2947" s="2" t="n">
        <v>25</v>
      </c>
      <c r="K2947" s="2" t="s">
        <v>27</v>
      </c>
      <c r="L2947" s="2" t="n">
        <v>112</v>
      </c>
      <c r="M2947" s="2" t="n">
        <v>1</v>
      </c>
      <c r="N2947" s="2" t="n">
        <v>-1</v>
      </c>
      <c r="O2947" s="2" t="n">
        <v>0</v>
      </c>
      <c r="P2947" s="2" t="s">
        <v>23</v>
      </c>
      <c r="Q2947" s="2" t="s">
        <v>20</v>
      </c>
    </row>
    <row r="2948" customFormat="false" ht="15" hidden="false" customHeight="false" outlineLevel="0" collapsed="false">
      <c r="A2948" s="2" t="n">
        <v>45</v>
      </c>
      <c r="B2948" s="2" t="s">
        <v>40</v>
      </c>
      <c r="C2948" s="2" t="s">
        <v>18</v>
      </c>
      <c r="D2948" s="2" t="s">
        <v>25</v>
      </c>
      <c r="E2948" s="2" t="s">
        <v>20</v>
      </c>
      <c r="F2948" s="2" t="n">
        <v>-388</v>
      </c>
      <c r="G2948" s="2" t="s">
        <v>26</v>
      </c>
      <c r="H2948" s="2" t="s">
        <v>20</v>
      </c>
      <c r="I2948" s="2" t="s">
        <v>21</v>
      </c>
      <c r="J2948" s="2" t="n">
        <v>14</v>
      </c>
      <c r="K2948" s="2" t="s">
        <v>44</v>
      </c>
      <c r="L2948" s="2" t="n">
        <v>175</v>
      </c>
      <c r="M2948" s="2" t="n">
        <v>2</v>
      </c>
      <c r="N2948" s="2" t="n">
        <v>-1</v>
      </c>
      <c r="O2948" s="2" t="n">
        <v>0</v>
      </c>
      <c r="P2948" s="2" t="s">
        <v>23</v>
      </c>
      <c r="Q2948" s="2" t="s">
        <v>20</v>
      </c>
    </row>
    <row r="2949" customFormat="false" ht="15" hidden="false" customHeight="false" outlineLevel="0" collapsed="false">
      <c r="A2949" s="2" t="n">
        <v>40</v>
      </c>
      <c r="B2949" s="2" t="s">
        <v>36</v>
      </c>
      <c r="C2949" s="2" t="s">
        <v>18</v>
      </c>
      <c r="D2949" s="2" t="s">
        <v>31</v>
      </c>
      <c r="E2949" s="2" t="s">
        <v>20</v>
      </c>
      <c r="F2949" s="2" t="n">
        <v>1603</v>
      </c>
      <c r="G2949" s="2" t="s">
        <v>20</v>
      </c>
      <c r="H2949" s="2" t="s">
        <v>20</v>
      </c>
      <c r="I2949" s="2" t="s">
        <v>23</v>
      </c>
      <c r="J2949" s="2" t="n">
        <v>17</v>
      </c>
      <c r="K2949" s="2" t="s">
        <v>33</v>
      </c>
      <c r="L2949" s="2" t="n">
        <v>279</v>
      </c>
      <c r="M2949" s="2" t="n">
        <v>1</v>
      </c>
      <c r="N2949" s="2" t="n">
        <v>-1</v>
      </c>
      <c r="O2949" s="2" t="n">
        <v>0</v>
      </c>
      <c r="P2949" s="2" t="s">
        <v>23</v>
      </c>
      <c r="Q2949" s="2" t="s">
        <v>20</v>
      </c>
    </row>
    <row r="2950" customFormat="false" ht="15" hidden="false" customHeight="false" outlineLevel="0" collapsed="false">
      <c r="A2950" s="2" t="n">
        <v>36</v>
      </c>
      <c r="B2950" s="2" t="s">
        <v>29</v>
      </c>
      <c r="C2950" s="2" t="s">
        <v>30</v>
      </c>
      <c r="D2950" s="2" t="s">
        <v>25</v>
      </c>
      <c r="E2950" s="2" t="s">
        <v>20</v>
      </c>
      <c r="F2950" s="2" t="n">
        <v>1511</v>
      </c>
      <c r="G2950" s="2" t="s">
        <v>26</v>
      </c>
      <c r="H2950" s="2" t="s">
        <v>20</v>
      </c>
      <c r="I2950" s="2" t="s">
        <v>21</v>
      </c>
      <c r="J2950" s="2" t="n">
        <v>16</v>
      </c>
      <c r="K2950" s="2" t="s">
        <v>46</v>
      </c>
      <c r="L2950" s="2" t="n">
        <v>270</v>
      </c>
      <c r="M2950" s="2" t="n">
        <v>1</v>
      </c>
      <c r="N2950" s="2" t="n">
        <v>-1</v>
      </c>
      <c r="O2950" s="2" t="n">
        <v>0</v>
      </c>
      <c r="P2950" s="2" t="s">
        <v>23</v>
      </c>
      <c r="Q2950" s="2" t="s">
        <v>26</v>
      </c>
    </row>
    <row r="2951" customFormat="false" ht="15" hidden="false" customHeight="false" outlineLevel="0" collapsed="false">
      <c r="A2951" s="2" t="n">
        <v>46</v>
      </c>
      <c r="B2951" s="2" t="s">
        <v>34</v>
      </c>
      <c r="C2951" s="2" t="s">
        <v>18</v>
      </c>
      <c r="D2951" s="2" t="s">
        <v>19</v>
      </c>
      <c r="E2951" s="2" t="s">
        <v>20</v>
      </c>
      <c r="F2951" s="2" t="n">
        <v>147</v>
      </c>
      <c r="G2951" s="2" t="s">
        <v>26</v>
      </c>
      <c r="H2951" s="2" t="s">
        <v>20</v>
      </c>
      <c r="I2951" s="2" t="s">
        <v>21</v>
      </c>
      <c r="J2951" s="2" t="n">
        <v>6</v>
      </c>
      <c r="K2951" s="2" t="s">
        <v>27</v>
      </c>
      <c r="L2951" s="2" t="n">
        <v>116</v>
      </c>
      <c r="M2951" s="2" t="n">
        <v>2</v>
      </c>
      <c r="N2951" s="2" t="n">
        <v>169</v>
      </c>
      <c r="O2951" s="2" t="n">
        <v>3</v>
      </c>
      <c r="P2951" s="2" t="s">
        <v>28</v>
      </c>
      <c r="Q2951" s="2" t="s">
        <v>20</v>
      </c>
    </row>
    <row r="2952" customFormat="false" ht="15" hidden="false" customHeight="false" outlineLevel="0" collapsed="false">
      <c r="A2952" s="2" t="n">
        <v>37</v>
      </c>
      <c r="B2952" s="2" t="s">
        <v>39</v>
      </c>
      <c r="C2952" s="2" t="s">
        <v>18</v>
      </c>
      <c r="D2952" s="2" t="s">
        <v>31</v>
      </c>
      <c r="E2952" s="2" t="s">
        <v>20</v>
      </c>
      <c r="F2952" s="2" t="n">
        <v>836</v>
      </c>
      <c r="G2952" s="2" t="s">
        <v>26</v>
      </c>
      <c r="H2952" s="2" t="s">
        <v>20</v>
      </c>
      <c r="I2952" s="2" t="s">
        <v>23</v>
      </c>
      <c r="J2952" s="2" t="n">
        <v>27</v>
      </c>
      <c r="K2952" s="2" t="s">
        <v>27</v>
      </c>
      <c r="L2952" s="2" t="n">
        <v>129</v>
      </c>
      <c r="M2952" s="2" t="n">
        <v>2</v>
      </c>
      <c r="N2952" s="2" t="n">
        <v>-1</v>
      </c>
      <c r="O2952" s="2" t="n">
        <v>0</v>
      </c>
      <c r="P2952" s="2" t="s">
        <v>23</v>
      </c>
      <c r="Q2952" s="2" t="s">
        <v>20</v>
      </c>
    </row>
    <row r="2953" customFormat="false" ht="15" hidden="false" customHeight="false" outlineLevel="0" collapsed="false">
      <c r="A2953" s="2" t="n">
        <v>36</v>
      </c>
      <c r="B2953" s="2" t="s">
        <v>38</v>
      </c>
      <c r="C2953" s="2" t="s">
        <v>18</v>
      </c>
      <c r="D2953" s="2" t="s">
        <v>25</v>
      </c>
      <c r="E2953" s="2" t="s">
        <v>20</v>
      </c>
      <c r="F2953" s="2" t="n">
        <v>55</v>
      </c>
      <c r="G2953" s="2" t="s">
        <v>26</v>
      </c>
      <c r="H2953" s="2" t="s">
        <v>20</v>
      </c>
      <c r="I2953" s="2" t="s">
        <v>21</v>
      </c>
      <c r="J2953" s="2" t="n">
        <v>13</v>
      </c>
      <c r="K2953" s="2" t="s">
        <v>27</v>
      </c>
      <c r="L2953" s="2" t="n">
        <v>38</v>
      </c>
      <c r="M2953" s="2" t="n">
        <v>2</v>
      </c>
      <c r="N2953" s="2" t="n">
        <v>369</v>
      </c>
      <c r="O2953" s="2" t="n">
        <v>4</v>
      </c>
      <c r="P2953" s="2" t="s">
        <v>28</v>
      </c>
      <c r="Q2953" s="2" t="s">
        <v>20</v>
      </c>
    </row>
    <row r="2954" customFormat="false" ht="15" hidden="false" customHeight="false" outlineLevel="0" collapsed="false">
      <c r="A2954" s="2" t="n">
        <v>37</v>
      </c>
      <c r="B2954" s="2" t="s">
        <v>40</v>
      </c>
      <c r="C2954" s="2" t="s">
        <v>18</v>
      </c>
      <c r="D2954" s="2" t="s">
        <v>25</v>
      </c>
      <c r="E2954" s="2" t="s">
        <v>20</v>
      </c>
      <c r="F2954" s="2" t="n">
        <v>1123</v>
      </c>
      <c r="G2954" s="2" t="s">
        <v>20</v>
      </c>
      <c r="H2954" s="2" t="s">
        <v>26</v>
      </c>
      <c r="I2954" s="2" t="s">
        <v>23</v>
      </c>
      <c r="J2954" s="2" t="n">
        <v>28</v>
      </c>
      <c r="K2954" s="2" t="s">
        <v>27</v>
      </c>
      <c r="L2954" s="2" t="n">
        <v>138</v>
      </c>
      <c r="M2954" s="2" t="n">
        <v>1</v>
      </c>
      <c r="N2954" s="2" t="n">
        <v>-1</v>
      </c>
      <c r="O2954" s="2" t="n">
        <v>0</v>
      </c>
      <c r="P2954" s="2" t="s">
        <v>23</v>
      </c>
      <c r="Q2954" s="2" t="s">
        <v>20</v>
      </c>
    </row>
    <row r="2955" customFormat="false" ht="15" hidden="false" customHeight="false" outlineLevel="0" collapsed="false">
      <c r="A2955" s="2" t="n">
        <v>22</v>
      </c>
      <c r="B2955" s="2" t="s">
        <v>42</v>
      </c>
      <c r="C2955" s="2" t="s">
        <v>30</v>
      </c>
      <c r="D2955" s="2" t="s">
        <v>31</v>
      </c>
      <c r="E2955" s="2" t="s">
        <v>20</v>
      </c>
      <c r="F2955" s="2" t="n">
        <v>691</v>
      </c>
      <c r="G2955" s="2" t="s">
        <v>20</v>
      </c>
      <c r="H2955" s="2" t="s">
        <v>20</v>
      </c>
      <c r="I2955" s="2" t="s">
        <v>21</v>
      </c>
      <c r="J2955" s="2" t="n">
        <v>19</v>
      </c>
      <c r="K2955" s="2" t="s">
        <v>41</v>
      </c>
      <c r="L2955" s="2" t="n">
        <v>338</v>
      </c>
      <c r="M2955" s="2" t="n">
        <v>1</v>
      </c>
      <c r="N2955" s="2" t="n">
        <v>-1</v>
      </c>
      <c r="O2955" s="2" t="n">
        <v>0</v>
      </c>
      <c r="P2955" s="2" t="s">
        <v>23</v>
      </c>
      <c r="Q2955" s="2" t="s">
        <v>26</v>
      </c>
    </row>
    <row r="2956" customFormat="false" ht="15" hidden="false" customHeight="false" outlineLevel="0" collapsed="false">
      <c r="A2956" s="2" t="n">
        <v>51</v>
      </c>
      <c r="B2956" s="2" t="s">
        <v>24</v>
      </c>
      <c r="C2956" s="2" t="s">
        <v>18</v>
      </c>
      <c r="D2956" s="2" t="s">
        <v>25</v>
      </c>
      <c r="E2956" s="2" t="s">
        <v>20</v>
      </c>
      <c r="F2956" s="2" t="n">
        <v>0</v>
      </c>
      <c r="G2956" s="2" t="s">
        <v>20</v>
      </c>
      <c r="H2956" s="2" t="s">
        <v>26</v>
      </c>
      <c r="I2956" s="2" t="s">
        <v>23</v>
      </c>
      <c r="J2956" s="2" t="n">
        <v>26</v>
      </c>
      <c r="K2956" s="2" t="s">
        <v>33</v>
      </c>
      <c r="L2956" s="2" t="n">
        <v>565</v>
      </c>
      <c r="M2956" s="2" t="n">
        <v>3</v>
      </c>
      <c r="N2956" s="2" t="n">
        <v>-1</v>
      </c>
      <c r="O2956" s="2" t="n">
        <v>0</v>
      </c>
      <c r="P2956" s="2" t="s">
        <v>23</v>
      </c>
      <c r="Q2956" s="2" t="s">
        <v>20</v>
      </c>
    </row>
    <row r="2957" customFormat="false" ht="15" hidden="false" customHeight="false" outlineLevel="0" collapsed="false">
      <c r="A2957" s="2" t="n">
        <v>49</v>
      </c>
      <c r="B2957" s="2" t="s">
        <v>38</v>
      </c>
      <c r="C2957" s="2" t="s">
        <v>18</v>
      </c>
      <c r="D2957" s="2" t="s">
        <v>25</v>
      </c>
      <c r="E2957" s="2" t="s">
        <v>20</v>
      </c>
      <c r="F2957" s="2" t="n">
        <v>12531</v>
      </c>
      <c r="G2957" s="2" t="s">
        <v>20</v>
      </c>
      <c r="H2957" s="2" t="s">
        <v>20</v>
      </c>
      <c r="I2957" s="2" t="s">
        <v>21</v>
      </c>
      <c r="J2957" s="2" t="n">
        <v>13</v>
      </c>
      <c r="K2957" s="2" t="s">
        <v>41</v>
      </c>
      <c r="L2957" s="2" t="n">
        <v>77</v>
      </c>
      <c r="M2957" s="2" t="n">
        <v>8</v>
      </c>
      <c r="N2957" s="2" t="n">
        <v>-1</v>
      </c>
      <c r="O2957" s="2" t="n">
        <v>0</v>
      </c>
      <c r="P2957" s="2" t="s">
        <v>23</v>
      </c>
      <c r="Q2957" s="2" t="s">
        <v>20</v>
      </c>
    </row>
    <row r="2958" customFormat="false" ht="15" hidden="false" customHeight="false" outlineLevel="0" collapsed="false">
      <c r="A2958" s="2" t="n">
        <v>35</v>
      </c>
      <c r="B2958" s="2" t="s">
        <v>29</v>
      </c>
      <c r="C2958" s="2" t="s">
        <v>18</v>
      </c>
      <c r="D2958" s="2" t="s">
        <v>31</v>
      </c>
      <c r="E2958" s="2" t="s">
        <v>20</v>
      </c>
      <c r="F2958" s="2" t="n">
        <v>552</v>
      </c>
      <c r="G2958" s="2" t="s">
        <v>26</v>
      </c>
      <c r="H2958" s="2" t="s">
        <v>26</v>
      </c>
      <c r="I2958" s="2" t="s">
        <v>21</v>
      </c>
      <c r="J2958" s="2" t="n">
        <v>19</v>
      </c>
      <c r="K2958" s="2" t="s">
        <v>46</v>
      </c>
      <c r="L2958" s="2" t="n">
        <v>314</v>
      </c>
      <c r="M2958" s="2" t="n">
        <v>2</v>
      </c>
      <c r="N2958" s="2" t="n">
        <v>124</v>
      </c>
      <c r="O2958" s="2" t="n">
        <v>1</v>
      </c>
      <c r="P2958" s="2" t="s">
        <v>28</v>
      </c>
      <c r="Q2958" s="2" t="s">
        <v>20</v>
      </c>
    </row>
    <row r="2959" customFormat="false" ht="15" hidden="false" customHeight="false" outlineLevel="0" collapsed="false">
      <c r="A2959" s="2" t="n">
        <v>50</v>
      </c>
      <c r="B2959" s="2" t="s">
        <v>47</v>
      </c>
      <c r="C2959" s="2" t="s">
        <v>18</v>
      </c>
      <c r="D2959" s="2" t="s">
        <v>19</v>
      </c>
      <c r="E2959" s="2" t="s">
        <v>20</v>
      </c>
      <c r="F2959" s="2" t="n">
        <v>0</v>
      </c>
      <c r="G2959" s="2" t="s">
        <v>20</v>
      </c>
      <c r="H2959" s="2" t="s">
        <v>20</v>
      </c>
      <c r="I2959" s="2" t="s">
        <v>23</v>
      </c>
      <c r="J2959" s="2" t="n">
        <v>20</v>
      </c>
      <c r="K2959" s="2" t="s">
        <v>33</v>
      </c>
      <c r="L2959" s="2" t="n">
        <v>179</v>
      </c>
      <c r="M2959" s="2" t="n">
        <v>2</v>
      </c>
      <c r="N2959" s="2" t="n">
        <v>-1</v>
      </c>
      <c r="O2959" s="2" t="n">
        <v>0</v>
      </c>
      <c r="P2959" s="2" t="s">
        <v>23</v>
      </c>
      <c r="Q2959" s="2" t="s">
        <v>20</v>
      </c>
    </row>
    <row r="2960" customFormat="false" ht="15" hidden="false" customHeight="false" outlineLevel="0" collapsed="false">
      <c r="A2960" s="2" t="n">
        <v>31</v>
      </c>
      <c r="B2960" s="2" t="s">
        <v>24</v>
      </c>
      <c r="C2960" s="2" t="s">
        <v>18</v>
      </c>
      <c r="D2960" s="2" t="s">
        <v>31</v>
      </c>
      <c r="E2960" s="2" t="s">
        <v>20</v>
      </c>
      <c r="F2960" s="2" t="n">
        <v>309</v>
      </c>
      <c r="G2960" s="2" t="s">
        <v>26</v>
      </c>
      <c r="H2960" s="2" t="s">
        <v>26</v>
      </c>
      <c r="I2960" s="2" t="s">
        <v>23</v>
      </c>
      <c r="J2960" s="2" t="n">
        <v>7</v>
      </c>
      <c r="K2960" s="2" t="s">
        <v>27</v>
      </c>
      <c r="L2960" s="2" t="n">
        <v>294</v>
      </c>
      <c r="M2960" s="2" t="n">
        <v>1</v>
      </c>
      <c r="N2960" s="2" t="n">
        <v>-1</v>
      </c>
      <c r="O2960" s="2" t="n">
        <v>0</v>
      </c>
      <c r="P2960" s="2" t="s">
        <v>23</v>
      </c>
      <c r="Q2960" s="2" t="s">
        <v>20</v>
      </c>
    </row>
    <row r="2961" customFormat="false" ht="15" hidden="false" customHeight="false" outlineLevel="0" collapsed="false">
      <c r="A2961" s="2" t="n">
        <v>47</v>
      </c>
      <c r="B2961" s="2" t="s">
        <v>24</v>
      </c>
      <c r="C2961" s="2" t="s">
        <v>30</v>
      </c>
      <c r="D2961" s="2" t="s">
        <v>25</v>
      </c>
      <c r="E2961" s="2" t="s">
        <v>20</v>
      </c>
      <c r="F2961" s="2" t="n">
        <v>33</v>
      </c>
      <c r="G2961" s="2" t="s">
        <v>26</v>
      </c>
      <c r="H2961" s="2" t="s">
        <v>20</v>
      </c>
      <c r="I2961" s="2" t="s">
        <v>21</v>
      </c>
      <c r="J2961" s="2" t="n">
        <v>5</v>
      </c>
      <c r="K2961" s="2" t="s">
        <v>27</v>
      </c>
      <c r="L2961" s="2" t="n">
        <v>298</v>
      </c>
      <c r="M2961" s="2" t="n">
        <v>1</v>
      </c>
      <c r="N2961" s="2" t="n">
        <v>-1</v>
      </c>
      <c r="O2961" s="2" t="n">
        <v>0</v>
      </c>
      <c r="P2961" s="2" t="s">
        <v>23</v>
      </c>
      <c r="Q2961" s="2" t="s">
        <v>20</v>
      </c>
    </row>
    <row r="2962" customFormat="false" ht="15" hidden="false" customHeight="false" outlineLevel="0" collapsed="false">
      <c r="A2962" s="2" t="n">
        <v>59</v>
      </c>
      <c r="B2962" s="2" t="s">
        <v>34</v>
      </c>
      <c r="C2962" s="2" t="s">
        <v>18</v>
      </c>
      <c r="D2962" s="2" t="s">
        <v>25</v>
      </c>
      <c r="E2962" s="2" t="s">
        <v>20</v>
      </c>
      <c r="F2962" s="2" t="n">
        <v>681</v>
      </c>
      <c r="G2962" s="2" t="s">
        <v>26</v>
      </c>
      <c r="H2962" s="2" t="s">
        <v>20</v>
      </c>
      <c r="I2962" s="2" t="s">
        <v>49</v>
      </c>
      <c r="J2962" s="2" t="n">
        <v>14</v>
      </c>
      <c r="K2962" s="2" t="s">
        <v>32</v>
      </c>
      <c r="L2962" s="2" t="n">
        <v>427</v>
      </c>
      <c r="M2962" s="2" t="n">
        <v>2</v>
      </c>
      <c r="N2962" s="2" t="n">
        <v>-1</v>
      </c>
      <c r="O2962" s="2" t="n">
        <v>0</v>
      </c>
      <c r="P2962" s="2" t="s">
        <v>23</v>
      </c>
      <c r="Q2962" s="2" t="s">
        <v>20</v>
      </c>
    </row>
    <row r="2963" customFormat="false" ht="15" hidden="false" customHeight="false" outlineLevel="0" collapsed="false">
      <c r="A2963" s="2" t="n">
        <v>32</v>
      </c>
      <c r="B2963" s="2" t="s">
        <v>34</v>
      </c>
      <c r="C2963" s="2" t="s">
        <v>18</v>
      </c>
      <c r="D2963" s="2" t="s">
        <v>25</v>
      </c>
      <c r="E2963" s="2" t="s">
        <v>20</v>
      </c>
      <c r="F2963" s="2" t="n">
        <v>1787</v>
      </c>
      <c r="G2963" s="2" t="s">
        <v>26</v>
      </c>
      <c r="H2963" s="2" t="s">
        <v>20</v>
      </c>
      <c r="I2963" s="2" t="s">
        <v>21</v>
      </c>
      <c r="J2963" s="2" t="n">
        <v>12</v>
      </c>
      <c r="K2963" s="2" t="s">
        <v>27</v>
      </c>
      <c r="L2963" s="2" t="n">
        <v>87</v>
      </c>
      <c r="M2963" s="2" t="n">
        <v>4</v>
      </c>
      <c r="N2963" s="2" t="n">
        <v>357</v>
      </c>
      <c r="O2963" s="2" t="n">
        <v>4</v>
      </c>
      <c r="P2963" s="2" t="s">
        <v>28</v>
      </c>
      <c r="Q2963" s="2" t="s">
        <v>20</v>
      </c>
    </row>
    <row r="2964" customFormat="false" ht="15" hidden="false" customHeight="false" outlineLevel="0" collapsed="false">
      <c r="A2964" s="2" t="n">
        <v>71</v>
      </c>
      <c r="B2964" s="2" t="s">
        <v>48</v>
      </c>
      <c r="C2964" s="2" t="s">
        <v>18</v>
      </c>
      <c r="D2964" s="2" t="s">
        <v>31</v>
      </c>
      <c r="E2964" s="2" t="s">
        <v>20</v>
      </c>
      <c r="F2964" s="2" t="n">
        <v>14220</v>
      </c>
      <c r="G2964" s="2" t="s">
        <v>26</v>
      </c>
      <c r="H2964" s="2" t="s">
        <v>20</v>
      </c>
      <c r="I2964" s="2" t="s">
        <v>21</v>
      </c>
      <c r="J2964" s="2" t="n">
        <v>9</v>
      </c>
      <c r="K2964" s="2" t="s">
        <v>51</v>
      </c>
      <c r="L2964" s="2" t="n">
        <v>397</v>
      </c>
      <c r="M2964" s="2" t="n">
        <v>1</v>
      </c>
      <c r="N2964" s="2" t="n">
        <v>-1</v>
      </c>
      <c r="O2964" s="2" t="n">
        <v>0</v>
      </c>
      <c r="P2964" s="2" t="s">
        <v>23</v>
      </c>
      <c r="Q2964" s="2" t="s">
        <v>26</v>
      </c>
    </row>
    <row r="2965" customFormat="false" ht="15" hidden="false" customHeight="false" outlineLevel="0" collapsed="false">
      <c r="A2965" s="2" t="n">
        <v>31</v>
      </c>
      <c r="B2965" s="2" t="s">
        <v>29</v>
      </c>
      <c r="C2965" s="2" t="s">
        <v>30</v>
      </c>
      <c r="D2965" s="2" t="s">
        <v>31</v>
      </c>
      <c r="E2965" s="2" t="s">
        <v>20</v>
      </c>
      <c r="F2965" s="2" t="n">
        <v>12569</v>
      </c>
      <c r="G2965" s="2" t="s">
        <v>20</v>
      </c>
      <c r="H2965" s="2" t="s">
        <v>20</v>
      </c>
      <c r="I2965" s="2" t="s">
        <v>21</v>
      </c>
      <c r="J2965" s="2" t="n">
        <v>9</v>
      </c>
      <c r="K2965" s="2" t="s">
        <v>51</v>
      </c>
      <c r="L2965" s="2" t="n">
        <v>344</v>
      </c>
      <c r="M2965" s="2" t="n">
        <v>1</v>
      </c>
      <c r="N2965" s="2" t="n">
        <v>295</v>
      </c>
      <c r="O2965" s="2" t="n">
        <v>1</v>
      </c>
      <c r="P2965" s="2" t="s">
        <v>28</v>
      </c>
      <c r="Q2965" s="2" t="s">
        <v>26</v>
      </c>
    </row>
    <row r="2966" customFormat="false" ht="15" hidden="false" customHeight="false" outlineLevel="0" collapsed="false">
      <c r="A2966" s="2" t="n">
        <v>41</v>
      </c>
      <c r="B2966" s="2" t="s">
        <v>34</v>
      </c>
      <c r="C2966" s="2" t="s">
        <v>18</v>
      </c>
      <c r="D2966" s="2" t="s">
        <v>19</v>
      </c>
      <c r="E2966" s="2" t="s">
        <v>20</v>
      </c>
      <c r="F2966" s="2" t="n">
        <v>4</v>
      </c>
      <c r="G2966" s="2" t="s">
        <v>20</v>
      </c>
      <c r="H2966" s="2" t="s">
        <v>20</v>
      </c>
      <c r="I2966" s="2" t="s">
        <v>21</v>
      </c>
      <c r="J2966" s="2" t="n">
        <v>23</v>
      </c>
      <c r="K2966" s="2" t="s">
        <v>44</v>
      </c>
      <c r="L2966" s="2" t="n">
        <v>74</v>
      </c>
      <c r="M2966" s="2" t="n">
        <v>5</v>
      </c>
      <c r="N2966" s="2" t="n">
        <v>-1</v>
      </c>
      <c r="O2966" s="2" t="n">
        <v>0</v>
      </c>
      <c r="P2966" s="2" t="s">
        <v>23</v>
      </c>
      <c r="Q2966" s="2" t="s">
        <v>20</v>
      </c>
    </row>
    <row r="2967" customFormat="false" ht="15" hidden="false" customHeight="false" outlineLevel="0" collapsed="false">
      <c r="A2967" s="2" t="n">
        <v>35</v>
      </c>
      <c r="B2967" s="2" t="s">
        <v>34</v>
      </c>
      <c r="C2967" s="2" t="s">
        <v>18</v>
      </c>
      <c r="D2967" s="2" t="s">
        <v>19</v>
      </c>
      <c r="E2967" s="2" t="s">
        <v>20</v>
      </c>
      <c r="F2967" s="2" t="n">
        <v>3587</v>
      </c>
      <c r="G2967" s="2" t="s">
        <v>26</v>
      </c>
      <c r="H2967" s="2" t="s">
        <v>20</v>
      </c>
      <c r="I2967" s="2" t="s">
        <v>23</v>
      </c>
      <c r="J2967" s="2" t="n">
        <v>30</v>
      </c>
      <c r="K2967" s="2" t="s">
        <v>27</v>
      </c>
      <c r="L2967" s="2" t="n">
        <v>148</v>
      </c>
      <c r="M2967" s="2" t="n">
        <v>4</v>
      </c>
      <c r="N2967" s="2" t="n">
        <v>-1</v>
      </c>
      <c r="O2967" s="2" t="n">
        <v>0</v>
      </c>
      <c r="P2967" s="2" t="s">
        <v>23</v>
      </c>
      <c r="Q2967" s="2" t="s">
        <v>20</v>
      </c>
    </row>
    <row r="2968" customFormat="false" ht="15" hidden="false" customHeight="false" outlineLevel="0" collapsed="false">
      <c r="A2968" s="2" t="n">
        <v>36</v>
      </c>
      <c r="B2968" s="2" t="s">
        <v>29</v>
      </c>
      <c r="C2968" s="2" t="s">
        <v>18</v>
      </c>
      <c r="D2968" s="2" t="s">
        <v>31</v>
      </c>
      <c r="E2968" s="2" t="s">
        <v>20</v>
      </c>
      <c r="F2968" s="2" t="n">
        <v>254</v>
      </c>
      <c r="G2968" s="2" t="s">
        <v>20</v>
      </c>
      <c r="H2968" s="2" t="s">
        <v>20</v>
      </c>
      <c r="I2968" s="2" t="s">
        <v>23</v>
      </c>
      <c r="J2968" s="2" t="n">
        <v>6</v>
      </c>
      <c r="K2968" s="2" t="s">
        <v>33</v>
      </c>
      <c r="L2968" s="2" t="n">
        <v>161</v>
      </c>
      <c r="M2968" s="2" t="n">
        <v>3</v>
      </c>
      <c r="N2968" s="2" t="n">
        <v>-1</v>
      </c>
      <c r="O2968" s="2" t="n">
        <v>0</v>
      </c>
      <c r="P2968" s="2" t="s">
        <v>23</v>
      </c>
      <c r="Q2968" s="2" t="s">
        <v>20</v>
      </c>
    </row>
    <row r="2969" customFormat="false" ht="15" hidden="false" customHeight="false" outlineLevel="0" collapsed="false">
      <c r="A2969" s="2" t="n">
        <v>46</v>
      </c>
      <c r="B2969" s="2" t="s">
        <v>34</v>
      </c>
      <c r="C2969" s="2" t="s">
        <v>45</v>
      </c>
      <c r="D2969" s="2" t="s">
        <v>19</v>
      </c>
      <c r="E2969" s="2" t="s">
        <v>20</v>
      </c>
      <c r="F2969" s="2" t="n">
        <v>1712</v>
      </c>
      <c r="G2969" s="2" t="s">
        <v>20</v>
      </c>
      <c r="H2969" s="2" t="s">
        <v>20</v>
      </c>
      <c r="I2969" s="2" t="s">
        <v>23</v>
      </c>
      <c r="J2969" s="2" t="n">
        <v>19</v>
      </c>
      <c r="K2969" s="2" t="s">
        <v>33</v>
      </c>
      <c r="L2969" s="2" t="n">
        <v>110</v>
      </c>
      <c r="M2969" s="2" t="n">
        <v>1</v>
      </c>
      <c r="N2969" s="2" t="n">
        <v>-1</v>
      </c>
      <c r="O2969" s="2" t="n">
        <v>0</v>
      </c>
      <c r="P2969" s="2" t="s">
        <v>23</v>
      </c>
      <c r="Q2969" s="2" t="s">
        <v>20</v>
      </c>
    </row>
    <row r="2970" customFormat="false" ht="15" hidden="false" customHeight="false" outlineLevel="0" collapsed="false">
      <c r="A2970" s="2" t="n">
        <v>46</v>
      </c>
      <c r="B2970" s="2" t="s">
        <v>34</v>
      </c>
      <c r="C2970" s="2" t="s">
        <v>18</v>
      </c>
      <c r="D2970" s="2" t="s">
        <v>25</v>
      </c>
      <c r="E2970" s="2" t="s">
        <v>20</v>
      </c>
      <c r="F2970" s="2" t="n">
        <v>4855</v>
      </c>
      <c r="G2970" s="2" t="s">
        <v>26</v>
      </c>
      <c r="H2970" s="2" t="s">
        <v>20</v>
      </c>
      <c r="I2970" s="2" t="s">
        <v>21</v>
      </c>
      <c r="J2970" s="2" t="n">
        <v>10</v>
      </c>
      <c r="K2970" s="2" t="s">
        <v>41</v>
      </c>
      <c r="L2970" s="2" t="n">
        <v>1529</v>
      </c>
      <c r="M2970" s="2" t="n">
        <v>1</v>
      </c>
      <c r="N2970" s="2" t="n">
        <v>397</v>
      </c>
      <c r="O2970" s="2" t="n">
        <v>1</v>
      </c>
      <c r="P2970" s="2" t="s">
        <v>28</v>
      </c>
      <c r="Q2970" s="2" t="s">
        <v>20</v>
      </c>
    </row>
    <row r="2971" customFormat="false" ht="15" hidden="false" customHeight="false" outlineLevel="0" collapsed="false">
      <c r="A2971" s="2" t="n">
        <v>47</v>
      </c>
      <c r="B2971" s="2" t="s">
        <v>38</v>
      </c>
      <c r="C2971" s="2" t="s">
        <v>18</v>
      </c>
      <c r="D2971" s="2" t="s">
        <v>31</v>
      </c>
      <c r="E2971" s="2" t="s">
        <v>20</v>
      </c>
      <c r="F2971" s="2" t="n">
        <v>2408</v>
      </c>
      <c r="G2971" s="2" t="s">
        <v>20</v>
      </c>
      <c r="H2971" s="2" t="s">
        <v>20</v>
      </c>
      <c r="I2971" s="2" t="s">
        <v>21</v>
      </c>
      <c r="J2971" s="2" t="n">
        <v>12</v>
      </c>
      <c r="K2971" s="2" t="s">
        <v>41</v>
      </c>
      <c r="L2971" s="2" t="n">
        <v>236</v>
      </c>
      <c r="M2971" s="2" t="n">
        <v>1</v>
      </c>
      <c r="N2971" s="2" t="n">
        <v>104</v>
      </c>
      <c r="O2971" s="2" t="n">
        <v>1</v>
      </c>
      <c r="P2971" s="2" t="s">
        <v>50</v>
      </c>
      <c r="Q2971" s="2" t="s">
        <v>20</v>
      </c>
    </row>
    <row r="2972" customFormat="false" ht="15" hidden="false" customHeight="false" outlineLevel="0" collapsed="false">
      <c r="A2972" s="2" t="n">
        <v>35</v>
      </c>
      <c r="B2972" s="2" t="s">
        <v>29</v>
      </c>
      <c r="C2972" s="2" t="s">
        <v>30</v>
      </c>
      <c r="D2972" s="2" t="s">
        <v>31</v>
      </c>
      <c r="E2972" s="2" t="s">
        <v>20</v>
      </c>
      <c r="F2972" s="2" t="n">
        <v>252</v>
      </c>
      <c r="G2972" s="2" t="s">
        <v>26</v>
      </c>
      <c r="H2972" s="2" t="s">
        <v>20</v>
      </c>
      <c r="I2972" s="2" t="s">
        <v>21</v>
      </c>
      <c r="J2972" s="2" t="n">
        <v>8</v>
      </c>
      <c r="K2972" s="2" t="s">
        <v>41</v>
      </c>
      <c r="L2972" s="2" t="n">
        <v>89</v>
      </c>
      <c r="M2972" s="2" t="n">
        <v>2</v>
      </c>
      <c r="N2972" s="2" t="n">
        <v>-1</v>
      </c>
      <c r="O2972" s="2" t="n">
        <v>0</v>
      </c>
      <c r="P2972" s="2" t="s">
        <v>23</v>
      </c>
      <c r="Q2972" s="2" t="s">
        <v>20</v>
      </c>
    </row>
    <row r="2973" customFormat="false" ht="15" hidden="false" customHeight="false" outlineLevel="0" collapsed="false">
      <c r="A2973" s="2" t="n">
        <v>37</v>
      </c>
      <c r="B2973" s="2" t="s">
        <v>34</v>
      </c>
      <c r="C2973" s="2" t="s">
        <v>18</v>
      </c>
      <c r="D2973" s="2" t="s">
        <v>25</v>
      </c>
      <c r="E2973" s="2" t="s">
        <v>20</v>
      </c>
      <c r="F2973" s="2" t="n">
        <v>346</v>
      </c>
      <c r="G2973" s="2" t="s">
        <v>26</v>
      </c>
      <c r="H2973" s="2" t="s">
        <v>20</v>
      </c>
      <c r="I2973" s="2" t="s">
        <v>21</v>
      </c>
      <c r="J2973" s="2" t="n">
        <v>17</v>
      </c>
      <c r="K2973" s="2" t="s">
        <v>32</v>
      </c>
      <c r="L2973" s="2" t="n">
        <v>390</v>
      </c>
      <c r="M2973" s="2" t="n">
        <v>1</v>
      </c>
      <c r="N2973" s="2" t="n">
        <v>316</v>
      </c>
      <c r="O2973" s="2" t="n">
        <v>1</v>
      </c>
      <c r="P2973" s="2" t="s">
        <v>28</v>
      </c>
      <c r="Q2973" s="2" t="s">
        <v>20</v>
      </c>
    </row>
    <row r="2974" customFormat="false" ht="15" hidden="false" customHeight="false" outlineLevel="0" collapsed="false">
      <c r="A2974" s="2" t="n">
        <v>56</v>
      </c>
      <c r="B2974" s="2" t="s">
        <v>40</v>
      </c>
      <c r="C2974" s="2" t="s">
        <v>18</v>
      </c>
      <c r="D2974" s="2" t="s">
        <v>25</v>
      </c>
      <c r="E2974" s="2" t="s">
        <v>20</v>
      </c>
      <c r="F2974" s="2" t="n">
        <v>45</v>
      </c>
      <c r="G2974" s="2" t="s">
        <v>20</v>
      </c>
      <c r="H2974" s="2" t="s">
        <v>20</v>
      </c>
      <c r="I2974" s="2" t="s">
        <v>23</v>
      </c>
      <c r="J2974" s="2" t="n">
        <v>5</v>
      </c>
      <c r="K2974" s="2" t="s">
        <v>27</v>
      </c>
      <c r="L2974" s="2" t="n">
        <v>1467</v>
      </c>
      <c r="M2974" s="2" t="n">
        <v>1</v>
      </c>
      <c r="N2974" s="2" t="n">
        <v>-1</v>
      </c>
      <c r="O2974" s="2" t="n">
        <v>0</v>
      </c>
      <c r="P2974" s="2" t="s">
        <v>23</v>
      </c>
      <c r="Q2974" s="2" t="s">
        <v>26</v>
      </c>
    </row>
    <row r="2975" customFormat="false" ht="15" hidden="false" customHeight="false" outlineLevel="0" collapsed="false">
      <c r="A2975" s="2" t="n">
        <v>46</v>
      </c>
      <c r="B2975" s="2" t="s">
        <v>40</v>
      </c>
      <c r="C2975" s="2" t="s">
        <v>18</v>
      </c>
      <c r="D2975" s="2" t="s">
        <v>25</v>
      </c>
      <c r="E2975" s="2" t="s">
        <v>20</v>
      </c>
      <c r="F2975" s="2" t="n">
        <v>556</v>
      </c>
      <c r="G2975" s="2" t="s">
        <v>26</v>
      </c>
      <c r="H2975" s="2" t="s">
        <v>26</v>
      </c>
      <c r="I2975" s="2" t="s">
        <v>23</v>
      </c>
      <c r="J2975" s="2" t="n">
        <v>15</v>
      </c>
      <c r="K2975" s="2" t="s">
        <v>27</v>
      </c>
      <c r="L2975" s="2" t="n">
        <v>646</v>
      </c>
      <c r="M2975" s="2" t="n">
        <v>3</v>
      </c>
      <c r="N2975" s="2" t="n">
        <v>-1</v>
      </c>
      <c r="O2975" s="2" t="n">
        <v>0</v>
      </c>
      <c r="P2975" s="2" t="s">
        <v>23</v>
      </c>
      <c r="Q2975" s="2" t="s">
        <v>26</v>
      </c>
    </row>
    <row r="2976" customFormat="false" ht="15" hidden="false" customHeight="false" outlineLevel="0" collapsed="false">
      <c r="A2976" s="2" t="n">
        <v>44</v>
      </c>
      <c r="B2976" s="2" t="s">
        <v>29</v>
      </c>
      <c r="C2976" s="2" t="s">
        <v>45</v>
      </c>
      <c r="D2976" s="2" t="s">
        <v>31</v>
      </c>
      <c r="E2976" s="2" t="s">
        <v>20</v>
      </c>
      <c r="F2976" s="2" t="n">
        <v>-710</v>
      </c>
      <c r="G2976" s="2" t="s">
        <v>26</v>
      </c>
      <c r="H2976" s="2" t="s">
        <v>20</v>
      </c>
      <c r="I2976" s="2" t="s">
        <v>21</v>
      </c>
      <c r="J2976" s="2" t="n">
        <v>10</v>
      </c>
      <c r="K2976" s="2" t="s">
        <v>44</v>
      </c>
      <c r="L2976" s="2" t="n">
        <v>183</v>
      </c>
      <c r="M2976" s="2" t="n">
        <v>1</v>
      </c>
      <c r="N2976" s="2" t="n">
        <v>-1</v>
      </c>
      <c r="O2976" s="2" t="n">
        <v>0</v>
      </c>
      <c r="P2976" s="2" t="s">
        <v>23</v>
      </c>
      <c r="Q2976" s="2" t="s">
        <v>20</v>
      </c>
    </row>
    <row r="2977" customFormat="false" ht="15" hidden="false" customHeight="false" outlineLevel="0" collapsed="false">
      <c r="A2977" s="2" t="n">
        <v>48</v>
      </c>
      <c r="B2977" s="2" t="s">
        <v>38</v>
      </c>
      <c r="C2977" s="2" t="s">
        <v>30</v>
      </c>
      <c r="D2977" s="2" t="s">
        <v>31</v>
      </c>
      <c r="E2977" s="2" t="s">
        <v>20</v>
      </c>
      <c r="F2977" s="2" t="n">
        <v>-551</v>
      </c>
      <c r="G2977" s="2" t="s">
        <v>26</v>
      </c>
      <c r="H2977" s="2" t="s">
        <v>20</v>
      </c>
      <c r="I2977" s="2" t="s">
        <v>21</v>
      </c>
      <c r="J2977" s="2" t="n">
        <v>11</v>
      </c>
      <c r="K2977" s="2" t="s">
        <v>27</v>
      </c>
      <c r="L2977" s="2" t="n">
        <v>168</v>
      </c>
      <c r="M2977" s="2" t="n">
        <v>2</v>
      </c>
      <c r="N2977" s="2" t="n">
        <v>-1</v>
      </c>
      <c r="O2977" s="2" t="n">
        <v>0</v>
      </c>
      <c r="P2977" s="2" t="s">
        <v>23</v>
      </c>
      <c r="Q2977" s="2" t="s">
        <v>20</v>
      </c>
    </row>
    <row r="2978" customFormat="false" ht="15" hidden="false" customHeight="false" outlineLevel="0" collapsed="false">
      <c r="A2978" s="2" t="n">
        <v>28</v>
      </c>
      <c r="B2978" s="2" t="s">
        <v>34</v>
      </c>
      <c r="C2978" s="2" t="s">
        <v>30</v>
      </c>
      <c r="D2978" s="2" t="s">
        <v>25</v>
      </c>
      <c r="E2978" s="2" t="s">
        <v>20</v>
      </c>
      <c r="F2978" s="2" t="n">
        <v>56</v>
      </c>
      <c r="G2978" s="2" t="s">
        <v>26</v>
      </c>
      <c r="H2978" s="2" t="s">
        <v>20</v>
      </c>
      <c r="I2978" s="2" t="s">
        <v>23</v>
      </c>
      <c r="J2978" s="2" t="n">
        <v>23</v>
      </c>
      <c r="K2978" s="2" t="s">
        <v>27</v>
      </c>
      <c r="L2978" s="2" t="n">
        <v>66</v>
      </c>
      <c r="M2978" s="2" t="n">
        <v>1</v>
      </c>
      <c r="N2978" s="2" t="n">
        <v>-1</v>
      </c>
      <c r="O2978" s="2" t="n">
        <v>0</v>
      </c>
      <c r="P2978" s="2" t="s">
        <v>23</v>
      </c>
      <c r="Q2978" s="2" t="s">
        <v>20</v>
      </c>
    </row>
    <row r="2979" customFormat="false" ht="15" hidden="false" customHeight="false" outlineLevel="0" collapsed="false">
      <c r="A2979" s="2" t="n">
        <v>38</v>
      </c>
      <c r="B2979" s="2" t="s">
        <v>39</v>
      </c>
      <c r="C2979" s="2" t="s">
        <v>18</v>
      </c>
      <c r="D2979" s="2" t="s">
        <v>31</v>
      </c>
      <c r="E2979" s="2" t="s">
        <v>20</v>
      </c>
      <c r="F2979" s="2" t="n">
        <v>1514</v>
      </c>
      <c r="G2979" s="2" t="s">
        <v>20</v>
      </c>
      <c r="H2979" s="2" t="s">
        <v>26</v>
      </c>
      <c r="I2979" s="2" t="s">
        <v>21</v>
      </c>
      <c r="J2979" s="2" t="n">
        <v>21</v>
      </c>
      <c r="K2979" s="2" t="s">
        <v>46</v>
      </c>
      <c r="L2979" s="2" t="n">
        <v>160</v>
      </c>
      <c r="M2979" s="2" t="n">
        <v>3</v>
      </c>
      <c r="N2979" s="2" t="n">
        <v>120</v>
      </c>
      <c r="O2979" s="2" t="n">
        <v>3</v>
      </c>
      <c r="P2979" s="2" t="s">
        <v>28</v>
      </c>
      <c r="Q2979" s="2" t="s">
        <v>20</v>
      </c>
    </row>
    <row r="2980" customFormat="false" ht="15" hidden="false" customHeight="false" outlineLevel="0" collapsed="false">
      <c r="A2980" s="2" t="n">
        <v>34</v>
      </c>
      <c r="B2980" s="2" t="s">
        <v>29</v>
      </c>
      <c r="C2980" s="2" t="s">
        <v>30</v>
      </c>
      <c r="D2980" s="2" t="s">
        <v>31</v>
      </c>
      <c r="E2980" s="2" t="s">
        <v>20</v>
      </c>
      <c r="F2980" s="2" t="n">
        <v>178</v>
      </c>
      <c r="G2980" s="2" t="s">
        <v>26</v>
      </c>
      <c r="H2980" s="2" t="s">
        <v>20</v>
      </c>
      <c r="I2980" s="2" t="s">
        <v>21</v>
      </c>
      <c r="J2980" s="2" t="n">
        <v>15</v>
      </c>
      <c r="K2980" s="2" t="s">
        <v>27</v>
      </c>
      <c r="L2980" s="2" t="n">
        <v>14</v>
      </c>
      <c r="M2980" s="2" t="n">
        <v>2</v>
      </c>
      <c r="N2980" s="2" t="n">
        <v>-1</v>
      </c>
      <c r="O2980" s="2" t="n">
        <v>0</v>
      </c>
      <c r="P2980" s="2" t="s">
        <v>23</v>
      </c>
      <c r="Q2980" s="2" t="s">
        <v>20</v>
      </c>
    </row>
    <row r="2981" customFormat="false" ht="15" hidden="false" customHeight="false" outlineLevel="0" collapsed="false">
      <c r="A2981" s="2" t="n">
        <v>56</v>
      </c>
      <c r="B2981" s="2" t="s">
        <v>38</v>
      </c>
      <c r="C2981" s="2" t="s">
        <v>18</v>
      </c>
      <c r="D2981" s="2" t="s">
        <v>25</v>
      </c>
      <c r="E2981" s="2" t="s">
        <v>20</v>
      </c>
      <c r="F2981" s="2" t="n">
        <v>359</v>
      </c>
      <c r="G2981" s="2" t="s">
        <v>26</v>
      </c>
      <c r="H2981" s="2" t="s">
        <v>20</v>
      </c>
      <c r="I2981" s="2" t="s">
        <v>23</v>
      </c>
      <c r="J2981" s="2" t="n">
        <v>6</v>
      </c>
      <c r="K2981" s="2" t="s">
        <v>33</v>
      </c>
      <c r="L2981" s="2" t="n">
        <v>220</v>
      </c>
      <c r="M2981" s="2" t="n">
        <v>4</v>
      </c>
      <c r="N2981" s="2" t="n">
        <v>-1</v>
      </c>
      <c r="O2981" s="2" t="n">
        <v>0</v>
      </c>
      <c r="P2981" s="2" t="s">
        <v>23</v>
      </c>
      <c r="Q2981" s="2" t="s">
        <v>20</v>
      </c>
    </row>
    <row r="2982" customFormat="false" ht="15" hidden="false" customHeight="false" outlineLevel="0" collapsed="false">
      <c r="A2982" s="2" t="n">
        <v>55</v>
      </c>
      <c r="B2982" s="2" t="s">
        <v>48</v>
      </c>
      <c r="C2982" s="2" t="s">
        <v>45</v>
      </c>
      <c r="D2982" s="2" t="s">
        <v>25</v>
      </c>
      <c r="E2982" s="2" t="s">
        <v>20</v>
      </c>
      <c r="F2982" s="2" t="n">
        <v>1580</v>
      </c>
      <c r="G2982" s="2" t="s">
        <v>20</v>
      </c>
      <c r="H2982" s="2" t="s">
        <v>26</v>
      </c>
      <c r="I2982" s="2" t="s">
        <v>23</v>
      </c>
      <c r="J2982" s="2" t="n">
        <v>19</v>
      </c>
      <c r="K2982" s="2" t="s">
        <v>33</v>
      </c>
      <c r="L2982" s="2" t="n">
        <v>1007</v>
      </c>
      <c r="M2982" s="2" t="n">
        <v>1</v>
      </c>
      <c r="N2982" s="2" t="n">
        <v>-1</v>
      </c>
      <c r="O2982" s="2" t="n">
        <v>0</v>
      </c>
      <c r="P2982" s="2" t="s">
        <v>23</v>
      </c>
      <c r="Q2982" s="2" t="s">
        <v>26</v>
      </c>
    </row>
    <row r="2983" customFormat="false" ht="15" hidden="false" customHeight="false" outlineLevel="0" collapsed="false">
      <c r="A2983" s="2" t="n">
        <v>44</v>
      </c>
      <c r="B2983" s="2" t="s">
        <v>34</v>
      </c>
      <c r="C2983" s="2" t="s">
        <v>45</v>
      </c>
      <c r="D2983" s="2" t="s">
        <v>25</v>
      </c>
      <c r="E2983" s="2" t="s">
        <v>20</v>
      </c>
      <c r="F2983" s="2" t="n">
        <v>221</v>
      </c>
      <c r="G2983" s="2" t="s">
        <v>20</v>
      </c>
      <c r="H2983" s="2" t="s">
        <v>20</v>
      </c>
      <c r="I2983" s="2" t="s">
        <v>21</v>
      </c>
      <c r="J2983" s="2" t="n">
        <v>30</v>
      </c>
      <c r="K2983" s="2" t="s">
        <v>44</v>
      </c>
      <c r="L2983" s="2" t="n">
        <v>149</v>
      </c>
      <c r="M2983" s="2" t="n">
        <v>13</v>
      </c>
      <c r="N2983" s="2" t="n">
        <v>-1</v>
      </c>
      <c r="O2983" s="2" t="n">
        <v>0</v>
      </c>
      <c r="P2983" s="2" t="s">
        <v>23</v>
      </c>
      <c r="Q2983" s="2" t="s">
        <v>20</v>
      </c>
    </row>
    <row r="2984" customFormat="false" ht="15" hidden="false" customHeight="false" outlineLevel="0" collapsed="false">
      <c r="A2984" s="2" t="n">
        <v>38</v>
      </c>
      <c r="B2984" s="2" t="s">
        <v>38</v>
      </c>
      <c r="C2984" s="2" t="s">
        <v>18</v>
      </c>
      <c r="D2984" s="2" t="s">
        <v>31</v>
      </c>
      <c r="E2984" s="2" t="s">
        <v>20</v>
      </c>
      <c r="F2984" s="2" t="n">
        <v>1161</v>
      </c>
      <c r="G2984" s="2" t="s">
        <v>26</v>
      </c>
      <c r="H2984" s="2" t="s">
        <v>20</v>
      </c>
      <c r="I2984" s="2" t="s">
        <v>23</v>
      </c>
      <c r="J2984" s="2" t="n">
        <v>8</v>
      </c>
      <c r="K2984" s="2" t="s">
        <v>27</v>
      </c>
      <c r="L2984" s="2" t="n">
        <v>665</v>
      </c>
      <c r="M2984" s="2" t="n">
        <v>1</v>
      </c>
      <c r="N2984" s="2" t="n">
        <v>-1</v>
      </c>
      <c r="O2984" s="2" t="n">
        <v>0</v>
      </c>
      <c r="P2984" s="2" t="s">
        <v>23</v>
      </c>
      <c r="Q2984" s="2" t="s">
        <v>20</v>
      </c>
    </row>
    <row r="2985" customFormat="false" ht="15" hidden="false" customHeight="false" outlineLevel="0" collapsed="false">
      <c r="A2985" s="2" t="n">
        <v>53</v>
      </c>
      <c r="B2985" s="2" t="s">
        <v>48</v>
      </c>
      <c r="C2985" s="2" t="s">
        <v>18</v>
      </c>
      <c r="D2985" s="2" t="s">
        <v>25</v>
      </c>
      <c r="E2985" s="2" t="s">
        <v>20</v>
      </c>
      <c r="F2985" s="2" t="n">
        <v>1278</v>
      </c>
      <c r="G2985" s="2" t="s">
        <v>26</v>
      </c>
      <c r="H2985" s="2" t="s">
        <v>20</v>
      </c>
      <c r="I2985" s="2" t="s">
        <v>49</v>
      </c>
      <c r="J2985" s="2" t="n">
        <v>15</v>
      </c>
      <c r="K2985" s="2" t="s">
        <v>44</v>
      </c>
      <c r="L2985" s="2" t="n">
        <v>174</v>
      </c>
      <c r="M2985" s="2" t="n">
        <v>3</v>
      </c>
      <c r="N2985" s="2" t="n">
        <v>-1</v>
      </c>
      <c r="O2985" s="2" t="n">
        <v>0</v>
      </c>
      <c r="P2985" s="2" t="s">
        <v>23</v>
      </c>
      <c r="Q2985" s="2" t="s">
        <v>20</v>
      </c>
    </row>
    <row r="2986" customFormat="false" ht="15" hidden="false" customHeight="false" outlineLevel="0" collapsed="false">
      <c r="A2986" s="2" t="n">
        <v>41</v>
      </c>
      <c r="B2986" s="2" t="s">
        <v>40</v>
      </c>
      <c r="C2986" s="2" t="s">
        <v>30</v>
      </c>
      <c r="D2986" s="2" t="s">
        <v>31</v>
      </c>
      <c r="E2986" s="2" t="s">
        <v>20</v>
      </c>
      <c r="F2986" s="2" t="n">
        <v>982</v>
      </c>
      <c r="G2986" s="2" t="s">
        <v>20</v>
      </c>
      <c r="H2986" s="2" t="s">
        <v>20</v>
      </c>
      <c r="I2986" s="2" t="s">
        <v>21</v>
      </c>
      <c r="J2986" s="2" t="n">
        <v>23</v>
      </c>
      <c r="K2986" s="2" t="s">
        <v>44</v>
      </c>
      <c r="L2986" s="2" t="n">
        <v>105</v>
      </c>
      <c r="M2986" s="2" t="n">
        <v>1</v>
      </c>
      <c r="N2986" s="2" t="n">
        <v>-1</v>
      </c>
      <c r="O2986" s="2" t="n">
        <v>0</v>
      </c>
      <c r="P2986" s="2" t="s">
        <v>23</v>
      </c>
      <c r="Q2986" s="2" t="s">
        <v>20</v>
      </c>
    </row>
    <row r="2987" customFormat="false" ht="15" hidden="false" customHeight="false" outlineLevel="0" collapsed="false">
      <c r="A2987" s="2" t="n">
        <v>34</v>
      </c>
      <c r="B2987" s="2" t="s">
        <v>38</v>
      </c>
      <c r="C2987" s="2" t="s">
        <v>30</v>
      </c>
      <c r="D2987" s="2" t="s">
        <v>25</v>
      </c>
      <c r="E2987" s="2" t="s">
        <v>20</v>
      </c>
      <c r="F2987" s="2" t="n">
        <v>16</v>
      </c>
      <c r="G2987" s="2" t="s">
        <v>20</v>
      </c>
      <c r="H2987" s="2" t="s">
        <v>20</v>
      </c>
      <c r="I2987" s="2" t="s">
        <v>21</v>
      </c>
      <c r="J2987" s="2" t="n">
        <v>13</v>
      </c>
      <c r="K2987" s="2" t="s">
        <v>41</v>
      </c>
      <c r="L2987" s="2" t="n">
        <v>990</v>
      </c>
      <c r="M2987" s="2" t="n">
        <v>1</v>
      </c>
      <c r="N2987" s="2" t="n">
        <v>-1</v>
      </c>
      <c r="O2987" s="2" t="n">
        <v>0</v>
      </c>
      <c r="P2987" s="2" t="s">
        <v>23</v>
      </c>
      <c r="Q2987" s="2" t="s">
        <v>26</v>
      </c>
    </row>
    <row r="2988" customFormat="false" ht="15" hidden="false" customHeight="false" outlineLevel="0" collapsed="false">
      <c r="A2988" s="2" t="n">
        <v>34</v>
      </c>
      <c r="B2988" s="2" t="s">
        <v>29</v>
      </c>
      <c r="C2988" s="2" t="s">
        <v>30</v>
      </c>
      <c r="D2988" s="2" t="s">
        <v>31</v>
      </c>
      <c r="E2988" s="2" t="s">
        <v>20</v>
      </c>
      <c r="F2988" s="2" t="n">
        <v>1</v>
      </c>
      <c r="G2988" s="2" t="s">
        <v>20</v>
      </c>
      <c r="H2988" s="2" t="s">
        <v>20</v>
      </c>
      <c r="I2988" s="2" t="s">
        <v>21</v>
      </c>
      <c r="J2988" s="2" t="n">
        <v>19</v>
      </c>
      <c r="K2988" s="2" t="s">
        <v>46</v>
      </c>
      <c r="L2988" s="2" t="n">
        <v>582</v>
      </c>
      <c r="M2988" s="2" t="n">
        <v>1</v>
      </c>
      <c r="N2988" s="2" t="n">
        <v>-1</v>
      </c>
      <c r="O2988" s="2" t="n">
        <v>0</v>
      </c>
      <c r="P2988" s="2" t="s">
        <v>23</v>
      </c>
      <c r="Q2988" s="2" t="s">
        <v>20</v>
      </c>
    </row>
    <row r="2989" customFormat="false" ht="15" hidden="false" customHeight="false" outlineLevel="0" collapsed="false">
      <c r="A2989" s="2" t="n">
        <v>35</v>
      </c>
      <c r="B2989" s="2" t="s">
        <v>24</v>
      </c>
      <c r="C2989" s="2" t="s">
        <v>18</v>
      </c>
      <c r="D2989" s="2" t="s">
        <v>25</v>
      </c>
      <c r="E2989" s="2" t="s">
        <v>20</v>
      </c>
      <c r="F2989" s="2" t="n">
        <v>128</v>
      </c>
      <c r="G2989" s="2" t="s">
        <v>26</v>
      </c>
      <c r="H2989" s="2" t="s">
        <v>20</v>
      </c>
      <c r="I2989" s="2" t="s">
        <v>21</v>
      </c>
      <c r="J2989" s="2" t="n">
        <v>12</v>
      </c>
      <c r="K2989" s="2" t="s">
        <v>27</v>
      </c>
      <c r="L2989" s="2" t="n">
        <v>136</v>
      </c>
      <c r="M2989" s="2" t="n">
        <v>1</v>
      </c>
      <c r="N2989" s="2" t="n">
        <v>-1</v>
      </c>
      <c r="O2989" s="2" t="n">
        <v>0</v>
      </c>
      <c r="P2989" s="2" t="s">
        <v>23</v>
      </c>
      <c r="Q2989" s="2" t="s">
        <v>20</v>
      </c>
    </row>
    <row r="2990" customFormat="false" ht="15" hidden="false" customHeight="false" outlineLevel="0" collapsed="false">
      <c r="A2990" s="2" t="n">
        <v>38</v>
      </c>
      <c r="B2990" s="2" t="s">
        <v>39</v>
      </c>
      <c r="C2990" s="2" t="s">
        <v>30</v>
      </c>
      <c r="D2990" s="2" t="s">
        <v>25</v>
      </c>
      <c r="E2990" s="2" t="s">
        <v>20</v>
      </c>
      <c r="F2990" s="2" t="n">
        <v>2543</v>
      </c>
      <c r="G2990" s="2" t="s">
        <v>20</v>
      </c>
      <c r="H2990" s="2" t="s">
        <v>20</v>
      </c>
      <c r="I2990" s="2" t="s">
        <v>21</v>
      </c>
      <c r="J2990" s="2" t="n">
        <v>10</v>
      </c>
      <c r="K2990" s="2" t="s">
        <v>41</v>
      </c>
      <c r="L2990" s="2" t="n">
        <v>223</v>
      </c>
      <c r="M2990" s="2" t="n">
        <v>1</v>
      </c>
      <c r="N2990" s="2" t="n">
        <v>414</v>
      </c>
      <c r="O2990" s="2" t="n">
        <v>4</v>
      </c>
      <c r="P2990" s="2" t="s">
        <v>28</v>
      </c>
      <c r="Q2990" s="2" t="s">
        <v>26</v>
      </c>
    </row>
    <row r="2991" customFormat="false" ht="15" hidden="false" customHeight="false" outlineLevel="0" collapsed="false">
      <c r="A2991" s="2" t="n">
        <v>42</v>
      </c>
      <c r="B2991" s="2" t="s">
        <v>39</v>
      </c>
      <c r="C2991" s="2" t="s">
        <v>18</v>
      </c>
      <c r="D2991" s="2" t="s">
        <v>31</v>
      </c>
      <c r="E2991" s="2" t="s">
        <v>20</v>
      </c>
      <c r="F2991" s="2" t="n">
        <v>42045</v>
      </c>
      <c r="G2991" s="2" t="s">
        <v>20</v>
      </c>
      <c r="H2991" s="2" t="s">
        <v>20</v>
      </c>
      <c r="I2991" s="2" t="s">
        <v>21</v>
      </c>
      <c r="J2991" s="2" t="n">
        <v>8</v>
      </c>
      <c r="K2991" s="2" t="s">
        <v>41</v>
      </c>
      <c r="L2991" s="2" t="n">
        <v>205</v>
      </c>
      <c r="M2991" s="2" t="n">
        <v>2</v>
      </c>
      <c r="N2991" s="2" t="n">
        <v>-1</v>
      </c>
      <c r="O2991" s="2" t="n">
        <v>0</v>
      </c>
      <c r="P2991" s="2" t="s">
        <v>23</v>
      </c>
      <c r="Q2991" s="2" t="s">
        <v>20</v>
      </c>
    </row>
    <row r="2992" customFormat="false" ht="15" hidden="false" customHeight="false" outlineLevel="0" collapsed="false">
      <c r="A2992" s="2" t="n">
        <v>56</v>
      </c>
      <c r="B2992" s="2" t="s">
        <v>34</v>
      </c>
      <c r="C2992" s="2" t="s">
        <v>18</v>
      </c>
      <c r="D2992" s="2" t="s">
        <v>19</v>
      </c>
      <c r="E2992" s="2" t="s">
        <v>20</v>
      </c>
      <c r="F2992" s="2" t="n">
        <v>828</v>
      </c>
      <c r="G2992" s="2" t="s">
        <v>26</v>
      </c>
      <c r="H2992" s="2" t="s">
        <v>20</v>
      </c>
      <c r="I2992" s="2" t="s">
        <v>21</v>
      </c>
      <c r="J2992" s="2" t="n">
        <v>14</v>
      </c>
      <c r="K2992" s="2" t="s">
        <v>27</v>
      </c>
      <c r="L2992" s="2" t="n">
        <v>214</v>
      </c>
      <c r="M2992" s="2" t="n">
        <v>1</v>
      </c>
      <c r="N2992" s="2" t="n">
        <v>349</v>
      </c>
      <c r="O2992" s="2" t="n">
        <v>1</v>
      </c>
      <c r="P2992" s="2" t="s">
        <v>28</v>
      </c>
      <c r="Q2992" s="2" t="s">
        <v>20</v>
      </c>
    </row>
    <row r="2993" customFormat="false" ht="15" hidden="false" customHeight="false" outlineLevel="0" collapsed="false">
      <c r="A2993" s="2" t="n">
        <v>37</v>
      </c>
      <c r="B2993" s="2" t="s">
        <v>29</v>
      </c>
      <c r="C2993" s="2" t="s">
        <v>45</v>
      </c>
      <c r="D2993" s="2" t="s">
        <v>31</v>
      </c>
      <c r="E2993" s="2" t="s">
        <v>20</v>
      </c>
      <c r="F2993" s="2" t="n">
        <v>0</v>
      </c>
      <c r="G2993" s="2" t="s">
        <v>26</v>
      </c>
      <c r="H2993" s="2" t="s">
        <v>20</v>
      </c>
      <c r="I2993" s="2" t="s">
        <v>21</v>
      </c>
      <c r="J2993" s="2" t="n">
        <v>11</v>
      </c>
      <c r="K2993" s="2" t="s">
        <v>27</v>
      </c>
      <c r="L2993" s="2" t="n">
        <v>217</v>
      </c>
      <c r="M2993" s="2" t="n">
        <v>6</v>
      </c>
      <c r="N2993" s="2" t="n">
        <v>-1</v>
      </c>
      <c r="O2993" s="2" t="n">
        <v>0</v>
      </c>
      <c r="P2993" s="2" t="s">
        <v>23</v>
      </c>
      <c r="Q2993" s="2" t="s">
        <v>20</v>
      </c>
    </row>
    <row r="2994" customFormat="false" ht="15" hidden="false" customHeight="false" outlineLevel="0" collapsed="false">
      <c r="A2994" s="2" t="n">
        <v>47</v>
      </c>
      <c r="B2994" s="2" t="s">
        <v>47</v>
      </c>
      <c r="C2994" s="2" t="s">
        <v>18</v>
      </c>
      <c r="D2994" s="2" t="s">
        <v>25</v>
      </c>
      <c r="E2994" s="2" t="s">
        <v>20</v>
      </c>
      <c r="F2994" s="2" t="n">
        <v>3940</v>
      </c>
      <c r="G2994" s="2" t="s">
        <v>26</v>
      </c>
      <c r="H2994" s="2" t="s">
        <v>20</v>
      </c>
      <c r="I2994" s="2" t="s">
        <v>21</v>
      </c>
      <c r="J2994" s="2" t="n">
        <v>9</v>
      </c>
      <c r="K2994" s="2" t="s">
        <v>46</v>
      </c>
      <c r="L2994" s="2" t="n">
        <v>171</v>
      </c>
      <c r="M2994" s="2" t="n">
        <v>2</v>
      </c>
      <c r="N2994" s="2" t="n">
        <v>96</v>
      </c>
      <c r="O2994" s="2" t="n">
        <v>5</v>
      </c>
      <c r="P2994" s="2" t="s">
        <v>50</v>
      </c>
      <c r="Q2994" s="2" t="s">
        <v>20</v>
      </c>
    </row>
    <row r="2995" customFormat="false" ht="15" hidden="false" customHeight="false" outlineLevel="0" collapsed="false">
      <c r="A2995" s="2" t="n">
        <v>29</v>
      </c>
      <c r="B2995" s="2" t="s">
        <v>34</v>
      </c>
      <c r="C2995" s="2" t="s">
        <v>18</v>
      </c>
      <c r="D2995" s="2" t="s">
        <v>25</v>
      </c>
      <c r="E2995" s="2" t="s">
        <v>20</v>
      </c>
      <c r="F2995" s="2" t="n">
        <v>125</v>
      </c>
      <c r="G2995" s="2" t="s">
        <v>26</v>
      </c>
      <c r="H2995" s="2" t="s">
        <v>20</v>
      </c>
      <c r="I2995" s="2" t="s">
        <v>23</v>
      </c>
      <c r="J2995" s="2" t="n">
        <v>13</v>
      </c>
      <c r="K2995" s="2" t="s">
        <v>27</v>
      </c>
      <c r="L2995" s="2" t="n">
        <v>50</v>
      </c>
      <c r="M2995" s="2" t="n">
        <v>1</v>
      </c>
      <c r="N2995" s="2" t="n">
        <v>-1</v>
      </c>
      <c r="O2995" s="2" t="n">
        <v>0</v>
      </c>
      <c r="P2995" s="2" t="s">
        <v>23</v>
      </c>
      <c r="Q2995" s="2" t="s">
        <v>20</v>
      </c>
    </row>
    <row r="2996" customFormat="false" ht="15" hidden="false" customHeight="false" outlineLevel="0" collapsed="false">
      <c r="A2996" s="2" t="n">
        <v>41</v>
      </c>
      <c r="B2996" s="2" t="s">
        <v>29</v>
      </c>
      <c r="C2996" s="2" t="s">
        <v>18</v>
      </c>
      <c r="D2996" s="2" t="s">
        <v>31</v>
      </c>
      <c r="E2996" s="2" t="s">
        <v>20</v>
      </c>
      <c r="F2996" s="2" t="n">
        <v>140</v>
      </c>
      <c r="G2996" s="2" t="s">
        <v>26</v>
      </c>
      <c r="H2996" s="2" t="s">
        <v>20</v>
      </c>
      <c r="I2996" s="2" t="s">
        <v>23</v>
      </c>
      <c r="J2996" s="2" t="n">
        <v>5</v>
      </c>
      <c r="K2996" s="2" t="s">
        <v>33</v>
      </c>
      <c r="L2996" s="2" t="n">
        <v>65</v>
      </c>
      <c r="M2996" s="2" t="n">
        <v>3</v>
      </c>
      <c r="N2996" s="2" t="n">
        <v>-1</v>
      </c>
      <c r="O2996" s="2" t="n">
        <v>0</v>
      </c>
      <c r="P2996" s="2" t="s">
        <v>23</v>
      </c>
      <c r="Q2996" s="2" t="s">
        <v>20</v>
      </c>
    </row>
    <row r="2997" customFormat="false" ht="15" hidden="false" customHeight="false" outlineLevel="0" collapsed="false">
      <c r="A2997" s="2" t="n">
        <v>43</v>
      </c>
      <c r="B2997" s="2" t="s">
        <v>38</v>
      </c>
      <c r="C2997" s="2" t="s">
        <v>30</v>
      </c>
      <c r="D2997" s="2" t="s">
        <v>25</v>
      </c>
      <c r="E2997" s="2" t="s">
        <v>20</v>
      </c>
      <c r="F2997" s="2" t="n">
        <v>593</v>
      </c>
      <c r="G2997" s="2" t="s">
        <v>26</v>
      </c>
      <c r="H2997" s="2" t="s">
        <v>20</v>
      </c>
      <c r="I2997" s="2" t="s">
        <v>23</v>
      </c>
      <c r="J2997" s="2" t="n">
        <v>5</v>
      </c>
      <c r="K2997" s="2" t="s">
        <v>27</v>
      </c>
      <c r="L2997" s="2" t="n">
        <v>55</v>
      </c>
      <c r="M2997" s="2" t="n">
        <v>1</v>
      </c>
      <c r="N2997" s="2" t="n">
        <v>-1</v>
      </c>
      <c r="O2997" s="2" t="n">
        <v>0</v>
      </c>
      <c r="P2997" s="2" t="s">
        <v>23</v>
      </c>
      <c r="Q2997" s="2" t="s">
        <v>20</v>
      </c>
    </row>
    <row r="2998" customFormat="false" ht="15" hidden="false" customHeight="false" outlineLevel="0" collapsed="false">
      <c r="A2998" s="2" t="n">
        <v>38</v>
      </c>
      <c r="B2998" s="2" t="s">
        <v>36</v>
      </c>
      <c r="C2998" s="2" t="s">
        <v>18</v>
      </c>
      <c r="D2998" s="2" t="s">
        <v>25</v>
      </c>
      <c r="E2998" s="2" t="s">
        <v>20</v>
      </c>
      <c r="F2998" s="2" t="n">
        <v>746</v>
      </c>
      <c r="G2998" s="2" t="s">
        <v>20</v>
      </c>
      <c r="H2998" s="2" t="s">
        <v>20</v>
      </c>
      <c r="I2998" s="2" t="s">
        <v>23</v>
      </c>
      <c r="J2998" s="2" t="n">
        <v>20</v>
      </c>
      <c r="K2998" s="2" t="s">
        <v>33</v>
      </c>
      <c r="L2998" s="2" t="n">
        <v>256</v>
      </c>
      <c r="M2998" s="2" t="n">
        <v>3</v>
      </c>
      <c r="N2998" s="2" t="n">
        <v>-1</v>
      </c>
      <c r="O2998" s="2" t="n">
        <v>0</v>
      </c>
      <c r="P2998" s="2" t="s">
        <v>23</v>
      </c>
      <c r="Q2998" s="2" t="s">
        <v>20</v>
      </c>
    </row>
    <row r="2999" customFormat="false" ht="15" hidden="false" customHeight="false" outlineLevel="0" collapsed="false">
      <c r="A2999" s="2" t="n">
        <v>31</v>
      </c>
      <c r="B2999" s="2" t="s">
        <v>38</v>
      </c>
      <c r="C2999" s="2" t="s">
        <v>18</v>
      </c>
      <c r="D2999" s="2" t="s">
        <v>25</v>
      </c>
      <c r="E2999" s="2" t="s">
        <v>20</v>
      </c>
      <c r="F2999" s="2" t="n">
        <v>589</v>
      </c>
      <c r="G2999" s="2" t="s">
        <v>26</v>
      </c>
      <c r="H2999" s="2" t="s">
        <v>26</v>
      </c>
      <c r="I2999" s="2" t="s">
        <v>23</v>
      </c>
      <c r="J2999" s="2" t="n">
        <v>21</v>
      </c>
      <c r="K2999" s="2" t="s">
        <v>27</v>
      </c>
      <c r="L2999" s="2" t="n">
        <v>151</v>
      </c>
      <c r="M2999" s="2" t="n">
        <v>1</v>
      </c>
      <c r="N2999" s="2" t="n">
        <v>-1</v>
      </c>
      <c r="O2999" s="2" t="n">
        <v>0</v>
      </c>
      <c r="P2999" s="2" t="s">
        <v>23</v>
      </c>
      <c r="Q2999" s="2" t="s">
        <v>20</v>
      </c>
    </row>
    <row r="3000" customFormat="false" ht="15" hidden="false" customHeight="false" outlineLevel="0" collapsed="false">
      <c r="A3000" s="2" t="n">
        <v>32</v>
      </c>
      <c r="B3000" s="2" t="s">
        <v>29</v>
      </c>
      <c r="C3000" s="2" t="s">
        <v>30</v>
      </c>
      <c r="D3000" s="2" t="s">
        <v>31</v>
      </c>
      <c r="E3000" s="2" t="s">
        <v>20</v>
      </c>
      <c r="F3000" s="2" t="n">
        <v>2343</v>
      </c>
      <c r="G3000" s="2" t="s">
        <v>20</v>
      </c>
      <c r="H3000" s="2" t="s">
        <v>20</v>
      </c>
      <c r="I3000" s="2" t="s">
        <v>21</v>
      </c>
      <c r="J3000" s="2" t="n">
        <v>18</v>
      </c>
      <c r="K3000" s="2" t="s">
        <v>44</v>
      </c>
      <c r="L3000" s="2" t="n">
        <v>226</v>
      </c>
      <c r="M3000" s="2" t="n">
        <v>1</v>
      </c>
      <c r="N3000" s="2" t="n">
        <v>-1</v>
      </c>
      <c r="O3000" s="2" t="n">
        <v>0</v>
      </c>
      <c r="P3000" s="2" t="s">
        <v>23</v>
      </c>
      <c r="Q3000" s="2" t="s">
        <v>20</v>
      </c>
    </row>
    <row r="3001" customFormat="false" ht="15" hidden="false" customHeight="false" outlineLevel="0" collapsed="false">
      <c r="A3001" s="2" t="n">
        <v>40</v>
      </c>
      <c r="B3001" s="2" t="s">
        <v>29</v>
      </c>
      <c r="C3001" s="2" t="s">
        <v>18</v>
      </c>
      <c r="D3001" s="2" t="s">
        <v>31</v>
      </c>
      <c r="E3001" s="2" t="s">
        <v>20</v>
      </c>
      <c r="F3001" s="2" t="n">
        <v>294</v>
      </c>
      <c r="G3001" s="2" t="s">
        <v>26</v>
      </c>
      <c r="H3001" s="2" t="s">
        <v>20</v>
      </c>
      <c r="I3001" s="2" t="s">
        <v>21</v>
      </c>
      <c r="J3001" s="2" t="n">
        <v>23</v>
      </c>
      <c r="K3001" s="2" t="s">
        <v>44</v>
      </c>
      <c r="L3001" s="2" t="n">
        <v>97</v>
      </c>
      <c r="M3001" s="2" t="n">
        <v>5</v>
      </c>
      <c r="N3001" s="2" t="n">
        <v>-1</v>
      </c>
      <c r="O3001" s="2" t="n">
        <v>0</v>
      </c>
      <c r="P3001" s="2" t="s">
        <v>23</v>
      </c>
      <c r="Q3001" s="2" t="s">
        <v>20</v>
      </c>
    </row>
    <row r="3002" customFormat="false" ht="15" hidden="false" customHeight="false" outlineLevel="0" collapsed="false">
      <c r="A3002" s="2" t="n">
        <v>45</v>
      </c>
      <c r="B3002" s="2" t="s">
        <v>40</v>
      </c>
      <c r="C3002" s="2" t="s">
        <v>18</v>
      </c>
      <c r="D3002" s="2" t="s">
        <v>25</v>
      </c>
      <c r="E3002" s="2" t="s">
        <v>20</v>
      </c>
      <c r="F3002" s="2" t="n">
        <v>644</v>
      </c>
      <c r="G3002" s="2" t="s">
        <v>20</v>
      </c>
      <c r="H3002" s="2" t="s">
        <v>26</v>
      </c>
      <c r="I3002" s="2" t="s">
        <v>49</v>
      </c>
      <c r="J3002" s="2" t="n">
        <v>22</v>
      </c>
      <c r="K3002" s="2" t="s">
        <v>44</v>
      </c>
      <c r="L3002" s="2" t="n">
        <v>92</v>
      </c>
      <c r="M3002" s="2" t="n">
        <v>1</v>
      </c>
      <c r="N3002" s="2" t="n">
        <v>-1</v>
      </c>
      <c r="O3002" s="2" t="n">
        <v>0</v>
      </c>
      <c r="P3002" s="2" t="s">
        <v>23</v>
      </c>
      <c r="Q3002" s="2" t="s">
        <v>20</v>
      </c>
    </row>
    <row r="3003" customFormat="false" ht="15" hidden="false" customHeight="false" outlineLevel="0" collapsed="false">
      <c r="A3003" s="2" t="n">
        <v>43</v>
      </c>
      <c r="B3003" s="2" t="s">
        <v>29</v>
      </c>
      <c r="C3003" s="2" t="s">
        <v>18</v>
      </c>
      <c r="D3003" s="2" t="s">
        <v>25</v>
      </c>
      <c r="E3003" s="2" t="s">
        <v>20</v>
      </c>
      <c r="F3003" s="2" t="n">
        <v>-26</v>
      </c>
      <c r="G3003" s="2" t="s">
        <v>26</v>
      </c>
      <c r="H3003" s="2" t="s">
        <v>20</v>
      </c>
      <c r="I3003" s="2" t="s">
        <v>23</v>
      </c>
      <c r="J3003" s="2" t="n">
        <v>16</v>
      </c>
      <c r="K3003" s="2" t="s">
        <v>27</v>
      </c>
      <c r="L3003" s="2" t="n">
        <v>343</v>
      </c>
      <c r="M3003" s="2" t="n">
        <v>1</v>
      </c>
      <c r="N3003" s="2" t="n">
        <v>-1</v>
      </c>
      <c r="O3003" s="2" t="n">
        <v>0</v>
      </c>
      <c r="P3003" s="2" t="s">
        <v>23</v>
      </c>
      <c r="Q3003" s="2" t="s">
        <v>20</v>
      </c>
    </row>
    <row r="3004" customFormat="false" ht="15" hidden="false" customHeight="false" outlineLevel="0" collapsed="false">
      <c r="A3004" s="2" t="n">
        <v>27</v>
      </c>
      <c r="B3004" s="2" t="s">
        <v>24</v>
      </c>
      <c r="C3004" s="2" t="s">
        <v>30</v>
      </c>
      <c r="D3004" s="2" t="s">
        <v>25</v>
      </c>
      <c r="E3004" s="2" t="s">
        <v>20</v>
      </c>
      <c r="F3004" s="2" t="n">
        <v>3354</v>
      </c>
      <c r="G3004" s="2" t="s">
        <v>26</v>
      </c>
      <c r="H3004" s="2" t="s">
        <v>20</v>
      </c>
      <c r="I3004" s="2" t="s">
        <v>21</v>
      </c>
      <c r="J3004" s="2" t="n">
        <v>14</v>
      </c>
      <c r="K3004" s="2" t="s">
        <v>27</v>
      </c>
      <c r="L3004" s="2" t="n">
        <v>493</v>
      </c>
      <c r="M3004" s="2" t="n">
        <v>5</v>
      </c>
      <c r="N3004" s="2" t="n">
        <v>-1</v>
      </c>
      <c r="O3004" s="2" t="n">
        <v>0</v>
      </c>
      <c r="P3004" s="2" t="s">
        <v>23</v>
      </c>
      <c r="Q3004" s="2" t="s">
        <v>20</v>
      </c>
    </row>
    <row r="3005" customFormat="false" ht="15" hidden="false" customHeight="false" outlineLevel="0" collapsed="false">
      <c r="A3005" s="2" t="n">
        <v>33</v>
      </c>
      <c r="B3005" s="2" t="s">
        <v>29</v>
      </c>
      <c r="C3005" s="2" t="s">
        <v>30</v>
      </c>
      <c r="D3005" s="2" t="s">
        <v>31</v>
      </c>
      <c r="E3005" s="2" t="s">
        <v>20</v>
      </c>
      <c r="F3005" s="2" t="n">
        <v>23</v>
      </c>
      <c r="G3005" s="2" t="s">
        <v>20</v>
      </c>
      <c r="H3005" s="2" t="s">
        <v>20</v>
      </c>
      <c r="I3005" s="2" t="s">
        <v>21</v>
      </c>
      <c r="J3005" s="2" t="n">
        <v>20</v>
      </c>
      <c r="K3005" s="2" t="s">
        <v>41</v>
      </c>
      <c r="L3005" s="2" t="n">
        <v>216</v>
      </c>
      <c r="M3005" s="2" t="n">
        <v>3</v>
      </c>
      <c r="N3005" s="2" t="n">
        <v>-1</v>
      </c>
      <c r="O3005" s="2" t="n">
        <v>0</v>
      </c>
      <c r="P3005" s="2" t="s">
        <v>23</v>
      </c>
      <c r="Q3005" s="2" t="s">
        <v>20</v>
      </c>
    </row>
    <row r="3006" customFormat="false" ht="15" hidden="false" customHeight="false" outlineLevel="0" collapsed="false">
      <c r="A3006" s="2" t="n">
        <v>37</v>
      </c>
      <c r="B3006" s="2" t="s">
        <v>40</v>
      </c>
      <c r="C3006" s="2" t="s">
        <v>18</v>
      </c>
      <c r="D3006" s="2" t="s">
        <v>25</v>
      </c>
      <c r="E3006" s="2" t="s">
        <v>20</v>
      </c>
      <c r="F3006" s="2" t="n">
        <v>7</v>
      </c>
      <c r="G3006" s="2" t="s">
        <v>26</v>
      </c>
      <c r="H3006" s="2" t="s">
        <v>20</v>
      </c>
      <c r="I3006" s="2" t="s">
        <v>21</v>
      </c>
      <c r="J3006" s="2" t="n">
        <v>27</v>
      </c>
      <c r="K3006" s="2" t="s">
        <v>27</v>
      </c>
      <c r="L3006" s="2" t="n">
        <v>224</v>
      </c>
      <c r="M3006" s="2" t="n">
        <v>7</v>
      </c>
      <c r="N3006" s="2" t="n">
        <v>105</v>
      </c>
      <c r="O3006" s="2" t="n">
        <v>1</v>
      </c>
      <c r="P3006" s="2" t="s">
        <v>37</v>
      </c>
      <c r="Q3006" s="2" t="s">
        <v>20</v>
      </c>
    </row>
    <row r="3007" customFormat="false" ht="15" hidden="false" customHeight="false" outlineLevel="0" collapsed="false">
      <c r="A3007" s="2" t="n">
        <v>60</v>
      </c>
      <c r="B3007" s="2" t="s">
        <v>40</v>
      </c>
      <c r="C3007" s="2" t="s">
        <v>18</v>
      </c>
      <c r="D3007" s="2" t="s">
        <v>25</v>
      </c>
      <c r="E3007" s="2" t="s">
        <v>20</v>
      </c>
      <c r="F3007" s="2" t="n">
        <v>3735</v>
      </c>
      <c r="G3007" s="2" t="s">
        <v>20</v>
      </c>
      <c r="H3007" s="2" t="s">
        <v>20</v>
      </c>
      <c r="I3007" s="2" t="s">
        <v>21</v>
      </c>
      <c r="J3007" s="2" t="n">
        <v>22</v>
      </c>
      <c r="K3007" s="2" t="s">
        <v>53</v>
      </c>
      <c r="L3007" s="2" t="n">
        <v>190</v>
      </c>
      <c r="M3007" s="2" t="n">
        <v>1</v>
      </c>
      <c r="N3007" s="2" t="n">
        <v>188</v>
      </c>
      <c r="O3007" s="2" t="n">
        <v>9</v>
      </c>
      <c r="P3007" s="2" t="s">
        <v>50</v>
      </c>
      <c r="Q3007" s="2" t="s">
        <v>26</v>
      </c>
    </row>
    <row r="3008" customFormat="false" ht="15" hidden="false" customHeight="false" outlineLevel="0" collapsed="false">
      <c r="A3008" s="2" t="n">
        <v>51</v>
      </c>
      <c r="B3008" s="2" t="s">
        <v>36</v>
      </c>
      <c r="C3008" s="2" t="s">
        <v>18</v>
      </c>
      <c r="D3008" s="2" t="s">
        <v>23</v>
      </c>
      <c r="E3008" s="2" t="s">
        <v>20</v>
      </c>
      <c r="F3008" s="2" t="n">
        <v>2094</v>
      </c>
      <c r="G3008" s="2" t="s">
        <v>20</v>
      </c>
      <c r="H3008" s="2" t="s">
        <v>20</v>
      </c>
      <c r="I3008" s="2" t="s">
        <v>21</v>
      </c>
      <c r="J3008" s="2" t="n">
        <v>8</v>
      </c>
      <c r="K3008" s="2" t="s">
        <v>33</v>
      </c>
      <c r="L3008" s="2" t="n">
        <v>458</v>
      </c>
      <c r="M3008" s="2" t="n">
        <v>6</v>
      </c>
      <c r="N3008" s="2" t="n">
        <v>-1</v>
      </c>
      <c r="O3008" s="2" t="n">
        <v>0</v>
      </c>
      <c r="P3008" s="2" t="s">
        <v>23</v>
      </c>
      <c r="Q3008" s="2" t="s">
        <v>26</v>
      </c>
    </row>
    <row r="3009" customFormat="false" ht="15" hidden="false" customHeight="false" outlineLevel="0" collapsed="false">
      <c r="A3009" s="2" t="n">
        <v>44</v>
      </c>
      <c r="B3009" s="2" t="s">
        <v>34</v>
      </c>
      <c r="C3009" s="2" t="s">
        <v>18</v>
      </c>
      <c r="D3009" s="2" t="s">
        <v>25</v>
      </c>
      <c r="E3009" s="2" t="s">
        <v>20</v>
      </c>
      <c r="F3009" s="2" t="n">
        <v>508</v>
      </c>
      <c r="G3009" s="2" t="s">
        <v>26</v>
      </c>
      <c r="H3009" s="2" t="s">
        <v>20</v>
      </c>
      <c r="I3009" s="2" t="s">
        <v>21</v>
      </c>
      <c r="J3009" s="2" t="n">
        <v>20</v>
      </c>
      <c r="K3009" s="2" t="s">
        <v>32</v>
      </c>
      <c r="L3009" s="2" t="n">
        <v>222</v>
      </c>
      <c r="M3009" s="2" t="n">
        <v>1</v>
      </c>
      <c r="N3009" s="2" t="n">
        <v>154</v>
      </c>
      <c r="O3009" s="2" t="n">
        <v>1</v>
      </c>
      <c r="P3009" s="2" t="s">
        <v>28</v>
      </c>
      <c r="Q3009" s="2" t="s">
        <v>20</v>
      </c>
    </row>
    <row r="3010" customFormat="false" ht="15" hidden="false" customHeight="false" outlineLevel="0" collapsed="false">
      <c r="A3010" s="2" t="n">
        <v>48</v>
      </c>
      <c r="B3010" s="2" t="s">
        <v>29</v>
      </c>
      <c r="C3010" s="2" t="s">
        <v>18</v>
      </c>
      <c r="D3010" s="2" t="s">
        <v>23</v>
      </c>
      <c r="E3010" s="2" t="s">
        <v>20</v>
      </c>
      <c r="F3010" s="2" t="n">
        <v>0</v>
      </c>
      <c r="G3010" s="2" t="s">
        <v>26</v>
      </c>
      <c r="H3010" s="2" t="s">
        <v>20</v>
      </c>
      <c r="I3010" s="2" t="s">
        <v>21</v>
      </c>
      <c r="J3010" s="2" t="n">
        <v>8</v>
      </c>
      <c r="K3010" s="2" t="s">
        <v>27</v>
      </c>
      <c r="L3010" s="2" t="n">
        <v>612</v>
      </c>
      <c r="M3010" s="2" t="n">
        <v>1</v>
      </c>
      <c r="N3010" s="2" t="n">
        <v>344</v>
      </c>
      <c r="O3010" s="2" t="n">
        <v>1</v>
      </c>
      <c r="P3010" s="2" t="s">
        <v>37</v>
      </c>
      <c r="Q3010" s="2" t="s">
        <v>20</v>
      </c>
    </row>
    <row r="3011" customFormat="false" ht="15" hidden="false" customHeight="false" outlineLevel="0" collapsed="false">
      <c r="A3011" s="2" t="n">
        <v>57</v>
      </c>
      <c r="B3011" s="2" t="s">
        <v>34</v>
      </c>
      <c r="C3011" s="2" t="s">
        <v>18</v>
      </c>
      <c r="D3011" s="2" t="s">
        <v>19</v>
      </c>
      <c r="E3011" s="2" t="s">
        <v>20</v>
      </c>
      <c r="F3011" s="2" t="n">
        <v>93</v>
      </c>
      <c r="G3011" s="2" t="s">
        <v>26</v>
      </c>
      <c r="H3011" s="2" t="s">
        <v>20</v>
      </c>
      <c r="I3011" s="2" t="s">
        <v>49</v>
      </c>
      <c r="J3011" s="2" t="n">
        <v>17</v>
      </c>
      <c r="K3011" s="2" t="s">
        <v>32</v>
      </c>
      <c r="L3011" s="2" t="n">
        <v>137</v>
      </c>
      <c r="M3011" s="2" t="n">
        <v>1</v>
      </c>
      <c r="N3011" s="2" t="n">
        <v>-1</v>
      </c>
      <c r="O3011" s="2" t="n">
        <v>0</v>
      </c>
      <c r="P3011" s="2" t="s">
        <v>23</v>
      </c>
      <c r="Q3011" s="2" t="s">
        <v>20</v>
      </c>
    </row>
    <row r="3012" customFormat="false" ht="15" hidden="false" customHeight="false" outlineLevel="0" collapsed="false">
      <c r="A3012" s="2" t="n">
        <v>29</v>
      </c>
      <c r="B3012" s="2" t="s">
        <v>38</v>
      </c>
      <c r="C3012" s="2" t="s">
        <v>30</v>
      </c>
      <c r="D3012" s="2" t="s">
        <v>31</v>
      </c>
      <c r="E3012" s="2" t="s">
        <v>20</v>
      </c>
      <c r="F3012" s="2" t="n">
        <v>0</v>
      </c>
      <c r="G3012" s="2" t="s">
        <v>26</v>
      </c>
      <c r="H3012" s="2" t="s">
        <v>20</v>
      </c>
      <c r="I3012" s="2" t="s">
        <v>23</v>
      </c>
      <c r="J3012" s="2" t="n">
        <v>7</v>
      </c>
      <c r="K3012" s="2" t="s">
        <v>27</v>
      </c>
      <c r="L3012" s="2" t="n">
        <v>104</v>
      </c>
      <c r="M3012" s="2" t="n">
        <v>2</v>
      </c>
      <c r="N3012" s="2" t="n">
        <v>-1</v>
      </c>
      <c r="O3012" s="2" t="n">
        <v>0</v>
      </c>
      <c r="P3012" s="2" t="s">
        <v>23</v>
      </c>
      <c r="Q3012" s="2" t="s">
        <v>20</v>
      </c>
    </row>
    <row r="3013" customFormat="false" ht="15" hidden="false" customHeight="false" outlineLevel="0" collapsed="false">
      <c r="A3013" s="2" t="n">
        <v>50</v>
      </c>
      <c r="B3013" s="2" t="s">
        <v>24</v>
      </c>
      <c r="C3013" s="2" t="s">
        <v>18</v>
      </c>
      <c r="D3013" s="2" t="s">
        <v>25</v>
      </c>
      <c r="E3013" s="2" t="s">
        <v>20</v>
      </c>
      <c r="F3013" s="2" t="n">
        <v>26394</v>
      </c>
      <c r="G3013" s="2" t="s">
        <v>20</v>
      </c>
      <c r="H3013" s="2" t="s">
        <v>20</v>
      </c>
      <c r="I3013" s="2" t="s">
        <v>21</v>
      </c>
      <c r="J3013" s="2" t="n">
        <v>25</v>
      </c>
      <c r="K3013" s="2" t="s">
        <v>41</v>
      </c>
      <c r="L3013" s="2" t="n">
        <v>206</v>
      </c>
      <c r="M3013" s="2" t="n">
        <v>4</v>
      </c>
      <c r="N3013" s="2" t="n">
        <v>-1</v>
      </c>
      <c r="O3013" s="2" t="n">
        <v>0</v>
      </c>
      <c r="P3013" s="2" t="s">
        <v>23</v>
      </c>
      <c r="Q3013" s="2" t="s">
        <v>20</v>
      </c>
    </row>
    <row r="3014" customFormat="false" ht="15" hidden="false" customHeight="false" outlineLevel="0" collapsed="false">
      <c r="A3014" s="2" t="n">
        <v>36</v>
      </c>
      <c r="B3014" s="2" t="s">
        <v>24</v>
      </c>
      <c r="C3014" s="2" t="s">
        <v>18</v>
      </c>
      <c r="D3014" s="2" t="s">
        <v>25</v>
      </c>
      <c r="E3014" s="2" t="s">
        <v>20</v>
      </c>
      <c r="F3014" s="2" t="n">
        <v>-11</v>
      </c>
      <c r="G3014" s="2" t="s">
        <v>26</v>
      </c>
      <c r="H3014" s="2" t="s">
        <v>20</v>
      </c>
      <c r="I3014" s="2" t="s">
        <v>21</v>
      </c>
      <c r="J3014" s="2" t="n">
        <v>30</v>
      </c>
      <c r="K3014" s="2" t="s">
        <v>44</v>
      </c>
      <c r="L3014" s="2" t="n">
        <v>172</v>
      </c>
      <c r="M3014" s="2" t="n">
        <v>28</v>
      </c>
      <c r="N3014" s="2" t="n">
        <v>-1</v>
      </c>
      <c r="O3014" s="2" t="n">
        <v>0</v>
      </c>
      <c r="P3014" s="2" t="s">
        <v>23</v>
      </c>
      <c r="Q3014" s="2" t="s">
        <v>20</v>
      </c>
    </row>
    <row r="3015" customFormat="false" ht="15" hidden="false" customHeight="false" outlineLevel="0" collapsed="false">
      <c r="A3015" s="2" t="n">
        <v>49</v>
      </c>
      <c r="B3015" s="2" t="s">
        <v>38</v>
      </c>
      <c r="C3015" s="2" t="s">
        <v>18</v>
      </c>
      <c r="D3015" s="2" t="s">
        <v>31</v>
      </c>
      <c r="E3015" s="2" t="s">
        <v>20</v>
      </c>
      <c r="F3015" s="2" t="n">
        <v>523</v>
      </c>
      <c r="G3015" s="2" t="s">
        <v>26</v>
      </c>
      <c r="H3015" s="2" t="s">
        <v>20</v>
      </c>
      <c r="I3015" s="2" t="s">
        <v>21</v>
      </c>
      <c r="J3015" s="2" t="n">
        <v>3</v>
      </c>
      <c r="K3015" s="2" t="s">
        <v>52</v>
      </c>
      <c r="L3015" s="2" t="n">
        <v>152</v>
      </c>
      <c r="M3015" s="2" t="n">
        <v>2</v>
      </c>
      <c r="N3015" s="2" t="n">
        <v>-1</v>
      </c>
      <c r="O3015" s="2" t="n">
        <v>0</v>
      </c>
      <c r="P3015" s="2" t="s">
        <v>23</v>
      </c>
      <c r="Q3015" s="2" t="s">
        <v>26</v>
      </c>
    </row>
    <row r="3016" customFormat="false" ht="15" hidden="false" customHeight="false" outlineLevel="0" collapsed="false">
      <c r="A3016" s="2" t="n">
        <v>49</v>
      </c>
      <c r="B3016" s="2" t="s">
        <v>38</v>
      </c>
      <c r="C3016" s="2" t="s">
        <v>18</v>
      </c>
      <c r="D3016" s="2" t="s">
        <v>25</v>
      </c>
      <c r="E3016" s="2" t="s">
        <v>26</v>
      </c>
      <c r="F3016" s="2" t="n">
        <v>-74</v>
      </c>
      <c r="G3016" s="2" t="s">
        <v>26</v>
      </c>
      <c r="H3016" s="2" t="s">
        <v>20</v>
      </c>
      <c r="I3016" s="2" t="s">
        <v>21</v>
      </c>
      <c r="J3016" s="2" t="n">
        <v>19</v>
      </c>
      <c r="K3016" s="2" t="s">
        <v>46</v>
      </c>
      <c r="L3016" s="2" t="n">
        <v>114</v>
      </c>
      <c r="M3016" s="2" t="n">
        <v>1</v>
      </c>
      <c r="N3016" s="2" t="n">
        <v>-1</v>
      </c>
      <c r="O3016" s="2" t="n">
        <v>0</v>
      </c>
      <c r="P3016" s="2" t="s">
        <v>23</v>
      </c>
      <c r="Q3016" s="2" t="s">
        <v>20</v>
      </c>
    </row>
    <row r="3017" customFormat="false" ht="15" hidden="false" customHeight="false" outlineLevel="0" collapsed="false">
      <c r="A3017" s="2" t="n">
        <v>35</v>
      </c>
      <c r="B3017" s="2" t="s">
        <v>29</v>
      </c>
      <c r="C3017" s="2" t="s">
        <v>18</v>
      </c>
      <c r="D3017" s="2" t="s">
        <v>31</v>
      </c>
      <c r="E3017" s="2" t="s">
        <v>20</v>
      </c>
      <c r="F3017" s="2" t="n">
        <v>0</v>
      </c>
      <c r="G3017" s="2" t="s">
        <v>20</v>
      </c>
      <c r="H3017" s="2" t="s">
        <v>20</v>
      </c>
      <c r="I3017" s="2" t="s">
        <v>21</v>
      </c>
      <c r="J3017" s="2" t="n">
        <v>11</v>
      </c>
      <c r="K3017" s="2" t="s">
        <v>44</v>
      </c>
      <c r="L3017" s="2" t="n">
        <v>89</v>
      </c>
      <c r="M3017" s="2" t="n">
        <v>1</v>
      </c>
      <c r="N3017" s="2" t="n">
        <v>-1</v>
      </c>
      <c r="O3017" s="2" t="n">
        <v>0</v>
      </c>
      <c r="P3017" s="2" t="s">
        <v>23</v>
      </c>
      <c r="Q3017" s="2" t="s">
        <v>20</v>
      </c>
    </row>
    <row r="3018" customFormat="false" ht="15" hidden="false" customHeight="false" outlineLevel="0" collapsed="false">
      <c r="A3018" s="2" t="n">
        <v>39</v>
      </c>
      <c r="B3018" s="2" t="s">
        <v>38</v>
      </c>
      <c r="C3018" s="2" t="s">
        <v>30</v>
      </c>
      <c r="D3018" s="2" t="s">
        <v>25</v>
      </c>
      <c r="E3018" s="2" t="s">
        <v>20</v>
      </c>
      <c r="F3018" s="2" t="n">
        <v>122</v>
      </c>
      <c r="G3018" s="2" t="s">
        <v>26</v>
      </c>
      <c r="H3018" s="2" t="s">
        <v>20</v>
      </c>
      <c r="I3018" s="2" t="s">
        <v>23</v>
      </c>
      <c r="J3018" s="2" t="n">
        <v>2</v>
      </c>
      <c r="K3018" s="2" t="s">
        <v>33</v>
      </c>
      <c r="L3018" s="2" t="n">
        <v>158</v>
      </c>
      <c r="M3018" s="2" t="n">
        <v>1</v>
      </c>
      <c r="N3018" s="2" t="n">
        <v>-1</v>
      </c>
      <c r="O3018" s="2" t="n">
        <v>0</v>
      </c>
      <c r="P3018" s="2" t="s">
        <v>23</v>
      </c>
      <c r="Q3018" s="2" t="s">
        <v>20</v>
      </c>
    </row>
    <row r="3019" customFormat="false" ht="15" hidden="false" customHeight="false" outlineLevel="0" collapsed="false">
      <c r="A3019" s="2" t="n">
        <v>34</v>
      </c>
      <c r="B3019" s="2" t="s">
        <v>34</v>
      </c>
      <c r="C3019" s="2" t="s">
        <v>18</v>
      </c>
      <c r="D3019" s="2" t="s">
        <v>19</v>
      </c>
      <c r="E3019" s="2" t="s">
        <v>20</v>
      </c>
      <c r="F3019" s="2" t="n">
        <v>351</v>
      </c>
      <c r="G3019" s="2" t="s">
        <v>20</v>
      </c>
      <c r="H3019" s="2" t="s">
        <v>26</v>
      </c>
      <c r="I3019" s="2" t="s">
        <v>21</v>
      </c>
      <c r="J3019" s="2" t="n">
        <v>14</v>
      </c>
      <c r="K3019" s="2" t="s">
        <v>44</v>
      </c>
      <c r="L3019" s="2" t="n">
        <v>326</v>
      </c>
      <c r="M3019" s="2" t="n">
        <v>11</v>
      </c>
      <c r="N3019" s="2" t="n">
        <v>-1</v>
      </c>
      <c r="O3019" s="2" t="n">
        <v>0</v>
      </c>
      <c r="P3019" s="2" t="s">
        <v>23</v>
      </c>
      <c r="Q3019" s="2" t="s">
        <v>20</v>
      </c>
    </row>
    <row r="3020" customFormat="false" ht="15" hidden="false" customHeight="false" outlineLevel="0" collapsed="false">
      <c r="A3020" s="2" t="n">
        <v>57</v>
      </c>
      <c r="B3020" s="2" t="s">
        <v>36</v>
      </c>
      <c r="C3020" s="2" t="s">
        <v>18</v>
      </c>
      <c r="D3020" s="2" t="s">
        <v>25</v>
      </c>
      <c r="E3020" s="2" t="s">
        <v>20</v>
      </c>
      <c r="F3020" s="2" t="n">
        <v>35</v>
      </c>
      <c r="G3020" s="2" t="s">
        <v>20</v>
      </c>
      <c r="H3020" s="2" t="s">
        <v>26</v>
      </c>
      <c r="I3020" s="2" t="s">
        <v>23</v>
      </c>
      <c r="J3020" s="2" t="n">
        <v>26</v>
      </c>
      <c r="K3020" s="2" t="s">
        <v>33</v>
      </c>
      <c r="L3020" s="2" t="n">
        <v>215</v>
      </c>
      <c r="M3020" s="2" t="n">
        <v>3</v>
      </c>
      <c r="N3020" s="2" t="n">
        <v>-1</v>
      </c>
      <c r="O3020" s="2" t="n">
        <v>0</v>
      </c>
      <c r="P3020" s="2" t="s">
        <v>23</v>
      </c>
      <c r="Q3020" s="2" t="s">
        <v>20</v>
      </c>
    </row>
    <row r="3021" customFormat="false" ht="15" hidden="false" customHeight="false" outlineLevel="0" collapsed="false">
      <c r="A3021" s="2" t="n">
        <v>37</v>
      </c>
      <c r="B3021" s="2" t="s">
        <v>38</v>
      </c>
      <c r="C3021" s="2" t="s">
        <v>45</v>
      </c>
      <c r="D3021" s="2" t="s">
        <v>25</v>
      </c>
      <c r="E3021" s="2" t="s">
        <v>20</v>
      </c>
      <c r="F3021" s="2" t="n">
        <v>2610</v>
      </c>
      <c r="G3021" s="2" t="s">
        <v>26</v>
      </c>
      <c r="H3021" s="2" t="s">
        <v>20</v>
      </c>
      <c r="I3021" s="2" t="s">
        <v>21</v>
      </c>
      <c r="J3021" s="2" t="n">
        <v>13</v>
      </c>
      <c r="K3021" s="2" t="s">
        <v>27</v>
      </c>
      <c r="L3021" s="2" t="n">
        <v>53</v>
      </c>
      <c r="M3021" s="2" t="n">
        <v>1</v>
      </c>
      <c r="N3021" s="2" t="n">
        <v>-1</v>
      </c>
      <c r="O3021" s="2" t="n">
        <v>0</v>
      </c>
      <c r="P3021" s="2" t="s">
        <v>23</v>
      </c>
      <c r="Q3021" s="2" t="s">
        <v>20</v>
      </c>
    </row>
    <row r="3022" customFormat="false" ht="15" hidden="false" customHeight="false" outlineLevel="0" collapsed="false">
      <c r="A3022" s="2" t="n">
        <v>25</v>
      </c>
      <c r="B3022" s="2" t="s">
        <v>24</v>
      </c>
      <c r="C3022" s="2" t="s">
        <v>30</v>
      </c>
      <c r="D3022" s="2" t="s">
        <v>25</v>
      </c>
      <c r="E3022" s="2" t="s">
        <v>20</v>
      </c>
      <c r="F3022" s="2" t="n">
        <v>64</v>
      </c>
      <c r="G3022" s="2" t="s">
        <v>20</v>
      </c>
      <c r="H3022" s="2" t="s">
        <v>20</v>
      </c>
      <c r="I3022" s="2" t="s">
        <v>21</v>
      </c>
      <c r="J3022" s="2" t="n">
        <v>21</v>
      </c>
      <c r="K3022" s="2" t="s">
        <v>44</v>
      </c>
      <c r="L3022" s="2" t="n">
        <v>71</v>
      </c>
      <c r="M3022" s="2" t="n">
        <v>11</v>
      </c>
      <c r="N3022" s="2" t="n">
        <v>-1</v>
      </c>
      <c r="O3022" s="2" t="n">
        <v>0</v>
      </c>
      <c r="P3022" s="2" t="s">
        <v>23</v>
      </c>
      <c r="Q3022" s="2" t="s">
        <v>20</v>
      </c>
    </row>
    <row r="3023" customFormat="false" ht="15" hidden="false" customHeight="false" outlineLevel="0" collapsed="false">
      <c r="A3023" s="2" t="n">
        <v>43</v>
      </c>
      <c r="B3023" s="2" t="s">
        <v>34</v>
      </c>
      <c r="C3023" s="2" t="s">
        <v>18</v>
      </c>
      <c r="D3023" s="2" t="s">
        <v>19</v>
      </c>
      <c r="E3023" s="2" t="s">
        <v>20</v>
      </c>
      <c r="F3023" s="2" t="n">
        <v>60</v>
      </c>
      <c r="G3023" s="2" t="s">
        <v>20</v>
      </c>
      <c r="H3023" s="2" t="s">
        <v>20</v>
      </c>
      <c r="I3023" s="2" t="s">
        <v>21</v>
      </c>
      <c r="J3023" s="2" t="n">
        <v>8</v>
      </c>
      <c r="K3023" s="2" t="s">
        <v>27</v>
      </c>
      <c r="L3023" s="2" t="n">
        <v>487</v>
      </c>
      <c r="M3023" s="2" t="n">
        <v>2</v>
      </c>
      <c r="N3023" s="2" t="n">
        <v>367</v>
      </c>
      <c r="O3023" s="2" t="n">
        <v>2</v>
      </c>
      <c r="P3023" s="2" t="s">
        <v>37</v>
      </c>
      <c r="Q3023" s="2" t="s">
        <v>20</v>
      </c>
    </row>
    <row r="3024" customFormat="false" ht="15" hidden="false" customHeight="false" outlineLevel="0" collapsed="false">
      <c r="A3024" s="2" t="n">
        <v>37</v>
      </c>
      <c r="B3024" s="2" t="s">
        <v>34</v>
      </c>
      <c r="C3024" s="2" t="s">
        <v>18</v>
      </c>
      <c r="D3024" s="2" t="s">
        <v>25</v>
      </c>
      <c r="E3024" s="2" t="s">
        <v>20</v>
      </c>
      <c r="F3024" s="2" t="n">
        <v>342</v>
      </c>
      <c r="G3024" s="2" t="s">
        <v>26</v>
      </c>
      <c r="H3024" s="2" t="s">
        <v>20</v>
      </c>
      <c r="I3024" s="2" t="s">
        <v>21</v>
      </c>
      <c r="J3024" s="2" t="n">
        <v>12</v>
      </c>
      <c r="K3024" s="2" t="s">
        <v>27</v>
      </c>
      <c r="L3024" s="2" t="n">
        <v>340</v>
      </c>
      <c r="M3024" s="2" t="n">
        <v>2</v>
      </c>
      <c r="N3024" s="2" t="n">
        <v>175</v>
      </c>
      <c r="O3024" s="2" t="n">
        <v>1</v>
      </c>
      <c r="P3024" s="2" t="s">
        <v>28</v>
      </c>
      <c r="Q3024" s="2" t="s">
        <v>20</v>
      </c>
    </row>
    <row r="3025" customFormat="false" ht="15" hidden="false" customHeight="false" outlineLevel="0" collapsed="false">
      <c r="A3025" s="2" t="n">
        <v>36</v>
      </c>
      <c r="B3025" s="2" t="s">
        <v>34</v>
      </c>
      <c r="C3025" s="2" t="s">
        <v>30</v>
      </c>
      <c r="D3025" s="2" t="s">
        <v>31</v>
      </c>
      <c r="E3025" s="2" t="s">
        <v>20</v>
      </c>
      <c r="F3025" s="2" t="n">
        <v>1830</v>
      </c>
      <c r="G3025" s="2" t="s">
        <v>20</v>
      </c>
      <c r="H3025" s="2" t="s">
        <v>20</v>
      </c>
      <c r="I3025" s="2" t="s">
        <v>21</v>
      </c>
      <c r="J3025" s="2" t="n">
        <v>14</v>
      </c>
      <c r="K3025" s="2" t="s">
        <v>22</v>
      </c>
      <c r="L3025" s="2" t="n">
        <v>183</v>
      </c>
      <c r="M3025" s="2" t="n">
        <v>1</v>
      </c>
      <c r="N3025" s="2" t="n">
        <v>91</v>
      </c>
      <c r="O3025" s="2" t="n">
        <v>11</v>
      </c>
      <c r="P3025" s="2" t="s">
        <v>28</v>
      </c>
      <c r="Q3025" s="2" t="s">
        <v>20</v>
      </c>
    </row>
    <row r="3026" customFormat="false" ht="15" hidden="false" customHeight="false" outlineLevel="0" collapsed="false">
      <c r="A3026" s="2" t="n">
        <v>49</v>
      </c>
      <c r="B3026" s="2" t="s">
        <v>29</v>
      </c>
      <c r="C3026" s="2" t="s">
        <v>45</v>
      </c>
      <c r="D3026" s="2" t="s">
        <v>31</v>
      </c>
      <c r="E3026" s="2" t="s">
        <v>20</v>
      </c>
      <c r="F3026" s="2" t="n">
        <v>1904</v>
      </c>
      <c r="G3026" s="2" t="s">
        <v>20</v>
      </c>
      <c r="H3026" s="2" t="s">
        <v>26</v>
      </c>
      <c r="I3026" s="2" t="s">
        <v>21</v>
      </c>
      <c r="J3026" s="2" t="n">
        <v>17</v>
      </c>
      <c r="K3026" s="2" t="s">
        <v>46</v>
      </c>
      <c r="L3026" s="2" t="n">
        <v>131</v>
      </c>
      <c r="M3026" s="2" t="n">
        <v>2</v>
      </c>
      <c r="N3026" s="2" t="n">
        <v>-1</v>
      </c>
      <c r="O3026" s="2" t="n">
        <v>0</v>
      </c>
      <c r="P3026" s="2" t="s">
        <v>23</v>
      </c>
      <c r="Q3026" s="2" t="s">
        <v>20</v>
      </c>
    </row>
    <row r="3027" customFormat="false" ht="15" hidden="false" customHeight="false" outlineLevel="0" collapsed="false">
      <c r="A3027" s="2" t="n">
        <v>38</v>
      </c>
      <c r="B3027" s="2" t="s">
        <v>29</v>
      </c>
      <c r="C3027" s="2" t="s">
        <v>30</v>
      </c>
      <c r="D3027" s="2" t="s">
        <v>31</v>
      </c>
      <c r="E3027" s="2" t="s">
        <v>20</v>
      </c>
      <c r="F3027" s="2" t="n">
        <v>16957</v>
      </c>
      <c r="G3027" s="2" t="s">
        <v>26</v>
      </c>
      <c r="H3027" s="2" t="s">
        <v>20</v>
      </c>
      <c r="I3027" s="2" t="s">
        <v>49</v>
      </c>
      <c r="J3027" s="2" t="n">
        <v>29</v>
      </c>
      <c r="K3027" s="2" t="s">
        <v>43</v>
      </c>
      <c r="L3027" s="2" t="n">
        <v>208</v>
      </c>
      <c r="M3027" s="2" t="n">
        <v>1</v>
      </c>
      <c r="N3027" s="2" t="n">
        <v>247</v>
      </c>
      <c r="O3027" s="2" t="n">
        <v>2</v>
      </c>
      <c r="P3027" s="2" t="s">
        <v>28</v>
      </c>
      <c r="Q3027" s="2" t="s">
        <v>20</v>
      </c>
    </row>
    <row r="3028" customFormat="false" ht="15" hidden="false" customHeight="false" outlineLevel="0" collapsed="false">
      <c r="A3028" s="2" t="n">
        <v>39</v>
      </c>
      <c r="B3028" s="2" t="s">
        <v>29</v>
      </c>
      <c r="C3028" s="2" t="s">
        <v>45</v>
      </c>
      <c r="D3028" s="2" t="s">
        <v>31</v>
      </c>
      <c r="E3028" s="2" t="s">
        <v>20</v>
      </c>
      <c r="F3028" s="2" t="n">
        <v>26</v>
      </c>
      <c r="G3028" s="2" t="s">
        <v>20</v>
      </c>
      <c r="H3028" s="2" t="s">
        <v>20</v>
      </c>
      <c r="I3028" s="2" t="s">
        <v>23</v>
      </c>
      <c r="J3028" s="2" t="n">
        <v>18</v>
      </c>
      <c r="K3028" s="2" t="s">
        <v>33</v>
      </c>
      <c r="L3028" s="2" t="n">
        <v>311</v>
      </c>
      <c r="M3028" s="2" t="n">
        <v>5</v>
      </c>
      <c r="N3028" s="2" t="n">
        <v>-1</v>
      </c>
      <c r="O3028" s="2" t="n">
        <v>0</v>
      </c>
      <c r="P3028" s="2" t="s">
        <v>23</v>
      </c>
      <c r="Q3028" s="2" t="s">
        <v>20</v>
      </c>
    </row>
    <row r="3029" customFormat="false" ht="15" hidden="false" customHeight="false" outlineLevel="0" collapsed="false">
      <c r="A3029" s="2" t="n">
        <v>40</v>
      </c>
      <c r="B3029" s="2" t="s">
        <v>29</v>
      </c>
      <c r="C3029" s="2" t="s">
        <v>18</v>
      </c>
      <c r="D3029" s="2" t="s">
        <v>31</v>
      </c>
      <c r="E3029" s="2" t="s">
        <v>20</v>
      </c>
      <c r="F3029" s="2" t="n">
        <v>0</v>
      </c>
      <c r="G3029" s="2" t="s">
        <v>20</v>
      </c>
      <c r="H3029" s="2" t="s">
        <v>20</v>
      </c>
      <c r="I3029" s="2" t="s">
        <v>21</v>
      </c>
      <c r="J3029" s="2" t="n">
        <v>10</v>
      </c>
      <c r="K3029" s="2" t="s">
        <v>46</v>
      </c>
      <c r="L3029" s="2" t="n">
        <v>147</v>
      </c>
      <c r="M3029" s="2" t="n">
        <v>1</v>
      </c>
      <c r="N3029" s="2" t="n">
        <v>96</v>
      </c>
      <c r="O3029" s="2" t="n">
        <v>8</v>
      </c>
      <c r="P3029" s="2" t="s">
        <v>50</v>
      </c>
      <c r="Q3029" s="2" t="s">
        <v>26</v>
      </c>
    </row>
    <row r="3030" customFormat="false" ht="15" hidden="false" customHeight="false" outlineLevel="0" collapsed="false">
      <c r="A3030" s="2" t="n">
        <v>34</v>
      </c>
      <c r="B3030" s="2" t="s">
        <v>40</v>
      </c>
      <c r="C3030" s="2" t="s">
        <v>18</v>
      </c>
      <c r="D3030" s="2" t="s">
        <v>25</v>
      </c>
      <c r="E3030" s="2" t="s">
        <v>20</v>
      </c>
      <c r="F3030" s="2" t="n">
        <v>79</v>
      </c>
      <c r="G3030" s="2" t="s">
        <v>26</v>
      </c>
      <c r="H3030" s="2" t="s">
        <v>20</v>
      </c>
      <c r="I3030" s="2" t="s">
        <v>23</v>
      </c>
      <c r="J3030" s="2" t="n">
        <v>23</v>
      </c>
      <c r="K3030" s="2" t="s">
        <v>27</v>
      </c>
      <c r="L3030" s="2" t="n">
        <v>83</v>
      </c>
      <c r="M3030" s="2" t="n">
        <v>1</v>
      </c>
      <c r="N3030" s="2" t="n">
        <v>-1</v>
      </c>
      <c r="O3030" s="2" t="n">
        <v>0</v>
      </c>
      <c r="P3030" s="2" t="s">
        <v>23</v>
      </c>
      <c r="Q3030" s="2" t="s">
        <v>20</v>
      </c>
    </row>
    <row r="3031" customFormat="false" ht="15" hidden="false" customHeight="false" outlineLevel="0" collapsed="false">
      <c r="A3031" s="2" t="n">
        <v>39</v>
      </c>
      <c r="B3031" s="2" t="s">
        <v>34</v>
      </c>
      <c r="C3031" s="2" t="s">
        <v>18</v>
      </c>
      <c r="D3031" s="2" t="s">
        <v>19</v>
      </c>
      <c r="E3031" s="2" t="s">
        <v>20</v>
      </c>
      <c r="F3031" s="2" t="n">
        <v>2303</v>
      </c>
      <c r="G3031" s="2" t="s">
        <v>26</v>
      </c>
      <c r="H3031" s="2" t="s">
        <v>20</v>
      </c>
      <c r="I3031" s="2" t="s">
        <v>23</v>
      </c>
      <c r="J3031" s="2" t="n">
        <v>17</v>
      </c>
      <c r="K3031" s="2" t="s">
        <v>33</v>
      </c>
      <c r="L3031" s="2" t="n">
        <v>775</v>
      </c>
      <c r="M3031" s="2" t="n">
        <v>3</v>
      </c>
      <c r="N3031" s="2" t="n">
        <v>-1</v>
      </c>
      <c r="O3031" s="2" t="n">
        <v>0</v>
      </c>
      <c r="P3031" s="2" t="s">
        <v>23</v>
      </c>
      <c r="Q3031" s="2" t="s">
        <v>26</v>
      </c>
    </row>
    <row r="3032" customFormat="false" ht="15" hidden="false" customHeight="false" outlineLevel="0" collapsed="false">
      <c r="A3032" s="2" t="n">
        <v>53</v>
      </c>
      <c r="B3032" s="2" t="s">
        <v>34</v>
      </c>
      <c r="C3032" s="2" t="s">
        <v>18</v>
      </c>
      <c r="D3032" s="2" t="s">
        <v>25</v>
      </c>
      <c r="E3032" s="2" t="s">
        <v>20</v>
      </c>
      <c r="F3032" s="2" t="n">
        <v>65</v>
      </c>
      <c r="G3032" s="2" t="s">
        <v>20</v>
      </c>
      <c r="H3032" s="2" t="s">
        <v>20</v>
      </c>
      <c r="I3032" s="2" t="s">
        <v>21</v>
      </c>
      <c r="J3032" s="2" t="n">
        <v>28</v>
      </c>
      <c r="K3032" s="2" t="s">
        <v>41</v>
      </c>
      <c r="L3032" s="2" t="n">
        <v>25</v>
      </c>
      <c r="M3032" s="2" t="n">
        <v>18</v>
      </c>
      <c r="N3032" s="2" t="n">
        <v>-1</v>
      </c>
      <c r="O3032" s="2" t="n">
        <v>0</v>
      </c>
      <c r="P3032" s="2" t="s">
        <v>23</v>
      </c>
      <c r="Q3032" s="2" t="s">
        <v>20</v>
      </c>
    </row>
    <row r="3033" customFormat="false" ht="15" hidden="false" customHeight="false" outlineLevel="0" collapsed="false">
      <c r="A3033" s="2" t="n">
        <v>44</v>
      </c>
      <c r="B3033" s="2" t="s">
        <v>29</v>
      </c>
      <c r="C3033" s="2" t="s">
        <v>18</v>
      </c>
      <c r="D3033" s="2" t="s">
        <v>31</v>
      </c>
      <c r="E3033" s="2" t="s">
        <v>20</v>
      </c>
      <c r="F3033" s="2" t="n">
        <v>332</v>
      </c>
      <c r="G3033" s="2" t="s">
        <v>26</v>
      </c>
      <c r="H3033" s="2" t="s">
        <v>20</v>
      </c>
      <c r="I3033" s="2" t="s">
        <v>21</v>
      </c>
      <c r="J3033" s="2" t="n">
        <v>23</v>
      </c>
      <c r="K3033" s="2" t="s">
        <v>44</v>
      </c>
      <c r="L3033" s="2" t="n">
        <v>497</v>
      </c>
      <c r="M3033" s="2" t="n">
        <v>5</v>
      </c>
      <c r="N3033" s="2" t="n">
        <v>-1</v>
      </c>
      <c r="O3033" s="2" t="n">
        <v>0</v>
      </c>
      <c r="P3033" s="2" t="s">
        <v>23</v>
      </c>
      <c r="Q3033" s="2" t="s">
        <v>20</v>
      </c>
    </row>
    <row r="3034" customFormat="false" ht="15" hidden="false" customHeight="false" outlineLevel="0" collapsed="false">
      <c r="A3034" s="2" t="n">
        <v>32</v>
      </c>
      <c r="B3034" s="2" t="s">
        <v>38</v>
      </c>
      <c r="C3034" s="2" t="s">
        <v>45</v>
      </c>
      <c r="D3034" s="2" t="s">
        <v>25</v>
      </c>
      <c r="E3034" s="2" t="s">
        <v>20</v>
      </c>
      <c r="F3034" s="2" t="n">
        <v>-399</v>
      </c>
      <c r="G3034" s="2" t="s">
        <v>26</v>
      </c>
      <c r="H3034" s="2" t="s">
        <v>20</v>
      </c>
      <c r="I3034" s="2" t="s">
        <v>23</v>
      </c>
      <c r="J3034" s="2" t="n">
        <v>2</v>
      </c>
      <c r="K3034" s="2" t="s">
        <v>33</v>
      </c>
      <c r="L3034" s="2" t="n">
        <v>180</v>
      </c>
      <c r="M3034" s="2" t="n">
        <v>1</v>
      </c>
      <c r="N3034" s="2" t="n">
        <v>-1</v>
      </c>
      <c r="O3034" s="2" t="n">
        <v>0</v>
      </c>
      <c r="P3034" s="2" t="s">
        <v>23</v>
      </c>
      <c r="Q3034" s="2" t="s">
        <v>20</v>
      </c>
    </row>
    <row r="3035" customFormat="false" ht="15" hidden="false" customHeight="false" outlineLevel="0" collapsed="false">
      <c r="A3035" s="2" t="n">
        <v>50</v>
      </c>
      <c r="B3035" s="2" t="s">
        <v>38</v>
      </c>
      <c r="C3035" s="2" t="s">
        <v>45</v>
      </c>
      <c r="D3035" s="2" t="s">
        <v>25</v>
      </c>
      <c r="E3035" s="2" t="s">
        <v>20</v>
      </c>
      <c r="F3035" s="2" t="n">
        <v>-54</v>
      </c>
      <c r="G3035" s="2" t="s">
        <v>26</v>
      </c>
      <c r="H3035" s="2" t="s">
        <v>26</v>
      </c>
      <c r="I3035" s="2" t="s">
        <v>21</v>
      </c>
      <c r="J3035" s="2" t="n">
        <v>13</v>
      </c>
      <c r="K3035" s="2" t="s">
        <v>27</v>
      </c>
      <c r="L3035" s="2" t="n">
        <v>698</v>
      </c>
      <c r="M3035" s="2" t="n">
        <v>2</v>
      </c>
      <c r="N3035" s="2" t="n">
        <v>292</v>
      </c>
      <c r="O3035" s="2" t="n">
        <v>1</v>
      </c>
      <c r="P3035" s="2" t="s">
        <v>28</v>
      </c>
      <c r="Q3035" s="2" t="s">
        <v>26</v>
      </c>
    </row>
    <row r="3036" customFormat="false" ht="15" hidden="false" customHeight="false" outlineLevel="0" collapsed="false">
      <c r="A3036" s="2" t="n">
        <v>29</v>
      </c>
      <c r="B3036" s="2" t="s">
        <v>24</v>
      </c>
      <c r="C3036" s="2" t="s">
        <v>18</v>
      </c>
      <c r="D3036" s="2" t="s">
        <v>19</v>
      </c>
      <c r="E3036" s="2" t="s">
        <v>20</v>
      </c>
      <c r="F3036" s="2" t="n">
        <v>-102</v>
      </c>
      <c r="G3036" s="2" t="s">
        <v>20</v>
      </c>
      <c r="H3036" s="2" t="s">
        <v>20</v>
      </c>
      <c r="I3036" s="2" t="s">
        <v>23</v>
      </c>
      <c r="J3036" s="2" t="n">
        <v>4</v>
      </c>
      <c r="K3036" s="2" t="s">
        <v>44</v>
      </c>
      <c r="L3036" s="2" t="n">
        <v>134</v>
      </c>
      <c r="M3036" s="2" t="n">
        <v>1</v>
      </c>
      <c r="N3036" s="2" t="n">
        <v>-1</v>
      </c>
      <c r="O3036" s="2" t="n">
        <v>0</v>
      </c>
      <c r="P3036" s="2" t="s">
        <v>23</v>
      </c>
      <c r="Q3036" s="2" t="s">
        <v>20</v>
      </c>
    </row>
    <row r="3037" customFormat="false" ht="15" hidden="false" customHeight="false" outlineLevel="0" collapsed="false">
      <c r="A3037" s="2" t="n">
        <v>55</v>
      </c>
      <c r="B3037" s="2" t="s">
        <v>17</v>
      </c>
      <c r="C3037" s="2" t="s">
        <v>18</v>
      </c>
      <c r="D3037" s="2" t="s">
        <v>31</v>
      </c>
      <c r="E3037" s="2" t="s">
        <v>20</v>
      </c>
      <c r="F3037" s="2" t="n">
        <v>4809</v>
      </c>
      <c r="G3037" s="2" t="s">
        <v>26</v>
      </c>
      <c r="H3037" s="2" t="s">
        <v>20</v>
      </c>
      <c r="I3037" s="2" t="s">
        <v>21</v>
      </c>
      <c r="J3037" s="2" t="n">
        <v>21</v>
      </c>
      <c r="K3037" s="2" t="s">
        <v>46</v>
      </c>
      <c r="L3037" s="2" t="n">
        <v>223</v>
      </c>
      <c r="M3037" s="2" t="n">
        <v>2</v>
      </c>
      <c r="N3037" s="2" t="n">
        <v>186</v>
      </c>
      <c r="O3037" s="2" t="n">
        <v>3</v>
      </c>
      <c r="P3037" s="2" t="s">
        <v>37</v>
      </c>
      <c r="Q3037" s="2" t="s">
        <v>20</v>
      </c>
    </row>
    <row r="3038" customFormat="false" ht="15" hidden="false" customHeight="false" outlineLevel="0" collapsed="false">
      <c r="A3038" s="2" t="n">
        <v>73</v>
      </c>
      <c r="B3038" s="2" t="s">
        <v>48</v>
      </c>
      <c r="C3038" s="2" t="s">
        <v>18</v>
      </c>
      <c r="D3038" s="2" t="s">
        <v>19</v>
      </c>
      <c r="E3038" s="2" t="s">
        <v>20</v>
      </c>
      <c r="F3038" s="2" t="n">
        <v>279</v>
      </c>
      <c r="G3038" s="2" t="s">
        <v>20</v>
      </c>
      <c r="H3038" s="2" t="s">
        <v>20</v>
      </c>
      <c r="I3038" s="2" t="s">
        <v>21</v>
      </c>
      <c r="J3038" s="2" t="n">
        <v>28</v>
      </c>
      <c r="K3038" s="2" t="s">
        <v>43</v>
      </c>
      <c r="L3038" s="2" t="n">
        <v>399</v>
      </c>
      <c r="M3038" s="2" t="n">
        <v>3</v>
      </c>
      <c r="N3038" s="2" t="n">
        <v>-1</v>
      </c>
      <c r="O3038" s="2" t="n">
        <v>0</v>
      </c>
      <c r="P3038" s="2" t="s">
        <v>23</v>
      </c>
      <c r="Q3038" s="2" t="s">
        <v>26</v>
      </c>
    </row>
    <row r="3039" customFormat="false" ht="15" hidden="false" customHeight="false" outlineLevel="0" collapsed="false">
      <c r="A3039" s="2" t="n">
        <v>52</v>
      </c>
      <c r="B3039" s="2" t="s">
        <v>38</v>
      </c>
      <c r="C3039" s="2" t="s">
        <v>18</v>
      </c>
      <c r="D3039" s="2" t="s">
        <v>25</v>
      </c>
      <c r="E3039" s="2" t="s">
        <v>20</v>
      </c>
      <c r="F3039" s="2" t="n">
        <v>11</v>
      </c>
      <c r="G3039" s="2" t="s">
        <v>26</v>
      </c>
      <c r="H3039" s="2" t="s">
        <v>20</v>
      </c>
      <c r="I3039" s="2" t="s">
        <v>23</v>
      </c>
      <c r="J3039" s="2" t="n">
        <v>13</v>
      </c>
      <c r="K3039" s="2" t="s">
        <v>27</v>
      </c>
      <c r="L3039" s="2" t="n">
        <v>420</v>
      </c>
      <c r="M3039" s="2" t="n">
        <v>1</v>
      </c>
      <c r="N3039" s="2" t="n">
        <v>-1</v>
      </c>
      <c r="O3039" s="2" t="n">
        <v>0</v>
      </c>
      <c r="P3039" s="2" t="s">
        <v>23</v>
      </c>
      <c r="Q3039" s="2" t="s">
        <v>20</v>
      </c>
    </row>
    <row r="3040" customFormat="false" ht="15" hidden="false" customHeight="false" outlineLevel="0" collapsed="false">
      <c r="A3040" s="2" t="n">
        <v>49</v>
      </c>
      <c r="B3040" s="2" t="s">
        <v>24</v>
      </c>
      <c r="C3040" s="2" t="s">
        <v>18</v>
      </c>
      <c r="D3040" s="2" t="s">
        <v>25</v>
      </c>
      <c r="E3040" s="2" t="s">
        <v>20</v>
      </c>
      <c r="F3040" s="2" t="n">
        <v>2201</v>
      </c>
      <c r="G3040" s="2" t="s">
        <v>26</v>
      </c>
      <c r="H3040" s="2" t="s">
        <v>20</v>
      </c>
      <c r="I3040" s="2" t="s">
        <v>23</v>
      </c>
      <c r="J3040" s="2" t="n">
        <v>15</v>
      </c>
      <c r="K3040" s="2" t="s">
        <v>27</v>
      </c>
      <c r="L3040" s="2" t="n">
        <v>233</v>
      </c>
      <c r="M3040" s="2" t="n">
        <v>3</v>
      </c>
      <c r="N3040" s="2" t="n">
        <v>-1</v>
      </c>
      <c r="O3040" s="2" t="n">
        <v>0</v>
      </c>
      <c r="P3040" s="2" t="s">
        <v>23</v>
      </c>
      <c r="Q3040" s="2" t="s">
        <v>20</v>
      </c>
    </row>
    <row r="3041" customFormat="false" ht="15" hidden="false" customHeight="false" outlineLevel="0" collapsed="false">
      <c r="A3041" s="2" t="n">
        <v>63</v>
      </c>
      <c r="B3041" s="2" t="s">
        <v>48</v>
      </c>
      <c r="C3041" s="2" t="s">
        <v>18</v>
      </c>
      <c r="D3041" s="2" t="s">
        <v>19</v>
      </c>
      <c r="E3041" s="2" t="s">
        <v>20</v>
      </c>
      <c r="F3041" s="2" t="n">
        <v>8044</v>
      </c>
      <c r="G3041" s="2" t="s">
        <v>20</v>
      </c>
      <c r="H3041" s="2" t="s">
        <v>20</v>
      </c>
      <c r="I3041" s="2" t="s">
        <v>21</v>
      </c>
      <c r="J3041" s="2" t="n">
        <v>12</v>
      </c>
      <c r="K3041" s="2" t="s">
        <v>46</v>
      </c>
      <c r="L3041" s="2" t="n">
        <v>702</v>
      </c>
      <c r="M3041" s="2" t="n">
        <v>1</v>
      </c>
      <c r="N3041" s="2" t="n">
        <v>-1</v>
      </c>
      <c r="O3041" s="2" t="n">
        <v>0</v>
      </c>
      <c r="P3041" s="2" t="s">
        <v>23</v>
      </c>
      <c r="Q3041" s="2" t="s">
        <v>20</v>
      </c>
    </row>
    <row r="3042" customFormat="false" ht="15" hidden="false" customHeight="false" outlineLevel="0" collapsed="false">
      <c r="A3042" s="2" t="n">
        <v>34</v>
      </c>
      <c r="B3042" s="2" t="s">
        <v>40</v>
      </c>
      <c r="C3042" s="2" t="s">
        <v>18</v>
      </c>
      <c r="D3042" s="2" t="s">
        <v>25</v>
      </c>
      <c r="E3042" s="2" t="s">
        <v>20</v>
      </c>
      <c r="F3042" s="2" t="n">
        <v>2374</v>
      </c>
      <c r="G3042" s="2" t="s">
        <v>26</v>
      </c>
      <c r="H3042" s="2" t="s">
        <v>20</v>
      </c>
      <c r="I3042" s="2" t="s">
        <v>21</v>
      </c>
      <c r="J3042" s="2" t="n">
        <v>9</v>
      </c>
      <c r="K3042" s="2" t="s">
        <v>46</v>
      </c>
      <c r="L3042" s="2" t="n">
        <v>161</v>
      </c>
      <c r="M3042" s="2" t="n">
        <v>1</v>
      </c>
      <c r="N3042" s="2" t="n">
        <v>209</v>
      </c>
      <c r="O3042" s="2" t="n">
        <v>2</v>
      </c>
      <c r="P3042" s="2" t="s">
        <v>28</v>
      </c>
      <c r="Q3042" s="2" t="s">
        <v>26</v>
      </c>
    </row>
    <row r="3043" customFormat="false" ht="15" hidden="false" customHeight="false" outlineLevel="0" collapsed="false">
      <c r="A3043" s="2" t="n">
        <v>32</v>
      </c>
      <c r="B3043" s="2" t="s">
        <v>40</v>
      </c>
      <c r="C3043" s="2" t="s">
        <v>30</v>
      </c>
      <c r="D3043" s="2" t="s">
        <v>25</v>
      </c>
      <c r="E3043" s="2" t="s">
        <v>20</v>
      </c>
      <c r="F3043" s="2" t="n">
        <v>92</v>
      </c>
      <c r="G3043" s="2" t="s">
        <v>26</v>
      </c>
      <c r="H3043" s="2" t="s">
        <v>20</v>
      </c>
      <c r="I3043" s="2" t="s">
        <v>21</v>
      </c>
      <c r="J3043" s="2" t="n">
        <v>18</v>
      </c>
      <c r="K3043" s="2" t="s">
        <v>27</v>
      </c>
      <c r="L3043" s="2" t="n">
        <v>110</v>
      </c>
      <c r="M3043" s="2" t="n">
        <v>1</v>
      </c>
      <c r="N3043" s="2" t="n">
        <v>315</v>
      </c>
      <c r="O3043" s="2" t="n">
        <v>2</v>
      </c>
      <c r="P3043" s="2" t="s">
        <v>28</v>
      </c>
      <c r="Q3043" s="2" t="s">
        <v>20</v>
      </c>
    </row>
    <row r="3044" customFormat="false" ht="15" hidden="false" customHeight="false" outlineLevel="0" collapsed="false">
      <c r="A3044" s="2" t="n">
        <v>49</v>
      </c>
      <c r="B3044" s="2" t="s">
        <v>47</v>
      </c>
      <c r="C3044" s="2" t="s">
        <v>18</v>
      </c>
      <c r="D3044" s="2" t="s">
        <v>31</v>
      </c>
      <c r="E3044" s="2" t="s">
        <v>20</v>
      </c>
      <c r="F3044" s="2" t="n">
        <v>443</v>
      </c>
      <c r="G3044" s="2" t="s">
        <v>20</v>
      </c>
      <c r="H3044" s="2" t="s">
        <v>20</v>
      </c>
      <c r="I3044" s="2" t="s">
        <v>21</v>
      </c>
      <c r="J3044" s="2" t="n">
        <v>8</v>
      </c>
      <c r="K3044" s="2" t="s">
        <v>41</v>
      </c>
      <c r="L3044" s="2" t="n">
        <v>27</v>
      </c>
      <c r="M3044" s="2" t="n">
        <v>6</v>
      </c>
      <c r="N3044" s="2" t="n">
        <v>-1</v>
      </c>
      <c r="O3044" s="2" t="n">
        <v>0</v>
      </c>
      <c r="P3044" s="2" t="s">
        <v>23</v>
      </c>
      <c r="Q3044" s="2" t="s">
        <v>20</v>
      </c>
    </row>
    <row r="3045" customFormat="false" ht="15" hidden="false" customHeight="false" outlineLevel="0" collapsed="false">
      <c r="A3045" s="2" t="n">
        <v>40</v>
      </c>
      <c r="B3045" s="2" t="s">
        <v>34</v>
      </c>
      <c r="C3045" s="2" t="s">
        <v>18</v>
      </c>
      <c r="D3045" s="2" t="s">
        <v>19</v>
      </c>
      <c r="E3045" s="2" t="s">
        <v>20</v>
      </c>
      <c r="F3045" s="2" t="n">
        <v>1397</v>
      </c>
      <c r="G3045" s="2" t="s">
        <v>26</v>
      </c>
      <c r="H3045" s="2" t="s">
        <v>20</v>
      </c>
      <c r="I3045" s="2" t="s">
        <v>49</v>
      </c>
      <c r="J3045" s="2" t="n">
        <v>12</v>
      </c>
      <c r="K3045" s="2" t="s">
        <v>27</v>
      </c>
      <c r="L3045" s="2" t="n">
        <v>58</v>
      </c>
      <c r="M3045" s="2" t="n">
        <v>2</v>
      </c>
      <c r="N3045" s="2" t="n">
        <v>334</v>
      </c>
      <c r="O3045" s="2" t="n">
        <v>1</v>
      </c>
      <c r="P3045" s="2" t="s">
        <v>28</v>
      </c>
      <c r="Q3045" s="2" t="s">
        <v>20</v>
      </c>
    </row>
    <row r="3046" customFormat="false" ht="15" hidden="false" customHeight="false" outlineLevel="0" collapsed="false">
      <c r="A3046" s="2" t="n">
        <v>53</v>
      </c>
      <c r="B3046" s="2" t="s">
        <v>39</v>
      </c>
      <c r="C3046" s="2" t="s">
        <v>18</v>
      </c>
      <c r="D3046" s="2" t="s">
        <v>23</v>
      </c>
      <c r="E3046" s="2" t="s">
        <v>20</v>
      </c>
      <c r="F3046" s="2" t="n">
        <v>7</v>
      </c>
      <c r="G3046" s="2" t="s">
        <v>20</v>
      </c>
      <c r="H3046" s="2" t="s">
        <v>20</v>
      </c>
      <c r="I3046" s="2" t="s">
        <v>21</v>
      </c>
      <c r="J3046" s="2" t="n">
        <v>20</v>
      </c>
      <c r="K3046" s="2" t="s">
        <v>46</v>
      </c>
      <c r="L3046" s="2" t="n">
        <v>68</v>
      </c>
      <c r="M3046" s="2" t="n">
        <v>1</v>
      </c>
      <c r="N3046" s="2" t="n">
        <v>-1</v>
      </c>
      <c r="O3046" s="2" t="n">
        <v>0</v>
      </c>
      <c r="P3046" s="2" t="s">
        <v>23</v>
      </c>
      <c r="Q3046" s="2" t="s">
        <v>20</v>
      </c>
    </row>
    <row r="3047" customFormat="false" ht="15" hidden="false" customHeight="false" outlineLevel="0" collapsed="false">
      <c r="A3047" s="2" t="n">
        <v>53</v>
      </c>
      <c r="B3047" s="2" t="s">
        <v>38</v>
      </c>
      <c r="C3047" s="2" t="s">
        <v>18</v>
      </c>
      <c r="D3047" s="2" t="s">
        <v>31</v>
      </c>
      <c r="E3047" s="2" t="s">
        <v>20</v>
      </c>
      <c r="F3047" s="2" t="n">
        <v>3177</v>
      </c>
      <c r="G3047" s="2" t="s">
        <v>20</v>
      </c>
      <c r="H3047" s="2" t="s">
        <v>20</v>
      </c>
      <c r="I3047" s="2" t="s">
        <v>21</v>
      </c>
      <c r="J3047" s="2" t="n">
        <v>8</v>
      </c>
      <c r="K3047" s="2" t="s">
        <v>41</v>
      </c>
      <c r="L3047" s="2" t="n">
        <v>92</v>
      </c>
      <c r="M3047" s="2" t="n">
        <v>2</v>
      </c>
      <c r="N3047" s="2" t="n">
        <v>-1</v>
      </c>
      <c r="O3047" s="2" t="n">
        <v>0</v>
      </c>
      <c r="P3047" s="2" t="s">
        <v>23</v>
      </c>
      <c r="Q3047" s="2" t="s">
        <v>20</v>
      </c>
    </row>
    <row r="3048" customFormat="false" ht="15" hidden="false" customHeight="false" outlineLevel="0" collapsed="false">
      <c r="A3048" s="2" t="n">
        <v>43</v>
      </c>
      <c r="B3048" s="2" t="s">
        <v>34</v>
      </c>
      <c r="C3048" s="2" t="s">
        <v>18</v>
      </c>
      <c r="D3048" s="2" t="s">
        <v>19</v>
      </c>
      <c r="E3048" s="2" t="s">
        <v>20</v>
      </c>
      <c r="F3048" s="2" t="n">
        <v>232</v>
      </c>
      <c r="G3048" s="2" t="s">
        <v>20</v>
      </c>
      <c r="H3048" s="2" t="s">
        <v>26</v>
      </c>
      <c r="I3048" s="2" t="s">
        <v>21</v>
      </c>
      <c r="J3048" s="2" t="n">
        <v>15</v>
      </c>
      <c r="K3048" s="2" t="s">
        <v>27</v>
      </c>
      <c r="L3048" s="2" t="n">
        <v>45</v>
      </c>
      <c r="M3048" s="2" t="n">
        <v>1</v>
      </c>
      <c r="N3048" s="2" t="n">
        <v>-1</v>
      </c>
      <c r="O3048" s="2" t="n">
        <v>0</v>
      </c>
      <c r="P3048" s="2" t="s">
        <v>23</v>
      </c>
      <c r="Q3048" s="2" t="s">
        <v>20</v>
      </c>
    </row>
    <row r="3049" customFormat="false" ht="15" hidden="false" customHeight="false" outlineLevel="0" collapsed="false">
      <c r="A3049" s="2" t="n">
        <v>35</v>
      </c>
      <c r="B3049" s="2" t="s">
        <v>29</v>
      </c>
      <c r="C3049" s="2" t="s">
        <v>30</v>
      </c>
      <c r="D3049" s="2" t="s">
        <v>25</v>
      </c>
      <c r="E3049" s="2" t="s">
        <v>20</v>
      </c>
      <c r="F3049" s="2" t="n">
        <v>81</v>
      </c>
      <c r="G3049" s="2" t="s">
        <v>26</v>
      </c>
      <c r="H3049" s="2" t="s">
        <v>20</v>
      </c>
      <c r="I3049" s="2" t="s">
        <v>21</v>
      </c>
      <c r="J3049" s="2" t="n">
        <v>29</v>
      </c>
      <c r="K3049" s="2" t="s">
        <v>43</v>
      </c>
      <c r="L3049" s="2" t="n">
        <v>79</v>
      </c>
      <c r="M3049" s="2" t="n">
        <v>1</v>
      </c>
      <c r="N3049" s="2" t="n">
        <v>-1</v>
      </c>
      <c r="O3049" s="2" t="n">
        <v>0</v>
      </c>
      <c r="P3049" s="2" t="s">
        <v>23</v>
      </c>
      <c r="Q3049" s="2" t="s">
        <v>20</v>
      </c>
    </row>
    <row r="3050" customFormat="false" ht="15" hidden="false" customHeight="false" outlineLevel="0" collapsed="false">
      <c r="A3050" s="2" t="n">
        <v>35</v>
      </c>
      <c r="B3050" s="2" t="s">
        <v>24</v>
      </c>
      <c r="C3050" s="2" t="s">
        <v>30</v>
      </c>
      <c r="D3050" s="2" t="s">
        <v>25</v>
      </c>
      <c r="E3050" s="2" t="s">
        <v>20</v>
      </c>
      <c r="F3050" s="2" t="n">
        <v>414</v>
      </c>
      <c r="G3050" s="2" t="s">
        <v>26</v>
      </c>
      <c r="H3050" s="2" t="s">
        <v>20</v>
      </c>
      <c r="I3050" s="2" t="s">
        <v>21</v>
      </c>
      <c r="J3050" s="2" t="n">
        <v>20</v>
      </c>
      <c r="K3050" s="2" t="s">
        <v>32</v>
      </c>
      <c r="L3050" s="2" t="n">
        <v>11</v>
      </c>
      <c r="M3050" s="2" t="n">
        <v>5</v>
      </c>
      <c r="N3050" s="2" t="n">
        <v>319</v>
      </c>
      <c r="O3050" s="2" t="n">
        <v>2</v>
      </c>
      <c r="P3050" s="2" t="s">
        <v>37</v>
      </c>
      <c r="Q3050" s="2" t="s">
        <v>20</v>
      </c>
    </row>
    <row r="3051" customFormat="false" ht="15" hidden="false" customHeight="false" outlineLevel="0" collapsed="false">
      <c r="A3051" s="2" t="n">
        <v>25</v>
      </c>
      <c r="B3051" s="2" t="s">
        <v>42</v>
      </c>
      <c r="C3051" s="2" t="s">
        <v>30</v>
      </c>
      <c r="D3051" s="2" t="s">
        <v>31</v>
      </c>
      <c r="E3051" s="2" t="s">
        <v>20</v>
      </c>
      <c r="F3051" s="2" t="n">
        <v>1433</v>
      </c>
      <c r="G3051" s="2" t="s">
        <v>26</v>
      </c>
      <c r="H3051" s="2" t="s">
        <v>20</v>
      </c>
      <c r="I3051" s="2" t="s">
        <v>21</v>
      </c>
      <c r="J3051" s="2" t="n">
        <v>15</v>
      </c>
      <c r="K3051" s="2" t="s">
        <v>27</v>
      </c>
      <c r="L3051" s="2" t="n">
        <v>520</v>
      </c>
      <c r="M3051" s="2" t="n">
        <v>1</v>
      </c>
      <c r="N3051" s="2" t="n">
        <v>-1</v>
      </c>
      <c r="O3051" s="2" t="n">
        <v>0</v>
      </c>
      <c r="P3051" s="2" t="s">
        <v>23</v>
      </c>
      <c r="Q3051" s="2" t="s">
        <v>20</v>
      </c>
    </row>
    <row r="3052" customFormat="false" ht="15" hidden="false" customHeight="false" outlineLevel="0" collapsed="false">
      <c r="A3052" s="2" t="n">
        <v>31</v>
      </c>
      <c r="B3052" s="2" t="s">
        <v>38</v>
      </c>
      <c r="C3052" s="2" t="s">
        <v>30</v>
      </c>
      <c r="D3052" s="2" t="s">
        <v>23</v>
      </c>
      <c r="E3052" s="2" t="s">
        <v>20</v>
      </c>
      <c r="F3052" s="2" t="n">
        <v>187</v>
      </c>
      <c r="G3052" s="2" t="s">
        <v>20</v>
      </c>
      <c r="H3052" s="2" t="s">
        <v>20</v>
      </c>
      <c r="I3052" s="2" t="s">
        <v>21</v>
      </c>
      <c r="J3052" s="2" t="n">
        <v>17</v>
      </c>
      <c r="K3052" s="2" t="s">
        <v>44</v>
      </c>
      <c r="L3052" s="2" t="n">
        <v>86</v>
      </c>
      <c r="M3052" s="2" t="n">
        <v>1</v>
      </c>
      <c r="N3052" s="2" t="n">
        <v>-1</v>
      </c>
      <c r="O3052" s="2" t="n">
        <v>0</v>
      </c>
      <c r="P3052" s="2" t="s">
        <v>23</v>
      </c>
      <c r="Q3052" s="2" t="s">
        <v>20</v>
      </c>
    </row>
    <row r="3053" customFormat="false" ht="15" hidden="false" customHeight="false" outlineLevel="0" collapsed="false">
      <c r="A3053" s="2" t="n">
        <v>48</v>
      </c>
      <c r="B3053" s="2" t="s">
        <v>29</v>
      </c>
      <c r="C3053" s="2" t="s">
        <v>18</v>
      </c>
      <c r="D3053" s="2" t="s">
        <v>31</v>
      </c>
      <c r="E3053" s="2" t="s">
        <v>20</v>
      </c>
      <c r="F3053" s="2" t="n">
        <v>0</v>
      </c>
      <c r="G3053" s="2" t="s">
        <v>20</v>
      </c>
      <c r="H3053" s="2" t="s">
        <v>20</v>
      </c>
      <c r="I3053" s="2" t="s">
        <v>21</v>
      </c>
      <c r="J3053" s="2" t="n">
        <v>28</v>
      </c>
      <c r="K3053" s="2" t="s">
        <v>41</v>
      </c>
      <c r="L3053" s="2" t="n">
        <v>16</v>
      </c>
      <c r="M3053" s="2" t="n">
        <v>16</v>
      </c>
      <c r="N3053" s="2" t="n">
        <v>-1</v>
      </c>
      <c r="O3053" s="2" t="n">
        <v>0</v>
      </c>
      <c r="P3053" s="2" t="s">
        <v>23</v>
      </c>
      <c r="Q3053" s="2" t="s">
        <v>20</v>
      </c>
    </row>
    <row r="3054" customFormat="false" ht="15" hidden="false" customHeight="false" outlineLevel="0" collapsed="false">
      <c r="A3054" s="2" t="n">
        <v>40</v>
      </c>
      <c r="B3054" s="2" t="s">
        <v>47</v>
      </c>
      <c r="C3054" s="2" t="s">
        <v>18</v>
      </c>
      <c r="D3054" s="2" t="s">
        <v>25</v>
      </c>
      <c r="E3054" s="2" t="s">
        <v>20</v>
      </c>
      <c r="F3054" s="2" t="n">
        <v>4610</v>
      </c>
      <c r="G3054" s="2" t="s">
        <v>20</v>
      </c>
      <c r="H3054" s="2" t="s">
        <v>20</v>
      </c>
      <c r="I3054" s="2" t="s">
        <v>21</v>
      </c>
      <c r="J3054" s="2" t="n">
        <v>14</v>
      </c>
      <c r="K3054" s="2" t="s">
        <v>41</v>
      </c>
      <c r="L3054" s="2" t="n">
        <v>154</v>
      </c>
      <c r="M3054" s="2" t="n">
        <v>2</v>
      </c>
      <c r="N3054" s="2" t="n">
        <v>-1</v>
      </c>
      <c r="O3054" s="2" t="n">
        <v>0</v>
      </c>
      <c r="P3054" s="2" t="s">
        <v>23</v>
      </c>
      <c r="Q3054" s="2" t="s">
        <v>20</v>
      </c>
    </row>
    <row r="3055" customFormat="false" ht="15" hidden="false" customHeight="false" outlineLevel="0" collapsed="false">
      <c r="A3055" s="2" t="n">
        <v>46</v>
      </c>
      <c r="B3055" s="2" t="s">
        <v>34</v>
      </c>
      <c r="C3055" s="2" t="s">
        <v>18</v>
      </c>
      <c r="D3055" s="2" t="s">
        <v>19</v>
      </c>
      <c r="E3055" s="2" t="s">
        <v>20</v>
      </c>
      <c r="F3055" s="2" t="n">
        <v>1429</v>
      </c>
      <c r="G3055" s="2" t="s">
        <v>26</v>
      </c>
      <c r="H3055" s="2" t="s">
        <v>20</v>
      </c>
      <c r="I3055" s="2" t="s">
        <v>23</v>
      </c>
      <c r="J3055" s="2" t="n">
        <v>14</v>
      </c>
      <c r="K3055" s="2" t="s">
        <v>27</v>
      </c>
      <c r="L3055" s="2" t="n">
        <v>91</v>
      </c>
      <c r="M3055" s="2" t="n">
        <v>1</v>
      </c>
      <c r="N3055" s="2" t="n">
        <v>-1</v>
      </c>
      <c r="O3055" s="2" t="n">
        <v>0</v>
      </c>
      <c r="P3055" s="2" t="s">
        <v>23</v>
      </c>
      <c r="Q3055" s="2" t="s">
        <v>20</v>
      </c>
    </row>
    <row r="3056" customFormat="false" ht="15" hidden="false" customHeight="false" outlineLevel="0" collapsed="false">
      <c r="A3056" s="2" t="n">
        <v>30</v>
      </c>
      <c r="B3056" s="2" t="s">
        <v>24</v>
      </c>
      <c r="C3056" s="2" t="s">
        <v>30</v>
      </c>
      <c r="D3056" s="2" t="s">
        <v>25</v>
      </c>
      <c r="E3056" s="2" t="s">
        <v>20</v>
      </c>
      <c r="F3056" s="2" t="n">
        <v>334</v>
      </c>
      <c r="G3056" s="2" t="s">
        <v>20</v>
      </c>
      <c r="H3056" s="2" t="s">
        <v>20</v>
      </c>
      <c r="I3056" s="2" t="s">
        <v>21</v>
      </c>
      <c r="J3056" s="2" t="n">
        <v>29</v>
      </c>
      <c r="K3056" s="2" t="s">
        <v>43</v>
      </c>
      <c r="L3056" s="2" t="n">
        <v>389</v>
      </c>
      <c r="M3056" s="2" t="n">
        <v>2</v>
      </c>
      <c r="N3056" s="2" t="n">
        <v>-1</v>
      </c>
      <c r="O3056" s="2" t="n">
        <v>0</v>
      </c>
      <c r="P3056" s="2" t="s">
        <v>23</v>
      </c>
      <c r="Q3056" s="2" t="s">
        <v>20</v>
      </c>
    </row>
    <row r="3057" customFormat="false" ht="15" hidden="false" customHeight="false" outlineLevel="0" collapsed="false">
      <c r="A3057" s="2" t="n">
        <v>47</v>
      </c>
      <c r="B3057" s="2" t="s">
        <v>24</v>
      </c>
      <c r="C3057" s="2" t="s">
        <v>18</v>
      </c>
      <c r="D3057" s="2" t="s">
        <v>25</v>
      </c>
      <c r="E3057" s="2" t="s">
        <v>20</v>
      </c>
      <c r="F3057" s="2" t="n">
        <v>2</v>
      </c>
      <c r="G3057" s="2" t="s">
        <v>20</v>
      </c>
      <c r="H3057" s="2" t="s">
        <v>26</v>
      </c>
      <c r="I3057" s="2" t="s">
        <v>21</v>
      </c>
      <c r="J3057" s="2" t="n">
        <v>21</v>
      </c>
      <c r="K3057" s="2" t="s">
        <v>44</v>
      </c>
      <c r="L3057" s="2" t="n">
        <v>71</v>
      </c>
      <c r="M3057" s="2" t="n">
        <v>15</v>
      </c>
      <c r="N3057" s="2" t="n">
        <v>-1</v>
      </c>
      <c r="O3057" s="2" t="n">
        <v>0</v>
      </c>
      <c r="P3057" s="2" t="s">
        <v>23</v>
      </c>
      <c r="Q3057" s="2" t="s">
        <v>20</v>
      </c>
    </row>
    <row r="3058" customFormat="false" ht="15" hidden="false" customHeight="false" outlineLevel="0" collapsed="false">
      <c r="A3058" s="2" t="n">
        <v>23</v>
      </c>
      <c r="B3058" s="2" t="s">
        <v>24</v>
      </c>
      <c r="C3058" s="2" t="s">
        <v>30</v>
      </c>
      <c r="D3058" s="2" t="s">
        <v>25</v>
      </c>
      <c r="E3058" s="2" t="s">
        <v>20</v>
      </c>
      <c r="F3058" s="2" t="n">
        <v>500</v>
      </c>
      <c r="G3058" s="2" t="s">
        <v>26</v>
      </c>
      <c r="H3058" s="2" t="s">
        <v>20</v>
      </c>
      <c r="I3058" s="2" t="s">
        <v>23</v>
      </c>
      <c r="J3058" s="2" t="n">
        <v>4</v>
      </c>
      <c r="K3058" s="2" t="s">
        <v>33</v>
      </c>
      <c r="L3058" s="2" t="n">
        <v>111</v>
      </c>
      <c r="M3058" s="2" t="n">
        <v>3</v>
      </c>
      <c r="N3058" s="2" t="n">
        <v>-1</v>
      </c>
      <c r="O3058" s="2" t="n">
        <v>0</v>
      </c>
      <c r="P3058" s="2" t="s">
        <v>23</v>
      </c>
      <c r="Q3058" s="2" t="s">
        <v>20</v>
      </c>
    </row>
    <row r="3059" customFormat="false" ht="15" hidden="false" customHeight="false" outlineLevel="0" collapsed="false">
      <c r="A3059" s="2" t="n">
        <v>29</v>
      </c>
      <c r="B3059" s="2" t="s">
        <v>38</v>
      </c>
      <c r="C3059" s="2" t="s">
        <v>18</v>
      </c>
      <c r="D3059" s="2" t="s">
        <v>31</v>
      </c>
      <c r="E3059" s="2" t="s">
        <v>20</v>
      </c>
      <c r="F3059" s="2" t="n">
        <v>43</v>
      </c>
      <c r="G3059" s="2" t="s">
        <v>26</v>
      </c>
      <c r="H3059" s="2" t="s">
        <v>20</v>
      </c>
      <c r="I3059" s="2" t="s">
        <v>23</v>
      </c>
      <c r="J3059" s="2" t="n">
        <v>20</v>
      </c>
      <c r="K3059" s="2" t="s">
        <v>27</v>
      </c>
      <c r="L3059" s="2" t="n">
        <v>68</v>
      </c>
      <c r="M3059" s="2" t="n">
        <v>2</v>
      </c>
      <c r="N3059" s="2" t="n">
        <v>-1</v>
      </c>
      <c r="O3059" s="2" t="n">
        <v>0</v>
      </c>
      <c r="P3059" s="2" t="s">
        <v>23</v>
      </c>
      <c r="Q3059" s="2" t="s">
        <v>20</v>
      </c>
    </row>
    <row r="3060" customFormat="false" ht="15" hidden="false" customHeight="false" outlineLevel="0" collapsed="false">
      <c r="A3060" s="2" t="n">
        <v>38</v>
      </c>
      <c r="B3060" s="2" t="s">
        <v>38</v>
      </c>
      <c r="C3060" s="2" t="s">
        <v>18</v>
      </c>
      <c r="D3060" s="2" t="s">
        <v>25</v>
      </c>
      <c r="E3060" s="2" t="s">
        <v>20</v>
      </c>
      <c r="F3060" s="2" t="n">
        <v>4030</v>
      </c>
      <c r="G3060" s="2" t="s">
        <v>26</v>
      </c>
      <c r="H3060" s="2" t="s">
        <v>20</v>
      </c>
      <c r="I3060" s="2" t="s">
        <v>21</v>
      </c>
      <c r="J3060" s="2" t="n">
        <v>19</v>
      </c>
      <c r="K3060" s="2" t="s">
        <v>46</v>
      </c>
      <c r="L3060" s="2" t="n">
        <v>75</v>
      </c>
      <c r="M3060" s="2" t="n">
        <v>2</v>
      </c>
      <c r="N3060" s="2" t="n">
        <v>177</v>
      </c>
      <c r="O3060" s="2" t="n">
        <v>5</v>
      </c>
      <c r="P3060" s="2" t="s">
        <v>28</v>
      </c>
      <c r="Q3060" s="2" t="s">
        <v>20</v>
      </c>
    </row>
    <row r="3061" customFormat="false" ht="15" hidden="false" customHeight="false" outlineLevel="0" collapsed="false">
      <c r="A3061" s="2" t="n">
        <v>56</v>
      </c>
      <c r="B3061" s="2" t="s">
        <v>47</v>
      </c>
      <c r="C3061" s="2" t="s">
        <v>18</v>
      </c>
      <c r="D3061" s="2" t="s">
        <v>19</v>
      </c>
      <c r="E3061" s="2" t="s">
        <v>20</v>
      </c>
      <c r="F3061" s="2" t="n">
        <v>306</v>
      </c>
      <c r="G3061" s="2" t="s">
        <v>20</v>
      </c>
      <c r="H3061" s="2" t="s">
        <v>26</v>
      </c>
      <c r="I3061" s="2" t="s">
        <v>21</v>
      </c>
      <c r="J3061" s="2" t="n">
        <v>8</v>
      </c>
      <c r="K3061" s="2" t="s">
        <v>44</v>
      </c>
      <c r="L3061" s="2" t="n">
        <v>212</v>
      </c>
      <c r="M3061" s="2" t="n">
        <v>1</v>
      </c>
      <c r="N3061" s="2" t="n">
        <v>-1</v>
      </c>
      <c r="O3061" s="2" t="n">
        <v>0</v>
      </c>
      <c r="P3061" s="2" t="s">
        <v>23</v>
      </c>
      <c r="Q3061" s="2" t="s">
        <v>20</v>
      </c>
    </row>
    <row r="3062" customFormat="false" ht="15" hidden="false" customHeight="false" outlineLevel="0" collapsed="false">
      <c r="A3062" s="2" t="n">
        <v>52</v>
      </c>
      <c r="B3062" s="2" t="s">
        <v>40</v>
      </c>
      <c r="C3062" s="2" t="s">
        <v>18</v>
      </c>
      <c r="D3062" s="2" t="s">
        <v>25</v>
      </c>
      <c r="E3062" s="2" t="s">
        <v>20</v>
      </c>
      <c r="F3062" s="2" t="n">
        <v>0</v>
      </c>
      <c r="G3062" s="2" t="s">
        <v>20</v>
      </c>
      <c r="H3062" s="2" t="s">
        <v>20</v>
      </c>
      <c r="I3062" s="2" t="s">
        <v>21</v>
      </c>
      <c r="J3062" s="2" t="n">
        <v>22</v>
      </c>
      <c r="K3062" s="2" t="s">
        <v>32</v>
      </c>
      <c r="L3062" s="2" t="n">
        <v>91</v>
      </c>
      <c r="M3062" s="2" t="n">
        <v>2</v>
      </c>
      <c r="N3062" s="2" t="n">
        <v>275</v>
      </c>
      <c r="O3062" s="2" t="n">
        <v>1</v>
      </c>
      <c r="P3062" s="2" t="s">
        <v>28</v>
      </c>
      <c r="Q3062" s="2" t="s">
        <v>20</v>
      </c>
    </row>
    <row r="3063" customFormat="false" ht="15" hidden="false" customHeight="false" outlineLevel="0" collapsed="false">
      <c r="A3063" s="2" t="n">
        <v>55</v>
      </c>
      <c r="B3063" s="2" t="s">
        <v>48</v>
      </c>
      <c r="C3063" s="2" t="s">
        <v>18</v>
      </c>
      <c r="D3063" s="2" t="s">
        <v>25</v>
      </c>
      <c r="E3063" s="2" t="s">
        <v>20</v>
      </c>
      <c r="F3063" s="2" t="n">
        <v>168</v>
      </c>
      <c r="G3063" s="2" t="s">
        <v>20</v>
      </c>
      <c r="H3063" s="2" t="s">
        <v>20</v>
      </c>
      <c r="I3063" s="2" t="s">
        <v>21</v>
      </c>
      <c r="J3063" s="2" t="n">
        <v>19</v>
      </c>
      <c r="K3063" s="2" t="s">
        <v>41</v>
      </c>
      <c r="L3063" s="2" t="n">
        <v>79</v>
      </c>
      <c r="M3063" s="2" t="n">
        <v>2</v>
      </c>
      <c r="N3063" s="2" t="n">
        <v>-1</v>
      </c>
      <c r="O3063" s="2" t="n">
        <v>0</v>
      </c>
      <c r="P3063" s="2" t="s">
        <v>23</v>
      </c>
      <c r="Q3063" s="2" t="s">
        <v>20</v>
      </c>
    </row>
    <row r="3064" customFormat="false" ht="15" hidden="false" customHeight="false" outlineLevel="0" collapsed="false">
      <c r="A3064" s="2" t="n">
        <v>43</v>
      </c>
      <c r="B3064" s="2" t="s">
        <v>39</v>
      </c>
      <c r="C3064" s="2" t="s">
        <v>18</v>
      </c>
      <c r="D3064" s="2" t="s">
        <v>31</v>
      </c>
      <c r="E3064" s="2" t="s">
        <v>20</v>
      </c>
      <c r="F3064" s="2" t="n">
        <v>210</v>
      </c>
      <c r="G3064" s="2" t="s">
        <v>20</v>
      </c>
      <c r="H3064" s="2" t="s">
        <v>20</v>
      </c>
      <c r="I3064" s="2" t="s">
        <v>21</v>
      </c>
      <c r="J3064" s="2" t="n">
        <v>29</v>
      </c>
      <c r="K3064" s="2" t="s">
        <v>44</v>
      </c>
      <c r="L3064" s="2" t="n">
        <v>646</v>
      </c>
      <c r="M3064" s="2" t="n">
        <v>2</v>
      </c>
      <c r="N3064" s="2" t="n">
        <v>-1</v>
      </c>
      <c r="O3064" s="2" t="n">
        <v>0</v>
      </c>
      <c r="P3064" s="2" t="s">
        <v>23</v>
      </c>
      <c r="Q3064" s="2" t="s">
        <v>20</v>
      </c>
    </row>
    <row r="3065" customFormat="false" ht="15" hidden="false" customHeight="false" outlineLevel="0" collapsed="false">
      <c r="A3065" s="2" t="n">
        <v>34</v>
      </c>
      <c r="B3065" s="2" t="s">
        <v>34</v>
      </c>
      <c r="C3065" s="2" t="s">
        <v>18</v>
      </c>
      <c r="D3065" s="2" t="s">
        <v>25</v>
      </c>
      <c r="E3065" s="2" t="s">
        <v>20</v>
      </c>
      <c r="F3065" s="2" t="n">
        <v>518</v>
      </c>
      <c r="G3065" s="2" t="s">
        <v>26</v>
      </c>
      <c r="H3065" s="2" t="s">
        <v>20</v>
      </c>
      <c r="I3065" s="2" t="s">
        <v>21</v>
      </c>
      <c r="J3065" s="2" t="n">
        <v>11</v>
      </c>
      <c r="K3065" s="2" t="s">
        <v>27</v>
      </c>
      <c r="L3065" s="2" t="n">
        <v>206</v>
      </c>
      <c r="M3065" s="2" t="n">
        <v>1</v>
      </c>
      <c r="N3065" s="2" t="n">
        <v>-1</v>
      </c>
      <c r="O3065" s="2" t="n">
        <v>0</v>
      </c>
      <c r="P3065" s="2" t="s">
        <v>23</v>
      </c>
      <c r="Q3065" s="2" t="s">
        <v>20</v>
      </c>
    </row>
    <row r="3066" customFormat="false" ht="15" hidden="false" customHeight="false" outlineLevel="0" collapsed="false">
      <c r="A3066" s="2" t="n">
        <v>43</v>
      </c>
      <c r="B3066" s="2" t="s">
        <v>29</v>
      </c>
      <c r="C3066" s="2" t="s">
        <v>30</v>
      </c>
      <c r="D3066" s="2" t="s">
        <v>31</v>
      </c>
      <c r="E3066" s="2" t="s">
        <v>20</v>
      </c>
      <c r="F3066" s="2" t="n">
        <v>1696</v>
      </c>
      <c r="G3066" s="2" t="s">
        <v>26</v>
      </c>
      <c r="H3066" s="2" t="s">
        <v>20</v>
      </c>
      <c r="I3066" s="2" t="s">
        <v>21</v>
      </c>
      <c r="J3066" s="2" t="n">
        <v>26</v>
      </c>
      <c r="K3066" s="2" t="s">
        <v>41</v>
      </c>
      <c r="L3066" s="2" t="n">
        <v>257</v>
      </c>
      <c r="M3066" s="2" t="n">
        <v>1</v>
      </c>
      <c r="N3066" s="2" t="n">
        <v>474</v>
      </c>
      <c r="O3066" s="2" t="n">
        <v>3</v>
      </c>
      <c r="P3066" s="2" t="s">
        <v>28</v>
      </c>
      <c r="Q3066" s="2" t="s">
        <v>26</v>
      </c>
    </row>
    <row r="3067" customFormat="false" ht="15" hidden="false" customHeight="false" outlineLevel="0" collapsed="false">
      <c r="A3067" s="2" t="n">
        <v>55</v>
      </c>
      <c r="B3067" s="2" t="s">
        <v>24</v>
      </c>
      <c r="C3067" s="2" t="s">
        <v>18</v>
      </c>
      <c r="D3067" s="2" t="s">
        <v>25</v>
      </c>
      <c r="E3067" s="2" t="s">
        <v>20</v>
      </c>
      <c r="F3067" s="2" t="n">
        <v>-31</v>
      </c>
      <c r="G3067" s="2" t="s">
        <v>20</v>
      </c>
      <c r="H3067" s="2" t="s">
        <v>26</v>
      </c>
      <c r="I3067" s="2" t="s">
        <v>21</v>
      </c>
      <c r="J3067" s="2" t="n">
        <v>13</v>
      </c>
      <c r="K3067" s="2" t="s">
        <v>41</v>
      </c>
      <c r="L3067" s="2" t="n">
        <v>81</v>
      </c>
      <c r="M3067" s="2" t="n">
        <v>2</v>
      </c>
      <c r="N3067" s="2" t="n">
        <v>-1</v>
      </c>
      <c r="O3067" s="2" t="n">
        <v>0</v>
      </c>
      <c r="P3067" s="2" t="s">
        <v>23</v>
      </c>
      <c r="Q3067" s="2" t="s">
        <v>20</v>
      </c>
    </row>
    <row r="3068" customFormat="false" ht="15" hidden="false" customHeight="false" outlineLevel="0" collapsed="false">
      <c r="A3068" s="2" t="n">
        <v>34</v>
      </c>
      <c r="B3068" s="2" t="s">
        <v>34</v>
      </c>
      <c r="C3068" s="2" t="s">
        <v>18</v>
      </c>
      <c r="D3068" s="2" t="s">
        <v>25</v>
      </c>
      <c r="E3068" s="2" t="s">
        <v>20</v>
      </c>
      <c r="F3068" s="2" t="n">
        <v>856</v>
      </c>
      <c r="G3068" s="2" t="s">
        <v>26</v>
      </c>
      <c r="H3068" s="2" t="s">
        <v>20</v>
      </c>
      <c r="I3068" s="2" t="s">
        <v>21</v>
      </c>
      <c r="J3068" s="2" t="n">
        <v>20</v>
      </c>
      <c r="K3068" s="2" t="s">
        <v>32</v>
      </c>
      <c r="L3068" s="2" t="n">
        <v>470</v>
      </c>
      <c r="M3068" s="2" t="n">
        <v>1</v>
      </c>
      <c r="N3068" s="2" t="n">
        <v>150</v>
      </c>
      <c r="O3068" s="2" t="n">
        <v>5</v>
      </c>
      <c r="P3068" s="2" t="s">
        <v>37</v>
      </c>
      <c r="Q3068" s="2" t="s">
        <v>20</v>
      </c>
    </row>
    <row r="3069" customFormat="false" ht="15" hidden="false" customHeight="false" outlineLevel="0" collapsed="false">
      <c r="A3069" s="2" t="n">
        <v>34</v>
      </c>
      <c r="B3069" s="2" t="s">
        <v>29</v>
      </c>
      <c r="C3069" s="2" t="s">
        <v>30</v>
      </c>
      <c r="D3069" s="2" t="s">
        <v>31</v>
      </c>
      <c r="E3069" s="2" t="s">
        <v>20</v>
      </c>
      <c r="F3069" s="2" t="n">
        <v>318</v>
      </c>
      <c r="G3069" s="2" t="s">
        <v>26</v>
      </c>
      <c r="H3069" s="2" t="s">
        <v>20</v>
      </c>
      <c r="I3069" s="2" t="s">
        <v>23</v>
      </c>
      <c r="J3069" s="2" t="n">
        <v>9</v>
      </c>
      <c r="K3069" s="2" t="s">
        <v>27</v>
      </c>
      <c r="L3069" s="2" t="n">
        <v>133</v>
      </c>
      <c r="M3069" s="2" t="n">
        <v>2</v>
      </c>
      <c r="N3069" s="2" t="n">
        <v>-1</v>
      </c>
      <c r="O3069" s="2" t="n">
        <v>0</v>
      </c>
      <c r="P3069" s="2" t="s">
        <v>23</v>
      </c>
      <c r="Q3069" s="2" t="s">
        <v>20</v>
      </c>
    </row>
    <row r="3070" customFormat="false" ht="15" hidden="false" customHeight="false" outlineLevel="0" collapsed="false">
      <c r="A3070" s="2" t="n">
        <v>43</v>
      </c>
      <c r="B3070" s="2" t="s">
        <v>36</v>
      </c>
      <c r="C3070" s="2" t="s">
        <v>18</v>
      </c>
      <c r="D3070" s="2" t="s">
        <v>31</v>
      </c>
      <c r="E3070" s="2" t="s">
        <v>20</v>
      </c>
      <c r="F3070" s="2" t="n">
        <v>64</v>
      </c>
      <c r="G3070" s="2" t="s">
        <v>20</v>
      </c>
      <c r="H3070" s="2" t="s">
        <v>20</v>
      </c>
      <c r="I3070" s="2" t="s">
        <v>23</v>
      </c>
      <c r="J3070" s="2" t="n">
        <v>6</v>
      </c>
      <c r="K3070" s="2" t="s">
        <v>33</v>
      </c>
      <c r="L3070" s="2" t="n">
        <v>230</v>
      </c>
      <c r="M3070" s="2" t="n">
        <v>2</v>
      </c>
      <c r="N3070" s="2" t="n">
        <v>-1</v>
      </c>
      <c r="O3070" s="2" t="n">
        <v>0</v>
      </c>
      <c r="P3070" s="2" t="s">
        <v>23</v>
      </c>
      <c r="Q3070" s="2" t="s">
        <v>20</v>
      </c>
    </row>
    <row r="3071" customFormat="false" ht="15" hidden="false" customHeight="false" outlineLevel="0" collapsed="false">
      <c r="A3071" s="2" t="n">
        <v>39</v>
      </c>
      <c r="B3071" s="2" t="s">
        <v>34</v>
      </c>
      <c r="C3071" s="2" t="s">
        <v>18</v>
      </c>
      <c r="D3071" s="2" t="s">
        <v>19</v>
      </c>
      <c r="E3071" s="2" t="s">
        <v>20</v>
      </c>
      <c r="F3071" s="2" t="n">
        <v>800</v>
      </c>
      <c r="G3071" s="2" t="s">
        <v>26</v>
      </c>
      <c r="H3071" s="2" t="s">
        <v>20</v>
      </c>
      <c r="I3071" s="2" t="s">
        <v>21</v>
      </c>
      <c r="J3071" s="2" t="n">
        <v>19</v>
      </c>
      <c r="K3071" s="2" t="s">
        <v>46</v>
      </c>
      <c r="L3071" s="2" t="n">
        <v>76</v>
      </c>
      <c r="M3071" s="2" t="n">
        <v>6</v>
      </c>
      <c r="N3071" s="2" t="n">
        <v>-1</v>
      </c>
      <c r="O3071" s="2" t="n">
        <v>0</v>
      </c>
      <c r="P3071" s="2" t="s">
        <v>23</v>
      </c>
      <c r="Q3071" s="2" t="s">
        <v>20</v>
      </c>
    </row>
    <row r="3072" customFormat="false" ht="15" hidden="false" customHeight="false" outlineLevel="0" collapsed="false">
      <c r="A3072" s="2" t="n">
        <v>39</v>
      </c>
      <c r="B3072" s="2" t="s">
        <v>38</v>
      </c>
      <c r="C3072" s="2" t="s">
        <v>30</v>
      </c>
      <c r="D3072" s="2" t="s">
        <v>23</v>
      </c>
      <c r="E3072" s="2" t="s">
        <v>20</v>
      </c>
      <c r="F3072" s="2" t="n">
        <v>75</v>
      </c>
      <c r="G3072" s="2" t="s">
        <v>20</v>
      </c>
      <c r="H3072" s="2" t="s">
        <v>20</v>
      </c>
      <c r="I3072" s="2" t="s">
        <v>23</v>
      </c>
      <c r="J3072" s="2" t="n">
        <v>6</v>
      </c>
      <c r="K3072" s="2" t="s">
        <v>33</v>
      </c>
      <c r="L3072" s="2" t="n">
        <v>26</v>
      </c>
      <c r="M3072" s="2" t="n">
        <v>1</v>
      </c>
      <c r="N3072" s="2" t="n">
        <v>-1</v>
      </c>
      <c r="O3072" s="2" t="n">
        <v>0</v>
      </c>
      <c r="P3072" s="2" t="s">
        <v>23</v>
      </c>
      <c r="Q3072" s="2" t="s">
        <v>20</v>
      </c>
    </row>
    <row r="3073" customFormat="false" ht="15" hidden="false" customHeight="false" outlineLevel="0" collapsed="false">
      <c r="A3073" s="2" t="n">
        <v>34</v>
      </c>
      <c r="B3073" s="2" t="s">
        <v>38</v>
      </c>
      <c r="C3073" s="2" t="s">
        <v>30</v>
      </c>
      <c r="D3073" s="2" t="s">
        <v>25</v>
      </c>
      <c r="E3073" s="2" t="s">
        <v>20</v>
      </c>
      <c r="F3073" s="2" t="n">
        <v>347</v>
      </c>
      <c r="G3073" s="2" t="s">
        <v>26</v>
      </c>
      <c r="H3073" s="2" t="s">
        <v>20</v>
      </c>
      <c r="I3073" s="2" t="s">
        <v>21</v>
      </c>
      <c r="J3073" s="2" t="n">
        <v>6</v>
      </c>
      <c r="K3073" s="2" t="s">
        <v>35</v>
      </c>
      <c r="L3073" s="2" t="n">
        <v>154</v>
      </c>
      <c r="M3073" s="2" t="n">
        <v>2</v>
      </c>
      <c r="N3073" s="2" t="n">
        <v>197</v>
      </c>
      <c r="O3073" s="2" t="n">
        <v>6</v>
      </c>
      <c r="P3073" s="2" t="s">
        <v>28</v>
      </c>
      <c r="Q3073" s="2" t="s">
        <v>20</v>
      </c>
    </row>
    <row r="3074" customFormat="false" ht="15" hidden="false" customHeight="false" outlineLevel="0" collapsed="false">
      <c r="A3074" s="2" t="n">
        <v>55</v>
      </c>
      <c r="B3074" s="2" t="s">
        <v>29</v>
      </c>
      <c r="C3074" s="2" t="s">
        <v>18</v>
      </c>
      <c r="D3074" s="2" t="s">
        <v>31</v>
      </c>
      <c r="E3074" s="2" t="s">
        <v>20</v>
      </c>
      <c r="F3074" s="2" t="n">
        <v>2366</v>
      </c>
      <c r="G3074" s="2" t="s">
        <v>26</v>
      </c>
      <c r="H3074" s="2" t="s">
        <v>26</v>
      </c>
      <c r="I3074" s="2" t="s">
        <v>21</v>
      </c>
      <c r="J3074" s="2" t="n">
        <v>30</v>
      </c>
      <c r="K3074" s="2" t="s">
        <v>44</v>
      </c>
      <c r="L3074" s="2" t="n">
        <v>94</v>
      </c>
      <c r="M3074" s="2" t="n">
        <v>4</v>
      </c>
      <c r="N3074" s="2" t="n">
        <v>-1</v>
      </c>
      <c r="O3074" s="2" t="n">
        <v>0</v>
      </c>
      <c r="P3074" s="2" t="s">
        <v>23</v>
      </c>
      <c r="Q3074" s="2" t="s">
        <v>20</v>
      </c>
    </row>
    <row r="3075" customFormat="false" ht="15" hidden="false" customHeight="false" outlineLevel="0" collapsed="false">
      <c r="A3075" s="2" t="n">
        <v>67</v>
      </c>
      <c r="B3075" s="2" t="s">
        <v>48</v>
      </c>
      <c r="C3075" s="2" t="s">
        <v>18</v>
      </c>
      <c r="D3075" s="2" t="s">
        <v>31</v>
      </c>
      <c r="E3075" s="2" t="s">
        <v>20</v>
      </c>
      <c r="F3075" s="2" t="n">
        <v>701</v>
      </c>
      <c r="G3075" s="2" t="s">
        <v>20</v>
      </c>
      <c r="H3075" s="2" t="s">
        <v>20</v>
      </c>
      <c r="I3075" s="2" t="s">
        <v>21</v>
      </c>
      <c r="J3075" s="2" t="n">
        <v>6</v>
      </c>
      <c r="K3075" s="2" t="s">
        <v>41</v>
      </c>
      <c r="L3075" s="2" t="n">
        <v>254</v>
      </c>
      <c r="M3075" s="2" t="n">
        <v>2</v>
      </c>
      <c r="N3075" s="2" t="n">
        <v>-1</v>
      </c>
      <c r="O3075" s="2" t="n">
        <v>0</v>
      </c>
      <c r="P3075" s="2" t="s">
        <v>23</v>
      </c>
      <c r="Q3075" s="2" t="s">
        <v>26</v>
      </c>
    </row>
    <row r="3076" customFormat="false" ht="15" hidden="false" customHeight="false" outlineLevel="0" collapsed="false">
      <c r="A3076" s="2" t="n">
        <v>34</v>
      </c>
      <c r="B3076" s="2" t="s">
        <v>39</v>
      </c>
      <c r="C3076" s="2" t="s">
        <v>18</v>
      </c>
      <c r="D3076" s="2" t="s">
        <v>31</v>
      </c>
      <c r="E3076" s="2" t="s">
        <v>20</v>
      </c>
      <c r="F3076" s="2" t="n">
        <v>475</v>
      </c>
      <c r="G3076" s="2" t="s">
        <v>26</v>
      </c>
      <c r="H3076" s="2" t="s">
        <v>26</v>
      </c>
      <c r="I3076" s="2" t="s">
        <v>21</v>
      </c>
      <c r="J3076" s="2" t="n">
        <v>9</v>
      </c>
      <c r="K3076" s="2" t="s">
        <v>44</v>
      </c>
      <c r="L3076" s="2" t="n">
        <v>1156</v>
      </c>
      <c r="M3076" s="2" t="n">
        <v>1</v>
      </c>
      <c r="N3076" s="2" t="n">
        <v>-1</v>
      </c>
      <c r="O3076" s="2" t="n">
        <v>0</v>
      </c>
      <c r="P3076" s="2" t="s">
        <v>23</v>
      </c>
      <c r="Q3076" s="2" t="s">
        <v>20</v>
      </c>
    </row>
    <row r="3077" customFormat="false" ht="15" hidden="false" customHeight="false" outlineLevel="0" collapsed="false">
      <c r="A3077" s="2" t="n">
        <v>47</v>
      </c>
      <c r="B3077" s="2" t="s">
        <v>34</v>
      </c>
      <c r="C3077" s="2" t="s">
        <v>18</v>
      </c>
      <c r="D3077" s="2" t="s">
        <v>25</v>
      </c>
      <c r="E3077" s="2" t="s">
        <v>20</v>
      </c>
      <c r="F3077" s="2" t="n">
        <v>3285</v>
      </c>
      <c r="G3077" s="2" t="s">
        <v>20</v>
      </c>
      <c r="H3077" s="2" t="s">
        <v>20</v>
      </c>
      <c r="I3077" s="2" t="s">
        <v>21</v>
      </c>
      <c r="J3077" s="2" t="n">
        <v>31</v>
      </c>
      <c r="K3077" s="2" t="s">
        <v>44</v>
      </c>
      <c r="L3077" s="2" t="n">
        <v>248</v>
      </c>
      <c r="M3077" s="2" t="n">
        <v>5</v>
      </c>
      <c r="N3077" s="2" t="n">
        <v>-1</v>
      </c>
      <c r="O3077" s="2" t="n">
        <v>0</v>
      </c>
      <c r="P3077" s="2" t="s">
        <v>23</v>
      </c>
      <c r="Q3077" s="2" t="s">
        <v>20</v>
      </c>
    </row>
    <row r="3078" customFormat="false" ht="15" hidden="false" customHeight="false" outlineLevel="0" collapsed="false">
      <c r="A3078" s="2" t="n">
        <v>33</v>
      </c>
      <c r="B3078" s="2" t="s">
        <v>34</v>
      </c>
      <c r="C3078" s="2" t="s">
        <v>18</v>
      </c>
      <c r="D3078" s="2" t="s">
        <v>19</v>
      </c>
      <c r="E3078" s="2" t="s">
        <v>20</v>
      </c>
      <c r="F3078" s="2" t="n">
        <v>925</v>
      </c>
      <c r="G3078" s="2" t="s">
        <v>20</v>
      </c>
      <c r="H3078" s="2" t="s">
        <v>20</v>
      </c>
      <c r="I3078" s="2" t="s">
        <v>21</v>
      </c>
      <c r="J3078" s="2" t="n">
        <v>20</v>
      </c>
      <c r="K3078" s="2" t="s">
        <v>46</v>
      </c>
      <c r="L3078" s="2" t="n">
        <v>884</v>
      </c>
      <c r="M3078" s="2" t="n">
        <v>3</v>
      </c>
      <c r="N3078" s="2" t="n">
        <v>-1</v>
      </c>
      <c r="O3078" s="2" t="n">
        <v>0</v>
      </c>
      <c r="P3078" s="2" t="s">
        <v>23</v>
      </c>
      <c r="Q3078" s="2" t="s">
        <v>20</v>
      </c>
    </row>
    <row r="3079" customFormat="false" ht="15" hidden="false" customHeight="false" outlineLevel="0" collapsed="false">
      <c r="A3079" s="2" t="n">
        <v>45</v>
      </c>
      <c r="B3079" s="2" t="s">
        <v>39</v>
      </c>
      <c r="C3079" s="2" t="s">
        <v>18</v>
      </c>
      <c r="D3079" s="2" t="s">
        <v>25</v>
      </c>
      <c r="E3079" s="2" t="s">
        <v>20</v>
      </c>
      <c r="F3079" s="2" t="n">
        <v>128</v>
      </c>
      <c r="G3079" s="2" t="s">
        <v>20</v>
      </c>
      <c r="H3079" s="2" t="s">
        <v>26</v>
      </c>
      <c r="I3079" s="2" t="s">
        <v>21</v>
      </c>
      <c r="J3079" s="2" t="n">
        <v>18</v>
      </c>
      <c r="K3079" s="2" t="s">
        <v>46</v>
      </c>
      <c r="L3079" s="2" t="n">
        <v>275</v>
      </c>
      <c r="M3079" s="2" t="n">
        <v>2</v>
      </c>
      <c r="N3079" s="2" t="n">
        <v>-1</v>
      </c>
      <c r="O3079" s="2" t="n">
        <v>0</v>
      </c>
      <c r="P3079" s="2" t="s">
        <v>23</v>
      </c>
      <c r="Q3079" s="2" t="s">
        <v>20</v>
      </c>
    </row>
    <row r="3080" customFormat="false" ht="15" hidden="false" customHeight="false" outlineLevel="0" collapsed="false">
      <c r="A3080" s="2" t="n">
        <v>36</v>
      </c>
      <c r="B3080" s="2" t="s">
        <v>34</v>
      </c>
      <c r="C3080" s="2" t="s">
        <v>18</v>
      </c>
      <c r="D3080" s="2" t="s">
        <v>25</v>
      </c>
      <c r="E3080" s="2" t="s">
        <v>20</v>
      </c>
      <c r="F3080" s="2" t="n">
        <v>1587</v>
      </c>
      <c r="G3080" s="2" t="s">
        <v>26</v>
      </c>
      <c r="H3080" s="2" t="s">
        <v>20</v>
      </c>
      <c r="I3080" s="2" t="s">
        <v>21</v>
      </c>
      <c r="J3080" s="2" t="n">
        <v>28</v>
      </c>
      <c r="K3080" s="2" t="s">
        <v>44</v>
      </c>
      <c r="L3080" s="2" t="n">
        <v>200</v>
      </c>
      <c r="M3080" s="2" t="n">
        <v>2</v>
      </c>
      <c r="N3080" s="2" t="n">
        <v>-1</v>
      </c>
      <c r="O3080" s="2" t="n">
        <v>0</v>
      </c>
      <c r="P3080" s="2" t="s">
        <v>23</v>
      </c>
      <c r="Q3080" s="2" t="s">
        <v>20</v>
      </c>
    </row>
    <row r="3081" customFormat="false" ht="15" hidden="false" customHeight="false" outlineLevel="0" collapsed="false">
      <c r="A3081" s="2" t="n">
        <v>59</v>
      </c>
      <c r="B3081" s="2" t="s">
        <v>38</v>
      </c>
      <c r="C3081" s="2" t="s">
        <v>45</v>
      </c>
      <c r="D3081" s="2" t="s">
        <v>25</v>
      </c>
      <c r="E3081" s="2" t="s">
        <v>20</v>
      </c>
      <c r="F3081" s="2" t="n">
        <v>879</v>
      </c>
      <c r="G3081" s="2" t="s">
        <v>26</v>
      </c>
      <c r="H3081" s="2" t="s">
        <v>20</v>
      </c>
      <c r="I3081" s="2" t="s">
        <v>23</v>
      </c>
      <c r="J3081" s="2" t="n">
        <v>26</v>
      </c>
      <c r="K3081" s="2" t="s">
        <v>27</v>
      </c>
      <c r="L3081" s="2" t="n">
        <v>228</v>
      </c>
      <c r="M3081" s="2" t="n">
        <v>1</v>
      </c>
      <c r="N3081" s="2" t="n">
        <v>-1</v>
      </c>
      <c r="O3081" s="2" t="n">
        <v>0</v>
      </c>
      <c r="P3081" s="2" t="s">
        <v>23</v>
      </c>
      <c r="Q3081" s="2" t="s">
        <v>20</v>
      </c>
    </row>
    <row r="3082" customFormat="false" ht="15" hidden="false" customHeight="false" outlineLevel="0" collapsed="false">
      <c r="A3082" s="2" t="n">
        <v>33</v>
      </c>
      <c r="B3082" s="2" t="s">
        <v>24</v>
      </c>
      <c r="C3082" s="2" t="s">
        <v>18</v>
      </c>
      <c r="D3082" s="2" t="s">
        <v>25</v>
      </c>
      <c r="E3082" s="2" t="s">
        <v>20</v>
      </c>
      <c r="F3082" s="2" t="n">
        <v>478</v>
      </c>
      <c r="G3082" s="2" t="s">
        <v>20</v>
      </c>
      <c r="H3082" s="2" t="s">
        <v>20</v>
      </c>
      <c r="I3082" s="2" t="s">
        <v>21</v>
      </c>
      <c r="J3082" s="2" t="n">
        <v>30</v>
      </c>
      <c r="K3082" s="2" t="s">
        <v>32</v>
      </c>
      <c r="L3082" s="2" t="n">
        <v>475</v>
      </c>
      <c r="M3082" s="2" t="n">
        <v>2</v>
      </c>
      <c r="N3082" s="2" t="n">
        <v>-1</v>
      </c>
      <c r="O3082" s="2" t="n">
        <v>0</v>
      </c>
      <c r="P3082" s="2" t="s">
        <v>23</v>
      </c>
      <c r="Q3082" s="2" t="s">
        <v>26</v>
      </c>
    </row>
    <row r="3083" customFormat="false" ht="15" hidden="false" customHeight="false" outlineLevel="0" collapsed="false">
      <c r="A3083" s="2" t="n">
        <v>52</v>
      </c>
      <c r="B3083" s="2" t="s">
        <v>38</v>
      </c>
      <c r="C3083" s="2" t="s">
        <v>45</v>
      </c>
      <c r="D3083" s="2" t="s">
        <v>25</v>
      </c>
      <c r="E3083" s="2" t="s">
        <v>20</v>
      </c>
      <c r="F3083" s="2" t="n">
        <v>280</v>
      </c>
      <c r="G3083" s="2" t="s">
        <v>20</v>
      </c>
      <c r="H3083" s="2" t="s">
        <v>20</v>
      </c>
      <c r="I3083" s="2" t="s">
        <v>21</v>
      </c>
      <c r="J3083" s="2" t="n">
        <v>14</v>
      </c>
      <c r="K3083" s="2" t="s">
        <v>44</v>
      </c>
      <c r="L3083" s="2" t="n">
        <v>393</v>
      </c>
      <c r="M3083" s="2" t="n">
        <v>5</v>
      </c>
      <c r="N3083" s="2" t="n">
        <v>-1</v>
      </c>
      <c r="O3083" s="2" t="n">
        <v>0</v>
      </c>
      <c r="P3083" s="2" t="s">
        <v>23</v>
      </c>
      <c r="Q3083" s="2" t="s">
        <v>20</v>
      </c>
    </row>
    <row r="3084" customFormat="false" ht="15" hidden="false" customHeight="false" outlineLevel="0" collapsed="false">
      <c r="A3084" s="2" t="n">
        <v>53</v>
      </c>
      <c r="B3084" s="2" t="s">
        <v>34</v>
      </c>
      <c r="C3084" s="2" t="s">
        <v>18</v>
      </c>
      <c r="D3084" s="2" t="s">
        <v>19</v>
      </c>
      <c r="E3084" s="2" t="s">
        <v>20</v>
      </c>
      <c r="F3084" s="2" t="n">
        <v>1868</v>
      </c>
      <c r="G3084" s="2" t="s">
        <v>20</v>
      </c>
      <c r="H3084" s="2" t="s">
        <v>20</v>
      </c>
      <c r="I3084" s="2" t="s">
        <v>21</v>
      </c>
      <c r="J3084" s="2" t="n">
        <v>8</v>
      </c>
      <c r="K3084" s="2" t="s">
        <v>41</v>
      </c>
      <c r="L3084" s="2" t="n">
        <v>156</v>
      </c>
      <c r="M3084" s="2" t="n">
        <v>4</v>
      </c>
      <c r="N3084" s="2" t="n">
        <v>-1</v>
      </c>
      <c r="O3084" s="2" t="n">
        <v>0</v>
      </c>
      <c r="P3084" s="2" t="s">
        <v>23</v>
      </c>
      <c r="Q3084" s="2" t="s">
        <v>20</v>
      </c>
    </row>
    <row r="3085" customFormat="false" ht="15" hidden="false" customHeight="false" outlineLevel="0" collapsed="false">
      <c r="A3085" s="2" t="n">
        <v>41</v>
      </c>
      <c r="B3085" s="2" t="s">
        <v>17</v>
      </c>
      <c r="C3085" s="2" t="s">
        <v>18</v>
      </c>
      <c r="D3085" s="2" t="s">
        <v>19</v>
      </c>
      <c r="E3085" s="2" t="s">
        <v>20</v>
      </c>
      <c r="F3085" s="2" t="n">
        <v>819</v>
      </c>
      <c r="G3085" s="2" t="s">
        <v>20</v>
      </c>
      <c r="H3085" s="2" t="s">
        <v>20</v>
      </c>
      <c r="I3085" s="2" t="s">
        <v>21</v>
      </c>
      <c r="J3085" s="2" t="n">
        <v>9</v>
      </c>
      <c r="K3085" s="2" t="s">
        <v>35</v>
      </c>
      <c r="L3085" s="2" t="n">
        <v>244</v>
      </c>
      <c r="M3085" s="2" t="n">
        <v>3</v>
      </c>
      <c r="N3085" s="2" t="n">
        <v>-1</v>
      </c>
      <c r="O3085" s="2" t="n">
        <v>0</v>
      </c>
      <c r="P3085" s="2" t="s">
        <v>23</v>
      </c>
      <c r="Q3085" s="2" t="s">
        <v>20</v>
      </c>
    </row>
    <row r="3086" customFormat="false" ht="15" hidden="false" customHeight="false" outlineLevel="0" collapsed="false">
      <c r="A3086" s="2" t="n">
        <v>45</v>
      </c>
      <c r="B3086" s="2" t="s">
        <v>34</v>
      </c>
      <c r="C3086" s="2" t="s">
        <v>18</v>
      </c>
      <c r="D3086" s="2" t="s">
        <v>25</v>
      </c>
      <c r="E3086" s="2" t="s">
        <v>20</v>
      </c>
      <c r="F3086" s="2" t="n">
        <v>4646</v>
      </c>
      <c r="G3086" s="2" t="s">
        <v>26</v>
      </c>
      <c r="H3086" s="2" t="s">
        <v>20</v>
      </c>
      <c r="I3086" s="2" t="s">
        <v>23</v>
      </c>
      <c r="J3086" s="2" t="n">
        <v>13</v>
      </c>
      <c r="K3086" s="2" t="s">
        <v>27</v>
      </c>
      <c r="L3086" s="2" t="n">
        <v>118</v>
      </c>
      <c r="M3086" s="2" t="n">
        <v>1</v>
      </c>
      <c r="N3086" s="2" t="n">
        <v>-1</v>
      </c>
      <c r="O3086" s="2" t="n">
        <v>0</v>
      </c>
      <c r="P3086" s="2" t="s">
        <v>23</v>
      </c>
      <c r="Q3086" s="2" t="s">
        <v>20</v>
      </c>
    </row>
    <row r="3087" customFormat="false" ht="15" hidden="false" customHeight="false" outlineLevel="0" collapsed="false">
      <c r="A3087" s="2" t="n">
        <v>60</v>
      </c>
      <c r="B3087" s="2" t="s">
        <v>36</v>
      </c>
      <c r="C3087" s="2" t="s">
        <v>30</v>
      </c>
      <c r="D3087" s="2" t="s">
        <v>25</v>
      </c>
      <c r="E3087" s="2" t="s">
        <v>20</v>
      </c>
      <c r="F3087" s="2" t="n">
        <v>27</v>
      </c>
      <c r="G3087" s="2" t="s">
        <v>20</v>
      </c>
      <c r="H3087" s="2" t="s">
        <v>20</v>
      </c>
      <c r="I3087" s="2" t="s">
        <v>21</v>
      </c>
      <c r="J3087" s="2" t="n">
        <v>22</v>
      </c>
      <c r="K3087" s="2" t="s">
        <v>41</v>
      </c>
      <c r="L3087" s="2" t="n">
        <v>40</v>
      </c>
      <c r="M3087" s="2" t="n">
        <v>2</v>
      </c>
      <c r="N3087" s="2" t="n">
        <v>-1</v>
      </c>
      <c r="O3087" s="2" t="n">
        <v>0</v>
      </c>
      <c r="P3087" s="2" t="s">
        <v>23</v>
      </c>
      <c r="Q3087" s="2" t="s">
        <v>20</v>
      </c>
    </row>
    <row r="3088" customFormat="false" ht="15" hidden="false" customHeight="false" outlineLevel="0" collapsed="false">
      <c r="A3088" s="2" t="n">
        <v>32</v>
      </c>
      <c r="B3088" s="2" t="s">
        <v>34</v>
      </c>
      <c r="C3088" s="2" t="s">
        <v>18</v>
      </c>
      <c r="D3088" s="2" t="s">
        <v>25</v>
      </c>
      <c r="E3088" s="2" t="s">
        <v>20</v>
      </c>
      <c r="F3088" s="2" t="n">
        <v>736</v>
      </c>
      <c r="G3088" s="2" t="s">
        <v>26</v>
      </c>
      <c r="H3088" s="2" t="s">
        <v>20</v>
      </c>
      <c r="I3088" s="2" t="s">
        <v>23</v>
      </c>
      <c r="J3088" s="2" t="n">
        <v>23</v>
      </c>
      <c r="K3088" s="2" t="s">
        <v>27</v>
      </c>
      <c r="L3088" s="2" t="n">
        <v>700</v>
      </c>
      <c r="M3088" s="2" t="n">
        <v>3</v>
      </c>
      <c r="N3088" s="2" t="n">
        <v>-1</v>
      </c>
      <c r="O3088" s="2" t="n">
        <v>0</v>
      </c>
      <c r="P3088" s="2" t="s">
        <v>23</v>
      </c>
      <c r="Q3088" s="2" t="s">
        <v>20</v>
      </c>
    </row>
    <row r="3089" customFormat="false" ht="15" hidden="false" customHeight="false" outlineLevel="0" collapsed="false">
      <c r="A3089" s="2" t="n">
        <v>28</v>
      </c>
      <c r="B3089" s="2" t="s">
        <v>29</v>
      </c>
      <c r="C3089" s="2" t="s">
        <v>30</v>
      </c>
      <c r="D3089" s="2" t="s">
        <v>31</v>
      </c>
      <c r="E3089" s="2" t="s">
        <v>20</v>
      </c>
      <c r="F3089" s="2" t="n">
        <v>224</v>
      </c>
      <c r="G3089" s="2" t="s">
        <v>26</v>
      </c>
      <c r="H3089" s="2" t="s">
        <v>20</v>
      </c>
      <c r="I3089" s="2" t="s">
        <v>21</v>
      </c>
      <c r="J3089" s="2" t="n">
        <v>2</v>
      </c>
      <c r="K3089" s="2" t="s">
        <v>35</v>
      </c>
      <c r="L3089" s="2" t="n">
        <v>97</v>
      </c>
      <c r="M3089" s="2" t="n">
        <v>3</v>
      </c>
      <c r="N3089" s="2" t="n">
        <v>-1</v>
      </c>
      <c r="O3089" s="2" t="n">
        <v>0</v>
      </c>
      <c r="P3089" s="2" t="s">
        <v>23</v>
      </c>
      <c r="Q3089" s="2" t="s">
        <v>20</v>
      </c>
    </row>
    <row r="3090" customFormat="false" ht="15" hidden="false" customHeight="false" outlineLevel="0" collapsed="false">
      <c r="A3090" s="2" t="n">
        <v>31</v>
      </c>
      <c r="B3090" s="2" t="s">
        <v>38</v>
      </c>
      <c r="C3090" s="2" t="s">
        <v>30</v>
      </c>
      <c r="D3090" s="2" t="s">
        <v>25</v>
      </c>
      <c r="E3090" s="2" t="s">
        <v>20</v>
      </c>
      <c r="F3090" s="2" t="n">
        <v>2544</v>
      </c>
      <c r="G3090" s="2" t="s">
        <v>20</v>
      </c>
      <c r="H3090" s="2" t="s">
        <v>20</v>
      </c>
      <c r="I3090" s="2" t="s">
        <v>21</v>
      </c>
      <c r="J3090" s="2" t="n">
        <v>15</v>
      </c>
      <c r="K3090" s="2" t="s">
        <v>44</v>
      </c>
      <c r="L3090" s="2" t="n">
        <v>252</v>
      </c>
      <c r="M3090" s="2" t="n">
        <v>1</v>
      </c>
      <c r="N3090" s="2" t="n">
        <v>184</v>
      </c>
      <c r="O3090" s="2" t="n">
        <v>3</v>
      </c>
      <c r="P3090" s="2" t="s">
        <v>50</v>
      </c>
      <c r="Q3090" s="2" t="s">
        <v>26</v>
      </c>
    </row>
    <row r="3091" customFormat="false" ht="15" hidden="false" customHeight="false" outlineLevel="0" collapsed="false">
      <c r="A3091" s="2" t="n">
        <v>53</v>
      </c>
      <c r="B3091" s="2" t="s">
        <v>34</v>
      </c>
      <c r="C3091" s="2" t="s">
        <v>18</v>
      </c>
      <c r="D3091" s="2" t="s">
        <v>25</v>
      </c>
      <c r="E3091" s="2" t="s">
        <v>20</v>
      </c>
      <c r="F3091" s="2" t="n">
        <v>427</v>
      </c>
      <c r="G3091" s="2" t="s">
        <v>20</v>
      </c>
      <c r="H3091" s="2" t="s">
        <v>26</v>
      </c>
      <c r="I3091" s="2" t="s">
        <v>21</v>
      </c>
      <c r="J3091" s="2" t="n">
        <v>14</v>
      </c>
      <c r="K3091" s="2" t="s">
        <v>41</v>
      </c>
      <c r="L3091" s="2" t="n">
        <v>360</v>
      </c>
      <c r="M3091" s="2" t="n">
        <v>4</v>
      </c>
      <c r="N3091" s="2" t="n">
        <v>-1</v>
      </c>
      <c r="O3091" s="2" t="n">
        <v>0</v>
      </c>
      <c r="P3091" s="2" t="s">
        <v>23</v>
      </c>
      <c r="Q3091" s="2" t="s">
        <v>20</v>
      </c>
    </row>
    <row r="3092" customFormat="false" ht="15" hidden="false" customHeight="false" outlineLevel="0" collapsed="false">
      <c r="A3092" s="2" t="n">
        <v>58</v>
      </c>
      <c r="B3092" s="2" t="s">
        <v>29</v>
      </c>
      <c r="C3092" s="2" t="s">
        <v>18</v>
      </c>
      <c r="D3092" s="2" t="s">
        <v>31</v>
      </c>
      <c r="E3092" s="2" t="s">
        <v>20</v>
      </c>
      <c r="F3092" s="2" t="n">
        <v>2764</v>
      </c>
      <c r="G3092" s="2" t="s">
        <v>20</v>
      </c>
      <c r="H3092" s="2" t="s">
        <v>20</v>
      </c>
      <c r="I3092" s="2" t="s">
        <v>21</v>
      </c>
      <c r="J3092" s="2" t="n">
        <v>17</v>
      </c>
      <c r="K3092" s="2" t="s">
        <v>46</v>
      </c>
      <c r="L3092" s="2" t="n">
        <v>235</v>
      </c>
      <c r="M3092" s="2" t="n">
        <v>1</v>
      </c>
      <c r="N3092" s="2" t="n">
        <v>-1</v>
      </c>
      <c r="O3092" s="2" t="n">
        <v>0</v>
      </c>
      <c r="P3092" s="2" t="s">
        <v>23</v>
      </c>
      <c r="Q3092" s="2" t="s">
        <v>20</v>
      </c>
    </row>
    <row r="3093" customFormat="false" ht="15" hidden="false" customHeight="false" outlineLevel="0" collapsed="false">
      <c r="A3093" s="2" t="n">
        <v>38</v>
      </c>
      <c r="B3093" s="2" t="s">
        <v>34</v>
      </c>
      <c r="C3093" s="2" t="s">
        <v>18</v>
      </c>
      <c r="D3093" s="2" t="s">
        <v>25</v>
      </c>
      <c r="E3093" s="2" t="s">
        <v>20</v>
      </c>
      <c r="F3093" s="2" t="n">
        <v>376</v>
      </c>
      <c r="G3093" s="2" t="s">
        <v>26</v>
      </c>
      <c r="H3093" s="2" t="s">
        <v>20</v>
      </c>
      <c r="I3093" s="2" t="s">
        <v>23</v>
      </c>
      <c r="J3093" s="2" t="n">
        <v>7</v>
      </c>
      <c r="K3093" s="2" t="s">
        <v>27</v>
      </c>
      <c r="L3093" s="2" t="n">
        <v>1521</v>
      </c>
      <c r="M3093" s="2" t="n">
        <v>1</v>
      </c>
      <c r="N3093" s="2" t="n">
        <v>-1</v>
      </c>
      <c r="O3093" s="2" t="n">
        <v>0</v>
      </c>
      <c r="P3093" s="2" t="s">
        <v>23</v>
      </c>
      <c r="Q3093" s="2" t="s">
        <v>20</v>
      </c>
    </row>
    <row r="3094" customFormat="false" ht="15" hidden="false" customHeight="false" outlineLevel="0" collapsed="false">
      <c r="A3094" s="2" t="n">
        <v>46</v>
      </c>
      <c r="B3094" s="2" t="s">
        <v>29</v>
      </c>
      <c r="C3094" s="2" t="s">
        <v>18</v>
      </c>
      <c r="D3094" s="2" t="s">
        <v>31</v>
      </c>
      <c r="E3094" s="2" t="s">
        <v>20</v>
      </c>
      <c r="F3094" s="2" t="n">
        <v>523</v>
      </c>
      <c r="G3094" s="2" t="s">
        <v>26</v>
      </c>
      <c r="H3094" s="2" t="s">
        <v>20</v>
      </c>
      <c r="I3094" s="2" t="s">
        <v>21</v>
      </c>
      <c r="J3094" s="2" t="n">
        <v>6</v>
      </c>
      <c r="K3094" s="2" t="s">
        <v>27</v>
      </c>
      <c r="L3094" s="2" t="n">
        <v>105</v>
      </c>
      <c r="M3094" s="2" t="n">
        <v>4</v>
      </c>
      <c r="N3094" s="2" t="n">
        <v>366</v>
      </c>
      <c r="O3094" s="2" t="n">
        <v>2</v>
      </c>
      <c r="P3094" s="2" t="s">
        <v>28</v>
      </c>
      <c r="Q3094" s="2" t="s">
        <v>20</v>
      </c>
    </row>
    <row r="3095" customFormat="false" ht="15" hidden="false" customHeight="false" outlineLevel="0" collapsed="false">
      <c r="A3095" s="2" t="n">
        <v>53</v>
      </c>
      <c r="B3095" s="2" t="s">
        <v>39</v>
      </c>
      <c r="C3095" s="2" t="s">
        <v>18</v>
      </c>
      <c r="D3095" s="2" t="s">
        <v>31</v>
      </c>
      <c r="E3095" s="2" t="s">
        <v>20</v>
      </c>
      <c r="F3095" s="2" t="n">
        <v>71</v>
      </c>
      <c r="G3095" s="2" t="s">
        <v>20</v>
      </c>
      <c r="H3095" s="2" t="s">
        <v>26</v>
      </c>
      <c r="I3095" s="2" t="s">
        <v>21</v>
      </c>
      <c r="J3095" s="2" t="n">
        <v>29</v>
      </c>
      <c r="K3095" s="2" t="s">
        <v>43</v>
      </c>
      <c r="L3095" s="2" t="n">
        <v>86</v>
      </c>
      <c r="M3095" s="2" t="n">
        <v>1</v>
      </c>
      <c r="N3095" s="2" t="n">
        <v>-1</v>
      </c>
      <c r="O3095" s="2" t="n">
        <v>0</v>
      </c>
      <c r="P3095" s="2" t="s">
        <v>23</v>
      </c>
      <c r="Q3095" s="2" t="s">
        <v>20</v>
      </c>
    </row>
    <row r="3096" customFormat="false" ht="15" hidden="false" customHeight="false" outlineLevel="0" collapsed="false">
      <c r="A3096" s="2" t="n">
        <v>56</v>
      </c>
      <c r="B3096" s="2" t="s">
        <v>48</v>
      </c>
      <c r="C3096" s="2" t="s">
        <v>18</v>
      </c>
      <c r="D3096" s="2" t="s">
        <v>25</v>
      </c>
      <c r="E3096" s="2" t="s">
        <v>20</v>
      </c>
      <c r="F3096" s="2" t="n">
        <v>3948</v>
      </c>
      <c r="G3096" s="2" t="s">
        <v>20</v>
      </c>
      <c r="H3096" s="2" t="s">
        <v>20</v>
      </c>
      <c r="I3096" s="2" t="s">
        <v>21</v>
      </c>
      <c r="J3096" s="2" t="n">
        <v>3</v>
      </c>
      <c r="K3096" s="2" t="s">
        <v>32</v>
      </c>
      <c r="L3096" s="2" t="n">
        <v>484</v>
      </c>
      <c r="M3096" s="2" t="n">
        <v>1</v>
      </c>
      <c r="N3096" s="2" t="n">
        <v>135</v>
      </c>
      <c r="O3096" s="2" t="n">
        <v>3</v>
      </c>
      <c r="P3096" s="2" t="s">
        <v>28</v>
      </c>
      <c r="Q3096" s="2" t="s">
        <v>20</v>
      </c>
    </row>
    <row r="3097" customFormat="false" ht="15" hidden="false" customHeight="false" outlineLevel="0" collapsed="false">
      <c r="A3097" s="2" t="n">
        <v>52</v>
      </c>
      <c r="B3097" s="2" t="s">
        <v>24</v>
      </c>
      <c r="C3097" s="2" t="s">
        <v>30</v>
      </c>
      <c r="D3097" s="2" t="s">
        <v>25</v>
      </c>
      <c r="E3097" s="2" t="s">
        <v>20</v>
      </c>
      <c r="F3097" s="2" t="n">
        <v>1810</v>
      </c>
      <c r="G3097" s="2" t="s">
        <v>20</v>
      </c>
      <c r="H3097" s="2" t="s">
        <v>20</v>
      </c>
      <c r="I3097" s="2" t="s">
        <v>49</v>
      </c>
      <c r="J3097" s="2" t="n">
        <v>19</v>
      </c>
      <c r="K3097" s="2" t="s">
        <v>46</v>
      </c>
      <c r="L3097" s="2" t="n">
        <v>117</v>
      </c>
      <c r="M3097" s="2" t="n">
        <v>1</v>
      </c>
      <c r="N3097" s="2" t="n">
        <v>-1</v>
      </c>
      <c r="O3097" s="2" t="n">
        <v>0</v>
      </c>
      <c r="P3097" s="2" t="s">
        <v>23</v>
      </c>
      <c r="Q3097" s="2" t="s">
        <v>20</v>
      </c>
    </row>
    <row r="3098" customFormat="false" ht="15" hidden="false" customHeight="false" outlineLevel="0" collapsed="false">
      <c r="A3098" s="2" t="n">
        <v>38</v>
      </c>
      <c r="B3098" s="2" t="s">
        <v>38</v>
      </c>
      <c r="C3098" s="2" t="s">
        <v>18</v>
      </c>
      <c r="D3098" s="2" t="s">
        <v>25</v>
      </c>
      <c r="E3098" s="2" t="s">
        <v>20</v>
      </c>
      <c r="F3098" s="2" t="n">
        <v>994</v>
      </c>
      <c r="G3098" s="2" t="s">
        <v>20</v>
      </c>
      <c r="H3098" s="2" t="s">
        <v>20</v>
      </c>
      <c r="I3098" s="2" t="s">
        <v>23</v>
      </c>
      <c r="J3098" s="2" t="n">
        <v>9</v>
      </c>
      <c r="K3098" s="2" t="s">
        <v>33</v>
      </c>
      <c r="L3098" s="2" t="n">
        <v>119</v>
      </c>
      <c r="M3098" s="2" t="n">
        <v>1</v>
      </c>
      <c r="N3098" s="2" t="n">
        <v>-1</v>
      </c>
      <c r="O3098" s="2" t="n">
        <v>0</v>
      </c>
      <c r="P3098" s="2" t="s">
        <v>23</v>
      </c>
      <c r="Q3098" s="2" t="s">
        <v>20</v>
      </c>
    </row>
    <row r="3099" customFormat="false" ht="15" hidden="false" customHeight="false" outlineLevel="0" collapsed="false">
      <c r="A3099" s="2" t="n">
        <v>37</v>
      </c>
      <c r="B3099" s="2" t="s">
        <v>24</v>
      </c>
      <c r="C3099" s="2" t="s">
        <v>18</v>
      </c>
      <c r="D3099" s="2" t="s">
        <v>19</v>
      </c>
      <c r="E3099" s="2" t="s">
        <v>20</v>
      </c>
      <c r="F3099" s="2" t="n">
        <v>52</v>
      </c>
      <c r="G3099" s="2" t="s">
        <v>26</v>
      </c>
      <c r="H3099" s="2" t="s">
        <v>20</v>
      </c>
      <c r="I3099" s="2" t="s">
        <v>23</v>
      </c>
      <c r="J3099" s="2" t="n">
        <v>7</v>
      </c>
      <c r="K3099" s="2" t="s">
        <v>27</v>
      </c>
      <c r="L3099" s="2" t="n">
        <v>359</v>
      </c>
      <c r="M3099" s="2" t="n">
        <v>1</v>
      </c>
      <c r="N3099" s="2" t="n">
        <v>-1</v>
      </c>
      <c r="O3099" s="2" t="n">
        <v>0</v>
      </c>
      <c r="P3099" s="2" t="s">
        <v>23</v>
      </c>
      <c r="Q3099" s="2" t="s">
        <v>20</v>
      </c>
    </row>
    <row r="3100" customFormat="false" ht="15" hidden="false" customHeight="false" outlineLevel="0" collapsed="false">
      <c r="A3100" s="2" t="n">
        <v>37</v>
      </c>
      <c r="B3100" s="2" t="s">
        <v>34</v>
      </c>
      <c r="C3100" s="2" t="s">
        <v>18</v>
      </c>
      <c r="D3100" s="2" t="s">
        <v>19</v>
      </c>
      <c r="E3100" s="2" t="s">
        <v>20</v>
      </c>
      <c r="F3100" s="2" t="n">
        <v>11</v>
      </c>
      <c r="G3100" s="2" t="s">
        <v>20</v>
      </c>
      <c r="H3100" s="2" t="s">
        <v>20</v>
      </c>
      <c r="I3100" s="2" t="s">
        <v>49</v>
      </c>
      <c r="J3100" s="2" t="n">
        <v>30</v>
      </c>
      <c r="K3100" s="2" t="s">
        <v>44</v>
      </c>
      <c r="L3100" s="2" t="n">
        <v>109</v>
      </c>
      <c r="M3100" s="2" t="n">
        <v>8</v>
      </c>
      <c r="N3100" s="2" t="n">
        <v>-1</v>
      </c>
      <c r="O3100" s="2" t="n">
        <v>0</v>
      </c>
      <c r="P3100" s="2" t="s">
        <v>23</v>
      </c>
      <c r="Q3100" s="2" t="s">
        <v>20</v>
      </c>
    </row>
    <row r="3101" customFormat="false" ht="15" hidden="false" customHeight="false" outlineLevel="0" collapsed="false">
      <c r="A3101" s="2" t="n">
        <v>37</v>
      </c>
      <c r="B3101" s="2" t="s">
        <v>38</v>
      </c>
      <c r="C3101" s="2" t="s">
        <v>18</v>
      </c>
      <c r="D3101" s="2" t="s">
        <v>25</v>
      </c>
      <c r="E3101" s="2" t="s">
        <v>26</v>
      </c>
      <c r="F3101" s="2" t="n">
        <v>0</v>
      </c>
      <c r="G3101" s="2" t="s">
        <v>20</v>
      </c>
      <c r="H3101" s="2" t="s">
        <v>20</v>
      </c>
      <c r="I3101" s="2" t="s">
        <v>23</v>
      </c>
      <c r="J3101" s="2" t="n">
        <v>18</v>
      </c>
      <c r="K3101" s="2" t="s">
        <v>33</v>
      </c>
      <c r="L3101" s="2" t="n">
        <v>236</v>
      </c>
      <c r="M3101" s="2" t="n">
        <v>1</v>
      </c>
      <c r="N3101" s="2" t="n">
        <v>-1</v>
      </c>
      <c r="O3101" s="2" t="n">
        <v>0</v>
      </c>
      <c r="P3101" s="2" t="s">
        <v>23</v>
      </c>
      <c r="Q3101" s="2" t="s">
        <v>20</v>
      </c>
    </row>
    <row r="3102" customFormat="false" ht="15" hidden="false" customHeight="false" outlineLevel="0" collapsed="false">
      <c r="A3102" s="2" t="n">
        <v>66</v>
      </c>
      <c r="B3102" s="2" t="s">
        <v>48</v>
      </c>
      <c r="C3102" s="2" t="s">
        <v>18</v>
      </c>
      <c r="D3102" s="2" t="s">
        <v>19</v>
      </c>
      <c r="E3102" s="2" t="s">
        <v>20</v>
      </c>
      <c r="F3102" s="2" t="n">
        <v>747</v>
      </c>
      <c r="G3102" s="2" t="s">
        <v>20</v>
      </c>
      <c r="H3102" s="2" t="s">
        <v>20</v>
      </c>
      <c r="I3102" s="2" t="s">
        <v>49</v>
      </c>
      <c r="J3102" s="2" t="n">
        <v>28</v>
      </c>
      <c r="K3102" s="2" t="s">
        <v>43</v>
      </c>
      <c r="L3102" s="2" t="n">
        <v>203</v>
      </c>
      <c r="M3102" s="2" t="n">
        <v>3</v>
      </c>
      <c r="N3102" s="2" t="n">
        <v>93</v>
      </c>
      <c r="O3102" s="2" t="n">
        <v>1</v>
      </c>
      <c r="P3102" s="2" t="s">
        <v>28</v>
      </c>
      <c r="Q3102" s="2" t="s">
        <v>20</v>
      </c>
    </row>
    <row r="3103" customFormat="false" ht="15" hidden="false" customHeight="false" outlineLevel="0" collapsed="false">
      <c r="A3103" s="2" t="n">
        <v>44</v>
      </c>
      <c r="B3103" s="2" t="s">
        <v>34</v>
      </c>
      <c r="C3103" s="2" t="s">
        <v>18</v>
      </c>
      <c r="D3103" s="2" t="s">
        <v>19</v>
      </c>
      <c r="E3103" s="2" t="s">
        <v>20</v>
      </c>
      <c r="F3103" s="2" t="n">
        <v>2657</v>
      </c>
      <c r="G3103" s="2" t="s">
        <v>26</v>
      </c>
      <c r="H3103" s="2" t="s">
        <v>20</v>
      </c>
      <c r="I3103" s="2" t="s">
        <v>23</v>
      </c>
      <c r="J3103" s="2" t="n">
        <v>20</v>
      </c>
      <c r="K3103" s="2" t="s">
        <v>33</v>
      </c>
      <c r="L3103" s="2" t="n">
        <v>202</v>
      </c>
      <c r="M3103" s="2" t="n">
        <v>2</v>
      </c>
      <c r="N3103" s="2" t="n">
        <v>-1</v>
      </c>
      <c r="O3103" s="2" t="n">
        <v>0</v>
      </c>
      <c r="P3103" s="2" t="s">
        <v>23</v>
      </c>
      <c r="Q3103" s="2" t="s">
        <v>20</v>
      </c>
    </row>
    <row r="3104" customFormat="false" ht="15" hidden="false" customHeight="false" outlineLevel="0" collapsed="false">
      <c r="A3104" s="2" t="n">
        <v>61</v>
      </c>
      <c r="B3104" s="2" t="s">
        <v>48</v>
      </c>
      <c r="C3104" s="2" t="s">
        <v>18</v>
      </c>
      <c r="D3104" s="2" t="s">
        <v>25</v>
      </c>
      <c r="E3104" s="2" t="s">
        <v>20</v>
      </c>
      <c r="F3104" s="2" t="n">
        <v>313</v>
      </c>
      <c r="G3104" s="2" t="s">
        <v>20</v>
      </c>
      <c r="H3104" s="2" t="s">
        <v>26</v>
      </c>
      <c r="I3104" s="2" t="s">
        <v>23</v>
      </c>
      <c r="J3104" s="2" t="n">
        <v>3</v>
      </c>
      <c r="K3104" s="2" t="s">
        <v>44</v>
      </c>
      <c r="L3104" s="2" t="n">
        <v>42</v>
      </c>
      <c r="M3104" s="2" t="n">
        <v>1</v>
      </c>
      <c r="N3104" s="2" t="n">
        <v>-1</v>
      </c>
      <c r="O3104" s="2" t="n">
        <v>0</v>
      </c>
      <c r="P3104" s="2" t="s">
        <v>23</v>
      </c>
      <c r="Q3104" s="2" t="s">
        <v>20</v>
      </c>
    </row>
    <row r="3105" customFormat="false" ht="15" hidden="false" customHeight="false" outlineLevel="0" collapsed="false">
      <c r="A3105" s="2" t="n">
        <v>34</v>
      </c>
      <c r="B3105" s="2" t="s">
        <v>40</v>
      </c>
      <c r="C3105" s="2" t="s">
        <v>18</v>
      </c>
      <c r="D3105" s="2" t="s">
        <v>25</v>
      </c>
      <c r="E3105" s="2" t="s">
        <v>20</v>
      </c>
      <c r="F3105" s="2" t="n">
        <v>61</v>
      </c>
      <c r="G3105" s="2" t="s">
        <v>20</v>
      </c>
      <c r="H3105" s="2" t="s">
        <v>26</v>
      </c>
      <c r="I3105" s="2" t="s">
        <v>23</v>
      </c>
      <c r="J3105" s="2" t="n">
        <v>5</v>
      </c>
      <c r="K3105" s="2" t="s">
        <v>27</v>
      </c>
      <c r="L3105" s="2" t="n">
        <v>21</v>
      </c>
      <c r="M3105" s="2" t="n">
        <v>1</v>
      </c>
      <c r="N3105" s="2" t="n">
        <v>-1</v>
      </c>
      <c r="O3105" s="2" t="n">
        <v>0</v>
      </c>
      <c r="P3105" s="2" t="s">
        <v>23</v>
      </c>
      <c r="Q3105" s="2" t="s">
        <v>20</v>
      </c>
    </row>
    <row r="3106" customFormat="false" ht="15" hidden="false" customHeight="false" outlineLevel="0" collapsed="false">
      <c r="A3106" s="2" t="n">
        <v>33</v>
      </c>
      <c r="B3106" s="2" t="s">
        <v>40</v>
      </c>
      <c r="C3106" s="2" t="s">
        <v>30</v>
      </c>
      <c r="D3106" s="2" t="s">
        <v>25</v>
      </c>
      <c r="E3106" s="2" t="s">
        <v>20</v>
      </c>
      <c r="F3106" s="2" t="n">
        <v>2557</v>
      </c>
      <c r="G3106" s="2" t="s">
        <v>26</v>
      </c>
      <c r="H3106" s="2" t="s">
        <v>20</v>
      </c>
      <c r="I3106" s="2" t="s">
        <v>21</v>
      </c>
      <c r="J3106" s="2" t="n">
        <v>18</v>
      </c>
      <c r="K3106" s="2" t="s">
        <v>27</v>
      </c>
      <c r="L3106" s="2" t="n">
        <v>186</v>
      </c>
      <c r="M3106" s="2" t="n">
        <v>1</v>
      </c>
      <c r="N3106" s="2" t="n">
        <v>-1</v>
      </c>
      <c r="O3106" s="2" t="n">
        <v>0</v>
      </c>
      <c r="P3106" s="2" t="s">
        <v>23</v>
      </c>
      <c r="Q3106" s="2" t="s">
        <v>20</v>
      </c>
    </row>
    <row r="3107" customFormat="false" ht="15" hidden="false" customHeight="false" outlineLevel="0" collapsed="false">
      <c r="A3107" s="2" t="n">
        <v>30</v>
      </c>
      <c r="B3107" s="2" t="s">
        <v>24</v>
      </c>
      <c r="C3107" s="2" t="s">
        <v>45</v>
      </c>
      <c r="D3107" s="2" t="s">
        <v>25</v>
      </c>
      <c r="E3107" s="2" t="s">
        <v>20</v>
      </c>
      <c r="F3107" s="2" t="n">
        <v>0</v>
      </c>
      <c r="G3107" s="2" t="s">
        <v>26</v>
      </c>
      <c r="H3107" s="2" t="s">
        <v>20</v>
      </c>
      <c r="I3107" s="2" t="s">
        <v>21</v>
      </c>
      <c r="J3107" s="2" t="n">
        <v>13</v>
      </c>
      <c r="K3107" s="2" t="s">
        <v>27</v>
      </c>
      <c r="L3107" s="2" t="n">
        <v>172</v>
      </c>
      <c r="M3107" s="2" t="n">
        <v>1</v>
      </c>
      <c r="N3107" s="2" t="n">
        <v>-1</v>
      </c>
      <c r="O3107" s="2" t="n">
        <v>0</v>
      </c>
      <c r="P3107" s="2" t="s">
        <v>23</v>
      </c>
      <c r="Q3107" s="2" t="s">
        <v>20</v>
      </c>
    </row>
    <row r="3108" customFormat="false" ht="15" hidden="false" customHeight="false" outlineLevel="0" collapsed="false">
      <c r="A3108" s="2" t="n">
        <v>27</v>
      </c>
      <c r="B3108" s="2" t="s">
        <v>24</v>
      </c>
      <c r="C3108" s="2" t="s">
        <v>45</v>
      </c>
      <c r="D3108" s="2" t="s">
        <v>25</v>
      </c>
      <c r="E3108" s="2" t="s">
        <v>20</v>
      </c>
      <c r="F3108" s="2" t="n">
        <v>10</v>
      </c>
      <c r="G3108" s="2" t="s">
        <v>26</v>
      </c>
      <c r="H3108" s="2" t="s">
        <v>20</v>
      </c>
      <c r="I3108" s="2" t="s">
        <v>21</v>
      </c>
      <c r="J3108" s="2" t="n">
        <v>22</v>
      </c>
      <c r="K3108" s="2" t="s">
        <v>44</v>
      </c>
      <c r="L3108" s="2" t="n">
        <v>527</v>
      </c>
      <c r="M3108" s="2" t="n">
        <v>1</v>
      </c>
      <c r="N3108" s="2" t="n">
        <v>-1</v>
      </c>
      <c r="O3108" s="2" t="n">
        <v>0</v>
      </c>
      <c r="P3108" s="2" t="s">
        <v>23</v>
      </c>
      <c r="Q3108" s="2" t="s">
        <v>20</v>
      </c>
    </row>
    <row r="3109" customFormat="false" ht="15" hidden="false" customHeight="false" outlineLevel="0" collapsed="false">
      <c r="A3109" s="2" t="n">
        <v>37</v>
      </c>
      <c r="B3109" s="2" t="s">
        <v>24</v>
      </c>
      <c r="C3109" s="2" t="s">
        <v>18</v>
      </c>
      <c r="D3109" s="2" t="s">
        <v>25</v>
      </c>
      <c r="E3109" s="2" t="s">
        <v>20</v>
      </c>
      <c r="F3109" s="2" t="n">
        <v>658</v>
      </c>
      <c r="G3109" s="2" t="s">
        <v>26</v>
      </c>
      <c r="H3109" s="2" t="s">
        <v>20</v>
      </c>
      <c r="I3109" s="2" t="s">
        <v>49</v>
      </c>
      <c r="J3109" s="2" t="n">
        <v>23</v>
      </c>
      <c r="K3109" s="2" t="s">
        <v>44</v>
      </c>
      <c r="L3109" s="2" t="n">
        <v>175</v>
      </c>
      <c r="M3109" s="2" t="n">
        <v>1</v>
      </c>
      <c r="N3109" s="2" t="n">
        <v>-1</v>
      </c>
      <c r="O3109" s="2" t="n">
        <v>0</v>
      </c>
      <c r="P3109" s="2" t="s">
        <v>23</v>
      </c>
      <c r="Q3109" s="2" t="s">
        <v>20</v>
      </c>
    </row>
    <row r="3110" customFormat="false" ht="15" hidden="false" customHeight="false" outlineLevel="0" collapsed="false">
      <c r="A3110" s="2" t="n">
        <v>38</v>
      </c>
      <c r="B3110" s="2" t="s">
        <v>34</v>
      </c>
      <c r="C3110" s="2" t="s">
        <v>18</v>
      </c>
      <c r="D3110" s="2" t="s">
        <v>19</v>
      </c>
      <c r="E3110" s="2" t="s">
        <v>20</v>
      </c>
      <c r="F3110" s="2" t="n">
        <v>1679</v>
      </c>
      <c r="G3110" s="2" t="s">
        <v>26</v>
      </c>
      <c r="H3110" s="2" t="s">
        <v>20</v>
      </c>
      <c r="I3110" s="2" t="s">
        <v>23</v>
      </c>
      <c r="J3110" s="2" t="n">
        <v>20</v>
      </c>
      <c r="K3110" s="2" t="s">
        <v>33</v>
      </c>
      <c r="L3110" s="2" t="n">
        <v>21</v>
      </c>
      <c r="M3110" s="2" t="n">
        <v>18</v>
      </c>
      <c r="N3110" s="2" t="n">
        <v>-1</v>
      </c>
      <c r="O3110" s="2" t="n">
        <v>0</v>
      </c>
      <c r="P3110" s="2" t="s">
        <v>23</v>
      </c>
      <c r="Q3110" s="2" t="s">
        <v>20</v>
      </c>
    </row>
    <row r="3111" customFormat="false" ht="15" hidden="false" customHeight="false" outlineLevel="0" collapsed="false">
      <c r="A3111" s="2" t="n">
        <v>35</v>
      </c>
      <c r="B3111" s="2" t="s">
        <v>29</v>
      </c>
      <c r="C3111" s="2" t="s">
        <v>30</v>
      </c>
      <c r="D3111" s="2" t="s">
        <v>31</v>
      </c>
      <c r="E3111" s="2" t="s">
        <v>20</v>
      </c>
      <c r="F3111" s="2" t="n">
        <v>0</v>
      </c>
      <c r="G3111" s="2" t="s">
        <v>20</v>
      </c>
      <c r="H3111" s="2" t="s">
        <v>26</v>
      </c>
      <c r="I3111" s="2" t="s">
        <v>21</v>
      </c>
      <c r="J3111" s="2" t="n">
        <v>14</v>
      </c>
      <c r="K3111" s="2" t="s">
        <v>41</v>
      </c>
      <c r="L3111" s="2" t="n">
        <v>370</v>
      </c>
      <c r="M3111" s="2" t="n">
        <v>4</v>
      </c>
      <c r="N3111" s="2" t="n">
        <v>-1</v>
      </c>
      <c r="O3111" s="2" t="n">
        <v>0</v>
      </c>
      <c r="P3111" s="2" t="s">
        <v>23</v>
      </c>
      <c r="Q3111" s="2" t="s">
        <v>20</v>
      </c>
    </row>
    <row r="3112" customFormat="false" ht="15" hidden="false" customHeight="false" outlineLevel="0" collapsed="false">
      <c r="A3112" s="2" t="n">
        <v>50</v>
      </c>
      <c r="B3112" s="2" t="s">
        <v>38</v>
      </c>
      <c r="C3112" s="2" t="s">
        <v>18</v>
      </c>
      <c r="D3112" s="2" t="s">
        <v>25</v>
      </c>
      <c r="E3112" s="2" t="s">
        <v>20</v>
      </c>
      <c r="F3112" s="2" t="n">
        <v>841</v>
      </c>
      <c r="G3112" s="2" t="s">
        <v>26</v>
      </c>
      <c r="H3112" s="2" t="s">
        <v>20</v>
      </c>
      <c r="I3112" s="2" t="s">
        <v>23</v>
      </c>
      <c r="J3112" s="2" t="n">
        <v>29</v>
      </c>
      <c r="K3112" s="2" t="s">
        <v>27</v>
      </c>
      <c r="L3112" s="2" t="n">
        <v>54</v>
      </c>
      <c r="M3112" s="2" t="n">
        <v>2</v>
      </c>
      <c r="N3112" s="2" t="n">
        <v>-1</v>
      </c>
      <c r="O3112" s="2" t="n">
        <v>0</v>
      </c>
      <c r="P3112" s="2" t="s">
        <v>23</v>
      </c>
      <c r="Q3112" s="2" t="s">
        <v>20</v>
      </c>
    </row>
    <row r="3113" customFormat="false" ht="15" hidden="false" customHeight="false" outlineLevel="0" collapsed="false">
      <c r="A3113" s="2" t="n">
        <v>39</v>
      </c>
      <c r="B3113" s="2" t="s">
        <v>29</v>
      </c>
      <c r="C3113" s="2" t="s">
        <v>18</v>
      </c>
      <c r="D3113" s="2" t="s">
        <v>25</v>
      </c>
      <c r="E3113" s="2" t="s">
        <v>20</v>
      </c>
      <c r="F3113" s="2" t="n">
        <v>0</v>
      </c>
      <c r="G3113" s="2" t="s">
        <v>26</v>
      </c>
      <c r="H3113" s="2" t="s">
        <v>20</v>
      </c>
      <c r="I3113" s="2" t="s">
        <v>21</v>
      </c>
      <c r="J3113" s="2" t="n">
        <v>27</v>
      </c>
      <c r="K3113" s="2" t="s">
        <v>41</v>
      </c>
      <c r="L3113" s="2" t="n">
        <v>63</v>
      </c>
      <c r="M3113" s="2" t="n">
        <v>3</v>
      </c>
      <c r="N3113" s="2" t="n">
        <v>-1</v>
      </c>
      <c r="O3113" s="2" t="n">
        <v>0</v>
      </c>
      <c r="P3113" s="2" t="s">
        <v>23</v>
      </c>
      <c r="Q3113" s="2" t="s">
        <v>20</v>
      </c>
    </row>
    <row r="3114" customFormat="false" ht="15" hidden="false" customHeight="false" outlineLevel="0" collapsed="false">
      <c r="A3114" s="2" t="n">
        <v>35</v>
      </c>
      <c r="B3114" s="2" t="s">
        <v>29</v>
      </c>
      <c r="C3114" s="2" t="s">
        <v>18</v>
      </c>
      <c r="D3114" s="2" t="s">
        <v>25</v>
      </c>
      <c r="E3114" s="2" t="s">
        <v>20</v>
      </c>
      <c r="F3114" s="2" t="n">
        <v>1160</v>
      </c>
      <c r="G3114" s="2" t="s">
        <v>26</v>
      </c>
      <c r="H3114" s="2" t="s">
        <v>20</v>
      </c>
      <c r="I3114" s="2" t="s">
        <v>23</v>
      </c>
      <c r="J3114" s="2" t="n">
        <v>27</v>
      </c>
      <c r="K3114" s="2" t="s">
        <v>27</v>
      </c>
      <c r="L3114" s="2" t="n">
        <v>116</v>
      </c>
      <c r="M3114" s="2" t="n">
        <v>3</v>
      </c>
      <c r="N3114" s="2" t="n">
        <v>-1</v>
      </c>
      <c r="O3114" s="2" t="n">
        <v>0</v>
      </c>
      <c r="P3114" s="2" t="s">
        <v>23</v>
      </c>
      <c r="Q3114" s="2" t="s">
        <v>20</v>
      </c>
    </row>
    <row r="3115" customFormat="false" ht="15" hidden="false" customHeight="false" outlineLevel="0" collapsed="false">
      <c r="A3115" s="2" t="n">
        <v>36</v>
      </c>
      <c r="B3115" s="2" t="s">
        <v>40</v>
      </c>
      <c r="C3115" s="2" t="s">
        <v>45</v>
      </c>
      <c r="D3115" s="2" t="s">
        <v>25</v>
      </c>
      <c r="E3115" s="2" t="s">
        <v>20</v>
      </c>
      <c r="F3115" s="2" t="n">
        <v>-37</v>
      </c>
      <c r="G3115" s="2" t="s">
        <v>26</v>
      </c>
      <c r="H3115" s="2" t="s">
        <v>20</v>
      </c>
      <c r="I3115" s="2" t="s">
        <v>23</v>
      </c>
      <c r="J3115" s="2" t="n">
        <v>27</v>
      </c>
      <c r="K3115" s="2" t="s">
        <v>27</v>
      </c>
      <c r="L3115" s="2" t="n">
        <v>151</v>
      </c>
      <c r="M3115" s="2" t="n">
        <v>1</v>
      </c>
      <c r="N3115" s="2" t="n">
        <v>-1</v>
      </c>
      <c r="O3115" s="2" t="n">
        <v>0</v>
      </c>
      <c r="P3115" s="2" t="s">
        <v>23</v>
      </c>
      <c r="Q3115" s="2" t="s">
        <v>20</v>
      </c>
    </row>
    <row r="3116" customFormat="false" ht="15" hidden="false" customHeight="false" outlineLevel="0" collapsed="false">
      <c r="A3116" s="2" t="n">
        <v>28</v>
      </c>
      <c r="B3116" s="2" t="s">
        <v>24</v>
      </c>
      <c r="C3116" s="2" t="s">
        <v>30</v>
      </c>
      <c r="D3116" s="2" t="s">
        <v>25</v>
      </c>
      <c r="E3116" s="2" t="s">
        <v>20</v>
      </c>
      <c r="F3116" s="2" t="n">
        <v>94</v>
      </c>
      <c r="G3116" s="2" t="s">
        <v>26</v>
      </c>
      <c r="H3116" s="2" t="s">
        <v>20</v>
      </c>
      <c r="I3116" s="2" t="s">
        <v>21</v>
      </c>
      <c r="J3116" s="2" t="n">
        <v>16</v>
      </c>
      <c r="K3116" s="2" t="s">
        <v>32</v>
      </c>
      <c r="L3116" s="2" t="n">
        <v>300</v>
      </c>
      <c r="M3116" s="2" t="n">
        <v>1</v>
      </c>
      <c r="N3116" s="2" t="n">
        <v>-1</v>
      </c>
      <c r="O3116" s="2" t="n">
        <v>0</v>
      </c>
      <c r="P3116" s="2" t="s">
        <v>23</v>
      </c>
      <c r="Q3116" s="2" t="s">
        <v>20</v>
      </c>
    </row>
    <row r="3117" customFormat="false" ht="15" hidden="false" customHeight="false" outlineLevel="0" collapsed="false">
      <c r="A3117" s="2" t="n">
        <v>39</v>
      </c>
      <c r="B3117" s="2" t="s">
        <v>36</v>
      </c>
      <c r="C3117" s="2" t="s">
        <v>18</v>
      </c>
      <c r="D3117" s="2" t="s">
        <v>31</v>
      </c>
      <c r="E3117" s="2" t="s">
        <v>20</v>
      </c>
      <c r="F3117" s="2" t="n">
        <v>585</v>
      </c>
      <c r="G3117" s="2" t="s">
        <v>26</v>
      </c>
      <c r="H3117" s="2" t="s">
        <v>20</v>
      </c>
      <c r="I3117" s="2" t="s">
        <v>21</v>
      </c>
      <c r="J3117" s="2" t="n">
        <v>18</v>
      </c>
      <c r="K3117" s="2" t="s">
        <v>46</v>
      </c>
      <c r="L3117" s="2" t="n">
        <v>48</v>
      </c>
      <c r="M3117" s="2" t="n">
        <v>1</v>
      </c>
      <c r="N3117" s="2" t="n">
        <v>181</v>
      </c>
      <c r="O3117" s="2" t="n">
        <v>3</v>
      </c>
      <c r="P3117" s="2" t="s">
        <v>28</v>
      </c>
      <c r="Q3117" s="2" t="s">
        <v>20</v>
      </c>
    </row>
    <row r="3118" customFormat="false" ht="15" hidden="false" customHeight="false" outlineLevel="0" collapsed="false">
      <c r="A3118" s="2" t="n">
        <v>39</v>
      </c>
      <c r="B3118" s="2" t="s">
        <v>36</v>
      </c>
      <c r="C3118" s="2" t="s">
        <v>18</v>
      </c>
      <c r="D3118" s="2" t="s">
        <v>25</v>
      </c>
      <c r="E3118" s="2" t="s">
        <v>20</v>
      </c>
      <c r="F3118" s="2" t="n">
        <v>235</v>
      </c>
      <c r="G3118" s="2" t="s">
        <v>20</v>
      </c>
      <c r="H3118" s="2" t="s">
        <v>20</v>
      </c>
      <c r="I3118" s="2" t="s">
        <v>23</v>
      </c>
      <c r="J3118" s="2" t="n">
        <v>9</v>
      </c>
      <c r="K3118" s="2" t="s">
        <v>33</v>
      </c>
      <c r="L3118" s="2" t="n">
        <v>217</v>
      </c>
      <c r="M3118" s="2" t="n">
        <v>1</v>
      </c>
      <c r="N3118" s="2" t="n">
        <v>-1</v>
      </c>
      <c r="O3118" s="2" t="n">
        <v>0</v>
      </c>
      <c r="P3118" s="2" t="s">
        <v>23</v>
      </c>
      <c r="Q3118" s="2" t="s">
        <v>20</v>
      </c>
    </row>
    <row r="3119" customFormat="false" ht="15" hidden="false" customHeight="false" outlineLevel="0" collapsed="false">
      <c r="A3119" s="2" t="n">
        <v>30</v>
      </c>
      <c r="B3119" s="2" t="s">
        <v>34</v>
      </c>
      <c r="C3119" s="2" t="s">
        <v>30</v>
      </c>
      <c r="D3119" s="2" t="s">
        <v>25</v>
      </c>
      <c r="E3119" s="2" t="s">
        <v>20</v>
      </c>
      <c r="F3119" s="2" t="n">
        <v>2145</v>
      </c>
      <c r="G3119" s="2" t="s">
        <v>26</v>
      </c>
      <c r="H3119" s="2" t="s">
        <v>20</v>
      </c>
      <c r="I3119" s="2" t="s">
        <v>21</v>
      </c>
      <c r="J3119" s="2" t="n">
        <v>18</v>
      </c>
      <c r="K3119" s="2" t="s">
        <v>27</v>
      </c>
      <c r="L3119" s="2" t="n">
        <v>727</v>
      </c>
      <c r="M3119" s="2" t="n">
        <v>2</v>
      </c>
      <c r="N3119" s="2" t="n">
        <v>-1</v>
      </c>
      <c r="O3119" s="2" t="n">
        <v>0</v>
      </c>
      <c r="P3119" s="2" t="s">
        <v>23</v>
      </c>
      <c r="Q3119" s="2" t="s">
        <v>26</v>
      </c>
    </row>
    <row r="3120" customFormat="false" ht="15" hidden="false" customHeight="false" outlineLevel="0" collapsed="false">
      <c r="A3120" s="2" t="n">
        <v>32</v>
      </c>
      <c r="B3120" s="2" t="s">
        <v>24</v>
      </c>
      <c r="C3120" s="2" t="s">
        <v>18</v>
      </c>
      <c r="D3120" s="2" t="s">
        <v>25</v>
      </c>
      <c r="E3120" s="2" t="s">
        <v>20</v>
      </c>
      <c r="F3120" s="2" t="n">
        <v>1464</v>
      </c>
      <c r="G3120" s="2" t="s">
        <v>26</v>
      </c>
      <c r="H3120" s="2" t="s">
        <v>20</v>
      </c>
      <c r="I3120" s="2" t="s">
        <v>23</v>
      </c>
      <c r="J3120" s="2" t="n">
        <v>3</v>
      </c>
      <c r="K3120" s="2" t="s">
        <v>33</v>
      </c>
      <c r="L3120" s="2" t="n">
        <v>193</v>
      </c>
      <c r="M3120" s="2" t="n">
        <v>1</v>
      </c>
      <c r="N3120" s="2" t="n">
        <v>-1</v>
      </c>
      <c r="O3120" s="2" t="n">
        <v>0</v>
      </c>
      <c r="P3120" s="2" t="s">
        <v>23</v>
      </c>
      <c r="Q3120" s="2" t="s">
        <v>20</v>
      </c>
    </row>
    <row r="3121" customFormat="false" ht="15" hidden="false" customHeight="false" outlineLevel="0" collapsed="false">
      <c r="A3121" s="2" t="n">
        <v>28</v>
      </c>
      <c r="B3121" s="2" t="s">
        <v>38</v>
      </c>
      <c r="C3121" s="2" t="s">
        <v>18</v>
      </c>
      <c r="D3121" s="2" t="s">
        <v>25</v>
      </c>
      <c r="E3121" s="2" t="s">
        <v>20</v>
      </c>
      <c r="F3121" s="2" t="n">
        <v>232</v>
      </c>
      <c r="G3121" s="2" t="s">
        <v>26</v>
      </c>
      <c r="H3121" s="2" t="s">
        <v>26</v>
      </c>
      <c r="I3121" s="2" t="s">
        <v>21</v>
      </c>
      <c r="J3121" s="2" t="n">
        <v>29</v>
      </c>
      <c r="K3121" s="2" t="s">
        <v>43</v>
      </c>
      <c r="L3121" s="2" t="n">
        <v>72</v>
      </c>
      <c r="M3121" s="2" t="n">
        <v>1</v>
      </c>
      <c r="N3121" s="2" t="n">
        <v>261</v>
      </c>
      <c r="O3121" s="2" t="n">
        <v>1</v>
      </c>
      <c r="P3121" s="2" t="s">
        <v>28</v>
      </c>
      <c r="Q3121" s="2" t="s">
        <v>20</v>
      </c>
    </row>
    <row r="3122" customFormat="false" ht="15" hidden="false" customHeight="false" outlineLevel="0" collapsed="false">
      <c r="A3122" s="2" t="n">
        <v>47</v>
      </c>
      <c r="B3122" s="2" t="s">
        <v>38</v>
      </c>
      <c r="C3122" s="2" t="s">
        <v>18</v>
      </c>
      <c r="D3122" s="2" t="s">
        <v>19</v>
      </c>
      <c r="E3122" s="2" t="s">
        <v>20</v>
      </c>
      <c r="F3122" s="2" t="n">
        <v>187</v>
      </c>
      <c r="G3122" s="2" t="s">
        <v>26</v>
      </c>
      <c r="H3122" s="2" t="s">
        <v>20</v>
      </c>
      <c r="I3122" s="2" t="s">
        <v>23</v>
      </c>
      <c r="J3122" s="2" t="n">
        <v>9</v>
      </c>
      <c r="K3122" s="2" t="s">
        <v>27</v>
      </c>
      <c r="L3122" s="2" t="n">
        <v>165</v>
      </c>
      <c r="M3122" s="2" t="n">
        <v>1</v>
      </c>
      <c r="N3122" s="2" t="n">
        <v>-1</v>
      </c>
      <c r="O3122" s="2" t="n">
        <v>0</v>
      </c>
      <c r="P3122" s="2" t="s">
        <v>23</v>
      </c>
      <c r="Q3122" s="2" t="s">
        <v>20</v>
      </c>
    </row>
    <row r="3123" customFormat="false" ht="15" hidden="false" customHeight="false" outlineLevel="0" collapsed="false">
      <c r="A3123" s="2" t="n">
        <v>53</v>
      </c>
      <c r="B3123" s="2" t="s">
        <v>29</v>
      </c>
      <c r="C3123" s="2" t="s">
        <v>18</v>
      </c>
      <c r="D3123" s="2" t="s">
        <v>31</v>
      </c>
      <c r="E3123" s="2" t="s">
        <v>20</v>
      </c>
      <c r="F3123" s="2" t="n">
        <v>12</v>
      </c>
      <c r="G3123" s="2" t="s">
        <v>20</v>
      </c>
      <c r="H3123" s="2" t="s">
        <v>20</v>
      </c>
      <c r="I3123" s="2" t="s">
        <v>21</v>
      </c>
      <c r="J3123" s="2" t="n">
        <v>27</v>
      </c>
      <c r="K3123" s="2" t="s">
        <v>41</v>
      </c>
      <c r="L3123" s="2" t="n">
        <v>345</v>
      </c>
      <c r="M3123" s="2" t="n">
        <v>10</v>
      </c>
      <c r="N3123" s="2" t="n">
        <v>-1</v>
      </c>
      <c r="O3123" s="2" t="n">
        <v>0</v>
      </c>
      <c r="P3123" s="2" t="s">
        <v>23</v>
      </c>
      <c r="Q3123" s="2" t="s">
        <v>20</v>
      </c>
    </row>
    <row r="3124" customFormat="false" ht="15" hidden="false" customHeight="false" outlineLevel="0" collapsed="false">
      <c r="A3124" s="2" t="n">
        <v>57</v>
      </c>
      <c r="B3124" s="2" t="s">
        <v>34</v>
      </c>
      <c r="C3124" s="2" t="s">
        <v>18</v>
      </c>
      <c r="D3124" s="2" t="s">
        <v>19</v>
      </c>
      <c r="E3124" s="2" t="s">
        <v>20</v>
      </c>
      <c r="F3124" s="2" t="n">
        <v>318</v>
      </c>
      <c r="G3124" s="2" t="s">
        <v>26</v>
      </c>
      <c r="H3124" s="2" t="s">
        <v>20</v>
      </c>
      <c r="I3124" s="2" t="s">
        <v>23</v>
      </c>
      <c r="J3124" s="2" t="n">
        <v>27</v>
      </c>
      <c r="K3124" s="2" t="s">
        <v>27</v>
      </c>
      <c r="L3124" s="2" t="n">
        <v>206</v>
      </c>
      <c r="M3124" s="2" t="n">
        <v>2</v>
      </c>
      <c r="N3124" s="2" t="n">
        <v>-1</v>
      </c>
      <c r="O3124" s="2" t="n">
        <v>0</v>
      </c>
      <c r="P3124" s="2" t="s">
        <v>23</v>
      </c>
      <c r="Q3124" s="2" t="s">
        <v>20</v>
      </c>
    </row>
    <row r="3125" customFormat="false" ht="15" hidden="false" customHeight="false" outlineLevel="0" collapsed="false">
      <c r="A3125" s="2" t="n">
        <v>47</v>
      </c>
      <c r="B3125" s="2" t="s">
        <v>24</v>
      </c>
      <c r="C3125" s="2" t="s">
        <v>18</v>
      </c>
      <c r="D3125" s="2" t="s">
        <v>25</v>
      </c>
      <c r="E3125" s="2" t="s">
        <v>20</v>
      </c>
      <c r="F3125" s="2" t="n">
        <v>405</v>
      </c>
      <c r="G3125" s="2" t="s">
        <v>20</v>
      </c>
      <c r="H3125" s="2" t="s">
        <v>26</v>
      </c>
      <c r="I3125" s="2" t="s">
        <v>21</v>
      </c>
      <c r="J3125" s="2" t="n">
        <v>8</v>
      </c>
      <c r="K3125" s="2" t="s">
        <v>41</v>
      </c>
      <c r="L3125" s="2" t="n">
        <v>994</v>
      </c>
      <c r="M3125" s="2" t="n">
        <v>2</v>
      </c>
      <c r="N3125" s="2" t="n">
        <v>-1</v>
      </c>
      <c r="O3125" s="2" t="n">
        <v>0</v>
      </c>
      <c r="P3125" s="2" t="s">
        <v>23</v>
      </c>
      <c r="Q3125" s="2" t="s">
        <v>26</v>
      </c>
    </row>
    <row r="3126" customFormat="false" ht="15" hidden="false" customHeight="false" outlineLevel="0" collapsed="false">
      <c r="A3126" s="2" t="n">
        <v>56</v>
      </c>
      <c r="B3126" s="2" t="s">
        <v>29</v>
      </c>
      <c r="C3126" s="2" t="s">
        <v>18</v>
      </c>
      <c r="D3126" s="2" t="s">
        <v>31</v>
      </c>
      <c r="E3126" s="2" t="s">
        <v>20</v>
      </c>
      <c r="F3126" s="2" t="n">
        <v>334</v>
      </c>
      <c r="G3126" s="2" t="s">
        <v>26</v>
      </c>
      <c r="H3126" s="2" t="s">
        <v>20</v>
      </c>
      <c r="I3126" s="2" t="s">
        <v>23</v>
      </c>
      <c r="J3126" s="2" t="n">
        <v>15</v>
      </c>
      <c r="K3126" s="2" t="s">
        <v>27</v>
      </c>
      <c r="L3126" s="2" t="n">
        <v>127</v>
      </c>
      <c r="M3126" s="2" t="n">
        <v>2</v>
      </c>
      <c r="N3126" s="2" t="n">
        <v>-1</v>
      </c>
      <c r="O3126" s="2" t="n">
        <v>0</v>
      </c>
      <c r="P3126" s="2" t="s">
        <v>23</v>
      </c>
      <c r="Q3126" s="2" t="s">
        <v>20</v>
      </c>
    </row>
    <row r="3127" customFormat="false" ht="15" hidden="false" customHeight="false" outlineLevel="0" collapsed="false">
      <c r="A3127" s="2" t="n">
        <v>38</v>
      </c>
      <c r="B3127" s="2" t="s">
        <v>40</v>
      </c>
      <c r="C3127" s="2" t="s">
        <v>18</v>
      </c>
      <c r="D3127" s="2" t="s">
        <v>19</v>
      </c>
      <c r="E3127" s="2" t="s">
        <v>20</v>
      </c>
      <c r="F3127" s="2" t="n">
        <v>0</v>
      </c>
      <c r="G3127" s="2" t="s">
        <v>26</v>
      </c>
      <c r="H3127" s="2" t="s">
        <v>20</v>
      </c>
      <c r="I3127" s="2" t="s">
        <v>23</v>
      </c>
      <c r="J3127" s="2" t="n">
        <v>2</v>
      </c>
      <c r="K3127" s="2" t="s">
        <v>33</v>
      </c>
      <c r="L3127" s="2" t="n">
        <v>29</v>
      </c>
      <c r="M3127" s="2" t="n">
        <v>32</v>
      </c>
      <c r="N3127" s="2" t="n">
        <v>-1</v>
      </c>
      <c r="O3127" s="2" t="n">
        <v>0</v>
      </c>
      <c r="P3127" s="2" t="s">
        <v>23</v>
      </c>
      <c r="Q3127" s="2" t="s">
        <v>20</v>
      </c>
    </row>
    <row r="3128" customFormat="false" ht="15" hidden="false" customHeight="false" outlineLevel="0" collapsed="false">
      <c r="A3128" s="2" t="n">
        <v>52</v>
      </c>
      <c r="B3128" s="2" t="s">
        <v>34</v>
      </c>
      <c r="C3128" s="2" t="s">
        <v>18</v>
      </c>
      <c r="D3128" s="2" t="s">
        <v>19</v>
      </c>
      <c r="E3128" s="2" t="s">
        <v>20</v>
      </c>
      <c r="F3128" s="2" t="n">
        <v>2</v>
      </c>
      <c r="G3128" s="2" t="s">
        <v>20</v>
      </c>
      <c r="H3128" s="2" t="s">
        <v>20</v>
      </c>
      <c r="I3128" s="2" t="s">
        <v>23</v>
      </c>
      <c r="J3128" s="2" t="n">
        <v>9</v>
      </c>
      <c r="K3128" s="2" t="s">
        <v>33</v>
      </c>
      <c r="L3128" s="2" t="n">
        <v>70</v>
      </c>
      <c r="M3128" s="2" t="n">
        <v>3</v>
      </c>
      <c r="N3128" s="2" t="n">
        <v>-1</v>
      </c>
      <c r="O3128" s="2" t="n">
        <v>0</v>
      </c>
      <c r="P3128" s="2" t="s">
        <v>23</v>
      </c>
      <c r="Q3128" s="2" t="s">
        <v>20</v>
      </c>
    </row>
    <row r="3129" customFormat="false" ht="15" hidden="false" customHeight="false" outlineLevel="0" collapsed="false">
      <c r="A3129" s="2" t="n">
        <v>46</v>
      </c>
      <c r="B3129" s="2" t="s">
        <v>38</v>
      </c>
      <c r="C3129" s="2" t="s">
        <v>18</v>
      </c>
      <c r="D3129" s="2" t="s">
        <v>25</v>
      </c>
      <c r="E3129" s="2" t="s">
        <v>20</v>
      </c>
      <c r="F3129" s="2" t="n">
        <v>966</v>
      </c>
      <c r="G3129" s="2" t="s">
        <v>26</v>
      </c>
      <c r="H3129" s="2" t="s">
        <v>26</v>
      </c>
      <c r="I3129" s="2" t="s">
        <v>21</v>
      </c>
      <c r="J3129" s="2" t="n">
        <v>19</v>
      </c>
      <c r="K3129" s="2" t="s">
        <v>41</v>
      </c>
      <c r="L3129" s="2" t="n">
        <v>40</v>
      </c>
      <c r="M3129" s="2" t="n">
        <v>2</v>
      </c>
      <c r="N3129" s="2" t="n">
        <v>-1</v>
      </c>
      <c r="O3129" s="2" t="n">
        <v>0</v>
      </c>
      <c r="P3129" s="2" t="s">
        <v>23</v>
      </c>
      <c r="Q3129" s="2" t="s">
        <v>20</v>
      </c>
    </row>
    <row r="3130" customFormat="false" ht="15" hidden="false" customHeight="false" outlineLevel="0" collapsed="false">
      <c r="A3130" s="2" t="n">
        <v>57</v>
      </c>
      <c r="B3130" s="2" t="s">
        <v>34</v>
      </c>
      <c r="C3130" s="2" t="s">
        <v>18</v>
      </c>
      <c r="D3130" s="2" t="s">
        <v>19</v>
      </c>
      <c r="E3130" s="2" t="s">
        <v>26</v>
      </c>
      <c r="F3130" s="2" t="n">
        <v>195</v>
      </c>
      <c r="G3130" s="2" t="s">
        <v>20</v>
      </c>
      <c r="H3130" s="2" t="s">
        <v>26</v>
      </c>
      <c r="I3130" s="2" t="s">
        <v>49</v>
      </c>
      <c r="J3130" s="2" t="n">
        <v>30</v>
      </c>
      <c r="K3130" s="2" t="s">
        <v>44</v>
      </c>
      <c r="L3130" s="2" t="n">
        <v>185</v>
      </c>
      <c r="M3130" s="2" t="n">
        <v>4</v>
      </c>
      <c r="N3130" s="2" t="n">
        <v>-1</v>
      </c>
      <c r="O3130" s="2" t="n">
        <v>0</v>
      </c>
      <c r="P3130" s="2" t="s">
        <v>23</v>
      </c>
      <c r="Q3130" s="2" t="s">
        <v>20</v>
      </c>
    </row>
    <row r="3131" customFormat="false" ht="15" hidden="false" customHeight="false" outlineLevel="0" collapsed="false">
      <c r="A3131" s="2" t="n">
        <v>42</v>
      </c>
      <c r="B3131" s="2" t="s">
        <v>34</v>
      </c>
      <c r="C3131" s="2" t="s">
        <v>45</v>
      </c>
      <c r="D3131" s="2" t="s">
        <v>23</v>
      </c>
      <c r="E3131" s="2" t="s">
        <v>20</v>
      </c>
      <c r="F3131" s="2" t="n">
        <v>0</v>
      </c>
      <c r="G3131" s="2" t="s">
        <v>20</v>
      </c>
      <c r="H3131" s="2" t="s">
        <v>20</v>
      </c>
      <c r="I3131" s="2" t="s">
        <v>21</v>
      </c>
      <c r="J3131" s="2" t="n">
        <v>7</v>
      </c>
      <c r="K3131" s="2" t="s">
        <v>44</v>
      </c>
      <c r="L3131" s="2" t="n">
        <v>64</v>
      </c>
      <c r="M3131" s="2" t="n">
        <v>2</v>
      </c>
      <c r="N3131" s="2" t="n">
        <v>-1</v>
      </c>
      <c r="O3131" s="2" t="n">
        <v>0</v>
      </c>
      <c r="P3131" s="2" t="s">
        <v>23</v>
      </c>
      <c r="Q3131" s="2" t="s">
        <v>20</v>
      </c>
    </row>
    <row r="3132" customFormat="false" ht="15" hidden="false" customHeight="false" outlineLevel="0" collapsed="false">
      <c r="A3132" s="2" t="n">
        <v>57</v>
      </c>
      <c r="B3132" s="2" t="s">
        <v>17</v>
      </c>
      <c r="C3132" s="2" t="s">
        <v>18</v>
      </c>
      <c r="D3132" s="2" t="s">
        <v>25</v>
      </c>
      <c r="E3132" s="2" t="s">
        <v>20</v>
      </c>
      <c r="F3132" s="2" t="n">
        <v>0</v>
      </c>
      <c r="G3132" s="2" t="s">
        <v>20</v>
      </c>
      <c r="H3132" s="2" t="s">
        <v>20</v>
      </c>
      <c r="I3132" s="2" t="s">
        <v>23</v>
      </c>
      <c r="J3132" s="2" t="n">
        <v>19</v>
      </c>
      <c r="K3132" s="2" t="s">
        <v>33</v>
      </c>
      <c r="L3132" s="2" t="n">
        <v>97</v>
      </c>
      <c r="M3132" s="2" t="n">
        <v>1</v>
      </c>
      <c r="N3132" s="2" t="n">
        <v>-1</v>
      </c>
      <c r="O3132" s="2" t="n">
        <v>0</v>
      </c>
      <c r="P3132" s="2" t="s">
        <v>23</v>
      </c>
      <c r="Q3132" s="2" t="s">
        <v>20</v>
      </c>
    </row>
    <row r="3133" customFormat="false" ht="15" hidden="false" customHeight="false" outlineLevel="0" collapsed="false">
      <c r="A3133" s="2" t="n">
        <v>51</v>
      </c>
      <c r="B3133" s="2" t="s">
        <v>47</v>
      </c>
      <c r="C3133" s="2" t="s">
        <v>18</v>
      </c>
      <c r="D3133" s="2" t="s">
        <v>25</v>
      </c>
      <c r="E3133" s="2" t="s">
        <v>20</v>
      </c>
      <c r="F3133" s="2" t="n">
        <v>260</v>
      </c>
      <c r="G3133" s="2" t="s">
        <v>20</v>
      </c>
      <c r="H3133" s="2" t="s">
        <v>20</v>
      </c>
      <c r="I3133" s="2" t="s">
        <v>21</v>
      </c>
      <c r="J3133" s="2" t="n">
        <v>27</v>
      </c>
      <c r="K3133" s="2" t="s">
        <v>41</v>
      </c>
      <c r="L3133" s="2" t="n">
        <v>316</v>
      </c>
      <c r="M3133" s="2" t="n">
        <v>5</v>
      </c>
      <c r="N3133" s="2" t="n">
        <v>-1</v>
      </c>
      <c r="O3133" s="2" t="n">
        <v>0</v>
      </c>
      <c r="P3133" s="2" t="s">
        <v>23</v>
      </c>
      <c r="Q3133" s="2" t="s">
        <v>20</v>
      </c>
    </row>
    <row r="3134" customFormat="false" ht="15" hidden="false" customHeight="false" outlineLevel="0" collapsed="false">
      <c r="A3134" s="2" t="n">
        <v>53</v>
      </c>
      <c r="B3134" s="2" t="s">
        <v>36</v>
      </c>
      <c r="C3134" s="2" t="s">
        <v>18</v>
      </c>
      <c r="D3134" s="2" t="s">
        <v>31</v>
      </c>
      <c r="E3134" s="2" t="s">
        <v>20</v>
      </c>
      <c r="F3134" s="2" t="n">
        <v>451</v>
      </c>
      <c r="G3134" s="2" t="s">
        <v>26</v>
      </c>
      <c r="H3134" s="2" t="s">
        <v>20</v>
      </c>
      <c r="I3134" s="2" t="s">
        <v>21</v>
      </c>
      <c r="J3134" s="2" t="n">
        <v>2</v>
      </c>
      <c r="K3134" s="2" t="s">
        <v>35</v>
      </c>
      <c r="L3134" s="2" t="n">
        <v>125</v>
      </c>
      <c r="M3134" s="2" t="n">
        <v>1</v>
      </c>
      <c r="N3134" s="2" t="n">
        <v>249</v>
      </c>
      <c r="O3134" s="2" t="n">
        <v>2</v>
      </c>
      <c r="P3134" s="2" t="s">
        <v>28</v>
      </c>
      <c r="Q3134" s="2" t="s">
        <v>20</v>
      </c>
    </row>
    <row r="3135" customFormat="false" ht="15" hidden="false" customHeight="false" outlineLevel="0" collapsed="false">
      <c r="A3135" s="2" t="n">
        <v>37</v>
      </c>
      <c r="B3135" s="2" t="s">
        <v>34</v>
      </c>
      <c r="C3135" s="2" t="s">
        <v>18</v>
      </c>
      <c r="D3135" s="2" t="s">
        <v>19</v>
      </c>
      <c r="E3135" s="2" t="s">
        <v>20</v>
      </c>
      <c r="F3135" s="2" t="n">
        <v>3242</v>
      </c>
      <c r="G3135" s="2" t="s">
        <v>26</v>
      </c>
      <c r="H3135" s="2" t="s">
        <v>20</v>
      </c>
      <c r="I3135" s="2" t="s">
        <v>23</v>
      </c>
      <c r="J3135" s="2" t="n">
        <v>21</v>
      </c>
      <c r="K3135" s="2" t="s">
        <v>27</v>
      </c>
      <c r="L3135" s="2" t="n">
        <v>233</v>
      </c>
      <c r="M3135" s="2" t="n">
        <v>1</v>
      </c>
      <c r="N3135" s="2" t="n">
        <v>-1</v>
      </c>
      <c r="O3135" s="2" t="n">
        <v>0</v>
      </c>
      <c r="P3135" s="2" t="s">
        <v>23</v>
      </c>
      <c r="Q3135" s="2" t="s">
        <v>20</v>
      </c>
    </row>
    <row r="3136" customFormat="false" ht="15" hidden="false" customHeight="false" outlineLevel="0" collapsed="false">
      <c r="A3136" s="2" t="n">
        <v>47</v>
      </c>
      <c r="B3136" s="2" t="s">
        <v>36</v>
      </c>
      <c r="C3136" s="2" t="s">
        <v>45</v>
      </c>
      <c r="D3136" s="2" t="s">
        <v>25</v>
      </c>
      <c r="E3136" s="2" t="s">
        <v>20</v>
      </c>
      <c r="F3136" s="2" t="n">
        <v>8515</v>
      </c>
      <c r="G3136" s="2" t="s">
        <v>26</v>
      </c>
      <c r="H3136" s="2" t="s">
        <v>20</v>
      </c>
      <c r="I3136" s="2" t="s">
        <v>23</v>
      </c>
      <c r="J3136" s="2" t="n">
        <v>20</v>
      </c>
      <c r="K3136" s="2" t="s">
        <v>46</v>
      </c>
      <c r="L3136" s="2" t="n">
        <v>14</v>
      </c>
      <c r="M3136" s="2" t="n">
        <v>7</v>
      </c>
      <c r="N3136" s="2" t="n">
        <v>112</v>
      </c>
      <c r="O3136" s="2" t="n">
        <v>4</v>
      </c>
      <c r="P3136" s="2" t="s">
        <v>37</v>
      </c>
      <c r="Q3136" s="2" t="s">
        <v>20</v>
      </c>
    </row>
    <row r="3137" customFormat="false" ht="15" hidden="false" customHeight="false" outlineLevel="0" collapsed="false">
      <c r="A3137" s="2" t="n">
        <v>48</v>
      </c>
      <c r="B3137" s="2" t="s">
        <v>29</v>
      </c>
      <c r="C3137" s="2" t="s">
        <v>18</v>
      </c>
      <c r="D3137" s="2" t="s">
        <v>31</v>
      </c>
      <c r="E3137" s="2" t="s">
        <v>20</v>
      </c>
      <c r="F3137" s="2" t="n">
        <v>1808</v>
      </c>
      <c r="G3137" s="2" t="s">
        <v>26</v>
      </c>
      <c r="H3137" s="2" t="s">
        <v>20</v>
      </c>
      <c r="I3137" s="2" t="s">
        <v>21</v>
      </c>
      <c r="J3137" s="2" t="n">
        <v>26</v>
      </c>
      <c r="K3137" s="2" t="s">
        <v>35</v>
      </c>
      <c r="L3137" s="2" t="n">
        <v>245</v>
      </c>
      <c r="M3137" s="2" t="n">
        <v>1</v>
      </c>
      <c r="N3137" s="2" t="n">
        <v>-1</v>
      </c>
      <c r="O3137" s="2" t="n">
        <v>0</v>
      </c>
      <c r="P3137" s="2" t="s">
        <v>23</v>
      </c>
      <c r="Q3137" s="2" t="s">
        <v>26</v>
      </c>
    </row>
    <row r="3138" customFormat="false" ht="15" hidden="false" customHeight="false" outlineLevel="0" collapsed="false">
      <c r="A3138" s="2" t="n">
        <v>39</v>
      </c>
      <c r="B3138" s="2" t="s">
        <v>34</v>
      </c>
      <c r="C3138" s="2" t="s">
        <v>18</v>
      </c>
      <c r="D3138" s="2" t="s">
        <v>19</v>
      </c>
      <c r="E3138" s="2" t="s">
        <v>20</v>
      </c>
      <c r="F3138" s="2" t="n">
        <v>20</v>
      </c>
      <c r="G3138" s="2" t="s">
        <v>26</v>
      </c>
      <c r="H3138" s="2" t="s">
        <v>20</v>
      </c>
      <c r="I3138" s="2" t="s">
        <v>23</v>
      </c>
      <c r="J3138" s="2" t="n">
        <v>7</v>
      </c>
      <c r="K3138" s="2" t="s">
        <v>27</v>
      </c>
      <c r="L3138" s="2" t="n">
        <v>109</v>
      </c>
      <c r="M3138" s="2" t="n">
        <v>1</v>
      </c>
      <c r="N3138" s="2" t="n">
        <v>-1</v>
      </c>
      <c r="O3138" s="2" t="n">
        <v>0</v>
      </c>
      <c r="P3138" s="2" t="s">
        <v>23</v>
      </c>
      <c r="Q3138" s="2" t="s">
        <v>20</v>
      </c>
    </row>
    <row r="3139" customFormat="false" ht="15" hidden="false" customHeight="false" outlineLevel="0" collapsed="false">
      <c r="A3139" s="2" t="n">
        <v>42</v>
      </c>
      <c r="B3139" s="2" t="s">
        <v>34</v>
      </c>
      <c r="C3139" s="2" t="s">
        <v>18</v>
      </c>
      <c r="D3139" s="2" t="s">
        <v>25</v>
      </c>
      <c r="E3139" s="2" t="s">
        <v>20</v>
      </c>
      <c r="F3139" s="2" t="n">
        <v>3068</v>
      </c>
      <c r="G3139" s="2" t="s">
        <v>26</v>
      </c>
      <c r="H3139" s="2" t="s">
        <v>26</v>
      </c>
      <c r="I3139" s="2" t="s">
        <v>21</v>
      </c>
      <c r="J3139" s="2" t="n">
        <v>11</v>
      </c>
      <c r="K3139" s="2" t="s">
        <v>27</v>
      </c>
      <c r="L3139" s="2" t="n">
        <v>429</v>
      </c>
      <c r="M3139" s="2" t="n">
        <v>2</v>
      </c>
      <c r="N3139" s="2" t="n">
        <v>-1</v>
      </c>
      <c r="O3139" s="2" t="n">
        <v>0</v>
      </c>
      <c r="P3139" s="2" t="s">
        <v>23</v>
      </c>
      <c r="Q3139" s="2" t="s">
        <v>20</v>
      </c>
    </row>
    <row r="3140" customFormat="false" ht="15" hidden="false" customHeight="false" outlineLevel="0" collapsed="false">
      <c r="A3140" s="2" t="n">
        <v>36</v>
      </c>
      <c r="B3140" s="2" t="s">
        <v>29</v>
      </c>
      <c r="C3140" s="2" t="s">
        <v>18</v>
      </c>
      <c r="D3140" s="2" t="s">
        <v>31</v>
      </c>
      <c r="E3140" s="2" t="s">
        <v>20</v>
      </c>
      <c r="F3140" s="2" t="n">
        <v>23</v>
      </c>
      <c r="G3140" s="2" t="s">
        <v>20</v>
      </c>
      <c r="H3140" s="2" t="s">
        <v>20</v>
      </c>
      <c r="I3140" s="2" t="s">
        <v>21</v>
      </c>
      <c r="J3140" s="2" t="n">
        <v>26</v>
      </c>
      <c r="K3140" s="2" t="s">
        <v>41</v>
      </c>
      <c r="L3140" s="2" t="n">
        <v>133</v>
      </c>
      <c r="M3140" s="2" t="n">
        <v>11</v>
      </c>
      <c r="N3140" s="2" t="n">
        <v>-1</v>
      </c>
      <c r="O3140" s="2" t="n">
        <v>0</v>
      </c>
      <c r="P3140" s="2" t="s">
        <v>23</v>
      </c>
      <c r="Q3140" s="2" t="s">
        <v>20</v>
      </c>
    </row>
    <row r="3141" customFormat="false" ht="15" hidden="false" customHeight="false" outlineLevel="0" collapsed="false">
      <c r="A3141" s="2" t="n">
        <v>34</v>
      </c>
      <c r="B3141" s="2" t="s">
        <v>38</v>
      </c>
      <c r="C3141" s="2" t="s">
        <v>30</v>
      </c>
      <c r="D3141" s="2" t="s">
        <v>25</v>
      </c>
      <c r="E3141" s="2" t="s">
        <v>20</v>
      </c>
      <c r="F3141" s="2" t="n">
        <v>1076</v>
      </c>
      <c r="G3141" s="2" t="s">
        <v>20</v>
      </c>
      <c r="H3141" s="2" t="s">
        <v>20</v>
      </c>
      <c r="I3141" s="2" t="s">
        <v>21</v>
      </c>
      <c r="J3141" s="2" t="n">
        <v>8</v>
      </c>
      <c r="K3141" s="2" t="s">
        <v>41</v>
      </c>
      <c r="L3141" s="2" t="n">
        <v>70</v>
      </c>
      <c r="M3141" s="2" t="n">
        <v>2</v>
      </c>
      <c r="N3141" s="2" t="n">
        <v>-1</v>
      </c>
      <c r="O3141" s="2" t="n">
        <v>0</v>
      </c>
      <c r="P3141" s="2" t="s">
        <v>23</v>
      </c>
      <c r="Q3141" s="2" t="s">
        <v>20</v>
      </c>
    </row>
    <row r="3142" customFormat="false" ht="15" hidden="false" customHeight="false" outlineLevel="0" collapsed="false">
      <c r="A3142" s="2" t="n">
        <v>61</v>
      </c>
      <c r="B3142" s="2" t="s">
        <v>48</v>
      </c>
      <c r="C3142" s="2" t="s">
        <v>18</v>
      </c>
      <c r="D3142" s="2" t="s">
        <v>19</v>
      </c>
      <c r="E3142" s="2" t="s">
        <v>20</v>
      </c>
      <c r="F3142" s="2" t="n">
        <v>1060</v>
      </c>
      <c r="G3142" s="2" t="s">
        <v>26</v>
      </c>
      <c r="H3142" s="2" t="s">
        <v>20</v>
      </c>
      <c r="I3142" s="2" t="s">
        <v>23</v>
      </c>
      <c r="J3142" s="2" t="n">
        <v>13</v>
      </c>
      <c r="K3142" s="2" t="s">
        <v>27</v>
      </c>
      <c r="L3142" s="2" t="n">
        <v>118</v>
      </c>
      <c r="M3142" s="2" t="n">
        <v>1</v>
      </c>
      <c r="N3142" s="2" t="n">
        <v>-1</v>
      </c>
      <c r="O3142" s="2" t="n">
        <v>0</v>
      </c>
      <c r="P3142" s="2" t="s">
        <v>23</v>
      </c>
      <c r="Q3142" s="2" t="s">
        <v>20</v>
      </c>
    </row>
    <row r="3143" customFormat="false" ht="15" hidden="false" customHeight="false" outlineLevel="0" collapsed="false">
      <c r="A3143" s="2" t="n">
        <v>32</v>
      </c>
      <c r="B3143" s="2" t="s">
        <v>40</v>
      </c>
      <c r="C3143" s="2" t="s">
        <v>30</v>
      </c>
      <c r="D3143" s="2" t="s">
        <v>25</v>
      </c>
      <c r="E3143" s="2" t="s">
        <v>20</v>
      </c>
      <c r="F3143" s="2" t="n">
        <v>678</v>
      </c>
      <c r="G3143" s="2" t="s">
        <v>26</v>
      </c>
      <c r="H3143" s="2" t="s">
        <v>20</v>
      </c>
      <c r="I3143" s="2" t="s">
        <v>21</v>
      </c>
      <c r="J3143" s="2" t="n">
        <v>4</v>
      </c>
      <c r="K3143" s="2" t="s">
        <v>35</v>
      </c>
      <c r="L3143" s="2" t="n">
        <v>1579</v>
      </c>
      <c r="M3143" s="2" t="n">
        <v>1</v>
      </c>
      <c r="N3143" s="2" t="n">
        <v>246</v>
      </c>
      <c r="O3143" s="2" t="n">
        <v>4</v>
      </c>
      <c r="P3143" s="2" t="s">
        <v>28</v>
      </c>
      <c r="Q3143" s="2" t="s">
        <v>26</v>
      </c>
    </row>
    <row r="3144" customFormat="false" ht="15" hidden="false" customHeight="false" outlineLevel="0" collapsed="false">
      <c r="A3144" s="2" t="n">
        <v>35</v>
      </c>
      <c r="B3144" s="2" t="s">
        <v>34</v>
      </c>
      <c r="C3144" s="2" t="s">
        <v>30</v>
      </c>
      <c r="D3144" s="2" t="s">
        <v>19</v>
      </c>
      <c r="E3144" s="2" t="s">
        <v>20</v>
      </c>
      <c r="F3144" s="2" t="n">
        <v>1147</v>
      </c>
      <c r="G3144" s="2" t="s">
        <v>26</v>
      </c>
      <c r="H3144" s="2" t="s">
        <v>26</v>
      </c>
      <c r="I3144" s="2" t="s">
        <v>49</v>
      </c>
      <c r="J3144" s="2" t="n">
        <v>7</v>
      </c>
      <c r="K3144" s="2" t="s">
        <v>27</v>
      </c>
      <c r="L3144" s="2" t="n">
        <v>29</v>
      </c>
      <c r="M3144" s="2" t="n">
        <v>1</v>
      </c>
      <c r="N3144" s="2" t="n">
        <v>-1</v>
      </c>
      <c r="O3144" s="2" t="n">
        <v>0</v>
      </c>
      <c r="P3144" s="2" t="s">
        <v>23</v>
      </c>
      <c r="Q3144" s="2" t="s">
        <v>20</v>
      </c>
    </row>
    <row r="3145" customFormat="false" ht="15" hidden="false" customHeight="false" outlineLevel="0" collapsed="false">
      <c r="A3145" s="2" t="n">
        <v>54</v>
      </c>
      <c r="B3145" s="2" t="s">
        <v>34</v>
      </c>
      <c r="C3145" s="2" t="s">
        <v>18</v>
      </c>
      <c r="D3145" s="2" t="s">
        <v>25</v>
      </c>
      <c r="E3145" s="2" t="s">
        <v>20</v>
      </c>
      <c r="F3145" s="2" t="n">
        <v>-630</v>
      </c>
      <c r="G3145" s="2" t="s">
        <v>20</v>
      </c>
      <c r="H3145" s="2" t="s">
        <v>20</v>
      </c>
      <c r="I3145" s="2" t="s">
        <v>23</v>
      </c>
      <c r="J3145" s="2" t="n">
        <v>23</v>
      </c>
      <c r="K3145" s="2" t="s">
        <v>27</v>
      </c>
      <c r="L3145" s="2" t="n">
        <v>173</v>
      </c>
      <c r="M3145" s="2" t="n">
        <v>1</v>
      </c>
      <c r="N3145" s="2" t="n">
        <v>-1</v>
      </c>
      <c r="O3145" s="2" t="n">
        <v>0</v>
      </c>
      <c r="P3145" s="2" t="s">
        <v>23</v>
      </c>
      <c r="Q3145" s="2" t="s">
        <v>20</v>
      </c>
    </row>
    <row r="3146" customFormat="false" ht="15" hidden="false" customHeight="false" outlineLevel="0" collapsed="false">
      <c r="A3146" s="2" t="n">
        <v>31</v>
      </c>
      <c r="B3146" s="2" t="s">
        <v>29</v>
      </c>
      <c r="C3146" s="2" t="s">
        <v>18</v>
      </c>
      <c r="D3146" s="2" t="s">
        <v>31</v>
      </c>
      <c r="E3146" s="2" t="s">
        <v>20</v>
      </c>
      <c r="F3146" s="2" t="n">
        <v>459</v>
      </c>
      <c r="G3146" s="2" t="s">
        <v>20</v>
      </c>
      <c r="H3146" s="2" t="s">
        <v>20</v>
      </c>
      <c r="I3146" s="2" t="s">
        <v>21</v>
      </c>
      <c r="J3146" s="2" t="n">
        <v>28</v>
      </c>
      <c r="K3146" s="2" t="s">
        <v>41</v>
      </c>
      <c r="L3146" s="2" t="n">
        <v>13</v>
      </c>
      <c r="M3146" s="2" t="n">
        <v>14</v>
      </c>
      <c r="N3146" s="2" t="n">
        <v>-1</v>
      </c>
      <c r="O3146" s="2" t="n">
        <v>0</v>
      </c>
      <c r="P3146" s="2" t="s">
        <v>23</v>
      </c>
      <c r="Q3146" s="2" t="s">
        <v>20</v>
      </c>
    </row>
    <row r="3147" customFormat="false" ht="15" hidden="false" customHeight="false" outlineLevel="0" collapsed="false">
      <c r="A3147" s="2" t="n">
        <v>45</v>
      </c>
      <c r="B3147" s="2" t="s">
        <v>38</v>
      </c>
      <c r="C3147" s="2" t="s">
        <v>45</v>
      </c>
      <c r="D3147" s="2" t="s">
        <v>25</v>
      </c>
      <c r="E3147" s="2" t="s">
        <v>20</v>
      </c>
      <c r="F3147" s="2" t="n">
        <v>976</v>
      </c>
      <c r="G3147" s="2" t="s">
        <v>26</v>
      </c>
      <c r="H3147" s="2" t="s">
        <v>20</v>
      </c>
      <c r="I3147" s="2" t="s">
        <v>21</v>
      </c>
      <c r="J3147" s="2" t="n">
        <v>17</v>
      </c>
      <c r="K3147" s="2" t="s">
        <v>32</v>
      </c>
      <c r="L3147" s="2" t="n">
        <v>183</v>
      </c>
      <c r="M3147" s="2" t="n">
        <v>1</v>
      </c>
      <c r="N3147" s="2" t="n">
        <v>338</v>
      </c>
      <c r="O3147" s="2" t="n">
        <v>2</v>
      </c>
      <c r="P3147" s="2" t="s">
        <v>28</v>
      </c>
      <c r="Q3147" s="2" t="s">
        <v>20</v>
      </c>
    </row>
    <row r="3148" customFormat="false" ht="15" hidden="false" customHeight="false" outlineLevel="0" collapsed="false">
      <c r="A3148" s="2" t="n">
        <v>32</v>
      </c>
      <c r="B3148" s="2" t="s">
        <v>47</v>
      </c>
      <c r="C3148" s="2" t="s">
        <v>18</v>
      </c>
      <c r="D3148" s="2" t="s">
        <v>31</v>
      </c>
      <c r="E3148" s="2" t="s">
        <v>20</v>
      </c>
      <c r="F3148" s="2" t="n">
        <v>357</v>
      </c>
      <c r="G3148" s="2" t="s">
        <v>26</v>
      </c>
      <c r="H3148" s="2" t="s">
        <v>20</v>
      </c>
      <c r="I3148" s="2" t="s">
        <v>21</v>
      </c>
      <c r="J3148" s="2" t="n">
        <v>18</v>
      </c>
      <c r="K3148" s="2" t="s">
        <v>46</v>
      </c>
      <c r="L3148" s="2" t="n">
        <v>175</v>
      </c>
      <c r="M3148" s="2" t="n">
        <v>2</v>
      </c>
      <c r="N3148" s="2" t="n">
        <v>-1</v>
      </c>
      <c r="O3148" s="2" t="n">
        <v>0</v>
      </c>
      <c r="P3148" s="2" t="s">
        <v>23</v>
      </c>
      <c r="Q3148" s="2" t="s">
        <v>20</v>
      </c>
    </row>
    <row r="3149" customFormat="false" ht="15" hidden="false" customHeight="false" outlineLevel="0" collapsed="false">
      <c r="A3149" s="2" t="n">
        <v>52</v>
      </c>
      <c r="B3149" s="2" t="s">
        <v>17</v>
      </c>
      <c r="C3149" s="2" t="s">
        <v>18</v>
      </c>
      <c r="D3149" s="2" t="s">
        <v>25</v>
      </c>
      <c r="E3149" s="2" t="s">
        <v>20</v>
      </c>
      <c r="F3149" s="2" t="n">
        <v>-9</v>
      </c>
      <c r="G3149" s="2" t="s">
        <v>20</v>
      </c>
      <c r="H3149" s="2" t="s">
        <v>20</v>
      </c>
      <c r="I3149" s="2" t="s">
        <v>23</v>
      </c>
      <c r="J3149" s="2" t="n">
        <v>9</v>
      </c>
      <c r="K3149" s="2" t="s">
        <v>33</v>
      </c>
      <c r="L3149" s="2" t="n">
        <v>123</v>
      </c>
      <c r="M3149" s="2" t="n">
        <v>1</v>
      </c>
      <c r="N3149" s="2" t="n">
        <v>-1</v>
      </c>
      <c r="O3149" s="2" t="n">
        <v>0</v>
      </c>
      <c r="P3149" s="2" t="s">
        <v>23</v>
      </c>
      <c r="Q3149" s="2" t="s">
        <v>20</v>
      </c>
    </row>
    <row r="3150" customFormat="false" ht="15" hidden="false" customHeight="false" outlineLevel="0" collapsed="false">
      <c r="A3150" s="2" t="n">
        <v>36</v>
      </c>
      <c r="B3150" s="2" t="s">
        <v>40</v>
      </c>
      <c r="C3150" s="2" t="s">
        <v>30</v>
      </c>
      <c r="D3150" s="2" t="s">
        <v>25</v>
      </c>
      <c r="E3150" s="2" t="s">
        <v>20</v>
      </c>
      <c r="F3150" s="2" t="n">
        <v>1927</v>
      </c>
      <c r="G3150" s="2" t="s">
        <v>26</v>
      </c>
      <c r="H3150" s="2" t="s">
        <v>20</v>
      </c>
      <c r="I3150" s="2" t="s">
        <v>21</v>
      </c>
      <c r="J3150" s="2" t="n">
        <v>18</v>
      </c>
      <c r="K3150" s="2" t="s">
        <v>46</v>
      </c>
      <c r="L3150" s="2" t="n">
        <v>288</v>
      </c>
      <c r="M3150" s="2" t="n">
        <v>1</v>
      </c>
      <c r="N3150" s="2" t="n">
        <v>137</v>
      </c>
      <c r="O3150" s="2" t="n">
        <v>1</v>
      </c>
      <c r="P3150" s="2" t="s">
        <v>37</v>
      </c>
      <c r="Q3150" s="2" t="s">
        <v>20</v>
      </c>
    </row>
    <row r="3151" customFormat="false" ht="15" hidden="false" customHeight="false" outlineLevel="0" collapsed="false">
      <c r="A3151" s="2" t="n">
        <v>31</v>
      </c>
      <c r="B3151" s="2" t="s">
        <v>24</v>
      </c>
      <c r="C3151" s="2" t="s">
        <v>18</v>
      </c>
      <c r="D3151" s="2" t="s">
        <v>25</v>
      </c>
      <c r="E3151" s="2" t="s">
        <v>20</v>
      </c>
      <c r="F3151" s="2" t="n">
        <v>500</v>
      </c>
      <c r="G3151" s="2" t="s">
        <v>26</v>
      </c>
      <c r="H3151" s="2" t="s">
        <v>20</v>
      </c>
      <c r="I3151" s="2" t="s">
        <v>23</v>
      </c>
      <c r="J3151" s="2" t="n">
        <v>6</v>
      </c>
      <c r="K3151" s="2" t="s">
        <v>33</v>
      </c>
      <c r="L3151" s="2" t="n">
        <v>19</v>
      </c>
      <c r="M3151" s="2" t="n">
        <v>18</v>
      </c>
      <c r="N3151" s="2" t="n">
        <v>-1</v>
      </c>
      <c r="O3151" s="2" t="n">
        <v>0</v>
      </c>
      <c r="P3151" s="2" t="s">
        <v>23</v>
      </c>
      <c r="Q3151" s="2" t="s">
        <v>20</v>
      </c>
    </row>
    <row r="3152" customFormat="false" ht="15" hidden="false" customHeight="false" outlineLevel="0" collapsed="false">
      <c r="A3152" s="2" t="n">
        <v>53</v>
      </c>
      <c r="B3152" s="2" t="s">
        <v>38</v>
      </c>
      <c r="C3152" s="2" t="s">
        <v>18</v>
      </c>
      <c r="D3152" s="2" t="s">
        <v>25</v>
      </c>
      <c r="E3152" s="2" t="s">
        <v>20</v>
      </c>
      <c r="F3152" s="2" t="n">
        <v>9146</v>
      </c>
      <c r="G3152" s="2" t="s">
        <v>20</v>
      </c>
      <c r="H3152" s="2" t="s">
        <v>20</v>
      </c>
      <c r="I3152" s="2" t="s">
        <v>21</v>
      </c>
      <c r="J3152" s="2" t="n">
        <v>13</v>
      </c>
      <c r="K3152" s="2" t="s">
        <v>41</v>
      </c>
      <c r="L3152" s="2" t="n">
        <v>136</v>
      </c>
      <c r="M3152" s="2" t="n">
        <v>4</v>
      </c>
      <c r="N3152" s="2" t="n">
        <v>-1</v>
      </c>
      <c r="O3152" s="2" t="n">
        <v>0</v>
      </c>
      <c r="P3152" s="2" t="s">
        <v>23</v>
      </c>
      <c r="Q3152" s="2" t="s">
        <v>20</v>
      </c>
    </row>
    <row r="3153" customFormat="false" ht="15" hidden="false" customHeight="false" outlineLevel="0" collapsed="false">
      <c r="A3153" s="2" t="n">
        <v>43</v>
      </c>
      <c r="B3153" s="2" t="s">
        <v>39</v>
      </c>
      <c r="C3153" s="2" t="s">
        <v>18</v>
      </c>
      <c r="D3153" s="2" t="s">
        <v>25</v>
      </c>
      <c r="E3153" s="2" t="s">
        <v>20</v>
      </c>
      <c r="F3153" s="2" t="n">
        <v>59</v>
      </c>
      <c r="G3153" s="2" t="s">
        <v>20</v>
      </c>
      <c r="H3153" s="2" t="s">
        <v>20</v>
      </c>
      <c r="I3153" s="2" t="s">
        <v>23</v>
      </c>
      <c r="J3153" s="2" t="n">
        <v>13</v>
      </c>
      <c r="K3153" s="2" t="s">
        <v>27</v>
      </c>
      <c r="L3153" s="2" t="n">
        <v>437</v>
      </c>
      <c r="M3153" s="2" t="n">
        <v>2</v>
      </c>
      <c r="N3153" s="2" t="n">
        <v>-1</v>
      </c>
      <c r="O3153" s="2" t="n">
        <v>0</v>
      </c>
      <c r="P3153" s="2" t="s">
        <v>23</v>
      </c>
      <c r="Q3153" s="2" t="s">
        <v>20</v>
      </c>
    </row>
    <row r="3154" customFormat="false" ht="15" hidden="false" customHeight="false" outlineLevel="0" collapsed="false">
      <c r="A3154" s="2" t="n">
        <v>47</v>
      </c>
      <c r="B3154" s="2" t="s">
        <v>47</v>
      </c>
      <c r="C3154" s="2" t="s">
        <v>18</v>
      </c>
      <c r="D3154" s="2" t="s">
        <v>19</v>
      </c>
      <c r="E3154" s="2" t="s">
        <v>20</v>
      </c>
      <c r="F3154" s="2" t="n">
        <v>0</v>
      </c>
      <c r="G3154" s="2" t="s">
        <v>20</v>
      </c>
      <c r="H3154" s="2" t="s">
        <v>20</v>
      </c>
      <c r="I3154" s="2" t="s">
        <v>21</v>
      </c>
      <c r="J3154" s="2" t="n">
        <v>10</v>
      </c>
      <c r="K3154" s="2" t="s">
        <v>41</v>
      </c>
      <c r="L3154" s="2" t="n">
        <v>1225</v>
      </c>
      <c r="M3154" s="2" t="n">
        <v>2</v>
      </c>
      <c r="N3154" s="2" t="n">
        <v>-1</v>
      </c>
      <c r="O3154" s="2" t="n">
        <v>0</v>
      </c>
      <c r="P3154" s="2" t="s">
        <v>23</v>
      </c>
      <c r="Q3154" s="2" t="s">
        <v>20</v>
      </c>
    </row>
    <row r="3155" customFormat="false" ht="15" hidden="false" customHeight="false" outlineLevel="0" collapsed="false">
      <c r="A3155" s="2" t="n">
        <v>46</v>
      </c>
      <c r="B3155" s="2" t="s">
        <v>34</v>
      </c>
      <c r="C3155" s="2" t="s">
        <v>18</v>
      </c>
      <c r="D3155" s="2" t="s">
        <v>19</v>
      </c>
      <c r="E3155" s="2" t="s">
        <v>20</v>
      </c>
      <c r="F3155" s="2" t="n">
        <v>328</v>
      </c>
      <c r="G3155" s="2" t="s">
        <v>26</v>
      </c>
      <c r="H3155" s="2" t="s">
        <v>20</v>
      </c>
      <c r="I3155" s="2" t="s">
        <v>23</v>
      </c>
      <c r="J3155" s="2" t="n">
        <v>21</v>
      </c>
      <c r="K3155" s="2" t="s">
        <v>27</v>
      </c>
      <c r="L3155" s="2" t="n">
        <v>526</v>
      </c>
      <c r="M3155" s="2" t="n">
        <v>8</v>
      </c>
      <c r="N3155" s="2" t="n">
        <v>-1</v>
      </c>
      <c r="O3155" s="2" t="n">
        <v>0</v>
      </c>
      <c r="P3155" s="2" t="s">
        <v>23</v>
      </c>
      <c r="Q3155" s="2" t="s">
        <v>20</v>
      </c>
    </row>
    <row r="3156" customFormat="false" ht="15" hidden="false" customHeight="false" outlineLevel="0" collapsed="false">
      <c r="A3156" s="2" t="n">
        <v>34</v>
      </c>
      <c r="B3156" s="2" t="s">
        <v>29</v>
      </c>
      <c r="C3156" s="2" t="s">
        <v>45</v>
      </c>
      <c r="D3156" s="2" t="s">
        <v>25</v>
      </c>
      <c r="E3156" s="2" t="s">
        <v>20</v>
      </c>
      <c r="F3156" s="2" t="n">
        <v>291</v>
      </c>
      <c r="G3156" s="2" t="s">
        <v>20</v>
      </c>
      <c r="H3156" s="2" t="s">
        <v>20</v>
      </c>
      <c r="I3156" s="2" t="s">
        <v>21</v>
      </c>
      <c r="J3156" s="2" t="n">
        <v>7</v>
      </c>
      <c r="K3156" s="2" t="s">
        <v>41</v>
      </c>
      <c r="L3156" s="2" t="n">
        <v>91</v>
      </c>
      <c r="M3156" s="2" t="n">
        <v>2</v>
      </c>
      <c r="N3156" s="2" t="n">
        <v>-1</v>
      </c>
      <c r="O3156" s="2" t="n">
        <v>0</v>
      </c>
      <c r="P3156" s="2" t="s">
        <v>23</v>
      </c>
      <c r="Q3156" s="2" t="s">
        <v>20</v>
      </c>
    </row>
    <row r="3157" customFormat="false" ht="15" hidden="false" customHeight="false" outlineLevel="0" collapsed="false">
      <c r="A3157" s="2" t="n">
        <v>55</v>
      </c>
      <c r="B3157" s="2" t="s">
        <v>38</v>
      </c>
      <c r="C3157" s="2" t="s">
        <v>30</v>
      </c>
      <c r="D3157" s="2" t="s">
        <v>31</v>
      </c>
      <c r="E3157" s="2" t="s">
        <v>20</v>
      </c>
      <c r="F3157" s="2" t="n">
        <v>-703</v>
      </c>
      <c r="G3157" s="2" t="s">
        <v>26</v>
      </c>
      <c r="H3157" s="2" t="s">
        <v>20</v>
      </c>
      <c r="I3157" s="2" t="s">
        <v>21</v>
      </c>
      <c r="J3157" s="2" t="n">
        <v>8</v>
      </c>
      <c r="K3157" s="2" t="s">
        <v>27</v>
      </c>
      <c r="L3157" s="2" t="n">
        <v>123</v>
      </c>
      <c r="M3157" s="2" t="n">
        <v>3</v>
      </c>
      <c r="N3157" s="2" t="n">
        <v>-1</v>
      </c>
      <c r="O3157" s="2" t="n">
        <v>0</v>
      </c>
      <c r="P3157" s="2" t="s">
        <v>23</v>
      </c>
      <c r="Q3157" s="2" t="s">
        <v>20</v>
      </c>
    </row>
    <row r="3158" customFormat="false" ht="15" hidden="false" customHeight="false" outlineLevel="0" collapsed="false">
      <c r="A3158" s="2" t="n">
        <v>23</v>
      </c>
      <c r="B3158" s="2" t="s">
        <v>40</v>
      </c>
      <c r="C3158" s="2" t="s">
        <v>30</v>
      </c>
      <c r="D3158" s="2" t="s">
        <v>25</v>
      </c>
      <c r="E3158" s="2" t="s">
        <v>20</v>
      </c>
      <c r="F3158" s="2" t="n">
        <v>589</v>
      </c>
      <c r="G3158" s="2" t="s">
        <v>26</v>
      </c>
      <c r="H3158" s="2" t="s">
        <v>20</v>
      </c>
      <c r="I3158" s="2" t="s">
        <v>21</v>
      </c>
      <c r="J3158" s="2" t="n">
        <v>6</v>
      </c>
      <c r="K3158" s="2" t="s">
        <v>27</v>
      </c>
      <c r="L3158" s="2" t="n">
        <v>62</v>
      </c>
      <c r="M3158" s="2" t="n">
        <v>1</v>
      </c>
      <c r="N3158" s="2" t="n">
        <v>-1</v>
      </c>
      <c r="O3158" s="2" t="n">
        <v>0</v>
      </c>
      <c r="P3158" s="2" t="s">
        <v>23</v>
      </c>
      <c r="Q3158" s="2" t="s">
        <v>20</v>
      </c>
    </row>
    <row r="3159" customFormat="false" ht="15" hidden="false" customHeight="false" outlineLevel="0" collapsed="false">
      <c r="A3159" s="2" t="n">
        <v>75</v>
      </c>
      <c r="B3159" s="2" t="s">
        <v>34</v>
      </c>
      <c r="C3159" s="2" t="s">
        <v>18</v>
      </c>
      <c r="D3159" s="2" t="s">
        <v>25</v>
      </c>
      <c r="E3159" s="2" t="s">
        <v>20</v>
      </c>
      <c r="F3159" s="2" t="n">
        <v>6053</v>
      </c>
      <c r="G3159" s="2" t="s">
        <v>20</v>
      </c>
      <c r="H3159" s="2" t="s">
        <v>20</v>
      </c>
      <c r="I3159" s="2" t="s">
        <v>21</v>
      </c>
      <c r="J3159" s="2" t="n">
        <v>11</v>
      </c>
      <c r="K3159" s="2" t="s">
        <v>35</v>
      </c>
      <c r="L3159" s="2" t="n">
        <v>865</v>
      </c>
      <c r="M3159" s="2" t="n">
        <v>2</v>
      </c>
      <c r="N3159" s="2" t="n">
        <v>190</v>
      </c>
      <c r="O3159" s="2" t="n">
        <v>1</v>
      </c>
      <c r="P3159" s="2" t="s">
        <v>28</v>
      </c>
      <c r="Q3159" s="2" t="s">
        <v>20</v>
      </c>
    </row>
    <row r="3160" customFormat="false" ht="15" hidden="false" customHeight="false" outlineLevel="0" collapsed="false">
      <c r="A3160" s="2" t="n">
        <v>58</v>
      </c>
      <c r="B3160" s="2" t="s">
        <v>40</v>
      </c>
      <c r="C3160" s="2" t="s">
        <v>18</v>
      </c>
      <c r="D3160" s="2" t="s">
        <v>25</v>
      </c>
      <c r="E3160" s="2" t="s">
        <v>20</v>
      </c>
      <c r="F3160" s="2" t="n">
        <v>1142</v>
      </c>
      <c r="G3160" s="2" t="s">
        <v>20</v>
      </c>
      <c r="H3160" s="2" t="s">
        <v>20</v>
      </c>
      <c r="I3160" s="2" t="s">
        <v>49</v>
      </c>
      <c r="J3160" s="2" t="n">
        <v>4</v>
      </c>
      <c r="K3160" s="2" t="s">
        <v>35</v>
      </c>
      <c r="L3160" s="2" t="n">
        <v>82</v>
      </c>
      <c r="M3160" s="2" t="n">
        <v>3</v>
      </c>
      <c r="N3160" s="2" t="n">
        <v>-1</v>
      </c>
      <c r="O3160" s="2" t="n">
        <v>0</v>
      </c>
      <c r="P3160" s="2" t="s">
        <v>23</v>
      </c>
      <c r="Q3160" s="2" t="s">
        <v>20</v>
      </c>
    </row>
    <row r="3161" customFormat="false" ht="15" hidden="false" customHeight="false" outlineLevel="0" collapsed="false">
      <c r="A3161" s="2" t="n">
        <v>35</v>
      </c>
      <c r="B3161" s="2" t="s">
        <v>40</v>
      </c>
      <c r="C3161" s="2" t="s">
        <v>18</v>
      </c>
      <c r="D3161" s="2" t="s">
        <v>25</v>
      </c>
      <c r="E3161" s="2" t="s">
        <v>20</v>
      </c>
      <c r="F3161" s="2" t="n">
        <v>725</v>
      </c>
      <c r="G3161" s="2" t="s">
        <v>26</v>
      </c>
      <c r="H3161" s="2" t="s">
        <v>20</v>
      </c>
      <c r="I3161" s="2" t="s">
        <v>21</v>
      </c>
      <c r="J3161" s="2" t="n">
        <v>20</v>
      </c>
      <c r="K3161" s="2" t="s">
        <v>46</v>
      </c>
      <c r="L3161" s="2" t="n">
        <v>219</v>
      </c>
      <c r="M3161" s="2" t="n">
        <v>7</v>
      </c>
      <c r="N3161" s="2" t="n">
        <v>133</v>
      </c>
      <c r="O3161" s="2" t="n">
        <v>1</v>
      </c>
      <c r="P3161" s="2" t="s">
        <v>28</v>
      </c>
      <c r="Q3161" s="2" t="s">
        <v>20</v>
      </c>
    </row>
    <row r="3162" customFormat="false" ht="15" hidden="false" customHeight="false" outlineLevel="0" collapsed="false">
      <c r="A3162" s="2" t="n">
        <v>27</v>
      </c>
      <c r="B3162" s="2" t="s">
        <v>29</v>
      </c>
      <c r="C3162" s="2" t="s">
        <v>18</v>
      </c>
      <c r="D3162" s="2" t="s">
        <v>31</v>
      </c>
      <c r="E3162" s="2" t="s">
        <v>20</v>
      </c>
      <c r="F3162" s="2" t="n">
        <v>802</v>
      </c>
      <c r="G3162" s="2" t="s">
        <v>20</v>
      </c>
      <c r="H3162" s="2" t="s">
        <v>20</v>
      </c>
      <c r="I3162" s="2" t="s">
        <v>21</v>
      </c>
      <c r="J3162" s="2" t="n">
        <v>22</v>
      </c>
      <c r="K3162" s="2" t="s">
        <v>51</v>
      </c>
      <c r="L3162" s="2" t="n">
        <v>569</v>
      </c>
      <c r="M3162" s="2" t="n">
        <v>1</v>
      </c>
      <c r="N3162" s="2" t="n">
        <v>-1</v>
      </c>
      <c r="O3162" s="2" t="n">
        <v>0</v>
      </c>
      <c r="P3162" s="2" t="s">
        <v>23</v>
      </c>
      <c r="Q3162" s="2" t="s">
        <v>26</v>
      </c>
    </row>
    <row r="3163" customFormat="false" ht="15" hidden="false" customHeight="false" outlineLevel="0" collapsed="false">
      <c r="A3163" s="2" t="n">
        <v>24</v>
      </c>
      <c r="B3163" s="2" t="s">
        <v>38</v>
      </c>
      <c r="C3163" s="2" t="s">
        <v>18</v>
      </c>
      <c r="D3163" s="2" t="s">
        <v>25</v>
      </c>
      <c r="E3163" s="2" t="s">
        <v>20</v>
      </c>
      <c r="F3163" s="2" t="n">
        <v>556</v>
      </c>
      <c r="G3163" s="2" t="s">
        <v>26</v>
      </c>
      <c r="H3163" s="2" t="s">
        <v>20</v>
      </c>
      <c r="I3163" s="2" t="s">
        <v>21</v>
      </c>
      <c r="J3163" s="2" t="n">
        <v>18</v>
      </c>
      <c r="K3163" s="2" t="s">
        <v>41</v>
      </c>
      <c r="L3163" s="2" t="n">
        <v>460</v>
      </c>
      <c r="M3163" s="2" t="n">
        <v>2</v>
      </c>
      <c r="N3163" s="2" t="n">
        <v>-1</v>
      </c>
      <c r="O3163" s="2" t="n">
        <v>0</v>
      </c>
      <c r="P3163" s="2" t="s">
        <v>23</v>
      </c>
      <c r="Q3163" s="2" t="s">
        <v>26</v>
      </c>
    </row>
    <row r="3164" customFormat="false" ht="15" hidden="false" customHeight="false" outlineLevel="0" collapsed="false">
      <c r="A3164" s="2" t="n">
        <v>48</v>
      </c>
      <c r="B3164" s="2" t="s">
        <v>40</v>
      </c>
      <c r="C3164" s="2" t="s">
        <v>18</v>
      </c>
      <c r="D3164" s="2" t="s">
        <v>25</v>
      </c>
      <c r="E3164" s="2" t="s">
        <v>20</v>
      </c>
      <c r="F3164" s="2" t="n">
        <v>191</v>
      </c>
      <c r="G3164" s="2" t="s">
        <v>26</v>
      </c>
      <c r="H3164" s="2" t="s">
        <v>20</v>
      </c>
      <c r="I3164" s="2" t="s">
        <v>21</v>
      </c>
      <c r="J3164" s="2" t="n">
        <v>5</v>
      </c>
      <c r="K3164" s="2" t="s">
        <v>35</v>
      </c>
      <c r="L3164" s="2" t="n">
        <v>238</v>
      </c>
      <c r="M3164" s="2" t="n">
        <v>3</v>
      </c>
      <c r="N3164" s="2" t="n">
        <v>-1</v>
      </c>
      <c r="O3164" s="2" t="n">
        <v>0</v>
      </c>
      <c r="P3164" s="2" t="s">
        <v>23</v>
      </c>
      <c r="Q3164" s="2" t="s">
        <v>20</v>
      </c>
    </row>
    <row r="3165" customFormat="false" ht="15" hidden="false" customHeight="false" outlineLevel="0" collapsed="false">
      <c r="A3165" s="2" t="n">
        <v>31</v>
      </c>
      <c r="B3165" s="2" t="s">
        <v>38</v>
      </c>
      <c r="C3165" s="2" t="s">
        <v>30</v>
      </c>
      <c r="D3165" s="2" t="s">
        <v>25</v>
      </c>
      <c r="E3165" s="2" t="s">
        <v>20</v>
      </c>
      <c r="F3165" s="2" t="n">
        <v>373</v>
      </c>
      <c r="G3165" s="2" t="s">
        <v>20</v>
      </c>
      <c r="H3165" s="2" t="s">
        <v>20</v>
      </c>
      <c r="I3165" s="2" t="s">
        <v>21</v>
      </c>
      <c r="J3165" s="2" t="n">
        <v>22</v>
      </c>
      <c r="K3165" s="2" t="s">
        <v>41</v>
      </c>
      <c r="L3165" s="2" t="n">
        <v>346</v>
      </c>
      <c r="M3165" s="2" t="n">
        <v>5</v>
      </c>
      <c r="N3165" s="2" t="n">
        <v>-1</v>
      </c>
      <c r="O3165" s="2" t="n">
        <v>0</v>
      </c>
      <c r="P3165" s="2" t="s">
        <v>23</v>
      </c>
      <c r="Q3165" s="2" t="s">
        <v>20</v>
      </c>
    </row>
    <row r="3166" customFormat="false" ht="15" hidden="false" customHeight="false" outlineLevel="0" collapsed="false">
      <c r="A3166" s="2" t="n">
        <v>57</v>
      </c>
      <c r="B3166" s="2" t="s">
        <v>38</v>
      </c>
      <c r="C3166" s="2" t="s">
        <v>18</v>
      </c>
      <c r="D3166" s="2" t="s">
        <v>25</v>
      </c>
      <c r="E3166" s="2" t="s">
        <v>20</v>
      </c>
      <c r="F3166" s="2" t="n">
        <v>6164</v>
      </c>
      <c r="G3166" s="2" t="s">
        <v>20</v>
      </c>
      <c r="H3166" s="2" t="s">
        <v>20</v>
      </c>
      <c r="I3166" s="2" t="s">
        <v>21</v>
      </c>
      <c r="J3166" s="2" t="n">
        <v>19</v>
      </c>
      <c r="K3166" s="2" t="s">
        <v>46</v>
      </c>
      <c r="L3166" s="2" t="n">
        <v>161</v>
      </c>
      <c r="M3166" s="2" t="n">
        <v>2</v>
      </c>
      <c r="N3166" s="2" t="n">
        <v>-1</v>
      </c>
      <c r="O3166" s="2" t="n">
        <v>0</v>
      </c>
      <c r="P3166" s="2" t="s">
        <v>23</v>
      </c>
      <c r="Q3166" s="2" t="s">
        <v>20</v>
      </c>
    </row>
    <row r="3167" customFormat="false" ht="15" hidden="false" customHeight="false" outlineLevel="0" collapsed="false">
      <c r="A3167" s="2" t="n">
        <v>53</v>
      </c>
      <c r="B3167" s="2" t="s">
        <v>29</v>
      </c>
      <c r="C3167" s="2" t="s">
        <v>18</v>
      </c>
      <c r="D3167" s="2" t="s">
        <v>31</v>
      </c>
      <c r="E3167" s="2" t="s">
        <v>20</v>
      </c>
      <c r="F3167" s="2" t="n">
        <v>37</v>
      </c>
      <c r="G3167" s="2" t="s">
        <v>20</v>
      </c>
      <c r="H3167" s="2" t="s">
        <v>20</v>
      </c>
      <c r="I3167" s="2" t="s">
        <v>21</v>
      </c>
      <c r="J3167" s="2" t="n">
        <v>28</v>
      </c>
      <c r="K3167" s="2" t="s">
        <v>41</v>
      </c>
      <c r="L3167" s="2" t="n">
        <v>51</v>
      </c>
      <c r="M3167" s="2" t="n">
        <v>9</v>
      </c>
      <c r="N3167" s="2" t="n">
        <v>-1</v>
      </c>
      <c r="O3167" s="2" t="n">
        <v>0</v>
      </c>
      <c r="P3167" s="2" t="s">
        <v>23</v>
      </c>
      <c r="Q3167" s="2" t="s">
        <v>20</v>
      </c>
    </row>
    <row r="3168" customFormat="false" ht="15" hidden="false" customHeight="false" outlineLevel="0" collapsed="false">
      <c r="A3168" s="2" t="n">
        <v>42</v>
      </c>
      <c r="B3168" s="2" t="s">
        <v>34</v>
      </c>
      <c r="C3168" s="2" t="s">
        <v>18</v>
      </c>
      <c r="D3168" s="2" t="s">
        <v>19</v>
      </c>
      <c r="E3168" s="2" t="s">
        <v>20</v>
      </c>
      <c r="F3168" s="2" t="n">
        <v>1156</v>
      </c>
      <c r="G3168" s="2" t="s">
        <v>26</v>
      </c>
      <c r="H3168" s="2" t="s">
        <v>20</v>
      </c>
      <c r="I3168" s="2" t="s">
        <v>49</v>
      </c>
      <c r="J3168" s="2" t="n">
        <v>20</v>
      </c>
      <c r="K3168" s="2" t="s">
        <v>32</v>
      </c>
      <c r="L3168" s="2" t="n">
        <v>37</v>
      </c>
      <c r="M3168" s="2" t="n">
        <v>1</v>
      </c>
      <c r="N3168" s="2" t="n">
        <v>-1</v>
      </c>
      <c r="O3168" s="2" t="n">
        <v>0</v>
      </c>
      <c r="P3168" s="2" t="s">
        <v>23</v>
      </c>
      <c r="Q3168" s="2" t="s">
        <v>20</v>
      </c>
    </row>
    <row r="3169" customFormat="false" ht="15" hidden="false" customHeight="false" outlineLevel="0" collapsed="false">
      <c r="A3169" s="2" t="n">
        <v>50</v>
      </c>
      <c r="B3169" s="2" t="s">
        <v>39</v>
      </c>
      <c r="C3169" s="2" t="s">
        <v>18</v>
      </c>
      <c r="D3169" s="2" t="s">
        <v>25</v>
      </c>
      <c r="E3169" s="2" t="s">
        <v>20</v>
      </c>
      <c r="F3169" s="2" t="n">
        <v>806</v>
      </c>
      <c r="G3169" s="2" t="s">
        <v>26</v>
      </c>
      <c r="H3169" s="2" t="s">
        <v>26</v>
      </c>
      <c r="I3169" s="2" t="s">
        <v>21</v>
      </c>
      <c r="J3169" s="2" t="n">
        <v>7</v>
      </c>
      <c r="K3169" s="2" t="s">
        <v>27</v>
      </c>
      <c r="L3169" s="2" t="n">
        <v>141</v>
      </c>
      <c r="M3169" s="2" t="n">
        <v>8</v>
      </c>
      <c r="N3169" s="2" t="n">
        <v>297</v>
      </c>
      <c r="O3169" s="2" t="n">
        <v>2</v>
      </c>
      <c r="P3169" s="2" t="s">
        <v>37</v>
      </c>
      <c r="Q3169" s="2" t="s">
        <v>20</v>
      </c>
    </row>
    <row r="3170" customFormat="false" ht="15" hidden="false" customHeight="false" outlineLevel="0" collapsed="false">
      <c r="A3170" s="2" t="n">
        <v>59</v>
      </c>
      <c r="B3170" s="2" t="s">
        <v>40</v>
      </c>
      <c r="C3170" s="2" t="s">
        <v>18</v>
      </c>
      <c r="D3170" s="2" t="s">
        <v>25</v>
      </c>
      <c r="E3170" s="2" t="s">
        <v>20</v>
      </c>
      <c r="F3170" s="2" t="n">
        <v>2381</v>
      </c>
      <c r="G3170" s="2" t="s">
        <v>20</v>
      </c>
      <c r="H3170" s="2" t="s">
        <v>20</v>
      </c>
      <c r="I3170" s="2" t="s">
        <v>21</v>
      </c>
      <c r="J3170" s="2" t="n">
        <v>30</v>
      </c>
      <c r="K3170" s="2" t="s">
        <v>32</v>
      </c>
      <c r="L3170" s="2" t="n">
        <v>173</v>
      </c>
      <c r="M3170" s="2" t="n">
        <v>2</v>
      </c>
      <c r="N3170" s="2" t="n">
        <v>-1</v>
      </c>
      <c r="O3170" s="2" t="n">
        <v>0</v>
      </c>
      <c r="P3170" s="2" t="s">
        <v>23</v>
      </c>
      <c r="Q3170" s="2" t="s">
        <v>20</v>
      </c>
    </row>
    <row r="3171" customFormat="false" ht="15" hidden="false" customHeight="false" outlineLevel="0" collapsed="false">
      <c r="A3171" s="2" t="n">
        <v>38</v>
      </c>
      <c r="B3171" s="2" t="s">
        <v>24</v>
      </c>
      <c r="C3171" s="2" t="s">
        <v>18</v>
      </c>
      <c r="D3171" s="2" t="s">
        <v>25</v>
      </c>
      <c r="E3171" s="2" t="s">
        <v>20</v>
      </c>
      <c r="F3171" s="2" t="n">
        <v>-314</v>
      </c>
      <c r="G3171" s="2" t="s">
        <v>26</v>
      </c>
      <c r="H3171" s="2" t="s">
        <v>20</v>
      </c>
      <c r="I3171" s="2" t="s">
        <v>23</v>
      </c>
      <c r="J3171" s="2" t="n">
        <v>28</v>
      </c>
      <c r="K3171" s="2" t="s">
        <v>27</v>
      </c>
      <c r="L3171" s="2" t="n">
        <v>66</v>
      </c>
      <c r="M3171" s="2" t="n">
        <v>2</v>
      </c>
      <c r="N3171" s="2" t="n">
        <v>-1</v>
      </c>
      <c r="O3171" s="2" t="n">
        <v>0</v>
      </c>
      <c r="P3171" s="2" t="s">
        <v>23</v>
      </c>
      <c r="Q3171" s="2" t="s">
        <v>20</v>
      </c>
    </row>
    <row r="3172" customFormat="false" ht="15" hidden="false" customHeight="false" outlineLevel="0" collapsed="false">
      <c r="A3172" s="2" t="n">
        <v>39</v>
      </c>
      <c r="B3172" s="2" t="s">
        <v>34</v>
      </c>
      <c r="C3172" s="2" t="s">
        <v>18</v>
      </c>
      <c r="D3172" s="2" t="s">
        <v>25</v>
      </c>
      <c r="E3172" s="2" t="s">
        <v>20</v>
      </c>
      <c r="F3172" s="2" t="n">
        <v>285</v>
      </c>
      <c r="G3172" s="2" t="s">
        <v>26</v>
      </c>
      <c r="H3172" s="2" t="s">
        <v>26</v>
      </c>
      <c r="I3172" s="2" t="s">
        <v>23</v>
      </c>
      <c r="J3172" s="2" t="n">
        <v>6</v>
      </c>
      <c r="K3172" s="2" t="s">
        <v>27</v>
      </c>
      <c r="L3172" s="2" t="n">
        <v>209</v>
      </c>
      <c r="M3172" s="2" t="n">
        <v>1</v>
      </c>
      <c r="N3172" s="2" t="n">
        <v>-1</v>
      </c>
      <c r="O3172" s="2" t="n">
        <v>0</v>
      </c>
      <c r="P3172" s="2" t="s">
        <v>23</v>
      </c>
      <c r="Q3172" s="2" t="s">
        <v>20</v>
      </c>
    </row>
    <row r="3173" customFormat="false" ht="15" hidden="false" customHeight="false" outlineLevel="0" collapsed="false">
      <c r="A3173" s="2" t="n">
        <v>28</v>
      </c>
      <c r="B3173" s="2" t="s">
        <v>34</v>
      </c>
      <c r="C3173" s="2" t="s">
        <v>30</v>
      </c>
      <c r="D3173" s="2" t="s">
        <v>19</v>
      </c>
      <c r="E3173" s="2" t="s">
        <v>20</v>
      </c>
      <c r="F3173" s="2" t="n">
        <v>1199</v>
      </c>
      <c r="G3173" s="2" t="s">
        <v>26</v>
      </c>
      <c r="H3173" s="2" t="s">
        <v>20</v>
      </c>
      <c r="I3173" s="2" t="s">
        <v>21</v>
      </c>
      <c r="J3173" s="2" t="n">
        <v>30</v>
      </c>
      <c r="K3173" s="2" t="s">
        <v>44</v>
      </c>
      <c r="L3173" s="2" t="n">
        <v>1011</v>
      </c>
      <c r="M3173" s="2" t="n">
        <v>20</v>
      </c>
      <c r="N3173" s="2" t="n">
        <v>-1</v>
      </c>
      <c r="O3173" s="2" t="n">
        <v>0</v>
      </c>
      <c r="P3173" s="2" t="s">
        <v>23</v>
      </c>
      <c r="Q3173" s="2" t="s">
        <v>20</v>
      </c>
    </row>
    <row r="3174" customFormat="false" ht="15" hidden="false" customHeight="false" outlineLevel="0" collapsed="false">
      <c r="A3174" s="2" t="n">
        <v>55</v>
      </c>
      <c r="B3174" s="2" t="s">
        <v>29</v>
      </c>
      <c r="C3174" s="2" t="s">
        <v>45</v>
      </c>
      <c r="D3174" s="2" t="s">
        <v>31</v>
      </c>
      <c r="E3174" s="2" t="s">
        <v>20</v>
      </c>
      <c r="F3174" s="2" t="n">
        <v>481</v>
      </c>
      <c r="G3174" s="2" t="s">
        <v>26</v>
      </c>
      <c r="H3174" s="2" t="s">
        <v>20</v>
      </c>
      <c r="I3174" s="2" t="s">
        <v>49</v>
      </c>
      <c r="J3174" s="2" t="n">
        <v>8</v>
      </c>
      <c r="K3174" s="2" t="s">
        <v>27</v>
      </c>
      <c r="L3174" s="2" t="n">
        <v>147</v>
      </c>
      <c r="M3174" s="2" t="n">
        <v>2</v>
      </c>
      <c r="N3174" s="2" t="n">
        <v>298</v>
      </c>
      <c r="O3174" s="2" t="n">
        <v>3</v>
      </c>
      <c r="P3174" s="2" t="s">
        <v>28</v>
      </c>
      <c r="Q3174" s="2" t="s">
        <v>20</v>
      </c>
    </row>
    <row r="3175" customFormat="false" ht="15" hidden="false" customHeight="false" outlineLevel="0" collapsed="false">
      <c r="A3175" s="2" t="n">
        <v>33</v>
      </c>
      <c r="B3175" s="2" t="s">
        <v>38</v>
      </c>
      <c r="C3175" s="2" t="s">
        <v>30</v>
      </c>
      <c r="D3175" s="2" t="s">
        <v>31</v>
      </c>
      <c r="E3175" s="2" t="s">
        <v>20</v>
      </c>
      <c r="F3175" s="2" t="n">
        <v>137</v>
      </c>
      <c r="G3175" s="2" t="s">
        <v>20</v>
      </c>
      <c r="H3175" s="2" t="s">
        <v>20</v>
      </c>
      <c r="I3175" s="2" t="s">
        <v>21</v>
      </c>
      <c r="J3175" s="2" t="n">
        <v>25</v>
      </c>
      <c r="K3175" s="2" t="s">
        <v>41</v>
      </c>
      <c r="L3175" s="2" t="n">
        <v>88</v>
      </c>
      <c r="M3175" s="2" t="n">
        <v>4</v>
      </c>
      <c r="N3175" s="2" t="n">
        <v>-1</v>
      </c>
      <c r="O3175" s="2" t="n">
        <v>0</v>
      </c>
      <c r="P3175" s="2" t="s">
        <v>23</v>
      </c>
      <c r="Q3175" s="2" t="s">
        <v>20</v>
      </c>
    </row>
    <row r="3176" customFormat="false" ht="15" hidden="false" customHeight="false" outlineLevel="0" collapsed="false">
      <c r="A3176" s="2" t="n">
        <v>36</v>
      </c>
      <c r="B3176" s="2" t="s">
        <v>34</v>
      </c>
      <c r="C3176" s="2" t="s">
        <v>30</v>
      </c>
      <c r="D3176" s="2" t="s">
        <v>25</v>
      </c>
      <c r="E3176" s="2" t="s">
        <v>20</v>
      </c>
      <c r="F3176" s="2" t="n">
        <v>168</v>
      </c>
      <c r="G3176" s="2" t="s">
        <v>26</v>
      </c>
      <c r="H3176" s="2" t="s">
        <v>20</v>
      </c>
      <c r="I3176" s="2" t="s">
        <v>49</v>
      </c>
      <c r="J3176" s="2" t="n">
        <v>12</v>
      </c>
      <c r="K3176" s="2" t="s">
        <v>27</v>
      </c>
      <c r="L3176" s="2" t="n">
        <v>52</v>
      </c>
      <c r="M3176" s="2" t="n">
        <v>1</v>
      </c>
      <c r="N3176" s="2" t="n">
        <v>-1</v>
      </c>
      <c r="O3176" s="2" t="n">
        <v>0</v>
      </c>
      <c r="P3176" s="2" t="s">
        <v>23</v>
      </c>
      <c r="Q3176" s="2" t="s">
        <v>20</v>
      </c>
    </row>
    <row r="3177" customFormat="false" ht="15" hidden="false" customHeight="false" outlineLevel="0" collapsed="false">
      <c r="A3177" s="2" t="n">
        <v>38</v>
      </c>
      <c r="B3177" s="2" t="s">
        <v>40</v>
      </c>
      <c r="C3177" s="2" t="s">
        <v>45</v>
      </c>
      <c r="D3177" s="2" t="s">
        <v>25</v>
      </c>
      <c r="E3177" s="2" t="s">
        <v>20</v>
      </c>
      <c r="F3177" s="2" t="n">
        <v>156</v>
      </c>
      <c r="G3177" s="2" t="s">
        <v>26</v>
      </c>
      <c r="H3177" s="2" t="s">
        <v>20</v>
      </c>
      <c r="I3177" s="2" t="s">
        <v>23</v>
      </c>
      <c r="J3177" s="2" t="n">
        <v>17</v>
      </c>
      <c r="K3177" s="2" t="s">
        <v>33</v>
      </c>
      <c r="L3177" s="2" t="n">
        <v>544</v>
      </c>
      <c r="M3177" s="2" t="n">
        <v>3</v>
      </c>
      <c r="N3177" s="2" t="n">
        <v>-1</v>
      </c>
      <c r="O3177" s="2" t="n">
        <v>0</v>
      </c>
      <c r="P3177" s="2" t="s">
        <v>23</v>
      </c>
      <c r="Q3177" s="2" t="s">
        <v>20</v>
      </c>
    </row>
    <row r="3178" customFormat="false" ht="15" hidden="false" customHeight="false" outlineLevel="0" collapsed="false">
      <c r="A3178" s="2" t="n">
        <v>28</v>
      </c>
      <c r="B3178" s="2" t="s">
        <v>40</v>
      </c>
      <c r="C3178" s="2" t="s">
        <v>30</v>
      </c>
      <c r="D3178" s="2" t="s">
        <v>25</v>
      </c>
      <c r="E3178" s="2" t="s">
        <v>20</v>
      </c>
      <c r="F3178" s="2" t="n">
        <v>4745</v>
      </c>
      <c r="G3178" s="2" t="s">
        <v>20</v>
      </c>
      <c r="H3178" s="2" t="s">
        <v>20</v>
      </c>
      <c r="I3178" s="2" t="s">
        <v>49</v>
      </c>
      <c r="J3178" s="2" t="n">
        <v>12</v>
      </c>
      <c r="K3178" s="2" t="s">
        <v>27</v>
      </c>
      <c r="L3178" s="2" t="n">
        <v>360</v>
      </c>
      <c r="M3178" s="2" t="n">
        <v>1</v>
      </c>
      <c r="N3178" s="2" t="n">
        <v>181</v>
      </c>
      <c r="O3178" s="2" t="n">
        <v>5</v>
      </c>
      <c r="P3178" s="2" t="s">
        <v>50</v>
      </c>
      <c r="Q3178" s="2" t="s">
        <v>26</v>
      </c>
    </row>
    <row r="3179" customFormat="false" ht="15" hidden="false" customHeight="false" outlineLevel="0" collapsed="false">
      <c r="A3179" s="2" t="n">
        <v>32</v>
      </c>
      <c r="B3179" s="2" t="s">
        <v>29</v>
      </c>
      <c r="C3179" s="2" t="s">
        <v>30</v>
      </c>
      <c r="D3179" s="2" t="s">
        <v>31</v>
      </c>
      <c r="E3179" s="2" t="s">
        <v>20</v>
      </c>
      <c r="F3179" s="2" t="n">
        <v>11797</v>
      </c>
      <c r="G3179" s="2" t="s">
        <v>26</v>
      </c>
      <c r="H3179" s="2" t="s">
        <v>20</v>
      </c>
      <c r="I3179" s="2" t="s">
        <v>21</v>
      </c>
      <c r="J3179" s="2" t="n">
        <v>11</v>
      </c>
      <c r="K3179" s="2" t="s">
        <v>41</v>
      </c>
      <c r="L3179" s="2" t="n">
        <v>95</v>
      </c>
      <c r="M3179" s="2" t="n">
        <v>2</v>
      </c>
      <c r="N3179" s="2" t="n">
        <v>-1</v>
      </c>
      <c r="O3179" s="2" t="n">
        <v>0</v>
      </c>
      <c r="P3179" s="2" t="s">
        <v>23</v>
      </c>
      <c r="Q3179" s="2" t="s">
        <v>20</v>
      </c>
    </row>
    <row r="3180" customFormat="false" ht="15" hidden="false" customHeight="false" outlineLevel="0" collapsed="false">
      <c r="A3180" s="2" t="n">
        <v>35</v>
      </c>
      <c r="B3180" s="2" t="s">
        <v>40</v>
      </c>
      <c r="C3180" s="2" t="s">
        <v>18</v>
      </c>
      <c r="D3180" s="2" t="s">
        <v>25</v>
      </c>
      <c r="E3180" s="2" t="s">
        <v>20</v>
      </c>
      <c r="F3180" s="2" t="n">
        <v>786</v>
      </c>
      <c r="G3180" s="2" t="s">
        <v>20</v>
      </c>
      <c r="H3180" s="2" t="s">
        <v>26</v>
      </c>
      <c r="I3180" s="2" t="s">
        <v>21</v>
      </c>
      <c r="J3180" s="2" t="n">
        <v>25</v>
      </c>
      <c r="K3180" s="2" t="s">
        <v>44</v>
      </c>
      <c r="L3180" s="2" t="n">
        <v>322</v>
      </c>
      <c r="M3180" s="2" t="n">
        <v>1</v>
      </c>
      <c r="N3180" s="2" t="n">
        <v>-1</v>
      </c>
      <c r="O3180" s="2" t="n">
        <v>0</v>
      </c>
      <c r="P3180" s="2" t="s">
        <v>23</v>
      </c>
      <c r="Q3180" s="2" t="s">
        <v>20</v>
      </c>
    </row>
    <row r="3181" customFormat="false" ht="15" hidden="false" customHeight="false" outlineLevel="0" collapsed="false">
      <c r="A3181" s="2" t="n">
        <v>58</v>
      </c>
      <c r="B3181" s="2" t="s">
        <v>38</v>
      </c>
      <c r="C3181" s="2" t="s">
        <v>18</v>
      </c>
      <c r="D3181" s="2" t="s">
        <v>19</v>
      </c>
      <c r="E3181" s="2" t="s">
        <v>20</v>
      </c>
      <c r="F3181" s="2" t="n">
        <v>4015</v>
      </c>
      <c r="G3181" s="2" t="s">
        <v>20</v>
      </c>
      <c r="H3181" s="2" t="s">
        <v>20</v>
      </c>
      <c r="I3181" s="2" t="s">
        <v>23</v>
      </c>
      <c r="J3181" s="2" t="n">
        <v>20</v>
      </c>
      <c r="K3181" s="2" t="s">
        <v>33</v>
      </c>
      <c r="L3181" s="2" t="n">
        <v>106</v>
      </c>
      <c r="M3181" s="2" t="n">
        <v>3</v>
      </c>
      <c r="N3181" s="2" t="n">
        <v>-1</v>
      </c>
      <c r="O3181" s="2" t="n">
        <v>0</v>
      </c>
      <c r="P3181" s="2" t="s">
        <v>23</v>
      </c>
      <c r="Q3181" s="2" t="s">
        <v>20</v>
      </c>
    </row>
    <row r="3182" customFormat="false" ht="15" hidden="false" customHeight="false" outlineLevel="0" collapsed="false">
      <c r="A3182" s="2" t="n">
        <v>30</v>
      </c>
      <c r="B3182" s="2" t="s">
        <v>24</v>
      </c>
      <c r="C3182" s="2" t="s">
        <v>18</v>
      </c>
      <c r="D3182" s="2" t="s">
        <v>25</v>
      </c>
      <c r="E3182" s="2" t="s">
        <v>20</v>
      </c>
      <c r="F3182" s="2" t="n">
        <v>0</v>
      </c>
      <c r="G3182" s="2" t="s">
        <v>26</v>
      </c>
      <c r="H3182" s="2" t="s">
        <v>20</v>
      </c>
      <c r="I3182" s="2" t="s">
        <v>23</v>
      </c>
      <c r="J3182" s="2" t="n">
        <v>9</v>
      </c>
      <c r="K3182" s="2" t="s">
        <v>27</v>
      </c>
      <c r="L3182" s="2" t="n">
        <v>20</v>
      </c>
      <c r="M3182" s="2" t="n">
        <v>1</v>
      </c>
      <c r="N3182" s="2" t="n">
        <v>-1</v>
      </c>
      <c r="O3182" s="2" t="n">
        <v>0</v>
      </c>
      <c r="P3182" s="2" t="s">
        <v>23</v>
      </c>
      <c r="Q3182" s="2" t="s">
        <v>20</v>
      </c>
    </row>
    <row r="3183" customFormat="false" ht="15" hidden="false" customHeight="false" outlineLevel="0" collapsed="false">
      <c r="A3183" s="2" t="n">
        <v>33</v>
      </c>
      <c r="B3183" s="2" t="s">
        <v>34</v>
      </c>
      <c r="C3183" s="2" t="s">
        <v>18</v>
      </c>
      <c r="D3183" s="2" t="s">
        <v>25</v>
      </c>
      <c r="E3183" s="2" t="s">
        <v>20</v>
      </c>
      <c r="F3183" s="2" t="n">
        <v>331</v>
      </c>
      <c r="G3183" s="2" t="s">
        <v>26</v>
      </c>
      <c r="H3183" s="2" t="s">
        <v>20</v>
      </c>
      <c r="I3183" s="2" t="s">
        <v>21</v>
      </c>
      <c r="J3183" s="2" t="n">
        <v>14</v>
      </c>
      <c r="K3183" s="2" t="s">
        <v>27</v>
      </c>
      <c r="L3183" s="2" t="n">
        <v>178</v>
      </c>
      <c r="M3183" s="2" t="n">
        <v>7</v>
      </c>
      <c r="N3183" s="2" t="n">
        <v>365</v>
      </c>
      <c r="O3183" s="2" t="n">
        <v>5</v>
      </c>
      <c r="P3183" s="2" t="s">
        <v>37</v>
      </c>
      <c r="Q3183" s="2" t="s">
        <v>20</v>
      </c>
    </row>
    <row r="3184" customFormat="false" ht="15" hidden="false" customHeight="false" outlineLevel="0" collapsed="false">
      <c r="A3184" s="2" t="n">
        <v>36</v>
      </c>
      <c r="B3184" s="2" t="s">
        <v>34</v>
      </c>
      <c r="C3184" s="2" t="s">
        <v>18</v>
      </c>
      <c r="D3184" s="2" t="s">
        <v>25</v>
      </c>
      <c r="E3184" s="2" t="s">
        <v>20</v>
      </c>
      <c r="F3184" s="2" t="n">
        <v>1554</v>
      </c>
      <c r="G3184" s="2" t="s">
        <v>26</v>
      </c>
      <c r="H3184" s="2" t="s">
        <v>20</v>
      </c>
      <c r="I3184" s="2" t="s">
        <v>23</v>
      </c>
      <c r="J3184" s="2" t="n">
        <v>12</v>
      </c>
      <c r="K3184" s="2" t="s">
        <v>27</v>
      </c>
      <c r="L3184" s="2" t="n">
        <v>325</v>
      </c>
      <c r="M3184" s="2" t="n">
        <v>4</v>
      </c>
      <c r="N3184" s="2" t="n">
        <v>-1</v>
      </c>
      <c r="O3184" s="2" t="n">
        <v>0</v>
      </c>
      <c r="P3184" s="2" t="s">
        <v>23</v>
      </c>
      <c r="Q3184" s="2" t="s">
        <v>20</v>
      </c>
    </row>
    <row r="3185" customFormat="false" ht="15" hidden="false" customHeight="false" outlineLevel="0" collapsed="false">
      <c r="A3185" s="2" t="n">
        <v>32</v>
      </c>
      <c r="B3185" s="2" t="s">
        <v>24</v>
      </c>
      <c r="C3185" s="2" t="s">
        <v>18</v>
      </c>
      <c r="D3185" s="2" t="s">
        <v>25</v>
      </c>
      <c r="E3185" s="2" t="s">
        <v>20</v>
      </c>
      <c r="F3185" s="2" t="n">
        <v>132</v>
      </c>
      <c r="G3185" s="2" t="s">
        <v>26</v>
      </c>
      <c r="H3185" s="2" t="s">
        <v>26</v>
      </c>
      <c r="I3185" s="2" t="s">
        <v>23</v>
      </c>
      <c r="J3185" s="2" t="n">
        <v>19</v>
      </c>
      <c r="K3185" s="2" t="s">
        <v>27</v>
      </c>
      <c r="L3185" s="2" t="n">
        <v>343</v>
      </c>
      <c r="M3185" s="2" t="n">
        <v>2</v>
      </c>
      <c r="N3185" s="2" t="n">
        <v>-1</v>
      </c>
      <c r="O3185" s="2" t="n">
        <v>0</v>
      </c>
      <c r="P3185" s="2" t="s">
        <v>23</v>
      </c>
      <c r="Q3185" s="2" t="s">
        <v>20</v>
      </c>
    </row>
    <row r="3186" customFormat="false" ht="15" hidden="false" customHeight="false" outlineLevel="0" collapsed="false">
      <c r="A3186" s="2" t="n">
        <v>34</v>
      </c>
      <c r="B3186" s="2" t="s">
        <v>29</v>
      </c>
      <c r="C3186" s="2" t="s">
        <v>30</v>
      </c>
      <c r="D3186" s="2" t="s">
        <v>31</v>
      </c>
      <c r="E3186" s="2" t="s">
        <v>20</v>
      </c>
      <c r="F3186" s="2" t="n">
        <v>5086</v>
      </c>
      <c r="G3186" s="2" t="s">
        <v>20</v>
      </c>
      <c r="H3186" s="2" t="s">
        <v>20</v>
      </c>
      <c r="I3186" s="2" t="s">
        <v>21</v>
      </c>
      <c r="J3186" s="2" t="n">
        <v>25</v>
      </c>
      <c r="K3186" s="2" t="s">
        <v>27</v>
      </c>
      <c r="L3186" s="2" t="n">
        <v>213</v>
      </c>
      <c r="M3186" s="2" t="n">
        <v>4</v>
      </c>
      <c r="N3186" s="2" t="n">
        <v>-1</v>
      </c>
      <c r="O3186" s="2" t="n">
        <v>0</v>
      </c>
      <c r="P3186" s="2" t="s">
        <v>23</v>
      </c>
      <c r="Q3186" s="2" t="s">
        <v>26</v>
      </c>
    </row>
    <row r="3187" customFormat="false" ht="15" hidden="false" customHeight="false" outlineLevel="0" collapsed="false">
      <c r="A3187" s="2" t="n">
        <v>42</v>
      </c>
      <c r="B3187" s="2" t="s">
        <v>40</v>
      </c>
      <c r="C3187" s="2" t="s">
        <v>18</v>
      </c>
      <c r="D3187" s="2" t="s">
        <v>25</v>
      </c>
      <c r="E3187" s="2" t="s">
        <v>20</v>
      </c>
      <c r="F3187" s="2" t="n">
        <v>529</v>
      </c>
      <c r="G3187" s="2" t="s">
        <v>26</v>
      </c>
      <c r="H3187" s="2" t="s">
        <v>26</v>
      </c>
      <c r="I3187" s="2" t="s">
        <v>21</v>
      </c>
      <c r="J3187" s="2" t="n">
        <v>19</v>
      </c>
      <c r="K3187" s="2" t="s">
        <v>46</v>
      </c>
      <c r="L3187" s="2" t="n">
        <v>193</v>
      </c>
      <c r="M3187" s="2" t="n">
        <v>3</v>
      </c>
      <c r="N3187" s="2" t="n">
        <v>-1</v>
      </c>
      <c r="O3187" s="2" t="n">
        <v>0</v>
      </c>
      <c r="P3187" s="2" t="s">
        <v>23</v>
      </c>
      <c r="Q3187" s="2" t="s">
        <v>20</v>
      </c>
    </row>
    <row r="3188" customFormat="false" ht="15" hidden="false" customHeight="false" outlineLevel="0" collapsed="false">
      <c r="A3188" s="2" t="n">
        <v>41</v>
      </c>
      <c r="B3188" s="2" t="s">
        <v>29</v>
      </c>
      <c r="C3188" s="2" t="s">
        <v>18</v>
      </c>
      <c r="D3188" s="2" t="s">
        <v>31</v>
      </c>
      <c r="E3188" s="2" t="s">
        <v>20</v>
      </c>
      <c r="F3188" s="2" t="n">
        <v>4824</v>
      </c>
      <c r="G3188" s="2" t="s">
        <v>20</v>
      </c>
      <c r="H3188" s="2" t="s">
        <v>26</v>
      </c>
      <c r="I3188" s="2" t="s">
        <v>21</v>
      </c>
      <c r="J3188" s="2" t="n">
        <v>18</v>
      </c>
      <c r="K3188" s="2" t="s">
        <v>44</v>
      </c>
      <c r="L3188" s="2" t="n">
        <v>168</v>
      </c>
      <c r="M3188" s="2" t="n">
        <v>7</v>
      </c>
      <c r="N3188" s="2" t="n">
        <v>-1</v>
      </c>
      <c r="O3188" s="2" t="n">
        <v>0</v>
      </c>
      <c r="P3188" s="2" t="s">
        <v>23</v>
      </c>
      <c r="Q3188" s="2" t="s">
        <v>20</v>
      </c>
    </row>
    <row r="3189" customFormat="false" ht="15" hidden="false" customHeight="false" outlineLevel="0" collapsed="false">
      <c r="A3189" s="2" t="n">
        <v>63</v>
      </c>
      <c r="B3189" s="2" t="s">
        <v>48</v>
      </c>
      <c r="C3189" s="2" t="s">
        <v>18</v>
      </c>
      <c r="D3189" s="2" t="s">
        <v>25</v>
      </c>
      <c r="E3189" s="2" t="s">
        <v>20</v>
      </c>
      <c r="F3189" s="2" t="n">
        <v>474</v>
      </c>
      <c r="G3189" s="2" t="s">
        <v>20</v>
      </c>
      <c r="H3189" s="2" t="s">
        <v>20</v>
      </c>
      <c r="I3189" s="2" t="s">
        <v>21</v>
      </c>
      <c r="J3189" s="2" t="n">
        <v>25</v>
      </c>
      <c r="K3189" s="2" t="s">
        <v>43</v>
      </c>
      <c r="L3189" s="2" t="n">
        <v>423</v>
      </c>
      <c r="M3189" s="2" t="n">
        <v>1</v>
      </c>
      <c r="N3189" s="2" t="n">
        <v>-1</v>
      </c>
      <c r="O3189" s="2" t="n">
        <v>0</v>
      </c>
      <c r="P3189" s="2" t="s">
        <v>23</v>
      </c>
      <c r="Q3189" s="2" t="s">
        <v>26</v>
      </c>
    </row>
    <row r="3190" customFormat="false" ht="15" hidden="false" customHeight="false" outlineLevel="0" collapsed="false">
      <c r="A3190" s="2" t="n">
        <v>38</v>
      </c>
      <c r="B3190" s="2" t="s">
        <v>40</v>
      </c>
      <c r="C3190" s="2" t="s">
        <v>45</v>
      </c>
      <c r="D3190" s="2" t="s">
        <v>31</v>
      </c>
      <c r="E3190" s="2" t="s">
        <v>20</v>
      </c>
      <c r="F3190" s="2" t="n">
        <v>86</v>
      </c>
      <c r="G3190" s="2" t="s">
        <v>26</v>
      </c>
      <c r="H3190" s="2" t="s">
        <v>20</v>
      </c>
      <c r="I3190" s="2" t="s">
        <v>23</v>
      </c>
      <c r="J3190" s="2" t="n">
        <v>6</v>
      </c>
      <c r="K3190" s="2" t="s">
        <v>27</v>
      </c>
      <c r="L3190" s="2" t="n">
        <v>218</v>
      </c>
      <c r="M3190" s="2" t="n">
        <v>1</v>
      </c>
      <c r="N3190" s="2" t="n">
        <v>-1</v>
      </c>
      <c r="O3190" s="2" t="n">
        <v>0</v>
      </c>
      <c r="P3190" s="2" t="s">
        <v>23</v>
      </c>
      <c r="Q3190" s="2" t="s">
        <v>20</v>
      </c>
    </row>
    <row r="3191" customFormat="false" ht="15" hidden="false" customHeight="false" outlineLevel="0" collapsed="false">
      <c r="A3191" s="2" t="n">
        <v>54</v>
      </c>
      <c r="B3191" s="2" t="s">
        <v>34</v>
      </c>
      <c r="C3191" s="2" t="s">
        <v>18</v>
      </c>
      <c r="D3191" s="2" t="s">
        <v>19</v>
      </c>
      <c r="E3191" s="2" t="s">
        <v>20</v>
      </c>
      <c r="F3191" s="2" t="n">
        <v>2281</v>
      </c>
      <c r="G3191" s="2" t="s">
        <v>26</v>
      </c>
      <c r="H3191" s="2" t="s">
        <v>20</v>
      </c>
      <c r="I3191" s="2" t="s">
        <v>23</v>
      </c>
      <c r="J3191" s="2" t="n">
        <v>20</v>
      </c>
      <c r="K3191" s="2" t="s">
        <v>33</v>
      </c>
      <c r="L3191" s="2" t="n">
        <v>158</v>
      </c>
      <c r="M3191" s="2" t="n">
        <v>1</v>
      </c>
      <c r="N3191" s="2" t="n">
        <v>-1</v>
      </c>
      <c r="O3191" s="2" t="n">
        <v>0</v>
      </c>
      <c r="P3191" s="2" t="s">
        <v>23</v>
      </c>
      <c r="Q3191" s="2" t="s">
        <v>20</v>
      </c>
    </row>
    <row r="3192" customFormat="false" ht="15" hidden="false" customHeight="false" outlineLevel="0" collapsed="false">
      <c r="A3192" s="2" t="n">
        <v>39</v>
      </c>
      <c r="B3192" s="2" t="s">
        <v>24</v>
      </c>
      <c r="C3192" s="2" t="s">
        <v>18</v>
      </c>
      <c r="D3192" s="2" t="s">
        <v>25</v>
      </c>
      <c r="E3192" s="2" t="s">
        <v>20</v>
      </c>
      <c r="F3192" s="2" t="n">
        <v>186</v>
      </c>
      <c r="G3192" s="2" t="s">
        <v>26</v>
      </c>
      <c r="H3192" s="2" t="s">
        <v>20</v>
      </c>
      <c r="I3192" s="2" t="s">
        <v>21</v>
      </c>
      <c r="J3192" s="2" t="n">
        <v>17</v>
      </c>
      <c r="K3192" s="2" t="s">
        <v>32</v>
      </c>
      <c r="L3192" s="2" t="n">
        <v>433</v>
      </c>
      <c r="M3192" s="2" t="n">
        <v>1</v>
      </c>
      <c r="N3192" s="2" t="n">
        <v>-1</v>
      </c>
      <c r="O3192" s="2" t="n">
        <v>0</v>
      </c>
      <c r="P3192" s="2" t="s">
        <v>23</v>
      </c>
      <c r="Q3192" s="2" t="s">
        <v>20</v>
      </c>
    </row>
    <row r="3193" customFormat="false" ht="15" hidden="false" customHeight="false" outlineLevel="0" collapsed="false">
      <c r="A3193" s="2" t="n">
        <v>46</v>
      </c>
      <c r="B3193" s="2" t="s">
        <v>34</v>
      </c>
      <c r="C3193" s="2" t="s">
        <v>18</v>
      </c>
      <c r="D3193" s="2" t="s">
        <v>25</v>
      </c>
      <c r="E3193" s="2" t="s">
        <v>20</v>
      </c>
      <c r="F3193" s="2" t="n">
        <v>137</v>
      </c>
      <c r="G3193" s="2" t="s">
        <v>20</v>
      </c>
      <c r="H3193" s="2" t="s">
        <v>20</v>
      </c>
      <c r="I3193" s="2" t="s">
        <v>23</v>
      </c>
      <c r="J3193" s="2" t="n">
        <v>20</v>
      </c>
      <c r="K3193" s="2" t="s">
        <v>33</v>
      </c>
      <c r="L3193" s="2" t="n">
        <v>252</v>
      </c>
      <c r="M3193" s="2" t="n">
        <v>3</v>
      </c>
      <c r="N3193" s="2" t="n">
        <v>-1</v>
      </c>
      <c r="O3193" s="2" t="n">
        <v>0</v>
      </c>
      <c r="P3193" s="2" t="s">
        <v>23</v>
      </c>
      <c r="Q3193" s="2" t="s">
        <v>20</v>
      </c>
    </row>
    <row r="3194" customFormat="false" ht="15" hidden="false" customHeight="false" outlineLevel="0" collapsed="false">
      <c r="A3194" s="2" t="n">
        <v>37</v>
      </c>
      <c r="B3194" s="2" t="s">
        <v>38</v>
      </c>
      <c r="C3194" s="2" t="s">
        <v>18</v>
      </c>
      <c r="D3194" s="2" t="s">
        <v>31</v>
      </c>
      <c r="E3194" s="2" t="s">
        <v>20</v>
      </c>
      <c r="F3194" s="2" t="n">
        <v>6968</v>
      </c>
      <c r="G3194" s="2" t="s">
        <v>20</v>
      </c>
      <c r="H3194" s="2" t="s">
        <v>20</v>
      </c>
      <c r="I3194" s="2" t="s">
        <v>21</v>
      </c>
      <c r="J3194" s="2" t="n">
        <v>1</v>
      </c>
      <c r="K3194" s="2" t="s">
        <v>33</v>
      </c>
      <c r="L3194" s="2" t="n">
        <v>175</v>
      </c>
      <c r="M3194" s="2" t="n">
        <v>1</v>
      </c>
      <c r="N3194" s="2" t="n">
        <v>-1</v>
      </c>
      <c r="O3194" s="2" t="n">
        <v>0</v>
      </c>
      <c r="P3194" s="2" t="s">
        <v>23</v>
      </c>
      <c r="Q3194" s="2" t="s">
        <v>20</v>
      </c>
    </row>
    <row r="3195" customFormat="false" ht="15" hidden="false" customHeight="false" outlineLevel="0" collapsed="false">
      <c r="A3195" s="2" t="n">
        <v>76</v>
      </c>
      <c r="B3195" s="2" t="s">
        <v>48</v>
      </c>
      <c r="C3195" s="2" t="s">
        <v>45</v>
      </c>
      <c r="D3195" s="2" t="s">
        <v>19</v>
      </c>
      <c r="E3195" s="2" t="s">
        <v>20</v>
      </c>
      <c r="F3195" s="2" t="n">
        <v>86</v>
      </c>
      <c r="G3195" s="2" t="s">
        <v>20</v>
      </c>
      <c r="H3195" s="2" t="s">
        <v>20</v>
      </c>
      <c r="I3195" s="2" t="s">
        <v>21</v>
      </c>
      <c r="J3195" s="2" t="n">
        <v>12</v>
      </c>
      <c r="K3195" s="2" t="s">
        <v>41</v>
      </c>
      <c r="L3195" s="2" t="n">
        <v>192</v>
      </c>
      <c r="M3195" s="2" t="n">
        <v>1</v>
      </c>
      <c r="N3195" s="2" t="n">
        <v>-1</v>
      </c>
      <c r="O3195" s="2" t="n">
        <v>0</v>
      </c>
      <c r="P3195" s="2" t="s">
        <v>23</v>
      </c>
      <c r="Q3195" s="2" t="s">
        <v>20</v>
      </c>
    </row>
    <row r="3196" customFormat="false" ht="15" hidden="false" customHeight="false" outlineLevel="0" collapsed="false">
      <c r="A3196" s="2" t="n">
        <v>28</v>
      </c>
      <c r="B3196" s="2" t="s">
        <v>29</v>
      </c>
      <c r="C3196" s="2" t="s">
        <v>30</v>
      </c>
      <c r="D3196" s="2" t="s">
        <v>23</v>
      </c>
      <c r="E3196" s="2" t="s">
        <v>20</v>
      </c>
      <c r="F3196" s="2" t="n">
        <v>81</v>
      </c>
      <c r="G3196" s="2" t="s">
        <v>20</v>
      </c>
      <c r="H3196" s="2" t="s">
        <v>26</v>
      </c>
      <c r="I3196" s="2" t="s">
        <v>21</v>
      </c>
      <c r="J3196" s="2" t="n">
        <v>8</v>
      </c>
      <c r="K3196" s="2" t="s">
        <v>44</v>
      </c>
      <c r="L3196" s="2" t="n">
        <v>158</v>
      </c>
      <c r="M3196" s="2" t="n">
        <v>1</v>
      </c>
      <c r="N3196" s="2" t="n">
        <v>-1</v>
      </c>
      <c r="O3196" s="2" t="n">
        <v>0</v>
      </c>
      <c r="P3196" s="2" t="s">
        <v>23</v>
      </c>
      <c r="Q3196" s="2" t="s">
        <v>20</v>
      </c>
    </row>
    <row r="3197" customFormat="false" ht="15" hidden="false" customHeight="false" outlineLevel="0" collapsed="false">
      <c r="A3197" s="2" t="n">
        <v>33</v>
      </c>
      <c r="B3197" s="2" t="s">
        <v>24</v>
      </c>
      <c r="C3197" s="2" t="s">
        <v>18</v>
      </c>
      <c r="D3197" s="2" t="s">
        <v>19</v>
      </c>
      <c r="E3197" s="2" t="s">
        <v>20</v>
      </c>
      <c r="F3197" s="2" t="n">
        <v>6904</v>
      </c>
      <c r="G3197" s="2" t="s">
        <v>20</v>
      </c>
      <c r="H3197" s="2" t="s">
        <v>20</v>
      </c>
      <c r="I3197" s="2" t="s">
        <v>49</v>
      </c>
      <c r="J3197" s="2" t="n">
        <v>20</v>
      </c>
      <c r="K3197" s="2" t="s">
        <v>46</v>
      </c>
      <c r="L3197" s="2" t="n">
        <v>114</v>
      </c>
      <c r="M3197" s="2" t="n">
        <v>2</v>
      </c>
      <c r="N3197" s="2" t="n">
        <v>-1</v>
      </c>
      <c r="O3197" s="2" t="n">
        <v>0</v>
      </c>
      <c r="P3197" s="2" t="s">
        <v>23</v>
      </c>
      <c r="Q3197" s="2" t="s">
        <v>20</v>
      </c>
    </row>
    <row r="3198" customFormat="false" ht="15" hidden="false" customHeight="false" outlineLevel="0" collapsed="false">
      <c r="A3198" s="2" t="n">
        <v>46</v>
      </c>
      <c r="B3198" s="2" t="s">
        <v>36</v>
      </c>
      <c r="C3198" s="2" t="s">
        <v>18</v>
      </c>
      <c r="D3198" s="2" t="s">
        <v>31</v>
      </c>
      <c r="E3198" s="2" t="s">
        <v>20</v>
      </c>
      <c r="F3198" s="2" t="n">
        <v>137</v>
      </c>
      <c r="G3198" s="2" t="s">
        <v>26</v>
      </c>
      <c r="H3198" s="2" t="s">
        <v>26</v>
      </c>
      <c r="I3198" s="2" t="s">
        <v>23</v>
      </c>
      <c r="J3198" s="2" t="n">
        <v>5</v>
      </c>
      <c r="K3198" s="2" t="s">
        <v>27</v>
      </c>
      <c r="L3198" s="2" t="n">
        <v>246</v>
      </c>
      <c r="M3198" s="2" t="n">
        <v>1</v>
      </c>
      <c r="N3198" s="2" t="n">
        <v>-1</v>
      </c>
      <c r="O3198" s="2" t="n">
        <v>0</v>
      </c>
      <c r="P3198" s="2" t="s">
        <v>23</v>
      </c>
      <c r="Q3198" s="2" t="s">
        <v>20</v>
      </c>
    </row>
    <row r="3199" customFormat="false" ht="15" hidden="false" customHeight="false" outlineLevel="0" collapsed="false">
      <c r="A3199" s="2" t="n">
        <v>30</v>
      </c>
      <c r="B3199" s="2" t="s">
        <v>42</v>
      </c>
      <c r="C3199" s="2" t="s">
        <v>30</v>
      </c>
      <c r="D3199" s="2" t="s">
        <v>25</v>
      </c>
      <c r="E3199" s="2" t="s">
        <v>20</v>
      </c>
      <c r="F3199" s="2" t="n">
        <v>25</v>
      </c>
      <c r="G3199" s="2" t="s">
        <v>20</v>
      </c>
      <c r="H3199" s="2" t="s">
        <v>20</v>
      </c>
      <c r="I3199" s="2" t="s">
        <v>49</v>
      </c>
      <c r="J3199" s="2" t="n">
        <v>30</v>
      </c>
      <c r="K3199" s="2" t="s">
        <v>32</v>
      </c>
      <c r="L3199" s="2" t="n">
        <v>44</v>
      </c>
      <c r="M3199" s="2" t="n">
        <v>1</v>
      </c>
      <c r="N3199" s="2" t="n">
        <v>-1</v>
      </c>
      <c r="O3199" s="2" t="n">
        <v>0</v>
      </c>
      <c r="P3199" s="2" t="s">
        <v>23</v>
      </c>
      <c r="Q3199" s="2" t="s">
        <v>20</v>
      </c>
    </row>
    <row r="3200" customFormat="false" ht="15" hidden="false" customHeight="false" outlineLevel="0" collapsed="false">
      <c r="A3200" s="2" t="n">
        <v>60</v>
      </c>
      <c r="B3200" s="2" t="s">
        <v>29</v>
      </c>
      <c r="C3200" s="2" t="s">
        <v>18</v>
      </c>
      <c r="D3200" s="2" t="s">
        <v>31</v>
      </c>
      <c r="E3200" s="2" t="s">
        <v>20</v>
      </c>
      <c r="F3200" s="2" t="n">
        <v>759</v>
      </c>
      <c r="G3200" s="2" t="s">
        <v>20</v>
      </c>
      <c r="H3200" s="2" t="s">
        <v>20</v>
      </c>
      <c r="I3200" s="2" t="s">
        <v>21</v>
      </c>
      <c r="J3200" s="2" t="n">
        <v>14</v>
      </c>
      <c r="K3200" s="2" t="s">
        <v>41</v>
      </c>
      <c r="L3200" s="2" t="n">
        <v>136</v>
      </c>
      <c r="M3200" s="2" t="n">
        <v>2</v>
      </c>
      <c r="N3200" s="2" t="n">
        <v>-1</v>
      </c>
      <c r="O3200" s="2" t="n">
        <v>0</v>
      </c>
      <c r="P3200" s="2" t="s">
        <v>23</v>
      </c>
      <c r="Q3200" s="2" t="s">
        <v>20</v>
      </c>
    </row>
    <row r="3201" customFormat="false" ht="15" hidden="false" customHeight="false" outlineLevel="0" collapsed="false">
      <c r="A3201" s="2" t="n">
        <v>56</v>
      </c>
      <c r="B3201" s="2" t="s">
        <v>47</v>
      </c>
      <c r="C3201" s="2" t="s">
        <v>18</v>
      </c>
      <c r="D3201" s="2" t="s">
        <v>31</v>
      </c>
      <c r="E3201" s="2" t="s">
        <v>20</v>
      </c>
      <c r="F3201" s="2" t="n">
        <v>1922</v>
      </c>
      <c r="G3201" s="2" t="s">
        <v>26</v>
      </c>
      <c r="H3201" s="2" t="s">
        <v>20</v>
      </c>
      <c r="I3201" s="2" t="s">
        <v>21</v>
      </c>
      <c r="J3201" s="2" t="n">
        <v>24</v>
      </c>
      <c r="K3201" s="2" t="s">
        <v>44</v>
      </c>
      <c r="L3201" s="2" t="n">
        <v>247</v>
      </c>
      <c r="M3201" s="2" t="n">
        <v>2</v>
      </c>
      <c r="N3201" s="2" t="n">
        <v>-1</v>
      </c>
      <c r="O3201" s="2" t="n">
        <v>0</v>
      </c>
      <c r="P3201" s="2" t="s">
        <v>23</v>
      </c>
      <c r="Q3201" s="2" t="s">
        <v>20</v>
      </c>
    </row>
    <row r="3202" customFormat="false" ht="15" hidden="false" customHeight="false" outlineLevel="0" collapsed="false">
      <c r="A3202" s="2" t="n">
        <v>24</v>
      </c>
      <c r="B3202" s="2" t="s">
        <v>42</v>
      </c>
      <c r="C3202" s="2" t="s">
        <v>30</v>
      </c>
      <c r="D3202" s="2" t="s">
        <v>23</v>
      </c>
      <c r="E3202" s="2" t="s">
        <v>20</v>
      </c>
      <c r="F3202" s="2" t="n">
        <v>3298</v>
      </c>
      <c r="G3202" s="2" t="s">
        <v>26</v>
      </c>
      <c r="H3202" s="2" t="s">
        <v>20</v>
      </c>
      <c r="I3202" s="2" t="s">
        <v>23</v>
      </c>
      <c r="J3202" s="2" t="n">
        <v>28</v>
      </c>
      <c r="K3202" s="2" t="s">
        <v>27</v>
      </c>
      <c r="L3202" s="2" t="n">
        <v>227</v>
      </c>
      <c r="M3202" s="2" t="n">
        <v>1</v>
      </c>
      <c r="N3202" s="2" t="n">
        <v>-1</v>
      </c>
      <c r="O3202" s="2" t="n">
        <v>0</v>
      </c>
      <c r="P3202" s="2" t="s">
        <v>23</v>
      </c>
      <c r="Q3202" s="2" t="s">
        <v>20</v>
      </c>
    </row>
    <row r="3203" customFormat="false" ht="15" hidden="false" customHeight="false" outlineLevel="0" collapsed="false">
      <c r="A3203" s="2" t="n">
        <v>58</v>
      </c>
      <c r="B3203" s="2" t="s">
        <v>48</v>
      </c>
      <c r="C3203" s="2" t="s">
        <v>18</v>
      </c>
      <c r="D3203" s="2" t="s">
        <v>25</v>
      </c>
      <c r="E3203" s="2" t="s">
        <v>20</v>
      </c>
      <c r="F3203" s="2" t="n">
        <v>764</v>
      </c>
      <c r="G3203" s="2" t="s">
        <v>20</v>
      </c>
      <c r="H3203" s="2" t="s">
        <v>20</v>
      </c>
      <c r="I3203" s="2" t="s">
        <v>21</v>
      </c>
      <c r="J3203" s="2" t="n">
        <v>12</v>
      </c>
      <c r="K3203" s="2" t="s">
        <v>41</v>
      </c>
      <c r="L3203" s="2" t="n">
        <v>219</v>
      </c>
      <c r="M3203" s="2" t="n">
        <v>4</v>
      </c>
      <c r="N3203" s="2" t="n">
        <v>-1</v>
      </c>
      <c r="O3203" s="2" t="n">
        <v>0</v>
      </c>
      <c r="P3203" s="2" t="s">
        <v>23</v>
      </c>
      <c r="Q3203" s="2" t="s">
        <v>20</v>
      </c>
    </row>
    <row r="3204" customFormat="false" ht="15" hidden="false" customHeight="false" outlineLevel="0" collapsed="false">
      <c r="A3204" s="2" t="n">
        <v>79</v>
      </c>
      <c r="B3204" s="2" t="s">
        <v>48</v>
      </c>
      <c r="C3204" s="2" t="s">
        <v>18</v>
      </c>
      <c r="D3204" s="2" t="s">
        <v>19</v>
      </c>
      <c r="E3204" s="2" t="s">
        <v>20</v>
      </c>
      <c r="F3204" s="2" t="n">
        <v>8556</v>
      </c>
      <c r="G3204" s="2" t="s">
        <v>20</v>
      </c>
      <c r="H3204" s="2" t="s">
        <v>20</v>
      </c>
      <c r="I3204" s="2" t="s">
        <v>49</v>
      </c>
      <c r="J3204" s="2" t="n">
        <v>18</v>
      </c>
      <c r="K3204" s="2" t="s">
        <v>43</v>
      </c>
      <c r="L3204" s="2" t="n">
        <v>326</v>
      </c>
      <c r="M3204" s="2" t="n">
        <v>2</v>
      </c>
      <c r="N3204" s="2" t="n">
        <v>272</v>
      </c>
      <c r="O3204" s="2" t="n">
        <v>2</v>
      </c>
      <c r="P3204" s="2" t="s">
        <v>50</v>
      </c>
      <c r="Q3204" s="2" t="s">
        <v>26</v>
      </c>
    </row>
    <row r="3205" customFormat="false" ht="15" hidden="false" customHeight="false" outlineLevel="0" collapsed="false">
      <c r="A3205" s="2" t="n">
        <v>32</v>
      </c>
      <c r="B3205" s="2" t="s">
        <v>34</v>
      </c>
      <c r="C3205" s="2" t="s">
        <v>18</v>
      </c>
      <c r="D3205" s="2" t="s">
        <v>25</v>
      </c>
      <c r="E3205" s="2" t="s">
        <v>20</v>
      </c>
      <c r="F3205" s="2" t="n">
        <v>3514</v>
      </c>
      <c r="G3205" s="2" t="s">
        <v>26</v>
      </c>
      <c r="H3205" s="2" t="s">
        <v>20</v>
      </c>
      <c r="I3205" s="2" t="s">
        <v>23</v>
      </c>
      <c r="J3205" s="2" t="n">
        <v>20</v>
      </c>
      <c r="K3205" s="2" t="s">
        <v>27</v>
      </c>
      <c r="L3205" s="2" t="n">
        <v>226</v>
      </c>
      <c r="M3205" s="2" t="n">
        <v>2</v>
      </c>
      <c r="N3205" s="2" t="n">
        <v>-1</v>
      </c>
      <c r="O3205" s="2" t="n">
        <v>0</v>
      </c>
      <c r="P3205" s="2" t="s">
        <v>23</v>
      </c>
      <c r="Q3205" s="2" t="s">
        <v>20</v>
      </c>
    </row>
    <row r="3206" customFormat="false" ht="15" hidden="false" customHeight="false" outlineLevel="0" collapsed="false">
      <c r="A3206" s="2" t="n">
        <v>33</v>
      </c>
      <c r="B3206" s="2" t="s">
        <v>24</v>
      </c>
      <c r="C3206" s="2" t="s">
        <v>18</v>
      </c>
      <c r="D3206" s="2" t="s">
        <v>19</v>
      </c>
      <c r="E3206" s="2" t="s">
        <v>20</v>
      </c>
      <c r="F3206" s="2" t="n">
        <v>0</v>
      </c>
      <c r="G3206" s="2" t="s">
        <v>26</v>
      </c>
      <c r="H3206" s="2" t="s">
        <v>20</v>
      </c>
      <c r="I3206" s="2" t="s">
        <v>21</v>
      </c>
      <c r="J3206" s="2" t="n">
        <v>18</v>
      </c>
      <c r="K3206" s="2" t="s">
        <v>44</v>
      </c>
      <c r="L3206" s="2" t="n">
        <v>351</v>
      </c>
      <c r="M3206" s="2" t="n">
        <v>2</v>
      </c>
      <c r="N3206" s="2" t="n">
        <v>-1</v>
      </c>
      <c r="O3206" s="2" t="n">
        <v>0</v>
      </c>
      <c r="P3206" s="2" t="s">
        <v>23</v>
      </c>
      <c r="Q3206" s="2" t="s">
        <v>20</v>
      </c>
    </row>
    <row r="3207" customFormat="false" ht="15" hidden="false" customHeight="false" outlineLevel="0" collapsed="false">
      <c r="A3207" s="2" t="n">
        <v>77</v>
      </c>
      <c r="B3207" s="2" t="s">
        <v>48</v>
      </c>
      <c r="C3207" s="2" t="s">
        <v>18</v>
      </c>
      <c r="D3207" s="2" t="s">
        <v>19</v>
      </c>
      <c r="E3207" s="2" t="s">
        <v>20</v>
      </c>
      <c r="F3207" s="2" t="n">
        <v>680</v>
      </c>
      <c r="G3207" s="2" t="s">
        <v>20</v>
      </c>
      <c r="H3207" s="2" t="s">
        <v>20</v>
      </c>
      <c r="I3207" s="2" t="s">
        <v>49</v>
      </c>
      <c r="J3207" s="2" t="n">
        <v>27</v>
      </c>
      <c r="K3207" s="2" t="s">
        <v>46</v>
      </c>
      <c r="L3207" s="2" t="n">
        <v>341</v>
      </c>
      <c r="M3207" s="2" t="n">
        <v>4</v>
      </c>
      <c r="N3207" s="2" t="n">
        <v>94</v>
      </c>
      <c r="O3207" s="2" t="n">
        <v>3</v>
      </c>
      <c r="P3207" s="2" t="s">
        <v>28</v>
      </c>
      <c r="Q3207" s="2" t="s">
        <v>20</v>
      </c>
    </row>
    <row r="3208" customFormat="false" ht="15" hidden="false" customHeight="false" outlineLevel="0" collapsed="false">
      <c r="A3208" s="2" t="n">
        <v>60</v>
      </c>
      <c r="B3208" s="2" t="s">
        <v>47</v>
      </c>
      <c r="C3208" s="2" t="s">
        <v>18</v>
      </c>
      <c r="D3208" s="2" t="s">
        <v>19</v>
      </c>
      <c r="E3208" s="2" t="s">
        <v>20</v>
      </c>
      <c r="F3208" s="2" t="n">
        <v>0</v>
      </c>
      <c r="G3208" s="2" t="s">
        <v>20</v>
      </c>
      <c r="H3208" s="2" t="s">
        <v>26</v>
      </c>
      <c r="I3208" s="2" t="s">
        <v>49</v>
      </c>
      <c r="J3208" s="2" t="n">
        <v>22</v>
      </c>
      <c r="K3208" s="2" t="s">
        <v>44</v>
      </c>
      <c r="L3208" s="2" t="n">
        <v>124</v>
      </c>
      <c r="M3208" s="2" t="n">
        <v>1</v>
      </c>
      <c r="N3208" s="2" t="n">
        <v>-1</v>
      </c>
      <c r="O3208" s="2" t="n">
        <v>0</v>
      </c>
      <c r="P3208" s="2" t="s">
        <v>23</v>
      </c>
      <c r="Q3208" s="2" t="s">
        <v>20</v>
      </c>
    </row>
    <row r="3209" customFormat="false" ht="15" hidden="false" customHeight="false" outlineLevel="0" collapsed="false">
      <c r="A3209" s="2" t="n">
        <v>54</v>
      </c>
      <c r="B3209" s="2" t="s">
        <v>29</v>
      </c>
      <c r="C3209" s="2" t="s">
        <v>18</v>
      </c>
      <c r="D3209" s="2" t="s">
        <v>31</v>
      </c>
      <c r="E3209" s="2" t="s">
        <v>20</v>
      </c>
      <c r="F3209" s="2" t="n">
        <v>2819</v>
      </c>
      <c r="G3209" s="2" t="s">
        <v>20</v>
      </c>
      <c r="H3209" s="2" t="s">
        <v>20</v>
      </c>
      <c r="I3209" s="2" t="s">
        <v>21</v>
      </c>
      <c r="J3209" s="2" t="n">
        <v>7</v>
      </c>
      <c r="K3209" s="2" t="s">
        <v>41</v>
      </c>
      <c r="L3209" s="2" t="n">
        <v>123</v>
      </c>
      <c r="M3209" s="2" t="n">
        <v>3</v>
      </c>
      <c r="N3209" s="2" t="n">
        <v>-1</v>
      </c>
      <c r="O3209" s="2" t="n">
        <v>0</v>
      </c>
      <c r="P3209" s="2" t="s">
        <v>23</v>
      </c>
      <c r="Q3209" s="2" t="s">
        <v>20</v>
      </c>
    </row>
    <row r="3210" customFormat="false" ht="15" hidden="false" customHeight="false" outlineLevel="0" collapsed="false">
      <c r="A3210" s="2" t="n">
        <v>30</v>
      </c>
      <c r="B3210" s="2" t="s">
        <v>34</v>
      </c>
      <c r="C3210" s="2" t="s">
        <v>18</v>
      </c>
      <c r="D3210" s="2" t="s">
        <v>19</v>
      </c>
      <c r="E3210" s="2" t="s">
        <v>20</v>
      </c>
      <c r="F3210" s="2" t="n">
        <v>-518</v>
      </c>
      <c r="G3210" s="2" t="s">
        <v>26</v>
      </c>
      <c r="H3210" s="2" t="s">
        <v>26</v>
      </c>
      <c r="I3210" s="2" t="s">
        <v>23</v>
      </c>
      <c r="J3210" s="2" t="n">
        <v>28</v>
      </c>
      <c r="K3210" s="2" t="s">
        <v>27</v>
      </c>
      <c r="L3210" s="2" t="n">
        <v>244</v>
      </c>
      <c r="M3210" s="2" t="n">
        <v>6</v>
      </c>
      <c r="N3210" s="2" t="n">
        <v>-1</v>
      </c>
      <c r="O3210" s="2" t="n">
        <v>0</v>
      </c>
      <c r="P3210" s="2" t="s">
        <v>23</v>
      </c>
      <c r="Q3210" s="2" t="s">
        <v>20</v>
      </c>
    </row>
    <row r="3211" customFormat="false" ht="15" hidden="false" customHeight="false" outlineLevel="0" collapsed="false">
      <c r="A3211" s="2" t="n">
        <v>50</v>
      </c>
      <c r="B3211" s="2" t="s">
        <v>24</v>
      </c>
      <c r="C3211" s="2" t="s">
        <v>18</v>
      </c>
      <c r="D3211" s="2" t="s">
        <v>25</v>
      </c>
      <c r="E3211" s="2" t="s">
        <v>20</v>
      </c>
      <c r="F3211" s="2" t="n">
        <v>60</v>
      </c>
      <c r="G3211" s="2" t="s">
        <v>20</v>
      </c>
      <c r="H3211" s="2" t="s">
        <v>26</v>
      </c>
      <c r="I3211" s="2" t="s">
        <v>21</v>
      </c>
      <c r="J3211" s="2" t="n">
        <v>27</v>
      </c>
      <c r="K3211" s="2" t="s">
        <v>41</v>
      </c>
      <c r="L3211" s="2" t="n">
        <v>151</v>
      </c>
      <c r="M3211" s="2" t="n">
        <v>8</v>
      </c>
      <c r="N3211" s="2" t="n">
        <v>-1</v>
      </c>
      <c r="O3211" s="2" t="n">
        <v>0</v>
      </c>
      <c r="P3211" s="2" t="s">
        <v>23</v>
      </c>
      <c r="Q3211" s="2" t="s">
        <v>20</v>
      </c>
    </row>
    <row r="3212" customFormat="false" ht="15" hidden="false" customHeight="false" outlineLevel="0" collapsed="false">
      <c r="A3212" s="2" t="n">
        <v>50</v>
      </c>
      <c r="B3212" s="2" t="s">
        <v>29</v>
      </c>
      <c r="C3212" s="2" t="s">
        <v>18</v>
      </c>
      <c r="D3212" s="2" t="s">
        <v>25</v>
      </c>
      <c r="E3212" s="2" t="s">
        <v>20</v>
      </c>
      <c r="F3212" s="2" t="n">
        <v>732</v>
      </c>
      <c r="G3212" s="2" t="s">
        <v>20</v>
      </c>
      <c r="H3212" s="2" t="s">
        <v>20</v>
      </c>
      <c r="I3212" s="2" t="s">
        <v>21</v>
      </c>
      <c r="J3212" s="2" t="n">
        <v>7</v>
      </c>
      <c r="K3212" s="2" t="s">
        <v>32</v>
      </c>
      <c r="L3212" s="2" t="n">
        <v>736</v>
      </c>
      <c r="M3212" s="2" t="n">
        <v>7</v>
      </c>
      <c r="N3212" s="2" t="n">
        <v>-1</v>
      </c>
      <c r="O3212" s="2" t="n">
        <v>0</v>
      </c>
      <c r="P3212" s="2" t="s">
        <v>23</v>
      </c>
      <c r="Q3212" s="2" t="s">
        <v>20</v>
      </c>
    </row>
    <row r="3213" customFormat="false" ht="15" hidden="false" customHeight="false" outlineLevel="0" collapsed="false">
      <c r="A3213" s="2" t="n">
        <v>37</v>
      </c>
      <c r="B3213" s="2" t="s">
        <v>38</v>
      </c>
      <c r="C3213" s="2" t="s">
        <v>18</v>
      </c>
      <c r="D3213" s="2" t="s">
        <v>25</v>
      </c>
      <c r="E3213" s="2" t="s">
        <v>20</v>
      </c>
      <c r="F3213" s="2" t="n">
        <v>2707</v>
      </c>
      <c r="G3213" s="2" t="s">
        <v>26</v>
      </c>
      <c r="H3213" s="2" t="s">
        <v>20</v>
      </c>
      <c r="I3213" s="2" t="s">
        <v>49</v>
      </c>
      <c r="J3213" s="2" t="n">
        <v>16</v>
      </c>
      <c r="K3213" s="2" t="s">
        <v>44</v>
      </c>
      <c r="L3213" s="2" t="n">
        <v>109</v>
      </c>
      <c r="M3213" s="2" t="n">
        <v>1</v>
      </c>
      <c r="N3213" s="2" t="n">
        <v>-1</v>
      </c>
      <c r="O3213" s="2" t="n">
        <v>0</v>
      </c>
      <c r="P3213" s="2" t="s">
        <v>23</v>
      </c>
      <c r="Q3213" s="2" t="s">
        <v>20</v>
      </c>
    </row>
    <row r="3214" customFormat="false" ht="15" hidden="false" customHeight="false" outlineLevel="0" collapsed="false">
      <c r="A3214" s="2" t="n">
        <v>41</v>
      </c>
      <c r="B3214" s="2" t="s">
        <v>38</v>
      </c>
      <c r="C3214" s="2" t="s">
        <v>18</v>
      </c>
      <c r="D3214" s="2" t="s">
        <v>31</v>
      </c>
      <c r="E3214" s="2" t="s">
        <v>20</v>
      </c>
      <c r="F3214" s="2" t="n">
        <v>177</v>
      </c>
      <c r="G3214" s="2" t="s">
        <v>26</v>
      </c>
      <c r="H3214" s="2" t="s">
        <v>20</v>
      </c>
      <c r="I3214" s="2" t="s">
        <v>49</v>
      </c>
      <c r="J3214" s="2" t="n">
        <v>11</v>
      </c>
      <c r="K3214" s="2" t="s">
        <v>44</v>
      </c>
      <c r="L3214" s="2" t="n">
        <v>117</v>
      </c>
      <c r="M3214" s="2" t="n">
        <v>2</v>
      </c>
      <c r="N3214" s="2" t="n">
        <v>-1</v>
      </c>
      <c r="O3214" s="2" t="n">
        <v>0</v>
      </c>
      <c r="P3214" s="2" t="s">
        <v>23</v>
      </c>
      <c r="Q3214" s="2" t="s">
        <v>20</v>
      </c>
    </row>
    <row r="3215" customFormat="false" ht="15" hidden="false" customHeight="false" outlineLevel="0" collapsed="false">
      <c r="A3215" s="2" t="n">
        <v>49</v>
      </c>
      <c r="B3215" s="2" t="s">
        <v>40</v>
      </c>
      <c r="C3215" s="2" t="s">
        <v>18</v>
      </c>
      <c r="D3215" s="2" t="s">
        <v>25</v>
      </c>
      <c r="E3215" s="2" t="s">
        <v>20</v>
      </c>
      <c r="F3215" s="2" t="n">
        <v>13229</v>
      </c>
      <c r="G3215" s="2" t="s">
        <v>20</v>
      </c>
      <c r="H3215" s="2" t="s">
        <v>26</v>
      </c>
      <c r="I3215" s="2" t="s">
        <v>49</v>
      </c>
      <c r="J3215" s="2" t="n">
        <v>8</v>
      </c>
      <c r="K3215" s="2" t="s">
        <v>44</v>
      </c>
      <c r="L3215" s="2" t="n">
        <v>77</v>
      </c>
      <c r="M3215" s="2" t="n">
        <v>2</v>
      </c>
      <c r="N3215" s="2" t="n">
        <v>-1</v>
      </c>
      <c r="O3215" s="2" t="n">
        <v>0</v>
      </c>
      <c r="P3215" s="2" t="s">
        <v>23</v>
      </c>
      <c r="Q3215" s="2" t="s">
        <v>20</v>
      </c>
    </row>
    <row r="3216" customFormat="false" ht="15" hidden="false" customHeight="false" outlineLevel="0" collapsed="false">
      <c r="A3216" s="2" t="n">
        <v>41</v>
      </c>
      <c r="B3216" s="2" t="s">
        <v>34</v>
      </c>
      <c r="C3216" s="2" t="s">
        <v>18</v>
      </c>
      <c r="D3216" s="2" t="s">
        <v>19</v>
      </c>
      <c r="E3216" s="2" t="s">
        <v>20</v>
      </c>
      <c r="F3216" s="2" t="n">
        <v>-204</v>
      </c>
      <c r="G3216" s="2" t="s">
        <v>26</v>
      </c>
      <c r="H3216" s="2" t="s">
        <v>26</v>
      </c>
      <c r="I3216" s="2" t="s">
        <v>23</v>
      </c>
      <c r="J3216" s="2" t="n">
        <v>6</v>
      </c>
      <c r="K3216" s="2" t="s">
        <v>33</v>
      </c>
      <c r="L3216" s="2" t="n">
        <v>42</v>
      </c>
      <c r="M3216" s="2" t="n">
        <v>1</v>
      </c>
      <c r="N3216" s="2" t="n">
        <v>-1</v>
      </c>
      <c r="O3216" s="2" t="n">
        <v>0</v>
      </c>
      <c r="P3216" s="2" t="s">
        <v>23</v>
      </c>
      <c r="Q3216" s="2" t="s">
        <v>20</v>
      </c>
    </row>
    <row r="3217" customFormat="false" ht="15" hidden="false" customHeight="false" outlineLevel="0" collapsed="false">
      <c r="A3217" s="2" t="n">
        <v>40</v>
      </c>
      <c r="B3217" s="2" t="s">
        <v>38</v>
      </c>
      <c r="C3217" s="2" t="s">
        <v>18</v>
      </c>
      <c r="D3217" s="2" t="s">
        <v>25</v>
      </c>
      <c r="E3217" s="2" t="s">
        <v>20</v>
      </c>
      <c r="F3217" s="2" t="n">
        <v>990</v>
      </c>
      <c r="G3217" s="2" t="s">
        <v>26</v>
      </c>
      <c r="H3217" s="2" t="s">
        <v>20</v>
      </c>
      <c r="I3217" s="2" t="s">
        <v>21</v>
      </c>
      <c r="J3217" s="2" t="n">
        <v>6</v>
      </c>
      <c r="K3217" s="2" t="s">
        <v>35</v>
      </c>
      <c r="L3217" s="2" t="n">
        <v>252</v>
      </c>
      <c r="M3217" s="2" t="n">
        <v>3</v>
      </c>
      <c r="N3217" s="2" t="n">
        <v>-1</v>
      </c>
      <c r="O3217" s="2" t="n">
        <v>0</v>
      </c>
      <c r="P3217" s="2" t="s">
        <v>23</v>
      </c>
      <c r="Q3217" s="2" t="s">
        <v>20</v>
      </c>
    </row>
    <row r="3218" customFormat="false" ht="15" hidden="false" customHeight="false" outlineLevel="0" collapsed="false">
      <c r="A3218" s="2" t="n">
        <v>38</v>
      </c>
      <c r="B3218" s="2" t="s">
        <v>34</v>
      </c>
      <c r="C3218" s="2" t="s">
        <v>18</v>
      </c>
      <c r="D3218" s="2" t="s">
        <v>25</v>
      </c>
      <c r="E3218" s="2" t="s">
        <v>20</v>
      </c>
      <c r="F3218" s="2" t="n">
        <v>648</v>
      </c>
      <c r="G3218" s="2" t="s">
        <v>26</v>
      </c>
      <c r="H3218" s="2" t="s">
        <v>20</v>
      </c>
      <c r="I3218" s="2" t="s">
        <v>23</v>
      </c>
      <c r="J3218" s="2" t="n">
        <v>3</v>
      </c>
      <c r="K3218" s="2" t="s">
        <v>33</v>
      </c>
      <c r="L3218" s="2" t="n">
        <v>179</v>
      </c>
      <c r="M3218" s="2" t="n">
        <v>1</v>
      </c>
      <c r="N3218" s="2" t="n">
        <v>-1</v>
      </c>
      <c r="O3218" s="2" t="n">
        <v>0</v>
      </c>
      <c r="P3218" s="2" t="s">
        <v>23</v>
      </c>
      <c r="Q3218" s="2" t="s">
        <v>20</v>
      </c>
    </row>
    <row r="3219" customFormat="false" ht="15" hidden="false" customHeight="false" outlineLevel="0" collapsed="false">
      <c r="A3219" s="2" t="n">
        <v>34</v>
      </c>
      <c r="B3219" s="2" t="s">
        <v>38</v>
      </c>
      <c r="C3219" s="2" t="s">
        <v>18</v>
      </c>
      <c r="D3219" s="2" t="s">
        <v>25</v>
      </c>
      <c r="E3219" s="2" t="s">
        <v>20</v>
      </c>
      <c r="F3219" s="2" t="n">
        <v>50</v>
      </c>
      <c r="G3219" s="2" t="s">
        <v>20</v>
      </c>
      <c r="H3219" s="2" t="s">
        <v>20</v>
      </c>
      <c r="I3219" s="2" t="s">
        <v>21</v>
      </c>
      <c r="J3219" s="2" t="n">
        <v>11</v>
      </c>
      <c r="K3219" s="2" t="s">
        <v>41</v>
      </c>
      <c r="L3219" s="2" t="n">
        <v>106</v>
      </c>
      <c r="M3219" s="2" t="n">
        <v>3</v>
      </c>
      <c r="N3219" s="2" t="n">
        <v>-1</v>
      </c>
      <c r="O3219" s="2" t="n">
        <v>0</v>
      </c>
      <c r="P3219" s="2" t="s">
        <v>23</v>
      </c>
      <c r="Q3219" s="2" t="s">
        <v>20</v>
      </c>
    </row>
    <row r="3220" customFormat="false" ht="15" hidden="false" customHeight="false" outlineLevel="0" collapsed="false">
      <c r="A3220" s="2" t="n">
        <v>49</v>
      </c>
      <c r="B3220" s="2" t="s">
        <v>39</v>
      </c>
      <c r="C3220" s="2" t="s">
        <v>18</v>
      </c>
      <c r="D3220" s="2" t="s">
        <v>25</v>
      </c>
      <c r="E3220" s="2" t="s">
        <v>20</v>
      </c>
      <c r="F3220" s="2" t="n">
        <v>1916</v>
      </c>
      <c r="G3220" s="2" t="s">
        <v>20</v>
      </c>
      <c r="H3220" s="2" t="s">
        <v>26</v>
      </c>
      <c r="I3220" s="2" t="s">
        <v>49</v>
      </c>
      <c r="J3220" s="2" t="n">
        <v>14</v>
      </c>
      <c r="K3220" s="2" t="s">
        <v>44</v>
      </c>
      <c r="L3220" s="2" t="n">
        <v>281</v>
      </c>
      <c r="M3220" s="2" t="n">
        <v>3</v>
      </c>
      <c r="N3220" s="2" t="n">
        <v>-1</v>
      </c>
      <c r="O3220" s="2" t="n">
        <v>0</v>
      </c>
      <c r="P3220" s="2" t="s">
        <v>23</v>
      </c>
      <c r="Q3220" s="2" t="s">
        <v>20</v>
      </c>
    </row>
    <row r="3221" customFormat="false" ht="15" hidden="false" customHeight="false" outlineLevel="0" collapsed="false">
      <c r="A3221" s="2" t="n">
        <v>72</v>
      </c>
      <c r="B3221" s="2" t="s">
        <v>48</v>
      </c>
      <c r="C3221" s="2" t="s">
        <v>18</v>
      </c>
      <c r="D3221" s="2" t="s">
        <v>19</v>
      </c>
      <c r="E3221" s="2" t="s">
        <v>20</v>
      </c>
      <c r="F3221" s="2" t="n">
        <v>763</v>
      </c>
      <c r="G3221" s="2" t="s">
        <v>20</v>
      </c>
      <c r="H3221" s="2" t="s">
        <v>20</v>
      </c>
      <c r="I3221" s="2" t="s">
        <v>21</v>
      </c>
      <c r="J3221" s="2" t="n">
        <v>24</v>
      </c>
      <c r="K3221" s="2" t="s">
        <v>32</v>
      </c>
      <c r="L3221" s="2" t="n">
        <v>384</v>
      </c>
      <c r="M3221" s="2" t="n">
        <v>2</v>
      </c>
      <c r="N3221" s="2" t="n">
        <v>-1</v>
      </c>
      <c r="O3221" s="2" t="n">
        <v>0</v>
      </c>
      <c r="P3221" s="2" t="s">
        <v>23</v>
      </c>
      <c r="Q3221" s="2" t="s">
        <v>26</v>
      </c>
    </row>
    <row r="3222" customFormat="false" ht="15" hidden="false" customHeight="false" outlineLevel="0" collapsed="false">
      <c r="A3222" s="2" t="n">
        <v>34</v>
      </c>
      <c r="B3222" s="2" t="s">
        <v>34</v>
      </c>
      <c r="C3222" s="2" t="s">
        <v>18</v>
      </c>
      <c r="D3222" s="2" t="s">
        <v>25</v>
      </c>
      <c r="E3222" s="2" t="s">
        <v>20</v>
      </c>
      <c r="F3222" s="2" t="n">
        <v>470</v>
      </c>
      <c r="G3222" s="2" t="s">
        <v>26</v>
      </c>
      <c r="H3222" s="2" t="s">
        <v>26</v>
      </c>
      <c r="I3222" s="2" t="s">
        <v>21</v>
      </c>
      <c r="J3222" s="2" t="n">
        <v>20</v>
      </c>
      <c r="K3222" s="2" t="s">
        <v>32</v>
      </c>
      <c r="L3222" s="2" t="n">
        <v>217</v>
      </c>
      <c r="M3222" s="2" t="n">
        <v>1</v>
      </c>
      <c r="N3222" s="2" t="n">
        <v>-1</v>
      </c>
      <c r="O3222" s="2" t="n">
        <v>0</v>
      </c>
      <c r="P3222" s="2" t="s">
        <v>23</v>
      </c>
      <c r="Q3222" s="2" t="s">
        <v>20</v>
      </c>
    </row>
    <row r="3223" customFormat="false" ht="15" hidden="false" customHeight="false" outlineLevel="0" collapsed="false">
      <c r="A3223" s="2" t="n">
        <v>31</v>
      </c>
      <c r="B3223" s="2" t="s">
        <v>38</v>
      </c>
      <c r="C3223" s="2" t="s">
        <v>18</v>
      </c>
      <c r="D3223" s="2" t="s">
        <v>25</v>
      </c>
      <c r="E3223" s="2" t="s">
        <v>20</v>
      </c>
      <c r="F3223" s="2" t="n">
        <v>0</v>
      </c>
      <c r="G3223" s="2" t="s">
        <v>20</v>
      </c>
      <c r="H3223" s="2" t="s">
        <v>26</v>
      </c>
      <c r="I3223" s="2" t="s">
        <v>21</v>
      </c>
      <c r="J3223" s="2" t="n">
        <v>19</v>
      </c>
      <c r="K3223" s="2" t="s">
        <v>41</v>
      </c>
      <c r="L3223" s="2" t="n">
        <v>144</v>
      </c>
      <c r="M3223" s="2" t="n">
        <v>4</v>
      </c>
      <c r="N3223" s="2" t="n">
        <v>-1</v>
      </c>
      <c r="O3223" s="2" t="n">
        <v>0</v>
      </c>
      <c r="P3223" s="2" t="s">
        <v>23</v>
      </c>
      <c r="Q3223" s="2" t="s">
        <v>20</v>
      </c>
    </row>
    <row r="3224" customFormat="false" ht="15" hidden="false" customHeight="false" outlineLevel="0" collapsed="false">
      <c r="A3224" s="2" t="n">
        <v>33</v>
      </c>
      <c r="B3224" s="2" t="s">
        <v>34</v>
      </c>
      <c r="C3224" s="2" t="s">
        <v>30</v>
      </c>
      <c r="D3224" s="2" t="s">
        <v>25</v>
      </c>
      <c r="E3224" s="2" t="s">
        <v>20</v>
      </c>
      <c r="F3224" s="2" t="n">
        <v>5739</v>
      </c>
      <c r="G3224" s="2" t="s">
        <v>26</v>
      </c>
      <c r="H3224" s="2" t="s">
        <v>26</v>
      </c>
      <c r="I3224" s="2" t="s">
        <v>21</v>
      </c>
      <c r="J3224" s="2" t="n">
        <v>21</v>
      </c>
      <c r="K3224" s="2" t="s">
        <v>46</v>
      </c>
      <c r="L3224" s="2" t="n">
        <v>374</v>
      </c>
      <c r="M3224" s="2" t="n">
        <v>1</v>
      </c>
      <c r="N3224" s="2" t="n">
        <v>-1</v>
      </c>
      <c r="O3224" s="2" t="n">
        <v>0</v>
      </c>
      <c r="P3224" s="2" t="s">
        <v>23</v>
      </c>
      <c r="Q3224" s="2" t="s">
        <v>20</v>
      </c>
    </row>
    <row r="3225" customFormat="false" ht="15" hidden="false" customHeight="false" outlineLevel="0" collapsed="false">
      <c r="A3225" s="2" t="n">
        <v>31</v>
      </c>
      <c r="B3225" s="2" t="s">
        <v>29</v>
      </c>
      <c r="C3225" s="2" t="s">
        <v>18</v>
      </c>
      <c r="D3225" s="2" t="s">
        <v>31</v>
      </c>
      <c r="E3225" s="2" t="s">
        <v>20</v>
      </c>
      <c r="F3225" s="2" t="n">
        <v>0</v>
      </c>
      <c r="G3225" s="2" t="s">
        <v>20</v>
      </c>
      <c r="H3225" s="2" t="s">
        <v>20</v>
      </c>
      <c r="I3225" s="2" t="s">
        <v>23</v>
      </c>
      <c r="J3225" s="2" t="n">
        <v>14</v>
      </c>
      <c r="K3225" s="2" t="s">
        <v>27</v>
      </c>
      <c r="L3225" s="2" t="n">
        <v>298</v>
      </c>
      <c r="M3225" s="2" t="n">
        <v>1</v>
      </c>
      <c r="N3225" s="2" t="n">
        <v>-1</v>
      </c>
      <c r="O3225" s="2" t="n">
        <v>0</v>
      </c>
      <c r="P3225" s="2" t="s">
        <v>23</v>
      </c>
      <c r="Q3225" s="2" t="s">
        <v>20</v>
      </c>
    </row>
    <row r="3226" customFormat="false" ht="15" hidden="false" customHeight="false" outlineLevel="0" collapsed="false">
      <c r="A3226" s="2" t="n">
        <v>55</v>
      </c>
      <c r="B3226" s="2" t="s">
        <v>29</v>
      </c>
      <c r="C3226" s="2" t="s">
        <v>18</v>
      </c>
      <c r="D3226" s="2" t="s">
        <v>31</v>
      </c>
      <c r="E3226" s="2" t="s">
        <v>20</v>
      </c>
      <c r="F3226" s="2" t="n">
        <v>-375</v>
      </c>
      <c r="G3226" s="2" t="s">
        <v>20</v>
      </c>
      <c r="H3226" s="2" t="s">
        <v>20</v>
      </c>
      <c r="I3226" s="2" t="s">
        <v>21</v>
      </c>
      <c r="J3226" s="2" t="n">
        <v>30</v>
      </c>
      <c r="K3226" s="2" t="s">
        <v>44</v>
      </c>
      <c r="L3226" s="2" t="n">
        <v>814</v>
      </c>
      <c r="M3226" s="2" t="n">
        <v>2</v>
      </c>
      <c r="N3226" s="2" t="n">
        <v>-1</v>
      </c>
      <c r="O3226" s="2" t="n">
        <v>0</v>
      </c>
      <c r="P3226" s="2" t="s">
        <v>23</v>
      </c>
      <c r="Q3226" s="2" t="s">
        <v>26</v>
      </c>
    </row>
    <row r="3227" customFormat="false" ht="15" hidden="false" customHeight="false" outlineLevel="0" collapsed="false">
      <c r="A3227" s="2" t="n">
        <v>25</v>
      </c>
      <c r="B3227" s="2" t="s">
        <v>17</v>
      </c>
      <c r="C3227" s="2" t="s">
        <v>18</v>
      </c>
      <c r="D3227" s="2" t="s">
        <v>25</v>
      </c>
      <c r="E3227" s="2" t="s">
        <v>20</v>
      </c>
      <c r="F3227" s="2" t="n">
        <v>157</v>
      </c>
      <c r="G3227" s="2" t="s">
        <v>26</v>
      </c>
      <c r="H3227" s="2" t="s">
        <v>20</v>
      </c>
      <c r="I3227" s="2" t="s">
        <v>21</v>
      </c>
      <c r="J3227" s="2" t="n">
        <v>28</v>
      </c>
      <c r="K3227" s="2" t="s">
        <v>44</v>
      </c>
      <c r="L3227" s="2" t="n">
        <v>33</v>
      </c>
      <c r="M3227" s="2" t="n">
        <v>31</v>
      </c>
      <c r="N3227" s="2" t="n">
        <v>-1</v>
      </c>
      <c r="O3227" s="2" t="n">
        <v>0</v>
      </c>
      <c r="P3227" s="2" t="s">
        <v>23</v>
      </c>
      <c r="Q3227" s="2" t="s">
        <v>20</v>
      </c>
    </row>
    <row r="3228" customFormat="false" ht="15" hidden="false" customHeight="false" outlineLevel="0" collapsed="false">
      <c r="A3228" s="2" t="n">
        <v>34</v>
      </c>
      <c r="B3228" s="2" t="s">
        <v>29</v>
      </c>
      <c r="C3228" s="2" t="s">
        <v>18</v>
      </c>
      <c r="D3228" s="2" t="s">
        <v>31</v>
      </c>
      <c r="E3228" s="2" t="s">
        <v>20</v>
      </c>
      <c r="F3228" s="2" t="n">
        <v>1518</v>
      </c>
      <c r="G3228" s="2" t="s">
        <v>26</v>
      </c>
      <c r="H3228" s="2" t="s">
        <v>20</v>
      </c>
      <c r="I3228" s="2" t="s">
        <v>21</v>
      </c>
      <c r="J3228" s="2" t="n">
        <v>20</v>
      </c>
      <c r="K3228" s="2" t="s">
        <v>46</v>
      </c>
      <c r="L3228" s="2" t="n">
        <v>128</v>
      </c>
      <c r="M3228" s="2" t="n">
        <v>2</v>
      </c>
      <c r="N3228" s="2" t="n">
        <v>-1</v>
      </c>
      <c r="O3228" s="2" t="n">
        <v>0</v>
      </c>
      <c r="P3228" s="2" t="s">
        <v>23</v>
      </c>
      <c r="Q3228" s="2" t="s">
        <v>20</v>
      </c>
    </row>
    <row r="3229" customFormat="false" ht="15" hidden="false" customHeight="false" outlineLevel="0" collapsed="false">
      <c r="A3229" s="2" t="n">
        <v>53</v>
      </c>
      <c r="B3229" s="2" t="s">
        <v>29</v>
      </c>
      <c r="C3229" s="2" t="s">
        <v>18</v>
      </c>
      <c r="D3229" s="2" t="s">
        <v>31</v>
      </c>
      <c r="E3229" s="2" t="s">
        <v>20</v>
      </c>
      <c r="F3229" s="2" t="n">
        <v>1343</v>
      </c>
      <c r="G3229" s="2" t="s">
        <v>20</v>
      </c>
      <c r="H3229" s="2" t="s">
        <v>20</v>
      </c>
      <c r="I3229" s="2" t="s">
        <v>21</v>
      </c>
      <c r="J3229" s="2" t="n">
        <v>5</v>
      </c>
      <c r="K3229" s="2" t="s">
        <v>41</v>
      </c>
      <c r="L3229" s="2" t="n">
        <v>129</v>
      </c>
      <c r="M3229" s="2" t="n">
        <v>4</v>
      </c>
      <c r="N3229" s="2" t="n">
        <v>-1</v>
      </c>
      <c r="O3229" s="2" t="n">
        <v>0</v>
      </c>
      <c r="P3229" s="2" t="s">
        <v>23</v>
      </c>
      <c r="Q3229" s="2" t="s">
        <v>20</v>
      </c>
    </row>
    <row r="3230" customFormat="false" ht="15" hidden="false" customHeight="false" outlineLevel="0" collapsed="false">
      <c r="A3230" s="2" t="n">
        <v>39</v>
      </c>
      <c r="B3230" s="2" t="s">
        <v>29</v>
      </c>
      <c r="C3230" s="2" t="s">
        <v>30</v>
      </c>
      <c r="D3230" s="2" t="s">
        <v>31</v>
      </c>
      <c r="E3230" s="2" t="s">
        <v>26</v>
      </c>
      <c r="F3230" s="2" t="n">
        <v>-401</v>
      </c>
      <c r="G3230" s="2" t="s">
        <v>26</v>
      </c>
      <c r="H3230" s="2" t="s">
        <v>20</v>
      </c>
      <c r="I3230" s="2" t="s">
        <v>21</v>
      </c>
      <c r="J3230" s="2" t="n">
        <v>19</v>
      </c>
      <c r="K3230" s="2" t="s">
        <v>41</v>
      </c>
      <c r="L3230" s="2" t="n">
        <v>274</v>
      </c>
      <c r="M3230" s="2" t="n">
        <v>4</v>
      </c>
      <c r="N3230" s="2" t="n">
        <v>-1</v>
      </c>
      <c r="O3230" s="2" t="n">
        <v>0</v>
      </c>
      <c r="P3230" s="2" t="s">
        <v>23</v>
      </c>
      <c r="Q3230" s="2" t="s">
        <v>20</v>
      </c>
    </row>
    <row r="3231" customFormat="false" ht="15" hidden="false" customHeight="false" outlineLevel="0" collapsed="false">
      <c r="A3231" s="2" t="n">
        <v>41</v>
      </c>
      <c r="B3231" s="2" t="s">
        <v>29</v>
      </c>
      <c r="C3231" s="2" t="s">
        <v>18</v>
      </c>
      <c r="D3231" s="2" t="s">
        <v>19</v>
      </c>
      <c r="E3231" s="2" t="s">
        <v>20</v>
      </c>
      <c r="F3231" s="2" t="n">
        <v>5310</v>
      </c>
      <c r="G3231" s="2" t="s">
        <v>26</v>
      </c>
      <c r="H3231" s="2" t="s">
        <v>20</v>
      </c>
      <c r="I3231" s="2" t="s">
        <v>21</v>
      </c>
      <c r="J3231" s="2" t="n">
        <v>17</v>
      </c>
      <c r="K3231" s="2" t="s">
        <v>46</v>
      </c>
      <c r="L3231" s="2" t="n">
        <v>984</v>
      </c>
      <c r="M3231" s="2" t="n">
        <v>1</v>
      </c>
      <c r="N3231" s="2" t="n">
        <v>-1</v>
      </c>
      <c r="O3231" s="2" t="n">
        <v>0</v>
      </c>
      <c r="P3231" s="2" t="s">
        <v>23</v>
      </c>
      <c r="Q3231" s="2" t="s">
        <v>26</v>
      </c>
    </row>
    <row r="3232" customFormat="false" ht="15" hidden="false" customHeight="false" outlineLevel="0" collapsed="false">
      <c r="A3232" s="2" t="n">
        <v>32</v>
      </c>
      <c r="B3232" s="2" t="s">
        <v>34</v>
      </c>
      <c r="C3232" s="2" t="s">
        <v>30</v>
      </c>
      <c r="D3232" s="2" t="s">
        <v>25</v>
      </c>
      <c r="E3232" s="2" t="s">
        <v>20</v>
      </c>
      <c r="F3232" s="2" t="n">
        <v>2285</v>
      </c>
      <c r="G3232" s="2" t="s">
        <v>26</v>
      </c>
      <c r="H3232" s="2" t="s">
        <v>20</v>
      </c>
      <c r="I3232" s="2" t="s">
        <v>23</v>
      </c>
      <c r="J3232" s="2" t="n">
        <v>14</v>
      </c>
      <c r="K3232" s="2" t="s">
        <v>27</v>
      </c>
      <c r="L3232" s="2" t="n">
        <v>413</v>
      </c>
      <c r="M3232" s="2" t="n">
        <v>2</v>
      </c>
      <c r="N3232" s="2" t="n">
        <v>-1</v>
      </c>
      <c r="O3232" s="2" t="n">
        <v>0</v>
      </c>
      <c r="P3232" s="2" t="s">
        <v>23</v>
      </c>
      <c r="Q3232" s="2" t="s">
        <v>20</v>
      </c>
    </row>
    <row r="3233" customFormat="false" ht="15" hidden="false" customHeight="false" outlineLevel="0" collapsed="false">
      <c r="A3233" s="2" t="n">
        <v>29</v>
      </c>
      <c r="B3233" s="2" t="s">
        <v>40</v>
      </c>
      <c r="C3233" s="2" t="s">
        <v>18</v>
      </c>
      <c r="D3233" s="2" t="s">
        <v>25</v>
      </c>
      <c r="E3233" s="2" t="s">
        <v>20</v>
      </c>
      <c r="F3233" s="2" t="n">
        <v>22171</v>
      </c>
      <c r="G3233" s="2" t="s">
        <v>26</v>
      </c>
      <c r="H3233" s="2" t="s">
        <v>20</v>
      </c>
      <c r="I3233" s="2" t="s">
        <v>21</v>
      </c>
      <c r="J3233" s="2" t="n">
        <v>18</v>
      </c>
      <c r="K3233" s="2" t="s">
        <v>27</v>
      </c>
      <c r="L3233" s="2" t="n">
        <v>44</v>
      </c>
      <c r="M3233" s="2" t="n">
        <v>1</v>
      </c>
      <c r="N3233" s="2" t="n">
        <v>355</v>
      </c>
      <c r="O3233" s="2" t="n">
        <v>3</v>
      </c>
      <c r="P3233" s="2" t="s">
        <v>28</v>
      </c>
      <c r="Q3233" s="2" t="s">
        <v>20</v>
      </c>
    </row>
    <row r="3234" customFormat="false" ht="15" hidden="false" customHeight="false" outlineLevel="0" collapsed="false">
      <c r="A3234" s="2" t="n">
        <v>56</v>
      </c>
      <c r="B3234" s="2" t="s">
        <v>29</v>
      </c>
      <c r="C3234" s="2" t="s">
        <v>18</v>
      </c>
      <c r="D3234" s="2" t="s">
        <v>31</v>
      </c>
      <c r="E3234" s="2" t="s">
        <v>20</v>
      </c>
      <c r="F3234" s="2" t="n">
        <v>856</v>
      </c>
      <c r="G3234" s="2" t="s">
        <v>26</v>
      </c>
      <c r="H3234" s="2" t="s">
        <v>26</v>
      </c>
      <c r="I3234" s="2" t="s">
        <v>21</v>
      </c>
      <c r="J3234" s="2" t="n">
        <v>4</v>
      </c>
      <c r="K3234" s="2" t="s">
        <v>35</v>
      </c>
      <c r="L3234" s="2" t="n">
        <v>70</v>
      </c>
      <c r="M3234" s="2" t="n">
        <v>4</v>
      </c>
      <c r="N3234" s="2" t="n">
        <v>7</v>
      </c>
      <c r="O3234" s="2" t="n">
        <v>7</v>
      </c>
      <c r="P3234" s="2" t="s">
        <v>37</v>
      </c>
      <c r="Q3234" s="2" t="s">
        <v>20</v>
      </c>
    </row>
    <row r="3235" customFormat="false" ht="15" hidden="false" customHeight="false" outlineLevel="0" collapsed="false">
      <c r="A3235" s="2" t="n">
        <v>19</v>
      </c>
      <c r="B3235" s="2" t="s">
        <v>42</v>
      </c>
      <c r="C3235" s="2" t="s">
        <v>30</v>
      </c>
      <c r="D3235" s="2" t="s">
        <v>23</v>
      </c>
      <c r="E3235" s="2" t="s">
        <v>20</v>
      </c>
      <c r="F3235" s="2" t="n">
        <v>1169</v>
      </c>
      <c r="G3235" s="2" t="s">
        <v>20</v>
      </c>
      <c r="H3235" s="2" t="s">
        <v>20</v>
      </c>
      <c r="I3235" s="2" t="s">
        <v>21</v>
      </c>
      <c r="J3235" s="2" t="n">
        <v>6</v>
      </c>
      <c r="K3235" s="2" t="s">
        <v>35</v>
      </c>
      <c r="L3235" s="2" t="n">
        <v>463</v>
      </c>
      <c r="M3235" s="2" t="n">
        <v>18</v>
      </c>
      <c r="N3235" s="2" t="n">
        <v>-1</v>
      </c>
      <c r="O3235" s="2" t="n">
        <v>0</v>
      </c>
      <c r="P3235" s="2" t="s">
        <v>23</v>
      </c>
      <c r="Q3235" s="2" t="s">
        <v>20</v>
      </c>
    </row>
    <row r="3236" customFormat="false" ht="15" hidden="false" customHeight="false" outlineLevel="0" collapsed="false">
      <c r="A3236" s="2" t="n">
        <v>39</v>
      </c>
      <c r="B3236" s="2" t="s">
        <v>29</v>
      </c>
      <c r="C3236" s="2" t="s">
        <v>30</v>
      </c>
      <c r="D3236" s="2" t="s">
        <v>31</v>
      </c>
      <c r="E3236" s="2" t="s">
        <v>20</v>
      </c>
      <c r="F3236" s="2" t="n">
        <v>3797</v>
      </c>
      <c r="G3236" s="2" t="s">
        <v>20</v>
      </c>
      <c r="H3236" s="2" t="s">
        <v>20</v>
      </c>
      <c r="I3236" s="2" t="s">
        <v>21</v>
      </c>
      <c r="J3236" s="2" t="n">
        <v>2</v>
      </c>
      <c r="K3236" s="2" t="s">
        <v>33</v>
      </c>
      <c r="L3236" s="2" t="n">
        <v>96</v>
      </c>
      <c r="M3236" s="2" t="n">
        <v>2</v>
      </c>
      <c r="N3236" s="2" t="n">
        <v>-1</v>
      </c>
      <c r="O3236" s="2" t="n">
        <v>0</v>
      </c>
      <c r="P3236" s="2" t="s">
        <v>23</v>
      </c>
      <c r="Q3236" s="2" t="s">
        <v>20</v>
      </c>
    </row>
    <row r="3237" customFormat="false" ht="15" hidden="false" customHeight="false" outlineLevel="0" collapsed="false">
      <c r="A3237" s="2" t="n">
        <v>32</v>
      </c>
      <c r="B3237" s="2" t="s">
        <v>34</v>
      </c>
      <c r="C3237" s="2" t="s">
        <v>30</v>
      </c>
      <c r="D3237" s="2" t="s">
        <v>25</v>
      </c>
      <c r="E3237" s="2" t="s">
        <v>20</v>
      </c>
      <c r="F3237" s="2" t="n">
        <v>53</v>
      </c>
      <c r="G3237" s="2" t="s">
        <v>26</v>
      </c>
      <c r="H3237" s="2" t="s">
        <v>20</v>
      </c>
      <c r="I3237" s="2" t="s">
        <v>21</v>
      </c>
      <c r="J3237" s="2" t="n">
        <v>18</v>
      </c>
      <c r="K3237" s="2" t="s">
        <v>46</v>
      </c>
      <c r="L3237" s="2" t="n">
        <v>276</v>
      </c>
      <c r="M3237" s="2" t="n">
        <v>1</v>
      </c>
      <c r="N3237" s="2" t="n">
        <v>195</v>
      </c>
      <c r="O3237" s="2" t="n">
        <v>1</v>
      </c>
      <c r="P3237" s="2" t="s">
        <v>28</v>
      </c>
      <c r="Q3237" s="2" t="s">
        <v>20</v>
      </c>
    </row>
    <row r="3238" customFormat="false" ht="15" hidden="false" customHeight="false" outlineLevel="0" collapsed="false">
      <c r="A3238" s="2" t="n">
        <v>43</v>
      </c>
      <c r="B3238" s="2" t="s">
        <v>34</v>
      </c>
      <c r="C3238" s="2" t="s">
        <v>18</v>
      </c>
      <c r="D3238" s="2" t="s">
        <v>19</v>
      </c>
      <c r="E3238" s="2" t="s">
        <v>20</v>
      </c>
      <c r="F3238" s="2" t="n">
        <v>2519</v>
      </c>
      <c r="G3238" s="2" t="s">
        <v>26</v>
      </c>
      <c r="H3238" s="2" t="s">
        <v>20</v>
      </c>
      <c r="I3238" s="2" t="s">
        <v>21</v>
      </c>
      <c r="J3238" s="2" t="n">
        <v>16</v>
      </c>
      <c r="K3238" s="2" t="s">
        <v>32</v>
      </c>
      <c r="L3238" s="2" t="n">
        <v>257</v>
      </c>
      <c r="M3238" s="2" t="n">
        <v>2</v>
      </c>
      <c r="N3238" s="2" t="n">
        <v>146</v>
      </c>
      <c r="O3238" s="2" t="n">
        <v>9</v>
      </c>
      <c r="P3238" s="2" t="s">
        <v>37</v>
      </c>
      <c r="Q3238" s="2" t="s">
        <v>20</v>
      </c>
    </row>
    <row r="3239" customFormat="false" ht="15" hidden="false" customHeight="false" outlineLevel="0" collapsed="false">
      <c r="A3239" s="2" t="n">
        <v>32</v>
      </c>
      <c r="B3239" s="2" t="s">
        <v>39</v>
      </c>
      <c r="C3239" s="2" t="s">
        <v>18</v>
      </c>
      <c r="D3239" s="2" t="s">
        <v>19</v>
      </c>
      <c r="E3239" s="2" t="s">
        <v>20</v>
      </c>
      <c r="F3239" s="2" t="n">
        <v>795</v>
      </c>
      <c r="G3239" s="2" t="s">
        <v>20</v>
      </c>
      <c r="H3239" s="2" t="s">
        <v>20</v>
      </c>
      <c r="I3239" s="2" t="s">
        <v>21</v>
      </c>
      <c r="J3239" s="2" t="n">
        <v>8</v>
      </c>
      <c r="K3239" s="2" t="s">
        <v>41</v>
      </c>
      <c r="L3239" s="2" t="n">
        <v>131</v>
      </c>
      <c r="M3239" s="2" t="n">
        <v>3</v>
      </c>
      <c r="N3239" s="2" t="n">
        <v>-1</v>
      </c>
      <c r="O3239" s="2" t="n">
        <v>0</v>
      </c>
      <c r="P3239" s="2" t="s">
        <v>23</v>
      </c>
      <c r="Q3239" s="2" t="s">
        <v>20</v>
      </c>
    </row>
    <row r="3240" customFormat="false" ht="15" hidden="false" customHeight="false" outlineLevel="0" collapsed="false">
      <c r="A3240" s="2" t="n">
        <v>53</v>
      </c>
      <c r="B3240" s="2" t="s">
        <v>40</v>
      </c>
      <c r="C3240" s="2" t="s">
        <v>45</v>
      </c>
      <c r="D3240" s="2" t="s">
        <v>25</v>
      </c>
      <c r="E3240" s="2" t="s">
        <v>20</v>
      </c>
      <c r="F3240" s="2" t="n">
        <v>0</v>
      </c>
      <c r="G3240" s="2" t="s">
        <v>26</v>
      </c>
      <c r="H3240" s="2" t="s">
        <v>26</v>
      </c>
      <c r="I3240" s="2" t="s">
        <v>21</v>
      </c>
      <c r="J3240" s="2" t="n">
        <v>30</v>
      </c>
      <c r="K3240" s="2" t="s">
        <v>32</v>
      </c>
      <c r="L3240" s="2" t="n">
        <v>586</v>
      </c>
      <c r="M3240" s="2" t="n">
        <v>2</v>
      </c>
      <c r="N3240" s="2" t="n">
        <v>-1</v>
      </c>
      <c r="O3240" s="2" t="n">
        <v>0</v>
      </c>
      <c r="P3240" s="2" t="s">
        <v>23</v>
      </c>
      <c r="Q3240" s="2" t="s">
        <v>20</v>
      </c>
    </row>
    <row r="3241" customFormat="false" ht="15" hidden="false" customHeight="false" outlineLevel="0" collapsed="false">
      <c r="A3241" s="2" t="n">
        <v>52</v>
      </c>
      <c r="B3241" s="2" t="s">
        <v>34</v>
      </c>
      <c r="C3241" s="2" t="s">
        <v>18</v>
      </c>
      <c r="D3241" s="2" t="s">
        <v>25</v>
      </c>
      <c r="E3241" s="2" t="s">
        <v>20</v>
      </c>
      <c r="F3241" s="2" t="n">
        <v>2087</v>
      </c>
      <c r="G3241" s="2" t="s">
        <v>26</v>
      </c>
      <c r="H3241" s="2" t="s">
        <v>20</v>
      </c>
      <c r="I3241" s="2" t="s">
        <v>21</v>
      </c>
      <c r="J3241" s="2" t="n">
        <v>31</v>
      </c>
      <c r="K3241" s="2" t="s">
        <v>41</v>
      </c>
      <c r="L3241" s="2" t="n">
        <v>267</v>
      </c>
      <c r="M3241" s="2" t="n">
        <v>1</v>
      </c>
      <c r="N3241" s="2" t="n">
        <v>474</v>
      </c>
      <c r="O3241" s="2" t="n">
        <v>1</v>
      </c>
      <c r="P3241" s="2" t="s">
        <v>28</v>
      </c>
      <c r="Q3241" s="2" t="s">
        <v>26</v>
      </c>
    </row>
    <row r="3242" customFormat="false" ht="15" hidden="false" customHeight="false" outlineLevel="0" collapsed="false">
      <c r="A3242" s="2" t="n">
        <v>43</v>
      </c>
      <c r="B3242" s="2" t="s">
        <v>38</v>
      </c>
      <c r="C3242" s="2" t="s">
        <v>30</v>
      </c>
      <c r="D3242" s="2" t="s">
        <v>25</v>
      </c>
      <c r="E3242" s="2" t="s">
        <v>20</v>
      </c>
      <c r="F3242" s="2" t="n">
        <v>34</v>
      </c>
      <c r="G3242" s="2" t="s">
        <v>20</v>
      </c>
      <c r="H3242" s="2" t="s">
        <v>20</v>
      </c>
      <c r="I3242" s="2" t="s">
        <v>49</v>
      </c>
      <c r="J3242" s="2" t="n">
        <v>30</v>
      </c>
      <c r="K3242" s="2" t="s">
        <v>44</v>
      </c>
      <c r="L3242" s="2" t="n">
        <v>29</v>
      </c>
      <c r="M3242" s="2" t="n">
        <v>1</v>
      </c>
      <c r="N3242" s="2" t="n">
        <v>-1</v>
      </c>
      <c r="O3242" s="2" t="n">
        <v>0</v>
      </c>
      <c r="P3242" s="2" t="s">
        <v>23</v>
      </c>
      <c r="Q3242" s="2" t="s">
        <v>20</v>
      </c>
    </row>
    <row r="3243" customFormat="false" ht="15" hidden="false" customHeight="false" outlineLevel="0" collapsed="false">
      <c r="A3243" s="2" t="n">
        <v>48</v>
      </c>
      <c r="B3243" s="2" t="s">
        <v>38</v>
      </c>
      <c r="C3243" s="2" t="s">
        <v>18</v>
      </c>
      <c r="D3243" s="2" t="s">
        <v>25</v>
      </c>
      <c r="E3243" s="2" t="s">
        <v>20</v>
      </c>
      <c r="F3243" s="2" t="n">
        <v>5</v>
      </c>
      <c r="G3243" s="2" t="s">
        <v>20</v>
      </c>
      <c r="H3243" s="2" t="s">
        <v>20</v>
      </c>
      <c r="I3243" s="2" t="s">
        <v>23</v>
      </c>
      <c r="J3243" s="2" t="n">
        <v>9</v>
      </c>
      <c r="K3243" s="2" t="s">
        <v>33</v>
      </c>
      <c r="L3243" s="2" t="n">
        <v>65</v>
      </c>
      <c r="M3243" s="2" t="n">
        <v>6</v>
      </c>
      <c r="N3243" s="2" t="n">
        <v>-1</v>
      </c>
      <c r="O3243" s="2" t="n">
        <v>0</v>
      </c>
      <c r="P3243" s="2" t="s">
        <v>23</v>
      </c>
      <c r="Q3243" s="2" t="s">
        <v>20</v>
      </c>
    </row>
    <row r="3244" customFormat="false" ht="15" hidden="false" customHeight="false" outlineLevel="0" collapsed="false">
      <c r="A3244" s="2" t="n">
        <v>27</v>
      </c>
      <c r="B3244" s="2" t="s">
        <v>38</v>
      </c>
      <c r="C3244" s="2" t="s">
        <v>30</v>
      </c>
      <c r="D3244" s="2" t="s">
        <v>25</v>
      </c>
      <c r="E3244" s="2" t="s">
        <v>20</v>
      </c>
      <c r="F3244" s="2" t="n">
        <v>15</v>
      </c>
      <c r="G3244" s="2" t="s">
        <v>26</v>
      </c>
      <c r="H3244" s="2" t="s">
        <v>20</v>
      </c>
      <c r="I3244" s="2" t="s">
        <v>21</v>
      </c>
      <c r="J3244" s="2" t="n">
        <v>25</v>
      </c>
      <c r="K3244" s="2" t="s">
        <v>44</v>
      </c>
      <c r="L3244" s="2" t="n">
        <v>67</v>
      </c>
      <c r="M3244" s="2" t="n">
        <v>3</v>
      </c>
      <c r="N3244" s="2" t="n">
        <v>-1</v>
      </c>
      <c r="O3244" s="2" t="n">
        <v>0</v>
      </c>
      <c r="P3244" s="2" t="s">
        <v>23</v>
      </c>
      <c r="Q3244" s="2" t="s">
        <v>20</v>
      </c>
    </row>
    <row r="3245" customFormat="false" ht="15" hidden="false" customHeight="false" outlineLevel="0" collapsed="false">
      <c r="A3245" s="2" t="n">
        <v>27</v>
      </c>
      <c r="B3245" s="2" t="s">
        <v>29</v>
      </c>
      <c r="C3245" s="2" t="s">
        <v>30</v>
      </c>
      <c r="D3245" s="2" t="s">
        <v>31</v>
      </c>
      <c r="E3245" s="2" t="s">
        <v>20</v>
      </c>
      <c r="F3245" s="2" t="n">
        <v>390</v>
      </c>
      <c r="G3245" s="2" t="s">
        <v>20</v>
      </c>
      <c r="H3245" s="2" t="s">
        <v>20</v>
      </c>
      <c r="I3245" s="2" t="s">
        <v>21</v>
      </c>
      <c r="J3245" s="2" t="n">
        <v>28</v>
      </c>
      <c r="K3245" s="2" t="s">
        <v>22</v>
      </c>
      <c r="L3245" s="2" t="n">
        <v>190</v>
      </c>
      <c r="M3245" s="2" t="n">
        <v>1</v>
      </c>
      <c r="N3245" s="2" t="n">
        <v>82</v>
      </c>
      <c r="O3245" s="2" t="n">
        <v>1</v>
      </c>
      <c r="P3245" s="2" t="s">
        <v>50</v>
      </c>
      <c r="Q3245" s="2" t="s">
        <v>20</v>
      </c>
    </row>
    <row r="3246" customFormat="false" ht="15" hidden="false" customHeight="false" outlineLevel="0" collapsed="false">
      <c r="A3246" s="2" t="n">
        <v>51</v>
      </c>
      <c r="B3246" s="2" t="s">
        <v>29</v>
      </c>
      <c r="C3246" s="2" t="s">
        <v>18</v>
      </c>
      <c r="D3246" s="2" t="s">
        <v>23</v>
      </c>
      <c r="E3246" s="2" t="s">
        <v>20</v>
      </c>
      <c r="F3246" s="2" t="n">
        <v>712</v>
      </c>
      <c r="G3246" s="2" t="s">
        <v>20</v>
      </c>
      <c r="H3246" s="2" t="s">
        <v>20</v>
      </c>
      <c r="I3246" s="2" t="s">
        <v>21</v>
      </c>
      <c r="J3246" s="2" t="n">
        <v>13</v>
      </c>
      <c r="K3246" s="2" t="s">
        <v>41</v>
      </c>
      <c r="L3246" s="2" t="n">
        <v>287</v>
      </c>
      <c r="M3246" s="2" t="n">
        <v>2</v>
      </c>
      <c r="N3246" s="2" t="n">
        <v>-1</v>
      </c>
      <c r="O3246" s="2" t="n">
        <v>0</v>
      </c>
      <c r="P3246" s="2" t="s">
        <v>23</v>
      </c>
      <c r="Q3246" s="2" t="s">
        <v>20</v>
      </c>
    </row>
    <row r="3247" customFormat="false" ht="15" hidden="false" customHeight="false" outlineLevel="0" collapsed="false">
      <c r="A3247" s="2" t="n">
        <v>39</v>
      </c>
      <c r="B3247" s="2" t="s">
        <v>40</v>
      </c>
      <c r="C3247" s="2" t="s">
        <v>30</v>
      </c>
      <c r="D3247" s="2" t="s">
        <v>31</v>
      </c>
      <c r="E3247" s="2" t="s">
        <v>20</v>
      </c>
      <c r="F3247" s="2" t="n">
        <v>2600</v>
      </c>
      <c r="G3247" s="2" t="s">
        <v>26</v>
      </c>
      <c r="H3247" s="2" t="s">
        <v>20</v>
      </c>
      <c r="I3247" s="2" t="s">
        <v>23</v>
      </c>
      <c r="J3247" s="2" t="n">
        <v>17</v>
      </c>
      <c r="K3247" s="2" t="s">
        <v>33</v>
      </c>
      <c r="L3247" s="2" t="n">
        <v>77</v>
      </c>
      <c r="M3247" s="2" t="n">
        <v>1</v>
      </c>
      <c r="N3247" s="2" t="n">
        <v>-1</v>
      </c>
      <c r="O3247" s="2" t="n">
        <v>0</v>
      </c>
      <c r="P3247" s="2" t="s">
        <v>23</v>
      </c>
      <c r="Q3247" s="2" t="s">
        <v>20</v>
      </c>
    </row>
    <row r="3248" customFormat="false" ht="15" hidden="false" customHeight="false" outlineLevel="0" collapsed="false">
      <c r="A3248" s="2" t="n">
        <v>33</v>
      </c>
      <c r="B3248" s="2" t="s">
        <v>34</v>
      </c>
      <c r="C3248" s="2" t="s">
        <v>18</v>
      </c>
      <c r="D3248" s="2" t="s">
        <v>25</v>
      </c>
      <c r="E3248" s="2" t="s">
        <v>20</v>
      </c>
      <c r="F3248" s="2" t="n">
        <v>-241</v>
      </c>
      <c r="G3248" s="2" t="s">
        <v>26</v>
      </c>
      <c r="H3248" s="2" t="s">
        <v>26</v>
      </c>
      <c r="I3248" s="2" t="s">
        <v>23</v>
      </c>
      <c r="J3248" s="2" t="n">
        <v>27</v>
      </c>
      <c r="K3248" s="2" t="s">
        <v>27</v>
      </c>
      <c r="L3248" s="2" t="n">
        <v>169</v>
      </c>
      <c r="M3248" s="2" t="n">
        <v>1</v>
      </c>
      <c r="N3248" s="2" t="n">
        <v>-1</v>
      </c>
      <c r="O3248" s="2" t="n">
        <v>0</v>
      </c>
      <c r="P3248" s="2" t="s">
        <v>23</v>
      </c>
      <c r="Q3248" s="2" t="s">
        <v>20</v>
      </c>
    </row>
    <row r="3249" customFormat="false" ht="15" hidden="false" customHeight="false" outlineLevel="0" collapsed="false">
      <c r="A3249" s="2" t="n">
        <v>50</v>
      </c>
      <c r="B3249" s="2" t="s">
        <v>34</v>
      </c>
      <c r="C3249" s="2" t="s">
        <v>45</v>
      </c>
      <c r="D3249" s="2" t="s">
        <v>19</v>
      </c>
      <c r="E3249" s="2" t="s">
        <v>20</v>
      </c>
      <c r="F3249" s="2" t="n">
        <v>1545</v>
      </c>
      <c r="G3249" s="2" t="s">
        <v>26</v>
      </c>
      <c r="H3249" s="2" t="s">
        <v>20</v>
      </c>
      <c r="I3249" s="2" t="s">
        <v>21</v>
      </c>
      <c r="J3249" s="2" t="n">
        <v>20</v>
      </c>
      <c r="K3249" s="2" t="s">
        <v>46</v>
      </c>
      <c r="L3249" s="2" t="n">
        <v>25</v>
      </c>
      <c r="M3249" s="2" t="n">
        <v>1</v>
      </c>
      <c r="N3249" s="2" t="n">
        <v>-1</v>
      </c>
      <c r="O3249" s="2" t="n">
        <v>0</v>
      </c>
      <c r="P3249" s="2" t="s">
        <v>23</v>
      </c>
      <c r="Q3249" s="2" t="s">
        <v>20</v>
      </c>
    </row>
    <row r="3250" customFormat="false" ht="15" hidden="false" customHeight="false" outlineLevel="0" collapsed="false">
      <c r="A3250" s="2" t="n">
        <v>59</v>
      </c>
      <c r="B3250" s="2" t="s">
        <v>48</v>
      </c>
      <c r="C3250" s="2" t="s">
        <v>45</v>
      </c>
      <c r="D3250" s="2" t="s">
        <v>25</v>
      </c>
      <c r="E3250" s="2" t="s">
        <v>20</v>
      </c>
      <c r="F3250" s="2" t="n">
        <v>1026</v>
      </c>
      <c r="G3250" s="2" t="s">
        <v>20</v>
      </c>
      <c r="H3250" s="2" t="s">
        <v>20</v>
      </c>
      <c r="I3250" s="2" t="s">
        <v>23</v>
      </c>
      <c r="J3250" s="2" t="n">
        <v>5</v>
      </c>
      <c r="K3250" s="2" t="s">
        <v>46</v>
      </c>
      <c r="L3250" s="2" t="n">
        <v>669</v>
      </c>
      <c r="M3250" s="2" t="n">
        <v>1</v>
      </c>
      <c r="N3250" s="2" t="n">
        <v>-1</v>
      </c>
      <c r="O3250" s="2" t="n">
        <v>0</v>
      </c>
      <c r="P3250" s="2" t="s">
        <v>23</v>
      </c>
      <c r="Q3250" s="2" t="s">
        <v>26</v>
      </c>
    </row>
    <row r="3251" customFormat="false" ht="15" hidden="false" customHeight="false" outlineLevel="0" collapsed="false">
      <c r="A3251" s="2" t="n">
        <v>58</v>
      </c>
      <c r="B3251" s="2" t="s">
        <v>47</v>
      </c>
      <c r="C3251" s="2" t="s">
        <v>18</v>
      </c>
      <c r="D3251" s="2" t="s">
        <v>19</v>
      </c>
      <c r="E3251" s="2" t="s">
        <v>20</v>
      </c>
      <c r="F3251" s="2" t="n">
        <v>435</v>
      </c>
      <c r="G3251" s="2" t="s">
        <v>26</v>
      </c>
      <c r="H3251" s="2" t="s">
        <v>20</v>
      </c>
      <c r="I3251" s="2" t="s">
        <v>49</v>
      </c>
      <c r="J3251" s="2" t="n">
        <v>28</v>
      </c>
      <c r="K3251" s="2" t="s">
        <v>44</v>
      </c>
      <c r="L3251" s="2" t="n">
        <v>122</v>
      </c>
      <c r="M3251" s="2" t="n">
        <v>6</v>
      </c>
      <c r="N3251" s="2" t="n">
        <v>-1</v>
      </c>
      <c r="O3251" s="2" t="n">
        <v>0</v>
      </c>
      <c r="P3251" s="2" t="s">
        <v>23</v>
      </c>
      <c r="Q3251" s="2" t="s">
        <v>20</v>
      </c>
    </row>
    <row r="3252" customFormat="false" ht="15" hidden="false" customHeight="false" outlineLevel="0" collapsed="false">
      <c r="A3252" s="2" t="n">
        <v>54</v>
      </c>
      <c r="B3252" s="2" t="s">
        <v>38</v>
      </c>
      <c r="C3252" s="2" t="s">
        <v>18</v>
      </c>
      <c r="D3252" s="2" t="s">
        <v>31</v>
      </c>
      <c r="E3252" s="2" t="s">
        <v>20</v>
      </c>
      <c r="F3252" s="2" t="n">
        <v>876</v>
      </c>
      <c r="G3252" s="2" t="s">
        <v>20</v>
      </c>
      <c r="H3252" s="2" t="s">
        <v>20</v>
      </c>
      <c r="I3252" s="2" t="s">
        <v>21</v>
      </c>
      <c r="J3252" s="2" t="n">
        <v>27</v>
      </c>
      <c r="K3252" s="2" t="s">
        <v>22</v>
      </c>
      <c r="L3252" s="2" t="n">
        <v>269</v>
      </c>
      <c r="M3252" s="2" t="n">
        <v>3</v>
      </c>
      <c r="N3252" s="2" t="n">
        <v>541</v>
      </c>
      <c r="O3252" s="2" t="n">
        <v>3</v>
      </c>
      <c r="P3252" s="2" t="s">
        <v>50</v>
      </c>
      <c r="Q3252" s="2" t="s">
        <v>26</v>
      </c>
    </row>
    <row r="3253" customFormat="false" ht="15" hidden="false" customHeight="false" outlineLevel="0" collapsed="false">
      <c r="A3253" s="2" t="n">
        <v>60</v>
      </c>
      <c r="B3253" s="2" t="s">
        <v>34</v>
      </c>
      <c r="C3253" s="2" t="s">
        <v>18</v>
      </c>
      <c r="D3253" s="2" t="s">
        <v>25</v>
      </c>
      <c r="E3253" s="2" t="s">
        <v>20</v>
      </c>
      <c r="F3253" s="2" t="n">
        <v>1801</v>
      </c>
      <c r="G3253" s="2" t="s">
        <v>20</v>
      </c>
      <c r="H3253" s="2" t="s">
        <v>20</v>
      </c>
      <c r="I3253" s="2" t="s">
        <v>49</v>
      </c>
      <c r="J3253" s="2" t="n">
        <v>29</v>
      </c>
      <c r="K3253" s="2" t="s">
        <v>22</v>
      </c>
      <c r="L3253" s="2" t="n">
        <v>167</v>
      </c>
      <c r="M3253" s="2" t="n">
        <v>1</v>
      </c>
      <c r="N3253" s="2" t="n">
        <v>-1</v>
      </c>
      <c r="O3253" s="2" t="n">
        <v>0</v>
      </c>
      <c r="P3253" s="2" t="s">
        <v>23</v>
      </c>
      <c r="Q3253" s="2" t="s">
        <v>20</v>
      </c>
    </row>
    <row r="3254" customFormat="false" ht="15" hidden="false" customHeight="false" outlineLevel="0" collapsed="false">
      <c r="A3254" s="2" t="n">
        <v>38</v>
      </c>
      <c r="B3254" s="2" t="s">
        <v>29</v>
      </c>
      <c r="C3254" s="2" t="s">
        <v>18</v>
      </c>
      <c r="D3254" s="2" t="s">
        <v>31</v>
      </c>
      <c r="E3254" s="2" t="s">
        <v>20</v>
      </c>
      <c r="F3254" s="2" t="n">
        <v>2278</v>
      </c>
      <c r="G3254" s="2" t="s">
        <v>26</v>
      </c>
      <c r="H3254" s="2" t="s">
        <v>26</v>
      </c>
      <c r="I3254" s="2" t="s">
        <v>21</v>
      </c>
      <c r="J3254" s="2" t="n">
        <v>13</v>
      </c>
      <c r="K3254" s="2" t="s">
        <v>27</v>
      </c>
      <c r="L3254" s="2" t="n">
        <v>244</v>
      </c>
      <c r="M3254" s="2" t="n">
        <v>1</v>
      </c>
      <c r="N3254" s="2" t="n">
        <v>-1</v>
      </c>
      <c r="O3254" s="2" t="n">
        <v>0</v>
      </c>
      <c r="P3254" s="2" t="s">
        <v>23</v>
      </c>
      <c r="Q3254" s="2" t="s">
        <v>20</v>
      </c>
    </row>
    <row r="3255" customFormat="false" ht="15" hidden="false" customHeight="false" outlineLevel="0" collapsed="false">
      <c r="A3255" s="2" t="n">
        <v>39</v>
      </c>
      <c r="B3255" s="2" t="s">
        <v>34</v>
      </c>
      <c r="C3255" s="2" t="s">
        <v>18</v>
      </c>
      <c r="D3255" s="2" t="s">
        <v>23</v>
      </c>
      <c r="E3255" s="2" t="s">
        <v>20</v>
      </c>
      <c r="F3255" s="2" t="n">
        <v>157</v>
      </c>
      <c r="G3255" s="2" t="s">
        <v>26</v>
      </c>
      <c r="H3255" s="2" t="s">
        <v>20</v>
      </c>
      <c r="I3255" s="2" t="s">
        <v>23</v>
      </c>
      <c r="J3255" s="2" t="n">
        <v>30</v>
      </c>
      <c r="K3255" s="2" t="s">
        <v>27</v>
      </c>
      <c r="L3255" s="2" t="n">
        <v>99</v>
      </c>
      <c r="M3255" s="2" t="n">
        <v>6</v>
      </c>
      <c r="N3255" s="2" t="n">
        <v>-1</v>
      </c>
      <c r="O3255" s="2" t="n">
        <v>0</v>
      </c>
      <c r="P3255" s="2" t="s">
        <v>23</v>
      </c>
      <c r="Q3255" s="2" t="s">
        <v>20</v>
      </c>
    </row>
    <row r="3256" customFormat="false" ht="15" hidden="false" customHeight="false" outlineLevel="0" collapsed="false">
      <c r="A3256" s="2" t="n">
        <v>40</v>
      </c>
      <c r="B3256" s="2" t="s">
        <v>40</v>
      </c>
      <c r="C3256" s="2" t="s">
        <v>18</v>
      </c>
      <c r="D3256" s="2" t="s">
        <v>25</v>
      </c>
      <c r="E3256" s="2" t="s">
        <v>20</v>
      </c>
      <c r="F3256" s="2" t="n">
        <v>1327</v>
      </c>
      <c r="G3256" s="2" t="s">
        <v>26</v>
      </c>
      <c r="H3256" s="2" t="s">
        <v>26</v>
      </c>
      <c r="I3256" s="2" t="s">
        <v>23</v>
      </c>
      <c r="J3256" s="2" t="n">
        <v>26</v>
      </c>
      <c r="K3256" s="2" t="s">
        <v>27</v>
      </c>
      <c r="L3256" s="2" t="n">
        <v>76</v>
      </c>
      <c r="M3256" s="2" t="n">
        <v>2</v>
      </c>
      <c r="N3256" s="2" t="n">
        <v>-1</v>
      </c>
      <c r="O3256" s="2" t="n">
        <v>0</v>
      </c>
      <c r="P3256" s="2" t="s">
        <v>23</v>
      </c>
      <c r="Q3256" s="2" t="s">
        <v>20</v>
      </c>
    </row>
    <row r="3257" customFormat="false" ht="15" hidden="false" customHeight="false" outlineLevel="0" collapsed="false">
      <c r="A3257" s="2" t="n">
        <v>55</v>
      </c>
      <c r="B3257" s="2" t="s">
        <v>34</v>
      </c>
      <c r="C3257" s="2" t="s">
        <v>18</v>
      </c>
      <c r="D3257" s="2" t="s">
        <v>19</v>
      </c>
      <c r="E3257" s="2" t="s">
        <v>20</v>
      </c>
      <c r="F3257" s="2" t="n">
        <v>284</v>
      </c>
      <c r="G3257" s="2" t="s">
        <v>20</v>
      </c>
      <c r="H3257" s="2" t="s">
        <v>26</v>
      </c>
      <c r="I3257" s="2" t="s">
        <v>49</v>
      </c>
      <c r="J3257" s="2" t="n">
        <v>14</v>
      </c>
      <c r="K3257" s="2" t="s">
        <v>44</v>
      </c>
      <c r="L3257" s="2" t="n">
        <v>252</v>
      </c>
      <c r="M3257" s="2" t="n">
        <v>4</v>
      </c>
      <c r="N3257" s="2" t="n">
        <v>-1</v>
      </c>
      <c r="O3257" s="2" t="n">
        <v>0</v>
      </c>
      <c r="P3257" s="2" t="s">
        <v>23</v>
      </c>
      <c r="Q3257" s="2" t="s">
        <v>20</v>
      </c>
    </row>
    <row r="3258" customFormat="false" ht="15" hidden="false" customHeight="false" outlineLevel="0" collapsed="false">
      <c r="A3258" s="2" t="n">
        <v>36</v>
      </c>
      <c r="B3258" s="2" t="s">
        <v>29</v>
      </c>
      <c r="C3258" s="2" t="s">
        <v>18</v>
      </c>
      <c r="D3258" s="2" t="s">
        <v>31</v>
      </c>
      <c r="E3258" s="2" t="s">
        <v>20</v>
      </c>
      <c r="F3258" s="2" t="n">
        <v>495</v>
      </c>
      <c r="G3258" s="2" t="s">
        <v>20</v>
      </c>
      <c r="H3258" s="2" t="s">
        <v>20</v>
      </c>
      <c r="I3258" s="2" t="s">
        <v>21</v>
      </c>
      <c r="J3258" s="2" t="n">
        <v>12</v>
      </c>
      <c r="K3258" s="2" t="s">
        <v>52</v>
      </c>
      <c r="L3258" s="2" t="n">
        <v>213</v>
      </c>
      <c r="M3258" s="2" t="n">
        <v>3</v>
      </c>
      <c r="N3258" s="2" t="n">
        <v>182</v>
      </c>
      <c r="O3258" s="2" t="n">
        <v>6</v>
      </c>
      <c r="P3258" s="2" t="s">
        <v>50</v>
      </c>
      <c r="Q3258" s="2" t="s">
        <v>26</v>
      </c>
    </row>
    <row r="3259" customFormat="false" ht="15" hidden="false" customHeight="false" outlineLevel="0" collapsed="false">
      <c r="A3259" s="2" t="n">
        <v>31</v>
      </c>
      <c r="B3259" s="2" t="s">
        <v>40</v>
      </c>
      <c r="C3259" s="2" t="s">
        <v>30</v>
      </c>
      <c r="D3259" s="2" t="s">
        <v>25</v>
      </c>
      <c r="E3259" s="2" t="s">
        <v>20</v>
      </c>
      <c r="F3259" s="2" t="n">
        <v>1588</v>
      </c>
      <c r="G3259" s="2" t="s">
        <v>26</v>
      </c>
      <c r="H3259" s="2" t="s">
        <v>20</v>
      </c>
      <c r="I3259" s="2" t="s">
        <v>23</v>
      </c>
      <c r="J3259" s="2" t="n">
        <v>3</v>
      </c>
      <c r="K3259" s="2" t="s">
        <v>33</v>
      </c>
      <c r="L3259" s="2" t="n">
        <v>14</v>
      </c>
      <c r="M3259" s="2" t="n">
        <v>1</v>
      </c>
      <c r="N3259" s="2" t="n">
        <v>-1</v>
      </c>
      <c r="O3259" s="2" t="n">
        <v>0</v>
      </c>
      <c r="P3259" s="2" t="s">
        <v>23</v>
      </c>
      <c r="Q3259" s="2" t="s">
        <v>20</v>
      </c>
    </row>
    <row r="3260" customFormat="false" ht="15" hidden="false" customHeight="false" outlineLevel="0" collapsed="false">
      <c r="A3260" s="2" t="n">
        <v>38</v>
      </c>
      <c r="B3260" s="2" t="s">
        <v>24</v>
      </c>
      <c r="C3260" s="2" t="s">
        <v>18</v>
      </c>
      <c r="D3260" s="2" t="s">
        <v>25</v>
      </c>
      <c r="E3260" s="2" t="s">
        <v>20</v>
      </c>
      <c r="F3260" s="2" t="n">
        <v>0</v>
      </c>
      <c r="G3260" s="2" t="s">
        <v>26</v>
      </c>
      <c r="H3260" s="2" t="s">
        <v>20</v>
      </c>
      <c r="I3260" s="2" t="s">
        <v>49</v>
      </c>
      <c r="J3260" s="2" t="n">
        <v>28</v>
      </c>
      <c r="K3260" s="2" t="s">
        <v>44</v>
      </c>
      <c r="L3260" s="2" t="n">
        <v>121</v>
      </c>
      <c r="M3260" s="2" t="n">
        <v>2</v>
      </c>
      <c r="N3260" s="2" t="n">
        <v>-1</v>
      </c>
      <c r="O3260" s="2" t="n">
        <v>0</v>
      </c>
      <c r="P3260" s="2" t="s">
        <v>23</v>
      </c>
      <c r="Q3260" s="2" t="s">
        <v>20</v>
      </c>
    </row>
    <row r="3261" customFormat="false" ht="15" hidden="false" customHeight="false" outlineLevel="0" collapsed="false">
      <c r="A3261" s="2" t="n">
        <v>52</v>
      </c>
      <c r="B3261" s="2" t="s">
        <v>29</v>
      </c>
      <c r="C3261" s="2" t="s">
        <v>18</v>
      </c>
      <c r="D3261" s="2" t="s">
        <v>25</v>
      </c>
      <c r="E3261" s="2" t="s">
        <v>20</v>
      </c>
      <c r="F3261" s="2" t="n">
        <v>428</v>
      </c>
      <c r="G3261" s="2" t="s">
        <v>26</v>
      </c>
      <c r="H3261" s="2" t="s">
        <v>20</v>
      </c>
      <c r="I3261" s="2" t="s">
        <v>23</v>
      </c>
      <c r="J3261" s="2" t="n">
        <v>30</v>
      </c>
      <c r="K3261" s="2" t="s">
        <v>27</v>
      </c>
      <c r="L3261" s="2" t="n">
        <v>153</v>
      </c>
      <c r="M3261" s="2" t="n">
        <v>1</v>
      </c>
      <c r="N3261" s="2" t="n">
        <v>-1</v>
      </c>
      <c r="O3261" s="2" t="n">
        <v>0</v>
      </c>
      <c r="P3261" s="2" t="s">
        <v>23</v>
      </c>
      <c r="Q3261" s="2" t="s">
        <v>20</v>
      </c>
    </row>
    <row r="3262" customFormat="false" ht="15" hidden="false" customHeight="false" outlineLevel="0" collapsed="false">
      <c r="A3262" s="2" t="n">
        <v>45</v>
      </c>
      <c r="B3262" s="2" t="s">
        <v>40</v>
      </c>
      <c r="C3262" s="2" t="s">
        <v>18</v>
      </c>
      <c r="D3262" s="2" t="s">
        <v>19</v>
      </c>
      <c r="E3262" s="2" t="s">
        <v>20</v>
      </c>
      <c r="F3262" s="2" t="n">
        <v>542</v>
      </c>
      <c r="G3262" s="2" t="s">
        <v>20</v>
      </c>
      <c r="H3262" s="2" t="s">
        <v>20</v>
      </c>
      <c r="I3262" s="2" t="s">
        <v>21</v>
      </c>
      <c r="J3262" s="2" t="n">
        <v>11</v>
      </c>
      <c r="K3262" s="2" t="s">
        <v>27</v>
      </c>
      <c r="L3262" s="2" t="n">
        <v>8</v>
      </c>
      <c r="M3262" s="2" t="n">
        <v>5</v>
      </c>
      <c r="N3262" s="2" t="n">
        <v>350</v>
      </c>
      <c r="O3262" s="2" t="n">
        <v>3</v>
      </c>
      <c r="P3262" s="2" t="s">
        <v>37</v>
      </c>
      <c r="Q3262" s="2" t="s">
        <v>20</v>
      </c>
    </row>
    <row r="3263" customFormat="false" ht="15" hidden="false" customHeight="false" outlineLevel="0" collapsed="false">
      <c r="A3263" s="2" t="n">
        <v>32</v>
      </c>
      <c r="B3263" s="2" t="s">
        <v>34</v>
      </c>
      <c r="C3263" s="2" t="s">
        <v>18</v>
      </c>
      <c r="D3263" s="2" t="s">
        <v>19</v>
      </c>
      <c r="E3263" s="2" t="s">
        <v>20</v>
      </c>
      <c r="F3263" s="2" t="n">
        <v>66</v>
      </c>
      <c r="G3263" s="2" t="s">
        <v>20</v>
      </c>
      <c r="H3263" s="2" t="s">
        <v>20</v>
      </c>
      <c r="I3263" s="2" t="s">
        <v>21</v>
      </c>
      <c r="J3263" s="2" t="n">
        <v>19</v>
      </c>
      <c r="K3263" s="2" t="s">
        <v>46</v>
      </c>
      <c r="L3263" s="2" t="n">
        <v>244</v>
      </c>
      <c r="M3263" s="2" t="n">
        <v>1</v>
      </c>
      <c r="N3263" s="2" t="n">
        <v>-1</v>
      </c>
      <c r="O3263" s="2" t="n">
        <v>0</v>
      </c>
      <c r="P3263" s="2" t="s">
        <v>23</v>
      </c>
      <c r="Q3263" s="2" t="s">
        <v>20</v>
      </c>
    </row>
    <row r="3264" customFormat="false" ht="15" hidden="false" customHeight="false" outlineLevel="0" collapsed="false">
      <c r="A3264" s="2" t="n">
        <v>58</v>
      </c>
      <c r="B3264" s="2" t="s">
        <v>34</v>
      </c>
      <c r="C3264" s="2" t="s">
        <v>45</v>
      </c>
      <c r="D3264" s="2" t="s">
        <v>25</v>
      </c>
      <c r="E3264" s="2" t="s">
        <v>20</v>
      </c>
      <c r="F3264" s="2" t="n">
        <v>314</v>
      </c>
      <c r="G3264" s="2" t="s">
        <v>20</v>
      </c>
      <c r="H3264" s="2" t="s">
        <v>20</v>
      </c>
      <c r="I3264" s="2" t="s">
        <v>23</v>
      </c>
      <c r="J3264" s="2" t="n">
        <v>25</v>
      </c>
      <c r="K3264" s="2" t="s">
        <v>33</v>
      </c>
      <c r="L3264" s="2" t="n">
        <v>67</v>
      </c>
      <c r="M3264" s="2" t="n">
        <v>2</v>
      </c>
      <c r="N3264" s="2" t="n">
        <v>-1</v>
      </c>
      <c r="O3264" s="2" t="n">
        <v>0</v>
      </c>
      <c r="P3264" s="2" t="s">
        <v>23</v>
      </c>
      <c r="Q3264" s="2" t="s">
        <v>20</v>
      </c>
    </row>
    <row r="3265" customFormat="false" ht="15" hidden="false" customHeight="false" outlineLevel="0" collapsed="false">
      <c r="A3265" s="2" t="n">
        <v>35</v>
      </c>
      <c r="B3265" s="2" t="s">
        <v>29</v>
      </c>
      <c r="C3265" s="2" t="s">
        <v>18</v>
      </c>
      <c r="D3265" s="2" t="s">
        <v>31</v>
      </c>
      <c r="E3265" s="2" t="s">
        <v>20</v>
      </c>
      <c r="F3265" s="2" t="n">
        <v>24</v>
      </c>
      <c r="G3265" s="2" t="s">
        <v>26</v>
      </c>
      <c r="H3265" s="2" t="s">
        <v>20</v>
      </c>
      <c r="I3265" s="2" t="s">
        <v>21</v>
      </c>
      <c r="J3265" s="2" t="n">
        <v>8</v>
      </c>
      <c r="K3265" s="2" t="s">
        <v>32</v>
      </c>
      <c r="L3265" s="2" t="n">
        <v>169</v>
      </c>
      <c r="M3265" s="2" t="n">
        <v>1</v>
      </c>
      <c r="N3265" s="2" t="n">
        <v>231</v>
      </c>
      <c r="O3265" s="2" t="n">
        <v>2</v>
      </c>
      <c r="P3265" s="2" t="s">
        <v>28</v>
      </c>
      <c r="Q3265" s="2" t="s">
        <v>20</v>
      </c>
    </row>
    <row r="3266" customFormat="false" ht="15" hidden="false" customHeight="false" outlineLevel="0" collapsed="false">
      <c r="A3266" s="2" t="n">
        <v>36</v>
      </c>
      <c r="B3266" s="2" t="s">
        <v>29</v>
      </c>
      <c r="C3266" s="2" t="s">
        <v>30</v>
      </c>
      <c r="D3266" s="2" t="s">
        <v>31</v>
      </c>
      <c r="E3266" s="2" t="s">
        <v>20</v>
      </c>
      <c r="F3266" s="2" t="n">
        <v>613</v>
      </c>
      <c r="G3266" s="2" t="s">
        <v>20</v>
      </c>
      <c r="H3266" s="2" t="s">
        <v>20</v>
      </c>
      <c r="I3266" s="2" t="s">
        <v>21</v>
      </c>
      <c r="J3266" s="2" t="n">
        <v>7</v>
      </c>
      <c r="K3266" s="2" t="s">
        <v>41</v>
      </c>
      <c r="L3266" s="2" t="n">
        <v>86</v>
      </c>
      <c r="M3266" s="2" t="n">
        <v>2</v>
      </c>
      <c r="N3266" s="2" t="n">
        <v>-1</v>
      </c>
      <c r="O3266" s="2" t="n">
        <v>0</v>
      </c>
      <c r="P3266" s="2" t="s">
        <v>23</v>
      </c>
      <c r="Q3266" s="2" t="s">
        <v>20</v>
      </c>
    </row>
    <row r="3267" customFormat="false" ht="15" hidden="false" customHeight="false" outlineLevel="0" collapsed="false">
      <c r="A3267" s="2" t="n">
        <v>55</v>
      </c>
      <c r="B3267" s="2" t="s">
        <v>48</v>
      </c>
      <c r="C3267" s="2" t="s">
        <v>18</v>
      </c>
      <c r="D3267" s="2" t="s">
        <v>25</v>
      </c>
      <c r="E3267" s="2" t="s">
        <v>20</v>
      </c>
      <c r="F3267" s="2" t="n">
        <v>1467</v>
      </c>
      <c r="G3267" s="2" t="s">
        <v>20</v>
      </c>
      <c r="H3267" s="2" t="s">
        <v>26</v>
      </c>
      <c r="I3267" s="2" t="s">
        <v>21</v>
      </c>
      <c r="J3267" s="2" t="n">
        <v>29</v>
      </c>
      <c r="K3267" s="2" t="s">
        <v>44</v>
      </c>
      <c r="L3267" s="2" t="n">
        <v>277</v>
      </c>
      <c r="M3267" s="2" t="n">
        <v>2</v>
      </c>
      <c r="N3267" s="2" t="n">
        <v>-1</v>
      </c>
      <c r="O3267" s="2" t="n">
        <v>0</v>
      </c>
      <c r="P3267" s="2" t="s">
        <v>23</v>
      </c>
      <c r="Q3267" s="2" t="s">
        <v>20</v>
      </c>
    </row>
    <row r="3268" customFormat="false" ht="15" hidden="false" customHeight="false" outlineLevel="0" collapsed="false">
      <c r="A3268" s="2" t="n">
        <v>45</v>
      </c>
      <c r="B3268" s="2" t="s">
        <v>34</v>
      </c>
      <c r="C3268" s="2" t="s">
        <v>18</v>
      </c>
      <c r="D3268" s="2" t="s">
        <v>25</v>
      </c>
      <c r="E3268" s="2" t="s">
        <v>20</v>
      </c>
      <c r="F3268" s="2" t="n">
        <v>192</v>
      </c>
      <c r="G3268" s="2" t="s">
        <v>26</v>
      </c>
      <c r="H3268" s="2" t="s">
        <v>20</v>
      </c>
      <c r="I3268" s="2" t="s">
        <v>21</v>
      </c>
      <c r="J3268" s="2" t="n">
        <v>13</v>
      </c>
      <c r="K3268" s="2" t="s">
        <v>27</v>
      </c>
      <c r="L3268" s="2" t="n">
        <v>154</v>
      </c>
      <c r="M3268" s="2" t="n">
        <v>5</v>
      </c>
      <c r="N3268" s="2" t="n">
        <v>176</v>
      </c>
      <c r="O3268" s="2" t="n">
        <v>1</v>
      </c>
      <c r="P3268" s="2" t="s">
        <v>37</v>
      </c>
      <c r="Q3268" s="2" t="s">
        <v>20</v>
      </c>
    </row>
    <row r="3269" customFormat="false" ht="15" hidden="false" customHeight="false" outlineLevel="0" collapsed="false">
      <c r="A3269" s="2" t="n">
        <v>49</v>
      </c>
      <c r="B3269" s="2" t="s">
        <v>29</v>
      </c>
      <c r="C3269" s="2" t="s">
        <v>18</v>
      </c>
      <c r="D3269" s="2" t="s">
        <v>25</v>
      </c>
      <c r="E3269" s="2" t="s">
        <v>20</v>
      </c>
      <c r="F3269" s="2" t="n">
        <v>321</v>
      </c>
      <c r="G3269" s="2" t="s">
        <v>20</v>
      </c>
      <c r="H3269" s="2" t="s">
        <v>20</v>
      </c>
      <c r="I3269" s="2" t="s">
        <v>23</v>
      </c>
      <c r="J3269" s="2" t="n">
        <v>9</v>
      </c>
      <c r="K3269" s="2" t="s">
        <v>33</v>
      </c>
      <c r="L3269" s="2" t="n">
        <v>135</v>
      </c>
      <c r="M3269" s="2" t="n">
        <v>3</v>
      </c>
      <c r="N3269" s="2" t="n">
        <v>-1</v>
      </c>
      <c r="O3269" s="2" t="n">
        <v>0</v>
      </c>
      <c r="P3269" s="2" t="s">
        <v>23</v>
      </c>
      <c r="Q3269" s="2" t="s">
        <v>20</v>
      </c>
    </row>
    <row r="3270" customFormat="false" ht="15" hidden="false" customHeight="false" outlineLevel="0" collapsed="false">
      <c r="A3270" s="2" t="n">
        <v>44</v>
      </c>
      <c r="B3270" s="2" t="s">
        <v>34</v>
      </c>
      <c r="C3270" s="2" t="s">
        <v>18</v>
      </c>
      <c r="D3270" s="2" t="s">
        <v>25</v>
      </c>
      <c r="E3270" s="2" t="s">
        <v>20</v>
      </c>
      <c r="F3270" s="2" t="n">
        <v>788</v>
      </c>
      <c r="G3270" s="2" t="s">
        <v>26</v>
      </c>
      <c r="H3270" s="2" t="s">
        <v>20</v>
      </c>
      <c r="I3270" s="2" t="s">
        <v>21</v>
      </c>
      <c r="J3270" s="2" t="n">
        <v>17</v>
      </c>
      <c r="K3270" s="2" t="s">
        <v>32</v>
      </c>
      <c r="L3270" s="2" t="n">
        <v>392</v>
      </c>
      <c r="M3270" s="2" t="n">
        <v>1</v>
      </c>
      <c r="N3270" s="2" t="n">
        <v>-1</v>
      </c>
      <c r="O3270" s="2" t="n">
        <v>0</v>
      </c>
      <c r="P3270" s="2" t="s">
        <v>23</v>
      </c>
      <c r="Q3270" s="2" t="s">
        <v>20</v>
      </c>
    </row>
    <row r="3271" customFormat="false" ht="15" hidden="false" customHeight="false" outlineLevel="0" collapsed="false">
      <c r="A3271" s="2" t="n">
        <v>37</v>
      </c>
      <c r="B3271" s="2" t="s">
        <v>34</v>
      </c>
      <c r="C3271" s="2" t="s">
        <v>45</v>
      </c>
      <c r="D3271" s="2" t="s">
        <v>25</v>
      </c>
      <c r="E3271" s="2" t="s">
        <v>20</v>
      </c>
      <c r="F3271" s="2" t="n">
        <v>48</v>
      </c>
      <c r="G3271" s="2" t="s">
        <v>26</v>
      </c>
      <c r="H3271" s="2" t="s">
        <v>20</v>
      </c>
      <c r="I3271" s="2" t="s">
        <v>23</v>
      </c>
      <c r="J3271" s="2" t="n">
        <v>8</v>
      </c>
      <c r="K3271" s="2" t="s">
        <v>27</v>
      </c>
      <c r="L3271" s="2" t="n">
        <v>133</v>
      </c>
      <c r="M3271" s="2" t="n">
        <v>2</v>
      </c>
      <c r="N3271" s="2" t="n">
        <v>-1</v>
      </c>
      <c r="O3271" s="2" t="n">
        <v>0</v>
      </c>
      <c r="P3271" s="2" t="s">
        <v>23</v>
      </c>
      <c r="Q3271" s="2" t="s">
        <v>20</v>
      </c>
    </row>
    <row r="3272" customFormat="false" ht="15" hidden="false" customHeight="false" outlineLevel="0" collapsed="false">
      <c r="A3272" s="2" t="n">
        <v>35</v>
      </c>
      <c r="B3272" s="2" t="s">
        <v>34</v>
      </c>
      <c r="C3272" s="2" t="s">
        <v>18</v>
      </c>
      <c r="D3272" s="2" t="s">
        <v>25</v>
      </c>
      <c r="E3272" s="2" t="s">
        <v>20</v>
      </c>
      <c r="F3272" s="2" t="n">
        <v>262</v>
      </c>
      <c r="G3272" s="2" t="s">
        <v>20</v>
      </c>
      <c r="H3272" s="2" t="s">
        <v>20</v>
      </c>
      <c r="I3272" s="2" t="s">
        <v>21</v>
      </c>
      <c r="J3272" s="2" t="n">
        <v>2</v>
      </c>
      <c r="K3272" s="2" t="s">
        <v>44</v>
      </c>
      <c r="L3272" s="2" t="n">
        <v>96</v>
      </c>
      <c r="M3272" s="2" t="n">
        <v>2</v>
      </c>
      <c r="N3272" s="2" t="n">
        <v>109</v>
      </c>
      <c r="O3272" s="2" t="n">
        <v>4</v>
      </c>
      <c r="P3272" s="2" t="s">
        <v>50</v>
      </c>
      <c r="Q3272" s="2" t="s">
        <v>20</v>
      </c>
    </row>
    <row r="3273" customFormat="false" ht="15" hidden="false" customHeight="false" outlineLevel="0" collapsed="false">
      <c r="A3273" s="2" t="n">
        <v>36</v>
      </c>
      <c r="B3273" s="2" t="s">
        <v>34</v>
      </c>
      <c r="C3273" s="2" t="s">
        <v>18</v>
      </c>
      <c r="D3273" s="2" t="s">
        <v>25</v>
      </c>
      <c r="E3273" s="2" t="s">
        <v>20</v>
      </c>
      <c r="F3273" s="2" t="n">
        <v>4438</v>
      </c>
      <c r="G3273" s="2" t="s">
        <v>26</v>
      </c>
      <c r="H3273" s="2" t="s">
        <v>20</v>
      </c>
      <c r="I3273" s="2" t="s">
        <v>23</v>
      </c>
      <c r="J3273" s="2" t="n">
        <v>20</v>
      </c>
      <c r="K3273" s="2" t="s">
        <v>27</v>
      </c>
      <c r="L3273" s="2" t="n">
        <v>446</v>
      </c>
      <c r="M3273" s="2" t="n">
        <v>1</v>
      </c>
      <c r="N3273" s="2" t="n">
        <v>-1</v>
      </c>
      <c r="O3273" s="2" t="n">
        <v>0</v>
      </c>
      <c r="P3273" s="2" t="s">
        <v>23</v>
      </c>
      <c r="Q3273" s="2" t="s">
        <v>26</v>
      </c>
    </row>
    <row r="3274" customFormat="false" ht="15" hidden="false" customHeight="false" outlineLevel="0" collapsed="false">
      <c r="A3274" s="2" t="n">
        <v>44</v>
      </c>
      <c r="B3274" s="2" t="s">
        <v>24</v>
      </c>
      <c r="C3274" s="2" t="s">
        <v>30</v>
      </c>
      <c r="D3274" s="2" t="s">
        <v>25</v>
      </c>
      <c r="E3274" s="2" t="s">
        <v>20</v>
      </c>
      <c r="F3274" s="2" t="n">
        <v>5045</v>
      </c>
      <c r="G3274" s="2" t="s">
        <v>26</v>
      </c>
      <c r="H3274" s="2" t="s">
        <v>20</v>
      </c>
      <c r="I3274" s="2" t="s">
        <v>21</v>
      </c>
      <c r="J3274" s="2" t="n">
        <v>21</v>
      </c>
      <c r="K3274" s="2" t="s">
        <v>46</v>
      </c>
      <c r="L3274" s="2" t="n">
        <v>20</v>
      </c>
      <c r="M3274" s="2" t="n">
        <v>6</v>
      </c>
      <c r="N3274" s="2" t="n">
        <v>175</v>
      </c>
      <c r="O3274" s="2" t="n">
        <v>15</v>
      </c>
      <c r="P3274" s="2" t="s">
        <v>37</v>
      </c>
      <c r="Q3274" s="2" t="s">
        <v>20</v>
      </c>
    </row>
    <row r="3275" customFormat="false" ht="15" hidden="false" customHeight="false" outlineLevel="0" collapsed="false">
      <c r="A3275" s="2" t="n">
        <v>32</v>
      </c>
      <c r="B3275" s="2" t="s">
        <v>34</v>
      </c>
      <c r="C3275" s="2" t="s">
        <v>30</v>
      </c>
      <c r="D3275" s="2" t="s">
        <v>31</v>
      </c>
      <c r="E3275" s="2" t="s">
        <v>20</v>
      </c>
      <c r="F3275" s="2" t="n">
        <v>3014</v>
      </c>
      <c r="G3275" s="2" t="s">
        <v>26</v>
      </c>
      <c r="H3275" s="2" t="s">
        <v>20</v>
      </c>
      <c r="I3275" s="2" t="s">
        <v>21</v>
      </c>
      <c r="J3275" s="2" t="n">
        <v>7</v>
      </c>
      <c r="K3275" s="2" t="s">
        <v>27</v>
      </c>
      <c r="L3275" s="2" t="n">
        <v>291</v>
      </c>
      <c r="M3275" s="2" t="n">
        <v>2</v>
      </c>
      <c r="N3275" s="2" t="n">
        <v>-1</v>
      </c>
      <c r="O3275" s="2" t="n">
        <v>0</v>
      </c>
      <c r="P3275" s="2" t="s">
        <v>23</v>
      </c>
      <c r="Q3275" s="2" t="s">
        <v>20</v>
      </c>
    </row>
    <row r="3276" customFormat="false" ht="15" hidden="false" customHeight="false" outlineLevel="0" collapsed="false">
      <c r="A3276" s="2" t="n">
        <v>56</v>
      </c>
      <c r="B3276" s="2" t="s">
        <v>29</v>
      </c>
      <c r="C3276" s="2" t="s">
        <v>18</v>
      </c>
      <c r="D3276" s="2" t="s">
        <v>31</v>
      </c>
      <c r="E3276" s="2" t="s">
        <v>20</v>
      </c>
      <c r="F3276" s="2" t="n">
        <v>21664</v>
      </c>
      <c r="G3276" s="2" t="s">
        <v>20</v>
      </c>
      <c r="H3276" s="2" t="s">
        <v>20</v>
      </c>
      <c r="I3276" s="2" t="s">
        <v>23</v>
      </c>
      <c r="J3276" s="2" t="n">
        <v>17</v>
      </c>
      <c r="K3276" s="2" t="s">
        <v>33</v>
      </c>
      <c r="L3276" s="2" t="n">
        <v>214</v>
      </c>
      <c r="M3276" s="2" t="n">
        <v>8</v>
      </c>
      <c r="N3276" s="2" t="n">
        <v>-1</v>
      </c>
      <c r="O3276" s="2" t="n">
        <v>0</v>
      </c>
      <c r="P3276" s="2" t="s">
        <v>23</v>
      </c>
      <c r="Q3276" s="2" t="s">
        <v>20</v>
      </c>
    </row>
    <row r="3277" customFormat="false" ht="15" hidden="false" customHeight="false" outlineLevel="0" collapsed="false">
      <c r="A3277" s="2" t="n">
        <v>32</v>
      </c>
      <c r="B3277" s="2" t="s">
        <v>29</v>
      </c>
      <c r="C3277" s="2" t="s">
        <v>18</v>
      </c>
      <c r="D3277" s="2" t="s">
        <v>31</v>
      </c>
      <c r="E3277" s="2" t="s">
        <v>20</v>
      </c>
      <c r="F3277" s="2" t="n">
        <v>5878</v>
      </c>
      <c r="G3277" s="2" t="s">
        <v>20</v>
      </c>
      <c r="H3277" s="2" t="s">
        <v>20</v>
      </c>
      <c r="I3277" s="2" t="s">
        <v>21</v>
      </c>
      <c r="J3277" s="2" t="n">
        <v>19</v>
      </c>
      <c r="K3277" s="2" t="s">
        <v>41</v>
      </c>
      <c r="L3277" s="2" t="n">
        <v>159</v>
      </c>
      <c r="M3277" s="2" t="n">
        <v>2</v>
      </c>
      <c r="N3277" s="2" t="n">
        <v>-1</v>
      </c>
      <c r="O3277" s="2" t="n">
        <v>0</v>
      </c>
      <c r="P3277" s="2" t="s">
        <v>23</v>
      </c>
      <c r="Q3277" s="2" t="s">
        <v>20</v>
      </c>
    </row>
    <row r="3278" customFormat="false" ht="15" hidden="false" customHeight="false" outlineLevel="0" collapsed="false">
      <c r="A3278" s="2" t="n">
        <v>35</v>
      </c>
      <c r="B3278" s="2" t="s">
        <v>39</v>
      </c>
      <c r="C3278" s="2" t="s">
        <v>18</v>
      </c>
      <c r="D3278" s="2" t="s">
        <v>31</v>
      </c>
      <c r="E3278" s="2" t="s">
        <v>20</v>
      </c>
      <c r="F3278" s="2" t="n">
        <v>2723</v>
      </c>
      <c r="G3278" s="2" t="s">
        <v>26</v>
      </c>
      <c r="H3278" s="2" t="s">
        <v>26</v>
      </c>
      <c r="I3278" s="2" t="s">
        <v>21</v>
      </c>
      <c r="J3278" s="2" t="n">
        <v>8</v>
      </c>
      <c r="K3278" s="2" t="s">
        <v>41</v>
      </c>
      <c r="L3278" s="2" t="n">
        <v>275</v>
      </c>
      <c r="M3278" s="2" t="n">
        <v>4</v>
      </c>
      <c r="N3278" s="2" t="n">
        <v>-1</v>
      </c>
      <c r="O3278" s="2" t="n">
        <v>0</v>
      </c>
      <c r="P3278" s="2" t="s">
        <v>23</v>
      </c>
      <c r="Q3278" s="2" t="s">
        <v>20</v>
      </c>
    </row>
    <row r="3279" customFormat="false" ht="15" hidden="false" customHeight="false" outlineLevel="0" collapsed="false">
      <c r="A3279" s="2" t="n">
        <v>44</v>
      </c>
      <c r="B3279" s="2" t="s">
        <v>29</v>
      </c>
      <c r="C3279" s="2" t="s">
        <v>18</v>
      </c>
      <c r="D3279" s="2" t="s">
        <v>25</v>
      </c>
      <c r="E3279" s="2" t="s">
        <v>20</v>
      </c>
      <c r="F3279" s="2" t="n">
        <v>576</v>
      </c>
      <c r="G3279" s="2" t="s">
        <v>26</v>
      </c>
      <c r="H3279" s="2" t="s">
        <v>20</v>
      </c>
      <c r="I3279" s="2" t="s">
        <v>23</v>
      </c>
      <c r="J3279" s="2" t="n">
        <v>8</v>
      </c>
      <c r="K3279" s="2" t="s">
        <v>27</v>
      </c>
      <c r="L3279" s="2" t="n">
        <v>128</v>
      </c>
      <c r="M3279" s="2" t="n">
        <v>3</v>
      </c>
      <c r="N3279" s="2" t="n">
        <v>-1</v>
      </c>
      <c r="O3279" s="2" t="n">
        <v>0</v>
      </c>
      <c r="P3279" s="2" t="s">
        <v>23</v>
      </c>
      <c r="Q3279" s="2" t="s">
        <v>20</v>
      </c>
    </row>
    <row r="3280" customFormat="false" ht="15" hidden="false" customHeight="false" outlineLevel="0" collapsed="false">
      <c r="A3280" s="2" t="n">
        <v>59</v>
      </c>
      <c r="B3280" s="2" t="s">
        <v>39</v>
      </c>
      <c r="C3280" s="2" t="s">
        <v>18</v>
      </c>
      <c r="D3280" s="2" t="s">
        <v>19</v>
      </c>
      <c r="E3280" s="2" t="s">
        <v>20</v>
      </c>
      <c r="F3280" s="2" t="n">
        <v>0</v>
      </c>
      <c r="G3280" s="2" t="s">
        <v>20</v>
      </c>
      <c r="H3280" s="2" t="s">
        <v>20</v>
      </c>
      <c r="I3280" s="2" t="s">
        <v>49</v>
      </c>
      <c r="J3280" s="2" t="n">
        <v>19</v>
      </c>
      <c r="K3280" s="2" t="s">
        <v>46</v>
      </c>
      <c r="L3280" s="2" t="n">
        <v>207</v>
      </c>
      <c r="M3280" s="2" t="n">
        <v>2</v>
      </c>
      <c r="N3280" s="2" t="n">
        <v>153</v>
      </c>
      <c r="O3280" s="2" t="n">
        <v>1</v>
      </c>
      <c r="P3280" s="2" t="s">
        <v>28</v>
      </c>
      <c r="Q3280" s="2" t="s">
        <v>20</v>
      </c>
    </row>
    <row r="3281" customFormat="false" ht="15" hidden="false" customHeight="false" outlineLevel="0" collapsed="false">
      <c r="A3281" s="2" t="n">
        <v>31</v>
      </c>
      <c r="B3281" s="2" t="s">
        <v>34</v>
      </c>
      <c r="C3281" s="2" t="s">
        <v>30</v>
      </c>
      <c r="D3281" s="2" t="s">
        <v>31</v>
      </c>
      <c r="E3281" s="2" t="s">
        <v>20</v>
      </c>
      <c r="F3281" s="2" t="n">
        <v>2197</v>
      </c>
      <c r="G3281" s="2" t="s">
        <v>26</v>
      </c>
      <c r="H3281" s="2" t="s">
        <v>20</v>
      </c>
      <c r="I3281" s="2" t="s">
        <v>23</v>
      </c>
      <c r="J3281" s="2" t="n">
        <v>23</v>
      </c>
      <c r="K3281" s="2" t="s">
        <v>27</v>
      </c>
      <c r="L3281" s="2" t="n">
        <v>146</v>
      </c>
      <c r="M3281" s="2" t="n">
        <v>3</v>
      </c>
      <c r="N3281" s="2" t="n">
        <v>-1</v>
      </c>
      <c r="O3281" s="2" t="n">
        <v>0</v>
      </c>
      <c r="P3281" s="2" t="s">
        <v>23</v>
      </c>
      <c r="Q3281" s="2" t="s">
        <v>20</v>
      </c>
    </row>
    <row r="3282" customFormat="false" ht="15" hidden="false" customHeight="false" outlineLevel="0" collapsed="false">
      <c r="A3282" s="2" t="n">
        <v>60</v>
      </c>
      <c r="B3282" s="2" t="s">
        <v>34</v>
      </c>
      <c r="C3282" s="2" t="s">
        <v>18</v>
      </c>
      <c r="D3282" s="2" t="s">
        <v>23</v>
      </c>
      <c r="E3282" s="2" t="s">
        <v>20</v>
      </c>
      <c r="F3282" s="2" t="n">
        <v>104</v>
      </c>
      <c r="G3282" s="2" t="s">
        <v>26</v>
      </c>
      <c r="H3282" s="2" t="s">
        <v>20</v>
      </c>
      <c r="I3282" s="2" t="s">
        <v>23</v>
      </c>
      <c r="J3282" s="2" t="n">
        <v>5</v>
      </c>
      <c r="K3282" s="2" t="s">
        <v>27</v>
      </c>
      <c r="L3282" s="2" t="n">
        <v>22</v>
      </c>
      <c r="M3282" s="2" t="n">
        <v>1</v>
      </c>
      <c r="N3282" s="2" t="n">
        <v>-1</v>
      </c>
      <c r="O3282" s="2" t="n">
        <v>0</v>
      </c>
      <c r="P3282" s="2" t="s">
        <v>23</v>
      </c>
      <c r="Q3282" s="2" t="s">
        <v>20</v>
      </c>
    </row>
    <row r="3283" customFormat="false" ht="15" hidden="false" customHeight="false" outlineLevel="0" collapsed="false">
      <c r="A3283" s="2" t="n">
        <v>33</v>
      </c>
      <c r="B3283" s="2" t="s">
        <v>38</v>
      </c>
      <c r="C3283" s="2" t="s">
        <v>30</v>
      </c>
      <c r="D3283" s="2" t="s">
        <v>25</v>
      </c>
      <c r="E3283" s="2" t="s">
        <v>20</v>
      </c>
      <c r="F3283" s="2" t="n">
        <v>1279</v>
      </c>
      <c r="G3283" s="2" t="s">
        <v>26</v>
      </c>
      <c r="H3283" s="2" t="s">
        <v>20</v>
      </c>
      <c r="I3283" s="2" t="s">
        <v>21</v>
      </c>
      <c r="J3283" s="2" t="n">
        <v>18</v>
      </c>
      <c r="K3283" s="2" t="s">
        <v>27</v>
      </c>
      <c r="L3283" s="2" t="n">
        <v>239</v>
      </c>
      <c r="M3283" s="2" t="n">
        <v>2</v>
      </c>
      <c r="N3283" s="2" t="n">
        <v>349</v>
      </c>
      <c r="O3283" s="2" t="n">
        <v>3</v>
      </c>
      <c r="P3283" s="2" t="s">
        <v>50</v>
      </c>
      <c r="Q3283" s="2" t="s">
        <v>20</v>
      </c>
    </row>
    <row r="3284" customFormat="false" ht="15" hidden="false" customHeight="false" outlineLevel="0" collapsed="false">
      <c r="A3284" s="2" t="n">
        <v>45</v>
      </c>
      <c r="B3284" s="2" t="s">
        <v>40</v>
      </c>
      <c r="C3284" s="2" t="s">
        <v>18</v>
      </c>
      <c r="D3284" s="2" t="s">
        <v>25</v>
      </c>
      <c r="E3284" s="2" t="s">
        <v>20</v>
      </c>
      <c r="F3284" s="2" t="n">
        <v>295</v>
      </c>
      <c r="G3284" s="2" t="s">
        <v>26</v>
      </c>
      <c r="H3284" s="2" t="s">
        <v>20</v>
      </c>
      <c r="I3284" s="2" t="s">
        <v>21</v>
      </c>
      <c r="J3284" s="2" t="n">
        <v>23</v>
      </c>
      <c r="K3284" s="2" t="s">
        <v>44</v>
      </c>
      <c r="L3284" s="2" t="n">
        <v>92</v>
      </c>
      <c r="M3284" s="2" t="n">
        <v>1</v>
      </c>
      <c r="N3284" s="2" t="n">
        <v>-1</v>
      </c>
      <c r="O3284" s="2" t="n">
        <v>0</v>
      </c>
      <c r="P3284" s="2" t="s">
        <v>23</v>
      </c>
      <c r="Q3284" s="2" t="s">
        <v>20</v>
      </c>
    </row>
    <row r="3285" customFormat="false" ht="15" hidden="false" customHeight="false" outlineLevel="0" collapsed="false">
      <c r="A3285" s="2" t="n">
        <v>45</v>
      </c>
      <c r="B3285" s="2" t="s">
        <v>34</v>
      </c>
      <c r="C3285" s="2" t="s">
        <v>18</v>
      </c>
      <c r="D3285" s="2" t="s">
        <v>19</v>
      </c>
      <c r="E3285" s="2" t="s">
        <v>20</v>
      </c>
      <c r="F3285" s="2" t="n">
        <v>2128</v>
      </c>
      <c r="G3285" s="2" t="s">
        <v>26</v>
      </c>
      <c r="H3285" s="2" t="s">
        <v>20</v>
      </c>
      <c r="I3285" s="2" t="s">
        <v>23</v>
      </c>
      <c r="J3285" s="2" t="n">
        <v>19</v>
      </c>
      <c r="K3285" s="2" t="s">
        <v>27</v>
      </c>
      <c r="L3285" s="2" t="n">
        <v>149</v>
      </c>
      <c r="M3285" s="2" t="n">
        <v>4</v>
      </c>
      <c r="N3285" s="2" t="n">
        <v>-1</v>
      </c>
      <c r="O3285" s="2" t="n">
        <v>0</v>
      </c>
      <c r="P3285" s="2" t="s">
        <v>23</v>
      </c>
      <c r="Q3285" s="2" t="s">
        <v>20</v>
      </c>
    </row>
    <row r="3286" customFormat="false" ht="15" hidden="false" customHeight="false" outlineLevel="0" collapsed="false">
      <c r="A3286" s="2" t="n">
        <v>57</v>
      </c>
      <c r="B3286" s="2" t="s">
        <v>40</v>
      </c>
      <c r="C3286" s="2" t="s">
        <v>18</v>
      </c>
      <c r="D3286" s="2" t="s">
        <v>25</v>
      </c>
      <c r="E3286" s="2" t="s">
        <v>20</v>
      </c>
      <c r="F3286" s="2" t="n">
        <v>367</v>
      </c>
      <c r="G3286" s="2" t="s">
        <v>20</v>
      </c>
      <c r="H3286" s="2" t="s">
        <v>20</v>
      </c>
      <c r="I3286" s="2" t="s">
        <v>49</v>
      </c>
      <c r="J3286" s="2" t="n">
        <v>16</v>
      </c>
      <c r="K3286" s="2" t="s">
        <v>46</v>
      </c>
      <c r="L3286" s="2" t="n">
        <v>107</v>
      </c>
      <c r="M3286" s="2" t="n">
        <v>2</v>
      </c>
      <c r="N3286" s="2" t="n">
        <v>-1</v>
      </c>
      <c r="O3286" s="2" t="n">
        <v>0</v>
      </c>
      <c r="P3286" s="2" t="s">
        <v>23</v>
      </c>
      <c r="Q3286" s="2" t="s">
        <v>20</v>
      </c>
    </row>
    <row r="3287" customFormat="false" ht="15" hidden="false" customHeight="false" outlineLevel="0" collapsed="false">
      <c r="A3287" s="2" t="n">
        <v>36</v>
      </c>
      <c r="B3287" s="2" t="s">
        <v>29</v>
      </c>
      <c r="C3287" s="2" t="s">
        <v>18</v>
      </c>
      <c r="D3287" s="2" t="s">
        <v>31</v>
      </c>
      <c r="E3287" s="2" t="s">
        <v>20</v>
      </c>
      <c r="F3287" s="2" t="n">
        <v>1477</v>
      </c>
      <c r="G3287" s="2" t="s">
        <v>20</v>
      </c>
      <c r="H3287" s="2" t="s">
        <v>20</v>
      </c>
      <c r="I3287" s="2" t="s">
        <v>21</v>
      </c>
      <c r="J3287" s="2" t="n">
        <v>7</v>
      </c>
      <c r="K3287" s="2" t="s">
        <v>41</v>
      </c>
      <c r="L3287" s="2" t="n">
        <v>71</v>
      </c>
      <c r="M3287" s="2" t="n">
        <v>2</v>
      </c>
      <c r="N3287" s="2" t="n">
        <v>-1</v>
      </c>
      <c r="O3287" s="2" t="n">
        <v>0</v>
      </c>
      <c r="P3287" s="2" t="s">
        <v>23</v>
      </c>
      <c r="Q3287" s="2" t="s">
        <v>20</v>
      </c>
    </row>
    <row r="3288" customFormat="false" ht="15" hidden="false" customHeight="false" outlineLevel="0" collapsed="false">
      <c r="A3288" s="2" t="n">
        <v>30</v>
      </c>
      <c r="B3288" s="2" t="s">
        <v>34</v>
      </c>
      <c r="C3288" s="2" t="s">
        <v>30</v>
      </c>
      <c r="D3288" s="2" t="s">
        <v>19</v>
      </c>
      <c r="E3288" s="2" t="s">
        <v>20</v>
      </c>
      <c r="F3288" s="2" t="n">
        <v>71</v>
      </c>
      <c r="G3288" s="2" t="s">
        <v>26</v>
      </c>
      <c r="H3288" s="2" t="s">
        <v>20</v>
      </c>
      <c r="I3288" s="2" t="s">
        <v>23</v>
      </c>
      <c r="J3288" s="2" t="n">
        <v>19</v>
      </c>
      <c r="K3288" s="2" t="s">
        <v>27</v>
      </c>
      <c r="L3288" s="2" t="n">
        <v>122</v>
      </c>
      <c r="M3288" s="2" t="n">
        <v>6</v>
      </c>
      <c r="N3288" s="2" t="n">
        <v>-1</v>
      </c>
      <c r="O3288" s="2" t="n">
        <v>0</v>
      </c>
      <c r="P3288" s="2" t="s">
        <v>23</v>
      </c>
      <c r="Q3288" s="2" t="s">
        <v>20</v>
      </c>
    </row>
    <row r="3289" customFormat="false" ht="15" hidden="false" customHeight="false" outlineLevel="0" collapsed="false">
      <c r="A3289" s="2" t="n">
        <v>30</v>
      </c>
      <c r="B3289" s="2" t="s">
        <v>40</v>
      </c>
      <c r="C3289" s="2" t="s">
        <v>30</v>
      </c>
      <c r="D3289" s="2" t="s">
        <v>25</v>
      </c>
      <c r="E3289" s="2" t="s">
        <v>20</v>
      </c>
      <c r="F3289" s="2" t="n">
        <v>127</v>
      </c>
      <c r="G3289" s="2" t="s">
        <v>26</v>
      </c>
      <c r="H3289" s="2" t="s">
        <v>20</v>
      </c>
      <c r="I3289" s="2" t="s">
        <v>21</v>
      </c>
      <c r="J3289" s="2" t="n">
        <v>18</v>
      </c>
      <c r="K3289" s="2" t="s">
        <v>27</v>
      </c>
      <c r="L3289" s="2" t="n">
        <v>16</v>
      </c>
      <c r="M3289" s="2" t="n">
        <v>6</v>
      </c>
      <c r="N3289" s="2" t="n">
        <v>368</v>
      </c>
      <c r="O3289" s="2" t="n">
        <v>1</v>
      </c>
      <c r="P3289" s="2" t="s">
        <v>37</v>
      </c>
      <c r="Q3289" s="2" t="s">
        <v>20</v>
      </c>
    </row>
    <row r="3290" customFormat="false" ht="15" hidden="false" customHeight="false" outlineLevel="0" collapsed="false">
      <c r="A3290" s="2" t="n">
        <v>59</v>
      </c>
      <c r="B3290" s="2" t="s">
        <v>17</v>
      </c>
      <c r="C3290" s="2" t="s">
        <v>45</v>
      </c>
      <c r="D3290" s="2" t="s">
        <v>25</v>
      </c>
      <c r="E3290" s="2" t="s">
        <v>20</v>
      </c>
      <c r="F3290" s="2" t="n">
        <v>2921</v>
      </c>
      <c r="G3290" s="2" t="s">
        <v>20</v>
      </c>
      <c r="H3290" s="2" t="s">
        <v>20</v>
      </c>
      <c r="I3290" s="2" t="s">
        <v>49</v>
      </c>
      <c r="J3290" s="2" t="n">
        <v>3</v>
      </c>
      <c r="K3290" s="2" t="s">
        <v>35</v>
      </c>
      <c r="L3290" s="2" t="n">
        <v>251</v>
      </c>
      <c r="M3290" s="2" t="n">
        <v>1</v>
      </c>
      <c r="N3290" s="2" t="n">
        <v>-1</v>
      </c>
      <c r="O3290" s="2" t="n">
        <v>0</v>
      </c>
      <c r="P3290" s="2" t="s">
        <v>23</v>
      </c>
      <c r="Q3290" s="2" t="s">
        <v>20</v>
      </c>
    </row>
    <row r="3291" customFormat="false" ht="15" hidden="false" customHeight="false" outlineLevel="0" collapsed="false">
      <c r="A3291" s="2" t="n">
        <v>58</v>
      </c>
      <c r="B3291" s="2" t="s">
        <v>29</v>
      </c>
      <c r="C3291" s="2" t="s">
        <v>18</v>
      </c>
      <c r="D3291" s="2" t="s">
        <v>31</v>
      </c>
      <c r="E3291" s="2" t="s">
        <v>20</v>
      </c>
      <c r="F3291" s="2" t="n">
        <v>16264</v>
      </c>
      <c r="G3291" s="2" t="s">
        <v>20</v>
      </c>
      <c r="H3291" s="2" t="s">
        <v>20</v>
      </c>
      <c r="I3291" s="2" t="s">
        <v>49</v>
      </c>
      <c r="J3291" s="2" t="n">
        <v>17</v>
      </c>
      <c r="K3291" s="2" t="s">
        <v>46</v>
      </c>
      <c r="L3291" s="2" t="n">
        <v>215</v>
      </c>
      <c r="M3291" s="2" t="n">
        <v>3</v>
      </c>
      <c r="N3291" s="2" t="n">
        <v>-1</v>
      </c>
      <c r="O3291" s="2" t="n">
        <v>0</v>
      </c>
      <c r="P3291" s="2" t="s">
        <v>23</v>
      </c>
      <c r="Q3291" s="2" t="s">
        <v>20</v>
      </c>
    </row>
    <row r="3292" customFormat="false" ht="15" hidden="false" customHeight="false" outlineLevel="0" collapsed="false">
      <c r="A3292" s="2" t="n">
        <v>49</v>
      </c>
      <c r="B3292" s="2" t="s">
        <v>48</v>
      </c>
      <c r="C3292" s="2" t="s">
        <v>18</v>
      </c>
      <c r="D3292" s="2" t="s">
        <v>19</v>
      </c>
      <c r="E3292" s="2" t="s">
        <v>20</v>
      </c>
      <c r="F3292" s="2" t="n">
        <v>1672</v>
      </c>
      <c r="G3292" s="2" t="s">
        <v>20</v>
      </c>
      <c r="H3292" s="2" t="s">
        <v>20</v>
      </c>
      <c r="I3292" s="2" t="s">
        <v>21</v>
      </c>
      <c r="J3292" s="2" t="n">
        <v>17</v>
      </c>
      <c r="K3292" s="2" t="s">
        <v>44</v>
      </c>
      <c r="L3292" s="2" t="n">
        <v>128</v>
      </c>
      <c r="M3292" s="2" t="n">
        <v>3</v>
      </c>
      <c r="N3292" s="2" t="n">
        <v>-1</v>
      </c>
      <c r="O3292" s="2" t="n">
        <v>0</v>
      </c>
      <c r="P3292" s="2" t="s">
        <v>23</v>
      </c>
      <c r="Q3292" s="2" t="s">
        <v>20</v>
      </c>
    </row>
    <row r="3293" customFormat="false" ht="15" hidden="false" customHeight="false" outlineLevel="0" collapsed="false">
      <c r="A3293" s="2" t="n">
        <v>48</v>
      </c>
      <c r="B3293" s="2" t="s">
        <v>38</v>
      </c>
      <c r="C3293" s="2" t="s">
        <v>18</v>
      </c>
      <c r="D3293" s="2" t="s">
        <v>31</v>
      </c>
      <c r="E3293" s="2" t="s">
        <v>20</v>
      </c>
      <c r="F3293" s="2" t="n">
        <v>9207</v>
      </c>
      <c r="G3293" s="2" t="s">
        <v>20</v>
      </c>
      <c r="H3293" s="2" t="s">
        <v>20</v>
      </c>
      <c r="I3293" s="2" t="s">
        <v>21</v>
      </c>
      <c r="J3293" s="2" t="n">
        <v>18</v>
      </c>
      <c r="K3293" s="2" t="s">
        <v>41</v>
      </c>
      <c r="L3293" s="2" t="n">
        <v>445</v>
      </c>
      <c r="M3293" s="2" t="n">
        <v>3</v>
      </c>
      <c r="N3293" s="2" t="n">
        <v>-1</v>
      </c>
      <c r="O3293" s="2" t="n">
        <v>0</v>
      </c>
      <c r="P3293" s="2" t="s">
        <v>23</v>
      </c>
      <c r="Q3293" s="2" t="s">
        <v>20</v>
      </c>
    </row>
    <row r="3294" customFormat="false" ht="15" hidden="false" customHeight="false" outlineLevel="0" collapsed="false">
      <c r="A3294" s="2" t="n">
        <v>28</v>
      </c>
      <c r="B3294" s="2" t="s">
        <v>38</v>
      </c>
      <c r="C3294" s="2" t="s">
        <v>30</v>
      </c>
      <c r="D3294" s="2" t="s">
        <v>31</v>
      </c>
      <c r="E3294" s="2" t="s">
        <v>20</v>
      </c>
      <c r="F3294" s="2" t="n">
        <v>356</v>
      </c>
      <c r="G3294" s="2" t="s">
        <v>20</v>
      </c>
      <c r="H3294" s="2" t="s">
        <v>20</v>
      </c>
      <c r="I3294" s="2" t="s">
        <v>21</v>
      </c>
      <c r="J3294" s="2" t="n">
        <v>2</v>
      </c>
      <c r="K3294" s="2" t="s">
        <v>52</v>
      </c>
      <c r="L3294" s="2" t="n">
        <v>76</v>
      </c>
      <c r="M3294" s="2" t="n">
        <v>2</v>
      </c>
      <c r="N3294" s="2" t="n">
        <v>-1</v>
      </c>
      <c r="O3294" s="2" t="n">
        <v>0</v>
      </c>
      <c r="P3294" s="2" t="s">
        <v>23</v>
      </c>
      <c r="Q3294" s="2" t="s">
        <v>20</v>
      </c>
    </row>
    <row r="3295" customFormat="false" ht="15" hidden="false" customHeight="false" outlineLevel="0" collapsed="false">
      <c r="A3295" s="2" t="n">
        <v>59</v>
      </c>
      <c r="B3295" s="2" t="s">
        <v>29</v>
      </c>
      <c r="C3295" s="2" t="s">
        <v>45</v>
      </c>
      <c r="D3295" s="2" t="s">
        <v>19</v>
      </c>
      <c r="E3295" s="2" t="s">
        <v>20</v>
      </c>
      <c r="F3295" s="2" t="n">
        <v>133</v>
      </c>
      <c r="G3295" s="2" t="s">
        <v>26</v>
      </c>
      <c r="H3295" s="2" t="s">
        <v>20</v>
      </c>
      <c r="I3295" s="2" t="s">
        <v>21</v>
      </c>
      <c r="J3295" s="2" t="n">
        <v>9</v>
      </c>
      <c r="K3295" s="2" t="s">
        <v>44</v>
      </c>
      <c r="L3295" s="2" t="n">
        <v>206</v>
      </c>
      <c r="M3295" s="2" t="n">
        <v>1</v>
      </c>
      <c r="N3295" s="2" t="n">
        <v>-1</v>
      </c>
      <c r="O3295" s="2" t="n">
        <v>0</v>
      </c>
      <c r="P3295" s="2" t="s">
        <v>23</v>
      </c>
      <c r="Q3295" s="2" t="s">
        <v>20</v>
      </c>
    </row>
    <row r="3296" customFormat="false" ht="15" hidden="false" customHeight="false" outlineLevel="0" collapsed="false">
      <c r="A3296" s="2" t="n">
        <v>40</v>
      </c>
      <c r="B3296" s="2" t="s">
        <v>29</v>
      </c>
      <c r="C3296" s="2" t="s">
        <v>18</v>
      </c>
      <c r="D3296" s="2" t="s">
        <v>31</v>
      </c>
      <c r="E3296" s="2" t="s">
        <v>20</v>
      </c>
      <c r="F3296" s="2" t="n">
        <v>1217</v>
      </c>
      <c r="G3296" s="2" t="s">
        <v>26</v>
      </c>
      <c r="H3296" s="2" t="s">
        <v>26</v>
      </c>
      <c r="I3296" s="2" t="s">
        <v>21</v>
      </c>
      <c r="J3296" s="2" t="n">
        <v>18</v>
      </c>
      <c r="K3296" s="2" t="s">
        <v>46</v>
      </c>
      <c r="L3296" s="2" t="n">
        <v>155</v>
      </c>
      <c r="M3296" s="2" t="n">
        <v>1</v>
      </c>
      <c r="N3296" s="2" t="n">
        <v>-1</v>
      </c>
      <c r="O3296" s="2" t="n">
        <v>0</v>
      </c>
      <c r="P3296" s="2" t="s">
        <v>23</v>
      </c>
      <c r="Q3296" s="2" t="s">
        <v>20</v>
      </c>
    </row>
    <row r="3297" customFormat="false" ht="15" hidden="false" customHeight="false" outlineLevel="0" collapsed="false">
      <c r="A3297" s="2" t="n">
        <v>32</v>
      </c>
      <c r="B3297" s="2" t="s">
        <v>38</v>
      </c>
      <c r="C3297" s="2" t="s">
        <v>45</v>
      </c>
      <c r="D3297" s="2" t="s">
        <v>25</v>
      </c>
      <c r="E3297" s="2" t="s">
        <v>20</v>
      </c>
      <c r="F3297" s="2" t="n">
        <v>202</v>
      </c>
      <c r="G3297" s="2" t="s">
        <v>26</v>
      </c>
      <c r="H3297" s="2" t="s">
        <v>20</v>
      </c>
      <c r="I3297" s="2" t="s">
        <v>21</v>
      </c>
      <c r="J3297" s="2" t="n">
        <v>4</v>
      </c>
      <c r="K3297" s="2" t="s">
        <v>35</v>
      </c>
      <c r="L3297" s="2" t="n">
        <v>429</v>
      </c>
      <c r="M3297" s="2" t="n">
        <v>1</v>
      </c>
      <c r="N3297" s="2" t="n">
        <v>201</v>
      </c>
      <c r="O3297" s="2" t="n">
        <v>1</v>
      </c>
      <c r="P3297" s="2" t="s">
        <v>28</v>
      </c>
      <c r="Q3297" s="2" t="s">
        <v>20</v>
      </c>
    </row>
    <row r="3298" customFormat="false" ht="15" hidden="false" customHeight="false" outlineLevel="0" collapsed="false">
      <c r="A3298" s="2" t="n">
        <v>58</v>
      </c>
      <c r="B3298" s="2" t="s">
        <v>34</v>
      </c>
      <c r="C3298" s="2" t="s">
        <v>18</v>
      </c>
      <c r="D3298" s="2" t="s">
        <v>25</v>
      </c>
      <c r="E3298" s="2" t="s">
        <v>20</v>
      </c>
      <c r="F3298" s="2" t="n">
        <v>590</v>
      </c>
      <c r="G3298" s="2" t="s">
        <v>20</v>
      </c>
      <c r="H3298" s="2" t="s">
        <v>26</v>
      </c>
      <c r="I3298" s="2" t="s">
        <v>23</v>
      </c>
      <c r="J3298" s="2" t="n">
        <v>5</v>
      </c>
      <c r="K3298" s="2" t="s">
        <v>33</v>
      </c>
      <c r="L3298" s="2" t="n">
        <v>133</v>
      </c>
      <c r="M3298" s="2" t="n">
        <v>1</v>
      </c>
      <c r="N3298" s="2" t="n">
        <v>-1</v>
      </c>
      <c r="O3298" s="2" t="n">
        <v>0</v>
      </c>
      <c r="P3298" s="2" t="s">
        <v>23</v>
      </c>
      <c r="Q3298" s="2" t="s">
        <v>20</v>
      </c>
    </row>
    <row r="3299" customFormat="false" ht="15" hidden="false" customHeight="false" outlineLevel="0" collapsed="false">
      <c r="A3299" s="2" t="n">
        <v>28</v>
      </c>
      <c r="B3299" s="2" t="s">
        <v>36</v>
      </c>
      <c r="C3299" s="2" t="s">
        <v>30</v>
      </c>
      <c r="D3299" s="2" t="s">
        <v>31</v>
      </c>
      <c r="E3299" s="2" t="s">
        <v>20</v>
      </c>
      <c r="F3299" s="2" t="n">
        <v>442</v>
      </c>
      <c r="G3299" s="2" t="s">
        <v>20</v>
      </c>
      <c r="H3299" s="2" t="s">
        <v>20</v>
      </c>
      <c r="I3299" s="2" t="s">
        <v>21</v>
      </c>
      <c r="J3299" s="2" t="n">
        <v>19</v>
      </c>
      <c r="K3299" s="2" t="s">
        <v>33</v>
      </c>
      <c r="L3299" s="2" t="n">
        <v>474</v>
      </c>
      <c r="M3299" s="2" t="n">
        <v>3</v>
      </c>
      <c r="N3299" s="2" t="n">
        <v>95</v>
      </c>
      <c r="O3299" s="2" t="n">
        <v>3</v>
      </c>
      <c r="P3299" s="2" t="s">
        <v>37</v>
      </c>
      <c r="Q3299" s="2" t="s">
        <v>26</v>
      </c>
    </row>
    <row r="3300" customFormat="false" ht="15" hidden="false" customHeight="false" outlineLevel="0" collapsed="false">
      <c r="A3300" s="2" t="n">
        <v>27</v>
      </c>
      <c r="B3300" s="2" t="s">
        <v>38</v>
      </c>
      <c r="C3300" s="2" t="s">
        <v>30</v>
      </c>
      <c r="D3300" s="2" t="s">
        <v>31</v>
      </c>
      <c r="E3300" s="2" t="s">
        <v>20</v>
      </c>
      <c r="F3300" s="2" t="n">
        <v>808</v>
      </c>
      <c r="G3300" s="2" t="s">
        <v>26</v>
      </c>
      <c r="H3300" s="2" t="s">
        <v>20</v>
      </c>
      <c r="I3300" s="2" t="s">
        <v>21</v>
      </c>
      <c r="J3300" s="2" t="n">
        <v>15</v>
      </c>
      <c r="K3300" s="2" t="s">
        <v>27</v>
      </c>
      <c r="L3300" s="2" t="n">
        <v>578</v>
      </c>
      <c r="M3300" s="2" t="n">
        <v>1</v>
      </c>
      <c r="N3300" s="2" t="n">
        <v>364</v>
      </c>
      <c r="O3300" s="2" t="n">
        <v>1</v>
      </c>
      <c r="P3300" s="2" t="s">
        <v>37</v>
      </c>
      <c r="Q3300" s="2" t="s">
        <v>20</v>
      </c>
    </row>
    <row r="3301" customFormat="false" ht="15" hidden="false" customHeight="false" outlineLevel="0" collapsed="false">
      <c r="A3301" s="2" t="n">
        <v>38</v>
      </c>
      <c r="B3301" s="2" t="s">
        <v>29</v>
      </c>
      <c r="C3301" s="2" t="s">
        <v>30</v>
      </c>
      <c r="D3301" s="2" t="s">
        <v>31</v>
      </c>
      <c r="E3301" s="2" t="s">
        <v>20</v>
      </c>
      <c r="F3301" s="2" t="n">
        <v>427</v>
      </c>
      <c r="G3301" s="2" t="s">
        <v>26</v>
      </c>
      <c r="H3301" s="2" t="s">
        <v>20</v>
      </c>
      <c r="I3301" s="2" t="s">
        <v>21</v>
      </c>
      <c r="J3301" s="2" t="n">
        <v>6</v>
      </c>
      <c r="K3301" s="2" t="s">
        <v>27</v>
      </c>
      <c r="L3301" s="2" t="n">
        <v>17</v>
      </c>
      <c r="M3301" s="2" t="n">
        <v>3</v>
      </c>
      <c r="N3301" s="2" t="n">
        <v>169</v>
      </c>
      <c r="O3301" s="2" t="n">
        <v>2</v>
      </c>
      <c r="P3301" s="2" t="s">
        <v>28</v>
      </c>
      <c r="Q3301" s="2" t="s">
        <v>20</v>
      </c>
    </row>
    <row r="3302" customFormat="false" ht="15" hidden="false" customHeight="false" outlineLevel="0" collapsed="false">
      <c r="A3302" s="2" t="n">
        <v>53</v>
      </c>
      <c r="B3302" s="2" t="s">
        <v>38</v>
      </c>
      <c r="C3302" s="2" t="s">
        <v>18</v>
      </c>
      <c r="D3302" s="2" t="s">
        <v>31</v>
      </c>
      <c r="E3302" s="2" t="s">
        <v>20</v>
      </c>
      <c r="F3302" s="2" t="n">
        <v>431</v>
      </c>
      <c r="G3302" s="2" t="s">
        <v>26</v>
      </c>
      <c r="H3302" s="2" t="s">
        <v>20</v>
      </c>
      <c r="I3302" s="2" t="s">
        <v>23</v>
      </c>
      <c r="J3302" s="2" t="n">
        <v>11</v>
      </c>
      <c r="K3302" s="2" t="s">
        <v>33</v>
      </c>
      <c r="L3302" s="2" t="n">
        <v>74</v>
      </c>
      <c r="M3302" s="2" t="n">
        <v>1</v>
      </c>
      <c r="N3302" s="2" t="n">
        <v>-1</v>
      </c>
      <c r="O3302" s="2" t="n">
        <v>0</v>
      </c>
      <c r="P3302" s="2" t="s">
        <v>23</v>
      </c>
      <c r="Q3302" s="2" t="s">
        <v>20</v>
      </c>
    </row>
    <row r="3303" customFormat="false" ht="15" hidden="false" customHeight="false" outlineLevel="0" collapsed="false">
      <c r="A3303" s="2" t="n">
        <v>60</v>
      </c>
      <c r="B3303" s="2" t="s">
        <v>24</v>
      </c>
      <c r="C3303" s="2" t="s">
        <v>18</v>
      </c>
      <c r="D3303" s="2" t="s">
        <v>31</v>
      </c>
      <c r="E3303" s="2" t="s">
        <v>20</v>
      </c>
      <c r="F3303" s="2" t="n">
        <v>4256</v>
      </c>
      <c r="G3303" s="2" t="s">
        <v>26</v>
      </c>
      <c r="H3303" s="2" t="s">
        <v>20</v>
      </c>
      <c r="I3303" s="2" t="s">
        <v>21</v>
      </c>
      <c r="J3303" s="2" t="n">
        <v>16</v>
      </c>
      <c r="K3303" s="2" t="s">
        <v>41</v>
      </c>
      <c r="L3303" s="2" t="n">
        <v>239</v>
      </c>
      <c r="M3303" s="2" t="n">
        <v>3</v>
      </c>
      <c r="N3303" s="2" t="n">
        <v>761</v>
      </c>
      <c r="O3303" s="2" t="n">
        <v>1</v>
      </c>
      <c r="P3303" s="2" t="s">
        <v>37</v>
      </c>
      <c r="Q3303" s="2" t="s">
        <v>26</v>
      </c>
    </row>
    <row r="3304" customFormat="false" ht="15" hidden="false" customHeight="false" outlineLevel="0" collapsed="false">
      <c r="A3304" s="2" t="n">
        <v>33</v>
      </c>
      <c r="B3304" s="2" t="s">
        <v>29</v>
      </c>
      <c r="C3304" s="2" t="s">
        <v>45</v>
      </c>
      <c r="D3304" s="2" t="s">
        <v>31</v>
      </c>
      <c r="E3304" s="2" t="s">
        <v>20</v>
      </c>
      <c r="F3304" s="2" t="n">
        <v>0</v>
      </c>
      <c r="G3304" s="2" t="s">
        <v>26</v>
      </c>
      <c r="H3304" s="2" t="s">
        <v>26</v>
      </c>
      <c r="I3304" s="2" t="s">
        <v>21</v>
      </c>
      <c r="J3304" s="2" t="n">
        <v>19</v>
      </c>
      <c r="K3304" s="2" t="s">
        <v>41</v>
      </c>
      <c r="L3304" s="2" t="n">
        <v>275</v>
      </c>
      <c r="M3304" s="2" t="n">
        <v>8</v>
      </c>
      <c r="N3304" s="2" t="n">
        <v>-1</v>
      </c>
      <c r="O3304" s="2" t="n">
        <v>0</v>
      </c>
      <c r="P3304" s="2" t="s">
        <v>23</v>
      </c>
      <c r="Q3304" s="2" t="s">
        <v>20</v>
      </c>
    </row>
    <row r="3305" customFormat="false" ht="15" hidden="false" customHeight="false" outlineLevel="0" collapsed="false">
      <c r="A3305" s="2" t="n">
        <v>52</v>
      </c>
      <c r="B3305" s="2" t="s">
        <v>24</v>
      </c>
      <c r="C3305" s="2" t="s">
        <v>45</v>
      </c>
      <c r="D3305" s="2" t="s">
        <v>25</v>
      </c>
      <c r="E3305" s="2" t="s">
        <v>20</v>
      </c>
      <c r="F3305" s="2" t="n">
        <v>238</v>
      </c>
      <c r="G3305" s="2" t="s">
        <v>26</v>
      </c>
      <c r="H3305" s="2" t="s">
        <v>20</v>
      </c>
      <c r="I3305" s="2" t="s">
        <v>21</v>
      </c>
      <c r="J3305" s="2" t="n">
        <v>6</v>
      </c>
      <c r="K3305" s="2" t="s">
        <v>27</v>
      </c>
      <c r="L3305" s="2" t="n">
        <v>101</v>
      </c>
      <c r="M3305" s="2" t="n">
        <v>1</v>
      </c>
      <c r="N3305" s="2" t="n">
        <v>362</v>
      </c>
      <c r="O3305" s="2" t="n">
        <v>5</v>
      </c>
      <c r="P3305" s="2" t="s">
        <v>37</v>
      </c>
      <c r="Q3305" s="2" t="s">
        <v>20</v>
      </c>
    </row>
    <row r="3306" customFormat="false" ht="15" hidden="false" customHeight="false" outlineLevel="0" collapsed="false">
      <c r="A3306" s="2" t="n">
        <v>64</v>
      </c>
      <c r="B3306" s="2" t="s">
        <v>48</v>
      </c>
      <c r="C3306" s="2" t="s">
        <v>18</v>
      </c>
      <c r="D3306" s="2" t="s">
        <v>31</v>
      </c>
      <c r="E3306" s="2" t="s">
        <v>20</v>
      </c>
      <c r="F3306" s="2" t="n">
        <v>846</v>
      </c>
      <c r="G3306" s="2" t="s">
        <v>20</v>
      </c>
      <c r="H3306" s="2" t="s">
        <v>20</v>
      </c>
      <c r="I3306" s="2" t="s">
        <v>21</v>
      </c>
      <c r="J3306" s="2" t="n">
        <v>11</v>
      </c>
      <c r="K3306" s="2" t="s">
        <v>35</v>
      </c>
      <c r="L3306" s="2" t="n">
        <v>671</v>
      </c>
      <c r="M3306" s="2" t="n">
        <v>1</v>
      </c>
      <c r="N3306" s="2" t="n">
        <v>181</v>
      </c>
      <c r="O3306" s="2" t="n">
        <v>3</v>
      </c>
      <c r="P3306" s="2" t="s">
        <v>28</v>
      </c>
      <c r="Q3306" s="2" t="s">
        <v>26</v>
      </c>
    </row>
    <row r="3307" customFormat="false" ht="15" hidden="false" customHeight="false" outlineLevel="0" collapsed="false">
      <c r="A3307" s="2" t="n">
        <v>40</v>
      </c>
      <c r="B3307" s="2" t="s">
        <v>34</v>
      </c>
      <c r="C3307" s="2" t="s">
        <v>30</v>
      </c>
      <c r="D3307" s="2" t="s">
        <v>25</v>
      </c>
      <c r="E3307" s="2" t="s">
        <v>20</v>
      </c>
      <c r="F3307" s="2" t="n">
        <v>3</v>
      </c>
      <c r="G3307" s="2" t="s">
        <v>20</v>
      </c>
      <c r="H3307" s="2" t="s">
        <v>20</v>
      </c>
      <c r="I3307" s="2" t="s">
        <v>21</v>
      </c>
      <c r="J3307" s="2" t="n">
        <v>19</v>
      </c>
      <c r="K3307" s="2" t="s">
        <v>46</v>
      </c>
      <c r="L3307" s="2" t="n">
        <v>998</v>
      </c>
      <c r="M3307" s="2" t="n">
        <v>1</v>
      </c>
      <c r="N3307" s="2" t="n">
        <v>-1</v>
      </c>
      <c r="O3307" s="2" t="n">
        <v>0</v>
      </c>
      <c r="P3307" s="2" t="s">
        <v>23</v>
      </c>
      <c r="Q3307" s="2" t="s">
        <v>26</v>
      </c>
    </row>
    <row r="3308" customFormat="false" ht="15" hidden="false" customHeight="false" outlineLevel="0" collapsed="false">
      <c r="A3308" s="2" t="n">
        <v>52</v>
      </c>
      <c r="B3308" s="2" t="s">
        <v>40</v>
      </c>
      <c r="C3308" s="2" t="s">
        <v>18</v>
      </c>
      <c r="D3308" s="2" t="s">
        <v>25</v>
      </c>
      <c r="E3308" s="2" t="s">
        <v>20</v>
      </c>
      <c r="F3308" s="2" t="n">
        <v>693</v>
      </c>
      <c r="G3308" s="2" t="s">
        <v>20</v>
      </c>
      <c r="H3308" s="2" t="s">
        <v>20</v>
      </c>
      <c r="I3308" s="2" t="s">
        <v>23</v>
      </c>
      <c r="J3308" s="2" t="n">
        <v>12</v>
      </c>
      <c r="K3308" s="2" t="s">
        <v>33</v>
      </c>
      <c r="L3308" s="2" t="n">
        <v>271</v>
      </c>
      <c r="M3308" s="2" t="n">
        <v>1</v>
      </c>
      <c r="N3308" s="2" t="n">
        <v>-1</v>
      </c>
      <c r="O3308" s="2" t="n">
        <v>0</v>
      </c>
      <c r="P3308" s="2" t="s">
        <v>23</v>
      </c>
      <c r="Q3308" s="2" t="s">
        <v>20</v>
      </c>
    </row>
    <row r="3309" customFormat="false" ht="15" hidden="false" customHeight="false" outlineLevel="0" collapsed="false">
      <c r="A3309" s="2" t="n">
        <v>28</v>
      </c>
      <c r="B3309" s="2" t="s">
        <v>42</v>
      </c>
      <c r="C3309" s="2" t="s">
        <v>30</v>
      </c>
      <c r="D3309" s="2" t="s">
        <v>25</v>
      </c>
      <c r="E3309" s="2" t="s">
        <v>20</v>
      </c>
      <c r="F3309" s="2" t="n">
        <v>0</v>
      </c>
      <c r="G3309" s="2" t="s">
        <v>26</v>
      </c>
      <c r="H3309" s="2" t="s">
        <v>20</v>
      </c>
      <c r="I3309" s="2" t="s">
        <v>23</v>
      </c>
      <c r="J3309" s="2" t="n">
        <v>15</v>
      </c>
      <c r="K3309" s="2" t="s">
        <v>27</v>
      </c>
      <c r="L3309" s="2" t="n">
        <v>133</v>
      </c>
      <c r="M3309" s="2" t="n">
        <v>3</v>
      </c>
      <c r="N3309" s="2" t="n">
        <v>-1</v>
      </c>
      <c r="O3309" s="2" t="n">
        <v>0</v>
      </c>
      <c r="P3309" s="2" t="s">
        <v>23</v>
      </c>
      <c r="Q3309" s="2" t="s">
        <v>20</v>
      </c>
    </row>
    <row r="3310" customFormat="false" ht="15" hidden="false" customHeight="false" outlineLevel="0" collapsed="false">
      <c r="A3310" s="2" t="n">
        <v>49</v>
      </c>
      <c r="B3310" s="2" t="s">
        <v>29</v>
      </c>
      <c r="C3310" s="2" t="s">
        <v>18</v>
      </c>
      <c r="D3310" s="2" t="s">
        <v>25</v>
      </c>
      <c r="E3310" s="2" t="s">
        <v>20</v>
      </c>
      <c r="F3310" s="2" t="n">
        <v>362</v>
      </c>
      <c r="G3310" s="2" t="s">
        <v>26</v>
      </c>
      <c r="H3310" s="2" t="s">
        <v>20</v>
      </c>
      <c r="I3310" s="2" t="s">
        <v>23</v>
      </c>
      <c r="J3310" s="2" t="n">
        <v>4</v>
      </c>
      <c r="K3310" s="2" t="s">
        <v>33</v>
      </c>
      <c r="L3310" s="2" t="n">
        <v>84</v>
      </c>
      <c r="M3310" s="2" t="n">
        <v>2</v>
      </c>
      <c r="N3310" s="2" t="n">
        <v>-1</v>
      </c>
      <c r="O3310" s="2" t="n">
        <v>0</v>
      </c>
      <c r="P3310" s="2" t="s">
        <v>23</v>
      </c>
      <c r="Q3310" s="2" t="s">
        <v>20</v>
      </c>
    </row>
    <row r="3311" customFormat="false" ht="15" hidden="false" customHeight="false" outlineLevel="0" collapsed="false">
      <c r="A3311" s="2" t="n">
        <v>28</v>
      </c>
      <c r="B3311" s="2" t="s">
        <v>38</v>
      </c>
      <c r="C3311" s="2" t="s">
        <v>30</v>
      </c>
      <c r="D3311" s="2" t="s">
        <v>25</v>
      </c>
      <c r="E3311" s="2" t="s">
        <v>20</v>
      </c>
      <c r="F3311" s="2" t="n">
        <v>618</v>
      </c>
      <c r="G3311" s="2" t="s">
        <v>26</v>
      </c>
      <c r="H3311" s="2" t="s">
        <v>20</v>
      </c>
      <c r="I3311" s="2" t="s">
        <v>21</v>
      </c>
      <c r="J3311" s="2" t="n">
        <v>7</v>
      </c>
      <c r="K3311" s="2" t="s">
        <v>27</v>
      </c>
      <c r="L3311" s="2" t="n">
        <v>281</v>
      </c>
      <c r="M3311" s="2" t="n">
        <v>1</v>
      </c>
      <c r="N3311" s="2" t="n">
        <v>-1</v>
      </c>
      <c r="O3311" s="2" t="n">
        <v>0</v>
      </c>
      <c r="P3311" s="2" t="s">
        <v>23</v>
      </c>
      <c r="Q3311" s="2" t="s">
        <v>20</v>
      </c>
    </row>
    <row r="3312" customFormat="false" ht="15" hidden="false" customHeight="false" outlineLevel="0" collapsed="false">
      <c r="A3312" s="2" t="n">
        <v>29</v>
      </c>
      <c r="B3312" s="2" t="s">
        <v>38</v>
      </c>
      <c r="C3312" s="2" t="s">
        <v>30</v>
      </c>
      <c r="D3312" s="2" t="s">
        <v>31</v>
      </c>
      <c r="E3312" s="2" t="s">
        <v>20</v>
      </c>
      <c r="F3312" s="2" t="n">
        <v>2893</v>
      </c>
      <c r="G3312" s="2" t="s">
        <v>26</v>
      </c>
      <c r="H3312" s="2" t="s">
        <v>20</v>
      </c>
      <c r="I3312" s="2" t="s">
        <v>23</v>
      </c>
      <c r="J3312" s="2" t="n">
        <v>3</v>
      </c>
      <c r="K3312" s="2" t="s">
        <v>33</v>
      </c>
      <c r="L3312" s="2" t="n">
        <v>250</v>
      </c>
      <c r="M3312" s="2" t="n">
        <v>1</v>
      </c>
      <c r="N3312" s="2" t="n">
        <v>-1</v>
      </c>
      <c r="O3312" s="2" t="n">
        <v>0</v>
      </c>
      <c r="P3312" s="2" t="s">
        <v>23</v>
      </c>
      <c r="Q3312" s="2" t="s">
        <v>20</v>
      </c>
    </row>
    <row r="3313" customFormat="false" ht="15" hidden="false" customHeight="false" outlineLevel="0" collapsed="false">
      <c r="A3313" s="2" t="n">
        <v>87</v>
      </c>
      <c r="B3313" s="2" t="s">
        <v>48</v>
      </c>
      <c r="C3313" s="2" t="s">
        <v>18</v>
      </c>
      <c r="D3313" s="2" t="s">
        <v>19</v>
      </c>
      <c r="E3313" s="2" t="s">
        <v>20</v>
      </c>
      <c r="F3313" s="2" t="n">
        <v>230</v>
      </c>
      <c r="G3313" s="2" t="s">
        <v>20</v>
      </c>
      <c r="H3313" s="2" t="s">
        <v>20</v>
      </c>
      <c r="I3313" s="2" t="s">
        <v>21</v>
      </c>
      <c r="J3313" s="2" t="n">
        <v>30</v>
      </c>
      <c r="K3313" s="2" t="s">
        <v>22</v>
      </c>
      <c r="L3313" s="2" t="n">
        <v>144</v>
      </c>
      <c r="M3313" s="2" t="n">
        <v>1</v>
      </c>
      <c r="N3313" s="2" t="n">
        <v>-1</v>
      </c>
      <c r="O3313" s="2" t="n">
        <v>0</v>
      </c>
      <c r="P3313" s="2" t="s">
        <v>23</v>
      </c>
      <c r="Q3313" s="2" t="s">
        <v>26</v>
      </c>
    </row>
    <row r="3314" customFormat="false" ht="15" hidden="false" customHeight="false" outlineLevel="0" collapsed="false">
      <c r="A3314" s="2" t="n">
        <v>37</v>
      </c>
      <c r="B3314" s="2" t="s">
        <v>29</v>
      </c>
      <c r="C3314" s="2" t="s">
        <v>45</v>
      </c>
      <c r="D3314" s="2" t="s">
        <v>25</v>
      </c>
      <c r="E3314" s="2" t="s">
        <v>20</v>
      </c>
      <c r="F3314" s="2" t="n">
        <v>1287</v>
      </c>
      <c r="G3314" s="2" t="s">
        <v>26</v>
      </c>
      <c r="H3314" s="2" t="s">
        <v>20</v>
      </c>
      <c r="I3314" s="2" t="s">
        <v>21</v>
      </c>
      <c r="J3314" s="2" t="n">
        <v>14</v>
      </c>
      <c r="K3314" s="2" t="s">
        <v>27</v>
      </c>
      <c r="L3314" s="2" t="n">
        <v>432</v>
      </c>
      <c r="M3314" s="2" t="n">
        <v>1</v>
      </c>
      <c r="N3314" s="2" t="n">
        <v>-1</v>
      </c>
      <c r="O3314" s="2" t="n">
        <v>0</v>
      </c>
      <c r="P3314" s="2" t="s">
        <v>23</v>
      </c>
      <c r="Q3314" s="2" t="s">
        <v>20</v>
      </c>
    </row>
    <row r="3315" customFormat="false" ht="15" hidden="false" customHeight="false" outlineLevel="0" collapsed="false">
      <c r="A3315" s="2" t="n">
        <v>36</v>
      </c>
      <c r="B3315" s="2" t="s">
        <v>24</v>
      </c>
      <c r="C3315" s="2" t="s">
        <v>18</v>
      </c>
      <c r="D3315" s="2" t="s">
        <v>19</v>
      </c>
      <c r="E3315" s="2" t="s">
        <v>20</v>
      </c>
      <c r="F3315" s="2" t="n">
        <v>179</v>
      </c>
      <c r="G3315" s="2" t="s">
        <v>20</v>
      </c>
      <c r="H3315" s="2" t="s">
        <v>20</v>
      </c>
      <c r="I3315" s="2" t="s">
        <v>23</v>
      </c>
      <c r="J3315" s="2" t="n">
        <v>9</v>
      </c>
      <c r="K3315" s="2" t="s">
        <v>33</v>
      </c>
      <c r="L3315" s="2" t="n">
        <v>411</v>
      </c>
      <c r="M3315" s="2" t="n">
        <v>1</v>
      </c>
      <c r="N3315" s="2" t="n">
        <v>-1</v>
      </c>
      <c r="O3315" s="2" t="n">
        <v>0</v>
      </c>
      <c r="P3315" s="2" t="s">
        <v>23</v>
      </c>
      <c r="Q3315" s="2" t="s">
        <v>20</v>
      </c>
    </row>
    <row r="3316" customFormat="false" ht="15" hidden="false" customHeight="false" outlineLevel="0" collapsed="false">
      <c r="A3316" s="2" t="n">
        <v>35</v>
      </c>
      <c r="B3316" s="2" t="s">
        <v>36</v>
      </c>
      <c r="C3316" s="2" t="s">
        <v>18</v>
      </c>
      <c r="D3316" s="2" t="s">
        <v>31</v>
      </c>
      <c r="E3316" s="2" t="s">
        <v>20</v>
      </c>
      <c r="F3316" s="2" t="n">
        <v>980</v>
      </c>
      <c r="G3316" s="2" t="s">
        <v>20</v>
      </c>
      <c r="H3316" s="2" t="s">
        <v>20</v>
      </c>
      <c r="I3316" s="2" t="s">
        <v>21</v>
      </c>
      <c r="J3316" s="2" t="n">
        <v>2</v>
      </c>
      <c r="K3316" s="2" t="s">
        <v>41</v>
      </c>
      <c r="L3316" s="2" t="n">
        <v>428</v>
      </c>
      <c r="M3316" s="2" t="n">
        <v>2</v>
      </c>
      <c r="N3316" s="2" t="n">
        <v>336</v>
      </c>
      <c r="O3316" s="2" t="n">
        <v>6</v>
      </c>
      <c r="P3316" s="2" t="s">
        <v>28</v>
      </c>
      <c r="Q3316" s="2" t="s">
        <v>20</v>
      </c>
    </row>
    <row r="3317" customFormat="false" ht="15" hidden="false" customHeight="false" outlineLevel="0" collapsed="false">
      <c r="A3317" s="2" t="n">
        <v>33</v>
      </c>
      <c r="B3317" s="2" t="s">
        <v>40</v>
      </c>
      <c r="C3317" s="2" t="s">
        <v>18</v>
      </c>
      <c r="D3317" s="2" t="s">
        <v>31</v>
      </c>
      <c r="E3317" s="2" t="s">
        <v>20</v>
      </c>
      <c r="F3317" s="2" t="n">
        <v>79</v>
      </c>
      <c r="G3317" s="2" t="s">
        <v>26</v>
      </c>
      <c r="H3317" s="2" t="s">
        <v>20</v>
      </c>
      <c r="I3317" s="2" t="s">
        <v>21</v>
      </c>
      <c r="J3317" s="2" t="n">
        <v>22</v>
      </c>
      <c r="K3317" s="2" t="s">
        <v>22</v>
      </c>
      <c r="L3317" s="2" t="n">
        <v>249</v>
      </c>
      <c r="M3317" s="2" t="n">
        <v>2</v>
      </c>
      <c r="N3317" s="2" t="n">
        <v>335</v>
      </c>
      <c r="O3317" s="2" t="n">
        <v>2</v>
      </c>
      <c r="P3317" s="2" t="s">
        <v>28</v>
      </c>
      <c r="Q3317" s="2" t="s">
        <v>26</v>
      </c>
    </row>
    <row r="3318" customFormat="false" ht="15" hidden="false" customHeight="false" outlineLevel="0" collapsed="false">
      <c r="A3318" s="2" t="n">
        <v>60</v>
      </c>
      <c r="B3318" s="2" t="s">
        <v>40</v>
      </c>
      <c r="C3318" s="2" t="s">
        <v>18</v>
      </c>
      <c r="D3318" s="2" t="s">
        <v>25</v>
      </c>
      <c r="E3318" s="2" t="s">
        <v>20</v>
      </c>
      <c r="F3318" s="2" t="n">
        <v>3043</v>
      </c>
      <c r="G3318" s="2" t="s">
        <v>20</v>
      </c>
      <c r="H3318" s="2" t="s">
        <v>20</v>
      </c>
      <c r="I3318" s="2" t="s">
        <v>21</v>
      </c>
      <c r="J3318" s="2" t="n">
        <v>19</v>
      </c>
      <c r="K3318" s="2" t="s">
        <v>41</v>
      </c>
      <c r="L3318" s="2" t="n">
        <v>235</v>
      </c>
      <c r="M3318" s="2" t="n">
        <v>3</v>
      </c>
      <c r="N3318" s="2" t="n">
        <v>-1</v>
      </c>
      <c r="O3318" s="2" t="n">
        <v>0</v>
      </c>
      <c r="P3318" s="2" t="s">
        <v>23</v>
      </c>
      <c r="Q3318" s="2" t="s">
        <v>20</v>
      </c>
    </row>
    <row r="3319" customFormat="false" ht="15" hidden="false" customHeight="false" outlineLevel="0" collapsed="false">
      <c r="A3319" s="2" t="n">
        <v>25</v>
      </c>
      <c r="B3319" s="2" t="s">
        <v>29</v>
      </c>
      <c r="C3319" s="2" t="s">
        <v>30</v>
      </c>
      <c r="D3319" s="2" t="s">
        <v>31</v>
      </c>
      <c r="E3319" s="2" t="s">
        <v>20</v>
      </c>
      <c r="F3319" s="2" t="n">
        <v>808</v>
      </c>
      <c r="G3319" s="2" t="s">
        <v>20</v>
      </c>
      <c r="H3319" s="2" t="s">
        <v>20</v>
      </c>
      <c r="I3319" s="2" t="s">
        <v>21</v>
      </c>
      <c r="J3319" s="2" t="n">
        <v>18</v>
      </c>
      <c r="K3319" s="2" t="s">
        <v>51</v>
      </c>
      <c r="L3319" s="2" t="n">
        <v>267</v>
      </c>
      <c r="M3319" s="2" t="n">
        <v>2</v>
      </c>
      <c r="N3319" s="2" t="n">
        <v>114</v>
      </c>
      <c r="O3319" s="2" t="n">
        <v>2</v>
      </c>
      <c r="P3319" s="2" t="s">
        <v>28</v>
      </c>
      <c r="Q3319" s="2" t="s">
        <v>26</v>
      </c>
    </row>
    <row r="3320" customFormat="false" ht="15" hidden="false" customHeight="false" outlineLevel="0" collapsed="false">
      <c r="A3320" s="2" t="n">
        <v>69</v>
      </c>
      <c r="B3320" s="2" t="s">
        <v>48</v>
      </c>
      <c r="C3320" s="2" t="s">
        <v>18</v>
      </c>
      <c r="D3320" s="2" t="s">
        <v>25</v>
      </c>
      <c r="E3320" s="2" t="s">
        <v>20</v>
      </c>
      <c r="F3320" s="2" t="n">
        <v>745</v>
      </c>
      <c r="G3320" s="2" t="s">
        <v>20</v>
      </c>
      <c r="H3320" s="2" t="s">
        <v>20</v>
      </c>
      <c r="I3320" s="2" t="s">
        <v>49</v>
      </c>
      <c r="J3320" s="2" t="n">
        <v>9</v>
      </c>
      <c r="K3320" s="2" t="s">
        <v>51</v>
      </c>
      <c r="L3320" s="2" t="n">
        <v>595</v>
      </c>
      <c r="M3320" s="2" t="n">
        <v>1</v>
      </c>
      <c r="N3320" s="2" t="n">
        <v>-1</v>
      </c>
      <c r="O3320" s="2" t="n">
        <v>0</v>
      </c>
      <c r="P3320" s="2" t="s">
        <v>23</v>
      </c>
      <c r="Q3320" s="2" t="s">
        <v>20</v>
      </c>
    </row>
    <row r="3321" customFormat="false" ht="15" hidden="false" customHeight="false" outlineLevel="0" collapsed="false">
      <c r="A3321" s="2" t="n">
        <v>41</v>
      </c>
      <c r="B3321" s="2" t="s">
        <v>42</v>
      </c>
      <c r="C3321" s="2" t="s">
        <v>18</v>
      </c>
      <c r="D3321" s="2" t="s">
        <v>25</v>
      </c>
      <c r="E3321" s="2" t="s">
        <v>20</v>
      </c>
      <c r="F3321" s="2" t="n">
        <v>1309</v>
      </c>
      <c r="G3321" s="2" t="s">
        <v>20</v>
      </c>
      <c r="H3321" s="2" t="s">
        <v>20</v>
      </c>
      <c r="I3321" s="2" t="s">
        <v>23</v>
      </c>
      <c r="J3321" s="2" t="n">
        <v>20</v>
      </c>
      <c r="K3321" s="2" t="s">
        <v>33</v>
      </c>
      <c r="L3321" s="2" t="n">
        <v>28</v>
      </c>
      <c r="M3321" s="2" t="n">
        <v>4</v>
      </c>
      <c r="N3321" s="2" t="n">
        <v>-1</v>
      </c>
      <c r="O3321" s="2" t="n">
        <v>0</v>
      </c>
      <c r="P3321" s="2" t="s">
        <v>23</v>
      </c>
      <c r="Q3321" s="2" t="s">
        <v>20</v>
      </c>
    </row>
    <row r="3322" customFormat="false" ht="15" hidden="false" customHeight="false" outlineLevel="0" collapsed="false">
      <c r="A3322" s="2" t="n">
        <v>48</v>
      </c>
      <c r="B3322" s="2" t="s">
        <v>29</v>
      </c>
      <c r="C3322" s="2" t="s">
        <v>30</v>
      </c>
      <c r="D3322" s="2" t="s">
        <v>25</v>
      </c>
      <c r="E3322" s="2" t="s">
        <v>20</v>
      </c>
      <c r="F3322" s="2" t="n">
        <v>290</v>
      </c>
      <c r="G3322" s="2" t="s">
        <v>26</v>
      </c>
      <c r="H3322" s="2" t="s">
        <v>20</v>
      </c>
      <c r="I3322" s="2" t="s">
        <v>21</v>
      </c>
      <c r="J3322" s="2" t="n">
        <v>21</v>
      </c>
      <c r="K3322" s="2" t="s">
        <v>44</v>
      </c>
      <c r="L3322" s="2" t="n">
        <v>257</v>
      </c>
      <c r="M3322" s="2" t="n">
        <v>2</v>
      </c>
      <c r="N3322" s="2" t="n">
        <v>-1</v>
      </c>
      <c r="O3322" s="2" t="n">
        <v>0</v>
      </c>
      <c r="P3322" s="2" t="s">
        <v>23</v>
      </c>
      <c r="Q3322" s="2" t="s">
        <v>20</v>
      </c>
    </row>
    <row r="3323" customFormat="false" ht="15" hidden="false" customHeight="false" outlineLevel="0" collapsed="false">
      <c r="A3323" s="2" t="n">
        <v>35</v>
      </c>
      <c r="B3323" s="2" t="s">
        <v>34</v>
      </c>
      <c r="C3323" s="2" t="s">
        <v>45</v>
      </c>
      <c r="D3323" s="2" t="s">
        <v>19</v>
      </c>
      <c r="E3323" s="2" t="s">
        <v>20</v>
      </c>
      <c r="F3323" s="2" t="n">
        <v>1792</v>
      </c>
      <c r="G3323" s="2" t="s">
        <v>26</v>
      </c>
      <c r="H3323" s="2" t="s">
        <v>20</v>
      </c>
      <c r="I3323" s="2" t="s">
        <v>21</v>
      </c>
      <c r="J3323" s="2" t="n">
        <v>31</v>
      </c>
      <c r="K3323" s="2" t="s">
        <v>44</v>
      </c>
      <c r="L3323" s="2" t="n">
        <v>630</v>
      </c>
      <c r="M3323" s="2" t="n">
        <v>6</v>
      </c>
      <c r="N3323" s="2" t="n">
        <v>-1</v>
      </c>
      <c r="O3323" s="2" t="n">
        <v>0</v>
      </c>
      <c r="P3323" s="2" t="s">
        <v>23</v>
      </c>
      <c r="Q3323" s="2" t="s">
        <v>26</v>
      </c>
    </row>
    <row r="3324" customFormat="false" ht="15" hidden="false" customHeight="false" outlineLevel="0" collapsed="false">
      <c r="A3324" s="2" t="n">
        <v>30</v>
      </c>
      <c r="B3324" s="2" t="s">
        <v>34</v>
      </c>
      <c r="C3324" s="2" t="s">
        <v>30</v>
      </c>
      <c r="D3324" s="2" t="s">
        <v>25</v>
      </c>
      <c r="E3324" s="2" t="s">
        <v>20</v>
      </c>
      <c r="F3324" s="2" t="n">
        <v>178</v>
      </c>
      <c r="G3324" s="2" t="s">
        <v>26</v>
      </c>
      <c r="H3324" s="2" t="s">
        <v>20</v>
      </c>
      <c r="I3324" s="2" t="s">
        <v>23</v>
      </c>
      <c r="J3324" s="2" t="n">
        <v>20</v>
      </c>
      <c r="K3324" s="2" t="s">
        <v>27</v>
      </c>
      <c r="L3324" s="2" t="n">
        <v>747</v>
      </c>
      <c r="M3324" s="2" t="n">
        <v>5</v>
      </c>
      <c r="N3324" s="2" t="n">
        <v>-1</v>
      </c>
      <c r="O3324" s="2" t="n">
        <v>0</v>
      </c>
      <c r="P3324" s="2" t="s">
        <v>23</v>
      </c>
      <c r="Q3324" s="2" t="s">
        <v>20</v>
      </c>
    </row>
    <row r="3325" customFormat="false" ht="15" hidden="false" customHeight="false" outlineLevel="0" collapsed="false">
      <c r="A3325" s="2" t="n">
        <v>59</v>
      </c>
      <c r="B3325" s="2" t="s">
        <v>29</v>
      </c>
      <c r="C3325" s="2" t="s">
        <v>18</v>
      </c>
      <c r="D3325" s="2" t="s">
        <v>31</v>
      </c>
      <c r="E3325" s="2" t="s">
        <v>20</v>
      </c>
      <c r="F3325" s="2" t="n">
        <v>0</v>
      </c>
      <c r="G3325" s="2" t="s">
        <v>20</v>
      </c>
      <c r="H3325" s="2" t="s">
        <v>20</v>
      </c>
      <c r="I3325" s="2" t="s">
        <v>21</v>
      </c>
      <c r="J3325" s="2" t="n">
        <v>27</v>
      </c>
      <c r="K3325" s="2" t="s">
        <v>41</v>
      </c>
      <c r="L3325" s="2" t="n">
        <v>87</v>
      </c>
      <c r="M3325" s="2" t="n">
        <v>4</v>
      </c>
      <c r="N3325" s="2" t="n">
        <v>-1</v>
      </c>
      <c r="O3325" s="2" t="n">
        <v>0</v>
      </c>
      <c r="P3325" s="2" t="s">
        <v>23</v>
      </c>
      <c r="Q3325" s="2" t="s">
        <v>20</v>
      </c>
    </row>
    <row r="3326" customFormat="false" ht="15" hidden="false" customHeight="false" outlineLevel="0" collapsed="false">
      <c r="A3326" s="2" t="n">
        <v>32</v>
      </c>
      <c r="B3326" s="2" t="s">
        <v>29</v>
      </c>
      <c r="C3326" s="2" t="s">
        <v>30</v>
      </c>
      <c r="D3326" s="2" t="s">
        <v>31</v>
      </c>
      <c r="E3326" s="2" t="s">
        <v>20</v>
      </c>
      <c r="F3326" s="2" t="n">
        <v>537</v>
      </c>
      <c r="G3326" s="2" t="s">
        <v>20</v>
      </c>
      <c r="H3326" s="2" t="s">
        <v>20</v>
      </c>
      <c r="I3326" s="2" t="s">
        <v>23</v>
      </c>
      <c r="J3326" s="2" t="n">
        <v>29</v>
      </c>
      <c r="K3326" s="2" t="s">
        <v>27</v>
      </c>
      <c r="L3326" s="2" t="n">
        <v>187</v>
      </c>
      <c r="M3326" s="2" t="n">
        <v>3</v>
      </c>
      <c r="N3326" s="2" t="n">
        <v>-1</v>
      </c>
      <c r="O3326" s="2" t="n">
        <v>0</v>
      </c>
      <c r="P3326" s="2" t="s">
        <v>23</v>
      </c>
      <c r="Q3326" s="2" t="s">
        <v>20</v>
      </c>
    </row>
    <row r="3327" customFormat="false" ht="15" hidden="false" customHeight="false" outlineLevel="0" collapsed="false">
      <c r="A3327" s="2" t="n">
        <v>28</v>
      </c>
      <c r="B3327" s="2" t="s">
        <v>34</v>
      </c>
      <c r="C3327" s="2" t="s">
        <v>30</v>
      </c>
      <c r="D3327" s="2" t="s">
        <v>25</v>
      </c>
      <c r="E3327" s="2" t="s">
        <v>20</v>
      </c>
      <c r="F3327" s="2" t="n">
        <v>416</v>
      </c>
      <c r="G3327" s="2" t="s">
        <v>26</v>
      </c>
      <c r="H3327" s="2" t="s">
        <v>20</v>
      </c>
      <c r="I3327" s="2" t="s">
        <v>23</v>
      </c>
      <c r="J3327" s="2" t="n">
        <v>13</v>
      </c>
      <c r="K3327" s="2" t="s">
        <v>27</v>
      </c>
      <c r="L3327" s="2" t="n">
        <v>452</v>
      </c>
      <c r="M3327" s="2" t="n">
        <v>2</v>
      </c>
      <c r="N3327" s="2" t="n">
        <v>-1</v>
      </c>
      <c r="O3327" s="2" t="n">
        <v>0</v>
      </c>
      <c r="P3327" s="2" t="s">
        <v>23</v>
      </c>
      <c r="Q3327" s="2" t="s">
        <v>20</v>
      </c>
    </row>
    <row r="3328" customFormat="false" ht="15" hidden="false" customHeight="false" outlineLevel="0" collapsed="false">
      <c r="A3328" s="2" t="n">
        <v>60</v>
      </c>
      <c r="B3328" s="2" t="s">
        <v>34</v>
      </c>
      <c r="C3328" s="2" t="s">
        <v>18</v>
      </c>
      <c r="D3328" s="2" t="s">
        <v>19</v>
      </c>
      <c r="E3328" s="2" t="s">
        <v>20</v>
      </c>
      <c r="F3328" s="2" t="n">
        <v>1472</v>
      </c>
      <c r="G3328" s="2" t="s">
        <v>20</v>
      </c>
      <c r="H3328" s="2" t="s">
        <v>20</v>
      </c>
      <c r="I3328" s="2" t="s">
        <v>23</v>
      </c>
      <c r="J3328" s="2" t="n">
        <v>20</v>
      </c>
      <c r="K3328" s="2" t="s">
        <v>33</v>
      </c>
      <c r="L3328" s="2" t="n">
        <v>36</v>
      </c>
      <c r="M3328" s="2" t="n">
        <v>4</v>
      </c>
      <c r="N3328" s="2" t="n">
        <v>-1</v>
      </c>
      <c r="O3328" s="2" t="n">
        <v>0</v>
      </c>
      <c r="P3328" s="2" t="s">
        <v>23</v>
      </c>
      <c r="Q3328" s="2" t="s">
        <v>20</v>
      </c>
    </row>
    <row r="3329" customFormat="false" ht="15" hidden="false" customHeight="false" outlineLevel="0" collapsed="false">
      <c r="A3329" s="2" t="n">
        <v>36</v>
      </c>
      <c r="B3329" s="2" t="s">
        <v>29</v>
      </c>
      <c r="C3329" s="2" t="s">
        <v>18</v>
      </c>
      <c r="D3329" s="2" t="s">
        <v>19</v>
      </c>
      <c r="E3329" s="2" t="s">
        <v>20</v>
      </c>
      <c r="F3329" s="2" t="n">
        <v>3953</v>
      </c>
      <c r="G3329" s="2" t="s">
        <v>26</v>
      </c>
      <c r="H3329" s="2" t="s">
        <v>20</v>
      </c>
      <c r="I3329" s="2" t="s">
        <v>21</v>
      </c>
      <c r="J3329" s="2" t="n">
        <v>19</v>
      </c>
      <c r="K3329" s="2" t="s">
        <v>46</v>
      </c>
      <c r="L3329" s="2" t="n">
        <v>277</v>
      </c>
      <c r="M3329" s="2" t="n">
        <v>1</v>
      </c>
      <c r="N3329" s="2" t="n">
        <v>-1</v>
      </c>
      <c r="O3329" s="2" t="n">
        <v>0</v>
      </c>
      <c r="P3329" s="2" t="s">
        <v>23</v>
      </c>
      <c r="Q3329" s="2" t="s">
        <v>20</v>
      </c>
    </row>
    <row r="3330" customFormat="false" ht="15" hidden="false" customHeight="false" outlineLevel="0" collapsed="false">
      <c r="A3330" s="2" t="n">
        <v>32</v>
      </c>
      <c r="B3330" s="2" t="s">
        <v>29</v>
      </c>
      <c r="C3330" s="2" t="s">
        <v>30</v>
      </c>
      <c r="D3330" s="2" t="s">
        <v>31</v>
      </c>
      <c r="E3330" s="2" t="s">
        <v>20</v>
      </c>
      <c r="F3330" s="2" t="n">
        <v>112</v>
      </c>
      <c r="G3330" s="2" t="s">
        <v>26</v>
      </c>
      <c r="H3330" s="2" t="s">
        <v>20</v>
      </c>
      <c r="I3330" s="2" t="s">
        <v>21</v>
      </c>
      <c r="J3330" s="2" t="n">
        <v>5</v>
      </c>
      <c r="K3330" s="2" t="s">
        <v>27</v>
      </c>
      <c r="L3330" s="2" t="n">
        <v>118</v>
      </c>
      <c r="M3330" s="2" t="n">
        <v>1</v>
      </c>
      <c r="N3330" s="2" t="n">
        <v>-1</v>
      </c>
      <c r="O3330" s="2" t="n">
        <v>0</v>
      </c>
      <c r="P3330" s="2" t="s">
        <v>23</v>
      </c>
      <c r="Q3330" s="2" t="s">
        <v>20</v>
      </c>
    </row>
    <row r="3331" customFormat="false" ht="15" hidden="false" customHeight="false" outlineLevel="0" collapsed="false">
      <c r="A3331" s="2" t="n">
        <v>34</v>
      </c>
      <c r="B3331" s="2" t="s">
        <v>29</v>
      </c>
      <c r="C3331" s="2" t="s">
        <v>45</v>
      </c>
      <c r="D3331" s="2" t="s">
        <v>31</v>
      </c>
      <c r="E3331" s="2" t="s">
        <v>20</v>
      </c>
      <c r="F3331" s="2" t="n">
        <v>13204</v>
      </c>
      <c r="G3331" s="2" t="s">
        <v>26</v>
      </c>
      <c r="H3331" s="2" t="s">
        <v>26</v>
      </c>
      <c r="I3331" s="2" t="s">
        <v>21</v>
      </c>
      <c r="J3331" s="2" t="n">
        <v>20</v>
      </c>
      <c r="K3331" s="2" t="s">
        <v>46</v>
      </c>
      <c r="L3331" s="2" t="n">
        <v>197</v>
      </c>
      <c r="M3331" s="2" t="n">
        <v>2</v>
      </c>
      <c r="N3331" s="2" t="n">
        <v>-1</v>
      </c>
      <c r="O3331" s="2" t="n">
        <v>0</v>
      </c>
      <c r="P3331" s="2" t="s">
        <v>23</v>
      </c>
      <c r="Q3331" s="2" t="s">
        <v>20</v>
      </c>
    </row>
    <row r="3332" customFormat="false" ht="15" hidden="false" customHeight="false" outlineLevel="0" collapsed="false">
      <c r="A3332" s="2" t="n">
        <v>58</v>
      </c>
      <c r="B3332" s="2" t="s">
        <v>34</v>
      </c>
      <c r="C3332" s="2" t="s">
        <v>18</v>
      </c>
      <c r="D3332" s="2" t="s">
        <v>25</v>
      </c>
      <c r="E3332" s="2" t="s">
        <v>20</v>
      </c>
      <c r="F3332" s="2" t="n">
        <v>0</v>
      </c>
      <c r="G3332" s="2" t="s">
        <v>20</v>
      </c>
      <c r="H3332" s="2" t="s">
        <v>26</v>
      </c>
      <c r="I3332" s="2" t="s">
        <v>21</v>
      </c>
      <c r="J3332" s="2" t="n">
        <v>14</v>
      </c>
      <c r="K3332" s="2" t="s">
        <v>32</v>
      </c>
      <c r="L3332" s="2" t="n">
        <v>101</v>
      </c>
      <c r="M3332" s="2" t="n">
        <v>5</v>
      </c>
      <c r="N3332" s="2" t="n">
        <v>-1</v>
      </c>
      <c r="O3332" s="2" t="n">
        <v>0</v>
      </c>
      <c r="P3332" s="2" t="s">
        <v>23</v>
      </c>
      <c r="Q3332" s="2" t="s">
        <v>20</v>
      </c>
    </row>
    <row r="3333" customFormat="false" ht="15" hidden="false" customHeight="false" outlineLevel="0" collapsed="false">
      <c r="A3333" s="2" t="n">
        <v>53</v>
      </c>
      <c r="B3333" s="2" t="s">
        <v>29</v>
      </c>
      <c r="C3333" s="2" t="s">
        <v>18</v>
      </c>
      <c r="D3333" s="2" t="s">
        <v>23</v>
      </c>
      <c r="E3333" s="2" t="s">
        <v>20</v>
      </c>
      <c r="F3333" s="2" t="n">
        <v>2240</v>
      </c>
      <c r="G3333" s="2" t="s">
        <v>26</v>
      </c>
      <c r="H3333" s="2" t="s">
        <v>20</v>
      </c>
      <c r="I3333" s="2" t="s">
        <v>21</v>
      </c>
      <c r="J3333" s="2" t="n">
        <v>2</v>
      </c>
      <c r="K3333" s="2" t="s">
        <v>33</v>
      </c>
      <c r="L3333" s="2" t="n">
        <v>282</v>
      </c>
      <c r="M3333" s="2" t="n">
        <v>2</v>
      </c>
      <c r="N3333" s="2" t="n">
        <v>385</v>
      </c>
      <c r="O3333" s="2" t="n">
        <v>1</v>
      </c>
      <c r="P3333" s="2" t="s">
        <v>50</v>
      </c>
      <c r="Q3333" s="2" t="s">
        <v>26</v>
      </c>
    </row>
    <row r="3334" customFormat="false" ht="15" hidden="false" customHeight="false" outlineLevel="0" collapsed="false">
      <c r="A3334" s="2" t="n">
        <v>31</v>
      </c>
      <c r="B3334" s="2" t="s">
        <v>29</v>
      </c>
      <c r="C3334" s="2" t="s">
        <v>18</v>
      </c>
      <c r="D3334" s="2" t="s">
        <v>31</v>
      </c>
      <c r="E3334" s="2" t="s">
        <v>20</v>
      </c>
      <c r="F3334" s="2" t="n">
        <v>22546</v>
      </c>
      <c r="G3334" s="2" t="s">
        <v>26</v>
      </c>
      <c r="H3334" s="2" t="s">
        <v>20</v>
      </c>
      <c r="I3334" s="2" t="s">
        <v>21</v>
      </c>
      <c r="J3334" s="2" t="n">
        <v>14</v>
      </c>
      <c r="K3334" s="2" t="s">
        <v>27</v>
      </c>
      <c r="L3334" s="2" t="n">
        <v>8</v>
      </c>
      <c r="M3334" s="2" t="n">
        <v>6</v>
      </c>
      <c r="N3334" s="2" t="n">
        <v>267</v>
      </c>
      <c r="O3334" s="2" t="n">
        <v>4</v>
      </c>
      <c r="P3334" s="2" t="s">
        <v>28</v>
      </c>
      <c r="Q3334" s="2" t="s">
        <v>20</v>
      </c>
    </row>
    <row r="3335" customFormat="false" ht="15" hidden="false" customHeight="false" outlineLevel="0" collapsed="false">
      <c r="A3335" s="2" t="n">
        <v>33</v>
      </c>
      <c r="B3335" s="2" t="s">
        <v>40</v>
      </c>
      <c r="C3335" s="2" t="s">
        <v>18</v>
      </c>
      <c r="D3335" s="2" t="s">
        <v>25</v>
      </c>
      <c r="E3335" s="2" t="s">
        <v>20</v>
      </c>
      <c r="F3335" s="2" t="n">
        <v>0</v>
      </c>
      <c r="G3335" s="2" t="s">
        <v>26</v>
      </c>
      <c r="H3335" s="2" t="s">
        <v>20</v>
      </c>
      <c r="I3335" s="2" t="s">
        <v>49</v>
      </c>
      <c r="J3335" s="2" t="n">
        <v>17</v>
      </c>
      <c r="K3335" s="2" t="s">
        <v>44</v>
      </c>
      <c r="L3335" s="2" t="n">
        <v>1448</v>
      </c>
      <c r="M3335" s="2" t="n">
        <v>7</v>
      </c>
      <c r="N3335" s="2" t="n">
        <v>-1</v>
      </c>
      <c r="O3335" s="2" t="n">
        <v>0</v>
      </c>
      <c r="P3335" s="2" t="s">
        <v>23</v>
      </c>
      <c r="Q3335" s="2" t="s">
        <v>26</v>
      </c>
    </row>
    <row r="3336" customFormat="false" ht="15" hidden="false" customHeight="false" outlineLevel="0" collapsed="false">
      <c r="A3336" s="2" t="n">
        <v>46</v>
      </c>
      <c r="B3336" s="2" t="s">
        <v>17</v>
      </c>
      <c r="C3336" s="2" t="s">
        <v>45</v>
      </c>
      <c r="D3336" s="2" t="s">
        <v>19</v>
      </c>
      <c r="E3336" s="2" t="s">
        <v>20</v>
      </c>
      <c r="F3336" s="2" t="n">
        <v>23</v>
      </c>
      <c r="G3336" s="2" t="s">
        <v>20</v>
      </c>
      <c r="H3336" s="2" t="s">
        <v>20</v>
      </c>
      <c r="I3336" s="2" t="s">
        <v>21</v>
      </c>
      <c r="J3336" s="2" t="n">
        <v>21</v>
      </c>
      <c r="K3336" s="2" t="s">
        <v>46</v>
      </c>
      <c r="L3336" s="2" t="n">
        <v>344</v>
      </c>
      <c r="M3336" s="2" t="n">
        <v>1</v>
      </c>
      <c r="N3336" s="2" t="n">
        <v>-1</v>
      </c>
      <c r="O3336" s="2" t="n">
        <v>0</v>
      </c>
      <c r="P3336" s="2" t="s">
        <v>23</v>
      </c>
      <c r="Q3336" s="2" t="s">
        <v>20</v>
      </c>
    </row>
    <row r="3337" customFormat="false" ht="15" hidden="false" customHeight="false" outlineLevel="0" collapsed="false">
      <c r="A3337" s="2" t="n">
        <v>29</v>
      </c>
      <c r="B3337" s="2" t="s">
        <v>34</v>
      </c>
      <c r="C3337" s="2" t="s">
        <v>18</v>
      </c>
      <c r="D3337" s="2" t="s">
        <v>25</v>
      </c>
      <c r="E3337" s="2" t="s">
        <v>20</v>
      </c>
      <c r="F3337" s="2" t="n">
        <v>228</v>
      </c>
      <c r="G3337" s="2" t="s">
        <v>26</v>
      </c>
      <c r="H3337" s="2" t="s">
        <v>20</v>
      </c>
      <c r="I3337" s="2" t="s">
        <v>21</v>
      </c>
      <c r="J3337" s="2" t="n">
        <v>11</v>
      </c>
      <c r="K3337" s="2" t="s">
        <v>27</v>
      </c>
      <c r="L3337" s="2" t="n">
        <v>12</v>
      </c>
      <c r="M3337" s="2" t="n">
        <v>8</v>
      </c>
      <c r="N3337" s="2" t="n">
        <v>342</v>
      </c>
      <c r="O3337" s="2" t="n">
        <v>9</v>
      </c>
      <c r="P3337" s="2" t="s">
        <v>28</v>
      </c>
      <c r="Q3337" s="2" t="s">
        <v>20</v>
      </c>
    </row>
    <row r="3338" customFormat="false" ht="15" hidden="false" customHeight="false" outlineLevel="0" collapsed="false">
      <c r="A3338" s="2" t="n">
        <v>37</v>
      </c>
      <c r="B3338" s="2" t="s">
        <v>36</v>
      </c>
      <c r="C3338" s="2" t="s">
        <v>18</v>
      </c>
      <c r="D3338" s="2" t="s">
        <v>25</v>
      </c>
      <c r="E3338" s="2" t="s">
        <v>20</v>
      </c>
      <c r="F3338" s="2" t="n">
        <v>215</v>
      </c>
      <c r="G3338" s="2" t="s">
        <v>26</v>
      </c>
      <c r="H3338" s="2" t="s">
        <v>20</v>
      </c>
      <c r="I3338" s="2" t="s">
        <v>23</v>
      </c>
      <c r="J3338" s="2" t="n">
        <v>6</v>
      </c>
      <c r="K3338" s="2" t="s">
        <v>33</v>
      </c>
      <c r="L3338" s="2" t="n">
        <v>61</v>
      </c>
      <c r="M3338" s="2" t="n">
        <v>1</v>
      </c>
      <c r="N3338" s="2" t="n">
        <v>-1</v>
      </c>
      <c r="O3338" s="2" t="n">
        <v>0</v>
      </c>
      <c r="P3338" s="2" t="s">
        <v>23</v>
      </c>
      <c r="Q3338" s="2" t="s">
        <v>20</v>
      </c>
    </row>
    <row r="3339" customFormat="false" ht="15" hidden="false" customHeight="false" outlineLevel="0" collapsed="false">
      <c r="A3339" s="2" t="n">
        <v>58</v>
      </c>
      <c r="B3339" s="2" t="s">
        <v>34</v>
      </c>
      <c r="C3339" s="2" t="s">
        <v>18</v>
      </c>
      <c r="D3339" s="2" t="s">
        <v>19</v>
      </c>
      <c r="E3339" s="2" t="s">
        <v>20</v>
      </c>
      <c r="F3339" s="2" t="n">
        <v>23</v>
      </c>
      <c r="G3339" s="2" t="s">
        <v>26</v>
      </c>
      <c r="H3339" s="2" t="s">
        <v>20</v>
      </c>
      <c r="I3339" s="2" t="s">
        <v>23</v>
      </c>
      <c r="J3339" s="2" t="n">
        <v>20</v>
      </c>
      <c r="K3339" s="2" t="s">
        <v>27</v>
      </c>
      <c r="L3339" s="2" t="n">
        <v>91</v>
      </c>
      <c r="M3339" s="2" t="n">
        <v>6</v>
      </c>
      <c r="N3339" s="2" t="n">
        <v>-1</v>
      </c>
      <c r="O3339" s="2" t="n">
        <v>0</v>
      </c>
      <c r="P3339" s="2" t="s">
        <v>23</v>
      </c>
      <c r="Q3339" s="2" t="s">
        <v>20</v>
      </c>
    </row>
    <row r="3340" customFormat="false" ht="15" hidden="false" customHeight="false" outlineLevel="0" collapsed="false">
      <c r="A3340" s="2" t="n">
        <v>34</v>
      </c>
      <c r="B3340" s="2" t="s">
        <v>29</v>
      </c>
      <c r="C3340" s="2" t="s">
        <v>18</v>
      </c>
      <c r="D3340" s="2" t="s">
        <v>25</v>
      </c>
      <c r="E3340" s="2" t="s">
        <v>20</v>
      </c>
      <c r="F3340" s="2" t="n">
        <v>293</v>
      </c>
      <c r="G3340" s="2" t="s">
        <v>26</v>
      </c>
      <c r="H3340" s="2" t="s">
        <v>20</v>
      </c>
      <c r="I3340" s="2" t="s">
        <v>23</v>
      </c>
      <c r="J3340" s="2" t="n">
        <v>21</v>
      </c>
      <c r="K3340" s="2" t="s">
        <v>27</v>
      </c>
      <c r="L3340" s="2" t="n">
        <v>162</v>
      </c>
      <c r="M3340" s="2" t="n">
        <v>3</v>
      </c>
      <c r="N3340" s="2" t="n">
        <v>-1</v>
      </c>
      <c r="O3340" s="2" t="n">
        <v>0</v>
      </c>
      <c r="P3340" s="2" t="s">
        <v>23</v>
      </c>
      <c r="Q3340" s="2" t="s">
        <v>20</v>
      </c>
    </row>
    <row r="3341" customFormat="false" ht="15" hidden="false" customHeight="false" outlineLevel="0" collapsed="false">
      <c r="A3341" s="2" t="n">
        <v>34</v>
      </c>
      <c r="B3341" s="2" t="s">
        <v>34</v>
      </c>
      <c r="C3341" s="2" t="s">
        <v>45</v>
      </c>
      <c r="D3341" s="2" t="s">
        <v>25</v>
      </c>
      <c r="E3341" s="2" t="s">
        <v>20</v>
      </c>
      <c r="F3341" s="2" t="n">
        <v>0</v>
      </c>
      <c r="G3341" s="2" t="s">
        <v>20</v>
      </c>
      <c r="H3341" s="2" t="s">
        <v>26</v>
      </c>
      <c r="I3341" s="2" t="s">
        <v>23</v>
      </c>
      <c r="J3341" s="2" t="n">
        <v>21</v>
      </c>
      <c r="K3341" s="2" t="s">
        <v>27</v>
      </c>
      <c r="L3341" s="2" t="n">
        <v>339</v>
      </c>
      <c r="M3341" s="2" t="n">
        <v>1</v>
      </c>
      <c r="N3341" s="2" t="n">
        <v>-1</v>
      </c>
      <c r="O3341" s="2" t="n">
        <v>0</v>
      </c>
      <c r="P3341" s="2" t="s">
        <v>23</v>
      </c>
      <c r="Q3341" s="2" t="s">
        <v>20</v>
      </c>
    </row>
    <row r="3342" customFormat="false" ht="15" hidden="false" customHeight="false" outlineLevel="0" collapsed="false">
      <c r="A3342" s="2" t="n">
        <v>49</v>
      </c>
      <c r="B3342" s="2" t="s">
        <v>39</v>
      </c>
      <c r="C3342" s="2" t="s">
        <v>18</v>
      </c>
      <c r="D3342" s="2" t="s">
        <v>19</v>
      </c>
      <c r="E3342" s="2" t="s">
        <v>20</v>
      </c>
      <c r="F3342" s="2" t="n">
        <v>199</v>
      </c>
      <c r="G3342" s="2" t="s">
        <v>20</v>
      </c>
      <c r="H3342" s="2" t="s">
        <v>20</v>
      </c>
      <c r="I3342" s="2" t="s">
        <v>23</v>
      </c>
      <c r="J3342" s="2" t="n">
        <v>13</v>
      </c>
      <c r="K3342" s="2" t="s">
        <v>27</v>
      </c>
      <c r="L3342" s="2" t="n">
        <v>113</v>
      </c>
      <c r="M3342" s="2" t="n">
        <v>2</v>
      </c>
      <c r="N3342" s="2" t="n">
        <v>-1</v>
      </c>
      <c r="O3342" s="2" t="n">
        <v>0</v>
      </c>
      <c r="P3342" s="2" t="s">
        <v>23</v>
      </c>
      <c r="Q3342" s="2" t="s">
        <v>20</v>
      </c>
    </row>
    <row r="3343" customFormat="false" ht="15" hidden="false" customHeight="false" outlineLevel="0" collapsed="false">
      <c r="A3343" s="2" t="n">
        <v>53</v>
      </c>
      <c r="B3343" s="2" t="s">
        <v>40</v>
      </c>
      <c r="C3343" s="2" t="s">
        <v>18</v>
      </c>
      <c r="D3343" s="2" t="s">
        <v>25</v>
      </c>
      <c r="E3343" s="2" t="s">
        <v>20</v>
      </c>
      <c r="F3343" s="2" t="n">
        <v>459</v>
      </c>
      <c r="G3343" s="2" t="s">
        <v>20</v>
      </c>
      <c r="H3343" s="2" t="s">
        <v>20</v>
      </c>
      <c r="I3343" s="2" t="s">
        <v>21</v>
      </c>
      <c r="J3343" s="2" t="n">
        <v>5</v>
      </c>
      <c r="K3343" s="2" t="s">
        <v>32</v>
      </c>
      <c r="L3343" s="2" t="n">
        <v>558</v>
      </c>
      <c r="M3343" s="2" t="n">
        <v>1</v>
      </c>
      <c r="N3343" s="2" t="n">
        <v>-1</v>
      </c>
      <c r="O3343" s="2" t="n">
        <v>0</v>
      </c>
      <c r="P3343" s="2" t="s">
        <v>23</v>
      </c>
      <c r="Q3343" s="2" t="s">
        <v>26</v>
      </c>
    </row>
    <row r="3344" customFormat="false" ht="15" hidden="false" customHeight="false" outlineLevel="0" collapsed="false">
      <c r="A3344" s="2" t="n">
        <v>42</v>
      </c>
      <c r="B3344" s="2" t="s">
        <v>17</v>
      </c>
      <c r="C3344" s="2" t="s">
        <v>18</v>
      </c>
      <c r="D3344" s="2" t="s">
        <v>25</v>
      </c>
      <c r="E3344" s="2" t="s">
        <v>20</v>
      </c>
      <c r="F3344" s="2" t="n">
        <v>8131</v>
      </c>
      <c r="G3344" s="2" t="s">
        <v>26</v>
      </c>
      <c r="H3344" s="2" t="s">
        <v>20</v>
      </c>
      <c r="I3344" s="2" t="s">
        <v>23</v>
      </c>
      <c r="J3344" s="2" t="n">
        <v>30</v>
      </c>
      <c r="K3344" s="2" t="s">
        <v>27</v>
      </c>
      <c r="L3344" s="2" t="n">
        <v>69</v>
      </c>
      <c r="M3344" s="2" t="n">
        <v>1</v>
      </c>
      <c r="N3344" s="2" t="n">
        <v>-1</v>
      </c>
      <c r="O3344" s="2" t="n">
        <v>0</v>
      </c>
      <c r="P3344" s="2" t="s">
        <v>23</v>
      </c>
      <c r="Q3344" s="2" t="s">
        <v>20</v>
      </c>
    </row>
    <row r="3345" customFormat="false" ht="15" hidden="false" customHeight="false" outlineLevel="0" collapsed="false">
      <c r="A3345" s="2" t="n">
        <v>40</v>
      </c>
      <c r="B3345" s="2" t="s">
        <v>24</v>
      </c>
      <c r="C3345" s="2" t="s">
        <v>18</v>
      </c>
      <c r="D3345" s="2" t="s">
        <v>25</v>
      </c>
      <c r="E3345" s="2" t="s">
        <v>20</v>
      </c>
      <c r="F3345" s="2" t="n">
        <v>-378</v>
      </c>
      <c r="G3345" s="2" t="s">
        <v>26</v>
      </c>
      <c r="H3345" s="2" t="s">
        <v>26</v>
      </c>
      <c r="I3345" s="2" t="s">
        <v>21</v>
      </c>
      <c r="J3345" s="2" t="n">
        <v>13</v>
      </c>
      <c r="K3345" s="2" t="s">
        <v>27</v>
      </c>
      <c r="L3345" s="2" t="n">
        <v>541</v>
      </c>
      <c r="M3345" s="2" t="n">
        <v>1</v>
      </c>
      <c r="N3345" s="2" t="n">
        <v>295</v>
      </c>
      <c r="O3345" s="2" t="n">
        <v>6</v>
      </c>
      <c r="P3345" s="2" t="s">
        <v>28</v>
      </c>
      <c r="Q3345" s="2" t="s">
        <v>20</v>
      </c>
    </row>
    <row r="3346" customFormat="false" ht="15" hidden="false" customHeight="false" outlineLevel="0" collapsed="false">
      <c r="A3346" s="2" t="n">
        <v>30</v>
      </c>
      <c r="B3346" s="2" t="s">
        <v>34</v>
      </c>
      <c r="C3346" s="2" t="s">
        <v>30</v>
      </c>
      <c r="D3346" s="2" t="s">
        <v>19</v>
      </c>
      <c r="E3346" s="2" t="s">
        <v>20</v>
      </c>
      <c r="F3346" s="2" t="n">
        <v>395</v>
      </c>
      <c r="G3346" s="2" t="s">
        <v>20</v>
      </c>
      <c r="H3346" s="2" t="s">
        <v>20</v>
      </c>
      <c r="I3346" s="2" t="s">
        <v>21</v>
      </c>
      <c r="J3346" s="2" t="n">
        <v>21</v>
      </c>
      <c r="K3346" s="2" t="s">
        <v>46</v>
      </c>
      <c r="L3346" s="2" t="n">
        <v>429</v>
      </c>
      <c r="M3346" s="2" t="n">
        <v>1</v>
      </c>
      <c r="N3346" s="2" t="n">
        <v>-1</v>
      </c>
      <c r="O3346" s="2" t="n">
        <v>0</v>
      </c>
      <c r="P3346" s="2" t="s">
        <v>23</v>
      </c>
      <c r="Q3346" s="2" t="s">
        <v>20</v>
      </c>
    </row>
    <row r="3347" customFormat="false" ht="15" hidden="false" customHeight="false" outlineLevel="0" collapsed="false">
      <c r="A3347" s="2" t="n">
        <v>31</v>
      </c>
      <c r="B3347" s="2" t="s">
        <v>38</v>
      </c>
      <c r="C3347" s="2" t="s">
        <v>45</v>
      </c>
      <c r="D3347" s="2" t="s">
        <v>25</v>
      </c>
      <c r="E3347" s="2" t="s">
        <v>20</v>
      </c>
      <c r="F3347" s="2" t="n">
        <v>10787</v>
      </c>
      <c r="G3347" s="2" t="s">
        <v>26</v>
      </c>
      <c r="H3347" s="2" t="s">
        <v>20</v>
      </c>
      <c r="I3347" s="2" t="s">
        <v>23</v>
      </c>
      <c r="J3347" s="2" t="n">
        <v>4</v>
      </c>
      <c r="K3347" s="2" t="s">
        <v>33</v>
      </c>
      <c r="L3347" s="2" t="n">
        <v>135</v>
      </c>
      <c r="M3347" s="2" t="n">
        <v>2</v>
      </c>
      <c r="N3347" s="2" t="n">
        <v>-1</v>
      </c>
      <c r="O3347" s="2" t="n">
        <v>0</v>
      </c>
      <c r="P3347" s="2" t="s">
        <v>23</v>
      </c>
      <c r="Q3347" s="2" t="s">
        <v>20</v>
      </c>
    </row>
    <row r="3348" customFormat="false" ht="15" hidden="false" customHeight="false" outlineLevel="0" collapsed="false">
      <c r="A3348" s="2" t="n">
        <v>55</v>
      </c>
      <c r="B3348" s="2" t="s">
        <v>40</v>
      </c>
      <c r="C3348" s="2" t="s">
        <v>18</v>
      </c>
      <c r="D3348" s="2" t="s">
        <v>25</v>
      </c>
      <c r="E3348" s="2" t="s">
        <v>20</v>
      </c>
      <c r="F3348" s="2" t="n">
        <v>865</v>
      </c>
      <c r="G3348" s="2" t="s">
        <v>26</v>
      </c>
      <c r="H3348" s="2" t="s">
        <v>20</v>
      </c>
      <c r="I3348" s="2" t="s">
        <v>21</v>
      </c>
      <c r="J3348" s="2" t="n">
        <v>27</v>
      </c>
      <c r="K3348" s="2" t="s">
        <v>22</v>
      </c>
      <c r="L3348" s="2" t="n">
        <v>96</v>
      </c>
      <c r="M3348" s="2" t="n">
        <v>1</v>
      </c>
      <c r="N3348" s="2" t="n">
        <v>111</v>
      </c>
      <c r="O3348" s="2" t="n">
        <v>3</v>
      </c>
      <c r="P3348" s="2" t="s">
        <v>28</v>
      </c>
      <c r="Q3348" s="2" t="s">
        <v>20</v>
      </c>
    </row>
    <row r="3349" customFormat="false" ht="15" hidden="false" customHeight="false" outlineLevel="0" collapsed="false">
      <c r="A3349" s="2" t="n">
        <v>36</v>
      </c>
      <c r="B3349" s="2" t="s">
        <v>29</v>
      </c>
      <c r="C3349" s="2" t="s">
        <v>18</v>
      </c>
      <c r="D3349" s="2" t="s">
        <v>31</v>
      </c>
      <c r="E3349" s="2" t="s">
        <v>20</v>
      </c>
      <c r="F3349" s="2" t="n">
        <v>340</v>
      </c>
      <c r="G3349" s="2" t="s">
        <v>26</v>
      </c>
      <c r="H3349" s="2" t="s">
        <v>20</v>
      </c>
      <c r="I3349" s="2" t="s">
        <v>21</v>
      </c>
      <c r="J3349" s="2" t="n">
        <v>20</v>
      </c>
      <c r="K3349" s="2" t="s">
        <v>32</v>
      </c>
      <c r="L3349" s="2" t="n">
        <v>68</v>
      </c>
      <c r="M3349" s="2" t="n">
        <v>2</v>
      </c>
      <c r="N3349" s="2" t="n">
        <v>-1</v>
      </c>
      <c r="O3349" s="2" t="n">
        <v>0</v>
      </c>
      <c r="P3349" s="2" t="s">
        <v>23</v>
      </c>
      <c r="Q3349" s="2" t="s">
        <v>20</v>
      </c>
    </row>
    <row r="3350" customFormat="false" ht="15" hidden="false" customHeight="false" outlineLevel="0" collapsed="false">
      <c r="A3350" s="2" t="n">
        <v>31</v>
      </c>
      <c r="B3350" s="2" t="s">
        <v>34</v>
      </c>
      <c r="C3350" s="2" t="s">
        <v>30</v>
      </c>
      <c r="D3350" s="2" t="s">
        <v>25</v>
      </c>
      <c r="E3350" s="2" t="s">
        <v>20</v>
      </c>
      <c r="F3350" s="2" t="n">
        <v>1882</v>
      </c>
      <c r="G3350" s="2" t="s">
        <v>20</v>
      </c>
      <c r="H3350" s="2" t="s">
        <v>20</v>
      </c>
      <c r="I3350" s="2" t="s">
        <v>21</v>
      </c>
      <c r="J3350" s="2" t="n">
        <v>7</v>
      </c>
      <c r="K3350" s="2" t="s">
        <v>27</v>
      </c>
      <c r="L3350" s="2" t="n">
        <v>529</v>
      </c>
      <c r="M3350" s="2" t="n">
        <v>2</v>
      </c>
      <c r="N3350" s="2" t="n">
        <v>-1</v>
      </c>
      <c r="O3350" s="2" t="n">
        <v>0</v>
      </c>
      <c r="P3350" s="2" t="s">
        <v>23</v>
      </c>
      <c r="Q3350" s="2" t="s">
        <v>20</v>
      </c>
    </row>
    <row r="3351" customFormat="false" ht="15" hidden="false" customHeight="false" outlineLevel="0" collapsed="false">
      <c r="A3351" s="2" t="n">
        <v>26</v>
      </c>
      <c r="B3351" s="2" t="s">
        <v>29</v>
      </c>
      <c r="C3351" s="2" t="s">
        <v>18</v>
      </c>
      <c r="D3351" s="2" t="s">
        <v>31</v>
      </c>
      <c r="E3351" s="2" t="s">
        <v>20</v>
      </c>
      <c r="F3351" s="2" t="n">
        <v>265</v>
      </c>
      <c r="G3351" s="2" t="s">
        <v>20</v>
      </c>
      <c r="H3351" s="2" t="s">
        <v>20</v>
      </c>
      <c r="I3351" s="2" t="s">
        <v>21</v>
      </c>
      <c r="J3351" s="2" t="n">
        <v>30</v>
      </c>
      <c r="K3351" s="2" t="s">
        <v>43</v>
      </c>
      <c r="L3351" s="2" t="n">
        <v>650</v>
      </c>
      <c r="M3351" s="2" t="n">
        <v>2</v>
      </c>
      <c r="N3351" s="2" t="n">
        <v>-1</v>
      </c>
      <c r="O3351" s="2" t="n">
        <v>0</v>
      </c>
      <c r="P3351" s="2" t="s">
        <v>23</v>
      </c>
      <c r="Q3351" s="2" t="s">
        <v>20</v>
      </c>
    </row>
    <row r="3352" customFormat="false" ht="15" hidden="false" customHeight="false" outlineLevel="0" collapsed="false">
      <c r="A3352" s="2" t="n">
        <v>31</v>
      </c>
      <c r="B3352" s="2" t="s">
        <v>40</v>
      </c>
      <c r="C3352" s="2" t="s">
        <v>18</v>
      </c>
      <c r="D3352" s="2" t="s">
        <v>25</v>
      </c>
      <c r="E3352" s="2" t="s">
        <v>20</v>
      </c>
      <c r="F3352" s="2" t="n">
        <v>389</v>
      </c>
      <c r="G3352" s="2" t="s">
        <v>26</v>
      </c>
      <c r="H3352" s="2" t="s">
        <v>20</v>
      </c>
      <c r="I3352" s="2" t="s">
        <v>21</v>
      </c>
      <c r="J3352" s="2" t="n">
        <v>7</v>
      </c>
      <c r="K3352" s="2" t="s">
        <v>53</v>
      </c>
      <c r="L3352" s="2" t="n">
        <v>69</v>
      </c>
      <c r="M3352" s="2" t="n">
        <v>1</v>
      </c>
      <c r="N3352" s="2" t="n">
        <v>185</v>
      </c>
      <c r="O3352" s="2" t="n">
        <v>2</v>
      </c>
      <c r="P3352" s="2" t="s">
        <v>28</v>
      </c>
      <c r="Q3352" s="2" t="s">
        <v>20</v>
      </c>
    </row>
    <row r="3353" customFormat="false" ht="15" hidden="false" customHeight="false" outlineLevel="0" collapsed="false">
      <c r="A3353" s="2" t="n">
        <v>49</v>
      </c>
      <c r="B3353" s="2" t="s">
        <v>40</v>
      </c>
      <c r="C3353" s="2" t="s">
        <v>18</v>
      </c>
      <c r="D3353" s="2" t="s">
        <v>25</v>
      </c>
      <c r="E3353" s="2" t="s">
        <v>20</v>
      </c>
      <c r="F3353" s="2" t="n">
        <v>0</v>
      </c>
      <c r="G3353" s="2" t="s">
        <v>26</v>
      </c>
      <c r="H3353" s="2" t="s">
        <v>26</v>
      </c>
      <c r="I3353" s="2" t="s">
        <v>21</v>
      </c>
      <c r="J3353" s="2" t="n">
        <v>29</v>
      </c>
      <c r="K3353" s="2" t="s">
        <v>44</v>
      </c>
      <c r="L3353" s="2" t="n">
        <v>71</v>
      </c>
      <c r="M3353" s="2" t="n">
        <v>7</v>
      </c>
      <c r="N3353" s="2" t="n">
        <v>-1</v>
      </c>
      <c r="O3353" s="2" t="n">
        <v>0</v>
      </c>
      <c r="P3353" s="2" t="s">
        <v>23</v>
      </c>
      <c r="Q3353" s="2" t="s">
        <v>20</v>
      </c>
    </row>
    <row r="3354" customFormat="false" ht="15" hidden="false" customHeight="false" outlineLevel="0" collapsed="false">
      <c r="A3354" s="2" t="n">
        <v>54</v>
      </c>
      <c r="B3354" s="2" t="s">
        <v>29</v>
      </c>
      <c r="C3354" s="2" t="s">
        <v>18</v>
      </c>
      <c r="D3354" s="2" t="s">
        <v>31</v>
      </c>
      <c r="E3354" s="2" t="s">
        <v>20</v>
      </c>
      <c r="F3354" s="2" t="n">
        <v>384</v>
      </c>
      <c r="G3354" s="2" t="s">
        <v>26</v>
      </c>
      <c r="H3354" s="2" t="s">
        <v>20</v>
      </c>
      <c r="I3354" s="2" t="s">
        <v>21</v>
      </c>
      <c r="J3354" s="2" t="n">
        <v>12</v>
      </c>
      <c r="K3354" s="2" t="s">
        <v>27</v>
      </c>
      <c r="L3354" s="2" t="n">
        <v>30</v>
      </c>
      <c r="M3354" s="2" t="n">
        <v>7</v>
      </c>
      <c r="N3354" s="2" t="n">
        <v>-1</v>
      </c>
      <c r="O3354" s="2" t="n">
        <v>0</v>
      </c>
      <c r="P3354" s="2" t="s">
        <v>23</v>
      </c>
      <c r="Q3354" s="2" t="s">
        <v>20</v>
      </c>
    </row>
    <row r="3355" customFormat="false" ht="15" hidden="false" customHeight="false" outlineLevel="0" collapsed="false">
      <c r="A3355" s="2" t="n">
        <v>47</v>
      </c>
      <c r="B3355" s="2" t="s">
        <v>29</v>
      </c>
      <c r="C3355" s="2" t="s">
        <v>45</v>
      </c>
      <c r="D3355" s="2" t="s">
        <v>31</v>
      </c>
      <c r="E3355" s="2" t="s">
        <v>20</v>
      </c>
      <c r="F3355" s="2" t="n">
        <v>94</v>
      </c>
      <c r="G3355" s="2" t="s">
        <v>26</v>
      </c>
      <c r="H3355" s="2" t="s">
        <v>20</v>
      </c>
      <c r="I3355" s="2" t="s">
        <v>21</v>
      </c>
      <c r="J3355" s="2" t="n">
        <v>31</v>
      </c>
      <c r="K3355" s="2" t="s">
        <v>44</v>
      </c>
      <c r="L3355" s="2" t="n">
        <v>9</v>
      </c>
      <c r="M3355" s="2" t="n">
        <v>19</v>
      </c>
      <c r="N3355" s="2" t="n">
        <v>-1</v>
      </c>
      <c r="O3355" s="2" t="n">
        <v>0</v>
      </c>
      <c r="P3355" s="2" t="s">
        <v>23</v>
      </c>
      <c r="Q3355" s="2" t="s">
        <v>20</v>
      </c>
    </row>
    <row r="3356" customFormat="false" ht="15" hidden="false" customHeight="false" outlineLevel="0" collapsed="false">
      <c r="A3356" s="2" t="n">
        <v>61</v>
      </c>
      <c r="B3356" s="2" t="s">
        <v>29</v>
      </c>
      <c r="C3356" s="2" t="s">
        <v>18</v>
      </c>
      <c r="D3356" s="2" t="s">
        <v>25</v>
      </c>
      <c r="E3356" s="2" t="s">
        <v>20</v>
      </c>
      <c r="F3356" s="2" t="n">
        <v>1471</v>
      </c>
      <c r="G3356" s="2" t="s">
        <v>20</v>
      </c>
      <c r="H3356" s="2" t="s">
        <v>20</v>
      </c>
      <c r="I3356" s="2" t="s">
        <v>21</v>
      </c>
      <c r="J3356" s="2" t="n">
        <v>12</v>
      </c>
      <c r="K3356" s="2" t="s">
        <v>41</v>
      </c>
      <c r="L3356" s="2" t="n">
        <v>331</v>
      </c>
      <c r="M3356" s="2" t="n">
        <v>2</v>
      </c>
      <c r="N3356" s="2" t="n">
        <v>-1</v>
      </c>
      <c r="O3356" s="2" t="n">
        <v>0</v>
      </c>
      <c r="P3356" s="2" t="s">
        <v>23</v>
      </c>
      <c r="Q3356" s="2" t="s">
        <v>20</v>
      </c>
    </row>
    <row r="3357" customFormat="false" ht="15" hidden="false" customHeight="false" outlineLevel="0" collapsed="false">
      <c r="A3357" s="2" t="n">
        <v>49</v>
      </c>
      <c r="B3357" s="2" t="s">
        <v>34</v>
      </c>
      <c r="C3357" s="2" t="s">
        <v>18</v>
      </c>
      <c r="D3357" s="2" t="s">
        <v>19</v>
      </c>
      <c r="E3357" s="2" t="s">
        <v>20</v>
      </c>
      <c r="F3357" s="2" t="n">
        <v>937</v>
      </c>
      <c r="G3357" s="2" t="s">
        <v>26</v>
      </c>
      <c r="H3357" s="2" t="s">
        <v>20</v>
      </c>
      <c r="I3357" s="2" t="s">
        <v>23</v>
      </c>
      <c r="J3357" s="2" t="n">
        <v>12</v>
      </c>
      <c r="K3357" s="2" t="s">
        <v>33</v>
      </c>
      <c r="L3357" s="2" t="n">
        <v>66</v>
      </c>
      <c r="M3357" s="2" t="n">
        <v>1</v>
      </c>
      <c r="N3357" s="2" t="n">
        <v>-1</v>
      </c>
      <c r="O3357" s="2" t="n">
        <v>0</v>
      </c>
      <c r="P3357" s="2" t="s">
        <v>23</v>
      </c>
      <c r="Q3357" s="2" t="s">
        <v>20</v>
      </c>
    </row>
    <row r="3358" customFormat="false" ht="15" hidden="false" customHeight="false" outlineLevel="0" collapsed="false">
      <c r="A3358" s="2" t="n">
        <v>51</v>
      </c>
      <c r="B3358" s="2" t="s">
        <v>38</v>
      </c>
      <c r="C3358" s="2" t="s">
        <v>18</v>
      </c>
      <c r="D3358" s="2" t="s">
        <v>25</v>
      </c>
      <c r="E3358" s="2" t="s">
        <v>20</v>
      </c>
      <c r="F3358" s="2" t="n">
        <v>500</v>
      </c>
      <c r="G3358" s="2" t="s">
        <v>26</v>
      </c>
      <c r="H3358" s="2" t="s">
        <v>20</v>
      </c>
      <c r="I3358" s="2" t="s">
        <v>21</v>
      </c>
      <c r="J3358" s="2" t="n">
        <v>20</v>
      </c>
      <c r="K3358" s="2" t="s">
        <v>46</v>
      </c>
      <c r="L3358" s="2" t="n">
        <v>26</v>
      </c>
      <c r="M3358" s="2" t="n">
        <v>6</v>
      </c>
      <c r="N3358" s="2" t="n">
        <v>-1</v>
      </c>
      <c r="O3358" s="2" t="n">
        <v>0</v>
      </c>
      <c r="P3358" s="2" t="s">
        <v>23</v>
      </c>
      <c r="Q3358" s="2" t="s">
        <v>20</v>
      </c>
    </row>
    <row r="3359" customFormat="false" ht="15" hidden="false" customHeight="false" outlineLevel="0" collapsed="false">
      <c r="A3359" s="2" t="n">
        <v>53</v>
      </c>
      <c r="B3359" s="2" t="s">
        <v>34</v>
      </c>
      <c r="C3359" s="2" t="s">
        <v>18</v>
      </c>
      <c r="D3359" s="2" t="s">
        <v>19</v>
      </c>
      <c r="E3359" s="2" t="s">
        <v>20</v>
      </c>
      <c r="F3359" s="2" t="n">
        <v>25</v>
      </c>
      <c r="G3359" s="2" t="s">
        <v>26</v>
      </c>
      <c r="H3359" s="2" t="s">
        <v>20</v>
      </c>
      <c r="I3359" s="2" t="s">
        <v>23</v>
      </c>
      <c r="J3359" s="2" t="n">
        <v>6</v>
      </c>
      <c r="K3359" s="2" t="s">
        <v>27</v>
      </c>
      <c r="L3359" s="2" t="n">
        <v>266</v>
      </c>
      <c r="M3359" s="2" t="n">
        <v>3</v>
      </c>
      <c r="N3359" s="2" t="n">
        <v>-1</v>
      </c>
      <c r="O3359" s="2" t="n">
        <v>0</v>
      </c>
      <c r="P3359" s="2" t="s">
        <v>23</v>
      </c>
      <c r="Q3359" s="2" t="s">
        <v>20</v>
      </c>
    </row>
    <row r="3360" customFormat="false" ht="15" hidden="false" customHeight="false" outlineLevel="0" collapsed="false">
      <c r="A3360" s="2" t="n">
        <v>35</v>
      </c>
      <c r="B3360" s="2" t="s">
        <v>29</v>
      </c>
      <c r="C3360" s="2" t="s">
        <v>18</v>
      </c>
      <c r="D3360" s="2" t="s">
        <v>31</v>
      </c>
      <c r="E3360" s="2" t="s">
        <v>20</v>
      </c>
      <c r="F3360" s="2" t="n">
        <v>365</v>
      </c>
      <c r="G3360" s="2" t="s">
        <v>20</v>
      </c>
      <c r="H3360" s="2" t="s">
        <v>20</v>
      </c>
      <c r="I3360" s="2" t="s">
        <v>21</v>
      </c>
      <c r="J3360" s="2" t="n">
        <v>21</v>
      </c>
      <c r="K3360" s="2" t="s">
        <v>46</v>
      </c>
      <c r="L3360" s="2" t="n">
        <v>168</v>
      </c>
      <c r="M3360" s="2" t="n">
        <v>2</v>
      </c>
      <c r="N3360" s="2" t="n">
        <v>-1</v>
      </c>
      <c r="O3360" s="2" t="n">
        <v>0</v>
      </c>
      <c r="P3360" s="2" t="s">
        <v>23</v>
      </c>
      <c r="Q3360" s="2" t="s">
        <v>20</v>
      </c>
    </row>
    <row r="3361" customFormat="false" ht="15" hidden="false" customHeight="false" outlineLevel="0" collapsed="false">
      <c r="A3361" s="2" t="n">
        <v>25</v>
      </c>
      <c r="B3361" s="2" t="s">
        <v>17</v>
      </c>
      <c r="C3361" s="2" t="s">
        <v>30</v>
      </c>
      <c r="D3361" s="2" t="s">
        <v>25</v>
      </c>
      <c r="E3361" s="2" t="s">
        <v>20</v>
      </c>
      <c r="F3361" s="2" t="n">
        <v>34</v>
      </c>
      <c r="G3361" s="2" t="s">
        <v>20</v>
      </c>
      <c r="H3361" s="2" t="s">
        <v>26</v>
      </c>
      <c r="I3361" s="2" t="s">
        <v>23</v>
      </c>
      <c r="J3361" s="2" t="n">
        <v>4</v>
      </c>
      <c r="K3361" s="2" t="s">
        <v>44</v>
      </c>
      <c r="L3361" s="2" t="n">
        <v>316</v>
      </c>
      <c r="M3361" s="2" t="n">
        <v>1</v>
      </c>
      <c r="N3361" s="2" t="n">
        <v>-1</v>
      </c>
      <c r="O3361" s="2" t="n">
        <v>0</v>
      </c>
      <c r="P3361" s="2" t="s">
        <v>23</v>
      </c>
      <c r="Q3361" s="2" t="s">
        <v>20</v>
      </c>
    </row>
    <row r="3362" customFormat="false" ht="15" hidden="false" customHeight="false" outlineLevel="0" collapsed="false">
      <c r="A3362" s="2" t="n">
        <v>79</v>
      </c>
      <c r="B3362" s="2" t="s">
        <v>48</v>
      </c>
      <c r="C3362" s="2" t="s">
        <v>18</v>
      </c>
      <c r="D3362" s="2" t="s">
        <v>19</v>
      </c>
      <c r="E3362" s="2" t="s">
        <v>20</v>
      </c>
      <c r="F3362" s="2" t="n">
        <v>429</v>
      </c>
      <c r="G3362" s="2" t="s">
        <v>20</v>
      </c>
      <c r="H3362" s="2" t="s">
        <v>20</v>
      </c>
      <c r="I3362" s="2" t="s">
        <v>49</v>
      </c>
      <c r="J3362" s="2" t="n">
        <v>8</v>
      </c>
      <c r="K3362" s="2" t="s">
        <v>44</v>
      </c>
      <c r="L3362" s="2" t="n">
        <v>1006</v>
      </c>
      <c r="M3362" s="2" t="n">
        <v>2</v>
      </c>
      <c r="N3362" s="2" t="n">
        <v>-1</v>
      </c>
      <c r="O3362" s="2" t="n">
        <v>0</v>
      </c>
      <c r="P3362" s="2" t="s">
        <v>23</v>
      </c>
      <c r="Q3362" s="2" t="s">
        <v>26</v>
      </c>
    </row>
    <row r="3363" customFormat="false" ht="15" hidden="false" customHeight="false" outlineLevel="0" collapsed="false">
      <c r="A3363" s="2" t="n">
        <v>53</v>
      </c>
      <c r="B3363" s="2" t="s">
        <v>38</v>
      </c>
      <c r="C3363" s="2" t="s">
        <v>18</v>
      </c>
      <c r="D3363" s="2" t="s">
        <v>19</v>
      </c>
      <c r="E3363" s="2" t="s">
        <v>20</v>
      </c>
      <c r="F3363" s="2" t="n">
        <v>6839</v>
      </c>
      <c r="G3363" s="2" t="s">
        <v>26</v>
      </c>
      <c r="H3363" s="2" t="s">
        <v>20</v>
      </c>
      <c r="I3363" s="2" t="s">
        <v>21</v>
      </c>
      <c r="J3363" s="2" t="n">
        <v>19</v>
      </c>
      <c r="K3363" s="2" t="s">
        <v>46</v>
      </c>
      <c r="L3363" s="2" t="n">
        <v>77</v>
      </c>
      <c r="M3363" s="2" t="n">
        <v>1</v>
      </c>
      <c r="N3363" s="2" t="n">
        <v>-1</v>
      </c>
      <c r="O3363" s="2" t="n">
        <v>0</v>
      </c>
      <c r="P3363" s="2" t="s">
        <v>23</v>
      </c>
      <c r="Q3363" s="2" t="s">
        <v>20</v>
      </c>
    </row>
    <row r="3364" customFormat="false" ht="15" hidden="false" customHeight="false" outlineLevel="0" collapsed="false">
      <c r="A3364" s="2" t="n">
        <v>21</v>
      </c>
      <c r="B3364" s="2" t="s">
        <v>42</v>
      </c>
      <c r="C3364" s="2" t="s">
        <v>30</v>
      </c>
      <c r="D3364" s="2" t="s">
        <v>25</v>
      </c>
      <c r="E3364" s="2" t="s">
        <v>20</v>
      </c>
      <c r="F3364" s="2" t="n">
        <v>6</v>
      </c>
      <c r="G3364" s="2" t="s">
        <v>20</v>
      </c>
      <c r="H3364" s="2" t="s">
        <v>20</v>
      </c>
      <c r="I3364" s="2" t="s">
        <v>23</v>
      </c>
      <c r="J3364" s="2" t="n">
        <v>9</v>
      </c>
      <c r="K3364" s="2" t="s">
        <v>27</v>
      </c>
      <c r="L3364" s="2" t="n">
        <v>622</v>
      </c>
      <c r="M3364" s="2" t="n">
        <v>1</v>
      </c>
      <c r="N3364" s="2" t="n">
        <v>-1</v>
      </c>
      <c r="O3364" s="2" t="n">
        <v>0</v>
      </c>
      <c r="P3364" s="2" t="s">
        <v>23</v>
      </c>
      <c r="Q3364" s="2" t="s">
        <v>20</v>
      </c>
    </row>
    <row r="3365" customFormat="false" ht="15" hidden="false" customHeight="false" outlineLevel="0" collapsed="false">
      <c r="A3365" s="2" t="n">
        <v>33</v>
      </c>
      <c r="B3365" s="2" t="s">
        <v>34</v>
      </c>
      <c r="C3365" s="2" t="s">
        <v>18</v>
      </c>
      <c r="D3365" s="2" t="s">
        <v>25</v>
      </c>
      <c r="E3365" s="2" t="s">
        <v>20</v>
      </c>
      <c r="F3365" s="2" t="n">
        <v>467</v>
      </c>
      <c r="G3365" s="2" t="s">
        <v>26</v>
      </c>
      <c r="H3365" s="2" t="s">
        <v>20</v>
      </c>
      <c r="I3365" s="2" t="s">
        <v>23</v>
      </c>
      <c r="J3365" s="2" t="n">
        <v>21</v>
      </c>
      <c r="K3365" s="2" t="s">
        <v>27</v>
      </c>
      <c r="L3365" s="2" t="n">
        <v>494</v>
      </c>
      <c r="M3365" s="2" t="n">
        <v>2</v>
      </c>
      <c r="N3365" s="2" t="n">
        <v>-1</v>
      </c>
      <c r="O3365" s="2" t="n">
        <v>0</v>
      </c>
      <c r="P3365" s="2" t="s">
        <v>23</v>
      </c>
      <c r="Q3365" s="2" t="s">
        <v>20</v>
      </c>
    </row>
    <row r="3366" customFormat="false" ht="15" hidden="false" customHeight="false" outlineLevel="0" collapsed="false">
      <c r="A3366" s="2" t="n">
        <v>40</v>
      </c>
      <c r="B3366" s="2" t="s">
        <v>36</v>
      </c>
      <c r="C3366" s="2" t="s">
        <v>45</v>
      </c>
      <c r="D3366" s="2" t="s">
        <v>25</v>
      </c>
      <c r="E3366" s="2" t="s">
        <v>20</v>
      </c>
      <c r="F3366" s="2" t="n">
        <v>1876</v>
      </c>
      <c r="G3366" s="2" t="s">
        <v>20</v>
      </c>
      <c r="H3366" s="2" t="s">
        <v>26</v>
      </c>
      <c r="I3366" s="2" t="s">
        <v>23</v>
      </c>
      <c r="J3366" s="2" t="n">
        <v>20</v>
      </c>
      <c r="K3366" s="2" t="s">
        <v>33</v>
      </c>
      <c r="L3366" s="2" t="n">
        <v>269</v>
      </c>
      <c r="M3366" s="2" t="n">
        <v>1</v>
      </c>
      <c r="N3366" s="2" t="n">
        <v>-1</v>
      </c>
      <c r="O3366" s="2" t="n">
        <v>0</v>
      </c>
      <c r="P3366" s="2" t="s">
        <v>23</v>
      </c>
      <c r="Q3366" s="2" t="s">
        <v>20</v>
      </c>
    </row>
    <row r="3367" customFormat="false" ht="15" hidden="false" customHeight="false" outlineLevel="0" collapsed="false">
      <c r="A3367" s="2" t="n">
        <v>34</v>
      </c>
      <c r="B3367" s="2" t="s">
        <v>39</v>
      </c>
      <c r="C3367" s="2" t="s">
        <v>18</v>
      </c>
      <c r="D3367" s="2" t="s">
        <v>25</v>
      </c>
      <c r="E3367" s="2" t="s">
        <v>20</v>
      </c>
      <c r="F3367" s="2" t="n">
        <v>1847</v>
      </c>
      <c r="G3367" s="2" t="s">
        <v>26</v>
      </c>
      <c r="H3367" s="2" t="s">
        <v>20</v>
      </c>
      <c r="I3367" s="2" t="s">
        <v>21</v>
      </c>
      <c r="J3367" s="2" t="n">
        <v>9</v>
      </c>
      <c r="K3367" s="2" t="s">
        <v>32</v>
      </c>
      <c r="L3367" s="2" t="n">
        <v>543</v>
      </c>
      <c r="M3367" s="2" t="n">
        <v>3</v>
      </c>
      <c r="N3367" s="2" t="n">
        <v>321</v>
      </c>
      <c r="O3367" s="2" t="n">
        <v>6</v>
      </c>
      <c r="P3367" s="2" t="s">
        <v>28</v>
      </c>
      <c r="Q3367" s="2" t="s">
        <v>20</v>
      </c>
    </row>
    <row r="3368" customFormat="false" ht="15" hidden="false" customHeight="false" outlineLevel="0" collapsed="false">
      <c r="A3368" s="2" t="n">
        <v>52</v>
      </c>
      <c r="B3368" s="2" t="s">
        <v>23</v>
      </c>
      <c r="C3368" s="2" t="s">
        <v>18</v>
      </c>
      <c r="D3368" s="2" t="s">
        <v>19</v>
      </c>
      <c r="E3368" s="2" t="s">
        <v>20</v>
      </c>
      <c r="F3368" s="2" t="n">
        <v>247</v>
      </c>
      <c r="G3368" s="2" t="s">
        <v>20</v>
      </c>
      <c r="H3368" s="2" t="s">
        <v>20</v>
      </c>
      <c r="I3368" s="2" t="s">
        <v>21</v>
      </c>
      <c r="J3368" s="2" t="n">
        <v>29</v>
      </c>
      <c r="K3368" s="2" t="s">
        <v>44</v>
      </c>
      <c r="L3368" s="2" t="n">
        <v>268</v>
      </c>
      <c r="M3368" s="2" t="n">
        <v>6</v>
      </c>
      <c r="N3368" s="2" t="n">
        <v>-1</v>
      </c>
      <c r="O3368" s="2" t="n">
        <v>0</v>
      </c>
      <c r="P3368" s="2" t="s">
        <v>23</v>
      </c>
      <c r="Q3368" s="2" t="s">
        <v>20</v>
      </c>
    </row>
    <row r="3369" customFormat="false" ht="15" hidden="false" customHeight="false" outlineLevel="0" collapsed="false">
      <c r="A3369" s="2" t="n">
        <v>27</v>
      </c>
      <c r="B3369" s="2" t="s">
        <v>40</v>
      </c>
      <c r="C3369" s="2" t="s">
        <v>18</v>
      </c>
      <c r="D3369" s="2" t="s">
        <v>25</v>
      </c>
      <c r="E3369" s="2" t="s">
        <v>20</v>
      </c>
      <c r="F3369" s="2" t="n">
        <v>897</v>
      </c>
      <c r="G3369" s="2" t="s">
        <v>20</v>
      </c>
      <c r="H3369" s="2" t="s">
        <v>20</v>
      </c>
      <c r="I3369" s="2" t="s">
        <v>21</v>
      </c>
      <c r="J3369" s="2" t="n">
        <v>5</v>
      </c>
      <c r="K3369" s="2" t="s">
        <v>33</v>
      </c>
      <c r="L3369" s="2" t="n">
        <v>397</v>
      </c>
      <c r="M3369" s="2" t="n">
        <v>1</v>
      </c>
      <c r="N3369" s="2" t="n">
        <v>-1</v>
      </c>
      <c r="O3369" s="2" t="n">
        <v>0</v>
      </c>
      <c r="P3369" s="2" t="s">
        <v>23</v>
      </c>
      <c r="Q3369" s="2" t="s">
        <v>26</v>
      </c>
    </row>
    <row r="3370" customFormat="false" ht="15" hidden="false" customHeight="false" outlineLevel="0" collapsed="false">
      <c r="A3370" s="2" t="n">
        <v>57</v>
      </c>
      <c r="B3370" s="2" t="s">
        <v>24</v>
      </c>
      <c r="C3370" s="2" t="s">
        <v>45</v>
      </c>
      <c r="D3370" s="2" t="s">
        <v>25</v>
      </c>
      <c r="E3370" s="2" t="s">
        <v>20</v>
      </c>
      <c r="F3370" s="2" t="n">
        <v>4664</v>
      </c>
      <c r="G3370" s="2" t="s">
        <v>20</v>
      </c>
      <c r="H3370" s="2" t="s">
        <v>20</v>
      </c>
      <c r="I3370" s="2" t="s">
        <v>21</v>
      </c>
      <c r="J3370" s="2" t="n">
        <v>21</v>
      </c>
      <c r="K3370" s="2" t="s">
        <v>46</v>
      </c>
      <c r="L3370" s="2" t="n">
        <v>22</v>
      </c>
      <c r="M3370" s="2" t="n">
        <v>4</v>
      </c>
      <c r="N3370" s="2" t="n">
        <v>114</v>
      </c>
      <c r="O3370" s="2" t="n">
        <v>1</v>
      </c>
      <c r="P3370" s="2" t="s">
        <v>28</v>
      </c>
      <c r="Q3370" s="2" t="s">
        <v>20</v>
      </c>
    </row>
    <row r="3371" customFormat="false" ht="15" hidden="false" customHeight="false" outlineLevel="0" collapsed="false">
      <c r="A3371" s="2" t="n">
        <v>51</v>
      </c>
      <c r="B3371" s="2" t="s">
        <v>36</v>
      </c>
      <c r="C3371" s="2" t="s">
        <v>45</v>
      </c>
      <c r="D3371" s="2" t="s">
        <v>25</v>
      </c>
      <c r="E3371" s="2" t="s">
        <v>20</v>
      </c>
      <c r="F3371" s="2" t="n">
        <v>1291</v>
      </c>
      <c r="G3371" s="2" t="s">
        <v>26</v>
      </c>
      <c r="H3371" s="2" t="s">
        <v>20</v>
      </c>
      <c r="I3371" s="2" t="s">
        <v>23</v>
      </c>
      <c r="J3371" s="2" t="n">
        <v>3</v>
      </c>
      <c r="K3371" s="2" t="s">
        <v>33</v>
      </c>
      <c r="L3371" s="2" t="n">
        <v>51</v>
      </c>
      <c r="M3371" s="2" t="n">
        <v>2</v>
      </c>
      <c r="N3371" s="2" t="n">
        <v>-1</v>
      </c>
      <c r="O3371" s="2" t="n">
        <v>0</v>
      </c>
      <c r="P3371" s="2" t="s">
        <v>23</v>
      </c>
      <c r="Q3371" s="2" t="s">
        <v>20</v>
      </c>
    </row>
    <row r="3372" customFormat="false" ht="15" hidden="false" customHeight="false" outlineLevel="0" collapsed="false">
      <c r="A3372" s="2" t="n">
        <v>31</v>
      </c>
      <c r="B3372" s="2" t="s">
        <v>42</v>
      </c>
      <c r="C3372" s="2" t="s">
        <v>30</v>
      </c>
      <c r="D3372" s="2" t="s">
        <v>31</v>
      </c>
      <c r="E3372" s="2" t="s">
        <v>20</v>
      </c>
      <c r="F3372" s="2" t="n">
        <v>64</v>
      </c>
      <c r="G3372" s="2" t="s">
        <v>20</v>
      </c>
      <c r="H3372" s="2" t="s">
        <v>20</v>
      </c>
      <c r="I3372" s="2" t="s">
        <v>21</v>
      </c>
      <c r="J3372" s="2" t="n">
        <v>15</v>
      </c>
      <c r="K3372" s="2" t="s">
        <v>51</v>
      </c>
      <c r="L3372" s="2" t="n">
        <v>208</v>
      </c>
      <c r="M3372" s="2" t="n">
        <v>1</v>
      </c>
      <c r="N3372" s="2" t="n">
        <v>105</v>
      </c>
      <c r="O3372" s="2" t="n">
        <v>2</v>
      </c>
      <c r="P3372" s="2" t="s">
        <v>50</v>
      </c>
      <c r="Q3372" s="2" t="s">
        <v>20</v>
      </c>
    </row>
    <row r="3373" customFormat="false" ht="15" hidden="false" customHeight="false" outlineLevel="0" collapsed="false">
      <c r="A3373" s="2" t="n">
        <v>49</v>
      </c>
      <c r="B3373" s="2" t="s">
        <v>17</v>
      </c>
      <c r="C3373" s="2" t="s">
        <v>18</v>
      </c>
      <c r="D3373" s="2" t="s">
        <v>31</v>
      </c>
      <c r="E3373" s="2" t="s">
        <v>20</v>
      </c>
      <c r="F3373" s="2" t="n">
        <v>-471</v>
      </c>
      <c r="G3373" s="2" t="s">
        <v>26</v>
      </c>
      <c r="H3373" s="2" t="s">
        <v>20</v>
      </c>
      <c r="I3373" s="2" t="s">
        <v>21</v>
      </c>
      <c r="J3373" s="2" t="n">
        <v>20</v>
      </c>
      <c r="K3373" s="2" t="s">
        <v>46</v>
      </c>
      <c r="L3373" s="2" t="n">
        <v>77</v>
      </c>
      <c r="M3373" s="2" t="n">
        <v>3</v>
      </c>
      <c r="N3373" s="2" t="n">
        <v>185</v>
      </c>
      <c r="O3373" s="2" t="n">
        <v>7</v>
      </c>
      <c r="P3373" s="2" t="s">
        <v>28</v>
      </c>
      <c r="Q3373" s="2" t="s">
        <v>20</v>
      </c>
    </row>
    <row r="3374" customFormat="false" ht="15" hidden="false" customHeight="false" outlineLevel="0" collapsed="false">
      <c r="A3374" s="2" t="n">
        <v>32</v>
      </c>
      <c r="B3374" s="2" t="s">
        <v>29</v>
      </c>
      <c r="C3374" s="2" t="s">
        <v>30</v>
      </c>
      <c r="D3374" s="2" t="s">
        <v>31</v>
      </c>
      <c r="E3374" s="2" t="s">
        <v>20</v>
      </c>
      <c r="F3374" s="2" t="n">
        <v>1160</v>
      </c>
      <c r="G3374" s="2" t="s">
        <v>26</v>
      </c>
      <c r="H3374" s="2" t="s">
        <v>26</v>
      </c>
      <c r="I3374" s="2" t="s">
        <v>23</v>
      </c>
      <c r="J3374" s="2" t="n">
        <v>11</v>
      </c>
      <c r="K3374" s="2" t="s">
        <v>33</v>
      </c>
      <c r="L3374" s="2" t="n">
        <v>450</v>
      </c>
      <c r="M3374" s="2" t="n">
        <v>2</v>
      </c>
      <c r="N3374" s="2" t="n">
        <v>-1</v>
      </c>
      <c r="O3374" s="2" t="n">
        <v>0</v>
      </c>
      <c r="P3374" s="2" t="s">
        <v>23</v>
      </c>
      <c r="Q3374" s="2" t="s">
        <v>20</v>
      </c>
    </row>
    <row r="3375" customFormat="false" ht="15" hidden="false" customHeight="false" outlineLevel="0" collapsed="false">
      <c r="A3375" s="2" t="n">
        <v>28</v>
      </c>
      <c r="B3375" s="2" t="s">
        <v>40</v>
      </c>
      <c r="C3375" s="2" t="s">
        <v>30</v>
      </c>
      <c r="D3375" s="2" t="s">
        <v>31</v>
      </c>
      <c r="E3375" s="2" t="s">
        <v>20</v>
      </c>
      <c r="F3375" s="2" t="n">
        <v>14</v>
      </c>
      <c r="G3375" s="2" t="s">
        <v>20</v>
      </c>
      <c r="H3375" s="2" t="s">
        <v>20</v>
      </c>
      <c r="I3375" s="2" t="s">
        <v>21</v>
      </c>
      <c r="J3375" s="2" t="n">
        <v>1</v>
      </c>
      <c r="K3375" s="2" t="s">
        <v>33</v>
      </c>
      <c r="L3375" s="2" t="n">
        <v>201</v>
      </c>
      <c r="M3375" s="2" t="n">
        <v>1</v>
      </c>
      <c r="N3375" s="2" t="n">
        <v>-1</v>
      </c>
      <c r="O3375" s="2" t="n">
        <v>0</v>
      </c>
      <c r="P3375" s="2" t="s">
        <v>23</v>
      </c>
      <c r="Q3375" s="2" t="s">
        <v>20</v>
      </c>
    </row>
    <row r="3376" customFormat="false" ht="15" hidden="false" customHeight="false" outlineLevel="0" collapsed="false">
      <c r="A3376" s="2" t="n">
        <v>33</v>
      </c>
      <c r="B3376" s="2" t="s">
        <v>34</v>
      </c>
      <c r="C3376" s="2" t="s">
        <v>18</v>
      </c>
      <c r="D3376" s="2" t="s">
        <v>25</v>
      </c>
      <c r="E3376" s="2" t="s">
        <v>20</v>
      </c>
      <c r="F3376" s="2" t="n">
        <v>26</v>
      </c>
      <c r="G3376" s="2" t="s">
        <v>26</v>
      </c>
      <c r="H3376" s="2" t="s">
        <v>20</v>
      </c>
      <c r="I3376" s="2" t="s">
        <v>21</v>
      </c>
      <c r="J3376" s="2" t="n">
        <v>17</v>
      </c>
      <c r="K3376" s="2" t="s">
        <v>32</v>
      </c>
      <c r="L3376" s="2" t="n">
        <v>342</v>
      </c>
      <c r="M3376" s="2" t="n">
        <v>3</v>
      </c>
      <c r="N3376" s="2" t="n">
        <v>332</v>
      </c>
      <c r="O3376" s="2" t="n">
        <v>1</v>
      </c>
      <c r="P3376" s="2" t="s">
        <v>37</v>
      </c>
      <c r="Q3376" s="2" t="s">
        <v>20</v>
      </c>
    </row>
    <row r="3377" customFormat="false" ht="15" hidden="false" customHeight="false" outlineLevel="0" collapsed="false">
      <c r="A3377" s="2" t="n">
        <v>50</v>
      </c>
      <c r="B3377" s="2" t="s">
        <v>34</v>
      </c>
      <c r="C3377" s="2" t="s">
        <v>18</v>
      </c>
      <c r="D3377" s="2" t="s">
        <v>23</v>
      </c>
      <c r="E3377" s="2" t="s">
        <v>20</v>
      </c>
      <c r="F3377" s="2" t="n">
        <v>452</v>
      </c>
      <c r="G3377" s="2" t="s">
        <v>20</v>
      </c>
      <c r="H3377" s="2" t="s">
        <v>20</v>
      </c>
      <c r="I3377" s="2" t="s">
        <v>21</v>
      </c>
      <c r="J3377" s="2" t="n">
        <v>20</v>
      </c>
      <c r="K3377" s="2" t="s">
        <v>41</v>
      </c>
      <c r="L3377" s="2" t="n">
        <v>181</v>
      </c>
      <c r="M3377" s="2" t="n">
        <v>2</v>
      </c>
      <c r="N3377" s="2" t="n">
        <v>-1</v>
      </c>
      <c r="O3377" s="2" t="n">
        <v>0</v>
      </c>
      <c r="P3377" s="2" t="s">
        <v>23</v>
      </c>
      <c r="Q3377" s="2" t="s">
        <v>20</v>
      </c>
    </row>
    <row r="3378" customFormat="false" ht="15" hidden="false" customHeight="false" outlineLevel="0" collapsed="false">
      <c r="A3378" s="2" t="n">
        <v>42</v>
      </c>
      <c r="B3378" s="2" t="s">
        <v>34</v>
      </c>
      <c r="C3378" s="2" t="s">
        <v>30</v>
      </c>
      <c r="D3378" s="2" t="s">
        <v>25</v>
      </c>
      <c r="E3378" s="2" t="s">
        <v>20</v>
      </c>
      <c r="F3378" s="2" t="n">
        <v>382</v>
      </c>
      <c r="G3378" s="2" t="s">
        <v>26</v>
      </c>
      <c r="H3378" s="2" t="s">
        <v>20</v>
      </c>
      <c r="I3378" s="2" t="s">
        <v>21</v>
      </c>
      <c r="J3378" s="2" t="n">
        <v>13</v>
      </c>
      <c r="K3378" s="2" t="s">
        <v>27</v>
      </c>
      <c r="L3378" s="2" t="n">
        <v>294</v>
      </c>
      <c r="M3378" s="2" t="n">
        <v>1</v>
      </c>
      <c r="N3378" s="2" t="n">
        <v>-1</v>
      </c>
      <c r="O3378" s="2" t="n">
        <v>0</v>
      </c>
      <c r="P3378" s="2" t="s">
        <v>23</v>
      </c>
      <c r="Q3378" s="2" t="s">
        <v>20</v>
      </c>
    </row>
    <row r="3379" customFormat="false" ht="15" hidden="false" customHeight="false" outlineLevel="0" collapsed="false">
      <c r="A3379" s="2" t="n">
        <v>45</v>
      </c>
      <c r="B3379" s="2" t="s">
        <v>40</v>
      </c>
      <c r="C3379" s="2" t="s">
        <v>18</v>
      </c>
      <c r="D3379" s="2" t="s">
        <v>23</v>
      </c>
      <c r="E3379" s="2" t="s">
        <v>20</v>
      </c>
      <c r="F3379" s="2" t="n">
        <v>2033</v>
      </c>
      <c r="G3379" s="2" t="s">
        <v>20</v>
      </c>
      <c r="H3379" s="2" t="s">
        <v>20</v>
      </c>
      <c r="I3379" s="2" t="s">
        <v>21</v>
      </c>
      <c r="J3379" s="2" t="n">
        <v>30</v>
      </c>
      <c r="K3379" s="2" t="s">
        <v>46</v>
      </c>
      <c r="L3379" s="2" t="n">
        <v>123</v>
      </c>
      <c r="M3379" s="2" t="n">
        <v>1</v>
      </c>
      <c r="N3379" s="2" t="n">
        <v>186</v>
      </c>
      <c r="O3379" s="2" t="n">
        <v>4</v>
      </c>
      <c r="P3379" s="2" t="s">
        <v>28</v>
      </c>
      <c r="Q3379" s="2" t="s">
        <v>20</v>
      </c>
    </row>
    <row r="3380" customFormat="false" ht="15" hidden="false" customHeight="false" outlineLevel="0" collapsed="false">
      <c r="A3380" s="2" t="n">
        <v>34</v>
      </c>
      <c r="B3380" s="2" t="s">
        <v>17</v>
      </c>
      <c r="C3380" s="2" t="s">
        <v>18</v>
      </c>
      <c r="D3380" s="2" t="s">
        <v>25</v>
      </c>
      <c r="E3380" s="2" t="s">
        <v>20</v>
      </c>
      <c r="F3380" s="2" t="n">
        <v>0</v>
      </c>
      <c r="G3380" s="2" t="s">
        <v>26</v>
      </c>
      <c r="H3380" s="2" t="s">
        <v>20</v>
      </c>
      <c r="I3380" s="2" t="s">
        <v>21</v>
      </c>
      <c r="J3380" s="2" t="n">
        <v>13</v>
      </c>
      <c r="K3380" s="2" t="s">
        <v>27</v>
      </c>
      <c r="L3380" s="2" t="n">
        <v>172</v>
      </c>
      <c r="M3380" s="2" t="n">
        <v>1</v>
      </c>
      <c r="N3380" s="2" t="n">
        <v>-1</v>
      </c>
      <c r="O3380" s="2" t="n">
        <v>0</v>
      </c>
      <c r="P3380" s="2" t="s">
        <v>23</v>
      </c>
      <c r="Q3380" s="2" t="s">
        <v>20</v>
      </c>
    </row>
    <row r="3381" customFormat="false" ht="15" hidden="false" customHeight="false" outlineLevel="0" collapsed="false">
      <c r="A3381" s="2" t="n">
        <v>56</v>
      </c>
      <c r="B3381" s="2" t="s">
        <v>40</v>
      </c>
      <c r="C3381" s="2" t="s">
        <v>45</v>
      </c>
      <c r="D3381" s="2" t="s">
        <v>23</v>
      </c>
      <c r="E3381" s="2" t="s">
        <v>20</v>
      </c>
      <c r="F3381" s="2" t="n">
        <v>789</v>
      </c>
      <c r="G3381" s="2" t="s">
        <v>26</v>
      </c>
      <c r="H3381" s="2" t="s">
        <v>20</v>
      </c>
      <c r="I3381" s="2" t="s">
        <v>21</v>
      </c>
      <c r="J3381" s="2" t="n">
        <v>8</v>
      </c>
      <c r="K3381" s="2" t="s">
        <v>27</v>
      </c>
      <c r="L3381" s="2" t="n">
        <v>1022</v>
      </c>
      <c r="M3381" s="2" t="n">
        <v>1</v>
      </c>
      <c r="N3381" s="2" t="n">
        <v>360</v>
      </c>
      <c r="O3381" s="2" t="n">
        <v>2</v>
      </c>
      <c r="P3381" s="2" t="s">
        <v>28</v>
      </c>
      <c r="Q3381" s="2" t="s">
        <v>20</v>
      </c>
    </row>
    <row r="3382" customFormat="false" ht="15" hidden="false" customHeight="false" outlineLevel="0" collapsed="false">
      <c r="A3382" s="2" t="n">
        <v>33</v>
      </c>
      <c r="B3382" s="2" t="s">
        <v>34</v>
      </c>
      <c r="C3382" s="2" t="s">
        <v>30</v>
      </c>
      <c r="D3382" s="2" t="s">
        <v>25</v>
      </c>
      <c r="E3382" s="2" t="s">
        <v>20</v>
      </c>
      <c r="F3382" s="2" t="n">
        <v>142</v>
      </c>
      <c r="G3382" s="2" t="s">
        <v>26</v>
      </c>
      <c r="H3382" s="2" t="s">
        <v>20</v>
      </c>
      <c r="I3382" s="2" t="s">
        <v>21</v>
      </c>
      <c r="J3382" s="2" t="n">
        <v>14</v>
      </c>
      <c r="K3382" s="2" t="s">
        <v>27</v>
      </c>
      <c r="L3382" s="2" t="n">
        <v>123</v>
      </c>
      <c r="M3382" s="2" t="n">
        <v>1</v>
      </c>
      <c r="N3382" s="2" t="n">
        <v>360</v>
      </c>
      <c r="O3382" s="2" t="n">
        <v>3</v>
      </c>
      <c r="P3382" s="2" t="s">
        <v>37</v>
      </c>
      <c r="Q3382" s="2" t="s">
        <v>20</v>
      </c>
    </row>
    <row r="3383" customFormat="false" ht="15" hidden="false" customHeight="false" outlineLevel="0" collapsed="false">
      <c r="A3383" s="2" t="n">
        <v>34</v>
      </c>
      <c r="B3383" s="2" t="s">
        <v>40</v>
      </c>
      <c r="C3383" s="2" t="s">
        <v>18</v>
      </c>
      <c r="D3383" s="2" t="s">
        <v>25</v>
      </c>
      <c r="E3383" s="2" t="s">
        <v>20</v>
      </c>
      <c r="F3383" s="2" t="n">
        <v>645</v>
      </c>
      <c r="G3383" s="2" t="s">
        <v>26</v>
      </c>
      <c r="H3383" s="2" t="s">
        <v>20</v>
      </c>
      <c r="I3383" s="2" t="s">
        <v>23</v>
      </c>
      <c r="J3383" s="2" t="n">
        <v>19</v>
      </c>
      <c r="K3383" s="2" t="s">
        <v>27</v>
      </c>
      <c r="L3383" s="2" t="n">
        <v>420</v>
      </c>
      <c r="M3383" s="2" t="n">
        <v>1</v>
      </c>
      <c r="N3383" s="2" t="n">
        <v>-1</v>
      </c>
      <c r="O3383" s="2" t="n">
        <v>0</v>
      </c>
      <c r="P3383" s="2" t="s">
        <v>23</v>
      </c>
      <c r="Q3383" s="2" t="s">
        <v>20</v>
      </c>
    </row>
    <row r="3384" customFormat="false" ht="15" hidden="false" customHeight="false" outlineLevel="0" collapsed="false">
      <c r="A3384" s="2" t="n">
        <v>37</v>
      </c>
      <c r="B3384" s="2" t="s">
        <v>34</v>
      </c>
      <c r="C3384" s="2" t="s">
        <v>18</v>
      </c>
      <c r="D3384" s="2" t="s">
        <v>23</v>
      </c>
      <c r="E3384" s="2" t="s">
        <v>20</v>
      </c>
      <c r="F3384" s="2" t="n">
        <v>897</v>
      </c>
      <c r="G3384" s="2" t="s">
        <v>26</v>
      </c>
      <c r="H3384" s="2" t="s">
        <v>20</v>
      </c>
      <c r="I3384" s="2" t="s">
        <v>21</v>
      </c>
      <c r="J3384" s="2" t="n">
        <v>13</v>
      </c>
      <c r="K3384" s="2" t="s">
        <v>32</v>
      </c>
      <c r="L3384" s="2" t="n">
        <v>119</v>
      </c>
      <c r="M3384" s="2" t="n">
        <v>2</v>
      </c>
      <c r="N3384" s="2" t="n">
        <v>280</v>
      </c>
      <c r="O3384" s="2" t="n">
        <v>2</v>
      </c>
      <c r="P3384" s="2" t="s">
        <v>28</v>
      </c>
      <c r="Q3384" s="2" t="s">
        <v>20</v>
      </c>
    </row>
    <row r="3385" customFormat="false" ht="15" hidden="false" customHeight="false" outlineLevel="0" collapsed="false">
      <c r="A3385" s="2" t="n">
        <v>37</v>
      </c>
      <c r="B3385" s="2" t="s">
        <v>34</v>
      </c>
      <c r="C3385" s="2" t="s">
        <v>18</v>
      </c>
      <c r="D3385" s="2" t="s">
        <v>25</v>
      </c>
      <c r="E3385" s="2" t="s">
        <v>20</v>
      </c>
      <c r="F3385" s="2" t="n">
        <v>103</v>
      </c>
      <c r="G3385" s="2" t="s">
        <v>26</v>
      </c>
      <c r="H3385" s="2" t="s">
        <v>20</v>
      </c>
      <c r="I3385" s="2" t="s">
        <v>21</v>
      </c>
      <c r="J3385" s="2" t="n">
        <v>12</v>
      </c>
      <c r="K3385" s="2" t="s">
        <v>27</v>
      </c>
      <c r="L3385" s="2" t="n">
        <v>153</v>
      </c>
      <c r="M3385" s="2" t="n">
        <v>1</v>
      </c>
      <c r="N3385" s="2" t="n">
        <v>-1</v>
      </c>
      <c r="O3385" s="2" t="n">
        <v>0</v>
      </c>
      <c r="P3385" s="2" t="s">
        <v>23</v>
      </c>
      <c r="Q3385" s="2" t="s">
        <v>20</v>
      </c>
    </row>
    <row r="3386" customFormat="false" ht="15" hidden="false" customHeight="false" outlineLevel="0" collapsed="false">
      <c r="A3386" s="2" t="n">
        <v>35</v>
      </c>
      <c r="B3386" s="2" t="s">
        <v>40</v>
      </c>
      <c r="C3386" s="2" t="s">
        <v>30</v>
      </c>
      <c r="D3386" s="2" t="s">
        <v>25</v>
      </c>
      <c r="E3386" s="2" t="s">
        <v>20</v>
      </c>
      <c r="F3386" s="2" t="n">
        <v>847</v>
      </c>
      <c r="G3386" s="2" t="s">
        <v>26</v>
      </c>
      <c r="H3386" s="2" t="s">
        <v>20</v>
      </c>
      <c r="I3386" s="2" t="s">
        <v>21</v>
      </c>
      <c r="J3386" s="2" t="n">
        <v>11</v>
      </c>
      <c r="K3386" s="2" t="s">
        <v>27</v>
      </c>
      <c r="L3386" s="2" t="n">
        <v>85</v>
      </c>
      <c r="M3386" s="2" t="n">
        <v>2</v>
      </c>
      <c r="N3386" s="2" t="n">
        <v>-1</v>
      </c>
      <c r="O3386" s="2" t="n">
        <v>0</v>
      </c>
      <c r="P3386" s="2" t="s">
        <v>23</v>
      </c>
      <c r="Q3386" s="2" t="s">
        <v>20</v>
      </c>
    </row>
    <row r="3387" customFormat="false" ht="15" hidden="false" customHeight="false" outlineLevel="0" collapsed="false">
      <c r="A3387" s="2" t="n">
        <v>38</v>
      </c>
      <c r="B3387" s="2" t="s">
        <v>23</v>
      </c>
      <c r="C3387" s="2" t="s">
        <v>30</v>
      </c>
      <c r="D3387" s="2" t="s">
        <v>31</v>
      </c>
      <c r="E3387" s="2" t="s">
        <v>20</v>
      </c>
      <c r="F3387" s="2" t="n">
        <v>0</v>
      </c>
      <c r="G3387" s="2" t="s">
        <v>20</v>
      </c>
      <c r="H3387" s="2" t="s">
        <v>20</v>
      </c>
      <c r="I3387" s="2" t="s">
        <v>21</v>
      </c>
      <c r="J3387" s="2" t="n">
        <v>11</v>
      </c>
      <c r="K3387" s="2" t="s">
        <v>51</v>
      </c>
      <c r="L3387" s="2" t="n">
        <v>260</v>
      </c>
      <c r="M3387" s="2" t="n">
        <v>3</v>
      </c>
      <c r="N3387" s="2" t="n">
        <v>95</v>
      </c>
      <c r="O3387" s="2" t="n">
        <v>3</v>
      </c>
      <c r="P3387" s="2" t="s">
        <v>50</v>
      </c>
      <c r="Q3387" s="2" t="s">
        <v>26</v>
      </c>
    </row>
    <row r="3388" customFormat="false" ht="15" hidden="false" customHeight="false" outlineLevel="0" collapsed="false">
      <c r="A3388" s="2" t="n">
        <v>32</v>
      </c>
      <c r="B3388" s="2" t="s">
        <v>34</v>
      </c>
      <c r="C3388" s="2" t="s">
        <v>18</v>
      </c>
      <c r="D3388" s="2" t="s">
        <v>25</v>
      </c>
      <c r="E3388" s="2" t="s">
        <v>20</v>
      </c>
      <c r="F3388" s="2" t="n">
        <v>517</v>
      </c>
      <c r="G3388" s="2" t="s">
        <v>26</v>
      </c>
      <c r="H3388" s="2" t="s">
        <v>20</v>
      </c>
      <c r="I3388" s="2" t="s">
        <v>23</v>
      </c>
      <c r="J3388" s="2" t="n">
        <v>5</v>
      </c>
      <c r="K3388" s="2" t="s">
        <v>27</v>
      </c>
      <c r="L3388" s="2" t="n">
        <v>528</v>
      </c>
      <c r="M3388" s="2" t="n">
        <v>1</v>
      </c>
      <c r="N3388" s="2" t="n">
        <v>-1</v>
      </c>
      <c r="O3388" s="2" t="n">
        <v>0</v>
      </c>
      <c r="P3388" s="2" t="s">
        <v>23</v>
      </c>
      <c r="Q3388" s="2" t="s">
        <v>20</v>
      </c>
    </row>
    <row r="3389" customFormat="false" ht="15" hidden="false" customHeight="false" outlineLevel="0" collapsed="false">
      <c r="A3389" s="2" t="n">
        <v>52</v>
      </c>
      <c r="B3389" s="2" t="s">
        <v>38</v>
      </c>
      <c r="C3389" s="2" t="s">
        <v>30</v>
      </c>
      <c r="D3389" s="2" t="s">
        <v>31</v>
      </c>
      <c r="E3389" s="2" t="s">
        <v>20</v>
      </c>
      <c r="F3389" s="2" t="n">
        <v>1308</v>
      </c>
      <c r="G3389" s="2" t="s">
        <v>26</v>
      </c>
      <c r="H3389" s="2" t="s">
        <v>20</v>
      </c>
      <c r="I3389" s="2" t="s">
        <v>23</v>
      </c>
      <c r="J3389" s="2" t="n">
        <v>29</v>
      </c>
      <c r="K3389" s="2" t="s">
        <v>27</v>
      </c>
      <c r="L3389" s="2" t="n">
        <v>361</v>
      </c>
      <c r="M3389" s="2" t="n">
        <v>1</v>
      </c>
      <c r="N3389" s="2" t="n">
        <v>-1</v>
      </c>
      <c r="O3389" s="2" t="n">
        <v>0</v>
      </c>
      <c r="P3389" s="2" t="s">
        <v>23</v>
      </c>
      <c r="Q3389" s="2" t="s">
        <v>20</v>
      </c>
    </row>
    <row r="3390" customFormat="false" ht="15" hidden="false" customHeight="false" outlineLevel="0" collapsed="false">
      <c r="A3390" s="2" t="n">
        <v>49</v>
      </c>
      <c r="B3390" s="2" t="s">
        <v>24</v>
      </c>
      <c r="C3390" s="2" t="s">
        <v>18</v>
      </c>
      <c r="D3390" s="2" t="s">
        <v>25</v>
      </c>
      <c r="E3390" s="2" t="s">
        <v>20</v>
      </c>
      <c r="F3390" s="2" t="n">
        <v>66</v>
      </c>
      <c r="G3390" s="2" t="s">
        <v>26</v>
      </c>
      <c r="H3390" s="2" t="s">
        <v>26</v>
      </c>
      <c r="I3390" s="2" t="s">
        <v>21</v>
      </c>
      <c r="J3390" s="2" t="n">
        <v>21</v>
      </c>
      <c r="K3390" s="2" t="s">
        <v>46</v>
      </c>
      <c r="L3390" s="2" t="n">
        <v>59</v>
      </c>
      <c r="M3390" s="2" t="n">
        <v>4</v>
      </c>
      <c r="N3390" s="2" t="n">
        <v>-1</v>
      </c>
      <c r="O3390" s="2" t="n">
        <v>0</v>
      </c>
      <c r="P3390" s="2" t="s">
        <v>23</v>
      </c>
      <c r="Q3390" s="2" t="s">
        <v>20</v>
      </c>
    </row>
    <row r="3391" customFormat="false" ht="15" hidden="false" customHeight="false" outlineLevel="0" collapsed="false">
      <c r="A3391" s="2" t="n">
        <v>46</v>
      </c>
      <c r="B3391" s="2" t="s">
        <v>29</v>
      </c>
      <c r="C3391" s="2" t="s">
        <v>45</v>
      </c>
      <c r="D3391" s="2" t="s">
        <v>25</v>
      </c>
      <c r="E3391" s="2" t="s">
        <v>20</v>
      </c>
      <c r="F3391" s="2" t="n">
        <v>361</v>
      </c>
      <c r="G3391" s="2" t="s">
        <v>26</v>
      </c>
      <c r="H3391" s="2" t="s">
        <v>20</v>
      </c>
      <c r="I3391" s="2" t="s">
        <v>23</v>
      </c>
      <c r="J3391" s="2" t="n">
        <v>19</v>
      </c>
      <c r="K3391" s="2" t="s">
        <v>27</v>
      </c>
      <c r="L3391" s="2" t="n">
        <v>86</v>
      </c>
      <c r="M3391" s="2" t="n">
        <v>7</v>
      </c>
      <c r="N3391" s="2" t="n">
        <v>-1</v>
      </c>
      <c r="O3391" s="2" t="n">
        <v>0</v>
      </c>
      <c r="P3391" s="2" t="s">
        <v>23</v>
      </c>
      <c r="Q3391" s="2" t="s">
        <v>20</v>
      </c>
    </row>
    <row r="3392" customFormat="false" ht="15" hidden="false" customHeight="false" outlineLevel="0" collapsed="false">
      <c r="A3392" s="2" t="n">
        <v>42</v>
      </c>
      <c r="B3392" s="2" t="s">
        <v>39</v>
      </c>
      <c r="C3392" s="2" t="s">
        <v>18</v>
      </c>
      <c r="D3392" s="2" t="s">
        <v>19</v>
      </c>
      <c r="E3392" s="2" t="s">
        <v>26</v>
      </c>
      <c r="F3392" s="2" t="n">
        <v>66</v>
      </c>
      <c r="G3392" s="2" t="s">
        <v>26</v>
      </c>
      <c r="H3392" s="2" t="s">
        <v>26</v>
      </c>
      <c r="I3392" s="2" t="s">
        <v>21</v>
      </c>
      <c r="J3392" s="2" t="n">
        <v>6</v>
      </c>
      <c r="K3392" s="2" t="s">
        <v>35</v>
      </c>
      <c r="L3392" s="2" t="n">
        <v>139</v>
      </c>
      <c r="M3392" s="2" t="n">
        <v>1</v>
      </c>
      <c r="N3392" s="2" t="n">
        <v>-1</v>
      </c>
      <c r="O3392" s="2" t="n">
        <v>0</v>
      </c>
      <c r="P3392" s="2" t="s">
        <v>23</v>
      </c>
      <c r="Q3392" s="2" t="s">
        <v>20</v>
      </c>
    </row>
    <row r="3393" customFormat="false" ht="15" hidden="false" customHeight="false" outlineLevel="0" collapsed="false">
      <c r="A3393" s="2" t="n">
        <v>36</v>
      </c>
      <c r="B3393" s="2" t="s">
        <v>34</v>
      </c>
      <c r="C3393" s="2" t="s">
        <v>18</v>
      </c>
      <c r="D3393" s="2" t="s">
        <v>23</v>
      </c>
      <c r="E3393" s="2" t="s">
        <v>20</v>
      </c>
      <c r="F3393" s="2" t="n">
        <v>70</v>
      </c>
      <c r="G3393" s="2" t="s">
        <v>26</v>
      </c>
      <c r="H3393" s="2" t="s">
        <v>20</v>
      </c>
      <c r="I3393" s="2" t="s">
        <v>23</v>
      </c>
      <c r="J3393" s="2" t="n">
        <v>8</v>
      </c>
      <c r="K3393" s="2" t="s">
        <v>27</v>
      </c>
      <c r="L3393" s="2" t="n">
        <v>219</v>
      </c>
      <c r="M3393" s="2" t="n">
        <v>4</v>
      </c>
      <c r="N3393" s="2" t="n">
        <v>-1</v>
      </c>
      <c r="O3393" s="2" t="n">
        <v>0</v>
      </c>
      <c r="P3393" s="2" t="s">
        <v>23</v>
      </c>
      <c r="Q3393" s="2" t="s">
        <v>20</v>
      </c>
    </row>
    <row r="3394" customFormat="false" ht="15" hidden="false" customHeight="false" outlineLevel="0" collapsed="false">
      <c r="A3394" s="2" t="n">
        <v>32</v>
      </c>
      <c r="B3394" s="2" t="s">
        <v>24</v>
      </c>
      <c r="C3394" s="2" t="s">
        <v>18</v>
      </c>
      <c r="D3394" s="2" t="s">
        <v>25</v>
      </c>
      <c r="E3394" s="2" t="s">
        <v>20</v>
      </c>
      <c r="F3394" s="2" t="n">
        <v>180</v>
      </c>
      <c r="G3394" s="2" t="s">
        <v>26</v>
      </c>
      <c r="H3394" s="2" t="s">
        <v>20</v>
      </c>
      <c r="I3394" s="2" t="s">
        <v>49</v>
      </c>
      <c r="J3394" s="2" t="n">
        <v>15</v>
      </c>
      <c r="K3394" s="2" t="s">
        <v>27</v>
      </c>
      <c r="L3394" s="2" t="n">
        <v>45</v>
      </c>
      <c r="M3394" s="2" t="n">
        <v>2</v>
      </c>
      <c r="N3394" s="2" t="n">
        <v>-1</v>
      </c>
      <c r="O3394" s="2" t="n">
        <v>0</v>
      </c>
      <c r="P3394" s="2" t="s">
        <v>23</v>
      </c>
      <c r="Q3394" s="2" t="s">
        <v>20</v>
      </c>
    </row>
    <row r="3395" customFormat="false" ht="15" hidden="false" customHeight="false" outlineLevel="0" collapsed="false">
      <c r="A3395" s="2" t="n">
        <v>49</v>
      </c>
      <c r="B3395" s="2" t="s">
        <v>38</v>
      </c>
      <c r="C3395" s="2" t="s">
        <v>18</v>
      </c>
      <c r="D3395" s="2" t="s">
        <v>31</v>
      </c>
      <c r="E3395" s="2" t="s">
        <v>20</v>
      </c>
      <c r="F3395" s="2" t="n">
        <v>279</v>
      </c>
      <c r="G3395" s="2" t="s">
        <v>26</v>
      </c>
      <c r="H3395" s="2" t="s">
        <v>20</v>
      </c>
      <c r="I3395" s="2" t="s">
        <v>23</v>
      </c>
      <c r="J3395" s="2" t="n">
        <v>19</v>
      </c>
      <c r="K3395" s="2" t="s">
        <v>27</v>
      </c>
      <c r="L3395" s="2" t="n">
        <v>168</v>
      </c>
      <c r="M3395" s="2" t="n">
        <v>4</v>
      </c>
      <c r="N3395" s="2" t="n">
        <v>-1</v>
      </c>
      <c r="O3395" s="2" t="n">
        <v>0</v>
      </c>
      <c r="P3395" s="2" t="s">
        <v>23</v>
      </c>
      <c r="Q3395" s="2" t="s">
        <v>20</v>
      </c>
    </row>
    <row r="3396" customFormat="false" ht="15" hidden="false" customHeight="false" outlineLevel="0" collapsed="false">
      <c r="A3396" s="2" t="n">
        <v>46</v>
      </c>
      <c r="B3396" s="2" t="s">
        <v>24</v>
      </c>
      <c r="C3396" s="2" t="s">
        <v>18</v>
      </c>
      <c r="D3396" s="2" t="s">
        <v>25</v>
      </c>
      <c r="E3396" s="2" t="s">
        <v>20</v>
      </c>
      <c r="F3396" s="2" t="n">
        <v>4</v>
      </c>
      <c r="G3396" s="2" t="s">
        <v>20</v>
      </c>
      <c r="H3396" s="2" t="s">
        <v>20</v>
      </c>
      <c r="I3396" s="2" t="s">
        <v>21</v>
      </c>
      <c r="J3396" s="2" t="n">
        <v>30</v>
      </c>
      <c r="K3396" s="2" t="s">
        <v>32</v>
      </c>
      <c r="L3396" s="2" t="n">
        <v>268</v>
      </c>
      <c r="M3396" s="2" t="n">
        <v>1</v>
      </c>
      <c r="N3396" s="2" t="n">
        <v>261</v>
      </c>
      <c r="O3396" s="2" t="n">
        <v>5</v>
      </c>
      <c r="P3396" s="2" t="s">
        <v>37</v>
      </c>
      <c r="Q3396" s="2" t="s">
        <v>26</v>
      </c>
    </row>
    <row r="3397" customFormat="false" ht="15" hidden="false" customHeight="false" outlineLevel="0" collapsed="false">
      <c r="A3397" s="2" t="n">
        <v>40</v>
      </c>
      <c r="B3397" s="2" t="s">
        <v>39</v>
      </c>
      <c r="C3397" s="2" t="s">
        <v>18</v>
      </c>
      <c r="D3397" s="2" t="s">
        <v>25</v>
      </c>
      <c r="E3397" s="2" t="s">
        <v>20</v>
      </c>
      <c r="F3397" s="2" t="n">
        <v>1416</v>
      </c>
      <c r="G3397" s="2" t="s">
        <v>26</v>
      </c>
      <c r="H3397" s="2" t="s">
        <v>20</v>
      </c>
      <c r="I3397" s="2" t="s">
        <v>23</v>
      </c>
      <c r="J3397" s="2" t="n">
        <v>14</v>
      </c>
      <c r="K3397" s="2" t="s">
        <v>27</v>
      </c>
      <c r="L3397" s="2" t="n">
        <v>210</v>
      </c>
      <c r="M3397" s="2" t="n">
        <v>2</v>
      </c>
      <c r="N3397" s="2" t="n">
        <v>-1</v>
      </c>
      <c r="O3397" s="2" t="n">
        <v>0</v>
      </c>
      <c r="P3397" s="2" t="s">
        <v>23</v>
      </c>
      <c r="Q3397" s="2" t="s">
        <v>20</v>
      </c>
    </row>
    <row r="3398" customFormat="false" ht="15" hidden="false" customHeight="false" outlineLevel="0" collapsed="false">
      <c r="A3398" s="2" t="n">
        <v>36</v>
      </c>
      <c r="B3398" s="2" t="s">
        <v>40</v>
      </c>
      <c r="C3398" s="2" t="s">
        <v>18</v>
      </c>
      <c r="D3398" s="2" t="s">
        <v>25</v>
      </c>
      <c r="E3398" s="2" t="s">
        <v>20</v>
      </c>
      <c r="F3398" s="2" t="n">
        <v>465</v>
      </c>
      <c r="G3398" s="2" t="s">
        <v>26</v>
      </c>
      <c r="H3398" s="2" t="s">
        <v>20</v>
      </c>
      <c r="I3398" s="2" t="s">
        <v>23</v>
      </c>
      <c r="J3398" s="2" t="n">
        <v>20</v>
      </c>
      <c r="K3398" s="2" t="s">
        <v>27</v>
      </c>
      <c r="L3398" s="2" t="n">
        <v>160</v>
      </c>
      <c r="M3398" s="2" t="n">
        <v>1</v>
      </c>
      <c r="N3398" s="2" t="n">
        <v>-1</v>
      </c>
      <c r="O3398" s="2" t="n">
        <v>0</v>
      </c>
      <c r="P3398" s="2" t="s">
        <v>23</v>
      </c>
      <c r="Q3398" s="2" t="s">
        <v>20</v>
      </c>
    </row>
    <row r="3399" customFormat="false" ht="15" hidden="false" customHeight="false" outlineLevel="0" collapsed="false">
      <c r="A3399" s="2" t="n">
        <v>36</v>
      </c>
      <c r="B3399" s="2" t="s">
        <v>40</v>
      </c>
      <c r="C3399" s="2" t="s">
        <v>18</v>
      </c>
      <c r="D3399" s="2" t="s">
        <v>25</v>
      </c>
      <c r="E3399" s="2" t="s">
        <v>20</v>
      </c>
      <c r="F3399" s="2" t="n">
        <v>998</v>
      </c>
      <c r="G3399" s="2" t="s">
        <v>26</v>
      </c>
      <c r="H3399" s="2" t="s">
        <v>20</v>
      </c>
      <c r="I3399" s="2" t="s">
        <v>23</v>
      </c>
      <c r="J3399" s="2" t="n">
        <v>14</v>
      </c>
      <c r="K3399" s="2" t="s">
        <v>27</v>
      </c>
      <c r="L3399" s="2" t="n">
        <v>1044</v>
      </c>
      <c r="M3399" s="2" t="n">
        <v>2</v>
      </c>
      <c r="N3399" s="2" t="n">
        <v>-1</v>
      </c>
      <c r="O3399" s="2" t="n">
        <v>0</v>
      </c>
      <c r="P3399" s="2" t="s">
        <v>23</v>
      </c>
      <c r="Q3399" s="2" t="s">
        <v>20</v>
      </c>
    </row>
    <row r="3400" customFormat="false" ht="15" hidden="false" customHeight="false" outlineLevel="0" collapsed="false">
      <c r="A3400" s="2" t="n">
        <v>34</v>
      </c>
      <c r="B3400" s="2" t="s">
        <v>38</v>
      </c>
      <c r="C3400" s="2" t="s">
        <v>18</v>
      </c>
      <c r="D3400" s="2" t="s">
        <v>25</v>
      </c>
      <c r="E3400" s="2" t="s">
        <v>20</v>
      </c>
      <c r="F3400" s="2" t="n">
        <v>550</v>
      </c>
      <c r="G3400" s="2" t="s">
        <v>20</v>
      </c>
      <c r="H3400" s="2" t="s">
        <v>26</v>
      </c>
      <c r="I3400" s="2" t="s">
        <v>21</v>
      </c>
      <c r="J3400" s="2" t="n">
        <v>9</v>
      </c>
      <c r="K3400" s="2" t="s">
        <v>44</v>
      </c>
      <c r="L3400" s="2" t="n">
        <v>601</v>
      </c>
      <c r="M3400" s="2" t="n">
        <v>1</v>
      </c>
      <c r="N3400" s="2" t="n">
        <v>-1</v>
      </c>
      <c r="O3400" s="2" t="n">
        <v>0</v>
      </c>
      <c r="P3400" s="2" t="s">
        <v>23</v>
      </c>
      <c r="Q3400" s="2" t="s">
        <v>20</v>
      </c>
    </row>
    <row r="3401" customFormat="false" ht="15" hidden="false" customHeight="false" outlineLevel="0" collapsed="false">
      <c r="A3401" s="2" t="n">
        <v>46</v>
      </c>
      <c r="B3401" s="2" t="s">
        <v>29</v>
      </c>
      <c r="C3401" s="2" t="s">
        <v>18</v>
      </c>
      <c r="D3401" s="2" t="s">
        <v>31</v>
      </c>
      <c r="E3401" s="2" t="s">
        <v>20</v>
      </c>
      <c r="F3401" s="2" t="n">
        <v>1285</v>
      </c>
      <c r="G3401" s="2" t="s">
        <v>26</v>
      </c>
      <c r="H3401" s="2" t="s">
        <v>20</v>
      </c>
      <c r="I3401" s="2" t="s">
        <v>23</v>
      </c>
      <c r="J3401" s="2" t="n">
        <v>27</v>
      </c>
      <c r="K3401" s="2" t="s">
        <v>27</v>
      </c>
      <c r="L3401" s="2" t="n">
        <v>89</v>
      </c>
      <c r="M3401" s="2" t="n">
        <v>1</v>
      </c>
      <c r="N3401" s="2" t="n">
        <v>-1</v>
      </c>
      <c r="O3401" s="2" t="n">
        <v>0</v>
      </c>
      <c r="P3401" s="2" t="s">
        <v>23</v>
      </c>
      <c r="Q3401" s="2" t="s">
        <v>20</v>
      </c>
    </row>
    <row r="3402" customFormat="false" ht="15" hidden="false" customHeight="false" outlineLevel="0" collapsed="false">
      <c r="A3402" s="2" t="n">
        <v>32</v>
      </c>
      <c r="B3402" s="2" t="s">
        <v>24</v>
      </c>
      <c r="C3402" s="2" t="s">
        <v>18</v>
      </c>
      <c r="D3402" s="2" t="s">
        <v>31</v>
      </c>
      <c r="E3402" s="2" t="s">
        <v>20</v>
      </c>
      <c r="F3402" s="2" t="n">
        <v>4908</v>
      </c>
      <c r="G3402" s="2" t="s">
        <v>20</v>
      </c>
      <c r="H3402" s="2" t="s">
        <v>26</v>
      </c>
      <c r="I3402" s="2" t="s">
        <v>21</v>
      </c>
      <c r="J3402" s="2" t="n">
        <v>13</v>
      </c>
      <c r="K3402" s="2" t="s">
        <v>27</v>
      </c>
      <c r="L3402" s="2" t="n">
        <v>491</v>
      </c>
      <c r="M3402" s="2" t="n">
        <v>2</v>
      </c>
      <c r="N3402" s="2" t="n">
        <v>-1</v>
      </c>
      <c r="O3402" s="2" t="n">
        <v>0</v>
      </c>
      <c r="P3402" s="2" t="s">
        <v>23</v>
      </c>
      <c r="Q3402" s="2" t="s">
        <v>20</v>
      </c>
    </row>
    <row r="3403" customFormat="false" ht="15" hidden="false" customHeight="false" outlineLevel="0" collapsed="false">
      <c r="A3403" s="2" t="n">
        <v>32</v>
      </c>
      <c r="B3403" s="2" t="s">
        <v>17</v>
      </c>
      <c r="C3403" s="2" t="s">
        <v>30</v>
      </c>
      <c r="D3403" s="2" t="s">
        <v>31</v>
      </c>
      <c r="E3403" s="2" t="s">
        <v>20</v>
      </c>
      <c r="F3403" s="2" t="n">
        <v>336</v>
      </c>
      <c r="G3403" s="2" t="s">
        <v>26</v>
      </c>
      <c r="H3403" s="2" t="s">
        <v>20</v>
      </c>
      <c r="I3403" s="2" t="s">
        <v>23</v>
      </c>
      <c r="J3403" s="2" t="n">
        <v>8</v>
      </c>
      <c r="K3403" s="2" t="s">
        <v>27</v>
      </c>
      <c r="L3403" s="2" t="n">
        <v>139</v>
      </c>
      <c r="M3403" s="2" t="n">
        <v>1</v>
      </c>
      <c r="N3403" s="2" t="n">
        <v>-1</v>
      </c>
      <c r="O3403" s="2" t="n">
        <v>0</v>
      </c>
      <c r="P3403" s="2" t="s">
        <v>23</v>
      </c>
      <c r="Q3403" s="2" t="s">
        <v>20</v>
      </c>
    </row>
    <row r="3404" customFormat="false" ht="15" hidden="false" customHeight="false" outlineLevel="0" collapsed="false">
      <c r="A3404" s="2" t="n">
        <v>32</v>
      </c>
      <c r="B3404" s="2" t="s">
        <v>29</v>
      </c>
      <c r="C3404" s="2" t="s">
        <v>30</v>
      </c>
      <c r="D3404" s="2" t="s">
        <v>31</v>
      </c>
      <c r="E3404" s="2" t="s">
        <v>20</v>
      </c>
      <c r="F3404" s="2" t="n">
        <v>131</v>
      </c>
      <c r="G3404" s="2" t="s">
        <v>20</v>
      </c>
      <c r="H3404" s="2" t="s">
        <v>20</v>
      </c>
      <c r="I3404" s="2" t="s">
        <v>23</v>
      </c>
      <c r="J3404" s="2" t="n">
        <v>3</v>
      </c>
      <c r="K3404" s="2" t="s">
        <v>33</v>
      </c>
      <c r="L3404" s="2" t="n">
        <v>267</v>
      </c>
      <c r="M3404" s="2" t="n">
        <v>3</v>
      </c>
      <c r="N3404" s="2" t="n">
        <v>-1</v>
      </c>
      <c r="O3404" s="2" t="n">
        <v>0</v>
      </c>
      <c r="P3404" s="2" t="s">
        <v>23</v>
      </c>
      <c r="Q3404" s="2" t="s">
        <v>20</v>
      </c>
    </row>
    <row r="3405" customFormat="false" ht="15" hidden="false" customHeight="false" outlineLevel="0" collapsed="false">
      <c r="A3405" s="2" t="n">
        <v>43</v>
      </c>
      <c r="B3405" s="2" t="s">
        <v>29</v>
      </c>
      <c r="C3405" s="2" t="s">
        <v>18</v>
      </c>
      <c r="D3405" s="2" t="s">
        <v>31</v>
      </c>
      <c r="E3405" s="2" t="s">
        <v>20</v>
      </c>
      <c r="F3405" s="2" t="n">
        <v>348</v>
      </c>
      <c r="G3405" s="2" t="s">
        <v>20</v>
      </c>
      <c r="H3405" s="2" t="s">
        <v>26</v>
      </c>
      <c r="I3405" s="2" t="s">
        <v>21</v>
      </c>
      <c r="J3405" s="2" t="n">
        <v>15</v>
      </c>
      <c r="K3405" s="2" t="s">
        <v>44</v>
      </c>
      <c r="L3405" s="2" t="n">
        <v>88</v>
      </c>
      <c r="M3405" s="2" t="n">
        <v>3</v>
      </c>
      <c r="N3405" s="2" t="n">
        <v>-1</v>
      </c>
      <c r="O3405" s="2" t="n">
        <v>0</v>
      </c>
      <c r="P3405" s="2" t="s">
        <v>23</v>
      </c>
      <c r="Q3405" s="2" t="s">
        <v>20</v>
      </c>
    </row>
    <row r="3406" customFormat="false" ht="15" hidden="false" customHeight="false" outlineLevel="0" collapsed="false">
      <c r="A3406" s="2" t="n">
        <v>25</v>
      </c>
      <c r="B3406" s="2" t="s">
        <v>36</v>
      </c>
      <c r="C3406" s="2" t="s">
        <v>30</v>
      </c>
      <c r="D3406" s="2" t="s">
        <v>31</v>
      </c>
      <c r="E3406" s="2" t="s">
        <v>20</v>
      </c>
      <c r="F3406" s="2" t="n">
        <v>453</v>
      </c>
      <c r="G3406" s="2" t="s">
        <v>26</v>
      </c>
      <c r="H3406" s="2" t="s">
        <v>20</v>
      </c>
      <c r="I3406" s="2" t="s">
        <v>21</v>
      </c>
      <c r="J3406" s="2" t="n">
        <v>17</v>
      </c>
      <c r="K3406" s="2" t="s">
        <v>44</v>
      </c>
      <c r="L3406" s="2" t="n">
        <v>134</v>
      </c>
      <c r="M3406" s="2" t="n">
        <v>1</v>
      </c>
      <c r="N3406" s="2" t="n">
        <v>-1</v>
      </c>
      <c r="O3406" s="2" t="n">
        <v>0</v>
      </c>
      <c r="P3406" s="2" t="s">
        <v>23</v>
      </c>
      <c r="Q3406" s="2" t="s">
        <v>20</v>
      </c>
    </row>
    <row r="3407" customFormat="false" ht="15" hidden="false" customHeight="false" outlineLevel="0" collapsed="false">
      <c r="A3407" s="2" t="n">
        <v>55</v>
      </c>
      <c r="B3407" s="2" t="s">
        <v>40</v>
      </c>
      <c r="C3407" s="2" t="s">
        <v>18</v>
      </c>
      <c r="D3407" s="2" t="s">
        <v>25</v>
      </c>
      <c r="E3407" s="2" t="s">
        <v>20</v>
      </c>
      <c r="F3407" s="2" t="n">
        <v>1102</v>
      </c>
      <c r="G3407" s="2" t="s">
        <v>26</v>
      </c>
      <c r="H3407" s="2" t="s">
        <v>20</v>
      </c>
      <c r="I3407" s="2" t="s">
        <v>23</v>
      </c>
      <c r="J3407" s="2" t="n">
        <v>15</v>
      </c>
      <c r="K3407" s="2" t="s">
        <v>27</v>
      </c>
      <c r="L3407" s="2" t="n">
        <v>126</v>
      </c>
      <c r="M3407" s="2" t="n">
        <v>2</v>
      </c>
      <c r="N3407" s="2" t="n">
        <v>-1</v>
      </c>
      <c r="O3407" s="2" t="n">
        <v>0</v>
      </c>
      <c r="P3407" s="2" t="s">
        <v>23</v>
      </c>
      <c r="Q3407" s="2" t="s">
        <v>20</v>
      </c>
    </row>
    <row r="3408" customFormat="false" ht="15" hidden="false" customHeight="false" outlineLevel="0" collapsed="false">
      <c r="A3408" s="2" t="n">
        <v>24</v>
      </c>
      <c r="B3408" s="2" t="s">
        <v>40</v>
      </c>
      <c r="C3408" s="2" t="s">
        <v>30</v>
      </c>
      <c r="D3408" s="2" t="s">
        <v>25</v>
      </c>
      <c r="E3408" s="2" t="s">
        <v>20</v>
      </c>
      <c r="F3408" s="2" t="n">
        <v>926</v>
      </c>
      <c r="G3408" s="2" t="s">
        <v>26</v>
      </c>
      <c r="H3408" s="2" t="s">
        <v>26</v>
      </c>
      <c r="I3408" s="2" t="s">
        <v>21</v>
      </c>
      <c r="J3408" s="2" t="n">
        <v>15</v>
      </c>
      <c r="K3408" s="2" t="s">
        <v>27</v>
      </c>
      <c r="L3408" s="2" t="n">
        <v>191</v>
      </c>
      <c r="M3408" s="2" t="n">
        <v>1</v>
      </c>
      <c r="N3408" s="2" t="n">
        <v>-1</v>
      </c>
      <c r="O3408" s="2" t="n">
        <v>0</v>
      </c>
      <c r="P3408" s="2" t="s">
        <v>23</v>
      </c>
      <c r="Q3408" s="2" t="s">
        <v>20</v>
      </c>
    </row>
    <row r="3409" customFormat="false" ht="15" hidden="false" customHeight="false" outlineLevel="0" collapsed="false">
      <c r="A3409" s="2" t="n">
        <v>40</v>
      </c>
      <c r="B3409" s="2" t="s">
        <v>29</v>
      </c>
      <c r="C3409" s="2" t="s">
        <v>45</v>
      </c>
      <c r="D3409" s="2" t="s">
        <v>31</v>
      </c>
      <c r="E3409" s="2" t="s">
        <v>20</v>
      </c>
      <c r="F3409" s="2" t="n">
        <v>502</v>
      </c>
      <c r="G3409" s="2" t="s">
        <v>26</v>
      </c>
      <c r="H3409" s="2" t="s">
        <v>20</v>
      </c>
      <c r="I3409" s="2" t="s">
        <v>21</v>
      </c>
      <c r="J3409" s="2" t="n">
        <v>3</v>
      </c>
      <c r="K3409" s="2" t="s">
        <v>35</v>
      </c>
      <c r="L3409" s="2" t="n">
        <v>267</v>
      </c>
      <c r="M3409" s="2" t="n">
        <v>4</v>
      </c>
      <c r="N3409" s="2" t="n">
        <v>270</v>
      </c>
      <c r="O3409" s="2" t="n">
        <v>3</v>
      </c>
      <c r="P3409" s="2" t="s">
        <v>37</v>
      </c>
      <c r="Q3409" s="2" t="s">
        <v>20</v>
      </c>
    </row>
    <row r="3410" customFormat="false" ht="15" hidden="false" customHeight="false" outlineLevel="0" collapsed="false">
      <c r="A3410" s="2" t="n">
        <v>38</v>
      </c>
      <c r="B3410" s="2" t="s">
        <v>29</v>
      </c>
      <c r="C3410" s="2" t="s">
        <v>30</v>
      </c>
      <c r="D3410" s="2" t="s">
        <v>31</v>
      </c>
      <c r="E3410" s="2" t="s">
        <v>20</v>
      </c>
      <c r="F3410" s="2" t="n">
        <v>8669</v>
      </c>
      <c r="G3410" s="2" t="s">
        <v>26</v>
      </c>
      <c r="H3410" s="2" t="s">
        <v>20</v>
      </c>
      <c r="I3410" s="2" t="s">
        <v>49</v>
      </c>
      <c r="J3410" s="2" t="n">
        <v>20</v>
      </c>
      <c r="K3410" s="2" t="s">
        <v>32</v>
      </c>
      <c r="L3410" s="2" t="n">
        <v>5</v>
      </c>
      <c r="M3410" s="2" t="n">
        <v>3</v>
      </c>
      <c r="N3410" s="2" t="n">
        <v>150</v>
      </c>
      <c r="O3410" s="2" t="n">
        <v>6</v>
      </c>
      <c r="P3410" s="2" t="s">
        <v>28</v>
      </c>
      <c r="Q3410" s="2" t="s">
        <v>20</v>
      </c>
    </row>
    <row r="3411" customFormat="false" ht="15" hidden="false" customHeight="false" outlineLevel="0" collapsed="false">
      <c r="A3411" s="2" t="n">
        <v>48</v>
      </c>
      <c r="B3411" s="2" t="s">
        <v>34</v>
      </c>
      <c r="C3411" s="2" t="s">
        <v>30</v>
      </c>
      <c r="D3411" s="2" t="s">
        <v>19</v>
      </c>
      <c r="E3411" s="2" t="s">
        <v>20</v>
      </c>
      <c r="F3411" s="2" t="n">
        <v>316</v>
      </c>
      <c r="G3411" s="2" t="s">
        <v>20</v>
      </c>
      <c r="H3411" s="2" t="s">
        <v>20</v>
      </c>
      <c r="I3411" s="2" t="s">
        <v>23</v>
      </c>
      <c r="J3411" s="2" t="n">
        <v>5</v>
      </c>
      <c r="K3411" s="2" t="s">
        <v>33</v>
      </c>
      <c r="L3411" s="2" t="n">
        <v>560</v>
      </c>
      <c r="M3411" s="2" t="n">
        <v>2</v>
      </c>
      <c r="N3411" s="2" t="n">
        <v>-1</v>
      </c>
      <c r="O3411" s="2" t="n">
        <v>0</v>
      </c>
      <c r="P3411" s="2" t="s">
        <v>23</v>
      </c>
      <c r="Q3411" s="2" t="s">
        <v>20</v>
      </c>
    </row>
    <row r="3412" customFormat="false" ht="15" hidden="false" customHeight="false" outlineLevel="0" collapsed="false">
      <c r="A3412" s="2" t="n">
        <v>36</v>
      </c>
      <c r="B3412" s="2" t="s">
        <v>29</v>
      </c>
      <c r="C3412" s="2" t="s">
        <v>18</v>
      </c>
      <c r="D3412" s="2" t="s">
        <v>31</v>
      </c>
      <c r="E3412" s="2" t="s">
        <v>20</v>
      </c>
      <c r="F3412" s="2" t="n">
        <v>9324</v>
      </c>
      <c r="G3412" s="2" t="s">
        <v>26</v>
      </c>
      <c r="H3412" s="2" t="s">
        <v>20</v>
      </c>
      <c r="I3412" s="2" t="s">
        <v>21</v>
      </c>
      <c r="J3412" s="2" t="n">
        <v>30</v>
      </c>
      <c r="K3412" s="2" t="s">
        <v>52</v>
      </c>
      <c r="L3412" s="2" t="n">
        <v>138</v>
      </c>
      <c r="M3412" s="2" t="n">
        <v>8</v>
      </c>
      <c r="N3412" s="2" t="n">
        <v>-1</v>
      </c>
      <c r="O3412" s="2" t="n">
        <v>0</v>
      </c>
      <c r="P3412" s="2" t="s">
        <v>23</v>
      </c>
      <c r="Q3412" s="2" t="s">
        <v>20</v>
      </c>
    </row>
    <row r="3413" customFormat="false" ht="15" hidden="false" customHeight="false" outlineLevel="0" collapsed="false">
      <c r="A3413" s="2" t="n">
        <v>57</v>
      </c>
      <c r="B3413" s="2" t="s">
        <v>29</v>
      </c>
      <c r="C3413" s="2" t="s">
        <v>18</v>
      </c>
      <c r="D3413" s="2" t="s">
        <v>31</v>
      </c>
      <c r="E3413" s="2" t="s">
        <v>20</v>
      </c>
      <c r="F3413" s="2" t="n">
        <v>0</v>
      </c>
      <c r="G3413" s="2" t="s">
        <v>20</v>
      </c>
      <c r="H3413" s="2" t="s">
        <v>20</v>
      </c>
      <c r="I3413" s="2" t="s">
        <v>21</v>
      </c>
      <c r="J3413" s="2" t="n">
        <v>19</v>
      </c>
      <c r="K3413" s="2" t="s">
        <v>41</v>
      </c>
      <c r="L3413" s="2" t="n">
        <v>188</v>
      </c>
      <c r="M3413" s="2" t="n">
        <v>4</v>
      </c>
      <c r="N3413" s="2" t="n">
        <v>-1</v>
      </c>
      <c r="O3413" s="2" t="n">
        <v>0</v>
      </c>
      <c r="P3413" s="2" t="s">
        <v>23</v>
      </c>
      <c r="Q3413" s="2" t="s">
        <v>20</v>
      </c>
    </row>
    <row r="3414" customFormat="false" ht="15" hidden="false" customHeight="false" outlineLevel="0" collapsed="false">
      <c r="A3414" s="2" t="n">
        <v>45</v>
      </c>
      <c r="B3414" s="2" t="s">
        <v>40</v>
      </c>
      <c r="C3414" s="2" t="s">
        <v>18</v>
      </c>
      <c r="D3414" s="2" t="s">
        <v>25</v>
      </c>
      <c r="E3414" s="2" t="s">
        <v>20</v>
      </c>
      <c r="F3414" s="2" t="n">
        <v>72</v>
      </c>
      <c r="G3414" s="2" t="s">
        <v>26</v>
      </c>
      <c r="H3414" s="2" t="s">
        <v>26</v>
      </c>
      <c r="I3414" s="2" t="s">
        <v>21</v>
      </c>
      <c r="J3414" s="2" t="n">
        <v>15</v>
      </c>
      <c r="K3414" s="2" t="s">
        <v>27</v>
      </c>
      <c r="L3414" s="2" t="n">
        <v>262</v>
      </c>
      <c r="M3414" s="2" t="n">
        <v>2</v>
      </c>
      <c r="N3414" s="2" t="n">
        <v>352</v>
      </c>
      <c r="O3414" s="2" t="n">
        <v>2</v>
      </c>
      <c r="P3414" s="2" t="s">
        <v>28</v>
      </c>
      <c r="Q3414" s="2" t="s">
        <v>20</v>
      </c>
    </row>
    <row r="3415" customFormat="false" ht="15" hidden="false" customHeight="false" outlineLevel="0" collapsed="false">
      <c r="A3415" s="2" t="n">
        <v>33</v>
      </c>
      <c r="B3415" s="2" t="s">
        <v>36</v>
      </c>
      <c r="C3415" s="2" t="s">
        <v>30</v>
      </c>
      <c r="D3415" s="2" t="s">
        <v>31</v>
      </c>
      <c r="E3415" s="2" t="s">
        <v>20</v>
      </c>
      <c r="F3415" s="2" t="n">
        <v>61</v>
      </c>
      <c r="G3415" s="2" t="s">
        <v>20</v>
      </c>
      <c r="H3415" s="2" t="s">
        <v>20</v>
      </c>
      <c r="I3415" s="2" t="s">
        <v>21</v>
      </c>
      <c r="J3415" s="2" t="n">
        <v>19</v>
      </c>
      <c r="K3415" s="2" t="s">
        <v>41</v>
      </c>
      <c r="L3415" s="2" t="n">
        <v>836</v>
      </c>
      <c r="M3415" s="2" t="n">
        <v>3</v>
      </c>
      <c r="N3415" s="2" t="n">
        <v>-1</v>
      </c>
      <c r="O3415" s="2" t="n">
        <v>0</v>
      </c>
      <c r="P3415" s="2" t="s">
        <v>23</v>
      </c>
      <c r="Q3415" s="2" t="s">
        <v>26</v>
      </c>
    </row>
    <row r="3416" customFormat="false" ht="15" hidden="false" customHeight="false" outlineLevel="0" collapsed="false">
      <c r="A3416" s="2" t="n">
        <v>38</v>
      </c>
      <c r="B3416" s="2" t="s">
        <v>38</v>
      </c>
      <c r="C3416" s="2" t="s">
        <v>30</v>
      </c>
      <c r="D3416" s="2" t="s">
        <v>25</v>
      </c>
      <c r="E3416" s="2" t="s">
        <v>20</v>
      </c>
      <c r="F3416" s="2" t="n">
        <v>173</v>
      </c>
      <c r="G3416" s="2" t="s">
        <v>20</v>
      </c>
      <c r="H3416" s="2" t="s">
        <v>20</v>
      </c>
      <c r="I3416" s="2" t="s">
        <v>21</v>
      </c>
      <c r="J3416" s="2" t="n">
        <v>29</v>
      </c>
      <c r="K3416" s="2" t="s">
        <v>41</v>
      </c>
      <c r="L3416" s="2" t="n">
        <v>150</v>
      </c>
      <c r="M3416" s="2" t="n">
        <v>4</v>
      </c>
      <c r="N3416" s="2" t="n">
        <v>-1</v>
      </c>
      <c r="O3416" s="2" t="n">
        <v>0</v>
      </c>
      <c r="P3416" s="2" t="s">
        <v>23</v>
      </c>
      <c r="Q3416" s="2" t="s">
        <v>20</v>
      </c>
    </row>
    <row r="3417" customFormat="false" ht="15" hidden="false" customHeight="false" outlineLevel="0" collapsed="false">
      <c r="A3417" s="2" t="n">
        <v>26</v>
      </c>
      <c r="B3417" s="2" t="s">
        <v>24</v>
      </c>
      <c r="C3417" s="2" t="s">
        <v>30</v>
      </c>
      <c r="D3417" s="2" t="s">
        <v>25</v>
      </c>
      <c r="E3417" s="2" t="s">
        <v>26</v>
      </c>
      <c r="F3417" s="2" t="n">
        <v>-162</v>
      </c>
      <c r="G3417" s="2" t="s">
        <v>26</v>
      </c>
      <c r="H3417" s="2" t="s">
        <v>20</v>
      </c>
      <c r="I3417" s="2" t="s">
        <v>21</v>
      </c>
      <c r="J3417" s="2" t="n">
        <v>15</v>
      </c>
      <c r="K3417" s="2" t="s">
        <v>27</v>
      </c>
      <c r="L3417" s="2" t="n">
        <v>44</v>
      </c>
      <c r="M3417" s="2" t="n">
        <v>2</v>
      </c>
      <c r="N3417" s="2" t="n">
        <v>-1</v>
      </c>
      <c r="O3417" s="2" t="n">
        <v>0</v>
      </c>
      <c r="P3417" s="2" t="s">
        <v>23</v>
      </c>
      <c r="Q3417" s="2" t="s">
        <v>20</v>
      </c>
    </row>
    <row r="3418" customFormat="false" ht="15" hidden="false" customHeight="false" outlineLevel="0" collapsed="false">
      <c r="A3418" s="2" t="n">
        <v>30</v>
      </c>
      <c r="B3418" s="2" t="s">
        <v>29</v>
      </c>
      <c r="C3418" s="2" t="s">
        <v>30</v>
      </c>
      <c r="D3418" s="2" t="s">
        <v>31</v>
      </c>
      <c r="E3418" s="2" t="s">
        <v>20</v>
      </c>
      <c r="F3418" s="2" t="n">
        <v>47</v>
      </c>
      <c r="G3418" s="2" t="s">
        <v>20</v>
      </c>
      <c r="H3418" s="2" t="s">
        <v>26</v>
      </c>
      <c r="I3418" s="2" t="s">
        <v>21</v>
      </c>
      <c r="J3418" s="2" t="n">
        <v>31</v>
      </c>
      <c r="K3418" s="2" t="s">
        <v>44</v>
      </c>
      <c r="L3418" s="2" t="n">
        <v>11</v>
      </c>
      <c r="M3418" s="2" t="n">
        <v>17</v>
      </c>
      <c r="N3418" s="2" t="n">
        <v>-1</v>
      </c>
      <c r="O3418" s="2" t="n">
        <v>0</v>
      </c>
      <c r="P3418" s="2" t="s">
        <v>23</v>
      </c>
      <c r="Q3418" s="2" t="s">
        <v>20</v>
      </c>
    </row>
    <row r="3419" customFormat="false" ht="15" hidden="false" customHeight="false" outlineLevel="0" collapsed="false">
      <c r="A3419" s="2" t="n">
        <v>55</v>
      </c>
      <c r="B3419" s="2" t="s">
        <v>24</v>
      </c>
      <c r="C3419" s="2" t="s">
        <v>45</v>
      </c>
      <c r="D3419" s="2" t="s">
        <v>31</v>
      </c>
      <c r="E3419" s="2" t="s">
        <v>20</v>
      </c>
      <c r="F3419" s="2" t="n">
        <v>1983</v>
      </c>
      <c r="G3419" s="2" t="s">
        <v>26</v>
      </c>
      <c r="H3419" s="2" t="s">
        <v>20</v>
      </c>
      <c r="I3419" s="2" t="s">
        <v>49</v>
      </c>
      <c r="J3419" s="2" t="n">
        <v>19</v>
      </c>
      <c r="K3419" s="2" t="s">
        <v>46</v>
      </c>
      <c r="L3419" s="2" t="n">
        <v>123</v>
      </c>
      <c r="M3419" s="2" t="n">
        <v>1</v>
      </c>
      <c r="N3419" s="2" t="n">
        <v>-1</v>
      </c>
      <c r="O3419" s="2" t="n">
        <v>0</v>
      </c>
      <c r="P3419" s="2" t="s">
        <v>23</v>
      </c>
      <c r="Q3419" s="2" t="s">
        <v>20</v>
      </c>
    </row>
    <row r="3420" customFormat="false" ht="15" hidden="false" customHeight="false" outlineLevel="0" collapsed="false">
      <c r="A3420" s="2" t="n">
        <v>34</v>
      </c>
      <c r="B3420" s="2" t="s">
        <v>34</v>
      </c>
      <c r="C3420" s="2" t="s">
        <v>18</v>
      </c>
      <c r="D3420" s="2" t="s">
        <v>25</v>
      </c>
      <c r="E3420" s="2" t="s">
        <v>20</v>
      </c>
      <c r="F3420" s="2" t="n">
        <v>326</v>
      </c>
      <c r="G3420" s="2" t="s">
        <v>26</v>
      </c>
      <c r="H3420" s="2" t="s">
        <v>26</v>
      </c>
      <c r="I3420" s="2" t="s">
        <v>23</v>
      </c>
      <c r="J3420" s="2" t="n">
        <v>15</v>
      </c>
      <c r="K3420" s="2" t="s">
        <v>27</v>
      </c>
      <c r="L3420" s="2" t="n">
        <v>150</v>
      </c>
      <c r="M3420" s="2" t="n">
        <v>2</v>
      </c>
      <c r="N3420" s="2" t="n">
        <v>-1</v>
      </c>
      <c r="O3420" s="2" t="n">
        <v>0</v>
      </c>
      <c r="P3420" s="2" t="s">
        <v>23</v>
      </c>
      <c r="Q3420" s="2" t="s">
        <v>20</v>
      </c>
    </row>
    <row r="3421" customFormat="false" ht="15" hidden="false" customHeight="false" outlineLevel="0" collapsed="false">
      <c r="A3421" s="2" t="n">
        <v>60</v>
      </c>
      <c r="B3421" s="2" t="s">
        <v>40</v>
      </c>
      <c r="C3421" s="2" t="s">
        <v>18</v>
      </c>
      <c r="D3421" s="2" t="s">
        <v>25</v>
      </c>
      <c r="E3421" s="2" t="s">
        <v>20</v>
      </c>
      <c r="F3421" s="2" t="n">
        <v>2552</v>
      </c>
      <c r="G3421" s="2" t="s">
        <v>20</v>
      </c>
      <c r="H3421" s="2" t="s">
        <v>26</v>
      </c>
      <c r="I3421" s="2" t="s">
        <v>21</v>
      </c>
      <c r="J3421" s="2" t="n">
        <v>30</v>
      </c>
      <c r="K3421" s="2" t="s">
        <v>43</v>
      </c>
      <c r="L3421" s="2" t="n">
        <v>255</v>
      </c>
      <c r="M3421" s="2" t="n">
        <v>2</v>
      </c>
      <c r="N3421" s="2" t="n">
        <v>2</v>
      </c>
      <c r="O3421" s="2" t="n">
        <v>4</v>
      </c>
      <c r="P3421" s="2" t="s">
        <v>37</v>
      </c>
      <c r="Q3421" s="2" t="s">
        <v>20</v>
      </c>
    </row>
    <row r="3422" customFormat="false" ht="15" hidden="false" customHeight="false" outlineLevel="0" collapsed="false">
      <c r="A3422" s="2" t="n">
        <v>36</v>
      </c>
      <c r="B3422" s="2" t="s">
        <v>29</v>
      </c>
      <c r="C3422" s="2" t="s">
        <v>30</v>
      </c>
      <c r="D3422" s="2" t="s">
        <v>31</v>
      </c>
      <c r="E3422" s="2" t="s">
        <v>20</v>
      </c>
      <c r="F3422" s="2" t="n">
        <v>1283</v>
      </c>
      <c r="G3422" s="2" t="s">
        <v>20</v>
      </c>
      <c r="H3422" s="2" t="s">
        <v>20</v>
      </c>
      <c r="I3422" s="2" t="s">
        <v>21</v>
      </c>
      <c r="J3422" s="2" t="n">
        <v>18</v>
      </c>
      <c r="K3422" s="2" t="s">
        <v>41</v>
      </c>
      <c r="L3422" s="2" t="n">
        <v>92</v>
      </c>
      <c r="M3422" s="2" t="n">
        <v>5</v>
      </c>
      <c r="N3422" s="2" t="n">
        <v>-1</v>
      </c>
      <c r="O3422" s="2" t="n">
        <v>0</v>
      </c>
      <c r="P3422" s="2" t="s">
        <v>23</v>
      </c>
      <c r="Q3422" s="2" t="s">
        <v>20</v>
      </c>
    </row>
    <row r="3423" customFormat="false" ht="15" hidden="false" customHeight="false" outlineLevel="0" collapsed="false">
      <c r="A3423" s="2" t="n">
        <v>65</v>
      </c>
      <c r="B3423" s="2" t="s">
        <v>47</v>
      </c>
      <c r="C3423" s="2" t="s">
        <v>18</v>
      </c>
      <c r="D3423" s="2" t="s">
        <v>19</v>
      </c>
      <c r="E3423" s="2" t="s">
        <v>20</v>
      </c>
      <c r="F3423" s="2" t="n">
        <v>2179</v>
      </c>
      <c r="G3423" s="2" t="s">
        <v>26</v>
      </c>
      <c r="H3423" s="2" t="s">
        <v>20</v>
      </c>
      <c r="I3423" s="2" t="s">
        <v>21</v>
      </c>
      <c r="J3423" s="2" t="n">
        <v>4</v>
      </c>
      <c r="K3423" s="2" t="s">
        <v>51</v>
      </c>
      <c r="L3423" s="2" t="n">
        <v>112</v>
      </c>
      <c r="M3423" s="2" t="n">
        <v>7</v>
      </c>
      <c r="N3423" s="2" t="n">
        <v>-1</v>
      </c>
      <c r="O3423" s="2" t="n">
        <v>0</v>
      </c>
      <c r="P3423" s="2" t="s">
        <v>23</v>
      </c>
      <c r="Q3423" s="2" t="s">
        <v>20</v>
      </c>
    </row>
    <row r="3424" customFormat="false" ht="15" hidden="false" customHeight="false" outlineLevel="0" collapsed="false">
      <c r="A3424" s="2" t="n">
        <v>39</v>
      </c>
      <c r="B3424" s="2" t="s">
        <v>36</v>
      </c>
      <c r="C3424" s="2" t="s">
        <v>18</v>
      </c>
      <c r="D3424" s="2" t="s">
        <v>31</v>
      </c>
      <c r="E3424" s="2" t="s">
        <v>20</v>
      </c>
      <c r="F3424" s="2" t="n">
        <v>1047</v>
      </c>
      <c r="G3424" s="2" t="s">
        <v>20</v>
      </c>
      <c r="H3424" s="2" t="s">
        <v>20</v>
      </c>
      <c r="I3424" s="2" t="s">
        <v>23</v>
      </c>
      <c r="J3424" s="2" t="n">
        <v>6</v>
      </c>
      <c r="K3424" s="2" t="s">
        <v>33</v>
      </c>
      <c r="L3424" s="2" t="n">
        <v>554</v>
      </c>
      <c r="M3424" s="2" t="n">
        <v>1</v>
      </c>
      <c r="N3424" s="2" t="n">
        <v>-1</v>
      </c>
      <c r="O3424" s="2" t="n">
        <v>0</v>
      </c>
      <c r="P3424" s="2" t="s">
        <v>23</v>
      </c>
      <c r="Q3424" s="2" t="s">
        <v>26</v>
      </c>
    </row>
    <row r="3425" customFormat="false" ht="15" hidden="false" customHeight="false" outlineLevel="0" collapsed="false">
      <c r="A3425" s="2" t="n">
        <v>52</v>
      </c>
      <c r="B3425" s="2" t="s">
        <v>34</v>
      </c>
      <c r="C3425" s="2" t="s">
        <v>18</v>
      </c>
      <c r="D3425" s="2" t="s">
        <v>19</v>
      </c>
      <c r="E3425" s="2" t="s">
        <v>20</v>
      </c>
      <c r="F3425" s="2" t="n">
        <v>36</v>
      </c>
      <c r="G3425" s="2" t="s">
        <v>20</v>
      </c>
      <c r="H3425" s="2" t="s">
        <v>20</v>
      </c>
      <c r="I3425" s="2" t="s">
        <v>21</v>
      </c>
      <c r="J3425" s="2" t="n">
        <v>13</v>
      </c>
      <c r="K3425" s="2" t="s">
        <v>41</v>
      </c>
      <c r="L3425" s="2" t="n">
        <v>109</v>
      </c>
      <c r="M3425" s="2" t="n">
        <v>2</v>
      </c>
      <c r="N3425" s="2" t="n">
        <v>-1</v>
      </c>
      <c r="O3425" s="2" t="n">
        <v>0</v>
      </c>
      <c r="P3425" s="2" t="s">
        <v>23</v>
      </c>
      <c r="Q3425" s="2" t="s">
        <v>20</v>
      </c>
    </row>
    <row r="3426" customFormat="false" ht="15" hidden="false" customHeight="false" outlineLevel="0" collapsed="false">
      <c r="A3426" s="2" t="n">
        <v>55</v>
      </c>
      <c r="B3426" s="2" t="s">
        <v>38</v>
      </c>
      <c r="C3426" s="2" t="s">
        <v>18</v>
      </c>
      <c r="D3426" s="2" t="s">
        <v>25</v>
      </c>
      <c r="E3426" s="2" t="s">
        <v>26</v>
      </c>
      <c r="F3426" s="2" t="n">
        <v>-308</v>
      </c>
      <c r="G3426" s="2" t="s">
        <v>20</v>
      </c>
      <c r="H3426" s="2" t="s">
        <v>20</v>
      </c>
      <c r="I3426" s="2" t="s">
        <v>21</v>
      </c>
      <c r="J3426" s="2" t="n">
        <v>2</v>
      </c>
      <c r="K3426" s="2" t="s">
        <v>35</v>
      </c>
      <c r="L3426" s="2" t="n">
        <v>781</v>
      </c>
      <c r="M3426" s="2" t="n">
        <v>1</v>
      </c>
      <c r="N3426" s="2" t="n">
        <v>-1</v>
      </c>
      <c r="O3426" s="2" t="n">
        <v>0</v>
      </c>
      <c r="P3426" s="2" t="s">
        <v>23</v>
      </c>
      <c r="Q3426" s="2" t="s">
        <v>26</v>
      </c>
    </row>
    <row r="3427" customFormat="false" ht="15" hidden="false" customHeight="false" outlineLevel="0" collapsed="false">
      <c r="A3427" s="2" t="n">
        <v>26</v>
      </c>
      <c r="B3427" s="2" t="s">
        <v>29</v>
      </c>
      <c r="C3427" s="2" t="s">
        <v>30</v>
      </c>
      <c r="D3427" s="2" t="s">
        <v>31</v>
      </c>
      <c r="E3427" s="2" t="s">
        <v>20</v>
      </c>
      <c r="F3427" s="2" t="n">
        <v>1177</v>
      </c>
      <c r="G3427" s="2" t="s">
        <v>20</v>
      </c>
      <c r="H3427" s="2" t="s">
        <v>20</v>
      </c>
      <c r="I3427" s="2" t="s">
        <v>21</v>
      </c>
      <c r="J3427" s="2" t="n">
        <v>19</v>
      </c>
      <c r="K3427" s="2" t="s">
        <v>22</v>
      </c>
      <c r="L3427" s="2" t="n">
        <v>116</v>
      </c>
      <c r="M3427" s="2" t="n">
        <v>1</v>
      </c>
      <c r="N3427" s="2" t="n">
        <v>-1</v>
      </c>
      <c r="O3427" s="2" t="n">
        <v>0</v>
      </c>
      <c r="P3427" s="2" t="s">
        <v>23</v>
      </c>
      <c r="Q3427" s="2" t="s">
        <v>20</v>
      </c>
    </row>
    <row r="3428" customFormat="false" ht="15" hidden="false" customHeight="false" outlineLevel="0" collapsed="false">
      <c r="A3428" s="2" t="n">
        <v>40</v>
      </c>
      <c r="B3428" s="2" t="s">
        <v>36</v>
      </c>
      <c r="C3428" s="2" t="s">
        <v>18</v>
      </c>
      <c r="D3428" s="2" t="s">
        <v>19</v>
      </c>
      <c r="E3428" s="2" t="s">
        <v>20</v>
      </c>
      <c r="F3428" s="2" t="n">
        <v>2077</v>
      </c>
      <c r="G3428" s="2" t="s">
        <v>26</v>
      </c>
      <c r="H3428" s="2" t="s">
        <v>20</v>
      </c>
      <c r="I3428" s="2" t="s">
        <v>21</v>
      </c>
      <c r="J3428" s="2" t="n">
        <v>13</v>
      </c>
      <c r="K3428" s="2" t="s">
        <v>27</v>
      </c>
      <c r="L3428" s="2" t="n">
        <v>363</v>
      </c>
      <c r="M3428" s="2" t="n">
        <v>1</v>
      </c>
      <c r="N3428" s="2" t="n">
        <v>173</v>
      </c>
      <c r="O3428" s="2" t="n">
        <v>24</v>
      </c>
      <c r="P3428" s="2" t="s">
        <v>37</v>
      </c>
      <c r="Q3428" s="2" t="s">
        <v>20</v>
      </c>
    </row>
    <row r="3429" customFormat="false" ht="15" hidden="false" customHeight="false" outlineLevel="0" collapsed="false">
      <c r="A3429" s="2" t="n">
        <v>52</v>
      </c>
      <c r="B3429" s="2" t="s">
        <v>39</v>
      </c>
      <c r="C3429" s="2" t="s">
        <v>18</v>
      </c>
      <c r="D3429" s="2" t="s">
        <v>25</v>
      </c>
      <c r="E3429" s="2" t="s">
        <v>20</v>
      </c>
      <c r="F3429" s="2" t="n">
        <v>0</v>
      </c>
      <c r="G3429" s="2" t="s">
        <v>20</v>
      </c>
      <c r="H3429" s="2" t="s">
        <v>20</v>
      </c>
      <c r="I3429" s="2" t="s">
        <v>21</v>
      </c>
      <c r="J3429" s="2" t="n">
        <v>7</v>
      </c>
      <c r="K3429" s="2" t="s">
        <v>41</v>
      </c>
      <c r="L3429" s="2" t="n">
        <v>82</v>
      </c>
      <c r="M3429" s="2" t="n">
        <v>2</v>
      </c>
      <c r="N3429" s="2" t="n">
        <v>-1</v>
      </c>
      <c r="O3429" s="2" t="n">
        <v>0</v>
      </c>
      <c r="P3429" s="2" t="s">
        <v>23</v>
      </c>
      <c r="Q3429" s="2" t="s">
        <v>20</v>
      </c>
    </row>
    <row r="3430" customFormat="false" ht="15" hidden="false" customHeight="false" outlineLevel="0" collapsed="false">
      <c r="A3430" s="2" t="n">
        <v>29</v>
      </c>
      <c r="B3430" s="2" t="s">
        <v>36</v>
      </c>
      <c r="C3430" s="2" t="s">
        <v>18</v>
      </c>
      <c r="D3430" s="2" t="s">
        <v>31</v>
      </c>
      <c r="E3430" s="2" t="s">
        <v>20</v>
      </c>
      <c r="F3430" s="2" t="n">
        <v>1</v>
      </c>
      <c r="G3430" s="2" t="s">
        <v>20</v>
      </c>
      <c r="H3430" s="2" t="s">
        <v>20</v>
      </c>
      <c r="I3430" s="2" t="s">
        <v>21</v>
      </c>
      <c r="J3430" s="2" t="n">
        <v>18</v>
      </c>
      <c r="K3430" s="2" t="s">
        <v>44</v>
      </c>
      <c r="L3430" s="2" t="n">
        <v>167</v>
      </c>
      <c r="M3430" s="2" t="n">
        <v>3</v>
      </c>
      <c r="N3430" s="2" t="n">
        <v>-1</v>
      </c>
      <c r="O3430" s="2" t="n">
        <v>0</v>
      </c>
      <c r="P3430" s="2" t="s">
        <v>23</v>
      </c>
      <c r="Q3430" s="2" t="s">
        <v>20</v>
      </c>
    </row>
    <row r="3431" customFormat="false" ht="15" hidden="false" customHeight="false" outlineLevel="0" collapsed="false">
      <c r="A3431" s="2" t="n">
        <v>41</v>
      </c>
      <c r="B3431" s="2" t="s">
        <v>34</v>
      </c>
      <c r="C3431" s="2" t="s">
        <v>18</v>
      </c>
      <c r="D3431" s="2" t="s">
        <v>19</v>
      </c>
      <c r="E3431" s="2" t="s">
        <v>20</v>
      </c>
      <c r="F3431" s="2" t="n">
        <v>7735</v>
      </c>
      <c r="G3431" s="2" t="s">
        <v>26</v>
      </c>
      <c r="H3431" s="2" t="s">
        <v>20</v>
      </c>
      <c r="I3431" s="2" t="s">
        <v>21</v>
      </c>
      <c r="J3431" s="2" t="n">
        <v>20</v>
      </c>
      <c r="K3431" s="2" t="s">
        <v>46</v>
      </c>
      <c r="L3431" s="2" t="n">
        <v>220</v>
      </c>
      <c r="M3431" s="2" t="n">
        <v>1</v>
      </c>
      <c r="N3431" s="2" t="n">
        <v>190</v>
      </c>
      <c r="O3431" s="2" t="n">
        <v>1</v>
      </c>
      <c r="P3431" s="2" t="s">
        <v>28</v>
      </c>
      <c r="Q3431" s="2" t="s">
        <v>20</v>
      </c>
    </row>
    <row r="3432" customFormat="false" ht="15" hidden="false" customHeight="false" outlineLevel="0" collapsed="false">
      <c r="A3432" s="2" t="n">
        <v>30</v>
      </c>
      <c r="B3432" s="2" t="s">
        <v>38</v>
      </c>
      <c r="C3432" s="2" t="s">
        <v>30</v>
      </c>
      <c r="D3432" s="2" t="s">
        <v>31</v>
      </c>
      <c r="E3432" s="2" t="s">
        <v>20</v>
      </c>
      <c r="F3432" s="2" t="n">
        <v>1922</v>
      </c>
      <c r="G3432" s="2" t="s">
        <v>26</v>
      </c>
      <c r="H3432" s="2" t="s">
        <v>20</v>
      </c>
      <c r="I3432" s="2" t="s">
        <v>21</v>
      </c>
      <c r="J3432" s="2" t="n">
        <v>18</v>
      </c>
      <c r="K3432" s="2" t="s">
        <v>27</v>
      </c>
      <c r="L3432" s="2" t="n">
        <v>546</v>
      </c>
      <c r="M3432" s="2" t="n">
        <v>1</v>
      </c>
      <c r="N3432" s="2" t="n">
        <v>-1</v>
      </c>
      <c r="O3432" s="2" t="n">
        <v>0</v>
      </c>
      <c r="P3432" s="2" t="s">
        <v>23</v>
      </c>
      <c r="Q3432" s="2" t="s">
        <v>20</v>
      </c>
    </row>
    <row r="3433" customFormat="false" ht="15" hidden="false" customHeight="false" outlineLevel="0" collapsed="false">
      <c r="A3433" s="2" t="n">
        <v>28</v>
      </c>
      <c r="B3433" s="2" t="s">
        <v>42</v>
      </c>
      <c r="C3433" s="2" t="s">
        <v>30</v>
      </c>
      <c r="D3433" s="2" t="s">
        <v>25</v>
      </c>
      <c r="E3433" s="2" t="s">
        <v>20</v>
      </c>
      <c r="F3433" s="2" t="n">
        <v>153</v>
      </c>
      <c r="G3433" s="2" t="s">
        <v>20</v>
      </c>
      <c r="H3433" s="2" t="s">
        <v>20</v>
      </c>
      <c r="I3433" s="2" t="s">
        <v>21</v>
      </c>
      <c r="J3433" s="2" t="n">
        <v>23</v>
      </c>
      <c r="K3433" s="2" t="s">
        <v>44</v>
      </c>
      <c r="L3433" s="2" t="n">
        <v>1124</v>
      </c>
      <c r="M3433" s="2" t="n">
        <v>2</v>
      </c>
      <c r="N3433" s="2" t="n">
        <v>-1</v>
      </c>
      <c r="O3433" s="2" t="n">
        <v>0</v>
      </c>
      <c r="P3433" s="2" t="s">
        <v>23</v>
      </c>
      <c r="Q3433" s="2" t="s">
        <v>26</v>
      </c>
    </row>
    <row r="3434" customFormat="false" ht="15" hidden="false" customHeight="false" outlineLevel="0" collapsed="false">
      <c r="A3434" s="2" t="n">
        <v>26</v>
      </c>
      <c r="B3434" s="2" t="s">
        <v>34</v>
      </c>
      <c r="C3434" s="2" t="s">
        <v>18</v>
      </c>
      <c r="D3434" s="2" t="s">
        <v>25</v>
      </c>
      <c r="E3434" s="2" t="s">
        <v>20</v>
      </c>
      <c r="F3434" s="2" t="n">
        <v>2770</v>
      </c>
      <c r="G3434" s="2" t="s">
        <v>26</v>
      </c>
      <c r="H3434" s="2" t="s">
        <v>20</v>
      </c>
      <c r="I3434" s="2" t="s">
        <v>23</v>
      </c>
      <c r="J3434" s="2" t="n">
        <v>8</v>
      </c>
      <c r="K3434" s="2" t="s">
        <v>27</v>
      </c>
      <c r="L3434" s="2" t="n">
        <v>141</v>
      </c>
      <c r="M3434" s="2" t="n">
        <v>1</v>
      </c>
      <c r="N3434" s="2" t="n">
        <v>-1</v>
      </c>
      <c r="O3434" s="2" t="n">
        <v>0</v>
      </c>
      <c r="P3434" s="2" t="s">
        <v>23</v>
      </c>
      <c r="Q3434" s="2" t="s">
        <v>20</v>
      </c>
    </row>
    <row r="3435" customFormat="false" ht="15" hidden="false" customHeight="false" outlineLevel="0" collapsed="false">
      <c r="A3435" s="2" t="n">
        <v>58</v>
      </c>
      <c r="B3435" s="2" t="s">
        <v>29</v>
      </c>
      <c r="C3435" s="2" t="s">
        <v>18</v>
      </c>
      <c r="D3435" s="2" t="s">
        <v>25</v>
      </c>
      <c r="E3435" s="2" t="s">
        <v>20</v>
      </c>
      <c r="F3435" s="2" t="n">
        <v>139</v>
      </c>
      <c r="G3435" s="2" t="s">
        <v>20</v>
      </c>
      <c r="H3435" s="2" t="s">
        <v>20</v>
      </c>
      <c r="I3435" s="2" t="s">
        <v>21</v>
      </c>
      <c r="J3435" s="2" t="n">
        <v>27</v>
      </c>
      <c r="K3435" s="2" t="s">
        <v>27</v>
      </c>
      <c r="L3435" s="2" t="n">
        <v>188</v>
      </c>
      <c r="M3435" s="2" t="n">
        <v>1</v>
      </c>
      <c r="N3435" s="2" t="n">
        <v>161</v>
      </c>
      <c r="O3435" s="2" t="n">
        <v>2</v>
      </c>
      <c r="P3435" s="2" t="s">
        <v>37</v>
      </c>
      <c r="Q3435" s="2" t="s">
        <v>20</v>
      </c>
    </row>
    <row r="3436" customFormat="false" ht="15" hidden="false" customHeight="false" outlineLevel="0" collapsed="false">
      <c r="A3436" s="2" t="n">
        <v>29</v>
      </c>
      <c r="B3436" s="2" t="s">
        <v>29</v>
      </c>
      <c r="C3436" s="2" t="s">
        <v>30</v>
      </c>
      <c r="D3436" s="2" t="s">
        <v>31</v>
      </c>
      <c r="E3436" s="2" t="s">
        <v>20</v>
      </c>
      <c r="F3436" s="2" t="n">
        <v>21</v>
      </c>
      <c r="G3436" s="2" t="s">
        <v>26</v>
      </c>
      <c r="H3436" s="2" t="s">
        <v>20</v>
      </c>
      <c r="I3436" s="2" t="s">
        <v>21</v>
      </c>
      <c r="J3436" s="2" t="n">
        <v>14</v>
      </c>
      <c r="K3436" s="2" t="s">
        <v>27</v>
      </c>
      <c r="L3436" s="2" t="n">
        <v>107</v>
      </c>
      <c r="M3436" s="2" t="n">
        <v>4</v>
      </c>
      <c r="N3436" s="2" t="n">
        <v>371</v>
      </c>
      <c r="O3436" s="2" t="n">
        <v>3</v>
      </c>
      <c r="P3436" s="2" t="s">
        <v>28</v>
      </c>
      <c r="Q3436" s="2" t="s">
        <v>20</v>
      </c>
    </row>
    <row r="3437" customFormat="false" ht="15" hidden="false" customHeight="false" outlineLevel="0" collapsed="false">
      <c r="A3437" s="2" t="n">
        <v>48</v>
      </c>
      <c r="B3437" s="2" t="s">
        <v>38</v>
      </c>
      <c r="C3437" s="2" t="s">
        <v>18</v>
      </c>
      <c r="D3437" s="2" t="s">
        <v>25</v>
      </c>
      <c r="E3437" s="2" t="s">
        <v>20</v>
      </c>
      <c r="F3437" s="2" t="n">
        <v>178</v>
      </c>
      <c r="G3437" s="2" t="s">
        <v>26</v>
      </c>
      <c r="H3437" s="2" t="s">
        <v>20</v>
      </c>
      <c r="I3437" s="2" t="s">
        <v>23</v>
      </c>
      <c r="J3437" s="2" t="n">
        <v>17</v>
      </c>
      <c r="K3437" s="2" t="s">
        <v>33</v>
      </c>
      <c r="L3437" s="2" t="n">
        <v>320</v>
      </c>
      <c r="M3437" s="2" t="n">
        <v>4</v>
      </c>
      <c r="N3437" s="2" t="n">
        <v>-1</v>
      </c>
      <c r="O3437" s="2" t="n">
        <v>0</v>
      </c>
      <c r="P3437" s="2" t="s">
        <v>23</v>
      </c>
      <c r="Q3437" s="2" t="s">
        <v>20</v>
      </c>
    </row>
    <row r="3438" customFormat="false" ht="15" hidden="false" customHeight="false" outlineLevel="0" collapsed="false">
      <c r="A3438" s="2" t="n">
        <v>35</v>
      </c>
      <c r="B3438" s="2" t="s">
        <v>34</v>
      </c>
      <c r="C3438" s="2" t="s">
        <v>18</v>
      </c>
      <c r="D3438" s="2" t="s">
        <v>25</v>
      </c>
      <c r="E3438" s="2" t="s">
        <v>20</v>
      </c>
      <c r="F3438" s="2" t="n">
        <v>444</v>
      </c>
      <c r="G3438" s="2" t="s">
        <v>26</v>
      </c>
      <c r="H3438" s="2" t="s">
        <v>20</v>
      </c>
      <c r="I3438" s="2" t="s">
        <v>21</v>
      </c>
      <c r="J3438" s="2" t="n">
        <v>15</v>
      </c>
      <c r="K3438" s="2" t="s">
        <v>32</v>
      </c>
      <c r="L3438" s="2" t="n">
        <v>244</v>
      </c>
      <c r="M3438" s="2" t="n">
        <v>3</v>
      </c>
      <c r="N3438" s="2" t="n">
        <v>-1</v>
      </c>
      <c r="O3438" s="2" t="n">
        <v>0</v>
      </c>
      <c r="P3438" s="2" t="s">
        <v>23</v>
      </c>
      <c r="Q3438" s="2" t="s">
        <v>20</v>
      </c>
    </row>
    <row r="3439" customFormat="false" ht="15" hidden="false" customHeight="false" outlineLevel="0" collapsed="false">
      <c r="A3439" s="2" t="n">
        <v>26</v>
      </c>
      <c r="B3439" s="2" t="s">
        <v>24</v>
      </c>
      <c r="C3439" s="2" t="s">
        <v>30</v>
      </c>
      <c r="D3439" s="2" t="s">
        <v>25</v>
      </c>
      <c r="E3439" s="2" t="s">
        <v>20</v>
      </c>
      <c r="F3439" s="2" t="n">
        <v>209</v>
      </c>
      <c r="G3439" s="2" t="s">
        <v>26</v>
      </c>
      <c r="H3439" s="2" t="s">
        <v>20</v>
      </c>
      <c r="I3439" s="2" t="s">
        <v>21</v>
      </c>
      <c r="J3439" s="2" t="n">
        <v>22</v>
      </c>
      <c r="K3439" s="2" t="s">
        <v>44</v>
      </c>
      <c r="L3439" s="2" t="n">
        <v>319</v>
      </c>
      <c r="M3439" s="2" t="n">
        <v>2</v>
      </c>
      <c r="N3439" s="2" t="n">
        <v>-1</v>
      </c>
      <c r="O3439" s="2" t="n">
        <v>0</v>
      </c>
      <c r="P3439" s="2" t="s">
        <v>23</v>
      </c>
      <c r="Q3439" s="2" t="s">
        <v>20</v>
      </c>
    </row>
    <row r="3440" customFormat="false" ht="15" hidden="false" customHeight="false" outlineLevel="0" collapsed="false">
      <c r="A3440" s="2" t="n">
        <v>49</v>
      </c>
      <c r="B3440" s="2" t="s">
        <v>34</v>
      </c>
      <c r="C3440" s="2" t="s">
        <v>18</v>
      </c>
      <c r="D3440" s="2" t="s">
        <v>23</v>
      </c>
      <c r="E3440" s="2" t="s">
        <v>20</v>
      </c>
      <c r="F3440" s="2" t="n">
        <v>3096</v>
      </c>
      <c r="G3440" s="2" t="s">
        <v>20</v>
      </c>
      <c r="H3440" s="2" t="s">
        <v>20</v>
      </c>
      <c r="I3440" s="2" t="s">
        <v>23</v>
      </c>
      <c r="J3440" s="2" t="n">
        <v>16</v>
      </c>
      <c r="K3440" s="2" t="s">
        <v>33</v>
      </c>
      <c r="L3440" s="2" t="n">
        <v>147</v>
      </c>
      <c r="M3440" s="2" t="n">
        <v>2</v>
      </c>
      <c r="N3440" s="2" t="n">
        <v>-1</v>
      </c>
      <c r="O3440" s="2" t="n">
        <v>0</v>
      </c>
      <c r="P3440" s="2" t="s">
        <v>23</v>
      </c>
      <c r="Q3440" s="2" t="s">
        <v>20</v>
      </c>
    </row>
    <row r="3441" customFormat="false" ht="15" hidden="false" customHeight="false" outlineLevel="0" collapsed="false">
      <c r="A3441" s="2" t="n">
        <v>34</v>
      </c>
      <c r="B3441" s="2" t="s">
        <v>40</v>
      </c>
      <c r="C3441" s="2" t="s">
        <v>18</v>
      </c>
      <c r="D3441" s="2" t="s">
        <v>25</v>
      </c>
      <c r="E3441" s="2" t="s">
        <v>20</v>
      </c>
      <c r="F3441" s="2" t="n">
        <v>5320</v>
      </c>
      <c r="G3441" s="2" t="s">
        <v>20</v>
      </c>
      <c r="H3441" s="2" t="s">
        <v>20</v>
      </c>
      <c r="I3441" s="2" t="s">
        <v>21</v>
      </c>
      <c r="J3441" s="2" t="n">
        <v>3</v>
      </c>
      <c r="K3441" s="2" t="s">
        <v>52</v>
      </c>
      <c r="L3441" s="2" t="n">
        <v>114</v>
      </c>
      <c r="M3441" s="2" t="n">
        <v>6</v>
      </c>
      <c r="N3441" s="2" t="n">
        <v>467</v>
      </c>
      <c r="O3441" s="2" t="n">
        <v>5</v>
      </c>
      <c r="P3441" s="2" t="s">
        <v>37</v>
      </c>
      <c r="Q3441" s="2" t="s">
        <v>20</v>
      </c>
    </row>
    <row r="3442" customFormat="false" ht="15" hidden="false" customHeight="false" outlineLevel="0" collapsed="false">
      <c r="A3442" s="2" t="n">
        <v>32</v>
      </c>
      <c r="B3442" s="2" t="s">
        <v>24</v>
      </c>
      <c r="C3442" s="2" t="s">
        <v>18</v>
      </c>
      <c r="D3442" s="2" t="s">
        <v>25</v>
      </c>
      <c r="E3442" s="2" t="s">
        <v>20</v>
      </c>
      <c r="F3442" s="2" t="n">
        <v>4885</v>
      </c>
      <c r="G3442" s="2" t="s">
        <v>26</v>
      </c>
      <c r="H3442" s="2" t="s">
        <v>26</v>
      </c>
      <c r="I3442" s="2" t="s">
        <v>21</v>
      </c>
      <c r="J3442" s="2" t="n">
        <v>18</v>
      </c>
      <c r="K3442" s="2" t="s">
        <v>46</v>
      </c>
      <c r="L3442" s="2" t="n">
        <v>400</v>
      </c>
      <c r="M3442" s="2" t="n">
        <v>2</v>
      </c>
      <c r="N3442" s="2" t="n">
        <v>-1</v>
      </c>
      <c r="O3442" s="2" t="n">
        <v>0</v>
      </c>
      <c r="P3442" s="2" t="s">
        <v>23</v>
      </c>
      <c r="Q3442" s="2" t="s">
        <v>20</v>
      </c>
    </row>
    <row r="3443" customFormat="false" ht="15" hidden="false" customHeight="false" outlineLevel="0" collapsed="false">
      <c r="A3443" s="2" t="n">
        <v>31</v>
      </c>
      <c r="B3443" s="2" t="s">
        <v>40</v>
      </c>
      <c r="C3443" s="2" t="s">
        <v>18</v>
      </c>
      <c r="D3443" s="2" t="s">
        <v>25</v>
      </c>
      <c r="E3443" s="2" t="s">
        <v>20</v>
      </c>
      <c r="F3443" s="2" t="n">
        <v>0</v>
      </c>
      <c r="G3443" s="2" t="s">
        <v>26</v>
      </c>
      <c r="H3443" s="2" t="s">
        <v>26</v>
      </c>
      <c r="I3443" s="2" t="s">
        <v>21</v>
      </c>
      <c r="J3443" s="2" t="n">
        <v>18</v>
      </c>
      <c r="K3443" s="2" t="s">
        <v>46</v>
      </c>
      <c r="L3443" s="2" t="n">
        <v>79</v>
      </c>
      <c r="M3443" s="2" t="n">
        <v>3</v>
      </c>
      <c r="N3443" s="2" t="n">
        <v>-1</v>
      </c>
      <c r="O3443" s="2" t="n">
        <v>0</v>
      </c>
      <c r="P3443" s="2" t="s">
        <v>23</v>
      </c>
      <c r="Q3443" s="2" t="s">
        <v>20</v>
      </c>
    </row>
    <row r="3444" customFormat="false" ht="15" hidden="false" customHeight="false" outlineLevel="0" collapsed="false">
      <c r="A3444" s="2" t="n">
        <v>48</v>
      </c>
      <c r="B3444" s="2" t="s">
        <v>17</v>
      </c>
      <c r="C3444" s="2" t="s">
        <v>18</v>
      </c>
      <c r="D3444" s="2" t="s">
        <v>19</v>
      </c>
      <c r="E3444" s="2" t="s">
        <v>20</v>
      </c>
      <c r="F3444" s="2" t="n">
        <v>5462</v>
      </c>
      <c r="G3444" s="2" t="s">
        <v>20</v>
      </c>
      <c r="H3444" s="2" t="s">
        <v>20</v>
      </c>
      <c r="I3444" s="2" t="s">
        <v>23</v>
      </c>
      <c r="J3444" s="2" t="n">
        <v>6</v>
      </c>
      <c r="K3444" s="2" t="s">
        <v>33</v>
      </c>
      <c r="L3444" s="2" t="n">
        <v>29</v>
      </c>
      <c r="M3444" s="2" t="n">
        <v>4</v>
      </c>
      <c r="N3444" s="2" t="n">
        <v>-1</v>
      </c>
      <c r="O3444" s="2" t="n">
        <v>0</v>
      </c>
      <c r="P3444" s="2" t="s">
        <v>23</v>
      </c>
      <c r="Q3444" s="2" t="s">
        <v>20</v>
      </c>
    </row>
    <row r="3445" customFormat="false" ht="15" hidden="false" customHeight="false" outlineLevel="0" collapsed="false">
      <c r="A3445" s="2" t="n">
        <v>40</v>
      </c>
      <c r="B3445" s="2" t="s">
        <v>34</v>
      </c>
      <c r="C3445" s="2" t="s">
        <v>18</v>
      </c>
      <c r="D3445" s="2" t="s">
        <v>25</v>
      </c>
      <c r="E3445" s="2" t="s">
        <v>20</v>
      </c>
      <c r="F3445" s="2" t="n">
        <v>6767</v>
      </c>
      <c r="G3445" s="2" t="s">
        <v>26</v>
      </c>
      <c r="H3445" s="2" t="s">
        <v>20</v>
      </c>
      <c r="I3445" s="2" t="s">
        <v>21</v>
      </c>
      <c r="J3445" s="2" t="n">
        <v>20</v>
      </c>
      <c r="K3445" s="2" t="s">
        <v>46</v>
      </c>
      <c r="L3445" s="2" t="n">
        <v>97</v>
      </c>
      <c r="M3445" s="2" t="n">
        <v>2</v>
      </c>
      <c r="N3445" s="2" t="n">
        <v>-1</v>
      </c>
      <c r="O3445" s="2" t="n">
        <v>0</v>
      </c>
      <c r="P3445" s="2" t="s">
        <v>23</v>
      </c>
      <c r="Q3445" s="2" t="s">
        <v>20</v>
      </c>
    </row>
    <row r="3446" customFormat="false" ht="15" hidden="false" customHeight="false" outlineLevel="0" collapsed="false">
      <c r="A3446" s="2" t="n">
        <v>42</v>
      </c>
      <c r="B3446" s="2" t="s">
        <v>38</v>
      </c>
      <c r="C3446" s="2" t="s">
        <v>45</v>
      </c>
      <c r="D3446" s="2" t="s">
        <v>25</v>
      </c>
      <c r="E3446" s="2" t="s">
        <v>20</v>
      </c>
      <c r="F3446" s="2" t="n">
        <v>2974</v>
      </c>
      <c r="G3446" s="2" t="s">
        <v>26</v>
      </c>
      <c r="H3446" s="2" t="s">
        <v>20</v>
      </c>
      <c r="I3446" s="2" t="s">
        <v>23</v>
      </c>
      <c r="J3446" s="2" t="n">
        <v>21</v>
      </c>
      <c r="K3446" s="2" t="s">
        <v>27</v>
      </c>
      <c r="L3446" s="2" t="n">
        <v>187</v>
      </c>
      <c r="M3446" s="2" t="n">
        <v>5</v>
      </c>
      <c r="N3446" s="2" t="n">
        <v>-1</v>
      </c>
      <c r="O3446" s="2" t="n">
        <v>0</v>
      </c>
      <c r="P3446" s="2" t="s">
        <v>23</v>
      </c>
      <c r="Q3446" s="2" t="s">
        <v>20</v>
      </c>
    </row>
    <row r="3447" customFormat="false" ht="15" hidden="false" customHeight="false" outlineLevel="0" collapsed="false">
      <c r="A3447" s="2" t="n">
        <v>48</v>
      </c>
      <c r="B3447" s="2" t="s">
        <v>38</v>
      </c>
      <c r="C3447" s="2" t="s">
        <v>18</v>
      </c>
      <c r="D3447" s="2" t="s">
        <v>25</v>
      </c>
      <c r="E3447" s="2" t="s">
        <v>20</v>
      </c>
      <c r="F3447" s="2" t="n">
        <v>427</v>
      </c>
      <c r="G3447" s="2" t="s">
        <v>20</v>
      </c>
      <c r="H3447" s="2" t="s">
        <v>20</v>
      </c>
      <c r="I3447" s="2" t="s">
        <v>23</v>
      </c>
      <c r="J3447" s="2" t="n">
        <v>14</v>
      </c>
      <c r="K3447" s="2" t="s">
        <v>27</v>
      </c>
      <c r="L3447" s="2" t="n">
        <v>201</v>
      </c>
      <c r="M3447" s="2" t="n">
        <v>1</v>
      </c>
      <c r="N3447" s="2" t="n">
        <v>-1</v>
      </c>
      <c r="O3447" s="2" t="n">
        <v>0</v>
      </c>
      <c r="P3447" s="2" t="s">
        <v>23</v>
      </c>
      <c r="Q3447" s="2" t="s">
        <v>20</v>
      </c>
    </row>
    <row r="3448" customFormat="false" ht="15" hidden="false" customHeight="false" outlineLevel="0" collapsed="false">
      <c r="A3448" s="2" t="n">
        <v>38</v>
      </c>
      <c r="B3448" s="2" t="s">
        <v>24</v>
      </c>
      <c r="C3448" s="2" t="s">
        <v>18</v>
      </c>
      <c r="D3448" s="2" t="s">
        <v>25</v>
      </c>
      <c r="E3448" s="2" t="s">
        <v>20</v>
      </c>
      <c r="F3448" s="2" t="n">
        <v>8876</v>
      </c>
      <c r="G3448" s="2" t="s">
        <v>20</v>
      </c>
      <c r="H3448" s="2" t="s">
        <v>20</v>
      </c>
      <c r="I3448" s="2" t="s">
        <v>21</v>
      </c>
      <c r="J3448" s="2" t="n">
        <v>2</v>
      </c>
      <c r="K3448" s="2" t="s">
        <v>35</v>
      </c>
      <c r="L3448" s="2" t="n">
        <v>280</v>
      </c>
      <c r="M3448" s="2" t="n">
        <v>1</v>
      </c>
      <c r="N3448" s="2" t="n">
        <v>75</v>
      </c>
      <c r="O3448" s="2" t="n">
        <v>1</v>
      </c>
      <c r="P3448" s="2" t="s">
        <v>28</v>
      </c>
      <c r="Q3448" s="2" t="s">
        <v>20</v>
      </c>
    </row>
    <row r="3449" customFormat="false" ht="15" hidden="false" customHeight="false" outlineLevel="0" collapsed="false">
      <c r="A3449" s="2" t="n">
        <v>53</v>
      </c>
      <c r="B3449" s="2" t="s">
        <v>29</v>
      </c>
      <c r="C3449" s="2" t="s">
        <v>18</v>
      </c>
      <c r="D3449" s="2" t="s">
        <v>31</v>
      </c>
      <c r="E3449" s="2" t="s">
        <v>20</v>
      </c>
      <c r="F3449" s="2" t="n">
        <v>146</v>
      </c>
      <c r="G3449" s="2" t="s">
        <v>20</v>
      </c>
      <c r="H3449" s="2" t="s">
        <v>20</v>
      </c>
      <c r="I3449" s="2" t="s">
        <v>23</v>
      </c>
      <c r="J3449" s="2" t="n">
        <v>30</v>
      </c>
      <c r="K3449" s="2" t="s">
        <v>27</v>
      </c>
      <c r="L3449" s="2" t="n">
        <v>150</v>
      </c>
      <c r="M3449" s="2" t="n">
        <v>1</v>
      </c>
      <c r="N3449" s="2" t="n">
        <v>-1</v>
      </c>
      <c r="O3449" s="2" t="n">
        <v>0</v>
      </c>
      <c r="P3449" s="2" t="s">
        <v>23</v>
      </c>
      <c r="Q3449" s="2" t="s">
        <v>20</v>
      </c>
    </row>
    <row r="3450" customFormat="false" ht="15" hidden="false" customHeight="false" outlineLevel="0" collapsed="false">
      <c r="A3450" s="2" t="n">
        <v>59</v>
      </c>
      <c r="B3450" s="2" t="s">
        <v>48</v>
      </c>
      <c r="C3450" s="2" t="s">
        <v>45</v>
      </c>
      <c r="D3450" s="2" t="s">
        <v>25</v>
      </c>
      <c r="E3450" s="2" t="s">
        <v>20</v>
      </c>
      <c r="F3450" s="2" t="n">
        <v>319</v>
      </c>
      <c r="G3450" s="2" t="s">
        <v>20</v>
      </c>
      <c r="H3450" s="2" t="s">
        <v>20</v>
      </c>
      <c r="I3450" s="2" t="s">
        <v>21</v>
      </c>
      <c r="J3450" s="2" t="n">
        <v>24</v>
      </c>
      <c r="K3450" s="2" t="s">
        <v>44</v>
      </c>
      <c r="L3450" s="2" t="n">
        <v>129</v>
      </c>
      <c r="M3450" s="2" t="n">
        <v>1</v>
      </c>
      <c r="N3450" s="2" t="n">
        <v>-1</v>
      </c>
      <c r="O3450" s="2" t="n">
        <v>0</v>
      </c>
      <c r="P3450" s="2" t="s">
        <v>23</v>
      </c>
      <c r="Q3450" s="2" t="s">
        <v>20</v>
      </c>
    </row>
    <row r="3451" customFormat="false" ht="15" hidden="false" customHeight="false" outlineLevel="0" collapsed="false">
      <c r="A3451" s="2" t="n">
        <v>28</v>
      </c>
      <c r="B3451" s="2" t="s">
        <v>17</v>
      </c>
      <c r="C3451" s="2" t="s">
        <v>30</v>
      </c>
      <c r="D3451" s="2" t="s">
        <v>25</v>
      </c>
      <c r="E3451" s="2" t="s">
        <v>20</v>
      </c>
      <c r="F3451" s="2" t="n">
        <v>304</v>
      </c>
      <c r="G3451" s="2" t="s">
        <v>20</v>
      </c>
      <c r="H3451" s="2" t="s">
        <v>20</v>
      </c>
      <c r="I3451" s="2" t="s">
        <v>21</v>
      </c>
      <c r="J3451" s="2" t="n">
        <v>14</v>
      </c>
      <c r="K3451" s="2" t="s">
        <v>33</v>
      </c>
      <c r="L3451" s="2" t="n">
        <v>516</v>
      </c>
      <c r="M3451" s="2" t="n">
        <v>1</v>
      </c>
      <c r="N3451" s="2" t="n">
        <v>-1</v>
      </c>
      <c r="O3451" s="2" t="n">
        <v>0</v>
      </c>
      <c r="P3451" s="2" t="s">
        <v>23</v>
      </c>
      <c r="Q3451" s="2" t="s">
        <v>20</v>
      </c>
    </row>
    <row r="3452" customFormat="false" ht="15" hidden="false" customHeight="false" outlineLevel="0" collapsed="false">
      <c r="A3452" s="2" t="n">
        <v>41</v>
      </c>
      <c r="B3452" s="2" t="s">
        <v>34</v>
      </c>
      <c r="C3452" s="2" t="s">
        <v>18</v>
      </c>
      <c r="D3452" s="2" t="s">
        <v>19</v>
      </c>
      <c r="E3452" s="2" t="s">
        <v>20</v>
      </c>
      <c r="F3452" s="2" t="n">
        <v>389</v>
      </c>
      <c r="G3452" s="2" t="s">
        <v>26</v>
      </c>
      <c r="H3452" s="2" t="s">
        <v>20</v>
      </c>
      <c r="I3452" s="2" t="s">
        <v>23</v>
      </c>
      <c r="J3452" s="2" t="n">
        <v>16</v>
      </c>
      <c r="K3452" s="2" t="s">
        <v>33</v>
      </c>
      <c r="L3452" s="2" t="n">
        <v>127</v>
      </c>
      <c r="M3452" s="2" t="n">
        <v>2</v>
      </c>
      <c r="N3452" s="2" t="n">
        <v>-1</v>
      </c>
      <c r="O3452" s="2" t="n">
        <v>0</v>
      </c>
      <c r="P3452" s="2" t="s">
        <v>23</v>
      </c>
      <c r="Q3452" s="2" t="s">
        <v>20</v>
      </c>
    </row>
    <row r="3453" customFormat="false" ht="15" hidden="false" customHeight="false" outlineLevel="0" collapsed="false">
      <c r="A3453" s="2" t="n">
        <v>50</v>
      </c>
      <c r="B3453" s="2" t="s">
        <v>29</v>
      </c>
      <c r="C3453" s="2" t="s">
        <v>30</v>
      </c>
      <c r="D3453" s="2" t="s">
        <v>19</v>
      </c>
      <c r="E3453" s="2" t="s">
        <v>20</v>
      </c>
      <c r="F3453" s="2" t="n">
        <v>766</v>
      </c>
      <c r="G3453" s="2" t="s">
        <v>20</v>
      </c>
      <c r="H3453" s="2" t="s">
        <v>20</v>
      </c>
      <c r="I3453" s="2" t="s">
        <v>23</v>
      </c>
      <c r="J3453" s="2" t="n">
        <v>17</v>
      </c>
      <c r="K3453" s="2" t="s">
        <v>33</v>
      </c>
      <c r="L3453" s="2" t="n">
        <v>174</v>
      </c>
      <c r="M3453" s="2" t="n">
        <v>2</v>
      </c>
      <c r="N3453" s="2" t="n">
        <v>-1</v>
      </c>
      <c r="O3453" s="2" t="n">
        <v>0</v>
      </c>
      <c r="P3453" s="2" t="s">
        <v>23</v>
      </c>
      <c r="Q3453" s="2" t="s">
        <v>20</v>
      </c>
    </row>
    <row r="3454" customFormat="false" ht="15" hidden="false" customHeight="false" outlineLevel="0" collapsed="false">
      <c r="A3454" s="2" t="n">
        <v>31</v>
      </c>
      <c r="B3454" s="2" t="s">
        <v>40</v>
      </c>
      <c r="C3454" s="2" t="s">
        <v>18</v>
      </c>
      <c r="D3454" s="2" t="s">
        <v>25</v>
      </c>
      <c r="E3454" s="2" t="s">
        <v>20</v>
      </c>
      <c r="F3454" s="2" t="n">
        <v>0</v>
      </c>
      <c r="G3454" s="2" t="s">
        <v>26</v>
      </c>
      <c r="H3454" s="2" t="s">
        <v>20</v>
      </c>
      <c r="I3454" s="2" t="s">
        <v>21</v>
      </c>
      <c r="J3454" s="2" t="n">
        <v>29</v>
      </c>
      <c r="K3454" s="2" t="s">
        <v>44</v>
      </c>
      <c r="L3454" s="2" t="n">
        <v>82</v>
      </c>
      <c r="M3454" s="2" t="n">
        <v>5</v>
      </c>
      <c r="N3454" s="2" t="n">
        <v>-1</v>
      </c>
      <c r="O3454" s="2" t="n">
        <v>0</v>
      </c>
      <c r="P3454" s="2" t="s">
        <v>23</v>
      </c>
      <c r="Q3454" s="2" t="s">
        <v>20</v>
      </c>
    </row>
    <row r="3455" customFormat="false" ht="15" hidden="false" customHeight="false" outlineLevel="0" collapsed="false">
      <c r="A3455" s="2" t="n">
        <v>30</v>
      </c>
      <c r="B3455" s="2" t="s">
        <v>38</v>
      </c>
      <c r="C3455" s="2" t="s">
        <v>30</v>
      </c>
      <c r="D3455" s="2" t="s">
        <v>25</v>
      </c>
      <c r="E3455" s="2" t="s">
        <v>20</v>
      </c>
      <c r="F3455" s="2" t="n">
        <v>3107</v>
      </c>
      <c r="G3455" s="2" t="s">
        <v>26</v>
      </c>
      <c r="H3455" s="2" t="s">
        <v>20</v>
      </c>
      <c r="I3455" s="2" t="s">
        <v>23</v>
      </c>
      <c r="J3455" s="2" t="n">
        <v>3</v>
      </c>
      <c r="K3455" s="2" t="s">
        <v>33</v>
      </c>
      <c r="L3455" s="2" t="n">
        <v>1516</v>
      </c>
      <c r="M3455" s="2" t="n">
        <v>2</v>
      </c>
      <c r="N3455" s="2" t="n">
        <v>-1</v>
      </c>
      <c r="O3455" s="2" t="n">
        <v>0</v>
      </c>
      <c r="P3455" s="2" t="s">
        <v>23</v>
      </c>
      <c r="Q3455" s="2" t="s">
        <v>20</v>
      </c>
    </row>
    <row r="3456" customFormat="false" ht="15" hidden="false" customHeight="false" outlineLevel="0" collapsed="false">
      <c r="A3456" s="2" t="n">
        <v>59</v>
      </c>
      <c r="B3456" s="2" t="s">
        <v>40</v>
      </c>
      <c r="C3456" s="2" t="s">
        <v>45</v>
      </c>
      <c r="D3456" s="2" t="s">
        <v>25</v>
      </c>
      <c r="E3456" s="2" t="s">
        <v>20</v>
      </c>
      <c r="F3456" s="2" t="n">
        <v>174</v>
      </c>
      <c r="G3456" s="2" t="s">
        <v>26</v>
      </c>
      <c r="H3456" s="2" t="s">
        <v>20</v>
      </c>
      <c r="I3456" s="2" t="s">
        <v>23</v>
      </c>
      <c r="J3456" s="2" t="n">
        <v>16</v>
      </c>
      <c r="K3456" s="2" t="s">
        <v>27</v>
      </c>
      <c r="L3456" s="2" t="n">
        <v>204</v>
      </c>
      <c r="M3456" s="2" t="n">
        <v>1</v>
      </c>
      <c r="N3456" s="2" t="n">
        <v>-1</v>
      </c>
      <c r="O3456" s="2" t="n">
        <v>0</v>
      </c>
      <c r="P3456" s="2" t="s">
        <v>23</v>
      </c>
      <c r="Q3456" s="2" t="s">
        <v>20</v>
      </c>
    </row>
    <row r="3457" customFormat="false" ht="15" hidden="false" customHeight="false" outlineLevel="0" collapsed="false">
      <c r="A3457" s="2" t="n">
        <v>33</v>
      </c>
      <c r="B3457" s="2" t="s">
        <v>38</v>
      </c>
      <c r="C3457" s="2" t="s">
        <v>45</v>
      </c>
      <c r="D3457" s="2" t="s">
        <v>25</v>
      </c>
      <c r="E3457" s="2" t="s">
        <v>26</v>
      </c>
      <c r="F3457" s="2" t="n">
        <v>-305</v>
      </c>
      <c r="G3457" s="2" t="s">
        <v>20</v>
      </c>
      <c r="H3457" s="2" t="s">
        <v>26</v>
      </c>
      <c r="I3457" s="2" t="s">
        <v>23</v>
      </c>
      <c r="J3457" s="2" t="n">
        <v>9</v>
      </c>
      <c r="K3457" s="2" t="s">
        <v>27</v>
      </c>
      <c r="L3457" s="2" t="n">
        <v>109</v>
      </c>
      <c r="M3457" s="2" t="n">
        <v>1</v>
      </c>
      <c r="N3457" s="2" t="n">
        <v>-1</v>
      </c>
      <c r="O3457" s="2" t="n">
        <v>0</v>
      </c>
      <c r="P3457" s="2" t="s">
        <v>23</v>
      </c>
      <c r="Q3457" s="2" t="s">
        <v>20</v>
      </c>
    </row>
    <row r="3458" customFormat="false" ht="15" hidden="false" customHeight="false" outlineLevel="0" collapsed="false">
      <c r="A3458" s="2" t="n">
        <v>35</v>
      </c>
      <c r="B3458" s="2" t="s">
        <v>36</v>
      </c>
      <c r="C3458" s="2" t="s">
        <v>18</v>
      </c>
      <c r="D3458" s="2" t="s">
        <v>25</v>
      </c>
      <c r="E3458" s="2" t="s">
        <v>20</v>
      </c>
      <c r="F3458" s="2" t="n">
        <v>670</v>
      </c>
      <c r="G3458" s="2" t="s">
        <v>20</v>
      </c>
      <c r="H3458" s="2" t="s">
        <v>20</v>
      </c>
      <c r="I3458" s="2" t="s">
        <v>21</v>
      </c>
      <c r="J3458" s="2" t="n">
        <v>9</v>
      </c>
      <c r="K3458" s="2" t="s">
        <v>44</v>
      </c>
      <c r="L3458" s="2" t="n">
        <v>378</v>
      </c>
      <c r="M3458" s="2" t="n">
        <v>1</v>
      </c>
      <c r="N3458" s="2" t="n">
        <v>-1</v>
      </c>
      <c r="O3458" s="2" t="n">
        <v>0</v>
      </c>
      <c r="P3458" s="2" t="s">
        <v>23</v>
      </c>
      <c r="Q3458" s="2" t="s">
        <v>20</v>
      </c>
    </row>
    <row r="3459" customFormat="false" ht="15" hidden="false" customHeight="false" outlineLevel="0" collapsed="false">
      <c r="A3459" s="2" t="n">
        <v>30</v>
      </c>
      <c r="B3459" s="2" t="s">
        <v>29</v>
      </c>
      <c r="C3459" s="2" t="s">
        <v>30</v>
      </c>
      <c r="D3459" s="2" t="s">
        <v>31</v>
      </c>
      <c r="E3459" s="2" t="s">
        <v>20</v>
      </c>
      <c r="F3459" s="2" t="n">
        <v>6164</v>
      </c>
      <c r="G3459" s="2" t="s">
        <v>26</v>
      </c>
      <c r="H3459" s="2" t="s">
        <v>20</v>
      </c>
      <c r="I3459" s="2" t="s">
        <v>23</v>
      </c>
      <c r="J3459" s="2" t="n">
        <v>27</v>
      </c>
      <c r="K3459" s="2" t="s">
        <v>27</v>
      </c>
      <c r="L3459" s="2" t="n">
        <v>152</v>
      </c>
      <c r="M3459" s="2" t="n">
        <v>11</v>
      </c>
      <c r="N3459" s="2" t="n">
        <v>-1</v>
      </c>
      <c r="O3459" s="2" t="n">
        <v>0</v>
      </c>
      <c r="P3459" s="2" t="s">
        <v>23</v>
      </c>
      <c r="Q3459" s="2" t="s">
        <v>20</v>
      </c>
    </row>
    <row r="3460" customFormat="false" ht="15" hidden="false" customHeight="false" outlineLevel="0" collapsed="false">
      <c r="A3460" s="2" t="n">
        <v>71</v>
      </c>
      <c r="B3460" s="2" t="s">
        <v>48</v>
      </c>
      <c r="C3460" s="2" t="s">
        <v>18</v>
      </c>
      <c r="D3460" s="2" t="s">
        <v>25</v>
      </c>
      <c r="E3460" s="2" t="s">
        <v>20</v>
      </c>
      <c r="F3460" s="2" t="n">
        <v>2850</v>
      </c>
      <c r="G3460" s="2" t="s">
        <v>20</v>
      </c>
      <c r="H3460" s="2" t="s">
        <v>20</v>
      </c>
      <c r="I3460" s="2" t="s">
        <v>21</v>
      </c>
      <c r="J3460" s="2" t="n">
        <v>17</v>
      </c>
      <c r="K3460" s="2" t="s">
        <v>35</v>
      </c>
      <c r="L3460" s="2" t="n">
        <v>185</v>
      </c>
      <c r="M3460" s="2" t="n">
        <v>1</v>
      </c>
      <c r="N3460" s="2" t="n">
        <v>-1</v>
      </c>
      <c r="O3460" s="2" t="n">
        <v>0</v>
      </c>
      <c r="P3460" s="2" t="s">
        <v>23</v>
      </c>
      <c r="Q3460" s="2" t="s">
        <v>26</v>
      </c>
    </row>
    <row r="3461" customFormat="false" ht="15" hidden="false" customHeight="false" outlineLevel="0" collapsed="false">
      <c r="A3461" s="2" t="n">
        <v>30</v>
      </c>
      <c r="B3461" s="2" t="s">
        <v>24</v>
      </c>
      <c r="C3461" s="2" t="s">
        <v>30</v>
      </c>
      <c r="D3461" s="2" t="s">
        <v>19</v>
      </c>
      <c r="E3461" s="2" t="s">
        <v>20</v>
      </c>
      <c r="F3461" s="2" t="n">
        <v>79</v>
      </c>
      <c r="G3461" s="2" t="s">
        <v>26</v>
      </c>
      <c r="H3461" s="2" t="s">
        <v>20</v>
      </c>
      <c r="I3461" s="2" t="s">
        <v>21</v>
      </c>
      <c r="J3461" s="2" t="n">
        <v>15</v>
      </c>
      <c r="K3461" s="2" t="s">
        <v>27</v>
      </c>
      <c r="L3461" s="2" t="n">
        <v>317</v>
      </c>
      <c r="M3461" s="2" t="n">
        <v>1</v>
      </c>
      <c r="N3461" s="2" t="n">
        <v>-1</v>
      </c>
      <c r="O3461" s="2" t="n">
        <v>0</v>
      </c>
      <c r="P3461" s="2" t="s">
        <v>23</v>
      </c>
      <c r="Q3461" s="2" t="s">
        <v>20</v>
      </c>
    </row>
    <row r="3462" customFormat="false" ht="15" hidden="false" customHeight="false" outlineLevel="0" collapsed="false">
      <c r="A3462" s="2" t="n">
        <v>24</v>
      </c>
      <c r="B3462" s="2" t="s">
        <v>24</v>
      </c>
      <c r="C3462" s="2" t="s">
        <v>18</v>
      </c>
      <c r="D3462" s="2" t="s">
        <v>25</v>
      </c>
      <c r="E3462" s="2" t="s">
        <v>26</v>
      </c>
      <c r="F3462" s="2" t="n">
        <v>110</v>
      </c>
      <c r="G3462" s="2" t="s">
        <v>26</v>
      </c>
      <c r="H3462" s="2" t="s">
        <v>20</v>
      </c>
      <c r="I3462" s="2" t="s">
        <v>23</v>
      </c>
      <c r="J3462" s="2" t="n">
        <v>23</v>
      </c>
      <c r="K3462" s="2" t="s">
        <v>27</v>
      </c>
      <c r="L3462" s="2" t="n">
        <v>27</v>
      </c>
      <c r="M3462" s="2" t="n">
        <v>1</v>
      </c>
      <c r="N3462" s="2" t="n">
        <v>-1</v>
      </c>
      <c r="O3462" s="2" t="n">
        <v>0</v>
      </c>
      <c r="P3462" s="2" t="s">
        <v>23</v>
      </c>
      <c r="Q3462" s="2" t="s">
        <v>20</v>
      </c>
    </row>
    <row r="3463" customFormat="false" ht="15" hidden="false" customHeight="false" outlineLevel="0" collapsed="false">
      <c r="A3463" s="2" t="n">
        <v>34</v>
      </c>
      <c r="B3463" s="2" t="s">
        <v>38</v>
      </c>
      <c r="C3463" s="2" t="s">
        <v>30</v>
      </c>
      <c r="D3463" s="2" t="s">
        <v>25</v>
      </c>
      <c r="E3463" s="2" t="s">
        <v>20</v>
      </c>
      <c r="F3463" s="2" t="n">
        <v>5039</v>
      </c>
      <c r="G3463" s="2" t="s">
        <v>20</v>
      </c>
      <c r="H3463" s="2" t="s">
        <v>20</v>
      </c>
      <c r="I3463" s="2" t="s">
        <v>21</v>
      </c>
      <c r="J3463" s="2" t="n">
        <v>20</v>
      </c>
      <c r="K3463" s="2" t="s">
        <v>46</v>
      </c>
      <c r="L3463" s="2" t="n">
        <v>205</v>
      </c>
      <c r="M3463" s="2" t="n">
        <v>6</v>
      </c>
      <c r="N3463" s="2" t="n">
        <v>-1</v>
      </c>
      <c r="O3463" s="2" t="n">
        <v>0</v>
      </c>
      <c r="P3463" s="2" t="s">
        <v>23</v>
      </c>
      <c r="Q3463" s="2" t="s">
        <v>20</v>
      </c>
    </row>
    <row r="3464" customFormat="false" ht="15" hidden="false" customHeight="false" outlineLevel="0" collapsed="false">
      <c r="A3464" s="2" t="n">
        <v>34</v>
      </c>
      <c r="B3464" s="2" t="s">
        <v>34</v>
      </c>
      <c r="C3464" s="2" t="s">
        <v>18</v>
      </c>
      <c r="D3464" s="2" t="s">
        <v>25</v>
      </c>
      <c r="E3464" s="2" t="s">
        <v>20</v>
      </c>
      <c r="F3464" s="2" t="n">
        <v>360</v>
      </c>
      <c r="G3464" s="2" t="s">
        <v>26</v>
      </c>
      <c r="H3464" s="2" t="s">
        <v>20</v>
      </c>
      <c r="I3464" s="2" t="s">
        <v>49</v>
      </c>
      <c r="J3464" s="2" t="n">
        <v>19</v>
      </c>
      <c r="K3464" s="2" t="s">
        <v>46</v>
      </c>
      <c r="L3464" s="2" t="n">
        <v>46</v>
      </c>
      <c r="M3464" s="2" t="n">
        <v>1</v>
      </c>
      <c r="N3464" s="2" t="n">
        <v>182</v>
      </c>
      <c r="O3464" s="2" t="n">
        <v>2</v>
      </c>
      <c r="P3464" s="2" t="s">
        <v>28</v>
      </c>
      <c r="Q3464" s="2" t="s">
        <v>20</v>
      </c>
    </row>
    <row r="3465" customFormat="false" ht="15" hidden="false" customHeight="false" outlineLevel="0" collapsed="false">
      <c r="A3465" s="2" t="n">
        <v>52</v>
      </c>
      <c r="B3465" s="2" t="s">
        <v>40</v>
      </c>
      <c r="C3465" s="2" t="s">
        <v>18</v>
      </c>
      <c r="D3465" s="2" t="s">
        <v>25</v>
      </c>
      <c r="E3465" s="2" t="s">
        <v>20</v>
      </c>
      <c r="F3465" s="2" t="n">
        <v>199</v>
      </c>
      <c r="G3465" s="2" t="s">
        <v>20</v>
      </c>
      <c r="H3465" s="2" t="s">
        <v>20</v>
      </c>
      <c r="I3465" s="2" t="s">
        <v>21</v>
      </c>
      <c r="J3465" s="2" t="n">
        <v>28</v>
      </c>
      <c r="K3465" s="2" t="s">
        <v>43</v>
      </c>
      <c r="L3465" s="2" t="n">
        <v>978</v>
      </c>
      <c r="M3465" s="2" t="n">
        <v>2</v>
      </c>
      <c r="N3465" s="2" t="n">
        <v>189</v>
      </c>
      <c r="O3465" s="2" t="n">
        <v>1</v>
      </c>
      <c r="P3465" s="2" t="s">
        <v>37</v>
      </c>
      <c r="Q3465" s="2" t="s">
        <v>20</v>
      </c>
    </row>
    <row r="3466" customFormat="false" ht="15" hidden="false" customHeight="false" outlineLevel="0" collapsed="false">
      <c r="A3466" s="2" t="n">
        <v>33</v>
      </c>
      <c r="B3466" s="2" t="s">
        <v>36</v>
      </c>
      <c r="C3466" s="2" t="s">
        <v>30</v>
      </c>
      <c r="D3466" s="2" t="s">
        <v>25</v>
      </c>
      <c r="E3466" s="2" t="s">
        <v>20</v>
      </c>
      <c r="F3466" s="2" t="n">
        <v>238</v>
      </c>
      <c r="G3466" s="2" t="s">
        <v>26</v>
      </c>
      <c r="H3466" s="2" t="s">
        <v>26</v>
      </c>
      <c r="I3466" s="2" t="s">
        <v>21</v>
      </c>
      <c r="J3466" s="2" t="n">
        <v>5</v>
      </c>
      <c r="K3466" s="2" t="s">
        <v>35</v>
      </c>
      <c r="L3466" s="2" t="n">
        <v>45</v>
      </c>
      <c r="M3466" s="2" t="n">
        <v>5</v>
      </c>
      <c r="N3466" s="2" t="n">
        <v>-1</v>
      </c>
      <c r="O3466" s="2" t="n">
        <v>0</v>
      </c>
      <c r="P3466" s="2" t="s">
        <v>23</v>
      </c>
      <c r="Q3466" s="2" t="s">
        <v>20</v>
      </c>
    </row>
    <row r="3467" customFormat="false" ht="15" hidden="false" customHeight="false" outlineLevel="0" collapsed="false">
      <c r="A3467" s="2" t="n">
        <v>38</v>
      </c>
      <c r="B3467" s="2" t="s">
        <v>34</v>
      </c>
      <c r="C3467" s="2" t="s">
        <v>18</v>
      </c>
      <c r="D3467" s="2" t="s">
        <v>25</v>
      </c>
      <c r="E3467" s="2" t="s">
        <v>20</v>
      </c>
      <c r="F3467" s="2" t="n">
        <v>5092</v>
      </c>
      <c r="G3467" s="2" t="s">
        <v>26</v>
      </c>
      <c r="H3467" s="2" t="s">
        <v>20</v>
      </c>
      <c r="I3467" s="2" t="s">
        <v>23</v>
      </c>
      <c r="J3467" s="2" t="n">
        <v>17</v>
      </c>
      <c r="K3467" s="2" t="s">
        <v>33</v>
      </c>
      <c r="L3467" s="2" t="n">
        <v>145</v>
      </c>
      <c r="M3467" s="2" t="n">
        <v>6</v>
      </c>
      <c r="N3467" s="2" t="n">
        <v>-1</v>
      </c>
      <c r="O3467" s="2" t="n">
        <v>0</v>
      </c>
      <c r="P3467" s="2" t="s">
        <v>23</v>
      </c>
      <c r="Q3467" s="2" t="s">
        <v>20</v>
      </c>
    </row>
    <row r="3468" customFormat="false" ht="15" hidden="false" customHeight="false" outlineLevel="0" collapsed="false">
      <c r="A3468" s="2" t="n">
        <v>41</v>
      </c>
      <c r="B3468" s="2" t="s">
        <v>40</v>
      </c>
      <c r="C3468" s="2" t="s">
        <v>45</v>
      </c>
      <c r="D3468" s="2" t="s">
        <v>25</v>
      </c>
      <c r="E3468" s="2" t="s">
        <v>20</v>
      </c>
      <c r="F3468" s="2" t="n">
        <v>1088</v>
      </c>
      <c r="G3468" s="2" t="s">
        <v>26</v>
      </c>
      <c r="H3468" s="2" t="s">
        <v>20</v>
      </c>
      <c r="I3468" s="2" t="s">
        <v>21</v>
      </c>
      <c r="J3468" s="2" t="n">
        <v>28</v>
      </c>
      <c r="K3468" s="2" t="s">
        <v>43</v>
      </c>
      <c r="L3468" s="2" t="n">
        <v>138</v>
      </c>
      <c r="M3468" s="2" t="n">
        <v>1</v>
      </c>
      <c r="N3468" s="2" t="n">
        <v>-1</v>
      </c>
      <c r="O3468" s="2" t="n">
        <v>0</v>
      </c>
      <c r="P3468" s="2" t="s">
        <v>23</v>
      </c>
      <c r="Q3468" s="2" t="s">
        <v>20</v>
      </c>
    </row>
    <row r="3469" customFormat="false" ht="15" hidden="false" customHeight="false" outlineLevel="0" collapsed="false">
      <c r="A3469" s="2" t="n">
        <v>42</v>
      </c>
      <c r="B3469" s="2" t="s">
        <v>29</v>
      </c>
      <c r="C3469" s="2" t="s">
        <v>45</v>
      </c>
      <c r="D3469" s="2" t="s">
        <v>31</v>
      </c>
      <c r="E3469" s="2" t="s">
        <v>20</v>
      </c>
      <c r="F3469" s="2" t="n">
        <v>221</v>
      </c>
      <c r="G3469" s="2" t="s">
        <v>26</v>
      </c>
      <c r="H3469" s="2" t="s">
        <v>20</v>
      </c>
      <c r="I3469" s="2" t="s">
        <v>23</v>
      </c>
      <c r="J3469" s="2" t="n">
        <v>7</v>
      </c>
      <c r="K3469" s="2" t="s">
        <v>27</v>
      </c>
      <c r="L3469" s="2" t="n">
        <v>720</v>
      </c>
      <c r="M3469" s="2" t="n">
        <v>2</v>
      </c>
      <c r="N3469" s="2" t="n">
        <v>-1</v>
      </c>
      <c r="O3469" s="2" t="n">
        <v>0</v>
      </c>
      <c r="P3469" s="2" t="s">
        <v>23</v>
      </c>
      <c r="Q3469" s="2" t="s">
        <v>20</v>
      </c>
    </row>
    <row r="3470" customFormat="false" ht="15" hidden="false" customHeight="false" outlineLevel="0" collapsed="false">
      <c r="A3470" s="2" t="n">
        <v>38</v>
      </c>
      <c r="B3470" s="2" t="s">
        <v>34</v>
      </c>
      <c r="C3470" s="2" t="s">
        <v>45</v>
      </c>
      <c r="D3470" s="2" t="s">
        <v>25</v>
      </c>
      <c r="E3470" s="2" t="s">
        <v>20</v>
      </c>
      <c r="F3470" s="2" t="n">
        <v>889</v>
      </c>
      <c r="G3470" s="2" t="s">
        <v>20</v>
      </c>
      <c r="H3470" s="2" t="s">
        <v>26</v>
      </c>
      <c r="I3470" s="2" t="s">
        <v>23</v>
      </c>
      <c r="J3470" s="2" t="n">
        <v>18</v>
      </c>
      <c r="K3470" s="2" t="s">
        <v>33</v>
      </c>
      <c r="L3470" s="2" t="n">
        <v>362</v>
      </c>
      <c r="M3470" s="2" t="n">
        <v>1</v>
      </c>
      <c r="N3470" s="2" t="n">
        <v>-1</v>
      </c>
      <c r="O3470" s="2" t="n">
        <v>0</v>
      </c>
      <c r="P3470" s="2" t="s">
        <v>23</v>
      </c>
      <c r="Q3470" s="2" t="s">
        <v>20</v>
      </c>
    </row>
    <row r="3471" customFormat="false" ht="15" hidden="false" customHeight="false" outlineLevel="0" collapsed="false">
      <c r="A3471" s="2" t="n">
        <v>48</v>
      </c>
      <c r="B3471" s="2" t="s">
        <v>34</v>
      </c>
      <c r="C3471" s="2" t="s">
        <v>18</v>
      </c>
      <c r="D3471" s="2" t="s">
        <v>19</v>
      </c>
      <c r="E3471" s="2" t="s">
        <v>20</v>
      </c>
      <c r="F3471" s="2" t="n">
        <v>750</v>
      </c>
      <c r="G3471" s="2" t="s">
        <v>26</v>
      </c>
      <c r="H3471" s="2" t="s">
        <v>20</v>
      </c>
      <c r="I3471" s="2" t="s">
        <v>21</v>
      </c>
      <c r="J3471" s="2" t="n">
        <v>18</v>
      </c>
      <c r="K3471" s="2" t="s">
        <v>27</v>
      </c>
      <c r="L3471" s="2" t="n">
        <v>90</v>
      </c>
      <c r="M3471" s="2" t="n">
        <v>6</v>
      </c>
      <c r="N3471" s="2" t="n">
        <v>-1</v>
      </c>
      <c r="O3471" s="2" t="n">
        <v>0</v>
      </c>
      <c r="P3471" s="2" t="s">
        <v>23</v>
      </c>
      <c r="Q3471" s="2" t="s">
        <v>20</v>
      </c>
    </row>
    <row r="3472" customFormat="false" ht="15" hidden="false" customHeight="false" outlineLevel="0" collapsed="false">
      <c r="A3472" s="2" t="n">
        <v>34</v>
      </c>
      <c r="B3472" s="2" t="s">
        <v>38</v>
      </c>
      <c r="C3472" s="2" t="s">
        <v>30</v>
      </c>
      <c r="D3472" s="2" t="s">
        <v>25</v>
      </c>
      <c r="E3472" s="2" t="s">
        <v>20</v>
      </c>
      <c r="F3472" s="2" t="n">
        <v>0</v>
      </c>
      <c r="G3472" s="2" t="s">
        <v>26</v>
      </c>
      <c r="H3472" s="2" t="s">
        <v>26</v>
      </c>
      <c r="I3472" s="2" t="s">
        <v>23</v>
      </c>
      <c r="J3472" s="2" t="n">
        <v>16</v>
      </c>
      <c r="K3472" s="2" t="s">
        <v>27</v>
      </c>
      <c r="L3472" s="2" t="n">
        <v>214</v>
      </c>
      <c r="M3472" s="2" t="n">
        <v>1</v>
      </c>
      <c r="N3472" s="2" t="n">
        <v>-1</v>
      </c>
      <c r="O3472" s="2" t="n">
        <v>0</v>
      </c>
      <c r="P3472" s="2" t="s">
        <v>23</v>
      </c>
      <c r="Q3472" s="2" t="s">
        <v>20</v>
      </c>
    </row>
    <row r="3473" customFormat="false" ht="15" hidden="false" customHeight="false" outlineLevel="0" collapsed="false">
      <c r="A3473" s="2" t="n">
        <v>46</v>
      </c>
      <c r="B3473" s="2" t="s">
        <v>34</v>
      </c>
      <c r="C3473" s="2" t="s">
        <v>18</v>
      </c>
      <c r="D3473" s="2" t="s">
        <v>19</v>
      </c>
      <c r="E3473" s="2" t="s">
        <v>20</v>
      </c>
      <c r="F3473" s="2" t="n">
        <v>1291</v>
      </c>
      <c r="G3473" s="2" t="s">
        <v>26</v>
      </c>
      <c r="H3473" s="2" t="s">
        <v>20</v>
      </c>
      <c r="I3473" s="2" t="s">
        <v>21</v>
      </c>
      <c r="J3473" s="2" t="n">
        <v>14</v>
      </c>
      <c r="K3473" s="2" t="s">
        <v>27</v>
      </c>
      <c r="L3473" s="2" t="n">
        <v>142</v>
      </c>
      <c r="M3473" s="2" t="n">
        <v>3</v>
      </c>
      <c r="N3473" s="2" t="n">
        <v>259</v>
      </c>
      <c r="O3473" s="2" t="n">
        <v>17</v>
      </c>
      <c r="P3473" s="2" t="s">
        <v>28</v>
      </c>
      <c r="Q3473" s="2" t="s">
        <v>20</v>
      </c>
    </row>
    <row r="3474" customFormat="false" ht="15" hidden="false" customHeight="false" outlineLevel="0" collapsed="false">
      <c r="A3474" s="2" t="n">
        <v>33</v>
      </c>
      <c r="B3474" s="2" t="s">
        <v>38</v>
      </c>
      <c r="C3474" s="2" t="s">
        <v>18</v>
      </c>
      <c r="D3474" s="2" t="s">
        <v>25</v>
      </c>
      <c r="E3474" s="2" t="s">
        <v>20</v>
      </c>
      <c r="F3474" s="2" t="n">
        <v>1844</v>
      </c>
      <c r="G3474" s="2" t="s">
        <v>26</v>
      </c>
      <c r="H3474" s="2" t="s">
        <v>20</v>
      </c>
      <c r="I3474" s="2" t="s">
        <v>23</v>
      </c>
      <c r="J3474" s="2" t="n">
        <v>29</v>
      </c>
      <c r="K3474" s="2" t="s">
        <v>27</v>
      </c>
      <c r="L3474" s="2" t="n">
        <v>241</v>
      </c>
      <c r="M3474" s="2" t="n">
        <v>3</v>
      </c>
      <c r="N3474" s="2" t="n">
        <v>-1</v>
      </c>
      <c r="O3474" s="2" t="n">
        <v>0</v>
      </c>
      <c r="P3474" s="2" t="s">
        <v>23</v>
      </c>
      <c r="Q3474" s="2" t="s">
        <v>20</v>
      </c>
    </row>
    <row r="3475" customFormat="false" ht="15" hidden="false" customHeight="false" outlineLevel="0" collapsed="false">
      <c r="A3475" s="2" t="n">
        <v>40</v>
      </c>
      <c r="B3475" s="2" t="s">
        <v>29</v>
      </c>
      <c r="C3475" s="2" t="s">
        <v>18</v>
      </c>
      <c r="D3475" s="2" t="s">
        <v>31</v>
      </c>
      <c r="E3475" s="2" t="s">
        <v>20</v>
      </c>
      <c r="F3475" s="2" t="n">
        <v>89</v>
      </c>
      <c r="G3475" s="2" t="s">
        <v>26</v>
      </c>
      <c r="H3475" s="2" t="s">
        <v>26</v>
      </c>
      <c r="I3475" s="2" t="s">
        <v>49</v>
      </c>
      <c r="J3475" s="2" t="n">
        <v>9</v>
      </c>
      <c r="K3475" s="2" t="s">
        <v>35</v>
      </c>
      <c r="L3475" s="2" t="n">
        <v>148</v>
      </c>
      <c r="M3475" s="2" t="n">
        <v>6</v>
      </c>
      <c r="N3475" s="2" t="n">
        <v>-1</v>
      </c>
      <c r="O3475" s="2" t="n">
        <v>0</v>
      </c>
      <c r="P3475" s="2" t="s">
        <v>23</v>
      </c>
      <c r="Q3475" s="2" t="s">
        <v>20</v>
      </c>
    </row>
    <row r="3476" customFormat="false" ht="15" hidden="false" customHeight="false" outlineLevel="0" collapsed="false">
      <c r="A3476" s="2" t="n">
        <v>36</v>
      </c>
      <c r="B3476" s="2" t="s">
        <v>40</v>
      </c>
      <c r="C3476" s="2" t="s">
        <v>18</v>
      </c>
      <c r="D3476" s="2" t="s">
        <v>25</v>
      </c>
      <c r="E3476" s="2" t="s">
        <v>20</v>
      </c>
      <c r="F3476" s="2" t="n">
        <v>4280</v>
      </c>
      <c r="G3476" s="2" t="s">
        <v>20</v>
      </c>
      <c r="H3476" s="2" t="s">
        <v>20</v>
      </c>
      <c r="I3476" s="2" t="s">
        <v>23</v>
      </c>
      <c r="J3476" s="2" t="n">
        <v>19</v>
      </c>
      <c r="K3476" s="2" t="s">
        <v>33</v>
      </c>
      <c r="L3476" s="2" t="n">
        <v>227</v>
      </c>
      <c r="M3476" s="2" t="n">
        <v>6</v>
      </c>
      <c r="N3476" s="2" t="n">
        <v>-1</v>
      </c>
      <c r="O3476" s="2" t="n">
        <v>0</v>
      </c>
      <c r="P3476" s="2" t="s">
        <v>23</v>
      </c>
      <c r="Q3476" s="2" t="s">
        <v>20</v>
      </c>
    </row>
    <row r="3477" customFormat="false" ht="15" hidden="false" customHeight="false" outlineLevel="0" collapsed="false">
      <c r="A3477" s="2" t="n">
        <v>32</v>
      </c>
      <c r="B3477" s="2" t="s">
        <v>38</v>
      </c>
      <c r="C3477" s="2" t="s">
        <v>30</v>
      </c>
      <c r="D3477" s="2" t="s">
        <v>25</v>
      </c>
      <c r="E3477" s="2" t="s">
        <v>20</v>
      </c>
      <c r="F3477" s="2" t="n">
        <v>0</v>
      </c>
      <c r="G3477" s="2" t="s">
        <v>20</v>
      </c>
      <c r="H3477" s="2" t="s">
        <v>20</v>
      </c>
      <c r="I3477" s="2" t="s">
        <v>21</v>
      </c>
      <c r="J3477" s="2" t="n">
        <v>21</v>
      </c>
      <c r="K3477" s="2" t="s">
        <v>41</v>
      </c>
      <c r="L3477" s="2" t="n">
        <v>126</v>
      </c>
      <c r="M3477" s="2" t="n">
        <v>2</v>
      </c>
      <c r="N3477" s="2" t="n">
        <v>-1</v>
      </c>
      <c r="O3477" s="2" t="n">
        <v>0</v>
      </c>
      <c r="P3477" s="2" t="s">
        <v>23</v>
      </c>
      <c r="Q3477" s="2" t="s">
        <v>20</v>
      </c>
    </row>
    <row r="3478" customFormat="false" ht="15" hidden="false" customHeight="false" outlineLevel="0" collapsed="false">
      <c r="A3478" s="2" t="n">
        <v>33</v>
      </c>
      <c r="B3478" s="2" t="s">
        <v>34</v>
      </c>
      <c r="C3478" s="2" t="s">
        <v>18</v>
      </c>
      <c r="D3478" s="2" t="s">
        <v>25</v>
      </c>
      <c r="E3478" s="2" t="s">
        <v>20</v>
      </c>
      <c r="F3478" s="2" t="n">
        <v>625</v>
      </c>
      <c r="G3478" s="2" t="s">
        <v>26</v>
      </c>
      <c r="H3478" s="2" t="s">
        <v>20</v>
      </c>
      <c r="I3478" s="2" t="s">
        <v>23</v>
      </c>
      <c r="J3478" s="2" t="n">
        <v>28</v>
      </c>
      <c r="K3478" s="2" t="s">
        <v>27</v>
      </c>
      <c r="L3478" s="2" t="n">
        <v>410</v>
      </c>
      <c r="M3478" s="2" t="n">
        <v>1</v>
      </c>
      <c r="N3478" s="2" t="n">
        <v>-1</v>
      </c>
      <c r="O3478" s="2" t="n">
        <v>0</v>
      </c>
      <c r="P3478" s="2" t="s">
        <v>23</v>
      </c>
      <c r="Q3478" s="2" t="s">
        <v>20</v>
      </c>
    </row>
    <row r="3479" customFormat="false" ht="15" hidden="false" customHeight="false" outlineLevel="0" collapsed="false">
      <c r="A3479" s="2" t="n">
        <v>55</v>
      </c>
      <c r="B3479" s="2" t="s">
        <v>38</v>
      </c>
      <c r="C3479" s="2" t="s">
        <v>18</v>
      </c>
      <c r="D3479" s="2" t="s">
        <v>23</v>
      </c>
      <c r="E3479" s="2" t="s">
        <v>20</v>
      </c>
      <c r="F3479" s="2" t="n">
        <v>574</v>
      </c>
      <c r="G3479" s="2" t="s">
        <v>26</v>
      </c>
      <c r="H3479" s="2" t="s">
        <v>20</v>
      </c>
      <c r="I3479" s="2" t="s">
        <v>21</v>
      </c>
      <c r="J3479" s="2" t="n">
        <v>29</v>
      </c>
      <c r="K3479" s="2" t="s">
        <v>43</v>
      </c>
      <c r="L3479" s="2" t="n">
        <v>243</v>
      </c>
      <c r="M3479" s="2" t="n">
        <v>2</v>
      </c>
      <c r="N3479" s="2" t="n">
        <v>-1</v>
      </c>
      <c r="O3479" s="2" t="n">
        <v>0</v>
      </c>
      <c r="P3479" s="2" t="s">
        <v>23</v>
      </c>
      <c r="Q3479" s="2" t="s">
        <v>20</v>
      </c>
    </row>
    <row r="3480" customFormat="false" ht="15" hidden="false" customHeight="false" outlineLevel="0" collapsed="false">
      <c r="A3480" s="2" t="n">
        <v>58</v>
      </c>
      <c r="B3480" s="2" t="s">
        <v>29</v>
      </c>
      <c r="C3480" s="2" t="s">
        <v>18</v>
      </c>
      <c r="D3480" s="2" t="s">
        <v>19</v>
      </c>
      <c r="E3480" s="2" t="s">
        <v>20</v>
      </c>
      <c r="F3480" s="2" t="n">
        <v>320</v>
      </c>
      <c r="G3480" s="2" t="s">
        <v>26</v>
      </c>
      <c r="H3480" s="2" t="s">
        <v>20</v>
      </c>
      <c r="I3480" s="2" t="s">
        <v>23</v>
      </c>
      <c r="J3480" s="2" t="n">
        <v>30</v>
      </c>
      <c r="K3480" s="2" t="s">
        <v>27</v>
      </c>
      <c r="L3480" s="2" t="n">
        <v>171</v>
      </c>
      <c r="M3480" s="2" t="n">
        <v>2</v>
      </c>
      <c r="N3480" s="2" t="n">
        <v>-1</v>
      </c>
      <c r="O3480" s="2" t="n">
        <v>0</v>
      </c>
      <c r="P3480" s="2" t="s">
        <v>23</v>
      </c>
      <c r="Q3480" s="2" t="s">
        <v>20</v>
      </c>
    </row>
    <row r="3481" customFormat="false" ht="15" hidden="false" customHeight="false" outlineLevel="0" collapsed="false">
      <c r="A3481" s="2" t="n">
        <v>25</v>
      </c>
      <c r="B3481" s="2" t="s">
        <v>38</v>
      </c>
      <c r="C3481" s="2" t="s">
        <v>30</v>
      </c>
      <c r="D3481" s="2" t="s">
        <v>31</v>
      </c>
      <c r="E3481" s="2" t="s">
        <v>20</v>
      </c>
      <c r="F3481" s="2" t="n">
        <v>468</v>
      </c>
      <c r="G3481" s="2" t="s">
        <v>26</v>
      </c>
      <c r="H3481" s="2" t="s">
        <v>20</v>
      </c>
      <c r="I3481" s="2" t="s">
        <v>23</v>
      </c>
      <c r="J3481" s="2" t="n">
        <v>15</v>
      </c>
      <c r="K3481" s="2" t="s">
        <v>27</v>
      </c>
      <c r="L3481" s="2" t="n">
        <v>147</v>
      </c>
      <c r="M3481" s="2" t="n">
        <v>1</v>
      </c>
      <c r="N3481" s="2" t="n">
        <v>-1</v>
      </c>
      <c r="O3481" s="2" t="n">
        <v>0</v>
      </c>
      <c r="P3481" s="2" t="s">
        <v>23</v>
      </c>
      <c r="Q3481" s="2" t="s">
        <v>20</v>
      </c>
    </row>
    <row r="3482" customFormat="false" ht="15" hidden="false" customHeight="false" outlineLevel="0" collapsed="false">
      <c r="A3482" s="2" t="n">
        <v>47</v>
      </c>
      <c r="B3482" s="2" t="s">
        <v>24</v>
      </c>
      <c r="C3482" s="2" t="s">
        <v>18</v>
      </c>
      <c r="D3482" s="2" t="s">
        <v>25</v>
      </c>
      <c r="E3482" s="2" t="s">
        <v>20</v>
      </c>
      <c r="F3482" s="2" t="n">
        <v>440</v>
      </c>
      <c r="G3482" s="2" t="s">
        <v>26</v>
      </c>
      <c r="H3482" s="2" t="s">
        <v>20</v>
      </c>
      <c r="I3482" s="2" t="s">
        <v>23</v>
      </c>
      <c r="J3482" s="2" t="n">
        <v>12</v>
      </c>
      <c r="K3482" s="2" t="s">
        <v>33</v>
      </c>
      <c r="L3482" s="2" t="n">
        <v>91</v>
      </c>
      <c r="M3482" s="2" t="n">
        <v>1</v>
      </c>
      <c r="N3482" s="2" t="n">
        <v>-1</v>
      </c>
      <c r="O3482" s="2" t="n">
        <v>0</v>
      </c>
      <c r="P3482" s="2" t="s">
        <v>23</v>
      </c>
      <c r="Q3482" s="2" t="s">
        <v>20</v>
      </c>
    </row>
    <row r="3483" customFormat="false" ht="15" hidden="false" customHeight="false" outlineLevel="0" collapsed="false">
      <c r="A3483" s="2" t="n">
        <v>40</v>
      </c>
      <c r="B3483" s="2" t="s">
        <v>17</v>
      </c>
      <c r="C3483" s="2" t="s">
        <v>18</v>
      </c>
      <c r="D3483" s="2" t="s">
        <v>25</v>
      </c>
      <c r="E3483" s="2" t="s">
        <v>20</v>
      </c>
      <c r="F3483" s="2" t="n">
        <v>0</v>
      </c>
      <c r="G3483" s="2" t="s">
        <v>26</v>
      </c>
      <c r="H3483" s="2" t="s">
        <v>20</v>
      </c>
      <c r="I3483" s="2" t="s">
        <v>21</v>
      </c>
      <c r="J3483" s="2" t="n">
        <v>19</v>
      </c>
      <c r="K3483" s="2" t="s">
        <v>46</v>
      </c>
      <c r="L3483" s="2" t="n">
        <v>332</v>
      </c>
      <c r="M3483" s="2" t="n">
        <v>1</v>
      </c>
      <c r="N3483" s="2" t="n">
        <v>183</v>
      </c>
      <c r="O3483" s="2" t="n">
        <v>1</v>
      </c>
      <c r="P3483" s="2" t="s">
        <v>28</v>
      </c>
      <c r="Q3483" s="2" t="s">
        <v>20</v>
      </c>
    </row>
    <row r="3484" customFormat="false" ht="15" hidden="false" customHeight="false" outlineLevel="0" collapsed="false">
      <c r="A3484" s="2" t="n">
        <v>59</v>
      </c>
      <c r="B3484" s="2" t="s">
        <v>48</v>
      </c>
      <c r="C3484" s="2" t="s">
        <v>18</v>
      </c>
      <c r="D3484" s="2" t="s">
        <v>25</v>
      </c>
      <c r="E3484" s="2" t="s">
        <v>20</v>
      </c>
      <c r="F3484" s="2" t="n">
        <v>5706</v>
      </c>
      <c r="G3484" s="2" t="s">
        <v>26</v>
      </c>
      <c r="H3484" s="2" t="s">
        <v>20</v>
      </c>
      <c r="I3484" s="2" t="s">
        <v>21</v>
      </c>
      <c r="J3484" s="2" t="n">
        <v>25</v>
      </c>
      <c r="K3484" s="2" t="s">
        <v>44</v>
      </c>
      <c r="L3484" s="2" t="n">
        <v>471</v>
      </c>
      <c r="M3484" s="2" t="n">
        <v>2</v>
      </c>
      <c r="N3484" s="2" t="n">
        <v>-1</v>
      </c>
      <c r="O3484" s="2" t="n">
        <v>0</v>
      </c>
      <c r="P3484" s="2" t="s">
        <v>23</v>
      </c>
      <c r="Q3484" s="2" t="s">
        <v>20</v>
      </c>
    </row>
    <row r="3485" customFormat="false" ht="15" hidden="false" customHeight="false" outlineLevel="0" collapsed="false">
      <c r="A3485" s="2" t="n">
        <v>40</v>
      </c>
      <c r="B3485" s="2" t="s">
        <v>29</v>
      </c>
      <c r="C3485" s="2" t="s">
        <v>18</v>
      </c>
      <c r="D3485" s="2" t="s">
        <v>31</v>
      </c>
      <c r="E3485" s="2" t="s">
        <v>20</v>
      </c>
      <c r="F3485" s="2" t="n">
        <v>7780</v>
      </c>
      <c r="G3485" s="2" t="s">
        <v>20</v>
      </c>
      <c r="H3485" s="2" t="s">
        <v>20</v>
      </c>
      <c r="I3485" s="2" t="s">
        <v>49</v>
      </c>
      <c r="J3485" s="2" t="n">
        <v>4</v>
      </c>
      <c r="K3485" s="2" t="s">
        <v>27</v>
      </c>
      <c r="L3485" s="2" t="n">
        <v>364</v>
      </c>
      <c r="M3485" s="2" t="n">
        <v>1</v>
      </c>
      <c r="N3485" s="2" t="n">
        <v>355</v>
      </c>
      <c r="O3485" s="2" t="n">
        <v>1</v>
      </c>
      <c r="P3485" s="2" t="s">
        <v>37</v>
      </c>
      <c r="Q3485" s="2" t="s">
        <v>20</v>
      </c>
    </row>
    <row r="3486" customFormat="false" ht="15" hidden="false" customHeight="false" outlineLevel="0" collapsed="false">
      <c r="A3486" s="2" t="n">
        <v>30</v>
      </c>
      <c r="B3486" s="2" t="s">
        <v>29</v>
      </c>
      <c r="C3486" s="2" t="s">
        <v>18</v>
      </c>
      <c r="D3486" s="2" t="s">
        <v>25</v>
      </c>
      <c r="E3486" s="2" t="s">
        <v>20</v>
      </c>
      <c r="F3486" s="2" t="n">
        <v>-559</v>
      </c>
      <c r="G3486" s="2" t="s">
        <v>26</v>
      </c>
      <c r="H3486" s="2" t="s">
        <v>26</v>
      </c>
      <c r="I3486" s="2" t="s">
        <v>21</v>
      </c>
      <c r="J3486" s="2" t="n">
        <v>7</v>
      </c>
      <c r="K3486" s="2" t="s">
        <v>27</v>
      </c>
      <c r="L3486" s="2" t="n">
        <v>98</v>
      </c>
      <c r="M3486" s="2" t="n">
        <v>1</v>
      </c>
      <c r="N3486" s="2" t="n">
        <v>167</v>
      </c>
      <c r="O3486" s="2" t="n">
        <v>2</v>
      </c>
      <c r="P3486" s="2" t="s">
        <v>28</v>
      </c>
      <c r="Q3486" s="2" t="s">
        <v>20</v>
      </c>
    </row>
    <row r="3487" customFormat="false" ht="15" hidden="false" customHeight="false" outlineLevel="0" collapsed="false">
      <c r="A3487" s="2" t="n">
        <v>25</v>
      </c>
      <c r="B3487" s="2" t="s">
        <v>39</v>
      </c>
      <c r="C3487" s="2" t="s">
        <v>30</v>
      </c>
      <c r="D3487" s="2" t="s">
        <v>31</v>
      </c>
      <c r="E3487" s="2" t="s">
        <v>20</v>
      </c>
      <c r="F3487" s="2" t="n">
        <v>16874</v>
      </c>
      <c r="G3487" s="2" t="s">
        <v>26</v>
      </c>
      <c r="H3487" s="2" t="s">
        <v>26</v>
      </c>
      <c r="I3487" s="2" t="s">
        <v>21</v>
      </c>
      <c r="J3487" s="2" t="n">
        <v>15</v>
      </c>
      <c r="K3487" s="2" t="s">
        <v>27</v>
      </c>
      <c r="L3487" s="2" t="n">
        <v>117</v>
      </c>
      <c r="M3487" s="2" t="n">
        <v>2</v>
      </c>
      <c r="N3487" s="2" t="n">
        <v>-1</v>
      </c>
      <c r="O3487" s="2" t="n">
        <v>0</v>
      </c>
      <c r="P3487" s="2" t="s">
        <v>23</v>
      </c>
      <c r="Q3487" s="2" t="s">
        <v>20</v>
      </c>
    </row>
    <row r="3488" customFormat="false" ht="15" hidden="false" customHeight="false" outlineLevel="0" collapsed="false">
      <c r="A3488" s="2" t="n">
        <v>58</v>
      </c>
      <c r="B3488" s="2" t="s">
        <v>48</v>
      </c>
      <c r="C3488" s="2" t="s">
        <v>18</v>
      </c>
      <c r="D3488" s="2" t="s">
        <v>19</v>
      </c>
      <c r="E3488" s="2" t="s">
        <v>20</v>
      </c>
      <c r="F3488" s="2" t="n">
        <v>1987</v>
      </c>
      <c r="G3488" s="2" t="s">
        <v>20</v>
      </c>
      <c r="H3488" s="2" t="s">
        <v>20</v>
      </c>
      <c r="I3488" s="2" t="s">
        <v>49</v>
      </c>
      <c r="J3488" s="2" t="n">
        <v>14</v>
      </c>
      <c r="K3488" s="2" t="s">
        <v>44</v>
      </c>
      <c r="L3488" s="2" t="n">
        <v>185</v>
      </c>
      <c r="M3488" s="2" t="n">
        <v>4</v>
      </c>
      <c r="N3488" s="2" t="n">
        <v>-1</v>
      </c>
      <c r="O3488" s="2" t="n">
        <v>0</v>
      </c>
      <c r="P3488" s="2" t="s">
        <v>23</v>
      </c>
      <c r="Q3488" s="2" t="s">
        <v>20</v>
      </c>
    </row>
    <row r="3489" customFormat="false" ht="15" hidden="false" customHeight="false" outlineLevel="0" collapsed="false">
      <c r="A3489" s="2" t="n">
        <v>39</v>
      </c>
      <c r="B3489" s="2" t="s">
        <v>39</v>
      </c>
      <c r="C3489" s="2" t="s">
        <v>18</v>
      </c>
      <c r="D3489" s="2" t="s">
        <v>23</v>
      </c>
      <c r="E3489" s="2" t="s">
        <v>20</v>
      </c>
      <c r="F3489" s="2" t="n">
        <v>98</v>
      </c>
      <c r="G3489" s="2" t="s">
        <v>26</v>
      </c>
      <c r="H3489" s="2" t="s">
        <v>20</v>
      </c>
      <c r="I3489" s="2" t="s">
        <v>49</v>
      </c>
      <c r="J3489" s="2" t="n">
        <v>15</v>
      </c>
      <c r="K3489" s="2" t="s">
        <v>27</v>
      </c>
      <c r="L3489" s="2" t="n">
        <v>59</v>
      </c>
      <c r="M3489" s="2" t="n">
        <v>3</v>
      </c>
      <c r="N3489" s="2" t="n">
        <v>367</v>
      </c>
      <c r="O3489" s="2" t="n">
        <v>1</v>
      </c>
      <c r="P3489" s="2" t="s">
        <v>37</v>
      </c>
      <c r="Q3489" s="2" t="s">
        <v>20</v>
      </c>
    </row>
    <row r="3490" customFormat="false" ht="15" hidden="false" customHeight="false" outlineLevel="0" collapsed="false">
      <c r="A3490" s="2" t="n">
        <v>40</v>
      </c>
      <c r="B3490" s="2" t="s">
        <v>36</v>
      </c>
      <c r="C3490" s="2" t="s">
        <v>18</v>
      </c>
      <c r="D3490" s="2" t="s">
        <v>31</v>
      </c>
      <c r="E3490" s="2" t="s">
        <v>20</v>
      </c>
      <c r="F3490" s="2" t="n">
        <v>642</v>
      </c>
      <c r="G3490" s="2" t="s">
        <v>20</v>
      </c>
      <c r="H3490" s="2" t="s">
        <v>20</v>
      </c>
      <c r="I3490" s="2" t="s">
        <v>21</v>
      </c>
      <c r="J3490" s="2" t="n">
        <v>18</v>
      </c>
      <c r="K3490" s="2" t="s">
        <v>46</v>
      </c>
      <c r="L3490" s="2" t="n">
        <v>147</v>
      </c>
      <c r="M3490" s="2" t="n">
        <v>3</v>
      </c>
      <c r="N3490" s="2" t="n">
        <v>-1</v>
      </c>
      <c r="O3490" s="2" t="n">
        <v>0</v>
      </c>
      <c r="P3490" s="2" t="s">
        <v>23</v>
      </c>
      <c r="Q3490" s="2" t="s">
        <v>20</v>
      </c>
    </row>
    <row r="3491" customFormat="false" ht="15" hidden="false" customHeight="false" outlineLevel="0" collapsed="false">
      <c r="A3491" s="2" t="n">
        <v>38</v>
      </c>
      <c r="B3491" s="2" t="s">
        <v>34</v>
      </c>
      <c r="C3491" s="2" t="s">
        <v>18</v>
      </c>
      <c r="D3491" s="2" t="s">
        <v>25</v>
      </c>
      <c r="E3491" s="2" t="s">
        <v>20</v>
      </c>
      <c r="F3491" s="2" t="n">
        <v>526</v>
      </c>
      <c r="G3491" s="2" t="s">
        <v>26</v>
      </c>
      <c r="H3491" s="2" t="s">
        <v>26</v>
      </c>
      <c r="I3491" s="2" t="s">
        <v>23</v>
      </c>
      <c r="J3491" s="2" t="n">
        <v>23</v>
      </c>
      <c r="K3491" s="2" t="s">
        <v>27</v>
      </c>
      <c r="L3491" s="2" t="n">
        <v>553</v>
      </c>
      <c r="M3491" s="2" t="n">
        <v>2</v>
      </c>
      <c r="N3491" s="2" t="n">
        <v>-1</v>
      </c>
      <c r="O3491" s="2" t="n">
        <v>0</v>
      </c>
      <c r="P3491" s="2" t="s">
        <v>23</v>
      </c>
      <c r="Q3491" s="2" t="s">
        <v>20</v>
      </c>
    </row>
    <row r="3492" customFormat="false" ht="15" hidden="false" customHeight="false" outlineLevel="0" collapsed="false">
      <c r="A3492" s="2" t="n">
        <v>66</v>
      </c>
      <c r="B3492" s="2" t="s">
        <v>29</v>
      </c>
      <c r="C3492" s="2" t="s">
        <v>30</v>
      </c>
      <c r="D3492" s="2" t="s">
        <v>31</v>
      </c>
      <c r="E3492" s="2" t="s">
        <v>20</v>
      </c>
      <c r="F3492" s="2" t="n">
        <v>6483</v>
      </c>
      <c r="G3492" s="2" t="s">
        <v>20</v>
      </c>
      <c r="H3492" s="2" t="s">
        <v>20</v>
      </c>
      <c r="I3492" s="2" t="s">
        <v>21</v>
      </c>
      <c r="J3492" s="2" t="n">
        <v>13</v>
      </c>
      <c r="K3492" s="2" t="s">
        <v>41</v>
      </c>
      <c r="L3492" s="2" t="n">
        <v>275</v>
      </c>
      <c r="M3492" s="2" t="n">
        <v>1</v>
      </c>
      <c r="N3492" s="2" t="n">
        <v>-1</v>
      </c>
      <c r="O3492" s="2" t="n">
        <v>0</v>
      </c>
      <c r="P3492" s="2" t="s">
        <v>23</v>
      </c>
      <c r="Q3492" s="2" t="s">
        <v>20</v>
      </c>
    </row>
    <row r="3493" customFormat="false" ht="15" hidden="false" customHeight="false" outlineLevel="0" collapsed="false">
      <c r="A3493" s="2" t="n">
        <v>47</v>
      </c>
      <c r="B3493" s="2" t="s">
        <v>29</v>
      </c>
      <c r="C3493" s="2" t="s">
        <v>18</v>
      </c>
      <c r="D3493" s="2" t="s">
        <v>31</v>
      </c>
      <c r="E3493" s="2" t="s">
        <v>20</v>
      </c>
      <c r="F3493" s="2" t="n">
        <v>2306</v>
      </c>
      <c r="G3493" s="2" t="s">
        <v>20</v>
      </c>
      <c r="H3493" s="2" t="s">
        <v>20</v>
      </c>
      <c r="I3493" s="2" t="s">
        <v>49</v>
      </c>
      <c r="J3493" s="2" t="n">
        <v>6</v>
      </c>
      <c r="K3493" s="2" t="s">
        <v>41</v>
      </c>
      <c r="L3493" s="2" t="n">
        <v>239</v>
      </c>
      <c r="M3493" s="2" t="n">
        <v>4</v>
      </c>
      <c r="N3493" s="2" t="n">
        <v>-1</v>
      </c>
      <c r="O3493" s="2" t="n">
        <v>0</v>
      </c>
      <c r="P3493" s="2" t="s">
        <v>23</v>
      </c>
      <c r="Q3493" s="2" t="s">
        <v>26</v>
      </c>
    </row>
    <row r="3494" customFormat="false" ht="15" hidden="false" customHeight="false" outlineLevel="0" collapsed="false">
      <c r="A3494" s="2" t="n">
        <v>37</v>
      </c>
      <c r="B3494" s="2" t="s">
        <v>34</v>
      </c>
      <c r="C3494" s="2" t="s">
        <v>18</v>
      </c>
      <c r="D3494" s="2" t="s">
        <v>25</v>
      </c>
      <c r="E3494" s="2" t="s">
        <v>20</v>
      </c>
      <c r="F3494" s="2" t="n">
        <v>954</v>
      </c>
      <c r="G3494" s="2" t="s">
        <v>26</v>
      </c>
      <c r="H3494" s="2" t="s">
        <v>20</v>
      </c>
      <c r="I3494" s="2" t="s">
        <v>23</v>
      </c>
      <c r="J3494" s="2" t="n">
        <v>2</v>
      </c>
      <c r="K3494" s="2" t="s">
        <v>33</v>
      </c>
      <c r="L3494" s="2" t="n">
        <v>402</v>
      </c>
      <c r="M3494" s="2" t="n">
        <v>9</v>
      </c>
      <c r="N3494" s="2" t="n">
        <v>-1</v>
      </c>
      <c r="O3494" s="2" t="n">
        <v>0</v>
      </c>
      <c r="P3494" s="2" t="s">
        <v>23</v>
      </c>
      <c r="Q3494" s="2" t="s">
        <v>20</v>
      </c>
    </row>
    <row r="3495" customFormat="false" ht="15" hidden="false" customHeight="false" outlineLevel="0" collapsed="false">
      <c r="A3495" s="2" t="n">
        <v>36</v>
      </c>
      <c r="B3495" s="2" t="s">
        <v>29</v>
      </c>
      <c r="C3495" s="2" t="s">
        <v>30</v>
      </c>
      <c r="D3495" s="2" t="s">
        <v>31</v>
      </c>
      <c r="E3495" s="2" t="s">
        <v>20</v>
      </c>
      <c r="F3495" s="2" t="n">
        <v>-679</v>
      </c>
      <c r="G3495" s="2" t="s">
        <v>26</v>
      </c>
      <c r="H3495" s="2" t="s">
        <v>26</v>
      </c>
      <c r="I3495" s="2" t="s">
        <v>21</v>
      </c>
      <c r="J3495" s="2" t="n">
        <v>7</v>
      </c>
      <c r="K3495" s="2" t="s">
        <v>27</v>
      </c>
      <c r="L3495" s="2" t="n">
        <v>172</v>
      </c>
      <c r="M3495" s="2" t="n">
        <v>1</v>
      </c>
      <c r="N3495" s="2" t="n">
        <v>93</v>
      </c>
      <c r="O3495" s="2" t="n">
        <v>1</v>
      </c>
      <c r="P3495" s="2" t="s">
        <v>28</v>
      </c>
      <c r="Q3495" s="2" t="s">
        <v>20</v>
      </c>
    </row>
    <row r="3496" customFormat="false" ht="15" hidden="false" customHeight="false" outlineLevel="0" collapsed="false">
      <c r="A3496" s="2" t="n">
        <v>50</v>
      </c>
      <c r="B3496" s="2" t="s">
        <v>34</v>
      </c>
      <c r="C3496" s="2" t="s">
        <v>18</v>
      </c>
      <c r="D3496" s="2" t="s">
        <v>19</v>
      </c>
      <c r="E3496" s="2" t="s">
        <v>20</v>
      </c>
      <c r="F3496" s="2" t="n">
        <v>-1</v>
      </c>
      <c r="G3496" s="2" t="s">
        <v>20</v>
      </c>
      <c r="H3496" s="2" t="s">
        <v>20</v>
      </c>
      <c r="I3496" s="2" t="s">
        <v>21</v>
      </c>
      <c r="J3496" s="2" t="n">
        <v>19</v>
      </c>
      <c r="K3496" s="2" t="s">
        <v>41</v>
      </c>
      <c r="L3496" s="2" t="n">
        <v>195</v>
      </c>
      <c r="M3496" s="2" t="n">
        <v>2</v>
      </c>
      <c r="N3496" s="2" t="n">
        <v>-1</v>
      </c>
      <c r="O3496" s="2" t="n">
        <v>0</v>
      </c>
      <c r="P3496" s="2" t="s">
        <v>23</v>
      </c>
      <c r="Q3496" s="2" t="s">
        <v>20</v>
      </c>
    </row>
    <row r="3497" customFormat="false" ht="15" hidden="false" customHeight="false" outlineLevel="0" collapsed="false">
      <c r="A3497" s="2" t="n">
        <v>76</v>
      </c>
      <c r="B3497" s="2" t="s">
        <v>48</v>
      </c>
      <c r="C3497" s="2" t="s">
        <v>18</v>
      </c>
      <c r="D3497" s="2" t="s">
        <v>19</v>
      </c>
      <c r="E3497" s="2" t="s">
        <v>20</v>
      </c>
      <c r="F3497" s="2" t="n">
        <v>2590</v>
      </c>
      <c r="G3497" s="2" t="s">
        <v>20</v>
      </c>
      <c r="H3497" s="2" t="s">
        <v>20</v>
      </c>
      <c r="I3497" s="2" t="s">
        <v>49</v>
      </c>
      <c r="J3497" s="2" t="n">
        <v>9</v>
      </c>
      <c r="K3497" s="2" t="s">
        <v>35</v>
      </c>
      <c r="L3497" s="2" t="n">
        <v>68</v>
      </c>
      <c r="M3497" s="2" t="n">
        <v>12</v>
      </c>
      <c r="N3497" s="2" t="n">
        <v>-1</v>
      </c>
      <c r="O3497" s="2" t="n">
        <v>0</v>
      </c>
      <c r="P3497" s="2" t="s">
        <v>23</v>
      </c>
      <c r="Q3497" s="2" t="s">
        <v>20</v>
      </c>
    </row>
    <row r="3498" customFormat="false" ht="15" hidden="false" customHeight="false" outlineLevel="0" collapsed="false">
      <c r="A3498" s="2" t="n">
        <v>58</v>
      </c>
      <c r="B3498" s="2" t="s">
        <v>29</v>
      </c>
      <c r="C3498" s="2" t="s">
        <v>30</v>
      </c>
      <c r="D3498" s="2" t="s">
        <v>31</v>
      </c>
      <c r="E3498" s="2" t="s">
        <v>20</v>
      </c>
      <c r="F3498" s="2" t="n">
        <v>331</v>
      </c>
      <c r="G3498" s="2" t="s">
        <v>20</v>
      </c>
      <c r="H3498" s="2" t="s">
        <v>26</v>
      </c>
      <c r="I3498" s="2" t="s">
        <v>21</v>
      </c>
      <c r="J3498" s="2" t="n">
        <v>28</v>
      </c>
      <c r="K3498" s="2" t="s">
        <v>44</v>
      </c>
      <c r="L3498" s="2" t="n">
        <v>82</v>
      </c>
      <c r="M3498" s="2" t="n">
        <v>3</v>
      </c>
      <c r="N3498" s="2" t="n">
        <v>-1</v>
      </c>
      <c r="O3498" s="2" t="n">
        <v>0</v>
      </c>
      <c r="P3498" s="2" t="s">
        <v>23</v>
      </c>
      <c r="Q3498" s="2" t="s">
        <v>20</v>
      </c>
    </row>
    <row r="3499" customFormat="false" ht="15" hidden="false" customHeight="false" outlineLevel="0" collapsed="false">
      <c r="A3499" s="2" t="n">
        <v>42</v>
      </c>
      <c r="B3499" s="2" t="s">
        <v>40</v>
      </c>
      <c r="C3499" s="2" t="s">
        <v>18</v>
      </c>
      <c r="D3499" s="2" t="s">
        <v>25</v>
      </c>
      <c r="E3499" s="2" t="s">
        <v>20</v>
      </c>
      <c r="F3499" s="2" t="n">
        <v>4209</v>
      </c>
      <c r="G3499" s="2" t="s">
        <v>26</v>
      </c>
      <c r="H3499" s="2" t="s">
        <v>20</v>
      </c>
      <c r="I3499" s="2" t="s">
        <v>23</v>
      </c>
      <c r="J3499" s="2" t="n">
        <v>5</v>
      </c>
      <c r="K3499" s="2" t="s">
        <v>33</v>
      </c>
      <c r="L3499" s="2" t="n">
        <v>57</v>
      </c>
      <c r="M3499" s="2" t="n">
        <v>6</v>
      </c>
      <c r="N3499" s="2" t="n">
        <v>-1</v>
      </c>
      <c r="O3499" s="2" t="n">
        <v>0</v>
      </c>
      <c r="P3499" s="2" t="s">
        <v>23</v>
      </c>
      <c r="Q3499" s="2" t="s">
        <v>20</v>
      </c>
    </row>
    <row r="3500" customFormat="false" ht="15" hidden="false" customHeight="false" outlineLevel="0" collapsed="false">
      <c r="A3500" s="2" t="n">
        <v>58</v>
      </c>
      <c r="B3500" s="2" t="s">
        <v>24</v>
      </c>
      <c r="C3500" s="2" t="s">
        <v>45</v>
      </c>
      <c r="D3500" s="2" t="s">
        <v>25</v>
      </c>
      <c r="E3500" s="2" t="s">
        <v>20</v>
      </c>
      <c r="F3500" s="2" t="n">
        <v>462</v>
      </c>
      <c r="G3500" s="2" t="s">
        <v>20</v>
      </c>
      <c r="H3500" s="2" t="s">
        <v>20</v>
      </c>
      <c r="I3500" s="2" t="s">
        <v>21</v>
      </c>
      <c r="J3500" s="2" t="n">
        <v>13</v>
      </c>
      <c r="K3500" s="2" t="s">
        <v>46</v>
      </c>
      <c r="L3500" s="2" t="n">
        <v>495</v>
      </c>
      <c r="M3500" s="2" t="n">
        <v>1</v>
      </c>
      <c r="N3500" s="2" t="n">
        <v>93</v>
      </c>
      <c r="O3500" s="2" t="n">
        <v>1</v>
      </c>
      <c r="P3500" s="2" t="s">
        <v>50</v>
      </c>
      <c r="Q3500" s="2" t="s">
        <v>26</v>
      </c>
    </row>
    <row r="3501" customFormat="false" ht="15" hidden="false" customHeight="false" outlineLevel="0" collapsed="false">
      <c r="A3501" s="2" t="n">
        <v>28</v>
      </c>
      <c r="B3501" s="2" t="s">
        <v>36</v>
      </c>
      <c r="C3501" s="2" t="s">
        <v>30</v>
      </c>
      <c r="D3501" s="2" t="s">
        <v>31</v>
      </c>
      <c r="E3501" s="2" t="s">
        <v>20</v>
      </c>
      <c r="F3501" s="2" t="n">
        <v>0</v>
      </c>
      <c r="G3501" s="2" t="s">
        <v>26</v>
      </c>
      <c r="H3501" s="2" t="s">
        <v>20</v>
      </c>
      <c r="I3501" s="2" t="s">
        <v>21</v>
      </c>
      <c r="J3501" s="2" t="n">
        <v>21</v>
      </c>
      <c r="K3501" s="2" t="s">
        <v>44</v>
      </c>
      <c r="L3501" s="2" t="n">
        <v>479</v>
      </c>
      <c r="M3501" s="2" t="n">
        <v>1</v>
      </c>
      <c r="N3501" s="2" t="n">
        <v>-1</v>
      </c>
      <c r="O3501" s="2" t="n">
        <v>0</v>
      </c>
      <c r="P3501" s="2" t="s">
        <v>23</v>
      </c>
      <c r="Q3501" s="2" t="s">
        <v>20</v>
      </c>
    </row>
    <row r="3502" customFormat="false" ht="15" hidden="false" customHeight="false" outlineLevel="0" collapsed="false">
      <c r="A3502" s="2" t="n">
        <v>41</v>
      </c>
      <c r="B3502" s="2" t="s">
        <v>38</v>
      </c>
      <c r="C3502" s="2" t="s">
        <v>18</v>
      </c>
      <c r="D3502" s="2" t="s">
        <v>25</v>
      </c>
      <c r="E3502" s="2" t="s">
        <v>20</v>
      </c>
      <c r="F3502" s="2" t="n">
        <v>0</v>
      </c>
      <c r="G3502" s="2" t="s">
        <v>20</v>
      </c>
      <c r="H3502" s="2" t="s">
        <v>20</v>
      </c>
      <c r="I3502" s="2" t="s">
        <v>21</v>
      </c>
      <c r="J3502" s="2" t="n">
        <v>29</v>
      </c>
      <c r="K3502" s="2" t="s">
        <v>41</v>
      </c>
      <c r="L3502" s="2" t="n">
        <v>141</v>
      </c>
      <c r="M3502" s="2" t="n">
        <v>2</v>
      </c>
      <c r="N3502" s="2" t="n">
        <v>-1</v>
      </c>
      <c r="O3502" s="2" t="n">
        <v>0</v>
      </c>
      <c r="P3502" s="2" t="s">
        <v>23</v>
      </c>
      <c r="Q3502" s="2" t="s">
        <v>20</v>
      </c>
    </row>
    <row r="3503" customFormat="false" ht="15" hidden="false" customHeight="false" outlineLevel="0" collapsed="false">
      <c r="A3503" s="2" t="n">
        <v>30</v>
      </c>
      <c r="B3503" s="2" t="s">
        <v>29</v>
      </c>
      <c r="C3503" s="2" t="s">
        <v>18</v>
      </c>
      <c r="D3503" s="2" t="s">
        <v>31</v>
      </c>
      <c r="E3503" s="2" t="s">
        <v>20</v>
      </c>
      <c r="F3503" s="2" t="n">
        <v>151</v>
      </c>
      <c r="G3503" s="2" t="s">
        <v>20</v>
      </c>
      <c r="H3503" s="2" t="s">
        <v>20</v>
      </c>
      <c r="I3503" s="2" t="s">
        <v>21</v>
      </c>
      <c r="J3503" s="2" t="n">
        <v>19</v>
      </c>
      <c r="K3503" s="2" t="s">
        <v>41</v>
      </c>
      <c r="L3503" s="2" t="n">
        <v>82</v>
      </c>
      <c r="M3503" s="2" t="n">
        <v>4</v>
      </c>
      <c r="N3503" s="2" t="n">
        <v>-1</v>
      </c>
      <c r="O3503" s="2" t="n">
        <v>0</v>
      </c>
      <c r="P3503" s="2" t="s">
        <v>23</v>
      </c>
      <c r="Q3503" s="2" t="s">
        <v>20</v>
      </c>
    </row>
    <row r="3504" customFormat="false" ht="15" hidden="false" customHeight="false" outlineLevel="0" collapsed="false">
      <c r="A3504" s="2" t="n">
        <v>32</v>
      </c>
      <c r="B3504" s="2" t="s">
        <v>29</v>
      </c>
      <c r="C3504" s="2" t="s">
        <v>45</v>
      </c>
      <c r="D3504" s="2" t="s">
        <v>31</v>
      </c>
      <c r="E3504" s="2" t="s">
        <v>20</v>
      </c>
      <c r="F3504" s="2" t="n">
        <v>883</v>
      </c>
      <c r="G3504" s="2" t="s">
        <v>26</v>
      </c>
      <c r="H3504" s="2" t="s">
        <v>20</v>
      </c>
      <c r="I3504" s="2" t="s">
        <v>21</v>
      </c>
      <c r="J3504" s="2" t="n">
        <v>10</v>
      </c>
      <c r="K3504" s="2" t="s">
        <v>53</v>
      </c>
      <c r="L3504" s="2" t="n">
        <v>798</v>
      </c>
      <c r="M3504" s="2" t="n">
        <v>1</v>
      </c>
      <c r="N3504" s="2" t="n">
        <v>185</v>
      </c>
      <c r="O3504" s="2" t="n">
        <v>5</v>
      </c>
      <c r="P3504" s="2" t="s">
        <v>37</v>
      </c>
      <c r="Q3504" s="2" t="s">
        <v>26</v>
      </c>
    </row>
    <row r="3505" customFormat="false" ht="15" hidden="false" customHeight="false" outlineLevel="0" collapsed="false">
      <c r="A3505" s="2" t="n">
        <v>27</v>
      </c>
      <c r="B3505" s="2" t="s">
        <v>24</v>
      </c>
      <c r="C3505" s="2" t="s">
        <v>30</v>
      </c>
      <c r="D3505" s="2" t="s">
        <v>25</v>
      </c>
      <c r="E3505" s="2" t="s">
        <v>20</v>
      </c>
      <c r="F3505" s="2" t="n">
        <v>266</v>
      </c>
      <c r="G3505" s="2" t="s">
        <v>20</v>
      </c>
      <c r="H3505" s="2" t="s">
        <v>26</v>
      </c>
      <c r="I3505" s="2" t="s">
        <v>21</v>
      </c>
      <c r="J3505" s="2" t="n">
        <v>7</v>
      </c>
      <c r="K3505" s="2" t="s">
        <v>44</v>
      </c>
      <c r="L3505" s="2" t="n">
        <v>232</v>
      </c>
      <c r="M3505" s="2" t="n">
        <v>1</v>
      </c>
      <c r="N3505" s="2" t="n">
        <v>-1</v>
      </c>
      <c r="O3505" s="2" t="n">
        <v>0</v>
      </c>
      <c r="P3505" s="2" t="s">
        <v>23</v>
      </c>
      <c r="Q3505" s="2" t="s">
        <v>20</v>
      </c>
    </row>
    <row r="3506" customFormat="false" ht="15" hidden="false" customHeight="false" outlineLevel="0" collapsed="false">
      <c r="A3506" s="2" t="n">
        <v>48</v>
      </c>
      <c r="B3506" s="2" t="s">
        <v>29</v>
      </c>
      <c r="C3506" s="2" t="s">
        <v>18</v>
      </c>
      <c r="D3506" s="2" t="s">
        <v>31</v>
      </c>
      <c r="E3506" s="2" t="s">
        <v>20</v>
      </c>
      <c r="F3506" s="2" t="n">
        <v>0</v>
      </c>
      <c r="G3506" s="2" t="s">
        <v>20</v>
      </c>
      <c r="H3506" s="2" t="s">
        <v>20</v>
      </c>
      <c r="I3506" s="2" t="s">
        <v>21</v>
      </c>
      <c r="J3506" s="2" t="n">
        <v>26</v>
      </c>
      <c r="K3506" s="2" t="s">
        <v>41</v>
      </c>
      <c r="L3506" s="2" t="n">
        <v>60</v>
      </c>
      <c r="M3506" s="2" t="n">
        <v>5</v>
      </c>
      <c r="N3506" s="2" t="n">
        <v>-1</v>
      </c>
      <c r="O3506" s="2" t="n">
        <v>0</v>
      </c>
      <c r="P3506" s="2" t="s">
        <v>23</v>
      </c>
      <c r="Q3506" s="2" t="s">
        <v>20</v>
      </c>
    </row>
    <row r="3507" customFormat="false" ht="15" hidden="false" customHeight="false" outlineLevel="0" collapsed="false">
      <c r="A3507" s="2" t="n">
        <v>36</v>
      </c>
      <c r="B3507" s="2" t="s">
        <v>38</v>
      </c>
      <c r="C3507" s="2" t="s">
        <v>18</v>
      </c>
      <c r="D3507" s="2" t="s">
        <v>31</v>
      </c>
      <c r="E3507" s="2" t="s">
        <v>20</v>
      </c>
      <c r="F3507" s="2" t="n">
        <v>491</v>
      </c>
      <c r="G3507" s="2" t="s">
        <v>26</v>
      </c>
      <c r="H3507" s="2" t="s">
        <v>20</v>
      </c>
      <c r="I3507" s="2" t="s">
        <v>23</v>
      </c>
      <c r="J3507" s="2" t="n">
        <v>8</v>
      </c>
      <c r="K3507" s="2" t="s">
        <v>27</v>
      </c>
      <c r="L3507" s="2" t="n">
        <v>103</v>
      </c>
      <c r="M3507" s="2" t="n">
        <v>3</v>
      </c>
      <c r="N3507" s="2" t="n">
        <v>-1</v>
      </c>
      <c r="O3507" s="2" t="n">
        <v>0</v>
      </c>
      <c r="P3507" s="2" t="s">
        <v>23</v>
      </c>
      <c r="Q3507" s="2" t="s">
        <v>20</v>
      </c>
    </row>
    <row r="3508" customFormat="false" ht="15" hidden="false" customHeight="false" outlineLevel="0" collapsed="false">
      <c r="A3508" s="2" t="n">
        <v>54</v>
      </c>
      <c r="B3508" s="2" t="s">
        <v>29</v>
      </c>
      <c r="C3508" s="2" t="s">
        <v>18</v>
      </c>
      <c r="D3508" s="2" t="s">
        <v>31</v>
      </c>
      <c r="E3508" s="2" t="s">
        <v>20</v>
      </c>
      <c r="F3508" s="2" t="n">
        <v>3</v>
      </c>
      <c r="G3508" s="2" t="s">
        <v>20</v>
      </c>
      <c r="H3508" s="2" t="s">
        <v>26</v>
      </c>
      <c r="I3508" s="2" t="s">
        <v>21</v>
      </c>
      <c r="J3508" s="2" t="n">
        <v>8</v>
      </c>
      <c r="K3508" s="2" t="s">
        <v>44</v>
      </c>
      <c r="L3508" s="2" t="n">
        <v>443</v>
      </c>
      <c r="M3508" s="2" t="n">
        <v>1</v>
      </c>
      <c r="N3508" s="2" t="n">
        <v>-1</v>
      </c>
      <c r="O3508" s="2" t="n">
        <v>0</v>
      </c>
      <c r="P3508" s="2" t="s">
        <v>23</v>
      </c>
      <c r="Q3508" s="2" t="s">
        <v>20</v>
      </c>
    </row>
    <row r="3509" customFormat="false" ht="15" hidden="false" customHeight="false" outlineLevel="0" collapsed="false">
      <c r="A3509" s="2" t="n">
        <v>36</v>
      </c>
      <c r="B3509" s="2" t="s">
        <v>34</v>
      </c>
      <c r="C3509" s="2" t="s">
        <v>18</v>
      </c>
      <c r="D3509" s="2" t="s">
        <v>25</v>
      </c>
      <c r="E3509" s="2" t="s">
        <v>20</v>
      </c>
      <c r="F3509" s="2" t="n">
        <v>198</v>
      </c>
      <c r="G3509" s="2" t="s">
        <v>26</v>
      </c>
      <c r="H3509" s="2" t="s">
        <v>20</v>
      </c>
      <c r="I3509" s="2" t="s">
        <v>23</v>
      </c>
      <c r="J3509" s="2" t="n">
        <v>9</v>
      </c>
      <c r="K3509" s="2" t="s">
        <v>27</v>
      </c>
      <c r="L3509" s="2" t="n">
        <v>400</v>
      </c>
      <c r="M3509" s="2" t="n">
        <v>2</v>
      </c>
      <c r="N3509" s="2" t="n">
        <v>-1</v>
      </c>
      <c r="O3509" s="2" t="n">
        <v>0</v>
      </c>
      <c r="P3509" s="2" t="s">
        <v>23</v>
      </c>
      <c r="Q3509" s="2" t="s">
        <v>20</v>
      </c>
    </row>
    <row r="3510" customFormat="false" ht="15" hidden="false" customHeight="false" outlineLevel="0" collapsed="false">
      <c r="A3510" s="2" t="n">
        <v>52</v>
      </c>
      <c r="B3510" s="2" t="s">
        <v>47</v>
      </c>
      <c r="C3510" s="2" t="s">
        <v>18</v>
      </c>
      <c r="D3510" s="2" t="s">
        <v>25</v>
      </c>
      <c r="E3510" s="2" t="s">
        <v>20</v>
      </c>
      <c r="F3510" s="2" t="n">
        <v>14363</v>
      </c>
      <c r="G3510" s="2" t="s">
        <v>20</v>
      </c>
      <c r="H3510" s="2" t="s">
        <v>20</v>
      </c>
      <c r="I3510" s="2" t="s">
        <v>23</v>
      </c>
      <c r="J3510" s="2" t="n">
        <v>5</v>
      </c>
      <c r="K3510" s="2" t="s">
        <v>33</v>
      </c>
      <c r="L3510" s="2" t="n">
        <v>132</v>
      </c>
      <c r="M3510" s="2" t="n">
        <v>1</v>
      </c>
      <c r="N3510" s="2" t="n">
        <v>-1</v>
      </c>
      <c r="O3510" s="2" t="n">
        <v>0</v>
      </c>
      <c r="P3510" s="2" t="s">
        <v>23</v>
      </c>
      <c r="Q3510" s="2" t="s">
        <v>20</v>
      </c>
    </row>
    <row r="3511" customFormat="false" ht="15" hidden="false" customHeight="false" outlineLevel="0" collapsed="false">
      <c r="A3511" s="2" t="n">
        <v>34</v>
      </c>
      <c r="B3511" s="2" t="s">
        <v>38</v>
      </c>
      <c r="C3511" s="2" t="s">
        <v>45</v>
      </c>
      <c r="D3511" s="2" t="s">
        <v>25</v>
      </c>
      <c r="E3511" s="2" t="s">
        <v>20</v>
      </c>
      <c r="F3511" s="2" t="n">
        <v>0</v>
      </c>
      <c r="G3511" s="2" t="s">
        <v>26</v>
      </c>
      <c r="H3511" s="2" t="s">
        <v>26</v>
      </c>
      <c r="I3511" s="2" t="s">
        <v>21</v>
      </c>
      <c r="J3511" s="2" t="n">
        <v>18</v>
      </c>
      <c r="K3511" s="2" t="s">
        <v>41</v>
      </c>
      <c r="L3511" s="2" t="n">
        <v>374</v>
      </c>
      <c r="M3511" s="2" t="n">
        <v>16</v>
      </c>
      <c r="N3511" s="2" t="n">
        <v>-1</v>
      </c>
      <c r="O3511" s="2" t="n">
        <v>0</v>
      </c>
      <c r="P3511" s="2" t="s">
        <v>23</v>
      </c>
      <c r="Q3511" s="2" t="s">
        <v>20</v>
      </c>
    </row>
    <row r="3512" customFormat="false" ht="15" hidden="false" customHeight="false" outlineLevel="0" collapsed="false">
      <c r="A3512" s="2" t="n">
        <v>43</v>
      </c>
      <c r="B3512" s="2" t="s">
        <v>38</v>
      </c>
      <c r="C3512" s="2" t="s">
        <v>18</v>
      </c>
      <c r="D3512" s="2" t="s">
        <v>25</v>
      </c>
      <c r="E3512" s="2" t="s">
        <v>20</v>
      </c>
      <c r="F3512" s="2" t="n">
        <v>136</v>
      </c>
      <c r="G3512" s="2" t="s">
        <v>20</v>
      </c>
      <c r="H3512" s="2" t="s">
        <v>20</v>
      </c>
      <c r="I3512" s="2" t="s">
        <v>21</v>
      </c>
      <c r="J3512" s="2" t="n">
        <v>25</v>
      </c>
      <c r="K3512" s="2" t="s">
        <v>41</v>
      </c>
      <c r="L3512" s="2" t="n">
        <v>363</v>
      </c>
      <c r="M3512" s="2" t="n">
        <v>7</v>
      </c>
      <c r="N3512" s="2" t="n">
        <v>-1</v>
      </c>
      <c r="O3512" s="2" t="n">
        <v>0</v>
      </c>
      <c r="P3512" s="2" t="s">
        <v>23</v>
      </c>
      <c r="Q3512" s="2" t="s">
        <v>26</v>
      </c>
    </row>
    <row r="3513" customFormat="false" ht="15" hidden="false" customHeight="false" outlineLevel="0" collapsed="false">
      <c r="A3513" s="2" t="n">
        <v>32</v>
      </c>
      <c r="B3513" s="2" t="s">
        <v>29</v>
      </c>
      <c r="C3513" s="2" t="s">
        <v>30</v>
      </c>
      <c r="D3513" s="2" t="s">
        <v>31</v>
      </c>
      <c r="E3513" s="2" t="s">
        <v>20</v>
      </c>
      <c r="F3513" s="2" t="n">
        <v>28</v>
      </c>
      <c r="G3513" s="2" t="s">
        <v>20</v>
      </c>
      <c r="H3513" s="2" t="s">
        <v>20</v>
      </c>
      <c r="I3513" s="2" t="s">
        <v>21</v>
      </c>
      <c r="J3513" s="2" t="n">
        <v>8</v>
      </c>
      <c r="K3513" s="2" t="s">
        <v>41</v>
      </c>
      <c r="L3513" s="2" t="n">
        <v>111</v>
      </c>
      <c r="M3513" s="2" t="n">
        <v>2</v>
      </c>
      <c r="N3513" s="2" t="n">
        <v>-1</v>
      </c>
      <c r="O3513" s="2" t="n">
        <v>0</v>
      </c>
      <c r="P3513" s="2" t="s">
        <v>23</v>
      </c>
      <c r="Q3513" s="2" t="s">
        <v>20</v>
      </c>
    </row>
    <row r="3514" customFormat="false" ht="15" hidden="false" customHeight="false" outlineLevel="0" collapsed="false">
      <c r="A3514" s="2" t="n">
        <v>33</v>
      </c>
      <c r="B3514" s="2" t="s">
        <v>29</v>
      </c>
      <c r="C3514" s="2" t="s">
        <v>30</v>
      </c>
      <c r="D3514" s="2" t="s">
        <v>31</v>
      </c>
      <c r="E3514" s="2" t="s">
        <v>20</v>
      </c>
      <c r="F3514" s="2" t="n">
        <v>335</v>
      </c>
      <c r="G3514" s="2" t="s">
        <v>20</v>
      </c>
      <c r="H3514" s="2" t="s">
        <v>20</v>
      </c>
      <c r="I3514" s="2" t="s">
        <v>21</v>
      </c>
      <c r="J3514" s="2" t="n">
        <v>29</v>
      </c>
      <c r="K3514" s="2" t="s">
        <v>41</v>
      </c>
      <c r="L3514" s="2" t="n">
        <v>130</v>
      </c>
      <c r="M3514" s="2" t="n">
        <v>4</v>
      </c>
      <c r="N3514" s="2" t="n">
        <v>-1</v>
      </c>
      <c r="O3514" s="2" t="n">
        <v>0</v>
      </c>
      <c r="P3514" s="2" t="s">
        <v>23</v>
      </c>
      <c r="Q3514" s="2" t="s">
        <v>20</v>
      </c>
    </row>
    <row r="3515" customFormat="false" ht="15" hidden="false" customHeight="false" outlineLevel="0" collapsed="false">
      <c r="A3515" s="2" t="n">
        <v>51</v>
      </c>
      <c r="B3515" s="2" t="s">
        <v>47</v>
      </c>
      <c r="C3515" s="2" t="s">
        <v>18</v>
      </c>
      <c r="D3515" s="2" t="s">
        <v>23</v>
      </c>
      <c r="E3515" s="2" t="s">
        <v>20</v>
      </c>
      <c r="F3515" s="2" t="n">
        <v>174</v>
      </c>
      <c r="G3515" s="2" t="s">
        <v>20</v>
      </c>
      <c r="H3515" s="2" t="s">
        <v>20</v>
      </c>
      <c r="I3515" s="2" t="s">
        <v>49</v>
      </c>
      <c r="J3515" s="2" t="n">
        <v>29</v>
      </c>
      <c r="K3515" s="2" t="s">
        <v>44</v>
      </c>
      <c r="L3515" s="2" t="n">
        <v>308</v>
      </c>
      <c r="M3515" s="2" t="n">
        <v>3</v>
      </c>
      <c r="N3515" s="2" t="n">
        <v>-1</v>
      </c>
      <c r="O3515" s="2" t="n">
        <v>0</v>
      </c>
      <c r="P3515" s="2" t="s">
        <v>23</v>
      </c>
      <c r="Q3515" s="2" t="s">
        <v>20</v>
      </c>
    </row>
    <row r="3516" customFormat="false" ht="15" hidden="false" customHeight="false" outlineLevel="0" collapsed="false">
      <c r="A3516" s="2" t="n">
        <v>39</v>
      </c>
      <c r="B3516" s="2" t="s">
        <v>17</v>
      </c>
      <c r="C3516" s="2" t="s">
        <v>18</v>
      </c>
      <c r="D3516" s="2" t="s">
        <v>25</v>
      </c>
      <c r="E3516" s="2" t="s">
        <v>20</v>
      </c>
      <c r="F3516" s="2" t="n">
        <v>270</v>
      </c>
      <c r="G3516" s="2" t="s">
        <v>26</v>
      </c>
      <c r="H3516" s="2" t="s">
        <v>20</v>
      </c>
      <c r="I3516" s="2" t="s">
        <v>23</v>
      </c>
      <c r="J3516" s="2" t="n">
        <v>3</v>
      </c>
      <c r="K3516" s="2" t="s">
        <v>33</v>
      </c>
      <c r="L3516" s="2" t="n">
        <v>116</v>
      </c>
      <c r="M3516" s="2" t="n">
        <v>1</v>
      </c>
      <c r="N3516" s="2" t="n">
        <v>-1</v>
      </c>
      <c r="O3516" s="2" t="n">
        <v>0</v>
      </c>
      <c r="P3516" s="2" t="s">
        <v>23</v>
      </c>
      <c r="Q3516" s="2" t="s">
        <v>20</v>
      </c>
    </row>
    <row r="3517" customFormat="false" ht="15" hidden="false" customHeight="false" outlineLevel="0" collapsed="false">
      <c r="A3517" s="2" t="n">
        <v>44</v>
      </c>
      <c r="B3517" s="2" t="s">
        <v>29</v>
      </c>
      <c r="C3517" s="2" t="s">
        <v>30</v>
      </c>
      <c r="D3517" s="2" t="s">
        <v>31</v>
      </c>
      <c r="E3517" s="2" t="s">
        <v>20</v>
      </c>
      <c r="F3517" s="2" t="n">
        <v>1206</v>
      </c>
      <c r="G3517" s="2" t="s">
        <v>20</v>
      </c>
      <c r="H3517" s="2" t="s">
        <v>20</v>
      </c>
      <c r="I3517" s="2" t="s">
        <v>21</v>
      </c>
      <c r="J3517" s="2" t="n">
        <v>9</v>
      </c>
      <c r="K3517" s="2" t="s">
        <v>44</v>
      </c>
      <c r="L3517" s="2" t="n">
        <v>160</v>
      </c>
      <c r="M3517" s="2" t="n">
        <v>2</v>
      </c>
      <c r="N3517" s="2" t="n">
        <v>-1</v>
      </c>
      <c r="O3517" s="2" t="n">
        <v>0</v>
      </c>
      <c r="P3517" s="2" t="s">
        <v>23</v>
      </c>
      <c r="Q3517" s="2" t="s">
        <v>20</v>
      </c>
    </row>
    <row r="3518" customFormat="false" ht="15" hidden="false" customHeight="false" outlineLevel="0" collapsed="false">
      <c r="A3518" s="2" t="n">
        <v>49</v>
      </c>
      <c r="B3518" s="2" t="s">
        <v>47</v>
      </c>
      <c r="C3518" s="2" t="s">
        <v>45</v>
      </c>
      <c r="D3518" s="2" t="s">
        <v>19</v>
      </c>
      <c r="E3518" s="2" t="s">
        <v>20</v>
      </c>
      <c r="F3518" s="2" t="n">
        <v>198</v>
      </c>
      <c r="G3518" s="2" t="s">
        <v>26</v>
      </c>
      <c r="H3518" s="2" t="s">
        <v>20</v>
      </c>
      <c r="I3518" s="2" t="s">
        <v>23</v>
      </c>
      <c r="J3518" s="2" t="n">
        <v>13</v>
      </c>
      <c r="K3518" s="2" t="s">
        <v>27</v>
      </c>
      <c r="L3518" s="2" t="n">
        <v>205</v>
      </c>
      <c r="M3518" s="2" t="n">
        <v>3</v>
      </c>
      <c r="N3518" s="2" t="n">
        <v>-1</v>
      </c>
      <c r="O3518" s="2" t="n">
        <v>0</v>
      </c>
      <c r="P3518" s="2" t="s">
        <v>23</v>
      </c>
      <c r="Q3518" s="2" t="s">
        <v>20</v>
      </c>
    </row>
    <row r="3519" customFormat="false" ht="15" hidden="false" customHeight="false" outlineLevel="0" collapsed="false">
      <c r="A3519" s="2" t="n">
        <v>25</v>
      </c>
      <c r="B3519" s="2" t="s">
        <v>38</v>
      </c>
      <c r="C3519" s="2" t="s">
        <v>18</v>
      </c>
      <c r="D3519" s="2" t="s">
        <v>31</v>
      </c>
      <c r="E3519" s="2" t="s">
        <v>20</v>
      </c>
      <c r="F3519" s="2" t="n">
        <v>914</v>
      </c>
      <c r="G3519" s="2" t="s">
        <v>26</v>
      </c>
      <c r="H3519" s="2" t="s">
        <v>20</v>
      </c>
      <c r="I3519" s="2" t="s">
        <v>21</v>
      </c>
      <c r="J3519" s="2" t="n">
        <v>12</v>
      </c>
      <c r="K3519" s="2" t="s">
        <v>27</v>
      </c>
      <c r="L3519" s="2" t="n">
        <v>185</v>
      </c>
      <c r="M3519" s="2" t="n">
        <v>2</v>
      </c>
      <c r="N3519" s="2" t="n">
        <v>-1</v>
      </c>
      <c r="O3519" s="2" t="n">
        <v>0</v>
      </c>
      <c r="P3519" s="2" t="s">
        <v>23</v>
      </c>
      <c r="Q3519" s="2" t="s">
        <v>20</v>
      </c>
    </row>
    <row r="3520" customFormat="false" ht="15" hidden="false" customHeight="false" outlineLevel="0" collapsed="false">
      <c r="A3520" s="2" t="n">
        <v>39</v>
      </c>
      <c r="B3520" s="2" t="s">
        <v>36</v>
      </c>
      <c r="C3520" s="2" t="s">
        <v>18</v>
      </c>
      <c r="D3520" s="2" t="s">
        <v>25</v>
      </c>
      <c r="E3520" s="2" t="s">
        <v>20</v>
      </c>
      <c r="F3520" s="2" t="n">
        <v>31</v>
      </c>
      <c r="G3520" s="2" t="s">
        <v>26</v>
      </c>
      <c r="H3520" s="2" t="s">
        <v>20</v>
      </c>
      <c r="I3520" s="2" t="s">
        <v>21</v>
      </c>
      <c r="J3520" s="2" t="n">
        <v>20</v>
      </c>
      <c r="K3520" s="2" t="s">
        <v>46</v>
      </c>
      <c r="L3520" s="2" t="n">
        <v>61</v>
      </c>
      <c r="M3520" s="2" t="n">
        <v>2</v>
      </c>
      <c r="N3520" s="2" t="n">
        <v>181</v>
      </c>
      <c r="O3520" s="2" t="n">
        <v>4</v>
      </c>
      <c r="P3520" s="2" t="s">
        <v>28</v>
      </c>
      <c r="Q3520" s="2" t="s">
        <v>20</v>
      </c>
    </row>
    <row r="3521" customFormat="false" ht="15" hidden="false" customHeight="false" outlineLevel="0" collapsed="false">
      <c r="A3521" s="2" t="n">
        <v>54</v>
      </c>
      <c r="B3521" s="2" t="s">
        <v>38</v>
      </c>
      <c r="C3521" s="2" t="s">
        <v>18</v>
      </c>
      <c r="D3521" s="2" t="s">
        <v>25</v>
      </c>
      <c r="E3521" s="2" t="s">
        <v>20</v>
      </c>
      <c r="F3521" s="2" t="n">
        <v>0</v>
      </c>
      <c r="G3521" s="2" t="s">
        <v>20</v>
      </c>
      <c r="H3521" s="2" t="s">
        <v>20</v>
      </c>
      <c r="I3521" s="2" t="s">
        <v>49</v>
      </c>
      <c r="J3521" s="2" t="n">
        <v>14</v>
      </c>
      <c r="K3521" s="2" t="s">
        <v>41</v>
      </c>
      <c r="L3521" s="2" t="n">
        <v>159</v>
      </c>
      <c r="M3521" s="2" t="n">
        <v>2</v>
      </c>
      <c r="N3521" s="2" t="n">
        <v>106</v>
      </c>
      <c r="O3521" s="2" t="n">
        <v>6</v>
      </c>
      <c r="P3521" s="2" t="s">
        <v>50</v>
      </c>
      <c r="Q3521" s="2" t="s">
        <v>20</v>
      </c>
    </row>
    <row r="3522" customFormat="false" ht="15" hidden="false" customHeight="false" outlineLevel="0" collapsed="false">
      <c r="A3522" s="2" t="n">
        <v>32</v>
      </c>
      <c r="B3522" s="2" t="s">
        <v>29</v>
      </c>
      <c r="C3522" s="2" t="s">
        <v>30</v>
      </c>
      <c r="D3522" s="2" t="s">
        <v>31</v>
      </c>
      <c r="E3522" s="2" t="s">
        <v>20</v>
      </c>
      <c r="F3522" s="2" t="n">
        <v>347</v>
      </c>
      <c r="G3522" s="2" t="s">
        <v>26</v>
      </c>
      <c r="H3522" s="2" t="s">
        <v>20</v>
      </c>
      <c r="I3522" s="2" t="s">
        <v>21</v>
      </c>
      <c r="J3522" s="2" t="n">
        <v>18</v>
      </c>
      <c r="K3522" s="2" t="s">
        <v>27</v>
      </c>
      <c r="L3522" s="2" t="n">
        <v>213</v>
      </c>
      <c r="M3522" s="2" t="n">
        <v>1</v>
      </c>
      <c r="N3522" s="2" t="n">
        <v>264</v>
      </c>
      <c r="O3522" s="2" t="n">
        <v>6</v>
      </c>
      <c r="P3522" s="2" t="s">
        <v>28</v>
      </c>
      <c r="Q3522" s="2" t="s">
        <v>20</v>
      </c>
    </row>
    <row r="3523" customFormat="false" ht="15" hidden="false" customHeight="false" outlineLevel="0" collapsed="false">
      <c r="A3523" s="2" t="n">
        <v>36</v>
      </c>
      <c r="B3523" s="2" t="s">
        <v>29</v>
      </c>
      <c r="C3523" s="2" t="s">
        <v>18</v>
      </c>
      <c r="D3523" s="2" t="s">
        <v>31</v>
      </c>
      <c r="E3523" s="2" t="s">
        <v>20</v>
      </c>
      <c r="F3523" s="2" t="n">
        <v>860</v>
      </c>
      <c r="G3523" s="2" t="s">
        <v>26</v>
      </c>
      <c r="H3523" s="2" t="s">
        <v>20</v>
      </c>
      <c r="I3523" s="2" t="s">
        <v>23</v>
      </c>
      <c r="J3523" s="2" t="n">
        <v>20</v>
      </c>
      <c r="K3523" s="2" t="s">
        <v>27</v>
      </c>
      <c r="L3523" s="2" t="n">
        <v>294</v>
      </c>
      <c r="M3523" s="2" t="n">
        <v>15</v>
      </c>
      <c r="N3523" s="2" t="n">
        <v>-1</v>
      </c>
      <c r="O3523" s="2" t="n">
        <v>0</v>
      </c>
      <c r="P3523" s="2" t="s">
        <v>23</v>
      </c>
      <c r="Q3523" s="2" t="s">
        <v>20</v>
      </c>
    </row>
    <row r="3524" customFormat="false" ht="15" hidden="false" customHeight="false" outlineLevel="0" collapsed="false">
      <c r="A3524" s="2" t="n">
        <v>54</v>
      </c>
      <c r="B3524" s="2" t="s">
        <v>38</v>
      </c>
      <c r="C3524" s="2" t="s">
        <v>18</v>
      </c>
      <c r="D3524" s="2" t="s">
        <v>25</v>
      </c>
      <c r="E3524" s="2" t="s">
        <v>20</v>
      </c>
      <c r="F3524" s="2" t="n">
        <v>89</v>
      </c>
      <c r="G3524" s="2" t="s">
        <v>26</v>
      </c>
      <c r="H3524" s="2" t="s">
        <v>20</v>
      </c>
      <c r="I3524" s="2" t="s">
        <v>21</v>
      </c>
      <c r="J3524" s="2" t="n">
        <v>10</v>
      </c>
      <c r="K3524" s="2" t="s">
        <v>44</v>
      </c>
      <c r="L3524" s="2" t="n">
        <v>140</v>
      </c>
      <c r="M3524" s="2" t="n">
        <v>3</v>
      </c>
      <c r="N3524" s="2" t="n">
        <v>-1</v>
      </c>
      <c r="O3524" s="2" t="n">
        <v>0</v>
      </c>
      <c r="P3524" s="2" t="s">
        <v>23</v>
      </c>
      <c r="Q3524" s="2" t="s">
        <v>20</v>
      </c>
    </row>
    <row r="3525" customFormat="false" ht="15" hidden="false" customHeight="false" outlineLevel="0" collapsed="false">
      <c r="A3525" s="2" t="n">
        <v>31</v>
      </c>
      <c r="B3525" s="2" t="s">
        <v>38</v>
      </c>
      <c r="C3525" s="2" t="s">
        <v>18</v>
      </c>
      <c r="D3525" s="2" t="s">
        <v>25</v>
      </c>
      <c r="E3525" s="2" t="s">
        <v>20</v>
      </c>
      <c r="F3525" s="2" t="n">
        <v>0</v>
      </c>
      <c r="G3525" s="2" t="s">
        <v>26</v>
      </c>
      <c r="H3525" s="2" t="s">
        <v>26</v>
      </c>
      <c r="I3525" s="2" t="s">
        <v>21</v>
      </c>
      <c r="J3525" s="2" t="n">
        <v>28</v>
      </c>
      <c r="K3525" s="2" t="s">
        <v>43</v>
      </c>
      <c r="L3525" s="2" t="n">
        <v>71</v>
      </c>
      <c r="M3525" s="2" t="n">
        <v>1</v>
      </c>
      <c r="N3525" s="2" t="n">
        <v>223</v>
      </c>
      <c r="O3525" s="2" t="n">
        <v>9</v>
      </c>
      <c r="P3525" s="2" t="s">
        <v>37</v>
      </c>
      <c r="Q3525" s="2" t="s">
        <v>20</v>
      </c>
    </row>
    <row r="3526" customFormat="false" ht="15" hidden="false" customHeight="false" outlineLevel="0" collapsed="false">
      <c r="A3526" s="2" t="n">
        <v>45</v>
      </c>
      <c r="B3526" s="2" t="s">
        <v>24</v>
      </c>
      <c r="C3526" s="2" t="s">
        <v>18</v>
      </c>
      <c r="D3526" s="2" t="s">
        <v>25</v>
      </c>
      <c r="E3526" s="2" t="s">
        <v>20</v>
      </c>
      <c r="F3526" s="2" t="n">
        <v>0</v>
      </c>
      <c r="G3526" s="2" t="s">
        <v>20</v>
      </c>
      <c r="H3526" s="2" t="s">
        <v>26</v>
      </c>
      <c r="I3526" s="2" t="s">
        <v>21</v>
      </c>
      <c r="J3526" s="2" t="n">
        <v>8</v>
      </c>
      <c r="K3526" s="2" t="s">
        <v>44</v>
      </c>
      <c r="L3526" s="2" t="n">
        <v>47</v>
      </c>
      <c r="M3526" s="2" t="n">
        <v>7</v>
      </c>
      <c r="N3526" s="2" t="n">
        <v>-1</v>
      </c>
      <c r="O3526" s="2" t="n">
        <v>0</v>
      </c>
      <c r="P3526" s="2" t="s">
        <v>23</v>
      </c>
      <c r="Q3526" s="2" t="s">
        <v>20</v>
      </c>
    </row>
    <row r="3527" customFormat="false" ht="15" hidden="false" customHeight="false" outlineLevel="0" collapsed="false">
      <c r="A3527" s="2" t="n">
        <v>31</v>
      </c>
      <c r="B3527" s="2" t="s">
        <v>40</v>
      </c>
      <c r="C3527" s="2" t="s">
        <v>30</v>
      </c>
      <c r="D3527" s="2" t="s">
        <v>25</v>
      </c>
      <c r="E3527" s="2" t="s">
        <v>20</v>
      </c>
      <c r="F3527" s="2" t="n">
        <v>68</v>
      </c>
      <c r="G3527" s="2" t="s">
        <v>26</v>
      </c>
      <c r="H3527" s="2" t="s">
        <v>20</v>
      </c>
      <c r="I3527" s="2" t="s">
        <v>21</v>
      </c>
      <c r="J3527" s="2" t="n">
        <v>16</v>
      </c>
      <c r="K3527" s="2" t="s">
        <v>32</v>
      </c>
      <c r="L3527" s="2" t="n">
        <v>570</v>
      </c>
      <c r="M3527" s="2" t="n">
        <v>2</v>
      </c>
      <c r="N3527" s="2" t="n">
        <v>-1</v>
      </c>
      <c r="O3527" s="2" t="n">
        <v>0</v>
      </c>
      <c r="P3527" s="2" t="s">
        <v>23</v>
      </c>
      <c r="Q3527" s="2" t="s">
        <v>20</v>
      </c>
    </row>
    <row r="3528" customFormat="false" ht="15" hidden="false" customHeight="false" outlineLevel="0" collapsed="false">
      <c r="A3528" s="2" t="n">
        <v>45</v>
      </c>
      <c r="B3528" s="2" t="s">
        <v>38</v>
      </c>
      <c r="C3528" s="2" t="s">
        <v>18</v>
      </c>
      <c r="D3528" s="2" t="s">
        <v>25</v>
      </c>
      <c r="E3528" s="2" t="s">
        <v>20</v>
      </c>
      <c r="F3528" s="2" t="n">
        <v>-149</v>
      </c>
      <c r="G3528" s="2" t="s">
        <v>26</v>
      </c>
      <c r="H3528" s="2" t="s">
        <v>20</v>
      </c>
      <c r="I3528" s="2" t="s">
        <v>21</v>
      </c>
      <c r="J3528" s="2" t="n">
        <v>14</v>
      </c>
      <c r="K3528" s="2" t="s">
        <v>44</v>
      </c>
      <c r="L3528" s="2" t="n">
        <v>287</v>
      </c>
      <c r="M3528" s="2" t="n">
        <v>2</v>
      </c>
      <c r="N3528" s="2" t="n">
        <v>-1</v>
      </c>
      <c r="O3528" s="2" t="n">
        <v>0</v>
      </c>
      <c r="P3528" s="2" t="s">
        <v>23</v>
      </c>
      <c r="Q3528" s="2" t="s">
        <v>20</v>
      </c>
    </row>
    <row r="3529" customFormat="false" ht="15" hidden="false" customHeight="false" outlineLevel="0" collapsed="false">
      <c r="A3529" s="2" t="n">
        <v>33</v>
      </c>
      <c r="B3529" s="2" t="s">
        <v>24</v>
      </c>
      <c r="C3529" s="2" t="s">
        <v>45</v>
      </c>
      <c r="D3529" s="2" t="s">
        <v>25</v>
      </c>
      <c r="E3529" s="2" t="s">
        <v>20</v>
      </c>
      <c r="F3529" s="2" t="n">
        <v>2411</v>
      </c>
      <c r="G3529" s="2" t="s">
        <v>26</v>
      </c>
      <c r="H3529" s="2" t="s">
        <v>20</v>
      </c>
      <c r="I3529" s="2" t="s">
        <v>21</v>
      </c>
      <c r="J3529" s="2" t="n">
        <v>23</v>
      </c>
      <c r="K3529" s="2" t="s">
        <v>22</v>
      </c>
      <c r="L3529" s="2" t="n">
        <v>130</v>
      </c>
      <c r="M3529" s="2" t="n">
        <v>1</v>
      </c>
      <c r="N3529" s="2" t="n">
        <v>161</v>
      </c>
      <c r="O3529" s="2" t="n">
        <v>1</v>
      </c>
      <c r="P3529" s="2" t="s">
        <v>28</v>
      </c>
      <c r="Q3529" s="2" t="s">
        <v>26</v>
      </c>
    </row>
    <row r="3530" customFormat="false" ht="15" hidden="false" customHeight="false" outlineLevel="0" collapsed="false">
      <c r="A3530" s="2" t="n">
        <v>46</v>
      </c>
      <c r="B3530" s="2" t="s">
        <v>29</v>
      </c>
      <c r="C3530" s="2" t="s">
        <v>45</v>
      </c>
      <c r="D3530" s="2" t="s">
        <v>31</v>
      </c>
      <c r="E3530" s="2" t="s">
        <v>20</v>
      </c>
      <c r="F3530" s="2" t="n">
        <v>225</v>
      </c>
      <c r="G3530" s="2" t="s">
        <v>26</v>
      </c>
      <c r="H3530" s="2" t="s">
        <v>20</v>
      </c>
      <c r="I3530" s="2" t="s">
        <v>21</v>
      </c>
      <c r="J3530" s="2" t="n">
        <v>14</v>
      </c>
      <c r="K3530" s="2" t="s">
        <v>27</v>
      </c>
      <c r="L3530" s="2" t="n">
        <v>201</v>
      </c>
      <c r="M3530" s="2" t="n">
        <v>1</v>
      </c>
      <c r="N3530" s="2" t="n">
        <v>345</v>
      </c>
      <c r="O3530" s="2" t="n">
        <v>1</v>
      </c>
      <c r="P3530" s="2" t="s">
        <v>37</v>
      </c>
      <c r="Q3530" s="2" t="s">
        <v>20</v>
      </c>
    </row>
    <row r="3531" customFormat="false" ht="15" hidden="false" customHeight="false" outlineLevel="0" collapsed="false">
      <c r="A3531" s="2" t="n">
        <v>43</v>
      </c>
      <c r="B3531" s="2" t="s">
        <v>23</v>
      </c>
      <c r="C3531" s="2" t="s">
        <v>30</v>
      </c>
      <c r="D3531" s="2" t="s">
        <v>31</v>
      </c>
      <c r="E3531" s="2" t="s">
        <v>20</v>
      </c>
      <c r="F3531" s="2" t="n">
        <v>2731</v>
      </c>
      <c r="G3531" s="2" t="s">
        <v>20</v>
      </c>
      <c r="H3531" s="2" t="s">
        <v>20</v>
      </c>
      <c r="I3531" s="2" t="s">
        <v>21</v>
      </c>
      <c r="J3531" s="2" t="n">
        <v>21</v>
      </c>
      <c r="K3531" s="2" t="s">
        <v>46</v>
      </c>
      <c r="L3531" s="2" t="n">
        <v>11</v>
      </c>
      <c r="M3531" s="2" t="n">
        <v>7</v>
      </c>
      <c r="N3531" s="2" t="n">
        <v>-1</v>
      </c>
      <c r="O3531" s="2" t="n">
        <v>0</v>
      </c>
      <c r="P3531" s="2" t="s">
        <v>23</v>
      </c>
      <c r="Q3531" s="2" t="s">
        <v>20</v>
      </c>
    </row>
    <row r="3532" customFormat="false" ht="15" hidden="false" customHeight="false" outlineLevel="0" collapsed="false">
      <c r="A3532" s="2" t="n">
        <v>50</v>
      </c>
      <c r="B3532" s="2" t="s">
        <v>29</v>
      </c>
      <c r="C3532" s="2" t="s">
        <v>18</v>
      </c>
      <c r="D3532" s="2" t="s">
        <v>31</v>
      </c>
      <c r="E3532" s="2" t="s">
        <v>20</v>
      </c>
      <c r="F3532" s="2" t="n">
        <v>112</v>
      </c>
      <c r="G3532" s="2" t="s">
        <v>26</v>
      </c>
      <c r="H3532" s="2" t="s">
        <v>20</v>
      </c>
      <c r="I3532" s="2" t="s">
        <v>21</v>
      </c>
      <c r="J3532" s="2" t="n">
        <v>4</v>
      </c>
      <c r="K3532" s="2" t="s">
        <v>46</v>
      </c>
      <c r="L3532" s="2" t="n">
        <v>70</v>
      </c>
      <c r="M3532" s="2" t="n">
        <v>5</v>
      </c>
      <c r="N3532" s="2" t="n">
        <v>85</v>
      </c>
      <c r="O3532" s="2" t="n">
        <v>5</v>
      </c>
      <c r="P3532" s="2" t="s">
        <v>37</v>
      </c>
      <c r="Q3532" s="2" t="s">
        <v>20</v>
      </c>
    </row>
    <row r="3533" customFormat="false" ht="15" hidden="false" customHeight="false" outlineLevel="0" collapsed="false">
      <c r="A3533" s="2" t="n">
        <v>44</v>
      </c>
      <c r="B3533" s="2" t="s">
        <v>29</v>
      </c>
      <c r="C3533" s="2" t="s">
        <v>45</v>
      </c>
      <c r="D3533" s="2" t="s">
        <v>31</v>
      </c>
      <c r="E3533" s="2" t="s">
        <v>20</v>
      </c>
      <c r="F3533" s="2" t="n">
        <v>0</v>
      </c>
      <c r="G3533" s="2" t="s">
        <v>20</v>
      </c>
      <c r="H3533" s="2" t="s">
        <v>20</v>
      </c>
      <c r="I3533" s="2" t="s">
        <v>21</v>
      </c>
      <c r="J3533" s="2" t="n">
        <v>22</v>
      </c>
      <c r="K3533" s="2" t="s">
        <v>41</v>
      </c>
      <c r="L3533" s="2" t="n">
        <v>54</v>
      </c>
      <c r="M3533" s="2" t="n">
        <v>2</v>
      </c>
      <c r="N3533" s="2" t="n">
        <v>-1</v>
      </c>
      <c r="O3533" s="2" t="n">
        <v>0</v>
      </c>
      <c r="P3533" s="2" t="s">
        <v>23</v>
      </c>
      <c r="Q3533" s="2" t="s">
        <v>20</v>
      </c>
    </row>
    <row r="3534" customFormat="false" ht="15" hidden="false" customHeight="false" outlineLevel="0" collapsed="false">
      <c r="A3534" s="2" t="n">
        <v>42</v>
      </c>
      <c r="B3534" s="2" t="s">
        <v>24</v>
      </c>
      <c r="C3534" s="2" t="s">
        <v>18</v>
      </c>
      <c r="D3534" s="2" t="s">
        <v>25</v>
      </c>
      <c r="E3534" s="2" t="s">
        <v>20</v>
      </c>
      <c r="F3534" s="2" t="n">
        <v>3620</v>
      </c>
      <c r="G3534" s="2" t="s">
        <v>26</v>
      </c>
      <c r="H3534" s="2" t="s">
        <v>20</v>
      </c>
      <c r="I3534" s="2" t="s">
        <v>23</v>
      </c>
      <c r="J3534" s="2" t="n">
        <v>27</v>
      </c>
      <c r="K3534" s="2" t="s">
        <v>27</v>
      </c>
      <c r="L3534" s="2" t="n">
        <v>22</v>
      </c>
      <c r="M3534" s="2" t="n">
        <v>16</v>
      </c>
      <c r="N3534" s="2" t="n">
        <v>-1</v>
      </c>
      <c r="O3534" s="2" t="n">
        <v>0</v>
      </c>
      <c r="P3534" s="2" t="s">
        <v>23</v>
      </c>
      <c r="Q3534" s="2" t="s">
        <v>20</v>
      </c>
    </row>
    <row r="3535" customFormat="false" ht="15" hidden="false" customHeight="false" outlineLevel="0" collapsed="false">
      <c r="A3535" s="2" t="n">
        <v>26</v>
      </c>
      <c r="B3535" s="2" t="s">
        <v>34</v>
      </c>
      <c r="C3535" s="2" t="s">
        <v>30</v>
      </c>
      <c r="D3535" s="2" t="s">
        <v>25</v>
      </c>
      <c r="E3535" s="2" t="s">
        <v>20</v>
      </c>
      <c r="F3535" s="2" t="n">
        <v>179</v>
      </c>
      <c r="G3535" s="2" t="s">
        <v>20</v>
      </c>
      <c r="H3535" s="2" t="s">
        <v>20</v>
      </c>
      <c r="I3535" s="2" t="s">
        <v>21</v>
      </c>
      <c r="J3535" s="2" t="n">
        <v>30</v>
      </c>
      <c r="K3535" s="2" t="s">
        <v>44</v>
      </c>
      <c r="L3535" s="2" t="n">
        <v>103</v>
      </c>
      <c r="M3535" s="2" t="n">
        <v>3</v>
      </c>
      <c r="N3535" s="2" t="n">
        <v>-1</v>
      </c>
      <c r="O3535" s="2" t="n">
        <v>0</v>
      </c>
      <c r="P3535" s="2" t="s">
        <v>23</v>
      </c>
      <c r="Q3535" s="2" t="s">
        <v>20</v>
      </c>
    </row>
    <row r="3536" customFormat="false" ht="15" hidden="false" customHeight="false" outlineLevel="0" collapsed="false">
      <c r="A3536" s="2" t="n">
        <v>47</v>
      </c>
      <c r="B3536" s="2" t="s">
        <v>40</v>
      </c>
      <c r="C3536" s="2" t="s">
        <v>30</v>
      </c>
      <c r="D3536" s="2" t="s">
        <v>25</v>
      </c>
      <c r="E3536" s="2" t="s">
        <v>20</v>
      </c>
      <c r="F3536" s="2" t="n">
        <v>1544</v>
      </c>
      <c r="G3536" s="2" t="s">
        <v>26</v>
      </c>
      <c r="H3536" s="2" t="s">
        <v>20</v>
      </c>
      <c r="I3536" s="2" t="s">
        <v>21</v>
      </c>
      <c r="J3536" s="2" t="n">
        <v>6</v>
      </c>
      <c r="K3536" s="2" t="s">
        <v>32</v>
      </c>
      <c r="L3536" s="2" t="n">
        <v>104</v>
      </c>
      <c r="M3536" s="2" t="n">
        <v>1</v>
      </c>
      <c r="N3536" s="2" t="n">
        <v>312</v>
      </c>
      <c r="O3536" s="2" t="n">
        <v>1</v>
      </c>
      <c r="P3536" s="2" t="s">
        <v>28</v>
      </c>
      <c r="Q3536" s="2" t="s">
        <v>20</v>
      </c>
    </row>
    <row r="3537" customFormat="false" ht="15" hidden="false" customHeight="false" outlineLevel="0" collapsed="false">
      <c r="A3537" s="2" t="n">
        <v>48</v>
      </c>
      <c r="B3537" s="2" t="s">
        <v>34</v>
      </c>
      <c r="C3537" s="2" t="s">
        <v>18</v>
      </c>
      <c r="D3537" s="2" t="s">
        <v>19</v>
      </c>
      <c r="E3537" s="2" t="s">
        <v>20</v>
      </c>
      <c r="F3537" s="2" t="n">
        <v>199</v>
      </c>
      <c r="G3537" s="2" t="s">
        <v>20</v>
      </c>
      <c r="H3537" s="2" t="s">
        <v>20</v>
      </c>
      <c r="I3537" s="2" t="s">
        <v>49</v>
      </c>
      <c r="J3537" s="2" t="n">
        <v>18</v>
      </c>
      <c r="K3537" s="2" t="s">
        <v>41</v>
      </c>
      <c r="L3537" s="2" t="n">
        <v>29</v>
      </c>
      <c r="M3537" s="2" t="n">
        <v>2</v>
      </c>
      <c r="N3537" s="2" t="n">
        <v>-1</v>
      </c>
      <c r="O3537" s="2" t="n">
        <v>0</v>
      </c>
      <c r="P3537" s="2" t="s">
        <v>23</v>
      </c>
      <c r="Q3537" s="2" t="s">
        <v>20</v>
      </c>
    </row>
    <row r="3538" customFormat="false" ht="15" hidden="false" customHeight="false" outlineLevel="0" collapsed="false">
      <c r="A3538" s="2" t="n">
        <v>60</v>
      </c>
      <c r="B3538" s="2" t="s">
        <v>34</v>
      </c>
      <c r="C3538" s="2" t="s">
        <v>18</v>
      </c>
      <c r="D3538" s="2" t="s">
        <v>23</v>
      </c>
      <c r="E3538" s="2" t="s">
        <v>20</v>
      </c>
      <c r="F3538" s="2" t="n">
        <v>231</v>
      </c>
      <c r="G3538" s="2" t="s">
        <v>26</v>
      </c>
      <c r="H3538" s="2" t="s">
        <v>20</v>
      </c>
      <c r="I3538" s="2" t="s">
        <v>23</v>
      </c>
      <c r="J3538" s="2" t="n">
        <v>12</v>
      </c>
      <c r="K3538" s="2" t="s">
        <v>27</v>
      </c>
      <c r="L3538" s="2" t="n">
        <v>57</v>
      </c>
      <c r="M3538" s="2" t="n">
        <v>2</v>
      </c>
      <c r="N3538" s="2" t="n">
        <v>-1</v>
      </c>
      <c r="O3538" s="2" t="n">
        <v>0</v>
      </c>
      <c r="P3538" s="2" t="s">
        <v>23</v>
      </c>
      <c r="Q3538" s="2" t="s">
        <v>20</v>
      </c>
    </row>
    <row r="3539" customFormat="false" ht="15" hidden="false" customHeight="false" outlineLevel="0" collapsed="false">
      <c r="A3539" s="2" t="n">
        <v>27</v>
      </c>
      <c r="B3539" s="2" t="s">
        <v>40</v>
      </c>
      <c r="C3539" s="2" t="s">
        <v>45</v>
      </c>
      <c r="D3539" s="2" t="s">
        <v>25</v>
      </c>
      <c r="E3539" s="2" t="s">
        <v>20</v>
      </c>
      <c r="F3539" s="2" t="n">
        <v>76</v>
      </c>
      <c r="G3539" s="2" t="s">
        <v>26</v>
      </c>
      <c r="H3539" s="2" t="s">
        <v>20</v>
      </c>
      <c r="I3539" s="2" t="s">
        <v>23</v>
      </c>
      <c r="J3539" s="2" t="n">
        <v>4</v>
      </c>
      <c r="K3539" s="2" t="s">
        <v>33</v>
      </c>
      <c r="L3539" s="2" t="n">
        <v>236</v>
      </c>
      <c r="M3539" s="2" t="n">
        <v>1</v>
      </c>
      <c r="N3539" s="2" t="n">
        <v>-1</v>
      </c>
      <c r="O3539" s="2" t="n">
        <v>0</v>
      </c>
      <c r="P3539" s="2" t="s">
        <v>23</v>
      </c>
      <c r="Q3539" s="2" t="s">
        <v>20</v>
      </c>
    </row>
    <row r="3540" customFormat="false" ht="15" hidden="false" customHeight="false" outlineLevel="0" collapsed="false">
      <c r="A3540" s="2" t="n">
        <v>30</v>
      </c>
      <c r="B3540" s="2" t="s">
        <v>17</v>
      </c>
      <c r="C3540" s="2" t="s">
        <v>30</v>
      </c>
      <c r="D3540" s="2" t="s">
        <v>31</v>
      </c>
      <c r="E3540" s="2" t="s">
        <v>20</v>
      </c>
      <c r="F3540" s="2" t="n">
        <v>302</v>
      </c>
      <c r="G3540" s="2" t="s">
        <v>20</v>
      </c>
      <c r="H3540" s="2" t="s">
        <v>20</v>
      </c>
      <c r="I3540" s="2" t="s">
        <v>21</v>
      </c>
      <c r="J3540" s="2" t="n">
        <v>11</v>
      </c>
      <c r="K3540" s="2" t="s">
        <v>35</v>
      </c>
      <c r="L3540" s="2" t="n">
        <v>528</v>
      </c>
      <c r="M3540" s="2" t="n">
        <v>3</v>
      </c>
      <c r="N3540" s="2" t="n">
        <v>-1</v>
      </c>
      <c r="O3540" s="2" t="n">
        <v>0</v>
      </c>
      <c r="P3540" s="2" t="s">
        <v>23</v>
      </c>
      <c r="Q3540" s="2" t="s">
        <v>26</v>
      </c>
    </row>
    <row r="3541" customFormat="false" ht="15" hidden="false" customHeight="false" outlineLevel="0" collapsed="false">
      <c r="A3541" s="2" t="n">
        <v>28</v>
      </c>
      <c r="B3541" s="2" t="s">
        <v>40</v>
      </c>
      <c r="C3541" s="2" t="s">
        <v>30</v>
      </c>
      <c r="D3541" s="2" t="s">
        <v>25</v>
      </c>
      <c r="E3541" s="2" t="s">
        <v>20</v>
      </c>
      <c r="F3541" s="2" t="n">
        <v>189</v>
      </c>
      <c r="G3541" s="2" t="s">
        <v>26</v>
      </c>
      <c r="H3541" s="2" t="s">
        <v>20</v>
      </c>
      <c r="I3541" s="2" t="s">
        <v>21</v>
      </c>
      <c r="J3541" s="2" t="n">
        <v>31</v>
      </c>
      <c r="K3541" s="2" t="s">
        <v>44</v>
      </c>
      <c r="L3541" s="2" t="n">
        <v>68</v>
      </c>
      <c r="M3541" s="2" t="n">
        <v>2</v>
      </c>
      <c r="N3541" s="2" t="n">
        <v>-1</v>
      </c>
      <c r="O3541" s="2" t="n">
        <v>0</v>
      </c>
      <c r="P3541" s="2" t="s">
        <v>23</v>
      </c>
      <c r="Q3541" s="2" t="s">
        <v>20</v>
      </c>
    </row>
    <row r="3542" customFormat="false" ht="15" hidden="false" customHeight="false" outlineLevel="0" collapsed="false">
      <c r="A3542" s="2" t="n">
        <v>58</v>
      </c>
      <c r="B3542" s="2" t="s">
        <v>48</v>
      </c>
      <c r="C3542" s="2" t="s">
        <v>18</v>
      </c>
      <c r="D3542" s="2" t="s">
        <v>19</v>
      </c>
      <c r="E3542" s="2" t="s">
        <v>20</v>
      </c>
      <c r="F3542" s="2" t="n">
        <v>565</v>
      </c>
      <c r="G3542" s="2" t="s">
        <v>20</v>
      </c>
      <c r="H3542" s="2" t="s">
        <v>20</v>
      </c>
      <c r="I3542" s="2" t="s">
        <v>49</v>
      </c>
      <c r="J3542" s="2" t="n">
        <v>7</v>
      </c>
      <c r="K3542" s="2" t="s">
        <v>44</v>
      </c>
      <c r="L3542" s="2" t="n">
        <v>876</v>
      </c>
      <c r="M3542" s="2" t="n">
        <v>1</v>
      </c>
      <c r="N3542" s="2" t="n">
        <v>-1</v>
      </c>
      <c r="O3542" s="2" t="n">
        <v>0</v>
      </c>
      <c r="P3542" s="2" t="s">
        <v>23</v>
      </c>
      <c r="Q3542" s="2" t="s">
        <v>26</v>
      </c>
    </row>
    <row r="3543" customFormat="false" ht="15" hidden="false" customHeight="false" outlineLevel="0" collapsed="false">
      <c r="A3543" s="2" t="n">
        <v>37</v>
      </c>
      <c r="B3543" s="2" t="s">
        <v>39</v>
      </c>
      <c r="C3543" s="2" t="s">
        <v>18</v>
      </c>
      <c r="D3543" s="2" t="s">
        <v>31</v>
      </c>
      <c r="E3543" s="2" t="s">
        <v>20</v>
      </c>
      <c r="F3543" s="2" t="n">
        <v>310</v>
      </c>
      <c r="G3543" s="2" t="s">
        <v>20</v>
      </c>
      <c r="H3543" s="2" t="s">
        <v>20</v>
      </c>
      <c r="I3543" s="2" t="s">
        <v>21</v>
      </c>
      <c r="J3543" s="2" t="n">
        <v>1</v>
      </c>
      <c r="K3543" s="2" t="s">
        <v>51</v>
      </c>
      <c r="L3543" s="2" t="n">
        <v>76</v>
      </c>
      <c r="M3543" s="2" t="n">
        <v>1</v>
      </c>
      <c r="N3543" s="2" t="n">
        <v>-1</v>
      </c>
      <c r="O3543" s="2" t="n">
        <v>0</v>
      </c>
      <c r="P3543" s="2" t="s">
        <v>23</v>
      </c>
      <c r="Q3543" s="2" t="s">
        <v>20</v>
      </c>
    </row>
    <row r="3544" customFormat="false" ht="15" hidden="false" customHeight="false" outlineLevel="0" collapsed="false">
      <c r="A3544" s="2" t="n">
        <v>36</v>
      </c>
      <c r="B3544" s="2" t="s">
        <v>24</v>
      </c>
      <c r="C3544" s="2" t="s">
        <v>18</v>
      </c>
      <c r="D3544" s="2" t="s">
        <v>25</v>
      </c>
      <c r="E3544" s="2" t="s">
        <v>20</v>
      </c>
      <c r="F3544" s="2" t="n">
        <v>1746</v>
      </c>
      <c r="G3544" s="2" t="s">
        <v>26</v>
      </c>
      <c r="H3544" s="2" t="s">
        <v>20</v>
      </c>
      <c r="I3544" s="2" t="s">
        <v>23</v>
      </c>
      <c r="J3544" s="2" t="n">
        <v>26</v>
      </c>
      <c r="K3544" s="2" t="s">
        <v>27</v>
      </c>
      <c r="L3544" s="2" t="n">
        <v>99</v>
      </c>
      <c r="M3544" s="2" t="n">
        <v>1</v>
      </c>
      <c r="N3544" s="2" t="n">
        <v>-1</v>
      </c>
      <c r="O3544" s="2" t="n">
        <v>0</v>
      </c>
      <c r="P3544" s="2" t="s">
        <v>23</v>
      </c>
      <c r="Q3544" s="2" t="s">
        <v>20</v>
      </c>
    </row>
    <row r="3545" customFormat="false" ht="15" hidden="false" customHeight="false" outlineLevel="0" collapsed="false">
      <c r="A3545" s="2" t="n">
        <v>39</v>
      </c>
      <c r="B3545" s="2" t="s">
        <v>38</v>
      </c>
      <c r="C3545" s="2" t="s">
        <v>18</v>
      </c>
      <c r="D3545" s="2" t="s">
        <v>25</v>
      </c>
      <c r="E3545" s="2" t="s">
        <v>20</v>
      </c>
      <c r="F3545" s="2" t="n">
        <v>6</v>
      </c>
      <c r="G3545" s="2" t="s">
        <v>26</v>
      </c>
      <c r="H3545" s="2" t="s">
        <v>20</v>
      </c>
      <c r="I3545" s="2" t="s">
        <v>21</v>
      </c>
      <c r="J3545" s="2" t="n">
        <v>18</v>
      </c>
      <c r="K3545" s="2" t="s">
        <v>27</v>
      </c>
      <c r="L3545" s="2" t="n">
        <v>122</v>
      </c>
      <c r="M3545" s="2" t="n">
        <v>3</v>
      </c>
      <c r="N3545" s="2" t="n">
        <v>357</v>
      </c>
      <c r="O3545" s="2" t="n">
        <v>4</v>
      </c>
      <c r="P3545" s="2" t="s">
        <v>28</v>
      </c>
      <c r="Q3545" s="2" t="s">
        <v>20</v>
      </c>
    </row>
    <row r="3546" customFormat="false" ht="15" hidden="false" customHeight="false" outlineLevel="0" collapsed="false">
      <c r="A3546" s="2" t="n">
        <v>52</v>
      </c>
      <c r="B3546" s="2" t="s">
        <v>17</v>
      </c>
      <c r="C3546" s="2" t="s">
        <v>18</v>
      </c>
      <c r="D3546" s="2" t="s">
        <v>19</v>
      </c>
      <c r="E3546" s="2" t="s">
        <v>20</v>
      </c>
      <c r="F3546" s="2" t="n">
        <v>-110</v>
      </c>
      <c r="G3546" s="2" t="s">
        <v>20</v>
      </c>
      <c r="H3546" s="2" t="s">
        <v>26</v>
      </c>
      <c r="I3546" s="2" t="s">
        <v>21</v>
      </c>
      <c r="J3546" s="2" t="n">
        <v>29</v>
      </c>
      <c r="K3546" s="2" t="s">
        <v>43</v>
      </c>
      <c r="L3546" s="2" t="n">
        <v>141</v>
      </c>
      <c r="M3546" s="2" t="n">
        <v>1</v>
      </c>
      <c r="N3546" s="2" t="n">
        <v>-1</v>
      </c>
      <c r="O3546" s="2" t="n">
        <v>0</v>
      </c>
      <c r="P3546" s="2" t="s">
        <v>23</v>
      </c>
      <c r="Q3546" s="2" t="s">
        <v>20</v>
      </c>
    </row>
    <row r="3547" customFormat="false" ht="15" hidden="false" customHeight="false" outlineLevel="0" collapsed="false">
      <c r="A3547" s="2" t="n">
        <v>55</v>
      </c>
      <c r="B3547" s="2" t="s">
        <v>48</v>
      </c>
      <c r="C3547" s="2" t="s">
        <v>18</v>
      </c>
      <c r="D3547" s="2" t="s">
        <v>25</v>
      </c>
      <c r="E3547" s="2" t="s">
        <v>20</v>
      </c>
      <c r="F3547" s="2" t="n">
        <v>2749</v>
      </c>
      <c r="G3547" s="2" t="s">
        <v>26</v>
      </c>
      <c r="H3547" s="2" t="s">
        <v>26</v>
      </c>
      <c r="I3547" s="2" t="s">
        <v>23</v>
      </c>
      <c r="J3547" s="2" t="n">
        <v>29</v>
      </c>
      <c r="K3547" s="2" t="s">
        <v>27</v>
      </c>
      <c r="L3547" s="2" t="n">
        <v>58</v>
      </c>
      <c r="M3547" s="2" t="n">
        <v>2</v>
      </c>
      <c r="N3547" s="2" t="n">
        <v>-1</v>
      </c>
      <c r="O3547" s="2" t="n">
        <v>0</v>
      </c>
      <c r="P3547" s="2" t="s">
        <v>23</v>
      </c>
      <c r="Q3547" s="2" t="s">
        <v>20</v>
      </c>
    </row>
    <row r="3548" customFormat="false" ht="15" hidden="false" customHeight="false" outlineLevel="0" collapsed="false">
      <c r="A3548" s="2" t="n">
        <v>30</v>
      </c>
      <c r="B3548" s="2" t="s">
        <v>29</v>
      </c>
      <c r="C3548" s="2" t="s">
        <v>30</v>
      </c>
      <c r="D3548" s="2" t="s">
        <v>31</v>
      </c>
      <c r="E3548" s="2" t="s">
        <v>20</v>
      </c>
      <c r="F3548" s="2" t="n">
        <v>6495</v>
      </c>
      <c r="G3548" s="2" t="s">
        <v>20</v>
      </c>
      <c r="H3548" s="2" t="s">
        <v>20</v>
      </c>
      <c r="I3548" s="2" t="s">
        <v>21</v>
      </c>
      <c r="J3548" s="2" t="n">
        <v>30</v>
      </c>
      <c r="K3548" s="2" t="s">
        <v>52</v>
      </c>
      <c r="L3548" s="2" t="n">
        <v>78</v>
      </c>
      <c r="M3548" s="2" t="n">
        <v>3</v>
      </c>
      <c r="N3548" s="2" t="n">
        <v>-1</v>
      </c>
      <c r="O3548" s="2" t="n">
        <v>0</v>
      </c>
      <c r="P3548" s="2" t="s">
        <v>23</v>
      </c>
      <c r="Q3548" s="2" t="s">
        <v>20</v>
      </c>
    </row>
    <row r="3549" customFormat="false" ht="15" hidden="false" customHeight="false" outlineLevel="0" collapsed="false">
      <c r="A3549" s="2" t="n">
        <v>36</v>
      </c>
      <c r="B3549" s="2" t="s">
        <v>34</v>
      </c>
      <c r="C3549" s="2" t="s">
        <v>30</v>
      </c>
      <c r="D3549" s="2" t="s">
        <v>25</v>
      </c>
      <c r="E3549" s="2" t="s">
        <v>20</v>
      </c>
      <c r="F3549" s="2" t="n">
        <v>35</v>
      </c>
      <c r="G3549" s="2" t="s">
        <v>26</v>
      </c>
      <c r="H3549" s="2" t="s">
        <v>20</v>
      </c>
      <c r="I3549" s="2" t="s">
        <v>23</v>
      </c>
      <c r="J3549" s="2" t="n">
        <v>3</v>
      </c>
      <c r="K3549" s="2" t="s">
        <v>33</v>
      </c>
      <c r="L3549" s="2" t="n">
        <v>435</v>
      </c>
      <c r="M3549" s="2" t="n">
        <v>3</v>
      </c>
      <c r="N3549" s="2" t="n">
        <v>-1</v>
      </c>
      <c r="O3549" s="2" t="n">
        <v>0</v>
      </c>
      <c r="P3549" s="2" t="s">
        <v>23</v>
      </c>
      <c r="Q3549" s="2" t="s">
        <v>20</v>
      </c>
    </row>
    <row r="3550" customFormat="false" ht="15" hidden="false" customHeight="false" outlineLevel="0" collapsed="false">
      <c r="A3550" s="2" t="n">
        <v>39</v>
      </c>
      <c r="B3550" s="2" t="s">
        <v>40</v>
      </c>
      <c r="C3550" s="2" t="s">
        <v>18</v>
      </c>
      <c r="D3550" s="2" t="s">
        <v>25</v>
      </c>
      <c r="E3550" s="2" t="s">
        <v>20</v>
      </c>
      <c r="F3550" s="2" t="n">
        <v>-650</v>
      </c>
      <c r="G3550" s="2" t="s">
        <v>20</v>
      </c>
      <c r="H3550" s="2" t="s">
        <v>20</v>
      </c>
      <c r="I3550" s="2" t="s">
        <v>21</v>
      </c>
      <c r="J3550" s="2" t="n">
        <v>15</v>
      </c>
      <c r="K3550" s="2" t="s">
        <v>27</v>
      </c>
      <c r="L3550" s="2" t="n">
        <v>123</v>
      </c>
      <c r="M3550" s="2" t="n">
        <v>2</v>
      </c>
      <c r="N3550" s="2" t="n">
        <v>364</v>
      </c>
      <c r="O3550" s="2" t="n">
        <v>1</v>
      </c>
      <c r="P3550" s="2" t="s">
        <v>28</v>
      </c>
      <c r="Q3550" s="2" t="s">
        <v>20</v>
      </c>
    </row>
    <row r="3551" customFormat="false" ht="15" hidden="false" customHeight="false" outlineLevel="0" collapsed="false">
      <c r="A3551" s="2" t="n">
        <v>47</v>
      </c>
      <c r="B3551" s="2" t="s">
        <v>34</v>
      </c>
      <c r="C3551" s="2" t="s">
        <v>18</v>
      </c>
      <c r="D3551" s="2" t="s">
        <v>19</v>
      </c>
      <c r="E3551" s="2" t="s">
        <v>20</v>
      </c>
      <c r="F3551" s="2" t="n">
        <v>292</v>
      </c>
      <c r="G3551" s="2" t="s">
        <v>20</v>
      </c>
      <c r="H3551" s="2" t="s">
        <v>26</v>
      </c>
      <c r="I3551" s="2" t="s">
        <v>49</v>
      </c>
      <c r="J3551" s="2" t="n">
        <v>28</v>
      </c>
      <c r="K3551" s="2" t="s">
        <v>44</v>
      </c>
      <c r="L3551" s="2" t="n">
        <v>210</v>
      </c>
      <c r="M3551" s="2" t="n">
        <v>3</v>
      </c>
      <c r="N3551" s="2" t="n">
        <v>-1</v>
      </c>
      <c r="O3551" s="2" t="n">
        <v>0</v>
      </c>
      <c r="P3551" s="2" t="s">
        <v>23</v>
      </c>
      <c r="Q3551" s="2" t="s">
        <v>20</v>
      </c>
    </row>
    <row r="3552" customFormat="false" ht="15" hidden="false" customHeight="false" outlineLevel="0" collapsed="false">
      <c r="A3552" s="2" t="n">
        <v>42</v>
      </c>
      <c r="B3552" s="2" t="s">
        <v>47</v>
      </c>
      <c r="C3552" s="2" t="s">
        <v>30</v>
      </c>
      <c r="D3552" s="2" t="s">
        <v>19</v>
      </c>
      <c r="E3552" s="2" t="s">
        <v>20</v>
      </c>
      <c r="F3552" s="2" t="n">
        <v>5774</v>
      </c>
      <c r="G3552" s="2" t="s">
        <v>26</v>
      </c>
      <c r="H3552" s="2" t="s">
        <v>20</v>
      </c>
      <c r="I3552" s="2" t="s">
        <v>23</v>
      </c>
      <c r="J3552" s="2" t="n">
        <v>15</v>
      </c>
      <c r="K3552" s="2" t="s">
        <v>27</v>
      </c>
      <c r="L3552" s="2" t="n">
        <v>54</v>
      </c>
      <c r="M3552" s="2" t="n">
        <v>2</v>
      </c>
      <c r="N3552" s="2" t="n">
        <v>-1</v>
      </c>
      <c r="O3552" s="2" t="n">
        <v>0</v>
      </c>
      <c r="P3552" s="2" t="s">
        <v>23</v>
      </c>
      <c r="Q3552" s="2" t="s">
        <v>20</v>
      </c>
    </row>
    <row r="3553" customFormat="false" ht="15" hidden="false" customHeight="false" outlineLevel="0" collapsed="false">
      <c r="A3553" s="2" t="n">
        <v>42</v>
      </c>
      <c r="B3553" s="2" t="s">
        <v>29</v>
      </c>
      <c r="C3553" s="2" t="s">
        <v>18</v>
      </c>
      <c r="D3553" s="2" t="s">
        <v>25</v>
      </c>
      <c r="E3553" s="2" t="s">
        <v>20</v>
      </c>
      <c r="F3553" s="2" t="n">
        <v>2416</v>
      </c>
      <c r="G3553" s="2" t="s">
        <v>26</v>
      </c>
      <c r="H3553" s="2" t="s">
        <v>20</v>
      </c>
      <c r="I3553" s="2" t="s">
        <v>23</v>
      </c>
      <c r="J3553" s="2" t="n">
        <v>20</v>
      </c>
      <c r="K3553" s="2" t="s">
        <v>27</v>
      </c>
      <c r="L3553" s="2" t="n">
        <v>138</v>
      </c>
      <c r="M3553" s="2" t="n">
        <v>4</v>
      </c>
      <c r="N3553" s="2" t="n">
        <v>-1</v>
      </c>
      <c r="O3553" s="2" t="n">
        <v>0</v>
      </c>
      <c r="P3553" s="2" t="s">
        <v>23</v>
      </c>
      <c r="Q3553" s="2" t="s">
        <v>20</v>
      </c>
    </row>
    <row r="3554" customFormat="false" ht="15" hidden="false" customHeight="false" outlineLevel="0" collapsed="false">
      <c r="A3554" s="2" t="n">
        <v>58</v>
      </c>
      <c r="B3554" s="2" t="s">
        <v>48</v>
      </c>
      <c r="C3554" s="2" t="s">
        <v>18</v>
      </c>
      <c r="D3554" s="2" t="s">
        <v>25</v>
      </c>
      <c r="E3554" s="2" t="s">
        <v>20</v>
      </c>
      <c r="F3554" s="2" t="n">
        <v>35</v>
      </c>
      <c r="G3554" s="2" t="s">
        <v>20</v>
      </c>
      <c r="H3554" s="2" t="s">
        <v>20</v>
      </c>
      <c r="I3554" s="2" t="s">
        <v>21</v>
      </c>
      <c r="J3554" s="2" t="n">
        <v>29</v>
      </c>
      <c r="K3554" s="2" t="s">
        <v>44</v>
      </c>
      <c r="L3554" s="2" t="n">
        <v>336</v>
      </c>
      <c r="M3554" s="2" t="n">
        <v>7</v>
      </c>
      <c r="N3554" s="2" t="n">
        <v>-1</v>
      </c>
      <c r="O3554" s="2" t="n">
        <v>0</v>
      </c>
      <c r="P3554" s="2" t="s">
        <v>23</v>
      </c>
      <c r="Q3554" s="2" t="s">
        <v>20</v>
      </c>
    </row>
    <row r="3555" customFormat="false" ht="15" hidden="false" customHeight="false" outlineLevel="0" collapsed="false">
      <c r="A3555" s="2" t="n">
        <v>68</v>
      </c>
      <c r="B3555" s="2" t="s">
        <v>48</v>
      </c>
      <c r="C3555" s="2" t="s">
        <v>18</v>
      </c>
      <c r="D3555" s="2" t="s">
        <v>25</v>
      </c>
      <c r="E3555" s="2" t="s">
        <v>20</v>
      </c>
      <c r="F3555" s="2" t="n">
        <v>19317</v>
      </c>
      <c r="G3555" s="2" t="s">
        <v>26</v>
      </c>
      <c r="H3555" s="2" t="s">
        <v>20</v>
      </c>
      <c r="I3555" s="2" t="s">
        <v>21</v>
      </c>
      <c r="J3555" s="2" t="n">
        <v>4</v>
      </c>
      <c r="K3555" s="2" t="s">
        <v>41</v>
      </c>
      <c r="L3555" s="2" t="n">
        <v>249</v>
      </c>
      <c r="M3555" s="2" t="n">
        <v>1</v>
      </c>
      <c r="N3555" s="2" t="n">
        <v>-1</v>
      </c>
      <c r="O3555" s="2" t="n">
        <v>0</v>
      </c>
      <c r="P3555" s="2" t="s">
        <v>23</v>
      </c>
      <c r="Q3555" s="2" t="s">
        <v>26</v>
      </c>
    </row>
    <row r="3556" customFormat="false" ht="15" hidden="false" customHeight="false" outlineLevel="0" collapsed="false">
      <c r="A3556" s="2" t="n">
        <v>43</v>
      </c>
      <c r="B3556" s="2" t="s">
        <v>38</v>
      </c>
      <c r="C3556" s="2" t="s">
        <v>18</v>
      </c>
      <c r="D3556" s="2" t="s">
        <v>25</v>
      </c>
      <c r="E3556" s="2" t="s">
        <v>20</v>
      </c>
      <c r="F3556" s="2" t="n">
        <v>50</v>
      </c>
      <c r="G3556" s="2" t="s">
        <v>20</v>
      </c>
      <c r="H3556" s="2" t="s">
        <v>20</v>
      </c>
      <c r="I3556" s="2" t="s">
        <v>23</v>
      </c>
      <c r="J3556" s="2" t="n">
        <v>28</v>
      </c>
      <c r="K3556" s="2" t="s">
        <v>27</v>
      </c>
      <c r="L3556" s="2" t="n">
        <v>63</v>
      </c>
      <c r="M3556" s="2" t="n">
        <v>1</v>
      </c>
      <c r="N3556" s="2" t="n">
        <v>-1</v>
      </c>
      <c r="O3556" s="2" t="n">
        <v>0</v>
      </c>
      <c r="P3556" s="2" t="s">
        <v>23</v>
      </c>
      <c r="Q3556" s="2" t="s">
        <v>20</v>
      </c>
    </row>
    <row r="3557" customFormat="false" ht="15" hidden="false" customHeight="false" outlineLevel="0" collapsed="false">
      <c r="A3557" s="2" t="n">
        <v>44</v>
      </c>
      <c r="B3557" s="2" t="s">
        <v>34</v>
      </c>
      <c r="C3557" s="2" t="s">
        <v>18</v>
      </c>
      <c r="D3557" s="2" t="s">
        <v>25</v>
      </c>
      <c r="E3557" s="2" t="s">
        <v>20</v>
      </c>
      <c r="F3557" s="2" t="n">
        <v>-674</v>
      </c>
      <c r="G3557" s="2" t="s">
        <v>26</v>
      </c>
      <c r="H3557" s="2" t="s">
        <v>20</v>
      </c>
      <c r="I3557" s="2" t="s">
        <v>23</v>
      </c>
      <c r="J3557" s="2" t="n">
        <v>5</v>
      </c>
      <c r="K3557" s="2" t="s">
        <v>27</v>
      </c>
      <c r="L3557" s="2" t="n">
        <v>257</v>
      </c>
      <c r="M3557" s="2" t="n">
        <v>1</v>
      </c>
      <c r="N3557" s="2" t="n">
        <v>-1</v>
      </c>
      <c r="O3557" s="2" t="n">
        <v>0</v>
      </c>
      <c r="P3557" s="2" t="s">
        <v>23</v>
      </c>
      <c r="Q3557" s="2" t="s">
        <v>20</v>
      </c>
    </row>
    <row r="3558" customFormat="false" ht="15" hidden="false" customHeight="false" outlineLevel="0" collapsed="false">
      <c r="A3558" s="2" t="n">
        <v>49</v>
      </c>
      <c r="B3558" s="2" t="s">
        <v>38</v>
      </c>
      <c r="C3558" s="2" t="s">
        <v>18</v>
      </c>
      <c r="D3558" s="2" t="s">
        <v>31</v>
      </c>
      <c r="E3558" s="2" t="s">
        <v>20</v>
      </c>
      <c r="F3558" s="2" t="n">
        <v>3726</v>
      </c>
      <c r="G3558" s="2" t="s">
        <v>20</v>
      </c>
      <c r="H3558" s="2" t="s">
        <v>20</v>
      </c>
      <c r="I3558" s="2" t="s">
        <v>21</v>
      </c>
      <c r="J3558" s="2" t="n">
        <v>5</v>
      </c>
      <c r="K3558" s="2" t="s">
        <v>41</v>
      </c>
      <c r="L3558" s="2" t="n">
        <v>875</v>
      </c>
      <c r="M3558" s="2" t="n">
        <v>2</v>
      </c>
      <c r="N3558" s="2" t="n">
        <v>-1</v>
      </c>
      <c r="O3558" s="2" t="n">
        <v>0</v>
      </c>
      <c r="P3558" s="2" t="s">
        <v>23</v>
      </c>
      <c r="Q3558" s="2" t="s">
        <v>26</v>
      </c>
    </row>
    <row r="3559" customFormat="false" ht="15" hidden="false" customHeight="false" outlineLevel="0" collapsed="false">
      <c r="A3559" s="2" t="n">
        <v>57</v>
      </c>
      <c r="B3559" s="2" t="s">
        <v>48</v>
      </c>
      <c r="C3559" s="2" t="s">
        <v>18</v>
      </c>
      <c r="D3559" s="2" t="s">
        <v>31</v>
      </c>
      <c r="E3559" s="2" t="s">
        <v>20</v>
      </c>
      <c r="F3559" s="2" t="n">
        <v>1180</v>
      </c>
      <c r="G3559" s="2" t="s">
        <v>26</v>
      </c>
      <c r="H3559" s="2" t="s">
        <v>26</v>
      </c>
      <c r="I3559" s="2" t="s">
        <v>23</v>
      </c>
      <c r="J3559" s="2" t="n">
        <v>14</v>
      </c>
      <c r="K3559" s="2" t="s">
        <v>27</v>
      </c>
      <c r="L3559" s="2" t="n">
        <v>191</v>
      </c>
      <c r="M3559" s="2" t="n">
        <v>2</v>
      </c>
      <c r="N3559" s="2" t="n">
        <v>-1</v>
      </c>
      <c r="O3559" s="2" t="n">
        <v>0</v>
      </c>
      <c r="P3559" s="2" t="s">
        <v>23</v>
      </c>
      <c r="Q3559" s="2" t="s">
        <v>20</v>
      </c>
    </row>
    <row r="3560" customFormat="false" ht="15" hidden="false" customHeight="false" outlineLevel="0" collapsed="false">
      <c r="A3560" s="2" t="n">
        <v>61</v>
      </c>
      <c r="B3560" s="2" t="s">
        <v>36</v>
      </c>
      <c r="C3560" s="2" t="s">
        <v>45</v>
      </c>
      <c r="D3560" s="2" t="s">
        <v>31</v>
      </c>
      <c r="E3560" s="2" t="s">
        <v>20</v>
      </c>
      <c r="F3560" s="2" t="n">
        <v>6610</v>
      </c>
      <c r="G3560" s="2" t="s">
        <v>20</v>
      </c>
      <c r="H3560" s="2" t="s">
        <v>20</v>
      </c>
      <c r="I3560" s="2" t="s">
        <v>21</v>
      </c>
      <c r="J3560" s="2" t="n">
        <v>24</v>
      </c>
      <c r="K3560" s="2" t="s">
        <v>35</v>
      </c>
      <c r="L3560" s="2" t="n">
        <v>481</v>
      </c>
      <c r="M3560" s="2" t="n">
        <v>2</v>
      </c>
      <c r="N3560" s="2" t="n">
        <v>-1</v>
      </c>
      <c r="O3560" s="2" t="n">
        <v>0</v>
      </c>
      <c r="P3560" s="2" t="s">
        <v>23</v>
      </c>
      <c r="Q3560" s="2" t="s">
        <v>26</v>
      </c>
    </row>
    <row r="3561" customFormat="false" ht="15" hidden="false" customHeight="false" outlineLevel="0" collapsed="false">
      <c r="A3561" s="2" t="n">
        <v>36</v>
      </c>
      <c r="B3561" s="2" t="s">
        <v>40</v>
      </c>
      <c r="C3561" s="2" t="s">
        <v>30</v>
      </c>
      <c r="D3561" s="2" t="s">
        <v>25</v>
      </c>
      <c r="E3561" s="2" t="s">
        <v>20</v>
      </c>
      <c r="F3561" s="2" t="n">
        <v>319</v>
      </c>
      <c r="G3561" s="2" t="s">
        <v>26</v>
      </c>
      <c r="H3561" s="2" t="s">
        <v>20</v>
      </c>
      <c r="I3561" s="2" t="s">
        <v>21</v>
      </c>
      <c r="J3561" s="2" t="n">
        <v>18</v>
      </c>
      <c r="K3561" s="2" t="s">
        <v>27</v>
      </c>
      <c r="L3561" s="2" t="n">
        <v>120</v>
      </c>
      <c r="M3561" s="2" t="n">
        <v>2</v>
      </c>
      <c r="N3561" s="2" t="n">
        <v>-1</v>
      </c>
      <c r="O3561" s="2" t="n">
        <v>0</v>
      </c>
      <c r="P3561" s="2" t="s">
        <v>23</v>
      </c>
      <c r="Q3561" s="2" t="s">
        <v>20</v>
      </c>
    </row>
    <row r="3562" customFormat="false" ht="15" hidden="false" customHeight="false" outlineLevel="0" collapsed="false">
      <c r="A3562" s="2" t="n">
        <v>31</v>
      </c>
      <c r="B3562" s="2" t="s">
        <v>34</v>
      </c>
      <c r="C3562" s="2" t="s">
        <v>18</v>
      </c>
      <c r="D3562" s="2" t="s">
        <v>25</v>
      </c>
      <c r="E3562" s="2" t="s">
        <v>20</v>
      </c>
      <c r="F3562" s="2" t="n">
        <v>1545</v>
      </c>
      <c r="G3562" s="2" t="s">
        <v>26</v>
      </c>
      <c r="H3562" s="2" t="s">
        <v>26</v>
      </c>
      <c r="I3562" s="2" t="s">
        <v>21</v>
      </c>
      <c r="J3562" s="2" t="n">
        <v>13</v>
      </c>
      <c r="K3562" s="2" t="s">
        <v>27</v>
      </c>
      <c r="L3562" s="2" t="n">
        <v>207</v>
      </c>
      <c r="M3562" s="2" t="n">
        <v>1</v>
      </c>
      <c r="N3562" s="2" t="n">
        <v>-1</v>
      </c>
      <c r="O3562" s="2" t="n">
        <v>0</v>
      </c>
      <c r="P3562" s="2" t="s">
        <v>23</v>
      </c>
      <c r="Q3562" s="2" t="s">
        <v>20</v>
      </c>
    </row>
    <row r="3563" customFormat="false" ht="15" hidden="false" customHeight="false" outlineLevel="0" collapsed="false">
      <c r="A3563" s="2" t="n">
        <v>51</v>
      </c>
      <c r="B3563" s="2" t="s">
        <v>38</v>
      </c>
      <c r="C3563" s="2" t="s">
        <v>18</v>
      </c>
      <c r="D3563" s="2" t="s">
        <v>31</v>
      </c>
      <c r="E3563" s="2" t="s">
        <v>20</v>
      </c>
      <c r="F3563" s="2" t="n">
        <v>1315</v>
      </c>
      <c r="G3563" s="2" t="s">
        <v>20</v>
      </c>
      <c r="H3563" s="2" t="s">
        <v>20</v>
      </c>
      <c r="I3563" s="2" t="s">
        <v>49</v>
      </c>
      <c r="J3563" s="2" t="n">
        <v>5</v>
      </c>
      <c r="K3563" s="2" t="s">
        <v>33</v>
      </c>
      <c r="L3563" s="2" t="n">
        <v>303</v>
      </c>
      <c r="M3563" s="2" t="n">
        <v>2</v>
      </c>
      <c r="N3563" s="2" t="n">
        <v>-1</v>
      </c>
      <c r="O3563" s="2" t="n">
        <v>0</v>
      </c>
      <c r="P3563" s="2" t="s">
        <v>23</v>
      </c>
      <c r="Q3563" s="2" t="s">
        <v>20</v>
      </c>
    </row>
    <row r="3564" customFormat="false" ht="15" hidden="false" customHeight="false" outlineLevel="0" collapsed="false">
      <c r="A3564" s="2" t="n">
        <v>31</v>
      </c>
      <c r="B3564" s="2" t="s">
        <v>38</v>
      </c>
      <c r="C3564" s="2" t="s">
        <v>30</v>
      </c>
      <c r="D3564" s="2" t="s">
        <v>31</v>
      </c>
      <c r="E3564" s="2" t="s">
        <v>20</v>
      </c>
      <c r="F3564" s="2" t="n">
        <v>424</v>
      </c>
      <c r="G3564" s="2" t="s">
        <v>20</v>
      </c>
      <c r="H3564" s="2" t="s">
        <v>20</v>
      </c>
      <c r="I3564" s="2" t="s">
        <v>21</v>
      </c>
      <c r="J3564" s="2" t="n">
        <v>21</v>
      </c>
      <c r="K3564" s="2" t="s">
        <v>41</v>
      </c>
      <c r="L3564" s="2" t="n">
        <v>93</v>
      </c>
      <c r="M3564" s="2" t="n">
        <v>2</v>
      </c>
      <c r="N3564" s="2" t="n">
        <v>-1</v>
      </c>
      <c r="O3564" s="2" t="n">
        <v>0</v>
      </c>
      <c r="P3564" s="2" t="s">
        <v>23</v>
      </c>
      <c r="Q3564" s="2" t="s">
        <v>20</v>
      </c>
    </row>
    <row r="3565" customFormat="false" ht="15" hidden="false" customHeight="false" outlineLevel="0" collapsed="false">
      <c r="A3565" s="2" t="n">
        <v>56</v>
      </c>
      <c r="B3565" s="2" t="s">
        <v>34</v>
      </c>
      <c r="C3565" s="2" t="s">
        <v>18</v>
      </c>
      <c r="D3565" s="2" t="s">
        <v>19</v>
      </c>
      <c r="E3565" s="2" t="s">
        <v>20</v>
      </c>
      <c r="F3565" s="2" t="n">
        <v>151</v>
      </c>
      <c r="G3565" s="2" t="s">
        <v>20</v>
      </c>
      <c r="H3565" s="2" t="s">
        <v>20</v>
      </c>
      <c r="I3565" s="2" t="s">
        <v>21</v>
      </c>
      <c r="J3565" s="2" t="n">
        <v>3</v>
      </c>
      <c r="K3565" s="2" t="s">
        <v>35</v>
      </c>
      <c r="L3565" s="2" t="n">
        <v>128</v>
      </c>
      <c r="M3565" s="2" t="n">
        <v>1</v>
      </c>
      <c r="N3565" s="2" t="n">
        <v>-1</v>
      </c>
      <c r="O3565" s="2" t="n">
        <v>0</v>
      </c>
      <c r="P3565" s="2" t="s">
        <v>23</v>
      </c>
      <c r="Q3565" s="2" t="s">
        <v>20</v>
      </c>
    </row>
    <row r="3566" customFormat="false" ht="15" hidden="false" customHeight="false" outlineLevel="0" collapsed="false">
      <c r="A3566" s="2" t="n">
        <v>30</v>
      </c>
      <c r="B3566" s="2" t="s">
        <v>38</v>
      </c>
      <c r="C3566" s="2" t="s">
        <v>30</v>
      </c>
      <c r="D3566" s="2" t="s">
        <v>31</v>
      </c>
      <c r="E3566" s="2" t="s">
        <v>20</v>
      </c>
      <c r="F3566" s="2" t="n">
        <v>-970</v>
      </c>
      <c r="G3566" s="2" t="s">
        <v>20</v>
      </c>
      <c r="H3566" s="2" t="s">
        <v>26</v>
      </c>
      <c r="I3566" s="2" t="s">
        <v>21</v>
      </c>
      <c r="J3566" s="2" t="n">
        <v>21</v>
      </c>
      <c r="K3566" s="2" t="s">
        <v>41</v>
      </c>
      <c r="L3566" s="2" t="n">
        <v>194</v>
      </c>
      <c r="M3566" s="2" t="n">
        <v>2</v>
      </c>
      <c r="N3566" s="2" t="n">
        <v>-1</v>
      </c>
      <c r="O3566" s="2" t="n">
        <v>0</v>
      </c>
      <c r="P3566" s="2" t="s">
        <v>23</v>
      </c>
      <c r="Q3566" s="2" t="s">
        <v>20</v>
      </c>
    </row>
    <row r="3567" customFormat="false" ht="15" hidden="false" customHeight="false" outlineLevel="0" collapsed="false">
      <c r="A3567" s="2" t="n">
        <v>38</v>
      </c>
      <c r="B3567" s="2" t="s">
        <v>24</v>
      </c>
      <c r="C3567" s="2" t="s">
        <v>18</v>
      </c>
      <c r="D3567" s="2" t="s">
        <v>25</v>
      </c>
      <c r="E3567" s="2" t="s">
        <v>20</v>
      </c>
      <c r="F3567" s="2" t="n">
        <v>-762</v>
      </c>
      <c r="G3567" s="2" t="s">
        <v>26</v>
      </c>
      <c r="H3567" s="2" t="s">
        <v>26</v>
      </c>
      <c r="I3567" s="2" t="s">
        <v>23</v>
      </c>
      <c r="J3567" s="2" t="n">
        <v>30</v>
      </c>
      <c r="K3567" s="2" t="s">
        <v>27</v>
      </c>
      <c r="L3567" s="2" t="n">
        <v>408</v>
      </c>
      <c r="M3567" s="2" t="n">
        <v>2</v>
      </c>
      <c r="N3567" s="2" t="n">
        <v>-1</v>
      </c>
      <c r="O3567" s="2" t="n">
        <v>0</v>
      </c>
      <c r="P3567" s="2" t="s">
        <v>23</v>
      </c>
      <c r="Q3567" s="2" t="s">
        <v>20</v>
      </c>
    </row>
    <row r="3568" customFormat="false" ht="15" hidden="false" customHeight="false" outlineLevel="0" collapsed="false">
      <c r="A3568" s="2" t="n">
        <v>35</v>
      </c>
      <c r="B3568" s="2" t="s">
        <v>24</v>
      </c>
      <c r="C3568" s="2" t="s">
        <v>18</v>
      </c>
      <c r="D3568" s="2" t="s">
        <v>25</v>
      </c>
      <c r="E3568" s="2" t="s">
        <v>20</v>
      </c>
      <c r="F3568" s="2" t="n">
        <v>181</v>
      </c>
      <c r="G3568" s="2" t="s">
        <v>26</v>
      </c>
      <c r="H3568" s="2" t="s">
        <v>20</v>
      </c>
      <c r="I3568" s="2" t="s">
        <v>21</v>
      </c>
      <c r="J3568" s="2" t="n">
        <v>31</v>
      </c>
      <c r="K3568" s="2" t="s">
        <v>44</v>
      </c>
      <c r="L3568" s="2" t="n">
        <v>5</v>
      </c>
      <c r="M3568" s="2" t="n">
        <v>3</v>
      </c>
      <c r="N3568" s="2" t="n">
        <v>-1</v>
      </c>
      <c r="O3568" s="2" t="n">
        <v>0</v>
      </c>
      <c r="P3568" s="2" t="s">
        <v>23</v>
      </c>
      <c r="Q3568" s="2" t="s">
        <v>20</v>
      </c>
    </row>
    <row r="3569" customFormat="false" ht="15" hidden="false" customHeight="false" outlineLevel="0" collapsed="false">
      <c r="A3569" s="2" t="n">
        <v>31</v>
      </c>
      <c r="B3569" s="2" t="s">
        <v>34</v>
      </c>
      <c r="C3569" s="2" t="s">
        <v>18</v>
      </c>
      <c r="D3569" s="2" t="s">
        <v>23</v>
      </c>
      <c r="E3569" s="2" t="s">
        <v>20</v>
      </c>
      <c r="F3569" s="2" t="n">
        <v>-120</v>
      </c>
      <c r="G3569" s="2" t="s">
        <v>26</v>
      </c>
      <c r="H3569" s="2" t="s">
        <v>20</v>
      </c>
      <c r="I3569" s="2" t="s">
        <v>21</v>
      </c>
      <c r="J3569" s="2" t="n">
        <v>17</v>
      </c>
      <c r="K3569" s="2" t="s">
        <v>44</v>
      </c>
      <c r="L3569" s="2" t="n">
        <v>231</v>
      </c>
      <c r="M3569" s="2" t="n">
        <v>2</v>
      </c>
      <c r="N3569" s="2" t="n">
        <v>-1</v>
      </c>
      <c r="O3569" s="2" t="n">
        <v>0</v>
      </c>
      <c r="P3569" s="2" t="s">
        <v>23</v>
      </c>
      <c r="Q3569" s="2" t="s">
        <v>20</v>
      </c>
    </row>
    <row r="3570" customFormat="false" ht="15" hidden="false" customHeight="false" outlineLevel="0" collapsed="false">
      <c r="A3570" s="2" t="n">
        <v>39</v>
      </c>
      <c r="B3570" s="2" t="s">
        <v>40</v>
      </c>
      <c r="C3570" s="2" t="s">
        <v>45</v>
      </c>
      <c r="D3570" s="2" t="s">
        <v>25</v>
      </c>
      <c r="E3570" s="2" t="s">
        <v>20</v>
      </c>
      <c r="F3570" s="2" t="n">
        <v>1022</v>
      </c>
      <c r="G3570" s="2" t="s">
        <v>26</v>
      </c>
      <c r="H3570" s="2" t="s">
        <v>20</v>
      </c>
      <c r="I3570" s="2" t="s">
        <v>23</v>
      </c>
      <c r="J3570" s="2" t="n">
        <v>20</v>
      </c>
      <c r="K3570" s="2" t="s">
        <v>33</v>
      </c>
      <c r="L3570" s="2" t="n">
        <v>20</v>
      </c>
      <c r="M3570" s="2" t="n">
        <v>3</v>
      </c>
      <c r="N3570" s="2" t="n">
        <v>-1</v>
      </c>
      <c r="O3570" s="2" t="n">
        <v>0</v>
      </c>
      <c r="P3570" s="2" t="s">
        <v>23</v>
      </c>
      <c r="Q3570" s="2" t="s">
        <v>20</v>
      </c>
    </row>
    <row r="3571" customFormat="false" ht="15" hidden="false" customHeight="false" outlineLevel="0" collapsed="false">
      <c r="A3571" s="2" t="n">
        <v>50</v>
      </c>
      <c r="B3571" s="2" t="s">
        <v>29</v>
      </c>
      <c r="C3571" s="2" t="s">
        <v>18</v>
      </c>
      <c r="D3571" s="2" t="s">
        <v>31</v>
      </c>
      <c r="E3571" s="2" t="s">
        <v>20</v>
      </c>
      <c r="F3571" s="2" t="n">
        <v>78</v>
      </c>
      <c r="G3571" s="2" t="s">
        <v>26</v>
      </c>
      <c r="H3571" s="2" t="s">
        <v>20</v>
      </c>
      <c r="I3571" s="2" t="s">
        <v>21</v>
      </c>
      <c r="J3571" s="2" t="n">
        <v>14</v>
      </c>
      <c r="K3571" s="2" t="s">
        <v>43</v>
      </c>
      <c r="L3571" s="2" t="n">
        <v>218</v>
      </c>
      <c r="M3571" s="2" t="n">
        <v>3</v>
      </c>
      <c r="N3571" s="2" t="n">
        <v>161</v>
      </c>
      <c r="O3571" s="2" t="n">
        <v>9</v>
      </c>
      <c r="P3571" s="2" t="s">
        <v>37</v>
      </c>
      <c r="Q3571" s="2" t="s">
        <v>20</v>
      </c>
    </row>
    <row r="3572" customFormat="false" ht="15" hidden="false" customHeight="false" outlineLevel="0" collapsed="false">
      <c r="A3572" s="2" t="n">
        <v>39</v>
      </c>
      <c r="B3572" s="2" t="s">
        <v>38</v>
      </c>
      <c r="C3572" s="2" t="s">
        <v>18</v>
      </c>
      <c r="D3572" s="2" t="s">
        <v>31</v>
      </c>
      <c r="E3572" s="2" t="s">
        <v>20</v>
      </c>
      <c r="F3572" s="2" t="n">
        <v>209</v>
      </c>
      <c r="G3572" s="2" t="s">
        <v>20</v>
      </c>
      <c r="H3572" s="2" t="s">
        <v>20</v>
      </c>
      <c r="I3572" s="2" t="s">
        <v>23</v>
      </c>
      <c r="J3572" s="2" t="n">
        <v>23</v>
      </c>
      <c r="K3572" s="2" t="s">
        <v>44</v>
      </c>
      <c r="L3572" s="2" t="n">
        <v>36</v>
      </c>
      <c r="M3572" s="2" t="n">
        <v>2</v>
      </c>
      <c r="N3572" s="2" t="n">
        <v>-1</v>
      </c>
      <c r="O3572" s="2" t="n">
        <v>0</v>
      </c>
      <c r="P3572" s="2" t="s">
        <v>23</v>
      </c>
      <c r="Q3572" s="2" t="s">
        <v>20</v>
      </c>
    </row>
    <row r="3573" customFormat="false" ht="15" hidden="false" customHeight="false" outlineLevel="0" collapsed="false">
      <c r="A3573" s="2" t="n">
        <v>26</v>
      </c>
      <c r="B3573" s="2" t="s">
        <v>40</v>
      </c>
      <c r="C3573" s="2" t="s">
        <v>18</v>
      </c>
      <c r="D3573" s="2" t="s">
        <v>25</v>
      </c>
      <c r="E3573" s="2" t="s">
        <v>20</v>
      </c>
      <c r="F3573" s="2" t="n">
        <v>2469</v>
      </c>
      <c r="G3573" s="2" t="s">
        <v>20</v>
      </c>
      <c r="H3573" s="2" t="s">
        <v>20</v>
      </c>
      <c r="I3573" s="2" t="s">
        <v>21</v>
      </c>
      <c r="J3573" s="2" t="n">
        <v>16</v>
      </c>
      <c r="K3573" s="2" t="s">
        <v>44</v>
      </c>
      <c r="L3573" s="2" t="n">
        <v>136</v>
      </c>
      <c r="M3573" s="2" t="n">
        <v>8</v>
      </c>
      <c r="N3573" s="2" t="n">
        <v>-1</v>
      </c>
      <c r="O3573" s="2" t="n">
        <v>0</v>
      </c>
      <c r="P3573" s="2" t="s">
        <v>23</v>
      </c>
      <c r="Q3573" s="2" t="s">
        <v>20</v>
      </c>
    </row>
    <row r="3574" customFormat="false" ht="15" hidden="false" customHeight="false" outlineLevel="0" collapsed="false">
      <c r="A3574" s="2" t="n">
        <v>55</v>
      </c>
      <c r="B3574" s="2" t="s">
        <v>38</v>
      </c>
      <c r="C3574" s="2" t="s">
        <v>18</v>
      </c>
      <c r="D3574" s="2" t="s">
        <v>25</v>
      </c>
      <c r="E3574" s="2" t="s">
        <v>20</v>
      </c>
      <c r="F3574" s="2" t="n">
        <v>0</v>
      </c>
      <c r="G3574" s="2" t="s">
        <v>20</v>
      </c>
      <c r="H3574" s="2" t="s">
        <v>20</v>
      </c>
      <c r="I3574" s="2" t="s">
        <v>21</v>
      </c>
      <c r="J3574" s="2" t="n">
        <v>19</v>
      </c>
      <c r="K3574" s="2" t="s">
        <v>46</v>
      </c>
      <c r="L3574" s="2" t="n">
        <v>336</v>
      </c>
      <c r="M3574" s="2" t="n">
        <v>1</v>
      </c>
      <c r="N3574" s="2" t="n">
        <v>-1</v>
      </c>
      <c r="O3574" s="2" t="n">
        <v>0</v>
      </c>
      <c r="P3574" s="2" t="s">
        <v>23</v>
      </c>
      <c r="Q3574" s="2" t="s">
        <v>20</v>
      </c>
    </row>
    <row r="3575" customFormat="false" ht="15" hidden="false" customHeight="false" outlineLevel="0" collapsed="false">
      <c r="A3575" s="2" t="n">
        <v>43</v>
      </c>
      <c r="B3575" s="2" t="s">
        <v>34</v>
      </c>
      <c r="C3575" s="2" t="s">
        <v>45</v>
      </c>
      <c r="D3575" s="2" t="s">
        <v>19</v>
      </c>
      <c r="E3575" s="2" t="s">
        <v>20</v>
      </c>
      <c r="F3575" s="2" t="n">
        <v>328</v>
      </c>
      <c r="G3575" s="2" t="s">
        <v>20</v>
      </c>
      <c r="H3575" s="2" t="s">
        <v>26</v>
      </c>
      <c r="I3575" s="2" t="s">
        <v>21</v>
      </c>
      <c r="J3575" s="2" t="n">
        <v>8</v>
      </c>
      <c r="K3575" s="2" t="s">
        <v>44</v>
      </c>
      <c r="L3575" s="2" t="n">
        <v>192</v>
      </c>
      <c r="M3575" s="2" t="n">
        <v>1</v>
      </c>
      <c r="N3575" s="2" t="n">
        <v>-1</v>
      </c>
      <c r="O3575" s="2" t="n">
        <v>0</v>
      </c>
      <c r="P3575" s="2" t="s">
        <v>23</v>
      </c>
      <c r="Q3575" s="2" t="s">
        <v>20</v>
      </c>
    </row>
    <row r="3576" customFormat="false" ht="15" hidden="false" customHeight="false" outlineLevel="0" collapsed="false">
      <c r="A3576" s="2" t="n">
        <v>34</v>
      </c>
      <c r="B3576" s="2" t="s">
        <v>47</v>
      </c>
      <c r="C3576" s="2" t="s">
        <v>18</v>
      </c>
      <c r="D3576" s="2" t="s">
        <v>31</v>
      </c>
      <c r="E3576" s="2" t="s">
        <v>20</v>
      </c>
      <c r="F3576" s="2" t="n">
        <v>0</v>
      </c>
      <c r="G3576" s="2" t="s">
        <v>20</v>
      </c>
      <c r="H3576" s="2" t="s">
        <v>20</v>
      </c>
      <c r="I3576" s="2" t="s">
        <v>21</v>
      </c>
      <c r="J3576" s="2" t="n">
        <v>26</v>
      </c>
      <c r="K3576" s="2" t="s">
        <v>27</v>
      </c>
      <c r="L3576" s="2" t="n">
        <v>141</v>
      </c>
      <c r="M3576" s="2" t="n">
        <v>1</v>
      </c>
      <c r="N3576" s="2" t="n">
        <v>188</v>
      </c>
      <c r="O3576" s="2" t="n">
        <v>1</v>
      </c>
      <c r="P3576" s="2" t="s">
        <v>28</v>
      </c>
      <c r="Q3576" s="2" t="s">
        <v>20</v>
      </c>
    </row>
    <row r="3577" customFormat="false" ht="15" hidden="false" customHeight="false" outlineLevel="0" collapsed="false">
      <c r="A3577" s="2" t="n">
        <v>51</v>
      </c>
      <c r="B3577" s="2" t="s">
        <v>36</v>
      </c>
      <c r="C3577" s="2" t="s">
        <v>18</v>
      </c>
      <c r="D3577" s="2" t="s">
        <v>19</v>
      </c>
      <c r="E3577" s="2" t="s">
        <v>20</v>
      </c>
      <c r="F3577" s="2" t="n">
        <v>307</v>
      </c>
      <c r="G3577" s="2" t="s">
        <v>26</v>
      </c>
      <c r="H3577" s="2" t="s">
        <v>26</v>
      </c>
      <c r="I3577" s="2" t="s">
        <v>23</v>
      </c>
      <c r="J3577" s="2" t="n">
        <v>17</v>
      </c>
      <c r="K3577" s="2" t="s">
        <v>33</v>
      </c>
      <c r="L3577" s="2" t="n">
        <v>65</v>
      </c>
      <c r="M3577" s="2" t="n">
        <v>2</v>
      </c>
      <c r="N3577" s="2" t="n">
        <v>-1</v>
      </c>
      <c r="O3577" s="2" t="n">
        <v>0</v>
      </c>
      <c r="P3577" s="2" t="s">
        <v>23</v>
      </c>
      <c r="Q3577" s="2" t="s">
        <v>20</v>
      </c>
    </row>
    <row r="3578" customFormat="false" ht="15" hidden="false" customHeight="false" outlineLevel="0" collapsed="false">
      <c r="A3578" s="2" t="n">
        <v>31</v>
      </c>
      <c r="B3578" s="2" t="s">
        <v>29</v>
      </c>
      <c r="C3578" s="2" t="s">
        <v>18</v>
      </c>
      <c r="D3578" s="2" t="s">
        <v>31</v>
      </c>
      <c r="E3578" s="2" t="s">
        <v>20</v>
      </c>
      <c r="F3578" s="2" t="n">
        <v>1384</v>
      </c>
      <c r="G3578" s="2" t="s">
        <v>26</v>
      </c>
      <c r="H3578" s="2" t="s">
        <v>20</v>
      </c>
      <c r="I3578" s="2" t="s">
        <v>21</v>
      </c>
      <c r="J3578" s="2" t="n">
        <v>30</v>
      </c>
      <c r="K3578" s="2" t="s">
        <v>43</v>
      </c>
      <c r="L3578" s="2" t="n">
        <v>203</v>
      </c>
      <c r="M3578" s="2" t="n">
        <v>2</v>
      </c>
      <c r="N3578" s="2" t="n">
        <v>2</v>
      </c>
      <c r="O3578" s="2" t="n">
        <v>3</v>
      </c>
      <c r="P3578" s="2" t="s">
        <v>37</v>
      </c>
      <c r="Q3578" s="2" t="s">
        <v>20</v>
      </c>
    </row>
    <row r="3579" customFormat="false" ht="15" hidden="false" customHeight="false" outlineLevel="0" collapsed="false">
      <c r="A3579" s="2" t="n">
        <v>32</v>
      </c>
      <c r="B3579" s="2" t="s">
        <v>29</v>
      </c>
      <c r="C3579" s="2" t="s">
        <v>18</v>
      </c>
      <c r="D3579" s="2" t="s">
        <v>31</v>
      </c>
      <c r="E3579" s="2" t="s">
        <v>20</v>
      </c>
      <c r="F3579" s="2" t="n">
        <v>0</v>
      </c>
      <c r="G3579" s="2" t="s">
        <v>20</v>
      </c>
      <c r="H3579" s="2" t="s">
        <v>20</v>
      </c>
      <c r="I3579" s="2" t="s">
        <v>21</v>
      </c>
      <c r="J3579" s="2" t="n">
        <v>26</v>
      </c>
      <c r="K3579" s="2" t="s">
        <v>41</v>
      </c>
      <c r="L3579" s="2" t="n">
        <v>104</v>
      </c>
      <c r="M3579" s="2" t="n">
        <v>9</v>
      </c>
      <c r="N3579" s="2" t="n">
        <v>-1</v>
      </c>
      <c r="O3579" s="2" t="n">
        <v>0</v>
      </c>
      <c r="P3579" s="2" t="s">
        <v>23</v>
      </c>
      <c r="Q3579" s="2" t="s">
        <v>20</v>
      </c>
    </row>
    <row r="3580" customFormat="false" ht="15" hidden="false" customHeight="false" outlineLevel="0" collapsed="false">
      <c r="A3580" s="2" t="n">
        <v>53</v>
      </c>
      <c r="B3580" s="2" t="s">
        <v>38</v>
      </c>
      <c r="C3580" s="2" t="s">
        <v>18</v>
      </c>
      <c r="D3580" s="2" t="s">
        <v>25</v>
      </c>
      <c r="E3580" s="2" t="s">
        <v>20</v>
      </c>
      <c r="F3580" s="2" t="n">
        <v>719</v>
      </c>
      <c r="G3580" s="2" t="s">
        <v>26</v>
      </c>
      <c r="H3580" s="2" t="s">
        <v>20</v>
      </c>
      <c r="I3580" s="2" t="s">
        <v>23</v>
      </c>
      <c r="J3580" s="2" t="n">
        <v>14</v>
      </c>
      <c r="K3580" s="2" t="s">
        <v>27</v>
      </c>
      <c r="L3580" s="2" t="n">
        <v>230</v>
      </c>
      <c r="M3580" s="2" t="n">
        <v>1</v>
      </c>
      <c r="N3580" s="2" t="n">
        <v>-1</v>
      </c>
      <c r="O3580" s="2" t="n">
        <v>0</v>
      </c>
      <c r="P3580" s="2" t="s">
        <v>23</v>
      </c>
      <c r="Q3580" s="2" t="s">
        <v>20</v>
      </c>
    </row>
    <row r="3581" customFormat="false" ht="15" hidden="false" customHeight="false" outlineLevel="0" collapsed="false">
      <c r="A3581" s="2" t="n">
        <v>44</v>
      </c>
      <c r="B3581" s="2" t="s">
        <v>29</v>
      </c>
      <c r="C3581" s="2" t="s">
        <v>45</v>
      </c>
      <c r="D3581" s="2" t="s">
        <v>31</v>
      </c>
      <c r="E3581" s="2" t="s">
        <v>20</v>
      </c>
      <c r="F3581" s="2" t="n">
        <v>0</v>
      </c>
      <c r="G3581" s="2" t="s">
        <v>20</v>
      </c>
      <c r="H3581" s="2" t="s">
        <v>20</v>
      </c>
      <c r="I3581" s="2" t="s">
        <v>21</v>
      </c>
      <c r="J3581" s="2" t="n">
        <v>10</v>
      </c>
      <c r="K3581" s="2" t="s">
        <v>41</v>
      </c>
      <c r="L3581" s="2" t="n">
        <v>71</v>
      </c>
      <c r="M3581" s="2" t="n">
        <v>1</v>
      </c>
      <c r="N3581" s="2" t="n">
        <v>-1</v>
      </c>
      <c r="O3581" s="2" t="n">
        <v>0</v>
      </c>
      <c r="P3581" s="2" t="s">
        <v>23</v>
      </c>
      <c r="Q3581" s="2" t="s">
        <v>20</v>
      </c>
    </row>
    <row r="3582" customFormat="false" ht="15" hidden="false" customHeight="false" outlineLevel="0" collapsed="false">
      <c r="A3582" s="2" t="n">
        <v>38</v>
      </c>
      <c r="B3582" s="2" t="s">
        <v>39</v>
      </c>
      <c r="C3582" s="2" t="s">
        <v>18</v>
      </c>
      <c r="D3582" s="2" t="s">
        <v>31</v>
      </c>
      <c r="E3582" s="2" t="s">
        <v>20</v>
      </c>
      <c r="F3582" s="2" t="n">
        <v>6704</v>
      </c>
      <c r="G3582" s="2" t="s">
        <v>26</v>
      </c>
      <c r="H3582" s="2" t="s">
        <v>20</v>
      </c>
      <c r="I3582" s="2" t="s">
        <v>23</v>
      </c>
      <c r="J3582" s="2" t="n">
        <v>21</v>
      </c>
      <c r="K3582" s="2" t="s">
        <v>27</v>
      </c>
      <c r="L3582" s="2" t="n">
        <v>205</v>
      </c>
      <c r="M3582" s="2" t="n">
        <v>2</v>
      </c>
      <c r="N3582" s="2" t="n">
        <v>-1</v>
      </c>
      <c r="O3582" s="2" t="n">
        <v>0</v>
      </c>
      <c r="P3582" s="2" t="s">
        <v>23</v>
      </c>
      <c r="Q3582" s="2" t="s">
        <v>20</v>
      </c>
    </row>
    <row r="3583" customFormat="false" ht="15" hidden="false" customHeight="false" outlineLevel="0" collapsed="false">
      <c r="A3583" s="2" t="n">
        <v>47</v>
      </c>
      <c r="B3583" s="2" t="s">
        <v>36</v>
      </c>
      <c r="C3583" s="2" t="s">
        <v>18</v>
      </c>
      <c r="D3583" s="2" t="s">
        <v>31</v>
      </c>
      <c r="E3583" s="2" t="s">
        <v>20</v>
      </c>
      <c r="F3583" s="2" t="n">
        <v>4543</v>
      </c>
      <c r="G3583" s="2" t="s">
        <v>26</v>
      </c>
      <c r="H3583" s="2" t="s">
        <v>20</v>
      </c>
      <c r="I3583" s="2" t="s">
        <v>23</v>
      </c>
      <c r="J3583" s="2" t="n">
        <v>14</v>
      </c>
      <c r="K3583" s="2" t="s">
        <v>27</v>
      </c>
      <c r="L3583" s="2" t="n">
        <v>162</v>
      </c>
      <c r="M3583" s="2" t="n">
        <v>1</v>
      </c>
      <c r="N3583" s="2" t="n">
        <v>-1</v>
      </c>
      <c r="O3583" s="2" t="n">
        <v>0</v>
      </c>
      <c r="P3583" s="2" t="s">
        <v>23</v>
      </c>
      <c r="Q3583" s="2" t="s">
        <v>20</v>
      </c>
    </row>
    <row r="3584" customFormat="false" ht="15" hidden="false" customHeight="false" outlineLevel="0" collapsed="false">
      <c r="A3584" s="2" t="n">
        <v>36</v>
      </c>
      <c r="B3584" s="2" t="s">
        <v>29</v>
      </c>
      <c r="C3584" s="2" t="s">
        <v>18</v>
      </c>
      <c r="D3584" s="2" t="s">
        <v>31</v>
      </c>
      <c r="E3584" s="2" t="s">
        <v>20</v>
      </c>
      <c r="F3584" s="2" t="n">
        <v>0</v>
      </c>
      <c r="G3584" s="2" t="s">
        <v>26</v>
      </c>
      <c r="H3584" s="2" t="s">
        <v>20</v>
      </c>
      <c r="I3584" s="2" t="s">
        <v>23</v>
      </c>
      <c r="J3584" s="2" t="n">
        <v>27</v>
      </c>
      <c r="K3584" s="2" t="s">
        <v>27</v>
      </c>
      <c r="L3584" s="2" t="n">
        <v>145</v>
      </c>
      <c r="M3584" s="2" t="n">
        <v>2</v>
      </c>
      <c r="N3584" s="2" t="n">
        <v>-1</v>
      </c>
      <c r="O3584" s="2" t="n">
        <v>0</v>
      </c>
      <c r="P3584" s="2" t="s">
        <v>23</v>
      </c>
      <c r="Q3584" s="2" t="s">
        <v>20</v>
      </c>
    </row>
    <row r="3585" customFormat="false" ht="15" hidden="false" customHeight="false" outlineLevel="0" collapsed="false">
      <c r="A3585" s="2" t="n">
        <v>30</v>
      </c>
      <c r="B3585" s="2" t="s">
        <v>29</v>
      </c>
      <c r="C3585" s="2" t="s">
        <v>30</v>
      </c>
      <c r="D3585" s="2" t="s">
        <v>31</v>
      </c>
      <c r="E3585" s="2" t="s">
        <v>20</v>
      </c>
      <c r="F3585" s="2" t="n">
        <v>149</v>
      </c>
      <c r="G3585" s="2" t="s">
        <v>26</v>
      </c>
      <c r="H3585" s="2" t="s">
        <v>20</v>
      </c>
      <c r="I3585" s="2" t="s">
        <v>23</v>
      </c>
      <c r="J3585" s="2" t="n">
        <v>3</v>
      </c>
      <c r="K3585" s="2" t="s">
        <v>33</v>
      </c>
      <c r="L3585" s="2" t="n">
        <v>220</v>
      </c>
      <c r="M3585" s="2" t="n">
        <v>2</v>
      </c>
      <c r="N3585" s="2" t="n">
        <v>-1</v>
      </c>
      <c r="O3585" s="2" t="n">
        <v>0</v>
      </c>
      <c r="P3585" s="2" t="s">
        <v>23</v>
      </c>
      <c r="Q3585" s="2" t="s">
        <v>20</v>
      </c>
    </row>
    <row r="3586" customFormat="false" ht="15" hidden="false" customHeight="false" outlineLevel="0" collapsed="false">
      <c r="A3586" s="2" t="n">
        <v>46</v>
      </c>
      <c r="B3586" s="2" t="s">
        <v>34</v>
      </c>
      <c r="C3586" s="2" t="s">
        <v>18</v>
      </c>
      <c r="D3586" s="2" t="s">
        <v>25</v>
      </c>
      <c r="E3586" s="2" t="s">
        <v>20</v>
      </c>
      <c r="F3586" s="2" t="n">
        <v>-1400</v>
      </c>
      <c r="G3586" s="2" t="s">
        <v>26</v>
      </c>
      <c r="H3586" s="2" t="s">
        <v>20</v>
      </c>
      <c r="I3586" s="2" t="s">
        <v>49</v>
      </c>
      <c r="J3586" s="2" t="n">
        <v>6</v>
      </c>
      <c r="K3586" s="2" t="s">
        <v>27</v>
      </c>
      <c r="L3586" s="2" t="n">
        <v>309</v>
      </c>
      <c r="M3586" s="2" t="n">
        <v>3</v>
      </c>
      <c r="N3586" s="2" t="n">
        <v>355</v>
      </c>
      <c r="O3586" s="2" t="n">
        <v>4</v>
      </c>
      <c r="P3586" s="2" t="s">
        <v>28</v>
      </c>
      <c r="Q3586" s="2" t="s">
        <v>20</v>
      </c>
    </row>
    <row r="3587" customFormat="false" ht="15" hidden="false" customHeight="false" outlineLevel="0" collapsed="false">
      <c r="A3587" s="2" t="n">
        <v>33</v>
      </c>
      <c r="B3587" s="2" t="s">
        <v>39</v>
      </c>
      <c r="C3587" s="2" t="s">
        <v>18</v>
      </c>
      <c r="D3587" s="2" t="s">
        <v>25</v>
      </c>
      <c r="E3587" s="2" t="s">
        <v>20</v>
      </c>
      <c r="F3587" s="2" t="n">
        <v>-118</v>
      </c>
      <c r="G3587" s="2" t="s">
        <v>26</v>
      </c>
      <c r="H3587" s="2" t="s">
        <v>26</v>
      </c>
      <c r="I3587" s="2" t="s">
        <v>23</v>
      </c>
      <c r="J3587" s="2" t="n">
        <v>27</v>
      </c>
      <c r="K3587" s="2" t="s">
        <v>27</v>
      </c>
      <c r="L3587" s="2" t="n">
        <v>421</v>
      </c>
      <c r="M3587" s="2" t="n">
        <v>3</v>
      </c>
      <c r="N3587" s="2" t="n">
        <v>-1</v>
      </c>
      <c r="O3587" s="2" t="n">
        <v>0</v>
      </c>
      <c r="P3587" s="2" t="s">
        <v>23</v>
      </c>
      <c r="Q3587" s="2" t="s">
        <v>20</v>
      </c>
    </row>
    <row r="3588" customFormat="false" ht="15" hidden="false" customHeight="false" outlineLevel="0" collapsed="false">
      <c r="A3588" s="2" t="n">
        <v>43</v>
      </c>
      <c r="B3588" s="2" t="s">
        <v>34</v>
      </c>
      <c r="C3588" s="2" t="s">
        <v>18</v>
      </c>
      <c r="D3588" s="2" t="s">
        <v>25</v>
      </c>
      <c r="E3588" s="2" t="s">
        <v>20</v>
      </c>
      <c r="F3588" s="2" t="n">
        <v>2160</v>
      </c>
      <c r="G3588" s="2" t="s">
        <v>20</v>
      </c>
      <c r="H3588" s="2" t="s">
        <v>20</v>
      </c>
      <c r="I3588" s="2" t="s">
        <v>21</v>
      </c>
      <c r="J3588" s="2" t="n">
        <v>8</v>
      </c>
      <c r="K3588" s="2" t="s">
        <v>51</v>
      </c>
      <c r="L3588" s="2" t="n">
        <v>261</v>
      </c>
      <c r="M3588" s="2" t="n">
        <v>1</v>
      </c>
      <c r="N3588" s="2" t="n">
        <v>98</v>
      </c>
      <c r="O3588" s="2" t="n">
        <v>1</v>
      </c>
      <c r="P3588" s="2" t="s">
        <v>50</v>
      </c>
      <c r="Q3588" s="2" t="s">
        <v>26</v>
      </c>
    </row>
    <row r="3589" customFormat="false" ht="15" hidden="false" customHeight="false" outlineLevel="0" collapsed="false">
      <c r="A3589" s="2" t="n">
        <v>38</v>
      </c>
      <c r="B3589" s="2" t="s">
        <v>29</v>
      </c>
      <c r="C3589" s="2" t="s">
        <v>18</v>
      </c>
      <c r="D3589" s="2" t="s">
        <v>31</v>
      </c>
      <c r="E3589" s="2" t="s">
        <v>20</v>
      </c>
      <c r="F3589" s="2" t="n">
        <v>3452</v>
      </c>
      <c r="G3589" s="2" t="s">
        <v>20</v>
      </c>
      <c r="H3589" s="2" t="s">
        <v>20</v>
      </c>
      <c r="I3589" s="2" t="s">
        <v>21</v>
      </c>
      <c r="J3589" s="2" t="n">
        <v>13</v>
      </c>
      <c r="K3589" s="2" t="s">
        <v>41</v>
      </c>
      <c r="L3589" s="2" t="n">
        <v>132</v>
      </c>
      <c r="M3589" s="2" t="n">
        <v>2</v>
      </c>
      <c r="N3589" s="2" t="n">
        <v>-1</v>
      </c>
      <c r="O3589" s="2" t="n">
        <v>0</v>
      </c>
      <c r="P3589" s="2" t="s">
        <v>23</v>
      </c>
      <c r="Q3589" s="2" t="s">
        <v>20</v>
      </c>
    </row>
    <row r="3590" customFormat="false" ht="15" hidden="false" customHeight="false" outlineLevel="0" collapsed="false">
      <c r="A3590" s="2" t="n">
        <v>27</v>
      </c>
      <c r="B3590" s="2" t="s">
        <v>38</v>
      </c>
      <c r="C3590" s="2" t="s">
        <v>30</v>
      </c>
      <c r="D3590" s="2" t="s">
        <v>25</v>
      </c>
      <c r="E3590" s="2" t="s">
        <v>20</v>
      </c>
      <c r="F3590" s="2" t="n">
        <v>842</v>
      </c>
      <c r="G3590" s="2" t="s">
        <v>20</v>
      </c>
      <c r="H3590" s="2" t="s">
        <v>20</v>
      </c>
      <c r="I3590" s="2" t="s">
        <v>21</v>
      </c>
      <c r="J3590" s="2" t="n">
        <v>30</v>
      </c>
      <c r="K3590" s="2" t="s">
        <v>44</v>
      </c>
      <c r="L3590" s="2" t="n">
        <v>273</v>
      </c>
      <c r="M3590" s="2" t="n">
        <v>1</v>
      </c>
      <c r="N3590" s="2" t="n">
        <v>91</v>
      </c>
      <c r="O3590" s="2" t="n">
        <v>1</v>
      </c>
      <c r="P3590" s="2" t="s">
        <v>37</v>
      </c>
      <c r="Q3590" s="2" t="s">
        <v>20</v>
      </c>
    </row>
    <row r="3591" customFormat="false" ht="15" hidden="false" customHeight="false" outlineLevel="0" collapsed="false">
      <c r="A3591" s="2" t="n">
        <v>38</v>
      </c>
      <c r="B3591" s="2" t="s">
        <v>29</v>
      </c>
      <c r="C3591" s="2" t="s">
        <v>18</v>
      </c>
      <c r="D3591" s="2" t="s">
        <v>23</v>
      </c>
      <c r="E3591" s="2" t="s">
        <v>20</v>
      </c>
      <c r="F3591" s="2" t="n">
        <v>3576</v>
      </c>
      <c r="G3591" s="2" t="s">
        <v>20</v>
      </c>
      <c r="H3591" s="2" t="s">
        <v>20</v>
      </c>
      <c r="I3591" s="2" t="s">
        <v>21</v>
      </c>
      <c r="J3591" s="2" t="n">
        <v>25</v>
      </c>
      <c r="K3591" s="2" t="s">
        <v>46</v>
      </c>
      <c r="L3591" s="2" t="n">
        <v>349</v>
      </c>
      <c r="M3591" s="2" t="n">
        <v>2</v>
      </c>
      <c r="N3591" s="2" t="n">
        <v>183</v>
      </c>
      <c r="O3591" s="2" t="n">
        <v>1</v>
      </c>
      <c r="P3591" s="2" t="s">
        <v>50</v>
      </c>
      <c r="Q3591" s="2" t="s">
        <v>26</v>
      </c>
    </row>
    <row r="3592" customFormat="false" ht="15" hidden="false" customHeight="false" outlineLevel="0" collapsed="false">
      <c r="A3592" s="2" t="n">
        <v>41</v>
      </c>
      <c r="B3592" s="2" t="s">
        <v>17</v>
      </c>
      <c r="C3592" s="2" t="s">
        <v>18</v>
      </c>
      <c r="D3592" s="2" t="s">
        <v>31</v>
      </c>
      <c r="E3592" s="2" t="s">
        <v>20</v>
      </c>
      <c r="F3592" s="2" t="n">
        <v>1666</v>
      </c>
      <c r="G3592" s="2" t="s">
        <v>20</v>
      </c>
      <c r="H3592" s="2" t="s">
        <v>20</v>
      </c>
      <c r="I3592" s="2" t="s">
        <v>23</v>
      </c>
      <c r="J3592" s="2" t="n">
        <v>9</v>
      </c>
      <c r="K3592" s="2" t="s">
        <v>33</v>
      </c>
      <c r="L3592" s="2" t="n">
        <v>291</v>
      </c>
      <c r="M3592" s="2" t="n">
        <v>3</v>
      </c>
      <c r="N3592" s="2" t="n">
        <v>-1</v>
      </c>
      <c r="O3592" s="2" t="n">
        <v>0</v>
      </c>
      <c r="P3592" s="2" t="s">
        <v>23</v>
      </c>
      <c r="Q3592" s="2" t="s">
        <v>20</v>
      </c>
    </row>
    <row r="3593" customFormat="false" ht="15" hidden="false" customHeight="false" outlineLevel="0" collapsed="false">
      <c r="A3593" s="2" t="n">
        <v>29</v>
      </c>
      <c r="B3593" s="2" t="s">
        <v>38</v>
      </c>
      <c r="C3593" s="2" t="s">
        <v>18</v>
      </c>
      <c r="D3593" s="2" t="s">
        <v>25</v>
      </c>
      <c r="E3593" s="2" t="s">
        <v>20</v>
      </c>
      <c r="F3593" s="2" t="n">
        <v>0</v>
      </c>
      <c r="G3593" s="2" t="s">
        <v>26</v>
      </c>
      <c r="H3593" s="2" t="s">
        <v>20</v>
      </c>
      <c r="I3593" s="2" t="s">
        <v>21</v>
      </c>
      <c r="J3593" s="2" t="n">
        <v>28</v>
      </c>
      <c r="K3593" s="2" t="s">
        <v>44</v>
      </c>
      <c r="L3593" s="2" t="n">
        <v>83</v>
      </c>
      <c r="M3593" s="2" t="n">
        <v>6</v>
      </c>
      <c r="N3593" s="2" t="n">
        <v>-1</v>
      </c>
      <c r="O3593" s="2" t="n">
        <v>0</v>
      </c>
      <c r="P3593" s="2" t="s">
        <v>23</v>
      </c>
      <c r="Q3593" s="2" t="s">
        <v>20</v>
      </c>
    </row>
    <row r="3594" customFormat="false" ht="15" hidden="false" customHeight="false" outlineLevel="0" collapsed="false">
      <c r="A3594" s="2" t="n">
        <v>39</v>
      </c>
      <c r="B3594" s="2" t="s">
        <v>24</v>
      </c>
      <c r="C3594" s="2" t="s">
        <v>18</v>
      </c>
      <c r="D3594" s="2" t="s">
        <v>25</v>
      </c>
      <c r="E3594" s="2" t="s">
        <v>20</v>
      </c>
      <c r="F3594" s="2" t="n">
        <v>0</v>
      </c>
      <c r="G3594" s="2" t="s">
        <v>26</v>
      </c>
      <c r="H3594" s="2" t="s">
        <v>20</v>
      </c>
      <c r="I3594" s="2" t="s">
        <v>23</v>
      </c>
      <c r="J3594" s="2" t="n">
        <v>20</v>
      </c>
      <c r="K3594" s="2" t="s">
        <v>27</v>
      </c>
      <c r="L3594" s="2" t="n">
        <v>793</v>
      </c>
      <c r="M3594" s="2" t="n">
        <v>2</v>
      </c>
      <c r="N3594" s="2" t="n">
        <v>-1</v>
      </c>
      <c r="O3594" s="2" t="n">
        <v>0</v>
      </c>
      <c r="P3594" s="2" t="s">
        <v>23</v>
      </c>
      <c r="Q3594" s="2" t="s">
        <v>20</v>
      </c>
    </row>
    <row r="3595" customFormat="false" ht="15" hidden="false" customHeight="false" outlineLevel="0" collapsed="false">
      <c r="A3595" s="2" t="n">
        <v>42</v>
      </c>
      <c r="B3595" s="2" t="s">
        <v>34</v>
      </c>
      <c r="C3595" s="2" t="s">
        <v>30</v>
      </c>
      <c r="D3595" s="2" t="s">
        <v>19</v>
      </c>
      <c r="E3595" s="2" t="s">
        <v>20</v>
      </c>
      <c r="F3595" s="2" t="n">
        <v>1628</v>
      </c>
      <c r="G3595" s="2" t="s">
        <v>26</v>
      </c>
      <c r="H3595" s="2" t="s">
        <v>20</v>
      </c>
      <c r="I3595" s="2" t="s">
        <v>21</v>
      </c>
      <c r="J3595" s="2" t="n">
        <v>5</v>
      </c>
      <c r="K3595" s="2" t="s">
        <v>35</v>
      </c>
      <c r="L3595" s="2" t="n">
        <v>119</v>
      </c>
      <c r="M3595" s="2" t="n">
        <v>1</v>
      </c>
      <c r="N3595" s="2" t="n">
        <v>195</v>
      </c>
      <c r="O3595" s="2" t="n">
        <v>8</v>
      </c>
      <c r="P3595" s="2" t="s">
        <v>50</v>
      </c>
      <c r="Q3595" s="2" t="s">
        <v>20</v>
      </c>
    </row>
    <row r="3596" customFormat="false" ht="15" hidden="false" customHeight="false" outlineLevel="0" collapsed="false">
      <c r="A3596" s="2" t="n">
        <v>47</v>
      </c>
      <c r="B3596" s="2" t="s">
        <v>24</v>
      </c>
      <c r="C3596" s="2" t="s">
        <v>18</v>
      </c>
      <c r="D3596" s="2" t="s">
        <v>25</v>
      </c>
      <c r="E3596" s="2" t="s">
        <v>20</v>
      </c>
      <c r="F3596" s="2" t="n">
        <v>51</v>
      </c>
      <c r="G3596" s="2" t="s">
        <v>26</v>
      </c>
      <c r="H3596" s="2" t="s">
        <v>26</v>
      </c>
      <c r="I3596" s="2" t="s">
        <v>23</v>
      </c>
      <c r="J3596" s="2" t="n">
        <v>16</v>
      </c>
      <c r="K3596" s="2" t="s">
        <v>27</v>
      </c>
      <c r="L3596" s="2" t="n">
        <v>312</v>
      </c>
      <c r="M3596" s="2" t="n">
        <v>1</v>
      </c>
      <c r="N3596" s="2" t="n">
        <v>-1</v>
      </c>
      <c r="O3596" s="2" t="n">
        <v>0</v>
      </c>
      <c r="P3596" s="2" t="s">
        <v>23</v>
      </c>
      <c r="Q3596" s="2" t="s">
        <v>20</v>
      </c>
    </row>
    <row r="3597" customFormat="false" ht="15" hidden="false" customHeight="false" outlineLevel="0" collapsed="false">
      <c r="A3597" s="2" t="n">
        <v>30</v>
      </c>
      <c r="B3597" s="2" t="s">
        <v>34</v>
      </c>
      <c r="C3597" s="2" t="s">
        <v>30</v>
      </c>
      <c r="D3597" s="2" t="s">
        <v>25</v>
      </c>
      <c r="E3597" s="2" t="s">
        <v>26</v>
      </c>
      <c r="F3597" s="2" t="n">
        <v>447</v>
      </c>
      <c r="G3597" s="2" t="s">
        <v>20</v>
      </c>
      <c r="H3597" s="2" t="s">
        <v>20</v>
      </c>
      <c r="I3597" s="2" t="s">
        <v>23</v>
      </c>
      <c r="J3597" s="2" t="n">
        <v>14</v>
      </c>
      <c r="K3597" s="2" t="s">
        <v>27</v>
      </c>
      <c r="L3597" s="2" t="n">
        <v>103</v>
      </c>
      <c r="M3597" s="2" t="n">
        <v>6</v>
      </c>
      <c r="N3597" s="2" t="n">
        <v>-1</v>
      </c>
      <c r="O3597" s="2" t="n">
        <v>0</v>
      </c>
      <c r="P3597" s="2" t="s">
        <v>23</v>
      </c>
      <c r="Q3597" s="2" t="s">
        <v>20</v>
      </c>
    </row>
    <row r="3598" customFormat="false" ht="15" hidden="false" customHeight="false" outlineLevel="0" collapsed="false">
      <c r="A3598" s="2" t="n">
        <v>34</v>
      </c>
      <c r="B3598" s="2" t="s">
        <v>40</v>
      </c>
      <c r="C3598" s="2" t="s">
        <v>18</v>
      </c>
      <c r="D3598" s="2" t="s">
        <v>25</v>
      </c>
      <c r="E3598" s="2" t="s">
        <v>20</v>
      </c>
      <c r="F3598" s="2" t="n">
        <v>396</v>
      </c>
      <c r="G3598" s="2" t="s">
        <v>26</v>
      </c>
      <c r="H3598" s="2" t="s">
        <v>20</v>
      </c>
      <c r="I3598" s="2" t="s">
        <v>21</v>
      </c>
      <c r="J3598" s="2" t="n">
        <v>16</v>
      </c>
      <c r="K3598" s="2" t="s">
        <v>44</v>
      </c>
      <c r="L3598" s="2" t="n">
        <v>101</v>
      </c>
      <c r="M3598" s="2" t="n">
        <v>3</v>
      </c>
      <c r="N3598" s="2" t="n">
        <v>-1</v>
      </c>
      <c r="O3598" s="2" t="n">
        <v>0</v>
      </c>
      <c r="P3598" s="2" t="s">
        <v>23</v>
      </c>
      <c r="Q3598" s="2" t="s">
        <v>20</v>
      </c>
    </row>
    <row r="3599" customFormat="false" ht="15" hidden="false" customHeight="false" outlineLevel="0" collapsed="false">
      <c r="A3599" s="2" t="n">
        <v>45</v>
      </c>
      <c r="B3599" s="2" t="s">
        <v>47</v>
      </c>
      <c r="C3599" s="2" t="s">
        <v>18</v>
      </c>
      <c r="D3599" s="2" t="s">
        <v>19</v>
      </c>
      <c r="E3599" s="2" t="s">
        <v>20</v>
      </c>
      <c r="F3599" s="2" t="n">
        <v>4994</v>
      </c>
      <c r="G3599" s="2" t="s">
        <v>20</v>
      </c>
      <c r="H3599" s="2" t="s">
        <v>20</v>
      </c>
      <c r="I3599" s="2" t="s">
        <v>23</v>
      </c>
      <c r="J3599" s="2" t="n">
        <v>20</v>
      </c>
      <c r="K3599" s="2" t="s">
        <v>33</v>
      </c>
      <c r="L3599" s="2" t="n">
        <v>48</v>
      </c>
      <c r="M3599" s="2" t="n">
        <v>1</v>
      </c>
      <c r="N3599" s="2" t="n">
        <v>-1</v>
      </c>
      <c r="O3599" s="2" t="n">
        <v>0</v>
      </c>
      <c r="P3599" s="2" t="s">
        <v>23</v>
      </c>
      <c r="Q3599" s="2" t="s">
        <v>20</v>
      </c>
    </row>
    <row r="3600" customFormat="false" ht="15" hidden="false" customHeight="false" outlineLevel="0" collapsed="false">
      <c r="A3600" s="2" t="n">
        <v>43</v>
      </c>
      <c r="B3600" s="2" t="s">
        <v>40</v>
      </c>
      <c r="C3600" s="2" t="s">
        <v>18</v>
      </c>
      <c r="D3600" s="2" t="s">
        <v>25</v>
      </c>
      <c r="E3600" s="2" t="s">
        <v>20</v>
      </c>
      <c r="F3600" s="2" t="n">
        <v>3215</v>
      </c>
      <c r="G3600" s="2" t="s">
        <v>26</v>
      </c>
      <c r="H3600" s="2" t="s">
        <v>20</v>
      </c>
      <c r="I3600" s="2" t="s">
        <v>21</v>
      </c>
      <c r="J3600" s="2" t="n">
        <v>21</v>
      </c>
      <c r="K3600" s="2" t="s">
        <v>44</v>
      </c>
      <c r="L3600" s="2" t="n">
        <v>228</v>
      </c>
      <c r="M3600" s="2" t="n">
        <v>3</v>
      </c>
      <c r="N3600" s="2" t="n">
        <v>-1</v>
      </c>
      <c r="O3600" s="2" t="n">
        <v>0</v>
      </c>
      <c r="P3600" s="2" t="s">
        <v>23</v>
      </c>
      <c r="Q3600" s="2" t="s">
        <v>20</v>
      </c>
    </row>
    <row r="3601" customFormat="false" ht="15" hidden="false" customHeight="false" outlineLevel="0" collapsed="false">
      <c r="A3601" s="2" t="n">
        <v>59</v>
      </c>
      <c r="B3601" s="2" t="s">
        <v>34</v>
      </c>
      <c r="C3601" s="2" t="s">
        <v>18</v>
      </c>
      <c r="D3601" s="2" t="s">
        <v>19</v>
      </c>
      <c r="E3601" s="2" t="s">
        <v>20</v>
      </c>
      <c r="F3601" s="2" t="n">
        <v>2814</v>
      </c>
      <c r="G3601" s="2" t="s">
        <v>20</v>
      </c>
      <c r="H3601" s="2" t="s">
        <v>20</v>
      </c>
      <c r="I3601" s="2" t="s">
        <v>23</v>
      </c>
      <c r="J3601" s="2" t="n">
        <v>20</v>
      </c>
      <c r="K3601" s="2" t="s">
        <v>33</v>
      </c>
      <c r="L3601" s="2" t="n">
        <v>81</v>
      </c>
      <c r="M3601" s="2" t="n">
        <v>3</v>
      </c>
      <c r="N3601" s="2" t="n">
        <v>-1</v>
      </c>
      <c r="O3601" s="2" t="n">
        <v>0</v>
      </c>
      <c r="P3601" s="2" t="s">
        <v>23</v>
      </c>
      <c r="Q3601" s="2" t="s">
        <v>20</v>
      </c>
    </row>
    <row r="3602" customFormat="false" ht="15" hidden="false" customHeight="false" outlineLevel="0" collapsed="false">
      <c r="A3602" s="2" t="n">
        <v>50</v>
      </c>
      <c r="B3602" s="2" t="s">
        <v>38</v>
      </c>
      <c r="C3602" s="2" t="s">
        <v>18</v>
      </c>
      <c r="D3602" s="2" t="s">
        <v>25</v>
      </c>
      <c r="E3602" s="2" t="s">
        <v>20</v>
      </c>
      <c r="F3602" s="2" t="n">
        <v>0</v>
      </c>
      <c r="G3602" s="2" t="s">
        <v>20</v>
      </c>
      <c r="H3602" s="2" t="s">
        <v>20</v>
      </c>
      <c r="I3602" s="2" t="s">
        <v>21</v>
      </c>
      <c r="J3602" s="2" t="n">
        <v>7</v>
      </c>
      <c r="K3602" s="2" t="s">
        <v>44</v>
      </c>
      <c r="L3602" s="2" t="n">
        <v>152</v>
      </c>
      <c r="M3602" s="2" t="n">
        <v>2</v>
      </c>
      <c r="N3602" s="2" t="n">
        <v>-1</v>
      </c>
      <c r="O3602" s="2" t="n">
        <v>0</v>
      </c>
      <c r="P3602" s="2" t="s">
        <v>23</v>
      </c>
      <c r="Q3602" s="2" t="s">
        <v>20</v>
      </c>
    </row>
    <row r="3603" customFormat="false" ht="15" hidden="false" customHeight="false" outlineLevel="0" collapsed="false">
      <c r="A3603" s="2" t="n">
        <v>39</v>
      </c>
      <c r="B3603" s="2" t="s">
        <v>34</v>
      </c>
      <c r="C3603" s="2" t="s">
        <v>18</v>
      </c>
      <c r="D3603" s="2" t="s">
        <v>25</v>
      </c>
      <c r="E3603" s="2" t="s">
        <v>20</v>
      </c>
      <c r="F3603" s="2" t="n">
        <v>293</v>
      </c>
      <c r="G3603" s="2" t="s">
        <v>26</v>
      </c>
      <c r="H3603" s="2" t="s">
        <v>20</v>
      </c>
      <c r="I3603" s="2" t="s">
        <v>23</v>
      </c>
      <c r="J3603" s="2" t="n">
        <v>23</v>
      </c>
      <c r="K3603" s="2" t="s">
        <v>27</v>
      </c>
      <c r="L3603" s="2" t="n">
        <v>160</v>
      </c>
      <c r="M3603" s="2" t="n">
        <v>3</v>
      </c>
      <c r="N3603" s="2" t="n">
        <v>-1</v>
      </c>
      <c r="O3603" s="2" t="n">
        <v>0</v>
      </c>
      <c r="P3603" s="2" t="s">
        <v>23</v>
      </c>
      <c r="Q3603" s="2" t="s">
        <v>20</v>
      </c>
    </row>
    <row r="3604" customFormat="false" ht="15" hidden="false" customHeight="false" outlineLevel="0" collapsed="false">
      <c r="A3604" s="2" t="n">
        <v>36</v>
      </c>
      <c r="B3604" s="2" t="s">
        <v>38</v>
      </c>
      <c r="C3604" s="2" t="s">
        <v>18</v>
      </c>
      <c r="D3604" s="2" t="s">
        <v>25</v>
      </c>
      <c r="E3604" s="2" t="s">
        <v>20</v>
      </c>
      <c r="F3604" s="2" t="n">
        <v>474</v>
      </c>
      <c r="G3604" s="2" t="s">
        <v>26</v>
      </c>
      <c r="H3604" s="2" t="s">
        <v>20</v>
      </c>
      <c r="I3604" s="2" t="s">
        <v>23</v>
      </c>
      <c r="J3604" s="2" t="n">
        <v>27</v>
      </c>
      <c r="K3604" s="2" t="s">
        <v>27</v>
      </c>
      <c r="L3604" s="2" t="n">
        <v>59</v>
      </c>
      <c r="M3604" s="2" t="n">
        <v>1</v>
      </c>
      <c r="N3604" s="2" t="n">
        <v>-1</v>
      </c>
      <c r="O3604" s="2" t="n">
        <v>0</v>
      </c>
      <c r="P3604" s="2" t="s">
        <v>23</v>
      </c>
      <c r="Q3604" s="2" t="s">
        <v>20</v>
      </c>
    </row>
    <row r="3605" customFormat="false" ht="15" hidden="false" customHeight="false" outlineLevel="0" collapsed="false">
      <c r="A3605" s="2" t="n">
        <v>44</v>
      </c>
      <c r="B3605" s="2" t="s">
        <v>34</v>
      </c>
      <c r="C3605" s="2" t="s">
        <v>18</v>
      </c>
      <c r="D3605" s="2" t="s">
        <v>25</v>
      </c>
      <c r="E3605" s="2" t="s">
        <v>20</v>
      </c>
      <c r="F3605" s="2" t="n">
        <v>16178</v>
      </c>
      <c r="G3605" s="2" t="s">
        <v>26</v>
      </c>
      <c r="H3605" s="2" t="s">
        <v>20</v>
      </c>
      <c r="I3605" s="2" t="s">
        <v>21</v>
      </c>
      <c r="J3605" s="2" t="n">
        <v>21</v>
      </c>
      <c r="K3605" s="2" t="s">
        <v>46</v>
      </c>
      <c r="L3605" s="2" t="n">
        <v>297</v>
      </c>
      <c r="M3605" s="2" t="n">
        <v>1</v>
      </c>
      <c r="N3605" s="2" t="n">
        <v>-1</v>
      </c>
      <c r="O3605" s="2" t="n">
        <v>0</v>
      </c>
      <c r="P3605" s="2" t="s">
        <v>23</v>
      </c>
      <c r="Q3605" s="2" t="s">
        <v>20</v>
      </c>
    </row>
    <row r="3606" customFormat="false" ht="15" hidden="false" customHeight="false" outlineLevel="0" collapsed="false">
      <c r="A3606" s="2" t="n">
        <v>36</v>
      </c>
      <c r="B3606" s="2" t="s">
        <v>38</v>
      </c>
      <c r="C3606" s="2" t="s">
        <v>18</v>
      </c>
      <c r="D3606" s="2" t="s">
        <v>31</v>
      </c>
      <c r="E3606" s="2" t="s">
        <v>20</v>
      </c>
      <c r="F3606" s="2" t="n">
        <v>0</v>
      </c>
      <c r="G3606" s="2" t="s">
        <v>20</v>
      </c>
      <c r="H3606" s="2" t="s">
        <v>20</v>
      </c>
      <c r="I3606" s="2" t="s">
        <v>21</v>
      </c>
      <c r="J3606" s="2" t="n">
        <v>22</v>
      </c>
      <c r="K3606" s="2" t="s">
        <v>41</v>
      </c>
      <c r="L3606" s="2" t="n">
        <v>147</v>
      </c>
      <c r="M3606" s="2" t="n">
        <v>2</v>
      </c>
      <c r="N3606" s="2" t="n">
        <v>-1</v>
      </c>
      <c r="O3606" s="2" t="n">
        <v>0</v>
      </c>
      <c r="P3606" s="2" t="s">
        <v>23</v>
      </c>
      <c r="Q3606" s="2" t="s">
        <v>20</v>
      </c>
    </row>
    <row r="3607" customFormat="false" ht="15" hidden="false" customHeight="false" outlineLevel="0" collapsed="false">
      <c r="A3607" s="2" t="n">
        <v>27</v>
      </c>
      <c r="B3607" s="2" t="s">
        <v>29</v>
      </c>
      <c r="C3607" s="2" t="s">
        <v>30</v>
      </c>
      <c r="D3607" s="2" t="s">
        <v>31</v>
      </c>
      <c r="E3607" s="2" t="s">
        <v>20</v>
      </c>
      <c r="F3607" s="2" t="n">
        <v>88</v>
      </c>
      <c r="G3607" s="2" t="s">
        <v>20</v>
      </c>
      <c r="H3607" s="2" t="s">
        <v>20</v>
      </c>
      <c r="I3607" s="2" t="s">
        <v>21</v>
      </c>
      <c r="J3607" s="2" t="n">
        <v>4</v>
      </c>
      <c r="K3607" s="2" t="s">
        <v>27</v>
      </c>
      <c r="L3607" s="2" t="n">
        <v>143</v>
      </c>
      <c r="M3607" s="2" t="n">
        <v>1</v>
      </c>
      <c r="N3607" s="2" t="n">
        <v>-1</v>
      </c>
      <c r="O3607" s="2" t="n">
        <v>0</v>
      </c>
      <c r="P3607" s="2" t="s">
        <v>23</v>
      </c>
      <c r="Q3607" s="2" t="s">
        <v>20</v>
      </c>
    </row>
    <row r="3608" customFormat="false" ht="15" hidden="false" customHeight="false" outlineLevel="0" collapsed="false">
      <c r="A3608" s="2" t="n">
        <v>29</v>
      </c>
      <c r="B3608" s="2" t="s">
        <v>24</v>
      </c>
      <c r="C3608" s="2" t="s">
        <v>18</v>
      </c>
      <c r="D3608" s="2" t="s">
        <v>25</v>
      </c>
      <c r="E3608" s="2" t="s">
        <v>20</v>
      </c>
      <c r="F3608" s="2" t="n">
        <v>308</v>
      </c>
      <c r="G3608" s="2" t="s">
        <v>26</v>
      </c>
      <c r="H3608" s="2" t="s">
        <v>20</v>
      </c>
      <c r="I3608" s="2" t="s">
        <v>23</v>
      </c>
      <c r="J3608" s="2" t="n">
        <v>28</v>
      </c>
      <c r="K3608" s="2" t="s">
        <v>27</v>
      </c>
      <c r="L3608" s="2" t="n">
        <v>75</v>
      </c>
      <c r="M3608" s="2" t="n">
        <v>1</v>
      </c>
      <c r="N3608" s="2" t="n">
        <v>-1</v>
      </c>
      <c r="O3608" s="2" t="n">
        <v>0</v>
      </c>
      <c r="P3608" s="2" t="s">
        <v>23</v>
      </c>
      <c r="Q3608" s="2" t="s">
        <v>20</v>
      </c>
    </row>
    <row r="3609" customFormat="false" ht="15" hidden="false" customHeight="false" outlineLevel="0" collapsed="false">
      <c r="A3609" s="2" t="n">
        <v>70</v>
      </c>
      <c r="B3609" s="2" t="s">
        <v>48</v>
      </c>
      <c r="C3609" s="2" t="s">
        <v>18</v>
      </c>
      <c r="D3609" s="2" t="s">
        <v>25</v>
      </c>
      <c r="E3609" s="2" t="s">
        <v>20</v>
      </c>
      <c r="F3609" s="2" t="n">
        <v>1164</v>
      </c>
      <c r="G3609" s="2" t="s">
        <v>20</v>
      </c>
      <c r="H3609" s="2" t="s">
        <v>20</v>
      </c>
      <c r="I3609" s="2" t="s">
        <v>49</v>
      </c>
      <c r="J3609" s="2" t="n">
        <v>14</v>
      </c>
      <c r="K3609" s="2" t="s">
        <v>27</v>
      </c>
      <c r="L3609" s="2" t="n">
        <v>338</v>
      </c>
      <c r="M3609" s="2" t="n">
        <v>3</v>
      </c>
      <c r="N3609" s="2" t="n">
        <v>185</v>
      </c>
      <c r="O3609" s="2" t="n">
        <v>2</v>
      </c>
      <c r="P3609" s="2" t="s">
        <v>28</v>
      </c>
      <c r="Q3609" s="2" t="s">
        <v>20</v>
      </c>
    </row>
    <row r="3610" customFormat="false" ht="15" hidden="false" customHeight="false" outlineLevel="0" collapsed="false">
      <c r="A3610" s="2" t="n">
        <v>44</v>
      </c>
      <c r="B3610" s="2" t="s">
        <v>29</v>
      </c>
      <c r="C3610" s="2" t="s">
        <v>18</v>
      </c>
      <c r="D3610" s="2" t="s">
        <v>31</v>
      </c>
      <c r="E3610" s="2" t="s">
        <v>20</v>
      </c>
      <c r="F3610" s="2" t="n">
        <v>13893</v>
      </c>
      <c r="G3610" s="2" t="s">
        <v>20</v>
      </c>
      <c r="H3610" s="2" t="s">
        <v>20</v>
      </c>
      <c r="I3610" s="2" t="s">
        <v>23</v>
      </c>
      <c r="J3610" s="2" t="n">
        <v>11</v>
      </c>
      <c r="K3610" s="2" t="s">
        <v>33</v>
      </c>
      <c r="L3610" s="2" t="n">
        <v>29</v>
      </c>
      <c r="M3610" s="2" t="n">
        <v>2</v>
      </c>
      <c r="N3610" s="2" t="n">
        <v>-1</v>
      </c>
      <c r="O3610" s="2" t="n">
        <v>0</v>
      </c>
      <c r="P3610" s="2" t="s">
        <v>23</v>
      </c>
      <c r="Q3610" s="2" t="s">
        <v>20</v>
      </c>
    </row>
    <row r="3611" customFormat="false" ht="15" hidden="false" customHeight="false" outlineLevel="0" collapsed="false">
      <c r="A3611" s="2" t="n">
        <v>55</v>
      </c>
      <c r="B3611" s="2" t="s">
        <v>29</v>
      </c>
      <c r="C3611" s="2" t="s">
        <v>18</v>
      </c>
      <c r="D3611" s="2" t="s">
        <v>31</v>
      </c>
      <c r="E3611" s="2" t="s">
        <v>20</v>
      </c>
      <c r="F3611" s="2" t="n">
        <v>0</v>
      </c>
      <c r="G3611" s="2" t="s">
        <v>26</v>
      </c>
      <c r="H3611" s="2" t="s">
        <v>20</v>
      </c>
      <c r="I3611" s="2" t="s">
        <v>23</v>
      </c>
      <c r="J3611" s="2" t="n">
        <v>14</v>
      </c>
      <c r="K3611" s="2" t="s">
        <v>27</v>
      </c>
      <c r="L3611" s="2" t="n">
        <v>159</v>
      </c>
      <c r="M3611" s="2" t="n">
        <v>2</v>
      </c>
      <c r="N3611" s="2" t="n">
        <v>-1</v>
      </c>
      <c r="O3611" s="2" t="n">
        <v>0</v>
      </c>
      <c r="P3611" s="2" t="s">
        <v>23</v>
      </c>
      <c r="Q3611" s="2" t="s">
        <v>20</v>
      </c>
    </row>
    <row r="3612" customFormat="false" ht="15" hidden="false" customHeight="false" outlineLevel="0" collapsed="false">
      <c r="A3612" s="2" t="n">
        <v>36</v>
      </c>
      <c r="B3612" s="2" t="s">
        <v>38</v>
      </c>
      <c r="C3612" s="2" t="s">
        <v>45</v>
      </c>
      <c r="D3612" s="2" t="s">
        <v>25</v>
      </c>
      <c r="E3612" s="2" t="s">
        <v>20</v>
      </c>
      <c r="F3612" s="2" t="n">
        <v>-435</v>
      </c>
      <c r="G3612" s="2" t="s">
        <v>26</v>
      </c>
      <c r="H3612" s="2" t="s">
        <v>20</v>
      </c>
      <c r="I3612" s="2" t="s">
        <v>23</v>
      </c>
      <c r="J3612" s="2" t="n">
        <v>2</v>
      </c>
      <c r="K3612" s="2" t="s">
        <v>33</v>
      </c>
      <c r="L3612" s="2" t="n">
        <v>85</v>
      </c>
      <c r="M3612" s="2" t="n">
        <v>8</v>
      </c>
      <c r="N3612" s="2" t="n">
        <v>-1</v>
      </c>
      <c r="O3612" s="2" t="n">
        <v>0</v>
      </c>
      <c r="P3612" s="2" t="s">
        <v>23</v>
      </c>
      <c r="Q3612" s="2" t="s">
        <v>20</v>
      </c>
    </row>
    <row r="3613" customFormat="false" ht="15" hidden="false" customHeight="false" outlineLevel="0" collapsed="false">
      <c r="A3613" s="2" t="n">
        <v>28</v>
      </c>
      <c r="B3613" s="2" t="s">
        <v>38</v>
      </c>
      <c r="C3613" s="2" t="s">
        <v>30</v>
      </c>
      <c r="D3613" s="2" t="s">
        <v>25</v>
      </c>
      <c r="E3613" s="2" t="s">
        <v>20</v>
      </c>
      <c r="F3613" s="2" t="n">
        <v>389</v>
      </c>
      <c r="G3613" s="2" t="s">
        <v>26</v>
      </c>
      <c r="H3613" s="2" t="s">
        <v>20</v>
      </c>
      <c r="I3613" s="2" t="s">
        <v>21</v>
      </c>
      <c r="J3613" s="2" t="n">
        <v>11</v>
      </c>
      <c r="K3613" s="2" t="s">
        <v>27</v>
      </c>
      <c r="L3613" s="2" t="n">
        <v>15</v>
      </c>
      <c r="M3613" s="2" t="n">
        <v>7</v>
      </c>
      <c r="N3613" s="2" t="n">
        <v>-1</v>
      </c>
      <c r="O3613" s="2" t="n">
        <v>0</v>
      </c>
      <c r="P3613" s="2" t="s">
        <v>23</v>
      </c>
      <c r="Q3613" s="2" t="s">
        <v>20</v>
      </c>
    </row>
    <row r="3614" customFormat="false" ht="15" hidden="false" customHeight="false" outlineLevel="0" collapsed="false">
      <c r="A3614" s="2" t="n">
        <v>50</v>
      </c>
      <c r="B3614" s="2" t="s">
        <v>29</v>
      </c>
      <c r="C3614" s="2" t="s">
        <v>45</v>
      </c>
      <c r="D3614" s="2" t="s">
        <v>31</v>
      </c>
      <c r="E3614" s="2" t="s">
        <v>20</v>
      </c>
      <c r="F3614" s="2" t="n">
        <v>356</v>
      </c>
      <c r="G3614" s="2" t="s">
        <v>20</v>
      </c>
      <c r="H3614" s="2" t="s">
        <v>20</v>
      </c>
      <c r="I3614" s="2" t="s">
        <v>21</v>
      </c>
      <c r="J3614" s="2" t="n">
        <v>8</v>
      </c>
      <c r="K3614" s="2" t="s">
        <v>27</v>
      </c>
      <c r="L3614" s="2" t="n">
        <v>198</v>
      </c>
      <c r="M3614" s="2" t="n">
        <v>2</v>
      </c>
      <c r="N3614" s="2" t="n">
        <v>358</v>
      </c>
      <c r="O3614" s="2" t="n">
        <v>5</v>
      </c>
      <c r="P3614" s="2" t="s">
        <v>37</v>
      </c>
      <c r="Q3614" s="2" t="s">
        <v>20</v>
      </c>
    </row>
    <row r="3615" customFormat="false" ht="15" hidden="false" customHeight="false" outlineLevel="0" collapsed="false">
      <c r="A3615" s="2" t="n">
        <v>49</v>
      </c>
      <c r="B3615" s="2" t="s">
        <v>38</v>
      </c>
      <c r="C3615" s="2" t="s">
        <v>18</v>
      </c>
      <c r="D3615" s="2" t="s">
        <v>25</v>
      </c>
      <c r="E3615" s="2" t="s">
        <v>20</v>
      </c>
      <c r="F3615" s="2" t="n">
        <v>2718</v>
      </c>
      <c r="G3615" s="2" t="s">
        <v>20</v>
      </c>
      <c r="H3615" s="2" t="s">
        <v>20</v>
      </c>
      <c r="I3615" s="2" t="s">
        <v>23</v>
      </c>
      <c r="J3615" s="2" t="n">
        <v>19</v>
      </c>
      <c r="K3615" s="2" t="s">
        <v>27</v>
      </c>
      <c r="L3615" s="2" t="n">
        <v>114</v>
      </c>
      <c r="M3615" s="2" t="n">
        <v>2</v>
      </c>
      <c r="N3615" s="2" t="n">
        <v>-1</v>
      </c>
      <c r="O3615" s="2" t="n">
        <v>0</v>
      </c>
      <c r="P3615" s="2" t="s">
        <v>23</v>
      </c>
      <c r="Q3615" s="2" t="s">
        <v>20</v>
      </c>
    </row>
    <row r="3616" customFormat="false" ht="15" hidden="false" customHeight="false" outlineLevel="0" collapsed="false">
      <c r="A3616" s="2" t="n">
        <v>71</v>
      </c>
      <c r="B3616" s="2" t="s">
        <v>48</v>
      </c>
      <c r="C3616" s="2" t="s">
        <v>45</v>
      </c>
      <c r="D3616" s="2" t="s">
        <v>31</v>
      </c>
      <c r="E3616" s="2" t="s">
        <v>20</v>
      </c>
      <c r="F3616" s="2" t="n">
        <v>261</v>
      </c>
      <c r="G3616" s="2" t="s">
        <v>20</v>
      </c>
      <c r="H3616" s="2" t="s">
        <v>20</v>
      </c>
      <c r="I3616" s="2" t="s">
        <v>21</v>
      </c>
      <c r="J3616" s="2" t="n">
        <v>12</v>
      </c>
      <c r="K3616" s="2" t="s">
        <v>41</v>
      </c>
      <c r="L3616" s="2" t="n">
        <v>1117</v>
      </c>
      <c r="M3616" s="2" t="n">
        <v>2</v>
      </c>
      <c r="N3616" s="2" t="n">
        <v>-1</v>
      </c>
      <c r="O3616" s="2" t="n">
        <v>0</v>
      </c>
      <c r="P3616" s="2" t="s">
        <v>23</v>
      </c>
      <c r="Q3616" s="2" t="s">
        <v>20</v>
      </c>
    </row>
    <row r="3617" customFormat="false" ht="15" hidden="false" customHeight="false" outlineLevel="0" collapsed="false">
      <c r="A3617" s="2" t="n">
        <v>31</v>
      </c>
      <c r="B3617" s="2" t="s">
        <v>40</v>
      </c>
      <c r="C3617" s="2" t="s">
        <v>30</v>
      </c>
      <c r="D3617" s="2" t="s">
        <v>25</v>
      </c>
      <c r="E3617" s="2" t="s">
        <v>20</v>
      </c>
      <c r="F3617" s="2" t="n">
        <v>757</v>
      </c>
      <c r="G3617" s="2" t="s">
        <v>20</v>
      </c>
      <c r="H3617" s="2" t="s">
        <v>20</v>
      </c>
      <c r="I3617" s="2" t="s">
        <v>21</v>
      </c>
      <c r="J3617" s="2" t="n">
        <v>3</v>
      </c>
      <c r="K3617" s="2" t="s">
        <v>35</v>
      </c>
      <c r="L3617" s="2" t="n">
        <v>343</v>
      </c>
      <c r="M3617" s="2" t="n">
        <v>2</v>
      </c>
      <c r="N3617" s="2" t="n">
        <v>-1</v>
      </c>
      <c r="O3617" s="2" t="n">
        <v>0</v>
      </c>
      <c r="P3617" s="2" t="s">
        <v>23</v>
      </c>
      <c r="Q3617" s="2" t="s">
        <v>20</v>
      </c>
    </row>
    <row r="3618" customFormat="false" ht="15" hidden="false" customHeight="false" outlineLevel="0" collapsed="false">
      <c r="A3618" s="2" t="n">
        <v>45</v>
      </c>
      <c r="B3618" s="2" t="s">
        <v>29</v>
      </c>
      <c r="C3618" s="2" t="s">
        <v>30</v>
      </c>
      <c r="D3618" s="2" t="s">
        <v>31</v>
      </c>
      <c r="E3618" s="2" t="s">
        <v>20</v>
      </c>
      <c r="F3618" s="2" t="n">
        <v>16</v>
      </c>
      <c r="G3618" s="2" t="s">
        <v>20</v>
      </c>
      <c r="H3618" s="2" t="s">
        <v>20</v>
      </c>
      <c r="I3618" s="2" t="s">
        <v>21</v>
      </c>
      <c r="J3618" s="2" t="n">
        <v>31</v>
      </c>
      <c r="K3618" s="2" t="s">
        <v>44</v>
      </c>
      <c r="L3618" s="2" t="n">
        <v>59</v>
      </c>
      <c r="M3618" s="2" t="n">
        <v>2</v>
      </c>
      <c r="N3618" s="2" t="n">
        <v>-1</v>
      </c>
      <c r="O3618" s="2" t="n">
        <v>0</v>
      </c>
      <c r="P3618" s="2" t="s">
        <v>23</v>
      </c>
      <c r="Q3618" s="2" t="s">
        <v>20</v>
      </c>
    </row>
    <row r="3619" customFormat="false" ht="15" hidden="false" customHeight="false" outlineLevel="0" collapsed="false">
      <c r="A3619" s="2" t="n">
        <v>42</v>
      </c>
      <c r="B3619" s="2" t="s">
        <v>34</v>
      </c>
      <c r="C3619" s="2" t="s">
        <v>18</v>
      </c>
      <c r="D3619" s="2" t="s">
        <v>25</v>
      </c>
      <c r="E3619" s="2" t="s">
        <v>20</v>
      </c>
      <c r="F3619" s="2" t="n">
        <v>-422</v>
      </c>
      <c r="G3619" s="2" t="s">
        <v>20</v>
      </c>
      <c r="H3619" s="2" t="s">
        <v>20</v>
      </c>
      <c r="I3619" s="2" t="s">
        <v>21</v>
      </c>
      <c r="J3619" s="2" t="n">
        <v>9</v>
      </c>
      <c r="K3619" s="2" t="s">
        <v>44</v>
      </c>
      <c r="L3619" s="2" t="n">
        <v>31</v>
      </c>
      <c r="M3619" s="2" t="n">
        <v>1</v>
      </c>
      <c r="N3619" s="2" t="n">
        <v>-1</v>
      </c>
      <c r="O3619" s="2" t="n">
        <v>0</v>
      </c>
      <c r="P3619" s="2" t="s">
        <v>23</v>
      </c>
      <c r="Q3619" s="2" t="s">
        <v>20</v>
      </c>
    </row>
    <row r="3620" customFormat="false" ht="15" hidden="false" customHeight="false" outlineLevel="0" collapsed="false">
      <c r="A3620" s="2" t="n">
        <v>45</v>
      </c>
      <c r="B3620" s="2" t="s">
        <v>40</v>
      </c>
      <c r="C3620" s="2" t="s">
        <v>18</v>
      </c>
      <c r="D3620" s="2" t="s">
        <v>25</v>
      </c>
      <c r="E3620" s="2" t="s">
        <v>20</v>
      </c>
      <c r="F3620" s="2" t="n">
        <v>248</v>
      </c>
      <c r="G3620" s="2" t="s">
        <v>20</v>
      </c>
      <c r="H3620" s="2" t="s">
        <v>20</v>
      </c>
      <c r="I3620" s="2" t="s">
        <v>21</v>
      </c>
      <c r="J3620" s="2" t="n">
        <v>16</v>
      </c>
      <c r="K3620" s="2" t="s">
        <v>44</v>
      </c>
      <c r="L3620" s="2" t="n">
        <v>212</v>
      </c>
      <c r="M3620" s="2" t="n">
        <v>2</v>
      </c>
      <c r="N3620" s="2" t="n">
        <v>-1</v>
      </c>
      <c r="O3620" s="2" t="n">
        <v>0</v>
      </c>
      <c r="P3620" s="2" t="s">
        <v>23</v>
      </c>
      <c r="Q3620" s="2" t="s">
        <v>20</v>
      </c>
    </row>
    <row r="3621" customFormat="false" ht="15" hidden="false" customHeight="false" outlineLevel="0" collapsed="false">
      <c r="A3621" s="2" t="n">
        <v>47</v>
      </c>
      <c r="B3621" s="2" t="s">
        <v>38</v>
      </c>
      <c r="C3621" s="2" t="s">
        <v>18</v>
      </c>
      <c r="D3621" s="2" t="s">
        <v>19</v>
      </c>
      <c r="E3621" s="2" t="s">
        <v>20</v>
      </c>
      <c r="F3621" s="2" t="n">
        <v>145</v>
      </c>
      <c r="G3621" s="2" t="s">
        <v>26</v>
      </c>
      <c r="H3621" s="2" t="s">
        <v>20</v>
      </c>
      <c r="I3621" s="2" t="s">
        <v>23</v>
      </c>
      <c r="J3621" s="2" t="n">
        <v>7</v>
      </c>
      <c r="K3621" s="2" t="s">
        <v>27</v>
      </c>
      <c r="L3621" s="2" t="n">
        <v>157</v>
      </c>
      <c r="M3621" s="2" t="n">
        <v>6</v>
      </c>
      <c r="N3621" s="2" t="n">
        <v>-1</v>
      </c>
      <c r="O3621" s="2" t="n">
        <v>0</v>
      </c>
      <c r="P3621" s="2" t="s">
        <v>23</v>
      </c>
      <c r="Q3621" s="2" t="s">
        <v>20</v>
      </c>
    </row>
    <row r="3622" customFormat="false" ht="15" hidden="false" customHeight="false" outlineLevel="0" collapsed="false">
      <c r="A3622" s="2" t="n">
        <v>60</v>
      </c>
      <c r="B3622" s="2" t="s">
        <v>48</v>
      </c>
      <c r="C3622" s="2" t="s">
        <v>45</v>
      </c>
      <c r="D3622" s="2" t="s">
        <v>25</v>
      </c>
      <c r="E3622" s="2" t="s">
        <v>20</v>
      </c>
      <c r="F3622" s="2" t="n">
        <v>598</v>
      </c>
      <c r="G3622" s="2" t="s">
        <v>20</v>
      </c>
      <c r="H3622" s="2" t="s">
        <v>26</v>
      </c>
      <c r="I3622" s="2" t="s">
        <v>21</v>
      </c>
      <c r="J3622" s="2" t="n">
        <v>8</v>
      </c>
      <c r="K3622" s="2" t="s">
        <v>44</v>
      </c>
      <c r="L3622" s="2" t="n">
        <v>96</v>
      </c>
      <c r="M3622" s="2" t="n">
        <v>1</v>
      </c>
      <c r="N3622" s="2" t="n">
        <v>-1</v>
      </c>
      <c r="O3622" s="2" t="n">
        <v>0</v>
      </c>
      <c r="P3622" s="2" t="s">
        <v>23</v>
      </c>
      <c r="Q3622" s="2" t="s">
        <v>20</v>
      </c>
    </row>
    <row r="3623" customFormat="false" ht="15" hidden="false" customHeight="false" outlineLevel="0" collapsed="false">
      <c r="A3623" s="2" t="n">
        <v>35</v>
      </c>
      <c r="B3623" s="2" t="s">
        <v>29</v>
      </c>
      <c r="C3623" s="2" t="s">
        <v>18</v>
      </c>
      <c r="D3623" s="2" t="s">
        <v>31</v>
      </c>
      <c r="E3623" s="2" t="s">
        <v>20</v>
      </c>
      <c r="F3623" s="2" t="n">
        <v>949</v>
      </c>
      <c r="G3623" s="2" t="s">
        <v>26</v>
      </c>
      <c r="H3623" s="2" t="s">
        <v>20</v>
      </c>
      <c r="I3623" s="2" t="s">
        <v>23</v>
      </c>
      <c r="J3623" s="2" t="n">
        <v>27</v>
      </c>
      <c r="K3623" s="2" t="s">
        <v>27</v>
      </c>
      <c r="L3623" s="2" t="n">
        <v>245</v>
      </c>
      <c r="M3623" s="2" t="n">
        <v>2</v>
      </c>
      <c r="N3623" s="2" t="n">
        <v>-1</v>
      </c>
      <c r="O3623" s="2" t="n">
        <v>0</v>
      </c>
      <c r="P3623" s="2" t="s">
        <v>23</v>
      </c>
      <c r="Q3623" s="2" t="s">
        <v>20</v>
      </c>
    </row>
    <row r="3624" customFormat="false" ht="15" hidden="false" customHeight="false" outlineLevel="0" collapsed="false">
      <c r="A3624" s="2" t="n">
        <v>31</v>
      </c>
      <c r="B3624" s="2" t="s">
        <v>38</v>
      </c>
      <c r="C3624" s="2" t="s">
        <v>30</v>
      </c>
      <c r="D3624" s="2" t="s">
        <v>31</v>
      </c>
      <c r="E3624" s="2" t="s">
        <v>20</v>
      </c>
      <c r="F3624" s="2" t="n">
        <v>614</v>
      </c>
      <c r="G3624" s="2" t="s">
        <v>20</v>
      </c>
      <c r="H3624" s="2" t="s">
        <v>20</v>
      </c>
      <c r="I3624" s="2" t="s">
        <v>21</v>
      </c>
      <c r="J3624" s="2" t="n">
        <v>11</v>
      </c>
      <c r="K3624" s="2" t="s">
        <v>41</v>
      </c>
      <c r="L3624" s="2" t="n">
        <v>72</v>
      </c>
      <c r="M3624" s="2" t="n">
        <v>4</v>
      </c>
      <c r="N3624" s="2" t="n">
        <v>-1</v>
      </c>
      <c r="O3624" s="2" t="n">
        <v>0</v>
      </c>
      <c r="P3624" s="2" t="s">
        <v>23</v>
      </c>
      <c r="Q3624" s="2" t="s">
        <v>20</v>
      </c>
    </row>
    <row r="3625" customFormat="false" ht="15" hidden="false" customHeight="false" outlineLevel="0" collapsed="false">
      <c r="A3625" s="2" t="n">
        <v>33</v>
      </c>
      <c r="B3625" s="2" t="s">
        <v>34</v>
      </c>
      <c r="C3625" s="2" t="s">
        <v>18</v>
      </c>
      <c r="D3625" s="2" t="s">
        <v>19</v>
      </c>
      <c r="E3625" s="2" t="s">
        <v>20</v>
      </c>
      <c r="F3625" s="2" t="n">
        <v>1209</v>
      </c>
      <c r="G3625" s="2" t="s">
        <v>26</v>
      </c>
      <c r="H3625" s="2" t="s">
        <v>20</v>
      </c>
      <c r="I3625" s="2" t="s">
        <v>21</v>
      </c>
      <c r="J3625" s="2" t="n">
        <v>16</v>
      </c>
      <c r="K3625" s="2" t="s">
        <v>32</v>
      </c>
      <c r="L3625" s="2" t="n">
        <v>700</v>
      </c>
      <c r="M3625" s="2" t="n">
        <v>1</v>
      </c>
      <c r="N3625" s="2" t="n">
        <v>-1</v>
      </c>
      <c r="O3625" s="2" t="n">
        <v>0</v>
      </c>
      <c r="P3625" s="2" t="s">
        <v>23</v>
      </c>
      <c r="Q3625" s="2" t="s">
        <v>20</v>
      </c>
    </row>
    <row r="3626" customFormat="false" ht="15" hidden="false" customHeight="false" outlineLevel="0" collapsed="false">
      <c r="A3626" s="2" t="n">
        <v>50</v>
      </c>
      <c r="B3626" s="2" t="s">
        <v>36</v>
      </c>
      <c r="C3626" s="2" t="s">
        <v>18</v>
      </c>
      <c r="D3626" s="2" t="s">
        <v>31</v>
      </c>
      <c r="E3626" s="2" t="s">
        <v>20</v>
      </c>
      <c r="F3626" s="2" t="n">
        <v>202</v>
      </c>
      <c r="G3626" s="2" t="s">
        <v>26</v>
      </c>
      <c r="H3626" s="2" t="s">
        <v>20</v>
      </c>
      <c r="I3626" s="2" t="s">
        <v>21</v>
      </c>
      <c r="J3626" s="2" t="n">
        <v>15</v>
      </c>
      <c r="K3626" s="2" t="s">
        <v>32</v>
      </c>
      <c r="L3626" s="2" t="n">
        <v>107</v>
      </c>
      <c r="M3626" s="2" t="n">
        <v>1</v>
      </c>
      <c r="N3626" s="2" t="n">
        <v>148</v>
      </c>
      <c r="O3626" s="2" t="n">
        <v>4</v>
      </c>
      <c r="P3626" s="2" t="s">
        <v>28</v>
      </c>
      <c r="Q3626" s="2" t="s">
        <v>20</v>
      </c>
    </row>
    <row r="3627" customFormat="false" ht="15" hidden="false" customHeight="false" outlineLevel="0" collapsed="false">
      <c r="A3627" s="2" t="n">
        <v>51</v>
      </c>
      <c r="B3627" s="2" t="s">
        <v>34</v>
      </c>
      <c r="C3627" s="2" t="s">
        <v>18</v>
      </c>
      <c r="D3627" s="2" t="s">
        <v>25</v>
      </c>
      <c r="E3627" s="2" t="s">
        <v>20</v>
      </c>
      <c r="F3627" s="2" t="n">
        <v>1840</v>
      </c>
      <c r="G3627" s="2" t="s">
        <v>26</v>
      </c>
      <c r="H3627" s="2" t="s">
        <v>20</v>
      </c>
      <c r="I3627" s="2" t="s">
        <v>21</v>
      </c>
      <c r="J3627" s="2" t="n">
        <v>18</v>
      </c>
      <c r="K3627" s="2" t="s">
        <v>41</v>
      </c>
      <c r="L3627" s="2" t="n">
        <v>312</v>
      </c>
      <c r="M3627" s="2" t="n">
        <v>3</v>
      </c>
      <c r="N3627" s="2" t="n">
        <v>-1</v>
      </c>
      <c r="O3627" s="2" t="n">
        <v>0</v>
      </c>
      <c r="P3627" s="2" t="s">
        <v>23</v>
      </c>
      <c r="Q3627" s="2" t="s">
        <v>20</v>
      </c>
    </row>
    <row r="3628" customFormat="false" ht="15" hidden="false" customHeight="false" outlineLevel="0" collapsed="false">
      <c r="A3628" s="2" t="n">
        <v>34</v>
      </c>
      <c r="B3628" s="2" t="s">
        <v>38</v>
      </c>
      <c r="C3628" s="2" t="s">
        <v>18</v>
      </c>
      <c r="D3628" s="2" t="s">
        <v>25</v>
      </c>
      <c r="E3628" s="2" t="s">
        <v>20</v>
      </c>
      <c r="F3628" s="2" t="n">
        <v>114</v>
      </c>
      <c r="G3628" s="2" t="s">
        <v>26</v>
      </c>
      <c r="H3628" s="2" t="s">
        <v>26</v>
      </c>
      <c r="I3628" s="2" t="s">
        <v>21</v>
      </c>
      <c r="J3628" s="2" t="n">
        <v>4</v>
      </c>
      <c r="K3628" s="2" t="s">
        <v>33</v>
      </c>
      <c r="L3628" s="2" t="n">
        <v>153</v>
      </c>
      <c r="M3628" s="2" t="n">
        <v>1</v>
      </c>
      <c r="N3628" s="2" t="n">
        <v>309</v>
      </c>
      <c r="O3628" s="2" t="n">
        <v>3</v>
      </c>
      <c r="P3628" s="2" t="s">
        <v>37</v>
      </c>
      <c r="Q3628" s="2" t="s">
        <v>20</v>
      </c>
    </row>
    <row r="3629" customFormat="false" ht="15" hidden="false" customHeight="false" outlineLevel="0" collapsed="false">
      <c r="A3629" s="2" t="n">
        <v>56</v>
      </c>
      <c r="B3629" s="2" t="s">
        <v>24</v>
      </c>
      <c r="C3629" s="2" t="s">
        <v>18</v>
      </c>
      <c r="D3629" s="2" t="s">
        <v>25</v>
      </c>
      <c r="E3629" s="2" t="s">
        <v>20</v>
      </c>
      <c r="F3629" s="2" t="n">
        <v>-229</v>
      </c>
      <c r="G3629" s="2" t="s">
        <v>20</v>
      </c>
      <c r="H3629" s="2" t="s">
        <v>26</v>
      </c>
      <c r="I3629" s="2" t="s">
        <v>21</v>
      </c>
      <c r="J3629" s="2" t="n">
        <v>23</v>
      </c>
      <c r="K3629" s="2" t="s">
        <v>44</v>
      </c>
      <c r="L3629" s="2" t="n">
        <v>55</v>
      </c>
      <c r="M3629" s="2" t="n">
        <v>10</v>
      </c>
      <c r="N3629" s="2" t="n">
        <v>-1</v>
      </c>
      <c r="O3629" s="2" t="n">
        <v>0</v>
      </c>
      <c r="P3629" s="2" t="s">
        <v>23</v>
      </c>
      <c r="Q3629" s="2" t="s">
        <v>20</v>
      </c>
    </row>
    <row r="3630" customFormat="false" ht="15" hidden="false" customHeight="false" outlineLevel="0" collapsed="false">
      <c r="A3630" s="2" t="n">
        <v>29</v>
      </c>
      <c r="B3630" s="2" t="s">
        <v>24</v>
      </c>
      <c r="C3630" s="2" t="s">
        <v>18</v>
      </c>
      <c r="D3630" s="2" t="s">
        <v>25</v>
      </c>
      <c r="E3630" s="2" t="s">
        <v>20</v>
      </c>
      <c r="F3630" s="2" t="n">
        <v>182</v>
      </c>
      <c r="G3630" s="2" t="s">
        <v>26</v>
      </c>
      <c r="H3630" s="2" t="s">
        <v>20</v>
      </c>
      <c r="I3630" s="2" t="s">
        <v>49</v>
      </c>
      <c r="J3630" s="2" t="n">
        <v>13</v>
      </c>
      <c r="K3630" s="2" t="s">
        <v>27</v>
      </c>
      <c r="L3630" s="2" t="n">
        <v>38</v>
      </c>
      <c r="M3630" s="2" t="n">
        <v>3</v>
      </c>
      <c r="N3630" s="2" t="n">
        <v>-1</v>
      </c>
      <c r="O3630" s="2" t="n">
        <v>0</v>
      </c>
      <c r="P3630" s="2" t="s">
        <v>23</v>
      </c>
      <c r="Q3630" s="2" t="s">
        <v>20</v>
      </c>
    </row>
    <row r="3631" customFormat="false" ht="15" hidden="false" customHeight="false" outlineLevel="0" collapsed="false">
      <c r="A3631" s="2" t="n">
        <v>31</v>
      </c>
      <c r="B3631" s="2" t="s">
        <v>34</v>
      </c>
      <c r="C3631" s="2" t="s">
        <v>18</v>
      </c>
      <c r="D3631" s="2" t="s">
        <v>25</v>
      </c>
      <c r="E3631" s="2" t="s">
        <v>20</v>
      </c>
      <c r="F3631" s="2" t="n">
        <v>401</v>
      </c>
      <c r="G3631" s="2" t="s">
        <v>20</v>
      </c>
      <c r="H3631" s="2" t="s">
        <v>20</v>
      </c>
      <c r="I3631" s="2" t="s">
        <v>21</v>
      </c>
      <c r="J3631" s="2" t="n">
        <v>14</v>
      </c>
      <c r="K3631" s="2" t="s">
        <v>41</v>
      </c>
      <c r="L3631" s="2" t="n">
        <v>96</v>
      </c>
      <c r="M3631" s="2" t="n">
        <v>3</v>
      </c>
      <c r="N3631" s="2" t="n">
        <v>-1</v>
      </c>
      <c r="O3631" s="2" t="n">
        <v>0</v>
      </c>
      <c r="P3631" s="2" t="s">
        <v>23</v>
      </c>
      <c r="Q3631" s="2" t="s">
        <v>20</v>
      </c>
    </row>
    <row r="3632" customFormat="false" ht="15" hidden="false" customHeight="false" outlineLevel="0" collapsed="false">
      <c r="A3632" s="2" t="n">
        <v>44</v>
      </c>
      <c r="B3632" s="2" t="s">
        <v>38</v>
      </c>
      <c r="C3632" s="2" t="s">
        <v>45</v>
      </c>
      <c r="D3632" s="2" t="s">
        <v>23</v>
      </c>
      <c r="E3632" s="2" t="s">
        <v>20</v>
      </c>
      <c r="F3632" s="2" t="n">
        <v>759</v>
      </c>
      <c r="G3632" s="2" t="s">
        <v>26</v>
      </c>
      <c r="H3632" s="2" t="s">
        <v>20</v>
      </c>
      <c r="I3632" s="2" t="s">
        <v>23</v>
      </c>
      <c r="J3632" s="2" t="n">
        <v>23</v>
      </c>
      <c r="K3632" s="2" t="s">
        <v>27</v>
      </c>
      <c r="L3632" s="2" t="n">
        <v>397</v>
      </c>
      <c r="M3632" s="2" t="n">
        <v>1</v>
      </c>
      <c r="N3632" s="2" t="n">
        <v>-1</v>
      </c>
      <c r="O3632" s="2" t="n">
        <v>0</v>
      </c>
      <c r="P3632" s="2" t="s">
        <v>23</v>
      </c>
      <c r="Q3632" s="2" t="s">
        <v>20</v>
      </c>
    </row>
    <row r="3633" customFormat="false" ht="15" hidden="false" customHeight="false" outlineLevel="0" collapsed="false">
      <c r="A3633" s="2" t="n">
        <v>55</v>
      </c>
      <c r="B3633" s="2" t="s">
        <v>48</v>
      </c>
      <c r="C3633" s="2" t="s">
        <v>18</v>
      </c>
      <c r="D3633" s="2" t="s">
        <v>25</v>
      </c>
      <c r="E3633" s="2" t="s">
        <v>20</v>
      </c>
      <c r="F3633" s="2" t="n">
        <v>4194</v>
      </c>
      <c r="G3633" s="2" t="s">
        <v>20</v>
      </c>
      <c r="H3633" s="2" t="s">
        <v>26</v>
      </c>
      <c r="I3633" s="2" t="s">
        <v>49</v>
      </c>
      <c r="J3633" s="2" t="n">
        <v>30</v>
      </c>
      <c r="K3633" s="2" t="s">
        <v>44</v>
      </c>
      <c r="L3633" s="2" t="n">
        <v>208</v>
      </c>
      <c r="M3633" s="2" t="n">
        <v>3</v>
      </c>
      <c r="N3633" s="2" t="n">
        <v>-1</v>
      </c>
      <c r="O3633" s="2" t="n">
        <v>0</v>
      </c>
      <c r="P3633" s="2" t="s">
        <v>23</v>
      </c>
      <c r="Q3633" s="2" t="s">
        <v>20</v>
      </c>
    </row>
    <row r="3634" customFormat="false" ht="15" hidden="false" customHeight="false" outlineLevel="0" collapsed="false">
      <c r="A3634" s="2" t="n">
        <v>35</v>
      </c>
      <c r="B3634" s="2" t="s">
        <v>42</v>
      </c>
      <c r="C3634" s="2" t="s">
        <v>30</v>
      </c>
      <c r="D3634" s="2" t="s">
        <v>23</v>
      </c>
      <c r="E3634" s="2" t="s">
        <v>20</v>
      </c>
      <c r="F3634" s="2" t="n">
        <v>0</v>
      </c>
      <c r="G3634" s="2" t="s">
        <v>20</v>
      </c>
      <c r="H3634" s="2" t="s">
        <v>20</v>
      </c>
      <c r="I3634" s="2" t="s">
        <v>49</v>
      </c>
      <c r="J3634" s="2" t="n">
        <v>28</v>
      </c>
      <c r="K3634" s="2" t="s">
        <v>43</v>
      </c>
      <c r="L3634" s="2" t="n">
        <v>122</v>
      </c>
      <c r="M3634" s="2" t="n">
        <v>3</v>
      </c>
      <c r="N3634" s="2" t="n">
        <v>-1</v>
      </c>
      <c r="O3634" s="2" t="n">
        <v>0</v>
      </c>
      <c r="P3634" s="2" t="s">
        <v>23</v>
      </c>
      <c r="Q3634" s="2" t="s">
        <v>20</v>
      </c>
    </row>
    <row r="3635" customFormat="false" ht="15" hidden="false" customHeight="false" outlineLevel="0" collapsed="false">
      <c r="A3635" s="2" t="n">
        <v>36</v>
      </c>
      <c r="B3635" s="2" t="s">
        <v>38</v>
      </c>
      <c r="C3635" s="2" t="s">
        <v>18</v>
      </c>
      <c r="D3635" s="2" t="s">
        <v>31</v>
      </c>
      <c r="E3635" s="2" t="s">
        <v>20</v>
      </c>
      <c r="F3635" s="2" t="n">
        <v>629</v>
      </c>
      <c r="G3635" s="2" t="s">
        <v>26</v>
      </c>
      <c r="H3635" s="2" t="s">
        <v>26</v>
      </c>
      <c r="I3635" s="2" t="s">
        <v>21</v>
      </c>
      <c r="J3635" s="2" t="n">
        <v>29</v>
      </c>
      <c r="K3635" s="2" t="s">
        <v>53</v>
      </c>
      <c r="L3635" s="2" t="n">
        <v>109</v>
      </c>
      <c r="M3635" s="2" t="n">
        <v>1</v>
      </c>
      <c r="N3635" s="2" t="n">
        <v>246</v>
      </c>
      <c r="O3635" s="2" t="n">
        <v>1</v>
      </c>
      <c r="P3635" s="2" t="s">
        <v>28</v>
      </c>
      <c r="Q3635" s="2" t="s">
        <v>20</v>
      </c>
    </row>
    <row r="3636" customFormat="false" ht="15" hidden="false" customHeight="false" outlineLevel="0" collapsed="false">
      <c r="A3636" s="2" t="n">
        <v>54</v>
      </c>
      <c r="B3636" s="2" t="s">
        <v>48</v>
      </c>
      <c r="C3636" s="2" t="s">
        <v>18</v>
      </c>
      <c r="D3636" s="2" t="s">
        <v>25</v>
      </c>
      <c r="E3636" s="2" t="s">
        <v>20</v>
      </c>
      <c r="F3636" s="2" t="n">
        <v>153</v>
      </c>
      <c r="G3636" s="2" t="s">
        <v>26</v>
      </c>
      <c r="H3636" s="2" t="s">
        <v>26</v>
      </c>
      <c r="I3636" s="2" t="s">
        <v>23</v>
      </c>
      <c r="J3636" s="2" t="n">
        <v>26</v>
      </c>
      <c r="K3636" s="2" t="s">
        <v>27</v>
      </c>
      <c r="L3636" s="2" t="n">
        <v>74</v>
      </c>
      <c r="M3636" s="2" t="n">
        <v>1</v>
      </c>
      <c r="N3636" s="2" t="n">
        <v>-1</v>
      </c>
      <c r="O3636" s="2" t="n">
        <v>0</v>
      </c>
      <c r="P3636" s="2" t="s">
        <v>23</v>
      </c>
      <c r="Q3636" s="2" t="s">
        <v>20</v>
      </c>
    </row>
    <row r="3637" customFormat="false" ht="15" hidden="false" customHeight="false" outlineLevel="0" collapsed="false">
      <c r="A3637" s="2" t="n">
        <v>32</v>
      </c>
      <c r="B3637" s="2" t="s">
        <v>29</v>
      </c>
      <c r="C3637" s="2" t="s">
        <v>18</v>
      </c>
      <c r="D3637" s="2" t="s">
        <v>31</v>
      </c>
      <c r="E3637" s="2" t="s">
        <v>20</v>
      </c>
      <c r="F3637" s="2" t="n">
        <v>553</v>
      </c>
      <c r="G3637" s="2" t="s">
        <v>26</v>
      </c>
      <c r="H3637" s="2" t="s">
        <v>20</v>
      </c>
      <c r="I3637" s="2" t="s">
        <v>21</v>
      </c>
      <c r="J3637" s="2" t="n">
        <v>22</v>
      </c>
      <c r="K3637" s="2" t="s">
        <v>44</v>
      </c>
      <c r="L3637" s="2" t="n">
        <v>72</v>
      </c>
      <c r="M3637" s="2" t="n">
        <v>1</v>
      </c>
      <c r="N3637" s="2" t="n">
        <v>-1</v>
      </c>
      <c r="O3637" s="2" t="n">
        <v>0</v>
      </c>
      <c r="P3637" s="2" t="s">
        <v>23</v>
      </c>
      <c r="Q3637" s="2" t="s">
        <v>20</v>
      </c>
    </row>
    <row r="3638" customFormat="false" ht="15" hidden="false" customHeight="false" outlineLevel="0" collapsed="false">
      <c r="A3638" s="2" t="n">
        <v>36</v>
      </c>
      <c r="B3638" s="2" t="s">
        <v>29</v>
      </c>
      <c r="C3638" s="2" t="s">
        <v>45</v>
      </c>
      <c r="D3638" s="2" t="s">
        <v>31</v>
      </c>
      <c r="E3638" s="2" t="s">
        <v>20</v>
      </c>
      <c r="F3638" s="2" t="n">
        <v>1057</v>
      </c>
      <c r="G3638" s="2" t="s">
        <v>20</v>
      </c>
      <c r="H3638" s="2" t="s">
        <v>20</v>
      </c>
      <c r="I3638" s="2" t="s">
        <v>21</v>
      </c>
      <c r="J3638" s="2" t="n">
        <v>5</v>
      </c>
      <c r="K3638" s="2" t="s">
        <v>35</v>
      </c>
      <c r="L3638" s="2" t="n">
        <v>383</v>
      </c>
      <c r="M3638" s="2" t="n">
        <v>2</v>
      </c>
      <c r="N3638" s="2" t="n">
        <v>-1</v>
      </c>
      <c r="O3638" s="2" t="n">
        <v>0</v>
      </c>
      <c r="P3638" s="2" t="s">
        <v>23</v>
      </c>
      <c r="Q3638" s="2" t="s">
        <v>20</v>
      </c>
    </row>
    <row r="3639" customFormat="false" ht="15" hidden="false" customHeight="false" outlineLevel="0" collapsed="false">
      <c r="A3639" s="2" t="n">
        <v>60</v>
      </c>
      <c r="B3639" s="2" t="s">
        <v>48</v>
      </c>
      <c r="C3639" s="2" t="s">
        <v>18</v>
      </c>
      <c r="D3639" s="2" t="s">
        <v>25</v>
      </c>
      <c r="E3639" s="2" t="s">
        <v>20</v>
      </c>
      <c r="F3639" s="2" t="n">
        <v>78</v>
      </c>
      <c r="G3639" s="2" t="s">
        <v>26</v>
      </c>
      <c r="H3639" s="2" t="s">
        <v>20</v>
      </c>
      <c r="I3639" s="2" t="s">
        <v>23</v>
      </c>
      <c r="J3639" s="2" t="n">
        <v>12</v>
      </c>
      <c r="K3639" s="2" t="s">
        <v>27</v>
      </c>
      <c r="L3639" s="2" t="n">
        <v>113</v>
      </c>
      <c r="M3639" s="2" t="n">
        <v>3</v>
      </c>
      <c r="N3639" s="2" t="n">
        <v>-1</v>
      </c>
      <c r="O3639" s="2" t="n">
        <v>0</v>
      </c>
      <c r="P3639" s="2" t="s">
        <v>23</v>
      </c>
      <c r="Q3639" s="2" t="s">
        <v>20</v>
      </c>
    </row>
    <row r="3640" customFormat="false" ht="15" hidden="false" customHeight="false" outlineLevel="0" collapsed="false">
      <c r="A3640" s="2" t="n">
        <v>32</v>
      </c>
      <c r="B3640" s="2" t="s">
        <v>38</v>
      </c>
      <c r="C3640" s="2" t="s">
        <v>30</v>
      </c>
      <c r="D3640" s="2" t="s">
        <v>25</v>
      </c>
      <c r="E3640" s="2" t="s">
        <v>20</v>
      </c>
      <c r="F3640" s="2" t="n">
        <v>-28</v>
      </c>
      <c r="G3640" s="2" t="s">
        <v>20</v>
      </c>
      <c r="H3640" s="2" t="s">
        <v>26</v>
      </c>
      <c r="I3640" s="2" t="s">
        <v>23</v>
      </c>
      <c r="J3640" s="2" t="n">
        <v>4</v>
      </c>
      <c r="K3640" s="2" t="s">
        <v>44</v>
      </c>
      <c r="L3640" s="2" t="n">
        <v>400</v>
      </c>
      <c r="M3640" s="2" t="n">
        <v>1</v>
      </c>
      <c r="N3640" s="2" t="n">
        <v>-1</v>
      </c>
      <c r="O3640" s="2" t="n">
        <v>0</v>
      </c>
      <c r="P3640" s="2" t="s">
        <v>23</v>
      </c>
      <c r="Q3640" s="2" t="s">
        <v>20</v>
      </c>
    </row>
    <row r="3641" customFormat="false" ht="15" hidden="false" customHeight="false" outlineLevel="0" collapsed="false">
      <c r="A3641" s="2" t="n">
        <v>57</v>
      </c>
      <c r="B3641" s="2" t="s">
        <v>29</v>
      </c>
      <c r="C3641" s="2" t="s">
        <v>18</v>
      </c>
      <c r="D3641" s="2" t="s">
        <v>31</v>
      </c>
      <c r="E3641" s="2" t="s">
        <v>20</v>
      </c>
      <c r="F3641" s="2" t="n">
        <v>929</v>
      </c>
      <c r="G3641" s="2" t="s">
        <v>20</v>
      </c>
      <c r="H3641" s="2" t="s">
        <v>20</v>
      </c>
      <c r="I3641" s="2" t="s">
        <v>21</v>
      </c>
      <c r="J3641" s="2" t="n">
        <v>19</v>
      </c>
      <c r="K3641" s="2" t="s">
        <v>41</v>
      </c>
      <c r="L3641" s="2" t="n">
        <v>387</v>
      </c>
      <c r="M3641" s="2" t="n">
        <v>8</v>
      </c>
      <c r="N3641" s="2" t="n">
        <v>-1</v>
      </c>
      <c r="O3641" s="2" t="n">
        <v>0</v>
      </c>
      <c r="P3641" s="2" t="s">
        <v>23</v>
      </c>
      <c r="Q3641" s="2" t="s">
        <v>20</v>
      </c>
    </row>
    <row r="3642" customFormat="false" ht="15" hidden="false" customHeight="false" outlineLevel="0" collapsed="false">
      <c r="A3642" s="2" t="n">
        <v>34</v>
      </c>
      <c r="B3642" s="2" t="s">
        <v>34</v>
      </c>
      <c r="C3642" s="2" t="s">
        <v>18</v>
      </c>
      <c r="D3642" s="2" t="s">
        <v>19</v>
      </c>
      <c r="E3642" s="2" t="s">
        <v>20</v>
      </c>
      <c r="F3642" s="2" t="n">
        <v>428</v>
      </c>
      <c r="G3642" s="2" t="s">
        <v>26</v>
      </c>
      <c r="H3642" s="2" t="s">
        <v>20</v>
      </c>
      <c r="I3642" s="2" t="s">
        <v>21</v>
      </c>
      <c r="J3642" s="2" t="n">
        <v>18</v>
      </c>
      <c r="K3642" s="2" t="s">
        <v>27</v>
      </c>
      <c r="L3642" s="2" t="n">
        <v>59</v>
      </c>
      <c r="M3642" s="2" t="n">
        <v>2</v>
      </c>
      <c r="N3642" s="2" t="n">
        <v>-1</v>
      </c>
      <c r="O3642" s="2" t="n">
        <v>0</v>
      </c>
      <c r="P3642" s="2" t="s">
        <v>23</v>
      </c>
      <c r="Q3642" s="2" t="s">
        <v>20</v>
      </c>
    </row>
    <row r="3643" customFormat="false" ht="15" hidden="false" customHeight="false" outlineLevel="0" collapsed="false">
      <c r="A3643" s="2" t="n">
        <v>27</v>
      </c>
      <c r="B3643" s="2" t="s">
        <v>42</v>
      </c>
      <c r="C3643" s="2" t="s">
        <v>30</v>
      </c>
      <c r="D3643" s="2" t="s">
        <v>25</v>
      </c>
      <c r="E3643" s="2" t="s">
        <v>20</v>
      </c>
      <c r="F3643" s="2" t="n">
        <v>268</v>
      </c>
      <c r="G3643" s="2" t="s">
        <v>26</v>
      </c>
      <c r="H3643" s="2" t="s">
        <v>20</v>
      </c>
      <c r="I3643" s="2" t="s">
        <v>21</v>
      </c>
      <c r="J3643" s="2" t="n">
        <v>13</v>
      </c>
      <c r="K3643" s="2" t="s">
        <v>27</v>
      </c>
      <c r="L3643" s="2" t="n">
        <v>528</v>
      </c>
      <c r="M3643" s="2" t="n">
        <v>1</v>
      </c>
      <c r="N3643" s="2" t="n">
        <v>358</v>
      </c>
      <c r="O3643" s="2" t="n">
        <v>2</v>
      </c>
      <c r="P3643" s="2" t="s">
        <v>28</v>
      </c>
      <c r="Q3643" s="2" t="s">
        <v>20</v>
      </c>
    </row>
    <row r="3644" customFormat="false" ht="15" hidden="false" customHeight="false" outlineLevel="0" collapsed="false">
      <c r="A3644" s="2" t="n">
        <v>52</v>
      </c>
      <c r="B3644" s="2" t="s">
        <v>29</v>
      </c>
      <c r="C3644" s="2" t="s">
        <v>30</v>
      </c>
      <c r="D3644" s="2" t="s">
        <v>31</v>
      </c>
      <c r="E3644" s="2" t="s">
        <v>20</v>
      </c>
      <c r="F3644" s="2" t="n">
        <v>83</v>
      </c>
      <c r="G3644" s="2" t="s">
        <v>20</v>
      </c>
      <c r="H3644" s="2" t="s">
        <v>20</v>
      </c>
      <c r="I3644" s="2" t="s">
        <v>21</v>
      </c>
      <c r="J3644" s="2" t="n">
        <v>26</v>
      </c>
      <c r="K3644" s="2" t="s">
        <v>41</v>
      </c>
      <c r="L3644" s="2" t="n">
        <v>1223</v>
      </c>
      <c r="M3644" s="2" t="n">
        <v>6</v>
      </c>
      <c r="N3644" s="2" t="n">
        <v>-1</v>
      </c>
      <c r="O3644" s="2" t="n">
        <v>0</v>
      </c>
      <c r="P3644" s="2" t="s">
        <v>23</v>
      </c>
      <c r="Q3644" s="2" t="s">
        <v>26</v>
      </c>
    </row>
    <row r="3645" customFormat="false" ht="15" hidden="false" customHeight="false" outlineLevel="0" collapsed="false">
      <c r="A3645" s="2" t="n">
        <v>45</v>
      </c>
      <c r="B3645" s="2" t="s">
        <v>40</v>
      </c>
      <c r="C3645" s="2" t="s">
        <v>45</v>
      </c>
      <c r="D3645" s="2" t="s">
        <v>23</v>
      </c>
      <c r="E3645" s="2" t="s">
        <v>20</v>
      </c>
      <c r="F3645" s="2" t="n">
        <v>998</v>
      </c>
      <c r="G3645" s="2" t="s">
        <v>26</v>
      </c>
      <c r="H3645" s="2" t="s">
        <v>20</v>
      </c>
      <c r="I3645" s="2" t="s">
        <v>49</v>
      </c>
      <c r="J3645" s="2" t="n">
        <v>30</v>
      </c>
      <c r="K3645" s="2" t="s">
        <v>44</v>
      </c>
      <c r="L3645" s="2" t="n">
        <v>38</v>
      </c>
      <c r="M3645" s="2" t="n">
        <v>2</v>
      </c>
      <c r="N3645" s="2" t="n">
        <v>-1</v>
      </c>
      <c r="O3645" s="2" t="n">
        <v>0</v>
      </c>
      <c r="P3645" s="2" t="s">
        <v>23</v>
      </c>
      <c r="Q3645" s="2" t="s">
        <v>20</v>
      </c>
    </row>
    <row r="3646" customFormat="false" ht="15" hidden="false" customHeight="false" outlineLevel="0" collapsed="false">
      <c r="A3646" s="2" t="n">
        <v>58</v>
      </c>
      <c r="B3646" s="2" t="s">
        <v>40</v>
      </c>
      <c r="C3646" s="2" t="s">
        <v>30</v>
      </c>
      <c r="D3646" s="2" t="s">
        <v>25</v>
      </c>
      <c r="E3646" s="2" t="s">
        <v>20</v>
      </c>
      <c r="F3646" s="2" t="n">
        <v>2223</v>
      </c>
      <c r="G3646" s="2" t="s">
        <v>20</v>
      </c>
      <c r="H3646" s="2" t="s">
        <v>20</v>
      </c>
      <c r="I3646" s="2" t="s">
        <v>21</v>
      </c>
      <c r="J3646" s="2" t="n">
        <v>4</v>
      </c>
      <c r="K3646" s="2" t="s">
        <v>53</v>
      </c>
      <c r="L3646" s="2" t="n">
        <v>1139</v>
      </c>
      <c r="M3646" s="2" t="n">
        <v>2</v>
      </c>
      <c r="N3646" s="2" t="n">
        <v>114</v>
      </c>
      <c r="O3646" s="2" t="n">
        <v>1</v>
      </c>
      <c r="P3646" s="2" t="s">
        <v>50</v>
      </c>
      <c r="Q3646" s="2" t="s">
        <v>20</v>
      </c>
    </row>
    <row r="3647" customFormat="false" ht="15" hidden="false" customHeight="false" outlineLevel="0" collapsed="false">
      <c r="A3647" s="2" t="n">
        <v>39</v>
      </c>
      <c r="B3647" s="2" t="s">
        <v>34</v>
      </c>
      <c r="C3647" s="2" t="s">
        <v>30</v>
      </c>
      <c r="D3647" s="2" t="s">
        <v>19</v>
      </c>
      <c r="E3647" s="2" t="s">
        <v>20</v>
      </c>
      <c r="F3647" s="2" t="n">
        <v>6</v>
      </c>
      <c r="G3647" s="2" t="s">
        <v>26</v>
      </c>
      <c r="H3647" s="2" t="s">
        <v>20</v>
      </c>
      <c r="I3647" s="2" t="s">
        <v>21</v>
      </c>
      <c r="J3647" s="2" t="n">
        <v>19</v>
      </c>
      <c r="K3647" s="2" t="s">
        <v>46</v>
      </c>
      <c r="L3647" s="2" t="n">
        <v>286</v>
      </c>
      <c r="M3647" s="2" t="n">
        <v>2</v>
      </c>
      <c r="N3647" s="2" t="n">
        <v>-1</v>
      </c>
      <c r="O3647" s="2" t="n">
        <v>0</v>
      </c>
      <c r="P3647" s="2" t="s">
        <v>23</v>
      </c>
      <c r="Q3647" s="2" t="s">
        <v>20</v>
      </c>
    </row>
    <row r="3648" customFormat="false" ht="15" hidden="false" customHeight="false" outlineLevel="0" collapsed="false">
      <c r="A3648" s="2" t="n">
        <v>48</v>
      </c>
      <c r="B3648" s="2" t="s">
        <v>34</v>
      </c>
      <c r="C3648" s="2" t="s">
        <v>30</v>
      </c>
      <c r="D3648" s="2" t="s">
        <v>25</v>
      </c>
      <c r="E3648" s="2" t="s">
        <v>20</v>
      </c>
      <c r="F3648" s="2" t="n">
        <v>312</v>
      </c>
      <c r="G3648" s="2" t="s">
        <v>26</v>
      </c>
      <c r="H3648" s="2" t="s">
        <v>26</v>
      </c>
      <c r="I3648" s="2" t="s">
        <v>21</v>
      </c>
      <c r="J3648" s="2" t="n">
        <v>3</v>
      </c>
      <c r="K3648" s="2" t="s">
        <v>35</v>
      </c>
      <c r="L3648" s="2" t="n">
        <v>369</v>
      </c>
      <c r="M3648" s="2" t="n">
        <v>2</v>
      </c>
      <c r="N3648" s="2" t="n">
        <v>-1</v>
      </c>
      <c r="O3648" s="2" t="n">
        <v>0</v>
      </c>
      <c r="P3648" s="2" t="s">
        <v>23</v>
      </c>
      <c r="Q3648" s="2" t="s">
        <v>20</v>
      </c>
    </row>
    <row r="3649" customFormat="false" ht="15" hidden="false" customHeight="false" outlineLevel="0" collapsed="false">
      <c r="A3649" s="2" t="n">
        <v>36</v>
      </c>
      <c r="B3649" s="2" t="s">
        <v>29</v>
      </c>
      <c r="C3649" s="2" t="s">
        <v>30</v>
      </c>
      <c r="D3649" s="2" t="s">
        <v>25</v>
      </c>
      <c r="E3649" s="2" t="s">
        <v>20</v>
      </c>
      <c r="F3649" s="2" t="n">
        <v>0</v>
      </c>
      <c r="G3649" s="2" t="s">
        <v>20</v>
      </c>
      <c r="H3649" s="2" t="s">
        <v>20</v>
      </c>
      <c r="I3649" s="2" t="s">
        <v>21</v>
      </c>
      <c r="J3649" s="2" t="n">
        <v>13</v>
      </c>
      <c r="K3649" s="2" t="s">
        <v>41</v>
      </c>
      <c r="L3649" s="2" t="n">
        <v>333</v>
      </c>
      <c r="M3649" s="2" t="n">
        <v>5</v>
      </c>
      <c r="N3649" s="2" t="n">
        <v>-1</v>
      </c>
      <c r="O3649" s="2" t="n">
        <v>0</v>
      </c>
      <c r="P3649" s="2" t="s">
        <v>23</v>
      </c>
      <c r="Q3649" s="2" t="s">
        <v>20</v>
      </c>
    </row>
    <row r="3650" customFormat="false" ht="15" hidden="false" customHeight="false" outlineLevel="0" collapsed="false">
      <c r="A3650" s="2" t="n">
        <v>31</v>
      </c>
      <c r="B3650" s="2" t="s">
        <v>38</v>
      </c>
      <c r="C3650" s="2" t="s">
        <v>30</v>
      </c>
      <c r="D3650" s="2" t="s">
        <v>25</v>
      </c>
      <c r="E3650" s="2" t="s">
        <v>20</v>
      </c>
      <c r="F3650" s="2" t="n">
        <v>691</v>
      </c>
      <c r="G3650" s="2" t="s">
        <v>26</v>
      </c>
      <c r="H3650" s="2" t="s">
        <v>20</v>
      </c>
      <c r="I3650" s="2" t="s">
        <v>21</v>
      </c>
      <c r="J3650" s="2" t="n">
        <v>8</v>
      </c>
      <c r="K3650" s="2" t="s">
        <v>27</v>
      </c>
      <c r="L3650" s="2" t="n">
        <v>198</v>
      </c>
      <c r="M3650" s="2" t="n">
        <v>1</v>
      </c>
      <c r="N3650" s="2" t="n">
        <v>-1</v>
      </c>
      <c r="O3650" s="2" t="n">
        <v>0</v>
      </c>
      <c r="P3650" s="2" t="s">
        <v>23</v>
      </c>
      <c r="Q3650" s="2" t="s">
        <v>20</v>
      </c>
    </row>
    <row r="3651" customFormat="false" ht="15" hidden="false" customHeight="false" outlineLevel="0" collapsed="false">
      <c r="A3651" s="2" t="n">
        <v>41</v>
      </c>
      <c r="B3651" s="2" t="s">
        <v>29</v>
      </c>
      <c r="C3651" s="2" t="s">
        <v>18</v>
      </c>
      <c r="D3651" s="2" t="s">
        <v>31</v>
      </c>
      <c r="E3651" s="2" t="s">
        <v>20</v>
      </c>
      <c r="F3651" s="2" t="n">
        <v>771</v>
      </c>
      <c r="G3651" s="2" t="s">
        <v>26</v>
      </c>
      <c r="H3651" s="2" t="s">
        <v>20</v>
      </c>
      <c r="I3651" s="2" t="s">
        <v>21</v>
      </c>
      <c r="J3651" s="2" t="n">
        <v>26</v>
      </c>
      <c r="K3651" s="2" t="s">
        <v>41</v>
      </c>
      <c r="L3651" s="2" t="n">
        <v>106</v>
      </c>
      <c r="M3651" s="2" t="n">
        <v>8</v>
      </c>
      <c r="N3651" s="2" t="n">
        <v>-1</v>
      </c>
      <c r="O3651" s="2" t="n">
        <v>0</v>
      </c>
      <c r="P3651" s="2" t="s">
        <v>23</v>
      </c>
      <c r="Q3651" s="2" t="s">
        <v>20</v>
      </c>
    </row>
    <row r="3652" customFormat="false" ht="15" hidden="false" customHeight="false" outlineLevel="0" collapsed="false">
      <c r="A3652" s="2" t="n">
        <v>30</v>
      </c>
      <c r="B3652" s="2" t="s">
        <v>36</v>
      </c>
      <c r="C3652" s="2" t="s">
        <v>30</v>
      </c>
      <c r="D3652" s="2" t="s">
        <v>25</v>
      </c>
      <c r="E3652" s="2" t="s">
        <v>20</v>
      </c>
      <c r="F3652" s="2" t="n">
        <v>192</v>
      </c>
      <c r="G3652" s="2" t="s">
        <v>20</v>
      </c>
      <c r="H3652" s="2" t="s">
        <v>20</v>
      </c>
      <c r="I3652" s="2" t="s">
        <v>21</v>
      </c>
      <c r="J3652" s="2" t="n">
        <v>22</v>
      </c>
      <c r="K3652" s="2" t="s">
        <v>44</v>
      </c>
      <c r="L3652" s="2" t="n">
        <v>423</v>
      </c>
      <c r="M3652" s="2" t="n">
        <v>1</v>
      </c>
      <c r="N3652" s="2" t="n">
        <v>-1</v>
      </c>
      <c r="O3652" s="2" t="n">
        <v>0</v>
      </c>
      <c r="P3652" s="2" t="s">
        <v>23</v>
      </c>
      <c r="Q3652" s="2" t="s">
        <v>20</v>
      </c>
    </row>
    <row r="3653" customFormat="false" ht="15" hidden="false" customHeight="false" outlineLevel="0" collapsed="false">
      <c r="A3653" s="2" t="n">
        <v>57</v>
      </c>
      <c r="B3653" s="2" t="s">
        <v>48</v>
      </c>
      <c r="C3653" s="2" t="s">
        <v>18</v>
      </c>
      <c r="D3653" s="2" t="s">
        <v>31</v>
      </c>
      <c r="E3653" s="2" t="s">
        <v>20</v>
      </c>
      <c r="F3653" s="2" t="n">
        <v>0</v>
      </c>
      <c r="G3653" s="2" t="s">
        <v>20</v>
      </c>
      <c r="H3653" s="2" t="s">
        <v>20</v>
      </c>
      <c r="I3653" s="2" t="s">
        <v>21</v>
      </c>
      <c r="J3653" s="2" t="n">
        <v>12</v>
      </c>
      <c r="K3653" s="2" t="s">
        <v>41</v>
      </c>
      <c r="L3653" s="2" t="n">
        <v>116</v>
      </c>
      <c r="M3653" s="2" t="n">
        <v>4</v>
      </c>
      <c r="N3653" s="2" t="n">
        <v>-1</v>
      </c>
      <c r="O3653" s="2" t="n">
        <v>0</v>
      </c>
      <c r="P3653" s="2" t="s">
        <v>23</v>
      </c>
      <c r="Q3653" s="2" t="s">
        <v>20</v>
      </c>
    </row>
    <row r="3654" customFormat="false" ht="15" hidden="false" customHeight="false" outlineLevel="0" collapsed="false">
      <c r="A3654" s="2" t="n">
        <v>29</v>
      </c>
      <c r="B3654" s="2" t="s">
        <v>40</v>
      </c>
      <c r="C3654" s="2" t="s">
        <v>30</v>
      </c>
      <c r="D3654" s="2" t="s">
        <v>25</v>
      </c>
      <c r="E3654" s="2" t="s">
        <v>20</v>
      </c>
      <c r="F3654" s="2" t="n">
        <v>1070</v>
      </c>
      <c r="G3654" s="2" t="s">
        <v>26</v>
      </c>
      <c r="H3654" s="2" t="s">
        <v>20</v>
      </c>
      <c r="I3654" s="2" t="s">
        <v>23</v>
      </c>
      <c r="J3654" s="2" t="n">
        <v>19</v>
      </c>
      <c r="K3654" s="2" t="s">
        <v>27</v>
      </c>
      <c r="L3654" s="2" t="n">
        <v>30</v>
      </c>
      <c r="M3654" s="2" t="n">
        <v>1</v>
      </c>
      <c r="N3654" s="2" t="n">
        <v>357</v>
      </c>
      <c r="O3654" s="2" t="n">
        <v>1</v>
      </c>
      <c r="P3654" s="2" t="s">
        <v>37</v>
      </c>
      <c r="Q3654" s="2" t="s">
        <v>26</v>
      </c>
    </row>
    <row r="3655" customFormat="false" ht="15" hidden="false" customHeight="false" outlineLevel="0" collapsed="false">
      <c r="A3655" s="2" t="n">
        <v>29</v>
      </c>
      <c r="B3655" s="2" t="s">
        <v>24</v>
      </c>
      <c r="C3655" s="2" t="s">
        <v>45</v>
      </c>
      <c r="D3655" s="2" t="s">
        <v>25</v>
      </c>
      <c r="E3655" s="2" t="s">
        <v>20</v>
      </c>
      <c r="F3655" s="2" t="n">
        <v>84</v>
      </c>
      <c r="G3655" s="2" t="s">
        <v>26</v>
      </c>
      <c r="H3655" s="2" t="s">
        <v>20</v>
      </c>
      <c r="I3655" s="2" t="s">
        <v>21</v>
      </c>
      <c r="J3655" s="2" t="n">
        <v>13</v>
      </c>
      <c r="K3655" s="2" t="s">
        <v>32</v>
      </c>
      <c r="L3655" s="2" t="n">
        <v>1101</v>
      </c>
      <c r="M3655" s="2" t="n">
        <v>2</v>
      </c>
      <c r="N3655" s="2" t="n">
        <v>-1</v>
      </c>
      <c r="O3655" s="2" t="n">
        <v>0</v>
      </c>
      <c r="P3655" s="2" t="s">
        <v>23</v>
      </c>
      <c r="Q3655" s="2" t="s">
        <v>26</v>
      </c>
    </row>
    <row r="3656" customFormat="false" ht="15" hidden="false" customHeight="false" outlineLevel="0" collapsed="false">
      <c r="A3656" s="2" t="n">
        <v>30</v>
      </c>
      <c r="B3656" s="2" t="s">
        <v>29</v>
      </c>
      <c r="C3656" s="2" t="s">
        <v>30</v>
      </c>
      <c r="D3656" s="2" t="s">
        <v>31</v>
      </c>
      <c r="E3656" s="2" t="s">
        <v>20</v>
      </c>
      <c r="F3656" s="2" t="n">
        <v>2</v>
      </c>
      <c r="G3656" s="2" t="s">
        <v>20</v>
      </c>
      <c r="H3656" s="2" t="s">
        <v>20</v>
      </c>
      <c r="I3656" s="2" t="s">
        <v>21</v>
      </c>
      <c r="J3656" s="2" t="n">
        <v>16</v>
      </c>
      <c r="K3656" s="2" t="s">
        <v>33</v>
      </c>
      <c r="L3656" s="2" t="n">
        <v>102</v>
      </c>
      <c r="M3656" s="2" t="n">
        <v>1</v>
      </c>
      <c r="N3656" s="2" t="n">
        <v>85</v>
      </c>
      <c r="O3656" s="2" t="n">
        <v>1</v>
      </c>
      <c r="P3656" s="2" t="s">
        <v>28</v>
      </c>
      <c r="Q3656" s="2" t="s">
        <v>20</v>
      </c>
    </row>
    <row r="3657" customFormat="false" ht="15" hidden="false" customHeight="false" outlineLevel="0" collapsed="false">
      <c r="A3657" s="2" t="n">
        <v>44</v>
      </c>
      <c r="B3657" s="2" t="s">
        <v>29</v>
      </c>
      <c r="C3657" s="2" t="s">
        <v>18</v>
      </c>
      <c r="D3657" s="2" t="s">
        <v>31</v>
      </c>
      <c r="E3657" s="2" t="s">
        <v>20</v>
      </c>
      <c r="F3657" s="2" t="n">
        <v>1242</v>
      </c>
      <c r="G3657" s="2" t="s">
        <v>26</v>
      </c>
      <c r="H3657" s="2" t="s">
        <v>20</v>
      </c>
      <c r="I3657" s="2" t="s">
        <v>21</v>
      </c>
      <c r="J3657" s="2" t="n">
        <v>6</v>
      </c>
      <c r="K3657" s="2" t="s">
        <v>41</v>
      </c>
      <c r="L3657" s="2" t="n">
        <v>384</v>
      </c>
      <c r="M3657" s="2" t="n">
        <v>6</v>
      </c>
      <c r="N3657" s="2" t="n">
        <v>-1</v>
      </c>
      <c r="O3657" s="2" t="n">
        <v>0</v>
      </c>
      <c r="P3657" s="2" t="s">
        <v>23</v>
      </c>
      <c r="Q3657" s="2" t="s">
        <v>20</v>
      </c>
    </row>
    <row r="3658" customFormat="false" ht="15" hidden="false" customHeight="false" outlineLevel="0" collapsed="false">
      <c r="A3658" s="2" t="n">
        <v>33</v>
      </c>
      <c r="B3658" s="2" t="s">
        <v>42</v>
      </c>
      <c r="C3658" s="2" t="s">
        <v>30</v>
      </c>
      <c r="D3658" s="2" t="s">
        <v>23</v>
      </c>
      <c r="E3658" s="2" t="s">
        <v>20</v>
      </c>
      <c r="F3658" s="2" t="n">
        <v>5969</v>
      </c>
      <c r="G3658" s="2" t="s">
        <v>20</v>
      </c>
      <c r="H3658" s="2" t="s">
        <v>20</v>
      </c>
      <c r="I3658" s="2" t="s">
        <v>21</v>
      </c>
      <c r="J3658" s="2" t="n">
        <v>4</v>
      </c>
      <c r="K3658" s="2" t="s">
        <v>51</v>
      </c>
      <c r="L3658" s="2" t="n">
        <v>156</v>
      </c>
      <c r="M3658" s="2" t="n">
        <v>2</v>
      </c>
      <c r="N3658" s="2" t="n">
        <v>127</v>
      </c>
      <c r="O3658" s="2" t="n">
        <v>8</v>
      </c>
      <c r="P3658" s="2" t="s">
        <v>28</v>
      </c>
      <c r="Q3658" s="2" t="s">
        <v>20</v>
      </c>
    </row>
    <row r="3659" customFormat="false" ht="15" hidden="false" customHeight="false" outlineLevel="0" collapsed="false">
      <c r="A3659" s="2" t="n">
        <v>56</v>
      </c>
      <c r="B3659" s="2" t="s">
        <v>40</v>
      </c>
      <c r="C3659" s="2" t="s">
        <v>45</v>
      </c>
      <c r="D3659" s="2" t="s">
        <v>25</v>
      </c>
      <c r="E3659" s="2" t="s">
        <v>20</v>
      </c>
      <c r="F3659" s="2" t="n">
        <v>3337</v>
      </c>
      <c r="G3659" s="2" t="s">
        <v>26</v>
      </c>
      <c r="H3659" s="2" t="s">
        <v>20</v>
      </c>
      <c r="I3659" s="2" t="s">
        <v>49</v>
      </c>
      <c r="J3659" s="2" t="n">
        <v>17</v>
      </c>
      <c r="K3659" s="2" t="s">
        <v>46</v>
      </c>
      <c r="L3659" s="2" t="n">
        <v>99</v>
      </c>
      <c r="M3659" s="2" t="n">
        <v>3</v>
      </c>
      <c r="N3659" s="2" t="n">
        <v>-1</v>
      </c>
      <c r="O3659" s="2" t="n">
        <v>0</v>
      </c>
      <c r="P3659" s="2" t="s">
        <v>23</v>
      </c>
      <c r="Q3659" s="2" t="s">
        <v>20</v>
      </c>
    </row>
    <row r="3660" customFormat="false" ht="15" hidden="false" customHeight="false" outlineLevel="0" collapsed="false">
      <c r="A3660" s="2" t="n">
        <v>26</v>
      </c>
      <c r="B3660" s="2" t="s">
        <v>24</v>
      </c>
      <c r="C3660" s="2" t="s">
        <v>30</v>
      </c>
      <c r="D3660" s="2" t="s">
        <v>25</v>
      </c>
      <c r="E3660" s="2" t="s">
        <v>20</v>
      </c>
      <c r="F3660" s="2" t="n">
        <v>1347</v>
      </c>
      <c r="G3660" s="2" t="s">
        <v>20</v>
      </c>
      <c r="H3660" s="2" t="s">
        <v>20</v>
      </c>
      <c r="I3660" s="2" t="s">
        <v>49</v>
      </c>
      <c r="J3660" s="2" t="n">
        <v>18</v>
      </c>
      <c r="K3660" s="2" t="s">
        <v>33</v>
      </c>
      <c r="L3660" s="2" t="n">
        <v>280</v>
      </c>
      <c r="M3660" s="2" t="n">
        <v>6</v>
      </c>
      <c r="N3660" s="2" t="n">
        <v>92</v>
      </c>
      <c r="O3660" s="2" t="n">
        <v>5</v>
      </c>
      <c r="P3660" s="2" t="s">
        <v>37</v>
      </c>
      <c r="Q3660" s="2" t="s">
        <v>26</v>
      </c>
    </row>
    <row r="3661" customFormat="false" ht="15" hidden="false" customHeight="false" outlineLevel="0" collapsed="false">
      <c r="A3661" s="2" t="n">
        <v>52</v>
      </c>
      <c r="B3661" s="2" t="s">
        <v>38</v>
      </c>
      <c r="C3661" s="2" t="s">
        <v>18</v>
      </c>
      <c r="D3661" s="2" t="s">
        <v>25</v>
      </c>
      <c r="E3661" s="2" t="s">
        <v>20</v>
      </c>
      <c r="F3661" s="2" t="n">
        <v>64</v>
      </c>
      <c r="G3661" s="2" t="s">
        <v>20</v>
      </c>
      <c r="H3661" s="2" t="s">
        <v>20</v>
      </c>
      <c r="I3661" s="2" t="s">
        <v>49</v>
      </c>
      <c r="J3661" s="2" t="n">
        <v>29</v>
      </c>
      <c r="K3661" s="2" t="s">
        <v>41</v>
      </c>
      <c r="L3661" s="2" t="n">
        <v>20</v>
      </c>
      <c r="M3661" s="2" t="n">
        <v>2</v>
      </c>
      <c r="N3661" s="2" t="n">
        <v>-1</v>
      </c>
      <c r="O3661" s="2" t="n">
        <v>0</v>
      </c>
      <c r="P3661" s="2" t="s">
        <v>23</v>
      </c>
      <c r="Q3661" s="2" t="s">
        <v>20</v>
      </c>
    </row>
    <row r="3662" customFormat="false" ht="15" hidden="false" customHeight="false" outlineLevel="0" collapsed="false">
      <c r="A3662" s="2" t="n">
        <v>32</v>
      </c>
      <c r="B3662" s="2" t="s">
        <v>29</v>
      </c>
      <c r="C3662" s="2" t="s">
        <v>30</v>
      </c>
      <c r="D3662" s="2" t="s">
        <v>25</v>
      </c>
      <c r="E3662" s="2" t="s">
        <v>20</v>
      </c>
      <c r="F3662" s="2" t="n">
        <v>249</v>
      </c>
      <c r="G3662" s="2" t="s">
        <v>26</v>
      </c>
      <c r="H3662" s="2" t="s">
        <v>20</v>
      </c>
      <c r="I3662" s="2" t="s">
        <v>23</v>
      </c>
      <c r="J3662" s="2" t="n">
        <v>2</v>
      </c>
      <c r="K3662" s="2" t="s">
        <v>33</v>
      </c>
      <c r="L3662" s="2" t="n">
        <v>258</v>
      </c>
      <c r="M3662" s="2" t="n">
        <v>1</v>
      </c>
      <c r="N3662" s="2" t="n">
        <v>-1</v>
      </c>
      <c r="O3662" s="2" t="n">
        <v>0</v>
      </c>
      <c r="P3662" s="2" t="s">
        <v>23</v>
      </c>
      <c r="Q3662" s="2" t="s">
        <v>20</v>
      </c>
    </row>
    <row r="3663" customFormat="false" ht="15" hidden="false" customHeight="false" outlineLevel="0" collapsed="false">
      <c r="A3663" s="2" t="n">
        <v>36</v>
      </c>
      <c r="B3663" s="2" t="s">
        <v>38</v>
      </c>
      <c r="C3663" s="2" t="s">
        <v>30</v>
      </c>
      <c r="D3663" s="2" t="s">
        <v>25</v>
      </c>
      <c r="E3663" s="2" t="s">
        <v>20</v>
      </c>
      <c r="F3663" s="2" t="n">
        <v>0</v>
      </c>
      <c r="G3663" s="2" t="s">
        <v>20</v>
      </c>
      <c r="H3663" s="2" t="s">
        <v>20</v>
      </c>
      <c r="I3663" s="2" t="s">
        <v>21</v>
      </c>
      <c r="J3663" s="2" t="n">
        <v>29</v>
      </c>
      <c r="K3663" s="2" t="s">
        <v>41</v>
      </c>
      <c r="L3663" s="2" t="n">
        <v>85</v>
      </c>
      <c r="M3663" s="2" t="n">
        <v>6</v>
      </c>
      <c r="N3663" s="2" t="n">
        <v>-1</v>
      </c>
      <c r="O3663" s="2" t="n">
        <v>0</v>
      </c>
      <c r="P3663" s="2" t="s">
        <v>23</v>
      </c>
      <c r="Q3663" s="2" t="s">
        <v>20</v>
      </c>
    </row>
    <row r="3664" customFormat="false" ht="15" hidden="false" customHeight="false" outlineLevel="0" collapsed="false">
      <c r="A3664" s="2" t="n">
        <v>26</v>
      </c>
      <c r="B3664" s="2" t="s">
        <v>34</v>
      </c>
      <c r="C3664" s="2" t="s">
        <v>18</v>
      </c>
      <c r="D3664" s="2" t="s">
        <v>25</v>
      </c>
      <c r="E3664" s="2" t="s">
        <v>20</v>
      </c>
      <c r="F3664" s="2" t="n">
        <v>128</v>
      </c>
      <c r="G3664" s="2" t="s">
        <v>20</v>
      </c>
      <c r="H3664" s="2" t="s">
        <v>20</v>
      </c>
      <c r="I3664" s="2" t="s">
        <v>23</v>
      </c>
      <c r="J3664" s="2" t="n">
        <v>4</v>
      </c>
      <c r="K3664" s="2" t="s">
        <v>44</v>
      </c>
      <c r="L3664" s="2" t="n">
        <v>355</v>
      </c>
      <c r="M3664" s="2" t="n">
        <v>1</v>
      </c>
      <c r="N3664" s="2" t="n">
        <v>-1</v>
      </c>
      <c r="O3664" s="2" t="n">
        <v>0</v>
      </c>
      <c r="P3664" s="2" t="s">
        <v>23</v>
      </c>
      <c r="Q3664" s="2" t="s">
        <v>20</v>
      </c>
    </row>
    <row r="3665" customFormat="false" ht="15" hidden="false" customHeight="false" outlineLevel="0" collapsed="false">
      <c r="A3665" s="2" t="n">
        <v>37</v>
      </c>
      <c r="B3665" s="2" t="s">
        <v>34</v>
      </c>
      <c r="C3665" s="2" t="s">
        <v>18</v>
      </c>
      <c r="D3665" s="2" t="s">
        <v>25</v>
      </c>
      <c r="E3665" s="2" t="s">
        <v>20</v>
      </c>
      <c r="F3665" s="2" t="n">
        <v>196</v>
      </c>
      <c r="G3665" s="2" t="s">
        <v>26</v>
      </c>
      <c r="H3665" s="2" t="s">
        <v>20</v>
      </c>
      <c r="I3665" s="2" t="s">
        <v>23</v>
      </c>
      <c r="J3665" s="2" t="n">
        <v>5</v>
      </c>
      <c r="K3665" s="2" t="s">
        <v>33</v>
      </c>
      <c r="L3665" s="2" t="n">
        <v>66</v>
      </c>
      <c r="M3665" s="2" t="n">
        <v>3</v>
      </c>
      <c r="N3665" s="2" t="n">
        <v>-1</v>
      </c>
      <c r="O3665" s="2" t="n">
        <v>0</v>
      </c>
      <c r="P3665" s="2" t="s">
        <v>23</v>
      </c>
      <c r="Q3665" s="2" t="s">
        <v>20</v>
      </c>
    </row>
    <row r="3666" customFormat="false" ht="15" hidden="false" customHeight="false" outlineLevel="0" collapsed="false">
      <c r="A3666" s="2" t="n">
        <v>34</v>
      </c>
      <c r="B3666" s="2" t="s">
        <v>38</v>
      </c>
      <c r="C3666" s="2" t="s">
        <v>18</v>
      </c>
      <c r="D3666" s="2" t="s">
        <v>25</v>
      </c>
      <c r="E3666" s="2" t="s">
        <v>20</v>
      </c>
      <c r="F3666" s="2" t="n">
        <v>351</v>
      </c>
      <c r="G3666" s="2" t="s">
        <v>26</v>
      </c>
      <c r="H3666" s="2" t="s">
        <v>20</v>
      </c>
      <c r="I3666" s="2" t="s">
        <v>21</v>
      </c>
      <c r="J3666" s="2" t="n">
        <v>18</v>
      </c>
      <c r="K3666" s="2" t="s">
        <v>44</v>
      </c>
      <c r="L3666" s="2" t="n">
        <v>467</v>
      </c>
      <c r="M3666" s="2" t="n">
        <v>1</v>
      </c>
      <c r="N3666" s="2" t="n">
        <v>-1</v>
      </c>
      <c r="O3666" s="2" t="n">
        <v>0</v>
      </c>
      <c r="P3666" s="2" t="s">
        <v>23</v>
      </c>
      <c r="Q3666" s="2" t="s">
        <v>20</v>
      </c>
    </row>
    <row r="3667" customFormat="false" ht="15" hidden="false" customHeight="false" outlineLevel="0" collapsed="false">
      <c r="A3667" s="2" t="n">
        <v>26</v>
      </c>
      <c r="B3667" s="2" t="s">
        <v>24</v>
      </c>
      <c r="C3667" s="2" t="s">
        <v>30</v>
      </c>
      <c r="D3667" s="2" t="s">
        <v>25</v>
      </c>
      <c r="E3667" s="2" t="s">
        <v>20</v>
      </c>
      <c r="F3667" s="2" t="n">
        <v>5533</v>
      </c>
      <c r="G3667" s="2" t="s">
        <v>26</v>
      </c>
      <c r="H3667" s="2" t="s">
        <v>20</v>
      </c>
      <c r="I3667" s="2" t="s">
        <v>21</v>
      </c>
      <c r="J3667" s="2" t="n">
        <v>7</v>
      </c>
      <c r="K3667" s="2" t="s">
        <v>27</v>
      </c>
      <c r="L3667" s="2" t="n">
        <v>582</v>
      </c>
      <c r="M3667" s="2" t="n">
        <v>2</v>
      </c>
      <c r="N3667" s="2" t="n">
        <v>283</v>
      </c>
      <c r="O3667" s="2" t="n">
        <v>4</v>
      </c>
      <c r="P3667" s="2" t="s">
        <v>28</v>
      </c>
      <c r="Q3667" s="2" t="s">
        <v>20</v>
      </c>
    </row>
    <row r="3668" customFormat="false" ht="15" hidden="false" customHeight="false" outlineLevel="0" collapsed="false">
      <c r="A3668" s="2" t="n">
        <v>32</v>
      </c>
      <c r="B3668" s="2" t="s">
        <v>24</v>
      </c>
      <c r="C3668" s="2" t="s">
        <v>18</v>
      </c>
      <c r="D3668" s="2" t="s">
        <v>25</v>
      </c>
      <c r="E3668" s="2" t="s">
        <v>20</v>
      </c>
      <c r="F3668" s="2" t="n">
        <v>38</v>
      </c>
      <c r="G3668" s="2" t="s">
        <v>26</v>
      </c>
      <c r="H3668" s="2" t="s">
        <v>20</v>
      </c>
      <c r="I3668" s="2" t="s">
        <v>21</v>
      </c>
      <c r="J3668" s="2" t="n">
        <v>15</v>
      </c>
      <c r="K3668" s="2" t="s">
        <v>27</v>
      </c>
      <c r="L3668" s="2" t="n">
        <v>744</v>
      </c>
      <c r="M3668" s="2" t="n">
        <v>1</v>
      </c>
      <c r="N3668" s="2" t="n">
        <v>-1</v>
      </c>
      <c r="O3668" s="2" t="n">
        <v>0</v>
      </c>
      <c r="P3668" s="2" t="s">
        <v>23</v>
      </c>
      <c r="Q3668" s="2" t="s">
        <v>26</v>
      </c>
    </row>
    <row r="3669" customFormat="false" ht="15" hidden="false" customHeight="false" outlineLevel="0" collapsed="false">
      <c r="A3669" s="2" t="n">
        <v>30</v>
      </c>
      <c r="B3669" s="2" t="s">
        <v>29</v>
      </c>
      <c r="C3669" s="2" t="s">
        <v>30</v>
      </c>
      <c r="D3669" s="2" t="s">
        <v>31</v>
      </c>
      <c r="E3669" s="2" t="s">
        <v>26</v>
      </c>
      <c r="F3669" s="2" t="n">
        <v>35</v>
      </c>
      <c r="G3669" s="2" t="s">
        <v>20</v>
      </c>
      <c r="H3669" s="2" t="s">
        <v>20</v>
      </c>
      <c r="I3669" s="2" t="s">
        <v>21</v>
      </c>
      <c r="J3669" s="2" t="n">
        <v>30</v>
      </c>
      <c r="K3669" s="2" t="s">
        <v>44</v>
      </c>
      <c r="L3669" s="2" t="n">
        <v>185</v>
      </c>
      <c r="M3669" s="2" t="n">
        <v>4</v>
      </c>
      <c r="N3669" s="2" t="n">
        <v>-1</v>
      </c>
      <c r="O3669" s="2" t="n">
        <v>0</v>
      </c>
      <c r="P3669" s="2" t="s">
        <v>23</v>
      </c>
      <c r="Q3669" s="2" t="s">
        <v>20</v>
      </c>
    </row>
    <row r="3670" customFormat="false" ht="15" hidden="false" customHeight="false" outlineLevel="0" collapsed="false">
      <c r="A3670" s="2" t="n">
        <v>27</v>
      </c>
      <c r="B3670" s="2" t="s">
        <v>38</v>
      </c>
      <c r="C3670" s="2" t="s">
        <v>30</v>
      </c>
      <c r="D3670" s="2" t="s">
        <v>25</v>
      </c>
      <c r="E3670" s="2" t="s">
        <v>20</v>
      </c>
      <c r="F3670" s="2" t="n">
        <v>235</v>
      </c>
      <c r="G3670" s="2" t="s">
        <v>26</v>
      </c>
      <c r="H3670" s="2" t="s">
        <v>20</v>
      </c>
      <c r="I3670" s="2" t="s">
        <v>21</v>
      </c>
      <c r="J3670" s="2" t="n">
        <v>12</v>
      </c>
      <c r="K3670" s="2" t="s">
        <v>27</v>
      </c>
      <c r="L3670" s="2" t="n">
        <v>13</v>
      </c>
      <c r="M3670" s="2" t="n">
        <v>5</v>
      </c>
      <c r="N3670" s="2" t="n">
        <v>-1</v>
      </c>
      <c r="O3670" s="2" t="n">
        <v>0</v>
      </c>
      <c r="P3670" s="2" t="s">
        <v>23</v>
      </c>
      <c r="Q3670" s="2" t="s">
        <v>20</v>
      </c>
    </row>
    <row r="3671" customFormat="false" ht="15" hidden="false" customHeight="false" outlineLevel="0" collapsed="false">
      <c r="A3671" s="2" t="n">
        <v>42</v>
      </c>
      <c r="B3671" s="2" t="s">
        <v>40</v>
      </c>
      <c r="C3671" s="2" t="s">
        <v>30</v>
      </c>
      <c r="D3671" s="2" t="s">
        <v>25</v>
      </c>
      <c r="E3671" s="2" t="s">
        <v>20</v>
      </c>
      <c r="F3671" s="2" t="n">
        <v>30</v>
      </c>
      <c r="G3671" s="2" t="s">
        <v>26</v>
      </c>
      <c r="H3671" s="2" t="s">
        <v>20</v>
      </c>
      <c r="I3671" s="2" t="s">
        <v>21</v>
      </c>
      <c r="J3671" s="2" t="n">
        <v>4</v>
      </c>
      <c r="K3671" s="2" t="s">
        <v>35</v>
      </c>
      <c r="L3671" s="2" t="n">
        <v>98</v>
      </c>
      <c r="M3671" s="2" t="n">
        <v>1</v>
      </c>
      <c r="N3671" s="2" t="n">
        <v>266</v>
      </c>
      <c r="O3671" s="2" t="n">
        <v>3</v>
      </c>
      <c r="P3671" s="2" t="s">
        <v>28</v>
      </c>
      <c r="Q3671" s="2" t="s">
        <v>20</v>
      </c>
    </row>
    <row r="3672" customFormat="false" ht="15" hidden="false" customHeight="false" outlineLevel="0" collapsed="false">
      <c r="A3672" s="2" t="n">
        <v>33</v>
      </c>
      <c r="B3672" s="2" t="s">
        <v>34</v>
      </c>
      <c r="C3672" s="2" t="s">
        <v>30</v>
      </c>
      <c r="D3672" s="2" t="s">
        <v>19</v>
      </c>
      <c r="E3672" s="2" t="s">
        <v>20</v>
      </c>
      <c r="F3672" s="2" t="n">
        <v>92</v>
      </c>
      <c r="G3672" s="2" t="s">
        <v>26</v>
      </c>
      <c r="H3672" s="2" t="s">
        <v>20</v>
      </c>
      <c r="I3672" s="2" t="s">
        <v>23</v>
      </c>
      <c r="J3672" s="2" t="n">
        <v>9</v>
      </c>
      <c r="K3672" s="2" t="s">
        <v>27</v>
      </c>
      <c r="L3672" s="2" t="n">
        <v>127</v>
      </c>
      <c r="M3672" s="2" t="n">
        <v>1</v>
      </c>
      <c r="N3672" s="2" t="n">
        <v>-1</v>
      </c>
      <c r="O3672" s="2" t="n">
        <v>0</v>
      </c>
      <c r="P3672" s="2" t="s">
        <v>23</v>
      </c>
      <c r="Q3672" s="2" t="s">
        <v>20</v>
      </c>
    </row>
    <row r="3673" customFormat="false" ht="15" hidden="false" customHeight="false" outlineLevel="0" collapsed="false">
      <c r="A3673" s="2" t="n">
        <v>37</v>
      </c>
      <c r="B3673" s="2" t="s">
        <v>34</v>
      </c>
      <c r="C3673" s="2" t="s">
        <v>18</v>
      </c>
      <c r="D3673" s="2" t="s">
        <v>25</v>
      </c>
      <c r="E3673" s="2" t="s">
        <v>20</v>
      </c>
      <c r="F3673" s="2" t="n">
        <v>67</v>
      </c>
      <c r="G3673" s="2" t="s">
        <v>20</v>
      </c>
      <c r="H3673" s="2" t="s">
        <v>20</v>
      </c>
      <c r="I3673" s="2" t="s">
        <v>23</v>
      </c>
      <c r="J3673" s="2" t="n">
        <v>3</v>
      </c>
      <c r="K3673" s="2" t="s">
        <v>33</v>
      </c>
      <c r="L3673" s="2" t="n">
        <v>45</v>
      </c>
      <c r="M3673" s="2" t="n">
        <v>2</v>
      </c>
      <c r="N3673" s="2" t="n">
        <v>-1</v>
      </c>
      <c r="O3673" s="2" t="n">
        <v>0</v>
      </c>
      <c r="P3673" s="2" t="s">
        <v>23</v>
      </c>
      <c r="Q3673" s="2" t="s">
        <v>20</v>
      </c>
    </row>
    <row r="3674" customFormat="false" ht="15" hidden="false" customHeight="false" outlineLevel="0" collapsed="false">
      <c r="A3674" s="2" t="n">
        <v>45</v>
      </c>
      <c r="B3674" s="2" t="s">
        <v>34</v>
      </c>
      <c r="C3674" s="2" t="s">
        <v>18</v>
      </c>
      <c r="D3674" s="2" t="s">
        <v>25</v>
      </c>
      <c r="E3674" s="2" t="s">
        <v>20</v>
      </c>
      <c r="F3674" s="2" t="n">
        <v>4022</v>
      </c>
      <c r="G3674" s="2" t="s">
        <v>26</v>
      </c>
      <c r="H3674" s="2" t="s">
        <v>20</v>
      </c>
      <c r="I3674" s="2" t="s">
        <v>21</v>
      </c>
      <c r="J3674" s="2" t="n">
        <v>29</v>
      </c>
      <c r="K3674" s="2" t="s">
        <v>43</v>
      </c>
      <c r="L3674" s="2" t="n">
        <v>244</v>
      </c>
      <c r="M3674" s="2" t="n">
        <v>3</v>
      </c>
      <c r="N3674" s="2" t="n">
        <v>-1</v>
      </c>
      <c r="O3674" s="2" t="n">
        <v>0</v>
      </c>
      <c r="P3674" s="2" t="s">
        <v>23</v>
      </c>
      <c r="Q3674" s="2" t="s">
        <v>20</v>
      </c>
    </row>
    <row r="3675" customFormat="false" ht="15" hidden="false" customHeight="false" outlineLevel="0" collapsed="false">
      <c r="A3675" s="2" t="n">
        <v>36</v>
      </c>
      <c r="B3675" s="2" t="s">
        <v>39</v>
      </c>
      <c r="C3675" s="2" t="s">
        <v>18</v>
      </c>
      <c r="D3675" s="2" t="s">
        <v>31</v>
      </c>
      <c r="E3675" s="2" t="s">
        <v>20</v>
      </c>
      <c r="F3675" s="2" t="n">
        <v>3057</v>
      </c>
      <c r="G3675" s="2" t="s">
        <v>20</v>
      </c>
      <c r="H3675" s="2" t="s">
        <v>20</v>
      </c>
      <c r="I3675" s="2" t="s">
        <v>23</v>
      </c>
      <c r="J3675" s="2" t="n">
        <v>16</v>
      </c>
      <c r="K3675" s="2" t="s">
        <v>33</v>
      </c>
      <c r="L3675" s="2" t="n">
        <v>2769</v>
      </c>
      <c r="M3675" s="2" t="n">
        <v>4</v>
      </c>
      <c r="N3675" s="2" t="n">
        <v>-1</v>
      </c>
      <c r="O3675" s="2" t="n">
        <v>0</v>
      </c>
      <c r="P3675" s="2" t="s">
        <v>23</v>
      </c>
      <c r="Q3675" s="2" t="s">
        <v>26</v>
      </c>
    </row>
    <row r="3676" customFormat="false" ht="15" hidden="false" customHeight="false" outlineLevel="0" collapsed="false">
      <c r="A3676" s="2" t="n">
        <v>39</v>
      </c>
      <c r="B3676" s="2" t="s">
        <v>29</v>
      </c>
      <c r="C3676" s="2" t="s">
        <v>30</v>
      </c>
      <c r="D3676" s="2" t="s">
        <v>31</v>
      </c>
      <c r="E3676" s="2" t="s">
        <v>20</v>
      </c>
      <c r="F3676" s="2" t="n">
        <v>0</v>
      </c>
      <c r="G3676" s="2" t="s">
        <v>26</v>
      </c>
      <c r="H3676" s="2" t="s">
        <v>20</v>
      </c>
      <c r="I3676" s="2" t="s">
        <v>21</v>
      </c>
      <c r="J3676" s="2" t="n">
        <v>12</v>
      </c>
      <c r="K3676" s="2" t="s">
        <v>27</v>
      </c>
      <c r="L3676" s="2" t="n">
        <v>561</v>
      </c>
      <c r="M3676" s="2" t="n">
        <v>4</v>
      </c>
      <c r="N3676" s="2" t="n">
        <v>369</v>
      </c>
      <c r="O3676" s="2" t="n">
        <v>3</v>
      </c>
      <c r="P3676" s="2" t="s">
        <v>28</v>
      </c>
      <c r="Q3676" s="2" t="s">
        <v>20</v>
      </c>
    </row>
    <row r="3677" customFormat="false" ht="15" hidden="false" customHeight="false" outlineLevel="0" collapsed="false">
      <c r="A3677" s="2" t="n">
        <v>33</v>
      </c>
      <c r="B3677" s="2" t="s">
        <v>29</v>
      </c>
      <c r="C3677" s="2" t="s">
        <v>30</v>
      </c>
      <c r="D3677" s="2" t="s">
        <v>31</v>
      </c>
      <c r="E3677" s="2" t="s">
        <v>20</v>
      </c>
      <c r="F3677" s="2" t="n">
        <v>349</v>
      </c>
      <c r="G3677" s="2" t="s">
        <v>20</v>
      </c>
      <c r="H3677" s="2" t="s">
        <v>20</v>
      </c>
      <c r="I3677" s="2" t="s">
        <v>21</v>
      </c>
      <c r="J3677" s="2" t="n">
        <v>22</v>
      </c>
      <c r="K3677" s="2" t="s">
        <v>41</v>
      </c>
      <c r="L3677" s="2" t="n">
        <v>182</v>
      </c>
      <c r="M3677" s="2" t="n">
        <v>1</v>
      </c>
      <c r="N3677" s="2" t="n">
        <v>-1</v>
      </c>
      <c r="O3677" s="2" t="n">
        <v>0</v>
      </c>
      <c r="P3677" s="2" t="s">
        <v>23</v>
      </c>
      <c r="Q3677" s="2" t="s">
        <v>20</v>
      </c>
    </row>
    <row r="3678" customFormat="false" ht="15" hidden="false" customHeight="false" outlineLevel="0" collapsed="false">
      <c r="A3678" s="2" t="n">
        <v>47</v>
      </c>
      <c r="B3678" s="2" t="s">
        <v>24</v>
      </c>
      <c r="C3678" s="2" t="s">
        <v>18</v>
      </c>
      <c r="D3678" s="2" t="s">
        <v>25</v>
      </c>
      <c r="E3678" s="2" t="s">
        <v>20</v>
      </c>
      <c r="F3678" s="2" t="n">
        <v>2322</v>
      </c>
      <c r="G3678" s="2" t="s">
        <v>20</v>
      </c>
      <c r="H3678" s="2" t="s">
        <v>20</v>
      </c>
      <c r="I3678" s="2" t="s">
        <v>21</v>
      </c>
      <c r="J3678" s="2" t="n">
        <v>22</v>
      </c>
      <c r="K3678" s="2" t="s">
        <v>41</v>
      </c>
      <c r="L3678" s="2" t="n">
        <v>618</v>
      </c>
      <c r="M3678" s="2" t="n">
        <v>1</v>
      </c>
      <c r="N3678" s="2" t="n">
        <v>-1</v>
      </c>
      <c r="O3678" s="2" t="n">
        <v>0</v>
      </c>
      <c r="P3678" s="2" t="s">
        <v>23</v>
      </c>
      <c r="Q3678" s="2" t="s">
        <v>20</v>
      </c>
    </row>
    <row r="3679" customFormat="false" ht="15" hidden="false" customHeight="false" outlineLevel="0" collapsed="false">
      <c r="A3679" s="2" t="n">
        <v>49</v>
      </c>
      <c r="B3679" s="2" t="s">
        <v>39</v>
      </c>
      <c r="C3679" s="2" t="s">
        <v>18</v>
      </c>
      <c r="D3679" s="2" t="s">
        <v>25</v>
      </c>
      <c r="E3679" s="2" t="s">
        <v>20</v>
      </c>
      <c r="F3679" s="2" t="n">
        <v>167</v>
      </c>
      <c r="G3679" s="2" t="s">
        <v>26</v>
      </c>
      <c r="H3679" s="2" t="s">
        <v>26</v>
      </c>
      <c r="I3679" s="2" t="s">
        <v>23</v>
      </c>
      <c r="J3679" s="2" t="n">
        <v>6</v>
      </c>
      <c r="K3679" s="2" t="s">
        <v>27</v>
      </c>
      <c r="L3679" s="2" t="n">
        <v>198</v>
      </c>
      <c r="M3679" s="2" t="n">
        <v>3</v>
      </c>
      <c r="N3679" s="2" t="n">
        <v>-1</v>
      </c>
      <c r="O3679" s="2" t="n">
        <v>0</v>
      </c>
      <c r="P3679" s="2" t="s">
        <v>23</v>
      </c>
      <c r="Q3679" s="2" t="s">
        <v>20</v>
      </c>
    </row>
    <row r="3680" customFormat="false" ht="15" hidden="false" customHeight="false" outlineLevel="0" collapsed="false">
      <c r="A3680" s="2" t="n">
        <v>46</v>
      </c>
      <c r="B3680" s="2" t="s">
        <v>29</v>
      </c>
      <c r="C3680" s="2" t="s">
        <v>45</v>
      </c>
      <c r="D3680" s="2" t="s">
        <v>25</v>
      </c>
      <c r="E3680" s="2" t="s">
        <v>20</v>
      </c>
      <c r="F3680" s="2" t="n">
        <v>558</v>
      </c>
      <c r="G3680" s="2" t="s">
        <v>20</v>
      </c>
      <c r="H3680" s="2" t="s">
        <v>20</v>
      </c>
      <c r="I3680" s="2" t="s">
        <v>21</v>
      </c>
      <c r="J3680" s="2" t="n">
        <v>19</v>
      </c>
      <c r="K3680" s="2" t="s">
        <v>41</v>
      </c>
      <c r="L3680" s="2" t="n">
        <v>126</v>
      </c>
      <c r="M3680" s="2" t="n">
        <v>6</v>
      </c>
      <c r="N3680" s="2" t="n">
        <v>-1</v>
      </c>
      <c r="O3680" s="2" t="n">
        <v>0</v>
      </c>
      <c r="P3680" s="2" t="s">
        <v>23</v>
      </c>
      <c r="Q3680" s="2" t="s">
        <v>20</v>
      </c>
    </row>
    <row r="3681" customFormat="false" ht="15" hidden="false" customHeight="false" outlineLevel="0" collapsed="false">
      <c r="A3681" s="2" t="n">
        <v>31</v>
      </c>
      <c r="B3681" s="2" t="s">
        <v>24</v>
      </c>
      <c r="C3681" s="2" t="s">
        <v>18</v>
      </c>
      <c r="D3681" s="2" t="s">
        <v>25</v>
      </c>
      <c r="E3681" s="2" t="s">
        <v>20</v>
      </c>
      <c r="F3681" s="2" t="n">
        <v>-230</v>
      </c>
      <c r="G3681" s="2" t="s">
        <v>26</v>
      </c>
      <c r="H3681" s="2" t="s">
        <v>26</v>
      </c>
      <c r="I3681" s="2" t="s">
        <v>21</v>
      </c>
      <c r="J3681" s="2" t="n">
        <v>16</v>
      </c>
      <c r="K3681" s="2" t="s">
        <v>44</v>
      </c>
      <c r="L3681" s="2" t="n">
        <v>715</v>
      </c>
      <c r="M3681" s="2" t="n">
        <v>1</v>
      </c>
      <c r="N3681" s="2" t="n">
        <v>-1</v>
      </c>
      <c r="O3681" s="2" t="n">
        <v>0</v>
      </c>
      <c r="P3681" s="2" t="s">
        <v>23</v>
      </c>
      <c r="Q3681" s="2" t="s">
        <v>20</v>
      </c>
    </row>
    <row r="3682" customFormat="false" ht="15" hidden="false" customHeight="false" outlineLevel="0" collapsed="false">
      <c r="A3682" s="2" t="n">
        <v>43</v>
      </c>
      <c r="B3682" s="2" t="s">
        <v>17</v>
      </c>
      <c r="C3682" s="2" t="s">
        <v>45</v>
      </c>
      <c r="D3682" s="2" t="s">
        <v>25</v>
      </c>
      <c r="E3682" s="2" t="s">
        <v>20</v>
      </c>
      <c r="F3682" s="2" t="n">
        <v>4094</v>
      </c>
      <c r="G3682" s="2" t="s">
        <v>26</v>
      </c>
      <c r="H3682" s="2" t="s">
        <v>20</v>
      </c>
      <c r="I3682" s="2" t="s">
        <v>21</v>
      </c>
      <c r="J3682" s="2" t="n">
        <v>21</v>
      </c>
      <c r="K3682" s="2" t="s">
        <v>46</v>
      </c>
      <c r="L3682" s="2" t="n">
        <v>63</v>
      </c>
      <c r="M3682" s="2" t="n">
        <v>1</v>
      </c>
      <c r="N3682" s="2" t="n">
        <v>-1</v>
      </c>
      <c r="O3682" s="2" t="n">
        <v>0</v>
      </c>
      <c r="P3682" s="2" t="s">
        <v>23</v>
      </c>
      <c r="Q3682" s="2" t="s">
        <v>20</v>
      </c>
    </row>
    <row r="3683" customFormat="false" ht="15" hidden="false" customHeight="false" outlineLevel="0" collapsed="false">
      <c r="A3683" s="2" t="n">
        <v>30</v>
      </c>
      <c r="B3683" s="2" t="s">
        <v>34</v>
      </c>
      <c r="C3683" s="2" t="s">
        <v>30</v>
      </c>
      <c r="D3683" s="2" t="s">
        <v>25</v>
      </c>
      <c r="E3683" s="2" t="s">
        <v>26</v>
      </c>
      <c r="F3683" s="2" t="n">
        <v>239</v>
      </c>
      <c r="G3683" s="2" t="s">
        <v>26</v>
      </c>
      <c r="H3683" s="2" t="s">
        <v>20</v>
      </c>
      <c r="I3683" s="2" t="s">
        <v>23</v>
      </c>
      <c r="J3683" s="2" t="n">
        <v>21</v>
      </c>
      <c r="K3683" s="2" t="s">
        <v>27</v>
      </c>
      <c r="L3683" s="2" t="n">
        <v>412</v>
      </c>
      <c r="M3683" s="2" t="n">
        <v>1</v>
      </c>
      <c r="N3683" s="2" t="n">
        <v>-1</v>
      </c>
      <c r="O3683" s="2" t="n">
        <v>0</v>
      </c>
      <c r="P3683" s="2" t="s">
        <v>23</v>
      </c>
      <c r="Q3683" s="2" t="s">
        <v>26</v>
      </c>
    </row>
    <row r="3684" customFormat="false" ht="15" hidden="false" customHeight="false" outlineLevel="0" collapsed="false">
      <c r="A3684" s="2" t="n">
        <v>43</v>
      </c>
      <c r="B3684" s="2" t="s">
        <v>29</v>
      </c>
      <c r="C3684" s="2" t="s">
        <v>45</v>
      </c>
      <c r="D3684" s="2" t="s">
        <v>31</v>
      </c>
      <c r="E3684" s="2" t="s">
        <v>20</v>
      </c>
      <c r="F3684" s="2" t="n">
        <v>497</v>
      </c>
      <c r="G3684" s="2" t="s">
        <v>20</v>
      </c>
      <c r="H3684" s="2" t="s">
        <v>20</v>
      </c>
      <c r="I3684" s="2" t="s">
        <v>21</v>
      </c>
      <c r="J3684" s="2" t="n">
        <v>13</v>
      </c>
      <c r="K3684" s="2" t="s">
        <v>27</v>
      </c>
      <c r="L3684" s="2" t="n">
        <v>66</v>
      </c>
      <c r="M3684" s="2" t="n">
        <v>1</v>
      </c>
      <c r="N3684" s="2" t="n">
        <v>363</v>
      </c>
      <c r="O3684" s="2" t="n">
        <v>22</v>
      </c>
      <c r="P3684" s="2" t="s">
        <v>28</v>
      </c>
      <c r="Q3684" s="2" t="s">
        <v>20</v>
      </c>
    </row>
    <row r="3685" customFormat="false" ht="15" hidden="false" customHeight="false" outlineLevel="0" collapsed="false">
      <c r="A3685" s="2" t="n">
        <v>42</v>
      </c>
      <c r="B3685" s="2" t="s">
        <v>34</v>
      </c>
      <c r="C3685" s="2" t="s">
        <v>18</v>
      </c>
      <c r="D3685" s="2" t="s">
        <v>25</v>
      </c>
      <c r="E3685" s="2" t="s">
        <v>20</v>
      </c>
      <c r="F3685" s="2" t="n">
        <v>179</v>
      </c>
      <c r="G3685" s="2" t="s">
        <v>26</v>
      </c>
      <c r="H3685" s="2" t="s">
        <v>20</v>
      </c>
      <c r="I3685" s="2" t="s">
        <v>21</v>
      </c>
      <c r="J3685" s="2" t="n">
        <v>17</v>
      </c>
      <c r="K3685" s="2" t="s">
        <v>46</v>
      </c>
      <c r="L3685" s="2" t="n">
        <v>96</v>
      </c>
      <c r="M3685" s="2" t="n">
        <v>1</v>
      </c>
      <c r="N3685" s="2" t="n">
        <v>-1</v>
      </c>
      <c r="O3685" s="2" t="n">
        <v>0</v>
      </c>
      <c r="P3685" s="2" t="s">
        <v>23</v>
      </c>
      <c r="Q3685" s="2" t="s">
        <v>20</v>
      </c>
    </row>
    <row r="3686" customFormat="false" ht="15" hidden="false" customHeight="false" outlineLevel="0" collapsed="false">
      <c r="A3686" s="2" t="n">
        <v>30</v>
      </c>
      <c r="B3686" s="2" t="s">
        <v>40</v>
      </c>
      <c r="C3686" s="2" t="s">
        <v>30</v>
      </c>
      <c r="D3686" s="2" t="s">
        <v>31</v>
      </c>
      <c r="E3686" s="2" t="s">
        <v>20</v>
      </c>
      <c r="F3686" s="2" t="n">
        <v>305</v>
      </c>
      <c r="G3686" s="2" t="s">
        <v>20</v>
      </c>
      <c r="H3686" s="2" t="s">
        <v>20</v>
      </c>
      <c r="I3686" s="2" t="s">
        <v>21</v>
      </c>
      <c r="J3686" s="2" t="n">
        <v>30</v>
      </c>
      <c r="K3686" s="2" t="s">
        <v>32</v>
      </c>
      <c r="L3686" s="2" t="n">
        <v>633</v>
      </c>
      <c r="M3686" s="2" t="n">
        <v>1</v>
      </c>
      <c r="N3686" s="2" t="n">
        <v>85</v>
      </c>
      <c r="O3686" s="2" t="n">
        <v>2</v>
      </c>
      <c r="P3686" s="2" t="s">
        <v>50</v>
      </c>
      <c r="Q3686" s="2" t="s">
        <v>26</v>
      </c>
    </row>
    <row r="3687" customFormat="false" ht="15" hidden="false" customHeight="false" outlineLevel="0" collapsed="false">
      <c r="A3687" s="2" t="n">
        <v>33</v>
      </c>
      <c r="B3687" s="2" t="s">
        <v>29</v>
      </c>
      <c r="C3687" s="2" t="s">
        <v>30</v>
      </c>
      <c r="D3687" s="2" t="s">
        <v>31</v>
      </c>
      <c r="E3687" s="2" t="s">
        <v>20</v>
      </c>
      <c r="F3687" s="2" t="n">
        <v>-67</v>
      </c>
      <c r="G3687" s="2" t="s">
        <v>26</v>
      </c>
      <c r="H3687" s="2" t="s">
        <v>20</v>
      </c>
      <c r="I3687" s="2" t="s">
        <v>23</v>
      </c>
      <c r="J3687" s="2" t="n">
        <v>5</v>
      </c>
      <c r="K3687" s="2" t="s">
        <v>27</v>
      </c>
      <c r="L3687" s="2" t="n">
        <v>364</v>
      </c>
      <c r="M3687" s="2" t="n">
        <v>1</v>
      </c>
      <c r="N3687" s="2" t="n">
        <v>-1</v>
      </c>
      <c r="O3687" s="2" t="n">
        <v>0</v>
      </c>
      <c r="P3687" s="2" t="s">
        <v>23</v>
      </c>
      <c r="Q3687" s="2" t="s">
        <v>20</v>
      </c>
    </row>
    <row r="3688" customFormat="false" ht="15" hidden="false" customHeight="false" outlineLevel="0" collapsed="false">
      <c r="A3688" s="2" t="n">
        <v>41</v>
      </c>
      <c r="B3688" s="2" t="s">
        <v>40</v>
      </c>
      <c r="C3688" s="2" t="s">
        <v>18</v>
      </c>
      <c r="D3688" s="2" t="s">
        <v>25</v>
      </c>
      <c r="E3688" s="2" t="s">
        <v>20</v>
      </c>
      <c r="F3688" s="2" t="n">
        <v>4539</v>
      </c>
      <c r="G3688" s="2" t="s">
        <v>20</v>
      </c>
      <c r="H3688" s="2" t="s">
        <v>20</v>
      </c>
      <c r="I3688" s="2" t="s">
        <v>23</v>
      </c>
      <c r="J3688" s="2" t="n">
        <v>30</v>
      </c>
      <c r="K3688" s="2" t="s">
        <v>27</v>
      </c>
      <c r="L3688" s="2" t="n">
        <v>298</v>
      </c>
      <c r="M3688" s="2" t="n">
        <v>3</v>
      </c>
      <c r="N3688" s="2" t="n">
        <v>-1</v>
      </c>
      <c r="O3688" s="2" t="n">
        <v>0</v>
      </c>
      <c r="P3688" s="2" t="s">
        <v>23</v>
      </c>
      <c r="Q3688" s="2" t="s">
        <v>20</v>
      </c>
    </row>
    <row r="3689" customFormat="false" ht="15" hidden="false" customHeight="false" outlineLevel="0" collapsed="false">
      <c r="A3689" s="2" t="n">
        <v>29</v>
      </c>
      <c r="B3689" s="2" t="s">
        <v>34</v>
      </c>
      <c r="C3689" s="2" t="s">
        <v>30</v>
      </c>
      <c r="D3689" s="2" t="s">
        <v>25</v>
      </c>
      <c r="E3689" s="2" t="s">
        <v>20</v>
      </c>
      <c r="F3689" s="2" t="n">
        <v>770</v>
      </c>
      <c r="G3689" s="2" t="s">
        <v>26</v>
      </c>
      <c r="H3689" s="2" t="s">
        <v>20</v>
      </c>
      <c r="I3689" s="2" t="s">
        <v>21</v>
      </c>
      <c r="J3689" s="2" t="n">
        <v>17</v>
      </c>
      <c r="K3689" s="2" t="s">
        <v>32</v>
      </c>
      <c r="L3689" s="2" t="n">
        <v>341</v>
      </c>
      <c r="M3689" s="2" t="n">
        <v>1</v>
      </c>
      <c r="N3689" s="2" t="n">
        <v>-1</v>
      </c>
      <c r="O3689" s="2" t="n">
        <v>0</v>
      </c>
      <c r="P3689" s="2" t="s">
        <v>23</v>
      </c>
      <c r="Q3689" s="2" t="s">
        <v>20</v>
      </c>
    </row>
    <row r="3690" customFormat="false" ht="15" hidden="false" customHeight="false" outlineLevel="0" collapsed="false">
      <c r="A3690" s="2" t="n">
        <v>38</v>
      </c>
      <c r="B3690" s="2" t="s">
        <v>17</v>
      </c>
      <c r="C3690" s="2" t="s">
        <v>18</v>
      </c>
      <c r="D3690" s="2" t="s">
        <v>25</v>
      </c>
      <c r="E3690" s="2" t="s">
        <v>20</v>
      </c>
      <c r="F3690" s="2" t="n">
        <v>-673</v>
      </c>
      <c r="G3690" s="2" t="s">
        <v>26</v>
      </c>
      <c r="H3690" s="2" t="s">
        <v>20</v>
      </c>
      <c r="I3690" s="2" t="s">
        <v>23</v>
      </c>
      <c r="J3690" s="2" t="n">
        <v>26</v>
      </c>
      <c r="K3690" s="2" t="s">
        <v>27</v>
      </c>
      <c r="L3690" s="2" t="n">
        <v>364</v>
      </c>
      <c r="M3690" s="2" t="n">
        <v>1</v>
      </c>
      <c r="N3690" s="2" t="n">
        <v>-1</v>
      </c>
      <c r="O3690" s="2" t="n">
        <v>0</v>
      </c>
      <c r="P3690" s="2" t="s">
        <v>23</v>
      </c>
      <c r="Q3690" s="2" t="s">
        <v>20</v>
      </c>
    </row>
    <row r="3691" customFormat="false" ht="15" hidden="false" customHeight="false" outlineLevel="0" collapsed="false">
      <c r="A3691" s="2" t="n">
        <v>29</v>
      </c>
      <c r="B3691" s="2" t="s">
        <v>38</v>
      </c>
      <c r="C3691" s="2" t="s">
        <v>18</v>
      </c>
      <c r="D3691" s="2" t="s">
        <v>31</v>
      </c>
      <c r="E3691" s="2" t="s">
        <v>20</v>
      </c>
      <c r="F3691" s="2" t="n">
        <v>858</v>
      </c>
      <c r="G3691" s="2" t="s">
        <v>26</v>
      </c>
      <c r="H3691" s="2" t="s">
        <v>20</v>
      </c>
      <c r="I3691" s="2" t="s">
        <v>21</v>
      </c>
      <c r="J3691" s="2" t="n">
        <v>12</v>
      </c>
      <c r="K3691" s="2" t="s">
        <v>33</v>
      </c>
      <c r="L3691" s="2" t="n">
        <v>234</v>
      </c>
      <c r="M3691" s="2" t="n">
        <v>7</v>
      </c>
      <c r="N3691" s="2" t="n">
        <v>330</v>
      </c>
      <c r="O3691" s="2" t="n">
        <v>1</v>
      </c>
      <c r="P3691" s="2" t="s">
        <v>28</v>
      </c>
      <c r="Q3691" s="2" t="s">
        <v>20</v>
      </c>
    </row>
    <row r="3692" customFormat="false" ht="15" hidden="false" customHeight="false" outlineLevel="0" collapsed="false">
      <c r="A3692" s="2" t="n">
        <v>80</v>
      </c>
      <c r="B3692" s="2" t="s">
        <v>47</v>
      </c>
      <c r="C3692" s="2" t="s">
        <v>18</v>
      </c>
      <c r="D3692" s="2" t="s">
        <v>19</v>
      </c>
      <c r="E3692" s="2" t="s">
        <v>20</v>
      </c>
      <c r="F3692" s="2" t="n">
        <v>0</v>
      </c>
      <c r="G3692" s="2" t="s">
        <v>20</v>
      </c>
      <c r="H3692" s="2" t="s">
        <v>20</v>
      </c>
      <c r="I3692" s="2" t="s">
        <v>21</v>
      </c>
      <c r="J3692" s="2" t="n">
        <v>23</v>
      </c>
      <c r="K3692" s="2" t="s">
        <v>35</v>
      </c>
      <c r="L3692" s="2" t="n">
        <v>639</v>
      </c>
      <c r="M3692" s="2" t="n">
        <v>1</v>
      </c>
      <c r="N3692" s="2" t="n">
        <v>189</v>
      </c>
      <c r="O3692" s="2" t="n">
        <v>1</v>
      </c>
      <c r="P3692" s="2" t="s">
        <v>28</v>
      </c>
      <c r="Q3692" s="2" t="s">
        <v>26</v>
      </c>
    </row>
    <row r="3693" customFormat="false" ht="15" hidden="false" customHeight="false" outlineLevel="0" collapsed="false">
      <c r="A3693" s="2" t="n">
        <v>38</v>
      </c>
      <c r="B3693" s="2" t="s">
        <v>29</v>
      </c>
      <c r="C3693" s="2" t="s">
        <v>30</v>
      </c>
      <c r="D3693" s="2" t="s">
        <v>31</v>
      </c>
      <c r="E3693" s="2" t="s">
        <v>20</v>
      </c>
      <c r="F3693" s="2" t="n">
        <v>5244</v>
      </c>
      <c r="G3693" s="2" t="s">
        <v>20</v>
      </c>
      <c r="H3693" s="2" t="s">
        <v>20</v>
      </c>
      <c r="I3693" s="2" t="s">
        <v>21</v>
      </c>
      <c r="J3693" s="2" t="n">
        <v>8</v>
      </c>
      <c r="K3693" s="2" t="s">
        <v>41</v>
      </c>
      <c r="L3693" s="2" t="n">
        <v>310</v>
      </c>
      <c r="M3693" s="2" t="n">
        <v>4</v>
      </c>
      <c r="N3693" s="2" t="n">
        <v>-1</v>
      </c>
      <c r="O3693" s="2" t="n">
        <v>0</v>
      </c>
      <c r="P3693" s="2" t="s">
        <v>23</v>
      </c>
      <c r="Q3693" s="2" t="s">
        <v>20</v>
      </c>
    </row>
    <row r="3694" customFormat="false" ht="15" hidden="false" customHeight="false" outlineLevel="0" collapsed="false">
      <c r="A3694" s="2" t="n">
        <v>36</v>
      </c>
      <c r="B3694" s="2" t="s">
        <v>34</v>
      </c>
      <c r="C3694" s="2" t="s">
        <v>45</v>
      </c>
      <c r="D3694" s="2" t="s">
        <v>19</v>
      </c>
      <c r="E3694" s="2" t="s">
        <v>20</v>
      </c>
      <c r="F3694" s="2" t="n">
        <v>117</v>
      </c>
      <c r="G3694" s="2" t="s">
        <v>26</v>
      </c>
      <c r="H3694" s="2" t="s">
        <v>20</v>
      </c>
      <c r="I3694" s="2" t="s">
        <v>23</v>
      </c>
      <c r="J3694" s="2" t="n">
        <v>2</v>
      </c>
      <c r="K3694" s="2" t="s">
        <v>33</v>
      </c>
      <c r="L3694" s="2" t="n">
        <v>123</v>
      </c>
      <c r="M3694" s="2" t="n">
        <v>4</v>
      </c>
      <c r="N3694" s="2" t="n">
        <v>-1</v>
      </c>
      <c r="O3694" s="2" t="n">
        <v>0</v>
      </c>
      <c r="P3694" s="2" t="s">
        <v>23</v>
      </c>
      <c r="Q3694" s="2" t="s">
        <v>20</v>
      </c>
    </row>
    <row r="3695" customFormat="false" ht="15" hidden="false" customHeight="false" outlineLevel="0" collapsed="false">
      <c r="A3695" s="2" t="n">
        <v>38</v>
      </c>
      <c r="B3695" s="2" t="s">
        <v>36</v>
      </c>
      <c r="C3695" s="2" t="s">
        <v>18</v>
      </c>
      <c r="D3695" s="2" t="s">
        <v>31</v>
      </c>
      <c r="E3695" s="2" t="s">
        <v>20</v>
      </c>
      <c r="F3695" s="2" t="n">
        <v>846</v>
      </c>
      <c r="G3695" s="2" t="s">
        <v>20</v>
      </c>
      <c r="H3695" s="2" t="s">
        <v>20</v>
      </c>
      <c r="I3695" s="2" t="s">
        <v>21</v>
      </c>
      <c r="J3695" s="2" t="n">
        <v>2</v>
      </c>
      <c r="K3695" s="2" t="s">
        <v>33</v>
      </c>
      <c r="L3695" s="2" t="n">
        <v>253</v>
      </c>
      <c r="M3695" s="2" t="n">
        <v>1</v>
      </c>
      <c r="N3695" s="2" t="n">
        <v>-1</v>
      </c>
      <c r="O3695" s="2" t="n">
        <v>0</v>
      </c>
      <c r="P3695" s="2" t="s">
        <v>23</v>
      </c>
      <c r="Q3695" s="2" t="s">
        <v>20</v>
      </c>
    </row>
    <row r="3696" customFormat="false" ht="15" hidden="false" customHeight="false" outlineLevel="0" collapsed="false">
      <c r="A3696" s="2" t="n">
        <v>44</v>
      </c>
      <c r="B3696" s="2" t="s">
        <v>29</v>
      </c>
      <c r="C3696" s="2" t="s">
        <v>18</v>
      </c>
      <c r="D3696" s="2" t="s">
        <v>25</v>
      </c>
      <c r="E3696" s="2" t="s">
        <v>26</v>
      </c>
      <c r="F3696" s="2" t="n">
        <v>0</v>
      </c>
      <c r="G3696" s="2" t="s">
        <v>26</v>
      </c>
      <c r="H3696" s="2" t="s">
        <v>20</v>
      </c>
      <c r="I3696" s="2" t="s">
        <v>21</v>
      </c>
      <c r="J3696" s="2" t="n">
        <v>11</v>
      </c>
      <c r="K3696" s="2" t="s">
        <v>44</v>
      </c>
      <c r="L3696" s="2" t="n">
        <v>96</v>
      </c>
      <c r="M3696" s="2" t="n">
        <v>2</v>
      </c>
      <c r="N3696" s="2" t="n">
        <v>-1</v>
      </c>
      <c r="O3696" s="2" t="n">
        <v>0</v>
      </c>
      <c r="P3696" s="2" t="s">
        <v>23</v>
      </c>
      <c r="Q3696" s="2" t="s">
        <v>20</v>
      </c>
    </row>
    <row r="3697" customFormat="false" ht="15" hidden="false" customHeight="false" outlineLevel="0" collapsed="false">
      <c r="A3697" s="2" t="n">
        <v>31</v>
      </c>
      <c r="B3697" s="2" t="s">
        <v>29</v>
      </c>
      <c r="C3697" s="2" t="s">
        <v>18</v>
      </c>
      <c r="D3697" s="2" t="s">
        <v>31</v>
      </c>
      <c r="E3697" s="2" t="s">
        <v>20</v>
      </c>
      <c r="F3697" s="2" t="n">
        <v>1331</v>
      </c>
      <c r="G3697" s="2" t="s">
        <v>20</v>
      </c>
      <c r="H3697" s="2" t="s">
        <v>20</v>
      </c>
      <c r="I3697" s="2" t="s">
        <v>21</v>
      </c>
      <c r="J3697" s="2" t="n">
        <v>30</v>
      </c>
      <c r="K3697" s="2" t="s">
        <v>32</v>
      </c>
      <c r="L3697" s="2" t="n">
        <v>297</v>
      </c>
      <c r="M3697" s="2" t="n">
        <v>1</v>
      </c>
      <c r="N3697" s="2" t="n">
        <v>86</v>
      </c>
      <c r="O3697" s="2" t="n">
        <v>3</v>
      </c>
      <c r="P3697" s="2" t="s">
        <v>50</v>
      </c>
      <c r="Q3697" s="2" t="s">
        <v>26</v>
      </c>
    </row>
    <row r="3698" customFormat="false" ht="15" hidden="false" customHeight="false" outlineLevel="0" collapsed="false">
      <c r="A3698" s="2" t="n">
        <v>31</v>
      </c>
      <c r="B3698" s="2" t="s">
        <v>24</v>
      </c>
      <c r="C3698" s="2" t="s">
        <v>30</v>
      </c>
      <c r="D3698" s="2" t="s">
        <v>25</v>
      </c>
      <c r="E3698" s="2" t="s">
        <v>20</v>
      </c>
      <c r="F3698" s="2" t="n">
        <v>31</v>
      </c>
      <c r="G3698" s="2" t="s">
        <v>26</v>
      </c>
      <c r="H3698" s="2" t="s">
        <v>26</v>
      </c>
      <c r="I3698" s="2" t="s">
        <v>23</v>
      </c>
      <c r="J3698" s="2" t="n">
        <v>26</v>
      </c>
      <c r="K3698" s="2" t="s">
        <v>27</v>
      </c>
      <c r="L3698" s="2" t="n">
        <v>501</v>
      </c>
      <c r="M3698" s="2" t="n">
        <v>2</v>
      </c>
      <c r="N3698" s="2" t="n">
        <v>-1</v>
      </c>
      <c r="O3698" s="2" t="n">
        <v>0</v>
      </c>
      <c r="P3698" s="2" t="s">
        <v>23</v>
      </c>
      <c r="Q3698" s="2" t="s">
        <v>20</v>
      </c>
    </row>
    <row r="3699" customFormat="false" ht="15" hidden="false" customHeight="false" outlineLevel="0" collapsed="false">
      <c r="A3699" s="2" t="n">
        <v>57</v>
      </c>
      <c r="B3699" s="2" t="s">
        <v>40</v>
      </c>
      <c r="C3699" s="2" t="s">
        <v>45</v>
      </c>
      <c r="D3699" s="2" t="s">
        <v>19</v>
      </c>
      <c r="E3699" s="2" t="s">
        <v>20</v>
      </c>
      <c r="F3699" s="2" t="n">
        <v>179</v>
      </c>
      <c r="G3699" s="2" t="s">
        <v>26</v>
      </c>
      <c r="H3699" s="2" t="s">
        <v>20</v>
      </c>
      <c r="I3699" s="2" t="s">
        <v>21</v>
      </c>
      <c r="J3699" s="2" t="n">
        <v>15</v>
      </c>
      <c r="K3699" s="2" t="s">
        <v>27</v>
      </c>
      <c r="L3699" s="2" t="n">
        <v>67</v>
      </c>
      <c r="M3699" s="2" t="n">
        <v>1</v>
      </c>
      <c r="N3699" s="2" t="n">
        <v>368</v>
      </c>
      <c r="O3699" s="2" t="n">
        <v>2</v>
      </c>
      <c r="P3699" s="2" t="s">
        <v>28</v>
      </c>
      <c r="Q3699" s="2" t="s">
        <v>20</v>
      </c>
    </row>
    <row r="3700" customFormat="false" ht="15" hidden="false" customHeight="false" outlineLevel="0" collapsed="false">
      <c r="A3700" s="2" t="n">
        <v>37</v>
      </c>
      <c r="B3700" s="2" t="s">
        <v>34</v>
      </c>
      <c r="C3700" s="2" t="s">
        <v>18</v>
      </c>
      <c r="D3700" s="2" t="s">
        <v>19</v>
      </c>
      <c r="E3700" s="2" t="s">
        <v>20</v>
      </c>
      <c r="F3700" s="2" t="n">
        <v>543</v>
      </c>
      <c r="G3700" s="2" t="s">
        <v>26</v>
      </c>
      <c r="H3700" s="2" t="s">
        <v>20</v>
      </c>
      <c r="I3700" s="2" t="s">
        <v>23</v>
      </c>
      <c r="J3700" s="2" t="n">
        <v>21</v>
      </c>
      <c r="K3700" s="2" t="s">
        <v>27</v>
      </c>
      <c r="L3700" s="2" t="n">
        <v>281</v>
      </c>
      <c r="M3700" s="2" t="n">
        <v>1</v>
      </c>
      <c r="N3700" s="2" t="n">
        <v>-1</v>
      </c>
      <c r="O3700" s="2" t="n">
        <v>0</v>
      </c>
      <c r="P3700" s="2" t="s">
        <v>23</v>
      </c>
      <c r="Q3700" s="2" t="s">
        <v>20</v>
      </c>
    </row>
    <row r="3701" customFormat="false" ht="15" hidden="false" customHeight="false" outlineLevel="0" collapsed="false">
      <c r="A3701" s="2" t="n">
        <v>50</v>
      </c>
      <c r="B3701" s="2" t="s">
        <v>34</v>
      </c>
      <c r="C3701" s="2" t="s">
        <v>18</v>
      </c>
      <c r="D3701" s="2" t="s">
        <v>25</v>
      </c>
      <c r="E3701" s="2" t="s">
        <v>20</v>
      </c>
      <c r="F3701" s="2" t="n">
        <v>253</v>
      </c>
      <c r="G3701" s="2" t="s">
        <v>26</v>
      </c>
      <c r="H3701" s="2" t="s">
        <v>26</v>
      </c>
      <c r="I3701" s="2" t="s">
        <v>21</v>
      </c>
      <c r="J3701" s="2" t="n">
        <v>5</v>
      </c>
      <c r="K3701" s="2" t="s">
        <v>27</v>
      </c>
      <c r="L3701" s="2" t="n">
        <v>475</v>
      </c>
      <c r="M3701" s="2" t="n">
        <v>2</v>
      </c>
      <c r="N3701" s="2" t="n">
        <v>-1</v>
      </c>
      <c r="O3701" s="2" t="n">
        <v>0</v>
      </c>
      <c r="P3701" s="2" t="s">
        <v>23</v>
      </c>
      <c r="Q3701" s="2" t="s">
        <v>20</v>
      </c>
    </row>
    <row r="3702" customFormat="false" ht="15" hidden="false" customHeight="false" outlineLevel="0" collapsed="false">
      <c r="A3702" s="2" t="n">
        <v>60</v>
      </c>
      <c r="B3702" s="2" t="s">
        <v>48</v>
      </c>
      <c r="C3702" s="2" t="s">
        <v>18</v>
      </c>
      <c r="D3702" s="2" t="s">
        <v>19</v>
      </c>
      <c r="E3702" s="2" t="s">
        <v>20</v>
      </c>
      <c r="F3702" s="2" t="n">
        <v>71188</v>
      </c>
      <c r="G3702" s="2" t="s">
        <v>20</v>
      </c>
      <c r="H3702" s="2" t="s">
        <v>20</v>
      </c>
      <c r="I3702" s="2" t="s">
        <v>21</v>
      </c>
      <c r="J3702" s="2" t="n">
        <v>6</v>
      </c>
      <c r="K3702" s="2" t="s">
        <v>22</v>
      </c>
      <c r="L3702" s="2" t="n">
        <v>205</v>
      </c>
      <c r="M3702" s="2" t="n">
        <v>1</v>
      </c>
      <c r="N3702" s="2" t="n">
        <v>-1</v>
      </c>
      <c r="O3702" s="2" t="n">
        <v>0</v>
      </c>
      <c r="P3702" s="2" t="s">
        <v>23</v>
      </c>
      <c r="Q3702" s="2" t="s">
        <v>20</v>
      </c>
    </row>
    <row r="3703" customFormat="false" ht="15" hidden="false" customHeight="false" outlineLevel="0" collapsed="false">
      <c r="A3703" s="2" t="n">
        <v>51</v>
      </c>
      <c r="B3703" s="2" t="s">
        <v>29</v>
      </c>
      <c r="C3703" s="2" t="s">
        <v>18</v>
      </c>
      <c r="D3703" s="2" t="s">
        <v>31</v>
      </c>
      <c r="E3703" s="2" t="s">
        <v>20</v>
      </c>
      <c r="F3703" s="2" t="n">
        <v>5108</v>
      </c>
      <c r="G3703" s="2" t="s">
        <v>26</v>
      </c>
      <c r="H3703" s="2" t="s">
        <v>20</v>
      </c>
      <c r="I3703" s="2" t="s">
        <v>21</v>
      </c>
      <c r="J3703" s="2" t="n">
        <v>8</v>
      </c>
      <c r="K3703" s="2" t="s">
        <v>22</v>
      </c>
      <c r="L3703" s="2" t="n">
        <v>272</v>
      </c>
      <c r="M3703" s="2" t="n">
        <v>1</v>
      </c>
      <c r="N3703" s="2" t="n">
        <v>102</v>
      </c>
      <c r="O3703" s="2" t="n">
        <v>8</v>
      </c>
      <c r="P3703" s="2" t="s">
        <v>37</v>
      </c>
      <c r="Q3703" s="2" t="s">
        <v>20</v>
      </c>
    </row>
    <row r="3704" customFormat="false" ht="15" hidden="false" customHeight="false" outlineLevel="0" collapsed="false">
      <c r="A3704" s="2" t="n">
        <v>48</v>
      </c>
      <c r="B3704" s="2" t="s">
        <v>34</v>
      </c>
      <c r="C3704" s="2" t="s">
        <v>18</v>
      </c>
      <c r="D3704" s="2" t="s">
        <v>25</v>
      </c>
      <c r="E3704" s="2" t="s">
        <v>20</v>
      </c>
      <c r="F3704" s="2" t="n">
        <v>1738</v>
      </c>
      <c r="G3704" s="2" t="s">
        <v>26</v>
      </c>
      <c r="H3704" s="2" t="s">
        <v>20</v>
      </c>
      <c r="I3704" s="2" t="s">
        <v>21</v>
      </c>
      <c r="J3704" s="2" t="n">
        <v>15</v>
      </c>
      <c r="K3704" s="2" t="s">
        <v>32</v>
      </c>
      <c r="L3704" s="2" t="n">
        <v>349</v>
      </c>
      <c r="M3704" s="2" t="n">
        <v>1</v>
      </c>
      <c r="N3704" s="2" t="n">
        <v>-1</v>
      </c>
      <c r="O3704" s="2" t="n">
        <v>0</v>
      </c>
      <c r="P3704" s="2" t="s">
        <v>23</v>
      </c>
      <c r="Q3704" s="2" t="s">
        <v>20</v>
      </c>
    </row>
    <row r="3705" customFormat="false" ht="15" hidden="false" customHeight="false" outlineLevel="0" collapsed="false">
      <c r="A3705" s="2" t="n">
        <v>42</v>
      </c>
      <c r="B3705" s="2" t="s">
        <v>34</v>
      </c>
      <c r="C3705" s="2" t="s">
        <v>18</v>
      </c>
      <c r="D3705" s="2" t="s">
        <v>19</v>
      </c>
      <c r="E3705" s="2" t="s">
        <v>20</v>
      </c>
      <c r="F3705" s="2" t="n">
        <v>-97</v>
      </c>
      <c r="G3705" s="2" t="s">
        <v>26</v>
      </c>
      <c r="H3705" s="2" t="s">
        <v>20</v>
      </c>
      <c r="I3705" s="2" t="s">
        <v>21</v>
      </c>
      <c r="J3705" s="2" t="n">
        <v>3</v>
      </c>
      <c r="K3705" s="2" t="s">
        <v>35</v>
      </c>
      <c r="L3705" s="2" t="n">
        <v>216</v>
      </c>
      <c r="M3705" s="2" t="n">
        <v>4</v>
      </c>
      <c r="N3705" s="2" t="n">
        <v>271</v>
      </c>
      <c r="O3705" s="2" t="n">
        <v>5</v>
      </c>
      <c r="P3705" s="2" t="s">
        <v>28</v>
      </c>
      <c r="Q3705" s="2" t="s">
        <v>20</v>
      </c>
    </row>
    <row r="3706" customFormat="false" ht="15" hidden="false" customHeight="false" outlineLevel="0" collapsed="false">
      <c r="A3706" s="2" t="n">
        <v>36</v>
      </c>
      <c r="B3706" s="2" t="s">
        <v>34</v>
      </c>
      <c r="C3706" s="2" t="s">
        <v>18</v>
      </c>
      <c r="D3706" s="2" t="s">
        <v>25</v>
      </c>
      <c r="E3706" s="2" t="s">
        <v>20</v>
      </c>
      <c r="F3706" s="2" t="n">
        <v>199</v>
      </c>
      <c r="G3706" s="2" t="s">
        <v>26</v>
      </c>
      <c r="H3706" s="2" t="s">
        <v>20</v>
      </c>
      <c r="I3706" s="2" t="s">
        <v>21</v>
      </c>
      <c r="J3706" s="2" t="n">
        <v>9</v>
      </c>
      <c r="K3706" s="2" t="s">
        <v>44</v>
      </c>
      <c r="L3706" s="2" t="n">
        <v>183</v>
      </c>
      <c r="M3706" s="2" t="n">
        <v>1</v>
      </c>
      <c r="N3706" s="2" t="n">
        <v>-1</v>
      </c>
      <c r="O3706" s="2" t="n">
        <v>0</v>
      </c>
      <c r="P3706" s="2" t="s">
        <v>23</v>
      </c>
      <c r="Q3706" s="2" t="s">
        <v>20</v>
      </c>
    </row>
    <row r="3707" customFormat="false" ht="15" hidden="false" customHeight="false" outlineLevel="0" collapsed="false">
      <c r="A3707" s="2" t="n">
        <v>43</v>
      </c>
      <c r="B3707" s="2" t="s">
        <v>29</v>
      </c>
      <c r="C3707" s="2" t="s">
        <v>18</v>
      </c>
      <c r="D3707" s="2" t="s">
        <v>31</v>
      </c>
      <c r="E3707" s="2" t="s">
        <v>20</v>
      </c>
      <c r="F3707" s="2" t="n">
        <v>489</v>
      </c>
      <c r="G3707" s="2" t="s">
        <v>26</v>
      </c>
      <c r="H3707" s="2" t="s">
        <v>20</v>
      </c>
      <c r="I3707" s="2" t="s">
        <v>21</v>
      </c>
      <c r="J3707" s="2" t="n">
        <v>8</v>
      </c>
      <c r="K3707" s="2" t="s">
        <v>27</v>
      </c>
      <c r="L3707" s="2" t="n">
        <v>130</v>
      </c>
      <c r="M3707" s="2" t="n">
        <v>1</v>
      </c>
      <c r="N3707" s="2" t="n">
        <v>172</v>
      </c>
      <c r="O3707" s="2" t="n">
        <v>2</v>
      </c>
      <c r="P3707" s="2" t="s">
        <v>37</v>
      </c>
      <c r="Q3707" s="2" t="s">
        <v>20</v>
      </c>
    </row>
    <row r="3708" customFormat="false" ht="15" hidden="false" customHeight="false" outlineLevel="0" collapsed="false">
      <c r="A3708" s="2" t="n">
        <v>31</v>
      </c>
      <c r="B3708" s="2" t="s">
        <v>40</v>
      </c>
      <c r="C3708" s="2" t="s">
        <v>18</v>
      </c>
      <c r="D3708" s="2" t="s">
        <v>19</v>
      </c>
      <c r="E3708" s="2" t="s">
        <v>20</v>
      </c>
      <c r="F3708" s="2" t="n">
        <v>355</v>
      </c>
      <c r="G3708" s="2" t="s">
        <v>26</v>
      </c>
      <c r="H3708" s="2" t="s">
        <v>26</v>
      </c>
      <c r="I3708" s="2" t="s">
        <v>23</v>
      </c>
      <c r="J3708" s="2" t="n">
        <v>4</v>
      </c>
      <c r="K3708" s="2" t="s">
        <v>33</v>
      </c>
      <c r="L3708" s="2" t="n">
        <v>61</v>
      </c>
      <c r="M3708" s="2" t="n">
        <v>6</v>
      </c>
      <c r="N3708" s="2" t="n">
        <v>-1</v>
      </c>
      <c r="O3708" s="2" t="n">
        <v>0</v>
      </c>
      <c r="P3708" s="2" t="s">
        <v>23</v>
      </c>
      <c r="Q3708" s="2" t="s">
        <v>20</v>
      </c>
    </row>
    <row r="3709" customFormat="false" ht="15" hidden="false" customHeight="false" outlineLevel="0" collapsed="false">
      <c r="A3709" s="2" t="n">
        <v>49</v>
      </c>
      <c r="B3709" s="2" t="s">
        <v>38</v>
      </c>
      <c r="C3709" s="2" t="s">
        <v>30</v>
      </c>
      <c r="D3709" s="2" t="s">
        <v>25</v>
      </c>
      <c r="E3709" s="2" t="s">
        <v>20</v>
      </c>
      <c r="F3709" s="2" t="n">
        <v>-97</v>
      </c>
      <c r="G3709" s="2" t="s">
        <v>26</v>
      </c>
      <c r="H3709" s="2" t="s">
        <v>20</v>
      </c>
      <c r="I3709" s="2" t="s">
        <v>23</v>
      </c>
      <c r="J3709" s="2" t="n">
        <v>6</v>
      </c>
      <c r="K3709" s="2" t="s">
        <v>33</v>
      </c>
      <c r="L3709" s="2" t="n">
        <v>92</v>
      </c>
      <c r="M3709" s="2" t="n">
        <v>2</v>
      </c>
      <c r="N3709" s="2" t="n">
        <v>-1</v>
      </c>
      <c r="O3709" s="2" t="n">
        <v>0</v>
      </c>
      <c r="P3709" s="2" t="s">
        <v>23</v>
      </c>
      <c r="Q3709" s="2" t="s">
        <v>20</v>
      </c>
    </row>
    <row r="3710" customFormat="false" ht="15" hidden="false" customHeight="false" outlineLevel="0" collapsed="false">
      <c r="A3710" s="2" t="n">
        <v>35</v>
      </c>
      <c r="B3710" s="2" t="s">
        <v>29</v>
      </c>
      <c r="C3710" s="2" t="s">
        <v>45</v>
      </c>
      <c r="D3710" s="2" t="s">
        <v>31</v>
      </c>
      <c r="E3710" s="2" t="s">
        <v>20</v>
      </c>
      <c r="F3710" s="2" t="n">
        <v>473</v>
      </c>
      <c r="G3710" s="2" t="s">
        <v>20</v>
      </c>
      <c r="H3710" s="2" t="s">
        <v>26</v>
      </c>
      <c r="I3710" s="2" t="s">
        <v>21</v>
      </c>
      <c r="J3710" s="2" t="n">
        <v>5</v>
      </c>
      <c r="K3710" s="2" t="s">
        <v>41</v>
      </c>
      <c r="L3710" s="2" t="n">
        <v>37</v>
      </c>
      <c r="M3710" s="2" t="n">
        <v>2</v>
      </c>
      <c r="N3710" s="2" t="n">
        <v>-1</v>
      </c>
      <c r="O3710" s="2" t="n">
        <v>0</v>
      </c>
      <c r="P3710" s="2" t="s">
        <v>23</v>
      </c>
      <c r="Q3710" s="2" t="s">
        <v>20</v>
      </c>
    </row>
    <row r="3711" customFormat="false" ht="15" hidden="false" customHeight="false" outlineLevel="0" collapsed="false">
      <c r="A3711" s="2" t="n">
        <v>44</v>
      </c>
      <c r="B3711" s="2" t="s">
        <v>39</v>
      </c>
      <c r="C3711" s="2" t="s">
        <v>18</v>
      </c>
      <c r="D3711" s="2" t="s">
        <v>25</v>
      </c>
      <c r="E3711" s="2" t="s">
        <v>20</v>
      </c>
      <c r="F3711" s="2" t="n">
        <v>6649</v>
      </c>
      <c r="G3711" s="2" t="s">
        <v>26</v>
      </c>
      <c r="H3711" s="2" t="s">
        <v>20</v>
      </c>
      <c r="I3711" s="2" t="s">
        <v>21</v>
      </c>
      <c r="J3711" s="2" t="n">
        <v>19</v>
      </c>
      <c r="K3711" s="2" t="s">
        <v>46</v>
      </c>
      <c r="L3711" s="2" t="n">
        <v>354</v>
      </c>
      <c r="M3711" s="2" t="n">
        <v>2</v>
      </c>
      <c r="N3711" s="2" t="n">
        <v>-1</v>
      </c>
      <c r="O3711" s="2" t="n">
        <v>0</v>
      </c>
      <c r="P3711" s="2" t="s">
        <v>23</v>
      </c>
      <c r="Q3711" s="2" t="s">
        <v>20</v>
      </c>
    </row>
    <row r="3712" customFormat="false" ht="15" hidden="false" customHeight="false" outlineLevel="0" collapsed="false">
      <c r="A3712" s="2" t="n">
        <v>34</v>
      </c>
      <c r="B3712" s="2" t="s">
        <v>36</v>
      </c>
      <c r="C3712" s="2" t="s">
        <v>18</v>
      </c>
      <c r="D3712" s="2" t="s">
        <v>31</v>
      </c>
      <c r="E3712" s="2" t="s">
        <v>20</v>
      </c>
      <c r="F3712" s="2" t="n">
        <v>263</v>
      </c>
      <c r="G3712" s="2" t="s">
        <v>20</v>
      </c>
      <c r="H3712" s="2" t="s">
        <v>20</v>
      </c>
      <c r="I3712" s="2" t="s">
        <v>21</v>
      </c>
      <c r="J3712" s="2" t="n">
        <v>4</v>
      </c>
      <c r="K3712" s="2" t="s">
        <v>27</v>
      </c>
      <c r="L3712" s="2" t="n">
        <v>203</v>
      </c>
      <c r="M3712" s="2" t="n">
        <v>1</v>
      </c>
      <c r="N3712" s="2" t="n">
        <v>78</v>
      </c>
      <c r="O3712" s="2" t="n">
        <v>8</v>
      </c>
      <c r="P3712" s="2" t="s">
        <v>37</v>
      </c>
      <c r="Q3712" s="2" t="s">
        <v>20</v>
      </c>
    </row>
    <row r="3713" customFormat="false" ht="15" hidden="false" customHeight="false" outlineLevel="0" collapsed="false">
      <c r="A3713" s="2" t="n">
        <v>46</v>
      </c>
      <c r="B3713" s="2" t="s">
        <v>34</v>
      </c>
      <c r="C3713" s="2" t="s">
        <v>18</v>
      </c>
      <c r="D3713" s="2" t="s">
        <v>25</v>
      </c>
      <c r="E3713" s="2" t="s">
        <v>20</v>
      </c>
      <c r="F3713" s="2" t="n">
        <v>781</v>
      </c>
      <c r="G3713" s="2" t="s">
        <v>20</v>
      </c>
      <c r="H3713" s="2" t="s">
        <v>20</v>
      </c>
      <c r="I3713" s="2" t="s">
        <v>23</v>
      </c>
      <c r="J3713" s="2" t="n">
        <v>13</v>
      </c>
      <c r="K3713" s="2" t="s">
        <v>27</v>
      </c>
      <c r="L3713" s="2" t="n">
        <v>152</v>
      </c>
      <c r="M3713" s="2" t="n">
        <v>1</v>
      </c>
      <c r="N3713" s="2" t="n">
        <v>-1</v>
      </c>
      <c r="O3713" s="2" t="n">
        <v>0</v>
      </c>
      <c r="P3713" s="2" t="s">
        <v>23</v>
      </c>
      <c r="Q3713" s="2" t="s">
        <v>20</v>
      </c>
    </row>
    <row r="3714" customFormat="false" ht="15" hidden="false" customHeight="false" outlineLevel="0" collapsed="false">
      <c r="A3714" s="2" t="n">
        <v>49</v>
      </c>
      <c r="B3714" s="2" t="s">
        <v>34</v>
      </c>
      <c r="C3714" s="2" t="s">
        <v>18</v>
      </c>
      <c r="D3714" s="2" t="s">
        <v>19</v>
      </c>
      <c r="E3714" s="2" t="s">
        <v>20</v>
      </c>
      <c r="F3714" s="2" t="n">
        <v>1032</v>
      </c>
      <c r="G3714" s="2" t="s">
        <v>26</v>
      </c>
      <c r="H3714" s="2" t="s">
        <v>20</v>
      </c>
      <c r="I3714" s="2" t="s">
        <v>23</v>
      </c>
      <c r="J3714" s="2" t="n">
        <v>2</v>
      </c>
      <c r="K3714" s="2" t="s">
        <v>33</v>
      </c>
      <c r="L3714" s="2" t="n">
        <v>41</v>
      </c>
      <c r="M3714" s="2" t="n">
        <v>5</v>
      </c>
      <c r="N3714" s="2" t="n">
        <v>-1</v>
      </c>
      <c r="O3714" s="2" t="n">
        <v>0</v>
      </c>
      <c r="P3714" s="2" t="s">
        <v>23</v>
      </c>
      <c r="Q3714" s="2" t="s">
        <v>20</v>
      </c>
    </row>
    <row r="3715" customFormat="false" ht="15" hidden="false" customHeight="false" outlineLevel="0" collapsed="false">
      <c r="A3715" s="2" t="n">
        <v>32</v>
      </c>
      <c r="B3715" s="2" t="s">
        <v>34</v>
      </c>
      <c r="C3715" s="2" t="s">
        <v>18</v>
      </c>
      <c r="D3715" s="2" t="s">
        <v>25</v>
      </c>
      <c r="E3715" s="2" t="s">
        <v>20</v>
      </c>
      <c r="F3715" s="2" t="n">
        <v>119</v>
      </c>
      <c r="G3715" s="2" t="s">
        <v>20</v>
      </c>
      <c r="H3715" s="2" t="s">
        <v>20</v>
      </c>
      <c r="I3715" s="2" t="s">
        <v>21</v>
      </c>
      <c r="J3715" s="2" t="n">
        <v>4</v>
      </c>
      <c r="K3715" s="2" t="s">
        <v>27</v>
      </c>
      <c r="L3715" s="2" t="n">
        <v>20</v>
      </c>
      <c r="M3715" s="2" t="n">
        <v>5</v>
      </c>
      <c r="N3715" s="2" t="n">
        <v>-1</v>
      </c>
      <c r="O3715" s="2" t="n">
        <v>0</v>
      </c>
      <c r="P3715" s="2" t="s">
        <v>23</v>
      </c>
      <c r="Q3715" s="2" t="s">
        <v>20</v>
      </c>
    </row>
    <row r="3716" customFormat="false" ht="15" hidden="false" customHeight="false" outlineLevel="0" collapsed="false">
      <c r="A3716" s="2" t="n">
        <v>35</v>
      </c>
      <c r="B3716" s="2" t="s">
        <v>29</v>
      </c>
      <c r="C3716" s="2" t="s">
        <v>45</v>
      </c>
      <c r="D3716" s="2" t="s">
        <v>31</v>
      </c>
      <c r="E3716" s="2" t="s">
        <v>20</v>
      </c>
      <c r="F3716" s="2" t="n">
        <v>434</v>
      </c>
      <c r="G3716" s="2" t="s">
        <v>26</v>
      </c>
      <c r="H3716" s="2" t="s">
        <v>20</v>
      </c>
      <c r="I3716" s="2" t="s">
        <v>21</v>
      </c>
      <c r="J3716" s="2" t="n">
        <v>11</v>
      </c>
      <c r="K3716" s="2" t="s">
        <v>27</v>
      </c>
      <c r="L3716" s="2" t="n">
        <v>277</v>
      </c>
      <c r="M3716" s="2" t="n">
        <v>1</v>
      </c>
      <c r="N3716" s="2" t="n">
        <v>271</v>
      </c>
      <c r="O3716" s="2" t="n">
        <v>2</v>
      </c>
      <c r="P3716" s="2" t="s">
        <v>50</v>
      </c>
      <c r="Q3716" s="2" t="s">
        <v>20</v>
      </c>
    </row>
    <row r="3717" customFormat="false" ht="15" hidden="false" customHeight="false" outlineLevel="0" collapsed="false">
      <c r="A3717" s="2" t="n">
        <v>51</v>
      </c>
      <c r="B3717" s="2" t="s">
        <v>40</v>
      </c>
      <c r="C3717" s="2" t="s">
        <v>18</v>
      </c>
      <c r="D3717" s="2" t="s">
        <v>25</v>
      </c>
      <c r="E3717" s="2" t="s">
        <v>20</v>
      </c>
      <c r="F3717" s="2" t="n">
        <v>2967</v>
      </c>
      <c r="G3717" s="2" t="s">
        <v>20</v>
      </c>
      <c r="H3717" s="2" t="s">
        <v>20</v>
      </c>
      <c r="I3717" s="2" t="s">
        <v>23</v>
      </c>
      <c r="J3717" s="2" t="n">
        <v>17</v>
      </c>
      <c r="K3717" s="2" t="s">
        <v>33</v>
      </c>
      <c r="L3717" s="2" t="n">
        <v>83</v>
      </c>
      <c r="M3717" s="2" t="n">
        <v>2</v>
      </c>
      <c r="N3717" s="2" t="n">
        <v>-1</v>
      </c>
      <c r="O3717" s="2" t="n">
        <v>0</v>
      </c>
      <c r="P3717" s="2" t="s">
        <v>23</v>
      </c>
      <c r="Q3717" s="2" t="s">
        <v>20</v>
      </c>
    </row>
    <row r="3718" customFormat="false" ht="15" hidden="false" customHeight="false" outlineLevel="0" collapsed="false">
      <c r="A3718" s="2" t="n">
        <v>57</v>
      </c>
      <c r="B3718" s="2" t="s">
        <v>48</v>
      </c>
      <c r="C3718" s="2" t="s">
        <v>45</v>
      </c>
      <c r="D3718" s="2" t="s">
        <v>25</v>
      </c>
      <c r="E3718" s="2" t="s">
        <v>20</v>
      </c>
      <c r="F3718" s="2" t="n">
        <v>-331</v>
      </c>
      <c r="G3718" s="2" t="s">
        <v>26</v>
      </c>
      <c r="H3718" s="2" t="s">
        <v>20</v>
      </c>
      <c r="I3718" s="2" t="s">
        <v>23</v>
      </c>
      <c r="J3718" s="2" t="n">
        <v>6</v>
      </c>
      <c r="K3718" s="2" t="s">
        <v>27</v>
      </c>
      <c r="L3718" s="2" t="n">
        <v>531</v>
      </c>
      <c r="M3718" s="2" t="n">
        <v>1</v>
      </c>
      <c r="N3718" s="2" t="n">
        <v>-1</v>
      </c>
      <c r="O3718" s="2" t="n">
        <v>0</v>
      </c>
      <c r="P3718" s="2" t="s">
        <v>23</v>
      </c>
      <c r="Q3718" s="2" t="s">
        <v>20</v>
      </c>
    </row>
    <row r="3719" customFormat="false" ht="15" hidden="false" customHeight="false" outlineLevel="0" collapsed="false">
      <c r="A3719" s="2" t="n">
        <v>59</v>
      </c>
      <c r="B3719" s="2" t="s">
        <v>29</v>
      </c>
      <c r="C3719" s="2" t="s">
        <v>18</v>
      </c>
      <c r="D3719" s="2" t="s">
        <v>31</v>
      </c>
      <c r="E3719" s="2" t="s">
        <v>20</v>
      </c>
      <c r="F3719" s="2" t="n">
        <v>1585</v>
      </c>
      <c r="G3719" s="2" t="s">
        <v>20</v>
      </c>
      <c r="H3719" s="2" t="s">
        <v>20</v>
      </c>
      <c r="I3719" s="2" t="s">
        <v>49</v>
      </c>
      <c r="J3719" s="2" t="n">
        <v>28</v>
      </c>
      <c r="K3719" s="2" t="s">
        <v>41</v>
      </c>
      <c r="L3719" s="2" t="n">
        <v>91</v>
      </c>
      <c r="M3719" s="2" t="n">
        <v>5</v>
      </c>
      <c r="N3719" s="2" t="n">
        <v>-1</v>
      </c>
      <c r="O3719" s="2" t="n">
        <v>0</v>
      </c>
      <c r="P3719" s="2" t="s">
        <v>23</v>
      </c>
      <c r="Q3719" s="2" t="s">
        <v>20</v>
      </c>
    </row>
    <row r="3720" customFormat="false" ht="15" hidden="false" customHeight="false" outlineLevel="0" collapsed="false">
      <c r="A3720" s="2" t="n">
        <v>40</v>
      </c>
      <c r="B3720" s="2" t="s">
        <v>24</v>
      </c>
      <c r="C3720" s="2" t="s">
        <v>45</v>
      </c>
      <c r="D3720" s="2" t="s">
        <v>23</v>
      </c>
      <c r="E3720" s="2" t="s">
        <v>20</v>
      </c>
      <c r="F3720" s="2" t="n">
        <v>4384</v>
      </c>
      <c r="G3720" s="2" t="s">
        <v>26</v>
      </c>
      <c r="H3720" s="2" t="s">
        <v>20</v>
      </c>
      <c r="I3720" s="2" t="s">
        <v>23</v>
      </c>
      <c r="J3720" s="2" t="n">
        <v>5</v>
      </c>
      <c r="K3720" s="2" t="s">
        <v>27</v>
      </c>
      <c r="L3720" s="2" t="n">
        <v>315</v>
      </c>
      <c r="M3720" s="2" t="n">
        <v>1</v>
      </c>
      <c r="N3720" s="2" t="n">
        <v>-1</v>
      </c>
      <c r="O3720" s="2" t="n">
        <v>0</v>
      </c>
      <c r="P3720" s="2" t="s">
        <v>23</v>
      </c>
      <c r="Q3720" s="2" t="s">
        <v>20</v>
      </c>
    </row>
    <row r="3721" customFormat="false" ht="15" hidden="false" customHeight="false" outlineLevel="0" collapsed="false">
      <c r="A3721" s="2" t="n">
        <v>49</v>
      </c>
      <c r="B3721" s="2" t="s">
        <v>29</v>
      </c>
      <c r="C3721" s="2" t="s">
        <v>30</v>
      </c>
      <c r="D3721" s="2" t="s">
        <v>31</v>
      </c>
      <c r="E3721" s="2" t="s">
        <v>20</v>
      </c>
      <c r="F3721" s="2" t="n">
        <v>588</v>
      </c>
      <c r="G3721" s="2" t="s">
        <v>20</v>
      </c>
      <c r="H3721" s="2" t="s">
        <v>20</v>
      </c>
      <c r="I3721" s="2" t="s">
        <v>21</v>
      </c>
      <c r="J3721" s="2" t="n">
        <v>28</v>
      </c>
      <c r="K3721" s="2" t="s">
        <v>41</v>
      </c>
      <c r="L3721" s="2" t="n">
        <v>70</v>
      </c>
      <c r="M3721" s="2" t="n">
        <v>9</v>
      </c>
      <c r="N3721" s="2" t="n">
        <v>-1</v>
      </c>
      <c r="O3721" s="2" t="n">
        <v>0</v>
      </c>
      <c r="P3721" s="2" t="s">
        <v>23</v>
      </c>
      <c r="Q3721" s="2" t="s">
        <v>20</v>
      </c>
    </row>
    <row r="3722" customFormat="false" ht="15" hidden="false" customHeight="false" outlineLevel="0" collapsed="false">
      <c r="A3722" s="2" t="n">
        <v>51</v>
      </c>
      <c r="B3722" s="2" t="s">
        <v>29</v>
      </c>
      <c r="C3722" s="2" t="s">
        <v>18</v>
      </c>
      <c r="D3722" s="2" t="s">
        <v>25</v>
      </c>
      <c r="E3722" s="2" t="s">
        <v>20</v>
      </c>
      <c r="F3722" s="2" t="n">
        <v>3180</v>
      </c>
      <c r="G3722" s="2" t="s">
        <v>26</v>
      </c>
      <c r="H3722" s="2" t="s">
        <v>20</v>
      </c>
      <c r="I3722" s="2" t="s">
        <v>21</v>
      </c>
      <c r="J3722" s="2" t="n">
        <v>9</v>
      </c>
      <c r="K3722" s="2" t="s">
        <v>44</v>
      </c>
      <c r="L3722" s="2" t="n">
        <v>384</v>
      </c>
      <c r="M3722" s="2" t="n">
        <v>1</v>
      </c>
      <c r="N3722" s="2" t="n">
        <v>-1</v>
      </c>
      <c r="O3722" s="2" t="n">
        <v>0</v>
      </c>
      <c r="P3722" s="2" t="s">
        <v>23</v>
      </c>
      <c r="Q3722" s="2" t="s">
        <v>20</v>
      </c>
    </row>
    <row r="3723" customFormat="false" ht="15" hidden="false" customHeight="false" outlineLevel="0" collapsed="false">
      <c r="A3723" s="2" t="n">
        <v>35</v>
      </c>
      <c r="B3723" s="2" t="s">
        <v>40</v>
      </c>
      <c r="C3723" s="2" t="s">
        <v>18</v>
      </c>
      <c r="D3723" s="2" t="s">
        <v>25</v>
      </c>
      <c r="E3723" s="2" t="s">
        <v>26</v>
      </c>
      <c r="F3723" s="2" t="n">
        <v>0</v>
      </c>
      <c r="G3723" s="2" t="s">
        <v>20</v>
      </c>
      <c r="H3723" s="2" t="s">
        <v>26</v>
      </c>
      <c r="I3723" s="2" t="s">
        <v>23</v>
      </c>
      <c r="J3723" s="2" t="n">
        <v>4</v>
      </c>
      <c r="K3723" s="2" t="s">
        <v>44</v>
      </c>
      <c r="L3723" s="2" t="n">
        <v>105</v>
      </c>
      <c r="M3723" s="2" t="n">
        <v>3</v>
      </c>
      <c r="N3723" s="2" t="n">
        <v>-1</v>
      </c>
      <c r="O3723" s="2" t="n">
        <v>0</v>
      </c>
      <c r="P3723" s="2" t="s">
        <v>23</v>
      </c>
      <c r="Q3723" s="2" t="s">
        <v>20</v>
      </c>
    </row>
    <row r="3724" customFormat="false" ht="15" hidden="false" customHeight="false" outlineLevel="0" collapsed="false">
      <c r="A3724" s="2" t="n">
        <v>29</v>
      </c>
      <c r="B3724" s="2" t="s">
        <v>36</v>
      </c>
      <c r="C3724" s="2" t="s">
        <v>18</v>
      </c>
      <c r="D3724" s="2" t="s">
        <v>25</v>
      </c>
      <c r="E3724" s="2" t="s">
        <v>20</v>
      </c>
      <c r="F3724" s="2" t="n">
        <v>-76</v>
      </c>
      <c r="G3724" s="2" t="s">
        <v>26</v>
      </c>
      <c r="H3724" s="2" t="s">
        <v>20</v>
      </c>
      <c r="I3724" s="2" t="s">
        <v>23</v>
      </c>
      <c r="J3724" s="2" t="n">
        <v>27</v>
      </c>
      <c r="K3724" s="2" t="s">
        <v>27</v>
      </c>
      <c r="L3724" s="2" t="n">
        <v>305</v>
      </c>
      <c r="M3724" s="2" t="n">
        <v>2</v>
      </c>
      <c r="N3724" s="2" t="n">
        <v>-1</v>
      </c>
      <c r="O3724" s="2" t="n">
        <v>0</v>
      </c>
      <c r="P3724" s="2" t="s">
        <v>23</v>
      </c>
      <c r="Q3724" s="2" t="s">
        <v>20</v>
      </c>
    </row>
    <row r="3725" customFormat="false" ht="15" hidden="false" customHeight="false" outlineLevel="0" collapsed="false">
      <c r="A3725" s="2" t="n">
        <v>32</v>
      </c>
      <c r="B3725" s="2" t="s">
        <v>24</v>
      </c>
      <c r="C3725" s="2" t="s">
        <v>30</v>
      </c>
      <c r="D3725" s="2" t="s">
        <v>25</v>
      </c>
      <c r="E3725" s="2" t="s">
        <v>20</v>
      </c>
      <c r="F3725" s="2" t="n">
        <v>152</v>
      </c>
      <c r="G3725" s="2" t="s">
        <v>26</v>
      </c>
      <c r="H3725" s="2" t="s">
        <v>20</v>
      </c>
      <c r="I3725" s="2" t="s">
        <v>21</v>
      </c>
      <c r="J3725" s="2" t="n">
        <v>25</v>
      </c>
      <c r="K3725" s="2" t="s">
        <v>27</v>
      </c>
      <c r="L3725" s="2" t="n">
        <v>158</v>
      </c>
      <c r="M3725" s="2" t="n">
        <v>2</v>
      </c>
      <c r="N3725" s="2" t="n">
        <v>-1</v>
      </c>
      <c r="O3725" s="2" t="n">
        <v>0</v>
      </c>
      <c r="P3725" s="2" t="s">
        <v>23</v>
      </c>
      <c r="Q3725" s="2" t="s">
        <v>26</v>
      </c>
    </row>
    <row r="3726" customFormat="false" ht="15" hidden="false" customHeight="false" outlineLevel="0" collapsed="false">
      <c r="A3726" s="2" t="n">
        <v>37</v>
      </c>
      <c r="B3726" s="2" t="s">
        <v>47</v>
      </c>
      <c r="C3726" s="2" t="s">
        <v>45</v>
      </c>
      <c r="D3726" s="2" t="s">
        <v>25</v>
      </c>
      <c r="E3726" s="2" t="s">
        <v>20</v>
      </c>
      <c r="F3726" s="2" t="n">
        <v>1040</v>
      </c>
      <c r="G3726" s="2" t="s">
        <v>26</v>
      </c>
      <c r="H3726" s="2" t="s">
        <v>20</v>
      </c>
      <c r="I3726" s="2" t="s">
        <v>21</v>
      </c>
      <c r="J3726" s="2" t="n">
        <v>13</v>
      </c>
      <c r="K3726" s="2" t="s">
        <v>27</v>
      </c>
      <c r="L3726" s="2" t="n">
        <v>199</v>
      </c>
      <c r="M3726" s="2" t="n">
        <v>1</v>
      </c>
      <c r="N3726" s="2" t="n">
        <v>173</v>
      </c>
      <c r="O3726" s="2" t="n">
        <v>2</v>
      </c>
      <c r="P3726" s="2" t="s">
        <v>28</v>
      </c>
      <c r="Q3726" s="2" t="s">
        <v>20</v>
      </c>
    </row>
    <row r="3727" customFormat="false" ht="15" hidden="false" customHeight="false" outlineLevel="0" collapsed="false">
      <c r="A3727" s="2" t="n">
        <v>49</v>
      </c>
      <c r="B3727" s="2" t="s">
        <v>17</v>
      </c>
      <c r="C3727" s="2" t="s">
        <v>18</v>
      </c>
      <c r="D3727" s="2" t="s">
        <v>19</v>
      </c>
      <c r="E3727" s="2" t="s">
        <v>20</v>
      </c>
      <c r="F3727" s="2" t="n">
        <v>-384</v>
      </c>
      <c r="G3727" s="2" t="s">
        <v>26</v>
      </c>
      <c r="H3727" s="2" t="s">
        <v>20</v>
      </c>
      <c r="I3727" s="2" t="s">
        <v>23</v>
      </c>
      <c r="J3727" s="2" t="n">
        <v>27</v>
      </c>
      <c r="K3727" s="2" t="s">
        <v>27</v>
      </c>
      <c r="L3727" s="2" t="n">
        <v>25</v>
      </c>
      <c r="M3727" s="2" t="n">
        <v>1</v>
      </c>
      <c r="N3727" s="2" t="n">
        <v>-1</v>
      </c>
      <c r="O3727" s="2" t="n">
        <v>0</v>
      </c>
      <c r="P3727" s="2" t="s">
        <v>23</v>
      </c>
      <c r="Q3727" s="2" t="s">
        <v>20</v>
      </c>
    </row>
    <row r="3728" customFormat="false" ht="15" hidden="false" customHeight="false" outlineLevel="0" collapsed="false">
      <c r="A3728" s="2" t="n">
        <v>45</v>
      </c>
      <c r="B3728" s="2" t="s">
        <v>38</v>
      </c>
      <c r="C3728" s="2" t="s">
        <v>18</v>
      </c>
      <c r="D3728" s="2" t="s">
        <v>23</v>
      </c>
      <c r="E3728" s="2" t="s">
        <v>20</v>
      </c>
      <c r="F3728" s="2" t="n">
        <v>473</v>
      </c>
      <c r="G3728" s="2" t="s">
        <v>26</v>
      </c>
      <c r="H3728" s="2" t="s">
        <v>20</v>
      </c>
      <c r="I3728" s="2" t="s">
        <v>23</v>
      </c>
      <c r="J3728" s="2" t="n">
        <v>27</v>
      </c>
      <c r="K3728" s="2" t="s">
        <v>27</v>
      </c>
      <c r="L3728" s="2" t="n">
        <v>147</v>
      </c>
      <c r="M3728" s="2" t="n">
        <v>1</v>
      </c>
      <c r="N3728" s="2" t="n">
        <v>-1</v>
      </c>
      <c r="O3728" s="2" t="n">
        <v>0</v>
      </c>
      <c r="P3728" s="2" t="s">
        <v>23</v>
      </c>
      <c r="Q3728" s="2" t="s">
        <v>20</v>
      </c>
    </row>
    <row r="3729" customFormat="false" ht="15" hidden="false" customHeight="false" outlineLevel="0" collapsed="false">
      <c r="A3729" s="2" t="n">
        <v>34</v>
      </c>
      <c r="B3729" s="2" t="s">
        <v>38</v>
      </c>
      <c r="C3729" s="2" t="s">
        <v>30</v>
      </c>
      <c r="D3729" s="2" t="s">
        <v>25</v>
      </c>
      <c r="E3729" s="2" t="s">
        <v>20</v>
      </c>
      <c r="F3729" s="2" t="n">
        <v>475</v>
      </c>
      <c r="G3729" s="2" t="s">
        <v>26</v>
      </c>
      <c r="H3729" s="2" t="s">
        <v>20</v>
      </c>
      <c r="I3729" s="2" t="s">
        <v>21</v>
      </c>
      <c r="J3729" s="2" t="n">
        <v>29</v>
      </c>
      <c r="K3729" s="2" t="s">
        <v>44</v>
      </c>
      <c r="L3729" s="2" t="n">
        <v>538</v>
      </c>
      <c r="M3729" s="2" t="n">
        <v>8</v>
      </c>
      <c r="N3729" s="2" t="n">
        <v>-1</v>
      </c>
      <c r="O3729" s="2" t="n">
        <v>0</v>
      </c>
      <c r="P3729" s="2" t="s">
        <v>23</v>
      </c>
      <c r="Q3729" s="2" t="s">
        <v>20</v>
      </c>
    </row>
    <row r="3730" customFormat="false" ht="15" hidden="false" customHeight="false" outlineLevel="0" collapsed="false">
      <c r="A3730" s="2" t="n">
        <v>53</v>
      </c>
      <c r="B3730" s="2" t="s">
        <v>38</v>
      </c>
      <c r="C3730" s="2" t="s">
        <v>18</v>
      </c>
      <c r="D3730" s="2" t="s">
        <v>25</v>
      </c>
      <c r="E3730" s="2" t="s">
        <v>20</v>
      </c>
      <c r="F3730" s="2" t="n">
        <v>0</v>
      </c>
      <c r="G3730" s="2" t="s">
        <v>20</v>
      </c>
      <c r="H3730" s="2" t="s">
        <v>20</v>
      </c>
      <c r="I3730" s="2" t="s">
        <v>21</v>
      </c>
      <c r="J3730" s="2" t="n">
        <v>22</v>
      </c>
      <c r="K3730" s="2" t="s">
        <v>41</v>
      </c>
      <c r="L3730" s="2" t="n">
        <v>77</v>
      </c>
      <c r="M3730" s="2" t="n">
        <v>9</v>
      </c>
      <c r="N3730" s="2" t="n">
        <v>-1</v>
      </c>
      <c r="O3730" s="2" t="n">
        <v>0</v>
      </c>
      <c r="P3730" s="2" t="s">
        <v>23</v>
      </c>
      <c r="Q3730" s="2" t="s">
        <v>20</v>
      </c>
    </row>
    <row r="3731" customFormat="false" ht="15" hidden="false" customHeight="false" outlineLevel="0" collapsed="false">
      <c r="A3731" s="2" t="n">
        <v>42</v>
      </c>
      <c r="B3731" s="2" t="s">
        <v>39</v>
      </c>
      <c r="C3731" s="2" t="s">
        <v>18</v>
      </c>
      <c r="D3731" s="2" t="s">
        <v>19</v>
      </c>
      <c r="E3731" s="2" t="s">
        <v>20</v>
      </c>
      <c r="F3731" s="2" t="n">
        <v>149</v>
      </c>
      <c r="G3731" s="2" t="s">
        <v>20</v>
      </c>
      <c r="H3731" s="2" t="s">
        <v>20</v>
      </c>
      <c r="I3731" s="2" t="s">
        <v>21</v>
      </c>
      <c r="J3731" s="2" t="n">
        <v>20</v>
      </c>
      <c r="K3731" s="2" t="s">
        <v>41</v>
      </c>
      <c r="L3731" s="2" t="n">
        <v>94</v>
      </c>
      <c r="M3731" s="2" t="n">
        <v>2</v>
      </c>
      <c r="N3731" s="2" t="n">
        <v>-1</v>
      </c>
      <c r="O3731" s="2" t="n">
        <v>0</v>
      </c>
      <c r="P3731" s="2" t="s">
        <v>23</v>
      </c>
      <c r="Q3731" s="2" t="s">
        <v>20</v>
      </c>
    </row>
    <row r="3732" customFormat="false" ht="15" hidden="false" customHeight="false" outlineLevel="0" collapsed="false">
      <c r="A3732" s="2" t="n">
        <v>43</v>
      </c>
      <c r="B3732" s="2" t="s">
        <v>38</v>
      </c>
      <c r="C3732" s="2" t="s">
        <v>18</v>
      </c>
      <c r="D3732" s="2" t="s">
        <v>25</v>
      </c>
      <c r="E3732" s="2" t="s">
        <v>20</v>
      </c>
      <c r="F3732" s="2" t="n">
        <v>3285</v>
      </c>
      <c r="G3732" s="2" t="s">
        <v>26</v>
      </c>
      <c r="H3732" s="2" t="s">
        <v>20</v>
      </c>
      <c r="I3732" s="2" t="s">
        <v>23</v>
      </c>
      <c r="J3732" s="2" t="n">
        <v>13</v>
      </c>
      <c r="K3732" s="2" t="s">
        <v>27</v>
      </c>
      <c r="L3732" s="2" t="n">
        <v>1721</v>
      </c>
      <c r="M3732" s="2" t="n">
        <v>2</v>
      </c>
      <c r="N3732" s="2" t="n">
        <v>-1</v>
      </c>
      <c r="O3732" s="2" t="n">
        <v>0</v>
      </c>
      <c r="P3732" s="2" t="s">
        <v>23</v>
      </c>
      <c r="Q3732" s="2" t="s">
        <v>26</v>
      </c>
    </row>
    <row r="3733" customFormat="false" ht="15" hidden="false" customHeight="false" outlineLevel="0" collapsed="false">
      <c r="A3733" s="2" t="n">
        <v>52</v>
      </c>
      <c r="B3733" s="2" t="s">
        <v>48</v>
      </c>
      <c r="C3733" s="2" t="s">
        <v>18</v>
      </c>
      <c r="D3733" s="2" t="s">
        <v>25</v>
      </c>
      <c r="E3733" s="2" t="s">
        <v>20</v>
      </c>
      <c r="F3733" s="2" t="n">
        <v>424</v>
      </c>
      <c r="G3733" s="2" t="s">
        <v>20</v>
      </c>
      <c r="H3733" s="2" t="s">
        <v>20</v>
      </c>
      <c r="I3733" s="2" t="s">
        <v>21</v>
      </c>
      <c r="J3733" s="2" t="n">
        <v>19</v>
      </c>
      <c r="K3733" s="2" t="s">
        <v>46</v>
      </c>
      <c r="L3733" s="2" t="n">
        <v>143</v>
      </c>
      <c r="M3733" s="2" t="n">
        <v>1</v>
      </c>
      <c r="N3733" s="2" t="n">
        <v>154</v>
      </c>
      <c r="O3733" s="2" t="n">
        <v>3</v>
      </c>
      <c r="P3733" s="2" t="s">
        <v>28</v>
      </c>
      <c r="Q3733" s="2" t="s">
        <v>20</v>
      </c>
    </row>
    <row r="3734" customFormat="false" ht="15" hidden="false" customHeight="false" outlineLevel="0" collapsed="false">
      <c r="A3734" s="2" t="n">
        <v>34</v>
      </c>
      <c r="B3734" s="2" t="s">
        <v>34</v>
      </c>
      <c r="C3734" s="2" t="s">
        <v>30</v>
      </c>
      <c r="D3734" s="2" t="s">
        <v>25</v>
      </c>
      <c r="E3734" s="2" t="s">
        <v>20</v>
      </c>
      <c r="F3734" s="2" t="n">
        <v>79</v>
      </c>
      <c r="G3734" s="2" t="s">
        <v>20</v>
      </c>
      <c r="H3734" s="2" t="s">
        <v>26</v>
      </c>
      <c r="I3734" s="2" t="s">
        <v>21</v>
      </c>
      <c r="J3734" s="2" t="n">
        <v>20</v>
      </c>
      <c r="K3734" s="2" t="s">
        <v>46</v>
      </c>
      <c r="L3734" s="2" t="n">
        <v>104</v>
      </c>
      <c r="M3734" s="2" t="n">
        <v>1</v>
      </c>
      <c r="N3734" s="2" t="n">
        <v>-1</v>
      </c>
      <c r="O3734" s="2" t="n">
        <v>0</v>
      </c>
      <c r="P3734" s="2" t="s">
        <v>23</v>
      </c>
      <c r="Q3734" s="2" t="s">
        <v>20</v>
      </c>
    </row>
    <row r="3735" customFormat="false" ht="15" hidden="false" customHeight="false" outlineLevel="0" collapsed="false">
      <c r="A3735" s="2" t="n">
        <v>34</v>
      </c>
      <c r="B3735" s="2" t="s">
        <v>38</v>
      </c>
      <c r="C3735" s="2" t="s">
        <v>45</v>
      </c>
      <c r="D3735" s="2" t="s">
        <v>31</v>
      </c>
      <c r="E3735" s="2" t="s">
        <v>20</v>
      </c>
      <c r="F3735" s="2" t="n">
        <v>674</v>
      </c>
      <c r="G3735" s="2" t="s">
        <v>26</v>
      </c>
      <c r="H3735" s="2" t="s">
        <v>20</v>
      </c>
      <c r="I3735" s="2" t="s">
        <v>21</v>
      </c>
      <c r="J3735" s="2" t="n">
        <v>7</v>
      </c>
      <c r="K3735" s="2" t="s">
        <v>41</v>
      </c>
      <c r="L3735" s="2" t="n">
        <v>587</v>
      </c>
      <c r="M3735" s="2" t="n">
        <v>2</v>
      </c>
      <c r="N3735" s="2" t="n">
        <v>-1</v>
      </c>
      <c r="O3735" s="2" t="n">
        <v>0</v>
      </c>
      <c r="P3735" s="2" t="s">
        <v>23</v>
      </c>
      <c r="Q3735" s="2" t="s">
        <v>26</v>
      </c>
    </row>
    <row r="3736" customFormat="false" ht="15" hidden="false" customHeight="false" outlineLevel="0" collapsed="false">
      <c r="A3736" s="2" t="n">
        <v>27</v>
      </c>
      <c r="B3736" s="2" t="s">
        <v>24</v>
      </c>
      <c r="C3736" s="2" t="s">
        <v>18</v>
      </c>
      <c r="D3736" s="2" t="s">
        <v>25</v>
      </c>
      <c r="E3736" s="2" t="s">
        <v>20</v>
      </c>
      <c r="F3736" s="2" t="n">
        <v>0</v>
      </c>
      <c r="G3736" s="2" t="s">
        <v>26</v>
      </c>
      <c r="H3736" s="2" t="s">
        <v>20</v>
      </c>
      <c r="I3736" s="2" t="s">
        <v>21</v>
      </c>
      <c r="J3736" s="2" t="n">
        <v>22</v>
      </c>
      <c r="K3736" s="2" t="s">
        <v>44</v>
      </c>
      <c r="L3736" s="2" t="n">
        <v>1608</v>
      </c>
      <c r="M3736" s="2" t="n">
        <v>13</v>
      </c>
      <c r="N3736" s="2" t="n">
        <v>-1</v>
      </c>
      <c r="O3736" s="2" t="n">
        <v>0</v>
      </c>
      <c r="P3736" s="2" t="s">
        <v>23</v>
      </c>
      <c r="Q3736" s="2" t="s">
        <v>26</v>
      </c>
    </row>
    <row r="3737" customFormat="false" ht="15" hidden="false" customHeight="false" outlineLevel="0" collapsed="false">
      <c r="A3737" s="2" t="n">
        <v>43</v>
      </c>
      <c r="B3737" s="2" t="s">
        <v>17</v>
      </c>
      <c r="C3737" s="2" t="s">
        <v>18</v>
      </c>
      <c r="D3737" s="2" t="s">
        <v>31</v>
      </c>
      <c r="E3737" s="2" t="s">
        <v>20</v>
      </c>
      <c r="F3737" s="2" t="n">
        <v>58</v>
      </c>
      <c r="G3737" s="2" t="s">
        <v>26</v>
      </c>
      <c r="H3737" s="2" t="s">
        <v>20</v>
      </c>
      <c r="I3737" s="2" t="s">
        <v>21</v>
      </c>
      <c r="J3737" s="2" t="n">
        <v>9</v>
      </c>
      <c r="K3737" s="2" t="s">
        <v>35</v>
      </c>
      <c r="L3737" s="2" t="n">
        <v>48</v>
      </c>
      <c r="M3737" s="2" t="n">
        <v>4</v>
      </c>
      <c r="N3737" s="2" t="n">
        <v>-1</v>
      </c>
      <c r="O3737" s="2" t="n">
        <v>0</v>
      </c>
      <c r="P3737" s="2" t="s">
        <v>23</v>
      </c>
      <c r="Q3737" s="2" t="s">
        <v>20</v>
      </c>
    </row>
    <row r="3738" customFormat="false" ht="15" hidden="false" customHeight="false" outlineLevel="0" collapsed="false">
      <c r="A3738" s="2" t="n">
        <v>41</v>
      </c>
      <c r="B3738" s="2" t="s">
        <v>38</v>
      </c>
      <c r="C3738" s="2" t="s">
        <v>18</v>
      </c>
      <c r="D3738" s="2" t="s">
        <v>31</v>
      </c>
      <c r="E3738" s="2" t="s">
        <v>20</v>
      </c>
      <c r="F3738" s="2" t="n">
        <v>532</v>
      </c>
      <c r="G3738" s="2" t="s">
        <v>26</v>
      </c>
      <c r="H3738" s="2" t="s">
        <v>20</v>
      </c>
      <c r="I3738" s="2" t="s">
        <v>21</v>
      </c>
      <c r="J3738" s="2" t="n">
        <v>9</v>
      </c>
      <c r="K3738" s="2" t="s">
        <v>44</v>
      </c>
      <c r="L3738" s="2" t="n">
        <v>74</v>
      </c>
      <c r="M3738" s="2" t="n">
        <v>1</v>
      </c>
      <c r="N3738" s="2" t="n">
        <v>-1</v>
      </c>
      <c r="O3738" s="2" t="n">
        <v>0</v>
      </c>
      <c r="P3738" s="2" t="s">
        <v>23</v>
      </c>
      <c r="Q3738" s="2" t="s">
        <v>20</v>
      </c>
    </row>
    <row r="3739" customFormat="false" ht="15" hidden="false" customHeight="false" outlineLevel="0" collapsed="false">
      <c r="A3739" s="2" t="n">
        <v>72</v>
      </c>
      <c r="B3739" s="2" t="s">
        <v>48</v>
      </c>
      <c r="C3739" s="2" t="s">
        <v>18</v>
      </c>
      <c r="D3739" s="2" t="s">
        <v>25</v>
      </c>
      <c r="E3739" s="2" t="s">
        <v>20</v>
      </c>
      <c r="F3739" s="2" t="n">
        <v>4130</v>
      </c>
      <c r="G3739" s="2" t="s">
        <v>20</v>
      </c>
      <c r="H3739" s="2" t="s">
        <v>20</v>
      </c>
      <c r="I3739" s="2" t="s">
        <v>21</v>
      </c>
      <c r="J3739" s="2" t="n">
        <v>12</v>
      </c>
      <c r="K3739" s="2" t="s">
        <v>46</v>
      </c>
      <c r="L3739" s="2" t="n">
        <v>427</v>
      </c>
      <c r="M3739" s="2" t="n">
        <v>1</v>
      </c>
      <c r="N3739" s="2" t="n">
        <v>-1</v>
      </c>
      <c r="O3739" s="2" t="n">
        <v>0</v>
      </c>
      <c r="P3739" s="2" t="s">
        <v>23</v>
      </c>
      <c r="Q3739" s="2" t="s">
        <v>20</v>
      </c>
    </row>
    <row r="3740" customFormat="false" ht="15" hidden="false" customHeight="false" outlineLevel="0" collapsed="false">
      <c r="A3740" s="2" t="n">
        <v>35</v>
      </c>
      <c r="B3740" s="2" t="s">
        <v>34</v>
      </c>
      <c r="C3740" s="2" t="s">
        <v>18</v>
      </c>
      <c r="D3740" s="2" t="s">
        <v>19</v>
      </c>
      <c r="E3740" s="2" t="s">
        <v>20</v>
      </c>
      <c r="F3740" s="2" t="n">
        <v>422</v>
      </c>
      <c r="G3740" s="2" t="s">
        <v>26</v>
      </c>
      <c r="H3740" s="2" t="s">
        <v>20</v>
      </c>
      <c r="I3740" s="2" t="s">
        <v>21</v>
      </c>
      <c r="J3740" s="2" t="n">
        <v>14</v>
      </c>
      <c r="K3740" s="2" t="s">
        <v>27</v>
      </c>
      <c r="L3740" s="2" t="n">
        <v>73</v>
      </c>
      <c r="M3740" s="2" t="n">
        <v>1</v>
      </c>
      <c r="N3740" s="2" t="n">
        <v>-1</v>
      </c>
      <c r="O3740" s="2" t="n">
        <v>0</v>
      </c>
      <c r="P3740" s="2" t="s">
        <v>23</v>
      </c>
      <c r="Q3740" s="2" t="s">
        <v>20</v>
      </c>
    </row>
    <row r="3741" customFormat="false" ht="15" hidden="false" customHeight="false" outlineLevel="0" collapsed="false">
      <c r="A3741" s="2" t="n">
        <v>41</v>
      </c>
      <c r="B3741" s="2" t="s">
        <v>29</v>
      </c>
      <c r="C3741" s="2" t="s">
        <v>18</v>
      </c>
      <c r="D3741" s="2" t="s">
        <v>31</v>
      </c>
      <c r="E3741" s="2" t="s">
        <v>20</v>
      </c>
      <c r="F3741" s="2" t="n">
        <v>437</v>
      </c>
      <c r="G3741" s="2" t="s">
        <v>26</v>
      </c>
      <c r="H3741" s="2" t="s">
        <v>20</v>
      </c>
      <c r="I3741" s="2" t="s">
        <v>23</v>
      </c>
      <c r="J3741" s="2" t="n">
        <v>3</v>
      </c>
      <c r="K3741" s="2" t="s">
        <v>33</v>
      </c>
      <c r="L3741" s="2" t="n">
        <v>14</v>
      </c>
      <c r="M3741" s="2" t="n">
        <v>21</v>
      </c>
      <c r="N3741" s="2" t="n">
        <v>-1</v>
      </c>
      <c r="O3741" s="2" t="n">
        <v>0</v>
      </c>
      <c r="P3741" s="2" t="s">
        <v>23</v>
      </c>
      <c r="Q3741" s="2" t="s">
        <v>20</v>
      </c>
    </row>
    <row r="3742" customFormat="false" ht="15" hidden="false" customHeight="false" outlineLevel="0" collapsed="false">
      <c r="A3742" s="2" t="n">
        <v>36</v>
      </c>
      <c r="B3742" s="2" t="s">
        <v>34</v>
      </c>
      <c r="C3742" s="2" t="s">
        <v>45</v>
      </c>
      <c r="D3742" s="2" t="s">
        <v>19</v>
      </c>
      <c r="E3742" s="2" t="s">
        <v>20</v>
      </c>
      <c r="F3742" s="2" t="n">
        <v>-308</v>
      </c>
      <c r="G3742" s="2" t="s">
        <v>26</v>
      </c>
      <c r="H3742" s="2" t="s">
        <v>20</v>
      </c>
      <c r="I3742" s="2" t="s">
        <v>21</v>
      </c>
      <c r="J3742" s="2" t="n">
        <v>12</v>
      </c>
      <c r="K3742" s="2" t="s">
        <v>27</v>
      </c>
      <c r="L3742" s="2" t="n">
        <v>725</v>
      </c>
      <c r="M3742" s="2" t="n">
        <v>1</v>
      </c>
      <c r="N3742" s="2" t="n">
        <v>-1</v>
      </c>
      <c r="O3742" s="2" t="n">
        <v>0</v>
      </c>
      <c r="P3742" s="2" t="s">
        <v>23</v>
      </c>
      <c r="Q3742" s="2" t="s">
        <v>26</v>
      </c>
    </row>
    <row r="3743" customFormat="false" ht="15" hidden="false" customHeight="false" outlineLevel="0" collapsed="false">
      <c r="A3743" s="2" t="n">
        <v>51</v>
      </c>
      <c r="B3743" s="2" t="s">
        <v>47</v>
      </c>
      <c r="C3743" s="2" t="s">
        <v>18</v>
      </c>
      <c r="D3743" s="2" t="s">
        <v>19</v>
      </c>
      <c r="E3743" s="2" t="s">
        <v>20</v>
      </c>
      <c r="F3743" s="2" t="n">
        <v>30</v>
      </c>
      <c r="G3743" s="2" t="s">
        <v>26</v>
      </c>
      <c r="H3743" s="2" t="s">
        <v>20</v>
      </c>
      <c r="I3743" s="2" t="s">
        <v>21</v>
      </c>
      <c r="J3743" s="2" t="n">
        <v>14</v>
      </c>
      <c r="K3743" s="2" t="s">
        <v>44</v>
      </c>
      <c r="L3743" s="2" t="n">
        <v>333</v>
      </c>
      <c r="M3743" s="2" t="n">
        <v>2</v>
      </c>
      <c r="N3743" s="2" t="n">
        <v>-1</v>
      </c>
      <c r="O3743" s="2" t="n">
        <v>0</v>
      </c>
      <c r="P3743" s="2" t="s">
        <v>23</v>
      </c>
      <c r="Q3743" s="2" t="s">
        <v>20</v>
      </c>
    </row>
    <row r="3744" customFormat="false" ht="15" hidden="false" customHeight="false" outlineLevel="0" collapsed="false">
      <c r="A3744" s="2" t="n">
        <v>37</v>
      </c>
      <c r="B3744" s="2" t="s">
        <v>36</v>
      </c>
      <c r="C3744" s="2" t="s">
        <v>18</v>
      </c>
      <c r="D3744" s="2" t="s">
        <v>31</v>
      </c>
      <c r="E3744" s="2" t="s">
        <v>20</v>
      </c>
      <c r="F3744" s="2" t="n">
        <v>137</v>
      </c>
      <c r="G3744" s="2" t="s">
        <v>20</v>
      </c>
      <c r="H3744" s="2" t="s">
        <v>20</v>
      </c>
      <c r="I3744" s="2" t="s">
        <v>21</v>
      </c>
      <c r="J3744" s="2" t="n">
        <v>13</v>
      </c>
      <c r="K3744" s="2" t="s">
        <v>41</v>
      </c>
      <c r="L3744" s="2" t="n">
        <v>244</v>
      </c>
      <c r="M3744" s="2" t="n">
        <v>6</v>
      </c>
      <c r="N3744" s="2" t="n">
        <v>-1</v>
      </c>
      <c r="O3744" s="2" t="n">
        <v>0</v>
      </c>
      <c r="P3744" s="2" t="s">
        <v>23</v>
      </c>
      <c r="Q3744" s="2" t="s">
        <v>20</v>
      </c>
    </row>
    <row r="3745" customFormat="false" ht="15" hidden="false" customHeight="false" outlineLevel="0" collapsed="false">
      <c r="A3745" s="2" t="n">
        <v>42</v>
      </c>
      <c r="B3745" s="2" t="s">
        <v>40</v>
      </c>
      <c r="C3745" s="2" t="s">
        <v>30</v>
      </c>
      <c r="D3745" s="2" t="s">
        <v>25</v>
      </c>
      <c r="E3745" s="2" t="s">
        <v>20</v>
      </c>
      <c r="F3745" s="2" t="n">
        <v>-247</v>
      </c>
      <c r="G3745" s="2" t="s">
        <v>26</v>
      </c>
      <c r="H3745" s="2" t="s">
        <v>26</v>
      </c>
      <c r="I3745" s="2" t="s">
        <v>49</v>
      </c>
      <c r="J3745" s="2" t="n">
        <v>21</v>
      </c>
      <c r="K3745" s="2" t="s">
        <v>22</v>
      </c>
      <c r="L3745" s="2" t="n">
        <v>519</v>
      </c>
      <c r="M3745" s="2" t="n">
        <v>1</v>
      </c>
      <c r="N3745" s="2" t="n">
        <v>166</v>
      </c>
      <c r="O3745" s="2" t="n">
        <v>1</v>
      </c>
      <c r="P3745" s="2" t="s">
        <v>37</v>
      </c>
      <c r="Q3745" s="2" t="s">
        <v>26</v>
      </c>
    </row>
    <row r="3746" customFormat="false" ht="15" hidden="false" customHeight="false" outlineLevel="0" collapsed="false">
      <c r="A3746" s="2" t="n">
        <v>26</v>
      </c>
      <c r="B3746" s="2" t="s">
        <v>40</v>
      </c>
      <c r="C3746" s="2" t="s">
        <v>30</v>
      </c>
      <c r="D3746" s="2" t="s">
        <v>25</v>
      </c>
      <c r="E3746" s="2" t="s">
        <v>20</v>
      </c>
      <c r="F3746" s="2" t="n">
        <v>321</v>
      </c>
      <c r="G3746" s="2" t="s">
        <v>26</v>
      </c>
      <c r="H3746" s="2" t="s">
        <v>20</v>
      </c>
      <c r="I3746" s="2" t="s">
        <v>21</v>
      </c>
      <c r="J3746" s="2" t="n">
        <v>22</v>
      </c>
      <c r="K3746" s="2" t="s">
        <v>44</v>
      </c>
      <c r="L3746" s="2" t="n">
        <v>242</v>
      </c>
      <c r="M3746" s="2" t="n">
        <v>7</v>
      </c>
      <c r="N3746" s="2" t="n">
        <v>-1</v>
      </c>
      <c r="O3746" s="2" t="n">
        <v>0</v>
      </c>
      <c r="P3746" s="2" t="s">
        <v>23</v>
      </c>
      <c r="Q3746" s="2" t="s">
        <v>20</v>
      </c>
    </row>
    <row r="3747" customFormat="false" ht="15" hidden="false" customHeight="false" outlineLevel="0" collapsed="false">
      <c r="A3747" s="2" t="n">
        <v>23</v>
      </c>
      <c r="B3747" s="2" t="s">
        <v>24</v>
      </c>
      <c r="C3747" s="2" t="s">
        <v>30</v>
      </c>
      <c r="D3747" s="2" t="s">
        <v>25</v>
      </c>
      <c r="E3747" s="2" t="s">
        <v>20</v>
      </c>
      <c r="F3747" s="2" t="n">
        <v>250</v>
      </c>
      <c r="G3747" s="2" t="s">
        <v>26</v>
      </c>
      <c r="H3747" s="2" t="s">
        <v>20</v>
      </c>
      <c r="I3747" s="2" t="s">
        <v>21</v>
      </c>
      <c r="J3747" s="2" t="n">
        <v>18</v>
      </c>
      <c r="K3747" s="2" t="s">
        <v>27</v>
      </c>
      <c r="L3747" s="2" t="n">
        <v>222</v>
      </c>
      <c r="M3747" s="2" t="n">
        <v>1</v>
      </c>
      <c r="N3747" s="2" t="n">
        <v>-1</v>
      </c>
      <c r="O3747" s="2" t="n">
        <v>0</v>
      </c>
      <c r="P3747" s="2" t="s">
        <v>23</v>
      </c>
      <c r="Q3747" s="2" t="s">
        <v>20</v>
      </c>
    </row>
    <row r="3748" customFormat="false" ht="15" hidden="false" customHeight="false" outlineLevel="0" collapsed="false">
      <c r="A3748" s="2" t="n">
        <v>50</v>
      </c>
      <c r="B3748" s="2" t="s">
        <v>29</v>
      </c>
      <c r="C3748" s="2" t="s">
        <v>18</v>
      </c>
      <c r="D3748" s="2" t="s">
        <v>31</v>
      </c>
      <c r="E3748" s="2" t="s">
        <v>20</v>
      </c>
      <c r="F3748" s="2" t="n">
        <v>-470</v>
      </c>
      <c r="G3748" s="2" t="s">
        <v>26</v>
      </c>
      <c r="H3748" s="2" t="s">
        <v>20</v>
      </c>
      <c r="I3748" s="2" t="s">
        <v>21</v>
      </c>
      <c r="J3748" s="2" t="n">
        <v>19</v>
      </c>
      <c r="K3748" s="2" t="s">
        <v>46</v>
      </c>
      <c r="L3748" s="2" t="n">
        <v>130</v>
      </c>
      <c r="M3748" s="2" t="n">
        <v>2</v>
      </c>
      <c r="N3748" s="2" t="n">
        <v>160</v>
      </c>
      <c r="O3748" s="2" t="n">
        <v>1</v>
      </c>
      <c r="P3748" s="2" t="s">
        <v>28</v>
      </c>
      <c r="Q3748" s="2" t="s">
        <v>20</v>
      </c>
    </row>
    <row r="3749" customFormat="false" ht="15" hidden="false" customHeight="false" outlineLevel="0" collapsed="false">
      <c r="A3749" s="2" t="n">
        <v>37</v>
      </c>
      <c r="B3749" s="2" t="s">
        <v>34</v>
      </c>
      <c r="C3749" s="2" t="s">
        <v>18</v>
      </c>
      <c r="D3749" s="2" t="s">
        <v>25</v>
      </c>
      <c r="E3749" s="2" t="s">
        <v>20</v>
      </c>
      <c r="F3749" s="2" t="n">
        <v>140</v>
      </c>
      <c r="G3749" s="2" t="s">
        <v>26</v>
      </c>
      <c r="H3749" s="2" t="s">
        <v>26</v>
      </c>
      <c r="I3749" s="2" t="s">
        <v>21</v>
      </c>
      <c r="J3749" s="2" t="n">
        <v>7</v>
      </c>
      <c r="K3749" s="2" t="s">
        <v>27</v>
      </c>
      <c r="L3749" s="2" t="n">
        <v>490</v>
      </c>
      <c r="M3749" s="2" t="n">
        <v>1</v>
      </c>
      <c r="N3749" s="2" t="n">
        <v>-1</v>
      </c>
      <c r="O3749" s="2" t="n">
        <v>0</v>
      </c>
      <c r="P3749" s="2" t="s">
        <v>23</v>
      </c>
      <c r="Q3749" s="2" t="s">
        <v>20</v>
      </c>
    </row>
    <row r="3750" customFormat="false" ht="15" hidden="false" customHeight="false" outlineLevel="0" collapsed="false">
      <c r="A3750" s="2" t="n">
        <v>35</v>
      </c>
      <c r="B3750" s="2" t="s">
        <v>29</v>
      </c>
      <c r="C3750" s="2" t="s">
        <v>18</v>
      </c>
      <c r="D3750" s="2" t="s">
        <v>31</v>
      </c>
      <c r="E3750" s="2" t="s">
        <v>20</v>
      </c>
      <c r="F3750" s="2" t="n">
        <v>2793</v>
      </c>
      <c r="G3750" s="2" t="s">
        <v>20</v>
      </c>
      <c r="H3750" s="2" t="s">
        <v>20</v>
      </c>
      <c r="I3750" s="2" t="s">
        <v>21</v>
      </c>
      <c r="J3750" s="2" t="n">
        <v>20</v>
      </c>
      <c r="K3750" s="2" t="s">
        <v>46</v>
      </c>
      <c r="L3750" s="2" t="n">
        <v>258</v>
      </c>
      <c r="M3750" s="2" t="n">
        <v>2</v>
      </c>
      <c r="N3750" s="2" t="n">
        <v>-1</v>
      </c>
      <c r="O3750" s="2" t="n">
        <v>0</v>
      </c>
      <c r="P3750" s="2" t="s">
        <v>23</v>
      </c>
      <c r="Q3750" s="2" t="s">
        <v>20</v>
      </c>
    </row>
    <row r="3751" customFormat="false" ht="15" hidden="false" customHeight="false" outlineLevel="0" collapsed="false">
      <c r="A3751" s="2" t="n">
        <v>37</v>
      </c>
      <c r="B3751" s="2" t="s">
        <v>29</v>
      </c>
      <c r="C3751" s="2" t="s">
        <v>18</v>
      </c>
      <c r="D3751" s="2" t="s">
        <v>31</v>
      </c>
      <c r="E3751" s="2" t="s">
        <v>20</v>
      </c>
      <c r="F3751" s="2" t="n">
        <v>410</v>
      </c>
      <c r="G3751" s="2" t="s">
        <v>20</v>
      </c>
      <c r="H3751" s="2" t="s">
        <v>20</v>
      </c>
      <c r="I3751" s="2" t="s">
        <v>21</v>
      </c>
      <c r="J3751" s="2" t="n">
        <v>29</v>
      </c>
      <c r="K3751" s="2" t="s">
        <v>43</v>
      </c>
      <c r="L3751" s="2" t="n">
        <v>337</v>
      </c>
      <c r="M3751" s="2" t="n">
        <v>2</v>
      </c>
      <c r="N3751" s="2" t="n">
        <v>-1</v>
      </c>
      <c r="O3751" s="2" t="n">
        <v>0</v>
      </c>
      <c r="P3751" s="2" t="s">
        <v>23</v>
      </c>
      <c r="Q3751" s="2" t="s">
        <v>20</v>
      </c>
    </row>
    <row r="3752" customFormat="false" ht="15" hidden="false" customHeight="false" outlineLevel="0" collapsed="false">
      <c r="A3752" s="2" t="n">
        <v>79</v>
      </c>
      <c r="B3752" s="2" t="s">
        <v>48</v>
      </c>
      <c r="C3752" s="2" t="s">
        <v>45</v>
      </c>
      <c r="D3752" s="2" t="s">
        <v>23</v>
      </c>
      <c r="E3752" s="2" t="s">
        <v>20</v>
      </c>
      <c r="F3752" s="2" t="n">
        <v>2628</v>
      </c>
      <c r="G3752" s="2" t="s">
        <v>20</v>
      </c>
      <c r="H3752" s="2" t="s">
        <v>20</v>
      </c>
      <c r="I3752" s="2" t="s">
        <v>49</v>
      </c>
      <c r="J3752" s="2" t="n">
        <v>8</v>
      </c>
      <c r="K3752" s="2" t="s">
        <v>44</v>
      </c>
      <c r="L3752" s="2" t="n">
        <v>220</v>
      </c>
      <c r="M3752" s="2" t="n">
        <v>7</v>
      </c>
      <c r="N3752" s="2" t="n">
        <v>450</v>
      </c>
      <c r="O3752" s="2" t="n">
        <v>2</v>
      </c>
      <c r="P3752" s="2" t="s">
        <v>28</v>
      </c>
      <c r="Q3752" s="2" t="s">
        <v>20</v>
      </c>
    </row>
    <row r="3753" customFormat="false" ht="15" hidden="false" customHeight="false" outlineLevel="0" collapsed="false">
      <c r="A3753" s="2" t="n">
        <v>39</v>
      </c>
      <c r="B3753" s="2" t="s">
        <v>38</v>
      </c>
      <c r="C3753" s="2" t="s">
        <v>18</v>
      </c>
      <c r="D3753" s="2" t="s">
        <v>25</v>
      </c>
      <c r="E3753" s="2" t="s">
        <v>20</v>
      </c>
      <c r="F3753" s="2" t="n">
        <v>116</v>
      </c>
      <c r="G3753" s="2" t="s">
        <v>20</v>
      </c>
      <c r="H3753" s="2" t="s">
        <v>20</v>
      </c>
      <c r="I3753" s="2" t="s">
        <v>21</v>
      </c>
      <c r="J3753" s="2" t="n">
        <v>24</v>
      </c>
      <c r="K3753" s="2" t="s">
        <v>41</v>
      </c>
      <c r="L3753" s="2" t="n">
        <v>79</v>
      </c>
      <c r="M3753" s="2" t="n">
        <v>2</v>
      </c>
      <c r="N3753" s="2" t="n">
        <v>94</v>
      </c>
      <c r="O3753" s="2" t="n">
        <v>2</v>
      </c>
      <c r="P3753" s="2" t="s">
        <v>50</v>
      </c>
      <c r="Q3753" s="2" t="s">
        <v>20</v>
      </c>
    </row>
    <row r="3754" customFormat="false" ht="15" hidden="false" customHeight="false" outlineLevel="0" collapsed="false">
      <c r="A3754" s="2" t="n">
        <v>47</v>
      </c>
      <c r="B3754" s="2" t="s">
        <v>24</v>
      </c>
      <c r="C3754" s="2" t="s">
        <v>18</v>
      </c>
      <c r="D3754" s="2" t="s">
        <v>25</v>
      </c>
      <c r="E3754" s="2" t="s">
        <v>20</v>
      </c>
      <c r="F3754" s="2" t="n">
        <v>0</v>
      </c>
      <c r="G3754" s="2" t="s">
        <v>26</v>
      </c>
      <c r="H3754" s="2" t="s">
        <v>20</v>
      </c>
      <c r="I3754" s="2" t="s">
        <v>49</v>
      </c>
      <c r="J3754" s="2" t="n">
        <v>9</v>
      </c>
      <c r="K3754" s="2" t="s">
        <v>44</v>
      </c>
      <c r="L3754" s="2" t="n">
        <v>250</v>
      </c>
      <c r="M3754" s="2" t="n">
        <v>1</v>
      </c>
      <c r="N3754" s="2" t="n">
        <v>-1</v>
      </c>
      <c r="O3754" s="2" t="n">
        <v>0</v>
      </c>
      <c r="P3754" s="2" t="s">
        <v>23</v>
      </c>
      <c r="Q3754" s="2" t="s">
        <v>20</v>
      </c>
    </row>
    <row r="3755" customFormat="false" ht="15" hidden="false" customHeight="false" outlineLevel="0" collapsed="false">
      <c r="A3755" s="2" t="n">
        <v>44</v>
      </c>
      <c r="B3755" s="2" t="s">
        <v>34</v>
      </c>
      <c r="C3755" s="2" t="s">
        <v>18</v>
      </c>
      <c r="D3755" s="2" t="s">
        <v>25</v>
      </c>
      <c r="E3755" s="2" t="s">
        <v>20</v>
      </c>
      <c r="F3755" s="2" t="n">
        <v>878</v>
      </c>
      <c r="G3755" s="2" t="s">
        <v>26</v>
      </c>
      <c r="H3755" s="2" t="s">
        <v>20</v>
      </c>
      <c r="I3755" s="2" t="s">
        <v>21</v>
      </c>
      <c r="J3755" s="2" t="n">
        <v>2</v>
      </c>
      <c r="K3755" s="2" t="s">
        <v>33</v>
      </c>
      <c r="L3755" s="2" t="n">
        <v>130</v>
      </c>
      <c r="M3755" s="2" t="n">
        <v>1</v>
      </c>
      <c r="N3755" s="2" t="n">
        <v>-1</v>
      </c>
      <c r="O3755" s="2" t="n">
        <v>0</v>
      </c>
      <c r="P3755" s="2" t="s">
        <v>23</v>
      </c>
      <c r="Q3755" s="2" t="s">
        <v>20</v>
      </c>
    </row>
    <row r="3756" customFormat="false" ht="15" hidden="false" customHeight="false" outlineLevel="0" collapsed="false">
      <c r="A3756" s="2" t="n">
        <v>36</v>
      </c>
      <c r="B3756" s="2" t="s">
        <v>29</v>
      </c>
      <c r="C3756" s="2" t="s">
        <v>30</v>
      </c>
      <c r="D3756" s="2" t="s">
        <v>31</v>
      </c>
      <c r="E3756" s="2" t="s">
        <v>20</v>
      </c>
      <c r="F3756" s="2" t="n">
        <v>2944</v>
      </c>
      <c r="G3756" s="2" t="s">
        <v>20</v>
      </c>
      <c r="H3756" s="2" t="s">
        <v>20</v>
      </c>
      <c r="I3756" s="2" t="s">
        <v>21</v>
      </c>
      <c r="J3756" s="2" t="n">
        <v>18</v>
      </c>
      <c r="K3756" s="2" t="s">
        <v>41</v>
      </c>
      <c r="L3756" s="2" t="n">
        <v>882</v>
      </c>
      <c r="M3756" s="2" t="n">
        <v>8</v>
      </c>
      <c r="N3756" s="2" t="n">
        <v>-1</v>
      </c>
      <c r="O3756" s="2" t="n">
        <v>0</v>
      </c>
      <c r="P3756" s="2" t="s">
        <v>23</v>
      </c>
      <c r="Q3756" s="2" t="s">
        <v>26</v>
      </c>
    </row>
    <row r="3757" customFormat="false" ht="15" hidden="false" customHeight="false" outlineLevel="0" collapsed="false">
      <c r="A3757" s="2" t="n">
        <v>33</v>
      </c>
      <c r="B3757" s="2" t="s">
        <v>34</v>
      </c>
      <c r="C3757" s="2" t="s">
        <v>30</v>
      </c>
      <c r="D3757" s="2" t="s">
        <v>25</v>
      </c>
      <c r="E3757" s="2" t="s">
        <v>20</v>
      </c>
      <c r="F3757" s="2" t="n">
        <v>3975</v>
      </c>
      <c r="G3757" s="2" t="s">
        <v>26</v>
      </c>
      <c r="H3757" s="2" t="s">
        <v>26</v>
      </c>
      <c r="I3757" s="2" t="s">
        <v>21</v>
      </c>
      <c r="J3757" s="2" t="n">
        <v>17</v>
      </c>
      <c r="K3757" s="2" t="s">
        <v>32</v>
      </c>
      <c r="L3757" s="2" t="n">
        <v>515</v>
      </c>
      <c r="M3757" s="2" t="n">
        <v>1</v>
      </c>
      <c r="N3757" s="2" t="n">
        <v>150</v>
      </c>
      <c r="O3757" s="2" t="n">
        <v>1</v>
      </c>
      <c r="P3757" s="2" t="s">
        <v>37</v>
      </c>
      <c r="Q3757" s="2" t="s">
        <v>20</v>
      </c>
    </row>
    <row r="3758" customFormat="false" ht="15" hidden="false" customHeight="false" outlineLevel="0" collapsed="false">
      <c r="A3758" s="2" t="n">
        <v>42</v>
      </c>
      <c r="B3758" s="2" t="s">
        <v>24</v>
      </c>
      <c r="C3758" s="2" t="s">
        <v>18</v>
      </c>
      <c r="D3758" s="2" t="s">
        <v>25</v>
      </c>
      <c r="E3758" s="2" t="s">
        <v>20</v>
      </c>
      <c r="F3758" s="2" t="n">
        <v>96</v>
      </c>
      <c r="G3758" s="2" t="s">
        <v>26</v>
      </c>
      <c r="H3758" s="2" t="s">
        <v>20</v>
      </c>
      <c r="I3758" s="2" t="s">
        <v>21</v>
      </c>
      <c r="J3758" s="2" t="n">
        <v>5</v>
      </c>
      <c r="K3758" s="2" t="s">
        <v>27</v>
      </c>
      <c r="L3758" s="2" t="n">
        <v>238</v>
      </c>
      <c r="M3758" s="2" t="n">
        <v>3</v>
      </c>
      <c r="N3758" s="2" t="n">
        <v>340</v>
      </c>
      <c r="O3758" s="2" t="n">
        <v>2</v>
      </c>
      <c r="P3758" s="2" t="s">
        <v>28</v>
      </c>
      <c r="Q3758" s="2" t="s">
        <v>20</v>
      </c>
    </row>
    <row r="3759" customFormat="false" ht="15" hidden="false" customHeight="false" outlineLevel="0" collapsed="false">
      <c r="A3759" s="2" t="n">
        <v>35</v>
      </c>
      <c r="B3759" s="2" t="s">
        <v>38</v>
      </c>
      <c r="C3759" s="2" t="s">
        <v>30</v>
      </c>
      <c r="D3759" s="2" t="s">
        <v>31</v>
      </c>
      <c r="E3759" s="2" t="s">
        <v>20</v>
      </c>
      <c r="F3759" s="2" t="n">
        <v>2288</v>
      </c>
      <c r="G3759" s="2" t="s">
        <v>20</v>
      </c>
      <c r="H3759" s="2" t="s">
        <v>20</v>
      </c>
      <c r="I3759" s="2" t="s">
        <v>49</v>
      </c>
      <c r="J3759" s="2" t="n">
        <v>28</v>
      </c>
      <c r="K3759" s="2" t="s">
        <v>27</v>
      </c>
      <c r="L3759" s="2" t="n">
        <v>32</v>
      </c>
      <c r="M3759" s="2" t="n">
        <v>2</v>
      </c>
      <c r="N3759" s="2" t="n">
        <v>-1</v>
      </c>
      <c r="O3759" s="2" t="n">
        <v>0</v>
      </c>
      <c r="P3759" s="2" t="s">
        <v>23</v>
      </c>
      <c r="Q3759" s="2" t="s">
        <v>20</v>
      </c>
    </row>
    <row r="3760" customFormat="false" ht="15" hidden="false" customHeight="false" outlineLevel="0" collapsed="false">
      <c r="A3760" s="2" t="n">
        <v>31</v>
      </c>
      <c r="B3760" s="2" t="s">
        <v>34</v>
      </c>
      <c r="C3760" s="2" t="s">
        <v>18</v>
      </c>
      <c r="D3760" s="2" t="s">
        <v>25</v>
      </c>
      <c r="E3760" s="2" t="s">
        <v>20</v>
      </c>
      <c r="F3760" s="2" t="n">
        <v>472</v>
      </c>
      <c r="G3760" s="2" t="s">
        <v>26</v>
      </c>
      <c r="H3760" s="2" t="s">
        <v>20</v>
      </c>
      <c r="I3760" s="2" t="s">
        <v>23</v>
      </c>
      <c r="J3760" s="2" t="n">
        <v>13</v>
      </c>
      <c r="K3760" s="2" t="s">
        <v>27</v>
      </c>
      <c r="L3760" s="2" t="n">
        <v>907</v>
      </c>
      <c r="M3760" s="2" t="n">
        <v>2</v>
      </c>
      <c r="N3760" s="2" t="n">
        <v>-1</v>
      </c>
      <c r="O3760" s="2" t="n">
        <v>0</v>
      </c>
      <c r="P3760" s="2" t="s">
        <v>23</v>
      </c>
      <c r="Q3760" s="2" t="s">
        <v>20</v>
      </c>
    </row>
    <row r="3761" customFormat="false" ht="15" hidden="false" customHeight="false" outlineLevel="0" collapsed="false">
      <c r="A3761" s="2" t="n">
        <v>58</v>
      </c>
      <c r="B3761" s="2" t="s">
        <v>24</v>
      </c>
      <c r="C3761" s="2" t="s">
        <v>18</v>
      </c>
      <c r="D3761" s="2" t="s">
        <v>19</v>
      </c>
      <c r="E3761" s="2" t="s">
        <v>20</v>
      </c>
      <c r="F3761" s="2" t="n">
        <v>65</v>
      </c>
      <c r="G3761" s="2" t="s">
        <v>20</v>
      </c>
      <c r="H3761" s="2" t="s">
        <v>20</v>
      </c>
      <c r="I3761" s="2" t="s">
        <v>23</v>
      </c>
      <c r="J3761" s="2" t="n">
        <v>27</v>
      </c>
      <c r="K3761" s="2" t="s">
        <v>33</v>
      </c>
      <c r="L3761" s="2" t="n">
        <v>162</v>
      </c>
      <c r="M3761" s="2" t="n">
        <v>1</v>
      </c>
      <c r="N3761" s="2" t="n">
        <v>-1</v>
      </c>
      <c r="O3761" s="2" t="n">
        <v>0</v>
      </c>
      <c r="P3761" s="2" t="s">
        <v>23</v>
      </c>
      <c r="Q3761" s="2" t="s">
        <v>20</v>
      </c>
    </row>
    <row r="3762" customFormat="false" ht="15" hidden="false" customHeight="false" outlineLevel="0" collapsed="false">
      <c r="A3762" s="2" t="n">
        <v>46</v>
      </c>
      <c r="B3762" s="2" t="s">
        <v>29</v>
      </c>
      <c r="C3762" s="2" t="s">
        <v>18</v>
      </c>
      <c r="D3762" s="2" t="s">
        <v>31</v>
      </c>
      <c r="E3762" s="2" t="s">
        <v>20</v>
      </c>
      <c r="F3762" s="2" t="n">
        <v>0</v>
      </c>
      <c r="G3762" s="2" t="s">
        <v>20</v>
      </c>
      <c r="H3762" s="2" t="s">
        <v>20</v>
      </c>
      <c r="I3762" s="2" t="s">
        <v>23</v>
      </c>
      <c r="J3762" s="2" t="n">
        <v>7</v>
      </c>
      <c r="K3762" s="2" t="s">
        <v>27</v>
      </c>
      <c r="L3762" s="2" t="n">
        <v>70</v>
      </c>
      <c r="M3762" s="2" t="n">
        <v>2</v>
      </c>
      <c r="N3762" s="2" t="n">
        <v>-1</v>
      </c>
      <c r="O3762" s="2" t="n">
        <v>0</v>
      </c>
      <c r="P3762" s="2" t="s">
        <v>23</v>
      </c>
      <c r="Q3762" s="2" t="s">
        <v>20</v>
      </c>
    </row>
    <row r="3763" customFormat="false" ht="15" hidden="false" customHeight="false" outlineLevel="0" collapsed="false">
      <c r="A3763" s="2" t="n">
        <v>41</v>
      </c>
      <c r="B3763" s="2" t="s">
        <v>40</v>
      </c>
      <c r="C3763" s="2" t="s">
        <v>30</v>
      </c>
      <c r="D3763" s="2" t="s">
        <v>25</v>
      </c>
      <c r="E3763" s="2" t="s">
        <v>20</v>
      </c>
      <c r="F3763" s="2" t="n">
        <v>400</v>
      </c>
      <c r="G3763" s="2" t="s">
        <v>26</v>
      </c>
      <c r="H3763" s="2" t="s">
        <v>20</v>
      </c>
      <c r="I3763" s="2" t="s">
        <v>23</v>
      </c>
      <c r="J3763" s="2" t="n">
        <v>4</v>
      </c>
      <c r="K3763" s="2" t="s">
        <v>33</v>
      </c>
      <c r="L3763" s="2" t="n">
        <v>99</v>
      </c>
      <c r="M3763" s="2" t="n">
        <v>6</v>
      </c>
      <c r="N3763" s="2" t="n">
        <v>-1</v>
      </c>
      <c r="O3763" s="2" t="n">
        <v>0</v>
      </c>
      <c r="P3763" s="2" t="s">
        <v>23</v>
      </c>
      <c r="Q3763" s="2" t="s">
        <v>20</v>
      </c>
    </row>
    <row r="3764" customFormat="false" ht="15" hidden="false" customHeight="false" outlineLevel="0" collapsed="false">
      <c r="A3764" s="2" t="n">
        <v>58</v>
      </c>
      <c r="B3764" s="2" t="s">
        <v>38</v>
      </c>
      <c r="C3764" s="2" t="s">
        <v>18</v>
      </c>
      <c r="D3764" s="2" t="s">
        <v>25</v>
      </c>
      <c r="E3764" s="2" t="s">
        <v>20</v>
      </c>
      <c r="F3764" s="2" t="n">
        <v>7495</v>
      </c>
      <c r="G3764" s="2" t="s">
        <v>26</v>
      </c>
      <c r="H3764" s="2" t="s">
        <v>20</v>
      </c>
      <c r="I3764" s="2" t="s">
        <v>23</v>
      </c>
      <c r="J3764" s="2" t="n">
        <v>13</v>
      </c>
      <c r="K3764" s="2" t="s">
        <v>27</v>
      </c>
      <c r="L3764" s="2" t="n">
        <v>325</v>
      </c>
      <c r="M3764" s="2" t="n">
        <v>1</v>
      </c>
      <c r="N3764" s="2" t="n">
        <v>-1</v>
      </c>
      <c r="O3764" s="2" t="n">
        <v>0</v>
      </c>
      <c r="P3764" s="2" t="s">
        <v>23</v>
      </c>
      <c r="Q3764" s="2" t="s">
        <v>20</v>
      </c>
    </row>
    <row r="3765" customFormat="false" ht="15" hidden="false" customHeight="false" outlineLevel="0" collapsed="false">
      <c r="A3765" s="2" t="n">
        <v>33</v>
      </c>
      <c r="B3765" s="2" t="s">
        <v>34</v>
      </c>
      <c r="C3765" s="2" t="s">
        <v>18</v>
      </c>
      <c r="D3765" s="2" t="s">
        <v>25</v>
      </c>
      <c r="E3765" s="2" t="s">
        <v>20</v>
      </c>
      <c r="F3765" s="2" t="n">
        <v>137</v>
      </c>
      <c r="G3765" s="2" t="s">
        <v>20</v>
      </c>
      <c r="H3765" s="2" t="s">
        <v>26</v>
      </c>
      <c r="I3765" s="2" t="s">
        <v>21</v>
      </c>
      <c r="J3765" s="2" t="n">
        <v>18</v>
      </c>
      <c r="K3765" s="2" t="s">
        <v>44</v>
      </c>
      <c r="L3765" s="2" t="n">
        <v>305</v>
      </c>
      <c r="M3765" s="2" t="n">
        <v>12</v>
      </c>
      <c r="N3765" s="2" t="n">
        <v>-1</v>
      </c>
      <c r="O3765" s="2" t="n">
        <v>0</v>
      </c>
      <c r="P3765" s="2" t="s">
        <v>23</v>
      </c>
      <c r="Q3765" s="2" t="s">
        <v>20</v>
      </c>
    </row>
    <row r="3766" customFormat="false" ht="15" hidden="false" customHeight="false" outlineLevel="0" collapsed="false">
      <c r="A3766" s="2" t="n">
        <v>31</v>
      </c>
      <c r="B3766" s="2" t="s">
        <v>17</v>
      </c>
      <c r="C3766" s="2" t="s">
        <v>18</v>
      </c>
      <c r="D3766" s="2" t="s">
        <v>25</v>
      </c>
      <c r="E3766" s="2" t="s">
        <v>20</v>
      </c>
      <c r="F3766" s="2" t="n">
        <v>24</v>
      </c>
      <c r="G3766" s="2" t="s">
        <v>26</v>
      </c>
      <c r="H3766" s="2" t="s">
        <v>20</v>
      </c>
      <c r="I3766" s="2" t="s">
        <v>21</v>
      </c>
      <c r="J3766" s="2" t="n">
        <v>19</v>
      </c>
      <c r="K3766" s="2" t="s">
        <v>46</v>
      </c>
      <c r="L3766" s="2" t="n">
        <v>631</v>
      </c>
      <c r="M3766" s="2" t="n">
        <v>1</v>
      </c>
      <c r="N3766" s="2" t="n">
        <v>-1</v>
      </c>
      <c r="O3766" s="2" t="n">
        <v>0</v>
      </c>
      <c r="P3766" s="2" t="s">
        <v>23</v>
      </c>
      <c r="Q3766" s="2" t="s">
        <v>20</v>
      </c>
    </row>
    <row r="3767" customFormat="false" ht="15" hidden="false" customHeight="false" outlineLevel="0" collapsed="false">
      <c r="A3767" s="2" t="n">
        <v>55</v>
      </c>
      <c r="B3767" s="2" t="s">
        <v>38</v>
      </c>
      <c r="C3767" s="2" t="s">
        <v>45</v>
      </c>
      <c r="D3767" s="2" t="s">
        <v>25</v>
      </c>
      <c r="E3767" s="2" t="s">
        <v>20</v>
      </c>
      <c r="F3767" s="2" t="n">
        <v>3450</v>
      </c>
      <c r="G3767" s="2" t="s">
        <v>20</v>
      </c>
      <c r="H3767" s="2" t="s">
        <v>20</v>
      </c>
      <c r="I3767" s="2" t="s">
        <v>21</v>
      </c>
      <c r="J3767" s="2" t="n">
        <v>10</v>
      </c>
      <c r="K3767" s="2" t="s">
        <v>35</v>
      </c>
      <c r="L3767" s="2" t="n">
        <v>169</v>
      </c>
      <c r="M3767" s="2" t="n">
        <v>1</v>
      </c>
      <c r="N3767" s="2" t="n">
        <v>183</v>
      </c>
      <c r="O3767" s="2" t="n">
        <v>1</v>
      </c>
      <c r="P3767" s="2" t="s">
        <v>28</v>
      </c>
      <c r="Q3767" s="2" t="s">
        <v>26</v>
      </c>
    </row>
    <row r="3768" customFormat="false" ht="15" hidden="false" customHeight="false" outlineLevel="0" collapsed="false">
      <c r="A3768" s="2" t="n">
        <v>38</v>
      </c>
      <c r="B3768" s="2" t="s">
        <v>38</v>
      </c>
      <c r="C3768" s="2" t="s">
        <v>30</v>
      </c>
      <c r="D3768" s="2" t="s">
        <v>25</v>
      </c>
      <c r="E3768" s="2" t="s">
        <v>20</v>
      </c>
      <c r="F3768" s="2" t="n">
        <v>311</v>
      </c>
      <c r="G3768" s="2" t="s">
        <v>26</v>
      </c>
      <c r="H3768" s="2" t="s">
        <v>20</v>
      </c>
      <c r="I3768" s="2" t="s">
        <v>21</v>
      </c>
      <c r="J3768" s="2" t="n">
        <v>28</v>
      </c>
      <c r="K3768" s="2" t="s">
        <v>27</v>
      </c>
      <c r="L3768" s="2" t="n">
        <v>61</v>
      </c>
      <c r="M3768" s="2" t="n">
        <v>2</v>
      </c>
      <c r="N3768" s="2" t="n">
        <v>-1</v>
      </c>
      <c r="O3768" s="2" t="n">
        <v>0</v>
      </c>
      <c r="P3768" s="2" t="s">
        <v>23</v>
      </c>
      <c r="Q3768" s="2" t="s">
        <v>20</v>
      </c>
    </row>
    <row r="3769" customFormat="false" ht="15" hidden="false" customHeight="false" outlineLevel="0" collapsed="false">
      <c r="A3769" s="2" t="n">
        <v>55</v>
      </c>
      <c r="B3769" s="2" t="s">
        <v>47</v>
      </c>
      <c r="C3769" s="2" t="s">
        <v>18</v>
      </c>
      <c r="D3769" s="2" t="s">
        <v>25</v>
      </c>
      <c r="E3769" s="2" t="s">
        <v>20</v>
      </c>
      <c r="F3769" s="2" t="n">
        <v>139</v>
      </c>
      <c r="G3769" s="2" t="s">
        <v>20</v>
      </c>
      <c r="H3769" s="2" t="s">
        <v>20</v>
      </c>
      <c r="I3769" s="2" t="s">
        <v>21</v>
      </c>
      <c r="J3769" s="2" t="n">
        <v>22</v>
      </c>
      <c r="K3769" s="2" t="s">
        <v>41</v>
      </c>
      <c r="L3769" s="2" t="n">
        <v>256</v>
      </c>
      <c r="M3769" s="2" t="n">
        <v>2</v>
      </c>
      <c r="N3769" s="2" t="n">
        <v>-1</v>
      </c>
      <c r="O3769" s="2" t="n">
        <v>0</v>
      </c>
      <c r="P3769" s="2" t="s">
        <v>23</v>
      </c>
      <c r="Q3769" s="2" t="s">
        <v>20</v>
      </c>
    </row>
    <row r="3770" customFormat="false" ht="15" hidden="false" customHeight="false" outlineLevel="0" collapsed="false">
      <c r="A3770" s="2" t="n">
        <v>47</v>
      </c>
      <c r="B3770" s="2" t="s">
        <v>29</v>
      </c>
      <c r="C3770" s="2" t="s">
        <v>30</v>
      </c>
      <c r="D3770" s="2" t="s">
        <v>31</v>
      </c>
      <c r="E3770" s="2" t="s">
        <v>20</v>
      </c>
      <c r="F3770" s="2" t="n">
        <v>0</v>
      </c>
      <c r="G3770" s="2" t="s">
        <v>20</v>
      </c>
      <c r="H3770" s="2" t="s">
        <v>20</v>
      </c>
      <c r="I3770" s="2" t="s">
        <v>23</v>
      </c>
      <c r="J3770" s="2" t="n">
        <v>11</v>
      </c>
      <c r="K3770" s="2" t="s">
        <v>33</v>
      </c>
      <c r="L3770" s="2" t="n">
        <v>58</v>
      </c>
      <c r="M3770" s="2" t="n">
        <v>3</v>
      </c>
      <c r="N3770" s="2" t="n">
        <v>-1</v>
      </c>
      <c r="O3770" s="2" t="n">
        <v>0</v>
      </c>
      <c r="P3770" s="2" t="s">
        <v>23</v>
      </c>
      <c r="Q3770" s="2" t="s">
        <v>20</v>
      </c>
    </row>
    <row r="3771" customFormat="false" ht="15" hidden="false" customHeight="false" outlineLevel="0" collapsed="false">
      <c r="A3771" s="2" t="n">
        <v>51</v>
      </c>
      <c r="B3771" s="2" t="s">
        <v>47</v>
      </c>
      <c r="C3771" s="2" t="s">
        <v>18</v>
      </c>
      <c r="D3771" s="2" t="s">
        <v>19</v>
      </c>
      <c r="E3771" s="2" t="s">
        <v>20</v>
      </c>
      <c r="F3771" s="2" t="n">
        <v>492</v>
      </c>
      <c r="G3771" s="2" t="s">
        <v>26</v>
      </c>
      <c r="H3771" s="2" t="s">
        <v>20</v>
      </c>
      <c r="I3771" s="2" t="s">
        <v>23</v>
      </c>
      <c r="J3771" s="2" t="n">
        <v>20</v>
      </c>
      <c r="K3771" s="2" t="s">
        <v>27</v>
      </c>
      <c r="L3771" s="2" t="n">
        <v>142</v>
      </c>
      <c r="M3771" s="2" t="n">
        <v>3</v>
      </c>
      <c r="N3771" s="2" t="n">
        <v>-1</v>
      </c>
      <c r="O3771" s="2" t="n">
        <v>0</v>
      </c>
      <c r="P3771" s="2" t="s">
        <v>23</v>
      </c>
      <c r="Q3771" s="2" t="s">
        <v>20</v>
      </c>
    </row>
    <row r="3772" customFormat="false" ht="15" hidden="false" customHeight="false" outlineLevel="0" collapsed="false">
      <c r="A3772" s="2" t="n">
        <v>46</v>
      </c>
      <c r="B3772" s="2" t="s">
        <v>29</v>
      </c>
      <c r="C3772" s="2" t="s">
        <v>30</v>
      </c>
      <c r="D3772" s="2" t="s">
        <v>31</v>
      </c>
      <c r="E3772" s="2" t="s">
        <v>20</v>
      </c>
      <c r="F3772" s="2" t="n">
        <v>334</v>
      </c>
      <c r="G3772" s="2" t="s">
        <v>26</v>
      </c>
      <c r="H3772" s="2" t="s">
        <v>20</v>
      </c>
      <c r="I3772" s="2" t="s">
        <v>49</v>
      </c>
      <c r="J3772" s="2" t="n">
        <v>4</v>
      </c>
      <c r="K3772" s="2" t="s">
        <v>27</v>
      </c>
      <c r="L3772" s="2" t="n">
        <v>36</v>
      </c>
      <c r="M3772" s="2" t="n">
        <v>6</v>
      </c>
      <c r="N3772" s="2" t="n">
        <v>90</v>
      </c>
      <c r="O3772" s="2" t="n">
        <v>2</v>
      </c>
      <c r="P3772" s="2" t="s">
        <v>37</v>
      </c>
      <c r="Q3772" s="2" t="s">
        <v>20</v>
      </c>
    </row>
    <row r="3773" customFormat="false" ht="15" hidden="false" customHeight="false" outlineLevel="0" collapsed="false">
      <c r="A3773" s="2" t="n">
        <v>61</v>
      </c>
      <c r="B3773" s="2" t="s">
        <v>29</v>
      </c>
      <c r="C3773" s="2" t="s">
        <v>18</v>
      </c>
      <c r="D3773" s="2" t="s">
        <v>31</v>
      </c>
      <c r="E3773" s="2" t="s">
        <v>20</v>
      </c>
      <c r="F3773" s="2" t="n">
        <v>997</v>
      </c>
      <c r="G3773" s="2" t="s">
        <v>20</v>
      </c>
      <c r="H3773" s="2" t="s">
        <v>20</v>
      </c>
      <c r="I3773" s="2" t="s">
        <v>21</v>
      </c>
      <c r="J3773" s="2" t="n">
        <v>10</v>
      </c>
      <c r="K3773" s="2" t="s">
        <v>52</v>
      </c>
      <c r="L3773" s="2" t="n">
        <v>106</v>
      </c>
      <c r="M3773" s="2" t="n">
        <v>1</v>
      </c>
      <c r="N3773" s="2" t="n">
        <v>-1</v>
      </c>
      <c r="O3773" s="2" t="n">
        <v>0</v>
      </c>
      <c r="P3773" s="2" t="s">
        <v>23</v>
      </c>
      <c r="Q3773" s="2" t="s">
        <v>26</v>
      </c>
    </row>
    <row r="3774" customFormat="false" ht="15" hidden="false" customHeight="false" outlineLevel="0" collapsed="false">
      <c r="A3774" s="2" t="n">
        <v>47</v>
      </c>
      <c r="B3774" s="2" t="s">
        <v>29</v>
      </c>
      <c r="C3774" s="2" t="s">
        <v>30</v>
      </c>
      <c r="D3774" s="2" t="s">
        <v>31</v>
      </c>
      <c r="E3774" s="2" t="s">
        <v>20</v>
      </c>
      <c r="F3774" s="2" t="n">
        <v>440</v>
      </c>
      <c r="G3774" s="2" t="s">
        <v>20</v>
      </c>
      <c r="H3774" s="2" t="s">
        <v>20</v>
      </c>
      <c r="I3774" s="2" t="s">
        <v>21</v>
      </c>
      <c r="J3774" s="2" t="n">
        <v>21</v>
      </c>
      <c r="K3774" s="2" t="s">
        <v>41</v>
      </c>
      <c r="L3774" s="2" t="n">
        <v>71</v>
      </c>
      <c r="M3774" s="2" t="n">
        <v>4</v>
      </c>
      <c r="N3774" s="2" t="n">
        <v>-1</v>
      </c>
      <c r="O3774" s="2" t="n">
        <v>0</v>
      </c>
      <c r="P3774" s="2" t="s">
        <v>23</v>
      </c>
      <c r="Q3774" s="2" t="s">
        <v>20</v>
      </c>
    </row>
    <row r="3775" customFormat="false" ht="15" hidden="false" customHeight="false" outlineLevel="0" collapsed="false">
      <c r="A3775" s="2" t="n">
        <v>34</v>
      </c>
      <c r="B3775" s="2" t="s">
        <v>38</v>
      </c>
      <c r="C3775" s="2" t="s">
        <v>18</v>
      </c>
      <c r="D3775" s="2" t="s">
        <v>25</v>
      </c>
      <c r="E3775" s="2" t="s">
        <v>20</v>
      </c>
      <c r="F3775" s="2" t="n">
        <v>47</v>
      </c>
      <c r="G3775" s="2" t="s">
        <v>20</v>
      </c>
      <c r="H3775" s="2" t="s">
        <v>20</v>
      </c>
      <c r="I3775" s="2" t="s">
        <v>21</v>
      </c>
      <c r="J3775" s="2" t="n">
        <v>25</v>
      </c>
      <c r="K3775" s="2" t="s">
        <v>41</v>
      </c>
      <c r="L3775" s="2" t="n">
        <v>132</v>
      </c>
      <c r="M3775" s="2" t="n">
        <v>6</v>
      </c>
      <c r="N3775" s="2" t="n">
        <v>-1</v>
      </c>
      <c r="O3775" s="2" t="n">
        <v>0</v>
      </c>
      <c r="P3775" s="2" t="s">
        <v>23</v>
      </c>
      <c r="Q3775" s="2" t="s">
        <v>20</v>
      </c>
    </row>
    <row r="3776" customFormat="false" ht="15" hidden="false" customHeight="false" outlineLevel="0" collapsed="false">
      <c r="A3776" s="2" t="n">
        <v>34</v>
      </c>
      <c r="B3776" s="2" t="s">
        <v>34</v>
      </c>
      <c r="C3776" s="2" t="s">
        <v>18</v>
      </c>
      <c r="D3776" s="2" t="s">
        <v>25</v>
      </c>
      <c r="E3776" s="2" t="s">
        <v>20</v>
      </c>
      <c r="F3776" s="2" t="n">
        <v>1298</v>
      </c>
      <c r="G3776" s="2" t="s">
        <v>26</v>
      </c>
      <c r="H3776" s="2" t="s">
        <v>20</v>
      </c>
      <c r="I3776" s="2" t="s">
        <v>23</v>
      </c>
      <c r="J3776" s="2" t="n">
        <v>20</v>
      </c>
      <c r="K3776" s="2" t="s">
        <v>27</v>
      </c>
      <c r="L3776" s="2" t="n">
        <v>120</v>
      </c>
      <c r="M3776" s="2" t="n">
        <v>1</v>
      </c>
      <c r="N3776" s="2" t="n">
        <v>-1</v>
      </c>
      <c r="O3776" s="2" t="n">
        <v>0</v>
      </c>
      <c r="P3776" s="2" t="s">
        <v>23</v>
      </c>
      <c r="Q3776" s="2" t="s">
        <v>20</v>
      </c>
    </row>
    <row r="3777" customFormat="false" ht="15" hidden="false" customHeight="false" outlineLevel="0" collapsed="false">
      <c r="A3777" s="2" t="n">
        <v>41</v>
      </c>
      <c r="B3777" s="2" t="s">
        <v>29</v>
      </c>
      <c r="C3777" s="2" t="s">
        <v>45</v>
      </c>
      <c r="D3777" s="2" t="s">
        <v>31</v>
      </c>
      <c r="E3777" s="2" t="s">
        <v>20</v>
      </c>
      <c r="F3777" s="2" t="n">
        <v>3355</v>
      </c>
      <c r="G3777" s="2" t="s">
        <v>20</v>
      </c>
      <c r="H3777" s="2" t="s">
        <v>20</v>
      </c>
      <c r="I3777" s="2" t="s">
        <v>21</v>
      </c>
      <c r="J3777" s="2" t="n">
        <v>14</v>
      </c>
      <c r="K3777" s="2" t="s">
        <v>22</v>
      </c>
      <c r="L3777" s="2" t="n">
        <v>181</v>
      </c>
      <c r="M3777" s="2" t="n">
        <v>2</v>
      </c>
      <c r="N3777" s="2" t="n">
        <v>500</v>
      </c>
      <c r="O3777" s="2" t="n">
        <v>1</v>
      </c>
      <c r="P3777" s="2" t="s">
        <v>28</v>
      </c>
      <c r="Q3777" s="2" t="s">
        <v>20</v>
      </c>
    </row>
    <row r="3778" customFormat="false" ht="15" hidden="false" customHeight="false" outlineLevel="0" collapsed="false">
      <c r="A3778" s="2" t="n">
        <v>36</v>
      </c>
      <c r="B3778" s="2" t="s">
        <v>34</v>
      </c>
      <c r="C3778" s="2" t="s">
        <v>45</v>
      </c>
      <c r="D3778" s="2" t="s">
        <v>25</v>
      </c>
      <c r="E3778" s="2" t="s">
        <v>20</v>
      </c>
      <c r="F3778" s="2" t="n">
        <v>-11</v>
      </c>
      <c r="G3778" s="2" t="s">
        <v>20</v>
      </c>
      <c r="H3778" s="2" t="s">
        <v>20</v>
      </c>
      <c r="I3778" s="2" t="s">
        <v>23</v>
      </c>
      <c r="J3778" s="2" t="n">
        <v>5</v>
      </c>
      <c r="K3778" s="2" t="s">
        <v>33</v>
      </c>
      <c r="L3778" s="2" t="n">
        <v>152</v>
      </c>
      <c r="M3778" s="2" t="n">
        <v>2</v>
      </c>
      <c r="N3778" s="2" t="n">
        <v>-1</v>
      </c>
      <c r="O3778" s="2" t="n">
        <v>0</v>
      </c>
      <c r="P3778" s="2" t="s">
        <v>23</v>
      </c>
      <c r="Q3778" s="2" t="s">
        <v>20</v>
      </c>
    </row>
    <row r="3779" customFormat="false" ht="15" hidden="false" customHeight="false" outlineLevel="0" collapsed="false">
      <c r="A3779" s="2" t="n">
        <v>26</v>
      </c>
      <c r="B3779" s="2" t="s">
        <v>34</v>
      </c>
      <c r="C3779" s="2" t="s">
        <v>30</v>
      </c>
      <c r="D3779" s="2" t="s">
        <v>25</v>
      </c>
      <c r="E3779" s="2" t="s">
        <v>20</v>
      </c>
      <c r="F3779" s="2" t="n">
        <v>396</v>
      </c>
      <c r="G3779" s="2" t="s">
        <v>26</v>
      </c>
      <c r="H3779" s="2" t="s">
        <v>20</v>
      </c>
      <c r="I3779" s="2" t="s">
        <v>23</v>
      </c>
      <c r="J3779" s="2" t="n">
        <v>28</v>
      </c>
      <c r="K3779" s="2" t="s">
        <v>27</v>
      </c>
      <c r="L3779" s="2" t="n">
        <v>302</v>
      </c>
      <c r="M3779" s="2" t="n">
        <v>1</v>
      </c>
      <c r="N3779" s="2" t="n">
        <v>-1</v>
      </c>
      <c r="O3779" s="2" t="n">
        <v>0</v>
      </c>
      <c r="P3779" s="2" t="s">
        <v>23</v>
      </c>
      <c r="Q3779" s="2" t="s">
        <v>20</v>
      </c>
    </row>
    <row r="3780" customFormat="false" ht="15" hidden="false" customHeight="false" outlineLevel="0" collapsed="false">
      <c r="A3780" s="2" t="n">
        <v>35</v>
      </c>
      <c r="B3780" s="2" t="s">
        <v>29</v>
      </c>
      <c r="C3780" s="2" t="s">
        <v>18</v>
      </c>
      <c r="D3780" s="2" t="s">
        <v>31</v>
      </c>
      <c r="E3780" s="2" t="s">
        <v>20</v>
      </c>
      <c r="F3780" s="2" t="n">
        <v>8</v>
      </c>
      <c r="G3780" s="2" t="s">
        <v>20</v>
      </c>
      <c r="H3780" s="2" t="s">
        <v>20</v>
      </c>
      <c r="I3780" s="2" t="s">
        <v>21</v>
      </c>
      <c r="J3780" s="2" t="n">
        <v>23</v>
      </c>
      <c r="K3780" s="2" t="s">
        <v>32</v>
      </c>
      <c r="L3780" s="2" t="n">
        <v>93</v>
      </c>
      <c r="M3780" s="2" t="n">
        <v>3</v>
      </c>
      <c r="N3780" s="2" t="n">
        <v>-1</v>
      </c>
      <c r="O3780" s="2" t="n">
        <v>0</v>
      </c>
      <c r="P3780" s="2" t="s">
        <v>23</v>
      </c>
      <c r="Q3780" s="2" t="s">
        <v>26</v>
      </c>
    </row>
    <row r="3781" customFormat="false" ht="15" hidden="false" customHeight="false" outlineLevel="0" collapsed="false">
      <c r="A3781" s="2" t="n">
        <v>36</v>
      </c>
      <c r="B3781" s="2" t="s">
        <v>34</v>
      </c>
      <c r="C3781" s="2" t="s">
        <v>18</v>
      </c>
      <c r="D3781" s="2" t="s">
        <v>25</v>
      </c>
      <c r="E3781" s="2" t="s">
        <v>20</v>
      </c>
      <c r="F3781" s="2" t="n">
        <v>1409</v>
      </c>
      <c r="G3781" s="2" t="s">
        <v>20</v>
      </c>
      <c r="H3781" s="2" t="s">
        <v>20</v>
      </c>
      <c r="I3781" s="2" t="s">
        <v>23</v>
      </c>
      <c r="J3781" s="2" t="n">
        <v>17</v>
      </c>
      <c r="K3781" s="2" t="s">
        <v>33</v>
      </c>
      <c r="L3781" s="2" t="n">
        <v>235</v>
      </c>
      <c r="M3781" s="2" t="n">
        <v>2</v>
      </c>
      <c r="N3781" s="2" t="n">
        <v>-1</v>
      </c>
      <c r="O3781" s="2" t="n">
        <v>0</v>
      </c>
      <c r="P3781" s="2" t="s">
        <v>23</v>
      </c>
      <c r="Q3781" s="2" t="s">
        <v>20</v>
      </c>
    </row>
    <row r="3782" customFormat="false" ht="15" hidden="false" customHeight="false" outlineLevel="0" collapsed="false">
      <c r="A3782" s="2" t="n">
        <v>26</v>
      </c>
      <c r="B3782" s="2" t="s">
        <v>29</v>
      </c>
      <c r="C3782" s="2" t="s">
        <v>30</v>
      </c>
      <c r="D3782" s="2" t="s">
        <v>31</v>
      </c>
      <c r="E3782" s="2" t="s">
        <v>20</v>
      </c>
      <c r="F3782" s="2" t="n">
        <v>170</v>
      </c>
      <c r="G3782" s="2" t="s">
        <v>20</v>
      </c>
      <c r="H3782" s="2" t="s">
        <v>20</v>
      </c>
      <c r="I3782" s="2" t="s">
        <v>21</v>
      </c>
      <c r="J3782" s="2" t="n">
        <v>15</v>
      </c>
      <c r="K3782" s="2" t="s">
        <v>33</v>
      </c>
      <c r="L3782" s="2" t="n">
        <v>129</v>
      </c>
      <c r="M3782" s="2" t="n">
        <v>1</v>
      </c>
      <c r="N3782" s="2" t="n">
        <v>-1</v>
      </c>
      <c r="O3782" s="2" t="n">
        <v>0</v>
      </c>
      <c r="P3782" s="2" t="s">
        <v>23</v>
      </c>
      <c r="Q3782" s="2" t="s">
        <v>26</v>
      </c>
    </row>
    <row r="3783" customFormat="false" ht="15" hidden="false" customHeight="false" outlineLevel="0" collapsed="false">
      <c r="A3783" s="2" t="n">
        <v>58</v>
      </c>
      <c r="B3783" s="2" t="s">
        <v>29</v>
      </c>
      <c r="C3783" s="2" t="s">
        <v>18</v>
      </c>
      <c r="D3783" s="2" t="s">
        <v>19</v>
      </c>
      <c r="E3783" s="2" t="s">
        <v>20</v>
      </c>
      <c r="F3783" s="2" t="n">
        <v>2769</v>
      </c>
      <c r="G3783" s="2" t="s">
        <v>26</v>
      </c>
      <c r="H3783" s="2" t="s">
        <v>20</v>
      </c>
      <c r="I3783" s="2" t="s">
        <v>21</v>
      </c>
      <c r="J3783" s="2" t="n">
        <v>11</v>
      </c>
      <c r="K3783" s="2" t="s">
        <v>44</v>
      </c>
      <c r="L3783" s="2" t="n">
        <v>94</v>
      </c>
      <c r="M3783" s="2" t="n">
        <v>2</v>
      </c>
      <c r="N3783" s="2" t="n">
        <v>-1</v>
      </c>
      <c r="O3783" s="2" t="n">
        <v>0</v>
      </c>
      <c r="P3783" s="2" t="s">
        <v>23</v>
      </c>
      <c r="Q3783" s="2" t="s">
        <v>20</v>
      </c>
    </row>
    <row r="3784" customFormat="false" ht="15" hidden="false" customHeight="false" outlineLevel="0" collapsed="false">
      <c r="A3784" s="2" t="n">
        <v>50</v>
      </c>
      <c r="B3784" s="2" t="s">
        <v>34</v>
      </c>
      <c r="C3784" s="2" t="s">
        <v>18</v>
      </c>
      <c r="D3784" s="2" t="s">
        <v>25</v>
      </c>
      <c r="E3784" s="2" t="s">
        <v>20</v>
      </c>
      <c r="F3784" s="2" t="n">
        <v>2320</v>
      </c>
      <c r="G3784" s="2" t="s">
        <v>26</v>
      </c>
      <c r="H3784" s="2" t="s">
        <v>20</v>
      </c>
      <c r="I3784" s="2" t="s">
        <v>21</v>
      </c>
      <c r="J3784" s="2" t="n">
        <v>7</v>
      </c>
      <c r="K3784" s="2" t="s">
        <v>32</v>
      </c>
      <c r="L3784" s="2" t="n">
        <v>310</v>
      </c>
      <c r="M3784" s="2" t="n">
        <v>1</v>
      </c>
      <c r="N3784" s="2" t="n">
        <v>-1</v>
      </c>
      <c r="O3784" s="2" t="n">
        <v>0</v>
      </c>
      <c r="P3784" s="2" t="s">
        <v>23</v>
      </c>
      <c r="Q3784" s="2" t="s">
        <v>20</v>
      </c>
    </row>
    <row r="3785" customFormat="false" ht="15" hidden="false" customHeight="false" outlineLevel="0" collapsed="false">
      <c r="A3785" s="2" t="n">
        <v>61</v>
      </c>
      <c r="B3785" s="2" t="s">
        <v>48</v>
      </c>
      <c r="C3785" s="2" t="s">
        <v>18</v>
      </c>
      <c r="D3785" s="2" t="s">
        <v>25</v>
      </c>
      <c r="E3785" s="2" t="s">
        <v>20</v>
      </c>
      <c r="F3785" s="2" t="n">
        <v>76</v>
      </c>
      <c r="G3785" s="2" t="s">
        <v>26</v>
      </c>
      <c r="H3785" s="2" t="s">
        <v>20</v>
      </c>
      <c r="I3785" s="2" t="s">
        <v>21</v>
      </c>
      <c r="J3785" s="2" t="n">
        <v>15</v>
      </c>
      <c r="K3785" s="2" t="s">
        <v>44</v>
      </c>
      <c r="L3785" s="2" t="n">
        <v>195</v>
      </c>
      <c r="M3785" s="2" t="n">
        <v>7</v>
      </c>
      <c r="N3785" s="2" t="n">
        <v>-1</v>
      </c>
      <c r="O3785" s="2" t="n">
        <v>0</v>
      </c>
      <c r="P3785" s="2" t="s">
        <v>23</v>
      </c>
      <c r="Q3785" s="2" t="s">
        <v>20</v>
      </c>
    </row>
    <row r="3786" customFormat="false" ht="15" hidden="false" customHeight="false" outlineLevel="0" collapsed="false">
      <c r="A3786" s="2" t="n">
        <v>28</v>
      </c>
      <c r="B3786" s="2" t="s">
        <v>38</v>
      </c>
      <c r="C3786" s="2" t="s">
        <v>30</v>
      </c>
      <c r="D3786" s="2" t="s">
        <v>25</v>
      </c>
      <c r="E3786" s="2" t="s">
        <v>20</v>
      </c>
      <c r="F3786" s="2" t="n">
        <v>2034</v>
      </c>
      <c r="G3786" s="2" t="s">
        <v>26</v>
      </c>
      <c r="H3786" s="2" t="s">
        <v>20</v>
      </c>
      <c r="I3786" s="2" t="s">
        <v>23</v>
      </c>
      <c r="J3786" s="2" t="n">
        <v>21</v>
      </c>
      <c r="K3786" s="2" t="s">
        <v>27</v>
      </c>
      <c r="L3786" s="2" t="n">
        <v>196</v>
      </c>
      <c r="M3786" s="2" t="n">
        <v>1</v>
      </c>
      <c r="N3786" s="2" t="n">
        <v>-1</v>
      </c>
      <c r="O3786" s="2" t="n">
        <v>0</v>
      </c>
      <c r="P3786" s="2" t="s">
        <v>23</v>
      </c>
      <c r="Q3786" s="2" t="s">
        <v>20</v>
      </c>
    </row>
    <row r="3787" customFormat="false" ht="15" hidden="false" customHeight="false" outlineLevel="0" collapsed="false">
      <c r="A3787" s="2" t="n">
        <v>49</v>
      </c>
      <c r="B3787" s="2" t="s">
        <v>34</v>
      </c>
      <c r="C3787" s="2" t="s">
        <v>30</v>
      </c>
      <c r="D3787" s="2" t="s">
        <v>19</v>
      </c>
      <c r="E3787" s="2" t="s">
        <v>20</v>
      </c>
      <c r="F3787" s="2" t="n">
        <v>3018</v>
      </c>
      <c r="G3787" s="2" t="s">
        <v>26</v>
      </c>
      <c r="H3787" s="2" t="s">
        <v>20</v>
      </c>
      <c r="I3787" s="2" t="s">
        <v>23</v>
      </c>
      <c r="J3787" s="2" t="n">
        <v>15</v>
      </c>
      <c r="K3787" s="2" t="s">
        <v>27</v>
      </c>
      <c r="L3787" s="2" t="n">
        <v>93</v>
      </c>
      <c r="M3787" s="2" t="n">
        <v>1</v>
      </c>
      <c r="N3787" s="2" t="n">
        <v>-1</v>
      </c>
      <c r="O3787" s="2" t="n">
        <v>0</v>
      </c>
      <c r="P3787" s="2" t="s">
        <v>23</v>
      </c>
      <c r="Q3787" s="2" t="s">
        <v>20</v>
      </c>
    </row>
    <row r="3788" customFormat="false" ht="15" hidden="false" customHeight="false" outlineLevel="0" collapsed="false">
      <c r="A3788" s="2" t="n">
        <v>74</v>
      </c>
      <c r="B3788" s="2" t="s">
        <v>48</v>
      </c>
      <c r="C3788" s="2" t="s">
        <v>18</v>
      </c>
      <c r="D3788" s="2" t="s">
        <v>25</v>
      </c>
      <c r="E3788" s="2" t="s">
        <v>20</v>
      </c>
      <c r="F3788" s="2" t="n">
        <v>921</v>
      </c>
      <c r="G3788" s="2" t="s">
        <v>20</v>
      </c>
      <c r="H3788" s="2" t="s">
        <v>20</v>
      </c>
      <c r="I3788" s="2" t="s">
        <v>49</v>
      </c>
      <c r="J3788" s="2" t="n">
        <v>17</v>
      </c>
      <c r="K3788" s="2" t="s">
        <v>32</v>
      </c>
      <c r="L3788" s="2" t="n">
        <v>394</v>
      </c>
      <c r="M3788" s="2" t="n">
        <v>2</v>
      </c>
      <c r="N3788" s="2" t="n">
        <v>-1</v>
      </c>
      <c r="O3788" s="2" t="n">
        <v>0</v>
      </c>
      <c r="P3788" s="2" t="s">
        <v>23</v>
      </c>
      <c r="Q3788" s="2" t="s">
        <v>26</v>
      </c>
    </row>
    <row r="3789" customFormat="false" ht="15" hidden="false" customHeight="false" outlineLevel="0" collapsed="false">
      <c r="A3789" s="2" t="n">
        <v>53</v>
      </c>
      <c r="B3789" s="2" t="s">
        <v>34</v>
      </c>
      <c r="C3789" s="2" t="s">
        <v>18</v>
      </c>
      <c r="D3789" s="2" t="s">
        <v>25</v>
      </c>
      <c r="E3789" s="2" t="s">
        <v>20</v>
      </c>
      <c r="F3789" s="2" t="n">
        <v>483</v>
      </c>
      <c r="G3789" s="2" t="s">
        <v>26</v>
      </c>
      <c r="H3789" s="2" t="s">
        <v>20</v>
      </c>
      <c r="I3789" s="2" t="s">
        <v>21</v>
      </c>
      <c r="J3789" s="2" t="n">
        <v>3</v>
      </c>
      <c r="K3789" s="2" t="s">
        <v>35</v>
      </c>
      <c r="L3789" s="2" t="n">
        <v>288</v>
      </c>
      <c r="M3789" s="2" t="n">
        <v>3</v>
      </c>
      <c r="N3789" s="2" t="n">
        <v>-1</v>
      </c>
      <c r="O3789" s="2" t="n">
        <v>0</v>
      </c>
      <c r="P3789" s="2" t="s">
        <v>23</v>
      </c>
      <c r="Q3789" s="2" t="s">
        <v>20</v>
      </c>
    </row>
    <row r="3790" customFormat="false" ht="15" hidden="false" customHeight="false" outlineLevel="0" collapsed="false">
      <c r="A3790" s="2" t="n">
        <v>46</v>
      </c>
      <c r="B3790" s="2" t="s">
        <v>36</v>
      </c>
      <c r="C3790" s="2" t="s">
        <v>18</v>
      </c>
      <c r="D3790" s="2" t="s">
        <v>25</v>
      </c>
      <c r="E3790" s="2" t="s">
        <v>20</v>
      </c>
      <c r="F3790" s="2" t="n">
        <v>390</v>
      </c>
      <c r="G3790" s="2" t="s">
        <v>26</v>
      </c>
      <c r="H3790" s="2" t="s">
        <v>20</v>
      </c>
      <c r="I3790" s="2" t="s">
        <v>21</v>
      </c>
      <c r="J3790" s="2" t="n">
        <v>31</v>
      </c>
      <c r="K3790" s="2" t="s">
        <v>44</v>
      </c>
      <c r="L3790" s="2" t="n">
        <v>208</v>
      </c>
      <c r="M3790" s="2" t="n">
        <v>2</v>
      </c>
      <c r="N3790" s="2" t="n">
        <v>-1</v>
      </c>
      <c r="O3790" s="2" t="n">
        <v>0</v>
      </c>
      <c r="P3790" s="2" t="s">
        <v>23</v>
      </c>
      <c r="Q3790" s="2" t="s">
        <v>20</v>
      </c>
    </row>
    <row r="3791" customFormat="false" ht="15" hidden="false" customHeight="false" outlineLevel="0" collapsed="false">
      <c r="A3791" s="2" t="n">
        <v>47</v>
      </c>
      <c r="B3791" s="2" t="s">
        <v>29</v>
      </c>
      <c r="C3791" s="2" t="s">
        <v>18</v>
      </c>
      <c r="D3791" s="2" t="s">
        <v>31</v>
      </c>
      <c r="E3791" s="2" t="s">
        <v>20</v>
      </c>
      <c r="F3791" s="2" t="n">
        <v>0</v>
      </c>
      <c r="G3791" s="2" t="s">
        <v>20</v>
      </c>
      <c r="H3791" s="2" t="s">
        <v>20</v>
      </c>
      <c r="I3791" s="2" t="s">
        <v>21</v>
      </c>
      <c r="J3791" s="2" t="n">
        <v>27</v>
      </c>
      <c r="K3791" s="2" t="s">
        <v>22</v>
      </c>
      <c r="L3791" s="2" t="n">
        <v>508</v>
      </c>
      <c r="M3791" s="2" t="n">
        <v>1</v>
      </c>
      <c r="N3791" s="2" t="n">
        <v>-1</v>
      </c>
      <c r="O3791" s="2" t="n">
        <v>0</v>
      </c>
      <c r="P3791" s="2" t="s">
        <v>23</v>
      </c>
      <c r="Q3791" s="2" t="s">
        <v>26</v>
      </c>
    </row>
    <row r="3792" customFormat="false" ht="15" hidden="false" customHeight="false" outlineLevel="0" collapsed="false">
      <c r="A3792" s="2" t="n">
        <v>42</v>
      </c>
      <c r="B3792" s="2" t="s">
        <v>34</v>
      </c>
      <c r="C3792" s="2" t="s">
        <v>30</v>
      </c>
      <c r="D3792" s="2" t="s">
        <v>19</v>
      </c>
      <c r="E3792" s="2" t="s">
        <v>20</v>
      </c>
      <c r="F3792" s="2" t="n">
        <v>92</v>
      </c>
      <c r="G3792" s="2" t="s">
        <v>20</v>
      </c>
      <c r="H3792" s="2" t="s">
        <v>20</v>
      </c>
      <c r="I3792" s="2" t="s">
        <v>21</v>
      </c>
      <c r="J3792" s="2" t="n">
        <v>30</v>
      </c>
      <c r="K3792" s="2" t="s">
        <v>44</v>
      </c>
      <c r="L3792" s="2" t="n">
        <v>86</v>
      </c>
      <c r="M3792" s="2" t="n">
        <v>2</v>
      </c>
      <c r="N3792" s="2" t="n">
        <v>-1</v>
      </c>
      <c r="O3792" s="2" t="n">
        <v>0</v>
      </c>
      <c r="P3792" s="2" t="s">
        <v>23</v>
      </c>
      <c r="Q3792" s="2" t="s">
        <v>20</v>
      </c>
    </row>
    <row r="3793" customFormat="false" ht="15" hidden="false" customHeight="false" outlineLevel="0" collapsed="false">
      <c r="A3793" s="2" t="n">
        <v>56</v>
      </c>
      <c r="B3793" s="2" t="s">
        <v>24</v>
      </c>
      <c r="C3793" s="2" t="s">
        <v>18</v>
      </c>
      <c r="D3793" s="2" t="s">
        <v>25</v>
      </c>
      <c r="E3793" s="2" t="s">
        <v>20</v>
      </c>
      <c r="F3793" s="2" t="n">
        <v>22196</v>
      </c>
      <c r="G3793" s="2" t="s">
        <v>26</v>
      </c>
      <c r="H3793" s="2" t="s">
        <v>20</v>
      </c>
      <c r="I3793" s="2" t="s">
        <v>21</v>
      </c>
      <c r="J3793" s="2" t="n">
        <v>21</v>
      </c>
      <c r="K3793" s="2" t="s">
        <v>46</v>
      </c>
      <c r="L3793" s="2" t="n">
        <v>189</v>
      </c>
      <c r="M3793" s="2" t="n">
        <v>1</v>
      </c>
      <c r="N3793" s="2" t="n">
        <v>-1</v>
      </c>
      <c r="O3793" s="2" t="n">
        <v>0</v>
      </c>
      <c r="P3793" s="2" t="s">
        <v>23</v>
      </c>
      <c r="Q3793" s="2" t="s">
        <v>20</v>
      </c>
    </row>
    <row r="3794" customFormat="false" ht="15" hidden="false" customHeight="false" outlineLevel="0" collapsed="false">
      <c r="A3794" s="2" t="n">
        <v>42</v>
      </c>
      <c r="B3794" s="2" t="s">
        <v>38</v>
      </c>
      <c r="C3794" s="2" t="s">
        <v>18</v>
      </c>
      <c r="D3794" s="2" t="s">
        <v>25</v>
      </c>
      <c r="E3794" s="2" t="s">
        <v>20</v>
      </c>
      <c r="F3794" s="2" t="n">
        <v>2</v>
      </c>
      <c r="G3794" s="2" t="s">
        <v>20</v>
      </c>
      <c r="H3794" s="2" t="s">
        <v>20</v>
      </c>
      <c r="I3794" s="2" t="s">
        <v>23</v>
      </c>
      <c r="J3794" s="2" t="n">
        <v>29</v>
      </c>
      <c r="K3794" s="2" t="s">
        <v>27</v>
      </c>
      <c r="L3794" s="2" t="n">
        <v>249</v>
      </c>
      <c r="M3794" s="2" t="n">
        <v>2</v>
      </c>
      <c r="N3794" s="2" t="n">
        <v>-1</v>
      </c>
      <c r="O3794" s="2" t="n">
        <v>0</v>
      </c>
      <c r="P3794" s="2" t="s">
        <v>23</v>
      </c>
      <c r="Q3794" s="2" t="s">
        <v>20</v>
      </c>
    </row>
    <row r="3795" customFormat="false" ht="15" hidden="false" customHeight="false" outlineLevel="0" collapsed="false">
      <c r="A3795" s="2" t="n">
        <v>49</v>
      </c>
      <c r="B3795" s="2" t="s">
        <v>47</v>
      </c>
      <c r="C3795" s="2" t="s">
        <v>18</v>
      </c>
      <c r="D3795" s="2" t="s">
        <v>19</v>
      </c>
      <c r="E3795" s="2" t="s">
        <v>20</v>
      </c>
      <c r="F3795" s="2" t="n">
        <v>249</v>
      </c>
      <c r="G3795" s="2" t="s">
        <v>26</v>
      </c>
      <c r="H3795" s="2" t="s">
        <v>20</v>
      </c>
      <c r="I3795" s="2" t="s">
        <v>21</v>
      </c>
      <c r="J3795" s="2" t="n">
        <v>21</v>
      </c>
      <c r="K3795" s="2" t="s">
        <v>46</v>
      </c>
      <c r="L3795" s="2" t="n">
        <v>450</v>
      </c>
      <c r="M3795" s="2" t="n">
        <v>1</v>
      </c>
      <c r="N3795" s="2" t="n">
        <v>-1</v>
      </c>
      <c r="O3795" s="2" t="n">
        <v>0</v>
      </c>
      <c r="P3795" s="2" t="s">
        <v>23</v>
      </c>
      <c r="Q3795" s="2" t="s">
        <v>20</v>
      </c>
    </row>
    <row r="3796" customFormat="false" ht="15" hidden="false" customHeight="false" outlineLevel="0" collapsed="false">
      <c r="A3796" s="2" t="n">
        <v>43</v>
      </c>
      <c r="B3796" s="2" t="s">
        <v>17</v>
      </c>
      <c r="C3796" s="2" t="s">
        <v>30</v>
      </c>
      <c r="D3796" s="2" t="s">
        <v>23</v>
      </c>
      <c r="E3796" s="2" t="s">
        <v>20</v>
      </c>
      <c r="F3796" s="2" t="n">
        <v>3274</v>
      </c>
      <c r="G3796" s="2" t="s">
        <v>26</v>
      </c>
      <c r="H3796" s="2" t="s">
        <v>20</v>
      </c>
      <c r="I3796" s="2" t="s">
        <v>21</v>
      </c>
      <c r="J3796" s="2" t="n">
        <v>22</v>
      </c>
      <c r="K3796" s="2" t="s">
        <v>27</v>
      </c>
      <c r="L3796" s="2" t="n">
        <v>680</v>
      </c>
      <c r="M3796" s="2" t="n">
        <v>1</v>
      </c>
      <c r="N3796" s="2" t="n">
        <v>95</v>
      </c>
      <c r="O3796" s="2" t="n">
        <v>1</v>
      </c>
      <c r="P3796" s="2" t="s">
        <v>28</v>
      </c>
      <c r="Q3796" s="2" t="s">
        <v>20</v>
      </c>
    </row>
    <row r="3797" customFormat="false" ht="15" hidden="false" customHeight="false" outlineLevel="0" collapsed="false">
      <c r="A3797" s="2" t="n">
        <v>39</v>
      </c>
      <c r="B3797" s="2" t="s">
        <v>24</v>
      </c>
      <c r="C3797" s="2" t="s">
        <v>18</v>
      </c>
      <c r="D3797" s="2" t="s">
        <v>25</v>
      </c>
      <c r="E3797" s="2" t="s">
        <v>20</v>
      </c>
      <c r="F3797" s="2" t="n">
        <v>5731</v>
      </c>
      <c r="G3797" s="2" t="s">
        <v>26</v>
      </c>
      <c r="H3797" s="2" t="s">
        <v>20</v>
      </c>
      <c r="I3797" s="2" t="s">
        <v>23</v>
      </c>
      <c r="J3797" s="2" t="n">
        <v>20</v>
      </c>
      <c r="K3797" s="2" t="s">
        <v>27</v>
      </c>
      <c r="L3797" s="2" t="n">
        <v>175</v>
      </c>
      <c r="M3797" s="2" t="n">
        <v>2</v>
      </c>
      <c r="N3797" s="2" t="n">
        <v>-1</v>
      </c>
      <c r="O3797" s="2" t="n">
        <v>0</v>
      </c>
      <c r="P3797" s="2" t="s">
        <v>23</v>
      </c>
      <c r="Q3797" s="2" t="s">
        <v>20</v>
      </c>
    </row>
    <row r="3798" customFormat="false" ht="15" hidden="false" customHeight="false" outlineLevel="0" collapsed="false">
      <c r="A3798" s="2" t="n">
        <v>66</v>
      </c>
      <c r="B3798" s="2" t="s">
        <v>48</v>
      </c>
      <c r="C3798" s="2" t="s">
        <v>18</v>
      </c>
      <c r="D3798" s="2" t="s">
        <v>19</v>
      </c>
      <c r="E3798" s="2" t="s">
        <v>20</v>
      </c>
      <c r="F3798" s="2" t="n">
        <v>206</v>
      </c>
      <c r="G3798" s="2" t="s">
        <v>20</v>
      </c>
      <c r="H3798" s="2" t="s">
        <v>20</v>
      </c>
      <c r="I3798" s="2" t="s">
        <v>21</v>
      </c>
      <c r="J3798" s="2" t="n">
        <v>9</v>
      </c>
      <c r="K3798" s="2" t="s">
        <v>35</v>
      </c>
      <c r="L3798" s="2" t="n">
        <v>479</v>
      </c>
      <c r="M3798" s="2" t="n">
        <v>1</v>
      </c>
      <c r="N3798" s="2" t="n">
        <v>-1</v>
      </c>
      <c r="O3798" s="2" t="n">
        <v>0</v>
      </c>
      <c r="P3798" s="2" t="s">
        <v>23</v>
      </c>
      <c r="Q3798" s="2" t="s">
        <v>26</v>
      </c>
    </row>
    <row r="3799" customFormat="false" ht="15" hidden="false" customHeight="false" outlineLevel="0" collapsed="false">
      <c r="A3799" s="2" t="n">
        <v>30</v>
      </c>
      <c r="B3799" s="2" t="s">
        <v>38</v>
      </c>
      <c r="C3799" s="2" t="s">
        <v>30</v>
      </c>
      <c r="D3799" s="2" t="s">
        <v>31</v>
      </c>
      <c r="E3799" s="2" t="s">
        <v>20</v>
      </c>
      <c r="F3799" s="2" t="n">
        <v>2325</v>
      </c>
      <c r="G3799" s="2" t="s">
        <v>20</v>
      </c>
      <c r="H3799" s="2" t="s">
        <v>20</v>
      </c>
      <c r="I3799" s="2" t="s">
        <v>21</v>
      </c>
      <c r="J3799" s="2" t="n">
        <v>5</v>
      </c>
      <c r="K3799" s="2" t="s">
        <v>32</v>
      </c>
      <c r="L3799" s="2" t="n">
        <v>270</v>
      </c>
      <c r="M3799" s="2" t="n">
        <v>3</v>
      </c>
      <c r="N3799" s="2" t="n">
        <v>241</v>
      </c>
      <c r="O3799" s="2" t="n">
        <v>4</v>
      </c>
      <c r="P3799" s="2" t="s">
        <v>37</v>
      </c>
      <c r="Q3799" s="2" t="s">
        <v>20</v>
      </c>
    </row>
    <row r="3800" customFormat="false" ht="15" hidden="false" customHeight="false" outlineLevel="0" collapsed="false">
      <c r="A3800" s="2" t="n">
        <v>38</v>
      </c>
      <c r="B3800" s="2" t="s">
        <v>29</v>
      </c>
      <c r="C3800" s="2" t="s">
        <v>30</v>
      </c>
      <c r="D3800" s="2" t="s">
        <v>31</v>
      </c>
      <c r="E3800" s="2" t="s">
        <v>20</v>
      </c>
      <c r="F3800" s="2" t="n">
        <v>0</v>
      </c>
      <c r="G3800" s="2" t="s">
        <v>20</v>
      </c>
      <c r="H3800" s="2" t="s">
        <v>20</v>
      </c>
      <c r="I3800" s="2" t="s">
        <v>21</v>
      </c>
      <c r="J3800" s="2" t="n">
        <v>24</v>
      </c>
      <c r="K3800" s="2" t="s">
        <v>44</v>
      </c>
      <c r="L3800" s="2" t="n">
        <v>164</v>
      </c>
      <c r="M3800" s="2" t="n">
        <v>1</v>
      </c>
      <c r="N3800" s="2" t="n">
        <v>-1</v>
      </c>
      <c r="O3800" s="2" t="n">
        <v>0</v>
      </c>
      <c r="P3800" s="2" t="s">
        <v>23</v>
      </c>
      <c r="Q3800" s="2" t="s">
        <v>20</v>
      </c>
    </row>
    <row r="3801" customFormat="false" ht="15" hidden="false" customHeight="false" outlineLevel="0" collapsed="false">
      <c r="A3801" s="2" t="n">
        <v>31</v>
      </c>
      <c r="B3801" s="2" t="s">
        <v>34</v>
      </c>
      <c r="C3801" s="2" t="s">
        <v>18</v>
      </c>
      <c r="D3801" s="2" t="s">
        <v>25</v>
      </c>
      <c r="E3801" s="2" t="s">
        <v>20</v>
      </c>
      <c r="F3801" s="2" t="n">
        <v>1664</v>
      </c>
      <c r="G3801" s="2" t="s">
        <v>26</v>
      </c>
      <c r="H3801" s="2" t="s">
        <v>20</v>
      </c>
      <c r="I3801" s="2" t="s">
        <v>21</v>
      </c>
      <c r="J3801" s="2" t="n">
        <v>20</v>
      </c>
      <c r="K3801" s="2" t="s">
        <v>32</v>
      </c>
      <c r="L3801" s="2" t="n">
        <v>158</v>
      </c>
      <c r="M3801" s="2" t="n">
        <v>1</v>
      </c>
      <c r="N3801" s="2" t="n">
        <v>182</v>
      </c>
      <c r="O3801" s="2" t="n">
        <v>1</v>
      </c>
      <c r="P3801" s="2" t="s">
        <v>50</v>
      </c>
      <c r="Q3801" s="2" t="s">
        <v>20</v>
      </c>
    </row>
    <row r="3802" customFormat="false" ht="15" hidden="false" customHeight="false" outlineLevel="0" collapsed="false">
      <c r="A3802" s="2" t="n">
        <v>32</v>
      </c>
      <c r="B3802" s="2" t="s">
        <v>38</v>
      </c>
      <c r="C3802" s="2" t="s">
        <v>18</v>
      </c>
      <c r="D3802" s="2" t="s">
        <v>25</v>
      </c>
      <c r="E3802" s="2" t="s">
        <v>20</v>
      </c>
      <c r="F3802" s="2" t="n">
        <v>3333</v>
      </c>
      <c r="G3802" s="2" t="s">
        <v>20</v>
      </c>
      <c r="H3802" s="2" t="s">
        <v>20</v>
      </c>
      <c r="I3802" s="2" t="s">
        <v>21</v>
      </c>
      <c r="J3802" s="2" t="n">
        <v>8</v>
      </c>
      <c r="K3802" s="2" t="s">
        <v>41</v>
      </c>
      <c r="L3802" s="2" t="n">
        <v>50</v>
      </c>
      <c r="M3802" s="2" t="n">
        <v>4</v>
      </c>
      <c r="N3802" s="2" t="n">
        <v>-1</v>
      </c>
      <c r="O3802" s="2" t="n">
        <v>0</v>
      </c>
      <c r="P3802" s="2" t="s">
        <v>23</v>
      </c>
      <c r="Q3802" s="2" t="s">
        <v>20</v>
      </c>
    </row>
    <row r="3803" customFormat="false" ht="15" hidden="false" customHeight="false" outlineLevel="0" collapsed="false">
      <c r="A3803" s="2" t="n">
        <v>48</v>
      </c>
      <c r="B3803" s="2" t="s">
        <v>38</v>
      </c>
      <c r="C3803" s="2" t="s">
        <v>18</v>
      </c>
      <c r="D3803" s="2" t="s">
        <v>25</v>
      </c>
      <c r="E3803" s="2" t="s">
        <v>20</v>
      </c>
      <c r="F3803" s="2" t="n">
        <v>7020</v>
      </c>
      <c r="G3803" s="2" t="s">
        <v>20</v>
      </c>
      <c r="H3803" s="2" t="s">
        <v>20</v>
      </c>
      <c r="I3803" s="2" t="s">
        <v>21</v>
      </c>
      <c r="J3803" s="2" t="n">
        <v>6</v>
      </c>
      <c r="K3803" s="2" t="s">
        <v>41</v>
      </c>
      <c r="L3803" s="2" t="n">
        <v>80</v>
      </c>
      <c r="M3803" s="2" t="n">
        <v>2</v>
      </c>
      <c r="N3803" s="2" t="n">
        <v>-1</v>
      </c>
      <c r="O3803" s="2" t="n">
        <v>0</v>
      </c>
      <c r="P3803" s="2" t="s">
        <v>23</v>
      </c>
      <c r="Q3803" s="2" t="s">
        <v>20</v>
      </c>
    </row>
    <row r="3804" customFormat="false" ht="15" hidden="false" customHeight="false" outlineLevel="0" collapsed="false">
      <c r="A3804" s="2" t="n">
        <v>34</v>
      </c>
      <c r="B3804" s="2" t="s">
        <v>40</v>
      </c>
      <c r="C3804" s="2" t="s">
        <v>18</v>
      </c>
      <c r="D3804" s="2" t="s">
        <v>31</v>
      </c>
      <c r="E3804" s="2" t="s">
        <v>20</v>
      </c>
      <c r="F3804" s="2" t="n">
        <v>37</v>
      </c>
      <c r="G3804" s="2" t="s">
        <v>20</v>
      </c>
      <c r="H3804" s="2" t="s">
        <v>20</v>
      </c>
      <c r="I3804" s="2" t="s">
        <v>21</v>
      </c>
      <c r="J3804" s="2" t="n">
        <v>6</v>
      </c>
      <c r="K3804" s="2" t="s">
        <v>35</v>
      </c>
      <c r="L3804" s="2" t="n">
        <v>45</v>
      </c>
      <c r="M3804" s="2" t="n">
        <v>1</v>
      </c>
      <c r="N3804" s="2" t="n">
        <v>-1</v>
      </c>
      <c r="O3804" s="2" t="n">
        <v>0</v>
      </c>
      <c r="P3804" s="2" t="s">
        <v>23</v>
      </c>
      <c r="Q3804" s="2" t="s">
        <v>20</v>
      </c>
    </row>
    <row r="3805" customFormat="false" ht="15" hidden="false" customHeight="false" outlineLevel="0" collapsed="false">
      <c r="A3805" s="2" t="n">
        <v>28</v>
      </c>
      <c r="B3805" s="2" t="s">
        <v>42</v>
      </c>
      <c r="C3805" s="2" t="s">
        <v>30</v>
      </c>
      <c r="D3805" s="2" t="s">
        <v>25</v>
      </c>
      <c r="E3805" s="2" t="s">
        <v>20</v>
      </c>
      <c r="F3805" s="2" t="n">
        <v>28</v>
      </c>
      <c r="G3805" s="2" t="s">
        <v>20</v>
      </c>
      <c r="H3805" s="2" t="s">
        <v>20</v>
      </c>
      <c r="I3805" s="2" t="s">
        <v>21</v>
      </c>
      <c r="J3805" s="2" t="n">
        <v>29</v>
      </c>
      <c r="K3805" s="2" t="s">
        <v>43</v>
      </c>
      <c r="L3805" s="2" t="n">
        <v>220</v>
      </c>
      <c r="M3805" s="2" t="n">
        <v>2</v>
      </c>
      <c r="N3805" s="2" t="n">
        <v>-1</v>
      </c>
      <c r="O3805" s="2" t="n">
        <v>0</v>
      </c>
      <c r="P3805" s="2" t="s">
        <v>23</v>
      </c>
      <c r="Q3805" s="2" t="s">
        <v>20</v>
      </c>
    </row>
    <row r="3806" customFormat="false" ht="15" hidden="false" customHeight="false" outlineLevel="0" collapsed="false">
      <c r="A3806" s="2" t="n">
        <v>40</v>
      </c>
      <c r="B3806" s="2" t="s">
        <v>40</v>
      </c>
      <c r="C3806" s="2" t="s">
        <v>30</v>
      </c>
      <c r="D3806" s="2" t="s">
        <v>25</v>
      </c>
      <c r="E3806" s="2" t="s">
        <v>20</v>
      </c>
      <c r="F3806" s="2" t="n">
        <v>1670</v>
      </c>
      <c r="G3806" s="2" t="s">
        <v>26</v>
      </c>
      <c r="H3806" s="2" t="s">
        <v>20</v>
      </c>
      <c r="I3806" s="2" t="s">
        <v>23</v>
      </c>
      <c r="J3806" s="2" t="n">
        <v>18</v>
      </c>
      <c r="K3806" s="2" t="s">
        <v>33</v>
      </c>
      <c r="L3806" s="2" t="n">
        <v>161</v>
      </c>
      <c r="M3806" s="2" t="n">
        <v>2</v>
      </c>
      <c r="N3806" s="2" t="n">
        <v>-1</v>
      </c>
      <c r="O3806" s="2" t="n">
        <v>0</v>
      </c>
      <c r="P3806" s="2" t="s">
        <v>23</v>
      </c>
      <c r="Q3806" s="2" t="s">
        <v>20</v>
      </c>
    </row>
    <row r="3807" customFormat="false" ht="15" hidden="false" customHeight="false" outlineLevel="0" collapsed="false">
      <c r="A3807" s="2" t="n">
        <v>36</v>
      </c>
      <c r="B3807" s="2" t="s">
        <v>39</v>
      </c>
      <c r="C3807" s="2" t="s">
        <v>18</v>
      </c>
      <c r="D3807" s="2" t="s">
        <v>25</v>
      </c>
      <c r="E3807" s="2" t="s">
        <v>20</v>
      </c>
      <c r="F3807" s="2" t="n">
        <v>134</v>
      </c>
      <c r="G3807" s="2" t="s">
        <v>20</v>
      </c>
      <c r="H3807" s="2" t="s">
        <v>20</v>
      </c>
      <c r="I3807" s="2" t="s">
        <v>23</v>
      </c>
      <c r="J3807" s="2" t="n">
        <v>20</v>
      </c>
      <c r="K3807" s="2" t="s">
        <v>27</v>
      </c>
      <c r="L3807" s="2" t="n">
        <v>98</v>
      </c>
      <c r="M3807" s="2" t="n">
        <v>1</v>
      </c>
      <c r="N3807" s="2" t="n">
        <v>-1</v>
      </c>
      <c r="O3807" s="2" t="n">
        <v>0</v>
      </c>
      <c r="P3807" s="2" t="s">
        <v>23</v>
      </c>
      <c r="Q3807" s="2" t="s">
        <v>20</v>
      </c>
    </row>
    <row r="3808" customFormat="false" ht="15" hidden="false" customHeight="false" outlineLevel="0" collapsed="false">
      <c r="A3808" s="2" t="n">
        <v>52</v>
      </c>
      <c r="B3808" s="2" t="s">
        <v>48</v>
      </c>
      <c r="C3808" s="2" t="s">
        <v>18</v>
      </c>
      <c r="D3808" s="2" t="s">
        <v>25</v>
      </c>
      <c r="E3808" s="2" t="s">
        <v>20</v>
      </c>
      <c r="F3808" s="2" t="n">
        <v>603</v>
      </c>
      <c r="G3808" s="2" t="s">
        <v>20</v>
      </c>
      <c r="H3808" s="2" t="s">
        <v>26</v>
      </c>
      <c r="I3808" s="2" t="s">
        <v>23</v>
      </c>
      <c r="J3808" s="2" t="n">
        <v>9</v>
      </c>
      <c r="K3808" s="2" t="s">
        <v>33</v>
      </c>
      <c r="L3808" s="2" t="n">
        <v>79</v>
      </c>
      <c r="M3808" s="2" t="n">
        <v>1</v>
      </c>
      <c r="N3808" s="2" t="n">
        <v>-1</v>
      </c>
      <c r="O3808" s="2" t="n">
        <v>0</v>
      </c>
      <c r="P3808" s="2" t="s">
        <v>23</v>
      </c>
      <c r="Q3808" s="2" t="s">
        <v>20</v>
      </c>
    </row>
    <row r="3809" customFormat="false" ht="15" hidden="false" customHeight="false" outlineLevel="0" collapsed="false">
      <c r="A3809" s="2" t="n">
        <v>46</v>
      </c>
      <c r="B3809" s="2" t="s">
        <v>40</v>
      </c>
      <c r="C3809" s="2" t="s">
        <v>18</v>
      </c>
      <c r="D3809" s="2" t="s">
        <v>19</v>
      </c>
      <c r="E3809" s="2" t="s">
        <v>20</v>
      </c>
      <c r="F3809" s="2" t="n">
        <v>276</v>
      </c>
      <c r="G3809" s="2" t="s">
        <v>26</v>
      </c>
      <c r="H3809" s="2" t="s">
        <v>26</v>
      </c>
      <c r="I3809" s="2" t="s">
        <v>23</v>
      </c>
      <c r="J3809" s="2" t="n">
        <v>6</v>
      </c>
      <c r="K3809" s="2" t="s">
        <v>27</v>
      </c>
      <c r="L3809" s="2" t="n">
        <v>157</v>
      </c>
      <c r="M3809" s="2" t="n">
        <v>2</v>
      </c>
      <c r="N3809" s="2" t="n">
        <v>-1</v>
      </c>
      <c r="O3809" s="2" t="n">
        <v>0</v>
      </c>
      <c r="P3809" s="2" t="s">
        <v>23</v>
      </c>
      <c r="Q3809" s="2" t="s">
        <v>20</v>
      </c>
    </row>
    <row r="3810" customFormat="false" ht="15" hidden="false" customHeight="false" outlineLevel="0" collapsed="false">
      <c r="A3810" s="2" t="n">
        <v>25</v>
      </c>
      <c r="B3810" s="2" t="s">
        <v>38</v>
      </c>
      <c r="C3810" s="2" t="s">
        <v>30</v>
      </c>
      <c r="D3810" s="2" t="s">
        <v>25</v>
      </c>
      <c r="E3810" s="2" t="s">
        <v>20</v>
      </c>
      <c r="F3810" s="2" t="n">
        <v>2157</v>
      </c>
      <c r="G3810" s="2" t="s">
        <v>26</v>
      </c>
      <c r="H3810" s="2" t="s">
        <v>20</v>
      </c>
      <c r="I3810" s="2" t="s">
        <v>21</v>
      </c>
      <c r="J3810" s="2" t="n">
        <v>21</v>
      </c>
      <c r="K3810" s="2" t="s">
        <v>44</v>
      </c>
      <c r="L3810" s="2" t="n">
        <v>339</v>
      </c>
      <c r="M3810" s="2" t="n">
        <v>1</v>
      </c>
      <c r="N3810" s="2" t="n">
        <v>-1</v>
      </c>
      <c r="O3810" s="2" t="n">
        <v>0</v>
      </c>
      <c r="P3810" s="2" t="s">
        <v>23</v>
      </c>
      <c r="Q3810" s="2" t="s">
        <v>20</v>
      </c>
    </row>
    <row r="3811" customFormat="false" ht="15" hidden="false" customHeight="false" outlineLevel="0" collapsed="false">
      <c r="A3811" s="2" t="n">
        <v>52</v>
      </c>
      <c r="B3811" s="2" t="s">
        <v>34</v>
      </c>
      <c r="C3811" s="2" t="s">
        <v>18</v>
      </c>
      <c r="D3811" s="2" t="s">
        <v>25</v>
      </c>
      <c r="E3811" s="2" t="s">
        <v>20</v>
      </c>
      <c r="F3811" s="2" t="n">
        <v>161</v>
      </c>
      <c r="G3811" s="2" t="s">
        <v>26</v>
      </c>
      <c r="H3811" s="2" t="s">
        <v>20</v>
      </c>
      <c r="I3811" s="2" t="s">
        <v>23</v>
      </c>
      <c r="J3811" s="2" t="n">
        <v>13</v>
      </c>
      <c r="K3811" s="2" t="s">
        <v>27</v>
      </c>
      <c r="L3811" s="2" t="n">
        <v>274</v>
      </c>
      <c r="M3811" s="2" t="n">
        <v>2</v>
      </c>
      <c r="N3811" s="2" t="n">
        <v>-1</v>
      </c>
      <c r="O3811" s="2" t="n">
        <v>0</v>
      </c>
      <c r="P3811" s="2" t="s">
        <v>23</v>
      </c>
      <c r="Q3811" s="2" t="s">
        <v>20</v>
      </c>
    </row>
    <row r="3812" customFormat="false" ht="15" hidden="false" customHeight="false" outlineLevel="0" collapsed="false">
      <c r="A3812" s="2" t="n">
        <v>40</v>
      </c>
      <c r="B3812" s="2" t="s">
        <v>34</v>
      </c>
      <c r="C3812" s="2" t="s">
        <v>18</v>
      </c>
      <c r="D3812" s="2" t="s">
        <v>19</v>
      </c>
      <c r="E3812" s="2" t="s">
        <v>20</v>
      </c>
      <c r="F3812" s="2" t="n">
        <v>3658</v>
      </c>
      <c r="G3812" s="2" t="s">
        <v>26</v>
      </c>
      <c r="H3812" s="2" t="s">
        <v>20</v>
      </c>
      <c r="I3812" s="2" t="s">
        <v>23</v>
      </c>
      <c r="J3812" s="2" t="n">
        <v>14</v>
      </c>
      <c r="K3812" s="2" t="s">
        <v>27</v>
      </c>
      <c r="L3812" s="2" t="n">
        <v>977</v>
      </c>
      <c r="M3812" s="2" t="n">
        <v>1</v>
      </c>
      <c r="N3812" s="2" t="n">
        <v>-1</v>
      </c>
      <c r="O3812" s="2" t="n">
        <v>0</v>
      </c>
      <c r="P3812" s="2" t="s">
        <v>23</v>
      </c>
      <c r="Q3812" s="2" t="s">
        <v>20</v>
      </c>
    </row>
    <row r="3813" customFormat="false" ht="15" hidden="false" customHeight="false" outlineLevel="0" collapsed="false">
      <c r="A3813" s="2" t="n">
        <v>26</v>
      </c>
      <c r="B3813" s="2" t="s">
        <v>29</v>
      </c>
      <c r="C3813" s="2" t="s">
        <v>45</v>
      </c>
      <c r="D3813" s="2" t="s">
        <v>31</v>
      </c>
      <c r="E3813" s="2" t="s">
        <v>26</v>
      </c>
      <c r="F3813" s="2" t="n">
        <v>-402</v>
      </c>
      <c r="G3813" s="2" t="s">
        <v>20</v>
      </c>
      <c r="H3813" s="2" t="s">
        <v>26</v>
      </c>
      <c r="I3813" s="2" t="s">
        <v>23</v>
      </c>
      <c r="J3813" s="2" t="n">
        <v>12</v>
      </c>
      <c r="K3813" s="2" t="s">
        <v>27</v>
      </c>
      <c r="L3813" s="2" t="n">
        <v>127</v>
      </c>
      <c r="M3813" s="2" t="n">
        <v>2</v>
      </c>
      <c r="N3813" s="2" t="n">
        <v>-1</v>
      </c>
      <c r="O3813" s="2" t="n">
        <v>0</v>
      </c>
      <c r="P3813" s="2" t="s">
        <v>23</v>
      </c>
      <c r="Q3813" s="2" t="s">
        <v>20</v>
      </c>
    </row>
    <row r="3814" customFormat="false" ht="15" hidden="false" customHeight="false" outlineLevel="0" collapsed="false">
      <c r="A3814" s="2" t="n">
        <v>26</v>
      </c>
      <c r="B3814" s="2" t="s">
        <v>34</v>
      </c>
      <c r="C3814" s="2" t="s">
        <v>30</v>
      </c>
      <c r="D3814" s="2" t="s">
        <v>19</v>
      </c>
      <c r="E3814" s="2" t="s">
        <v>20</v>
      </c>
      <c r="F3814" s="2" t="n">
        <v>3342</v>
      </c>
      <c r="G3814" s="2" t="s">
        <v>26</v>
      </c>
      <c r="H3814" s="2" t="s">
        <v>20</v>
      </c>
      <c r="I3814" s="2" t="s">
        <v>23</v>
      </c>
      <c r="J3814" s="2" t="n">
        <v>4</v>
      </c>
      <c r="K3814" s="2" t="s">
        <v>33</v>
      </c>
      <c r="L3814" s="2" t="n">
        <v>329</v>
      </c>
      <c r="M3814" s="2" t="n">
        <v>4</v>
      </c>
      <c r="N3814" s="2" t="n">
        <v>-1</v>
      </c>
      <c r="O3814" s="2" t="n">
        <v>0</v>
      </c>
      <c r="P3814" s="2" t="s">
        <v>23</v>
      </c>
      <c r="Q3814" s="2" t="s">
        <v>20</v>
      </c>
    </row>
    <row r="3815" customFormat="false" ht="15" hidden="false" customHeight="false" outlineLevel="0" collapsed="false">
      <c r="A3815" s="2" t="n">
        <v>35</v>
      </c>
      <c r="B3815" s="2" t="s">
        <v>36</v>
      </c>
      <c r="C3815" s="2" t="s">
        <v>30</v>
      </c>
      <c r="D3815" s="2" t="s">
        <v>25</v>
      </c>
      <c r="E3815" s="2" t="s">
        <v>20</v>
      </c>
      <c r="F3815" s="2" t="n">
        <v>1732</v>
      </c>
      <c r="G3815" s="2" t="s">
        <v>20</v>
      </c>
      <c r="H3815" s="2" t="s">
        <v>20</v>
      </c>
      <c r="I3815" s="2" t="s">
        <v>49</v>
      </c>
      <c r="J3815" s="2" t="n">
        <v>21</v>
      </c>
      <c r="K3815" s="2" t="s">
        <v>46</v>
      </c>
      <c r="L3815" s="2" t="n">
        <v>1441</v>
      </c>
      <c r="M3815" s="2" t="n">
        <v>3</v>
      </c>
      <c r="N3815" s="2" t="n">
        <v>-1</v>
      </c>
      <c r="O3815" s="2" t="n">
        <v>0</v>
      </c>
      <c r="P3815" s="2" t="s">
        <v>23</v>
      </c>
      <c r="Q3815" s="2" t="s">
        <v>20</v>
      </c>
    </row>
    <row r="3816" customFormat="false" ht="15" hidden="false" customHeight="false" outlineLevel="0" collapsed="false">
      <c r="A3816" s="2" t="n">
        <v>40</v>
      </c>
      <c r="B3816" s="2" t="s">
        <v>40</v>
      </c>
      <c r="C3816" s="2" t="s">
        <v>30</v>
      </c>
      <c r="D3816" s="2" t="s">
        <v>25</v>
      </c>
      <c r="E3816" s="2" t="s">
        <v>20</v>
      </c>
      <c r="F3816" s="2" t="n">
        <v>263</v>
      </c>
      <c r="G3816" s="2" t="s">
        <v>26</v>
      </c>
      <c r="H3816" s="2" t="s">
        <v>20</v>
      </c>
      <c r="I3816" s="2" t="s">
        <v>23</v>
      </c>
      <c r="J3816" s="2" t="n">
        <v>6</v>
      </c>
      <c r="K3816" s="2" t="s">
        <v>27</v>
      </c>
      <c r="L3816" s="2" t="n">
        <v>231</v>
      </c>
      <c r="M3816" s="2" t="n">
        <v>1</v>
      </c>
      <c r="N3816" s="2" t="n">
        <v>-1</v>
      </c>
      <c r="O3816" s="2" t="n">
        <v>0</v>
      </c>
      <c r="P3816" s="2" t="s">
        <v>23</v>
      </c>
      <c r="Q3816" s="2" t="s">
        <v>20</v>
      </c>
    </row>
    <row r="3817" customFormat="false" ht="15" hidden="false" customHeight="false" outlineLevel="0" collapsed="false">
      <c r="A3817" s="2" t="n">
        <v>31</v>
      </c>
      <c r="B3817" s="2" t="s">
        <v>29</v>
      </c>
      <c r="C3817" s="2" t="s">
        <v>18</v>
      </c>
      <c r="D3817" s="2" t="s">
        <v>31</v>
      </c>
      <c r="E3817" s="2" t="s">
        <v>20</v>
      </c>
      <c r="F3817" s="2" t="n">
        <v>623</v>
      </c>
      <c r="G3817" s="2" t="s">
        <v>26</v>
      </c>
      <c r="H3817" s="2" t="s">
        <v>20</v>
      </c>
      <c r="I3817" s="2" t="s">
        <v>21</v>
      </c>
      <c r="J3817" s="2" t="n">
        <v>13</v>
      </c>
      <c r="K3817" s="2" t="s">
        <v>27</v>
      </c>
      <c r="L3817" s="2" t="n">
        <v>96</v>
      </c>
      <c r="M3817" s="2" t="n">
        <v>2</v>
      </c>
      <c r="N3817" s="2" t="n">
        <v>349</v>
      </c>
      <c r="O3817" s="2" t="n">
        <v>5</v>
      </c>
      <c r="P3817" s="2" t="s">
        <v>28</v>
      </c>
      <c r="Q3817" s="2" t="s">
        <v>20</v>
      </c>
    </row>
    <row r="3818" customFormat="false" ht="15" hidden="false" customHeight="false" outlineLevel="0" collapsed="false">
      <c r="A3818" s="2" t="n">
        <v>32</v>
      </c>
      <c r="B3818" s="2" t="s">
        <v>40</v>
      </c>
      <c r="C3818" s="2" t="s">
        <v>18</v>
      </c>
      <c r="D3818" s="2" t="s">
        <v>25</v>
      </c>
      <c r="E3818" s="2" t="s">
        <v>20</v>
      </c>
      <c r="F3818" s="2" t="n">
        <v>3540</v>
      </c>
      <c r="G3818" s="2" t="s">
        <v>26</v>
      </c>
      <c r="H3818" s="2" t="s">
        <v>20</v>
      </c>
      <c r="I3818" s="2" t="s">
        <v>21</v>
      </c>
      <c r="J3818" s="2" t="n">
        <v>18</v>
      </c>
      <c r="K3818" s="2" t="s">
        <v>27</v>
      </c>
      <c r="L3818" s="2" t="n">
        <v>213</v>
      </c>
      <c r="M3818" s="2" t="n">
        <v>1</v>
      </c>
      <c r="N3818" s="2" t="n">
        <v>178</v>
      </c>
      <c r="O3818" s="2" t="n">
        <v>1</v>
      </c>
      <c r="P3818" s="2" t="s">
        <v>28</v>
      </c>
      <c r="Q3818" s="2" t="s">
        <v>20</v>
      </c>
    </row>
    <row r="3819" customFormat="false" ht="15" hidden="false" customHeight="false" outlineLevel="0" collapsed="false">
      <c r="A3819" s="2" t="n">
        <v>33</v>
      </c>
      <c r="B3819" s="2" t="s">
        <v>40</v>
      </c>
      <c r="C3819" s="2" t="s">
        <v>18</v>
      </c>
      <c r="D3819" s="2" t="s">
        <v>25</v>
      </c>
      <c r="E3819" s="2" t="s">
        <v>20</v>
      </c>
      <c r="F3819" s="2" t="n">
        <v>95</v>
      </c>
      <c r="G3819" s="2" t="s">
        <v>26</v>
      </c>
      <c r="H3819" s="2" t="s">
        <v>20</v>
      </c>
      <c r="I3819" s="2" t="s">
        <v>21</v>
      </c>
      <c r="J3819" s="2" t="n">
        <v>30</v>
      </c>
      <c r="K3819" s="2" t="s">
        <v>32</v>
      </c>
      <c r="L3819" s="2" t="n">
        <v>335</v>
      </c>
      <c r="M3819" s="2" t="n">
        <v>1</v>
      </c>
      <c r="N3819" s="2" t="n">
        <v>-1</v>
      </c>
      <c r="O3819" s="2" t="n">
        <v>0</v>
      </c>
      <c r="P3819" s="2" t="s">
        <v>23</v>
      </c>
      <c r="Q3819" s="2" t="s">
        <v>26</v>
      </c>
    </row>
    <row r="3820" customFormat="false" ht="15" hidden="false" customHeight="false" outlineLevel="0" collapsed="false">
      <c r="A3820" s="2" t="n">
        <v>53</v>
      </c>
      <c r="B3820" s="2" t="s">
        <v>24</v>
      </c>
      <c r="C3820" s="2" t="s">
        <v>45</v>
      </c>
      <c r="D3820" s="2" t="s">
        <v>25</v>
      </c>
      <c r="E3820" s="2" t="s">
        <v>20</v>
      </c>
      <c r="F3820" s="2" t="n">
        <v>765</v>
      </c>
      <c r="G3820" s="2" t="s">
        <v>26</v>
      </c>
      <c r="H3820" s="2" t="s">
        <v>20</v>
      </c>
      <c r="I3820" s="2" t="s">
        <v>21</v>
      </c>
      <c r="J3820" s="2" t="n">
        <v>14</v>
      </c>
      <c r="K3820" s="2" t="s">
        <v>27</v>
      </c>
      <c r="L3820" s="2" t="n">
        <v>959</v>
      </c>
      <c r="M3820" s="2" t="n">
        <v>3</v>
      </c>
      <c r="N3820" s="2" t="n">
        <v>174</v>
      </c>
      <c r="O3820" s="2" t="n">
        <v>7</v>
      </c>
      <c r="P3820" s="2" t="s">
        <v>37</v>
      </c>
      <c r="Q3820" s="2" t="s">
        <v>26</v>
      </c>
    </row>
    <row r="3821" customFormat="false" ht="15" hidden="false" customHeight="false" outlineLevel="0" collapsed="false">
      <c r="A3821" s="2" t="n">
        <v>46</v>
      </c>
      <c r="B3821" s="2" t="s">
        <v>38</v>
      </c>
      <c r="C3821" s="2" t="s">
        <v>45</v>
      </c>
      <c r="D3821" s="2" t="s">
        <v>25</v>
      </c>
      <c r="E3821" s="2" t="s">
        <v>20</v>
      </c>
      <c r="F3821" s="2" t="n">
        <v>-824</v>
      </c>
      <c r="G3821" s="2" t="s">
        <v>26</v>
      </c>
      <c r="H3821" s="2" t="s">
        <v>20</v>
      </c>
      <c r="I3821" s="2" t="s">
        <v>21</v>
      </c>
      <c r="J3821" s="2" t="n">
        <v>7</v>
      </c>
      <c r="K3821" s="2" t="s">
        <v>41</v>
      </c>
      <c r="L3821" s="2" t="n">
        <v>429</v>
      </c>
      <c r="M3821" s="2" t="n">
        <v>3</v>
      </c>
      <c r="N3821" s="2" t="n">
        <v>-1</v>
      </c>
      <c r="O3821" s="2" t="n">
        <v>0</v>
      </c>
      <c r="P3821" s="2" t="s">
        <v>23</v>
      </c>
      <c r="Q3821" s="2" t="s">
        <v>26</v>
      </c>
    </row>
    <row r="3822" customFormat="false" ht="15" hidden="false" customHeight="false" outlineLevel="0" collapsed="false">
      <c r="A3822" s="2" t="n">
        <v>28</v>
      </c>
      <c r="B3822" s="2" t="s">
        <v>29</v>
      </c>
      <c r="C3822" s="2" t="s">
        <v>30</v>
      </c>
      <c r="D3822" s="2" t="s">
        <v>31</v>
      </c>
      <c r="E3822" s="2" t="s">
        <v>20</v>
      </c>
      <c r="F3822" s="2" t="n">
        <v>5549</v>
      </c>
      <c r="G3822" s="2" t="s">
        <v>20</v>
      </c>
      <c r="H3822" s="2" t="s">
        <v>20</v>
      </c>
      <c r="I3822" s="2" t="s">
        <v>21</v>
      </c>
      <c r="J3822" s="2" t="n">
        <v>28</v>
      </c>
      <c r="K3822" s="2" t="s">
        <v>44</v>
      </c>
      <c r="L3822" s="2" t="n">
        <v>383</v>
      </c>
      <c r="M3822" s="2" t="n">
        <v>6</v>
      </c>
      <c r="N3822" s="2" t="n">
        <v>-1</v>
      </c>
      <c r="O3822" s="2" t="n">
        <v>0</v>
      </c>
      <c r="P3822" s="2" t="s">
        <v>23</v>
      </c>
      <c r="Q3822" s="2" t="s">
        <v>20</v>
      </c>
    </row>
    <row r="3823" customFormat="false" ht="15" hidden="false" customHeight="false" outlineLevel="0" collapsed="false">
      <c r="A3823" s="2" t="n">
        <v>31</v>
      </c>
      <c r="B3823" s="2" t="s">
        <v>34</v>
      </c>
      <c r="C3823" s="2" t="s">
        <v>18</v>
      </c>
      <c r="D3823" s="2" t="s">
        <v>25</v>
      </c>
      <c r="E3823" s="2" t="s">
        <v>20</v>
      </c>
      <c r="F3823" s="2" t="n">
        <v>191</v>
      </c>
      <c r="G3823" s="2" t="s">
        <v>26</v>
      </c>
      <c r="H3823" s="2" t="s">
        <v>20</v>
      </c>
      <c r="I3823" s="2" t="s">
        <v>23</v>
      </c>
      <c r="J3823" s="2" t="n">
        <v>2</v>
      </c>
      <c r="K3823" s="2" t="s">
        <v>33</v>
      </c>
      <c r="L3823" s="2" t="n">
        <v>40</v>
      </c>
      <c r="M3823" s="2" t="n">
        <v>1</v>
      </c>
      <c r="N3823" s="2" t="n">
        <v>-1</v>
      </c>
      <c r="O3823" s="2" t="n">
        <v>0</v>
      </c>
      <c r="P3823" s="2" t="s">
        <v>23</v>
      </c>
      <c r="Q3823" s="2" t="s">
        <v>20</v>
      </c>
    </row>
    <row r="3824" customFormat="false" ht="15" hidden="false" customHeight="false" outlineLevel="0" collapsed="false">
      <c r="A3824" s="2" t="n">
        <v>44</v>
      </c>
      <c r="B3824" s="2" t="s">
        <v>34</v>
      </c>
      <c r="C3824" s="2" t="s">
        <v>18</v>
      </c>
      <c r="D3824" s="2" t="s">
        <v>19</v>
      </c>
      <c r="E3824" s="2" t="s">
        <v>20</v>
      </c>
      <c r="F3824" s="2" t="n">
        <v>420</v>
      </c>
      <c r="G3824" s="2" t="s">
        <v>26</v>
      </c>
      <c r="H3824" s="2" t="s">
        <v>20</v>
      </c>
      <c r="I3824" s="2" t="s">
        <v>23</v>
      </c>
      <c r="J3824" s="2" t="n">
        <v>7</v>
      </c>
      <c r="K3824" s="2" t="s">
        <v>27</v>
      </c>
      <c r="L3824" s="2" t="n">
        <v>110</v>
      </c>
      <c r="M3824" s="2" t="n">
        <v>2</v>
      </c>
      <c r="N3824" s="2" t="n">
        <v>-1</v>
      </c>
      <c r="O3824" s="2" t="n">
        <v>0</v>
      </c>
      <c r="P3824" s="2" t="s">
        <v>23</v>
      </c>
      <c r="Q3824" s="2" t="s">
        <v>20</v>
      </c>
    </row>
    <row r="3825" customFormat="false" ht="15" hidden="false" customHeight="false" outlineLevel="0" collapsed="false">
      <c r="A3825" s="2" t="n">
        <v>35</v>
      </c>
      <c r="B3825" s="2" t="s">
        <v>40</v>
      </c>
      <c r="C3825" s="2" t="s">
        <v>18</v>
      </c>
      <c r="D3825" s="2" t="s">
        <v>25</v>
      </c>
      <c r="E3825" s="2" t="s">
        <v>20</v>
      </c>
      <c r="F3825" s="2" t="n">
        <v>0</v>
      </c>
      <c r="G3825" s="2" t="s">
        <v>20</v>
      </c>
      <c r="H3825" s="2" t="s">
        <v>20</v>
      </c>
      <c r="I3825" s="2" t="s">
        <v>23</v>
      </c>
      <c r="J3825" s="2" t="n">
        <v>7</v>
      </c>
      <c r="K3825" s="2" t="s">
        <v>27</v>
      </c>
      <c r="L3825" s="2" t="n">
        <v>326</v>
      </c>
      <c r="M3825" s="2" t="n">
        <v>1</v>
      </c>
      <c r="N3825" s="2" t="n">
        <v>-1</v>
      </c>
      <c r="O3825" s="2" t="n">
        <v>0</v>
      </c>
      <c r="P3825" s="2" t="s">
        <v>23</v>
      </c>
      <c r="Q3825" s="2" t="s">
        <v>20</v>
      </c>
    </row>
    <row r="3826" customFormat="false" ht="15" hidden="false" customHeight="false" outlineLevel="0" collapsed="false">
      <c r="A3826" s="2" t="n">
        <v>50</v>
      </c>
      <c r="B3826" s="2" t="s">
        <v>38</v>
      </c>
      <c r="C3826" s="2" t="s">
        <v>45</v>
      </c>
      <c r="D3826" s="2" t="s">
        <v>23</v>
      </c>
      <c r="E3826" s="2" t="s">
        <v>20</v>
      </c>
      <c r="F3826" s="2" t="n">
        <v>2706</v>
      </c>
      <c r="G3826" s="2" t="s">
        <v>26</v>
      </c>
      <c r="H3826" s="2" t="s">
        <v>20</v>
      </c>
      <c r="I3826" s="2" t="s">
        <v>23</v>
      </c>
      <c r="J3826" s="2" t="n">
        <v>28</v>
      </c>
      <c r="K3826" s="2" t="s">
        <v>27</v>
      </c>
      <c r="L3826" s="2" t="n">
        <v>179</v>
      </c>
      <c r="M3826" s="2" t="n">
        <v>3</v>
      </c>
      <c r="N3826" s="2" t="n">
        <v>-1</v>
      </c>
      <c r="O3826" s="2" t="n">
        <v>0</v>
      </c>
      <c r="P3826" s="2" t="s">
        <v>23</v>
      </c>
      <c r="Q3826" s="2" t="s">
        <v>20</v>
      </c>
    </row>
    <row r="3827" customFormat="false" ht="15" hidden="false" customHeight="false" outlineLevel="0" collapsed="false">
      <c r="A3827" s="2" t="n">
        <v>32</v>
      </c>
      <c r="B3827" s="2" t="s">
        <v>38</v>
      </c>
      <c r="C3827" s="2" t="s">
        <v>18</v>
      </c>
      <c r="D3827" s="2" t="s">
        <v>25</v>
      </c>
      <c r="E3827" s="2" t="s">
        <v>26</v>
      </c>
      <c r="F3827" s="2" t="n">
        <v>4</v>
      </c>
      <c r="G3827" s="2" t="s">
        <v>26</v>
      </c>
      <c r="H3827" s="2" t="s">
        <v>26</v>
      </c>
      <c r="I3827" s="2" t="s">
        <v>21</v>
      </c>
      <c r="J3827" s="2" t="n">
        <v>25</v>
      </c>
      <c r="K3827" s="2" t="s">
        <v>41</v>
      </c>
      <c r="L3827" s="2" t="n">
        <v>132</v>
      </c>
      <c r="M3827" s="2" t="n">
        <v>8</v>
      </c>
      <c r="N3827" s="2" t="n">
        <v>-1</v>
      </c>
      <c r="O3827" s="2" t="n">
        <v>0</v>
      </c>
      <c r="P3827" s="2" t="s">
        <v>23</v>
      </c>
      <c r="Q3827" s="2" t="s">
        <v>20</v>
      </c>
    </row>
    <row r="3828" customFormat="false" ht="15" hidden="false" customHeight="false" outlineLevel="0" collapsed="false">
      <c r="A3828" s="2" t="n">
        <v>51</v>
      </c>
      <c r="B3828" s="2" t="s">
        <v>40</v>
      </c>
      <c r="C3828" s="2" t="s">
        <v>18</v>
      </c>
      <c r="D3828" s="2" t="s">
        <v>25</v>
      </c>
      <c r="E3828" s="2" t="s">
        <v>20</v>
      </c>
      <c r="F3828" s="2" t="n">
        <v>423</v>
      </c>
      <c r="G3828" s="2" t="s">
        <v>26</v>
      </c>
      <c r="H3828" s="2" t="s">
        <v>26</v>
      </c>
      <c r="I3828" s="2" t="s">
        <v>21</v>
      </c>
      <c r="J3828" s="2" t="n">
        <v>16</v>
      </c>
      <c r="K3828" s="2" t="s">
        <v>22</v>
      </c>
      <c r="L3828" s="2" t="n">
        <v>95</v>
      </c>
      <c r="M3828" s="2" t="n">
        <v>1</v>
      </c>
      <c r="N3828" s="2" t="n">
        <v>-1</v>
      </c>
      <c r="O3828" s="2" t="n">
        <v>0</v>
      </c>
      <c r="P3828" s="2" t="s">
        <v>23</v>
      </c>
      <c r="Q3828" s="2" t="s">
        <v>20</v>
      </c>
    </row>
    <row r="3829" customFormat="false" ht="15" hidden="false" customHeight="false" outlineLevel="0" collapsed="false">
      <c r="A3829" s="2" t="n">
        <v>51</v>
      </c>
      <c r="B3829" s="2" t="s">
        <v>29</v>
      </c>
      <c r="C3829" s="2" t="s">
        <v>18</v>
      </c>
      <c r="D3829" s="2" t="s">
        <v>31</v>
      </c>
      <c r="E3829" s="2" t="s">
        <v>20</v>
      </c>
      <c r="F3829" s="2" t="n">
        <v>-892</v>
      </c>
      <c r="G3829" s="2" t="s">
        <v>26</v>
      </c>
      <c r="H3829" s="2" t="s">
        <v>26</v>
      </c>
      <c r="I3829" s="2" t="s">
        <v>21</v>
      </c>
      <c r="J3829" s="2" t="n">
        <v>14</v>
      </c>
      <c r="K3829" s="2" t="s">
        <v>41</v>
      </c>
      <c r="L3829" s="2" t="n">
        <v>248</v>
      </c>
      <c r="M3829" s="2" t="n">
        <v>2</v>
      </c>
      <c r="N3829" s="2" t="n">
        <v>-1</v>
      </c>
      <c r="O3829" s="2" t="n">
        <v>0</v>
      </c>
      <c r="P3829" s="2" t="s">
        <v>23</v>
      </c>
      <c r="Q3829" s="2" t="s">
        <v>20</v>
      </c>
    </row>
    <row r="3830" customFormat="false" ht="15" hidden="false" customHeight="false" outlineLevel="0" collapsed="false">
      <c r="A3830" s="2" t="n">
        <v>31</v>
      </c>
      <c r="B3830" s="2" t="s">
        <v>34</v>
      </c>
      <c r="C3830" s="2" t="s">
        <v>18</v>
      </c>
      <c r="D3830" s="2" t="s">
        <v>23</v>
      </c>
      <c r="E3830" s="2" t="s">
        <v>20</v>
      </c>
      <c r="F3830" s="2" t="n">
        <v>-120</v>
      </c>
      <c r="G3830" s="2" t="s">
        <v>26</v>
      </c>
      <c r="H3830" s="2" t="s">
        <v>20</v>
      </c>
      <c r="I3830" s="2" t="s">
        <v>21</v>
      </c>
      <c r="J3830" s="2" t="n">
        <v>3</v>
      </c>
      <c r="K3830" s="2" t="s">
        <v>35</v>
      </c>
      <c r="L3830" s="2" t="n">
        <v>100</v>
      </c>
      <c r="M3830" s="2" t="n">
        <v>3</v>
      </c>
      <c r="N3830" s="2" t="n">
        <v>201</v>
      </c>
      <c r="O3830" s="2" t="n">
        <v>2</v>
      </c>
      <c r="P3830" s="2" t="s">
        <v>28</v>
      </c>
      <c r="Q3830" s="2" t="s">
        <v>20</v>
      </c>
    </row>
    <row r="3831" customFormat="false" ht="15" hidden="false" customHeight="false" outlineLevel="0" collapsed="false">
      <c r="A3831" s="2" t="n">
        <v>41</v>
      </c>
      <c r="B3831" s="2" t="s">
        <v>40</v>
      </c>
      <c r="C3831" s="2" t="s">
        <v>45</v>
      </c>
      <c r="D3831" s="2" t="s">
        <v>25</v>
      </c>
      <c r="E3831" s="2" t="s">
        <v>20</v>
      </c>
      <c r="F3831" s="2" t="n">
        <v>-365</v>
      </c>
      <c r="G3831" s="2" t="s">
        <v>26</v>
      </c>
      <c r="H3831" s="2" t="s">
        <v>20</v>
      </c>
      <c r="I3831" s="2" t="s">
        <v>23</v>
      </c>
      <c r="J3831" s="2" t="n">
        <v>28</v>
      </c>
      <c r="K3831" s="2" t="s">
        <v>27</v>
      </c>
      <c r="L3831" s="2" t="n">
        <v>226</v>
      </c>
      <c r="M3831" s="2" t="n">
        <v>10</v>
      </c>
      <c r="N3831" s="2" t="n">
        <v>-1</v>
      </c>
      <c r="O3831" s="2" t="n">
        <v>0</v>
      </c>
      <c r="P3831" s="2" t="s">
        <v>23</v>
      </c>
      <c r="Q3831" s="2" t="s">
        <v>20</v>
      </c>
    </row>
    <row r="3832" customFormat="false" ht="15" hidden="false" customHeight="false" outlineLevel="0" collapsed="false">
      <c r="A3832" s="2" t="n">
        <v>57</v>
      </c>
      <c r="B3832" s="2" t="s">
        <v>38</v>
      </c>
      <c r="C3832" s="2" t="s">
        <v>18</v>
      </c>
      <c r="D3832" s="2" t="s">
        <v>31</v>
      </c>
      <c r="E3832" s="2" t="s">
        <v>20</v>
      </c>
      <c r="F3832" s="2" t="n">
        <v>27069</v>
      </c>
      <c r="G3832" s="2" t="s">
        <v>20</v>
      </c>
      <c r="H3832" s="2" t="s">
        <v>26</v>
      </c>
      <c r="I3832" s="2" t="s">
        <v>23</v>
      </c>
      <c r="J3832" s="2" t="n">
        <v>20</v>
      </c>
      <c r="K3832" s="2" t="s">
        <v>33</v>
      </c>
      <c r="L3832" s="2" t="n">
        <v>174</v>
      </c>
      <c r="M3832" s="2" t="n">
        <v>3</v>
      </c>
      <c r="N3832" s="2" t="n">
        <v>-1</v>
      </c>
      <c r="O3832" s="2" t="n">
        <v>0</v>
      </c>
      <c r="P3832" s="2" t="s">
        <v>23</v>
      </c>
      <c r="Q3832" s="2" t="s">
        <v>20</v>
      </c>
    </row>
    <row r="3833" customFormat="false" ht="15" hidden="false" customHeight="false" outlineLevel="0" collapsed="false">
      <c r="A3833" s="2" t="n">
        <v>34</v>
      </c>
      <c r="B3833" s="2" t="s">
        <v>29</v>
      </c>
      <c r="C3833" s="2" t="s">
        <v>30</v>
      </c>
      <c r="D3833" s="2" t="s">
        <v>31</v>
      </c>
      <c r="E3833" s="2" t="s">
        <v>20</v>
      </c>
      <c r="F3833" s="2" t="n">
        <v>8038</v>
      </c>
      <c r="G3833" s="2" t="s">
        <v>26</v>
      </c>
      <c r="H3833" s="2" t="s">
        <v>20</v>
      </c>
      <c r="I3833" s="2" t="s">
        <v>21</v>
      </c>
      <c r="J3833" s="2" t="n">
        <v>20</v>
      </c>
      <c r="K3833" s="2" t="s">
        <v>32</v>
      </c>
      <c r="L3833" s="2" t="n">
        <v>29</v>
      </c>
      <c r="M3833" s="2" t="n">
        <v>3</v>
      </c>
      <c r="N3833" s="2" t="n">
        <v>152</v>
      </c>
      <c r="O3833" s="2" t="n">
        <v>1</v>
      </c>
      <c r="P3833" s="2" t="s">
        <v>28</v>
      </c>
      <c r="Q3833" s="2" t="s">
        <v>20</v>
      </c>
    </row>
    <row r="3834" customFormat="false" ht="15" hidden="false" customHeight="false" outlineLevel="0" collapsed="false">
      <c r="A3834" s="2" t="n">
        <v>47</v>
      </c>
      <c r="B3834" s="2" t="s">
        <v>38</v>
      </c>
      <c r="C3834" s="2" t="s">
        <v>18</v>
      </c>
      <c r="D3834" s="2" t="s">
        <v>25</v>
      </c>
      <c r="E3834" s="2" t="s">
        <v>20</v>
      </c>
      <c r="F3834" s="2" t="n">
        <v>-938</v>
      </c>
      <c r="G3834" s="2" t="s">
        <v>26</v>
      </c>
      <c r="H3834" s="2" t="s">
        <v>20</v>
      </c>
      <c r="I3834" s="2" t="s">
        <v>23</v>
      </c>
      <c r="J3834" s="2" t="n">
        <v>28</v>
      </c>
      <c r="K3834" s="2" t="s">
        <v>27</v>
      </c>
      <c r="L3834" s="2" t="n">
        <v>176</v>
      </c>
      <c r="M3834" s="2" t="n">
        <v>2</v>
      </c>
      <c r="N3834" s="2" t="n">
        <v>-1</v>
      </c>
      <c r="O3834" s="2" t="n">
        <v>0</v>
      </c>
      <c r="P3834" s="2" t="s">
        <v>23</v>
      </c>
      <c r="Q3834" s="2" t="s">
        <v>20</v>
      </c>
    </row>
    <row r="3835" customFormat="false" ht="15" hidden="false" customHeight="false" outlineLevel="0" collapsed="false">
      <c r="A3835" s="2" t="n">
        <v>47</v>
      </c>
      <c r="B3835" s="2" t="s">
        <v>40</v>
      </c>
      <c r="C3835" s="2" t="s">
        <v>45</v>
      </c>
      <c r="D3835" s="2" t="s">
        <v>25</v>
      </c>
      <c r="E3835" s="2" t="s">
        <v>20</v>
      </c>
      <c r="F3835" s="2" t="n">
        <v>1139</v>
      </c>
      <c r="G3835" s="2" t="s">
        <v>26</v>
      </c>
      <c r="H3835" s="2" t="s">
        <v>20</v>
      </c>
      <c r="I3835" s="2" t="s">
        <v>21</v>
      </c>
      <c r="J3835" s="2" t="n">
        <v>11</v>
      </c>
      <c r="K3835" s="2" t="s">
        <v>44</v>
      </c>
      <c r="L3835" s="2" t="n">
        <v>106</v>
      </c>
      <c r="M3835" s="2" t="n">
        <v>2</v>
      </c>
      <c r="N3835" s="2" t="n">
        <v>-1</v>
      </c>
      <c r="O3835" s="2" t="n">
        <v>0</v>
      </c>
      <c r="P3835" s="2" t="s">
        <v>23</v>
      </c>
      <c r="Q3835" s="2" t="s">
        <v>20</v>
      </c>
    </row>
    <row r="3836" customFormat="false" ht="15" hidden="false" customHeight="false" outlineLevel="0" collapsed="false">
      <c r="A3836" s="2" t="n">
        <v>36</v>
      </c>
      <c r="B3836" s="2" t="s">
        <v>36</v>
      </c>
      <c r="C3836" s="2" t="s">
        <v>18</v>
      </c>
      <c r="D3836" s="2" t="s">
        <v>25</v>
      </c>
      <c r="E3836" s="2" t="s">
        <v>20</v>
      </c>
      <c r="F3836" s="2" t="n">
        <v>189</v>
      </c>
      <c r="G3836" s="2" t="s">
        <v>26</v>
      </c>
      <c r="H3836" s="2" t="s">
        <v>20</v>
      </c>
      <c r="I3836" s="2" t="s">
        <v>21</v>
      </c>
      <c r="J3836" s="2" t="n">
        <v>19</v>
      </c>
      <c r="K3836" s="2" t="s">
        <v>46</v>
      </c>
      <c r="L3836" s="2" t="n">
        <v>136</v>
      </c>
      <c r="M3836" s="2" t="n">
        <v>1</v>
      </c>
      <c r="N3836" s="2" t="n">
        <v>120</v>
      </c>
      <c r="O3836" s="2" t="n">
        <v>1</v>
      </c>
      <c r="P3836" s="2" t="s">
        <v>28</v>
      </c>
      <c r="Q3836" s="2" t="s">
        <v>20</v>
      </c>
    </row>
    <row r="3837" customFormat="false" ht="15" hidden="false" customHeight="false" outlineLevel="0" collapsed="false">
      <c r="A3837" s="2" t="n">
        <v>29</v>
      </c>
      <c r="B3837" s="2" t="s">
        <v>47</v>
      </c>
      <c r="C3837" s="2" t="s">
        <v>30</v>
      </c>
      <c r="D3837" s="2" t="s">
        <v>31</v>
      </c>
      <c r="E3837" s="2" t="s">
        <v>20</v>
      </c>
      <c r="F3837" s="2" t="n">
        <v>19</v>
      </c>
      <c r="G3837" s="2" t="s">
        <v>20</v>
      </c>
      <c r="H3837" s="2" t="s">
        <v>20</v>
      </c>
      <c r="I3837" s="2" t="s">
        <v>21</v>
      </c>
      <c r="J3837" s="2" t="n">
        <v>5</v>
      </c>
      <c r="K3837" s="2" t="s">
        <v>35</v>
      </c>
      <c r="L3837" s="2" t="n">
        <v>110</v>
      </c>
      <c r="M3837" s="2" t="n">
        <v>2</v>
      </c>
      <c r="N3837" s="2" t="n">
        <v>64</v>
      </c>
      <c r="O3837" s="2" t="n">
        <v>2</v>
      </c>
      <c r="P3837" s="2" t="s">
        <v>50</v>
      </c>
      <c r="Q3837" s="2" t="s">
        <v>26</v>
      </c>
    </row>
    <row r="3838" customFormat="false" ht="15" hidden="false" customHeight="false" outlineLevel="0" collapsed="false">
      <c r="A3838" s="2" t="n">
        <v>39</v>
      </c>
      <c r="B3838" s="2" t="s">
        <v>38</v>
      </c>
      <c r="C3838" s="2" t="s">
        <v>18</v>
      </c>
      <c r="D3838" s="2" t="s">
        <v>25</v>
      </c>
      <c r="E3838" s="2" t="s">
        <v>20</v>
      </c>
      <c r="F3838" s="2" t="n">
        <v>3663</v>
      </c>
      <c r="G3838" s="2" t="s">
        <v>20</v>
      </c>
      <c r="H3838" s="2" t="s">
        <v>20</v>
      </c>
      <c r="I3838" s="2" t="s">
        <v>21</v>
      </c>
      <c r="J3838" s="2" t="n">
        <v>11</v>
      </c>
      <c r="K3838" s="2" t="s">
        <v>41</v>
      </c>
      <c r="L3838" s="2" t="n">
        <v>230</v>
      </c>
      <c r="M3838" s="2" t="n">
        <v>3</v>
      </c>
      <c r="N3838" s="2" t="n">
        <v>-1</v>
      </c>
      <c r="O3838" s="2" t="n">
        <v>0</v>
      </c>
      <c r="P3838" s="2" t="s">
        <v>23</v>
      </c>
      <c r="Q3838" s="2" t="s">
        <v>20</v>
      </c>
    </row>
    <row r="3839" customFormat="false" ht="15" hidden="false" customHeight="false" outlineLevel="0" collapsed="false">
      <c r="A3839" s="2" t="n">
        <v>53</v>
      </c>
      <c r="B3839" s="2" t="s">
        <v>34</v>
      </c>
      <c r="C3839" s="2" t="s">
        <v>30</v>
      </c>
      <c r="D3839" s="2" t="s">
        <v>23</v>
      </c>
      <c r="E3839" s="2" t="s">
        <v>20</v>
      </c>
      <c r="F3839" s="2" t="n">
        <v>0</v>
      </c>
      <c r="G3839" s="2" t="s">
        <v>20</v>
      </c>
      <c r="H3839" s="2" t="s">
        <v>20</v>
      </c>
      <c r="I3839" s="2" t="s">
        <v>23</v>
      </c>
      <c r="J3839" s="2" t="n">
        <v>12</v>
      </c>
      <c r="K3839" s="2" t="s">
        <v>27</v>
      </c>
      <c r="L3839" s="2" t="n">
        <v>140</v>
      </c>
      <c r="M3839" s="2" t="n">
        <v>7</v>
      </c>
      <c r="N3839" s="2" t="n">
        <v>-1</v>
      </c>
      <c r="O3839" s="2" t="n">
        <v>0</v>
      </c>
      <c r="P3839" s="2" t="s">
        <v>23</v>
      </c>
      <c r="Q3839" s="2" t="s">
        <v>20</v>
      </c>
    </row>
    <row r="3840" customFormat="false" ht="15" hidden="false" customHeight="false" outlineLevel="0" collapsed="false">
      <c r="A3840" s="2" t="n">
        <v>47</v>
      </c>
      <c r="B3840" s="2" t="s">
        <v>34</v>
      </c>
      <c r="C3840" s="2" t="s">
        <v>18</v>
      </c>
      <c r="D3840" s="2" t="s">
        <v>25</v>
      </c>
      <c r="E3840" s="2" t="s">
        <v>26</v>
      </c>
      <c r="F3840" s="2" t="n">
        <v>-614</v>
      </c>
      <c r="G3840" s="2" t="s">
        <v>26</v>
      </c>
      <c r="H3840" s="2" t="s">
        <v>20</v>
      </c>
      <c r="I3840" s="2" t="s">
        <v>23</v>
      </c>
      <c r="J3840" s="2" t="n">
        <v>26</v>
      </c>
      <c r="K3840" s="2" t="s">
        <v>27</v>
      </c>
      <c r="L3840" s="2" t="n">
        <v>118</v>
      </c>
      <c r="M3840" s="2" t="n">
        <v>2</v>
      </c>
      <c r="N3840" s="2" t="n">
        <v>-1</v>
      </c>
      <c r="O3840" s="2" t="n">
        <v>0</v>
      </c>
      <c r="P3840" s="2" t="s">
        <v>23</v>
      </c>
      <c r="Q3840" s="2" t="s">
        <v>20</v>
      </c>
    </row>
    <row r="3841" customFormat="false" ht="15" hidden="false" customHeight="false" outlineLevel="0" collapsed="false">
      <c r="A3841" s="2" t="n">
        <v>51</v>
      </c>
      <c r="B3841" s="2" t="s">
        <v>38</v>
      </c>
      <c r="C3841" s="2" t="s">
        <v>45</v>
      </c>
      <c r="D3841" s="2" t="s">
        <v>25</v>
      </c>
      <c r="E3841" s="2" t="s">
        <v>20</v>
      </c>
      <c r="F3841" s="2" t="n">
        <v>2323</v>
      </c>
      <c r="G3841" s="2" t="s">
        <v>26</v>
      </c>
      <c r="H3841" s="2" t="s">
        <v>26</v>
      </c>
      <c r="I3841" s="2" t="s">
        <v>21</v>
      </c>
      <c r="J3841" s="2" t="n">
        <v>18</v>
      </c>
      <c r="K3841" s="2" t="s">
        <v>41</v>
      </c>
      <c r="L3841" s="2" t="n">
        <v>151</v>
      </c>
      <c r="M3841" s="2" t="n">
        <v>10</v>
      </c>
      <c r="N3841" s="2" t="n">
        <v>-1</v>
      </c>
      <c r="O3841" s="2" t="n">
        <v>0</v>
      </c>
      <c r="P3841" s="2" t="s">
        <v>23</v>
      </c>
      <c r="Q3841" s="2" t="s">
        <v>20</v>
      </c>
    </row>
    <row r="3842" customFormat="false" ht="15" hidden="false" customHeight="false" outlineLevel="0" collapsed="false">
      <c r="A3842" s="2" t="n">
        <v>48</v>
      </c>
      <c r="B3842" s="2" t="s">
        <v>34</v>
      </c>
      <c r="C3842" s="2" t="s">
        <v>18</v>
      </c>
      <c r="D3842" s="2" t="s">
        <v>25</v>
      </c>
      <c r="E3842" s="2" t="s">
        <v>20</v>
      </c>
      <c r="F3842" s="2" t="n">
        <v>425</v>
      </c>
      <c r="G3842" s="2" t="s">
        <v>26</v>
      </c>
      <c r="H3842" s="2" t="s">
        <v>20</v>
      </c>
      <c r="I3842" s="2" t="s">
        <v>49</v>
      </c>
      <c r="J3842" s="2" t="n">
        <v>9</v>
      </c>
      <c r="K3842" s="2" t="s">
        <v>44</v>
      </c>
      <c r="L3842" s="2" t="n">
        <v>693</v>
      </c>
      <c r="M3842" s="2" t="n">
        <v>2</v>
      </c>
      <c r="N3842" s="2" t="n">
        <v>-1</v>
      </c>
      <c r="O3842" s="2" t="n">
        <v>0</v>
      </c>
      <c r="P3842" s="2" t="s">
        <v>23</v>
      </c>
      <c r="Q3842" s="2" t="s">
        <v>20</v>
      </c>
    </row>
    <row r="3843" customFormat="false" ht="15" hidden="false" customHeight="false" outlineLevel="0" collapsed="false">
      <c r="A3843" s="2" t="n">
        <v>32</v>
      </c>
      <c r="B3843" s="2" t="s">
        <v>38</v>
      </c>
      <c r="C3843" s="2" t="s">
        <v>18</v>
      </c>
      <c r="D3843" s="2" t="s">
        <v>25</v>
      </c>
      <c r="E3843" s="2" t="s">
        <v>20</v>
      </c>
      <c r="F3843" s="2" t="n">
        <v>5122</v>
      </c>
      <c r="G3843" s="2" t="s">
        <v>20</v>
      </c>
      <c r="H3843" s="2" t="s">
        <v>20</v>
      </c>
      <c r="I3843" s="2" t="s">
        <v>21</v>
      </c>
      <c r="J3843" s="2" t="n">
        <v>13</v>
      </c>
      <c r="K3843" s="2" t="s">
        <v>41</v>
      </c>
      <c r="L3843" s="2" t="n">
        <v>31</v>
      </c>
      <c r="M3843" s="2" t="n">
        <v>1</v>
      </c>
      <c r="N3843" s="2" t="n">
        <v>-1</v>
      </c>
      <c r="O3843" s="2" t="n">
        <v>0</v>
      </c>
      <c r="P3843" s="2" t="s">
        <v>23</v>
      </c>
      <c r="Q3843" s="2" t="s">
        <v>20</v>
      </c>
    </row>
    <row r="3844" customFormat="false" ht="15" hidden="false" customHeight="false" outlineLevel="0" collapsed="false">
      <c r="A3844" s="2" t="n">
        <v>36</v>
      </c>
      <c r="B3844" s="2" t="s">
        <v>29</v>
      </c>
      <c r="C3844" s="2" t="s">
        <v>45</v>
      </c>
      <c r="D3844" s="2" t="s">
        <v>31</v>
      </c>
      <c r="E3844" s="2" t="s">
        <v>20</v>
      </c>
      <c r="F3844" s="2" t="n">
        <v>608</v>
      </c>
      <c r="G3844" s="2" t="s">
        <v>20</v>
      </c>
      <c r="H3844" s="2" t="s">
        <v>20</v>
      </c>
      <c r="I3844" s="2" t="s">
        <v>21</v>
      </c>
      <c r="J3844" s="2" t="n">
        <v>26</v>
      </c>
      <c r="K3844" s="2" t="s">
        <v>41</v>
      </c>
      <c r="L3844" s="2" t="n">
        <v>125</v>
      </c>
      <c r="M3844" s="2" t="n">
        <v>2</v>
      </c>
      <c r="N3844" s="2" t="n">
        <v>-1</v>
      </c>
      <c r="O3844" s="2" t="n">
        <v>0</v>
      </c>
      <c r="P3844" s="2" t="s">
        <v>23</v>
      </c>
      <c r="Q3844" s="2" t="s">
        <v>20</v>
      </c>
    </row>
    <row r="3845" customFormat="false" ht="15" hidden="false" customHeight="false" outlineLevel="0" collapsed="false">
      <c r="A3845" s="2" t="n">
        <v>50</v>
      </c>
      <c r="B3845" s="2" t="s">
        <v>23</v>
      </c>
      <c r="C3845" s="2" t="s">
        <v>18</v>
      </c>
      <c r="D3845" s="2" t="s">
        <v>19</v>
      </c>
      <c r="E3845" s="2" t="s">
        <v>20</v>
      </c>
      <c r="F3845" s="2" t="n">
        <v>341</v>
      </c>
      <c r="G3845" s="2" t="s">
        <v>26</v>
      </c>
      <c r="H3845" s="2" t="s">
        <v>26</v>
      </c>
      <c r="I3845" s="2" t="s">
        <v>21</v>
      </c>
      <c r="J3845" s="2" t="n">
        <v>20</v>
      </c>
      <c r="K3845" s="2" t="s">
        <v>32</v>
      </c>
      <c r="L3845" s="2" t="n">
        <v>670</v>
      </c>
      <c r="M3845" s="2" t="n">
        <v>4</v>
      </c>
      <c r="N3845" s="2" t="n">
        <v>340</v>
      </c>
      <c r="O3845" s="2" t="n">
        <v>2</v>
      </c>
      <c r="P3845" s="2" t="s">
        <v>50</v>
      </c>
      <c r="Q3845" s="2" t="s">
        <v>26</v>
      </c>
    </row>
    <row r="3846" customFormat="false" ht="15" hidden="false" customHeight="false" outlineLevel="0" collapsed="false">
      <c r="A3846" s="2" t="n">
        <v>39</v>
      </c>
      <c r="B3846" s="2" t="s">
        <v>40</v>
      </c>
      <c r="C3846" s="2" t="s">
        <v>18</v>
      </c>
      <c r="D3846" s="2" t="s">
        <v>25</v>
      </c>
      <c r="E3846" s="2" t="s">
        <v>20</v>
      </c>
      <c r="F3846" s="2" t="n">
        <v>607</v>
      </c>
      <c r="G3846" s="2" t="s">
        <v>26</v>
      </c>
      <c r="H3846" s="2" t="s">
        <v>20</v>
      </c>
      <c r="I3846" s="2" t="s">
        <v>21</v>
      </c>
      <c r="J3846" s="2" t="n">
        <v>12</v>
      </c>
      <c r="K3846" s="2" t="s">
        <v>27</v>
      </c>
      <c r="L3846" s="2" t="n">
        <v>454</v>
      </c>
      <c r="M3846" s="2" t="n">
        <v>2</v>
      </c>
      <c r="N3846" s="2" t="n">
        <v>364</v>
      </c>
      <c r="O3846" s="2" t="n">
        <v>3</v>
      </c>
      <c r="P3846" s="2" t="s">
        <v>28</v>
      </c>
      <c r="Q3846" s="2" t="s">
        <v>26</v>
      </c>
    </row>
    <row r="3847" customFormat="false" ht="15" hidden="false" customHeight="false" outlineLevel="0" collapsed="false">
      <c r="A3847" s="2" t="n">
        <v>31</v>
      </c>
      <c r="B3847" s="2" t="s">
        <v>34</v>
      </c>
      <c r="C3847" s="2" t="s">
        <v>18</v>
      </c>
      <c r="D3847" s="2" t="s">
        <v>25</v>
      </c>
      <c r="E3847" s="2" t="s">
        <v>20</v>
      </c>
      <c r="F3847" s="2" t="n">
        <v>1495</v>
      </c>
      <c r="G3847" s="2" t="s">
        <v>26</v>
      </c>
      <c r="H3847" s="2" t="s">
        <v>26</v>
      </c>
      <c r="I3847" s="2" t="s">
        <v>23</v>
      </c>
      <c r="J3847" s="2" t="n">
        <v>23</v>
      </c>
      <c r="K3847" s="2" t="s">
        <v>27</v>
      </c>
      <c r="L3847" s="2" t="n">
        <v>159</v>
      </c>
      <c r="M3847" s="2" t="n">
        <v>3</v>
      </c>
      <c r="N3847" s="2" t="n">
        <v>-1</v>
      </c>
      <c r="O3847" s="2" t="n">
        <v>0</v>
      </c>
      <c r="P3847" s="2" t="s">
        <v>23</v>
      </c>
      <c r="Q3847" s="2" t="s">
        <v>20</v>
      </c>
    </row>
    <row r="3848" customFormat="false" ht="15" hidden="false" customHeight="false" outlineLevel="0" collapsed="false">
      <c r="A3848" s="2" t="n">
        <v>49</v>
      </c>
      <c r="B3848" s="2" t="s">
        <v>40</v>
      </c>
      <c r="C3848" s="2" t="s">
        <v>18</v>
      </c>
      <c r="D3848" s="2" t="s">
        <v>25</v>
      </c>
      <c r="E3848" s="2" t="s">
        <v>20</v>
      </c>
      <c r="F3848" s="2" t="n">
        <v>381</v>
      </c>
      <c r="G3848" s="2" t="s">
        <v>20</v>
      </c>
      <c r="H3848" s="2" t="s">
        <v>20</v>
      </c>
      <c r="I3848" s="2" t="s">
        <v>21</v>
      </c>
      <c r="J3848" s="2" t="n">
        <v>5</v>
      </c>
      <c r="K3848" s="2" t="s">
        <v>41</v>
      </c>
      <c r="L3848" s="2" t="n">
        <v>504</v>
      </c>
      <c r="M3848" s="2" t="n">
        <v>2</v>
      </c>
      <c r="N3848" s="2" t="n">
        <v>-1</v>
      </c>
      <c r="O3848" s="2" t="n">
        <v>0</v>
      </c>
      <c r="P3848" s="2" t="s">
        <v>23</v>
      </c>
      <c r="Q3848" s="2" t="s">
        <v>20</v>
      </c>
    </row>
    <row r="3849" customFormat="false" ht="15" hidden="false" customHeight="false" outlineLevel="0" collapsed="false">
      <c r="A3849" s="2" t="n">
        <v>33</v>
      </c>
      <c r="B3849" s="2" t="s">
        <v>17</v>
      </c>
      <c r="C3849" s="2" t="s">
        <v>45</v>
      </c>
      <c r="D3849" s="2" t="s">
        <v>25</v>
      </c>
      <c r="E3849" s="2" t="s">
        <v>20</v>
      </c>
      <c r="F3849" s="2" t="n">
        <v>385</v>
      </c>
      <c r="G3849" s="2" t="s">
        <v>20</v>
      </c>
      <c r="H3849" s="2" t="s">
        <v>20</v>
      </c>
      <c r="I3849" s="2" t="s">
        <v>49</v>
      </c>
      <c r="J3849" s="2" t="n">
        <v>27</v>
      </c>
      <c r="K3849" s="2" t="s">
        <v>41</v>
      </c>
      <c r="L3849" s="2" t="n">
        <v>29</v>
      </c>
      <c r="M3849" s="2" t="n">
        <v>28</v>
      </c>
      <c r="N3849" s="2" t="n">
        <v>-1</v>
      </c>
      <c r="O3849" s="2" t="n">
        <v>0</v>
      </c>
      <c r="P3849" s="2" t="s">
        <v>23</v>
      </c>
      <c r="Q3849" s="2" t="s">
        <v>20</v>
      </c>
    </row>
    <row r="3850" customFormat="false" ht="15" hidden="false" customHeight="false" outlineLevel="0" collapsed="false">
      <c r="A3850" s="2" t="n">
        <v>26</v>
      </c>
      <c r="B3850" s="2" t="s">
        <v>29</v>
      </c>
      <c r="C3850" s="2" t="s">
        <v>30</v>
      </c>
      <c r="D3850" s="2" t="s">
        <v>31</v>
      </c>
      <c r="E3850" s="2" t="s">
        <v>20</v>
      </c>
      <c r="F3850" s="2" t="n">
        <v>1274</v>
      </c>
      <c r="G3850" s="2" t="s">
        <v>26</v>
      </c>
      <c r="H3850" s="2" t="s">
        <v>20</v>
      </c>
      <c r="I3850" s="2" t="s">
        <v>21</v>
      </c>
      <c r="J3850" s="2" t="n">
        <v>1</v>
      </c>
      <c r="K3850" s="2" t="s">
        <v>33</v>
      </c>
      <c r="L3850" s="2" t="n">
        <v>190</v>
      </c>
      <c r="M3850" s="2" t="n">
        <v>1</v>
      </c>
      <c r="N3850" s="2" t="n">
        <v>84</v>
      </c>
      <c r="O3850" s="2" t="n">
        <v>1</v>
      </c>
      <c r="P3850" s="2" t="s">
        <v>28</v>
      </c>
      <c r="Q3850" s="2" t="s">
        <v>20</v>
      </c>
    </row>
    <row r="3851" customFormat="false" ht="15" hidden="false" customHeight="false" outlineLevel="0" collapsed="false">
      <c r="A3851" s="2" t="n">
        <v>27</v>
      </c>
      <c r="B3851" s="2" t="s">
        <v>34</v>
      </c>
      <c r="C3851" s="2" t="s">
        <v>18</v>
      </c>
      <c r="D3851" s="2" t="s">
        <v>25</v>
      </c>
      <c r="E3851" s="2" t="s">
        <v>20</v>
      </c>
      <c r="F3851" s="2" t="n">
        <v>362</v>
      </c>
      <c r="G3851" s="2" t="s">
        <v>26</v>
      </c>
      <c r="H3851" s="2" t="s">
        <v>20</v>
      </c>
      <c r="I3851" s="2" t="s">
        <v>23</v>
      </c>
      <c r="J3851" s="2" t="n">
        <v>14</v>
      </c>
      <c r="K3851" s="2" t="s">
        <v>27</v>
      </c>
      <c r="L3851" s="2" t="n">
        <v>332</v>
      </c>
      <c r="M3851" s="2" t="n">
        <v>2</v>
      </c>
      <c r="N3851" s="2" t="n">
        <v>-1</v>
      </c>
      <c r="O3851" s="2" t="n">
        <v>0</v>
      </c>
      <c r="P3851" s="2" t="s">
        <v>23</v>
      </c>
      <c r="Q3851" s="2" t="s">
        <v>20</v>
      </c>
    </row>
    <row r="3852" customFormat="false" ht="15" hidden="false" customHeight="false" outlineLevel="0" collapsed="false">
      <c r="A3852" s="2" t="n">
        <v>51</v>
      </c>
      <c r="B3852" s="2" t="s">
        <v>34</v>
      </c>
      <c r="C3852" s="2" t="s">
        <v>18</v>
      </c>
      <c r="D3852" s="2" t="s">
        <v>19</v>
      </c>
      <c r="E3852" s="2" t="s">
        <v>20</v>
      </c>
      <c r="F3852" s="2" t="n">
        <v>377</v>
      </c>
      <c r="G3852" s="2" t="s">
        <v>26</v>
      </c>
      <c r="H3852" s="2" t="s">
        <v>20</v>
      </c>
      <c r="I3852" s="2" t="s">
        <v>49</v>
      </c>
      <c r="J3852" s="2" t="n">
        <v>3</v>
      </c>
      <c r="K3852" s="2" t="s">
        <v>35</v>
      </c>
      <c r="L3852" s="2" t="n">
        <v>143</v>
      </c>
      <c r="M3852" s="2" t="n">
        <v>4</v>
      </c>
      <c r="N3852" s="2" t="n">
        <v>272</v>
      </c>
      <c r="O3852" s="2" t="n">
        <v>1</v>
      </c>
      <c r="P3852" s="2" t="s">
        <v>28</v>
      </c>
      <c r="Q3852" s="2" t="s">
        <v>20</v>
      </c>
    </row>
    <row r="3853" customFormat="false" ht="15" hidden="false" customHeight="false" outlineLevel="0" collapsed="false">
      <c r="A3853" s="2" t="n">
        <v>26</v>
      </c>
      <c r="B3853" s="2" t="s">
        <v>40</v>
      </c>
      <c r="C3853" s="2" t="s">
        <v>30</v>
      </c>
      <c r="D3853" s="2" t="s">
        <v>25</v>
      </c>
      <c r="E3853" s="2" t="s">
        <v>20</v>
      </c>
      <c r="F3853" s="2" t="n">
        <v>802</v>
      </c>
      <c r="G3853" s="2" t="s">
        <v>20</v>
      </c>
      <c r="H3853" s="2" t="s">
        <v>20</v>
      </c>
      <c r="I3853" s="2" t="s">
        <v>21</v>
      </c>
      <c r="J3853" s="2" t="n">
        <v>30</v>
      </c>
      <c r="K3853" s="2" t="s">
        <v>43</v>
      </c>
      <c r="L3853" s="2" t="n">
        <v>77</v>
      </c>
      <c r="M3853" s="2" t="n">
        <v>1</v>
      </c>
      <c r="N3853" s="2" t="n">
        <v>2</v>
      </c>
      <c r="O3853" s="2" t="n">
        <v>2</v>
      </c>
      <c r="P3853" s="2" t="s">
        <v>37</v>
      </c>
      <c r="Q3853" s="2" t="s">
        <v>20</v>
      </c>
    </row>
    <row r="3854" customFormat="false" ht="15" hidden="false" customHeight="false" outlineLevel="0" collapsed="false">
      <c r="A3854" s="2" t="n">
        <v>45</v>
      </c>
      <c r="B3854" s="2" t="s">
        <v>40</v>
      </c>
      <c r="C3854" s="2" t="s">
        <v>18</v>
      </c>
      <c r="D3854" s="2" t="s">
        <v>25</v>
      </c>
      <c r="E3854" s="2" t="s">
        <v>20</v>
      </c>
      <c r="F3854" s="2" t="n">
        <v>194</v>
      </c>
      <c r="G3854" s="2" t="s">
        <v>20</v>
      </c>
      <c r="H3854" s="2" t="s">
        <v>20</v>
      </c>
      <c r="I3854" s="2" t="s">
        <v>21</v>
      </c>
      <c r="J3854" s="2" t="n">
        <v>31</v>
      </c>
      <c r="K3854" s="2" t="s">
        <v>44</v>
      </c>
      <c r="L3854" s="2" t="n">
        <v>517</v>
      </c>
      <c r="M3854" s="2" t="n">
        <v>4</v>
      </c>
      <c r="N3854" s="2" t="n">
        <v>-1</v>
      </c>
      <c r="O3854" s="2" t="n">
        <v>0</v>
      </c>
      <c r="P3854" s="2" t="s">
        <v>23</v>
      </c>
      <c r="Q3854" s="2" t="s">
        <v>20</v>
      </c>
    </row>
    <row r="3855" customFormat="false" ht="15" hidden="false" customHeight="false" outlineLevel="0" collapsed="false">
      <c r="A3855" s="2" t="n">
        <v>54</v>
      </c>
      <c r="B3855" s="2" t="s">
        <v>38</v>
      </c>
      <c r="C3855" s="2" t="s">
        <v>18</v>
      </c>
      <c r="D3855" s="2" t="s">
        <v>25</v>
      </c>
      <c r="E3855" s="2" t="s">
        <v>20</v>
      </c>
      <c r="F3855" s="2" t="n">
        <v>-315</v>
      </c>
      <c r="G3855" s="2" t="s">
        <v>20</v>
      </c>
      <c r="H3855" s="2" t="s">
        <v>26</v>
      </c>
      <c r="I3855" s="2" t="s">
        <v>21</v>
      </c>
      <c r="J3855" s="2" t="n">
        <v>10</v>
      </c>
      <c r="K3855" s="2" t="s">
        <v>44</v>
      </c>
      <c r="L3855" s="2" t="n">
        <v>2029</v>
      </c>
      <c r="M3855" s="2" t="n">
        <v>1</v>
      </c>
      <c r="N3855" s="2" t="n">
        <v>-1</v>
      </c>
      <c r="O3855" s="2" t="n">
        <v>0</v>
      </c>
      <c r="P3855" s="2" t="s">
        <v>23</v>
      </c>
      <c r="Q3855" s="2" t="s">
        <v>26</v>
      </c>
    </row>
    <row r="3856" customFormat="false" ht="15" hidden="false" customHeight="false" outlineLevel="0" collapsed="false">
      <c r="A3856" s="2" t="n">
        <v>49</v>
      </c>
      <c r="B3856" s="2" t="s">
        <v>38</v>
      </c>
      <c r="C3856" s="2" t="s">
        <v>18</v>
      </c>
      <c r="D3856" s="2" t="s">
        <v>31</v>
      </c>
      <c r="E3856" s="2" t="s">
        <v>20</v>
      </c>
      <c r="F3856" s="2" t="n">
        <v>1843</v>
      </c>
      <c r="G3856" s="2" t="s">
        <v>26</v>
      </c>
      <c r="H3856" s="2" t="s">
        <v>20</v>
      </c>
      <c r="I3856" s="2" t="s">
        <v>21</v>
      </c>
      <c r="J3856" s="2" t="n">
        <v>25</v>
      </c>
      <c r="K3856" s="2" t="s">
        <v>27</v>
      </c>
      <c r="L3856" s="2" t="n">
        <v>269</v>
      </c>
      <c r="M3856" s="2" t="n">
        <v>1</v>
      </c>
      <c r="N3856" s="2" t="n">
        <v>-1</v>
      </c>
      <c r="O3856" s="2" t="n">
        <v>0</v>
      </c>
      <c r="P3856" s="2" t="s">
        <v>23</v>
      </c>
      <c r="Q3856" s="2" t="s">
        <v>20</v>
      </c>
    </row>
    <row r="3857" customFormat="false" ht="15" hidden="false" customHeight="false" outlineLevel="0" collapsed="false">
      <c r="A3857" s="2" t="n">
        <v>47</v>
      </c>
      <c r="B3857" s="2" t="s">
        <v>38</v>
      </c>
      <c r="C3857" s="2" t="s">
        <v>18</v>
      </c>
      <c r="D3857" s="2" t="s">
        <v>25</v>
      </c>
      <c r="E3857" s="2" t="s">
        <v>20</v>
      </c>
      <c r="F3857" s="2" t="n">
        <v>-9</v>
      </c>
      <c r="G3857" s="2" t="s">
        <v>20</v>
      </c>
      <c r="H3857" s="2" t="s">
        <v>20</v>
      </c>
      <c r="I3857" s="2" t="s">
        <v>21</v>
      </c>
      <c r="J3857" s="2" t="n">
        <v>14</v>
      </c>
      <c r="K3857" s="2" t="s">
        <v>41</v>
      </c>
      <c r="L3857" s="2" t="n">
        <v>457</v>
      </c>
      <c r="M3857" s="2" t="n">
        <v>2</v>
      </c>
      <c r="N3857" s="2" t="n">
        <v>-1</v>
      </c>
      <c r="O3857" s="2" t="n">
        <v>0</v>
      </c>
      <c r="P3857" s="2" t="s">
        <v>23</v>
      </c>
      <c r="Q3857" s="2" t="s">
        <v>20</v>
      </c>
    </row>
    <row r="3858" customFormat="false" ht="15" hidden="false" customHeight="false" outlineLevel="0" collapsed="false">
      <c r="A3858" s="2" t="n">
        <v>42</v>
      </c>
      <c r="B3858" s="2" t="s">
        <v>47</v>
      </c>
      <c r="C3858" s="2" t="s">
        <v>18</v>
      </c>
      <c r="D3858" s="2" t="s">
        <v>19</v>
      </c>
      <c r="E3858" s="2" t="s">
        <v>20</v>
      </c>
      <c r="F3858" s="2" t="n">
        <v>83</v>
      </c>
      <c r="G3858" s="2" t="s">
        <v>20</v>
      </c>
      <c r="H3858" s="2" t="s">
        <v>26</v>
      </c>
      <c r="I3858" s="2" t="s">
        <v>21</v>
      </c>
      <c r="J3858" s="2" t="n">
        <v>7</v>
      </c>
      <c r="K3858" s="2" t="s">
        <v>41</v>
      </c>
      <c r="L3858" s="2" t="n">
        <v>184</v>
      </c>
      <c r="M3858" s="2" t="n">
        <v>1</v>
      </c>
      <c r="N3858" s="2" t="n">
        <v>-1</v>
      </c>
      <c r="O3858" s="2" t="n">
        <v>0</v>
      </c>
      <c r="P3858" s="2" t="s">
        <v>23</v>
      </c>
      <c r="Q3858" s="2" t="s">
        <v>20</v>
      </c>
    </row>
    <row r="3859" customFormat="false" ht="15" hidden="false" customHeight="false" outlineLevel="0" collapsed="false">
      <c r="A3859" s="2" t="n">
        <v>50</v>
      </c>
      <c r="B3859" s="2" t="s">
        <v>39</v>
      </c>
      <c r="C3859" s="2" t="s">
        <v>18</v>
      </c>
      <c r="D3859" s="2" t="s">
        <v>31</v>
      </c>
      <c r="E3859" s="2" t="s">
        <v>20</v>
      </c>
      <c r="F3859" s="2" t="n">
        <v>433</v>
      </c>
      <c r="G3859" s="2" t="s">
        <v>26</v>
      </c>
      <c r="H3859" s="2" t="s">
        <v>20</v>
      </c>
      <c r="I3859" s="2" t="s">
        <v>21</v>
      </c>
      <c r="J3859" s="2" t="n">
        <v>18</v>
      </c>
      <c r="K3859" s="2" t="s">
        <v>27</v>
      </c>
      <c r="L3859" s="2" t="n">
        <v>47</v>
      </c>
      <c r="M3859" s="2" t="n">
        <v>4</v>
      </c>
      <c r="N3859" s="2" t="n">
        <v>-1</v>
      </c>
      <c r="O3859" s="2" t="n">
        <v>0</v>
      </c>
      <c r="P3859" s="2" t="s">
        <v>23</v>
      </c>
      <c r="Q3859" s="2" t="s">
        <v>20</v>
      </c>
    </row>
    <row r="3860" customFormat="false" ht="15" hidden="false" customHeight="false" outlineLevel="0" collapsed="false">
      <c r="A3860" s="2" t="n">
        <v>37</v>
      </c>
      <c r="B3860" s="2" t="s">
        <v>40</v>
      </c>
      <c r="C3860" s="2" t="s">
        <v>18</v>
      </c>
      <c r="D3860" s="2" t="s">
        <v>25</v>
      </c>
      <c r="E3860" s="2" t="s">
        <v>20</v>
      </c>
      <c r="F3860" s="2" t="n">
        <v>-107</v>
      </c>
      <c r="G3860" s="2" t="s">
        <v>26</v>
      </c>
      <c r="H3860" s="2" t="s">
        <v>20</v>
      </c>
      <c r="I3860" s="2" t="s">
        <v>23</v>
      </c>
      <c r="J3860" s="2" t="n">
        <v>28</v>
      </c>
      <c r="K3860" s="2" t="s">
        <v>27</v>
      </c>
      <c r="L3860" s="2" t="n">
        <v>158</v>
      </c>
      <c r="M3860" s="2" t="n">
        <v>2</v>
      </c>
      <c r="N3860" s="2" t="n">
        <v>-1</v>
      </c>
      <c r="O3860" s="2" t="n">
        <v>0</v>
      </c>
      <c r="P3860" s="2" t="s">
        <v>23</v>
      </c>
      <c r="Q3860" s="2" t="s">
        <v>20</v>
      </c>
    </row>
    <row r="3861" customFormat="false" ht="15" hidden="false" customHeight="false" outlineLevel="0" collapsed="false">
      <c r="A3861" s="2" t="n">
        <v>54</v>
      </c>
      <c r="B3861" s="2" t="s">
        <v>34</v>
      </c>
      <c r="C3861" s="2" t="s">
        <v>18</v>
      </c>
      <c r="D3861" s="2" t="s">
        <v>19</v>
      </c>
      <c r="E3861" s="2" t="s">
        <v>20</v>
      </c>
      <c r="F3861" s="2" t="n">
        <v>4503</v>
      </c>
      <c r="G3861" s="2" t="s">
        <v>20</v>
      </c>
      <c r="H3861" s="2" t="s">
        <v>20</v>
      </c>
      <c r="I3861" s="2" t="s">
        <v>49</v>
      </c>
      <c r="J3861" s="2" t="n">
        <v>21</v>
      </c>
      <c r="K3861" s="2" t="s">
        <v>46</v>
      </c>
      <c r="L3861" s="2" t="n">
        <v>168</v>
      </c>
      <c r="M3861" s="2" t="n">
        <v>3</v>
      </c>
      <c r="N3861" s="2" t="n">
        <v>-1</v>
      </c>
      <c r="O3861" s="2" t="n">
        <v>0</v>
      </c>
      <c r="P3861" s="2" t="s">
        <v>23</v>
      </c>
      <c r="Q3861" s="2" t="s">
        <v>20</v>
      </c>
    </row>
    <row r="3862" customFormat="false" ht="15" hidden="false" customHeight="false" outlineLevel="0" collapsed="false">
      <c r="A3862" s="2" t="n">
        <v>40</v>
      </c>
      <c r="B3862" s="2" t="s">
        <v>24</v>
      </c>
      <c r="C3862" s="2" t="s">
        <v>18</v>
      </c>
      <c r="D3862" s="2" t="s">
        <v>25</v>
      </c>
      <c r="E3862" s="2" t="s">
        <v>20</v>
      </c>
      <c r="F3862" s="2" t="n">
        <v>51</v>
      </c>
      <c r="G3862" s="2" t="s">
        <v>26</v>
      </c>
      <c r="H3862" s="2" t="s">
        <v>20</v>
      </c>
      <c r="I3862" s="2" t="s">
        <v>21</v>
      </c>
      <c r="J3862" s="2" t="n">
        <v>11</v>
      </c>
      <c r="K3862" s="2" t="s">
        <v>27</v>
      </c>
      <c r="L3862" s="2" t="n">
        <v>50</v>
      </c>
      <c r="M3862" s="2" t="n">
        <v>1</v>
      </c>
      <c r="N3862" s="2" t="n">
        <v>-1</v>
      </c>
      <c r="O3862" s="2" t="n">
        <v>0</v>
      </c>
      <c r="P3862" s="2" t="s">
        <v>23</v>
      </c>
      <c r="Q3862" s="2" t="s">
        <v>20</v>
      </c>
    </row>
    <row r="3863" customFormat="false" ht="15" hidden="false" customHeight="false" outlineLevel="0" collapsed="false">
      <c r="A3863" s="2" t="n">
        <v>50</v>
      </c>
      <c r="B3863" s="2" t="s">
        <v>24</v>
      </c>
      <c r="C3863" s="2" t="s">
        <v>18</v>
      </c>
      <c r="D3863" s="2" t="s">
        <v>25</v>
      </c>
      <c r="E3863" s="2" t="s">
        <v>20</v>
      </c>
      <c r="F3863" s="2" t="n">
        <v>961</v>
      </c>
      <c r="G3863" s="2" t="s">
        <v>20</v>
      </c>
      <c r="H3863" s="2" t="s">
        <v>26</v>
      </c>
      <c r="I3863" s="2" t="s">
        <v>21</v>
      </c>
      <c r="J3863" s="2" t="n">
        <v>14</v>
      </c>
      <c r="K3863" s="2" t="s">
        <v>41</v>
      </c>
      <c r="L3863" s="2" t="n">
        <v>757</v>
      </c>
      <c r="M3863" s="2" t="n">
        <v>4</v>
      </c>
      <c r="N3863" s="2" t="n">
        <v>-1</v>
      </c>
      <c r="O3863" s="2" t="n">
        <v>0</v>
      </c>
      <c r="P3863" s="2" t="s">
        <v>23</v>
      </c>
      <c r="Q3863" s="2" t="s">
        <v>20</v>
      </c>
    </row>
    <row r="3864" customFormat="false" ht="15" hidden="false" customHeight="false" outlineLevel="0" collapsed="false">
      <c r="A3864" s="2" t="n">
        <v>57</v>
      </c>
      <c r="B3864" s="2" t="s">
        <v>48</v>
      </c>
      <c r="C3864" s="2" t="s">
        <v>18</v>
      </c>
      <c r="D3864" s="2" t="s">
        <v>25</v>
      </c>
      <c r="E3864" s="2" t="s">
        <v>20</v>
      </c>
      <c r="F3864" s="2" t="n">
        <v>49</v>
      </c>
      <c r="G3864" s="2" t="s">
        <v>26</v>
      </c>
      <c r="H3864" s="2" t="s">
        <v>26</v>
      </c>
      <c r="I3864" s="2" t="s">
        <v>21</v>
      </c>
      <c r="J3864" s="2" t="n">
        <v>25</v>
      </c>
      <c r="K3864" s="2" t="s">
        <v>41</v>
      </c>
      <c r="L3864" s="2" t="n">
        <v>93</v>
      </c>
      <c r="M3864" s="2" t="n">
        <v>4</v>
      </c>
      <c r="N3864" s="2" t="n">
        <v>-1</v>
      </c>
      <c r="O3864" s="2" t="n">
        <v>0</v>
      </c>
      <c r="P3864" s="2" t="s">
        <v>23</v>
      </c>
      <c r="Q3864" s="2" t="s">
        <v>20</v>
      </c>
    </row>
    <row r="3865" customFormat="false" ht="15" hidden="false" customHeight="false" outlineLevel="0" collapsed="false">
      <c r="A3865" s="2" t="n">
        <v>33</v>
      </c>
      <c r="B3865" s="2" t="s">
        <v>38</v>
      </c>
      <c r="C3865" s="2" t="s">
        <v>18</v>
      </c>
      <c r="D3865" s="2" t="s">
        <v>25</v>
      </c>
      <c r="E3865" s="2" t="s">
        <v>20</v>
      </c>
      <c r="F3865" s="2" t="n">
        <v>3470</v>
      </c>
      <c r="G3865" s="2" t="s">
        <v>20</v>
      </c>
      <c r="H3865" s="2" t="s">
        <v>20</v>
      </c>
      <c r="I3865" s="2" t="s">
        <v>21</v>
      </c>
      <c r="J3865" s="2" t="n">
        <v>11</v>
      </c>
      <c r="K3865" s="2" t="s">
        <v>41</v>
      </c>
      <c r="L3865" s="2" t="n">
        <v>285</v>
      </c>
      <c r="M3865" s="2" t="n">
        <v>2</v>
      </c>
      <c r="N3865" s="2" t="n">
        <v>-1</v>
      </c>
      <c r="O3865" s="2" t="n">
        <v>0</v>
      </c>
      <c r="P3865" s="2" t="s">
        <v>23</v>
      </c>
      <c r="Q3865" s="2" t="s">
        <v>20</v>
      </c>
    </row>
    <row r="3866" customFormat="false" ht="15" hidden="false" customHeight="false" outlineLevel="0" collapsed="false">
      <c r="A3866" s="2" t="n">
        <v>49</v>
      </c>
      <c r="B3866" s="2" t="s">
        <v>38</v>
      </c>
      <c r="C3866" s="2" t="s">
        <v>18</v>
      </c>
      <c r="D3866" s="2" t="s">
        <v>25</v>
      </c>
      <c r="E3866" s="2" t="s">
        <v>20</v>
      </c>
      <c r="F3866" s="2" t="n">
        <v>-147</v>
      </c>
      <c r="G3866" s="2" t="s">
        <v>26</v>
      </c>
      <c r="H3866" s="2" t="s">
        <v>20</v>
      </c>
      <c r="I3866" s="2" t="s">
        <v>21</v>
      </c>
      <c r="J3866" s="2" t="n">
        <v>20</v>
      </c>
      <c r="K3866" s="2" t="s">
        <v>32</v>
      </c>
      <c r="L3866" s="2" t="n">
        <v>390</v>
      </c>
      <c r="M3866" s="2" t="n">
        <v>1</v>
      </c>
      <c r="N3866" s="2" t="n">
        <v>-1</v>
      </c>
      <c r="O3866" s="2" t="n">
        <v>0</v>
      </c>
      <c r="P3866" s="2" t="s">
        <v>23</v>
      </c>
      <c r="Q3866" s="2" t="s">
        <v>20</v>
      </c>
    </row>
    <row r="3867" customFormat="false" ht="15" hidden="false" customHeight="false" outlineLevel="0" collapsed="false">
      <c r="A3867" s="2" t="n">
        <v>35</v>
      </c>
      <c r="B3867" s="2" t="s">
        <v>24</v>
      </c>
      <c r="C3867" s="2" t="s">
        <v>18</v>
      </c>
      <c r="D3867" s="2" t="s">
        <v>25</v>
      </c>
      <c r="E3867" s="2" t="s">
        <v>20</v>
      </c>
      <c r="F3867" s="2" t="n">
        <v>0</v>
      </c>
      <c r="G3867" s="2" t="s">
        <v>26</v>
      </c>
      <c r="H3867" s="2" t="s">
        <v>20</v>
      </c>
      <c r="I3867" s="2" t="s">
        <v>21</v>
      </c>
      <c r="J3867" s="2" t="n">
        <v>18</v>
      </c>
      <c r="K3867" s="2" t="s">
        <v>27</v>
      </c>
      <c r="L3867" s="2" t="n">
        <v>146</v>
      </c>
      <c r="M3867" s="2" t="n">
        <v>2</v>
      </c>
      <c r="N3867" s="2" t="n">
        <v>-1</v>
      </c>
      <c r="O3867" s="2" t="n">
        <v>0</v>
      </c>
      <c r="P3867" s="2" t="s">
        <v>23</v>
      </c>
      <c r="Q3867" s="2" t="s">
        <v>20</v>
      </c>
    </row>
    <row r="3868" customFormat="false" ht="15" hidden="false" customHeight="false" outlineLevel="0" collapsed="false">
      <c r="A3868" s="2" t="n">
        <v>28</v>
      </c>
      <c r="B3868" s="2" t="s">
        <v>34</v>
      </c>
      <c r="C3868" s="2" t="s">
        <v>30</v>
      </c>
      <c r="D3868" s="2" t="s">
        <v>25</v>
      </c>
      <c r="E3868" s="2" t="s">
        <v>20</v>
      </c>
      <c r="F3868" s="2" t="n">
        <v>0</v>
      </c>
      <c r="G3868" s="2" t="s">
        <v>26</v>
      </c>
      <c r="H3868" s="2" t="s">
        <v>20</v>
      </c>
      <c r="I3868" s="2" t="s">
        <v>23</v>
      </c>
      <c r="J3868" s="2" t="n">
        <v>28</v>
      </c>
      <c r="K3868" s="2" t="s">
        <v>27</v>
      </c>
      <c r="L3868" s="2" t="n">
        <v>386</v>
      </c>
      <c r="M3868" s="2" t="n">
        <v>1</v>
      </c>
      <c r="N3868" s="2" t="n">
        <v>-1</v>
      </c>
      <c r="O3868" s="2" t="n">
        <v>0</v>
      </c>
      <c r="P3868" s="2" t="s">
        <v>23</v>
      </c>
      <c r="Q3868" s="2" t="s">
        <v>20</v>
      </c>
    </row>
    <row r="3869" customFormat="false" ht="15" hidden="false" customHeight="false" outlineLevel="0" collapsed="false">
      <c r="A3869" s="2" t="n">
        <v>58</v>
      </c>
      <c r="B3869" s="2" t="s">
        <v>29</v>
      </c>
      <c r="C3869" s="2" t="s">
        <v>18</v>
      </c>
      <c r="D3869" s="2" t="s">
        <v>31</v>
      </c>
      <c r="E3869" s="2" t="s">
        <v>20</v>
      </c>
      <c r="F3869" s="2" t="n">
        <v>172</v>
      </c>
      <c r="G3869" s="2" t="s">
        <v>20</v>
      </c>
      <c r="H3869" s="2" t="s">
        <v>20</v>
      </c>
      <c r="I3869" s="2" t="s">
        <v>21</v>
      </c>
      <c r="J3869" s="2" t="n">
        <v>19</v>
      </c>
      <c r="K3869" s="2" t="s">
        <v>41</v>
      </c>
      <c r="L3869" s="2" t="n">
        <v>145</v>
      </c>
      <c r="M3869" s="2" t="n">
        <v>7</v>
      </c>
      <c r="N3869" s="2" t="n">
        <v>-1</v>
      </c>
      <c r="O3869" s="2" t="n">
        <v>0</v>
      </c>
      <c r="P3869" s="2" t="s">
        <v>23</v>
      </c>
      <c r="Q3869" s="2" t="s">
        <v>20</v>
      </c>
    </row>
    <row r="3870" customFormat="false" ht="15" hidden="false" customHeight="false" outlineLevel="0" collapsed="false">
      <c r="A3870" s="2" t="n">
        <v>31</v>
      </c>
      <c r="B3870" s="2" t="s">
        <v>40</v>
      </c>
      <c r="C3870" s="2" t="s">
        <v>30</v>
      </c>
      <c r="D3870" s="2" t="s">
        <v>25</v>
      </c>
      <c r="E3870" s="2" t="s">
        <v>20</v>
      </c>
      <c r="F3870" s="2" t="n">
        <v>-407</v>
      </c>
      <c r="G3870" s="2" t="s">
        <v>20</v>
      </c>
      <c r="H3870" s="2" t="s">
        <v>26</v>
      </c>
      <c r="I3870" s="2" t="s">
        <v>21</v>
      </c>
      <c r="J3870" s="2" t="n">
        <v>7</v>
      </c>
      <c r="K3870" s="2" t="s">
        <v>44</v>
      </c>
      <c r="L3870" s="2" t="n">
        <v>230</v>
      </c>
      <c r="M3870" s="2" t="n">
        <v>1</v>
      </c>
      <c r="N3870" s="2" t="n">
        <v>-1</v>
      </c>
      <c r="O3870" s="2" t="n">
        <v>0</v>
      </c>
      <c r="P3870" s="2" t="s">
        <v>23</v>
      </c>
      <c r="Q3870" s="2" t="s">
        <v>20</v>
      </c>
    </row>
    <row r="3871" customFormat="false" ht="15" hidden="false" customHeight="false" outlineLevel="0" collapsed="false">
      <c r="A3871" s="2" t="n">
        <v>36</v>
      </c>
      <c r="B3871" s="2" t="s">
        <v>29</v>
      </c>
      <c r="C3871" s="2" t="s">
        <v>45</v>
      </c>
      <c r="D3871" s="2" t="s">
        <v>31</v>
      </c>
      <c r="E3871" s="2" t="s">
        <v>20</v>
      </c>
      <c r="F3871" s="2" t="n">
        <v>649</v>
      </c>
      <c r="G3871" s="2" t="s">
        <v>20</v>
      </c>
      <c r="H3871" s="2" t="s">
        <v>20</v>
      </c>
      <c r="I3871" s="2" t="s">
        <v>21</v>
      </c>
      <c r="J3871" s="2" t="n">
        <v>16</v>
      </c>
      <c r="K3871" s="2" t="s">
        <v>44</v>
      </c>
      <c r="L3871" s="2" t="n">
        <v>237</v>
      </c>
      <c r="M3871" s="2" t="n">
        <v>2</v>
      </c>
      <c r="N3871" s="2" t="n">
        <v>91</v>
      </c>
      <c r="O3871" s="2" t="n">
        <v>1</v>
      </c>
      <c r="P3871" s="2" t="s">
        <v>28</v>
      </c>
      <c r="Q3871" s="2" t="s">
        <v>20</v>
      </c>
    </row>
    <row r="3872" customFormat="false" ht="15" hidden="false" customHeight="false" outlineLevel="0" collapsed="false">
      <c r="A3872" s="2" t="n">
        <v>49</v>
      </c>
      <c r="B3872" s="2" t="s">
        <v>34</v>
      </c>
      <c r="C3872" s="2" t="s">
        <v>30</v>
      </c>
      <c r="D3872" s="2" t="s">
        <v>19</v>
      </c>
      <c r="E3872" s="2" t="s">
        <v>20</v>
      </c>
      <c r="F3872" s="2" t="n">
        <v>1040</v>
      </c>
      <c r="G3872" s="2" t="s">
        <v>20</v>
      </c>
      <c r="H3872" s="2" t="s">
        <v>20</v>
      </c>
      <c r="I3872" s="2" t="s">
        <v>21</v>
      </c>
      <c r="J3872" s="2" t="n">
        <v>8</v>
      </c>
      <c r="K3872" s="2" t="s">
        <v>44</v>
      </c>
      <c r="L3872" s="2" t="n">
        <v>474</v>
      </c>
      <c r="M3872" s="2" t="n">
        <v>2</v>
      </c>
      <c r="N3872" s="2" t="n">
        <v>-1</v>
      </c>
      <c r="O3872" s="2" t="n">
        <v>0</v>
      </c>
      <c r="P3872" s="2" t="s">
        <v>23</v>
      </c>
      <c r="Q3872" s="2" t="s">
        <v>20</v>
      </c>
    </row>
    <row r="3873" customFormat="false" ht="15" hidden="false" customHeight="false" outlineLevel="0" collapsed="false">
      <c r="A3873" s="2" t="n">
        <v>30</v>
      </c>
      <c r="B3873" s="2" t="s">
        <v>17</v>
      </c>
      <c r="C3873" s="2" t="s">
        <v>18</v>
      </c>
      <c r="D3873" s="2" t="s">
        <v>25</v>
      </c>
      <c r="E3873" s="2" t="s">
        <v>20</v>
      </c>
      <c r="F3873" s="2" t="n">
        <v>142</v>
      </c>
      <c r="G3873" s="2" t="s">
        <v>26</v>
      </c>
      <c r="H3873" s="2" t="s">
        <v>20</v>
      </c>
      <c r="I3873" s="2" t="s">
        <v>23</v>
      </c>
      <c r="J3873" s="2" t="n">
        <v>20</v>
      </c>
      <c r="K3873" s="2" t="s">
        <v>27</v>
      </c>
      <c r="L3873" s="2" t="n">
        <v>350</v>
      </c>
      <c r="M3873" s="2" t="n">
        <v>4</v>
      </c>
      <c r="N3873" s="2" t="n">
        <v>-1</v>
      </c>
      <c r="O3873" s="2" t="n">
        <v>0</v>
      </c>
      <c r="P3873" s="2" t="s">
        <v>23</v>
      </c>
      <c r="Q3873" s="2" t="s">
        <v>20</v>
      </c>
    </row>
    <row r="3874" customFormat="false" ht="15" hidden="false" customHeight="false" outlineLevel="0" collapsed="false">
      <c r="A3874" s="2" t="n">
        <v>29</v>
      </c>
      <c r="B3874" s="2" t="s">
        <v>24</v>
      </c>
      <c r="C3874" s="2" t="s">
        <v>30</v>
      </c>
      <c r="D3874" s="2" t="s">
        <v>25</v>
      </c>
      <c r="E3874" s="2" t="s">
        <v>20</v>
      </c>
      <c r="F3874" s="2" t="n">
        <v>209</v>
      </c>
      <c r="G3874" s="2" t="s">
        <v>26</v>
      </c>
      <c r="H3874" s="2" t="s">
        <v>20</v>
      </c>
      <c r="I3874" s="2" t="s">
        <v>21</v>
      </c>
      <c r="J3874" s="2" t="n">
        <v>28</v>
      </c>
      <c r="K3874" s="2" t="s">
        <v>44</v>
      </c>
      <c r="L3874" s="2" t="n">
        <v>487</v>
      </c>
      <c r="M3874" s="2" t="n">
        <v>7</v>
      </c>
      <c r="N3874" s="2" t="n">
        <v>-1</v>
      </c>
      <c r="O3874" s="2" t="n">
        <v>0</v>
      </c>
      <c r="P3874" s="2" t="s">
        <v>23</v>
      </c>
      <c r="Q3874" s="2" t="s">
        <v>20</v>
      </c>
    </row>
    <row r="3875" customFormat="false" ht="15" hidden="false" customHeight="false" outlineLevel="0" collapsed="false">
      <c r="A3875" s="2" t="n">
        <v>50</v>
      </c>
      <c r="B3875" s="2" t="s">
        <v>29</v>
      </c>
      <c r="C3875" s="2" t="s">
        <v>18</v>
      </c>
      <c r="D3875" s="2" t="s">
        <v>23</v>
      </c>
      <c r="E3875" s="2" t="s">
        <v>20</v>
      </c>
      <c r="F3875" s="2" t="n">
        <v>3304</v>
      </c>
      <c r="G3875" s="2" t="s">
        <v>20</v>
      </c>
      <c r="H3875" s="2" t="s">
        <v>20</v>
      </c>
      <c r="I3875" s="2" t="s">
        <v>23</v>
      </c>
      <c r="J3875" s="2" t="n">
        <v>5</v>
      </c>
      <c r="K3875" s="2" t="s">
        <v>33</v>
      </c>
      <c r="L3875" s="2" t="n">
        <v>1009</v>
      </c>
      <c r="M3875" s="2" t="n">
        <v>2</v>
      </c>
      <c r="N3875" s="2" t="n">
        <v>-1</v>
      </c>
      <c r="O3875" s="2" t="n">
        <v>0</v>
      </c>
      <c r="P3875" s="2" t="s">
        <v>23</v>
      </c>
      <c r="Q3875" s="2" t="s">
        <v>20</v>
      </c>
    </row>
    <row r="3876" customFormat="false" ht="15" hidden="false" customHeight="false" outlineLevel="0" collapsed="false">
      <c r="A3876" s="2" t="n">
        <v>26</v>
      </c>
      <c r="B3876" s="2" t="s">
        <v>42</v>
      </c>
      <c r="C3876" s="2" t="s">
        <v>30</v>
      </c>
      <c r="D3876" s="2" t="s">
        <v>31</v>
      </c>
      <c r="E3876" s="2" t="s">
        <v>20</v>
      </c>
      <c r="F3876" s="2" t="n">
        <v>294</v>
      </c>
      <c r="G3876" s="2" t="s">
        <v>20</v>
      </c>
      <c r="H3876" s="2" t="s">
        <v>20</v>
      </c>
      <c r="I3876" s="2" t="s">
        <v>21</v>
      </c>
      <c r="J3876" s="2" t="n">
        <v>5</v>
      </c>
      <c r="K3876" s="2" t="s">
        <v>52</v>
      </c>
      <c r="L3876" s="2" t="n">
        <v>87</v>
      </c>
      <c r="M3876" s="2" t="n">
        <v>1</v>
      </c>
      <c r="N3876" s="2" t="n">
        <v>91</v>
      </c>
      <c r="O3876" s="2" t="n">
        <v>2</v>
      </c>
      <c r="P3876" s="2" t="s">
        <v>50</v>
      </c>
      <c r="Q3876" s="2" t="s">
        <v>26</v>
      </c>
    </row>
    <row r="3877" customFormat="false" ht="15" hidden="false" customHeight="false" outlineLevel="0" collapsed="false">
      <c r="A3877" s="2" t="n">
        <v>27</v>
      </c>
      <c r="B3877" s="2" t="s">
        <v>47</v>
      </c>
      <c r="C3877" s="2" t="s">
        <v>18</v>
      </c>
      <c r="D3877" s="2" t="s">
        <v>25</v>
      </c>
      <c r="E3877" s="2" t="s">
        <v>20</v>
      </c>
      <c r="F3877" s="2" t="n">
        <v>4848</v>
      </c>
      <c r="G3877" s="2" t="s">
        <v>26</v>
      </c>
      <c r="H3877" s="2" t="s">
        <v>26</v>
      </c>
      <c r="I3877" s="2" t="s">
        <v>49</v>
      </c>
      <c r="J3877" s="2" t="n">
        <v>23</v>
      </c>
      <c r="K3877" s="2" t="s">
        <v>44</v>
      </c>
      <c r="L3877" s="2" t="n">
        <v>82</v>
      </c>
      <c r="M3877" s="2" t="n">
        <v>3</v>
      </c>
      <c r="N3877" s="2" t="n">
        <v>-1</v>
      </c>
      <c r="O3877" s="2" t="n">
        <v>0</v>
      </c>
      <c r="P3877" s="2" t="s">
        <v>23</v>
      </c>
      <c r="Q3877" s="2" t="s">
        <v>20</v>
      </c>
    </row>
    <row r="3878" customFormat="false" ht="15" hidden="false" customHeight="false" outlineLevel="0" collapsed="false">
      <c r="A3878" s="2" t="n">
        <v>32</v>
      </c>
      <c r="B3878" s="2" t="s">
        <v>34</v>
      </c>
      <c r="C3878" s="2" t="s">
        <v>30</v>
      </c>
      <c r="D3878" s="2" t="s">
        <v>25</v>
      </c>
      <c r="E3878" s="2" t="s">
        <v>20</v>
      </c>
      <c r="F3878" s="2" t="n">
        <v>1670</v>
      </c>
      <c r="G3878" s="2" t="s">
        <v>26</v>
      </c>
      <c r="H3878" s="2" t="s">
        <v>20</v>
      </c>
      <c r="I3878" s="2" t="s">
        <v>21</v>
      </c>
      <c r="J3878" s="2" t="n">
        <v>18</v>
      </c>
      <c r="K3878" s="2" t="s">
        <v>27</v>
      </c>
      <c r="L3878" s="2" t="n">
        <v>183</v>
      </c>
      <c r="M3878" s="2" t="n">
        <v>1</v>
      </c>
      <c r="N3878" s="2" t="n">
        <v>-1</v>
      </c>
      <c r="O3878" s="2" t="n">
        <v>0</v>
      </c>
      <c r="P3878" s="2" t="s">
        <v>23</v>
      </c>
      <c r="Q3878" s="2" t="s">
        <v>20</v>
      </c>
    </row>
    <row r="3879" customFormat="false" ht="15" hidden="false" customHeight="false" outlineLevel="0" collapsed="false">
      <c r="A3879" s="2" t="n">
        <v>62</v>
      </c>
      <c r="B3879" s="2" t="s">
        <v>23</v>
      </c>
      <c r="C3879" s="2" t="s">
        <v>18</v>
      </c>
      <c r="D3879" s="2" t="s">
        <v>25</v>
      </c>
      <c r="E3879" s="2" t="s">
        <v>20</v>
      </c>
      <c r="F3879" s="2" t="n">
        <v>367</v>
      </c>
      <c r="G3879" s="2" t="s">
        <v>20</v>
      </c>
      <c r="H3879" s="2" t="s">
        <v>20</v>
      </c>
      <c r="I3879" s="2" t="s">
        <v>49</v>
      </c>
      <c r="J3879" s="2" t="n">
        <v>2</v>
      </c>
      <c r="K3879" s="2" t="s">
        <v>52</v>
      </c>
      <c r="L3879" s="2" t="n">
        <v>139</v>
      </c>
      <c r="M3879" s="2" t="n">
        <v>5</v>
      </c>
      <c r="N3879" s="2" t="n">
        <v>-1</v>
      </c>
      <c r="O3879" s="2" t="n">
        <v>0</v>
      </c>
      <c r="P3879" s="2" t="s">
        <v>23</v>
      </c>
      <c r="Q3879" s="2" t="s">
        <v>20</v>
      </c>
    </row>
    <row r="3880" customFormat="false" ht="15" hidden="false" customHeight="false" outlineLevel="0" collapsed="false">
      <c r="A3880" s="2" t="n">
        <v>34</v>
      </c>
      <c r="B3880" s="2" t="s">
        <v>34</v>
      </c>
      <c r="C3880" s="2" t="s">
        <v>30</v>
      </c>
      <c r="D3880" s="2" t="s">
        <v>25</v>
      </c>
      <c r="E3880" s="2" t="s">
        <v>20</v>
      </c>
      <c r="F3880" s="2" t="n">
        <v>13683</v>
      </c>
      <c r="G3880" s="2" t="s">
        <v>26</v>
      </c>
      <c r="H3880" s="2" t="s">
        <v>20</v>
      </c>
      <c r="I3880" s="2" t="s">
        <v>23</v>
      </c>
      <c r="J3880" s="2" t="n">
        <v>3</v>
      </c>
      <c r="K3880" s="2" t="s">
        <v>33</v>
      </c>
      <c r="L3880" s="2" t="n">
        <v>115</v>
      </c>
      <c r="M3880" s="2" t="n">
        <v>3</v>
      </c>
      <c r="N3880" s="2" t="n">
        <v>-1</v>
      </c>
      <c r="O3880" s="2" t="n">
        <v>0</v>
      </c>
      <c r="P3880" s="2" t="s">
        <v>23</v>
      </c>
      <c r="Q3880" s="2" t="s">
        <v>20</v>
      </c>
    </row>
    <row r="3881" customFormat="false" ht="15" hidden="false" customHeight="false" outlineLevel="0" collapsed="false">
      <c r="A3881" s="2" t="n">
        <v>25</v>
      </c>
      <c r="B3881" s="2" t="s">
        <v>40</v>
      </c>
      <c r="C3881" s="2" t="s">
        <v>30</v>
      </c>
      <c r="D3881" s="2" t="s">
        <v>31</v>
      </c>
      <c r="E3881" s="2" t="s">
        <v>20</v>
      </c>
      <c r="F3881" s="2" t="n">
        <v>1420</v>
      </c>
      <c r="G3881" s="2" t="s">
        <v>20</v>
      </c>
      <c r="H3881" s="2" t="s">
        <v>20</v>
      </c>
      <c r="I3881" s="2" t="s">
        <v>21</v>
      </c>
      <c r="J3881" s="2" t="n">
        <v>8</v>
      </c>
      <c r="K3881" s="2" t="s">
        <v>32</v>
      </c>
      <c r="L3881" s="2" t="n">
        <v>124</v>
      </c>
      <c r="M3881" s="2" t="n">
        <v>2</v>
      </c>
      <c r="N3881" s="2" t="n">
        <v>-1</v>
      </c>
      <c r="O3881" s="2" t="n">
        <v>0</v>
      </c>
      <c r="P3881" s="2" t="s">
        <v>23</v>
      </c>
      <c r="Q3881" s="2" t="s">
        <v>20</v>
      </c>
    </row>
    <row r="3882" customFormat="false" ht="15" hidden="false" customHeight="false" outlineLevel="0" collapsed="false">
      <c r="A3882" s="2" t="n">
        <v>34</v>
      </c>
      <c r="B3882" s="2" t="s">
        <v>29</v>
      </c>
      <c r="C3882" s="2" t="s">
        <v>30</v>
      </c>
      <c r="D3882" s="2" t="s">
        <v>31</v>
      </c>
      <c r="E3882" s="2" t="s">
        <v>20</v>
      </c>
      <c r="F3882" s="2" t="n">
        <v>340</v>
      </c>
      <c r="G3882" s="2" t="s">
        <v>26</v>
      </c>
      <c r="H3882" s="2" t="s">
        <v>20</v>
      </c>
      <c r="I3882" s="2" t="s">
        <v>23</v>
      </c>
      <c r="J3882" s="2" t="n">
        <v>3</v>
      </c>
      <c r="K3882" s="2" t="s">
        <v>33</v>
      </c>
      <c r="L3882" s="2" t="n">
        <v>633</v>
      </c>
      <c r="M3882" s="2" t="n">
        <v>28</v>
      </c>
      <c r="N3882" s="2" t="n">
        <v>-1</v>
      </c>
      <c r="O3882" s="2" t="n">
        <v>0</v>
      </c>
      <c r="P3882" s="2" t="s">
        <v>23</v>
      </c>
      <c r="Q3882" s="2" t="s">
        <v>20</v>
      </c>
    </row>
    <row r="3883" customFormat="false" ht="15" hidden="false" customHeight="false" outlineLevel="0" collapsed="false">
      <c r="A3883" s="2" t="n">
        <v>44</v>
      </c>
      <c r="B3883" s="2" t="s">
        <v>38</v>
      </c>
      <c r="C3883" s="2" t="s">
        <v>30</v>
      </c>
      <c r="D3883" s="2" t="s">
        <v>25</v>
      </c>
      <c r="E3883" s="2" t="s">
        <v>20</v>
      </c>
      <c r="F3883" s="2" t="n">
        <v>1679</v>
      </c>
      <c r="G3883" s="2" t="s">
        <v>20</v>
      </c>
      <c r="H3883" s="2" t="s">
        <v>20</v>
      </c>
      <c r="I3883" s="2" t="s">
        <v>49</v>
      </c>
      <c r="J3883" s="2" t="n">
        <v>20</v>
      </c>
      <c r="K3883" s="2" t="s">
        <v>22</v>
      </c>
      <c r="L3883" s="2" t="n">
        <v>718</v>
      </c>
      <c r="M3883" s="2" t="n">
        <v>1</v>
      </c>
      <c r="N3883" s="2" t="n">
        <v>-1</v>
      </c>
      <c r="O3883" s="2" t="n">
        <v>0</v>
      </c>
      <c r="P3883" s="2" t="s">
        <v>23</v>
      </c>
      <c r="Q3883" s="2" t="s">
        <v>26</v>
      </c>
    </row>
    <row r="3884" customFormat="false" ht="15" hidden="false" customHeight="false" outlineLevel="0" collapsed="false">
      <c r="A3884" s="2" t="n">
        <v>38</v>
      </c>
      <c r="B3884" s="2" t="s">
        <v>29</v>
      </c>
      <c r="C3884" s="2" t="s">
        <v>18</v>
      </c>
      <c r="D3884" s="2" t="s">
        <v>31</v>
      </c>
      <c r="E3884" s="2" t="s">
        <v>20</v>
      </c>
      <c r="F3884" s="2" t="n">
        <v>1198</v>
      </c>
      <c r="G3884" s="2" t="s">
        <v>26</v>
      </c>
      <c r="H3884" s="2" t="s">
        <v>20</v>
      </c>
      <c r="I3884" s="2" t="s">
        <v>21</v>
      </c>
      <c r="J3884" s="2" t="n">
        <v>2</v>
      </c>
      <c r="K3884" s="2" t="s">
        <v>35</v>
      </c>
      <c r="L3884" s="2" t="n">
        <v>63</v>
      </c>
      <c r="M3884" s="2" t="n">
        <v>1</v>
      </c>
      <c r="N3884" s="2" t="n">
        <v>-1</v>
      </c>
      <c r="O3884" s="2" t="n">
        <v>0</v>
      </c>
      <c r="P3884" s="2" t="s">
        <v>23</v>
      </c>
      <c r="Q3884" s="2" t="s">
        <v>20</v>
      </c>
    </row>
    <row r="3885" customFormat="false" ht="15" hidden="false" customHeight="false" outlineLevel="0" collapsed="false">
      <c r="A3885" s="2" t="n">
        <v>57</v>
      </c>
      <c r="B3885" s="2" t="s">
        <v>40</v>
      </c>
      <c r="C3885" s="2" t="s">
        <v>18</v>
      </c>
      <c r="D3885" s="2" t="s">
        <v>25</v>
      </c>
      <c r="E3885" s="2" t="s">
        <v>20</v>
      </c>
      <c r="F3885" s="2" t="n">
        <v>169</v>
      </c>
      <c r="G3885" s="2" t="s">
        <v>20</v>
      </c>
      <c r="H3885" s="2" t="s">
        <v>20</v>
      </c>
      <c r="I3885" s="2" t="s">
        <v>21</v>
      </c>
      <c r="J3885" s="2" t="n">
        <v>14</v>
      </c>
      <c r="K3885" s="2" t="s">
        <v>41</v>
      </c>
      <c r="L3885" s="2" t="n">
        <v>180</v>
      </c>
      <c r="M3885" s="2" t="n">
        <v>1</v>
      </c>
      <c r="N3885" s="2" t="n">
        <v>106</v>
      </c>
      <c r="O3885" s="2" t="n">
        <v>2</v>
      </c>
      <c r="P3885" s="2" t="s">
        <v>28</v>
      </c>
      <c r="Q3885" s="2" t="s">
        <v>20</v>
      </c>
    </row>
    <row r="3886" customFormat="false" ht="15" hidden="false" customHeight="false" outlineLevel="0" collapsed="false">
      <c r="A3886" s="2" t="n">
        <v>36</v>
      </c>
      <c r="B3886" s="2" t="s">
        <v>36</v>
      </c>
      <c r="C3886" s="2" t="s">
        <v>18</v>
      </c>
      <c r="D3886" s="2" t="s">
        <v>31</v>
      </c>
      <c r="E3886" s="2" t="s">
        <v>20</v>
      </c>
      <c r="F3886" s="2" t="n">
        <v>506</v>
      </c>
      <c r="G3886" s="2" t="s">
        <v>20</v>
      </c>
      <c r="H3886" s="2" t="s">
        <v>20</v>
      </c>
      <c r="I3886" s="2" t="s">
        <v>21</v>
      </c>
      <c r="J3886" s="2" t="n">
        <v>25</v>
      </c>
      <c r="K3886" s="2" t="s">
        <v>41</v>
      </c>
      <c r="L3886" s="2" t="n">
        <v>47</v>
      </c>
      <c r="M3886" s="2" t="n">
        <v>1</v>
      </c>
      <c r="N3886" s="2" t="n">
        <v>120</v>
      </c>
      <c r="O3886" s="2" t="n">
        <v>1</v>
      </c>
      <c r="P3886" s="2" t="s">
        <v>28</v>
      </c>
      <c r="Q3886" s="2" t="s">
        <v>20</v>
      </c>
    </row>
    <row r="3887" customFormat="false" ht="15" hidden="false" customHeight="false" outlineLevel="0" collapsed="false">
      <c r="A3887" s="2" t="n">
        <v>41</v>
      </c>
      <c r="B3887" s="2" t="s">
        <v>39</v>
      </c>
      <c r="C3887" s="2" t="s">
        <v>18</v>
      </c>
      <c r="D3887" s="2" t="s">
        <v>25</v>
      </c>
      <c r="E3887" s="2" t="s">
        <v>20</v>
      </c>
      <c r="F3887" s="2" t="n">
        <v>1249</v>
      </c>
      <c r="G3887" s="2" t="s">
        <v>26</v>
      </c>
      <c r="H3887" s="2" t="s">
        <v>20</v>
      </c>
      <c r="I3887" s="2" t="s">
        <v>21</v>
      </c>
      <c r="J3887" s="2" t="n">
        <v>9</v>
      </c>
      <c r="K3887" s="2" t="s">
        <v>44</v>
      </c>
      <c r="L3887" s="2" t="n">
        <v>391</v>
      </c>
      <c r="M3887" s="2" t="n">
        <v>1</v>
      </c>
      <c r="N3887" s="2" t="n">
        <v>-1</v>
      </c>
      <c r="O3887" s="2" t="n">
        <v>0</v>
      </c>
      <c r="P3887" s="2" t="s">
        <v>23</v>
      </c>
      <c r="Q3887" s="2" t="s">
        <v>20</v>
      </c>
    </row>
    <row r="3888" customFormat="false" ht="15" hidden="false" customHeight="false" outlineLevel="0" collapsed="false">
      <c r="A3888" s="2" t="n">
        <v>36</v>
      </c>
      <c r="B3888" s="2" t="s">
        <v>29</v>
      </c>
      <c r="C3888" s="2" t="s">
        <v>30</v>
      </c>
      <c r="D3888" s="2" t="s">
        <v>31</v>
      </c>
      <c r="E3888" s="2" t="s">
        <v>20</v>
      </c>
      <c r="F3888" s="2" t="n">
        <v>678</v>
      </c>
      <c r="G3888" s="2" t="s">
        <v>20</v>
      </c>
      <c r="H3888" s="2" t="s">
        <v>26</v>
      </c>
      <c r="I3888" s="2" t="s">
        <v>23</v>
      </c>
      <c r="J3888" s="2" t="n">
        <v>4</v>
      </c>
      <c r="K3888" s="2" t="s">
        <v>44</v>
      </c>
      <c r="L3888" s="2" t="n">
        <v>85</v>
      </c>
      <c r="M3888" s="2" t="n">
        <v>3</v>
      </c>
      <c r="N3888" s="2" t="n">
        <v>-1</v>
      </c>
      <c r="O3888" s="2" t="n">
        <v>0</v>
      </c>
      <c r="P3888" s="2" t="s">
        <v>23</v>
      </c>
      <c r="Q3888" s="2" t="s">
        <v>20</v>
      </c>
    </row>
    <row r="3889" customFormat="false" ht="15" hidden="false" customHeight="false" outlineLevel="0" collapsed="false">
      <c r="A3889" s="2" t="n">
        <v>27</v>
      </c>
      <c r="B3889" s="2" t="s">
        <v>29</v>
      </c>
      <c r="C3889" s="2" t="s">
        <v>30</v>
      </c>
      <c r="D3889" s="2" t="s">
        <v>31</v>
      </c>
      <c r="E3889" s="2" t="s">
        <v>20</v>
      </c>
      <c r="F3889" s="2" t="n">
        <v>212</v>
      </c>
      <c r="G3889" s="2" t="s">
        <v>26</v>
      </c>
      <c r="H3889" s="2" t="s">
        <v>20</v>
      </c>
      <c r="I3889" s="2" t="s">
        <v>21</v>
      </c>
      <c r="J3889" s="2" t="n">
        <v>15</v>
      </c>
      <c r="K3889" s="2" t="s">
        <v>27</v>
      </c>
      <c r="L3889" s="2" t="n">
        <v>373</v>
      </c>
      <c r="M3889" s="2" t="n">
        <v>1</v>
      </c>
      <c r="N3889" s="2" t="n">
        <v>-1</v>
      </c>
      <c r="O3889" s="2" t="n">
        <v>0</v>
      </c>
      <c r="P3889" s="2" t="s">
        <v>23</v>
      </c>
      <c r="Q3889" s="2" t="s">
        <v>20</v>
      </c>
    </row>
    <row r="3890" customFormat="false" ht="15" hidden="false" customHeight="false" outlineLevel="0" collapsed="false">
      <c r="A3890" s="2" t="n">
        <v>37</v>
      </c>
      <c r="B3890" s="2" t="s">
        <v>38</v>
      </c>
      <c r="C3890" s="2" t="s">
        <v>45</v>
      </c>
      <c r="D3890" s="2" t="s">
        <v>25</v>
      </c>
      <c r="E3890" s="2" t="s">
        <v>20</v>
      </c>
      <c r="F3890" s="2" t="n">
        <v>23</v>
      </c>
      <c r="G3890" s="2" t="s">
        <v>20</v>
      </c>
      <c r="H3890" s="2" t="s">
        <v>20</v>
      </c>
      <c r="I3890" s="2" t="s">
        <v>21</v>
      </c>
      <c r="J3890" s="2" t="n">
        <v>20</v>
      </c>
      <c r="K3890" s="2" t="s">
        <v>41</v>
      </c>
      <c r="L3890" s="2" t="n">
        <v>289</v>
      </c>
      <c r="M3890" s="2" t="n">
        <v>2</v>
      </c>
      <c r="N3890" s="2" t="n">
        <v>-1</v>
      </c>
      <c r="O3890" s="2" t="n">
        <v>0</v>
      </c>
      <c r="P3890" s="2" t="s">
        <v>23</v>
      </c>
      <c r="Q3890" s="2" t="s">
        <v>20</v>
      </c>
    </row>
    <row r="3891" customFormat="false" ht="15" hidden="false" customHeight="false" outlineLevel="0" collapsed="false">
      <c r="A3891" s="2" t="n">
        <v>47</v>
      </c>
      <c r="B3891" s="2" t="s">
        <v>29</v>
      </c>
      <c r="C3891" s="2" t="s">
        <v>30</v>
      </c>
      <c r="D3891" s="2" t="s">
        <v>31</v>
      </c>
      <c r="E3891" s="2" t="s">
        <v>20</v>
      </c>
      <c r="F3891" s="2" t="n">
        <v>4402</v>
      </c>
      <c r="G3891" s="2" t="s">
        <v>20</v>
      </c>
      <c r="H3891" s="2" t="s">
        <v>20</v>
      </c>
      <c r="I3891" s="2" t="s">
        <v>49</v>
      </c>
      <c r="J3891" s="2" t="n">
        <v>10</v>
      </c>
      <c r="K3891" s="2" t="s">
        <v>53</v>
      </c>
      <c r="L3891" s="2" t="n">
        <v>805</v>
      </c>
      <c r="M3891" s="2" t="n">
        <v>1</v>
      </c>
      <c r="N3891" s="2" t="n">
        <v>190</v>
      </c>
      <c r="O3891" s="2" t="n">
        <v>1</v>
      </c>
      <c r="P3891" s="2" t="s">
        <v>37</v>
      </c>
      <c r="Q3891" s="2" t="s">
        <v>26</v>
      </c>
    </row>
    <row r="3892" customFormat="false" ht="15" hidden="false" customHeight="false" outlineLevel="0" collapsed="false">
      <c r="A3892" s="2" t="n">
        <v>31</v>
      </c>
      <c r="B3892" s="2" t="s">
        <v>24</v>
      </c>
      <c r="C3892" s="2" t="s">
        <v>45</v>
      </c>
      <c r="D3892" s="2" t="s">
        <v>19</v>
      </c>
      <c r="E3892" s="2" t="s">
        <v>20</v>
      </c>
      <c r="F3892" s="2" t="n">
        <v>459</v>
      </c>
      <c r="G3892" s="2" t="s">
        <v>26</v>
      </c>
      <c r="H3892" s="2" t="s">
        <v>20</v>
      </c>
      <c r="I3892" s="2" t="s">
        <v>21</v>
      </c>
      <c r="J3892" s="2" t="n">
        <v>7</v>
      </c>
      <c r="K3892" s="2" t="s">
        <v>27</v>
      </c>
      <c r="L3892" s="2" t="n">
        <v>623</v>
      </c>
      <c r="M3892" s="2" t="n">
        <v>1</v>
      </c>
      <c r="N3892" s="2" t="n">
        <v>293</v>
      </c>
      <c r="O3892" s="2" t="n">
        <v>1</v>
      </c>
      <c r="P3892" s="2" t="s">
        <v>50</v>
      </c>
      <c r="Q3892" s="2" t="s">
        <v>26</v>
      </c>
    </row>
    <row r="3893" customFormat="false" ht="15" hidden="false" customHeight="false" outlineLevel="0" collapsed="false">
      <c r="A3893" s="2" t="n">
        <v>39</v>
      </c>
      <c r="B3893" s="2" t="s">
        <v>36</v>
      </c>
      <c r="C3893" s="2" t="s">
        <v>18</v>
      </c>
      <c r="D3893" s="2" t="s">
        <v>25</v>
      </c>
      <c r="E3893" s="2" t="s">
        <v>20</v>
      </c>
      <c r="F3893" s="2" t="n">
        <v>4722</v>
      </c>
      <c r="G3893" s="2" t="s">
        <v>26</v>
      </c>
      <c r="H3893" s="2" t="s">
        <v>20</v>
      </c>
      <c r="I3893" s="2" t="s">
        <v>23</v>
      </c>
      <c r="J3893" s="2" t="n">
        <v>17</v>
      </c>
      <c r="K3893" s="2" t="s">
        <v>33</v>
      </c>
      <c r="L3893" s="2" t="n">
        <v>483</v>
      </c>
      <c r="M3893" s="2" t="n">
        <v>1</v>
      </c>
      <c r="N3893" s="2" t="n">
        <v>-1</v>
      </c>
      <c r="O3893" s="2" t="n">
        <v>0</v>
      </c>
      <c r="P3893" s="2" t="s">
        <v>23</v>
      </c>
      <c r="Q3893" s="2" t="s">
        <v>20</v>
      </c>
    </row>
    <row r="3894" customFormat="false" ht="15" hidden="false" customHeight="false" outlineLevel="0" collapsed="false">
      <c r="A3894" s="2" t="n">
        <v>35</v>
      </c>
      <c r="B3894" s="2" t="s">
        <v>40</v>
      </c>
      <c r="C3894" s="2" t="s">
        <v>45</v>
      </c>
      <c r="D3894" s="2" t="s">
        <v>31</v>
      </c>
      <c r="E3894" s="2" t="s">
        <v>20</v>
      </c>
      <c r="F3894" s="2" t="n">
        <v>1555</v>
      </c>
      <c r="G3894" s="2" t="s">
        <v>26</v>
      </c>
      <c r="H3894" s="2" t="s">
        <v>20</v>
      </c>
      <c r="I3894" s="2" t="s">
        <v>23</v>
      </c>
      <c r="J3894" s="2" t="n">
        <v>9</v>
      </c>
      <c r="K3894" s="2" t="s">
        <v>27</v>
      </c>
      <c r="L3894" s="2" t="n">
        <v>26</v>
      </c>
      <c r="M3894" s="2" t="n">
        <v>2</v>
      </c>
      <c r="N3894" s="2" t="n">
        <v>-1</v>
      </c>
      <c r="O3894" s="2" t="n">
        <v>0</v>
      </c>
      <c r="P3894" s="2" t="s">
        <v>23</v>
      </c>
      <c r="Q3894" s="2" t="s">
        <v>20</v>
      </c>
    </row>
    <row r="3895" customFormat="false" ht="15" hidden="false" customHeight="false" outlineLevel="0" collapsed="false">
      <c r="A3895" s="2" t="n">
        <v>40</v>
      </c>
      <c r="B3895" s="2" t="s">
        <v>34</v>
      </c>
      <c r="C3895" s="2" t="s">
        <v>18</v>
      </c>
      <c r="D3895" s="2" t="s">
        <v>25</v>
      </c>
      <c r="E3895" s="2" t="s">
        <v>20</v>
      </c>
      <c r="F3895" s="2" t="n">
        <v>61</v>
      </c>
      <c r="G3895" s="2" t="s">
        <v>26</v>
      </c>
      <c r="H3895" s="2" t="s">
        <v>20</v>
      </c>
      <c r="I3895" s="2" t="s">
        <v>23</v>
      </c>
      <c r="J3895" s="2" t="n">
        <v>7</v>
      </c>
      <c r="K3895" s="2" t="s">
        <v>27</v>
      </c>
      <c r="L3895" s="2" t="n">
        <v>112</v>
      </c>
      <c r="M3895" s="2" t="n">
        <v>3</v>
      </c>
      <c r="N3895" s="2" t="n">
        <v>-1</v>
      </c>
      <c r="O3895" s="2" t="n">
        <v>0</v>
      </c>
      <c r="P3895" s="2" t="s">
        <v>23</v>
      </c>
      <c r="Q3895" s="2" t="s">
        <v>20</v>
      </c>
    </row>
    <row r="3896" customFormat="false" ht="15" hidden="false" customHeight="false" outlineLevel="0" collapsed="false">
      <c r="A3896" s="2" t="n">
        <v>38</v>
      </c>
      <c r="B3896" s="2" t="s">
        <v>29</v>
      </c>
      <c r="C3896" s="2" t="s">
        <v>30</v>
      </c>
      <c r="D3896" s="2" t="s">
        <v>31</v>
      </c>
      <c r="E3896" s="2" t="s">
        <v>20</v>
      </c>
      <c r="F3896" s="2" t="n">
        <v>0</v>
      </c>
      <c r="G3896" s="2" t="s">
        <v>26</v>
      </c>
      <c r="H3896" s="2" t="s">
        <v>20</v>
      </c>
      <c r="I3896" s="2" t="s">
        <v>21</v>
      </c>
      <c r="J3896" s="2" t="n">
        <v>17</v>
      </c>
      <c r="K3896" s="2" t="s">
        <v>46</v>
      </c>
      <c r="L3896" s="2" t="n">
        <v>213</v>
      </c>
      <c r="M3896" s="2" t="n">
        <v>2</v>
      </c>
      <c r="N3896" s="2" t="n">
        <v>-1</v>
      </c>
      <c r="O3896" s="2" t="n">
        <v>0</v>
      </c>
      <c r="P3896" s="2" t="s">
        <v>23</v>
      </c>
      <c r="Q3896" s="2" t="s">
        <v>20</v>
      </c>
    </row>
    <row r="3897" customFormat="false" ht="15" hidden="false" customHeight="false" outlineLevel="0" collapsed="false">
      <c r="A3897" s="2" t="n">
        <v>31</v>
      </c>
      <c r="B3897" s="2" t="s">
        <v>38</v>
      </c>
      <c r="C3897" s="2" t="s">
        <v>18</v>
      </c>
      <c r="D3897" s="2" t="s">
        <v>25</v>
      </c>
      <c r="E3897" s="2" t="s">
        <v>20</v>
      </c>
      <c r="F3897" s="2" t="n">
        <v>3706</v>
      </c>
      <c r="G3897" s="2" t="s">
        <v>26</v>
      </c>
      <c r="H3897" s="2" t="s">
        <v>20</v>
      </c>
      <c r="I3897" s="2" t="s">
        <v>21</v>
      </c>
      <c r="J3897" s="2" t="n">
        <v>20</v>
      </c>
      <c r="K3897" s="2" t="s">
        <v>46</v>
      </c>
      <c r="L3897" s="2" t="n">
        <v>129</v>
      </c>
      <c r="M3897" s="2" t="n">
        <v>1</v>
      </c>
      <c r="N3897" s="2" t="n">
        <v>-1</v>
      </c>
      <c r="O3897" s="2" t="n">
        <v>0</v>
      </c>
      <c r="P3897" s="2" t="s">
        <v>23</v>
      </c>
      <c r="Q3897" s="2" t="s">
        <v>20</v>
      </c>
    </row>
    <row r="3898" customFormat="false" ht="15" hidden="false" customHeight="false" outlineLevel="0" collapsed="false">
      <c r="A3898" s="2" t="n">
        <v>36</v>
      </c>
      <c r="B3898" s="2" t="s">
        <v>34</v>
      </c>
      <c r="C3898" s="2" t="s">
        <v>18</v>
      </c>
      <c r="D3898" s="2" t="s">
        <v>19</v>
      </c>
      <c r="E3898" s="2" t="s">
        <v>20</v>
      </c>
      <c r="F3898" s="2" t="n">
        <v>1177</v>
      </c>
      <c r="G3898" s="2" t="s">
        <v>20</v>
      </c>
      <c r="H3898" s="2" t="s">
        <v>20</v>
      </c>
      <c r="I3898" s="2" t="s">
        <v>21</v>
      </c>
      <c r="J3898" s="2" t="n">
        <v>15</v>
      </c>
      <c r="K3898" s="2" t="s">
        <v>32</v>
      </c>
      <c r="L3898" s="2" t="n">
        <v>330</v>
      </c>
      <c r="M3898" s="2" t="n">
        <v>1</v>
      </c>
      <c r="N3898" s="2" t="n">
        <v>311</v>
      </c>
      <c r="O3898" s="2" t="n">
        <v>4</v>
      </c>
      <c r="P3898" s="2" t="s">
        <v>50</v>
      </c>
      <c r="Q3898" s="2" t="s">
        <v>26</v>
      </c>
    </row>
    <row r="3899" customFormat="false" ht="15" hidden="false" customHeight="false" outlineLevel="0" collapsed="false">
      <c r="A3899" s="2" t="n">
        <v>53</v>
      </c>
      <c r="B3899" s="2" t="s">
        <v>29</v>
      </c>
      <c r="C3899" s="2" t="s">
        <v>18</v>
      </c>
      <c r="D3899" s="2" t="s">
        <v>19</v>
      </c>
      <c r="E3899" s="2" t="s">
        <v>20</v>
      </c>
      <c r="F3899" s="2" t="n">
        <v>2096</v>
      </c>
      <c r="G3899" s="2" t="s">
        <v>20</v>
      </c>
      <c r="H3899" s="2" t="s">
        <v>20</v>
      </c>
      <c r="I3899" s="2" t="s">
        <v>23</v>
      </c>
      <c r="J3899" s="2" t="n">
        <v>9</v>
      </c>
      <c r="K3899" s="2" t="s">
        <v>33</v>
      </c>
      <c r="L3899" s="2" t="n">
        <v>104</v>
      </c>
      <c r="M3899" s="2" t="n">
        <v>1</v>
      </c>
      <c r="N3899" s="2" t="n">
        <v>-1</v>
      </c>
      <c r="O3899" s="2" t="n">
        <v>0</v>
      </c>
      <c r="P3899" s="2" t="s">
        <v>23</v>
      </c>
      <c r="Q3899" s="2" t="s">
        <v>20</v>
      </c>
    </row>
    <row r="3900" customFormat="false" ht="15" hidden="false" customHeight="false" outlineLevel="0" collapsed="false">
      <c r="A3900" s="2" t="n">
        <v>59</v>
      </c>
      <c r="B3900" s="2" t="s">
        <v>34</v>
      </c>
      <c r="C3900" s="2" t="s">
        <v>18</v>
      </c>
      <c r="D3900" s="2" t="s">
        <v>19</v>
      </c>
      <c r="E3900" s="2" t="s">
        <v>20</v>
      </c>
      <c r="F3900" s="2" t="n">
        <v>748</v>
      </c>
      <c r="G3900" s="2" t="s">
        <v>20</v>
      </c>
      <c r="H3900" s="2" t="s">
        <v>20</v>
      </c>
      <c r="I3900" s="2" t="s">
        <v>23</v>
      </c>
      <c r="J3900" s="2" t="n">
        <v>29</v>
      </c>
      <c r="K3900" s="2" t="s">
        <v>27</v>
      </c>
      <c r="L3900" s="2" t="n">
        <v>184</v>
      </c>
      <c r="M3900" s="2" t="n">
        <v>1</v>
      </c>
      <c r="N3900" s="2" t="n">
        <v>-1</v>
      </c>
      <c r="O3900" s="2" t="n">
        <v>0</v>
      </c>
      <c r="P3900" s="2" t="s">
        <v>23</v>
      </c>
      <c r="Q3900" s="2" t="s">
        <v>20</v>
      </c>
    </row>
    <row r="3901" customFormat="false" ht="15" hidden="false" customHeight="false" outlineLevel="0" collapsed="false">
      <c r="A3901" s="2" t="n">
        <v>29</v>
      </c>
      <c r="B3901" s="2" t="s">
        <v>29</v>
      </c>
      <c r="C3901" s="2" t="s">
        <v>30</v>
      </c>
      <c r="D3901" s="2" t="s">
        <v>31</v>
      </c>
      <c r="E3901" s="2" t="s">
        <v>20</v>
      </c>
      <c r="F3901" s="2" t="n">
        <v>3357</v>
      </c>
      <c r="G3901" s="2" t="s">
        <v>20</v>
      </c>
      <c r="H3901" s="2" t="s">
        <v>20</v>
      </c>
      <c r="I3901" s="2" t="s">
        <v>21</v>
      </c>
      <c r="J3901" s="2" t="n">
        <v>21</v>
      </c>
      <c r="K3901" s="2" t="s">
        <v>44</v>
      </c>
      <c r="L3901" s="2" t="n">
        <v>120</v>
      </c>
      <c r="M3901" s="2" t="n">
        <v>3</v>
      </c>
      <c r="N3901" s="2" t="n">
        <v>-1</v>
      </c>
      <c r="O3901" s="2" t="n">
        <v>0</v>
      </c>
      <c r="P3901" s="2" t="s">
        <v>23</v>
      </c>
      <c r="Q3901" s="2" t="s">
        <v>20</v>
      </c>
    </row>
    <row r="3902" customFormat="false" ht="15" hidden="false" customHeight="false" outlineLevel="0" collapsed="false">
      <c r="A3902" s="2" t="n">
        <v>30</v>
      </c>
      <c r="B3902" s="2" t="s">
        <v>40</v>
      </c>
      <c r="C3902" s="2" t="s">
        <v>30</v>
      </c>
      <c r="D3902" s="2" t="s">
        <v>25</v>
      </c>
      <c r="E3902" s="2" t="s">
        <v>20</v>
      </c>
      <c r="F3902" s="2" t="n">
        <v>3809</v>
      </c>
      <c r="G3902" s="2" t="s">
        <v>26</v>
      </c>
      <c r="H3902" s="2" t="s">
        <v>20</v>
      </c>
      <c r="I3902" s="2" t="s">
        <v>23</v>
      </c>
      <c r="J3902" s="2" t="n">
        <v>3</v>
      </c>
      <c r="K3902" s="2" t="s">
        <v>33</v>
      </c>
      <c r="L3902" s="2" t="n">
        <v>159</v>
      </c>
      <c r="M3902" s="2" t="n">
        <v>4</v>
      </c>
      <c r="N3902" s="2" t="n">
        <v>-1</v>
      </c>
      <c r="O3902" s="2" t="n">
        <v>0</v>
      </c>
      <c r="P3902" s="2" t="s">
        <v>23</v>
      </c>
      <c r="Q3902" s="2" t="s">
        <v>20</v>
      </c>
    </row>
    <row r="3903" customFormat="false" ht="15" hidden="false" customHeight="false" outlineLevel="0" collapsed="false">
      <c r="A3903" s="2" t="n">
        <v>52</v>
      </c>
      <c r="B3903" s="2" t="s">
        <v>40</v>
      </c>
      <c r="C3903" s="2" t="s">
        <v>18</v>
      </c>
      <c r="D3903" s="2" t="s">
        <v>25</v>
      </c>
      <c r="E3903" s="2" t="s">
        <v>20</v>
      </c>
      <c r="F3903" s="2" t="n">
        <v>395</v>
      </c>
      <c r="G3903" s="2" t="s">
        <v>26</v>
      </c>
      <c r="H3903" s="2" t="s">
        <v>20</v>
      </c>
      <c r="I3903" s="2" t="s">
        <v>23</v>
      </c>
      <c r="J3903" s="2" t="n">
        <v>15</v>
      </c>
      <c r="K3903" s="2" t="s">
        <v>27</v>
      </c>
      <c r="L3903" s="2" t="n">
        <v>391</v>
      </c>
      <c r="M3903" s="2" t="n">
        <v>3</v>
      </c>
      <c r="N3903" s="2" t="n">
        <v>-1</v>
      </c>
      <c r="O3903" s="2" t="n">
        <v>0</v>
      </c>
      <c r="P3903" s="2" t="s">
        <v>23</v>
      </c>
      <c r="Q3903" s="2" t="s">
        <v>20</v>
      </c>
    </row>
    <row r="3904" customFormat="false" ht="15" hidden="false" customHeight="false" outlineLevel="0" collapsed="false">
      <c r="A3904" s="2" t="n">
        <v>55</v>
      </c>
      <c r="B3904" s="2" t="s">
        <v>34</v>
      </c>
      <c r="C3904" s="2" t="s">
        <v>18</v>
      </c>
      <c r="D3904" s="2" t="s">
        <v>25</v>
      </c>
      <c r="E3904" s="2" t="s">
        <v>20</v>
      </c>
      <c r="F3904" s="2" t="n">
        <v>1011</v>
      </c>
      <c r="G3904" s="2" t="s">
        <v>26</v>
      </c>
      <c r="H3904" s="2" t="s">
        <v>20</v>
      </c>
      <c r="I3904" s="2" t="s">
        <v>21</v>
      </c>
      <c r="J3904" s="2" t="n">
        <v>12</v>
      </c>
      <c r="K3904" s="2" t="s">
        <v>41</v>
      </c>
      <c r="L3904" s="2" t="n">
        <v>112</v>
      </c>
      <c r="M3904" s="2" t="n">
        <v>2</v>
      </c>
      <c r="N3904" s="2" t="n">
        <v>-1</v>
      </c>
      <c r="O3904" s="2" t="n">
        <v>0</v>
      </c>
      <c r="P3904" s="2" t="s">
        <v>23</v>
      </c>
      <c r="Q3904" s="2" t="s">
        <v>20</v>
      </c>
    </row>
    <row r="3905" customFormat="false" ht="15" hidden="false" customHeight="false" outlineLevel="0" collapsed="false">
      <c r="A3905" s="2" t="n">
        <v>56</v>
      </c>
      <c r="B3905" s="2" t="s">
        <v>34</v>
      </c>
      <c r="C3905" s="2" t="s">
        <v>18</v>
      </c>
      <c r="D3905" s="2" t="s">
        <v>19</v>
      </c>
      <c r="E3905" s="2" t="s">
        <v>20</v>
      </c>
      <c r="F3905" s="2" t="n">
        <v>420</v>
      </c>
      <c r="G3905" s="2" t="s">
        <v>26</v>
      </c>
      <c r="H3905" s="2" t="s">
        <v>20</v>
      </c>
      <c r="I3905" s="2" t="s">
        <v>23</v>
      </c>
      <c r="J3905" s="2" t="n">
        <v>9</v>
      </c>
      <c r="K3905" s="2" t="s">
        <v>27</v>
      </c>
      <c r="L3905" s="2" t="n">
        <v>76</v>
      </c>
      <c r="M3905" s="2" t="n">
        <v>1</v>
      </c>
      <c r="N3905" s="2" t="n">
        <v>-1</v>
      </c>
      <c r="O3905" s="2" t="n">
        <v>0</v>
      </c>
      <c r="P3905" s="2" t="s">
        <v>23</v>
      </c>
      <c r="Q3905" s="2" t="s">
        <v>20</v>
      </c>
    </row>
    <row r="3906" customFormat="false" ht="15" hidden="false" customHeight="false" outlineLevel="0" collapsed="false">
      <c r="A3906" s="2" t="n">
        <v>32</v>
      </c>
      <c r="B3906" s="2" t="s">
        <v>40</v>
      </c>
      <c r="C3906" s="2" t="s">
        <v>18</v>
      </c>
      <c r="D3906" s="2" t="s">
        <v>25</v>
      </c>
      <c r="E3906" s="2" t="s">
        <v>20</v>
      </c>
      <c r="F3906" s="2" t="n">
        <v>76</v>
      </c>
      <c r="G3906" s="2" t="s">
        <v>26</v>
      </c>
      <c r="H3906" s="2" t="s">
        <v>20</v>
      </c>
      <c r="I3906" s="2" t="s">
        <v>23</v>
      </c>
      <c r="J3906" s="2" t="n">
        <v>21</v>
      </c>
      <c r="K3906" s="2" t="s">
        <v>27</v>
      </c>
      <c r="L3906" s="2" t="n">
        <v>189</v>
      </c>
      <c r="M3906" s="2" t="n">
        <v>2</v>
      </c>
      <c r="N3906" s="2" t="n">
        <v>-1</v>
      </c>
      <c r="O3906" s="2" t="n">
        <v>0</v>
      </c>
      <c r="P3906" s="2" t="s">
        <v>23</v>
      </c>
      <c r="Q3906" s="2" t="s">
        <v>20</v>
      </c>
    </row>
    <row r="3907" customFormat="false" ht="15" hidden="false" customHeight="false" outlineLevel="0" collapsed="false">
      <c r="A3907" s="2" t="n">
        <v>24</v>
      </c>
      <c r="B3907" s="2" t="s">
        <v>34</v>
      </c>
      <c r="C3907" s="2" t="s">
        <v>18</v>
      </c>
      <c r="D3907" s="2" t="s">
        <v>25</v>
      </c>
      <c r="E3907" s="2" t="s">
        <v>20</v>
      </c>
      <c r="F3907" s="2" t="n">
        <v>0</v>
      </c>
      <c r="G3907" s="2" t="s">
        <v>20</v>
      </c>
      <c r="H3907" s="2" t="s">
        <v>20</v>
      </c>
      <c r="I3907" s="2" t="s">
        <v>23</v>
      </c>
      <c r="J3907" s="2" t="n">
        <v>28</v>
      </c>
      <c r="K3907" s="2" t="s">
        <v>27</v>
      </c>
      <c r="L3907" s="2" t="n">
        <v>94</v>
      </c>
      <c r="M3907" s="2" t="n">
        <v>1</v>
      </c>
      <c r="N3907" s="2" t="n">
        <v>-1</v>
      </c>
      <c r="O3907" s="2" t="n">
        <v>0</v>
      </c>
      <c r="P3907" s="2" t="s">
        <v>23</v>
      </c>
      <c r="Q3907" s="2" t="s">
        <v>20</v>
      </c>
    </row>
    <row r="3908" customFormat="false" ht="15" hidden="false" customHeight="false" outlineLevel="0" collapsed="false">
      <c r="A3908" s="2" t="n">
        <v>51</v>
      </c>
      <c r="B3908" s="2" t="s">
        <v>34</v>
      </c>
      <c r="C3908" s="2" t="s">
        <v>18</v>
      </c>
      <c r="D3908" s="2" t="s">
        <v>19</v>
      </c>
      <c r="E3908" s="2" t="s">
        <v>20</v>
      </c>
      <c r="F3908" s="2" t="n">
        <v>844</v>
      </c>
      <c r="G3908" s="2" t="s">
        <v>26</v>
      </c>
      <c r="H3908" s="2" t="s">
        <v>20</v>
      </c>
      <c r="I3908" s="2" t="s">
        <v>23</v>
      </c>
      <c r="J3908" s="2" t="n">
        <v>29</v>
      </c>
      <c r="K3908" s="2" t="s">
        <v>27</v>
      </c>
      <c r="L3908" s="2" t="n">
        <v>184</v>
      </c>
      <c r="M3908" s="2" t="n">
        <v>3</v>
      </c>
      <c r="N3908" s="2" t="n">
        <v>-1</v>
      </c>
      <c r="O3908" s="2" t="n">
        <v>0</v>
      </c>
      <c r="P3908" s="2" t="s">
        <v>23</v>
      </c>
      <c r="Q3908" s="2" t="s">
        <v>20</v>
      </c>
    </row>
    <row r="3909" customFormat="false" ht="15" hidden="false" customHeight="false" outlineLevel="0" collapsed="false">
      <c r="A3909" s="2" t="n">
        <v>36</v>
      </c>
      <c r="B3909" s="2" t="s">
        <v>29</v>
      </c>
      <c r="C3909" s="2" t="s">
        <v>18</v>
      </c>
      <c r="D3909" s="2" t="s">
        <v>31</v>
      </c>
      <c r="E3909" s="2" t="s">
        <v>20</v>
      </c>
      <c r="F3909" s="2" t="n">
        <v>1318</v>
      </c>
      <c r="G3909" s="2" t="s">
        <v>26</v>
      </c>
      <c r="H3909" s="2" t="s">
        <v>20</v>
      </c>
      <c r="I3909" s="2" t="s">
        <v>21</v>
      </c>
      <c r="J3909" s="2" t="n">
        <v>7</v>
      </c>
      <c r="K3909" s="2" t="s">
        <v>41</v>
      </c>
      <c r="L3909" s="2" t="n">
        <v>100</v>
      </c>
      <c r="M3909" s="2" t="n">
        <v>2</v>
      </c>
      <c r="N3909" s="2" t="n">
        <v>-1</v>
      </c>
      <c r="O3909" s="2" t="n">
        <v>0</v>
      </c>
      <c r="P3909" s="2" t="s">
        <v>23</v>
      </c>
      <c r="Q3909" s="2" t="s">
        <v>20</v>
      </c>
    </row>
    <row r="3910" customFormat="false" ht="15" hidden="false" customHeight="false" outlineLevel="0" collapsed="false">
      <c r="A3910" s="2" t="n">
        <v>36</v>
      </c>
      <c r="B3910" s="2" t="s">
        <v>38</v>
      </c>
      <c r="C3910" s="2" t="s">
        <v>18</v>
      </c>
      <c r="D3910" s="2" t="s">
        <v>31</v>
      </c>
      <c r="E3910" s="2" t="s">
        <v>20</v>
      </c>
      <c r="F3910" s="2" t="n">
        <v>167</v>
      </c>
      <c r="G3910" s="2" t="s">
        <v>26</v>
      </c>
      <c r="H3910" s="2" t="s">
        <v>20</v>
      </c>
      <c r="I3910" s="2" t="s">
        <v>21</v>
      </c>
      <c r="J3910" s="2" t="n">
        <v>28</v>
      </c>
      <c r="K3910" s="2" t="s">
        <v>43</v>
      </c>
      <c r="L3910" s="2" t="n">
        <v>57</v>
      </c>
      <c r="M3910" s="2" t="n">
        <v>1</v>
      </c>
      <c r="N3910" s="2" t="n">
        <v>-1</v>
      </c>
      <c r="O3910" s="2" t="n">
        <v>0</v>
      </c>
      <c r="P3910" s="2" t="s">
        <v>23</v>
      </c>
      <c r="Q3910" s="2" t="s">
        <v>20</v>
      </c>
    </row>
    <row r="3911" customFormat="false" ht="15" hidden="false" customHeight="false" outlineLevel="0" collapsed="false">
      <c r="A3911" s="2" t="n">
        <v>42</v>
      </c>
      <c r="B3911" s="2" t="s">
        <v>29</v>
      </c>
      <c r="C3911" s="2" t="s">
        <v>18</v>
      </c>
      <c r="D3911" s="2" t="s">
        <v>31</v>
      </c>
      <c r="E3911" s="2" t="s">
        <v>20</v>
      </c>
      <c r="F3911" s="2" t="n">
        <v>2187</v>
      </c>
      <c r="G3911" s="2" t="s">
        <v>26</v>
      </c>
      <c r="H3911" s="2" t="s">
        <v>20</v>
      </c>
      <c r="I3911" s="2" t="s">
        <v>21</v>
      </c>
      <c r="J3911" s="2" t="n">
        <v>17</v>
      </c>
      <c r="K3911" s="2" t="s">
        <v>46</v>
      </c>
      <c r="L3911" s="2" t="n">
        <v>525</v>
      </c>
      <c r="M3911" s="2" t="n">
        <v>3</v>
      </c>
      <c r="N3911" s="2" t="n">
        <v>-1</v>
      </c>
      <c r="O3911" s="2" t="n">
        <v>0</v>
      </c>
      <c r="P3911" s="2" t="s">
        <v>23</v>
      </c>
      <c r="Q3911" s="2" t="s">
        <v>26</v>
      </c>
    </row>
    <row r="3912" customFormat="false" ht="15" hidden="false" customHeight="false" outlineLevel="0" collapsed="false">
      <c r="A3912" s="2" t="n">
        <v>49</v>
      </c>
      <c r="B3912" s="2" t="s">
        <v>40</v>
      </c>
      <c r="C3912" s="2" t="s">
        <v>18</v>
      </c>
      <c r="D3912" s="2" t="s">
        <v>25</v>
      </c>
      <c r="E3912" s="2" t="s">
        <v>20</v>
      </c>
      <c r="F3912" s="2" t="n">
        <v>14440</v>
      </c>
      <c r="G3912" s="2" t="s">
        <v>26</v>
      </c>
      <c r="H3912" s="2" t="s">
        <v>20</v>
      </c>
      <c r="I3912" s="2" t="s">
        <v>21</v>
      </c>
      <c r="J3912" s="2" t="n">
        <v>21</v>
      </c>
      <c r="K3912" s="2" t="s">
        <v>46</v>
      </c>
      <c r="L3912" s="2" t="n">
        <v>60</v>
      </c>
      <c r="M3912" s="2" t="n">
        <v>1</v>
      </c>
      <c r="N3912" s="2" t="n">
        <v>-1</v>
      </c>
      <c r="O3912" s="2" t="n">
        <v>0</v>
      </c>
      <c r="P3912" s="2" t="s">
        <v>23</v>
      </c>
      <c r="Q3912" s="2" t="s">
        <v>20</v>
      </c>
    </row>
    <row r="3913" customFormat="false" ht="15" hidden="false" customHeight="false" outlineLevel="0" collapsed="false">
      <c r="A3913" s="2" t="n">
        <v>48</v>
      </c>
      <c r="B3913" s="2" t="s">
        <v>29</v>
      </c>
      <c r="C3913" s="2" t="s">
        <v>18</v>
      </c>
      <c r="D3913" s="2" t="s">
        <v>25</v>
      </c>
      <c r="E3913" s="2" t="s">
        <v>20</v>
      </c>
      <c r="F3913" s="2" t="n">
        <v>2294</v>
      </c>
      <c r="G3913" s="2" t="s">
        <v>26</v>
      </c>
      <c r="H3913" s="2" t="s">
        <v>20</v>
      </c>
      <c r="I3913" s="2" t="s">
        <v>23</v>
      </c>
      <c r="J3913" s="2" t="n">
        <v>26</v>
      </c>
      <c r="K3913" s="2" t="s">
        <v>27</v>
      </c>
      <c r="L3913" s="2" t="n">
        <v>251</v>
      </c>
      <c r="M3913" s="2" t="n">
        <v>11</v>
      </c>
      <c r="N3913" s="2" t="n">
        <v>-1</v>
      </c>
      <c r="O3913" s="2" t="n">
        <v>0</v>
      </c>
      <c r="P3913" s="2" t="s">
        <v>23</v>
      </c>
      <c r="Q3913" s="2" t="s">
        <v>20</v>
      </c>
    </row>
    <row r="3914" customFormat="false" ht="15" hidden="false" customHeight="false" outlineLevel="0" collapsed="false">
      <c r="A3914" s="2" t="n">
        <v>36</v>
      </c>
      <c r="B3914" s="2" t="s">
        <v>29</v>
      </c>
      <c r="C3914" s="2" t="s">
        <v>18</v>
      </c>
      <c r="D3914" s="2" t="s">
        <v>25</v>
      </c>
      <c r="E3914" s="2" t="s">
        <v>20</v>
      </c>
      <c r="F3914" s="2" t="n">
        <v>80</v>
      </c>
      <c r="G3914" s="2" t="s">
        <v>26</v>
      </c>
      <c r="H3914" s="2" t="s">
        <v>20</v>
      </c>
      <c r="I3914" s="2" t="s">
        <v>23</v>
      </c>
      <c r="J3914" s="2" t="n">
        <v>30</v>
      </c>
      <c r="K3914" s="2" t="s">
        <v>27</v>
      </c>
      <c r="L3914" s="2" t="n">
        <v>251</v>
      </c>
      <c r="M3914" s="2" t="n">
        <v>3</v>
      </c>
      <c r="N3914" s="2" t="n">
        <v>-1</v>
      </c>
      <c r="O3914" s="2" t="n">
        <v>0</v>
      </c>
      <c r="P3914" s="2" t="s">
        <v>23</v>
      </c>
      <c r="Q3914" s="2" t="s">
        <v>20</v>
      </c>
    </row>
    <row r="3915" customFormat="false" ht="15" hidden="false" customHeight="false" outlineLevel="0" collapsed="false">
      <c r="A3915" s="2" t="n">
        <v>48</v>
      </c>
      <c r="B3915" s="2" t="s">
        <v>29</v>
      </c>
      <c r="C3915" s="2" t="s">
        <v>18</v>
      </c>
      <c r="D3915" s="2" t="s">
        <v>19</v>
      </c>
      <c r="E3915" s="2" t="s">
        <v>20</v>
      </c>
      <c r="F3915" s="2" t="n">
        <v>2537</v>
      </c>
      <c r="G3915" s="2" t="s">
        <v>20</v>
      </c>
      <c r="H3915" s="2" t="s">
        <v>20</v>
      </c>
      <c r="I3915" s="2" t="s">
        <v>21</v>
      </c>
      <c r="J3915" s="2" t="n">
        <v>26</v>
      </c>
      <c r="K3915" s="2" t="s">
        <v>41</v>
      </c>
      <c r="L3915" s="2" t="n">
        <v>219</v>
      </c>
      <c r="M3915" s="2" t="n">
        <v>6</v>
      </c>
      <c r="N3915" s="2" t="n">
        <v>-1</v>
      </c>
      <c r="O3915" s="2" t="n">
        <v>0</v>
      </c>
      <c r="P3915" s="2" t="s">
        <v>23</v>
      </c>
      <c r="Q3915" s="2" t="s">
        <v>20</v>
      </c>
    </row>
    <row r="3916" customFormat="false" ht="15" hidden="false" customHeight="false" outlineLevel="0" collapsed="false">
      <c r="A3916" s="2" t="n">
        <v>30</v>
      </c>
      <c r="B3916" s="2" t="s">
        <v>38</v>
      </c>
      <c r="C3916" s="2" t="s">
        <v>18</v>
      </c>
      <c r="D3916" s="2" t="s">
        <v>31</v>
      </c>
      <c r="E3916" s="2" t="s">
        <v>20</v>
      </c>
      <c r="F3916" s="2" t="n">
        <v>569</v>
      </c>
      <c r="G3916" s="2" t="s">
        <v>20</v>
      </c>
      <c r="H3916" s="2" t="s">
        <v>20</v>
      </c>
      <c r="I3916" s="2" t="s">
        <v>21</v>
      </c>
      <c r="J3916" s="2" t="n">
        <v>27</v>
      </c>
      <c r="K3916" s="2" t="s">
        <v>41</v>
      </c>
      <c r="L3916" s="2" t="n">
        <v>976</v>
      </c>
      <c r="M3916" s="2" t="n">
        <v>12</v>
      </c>
      <c r="N3916" s="2" t="n">
        <v>-1</v>
      </c>
      <c r="O3916" s="2" t="n">
        <v>0</v>
      </c>
      <c r="P3916" s="2" t="s">
        <v>23</v>
      </c>
      <c r="Q3916" s="2" t="s">
        <v>26</v>
      </c>
    </row>
    <row r="3917" customFormat="false" ht="15" hidden="false" customHeight="false" outlineLevel="0" collapsed="false">
      <c r="A3917" s="2" t="n">
        <v>27</v>
      </c>
      <c r="B3917" s="2" t="s">
        <v>29</v>
      </c>
      <c r="C3917" s="2" t="s">
        <v>30</v>
      </c>
      <c r="D3917" s="2" t="s">
        <v>31</v>
      </c>
      <c r="E3917" s="2" t="s">
        <v>26</v>
      </c>
      <c r="F3917" s="2" t="n">
        <v>0</v>
      </c>
      <c r="G3917" s="2" t="s">
        <v>20</v>
      </c>
      <c r="H3917" s="2" t="s">
        <v>26</v>
      </c>
      <c r="I3917" s="2" t="s">
        <v>21</v>
      </c>
      <c r="J3917" s="2" t="n">
        <v>8</v>
      </c>
      <c r="K3917" s="2" t="s">
        <v>44</v>
      </c>
      <c r="L3917" s="2" t="n">
        <v>46</v>
      </c>
      <c r="M3917" s="2" t="n">
        <v>1</v>
      </c>
      <c r="N3917" s="2" t="n">
        <v>-1</v>
      </c>
      <c r="O3917" s="2" t="n">
        <v>0</v>
      </c>
      <c r="P3917" s="2" t="s">
        <v>23</v>
      </c>
      <c r="Q3917" s="2" t="s">
        <v>20</v>
      </c>
    </row>
    <row r="3918" customFormat="false" ht="15" hidden="false" customHeight="false" outlineLevel="0" collapsed="false">
      <c r="A3918" s="2" t="n">
        <v>38</v>
      </c>
      <c r="B3918" s="2" t="s">
        <v>39</v>
      </c>
      <c r="C3918" s="2" t="s">
        <v>18</v>
      </c>
      <c r="D3918" s="2" t="s">
        <v>31</v>
      </c>
      <c r="E3918" s="2" t="s">
        <v>20</v>
      </c>
      <c r="F3918" s="2" t="n">
        <v>0</v>
      </c>
      <c r="G3918" s="2" t="s">
        <v>26</v>
      </c>
      <c r="H3918" s="2" t="s">
        <v>20</v>
      </c>
      <c r="I3918" s="2" t="s">
        <v>21</v>
      </c>
      <c r="J3918" s="2" t="n">
        <v>18</v>
      </c>
      <c r="K3918" s="2" t="s">
        <v>46</v>
      </c>
      <c r="L3918" s="2" t="n">
        <v>185</v>
      </c>
      <c r="M3918" s="2" t="n">
        <v>3</v>
      </c>
      <c r="N3918" s="2" t="n">
        <v>-1</v>
      </c>
      <c r="O3918" s="2" t="n">
        <v>0</v>
      </c>
      <c r="P3918" s="2" t="s">
        <v>23</v>
      </c>
      <c r="Q3918" s="2" t="s">
        <v>20</v>
      </c>
    </row>
    <row r="3919" customFormat="false" ht="15" hidden="false" customHeight="false" outlineLevel="0" collapsed="false">
      <c r="A3919" s="2" t="n">
        <v>36</v>
      </c>
      <c r="B3919" s="2" t="s">
        <v>38</v>
      </c>
      <c r="C3919" s="2" t="s">
        <v>30</v>
      </c>
      <c r="D3919" s="2" t="s">
        <v>25</v>
      </c>
      <c r="E3919" s="2" t="s">
        <v>26</v>
      </c>
      <c r="F3919" s="2" t="n">
        <v>12</v>
      </c>
      <c r="G3919" s="2" t="s">
        <v>20</v>
      </c>
      <c r="H3919" s="2" t="s">
        <v>20</v>
      </c>
      <c r="I3919" s="2" t="s">
        <v>21</v>
      </c>
      <c r="J3919" s="2" t="n">
        <v>12</v>
      </c>
      <c r="K3919" s="2" t="s">
        <v>41</v>
      </c>
      <c r="L3919" s="2" t="n">
        <v>587</v>
      </c>
      <c r="M3919" s="2" t="n">
        <v>2</v>
      </c>
      <c r="N3919" s="2" t="n">
        <v>-1</v>
      </c>
      <c r="O3919" s="2" t="n">
        <v>0</v>
      </c>
      <c r="P3919" s="2" t="s">
        <v>23</v>
      </c>
      <c r="Q3919" s="2" t="s">
        <v>26</v>
      </c>
    </row>
    <row r="3920" customFormat="false" ht="15" hidden="false" customHeight="false" outlineLevel="0" collapsed="false">
      <c r="A3920" s="2" t="n">
        <v>45</v>
      </c>
      <c r="B3920" s="2" t="s">
        <v>38</v>
      </c>
      <c r="C3920" s="2" t="s">
        <v>18</v>
      </c>
      <c r="D3920" s="2" t="s">
        <v>25</v>
      </c>
      <c r="E3920" s="2" t="s">
        <v>20</v>
      </c>
      <c r="F3920" s="2" t="n">
        <v>49</v>
      </c>
      <c r="G3920" s="2" t="s">
        <v>20</v>
      </c>
      <c r="H3920" s="2" t="s">
        <v>20</v>
      </c>
      <c r="I3920" s="2" t="s">
        <v>21</v>
      </c>
      <c r="J3920" s="2" t="n">
        <v>29</v>
      </c>
      <c r="K3920" s="2" t="s">
        <v>44</v>
      </c>
      <c r="L3920" s="2" t="n">
        <v>65</v>
      </c>
      <c r="M3920" s="2" t="n">
        <v>2</v>
      </c>
      <c r="N3920" s="2" t="n">
        <v>-1</v>
      </c>
      <c r="O3920" s="2" t="n">
        <v>0</v>
      </c>
      <c r="P3920" s="2" t="s">
        <v>23</v>
      </c>
      <c r="Q3920" s="2" t="s">
        <v>20</v>
      </c>
    </row>
    <row r="3921" customFormat="false" ht="15" hidden="false" customHeight="false" outlineLevel="0" collapsed="false">
      <c r="A3921" s="2" t="n">
        <v>44</v>
      </c>
      <c r="B3921" s="2" t="s">
        <v>47</v>
      </c>
      <c r="C3921" s="2" t="s">
        <v>18</v>
      </c>
      <c r="D3921" s="2" t="s">
        <v>31</v>
      </c>
      <c r="E3921" s="2" t="s">
        <v>20</v>
      </c>
      <c r="F3921" s="2" t="n">
        <v>460</v>
      </c>
      <c r="G3921" s="2" t="s">
        <v>20</v>
      </c>
      <c r="H3921" s="2" t="s">
        <v>20</v>
      </c>
      <c r="I3921" s="2" t="s">
        <v>23</v>
      </c>
      <c r="J3921" s="2" t="n">
        <v>17</v>
      </c>
      <c r="K3921" s="2" t="s">
        <v>33</v>
      </c>
      <c r="L3921" s="2" t="n">
        <v>491</v>
      </c>
      <c r="M3921" s="2" t="n">
        <v>1</v>
      </c>
      <c r="N3921" s="2" t="n">
        <v>-1</v>
      </c>
      <c r="O3921" s="2" t="n">
        <v>0</v>
      </c>
      <c r="P3921" s="2" t="s">
        <v>23</v>
      </c>
      <c r="Q3921" s="2" t="s">
        <v>20</v>
      </c>
    </row>
    <row r="3922" customFormat="false" ht="15" hidden="false" customHeight="false" outlineLevel="0" collapsed="false">
      <c r="A3922" s="2" t="n">
        <v>42</v>
      </c>
      <c r="B3922" s="2" t="s">
        <v>38</v>
      </c>
      <c r="C3922" s="2" t="s">
        <v>18</v>
      </c>
      <c r="D3922" s="2" t="s">
        <v>25</v>
      </c>
      <c r="E3922" s="2" t="s">
        <v>20</v>
      </c>
      <c r="F3922" s="2" t="n">
        <v>613</v>
      </c>
      <c r="G3922" s="2" t="s">
        <v>26</v>
      </c>
      <c r="H3922" s="2" t="s">
        <v>20</v>
      </c>
      <c r="I3922" s="2" t="s">
        <v>21</v>
      </c>
      <c r="J3922" s="2" t="n">
        <v>11</v>
      </c>
      <c r="K3922" s="2" t="s">
        <v>27</v>
      </c>
      <c r="L3922" s="2" t="n">
        <v>432</v>
      </c>
      <c r="M3922" s="2" t="n">
        <v>2</v>
      </c>
      <c r="N3922" s="2" t="n">
        <v>-1</v>
      </c>
      <c r="O3922" s="2" t="n">
        <v>0</v>
      </c>
      <c r="P3922" s="2" t="s">
        <v>23</v>
      </c>
      <c r="Q3922" s="2" t="s">
        <v>20</v>
      </c>
    </row>
    <row r="3923" customFormat="false" ht="15" hidden="false" customHeight="false" outlineLevel="0" collapsed="false">
      <c r="A3923" s="2" t="n">
        <v>37</v>
      </c>
      <c r="B3923" s="2" t="s">
        <v>39</v>
      </c>
      <c r="C3923" s="2" t="s">
        <v>18</v>
      </c>
      <c r="D3923" s="2" t="s">
        <v>31</v>
      </c>
      <c r="E3923" s="2" t="s">
        <v>20</v>
      </c>
      <c r="F3923" s="2" t="n">
        <v>7944</v>
      </c>
      <c r="G3923" s="2" t="s">
        <v>20</v>
      </c>
      <c r="H3923" s="2" t="s">
        <v>20</v>
      </c>
      <c r="I3923" s="2" t="s">
        <v>21</v>
      </c>
      <c r="J3923" s="2" t="n">
        <v>21</v>
      </c>
      <c r="K3923" s="2" t="s">
        <v>46</v>
      </c>
      <c r="L3923" s="2" t="n">
        <v>102</v>
      </c>
      <c r="M3923" s="2" t="n">
        <v>1</v>
      </c>
      <c r="N3923" s="2" t="n">
        <v>-1</v>
      </c>
      <c r="O3923" s="2" t="n">
        <v>0</v>
      </c>
      <c r="P3923" s="2" t="s">
        <v>23</v>
      </c>
      <c r="Q3923" s="2" t="s">
        <v>20</v>
      </c>
    </row>
    <row r="3924" customFormat="false" ht="15" hidden="false" customHeight="false" outlineLevel="0" collapsed="false">
      <c r="A3924" s="2" t="n">
        <v>48</v>
      </c>
      <c r="B3924" s="2" t="s">
        <v>34</v>
      </c>
      <c r="C3924" s="2" t="s">
        <v>18</v>
      </c>
      <c r="D3924" s="2" t="s">
        <v>25</v>
      </c>
      <c r="E3924" s="2" t="s">
        <v>20</v>
      </c>
      <c r="F3924" s="2" t="n">
        <v>1143</v>
      </c>
      <c r="G3924" s="2" t="s">
        <v>26</v>
      </c>
      <c r="H3924" s="2" t="s">
        <v>20</v>
      </c>
      <c r="I3924" s="2" t="s">
        <v>21</v>
      </c>
      <c r="J3924" s="2" t="n">
        <v>17</v>
      </c>
      <c r="K3924" s="2" t="s">
        <v>32</v>
      </c>
      <c r="L3924" s="2" t="n">
        <v>264</v>
      </c>
      <c r="M3924" s="2" t="n">
        <v>1</v>
      </c>
      <c r="N3924" s="2" t="n">
        <v>317</v>
      </c>
      <c r="O3924" s="2" t="n">
        <v>1</v>
      </c>
      <c r="P3924" s="2" t="s">
        <v>28</v>
      </c>
      <c r="Q3924" s="2" t="s">
        <v>20</v>
      </c>
    </row>
    <row r="3925" customFormat="false" ht="15" hidden="false" customHeight="false" outlineLevel="0" collapsed="false">
      <c r="A3925" s="2" t="n">
        <v>57</v>
      </c>
      <c r="B3925" s="2" t="s">
        <v>48</v>
      </c>
      <c r="C3925" s="2" t="s">
        <v>18</v>
      </c>
      <c r="D3925" s="2" t="s">
        <v>19</v>
      </c>
      <c r="E3925" s="2" t="s">
        <v>20</v>
      </c>
      <c r="F3925" s="2" t="n">
        <v>-464</v>
      </c>
      <c r="G3925" s="2" t="s">
        <v>26</v>
      </c>
      <c r="H3925" s="2" t="s">
        <v>20</v>
      </c>
      <c r="I3925" s="2" t="s">
        <v>21</v>
      </c>
      <c r="J3925" s="2" t="n">
        <v>4</v>
      </c>
      <c r="K3925" s="2" t="s">
        <v>35</v>
      </c>
      <c r="L3925" s="2" t="n">
        <v>75</v>
      </c>
      <c r="M3925" s="2" t="n">
        <v>1</v>
      </c>
      <c r="N3925" s="2" t="n">
        <v>190</v>
      </c>
      <c r="O3925" s="2" t="n">
        <v>6</v>
      </c>
      <c r="P3925" s="2" t="s">
        <v>28</v>
      </c>
      <c r="Q3925" s="2" t="s">
        <v>20</v>
      </c>
    </row>
    <row r="3926" customFormat="false" ht="15" hidden="false" customHeight="false" outlineLevel="0" collapsed="false">
      <c r="A3926" s="2" t="n">
        <v>44</v>
      </c>
      <c r="B3926" s="2" t="s">
        <v>24</v>
      </c>
      <c r="C3926" s="2" t="s">
        <v>18</v>
      </c>
      <c r="D3926" s="2" t="s">
        <v>25</v>
      </c>
      <c r="E3926" s="2" t="s">
        <v>20</v>
      </c>
      <c r="F3926" s="2" t="n">
        <v>1989</v>
      </c>
      <c r="G3926" s="2" t="s">
        <v>26</v>
      </c>
      <c r="H3926" s="2" t="s">
        <v>26</v>
      </c>
      <c r="I3926" s="2" t="s">
        <v>21</v>
      </c>
      <c r="J3926" s="2" t="n">
        <v>20</v>
      </c>
      <c r="K3926" s="2" t="s">
        <v>32</v>
      </c>
      <c r="L3926" s="2" t="n">
        <v>106</v>
      </c>
      <c r="M3926" s="2" t="n">
        <v>2</v>
      </c>
      <c r="N3926" s="2" t="n">
        <v>-1</v>
      </c>
      <c r="O3926" s="2" t="n">
        <v>0</v>
      </c>
      <c r="P3926" s="2" t="s">
        <v>23</v>
      </c>
      <c r="Q3926" s="2" t="s">
        <v>20</v>
      </c>
    </row>
    <row r="3927" customFormat="false" ht="15" hidden="false" customHeight="false" outlineLevel="0" collapsed="false">
      <c r="A3927" s="2" t="n">
        <v>48</v>
      </c>
      <c r="B3927" s="2" t="s">
        <v>38</v>
      </c>
      <c r="C3927" s="2" t="s">
        <v>18</v>
      </c>
      <c r="D3927" s="2" t="s">
        <v>25</v>
      </c>
      <c r="E3927" s="2" t="s">
        <v>20</v>
      </c>
      <c r="F3927" s="2" t="n">
        <v>17</v>
      </c>
      <c r="G3927" s="2" t="s">
        <v>26</v>
      </c>
      <c r="H3927" s="2" t="s">
        <v>26</v>
      </c>
      <c r="I3927" s="2" t="s">
        <v>21</v>
      </c>
      <c r="J3927" s="2" t="n">
        <v>17</v>
      </c>
      <c r="K3927" s="2" t="s">
        <v>46</v>
      </c>
      <c r="L3927" s="2" t="n">
        <v>81</v>
      </c>
      <c r="M3927" s="2" t="n">
        <v>1</v>
      </c>
      <c r="N3927" s="2" t="n">
        <v>-1</v>
      </c>
      <c r="O3927" s="2" t="n">
        <v>0</v>
      </c>
      <c r="P3927" s="2" t="s">
        <v>23</v>
      </c>
      <c r="Q3927" s="2" t="s">
        <v>20</v>
      </c>
    </row>
    <row r="3928" customFormat="false" ht="15" hidden="false" customHeight="false" outlineLevel="0" collapsed="false">
      <c r="A3928" s="2" t="n">
        <v>56</v>
      </c>
      <c r="B3928" s="2" t="s">
        <v>48</v>
      </c>
      <c r="C3928" s="2" t="s">
        <v>18</v>
      </c>
      <c r="D3928" s="2" t="s">
        <v>19</v>
      </c>
      <c r="E3928" s="2" t="s">
        <v>20</v>
      </c>
      <c r="F3928" s="2" t="n">
        <v>-1</v>
      </c>
      <c r="G3928" s="2" t="s">
        <v>20</v>
      </c>
      <c r="H3928" s="2" t="s">
        <v>20</v>
      </c>
      <c r="I3928" s="2" t="s">
        <v>21</v>
      </c>
      <c r="J3928" s="2" t="n">
        <v>27</v>
      </c>
      <c r="K3928" s="2" t="s">
        <v>41</v>
      </c>
      <c r="L3928" s="2" t="n">
        <v>89</v>
      </c>
      <c r="M3928" s="2" t="n">
        <v>23</v>
      </c>
      <c r="N3928" s="2" t="n">
        <v>-1</v>
      </c>
      <c r="O3928" s="2" t="n">
        <v>0</v>
      </c>
      <c r="P3928" s="2" t="s">
        <v>23</v>
      </c>
      <c r="Q3928" s="2" t="s">
        <v>20</v>
      </c>
    </row>
    <row r="3929" customFormat="false" ht="15" hidden="false" customHeight="false" outlineLevel="0" collapsed="false">
      <c r="A3929" s="2" t="n">
        <v>37</v>
      </c>
      <c r="B3929" s="2" t="s">
        <v>29</v>
      </c>
      <c r="C3929" s="2" t="s">
        <v>18</v>
      </c>
      <c r="D3929" s="2" t="s">
        <v>31</v>
      </c>
      <c r="E3929" s="2" t="s">
        <v>20</v>
      </c>
      <c r="F3929" s="2" t="n">
        <v>1698</v>
      </c>
      <c r="G3929" s="2" t="s">
        <v>26</v>
      </c>
      <c r="H3929" s="2" t="s">
        <v>20</v>
      </c>
      <c r="I3929" s="2" t="s">
        <v>23</v>
      </c>
      <c r="J3929" s="2" t="n">
        <v>6</v>
      </c>
      <c r="K3929" s="2" t="s">
        <v>33</v>
      </c>
      <c r="L3929" s="2" t="n">
        <v>95</v>
      </c>
      <c r="M3929" s="2" t="n">
        <v>2</v>
      </c>
      <c r="N3929" s="2" t="n">
        <v>-1</v>
      </c>
      <c r="O3929" s="2" t="n">
        <v>0</v>
      </c>
      <c r="P3929" s="2" t="s">
        <v>23</v>
      </c>
      <c r="Q3929" s="2" t="s">
        <v>20</v>
      </c>
    </row>
    <row r="3930" customFormat="false" ht="15" hidden="false" customHeight="false" outlineLevel="0" collapsed="false">
      <c r="A3930" s="2" t="n">
        <v>47</v>
      </c>
      <c r="B3930" s="2" t="s">
        <v>34</v>
      </c>
      <c r="C3930" s="2" t="s">
        <v>18</v>
      </c>
      <c r="D3930" s="2" t="s">
        <v>25</v>
      </c>
      <c r="E3930" s="2" t="s">
        <v>20</v>
      </c>
      <c r="F3930" s="2" t="n">
        <v>5306</v>
      </c>
      <c r="G3930" s="2" t="s">
        <v>26</v>
      </c>
      <c r="H3930" s="2" t="s">
        <v>20</v>
      </c>
      <c r="I3930" s="2" t="s">
        <v>23</v>
      </c>
      <c r="J3930" s="2" t="n">
        <v>15</v>
      </c>
      <c r="K3930" s="2" t="s">
        <v>27</v>
      </c>
      <c r="L3930" s="2" t="n">
        <v>322</v>
      </c>
      <c r="M3930" s="2" t="n">
        <v>1</v>
      </c>
      <c r="N3930" s="2" t="n">
        <v>-1</v>
      </c>
      <c r="O3930" s="2" t="n">
        <v>0</v>
      </c>
      <c r="P3930" s="2" t="s">
        <v>23</v>
      </c>
      <c r="Q3930" s="2" t="s">
        <v>20</v>
      </c>
    </row>
    <row r="3931" customFormat="false" ht="15" hidden="false" customHeight="false" outlineLevel="0" collapsed="false">
      <c r="A3931" s="2" t="n">
        <v>54</v>
      </c>
      <c r="B3931" s="2" t="s">
        <v>47</v>
      </c>
      <c r="C3931" s="2" t="s">
        <v>18</v>
      </c>
      <c r="D3931" s="2" t="s">
        <v>23</v>
      </c>
      <c r="E3931" s="2" t="s">
        <v>20</v>
      </c>
      <c r="F3931" s="2" t="n">
        <v>0</v>
      </c>
      <c r="G3931" s="2" t="s">
        <v>20</v>
      </c>
      <c r="H3931" s="2" t="s">
        <v>20</v>
      </c>
      <c r="I3931" s="2" t="s">
        <v>21</v>
      </c>
      <c r="J3931" s="2" t="n">
        <v>14</v>
      </c>
      <c r="K3931" s="2" t="s">
        <v>32</v>
      </c>
      <c r="L3931" s="2" t="n">
        <v>94</v>
      </c>
      <c r="M3931" s="2" t="n">
        <v>5</v>
      </c>
      <c r="N3931" s="2" t="n">
        <v>145</v>
      </c>
      <c r="O3931" s="2" t="n">
        <v>3</v>
      </c>
      <c r="P3931" s="2" t="s">
        <v>37</v>
      </c>
      <c r="Q3931" s="2" t="s">
        <v>20</v>
      </c>
    </row>
    <row r="3932" customFormat="false" ht="15" hidden="false" customHeight="false" outlineLevel="0" collapsed="false">
      <c r="A3932" s="2" t="n">
        <v>51</v>
      </c>
      <c r="B3932" s="2" t="s">
        <v>48</v>
      </c>
      <c r="C3932" s="2" t="s">
        <v>45</v>
      </c>
      <c r="D3932" s="2" t="s">
        <v>25</v>
      </c>
      <c r="E3932" s="2" t="s">
        <v>20</v>
      </c>
      <c r="F3932" s="2" t="n">
        <v>1679</v>
      </c>
      <c r="G3932" s="2" t="s">
        <v>20</v>
      </c>
      <c r="H3932" s="2" t="s">
        <v>20</v>
      </c>
      <c r="I3932" s="2" t="s">
        <v>21</v>
      </c>
      <c r="J3932" s="2" t="n">
        <v>12</v>
      </c>
      <c r="K3932" s="2" t="s">
        <v>41</v>
      </c>
      <c r="L3932" s="2" t="n">
        <v>417</v>
      </c>
      <c r="M3932" s="2" t="n">
        <v>1</v>
      </c>
      <c r="N3932" s="2" t="n">
        <v>365</v>
      </c>
      <c r="O3932" s="2" t="n">
        <v>9</v>
      </c>
      <c r="P3932" s="2" t="s">
        <v>37</v>
      </c>
      <c r="Q3932" s="2" t="s">
        <v>26</v>
      </c>
    </row>
    <row r="3933" customFormat="false" ht="15" hidden="false" customHeight="false" outlineLevel="0" collapsed="false">
      <c r="A3933" s="2" t="n">
        <v>47</v>
      </c>
      <c r="B3933" s="2" t="s">
        <v>40</v>
      </c>
      <c r="C3933" s="2" t="s">
        <v>18</v>
      </c>
      <c r="D3933" s="2" t="s">
        <v>25</v>
      </c>
      <c r="E3933" s="2" t="s">
        <v>20</v>
      </c>
      <c r="F3933" s="2" t="n">
        <v>3676</v>
      </c>
      <c r="G3933" s="2" t="s">
        <v>20</v>
      </c>
      <c r="H3933" s="2" t="s">
        <v>20</v>
      </c>
      <c r="I3933" s="2" t="s">
        <v>21</v>
      </c>
      <c r="J3933" s="2" t="n">
        <v>18</v>
      </c>
      <c r="K3933" s="2" t="s">
        <v>22</v>
      </c>
      <c r="L3933" s="2" t="n">
        <v>567</v>
      </c>
      <c r="M3933" s="2" t="n">
        <v>1</v>
      </c>
      <c r="N3933" s="2" t="n">
        <v>95</v>
      </c>
      <c r="O3933" s="2" t="n">
        <v>3</v>
      </c>
      <c r="P3933" s="2" t="s">
        <v>50</v>
      </c>
      <c r="Q3933" s="2" t="s">
        <v>26</v>
      </c>
    </row>
    <row r="3934" customFormat="false" ht="15" hidden="false" customHeight="false" outlineLevel="0" collapsed="false">
      <c r="A3934" s="2" t="n">
        <v>25</v>
      </c>
      <c r="B3934" s="2" t="s">
        <v>29</v>
      </c>
      <c r="C3934" s="2" t="s">
        <v>18</v>
      </c>
      <c r="D3934" s="2" t="s">
        <v>31</v>
      </c>
      <c r="E3934" s="2" t="s">
        <v>20</v>
      </c>
      <c r="F3934" s="2" t="n">
        <v>-242</v>
      </c>
      <c r="G3934" s="2" t="s">
        <v>26</v>
      </c>
      <c r="H3934" s="2" t="s">
        <v>26</v>
      </c>
      <c r="I3934" s="2" t="s">
        <v>21</v>
      </c>
      <c r="J3934" s="2" t="n">
        <v>18</v>
      </c>
      <c r="K3934" s="2" t="s">
        <v>27</v>
      </c>
      <c r="L3934" s="2" t="n">
        <v>600</v>
      </c>
      <c r="M3934" s="2" t="n">
        <v>4</v>
      </c>
      <c r="N3934" s="2" t="n">
        <v>332</v>
      </c>
      <c r="O3934" s="2" t="n">
        <v>4</v>
      </c>
      <c r="P3934" s="2" t="s">
        <v>37</v>
      </c>
      <c r="Q3934" s="2" t="s">
        <v>26</v>
      </c>
    </row>
    <row r="3935" customFormat="false" ht="15" hidden="false" customHeight="false" outlineLevel="0" collapsed="false">
      <c r="A3935" s="2" t="n">
        <v>39</v>
      </c>
      <c r="B3935" s="2" t="s">
        <v>24</v>
      </c>
      <c r="C3935" s="2" t="s">
        <v>30</v>
      </c>
      <c r="D3935" s="2" t="s">
        <v>25</v>
      </c>
      <c r="E3935" s="2" t="s">
        <v>20</v>
      </c>
      <c r="F3935" s="2" t="n">
        <v>471</v>
      </c>
      <c r="G3935" s="2" t="s">
        <v>20</v>
      </c>
      <c r="H3935" s="2" t="s">
        <v>20</v>
      </c>
      <c r="I3935" s="2" t="s">
        <v>23</v>
      </c>
      <c r="J3935" s="2" t="n">
        <v>15</v>
      </c>
      <c r="K3935" s="2" t="s">
        <v>22</v>
      </c>
      <c r="L3935" s="2" t="n">
        <v>5</v>
      </c>
      <c r="M3935" s="2" t="n">
        <v>1</v>
      </c>
      <c r="N3935" s="2" t="n">
        <v>-1</v>
      </c>
      <c r="O3935" s="2" t="n">
        <v>0</v>
      </c>
      <c r="P3935" s="2" t="s">
        <v>23</v>
      </c>
      <c r="Q3935" s="2" t="s">
        <v>20</v>
      </c>
    </row>
    <row r="3936" customFormat="false" ht="15" hidden="false" customHeight="false" outlineLevel="0" collapsed="false">
      <c r="A3936" s="2" t="n">
        <v>40</v>
      </c>
      <c r="B3936" s="2" t="s">
        <v>29</v>
      </c>
      <c r="C3936" s="2" t="s">
        <v>18</v>
      </c>
      <c r="D3936" s="2" t="s">
        <v>31</v>
      </c>
      <c r="E3936" s="2" t="s">
        <v>20</v>
      </c>
      <c r="F3936" s="2" t="n">
        <v>8902</v>
      </c>
      <c r="G3936" s="2" t="s">
        <v>26</v>
      </c>
      <c r="H3936" s="2" t="s">
        <v>20</v>
      </c>
      <c r="I3936" s="2" t="s">
        <v>21</v>
      </c>
      <c r="J3936" s="2" t="n">
        <v>14</v>
      </c>
      <c r="K3936" s="2" t="s">
        <v>41</v>
      </c>
      <c r="L3936" s="2" t="n">
        <v>464</v>
      </c>
      <c r="M3936" s="2" t="n">
        <v>5</v>
      </c>
      <c r="N3936" s="2" t="n">
        <v>-1</v>
      </c>
      <c r="O3936" s="2" t="n">
        <v>0</v>
      </c>
      <c r="P3936" s="2" t="s">
        <v>23</v>
      </c>
      <c r="Q3936" s="2" t="s">
        <v>20</v>
      </c>
    </row>
    <row r="3937" customFormat="false" ht="15" hidden="false" customHeight="false" outlineLevel="0" collapsed="false">
      <c r="A3937" s="2" t="n">
        <v>38</v>
      </c>
      <c r="B3937" s="2" t="s">
        <v>29</v>
      </c>
      <c r="C3937" s="2" t="s">
        <v>30</v>
      </c>
      <c r="D3937" s="2" t="s">
        <v>31</v>
      </c>
      <c r="E3937" s="2" t="s">
        <v>20</v>
      </c>
      <c r="F3937" s="2" t="n">
        <v>1704</v>
      </c>
      <c r="G3937" s="2" t="s">
        <v>20</v>
      </c>
      <c r="H3937" s="2" t="s">
        <v>20</v>
      </c>
      <c r="I3937" s="2" t="s">
        <v>21</v>
      </c>
      <c r="J3937" s="2" t="n">
        <v>1</v>
      </c>
      <c r="K3937" s="2" t="s">
        <v>51</v>
      </c>
      <c r="L3937" s="2" t="n">
        <v>222</v>
      </c>
      <c r="M3937" s="2" t="n">
        <v>1</v>
      </c>
      <c r="N3937" s="2" t="n">
        <v>-1</v>
      </c>
      <c r="O3937" s="2" t="n">
        <v>0</v>
      </c>
      <c r="P3937" s="2" t="s">
        <v>23</v>
      </c>
      <c r="Q3937" s="2" t="s">
        <v>20</v>
      </c>
    </row>
    <row r="3938" customFormat="false" ht="15" hidden="false" customHeight="false" outlineLevel="0" collapsed="false">
      <c r="A3938" s="2" t="n">
        <v>34</v>
      </c>
      <c r="B3938" s="2" t="s">
        <v>29</v>
      </c>
      <c r="C3938" s="2" t="s">
        <v>18</v>
      </c>
      <c r="D3938" s="2" t="s">
        <v>31</v>
      </c>
      <c r="E3938" s="2" t="s">
        <v>20</v>
      </c>
      <c r="F3938" s="2" t="n">
        <v>3050</v>
      </c>
      <c r="G3938" s="2" t="s">
        <v>26</v>
      </c>
      <c r="H3938" s="2" t="s">
        <v>20</v>
      </c>
      <c r="I3938" s="2" t="s">
        <v>21</v>
      </c>
      <c r="J3938" s="2" t="n">
        <v>13</v>
      </c>
      <c r="K3938" s="2" t="s">
        <v>27</v>
      </c>
      <c r="L3938" s="2" t="n">
        <v>469</v>
      </c>
      <c r="M3938" s="2" t="n">
        <v>1</v>
      </c>
      <c r="N3938" s="2" t="n">
        <v>-1</v>
      </c>
      <c r="O3938" s="2" t="n">
        <v>0</v>
      </c>
      <c r="P3938" s="2" t="s">
        <v>23</v>
      </c>
      <c r="Q3938" s="2" t="s">
        <v>26</v>
      </c>
    </row>
    <row r="3939" customFormat="false" ht="15" hidden="false" customHeight="false" outlineLevel="0" collapsed="false">
      <c r="A3939" s="2" t="n">
        <v>53</v>
      </c>
      <c r="B3939" s="2" t="s">
        <v>47</v>
      </c>
      <c r="C3939" s="2" t="s">
        <v>18</v>
      </c>
      <c r="D3939" s="2" t="s">
        <v>19</v>
      </c>
      <c r="E3939" s="2" t="s">
        <v>20</v>
      </c>
      <c r="F3939" s="2" t="n">
        <v>2581</v>
      </c>
      <c r="G3939" s="2" t="s">
        <v>20</v>
      </c>
      <c r="H3939" s="2" t="s">
        <v>20</v>
      </c>
      <c r="I3939" s="2" t="s">
        <v>21</v>
      </c>
      <c r="J3939" s="2" t="n">
        <v>15</v>
      </c>
      <c r="K3939" s="2" t="s">
        <v>32</v>
      </c>
      <c r="L3939" s="2" t="n">
        <v>99</v>
      </c>
      <c r="M3939" s="2" t="n">
        <v>1</v>
      </c>
      <c r="N3939" s="2" t="n">
        <v>-1</v>
      </c>
      <c r="O3939" s="2" t="n">
        <v>0</v>
      </c>
      <c r="P3939" s="2" t="s">
        <v>23</v>
      </c>
      <c r="Q3939" s="2" t="s">
        <v>20</v>
      </c>
    </row>
    <row r="3940" customFormat="false" ht="15" hidden="false" customHeight="false" outlineLevel="0" collapsed="false">
      <c r="A3940" s="2" t="n">
        <v>32</v>
      </c>
      <c r="B3940" s="2" t="s">
        <v>24</v>
      </c>
      <c r="C3940" s="2" t="s">
        <v>18</v>
      </c>
      <c r="D3940" s="2" t="s">
        <v>25</v>
      </c>
      <c r="E3940" s="2" t="s">
        <v>20</v>
      </c>
      <c r="F3940" s="2" t="n">
        <v>162</v>
      </c>
      <c r="G3940" s="2" t="s">
        <v>26</v>
      </c>
      <c r="H3940" s="2" t="s">
        <v>20</v>
      </c>
      <c r="I3940" s="2" t="s">
        <v>23</v>
      </c>
      <c r="J3940" s="2" t="n">
        <v>14</v>
      </c>
      <c r="K3940" s="2" t="s">
        <v>27</v>
      </c>
      <c r="L3940" s="2" t="n">
        <v>297</v>
      </c>
      <c r="M3940" s="2" t="n">
        <v>2</v>
      </c>
      <c r="N3940" s="2" t="n">
        <v>-1</v>
      </c>
      <c r="O3940" s="2" t="n">
        <v>0</v>
      </c>
      <c r="P3940" s="2" t="s">
        <v>23</v>
      </c>
      <c r="Q3940" s="2" t="s">
        <v>20</v>
      </c>
    </row>
    <row r="3941" customFormat="false" ht="15" hidden="false" customHeight="false" outlineLevel="0" collapsed="false">
      <c r="A3941" s="2" t="n">
        <v>35</v>
      </c>
      <c r="B3941" s="2" t="s">
        <v>34</v>
      </c>
      <c r="C3941" s="2" t="s">
        <v>18</v>
      </c>
      <c r="D3941" s="2" t="s">
        <v>25</v>
      </c>
      <c r="E3941" s="2" t="s">
        <v>20</v>
      </c>
      <c r="F3941" s="2" t="n">
        <v>243</v>
      </c>
      <c r="G3941" s="2" t="s">
        <v>26</v>
      </c>
      <c r="H3941" s="2" t="s">
        <v>20</v>
      </c>
      <c r="I3941" s="2" t="s">
        <v>21</v>
      </c>
      <c r="J3941" s="2" t="n">
        <v>20</v>
      </c>
      <c r="K3941" s="2" t="s">
        <v>32</v>
      </c>
      <c r="L3941" s="2" t="n">
        <v>41</v>
      </c>
      <c r="M3941" s="2" t="n">
        <v>3</v>
      </c>
      <c r="N3941" s="2" t="n">
        <v>-1</v>
      </c>
      <c r="O3941" s="2" t="n">
        <v>0</v>
      </c>
      <c r="P3941" s="2" t="s">
        <v>23</v>
      </c>
      <c r="Q3941" s="2" t="s">
        <v>20</v>
      </c>
    </row>
    <row r="3942" customFormat="false" ht="15" hidden="false" customHeight="false" outlineLevel="0" collapsed="false">
      <c r="A3942" s="2" t="n">
        <v>24</v>
      </c>
      <c r="B3942" s="2" t="s">
        <v>42</v>
      </c>
      <c r="C3942" s="2" t="s">
        <v>30</v>
      </c>
      <c r="D3942" s="2" t="s">
        <v>25</v>
      </c>
      <c r="E3942" s="2" t="s">
        <v>20</v>
      </c>
      <c r="F3942" s="2" t="n">
        <v>1847</v>
      </c>
      <c r="G3942" s="2" t="s">
        <v>20</v>
      </c>
      <c r="H3942" s="2" t="s">
        <v>20</v>
      </c>
      <c r="I3942" s="2" t="s">
        <v>21</v>
      </c>
      <c r="J3942" s="2" t="n">
        <v>9</v>
      </c>
      <c r="K3942" s="2" t="s">
        <v>53</v>
      </c>
      <c r="L3942" s="2" t="n">
        <v>390</v>
      </c>
      <c r="M3942" s="2" t="n">
        <v>1</v>
      </c>
      <c r="N3942" s="2" t="n">
        <v>-1</v>
      </c>
      <c r="O3942" s="2" t="n">
        <v>0</v>
      </c>
      <c r="P3942" s="2" t="s">
        <v>23</v>
      </c>
      <c r="Q3942" s="2" t="s">
        <v>20</v>
      </c>
    </row>
    <row r="3943" customFormat="false" ht="15" hidden="false" customHeight="false" outlineLevel="0" collapsed="false">
      <c r="A3943" s="2" t="n">
        <v>58</v>
      </c>
      <c r="B3943" s="2" t="s">
        <v>34</v>
      </c>
      <c r="C3943" s="2" t="s">
        <v>18</v>
      </c>
      <c r="D3943" s="2" t="s">
        <v>19</v>
      </c>
      <c r="E3943" s="2" t="s">
        <v>20</v>
      </c>
      <c r="F3943" s="2" t="n">
        <v>0</v>
      </c>
      <c r="G3943" s="2" t="s">
        <v>26</v>
      </c>
      <c r="H3943" s="2" t="s">
        <v>20</v>
      </c>
      <c r="I3943" s="2" t="s">
        <v>23</v>
      </c>
      <c r="J3943" s="2" t="n">
        <v>29</v>
      </c>
      <c r="K3943" s="2" t="s">
        <v>27</v>
      </c>
      <c r="L3943" s="2" t="n">
        <v>535</v>
      </c>
      <c r="M3943" s="2" t="n">
        <v>2</v>
      </c>
      <c r="N3943" s="2" t="n">
        <v>-1</v>
      </c>
      <c r="O3943" s="2" t="n">
        <v>0</v>
      </c>
      <c r="P3943" s="2" t="s">
        <v>23</v>
      </c>
      <c r="Q3943" s="2" t="s">
        <v>20</v>
      </c>
    </row>
    <row r="3944" customFormat="false" ht="15" hidden="false" customHeight="false" outlineLevel="0" collapsed="false">
      <c r="A3944" s="2" t="n">
        <v>49</v>
      </c>
      <c r="B3944" s="2" t="s">
        <v>29</v>
      </c>
      <c r="C3944" s="2" t="s">
        <v>18</v>
      </c>
      <c r="D3944" s="2" t="s">
        <v>19</v>
      </c>
      <c r="E3944" s="2" t="s">
        <v>20</v>
      </c>
      <c r="F3944" s="2" t="n">
        <v>3371</v>
      </c>
      <c r="G3944" s="2" t="s">
        <v>20</v>
      </c>
      <c r="H3944" s="2" t="s">
        <v>20</v>
      </c>
      <c r="I3944" s="2" t="s">
        <v>21</v>
      </c>
      <c r="J3944" s="2" t="n">
        <v>11</v>
      </c>
      <c r="K3944" s="2" t="s">
        <v>46</v>
      </c>
      <c r="L3944" s="2" t="n">
        <v>269</v>
      </c>
      <c r="M3944" s="2" t="n">
        <v>2</v>
      </c>
      <c r="N3944" s="2" t="n">
        <v>-1</v>
      </c>
      <c r="O3944" s="2" t="n">
        <v>0</v>
      </c>
      <c r="P3944" s="2" t="s">
        <v>23</v>
      </c>
      <c r="Q3944" s="2" t="s">
        <v>26</v>
      </c>
    </row>
    <row r="3945" customFormat="false" ht="15" hidden="false" customHeight="false" outlineLevel="0" collapsed="false">
      <c r="A3945" s="2" t="n">
        <v>45</v>
      </c>
      <c r="B3945" s="2" t="s">
        <v>24</v>
      </c>
      <c r="C3945" s="2" t="s">
        <v>30</v>
      </c>
      <c r="D3945" s="2" t="s">
        <v>25</v>
      </c>
      <c r="E3945" s="2" t="s">
        <v>20</v>
      </c>
      <c r="F3945" s="2" t="n">
        <v>1757</v>
      </c>
      <c r="G3945" s="2" t="s">
        <v>26</v>
      </c>
      <c r="H3945" s="2" t="s">
        <v>20</v>
      </c>
      <c r="I3945" s="2" t="s">
        <v>21</v>
      </c>
      <c r="J3945" s="2" t="n">
        <v>20</v>
      </c>
      <c r="K3945" s="2" t="s">
        <v>32</v>
      </c>
      <c r="L3945" s="2" t="n">
        <v>1010</v>
      </c>
      <c r="M3945" s="2" t="n">
        <v>3</v>
      </c>
      <c r="N3945" s="2" t="n">
        <v>326</v>
      </c>
      <c r="O3945" s="2" t="n">
        <v>1</v>
      </c>
      <c r="P3945" s="2" t="s">
        <v>37</v>
      </c>
      <c r="Q3945" s="2" t="s">
        <v>20</v>
      </c>
    </row>
    <row r="3946" customFormat="false" ht="15" hidden="false" customHeight="false" outlineLevel="0" collapsed="false">
      <c r="A3946" s="2" t="n">
        <v>55</v>
      </c>
      <c r="B3946" s="2" t="s">
        <v>29</v>
      </c>
      <c r="C3946" s="2" t="s">
        <v>18</v>
      </c>
      <c r="D3946" s="2" t="s">
        <v>31</v>
      </c>
      <c r="E3946" s="2" t="s">
        <v>20</v>
      </c>
      <c r="F3946" s="2" t="n">
        <v>171</v>
      </c>
      <c r="G3946" s="2" t="s">
        <v>26</v>
      </c>
      <c r="H3946" s="2" t="s">
        <v>20</v>
      </c>
      <c r="I3946" s="2" t="s">
        <v>21</v>
      </c>
      <c r="J3946" s="2" t="n">
        <v>8</v>
      </c>
      <c r="K3946" s="2" t="s">
        <v>41</v>
      </c>
      <c r="L3946" s="2" t="n">
        <v>73</v>
      </c>
      <c r="M3946" s="2" t="n">
        <v>6</v>
      </c>
      <c r="N3946" s="2" t="n">
        <v>-1</v>
      </c>
      <c r="O3946" s="2" t="n">
        <v>0</v>
      </c>
      <c r="P3946" s="2" t="s">
        <v>23</v>
      </c>
      <c r="Q3946" s="2" t="s">
        <v>20</v>
      </c>
    </row>
    <row r="3947" customFormat="false" ht="15" hidden="false" customHeight="false" outlineLevel="0" collapsed="false">
      <c r="A3947" s="2" t="n">
        <v>42</v>
      </c>
      <c r="B3947" s="2" t="s">
        <v>39</v>
      </c>
      <c r="C3947" s="2" t="s">
        <v>18</v>
      </c>
      <c r="D3947" s="2" t="s">
        <v>31</v>
      </c>
      <c r="E3947" s="2" t="s">
        <v>20</v>
      </c>
      <c r="F3947" s="2" t="n">
        <v>157</v>
      </c>
      <c r="G3947" s="2" t="s">
        <v>26</v>
      </c>
      <c r="H3947" s="2" t="s">
        <v>26</v>
      </c>
      <c r="I3947" s="2" t="s">
        <v>23</v>
      </c>
      <c r="J3947" s="2" t="n">
        <v>7</v>
      </c>
      <c r="K3947" s="2" t="s">
        <v>27</v>
      </c>
      <c r="L3947" s="2" t="n">
        <v>650</v>
      </c>
      <c r="M3947" s="2" t="n">
        <v>1</v>
      </c>
      <c r="N3947" s="2" t="n">
        <v>-1</v>
      </c>
      <c r="O3947" s="2" t="n">
        <v>0</v>
      </c>
      <c r="P3947" s="2" t="s">
        <v>23</v>
      </c>
      <c r="Q3947" s="2" t="s">
        <v>20</v>
      </c>
    </row>
    <row r="3948" customFormat="false" ht="15" hidden="false" customHeight="false" outlineLevel="0" collapsed="false">
      <c r="A3948" s="2" t="n">
        <v>28</v>
      </c>
      <c r="B3948" s="2" t="s">
        <v>40</v>
      </c>
      <c r="C3948" s="2" t="s">
        <v>18</v>
      </c>
      <c r="D3948" s="2" t="s">
        <v>25</v>
      </c>
      <c r="E3948" s="2" t="s">
        <v>20</v>
      </c>
      <c r="F3948" s="2" t="n">
        <v>934</v>
      </c>
      <c r="G3948" s="2" t="s">
        <v>26</v>
      </c>
      <c r="H3948" s="2" t="s">
        <v>20</v>
      </c>
      <c r="I3948" s="2" t="s">
        <v>23</v>
      </c>
      <c r="J3948" s="2" t="n">
        <v>4</v>
      </c>
      <c r="K3948" s="2" t="s">
        <v>44</v>
      </c>
      <c r="L3948" s="2" t="n">
        <v>53</v>
      </c>
      <c r="M3948" s="2" t="n">
        <v>2</v>
      </c>
      <c r="N3948" s="2" t="n">
        <v>-1</v>
      </c>
      <c r="O3948" s="2" t="n">
        <v>0</v>
      </c>
      <c r="P3948" s="2" t="s">
        <v>23</v>
      </c>
      <c r="Q3948" s="2" t="s">
        <v>20</v>
      </c>
    </row>
    <row r="3949" customFormat="false" ht="15" hidden="false" customHeight="false" outlineLevel="0" collapsed="false">
      <c r="A3949" s="2" t="n">
        <v>48</v>
      </c>
      <c r="B3949" s="2" t="s">
        <v>34</v>
      </c>
      <c r="C3949" s="2" t="s">
        <v>18</v>
      </c>
      <c r="D3949" s="2" t="s">
        <v>25</v>
      </c>
      <c r="E3949" s="2" t="s">
        <v>20</v>
      </c>
      <c r="F3949" s="2" t="n">
        <v>-19</v>
      </c>
      <c r="G3949" s="2" t="s">
        <v>20</v>
      </c>
      <c r="H3949" s="2" t="s">
        <v>26</v>
      </c>
      <c r="I3949" s="2" t="s">
        <v>23</v>
      </c>
      <c r="J3949" s="2" t="n">
        <v>4</v>
      </c>
      <c r="K3949" s="2" t="s">
        <v>44</v>
      </c>
      <c r="L3949" s="2" t="n">
        <v>270</v>
      </c>
      <c r="M3949" s="2" t="n">
        <v>1</v>
      </c>
      <c r="N3949" s="2" t="n">
        <v>-1</v>
      </c>
      <c r="O3949" s="2" t="n">
        <v>0</v>
      </c>
      <c r="P3949" s="2" t="s">
        <v>23</v>
      </c>
      <c r="Q3949" s="2" t="s">
        <v>20</v>
      </c>
    </row>
    <row r="3950" customFormat="false" ht="15" hidden="false" customHeight="false" outlineLevel="0" collapsed="false">
      <c r="A3950" s="2" t="n">
        <v>51</v>
      </c>
      <c r="B3950" s="2" t="s">
        <v>29</v>
      </c>
      <c r="C3950" s="2" t="s">
        <v>30</v>
      </c>
      <c r="D3950" s="2" t="s">
        <v>31</v>
      </c>
      <c r="E3950" s="2" t="s">
        <v>26</v>
      </c>
      <c r="F3950" s="2" t="n">
        <v>-55</v>
      </c>
      <c r="G3950" s="2" t="s">
        <v>26</v>
      </c>
      <c r="H3950" s="2" t="s">
        <v>20</v>
      </c>
      <c r="I3950" s="2" t="s">
        <v>21</v>
      </c>
      <c r="J3950" s="2" t="n">
        <v>18</v>
      </c>
      <c r="K3950" s="2" t="s">
        <v>41</v>
      </c>
      <c r="L3950" s="2" t="n">
        <v>119</v>
      </c>
      <c r="M3950" s="2" t="n">
        <v>6</v>
      </c>
      <c r="N3950" s="2" t="n">
        <v>-1</v>
      </c>
      <c r="O3950" s="2" t="n">
        <v>0</v>
      </c>
      <c r="P3950" s="2" t="s">
        <v>23</v>
      </c>
      <c r="Q3950" s="2" t="s">
        <v>20</v>
      </c>
    </row>
    <row r="3951" customFormat="false" ht="15" hidden="false" customHeight="false" outlineLevel="0" collapsed="false">
      <c r="A3951" s="2" t="n">
        <v>38</v>
      </c>
      <c r="B3951" s="2" t="s">
        <v>47</v>
      </c>
      <c r="C3951" s="2" t="s">
        <v>18</v>
      </c>
      <c r="D3951" s="2" t="s">
        <v>19</v>
      </c>
      <c r="E3951" s="2" t="s">
        <v>20</v>
      </c>
      <c r="F3951" s="2" t="n">
        <v>21</v>
      </c>
      <c r="G3951" s="2" t="s">
        <v>20</v>
      </c>
      <c r="H3951" s="2" t="s">
        <v>20</v>
      </c>
      <c r="I3951" s="2" t="s">
        <v>21</v>
      </c>
      <c r="J3951" s="2" t="n">
        <v>26</v>
      </c>
      <c r="K3951" s="2" t="s">
        <v>41</v>
      </c>
      <c r="L3951" s="2" t="n">
        <v>634</v>
      </c>
      <c r="M3951" s="2" t="n">
        <v>2</v>
      </c>
      <c r="N3951" s="2" t="n">
        <v>-1</v>
      </c>
      <c r="O3951" s="2" t="n">
        <v>0</v>
      </c>
      <c r="P3951" s="2" t="s">
        <v>23</v>
      </c>
      <c r="Q3951" s="2" t="s">
        <v>20</v>
      </c>
    </row>
    <row r="3952" customFormat="false" ht="15" hidden="false" customHeight="false" outlineLevel="0" collapsed="false">
      <c r="A3952" s="2" t="n">
        <v>27</v>
      </c>
      <c r="B3952" s="2" t="s">
        <v>34</v>
      </c>
      <c r="C3952" s="2" t="s">
        <v>30</v>
      </c>
      <c r="D3952" s="2" t="s">
        <v>25</v>
      </c>
      <c r="E3952" s="2" t="s">
        <v>20</v>
      </c>
      <c r="F3952" s="2" t="n">
        <v>14</v>
      </c>
      <c r="G3952" s="2" t="s">
        <v>20</v>
      </c>
      <c r="H3952" s="2" t="s">
        <v>20</v>
      </c>
      <c r="I3952" s="2" t="s">
        <v>23</v>
      </c>
      <c r="J3952" s="2" t="n">
        <v>14</v>
      </c>
      <c r="K3952" s="2" t="s">
        <v>27</v>
      </c>
      <c r="L3952" s="2" t="n">
        <v>72</v>
      </c>
      <c r="M3952" s="2" t="n">
        <v>2</v>
      </c>
      <c r="N3952" s="2" t="n">
        <v>-1</v>
      </c>
      <c r="O3952" s="2" t="n">
        <v>0</v>
      </c>
      <c r="P3952" s="2" t="s">
        <v>23</v>
      </c>
      <c r="Q3952" s="2" t="s">
        <v>20</v>
      </c>
    </row>
    <row r="3953" customFormat="false" ht="15" hidden="false" customHeight="false" outlineLevel="0" collapsed="false">
      <c r="A3953" s="2" t="n">
        <v>50</v>
      </c>
      <c r="B3953" s="2" t="s">
        <v>38</v>
      </c>
      <c r="C3953" s="2" t="s">
        <v>30</v>
      </c>
      <c r="D3953" s="2" t="s">
        <v>25</v>
      </c>
      <c r="E3953" s="2" t="s">
        <v>20</v>
      </c>
      <c r="F3953" s="2" t="n">
        <v>246</v>
      </c>
      <c r="G3953" s="2" t="s">
        <v>26</v>
      </c>
      <c r="H3953" s="2" t="s">
        <v>20</v>
      </c>
      <c r="I3953" s="2" t="s">
        <v>21</v>
      </c>
      <c r="J3953" s="2" t="n">
        <v>17</v>
      </c>
      <c r="K3953" s="2" t="s">
        <v>46</v>
      </c>
      <c r="L3953" s="2" t="n">
        <v>270</v>
      </c>
      <c r="M3953" s="2" t="n">
        <v>1</v>
      </c>
      <c r="N3953" s="2" t="n">
        <v>123</v>
      </c>
      <c r="O3953" s="2" t="n">
        <v>2</v>
      </c>
      <c r="P3953" s="2" t="s">
        <v>28</v>
      </c>
      <c r="Q3953" s="2" t="s">
        <v>20</v>
      </c>
    </row>
    <row r="3954" customFormat="false" ht="15" hidden="false" customHeight="false" outlineLevel="0" collapsed="false">
      <c r="A3954" s="2" t="n">
        <v>44</v>
      </c>
      <c r="B3954" s="2" t="s">
        <v>34</v>
      </c>
      <c r="C3954" s="2" t="s">
        <v>18</v>
      </c>
      <c r="D3954" s="2" t="s">
        <v>19</v>
      </c>
      <c r="E3954" s="2" t="s">
        <v>20</v>
      </c>
      <c r="F3954" s="2" t="n">
        <v>887</v>
      </c>
      <c r="G3954" s="2" t="s">
        <v>26</v>
      </c>
      <c r="H3954" s="2" t="s">
        <v>20</v>
      </c>
      <c r="I3954" s="2" t="s">
        <v>21</v>
      </c>
      <c r="J3954" s="2" t="n">
        <v>12</v>
      </c>
      <c r="K3954" s="2" t="s">
        <v>27</v>
      </c>
      <c r="L3954" s="2" t="n">
        <v>165</v>
      </c>
      <c r="M3954" s="2" t="n">
        <v>2</v>
      </c>
      <c r="N3954" s="2" t="n">
        <v>363</v>
      </c>
      <c r="O3954" s="2" t="n">
        <v>1</v>
      </c>
      <c r="P3954" s="2" t="s">
        <v>28</v>
      </c>
      <c r="Q3954" s="2" t="s">
        <v>20</v>
      </c>
    </row>
    <row r="3955" customFormat="false" ht="15" hidden="false" customHeight="false" outlineLevel="0" collapsed="false">
      <c r="A3955" s="2" t="n">
        <v>40</v>
      </c>
      <c r="B3955" s="2" t="s">
        <v>29</v>
      </c>
      <c r="C3955" s="2" t="s">
        <v>18</v>
      </c>
      <c r="D3955" s="2" t="s">
        <v>31</v>
      </c>
      <c r="E3955" s="2" t="s">
        <v>20</v>
      </c>
      <c r="F3955" s="2" t="n">
        <v>51</v>
      </c>
      <c r="G3955" s="2" t="s">
        <v>20</v>
      </c>
      <c r="H3955" s="2" t="s">
        <v>20</v>
      </c>
      <c r="I3955" s="2" t="s">
        <v>21</v>
      </c>
      <c r="J3955" s="2" t="n">
        <v>19</v>
      </c>
      <c r="K3955" s="2" t="s">
        <v>41</v>
      </c>
      <c r="L3955" s="2" t="n">
        <v>164</v>
      </c>
      <c r="M3955" s="2" t="n">
        <v>2</v>
      </c>
      <c r="N3955" s="2" t="n">
        <v>-1</v>
      </c>
      <c r="O3955" s="2" t="n">
        <v>0</v>
      </c>
      <c r="P3955" s="2" t="s">
        <v>23</v>
      </c>
      <c r="Q3955" s="2" t="s">
        <v>20</v>
      </c>
    </row>
    <row r="3956" customFormat="false" ht="15" hidden="false" customHeight="false" outlineLevel="0" collapsed="false">
      <c r="A3956" s="2" t="n">
        <v>29</v>
      </c>
      <c r="B3956" s="2" t="s">
        <v>24</v>
      </c>
      <c r="C3956" s="2" t="s">
        <v>30</v>
      </c>
      <c r="D3956" s="2" t="s">
        <v>25</v>
      </c>
      <c r="E3956" s="2" t="s">
        <v>20</v>
      </c>
      <c r="F3956" s="2" t="n">
        <v>-287</v>
      </c>
      <c r="G3956" s="2" t="s">
        <v>26</v>
      </c>
      <c r="H3956" s="2" t="s">
        <v>20</v>
      </c>
      <c r="I3956" s="2" t="s">
        <v>21</v>
      </c>
      <c r="J3956" s="2" t="n">
        <v>18</v>
      </c>
      <c r="K3956" s="2" t="s">
        <v>27</v>
      </c>
      <c r="L3956" s="2" t="n">
        <v>196</v>
      </c>
      <c r="M3956" s="2" t="n">
        <v>1</v>
      </c>
      <c r="N3956" s="2" t="n">
        <v>-1</v>
      </c>
      <c r="O3956" s="2" t="n">
        <v>0</v>
      </c>
      <c r="P3956" s="2" t="s">
        <v>23</v>
      </c>
      <c r="Q3956" s="2" t="s">
        <v>20</v>
      </c>
    </row>
    <row r="3957" customFormat="false" ht="15" hidden="false" customHeight="false" outlineLevel="0" collapsed="false">
      <c r="A3957" s="2" t="n">
        <v>34</v>
      </c>
      <c r="B3957" s="2" t="s">
        <v>24</v>
      </c>
      <c r="C3957" s="2" t="s">
        <v>18</v>
      </c>
      <c r="D3957" s="2" t="s">
        <v>25</v>
      </c>
      <c r="E3957" s="2" t="s">
        <v>20</v>
      </c>
      <c r="F3957" s="2" t="n">
        <v>0</v>
      </c>
      <c r="G3957" s="2" t="s">
        <v>26</v>
      </c>
      <c r="H3957" s="2" t="s">
        <v>20</v>
      </c>
      <c r="I3957" s="2" t="s">
        <v>21</v>
      </c>
      <c r="J3957" s="2" t="n">
        <v>14</v>
      </c>
      <c r="K3957" s="2" t="s">
        <v>44</v>
      </c>
      <c r="L3957" s="2" t="n">
        <v>78</v>
      </c>
      <c r="M3957" s="2" t="n">
        <v>4</v>
      </c>
      <c r="N3957" s="2" t="n">
        <v>-1</v>
      </c>
      <c r="O3957" s="2" t="n">
        <v>0</v>
      </c>
      <c r="P3957" s="2" t="s">
        <v>23</v>
      </c>
      <c r="Q3957" s="2" t="s">
        <v>20</v>
      </c>
    </row>
    <row r="3958" customFormat="false" ht="15" hidden="false" customHeight="false" outlineLevel="0" collapsed="false">
      <c r="A3958" s="2" t="n">
        <v>44</v>
      </c>
      <c r="B3958" s="2" t="s">
        <v>36</v>
      </c>
      <c r="C3958" s="2" t="s">
        <v>30</v>
      </c>
      <c r="D3958" s="2" t="s">
        <v>31</v>
      </c>
      <c r="E3958" s="2" t="s">
        <v>20</v>
      </c>
      <c r="F3958" s="2" t="n">
        <v>2734</v>
      </c>
      <c r="G3958" s="2" t="s">
        <v>26</v>
      </c>
      <c r="H3958" s="2" t="s">
        <v>20</v>
      </c>
      <c r="I3958" s="2" t="s">
        <v>21</v>
      </c>
      <c r="J3958" s="2" t="n">
        <v>12</v>
      </c>
      <c r="K3958" s="2" t="s">
        <v>27</v>
      </c>
      <c r="L3958" s="2" t="n">
        <v>897</v>
      </c>
      <c r="M3958" s="2" t="n">
        <v>4</v>
      </c>
      <c r="N3958" s="2" t="n">
        <v>-1</v>
      </c>
      <c r="O3958" s="2" t="n">
        <v>0</v>
      </c>
      <c r="P3958" s="2" t="s">
        <v>23</v>
      </c>
      <c r="Q3958" s="2" t="s">
        <v>26</v>
      </c>
    </row>
    <row r="3959" customFormat="false" ht="15" hidden="false" customHeight="false" outlineLevel="0" collapsed="false">
      <c r="A3959" s="2" t="n">
        <v>50</v>
      </c>
      <c r="B3959" s="2" t="s">
        <v>39</v>
      </c>
      <c r="C3959" s="2" t="s">
        <v>18</v>
      </c>
      <c r="D3959" s="2" t="s">
        <v>31</v>
      </c>
      <c r="E3959" s="2" t="s">
        <v>20</v>
      </c>
      <c r="F3959" s="2" t="n">
        <v>52</v>
      </c>
      <c r="G3959" s="2" t="s">
        <v>20</v>
      </c>
      <c r="H3959" s="2" t="s">
        <v>20</v>
      </c>
      <c r="I3959" s="2" t="s">
        <v>21</v>
      </c>
      <c r="J3959" s="2" t="n">
        <v>31</v>
      </c>
      <c r="K3959" s="2" t="s">
        <v>44</v>
      </c>
      <c r="L3959" s="2" t="n">
        <v>22</v>
      </c>
      <c r="M3959" s="2" t="n">
        <v>8</v>
      </c>
      <c r="N3959" s="2" t="n">
        <v>-1</v>
      </c>
      <c r="O3959" s="2" t="n">
        <v>0</v>
      </c>
      <c r="P3959" s="2" t="s">
        <v>23</v>
      </c>
      <c r="Q3959" s="2" t="s">
        <v>20</v>
      </c>
    </row>
    <row r="3960" customFormat="false" ht="15" hidden="false" customHeight="false" outlineLevel="0" collapsed="false">
      <c r="A3960" s="2" t="n">
        <v>34</v>
      </c>
      <c r="B3960" s="2" t="s">
        <v>29</v>
      </c>
      <c r="C3960" s="2" t="s">
        <v>18</v>
      </c>
      <c r="D3960" s="2" t="s">
        <v>31</v>
      </c>
      <c r="E3960" s="2" t="s">
        <v>20</v>
      </c>
      <c r="F3960" s="2" t="n">
        <v>2594</v>
      </c>
      <c r="G3960" s="2" t="s">
        <v>26</v>
      </c>
      <c r="H3960" s="2" t="s">
        <v>20</v>
      </c>
      <c r="I3960" s="2" t="s">
        <v>21</v>
      </c>
      <c r="J3960" s="2" t="n">
        <v>21</v>
      </c>
      <c r="K3960" s="2" t="s">
        <v>46</v>
      </c>
      <c r="L3960" s="2" t="n">
        <v>161</v>
      </c>
      <c r="M3960" s="2" t="n">
        <v>3</v>
      </c>
      <c r="N3960" s="2" t="n">
        <v>-1</v>
      </c>
      <c r="O3960" s="2" t="n">
        <v>0</v>
      </c>
      <c r="P3960" s="2" t="s">
        <v>23</v>
      </c>
      <c r="Q3960" s="2" t="s">
        <v>20</v>
      </c>
    </row>
    <row r="3961" customFormat="false" ht="15" hidden="false" customHeight="false" outlineLevel="0" collapsed="false">
      <c r="A3961" s="2" t="n">
        <v>54</v>
      </c>
      <c r="B3961" s="2" t="s">
        <v>48</v>
      </c>
      <c r="C3961" s="2" t="s">
        <v>45</v>
      </c>
      <c r="D3961" s="2" t="s">
        <v>19</v>
      </c>
      <c r="E3961" s="2" t="s">
        <v>20</v>
      </c>
      <c r="F3961" s="2" t="n">
        <v>22</v>
      </c>
      <c r="G3961" s="2" t="s">
        <v>20</v>
      </c>
      <c r="H3961" s="2" t="s">
        <v>20</v>
      </c>
      <c r="I3961" s="2" t="s">
        <v>23</v>
      </c>
      <c r="J3961" s="2" t="n">
        <v>20</v>
      </c>
      <c r="K3961" s="2" t="s">
        <v>33</v>
      </c>
      <c r="L3961" s="2" t="n">
        <v>23</v>
      </c>
      <c r="M3961" s="2" t="n">
        <v>4</v>
      </c>
      <c r="N3961" s="2" t="n">
        <v>-1</v>
      </c>
      <c r="O3961" s="2" t="n">
        <v>0</v>
      </c>
      <c r="P3961" s="2" t="s">
        <v>23</v>
      </c>
      <c r="Q3961" s="2" t="s">
        <v>20</v>
      </c>
    </row>
    <row r="3962" customFormat="false" ht="15" hidden="false" customHeight="false" outlineLevel="0" collapsed="false">
      <c r="A3962" s="2" t="n">
        <v>34</v>
      </c>
      <c r="B3962" s="2" t="s">
        <v>38</v>
      </c>
      <c r="C3962" s="2" t="s">
        <v>18</v>
      </c>
      <c r="D3962" s="2" t="s">
        <v>31</v>
      </c>
      <c r="E3962" s="2" t="s">
        <v>20</v>
      </c>
      <c r="F3962" s="2" t="n">
        <v>1611</v>
      </c>
      <c r="G3962" s="2" t="s">
        <v>26</v>
      </c>
      <c r="H3962" s="2" t="s">
        <v>20</v>
      </c>
      <c r="I3962" s="2" t="s">
        <v>21</v>
      </c>
      <c r="J3962" s="2" t="n">
        <v>11</v>
      </c>
      <c r="K3962" s="2" t="s">
        <v>27</v>
      </c>
      <c r="L3962" s="2" t="n">
        <v>490</v>
      </c>
      <c r="M3962" s="2" t="n">
        <v>2</v>
      </c>
      <c r="N3962" s="2" t="n">
        <v>-1</v>
      </c>
      <c r="O3962" s="2" t="n">
        <v>0</v>
      </c>
      <c r="P3962" s="2" t="s">
        <v>23</v>
      </c>
      <c r="Q3962" s="2" t="s">
        <v>20</v>
      </c>
    </row>
    <row r="3963" customFormat="false" ht="15" hidden="false" customHeight="false" outlineLevel="0" collapsed="false">
      <c r="A3963" s="2" t="n">
        <v>34</v>
      </c>
      <c r="B3963" s="2" t="s">
        <v>40</v>
      </c>
      <c r="C3963" s="2" t="s">
        <v>30</v>
      </c>
      <c r="D3963" s="2" t="s">
        <v>31</v>
      </c>
      <c r="E3963" s="2" t="s">
        <v>20</v>
      </c>
      <c r="F3963" s="2" t="n">
        <v>18</v>
      </c>
      <c r="G3963" s="2" t="s">
        <v>26</v>
      </c>
      <c r="H3963" s="2" t="s">
        <v>26</v>
      </c>
      <c r="I3963" s="2" t="s">
        <v>21</v>
      </c>
      <c r="J3963" s="2" t="n">
        <v>30</v>
      </c>
      <c r="K3963" s="2" t="s">
        <v>32</v>
      </c>
      <c r="L3963" s="2" t="n">
        <v>359</v>
      </c>
      <c r="M3963" s="2" t="n">
        <v>1</v>
      </c>
      <c r="N3963" s="2" t="n">
        <v>-1</v>
      </c>
      <c r="O3963" s="2" t="n">
        <v>0</v>
      </c>
      <c r="P3963" s="2" t="s">
        <v>23</v>
      </c>
      <c r="Q3963" s="2" t="s">
        <v>26</v>
      </c>
    </row>
    <row r="3964" customFormat="false" ht="15" hidden="false" customHeight="false" outlineLevel="0" collapsed="false">
      <c r="A3964" s="2" t="n">
        <v>52</v>
      </c>
      <c r="B3964" s="2" t="s">
        <v>34</v>
      </c>
      <c r="C3964" s="2" t="s">
        <v>18</v>
      </c>
      <c r="D3964" s="2" t="s">
        <v>19</v>
      </c>
      <c r="E3964" s="2" t="s">
        <v>20</v>
      </c>
      <c r="F3964" s="2" t="n">
        <v>1331</v>
      </c>
      <c r="G3964" s="2" t="s">
        <v>26</v>
      </c>
      <c r="H3964" s="2" t="s">
        <v>20</v>
      </c>
      <c r="I3964" s="2" t="s">
        <v>21</v>
      </c>
      <c r="J3964" s="2" t="n">
        <v>29</v>
      </c>
      <c r="K3964" s="2" t="s">
        <v>44</v>
      </c>
      <c r="L3964" s="2" t="n">
        <v>213</v>
      </c>
      <c r="M3964" s="2" t="n">
        <v>2</v>
      </c>
      <c r="N3964" s="2" t="n">
        <v>-1</v>
      </c>
      <c r="O3964" s="2" t="n">
        <v>0</v>
      </c>
      <c r="P3964" s="2" t="s">
        <v>23</v>
      </c>
      <c r="Q3964" s="2" t="s">
        <v>20</v>
      </c>
    </row>
    <row r="3965" customFormat="false" ht="15" hidden="false" customHeight="false" outlineLevel="0" collapsed="false">
      <c r="A3965" s="2" t="n">
        <v>60</v>
      </c>
      <c r="B3965" s="2" t="s">
        <v>23</v>
      </c>
      <c r="C3965" s="2" t="s">
        <v>18</v>
      </c>
      <c r="D3965" s="2" t="s">
        <v>23</v>
      </c>
      <c r="E3965" s="2" t="s">
        <v>20</v>
      </c>
      <c r="F3965" s="2" t="n">
        <v>7337</v>
      </c>
      <c r="G3965" s="2" t="s">
        <v>20</v>
      </c>
      <c r="H3965" s="2" t="s">
        <v>20</v>
      </c>
      <c r="I3965" s="2" t="s">
        <v>21</v>
      </c>
      <c r="J3965" s="2" t="n">
        <v>4</v>
      </c>
      <c r="K3965" s="2" t="s">
        <v>41</v>
      </c>
      <c r="L3965" s="2" t="n">
        <v>122</v>
      </c>
      <c r="M3965" s="2" t="n">
        <v>1</v>
      </c>
      <c r="N3965" s="2" t="n">
        <v>-1</v>
      </c>
      <c r="O3965" s="2" t="n">
        <v>0</v>
      </c>
      <c r="P3965" s="2" t="s">
        <v>23</v>
      </c>
      <c r="Q3965" s="2" t="s">
        <v>20</v>
      </c>
    </row>
    <row r="3966" customFormat="false" ht="15" hidden="false" customHeight="false" outlineLevel="0" collapsed="false">
      <c r="A3966" s="2" t="n">
        <v>39</v>
      </c>
      <c r="B3966" s="2" t="s">
        <v>29</v>
      </c>
      <c r="C3966" s="2" t="s">
        <v>30</v>
      </c>
      <c r="D3966" s="2" t="s">
        <v>25</v>
      </c>
      <c r="E3966" s="2" t="s">
        <v>20</v>
      </c>
      <c r="F3966" s="2" t="n">
        <v>835</v>
      </c>
      <c r="G3966" s="2" t="s">
        <v>26</v>
      </c>
      <c r="H3966" s="2" t="s">
        <v>20</v>
      </c>
      <c r="I3966" s="2" t="s">
        <v>23</v>
      </c>
      <c r="J3966" s="2" t="n">
        <v>29</v>
      </c>
      <c r="K3966" s="2" t="s">
        <v>27</v>
      </c>
      <c r="L3966" s="2" t="n">
        <v>587</v>
      </c>
      <c r="M3966" s="2" t="n">
        <v>4</v>
      </c>
      <c r="N3966" s="2" t="n">
        <v>-1</v>
      </c>
      <c r="O3966" s="2" t="n">
        <v>0</v>
      </c>
      <c r="P3966" s="2" t="s">
        <v>23</v>
      </c>
      <c r="Q3966" s="2" t="s">
        <v>20</v>
      </c>
    </row>
    <row r="3967" customFormat="false" ht="15" hidden="false" customHeight="false" outlineLevel="0" collapsed="false">
      <c r="A3967" s="2" t="n">
        <v>58</v>
      </c>
      <c r="B3967" s="2" t="s">
        <v>48</v>
      </c>
      <c r="C3967" s="2" t="s">
        <v>18</v>
      </c>
      <c r="D3967" s="2" t="s">
        <v>19</v>
      </c>
      <c r="E3967" s="2" t="s">
        <v>20</v>
      </c>
      <c r="F3967" s="2" t="n">
        <v>5092</v>
      </c>
      <c r="G3967" s="2" t="s">
        <v>20</v>
      </c>
      <c r="H3967" s="2" t="s">
        <v>20</v>
      </c>
      <c r="I3967" s="2" t="s">
        <v>23</v>
      </c>
      <c r="J3967" s="2" t="n">
        <v>11</v>
      </c>
      <c r="K3967" s="2" t="s">
        <v>33</v>
      </c>
      <c r="L3967" s="2" t="n">
        <v>199</v>
      </c>
      <c r="M3967" s="2" t="n">
        <v>6</v>
      </c>
      <c r="N3967" s="2" t="n">
        <v>-1</v>
      </c>
      <c r="O3967" s="2" t="n">
        <v>0</v>
      </c>
      <c r="P3967" s="2" t="s">
        <v>23</v>
      </c>
      <c r="Q3967" s="2" t="s">
        <v>20</v>
      </c>
    </row>
    <row r="3968" customFormat="false" ht="15" hidden="false" customHeight="false" outlineLevel="0" collapsed="false">
      <c r="A3968" s="2" t="n">
        <v>41</v>
      </c>
      <c r="B3968" s="2" t="s">
        <v>38</v>
      </c>
      <c r="C3968" s="2" t="s">
        <v>45</v>
      </c>
      <c r="D3968" s="2" t="s">
        <v>25</v>
      </c>
      <c r="E3968" s="2" t="s">
        <v>20</v>
      </c>
      <c r="F3968" s="2" t="n">
        <v>52</v>
      </c>
      <c r="G3968" s="2" t="s">
        <v>20</v>
      </c>
      <c r="H3968" s="2" t="s">
        <v>20</v>
      </c>
      <c r="I3968" s="2" t="s">
        <v>21</v>
      </c>
      <c r="J3968" s="2" t="n">
        <v>20</v>
      </c>
      <c r="K3968" s="2" t="s">
        <v>41</v>
      </c>
      <c r="L3968" s="2" t="n">
        <v>261</v>
      </c>
      <c r="M3968" s="2" t="n">
        <v>2</v>
      </c>
      <c r="N3968" s="2" t="n">
        <v>-1</v>
      </c>
      <c r="O3968" s="2" t="n">
        <v>0</v>
      </c>
      <c r="P3968" s="2" t="s">
        <v>23</v>
      </c>
      <c r="Q3968" s="2" t="s">
        <v>20</v>
      </c>
    </row>
    <row r="3969" customFormat="false" ht="15" hidden="false" customHeight="false" outlineLevel="0" collapsed="false">
      <c r="A3969" s="2" t="n">
        <v>48</v>
      </c>
      <c r="B3969" s="2" t="s">
        <v>38</v>
      </c>
      <c r="C3969" s="2" t="s">
        <v>18</v>
      </c>
      <c r="D3969" s="2" t="s">
        <v>25</v>
      </c>
      <c r="E3969" s="2" t="s">
        <v>20</v>
      </c>
      <c r="F3969" s="2" t="n">
        <v>10655</v>
      </c>
      <c r="G3969" s="2" t="s">
        <v>20</v>
      </c>
      <c r="H3969" s="2" t="s">
        <v>20</v>
      </c>
      <c r="I3969" s="2" t="s">
        <v>49</v>
      </c>
      <c r="J3969" s="2" t="n">
        <v>31</v>
      </c>
      <c r="K3969" s="2" t="s">
        <v>44</v>
      </c>
      <c r="L3969" s="2" t="n">
        <v>5</v>
      </c>
      <c r="M3969" s="2" t="n">
        <v>3</v>
      </c>
      <c r="N3969" s="2" t="n">
        <v>-1</v>
      </c>
      <c r="O3969" s="2" t="n">
        <v>0</v>
      </c>
      <c r="P3969" s="2" t="s">
        <v>23</v>
      </c>
      <c r="Q3969" s="2" t="s">
        <v>20</v>
      </c>
    </row>
    <row r="3970" customFormat="false" ht="15" hidden="false" customHeight="false" outlineLevel="0" collapsed="false">
      <c r="A3970" s="2" t="n">
        <v>58</v>
      </c>
      <c r="B3970" s="2" t="s">
        <v>29</v>
      </c>
      <c r="C3970" s="2" t="s">
        <v>18</v>
      </c>
      <c r="D3970" s="2" t="s">
        <v>31</v>
      </c>
      <c r="E3970" s="2" t="s">
        <v>20</v>
      </c>
      <c r="F3970" s="2" t="n">
        <v>1831</v>
      </c>
      <c r="G3970" s="2" t="s">
        <v>20</v>
      </c>
      <c r="H3970" s="2" t="s">
        <v>20</v>
      </c>
      <c r="I3970" s="2" t="s">
        <v>21</v>
      </c>
      <c r="J3970" s="2" t="n">
        <v>17</v>
      </c>
      <c r="K3970" s="2" t="s">
        <v>46</v>
      </c>
      <c r="L3970" s="2" t="n">
        <v>1531</v>
      </c>
      <c r="M3970" s="2" t="n">
        <v>1</v>
      </c>
      <c r="N3970" s="2" t="n">
        <v>-1</v>
      </c>
      <c r="O3970" s="2" t="n">
        <v>0</v>
      </c>
      <c r="P3970" s="2" t="s">
        <v>23</v>
      </c>
      <c r="Q3970" s="2" t="s">
        <v>20</v>
      </c>
    </row>
    <row r="3971" customFormat="false" ht="15" hidden="false" customHeight="false" outlineLevel="0" collapsed="false">
      <c r="A3971" s="2" t="n">
        <v>40</v>
      </c>
      <c r="B3971" s="2" t="s">
        <v>36</v>
      </c>
      <c r="C3971" s="2" t="s">
        <v>18</v>
      </c>
      <c r="D3971" s="2" t="s">
        <v>19</v>
      </c>
      <c r="E3971" s="2" t="s">
        <v>20</v>
      </c>
      <c r="F3971" s="2" t="n">
        <v>92</v>
      </c>
      <c r="G3971" s="2" t="s">
        <v>26</v>
      </c>
      <c r="H3971" s="2" t="s">
        <v>20</v>
      </c>
      <c r="I3971" s="2" t="s">
        <v>23</v>
      </c>
      <c r="J3971" s="2" t="n">
        <v>13</v>
      </c>
      <c r="K3971" s="2" t="s">
        <v>27</v>
      </c>
      <c r="L3971" s="2" t="n">
        <v>92</v>
      </c>
      <c r="M3971" s="2" t="n">
        <v>1</v>
      </c>
      <c r="N3971" s="2" t="n">
        <v>-1</v>
      </c>
      <c r="O3971" s="2" t="n">
        <v>0</v>
      </c>
      <c r="P3971" s="2" t="s">
        <v>23</v>
      </c>
      <c r="Q3971" s="2" t="s">
        <v>20</v>
      </c>
    </row>
    <row r="3972" customFormat="false" ht="15" hidden="false" customHeight="false" outlineLevel="0" collapsed="false">
      <c r="A3972" s="2" t="n">
        <v>48</v>
      </c>
      <c r="B3972" s="2" t="s">
        <v>29</v>
      </c>
      <c r="C3972" s="2" t="s">
        <v>18</v>
      </c>
      <c r="D3972" s="2" t="s">
        <v>31</v>
      </c>
      <c r="E3972" s="2" t="s">
        <v>20</v>
      </c>
      <c r="F3972" s="2" t="n">
        <v>586</v>
      </c>
      <c r="G3972" s="2" t="s">
        <v>26</v>
      </c>
      <c r="H3972" s="2" t="s">
        <v>26</v>
      </c>
      <c r="I3972" s="2" t="s">
        <v>21</v>
      </c>
      <c r="J3972" s="2" t="n">
        <v>6</v>
      </c>
      <c r="K3972" s="2" t="s">
        <v>27</v>
      </c>
      <c r="L3972" s="2" t="n">
        <v>179</v>
      </c>
      <c r="M3972" s="2" t="n">
        <v>2</v>
      </c>
      <c r="N3972" s="2" t="n">
        <v>-1</v>
      </c>
      <c r="O3972" s="2" t="n">
        <v>0</v>
      </c>
      <c r="P3972" s="2" t="s">
        <v>23</v>
      </c>
      <c r="Q3972" s="2" t="s">
        <v>20</v>
      </c>
    </row>
    <row r="3973" customFormat="false" ht="15" hidden="false" customHeight="false" outlineLevel="0" collapsed="false">
      <c r="A3973" s="2" t="n">
        <v>52</v>
      </c>
      <c r="B3973" s="2" t="s">
        <v>34</v>
      </c>
      <c r="C3973" s="2" t="s">
        <v>45</v>
      </c>
      <c r="D3973" s="2" t="s">
        <v>19</v>
      </c>
      <c r="E3973" s="2" t="s">
        <v>20</v>
      </c>
      <c r="F3973" s="2" t="n">
        <v>1758</v>
      </c>
      <c r="G3973" s="2" t="s">
        <v>26</v>
      </c>
      <c r="H3973" s="2" t="s">
        <v>20</v>
      </c>
      <c r="I3973" s="2" t="s">
        <v>23</v>
      </c>
      <c r="J3973" s="2" t="n">
        <v>15</v>
      </c>
      <c r="K3973" s="2" t="s">
        <v>27</v>
      </c>
      <c r="L3973" s="2" t="n">
        <v>41</v>
      </c>
      <c r="M3973" s="2" t="n">
        <v>1</v>
      </c>
      <c r="N3973" s="2" t="n">
        <v>-1</v>
      </c>
      <c r="O3973" s="2" t="n">
        <v>0</v>
      </c>
      <c r="P3973" s="2" t="s">
        <v>23</v>
      </c>
      <c r="Q3973" s="2" t="s">
        <v>20</v>
      </c>
    </row>
    <row r="3974" customFormat="false" ht="15" hidden="false" customHeight="false" outlineLevel="0" collapsed="false">
      <c r="A3974" s="2" t="n">
        <v>50</v>
      </c>
      <c r="B3974" s="2" t="s">
        <v>36</v>
      </c>
      <c r="C3974" s="2" t="s">
        <v>18</v>
      </c>
      <c r="D3974" s="2" t="s">
        <v>25</v>
      </c>
      <c r="E3974" s="2" t="s">
        <v>20</v>
      </c>
      <c r="F3974" s="2" t="n">
        <v>2061</v>
      </c>
      <c r="G3974" s="2" t="s">
        <v>26</v>
      </c>
      <c r="H3974" s="2" t="s">
        <v>26</v>
      </c>
      <c r="I3974" s="2" t="s">
        <v>21</v>
      </c>
      <c r="J3974" s="2" t="n">
        <v>29</v>
      </c>
      <c r="K3974" s="2" t="s">
        <v>43</v>
      </c>
      <c r="L3974" s="2" t="n">
        <v>197</v>
      </c>
      <c r="M3974" s="2" t="n">
        <v>2</v>
      </c>
      <c r="N3974" s="2" t="n">
        <v>244</v>
      </c>
      <c r="O3974" s="2" t="n">
        <v>3</v>
      </c>
      <c r="P3974" s="2" t="s">
        <v>28</v>
      </c>
      <c r="Q3974" s="2" t="s">
        <v>20</v>
      </c>
    </row>
    <row r="3975" customFormat="false" ht="15" hidden="false" customHeight="false" outlineLevel="0" collapsed="false">
      <c r="A3975" s="2" t="n">
        <v>25</v>
      </c>
      <c r="B3975" s="2" t="s">
        <v>38</v>
      </c>
      <c r="C3975" s="2" t="s">
        <v>30</v>
      </c>
      <c r="D3975" s="2" t="s">
        <v>25</v>
      </c>
      <c r="E3975" s="2" t="s">
        <v>20</v>
      </c>
      <c r="F3975" s="2" t="n">
        <v>959</v>
      </c>
      <c r="G3975" s="2" t="s">
        <v>20</v>
      </c>
      <c r="H3975" s="2" t="s">
        <v>20</v>
      </c>
      <c r="I3975" s="2" t="s">
        <v>21</v>
      </c>
      <c r="J3975" s="2" t="n">
        <v>9</v>
      </c>
      <c r="K3975" s="2" t="s">
        <v>44</v>
      </c>
      <c r="L3975" s="2" t="n">
        <v>144</v>
      </c>
      <c r="M3975" s="2" t="n">
        <v>5</v>
      </c>
      <c r="N3975" s="2" t="n">
        <v>-1</v>
      </c>
      <c r="O3975" s="2" t="n">
        <v>0</v>
      </c>
      <c r="P3975" s="2" t="s">
        <v>23</v>
      </c>
      <c r="Q3975" s="2" t="s">
        <v>20</v>
      </c>
    </row>
    <row r="3976" customFormat="false" ht="15" hidden="false" customHeight="false" outlineLevel="0" collapsed="false">
      <c r="A3976" s="2" t="n">
        <v>54</v>
      </c>
      <c r="B3976" s="2" t="s">
        <v>48</v>
      </c>
      <c r="C3976" s="2" t="s">
        <v>18</v>
      </c>
      <c r="D3976" s="2" t="s">
        <v>19</v>
      </c>
      <c r="E3976" s="2" t="s">
        <v>20</v>
      </c>
      <c r="F3976" s="2" t="n">
        <v>208</v>
      </c>
      <c r="G3976" s="2" t="s">
        <v>20</v>
      </c>
      <c r="H3976" s="2" t="s">
        <v>20</v>
      </c>
      <c r="I3976" s="2" t="s">
        <v>23</v>
      </c>
      <c r="J3976" s="2" t="n">
        <v>12</v>
      </c>
      <c r="K3976" s="2" t="s">
        <v>27</v>
      </c>
      <c r="L3976" s="2" t="n">
        <v>255</v>
      </c>
      <c r="M3976" s="2" t="n">
        <v>1</v>
      </c>
      <c r="N3976" s="2" t="n">
        <v>-1</v>
      </c>
      <c r="O3976" s="2" t="n">
        <v>0</v>
      </c>
      <c r="P3976" s="2" t="s">
        <v>23</v>
      </c>
      <c r="Q3976" s="2" t="s">
        <v>20</v>
      </c>
    </row>
    <row r="3977" customFormat="false" ht="15" hidden="false" customHeight="false" outlineLevel="0" collapsed="false">
      <c r="A3977" s="2" t="n">
        <v>34</v>
      </c>
      <c r="B3977" s="2" t="s">
        <v>24</v>
      </c>
      <c r="C3977" s="2" t="s">
        <v>18</v>
      </c>
      <c r="D3977" s="2" t="s">
        <v>25</v>
      </c>
      <c r="E3977" s="2" t="s">
        <v>20</v>
      </c>
      <c r="F3977" s="2" t="n">
        <v>-315</v>
      </c>
      <c r="G3977" s="2" t="s">
        <v>26</v>
      </c>
      <c r="H3977" s="2" t="s">
        <v>20</v>
      </c>
      <c r="I3977" s="2" t="s">
        <v>23</v>
      </c>
      <c r="J3977" s="2" t="n">
        <v>8</v>
      </c>
      <c r="K3977" s="2" t="s">
        <v>27</v>
      </c>
      <c r="L3977" s="2" t="n">
        <v>56</v>
      </c>
      <c r="M3977" s="2" t="n">
        <v>2</v>
      </c>
      <c r="N3977" s="2" t="n">
        <v>-1</v>
      </c>
      <c r="O3977" s="2" t="n">
        <v>0</v>
      </c>
      <c r="P3977" s="2" t="s">
        <v>23</v>
      </c>
      <c r="Q3977" s="2" t="s">
        <v>20</v>
      </c>
    </row>
    <row r="3978" customFormat="false" ht="15" hidden="false" customHeight="false" outlineLevel="0" collapsed="false">
      <c r="A3978" s="2" t="n">
        <v>48</v>
      </c>
      <c r="B3978" s="2" t="s">
        <v>29</v>
      </c>
      <c r="C3978" s="2" t="s">
        <v>18</v>
      </c>
      <c r="D3978" s="2" t="s">
        <v>31</v>
      </c>
      <c r="E3978" s="2" t="s">
        <v>26</v>
      </c>
      <c r="F3978" s="2" t="n">
        <v>-13</v>
      </c>
      <c r="G3978" s="2" t="s">
        <v>26</v>
      </c>
      <c r="H3978" s="2" t="s">
        <v>20</v>
      </c>
      <c r="I3978" s="2" t="s">
        <v>21</v>
      </c>
      <c r="J3978" s="2" t="n">
        <v>15</v>
      </c>
      <c r="K3978" s="2" t="s">
        <v>27</v>
      </c>
      <c r="L3978" s="2" t="n">
        <v>20</v>
      </c>
      <c r="M3978" s="2" t="n">
        <v>6</v>
      </c>
      <c r="N3978" s="2" t="n">
        <v>291</v>
      </c>
      <c r="O3978" s="2" t="n">
        <v>2</v>
      </c>
      <c r="P3978" s="2" t="s">
        <v>37</v>
      </c>
      <c r="Q3978" s="2" t="s">
        <v>20</v>
      </c>
    </row>
    <row r="3979" customFormat="false" ht="15" hidden="false" customHeight="false" outlineLevel="0" collapsed="false">
      <c r="A3979" s="2" t="n">
        <v>37</v>
      </c>
      <c r="B3979" s="2" t="s">
        <v>40</v>
      </c>
      <c r="C3979" s="2" t="s">
        <v>18</v>
      </c>
      <c r="D3979" s="2" t="s">
        <v>31</v>
      </c>
      <c r="E3979" s="2" t="s">
        <v>20</v>
      </c>
      <c r="F3979" s="2" t="n">
        <v>801</v>
      </c>
      <c r="G3979" s="2" t="s">
        <v>20</v>
      </c>
      <c r="H3979" s="2" t="s">
        <v>20</v>
      </c>
      <c r="I3979" s="2" t="s">
        <v>21</v>
      </c>
      <c r="J3979" s="2" t="n">
        <v>11</v>
      </c>
      <c r="K3979" s="2" t="s">
        <v>41</v>
      </c>
      <c r="L3979" s="2" t="n">
        <v>331</v>
      </c>
      <c r="M3979" s="2" t="n">
        <v>7</v>
      </c>
      <c r="N3979" s="2" t="n">
        <v>-1</v>
      </c>
      <c r="O3979" s="2" t="n">
        <v>0</v>
      </c>
      <c r="P3979" s="2" t="s">
        <v>23</v>
      </c>
      <c r="Q3979" s="2" t="s">
        <v>20</v>
      </c>
    </row>
    <row r="3980" customFormat="false" ht="15" hidden="false" customHeight="false" outlineLevel="0" collapsed="false">
      <c r="A3980" s="2" t="n">
        <v>66</v>
      </c>
      <c r="B3980" s="2" t="s">
        <v>48</v>
      </c>
      <c r="C3980" s="2" t="s">
        <v>18</v>
      </c>
      <c r="D3980" s="2" t="s">
        <v>31</v>
      </c>
      <c r="E3980" s="2" t="s">
        <v>20</v>
      </c>
      <c r="F3980" s="2" t="n">
        <v>1948</v>
      </c>
      <c r="G3980" s="2" t="s">
        <v>20</v>
      </c>
      <c r="H3980" s="2" t="s">
        <v>20</v>
      </c>
      <c r="I3980" s="2" t="s">
        <v>21</v>
      </c>
      <c r="J3980" s="2" t="n">
        <v>28</v>
      </c>
      <c r="K3980" s="2" t="s">
        <v>43</v>
      </c>
      <c r="L3980" s="2" t="n">
        <v>216</v>
      </c>
      <c r="M3980" s="2" t="n">
        <v>1</v>
      </c>
      <c r="N3980" s="2" t="n">
        <v>91</v>
      </c>
      <c r="O3980" s="2" t="n">
        <v>4</v>
      </c>
      <c r="P3980" s="2" t="s">
        <v>50</v>
      </c>
      <c r="Q3980" s="2" t="s">
        <v>26</v>
      </c>
    </row>
    <row r="3981" customFormat="false" ht="15" hidden="false" customHeight="false" outlineLevel="0" collapsed="false">
      <c r="A3981" s="2" t="n">
        <v>32</v>
      </c>
      <c r="B3981" s="2" t="s">
        <v>29</v>
      </c>
      <c r="C3981" s="2" t="s">
        <v>30</v>
      </c>
      <c r="D3981" s="2" t="s">
        <v>31</v>
      </c>
      <c r="E3981" s="2" t="s">
        <v>20</v>
      </c>
      <c r="F3981" s="2" t="n">
        <v>751</v>
      </c>
      <c r="G3981" s="2" t="s">
        <v>26</v>
      </c>
      <c r="H3981" s="2" t="s">
        <v>20</v>
      </c>
      <c r="I3981" s="2" t="s">
        <v>23</v>
      </c>
      <c r="J3981" s="2" t="n">
        <v>8</v>
      </c>
      <c r="K3981" s="2" t="s">
        <v>27</v>
      </c>
      <c r="L3981" s="2" t="n">
        <v>64</v>
      </c>
      <c r="M3981" s="2" t="n">
        <v>1</v>
      </c>
      <c r="N3981" s="2" t="n">
        <v>-1</v>
      </c>
      <c r="O3981" s="2" t="n">
        <v>0</v>
      </c>
      <c r="P3981" s="2" t="s">
        <v>23</v>
      </c>
      <c r="Q3981" s="2" t="s">
        <v>20</v>
      </c>
    </row>
    <row r="3982" customFormat="false" ht="15" hidden="false" customHeight="false" outlineLevel="0" collapsed="false">
      <c r="A3982" s="2" t="n">
        <v>45</v>
      </c>
      <c r="B3982" s="2" t="s">
        <v>34</v>
      </c>
      <c r="C3982" s="2" t="s">
        <v>18</v>
      </c>
      <c r="D3982" s="2" t="s">
        <v>25</v>
      </c>
      <c r="E3982" s="2" t="s">
        <v>20</v>
      </c>
      <c r="F3982" s="2" t="n">
        <v>784</v>
      </c>
      <c r="G3982" s="2" t="s">
        <v>26</v>
      </c>
      <c r="H3982" s="2" t="s">
        <v>26</v>
      </c>
      <c r="I3982" s="2" t="s">
        <v>23</v>
      </c>
      <c r="J3982" s="2" t="n">
        <v>3</v>
      </c>
      <c r="K3982" s="2" t="s">
        <v>33</v>
      </c>
      <c r="L3982" s="2" t="n">
        <v>34</v>
      </c>
      <c r="M3982" s="2" t="n">
        <v>1</v>
      </c>
      <c r="N3982" s="2" t="n">
        <v>-1</v>
      </c>
      <c r="O3982" s="2" t="n">
        <v>0</v>
      </c>
      <c r="P3982" s="2" t="s">
        <v>23</v>
      </c>
      <c r="Q3982" s="2" t="s">
        <v>20</v>
      </c>
    </row>
    <row r="3983" customFormat="false" ht="15" hidden="false" customHeight="false" outlineLevel="0" collapsed="false">
      <c r="A3983" s="2" t="n">
        <v>43</v>
      </c>
      <c r="B3983" s="2" t="s">
        <v>34</v>
      </c>
      <c r="C3983" s="2" t="s">
        <v>30</v>
      </c>
      <c r="D3983" s="2" t="s">
        <v>25</v>
      </c>
      <c r="E3983" s="2" t="s">
        <v>20</v>
      </c>
      <c r="F3983" s="2" t="n">
        <v>24</v>
      </c>
      <c r="G3983" s="2" t="s">
        <v>20</v>
      </c>
      <c r="H3983" s="2" t="s">
        <v>20</v>
      </c>
      <c r="I3983" s="2" t="s">
        <v>21</v>
      </c>
      <c r="J3983" s="2" t="n">
        <v>12</v>
      </c>
      <c r="K3983" s="2" t="s">
        <v>27</v>
      </c>
      <c r="L3983" s="2" t="n">
        <v>68</v>
      </c>
      <c r="M3983" s="2" t="n">
        <v>1</v>
      </c>
      <c r="N3983" s="2" t="n">
        <v>363</v>
      </c>
      <c r="O3983" s="2" t="n">
        <v>1</v>
      </c>
      <c r="P3983" s="2" t="s">
        <v>28</v>
      </c>
      <c r="Q3983" s="2" t="s">
        <v>20</v>
      </c>
    </row>
    <row r="3984" customFormat="false" ht="15" hidden="false" customHeight="false" outlineLevel="0" collapsed="false">
      <c r="A3984" s="2" t="n">
        <v>41</v>
      </c>
      <c r="B3984" s="2" t="s">
        <v>29</v>
      </c>
      <c r="C3984" s="2" t="s">
        <v>18</v>
      </c>
      <c r="D3984" s="2" t="s">
        <v>31</v>
      </c>
      <c r="E3984" s="2" t="s">
        <v>20</v>
      </c>
      <c r="F3984" s="2" t="n">
        <v>72</v>
      </c>
      <c r="G3984" s="2" t="s">
        <v>26</v>
      </c>
      <c r="H3984" s="2" t="s">
        <v>20</v>
      </c>
      <c r="I3984" s="2" t="s">
        <v>23</v>
      </c>
      <c r="J3984" s="2" t="n">
        <v>7</v>
      </c>
      <c r="K3984" s="2" t="s">
        <v>27</v>
      </c>
      <c r="L3984" s="2" t="n">
        <v>764</v>
      </c>
      <c r="M3984" s="2" t="n">
        <v>3</v>
      </c>
      <c r="N3984" s="2" t="n">
        <v>-1</v>
      </c>
      <c r="O3984" s="2" t="n">
        <v>0</v>
      </c>
      <c r="P3984" s="2" t="s">
        <v>23</v>
      </c>
      <c r="Q3984" s="2" t="s">
        <v>20</v>
      </c>
    </row>
    <row r="3985" customFormat="false" ht="15" hidden="false" customHeight="false" outlineLevel="0" collapsed="false">
      <c r="A3985" s="2" t="n">
        <v>40</v>
      </c>
      <c r="B3985" s="2" t="s">
        <v>38</v>
      </c>
      <c r="C3985" s="2" t="s">
        <v>45</v>
      </c>
      <c r="D3985" s="2" t="s">
        <v>31</v>
      </c>
      <c r="E3985" s="2" t="s">
        <v>20</v>
      </c>
      <c r="F3985" s="2" t="n">
        <v>1871</v>
      </c>
      <c r="G3985" s="2" t="s">
        <v>26</v>
      </c>
      <c r="H3985" s="2" t="s">
        <v>20</v>
      </c>
      <c r="I3985" s="2" t="s">
        <v>21</v>
      </c>
      <c r="J3985" s="2" t="n">
        <v>17</v>
      </c>
      <c r="K3985" s="2" t="s">
        <v>46</v>
      </c>
      <c r="L3985" s="2" t="n">
        <v>64</v>
      </c>
      <c r="M3985" s="2" t="n">
        <v>1</v>
      </c>
      <c r="N3985" s="2" t="n">
        <v>-1</v>
      </c>
      <c r="O3985" s="2" t="n">
        <v>0</v>
      </c>
      <c r="P3985" s="2" t="s">
        <v>23</v>
      </c>
      <c r="Q3985" s="2" t="s">
        <v>20</v>
      </c>
    </row>
    <row r="3986" customFormat="false" ht="15" hidden="false" customHeight="false" outlineLevel="0" collapsed="false">
      <c r="A3986" s="2" t="n">
        <v>44</v>
      </c>
      <c r="B3986" s="2" t="s">
        <v>24</v>
      </c>
      <c r="C3986" s="2" t="s">
        <v>30</v>
      </c>
      <c r="D3986" s="2" t="s">
        <v>25</v>
      </c>
      <c r="E3986" s="2" t="s">
        <v>20</v>
      </c>
      <c r="F3986" s="2" t="n">
        <v>1378</v>
      </c>
      <c r="G3986" s="2" t="s">
        <v>26</v>
      </c>
      <c r="H3986" s="2" t="s">
        <v>20</v>
      </c>
      <c r="I3986" s="2" t="s">
        <v>23</v>
      </c>
      <c r="J3986" s="2" t="n">
        <v>8</v>
      </c>
      <c r="K3986" s="2" t="s">
        <v>27</v>
      </c>
      <c r="L3986" s="2" t="n">
        <v>257</v>
      </c>
      <c r="M3986" s="2" t="n">
        <v>2</v>
      </c>
      <c r="N3986" s="2" t="n">
        <v>-1</v>
      </c>
      <c r="O3986" s="2" t="n">
        <v>0</v>
      </c>
      <c r="P3986" s="2" t="s">
        <v>23</v>
      </c>
      <c r="Q3986" s="2" t="s">
        <v>20</v>
      </c>
    </row>
    <row r="3987" customFormat="false" ht="15" hidden="false" customHeight="false" outlineLevel="0" collapsed="false">
      <c r="A3987" s="2" t="n">
        <v>43</v>
      </c>
      <c r="B3987" s="2" t="s">
        <v>34</v>
      </c>
      <c r="C3987" s="2" t="s">
        <v>18</v>
      </c>
      <c r="D3987" s="2" t="s">
        <v>19</v>
      </c>
      <c r="E3987" s="2" t="s">
        <v>20</v>
      </c>
      <c r="F3987" s="2" t="n">
        <v>188</v>
      </c>
      <c r="G3987" s="2" t="s">
        <v>26</v>
      </c>
      <c r="H3987" s="2" t="s">
        <v>20</v>
      </c>
      <c r="I3987" s="2" t="s">
        <v>21</v>
      </c>
      <c r="J3987" s="2" t="n">
        <v>12</v>
      </c>
      <c r="K3987" s="2" t="s">
        <v>27</v>
      </c>
      <c r="L3987" s="2" t="n">
        <v>58</v>
      </c>
      <c r="M3987" s="2" t="n">
        <v>3</v>
      </c>
      <c r="N3987" s="2" t="n">
        <v>347</v>
      </c>
      <c r="O3987" s="2" t="n">
        <v>5</v>
      </c>
      <c r="P3987" s="2" t="s">
        <v>28</v>
      </c>
      <c r="Q3987" s="2" t="s">
        <v>20</v>
      </c>
    </row>
    <row r="3988" customFormat="false" ht="15" hidden="false" customHeight="false" outlineLevel="0" collapsed="false">
      <c r="A3988" s="2" t="n">
        <v>30</v>
      </c>
      <c r="B3988" s="2" t="s">
        <v>23</v>
      </c>
      <c r="C3988" s="2" t="s">
        <v>30</v>
      </c>
      <c r="D3988" s="2" t="s">
        <v>31</v>
      </c>
      <c r="E3988" s="2" t="s">
        <v>20</v>
      </c>
      <c r="F3988" s="2" t="n">
        <v>6836</v>
      </c>
      <c r="G3988" s="2" t="s">
        <v>20</v>
      </c>
      <c r="H3988" s="2" t="s">
        <v>20</v>
      </c>
      <c r="I3988" s="2" t="s">
        <v>21</v>
      </c>
      <c r="J3988" s="2" t="n">
        <v>27</v>
      </c>
      <c r="K3988" s="2" t="s">
        <v>35</v>
      </c>
      <c r="L3988" s="2" t="n">
        <v>30</v>
      </c>
      <c r="M3988" s="2" t="n">
        <v>3</v>
      </c>
      <c r="N3988" s="2" t="n">
        <v>-1</v>
      </c>
      <c r="O3988" s="2" t="n">
        <v>0</v>
      </c>
      <c r="P3988" s="2" t="s">
        <v>23</v>
      </c>
      <c r="Q3988" s="2" t="s">
        <v>20</v>
      </c>
    </row>
    <row r="3989" customFormat="false" ht="15" hidden="false" customHeight="false" outlineLevel="0" collapsed="false">
      <c r="A3989" s="2" t="n">
        <v>32</v>
      </c>
      <c r="B3989" s="2" t="s">
        <v>24</v>
      </c>
      <c r="C3989" s="2" t="s">
        <v>18</v>
      </c>
      <c r="D3989" s="2" t="s">
        <v>25</v>
      </c>
      <c r="E3989" s="2" t="s">
        <v>20</v>
      </c>
      <c r="F3989" s="2" t="n">
        <v>61</v>
      </c>
      <c r="G3989" s="2" t="s">
        <v>26</v>
      </c>
      <c r="H3989" s="2" t="s">
        <v>20</v>
      </c>
      <c r="I3989" s="2" t="s">
        <v>21</v>
      </c>
      <c r="J3989" s="2" t="n">
        <v>8</v>
      </c>
      <c r="K3989" s="2" t="s">
        <v>44</v>
      </c>
      <c r="L3989" s="2" t="n">
        <v>529</v>
      </c>
      <c r="M3989" s="2" t="n">
        <v>5</v>
      </c>
      <c r="N3989" s="2" t="n">
        <v>-1</v>
      </c>
      <c r="O3989" s="2" t="n">
        <v>0</v>
      </c>
      <c r="P3989" s="2" t="s">
        <v>23</v>
      </c>
      <c r="Q3989" s="2" t="s">
        <v>20</v>
      </c>
    </row>
    <row r="3990" customFormat="false" ht="15" hidden="false" customHeight="false" outlineLevel="0" collapsed="false">
      <c r="A3990" s="2" t="n">
        <v>57</v>
      </c>
      <c r="B3990" s="2" t="s">
        <v>40</v>
      </c>
      <c r="C3990" s="2" t="s">
        <v>18</v>
      </c>
      <c r="D3990" s="2" t="s">
        <v>25</v>
      </c>
      <c r="E3990" s="2" t="s">
        <v>20</v>
      </c>
      <c r="F3990" s="2" t="n">
        <v>-967</v>
      </c>
      <c r="G3990" s="2" t="s">
        <v>26</v>
      </c>
      <c r="H3990" s="2" t="s">
        <v>20</v>
      </c>
      <c r="I3990" s="2" t="s">
        <v>49</v>
      </c>
      <c r="J3990" s="2" t="n">
        <v>15</v>
      </c>
      <c r="K3990" s="2" t="s">
        <v>27</v>
      </c>
      <c r="L3990" s="2" t="n">
        <v>8</v>
      </c>
      <c r="M3990" s="2" t="n">
        <v>7</v>
      </c>
      <c r="N3990" s="2" t="n">
        <v>-1</v>
      </c>
      <c r="O3990" s="2" t="n">
        <v>0</v>
      </c>
      <c r="P3990" s="2" t="s">
        <v>23</v>
      </c>
      <c r="Q3990" s="2" t="s">
        <v>20</v>
      </c>
    </row>
    <row r="3991" customFormat="false" ht="15" hidden="false" customHeight="false" outlineLevel="0" collapsed="false">
      <c r="A3991" s="2" t="n">
        <v>31</v>
      </c>
      <c r="B3991" s="2" t="s">
        <v>34</v>
      </c>
      <c r="C3991" s="2" t="s">
        <v>30</v>
      </c>
      <c r="D3991" s="2" t="s">
        <v>31</v>
      </c>
      <c r="E3991" s="2" t="s">
        <v>20</v>
      </c>
      <c r="F3991" s="2" t="n">
        <v>462</v>
      </c>
      <c r="G3991" s="2" t="s">
        <v>26</v>
      </c>
      <c r="H3991" s="2" t="s">
        <v>26</v>
      </c>
      <c r="I3991" s="2" t="s">
        <v>23</v>
      </c>
      <c r="J3991" s="2" t="n">
        <v>19</v>
      </c>
      <c r="K3991" s="2" t="s">
        <v>27</v>
      </c>
      <c r="L3991" s="2" t="n">
        <v>147</v>
      </c>
      <c r="M3991" s="2" t="n">
        <v>1</v>
      </c>
      <c r="N3991" s="2" t="n">
        <v>-1</v>
      </c>
      <c r="O3991" s="2" t="n">
        <v>0</v>
      </c>
      <c r="P3991" s="2" t="s">
        <v>23</v>
      </c>
      <c r="Q3991" s="2" t="s">
        <v>20</v>
      </c>
    </row>
    <row r="3992" customFormat="false" ht="15" hidden="false" customHeight="false" outlineLevel="0" collapsed="false">
      <c r="A3992" s="2" t="n">
        <v>49</v>
      </c>
      <c r="B3992" s="2" t="s">
        <v>23</v>
      </c>
      <c r="C3992" s="2" t="s">
        <v>18</v>
      </c>
      <c r="D3992" s="2" t="s">
        <v>25</v>
      </c>
      <c r="E3992" s="2" t="s">
        <v>20</v>
      </c>
      <c r="F3992" s="2" t="n">
        <v>0</v>
      </c>
      <c r="G3992" s="2" t="s">
        <v>20</v>
      </c>
      <c r="H3992" s="2" t="s">
        <v>20</v>
      </c>
      <c r="I3992" s="2" t="s">
        <v>21</v>
      </c>
      <c r="J3992" s="2" t="n">
        <v>28</v>
      </c>
      <c r="K3992" s="2" t="s">
        <v>41</v>
      </c>
      <c r="L3992" s="2" t="n">
        <v>173</v>
      </c>
      <c r="M3992" s="2" t="n">
        <v>2</v>
      </c>
      <c r="N3992" s="2" t="n">
        <v>-1</v>
      </c>
      <c r="O3992" s="2" t="n">
        <v>0</v>
      </c>
      <c r="P3992" s="2" t="s">
        <v>23</v>
      </c>
      <c r="Q3992" s="2" t="s">
        <v>20</v>
      </c>
    </row>
    <row r="3993" customFormat="false" ht="15" hidden="false" customHeight="false" outlineLevel="0" collapsed="false">
      <c r="A3993" s="2" t="n">
        <v>31</v>
      </c>
      <c r="B3993" s="2" t="s">
        <v>40</v>
      </c>
      <c r="C3993" s="2" t="s">
        <v>30</v>
      </c>
      <c r="D3993" s="2" t="s">
        <v>25</v>
      </c>
      <c r="E3993" s="2" t="s">
        <v>20</v>
      </c>
      <c r="F3993" s="2" t="n">
        <v>5527</v>
      </c>
      <c r="G3993" s="2" t="s">
        <v>26</v>
      </c>
      <c r="H3993" s="2" t="s">
        <v>20</v>
      </c>
      <c r="I3993" s="2" t="s">
        <v>23</v>
      </c>
      <c r="J3993" s="2" t="n">
        <v>21</v>
      </c>
      <c r="K3993" s="2" t="s">
        <v>27</v>
      </c>
      <c r="L3993" s="2" t="n">
        <v>132</v>
      </c>
      <c r="M3993" s="2" t="n">
        <v>1</v>
      </c>
      <c r="N3993" s="2" t="n">
        <v>-1</v>
      </c>
      <c r="O3993" s="2" t="n">
        <v>0</v>
      </c>
      <c r="P3993" s="2" t="s">
        <v>23</v>
      </c>
      <c r="Q3993" s="2" t="s">
        <v>20</v>
      </c>
    </row>
    <row r="3994" customFormat="false" ht="15" hidden="false" customHeight="false" outlineLevel="0" collapsed="false">
      <c r="A3994" s="2" t="n">
        <v>41</v>
      </c>
      <c r="B3994" s="2" t="s">
        <v>40</v>
      </c>
      <c r="C3994" s="2" t="s">
        <v>18</v>
      </c>
      <c r="D3994" s="2" t="s">
        <v>31</v>
      </c>
      <c r="E3994" s="2" t="s">
        <v>20</v>
      </c>
      <c r="F3994" s="2" t="n">
        <v>1287</v>
      </c>
      <c r="G3994" s="2" t="s">
        <v>20</v>
      </c>
      <c r="H3994" s="2" t="s">
        <v>20</v>
      </c>
      <c r="I3994" s="2" t="s">
        <v>23</v>
      </c>
      <c r="J3994" s="2" t="n">
        <v>16</v>
      </c>
      <c r="K3994" s="2" t="s">
        <v>33</v>
      </c>
      <c r="L3994" s="2" t="n">
        <v>286</v>
      </c>
      <c r="M3994" s="2" t="n">
        <v>1</v>
      </c>
      <c r="N3994" s="2" t="n">
        <v>-1</v>
      </c>
      <c r="O3994" s="2" t="n">
        <v>0</v>
      </c>
      <c r="P3994" s="2" t="s">
        <v>23</v>
      </c>
      <c r="Q3994" s="2" t="s">
        <v>20</v>
      </c>
    </row>
    <row r="3995" customFormat="false" ht="15" hidden="false" customHeight="false" outlineLevel="0" collapsed="false">
      <c r="A3995" s="2" t="n">
        <v>44</v>
      </c>
      <c r="B3995" s="2" t="s">
        <v>29</v>
      </c>
      <c r="C3995" s="2" t="s">
        <v>18</v>
      </c>
      <c r="D3995" s="2" t="s">
        <v>31</v>
      </c>
      <c r="E3995" s="2" t="s">
        <v>20</v>
      </c>
      <c r="F3995" s="2" t="n">
        <v>17361</v>
      </c>
      <c r="G3995" s="2" t="s">
        <v>20</v>
      </c>
      <c r="H3995" s="2" t="s">
        <v>20</v>
      </c>
      <c r="I3995" s="2" t="s">
        <v>23</v>
      </c>
      <c r="J3995" s="2" t="n">
        <v>18</v>
      </c>
      <c r="K3995" s="2" t="s">
        <v>33</v>
      </c>
      <c r="L3995" s="2" t="n">
        <v>476</v>
      </c>
      <c r="M3995" s="2" t="n">
        <v>1</v>
      </c>
      <c r="N3995" s="2" t="n">
        <v>-1</v>
      </c>
      <c r="O3995" s="2" t="n">
        <v>0</v>
      </c>
      <c r="P3995" s="2" t="s">
        <v>23</v>
      </c>
      <c r="Q3995" s="2" t="s">
        <v>20</v>
      </c>
    </row>
    <row r="3996" customFormat="false" ht="15" hidden="false" customHeight="false" outlineLevel="0" collapsed="false">
      <c r="A3996" s="2" t="n">
        <v>54</v>
      </c>
      <c r="B3996" s="2" t="s">
        <v>39</v>
      </c>
      <c r="C3996" s="2" t="s">
        <v>18</v>
      </c>
      <c r="D3996" s="2" t="s">
        <v>23</v>
      </c>
      <c r="E3996" s="2" t="s">
        <v>20</v>
      </c>
      <c r="F3996" s="2" t="n">
        <v>1956</v>
      </c>
      <c r="G3996" s="2" t="s">
        <v>20</v>
      </c>
      <c r="H3996" s="2" t="s">
        <v>20</v>
      </c>
      <c r="I3996" s="2" t="s">
        <v>21</v>
      </c>
      <c r="J3996" s="2" t="n">
        <v>19</v>
      </c>
      <c r="K3996" s="2" t="s">
        <v>46</v>
      </c>
      <c r="L3996" s="2" t="n">
        <v>221</v>
      </c>
      <c r="M3996" s="2" t="n">
        <v>5</v>
      </c>
      <c r="N3996" s="2" t="n">
        <v>-1</v>
      </c>
      <c r="O3996" s="2" t="n">
        <v>0</v>
      </c>
      <c r="P3996" s="2" t="s">
        <v>23</v>
      </c>
      <c r="Q3996" s="2" t="s">
        <v>20</v>
      </c>
    </row>
    <row r="3997" customFormat="false" ht="15" hidden="false" customHeight="false" outlineLevel="0" collapsed="false">
      <c r="A3997" s="2" t="n">
        <v>37</v>
      </c>
      <c r="B3997" s="2" t="s">
        <v>34</v>
      </c>
      <c r="C3997" s="2" t="s">
        <v>45</v>
      </c>
      <c r="D3997" s="2" t="s">
        <v>25</v>
      </c>
      <c r="E3997" s="2" t="s">
        <v>20</v>
      </c>
      <c r="F3997" s="2" t="n">
        <v>0</v>
      </c>
      <c r="G3997" s="2" t="s">
        <v>26</v>
      </c>
      <c r="H3997" s="2" t="s">
        <v>20</v>
      </c>
      <c r="I3997" s="2" t="s">
        <v>21</v>
      </c>
      <c r="J3997" s="2" t="n">
        <v>21</v>
      </c>
      <c r="K3997" s="2" t="s">
        <v>32</v>
      </c>
      <c r="L3997" s="2" t="n">
        <v>146</v>
      </c>
      <c r="M3997" s="2" t="n">
        <v>4</v>
      </c>
      <c r="N3997" s="2" t="n">
        <v>-1</v>
      </c>
      <c r="O3997" s="2" t="n">
        <v>0</v>
      </c>
      <c r="P3997" s="2" t="s">
        <v>23</v>
      </c>
      <c r="Q3997" s="2" t="s">
        <v>26</v>
      </c>
    </row>
    <row r="3998" customFormat="false" ht="15" hidden="false" customHeight="false" outlineLevel="0" collapsed="false">
      <c r="A3998" s="2" t="n">
        <v>34</v>
      </c>
      <c r="B3998" s="2" t="s">
        <v>29</v>
      </c>
      <c r="C3998" s="2" t="s">
        <v>18</v>
      </c>
      <c r="D3998" s="2" t="s">
        <v>25</v>
      </c>
      <c r="E3998" s="2" t="s">
        <v>20</v>
      </c>
      <c r="F3998" s="2" t="n">
        <v>-294</v>
      </c>
      <c r="G3998" s="2" t="s">
        <v>26</v>
      </c>
      <c r="H3998" s="2" t="s">
        <v>20</v>
      </c>
      <c r="I3998" s="2" t="s">
        <v>23</v>
      </c>
      <c r="J3998" s="2" t="n">
        <v>27</v>
      </c>
      <c r="K3998" s="2" t="s">
        <v>27</v>
      </c>
      <c r="L3998" s="2" t="n">
        <v>532</v>
      </c>
      <c r="M3998" s="2" t="n">
        <v>2</v>
      </c>
      <c r="N3998" s="2" t="n">
        <v>-1</v>
      </c>
      <c r="O3998" s="2" t="n">
        <v>0</v>
      </c>
      <c r="P3998" s="2" t="s">
        <v>23</v>
      </c>
      <c r="Q3998" s="2" t="s">
        <v>20</v>
      </c>
    </row>
    <row r="3999" customFormat="false" ht="15" hidden="false" customHeight="false" outlineLevel="0" collapsed="false">
      <c r="A3999" s="2" t="n">
        <v>43</v>
      </c>
      <c r="B3999" s="2" t="s">
        <v>38</v>
      </c>
      <c r="C3999" s="2" t="s">
        <v>18</v>
      </c>
      <c r="D3999" s="2" t="s">
        <v>25</v>
      </c>
      <c r="E3999" s="2" t="s">
        <v>20</v>
      </c>
      <c r="F3999" s="2" t="n">
        <v>275</v>
      </c>
      <c r="G3999" s="2" t="s">
        <v>20</v>
      </c>
      <c r="H3999" s="2" t="s">
        <v>20</v>
      </c>
      <c r="I3999" s="2" t="s">
        <v>21</v>
      </c>
      <c r="J3999" s="2" t="n">
        <v>25</v>
      </c>
      <c r="K3999" s="2" t="s">
        <v>41</v>
      </c>
      <c r="L3999" s="2" t="n">
        <v>69</v>
      </c>
      <c r="M3999" s="2" t="n">
        <v>6</v>
      </c>
      <c r="N3999" s="2" t="n">
        <v>-1</v>
      </c>
      <c r="O3999" s="2" t="n">
        <v>0</v>
      </c>
      <c r="P3999" s="2" t="s">
        <v>23</v>
      </c>
      <c r="Q3999" s="2" t="s">
        <v>20</v>
      </c>
    </row>
    <row r="4000" customFormat="false" ht="15" hidden="false" customHeight="false" outlineLevel="0" collapsed="false">
      <c r="A4000" s="2" t="n">
        <v>44</v>
      </c>
      <c r="B4000" s="2" t="s">
        <v>29</v>
      </c>
      <c r="C4000" s="2" t="s">
        <v>18</v>
      </c>
      <c r="D4000" s="2" t="s">
        <v>31</v>
      </c>
      <c r="E4000" s="2" t="s">
        <v>20</v>
      </c>
      <c r="F4000" s="2" t="n">
        <v>724</v>
      </c>
      <c r="G4000" s="2" t="s">
        <v>26</v>
      </c>
      <c r="H4000" s="2" t="s">
        <v>20</v>
      </c>
      <c r="I4000" s="2" t="s">
        <v>21</v>
      </c>
      <c r="J4000" s="2" t="n">
        <v>17</v>
      </c>
      <c r="K4000" s="2" t="s">
        <v>46</v>
      </c>
      <c r="L4000" s="2" t="n">
        <v>157</v>
      </c>
      <c r="M4000" s="2" t="n">
        <v>2</v>
      </c>
      <c r="N4000" s="2" t="n">
        <v>172</v>
      </c>
      <c r="O4000" s="2" t="n">
        <v>1</v>
      </c>
      <c r="P4000" s="2" t="s">
        <v>28</v>
      </c>
      <c r="Q4000" s="2" t="s">
        <v>20</v>
      </c>
    </row>
    <row r="4001" customFormat="false" ht="15" hidden="false" customHeight="false" outlineLevel="0" collapsed="false">
      <c r="A4001" s="2" t="n">
        <v>44</v>
      </c>
      <c r="B4001" s="2" t="s">
        <v>24</v>
      </c>
      <c r="C4001" s="2" t="s">
        <v>18</v>
      </c>
      <c r="D4001" s="2" t="s">
        <v>25</v>
      </c>
      <c r="E4001" s="2" t="s">
        <v>20</v>
      </c>
      <c r="F4001" s="2" t="n">
        <v>27</v>
      </c>
      <c r="G4001" s="2" t="s">
        <v>20</v>
      </c>
      <c r="H4001" s="2" t="s">
        <v>20</v>
      </c>
      <c r="I4001" s="2" t="s">
        <v>21</v>
      </c>
      <c r="J4001" s="2" t="n">
        <v>25</v>
      </c>
      <c r="K4001" s="2" t="s">
        <v>27</v>
      </c>
      <c r="L4001" s="2" t="n">
        <v>485</v>
      </c>
      <c r="M4001" s="2" t="n">
        <v>1</v>
      </c>
      <c r="N4001" s="2" t="n">
        <v>-1</v>
      </c>
      <c r="O4001" s="2" t="n">
        <v>0</v>
      </c>
      <c r="P4001" s="2" t="s">
        <v>23</v>
      </c>
      <c r="Q4001" s="2" t="s">
        <v>20</v>
      </c>
    </row>
    <row r="4002" customFormat="false" ht="15" hidden="false" customHeight="false" outlineLevel="0" collapsed="false">
      <c r="A4002" s="2" t="n">
        <v>53</v>
      </c>
      <c r="B4002" s="2" t="s">
        <v>40</v>
      </c>
      <c r="C4002" s="2" t="s">
        <v>45</v>
      </c>
      <c r="D4002" s="2" t="s">
        <v>25</v>
      </c>
      <c r="E4002" s="2" t="s">
        <v>20</v>
      </c>
      <c r="F4002" s="2" t="n">
        <v>26</v>
      </c>
      <c r="G4002" s="2" t="s">
        <v>26</v>
      </c>
      <c r="H4002" s="2" t="s">
        <v>20</v>
      </c>
      <c r="I4002" s="2" t="s">
        <v>21</v>
      </c>
      <c r="J4002" s="2" t="n">
        <v>7</v>
      </c>
      <c r="K4002" s="2" t="s">
        <v>27</v>
      </c>
      <c r="L4002" s="2" t="n">
        <v>56</v>
      </c>
      <c r="M4002" s="2" t="n">
        <v>1</v>
      </c>
      <c r="N4002" s="2" t="n">
        <v>359</v>
      </c>
      <c r="O4002" s="2" t="n">
        <v>1</v>
      </c>
      <c r="P4002" s="2" t="s">
        <v>28</v>
      </c>
      <c r="Q4002" s="2" t="s">
        <v>20</v>
      </c>
    </row>
    <row r="4003" customFormat="false" ht="15" hidden="false" customHeight="false" outlineLevel="0" collapsed="false">
      <c r="A4003" s="2" t="n">
        <v>36</v>
      </c>
      <c r="B4003" s="2" t="s">
        <v>38</v>
      </c>
      <c r="C4003" s="2" t="s">
        <v>18</v>
      </c>
      <c r="D4003" s="2" t="s">
        <v>25</v>
      </c>
      <c r="E4003" s="2" t="s">
        <v>20</v>
      </c>
      <c r="F4003" s="2" t="n">
        <v>191</v>
      </c>
      <c r="G4003" s="2" t="s">
        <v>20</v>
      </c>
      <c r="H4003" s="2" t="s">
        <v>20</v>
      </c>
      <c r="I4003" s="2" t="s">
        <v>21</v>
      </c>
      <c r="J4003" s="2" t="n">
        <v>31</v>
      </c>
      <c r="K4003" s="2" t="s">
        <v>41</v>
      </c>
      <c r="L4003" s="2" t="n">
        <v>69</v>
      </c>
      <c r="M4003" s="2" t="n">
        <v>1</v>
      </c>
      <c r="N4003" s="2" t="n">
        <v>-1</v>
      </c>
      <c r="O4003" s="2" t="n">
        <v>0</v>
      </c>
      <c r="P4003" s="2" t="s">
        <v>23</v>
      </c>
      <c r="Q4003" s="2" t="s">
        <v>20</v>
      </c>
    </row>
    <row r="4004" customFormat="false" ht="15" hidden="false" customHeight="false" outlineLevel="0" collapsed="false">
      <c r="A4004" s="2" t="n">
        <v>58</v>
      </c>
      <c r="B4004" s="2" t="s">
        <v>38</v>
      </c>
      <c r="C4004" s="2" t="s">
        <v>45</v>
      </c>
      <c r="D4004" s="2" t="s">
        <v>25</v>
      </c>
      <c r="E4004" s="2" t="s">
        <v>20</v>
      </c>
      <c r="F4004" s="2" t="n">
        <v>-123</v>
      </c>
      <c r="G4004" s="2" t="s">
        <v>20</v>
      </c>
      <c r="H4004" s="2" t="s">
        <v>20</v>
      </c>
      <c r="I4004" s="2" t="s">
        <v>21</v>
      </c>
      <c r="J4004" s="2" t="n">
        <v>5</v>
      </c>
      <c r="K4004" s="2" t="s">
        <v>41</v>
      </c>
      <c r="L4004" s="2" t="n">
        <v>131</v>
      </c>
      <c r="M4004" s="2" t="n">
        <v>2</v>
      </c>
      <c r="N4004" s="2" t="n">
        <v>-1</v>
      </c>
      <c r="O4004" s="2" t="n">
        <v>0</v>
      </c>
      <c r="P4004" s="2" t="s">
        <v>23</v>
      </c>
      <c r="Q4004" s="2" t="s">
        <v>20</v>
      </c>
    </row>
    <row r="4005" customFormat="false" ht="15" hidden="false" customHeight="false" outlineLevel="0" collapsed="false">
      <c r="A4005" s="2" t="n">
        <v>26</v>
      </c>
      <c r="B4005" s="2" t="s">
        <v>42</v>
      </c>
      <c r="C4005" s="2" t="s">
        <v>30</v>
      </c>
      <c r="D4005" s="2" t="s">
        <v>25</v>
      </c>
      <c r="E4005" s="2" t="s">
        <v>20</v>
      </c>
      <c r="F4005" s="2" t="n">
        <v>-147</v>
      </c>
      <c r="G4005" s="2" t="s">
        <v>20</v>
      </c>
      <c r="H4005" s="2" t="s">
        <v>20</v>
      </c>
      <c r="I4005" s="2" t="s">
        <v>23</v>
      </c>
      <c r="J4005" s="2" t="n">
        <v>4</v>
      </c>
      <c r="K4005" s="2" t="s">
        <v>33</v>
      </c>
      <c r="L4005" s="2" t="n">
        <v>95</v>
      </c>
      <c r="M4005" s="2" t="n">
        <v>2</v>
      </c>
      <c r="N4005" s="2" t="n">
        <v>-1</v>
      </c>
      <c r="O4005" s="2" t="n">
        <v>0</v>
      </c>
      <c r="P4005" s="2" t="s">
        <v>23</v>
      </c>
      <c r="Q4005" s="2" t="s">
        <v>20</v>
      </c>
    </row>
    <row r="4006" customFormat="false" ht="15" hidden="false" customHeight="false" outlineLevel="0" collapsed="false">
      <c r="A4006" s="2" t="n">
        <v>34</v>
      </c>
      <c r="B4006" s="2" t="s">
        <v>38</v>
      </c>
      <c r="C4006" s="2" t="s">
        <v>30</v>
      </c>
      <c r="D4006" s="2" t="s">
        <v>25</v>
      </c>
      <c r="E4006" s="2" t="s">
        <v>20</v>
      </c>
      <c r="F4006" s="2" t="n">
        <v>179</v>
      </c>
      <c r="G4006" s="2" t="s">
        <v>20</v>
      </c>
      <c r="H4006" s="2" t="s">
        <v>20</v>
      </c>
      <c r="I4006" s="2" t="s">
        <v>21</v>
      </c>
      <c r="J4006" s="2" t="n">
        <v>19</v>
      </c>
      <c r="K4006" s="2" t="s">
        <v>41</v>
      </c>
      <c r="L4006" s="2" t="n">
        <v>294</v>
      </c>
      <c r="M4006" s="2" t="n">
        <v>3</v>
      </c>
      <c r="N4006" s="2" t="n">
        <v>-1</v>
      </c>
      <c r="O4006" s="2" t="n">
        <v>0</v>
      </c>
      <c r="P4006" s="2" t="s">
        <v>23</v>
      </c>
      <c r="Q4006" s="2" t="s">
        <v>20</v>
      </c>
    </row>
    <row r="4007" customFormat="false" ht="15" hidden="false" customHeight="false" outlineLevel="0" collapsed="false">
      <c r="A4007" s="2" t="n">
        <v>55</v>
      </c>
      <c r="B4007" s="2" t="s">
        <v>34</v>
      </c>
      <c r="C4007" s="2" t="s">
        <v>18</v>
      </c>
      <c r="D4007" s="2" t="s">
        <v>19</v>
      </c>
      <c r="E4007" s="2" t="s">
        <v>20</v>
      </c>
      <c r="F4007" s="2" t="n">
        <v>1086</v>
      </c>
      <c r="G4007" s="2" t="s">
        <v>26</v>
      </c>
      <c r="H4007" s="2" t="s">
        <v>20</v>
      </c>
      <c r="I4007" s="2" t="s">
        <v>21</v>
      </c>
      <c r="J4007" s="2" t="n">
        <v>6</v>
      </c>
      <c r="K4007" s="2" t="s">
        <v>27</v>
      </c>
      <c r="L4007" s="2" t="n">
        <v>146</v>
      </c>
      <c r="M4007" s="2" t="n">
        <v>1</v>
      </c>
      <c r="N4007" s="2" t="n">
        <v>272</v>
      </c>
      <c r="O4007" s="2" t="n">
        <v>2</v>
      </c>
      <c r="P4007" s="2" t="s">
        <v>28</v>
      </c>
      <c r="Q4007" s="2" t="s">
        <v>20</v>
      </c>
    </row>
    <row r="4008" customFormat="false" ht="15" hidden="false" customHeight="false" outlineLevel="0" collapsed="false">
      <c r="A4008" s="2" t="n">
        <v>55</v>
      </c>
      <c r="B4008" s="2" t="s">
        <v>34</v>
      </c>
      <c r="C4008" s="2" t="s">
        <v>18</v>
      </c>
      <c r="D4008" s="2" t="s">
        <v>25</v>
      </c>
      <c r="E4008" s="2" t="s">
        <v>20</v>
      </c>
      <c r="F4008" s="2" t="n">
        <v>471</v>
      </c>
      <c r="G4008" s="2" t="s">
        <v>26</v>
      </c>
      <c r="H4008" s="2" t="s">
        <v>20</v>
      </c>
      <c r="I4008" s="2" t="s">
        <v>23</v>
      </c>
      <c r="J4008" s="2" t="n">
        <v>30</v>
      </c>
      <c r="K4008" s="2" t="s">
        <v>27</v>
      </c>
      <c r="L4008" s="2" t="n">
        <v>58</v>
      </c>
      <c r="M4008" s="2" t="n">
        <v>2</v>
      </c>
      <c r="N4008" s="2" t="n">
        <v>-1</v>
      </c>
      <c r="O4008" s="2" t="n">
        <v>0</v>
      </c>
      <c r="P4008" s="2" t="s">
        <v>23</v>
      </c>
      <c r="Q4008" s="2" t="s">
        <v>20</v>
      </c>
    </row>
    <row r="4009" customFormat="false" ht="15" hidden="false" customHeight="false" outlineLevel="0" collapsed="false">
      <c r="A4009" s="2" t="n">
        <v>34</v>
      </c>
      <c r="B4009" s="2" t="s">
        <v>39</v>
      </c>
      <c r="C4009" s="2" t="s">
        <v>18</v>
      </c>
      <c r="D4009" s="2" t="s">
        <v>31</v>
      </c>
      <c r="E4009" s="2" t="s">
        <v>20</v>
      </c>
      <c r="F4009" s="2" t="n">
        <v>105</v>
      </c>
      <c r="G4009" s="2" t="s">
        <v>26</v>
      </c>
      <c r="H4009" s="2" t="s">
        <v>20</v>
      </c>
      <c r="I4009" s="2" t="s">
        <v>23</v>
      </c>
      <c r="J4009" s="2" t="n">
        <v>28</v>
      </c>
      <c r="K4009" s="2" t="s">
        <v>27</v>
      </c>
      <c r="L4009" s="2" t="n">
        <v>249</v>
      </c>
      <c r="M4009" s="2" t="n">
        <v>2</v>
      </c>
      <c r="N4009" s="2" t="n">
        <v>-1</v>
      </c>
      <c r="O4009" s="2" t="n">
        <v>0</v>
      </c>
      <c r="P4009" s="2" t="s">
        <v>23</v>
      </c>
      <c r="Q4009" s="2" t="s">
        <v>20</v>
      </c>
    </row>
    <row r="4010" customFormat="false" ht="15" hidden="false" customHeight="false" outlineLevel="0" collapsed="false">
      <c r="A4010" s="2" t="n">
        <v>41</v>
      </c>
      <c r="B4010" s="2" t="s">
        <v>39</v>
      </c>
      <c r="C4010" s="2" t="s">
        <v>45</v>
      </c>
      <c r="D4010" s="2" t="s">
        <v>25</v>
      </c>
      <c r="E4010" s="2" t="s">
        <v>20</v>
      </c>
      <c r="F4010" s="2" t="n">
        <v>1588</v>
      </c>
      <c r="G4010" s="2" t="s">
        <v>26</v>
      </c>
      <c r="H4010" s="2" t="s">
        <v>26</v>
      </c>
      <c r="I4010" s="2" t="s">
        <v>23</v>
      </c>
      <c r="J4010" s="2" t="n">
        <v>20</v>
      </c>
      <c r="K4010" s="2" t="s">
        <v>33</v>
      </c>
      <c r="L4010" s="2" t="n">
        <v>10</v>
      </c>
      <c r="M4010" s="2" t="n">
        <v>8</v>
      </c>
      <c r="N4010" s="2" t="n">
        <v>-1</v>
      </c>
      <c r="O4010" s="2" t="n">
        <v>0</v>
      </c>
      <c r="P4010" s="2" t="s">
        <v>23</v>
      </c>
      <c r="Q4010" s="2" t="s">
        <v>20</v>
      </c>
    </row>
    <row r="4011" customFormat="false" ht="15" hidden="false" customHeight="false" outlineLevel="0" collapsed="false">
      <c r="A4011" s="2" t="n">
        <v>38</v>
      </c>
      <c r="B4011" s="2" t="s">
        <v>47</v>
      </c>
      <c r="C4011" s="2" t="s">
        <v>45</v>
      </c>
      <c r="D4011" s="2" t="s">
        <v>25</v>
      </c>
      <c r="E4011" s="2" t="s">
        <v>20</v>
      </c>
      <c r="F4011" s="2" t="n">
        <v>70</v>
      </c>
      <c r="G4011" s="2" t="s">
        <v>20</v>
      </c>
      <c r="H4011" s="2" t="s">
        <v>20</v>
      </c>
      <c r="I4011" s="2" t="s">
        <v>21</v>
      </c>
      <c r="J4011" s="2" t="n">
        <v>27</v>
      </c>
      <c r="K4011" s="2" t="s">
        <v>22</v>
      </c>
      <c r="L4011" s="2" t="n">
        <v>255</v>
      </c>
      <c r="M4011" s="2" t="n">
        <v>3</v>
      </c>
      <c r="N4011" s="2" t="n">
        <v>148</v>
      </c>
      <c r="O4011" s="2" t="n">
        <v>1</v>
      </c>
      <c r="P4011" s="2" t="s">
        <v>50</v>
      </c>
      <c r="Q4011" s="2" t="s">
        <v>26</v>
      </c>
    </row>
    <row r="4012" customFormat="false" ht="15" hidden="false" customHeight="false" outlineLevel="0" collapsed="false">
      <c r="A4012" s="2" t="n">
        <v>28</v>
      </c>
      <c r="B4012" s="2" t="s">
        <v>34</v>
      </c>
      <c r="C4012" s="2" t="s">
        <v>30</v>
      </c>
      <c r="D4012" s="2" t="s">
        <v>25</v>
      </c>
      <c r="E4012" s="2" t="s">
        <v>20</v>
      </c>
      <c r="F4012" s="2" t="n">
        <v>2700</v>
      </c>
      <c r="G4012" s="2" t="s">
        <v>20</v>
      </c>
      <c r="H4012" s="2" t="s">
        <v>20</v>
      </c>
      <c r="I4012" s="2" t="s">
        <v>21</v>
      </c>
      <c r="J4012" s="2" t="n">
        <v>3</v>
      </c>
      <c r="K4012" s="2" t="s">
        <v>35</v>
      </c>
      <c r="L4012" s="2" t="n">
        <v>337</v>
      </c>
      <c r="M4012" s="2" t="n">
        <v>4</v>
      </c>
      <c r="N4012" s="2" t="n">
        <v>-1</v>
      </c>
      <c r="O4012" s="2" t="n">
        <v>0</v>
      </c>
      <c r="P4012" s="2" t="s">
        <v>23</v>
      </c>
      <c r="Q4012" s="2" t="s">
        <v>20</v>
      </c>
    </row>
    <row r="4013" customFormat="false" ht="15" hidden="false" customHeight="false" outlineLevel="0" collapsed="false">
      <c r="A4013" s="2" t="n">
        <v>41</v>
      </c>
      <c r="B4013" s="2" t="s">
        <v>38</v>
      </c>
      <c r="C4013" s="2" t="s">
        <v>18</v>
      </c>
      <c r="D4013" s="2" t="s">
        <v>25</v>
      </c>
      <c r="E4013" s="2" t="s">
        <v>20</v>
      </c>
      <c r="F4013" s="2" t="n">
        <v>1602</v>
      </c>
      <c r="G4013" s="2" t="s">
        <v>26</v>
      </c>
      <c r="H4013" s="2" t="s">
        <v>20</v>
      </c>
      <c r="I4013" s="2" t="s">
        <v>21</v>
      </c>
      <c r="J4013" s="2" t="n">
        <v>2</v>
      </c>
      <c r="K4013" s="2" t="s">
        <v>33</v>
      </c>
      <c r="L4013" s="2" t="n">
        <v>142</v>
      </c>
      <c r="M4013" s="2" t="n">
        <v>1</v>
      </c>
      <c r="N4013" s="2" t="n">
        <v>-1</v>
      </c>
      <c r="O4013" s="2" t="n">
        <v>0</v>
      </c>
      <c r="P4013" s="2" t="s">
        <v>23</v>
      </c>
      <c r="Q4013" s="2" t="s">
        <v>20</v>
      </c>
    </row>
    <row r="4014" customFormat="false" ht="15" hidden="false" customHeight="false" outlineLevel="0" collapsed="false">
      <c r="A4014" s="2" t="n">
        <v>30</v>
      </c>
      <c r="B4014" s="2" t="s">
        <v>40</v>
      </c>
      <c r="C4014" s="2" t="s">
        <v>18</v>
      </c>
      <c r="D4014" s="2" t="s">
        <v>31</v>
      </c>
      <c r="E4014" s="2" t="s">
        <v>20</v>
      </c>
      <c r="F4014" s="2" t="n">
        <v>0</v>
      </c>
      <c r="G4014" s="2" t="s">
        <v>26</v>
      </c>
      <c r="H4014" s="2" t="s">
        <v>20</v>
      </c>
      <c r="I4014" s="2" t="s">
        <v>21</v>
      </c>
      <c r="J4014" s="2" t="n">
        <v>24</v>
      </c>
      <c r="K4014" s="2" t="s">
        <v>44</v>
      </c>
      <c r="L4014" s="2" t="n">
        <v>209</v>
      </c>
      <c r="M4014" s="2" t="n">
        <v>2</v>
      </c>
      <c r="N4014" s="2" t="n">
        <v>-1</v>
      </c>
      <c r="O4014" s="2" t="n">
        <v>0</v>
      </c>
      <c r="P4014" s="2" t="s">
        <v>23</v>
      </c>
      <c r="Q4014" s="2" t="s">
        <v>20</v>
      </c>
    </row>
    <row r="4015" customFormat="false" ht="15" hidden="false" customHeight="false" outlineLevel="0" collapsed="false">
      <c r="A4015" s="2" t="n">
        <v>39</v>
      </c>
      <c r="B4015" s="2" t="s">
        <v>38</v>
      </c>
      <c r="C4015" s="2" t="s">
        <v>18</v>
      </c>
      <c r="D4015" s="2" t="s">
        <v>23</v>
      </c>
      <c r="E4015" s="2" t="s">
        <v>20</v>
      </c>
      <c r="F4015" s="2" t="n">
        <v>839</v>
      </c>
      <c r="G4015" s="2" t="s">
        <v>20</v>
      </c>
      <c r="H4015" s="2" t="s">
        <v>20</v>
      </c>
      <c r="I4015" s="2" t="s">
        <v>23</v>
      </c>
      <c r="J4015" s="2" t="n">
        <v>30</v>
      </c>
      <c r="K4015" s="2" t="s">
        <v>27</v>
      </c>
      <c r="L4015" s="2" t="n">
        <v>825</v>
      </c>
      <c r="M4015" s="2" t="n">
        <v>2</v>
      </c>
      <c r="N4015" s="2" t="n">
        <v>-1</v>
      </c>
      <c r="O4015" s="2" t="n">
        <v>0</v>
      </c>
      <c r="P4015" s="2" t="s">
        <v>23</v>
      </c>
      <c r="Q4015" s="2" t="s">
        <v>20</v>
      </c>
    </row>
    <row r="4016" customFormat="false" ht="15" hidden="false" customHeight="false" outlineLevel="0" collapsed="false">
      <c r="A4016" s="2" t="n">
        <v>41</v>
      </c>
      <c r="B4016" s="2" t="s">
        <v>40</v>
      </c>
      <c r="C4016" s="2" t="s">
        <v>18</v>
      </c>
      <c r="D4016" s="2" t="s">
        <v>25</v>
      </c>
      <c r="E4016" s="2" t="s">
        <v>20</v>
      </c>
      <c r="F4016" s="2" t="n">
        <v>21515</v>
      </c>
      <c r="G4016" s="2" t="s">
        <v>26</v>
      </c>
      <c r="H4016" s="2" t="s">
        <v>20</v>
      </c>
      <c r="I4016" s="2" t="s">
        <v>23</v>
      </c>
      <c r="J4016" s="2" t="n">
        <v>5</v>
      </c>
      <c r="K4016" s="2" t="s">
        <v>33</v>
      </c>
      <c r="L4016" s="2" t="n">
        <v>87</v>
      </c>
      <c r="M4016" s="2" t="n">
        <v>1</v>
      </c>
      <c r="N4016" s="2" t="n">
        <v>-1</v>
      </c>
      <c r="O4016" s="2" t="n">
        <v>0</v>
      </c>
      <c r="P4016" s="2" t="s">
        <v>23</v>
      </c>
      <c r="Q4016" s="2" t="s">
        <v>20</v>
      </c>
    </row>
    <row r="4017" customFormat="false" ht="15" hidden="false" customHeight="false" outlineLevel="0" collapsed="false">
      <c r="A4017" s="2" t="n">
        <v>36</v>
      </c>
      <c r="B4017" s="2" t="s">
        <v>38</v>
      </c>
      <c r="C4017" s="2" t="s">
        <v>18</v>
      </c>
      <c r="D4017" s="2" t="s">
        <v>25</v>
      </c>
      <c r="E4017" s="2" t="s">
        <v>20</v>
      </c>
      <c r="F4017" s="2" t="n">
        <v>5902</v>
      </c>
      <c r="G4017" s="2" t="s">
        <v>26</v>
      </c>
      <c r="H4017" s="2" t="s">
        <v>20</v>
      </c>
      <c r="I4017" s="2" t="s">
        <v>23</v>
      </c>
      <c r="J4017" s="2" t="n">
        <v>23</v>
      </c>
      <c r="K4017" s="2" t="s">
        <v>27</v>
      </c>
      <c r="L4017" s="2" t="n">
        <v>219</v>
      </c>
      <c r="M4017" s="2" t="n">
        <v>4</v>
      </c>
      <c r="N4017" s="2" t="n">
        <v>-1</v>
      </c>
      <c r="O4017" s="2" t="n">
        <v>0</v>
      </c>
      <c r="P4017" s="2" t="s">
        <v>23</v>
      </c>
      <c r="Q4017" s="2" t="s">
        <v>20</v>
      </c>
    </row>
    <row r="4018" customFormat="false" ht="15" hidden="false" customHeight="false" outlineLevel="0" collapsed="false">
      <c r="A4018" s="2" t="n">
        <v>37</v>
      </c>
      <c r="B4018" s="2" t="s">
        <v>29</v>
      </c>
      <c r="C4018" s="2" t="s">
        <v>18</v>
      </c>
      <c r="D4018" s="2" t="s">
        <v>31</v>
      </c>
      <c r="E4018" s="2" t="s">
        <v>20</v>
      </c>
      <c r="F4018" s="2" t="n">
        <v>547</v>
      </c>
      <c r="G4018" s="2" t="s">
        <v>26</v>
      </c>
      <c r="H4018" s="2" t="s">
        <v>26</v>
      </c>
      <c r="I4018" s="2" t="s">
        <v>23</v>
      </c>
      <c r="J4018" s="2" t="n">
        <v>21</v>
      </c>
      <c r="K4018" s="2" t="s">
        <v>27</v>
      </c>
      <c r="L4018" s="2" t="n">
        <v>143</v>
      </c>
      <c r="M4018" s="2" t="n">
        <v>1</v>
      </c>
      <c r="N4018" s="2" t="n">
        <v>-1</v>
      </c>
      <c r="O4018" s="2" t="n">
        <v>0</v>
      </c>
      <c r="P4018" s="2" t="s">
        <v>23</v>
      </c>
      <c r="Q4018" s="2" t="s">
        <v>20</v>
      </c>
    </row>
    <row r="4019" customFormat="false" ht="15" hidden="false" customHeight="false" outlineLevel="0" collapsed="false">
      <c r="A4019" s="2" t="n">
        <v>59</v>
      </c>
      <c r="B4019" s="2" t="s">
        <v>36</v>
      </c>
      <c r="C4019" s="2" t="s">
        <v>18</v>
      </c>
      <c r="D4019" s="2" t="s">
        <v>31</v>
      </c>
      <c r="E4019" s="2" t="s">
        <v>20</v>
      </c>
      <c r="F4019" s="2" t="n">
        <v>3800</v>
      </c>
      <c r="G4019" s="2" t="s">
        <v>20</v>
      </c>
      <c r="H4019" s="2" t="s">
        <v>26</v>
      </c>
      <c r="I4019" s="2" t="s">
        <v>21</v>
      </c>
      <c r="J4019" s="2" t="n">
        <v>9</v>
      </c>
      <c r="K4019" s="2" t="s">
        <v>44</v>
      </c>
      <c r="L4019" s="2" t="n">
        <v>70</v>
      </c>
      <c r="M4019" s="2" t="n">
        <v>1</v>
      </c>
      <c r="N4019" s="2" t="n">
        <v>-1</v>
      </c>
      <c r="O4019" s="2" t="n">
        <v>0</v>
      </c>
      <c r="P4019" s="2" t="s">
        <v>23</v>
      </c>
      <c r="Q4019" s="2" t="s">
        <v>20</v>
      </c>
    </row>
    <row r="4020" customFormat="false" ht="15" hidden="false" customHeight="false" outlineLevel="0" collapsed="false">
      <c r="A4020" s="2" t="n">
        <v>26</v>
      </c>
      <c r="B4020" s="2" t="s">
        <v>38</v>
      </c>
      <c r="C4020" s="2" t="s">
        <v>30</v>
      </c>
      <c r="D4020" s="2" t="s">
        <v>25</v>
      </c>
      <c r="E4020" s="2" t="s">
        <v>20</v>
      </c>
      <c r="F4020" s="2" t="n">
        <v>261</v>
      </c>
      <c r="G4020" s="2" t="s">
        <v>26</v>
      </c>
      <c r="H4020" s="2" t="s">
        <v>20</v>
      </c>
      <c r="I4020" s="2" t="s">
        <v>23</v>
      </c>
      <c r="J4020" s="2" t="n">
        <v>27</v>
      </c>
      <c r="K4020" s="2" t="s">
        <v>27</v>
      </c>
      <c r="L4020" s="2" t="n">
        <v>371</v>
      </c>
      <c r="M4020" s="2" t="n">
        <v>2</v>
      </c>
      <c r="N4020" s="2" t="n">
        <v>-1</v>
      </c>
      <c r="O4020" s="2" t="n">
        <v>0</v>
      </c>
      <c r="P4020" s="2" t="s">
        <v>23</v>
      </c>
      <c r="Q4020" s="2" t="s">
        <v>20</v>
      </c>
    </row>
    <row r="4021" customFormat="false" ht="15" hidden="false" customHeight="false" outlineLevel="0" collapsed="false">
      <c r="A4021" s="2" t="n">
        <v>43</v>
      </c>
      <c r="B4021" s="2" t="s">
        <v>38</v>
      </c>
      <c r="C4021" s="2" t="s">
        <v>18</v>
      </c>
      <c r="D4021" s="2" t="s">
        <v>25</v>
      </c>
      <c r="E4021" s="2" t="s">
        <v>20</v>
      </c>
      <c r="F4021" s="2" t="n">
        <v>0</v>
      </c>
      <c r="G4021" s="2" t="s">
        <v>26</v>
      </c>
      <c r="H4021" s="2" t="s">
        <v>26</v>
      </c>
      <c r="I4021" s="2" t="s">
        <v>21</v>
      </c>
      <c r="J4021" s="2" t="n">
        <v>4</v>
      </c>
      <c r="K4021" s="2" t="s">
        <v>35</v>
      </c>
      <c r="L4021" s="2" t="n">
        <v>539</v>
      </c>
      <c r="M4021" s="2" t="n">
        <v>8</v>
      </c>
      <c r="N4021" s="2" t="n">
        <v>204</v>
      </c>
      <c r="O4021" s="2" t="n">
        <v>5</v>
      </c>
      <c r="P4021" s="2" t="s">
        <v>28</v>
      </c>
      <c r="Q4021" s="2" t="s">
        <v>20</v>
      </c>
    </row>
    <row r="4022" customFormat="false" ht="15" hidden="false" customHeight="false" outlineLevel="0" collapsed="false">
      <c r="A4022" s="2" t="n">
        <v>42</v>
      </c>
      <c r="B4022" s="2" t="s">
        <v>29</v>
      </c>
      <c r="C4022" s="2" t="s">
        <v>18</v>
      </c>
      <c r="D4022" s="2" t="s">
        <v>25</v>
      </c>
      <c r="E4022" s="2" t="s">
        <v>26</v>
      </c>
      <c r="F4022" s="2" t="n">
        <v>-34</v>
      </c>
      <c r="G4022" s="2" t="s">
        <v>20</v>
      </c>
      <c r="H4022" s="2" t="s">
        <v>20</v>
      </c>
      <c r="I4022" s="2" t="s">
        <v>21</v>
      </c>
      <c r="J4022" s="2" t="n">
        <v>5</v>
      </c>
      <c r="K4022" s="2" t="s">
        <v>35</v>
      </c>
      <c r="L4022" s="2" t="n">
        <v>176</v>
      </c>
      <c r="M4022" s="2" t="n">
        <v>1</v>
      </c>
      <c r="N4022" s="2" t="n">
        <v>-1</v>
      </c>
      <c r="O4022" s="2" t="n">
        <v>0</v>
      </c>
      <c r="P4022" s="2" t="s">
        <v>23</v>
      </c>
      <c r="Q4022" s="2" t="s">
        <v>20</v>
      </c>
    </row>
    <row r="4023" customFormat="false" ht="15" hidden="false" customHeight="false" outlineLevel="0" collapsed="false">
      <c r="A4023" s="2" t="n">
        <v>46</v>
      </c>
      <c r="B4023" s="2" t="s">
        <v>34</v>
      </c>
      <c r="C4023" s="2" t="s">
        <v>18</v>
      </c>
      <c r="D4023" s="2" t="s">
        <v>23</v>
      </c>
      <c r="E4023" s="2" t="s">
        <v>20</v>
      </c>
      <c r="F4023" s="2" t="n">
        <v>9328</v>
      </c>
      <c r="G4023" s="2" t="s">
        <v>26</v>
      </c>
      <c r="H4023" s="2" t="s">
        <v>20</v>
      </c>
      <c r="I4023" s="2" t="s">
        <v>21</v>
      </c>
      <c r="J4023" s="2" t="n">
        <v>5</v>
      </c>
      <c r="K4023" s="2" t="s">
        <v>27</v>
      </c>
      <c r="L4023" s="2" t="n">
        <v>725</v>
      </c>
      <c r="M4023" s="2" t="n">
        <v>3</v>
      </c>
      <c r="N4023" s="2" t="n">
        <v>-1</v>
      </c>
      <c r="O4023" s="2" t="n">
        <v>0</v>
      </c>
      <c r="P4023" s="2" t="s">
        <v>23</v>
      </c>
      <c r="Q4023" s="2" t="s">
        <v>26</v>
      </c>
    </row>
    <row r="4024" customFormat="false" ht="15" hidden="false" customHeight="false" outlineLevel="0" collapsed="false">
      <c r="A4024" s="2" t="n">
        <v>31</v>
      </c>
      <c r="B4024" s="2" t="s">
        <v>40</v>
      </c>
      <c r="C4024" s="2" t="s">
        <v>18</v>
      </c>
      <c r="D4024" s="2" t="s">
        <v>25</v>
      </c>
      <c r="E4024" s="2" t="s">
        <v>20</v>
      </c>
      <c r="F4024" s="2" t="n">
        <v>5</v>
      </c>
      <c r="G4024" s="2" t="s">
        <v>26</v>
      </c>
      <c r="H4024" s="2" t="s">
        <v>26</v>
      </c>
      <c r="I4024" s="2" t="s">
        <v>21</v>
      </c>
      <c r="J4024" s="2" t="n">
        <v>16</v>
      </c>
      <c r="K4024" s="2" t="s">
        <v>44</v>
      </c>
      <c r="L4024" s="2" t="n">
        <v>101</v>
      </c>
      <c r="M4024" s="2" t="n">
        <v>7</v>
      </c>
      <c r="N4024" s="2" t="n">
        <v>-1</v>
      </c>
      <c r="O4024" s="2" t="n">
        <v>0</v>
      </c>
      <c r="P4024" s="2" t="s">
        <v>23</v>
      </c>
      <c r="Q4024" s="2" t="s">
        <v>20</v>
      </c>
    </row>
    <row r="4025" customFormat="false" ht="15" hidden="false" customHeight="false" outlineLevel="0" collapsed="false">
      <c r="A4025" s="2" t="n">
        <v>43</v>
      </c>
      <c r="B4025" s="2" t="s">
        <v>17</v>
      </c>
      <c r="C4025" s="2" t="s">
        <v>18</v>
      </c>
      <c r="D4025" s="2" t="s">
        <v>25</v>
      </c>
      <c r="E4025" s="2" t="s">
        <v>20</v>
      </c>
      <c r="F4025" s="2" t="n">
        <v>3529</v>
      </c>
      <c r="G4025" s="2" t="s">
        <v>20</v>
      </c>
      <c r="H4025" s="2" t="s">
        <v>20</v>
      </c>
      <c r="I4025" s="2" t="s">
        <v>21</v>
      </c>
      <c r="J4025" s="2" t="n">
        <v>5</v>
      </c>
      <c r="K4025" s="2" t="s">
        <v>35</v>
      </c>
      <c r="L4025" s="2" t="n">
        <v>169</v>
      </c>
      <c r="M4025" s="2" t="n">
        <v>2</v>
      </c>
      <c r="N4025" s="2" t="n">
        <v>-1</v>
      </c>
      <c r="O4025" s="2" t="n">
        <v>0</v>
      </c>
      <c r="P4025" s="2" t="s">
        <v>23</v>
      </c>
      <c r="Q4025" s="2" t="s">
        <v>20</v>
      </c>
    </row>
    <row r="4026" customFormat="false" ht="15" hidden="false" customHeight="false" outlineLevel="0" collapsed="false">
      <c r="A4026" s="2" t="n">
        <v>48</v>
      </c>
      <c r="B4026" s="2" t="s">
        <v>34</v>
      </c>
      <c r="C4026" s="2" t="s">
        <v>30</v>
      </c>
      <c r="D4026" s="2" t="s">
        <v>31</v>
      </c>
      <c r="E4026" s="2" t="s">
        <v>20</v>
      </c>
      <c r="F4026" s="2" t="n">
        <v>2330</v>
      </c>
      <c r="G4026" s="2" t="s">
        <v>26</v>
      </c>
      <c r="H4026" s="2" t="s">
        <v>20</v>
      </c>
      <c r="I4026" s="2" t="s">
        <v>23</v>
      </c>
      <c r="J4026" s="2" t="n">
        <v>4</v>
      </c>
      <c r="K4026" s="2" t="s">
        <v>33</v>
      </c>
      <c r="L4026" s="2" t="n">
        <v>15</v>
      </c>
      <c r="M4026" s="2" t="n">
        <v>1</v>
      </c>
      <c r="N4026" s="2" t="n">
        <v>-1</v>
      </c>
      <c r="O4026" s="2" t="n">
        <v>0</v>
      </c>
      <c r="P4026" s="2" t="s">
        <v>23</v>
      </c>
      <c r="Q4026" s="2" t="s">
        <v>20</v>
      </c>
    </row>
    <row r="4027" customFormat="false" ht="15" hidden="false" customHeight="false" outlineLevel="0" collapsed="false">
      <c r="A4027" s="2" t="n">
        <v>41</v>
      </c>
      <c r="B4027" s="2" t="s">
        <v>34</v>
      </c>
      <c r="C4027" s="2" t="s">
        <v>18</v>
      </c>
      <c r="D4027" s="2" t="s">
        <v>25</v>
      </c>
      <c r="E4027" s="2" t="s">
        <v>20</v>
      </c>
      <c r="F4027" s="2" t="n">
        <v>1334</v>
      </c>
      <c r="G4027" s="2" t="s">
        <v>26</v>
      </c>
      <c r="H4027" s="2" t="s">
        <v>20</v>
      </c>
      <c r="I4027" s="2" t="s">
        <v>21</v>
      </c>
      <c r="J4027" s="2" t="n">
        <v>20</v>
      </c>
      <c r="K4027" s="2" t="s">
        <v>32</v>
      </c>
      <c r="L4027" s="2" t="n">
        <v>234</v>
      </c>
      <c r="M4027" s="2" t="n">
        <v>5</v>
      </c>
      <c r="N4027" s="2" t="n">
        <v>-1</v>
      </c>
      <c r="O4027" s="2" t="n">
        <v>0</v>
      </c>
      <c r="P4027" s="2" t="s">
        <v>23</v>
      </c>
      <c r="Q4027" s="2" t="s">
        <v>20</v>
      </c>
    </row>
    <row r="4028" customFormat="false" ht="15" hidden="false" customHeight="false" outlineLevel="0" collapsed="false">
      <c r="A4028" s="2" t="n">
        <v>32</v>
      </c>
      <c r="B4028" s="2" t="s">
        <v>36</v>
      </c>
      <c r="C4028" s="2" t="s">
        <v>18</v>
      </c>
      <c r="D4028" s="2" t="s">
        <v>31</v>
      </c>
      <c r="E4028" s="2" t="s">
        <v>20</v>
      </c>
      <c r="F4028" s="2" t="n">
        <v>3601</v>
      </c>
      <c r="G4028" s="2" t="s">
        <v>20</v>
      </c>
      <c r="H4028" s="2" t="s">
        <v>20</v>
      </c>
      <c r="I4028" s="2" t="s">
        <v>21</v>
      </c>
      <c r="J4028" s="2" t="n">
        <v>22</v>
      </c>
      <c r="K4028" s="2" t="s">
        <v>41</v>
      </c>
      <c r="L4028" s="2" t="n">
        <v>171</v>
      </c>
      <c r="M4028" s="2" t="n">
        <v>15</v>
      </c>
      <c r="N4028" s="2" t="n">
        <v>-1</v>
      </c>
      <c r="O4028" s="2" t="n">
        <v>0</v>
      </c>
      <c r="P4028" s="2" t="s">
        <v>23</v>
      </c>
      <c r="Q4028" s="2" t="s">
        <v>20</v>
      </c>
    </row>
    <row r="4029" customFormat="false" ht="15" hidden="false" customHeight="false" outlineLevel="0" collapsed="false">
      <c r="A4029" s="2" t="n">
        <v>45</v>
      </c>
      <c r="B4029" s="2" t="s">
        <v>38</v>
      </c>
      <c r="C4029" s="2" t="s">
        <v>18</v>
      </c>
      <c r="D4029" s="2" t="s">
        <v>31</v>
      </c>
      <c r="E4029" s="2" t="s">
        <v>20</v>
      </c>
      <c r="F4029" s="2" t="n">
        <v>265</v>
      </c>
      <c r="G4029" s="2" t="s">
        <v>20</v>
      </c>
      <c r="H4029" s="2" t="s">
        <v>20</v>
      </c>
      <c r="I4029" s="2" t="s">
        <v>21</v>
      </c>
      <c r="J4029" s="2" t="n">
        <v>28</v>
      </c>
      <c r="K4029" s="2" t="s">
        <v>41</v>
      </c>
      <c r="L4029" s="2" t="n">
        <v>14</v>
      </c>
      <c r="M4029" s="2" t="n">
        <v>3</v>
      </c>
      <c r="N4029" s="2" t="n">
        <v>-1</v>
      </c>
      <c r="O4029" s="2" t="n">
        <v>0</v>
      </c>
      <c r="P4029" s="2" t="s">
        <v>23</v>
      </c>
      <c r="Q4029" s="2" t="s">
        <v>20</v>
      </c>
    </row>
    <row r="4030" customFormat="false" ht="15" hidden="false" customHeight="false" outlineLevel="0" collapsed="false">
      <c r="A4030" s="2" t="n">
        <v>52</v>
      </c>
      <c r="B4030" s="2" t="s">
        <v>40</v>
      </c>
      <c r="C4030" s="2" t="s">
        <v>30</v>
      </c>
      <c r="D4030" s="2" t="s">
        <v>23</v>
      </c>
      <c r="E4030" s="2" t="s">
        <v>20</v>
      </c>
      <c r="F4030" s="2" t="n">
        <v>2227</v>
      </c>
      <c r="G4030" s="2" t="s">
        <v>20</v>
      </c>
      <c r="H4030" s="2" t="s">
        <v>20</v>
      </c>
      <c r="I4030" s="2" t="s">
        <v>21</v>
      </c>
      <c r="J4030" s="2" t="n">
        <v>24</v>
      </c>
      <c r="K4030" s="2" t="s">
        <v>35</v>
      </c>
      <c r="L4030" s="2" t="n">
        <v>242</v>
      </c>
      <c r="M4030" s="2" t="n">
        <v>2</v>
      </c>
      <c r="N4030" s="2" t="n">
        <v>-1</v>
      </c>
      <c r="O4030" s="2" t="n">
        <v>0</v>
      </c>
      <c r="P4030" s="2" t="s">
        <v>23</v>
      </c>
      <c r="Q4030" s="2" t="s">
        <v>26</v>
      </c>
    </row>
    <row r="4031" customFormat="false" ht="15" hidden="false" customHeight="false" outlineLevel="0" collapsed="false">
      <c r="A4031" s="2" t="n">
        <v>37</v>
      </c>
      <c r="B4031" s="2" t="s">
        <v>36</v>
      </c>
      <c r="C4031" s="2" t="s">
        <v>18</v>
      </c>
      <c r="D4031" s="2" t="s">
        <v>25</v>
      </c>
      <c r="E4031" s="2" t="s">
        <v>20</v>
      </c>
      <c r="F4031" s="2" t="n">
        <v>487</v>
      </c>
      <c r="G4031" s="2" t="s">
        <v>20</v>
      </c>
      <c r="H4031" s="2" t="s">
        <v>26</v>
      </c>
      <c r="I4031" s="2" t="s">
        <v>21</v>
      </c>
      <c r="J4031" s="2" t="n">
        <v>27</v>
      </c>
      <c r="K4031" s="2" t="s">
        <v>41</v>
      </c>
      <c r="L4031" s="2" t="n">
        <v>155</v>
      </c>
      <c r="M4031" s="2" t="n">
        <v>15</v>
      </c>
      <c r="N4031" s="2" t="n">
        <v>-1</v>
      </c>
      <c r="O4031" s="2" t="n">
        <v>0</v>
      </c>
      <c r="P4031" s="2" t="s">
        <v>23</v>
      </c>
      <c r="Q4031" s="2" t="s">
        <v>20</v>
      </c>
    </row>
    <row r="4032" customFormat="false" ht="15" hidden="false" customHeight="false" outlineLevel="0" collapsed="false">
      <c r="A4032" s="2" t="n">
        <v>38</v>
      </c>
      <c r="B4032" s="2" t="s">
        <v>34</v>
      </c>
      <c r="C4032" s="2" t="s">
        <v>45</v>
      </c>
      <c r="D4032" s="2" t="s">
        <v>25</v>
      </c>
      <c r="E4032" s="2" t="s">
        <v>20</v>
      </c>
      <c r="F4032" s="2" t="n">
        <v>0</v>
      </c>
      <c r="G4032" s="2" t="s">
        <v>26</v>
      </c>
      <c r="H4032" s="2" t="s">
        <v>20</v>
      </c>
      <c r="I4032" s="2" t="s">
        <v>21</v>
      </c>
      <c r="J4032" s="2" t="n">
        <v>11</v>
      </c>
      <c r="K4032" s="2" t="s">
        <v>27</v>
      </c>
      <c r="L4032" s="2" t="n">
        <v>580</v>
      </c>
      <c r="M4032" s="2" t="n">
        <v>1</v>
      </c>
      <c r="N4032" s="2" t="n">
        <v>173</v>
      </c>
      <c r="O4032" s="2" t="n">
        <v>1</v>
      </c>
      <c r="P4032" s="2" t="s">
        <v>28</v>
      </c>
      <c r="Q4032" s="2" t="s">
        <v>20</v>
      </c>
    </row>
    <row r="4033" customFormat="false" ht="15" hidden="false" customHeight="false" outlineLevel="0" collapsed="false">
      <c r="A4033" s="2" t="n">
        <v>36</v>
      </c>
      <c r="B4033" s="2" t="s">
        <v>24</v>
      </c>
      <c r="C4033" s="2" t="s">
        <v>30</v>
      </c>
      <c r="D4033" s="2" t="s">
        <v>25</v>
      </c>
      <c r="E4033" s="2" t="s">
        <v>20</v>
      </c>
      <c r="F4033" s="2" t="n">
        <v>174</v>
      </c>
      <c r="G4033" s="2" t="s">
        <v>26</v>
      </c>
      <c r="H4033" s="2" t="s">
        <v>20</v>
      </c>
      <c r="I4033" s="2" t="s">
        <v>23</v>
      </c>
      <c r="J4033" s="2" t="n">
        <v>7</v>
      </c>
      <c r="K4033" s="2" t="s">
        <v>27</v>
      </c>
      <c r="L4033" s="2" t="n">
        <v>223</v>
      </c>
      <c r="M4033" s="2" t="n">
        <v>2</v>
      </c>
      <c r="N4033" s="2" t="n">
        <v>-1</v>
      </c>
      <c r="O4033" s="2" t="n">
        <v>0</v>
      </c>
      <c r="P4033" s="2" t="s">
        <v>23</v>
      </c>
      <c r="Q4033" s="2" t="s">
        <v>20</v>
      </c>
    </row>
    <row r="4034" customFormat="false" ht="15" hidden="false" customHeight="false" outlineLevel="0" collapsed="false">
      <c r="A4034" s="2" t="n">
        <v>58</v>
      </c>
      <c r="B4034" s="2" t="s">
        <v>48</v>
      </c>
      <c r="C4034" s="2" t="s">
        <v>18</v>
      </c>
      <c r="D4034" s="2" t="s">
        <v>25</v>
      </c>
      <c r="E4034" s="2" t="s">
        <v>20</v>
      </c>
      <c r="F4034" s="2" t="n">
        <v>14412</v>
      </c>
      <c r="G4034" s="2" t="s">
        <v>20</v>
      </c>
      <c r="H4034" s="2" t="s">
        <v>20</v>
      </c>
      <c r="I4034" s="2" t="s">
        <v>21</v>
      </c>
      <c r="J4034" s="2" t="n">
        <v>18</v>
      </c>
      <c r="K4034" s="2" t="s">
        <v>46</v>
      </c>
      <c r="L4034" s="2" t="n">
        <v>297</v>
      </c>
      <c r="M4034" s="2" t="n">
        <v>1</v>
      </c>
      <c r="N4034" s="2" t="n">
        <v>-1</v>
      </c>
      <c r="O4034" s="2" t="n">
        <v>0</v>
      </c>
      <c r="P4034" s="2" t="s">
        <v>23</v>
      </c>
      <c r="Q4034" s="2" t="s">
        <v>20</v>
      </c>
    </row>
    <row r="4035" customFormat="false" ht="15" hidden="false" customHeight="false" outlineLevel="0" collapsed="false">
      <c r="A4035" s="2" t="n">
        <v>37</v>
      </c>
      <c r="B4035" s="2" t="s">
        <v>29</v>
      </c>
      <c r="C4035" s="2" t="s">
        <v>18</v>
      </c>
      <c r="D4035" s="2" t="s">
        <v>31</v>
      </c>
      <c r="E4035" s="2" t="s">
        <v>20</v>
      </c>
      <c r="F4035" s="2" t="n">
        <v>3288</v>
      </c>
      <c r="G4035" s="2" t="s">
        <v>20</v>
      </c>
      <c r="H4035" s="2" t="s">
        <v>20</v>
      </c>
      <c r="I4035" s="2" t="s">
        <v>21</v>
      </c>
      <c r="J4035" s="2" t="n">
        <v>8</v>
      </c>
      <c r="K4035" s="2" t="s">
        <v>41</v>
      </c>
      <c r="L4035" s="2" t="n">
        <v>124</v>
      </c>
      <c r="M4035" s="2" t="n">
        <v>2</v>
      </c>
      <c r="N4035" s="2" t="n">
        <v>-1</v>
      </c>
      <c r="O4035" s="2" t="n">
        <v>0</v>
      </c>
      <c r="P4035" s="2" t="s">
        <v>23</v>
      </c>
      <c r="Q4035" s="2" t="s">
        <v>20</v>
      </c>
    </row>
    <row r="4036" customFormat="false" ht="15" hidden="false" customHeight="false" outlineLevel="0" collapsed="false">
      <c r="A4036" s="2" t="n">
        <v>30</v>
      </c>
      <c r="B4036" s="2" t="s">
        <v>38</v>
      </c>
      <c r="C4036" s="2" t="s">
        <v>30</v>
      </c>
      <c r="D4036" s="2" t="s">
        <v>25</v>
      </c>
      <c r="E4036" s="2" t="s">
        <v>20</v>
      </c>
      <c r="F4036" s="2" t="n">
        <v>57</v>
      </c>
      <c r="G4036" s="2" t="s">
        <v>20</v>
      </c>
      <c r="H4036" s="2" t="s">
        <v>20</v>
      </c>
      <c r="I4036" s="2" t="s">
        <v>21</v>
      </c>
      <c r="J4036" s="2" t="n">
        <v>2</v>
      </c>
      <c r="K4036" s="2" t="s">
        <v>35</v>
      </c>
      <c r="L4036" s="2" t="n">
        <v>465</v>
      </c>
      <c r="M4036" s="2" t="n">
        <v>2</v>
      </c>
      <c r="N4036" s="2" t="n">
        <v>-1</v>
      </c>
      <c r="O4036" s="2" t="n">
        <v>0</v>
      </c>
      <c r="P4036" s="2" t="s">
        <v>23</v>
      </c>
      <c r="Q4036" s="2" t="s">
        <v>20</v>
      </c>
    </row>
    <row r="4037" customFormat="false" ht="15" hidden="false" customHeight="false" outlineLevel="0" collapsed="false">
      <c r="A4037" s="2" t="n">
        <v>47</v>
      </c>
      <c r="B4037" s="2" t="s">
        <v>38</v>
      </c>
      <c r="C4037" s="2" t="s">
        <v>18</v>
      </c>
      <c r="D4037" s="2" t="s">
        <v>25</v>
      </c>
      <c r="E4037" s="2" t="s">
        <v>20</v>
      </c>
      <c r="F4037" s="2" t="n">
        <v>2246</v>
      </c>
      <c r="G4037" s="2" t="s">
        <v>26</v>
      </c>
      <c r="H4037" s="2" t="s">
        <v>20</v>
      </c>
      <c r="I4037" s="2" t="s">
        <v>21</v>
      </c>
      <c r="J4037" s="2" t="n">
        <v>10</v>
      </c>
      <c r="K4037" s="2" t="s">
        <v>44</v>
      </c>
      <c r="L4037" s="2" t="n">
        <v>330</v>
      </c>
      <c r="M4037" s="2" t="n">
        <v>1</v>
      </c>
      <c r="N4037" s="2" t="n">
        <v>-1</v>
      </c>
      <c r="O4037" s="2" t="n">
        <v>0</v>
      </c>
      <c r="P4037" s="2" t="s">
        <v>23</v>
      </c>
      <c r="Q4037" s="2" t="s">
        <v>20</v>
      </c>
    </row>
    <row r="4038" customFormat="false" ht="15" hidden="false" customHeight="false" outlineLevel="0" collapsed="false">
      <c r="A4038" s="2" t="n">
        <v>40</v>
      </c>
      <c r="B4038" s="2" t="s">
        <v>38</v>
      </c>
      <c r="C4038" s="2" t="s">
        <v>18</v>
      </c>
      <c r="D4038" s="2" t="s">
        <v>25</v>
      </c>
      <c r="E4038" s="2" t="s">
        <v>20</v>
      </c>
      <c r="F4038" s="2" t="n">
        <v>4441</v>
      </c>
      <c r="G4038" s="2" t="s">
        <v>26</v>
      </c>
      <c r="H4038" s="2" t="s">
        <v>20</v>
      </c>
      <c r="I4038" s="2" t="s">
        <v>21</v>
      </c>
      <c r="J4038" s="2" t="n">
        <v>20</v>
      </c>
      <c r="K4038" s="2" t="s">
        <v>46</v>
      </c>
      <c r="L4038" s="2" t="n">
        <v>153</v>
      </c>
      <c r="M4038" s="2" t="n">
        <v>2</v>
      </c>
      <c r="N4038" s="2" t="n">
        <v>183</v>
      </c>
      <c r="O4038" s="2" t="n">
        <v>2</v>
      </c>
      <c r="P4038" s="2" t="s">
        <v>28</v>
      </c>
      <c r="Q4038" s="2" t="s">
        <v>20</v>
      </c>
    </row>
    <row r="4039" customFormat="false" ht="15" hidden="false" customHeight="false" outlineLevel="0" collapsed="false">
      <c r="A4039" s="2" t="n">
        <v>42</v>
      </c>
      <c r="B4039" s="2" t="s">
        <v>29</v>
      </c>
      <c r="C4039" s="2" t="s">
        <v>45</v>
      </c>
      <c r="D4039" s="2" t="s">
        <v>31</v>
      </c>
      <c r="E4039" s="2" t="s">
        <v>20</v>
      </c>
      <c r="F4039" s="2" t="n">
        <v>0</v>
      </c>
      <c r="G4039" s="2" t="s">
        <v>20</v>
      </c>
      <c r="H4039" s="2" t="s">
        <v>20</v>
      </c>
      <c r="I4039" s="2" t="s">
        <v>23</v>
      </c>
      <c r="J4039" s="2" t="n">
        <v>19</v>
      </c>
      <c r="K4039" s="2" t="s">
        <v>27</v>
      </c>
      <c r="L4039" s="2" t="n">
        <v>131</v>
      </c>
      <c r="M4039" s="2" t="n">
        <v>2</v>
      </c>
      <c r="N4039" s="2" t="n">
        <v>-1</v>
      </c>
      <c r="O4039" s="2" t="n">
        <v>0</v>
      </c>
      <c r="P4039" s="2" t="s">
        <v>23</v>
      </c>
      <c r="Q4039" s="2" t="s">
        <v>20</v>
      </c>
    </row>
    <row r="4040" customFormat="false" ht="15" hidden="false" customHeight="false" outlineLevel="0" collapsed="false">
      <c r="A4040" s="2" t="n">
        <v>71</v>
      </c>
      <c r="B4040" s="2" t="s">
        <v>23</v>
      </c>
      <c r="C4040" s="2" t="s">
        <v>18</v>
      </c>
      <c r="D4040" s="2" t="s">
        <v>31</v>
      </c>
      <c r="E4040" s="2" t="s">
        <v>20</v>
      </c>
      <c r="F4040" s="2" t="n">
        <v>353</v>
      </c>
      <c r="G4040" s="2" t="s">
        <v>20</v>
      </c>
      <c r="H4040" s="2" t="s">
        <v>20</v>
      </c>
      <c r="I4040" s="2" t="s">
        <v>21</v>
      </c>
      <c r="J4040" s="2" t="n">
        <v>27</v>
      </c>
      <c r="K4040" s="2" t="s">
        <v>43</v>
      </c>
      <c r="L4040" s="2" t="n">
        <v>208</v>
      </c>
      <c r="M4040" s="2" t="n">
        <v>1</v>
      </c>
      <c r="N4040" s="2" t="n">
        <v>93</v>
      </c>
      <c r="O4040" s="2" t="n">
        <v>2</v>
      </c>
      <c r="P4040" s="2" t="s">
        <v>28</v>
      </c>
      <c r="Q4040" s="2" t="s">
        <v>20</v>
      </c>
    </row>
    <row r="4041" customFormat="false" ht="15" hidden="false" customHeight="false" outlineLevel="0" collapsed="false">
      <c r="A4041" s="2" t="n">
        <v>54</v>
      </c>
      <c r="B4041" s="2" t="s">
        <v>34</v>
      </c>
      <c r="C4041" s="2" t="s">
        <v>18</v>
      </c>
      <c r="D4041" s="2" t="s">
        <v>25</v>
      </c>
      <c r="E4041" s="2" t="s">
        <v>20</v>
      </c>
      <c r="F4041" s="2" t="n">
        <v>448</v>
      </c>
      <c r="G4041" s="2" t="s">
        <v>26</v>
      </c>
      <c r="H4041" s="2" t="s">
        <v>26</v>
      </c>
      <c r="I4041" s="2" t="s">
        <v>21</v>
      </c>
      <c r="J4041" s="2" t="n">
        <v>5</v>
      </c>
      <c r="K4041" s="2" t="s">
        <v>41</v>
      </c>
      <c r="L4041" s="2" t="n">
        <v>98</v>
      </c>
      <c r="M4041" s="2" t="n">
        <v>1</v>
      </c>
      <c r="N4041" s="2" t="n">
        <v>-1</v>
      </c>
      <c r="O4041" s="2" t="n">
        <v>0</v>
      </c>
      <c r="P4041" s="2" t="s">
        <v>23</v>
      </c>
      <c r="Q4041" s="2" t="s">
        <v>20</v>
      </c>
    </row>
    <row r="4042" customFormat="false" ht="15" hidden="false" customHeight="false" outlineLevel="0" collapsed="false">
      <c r="A4042" s="2" t="n">
        <v>53</v>
      </c>
      <c r="B4042" s="2" t="s">
        <v>39</v>
      </c>
      <c r="C4042" s="2" t="s">
        <v>18</v>
      </c>
      <c r="D4042" s="2" t="s">
        <v>19</v>
      </c>
      <c r="E4042" s="2" t="s">
        <v>20</v>
      </c>
      <c r="F4042" s="2" t="n">
        <v>27</v>
      </c>
      <c r="G4042" s="2" t="s">
        <v>26</v>
      </c>
      <c r="H4042" s="2" t="s">
        <v>20</v>
      </c>
      <c r="I4042" s="2" t="s">
        <v>49</v>
      </c>
      <c r="J4042" s="2" t="n">
        <v>10</v>
      </c>
      <c r="K4042" s="2" t="s">
        <v>51</v>
      </c>
      <c r="L4042" s="2" t="n">
        <v>230</v>
      </c>
      <c r="M4042" s="2" t="n">
        <v>3</v>
      </c>
      <c r="N4042" s="2" t="n">
        <v>-1</v>
      </c>
      <c r="O4042" s="2" t="n">
        <v>0</v>
      </c>
      <c r="P4042" s="2" t="s">
        <v>23</v>
      </c>
      <c r="Q4042" s="2" t="s">
        <v>26</v>
      </c>
    </row>
    <row r="4043" customFormat="false" ht="15" hidden="false" customHeight="false" outlineLevel="0" collapsed="false">
      <c r="A4043" s="2" t="n">
        <v>33</v>
      </c>
      <c r="B4043" s="2" t="s">
        <v>34</v>
      </c>
      <c r="C4043" s="2" t="s">
        <v>45</v>
      </c>
      <c r="D4043" s="2" t="s">
        <v>25</v>
      </c>
      <c r="E4043" s="2" t="s">
        <v>20</v>
      </c>
      <c r="F4043" s="2" t="n">
        <v>474</v>
      </c>
      <c r="G4043" s="2" t="s">
        <v>20</v>
      </c>
      <c r="H4043" s="2" t="s">
        <v>20</v>
      </c>
      <c r="I4043" s="2" t="s">
        <v>21</v>
      </c>
      <c r="J4043" s="2" t="n">
        <v>22</v>
      </c>
      <c r="K4043" s="2" t="s">
        <v>44</v>
      </c>
      <c r="L4043" s="2" t="n">
        <v>400</v>
      </c>
      <c r="M4043" s="2" t="n">
        <v>2</v>
      </c>
      <c r="N4043" s="2" t="n">
        <v>-1</v>
      </c>
      <c r="O4043" s="2" t="n">
        <v>0</v>
      </c>
      <c r="P4043" s="2" t="s">
        <v>23</v>
      </c>
      <c r="Q4043" s="2" t="s">
        <v>20</v>
      </c>
    </row>
    <row r="4044" customFormat="false" ht="15" hidden="false" customHeight="false" outlineLevel="0" collapsed="false">
      <c r="A4044" s="2" t="n">
        <v>30</v>
      </c>
      <c r="B4044" s="2" t="s">
        <v>38</v>
      </c>
      <c r="C4044" s="2" t="s">
        <v>30</v>
      </c>
      <c r="D4044" s="2" t="s">
        <v>31</v>
      </c>
      <c r="E4044" s="2" t="s">
        <v>20</v>
      </c>
      <c r="F4044" s="2" t="n">
        <v>1185</v>
      </c>
      <c r="G4044" s="2" t="s">
        <v>26</v>
      </c>
      <c r="H4044" s="2" t="s">
        <v>20</v>
      </c>
      <c r="I4044" s="2" t="s">
        <v>21</v>
      </c>
      <c r="J4044" s="2" t="n">
        <v>30</v>
      </c>
      <c r="K4044" s="2" t="s">
        <v>32</v>
      </c>
      <c r="L4044" s="2" t="n">
        <v>284</v>
      </c>
      <c r="M4044" s="2" t="n">
        <v>1</v>
      </c>
      <c r="N4044" s="2" t="n">
        <v>339</v>
      </c>
      <c r="O4044" s="2" t="n">
        <v>1</v>
      </c>
      <c r="P4044" s="2" t="s">
        <v>28</v>
      </c>
      <c r="Q4044" s="2" t="s">
        <v>20</v>
      </c>
    </row>
    <row r="4045" customFormat="false" ht="15" hidden="false" customHeight="false" outlineLevel="0" collapsed="false">
      <c r="A4045" s="2" t="n">
        <v>39</v>
      </c>
      <c r="B4045" s="2" t="s">
        <v>24</v>
      </c>
      <c r="C4045" s="2" t="s">
        <v>45</v>
      </c>
      <c r="D4045" s="2" t="s">
        <v>25</v>
      </c>
      <c r="E4045" s="2" t="s">
        <v>20</v>
      </c>
      <c r="F4045" s="2" t="n">
        <v>282</v>
      </c>
      <c r="G4045" s="2" t="s">
        <v>26</v>
      </c>
      <c r="H4045" s="2" t="s">
        <v>20</v>
      </c>
      <c r="I4045" s="2" t="s">
        <v>21</v>
      </c>
      <c r="J4045" s="2" t="n">
        <v>17</v>
      </c>
      <c r="K4045" s="2" t="s">
        <v>44</v>
      </c>
      <c r="L4045" s="2" t="n">
        <v>243</v>
      </c>
      <c r="M4045" s="2" t="n">
        <v>1</v>
      </c>
      <c r="N4045" s="2" t="n">
        <v>-1</v>
      </c>
      <c r="O4045" s="2" t="n">
        <v>0</v>
      </c>
      <c r="P4045" s="2" t="s">
        <v>23</v>
      </c>
      <c r="Q4045" s="2" t="s">
        <v>20</v>
      </c>
    </row>
    <row r="4046" customFormat="false" ht="15" hidden="false" customHeight="false" outlineLevel="0" collapsed="false">
      <c r="A4046" s="2" t="n">
        <v>32</v>
      </c>
      <c r="B4046" s="2" t="s">
        <v>34</v>
      </c>
      <c r="C4046" s="2" t="s">
        <v>18</v>
      </c>
      <c r="D4046" s="2" t="s">
        <v>25</v>
      </c>
      <c r="E4046" s="2" t="s">
        <v>20</v>
      </c>
      <c r="F4046" s="2" t="n">
        <v>2</v>
      </c>
      <c r="G4046" s="2" t="s">
        <v>26</v>
      </c>
      <c r="H4046" s="2" t="s">
        <v>20</v>
      </c>
      <c r="I4046" s="2" t="s">
        <v>21</v>
      </c>
      <c r="J4046" s="2" t="n">
        <v>15</v>
      </c>
      <c r="K4046" s="2" t="s">
        <v>27</v>
      </c>
      <c r="L4046" s="2" t="n">
        <v>16</v>
      </c>
      <c r="M4046" s="2" t="n">
        <v>9</v>
      </c>
      <c r="N4046" s="2" t="n">
        <v>309</v>
      </c>
      <c r="O4046" s="2" t="n">
        <v>1</v>
      </c>
      <c r="P4046" s="2" t="s">
        <v>28</v>
      </c>
      <c r="Q4046" s="2" t="s">
        <v>20</v>
      </c>
    </row>
    <row r="4047" customFormat="false" ht="15" hidden="false" customHeight="false" outlineLevel="0" collapsed="false">
      <c r="A4047" s="2" t="n">
        <v>34</v>
      </c>
      <c r="B4047" s="2" t="s">
        <v>38</v>
      </c>
      <c r="C4047" s="2" t="s">
        <v>30</v>
      </c>
      <c r="D4047" s="2" t="s">
        <v>25</v>
      </c>
      <c r="E4047" s="2" t="s">
        <v>20</v>
      </c>
      <c r="F4047" s="2" t="n">
        <v>60</v>
      </c>
      <c r="G4047" s="2" t="s">
        <v>20</v>
      </c>
      <c r="H4047" s="2" t="s">
        <v>20</v>
      </c>
      <c r="I4047" s="2" t="s">
        <v>21</v>
      </c>
      <c r="J4047" s="2" t="n">
        <v>7</v>
      </c>
      <c r="K4047" s="2" t="s">
        <v>41</v>
      </c>
      <c r="L4047" s="2" t="n">
        <v>274</v>
      </c>
      <c r="M4047" s="2" t="n">
        <v>2</v>
      </c>
      <c r="N4047" s="2" t="n">
        <v>-1</v>
      </c>
      <c r="O4047" s="2" t="n">
        <v>0</v>
      </c>
      <c r="P4047" s="2" t="s">
        <v>23</v>
      </c>
      <c r="Q4047" s="2" t="s">
        <v>20</v>
      </c>
    </row>
    <row r="4048" customFormat="false" ht="15" hidden="false" customHeight="false" outlineLevel="0" collapsed="false">
      <c r="A4048" s="2" t="n">
        <v>39</v>
      </c>
      <c r="B4048" s="2" t="s">
        <v>36</v>
      </c>
      <c r="C4048" s="2" t="s">
        <v>30</v>
      </c>
      <c r="D4048" s="2" t="s">
        <v>31</v>
      </c>
      <c r="E4048" s="2" t="s">
        <v>20</v>
      </c>
      <c r="F4048" s="2" t="n">
        <v>3972</v>
      </c>
      <c r="G4048" s="2" t="s">
        <v>20</v>
      </c>
      <c r="H4048" s="2" t="s">
        <v>20</v>
      </c>
      <c r="I4048" s="2" t="s">
        <v>21</v>
      </c>
      <c r="J4048" s="2" t="n">
        <v>30</v>
      </c>
      <c r="K4048" s="2" t="s">
        <v>44</v>
      </c>
      <c r="L4048" s="2" t="n">
        <v>122</v>
      </c>
      <c r="M4048" s="2" t="n">
        <v>3</v>
      </c>
      <c r="N4048" s="2" t="n">
        <v>-1</v>
      </c>
      <c r="O4048" s="2" t="n">
        <v>0</v>
      </c>
      <c r="P4048" s="2" t="s">
        <v>23</v>
      </c>
      <c r="Q4048" s="2" t="s">
        <v>20</v>
      </c>
    </row>
    <row r="4049" customFormat="false" ht="15" hidden="false" customHeight="false" outlineLevel="0" collapsed="false">
      <c r="A4049" s="2" t="n">
        <v>75</v>
      </c>
      <c r="B4049" s="2" t="s">
        <v>48</v>
      </c>
      <c r="C4049" s="2" t="s">
        <v>18</v>
      </c>
      <c r="D4049" s="2" t="s">
        <v>25</v>
      </c>
      <c r="E4049" s="2" t="s">
        <v>20</v>
      </c>
      <c r="F4049" s="2" t="n">
        <v>26452</v>
      </c>
      <c r="G4049" s="2" t="s">
        <v>20</v>
      </c>
      <c r="H4049" s="2" t="s">
        <v>20</v>
      </c>
      <c r="I4049" s="2" t="s">
        <v>49</v>
      </c>
      <c r="J4049" s="2" t="n">
        <v>15</v>
      </c>
      <c r="K4049" s="2" t="s">
        <v>44</v>
      </c>
      <c r="L4049" s="2" t="n">
        <v>219</v>
      </c>
      <c r="M4049" s="2" t="n">
        <v>2</v>
      </c>
      <c r="N4049" s="2" t="n">
        <v>-1</v>
      </c>
      <c r="O4049" s="2" t="n">
        <v>0</v>
      </c>
      <c r="P4049" s="2" t="s">
        <v>23</v>
      </c>
      <c r="Q4049" s="2" t="s">
        <v>20</v>
      </c>
    </row>
    <row r="4050" customFormat="false" ht="15" hidden="false" customHeight="false" outlineLevel="0" collapsed="false">
      <c r="A4050" s="2" t="n">
        <v>33</v>
      </c>
      <c r="B4050" s="2" t="s">
        <v>40</v>
      </c>
      <c r="C4050" s="2" t="s">
        <v>45</v>
      </c>
      <c r="D4050" s="2" t="s">
        <v>25</v>
      </c>
      <c r="E4050" s="2" t="s">
        <v>20</v>
      </c>
      <c r="F4050" s="2" t="n">
        <v>818</v>
      </c>
      <c r="G4050" s="2" t="s">
        <v>26</v>
      </c>
      <c r="H4050" s="2" t="s">
        <v>26</v>
      </c>
      <c r="I4050" s="2" t="s">
        <v>21</v>
      </c>
      <c r="J4050" s="2" t="n">
        <v>16</v>
      </c>
      <c r="K4050" s="2" t="s">
        <v>32</v>
      </c>
      <c r="L4050" s="2" t="n">
        <v>301</v>
      </c>
      <c r="M4050" s="2" t="n">
        <v>3</v>
      </c>
      <c r="N4050" s="2" t="n">
        <v>-1</v>
      </c>
      <c r="O4050" s="2" t="n">
        <v>0</v>
      </c>
      <c r="P4050" s="2" t="s">
        <v>23</v>
      </c>
      <c r="Q4050" s="2" t="s">
        <v>20</v>
      </c>
    </row>
    <row r="4051" customFormat="false" ht="15" hidden="false" customHeight="false" outlineLevel="0" collapsed="false">
      <c r="A4051" s="2" t="n">
        <v>40</v>
      </c>
      <c r="B4051" s="2" t="s">
        <v>24</v>
      </c>
      <c r="C4051" s="2" t="s">
        <v>18</v>
      </c>
      <c r="D4051" s="2" t="s">
        <v>25</v>
      </c>
      <c r="E4051" s="2" t="s">
        <v>20</v>
      </c>
      <c r="F4051" s="2" t="n">
        <v>9374</v>
      </c>
      <c r="G4051" s="2" t="s">
        <v>26</v>
      </c>
      <c r="H4051" s="2" t="s">
        <v>20</v>
      </c>
      <c r="I4051" s="2" t="s">
        <v>21</v>
      </c>
      <c r="J4051" s="2" t="n">
        <v>21</v>
      </c>
      <c r="K4051" s="2" t="s">
        <v>46</v>
      </c>
      <c r="L4051" s="2" t="n">
        <v>7</v>
      </c>
      <c r="M4051" s="2" t="n">
        <v>8</v>
      </c>
      <c r="N4051" s="2" t="n">
        <v>185</v>
      </c>
      <c r="O4051" s="2" t="n">
        <v>1</v>
      </c>
      <c r="P4051" s="2" t="s">
        <v>28</v>
      </c>
      <c r="Q4051" s="2" t="s">
        <v>20</v>
      </c>
    </row>
    <row r="4052" customFormat="false" ht="15" hidden="false" customHeight="false" outlineLevel="0" collapsed="false">
      <c r="A4052" s="2" t="n">
        <v>37</v>
      </c>
      <c r="B4052" s="2" t="s">
        <v>38</v>
      </c>
      <c r="C4052" s="2" t="s">
        <v>18</v>
      </c>
      <c r="D4052" s="2" t="s">
        <v>23</v>
      </c>
      <c r="E4052" s="2" t="s">
        <v>20</v>
      </c>
      <c r="F4052" s="2" t="n">
        <v>47</v>
      </c>
      <c r="G4052" s="2" t="s">
        <v>20</v>
      </c>
      <c r="H4052" s="2" t="s">
        <v>20</v>
      </c>
      <c r="I4052" s="2" t="s">
        <v>23</v>
      </c>
      <c r="J4052" s="2" t="n">
        <v>19</v>
      </c>
      <c r="K4052" s="2" t="s">
        <v>33</v>
      </c>
      <c r="L4052" s="2" t="n">
        <v>374</v>
      </c>
      <c r="M4052" s="2" t="n">
        <v>3</v>
      </c>
      <c r="N4052" s="2" t="n">
        <v>-1</v>
      </c>
      <c r="O4052" s="2" t="n">
        <v>0</v>
      </c>
      <c r="P4052" s="2" t="s">
        <v>23</v>
      </c>
      <c r="Q4052" s="2" t="s">
        <v>20</v>
      </c>
    </row>
    <row r="4053" customFormat="false" ht="15" hidden="false" customHeight="false" outlineLevel="0" collapsed="false">
      <c r="A4053" s="2" t="n">
        <v>69</v>
      </c>
      <c r="B4053" s="2" t="s">
        <v>48</v>
      </c>
      <c r="C4053" s="2" t="s">
        <v>18</v>
      </c>
      <c r="D4053" s="2" t="s">
        <v>19</v>
      </c>
      <c r="E4053" s="2" t="s">
        <v>20</v>
      </c>
      <c r="F4053" s="2" t="n">
        <v>279</v>
      </c>
      <c r="G4053" s="2" t="s">
        <v>20</v>
      </c>
      <c r="H4053" s="2" t="s">
        <v>20</v>
      </c>
      <c r="I4053" s="2" t="s">
        <v>49</v>
      </c>
      <c r="J4053" s="2" t="n">
        <v>12</v>
      </c>
      <c r="K4053" s="2" t="s">
        <v>41</v>
      </c>
      <c r="L4053" s="2" t="n">
        <v>26</v>
      </c>
      <c r="M4053" s="2" t="n">
        <v>1</v>
      </c>
      <c r="N4053" s="2" t="n">
        <v>-1</v>
      </c>
      <c r="O4053" s="2" t="n">
        <v>0</v>
      </c>
      <c r="P4053" s="2" t="s">
        <v>23</v>
      </c>
      <c r="Q4053" s="2" t="s">
        <v>20</v>
      </c>
    </row>
    <row r="4054" customFormat="false" ht="15" hidden="false" customHeight="false" outlineLevel="0" collapsed="false">
      <c r="A4054" s="2" t="n">
        <v>52</v>
      </c>
      <c r="B4054" s="2" t="s">
        <v>17</v>
      </c>
      <c r="C4054" s="2" t="s">
        <v>18</v>
      </c>
      <c r="D4054" s="2" t="s">
        <v>19</v>
      </c>
      <c r="E4054" s="2" t="s">
        <v>20</v>
      </c>
      <c r="F4054" s="2" t="n">
        <v>20</v>
      </c>
      <c r="G4054" s="2" t="s">
        <v>26</v>
      </c>
      <c r="H4054" s="2" t="s">
        <v>20</v>
      </c>
      <c r="I4054" s="2" t="s">
        <v>49</v>
      </c>
      <c r="J4054" s="2" t="n">
        <v>28</v>
      </c>
      <c r="K4054" s="2" t="s">
        <v>43</v>
      </c>
      <c r="L4054" s="2" t="n">
        <v>172</v>
      </c>
      <c r="M4054" s="2" t="n">
        <v>1</v>
      </c>
      <c r="N4054" s="2" t="n">
        <v>-1</v>
      </c>
      <c r="O4054" s="2" t="n">
        <v>0</v>
      </c>
      <c r="P4054" s="2" t="s">
        <v>23</v>
      </c>
      <c r="Q4054" s="2" t="s">
        <v>20</v>
      </c>
    </row>
    <row r="4055" customFormat="false" ht="15" hidden="false" customHeight="false" outlineLevel="0" collapsed="false">
      <c r="A4055" s="2" t="n">
        <v>31</v>
      </c>
      <c r="B4055" s="2" t="s">
        <v>40</v>
      </c>
      <c r="C4055" s="2" t="s">
        <v>45</v>
      </c>
      <c r="D4055" s="2" t="s">
        <v>25</v>
      </c>
      <c r="E4055" s="2" t="s">
        <v>20</v>
      </c>
      <c r="F4055" s="2" t="n">
        <v>360</v>
      </c>
      <c r="G4055" s="2" t="s">
        <v>20</v>
      </c>
      <c r="H4055" s="2" t="s">
        <v>20</v>
      </c>
      <c r="I4055" s="2" t="s">
        <v>21</v>
      </c>
      <c r="J4055" s="2" t="n">
        <v>15</v>
      </c>
      <c r="K4055" s="2" t="s">
        <v>27</v>
      </c>
      <c r="L4055" s="2" t="n">
        <v>332</v>
      </c>
      <c r="M4055" s="2" t="n">
        <v>1</v>
      </c>
      <c r="N4055" s="2" t="n">
        <v>297</v>
      </c>
      <c r="O4055" s="2" t="n">
        <v>2</v>
      </c>
      <c r="P4055" s="2" t="s">
        <v>37</v>
      </c>
      <c r="Q4055" s="2" t="s">
        <v>20</v>
      </c>
    </row>
    <row r="4056" customFormat="false" ht="15" hidden="false" customHeight="false" outlineLevel="0" collapsed="false">
      <c r="A4056" s="2" t="n">
        <v>28</v>
      </c>
      <c r="B4056" s="2" t="s">
        <v>38</v>
      </c>
      <c r="C4056" s="2" t="s">
        <v>30</v>
      </c>
      <c r="D4056" s="2" t="s">
        <v>25</v>
      </c>
      <c r="E4056" s="2" t="s">
        <v>20</v>
      </c>
      <c r="F4056" s="2" t="n">
        <v>1532</v>
      </c>
      <c r="G4056" s="2" t="s">
        <v>20</v>
      </c>
      <c r="H4056" s="2" t="s">
        <v>20</v>
      </c>
      <c r="I4056" s="2" t="s">
        <v>21</v>
      </c>
      <c r="J4056" s="2" t="n">
        <v>22</v>
      </c>
      <c r="K4056" s="2" t="s">
        <v>27</v>
      </c>
      <c r="L4056" s="2" t="n">
        <v>253</v>
      </c>
      <c r="M4056" s="2" t="n">
        <v>1</v>
      </c>
      <c r="N4056" s="2" t="n">
        <v>107</v>
      </c>
      <c r="O4056" s="2" t="n">
        <v>5</v>
      </c>
      <c r="P4056" s="2" t="s">
        <v>28</v>
      </c>
      <c r="Q4056" s="2" t="s">
        <v>20</v>
      </c>
    </row>
    <row r="4057" customFormat="false" ht="15" hidden="false" customHeight="false" outlineLevel="0" collapsed="false">
      <c r="A4057" s="2" t="n">
        <v>29</v>
      </c>
      <c r="B4057" s="2" t="s">
        <v>29</v>
      </c>
      <c r="C4057" s="2" t="s">
        <v>30</v>
      </c>
      <c r="D4057" s="2" t="s">
        <v>31</v>
      </c>
      <c r="E4057" s="2" t="s">
        <v>20</v>
      </c>
      <c r="F4057" s="2" t="n">
        <v>1673</v>
      </c>
      <c r="G4057" s="2" t="s">
        <v>20</v>
      </c>
      <c r="H4057" s="2" t="s">
        <v>20</v>
      </c>
      <c r="I4057" s="2" t="s">
        <v>21</v>
      </c>
      <c r="J4057" s="2" t="n">
        <v>16</v>
      </c>
      <c r="K4057" s="2" t="s">
        <v>41</v>
      </c>
      <c r="L4057" s="2" t="n">
        <v>200</v>
      </c>
      <c r="M4057" s="2" t="n">
        <v>2</v>
      </c>
      <c r="N4057" s="2" t="n">
        <v>159</v>
      </c>
      <c r="O4057" s="2" t="n">
        <v>3</v>
      </c>
      <c r="P4057" s="2" t="s">
        <v>37</v>
      </c>
      <c r="Q4057" s="2" t="s">
        <v>20</v>
      </c>
    </row>
    <row r="4058" customFormat="false" ht="15" hidden="false" customHeight="false" outlineLevel="0" collapsed="false">
      <c r="A4058" s="2" t="n">
        <v>46</v>
      </c>
      <c r="B4058" s="2" t="s">
        <v>24</v>
      </c>
      <c r="C4058" s="2" t="s">
        <v>18</v>
      </c>
      <c r="D4058" s="2" t="s">
        <v>25</v>
      </c>
      <c r="E4058" s="2" t="s">
        <v>20</v>
      </c>
      <c r="F4058" s="2" t="n">
        <v>2420</v>
      </c>
      <c r="G4058" s="2" t="s">
        <v>20</v>
      </c>
      <c r="H4058" s="2" t="s">
        <v>20</v>
      </c>
      <c r="I4058" s="2" t="s">
        <v>21</v>
      </c>
      <c r="J4058" s="2" t="n">
        <v>19</v>
      </c>
      <c r="K4058" s="2" t="s">
        <v>46</v>
      </c>
      <c r="L4058" s="2" t="n">
        <v>405</v>
      </c>
      <c r="M4058" s="2" t="n">
        <v>2</v>
      </c>
      <c r="N4058" s="2" t="n">
        <v>-1</v>
      </c>
      <c r="O4058" s="2" t="n">
        <v>0</v>
      </c>
      <c r="P4058" s="2" t="s">
        <v>23</v>
      </c>
      <c r="Q4058" s="2" t="s">
        <v>20</v>
      </c>
    </row>
    <row r="4059" customFormat="false" ht="15" hidden="false" customHeight="false" outlineLevel="0" collapsed="false">
      <c r="A4059" s="2" t="n">
        <v>28</v>
      </c>
      <c r="B4059" s="2" t="s">
        <v>34</v>
      </c>
      <c r="C4059" s="2" t="s">
        <v>18</v>
      </c>
      <c r="D4059" s="2" t="s">
        <v>25</v>
      </c>
      <c r="E4059" s="2" t="s">
        <v>20</v>
      </c>
      <c r="F4059" s="2" t="n">
        <v>100</v>
      </c>
      <c r="G4059" s="2" t="s">
        <v>26</v>
      </c>
      <c r="H4059" s="2" t="s">
        <v>26</v>
      </c>
      <c r="I4059" s="2" t="s">
        <v>23</v>
      </c>
      <c r="J4059" s="2" t="n">
        <v>27</v>
      </c>
      <c r="K4059" s="2" t="s">
        <v>27</v>
      </c>
      <c r="L4059" s="2" t="n">
        <v>132</v>
      </c>
      <c r="M4059" s="2" t="n">
        <v>2</v>
      </c>
      <c r="N4059" s="2" t="n">
        <v>-1</v>
      </c>
      <c r="O4059" s="2" t="n">
        <v>0</v>
      </c>
      <c r="P4059" s="2" t="s">
        <v>23</v>
      </c>
      <c r="Q4059" s="2" t="s">
        <v>20</v>
      </c>
    </row>
    <row r="4060" customFormat="false" ht="15" hidden="false" customHeight="false" outlineLevel="0" collapsed="false">
      <c r="A4060" s="2" t="n">
        <v>41</v>
      </c>
      <c r="B4060" s="2" t="s">
        <v>40</v>
      </c>
      <c r="C4060" s="2" t="s">
        <v>18</v>
      </c>
      <c r="D4060" s="2" t="s">
        <v>25</v>
      </c>
      <c r="E4060" s="2" t="s">
        <v>20</v>
      </c>
      <c r="F4060" s="2" t="n">
        <v>0</v>
      </c>
      <c r="G4060" s="2" t="s">
        <v>20</v>
      </c>
      <c r="H4060" s="2" t="s">
        <v>20</v>
      </c>
      <c r="I4060" s="2" t="s">
        <v>23</v>
      </c>
      <c r="J4060" s="2" t="n">
        <v>20</v>
      </c>
      <c r="K4060" s="2" t="s">
        <v>33</v>
      </c>
      <c r="L4060" s="2" t="n">
        <v>89</v>
      </c>
      <c r="M4060" s="2" t="n">
        <v>1</v>
      </c>
      <c r="N4060" s="2" t="n">
        <v>-1</v>
      </c>
      <c r="O4060" s="2" t="n">
        <v>0</v>
      </c>
      <c r="P4060" s="2" t="s">
        <v>23</v>
      </c>
      <c r="Q4060" s="2" t="s">
        <v>20</v>
      </c>
    </row>
    <row r="4061" customFormat="false" ht="15" hidden="false" customHeight="false" outlineLevel="0" collapsed="false">
      <c r="A4061" s="2" t="n">
        <v>42</v>
      </c>
      <c r="B4061" s="2" t="s">
        <v>38</v>
      </c>
      <c r="C4061" s="2" t="s">
        <v>45</v>
      </c>
      <c r="D4061" s="2" t="s">
        <v>25</v>
      </c>
      <c r="E4061" s="2" t="s">
        <v>20</v>
      </c>
      <c r="F4061" s="2" t="n">
        <v>1533</v>
      </c>
      <c r="G4061" s="2" t="s">
        <v>20</v>
      </c>
      <c r="H4061" s="2" t="s">
        <v>26</v>
      </c>
      <c r="I4061" s="2" t="s">
        <v>21</v>
      </c>
      <c r="J4061" s="2" t="n">
        <v>5</v>
      </c>
      <c r="K4061" s="2" t="s">
        <v>41</v>
      </c>
      <c r="L4061" s="2" t="n">
        <v>86</v>
      </c>
      <c r="M4061" s="2" t="n">
        <v>1</v>
      </c>
      <c r="N4061" s="2" t="n">
        <v>-1</v>
      </c>
      <c r="O4061" s="2" t="n">
        <v>0</v>
      </c>
      <c r="P4061" s="2" t="s">
        <v>23</v>
      </c>
      <c r="Q4061" s="2" t="s">
        <v>20</v>
      </c>
    </row>
    <row r="4062" customFormat="false" ht="15" hidden="false" customHeight="false" outlineLevel="0" collapsed="false">
      <c r="A4062" s="2" t="n">
        <v>34</v>
      </c>
      <c r="B4062" s="2" t="s">
        <v>40</v>
      </c>
      <c r="C4062" s="2" t="s">
        <v>30</v>
      </c>
      <c r="D4062" s="2" t="s">
        <v>25</v>
      </c>
      <c r="E4062" s="2" t="s">
        <v>20</v>
      </c>
      <c r="F4062" s="2" t="n">
        <v>296</v>
      </c>
      <c r="G4062" s="2" t="s">
        <v>20</v>
      </c>
      <c r="H4062" s="2" t="s">
        <v>20</v>
      </c>
      <c r="I4062" s="2" t="s">
        <v>21</v>
      </c>
      <c r="J4062" s="2" t="n">
        <v>7</v>
      </c>
      <c r="K4062" s="2" t="s">
        <v>44</v>
      </c>
      <c r="L4062" s="2" t="n">
        <v>147</v>
      </c>
      <c r="M4062" s="2" t="n">
        <v>4</v>
      </c>
      <c r="N4062" s="2" t="n">
        <v>-1</v>
      </c>
      <c r="O4062" s="2" t="n">
        <v>0</v>
      </c>
      <c r="P4062" s="2" t="s">
        <v>23</v>
      </c>
      <c r="Q4062" s="2" t="s">
        <v>20</v>
      </c>
    </row>
    <row r="4063" customFormat="false" ht="15" hidden="false" customHeight="false" outlineLevel="0" collapsed="false">
      <c r="A4063" s="2" t="n">
        <v>28</v>
      </c>
      <c r="B4063" s="2" t="s">
        <v>34</v>
      </c>
      <c r="C4063" s="2" t="s">
        <v>18</v>
      </c>
      <c r="D4063" s="2" t="s">
        <v>25</v>
      </c>
      <c r="E4063" s="2" t="s">
        <v>20</v>
      </c>
      <c r="F4063" s="2" t="n">
        <v>2788</v>
      </c>
      <c r="G4063" s="2" t="s">
        <v>26</v>
      </c>
      <c r="H4063" s="2" t="s">
        <v>20</v>
      </c>
      <c r="I4063" s="2" t="s">
        <v>23</v>
      </c>
      <c r="J4063" s="2" t="n">
        <v>6</v>
      </c>
      <c r="K4063" s="2" t="s">
        <v>33</v>
      </c>
      <c r="L4063" s="2" t="n">
        <v>369</v>
      </c>
      <c r="M4063" s="2" t="n">
        <v>2</v>
      </c>
      <c r="N4063" s="2" t="n">
        <v>-1</v>
      </c>
      <c r="O4063" s="2" t="n">
        <v>0</v>
      </c>
      <c r="P4063" s="2" t="s">
        <v>23</v>
      </c>
      <c r="Q4063" s="2" t="s">
        <v>26</v>
      </c>
    </row>
    <row r="4064" customFormat="false" ht="15" hidden="false" customHeight="false" outlineLevel="0" collapsed="false">
      <c r="A4064" s="2" t="n">
        <v>43</v>
      </c>
      <c r="B4064" s="2" t="s">
        <v>29</v>
      </c>
      <c r="C4064" s="2" t="s">
        <v>30</v>
      </c>
      <c r="D4064" s="2" t="s">
        <v>25</v>
      </c>
      <c r="E4064" s="2" t="s">
        <v>20</v>
      </c>
      <c r="F4064" s="2" t="n">
        <v>109</v>
      </c>
      <c r="G4064" s="2" t="s">
        <v>26</v>
      </c>
      <c r="H4064" s="2" t="s">
        <v>20</v>
      </c>
      <c r="I4064" s="2" t="s">
        <v>23</v>
      </c>
      <c r="J4064" s="2" t="n">
        <v>27</v>
      </c>
      <c r="K4064" s="2" t="s">
        <v>27</v>
      </c>
      <c r="L4064" s="2" t="n">
        <v>64</v>
      </c>
      <c r="M4064" s="2" t="n">
        <v>3</v>
      </c>
      <c r="N4064" s="2" t="n">
        <v>-1</v>
      </c>
      <c r="O4064" s="2" t="n">
        <v>0</v>
      </c>
      <c r="P4064" s="2" t="s">
        <v>23</v>
      </c>
      <c r="Q4064" s="2" t="s">
        <v>20</v>
      </c>
    </row>
    <row r="4065" customFormat="false" ht="15" hidden="false" customHeight="false" outlineLevel="0" collapsed="false">
      <c r="A4065" s="2" t="n">
        <v>32</v>
      </c>
      <c r="B4065" s="2" t="s">
        <v>38</v>
      </c>
      <c r="C4065" s="2" t="s">
        <v>18</v>
      </c>
      <c r="D4065" s="2" t="s">
        <v>25</v>
      </c>
      <c r="E4065" s="2" t="s">
        <v>20</v>
      </c>
      <c r="F4065" s="2" t="n">
        <v>485</v>
      </c>
      <c r="G4065" s="2" t="s">
        <v>20</v>
      </c>
      <c r="H4065" s="2" t="s">
        <v>20</v>
      </c>
      <c r="I4065" s="2" t="s">
        <v>21</v>
      </c>
      <c r="J4065" s="2" t="n">
        <v>26</v>
      </c>
      <c r="K4065" s="2" t="s">
        <v>41</v>
      </c>
      <c r="L4065" s="2" t="n">
        <v>98</v>
      </c>
      <c r="M4065" s="2" t="n">
        <v>14</v>
      </c>
      <c r="N4065" s="2" t="n">
        <v>-1</v>
      </c>
      <c r="O4065" s="2" t="n">
        <v>0</v>
      </c>
      <c r="P4065" s="2" t="s">
        <v>23</v>
      </c>
      <c r="Q4065" s="2" t="s">
        <v>20</v>
      </c>
    </row>
    <row r="4066" customFormat="false" ht="15" hidden="false" customHeight="false" outlineLevel="0" collapsed="false">
      <c r="A4066" s="2" t="n">
        <v>33</v>
      </c>
      <c r="B4066" s="2" t="s">
        <v>38</v>
      </c>
      <c r="C4066" s="2" t="s">
        <v>30</v>
      </c>
      <c r="D4066" s="2" t="s">
        <v>31</v>
      </c>
      <c r="E4066" s="2" t="s">
        <v>20</v>
      </c>
      <c r="F4066" s="2" t="n">
        <v>125</v>
      </c>
      <c r="G4066" s="2" t="s">
        <v>20</v>
      </c>
      <c r="H4066" s="2" t="s">
        <v>20</v>
      </c>
      <c r="I4066" s="2" t="s">
        <v>49</v>
      </c>
      <c r="J4066" s="2" t="n">
        <v>29</v>
      </c>
      <c r="K4066" s="2" t="s">
        <v>41</v>
      </c>
      <c r="L4066" s="2" t="n">
        <v>66</v>
      </c>
      <c r="M4066" s="2" t="n">
        <v>2</v>
      </c>
      <c r="N4066" s="2" t="n">
        <v>-1</v>
      </c>
      <c r="O4066" s="2" t="n">
        <v>0</v>
      </c>
      <c r="P4066" s="2" t="s">
        <v>23</v>
      </c>
      <c r="Q4066" s="2" t="s">
        <v>20</v>
      </c>
    </row>
    <row r="4067" customFormat="false" ht="15" hidden="false" customHeight="false" outlineLevel="0" collapsed="false">
      <c r="A4067" s="2" t="n">
        <v>70</v>
      </c>
      <c r="B4067" s="2" t="s">
        <v>48</v>
      </c>
      <c r="C4067" s="2" t="s">
        <v>18</v>
      </c>
      <c r="D4067" s="2" t="s">
        <v>25</v>
      </c>
      <c r="E4067" s="2" t="s">
        <v>20</v>
      </c>
      <c r="F4067" s="2" t="n">
        <v>616</v>
      </c>
      <c r="G4067" s="2" t="s">
        <v>20</v>
      </c>
      <c r="H4067" s="2" t="s">
        <v>20</v>
      </c>
      <c r="I4067" s="2" t="s">
        <v>21</v>
      </c>
      <c r="J4067" s="2" t="n">
        <v>27</v>
      </c>
      <c r="K4067" s="2" t="s">
        <v>32</v>
      </c>
      <c r="L4067" s="2" t="n">
        <v>149</v>
      </c>
      <c r="M4067" s="2" t="n">
        <v>2</v>
      </c>
      <c r="N4067" s="2" t="n">
        <v>182</v>
      </c>
      <c r="O4067" s="2" t="n">
        <v>1</v>
      </c>
      <c r="P4067" s="2" t="s">
        <v>28</v>
      </c>
      <c r="Q4067" s="2" t="s">
        <v>20</v>
      </c>
    </row>
    <row r="4068" customFormat="false" ht="15" hidden="false" customHeight="false" outlineLevel="0" collapsed="false">
      <c r="A4068" s="2" t="n">
        <v>36</v>
      </c>
      <c r="B4068" s="2" t="s">
        <v>24</v>
      </c>
      <c r="C4068" s="2" t="s">
        <v>18</v>
      </c>
      <c r="D4068" s="2" t="s">
        <v>25</v>
      </c>
      <c r="E4068" s="2" t="s">
        <v>20</v>
      </c>
      <c r="F4068" s="2" t="n">
        <v>3064</v>
      </c>
      <c r="G4068" s="2" t="s">
        <v>26</v>
      </c>
      <c r="H4068" s="2" t="s">
        <v>20</v>
      </c>
      <c r="I4068" s="2" t="s">
        <v>49</v>
      </c>
      <c r="J4068" s="2" t="n">
        <v>26</v>
      </c>
      <c r="K4068" s="2" t="s">
        <v>41</v>
      </c>
      <c r="L4068" s="2" t="n">
        <v>240</v>
      </c>
      <c r="M4068" s="2" t="n">
        <v>3</v>
      </c>
      <c r="N4068" s="2" t="n">
        <v>107</v>
      </c>
      <c r="O4068" s="2" t="n">
        <v>4</v>
      </c>
      <c r="P4068" s="2" t="s">
        <v>28</v>
      </c>
      <c r="Q4068" s="2" t="s">
        <v>20</v>
      </c>
    </row>
    <row r="4069" customFormat="false" ht="15" hidden="false" customHeight="false" outlineLevel="0" collapsed="false">
      <c r="A4069" s="2" t="n">
        <v>53</v>
      </c>
      <c r="B4069" s="2" t="s">
        <v>38</v>
      </c>
      <c r="C4069" s="2" t="s">
        <v>18</v>
      </c>
      <c r="D4069" s="2" t="s">
        <v>25</v>
      </c>
      <c r="E4069" s="2" t="s">
        <v>20</v>
      </c>
      <c r="F4069" s="2" t="n">
        <v>206</v>
      </c>
      <c r="G4069" s="2" t="s">
        <v>20</v>
      </c>
      <c r="H4069" s="2" t="s">
        <v>20</v>
      </c>
      <c r="I4069" s="2" t="s">
        <v>21</v>
      </c>
      <c r="J4069" s="2" t="n">
        <v>26</v>
      </c>
      <c r="K4069" s="2" t="s">
        <v>41</v>
      </c>
      <c r="L4069" s="2" t="n">
        <v>87</v>
      </c>
      <c r="M4069" s="2" t="n">
        <v>6</v>
      </c>
      <c r="N4069" s="2" t="n">
        <v>-1</v>
      </c>
      <c r="O4069" s="2" t="n">
        <v>0</v>
      </c>
      <c r="P4069" s="2" t="s">
        <v>23</v>
      </c>
      <c r="Q4069" s="2" t="s">
        <v>20</v>
      </c>
    </row>
    <row r="4070" customFormat="false" ht="15" hidden="false" customHeight="false" outlineLevel="0" collapsed="false">
      <c r="A4070" s="2" t="n">
        <v>30</v>
      </c>
      <c r="B4070" s="2" t="s">
        <v>34</v>
      </c>
      <c r="C4070" s="2" t="s">
        <v>30</v>
      </c>
      <c r="D4070" s="2" t="s">
        <v>25</v>
      </c>
      <c r="E4070" s="2" t="s">
        <v>20</v>
      </c>
      <c r="F4070" s="2" t="n">
        <v>6900</v>
      </c>
      <c r="G4070" s="2" t="s">
        <v>20</v>
      </c>
      <c r="H4070" s="2" t="s">
        <v>20</v>
      </c>
      <c r="I4070" s="2" t="s">
        <v>21</v>
      </c>
      <c r="J4070" s="2" t="n">
        <v>21</v>
      </c>
      <c r="K4070" s="2" t="s">
        <v>46</v>
      </c>
      <c r="L4070" s="2" t="n">
        <v>816</v>
      </c>
      <c r="M4070" s="2" t="n">
        <v>1</v>
      </c>
      <c r="N4070" s="2" t="n">
        <v>-1</v>
      </c>
      <c r="O4070" s="2" t="n">
        <v>0</v>
      </c>
      <c r="P4070" s="2" t="s">
        <v>23</v>
      </c>
      <c r="Q4070" s="2" t="s">
        <v>20</v>
      </c>
    </row>
    <row r="4071" customFormat="false" ht="15" hidden="false" customHeight="false" outlineLevel="0" collapsed="false">
      <c r="A4071" s="2" t="n">
        <v>45</v>
      </c>
      <c r="B4071" s="2" t="s">
        <v>24</v>
      </c>
      <c r="C4071" s="2" t="s">
        <v>45</v>
      </c>
      <c r="D4071" s="2" t="s">
        <v>25</v>
      </c>
      <c r="E4071" s="2" t="s">
        <v>20</v>
      </c>
      <c r="F4071" s="2" t="n">
        <v>-179</v>
      </c>
      <c r="G4071" s="2" t="s">
        <v>20</v>
      </c>
      <c r="H4071" s="2" t="s">
        <v>20</v>
      </c>
      <c r="I4071" s="2" t="s">
        <v>23</v>
      </c>
      <c r="J4071" s="2" t="n">
        <v>3</v>
      </c>
      <c r="K4071" s="2" t="s">
        <v>44</v>
      </c>
      <c r="L4071" s="2" t="n">
        <v>155</v>
      </c>
      <c r="M4071" s="2" t="n">
        <v>2</v>
      </c>
      <c r="N4071" s="2" t="n">
        <v>-1</v>
      </c>
      <c r="O4071" s="2" t="n">
        <v>0</v>
      </c>
      <c r="P4071" s="2" t="s">
        <v>23</v>
      </c>
      <c r="Q4071" s="2" t="s">
        <v>20</v>
      </c>
    </row>
    <row r="4072" customFormat="false" ht="15" hidden="false" customHeight="false" outlineLevel="0" collapsed="false">
      <c r="A4072" s="2" t="n">
        <v>31</v>
      </c>
      <c r="B4072" s="2" t="s">
        <v>24</v>
      </c>
      <c r="C4072" s="2" t="s">
        <v>30</v>
      </c>
      <c r="D4072" s="2" t="s">
        <v>25</v>
      </c>
      <c r="E4072" s="2" t="s">
        <v>20</v>
      </c>
      <c r="F4072" s="2" t="n">
        <v>481</v>
      </c>
      <c r="G4072" s="2" t="s">
        <v>26</v>
      </c>
      <c r="H4072" s="2" t="s">
        <v>20</v>
      </c>
      <c r="I4072" s="2" t="s">
        <v>21</v>
      </c>
      <c r="J4072" s="2" t="n">
        <v>20</v>
      </c>
      <c r="K4072" s="2" t="s">
        <v>46</v>
      </c>
      <c r="L4072" s="2" t="n">
        <v>106</v>
      </c>
      <c r="M4072" s="2" t="n">
        <v>2</v>
      </c>
      <c r="N4072" s="2" t="n">
        <v>183</v>
      </c>
      <c r="O4072" s="2" t="n">
        <v>2</v>
      </c>
      <c r="P4072" s="2" t="s">
        <v>28</v>
      </c>
      <c r="Q4072" s="2" t="s">
        <v>20</v>
      </c>
    </row>
    <row r="4073" customFormat="false" ht="15" hidden="false" customHeight="false" outlineLevel="0" collapsed="false">
      <c r="A4073" s="2" t="n">
        <v>28</v>
      </c>
      <c r="B4073" s="2" t="s">
        <v>40</v>
      </c>
      <c r="C4073" s="2" t="s">
        <v>18</v>
      </c>
      <c r="D4073" s="2" t="s">
        <v>25</v>
      </c>
      <c r="E4073" s="2" t="s">
        <v>20</v>
      </c>
      <c r="F4073" s="2" t="n">
        <v>12</v>
      </c>
      <c r="G4073" s="2" t="s">
        <v>26</v>
      </c>
      <c r="H4073" s="2" t="s">
        <v>20</v>
      </c>
      <c r="I4073" s="2" t="s">
        <v>21</v>
      </c>
      <c r="J4073" s="2" t="n">
        <v>30</v>
      </c>
      <c r="K4073" s="2" t="s">
        <v>43</v>
      </c>
      <c r="L4073" s="2" t="n">
        <v>73</v>
      </c>
      <c r="M4073" s="2" t="n">
        <v>3</v>
      </c>
      <c r="N4073" s="2" t="n">
        <v>256</v>
      </c>
      <c r="O4073" s="2" t="n">
        <v>3</v>
      </c>
      <c r="P4073" s="2" t="s">
        <v>37</v>
      </c>
      <c r="Q4073" s="2" t="s">
        <v>20</v>
      </c>
    </row>
    <row r="4074" customFormat="false" ht="15" hidden="false" customHeight="false" outlineLevel="0" collapsed="false">
      <c r="A4074" s="2" t="n">
        <v>45</v>
      </c>
      <c r="B4074" s="2" t="s">
        <v>34</v>
      </c>
      <c r="C4074" s="2" t="s">
        <v>18</v>
      </c>
      <c r="D4074" s="2" t="s">
        <v>19</v>
      </c>
      <c r="E4074" s="2" t="s">
        <v>20</v>
      </c>
      <c r="F4074" s="2" t="n">
        <v>0</v>
      </c>
      <c r="G4074" s="2" t="s">
        <v>20</v>
      </c>
      <c r="H4074" s="2" t="s">
        <v>20</v>
      </c>
      <c r="I4074" s="2" t="s">
        <v>23</v>
      </c>
      <c r="J4074" s="2" t="n">
        <v>23</v>
      </c>
      <c r="K4074" s="2" t="s">
        <v>27</v>
      </c>
      <c r="L4074" s="2" t="n">
        <v>574</v>
      </c>
      <c r="M4074" s="2" t="n">
        <v>5</v>
      </c>
      <c r="N4074" s="2" t="n">
        <v>-1</v>
      </c>
      <c r="O4074" s="2" t="n">
        <v>0</v>
      </c>
      <c r="P4074" s="2" t="s">
        <v>23</v>
      </c>
      <c r="Q4074" s="2" t="s">
        <v>20</v>
      </c>
    </row>
    <row r="4075" customFormat="false" ht="15" hidden="false" customHeight="false" outlineLevel="0" collapsed="false">
      <c r="A4075" s="2" t="n">
        <v>51</v>
      </c>
      <c r="B4075" s="2" t="s">
        <v>29</v>
      </c>
      <c r="C4075" s="2" t="s">
        <v>18</v>
      </c>
      <c r="D4075" s="2" t="s">
        <v>31</v>
      </c>
      <c r="E4075" s="2" t="s">
        <v>20</v>
      </c>
      <c r="F4075" s="2" t="n">
        <v>176</v>
      </c>
      <c r="G4075" s="2" t="s">
        <v>26</v>
      </c>
      <c r="H4075" s="2" t="s">
        <v>26</v>
      </c>
      <c r="I4075" s="2" t="s">
        <v>23</v>
      </c>
      <c r="J4075" s="2" t="n">
        <v>1</v>
      </c>
      <c r="K4075" s="2" t="s">
        <v>33</v>
      </c>
      <c r="L4075" s="2" t="n">
        <v>8</v>
      </c>
      <c r="M4075" s="2" t="n">
        <v>1</v>
      </c>
      <c r="N4075" s="2" t="n">
        <v>687</v>
      </c>
      <c r="O4075" s="2" t="n">
        <v>2</v>
      </c>
      <c r="P4075" s="2" t="s">
        <v>28</v>
      </c>
      <c r="Q4075" s="2" t="s">
        <v>20</v>
      </c>
    </row>
    <row r="4076" customFormat="false" ht="15" hidden="false" customHeight="false" outlineLevel="0" collapsed="false">
      <c r="A4076" s="2" t="n">
        <v>53</v>
      </c>
      <c r="B4076" s="2" t="s">
        <v>29</v>
      </c>
      <c r="C4076" s="2" t="s">
        <v>18</v>
      </c>
      <c r="D4076" s="2" t="s">
        <v>19</v>
      </c>
      <c r="E4076" s="2" t="s">
        <v>20</v>
      </c>
      <c r="F4076" s="2" t="n">
        <v>4086</v>
      </c>
      <c r="G4076" s="2" t="s">
        <v>20</v>
      </c>
      <c r="H4076" s="2" t="s">
        <v>20</v>
      </c>
      <c r="I4076" s="2" t="s">
        <v>23</v>
      </c>
      <c r="J4076" s="2" t="n">
        <v>20</v>
      </c>
      <c r="K4076" s="2" t="s">
        <v>33</v>
      </c>
      <c r="L4076" s="2" t="n">
        <v>14</v>
      </c>
      <c r="M4076" s="2" t="n">
        <v>3</v>
      </c>
      <c r="N4076" s="2" t="n">
        <v>-1</v>
      </c>
      <c r="O4076" s="2" t="n">
        <v>0</v>
      </c>
      <c r="P4076" s="2" t="s">
        <v>23</v>
      </c>
      <c r="Q4076" s="2" t="s">
        <v>20</v>
      </c>
    </row>
    <row r="4077" customFormat="false" ht="15" hidden="false" customHeight="false" outlineLevel="0" collapsed="false">
      <c r="A4077" s="2" t="n">
        <v>40</v>
      </c>
      <c r="B4077" s="2" t="s">
        <v>38</v>
      </c>
      <c r="C4077" s="2" t="s">
        <v>18</v>
      </c>
      <c r="D4077" s="2" t="s">
        <v>25</v>
      </c>
      <c r="E4077" s="2" t="s">
        <v>20</v>
      </c>
      <c r="F4077" s="2" t="n">
        <v>257</v>
      </c>
      <c r="G4077" s="2" t="s">
        <v>26</v>
      </c>
      <c r="H4077" s="2" t="s">
        <v>20</v>
      </c>
      <c r="I4077" s="2" t="s">
        <v>23</v>
      </c>
      <c r="J4077" s="2" t="n">
        <v>16</v>
      </c>
      <c r="K4077" s="2" t="s">
        <v>27</v>
      </c>
      <c r="L4077" s="2" t="n">
        <v>731</v>
      </c>
      <c r="M4077" s="2" t="n">
        <v>4</v>
      </c>
      <c r="N4077" s="2" t="n">
        <v>-1</v>
      </c>
      <c r="O4077" s="2" t="n">
        <v>0</v>
      </c>
      <c r="P4077" s="2" t="s">
        <v>23</v>
      </c>
      <c r="Q4077" s="2" t="s">
        <v>20</v>
      </c>
    </row>
    <row r="4078" customFormat="false" ht="15" hidden="false" customHeight="false" outlineLevel="0" collapsed="false">
      <c r="A4078" s="2" t="n">
        <v>53</v>
      </c>
      <c r="B4078" s="2" t="s">
        <v>34</v>
      </c>
      <c r="C4078" s="2" t="s">
        <v>18</v>
      </c>
      <c r="D4078" s="2" t="s">
        <v>19</v>
      </c>
      <c r="E4078" s="2" t="s">
        <v>20</v>
      </c>
      <c r="F4078" s="2" t="n">
        <v>53</v>
      </c>
      <c r="G4078" s="2" t="s">
        <v>26</v>
      </c>
      <c r="H4078" s="2" t="s">
        <v>20</v>
      </c>
      <c r="I4078" s="2" t="s">
        <v>21</v>
      </c>
      <c r="J4078" s="2" t="n">
        <v>7</v>
      </c>
      <c r="K4078" s="2" t="s">
        <v>32</v>
      </c>
      <c r="L4078" s="2" t="n">
        <v>208</v>
      </c>
      <c r="M4078" s="2" t="n">
        <v>1</v>
      </c>
      <c r="N4078" s="2" t="n">
        <v>140</v>
      </c>
      <c r="O4078" s="2" t="n">
        <v>1</v>
      </c>
      <c r="P4078" s="2" t="s">
        <v>28</v>
      </c>
      <c r="Q4078" s="2" t="s">
        <v>20</v>
      </c>
    </row>
    <row r="4079" customFormat="false" ht="15" hidden="false" customHeight="false" outlineLevel="0" collapsed="false">
      <c r="A4079" s="2" t="n">
        <v>31</v>
      </c>
      <c r="B4079" s="2" t="s">
        <v>34</v>
      </c>
      <c r="C4079" s="2" t="s">
        <v>45</v>
      </c>
      <c r="D4079" s="2" t="s">
        <v>25</v>
      </c>
      <c r="E4079" s="2" t="s">
        <v>20</v>
      </c>
      <c r="F4079" s="2" t="n">
        <v>6</v>
      </c>
      <c r="G4079" s="2" t="s">
        <v>26</v>
      </c>
      <c r="H4079" s="2" t="s">
        <v>20</v>
      </c>
      <c r="I4079" s="2" t="s">
        <v>21</v>
      </c>
      <c r="J4079" s="2" t="n">
        <v>29</v>
      </c>
      <c r="K4079" s="2" t="s">
        <v>43</v>
      </c>
      <c r="L4079" s="2" t="n">
        <v>821</v>
      </c>
      <c r="M4079" s="2" t="n">
        <v>1</v>
      </c>
      <c r="N4079" s="2" t="n">
        <v>-1</v>
      </c>
      <c r="O4079" s="2" t="n">
        <v>0</v>
      </c>
      <c r="P4079" s="2" t="s">
        <v>23</v>
      </c>
      <c r="Q4079" s="2" t="s">
        <v>20</v>
      </c>
    </row>
    <row r="4080" customFormat="false" ht="15" hidden="false" customHeight="false" outlineLevel="0" collapsed="false">
      <c r="A4080" s="2" t="n">
        <v>30</v>
      </c>
      <c r="B4080" s="2" t="s">
        <v>29</v>
      </c>
      <c r="C4080" s="2" t="s">
        <v>18</v>
      </c>
      <c r="D4080" s="2" t="s">
        <v>31</v>
      </c>
      <c r="E4080" s="2" t="s">
        <v>20</v>
      </c>
      <c r="F4080" s="2" t="n">
        <v>562</v>
      </c>
      <c r="G4080" s="2" t="s">
        <v>20</v>
      </c>
      <c r="H4080" s="2" t="s">
        <v>20</v>
      </c>
      <c r="I4080" s="2" t="s">
        <v>21</v>
      </c>
      <c r="J4080" s="2" t="n">
        <v>21</v>
      </c>
      <c r="K4080" s="2" t="s">
        <v>41</v>
      </c>
      <c r="L4080" s="2" t="n">
        <v>137</v>
      </c>
      <c r="M4080" s="2" t="n">
        <v>4</v>
      </c>
      <c r="N4080" s="2" t="n">
        <v>-1</v>
      </c>
      <c r="O4080" s="2" t="n">
        <v>0</v>
      </c>
      <c r="P4080" s="2" t="s">
        <v>23</v>
      </c>
      <c r="Q4080" s="2" t="s">
        <v>20</v>
      </c>
    </row>
    <row r="4081" customFormat="false" ht="15" hidden="false" customHeight="false" outlineLevel="0" collapsed="false">
      <c r="A4081" s="2" t="n">
        <v>53</v>
      </c>
      <c r="B4081" s="2" t="s">
        <v>39</v>
      </c>
      <c r="C4081" s="2" t="s">
        <v>18</v>
      </c>
      <c r="D4081" s="2" t="s">
        <v>25</v>
      </c>
      <c r="E4081" s="2" t="s">
        <v>20</v>
      </c>
      <c r="F4081" s="2" t="n">
        <v>-118</v>
      </c>
      <c r="G4081" s="2" t="s">
        <v>26</v>
      </c>
      <c r="H4081" s="2" t="s">
        <v>20</v>
      </c>
      <c r="I4081" s="2" t="s">
        <v>23</v>
      </c>
      <c r="J4081" s="2" t="n">
        <v>9</v>
      </c>
      <c r="K4081" s="2" t="s">
        <v>27</v>
      </c>
      <c r="L4081" s="2" t="n">
        <v>101</v>
      </c>
      <c r="M4081" s="2" t="n">
        <v>3</v>
      </c>
      <c r="N4081" s="2" t="n">
        <v>-1</v>
      </c>
      <c r="O4081" s="2" t="n">
        <v>0</v>
      </c>
      <c r="P4081" s="2" t="s">
        <v>23</v>
      </c>
      <c r="Q4081" s="2" t="s">
        <v>20</v>
      </c>
    </row>
    <row r="4082" customFormat="false" ht="15" hidden="false" customHeight="false" outlineLevel="0" collapsed="false">
      <c r="A4082" s="2" t="n">
        <v>40</v>
      </c>
      <c r="B4082" s="2" t="s">
        <v>34</v>
      </c>
      <c r="C4082" s="2" t="s">
        <v>18</v>
      </c>
      <c r="D4082" s="2" t="s">
        <v>19</v>
      </c>
      <c r="E4082" s="2" t="s">
        <v>20</v>
      </c>
      <c r="F4082" s="2" t="n">
        <v>2805</v>
      </c>
      <c r="G4082" s="2" t="s">
        <v>26</v>
      </c>
      <c r="H4082" s="2" t="s">
        <v>20</v>
      </c>
      <c r="I4082" s="2" t="s">
        <v>21</v>
      </c>
      <c r="J4082" s="2" t="n">
        <v>14</v>
      </c>
      <c r="K4082" s="2" t="s">
        <v>27</v>
      </c>
      <c r="L4082" s="2" t="n">
        <v>173</v>
      </c>
      <c r="M4082" s="2" t="n">
        <v>6</v>
      </c>
      <c r="N4082" s="2" t="n">
        <v>353</v>
      </c>
      <c r="O4082" s="2" t="n">
        <v>23</v>
      </c>
      <c r="P4082" s="2" t="s">
        <v>28</v>
      </c>
      <c r="Q4082" s="2" t="s">
        <v>20</v>
      </c>
    </row>
    <row r="4083" customFormat="false" ht="15" hidden="false" customHeight="false" outlineLevel="0" collapsed="false">
      <c r="A4083" s="2" t="n">
        <v>26</v>
      </c>
      <c r="B4083" s="2" t="s">
        <v>29</v>
      </c>
      <c r="C4083" s="2" t="s">
        <v>30</v>
      </c>
      <c r="D4083" s="2" t="s">
        <v>25</v>
      </c>
      <c r="E4083" s="2" t="s">
        <v>20</v>
      </c>
      <c r="F4083" s="2" t="n">
        <v>565</v>
      </c>
      <c r="G4083" s="2" t="s">
        <v>26</v>
      </c>
      <c r="H4083" s="2" t="s">
        <v>20</v>
      </c>
      <c r="I4083" s="2" t="s">
        <v>23</v>
      </c>
      <c r="J4083" s="2" t="n">
        <v>6</v>
      </c>
      <c r="K4083" s="2" t="s">
        <v>33</v>
      </c>
      <c r="L4083" s="2" t="n">
        <v>582</v>
      </c>
      <c r="M4083" s="2" t="n">
        <v>11</v>
      </c>
      <c r="N4083" s="2" t="n">
        <v>-1</v>
      </c>
      <c r="O4083" s="2" t="n">
        <v>0</v>
      </c>
      <c r="P4083" s="2" t="s">
        <v>23</v>
      </c>
      <c r="Q4083" s="2" t="s">
        <v>20</v>
      </c>
    </row>
    <row r="4084" customFormat="false" ht="15" hidden="false" customHeight="false" outlineLevel="0" collapsed="false">
      <c r="A4084" s="2" t="n">
        <v>47</v>
      </c>
      <c r="B4084" s="2" t="s">
        <v>34</v>
      </c>
      <c r="C4084" s="2" t="s">
        <v>18</v>
      </c>
      <c r="D4084" s="2" t="s">
        <v>25</v>
      </c>
      <c r="E4084" s="2" t="s">
        <v>20</v>
      </c>
      <c r="F4084" s="2" t="n">
        <v>0</v>
      </c>
      <c r="G4084" s="2" t="s">
        <v>26</v>
      </c>
      <c r="H4084" s="2" t="s">
        <v>20</v>
      </c>
      <c r="I4084" s="2" t="s">
        <v>21</v>
      </c>
      <c r="J4084" s="2" t="n">
        <v>21</v>
      </c>
      <c r="K4084" s="2" t="s">
        <v>44</v>
      </c>
      <c r="L4084" s="2" t="n">
        <v>676</v>
      </c>
      <c r="M4084" s="2" t="n">
        <v>1</v>
      </c>
      <c r="N4084" s="2" t="n">
        <v>-1</v>
      </c>
      <c r="O4084" s="2" t="n">
        <v>0</v>
      </c>
      <c r="P4084" s="2" t="s">
        <v>23</v>
      </c>
      <c r="Q4084" s="2" t="s">
        <v>20</v>
      </c>
    </row>
    <row r="4085" customFormat="false" ht="15" hidden="false" customHeight="false" outlineLevel="0" collapsed="false">
      <c r="A4085" s="2" t="n">
        <v>51</v>
      </c>
      <c r="B4085" s="2" t="s">
        <v>29</v>
      </c>
      <c r="C4085" s="2" t="s">
        <v>18</v>
      </c>
      <c r="D4085" s="2" t="s">
        <v>31</v>
      </c>
      <c r="E4085" s="2" t="s">
        <v>20</v>
      </c>
      <c r="F4085" s="2" t="n">
        <v>1612</v>
      </c>
      <c r="G4085" s="2" t="s">
        <v>20</v>
      </c>
      <c r="H4085" s="2" t="s">
        <v>20</v>
      </c>
      <c r="I4085" s="2" t="s">
        <v>21</v>
      </c>
      <c r="J4085" s="2" t="n">
        <v>16</v>
      </c>
      <c r="K4085" s="2" t="s">
        <v>52</v>
      </c>
      <c r="L4085" s="2" t="n">
        <v>384</v>
      </c>
      <c r="M4085" s="2" t="n">
        <v>1</v>
      </c>
      <c r="N4085" s="2" t="n">
        <v>182</v>
      </c>
      <c r="O4085" s="2" t="n">
        <v>5</v>
      </c>
      <c r="P4085" s="2" t="s">
        <v>28</v>
      </c>
      <c r="Q4085" s="2" t="s">
        <v>20</v>
      </c>
    </row>
    <row r="4086" customFormat="false" ht="15" hidden="false" customHeight="false" outlineLevel="0" collapsed="false">
      <c r="A4086" s="2" t="n">
        <v>45</v>
      </c>
      <c r="B4086" s="2" t="s">
        <v>17</v>
      </c>
      <c r="C4086" s="2" t="s">
        <v>18</v>
      </c>
      <c r="D4086" s="2" t="s">
        <v>19</v>
      </c>
      <c r="E4086" s="2" t="s">
        <v>20</v>
      </c>
      <c r="F4086" s="2" t="n">
        <v>180</v>
      </c>
      <c r="G4086" s="2" t="s">
        <v>26</v>
      </c>
      <c r="H4086" s="2" t="s">
        <v>26</v>
      </c>
      <c r="I4086" s="2" t="s">
        <v>23</v>
      </c>
      <c r="J4086" s="2" t="n">
        <v>27</v>
      </c>
      <c r="K4086" s="2" t="s">
        <v>27</v>
      </c>
      <c r="L4086" s="2" t="n">
        <v>62</v>
      </c>
      <c r="M4086" s="2" t="n">
        <v>2</v>
      </c>
      <c r="N4086" s="2" t="n">
        <v>-1</v>
      </c>
      <c r="O4086" s="2" t="n">
        <v>0</v>
      </c>
      <c r="P4086" s="2" t="s">
        <v>23</v>
      </c>
      <c r="Q4086" s="2" t="s">
        <v>20</v>
      </c>
    </row>
    <row r="4087" customFormat="false" ht="15" hidden="false" customHeight="false" outlineLevel="0" collapsed="false">
      <c r="A4087" s="2" t="n">
        <v>35</v>
      </c>
      <c r="B4087" s="2" t="s">
        <v>29</v>
      </c>
      <c r="C4087" s="2" t="s">
        <v>18</v>
      </c>
      <c r="D4087" s="2" t="s">
        <v>31</v>
      </c>
      <c r="E4087" s="2" t="s">
        <v>20</v>
      </c>
      <c r="F4087" s="2" t="n">
        <v>0</v>
      </c>
      <c r="G4087" s="2" t="s">
        <v>26</v>
      </c>
      <c r="H4087" s="2" t="s">
        <v>20</v>
      </c>
      <c r="I4087" s="2" t="s">
        <v>21</v>
      </c>
      <c r="J4087" s="2" t="n">
        <v>21</v>
      </c>
      <c r="K4087" s="2" t="s">
        <v>44</v>
      </c>
      <c r="L4087" s="2" t="n">
        <v>295</v>
      </c>
      <c r="M4087" s="2" t="n">
        <v>3</v>
      </c>
      <c r="N4087" s="2" t="n">
        <v>-1</v>
      </c>
      <c r="O4087" s="2" t="n">
        <v>0</v>
      </c>
      <c r="P4087" s="2" t="s">
        <v>23</v>
      </c>
      <c r="Q4087" s="2" t="s">
        <v>20</v>
      </c>
    </row>
    <row r="4088" customFormat="false" ht="15" hidden="false" customHeight="false" outlineLevel="0" collapsed="false">
      <c r="A4088" s="2" t="n">
        <v>36</v>
      </c>
      <c r="B4088" s="2" t="s">
        <v>29</v>
      </c>
      <c r="C4088" s="2" t="s">
        <v>30</v>
      </c>
      <c r="D4088" s="2" t="s">
        <v>31</v>
      </c>
      <c r="E4088" s="2" t="s">
        <v>20</v>
      </c>
      <c r="F4088" s="2" t="n">
        <v>876</v>
      </c>
      <c r="G4088" s="2" t="s">
        <v>26</v>
      </c>
      <c r="H4088" s="2" t="s">
        <v>20</v>
      </c>
      <c r="I4088" s="2" t="s">
        <v>23</v>
      </c>
      <c r="J4088" s="2" t="n">
        <v>23</v>
      </c>
      <c r="K4088" s="2" t="s">
        <v>27</v>
      </c>
      <c r="L4088" s="2" t="n">
        <v>241</v>
      </c>
      <c r="M4088" s="2" t="n">
        <v>2</v>
      </c>
      <c r="N4088" s="2" t="n">
        <v>-1</v>
      </c>
      <c r="O4088" s="2" t="n">
        <v>0</v>
      </c>
      <c r="P4088" s="2" t="s">
        <v>23</v>
      </c>
      <c r="Q4088" s="2" t="s">
        <v>20</v>
      </c>
    </row>
    <row r="4089" customFormat="false" ht="15" hidden="false" customHeight="false" outlineLevel="0" collapsed="false">
      <c r="A4089" s="2" t="n">
        <v>57</v>
      </c>
      <c r="B4089" s="2" t="s">
        <v>40</v>
      </c>
      <c r="C4089" s="2" t="s">
        <v>18</v>
      </c>
      <c r="D4089" s="2" t="s">
        <v>25</v>
      </c>
      <c r="E4089" s="2" t="s">
        <v>20</v>
      </c>
      <c r="F4089" s="2" t="n">
        <v>2137</v>
      </c>
      <c r="G4089" s="2" t="s">
        <v>20</v>
      </c>
      <c r="H4089" s="2" t="s">
        <v>20</v>
      </c>
      <c r="I4089" s="2" t="s">
        <v>49</v>
      </c>
      <c r="J4089" s="2" t="n">
        <v>8</v>
      </c>
      <c r="K4089" s="2" t="s">
        <v>44</v>
      </c>
      <c r="L4089" s="2" t="n">
        <v>132</v>
      </c>
      <c r="M4089" s="2" t="n">
        <v>7</v>
      </c>
      <c r="N4089" s="2" t="n">
        <v>-1</v>
      </c>
      <c r="O4089" s="2" t="n">
        <v>0</v>
      </c>
      <c r="P4089" s="2" t="s">
        <v>23</v>
      </c>
      <c r="Q4089" s="2" t="s">
        <v>20</v>
      </c>
    </row>
    <row r="4090" customFormat="false" ht="15" hidden="false" customHeight="false" outlineLevel="0" collapsed="false">
      <c r="A4090" s="2" t="n">
        <v>42</v>
      </c>
      <c r="B4090" s="2" t="s">
        <v>34</v>
      </c>
      <c r="C4090" s="2" t="s">
        <v>18</v>
      </c>
      <c r="D4090" s="2" t="s">
        <v>19</v>
      </c>
      <c r="E4090" s="2" t="s">
        <v>20</v>
      </c>
      <c r="F4090" s="2" t="n">
        <v>260</v>
      </c>
      <c r="G4090" s="2" t="s">
        <v>26</v>
      </c>
      <c r="H4090" s="2" t="s">
        <v>20</v>
      </c>
      <c r="I4090" s="2" t="s">
        <v>49</v>
      </c>
      <c r="J4090" s="2" t="n">
        <v>31</v>
      </c>
      <c r="K4090" s="2" t="s">
        <v>44</v>
      </c>
      <c r="L4090" s="2" t="n">
        <v>175</v>
      </c>
      <c r="M4090" s="2" t="n">
        <v>2</v>
      </c>
      <c r="N4090" s="2" t="n">
        <v>-1</v>
      </c>
      <c r="O4090" s="2" t="n">
        <v>0</v>
      </c>
      <c r="P4090" s="2" t="s">
        <v>23</v>
      </c>
      <c r="Q4090" s="2" t="s">
        <v>20</v>
      </c>
    </row>
    <row r="4091" customFormat="false" ht="15" hidden="false" customHeight="false" outlineLevel="0" collapsed="false">
      <c r="A4091" s="2" t="n">
        <v>32</v>
      </c>
      <c r="B4091" s="2" t="s">
        <v>34</v>
      </c>
      <c r="C4091" s="2" t="s">
        <v>18</v>
      </c>
      <c r="D4091" s="2" t="s">
        <v>25</v>
      </c>
      <c r="E4091" s="2" t="s">
        <v>26</v>
      </c>
      <c r="F4091" s="2" t="n">
        <v>-53</v>
      </c>
      <c r="G4091" s="2" t="s">
        <v>26</v>
      </c>
      <c r="H4091" s="2" t="s">
        <v>20</v>
      </c>
      <c r="I4091" s="2" t="s">
        <v>21</v>
      </c>
      <c r="J4091" s="2" t="n">
        <v>16</v>
      </c>
      <c r="K4091" s="2" t="s">
        <v>32</v>
      </c>
      <c r="L4091" s="2" t="n">
        <v>648</v>
      </c>
      <c r="M4091" s="2" t="n">
        <v>1</v>
      </c>
      <c r="N4091" s="2" t="n">
        <v>272</v>
      </c>
      <c r="O4091" s="2" t="n">
        <v>1</v>
      </c>
      <c r="P4091" s="2" t="s">
        <v>37</v>
      </c>
      <c r="Q4091" s="2" t="s">
        <v>26</v>
      </c>
    </row>
    <row r="4092" customFormat="false" ht="15" hidden="false" customHeight="false" outlineLevel="0" collapsed="false">
      <c r="A4092" s="2" t="n">
        <v>30</v>
      </c>
      <c r="B4092" s="2" t="s">
        <v>29</v>
      </c>
      <c r="C4092" s="2" t="s">
        <v>18</v>
      </c>
      <c r="D4092" s="2" t="s">
        <v>31</v>
      </c>
      <c r="E4092" s="2" t="s">
        <v>20</v>
      </c>
      <c r="F4092" s="2" t="n">
        <v>944</v>
      </c>
      <c r="G4092" s="2" t="s">
        <v>20</v>
      </c>
      <c r="H4092" s="2" t="s">
        <v>20</v>
      </c>
      <c r="I4092" s="2" t="s">
        <v>21</v>
      </c>
      <c r="J4092" s="2" t="n">
        <v>29</v>
      </c>
      <c r="K4092" s="2" t="s">
        <v>22</v>
      </c>
      <c r="L4092" s="2" t="n">
        <v>251</v>
      </c>
      <c r="M4092" s="2" t="n">
        <v>2</v>
      </c>
      <c r="N4092" s="2" t="n">
        <v>-1</v>
      </c>
      <c r="O4092" s="2" t="n">
        <v>0</v>
      </c>
      <c r="P4092" s="2" t="s">
        <v>23</v>
      </c>
      <c r="Q4092" s="2" t="s">
        <v>26</v>
      </c>
    </row>
    <row r="4093" customFormat="false" ht="15" hidden="false" customHeight="false" outlineLevel="0" collapsed="false">
      <c r="A4093" s="2" t="n">
        <v>36</v>
      </c>
      <c r="B4093" s="2" t="s">
        <v>38</v>
      </c>
      <c r="C4093" s="2" t="s">
        <v>18</v>
      </c>
      <c r="D4093" s="2" t="s">
        <v>25</v>
      </c>
      <c r="E4093" s="2" t="s">
        <v>20</v>
      </c>
      <c r="F4093" s="2" t="n">
        <v>2394</v>
      </c>
      <c r="G4093" s="2" t="s">
        <v>20</v>
      </c>
      <c r="H4093" s="2" t="s">
        <v>20</v>
      </c>
      <c r="I4093" s="2" t="s">
        <v>21</v>
      </c>
      <c r="J4093" s="2" t="n">
        <v>14</v>
      </c>
      <c r="K4093" s="2" t="s">
        <v>41</v>
      </c>
      <c r="L4093" s="2" t="n">
        <v>184</v>
      </c>
      <c r="M4093" s="2" t="n">
        <v>2</v>
      </c>
      <c r="N4093" s="2" t="n">
        <v>-1</v>
      </c>
      <c r="O4093" s="2" t="n">
        <v>0</v>
      </c>
      <c r="P4093" s="2" t="s">
        <v>23</v>
      </c>
      <c r="Q4093" s="2" t="s">
        <v>20</v>
      </c>
    </row>
    <row r="4094" customFormat="false" ht="15" hidden="false" customHeight="false" outlineLevel="0" collapsed="false">
      <c r="A4094" s="2" t="n">
        <v>43</v>
      </c>
      <c r="B4094" s="2" t="s">
        <v>38</v>
      </c>
      <c r="C4094" s="2" t="s">
        <v>18</v>
      </c>
      <c r="D4094" s="2" t="s">
        <v>25</v>
      </c>
      <c r="E4094" s="2" t="s">
        <v>20</v>
      </c>
      <c r="F4094" s="2" t="n">
        <v>297</v>
      </c>
      <c r="G4094" s="2" t="s">
        <v>26</v>
      </c>
      <c r="H4094" s="2" t="s">
        <v>20</v>
      </c>
      <c r="I4094" s="2" t="s">
        <v>21</v>
      </c>
      <c r="J4094" s="2" t="n">
        <v>14</v>
      </c>
      <c r="K4094" s="2" t="s">
        <v>22</v>
      </c>
      <c r="L4094" s="2" t="n">
        <v>119</v>
      </c>
      <c r="M4094" s="2" t="n">
        <v>3</v>
      </c>
      <c r="N4094" s="2" t="n">
        <v>-1</v>
      </c>
      <c r="O4094" s="2" t="n">
        <v>0</v>
      </c>
      <c r="P4094" s="2" t="s">
        <v>23</v>
      </c>
      <c r="Q4094" s="2" t="s">
        <v>20</v>
      </c>
    </row>
    <row r="4095" customFormat="false" ht="15" hidden="false" customHeight="false" outlineLevel="0" collapsed="false">
      <c r="A4095" s="2" t="n">
        <v>69</v>
      </c>
      <c r="B4095" s="2" t="s">
        <v>48</v>
      </c>
      <c r="C4095" s="2" t="s">
        <v>30</v>
      </c>
      <c r="D4095" s="2" t="s">
        <v>31</v>
      </c>
      <c r="E4095" s="2" t="s">
        <v>20</v>
      </c>
      <c r="F4095" s="2" t="n">
        <v>2144</v>
      </c>
      <c r="G4095" s="2" t="s">
        <v>20</v>
      </c>
      <c r="H4095" s="2" t="s">
        <v>20</v>
      </c>
      <c r="I4095" s="2" t="s">
        <v>21</v>
      </c>
      <c r="J4095" s="2" t="n">
        <v>29</v>
      </c>
      <c r="K4095" s="2" t="s">
        <v>44</v>
      </c>
      <c r="L4095" s="2" t="n">
        <v>417</v>
      </c>
      <c r="M4095" s="2" t="n">
        <v>1</v>
      </c>
      <c r="N4095" s="2" t="n">
        <v>184</v>
      </c>
      <c r="O4095" s="2" t="n">
        <v>4</v>
      </c>
      <c r="P4095" s="2" t="s">
        <v>50</v>
      </c>
      <c r="Q4095" s="2" t="s">
        <v>26</v>
      </c>
    </row>
    <row r="4096" customFormat="false" ht="15" hidden="false" customHeight="false" outlineLevel="0" collapsed="false">
      <c r="A4096" s="2" t="n">
        <v>31</v>
      </c>
      <c r="B4096" s="2" t="s">
        <v>38</v>
      </c>
      <c r="C4096" s="2" t="s">
        <v>30</v>
      </c>
      <c r="D4096" s="2" t="s">
        <v>31</v>
      </c>
      <c r="E4096" s="2" t="s">
        <v>20</v>
      </c>
      <c r="F4096" s="2" t="n">
        <v>969</v>
      </c>
      <c r="G4096" s="2" t="s">
        <v>20</v>
      </c>
      <c r="H4096" s="2" t="s">
        <v>20</v>
      </c>
      <c r="I4096" s="2" t="s">
        <v>21</v>
      </c>
      <c r="J4096" s="2" t="n">
        <v>15</v>
      </c>
      <c r="K4096" s="2" t="s">
        <v>33</v>
      </c>
      <c r="L4096" s="2" t="n">
        <v>95</v>
      </c>
      <c r="M4096" s="2" t="n">
        <v>1</v>
      </c>
      <c r="N4096" s="2" t="n">
        <v>-1</v>
      </c>
      <c r="O4096" s="2" t="n">
        <v>0</v>
      </c>
      <c r="P4096" s="2" t="s">
        <v>23</v>
      </c>
      <c r="Q4096" s="2" t="s">
        <v>20</v>
      </c>
    </row>
    <row r="4097" customFormat="false" ht="15" hidden="false" customHeight="false" outlineLevel="0" collapsed="false">
      <c r="A4097" s="2" t="n">
        <v>35</v>
      </c>
      <c r="B4097" s="2" t="s">
        <v>38</v>
      </c>
      <c r="C4097" s="2" t="s">
        <v>18</v>
      </c>
      <c r="D4097" s="2" t="s">
        <v>25</v>
      </c>
      <c r="E4097" s="2" t="s">
        <v>20</v>
      </c>
      <c r="F4097" s="2" t="n">
        <v>0</v>
      </c>
      <c r="G4097" s="2" t="s">
        <v>20</v>
      </c>
      <c r="H4097" s="2" t="s">
        <v>20</v>
      </c>
      <c r="I4097" s="2" t="s">
        <v>21</v>
      </c>
      <c r="J4097" s="2" t="n">
        <v>14</v>
      </c>
      <c r="K4097" s="2" t="s">
        <v>44</v>
      </c>
      <c r="L4097" s="2" t="n">
        <v>125</v>
      </c>
      <c r="M4097" s="2" t="n">
        <v>2</v>
      </c>
      <c r="N4097" s="2" t="n">
        <v>-1</v>
      </c>
      <c r="O4097" s="2" t="n">
        <v>0</v>
      </c>
      <c r="P4097" s="2" t="s">
        <v>23</v>
      </c>
      <c r="Q4097" s="2" t="s">
        <v>20</v>
      </c>
    </row>
    <row r="4098" customFormat="false" ht="15" hidden="false" customHeight="false" outlineLevel="0" collapsed="false">
      <c r="A4098" s="2" t="n">
        <v>26</v>
      </c>
      <c r="B4098" s="2" t="s">
        <v>39</v>
      </c>
      <c r="C4098" s="2" t="s">
        <v>18</v>
      </c>
      <c r="D4098" s="2" t="s">
        <v>31</v>
      </c>
      <c r="E4098" s="2" t="s">
        <v>20</v>
      </c>
      <c r="F4098" s="2" t="n">
        <v>37</v>
      </c>
      <c r="G4098" s="2" t="s">
        <v>26</v>
      </c>
      <c r="H4098" s="2" t="s">
        <v>26</v>
      </c>
      <c r="I4098" s="2" t="s">
        <v>21</v>
      </c>
      <c r="J4098" s="2" t="n">
        <v>6</v>
      </c>
      <c r="K4098" s="2" t="s">
        <v>27</v>
      </c>
      <c r="L4098" s="2" t="n">
        <v>207</v>
      </c>
      <c r="M4098" s="2" t="n">
        <v>1</v>
      </c>
      <c r="N4098" s="2" t="n">
        <v>363</v>
      </c>
      <c r="O4098" s="2" t="n">
        <v>2</v>
      </c>
      <c r="P4098" s="2" t="s">
        <v>28</v>
      </c>
      <c r="Q4098" s="2" t="s">
        <v>20</v>
      </c>
    </row>
    <row r="4099" customFormat="false" ht="15" hidden="false" customHeight="false" outlineLevel="0" collapsed="false">
      <c r="A4099" s="2" t="n">
        <v>46</v>
      </c>
      <c r="B4099" s="2" t="s">
        <v>38</v>
      </c>
      <c r="C4099" s="2" t="s">
        <v>18</v>
      </c>
      <c r="D4099" s="2" t="s">
        <v>25</v>
      </c>
      <c r="E4099" s="2" t="s">
        <v>20</v>
      </c>
      <c r="F4099" s="2" t="n">
        <v>410</v>
      </c>
      <c r="G4099" s="2" t="s">
        <v>20</v>
      </c>
      <c r="H4099" s="2" t="s">
        <v>26</v>
      </c>
      <c r="I4099" s="2" t="s">
        <v>21</v>
      </c>
      <c r="J4099" s="2" t="n">
        <v>21</v>
      </c>
      <c r="K4099" s="2" t="s">
        <v>46</v>
      </c>
      <c r="L4099" s="2" t="n">
        <v>162</v>
      </c>
      <c r="M4099" s="2" t="n">
        <v>5</v>
      </c>
      <c r="N4099" s="2" t="n">
        <v>-1</v>
      </c>
      <c r="O4099" s="2" t="n">
        <v>0</v>
      </c>
      <c r="P4099" s="2" t="s">
        <v>23</v>
      </c>
      <c r="Q4099" s="2" t="s">
        <v>20</v>
      </c>
    </row>
    <row r="4100" customFormat="false" ht="15" hidden="false" customHeight="false" outlineLevel="0" collapsed="false">
      <c r="A4100" s="2" t="n">
        <v>30</v>
      </c>
      <c r="B4100" s="2" t="s">
        <v>38</v>
      </c>
      <c r="C4100" s="2" t="s">
        <v>18</v>
      </c>
      <c r="D4100" s="2" t="s">
        <v>25</v>
      </c>
      <c r="E4100" s="2" t="s">
        <v>20</v>
      </c>
      <c r="F4100" s="2" t="n">
        <v>1211</v>
      </c>
      <c r="G4100" s="2" t="s">
        <v>26</v>
      </c>
      <c r="H4100" s="2" t="s">
        <v>20</v>
      </c>
      <c r="I4100" s="2" t="s">
        <v>21</v>
      </c>
      <c r="J4100" s="2" t="n">
        <v>18</v>
      </c>
      <c r="K4100" s="2" t="s">
        <v>27</v>
      </c>
      <c r="L4100" s="2" t="n">
        <v>176</v>
      </c>
      <c r="M4100" s="2" t="n">
        <v>1</v>
      </c>
      <c r="N4100" s="2" t="n">
        <v>-1</v>
      </c>
      <c r="O4100" s="2" t="n">
        <v>0</v>
      </c>
      <c r="P4100" s="2" t="s">
        <v>23</v>
      </c>
      <c r="Q4100" s="2" t="s">
        <v>20</v>
      </c>
    </row>
    <row r="4101" customFormat="false" ht="15" hidden="false" customHeight="false" outlineLevel="0" collapsed="false">
      <c r="A4101" s="2" t="n">
        <v>33</v>
      </c>
      <c r="B4101" s="2" t="s">
        <v>29</v>
      </c>
      <c r="C4101" s="2" t="s">
        <v>30</v>
      </c>
      <c r="D4101" s="2" t="s">
        <v>31</v>
      </c>
      <c r="E4101" s="2" t="s">
        <v>20</v>
      </c>
      <c r="F4101" s="2" t="n">
        <v>71</v>
      </c>
      <c r="G4101" s="2" t="s">
        <v>20</v>
      </c>
      <c r="H4101" s="2" t="s">
        <v>20</v>
      </c>
      <c r="I4101" s="2" t="s">
        <v>21</v>
      </c>
      <c r="J4101" s="2" t="n">
        <v>22</v>
      </c>
      <c r="K4101" s="2" t="s">
        <v>41</v>
      </c>
      <c r="L4101" s="2" t="n">
        <v>107</v>
      </c>
      <c r="M4101" s="2" t="n">
        <v>6</v>
      </c>
      <c r="N4101" s="2" t="n">
        <v>-1</v>
      </c>
      <c r="O4101" s="2" t="n">
        <v>0</v>
      </c>
      <c r="P4101" s="2" t="s">
        <v>23</v>
      </c>
      <c r="Q4101" s="2" t="s">
        <v>20</v>
      </c>
    </row>
    <row r="4102" customFormat="false" ht="15" hidden="false" customHeight="false" outlineLevel="0" collapsed="false">
      <c r="A4102" s="2" t="n">
        <v>34</v>
      </c>
      <c r="B4102" s="2" t="s">
        <v>29</v>
      </c>
      <c r="C4102" s="2" t="s">
        <v>18</v>
      </c>
      <c r="D4102" s="2" t="s">
        <v>31</v>
      </c>
      <c r="E4102" s="2" t="s">
        <v>20</v>
      </c>
      <c r="F4102" s="2" t="n">
        <v>436</v>
      </c>
      <c r="G4102" s="2" t="s">
        <v>26</v>
      </c>
      <c r="H4102" s="2" t="s">
        <v>20</v>
      </c>
      <c r="I4102" s="2" t="s">
        <v>21</v>
      </c>
      <c r="J4102" s="2" t="n">
        <v>17</v>
      </c>
      <c r="K4102" s="2" t="s">
        <v>32</v>
      </c>
      <c r="L4102" s="2" t="n">
        <v>28</v>
      </c>
      <c r="M4102" s="2" t="n">
        <v>1</v>
      </c>
      <c r="N4102" s="2" t="n">
        <v>345</v>
      </c>
      <c r="O4102" s="2" t="n">
        <v>1</v>
      </c>
      <c r="P4102" s="2" t="s">
        <v>28</v>
      </c>
      <c r="Q4102" s="2" t="s">
        <v>20</v>
      </c>
    </row>
    <row r="4103" customFormat="false" ht="15" hidden="false" customHeight="false" outlineLevel="0" collapsed="false">
      <c r="A4103" s="2" t="n">
        <v>48</v>
      </c>
      <c r="B4103" s="2" t="s">
        <v>34</v>
      </c>
      <c r="C4103" s="2" t="s">
        <v>18</v>
      </c>
      <c r="D4103" s="2" t="s">
        <v>19</v>
      </c>
      <c r="E4103" s="2" t="s">
        <v>20</v>
      </c>
      <c r="F4103" s="2" t="n">
        <v>559</v>
      </c>
      <c r="G4103" s="2" t="s">
        <v>26</v>
      </c>
      <c r="H4103" s="2" t="s">
        <v>20</v>
      </c>
      <c r="I4103" s="2" t="s">
        <v>23</v>
      </c>
      <c r="J4103" s="2" t="n">
        <v>15</v>
      </c>
      <c r="K4103" s="2" t="s">
        <v>27</v>
      </c>
      <c r="L4103" s="2" t="n">
        <v>1231</v>
      </c>
      <c r="M4103" s="2" t="n">
        <v>2</v>
      </c>
      <c r="N4103" s="2" t="n">
        <v>-1</v>
      </c>
      <c r="O4103" s="2" t="n">
        <v>0</v>
      </c>
      <c r="P4103" s="2" t="s">
        <v>23</v>
      </c>
      <c r="Q4103" s="2" t="s">
        <v>20</v>
      </c>
    </row>
    <row r="4104" customFormat="false" ht="15" hidden="false" customHeight="false" outlineLevel="0" collapsed="false">
      <c r="A4104" s="2" t="n">
        <v>31</v>
      </c>
      <c r="B4104" s="2" t="s">
        <v>29</v>
      </c>
      <c r="C4104" s="2" t="s">
        <v>18</v>
      </c>
      <c r="D4104" s="2" t="s">
        <v>31</v>
      </c>
      <c r="E4104" s="2" t="s">
        <v>20</v>
      </c>
      <c r="F4104" s="2" t="n">
        <v>1170</v>
      </c>
      <c r="G4104" s="2" t="s">
        <v>20</v>
      </c>
      <c r="H4104" s="2" t="s">
        <v>20</v>
      </c>
      <c r="I4104" s="2" t="s">
        <v>21</v>
      </c>
      <c r="J4104" s="2" t="n">
        <v>20</v>
      </c>
      <c r="K4104" s="2" t="s">
        <v>41</v>
      </c>
      <c r="L4104" s="2" t="n">
        <v>200</v>
      </c>
      <c r="M4104" s="2" t="n">
        <v>4</v>
      </c>
      <c r="N4104" s="2" t="n">
        <v>-1</v>
      </c>
      <c r="O4104" s="2" t="n">
        <v>0</v>
      </c>
      <c r="P4104" s="2" t="s">
        <v>23</v>
      </c>
      <c r="Q4104" s="2" t="s">
        <v>20</v>
      </c>
    </row>
    <row r="4105" customFormat="false" ht="15" hidden="false" customHeight="false" outlineLevel="0" collapsed="false">
      <c r="A4105" s="2" t="n">
        <v>46</v>
      </c>
      <c r="B4105" s="2" t="s">
        <v>29</v>
      </c>
      <c r="C4105" s="2" t="s">
        <v>45</v>
      </c>
      <c r="D4105" s="2" t="s">
        <v>31</v>
      </c>
      <c r="E4105" s="2" t="s">
        <v>20</v>
      </c>
      <c r="F4105" s="2" t="n">
        <v>25</v>
      </c>
      <c r="G4105" s="2" t="s">
        <v>20</v>
      </c>
      <c r="H4105" s="2" t="s">
        <v>20</v>
      </c>
      <c r="I4105" s="2" t="s">
        <v>23</v>
      </c>
      <c r="J4105" s="2" t="n">
        <v>26</v>
      </c>
      <c r="K4105" s="2" t="s">
        <v>27</v>
      </c>
      <c r="L4105" s="2" t="n">
        <v>103</v>
      </c>
      <c r="M4105" s="2" t="n">
        <v>2</v>
      </c>
      <c r="N4105" s="2" t="n">
        <v>-1</v>
      </c>
      <c r="O4105" s="2" t="n">
        <v>0</v>
      </c>
      <c r="P4105" s="2" t="s">
        <v>23</v>
      </c>
      <c r="Q4105" s="2" t="s">
        <v>20</v>
      </c>
    </row>
    <row r="4106" customFormat="false" ht="15" hidden="false" customHeight="false" outlineLevel="0" collapsed="false">
      <c r="A4106" s="2" t="n">
        <v>40</v>
      </c>
      <c r="B4106" s="2" t="s">
        <v>24</v>
      </c>
      <c r="C4106" s="2" t="s">
        <v>18</v>
      </c>
      <c r="D4106" s="2" t="s">
        <v>25</v>
      </c>
      <c r="E4106" s="2" t="s">
        <v>20</v>
      </c>
      <c r="F4106" s="2" t="n">
        <v>1325</v>
      </c>
      <c r="G4106" s="2" t="s">
        <v>20</v>
      </c>
      <c r="H4106" s="2" t="s">
        <v>20</v>
      </c>
      <c r="I4106" s="2" t="s">
        <v>23</v>
      </c>
      <c r="J4106" s="2" t="n">
        <v>11</v>
      </c>
      <c r="K4106" s="2" t="s">
        <v>33</v>
      </c>
      <c r="L4106" s="2" t="n">
        <v>150</v>
      </c>
      <c r="M4106" s="2" t="n">
        <v>2</v>
      </c>
      <c r="N4106" s="2" t="n">
        <v>-1</v>
      </c>
      <c r="O4106" s="2" t="n">
        <v>0</v>
      </c>
      <c r="P4106" s="2" t="s">
        <v>23</v>
      </c>
      <c r="Q4106" s="2" t="s">
        <v>20</v>
      </c>
    </row>
    <row r="4107" customFormat="false" ht="15" hidden="false" customHeight="false" outlineLevel="0" collapsed="false">
      <c r="A4107" s="2" t="n">
        <v>39</v>
      </c>
      <c r="B4107" s="2" t="s">
        <v>39</v>
      </c>
      <c r="C4107" s="2" t="s">
        <v>18</v>
      </c>
      <c r="D4107" s="2" t="s">
        <v>25</v>
      </c>
      <c r="E4107" s="2" t="s">
        <v>20</v>
      </c>
      <c r="F4107" s="2" t="n">
        <v>0</v>
      </c>
      <c r="G4107" s="2" t="s">
        <v>20</v>
      </c>
      <c r="H4107" s="2" t="s">
        <v>20</v>
      </c>
      <c r="I4107" s="2" t="s">
        <v>21</v>
      </c>
      <c r="J4107" s="2" t="n">
        <v>21</v>
      </c>
      <c r="K4107" s="2" t="s">
        <v>46</v>
      </c>
      <c r="L4107" s="2" t="n">
        <v>108</v>
      </c>
      <c r="M4107" s="2" t="n">
        <v>7</v>
      </c>
      <c r="N4107" s="2" t="n">
        <v>-1</v>
      </c>
      <c r="O4107" s="2" t="n">
        <v>0</v>
      </c>
      <c r="P4107" s="2" t="s">
        <v>23</v>
      </c>
      <c r="Q4107" s="2" t="s">
        <v>20</v>
      </c>
    </row>
    <row r="4108" customFormat="false" ht="15" hidden="false" customHeight="false" outlineLevel="0" collapsed="false">
      <c r="A4108" s="2" t="n">
        <v>33</v>
      </c>
      <c r="B4108" s="2" t="s">
        <v>38</v>
      </c>
      <c r="C4108" s="2" t="s">
        <v>30</v>
      </c>
      <c r="D4108" s="2" t="s">
        <v>25</v>
      </c>
      <c r="E4108" s="2" t="s">
        <v>20</v>
      </c>
      <c r="F4108" s="2" t="n">
        <v>647</v>
      </c>
      <c r="G4108" s="2" t="s">
        <v>26</v>
      </c>
      <c r="H4108" s="2" t="s">
        <v>26</v>
      </c>
      <c r="I4108" s="2" t="s">
        <v>21</v>
      </c>
      <c r="J4108" s="2" t="n">
        <v>4</v>
      </c>
      <c r="K4108" s="2" t="s">
        <v>35</v>
      </c>
      <c r="L4108" s="2" t="n">
        <v>124</v>
      </c>
      <c r="M4108" s="2" t="n">
        <v>1</v>
      </c>
      <c r="N4108" s="2" t="n">
        <v>273</v>
      </c>
      <c r="O4108" s="2" t="n">
        <v>1</v>
      </c>
      <c r="P4108" s="2" t="s">
        <v>37</v>
      </c>
      <c r="Q4108" s="2" t="s">
        <v>20</v>
      </c>
    </row>
    <row r="4109" customFormat="false" ht="15" hidden="false" customHeight="false" outlineLevel="0" collapsed="false">
      <c r="A4109" s="2" t="n">
        <v>50</v>
      </c>
      <c r="B4109" s="2" t="s">
        <v>34</v>
      </c>
      <c r="C4109" s="2" t="s">
        <v>18</v>
      </c>
      <c r="D4109" s="2" t="s">
        <v>19</v>
      </c>
      <c r="E4109" s="2" t="s">
        <v>20</v>
      </c>
      <c r="F4109" s="2" t="n">
        <v>2142</v>
      </c>
      <c r="G4109" s="2" t="s">
        <v>26</v>
      </c>
      <c r="H4109" s="2" t="s">
        <v>20</v>
      </c>
      <c r="I4109" s="2" t="s">
        <v>21</v>
      </c>
      <c r="J4109" s="2" t="n">
        <v>29</v>
      </c>
      <c r="K4109" s="2" t="s">
        <v>43</v>
      </c>
      <c r="L4109" s="2" t="n">
        <v>309</v>
      </c>
      <c r="M4109" s="2" t="n">
        <v>2</v>
      </c>
      <c r="N4109" s="2" t="n">
        <v>224</v>
      </c>
      <c r="O4109" s="2" t="n">
        <v>1</v>
      </c>
      <c r="P4109" s="2" t="s">
        <v>37</v>
      </c>
      <c r="Q4109" s="2" t="s">
        <v>20</v>
      </c>
    </row>
    <row r="4110" customFormat="false" ht="15" hidden="false" customHeight="false" outlineLevel="0" collapsed="false">
      <c r="A4110" s="2" t="n">
        <v>84</v>
      </c>
      <c r="B4110" s="2" t="s">
        <v>48</v>
      </c>
      <c r="C4110" s="2" t="s">
        <v>45</v>
      </c>
      <c r="D4110" s="2" t="s">
        <v>19</v>
      </c>
      <c r="E4110" s="2" t="s">
        <v>20</v>
      </c>
      <c r="F4110" s="2" t="n">
        <v>639</v>
      </c>
      <c r="G4110" s="2" t="s">
        <v>20</v>
      </c>
      <c r="H4110" s="2" t="s">
        <v>20</v>
      </c>
      <c r="I4110" s="2" t="s">
        <v>49</v>
      </c>
      <c r="J4110" s="2" t="n">
        <v>18</v>
      </c>
      <c r="K4110" s="2" t="s">
        <v>27</v>
      </c>
      <c r="L4110" s="2" t="n">
        <v>353</v>
      </c>
      <c r="M4110" s="2" t="n">
        <v>3</v>
      </c>
      <c r="N4110" s="2" t="n">
        <v>-1</v>
      </c>
      <c r="O4110" s="2" t="n">
        <v>0</v>
      </c>
      <c r="P4110" s="2" t="s">
        <v>23</v>
      </c>
      <c r="Q4110" s="2" t="s">
        <v>26</v>
      </c>
    </row>
    <row r="4111" customFormat="false" ht="15" hidden="false" customHeight="false" outlineLevel="0" collapsed="false">
      <c r="A4111" s="2" t="n">
        <v>40</v>
      </c>
      <c r="B4111" s="2" t="s">
        <v>34</v>
      </c>
      <c r="C4111" s="2" t="s">
        <v>18</v>
      </c>
      <c r="D4111" s="2" t="s">
        <v>19</v>
      </c>
      <c r="E4111" s="2" t="s">
        <v>20</v>
      </c>
      <c r="F4111" s="2" t="n">
        <v>177</v>
      </c>
      <c r="G4111" s="2" t="s">
        <v>26</v>
      </c>
      <c r="H4111" s="2" t="s">
        <v>26</v>
      </c>
      <c r="I4111" s="2" t="s">
        <v>49</v>
      </c>
      <c r="J4111" s="2" t="n">
        <v>21</v>
      </c>
      <c r="K4111" s="2" t="s">
        <v>44</v>
      </c>
      <c r="L4111" s="2" t="n">
        <v>742</v>
      </c>
      <c r="M4111" s="2" t="n">
        <v>4</v>
      </c>
      <c r="N4111" s="2" t="n">
        <v>-1</v>
      </c>
      <c r="O4111" s="2" t="n">
        <v>0</v>
      </c>
      <c r="P4111" s="2" t="s">
        <v>23</v>
      </c>
      <c r="Q4111" s="2" t="s">
        <v>20</v>
      </c>
    </row>
    <row r="4112" customFormat="false" ht="15" hidden="false" customHeight="false" outlineLevel="0" collapsed="false">
      <c r="A4112" s="2" t="n">
        <v>55</v>
      </c>
      <c r="B4112" s="2" t="s">
        <v>29</v>
      </c>
      <c r="C4112" s="2" t="s">
        <v>18</v>
      </c>
      <c r="D4112" s="2" t="s">
        <v>31</v>
      </c>
      <c r="E4112" s="2" t="s">
        <v>20</v>
      </c>
      <c r="F4112" s="2" t="n">
        <v>236</v>
      </c>
      <c r="G4112" s="2" t="s">
        <v>20</v>
      </c>
      <c r="H4112" s="2" t="s">
        <v>20</v>
      </c>
      <c r="I4112" s="2" t="s">
        <v>21</v>
      </c>
      <c r="J4112" s="2" t="n">
        <v>4</v>
      </c>
      <c r="K4112" s="2" t="s">
        <v>41</v>
      </c>
      <c r="L4112" s="2" t="n">
        <v>200</v>
      </c>
      <c r="M4112" s="2" t="n">
        <v>1</v>
      </c>
      <c r="N4112" s="2" t="n">
        <v>-1</v>
      </c>
      <c r="O4112" s="2" t="n">
        <v>0</v>
      </c>
      <c r="P4112" s="2" t="s">
        <v>23</v>
      </c>
      <c r="Q4112" s="2" t="s">
        <v>20</v>
      </c>
    </row>
    <row r="4113" customFormat="false" ht="15" hidden="false" customHeight="false" outlineLevel="0" collapsed="false">
      <c r="A4113" s="2" t="n">
        <v>40</v>
      </c>
      <c r="B4113" s="2" t="s">
        <v>24</v>
      </c>
      <c r="C4113" s="2" t="s">
        <v>45</v>
      </c>
      <c r="D4113" s="2" t="s">
        <v>25</v>
      </c>
      <c r="E4113" s="2" t="s">
        <v>20</v>
      </c>
      <c r="F4113" s="2" t="n">
        <v>1959</v>
      </c>
      <c r="G4113" s="2" t="s">
        <v>26</v>
      </c>
      <c r="H4113" s="2" t="s">
        <v>20</v>
      </c>
      <c r="I4113" s="2" t="s">
        <v>23</v>
      </c>
      <c r="J4113" s="2" t="n">
        <v>30</v>
      </c>
      <c r="K4113" s="2" t="s">
        <v>27</v>
      </c>
      <c r="L4113" s="2" t="n">
        <v>177</v>
      </c>
      <c r="M4113" s="2" t="n">
        <v>1</v>
      </c>
      <c r="N4113" s="2" t="n">
        <v>-1</v>
      </c>
      <c r="O4113" s="2" t="n">
        <v>0</v>
      </c>
      <c r="P4113" s="2" t="s">
        <v>23</v>
      </c>
      <c r="Q4113" s="2" t="s">
        <v>20</v>
      </c>
    </row>
    <row r="4114" customFormat="false" ht="15" hidden="false" customHeight="false" outlineLevel="0" collapsed="false">
      <c r="A4114" s="2" t="n">
        <v>46</v>
      </c>
      <c r="B4114" s="2" t="s">
        <v>40</v>
      </c>
      <c r="C4114" s="2" t="s">
        <v>18</v>
      </c>
      <c r="D4114" s="2" t="s">
        <v>19</v>
      </c>
      <c r="E4114" s="2" t="s">
        <v>20</v>
      </c>
      <c r="F4114" s="2" t="n">
        <v>96</v>
      </c>
      <c r="G4114" s="2" t="s">
        <v>20</v>
      </c>
      <c r="H4114" s="2" t="s">
        <v>20</v>
      </c>
      <c r="I4114" s="2" t="s">
        <v>49</v>
      </c>
      <c r="J4114" s="2" t="n">
        <v>4</v>
      </c>
      <c r="K4114" s="2" t="s">
        <v>35</v>
      </c>
      <c r="L4114" s="2" t="n">
        <v>151</v>
      </c>
      <c r="M4114" s="2" t="n">
        <v>2</v>
      </c>
      <c r="N4114" s="2" t="n">
        <v>-1</v>
      </c>
      <c r="O4114" s="2" t="n">
        <v>0</v>
      </c>
      <c r="P4114" s="2" t="s">
        <v>23</v>
      </c>
      <c r="Q4114" s="2" t="s">
        <v>20</v>
      </c>
    </row>
    <row r="4115" customFormat="false" ht="15" hidden="false" customHeight="false" outlineLevel="0" collapsed="false">
      <c r="A4115" s="2" t="n">
        <v>43</v>
      </c>
      <c r="B4115" s="2" t="s">
        <v>36</v>
      </c>
      <c r="C4115" s="2" t="s">
        <v>30</v>
      </c>
      <c r="D4115" s="2" t="s">
        <v>31</v>
      </c>
      <c r="E4115" s="2" t="s">
        <v>20</v>
      </c>
      <c r="F4115" s="2" t="n">
        <v>0</v>
      </c>
      <c r="G4115" s="2" t="s">
        <v>20</v>
      </c>
      <c r="H4115" s="2" t="s">
        <v>20</v>
      </c>
      <c r="I4115" s="2" t="s">
        <v>23</v>
      </c>
      <c r="J4115" s="2" t="n">
        <v>19</v>
      </c>
      <c r="K4115" s="2" t="s">
        <v>33</v>
      </c>
      <c r="L4115" s="2" t="n">
        <v>147</v>
      </c>
      <c r="M4115" s="2" t="n">
        <v>1</v>
      </c>
      <c r="N4115" s="2" t="n">
        <v>-1</v>
      </c>
      <c r="O4115" s="2" t="n">
        <v>0</v>
      </c>
      <c r="P4115" s="2" t="s">
        <v>23</v>
      </c>
      <c r="Q4115" s="2" t="s">
        <v>20</v>
      </c>
    </row>
    <row r="4116" customFormat="false" ht="15" hidden="false" customHeight="false" outlineLevel="0" collapsed="false">
      <c r="A4116" s="2" t="n">
        <v>34</v>
      </c>
      <c r="B4116" s="2" t="s">
        <v>34</v>
      </c>
      <c r="C4116" s="2" t="s">
        <v>18</v>
      </c>
      <c r="D4116" s="2" t="s">
        <v>25</v>
      </c>
      <c r="E4116" s="2" t="s">
        <v>20</v>
      </c>
      <c r="F4116" s="2" t="n">
        <v>250</v>
      </c>
      <c r="G4116" s="2" t="s">
        <v>26</v>
      </c>
      <c r="H4116" s="2" t="s">
        <v>20</v>
      </c>
      <c r="I4116" s="2" t="s">
        <v>23</v>
      </c>
      <c r="J4116" s="2" t="n">
        <v>29</v>
      </c>
      <c r="K4116" s="2" t="s">
        <v>27</v>
      </c>
      <c r="L4116" s="2" t="n">
        <v>193</v>
      </c>
      <c r="M4116" s="2" t="n">
        <v>6</v>
      </c>
      <c r="N4116" s="2" t="n">
        <v>-1</v>
      </c>
      <c r="O4116" s="2" t="n">
        <v>0</v>
      </c>
      <c r="P4116" s="2" t="s">
        <v>23</v>
      </c>
      <c r="Q4116" s="2" t="s">
        <v>20</v>
      </c>
    </row>
    <row r="4117" customFormat="false" ht="15" hidden="false" customHeight="false" outlineLevel="0" collapsed="false">
      <c r="A4117" s="2" t="n">
        <v>35</v>
      </c>
      <c r="B4117" s="2" t="s">
        <v>38</v>
      </c>
      <c r="C4117" s="2" t="s">
        <v>30</v>
      </c>
      <c r="D4117" s="2" t="s">
        <v>25</v>
      </c>
      <c r="E4117" s="2" t="s">
        <v>20</v>
      </c>
      <c r="F4117" s="2" t="n">
        <v>126</v>
      </c>
      <c r="G4117" s="2" t="s">
        <v>20</v>
      </c>
      <c r="H4117" s="2" t="s">
        <v>20</v>
      </c>
      <c r="I4117" s="2" t="s">
        <v>21</v>
      </c>
      <c r="J4117" s="2" t="n">
        <v>22</v>
      </c>
      <c r="K4117" s="2" t="s">
        <v>41</v>
      </c>
      <c r="L4117" s="2" t="n">
        <v>112</v>
      </c>
      <c r="M4117" s="2" t="n">
        <v>2</v>
      </c>
      <c r="N4117" s="2" t="n">
        <v>-1</v>
      </c>
      <c r="O4117" s="2" t="n">
        <v>0</v>
      </c>
      <c r="P4117" s="2" t="s">
        <v>23</v>
      </c>
      <c r="Q4117" s="2" t="s">
        <v>20</v>
      </c>
    </row>
    <row r="4118" customFormat="false" ht="15" hidden="false" customHeight="false" outlineLevel="0" collapsed="false">
      <c r="A4118" s="2" t="n">
        <v>57</v>
      </c>
      <c r="B4118" s="2" t="s">
        <v>48</v>
      </c>
      <c r="C4118" s="2" t="s">
        <v>18</v>
      </c>
      <c r="D4118" s="2" t="s">
        <v>23</v>
      </c>
      <c r="E4118" s="2" t="s">
        <v>20</v>
      </c>
      <c r="F4118" s="2" t="n">
        <v>1621</v>
      </c>
      <c r="G4118" s="2" t="s">
        <v>26</v>
      </c>
      <c r="H4118" s="2" t="s">
        <v>20</v>
      </c>
      <c r="I4118" s="2" t="s">
        <v>23</v>
      </c>
      <c r="J4118" s="2" t="n">
        <v>19</v>
      </c>
      <c r="K4118" s="2" t="s">
        <v>33</v>
      </c>
      <c r="L4118" s="2" t="n">
        <v>108</v>
      </c>
      <c r="M4118" s="2" t="n">
        <v>1</v>
      </c>
      <c r="N4118" s="2" t="n">
        <v>-1</v>
      </c>
      <c r="O4118" s="2" t="n">
        <v>0</v>
      </c>
      <c r="P4118" s="2" t="s">
        <v>23</v>
      </c>
      <c r="Q4118" s="2" t="s">
        <v>20</v>
      </c>
    </row>
    <row r="4119" customFormat="false" ht="15" hidden="false" customHeight="false" outlineLevel="0" collapsed="false">
      <c r="A4119" s="2" t="n">
        <v>25</v>
      </c>
      <c r="B4119" s="2" t="s">
        <v>42</v>
      </c>
      <c r="C4119" s="2" t="s">
        <v>30</v>
      </c>
      <c r="D4119" s="2" t="s">
        <v>25</v>
      </c>
      <c r="E4119" s="2" t="s">
        <v>20</v>
      </c>
      <c r="F4119" s="2" t="n">
        <v>8</v>
      </c>
      <c r="G4119" s="2" t="s">
        <v>20</v>
      </c>
      <c r="H4119" s="2" t="s">
        <v>20</v>
      </c>
      <c r="I4119" s="2" t="s">
        <v>21</v>
      </c>
      <c r="J4119" s="2" t="n">
        <v>22</v>
      </c>
      <c r="K4119" s="2" t="s">
        <v>32</v>
      </c>
      <c r="L4119" s="2" t="n">
        <v>107</v>
      </c>
      <c r="M4119" s="2" t="n">
        <v>2</v>
      </c>
      <c r="N4119" s="2" t="n">
        <v>-1</v>
      </c>
      <c r="O4119" s="2" t="n">
        <v>0</v>
      </c>
      <c r="P4119" s="2" t="s">
        <v>23</v>
      </c>
      <c r="Q4119" s="2" t="s">
        <v>26</v>
      </c>
    </row>
    <row r="4120" customFormat="false" ht="15" hidden="false" customHeight="false" outlineLevel="0" collapsed="false">
      <c r="A4120" s="2" t="n">
        <v>32</v>
      </c>
      <c r="B4120" s="2" t="s">
        <v>36</v>
      </c>
      <c r="C4120" s="2" t="s">
        <v>18</v>
      </c>
      <c r="D4120" s="2" t="s">
        <v>31</v>
      </c>
      <c r="E4120" s="2" t="s">
        <v>20</v>
      </c>
      <c r="F4120" s="2" t="n">
        <v>189</v>
      </c>
      <c r="G4120" s="2" t="s">
        <v>26</v>
      </c>
      <c r="H4120" s="2" t="s">
        <v>20</v>
      </c>
      <c r="I4120" s="2" t="s">
        <v>23</v>
      </c>
      <c r="J4120" s="2" t="n">
        <v>6</v>
      </c>
      <c r="K4120" s="2" t="s">
        <v>33</v>
      </c>
      <c r="L4120" s="2" t="n">
        <v>106</v>
      </c>
      <c r="M4120" s="2" t="n">
        <v>2</v>
      </c>
      <c r="N4120" s="2" t="n">
        <v>-1</v>
      </c>
      <c r="O4120" s="2" t="n">
        <v>0</v>
      </c>
      <c r="P4120" s="2" t="s">
        <v>23</v>
      </c>
      <c r="Q4120" s="2" t="s">
        <v>20</v>
      </c>
    </row>
    <row r="4121" customFormat="false" ht="15" hidden="false" customHeight="false" outlineLevel="0" collapsed="false">
      <c r="A4121" s="2" t="n">
        <v>52</v>
      </c>
      <c r="B4121" s="2" t="s">
        <v>48</v>
      </c>
      <c r="C4121" s="2" t="s">
        <v>30</v>
      </c>
      <c r="D4121" s="2" t="s">
        <v>25</v>
      </c>
      <c r="E4121" s="2" t="s">
        <v>20</v>
      </c>
      <c r="F4121" s="2" t="n">
        <v>316</v>
      </c>
      <c r="G4121" s="2" t="s">
        <v>20</v>
      </c>
      <c r="H4121" s="2" t="s">
        <v>20</v>
      </c>
      <c r="I4121" s="2" t="s">
        <v>21</v>
      </c>
      <c r="J4121" s="2" t="n">
        <v>12</v>
      </c>
      <c r="K4121" s="2" t="s">
        <v>27</v>
      </c>
      <c r="L4121" s="2" t="n">
        <v>463</v>
      </c>
      <c r="M4121" s="2" t="n">
        <v>3</v>
      </c>
      <c r="N4121" s="2" t="n">
        <v>-1</v>
      </c>
      <c r="O4121" s="2" t="n">
        <v>0</v>
      </c>
      <c r="P4121" s="2" t="s">
        <v>23</v>
      </c>
      <c r="Q4121" s="2" t="s">
        <v>20</v>
      </c>
    </row>
    <row r="4122" customFormat="false" ht="15" hidden="false" customHeight="false" outlineLevel="0" collapsed="false">
      <c r="A4122" s="2" t="n">
        <v>31</v>
      </c>
      <c r="B4122" s="2" t="s">
        <v>36</v>
      </c>
      <c r="C4122" s="2" t="s">
        <v>30</v>
      </c>
      <c r="D4122" s="2" t="s">
        <v>31</v>
      </c>
      <c r="E4122" s="2" t="s">
        <v>26</v>
      </c>
      <c r="F4122" s="2" t="n">
        <v>-282</v>
      </c>
      <c r="G4122" s="2" t="s">
        <v>26</v>
      </c>
      <c r="H4122" s="2" t="s">
        <v>20</v>
      </c>
      <c r="I4122" s="2" t="s">
        <v>21</v>
      </c>
      <c r="J4122" s="2" t="n">
        <v>20</v>
      </c>
      <c r="K4122" s="2" t="s">
        <v>46</v>
      </c>
      <c r="L4122" s="2" t="n">
        <v>131</v>
      </c>
      <c r="M4122" s="2" t="n">
        <v>3</v>
      </c>
      <c r="N4122" s="2" t="n">
        <v>-1</v>
      </c>
      <c r="O4122" s="2" t="n">
        <v>0</v>
      </c>
      <c r="P4122" s="2" t="s">
        <v>23</v>
      </c>
      <c r="Q4122" s="2" t="s">
        <v>20</v>
      </c>
    </row>
    <row r="4123" customFormat="false" ht="15" hidden="false" customHeight="false" outlineLevel="0" collapsed="false">
      <c r="A4123" s="2" t="n">
        <v>34</v>
      </c>
      <c r="B4123" s="2" t="s">
        <v>29</v>
      </c>
      <c r="C4123" s="2" t="s">
        <v>18</v>
      </c>
      <c r="D4123" s="2" t="s">
        <v>31</v>
      </c>
      <c r="E4123" s="2" t="s">
        <v>20</v>
      </c>
      <c r="F4123" s="2" t="n">
        <v>-308</v>
      </c>
      <c r="G4123" s="2" t="s">
        <v>26</v>
      </c>
      <c r="H4123" s="2" t="s">
        <v>20</v>
      </c>
      <c r="I4123" s="2" t="s">
        <v>21</v>
      </c>
      <c r="J4123" s="2" t="n">
        <v>30</v>
      </c>
      <c r="K4123" s="2" t="s">
        <v>32</v>
      </c>
      <c r="L4123" s="2" t="n">
        <v>140</v>
      </c>
      <c r="M4123" s="2" t="n">
        <v>2</v>
      </c>
      <c r="N4123" s="2" t="n">
        <v>-1</v>
      </c>
      <c r="O4123" s="2" t="n">
        <v>0</v>
      </c>
      <c r="P4123" s="2" t="s">
        <v>23</v>
      </c>
      <c r="Q4123" s="2" t="s">
        <v>20</v>
      </c>
    </row>
    <row r="4124" customFormat="false" ht="15" hidden="false" customHeight="false" outlineLevel="0" collapsed="false">
      <c r="A4124" s="2" t="n">
        <v>42</v>
      </c>
      <c r="B4124" s="2" t="s">
        <v>38</v>
      </c>
      <c r="C4124" s="2" t="s">
        <v>45</v>
      </c>
      <c r="D4124" s="2" t="s">
        <v>25</v>
      </c>
      <c r="E4124" s="2" t="s">
        <v>20</v>
      </c>
      <c r="F4124" s="2" t="n">
        <v>248</v>
      </c>
      <c r="G4124" s="2" t="s">
        <v>20</v>
      </c>
      <c r="H4124" s="2" t="s">
        <v>20</v>
      </c>
      <c r="I4124" s="2" t="s">
        <v>21</v>
      </c>
      <c r="J4124" s="2" t="n">
        <v>19</v>
      </c>
      <c r="K4124" s="2" t="s">
        <v>41</v>
      </c>
      <c r="L4124" s="2" t="n">
        <v>163</v>
      </c>
      <c r="M4124" s="2" t="n">
        <v>4</v>
      </c>
      <c r="N4124" s="2" t="n">
        <v>-1</v>
      </c>
      <c r="O4124" s="2" t="n">
        <v>0</v>
      </c>
      <c r="P4124" s="2" t="s">
        <v>23</v>
      </c>
      <c r="Q4124" s="2" t="s">
        <v>20</v>
      </c>
    </row>
    <row r="4125" customFormat="false" ht="15" hidden="false" customHeight="false" outlineLevel="0" collapsed="false">
      <c r="A4125" s="2" t="n">
        <v>47</v>
      </c>
      <c r="B4125" s="2" t="s">
        <v>34</v>
      </c>
      <c r="C4125" s="2" t="s">
        <v>45</v>
      </c>
      <c r="D4125" s="2" t="s">
        <v>19</v>
      </c>
      <c r="E4125" s="2" t="s">
        <v>20</v>
      </c>
      <c r="F4125" s="2" t="n">
        <v>126</v>
      </c>
      <c r="G4125" s="2" t="s">
        <v>26</v>
      </c>
      <c r="H4125" s="2" t="s">
        <v>20</v>
      </c>
      <c r="I4125" s="2" t="s">
        <v>23</v>
      </c>
      <c r="J4125" s="2" t="n">
        <v>3</v>
      </c>
      <c r="K4125" s="2" t="s">
        <v>33</v>
      </c>
      <c r="L4125" s="2" t="n">
        <v>2456</v>
      </c>
      <c r="M4125" s="2" t="n">
        <v>2</v>
      </c>
      <c r="N4125" s="2" t="n">
        <v>-1</v>
      </c>
      <c r="O4125" s="2" t="n">
        <v>0</v>
      </c>
      <c r="P4125" s="2" t="s">
        <v>23</v>
      </c>
      <c r="Q4125" s="2" t="s">
        <v>26</v>
      </c>
    </row>
    <row r="4126" customFormat="false" ht="15" hidden="false" customHeight="false" outlineLevel="0" collapsed="false">
      <c r="A4126" s="2" t="n">
        <v>50</v>
      </c>
      <c r="B4126" s="2" t="s">
        <v>36</v>
      </c>
      <c r="C4126" s="2" t="s">
        <v>45</v>
      </c>
      <c r="D4126" s="2" t="s">
        <v>31</v>
      </c>
      <c r="E4126" s="2" t="s">
        <v>20</v>
      </c>
      <c r="F4126" s="2" t="n">
        <v>13</v>
      </c>
      <c r="G4126" s="2" t="s">
        <v>26</v>
      </c>
      <c r="H4126" s="2" t="s">
        <v>20</v>
      </c>
      <c r="I4126" s="2" t="s">
        <v>21</v>
      </c>
      <c r="J4126" s="2" t="n">
        <v>20</v>
      </c>
      <c r="K4126" s="2" t="s">
        <v>32</v>
      </c>
      <c r="L4126" s="2" t="n">
        <v>76</v>
      </c>
      <c r="M4126" s="2" t="n">
        <v>1</v>
      </c>
      <c r="N4126" s="2" t="n">
        <v>-1</v>
      </c>
      <c r="O4126" s="2" t="n">
        <v>0</v>
      </c>
      <c r="P4126" s="2" t="s">
        <v>23</v>
      </c>
      <c r="Q4126" s="2" t="s">
        <v>26</v>
      </c>
    </row>
    <row r="4127" customFormat="false" ht="15" hidden="false" customHeight="false" outlineLevel="0" collapsed="false">
      <c r="A4127" s="2" t="n">
        <v>30</v>
      </c>
      <c r="B4127" s="2" t="s">
        <v>38</v>
      </c>
      <c r="C4127" s="2" t="s">
        <v>18</v>
      </c>
      <c r="D4127" s="2" t="s">
        <v>25</v>
      </c>
      <c r="E4127" s="2" t="s">
        <v>20</v>
      </c>
      <c r="F4127" s="2" t="n">
        <v>-393</v>
      </c>
      <c r="G4127" s="2" t="s">
        <v>26</v>
      </c>
      <c r="H4127" s="2" t="s">
        <v>26</v>
      </c>
      <c r="I4127" s="2" t="s">
        <v>21</v>
      </c>
      <c r="J4127" s="2" t="n">
        <v>16</v>
      </c>
      <c r="K4127" s="2" t="s">
        <v>44</v>
      </c>
      <c r="L4127" s="2" t="n">
        <v>435</v>
      </c>
      <c r="M4127" s="2" t="n">
        <v>1</v>
      </c>
      <c r="N4127" s="2" t="n">
        <v>-1</v>
      </c>
      <c r="O4127" s="2" t="n">
        <v>0</v>
      </c>
      <c r="P4127" s="2" t="s">
        <v>23</v>
      </c>
      <c r="Q4127" s="2" t="s">
        <v>26</v>
      </c>
    </row>
    <row r="4128" customFormat="false" ht="15" hidden="false" customHeight="false" outlineLevel="0" collapsed="false">
      <c r="A4128" s="2" t="n">
        <v>33</v>
      </c>
      <c r="B4128" s="2" t="s">
        <v>24</v>
      </c>
      <c r="C4128" s="2" t="s">
        <v>30</v>
      </c>
      <c r="D4128" s="2" t="s">
        <v>25</v>
      </c>
      <c r="E4128" s="2" t="s">
        <v>20</v>
      </c>
      <c r="F4128" s="2" t="n">
        <v>358</v>
      </c>
      <c r="G4128" s="2" t="s">
        <v>26</v>
      </c>
      <c r="H4128" s="2" t="s">
        <v>20</v>
      </c>
      <c r="I4128" s="2" t="s">
        <v>21</v>
      </c>
      <c r="J4128" s="2" t="n">
        <v>7</v>
      </c>
      <c r="K4128" s="2" t="s">
        <v>27</v>
      </c>
      <c r="L4128" s="2" t="n">
        <v>302</v>
      </c>
      <c r="M4128" s="2" t="n">
        <v>1</v>
      </c>
      <c r="N4128" s="2" t="n">
        <v>356</v>
      </c>
      <c r="O4128" s="2" t="n">
        <v>3</v>
      </c>
      <c r="P4128" s="2" t="s">
        <v>28</v>
      </c>
      <c r="Q4128" s="2" t="s">
        <v>20</v>
      </c>
    </row>
    <row r="4129" customFormat="false" ht="15" hidden="false" customHeight="false" outlineLevel="0" collapsed="false">
      <c r="A4129" s="2" t="n">
        <v>56</v>
      </c>
      <c r="B4129" s="2" t="s">
        <v>38</v>
      </c>
      <c r="C4129" s="2" t="s">
        <v>30</v>
      </c>
      <c r="D4129" s="2" t="s">
        <v>31</v>
      </c>
      <c r="E4129" s="2" t="s">
        <v>20</v>
      </c>
      <c r="F4129" s="2" t="n">
        <v>917</v>
      </c>
      <c r="G4129" s="2" t="s">
        <v>20</v>
      </c>
      <c r="H4129" s="2" t="s">
        <v>20</v>
      </c>
      <c r="I4129" s="2" t="s">
        <v>23</v>
      </c>
      <c r="J4129" s="2" t="n">
        <v>9</v>
      </c>
      <c r="K4129" s="2" t="s">
        <v>33</v>
      </c>
      <c r="L4129" s="2" t="n">
        <v>306</v>
      </c>
      <c r="M4129" s="2" t="n">
        <v>1</v>
      </c>
      <c r="N4129" s="2" t="n">
        <v>-1</v>
      </c>
      <c r="O4129" s="2" t="n">
        <v>0</v>
      </c>
      <c r="P4129" s="2" t="s">
        <v>23</v>
      </c>
      <c r="Q4129" s="2" t="s">
        <v>20</v>
      </c>
    </row>
    <row r="4130" customFormat="false" ht="15" hidden="false" customHeight="false" outlineLevel="0" collapsed="false">
      <c r="A4130" s="2" t="n">
        <v>34</v>
      </c>
      <c r="B4130" s="2" t="s">
        <v>40</v>
      </c>
      <c r="C4130" s="2" t="s">
        <v>45</v>
      </c>
      <c r="D4130" s="2" t="s">
        <v>25</v>
      </c>
      <c r="E4130" s="2" t="s">
        <v>20</v>
      </c>
      <c r="F4130" s="2" t="n">
        <v>1268</v>
      </c>
      <c r="G4130" s="2" t="s">
        <v>26</v>
      </c>
      <c r="H4130" s="2" t="s">
        <v>20</v>
      </c>
      <c r="I4130" s="2" t="s">
        <v>21</v>
      </c>
      <c r="J4130" s="2" t="n">
        <v>15</v>
      </c>
      <c r="K4130" s="2" t="s">
        <v>27</v>
      </c>
      <c r="L4130" s="2" t="n">
        <v>259</v>
      </c>
      <c r="M4130" s="2" t="n">
        <v>3</v>
      </c>
      <c r="N4130" s="2" t="n">
        <v>-1</v>
      </c>
      <c r="O4130" s="2" t="n">
        <v>0</v>
      </c>
      <c r="P4130" s="2" t="s">
        <v>23</v>
      </c>
      <c r="Q4130" s="2" t="s">
        <v>20</v>
      </c>
    </row>
    <row r="4131" customFormat="false" ht="15" hidden="false" customHeight="false" outlineLevel="0" collapsed="false">
      <c r="A4131" s="2" t="n">
        <v>33</v>
      </c>
      <c r="B4131" s="2" t="s">
        <v>38</v>
      </c>
      <c r="C4131" s="2" t="s">
        <v>18</v>
      </c>
      <c r="D4131" s="2" t="s">
        <v>25</v>
      </c>
      <c r="E4131" s="2" t="s">
        <v>20</v>
      </c>
      <c r="F4131" s="2" t="n">
        <v>-163</v>
      </c>
      <c r="G4131" s="2" t="s">
        <v>26</v>
      </c>
      <c r="H4131" s="2" t="s">
        <v>26</v>
      </c>
      <c r="I4131" s="2" t="s">
        <v>21</v>
      </c>
      <c r="J4131" s="2" t="n">
        <v>8</v>
      </c>
      <c r="K4131" s="2" t="s">
        <v>41</v>
      </c>
      <c r="L4131" s="2" t="n">
        <v>502</v>
      </c>
      <c r="M4131" s="2" t="n">
        <v>2</v>
      </c>
      <c r="N4131" s="2" t="n">
        <v>-1</v>
      </c>
      <c r="O4131" s="2" t="n">
        <v>0</v>
      </c>
      <c r="P4131" s="2" t="s">
        <v>23</v>
      </c>
      <c r="Q4131" s="2" t="s">
        <v>20</v>
      </c>
    </row>
    <row r="4132" customFormat="false" ht="15" hidden="false" customHeight="false" outlineLevel="0" collapsed="false">
      <c r="A4132" s="2" t="n">
        <v>32</v>
      </c>
      <c r="B4132" s="2" t="s">
        <v>29</v>
      </c>
      <c r="C4132" s="2" t="s">
        <v>30</v>
      </c>
      <c r="D4132" s="2" t="s">
        <v>31</v>
      </c>
      <c r="E4132" s="2" t="s">
        <v>20</v>
      </c>
      <c r="F4132" s="2" t="n">
        <v>473</v>
      </c>
      <c r="G4132" s="2" t="s">
        <v>26</v>
      </c>
      <c r="H4132" s="2" t="s">
        <v>20</v>
      </c>
      <c r="I4132" s="2" t="s">
        <v>21</v>
      </c>
      <c r="J4132" s="2" t="n">
        <v>11</v>
      </c>
      <c r="K4132" s="2" t="s">
        <v>27</v>
      </c>
      <c r="L4132" s="2" t="n">
        <v>72</v>
      </c>
      <c r="M4132" s="2" t="n">
        <v>2</v>
      </c>
      <c r="N4132" s="2" t="n">
        <v>361</v>
      </c>
      <c r="O4132" s="2" t="n">
        <v>1</v>
      </c>
      <c r="P4132" s="2" t="s">
        <v>37</v>
      </c>
      <c r="Q4132" s="2" t="s">
        <v>20</v>
      </c>
    </row>
    <row r="4133" customFormat="false" ht="15" hidden="false" customHeight="false" outlineLevel="0" collapsed="false">
      <c r="A4133" s="2" t="n">
        <v>34</v>
      </c>
      <c r="B4133" s="2" t="s">
        <v>29</v>
      </c>
      <c r="C4133" s="2" t="s">
        <v>18</v>
      </c>
      <c r="D4133" s="2" t="s">
        <v>31</v>
      </c>
      <c r="E4133" s="2" t="s">
        <v>20</v>
      </c>
      <c r="F4133" s="2" t="n">
        <v>4831</v>
      </c>
      <c r="G4133" s="2" t="s">
        <v>26</v>
      </c>
      <c r="H4133" s="2" t="s">
        <v>20</v>
      </c>
      <c r="I4133" s="2" t="s">
        <v>21</v>
      </c>
      <c r="J4133" s="2" t="n">
        <v>4</v>
      </c>
      <c r="K4133" s="2" t="s">
        <v>35</v>
      </c>
      <c r="L4133" s="2" t="n">
        <v>265</v>
      </c>
      <c r="M4133" s="2" t="n">
        <v>1</v>
      </c>
      <c r="N4133" s="2" t="n">
        <v>-1</v>
      </c>
      <c r="O4133" s="2" t="n">
        <v>0</v>
      </c>
      <c r="P4133" s="2" t="s">
        <v>23</v>
      </c>
      <c r="Q4133" s="2" t="s">
        <v>20</v>
      </c>
    </row>
    <row r="4134" customFormat="false" ht="15" hidden="false" customHeight="false" outlineLevel="0" collapsed="false">
      <c r="A4134" s="2" t="n">
        <v>37</v>
      </c>
      <c r="B4134" s="2" t="s">
        <v>38</v>
      </c>
      <c r="C4134" s="2" t="s">
        <v>18</v>
      </c>
      <c r="D4134" s="2" t="s">
        <v>25</v>
      </c>
      <c r="E4134" s="2" t="s">
        <v>20</v>
      </c>
      <c r="F4134" s="2" t="n">
        <v>1063</v>
      </c>
      <c r="G4134" s="2" t="s">
        <v>26</v>
      </c>
      <c r="H4134" s="2" t="s">
        <v>20</v>
      </c>
      <c r="I4134" s="2" t="s">
        <v>21</v>
      </c>
      <c r="J4134" s="2" t="n">
        <v>31</v>
      </c>
      <c r="K4134" s="2" t="s">
        <v>44</v>
      </c>
      <c r="L4134" s="2" t="n">
        <v>413</v>
      </c>
      <c r="M4134" s="2" t="n">
        <v>2</v>
      </c>
      <c r="N4134" s="2" t="n">
        <v>-1</v>
      </c>
      <c r="O4134" s="2" t="n">
        <v>0</v>
      </c>
      <c r="P4134" s="2" t="s">
        <v>23</v>
      </c>
      <c r="Q4134" s="2" t="s">
        <v>20</v>
      </c>
    </row>
    <row r="4135" customFormat="false" ht="15" hidden="false" customHeight="false" outlineLevel="0" collapsed="false">
      <c r="A4135" s="2" t="n">
        <v>30</v>
      </c>
      <c r="B4135" s="2" t="s">
        <v>29</v>
      </c>
      <c r="C4135" s="2" t="s">
        <v>18</v>
      </c>
      <c r="D4135" s="2" t="s">
        <v>25</v>
      </c>
      <c r="E4135" s="2" t="s">
        <v>20</v>
      </c>
      <c r="F4135" s="2" t="n">
        <v>0</v>
      </c>
      <c r="G4135" s="2" t="s">
        <v>26</v>
      </c>
      <c r="H4135" s="2" t="s">
        <v>20</v>
      </c>
      <c r="I4135" s="2" t="s">
        <v>21</v>
      </c>
      <c r="J4135" s="2" t="n">
        <v>12</v>
      </c>
      <c r="K4135" s="2" t="s">
        <v>27</v>
      </c>
      <c r="L4135" s="2" t="n">
        <v>756</v>
      </c>
      <c r="M4135" s="2" t="n">
        <v>3</v>
      </c>
      <c r="N4135" s="2" t="n">
        <v>-1</v>
      </c>
      <c r="O4135" s="2" t="n">
        <v>0</v>
      </c>
      <c r="P4135" s="2" t="s">
        <v>23</v>
      </c>
      <c r="Q4135" s="2" t="s">
        <v>20</v>
      </c>
    </row>
    <row r="4136" customFormat="false" ht="15" hidden="false" customHeight="false" outlineLevel="0" collapsed="false">
      <c r="A4136" s="2" t="n">
        <v>29</v>
      </c>
      <c r="B4136" s="2" t="s">
        <v>34</v>
      </c>
      <c r="C4136" s="2" t="s">
        <v>18</v>
      </c>
      <c r="D4136" s="2" t="s">
        <v>25</v>
      </c>
      <c r="E4136" s="2" t="s">
        <v>20</v>
      </c>
      <c r="F4136" s="2" t="n">
        <v>424</v>
      </c>
      <c r="G4136" s="2" t="s">
        <v>26</v>
      </c>
      <c r="H4136" s="2" t="s">
        <v>26</v>
      </c>
      <c r="I4136" s="2" t="s">
        <v>23</v>
      </c>
      <c r="J4136" s="2" t="n">
        <v>14</v>
      </c>
      <c r="K4136" s="2" t="s">
        <v>27</v>
      </c>
      <c r="L4136" s="2" t="n">
        <v>241</v>
      </c>
      <c r="M4136" s="2" t="n">
        <v>2</v>
      </c>
      <c r="N4136" s="2" t="n">
        <v>-1</v>
      </c>
      <c r="O4136" s="2" t="n">
        <v>0</v>
      </c>
      <c r="P4136" s="2" t="s">
        <v>23</v>
      </c>
      <c r="Q4136" s="2" t="s">
        <v>20</v>
      </c>
    </row>
    <row r="4137" customFormat="false" ht="15" hidden="false" customHeight="false" outlineLevel="0" collapsed="false">
      <c r="A4137" s="2" t="n">
        <v>56</v>
      </c>
      <c r="B4137" s="2" t="s">
        <v>17</v>
      </c>
      <c r="C4137" s="2" t="s">
        <v>45</v>
      </c>
      <c r="D4137" s="2" t="s">
        <v>19</v>
      </c>
      <c r="E4137" s="2" t="s">
        <v>20</v>
      </c>
      <c r="F4137" s="2" t="n">
        <v>802</v>
      </c>
      <c r="G4137" s="2" t="s">
        <v>20</v>
      </c>
      <c r="H4137" s="2" t="s">
        <v>20</v>
      </c>
      <c r="I4137" s="2" t="s">
        <v>49</v>
      </c>
      <c r="J4137" s="2" t="n">
        <v>3</v>
      </c>
      <c r="K4137" s="2" t="s">
        <v>35</v>
      </c>
      <c r="L4137" s="2" t="n">
        <v>258</v>
      </c>
      <c r="M4137" s="2" t="n">
        <v>2</v>
      </c>
      <c r="N4137" s="2" t="n">
        <v>-1</v>
      </c>
      <c r="O4137" s="2" t="n">
        <v>0</v>
      </c>
      <c r="P4137" s="2" t="s">
        <v>23</v>
      </c>
      <c r="Q4137" s="2" t="s">
        <v>20</v>
      </c>
    </row>
    <row r="4138" customFormat="false" ht="15" hidden="false" customHeight="false" outlineLevel="0" collapsed="false">
      <c r="A4138" s="2" t="n">
        <v>31</v>
      </c>
      <c r="B4138" s="2" t="s">
        <v>29</v>
      </c>
      <c r="C4138" s="2" t="s">
        <v>18</v>
      </c>
      <c r="D4138" s="2" t="s">
        <v>31</v>
      </c>
      <c r="E4138" s="2" t="s">
        <v>20</v>
      </c>
      <c r="F4138" s="2" t="n">
        <v>430</v>
      </c>
      <c r="G4138" s="2" t="s">
        <v>26</v>
      </c>
      <c r="H4138" s="2" t="s">
        <v>20</v>
      </c>
      <c r="I4138" s="2" t="s">
        <v>21</v>
      </c>
      <c r="J4138" s="2" t="n">
        <v>25</v>
      </c>
      <c r="K4138" s="2" t="s">
        <v>44</v>
      </c>
      <c r="L4138" s="2" t="n">
        <v>137</v>
      </c>
      <c r="M4138" s="2" t="n">
        <v>16</v>
      </c>
      <c r="N4138" s="2" t="n">
        <v>-1</v>
      </c>
      <c r="O4138" s="2" t="n">
        <v>0</v>
      </c>
      <c r="P4138" s="2" t="s">
        <v>23</v>
      </c>
      <c r="Q4138" s="2" t="s">
        <v>20</v>
      </c>
    </row>
    <row r="4139" customFormat="false" ht="15" hidden="false" customHeight="false" outlineLevel="0" collapsed="false">
      <c r="A4139" s="2" t="n">
        <v>59</v>
      </c>
      <c r="B4139" s="2" t="s">
        <v>23</v>
      </c>
      <c r="C4139" s="2" t="s">
        <v>18</v>
      </c>
      <c r="D4139" s="2" t="s">
        <v>23</v>
      </c>
      <c r="E4139" s="2" t="s">
        <v>20</v>
      </c>
      <c r="F4139" s="2" t="n">
        <v>3940</v>
      </c>
      <c r="G4139" s="2" t="s">
        <v>20</v>
      </c>
      <c r="H4139" s="2" t="s">
        <v>20</v>
      </c>
      <c r="I4139" s="2" t="s">
        <v>23</v>
      </c>
      <c r="J4139" s="2" t="n">
        <v>5</v>
      </c>
      <c r="K4139" s="2" t="s">
        <v>33</v>
      </c>
      <c r="L4139" s="2" t="n">
        <v>48</v>
      </c>
      <c r="M4139" s="2" t="n">
        <v>2</v>
      </c>
      <c r="N4139" s="2" t="n">
        <v>-1</v>
      </c>
      <c r="O4139" s="2" t="n">
        <v>0</v>
      </c>
      <c r="P4139" s="2" t="s">
        <v>23</v>
      </c>
      <c r="Q4139" s="2" t="s">
        <v>20</v>
      </c>
    </row>
    <row r="4140" customFormat="false" ht="15" hidden="false" customHeight="false" outlineLevel="0" collapsed="false">
      <c r="A4140" s="2" t="n">
        <v>36</v>
      </c>
      <c r="B4140" s="2" t="s">
        <v>47</v>
      </c>
      <c r="C4140" s="2" t="s">
        <v>18</v>
      </c>
      <c r="D4140" s="2" t="s">
        <v>25</v>
      </c>
      <c r="E4140" s="2" t="s">
        <v>20</v>
      </c>
      <c r="F4140" s="2" t="n">
        <v>2880</v>
      </c>
      <c r="G4140" s="2" t="s">
        <v>20</v>
      </c>
      <c r="H4140" s="2" t="s">
        <v>20</v>
      </c>
      <c r="I4140" s="2" t="s">
        <v>23</v>
      </c>
      <c r="J4140" s="2" t="n">
        <v>12</v>
      </c>
      <c r="K4140" s="2" t="s">
        <v>33</v>
      </c>
      <c r="L4140" s="2" t="n">
        <v>283</v>
      </c>
      <c r="M4140" s="2" t="n">
        <v>1</v>
      </c>
      <c r="N4140" s="2" t="n">
        <v>-1</v>
      </c>
      <c r="O4140" s="2" t="n">
        <v>0</v>
      </c>
      <c r="P4140" s="2" t="s">
        <v>23</v>
      </c>
      <c r="Q4140" s="2" t="s">
        <v>20</v>
      </c>
    </row>
    <row r="4141" customFormat="false" ht="15" hidden="false" customHeight="false" outlineLevel="0" collapsed="false">
      <c r="A4141" s="2" t="n">
        <v>51</v>
      </c>
      <c r="B4141" s="2" t="s">
        <v>34</v>
      </c>
      <c r="C4141" s="2" t="s">
        <v>45</v>
      </c>
      <c r="D4141" s="2" t="s">
        <v>25</v>
      </c>
      <c r="E4141" s="2" t="s">
        <v>20</v>
      </c>
      <c r="F4141" s="2" t="n">
        <v>1069</v>
      </c>
      <c r="G4141" s="2" t="s">
        <v>26</v>
      </c>
      <c r="H4141" s="2" t="s">
        <v>20</v>
      </c>
      <c r="I4141" s="2" t="s">
        <v>23</v>
      </c>
      <c r="J4141" s="2" t="n">
        <v>30</v>
      </c>
      <c r="K4141" s="2" t="s">
        <v>27</v>
      </c>
      <c r="L4141" s="2" t="n">
        <v>247</v>
      </c>
      <c r="M4141" s="2" t="n">
        <v>2</v>
      </c>
      <c r="N4141" s="2" t="n">
        <v>-1</v>
      </c>
      <c r="O4141" s="2" t="n">
        <v>0</v>
      </c>
      <c r="P4141" s="2" t="s">
        <v>23</v>
      </c>
      <c r="Q4141" s="2" t="s">
        <v>20</v>
      </c>
    </row>
    <row r="4142" customFormat="false" ht="15" hidden="false" customHeight="false" outlineLevel="0" collapsed="false">
      <c r="A4142" s="2" t="n">
        <v>54</v>
      </c>
      <c r="B4142" s="2" t="s">
        <v>36</v>
      </c>
      <c r="C4142" s="2" t="s">
        <v>45</v>
      </c>
      <c r="D4142" s="2" t="s">
        <v>19</v>
      </c>
      <c r="E4142" s="2" t="s">
        <v>20</v>
      </c>
      <c r="F4142" s="2" t="n">
        <v>4382</v>
      </c>
      <c r="G4142" s="2" t="s">
        <v>26</v>
      </c>
      <c r="H4142" s="2" t="s">
        <v>20</v>
      </c>
      <c r="I4142" s="2" t="s">
        <v>49</v>
      </c>
      <c r="J4142" s="2" t="n">
        <v>18</v>
      </c>
      <c r="K4142" s="2" t="s">
        <v>27</v>
      </c>
      <c r="L4142" s="2" t="n">
        <v>193</v>
      </c>
      <c r="M4142" s="2" t="n">
        <v>4</v>
      </c>
      <c r="N4142" s="2" t="n">
        <v>-1</v>
      </c>
      <c r="O4142" s="2" t="n">
        <v>0</v>
      </c>
      <c r="P4142" s="2" t="s">
        <v>23</v>
      </c>
      <c r="Q4142" s="2" t="s">
        <v>20</v>
      </c>
    </row>
    <row r="4143" customFormat="false" ht="15" hidden="false" customHeight="false" outlineLevel="0" collapsed="false">
      <c r="A4143" s="2" t="n">
        <v>37</v>
      </c>
      <c r="B4143" s="2" t="s">
        <v>29</v>
      </c>
      <c r="C4143" s="2" t="s">
        <v>18</v>
      </c>
      <c r="D4143" s="2" t="s">
        <v>31</v>
      </c>
      <c r="E4143" s="2" t="s">
        <v>20</v>
      </c>
      <c r="F4143" s="2" t="n">
        <v>0</v>
      </c>
      <c r="G4143" s="2" t="s">
        <v>20</v>
      </c>
      <c r="H4143" s="2" t="s">
        <v>20</v>
      </c>
      <c r="I4143" s="2" t="s">
        <v>21</v>
      </c>
      <c r="J4143" s="2" t="n">
        <v>11</v>
      </c>
      <c r="K4143" s="2" t="s">
        <v>52</v>
      </c>
      <c r="L4143" s="2" t="n">
        <v>129</v>
      </c>
      <c r="M4143" s="2" t="n">
        <v>4</v>
      </c>
      <c r="N4143" s="2" t="n">
        <v>107</v>
      </c>
      <c r="O4143" s="2" t="n">
        <v>2</v>
      </c>
      <c r="P4143" s="2" t="s">
        <v>28</v>
      </c>
      <c r="Q4143" s="2" t="s">
        <v>20</v>
      </c>
    </row>
    <row r="4144" customFormat="false" ht="15" hidden="false" customHeight="false" outlineLevel="0" collapsed="false">
      <c r="A4144" s="2" t="n">
        <v>32</v>
      </c>
      <c r="B4144" s="2" t="s">
        <v>38</v>
      </c>
      <c r="C4144" s="2" t="s">
        <v>18</v>
      </c>
      <c r="D4144" s="2" t="s">
        <v>31</v>
      </c>
      <c r="E4144" s="2" t="s">
        <v>20</v>
      </c>
      <c r="F4144" s="2" t="n">
        <v>3939</v>
      </c>
      <c r="G4144" s="2" t="s">
        <v>20</v>
      </c>
      <c r="H4144" s="2" t="s">
        <v>20</v>
      </c>
      <c r="I4144" s="2" t="s">
        <v>21</v>
      </c>
      <c r="J4144" s="2" t="n">
        <v>8</v>
      </c>
      <c r="K4144" s="2" t="s">
        <v>41</v>
      </c>
      <c r="L4144" s="2" t="n">
        <v>209</v>
      </c>
      <c r="M4144" s="2" t="n">
        <v>2</v>
      </c>
      <c r="N4144" s="2" t="n">
        <v>-1</v>
      </c>
      <c r="O4144" s="2" t="n">
        <v>0</v>
      </c>
      <c r="P4144" s="2" t="s">
        <v>23</v>
      </c>
      <c r="Q4144" s="2" t="s">
        <v>20</v>
      </c>
    </row>
    <row r="4145" customFormat="false" ht="15" hidden="false" customHeight="false" outlineLevel="0" collapsed="false">
      <c r="A4145" s="2" t="n">
        <v>42</v>
      </c>
      <c r="B4145" s="2" t="s">
        <v>36</v>
      </c>
      <c r="C4145" s="2" t="s">
        <v>18</v>
      </c>
      <c r="D4145" s="2" t="s">
        <v>31</v>
      </c>
      <c r="E4145" s="2" t="s">
        <v>20</v>
      </c>
      <c r="F4145" s="2" t="n">
        <v>753</v>
      </c>
      <c r="G4145" s="2" t="s">
        <v>20</v>
      </c>
      <c r="H4145" s="2" t="s">
        <v>20</v>
      </c>
      <c r="I4145" s="2" t="s">
        <v>23</v>
      </c>
      <c r="J4145" s="2" t="n">
        <v>17</v>
      </c>
      <c r="K4145" s="2" t="s">
        <v>33</v>
      </c>
      <c r="L4145" s="2" t="n">
        <v>31</v>
      </c>
      <c r="M4145" s="2" t="n">
        <v>1</v>
      </c>
      <c r="N4145" s="2" t="n">
        <v>-1</v>
      </c>
      <c r="O4145" s="2" t="n">
        <v>0</v>
      </c>
      <c r="P4145" s="2" t="s">
        <v>23</v>
      </c>
      <c r="Q4145" s="2" t="s">
        <v>20</v>
      </c>
    </row>
    <row r="4146" customFormat="false" ht="15" hidden="false" customHeight="false" outlineLevel="0" collapsed="false">
      <c r="A4146" s="2" t="n">
        <v>29</v>
      </c>
      <c r="B4146" s="2" t="s">
        <v>34</v>
      </c>
      <c r="C4146" s="2" t="s">
        <v>18</v>
      </c>
      <c r="D4146" s="2" t="s">
        <v>25</v>
      </c>
      <c r="E4146" s="2" t="s">
        <v>20</v>
      </c>
      <c r="F4146" s="2" t="n">
        <v>358</v>
      </c>
      <c r="G4146" s="2" t="s">
        <v>20</v>
      </c>
      <c r="H4146" s="2" t="s">
        <v>20</v>
      </c>
      <c r="I4146" s="2" t="s">
        <v>21</v>
      </c>
      <c r="J4146" s="2" t="n">
        <v>21</v>
      </c>
      <c r="K4146" s="2" t="s">
        <v>44</v>
      </c>
      <c r="L4146" s="2" t="n">
        <v>88</v>
      </c>
      <c r="M4146" s="2" t="n">
        <v>5</v>
      </c>
      <c r="N4146" s="2" t="n">
        <v>-1</v>
      </c>
      <c r="O4146" s="2" t="n">
        <v>0</v>
      </c>
      <c r="P4146" s="2" t="s">
        <v>23</v>
      </c>
      <c r="Q4146" s="2" t="s">
        <v>20</v>
      </c>
    </row>
    <row r="4147" customFormat="false" ht="15" hidden="false" customHeight="false" outlineLevel="0" collapsed="false">
      <c r="A4147" s="2" t="n">
        <v>52</v>
      </c>
      <c r="B4147" s="2" t="s">
        <v>34</v>
      </c>
      <c r="C4147" s="2" t="s">
        <v>18</v>
      </c>
      <c r="D4147" s="2" t="s">
        <v>19</v>
      </c>
      <c r="E4147" s="2" t="s">
        <v>20</v>
      </c>
      <c r="F4147" s="2" t="n">
        <v>1141</v>
      </c>
      <c r="G4147" s="2" t="s">
        <v>26</v>
      </c>
      <c r="H4147" s="2" t="s">
        <v>20</v>
      </c>
      <c r="I4147" s="2" t="s">
        <v>21</v>
      </c>
      <c r="J4147" s="2" t="n">
        <v>12</v>
      </c>
      <c r="K4147" s="2" t="s">
        <v>27</v>
      </c>
      <c r="L4147" s="2" t="n">
        <v>22</v>
      </c>
      <c r="M4147" s="2" t="n">
        <v>5</v>
      </c>
      <c r="N4147" s="2" t="n">
        <v>-1</v>
      </c>
      <c r="O4147" s="2" t="n">
        <v>0</v>
      </c>
      <c r="P4147" s="2" t="s">
        <v>23</v>
      </c>
      <c r="Q4147" s="2" t="s">
        <v>20</v>
      </c>
    </row>
    <row r="4148" customFormat="false" ht="15" hidden="false" customHeight="false" outlineLevel="0" collapsed="false">
      <c r="A4148" s="2" t="n">
        <v>40</v>
      </c>
      <c r="B4148" s="2" t="s">
        <v>38</v>
      </c>
      <c r="C4148" s="2" t="s">
        <v>18</v>
      </c>
      <c r="D4148" s="2" t="s">
        <v>25</v>
      </c>
      <c r="E4148" s="2" t="s">
        <v>20</v>
      </c>
      <c r="F4148" s="2" t="n">
        <v>1259</v>
      </c>
      <c r="G4148" s="2" t="s">
        <v>20</v>
      </c>
      <c r="H4148" s="2" t="s">
        <v>20</v>
      </c>
      <c r="I4148" s="2" t="s">
        <v>23</v>
      </c>
      <c r="J4148" s="2" t="n">
        <v>20</v>
      </c>
      <c r="K4148" s="2" t="s">
        <v>27</v>
      </c>
      <c r="L4148" s="2" t="n">
        <v>234</v>
      </c>
      <c r="M4148" s="2" t="n">
        <v>5</v>
      </c>
      <c r="N4148" s="2" t="n">
        <v>-1</v>
      </c>
      <c r="O4148" s="2" t="n">
        <v>0</v>
      </c>
      <c r="P4148" s="2" t="s">
        <v>23</v>
      </c>
      <c r="Q4148" s="2" t="s">
        <v>20</v>
      </c>
    </row>
    <row r="4149" customFormat="false" ht="15" hidden="false" customHeight="false" outlineLevel="0" collapsed="false">
      <c r="A4149" s="2" t="n">
        <v>30</v>
      </c>
      <c r="B4149" s="2" t="s">
        <v>24</v>
      </c>
      <c r="C4149" s="2" t="s">
        <v>18</v>
      </c>
      <c r="D4149" s="2" t="s">
        <v>25</v>
      </c>
      <c r="E4149" s="2" t="s">
        <v>20</v>
      </c>
      <c r="F4149" s="2" t="n">
        <v>227</v>
      </c>
      <c r="G4149" s="2" t="s">
        <v>20</v>
      </c>
      <c r="H4149" s="2" t="s">
        <v>26</v>
      </c>
      <c r="I4149" s="2" t="s">
        <v>23</v>
      </c>
      <c r="J4149" s="2" t="n">
        <v>3</v>
      </c>
      <c r="K4149" s="2" t="s">
        <v>33</v>
      </c>
      <c r="L4149" s="2" t="n">
        <v>23</v>
      </c>
      <c r="M4149" s="2" t="n">
        <v>1</v>
      </c>
      <c r="N4149" s="2" t="n">
        <v>-1</v>
      </c>
      <c r="O4149" s="2" t="n">
        <v>0</v>
      </c>
      <c r="P4149" s="2" t="s">
        <v>23</v>
      </c>
      <c r="Q4149" s="2" t="s">
        <v>20</v>
      </c>
    </row>
    <row r="4150" customFormat="false" ht="15" hidden="false" customHeight="false" outlineLevel="0" collapsed="false">
      <c r="A4150" s="2" t="n">
        <v>55</v>
      </c>
      <c r="B4150" s="2" t="s">
        <v>39</v>
      </c>
      <c r="C4150" s="2" t="s">
        <v>45</v>
      </c>
      <c r="D4150" s="2" t="s">
        <v>25</v>
      </c>
      <c r="E4150" s="2" t="s">
        <v>20</v>
      </c>
      <c r="F4150" s="2" t="n">
        <v>538</v>
      </c>
      <c r="G4150" s="2" t="s">
        <v>26</v>
      </c>
      <c r="H4150" s="2" t="s">
        <v>20</v>
      </c>
      <c r="I4150" s="2" t="s">
        <v>21</v>
      </c>
      <c r="J4150" s="2" t="n">
        <v>7</v>
      </c>
      <c r="K4150" s="2" t="s">
        <v>41</v>
      </c>
      <c r="L4150" s="2" t="n">
        <v>353</v>
      </c>
      <c r="M4150" s="2" t="n">
        <v>2</v>
      </c>
      <c r="N4150" s="2" t="n">
        <v>-1</v>
      </c>
      <c r="O4150" s="2" t="n">
        <v>0</v>
      </c>
      <c r="P4150" s="2" t="s">
        <v>23</v>
      </c>
      <c r="Q4150" s="2" t="s">
        <v>26</v>
      </c>
    </row>
    <row r="4151" customFormat="false" ht="15" hidden="false" customHeight="false" outlineLevel="0" collapsed="false">
      <c r="A4151" s="2" t="n">
        <v>49</v>
      </c>
      <c r="B4151" s="2" t="s">
        <v>29</v>
      </c>
      <c r="C4151" s="2" t="s">
        <v>18</v>
      </c>
      <c r="D4151" s="2" t="s">
        <v>31</v>
      </c>
      <c r="E4151" s="2" t="s">
        <v>20</v>
      </c>
      <c r="F4151" s="2" t="n">
        <v>92</v>
      </c>
      <c r="G4151" s="2" t="s">
        <v>26</v>
      </c>
      <c r="H4151" s="2" t="s">
        <v>20</v>
      </c>
      <c r="I4151" s="2" t="s">
        <v>23</v>
      </c>
      <c r="J4151" s="2" t="n">
        <v>6</v>
      </c>
      <c r="K4151" s="2" t="s">
        <v>27</v>
      </c>
      <c r="L4151" s="2" t="n">
        <v>221</v>
      </c>
      <c r="M4151" s="2" t="n">
        <v>2</v>
      </c>
      <c r="N4151" s="2" t="n">
        <v>-1</v>
      </c>
      <c r="O4151" s="2" t="n">
        <v>0</v>
      </c>
      <c r="P4151" s="2" t="s">
        <v>23</v>
      </c>
      <c r="Q4151" s="2" t="s">
        <v>20</v>
      </c>
    </row>
    <row r="4152" customFormat="false" ht="15" hidden="false" customHeight="false" outlineLevel="0" collapsed="false">
      <c r="A4152" s="2" t="n">
        <v>33</v>
      </c>
      <c r="B4152" s="2" t="s">
        <v>38</v>
      </c>
      <c r="C4152" s="2" t="s">
        <v>18</v>
      </c>
      <c r="D4152" s="2" t="s">
        <v>31</v>
      </c>
      <c r="E4152" s="2" t="s">
        <v>20</v>
      </c>
      <c r="F4152" s="2" t="n">
        <v>8023</v>
      </c>
      <c r="G4152" s="2" t="s">
        <v>20</v>
      </c>
      <c r="H4152" s="2" t="s">
        <v>20</v>
      </c>
      <c r="I4152" s="2" t="s">
        <v>21</v>
      </c>
      <c r="J4152" s="2" t="n">
        <v>25</v>
      </c>
      <c r="K4152" s="2" t="s">
        <v>35</v>
      </c>
      <c r="L4152" s="2" t="n">
        <v>196</v>
      </c>
      <c r="M4152" s="2" t="n">
        <v>1</v>
      </c>
      <c r="N4152" s="2" t="n">
        <v>87</v>
      </c>
      <c r="O4152" s="2" t="n">
        <v>4</v>
      </c>
      <c r="P4152" s="2" t="s">
        <v>28</v>
      </c>
      <c r="Q4152" s="2" t="s">
        <v>20</v>
      </c>
    </row>
    <row r="4153" customFormat="false" ht="15" hidden="false" customHeight="false" outlineLevel="0" collapsed="false">
      <c r="A4153" s="2" t="n">
        <v>32</v>
      </c>
      <c r="B4153" s="2" t="s">
        <v>24</v>
      </c>
      <c r="C4153" s="2" t="s">
        <v>30</v>
      </c>
      <c r="D4153" s="2" t="s">
        <v>25</v>
      </c>
      <c r="E4153" s="2" t="s">
        <v>20</v>
      </c>
      <c r="F4153" s="2" t="n">
        <v>2478</v>
      </c>
      <c r="G4153" s="2" t="s">
        <v>20</v>
      </c>
      <c r="H4153" s="2" t="s">
        <v>26</v>
      </c>
      <c r="I4153" s="2" t="s">
        <v>21</v>
      </c>
      <c r="J4153" s="2" t="n">
        <v>20</v>
      </c>
      <c r="K4153" s="2" t="s">
        <v>46</v>
      </c>
      <c r="L4153" s="2" t="n">
        <v>395</v>
      </c>
      <c r="M4153" s="2" t="n">
        <v>1</v>
      </c>
      <c r="N4153" s="2" t="n">
        <v>-1</v>
      </c>
      <c r="O4153" s="2" t="n">
        <v>0</v>
      </c>
      <c r="P4153" s="2" t="s">
        <v>23</v>
      </c>
      <c r="Q4153" s="2" t="s">
        <v>20</v>
      </c>
    </row>
    <row r="4154" customFormat="false" ht="15" hidden="false" customHeight="false" outlineLevel="0" collapsed="false">
      <c r="A4154" s="2" t="n">
        <v>21</v>
      </c>
      <c r="B4154" s="2" t="s">
        <v>42</v>
      </c>
      <c r="C4154" s="2" t="s">
        <v>30</v>
      </c>
      <c r="D4154" s="2" t="s">
        <v>25</v>
      </c>
      <c r="E4154" s="2" t="s">
        <v>20</v>
      </c>
      <c r="F4154" s="2" t="n">
        <v>6844</v>
      </c>
      <c r="G4154" s="2" t="s">
        <v>20</v>
      </c>
      <c r="H4154" s="2" t="s">
        <v>20</v>
      </c>
      <c r="I4154" s="2" t="s">
        <v>21</v>
      </c>
      <c r="J4154" s="2" t="n">
        <v>14</v>
      </c>
      <c r="K4154" s="2" t="s">
        <v>41</v>
      </c>
      <c r="L4154" s="2" t="n">
        <v>126</v>
      </c>
      <c r="M4154" s="2" t="n">
        <v>3</v>
      </c>
      <c r="N4154" s="2" t="n">
        <v>127</v>
      </c>
      <c r="O4154" s="2" t="n">
        <v>7</v>
      </c>
      <c r="P4154" s="2" t="s">
        <v>37</v>
      </c>
      <c r="Q4154" s="2" t="s">
        <v>20</v>
      </c>
    </row>
    <row r="4155" customFormat="false" ht="15" hidden="false" customHeight="false" outlineLevel="0" collapsed="false">
      <c r="A4155" s="2" t="n">
        <v>42</v>
      </c>
      <c r="B4155" s="2" t="s">
        <v>38</v>
      </c>
      <c r="C4155" s="2" t="s">
        <v>18</v>
      </c>
      <c r="D4155" s="2" t="s">
        <v>25</v>
      </c>
      <c r="E4155" s="2" t="s">
        <v>20</v>
      </c>
      <c r="F4155" s="2" t="n">
        <v>440</v>
      </c>
      <c r="G4155" s="2" t="s">
        <v>26</v>
      </c>
      <c r="H4155" s="2" t="s">
        <v>20</v>
      </c>
      <c r="I4155" s="2" t="s">
        <v>21</v>
      </c>
      <c r="J4155" s="2" t="n">
        <v>3</v>
      </c>
      <c r="K4155" s="2" t="s">
        <v>35</v>
      </c>
      <c r="L4155" s="2" t="n">
        <v>13</v>
      </c>
      <c r="M4155" s="2" t="n">
        <v>5</v>
      </c>
      <c r="N4155" s="2" t="n">
        <v>-1</v>
      </c>
      <c r="O4155" s="2" t="n">
        <v>0</v>
      </c>
      <c r="P4155" s="2" t="s">
        <v>23</v>
      </c>
      <c r="Q4155" s="2" t="s">
        <v>20</v>
      </c>
    </row>
    <row r="4156" customFormat="false" ht="15" hidden="false" customHeight="false" outlineLevel="0" collapsed="false">
      <c r="A4156" s="2" t="n">
        <v>56</v>
      </c>
      <c r="B4156" s="2" t="s">
        <v>36</v>
      </c>
      <c r="C4156" s="2" t="s">
        <v>18</v>
      </c>
      <c r="D4156" s="2" t="s">
        <v>25</v>
      </c>
      <c r="E4156" s="2" t="s">
        <v>20</v>
      </c>
      <c r="F4156" s="2" t="n">
        <v>800</v>
      </c>
      <c r="G4156" s="2" t="s">
        <v>20</v>
      </c>
      <c r="H4156" s="2" t="s">
        <v>26</v>
      </c>
      <c r="I4156" s="2" t="s">
        <v>21</v>
      </c>
      <c r="J4156" s="2" t="n">
        <v>9</v>
      </c>
      <c r="K4156" s="2" t="s">
        <v>44</v>
      </c>
      <c r="L4156" s="2" t="n">
        <v>170</v>
      </c>
      <c r="M4156" s="2" t="n">
        <v>1</v>
      </c>
      <c r="N4156" s="2" t="n">
        <v>-1</v>
      </c>
      <c r="O4156" s="2" t="n">
        <v>0</v>
      </c>
      <c r="P4156" s="2" t="s">
        <v>23</v>
      </c>
      <c r="Q4156" s="2" t="s">
        <v>20</v>
      </c>
    </row>
    <row r="4157" customFormat="false" ht="15" hidden="false" customHeight="false" outlineLevel="0" collapsed="false">
      <c r="A4157" s="2" t="n">
        <v>39</v>
      </c>
      <c r="B4157" s="2" t="s">
        <v>23</v>
      </c>
      <c r="C4157" s="2" t="s">
        <v>30</v>
      </c>
      <c r="D4157" s="2" t="s">
        <v>25</v>
      </c>
      <c r="E4157" s="2" t="s">
        <v>20</v>
      </c>
      <c r="F4157" s="2" t="n">
        <v>914</v>
      </c>
      <c r="G4157" s="2" t="s">
        <v>20</v>
      </c>
      <c r="H4157" s="2" t="s">
        <v>20</v>
      </c>
      <c r="I4157" s="2" t="s">
        <v>23</v>
      </c>
      <c r="J4157" s="2" t="n">
        <v>5</v>
      </c>
      <c r="K4157" s="2" t="s">
        <v>33</v>
      </c>
      <c r="L4157" s="2" t="n">
        <v>20</v>
      </c>
      <c r="M4157" s="2" t="n">
        <v>1</v>
      </c>
      <c r="N4157" s="2" t="n">
        <v>-1</v>
      </c>
      <c r="O4157" s="2" t="n">
        <v>0</v>
      </c>
      <c r="P4157" s="2" t="s">
        <v>23</v>
      </c>
      <c r="Q4157" s="2" t="s">
        <v>20</v>
      </c>
    </row>
    <row r="4158" customFormat="false" ht="15" hidden="false" customHeight="false" outlineLevel="0" collapsed="false">
      <c r="A4158" s="2" t="n">
        <v>30</v>
      </c>
      <c r="B4158" s="2" t="s">
        <v>39</v>
      </c>
      <c r="C4158" s="2" t="s">
        <v>30</v>
      </c>
      <c r="D4158" s="2" t="s">
        <v>25</v>
      </c>
      <c r="E4158" s="2" t="s">
        <v>20</v>
      </c>
      <c r="F4158" s="2" t="n">
        <v>638</v>
      </c>
      <c r="G4158" s="2" t="s">
        <v>20</v>
      </c>
      <c r="H4158" s="2" t="s">
        <v>20</v>
      </c>
      <c r="I4158" s="2" t="s">
        <v>21</v>
      </c>
      <c r="J4158" s="2" t="n">
        <v>14</v>
      </c>
      <c r="K4158" s="2" t="s">
        <v>44</v>
      </c>
      <c r="L4158" s="2" t="n">
        <v>358</v>
      </c>
      <c r="M4158" s="2" t="n">
        <v>6</v>
      </c>
      <c r="N4158" s="2" t="n">
        <v>-1</v>
      </c>
      <c r="O4158" s="2" t="n">
        <v>0</v>
      </c>
      <c r="P4158" s="2" t="s">
        <v>23</v>
      </c>
      <c r="Q4158" s="2" t="s">
        <v>20</v>
      </c>
    </row>
    <row r="4159" customFormat="false" ht="15" hidden="false" customHeight="false" outlineLevel="0" collapsed="false">
      <c r="A4159" s="2" t="n">
        <v>55</v>
      </c>
      <c r="B4159" s="2" t="s">
        <v>48</v>
      </c>
      <c r="C4159" s="2" t="s">
        <v>18</v>
      </c>
      <c r="D4159" s="2" t="s">
        <v>25</v>
      </c>
      <c r="E4159" s="2" t="s">
        <v>20</v>
      </c>
      <c r="F4159" s="2" t="n">
        <v>159</v>
      </c>
      <c r="G4159" s="2" t="s">
        <v>20</v>
      </c>
      <c r="H4159" s="2" t="s">
        <v>20</v>
      </c>
      <c r="I4159" s="2" t="s">
        <v>21</v>
      </c>
      <c r="J4159" s="2" t="n">
        <v>28</v>
      </c>
      <c r="K4159" s="2" t="s">
        <v>41</v>
      </c>
      <c r="L4159" s="2" t="n">
        <v>159</v>
      </c>
      <c r="M4159" s="2" t="n">
        <v>1</v>
      </c>
      <c r="N4159" s="2" t="n">
        <v>-1</v>
      </c>
      <c r="O4159" s="2" t="n">
        <v>0</v>
      </c>
      <c r="P4159" s="2" t="s">
        <v>23</v>
      </c>
      <c r="Q4159" s="2" t="s">
        <v>20</v>
      </c>
    </row>
    <row r="4160" customFormat="false" ht="15" hidden="false" customHeight="false" outlineLevel="0" collapsed="false">
      <c r="A4160" s="2" t="n">
        <v>43</v>
      </c>
      <c r="B4160" s="2" t="s">
        <v>34</v>
      </c>
      <c r="C4160" s="2" t="s">
        <v>18</v>
      </c>
      <c r="D4160" s="2" t="s">
        <v>19</v>
      </c>
      <c r="E4160" s="2" t="s">
        <v>20</v>
      </c>
      <c r="F4160" s="2" t="n">
        <v>483</v>
      </c>
      <c r="G4160" s="2" t="s">
        <v>26</v>
      </c>
      <c r="H4160" s="2" t="s">
        <v>20</v>
      </c>
      <c r="I4160" s="2" t="s">
        <v>21</v>
      </c>
      <c r="J4160" s="2" t="n">
        <v>12</v>
      </c>
      <c r="K4160" s="2" t="s">
        <v>27</v>
      </c>
      <c r="L4160" s="2" t="n">
        <v>225</v>
      </c>
      <c r="M4160" s="2" t="n">
        <v>3</v>
      </c>
      <c r="N4160" s="2" t="n">
        <v>-1</v>
      </c>
      <c r="O4160" s="2" t="n">
        <v>0</v>
      </c>
      <c r="P4160" s="2" t="s">
        <v>23</v>
      </c>
      <c r="Q4160" s="2" t="s">
        <v>20</v>
      </c>
    </row>
    <row r="4161" customFormat="false" ht="15" hidden="false" customHeight="false" outlineLevel="0" collapsed="false">
      <c r="A4161" s="2" t="n">
        <v>53</v>
      </c>
      <c r="B4161" s="2" t="s">
        <v>17</v>
      </c>
      <c r="C4161" s="2" t="s">
        <v>18</v>
      </c>
      <c r="D4161" s="2" t="s">
        <v>25</v>
      </c>
      <c r="E4161" s="2" t="s">
        <v>20</v>
      </c>
      <c r="F4161" s="2" t="n">
        <v>94</v>
      </c>
      <c r="G4161" s="2" t="s">
        <v>20</v>
      </c>
      <c r="H4161" s="2" t="s">
        <v>20</v>
      </c>
      <c r="I4161" s="2" t="s">
        <v>21</v>
      </c>
      <c r="J4161" s="2" t="n">
        <v>10</v>
      </c>
      <c r="K4161" s="2" t="s">
        <v>41</v>
      </c>
      <c r="L4161" s="2" t="n">
        <v>493</v>
      </c>
      <c r="M4161" s="2" t="n">
        <v>1</v>
      </c>
      <c r="N4161" s="2" t="n">
        <v>181</v>
      </c>
      <c r="O4161" s="2" t="n">
        <v>14</v>
      </c>
      <c r="P4161" s="2" t="s">
        <v>50</v>
      </c>
      <c r="Q4161" s="2" t="s">
        <v>26</v>
      </c>
    </row>
    <row r="4162" customFormat="false" ht="15" hidden="false" customHeight="false" outlineLevel="0" collapsed="false">
      <c r="A4162" s="2" t="n">
        <v>57</v>
      </c>
      <c r="B4162" s="2" t="s">
        <v>48</v>
      </c>
      <c r="C4162" s="2" t="s">
        <v>18</v>
      </c>
      <c r="D4162" s="2" t="s">
        <v>25</v>
      </c>
      <c r="E4162" s="2" t="s">
        <v>20</v>
      </c>
      <c r="F4162" s="2" t="n">
        <v>1044</v>
      </c>
      <c r="G4162" s="2" t="s">
        <v>20</v>
      </c>
      <c r="H4162" s="2" t="s">
        <v>20</v>
      </c>
      <c r="I4162" s="2" t="s">
        <v>49</v>
      </c>
      <c r="J4162" s="2" t="n">
        <v>11</v>
      </c>
      <c r="K4162" s="2" t="s">
        <v>43</v>
      </c>
      <c r="L4162" s="2" t="n">
        <v>585</v>
      </c>
      <c r="M4162" s="2" t="n">
        <v>1</v>
      </c>
      <c r="N4162" s="2" t="n">
        <v>192</v>
      </c>
      <c r="O4162" s="2" t="n">
        <v>2</v>
      </c>
      <c r="P4162" s="2" t="s">
        <v>50</v>
      </c>
      <c r="Q4162" s="2" t="s">
        <v>26</v>
      </c>
    </row>
    <row r="4163" customFormat="false" ht="15" hidden="false" customHeight="false" outlineLevel="0" collapsed="false">
      <c r="A4163" s="2" t="n">
        <v>39</v>
      </c>
      <c r="B4163" s="2" t="s">
        <v>36</v>
      </c>
      <c r="C4163" s="2" t="s">
        <v>30</v>
      </c>
      <c r="D4163" s="2" t="s">
        <v>23</v>
      </c>
      <c r="E4163" s="2" t="s">
        <v>20</v>
      </c>
      <c r="F4163" s="2" t="n">
        <v>0</v>
      </c>
      <c r="G4163" s="2" t="s">
        <v>20</v>
      </c>
      <c r="H4163" s="2" t="s">
        <v>20</v>
      </c>
      <c r="I4163" s="2" t="s">
        <v>23</v>
      </c>
      <c r="J4163" s="2" t="n">
        <v>20</v>
      </c>
      <c r="K4163" s="2" t="s">
        <v>33</v>
      </c>
      <c r="L4163" s="2" t="n">
        <v>13</v>
      </c>
      <c r="M4163" s="2" t="n">
        <v>11</v>
      </c>
      <c r="N4163" s="2" t="n">
        <v>-1</v>
      </c>
      <c r="O4163" s="2" t="n">
        <v>0</v>
      </c>
      <c r="P4163" s="2" t="s">
        <v>23</v>
      </c>
      <c r="Q4163" s="2" t="s">
        <v>20</v>
      </c>
    </row>
    <row r="4164" customFormat="false" ht="15" hidden="false" customHeight="false" outlineLevel="0" collapsed="false">
      <c r="A4164" s="2" t="n">
        <v>56</v>
      </c>
      <c r="B4164" s="2" t="s">
        <v>38</v>
      </c>
      <c r="C4164" s="2" t="s">
        <v>45</v>
      </c>
      <c r="D4164" s="2" t="s">
        <v>31</v>
      </c>
      <c r="E4164" s="2" t="s">
        <v>20</v>
      </c>
      <c r="F4164" s="2" t="n">
        <v>401</v>
      </c>
      <c r="G4164" s="2" t="s">
        <v>26</v>
      </c>
      <c r="H4164" s="2" t="s">
        <v>20</v>
      </c>
      <c r="I4164" s="2" t="s">
        <v>49</v>
      </c>
      <c r="J4164" s="2" t="n">
        <v>20</v>
      </c>
      <c r="K4164" s="2" t="s">
        <v>46</v>
      </c>
      <c r="L4164" s="2" t="n">
        <v>26</v>
      </c>
      <c r="M4164" s="2" t="n">
        <v>1</v>
      </c>
      <c r="N4164" s="2" t="n">
        <v>-1</v>
      </c>
      <c r="O4164" s="2" t="n">
        <v>0</v>
      </c>
      <c r="P4164" s="2" t="s">
        <v>23</v>
      </c>
      <c r="Q4164" s="2" t="s">
        <v>20</v>
      </c>
    </row>
    <row r="4165" customFormat="false" ht="15" hidden="false" customHeight="false" outlineLevel="0" collapsed="false">
      <c r="A4165" s="2" t="n">
        <v>29</v>
      </c>
      <c r="B4165" s="2" t="s">
        <v>24</v>
      </c>
      <c r="C4165" s="2" t="s">
        <v>30</v>
      </c>
      <c r="D4165" s="2" t="s">
        <v>23</v>
      </c>
      <c r="E4165" s="2" t="s">
        <v>20</v>
      </c>
      <c r="F4165" s="2" t="n">
        <v>33</v>
      </c>
      <c r="G4165" s="2" t="s">
        <v>20</v>
      </c>
      <c r="H4165" s="2" t="s">
        <v>20</v>
      </c>
      <c r="I4165" s="2" t="s">
        <v>23</v>
      </c>
      <c r="J4165" s="2" t="n">
        <v>1</v>
      </c>
      <c r="K4165" s="2" t="s">
        <v>44</v>
      </c>
      <c r="L4165" s="2" t="n">
        <v>161</v>
      </c>
      <c r="M4165" s="2" t="n">
        <v>1</v>
      </c>
      <c r="N4165" s="2" t="n">
        <v>-1</v>
      </c>
      <c r="O4165" s="2" t="n">
        <v>0</v>
      </c>
      <c r="P4165" s="2" t="s">
        <v>23</v>
      </c>
      <c r="Q4165" s="2" t="s">
        <v>20</v>
      </c>
    </row>
    <row r="4166" customFormat="false" ht="15" hidden="false" customHeight="false" outlineLevel="0" collapsed="false">
      <c r="A4166" s="2" t="n">
        <v>38</v>
      </c>
      <c r="B4166" s="2" t="s">
        <v>34</v>
      </c>
      <c r="C4166" s="2" t="s">
        <v>18</v>
      </c>
      <c r="D4166" s="2" t="s">
        <v>19</v>
      </c>
      <c r="E4166" s="2" t="s">
        <v>20</v>
      </c>
      <c r="F4166" s="2" t="n">
        <v>506</v>
      </c>
      <c r="G4166" s="2" t="s">
        <v>26</v>
      </c>
      <c r="H4166" s="2" t="s">
        <v>26</v>
      </c>
      <c r="I4166" s="2" t="s">
        <v>23</v>
      </c>
      <c r="J4166" s="2" t="n">
        <v>12</v>
      </c>
      <c r="K4166" s="2" t="s">
        <v>33</v>
      </c>
      <c r="L4166" s="2" t="n">
        <v>122</v>
      </c>
      <c r="M4166" s="2" t="n">
        <v>1</v>
      </c>
      <c r="N4166" s="2" t="n">
        <v>-1</v>
      </c>
      <c r="O4166" s="2" t="n">
        <v>0</v>
      </c>
      <c r="P4166" s="2" t="s">
        <v>23</v>
      </c>
      <c r="Q4166" s="2" t="s">
        <v>20</v>
      </c>
    </row>
    <row r="4167" customFormat="false" ht="15" hidden="false" customHeight="false" outlineLevel="0" collapsed="false">
      <c r="A4167" s="2" t="n">
        <v>59</v>
      </c>
      <c r="B4167" s="2" t="s">
        <v>29</v>
      </c>
      <c r="C4167" s="2" t="s">
        <v>18</v>
      </c>
      <c r="D4167" s="2" t="s">
        <v>31</v>
      </c>
      <c r="E4167" s="2" t="s">
        <v>20</v>
      </c>
      <c r="F4167" s="2" t="n">
        <v>1881</v>
      </c>
      <c r="G4167" s="2" t="s">
        <v>20</v>
      </c>
      <c r="H4167" s="2" t="s">
        <v>20</v>
      </c>
      <c r="I4167" s="2" t="s">
        <v>21</v>
      </c>
      <c r="J4167" s="2" t="n">
        <v>19</v>
      </c>
      <c r="K4167" s="2" t="s">
        <v>46</v>
      </c>
      <c r="L4167" s="2" t="n">
        <v>456</v>
      </c>
      <c r="M4167" s="2" t="n">
        <v>2</v>
      </c>
      <c r="N4167" s="2" t="n">
        <v>-1</v>
      </c>
      <c r="O4167" s="2" t="n">
        <v>0</v>
      </c>
      <c r="P4167" s="2" t="s">
        <v>23</v>
      </c>
      <c r="Q4167" s="2" t="s">
        <v>20</v>
      </c>
    </row>
    <row r="4168" customFormat="false" ht="15" hidden="false" customHeight="false" outlineLevel="0" collapsed="false">
      <c r="A4168" s="2" t="n">
        <v>42</v>
      </c>
      <c r="B4168" s="2" t="s">
        <v>38</v>
      </c>
      <c r="C4168" s="2" t="s">
        <v>30</v>
      </c>
      <c r="D4168" s="2" t="s">
        <v>23</v>
      </c>
      <c r="E4168" s="2" t="s">
        <v>20</v>
      </c>
      <c r="F4168" s="2" t="n">
        <v>344</v>
      </c>
      <c r="G4168" s="2" t="s">
        <v>26</v>
      </c>
      <c r="H4168" s="2" t="s">
        <v>20</v>
      </c>
      <c r="I4168" s="2" t="s">
        <v>23</v>
      </c>
      <c r="J4168" s="2" t="n">
        <v>3</v>
      </c>
      <c r="K4168" s="2" t="s">
        <v>33</v>
      </c>
      <c r="L4168" s="2" t="n">
        <v>26</v>
      </c>
      <c r="M4168" s="2" t="n">
        <v>7</v>
      </c>
      <c r="N4168" s="2" t="n">
        <v>-1</v>
      </c>
      <c r="O4168" s="2" t="n">
        <v>0</v>
      </c>
      <c r="P4168" s="2" t="s">
        <v>23</v>
      </c>
      <c r="Q4168" s="2" t="s">
        <v>20</v>
      </c>
    </row>
    <row r="4169" customFormat="false" ht="15" hidden="false" customHeight="false" outlineLevel="0" collapsed="false">
      <c r="A4169" s="2" t="n">
        <v>46</v>
      </c>
      <c r="B4169" s="2" t="s">
        <v>34</v>
      </c>
      <c r="C4169" s="2" t="s">
        <v>18</v>
      </c>
      <c r="D4169" s="2" t="s">
        <v>19</v>
      </c>
      <c r="E4169" s="2" t="s">
        <v>20</v>
      </c>
      <c r="F4169" s="2" t="n">
        <v>0</v>
      </c>
      <c r="G4169" s="2" t="s">
        <v>26</v>
      </c>
      <c r="H4169" s="2" t="s">
        <v>20</v>
      </c>
      <c r="I4169" s="2" t="s">
        <v>23</v>
      </c>
      <c r="J4169" s="2" t="n">
        <v>12</v>
      </c>
      <c r="K4169" s="2" t="s">
        <v>27</v>
      </c>
      <c r="L4169" s="2" t="n">
        <v>51</v>
      </c>
      <c r="M4169" s="2" t="n">
        <v>9</v>
      </c>
      <c r="N4169" s="2" t="n">
        <v>-1</v>
      </c>
      <c r="O4169" s="2" t="n">
        <v>0</v>
      </c>
      <c r="P4169" s="2" t="s">
        <v>23</v>
      </c>
      <c r="Q4169" s="2" t="s">
        <v>20</v>
      </c>
    </row>
    <row r="4170" customFormat="false" ht="15" hidden="false" customHeight="false" outlineLevel="0" collapsed="false">
      <c r="A4170" s="2" t="n">
        <v>31</v>
      </c>
      <c r="B4170" s="2" t="s">
        <v>40</v>
      </c>
      <c r="C4170" s="2" t="s">
        <v>18</v>
      </c>
      <c r="D4170" s="2" t="s">
        <v>25</v>
      </c>
      <c r="E4170" s="2" t="s">
        <v>20</v>
      </c>
      <c r="F4170" s="2" t="n">
        <v>3</v>
      </c>
      <c r="G4170" s="2" t="s">
        <v>26</v>
      </c>
      <c r="H4170" s="2" t="s">
        <v>20</v>
      </c>
      <c r="I4170" s="2" t="s">
        <v>21</v>
      </c>
      <c r="J4170" s="2" t="n">
        <v>28</v>
      </c>
      <c r="K4170" s="2" t="s">
        <v>44</v>
      </c>
      <c r="L4170" s="2" t="n">
        <v>37</v>
      </c>
      <c r="M4170" s="2" t="n">
        <v>12</v>
      </c>
      <c r="N4170" s="2" t="n">
        <v>-1</v>
      </c>
      <c r="O4170" s="2" t="n">
        <v>0</v>
      </c>
      <c r="P4170" s="2" t="s">
        <v>23</v>
      </c>
      <c r="Q4170" s="2" t="s">
        <v>20</v>
      </c>
    </row>
    <row r="4171" customFormat="false" ht="15" hidden="false" customHeight="false" outlineLevel="0" collapsed="false">
      <c r="A4171" s="2" t="n">
        <v>35</v>
      </c>
      <c r="B4171" s="2" t="s">
        <v>24</v>
      </c>
      <c r="C4171" s="2" t="s">
        <v>45</v>
      </c>
      <c r="D4171" s="2" t="s">
        <v>25</v>
      </c>
      <c r="E4171" s="2" t="s">
        <v>20</v>
      </c>
      <c r="F4171" s="2" t="n">
        <v>221</v>
      </c>
      <c r="G4171" s="2" t="s">
        <v>26</v>
      </c>
      <c r="H4171" s="2" t="s">
        <v>20</v>
      </c>
      <c r="I4171" s="2" t="s">
        <v>21</v>
      </c>
      <c r="J4171" s="2" t="n">
        <v>14</v>
      </c>
      <c r="K4171" s="2" t="s">
        <v>27</v>
      </c>
      <c r="L4171" s="2" t="n">
        <v>150</v>
      </c>
      <c r="M4171" s="2" t="n">
        <v>1</v>
      </c>
      <c r="N4171" s="2" t="n">
        <v>360</v>
      </c>
      <c r="O4171" s="2" t="n">
        <v>1</v>
      </c>
      <c r="P4171" s="2" t="s">
        <v>28</v>
      </c>
      <c r="Q4171" s="2" t="s">
        <v>20</v>
      </c>
    </row>
    <row r="4172" customFormat="false" ht="15" hidden="false" customHeight="false" outlineLevel="0" collapsed="false">
      <c r="A4172" s="2" t="n">
        <v>50</v>
      </c>
      <c r="B4172" s="2" t="s">
        <v>36</v>
      </c>
      <c r="C4172" s="2" t="s">
        <v>18</v>
      </c>
      <c r="D4172" s="2" t="s">
        <v>25</v>
      </c>
      <c r="E4172" s="2" t="s">
        <v>20</v>
      </c>
      <c r="F4172" s="2" t="n">
        <v>36</v>
      </c>
      <c r="G4172" s="2" t="s">
        <v>20</v>
      </c>
      <c r="H4172" s="2" t="s">
        <v>20</v>
      </c>
      <c r="I4172" s="2" t="s">
        <v>21</v>
      </c>
      <c r="J4172" s="2" t="n">
        <v>13</v>
      </c>
      <c r="K4172" s="2" t="s">
        <v>41</v>
      </c>
      <c r="L4172" s="2" t="n">
        <v>104</v>
      </c>
      <c r="M4172" s="2" t="n">
        <v>10</v>
      </c>
      <c r="N4172" s="2" t="n">
        <v>-1</v>
      </c>
      <c r="O4172" s="2" t="n">
        <v>0</v>
      </c>
      <c r="P4172" s="2" t="s">
        <v>23</v>
      </c>
      <c r="Q4172" s="2" t="s">
        <v>20</v>
      </c>
    </row>
    <row r="4173" customFormat="false" ht="15" hidden="false" customHeight="false" outlineLevel="0" collapsed="false">
      <c r="A4173" s="2" t="n">
        <v>42</v>
      </c>
      <c r="B4173" s="2" t="s">
        <v>34</v>
      </c>
      <c r="C4173" s="2" t="s">
        <v>18</v>
      </c>
      <c r="D4173" s="2" t="s">
        <v>19</v>
      </c>
      <c r="E4173" s="2" t="s">
        <v>20</v>
      </c>
      <c r="F4173" s="2" t="n">
        <v>969</v>
      </c>
      <c r="G4173" s="2" t="s">
        <v>26</v>
      </c>
      <c r="H4173" s="2" t="s">
        <v>20</v>
      </c>
      <c r="I4173" s="2" t="s">
        <v>21</v>
      </c>
      <c r="J4173" s="2" t="n">
        <v>13</v>
      </c>
      <c r="K4173" s="2" t="s">
        <v>27</v>
      </c>
      <c r="L4173" s="2" t="n">
        <v>721</v>
      </c>
      <c r="M4173" s="2" t="n">
        <v>1</v>
      </c>
      <c r="N4173" s="2" t="n">
        <v>-1</v>
      </c>
      <c r="O4173" s="2" t="n">
        <v>0</v>
      </c>
      <c r="P4173" s="2" t="s">
        <v>23</v>
      </c>
      <c r="Q4173" s="2" t="s">
        <v>20</v>
      </c>
    </row>
    <row r="4174" customFormat="false" ht="15" hidden="false" customHeight="false" outlineLevel="0" collapsed="false">
      <c r="A4174" s="2" t="n">
        <v>36</v>
      </c>
      <c r="B4174" s="2" t="s">
        <v>24</v>
      </c>
      <c r="C4174" s="2" t="s">
        <v>30</v>
      </c>
      <c r="D4174" s="2" t="s">
        <v>25</v>
      </c>
      <c r="E4174" s="2" t="s">
        <v>20</v>
      </c>
      <c r="F4174" s="2" t="n">
        <v>760</v>
      </c>
      <c r="G4174" s="2" t="s">
        <v>20</v>
      </c>
      <c r="H4174" s="2" t="s">
        <v>20</v>
      </c>
      <c r="I4174" s="2" t="s">
        <v>23</v>
      </c>
      <c r="J4174" s="2" t="n">
        <v>20</v>
      </c>
      <c r="K4174" s="2" t="s">
        <v>33</v>
      </c>
      <c r="L4174" s="2" t="n">
        <v>9</v>
      </c>
      <c r="M4174" s="2" t="n">
        <v>13</v>
      </c>
      <c r="N4174" s="2" t="n">
        <v>-1</v>
      </c>
      <c r="O4174" s="2" t="n">
        <v>0</v>
      </c>
      <c r="P4174" s="2" t="s">
        <v>23</v>
      </c>
      <c r="Q4174" s="2" t="s">
        <v>20</v>
      </c>
    </row>
    <row r="4175" customFormat="false" ht="15" hidden="false" customHeight="false" outlineLevel="0" collapsed="false">
      <c r="A4175" s="2" t="n">
        <v>25</v>
      </c>
      <c r="B4175" s="2" t="s">
        <v>40</v>
      </c>
      <c r="C4175" s="2" t="s">
        <v>30</v>
      </c>
      <c r="D4175" s="2" t="s">
        <v>31</v>
      </c>
      <c r="E4175" s="2" t="s">
        <v>20</v>
      </c>
      <c r="F4175" s="2" t="n">
        <v>220</v>
      </c>
      <c r="G4175" s="2" t="s">
        <v>20</v>
      </c>
      <c r="H4175" s="2" t="s">
        <v>20</v>
      </c>
      <c r="I4175" s="2" t="s">
        <v>21</v>
      </c>
      <c r="J4175" s="2" t="n">
        <v>26</v>
      </c>
      <c r="K4175" s="2" t="s">
        <v>27</v>
      </c>
      <c r="L4175" s="2" t="n">
        <v>68</v>
      </c>
      <c r="M4175" s="2" t="n">
        <v>1</v>
      </c>
      <c r="N4175" s="2" t="n">
        <v>-1</v>
      </c>
      <c r="O4175" s="2" t="n">
        <v>0</v>
      </c>
      <c r="P4175" s="2" t="s">
        <v>23</v>
      </c>
      <c r="Q4175" s="2" t="s">
        <v>20</v>
      </c>
    </row>
    <row r="4176" customFormat="false" ht="15" hidden="false" customHeight="false" outlineLevel="0" collapsed="false">
      <c r="A4176" s="2" t="n">
        <v>42</v>
      </c>
      <c r="B4176" s="2" t="s">
        <v>29</v>
      </c>
      <c r="C4176" s="2" t="s">
        <v>30</v>
      </c>
      <c r="D4176" s="2" t="s">
        <v>31</v>
      </c>
      <c r="E4176" s="2" t="s">
        <v>20</v>
      </c>
      <c r="F4176" s="2" t="n">
        <v>10907</v>
      </c>
      <c r="G4176" s="2" t="s">
        <v>20</v>
      </c>
      <c r="H4176" s="2" t="s">
        <v>20</v>
      </c>
      <c r="I4176" s="2" t="s">
        <v>21</v>
      </c>
      <c r="J4176" s="2" t="n">
        <v>4</v>
      </c>
      <c r="K4176" s="2" t="s">
        <v>27</v>
      </c>
      <c r="L4176" s="2" t="n">
        <v>74</v>
      </c>
      <c r="M4176" s="2" t="n">
        <v>3</v>
      </c>
      <c r="N4176" s="2" t="n">
        <v>-1</v>
      </c>
      <c r="O4176" s="2" t="n">
        <v>0</v>
      </c>
      <c r="P4176" s="2" t="s">
        <v>23</v>
      </c>
      <c r="Q4176" s="2" t="s">
        <v>20</v>
      </c>
    </row>
    <row r="4177" customFormat="false" ht="15" hidden="false" customHeight="false" outlineLevel="0" collapsed="false">
      <c r="A4177" s="2" t="n">
        <v>27</v>
      </c>
      <c r="B4177" s="2" t="s">
        <v>42</v>
      </c>
      <c r="C4177" s="2" t="s">
        <v>30</v>
      </c>
      <c r="D4177" s="2" t="s">
        <v>31</v>
      </c>
      <c r="E4177" s="2" t="s">
        <v>20</v>
      </c>
      <c r="F4177" s="2" t="n">
        <v>-148</v>
      </c>
      <c r="G4177" s="2" t="s">
        <v>26</v>
      </c>
      <c r="H4177" s="2" t="s">
        <v>20</v>
      </c>
      <c r="I4177" s="2" t="s">
        <v>21</v>
      </c>
      <c r="J4177" s="2" t="n">
        <v>11</v>
      </c>
      <c r="K4177" s="2" t="s">
        <v>51</v>
      </c>
      <c r="L4177" s="2" t="n">
        <v>146</v>
      </c>
      <c r="M4177" s="2" t="n">
        <v>3</v>
      </c>
      <c r="N4177" s="2" t="n">
        <v>224</v>
      </c>
      <c r="O4177" s="2" t="n">
        <v>1</v>
      </c>
      <c r="P4177" s="2" t="s">
        <v>37</v>
      </c>
      <c r="Q4177" s="2" t="s">
        <v>20</v>
      </c>
    </row>
    <row r="4178" customFormat="false" ht="15" hidden="false" customHeight="false" outlineLevel="0" collapsed="false">
      <c r="A4178" s="2" t="n">
        <v>32</v>
      </c>
      <c r="B4178" s="2" t="s">
        <v>34</v>
      </c>
      <c r="C4178" s="2" t="s">
        <v>18</v>
      </c>
      <c r="D4178" s="2" t="s">
        <v>19</v>
      </c>
      <c r="E4178" s="2" t="s">
        <v>20</v>
      </c>
      <c r="F4178" s="2" t="n">
        <v>415</v>
      </c>
      <c r="G4178" s="2" t="s">
        <v>26</v>
      </c>
      <c r="H4178" s="2" t="s">
        <v>20</v>
      </c>
      <c r="I4178" s="2" t="s">
        <v>23</v>
      </c>
      <c r="J4178" s="2" t="n">
        <v>2</v>
      </c>
      <c r="K4178" s="2" t="s">
        <v>33</v>
      </c>
      <c r="L4178" s="2" t="n">
        <v>777</v>
      </c>
      <c r="M4178" s="2" t="n">
        <v>4</v>
      </c>
      <c r="N4178" s="2" t="n">
        <v>-1</v>
      </c>
      <c r="O4178" s="2" t="n">
        <v>0</v>
      </c>
      <c r="P4178" s="2" t="s">
        <v>23</v>
      </c>
      <c r="Q4178" s="2" t="s">
        <v>26</v>
      </c>
    </row>
    <row r="4179" customFormat="false" ht="15" hidden="false" customHeight="false" outlineLevel="0" collapsed="false">
      <c r="A4179" s="2" t="n">
        <v>57</v>
      </c>
      <c r="B4179" s="2" t="s">
        <v>29</v>
      </c>
      <c r="C4179" s="2" t="s">
        <v>18</v>
      </c>
      <c r="D4179" s="2" t="s">
        <v>31</v>
      </c>
      <c r="E4179" s="2" t="s">
        <v>20</v>
      </c>
      <c r="F4179" s="2" t="n">
        <v>1341</v>
      </c>
      <c r="G4179" s="2" t="s">
        <v>26</v>
      </c>
      <c r="H4179" s="2" t="s">
        <v>20</v>
      </c>
      <c r="I4179" s="2" t="s">
        <v>23</v>
      </c>
      <c r="J4179" s="2" t="n">
        <v>8</v>
      </c>
      <c r="K4179" s="2" t="s">
        <v>27</v>
      </c>
      <c r="L4179" s="2" t="n">
        <v>339</v>
      </c>
      <c r="M4179" s="2" t="n">
        <v>2</v>
      </c>
      <c r="N4179" s="2" t="n">
        <v>-1</v>
      </c>
      <c r="O4179" s="2" t="n">
        <v>0</v>
      </c>
      <c r="P4179" s="2" t="s">
        <v>23</v>
      </c>
      <c r="Q4179" s="2" t="s">
        <v>20</v>
      </c>
    </row>
    <row r="4180" customFormat="false" ht="15" hidden="false" customHeight="false" outlineLevel="0" collapsed="false">
      <c r="A4180" s="2" t="n">
        <v>48</v>
      </c>
      <c r="B4180" s="2" t="s">
        <v>34</v>
      </c>
      <c r="C4180" s="2" t="s">
        <v>18</v>
      </c>
      <c r="D4180" s="2" t="s">
        <v>25</v>
      </c>
      <c r="E4180" s="2" t="s">
        <v>20</v>
      </c>
      <c r="F4180" s="2" t="n">
        <v>865</v>
      </c>
      <c r="G4180" s="2" t="s">
        <v>26</v>
      </c>
      <c r="H4180" s="2" t="s">
        <v>20</v>
      </c>
      <c r="I4180" s="2" t="s">
        <v>21</v>
      </c>
      <c r="J4180" s="2" t="n">
        <v>13</v>
      </c>
      <c r="K4180" s="2" t="s">
        <v>27</v>
      </c>
      <c r="L4180" s="2" t="n">
        <v>78</v>
      </c>
      <c r="M4180" s="2" t="n">
        <v>2</v>
      </c>
      <c r="N4180" s="2" t="n">
        <v>-1</v>
      </c>
      <c r="O4180" s="2" t="n">
        <v>0</v>
      </c>
      <c r="P4180" s="2" t="s">
        <v>23</v>
      </c>
      <c r="Q4180" s="2" t="s">
        <v>20</v>
      </c>
    </row>
    <row r="4181" customFormat="false" ht="15" hidden="false" customHeight="false" outlineLevel="0" collapsed="false">
      <c r="A4181" s="2" t="n">
        <v>34</v>
      </c>
      <c r="B4181" s="2" t="s">
        <v>34</v>
      </c>
      <c r="C4181" s="2" t="s">
        <v>45</v>
      </c>
      <c r="D4181" s="2" t="s">
        <v>25</v>
      </c>
      <c r="E4181" s="2" t="s">
        <v>20</v>
      </c>
      <c r="F4181" s="2" t="n">
        <v>-566</v>
      </c>
      <c r="G4181" s="2" t="s">
        <v>26</v>
      </c>
      <c r="H4181" s="2" t="s">
        <v>20</v>
      </c>
      <c r="I4181" s="2" t="s">
        <v>23</v>
      </c>
      <c r="J4181" s="2" t="n">
        <v>26</v>
      </c>
      <c r="K4181" s="2" t="s">
        <v>27</v>
      </c>
      <c r="L4181" s="2" t="n">
        <v>248</v>
      </c>
      <c r="M4181" s="2" t="n">
        <v>2</v>
      </c>
      <c r="N4181" s="2" t="n">
        <v>-1</v>
      </c>
      <c r="O4181" s="2" t="n">
        <v>0</v>
      </c>
      <c r="P4181" s="2" t="s">
        <v>23</v>
      </c>
      <c r="Q4181" s="2" t="s">
        <v>20</v>
      </c>
    </row>
    <row r="4182" customFormat="false" ht="15" hidden="false" customHeight="false" outlineLevel="0" collapsed="false">
      <c r="A4182" s="2" t="n">
        <v>33</v>
      </c>
      <c r="B4182" s="2" t="s">
        <v>24</v>
      </c>
      <c r="C4182" s="2" t="s">
        <v>18</v>
      </c>
      <c r="D4182" s="2" t="s">
        <v>25</v>
      </c>
      <c r="E4182" s="2" t="s">
        <v>20</v>
      </c>
      <c r="F4182" s="2" t="n">
        <v>210</v>
      </c>
      <c r="G4182" s="2" t="s">
        <v>26</v>
      </c>
      <c r="H4182" s="2" t="s">
        <v>26</v>
      </c>
      <c r="I4182" s="2" t="s">
        <v>23</v>
      </c>
      <c r="J4182" s="2" t="n">
        <v>20</v>
      </c>
      <c r="K4182" s="2" t="s">
        <v>27</v>
      </c>
      <c r="L4182" s="2" t="n">
        <v>201</v>
      </c>
      <c r="M4182" s="2" t="n">
        <v>1</v>
      </c>
      <c r="N4182" s="2" t="n">
        <v>-1</v>
      </c>
      <c r="O4182" s="2" t="n">
        <v>0</v>
      </c>
      <c r="P4182" s="2" t="s">
        <v>23</v>
      </c>
      <c r="Q4182" s="2" t="s">
        <v>20</v>
      </c>
    </row>
    <row r="4183" customFormat="false" ht="15" hidden="false" customHeight="false" outlineLevel="0" collapsed="false">
      <c r="A4183" s="2" t="n">
        <v>26</v>
      </c>
      <c r="B4183" s="2" t="s">
        <v>38</v>
      </c>
      <c r="C4183" s="2" t="s">
        <v>30</v>
      </c>
      <c r="D4183" s="2" t="s">
        <v>25</v>
      </c>
      <c r="E4183" s="2" t="s">
        <v>20</v>
      </c>
      <c r="F4183" s="2" t="n">
        <v>1275</v>
      </c>
      <c r="G4183" s="2" t="s">
        <v>26</v>
      </c>
      <c r="H4183" s="2" t="s">
        <v>20</v>
      </c>
      <c r="I4183" s="2" t="s">
        <v>23</v>
      </c>
      <c r="J4183" s="2" t="n">
        <v>20</v>
      </c>
      <c r="K4183" s="2" t="s">
        <v>33</v>
      </c>
      <c r="L4183" s="2" t="n">
        <v>18</v>
      </c>
      <c r="M4183" s="2" t="n">
        <v>9</v>
      </c>
      <c r="N4183" s="2" t="n">
        <v>-1</v>
      </c>
      <c r="O4183" s="2" t="n">
        <v>0</v>
      </c>
      <c r="P4183" s="2" t="s">
        <v>23</v>
      </c>
      <c r="Q4183" s="2" t="s">
        <v>20</v>
      </c>
    </row>
    <row r="4184" customFormat="false" ht="15" hidden="false" customHeight="false" outlineLevel="0" collapsed="false">
      <c r="A4184" s="2" t="n">
        <v>50</v>
      </c>
      <c r="B4184" s="2" t="s">
        <v>34</v>
      </c>
      <c r="C4184" s="2" t="s">
        <v>18</v>
      </c>
      <c r="D4184" s="2" t="s">
        <v>25</v>
      </c>
      <c r="E4184" s="2" t="s">
        <v>20</v>
      </c>
      <c r="F4184" s="2" t="n">
        <v>579</v>
      </c>
      <c r="G4184" s="2" t="s">
        <v>20</v>
      </c>
      <c r="H4184" s="2" t="s">
        <v>20</v>
      </c>
      <c r="I4184" s="2" t="s">
        <v>21</v>
      </c>
      <c r="J4184" s="2" t="n">
        <v>26</v>
      </c>
      <c r="K4184" s="2" t="s">
        <v>41</v>
      </c>
      <c r="L4184" s="2" t="n">
        <v>83</v>
      </c>
      <c r="M4184" s="2" t="n">
        <v>4</v>
      </c>
      <c r="N4184" s="2" t="n">
        <v>-1</v>
      </c>
      <c r="O4184" s="2" t="n">
        <v>0</v>
      </c>
      <c r="P4184" s="2" t="s">
        <v>23</v>
      </c>
      <c r="Q4184" s="2" t="s">
        <v>20</v>
      </c>
    </row>
    <row r="4185" customFormat="false" ht="15" hidden="false" customHeight="false" outlineLevel="0" collapsed="false">
      <c r="A4185" s="2" t="n">
        <v>60</v>
      </c>
      <c r="B4185" s="2" t="s">
        <v>38</v>
      </c>
      <c r="C4185" s="2" t="s">
        <v>30</v>
      </c>
      <c r="D4185" s="2" t="s">
        <v>31</v>
      </c>
      <c r="E4185" s="2" t="s">
        <v>20</v>
      </c>
      <c r="F4185" s="2" t="n">
        <v>2934</v>
      </c>
      <c r="G4185" s="2" t="s">
        <v>20</v>
      </c>
      <c r="H4185" s="2" t="s">
        <v>20</v>
      </c>
      <c r="I4185" s="2" t="s">
        <v>21</v>
      </c>
      <c r="J4185" s="2" t="n">
        <v>8</v>
      </c>
      <c r="K4185" s="2" t="s">
        <v>41</v>
      </c>
      <c r="L4185" s="2" t="n">
        <v>233</v>
      </c>
      <c r="M4185" s="2" t="n">
        <v>2</v>
      </c>
      <c r="N4185" s="2" t="n">
        <v>-1</v>
      </c>
      <c r="O4185" s="2" t="n">
        <v>0</v>
      </c>
      <c r="P4185" s="2" t="s">
        <v>23</v>
      </c>
      <c r="Q4185" s="2" t="s">
        <v>20</v>
      </c>
    </row>
    <row r="4186" customFormat="false" ht="15" hidden="false" customHeight="false" outlineLevel="0" collapsed="false">
      <c r="A4186" s="2" t="n">
        <v>47</v>
      </c>
      <c r="B4186" s="2" t="s">
        <v>29</v>
      </c>
      <c r="C4186" s="2" t="s">
        <v>18</v>
      </c>
      <c r="D4186" s="2" t="s">
        <v>31</v>
      </c>
      <c r="E4186" s="2" t="s">
        <v>20</v>
      </c>
      <c r="F4186" s="2" t="n">
        <v>6637</v>
      </c>
      <c r="G4186" s="2" t="s">
        <v>26</v>
      </c>
      <c r="H4186" s="2" t="s">
        <v>20</v>
      </c>
      <c r="I4186" s="2" t="s">
        <v>21</v>
      </c>
      <c r="J4186" s="2" t="n">
        <v>17</v>
      </c>
      <c r="K4186" s="2" t="s">
        <v>32</v>
      </c>
      <c r="L4186" s="2" t="n">
        <v>174</v>
      </c>
      <c r="M4186" s="2" t="n">
        <v>2</v>
      </c>
      <c r="N4186" s="2" t="n">
        <v>-1</v>
      </c>
      <c r="O4186" s="2" t="n">
        <v>0</v>
      </c>
      <c r="P4186" s="2" t="s">
        <v>23</v>
      </c>
      <c r="Q4186" s="2" t="s">
        <v>20</v>
      </c>
    </row>
    <row r="4187" customFormat="false" ht="15" hidden="false" customHeight="false" outlineLevel="0" collapsed="false">
      <c r="A4187" s="2" t="n">
        <v>31</v>
      </c>
      <c r="B4187" s="2" t="s">
        <v>29</v>
      </c>
      <c r="C4187" s="2" t="s">
        <v>18</v>
      </c>
      <c r="D4187" s="2" t="s">
        <v>31</v>
      </c>
      <c r="E4187" s="2" t="s">
        <v>20</v>
      </c>
      <c r="F4187" s="2" t="n">
        <v>271</v>
      </c>
      <c r="G4187" s="2" t="s">
        <v>20</v>
      </c>
      <c r="H4187" s="2" t="s">
        <v>20</v>
      </c>
      <c r="I4187" s="2" t="s">
        <v>21</v>
      </c>
      <c r="J4187" s="2" t="n">
        <v>18</v>
      </c>
      <c r="K4187" s="2" t="s">
        <v>46</v>
      </c>
      <c r="L4187" s="2" t="n">
        <v>89</v>
      </c>
      <c r="M4187" s="2" t="n">
        <v>1</v>
      </c>
      <c r="N4187" s="2" t="n">
        <v>-1</v>
      </c>
      <c r="O4187" s="2" t="n">
        <v>0</v>
      </c>
      <c r="P4187" s="2" t="s">
        <v>23</v>
      </c>
      <c r="Q4187" s="2" t="s">
        <v>20</v>
      </c>
    </row>
    <row r="4188" customFormat="false" ht="15" hidden="false" customHeight="false" outlineLevel="0" collapsed="false">
      <c r="A4188" s="2" t="n">
        <v>52</v>
      </c>
      <c r="B4188" s="2" t="s">
        <v>38</v>
      </c>
      <c r="C4188" s="2" t="s">
        <v>18</v>
      </c>
      <c r="D4188" s="2" t="s">
        <v>31</v>
      </c>
      <c r="E4188" s="2" t="s">
        <v>20</v>
      </c>
      <c r="F4188" s="2" t="n">
        <v>0</v>
      </c>
      <c r="G4188" s="2" t="s">
        <v>20</v>
      </c>
      <c r="H4188" s="2" t="s">
        <v>20</v>
      </c>
      <c r="I4188" s="2" t="s">
        <v>21</v>
      </c>
      <c r="J4188" s="2" t="n">
        <v>9</v>
      </c>
      <c r="K4188" s="2" t="s">
        <v>41</v>
      </c>
      <c r="L4188" s="2" t="n">
        <v>145</v>
      </c>
      <c r="M4188" s="2" t="n">
        <v>3</v>
      </c>
      <c r="N4188" s="2" t="n">
        <v>94</v>
      </c>
      <c r="O4188" s="2" t="n">
        <v>4</v>
      </c>
      <c r="P4188" s="2" t="s">
        <v>50</v>
      </c>
      <c r="Q4188" s="2" t="s">
        <v>20</v>
      </c>
    </row>
    <row r="4189" customFormat="false" ht="15" hidden="false" customHeight="false" outlineLevel="0" collapsed="false">
      <c r="A4189" s="2" t="n">
        <v>36</v>
      </c>
      <c r="B4189" s="2" t="s">
        <v>24</v>
      </c>
      <c r="C4189" s="2" t="s">
        <v>18</v>
      </c>
      <c r="D4189" s="2" t="s">
        <v>25</v>
      </c>
      <c r="E4189" s="2" t="s">
        <v>20</v>
      </c>
      <c r="F4189" s="2" t="n">
        <v>472</v>
      </c>
      <c r="G4189" s="2" t="s">
        <v>26</v>
      </c>
      <c r="H4189" s="2" t="s">
        <v>20</v>
      </c>
      <c r="I4189" s="2" t="s">
        <v>23</v>
      </c>
      <c r="J4189" s="2" t="n">
        <v>19</v>
      </c>
      <c r="K4189" s="2" t="s">
        <v>33</v>
      </c>
      <c r="L4189" s="2" t="n">
        <v>1017</v>
      </c>
      <c r="M4189" s="2" t="n">
        <v>1</v>
      </c>
      <c r="N4189" s="2" t="n">
        <v>-1</v>
      </c>
      <c r="O4189" s="2" t="n">
        <v>0</v>
      </c>
      <c r="P4189" s="2" t="s">
        <v>23</v>
      </c>
      <c r="Q4189" s="2" t="s">
        <v>20</v>
      </c>
    </row>
    <row r="4190" customFormat="false" ht="15" hidden="false" customHeight="false" outlineLevel="0" collapsed="false">
      <c r="A4190" s="2" t="n">
        <v>43</v>
      </c>
      <c r="B4190" s="2" t="s">
        <v>34</v>
      </c>
      <c r="C4190" s="2" t="s">
        <v>18</v>
      </c>
      <c r="D4190" s="2" t="s">
        <v>19</v>
      </c>
      <c r="E4190" s="2" t="s">
        <v>20</v>
      </c>
      <c r="F4190" s="2" t="n">
        <v>487</v>
      </c>
      <c r="G4190" s="2" t="s">
        <v>26</v>
      </c>
      <c r="H4190" s="2" t="s">
        <v>20</v>
      </c>
      <c r="I4190" s="2" t="s">
        <v>23</v>
      </c>
      <c r="J4190" s="2" t="n">
        <v>7</v>
      </c>
      <c r="K4190" s="2" t="s">
        <v>27</v>
      </c>
      <c r="L4190" s="2" t="n">
        <v>548</v>
      </c>
      <c r="M4190" s="2" t="n">
        <v>2</v>
      </c>
      <c r="N4190" s="2" t="n">
        <v>-1</v>
      </c>
      <c r="O4190" s="2" t="n">
        <v>0</v>
      </c>
      <c r="P4190" s="2" t="s">
        <v>23</v>
      </c>
      <c r="Q4190" s="2" t="s">
        <v>20</v>
      </c>
    </row>
    <row r="4191" customFormat="false" ht="15" hidden="false" customHeight="false" outlineLevel="0" collapsed="false">
      <c r="A4191" s="2" t="n">
        <v>30</v>
      </c>
      <c r="B4191" s="2" t="s">
        <v>38</v>
      </c>
      <c r="C4191" s="2" t="s">
        <v>30</v>
      </c>
      <c r="D4191" s="2" t="s">
        <v>31</v>
      </c>
      <c r="E4191" s="2" t="s">
        <v>20</v>
      </c>
      <c r="F4191" s="2" t="n">
        <v>699</v>
      </c>
      <c r="G4191" s="2" t="s">
        <v>26</v>
      </c>
      <c r="H4191" s="2" t="s">
        <v>20</v>
      </c>
      <c r="I4191" s="2" t="s">
        <v>21</v>
      </c>
      <c r="J4191" s="2" t="n">
        <v>11</v>
      </c>
      <c r="K4191" s="2" t="s">
        <v>41</v>
      </c>
      <c r="L4191" s="2" t="n">
        <v>213</v>
      </c>
      <c r="M4191" s="2" t="n">
        <v>4</v>
      </c>
      <c r="N4191" s="2" t="n">
        <v>-1</v>
      </c>
      <c r="O4191" s="2" t="n">
        <v>0</v>
      </c>
      <c r="P4191" s="2" t="s">
        <v>23</v>
      </c>
      <c r="Q4191" s="2" t="s">
        <v>20</v>
      </c>
    </row>
    <row r="4192" customFormat="false" ht="15" hidden="false" customHeight="false" outlineLevel="0" collapsed="false">
      <c r="A4192" s="2" t="n">
        <v>32</v>
      </c>
      <c r="B4192" s="2" t="s">
        <v>34</v>
      </c>
      <c r="C4192" s="2" t="s">
        <v>18</v>
      </c>
      <c r="D4192" s="2" t="s">
        <v>25</v>
      </c>
      <c r="E4192" s="2" t="s">
        <v>20</v>
      </c>
      <c r="F4192" s="2" t="n">
        <v>150</v>
      </c>
      <c r="G4192" s="2" t="s">
        <v>20</v>
      </c>
      <c r="H4192" s="2" t="s">
        <v>20</v>
      </c>
      <c r="I4192" s="2" t="s">
        <v>21</v>
      </c>
      <c r="J4192" s="2" t="n">
        <v>5</v>
      </c>
      <c r="K4192" s="2" t="s">
        <v>35</v>
      </c>
      <c r="L4192" s="2" t="n">
        <v>210</v>
      </c>
      <c r="M4192" s="2" t="n">
        <v>1</v>
      </c>
      <c r="N4192" s="2" t="n">
        <v>-1</v>
      </c>
      <c r="O4192" s="2" t="n">
        <v>0</v>
      </c>
      <c r="P4192" s="2" t="s">
        <v>23</v>
      </c>
      <c r="Q4192" s="2" t="s">
        <v>20</v>
      </c>
    </row>
    <row r="4193" customFormat="false" ht="15" hidden="false" customHeight="false" outlineLevel="0" collapsed="false">
      <c r="A4193" s="2" t="n">
        <v>31</v>
      </c>
      <c r="B4193" s="2" t="s">
        <v>29</v>
      </c>
      <c r="C4193" s="2" t="s">
        <v>30</v>
      </c>
      <c r="D4193" s="2" t="s">
        <v>31</v>
      </c>
      <c r="E4193" s="2" t="s">
        <v>20</v>
      </c>
      <c r="F4193" s="2" t="n">
        <v>1130</v>
      </c>
      <c r="G4193" s="2" t="s">
        <v>26</v>
      </c>
      <c r="H4193" s="2" t="s">
        <v>20</v>
      </c>
      <c r="I4193" s="2" t="s">
        <v>21</v>
      </c>
      <c r="J4193" s="2" t="n">
        <v>17</v>
      </c>
      <c r="K4193" s="2" t="s">
        <v>32</v>
      </c>
      <c r="L4193" s="2" t="n">
        <v>224</v>
      </c>
      <c r="M4193" s="2" t="n">
        <v>3</v>
      </c>
      <c r="N4193" s="2" t="n">
        <v>74</v>
      </c>
      <c r="O4193" s="2" t="n">
        <v>4</v>
      </c>
      <c r="P4193" s="2" t="s">
        <v>28</v>
      </c>
      <c r="Q4193" s="2" t="s">
        <v>20</v>
      </c>
    </row>
    <row r="4194" customFormat="false" ht="15" hidden="false" customHeight="false" outlineLevel="0" collapsed="false">
      <c r="A4194" s="2" t="n">
        <v>29</v>
      </c>
      <c r="B4194" s="2" t="s">
        <v>29</v>
      </c>
      <c r="C4194" s="2" t="s">
        <v>30</v>
      </c>
      <c r="D4194" s="2" t="s">
        <v>25</v>
      </c>
      <c r="E4194" s="2" t="s">
        <v>20</v>
      </c>
      <c r="F4194" s="2" t="n">
        <v>584</v>
      </c>
      <c r="G4194" s="2" t="s">
        <v>26</v>
      </c>
      <c r="H4194" s="2" t="s">
        <v>20</v>
      </c>
      <c r="I4194" s="2" t="s">
        <v>23</v>
      </c>
      <c r="J4194" s="2" t="n">
        <v>16</v>
      </c>
      <c r="K4194" s="2" t="s">
        <v>33</v>
      </c>
      <c r="L4194" s="2" t="n">
        <v>541</v>
      </c>
      <c r="M4194" s="2" t="n">
        <v>19</v>
      </c>
      <c r="N4194" s="2" t="n">
        <v>-1</v>
      </c>
      <c r="O4194" s="2" t="n">
        <v>0</v>
      </c>
      <c r="P4194" s="2" t="s">
        <v>23</v>
      </c>
      <c r="Q4194" s="2" t="s">
        <v>20</v>
      </c>
    </row>
    <row r="4195" customFormat="false" ht="15" hidden="false" customHeight="false" outlineLevel="0" collapsed="false">
      <c r="A4195" s="2" t="n">
        <v>48</v>
      </c>
      <c r="B4195" s="2" t="s">
        <v>24</v>
      </c>
      <c r="C4195" s="2" t="s">
        <v>45</v>
      </c>
      <c r="D4195" s="2" t="s">
        <v>25</v>
      </c>
      <c r="E4195" s="2" t="s">
        <v>20</v>
      </c>
      <c r="F4195" s="2" t="n">
        <v>3186</v>
      </c>
      <c r="G4195" s="2" t="s">
        <v>20</v>
      </c>
      <c r="H4195" s="2" t="s">
        <v>26</v>
      </c>
      <c r="I4195" s="2" t="s">
        <v>21</v>
      </c>
      <c r="J4195" s="2" t="n">
        <v>9</v>
      </c>
      <c r="K4195" s="2" t="s">
        <v>32</v>
      </c>
      <c r="L4195" s="2" t="n">
        <v>104</v>
      </c>
      <c r="M4195" s="2" t="n">
        <v>1</v>
      </c>
      <c r="N4195" s="2" t="n">
        <v>-1</v>
      </c>
      <c r="O4195" s="2" t="n">
        <v>0</v>
      </c>
      <c r="P4195" s="2" t="s">
        <v>23</v>
      </c>
      <c r="Q4195" s="2" t="s">
        <v>20</v>
      </c>
    </row>
    <row r="4196" customFormat="false" ht="15" hidden="false" customHeight="false" outlineLevel="0" collapsed="false">
      <c r="A4196" s="2" t="n">
        <v>32</v>
      </c>
      <c r="B4196" s="2" t="s">
        <v>24</v>
      </c>
      <c r="C4196" s="2" t="s">
        <v>30</v>
      </c>
      <c r="D4196" s="2" t="s">
        <v>25</v>
      </c>
      <c r="E4196" s="2" t="s">
        <v>20</v>
      </c>
      <c r="F4196" s="2" t="n">
        <v>133</v>
      </c>
      <c r="G4196" s="2" t="s">
        <v>20</v>
      </c>
      <c r="H4196" s="2" t="s">
        <v>20</v>
      </c>
      <c r="I4196" s="2" t="s">
        <v>21</v>
      </c>
      <c r="J4196" s="2" t="n">
        <v>15</v>
      </c>
      <c r="K4196" s="2" t="s">
        <v>32</v>
      </c>
      <c r="L4196" s="2" t="n">
        <v>171</v>
      </c>
      <c r="M4196" s="2" t="n">
        <v>1</v>
      </c>
      <c r="N4196" s="2" t="n">
        <v>-1</v>
      </c>
      <c r="O4196" s="2" t="n">
        <v>0</v>
      </c>
      <c r="P4196" s="2" t="s">
        <v>23</v>
      </c>
      <c r="Q4196" s="2" t="s">
        <v>26</v>
      </c>
    </row>
    <row r="4197" customFormat="false" ht="15" hidden="false" customHeight="false" outlineLevel="0" collapsed="false">
      <c r="A4197" s="2" t="n">
        <v>30</v>
      </c>
      <c r="B4197" s="2" t="s">
        <v>47</v>
      </c>
      <c r="C4197" s="2" t="s">
        <v>30</v>
      </c>
      <c r="D4197" s="2" t="s">
        <v>31</v>
      </c>
      <c r="E4197" s="2" t="s">
        <v>20</v>
      </c>
      <c r="F4197" s="2" t="n">
        <v>868</v>
      </c>
      <c r="G4197" s="2" t="s">
        <v>20</v>
      </c>
      <c r="H4197" s="2" t="s">
        <v>20</v>
      </c>
      <c r="I4197" s="2" t="s">
        <v>21</v>
      </c>
      <c r="J4197" s="2" t="n">
        <v>7</v>
      </c>
      <c r="K4197" s="2" t="s">
        <v>41</v>
      </c>
      <c r="L4197" s="2" t="n">
        <v>387</v>
      </c>
      <c r="M4197" s="2" t="n">
        <v>2</v>
      </c>
      <c r="N4197" s="2" t="n">
        <v>-1</v>
      </c>
      <c r="O4197" s="2" t="n">
        <v>0</v>
      </c>
      <c r="P4197" s="2" t="s">
        <v>23</v>
      </c>
      <c r="Q4197" s="2" t="s">
        <v>20</v>
      </c>
    </row>
    <row r="4198" customFormat="false" ht="15" hidden="false" customHeight="false" outlineLevel="0" collapsed="false">
      <c r="A4198" s="2" t="n">
        <v>48</v>
      </c>
      <c r="B4198" s="2" t="s">
        <v>34</v>
      </c>
      <c r="C4198" s="2" t="s">
        <v>18</v>
      </c>
      <c r="D4198" s="2" t="s">
        <v>25</v>
      </c>
      <c r="E4198" s="2" t="s">
        <v>20</v>
      </c>
      <c r="F4198" s="2" t="n">
        <v>480</v>
      </c>
      <c r="G4198" s="2" t="s">
        <v>26</v>
      </c>
      <c r="H4198" s="2" t="s">
        <v>20</v>
      </c>
      <c r="I4198" s="2" t="s">
        <v>21</v>
      </c>
      <c r="J4198" s="2" t="n">
        <v>15</v>
      </c>
      <c r="K4198" s="2" t="s">
        <v>27</v>
      </c>
      <c r="L4198" s="2" t="n">
        <v>830</v>
      </c>
      <c r="M4198" s="2" t="n">
        <v>1</v>
      </c>
      <c r="N4198" s="2" t="n">
        <v>352</v>
      </c>
      <c r="O4198" s="2" t="n">
        <v>2</v>
      </c>
      <c r="P4198" s="2" t="s">
        <v>28</v>
      </c>
      <c r="Q4198" s="2" t="s">
        <v>26</v>
      </c>
    </row>
    <row r="4199" customFormat="false" ht="15" hidden="false" customHeight="false" outlineLevel="0" collapsed="false">
      <c r="A4199" s="2" t="n">
        <v>51</v>
      </c>
      <c r="B4199" s="2" t="s">
        <v>34</v>
      </c>
      <c r="C4199" s="2" t="s">
        <v>18</v>
      </c>
      <c r="D4199" s="2" t="s">
        <v>23</v>
      </c>
      <c r="E4199" s="2" t="s">
        <v>20</v>
      </c>
      <c r="F4199" s="2" t="n">
        <v>1883</v>
      </c>
      <c r="G4199" s="2" t="s">
        <v>26</v>
      </c>
      <c r="H4199" s="2" t="s">
        <v>20</v>
      </c>
      <c r="I4199" s="2" t="s">
        <v>23</v>
      </c>
      <c r="J4199" s="2" t="n">
        <v>5</v>
      </c>
      <c r="K4199" s="2" t="s">
        <v>27</v>
      </c>
      <c r="L4199" s="2" t="n">
        <v>57</v>
      </c>
      <c r="M4199" s="2" t="n">
        <v>1</v>
      </c>
      <c r="N4199" s="2" t="n">
        <v>-1</v>
      </c>
      <c r="O4199" s="2" t="n">
        <v>0</v>
      </c>
      <c r="P4199" s="2" t="s">
        <v>23</v>
      </c>
      <c r="Q4199" s="2" t="s">
        <v>20</v>
      </c>
    </row>
    <row r="4200" customFormat="false" ht="15" hidden="false" customHeight="false" outlineLevel="0" collapsed="false">
      <c r="A4200" s="2" t="n">
        <v>34</v>
      </c>
      <c r="B4200" s="2" t="s">
        <v>29</v>
      </c>
      <c r="C4200" s="2" t="s">
        <v>18</v>
      </c>
      <c r="D4200" s="2" t="s">
        <v>31</v>
      </c>
      <c r="E4200" s="2" t="s">
        <v>20</v>
      </c>
      <c r="F4200" s="2" t="n">
        <v>606</v>
      </c>
      <c r="G4200" s="2" t="s">
        <v>20</v>
      </c>
      <c r="H4200" s="2" t="s">
        <v>20</v>
      </c>
      <c r="I4200" s="2" t="s">
        <v>21</v>
      </c>
      <c r="J4200" s="2" t="n">
        <v>20</v>
      </c>
      <c r="K4200" s="2" t="s">
        <v>32</v>
      </c>
      <c r="L4200" s="2" t="n">
        <v>97</v>
      </c>
      <c r="M4200" s="2" t="n">
        <v>1</v>
      </c>
      <c r="N4200" s="2" t="n">
        <v>-1</v>
      </c>
      <c r="O4200" s="2" t="n">
        <v>0</v>
      </c>
      <c r="P4200" s="2" t="s">
        <v>23</v>
      </c>
      <c r="Q4200" s="2" t="s">
        <v>26</v>
      </c>
    </row>
    <row r="4201" customFormat="false" ht="15" hidden="false" customHeight="false" outlineLevel="0" collapsed="false">
      <c r="A4201" s="2" t="n">
        <v>35</v>
      </c>
      <c r="B4201" s="2" t="s">
        <v>34</v>
      </c>
      <c r="C4201" s="2" t="s">
        <v>18</v>
      </c>
      <c r="D4201" s="2" t="s">
        <v>25</v>
      </c>
      <c r="E4201" s="2" t="s">
        <v>20</v>
      </c>
      <c r="F4201" s="2" t="n">
        <v>603</v>
      </c>
      <c r="G4201" s="2" t="s">
        <v>26</v>
      </c>
      <c r="H4201" s="2" t="s">
        <v>20</v>
      </c>
      <c r="I4201" s="2" t="s">
        <v>21</v>
      </c>
      <c r="J4201" s="2" t="n">
        <v>17</v>
      </c>
      <c r="K4201" s="2" t="s">
        <v>32</v>
      </c>
      <c r="L4201" s="2" t="n">
        <v>474</v>
      </c>
      <c r="M4201" s="2" t="n">
        <v>2</v>
      </c>
      <c r="N4201" s="2" t="n">
        <v>-1</v>
      </c>
      <c r="O4201" s="2" t="n">
        <v>0</v>
      </c>
      <c r="P4201" s="2" t="s">
        <v>23</v>
      </c>
      <c r="Q4201" s="2" t="s">
        <v>20</v>
      </c>
    </row>
    <row r="4202" customFormat="false" ht="15" hidden="false" customHeight="false" outlineLevel="0" collapsed="false">
      <c r="A4202" s="2" t="n">
        <v>49</v>
      </c>
      <c r="B4202" s="2" t="s">
        <v>29</v>
      </c>
      <c r="C4202" s="2" t="s">
        <v>30</v>
      </c>
      <c r="D4202" s="2" t="s">
        <v>19</v>
      </c>
      <c r="E4202" s="2" t="s">
        <v>20</v>
      </c>
      <c r="F4202" s="2" t="n">
        <v>548</v>
      </c>
      <c r="G4202" s="2" t="s">
        <v>20</v>
      </c>
      <c r="H4202" s="2" t="s">
        <v>20</v>
      </c>
      <c r="I4202" s="2" t="s">
        <v>49</v>
      </c>
      <c r="J4202" s="2" t="n">
        <v>31</v>
      </c>
      <c r="K4202" s="2" t="s">
        <v>44</v>
      </c>
      <c r="L4202" s="2" t="n">
        <v>115</v>
      </c>
      <c r="M4202" s="2" t="n">
        <v>6</v>
      </c>
      <c r="N4202" s="2" t="n">
        <v>-1</v>
      </c>
      <c r="O4202" s="2" t="n">
        <v>0</v>
      </c>
      <c r="P4202" s="2" t="s">
        <v>23</v>
      </c>
      <c r="Q4202" s="2" t="s">
        <v>20</v>
      </c>
    </row>
    <row r="4203" customFormat="false" ht="15" hidden="false" customHeight="false" outlineLevel="0" collapsed="false">
      <c r="A4203" s="2" t="n">
        <v>36</v>
      </c>
      <c r="B4203" s="2" t="s">
        <v>17</v>
      </c>
      <c r="C4203" s="2" t="s">
        <v>18</v>
      </c>
      <c r="D4203" s="2" t="s">
        <v>25</v>
      </c>
      <c r="E4203" s="2" t="s">
        <v>20</v>
      </c>
      <c r="F4203" s="2" t="n">
        <v>-872</v>
      </c>
      <c r="G4203" s="2" t="s">
        <v>26</v>
      </c>
      <c r="H4203" s="2" t="s">
        <v>26</v>
      </c>
      <c r="I4203" s="2" t="s">
        <v>21</v>
      </c>
      <c r="J4203" s="2" t="n">
        <v>20</v>
      </c>
      <c r="K4203" s="2" t="s">
        <v>46</v>
      </c>
      <c r="L4203" s="2" t="n">
        <v>153</v>
      </c>
      <c r="M4203" s="2" t="n">
        <v>1</v>
      </c>
      <c r="N4203" s="2" t="n">
        <v>183</v>
      </c>
      <c r="O4203" s="2" t="n">
        <v>1</v>
      </c>
      <c r="P4203" s="2" t="s">
        <v>28</v>
      </c>
      <c r="Q4203" s="2" t="s">
        <v>20</v>
      </c>
    </row>
    <row r="4204" customFormat="false" ht="15" hidden="false" customHeight="false" outlineLevel="0" collapsed="false">
      <c r="A4204" s="2" t="n">
        <v>37</v>
      </c>
      <c r="B4204" s="2" t="s">
        <v>34</v>
      </c>
      <c r="C4204" s="2" t="s">
        <v>45</v>
      </c>
      <c r="D4204" s="2" t="s">
        <v>25</v>
      </c>
      <c r="E4204" s="2" t="s">
        <v>20</v>
      </c>
      <c r="F4204" s="2" t="n">
        <v>33</v>
      </c>
      <c r="G4204" s="2" t="s">
        <v>26</v>
      </c>
      <c r="H4204" s="2" t="s">
        <v>20</v>
      </c>
      <c r="I4204" s="2" t="s">
        <v>21</v>
      </c>
      <c r="J4204" s="2" t="n">
        <v>20</v>
      </c>
      <c r="K4204" s="2" t="s">
        <v>46</v>
      </c>
      <c r="L4204" s="2" t="n">
        <v>106</v>
      </c>
      <c r="M4204" s="2" t="n">
        <v>2</v>
      </c>
      <c r="N4204" s="2" t="n">
        <v>167</v>
      </c>
      <c r="O4204" s="2" t="n">
        <v>1</v>
      </c>
      <c r="P4204" s="2" t="s">
        <v>28</v>
      </c>
      <c r="Q4204" s="2" t="s">
        <v>20</v>
      </c>
    </row>
    <row r="4205" customFormat="false" ht="15" hidden="false" customHeight="false" outlineLevel="0" collapsed="false">
      <c r="A4205" s="2" t="n">
        <v>37</v>
      </c>
      <c r="B4205" s="2" t="s">
        <v>29</v>
      </c>
      <c r="C4205" s="2" t="s">
        <v>18</v>
      </c>
      <c r="D4205" s="2" t="s">
        <v>31</v>
      </c>
      <c r="E4205" s="2" t="s">
        <v>20</v>
      </c>
      <c r="F4205" s="2" t="n">
        <v>1689</v>
      </c>
      <c r="G4205" s="2" t="s">
        <v>26</v>
      </c>
      <c r="H4205" s="2" t="s">
        <v>20</v>
      </c>
      <c r="I4205" s="2" t="s">
        <v>23</v>
      </c>
      <c r="J4205" s="2" t="n">
        <v>29</v>
      </c>
      <c r="K4205" s="2" t="s">
        <v>27</v>
      </c>
      <c r="L4205" s="2" t="n">
        <v>645</v>
      </c>
      <c r="M4205" s="2" t="n">
        <v>2</v>
      </c>
      <c r="N4205" s="2" t="n">
        <v>-1</v>
      </c>
      <c r="O4205" s="2" t="n">
        <v>0</v>
      </c>
      <c r="P4205" s="2" t="s">
        <v>23</v>
      </c>
      <c r="Q4205" s="2" t="s">
        <v>20</v>
      </c>
    </row>
    <row r="4206" customFormat="false" ht="15" hidden="false" customHeight="false" outlineLevel="0" collapsed="false">
      <c r="A4206" s="2" t="n">
        <v>49</v>
      </c>
      <c r="B4206" s="2" t="s">
        <v>34</v>
      </c>
      <c r="C4206" s="2" t="s">
        <v>18</v>
      </c>
      <c r="D4206" s="2" t="s">
        <v>19</v>
      </c>
      <c r="E4206" s="2" t="s">
        <v>20</v>
      </c>
      <c r="F4206" s="2" t="n">
        <v>902</v>
      </c>
      <c r="G4206" s="2" t="s">
        <v>20</v>
      </c>
      <c r="H4206" s="2" t="s">
        <v>20</v>
      </c>
      <c r="I4206" s="2" t="s">
        <v>23</v>
      </c>
      <c r="J4206" s="2" t="n">
        <v>9</v>
      </c>
      <c r="K4206" s="2" t="s">
        <v>33</v>
      </c>
      <c r="L4206" s="2" t="n">
        <v>210</v>
      </c>
      <c r="M4206" s="2" t="n">
        <v>2</v>
      </c>
      <c r="N4206" s="2" t="n">
        <v>-1</v>
      </c>
      <c r="O4206" s="2" t="n">
        <v>0</v>
      </c>
      <c r="P4206" s="2" t="s">
        <v>23</v>
      </c>
      <c r="Q4206" s="2" t="s">
        <v>20</v>
      </c>
    </row>
    <row r="4207" customFormat="false" ht="15" hidden="false" customHeight="false" outlineLevel="0" collapsed="false">
      <c r="A4207" s="2" t="n">
        <v>44</v>
      </c>
      <c r="B4207" s="2" t="s">
        <v>24</v>
      </c>
      <c r="C4207" s="2" t="s">
        <v>45</v>
      </c>
      <c r="D4207" s="2" t="s">
        <v>25</v>
      </c>
      <c r="E4207" s="2" t="s">
        <v>20</v>
      </c>
      <c r="F4207" s="2" t="n">
        <v>0</v>
      </c>
      <c r="G4207" s="2" t="s">
        <v>26</v>
      </c>
      <c r="H4207" s="2" t="s">
        <v>26</v>
      </c>
      <c r="I4207" s="2" t="s">
        <v>23</v>
      </c>
      <c r="J4207" s="2" t="n">
        <v>13</v>
      </c>
      <c r="K4207" s="2" t="s">
        <v>27</v>
      </c>
      <c r="L4207" s="2" t="n">
        <v>97</v>
      </c>
      <c r="M4207" s="2" t="n">
        <v>1</v>
      </c>
      <c r="N4207" s="2" t="n">
        <v>-1</v>
      </c>
      <c r="O4207" s="2" t="n">
        <v>0</v>
      </c>
      <c r="P4207" s="2" t="s">
        <v>23</v>
      </c>
      <c r="Q4207" s="2" t="s">
        <v>20</v>
      </c>
    </row>
    <row r="4208" customFormat="false" ht="15" hidden="false" customHeight="false" outlineLevel="0" collapsed="false">
      <c r="A4208" s="2" t="n">
        <v>40</v>
      </c>
      <c r="B4208" s="2" t="s">
        <v>42</v>
      </c>
      <c r="C4208" s="2" t="s">
        <v>18</v>
      </c>
      <c r="D4208" s="2" t="s">
        <v>25</v>
      </c>
      <c r="E4208" s="2" t="s">
        <v>20</v>
      </c>
      <c r="F4208" s="2" t="n">
        <v>260</v>
      </c>
      <c r="G4208" s="2" t="s">
        <v>20</v>
      </c>
      <c r="H4208" s="2" t="s">
        <v>20</v>
      </c>
      <c r="I4208" s="2" t="s">
        <v>21</v>
      </c>
      <c r="J4208" s="2" t="n">
        <v>19</v>
      </c>
      <c r="K4208" s="2" t="s">
        <v>46</v>
      </c>
      <c r="L4208" s="2" t="n">
        <v>52</v>
      </c>
      <c r="M4208" s="2" t="n">
        <v>1</v>
      </c>
      <c r="N4208" s="2" t="n">
        <v>152</v>
      </c>
      <c r="O4208" s="2" t="n">
        <v>6</v>
      </c>
      <c r="P4208" s="2" t="s">
        <v>28</v>
      </c>
      <c r="Q4208" s="2" t="s">
        <v>20</v>
      </c>
    </row>
    <row r="4209" customFormat="false" ht="15" hidden="false" customHeight="false" outlineLevel="0" collapsed="false">
      <c r="A4209" s="2" t="n">
        <v>57</v>
      </c>
      <c r="B4209" s="2" t="s">
        <v>38</v>
      </c>
      <c r="C4209" s="2" t="s">
        <v>18</v>
      </c>
      <c r="D4209" s="2" t="s">
        <v>25</v>
      </c>
      <c r="E4209" s="2" t="s">
        <v>20</v>
      </c>
      <c r="F4209" s="2" t="n">
        <v>589</v>
      </c>
      <c r="G4209" s="2" t="s">
        <v>26</v>
      </c>
      <c r="H4209" s="2" t="s">
        <v>20</v>
      </c>
      <c r="I4209" s="2" t="s">
        <v>21</v>
      </c>
      <c r="J4209" s="2" t="n">
        <v>2</v>
      </c>
      <c r="K4209" s="2" t="s">
        <v>35</v>
      </c>
      <c r="L4209" s="2" t="n">
        <v>223</v>
      </c>
      <c r="M4209" s="2" t="n">
        <v>1</v>
      </c>
      <c r="N4209" s="2" t="n">
        <v>76</v>
      </c>
      <c r="O4209" s="2" t="n">
        <v>4</v>
      </c>
      <c r="P4209" s="2" t="s">
        <v>28</v>
      </c>
      <c r="Q4209" s="2" t="s">
        <v>20</v>
      </c>
    </row>
    <row r="4210" customFormat="false" ht="15" hidden="false" customHeight="false" outlineLevel="0" collapsed="false">
      <c r="A4210" s="2" t="n">
        <v>39</v>
      </c>
      <c r="B4210" s="2" t="s">
        <v>38</v>
      </c>
      <c r="C4210" s="2" t="s">
        <v>18</v>
      </c>
      <c r="D4210" s="2" t="s">
        <v>25</v>
      </c>
      <c r="E4210" s="2" t="s">
        <v>20</v>
      </c>
      <c r="F4210" s="2" t="n">
        <v>626</v>
      </c>
      <c r="G4210" s="2" t="s">
        <v>26</v>
      </c>
      <c r="H4210" s="2" t="s">
        <v>20</v>
      </c>
      <c r="I4210" s="2" t="s">
        <v>21</v>
      </c>
      <c r="J4210" s="2" t="n">
        <v>11</v>
      </c>
      <c r="K4210" s="2" t="s">
        <v>27</v>
      </c>
      <c r="L4210" s="2" t="n">
        <v>126</v>
      </c>
      <c r="M4210" s="2" t="n">
        <v>2</v>
      </c>
      <c r="N4210" s="2" t="n">
        <v>-1</v>
      </c>
      <c r="O4210" s="2" t="n">
        <v>0</v>
      </c>
      <c r="P4210" s="2" t="s">
        <v>23</v>
      </c>
      <c r="Q4210" s="2" t="s">
        <v>20</v>
      </c>
    </row>
    <row r="4211" customFormat="false" ht="15" hidden="false" customHeight="false" outlineLevel="0" collapsed="false">
      <c r="A4211" s="2" t="n">
        <v>38</v>
      </c>
      <c r="B4211" s="2" t="s">
        <v>24</v>
      </c>
      <c r="C4211" s="2" t="s">
        <v>18</v>
      </c>
      <c r="D4211" s="2" t="s">
        <v>25</v>
      </c>
      <c r="E4211" s="2" t="s">
        <v>20</v>
      </c>
      <c r="F4211" s="2" t="n">
        <v>0</v>
      </c>
      <c r="G4211" s="2" t="s">
        <v>20</v>
      </c>
      <c r="H4211" s="2" t="s">
        <v>26</v>
      </c>
      <c r="I4211" s="2" t="s">
        <v>21</v>
      </c>
      <c r="J4211" s="2" t="n">
        <v>16</v>
      </c>
      <c r="K4211" s="2" t="s">
        <v>44</v>
      </c>
      <c r="L4211" s="2" t="n">
        <v>1473</v>
      </c>
      <c r="M4211" s="2" t="n">
        <v>6</v>
      </c>
      <c r="N4211" s="2" t="n">
        <v>-1</v>
      </c>
      <c r="O4211" s="2" t="n">
        <v>0</v>
      </c>
      <c r="P4211" s="2" t="s">
        <v>23</v>
      </c>
      <c r="Q4211" s="2" t="s">
        <v>20</v>
      </c>
    </row>
    <row r="4212" customFormat="false" ht="15" hidden="false" customHeight="false" outlineLevel="0" collapsed="false">
      <c r="A4212" s="2" t="n">
        <v>51</v>
      </c>
      <c r="B4212" s="2" t="s">
        <v>34</v>
      </c>
      <c r="C4212" s="2" t="s">
        <v>45</v>
      </c>
      <c r="D4212" s="2" t="s">
        <v>25</v>
      </c>
      <c r="E4212" s="2" t="s">
        <v>20</v>
      </c>
      <c r="F4212" s="2" t="n">
        <v>78</v>
      </c>
      <c r="G4212" s="2" t="s">
        <v>26</v>
      </c>
      <c r="H4212" s="2" t="s">
        <v>20</v>
      </c>
      <c r="I4212" s="2" t="s">
        <v>23</v>
      </c>
      <c r="J4212" s="2" t="n">
        <v>27</v>
      </c>
      <c r="K4212" s="2" t="s">
        <v>27</v>
      </c>
      <c r="L4212" s="2" t="n">
        <v>723</v>
      </c>
      <c r="M4212" s="2" t="n">
        <v>2</v>
      </c>
      <c r="N4212" s="2" t="n">
        <v>-1</v>
      </c>
      <c r="O4212" s="2" t="n">
        <v>0</v>
      </c>
      <c r="P4212" s="2" t="s">
        <v>23</v>
      </c>
      <c r="Q4212" s="2" t="s">
        <v>20</v>
      </c>
    </row>
    <row r="4213" customFormat="false" ht="15" hidden="false" customHeight="false" outlineLevel="0" collapsed="false">
      <c r="A4213" s="2" t="n">
        <v>27</v>
      </c>
      <c r="B4213" s="2" t="s">
        <v>34</v>
      </c>
      <c r="C4213" s="2" t="s">
        <v>30</v>
      </c>
      <c r="D4213" s="2" t="s">
        <v>25</v>
      </c>
      <c r="E4213" s="2" t="s">
        <v>20</v>
      </c>
      <c r="F4213" s="2" t="n">
        <v>3792</v>
      </c>
      <c r="G4213" s="2" t="s">
        <v>20</v>
      </c>
      <c r="H4213" s="2" t="s">
        <v>20</v>
      </c>
      <c r="I4213" s="2" t="s">
        <v>21</v>
      </c>
      <c r="J4213" s="2" t="n">
        <v>22</v>
      </c>
      <c r="K4213" s="2" t="s">
        <v>32</v>
      </c>
      <c r="L4213" s="2" t="n">
        <v>279</v>
      </c>
      <c r="M4213" s="2" t="n">
        <v>2</v>
      </c>
      <c r="N4213" s="2" t="n">
        <v>-1</v>
      </c>
      <c r="O4213" s="2" t="n">
        <v>0</v>
      </c>
      <c r="P4213" s="2" t="s">
        <v>23</v>
      </c>
      <c r="Q4213" s="2" t="s">
        <v>26</v>
      </c>
    </row>
    <row r="4214" customFormat="false" ht="15" hidden="false" customHeight="false" outlineLevel="0" collapsed="false">
      <c r="A4214" s="2" t="n">
        <v>38</v>
      </c>
      <c r="B4214" s="2" t="s">
        <v>34</v>
      </c>
      <c r="C4214" s="2" t="s">
        <v>30</v>
      </c>
      <c r="D4214" s="2" t="s">
        <v>31</v>
      </c>
      <c r="E4214" s="2" t="s">
        <v>20</v>
      </c>
      <c r="F4214" s="2" t="n">
        <v>14058</v>
      </c>
      <c r="G4214" s="2" t="s">
        <v>20</v>
      </c>
      <c r="H4214" s="2" t="s">
        <v>20</v>
      </c>
      <c r="I4214" s="2" t="s">
        <v>49</v>
      </c>
      <c r="J4214" s="2" t="n">
        <v>17</v>
      </c>
      <c r="K4214" s="2" t="s">
        <v>44</v>
      </c>
      <c r="L4214" s="2" t="n">
        <v>293</v>
      </c>
      <c r="M4214" s="2" t="n">
        <v>20</v>
      </c>
      <c r="N4214" s="2" t="n">
        <v>-1</v>
      </c>
      <c r="O4214" s="2" t="n">
        <v>0</v>
      </c>
      <c r="P4214" s="2" t="s">
        <v>23</v>
      </c>
      <c r="Q4214" s="2" t="s">
        <v>20</v>
      </c>
    </row>
    <row r="4215" customFormat="false" ht="15" hidden="false" customHeight="false" outlineLevel="0" collapsed="false">
      <c r="A4215" s="2" t="n">
        <v>30</v>
      </c>
      <c r="B4215" s="2" t="s">
        <v>38</v>
      </c>
      <c r="C4215" s="2" t="s">
        <v>30</v>
      </c>
      <c r="D4215" s="2" t="s">
        <v>25</v>
      </c>
      <c r="E4215" s="2" t="s">
        <v>20</v>
      </c>
      <c r="F4215" s="2" t="n">
        <v>-522</v>
      </c>
      <c r="G4215" s="2" t="s">
        <v>26</v>
      </c>
      <c r="H4215" s="2" t="s">
        <v>26</v>
      </c>
      <c r="I4215" s="2" t="s">
        <v>21</v>
      </c>
      <c r="J4215" s="2" t="n">
        <v>5</v>
      </c>
      <c r="K4215" s="2" t="s">
        <v>27</v>
      </c>
      <c r="L4215" s="2" t="n">
        <v>670</v>
      </c>
      <c r="M4215" s="2" t="n">
        <v>2</v>
      </c>
      <c r="N4215" s="2" t="n">
        <v>286</v>
      </c>
      <c r="O4215" s="2" t="n">
        <v>6</v>
      </c>
      <c r="P4215" s="2" t="s">
        <v>28</v>
      </c>
      <c r="Q4215" s="2" t="s">
        <v>26</v>
      </c>
    </row>
    <row r="4216" customFormat="false" ht="15" hidden="false" customHeight="false" outlineLevel="0" collapsed="false">
      <c r="A4216" s="2" t="n">
        <v>36</v>
      </c>
      <c r="B4216" s="2" t="s">
        <v>42</v>
      </c>
      <c r="C4216" s="2" t="s">
        <v>30</v>
      </c>
      <c r="D4216" s="2" t="s">
        <v>23</v>
      </c>
      <c r="E4216" s="2" t="s">
        <v>20</v>
      </c>
      <c r="F4216" s="2" t="n">
        <v>386</v>
      </c>
      <c r="G4216" s="2" t="s">
        <v>20</v>
      </c>
      <c r="H4216" s="2" t="s">
        <v>20</v>
      </c>
      <c r="I4216" s="2" t="s">
        <v>23</v>
      </c>
      <c r="J4216" s="2" t="n">
        <v>18</v>
      </c>
      <c r="K4216" s="2" t="s">
        <v>33</v>
      </c>
      <c r="L4216" s="2" t="n">
        <v>359</v>
      </c>
      <c r="M4216" s="2" t="n">
        <v>2</v>
      </c>
      <c r="N4216" s="2" t="n">
        <v>-1</v>
      </c>
      <c r="O4216" s="2" t="n">
        <v>0</v>
      </c>
      <c r="P4216" s="2" t="s">
        <v>23</v>
      </c>
      <c r="Q4216" s="2" t="s">
        <v>20</v>
      </c>
    </row>
    <row r="4217" customFormat="false" ht="15" hidden="false" customHeight="false" outlineLevel="0" collapsed="false">
      <c r="A4217" s="2" t="n">
        <v>37</v>
      </c>
      <c r="B4217" s="2" t="s">
        <v>17</v>
      </c>
      <c r="C4217" s="2" t="s">
        <v>18</v>
      </c>
      <c r="D4217" s="2" t="s">
        <v>25</v>
      </c>
      <c r="E4217" s="2" t="s">
        <v>20</v>
      </c>
      <c r="F4217" s="2" t="n">
        <v>1978</v>
      </c>
      <c r="G4217" s="2" t="s">
        <v>20</v>
      </c>
      <c r="H4217" s="2" t="s">
        <v>20</v>
      </c>
      <c r="I4217" s="2" t="s">
        <v>21</v>
      </c>
      <c r="J4217" s="2" t="n">
        <v>9</v>
      </c>
      <c r="K4217" s="2" t="s">
        <v>51</v>
      </c>
      <c r="L4217" s="2" t="n">
        <v>404</v>
      </c>
      <c r="M4217" s="2" t="n">
        <v>1</v>
      </c>
      <c r="N4217" s="2" t="n">
        <v>182</v>
      </c>
      <c r="O4217" s="2" t="n">
        <v>1</v>
      </c>
      <c r="P4217" s="2" t="s">
        <v>50</v>
      </c>
      <c r="Q4217" s="2" t="s">
        <v>26</v>
      </c>
    </row>
    <row r="4218" customFormat="false" ht="15" hidden="false" customHeight="false" outlineLevel="0" collapsed="false">
      <c r="A4218" s="2" t="n">
        <v>53</v>
      </c>
      <c r="B4218" s="2" t="s">
        <v>40</v>
      </c>
      <c r="C4218" s="2" t="s">
        <v>18</v>
      </c>
      <c r="D4218" s="2" t="s">
        <v>25</v>
      </c>
      <c r="E4218" s="2" t="s">
        <v>20</v>
      </c>
      <c r="F4218" s="2" t="n">
        <v>459</v>
      </c>
      <c r="G4218" s="2" t="s">
        <v>20</v>
      </c>
      <c r="H4218" s="2" t="s">
        <v>20</v>
      </c>
      <c r="I4218" s="2" t="s">
        <v>21</v>
      </c>
      <c r="J4218" s="2" t="n">
        <v>14</v>
      </c>
      <c r="K4218" s="2" t="s">
        <v>22</v>
      </c>
      <c r="L4218" s="2" t="n">
        <v>317</v>
      </c>
      <c r="M4218" s="2" t="n">
        <v>6</v>
      </c>
      <c r="N4218" s="2" t="n">
        <v>192</v>
      </c>
      <c r="O4218" s="2" t="n">
        <v>1</v>
      </c>
      <c r="P4218" s="2" t="s">
        <v>50</v>
      </c>
      <c r="Q4218" s="2" t="s">
        <v>20</v>
      </c>
    </row>
    <row r="4219" customFormat="false" ht="15" hidden="false" customHeight="false" outlineLevel="0" collapsed="false">
      <c r="A4219" s="2" t="n">
        <v>38</v>
      </c>
      <c r="B4219" s="2" t="s">
        <v>17</v>
      </c>
      <c r="C4219" s="2" t="s">
        <v>18</v>
      </c>
      <c r="D4219" s="2" t="s">
        <v>31</v>
      </c>
      <c r="E4219" s="2" t="s">
        <v>20</v>
      </c>
      <c r="F4219" s="2" t="n">
        <v>2812</v>
      </c>
      <c r="G4219" s="2" t="s">
        <v>26</v>
      </c>
      <c r="H4219" s="2" t="s">
        <v>20</v>
      </c>
      <c r="I4219" s="2" t="s">
        <v>21</v>
      </c>
      <c r="J4219" s="2" t="n">
        <v>30</v>
      </c>
      <c r="K4219" s="2" t="s">
        <v>32</v>
      </c>
      <c r="L4219" s="2" t="n">
        <v>830</v>
      </c>
      <c r="M4219" s="2" t="n">
        <v>1</v>
      </c>
      <c r="N4219" s="2" t="n">
        <v>-1</v>
      </c>
      <c r="O4219" s="2" t="n">
        <v>0</v>
      </c>
      <c r="P4219" s="2" t="s">
        <v>23</v>
      </c>
      <c r="Q4219" s="2" t="s">
        <v>26</v>
      </c>
    </row>
    <row r="4220" customFormat="false" ht="15" hidden="false" customHeight="false" outlineLevel="0" collapsed="false">
      <c r="A4220" s="2" t="n">
        <v>48</v>
      </c>
      <c r="B4220" s="2" t="s">
        <v>29</v>
      </c>
      <c r="C4220" s="2" t="s">
        <v>18</v>
      </c>
      <c r="D4220" s="2" t="s">
        <v>31</v>
      </c>
      <c r="E4220" s="2" t="s">
        <v>20</v>
      </c>
      <c r="F4220" s="2" t="n">
        <v>5057</v>
      </c>
      <c r="G4220" s="2" t="s">
        <v>20</v>
      </c>
      <c r="H4220" s="2" t="s">
        <v>26</v>
      </c>
      <c r="I4220" s="2" t="s">
        <v>21</v>
      </c>
      <c r="J4220" s="2" t="n">
        <v>19</v>
      </c>
      <c r="K4220" s="2" t="s">
        <v>46</v>
      </c>
      <c r="L4220" s="2" t="n">
        <v>37</v>
      </c>
      <c r="M4220" s="2" t="n">
        <v>1</v>
      </c>
      <c r="N4220" s="2" t="n">
        <v>-1</v>
      </c>
      <c r="O4220" s="2" t="n">
        <v>0</v>
      </c>
      <c r="P4220" s="2" t="s">
        <v>23</v>
      </c>
      <c r="Q4220" s="2" t="s">
        <v>20</v>
      </c>
    </row>
    <row r="4221" customFormat="false" ht="15" hidden="false" customHeight="false" outlineLevel="0" collapsed="false">
      <c r="A4221" s="2" t="n">
        <v>26</v>
      </c>
      <c r="B4221" s="2" t="s">
        <v>47</v>
      </c>
      <c r="C4221" s="2" t="s">
        <v>18</v>
      </c>
      <c r="D4221" s="2" t="s">
        <v>25</v>
      </c>
      <c r="E4221" s="2" t="s">
        <v>20</v>
      </c>
      <c r="F4221" s="2" t="n">
        <v>-759</v>
      </c>
      <c r="G4221" s="2" t="s">
        <v>26</v>
      </c>
      <c r="H4221" s="2" t="s">
        <v>20</v>
      </c>
      <c r="I4221" s="2" t="s">
        <v>21</v>
      </c>
      <c r="J4221" s="2" t="n">
        <v>11</v>
      </c>
      <c r="K4221" s="2" t="s">
        <v>44</v>
      </c>
      <c r="L4221" s="2" t="n">
        <v>191</v>
      </c>
      <c r="M4221" s="2" t="n">
        <v>1</v>
      </c>
      <c r="N4221" s="2" t="n">
        <v>-1</v>
      </c>
      <c r="O4221" s="2" t="n">
        <v>0</v>
      </c>
      <c r="P4221" s="2" t="s">
        <v>23</v>
      </c>
      <c r="Q4221" s="2" t="s">
        <v>20</v>
      </c>
    </row>
    <row r="4222" customFormat="false" ht="15" hidden="false" customHeight="false" outlineLevel="0" collapsed="false">
      <c r="A4222" s="2" t="n">
        <v>33</v>
      </c>
      <c r="B4222" s="2" t="s">
        <v>34</v>
      </c>
      <c r="C4222" s="2" t="s">
        <v>30</v>
      </c>
      <c r="D4222" s="2" t="s">
        <v>25</v>
      </c>
      <c r="E4222" s="2" t="s">
        <v>20</v>
      </c>
      <c r="F4222" s="2" t="n">
        <v>-416</v>
      </c>
      <c r="G4222" s="2" t="s">
        <v>26</v>
      </c>
      <c r="H4222" s="2" t="s">
        <v>20</v>
      </c>
      <c r="I4222" s="2" t="s">
        <v>23</v>
      </c>
      <c r="J4222" s="2" t="n">
        <v>16</v>
      </c>
      <c r="K4222" s="2" t="s">
        <v>27</v>
      </c>
      <c r="L4222" s="2" t="n">
        <v>767</v>
      </c>
      <c r="M4222" s="2" t="n">
        <v>2</v>
      </c>
      <c r="N4222" s="2" t="n">
        <v>-1</v>
      </c>
      <c r="O4222" s="2" t="n">
        <v>0</v>
      </c>
      <c r="P4222" s="2" t="s">
        <v>23</v>
      </c>
      <c r="Q4222" s="2" t="s">
        <v>26</v>
      </c>
    </row>
    <row r="4223" customFormat="false" ht="15" hidden="false" customHeight="false" outlineLevel="0" collapsed="false">
      <c r="A4223" s="2" t="n">
        <v>47</v>
      </c>
      <c r="B4223" s="2" t="s">
        <v>38</v>
      </c>
      <c r="C4223" s="2" t="s">
        <v>18</v>
      </c>
      <c r="D4223" s="2" t="s">
        <v>23</v>
      </c>
      <c r="E4223" s="2" t="s">
        <v>20</v>
      </c>
      <c r="F4223" s="2" t="n">
        <v>2106</v>
      </c>
      <c r="G4223" s="2" t="s">
        <v>26</v>
      </c>
      <c r="H4223" s="2" t="s">
        <v>20</v>
      </c>
      <c r="I4223" s="2" t="s">
        <v>23</v>
      </c>
      <c r="J4223" s="2" t="n">
        <v>6</v>
      </c>
      <c r="K4223" s="2" t="s">
        <v>27</v>
      </c>
      <c r="L4223" s="2" t="n">
        <v>168</v>
      </c>
      <c r="M4223" s="2" t="n">
        <v>1</v>
      </c>
      <c r="N4223" s="2" t="n">
        <v>-1</v>
      </c>
      <c r="O4223" s="2" t="n">
        <v>0</v>
      </c>
      <c r="P4223" s="2" t="s">
        <v>23</v>
      </c>
      <c r="Q4223" s="2" t="s">
        <v>20</v>
      </c>
    </row>
    <row r="4224" customFormat="false" ht="15" hidden="false" customHeight="false" outlineLevel="0" collapsed="false">
      <c r="A4224" s="2" t="n">
        <v>45</v>
      </c>
      <c r="B4224" s="2" t="s">
        <v>29</v>
      </c>
      <c r="C4224" s="2" t="s">
        <v>45</v>
      </c>
      <c r="D4224" s="2" t="s">
        <v>31</v>
      </c>
      <c r="E4224" s="2" t="s">
        <v>20</v>
      </c>
      <c r="F4224" s="2" t="n">
        <v>220</v>
      </c>
      <c r="G4224" s="2" t="s">
        <v>26</v>
      </c>
      <c r="H4224" s="2" t="s">
        <v>20</v>
      </c>
      <c r="I4224" s="2" t="s">
        <v>23</v>
      </c>
      <c r="J4224" s="2" t="n">
        <v>18</v>
      </c>
      <c r="K4224" s="2" t="s">
        <v>33</v>
      </c>
      <c r="L4224" s="2" t="n">
        <v>89</v>
      </c>
      <c r="M4224" s="2" t="n">
        <v>4</v>
      </c>
      <c r="N4224" s="2" t="n">
        <v>-1</v>
      </c>
      <c r="O4224" s="2" t="n">
        <v>0</v>
      </c>
      <c r="P4224" s="2" t="s">
        <v>23</v>
      </c>
      <c r="Q4224" s="2" t="s">
        <v>20</v>
      </c>
    </row>
    <row r="4225" customFormat="false" ht="15" hidden="false" customHeight="false" outlineLevel="0" collapsed="false">
      <c r="A4225" s="2" t="n">
        <v>32</v>
      </c>
      <c r="B4225" s="2" t="s">
        <v>34</v>
      </c>
      <c r="C4225" s="2" t="s">
        <v>45</v>
      </c>
      <c r="D4225" s="2" t="s">
        <v>25</v>
      </c>
      <c r="E4225" s="2" t="s">
        <v>20</v>
      </c>
      <c r="F4225" s="2" t="n">
        <v>0</v>
      </c>
      <c r="G4225" s="2" t="s">
        <v>26</v>
      </c>
      <c r="H4225" s="2" t="s">
        <v>20</v>
      </c>
      <c r="I4225" s="2" t="s">
        <v>23</v>
      </c>
      <c r="J4225" s="2" t="n">
        <v>2</v>
      </c>
      <c r="K4225" s="2" t="s">
        <v>33</v>
      </c>
      <c r="L4225" s="2" t="n">
        <v>746</v>
      </c>
      <c r="M4225" s="2" t="n">
        <v>2</v>
      </c>
      <c r="N4225" s="2" t="n">
        <v>-1</v>
      </c>
      <c r="O4225" s="2" t="n">
        <v>0</v>
      </c>
      <c r="P4225" s="2" t="s">
        <v>23</v>
      </c>
      <c r="Q4225" s="2" t="s">
        <v>20</v>
      </c>
    </row>
    <row r="4226" customFormat="false" ht="15" hidden="false" customHeight="false" outlineLevel="0" collapsed="false">
      <c r="A4226" s="2" t="n">
        <v>69</v>
      </c>
      <c r="B4226" s="2" t="s">
        <v>48</v>
      </c>
      <c r="C4226" s="2" t="s">
        <v>18</v>
      </c>
      <c r="D4226" s="2" t="s">
        <v>23</v>
      </c>
      <c r="E4226" s="2" t="s">
        <v>20</v>
      </c>
      <c r="F4226" s="2" t="n">
        <v>426</v>
      </c>
      <c r="G4226" s="2" t="s">
        <v>20</v>
      </c>
      <c r="H4226" s="2" t="s">
        <v>20</v>
      </c>
      <c r="I4226" s="2" t="s">
        <v>49</v>
      </c>
      <c r="J4226" s="2" t="n">
        <v>9</v>
      </c>
      <c r="K4226" s="2" t="s">
        <v>52</v>
      </c>
      <c r="L4226" s="2" t="n">
        <v>225</v>
      </c>
      <c r="M4226" s="2" t="n">
        <v>1</v>
      </c>
      <c r="N4226" s="2" t="n">
        <v>90</v>
      </c>
      <c r="O4226" s="2" t="n">
        <v>1</v>
      </c>
      <c r="P4226" s="2" t="s">
        <v>50</v>
      </c>
      <c r="Q4226" s="2" t="s">
        <v>26</v>
      </c>
    </row>
    <row r="4227" customFormat="false" ht="15" hidden="false" customHeight="false" outlineLevel="0" collapsed="false">
      <c r="A4227" s="2" t="n">
        <v>65</v>
      </c>
      <c r="B4227" s="2" t="s">
        <v>23</v>
      </c>
      <c r="C4227" s="2" t="s">
        <v>18</v>
      </c>
      <c r="D4227" s="2" t="s">
        <v>23</v>
      </c>
      <c r="E4227" s="2" t="s">
        <v>20</v>
      </c>
      <c r="F4227" s="2" t="n">
        <v>4717</v>
      </c>
      <c r="G4227" s="2" t="s">
        <v>20</v>
      </c>
      <c r="H4227" s="2" t="s">
        <v>20</v>
      </c>
      <c r="I4227" s="2" t="s">
        <v>49</v>
      </c>
      <c r="J4227" s="2" t="n">
        <v>6</v>
      </c>
      <c r="K4227" s="2" t="s">
        <v>41</v>
      </c>
      <c r="L4227" s="2" t="n">
        <v>256</v>
      </c>
      <c r="M4227" s="2" t="n">
        <v>1</v>
      </c>
      <c r="N4227" s="2" t="n">
        <v>-1</v>
      </c>
      <c r="O4227" s="2" t="n">
        <v>0</v>
      </c>
      <c r="P4227" s="2" t="s">
        <v>23</v>
      </c>
      <c r="Q4227" s="2" t="s">
        <v>26</v>
      </c>
    </row>
    <row r="4228" customFormat="false" ht="15" hidden="false" customHeight="false" outlineLevel="0" collapsed="false">
      <c r="A4228" s="2" t="n">
        <v>37</v>
      </c>
      <c r="B4228" s="2" t="s">
        <v>34</v>
      </c>
      <c r="C4228" s="2" t="s">
        <v>18</v>
      </c>
      <c r="D4228" s="2" t="s">
        <v>25</v>
      </c>
      <c r="E4228" s="2" t="s">
        <v>20</v>
      </c>
      <c r="F4228" s="2" t="n">
        <v>395</v>
      </c>
      <c r="G4228" s="2" t="s">
        <v>26</v>
      </c>
      <c r="H4228" s="2" t="s">
        <v>20</v>
      </c>
      <c r="I4228" s="2" t="s">
        <v>23</v>
      </c>
      <c r="J4228" s="2" t="n">
        <v>6</v>
      </c>
      <c r="K4228" s="2" t="s">
        <v>27</v>
      </c>
      <c r="L4228" s="2" t="n">
        <v>219</v>
      </c>
      <c r="M4228" s="2" t="n">
        <v>2</v>
      </c>
      <c r="N4228" s="2" t="n">
        <v>-1</v>
      </c>
      <c r="O4228" s="2" t="n">
        <v>0</v>
      </c>
      <c r="P4228" s="2" t="s">
        <v>23</v>
      </c>
      <c r="Q4228" s="2" t="s">
        <v>20</v>
      </c>
    </row>
    <row r="4229" customFormat="false" ht="15" hidden="false" customHeight="false" outlineLevel="0" collapsed="false">
      <c r="A4229" s="2" t="n">
        <v>45</v>
      </c>
      <c r="B4229" s="2" t="s">
        <v>34</v>
      </c>
      <c r="C4229" s="2" t="s">
        <v>45</v>
      </c>
      <c r="D4229" s="2" t="s">
        <v>19</v>
      </c>
      <c r="E4229" s="2" t="s">
        <v>20</v>
      </c>
      <c r="F4229" s="2" t="n">
        <v>0</v>
      </c>
      <c r="G4229" s="2" t="s">
        <v>26</v>
      </c>
      <c r="H4229" s="2" t="s">
        <v>20</v>
      </c>
      <c r="I4229" s="2" t="s">
        <v>21</v>
      </c>
      <c r="J4229" s="2" t="n">
        <v>21</v>
      </c>
      <c r="K4229" s="2" t="s">
        <v>44</v>
      </c>
      <c r="L4229" s="2" t="n">
        <v>211</v>
      </c>
      <c r="M4229" s="2" t="n">
        <v>2</v>
      </c>
      <c r="N4229" s="2" t="n">
        <v>-1</v>
      </c>
      <c r="O4229" s="2" t="n">
        <v>0</v>
      </c>
      <c r="P4229" s="2" t="s">
        <v>23</v>
      </c>
      <c r="Q4229" s="2" t="s">
        <v>20</v>
      </c>
    </row>
    <row r="4230" customFormat="false" ht="15" hidden="false" customHeight="false" outlineLevel="0" collapsed="false">
      <c r="A4230" s="2" t="n">
        <v>36</v>
      </c>
      <c r="B4230" s="2" t="s">
        <v>34</v>
      </c>
      <c r="C4230" s="2" t="s">
        <v>18</v>
      </c>
      <c r="D4230" s="2" t="s">
        <v>25</v>
      </c>
      <c r="E4230" s="2" t="s">
        <v>20</v>
      </c>
      <c r="F4230" s="2" t="n">
        <v>-206</v>
      </c>
      <c r="G4230" s="2" t="s">
        <v>26</v>
      </c>
      <c r="H4230" s="2" t="s">
        <v>20</v>
      </c>
      <c r="I4230" s="2" t="s">
        <v>23</v>
      </c>
      <c r="J4230" s="2" t="n">
        <v>8</v>
      </c>
      <c r="K4230" s="2" t="s">
        <v>27</v>
      </c>
      <c r="L4230" s="2" t="n">
        <v>177</v>
      </c>
      <c r="M4230" s="2" t="n">
        <v>2</v>
      </c>
      <c r="N4230" s="2" t="n">
        <v>-1</v>
      </c>
      <c r="O4230" s="2" t="n">
        <v>0</v>
      </c>
      <c r="P4230" s="2" t="s">
        <v>23</v>
      </c>
      <c r="Q4230" s="2" t="s">
        <v>20</v>
      </c>
    </row>
    <row r="4231" customFormat="false" ht="15" hidden="false" customHeight="false" outlineLevel="0" collapsed="false">
      <c r="A4231" s="2" t="n">
        <v>62</v>
      </c>
      <c r="B4231" s="2" t="s">
        <v>36</v>
      </c>
      <c r="C4231" s="2" t="s">
        <v>45</v>
      </c>
      <c r="D4231" s="2" t="s">
        <v>31</v>
      </c>
      <c r="E4231" s="2" t="s">
        <v>20</v>
      </c>
      <c r="F4231" s="2" t="n">
        <v>6</v>
      </c>
      <c r="G4231" s="2" t="s">
        <v>26</v>
      </c>
      <c r="H4231" s="2" t="s">
        <v>20</v>
      </c>
      <c r="I4231" s="2" t="s">
        <v>21</v>
      </c>
      <c r="J4231" s="2" t="n">
        <v>13</v>
      </c>
      <c r="K4231" s="2" t="s">
        <v>22</v>
      </c>
      <c r="L4231" s="2" t="n">
        <v>216</v>
      </c>
      <c r="M4231" s="2" t="n">
        <v>1</v>
      </c>
      <c r="N4231" s="2" t="n">
        <v>183</v>
      </c>
      <c r="O4231" s="2" t="n">
        <v>4</v>
      </c>
      <c r="P4231" s="2" t="s">
        <v>50</v>
      </c>
      <c r="Q4231" s="2" t="s">
        <v>26</v>
      </c>
    </row>
    <row r="4232" customFormat="false" ht="15" hidden="false" customHeight="false" outlineLevel="0" collapsed="false">
      <c r="A4232" s="2" t="n">
        <v>37</v>
      </c>
      <c r="B4232" s="2" t="s">
        <v>29</v>
      </c>
      <c r="C4232" s="2" t="s">
        <v>18</v>
      </c>
      <c r="D4232" s="2" t="s">
        <v>31</v>
      </c>
      <c r="E4232" s="2" t="s">
        <v>20</v>
      </c>
      <c r="F4232" s="2" t="n">
        <v>4039</v>
      </c>
      <c r="G4232" s="2" t="s">
        <v>20</v>
      </c>
      <c r="H4232" s="2" t="s">
        <v>26</v>
      </c>
      <c r="I4232" s="2" t="s">
        <v>21</v>
      </c>
      <c r="J4232" s="2" t="n">
        <v>25</v>
      </c>
      <c r="K4232" s="2" t="s">
        <v>44</v>
      </c>
      <c r="L4232" s="2" t="n">
        <v>106</v>
      </c>
      <c r="M4232" s="2" t="n">
        <v>2</v>
      </c>
      <c r="N4232" s="2" t="n">
        <v>-1</v>
      </c>
      <c r="O4232" s="2" t="n">
        <v>0</v>
      </c>
      <c r="P4232" s="2" t="s">
        <v>23</v>
      </c>
      <c r="Q4232" s="2" t="s">
        <v>20</v>
      </c>
    </row>
    <row r="4233" customFormat="false" ht="15" hidden="false" customHeight="false" outlineLevel="0" collapsed="false">
      <c r="A4233" s="2" t="n">
        <v>39</v>
      </c>
      <c r="B4233" s="2" t="s">
        <v>24</v>
      </c>
      <c r="C4233" s="2" t="s">
        <v>45</v>
      </c>
      <c r="D4233" s="2" t="s">
        <v>25</v>
      </c>
      <c r="E4233" s="2" t="s">
        <v>20</v>
      </c>
      <c r="F4233" s="2" t="n">
        <v>687</v>
      </c>
      <c r="G4233" s="2" t="s">
        <v>26</v>
      </c>
      <c r="H4233" s="2" t="s">
        <v>20</v>
      </c>
      <c r="I4233" s="2" t="s">
        <v>21</v>
      </c>
      <c r="J4233" s="2" t="n">
        <v>9</v>
      </c>
      <c r="K4233" s="2" t="s">
        <v>44</v>
      </c>
      <c r="L4233" s="2" t="n">
        <v>869</v>
      </c>
      <c r="M4233" s="2" t="n">
        <v>1</v>
      </c>
      <c r="N4233" s="2" t="n">
        <v>-1</v>
      </c>
      <c r="O4233" s="2" t="n">
        <v>0</v>
      </c>
      <c r="P4233" s="2" t="s">
        <v>23</v>
      </c>
      <c r="Q4233" s="2" t="s">
        <v>26</v>
      </c>
    </row>
    <row r="4234" customFormat="false" ht="15" hidden="false" customHeight="false" outlineLevel="0" collapsed="false">
      <c r="A4234" s="2" t="n">
        <v>38</v>
      </c>
      <c r="B4234" s="2" t="s">
        <v>38</v>
      </c>
      <c r="C4234" s="2" t="s">
        <v>30</v>
      </c>
      <c r="D4234" s="2" t="s">
        <v>25</v>
      </c>
      <c r="E4234" s="2" t="s">
        <v>20</v>
      </c>
      <c r="F4234" s="2" t="n">
        <v>-242</v>
      </c>
      <c r="G4234" s="2" t="s">
        <v>26</v>
      </c>
      <c r="H4234" s="2" t="s">
        <v>20</v>
      </c>
      <c r="I4234" s="2" t="s">
        <v>21</v>
      </c>
      <c r="J4234" s="2" t="n">
        <v>18</v>
      </c>
      <c r="K4234" s="2" t="s">
        <v>27</v>
      </c>
      <c r="L4234" s="2" t="n">
        <v>1173</v>
      </c>
      <c r="M4234" s="2" t="n">
        <v>3</v>
      </c>
      <c r="N4234" s="2" t="n">
        <v>278</v>
      </c>
      <c r="O4234" s="2" t="n">
        <v>6</v>
      </c>
      <c r="P4234" s="2" t="s">
        <v>50</v>
      </c>
      <c r="Q4234" s="2" t="s">
        <v>26</v>
      </c>
    </row>
    <row r="4235" customFormat="false" ht="15" hidden="false" customHeight="false" outlineLevel="0" collapsed="false">
      <c r="A4235" s="2" t="n">
        <v>31</v>
      </c>
      <c r="B4235" s="2" t="s">
        <v>29</v>
      </c>
      <c r="C4235" s="2" t="s">
        <v>18</v>
      </c>
      <c r="D4235" s="2" t="s">
        <v>31</v>
      </c>
      <c r="E4235" s="2" t="s">
        <v>20</v>
      </c>
      <c r="F4235" s="2" t="n">
        <v>582</v>
      </c>
      <c r="G4235" s="2" t="s">
        <v>26</v>
      </c>
      <c r="H4235" s="2" t="s">
        <v>20</v>
      </c>
      <c r="I4235" s="2" t="s">
        <v>21</v>
      </c>
      <c r="J4235" s="2" t="n">
        <v>15</v>
      </c>
      <c r="K4235" s="2" t="s">
        <v>44</v>
      </c>
      <c r="L4235" s="2" t="n">
        <v>58</v>
      </c>
      <c r="M4235" s="2" t="n">
        <v>2</v>
      </c>
      <c r="N4235" s="2" t="n">
        <v>-1</v>
      </c>
      <c r="O4235" s="2" t="n">
        <v>0</v>
      </c>
      <c r="P4235" s="2" t="s">
        <v>23</v>
      </c>
      <c r="Q4235" s="2" t="s">
        <v>20</v>
      </c>
    </row>
    <row r="4236" customFormat="false" ht="15" hidden="false" customHeight="false" outlineLevel="0" collapsed="false">
      <c r="A4236" s="2" t="n">
        <v>58</v>
      </c>
      <c r="B4236" s="2" t="s">
        <v>34</v>
      </c>
      <c r="C4236" s="2" t="s">
        <v>45</v>
      </c>
      <c r="D4236" s="2" t="s">
        <v>19</v>
      </c>
      <c r="E4236" s="2" t="s">
        <v>20</v>
      </c>
      <c r="F4236" s="2" t="n">
        <v>8218</v>
      </c>
      <c r="G4236" s="2" t="s">
        <v>26</v>
      </c>
      <c r="H4236" s="2" t="s">
        <v>20</v>
      </c>
      <c r="I4236" s="2" t="s">
        <v>21</v>
      </c>
      <c r="J4236" s="2" t="n">
        <v>31</v>
      </c>
      <c r="K4236" s="2" t="s">
        <v>44</v>
      </c>
      <c r="L4236" s="2" t="n">
        <v>124</v>
      </c>
      <c r="M4236" s="2" t="n">
        <v>10</v>
      </c>
      <c r="N4236" s="2" t="n">
        <v>-1</v>
      </c>
      <c r="O4236" s="2" t="n">
        <v>0</v>
      </c>
      <c r="P4236" s="2" t="s">
        <v>23</v>
      </c>
      <c r="Q4236" s="2" t="s">
        <v>20</v>
      </c>
    </row>
    <row r="4237" customFormat="false" ht="15" hidden="false" customHeight="false" outlineLevel="0" collapsed="false">
      <c r="A4237" s="2" t="n">
        <v>44</v>
      </c>
      <c r="B4237" s="2" t="s">
        <v>29</v>
      </c>
      <c r="C4237" s="2" t="s">
        <v>30</v>
      </c>
      <c r="D4237" s="2" t="s">
        <v>31</v>
      </c>
      <c r="E4237" s="2" t="s">
        <v>20</v>
      </c>
      <c r="F4237" s="2" t="n">
        <v>1424</v>
      </c>
      <c r="G4237" s="2" t="s">
        <v>26</v>
      </c>
      <c r="H4237" s="2" t="s">
        <v>20</v>
      </c>
      <c r="I4237" s="2" t="s">
        <v>21</v>
      </c>
      <c r="J4237" s="2" t="n">
        <v>8</v>
      </c>
      <c r="K4237" s="2" t="s">
        <v>41</v>
      </c>
      <c r="L4237" s="2" t="n">
        <v>201</v>
      </c>
      <c r="M4237" s="2" t="n">
        <v>2</v>
      </c>
      <c r="N4237" s="2" t="n">
        <v>-1</v>
      </c>
      <c r="O4237" s="2" t="n">
        <v>0</v>
      </c>
      <c r="P4237" s="2" t="s">
        <v>23</v>
      </c>
      <c r="Q4237" s="2" t="s">
        <v>20</v>
      </c>
    </row>
    <row r="4238" customFormat="false" ht="15" hidden="false" customHeight="false" outlineLevel="0" collapsed="false">
      <c r="A4238" s="2" t="n">
        <v>31</v>
      </c>
      <c r="B4238" s="2" t="s">
        <v>34</v>
      </c>
      <c r="C4238" s="2" t="s">
        <v>18</v>
      </c>
      <c r="D4238" s="2" t="s">
        <v>25</v>
      </c>
      <c r="E4238" s="2" t="s">
        <v>20</v>
      </c>
      <c r="F4238" s="2" t="n">
        <v>92</v>
      </c>
      <c r="G4238" s="2" t="s">
        <v>26</v>
      </c>
      <c r="H4238" s="2" t="s">
        <v>20</v>
      </c>
      <c r="I4238" s="2" t="s">
        <v>23</v>
      </c>
      <c r="J4238" s="2" t="n">
        <v>16</v>
      </c>
      <c r="K4238" s="2" t="s">
        <v>27</v>
      </c>
      <c r="L4238" s="2" t="n">
        <v>688</v>
      </c>
      <c r="M4238" s="2" t="n">
        <v>1</v>
      </c>
      <c r="N4238" s="2" t="n">
        <v>-1</v>
      </c>
      <c r="O4238" s="2" t="n">
        <v>0</v>
      </c>
      <c r="P4238" s="2" t="s">
        <v>23</v>
      </c>
      <c r="Q4238" s="2" t="s">
        <v>26</v>
      </c>
    </row>
    <row r="4239" customFormat="false" ht="15" hidden="false" customHeight="false" outlineLevel="0" collapsed="false">
      <c r="A4239" s="2" t="n">
        <v>33</v>
      </c>
      <c r="B4239" s="2" t="s">
        <v>38</v>
      </c>
      <c r="C4239" s="2" t="s">
        <v>30</v>
      </c>
      <c r="D4239" s="2" t="s">
        <v>25</v>
      </c>
      <c r="E4239" s="2" t="s">
        <v>20</v>
      </c>
      <c r="F4239" s="2" t="n">
        <v>2085</v>
      </c>
      <c r="G4239" s="2" t="s">
        <v>20</v>
      </c>
      <c r="H4239" s="2" t="s">
        <v>20</v>
      </c>
      <c r="I4239" s="2" t="s">
        <v>21</v>
      </c>
      <c r="J4239" s="2" t="n">
        <v>9</v>
      </c>
      <c r="K4239" s="2" t="s">
        <v>35</v>
      </c>
      <c r="L4239" s="2" t="n">
        <v>501</v>
      </c>
      <c r="M4239" s="2" t="n">
        <v>2</v>
      </c>
      <c r="N4239" s="2" t="n">
        <v>-1</v>
      </c>
      <c r="O4239" s="2" t="n">
        <v>0</v>
      </c>
      <c r="P4239" s="2" t="s">
        <v>23</v>
      </c>
      <c r="Q4239" s="2" t="s">
        <v>26</v>
      </c>
    </row>
    <row r="4240" customFormat="false" ht="15" hidden="false" customHeight="false" outlineLevel="0" collapsed="false">
      <c r="A4240" s="2" t="n">
        <v>36</v>
      </c>
      <c r="B4240" s="2" t="s">
        <v>38</v>
      </c>
      <c r="C4240" s="2" t="s">
        <v>30</v>
      </c>
      <c r="D4240" s="2" t="s">
        <v>31</v>
      </c>
      <c r="E4240" s="2" t="s">
        <v>20</v>
      </c>
      <c r="F4240" s="2" t="n">
        <v>197</v>
      </c>
      <c r="G4240" s="2" t="s">
        <v>20</v>
      </c>
      <c r="H4240" s="2" t="s">
        <v>20</v>
      </c>
      <c r="I4240" s="2" t="s">
        <v>21</v>
      </c>
      <c r="J4240" s="2" t="n">
        <v>30</v>
      </c>
      <c r="K4240" s="2" t="s">
        <v>32</v>
      </c>
      <c r="L4240" s="2" t="n">
        <v>260</v>
      </c>
      <c r="M4240" s="2" t="n">
        <v>1</v>
      </c>
      <c r="N4240" s="2" t="n">
        <v>-1</v>
      </c>
      <c r="O4240" s="2" t="n">
        <v>0</v>
      </c>
      <c r="P4240" s="2" t="s">
        <v>23</v>
      </c>
      <c r="Q4240" s="2" t="s">
        <v>26</v>
      </c>
    </row>
    <row r="4241" customFormat="false" ht="15" hidden="false" customHeight="false" outlineLevel="0" collapsed="false">
      <c r="A4241" s="2" t="n">
        <v>31</v>
      </c>
      <c r="B4241" s="2" t="s">
        <v>38</v>
      </c>
      <c r="C4241" s="2" t="s">
        <v>30</v>
      </c>
      <c r="D4241" s="2" t="s">
        <v>25</v>
      </c>
      <c r="E4241" s="2" t="s">
        <v>20</v>
      </c>
      <c r="F4241" s="2" t="n">
        <v>2305</v>
      </c>
      <c r="G4241" s="2" t="s">
        <v>20</v>
      </c>
      <c r="H4241" s="2" t="s">
        <v>20</v>
      </c>
      <c r="I4241" s="2" t="s">
        <v>21</v>
      </c>
      <c r="J4241" s="2" t="n">
        <v>4</v>
      </c>
      <c r="K4241" s="2" t="s">
        <v>41</v>
      </c>
      <c r="L4241" s="2" t="n">
        <v>139</v>
      </c>
      <c r="M4241" s="2" t="n">
        <v>1</v>
      </c>
      <c r="N4241" s="2" t="n">
        <v>-1</v>
      </c>
      <c r="O4241" s="2" t="n">
        <v>0</v>
      </c>
      <c r="P4241" s="2" t="s">
        <v>23</v>
      </c>
      <c r="Q4241" s="2" t="s">
        <v>20</v>
      </c>
    </row>
    <row r="4242" customFormat="false" ht="15" hidden="false" customHeight="false" outlineLevel="0" collapsed="false">
      <c r="A4242" s="2" t="n">
        <v>45</v>
      </c>
      <c r="B4242" s="2" t="s">
        <v>40</v>
      </c>
      <c r="C4242" s="2" t="s">
        <v>18</v>
      </c>
      <c r="D4242" s="2" t="s">
        <v>25</v>
      </c>
      <c r="E4242" s="2" t="s">
        <v>20</v>
      </c>
      <c r="F4242" s="2" t="n">
        <v>-547</v>
      </c>
      <c r="G4242" s="2" t="s">
        <v>26</v>
      </c>
      <c r="H4242" s="2" t="s">
        <v>20</v>
      </c>
      <c r="I4242" s="2" t="s">
        <v>23</v>
      </c>
      <c r="J4242" s="2" t="n">
        <v>3</v>
      </c>
      <c r="K4242" s="2" t="s">
        <v>33</v>
      </c>
      <c r="L4242" s="2" t="n">
        <v>214</v>
      </c>
      <c r="M4242" s="2" t="n">
        <v>2</v>
      </c>
      <c r="N4242" s="2" t="n">
        <v>-1</v>
      </c>
      <c r="O4242" s="2" t="n">
        <v>0</v>
      </c>
      <c r="P4242" s="2" t="s">
        <v>23</v>
      </c>
      <c r="Q4242" s="2" t="s">
        <v>20</v>
      </c>
    </row>
    <row r="4243" customFormat="false" ht="15" hidden="false" customHeight="false" outlineLevel="0" collapsed="false">
      <c r="A4243" s="2" t="n">
        <v>30</v>
      </c>
      <c r="B4243" s="2" t="s">
        <v>38</v>
      </c>
      <c r="C4243" s="2" t="s">
        <v>30</v>
      </c>
      <c r="D4243" s="2" t="s">
        <v>31</v>
      </c>
      <c r="E4243" s="2" t="s">
        <v>20</v>
      </c>
      <c r="F4243" s="2" t="n">
        <v>411</v>
      </c>
      <c r="G4243" s="2" t="s">
        <v>20</v>
      </c>
      <c r="H4243" s="2" t="s">
        <v>20</v>
      </c>
      <c r="I4243" s="2" t="s">
        <v>21</v>
      </c>
      <c r="J4243" s="2" t="n">
        <v>21</v>
      </c>
      <c r="K4243" s="2" t="s">
        <v>32</v>
      </c>
      <c r="L4243" s="2" t="n">
        <v>142</v>
      </c>
      <c r="M4243" s="2" t="n">
        <v>1</v>
      </c>
      <c r="N4243" s="2" t="n">
        <v>-1</v>
      </c>
      <c r="O4243" s="2" t="n">
        <v>0</v>
      </c>
      <c r="P4243" s="2" t="s">
        <v>23</v>
      </c>
      <c r="Q4243" s="2" t="s">
        <v>20</v>
      </c>
    </row>
    <row r="4244" customFormat="false" ht="15" hidden="false" customHeight="false" outlineLevel="0" collapsed="false">
      <c r="A4244" s="2" t="n">
        <v>34</v>
      </c>
      <c r="B4244" s="2" t="s">
        <v>34</v>
      </c>
      <c r="C4244" s="2" t="s">
        <v>18</v>
      </c>
      <c r="D4244" s="2" t="s">
        <v>25</v>
      </c>
      <c r="E4244" s="2" t="s">
        <v>20</v>
      </c>
      <c r="F4244" s="2" t="n">
        <v>584</v>
      </c>
      <c r="G4244" s="2" t="s">
        <v>26</v>
      </c>
      <c r="H4244" s="2" t="s">
        <v>20</v>
      </c>
      <c r="I4244" s="2" t="s">
        <v>21</v>
      </c>
      <c r="J4244" s="2" t="n">
        <v>18</v>
      </c>
      <c r="K4244" s="2" t="s">
        <v>44</v>
      </c>
      <c r="L4244" s="2" t="n">
        <v>154</v>
      </c>
      <c r="M4244" s="2" t="n">
        <v>2</v>
      </c>
      <c r="N4244" s="2" t="n">
        <v>-1</v>
      </c>
      <c r="O4244" s="2" t="n">
        <v>0</v>
      </c>
      <c r="P4244" s="2" t="s">
        <v>23</v>
      </c>
      <c r="Q4244" s="2" t="s">
        <v>20</v>
      </c>
    </row>
    <row r="4245" customFormat="false" ht="15" hidden="false" customHeight="false" outlineLevel="0" collapsed="false">
      <c r="A4245" s="2" t="n">
        <v>34</v>
      </c>
      <c r="B4245" s="2" t="s">
        <v>29</v>
      </c>
      <c r="C4245" s="2" t="s">
        <v>18</v>
      </c>
      <c r="D4245" s="2" t="s">
        <v>31</v>
      </c>
      <c r="E4245" s="2" t="s">
        <v>20</v>
      </c>
      <c r="F4245" s="2" t="n">
        <v>997</v>
      </c>
      <c r="G4245" s="2" t="s">
        <v>26</v>
      </c>
      <c r="H4245" s="2" t="s">
        <v>26</v>
      </c>
      <c r="I4245" s="2" t="s">
        <v>21</v>
      </c>
      <c r="J4245" s="2" t="n">
        <v>21</v>
      </c>
      <c r="K4245" s="2" t="s">
        <v>46</v>
      </c>
      <c r="L4245" s="2" t="n">
        <v>81</v>
      </c>
      <c r="M4245" s="2" t="n">
        <v>1</v>
      </c>
      <c r="N4245" s="2" t="n">
        <v>-1</v>
      </c>
      <c r="O4245" s="2" t="n">
        <v>0</v>
      </c>
      <c r="P4245" s="2" t="s">
        <v>23</v>
      </c>
      <c r="Q4245" s="2" t="s">
        <v>20</v>
      </c>
    </row>
    <row r="4246" customFormat="false" ht="15" hidden="false" customHeight="false" outlineLevel="0" collapsed="false">
      <c r="A4246" s="2" t="n">
        <v>39</v>
      </c>
      <c r="B4246" s="2" t="s">
        <v>40</v>
      </c>
      <c r="C4246" s="2" t="s">
        <v>45</v>
      </c>
      <c r="D4246" s="2" t="s">
        <v>25</v>
      </c>
      <c r="E4246" s="2" t="s">
        <v>20</v>
      </c>
      <c r="F4246" s="2" t="n">
        <v>83</v>
      </c>
      <c r="G4246" s="2" t="s">
        <v>26</v>
      </c>
      <c r="H4246" s="2" t="s">
        <v>20</v>
      </c>
      <c r="I4246" s="2" t="s">
        <v>21</v>
      </c>
      <c r="J4246" s="2" t="n">
        <v>30</v>
      </c>
      <c r="K4246" s="2" t="s">
        <v>44</v>
      </c>
      <c r="L4246" s="2" t="n">
        <v>69</v>
      </c>
      <c r="M4246" s="2" t="n">
        <v>6</v>
      </c>
      <c r="N4246" s="2" t="n">
        <v>-1</v>
      </c>
      <c r="O4246" s="2" t="n">
        <v>0</v>
      </c>
      <c r="P4246" s="2" t="s">
        <v>23</v>
      </c>
      <c r="Q4246" s="2" t="s">
        <v>20</v>
      </c>
    </row>
    <row r="4247" customFormat="false" ht="15" hidden="false" customHeight="false" outlineLevel="0" collapsed="false">
      <c r="A4247" s="2" t="n">
        <v>41</v>
      </c>
      <c r="B4247" s="2" t="s">
        <v>29</v>
      </c>
      <c r="C4247" s="2" t="s">
        <v>18</v>
      </c>
      <c r="D4247" s="2" t="s">
        <v>31</v>
      </c>
      <c r="E4247" s="2" t="s">
        <v>20</v>
      </c>
      <c r="F4247" s="2" t="n">
        <v>6563</v>
      </c>
      <c r="G4247" s="2" t="s">
        <v>20</v>
      </c>
      <c r="H4247" s="2" t="s">
        <v>20</v>
      </c>
      <c r="I4247" s="2" t="s">
        <v>21</v>
      </c>
      <c r="J4247" s="2" t="n">
        <v>27</v>
      </c>
      <c r="K4247" s="2" t="s">
        <v>41</v>
      </c>
      <c r="L4247" s="2" t="n">
        <v>136</v>
      </c>
      <c r="M4247" s="2" t="n">
        <v>8</v>
      </c>
      <c r="N4247" s="2" t="n">
        <v>-1</v>
      </c>
      <c r="O4247" s="2" t="n">
        <v>0</v>
      </c>
      <c r="P4247" s="2" t="s">
        <v>23</v>
      </c>
      <c r="Q4247" s="2" t="s">
        <v>20</v>
      </c>
    </row>
    <row r="4248" customFormat="false" ht="15" hidden="false" customHeight="false" outlineLevel="0" collapsed="false">
      <c r="A4248" s="2" t="n">
        <v>32</v>
      </c>
      <c r="B4248" s="2" t="s">
        <v>24</v>
      </c>
      <c r="C4248" s="2" t="s">
        <v>30</v>
      </c>
      <c r="D4248" s="2" t="s">
        <v>25</v>
      </c>
      <c r="E4248" s="2" t="s">
        <v>20</v>
      </c>
      <c r="F4248" s="2" t="n">
        <v>0</v>
      </c>
      <c r="G4248" s="2" t="s">
        <v>26</v>
      </c>
      <c r="H4248" s="2" t="s">
        <v>20</v>
      </c>
      <c r="I4248" s="2" t="s">
        <v>21</v>
      </c>
      <c r="J4248" s="2" t="n">
        <v>31</v>
      </c>
      <c r="K4248" s="2" t="s">
        <v>44</v>
      </c>
      <c r="L4248" s="2" t="n">
        <v>99</v>
      </c>
      <c r="M4248" s="2" t="n">
        <v>13</v>
      </c>
      <c r="N4248" s="2" t="n">
        <v>-1</v>
      </c>
      <c r="O4248" s="2" t="n">
        <v>0</v>
      </c>
      <c r="P4248" s="2" t="s">
        <v>23</v>
      </c>
      <c r="Q4248" s="2" t="s">
        <v>20</v>
      </c>
    </row>
    <row r="4249" customFormat="false" ht="15" hidden="false" customHeight="false" outlineLevel="0" collapsed="false">
      <c r="A4249" s="2" t="n">
        <v>32</v>
      </c>
      <c r="B4249" s="2" t="s">
        <v>29</v>
      </c>
      <c r="C4249" s="2" t="s">
        <v>30</v>
      </c>
      <c r="D4249" s="2" t="s">
        <v>31</v>
      </c>
      <c r="E4249" s="2" t="s">
        <v>20</v>
      </c>
      <c r="F4249" s="2" t="n">
        <v>0</v>
      </c>
      <c r="G4249" s="2" t="s">
        <v>20</v>
      </c>
      <c r="H4249" s="2" t="s">
        <v>20</v>
      </c>
      <c r="I4249" s="2" t="s">
        <v>21</v>
      </c>
      <c r="J4249" s="2" t="n">
        <v>21</v>
      </c>
      <c r="K4249" s="2" t="s">
        <v>46</v>
      </c>
      <c r="L4249" s="2" t="n">
        <v>9</v>
      </c>
      <c r="M4249" s="2" t="n">
        <v>6</v>
      </c>
      <c r="N4249" s="2" t="n">
        <v>-1</v>
      </c>
      <c r="O4249" s="2" t="n">
        <v>0</v>
      </c>
      <c r="P4249" s="2" t="s">
        <v>23</v>
      </c>
      <c r="Q4249" s="2" t="s">
        <v>20</v>
      </c>
    </row>
    <row r="4250" customFormat="false" ht="15" hidden="false" customHeight="false" outlineLevel="0" collapsed="false">
      <c r="A4250" s="2" t="n">
        <v>36</v>
      </c>
      <c r="B4250" s="2" t="s">
        <v>34</v>
      </c>
      <c r="C4250" s="2" t="s">
        <v>18</v>
      </c>
      <c r="D4250" s="2" t="s">
        <v>19</v>
      </c>
      <c r="E4250" s="2" t="s">
        <v>20</v>
      </c>
      <c r="F4250" s="2" t="n">
        <v>398</v>
      </c>
      <c r="G4250" s="2" t="s">
        <v>26</v>
      </c>
      <c r="H4250" s="2" t="s">
        <v>20</v>
      </c>
      <c r="I4250" s="2" t="s">
        <v>23</v>
      </c>
      <c r="J4250" s="2" t="n">
        <v>12</v>
      </c>
      <c r="K4250" s="2" t="s">
        <v>33</v>
      </c>
      <c r="L4250" s="2" t="n">
        <v>278</v>
      </c>
      <c r="M4250" s="2" t="n">
        <v>1</v>
      </c>
      <c r="N4250" s="2" t="n">
        <v>-1</v>
      </c>
      <c r="O4250" s="2" t="n">
        <v>0</v>
      </c>
      <c r="P4250" s="2" t="s">
        <v>23</v>
      </c>
      <c r="Q4250" s="2" t="s">
        <v>20</v>
      </c>
    </row>
    <row r="4251" customFormat="false" ht="15" hidden="false" customHeight="false" outlineLevel="0" collapsed="false">
      <c r="A4251" s="2" t="n">
        <v>35</v>
      </c>
      <c r="B4251" s="2" t="s">
        <v>40</v>
      </c>
      <c r="C4251" s="2" t="s">
        <v>18</v>
      </c>
      <c r="D4251" s="2" t="s">
        <v>31</v>
      </c>
      <c r="E4251" s="2" t="s">
        <v>20</v>
      </c>
      <c r="F4251" s="2" t="n">
        <v>1145</v>
      </c>
      <c r="G4251" s="2" t="s">
        <v>26</v>
      </c>
      <c r="H4251" s="2" t="s">
        <v>20</v>
      </c>
      <c r="I4251" s="2" t="s">
        <v>21</v>
      </c>
      <c r="J4251" s="2" t="n">
        <v>2</v>
      </c>
      <c r="K4251" s="2" t="s">
        <v>35</v>
      </c>
      <c r="L4251" s="2" t="n">
        <v>82</v>
      </c>
      <c r="M4251" s="2" t="n">
        <v>2</v>
      </c>
      <c r="N4251" s="2" t="n">
        <v>-1</v>
      </c>
      <c r="O4251" s="2" t="n">
        <v>0</v>
      </c>
      <c r="P4251" s="2" t="s">
        <v>23</v>
      </c>
      <c r="Q4251" s="2" t="s">
        <v>20</v>
      </c>
    </row>
    <row r="4252" customFormat="false" ht="15" hidden="false" customHeight="false" outlineLevel="0" collapsed="false">
      <c r="A4252" s="2" t="n">
        <v>32</v>
      </c>
      <c r="B4252" s="2" t="s">
        <v>29</v>
      </c>
      <c r="C4252" s="2" t="s">
        <v>30</v>
      </c>
      <c r="D4252" s="2" t="s">
        <v>31</v>
      </c>
      <c r="E4252" s="2" t="s">
        <v>20</v>
      </c>
      <c r="F4252" s="2" t="n">
        <v>2</v>
      </c>
      <c r="G4252" s="2" t="s">
        <v>26</v>
      </c>
      <c r="H4252" s="2" t="s">
        <v>20</v>
      </c>
      <c r="I4252" s="2" t="s">
        <v>21</v>
      </c>
      <c r="J4252" s="2" t="n">
        <v>11</v>
      </c>
      <c r="K4252" s="2" t="s">
        <v>51</v>
      </c>
      <c r="L4252" s="2" t="n">
        <v>100</v>
      </c>
      <c r="M4252" s="2" t="n">
        <v>2</v>
      </c>
      <c r="N4252" s="2" t="n">
        <v>-1</v>
      </c>
      <c r="O4252" s="2" t="n">
        <v>0</v>
      </c>
      <c r="P4252" s="2" t="s">
        <v>23</v>
      </c>
      <c r="Q4252" s="2" t="s">
        <v>26</v>
      </c>
    </row>
    <row r="4253" customFormat="false" ht="15" hidden="false" customHeight="false" outlineLevel="0" collapsed="false">
      <c r="A4253" s="2" t="n">
        <v>33</v>
      </c>
      <c r="B4253" s="2" t="s">
        <v>29</v>
      </c>
      <c r="C4253" s="2" t="s">
        <v>30</v>
      </c>
      <c r="D4253" s="2" t="s">
        <v>31</v>
      </c>
      <c r="E4253" s="2" t="s">
        <v>20</v>
      </c>
      <c r="F4253" s="2" t="n">
        <v>201</v>
      </c>
      <c r="G4253" s="2" t="s">
        <v>26</v>
      </c>
      <c r="H4253" s="2" t="s">
        <v>20</v>
      </c>
      <c r="I4253" s="2" t="s">
        <v>21</v>
      </c>
      <c r="J4253" s="2" t="n">
        <v>19</v>
      </c>
      <c r="K4253" s="2" t="s">
        <v>46</v>
      </c>
      <c r="L4253" s="2" t="n">
        <v>171</v>
      </c>
      <c r="M4253" s="2" t="n">
        <v>1</v>
      </c>
      <c r="N4253" s="2" t="n">
        <v>183</v>
      </c>
      <c r="O4253" s="2" t="n">
        <v>1</v>
      </c>
      <c r="P4253" s="2" t="s">
        <v>28</v>
      </c>
      <c r="Q4253" s="2" t="s">
        <v>20</v>
      </c>
    </row>
    <row r="4254" customFormat="false" ht="15" hidden="false" customHeight="false" outlineLevel="0" collapsed="false">
      <c r="A4254" s="2" t="n">
        <v>49</v>
      </c>
      <c r="B4254" s="2" t="s">
        <v>39</v>
      </c>
      <c r="C4254" s="2" t="s">
        <v>18</v>
      </c>
      <c r="D4254" s="2" t="s">
        <v>19</v>
      </c>
      <c r="E4254" s="2" t="s">
        <v>20</v>
      </c>
      <c r="F4254" s="2" t="n">
        <v>563</v>
      </c>
      <c r="G4254" s="2" t="s">
        <v>20</v>
      </c>
      <c r="H4254" s="2" t="s">
        <v>20</v>
      </c>
      <c r="I4254" s="2" t="s">
        <v>23</v>
      </c>
      <c r="J4254" s="2" t="n">
        <v>19</v>
      </c>
      <c r="K4254" s="2" t="s">
        <v>33</v>
      </c>
      <c r="L4254" s="2" t="n">
        <v>84</v>
      </c>
      <c r="M4254" s="2" t="n">
        <v>1</v>
      </c>
      <c r="N4254" s="2" t="n">
        <v>-1</v>
      </c>
      <c r="O4254" s="2" t="n">
        <v>0</v>
      </c>
      <c r="P4254" s="2" t="s">
        <v>23</v>
      </c>
      <c r="Q4254" s="2" t="s">
        <v>20</v>
      </c>
    </row>
    <row r="4255" customFormat="false" ht="15" hidden="false" customHeight="false" outlineLevel="0" collapsed="false">
      <c r="A4255" s="2" t="n">
        <v>35</v>
      </c>
      <c r="B4255" s="2" t="s">
        <v>29</v>
      </c>
      <c r="C4255" s="2" t="s">
        <v>18</v>
      </c>
      <c r="D4255" s="2" t="s">
        <v>31</v>
      </c>
      <c r="E4255" s="2" t="s">
        <v>20</v>
      </c>
      <c r="F4255" s="2" t="n">
        <v>3161</v>
      </c>
      <c r="G4255" s="2" t="s">
        <v>20</v>
      </c>
      <c r="H4255" s="2" t="s">
        <v>20</v>
      </c>
      <c r="I4255" s="2" t="s">
        <v>21</v>
      </c>
      <c r="J4255" s="2" t="n">
        <v>8</v>
      </c>
      <c r="K4255" s="2" t="s">
        <v>41</v>
      </c>
      <c r="L4255" s="2" t="n">
        <v>433</v>
      </c>
      <c r="M4255" s="2" t="n">
        <v>2</v>
      </c>
      <c r="N4255" s="2" t="n">
        <v>-1</v>
      </c>
      <c r="O4255" s="2" t="n">
        <v>0</v>
      </c>
      <c r="P4255" s="2" t="s">
        <v>23</v>
      </c>
      <c r="Q4255" s="2" t="s">
        <v>20</v>
      </c>
    </row>
    <row r="4256" customFormat="false" ht="15" hidden="false" customHeight="false" outlineLevel="0" collapsed="false">
      <c r="A4256" s="2" t="n">
        <v>31</v>
      </c>
      <c r="B4256" s="2" t="s">
        <v>38</v>
      </c>
      <c r="C4256" s="2" t="s">
        <v>18</v>
      </c>
      <c r="D4256" s="2" t="s">
        <v>25</v>
      </c>
      <c r="E4256" s="2" t="s">
        <v>20</v>
      </c>
      <c r="F4256" s="2" t="n">
        <v>0</v>
      </c>
      <c r="G4256" s="2" t="s">
        <v>20</v>
      </c>
      <c r="H4256" s="2" t="s">
        <v>26</v>
      </c>
      <c r="I4256" s="2" t="s">
        <v>21</v>
      </c>
      <c r="J4256" s="2" t="n">
        <v>15</v>
      </c>
      <c r="K4256" s="2" t="s">
        <v>44</v>
      </c>
      <c r="L4256" s="2" t="n">
        <v>624</v>
      </c>
      <c r="M4256" s="2" t="n">
        <v>6</v>
      </c>
      <c r="N4256" s="2" t="n">
        <v>-1</v>
      </c>
      <c r="O4256" s="2" t="n">
        <v>0</v>
      </c>
      <c r="P4256" s="2" t="s">
        <v>23</v>
      </c>
      <c r="Q4256" s="2" t="s">
        <v>20</v>
      </c>
    </row>
    <row r="4257" customFormat="false" ht="15" hidden="false" customHeight="false" outlineLevel="0" collapsed="false">
      <c r="A4257" s="2" t="n">
        <v>42</v>
      </c>
      <c r="B4257" s="2" t="s">
        <v>29</v>
      </c>
      <c r="C4257" s="2" t="s">
        <v>18</v>
      </c>
      <c r="D4257" s="2" t="s">
        <v>25</v>
      </c>
      <c r="E4257" s="2" t="s">
        <v>20</v>
      </c>
      <c r="F4257" s="2" t="n">
        <v>1331</v>
      </c>
      <c r="G4257" s="2" t="s">
        <v>20</v>
      </c>
      <c r="H4257" s="2" t="s">
        <v>20</v>
      </c>
      <c r="I4257" s="2" t="s">
        <v>21</v>
      </c>
      <c r="J4257" s="2" t="n">
        <v>23</v>
      </c>
      <c r="K4257" s="2" t="s">
        <v>44</v>
      </c>
      <c r="L4257" s="2" t="n">
        <v>698</v>
      </c>
      <c r="M4257" s="2" t="n">
        <v>2</v>
      </c>
      <c r="N4257" s="2" t="n">
        <v>-1</v>
      </c>
      <c r="O4257" s="2" t="n">
        <v>0</v>
      </c>
      <c r="P4257" s="2" t="s">
        <v>23</v>
      </c>
      <c r="Q4257" s="2" t="s">
        <v>20</v>
      </c>
    </row>
    <row r="4258" customFormat="false" ht="15" hidden="false" customHeight="false" outlineLevel="0" collapsed="false">
      <c r="A4258" s="2" t="n">
        <v>34</v>
      </c>
      <c r="B4258" s="2" t="s">
        <v>47</v>
      </c>
      <c r="C4258" s="2" t="s">
        <v>18</v>
      </c>
      <c r="D4258" s="2" t="s">
        <v>19</v>
      </c>
      <c r="E4258" s="2" t="s">
        <v>20</v>
      </c>
      <c r="F4258" s="2" t="n">
        <v>2929</v>
      </c>
      <c r="G4258" s="2" t="s">
        <v>20</v>
      </c>
      <c r="H4258" s="2" t="s">
        <v>20</v>
      </c>
      <c r="I4258" s="2" t="s">
        <v>21</v>
      </c>
      <c r="J4258" s="2" t="n">
        <v>14</v>
      </c>
      <c r="K4258" s="2" t="s">
        <v>41</v>
      </c>
      <c r="L4258" s="2" t="n">
        <v>518</v>
      </c>
      <c r="M4258" s="2" t="n">
        <v>2</v>
      </c>
      <c r="N4258" s="2" t="n">
        <v>-1</v>
      </c>
      <c r="O4258" s="2" t="n">
        <v>0</v>
      </c>
      <c r="P4258" s="2" t="s">
        <v>23</v>
      </c>
      <c r="Q4258" s="2" t="s">
        <v>26</v>
      </c>
    </row>
    <row r="4259" customFormat="false" ht="15" hidden="false" customHeight="false" outlineLevel="0" collapsed="false">
      <c r="A4259" s="2" t="n">
        <v>32</v>
      </c>
      <c r="B4259" s="2" t="s">
        <v>24</v>
      </c>
      <c r="C4259" s="2" t="s">
        <v>18</v>
      </c>
      <c r="D4259" s="2" t="s">
        <v>25</v>
      </c>
      <c r="E4259" s="2" t="s">
        <v>26</v>
      </c>
      <c r="F4259" s="2" t="n">
        <v>-220</v>
      </c>
      <c r="G4259" s="2" t="s">
        <v>26</v>
      </c>
      <c r="H4259" s="2" t="s">
        <v>26</v>
      </c>
      <c r="I4259" s="2" t="s">
        <v>21</v>
      </c>
      <c r="J4259" s="2" t="n">
        <v>25</v>
      </c>
      <c r="K4259" s="2" t="s">
        <v>44</v>
      </c>
      <c r="L4259" s="2" t="n">
        <v>123</v>
      </c>
      <c r="M4259" s="2" t="n">
        <v>2</v>
      </c>
      <c r="N4259" s="2" t="n">
        <v>-1</v>
      </c>
      <c r="O4259" s="2" t="n">
        <v>0</v>
      </c>
      <c r="P4259" s="2" t="s">
        <v>23</v>
      </c>
      <c r="Q4259" s="2" t="s">
        <v>20</v>
      </c>
    </row>
    <row r="4260" customFormat="false" ht="15" hidden="false" customHeight="false" outlineLevel="0" collapsed="false">
      <c r="A4260" s="2" t="n">
        <v>29</v>
      </c>
      <c r="B4260" s="2" t="s">
        <v>29</v>
      </c>
      <c r="C4260" s="2" t="s">
        <v>30</v>
      </c>
      <c r="D4260" s="2" t="s">
        <v>31</v>
      </c>
      <c r="E4260" s="2" t="s">
        <v>20</v>
      </c>
      <c r="F4260" s="2" t="n">
        <v>5980</v>
      </c>
      <c r="G4260" s="2" t="s">
        <v>26</v>
      </c>
      <c r="H4260" s="2" t="s">
        <v>20</v>
      </c>
      <c r="I4260" s="2" t="s">
        <v>23</v>
      </c>
      <c r="J4260" s="2" t="n">
        <v>28</v>
      </c>
      <c r="K4260" s="2" t="s">
        <v>27</v>
      </c>
      <c r="L4260" s="2" t="n">
        <v>317</v>
      </c>
      <c r="M4260" s="2" t="n">
        <v>1</v>
      </c>
      <c r="N4260" s="2" t="n">
        <v>-1</v>
      </c>
      <c r="O4260" s="2" t="n">
        <v>0</v>
      </c>
      <c r="P4260" s="2" t="s">
        <v>23</v>
      </c>
      <c r="Q4260" s="2" t="s">
        <v>20</v>
      </c>
    </row>
    <row r="4261" customFormat="false" ht="15" hidden="false" customHeight="false" outlineLevel="0" collapsed="false">
      <c r="A4261" s="2" t="n">
        <v>32</v>
      </c>
      <c r="B4261" s="2" t="s">
        <v>24</v>
      </c>
      <c r="C4261" s="2" t="s">
        <v>30</v>
      </c>
      <c r="D4261" s="2" t="s">
        <v>25</v>
      </c>
      <c r="E4261" s="2" t="s">
        <v>20</v>
      </c>
      <c r="F4261" s="2" t="n">
        <v>48</v>
      </c>
      <c r="G4261" s="2" t="s">
        <v>26</v>
      </c>
      <c r="H4261" s="2" t="s">
        <v>20</v>
      </c>
      <c r="I4261" s="2" t="s">
        <v>21</v>
      </c>
      <c r="J4261" s="2" t="n">
        <v>20</v>
      </c>
      <c r="K4261" s="2" t="s">
        <v>32</v>
      </c>
      <c r="L4261" s="2" t="n">
        <v>8</v>
      </c>
      <c r="M4261" s="2" t="n">
        <v>3</v>
      </c>
      <c r="N4261" s="2" t="n">
        <v>-1</v>
      </c>
      <c r="O4261" s="2" t="n">
        <v>0</v>
      </c>
      <c r="P4261" s="2" t="s">
        <v>23</v>
      </c>
      <c r="Q4261" s="2" t="s">
        <v>20</v>
      </c>
    </row>
    <row r="4262" customFormat="false" ht="15" hidden="false" customHeight="false" outlineLevel="0" collapsed="false">
      <c r="A4262" s="2" t="n">
        <v>50</v>
      </c>
      <c r="B4262" s="2" t="s">
        <v>47</v>
      </c>
      <c r="C4262" s="2" t="s">
        <v>30</v>
      </c>
      <c r="D4262" s="2" t="s">
        <v>23</v>
      </c>
      <c r="E4262" s="2" t="s">
        <v>20</v>
      </c>
      <c r="F4262" s="2" t="n">
        <v>0</v>
      </c>
      <c r="G4262" s="2" t="s">
        <v>20</v>
      </c>
      <c r="H4262" s="2" t="s">
        <v>20</v>
      </c>
      <c r="I4262" s="2" t="s">
        <v>49</v>
      </c>
      <c r="J4262" s="2" t="n">
        <v>28</v>
      </c>
      <c r="K4262" s="2" t="s">
        <v>44</v>
      </c>
      <c r="L4262" s="2" t="n">
        <v>118</v>
      </c>
      <c r="M4262" s="2" t="n">
        <v>8</v>
      </c>
      <c r="N4262" s="2" t="n">
        <v>-1</v>
      </c>
      <c r="O4262" s="2" t="n">
        <v>0</v>
      </c>
      <c r="P4262" s="2" t="s">
        <v>23</v>
      </c>
      <c r="Q4262" s="2" t="s">
        <v>20</v>
      </c>
    </row>
    <row r="4263" customFormat="false" ht="15" hidden="false" customHeight="false" outlineLevel="0" collapsed="false">
      <c r="A4263" s="2" t="n">
        <v>58</v>
      </c>
      <c r="B4263" s="2" t="s">
        <v>48</v>
      </c>
      <c r="C4263" s="2" t="s">
        <v>18</v>
      </c>
      <c r="D4263" s="2" t="s">
        <v>25</v>
      </c>
      <c r="E4263" s="2" t="s">
        <v>20</v>
      </c>
      <c r="F4263" s="2" t="n">
        <v>3382</v>
      </c>
      <c r="G4263" s="2" t="s">
        <v>20</v>
      </c>
      <c r="H4263" s="2" t="s">
        <v>26</v>
      </c>
      <c r="I4263" s="2" t="s">
        <v>21</v>
      </c>
      <c r="J4263" s="2" t="n">
        <v>28</v>
      </c>
      <c r="K4263" s="2" t="s">
        <v>27</v>
      </c>
      <c r="L4263" s="2" t="n">
        <v>294</v>
      </c>
      <c r="M4263" s="2" t="n">
        <v>2</v>
      </c>
      <c r="N4263" s="2" t="n">
        <v>309</v>
      </c>
      <c r="O4263" s="2" t="n">
        <v>2</v>
      </c>
      <c r="P4263" s="2" t="s">
        <v>28</v>
      </c>
      <c r="Q4263" s="2" t="s">
        <v>20</v>
      </c>
    </row>
    <row r="4264" customFormat="false" ht="15" hidden="false" customHeight="false" outlineLevel="0" collapsed="false">
      <c r="A4264" s="2" t="n">
        <v>59</v>
      </c>
      <c r="B4264" s="2" t="s">
        <v>38</v>
      </c>
      <c r="C4264" s="2" t="s">
        <v>18</v>
      </c>
      <c r="D4264" s="2" t="s">
        <v>25</v>
      </c>
      <c r="E4264" s="2" t="s">
        <v>20</v>
      </c>
      <c r="F4264" s="2" t="n">
        <v>2308</v>
      </c>
      <c r="G4264" s="2" t="s">
        <v>20</v>
      </c>
      <c r="H4264" s="2" t="s">
        <v>20</v>
      </c>
      <c r="I4264" s="2" t="s">
        <v>21</v>
      </c>
      <c r="J4264" s="2" t="n">
        <v>30</v>
      </c>
      <c r="K4264" s="2" t="s">
        <v>32</v>
      </c>
      <c r="L4264" s="2" t="n">
        <v>815</v>
      </c>
      <c r="M4264" s="2" t="n">
        <v>1</v>
      </c>
      <c r="N4264" s="2" t="n">
        <v>87</v>
      </c>
      <c r="O4264" s="2" t="n">
        <v>1</v>
      </c>
      <c r="P4264" s="2" t="s">
        <v>37</v>
      </c>
      <c r="Q4264" s="2" t="s">
        <v>26</v>
      </c>
    </row>
    <row r="4265" customFormat="false" ht="15" hidden="false" customHeight="false" outlineLevel="0" collapsed="false">
      <c r="A4265" s="2" t="n">
        <v>25</v>
      </c>
      <c r="B4265" s="2" t="s">
        <v>42</v>
      </c>
      <c r="C4265" s="2" t="s">
        <v>18</v>
      </c>
      <c r="D4265" s="2" t="s">
        <v>31</v>
      </c>
      <c r="E4265" s="2" t="s">
        <v>20</v>
      </c>
      <c r="F4265" s="2" t="n">
        <v>10</v>
      </c>
      <c r="G4265" s="2" t="s">
        <v>26</v>
      </c>
      <c r="H4265" s="2" t="s">
        <v>20</v>
      </c>
      <c r="I4265" s="2" t="s">
        <v>21</v>
      </c>
      <c r="J4265" s="2" t="n">
        <v>21</v>
      </c>
      <c r="K4265" s="2" t="s">
        <v>44</v>
      </c>
      <c r="L4265" s="2" t="n">
        <v>857</v>
      </c>
      <c r="M4265" s="2" t="n">
        <v>4</v>
      </c>
      <c r="N4265" s="2" t="n">
        <v>-1</v>
      </c>
      <c r="O4265" s="2" t="n">
        <v>0</v>
      </c>
      <c r="P4265" s="2" t="s">
        <v>23</v>
      </c>
      <c r="Q4265" s="2" t="s">
        <v>26</v>
      </c>
    </row>
    <row r="4266" customFormat="false" ht="15" hidden="false" customHeight="false" outlineLevel="0" collapsed="false">
      <c r="A4266" s="2" t="n">
        <v>57</v>
      </c>
      <c r="B4266" s="2" t="s">
        <v>24</v>
      </c>
      <c r="C4266" s="2" t="s">
        <v>18</v>
      </c>
      <c r="D4266" s="2" t="s">
        <v>25</v>
      </c>
      <c r="E4266" s="2" t="s">
        <v>20</v>
      </c>
      <c r="F4266" s="2" t="n">
        <v>162</v>
      </c>
      <c r="G4266" s="2" t="s">
        <v>26</v>
      </c>
      <c r="H4266" s="2" t="s">
        <v>20</v>
      </c>
      <c r="I4266" s="2" t="s">
        <v>23</v>
      </c>
      <c r="J4266" s="2" t="n">
        <v>5</v>
      </c>
      <c r="K4266" s="2" t="s">
        <v>27</v>
      </c>
      <c r="L4266" s="2" t="n">
        <v>174</v>
      </c>
      <c r="M4266" s="2" t="n">
        <v>1</v>
      </c>
      <c r="N4266" s="2" t="n">
        <v>-1</v>
      </c>
      <c r="O4266" s="2" t="n">
        <v>0</v>
      </c>
      <c r="P4266" s="2" t="s">
        <v>23</v>
      </c>
      <c r="Q4266" s="2" t="s">
        <v>20</v>
      </c>
    </row>
    <row r="4267" customFormat="false" ht="15" hidden="false" customHeight="false" outlineLevel="0" collapsed="false">
      <c r="A4267" s="2" t="n">
        <v>30</v>
      </c>
      <c r="B4267" s="2" t="s">
        <v>34</v>
      </c>
      <c r="C4267" s="2" t="s">
        <v>30</v>
      </c>
      <c r="D4267" s="2" t="s">
        <v>25</v>
      </c>
      <c r="E4267" s="2" t="s">
        <v>20</v>
      </c>
      <c r="F4267" s="2" t="n">
        <v>1073</v>
      </c>
      <c r="G4267" s="2" t="s">
        <v>26</v>
      </c>
      <c r="H4267" s="2" t="s">
        <v>20</v>
      </c>
      <c r="I4267" s="2" t="s">
        <v>21</v>
      </c>
      <c r="J4267" s="2" t="n">
        <v>5</v>
      </c>
      <c r="K4267" s="2" t="s">
        <v>27</v>
      </c>
      <c r="L4267" s="2" t="n">
        <v>1130</v>
      </c>
      <c r="M4267" s="2" t="n">
        <v>4</v>
      </c>
      <c r="N4267" s="2" t="n">
        <v>-1</v>
      </c>
      <c r="O4267" s="2" t="n">
        <v>0</v>
      </c>
      <c r="P4267" s="2" t="s">
        <v>23</v>
      </c>
      <c r="Q4267" s="2" t="s">
        <v>20</v>
      </c>
    </row>
    <row r="4268" customFormat="false" ht="15" hidden="false" customHeight="false" outlineLevel="0" collapsed="false">
      <c r="A4268" s="2" t="n">
        <v>26</v>
      </c>
      <c r="B4268" s="2" t="s">
        <v>24</v>
      </c>
      <c r="C4268" s="2" t="s">
        <v>30</v>
      </c>
      <c r="D4268" s="2" t="s">
        <v>25</v>
      </c>
      <c r="E4268" s="2" t="s">
        <v>20</v>
      </c>
      <c r="F4268" s="2" t="n">
        <v>1700</v>
      </c>
      <c r="G4268" s="2" t="s">
        <v>26</v>
      </c>
      <c r="H4268" s="2" t="s">
        <v>20</v>
      </c>
      <c r="I4268" s="2" t="s">
        <v>21</v>
      </c>
      <c r="J4268" s="2" t="n">
        <v>7</v>
      </c>
      <c r="K4268" s="2" t="s">
        <v>27</v>
      </c>
      <c r="L4268" s="2" t="n">
        <v>13</v>
      </c>
      <c r="M4268" s="2" t="n">
        <v>5</v>
      </c>
      <c r="N4268" s="2" t="n">
        <v>-1</v>
      </c>
      <c r="O4268" s="2" t="n">
        <v>0</v>
      </c>
      <c r="P4268" s="2" t="s">
        <v>23</v>
      </c>
      <c r="Q4268" s="2" t="s">
        <v>20</v>
      </c>
    </row>
    <row r="4269" customFormat="false" ht="15" hidden="false" customHeight="false" outlineLevel="0" collapsed="false">
      <c r="A4269" s="2" t="n">
        <v>50</v>
      </c>
      <c r="B4269" s="2" t="s">
        <v>24</v>
      </c>
      <c r="C4269" s="2" t="s">
        <v>30</v>
      </c>
      <c r="D4269" s="2" t="s">
        <v>19</v>
      </c>
      <c r="E4269" s="2" t="s">
        <v>20</v>
      </c>
      <c r="F4269" s="2" t="n">
        <v>148</v>
      </c>
      <c r="G4269" s="2" t="s">
        <v>26</v>
      </c>
      <c r="H4269" s="2" t="s">
        <v>20</v>
      </c>
      <c r="I4269" s="2" t="s">
        <v>23</v>
      </c>
      <c r="J4269" s="2" t="n">
        <v>7</v>
      </c>
      <c r="K4269" s="2" t="s">
        <v>27</v>
      </c>
      <c r="L4269" s="2" t="n">
        <v>198</v>
      </c>
      <c r="M4269" s="2" t="n">
        <v>2</v>
      </c>
      <c r="N4269" s="2" t="n">
        <v>-1</v>
      </c>
      <c r="O4269" s="2" t="n">
        <v>0</v>
      </c>
      <c r="P4269" s="2" t="s">
        <v>23</v>
      </c>
      <c r="Q4269" s="2" t="s">
        <v>20</v>
      </c>
    </row>
    <row r="4270" customFormat="false" ht="15" hidden="false" customHeight="false" outlineLevel="0" collapsed="false">
      <c r="A4270" s="2" t="n">
        <v>39</v>
      </c>
      <c r="B4270" s="2" t="s">
        <v>24</v>
      </c>
      <c r="C4270" s="2" t="s">
        <v>18</v>
      </c>
      <c r="D4270" s="2" t="s">
        <v>25</v>
      </c>
      <c r="E4270" s="2" t="s">
        <v>20</v>
      </c>
      <c r="F4270" s="2" t="n">
        <v>0</v>
      </c>
      <c r="G4270" s="2" t="s">
        <v>26</v>
      </c>
      <c r="H4270" s="2" t="s">
        <v>20</v>
      </c>
      <c r="I4270" s="2" t="s">
        <v>21</v>
      </c>
      <c r="J4270" s="2" t="n">
        <v>8</v>
      </c>
      <c r="K4270" s="2" t="s">
        <v>27</v>
      </c>
      <c r="L4270" s="2" t="n">
        <v>503</v>
      </c>
      <c r="M4270" s="2" t="n">
        <v>1</v>
      </c>
      <c r="N4270" s="2" t="n">
        <v>-1</v>
      </c>
      <c r="O4270" s="2" t="n">
        <v>0</v>
      </c>
      <c r="P4270" s="2" t="s">
        <v>23</v>
      </c>
      <c r="Q4270" s="2" t="s">
        <v>20</v>
      </c>
    </row>
    <row r="4271" customFormat="false" ht="15" hidden="false" customHeight="false" outlineLevel="0" collapsed="false">
      <c r="A4271" s="2" t="n">
        <v>45</v>
      </c>
      <c r="B4271" s="2" t="s">
        <v>34</v>
      </c>
      <c r="C4271" s="2" t="s">
        <v>18</v>
      </c>
      <c r="D4271" s="2" t="s">
        <v>19</v>
      </c>
      <c r="E4271" s="2" t="s">
        <v>20</v>
      </c>
      <c r="F4271" s="2" t="n">
        <v>185</v>
      </c>
      <c r="G4271" s="2" t="s">
        <v>26</v>
      </c>
      <c r="H4271" s="2" t="s">
        <v>20</v>
      </c>
      <c r="I4271" s="2" t="s">
        <v>21</v>
      </c>
      <c r="J4271" s="2" t="n">
        <v>29</v>
      </c>
      <c r="K4271" s="2" t="s">
        <v>43</v>
      </c>
      <c r="L4271" s="2" t="n">
        <v>249</v>
      </c>
      <c r="M4271" s="2" t="n">
        <v>3</v>
      </c>
      <c r="N4271" s="2" t="n">
        <v>-1</v>
      </c>
      <c r="O4271" s="2" t="n">
        <v>0</v>
      </c>
      <c r="P4271" s="2" t="s">
        <v>23</v>
      </c>
      <c r="Q4271" s="2" t="s">
        <v>20</v>
      </c>
    </row>
    <row r="4272" customFormat="false" ht="15" hidden="false" customHeight="false" outlineLevel="0" collapsed="false">
      <c r="A4272" s="2" t="n">
        <v>37</v>
      </c>
      <c r="B4272" s="2" t="s">
        <v>29</v>
      </c>
      <c r="C4272" s="2" t="s">
        <v>45</v>
      </c>
      <c r="D4272" s="2" t="s">
        <v>31</v>
      </c>
      <c r="E4272" s="2" t="s">
        <v>20</v>
      </c>
      <c r="F4272" s="2" t="n">
        <v>896</v>
      </c>
      <c r="G4272" s="2" t="s">
        <v>20</v>
      </c>
      <c r="H4272" s="2" t="s">
        <v>26</v>
      </c>
      <c r="I4272" s="2" t="s">
        <v>21</v>
      </c>
      <c r="J4272" s="2" t="n">
        <v>14</v>
      </c>
      <c r="K4272" s="2" t="s">
        <v>41</v>
      </c>
      <c r="L4272" s="2" t="n">
        <v>343</v>
      </c>
      <c r="M4272" s="2" t="n">
        <v>2</v>
      </c>
      <c r="N4272" s="2" t="n">
        <v>-1</v>
      </c>
      <c r="O4272" s="2" t="n">
        <v>0</v>
      </c>
      <c r="P4272" s="2" t="s">
        <v>23</v>
      </c>
      <c r="Q4272" s="2" t="s">
        <v>20</v>
      </c>
    </row>
    <row r="4273" customFormat="false" ht="15" hidden="false" customHeight="false" outlineLevel="0" collapsed="false">
      <c r="A4273" s="2" t="n">
        <v>47</v>
      </c>
      <c r="B4273" s="2" t="s">
        <v>34</v>
      </c>
      <c r="C4273" s="2" t="s">
        <v>45</v>
      </c>
      <c r="D4273" s="2" t="s">
        <v>19</v>
      </c>
      <c r="E4273" s="2" t="s">
        <v>20</v>
      </c>
      <c r="F4273" s="2" t="n">
        <v>1279</v>
      </c>
      <c r="G4273" s="2" t="s">
        <v>26</v>
      </c>
      <c r="H4273" s="2" t="s">
        <v>20</v>
      </c>
      <c r="I4273" s="2" t="s">
        <v>21</v>
      </c>
      <c r="J4273" s="2" t="n">
        <v>6</v>
      </c>
      <c r="K4273" s="2" t="s">
        <v>35</v>
      </c>
      <c r="L4273" s="2" t="n">
        <v>479</v>
      </c>
      <c r="M4273" s="2" t="n">
        <v>2</v>
      </c>
      <c r="N4273" s="2" t="n">
        <v>-1</v>
      </c>
      <c r="O4273" s="2" t="n">
        <v>0</v>
      </c>
      <c r="P4273" s="2" t="s">
        <v>23</v>
      </c>
      <c r="Q4273" s="2" t="s">
        <v>20</v>
      </c>
    </row>
    <row r="4274" customFormat="false" ht="15" hidden="false" customHeight="false" outlineLevel="0" collapsed="false">
      <c r="A4274" s="2" t="n">
        <v>50</v>
      </c>
      <c r="B4274" s="2" t="s">
        <v>38</v>
      </c>
      <c r="C4274" s="2" t="s">
        <v>18</v>
      </c>
      <c r="D4274" s="2" t="s">
        <v>31</v>
      </c>
      <c r="E4274" s="2" t="s">
        <v>20</v>
      </c>
      <c r="F4274" s="2" t="n">
        <v>199</v>
      </c>
      <c r="G4274" s="2" t="s">
        <v>26</v>
      </c>
      <c r="H4274" s="2" t="s">
        <v>26</v>
      </c>
      <c r="I4274" s="2" t="s">
        <v>21</v>
      </c>
      <c r="J4274" s="2" t="n">
        <v>3</v>
      </c>
      <c r="K4274" s="2" t="s">
        <v>35</v>
      </c>
      <c r="L4274" s="2" t="n">
        <v>116</v>
      </c>
      <c r="M4274" s="2" t="n">
        <v>2</v>
      </c>
      <c r="N4274" s="2" t="n">
        <v>253</v>
      </c>
      <c r="O4274" s="2" t="n">
        <v>1</v>
      </c>
      <c r="P4274" s="2" t="s">
        <v>28</v>
      </c>
      <c r="Q4274" s="2" t="s">
        <v>20</v>
      </c>
    </row>
    <row r="4275" customFormat="false" ht="15" hidden="false" customHeight="false" outlineLevel="0" collapsed="false">
      <c r="A4275" s="2" t="n">
        <v>40</v>
      </c>
      <c r="B4275" s="2" t="s">
        <v>29</v>
      </c>
      <c r="C4275" s="2" t="s">
        <v>18</v>
      </c>
      <c r="D4275" s="2" t="s">
        <v>25</v>
      </c>
      <c r="E4275" s="2" t="s">
        <v>20</v>
      </c>
      <c r="F4275" s="2" t="n">
        <v>99</v>
      </c>
      <c r="G4275" s="2" t="s">
        <v>20</v>
      </c>
      <c r="H4275" s="2" t="s">
        <v>20</v>
      </c>
      <c r="I4275" s="2" t="s">
        <v>21</v>
      </c>
      <c r="J4275" s="2" t="n">
        <v>9</v>
      </c>
      <c r="K4275" s="2" t="s">
        <v>35</v>
      </c>
      <c r="L4275" s="2" t="n">
        <v>15</v>
      </c>
      <c r="M4275" s="2" t="n">
        <v>5</v>
      </c>
      <c r="N4275" s="2" t="n">
        <v>-1</v>
      </c>
      <c r="O4275" s="2" t="n">
        <v>0</v>
      </c>
      <c r="P4275" s="2" t="s">
        <v>23</v>
      </c>
      <c r="Q4275" s="2" t="s">
        <v>20</v>
      </c>
    </row>
    <row r="4276" customFormat="false" ht="15" hidden="false" customHeight="false" outlineLevel="0" collapsed="false">
      <c r="A4276" s="2" t="n">
        <v>35</v>
      </c>
      <c r="B4276" s="2" t="s">
        <v>34</v>
      </c>
      <c r="C4276" s="2" t="s">
        <v>18</v>
      </c>
      <c r="D4276" s="2" t="s">
        <v>19</v>
      </c>
      <c r="E4276" s="2" t="s">
        <v>20</v>
      </c>
      <c r="F4276" s="2" t="n">
        <v>378</v>
      </c>
      <c r="G4276" s="2" t="s">
        <v>26</v>
      </c>
      <c r="H4276" s="2" t="s">
        <v>20</v>
      </c>
      <c r="I4276" s="2" t="s">
        <v>23</v>
      </c>
      <c r="J4276" s="2" t="n">
        <v>16</v>
      </c>
      <c r="K4276" s="2" t="s">
        <v>27</v>
      </c>
      <c r="L4276" s="2" t="n">
        <v>427</v>
      </c>
      <c r="M4276" s="2" t="n">
        <v>3</v>
      </c>
      <c r="N4276" s="2" t="n">
        <v>-1</v>
      </c>
      <c r="O4276" s="2" t="n">
        <v>0</v>
      </c>
      <c r="P4276" s="2" t="s">
        <v>23</v>
      </c>
      <c r="Q4276" s="2" t="s">
        <v>20</v>
      </c>
    </row>
    <row r="4277" customFormat="false" ht="15" hidden="false" customHeight="false" outlineLevel="0" collapsed="false">
      <c r="A4277" s="2" t="n">
        <v>53</v>
      </c>
      <c r="B4277" s="2" t="s">
        <v>29</v>
      </c>
      <c r="C4277" s="2" t="s">
        <v>18</v>
      </c>
      <c r="D4277" s="2" t="s">
        <v>31</v>
      </c>
      <c r="E4277" s="2" t="s">
        <v>20</v>
      </c>
      <c r="F4277" s="2" t="n">
        <v>15</v>
      </c>
      <c r="G4277" s="2" t="s">
        <v>20</v>
      </c>
      <c r="H4277" s="2" t="s">
        <v>20</v>
      </c>
      <c r="I4277" s="2" t="s">
        <v>21</v>
      </c>
      <c r="J4277" s="2" t="n">
        <v>20</v>
      </c>
      <c r="K4277" s="2" t="s">
        <v>41</v>
      </c>
      <c r="L4277" s="2" t="n">
        <v>921</v>
      </c>
      <c r="M4277" s="2" t="n">
        <v>2</v>
      </c>
      <c r="N4277" s="2" t="n">
        <v>-1</v>
      </c>
      <c r="O4277" s="2" t="n">
        <v>0</v>
      </c>
      <c r="P4277" s="2" t="s">
        <v>23</v>
      </c>
      <c r="Q4277" s="2" t="s">
        <v>26</v>
      </c>
    </row>
    <row r="4278" customFormat="false" ht="15" hidden="false" customHeight="false" outlineLevel="0" collapsed="false">
      <c r="A4278" s="2" t="n">
        <v>35</v>
      </c>
      <c r="B4278" s="2" t="s">
        <v>40</v>
      </c>
      <c r="C4278" s="2" t="s">
        <v>18</v>
      </c>
      <c r="D4278" s="2" t="s">
        <v>25</v>
      </c>
      <c r="E4278" s="2" t="s">
        <v>20</v>
      </c>
      <c r="F4278" s="2" t="n">
        <v>147</v>
      </c>
      <c r="G4278" s="2" t="s">
        <v>26</v>
      </c>
      <c r="H4278" s="2" t="s">
        <v>26</v>
      </c>
      <c r="I4278" s="2" t="s">
        <v>21</v>
      </c>
      <c r="J4278" s="2" t="n">
        <v>29</v>
      </c>
      <c r="K4278" s="2" t="s">
        <v>43</v>
      </c>
      <c r="L4278" s="2" t="n">
        <v>41</v>
      </c>
      <c r="M4278" s="2" t="n">
        <v>1</v>
      </c>
      <c r="N4278" s="2" t="n">
        <v>184</v>
      </c>
      <c r="O4278" s="2" t="n">
        <v>7</v>
      </c>
      <c r="P4278" s="2" t="s">
        <v>28</v>
      </c>
      <c r="Q4278" s="2" t="s">
        <v>20</v>
      </c>
    </row>
    <row r="4279" customFormat="false" ht="15" hidden="false" customHeight="false" outlineLevel="0" collapsed="false">
      <c r="A4279" s="2" t="n">
        <v>54</v>
      </c>
      <c r="B4279" s="2" t="s">
        <v>38</v>
      </c>
      <c r="C4279" s="2" t="s">
        <v>18</v>
      </c>
      <c r="D4279" s="2" t="s">
        <v>25</v>
      </c>
      <c r="E4279" s="2" t="s">
        <v>20</v>
      </c>
      <c r="F4279" s="2" t="n">
        <v>2225</v>
      </c>
      <c r="G4279" s="2" t="s">
        <v>20</v>
      </c>
      <c r="H4279" s="2" t="s">
        <v>26</v>
      </c>
      <c r="I4279" s="2" t="s">
        <v>21</v>
      </c>
      <c r="J4279" s="2" t="n">
        <v>13</v>
      </c>
      <c r="K4279" s="2" t="s">
        <v>41</v>
      </c>
      <c r="L4279" s="2" t="n">
        <v>73</v>
      </c>
      <c r="M4279" s="2" t="n">
        <v>2</v>
      </c>
      <c r="N4279" s="2" t="n">
        <v>-1</v>
      </c>
      <c r="O4279" s="2" t="n">
        <v>0</v>
      </c>
      <c r="P4279" s="2" t="s">
        <v>23</v>
      </c>
      <c r="Q4279" s="2" t="s">
        <v>20</v>
      </c>
    </row>
    <row r="4280" customFormat="false" ht="15" hidden="false" customHeight="false" outlineLevel="0" collapsed="false">
      <c r="A4280" s="2" t="n">
        <v>35</v>
      </c>
      <c r="B4280" s="2" t="s">
        <v>40</v>
      </c>
      <c r="C4280" s="2" t="s">
        <v>30</v>
      </c>
      <c r="D4280" s="2" t="s">
        <v>25</v>
      </c>
      <c r="E4280" s="2" t="s">
        <v>20</v>
      </c>
      <c r="F4280" s="2" t="n">
        <v>1810</v>
      </c>
      <c r="G4280" s="2" t="s">
        <v>26</v>
      </c>
      <c r="H4280" s="2" t="s">
        <v>20</v>
      </c>
      <c r="I4280" s="2" t="s">
        <v>21</v>
      </c>
      <c r="J4280" s="2" t="n">
        <v>25</v>
      </c>
      <c r="K4280" s="2" t="s">
        <v>27</v>
      </c>
      <c r="L4280" s="2" t="n">
        <v>65</v>
      </c>
      <c r="M4280" s="2" t="n">
        <v>2</v>
      </c>
      <c r="N4280" s="2" t="n">
        <v>-1</v>
      </c>
      <c r="O4280" s="2" t="n">
        <v>0</v>
      </c>
      <c r="P4280" s="2" t="s">
        <v>23</v>
      </c>
      <c r="Q4280" s="2" t="s">
        <v>20</v>
      </c>
    </row>
    <row r="4281" customFormat="false" ht="15" hidden="false" customHeight="false" outlineLevel="0" collapsed="false">
      <c r="A4281" s="2" t="n">
        <v>31</v>
      </c>
      <c r="B4281" s="2" t="s">
        <v>47</v>
      </c>
      <c r="C4281" s="2" t="s">
        <v>18</v>
      </c>
      <c r="D4281" s="2" t="s">
        <v>23</v>
      </c>
      <c r="E4281" s="2" t="s">
        <v>26</v>
      </c>
      <c r="F4281" s="2" t="n">
        <v>-6</v>
      </c>
      <c r="G4281" s="2" t="s">
        <v>20</v>
      </c>
      <c r="H4281" s="2" t="s">
        <v>26</v>
      </c>
      <c r="I4281" s="2" t="s">
        <v>49</v>
      </c>
      <c r="J4281" s="2" t="n">
        <v>7</v>
      </c>
      <c r="K4281" s="2" t="s">
        <v>44</v>
      </c>
      <c r="L4281" s="2" t="n">
        <v>94</v>
      </c>
      <c r="M4281" s="2" t="n">
        <v>2</v>
      </c>
      <c r="N4281" s="2" t="n">
        <v>-1</v>
      </c>
      <c r="O4281" s="2" t="n">
        <v>0</v>
      </c>
      <c r="P4281" s="2" t="s">
        <v>23</v>
      </c>
      <c r="Q4281" s="2" t="s">
        <v>20</v>
      </c>
    </row>
    <row r="4282" customFormat="false" ht="15" hidden="false" customHeight="false" outlineLevel="0" collapsed="false">
      <c r="A4282" s="2" t="n">
        <v>46</v>
      </c>
      <c r="B4282" s="2" t="s">
        <v>38</v>
      </c>
      <c r="C4282" s="2" t="s">
        <v>45</v>
      </c>
      <c r="D4282" s="2" t="s">
        <v>25</v>
      </c>
      <c r="E4282" s="2" t="s">
        <v>20</v>
      </c>
      <c r="F4282" s="2" t="n">
        <v>435</v>
      </c>
      <c r="G4282" s="2" t="s">
        <v>26</v>
      </c>
      <c r="H4282" s="2" t="s">
        <v>20</v>
      </c>
      <c r="I4282" s="2" t="s">
        <v>23</v>
      </c>
      <c r="J4282" s="2" t="n">
        <v>15</v>
      </c>
      <c r="K4282" s="2" t="s">
        <v>27</v>
      </c>
      <c r="L4282" s="2" t="n">
        <v>192</v>
      </c>
      <c r="M4282" s="2" t="n">
        <v>3</v>
      </c>
      <c r="N4282" s="2" t="n">
        <v>-1</v>
      </c>
      <c r="O4282" s="2" t="n">
        <v>0</v>
      </c>
      <c r="P4282" s="2" t="s">
        <v>23</v>
      </c>
      <c r="Q4282" s="2" t="s">
        <v>20</v>
      </c>
    </row>
    <row r="4283" customFormat="false" ht="15" hidden="false" customHeight="false" outlineLevel="0" collapsed="false">
      <c r="A4283" s="2" t="n">
        <v>52</v>
      </c>
      <c r="B4283" s="2" t="s">
        <v>29</v>
      </c>
      <c r="C4283" s="2" t="s">
        <v>18</v>
      </c>
      <c r="D4283" s="2" t="s">
        <v>25</v>
      </c>
      <c r="E4283" s="2" t="s">
        <v>20</v>
      </c>
      <c r="F4283" s="2" t="n">
        <v>335</v>
      </c>
      <c r="G4283" s="2" t="s">
        <v>20</v>
      </c>
      <c r="H4283" s="2" t="s">
        <v>20</v>
      </c>
      <c r="I4283" s="2" t="s">
        <v>21</v>
      </c>
      <c r="J4283" s="2" t="n">
        <v>21</v>
      </c>
      <c r="K4283" s="2" t="s">
        <v>22</v>
      </c>
      <c r="L4283" s="2" t="n">
        <v>411</v>
      </c>
      <c r="M4283" s="2" t="n">
        <v>1</v>
      </c>
      <c r="N4283" s="2" t="n">
        <v>182</v>
      </c>
      <c r="O4283" s="2" t="n">
        <v>1</v>
      </c>
      <c r="P4283" s="2" t="s">
        <v>28</v>
      </c>
      <c r="Q4283" s="2" t="s">
        <v>26</v>
      </c>
    </row>
    <row r="4284" customFormat="false" ht="15" hidden="false" customHeight="false" outlineLevel="0" collapsed="false">
      <c r="A4284" s="2" t="n">
        <v>34</v>
      </c>
      <c r="B4284" s="2" t="s">
        <v>40</v>
      </c>
      <c r="C4284" s="2" t="s">
        <v>45</v>
      </c>
      <c r="D4284" s="2" t="s">
        <v>25</v>
      </c>
      <c r="E4284" s="2" t="s">
        <v>20</v>
      </c>
      <c r="F4284" s="2" t="n">
        <v>-251</v>
      </c>
      <c r="G4284" s="2" t="s">
        <v>20</v>
      </c>
      <c r="H4284" s="2" t="s">
        <v>20</v>
      </c>
      <c r="I4284" s="2" t="s">
        <v>21</v>
      </c>
      <c r="J4284" s="2" t="n">
        <v>18</v>
      </c>
      <c r="K4284" s="2" t="s">
        <v>44</v>
      </c>
      <c r="L4284" s="2" t="n">
        <v>641</v>
      </c>
      <c r="M4284" s="2" t="n">
        <v>1</v>
      </c>
      <c r="N4284" s="2" t="n">
        <v>-1</v>
      </c>
      <c r="O4284" s="2" t="n">
        <v>0</v>
      </c>
      <c r="P4284" s="2" t="s">
        <v>23</v>
      </c>
      <c r="Q4284" s="2" t="s">
        <v>26</v>
      </c>
    </row>
    <row r="4285" customFormat="false" ht="15" hidden="false" customHeight="false" outlineLevel="0" collapsed="false">
      <c r="A4285" s="2" t="n">
        <v>46</v>
      </c>
      <c r="B4285" s="2" t="s">
        <v>24</v>
      </c>
      <c r="C4285" s="2" t="s">
        <v>45</v>
      </c>
      <c r="D4285" s="2" t="s">
        <v>25</v>
      </c>
      <c r="E4285" s="2" t="s">
        <v>20</v>
      </c>
      <c r="F4285" s="2" t="n">
        <v>5</v>
      </c>
      <c r="G4285" s="2" t="s">
        <v>26</v>
      </c>
      <c r="H4285" s="2" t="s">
        <v>26</v>
      </c>
      <c r="I4285" s="2" t="s">
        <v>21</v>
      </c>
      <c r="J4285" s="2" t="n">
        <v>29</v>
      </c>
      <c r="K4285" s="2" t="s">
        <v>43</v>
      </c>
      <c r="L4285" s="2" t="n">
        <v>305</v>
      </c>
      <c r="M4285" s="2" t="n">
        <v>2</v>
      </c>
      <c r="N4285" s="2" t="n">
        <v>-1</v>
      </c>
      <c r="O4285" s="2" t="n">
        <v>0</v>
      </c>
      <c r="P4285" s="2" t="s">
        <v>23</v>
      </c>
      <c r="Q4285" s="2" t="s">
        <v>20</v>
      </c>
    </row>
    <row r="4286" customFormat="false" ht="15" hidden="false" customHeight="false" outlineLevel="0" collapsed="false">
      <c r="A4286" s="2" t="n">
        <v>54</v>
      </c>
      <c r="B4286" s="2" t="s">
        <v>36</v>
      </c>
      <c r="C4286" s="2" t="s">
        <v>18</v>
      </c>
      <c r="D4286" s="2" t="s">
        <v>25</v>
      </c>
      <c r="E4286" s="2" t="s">
        <v>20</v>
      </c>
      <c r="F4286" s="2" t="n">
        <v>641</v>
      </c>
      <c r="G4286" s="2" t="s">
        <v>26</v>
      </c>
      <c r="H4286" s="2" t="s">
        <v>20</v>
      </c>
      <c r="I4286" s="2" t="s">
        <v>21</v>
      </c>
      <c r="J4286" s="2" t="n">
        <v>17</v>
      </c>
      <c r="K4286" s="2" t="s">
        <v>32</v>
      </c>
      <c r="L4286" s="2" t="n">
        <v>472</v>
      </c>
      <c r="M4286" s="2" t="n">
        <v>1</v>
      </c>
      <c r="N4286" s="2" t="n">
        <v>148</v>
      </c>
      <c r="O4286" s="2" t="n">
        <v>2</v>
      </c>
      <c r="P4286" s="2" t="s">
        <v>28</v>
      </c>
      <c r="Q4286" s="2" t="s">
        <v>20</v>
      </c>
    </row>
    <row r="4287" customFormat="false" ht="15" hidden="false" customHeight="false" outlineLevel="0" collapsed="false">
      <c r="A4287" s="2" t="n">
        <v>37</v>
      </c>
      <c r="B4287" s="2" t="s">
        <v>40</v>
      </c>
      <c r="C4287" s="2" t="s">
        <v>18</v>
      </c>
      <c r="D4287" s="2" t="s">
        <v>31</v>
      </c>
      <c r="E4287" s="2" t="s">
        <v>20</v>
      </c>
      <c r="F4287" s="2" t="n">
        <v>0</v>
      </c>
      <c r="G4287" s="2" t="s">
        <v>26</v>
      </c>
      <c r="H4287" s="2" t="s">
        <v>20</v>
      </c>
      <c r="I4287" s="2" t="s">
        <v>21</v>
      </c>
      <c r="J4287" s="2" t="n">
        <v>21</v>
      </c>
      <c r="K4287" s="2" t="s">
        <v>44</v>
      </c>
      <c r="L4287" s="2" t="n">
        <v>115</v>
      </c>
      <c r="M4287" s="2" t="n">
        <v>1</v>
      </c>
      <c r="N4287" s="2" t="n">
        <v>-1</v>
      </c>
      <c r="O4287" s="2" t="n">
        <v>0</v>
      </c>
      <c r="P4287" s="2" t="s">
        <v>23</v>
      </c>
      <c r="Q4287" s="2" t="s">
        <v>20</v>
      </c>
    </row>
    <row r="4288" customFormat="false" ht="15" hidden="false" customHeight="false" outlineLevel="0" collapsed="false">
      <c r="A4288" s="2" t="n">
        <v>39</v>
      </c>
      <c r="B4288" s="2" t="s">
        <v>40</v>
      </c>
      <c r="C4288" s="2" t="s">
        <v>18</v>
      </c>
      <c r="D4288" s="2" t="s">
        <v>31</v>
      </c>
      <c r="E4288" s="2" t="s">
        <v>20</v>
      </c>
      <c r="F4288" s="2" t="n">
        <v>722</v>
      </c>
      <c r="G4288" s="2" t="s">
        <v>20</v>
      </c>
      <c r="H4288" s="2" t="s">
        <v>20</v>
      </c>
      <c r="I4288" s="2" t="s">
        <v>49</v>
      </c>
      <c r="J4288" s="2" t="n">
        <v>23</v>
      </c>
      <c r="K4288" s="2" t="s">
        <v>32</v>
      </c>
      <c r="L4288" s="2" t="n">
        <v>141</v>
      </c>
      <c r="M4288" s="2" t="n">
        <v>1</v>
      </c>
      <c r="N4288" s="2" t="n">
        <v>-1</v>
      </c>
      <c r="O4288" s="2" t="n">
        <v>0</v>
      </c>
      <c r="P4288" s="2" t="s">
        <v>23</v>
      </c>
      <c r="Q4288" s="2" t="s">
        <v>20</v>
      </c>
    </row>
    <row r="4289" customFormat="false" ht="15" hidden="false" customHeight="false" outlineLevel="0" collapsed="false">
      <c r="A4289" s="2" t="n">
        <v>50</v>
      </c>
      <c r="B4289" s="2" t="s">
        <v>38</v>
      </c>
      <c r="C4289" s="2" t="s">
        <v>18</v>
      </c>
      <c r="D4289" s="2" t="s">
        <v>31</v>
      </c>
      <c r="E4289" s="2" t="s">
        <v>20</v>
      </c>
      <c r="F4289" s="2" t="n">
        <v>3337</v>
      </c>
      <c r="G4289" s="2" t="s">
        <v>26</v>
      </c>
      <c r="H4289" s="2" t="s">
        <v>26</v>
      </c>
      <c r="I4289" s="2" t="s">
        <v>49</v>
      </c>
      <c r="J4289" s="2" t="n">
        <v>31</v>
      </c>
      <c r="K4289" s="2" t="s">
        <v>44</v>
      </c>
      <c r="L4289" s="2" t="n">
        <v>24</v>
      </c>
      <c r="M4289" s="2" t="n">
        <v>14</v>
      </c>
      <c r="N4289" s="2" t="n">
        <v>-1</v>
      </c>
      <c r="O4289" s="2" t="n">
        <v>0</v>
      </c>
      <c r="P4289" s="2" t="s">
        <v>23</v>
      </c>
      <c r="Q4289" s="2" t="s">
        <v>20</v>
      </c>
    </row>
    <row r="4290" customFormat="false" ht="15" hidden="false" customHeight="false" outlineLevel="0" collapsed="false">
      <c r="A4290" s="2" t="n">
        <v>44</v>
      </c>
      <c r="B4290" s="2" t="s">
        <v>38</v>
      </c>
      <c r="C4290" s="2" t="s">
        <v>45</v>
      </c>
      <c r="D4290" s="2" t="s">
        <v>25</v>
      </c>
      <c r="E4290" s="2" t="s">
        <v>20</v>
      </c>
      <c r="F4290" s="2" t="n">
        <v>0</v>
      </c>
      <c r="G4290" s="2" t="s">
        <v>20</v>
      </c>
      <c r="H4290" s="2" t="s">
        <v>20</v>
      </c>
      <c r="I4290" s="2" t="s">
        <v>21</v>
      </c>
      <c r="J4290" s="2" t="n">
        <v>28</v>
      </c>
      <c r="K4290" s="2" t="s">
        <v>44</v>
      </c>
      <c r="L4290" s="2" t="n">
        <v>264</v>
      </c>
      <c r="M4290" s="2" t="n">
        <v>5</v>
      </c>
      <c r="N4290" s="2" t="n">
        <v>-1</v>
      </c>
      <c r="O4290" s="2" t="n">
        <v>0</v>
      </c>
      <c r="P4290" s="2" t="s">
        <v>23</v>
      </c>
      <c r="Q4290" s="2" t="s">
        <v>20</v>
      </c>
    </row>
    <row r="4291" customFormat="false" ht="15" hidden="false" customHeight="false" outlineLevel="0" collapsed="false">
      <c r="A4291" s="2" t="n">
        <v>56</v>
      </c>
      <c r="B4291" s="2" t="s">
        <v>40</v>
      </c>
      <c r="C4291" s="2" t="s">
        <v>18</v>
      </c>
      <c r="D4291" s="2" t="s">
        <v>25</v>
      </c>
      <c r="E4291" s="2" t="s">
        <v>20</v>
      </c>
      <c r="F4291" s="2" t="n">
        <v>1504</v>
      </c>
      <c r="G4291" s="2" t="s">
        <v>26</v>
      </c>
      <c r="H4291" s="2" t="s">
        <v>20</v>
      </c>
      <c r="I4291" s="2" t="s">
        <v>23</v>
      </c>
      <c r="J4291" s="2" t="n">
        <v>29</v>
      </c>
      <c r="K4291" s="2" t="s">
        <v>27</v>
      </c>
      <c r="L4291" s="2" t="n">
        <v>66</v>
      </c>
      <c r="M4291" s="2" t="n">
        <v>2</v>
      </c>
      <c r="N4291" s="2" t="n">
        <v>-1</v>
      </c>
      <c r="O4291" s="2" t="n">
        <v>0</v>
      </c>
      <c r="P4291" s="2" t="s">
        <v>23</v>
      </c>
      <c r="Q4291" s="2" t="s">
        <v>20</v>
      </c>
    </row>
    <row r="4292" customFormat="false" ht="15" hidden="false" customHeight="false" outlineLevel="0" collapsed="false">
      <c r="A4292" s="2" t="n">
        <v>40</v>
      </c>
      <c r="B4292" s="2" t="s">
        <v>24</v>
      </c>
      <c r="C4292" s="2" t="s">
        <v>18</v>
      </c>
      <c r="D4292" s="2" t="s">
        <v>31</v>
      </c>
      <c r="E4292" s="2" t="s">
        <v>20</v>
      </c>
      <c r="F4292" s="2" t="n">
        <v>35</v>
      </c>
      <c r="G4292" s="2" t="s">
        <v>20</v>
      </c>
      <c r="H4292" s="2" t="s">
        <v>20</v>
      </c>
      <c r="I4292" s="2" t="s">
        <v>21</v>
      </c>
      <c r="J4292" s="2" t="n">
        <v>3</v>
      </c>
      <c r="K4292" s="2" t="s">
        <v>44</v>
      </c>
      <c r="L4292" s="2" t="n">
        <v>318</v>
      </c>
      <c r="M4292" s="2" t="n">
        <v>4</v>
      </c>
      <c r="N4292" s="2" t="n">
        <v>317</v>
      </c>
      <c r="O4292" s="2" t="n">
        <v>3</v>
      </c>
      <c r="P4292" s="2" t="s">
        <v>28</v>
      </c>
      <c r="Q4292" s="2" t="s">
        <v>20</v>
      </c>
    </row>
    <row r="4293" customFormat="false" ht="15" hidden="false" customHeight="false" outlineLevel="0" collapsed="false">
      <c r="A4293" s="2" t="n">
        <v>36</v>
      </c>
      <c r="B4293" s="2" t="s">
        <v>24</v>
      </c>
      <c r="C4293" s="2" t="s">
        <v>18</v>
      </c>
      <c r="D4293" s="2" t="s">
        <v>25</v>
      </c>
      <c r="E4293" s="2" t="s">
        <v>20</v>
      </c>
      <c r="F4293" s="2" t="n">
        <v>895</v>
      </c>
      <c r="G4293" s="2" t="s">
        <v>26</v>
      </c>
      <c r="H4293" s="2" t="s">
        <v>26</v>
      </c>
      <c r="I4293" s="2" t="s">
        <v>23</v>
      </c>
      <c r="J4293" s="2" t="n">
        <v>4</v>
      </c>
      <c r="K4293" s="2" t="s">
        <v>33</v>
      </c>
      <c r="L4293" s="2" t="n">
        <v>622</v>
      </c>
      <c r="M4293" s="2" t="n">
        <v>1</v>
      </c>
      <c r="N4293" s="2" t="n">
        <v>-1</v>
      </c>
      <c r="O4293" s="2" t="n">
        <v>0</v>
      </c>
      <c r="P4293" s="2" t="s">
        <v>23</v>
      </c>
      <c r="Q4293" s="2" t="s">
        <v>20</v>
      </c>
    </row>
    <row r="4294" customFormat="false" ht="15" hidden="false" customHeight="false" outlineLevel="0" collapsed="false">
      <c r="A4294" s="2" t="n">
        <v>33</v>
      </c>
      <c r="B4294" s="2" t="s">
        <v>29</v>
      </c>
      <c r="C4294" s="2" t="s">
        <v>18</v>
      </c>
      <c r="D4294" s="2" t="s">
        <v>31</v>
      </c>
      <c r="E4294" s="2" t="s">
        <v>20</v>
      </c>
      <c r="F4294" s="2" t="n">
        <v>752</v>
      </c>
      <c r="G4294" s="2" t="s">
        <v>26</v>
      </c>
      <c r="H4294" s="2" t="s">
        <v>20</v>
      </c>
      <c r="I4294" s="2" t="s">
        <v>21</v>
      </c>
      <c r="J4294" s="2" t="n">
        <v>11</v>
      </c>
      <c r="K4294" s="2" t="s">
        <v>41</v>
      </c>
      <c r="L4294" s="2" t="n">
        <v>104</v>
      </c>
      <c r="M4294" s="2" t="n">
        <v>4</v>
      </c>
      <c r="N4294" s="2" t="n">
        <v>-1</v>
      </c>
      <c r="O4294" s="2" t="n">
        <v>0</v>
      </c>
      <c r="P4294" s="2" t="s">
        <v>23</v>
      </c>
      <c r="Q4294" s="2" t="s">
        <v>20</v>
      </c>
    </row>
    <row r="4295" customFormat="false" ht="15" hidden="false" customHeight="false" outlineLevel="0" collapsed="false">
      <c r="A4295" s="2" t="n">
        <v>33</v>
      </c>
      <c r="B4295" s="2" t="s">
        <v>34</v>
      </c>
      <c r="C4295" s="2" t="s">
        <v>30</v>
      </c>
      <c r="D4295" s="2" t="s">
        <v>25</v>
      </c>
      <c r="E4295" s="2" t="s">
        <v>20</v>
      </c>
      <c r="F4295" s="2" t="n">
        <v>1925</v>
      </c>
      <c r="G4295" s="2" t="s">
        <v>26</v>
      </c>
      <c r="H4295" s="2" t="s">
        <v>20</v>
      </c>
      <c r="I4295" s="2" t="s">
        <v>21</v>
      </c>
      <c r="J4295" s="2" t="n">
        <v>2</v>
      </c>
      <c r="K4295" s="2" t="s">
        <v>52</v>
      </c>
      <c r="L4295" s="2" t="n">
        <v>76</v>
      </c>
      <c r="M4295" s="2" t="n">
        <v>2</v>
      </c>
      <c r="N4295" s="2" t="n">
        <v>-1</v>
      </c>
      <c r="O4295" s="2" t="n">
        <v>0</v>
      </c>
      <c r="P4295" s="2" t="s">
        <v>23</v>
      </c>
      <c r="Q4295" s="2" t="s">
        <v>20</v>
      </c>
    </row>
    <row r="4296" customFormat="false" ht="15" hidden="false" customHeight="false" outlineLevel="0" collapsed="false">
      <c r="A4296" s="2" t="n">
        <v>42</v>
      </c>
      <c r="B4296" s="2" t="s">
        <v>24</v>
      </c>
      <c r="C4296" s="2" t="s">
        <v>18</v>
      </c>
      <c r="D4296" s="2" t="s">
        <v>25</v>
      </c>
      <c r="E4296" s="2" t="s">
        <v>20</v>
      </c>
      <c r="F4296" s="2" t="n">
        <v>-246</v>
      </c>
      <c r="G4296" s="2" t="s">
        <v>26</v>
      </c>
      <c r="H4296" s="2" t="s">
        <v>20</v>
      </c>
      <c r="I4296" s="2" t="s">
        <v>23</v>
      </c>
      <c r="J4296" s="2" t="n">
        <v>7</v>
      </c>
      <c r="K4296" s="2" t="s">
        <v>27</v>
      </c>
      <c r="L4296" s="2" t="n">
        <v>149</v>
      </c>
      <c r="M4296" s="2" t="n">
        <v>1</v>
      </c>
      <c r="N4296" s="2" t="n">
        <v>-1</v>
      </c>
      <c r="O4296" s="2" t="n">
        <v>0</v>
      </c>
      <c r="P4296" s="2" t="s">
        <v>23</v>
      </c>
      <c r="Q4296" s="2" t="s">
        <v>20</v>
      </c>
    </row>
    <row r="4297" customFormat="false" ht="15" hidden="false" customHeight="false" outlineLevel="0" collapsed="false">
      <c r="A4297" s="2" t="n">
        <v>30</v>
      </c>
      <c r="B4297" s="2" t="s">
        <v>36</v>
      </c>
      <c r="C4297" s="2" t="s">
        <v>30</v>
      </c>
      <c r="D4297" s="2" t="s">
        <v>31</v>
      </c>
      <c r="E4297" s="2" t="s">
        <v>20</v>
      </c>
      <c r="F4297" s="2" t="n">
        <v>901</v>
      </c>
      <c r="G4297" s="2" t="s">
        <v>26</v>
      </c>
      <c r="H4297" s="2" t="s">
        <v>26</v>
      </c>
      <c r="I4297" s="2" t="s">
        <v>23</v>
      </c>
      <c r="J4297" s="2" t="n">
        <v>16</v>
      </c>
      <c r="K4297" s="2" t="s">
        <v>27</v>
      </c>
      <c r="L4297" s="2" t="n">
        <v>601</v>
      </c>
      <c r="M4297" s="2" t="n">
        <v>1</v>
      </c>
      <c r="N4297" s="2" t="n">
        <v>-1</v>
      </c>
      <c r="O4297" s="2" t="n">
        <v>0</v>
      </c>
      <c r="P4297" s="2" t="s">
        <v>23</v>
      </c>
      <c r="Q4297" s="2" t="s">
        <v>20</v>
      </c>
    </row>
    <row r="4298" customFormat="false" ht="15" hidden="false" customHeight="false" outlineLevel="0" collapsed="false">
      <c r="A4298" s="2" t="n">
        <v>33</v>
      </c>
      <c r="B4298" s="2" t="s">
        <v>40</v>
      </c>
      <c r="C4298" s="2" t="s">
        <v>30</v>
      </c>
      <c r="D4298" s="2" t="s">
        <v>25</v>
      </c>
      <c r="E4298" s="2" t="s">
        <v>20</v>
      </c>
      <c r="F4298" s="2" t="n">
        <v>894</v>
      </c>
      <c r="G4298" s="2" t="s">
        <v>20</v>
      </c>
      <c r="H4298" s="2" t="s">
        <v>20</v>
      </c>
      <c r="I4298" s="2" t="s">
        <v>21</v>
      </c>
      <c r="J4298" s="2" t="n">
        <v>5</v>
      </c>
      <c r="K4298" s="2" t="s">
        <v>35</v>
      </c>
      <c r="L4298" s="2" t="n">
        <v>509</v>
      </c>
      <c r="M4298" s="2" t="n">
        <v>2</v>
      </c>
      <c r="N4298" s="2" t="n">
        <v>-1</v>
      </c>
      <c r="O4298" s="2" t="n">
        <v>0</v>
      </c>
      <c r="P4298" s="2" t="s">
        <v>23</v>
      </c>
      <c r="Q4298" s="2" t="s">
        <v>20</v>
      </c>
    </row>
    <row r="4299" customFormat="false" ht="15" hidden="false" customHeight="false" outlineLevel="0" collapsed="false">
      <c r="A4299" s="2" t="n">
        <v>26</v>
      </c>
      <c r="B4299" s="2" t="s">
        <v>34</v>
      </c>
      <c r="C4299" s="2" t="s">
        <v>30</v>
      </c>
      <c r="D4299" s="2" t="s">
        <v>25</v>
      </c>
      <c r="E4299" s="2" t="s">
        <v>20</v>
      </c>
      <c r="F4299" s="2" t="n">
        <v>592</v>
      </c>
      <c r="G4299" s="2" t="s">
        <v>26</v>
      </c>
      <c r="H4299" s="2" t="s">
        <v>26</v>
      </c>
      <c r="I4299" s="2" t="s">
        <v>23</v>
      </c>
      <c r="J4299" s="2" t="n">
        <v>27</v>
      </c>
      <c r="K4299" s="2" t="s">
        <v>27</v>
      </c>
      <c r="L4299" s="2" t="n">
        <v>174</v>
      </c>
      <c r="M4299" s="2" t="n">
        <v>1</v>
      </c>
      <c r="N4299" s="2" t="n">
        <v>-1</v>
      </c>
      <c r="O4299" s="2" t="n">
        <v>0</v>
      </c>
      <c r="P4299" s="2" t="s">
        <v>23</v>
      </c>
      <c r="Q4299" s="2" t="s">
        <v>20</v>
      </c>
    </row>
    <row r="4300" customFormat="false" ht="15" hidden="false" customHeight="false" outlineLevel="0" collapsed="false">
      <c r="A4300" s="2" t="n">
        <v>26</v>
      </c>
      <c r="B4300" s="2" t="s">
        <v>40</v>
      </c>
      <c r="C4300" s="2" t="s">
        <v>30</v>
      </c>
      <c r="D4300" s="2" t="s">
        <v>25</v>
      </c>
      <c r="E4300" s="2" t="s">
        <v>20</v>
      </c>
      <c r="F4300" s="2" t="n">
        <v>3529</v>
      </c>
      <c r="G4300" s="2" t="s">
        <v>20</v>
      </c>
      <c r="H4300" s="2" t="s">
        <v>26</v>
      </c>
      <c r="I4300" s="2" t="s">
        <v>21</v>
      </c>
      <c r="J4300" s="2" t="n">
        <v>7</v>
      </c>
      <c r="K4300" s="2" t="s">
        <v>51</v>
      </c>
      <c r="L4300" s="2" t="n">
        <v>57</v>
      </c>
      <c r="M4300" s="2" t="n">
        <v>2</v>
      </c>
      <c r="N4300" s="2" t="n">
        <v>-1</v>
      </c>
      <c r="O4300" s="2" t="n">
        <v>0</v>
      </c>
      <c r="P4300" s="2" t="s">
        <v>23</v>
      </c>
      <c r="Q4300" s="2" t="s">
        <v>20</v>
      </c>
    </row>
    <row r="4301" customFormat="false" ht="15" hidden="false" customHeight="false" outlineLevel="0" collapsed="false">
      <c r="A4301" s="2" t="n">
        <v>37</v>
      </c>
      <c r="B4301" s="2" t="s">
        <v>24</v>
      </c>
      <c r="C4301" s="2" t="s">
        <v>18</v>
      </c>
      <c r="D4301" s="2" t="s">
        <v>25</v>
      </c>
      <c r="E4301" s="2" t="s">
        <v>20</v>
      </c>
      <c r="F4301" s="2" t="n">
        <v>0</v>
      </c>
      <c r="G4301" s="2" t="s">
        <v>26</v>
      </c>
      <c r="H4301" s="2" t="s">
        <v>26</v>
      </c>
      <c r="I4301" s="2" t="s">
        <v>21</v>
      </c>
      <c r="J4301" s="2" t="n">
        <v>31</v>
      </c>
      <c r="K4301" s="2" t="s">
        <v>44</v>
      </c>
      <c r="L4301" s="2" t="n">
        <v>187</v>
      </c>
      <c r="M4301" s="2" t="n">
        <v>2</v>
      </c>
      <c r="N4301" s="2" t="n">
        <v>-1</v>
      </c>
      <c r="O4301" s="2" t="n">
        <v>0</v>
      </c>
      <c r="P4301" s="2" t="s">
        <v>23</v>
      </c>
      <c r="Q4301" s="2" t="s">
        <v>20</v>
      </c>
    </row>
    <row r="4302" customFormat="false" ht="15" hidden="false" customHeight="false" outlineLevel="0" collapsed="false">
      <c r="A4302" s="2" t="n">
        <v>59</v>
      </c>
      <c r="B4302" s="2" t="s">
        <v>48</v>
      </c>
      <c r="C4302" s="2" t="s">
        <v>18</v>
      </c>
      <c r="D4302" s="2" t="s">
        <v>19</v>
      </c>
      <c r="E4302" s="2" t="s">
        <v>20</v>
      </c>
      <c r="F4302" s="2" t="n">
        <v>0</v>
      </c>
      <c r="G4302" s="2" t="s">
        <v>20</v>
      </c>
      <c r="H4302" s="2" t="s">
        <v>20</v>
      </c>
      <c r="I4302" s="2" t="s">
        <v>21</v>
      </c>
      <c r="J4302" s="2" t="n">
        <v>5</v>
      </c>
      <c r="K4302" s="2" t="s">
        <v>33</v>
      </c>
      <c r="L4302" s="2" t="n">
        <v>493</v>
      </c>
      <c r="M4302" s="2" t="n">
        <v>2</v>
      </c>
      <c r="N4302" s="2" t="n">
        <v>-1</v>
      </c>
      <c r="O4302" s="2" t="n">
        <v>0</v>
      </c>
      <c r="P4302" s="2" t="s">
        <v>23</v>
      </c>
      <c r="Q4302" s="2" t="s">
        <v>26</v>
      </c>
    </row>
    <row r="4303" customFormat="false" ht="15" hidden="false" customHeight="false" outlineLevel="0" collapsed="false">
      <c r="A4303" s="2" t="n">
        <v>49</v>
      </c>
      <c r="B4303" s="2" t="s">
        <v>34</v>
      </c>
      <c r="C4303" s="2" t="s">
        <v>18</v>
      </c>
      <c r="D4303" s="2" t="s">
        <v>19</v>
      </c>
      <c r="E4303" s="2" t="s">
        <v>20</v>
      </c>
      <c r="F4303" s="2" t="n">
        <v>371</v>
      </c>
      <c r="G4303" s="2" t="s">
        <v>26</v>
      </c>
      <c r="H4303" s="2" t="s">
        <v>20</v>
      </c>
      <c r="I4303" s="2" t="s">
        <v>21</v>
      </c>
      <c r="J4303" s="2" t="n">
        <v>31</v>
      </c>
      <c r="K4303" s="2" t="s">
        <v>44</v>
      </c>
      <c r="L4303" s="2" t="n">
        <v>18</v>
      </c>
      <c r="M4303" s="2" t="n">
        <v>44</v>
      </c>
      <c r="N4303" s="2" t="n">
        <v>-1</v>
      </c>
      <c r="O4303" s="2" t="n">
        <v>0</v>
      </c>
      <c r="P4303" s="2" t="s">
        <v>23</v>
      </c>
      <c r="Q4303" s="2" t="s">
        <v>20</v>
      </c>
    </row>
    <row r="4304" customFormat="false" ht="15" hidden="false" customHeight="false" outlineLevel="0" collapsed="false">
      <c r="A4304" s="2" t="n">
        <v>33</v>
      </c>
      <c r="B4304" s="2" t="s">
        <v>34</v>
      </c>
      <c r="C4304" s="2" t="s">
        <v>30</v>
      </c>
      <c r="D4304" s="2" t="s">
        <v>19</v>
      </c>
      <c r="E4304" s="2" t="s">
        <v>20</v>
      </c>
      <c r="F4304" s="2" t="n">
        <v>1</v>
      </c>
      <c r="G4304" s="2" t="s">
        <v>26</v>
      </c>
      <c r="H4304" s="2" t="s">
        <v>20</v>
      </c>
      <c r="I4304" s="2" t="s">
        <v>21</v>
      </c>
      <c r="J4304" s="2" t="n">
        <v>20</v>
      </c>
      <c r="K4304" s="2" t="s">
        <v>32</v>
      </c>
      <c r="L4304" s="2" t="n">
        <v>257</v>
      </c>
      <c r="M4304" s="2" t="n">
        <v>1</v>
      </c>
      <c r="N4304" s="2" t="n">
        <v>-1</v>
      </c>
      <c r="O4304" s="2" t="n">
        <v>0</v>
      </c>
      <c r="P4304" s="2" t="s">
        <v>23</v>
      </c>
      <c r="Q4304" s="2" t="s">
        <v>20</v>
      </c>
    </row>
    <row r="4305" customFormat="false" ht="15" hidden="false" customHeight="false" outlineLevel="0" collapsed="false">
      <c r="A4305" s="2" t="n">
        <v>46</v>
      </c>
      <c r="B4305" s="2" t="s">
        <v>38</v>
      </c>
      <c r="C4305" s="2" t="s">
        <v>30</v>
      </c>
      <c r="D4305" s="2" t="s">
        <v>25</v>
      </c>
      <c r="E4305" s="2" t="s">
        <v>20</v>
      </c>
      <c r="F4305" s="2" t="n">
        <v>834</v>
      </c>
      <c r="G4305" s="2" t="s">
        <v>26</v>
      </c>
      <c r="H4305" s="2" t="s">
        <v>20</v>
      </c>
      <c r="I4305" s="2" t="s">
        <v>21</v>
      </c>
      <c r="J4305" s="2" t="n">
        <v>11</v>
      </c>
      <c r="K4305" s="2" t="s">
        <v>44</v>
      </c>
      <c r="L4305" s="2" t="n">
        <v>196</v>
      </c>
      <c r="M4305" s="2" t="n">
        <v>2</v>
      </c>
      <c r="N4305" s="2" t="n">
        <v>-1</v>
      </c>
      <c r="O4305" s="2" t="n">
        <v>0</v>
      </c>
      <c r="P4305" s="2" t="s">
        <v>23</v>
      </c>
      <c r="Q4305" s="2" t="s">
        <v>20</v>
      </c>
    </row>
    <row r="4306" customFormat="false" ht="15" hidden="false" customHeight="false" outlineLevel="0" collapsed="false">
      <c r="A4306" s="2" t="n">
        <v>55</v>
      </c>
      <c r="B4306" s="2" t="s">
        <v>39</v>
      </c>
      <c r="C4306" s="2" t="s">
        <v>18</v>
      </c>
      <c r="D4306" s="2" t="s">
        <v>19</v>
      </c>
      <c r="E4306" s="2" t="s">
        <v>20</v>
      </c>
      <c r="F4306" s="2" t="n">
        <v>298</v>
      </c>
      <c r="G4306" s="2" t="s">
        <v>26</v>
      </c>
      <c r="H4306" s="2" t="s">
        <v>20</v>
      </c>
      <c r="I4306" s="2" t="s">
        <v>23</v>
      </c>
      <c r="J4306" s="2" t="n">
        <v>8</v>
      </c>
      <c r="K4306" s="2" t="s">
        <v>27</v>
      </c>
      <c r="L4306" s="2" t="n">
        <v>144</v>
      </c>
      <c r="M4306" s="2" t="n">
        <v>3</v>
      </c>
      <c r="N4306" s="2" t="n">
        <v>-1</v>
      </c>
      <c r="O4306" s="2" t="n">
        <v>0</v>
      </c>
      <c r="P4306" s="2" t="s">
        <v>23</v>
      </c>
      <c r="Q4306" s="2" t="s">
        <v>20</v>
      </c>
    </row>
    <row r="4307" customFormat="false" ht="15" hidden="false" customHeight="false" outlineLevel="0" collapsed="false">
      <c r="A4307" s="2" t="n">
        <v>49</v>
      </c>
      <c r="B4307" s="2" t="s">
        <v>24</v>
      </c>
      <c r="C4307" s="2" t="s">
        <v>18</v>
      </c>
      <c r="D4307" s="2" t="s">
        <v>31</v>
      </c>
      <c r="E4307" s="2" t="s">
        <v>20</v>
      </c>
      <c r="F4307" s="2" t="n">
        <v>306</v>
      </c>
      <c r="G4307" s="2" t="s">
        <v>26</v>
      </c>
      <c r="H4307" s="2" t="s">
        <v>20</v>
      </c>
      <c r="I4307" s="2" t="s">
        <v>21</v>
      </c>
      <c r="J4307" s="2" t="n">
        <v>18</v>
      </c>
      <c r="K4307" s="2" t="s">
        <v>41</v>
      </c>
      <c r="L4307" s="2" t="n">
        <v>285</v>
      </c>
      <c r="M4307" s="2" t="n">
        <v>7</v>
      </c>
      <c r="N4307" s="2" t="n">
        <v>-1</v>
      </c>
      <c r="O4307" s="2" t="n">
        <v>0</v>
      </c>
      <c r="P4307" s="2" t="s">
        <v>23</v>
      </c>
      <c r="Q4307" s="2" t="s">
        <v>20</v>
      </c>
    </row>
    <row r="4308" customFormat="false" ht="15" hidden="false" customHeight="false" outlineLevel="0" collapsed="false">
      <c r="A4308" s="2" t="n">
        <v>51</v>
      </c>
      <c r="B4308" s="2" t="s">
        <v>38</v>
      </c>
      <c r="C4308" s="2" t="s">
        <v>18</v>
      </c>
      <c r="D4308" s="2" t="s">
        <v>25</v>
      </c>
      <c r="E4308" s="2" t="s">
        <v>20</v>
      </c>
      <c r="F4308" s="2" t="n">
        <v>143</v>
      </c>
      <c r="G4308" s="2" t="s">
        <v>26</v>
      </c>
      <c r="H4308" s="2" t="s">
        <v>20</v>
      </c>
      <c r="I4308" s="2" t="s">
        <v>23</v>
      </c>
      <c r="J4308" s="2" t="n">
        <v>16</v>
      </c>
      <c r="K4308" s="2" t="s">
        <v>27</v>
      </c>
      <c r="L4308" s="2" t="n">
        <v>627</v>
      </c>
      <c r="M4308" s="2" t="n">
        <v>1</v>
      </c>
      <c r="N4308" s="2" t="n">
        <v>-1</v>
      </c>
      <c r="O4308" s="2" t="n">
        <v>0</v>
      </c>
      <c r="P4308" s="2" t="s">
        <v>23</v>
      </c>
      <c r="Q4308" s="2" t="s">
        <v>20</v>
      </c>
    </row>
    <row r="4309" customFormat="false" ht="15" hidden="false" customHeight="false" outlineLevel="0" collapsed="false">
      <c r="A4309" s="2" t="n">
        <v>27</v>
      </c>
      <c r="B4309" s="2" t="s">
        <v>40</v>
      </c>
      <c r="C4309" s="2" t="s">
        <v>18</v>
      </c>
      <c r="D4309" s="2" t="s">
        <v>25</v>
      </c>
      <c r="E4309" s="2" t="s">
        <v>20</v>
      </c>
      <c r="F4309" s="2" t="n">
        <v>186</v>
      </c>
      <c r="G4309" s="2" t="s">
        <v>26</v>
      </c>
      <c r="H4309" s="2" t="s">
        <v>20</v>
      </c>
      <c r="I4309" s="2" t="s">
        <v>23</v>
      </c>
      <c r="J4309" s="2" t="n">
        <v>27</v>
      </c>
      <c r="K4309" s="2" t="s">
        <v>27</v>
      </c>
      <c r="L4309" s="2" t="n">
        <v>136</v>
      </c>
      <c r="M4309" s="2" t="n">
        <v>2</v>
      </c>
      <c r="N4309" s="2" t="n">
        <v>-1</v>
      </c>
      <c r="O4309" s="2" t="n">
        <v>0</v>
      </c>
      <c r="P4309" s="2" t="s">
        <v>23</v>
      </c>
      <c r="Q4309" s="2" t="s">
        <v>20</v>
      </c>
    </row>
    <row r="4310" customFormat="false" ht="15" hidden="false" customHeight="false" outlineLevel="0" collapsed="false">
      <c r="A4310" s="2" t="n">
        <v>44</v>
      </c>
      <c r="B4310" s="2" t="s">
        <v>38</v>
      </c>
      <c r="C4310" s="2" t="s">
        <v>18</v>
      </c>
      <c r="D4310" s="2" t="s">
        <v>25</v>
      </c>
      <c r="E4310" s="2" t="s">
        <v>20</v>
      </c>
      <c r="F4310" s="2" t="n">
        <v>5597</v>
      </c>
      <c r="G4310" s="2" t="s">
        <v>20</v>
      </c>
      <c r="H4310" s="2" t="s">
        <v>20</v>
      </c>
      <c r="I4310" s="2" t="s">
        <v>23</v>
      </c>
      <c r="J4310" s="2" t="n">
        <v>20</v>
      </c>
      <c r="K4310" s="2" t="s">
        <v>33</v>
      </c>
      <c r="L4310" s="2" t="n">
        <v>27</v>
      </c>
      <c r="M4310" s="2" t="n">
        <v>3</v>
      </c>
      <c r="N4310" s="2" t="n">
        <v>-1</v>
      </c>
      <c r="O4310" s="2" t="n">
        <v>0</v>
      </c>
      <c r="P4310" s="2" t="s">
        <v>23</v>
      </c>
      <c r="Q4310" s="2" t="s">
        <v>20</v>
      </c>
    </row>
    <row r="4311" customFormat="false" ht="15" hidden="false" customHeight="false" outlineLevel="0" collapsed="false">
      <c r="A4311" s="2" t="n">
        <v>40</v>
      </c>
      <c r="B4311" s="2" t="s">
        <v>24</v>
      </c>
      <c r="C4311" s="2" t="s">
        <v>30</v>
      </c>
      <c r="D4311" s="2" t="s">
        <v>25</v>
      </c>
      <c r="E4311" s="2" t="s">
        <v>20</v>
      </c>
      <c r="F4311" s="2" t="n">
        <v>1547</v>
      </c>
      <c r="G4311" s="2" t="s">
        <v>26</v>
      </c>
      <c r="H4311" s="2" t="s">
        <v>20</v>
      </c>
      <c r="I4311" s="2" t="s">
        <v>21</v>
      </c>
      <c r="J4311" s="2" t="n">
        <v>12</v>
      </c>
      <c r="K4311" s="2" t="s">
        <v>27</v>
      </c>
      <c r="L4311" s="2" t="n">
        <v>88</v>
      </c>
      <c r="M4311" s="2" t="n">
        <v>2</v>
      </c>
      <c r="N4311" s="2" t="n">
        <v>173</v>
      </c>
      <c r="O4311" s="2" t="n">
        <v>1</v>
      </c>
      <c r="P4311" s="2" t="s">
        <v>50</v>
      </c>
      <c r="Q4311" s="2" t="s">
        <v>20</v>
      </c>
    </row>
    <row r="4312" customFormat="false" ht="15" hidden="false" customHeight="false" outlineLevel="0" collapsed="false">
      <c r="A4312" s="2" t="n">
        <v>36</v>
      </c>
      <c r="B4312" s="2" t="s">
        <v>29</v>
      </c>
      <c r="C4312" s="2" t="s">
        <v>18</v>
      </c>
      <c r="D4312" s="2" t="s">
        <v>31</v>
      </c>
      <c r="E4312" s="2" t="s">
        <v>20</v>
      </c>
      <c r="F4312" s="2" t="n">
        <v>1852</v>
      </c>
      <c r="G4312" s="2" t="s">
        <v>20</v>
      </c>
      <c r="H4312" s="2" t="s">
        <v>20</v>
      </c>
      <c r="I4312" s="2" t="s">
        <v>23</v>
      </c>
      <c r="J4312" s="2" t="n">
        <v>8</v>
      </c>
      <c r="K4312" s="2" t="s">
        <v>27</v>
      </c>
      <c r="L4312" s="2" t="n">
        <v>362</v>
      </c>
      <c r="M4312" s="2" t="n">
        <v>1</v>
      </c>
      <c r="N4312" s="2" t="n">
        <v>-1</v>
      </c>
      <c r="O4312" s="2" t="n">
        <v>0</v>
      </c>
      <c r="P4312" s="2" t="s">
        <v>23</v>
      </c>
      <c r="Q4312" s="2" t="s">
        <v>20</v>
      </c>
    </row>
    <row r="4313" customFormat="false" ht="15" hidden="false" customHeight="false" outlineLevel="0" collapsed="false">
      <c r="A4313" s="2" t="n">
        <v>46</v>
      </c>
      <c r="B4313" s="2" t="s">
        <v>40</v>
      </c>
      <c r="C4313" s="2" t="s">
        <v>30</v>
      </c>
      <c r="D4313" s="2" t="s">
        <v>25</v>
      </c>
      <c r="E4313" s="2" t="s">
        <v>20</v>
      </c>
      <c r="F4313" s="2" t="n">
        <v>1790</v>
      </c>
      <c r="G4313" s="2" t="s">
        <v>26</v>
      </c>
      <c r="H4313" s="2" t="s">
        <v>20</v>
      </c>
      <c r="I4313" s="2" t="s">
        <v>23</v>
      </c>
      <c r="J4313" s="2" t="n">
        <v>5</v>
      </c>
      <c r="K4313" s="2" t="s">
        <v>33</v>
      </c>
      <c r="L4313" s="2" t="n">
        <v>214</v>
      </c>
      <c r="M4313" s="2" t="n">
        <v>5</v>
      </c>
      <c r="N4313" s="2" t="n">
        <v>-1</v>
      </c>
      <c r="O4313" s="2" t="n">
        <v>0</v>
      </c>
      <c r="P4313" s="2" t="s">
        <v>23</v>
      </c>
      <c r="Q4313" s="2" t="s">
        <v>20</v>
      </c>
    </row>
    <row r="4314" customFormat="false" ht="15" hidden="false" customHeight="false" outlineLevel="0" collapsed="false">
      <c r="A4314" s="2" t="n">
        <v>30</v>
      </c>
      <c r="B4314" s="2" t="s">
        <v>24</v>
      </c>
      <c r="C4314" s="2" t="s">
        <v>30</v>
      </c>
      <c r="D4314" s="2" t="s">
        <v>25</v>
      </c>
      <c r="E4314" s="2" t="s">
        <v>20</v>
      </c>
      <c r="F4314" s="2" t="n">
        <v>20</v>
      </c>
      <c r="G4314" s="2" t="s">
        <v>26</v>
      </c>
      <c r="H4314" s="2" t="s">
        <v>20</v>
      </c>
      <c r="I4314" s="2" t="s">
        <v>21</v>
      </c>
      <c r="J4314" s="2" t="n">
        <v>20</v>
      </c>
      <c r="K4314" s="2" t="s">
        <v>32</v>
      </c>
      <c r="L4314" s="2" t="n">
        <v>404</v>
      </c>
      <c r="M4314" s="2" t="n">
        <v>6</v>
      </c>
      <c r="N4314" s="2" t="n">
        <v>340</v>
      </c>
      <c r="O4314" s="2" t="n">
        <v>1</v>
      </c>
      <c r="P4314" s="2" t="s">
        <v>28</v>
      </c>
      <c r="Q4314" s="2" t="s">
        <v>20</v>
      </c>
    </row>
    <row r="4315" customFormat="false" ht="15" hidden="false" customHeight="false" outlineLevel="0" collapsed="false">
      <c r="A4315" s="2" t="n">
        <v>35</v>
      </c>
      <c r="B4315" s="2" t="s">
        <v>40</v>
      </c>
      <c r="C4315" s="2" t="s">
        <v>18</v>
      </c>
      <c r="D4315" s="2" t="s">
        <v>25</v>
      </c>
      <c r="E4315" s="2" t="s">
        <v>20</v>
      </c>
      <c r="F4315" s="2" t="n">
        <v>8652</v>
      </c>
      <c r="G4315" s="2" t="s">
        <v>26</v>
      </c>
      <c r="H4315" s="2" t="s">
        <v>20</v>
      </c>
      <c r="I4315" s="2" t="s">
        <v>23</v>
      </c>
      <c r="J4315" s="2" t="n">
        <v>24</v>
      </c>
      <c r="K4315" s="2" t="s">
        <v>33</v>
      </c>
      <c r="L4315" s="2" t="n">
        <v>103</v>
      </c>
      <c r="M4315" s="2" t="n">
        <v>6</v>
      </c>
      <c r="N4315" s="2" t="n">
        <v>-1</v>
      </c>
      <c r="O4315" s="2" t="n">
        <v>0</v>
      </c>
      <c r="P4315" s="2" t="s">
        <v>23</v>
      </c>
      <c r="Q4315" s="2" t="s">
        <v>20</v>
      </c>
    </row>
    <row r="4316" customFormat="false" ht="15" hidden="false" customHeight="false" outlineLevel="0" collapsed="false">
      <c r="A4316" s="2" t="n">
        <v>31</v>
      </c>
      <c r="B4316" s="2" t="s">
        <v>38</v>
      </c>
      <c r="C4316" s="2" t="s">
        <v>30</v>
      </c>
      <c r="D4316" s="2" t="s">
        <v>25</v>
      </c>
      <c r="E4316" s="2" t="s">
        <v>20</v>
      </c>
      <c r="F4316" s="2" t="n">
        <v>1626</v>
      </c>
      <c r="G4316" s="2" t="s">
        <v>20</v>
      </c>
      <c r="H4316" s="2" t="s">
        <v>20</v>
      </c>
      <c r="I4316" s="2" t="s">
        <v>21</v>
      </c>
      <c r="J4316" s="2" t="n">
        <v>7</v>
      </c>
      <c r="K4316" s="2" t="s">
        <v>27</v>
      </c>
      <c r="L4316" s="2" t="n">
        <v>356</v>
      </c>
      <c r="M4316" s="2" t="n">
        <v>2</v>
      </c>
      <c r="N4316" s="2" t="n">
        <v>286</v>
      </c>
      <c r="O4316" s="2" t="n">
        <v>3</v>
      </c>
      <c r="P4316" s="2" t="s">
        <v>28</v>
      </c>
      <c r="Q4316" s="2" t="s">
        <v>20</v>
      </c>
    </row>
    <row r="4317" customFormat="false" ht="15" hidden="false" customHeight="false" outlineLevel="0" collapsed="false">
      <c r="A4317" s="2" t="n">
        <v>37</v>
      </c>
      <c r="B4317" s="2" t="s">
        <v>40</v>
      </c>
      <c r="C4317" s="2" t="s">
        <v>18</v>
      </c>
      <c r="D4317" s="2" t="s">
        <v>25</v>
      </c>
      <c r="E4317" s="2" t="s">
        <v>20</v>
      </c>
      <c r="F4317" s="2" t="n">
        <v>749</v>
      </c>
      <c r="G4317" s="2" t="s">
        <v>20</v>
      </c>
      <c r="H4317" s="2" t="s">
        <v>20</v>
      </c>
      <c r="I4317" s="2" t="s">
        <v>21</v>
      </c>
      <c r="J4317" s="2" t="n">
        <v>21</v>
      </c>
      <c r="K4317" s="2" t="s">
        <v>32</v>
      </c>
      <c r="L4317" s="2" t="n">
        <v>219</v>
      </c>
      <c r="M4317" s="2" t="n">
        <v>1</v>
      </c>
      <c r="N4317" s="2" t="n">
        <v>-1</v>
      </c>
      <c r="O4317" s="2" t="n">
        <v>0</v>
      </c>
      <c r="P4317" s="2" t="s">
        <v>23</v>
      </c>
      <c r="Q4317" s="2" t="s">
        <v>20</v>
      </c>
    </row>
    <row r="4318" customFormat="false" ht="15" hidden="false" customHeight="false" outlineLevel="0" collapsed="false">
      <c r="A4318" s="2" t="n">
        <v>49</v>
      </c>
      <c r="B4318" s="2" t="s">
        <v>34</v>
      </c>
      <c r="C4318" s="2" t="s">
        <v>18</v>
      </c>
      <c r="D4318" s="2" t="s">
        <v>23</v>
      </c>
      <c r="E4318" s="2" t="s">
        <v>20</v>
      </c>
      <c r="F4318" s="2" t="n">
        <v>51</v>
      </c>
      <c r="G4318" s="2" t="s">
        <v>26</v>
      </c>
      <c r="H4318" s="2" t="s">
        <v>20</v>
      </c>
      <c r="I4318" s="2" t="s">
        <v>23</v>
      </c>
      <c r="J4318" s="2" t="n">
        <v>7</v>
      </c>
      <c r="K4318" s="2" t="s">
        <v>27</v>
      </c>
      <c r="L4318" s="2" t="n">
        <v>984</v>
      </c>
      <c r="M4318" s="2" t="n">
        <v>1</v>
      </c>
      <c r="N4318" s="2" t="n">
        <v>-1</v>
      </c>
      <c r="O4318" s="2" t="n">
        <v>0</v>
      </c>
      <c r="P4318" s="2" t="s">
        <v>23</v>
      </c>
      <c r="Q4318" s="2" t="s">
        <v>20</v>
      </c>
    </row>
    <row r="4319" customFormat="false" ht="15" hidden="false" customHeight="false" outlineLevel="0" collapsed="false">
      <c r="A4319" s="2" t="n">
        <v>27</v>
      </c>
      <c r="B4319" s="2" t="s">
        <v>24</v>
      </c>
      <c r="C4319" s="2" t="s">
        <v>30</v>
      </c>
      <c r="D4319" s="2" t="s">
        <v>25</v>
      </c>
      <c r="E4319" s="2" t="s">
        <v>26</v>
      </c>
      <c r="F4319" s="2" t="n">
        <v>-1</v>
      </c>
      <c r="G4319" s="2" t="s">
        <v>20</v>
      </c>
      <c r="H4319" s="2" t="s">
        <v>20</v>
      </c>
      <c r="I4319" s="2" t="s">
        <v>21</v>
      </c>
      <c r="J4319" s="2" t="n">
        <v>22</v>
      </c>
      <c r="K4319" s="2" t="s">
        <v>44</v>
      </c>
      <c r="L4319" s="2" t="n">
        <v>60</v>
      </c>
      <c r="M4319" s="2" t="n">
        <v>2</v>
      </c>
      <c r="N4319" s="2" t="n">
        <v>-1</v>
      </c>
      <c r="O4319" s="2" t="n">
        <v>0</v>
      </c>
      <c r="P4319" s="2" t="s">
        <v>23</v>
      </c>
      <c r="Q4319" s="2" t="s">
        <v>20</v>
      </c>
    </row>
    <row r="4320" customFormat="false" ht="15" hidden="false" customHeight="false" outlineLevel="0" collapsed="false">
      <c r="A4320" s="2" t="n">
        <v>32</v>
      </c>
      <c r="B4320" s="2" t="s">
        <v>34</v>
      </c>
      <c r="C4320" s="2" t="s">
        <v>18</v>
      </c>
      <c r="D4320" s="2" t="s">
        <v>25</v>
      </c>
      <c r="E4320" s="2" t="s">
        <v>20</v>
      </c>
      <c r="F4320" s="2" t="n">
        <v>-32</v>
      </c>
      <c r="G4320" s="2" t="s">
        <v>26</v>
      </c>
      <c r="H4320" s="2" t="s">
        <v>20</v>
      </c>
      <c r="I4320" s="2" t="s">
        <v>21</v>
      </c>
      <c r="J4320" s="2" t="n">
        <v>12</v>
      </c>
      <c r="K4320" s="2" t="s">
        <v>27</v>
      </c>
      <c r="L4320" s="2" t="n">
        <v>145</v>
      </c>
      <c r="M4320" s="2" t="n">
        <v>1</v>
      </c>
      <c r="N4320" s="2" t="n">
        <v>-1</v>
      </c>
      <c r="O4320" s="2" t="n">
        <v>0</v>
      </c>
      <c r="P4320" s="2" t="s">
        <v>23</v>
      </c>
      <c r="Q4320" s="2" t="s">
        <v>20</v>
      </c>
    </row>
    <row r="4321" customFormat="false" ht="15" hidden="false" customHeight="false" outlineLevel="0" collapsed="false">
      <c r="A4321" s="2" t="n">
        <v>70</v>
      </c>
      <c r="B4321" s="2" t="s">
        <v>48</v>
      </c>
      <c r="C4321" s="2" t="s">
        <v>45</v>
      </c>
      <c r="D4321" s="2" t="s">
        <v>25</v>
      </c>
      <c r="E4321" s="2" t="s">
        <v>20</v>
      </c>
      <c r="F4321" s="2" t="n">
        <v>6850</v>
      </c>
      <c r="G4321" s="2" t="s">
        <v>20</v>
      </c>
      <c r="H4321" s="2" t="s">
        <v>20</v>
      </c>
      <c r="I4321" s="2" t="s">
        <v>49</v>
      </c>
      <c r="J4321" s="2" t="n">
        <v>5</v>
      </c>
      <c r="K4321" s="2" t="s">
        <v>52</v>
      </c>
      <c r="L4321" s="2" t="n">
        <v>252</v>
      </c>
      <c r="M4321" s="2" t="n">
        <v>3</v>
      </c>
      <c r="N4321" s="2" t="n">
        <v>183</v>
      </c>
      <c r="O4321" s="2" t="n">
        <v>1</v>
      </c>
      <c r="P4321" s="2" t="s">
        <v>28</v>
      </c>
      <c r="Q4321" s="2" t="s">
        <v>20</v>
      </c>
    </row>
    <row r="4322" customFormat="false" ht="15" hidden="false" customHeight="false" outlineLevel="0" collapsed="false">
      <c r="A4322" s="2" t="n">
        <v>22</v>
      </c>
      <c r="B4322" s="2" t="s">
        <v>38</v>
      </c>
      <c r="C4322" s="2" t="s">
        <v>30</v>
      </c>
      <c r="D4322" s="2" t="s">
        <v>25</v>
      </c>
      <c r="E4322" s="2" t="s">
        <v>20</v>
      </c>
      <c r="F4322" s="2" t="n">
        <v>333</v>
      </c>
      <c r="G4322" s="2" t="s">
        <v>20</v>
      </c>
      <c r="H4322" s="2" t="s">
        <v>26</v>
      </c>
      <c r="I4322" s="2" t="s">
        <v>49</v>
      </c>
      <c r="J4322" s="2" t="n">
        <v>12</v>
      </c>
      <c r="K4322" s="2" t="s">
        <v>46</v>
      </c>
      <c r="L4322" s="2" t="n">
        <v>129</v>
      </c>
      <c r="M4322" s="2" t="n">
        <v>1</v>
      </c>
      <c r="N4322" s="2" t="n">
        <v>-1</v>
      </c>
      <c r="O4322" s="2" t="n">
        <v>0</v>
      </c>
      <c r="P4322" s="2" t="s">
        <v>23</v>
      </c>
      <c r="Q4322" s="2" t="s">
        <v>20</v>
      </c>
    </row>
    <row r="4323" customFormat="false" ht="15" hidden="false" customHeight="false" outlineLevel="0" collapsed="false">
      <c r="A4323" s="2" t="n">
        <v>58</v>
      </c>
      <c r="B4323" s="2" t="s">
        <v>34</v>
      </c>
      <c r="C4323" s="2" t="s">
        <v>18</v>
      </c>
      <c r="D4323" s="2" t="s">
        <v>25</v>
      </c>
      <c r="E4323" s="2" t="s">
        <v>20</v>
      </c>
      <c r="F4323" s="2" t="n">
        <v>-27</v>
      </c>
      <c r="G4323" s="2" t="s">
        <v>20</v>
      </c>
      <c r="H4323" s="2" t="s">
        <v>26</v>
      </c>
      <c r="I4323" s="2" t="s">
        <v>49</v>
      </c>
      <c r="J4323" s="2" t="n">
        <v>31</v>
      </c>
      <c r="K4323" s="2" t="s">
        <v>44</v>
      </c>
      <c r="L4323" s="2" t="n">
        <v>77</v>
      </c>
      <c r="M4323" s="2" t="n">
        <v>13</v>
      </c>
      <c r="N4323" s="2" t="n">
        <v>-1</v>
      </c>
      <c r="O4323" s="2" t="n">
        <v>0</v>
      </c>
      <c r="P4323" s="2" t="s">
        <v>23</v>
      </c>
      <c r="Q4323" s="2" t="s">
        <v>20</v>
      </c>
    </row>
    <row r="4324" customFormat="false" ht="15" hidden="false" customHeight="false" outlineLevel="0" collapsed="false">
      <c r="A4324" s="2" t="n">
        <v>33</v>
      </c>
      <c r="B4324" s="2" t="s">
        <v>34</v>
      </c>
      <c r="C4324" s="2" t="s">
        <v>18</v>
      </c>
      <c r="D4324" s="2" t="s">
        <v>25</v>
      </c>
      <c r="E4324" s="2" t="s">
        <v>20</v>
      </c>
      <c r="F4324" s="2" t="n">
        <v>932</v>
      </c>
      <c r="G4324" s="2" t="s">
        <v>26</v>
      </c>
      <c r="H4324" s="2" t="s">
        <v>20</v>
      </c>
      <c r="I4324" s="2" t="s">
        <v>23</v>
      </c>
      <c r="J4324" s="2" t="n">
        <v>21</v>
      </c>
      <c r="K4324" s="2" t="s">
        <v>27</v>
      </c>
      <c r="L4324" s="2" t="n">
        <v>226</v>
      </c>
      <c r="M4324" s="2" t="n">
        <v>1</v>
      </c>
      <c r="N4324" s="2" t="n">
        <v>-1</v>
      </c>
      <c r="O4324" s="2" t="n">
        <v>0</v>
      </c>
      <c r="P4324" s="2" t="s">
        <v>23</v>
      </c>
      <c r="Q4324" s="2" t="s">
        <v>20</v>
      </c>
    </row>
    <row r="4325" customFormat="false" ht="15" hidden="false" customHeight="false" outlineLevel="0" collapsed="false">
      <c r="A4325" s="2" t="n">
        <v>83</v>
      </c>
      <c r="B4325" s="2" t="s">
        <v>48</v>
      </c>
      <c r="C4325" s="2" t="s">
        <v>45</v>
      </c>
      <c r="D4325" s="2" t="s">
        <v>19</v>
      </c>
      <c r="E4325" s="2" t="s">
        <v>20</v>
      </c>
      <c r="F4325" s="2" t="n">
        <v>0</v>
      </c>
      <c r="G4325" s="2" t="s">
        <v>20</v>
      </c>
      <c r="H4325" s="2" t="s">
        <v>20</v>
      </c>
      <c r="I4325" s="2" t="s">
        <v>49</v>
      </c>
      <c r="J4325" s="2" t="n">
        <v>31</v>
      </c>
      <c r="K4325" s="2" t="s">
        <v>27</v>
      </c>
      <c r="L4325" s="2" t="n">
        <v>664</v>
      </c>
      <c r="M4325" s="2" t="n">
        <v>1</v>
      </c>
      <c r="N4325" s="2" t="n">
        <v>77</v>
      </c>
      <c r="O4325" s="2" t="n">
        <v>3</v>
      </c>
      <c r="P4325" s="2" t="s">
        <v>50</v>
      </c>
      <c r="Q4325" s="2" t="s">
        <v>20</v>
      </c>
    </row>
    <row r="4326" customFormat="false" ht="15" hidden="false" customHeight="false" outlineLevel="0" collapsed="false">
      <c r="A4326" s="2" t="n">
        <v>50</v>
      </c>
      <c r="B4326" s="2" t="s">
        <v>29</v>
      </c>
      <c r="C4326" s="2" t="s">
        <v>45</v>
      </c>
      <c r="D4326" s="2" t="s">
        <v>31</v>
      </c>
      <c r="E4326" s="2" t="s">
        <v>20</v>
      </c>
      <c r="F4326" s="2" t="n">
        <v>100</v>
      </c>
      <c r="G4326" s="2" t="s">
        <v>26</v>
      </c>
      <c r="H4326" s="2" t="s">
        <v>26</v>
      </c>
      <c r="I4326" s="2" t="s">
        <v>21</v>
      </c>
      <c r="J4326" s="2" t="n">
        <v>13</v>
      </c>
      <c r="K4326" s="2" t="s">
        <v>27</v>
      </c>
      <c r="L4326" s="2" t="n">
        <v>157</v>
      </c>
      <c r="M4326" s="2" t="n">
        <v>1</v>
      </c>
      <c r="N4326" s="2" t="n">
        <v>299</v>
      </c>
      <c r="O4326" s="2" t="n">
        <v>3</v>
      </c>
      <c r="P4326" s="2" t="s">
        <v>28</v>
      </c>
      <c r="Q4326" s="2" t="s">
        <v>20</v>
      </c>
    </row>
    <row r="4327" customFormat="false" ht="15" hidden="false" customHeight="false" outlineLevel="0" collapsed="false">
      <c r="A4327" s="2" t="n">
        <v>53</v>
      </c>
      <c r="B4327" s="2" t="s">
        <v>34</v>
      </c>
      <c r="C4327" s="2" t="s">
        <v>18</v>
      </c>
      <c r="D4327" s="2" t="s">
        <v>25</v>
      </c>
      <c r="E4327" s="2" t="s">
        <v>20</v>
      </c>
      <c r="F4327" s="2" t="n">
        <v>-626</v>
      </c>
      <c r="G4327" s="2" t="s">
        <v>26</v>
      </c>
      <c r="H4327" s="2" t="s">
        <v>20</v>
      </c>
      <c r="I4327" s="2" t="s">
        <v>21</v>
      </c>
      <c r="J4327" s="2" t="n">
        <v>9</v>
      </c>
      <c r="K4327" s="2" t="s">
        <v>44</v>
      </c>
      <c r="L4327" s="2" t="n">
        <v>205</v>
      </c>
      <c r="M4327" s="2" t="n">
        <v>1</v>
      </c>
      <c r="N4327" s="2" t="n">
        <v>-1</v>
      </c>
      <c r="O4327" s="2" t="n">
        <v>0</v>
      </c>
      <c r="P4327" s="2" t="s">
        <v>23</v>
      </c>
      <c r="Q4327" s="2" t="s">
        <v>20</v>
      </c>
    </row>
    <row r="4328" customFormat="false" ht="15" hidden="false" customHeight="false" outlineLevel="0" collapsed="false">
      <c r="A4328" s="2" t="n">
        <v>37</v>
      </c>
      <c r="B4328" s="2" t="s">
        <v>29</v>
      </c>
      <c r="C4328" s="2" t="s">
        <v>30</v>
      </c>
      <c r="D4328" s="2" t="s">
        <v>31</v>
      </c>
      <c r="E4328" s="2" t="s">
        <v>20</v>
      </c>
      <c r="F4328" s="2" t="n">
        <v>9</v>
      </c>
      <c r="G4328" s="2" t="s">
        <v>20</v>
      </c>
      <c r="H4328" s="2" t="s">
        <v>20</v>
      </c>
      <c r="I4328" s="2" t="s">
        <v>21</v>
      </c>
      <c r="J4328" s="2" t="n">
        <v>26</v>
      </c>
      <c r="K4328" s="2" t="s">
        <v>41</v>
      </c>
      <c r="L4328" s="2" t="n">
        <v>484</v>
      </c>
      <c r="M4328" s="2" t="n">
        <v>2</v>
      </c>
      <c r="N4328" s="2" t="n">
        <v>-1</v>
      </c>
      <c r="O4328" s="2" t="n">
        <v>0</v>
      </c>
      <c r="P4328" s="2" t="s">
        <v>23</v>
      </c>
      <c r="Q4328" s="2" t="s">
        <v>20</v>
      </c>
    </row>
    <row r="4329" customFormat="false" ht="15" hidden="false" customHeight="false" outlineLevel="0" collapsed="false">
      <c r="A4329" s="2" t="n">
        <v>55</v>
      </c>
      <c r="B4329" s="2" t="s">
        <v>24</v>
      </c>
      <c r="C4329" s="2" t="s">
        <v>45</v>
      </c>
      <c r="D4329" s="2" t="s">
        <v>19</v>
      </c>
      <c r="E4329" s="2" t="s">
        <v>20</v>
      </c>
      <c r="F4329" s="2" t="n">
        <v>653</v>
      </c>
      <c r="G4329" s="2" t="s">
        <v>20</v>
      </c>
      <c r="H4329" s="2" t="s">
        <v>20</v>
      </c>
      <c r="I4329" s="2" t="s">
        <v>23</v>
      </c>
      <c r="J4329" s="2" t="n">
        <v>6</v>
      </c>
      <c r="K4329" s="2" t="s">
        <v>33</v>
      </c>
      <c r="L4329" s="2" t="n">
        <v>800</v>
      </c>
      <c r="M4329" s="2" t="n">
        <v>1</v>
      </c>
      <c r="N4329" s="2" t="n">
        <v>-1</v>
      </c>
      <c r="O4329" s="2" t="n">
        <v>0</v>
      </c>
      <c r="P4329" s="2" t="s">
        <v>23</v>
      </c>
      <c r="Q4329" s="2" t="s">
        <v>20</v>
      </c>
    </row>
    <row r="4330" customFormat="false" ht="15" hidden="false" customHeight="false" outlineLevel="0" collapsed="false">
      <c r="A4330" s="2" t="n">
        <v>49</v>
      </c>
      <c r="B4330" s="2" t="s">
        <v>40</v>
      </c>
      <c r="C4330" s="2" t="s">
        <v>18</v>
      </c>
      <c r="D4330" s="2" t="s">
        <v>25</v>
      </c>
      <c r="E4330" s="2" t="s">
        <v>20</v>
      </c>
      <c r="F4330" s="2" t="n">
        <v>3608</v>
      </c>
      <c r="G4330" s="2" t="s">
        <v>26</v>
      </c>
      <c r="H4330" s="2" t="s">
        <v>20</v>
      </c>
      <c r="I4330" s="2" t="s">
        <v>23</v>
      </c>
      <c r="J4330" s="2" t="n">
        <v>13</v>
      </c>
      <c r="K4330" s="2" t="s">
        <v>46</v>
      </c>
      <c r="L4330" s="2" t="n">
        <v>231</v>
      </c>
      <c r="M4330" s="2" t="n">
        <v>1</v>
      </c>
      <c r="N4330" s="2" t="n">
        <v>-1</v>
      </c>
      <c r="O4330" s="2" t="n">
        <v>0</v>
      </c>
      <c r="P4330" s="2" t="s">
        <v>23</v>
      </c>
      <c r="Q4330" s="2" t="s">
        <v>26</v>
      </c>
    </row>
    <row r="4331" customFormat="false" ht="15" hidden="false" customHeight="false" outlineLevel="0" collapsed="false">
      <c r="A4331" s="2" t="n">
        <v>41</v>
      </c>
      <c r="B4331" s="2" t="s">
        <v>34</v>
      </c>
      <c r="C4331" s="2" t="s">
        <v>18</v>
      </c>
      <c r="D4331" s="2" t="s">
        <v>19</v>
      </c>
      <c r="E4331" s="2" t="s">
        <v>20</v>
      </c>
      <c r="F4331" s="2" t="n">
        <v>293</v>
      </c>
      <c r="G4331" s="2" t="s">
        <v>26</v>
      </c>
      <c r="H4331" s="2" t="s">
        <v>26</v>
      </c>
      <c r="I4331" s="2" t="s">
        <v>21</v>
      </c>
      <c r="J4331" s="2" t="n">
        <v>7</v>
      </c>
      <c r="K4331" s="2" t="s">
        <v>27</v>
      </c>
      <c r="L4331" s="2" t="n">
        <v>102</v>
      </c>
      <c r="M4331" s="2" t="n">
        <v>1</v>
      </c>
      <c r="N4331" s="2" t="n">
        <v>-1</v>
      </c>
      <c r="O4331" s="2" t="n">
        <v>0</v>
      </c>
      <c r="P4331" s="2" t="s">
        <v>23</v>
      </c>
      <c r="Q4331" s="2" t="s">
        <v>20</v>
      </c>
    </row>
    <row r="4332" customFormat="false" ht="15" hidden="false" customHeight="false" outlineLevel="0" collapsed="false">
      <c r="A4332" s="2" t="n">
        <v>40</v>
      </c>
      <c r="B4332" s="2" t="s">
        <v>29</v>
      </c>
      <c r="C4332" s="2" t="s">
        <v>30</v>
      </c>
      <c r="D4332" s="2" t="s">
        <v>31</v>
      </c>
      <c r="E4332" s="2" t="s">
        <v>20</v>
      </c>
      <c r="F4332" s="2" t="n">
        <v>36</v>
      </c>
      <c r="G4332" s="2" t="s">
        <v>26</v>
      </c>
      <c r="H4332" s="2" t="s">
        <v>20</v>
      </c>
      <c r="I4332" s="2" t="s">
        <v>23</v>
      </c>
      <c r="J4332" s="2" t="n">
        <v>27</v>
      </c>
      <c r="K4332" s="2" t="s">
        <v>27</v>
      </c>
      <c r="L4332" s="2" t="n">
        <v>240</v>
      </c>
      <c r="M4332" s="2" t="n">
        <v>3</v>
      </c>
      <c r="N4332" s="2" t="n">
        <v>-1</v>
      </c>
      <c r="O4332" s="2" t="n">
        <v>0</v>
      </c>
      <c r="P4332" s="2" t="s">
        <v>23</v>
      </c>
      <c r="Q4332" s="2" t="s">
        <v>20</v>
      </c>
    </row>
    <row r="4333" customFormat="false" ht="15" hidden="false" customHeight="false" outlineLevel="0" collapsed="false">
      <c r="A4333" s="2" t="n">
        <v>48</v>
      </c>
      <c r="B4333" s="2" t="s">
        <v>29</v>
      </c>
      <c r="C4333" s="2" t="s">
        <v>18</v>
      </c>
      <c r="D4333" s="2" t="s">
        <v>31</v>
      </c>
      <c r="E4333" s="2" t="s">
        <v>20</v>
      </c>
      <c r="F4333" s="2" t="n">
        <v>263</v>
      </c>
      <c r="G4333" s="2" t="s">
        <v>26</v>
      </c>
      <c r="H4333" s="2" t="s">
        <v>20</v>
      </c>
      <c r="I4333" s="2" t="s">
        <v>23</v>
      </c>
      <c r="J4333" s="2" t="n">
        <v>5</v>
      </c>
      <c r="K4333" s="2" t="s">
        <v>27</v>
      </c>
      <c r="L4333" s="2" t="n">
        <v>350</v>
      </c>
      <c r="M4333" s="2" t="n">
        <v>2</v>
      </c>
      <c r="N4333" s="2" t="n">
        <v>-1</v>
      </c>
      <c r="O4333" s="2" t="n">
        <v>0</v>
      </c>
      <c r="P4333" s="2" t="s">
        <v>23</v>
      </c>
      <c r="Q4333" s="2" t="s">
        <v>20</v>
      </c>
    </row>
    <row r="4334" customFormat="false" ht="15" hidden="false" customHeight="false" outlineLevel="0" collapsed="false">
      <c r="A4334" s="2" t="n">
        <v>27</v>
      </c>
      <c r="B4334" s="2" t="s">
        <v>42</v>
      </c>
      <c r="C4334" s="2" t="s">
        <v>30</v>
      </c>
      <c r="D4334" s="2" t="s">
        <v>25</v>
      </c>
      <c r="E4334" s="2" t="s">
        <v>20</v>
      </c>
      <c r="F4334" s="2" t="n">
        <v>8366</v>
      </c>
      <c r="G4334" s="2" t="s">
        <v>20</v>
      </c>
      <c r="H4334" s="2" t="s">
        <v>20</v>
      </c>
      <c r="I4334" s="2" t="s">
        <v>21</v>
      </c>
      <c r="J4334" s="2" t="n">
        <v>7</v>
      </c>
      <c r="K4334" s="2" t="s">
        <v>27</v>
      </c>
      <c r="L4334" s="2" t="n">
        <v>458</v>
      </c>
      <c r="M4334" s="2" t="n">
        <v>2</v>
      </c>
      <c r="N4334" s="2" t="n">
        <v>349</v>
      </c>
      <c r="O4334" s="2" t="n">
        <v>1</v>
      </c>
      <c r="P4334" s="2" t="s">
        <v>37</v>
      </c>
      <c r="Q4334" s="2" t="s">
        <v>20</v>
      </c>
    </row>
    <row r="4335" customFormat="false" ht="15" hidden="false" customHeight="false" outlineLevel="0" collapsed="false">
      <c r="A4335" s="2" t="n">
        <v>30</v>
      </c>
      <c r="B4335" s="2" t="s">
        <v>29</v>
      </c>
      <c r="C4335" s="2" t="s">
        <v>30</v>
      </c>
      <c r="D4335" s="2" t="s">
        <v>31</v>
      </c>
      <c r="E4335" s="2" t="s">
        <v>20</v>
      </c>
      <c r="F4335" s="2" t="n">
        <v>2186</v>
      </c>
      <c r="G4335" s="2" t="s">
        <v>26</v>
      </c>
      <c r="H4335" s="2" t="s">
        <v>20</v>
      </c>
      <c r="I4335" s="2" t="s">
        <v>23</v>
      </c>
      <c r="J4335" s="2" t="n">
        <v>3</v>
      </c>
      <c r="K4335" s="2" t="s">
        <v>33</v>
      </c>
      <c r="L4335" s="2" t="n">
        <v>366</v>
      </c>
      <c r="M4335" s="2" t="n">
        <v>1</v>
      </c>
      <c r="N4335" s="2" t="n">
        <v>-1</v>
      </c>
      <c r="O4335" s="2" t="n">
        <v>0</v>
      </c>
      <c r="P4335" s="2" t="s">
        <v>23</v>
      </c>
      <c r="Q4335" s="2" t="s">
        <v>20</v>
      </c>
    </row>
    <row r="4336" customFormat="false" ht="15" hidden="false" customHeight="false" outlineLevel="0" collapsed="false">
      <c r="A4336" s="2" t="n">
        <v>37</v>
      </c>
      <c r="B4336" s="2" t="s">
        <v>39</v>
      </c>
      <c r="C4336" s="2" t="s">
        <v>30</v>
      </c>
      <c r="D4336" s="2" t="s">
        <v>25</v>
      </c>
      <c r="E4336" s="2" t="s">
        <v>20</v>
      </c>
      <c r="F4336" s="2" t="n">
        <v>20453</v>
      </c>
      <c r="G4336" s="2" t="s">
        <v>26</v>
      </c>
      <c r="H4336" s="2" t="s">
        <v>20</v>
      </c>
      <c r="I4336" s="2" t="s">
        <v>49</v>
      </c>
      <c r="J4336" s="2" t="n">
        <v>4</v>
      </c>
      <c r="K4336" s="2" t="s">
        <v>27</v>
      </c>
      <c r="L4336" s="2" t="n">
        <v>115</v>
      </c>
      <c r="M4336" s="2" t="n">
        <v>1</v>
      </c>
      <c r="N4336" s="2" t="n">
        <v>-1</v>
      </c>
      <c r="O4336" s="2" t="n">
        <v>0</v>
      </c>
      <c r="P4336" s="2" t="s">
        <v>23</v>
      </c>
      <c r="Q4336" s="2" t="s">
        <v>20</v>
      </c>
    </row>
    <row r="4337" customFormat="false" ht="15" hidden="false" customHeight="false" outlineLevel="0" collapsed="false">
      <c r="A4337" s="2" t="n">
        <v>37</v>
      </c>
      <c r="B4337" s="2" t="s">
        <v>24</v>
      </c>
      <c r="C4337" s="2" t="s">
        <v>30</v>
      </c>
      <c r="D4337" s="2" t="s">
        <v>25</v>
      </c>
      <c r="E4337" s="2" t="s">
        <v>20</v>
      </c>
      <c r="F4337" s="2" t="n">
        <v>105</v>
      </c>
      <c r="G4337" s="2" t="s">
        <v>20</v>
      </c>
      <c r="H4337" s="2" t="s">
        <v>26</v>
      </c>
      <c r="I4337" s="2" t="s">
        <v>23</v>
      </c>
      <c r="J4337" s="2" t="n">
        <v>17</v>
      </c>
      <c r="K4337" s="2" t="s">
        <v>33</v>
      </c>
      <c r="L4337" s="2" t="n">
        <v>260</v>
      </c>
      <c r="M4337" s="2" t="n">
        <v>4</v>
      </c>
      <c r="N4337" s="2" t="n">
        <v>-1</v>
      </c>
      <c r="O4337" s="2" t="n">
        <v>0</v>
      </c>
      <c r="P4337" s="2" t="s">
        <v>23</v>
      </c>
      <c r="Q4337" s="2" t="s">
        <v>20</v>
      </c>
    </row>
    <row r="4338" customFormat="false" ht="15" hidden="false" customHeight="false" outlineLevel="0" collapsed="false">
      <c r="A4338" s="2" t="n">
        <v>40</v>
      </c>
      <c r="B4338" s="2" t="s">
        <v>34</v>
      </c>
      <c r="C4338" s="2" t="s">
        <v>18</v>
      </c>
      <c r="D4338" s="2" t="s">
        <v>25</v>
      </c>
      <c r="E4338" s="2" t="s">
        <v>20</v>
      </c>
      <c r="F4338" s="2" t="n">
        <v>440</v>
      </c>
      <c r="G4338" s="2" t="s">
        <v>26</v>
      </c>
      <c r="H4338" s="2" t="s">
        <v>20</v>
      </c>
      <c r="I4338" s="2" t="s">
        <v>23</v>
      </c>
      <c r="J4338" s="2" t="n">
        <v>5</v>
      </c>
      <c r="K4338" s="2" t="s">
        <v>33</v>
      </c>
      <c r="L4338" s="2" t="n">
        <v>327</v>
      </c>
      <c r="M4338" s="2" t="n">
        <v>2</v>
      </c>
      <c r="N4338" s="2" t="n">
        <v>-1</v>
      </c>
      <c r="O4338" s="2" t="n">
        <v>0</v>
      </c>
      <c r="P4338" s="2" t="s">
        <v>23</v>
      </c>
      <c r="Q4338" s="2" t="s">
        <v>20</v>
      </c>
    </row>
    <row r="4339" customFormat="false" ht="15" hidden="false" customHeight="false" outlineLevel="0" collapsed="false">
      <c r="A4339" s="2" t="n">
        <v>73</v>
      </c>
      <c r="B4339" s="2" t="s">
        <v>48</v>
      </c>
      <c r="C4339" s="2" t="s">
        <v>18</v>
      </c>
      <c r="D4339" s="2" t="s">
        <v>23</v>
      </c>
      <c r="E4339" s="2" t="s">
        <v>20</v>
      </c>
      <c r="F4339" s="2" t="n">
        <v>519</v>
      </c>
      <c r="G4339" s="2" t="s">
        <v>20</v>
      </c>
      <c r="H4339" s="2" t="s">
        <v>20</v>
      </c>
      <c r="I4339" s="2" t="s">
        <v>49</v>
      </c>
      <c r="J4339" s="2" t="n">
        <v>16</v>
      </c>
      <c r="K4339" s="2" t="s">
        <v>22</v>
      </c>
      <c r="L4339" s="2" t="n">
        <v>434</v>
      </c>
      <c r="M4339" s="2" t="n">
        <v>1</v>
      </c>
      <c r="N4339" s="2" t="n">
        <v>57</v>
      </c>
      <c r="O4339" s="2" t="n">
        <v>1</v>
      </c>
      <c r="P4339" s="2" t="s">
        <v>28</v>
      </c>
      <c r="Q4339" s="2" t="s">
        <v>26</v>
      </c>
    </row>
    <row r="4340" customFormat="false" ht="15" hidden="false" customHeight="false" outlineLevel="0" collapsed="false">
      <c r="A4340" s="2" t="n">
        <v>50</v>
      </c>
      <c r="B4340" s="2" t="s">
        <v>29</v>
      </c>
      <c r="C4340" s="2" t="s">
        <v>18</v>
      </c>
      <c r="D4340" s="2" t="s">
        <v>31</v>
      </c>
      <c r="E4340" s="2" t="s">
        <v>20</v>
      </c>
      <c r="F4340" s="2" t="n">
        <v>19447</v>
      </c>
      <c r="G4340" s="2" t="s">
        <v>26</v>
      </c>
      <c r="H4340" s="2" t="s">
        <v>26</v>
      </c>
      <c r="I4340" s="2" t="s">
        <v>21</v>
      </c>
      <c r="J4340" s="2" t="n">
        <v>21</v>
      </c>
      <c r="K4340" s="2" t="s">
        <v>46</v>
      </c>
      <c r="L4340" s="2" t="n">
        <v>166</v>
      </c>
      <c r="M4340" s="2" t="n">
        <v>1</v>
      </c>
      <c r="N4340" s="2" t="n">
        <v>-1</v>
      </c>
      <c r="O4340" s="2" t="n">
        <v>0</v>
      </c>
      <c r="P4340" s="2" t="s">
        <v>23</v>
      </c>
      <c r="Q4340" s="2" t="s">
        <v>20</v>
      </c>
    </row>
    <row r="4341" customFormat="false" ht="15" hidden="false" customHeight="false" outlineLevel="0" collapsed="false">
      <c r="A4341" s="2" t="n">
        <v>53</v>
      </c>
      <c r="B4341" s="2" t="s">
        <v>34</v>
      </c>
      <c r="C4341" s="2" t="s">
        <v>18</v>
      </c>
      <c r="D4341" s="2" t="s">
        <v>19</v>
      </c>
      <c r="E4341" s="2" t="s">
        <v>20</v>
      </c>
      <c r="F4341" s="2" t="n">
        <v>225</v>
      </c>
      <c r="G4341" s="2" t="s">
        <v>20</v>
      </c>
      <c r="H4341" s="2" t="s">
        <v>20</v>
      </c>
      <c r="I4341" s="2" t="s">
        <v>21</v>
      </c>
      <c r="J4341" s="2" t="n">
        <v>18</v>
      </c>
      <c r="K4341" s="2" t="s">
        <v>44</v>
      </c>
      <c r="L4341" s="2" t="n">
        <v>171</v>
      </c>
      <c r="M4341" s="2" t="n">
        <v>7</v>
      </c>
      <c r="N4341" s="2" t="n">
        <v>-1</v>
      </c>
      <c r="O4341" s="2" t="n">
        <v>0</v>
      </c>
      <c r="P4341" s="2" t="s">
        <v>23</v>
      </c>
      <c r="Q4341" s="2" t="s">
        <v>20</v>
      </c>
    </row>
    <row r="4342" customFormat="false" ht="15" hidden="false" customHeight="false" outlineLevel="0" collapsed="false">
      <c r="A4342" s="2" t="n">
        <v>47</v>
      </c>
      <c r="B4342" s="2" t="s">
        <v>34</v>
      </c>
      <c r="C4342" s="2" t="s">
        <v>18</v>
      </c>
      <c r="D4342" s="2" t="s">
        <v>25</v>
      </c>
      <c r="E4342" s="2" t="s">
        <v>20</v>
      </c>
      <c r="F4342" s="2" t="n">
        <v>2548</v>
      </c>
      <c r="G4342" s="2" t="s">
        <v>26</v>
      </c>
      <c r="H4342" s="2" t="s">
        <v>20</v>
      </c>
      <c r="I4342" s="2" t="s">
        <v>21</v>
      </c>
      <c r="J4342" s="2" t="n">
        <v>11</v>
      </c>
      <c r="K4342" s="2" t="s">
        <v>27</v>
      </c>
      <c r="L4342" s="2" t="n">
        <v>577</v>
      </c>
      <c r="M4342" s="2" t="n">
        <v>1</v>
      </c>
      <c r="N4342" s="2" t="n">
        <v>368</v>
      </c>
      <c r="O4342" s="2" t="n">
        <v>1</v>
      </c>
      <c r="P4342" s="2" t="s">
        <v>37</v>
      </c>
      <c r="Q4342" s="2" t="s">
        <v>20</v>
      </c>
    </row>
    <row r="4343" customFormat="false" ht="15" hidden="false" customHeight="false" outlineLevel="0" collapsed="false">
      <c r="A4343" s="2" t="n">
        <v>33</v>
      </c>
      <c r="B4343" s="2" t="s">
        <v>38</v>
      </c>
      <c r="C4343" s="2" t="s">
        <v>45</v>
      </c>
      <c r="D4343" s="2" t="s">
        <v>25</v>
      </c>
      <c r="E4343" s="2" t="s">
        <v>20</v>
      </c>
      <c r="F4343" s="2" t="n">
        <v>0</v>
      </c>
      <c r="G4343" s="2" t="s">
        <v>20</v>
      </c>
      <c r="H4343" s="2" t="s">
        <v>20</v>
      </c>
      <c r="I4343" s="2" t="s">
        <v>21</v>
      </c>
      <c r="J4343" s="2" t="n">
        <v>21</v>
      </c>
      <c r="K4343" s="2" t="s">
        <v>41</v>
      </c>
      <c r="L4343" s="2" t="n">
        <v>224</v>
      </c>
      <c r="M4343" s="2" t="n">
        <v>8</v>
      </c>
      <c r="N4343" s="2" t="n">
        <v>-1</v>
      </c>
      <c r="O4343" s="2" t="n">
        <v>0</v>
      </c>
      <c r="P4343" s="2" t="s">
        <v>23</v>
      </c>
      <c r="Q4343" s="2" t="s">
        <v>20</v>
      </c>
    </row>
    <row r="4344" customFormat="false" ht="15" hidden="false" customHeight="false" outlineLevel="0" collapsed="false">
      <c r="A4344" s="2" t="n">
        <v>50</v>
      </c>
      <c r="B4344" s="2" t="s">
        <v>34</v>
      </c>
      <c r="C4344" s="2" t="s">
        <v>18</v>
      </c>
      <c r="D4344" s="2" t="s">
        <v>23</v>
      </c>
      <c r="E4344" s="2" t="s">
        <v>20</v>
      </c>
      <c r="F4344" s="2" t="n">
        <v>2284</v>
      </c>
      <c r="G4344" s="2" t="s">
        <v>26</v>
      </c>
      <c r="H4344" s="2" t="s">
        <v>20</v>
      </c>
      <c r="I4344" s="2" t="s">
        <v>49</v>
      </c>
      <c r="J4344" s="2" t="n">
        <v>31</v>
      </c>
      <c r="K4344" s="2" t="s">
        <v>44</v>
      </c>
      <c r="L4344" s="2" t="n">
        <v>1088</v>
      </c>
      <c r="M4344" s="2" t="n">
        <v>17</v>
      </c>
      <c r="N4344" s="2" t="n">
        <v>-1</v>
      </c>
      <c r="O4344" s="2" t="n">
        <v>0</v>
      </c>
      <c r="P4344" s="2" t="s">
        <v>23</v>
      </c>
      <c r="Q4344" s="2" t="s">
        <v>26</v>
      </c>
    </row>
    <row r="4345" customFormat="false" ht="15" hidden="false" customHeight="false" outlineLevel="0" collapsed="false">
      <c r="A4345" s="2" t="n">
        <v>51</v>
      </c>
      <c r="B4345" s="2" t="s">
        <v>34</v>
      </c>
      <c r="C4345" s="2" t="s">
        <v>18</v>
      </c>
      <c r="D4345" s="2" t="s">
        <v>19</v>
      </c>
      <c r="E4345" s="2" t="s">
        <v>20</v>
      </c>
      <c r="F4345" s="2" t="n">
        <v>40</v>
      </c>
      <c r="G4345" s="2" t="s">
        <v>26</v>
      </c>
      <c r="H4345" s="2" t="s">
        <v>20</v>
      </c>
      <c r="I4345" s="2" t="s">
        <v>21</v>
      </c>
      <c r="J4345" s="2" t="n">
        <v>13</v>
      </c>
      <c r="K4345" s="2" t="s">
        <v>27</v>
      </c>
      <c r="L4345" s="2" t="n">
        <v>79</v>
      </c>
      <c r="M4345" s="2" t="n">
        <v>1</v>
      </c>
      <c r="N4345" s="2" t="n">
        <v>370</v>
      </c>
      <c r="O4345" s="2" t="n">
        <v>1</v>
      </c>
      <c r="P4345" s="2" t="s">
        <v>28</v>
      </c>
      <c r="Q4345" s="2" t="s">
        <v>20</v>
      </c>
    </row>
    <row r="4346" customFormat="false" ht="15" hidden="false" customHeight="false" outlineLevel="0" collapsed="false">
      <c r="A4346" s="2" t="n">
        <v>42</v>
      </c>
      <c r="B4346" s="2" t="s">
        <v>47</v>
      </c>
      <c r="C4346" s="2" t="s">
        <v>45</v>
      </c>
      <c r="D4346" s="2" t="s">
        <v>31</v>
      </c>
      <c r="E4346" s="2" t="s">
        <v>20</v>
      </c>
      <c r="F4346" s="2" t="n">
        <v>364</v>
      </c>
      <c r="G4346" s="2" t="s">
        <v>20</v>
      </c>
      <c r="H4346" s="2" t="s">
        <v>20</v>
      </c>
      <c r="I4346" s="2" t="s">
        <v>21</v>
      </c>
      <c r="J4346" s="2" t="n">
        <v>18</v>
      </c>
      <c r="K4346" s="2" t="s">
        <v>46</v>
      </c>
      <c r="L4346" s="2" t="n">
        <v>52</v>
      </c>
      <c r="M4346" s="2" t="n">
        <v>1</v>
      </c>
      <c r="N4346" s="2" t="n">
        <v>-1</v>
      </c>
      <c r="O4346" s="2" t="n">
        <v>0</v>
      </c>
      <c r="P4346" s="2" t="s">
        <v>23</v>
      </c>
      <c r="Q4346" s="2" t="s">
        <v>20</v>
      </c>
    </row>
    <row r="4347" customFormat="false" ht="15" hidden="false" customHeight="false" outlineLevel="0" collapsed="false">
      <c r="A4347" s="2" t="n">
        <v>34</v>
      </c>
      <c r="B4347" s="2" t="s">
        <v>38</v>
      </c>
      <c r="C4347" s="2" t="s">
        <v>30</v>
      </c>
      <c r="D4347" s="2" t="s">
        <v>25</v>
      </c>
      <c r="E4347" s="2" t="s">
        <v>20</v>
      </c>
      <c r="F4347" s="2" t="n">
        <v>174</v>
      </c>
      <c r="G4347" s="2" t="s">
        <v>20</v>
      </c>
      <c r="H4347" s="2" t="s">
        <v>20</v>
      </c>
      <c r="I4347" s="2" t="s">
        <v>49</v>
      </c>
      <c r="J4347" s="2" t="n">
        <v>11</v>
      </c>
      <c r="K4347" s="2" t="s">
        <v>27</v>
      </c>
      <c r="L4347" s="2" t="n">
        <v>259</v>
      </c>
      <c r="M4347" s="2" t="n">
        <v>4</v>
      </c>
      <c r="N4347" s="2" t="n">
        <v>-1</v>
      </c>
      <c r="O4347" s="2" t="n">
        <v>0</v>
      </c>
      <c r="P4347" s="2" t="s">
        <v>23</v>
      </c>
      <c r="Q4347" s="2" t="s">
        <v>20</v>
      </c>
    </row>
    <row r="4348" customFormat="false" ht="15" hidden="false" customHeight="false" outlineLevel="0" collapsed="false">
      <c r="A4348" s="2" t="n">
        <v>44</v>
      </c>
      <c r="B4348" s="2" t="s">
        <v>38</v>
      </c>
      <c r="C4348" s="2" t="s">
        <v>18</v>
      </c>
      <c r="D4348" s="2" t="s">
        <v>25</v>
      </c>
      <c r="E4348" s="2" t="s">
        <v>20</v>
      </c>
      <c r="F4348" s="2" t="n">
        <v>10888</v>
      </c>
      <c r="G4348" s="2" t="s">
        <v>26</v>
      </c>
      <c r="H4348" s="2" t="s">
        <v>20</v>
      </c>
      <c r="I4348" s="2" t="s">
        <v>21</v>
      </c>
      <c r="J4348" s="2" t="n">
        <v>5</v>
      </c>
      <c r="K4348" s="2" t="s">
        <v>41</v>
      </c>
      <c r="L4348" s="2" t="n">
        <v>163</v>
      </c>
      <c r="M4348" s="2" t="n">
        <v>1</v>
      </c>
      <c r="N4348" s="2" t="n">
        <v>-1</v>
      </c>
      <c r="O4348" s="2" t="n">
        <v>0</v>
      </c>
      <c r="P4348" s="2" t="s">
        <v>23</v>
      </c>
      <c r="Q4348" s="2" t="s">
        <v>20</v>
      </c>
    </row>
    <row r="4349" customFormat="false" ht="15" hidden="false" customHeight="false" outlineLevel="0" collapsed="false">
      <c r="A4349" s="2" t="n">
        <v>32</v>
      </c>
      <c r="B4349" s="2" t="s">
        <v>40</v>
      </c>
      <c r="C4349" s="2" t="s">
        <v>18</v>
      </c>
      <c r="D4349" s="2" t="s">
        <v>25</v>
      </c>
      <c r="E4349" s="2" t="s">
        <v>20</v>
      </c>
      <c r="F4349" s="2" t="n">
        <v>0</v>
      </c>
      <c r="G4349" s="2" t="s">
        <v>26</v>
      </c>
      <c r="H4349" s="2" t="s">
        <v>26</v>
      </c>
      <c r="I4349" s="2" t="s">
        <v>21</v>
      </c>
      <c r="J4349" s="2" t="n">
        <v>17</v>
      </c>
      <c r="K4349" s="2" t="s">
        <v>46</v>
      </c>
      <c r="L4349" s="2" t="n">
        <v>159</v>
      </c>
      <c r="M4349" s="2" t="n">
        <v>2</v>
      </c>
      <c r="N4349" s="2" t="n">
        <v>195</v>
      </c>
      <c r="O4349" s="2" t="n">
        <v>2</v>
      </c>
      <c r="P4349" s="2" t="s">
        <v>28</v>
      </c>
      <c r="Q4349" s="2" t="s">
        <v>20</v>
      </c>
    </row>
    <row r="4350" customFormat="false" ht="15" hidden="false" customHeight="false" outlineLevel="0" collapsed="false">
      <c r="A4350" s="2" t="n">
        <v>60</v>
      </c>
      <c r="B4350" s="2" t="s">
        <v>48</v>
      </c>
      <c r="C4350" s="2" t="s">
        <v>18</v>
      </c>
      <c r="D4350" s="2" t="s">
        <v>31</v>
      </c>
      <c r="E4350" s="2" t="s">
        <v>20</v>
      </c>
      <c r="F4350" s="2" t="n">
        <v>225</v>
      </c>
      <c r="G4350" s="2" t="s">
        <v>20</v>
      </c>
      <c r="H4350" s="2" t="s">
        <v>20</v>
      </c>
      <c r="I4350" s="2" t="s">
        <v>21</v>
      </c>
      <c r="J4350" s="2" t="n">
        <v>19</v>
      </c>
      <c r="K4350" s="2" t="s">
        <v>41</v>
      </c>
      <c r="L4350" s="2" t="n">
        <v>54</v>
      </c>
      <c r="M4350" s="2" t="n">
        <v>2</v>
      </c>
      <c r="N4350" s="2" t="n">
        <v>-1</v>
      </c>
      <c r="O4350" s="2" t="n">
        <v>0</v>
      </c>
      <c r="P4350" s="2" t="s">
        <v>23</v>
      </c>
      <c r="Q4350" s="2" t="s">
        <v>20</v>
      </c>
    </row>
    <row r="4351" customFormat="false" ht="15" hidden="false" customHeight="false" outlineLevel="0" collapsed="false">
      <c r="A4351" s="2" t="n">
        <v>60</v>
      </c>
      <c r="B4351" s="2" t="s">
        <v>48</v>
      </c>
      <c r="C4351" s="2" t="s">
        <v>45</v>
      </c>
      <c r="D4351" s="2" t="s">
        <v>31</v>
      </c>
      <c r="E4351" s="2" t="s">
        <v>20</v>
      </c>
      <c r="F4351" s="2" t="n">
        <v>2131</v>
      </c>
      <c r="G4351" s="2" t="s">
        <v>20</v>
      </c>
      <c r="H4351" s="2" t="s">
        <v>20</v>
      </c>
      <c r="I4351" s="2" t="s">
        <v>21</v>
      </c>
      <c r="J4351" s="2" t="n">
        <v>10</v>
      </c>
      <c r="K4351" s="2" t="s">
        <v>44</v>
      </c>
      <c r="L4351" s="2" t="n">
        <v>421</v>
      </c>
      <c r="M4351" s="2" t="n">
        <v>6</v>
      </c>
      <c r="N4351" s="2" t="n">
        <v>-1</v>
      </c>
      <c r="O4351" s="2" t="n">
        <v>0</v>
      </c>
      <c r="P4351" s="2" t="s">
        <v>23</v>
      </c>
      <c r="Q4351" s="2" t="s">
        <v>20</v>
      </c>
    </row>
    <row r="4352" customFormat="false" ht="15" hidden="false" customHeight="false" outlineLevel="0" collapsed="false">
      <c r="A4352" s="2" t="n">
        <v>29</v>
      </c>
      <c r="B4352" s="2" t="s">
        <v>34</v>
      </c>
      <c r="C4352" s="2" t="s">
        <v>30</v>
      </c>
      <c r="D4352" s="2" t="s">
        <v>25</v>
      </c>
      <c r="E4352" s="2" t="s">
        <v>20</v>
      </c>
      <c r="F4352" s="2" t="n">
        <v>-20</v>
      </c>
      <c r="G4352" s="2" t="s">
        <v>20</v>
      </c>
      <c r="H4352" s="2" t="s">
        <v>26</v>
      </c>
      <c r="I4352" s="2" t="s">
        <v>21</v>
      </c>
      <c r="J4352" s="2" t="n">
        <v>21</v>
      </c>
      <c r="K4352" s="2" t="s">
        <v>44</v>
      </c>
      <c r="L4352" s="2" t="n">
        <v>574</v>
      </c>
      <c r="M4352" s="2" t="n">
        <v>1</v>
      </c>
      <c r="N4352" s="2" t="n">
        <v>-1</v>
      </c>
      <c r="O4352" s="2" t="n">
        <v>0</v>
      </c>
      <c r="P4352" s="2" t="s">
        <v>23</v>
      </c>
      <c r="Q4352" s="2" t="s">
        <v>26</v>
      </c>
    </row>
    <row r="4353" customFormat="false" ht="15" hidden="false" customHeight="false" outlineLevel="0" collapsed="false">
      <c r="A4353" s="2" t="n">
        <v>39</v>
      </c>
      <c r="B4353" s="2" t="s">
        <v>29</v>
      </c>
      <c r="C4353" s="2" t="s">
        <v>30</v>
      </c>
      <c r="D4353" s="2" t="s">
        <v>25</v>
      </c>
      <c r="E4353" s="2" t="s">
        <v>20</v>
      </c>
      <c r="F4353" s="2" t="n">
        <v>36</v>
      </c>
      <c r="G4353" s="2" t="s">
        <v>20</v>
      </c>
      <c r="H4353" s="2" t="s">
        <v>20</v>
      </c>
      <c r="I4353" s="2" t="s">
        <v>21</v>
      </c>
      <c r="J4353" s="2" t="n">
        <v>29</v>
      </c>
      <c r="K4353" s="2" t="s">
        <v>41</v>
      </c>
      <c r="L4353" s="2" t="n">
        <v>70</v>
      </c>
      <c r="M4353" s="2" t="n">
        <v>2</v>
      </c>
      <c r="N4353" s="2" t="n">
        <v>-1</v>
      </c>
      <c r="O4353" s="2" t="n">
        <v>0</v>
      </c>
      <c r="P4353" s="2" t="s">
        <v>23</v>
      </c>
      <c r="Q4353" s="2" t="s">
        <v>20</v>
      </c>
    </row>
    <row r="4354" customFormat="false" ht="15" hidden="false" customHeight="false" outlineLevel="0" collapsed="false">
      <c r="A4354" s="2" t="n">
        <v>47</v>
      </c>
      <c r="B4354" s="2" t="s">
        <v>34</v>
      </c>
      <c r="C4354" s="2" t="s">
        <v>18</v>
      </c>
      <c r="D4354" s="2" t="s">
        <v>19</v>
      </c>
      <c r="E4354" s="2" t="s">
        <v>20</v>
      </c>
      <c r="F4354" s="2" t="n">
        <v>2642</v>
      </c>
      <c r="G4354" s="2" t="s">
        <v>20</v>
      </c>
      <c r="H4354" s="2" t="s">
        <v>20</v>
      </c>
      <c r="I4354" s="2" t="s">
        <v>21</v>
      </c>
      <c r="J4354" s="2" t="n">
        <v>13</v>
      </c>
      <c r="K4354" s="2" t="s">
        <v>41</v>
      </c>
      <c r="L4354" s="2" t="n">
        <v>310</v>
      </c>
      <c r="M4354" s="2" t="n">
        <v>2</v>
      </c>
      <c r="N4354" s="2" t="n">
        <v>-1</v>
      </c>
      <c r="O4354" s="2" t="n">
        <v>0</v>
      </c>
      <c r="P4354" s="2" t="s">
        <v>23</v>
      </c>
      <c r="Q4354" s="2" t="s">
        <v>20</v>
      </c>
    </row>
    <row r="4355" customFormat="false" ht="15" hidden="false" customHeight="false" outlineLevel="0" collapsed="false">
      <c r="A4355" s="2" t="n">
        <v>30</v>
      </c>
      <c r="B4355" s="2" t="s">
        <v>40</v>
      </c>
      <c r="C4355" s="2" t="s">
        <v>18</v>
      </c>
      <c r="D4355" s="2" t="s">
        <v>31</v>
      </c>
      <c r="E4355" s="2" t="s">
        <v>20</v>
      </c>
      <c r="F4355" s="2" t="n">
        <v>400</v>
      </c>
      <c r="G4355" s="2" t="s">
        <v>26</v>
      </c>
      <c r="H4355" s="2" t="s">
        <v>20</v>
      </c>
      <c r="I4355" s="2" t="s">
        <v>21</v>
      </c>
      <c r="J4355" s="2" t="n">
        <v>7</v>
      </c>
      <c r="K4355" s="2" t="s">
        <v>27</v>
      </c>
      <c r="L4355" s="2" t="n">
        <v>223</v>
      </c>
      <c r="M4355" s="2" t="n">
        <v>1</v>
      </c>
      <c r="N4355" s="2" t="n">
        <v>-1</v>
      </c>
      <c r="O4355" s="2" t="n">
        <v>0</v>
      </c>
      <c r="P4355" s="2" t="s">
        <v>23</v>
      </c>
      <c r="Q4355" s="2" t="s">
        <v>20</v>
      </c>
    </row>
    <row r="4356" customFormat="false" ht="15" hidden="false" customHeight="false" outlineLevel="0" collapsed="false">
      <c r="A4356" s="2" t="n">
        <v>31</v>
      </c>
      <c r="B4356" s="2" t="s">
        <v>38</v>
      </c>
      <c r="C4356" s="2" t="s">
        <v>30</v>
      </c>
      <c r="D4356" s="2" t="s">
        <v>31</v>
      </c>
      <c r="E4356" s="2" t="s">
        <v>20</v>
      </c>
      <c r="F4356" s="2" t="n">
        <v>1214</v>
      </c>
      <c r="G4356" s="2" t="s">
        <v>20</v>
      </c>
      <c r="H4356" s="2" t="s">
        <v>20</v>
      </c>
      <c r="I4356" s="2" t="s">
        <v>21</v>
      </c>
      <c r="J4356" s="2" t="n">
        <v>3</v>
      </c>
      <c r="K4356" s="2" t="s">
        <v>35</v>
      </c>
      <c r="L4356" s="2" t="n">
        <v>39</v>
      </c>
      <c r="M4356" s="2" t="n">
        <v>1</v>
      </c>
      <c r="N4356" s="2" t="n">
        <v>-1</v>
      </c>
      <c r="O4356" s="2" t="n">
        <v>0</v>
      </c>
      <c r="P4356" s="2" t="s">
        <v>23</v>
      </c>
      <c r="Q4356" s="2" t="s">
        <v>20</v>
      </c>
    </row>
    <row r="4357" customFormat="false" ht="15" hidden="false" customHeight="false" outlineLevel="0" collapsed="false">
      <c r="A4357" s="2" t="n">
        <v>34</v>
      </c>
      <c r="B4357" s="2" t="s">
        <v>29</v>
      </c>
      <c r="C4357" s="2" t="s">
        <v>30</v>
      </c>
      <c r="D4357" s="2" t="s">
        <v>31</v>
      </c>
      <c r="E4357" s="2" t="s">
        <v>20</v>
      </c>
      <c r="F4357" s="2" t="n">
        <v>-292</v>
      </c>
      <c r="G4357" s="2" t="s">
        <v>26</v>
      </c>
      <c r="H4357" s="2" t="s">
        <v>20</v>
      </c>
      <c r="I4357" s="2" t="s">
        <v>21</v>
      </c>
      <c r="J4357" s="2" t="n">
        <v>19</v>
      </c>
      <c r="K4357" s="2" t="s">
        <v>41</v>
      </c>
      <c r="L4357" s="2" t="n">
        <v>181</v>
      </c>
      <c r="M4357" s="2" t="n">
        <v>6</v>
      </c>
      <c r="N4357" s="2" t="n">
        <v>-1</v>
      </c>
      <c r="O4357" s="2" t="n">
        <v>0</v>
      </c>
      <c r="P4357" s="2" t="s">
        <v>23</v>
      </c>
      <c r="Q4357" s="2" t="s">
        <v>20</v>
      </c>
    </row>
    <row r="4358" customFormat="false" ht="15" hidden="false" customHeight="false" outlineLevel="0" collapsed="false">
      <c r="A4358" s="2" t="n">
        <v>51</v>
      </c>
      <c r="B4358" s="2" t="s">
        <v>40</v>
      </c>
      <c r="C4358" s="2" t="s">
        <v>18</v>
      </c>
      <c r="D4358" s="2" t="s">
        <v>25</v>
      </c>
      <c r="E4358" s="2" t="s">
        <v>20</v>
      </c>
      <c r="F4358" s="2" t="n">
        <v>1415</v>
      </c>
      <c r="G4358" s="2" t="s">
        <v>26</v>
      </c>
      <c r="H4358" s="2" t="s">
        <v>20</v>
      </c>
      <c r="I4358" s="2" t="s">
        <v>23</v>
      </c>
      <c r="J4358" s="2" t="n">
        <v>2</v>
      </c>
      <c r="K4358" s="2" t="s">
        <v>33</v>
      </c>
      <c r="L4358" s="2" t="n">
        <v>151</v>
      </c>
      <c r="M4358" s="2" t="n">
        <v>3</v>
      </c>
      <c r="N4358" s="2" t="n">
        <v>-1</v>
      </c>
      <c r="O4358" s="2" t="n">
        <v>0</v>
      </c>
      <c r="P4358" s="2" t="s">
        <v>23</v>
      </c>
      <c r="Q4358" s="2" t="s">
        <v>20</v>
      </c>
    </row>
    <row r="4359" customFormat="false" ht="15" hidden="false" customHeight="false" outlineLevel="0" collapsed="false">
      <c r="A4359" s="2" t="n">
        <v>38</v>
      </c>
      <c r="B4359" s="2" t="s">
        <v>34</v>
      </c>
      <c r="C4359" s="2" t="s">
        <v>18</v>
      </c>
      <c r="D4359" s="2" t="s">
        <v>25</v>
      </c>
      <c r="E4359" s="2" t="s">
        <v>20</v>
      </c>
      <c r="F4359" s="2" t="n">
        <v>213</v>
      </c>
      <c r="G4359" s="2" t="s">
        <v>26</v>
      </c>
      <c r="H4359" s="2" t="s">
        <v>20</v>
      </c>
      <c r="I4359" s="2" t="s">
        <v>23</v>
      </c>
      <c r="J4359" s="2" t="n">
        <v>16</v>
      </c>
      <c r="K4359" s="2" t="s">
        <v>33</v>
      </c>
      <c r="L4359" s="2" t="n">
        <v>270</v>
      </c>
      <c r="M4359" s="2" t="n">
        <v>15</v>
      </c>
      <c r="N4359" s="2" t="n">
        <v>-1</v>
      </c>
      <c r="O4359" s="2" t="n">
        <v>0</v>
      </c>
      <c r="P4359" s="2" t="s">
        <v>23</v>
      </c>
      <c r="Q4359" s="2" t="s">
        <v>20</v>
      </c>
    </row>
    <row r="4360" customFormat="false" ht="15" hidden="false" customHeight="false" outlineLevel="0" collapsed="false">
      <c r="A4360" s="2" t="n">
        <v>47</v>
      </c>
      <c r="B4360" s="2" t="s">
        <v>40</v>
      </c>
      <c r="C4360" s="2" t="s">
        <v>30</v>
      </c>
      <c r="D4360" s="2" t="s">
        <v>25</v>
      </c>
      <c r="E4360" s="2" t="s">
        <v>20</v>
      </c>
      <c r="F4360" s="2" t="n">
        <v>2540</v>
      </c>
      <c r="G4360" s="2" t="s">
        <v>20</v>
      </c>
      <c r="H4360" s="2" t="s">
        <v>20</v>
      </c>
      <c r="I4360" s="2" t="s">
        <v>21</v>
      </c>
      <c r="J4360" s="2" t="n">
        <v>18</v>
      </c>
      <c r="K4360" s="2" t="s">
        <v>46</v>
      </c>
      <c r="L4360" s="2" t="n">
        <v>110</v>
      </c>
      <c r="M4360" s="2" t="n">
        <v>5</v>
      </c>
      <c r="N4360" s="2" t="n">
        <v>-1</v>
      </c>
      <c r="O4360" s="2" t="n">
        <v>0</v>
      </c>
      <c r="P4360" s="2" t="s">
        <v>23</v>
      </c>
      <c r="Q4360" s="2" t="s">
        <v>20</v>
      </c>
    </row>
    <row r="4361" customFormat="false" ht="15" hidden="false" customHeight="false" outlineLevel="0" collapsed="false">
      <c r="A4361" s="2" t="n">
        <v>46</v>
      </c>
      <c r="B4361" s="2" t="s">
        <v>47</v>
      </c>
      <c r="C4361" s="2" t="s">
        <v>30</v>
      </c>
      <c r="D4361" s="2" t="s">
        <v>31</v>
      </c>
      <c r="E4361" s="2" t="s">
        <v>20</v>
      </c>
      <c r="F4361" s="2" t="n">
        <v>3232</v>
      </c>
      <c r="G4361" s="2" t="s">
        <v>20</v>
      </c>
      <c r="H4361" s="2" t="s">
        <v>20</v>
      </c>
      <c r="I4361" s="2" t="s">
        <v>49</v>
      </c>
      <c r="J4361" s="2" t="n">
        <v>15</v>
      </c>
      <c r="K4361" s="2" t="s">
        <v>33</v>
      </c>
      <c r="L4361" s="2" t="n">
        <v>94</v>
      </c>
      <c r="M4361" s="2" t="n">
        <v>2</v>
      </c>
      <c r="N4361" s="2" t="n">
        <v>-1</v>
      </c>
      <c r="O4361" s="2" t="n">
        <v>0</v>
      </c>
      <c r="P4361" s="2" t="s">
        <v>23</v>
      </c>
      <c r="Q4361" s="2" t="s">
        <v>20</v>
      </c>
    </row>
    <row r="4362" customFormat="false" ht="15" hidden="false" customHeight="false" outlineLevel="0" collapsed="false">
      <c r="A4362" s="2" t="n">
        <v>33</v>
      </c>
      <c r="B4362" s="2" t="s">
        <v>29</v>
      </c>
      <c r="C4362" s="2" t="s">
        <v>18</v>
      </c>
      <c r="D4362" s="2" t="s">
        <v>31</v>
      </c>
      <c r="E4362" s="2" t="s">
        <v>20</v>
      </c>
      <c r="F4362" s="2" t="n">
        <v>296</v>
      </c>
      <c r="G4362" s="2" t="s">
        <v>20</v>
      </c>
      <c r="H4362" s="2" t="s">
        <v>20</v>
      </c>
      <c r="I4362" s="2" t="s">
        <v>21</v>
      </c>
      <c r="J4362" s="2" t="n">
        <v>16</v>
      </c>
      <c r="K4362" s="2" t="s">
        <v>44</v>
      </c>
      <c r="L4362" s="2" t="n">
        <v>90</v>
      </c>
      <c r="M4362" s="2" t="n">
        <v>2</v>
      </c>
      <c r="N4362" s="2" t="n">
        <v>-1</v>
      </c>
      <c r="O4362" s="2" t="n">
        <v>0</v>
      </c>
      <c r="P4362" s="2" t="s">
        <v>23</v>
      </c>
      <c r="Q4362" s="2" t="s">
        <v>20</v>
      </c>
    </row>
    <row r="4363" customFormat="false" ht="15" hidden="false" customHeight="false" outlineLevel="0" collapsed="false">
      <c r="A4363" s="2" t="n">
        <v>30</v>
      </c>
      <c r="B4363" s="2" t="s">
        <v>29</v>
      </c>
      <c r="C4363" s="2" t="s">
        <v>18</v>
      </c>
      <c r="D4363" s="2" t="s">
        <v>31</v>
      </c>
      <c r="E4363" s="2" t="s">
        <v>20</v>
      </c>
      <c r="F4363" s="2" t="n">
        <v>42</v>
      </c>
      <c r="G4363" s="2" t="s">
        <v>20</v>
      </c>
      <c r="H4363" s="2" t="s">
        <v>20</v>
      </c>
      <c r="I4363" s="2" t="s">
        <v>21</v>
      </c>
      <c r="J4363" s="2" t="n">
        <v>25</v>
      </c>
      <c r="K4363" s="2" t="s">
        <v>41</v>
      </c>
      <c r="L4363" s="2" t="n">
        <v>115</v>
      </c>
      <c r="M4363" s="2" t="n">
        <v>6</v>
      </c>
      <c r="N4363" s="2" t="n">
        <v>-1</v>
      </c>
      <c r="O4363" s="2" t="n">
        <v>0</v>
      </c>
      <c r="P4363" s="2" t="s">
        <v>23</v>
      </c>
      <c r="Q4363" s="2" t="s">
        <v>20</v>
      </c>
    </row>
    <row r="4364" customFormat="false" ht="15" hidden="false" customHeight="false" outlineLevel="0" collapsed="false">
      <c r="A4364" s="2" t="n">
        <v>40</v>
      </c>
      <c r="B4364" s="2" t="s">
        <v>38</v>
      </c>
      <c r="C4364" s="2" t="s">
        <v>18</v>
      </c>
      <c r="D4364" s="2" t="s">
        <v>25</v>
      </c>
      <c r="E4364" s="2" t="s">
        <v>20</v>
      </c>
      <c r="F4364" s="2" t="n">
        <v>697</v>
      </c>
      <c r="G4364" s="2" t="s">
        <v>20</v>
      </c>
      <c r="H4364" s="2" t="s">
        <v>20</v>
      </c>
      <c r="I4364" s="2" t="s">
        <v>21</v>
      </c>
      <c r="J4364" s="2" t="n">
        <v>24</v>
      </c>
      <c r="K4364" s="2" t="s">
        <v>33</v>
      </c>
      <c r="L4364" s="2" t="n">
        <v>220</v>
      </c>
      <c r="M4364" s="2" t="n">
        <v>2</v>
      </c>
      <c r="N4364" s="2" t="n">
        <v>219</v>
      </c>
      <c r="O4364" s="2" t="n">
        <v>2</v>
      </c>
      <c r="P4364" s="2" t="s">
        <v>37</v>
      </c>
      <c r="Q4364" s="2" t="s">
        <v>20</v>
      </c>
    </row>
    <row r="4365" customFormat="false" ht="15" hidden="false" customHeight="false" outlineLevel="0" collapsed="false">
      <c r="A4365" s="2" t="n">
        <v>38</v>
      </c>
      <c r="B4365" s="2" t="s">
        <v>34</v>
      </c>
      <c r="C4365" s="2" t="s">
        <v>30</v>
      </c>
      <c r="D4365" s="2" t="s">
        <v>25</v>
      </c>
      <c r="E4365" s="2" t="s">
        <v>20</v>
      </c>
      <c r="F4365" s="2" t="n">
        <v>13156</v>
      </c>
      <c r="G4365" s="2" t="s">
        <v>26</v>
      </c>
      <c r="H4365" s="2" t="s">
        <v>20</v>
      </c>
      <c r="I4365" s="2" t="s">
        <v>21</v>
      </c>
      <c r="J4365" s="2" t="n">
        <v>17</v>
      </c>
      <c r="K4365" s="2" t="s">
        <v>32</v>
      </c>
      <c r="L4365" s="2" t="n">
        <v>291</v>
      </c>
      <c r="M4365" s="2" t="n">
        <v>4</v>
      </c>
      <c r="N4365" s="2" t="n">
        <v>331</v>
      </c>
      <c r="O4365" s="2" t="n">
        <v>1</v>
      </c>
      <c r="P4365" s="2" t="s">
        <v>28</v>
      </c>
      <c r="Q4365" s="2" t="s">
        <v>20</v>
      </c>
    </row>
    <row r="4366" customFormat="false" ht="15" hidden="false" customHeight="false" outlineLevel="0" collapsed="false">
      <c r="A4366" s="2" t="n">
        <v>63</v>
      </c>
      <c r="B4366" s="2" t="s">
        <v>48</v>
      </c>
      <c r="C4366" s="2" t="s">
        <v>45</v>
      </c>
      <c r="D4366" s="2" t="s">
        <v>25</v>
      </c>
      <c r="E4366" s="2" t="s">
        <v>20</v>
      </c>
      <c r="F4366" s="2" t="n">
        <v>1490</v>
      </c>
      <c r="G4366" s="2" t="s">
        <v>20</v>
      </c>
      <c r="H4366" s="2" t="s">
        <v>20</v>
      </c>
      <c r="I4366" s="2" t="s">
        <v>21</v>
      </c>
      <c r="J4366" s="2" t="n">
        <v>8</v>
      </c>
      <c r="K4366" s="2" t="s">
        <v>33</v>
      </c>
      <c r="L4366" s="2" t="n">
        <v>506</v>
      </c>
      <c r="M4366" s="2" t="n">
        <v>1</v>
      </c>
      <c r="N4366" s="2" t="n">
        <v>-1</v>
      </c>
      <c r="O4366" s="2" t="n">
        <v>0</v>
      </c>
      <c r="P4366" s="2" t="s">
        <v>23</v>
      </c>
      <c r="Q4366" s="2" t="s">
        <v>26</v>
      </c>
    </row>
    <row r="4367" customFormat="false" ht="15" hidden="false" customHeight="false" outlineLevel="0" collapsed="false">
      <c r="A4367" s="2" t="n">
        <v>33</v>
      </c>
      <c r="B4367" s="2" t="s">
        <v>29</v>
      </c>
      <c r="C4367" s="2" t="s">
        <v>18</v>
      </c>
      <c r="D4367" s="2" t="s">
        <v>31</v>
      </c>
      <c r="E4367" s="2" t="s">
        <v>20</v>
      </c>
      <c r="F4367" s="2" t="n">
        <v>150</v>
      </c>
      <c r="G4367" s="2" t="s">
        <v>20</v>
      </c>
      <c r="H4367" s="2" t="s">
        <v>20</v>
      </c>
      <c r="I4367" s="2" t="s">
        <v>21</v>
      </c>
      <c r="J4367" s="2" t="n">
        <v>21</v>
      </c>
      <c r="K4367" s="2" t="s">
        <v>41</v>
      </c>
      <c r="L4367" s="2" t="n">
        <v>151</v>
      </c>
      <c r="M4367" s="2" t="n">
        <v>2</v>
      </c>
      <c r="N4367" s="2" t="n">
        <v>-1</v>
      </c>
      <c r="O4367" s="2" t="n">
        <v>0</v>
      </c>
      <c r="P4367" s="2" t="s">
        <v>23</v>
      </c>
      <c r="Q4367" s="2" t="s">
        <v>20</v>
      </c>
    </row>
    <row r="4368" customFormat="false" ht="15" hidden="false" customHeight="false" outlineLevel="0" collapsed="false">
      <c r="A4368" s="2" t="n">
        <v>59</v>
      </c>
      <c r="B4368" s="2" t="s">
        <v>48</v>
      </c>
      <c r="C4368" s="2" t="s">
        <v>18</v>
      </c>
      <c r="D4368" s="2" t="s">
        <v>25</v>
      </c>
      <c r="E4368" s="2" t="s">
        <v>20</v>
      </c>
      <c r="F4368" s="2" t="n">
        <v>0</v>
      </c>
      <c r="G4368" s="2" t="s">
        <v>20</v>
      </c>
      <c r="H4368" s="2" t="s">
        <v>20</v>
      </c>
      <c r="I4368" s="2" t="s">
        <v>23</v>
      </c>
      <c r="J4368" s="2" t="n">
        <v>5</v>
      </c>
      <c r="K4368" s="2" t="s">
        <v>33</v>
      </c>
      <c r="L4368" s="2" t="n">
        <v>812</v>
      </c>
      <c r="M4368" s="2" t="n">
        <v>1</v>
      </c>
      <c r="N4368" s="2" t="n">
        <v>-1</v>
      </c>
      <c r="O4368" s="2" t="n">
        <v>0</v>
      </c>
      <c r="P4368" s="2" t="s">
        <v>23</v>
      </c>
      <c r="Q4368" s="2" t="s">
        <v>26</v>
      </c>
    </row>
    <row r="4369" customFormat="false" ht="15" hidden="false" customHeight="false" outlineLevel="0" collapsed="false">
      <c r="A4369" s="2" t="n">
        <v>29</v>
      </c>
      <c r="B4369" s="2" t="s">
        <v>29</v>
      </c>
      <c r="C4369" s="2" t="s">
        <v>30</v>
      </c>
      <c r="D4369" s="2" t="s">
        <v>31</v>
      </c>
      <c r="E4369" s="2" t="s">
        <v>20</v>
      </c>
      <c r="F4369" s="2" t="n">
        <v>4210</v>
      </c>
      <c r="G4369" s="2" t="s">
        <v>26</v>
      </c>
      <c r="H4369" s="2" t="s">
        <v>20</v>
      </c>
      <c r="I4369" s="2" t="s">
        <v>21</v>
      </c>
      <c r="J4369" s="2" t="n">
        <v>18</v>
      </c>
      <c r="K4369" s="2" t="s">
        <v>27</v>
      </c>
      <c r="L4369" s="2" t="n">
        <v>119</v>
      </c>
      <c r="M4369" s="2" t="n">
        <v>1</v>
      </c>
      <c r="N4369" s="2" t="n">
        <v>-1</v>
      </c>
      <c r="O4369" s="2" t="n">
        <v>0</v>
      </c>
      <c r="P4369" s="2" t="s">
        <v>23</v>
      </c>
      <c r="Q4369" s="2" t="s">
        <v>20</v>
      </c>
    </row>
    <row r="4370" customFormat="false" ht="15" hidden="false" customHeight="false" outlineLevel="0" collapsed="false">
      <c r="A4370" s="2" t="n">
        <v>54</v>
      </c>
      <c r="B4370" s="2" t="s">
        <v>24</v>
      </c>
      <c r="C4370" s="2" t="s">
        <v>45</v>
      </c>
      <c r="D4370" s="2" t="s">
        <v>25</v>
      </c>
      <c r="E4370" s="2" t="s">
        <v>20</v>
      </c>
      <c r="F4370" s="2" t="n">
        <v>1012</v>
      </c>
      <c r="G4370" s="2" t="s">
        <v>26</v>
      </c>
      <c r="H4370" s="2" t="s">
        <v>20</v>
      </c>
      <c r="I4370" s="2" t="s">
        <v>21</v>
      </c>
      <c r="J4370" s="2" t="n">
        <v>12</v>
      </c>
      <c r="K4370" s="2" t="s">
        <v>27</v>
      </c>
      <c r="L4370" s="2" t="n">
        <v>33</v>
      </c>
      <c r="M4370" s="2" t="n">
        <v>3</v>
      </c>
      <c r="N4370" s="2" t="n">
        <v>175</v>
      </c>
      <c r="O4370" s="2" t="n">
        <v>2</v>
      </c>
      <c r="P4370" s="2" t="s">
        <v>37</v>
      </c>
      <c r="Q4370" s="2" t="s">
        <v>20</v>
      </c>
    </row>
    <row r="4371" customFormat="false" ht="15" hidden="false" customHeight="false" outlineLevel="0" collapsed="false">
      <c r="A4371" s="2" t="n">
        <v>57</v>
      </c>
      <c r="B4371" s="2" t="s">
        <v>38</v>
      </c>
      <c r="C4371" s="2" t="s">
        <v>18</v>
      </c>
      <c r="D4371" s="2" t="s">
        <v>25</v>
      </c>
      <c r="E4371" s="2" t="s">
        <v>20</v>
      </c>
      <c r="F4371" s="2" t="n">
        <v>16063</v>
      </c>
      <c r="G4371" s="2" t="s">
        <v>26</v>
      </c>
      <c r="H4371" s="2" t="s">
        <v>20</v>
      </c>
      <c r="I4371" s="2" t="s">
        <v>23</v>
      </c>
      <c r="J4371" s="2" t="n">
        <v>30</v>
      </c>
      <c r="K4371" s="2" t="s">
        <v>27</v>
      </c>
      <c r="L4371" s="2" t="n">
        <v>352</v>
      </c>
      <c r="M4371" s="2" t="n">
        <v>3</v>
      </c>
      <c r="N4371" s="2" t="n">
        <v>-1</v>
      </c>
      <c r="O4371" s="2" t="n">
        <v>0</v>
      </c>
      <c r="P4371" s="2" t="s">
        <v>23</v>
      </c>
      <c r="Q4371" s="2" t="s">
        <v>20</v>
      </c>
    </row>
    <row r="4372" customFormat="false" ht="15" hidden="false" customHeight="false" outlineLevel="0" collapsed="false">
      <c r="A4372" s="2" t="n">
        <v>57</v>
      </c>
      <c r="B4372" s="2" t="s">
        <v>34</v>
      </c>
      <c r="C4372" s="2" t="s">
        <v>18</v>
      </c>
      <c r="D4372" s="2" t="s">
        <v>19</v>
      </c>
      <c r="E4372" s="2" t="s">
        <v>20</v>
      </c>
      <c r="F4372" s="2" t="n">
        <v>5431</v>
      </c>
      <c r="G4372" s="2" t="s">
        <v>26</v>
      </c>
      <c r="H4372" s="2" t="s">
        <v>26</v>
      </c>
      <c r="I4372" s="2" t="s">
        <v>23</v>
      </c>
      <c r="J4372" s="2" t="n">
        <v>6</v>
      </c>
      <c r="K4372" s="2" t="s">
        <v>27</v>
      </c>
      <c r="L4372" s="2" t="n">
        <v>383</v>
      </c>
      <c r="M4372" s="2" t="n">
        <v>1</v>
      </c>
      <c r="N4372" s="2" t="n">
        <v>-1</v>
      </c>
      <c r="O4372" s="2" t="n">
        <v>0</v>
      </c>
      <c r="P4372" s="2" t="s">
        <v>23</v>
      </c>
      <c r="Q4372" s="2" t="s">
        <v>20</v>
      </c>
    </row>
    <row r="4373" customFormat="false" ht="15" hidden="false" customHeight="false" outlineLevel="0" collapsed="false">
      <c r="A4373" s="2" t="n">
        <v>28</v>
      </c>
      <c r="B4373" s="2" t="s">
        <v>24</v>
      </c>
      <c r="C4373" s="2" t="s">
        <v>30</v>
      </c>
      <c r="D4373" s="2" t="s">
        <v>25</v>
      </c>
      <c r="E4373" s="2" t="s">
        <v>20</v>
      </c>
      <c r="F4373" s="2" t="n">
        <v>317</v>
      </c>
      <c r="G4373" s="2" t="s">
        <v>26</v>
      </c>
      <c r="H4373" s="2" t="s">
        <v>20</v>
      </c>
      <c r="I4373" s="2" t="s">
        <v>23</v>
      </c>
      <c r="J4373" s="2" t="n">
        <v>16</v>
      </c>
      <c r="K4373" s="2" t="s">
        <v>27</v>
      </c>
      <c r="L4373" s="2" t="n">
        <v>21</v>
      </c>
      <c r="M4373" s="2" t="n">
        <v>3</v>
      </c>
      <c r="N4373" s="2" t="n">
        <v>-1</v>
      </c>
      <c r="O4373" s="2" t="n">
        <v>0</v>
      </c>
      <c r="P4373" s="2" t="s">
        <v>23</v>
      </c>
      <c r="Q4373" s="2" t="s">
        <v>20</v>
      </c>
    </row>
    <row r="4374" customFormat="false" ht="15" hidden="false" customHeight="false" outlineLevel="0" collapsed="false">
      <c r="A4374" s="2" t="n">
        <v>30</v>
      </c>
      <c r="B4374" s="2" t="s">
        <v>38</v>
      </c>
      <c r="C4374" s="2" t="s">
        <v>30</v>
      </c>
      <c r="D4374" s="2" t="s">
        <v>25</v>
      </c>
      <c r="E4374" s="2" t="s">
        <v>20</v>
      </c>
      <c r="F4374" s="2" t="n">
        <v>4787</v>
      </c>
      <c r="G4374" s="2" t="s">
        <v>26</v>
      </c>
      <c r="H4374" s="2" t="s">
        <v>20</v>
      </c>
      <c r="I4374" s="2" t="s">
        <v>21</v>
      </c>
      <c r="J4374" s="2" t="n">
        <v>18</v>
      </c>
      <c r="K4374" s="2" t="s">
        <v>46</v>
      </c>
      <c r="L4374" s="2" t="n">
        <v>266</v>
      </c>
      <c r="M4374" s="2" t="n">
        <v>1</v>
      </c>
      <c r="N4374" s="2" t="n">
        <v>167</v>
      </c>
      <c r="O4374" s="2" t="n">
        <v>2</v>
      </c>
      <c r="P4374" s="2" t="s">
        <v>28</v>
      </c>
      <c r="Q4374" s="2" t="s">
        <v>20</v>
      </c>
    </row>
    <row r="4375" customFormat="false" ht="15" hidden="false" customHeight="false" outlineLevel="0" collapsed="false">
      <c r="A4375" s="2" t="n">
        <v>28</v>
      </c>
      <c r="B4375" s="2" t="s">
        <v>34</v>
      </c>
      <c r="C4375" s="2" t="s">
        <v>18</v>
      </c>
      <c r="D4375" s="2" t="s">
        <v>25</v>
      </c>
      <c r="E4375" s="2" t="s">
        <v>20</v>
      </c>
      <c r="F4375" s="2" t="n">
        <v>225</v>
      </c>
      <c r="G4375" s="2" t="s">
        <v>26</v>
      </c>
      <c r="H4375" s="2" t="s">
        <v>26</v>
      </c>
      <c r="I4375" s="2" t="s">
        <v>23</v>
      </c>
      <c r="J4375" s="2" t="n">
        <v>7</v>
      </c>
      <c r="K4375" s="2" t="s">
        <v>27</v>
      </c>
      <c r="L4375" s="2" t="n">
        <v>866</v>
      </c>
      <c r="M4375" s="2" t="n">
        <v>2</v>
      </c>
      <c r="N4375" s="2" t="n">
        <v>-1</v>
      </c>
      <c r="O4375" s="2" t="n">
        <v>0</v>
      </c>
      <c r="P4375" s="2" t="s">
        <v>23</v>
      </c>
      <c r="Q4375" s="2" t="s">
        <v>20</v>
      </c>
    </row>
    <row r="4376" customFormat="false" ht="15" hidden="false" customHeight="false" outlineLevel="0" collapsed="false">
      <c r="A4376" s="2" t="n">
        <v>45</v>
      </c>
      <c r="B4376" s="2" t="s">
        <v>24</v>
      </c>
      <c r="C4376" s="2" t="s">
        <v>45</v>
      </c>
      <c r="D4376" s="2" t="s">
        <v>19</v>
      </c>
      <c r="E4376" s="2" t="s">
        <v>20</v>
      </c>
      <c r="F4376" s="2" t="n">
        <v>3854</v>
      </c>
      <c r="G4376" s="2" t="s">
        <v>26</v>
      </c>
      <c r="H4376" s="2" t="s">
        <v>20</v>
      </c>
      <c r="I4376" s="2" t="s">
        <v>23</v>
      </c>
      <c r="J4376" s="2" t="n">
        <v>20</v>
      </c>
      <c r="K4376" s="2" t="s">
        <v>33</v>
      </c>
      <c r="L4376" s="2" t="n">
        <v>10</v>
      </c>
      <c r="M4376" s="2" t="n">
        <v>3</v>
      </c>
      <c r="N4376" s="2" t="n">
        <v>-1</v>
      </c>
      <c r="O4376" s="2" t="n">
        <v>0</v>
      </c>
      <c r="P4376" s="2" t="s">
        <v>23</v>
      </c>
      <c r="Q4376" s="2" t="s">
        <v>20</v>
      </c>
    </row>
    <row r="4377" customFormat="false" ht="15" hidden="false" customHeight="false" outlineLevel="0" collapsed="false">
      <c r="A4377" s="2" t="n">
        <v>29</v>
      </c>
      <c r="B4377" s="2" t="s">
        <v>24</v>
      </c>
      <c r="C4377" s="2" t="s">
        <v>45</v>
      </c>
      <c r="D4377" s="2" t="s">
        <v>25</v>
      </c>
      <c r="E4377" s="2" t="s">
        <v>20</v>
      </c>
      <c r="F4377" s="2" t="n">
        <v>92</v>
      </c>
      <c r="G4377" s="2" t="s">
        <v>26</v>
      </c>
      <c r="H4377" s="2" t="s">
        <v>20</v>
      </c>
      <c r="I4377" s="2" t="s">
        <v>21</v>
      </c>
      <c r="J4377" s="2" t="n">
        <v>7</v>
      </c>
      <c r="K4377" s="2" t="s">
        <v>27</v>
      </c>
      <c r="L4377" s="2" t="n">
        <v>240</v>
      </c>
      <c r="M4377" s="2" t="n">
        <v>1</v>
      </c>
      <c r="N4377" s="2" t="n">
        <v>-1</v>
      </c>
      <c r="O4377" s="2" t="n">
        <v>0</v>
      </c>
      <c r="P4377" s="2" t="s">
        <v>23</v>
      </c>
      <c r="Q4377" s="2" t="s">
        <v>20</v>
      </c>
    </row>
    <row r="4378" customFormat="false" ht="15" hidden="false" customHeight="false" outlineLevel="0" collapsed="false">
      <c r="A4378" s="2" t="n">
        <v>42</v>
      </c>
      <c r="B4378" s="2" t="s">
        <v>34</v>
      </c>
      <c r="C4378" s="2" t="s">
        <v>18</v>
      </c>
      <c r="D4378" s="2" t="s">
        <v>19</v>
      </c>
      <c r="E4378" s="2" t="s">
        <v>20</v>
      </c>
      <c r="F4378" s="2" t="n">
        <v>-10</v>
      </c>
      <c r="G4378" s="2" t="s">
        <v>26</v>
      </c>
      <c r="H4378" s="2" t="s">
        <v>20</v>
      </c>
      <c r="I4378" s="2" t="s">
        <v>23</v>
      </c>
      <c r="J4378" s="2" t="n">
        <v>9</v>
      </c>
      <c r="K4378" s="2" t="s">
        <v>27</v>
      </c>
      <c r="L4378" s="2" t="n">
        <v>291</v>
      </c>
      <c r="M4378" s="2" t="n">
        <v>4</v>
      </c>
      <c r="N4378" s="2" t="n">
        <v>-1</v>
      </c>
      <c r="O4378" s="2" t="n">
        <v>0</v>
      </c>
      <c r="P4378" s="2" t="s">
        <v>23</v>
      </c>
      <c r="Q4378" s="2" t="s">
        <v>20</v>
      </c>
    </row>
    <row r="4379" customFormat="false" ht="15" hidden="false" customHeight="false" outlineLevel="0" collapsed="false">
      <c r="A4379" s="2" t="n">
        <v>31</v>
      </c>
      <c r="B4379" s="2" t="s">
        <v>34</v>
      </c>
      <c r="C4379" s="2" t="s">
        <v>18</v>
      </c>
      <c r="D4379" s="2" t="s">
        <v>25</v>
      </c>
      <c r="E4379" s="2" t="s">
        <v>20</v>
      </c>
      <c r="F4379" s="2" t="n">
        <v>-617</v>
      </c>
      <c r="G4379" s="2" t="s">
        <v>26</v>
      </c>
      <c r="H4379" s="2" t="s">
        <v>20</v>
      </c>
      <c r="I4379" s="2" t="s">
        <v>23</v>
      </c>
      <c r="J4379" s="2" t="n">
        <v>2</v>
      </c>
      <c r="K4379" s="2" t="s">
        <v>33</v>
      </c>
      <c r="L4379" s="2" t="n">
        <v>115</v>
      </c>
      <c r="M4379" s="2" t="n">
        <v>2</v>
      </c>
      <c r="N4379" s="2" t="n">
        <v>-1</v>
      </c>
      <c r="O4379" s="2" t="n">
        <v>0</v>
      </c>
      <c r="P4379" s="2" t="s">
        <v>23</v>
      </c>
      <c r="Q4379" s="2" t="s">
        <v>20</v>
      </c>
    </row>
    <row r="4380" customFormat="false" ht="15" hidden="false" customHeight="false" outlineLevel="0" collapsed="false">
      <c r="A4380" s="2" t="n">
        <v>59</v>
      </c>
      <c r="B4380" s="2" t="s">
        <v>47</v>
      </c>
      <c r="C4380" s="2" t="s">
        <v>45</v>
      </c>
      <c r="D4380" s="2" t="s">
        <v>19</v>
      </c>
      <c r="E4380" s="2" t="s">
        <v>20</v>
      </c>
      <c r="F4380" s="2" t="n">
        <v>195</v>
      </c>
      <c r="G4380" s="2" t="s">
        <v>20</v>
      </c>
      <c r="H4380" s="2" t="s">
        <v>20</v>
      </c>
      <c r="I4380" s="2" t="s">
        <v>23</v>
      </c>
      <c r="J4380" s="2" t="n">
        <v>5</v>
      </c>
      <c r="K4380" s="2" t="s">
        <v>27</v>
      </c>
      <c r="L4380" s="2" t="n">
        <v>366</v>
      </c>
      <c r="M4380" s="2" t="n">
        <v>2</v>
      </c>
      <c r="N4380" s="2" t="n">
        <v>-1</v>
      </c>
      <c r="O4380" s="2" t="n">
        <v>0</v>
      </c>
      <c r="P4380" s="2" t="s">
        <v>23</v>
      </c>
      <c r="Q4380" s="2" t="s">
        <v>20</v>
      </c>
    </row>
    <row r="4381" customFormat="false" ht="15" hidden="false" customHeight="false" outlineLevel="0" collapsed="false">
      <c r="A4381" s="2" t="n">
        <v>41</v>
      </c>
      <c r="B4381" s="2" t="s">
        <v>34</v>
      </c>
      <c r="C4381" s="2" t="s">
        <v>18</v>
      </c>
      <c r="D4381" s="2" t="s">
        <v>19</v>
      </c>
      <c r="E4381" s="2" t="s">
        <v>20</v>
      </c>
      <c r="F4381" s="2" t="n">
        <v>1172</v>
      </c>
      <c r="G4381" s="2" t="s">
        <v>26</v>
      </c>
      <c r="H4381" s="2" t="s">
        <v>20</v>
      </c>
      <c r="I4381" s="2" t="s">
        <v>23</v>
      </c>
      <c r="J4381" s="2" t="n">
        <v>15</v>
      </c>
      <c r="K4381" s="2" t="s">
        <v>27</v>
      </c>
      <c r="L4381" s="2" t="n">
        <v>153</v>
      </c>
      <c r="M4381" s="2" t="n">
        <v>1</v>
      </c>
      <c r="N4381" s="2" t="n">
        <v>-1</v>
      </c>
      <c r="O4381" s="2" t="n">
        <v>0</v>
      </c>
      <c r="P4381" s="2" t="s">
        <v>23</v>
      </c>
      <c r="Q4381" s="2" t="s">
        <v>20</v>
      </c>
    </row>
    <row r="4382" customFormat="false" ht="15" hidden="false" customHeight="false" outlineLevel="0" collapsed="false">
      <c r="A4382" s="2" t="n">
        <v>57</v>
      </c>
      <c r="B4382" s="2" t="s">
        <v>47</v>
      </c>
      <c r="C4382" s="2" t="s">
        <v>18</v>
      </c>
      <c r="D4382" s="2" t="s">
        <v>25</v>
      </c>
      <c r="E4382" s="2" t="s">
        <v>20</v>
      </c>
      <c r="F4382" s="2" t="n">
        <v>0</v>
      </c>
      <c r="G4382" s="2" t="s">
        <v>20</v>
      </c>
      <c r="H4382" s="2" t="s">
        <v>20</v>
      </c>
      <c r="I4382" s="2" t="s">
        <v>21</v>
      </c>
      <c r="J4382" s="2" t="n">
        <v>22</v>
      </c>
      <c r="K4382" s="2" t="s">
        <v>41</v>
      </c>
      <c r="L4382" s="2" t="n">
        <v>197</v>
      </c>
      <c r="M4382" s="2" t="n">
        <v>2</v>
      </c>
      <c r="N4382" s="2" t="n">
        <v>-1</v>
      </c>
      <c r="O4382" s="2" t="n">
        <v>0</v>
      </c>
      <c r="P4382" s="2" t="s">
        <v>23</v>
      </c>
      <c r="Q4382" s="2" t="s">
        <v>20</v>
      </c>
    </row>
    <row r="4383" customFormat="false" ht="15" hidden="false" customHeight="false" outlineLevel="0" collapsed="false">
      <c r="A4383" s="2" t="n">
        <v>43</v>
      </c>
      <c r="B4383" s="2" t="s">
        <v>24</v>
      </c>
      <c r="C4383" s="2" t="s">
        <v>45</v>
      </c>
      <c r="D4383" s="2" t="s">
        <v>25</v>
      </c>
      <c r="E4383" s="2" t="s">
        <v>20</v>
      </c>
      <c r="F4383" s="2" t="n">
        <v>0</v>
      </c>
      <c r="G4383" s="2" t="s">
        <v>20</v>
      </c>
      <c r="H4383" s="2" t="s">
        <v>20</v>
      </c>
      <c r="I4383" s="2" t="s">
        <v>21</v>
      </c>
      <c r="J4383" s="2" t="n">
        <v>31</v>
      </c>
      <c r="K4383" s="2" t="s">
        <v>44</v>
      </c>
      <c r="L4383" s="2" t="n">
        <v>106</v>
      </c>
      <c r="M4383" s="2" t="n">
        <v>4</v>
      </c>
      <c r="N4383" s="2" t="n">
        <v>-1</v>
      </c>
      <c r="O4383" s="2" t="n">
        <v>0</v>
      </c>
      <c r="P4383" s="2" t="s">
        <v>23</v>
      </c>
      <c r="Q4383" s="2" t="s">
        <v>20</v>
      </c>
    </row>
    <row r="4384" customFormat="false" ht="15" hidden="false" customHeight="false" outlineLevel="0" collapsed="false">
      <c r="A4384" s="2" t="n">
        <v>30</v>
      </c>
      <c r="B4384" s="2" t="s">
        <v>24</v>
      </c>
      <c r="C4384" s="2" t="s">
        <v>45</v>
      </c>
      <c r="D4384" s="2" t="s">
        <v>25</v>
      </c>
      <c r="E4384" s="2" t="s">
        <v>20</v>
      </c>
      <c r="F4384" s="2" t="n">
        <v>-94</v>
      </c>
      <c r="G4384" s="2" t="s">
        <v>26</v>
      </c>
      <c r="H4384" s="2" t="s">
        <v>20</v>
      </c>
      <c r="I4384" s="2" t="s">
        <v>21</v>
      </c>
      <c r="J4384" s="2" t="n">
        <v>14</v>
      </c>
      <c r="K4384" s="2" t="s">
        <v>44</v>
      </c>
      <c r="L4384" s="2" t="n">
        <v>41</v>
      </c>
      <c r="M4384" s="2" t="n">
        <v>2</v>
      </c>
      <c r="N4384" s="2" t="n">
        <v>-1</v>
      </c>
      <c r="O4384" s="2" t="n">
        <v>0</v>
      </c>
      <c r="P4384" s="2" t="s">
        <v>23</v>
      </c>
      <c r="Q4384" s="2" t="s">
        <v>20</v>
      </c>
    </row>
    <row r="4385" customFormat="false" ht="15" hidden="false" customHeight="false" outlineLevel="0" collapsed="false">
      <c r="A4385" s="2" t="n">
        <v>26</v>
      </c>
      <c r="B4385" s="2" t="s">
        <v>40</v>
      </c>
      <c r="C4385" s="2" t="s">
        <v>30</v>
      </c>
      <c r="D4385" s="2" t="s">
        <v>25</v>
      </c>
      <c r="E4385" s="2" t="s">
        <v>20</v>
      </c>
      <c r="F4385" s="2" t="n">
        <v>609</v>
      </c>
      <c r="G4385" s="2" t="s">
        <v>20</v>
      </c>
      <c r="H4385" s="2" t="s">
        <v>20</v>
      </c>
      <c r="I4385" s="2" t="s">
        <v>49</v>
      </c>
      <c r="J4385" s="2" t="n">
        <v>28</v>
      </c>
      <c r="K4385" s="2" t="s">
        <v>43</v>
      </c>
      <c r="L4385" s="2" t="n">
        <v>112</v>
      </c>
      <c r="M4385" s="2" t="n">
        <v>1</v>
      </c>
      <c r="N4385" s="2" t="n">
        <v>-1</v>
      </c>
      <c r="O4385" s="2" t="n">
        <v>0</v>
      </c>
      <c r="P4385" s="2" t="s">
        <v>23</v>
      </c>
      <c r="Q4385" s="2" t="s">
        <v>20</v>
      </c>
    </row>
    <row r="4386" customFormat="false" ht="15" hidden="false" customHeight="false" outlineLevel="0" collapsed="false">
      <c r="A4386" s="2" t="n">
        <v>52</v>
      </c>
      <c r="B4386" s="2" t="s">
        <v>29</v>
      </c>
      <c r="C4386" s="2" t="s">
        <v>30</v>
      </c>
      <c r="D4386" s="2" t="s">
        <v>31</v>
      </c>
      <c r="E4386" s="2" t="s">
        <v>20</v>
      </c>
      <c r="F4386" s="2" t="n">
        <v>4</v>
      </c>
      <c r="G4386" s="2" t="s">
        <v>20</v>
      </c>
      <c r="H4386" s="2" t="s">
        <v>26</v>
      </c>
      <c r="I4386" s="2" t="s">
        <v>21</v>
      </c>
      <c r="J4386" s="2" t="n">
        <v>28</v>
      </c>
      <c r="K4386" s="2" t="s">
        <v>44</v>
      </c>
      <c r="L4386" s="2" t="n">
        <v>30</v>
      </c>
      <c r="M4386" s="2" t="n">
        <v>9</v>
      </c>
      <c r="N4386" s="2" t="n">
        <v>-1</v>
      </c>
      <c r="O4386" s="2" t="n">
        <v>0</v>
      </c>
      <c r="P4386" s="2" t="s">
        <v>23</v>
      </c>
      <c r="Q4386" s="2" t="s">
        <v>20</v>
      </c>
    </row>
    <row r="4387" customFormat="false" ht="15" hidden="false" customHeight="false" outlineLevel="0" collapsed="false">
      <c r="A4387" s="2" t="n">
        <v>32</v>
      </c>
      <c r="B4387" s="2" t="s">
        <v>39</v>
      </c>
      <c r="C4387" s="2" t="s">
        <v>45</v>
      </c>
      <c r="D4387" s="2" t="s">
        <v>25</v>
      </c>
      <c r="E4387" s="2" t="s">
        <v>20</v>
      </c>
      <c r="F4387" s="2" t="n">
        <v>1121</v>
      </c>
      <c r="G4387" s="2" t="s">
        <v>26</v>
      </c>
      <c r="H4387" s="2" t="s">
        <v>26</v>
      </c>
      <c r="I4387" s="2" t="s">
        <v>21</v>
      </c>
      <c r="J4387" s="2" t="n">
        <v>16</v>
      </c>
      <c r="K4387" s="2" t="s">
        <v>32</v>
      </c>
      <c r="L4387" s="2" t="n">
        <v>211</v>
      </c>
      <c r="M4387" s="2" t="n">
        <v>3</v>
      </c>
      <c r="N4387" s="2" t="n">
        <v>-1</v>
      </c>
      <c r="O4387" s="2" t="n">
        <v>0</v>
      </c>
      <c r="P4387" s="2" t="s">
        <v>23</v>
      </c>
      <c r="Q4387" s="2" t="s">
        <v>20</v>
      </c>
    </row>
    <row r="4388" customFormat="false" ht="15" hidden="false" customHeight="false" outlineLevel="0" collapsed="false">
      <c r="A4388" s="2" t="n">
        <v>39</v>
      </c>
      <c r="B4388" s="2" t="s">
        <v>29</v>
      </c>
      <c r="C4388" s="2" t="s">
        <v>45</v>
      </c>
      <c r="D4388" s="2" t="s">
        <v>31</v>
      </c>
      <c r="E4388" s="2" t="s">
        <v>20</v>
      </c>
      <c r="F4388" s="2" t="n">
        <v>355</v>
      </c>
      <c r="G4388" s="2" t="s">
        <v>26</v>
      </c>
      <c r="H4388" s="2" t="s">
        <v>20</v>
      </c>
      <c r="I4388" s="2" t="s">
        <v>21</v>
      </c>
      <c r="J4388" s="2" t="n">
        <v>25</v>
      </c>
      <c r="K4388" s="2" t="s">
        <v>41</v>
      </c>
      <c r="L4388" s="2" t="n">
        <v>313</v>
      </c>
      <c r="M4388" s="2" t="n">
        <v>5</v>
      </c>
      <c r="N4388" s="2" t="n">
        <v>-1</v>
      </c>
      <c r="O4388" s="2" t="n">
        <v>0</v>
      </c>
      <c r="P4388" s="2" t="s">
        <v>23</v>
      </c>
      <c r="Q4388" s="2" t="s">
        <v>20</v>
      </c>
    </row>
    <row r="4389" customFormat="false" ht="15" hidden="false" customHeight="false" outlineLevel="0" collapsed="false">
      <c r="A4389" s="2" t="n">
        <v>31</v>
      </c>
      <c r="B4389" s="2" t="s">
        <v>34</v>
      </c>
      <c r="C4389" s="2" t="s">
        <v>18</v>
      </c>
      <c r="D4389" s="2" t="s">
        <v>25</v>
      </c>
      <c r="E4389" s="2" t="s">
        <v>20</v>
      </c>
      <c r="F4389" s="2" t="n">
        <v>3653</v>
      </c>
      <c r="G4389" s="2" t="s">
        <v>26</v>
      </c>
      <c r="H4389" s="2" t="s">
        <v>26</v>
      </c>
      <c r="I4389" s="2" t="s">
        <v>21</v>
      </c>
      <c r="J4389" s="2" t="n">
        <v>21</v>
      </c>
      <c r="K4389" s="2" t="s">
        <v>46</v>
      </c>
      <c r="L4389" s="2" t="n">
        <v>252</v>
      </c>
      <c r="M4389" s="2" t="n">
        <v>1</v>
      </c>
      <c r="N4389" s="2" t="n">
        <v>168</v>
      </c>
      <c r="O4389" s="2" t="n">
        <v>4</v>
      </c>
      <c r="P4389" s="2" t="s">
        <v>28</v>
      </c>
      <c r="Q4389" s="2" t="s">
        <v>20</v>
      </c>
    </row>
    <row r="4390" customFormat="false" ht="15" hidden="false" customHeight="false" outlineLevel="0" collapsed="false">
      <c r="A4390" s="2" t="n">
        <v>83</v>
      </c>
      <c r="B4390" s="2" t="s">
        <v>48</v>
      </c>
      <c r="C4390" s="2" t="s">
        <v>45</v>
      </c>
      <c r="D4390" s="2" t="s">
        <v>19</v>
      </c>
      <c r="E4390" s="2" t="s">
        <v>20</v>
      </c>
      <c r="F4390" s="2" t="n">
        <v>1097</v>
      </c>
      <c r="G4390" s="2" t="s">
        <v>20</v>
      </c>
      <c r="H4390" s="2" t="s">
        <v>20</v>
      </c>
      <c r="I4390" s="2" t="s">
        <v>49</v>
      </c>
      <c r="J4390" s="2" t="n">
        <v>5</v>
      </c>
      <c r="K4390" s="2" t="s">
        <v>52</v>
      </c>
      <c r="L4390" s="2" t="n">
        <v>181</v>
      </c>
      <c r="M4390" s="2" t="n">
        <v>1</v>
      </c>
      <c r="N4390" s="2" t="n">
        <v>-1</v>
      </c>
      <c r="O4390" s="2" t="n">
        <v>0</v>
      </c>
      <c r="P4390" s="2" t="s">
        <v>23</v>
      </c>
      <c r="Q4390" s="2" t="s">
        <v>26</v>
      </c>
    </row>
    <row r="4391" customFormat="false" ht="15" hidden="false" customHeight="false" outlineLevel="0" collapsed="false">
      <c r="A4391" s="2" t="n">
        <v>34</v>
      </c>
      <c r="B4391" s="2" t="s">
        <v>29</v>
      </c>
      <c r="C4391" s="2" t="s">
        <v>18</v>
      </c>
      <c r="D4391" s="2" t="s">
        <v>31</v>
      </c>
      <c r="E4391" s="2" t="s">
        <v>20</v>
      </c>
      <c r="F4391" s="2" t="n">
        <v>436</v>
      </c>
      <c r="G4391" s="2" t="s">
        <v>20</v>
      </c>
      <c r="H4391" s="2" t="s">
        <v>26</v>
      </c>
      <c r="I4391" s="2" t="s">
        <v>21</v>
      </c>
      <c r="J4391" s="2" t="n">
        <v>28</v>
      </c>
      <c r="K4391" s="2" t="s">
        <v>44</v>
      </c>
      <c r="L4391" s="2" t="n">
        <v>118</v>
      </c>
      <c r="M4391" s="2" t="n">
        <v>4</v>
      </c>
      <c r="N4391" s="2" t="n">
        <v>-1</v>
      </c>
      <c r="O4391" s="2" t="n">
        <v>0</v>
      </c>
      <c r="P4391" s="2" t="s">
        <v>23</v>
      </c>
      <c r="Q4391" s="2" t="s">
        <v>20</v>
      </c>
    </row>
    <row r="4392" customFormat="false" ht="15" hidden="false" customHeight="false" outlineLevel="0" collapsed="false">
      <c r="A4392" s="2" t="n">
        <v>40</v>
      </c>
      <c r="B4392" s="2" t="s">
        <v>34</v>
      </c>
      <c r="C4392" s="2" t="s">
        <v>18</v>
      </c>
      <c r="D4392" s="2" t="s">
        <v>25</v>
      </c>
      <c r="E4392" s="2" t="s">
        <v>20</v>
      </c>
      <c r="F4392" s="2" t="n">
        <v>4795</v>
      </c>
      <c r="G4392" s="2" t="s">
        <v>26</v>
      </c>
      <c r="H4392" s="2" t="s">
        <v>20</v>
      </c>
      <c r="I4392" s="2" t="s">
        <v>21</v>
      </c>
      <c r="J4392" s="2" t="n">
        <v>17</v>
      </c>
      <c r="K4392" s="2" t="s">
        <v>32</v>
      </c>
      <c r="L4392" s="2" t="n">
        <v>57</v>
      </c>
      <c r="M4392" s="2" t="n">
        <v>1</v>
      </c>
      <c r="N4392" s="2" t="n">
        <v>-1</v>
      </c>
      <c r="O4392" s="2" t="n">
        <v>0</v>
      </c>
      <c r="P4392" s="2" t="s">
        <v>23</v>
      </c>
      <c r="Q4392" s="2" t="s">
        <v>20</v>
      </c>
    </row>
    <row r="4393" customFormat="false" ht="15" hidden="false" customHeight="false" outlineLevel="0" collapsed="false">
      <c r="A4393" s="2" t="n">
        <v>39</v>
      </c>
      <c r="B4393" s="2" t="s">
        <v>36</v>
      </c>
      <c r="C4393" s="2" t="s">
        <v>18</v>
      </c>
      <c r="D4393" s="2" t="s">
        <v>25</v>
      </c>
      <c r="E4393" s="2" t="s">
        <v>20</v>
      </c>
      <c r="F4393" s="2" t="n">
        <v>266</v>
      </c>
      <c r="G4393" s="2" t="s">
        <v>20</v>
      </c>
      <c r="H4393" s="2" t="s">
        <v>20</v>
      </c>
      <c r="I4393" s="2" t="s">
        <v>21</v>
      </c>
      <c r="J4393" s="2" t="n">
        <v>11</v>
      </c>
      <c r="K4393" s="2" t="s">
        <v>27</v>
      </c>
      <c r="L4393" s="2" t="n">
        <v>102</v>
      </c>
      <c r="M4393" s="2" t="n">
        <v>2</v>
      </c>
      <c r="N4393" s="2" t="n">
        <v>-1</v>
      </c>
      <c r="O4393" s="2" t="n">
        <v>0</v>
      </c>
      <c r="P4393" s="2" t="s">
        <v>23</v>
      </c>
      <c r="Q4393" s="2" t="s">
        <v>20</v>
      </c>
    </row>
    <row r="4394" customFormat="false" ht="15" hidden="false" customHeight="false" outlineLevel="0" collapsed="false">
      <c r="A4394" s="2" t="n">
        <v>50</v>
      </c>
      <c r="B4394" s="2" t="s">
        <v>17</v>
      </c>
      <c r="C4394" s="2" t="s">
        <v>18</v>
      </c>
      <c r="D4394" s="2" t="s">
        <v>25</v>
      </c>
      <c r="E4394" s="2" t="s">
        <v>20</v>
      </c>
      <c r="F4394" s="2" t="n">
        <v>3357</v>
      </c>
      <c r="G4394" s="2" t="s">
        <v>20</v>
      </c>
      <c r="H4394" s="2" t="s">
        <v>20</v>
      </c>
      <c r="I4394" s="2" t="s">
        <v>21</v>
      </c>
      <c r="J4394" s="2" t="n">
        <v>9</v>
      </c>
      <c r="K4394" s="2" t="s">
        <v>33</v>
      </c>
      <c r="L4394" s="2" t="n">
        <v>239</v>
      </c>
      <c r="M4394" s="2" t="n">
        <v>4</v>
      </c>
      <c r="N4394" s="2" t="n">
        <v>-1</v>
      </c>
      <c r="O4394" s="2" t="n">
        <v>0</v>
      </c>
      <c r="P4394" s="2" t="s">
        <v>23</v>
      </c>
      <c r="Q4394" s="2" t="s">
        <v>26</v>
      </c>
    </row>
    <row r="4395" customFormat="false" ht="15" hidden="false" customHeight="false" outlineLevel="0" collapsed="false">
      <c r="A4395" s="2" t="n">
        <v>30</v>
      </c>
      <c r="B4395" s="2" t="s">
        <v>38</v>
      </c>
      <c r="C4395" s="2" t="s">
        <v>18</v>
      </c>
      <c r="D4395" s="2" t="s">
        <v>31</v>
      </c>
      <c r="E4395" s="2" t="s">
        <v>20</v>
      </c>
      <c r="F4395" s="2" t="n">
        <v>101</v>
      </c>
      <c r="G4395" s="2" t="s">
        <v>26</v>
      </c>
      <c r="H4395" s="2" t="s">
        <v>26</v>
      </c>
      <c r="I4395" s="2" t="s">
        <v>21</v>
      </c>
      <c r="J4395" s="2" t="n">
        <v>7</v>
      </c>
      <c r="K4395" s="2" t="s">
        <v>44</v>
      </c>
      <c r="L4395" s="2" t="n">
        <v>187</v>
      </c>
      <c r="M4395" s="2" t="n">
        <v>3</v>
      </c>
      <c r="N4395" s="2" t="n">
        <v>-1</v>
      </c>
      <c r="O4395" s="2" t="n">
        <v>0</v>
      </c>
      <c r="P4395" s="2" t="s">
        <v>23</v>
      </c>
      <c r="Q4395" s="2" t="s">
        <v>20</v>
      </c>
    </row>
    <row r="4396" customFormat="false" ht="15" hidden="false" customHeight="false" outlineLevel="0" collapsed="false">
      <c r="A4396" s="2" t="n">
        <v>43</v>
      </c>
      <c r="B4396" s="2" t="s">
        <v>34</v>
      </c>
      <c r="C4396" s="2" t="s">
        <v>18</v>
      </c>
      <c r="D4396" s="2" t="s">
        <v>25</v>
      </c>
      <c r="E4396" s="2" t="s">
        <v>20</v>
      </c>
      <c r="F4396" s="2" t="n">
        <v>10910</v>
      </c>
      <c r="G4396" s="2" t="s">
        <v>26</v>
      </c>
      <c r="H4396" s="2" t="s">
        <v>20</v>
      </c>
      <c r="I4396" s="2" t="s">
        <v>21</v>
      </c>
      <c r="J4396" s="2" t="n">
        <v>15</v>
      </c>
      <c r="K4396" s="2" t="s">
        <v>27</v>
      </c>
      <c r="L4396" s="2" t="n">
        <v>66</v>
      </c>
      <c r="M4396" s="2" t="n">
        <v>2</v>
      </c>
      <c r="N4396" s="2" t="n">
        <v>-1</v>
      </c>
      <c r="O4396" s="2" t="n">
        <v>0</v>
      </c>
      <c r="P4396" s="2" t="s">
        <v>23</v>
      </c>
      <c r="Q4396" s="2" t="s">
        <v>20</v>
      </c>
    </row>
    <row r="4397" customFormat="false" ht="15" hidden="false" customHeight="false" outlineLevel="0" collapsed="false">
      <c r="A4397" s="2" t="n">
        <v>49</v>
      </c>
      <c r="B4397" s="2" t="s">
        <v>34</v>
      </c>
      <c r="C4397" s="2" t="s">
        <v>18</v>
      </c>
      <c r="D4397" s="2" t="s">
        <v>25</v>
      </c>
      <c r="E4397" s="2" t="s">
        <v>20</v>
      </c>
      <c r="F4397" s="2" t="n">
        <v>1568</v>
      </c>
      <c r="G4397" s="2" t="s">
        <v>20</v>
      </c>
      <c r="H4397" s="2" t="s">
        <v>20</v>
      </c>
      <c r="I4397" s="2" t="s">
        <v>23</v>
      </c>
      <c r="J4397" s="2" t="n">
        <v>21</v>
      </c>
      <c r="K4397" s="2" t="s">
        <v>27</v>
      </c>
      <c r="L4397" s="2" t="n">
        <v>206</v>
      </c>
      <c r="M4397" s="2" t="n">
        <v>6</v>
      </c>
      <c r="N4397" s="2" t="n">
        <v>-1</v>
      </c>
      <c r="O4397" s="2" t="n">
        <v>0</v>
      </c>
      <c r="P4397" s="2" t="s">
        <v>23</v>
      </c>
      <c r="Q4397" s="2" t="s">
        <v>20</v>
      </c>
    </row>
    <row r="4398" customFormat="false" ht="15" hidden="false" customHeight="false" outlineLevel="0" collapsed="false">
      <c r="A4398" s="2" t="n">
        <v>41</v>
      </c>
      <c r="B4398" s="2" t="s">
        <v>48</v>
      </c>
      <c r="C4398" s="2" t="s">
        <v>30</v>
      </c>
      <c r="D4398" s="2" t="s">
        <v>19</v>
      </c>
      <c r="E4398" s="2" t="s">
        <v>20</v>
      </c>
      <c r="F4398" s="2" t="n">
        <v>0</v>
      </c>
      <c r="G4398" s="2" t="s">
        <v>20</v>
      </c>
      <c r="H4398" s="2" t="s">
        <v>20</v>
      </c>
      <c r="I4398" s="2" t="s">
        <v>21</v>
      </c>
      <c r="J4398" s="2" t="n">
        <v>8</v>
      </c>
      <c r="K4398" s="2" t="s">
        <v>27</v>
      </c>
      <c r="L4398" s="2" t="n">
        <v>239</v>
      </c>
      <c r="M4398" s="2" t="n">
        <v>1</v>
      </c>
      <c r="N4398" s="2" t="n">
        <v>368</v>
      </c>
      <c r="O4398" s="2" t="n">
        <v>2</v>
      </c>
      <c r="P4398" s="2" t="s">
        <v>28</v>
      </c>
      <c r="Q4398" s="2" t="s">
        <v>20</v>
      </c>
    </row>
    <row r="4399" customFormat="false" ht="15" hidden="false" customHeight="false" outlineLevel="0" collapsed="false">
      <c r="A4399" s="2" t="n">
        <v>35</v>
      </c>
      <c r="B4399" s="2" t="s">
        <v>34</v>
      </c>
      <c r="C4399" s="2" t="s">
        <v>18</v>
      </c>
      <c r="D4399" s="2" t="s">
        <v>25</v>
      </c>
      <c r="E4399" s="2" t="s">
        <v>20</v>
      </c>
      <c r="F4399" s="2" t="n">
        <v>305</v>
      </c>
      <c r="G4399" s="2" t="s">
        <v>26</v>
      </c>
      <c r="H4399" s="2" t="s">
        <v>20</v>
      </c>
      <c r="I4399" s="2" t="s">
        <v>21</v>
      </c>
      <c r="J4399" s="2" t="n">
        <v>18</v>
      </c>
      <c r="K4399" s="2" t="s">
        <v>27</v>
      </c>
      <c r="L4399" s="2" t="n">
        <v>7</v>
      </c>
      <c r="M4399" s="2" t="n">
        <v>7</v>
      </c>
      <c r="N4399" s="2" t="n">
        <v>367</v>
      </c>
      <c r="O4399" s="2" t="n">
        <v>25</v>
      </c>
      <c r="P4399" s="2" t="s">
        <v>28</v>
      </c>
      <c r="Q4399" s="2" t="s">
        <v>20</v>
      </c>
    </row>
    <row r="4400" customFormat="false" ht="15" hidden="false" customHeight="false" outlineLevel="0" collapsed="false">
      <c r="A4400" s="2" t="n">
        <v>57</v>
      </c>
      <c r="B4400" s="2" t="s">
        <v>48</v>
      </c>
      <c r="C4400" s="2" t="s">
        <v>18</v>
      </c>
      <c r="D4400" s="2" t="s">
        <v>31</v>
      </c>
      <c r="E4400" s="2" t="s">
        <v>20</v>
      </c>
      <c r="F4400" s="2" t="n">
        <v>31</v>
      </c>
      <c r="G4400" s="2" t="s">
        <v>20</v>
      </c>
      <c r="H4400" s="2" t="s">
        <v>20</v>
      </c>
      <c r="I4400" s="2" t="s">
        <v>21</v>
      </c>
      <c r="J4400" s="2" t="n">
        <v>19</v>
      </c>
      <c r="K4400" s="2" t="s">
        <v>41</v>
      </c>
      <c r="L4400" s="2" t="n">
        <v>260</v>
      </c>
      <c r="M4400" s="2" t="n">
        <v>2</v>
      </c>
      <c r="N4400" s="2" t="n">
        <v>-1</v>
      </c>
      <c r="O4400" s="2" t="n">
        <v>0</v>
      </c>
      <c r="P4400" s="2" t="s">
        <v>23</v>
      </c>
      <c r="Q4400" s="2" t="s">
        <v>20</v>
      </c>
    </row>
    <row r="4401" customFormat="false" ht="15" hidden="false" customHeight="false" outlineLevel="0" collapsed="false">
      <c r="A4401" s="2" t="n">
        <v>29</v>
      </c>
      <c r="B4401" s="2" t="s">
        <v>39</v>
      </c>
      <c r="C4401" s="2" t="s">
        <v>18</v>
      </c>
      <c r="D4401" s="2" t="s">
        <v>25</v>
      </c>
      <c r="E4401" s="2" t="s">
        <v>20</v>
      </c>
      <c r="F4401" s="2" t="n">
        <v>452</v>
      </c>
      <c r="G4401" s="2" t="s">
        <v>26</v>
      </c>
      <c r="H4401" s="2" t="s">
        <v>20</v>
      </c>
      <c r="I4401" s="2" t="s">
        <v>23</v>
      </c>
      <c r="J4401" s="2" t="n">
        <v>27</v>
      </c>
      <c r="K4401" s="2" t="s">
        <v>27</v>
      </c>
      <c r="L4401" s="2" t="n">
        <v>347</v>
      </c>
      <c r="M4401" s="2" t="n">
        <v>1</v>
      </c>
      <c r="N4401" s="2" t="n">
        <v>-1</v>
      </c>
      <c r="O4401" s="2" t="n">
        <v>0</v>
      </c>
      <c r="P4401" s="2" t="s">
        <v>23</v>
      </c>
      <c r="Q4401" s="2" t="s">
        <v>20</v>
      </c>
    </row>
    <row r="4402" customFormat="false" ht="15" hidden="false" customHeight="false" outlineLevel="0" collapsed="false">
      <c r="A4402" s="2" t="n">
        <v>48</v>
      </c>
      <c r="B4402" s="2" t="s">
        <v>40</v>
      </c>
      <c r="C4402" s="2" t="s">
        <v>18</v>
      </c>
      <c r="D4402" s="2" t="s">
        <v>25</v>
      </c>
      <c r="E4402" s="2" t="s">
        <v>20</v>
      </c>
      <c r="F4402" s="2" t="n">
        <v>5</v>
      </c>
      <c r="G4402" s="2" t="s">
        <v>26</v>
      </c>
      <c r="H4402" s="2" t="s">
        <v>20</v>
      </c>
      <c r="I4402" s="2" t="s">
        <v>23</v>
      </c>
      <c r="J4402" s="2" t="n">
        <v>7</v>
      </c>
      <c r="K4402" s="2" t="s">
        <v>27</v>
      </c>
      <c r="L4402" s="2" t="n">
        <v>697</v>
      </c>
      <c r="M4402" s="2" t="n">
        <v>2</v>
      </c>
      <c r="N4402" s="2" t="n">
        <v>-1</v>
      </c>
      <c r="O4402" s="2" t="n">
        <v>0</v>
      </c>
      <c r="P4402" s="2" t="s">
        <v>23</v>
      </c>
      <c r="Q4402" s="2" t="s">
        <v>20</v>
      </c>
    </row>
    <row r="4403" customFormat="false" ht="15" hidden="false" customHeight="false" outlineLevel="0" collapsed="false">
      <c r="A4403" s="2" t="n">
        <v>38</v>
      </c>
      <c r="B4403" s="2" t="s">
        <v>39</v>
      </c>
      <c r="C4403" s="2" t="s">
        <v>45</v>
      </c>
      <c r="D4403" s="2" t="s">
        <v>31</v>
      </c>
      <c r="E4403" s="2" t="s">
        <v>20</v>
      </c>
      <c r="F4403" s="2" t="n">
        <v>7929</v>
      </c>
      <c r="G4403" s="2" t="s">
        <v>20</v>
      </c>
      <c r="H4403" s="2" t="s">
        <v>20</v>
      </c>
      <c r="I4403" s="2" t="s">
        <v>21</v>
      </c>
      <c r="J4403" s="2" t="n">
        <v>8</v>
      </c>
      <c r="K4403" s="2" t="s">
        <v>44</v>
      </c>
      <c r="L4403" s="2" t="n">
        <v>182</v>
      </c>
      <c r="M4403" s="2" t="n">
        <v>3</v>
      </c>
      <c r="N4403" s="2" t="n">
        <v>-1</v>
      </c>
      <c r="O4403" s="2" t="n">
        <v>0</v>
      </c>
      <c r="P4403" s="2" t="s">
        <v>23</v>
      </c>
      <c r="Q4403" s="2" t="s">
        <v>20</v>
      </c>
    </row>
    <row r="4404" customFormat="false" ht="15" hidden="false" customHeight="false" outlineLevel="0" collapsed="false">
      <c r="A4404" s="2" t="n">
        <v>41</v>
      </c>
      <c r="B4404" s="2" t="s">
        <v>39</v>
      </c>
      <c r="C4404" s="2" t="s">
        <v>18</v>
      </c>
      <c r="D4404" s="2" t="s">
        <v>19</v>
      </c>
      <c r="E4404" s="2" t="s">
        <v>20</v>
      </c>
      <c r="F4404" s="2" t="n">
        <v>39</v>
      </c>
      <c r="G4404" s="2" t="s">
        <v>26</v>
      </c>
      <c r="H4404" s="2" t="s">
        <v>20</v>
      </c>
      <c r="I4404" s="2" t="s">
        <v>21</v>
      </c>
      <c r="J4404" s="2" t="n">
        <v>21</v>
      </c>
      <c r="K4404" s="2" t="s">
        <v>46</v>
      </c>
      <c r="L4404" s="2" t="n">
        <v>549</v>
      </c>
      <c r="M4404" s="2" t="n">
        <v>2</v>
      </c>
      <c r="N4404" s="2" t="n">
        <v>-1</v>
      </c>
      <c r="O4404" s="2" t="n">
        <v>0</v>
      </c>
      <c r="P4404" s="2" t="s">
        <v>23</v>
      </c>
      <c r="Q4404" s="2" t="s">
        <v>26</v>
      </c>
    </row>
    <row r="4405" customFormat="false" ht="15" hidden="false" customHeight="false" outlineLevel="0" collapsed="false">
      <c r="A4405" s="2" t="n">
        <v>39</v>
      </c>
      <c r="B4405" s="2" t="s">
        <v>47</v>
      </c>
      <c r="C4405" s="2" t="s">
        <v>18</v>
      </c>
      <c r="D4405" s="2" t="s">
        <v>19</v>
      </c>
      <c r="E4405" s="2" t="s">
        <v>20</v>
      </c>
      <c r="F4405" s="2" t="n">
        <v>267</v>
      </c>
      <c r="G4405" s="2" t="s">
        <v>20</v>
      </c>
      <c r="H4405" s="2" t="s">
        <v>20</v>
      </c>
      <c r="I4405" s="2" t="s">
        <v>23</v>
      </c>
      <c r="J4405" s="2" t="n">
        <v>9</v>
      </c>
      <c r="K4405" s="2" t="s">
        <v>33</v>
      </c>
      <c r="L4405" s="2" t="n">
        <v>1151</v>
      </c>
      <c r="M4405" s="2" t="n">
        <v>5</v>
      </c>
      <c r="N4405" s="2" t="n">
        <v>-1</v>
      </c>
      <c r="O4405" s="2" t="n">
        <v>0</v>
      </c>
      <c r="P4405" s="2" t="s">
        <v>23</v>
      </c>
      <c r="Q4405" s="2" t="s">
        <v>20</v>
      </c>
    </row>
    <row r="4406" customFormat="false" ht="15" hidden="false" customHeight="false" outlineLevel="0" collapsed="false">
      <c r="A4406" s="2" t="n">
        <v>31</v>
      </c>
      <c r="B4406" s="2" t="s">
        <v>29</v>
      </c>
      <c r="C4406" s="2" t="s">
        <v>18</v>
      </c>
      <c r="D4406" s="2" t="s">
        <v>31</v>
      </c>
      <c r="E4406" s="2" t="s">
        <v>20</v>
      </c>
      <c r="F4406" s="2" t="n">
        <v>4945</v>
      </c>
      <c r="G4406" s="2" t="s">
        <v>20</v>
      </c>
      <c r="H4406" s="2" t="s">
        <v>20</v>
      </c>
      <c r="I4406" s="2" t="s">
        <v>21</v>
      </c>
      <c r="J4406" s="2" t="n">
        <v>11</v>
      </c>
      <c r="K4406" s="2" t="s">
        <v>41</v>
      </c>
      <c r="L4406" s="2" t="n">
        <v>445</v>
      </c>
      <c r="M4406" s="2" t="n">
        <v>1</v>
      </c>
      <c r="N4406" s="2" t="n">
        <v>-1</v>
      </c>
      <c r="O4406" s="2" t="n">
        <v>0</v>
      </c>
      <c r="P4406" s="2" t="s">
        <v>23</v>
      </c>
      <c r="Q4406" s="2" t="s">
        <v>20</v>
      </c>
    </row>
    <row r="4407" customFormat="false" ht="15" hidden="false" customHeight="false" outlineLevel="0" collapsed="false">
      <c r="A4407" s="2" t="n">
        <v>51</v>
      </c>
      <c r="B4407" s="2" t="s">
        <v>38</v>
      </c>
      <c r="C4407" s="2" t="s">
        <v>18</v>
      </c>
      <c r="D4407" s="2" t="s">
        <v>25</v>
      </c>
      <c r="E4407" s="2" t="s">
        <v>20</v>
      </c>
      <c r="F4407" s="2" t="n">
        <v>463</v>
      </c>
      <c r="G4407" s="2" t="s">
        <v>26</v>
      </c>
      <c r="H4407" s="2" t="s">
        <v>20</v>
      </c>
      <c r="I4407" s="2" t="s">
        <v>23</v>
      </c>
      <c r="J4407" s="2" t="n">
        <v>13</v>
      </c>
      <c r="K4407" s="2" t="s">
        <v>27</v>
      </c>
      <c r="L4407" s="2" t="n">
        <v>213</v>
      </c>
      <c r="M4407" s="2" t="n">
        <v>5</v>
      </c>
      <c r="N4407" s="2" t="n">
        <v>-1</v>
      </c>
      <c r="O4407" s="2" t="n">
        <v>0</v>
      </c>
      <c r="P4407" s="2" t="s">
        <v>23</v>
      </c>
      <c r="Q4407" s="2" t="s">
        <v>20</v>
      </c>
    </row>
    <row r="4408" customFormat="false" ht="15" hidden="false" customHeight="false" outlineLevel="0" collapsed="false">
      <c r="A4408" s="2" t="n">
        <v>35</v>
      </c>
      <c r="B4408" s="2" t="s">
        <v>17</v>
      </c>
      <c r="C4408" s="2" t="s">
        <v>30</v>
      </c>
      <c r="D4408" s="2" t="s">
        <v>25</v>
      </c>
      <c r="E4408" s="2" t="s">
        <v>20</v>
      </c>
      <c r="F4408" s="2" t="n">
        <v>2116</v>
      </c>
      <c r="G4408" s="2" t="s">
        <v>26</v>
      </c>
      <c r="H4408" s="2" t="s">
        <v>20</v>
      </c>
      <c r="I4408" s="2" t="s">
        <v>21</v>
      </c>
      <c r="J4408" s="2" t="n">
        <v>13</v>
      </c>
      <c r="K4408" s="2" t="s">
        <v>27</v>
      </c>
      <c r="L4408" s="2" t="n">
        <v>409</v>
      </c>
      <c r="M4408" s="2" t="n">
        <v>2</v>
      </c>
      <c r="N4408" s="2" t="n">
        <v>-1</v>
      </c>
      <c r="O4408" s="2" t="n">
        <v>0</v>
      </c>
      <c r="P4408" s="2" t="s">
        <v>23</v>
      </c>
      <c r="Q4408" s="2" t="s">
        <v>20</v>
      </c>
    </row>
    <row r="4409" customFormat="false" ht="15" hidden="false" customHeight="false" outlineLevel="0" collapsed="false">
      <c r="A4409" s="2" t="n">
        <v>45</v>
      </c>
      <c r="B4409" s="2" t="s">
        <v>40</v>
      </c>
      <c r="C4409" s="2" t="s">
        <v>45</v>
      </c>
      <c r="D4409" s="2" t="s">
        <v>25</v>
      </c>
      <c r="E4409" s="2" t="s">
        <v>20</v>
      </c>
      <c r="F4409" s="2" t="n">
        <v>59</v>
      </c>
      <c r="G4409" s="2" t="s">
        <v>26</v>
      </c>
      <c r="H4409" s="2" t="s">
        <v>20</v>
      </c>
      <c r="I4409" s="2" t="s">
        <v>21</v>
      </c>
      <c r="J4409" s="2" t="n">
        <v>24</v>
      </c>
      <c r="K4409" s="2" t="s">
        <v>44</v>
      </c>
      <c r="L4409" s="2" t="n">
        <v>873</v>
      </c>
      <c r="M4409" s="2" t="n">
        <v>8</v>
      </c>
      <c r="N4409" s="2" t="n">
        <v>-1</v>
      </c>
      <c r="O4409" s="2" t="n">
        <v>0</v>
      </c>
      <c r="P4409" s="2" t="s">
        <v>23</v>
      </c>
      <c r="Q4409" s="2" t="s">
        <v>26</v>
      </c>
    </row>
    <row r="4410" customFormat="false" ht="15" hidden="false" customHeight="false" outlineLevel="0" collapsed="false">
      <c r="A4410" s="2" t="n">
        <v>28</v>
      </c>
      <c r="B4410" s="2" t="s">
        <v>34</v>
      </c>
      <c r="C4410" s="2" t="s">
        <v>18</v>
      </c>
      <c r="D4410" s="2" t="s">
        <v>25</v>
      </c>
      <c r="E4410" s="2" t="s">
        <v>20</v>
      </c>
      <c r="F4410" s="2" t="n">
        <v>131</v>
      </c>
      <c r="G4410" s="2" t="s">
        <v>26</v>
      </c>
      <c r="H4410" s="2" t="s">
        <v>20</v>
      </c>
      <c r="I4410" s="2" t="s">
        <v>23</v>
      </c>
      <c r="J4410" s="2" t="n">
        <v>12</v>
      </c>
      <c r="K4410" s="2" t="s">
        <v>27</v>
      </c>
      <c r="L4410" s="2" t="n">
        <v>147</v>
      </c>
      <c r="M4410" s="2" t="n">
        <v>5</v>
      </c>
      <c r="N4410" s="2" t="n">
        <v>-1</v>
      </c>
      <c r="O4410" s="2" t="n">
        <v>0</v>
      </c>
      <c r="P4410" s="2" t="s">
        <v>23</v>
      </c>
      <c r="Q4410" s="2" t="s">
        <v>20</v>
      </c>
    </row>
    <row r="4411" customFormat="false" ht="15" hidden="false" customHeight="false" outlineLevel="0" collapsed="false">
      <c r="A4411" s="2" t="n">
        <v>57</v>
      </c>
      <c r="B4411" s="2" t="s">
        <v>48</v>
      </c>
      <c r="C4411" s="2" t="s">
        <v>18</v>
      </c>
      <c r="D4411" s="2" t="s">
        <v>25</v>
      </c>
      <c r="E4411" s="2" t="s">
        <v>20</v>
      </c>
      <c r="F4411" s="2" t="n">
        <v>107</v>
      </c>
      <c r="G4411" s="2" t="s">
        <v>20</v>
      </c>
      <c r="H4411" s="2" t="s">
        <v>20</v>
      </c>
      <c r="I4411" s="2" t="s">
        <v>21</v>
      </c>
      <c r="J4411" s="2" t="n">
        <v>14</v>
      </c>
      <c r="K4411" s="2" t="s">
        <v>44</v>
      </c>
      <c r="L4411" s="2" t="n">
        <v>85</v>
      </c>
      <c r="M4411" s="2" t="n">
        <v>2</v>
      </c>
      <c r="N4411" s="2" t="n">
        <v>-1</v>
      </c>
      <c r="O4411" s="2" t="n">
        <v>0</v>
      </c>
      <c r="P4411" s="2" t="s">
        <v>23</v>
      </c>
      <c r="Q4411" s="2" t="s">
        <v>20</v>
      </c>
    </row>
    <row r="4412" customFormat="false" ht="15" hidden="false" customHeight="false" outlineLevel="0" collapsed="false">
      <c r="A4412" s="2" t="n">
        <v>36</v>
      </c>
      <c r="B4412" s="2" t="s">
        <v>17</v>
      </c>
      <c r="C4412" s="2" t="s">
        <v>18</v>
      </c>
      <c r="D4412" s="2" t="s">
        <v>25</v>
      </c>
      <c r="E4412" s="2" t="s">
        <v>20</v>
      </c>
      <c r="F4412" s="2" t="n">
        <v>-35</v>
      </c>
      <c r="G4412" s="2" t="s">
        <v>20</v>
      </c>
      <c r="H4412" s="2" t="s">
        <v>20</v>
      </c>
      <c r="I4412" s="2" t="s">
        <v>21</v>
      </c>
      <c r="J4412" s="2" t="n">
        <v>30</v>
      </c>
      <c r="K4412" s="2" t="s">
        <v>43</v>
      </c>
      <c r="L4412" s="2" t="n">
        <v>339</v>
      </c>
      <c r="M4412" s="2" t="n">
        <v>3</v>
      </c>
      <c r="N4412" s="2" t="n">
        <v>-1</v>
      </c>
      <c r="O4412" s="2" t="n">
        <v>0</v>
      </c>
      <c r="P4412" s="2" t="s">
        <v>23</v>
      </c>
      <c r="Q4412" s="2" t="s">
        <v>20</v>
      </c>
    </row>
    <row r="4413" customFormat="false" ht="15" hidden="false" customHeight="false" outlineLevel="0" collapsed="false">
      <c r="A4413" s="2" t="n">
        <v>49</v>
      </c>
      <c r="B4413" s="2" t="s">
        <v>38</v>
      </c>
      <c r="C4413" s="2" t="s">
        <v>18</v>
      </c>
      <c r="D4413" s="2" t="s">
        <v>19</v>
      </c>
      <c r="E4413" s="2" t="s">
        <v>20</v>
      </c>
      <c r="F4413" s="2" t="n">
        <v>230</v>
      </c>
      <c r="G4413" s="2" t="s">
        <v>26</v>
      </c>
      <c r="H4413" s="2" t="s">
        <v>20</v>
      </c>
      <c r="I4413" s="2" t="s">
        <v>23</v>
      </c>
      <c r="J4413" s="2" t="n">
        <v>8</v>
      </c>
      <c r="K4413" s="2" t="s">
        <v>27</v>
      </c>
      <c r="L4413" s="2" t="n">
        <v>96</v>
      </c>
      <c r="M4413" s="2" t="n">
        <v>1</v>
      </c>
      <c r="N4413" s="2" t="n">
        <v>-1</v>
      </c>
      <c r="O4413" s="2" t="n">
        <v>0</v>
      </c>
      <c r="P4413" s="2" t="s">
        <v>23</v>
      </c>
      <c r="Q4413" s="2" t="s">
        <v>20</v>
      </c>
    </row>
    <row r="4414" customFormat="false" ht="15" hidden="false" customHeight="false" outlineLevel="0" collapsed="false">
      <c r="A4414" s="2" t="n">
        <v>34</v>
      </c>
      <c r="B4414" s="2" t="s">
        <v>29</v>
      </c>
      <c r="C4414" s="2" t="s">
        <v>30</v>
      </c>
      <c r="D4414" s="2" t="s">
        <v>31</v>
      </c>
      <c r="E4414" s="2" t="s">
        <v>20</v>
      </c>
      <c r="F4414" s="2" t="n">
        <v>2679</v>
      </c>
      <c r="G4414" s="2" t="s">
        <v>26</v>
      </c>
      <c r="H4414" s="2" t="s">
        <v>20</v>
      </c>
      <c r="I4414" s="2" t="s">
        <v>21</v>
      </c>
      <c r="J4414" s="2" t="n">
        <v>7</v>
      </c>
      <c r="K4414" s="2" t="s">
        <v>27</v>
      </c>
      <c r="L4414" s="2" t="n">
        <v>195</v>
      </c>
      <c r="M4414" s="2" t="n">
        <v>1</v>
      </c>
      <c r="N4414" s="2" t="n">
        <v>-1</v>
      </c>
      <c r="O4414" s="2" t="n">
        <v>0</v>
      </c>
      <c r="P4414" s="2" t="s">
        <v>23</v>
      </c>
      <c r="Q4414" s="2" t="s">
        <v>20</v>
      </c>
    </row>
    <row r="4415" customFormat="false" ht="15" hidden="false" customHeight="false" outlineLevel="0" collapsed="false">
      <c r="A4415" s="2" t="n">
        <v>65</v>
      </c>
      <c r="B4415" s="2" t="s">
        <v>48</v>
      </c>
      <c r="C4415" s="2" t="s">
        <v>18</v>
      </c>
      <c r="D4415" s="2" t="s">
        <v>19</v>
      </c>
      <c r="E4415" s="2" t="s">
        <v>20</v>
      </c>
      <c r="F4415" s="2" t="n">
        <v>493</v>
      </c>
      <c r="G4415" s="2" t="s">
        <v>20</v>
      </c>
      <c r="H4415" s="2" t="s">
        <v>20</v>
      </c>
      <c r="I4415" s="2" t="s">
        <v>21</v>
      </c>
      <c r="J4415" s="2" t="n">
        <v>16</v>
      </c>
      <c r="K4415" s="2" t="s">
        <v>22</v>
      </c>
      <c r="L4415" s="2" t="n">
        <v>622</v>
      </c>
      <c r="M4415" s="2" t="n">
        <v>1</v>
      </c>
      <c r="N4415" s="2" t="n">
        <v>182</v>
      </c>
      <c r="O4415" s="2" t="n">
        <v>1</v>
      </c>
      <c r="P4415" s="2" t="s">
        <v>28</v>
      </c>
      <c r="Q4415" s="2" t="s">
        <v>20</v>
      </c>
    </row>
    <row r="4416" customFormat="false" ht="15" hidden="false" customHeight="false" outlineLevel="0" collapsed="false">
      <c r="A4416" s="2" t="n">
        <v>26</v>
      </c>
      <c r="B4416" s="2" t="s">
        <v>24</v>
      </c>
      <c r="C4416" s="2" t="s">
        <v>30</v>
      </c>
      <c r="D4416" s="2" t="s">
        <v>25</v>
      </c>
      <c r="E4416" s="2" t="s">
        <v>20</v>
      </c>
      <c r="F4416" s="2" t="n">
        <v>256</v>
      </c>
      <c r="G4416" s="2" t="s">
        <v>26</v>
      </c>
      <c r="H4416" s="2" t="s">
        <v>20</v>
      </c>
      <c r="I4416" s="2" t="s">
        <v>21</v>
      </c>
      <c r="J4416" s="2" t="n">
        <v>4</v>
      </c>
      <c r="K4416" s="2" t="s">
        <v>27</v>
      </c>
      <c r="L4416" s="2" t="n">
        <v>101</v>
      </c>
      <c r="M4416" s="2" t="n">
        <v>2</v>
      </c>
      <c r="N4416" s="2" t="n">
        <v>-1</v>
      </c>
      <c r="O4416" s="2" t="n">
        <v>0</v>
      </c>
      <c r="P4416" s="2" t="s">
        <v>23</v>
      </c>
      <c r="Q4416" s="2" t="s">
        <v>20</v>
      </c>
    </row>
    <row r="4417" customFormat="false" ht="15" hidden="false" customHeight="false" outlineLevel="0" collapsed="false">
      <c r="A4417" s="2" t="n">
        <v>52</v>
      </c>
      <c r="B4417" s="2" t="s">
        <v>34</v>
      </c>
      <c r="C4417" s="2" t="s">
        <v>18</v>
      </c>
      <c r="D4417" s="2" t="s">
        <v>19</v>
      </c>
      <c r="E4417" s="2" t="s">
        <v>20</v>
      </c>
      <c r="F4417" s="2" t="n">
        <v>-133</v>
      </c>
      <c r="G4417" s="2" t="s">
        <v>20</v>
      </c>
      <c r="H4417" s="2" t="s">
        <v>20</v>
      </c>
      <c r="I4417" s="2" t="s">
        <v>23</v>
      </c>
      <c r="J4417" s="2" t="n">
        <v>5</v>
      </c>
      <c r="K4417" s="2" t="s">
        <v>33</v>
      </c>
      <c r="L4417" s="2" t="n">
        <v>96</v>
      </c>
      <c r="M4417" s="2" t="n">
        <v>2</v>
      </c>
      <c r="N4417" s="2" t="n">
        <v>-1</v>
      </c>
      <c r="O4417" s="2" t="n">
        <v>0</v>
      </c>
      <c r="P4417" s="2" t="s">
        <v>23</v>
      </c>
      <c r="Q4417" s="2" t="s">
        <v>20</v>
      </c>
    </row>
    <row r="4418" customFormat="false" ht="15" hidden="false" customHeight="false" outlineLevel="0" collapsed="false">
      <c r="A4418" s="2" t="n">
        <v>32</v>
      </c>
      <c r="B4418" s="2" t="s">
        <v>34</v>
      </c>
      <c r="C4418" s="2" t="s">
        <v>30</v>
      </c>
      <c r="D4418" s="2" t="s">
        <v>25</v>
      </c>
      <c r="E4418" s="2" t="s">
        <v>20</v>
      </c>
      <c r="F4418" s="2" t="n">
        <v>811</v>
      </c>
      <c r="G4418" s="2" t="s">
        <v>26</v>
      </c>
      <c r="H4418" s="2" t="s">
        <v>20</v>
      </c>
      <c r="I4418" s="2" t="s">
        <v>21</v>
      </c>
      <c r="J4418" s="2" t="n">
        <v>14</v>
      </c>
      <c r="K4418" s="2" t="s">
        <v>27</v>
      </c>
      <c r="L4418" s="2" t="n">
        <v>563</v>
      </c>
      <c r="M4418" s="2" t="n">
        <v>1</v>
      </c>
      <c r="N4418" s="2" t="n">
        <v>-1</v>
      </c>
      <c r="O4418" s="2" t="n">
        <v>0</v>
      </c>
      <c r="P4418" s="2" t="s">
        <v>23</v>
      </c>
      <c r="Q4418" s="2" t="s">
        <v>26</v>
      </c>
    </row>
    <row r="4419" customFormat="false" ht="15" hidden="false" customHeight="false" outlineLevel="0" collapsed="false">
      <c r="A4419" s="2" t="n">
        <v>33</v>
      </c>
      <c r="B4419" s="2" t="s">
        <v>17</v>
      </c>
      <c r="C4419" s="2" t="s">
        <v>18</v>
      </c>
      <c r="D4419" s="2" t="s">
        <v>31</v>
      </c>
      <c r="E4419" s="2" t="s">
        <v>20</v>
      </c>
      <c r="F4419" s="2" t="n">
        <v>302</v>
      </c>
      <c r="G4419" s="2" t="s">
        <v>26</v>
      </c>
      <c r="H4419" s="2" t="s">
        <v>26</v>
      </c>
      <c r="I4419" s="2" t="s">
        <v>21</v>
      </c>
      <c r="J4419" s="2" t="n">
        <v>16</v>
      </c>
      <c r="K4419" s="2" t="s">
        <v>32</v>
      </c>
      <c r="L4419" s="2" t="n">
        <v>670</v>
      </c>
      <c r="M4419" s="2" t="n">
        <v>1</v>
      </c>
      <c r="N4419" s="2" t="n">
        <v>-1</v>
      </c>
      <c r="O4419" s="2" t="n">
        <v>0</v>
      </c>
      <c r="P4419" s="2" t="s">
        <v>23</v>
      </c>
      <c r="Q4419" s="2" t="s">
        <v>20</v>
      </c>
    </row>
    <row r="4420" customFormat="false" ht="15" hidden="false" customHeight="false" outlineLevel="0" collapsed="false">
      <c r="A4420" s="2" t="n">
        <v>43</v>
      </c>
      <c r="B4420" s="2" t="s">
        <v>29</v>
      </c>
      <c r="C4420" s="2" t="s">
        <v>18</v>
      </c>
      <c r="D4420" s="2" t="s">
        <v>31</v>
      </c>
      <c r="E4420" s="2" t="s">
        <v>20</v>
      </c>
      <c r="F4420" s="2" t="n">
        <v>3529</v>
      </c>
      <c r="G4420" s="2" t="s">
        <v>26</v>
      </c>
      <c r="H4420" s="2" t="s">
        <v>20</v>
      </c>
      <c r="I4420" s="2" t="s">
        <v>21</v>
      </c>
      <c r="J4420" s="2" t="n">
        <v>4</v>
      </c>
      <c r="K4420" s="2" t="s">
        <v>41</v>
      </c>
      <c r="L4420" s="2" t="n">
        <v>190</v>
      </c>
      <c r="M4420" s="2" t="n">
        <v>3</v>
      </c>
      <c r="N4420" s="2" t="n">
        <v>-1</v>
      </c>
      <c r="O4420" s="2" t="n">
        <v>0</v>
      </c>
      <c r="P4420" s="2" t="s">
        <v>23</v>
      </c>
      <c r="Q4420" s="2" t="s">
        <v>20</v>
      </c>
    </row>
    <row r="4421" customFormat="false" ht="15" hidden="false" customHeight="false" outlineLevel="0" collapsed="false">
      <c r="A4421" s="2" t="n">
        <v>26</v>
      </c>
      <c r="B4421" s="2" t="s">
        <v>38</v>
      </c>
      <c r="C4421" s="2" t="s">
        <v>30</v>
      </c>
      <c r="D4421" s="2" t="s">
        <v>31</v>
      </c>
      <c r="E4421" s="2" t="s">
        <v>20</v>
      </c>
      <c r="F4421" s="2" t="n">
        <v>75</v>
      </c>
      <c r="G4421" s="2" t="s">
        <v>26</v>
      </c>
      <c r="H4421" s="2" t="s">
        <v>26</v>
      </c>
      <c r="I4421" s="2" t="s">
        <v>23</v>
      </c>
      <c r="J4421" s="2" t="n">
        <v>19</v>
      </c>
      <c r="K4421" s="2" t="s">
        <v>27</v>
      </c>
      <c r="L4421" s="2" t="n">
        <v>351</v>
      </c>
      <c r="M4421" s="2" t="n">
        <v>1</v>
      </c>
      <c r="N4421" s="2" t="n">
        <v>-1</v>
      </c>
      <c r="O4421" s="2" t="n">
        <v>0</v>
      </c>
      <c r="P4421" s="2" t="s">
        <v>23</v>
      </c>
      <c r="Q4421" s="2" t="s">
        <v>20</v>
      </c>
    </row>
    <row r="4422" customFormat="false" ht="15" hidden="false" customHeight="false" outlineLevel="0" collapsed="false">
      <c r="A4422" s="2" t="n">
        <v>45</v>
      </c>
      <c r="B4422" s="2" t="s">
        <v>38</v>
      </c>
      <c r="C4422" s="2" t="s">
        <v>18</v>
      </c>
      <c r="D4422" s="2" t="s">
        <v>25</v>
      </c>
      <c r="E4422" s="2" t="s">
        <v>20</v>
      </c>
      <c r="F4422" s="2" t="n">
        <v>999</v>
      </c>
      <c r="G4422" s="2" t="s">
        <v>26</v>
      </c>
      <c r="H4422" s="2" t="s">
        <v>20</v>
      </c>
      <c r="I4422" s="2" t="s">
        <v>21</v>
      </c>
      <c r="J4422" s="2" t="n">
        <v>20</v>
      </c>
      <c r="K4422" s="2" t="s">
        <v>46</v>
      </c>
      <c r="L4422" s="2" t="n">
        <v>215</v>
      </c>
      <c r="M4422" s="2" t="n">
        <v>6</v>
      </c>
      <c r="N4422" s="2" t="n">
        <v>188</v>
      </c>
      <c r="O4422" s="2" t="n">
        <v>2</v>
      </c>
      <c r="P4422" s="2" t="s">
        <v>28</v>
      </c>
      <c r="Q4422" s="2" t="s">
        <v>20</v>
      </c>
    </row>
    <row r="4423" customFormat="false" ht="15" hidden="false" customHeight="false" outlineLevel="0" collapsed="false">
      <c r="A4423" s="2" t="n">
        <v>30</v>
      </c>
      <c r="B4423" s="2" t="s">
        <v>29</v>
      </c>
      <c r="C4423" s="2" t="s">
        <v>30</v>
      </c>
      <c r="D4423" s="2" t="s">
        <v>31</v>
      </c>
      <c r="E4423" s="2" t="s">
        <v>20</v>
      </c>
      <c r="F4423" s="2" t="n">
        <v>7845</v>
      </c>
      <c r="G4423" s="2" t="s">
        <v>26</v>
      </c>
      <c r="H4423" s="2" t="s">
        <v>20</v>
      </c>
      <c r="I4423" s="2" t="s">
        <v>23</v>
      </c>
      <c r="J4423" s="2" t="n">
        <v>3</v>
      </c>
      <c r="K4423" s="2" t="s">
        <v>33</v>
      </c>
      <c r="L4423" s="2" t="n">
        <v>59</v>
      </c>
      <c r="M4423" s="2" t="n">
        <v>1</v>
      </c>
      <c r="N4423" s="2" t="n">
        <v>-1</v>
      </c>
      <c r="O4423" s="2" t="n">
        <v>0</v>
      </c>
      <c r="P4423" s="2" t="s">
        <v>23</v>
      </c>
      <c r="Q4423" s="2" t="s">
        <v>20</v>
      </c>
    </row>
    <row r="4424" customFormat="false" ht="15" hidden="false" customHeight="false" outlineLevel="0" collapsed="false">
      <c r="A4424" s="2" t="n">
        <v>37</v>
      </c>
      <c r="B4424" s="2" t="s">
        <v>24</v>
      </c>
      <c r="C4424" s="2" t="s">
        <v>45</v>
      </c>
      <c r="D4424" s="2" t="s">
        <v>19</v>
      </c>
      <c r="E4424" s="2" t="s">
        <v>20</v>
      </c>
      <c r="F4424" s="2" t="n">
        <v>260</v>
      </c>
      <c r="G4424" s="2" t="s">
        <v>26</v>
      </c>
      <c r="H4424" s="2" t="s">
        <v>20</v>
      </c>
      <c r="I4424" s="2" t="s">
        <v>21</v>
      </c>
      <c r="J4424" s="2" t="n">
        <v>17</v>
      </c>
      <c r="K4424" s="2" t="s">
        <v>32</v>
      </c>
      <c r="L4424" s="2" t="n">
        <v>446</v>
      </c>
      <c r="M4424" s="2" t="n">
        <v>2</v>
      </c>
      <c r="N4424" s="2" t="n">
        <v>-1</v>
      </c>
      <c r="O4424" s="2" t="n">
        <v>0</v>
      </c>
      <c r="P4424" s="2" t="s">
        <v>23</v>
      </c>
      <c r="Q4424" s="2" t="s">
        <v>20</v>
      </c>
    </row>
    <row r="4425" customFormat="false" ht="15" hidden="false" customHeight="false" outlineLevel="0" collapsed="false">
      <c r="A4425" s="2" t="n">
        <v>45</v>
      </c>
      <c r="B4425" s="2" t="s">
        <v>29</v>
      </c>
      <c r="C4425" s="2" t="s">
        <v>30</v>
      </c>
      <c r="D4425" s="2" t="s">
        <v>31</v>
      </c>
      <c r="E4425" s="2" t="s">
        <v>20</v>
      </c>
      <c r="F4425" s="2" t="n">
        <v>2048</v>
      </c>
      <c r="G4425" s="2" t="s">
        <v>26</v>
      </c>
      <c r="H4425" s="2" t="s">
        <v>20</v>
      </c>
      <c r="I4425" s="2" t="s">
        <v>21</v>
      </c>
      <c r="J4425" s="2" t="n">
        <v>18</v>
      </c>
      <c r="K4425" s="2" t="s">
        <v>22</v>
      </c>
      <c r="L4425" s="2" t="n">
        <v>310</v>
      </c>
      <c r="M4425" s="2" t="n">
        <v>1</v>
      </c>
      <c r="N4425" s="2" t="n">
        <v>804</v>
      </c>
      <c r="O4425" s="2" t="n">
        <v>1</v>
      </c>
      <c r="P4425" s="2" t="s">
        <v>28</v>
      </c>
      <c r="Q4425" s="2" t="s">
        <v>26</v>
      </c>
    </row>
    <row r="4426" customFormat="false" ht="15" hidden="false" customHeight="false" outlineLevel="0" collapsed="false">
      <c r="A4426" s="2" t="n">
        <v>34</v>
      </c>
      <c r="B4426" s="2" t="s">
        <v>29</v>
      </c>
      <c r="C4426" s="2" t="s">
        <v>18</v>
      </c>
      <c r="D4426" s="2" t="s">
        <v>31</v>
      </c>
      <c r="E4426" s="2" t="s">
        <v>20</v>
      </c>
      <c r="F4426" s="2" t="n">
        <v>1557</v>
      </c>
      <c r="G4426" s="2" t="s">
        <v>26</v>
      </c>
      <c r="H4426" s="2" t="s">
        <v>26</v>
      </c>
      <c r="I4426" s="2" t="s">
        <v>23</v>
      </c>
      <c r="J4426" s="2" t="n">
        <v>13</v>
      </c>
      <c r="K4426" s="2" t="s">
        <v>27</v>
      </c>
      <c r="L4426" s="2" t="n">
        <v>213</v>
      </c>
      <c r="M4426" s="2" t="n">
        <v>1</v>
      </c>
      <c r="N4426" s="2" t="n">
        <v>-1</v>
      </c>
      <c r="O4426" s="2" t="n">
        <v>0</v>
      </c>
      <c r="P4426" s="2" t="s">
        <v>23</v>
      </c>
      <c r="Q4426" s="2" t="s">
        <v>20</v>
      </c>
    </row>
    <row r="4427" customFormat="false" ht="15" hidden="false" customHeight="false" outlineLevel="0" collapsed="false">
      <c r="A4427" s="2" t="n">
        <v>35</v>
      </c>
      <c r="B4427" s="2" t="s">
        <v>24</v>
      </c>
      <c r="C4427" s="2" t="s">
        <v>18</v>
      </c>
      <c r="D4427" s="2" t="s">
        <v>25</v>
      </c>
      <c r="E4427" s="2" t="s">
        <v>20</v>
      </c>
      <c r="F4427" s="2" t="n">
        <v>505</v>
      </c>
      <c r="G4427" s="2" t="s">
        <v>26</v>
      </c>
      <c r="H4427" s="2" t="s">
        <v>26</v>
      </c>
      <c r="I4427" s="2" t="s">
        <v>23</v>
      </c>
      <c r="J4427" s="2" t="n">
        <v>27</v>
      </c>
      <c r="K4427" s="2" t="s">
        <v>27</v>
      </c>
      <c r="L4427" s="2" t="n">
        <v>371</v>
      </c>
      <c r="M4427" s="2" t="n">
        <v>2</v>
      </c>
      <c r="N4427" s="2" t="n">
        <v>-1</v>
      </c>
      <c r="O4427" s="2" t="n">
        <v>0</v>
      </c>
      <c r="P4427" s="2" t="s">
        <v>23</v>
      </c>
      <c r="Q4427" s="2" t="s">
        <v>20</v>
      </c>
    </row>
    <row r="4428" customFormat="false" ht="15" hidden="false" customHeight="false" outlineLevel="0" collapsed="false">
      <c r="A4428" s="2" t="n">
        <v>41</v>
      </c>
      <c r="B4428" s="2" t="s">
        <v>40</v>
      </c>
      <c r="C4428" s="2" t="s">
        <v>18</v>
      </c>
      <c r="D4428" s="2" t="s">
        <v>31</v>
      </c>
      <c r="E4428" s="2" t="s">
        <v>20</v>
      </c>
      <c r="F4428" s="2" t="n">
        <v>1536</v>
      </c>
      <c r="G4428" s="2" t="s">
        <v>20</v>
      </c>
      <c r="H4428" s="2" t="s">
        <v>20</v>
      </c>
      <c r="I4428" s="2" t="s">
        <v>21</v>
      </c>
      <c r="J4428" s="2" t="n">
        <v>4</v>
      </c>
      <c r="K4428" s="2" t="s">
        <v>27</v>
      </c>
      <c r="L4428" s="2" t="n">
        <v>54</v>
      </c>
      <c r="M4428" s="2" t="n">
        <v>2</v>
      </c>
      <c r="N4428" s="2" t="n">
        <v>-1</v>
      </c>
      <c r="O4428" s="2" t="n">
        <v>0</v>
      </c>
      <c r="P4428" s="2" t="s">
        <v>23</v>
      </c>
      <c r="Q4428" s="2" t="s">
        <v>20</v>
      </c>
    </row>
    <row r="4429" customFormat="false" ht="15" hidden="false" customHeight="false" outlineLevel="0" collapsed="false">
      <c r="A4429" s="2" t="n">
        <v>42</v>
      </c>
      <c r="B4429" s="2" t="s">
        <v>36</v>
      </c>
      <c r="C4429" s="2" t="s">
        <v>18</v>
      </c>
      <c r="D4429" s="2" t="s">
        <v>31</v>
      </c>
      <c r="E4429" s="2" t="s">
        <v>20</v>
      </c>
      <c r="F4429" s="2" t="n">
        <v>0</v>
      </c>
      <c r="G4429" s="2" t="s">
        <v>20</v>
      </c>
      <c r="H4429" s="2" t="s">
        <v>20</v>
      </c>
      <c r="I4429" s="2" t="s">
        <v>21</v>
      </c>
      <c r="J4429" s="2" t="n">
        <v>8</v>
      </c>
      <c r="K4429" s="2" t="s">
        <v>41</v>
      </c>
      <c r="L4429" s="2" t="n">
        <v>118</v>
      </c>
      <c r="M4429" s="2" t="n">
        <v>6</v>
      </c>
      <c r="N4429" s="2" t="n">
        <v>-1</v>
      </c>
      <c r="O4429" s="2" t="n">
        <v>0</v>
      </c>
      <c r="P4429" s="2" t="s">
        <v>23</v>
      </c>
      <c r="Q4429" s="2" t="s">
        <v>20</v>
      </c>
    </row>
    <row r="4430" customFormat="false" ht="15" hidden="false" customHeight="false" outlineLevel="0" collapsed="false">
      <c r="A4430" s="2" t="n">
        <v>48</v>
      </c>
      <c r="B4430" s="2" t="s">
        <v>34</v>
      </c>
      <c r="C4430" s="2" t="s">
        <v>18</v>
      </c>
      <c r="D4430" s="2" t="s">
        <v>23</v>
      </c>
      <c r="E4430" s="2" t="s">
        <v>20</v>
      </c>
      <c r="F4430" s="2" t="n">
        <v>439</v>
      </c>
      <c r="G4430" s="2" t="s">
        <v>26</v>
      </c>
      <c r="H4430" s="2" t="s">
        <v>20</v>
      </c>
      <c r="I4430" s="2" t="s">
        <v>21</v>
      </c>
      <c r="J4430" s="2" t="n">
        <v>2</v>
      </c>
      <c r="K4430" s="2" t="s">
        <v>35</v>
      </c>
      <c r="L4430" s="2" t="n">
        <v>212</v>
      </c>
      <c r="M4430" s="2" t="n">
        <v>1</v>
      </c>
      <c r="N4430" s="2" t="n">
        <v>249</v>
      </c>
      <c r="O4430" s="2" t="n">
        <v>2</v>
      </c>
      <c r="P4430" s="2" t="s">
        <v>37</v>
      </c>
      <c r="Q4430" s="2" t="s">
        <v>20</v>
      </c>
    </row>
    <row r="4431" customFormat="false" ht="15" hidden="false" customHeight="false" outlineLevel="0" collapsed="false">
      <c r="A4431" s="2" t="n">
        <v>45</v>
      </c>
      <c r="B4431" s="2" t="s">
        <v>23</v>
      </c>
      <c r="C4431" s="2" t="s">
        <v>18</v>
      </c>
      <c r="D4431" s="2" t="s">
        <v>19</v>
      </c>
      <c r="E4431" s="2" t="s">
        <v>20</v>
      </c>
      <c r="F4431" s="2" t="n">
        <v>44</v>
      </c>
      <c r="G4431" s="2" t="s">
        <v>20</v>
      </c>
      <c r="H4431" s="2" t="s">
        <v>20</v>
      </c>
      <c r="I4431" s="2" t="s">
        <v>23</v>
      </c>
      <c r="J4431" s="2" t="n">
        <v>11</v>
      </c>
      <c r="K4431" s="2" t="s">
        <v>33</v>
      </c>
      <c r="L4431" s="2" t="n">
        <v>81</v>
      </c>
      <c r="M4431" s="2" t="n">
        <v>1</v>
      </c>
      <c r="N4431" s="2" t="n">
        <v>-1</v>
      </c>
      <c r="O4431" s="2" t="n">
        <v>0</v>
      </c>
      <c r="P4431" s="2" t="s">
        <v>23</v>
      </c>
      <c r="Q4431" s="2" t="s">
        <v>20</v>
      </c>
    </row>
    <row r="4432" customFormat="false" ht="15" hidden="false" customHeight="false" outlineLevel="0" collapsed="false">
      <c r="A4432" s="2" t="n">
        <v>47</v>
      </c>
      <c r="B4432" s="2" t="s">
        <v>29</v>
      </c>
      <c r="C4432" s="2" t="s">
        <v>18</v>
      </c>
      <c r="D4432" s="2" t="s">
        <v>31</v>
      </c>
      <c r="E4432" s="2" t="s">
        <v>20</v>
      </c>
      <c r="F4432" s="2" t="n">
        <v>295</v>
      </c>
      <c r="G4432" s="2" t="s">
        <v>26</v>
      </c>
      <c r="H4432" s="2" t="s">
        <v>20</v>
      </c>
      <c r="I4432" s="2" t="s">
        <v>21</v>
      </c>
      <c r="J4432" s="2" t="n">
        <v>5</v>
      </c>
      <c r="K4432" s="2" t="s">
        <v>41</v>
      </c>
      <c r="L4432" s="2" t="n">
        <v>157</v>
      </c>
      <c r="M4432" s="2" t="n">
        <v>1</v>
      </c>
      <c r="N4432" s="2" t="n">
        <v>-1</v>
      </c>
      <c r="O4432" s="2" t="n">
        <v>0</v>
      </c>
      <c r="P4432" s="2" t="s">
        <v>23</v>
      </c>
      <c r="Q4432" s="2" t="s">
        <v>20</v>
      </c>
    </row>
    <row r="4433" customFormat="false" ht="15" hidden="false" customHeight="false" outlineLevel="0" collapsed="false">
      <c r="A4433" s="2" t="n">
        <v>37</v>
      </c>
      <c r="B4433" s="2" t="s">
        <v>34</v>
      </c>
      <c r="C4433" s="2" t="s">
        <v>18</v>
      </c>
      <c r="D4433" s="2" t="s">
        <v>19</v>
      </c>
      <c r="E4433" s="2" t="s">
        <v>20</v>
      </c>
      <c r="F4433" s="2" t="n">
        <v>190</v>
      </c>
      <c r="G4433" s="2" t="s">
        <v>26</v>
      </c>
      <c r="H4433" s="2" t="s">
        <v>26</v>
      </c>
      <c r="I4433" s="2" t="s">
        <v>23</v>
      </c>
      <c r="J4433" s="2" t="n">
        <v>8</v>
      </c>
      <c r="K4433" s="2" t="s">
        <v>27</v>
      </c>
      <c r="L4433" s="2" t="n">
        <v>194</v>
      </c>
      <c r="M4433" s="2" t="n">
        <v>1</v>
      </c>
      <c r="N4433" s="2" t="n">
        <v>-1</v>
      </c>
      <c r="O4433" s="2" t="n">
        <v>0</v>
      </c>
      <c r="P4433" s="2" t="s">
        <v>23</v>
      </c>
      <c r="Q4433" s="2" t="s">
        <v>20</v>
      </c>
    </row>
    <row r="4434" customFormat="false" ht="15" hidden="false" customHeight="false" outlineLevel="0" collapsed="false">
      <c r="A4434" s="2" t="n">
        <v>32</v>
      </c>
      <c r="B4434" s="2" t="s">
        <v>29</v>
      </c>
      <c r="C4434" s="2" t="s">
        <v>18</v>
      </c>
      <c r="D4434" s="2" t="s">
        <v>25</v>
      </c>
      <c r="E4434" s="2" t="s">
        <v>20</v>
      </c>
      <c r="F4434" s="2" t="n">
        <v>3935</v>
      </c>
      <c r="G4434" s="2" t="s">
        <v>26</v>
      </c>
      <c r="H4434" s="2" t="s">
        <v>20</v>
      </c>
      <c r="I4434" s="2" t="s">
        <v>23</v>
      </c>
      <c r="J4434" s="2" t="n">
        <v>29</v>
      </c>
      <c r="K4434" s="2" t="s">
        <v>27</v>
      </c>
      <c r="L4434" s="2" t="n">
        <v>129</v>
      </c>
      <c r="M4434" s="2" t="n">
        <v>2</v>
      </c>
      <c r="N4434" s="2" t="n">
        <v>-1</v>
      </c>
      <c r="O4434" s="2" t="n">
        <v>0</v>
      </c>
      <c r="P4434" s="2" t="s">
        <v>23</v>
      </c>
      <c r="Q4434" s="2" t="s">
        <v>20</v>
      </c>
    </row>
    <row r="4435" customFormat="false" ht="15" hidden="false" customHeight="false" outlineLevel="0" collapsed="false">
      <c r="A4435" s="2" t="n">
        <v>40</v>
      </c>
      <c r="B4435" s="2" t="s">
        <v>29</v>
      </c>
      <c r="C4435" s="2" t="s">
        <v>18</v>
      </c>
      <c r="D4435" s="2" t="s">
        <v>31</v>
      </c>
      <c r="E4435" s="2" t="s">
        <v>20</v>
      </c>
      <c r="F4435" s="2" t="n">
        <v>-17</v>
      </c>
      <c r="G4435" s="2" t="s">
        <v>26</v>
      </c>
      <c r="H4435" s="2" t="s">
        <v>26</v>
      </c>
      <c r="I4435" s="2" t="s">
        <v>21</v>
      </c>
      <c r="J4435" s="2" t="n">
        <v>11</v>
      </c>
      <c r="K4435" s="2" t="s">
        <v>27</v>
      </c>
      <c r="L4435" s="2" t="n">
        <v>474</v>
      </c>
      <c r="M4435" s="2" t="n">
        <v>1</v>
      </c>
      <c r="N4435" s="2" t="n">
        <v>256</v>
      </c>
      <c r="O4435" s="2" t="n">
        <v>1</v>
      </c>
      <c r="P4435" s="2" t="s">
        <v>50</v>
      </c>
      <c r="Q4435" s="2" t="s">
        <v>26</v>
      </c>
    </row>
    <row r="4436" customFormat="false" ht="15" hidden="false" customHeight="false" outlineLevel="0" collapsed="false">
      <c r="A4436" s="2" t="n">
        <v>35</v>
      </c>
      <c r="B4436" s="2" t="s">
        <v>38</v>
      </c>
      <c r="C4436" s="2" t="s">
        <v>30</v>
      </c>
      <c r="D4436" s="2" t="s">
        <v>25</v>
      </c>
      <c r="E4436" s="2" t="s">
        <v>20</v>
      </c>
      <c r="F4436" s="2" t="n">
        <v>175</v>
      </c>
      <c r="G4436" s="2" t="s">
        <v>26</v>
      </c>
      <c r="H4436" s="2" t="s">
        <v>20</v>
      </c>
      <c r="I4436" s="2" t="s">
        <v>21</v>
      </c>
      <c r="J4436" s="2" t="n">
        <v>29</v>
      </c>
      <c r="K4436" s="2" t="s">
        <v>43</v>
      </c>
      <c r="L4436" s="2" t="n">
        <v>219</v>
      </c>
      <c r="M4436" s="2" t="n">
        <v>1</v>
      </c>
      <c r="N4436" s="2" t="n">
        <v>246</v>
      </c>
      <c r="O4436" s="2" t="n">
        <v>1</v>
      </c>
      <c r="P4436" s="2" t="s">
        <v>28</v>
      </c>
      <c r="Q4436" s="2" t="s">
        <v>20</v>
      </c>
    </row>
    <row r="4437" customFormat="false" ht="15" hidden="false" customHeight="false" outlineLevel="0" collapsed="false">
      <c r="A4437" s="2" t="n">
        <v>31</v>
      </c>
      <c r="B4437" s="2" t="s">
        <v>38</v>
      </c>
      <c r="C4437" s="2" t="s">
        <v>30</v>
      </c>
      <c r="D4437" s="2" t="s">
        <v>25</v>
      </c>
      <c r="E4437" s="2" t="s">
        <v>20</v>
      </c>
      <c r="F4437" s="2" t="n">
        <v>4888</v>
      </c>
      <c r="G4437" s="2" t="s">
        <v>26</v>
      </c>
      <c r="H4437" s="2" t="s">
        <v>20</v>
      </c>
      <c r="I4437" s="2" t="s">
        <v>49</v>
      </c>
      <c r="J4437" s="2" t="n">
        <v>5</v>
      </c>
      <c r="K4437" s="2" t="s">
        <v>27</v>
      </c>
      <c r="L4437" s="2" t="n">
        <v>475</v>
      </c>
      <c r="M4437" s="2" t="n">
        <v>4</v>
      </c>
      <c r="N4437" s="2" t="n">
        <v>166</v>
      </c>
      <c r="O4437" s="2" t="n">
        <v>2</v>
      </c>
      <c r="P4437" s="2" t="s">
        <v>28</v>
      </c>
      <c r="Q4437" s="2" t="s">
        <v>20</v>
      </c>
    </row>
    <row r="4438" customFormat="false" ht="15" hidden="false" customHeight="false" outlineLevel="0" collapsed="false">
      <c r="A4438" s="2" t="n">
        <v>36</v>
      </c>
      <c r="B4438" s="2" t="s">
        <v>38</v>
      </c>
      <c r="C4438" s="2" t="s">
        <v>30</v>
      </c>
      <c r="D4438" s="2" t="s">
        <v>31</v>
      </c>
      <c r="E4438" s="2" t="s">
        <v>20</v>
      </c>
      <c r="F4438" s="2" t="n">
        <v>40</v>
      </c>
      <c r="G4438" s="2" t="s">
        <v>20</v>
      </c>
      <c r="H4438" s="2" t="s">
        <v>20</v>
      </c>
      <c r="I4438" s="2" t="s">
        <v>21</v>
      </c>
      <c r="J4438" s="2" t="n">
        <v>26</v>
      </c>
      <c r="K4438" s="2" t="s">
        <v>41</v>
      </c>
      <c r="L4438" s="2" t="n">
        <v>359</v>
      </c>
      <c r="M4438" s="2" t="n">
        <v>3</v>
      </c>
      <c r="N4438" s="2" t="n">
        <v>-1</v>
      </c>
      <c r="O4438" s="2" t="n">
        <v>0</v>
      </c>
      <c r="P4438" s="2" t="s">
        <v>23</v>
      </c>
      <c r="Q4438" s="2" t="s">
        <v>20</v>
      </c>
    </row>
    <row r="4439" customFormat="false" ht="15" hidden="false" customHeight="false" outlineLevel="0" collapsed="false">
      <c r="A4439" s="2" t="n">
        <v>44</v>
      </c>
      <c r="B4439" s="2" t="s">
        <v>29</v>
      </c>
      <c r="C4439" s="2" t="s">
        <v>18</v>
      </c>
      <c r="D4439" s="2" t="s">
        <v>31</v>
      </c>
      <c r="E4439" s="2" t="s">
        <v>20</v>
      </c>
      <c r="F4439" s="2" t="n">
        <v>4460</v>
      </c>
      <c r="G4439" s="2" t="s">
        <v>20</v>
      </c>
      <c r="H4439" s="2" t="s">
        <v>20</v>
      </c>
      <c r="I4439" s="2" t="s">
        <v>49</v>
      </c>
      <c r="J4439" s="2" t="n">
        <v>31</v>
      </c>
      <c r="K4439" s="2" t="s">
        <v>44</v>
      </c>
      <c r="L4439" s="2" t="n">
        <v>168</v>
      </c>
      <c r="M4439" s="2" t="n">
        <v>2</v>
      </c>
      <c r="N4439" s="2" t="n">
        <v>-1</v>
      </c>
      <c r="O4439" s="2" t="n">
        <v>0</v>
      </c>
      <c r="P4439" s="2" t="s">
        <v>23</v>
      </c>
      <c r="Q4439" s="2" t="s">
        <v>20</v>
      </c>
    </row>
    <row r="4440" customFormat="false" ht="15" hidden="false" customHeight="false" outlineLevel="0" collapsed="false">
      <c r="A4440" s="2" t="n">
        <v>52</v>
      </c>
      <c r="B4440" s="2" t="s">
        <v>40</v>
      </c>
      <c r="C4440" s="2" t="s">
        <v>45</v>
      </c>
      <c r="D4440" s="2" t="s">
        <v>25</v>
      </c>
      <c r="E4440" s="2" t="s">
        <v>20</v>
      </c>
      <c r="F4440" s="2" t="n">
        <v>98</v>
      </c>
      <c r="G4440" s="2" t="s">
        <v>20</v>
      </c>
      <c r="H4440" s="2" t="s">
        <v>26</v>
      </c>
      <c r="I4440" s="2" t="s">
        <v>23</v>
      </c>
      <c r="J4440" s="2" t="n">
        <v>19</v>
      </c>
      <c r="K4440" s="2" t="s">
        <v>33</v>
      </c>
      <c r="L4440" s="2" t="n">
        <v>148</v>
      </c>
      <c r="M4440" s="2" t="n">
        <v>1</v>
      </c>
      <c r="N4440" s="2" t="n">
        <v>-1</v>
      </c>
      <c r="O4440" s="2" t="n">
        <v>0</v>
      </c>
      <c r="P4440" s="2" t="s">
        <v>23</v>
      </c>
      <c r="Q4440" s="2" t="s">
        <v>20</v>
      </c>
    </row>
    <row r="4441" customFormat="false" ht="15" hidden="false" customHeight="false" outlineLevel="0" collapsed="false">
      <c r="A4441" s="2" t="n">
        <v>28</v>
      </c>
      <c r="B4441" s="2" t="s">
        <v>42</v>
      </c>
      <c r="C4441" s="2" t="s">
        <v>30</v>
      </c>
      <c r="D4441" s="2" t="s">
        <v>25</v>
      </c>
      <c r="E4441" s="2" t="s">
        <v>20</v>
      </c>
      <c r="F4441" s="2" t="n">
        <v>330</v>
      </c>
      <c r="G4441" s="2" t="s">
        <v>20</v>
      </c>
      <c r="H4441" s="2" t="s">
        <v>20</v>
      </c>
      <c r="I4441" s="2" t="s">
        <v>49</v>
      </c>
      <c r="J4441" s="2" t="n">
        <v>2</v>
      </c>
      <c r="K4441" s="2" t="s">
        <v>35</v>
      </c>
      <c r="L4441" s="2" t="n">
        <v>197</v>
      </c>
      <c r="M4441" s="2" t="n">
        <v>1</v>
      </c>
      <c r="N4441" s="2" t="n">
        <v>-1</v>
      </c>
      <c r="O4441" s="2" t="n">
        <v>0</v>
      </c>
      <c r="P4441" s="2" t="s">
        <v>23</v>
      </c>
      <c r="Q4441" s="2" t="s">
        <v>20</v>
      </c>
    </row>
    <row r="4442" customFormat="false" ht="15" hidden="false" customHeight="false" outlineLevel="0" collapsed="false">
      <c r="A4442" s="2" t="n">
        <v>45</v>
      </c>
      <c r="B4442" s="2" t="s">
        <v>34</v>
      </c>
      <c r="C4442" s="2" t="s">
        <v>18</v>
      </c>
      <c r="D4442" s="2" t="s">
        <v>19</v>
      </c>
      <c r="E4442" s="2" t="s">
        <v>20</v>
      </c>
      <c r="F4442" s="2" t="n">
        <v>13117</v>
      </c>
      <c r="G4442" s="2" t="s">
        <v>20</v>
      </c>
      <c r="H4442" s="2" t="s">
        <v>20</v>
      </c>
      <c r="I4442" s="2" t="s">
        <v>23</v>
      </c>
      <c r="J4442" s="2" t="n">
        <v>11</v>
      </c>
      <c r="K4442" s="2" t="s">
        <v>33</v>
      </c>
      <c r="L4442" s="2" t="n">
        <v>42</v>
      </c>
      <c r="M4442" s="2" t="n">
        <v>2</v>
      </c>
      <c r="N4442" s="2" t="n">
        <v>-1</v>
      </c>
      <c r="O4442" s="2" t="n">
        <v>0</v>
      </c>
      <c r="P4442" s="2" t="s">
        <v>23</v>
      </c>
      <c r="Q4442" s="2" t="s">
        <v>20</v>
      </c>
    </row>
    <row r="4443" customFormat="false" ht="15" hidden="false" customHeight="false" outlineLevel="0" collapsed="false">
      <c r="A4443" s="2" t="n">
        <v>38</v>
      </c>
      <c r="B4443" s="2" t="s">
        <v>29</v>
      </c>
      <c r="C4443" s="2" t="s">
        <v>18</v>
      </c>
      <c r="D4443" s="2" t="s">
        <v>31</v>
      </c>
      <c r="E4443" s="2" t="s">
        <v>20</v>
      </c>
      <c r="F4443" s="2" t="n">
        <v>12877</v>
      </c>
      <c r="G4443" s="2" t="s">
        <v>20</v>
      </c>
      <c r="H4443" s="2" t="s">
        <v>20</v>
      </c>
      <c r="I4443" s="2" t="s">
        <v>23</v>
      </c>
      <c r="J4443" s="2" t="n">
        <v>17</v>
      </c>
      <c r="K4443" s="2" t="s">
        <v>33</v>
      </c>
      <c r="L4443" s="2" t="n">
        <v>118</v>
      </c>
      <c r="M4443" s="2" t="n">
        <v>3</v>
      </c>
      <c r="N4443" s="2" t="n">
        <v>-1</v>
      </c>
      <c r="O4443" s="2" t="n">
        <v>0</v>
      </c>
      <c r="P4443" s="2" t="s">
        <v>23</v>
      </c>
      <c r="Q4443" s="2" t="s">
        <v>20</v>
      </c>
    </row>
    <row r="4444" customFormat="false" ht="15" hidden="false" customHeight="false" outlineLevel="0" collapsed="false">
      <c r="A4444" s="2" t="n">
        <v>39</v>
      </c>
      <c r="B4444" s="2" t="s">
        <v>34</v>
      </c>
      <c r="C4444" s="2" t="s">
        <v>18</v>
      </c>
      <c r="D4444" s="2" t="s">
        <v>19</v>
      </c>
      <c r="E4444" s="2" t="s">
        <v>20</v>
      </c>
      <c r="F4444" s="2" t="n">
        <v>1506</v>
      </c>
      <c r="G4444" s="2" t="s">
        <v>26</v>
      </c>
      <c r="H4444" s="2" t="s">
        <v>20</v>
      </c>
      <c r="I4444" s="2" t="s">
        <v>21</v>
      </c>
      <c r="J4444" s="2" t="n">
        <v>11</v>
      </c>
      <c r="K4444" s="2" t="s">
        <v>27</v>
      </c>
      <c r="L4444" s="2" t="n">
        <v>299</v>
      </c>
      <c r="M4444" s="2" t="n">
        <v>2</v>
      </c>
      <c r="N4444" s="2" t="n">
        <v>-1</v>
      </c>
      <c r="O4444" s="2" t="n">
        <v>0</v>
      </c>
      <c r="P4444" s="2" t="s">
        <v>23</v>
      </c>
      <c r="Q4444" s="2" t="s">
        <v>20</v>
      </c>
    </row>
    <row r="4445" customFormat="false" ht="15" hidden="false" customHeight="false" outlineLevel="0" collapsed="false">
      <c r="A4445" s="2" t="n">
        <v>28</v>
      </c>
      <c r="B4445" s="2" t="s">
        <v>29</v>
      </c>
      <c r="C4445" s="2" t="s">
        <v>30</v>
      </c>
      <c r="D4445" s="2" t="s">
        <v>31</v>
      </c>
      <c r="E4445" s="2" t="s">
        <v>20</v>
      </c>
      <c r="F4445" s="2" t="n">
        <v>0</v>
      </c>
      <c r="G4445" s="2" t="s">
        <v>20</v>
      </c>
      <c r="H4445" s="2" t="s">
        <v>20</v>
      </c>
      <c r="I4445" s="2" t="s">
        <v>49</v>
      </c>
      <c r="J4445" s="2" t="n">
        <v>27</v>
      </c>
      <c r="K4445" s="2" t="s">
        <v>27</v>
      </c>
      <c r="L4445" s="2" t="n">
        <v>198</v>
      </c>
      <c r="M4445" s="2" t="n">
        <v>2</v>
      </c>
      <c r="N4445" s="2" t="n">
        <v>-1</v>
      </c>
      <c r="O4445" s="2" t="n">
        <v>0</v>
      </c>
      <c r="P4445" s="2" t="s">
        <v>23</v>
      </c>
      <c r="Q4445" s="2" t="s">
        <v>20</v>
      </c>
    </row>
    <row r="4446" customFormat="false" ht="15" hidden="false" customHeight="false" outlineLevel="0" collapsed="false">
      <c r="A4446" s="2" t="n">
        <v>31</v>
      </c>
      <c r="B4446" s="2" t="s">
        <v>38</v>
      </c>
      <c r="C4446" s="2" t="s">
        <v>30</v>
      </c>
      <c r="D4446" s="2" t="s">
        <v>25</v>
      </c>
      <c r="E4446" s="2" t="s">
        <v>20</v>
      </c>
      <c r="F4446" s="2" t="n">
        <v>775</v>
      </c>
      <c r="G4446" s="2" t="s">
        <v>20</v>
      </c>
      <c r="H4446" s="2" t="s">
        <v>20</v>
      </c>
      <c r="I4446" s="2" t="s">
        <v>21</v>
      </c>
      <c r="J4446" s="2" t="n">
        <v>2</v>
      </c>
      <c r="K4446" s="2" t="s">
        <v>35</v>
      </c>
      <c r="L4446" s="2" t="n">
        <v>361</v>
      </c>
      <c r="M4446" s="2" t="n">
        <v>1</v>
      </c>
      <c r="N4446" s="2" t="n">
        <v>-1</v>
      </c>
      <c r="O4446" s="2" t="n">
        <v>0</v>
      </c>
      <c r="P4446" s="2" t="s">
        <v>23</v>
      </c>
      <c r="Q4446" s="2" t="s">
        <v>20</v>
      </c>
    </row>
    <row r="4447" customFormat="false" ht="15" hidden="false" customHeight="false" outlineLevel="0" collapsed="false">
      <c r="A4447" s="2" t="n">
        <v>46</v>
      </c>
      <c r="B4447" s="2" t="s">
        <v>34</v>
      </c>
      <c r="C4447" s="2" t="s">
        <v>18</v>
      </c>
      <c r="D4447" s="2" t="s">
        <v>19</v>
      </c>
      <c r="E4447" s="2" t="s">
        <v>20</v>
      </c>
      <c r="F4447" s="2" t="n">
        <v>258</v>
      </c>
      <c r="G4447" s="2" t="s">
        <v>26</v>
      </c>
      <c r="H4447" s="2" t="s">
        <v>20</v>
      </c>
      <c r="I4447" s="2" t="s">
        <v>23</v>
      </c>
      <c r="J4447" s="2" t="n">
        <v>27</v>
      </c>
      <c r="K4447" s="2" t="s">
        <v>27</v>
      </c>
      <c r="L4447" s="2" t="n">
        <v>217</v>
      </c>
      <c r="M4447" s="2" t="n">
        <v>1</v>
      </c>
      <c r="N4447" s="2" t="n">
        <v>-1</v>
      </c>
      <c r="O4447" s="2" t="n">
        <v>0</v>
      </c>
      <c r="P4447" s="2" t="s">
        <v>23</v>
      </c>
      <c r="Q4447" s="2" t="s">
        <v>20</v>
      </c>
    </row>
    <row r="4448" customFormat="false" ht="15" hidden="false" customHeight="false" outlineLevel="0" collapsed="false">
      <c r="A4448" s="2" t="n">
        <v>22</v>
      </c>
      <c r="B4448" s="2" t="s">
        <v>42</v>
      </c>
      <c r="C4448" s="2" t="s">
        <v>30</v>
      </c>
      <c r="D4448" s="2" t="s">
        <v>25</v>
      </c>
      <c r="E4448" s="2" t="s">
        <v>20</v>
      </c>
      <c r="F4448" s="2" t="n">
        <v>246</v>
      </c>
      <c r="G4448" s="2" t="s">
        <v>26</v>
      </c>
      <c r="H4448" s="2" t="s">
        <v>20</v>
      </c>
      <c r="I4448" s="2" t="s">
        <v>49</v>
      </c>
      <c r="J4448" s="2" t="n">
        <v>12</v>
      </c>
      <c r="K4448" s="2" t="s">
        <v>27</v>
      </c>
      <c r="L4448" s="2" t="n">
        <v>25</v>
      </c>
      <c r="M4448" s="2" t="n">
        <v>1</v>
      </c>
      <c r="N4448" s="2" t="n">
        <v>-1</v>
      </c>
      <c r="O4448" s="2" t="n">
        <v>0</v>
      </c>
      <c r="P4448" s="2" t="s">
        <v>23</v>
      </c>
      <c r="Q4448" s="2" t="s">
        <v>20</v>
      </c>
    </row>
    <row r="4449" customFormat="false" ht="15" hidden="false" customHeight="false" outlineLevel="0" collapsed="false">
      <c r="A4449" s="2" t="n">
        <v>49</v>
      </c>
      <c r="B4449" s="2" t="s">
        <v>34</v>
      </c>
      <c r="C4449" s="2" t="s">
        <v>30</v>
      </c>
      <c r="D4449" s="2" t="s">
        <v>19</v>
      </c>
      <c r="E4449" s="2" t="s">
        <v>20</v>
      </c>
      <c r="F4449" s="2" t="n">
        <v>2146</v>
      </c>
      <c r="G4449" s="2" t="s">
        <v>26</v>
      </c>
      <c r="H4449" s="2" t="s">
        <v>20</v>
      </c>
      <c r="I4449" s="2" t="s">
        <v>21</v>
      </c>
      <c r="J4449" s="2" t="n">
        <v>7</v>
      </c>
      <c r="K4449" s="2" t="s">
        <v>27</v>
      </c>
      <c r="L4449" s="2" t="n">
        <v>1516</v>
      </c>
      <c r="M4449" s="2" t="n">
        <v>2</v>
      </c>
      <c r="N4449" s="2" t="n">
        <v>353</v>
      </c>
      <c r="O4449" s="2" t="n">
        <v>2</v>
      </c>
      <c r="P4449" s="2" t="s">
        <v>37</v>
      </c>
      <c r="Q4449" s="2" t="s">
        <v>26</v>
      </c>
    </row>
    <row r="4450" customFormat="false" ht="15" hidden="false" customHeight="false" outlineLevel="0" collapsed="false">
      <c r="A4450" s="2" t="n">
        <v>44</v>
      </c>
      <c r="B4450" s="2" t="s">
        <v>17</v>
      </c>
      <c r="C4450" s="2" t="s">
        <v>18</v>
      </c>
      <c r="D4450" s="2" t="s">
        <v>25</v>
      </c>
      <c r="E4450" s="2" t="s">
        <v>20</v>
      </c>
      <c r="F4450" s="2" t="n">
        <v>304</v>
      </c>
      <c r="G4450" s="2" t="s">
        <v>26</v>
      </c>
      <c r="H4450" s="2" t="s">
        <v>20</v>
      </c>
      <c r="I4450" s="2" t="s">
        <v>23</v>
      </c>
      <c r="J4450" s="2" t="n">
        <v>12</v>
      </c>
      <c r="K4450" s="2" t="s">
        <v>27</v>
      </c>
      <c r="L4450" s="2" t="n">
        <v>129</v>
      </c>
      <c r="M4450" s="2" t="n">
        <v>2</v>
      </c>
      <c r="N4450" s="2" t="n">
        <v>-1</v>
      </c>
      <c r="O4450" s="2" t="n">
        <v>0</v>
      </c>
      <c r="P4450" s="2" t="s">
        <v>23</v>
      </c>
      <c r="Q4450" s="2" t="s">
        <v>20</v>
      </c>
    </row>
    <row r="4451" customFormat="false" ht="15" hidden="false" customHeight="false" outlineLevel="0" collapsed="false">
      <c r="A4451" s="2" t="n">
        <v>31</v>
      </c>
      <c r="B4451" s="2" t="s">
        <v>36</v>
      </c>
      <c r="C4451" s="2" t="s">
        <v>30</v>
      </c>
      <c r="D4451" s="2" t="s">
        <v>25</v>
      </c>
      <c r="E4451" s="2" t="s">
        <v>20</v>
      </c>
      <c r="F4451" s="2" t="n">
        <v>360</v>
      </c>
      <c r="G4451" s="2" t="s">
        <v>26</v>
      </c>
      <c r="H4451" s="2" t="s">
        <v>20</v>
      </c>
      <c r="I4451" s="2" t="s">
        <v>23</v>
      </c>
      <c r="J4451" s="2" t="n">
        <v>26</v>
      </c>
      <c r="K4451" s="2" t="s">
        <v>27</v>
      </c>
      <c r="L4451" s="2" t="n">
        <v>592</v>
      </c>
      <c r="M4451" s="2" t="n">
        <v>4</v>
      </c>
      <c r="N4451" s="2" t="n">
        <v>-1</v>
      </c>
      <c r="O4451" s="2" t="n">
        <v>0</v>
      </c>
      <c r="P4451" s="2" t="s">
        <v>23</v>
      </c>
      <c r="Q4451" s="2" t="s">
        <v>20</v>
      </c>
    </row>
    <row r="4452" customFormat="false" ht="15" hidden="false" customHeight="false" outlineLevel="0" collapsed="false">
      <c r="A4452" s="2" t="n">
        <v>53</v>
      </c>
      <c r="B4452" s="2" t="s">
        <v>34</v>
      </c>
      <c r="C4452" s="2" t="s">
        <v>18</v>
      </c>
      <c r="D4452" s="2" t="s">
        <v>19</v>
      </c>
      <c r="E4452" s="2" t="s">
        <v>20</v>
      </c>
      <c r="F4452" s="2" t="n">
        <v>3316</v>
      </c>
      <c r="G4452" s="2" t="s">
        <v>26</v>
      </c>
      <c r="H4452" s="2" t="s">
        <v>20</v>
      </c>
      <c r="I4452" s="2" t="s">
        <v>23</v>
      </c>
      <c r="J4452" s="2" t="n">
        <v>23</v>
      </c>
      <c r="K4452" s="2" t="s">
        <v>27</v>
      </c>
      <c r="L4452" s="2" t="n">
        <v>331</v>
      </c>
      <c r="M4452" s="2" t="n">
        <v>6</v>
      </c>
      <c r="N4452" s="2" t="n">
        <v>-1</v>
      </c>
      <c r="O4452" s="2" t="n">
        <v>0</v>
      </c>
      <c r="P4452" s="2" t="s">
        <v>23</v>
      </c>
      <c r="Q4452" s="2" t="s">
        <v>20</v>
      </c>
    </row>
    <row r="4453" customFormat="false" ht="15" hidden="false" customHeight="false" outlineLevel="0" collapsed="false">
      <c r="A4453" s="2" t="n">
        <v>55</v>
      </c>
      <c r="B4453" s="2" t="s">
        <v>29</v>
      </c>
      <c r="C4453" s="2" t="s">
        <v>18</v>
      </c>
      <c r="D4453" s="2" t="s">
        <v>31</v>
      </c>
      <c r="E4453" s="2" t="s">
        <v>20</v>
      </c>
      <c r="F4453" s="2" t="n">
        <v>6880</v>
      </c>
      <c r="G4453" s="2" t="s">
        <v>20</v>
      </c>
      <c r="H4453" s="2" t="s">
        <v>20</v>
      </c>
      <c r="I4453" s="2" t="s">
        <v>21</v>
      </c>
      <c r="J4453" s="2" t="n">
        <v>8</v>
      </c>
      <c r="K4453" s="2" t="s">
        <v>41</v>
      </c>
      <c r="L4453" s="2" t="n">
        <v>353</v>
      </c>
      <c r="M4453" s="2" t="n">
        <v>2</v>
      </c>
      <c r="N4453" s="2" t="n">
        <v>-1</v>
      </c>
      <c r="O4453" s="2" t="n">
        <v>0</v>
      </c>
      <c r="P4453" s="2" t="s">
        <v>23</v>
      </c>
      <c r="Q4453" s="2" t="s">
        <v>20</v>
      </c>
    </row>
    <row r="4454" customFormat="false" ht="15" hidden="false" customHeight="false" outlineLevel="0" collapsed="false">
      <c r="A4454" s="2" t="n">
        <v>35</v>
      </c>
      <c r="B4454" s="2" t="s">
        <v>38</v>
      </c>
      <c r="C4454" s="2" t="s">
        <v>18</v>
      </c>
      <c r="D4454" s="2" t="s">
        <v>25</v>
      </c>
      <c r="E4454" s="2" t="s">
        <v>20</v>
      </c>
      <c r="F4454" s="2" t="n">
        <v>2189</v>
      </c>
      <c r="G4454" s="2" t="s">
        <v>20</v>
      </c>
      <c r="H4454" s="2" t="s">
        <v>20</v>
      </c>
      <c r="I4454" s="2" t="s">
        <v>21</v>
      </c>
      <c r="J4454" s="2" t="n">
        <v>19</v>
      </c>
      <c r="K4454" s="2" t="s">
        <v>46</v>
      </c>
      <c r="L4454" s="2" t="n">
        <v>256</v>
      </c>
      <c r="M4454" s="2" t="n">
        <v>3</v>
      </c>
      <c r="N4454" s="2" t="n">
        <v>-1</v>
      </c>
      <c r="O4454" s="2" t="n">
        <v>0</v>
      </c>
      <c r="P4454" s="2" t="s">
        <v>23</v>
      </c>
      <c r="Q4454" s="2" t="s">
        <v>20</v>
      </c>
    </row>
    <row r="4455" customFormat="false" ht="15" hidden="false" customHeight="false" outlineLevel="0" collapsed="false">
      <c r="A4455" s="2" t="n">
        <v>35</v>
      </c>
      <c r="B4455" s="2" t="s">
        <v>34</v>
      </c>
      <c r="C4455" s="2" t="s">
        <v>18</v>
      </c>
      <c r="D4455" s="2" t="s">
        <v>25</v>
      </c>
      <c r="E4455" s="2" t="s">
        <v>20</v>
      </c>
      <c r="F4455" s="2" t="n">
        <v>5304</v>
      </c>
      <c r="G4455" s="2" t="s">
        <v>26</v>
      </c>
      <c r="H4455" s="2" t="s">
        <v>20</v>
      </c>
      <c r="I4455" s="2" t="s">
        <v>21</v>
      </c>
      <c r="J4455" s="2" t="n">
        <v>20</v>
      </c>
      <c r="K4455" s="2" t="s">
        <v>46</v>
      </c>
      <c r="L4455" s="2" t="n">
        <v>340</v>
      </c>
      <c r="M4455" s="2" t="n">
        <v>1</v>
      </c>
      <c r="N4455" s="2" t="n">
        <v>183</v>
      </c>
      <c r="O4455" s="2" t="n">
        <v>2</v>
      </c>
      <c r="P4455" s="2" t="s">
        <v>28</v>
      </c>
      <c r="Q4455" s="2" t="s">
        <v>20</v>
      </c>
    </row>
    <row r="4456" customFormat="false" ht="15" hidden="false" customHeight="false" outlineLevel="0" collapsed="false">
      <c r="A4456" s="2" t="n">
        <v>37</v>
      </c>
      <c r="B4456" s="2" t="s">
        <v>29</v>
      </c>
      <c r="C4456" s="2" t="s">
        <v>30</v>
      </c>
      <c r="D4456" s="2" t="s">
        <v>31</v>
      </c>
      <c r="E4456" s="2" t="s">
        <v>20</v>
      </c>
      <c r="F4456" s="2" t="n">
        <v>102</v>
      </c>
      <c r="G4456" s="2" t="s">
        <v>26</v>
      </c>
      <c r="H4456" s="2" t="s">
        <v>20</v>
      </c>
      <c r="I4456" s="2" t="s">
        <v>21</v>
      </c>
      <c r="J4456" s="2" t="n">
        <v>21</v>
      </c>
      <c r="K4456" s="2" t="s">
        <v>41</v>
      </c>
      <c r="L4456" s="2" t="n">
        <v>101</v>
      </c>
      <c r="M4456" s="2" t="n">
        <v>2</v>
      </c>
      <c r="N4456" s="2" t="n">
        <v>-1</v>
      </c>
      <c r="O4456" s="2" t="n">
        <v>0</v>
      </c>
      <c r="P4456" s="2" t="s">
        <v>23</v>
      </c>
      <c r="Q4456" s="2" t="s">
        <v>20</v>
      </c>
    </row>
    <row r="4457" customFormat="false" ht="15" hidden="false" customHeight="false" outlineLevel="0" collapsed="false">
      <c r="A4457" s="2" t="n">
        <v>50</v>
      </c>
      <c r="B4457" s="2" t="s">
        <v>34</v>
      </c>
      <c r="C4457" s="2" t="s">
        <v>18</v>
      </c>
      <c r="D4457" s="2" t="s">
        <v>25</v>
      </c>
      <c r="E4457" s="2" t="s">
        <v>20</v>
      </c>
      <c r="F4457" s="2" t="n">
        <v>181</v>
      </c>
      <c r="G4457" s="2" t="s">
        <v>26</v>
      </c>
      <c r="H4457" s="2" t="s">
        <v>20</v>
      </c>
      <c r="I4457" s="2" t="s">
        <v>21</v>
      </c>
      <c r="J4457" s="2" t="n">
        <v>17</v>
      </c>
      <c r="K4457" s="2" t="s">
        <v>32</v>
      </c>
      <c r="L4457" s="2" t="n">
        <v>599</v>
      </c>
      <c r="M4457" s="2" t="n">
        <v>2</v>
      </c>
      <c r="N4457" s="2" t="n">
        <v>-1</v>
      </c>
      <c r="O4457" s="2" t="n">
        <v>0</v>
      </c>
      <c r="P4457" s="2" t="s">
        <v>23</v>
      </c>
      <c r="Q4457" s="2" t="s">
        <v>20</v>
      </c>
    </row>
    <row r="4458" customFormat="false" ht="15" hidden="false" customHeight="false" outlineLevel="0" collapsed="false">
      <c r="A4458" s="2" t="n">
        <v>37</v>
      </c>
      <c r="B4458" s="2" t="s">
        <v>29</v>
      </c>
      <c r="C4458" s="2" t="s">
        <v>18</v>
      </c>
      <c r="D4458" s="2" t="s">
        <v>19</v>
      </c>
      <c r="E4458" s="2" t="s">
        <v>20</v>
      </c>
      <c r="F4458" s="2" t="n">
        <v>3953</v>
      </c>
      <c r="G4458" s="2" t="s">
        <v>26</v>
      </c>
      <c r="H4458" s="2" t="s">
        <v>20</v>
      </c>
      <c r="I4458" s="2" t="s">
        <v>21</v>
      </c>
      <c r="J4458" s="2" t="n">
        <v>6</v>
      </c>
      <c r="K4458" s="2" t="s">
        <v>32</v>
      </c>
      <c r="L4458" s="2" t="n">
        <v>610</v>
      </c>
      <c r="M4458" s="2" t="n">
        <v>2</v>
      </c>
      <c r="N4458" s="2" t="n">
        <v>138</v>
      </c>
      <c r="O4458" s="2" t="n">
        <v>1</v>
      </c>
      <c r="P4458" s="2" t="s">
        <v>28</v>
      </c>
      <c r="Q4458" s="2" t="s">
        <v>20</v>
      </c>
    </row>
    <row r="4459" customFormat="false" ht="15" hidden="false" customHeight="false" outlineLevel="0" collapsed="false">
      <c r="A4459" s="2" t="n">
        <v>37</v>
      </c>
      <c r="B4459" s="2" t="s">
        <v>34</v>
      </c>
      <c r="C4459" s="2" t="s">
        <v>30</v>
      </c>
      <c r="D4459" s="2" t="s">
        <v>19</v>
      </c>
      <c r="E4459" s="2" t="s">
        <v>20</v>
      </c>
      <c r="F4459" s="2" t="n">
        <v>6969</v>
      </c>
      <c r="G4459" s="2" t="s">
        <v>26</v>
      </c>
      <c r="H4459" s="2" t="s">
        <v>20</v>
      </c>
      <c r="I4459" s="2" t="s">
        <v>23</v>
      </c>
      <c r="J4459" s="2" t="n">
        <v>20</v>
      </c>
      <c r="K4459" s="2" t="s">
        <v>27</v>
      </c>
      <c r="L4459" s="2" t="n">
        <v>412</v>
      </c>
      <c r="M4459" s="2" t="n">
        <v>1</v>
      </c>
      <c r="N4459" s="2" t="n">
        <v>-1</v>
      </c>
      <c r="O4459" s="2" t="n">
        <v>0</v>
      </c>
      <c r="P4459" s="2" t="s">
        <v>23</v>
      </c>
      <c r="Q4459" s="2" t="s">
        <v>20</v>
      </c>
    </row>
    <row r="4460" customFormat="false" ht="15" hidden="false" customHeight="false" outlineLevel="0" collapsed="false">
      <c r="A4460" s="2" t="n">
        <v>29</v>
      </c>
      <c r="B4460" s="2" t="s">
        <v>29</v>
      </c>
      <c r="C4460" s="2" t="s">
        <v>30</v>
      </c>
      <c r="D4460" s="2" t="s">
        <v>31</v>
      </c>
      <c r="E4460" s="2" t="s">
        <v>20</v>
      </c>
      <c r="F4460" s="2" t="n">
        <v>572</v>
      </c>
      <c r="G4460" s="2" t="s">
        <v>20</v>
      </c>
      <c r="H4460" s="2" t="s">
        <v>20</v>
      </c>
      <c r="I4460" s="2" t="s">
        <v>21</v>
      </c>
      <c r="J4460" s="2" t="n">
        <v>16</v>
      </c>
      <c r="K4460" s="2" t="s">
        <v>53</v>
      </c>
      <c r="L4460" s="2" t="n">
        <v>314</v>
      </c>
      <c r="M4460" s="2" t="n">
        <v>1</v>
      </c>
      <c r="N4460" s="2" t="n">
        <v>195</v>
      </c>
      <c r="O4460" s="2" t="n">
        <v>1</v>
      </c>
      <c r="P4460" s="2" t="s">
        <v>50</v>
      </c>
      <c r="Q4460" s="2" t="s">
        <v>26</v>
      </c>
    </row>
    <row r="4461" customFormat="false" ht="15" hidden="false" customHeight="false" outlineLevel="0" collapsed="false">
      <c r="A4461" s="2" t="n">
        <v>31</v>
      </c>
      <c r="B4461" s="2" t="s">
        <v>40</v>
      </c>
      <c r="C4461" s="2" t="s">
        <v>30</v>
      </c>
      <c r="D4461" s="2" t="s">
        <v>25</v>
      </c>
      <c r="E4461" s="2" t="s">
        <v>20</v>
      </c>
      <c r="F4461" s="2" t="n">
        <v>223</v>
      </c>
      <c r="G4461" s="2" t="s">
        <v>26</v>
      </c>
      <c r="H4461" s="2" t="s">
        <v>20</v>
      </c>
      <c r="I4461" s="2" t="s">
        <v>21</v>
      </c>
      <c r="J4461" s="2" t="n">
        <v>17</v>
      </c>
      <c r="K4461" s="2" t="s">
        <v>32</v>
      </c>
      <c r="L4461" s="2" t="n">
        <v>508</v>
      </c>
      <c r="M4461" s="2" t="n">
        <v>1</v>
      </c>
      <c r="N4461" s="2" t="n">
        <v>315</v>
      </c>
      <c r="O4461" s="2" t="n">
        <v>11</v>
      </c>
      <c r="P4461" s="2" t="s">
        <v>50</v>
      </c>
      <c r="Q4461" s="2" t="s">
        <v>20</v>
      </c>
    </row>
    <row r="4462" customFormat="false" ht="15" hidden="false" customHeight="false" outlineLevel="0" collapsed="false">
      <c r="A4462" s="2" t="n">
        <v>40</v>
      </c>
      <c r="B4462" s="2" t="s">
        <v>38</v>
      </c>
      <c r="C4462" s="2" t="s">
        <v>18</v>
      </c>
      <c r="D4462" s="2" t="s">
        <v>25</v>
      </c>
      <c r="E4462" s="2" t="s">
        <v>20</v>
      </c>
      <c r="F4462" s="2" t="n">
        <v>-396</v>
      </c>
      <c r="G4462" s="2" t="s">
        <v>26</v>
      </c>
      <c r="H4462" s="2" t="s">
        <v>20</v>
      </c>
      <c r="I4462" s="2" t="s">
        <v>23</v>
      </c>
      <c r="J4462" s="2" t="n">
        <v>26</v>
      </c>
      <c r="K4462" s="2" t="s">
        <v>27</v>
      </c>
      <c r="L4462" s="2" t="n">
        <v>127</v>
      </c>
      <c r="M4462" s="2" t="n">
        <v>1</v>
      </c>
      <c r="N4462" s="2" t="n">
        <v>-1</v>
      </c>
      <c r="O4462" s="2" t="n">
        <v>0</v>
      </c>
      <c r="P4462" s="2" t="s">
        <v>23</v>
      </c>
      <c r="Q4462" s="2" t="s">
        <v>20</v>
      </c>
    </row>
    <row r="4463" customFormat="false" ht="15" hidden="false" customHeight="false" outlineLevel="0" collapsed="false">
      <c r="A4463" s="2" t="n">
        <v>47</v>
      </c>
      <c r="B4463" s="2" t="s">
        <v>24</v>
      </c>
      <c r="C4463" s="2" t="s">
        <v>45</v>
      </c>
      <c r="D4463" s="2" t="s">
        <v>25</v>
      </c>
      <c r="E4463" s="2" t="s">
        <v>20</v>
      </c>
      <c r="F4463" s="2" t="n">
        <v>164</v>
      </c>
      <c r="G4463" s="2" t="s">
        <v>20</v>
      </c>
      <c r="H4463" s="2" t="s">
        <v>20</v>
      </c>
      <c r="I4463" s="2" t="s">
        <v>23</v>
      </c>
      <c r="J4463" s="2" t="n">
        <v>5</v>
      </c>
      <c r="K4463" s="2" t="s">
        <v>27</v>
      </c>
      <c r="L4463" s="2" t="n">
        <v>212</v>
      </c>
      <c r="M4463" s="2" t="n">
        <v>1</v>
      </c>
      <c r="N4463" s="2" t="n">
        <v>-1</v>
      </c>
      <c r="O4463" s="2" t="n">
        <v>0</v>
      </c>
      <c r="P4463" s="2" t="s">
        <v>23</v>
      </c>
      <c r="Q4463" s="2" t="s">
        <v>20</v>
      </c>
    </row>
    <row r="4464" customFormat="false" ht="15" hidden="false" customHeight="false" outlineLevel="0" collapsed="false">
      <c r="A4464" s="2" t="n">
        <v>55</v>
      </c>
      <c r="B4464" s="2" t="s">
        <v>36</v>
      </c>
      <c r="C4464" s="2" t="s">
        <v>18</v>
      </c>
      <c r="D4464" s="2" t="s">
        <v>25</v>
      </c>
      <c r="E4464" s="2" t="s">
        <v>20</v>
      </c>
      <c r="F4464" s="2" t="n">
        <v>2678</v>
      </c>
      <c r="G4464" s="2" t="s">
        <v>20</v>
      </c>
      <c r="H4464" s="2" t="s">
        <v>26</v>
      </c>
      <c r="I4464" s="2" t="s">
        <v>21</v>
      </c>
      <c r="J4464" s="2" t="n">
        <v>18</v>
      </c>
      <c r="K4464" s="2" t="s">
        <v>41</v>
      </c>
      <c r="L4464" s="2" t="n">
        <v>151</v>
      </c>
      <c r="M4464" s="2" t="n">
        <v>12</v>
      </c>
      <c r="N4464" s="2" t="n">
        <v>-1</v>
      </c>
      <c r="O4464" s="2" t="n">
        <v>0</v>
      </c>
      <c r="P4464" s="2" t="s">
        <v>23</v>
      </c>
      <c r="Q4464" s="2" t="s">
        <v>20</v>
      </c>
    </row>
    <row r="4465" customFormat="false" ht="15" hidden="false" customHeight="false" outlineLevel="0" collapsed="false">
      <c r="A4465" s="2" t="n">
        <v>33</v>
      </c>
      <c r="B4465" s="2" t="s">
        <v>38</v>
      </c>
      <c r="C4465" s="2" t="s">
        <v>30</v>
      </c>
      <c r="D4465" s="2" t="s">
        <v>25</v>
      </c>
      <c r="E4465" s="2" t="s">
        <v>20</v>
      </c>
      <c r="F4465" s="2" t="n">
        <v>920</v>
      </c>
      <c r="G4465" s="2" t="s">
        <v>26</v>
      </c>
      <c r="H4465" s="2" t="s">
        <v>20</v>
      </c>
      <c r="I4465" s="2" t="s">
        <v>21</v>
      </c>
      <c r="J4465" s="2" t="n">
        <v>21</v>
      </c>
      <c r="K4465" s="2" t="s">
        <v>46</v>
      </c>
      <c r="L4465" s="2" t="n">
        <v>58</v>
      </c>
      <c r="M4465" s="2" t="n">
        <v>1</v>
      </c>
      <c r="N4465" s="2" t="n">
        <v>122</v>
      </c>
      <c r="O4465" s="2" t="n">
        <v>4</v>
      </c>
      <c r="P4465" s="2" t="s">
        <v>28</v>
      </c>
      <c r="Q4465" s="2" t="s">
        <v>20</v>
      </c>
    </row>
    <row r="4466" customFormat="false" ht="15" hidden="false" customHeight="false" outlineLevel="0" collapsed="false">
      <c r="A4466" s="2" t="n">
        <v>53</v>
      </c>
      <c r="B4466" s="2" t="s">
        <v>24</v>
      </c>
      <c r="C4466" s="2" t="s">
        <v>45</v>
      </c>
      <c r="D4466" s="2" t="s">
        <v>25</v>
      </c>
      <c r="E4466" s="2" t="s">
        <v>20</v>
      </c>
      <c r="F4466" s="2" t="n">
        <v>4554</v>
      </c>
      <c r="G4466" s="2" t="s">
        <v>20</v>
      </c>
      <c r="H4466" s="2" t="s">
        <v>20</v>
      </c>
      <c r="I4466" s="2" t="s">
        <v>21</v>
      </c>
      <c r="J4466" s="2" t="n">
        <v>5</v>
      </c>
      <c r="K4466" s="2" t="s">
        <v>35</v>
      </c>
      <c r="L4466" s="2" t="n">
        <v>8</v>
      </c>
      <c r="M4466" s="2" t="n">
        <v>6</v>
      </c>
      <c r="N4466" s="2" t="n">
        <v>-1</v>
      </c>
      <c r="O4466" s="2" t="n">
        <v>0</v>
      </c>
      <c r="P4466" s="2" t="s">
        <v>23</v>
      </c>
      <c r="Q4466" s="2" t="s">
        <v>20</v>
      </c>
    </row>
    <row r="4467" customFormat="false" ht="15" hidden="false" customHeight="false" outlineLevel="0" collapsed="false">
      <c r="A4467" s="2" t="n">
        <v>38</v>
      </c>
      <c r="B4467" s="2" t="s">
        <v>29</v>
      </c>
      <c r="C4467" s="2" t="s">
        <v>30</v>
      </c>
      <c r="D4467" s="2" t="s">
        <v>31</v>
      </c>
      <c r="E4467" s="2" t="s">
        <v>20</v>
      </c>
      <c r="F4467" s="2" t="n">
        <v>623</v>
      </c>
      <c r="G4467" s="2" t="s">
        <v>20</v>
      </c>
      <c r="H4467" s="2" t="s">
        <v>20</v>
      </c>
      <c r="I4467" s="2" t="s">
        <v>21</v>
      </c>
      <c r="J4467" s="2" t="n">
        <v>28</v>
      </c>
      <c r="K4467" s="2" t="s">
        <v>33</v>
      </c>
      <c r="L4467" s="2" t="n">
        <v>297</v>
      </c>
      <c r="M4467" s="2" t="n">
        <v>4</v>
      </c>
      <c r="N4467" s="2" t="n">
        <v>144</v>
      </c>
      <c r="O4467" s="2" t="n">
        <v>4</v>
      </c>
      <c r="P4467" s="2" t="s">
        <v>37</v>
      </c>
      <c r="Q4467" s="2" t="s">
        <v>26</v>
      </c>
    </row>
    <row r="4468" customFormat="false" ht="15" hidden="false" customHeight="false" outlineLevel="0" collapsed="false">
      <c r="A4468" s="2" t="n">
        <v>61</v>
      </c>
      <c r="B4468" s="2" t="s">
        <v>29</v>
      </c>
      <c r="C4468" s="2" t="s">
        <v>18</v>
      </c>
      <c r="D4468" s="2" t="s">
        <v>25</v>
      </c>
      <c r="E4468" s="2" t="s">
        <v>20</v>
      </c>
      <c r="F4468" s="2" t="n">
        <v>967</v>
      </c>
      <c r="G4468" s="2" t="s">
        <v>20</v>
      </c>
      <c r="H4468" s="2" t="s">
        <v>20</v>
      </c>
      <c r="I4468" s="2" t="s">
        <v>21</v>
      </c>
      <c r="J4468" s="2" t="n">
        <v>20</v>
      </c>
      <c r="K4468" s="2" t="s">
        <v>41</v>
      </c>
      <c r="L4468" s="2" t="n">
        <v>180</v>
      </c>
      <c r="M4468" s="2" t="n">
        <v>1</v>
      </c>
      <c r="N4468" s="2" t="n">
        <v>-1</v>
      </c>
      <c r="O4468" s="2" t="n">
        <v>0</v>
      </c>
      <c r="P4468" s="2" t="s">
        <v>23</v>
      </c>
      <c r="Q4468" s="2" t="s">
        <v>20</v>
      </c>
    </row>
    <row r="4469" customFormat="false" ht="15" hidden="false" customHeight="false" outlineLevel="0" collapsed="false">
      <c r="A4469" s="2" t="n">
        <v>43</v>
      </c>
      <c r="B4469" s="2" t="s">
        <v>17</v>
      </c>
      <c r="C4469" s="2" t="s">
        <v>45</v>
      </c>
      <c r="D4469" s="2" t="s">
        <v>25</v>
      </c>
      <c r="E4469" s="2" t="s">
        <v>20</v>
      </c>
      <c r="F4469" s="2" t="n">
        <v>1577</v>
      </c>
      <c r="G4469" s="2" t="s">
        <v>26</v>
      </c>
      <c r="H4469" s="2" t="s">
        <v>20</v>
      </c>
      <c r="I4469" s="2" t="s">
        <v>21</v>
      </c>
      <c r="J4469" s="2" t="n">
        <v>19</v>
      </c>
      <c r="K4469" s="2" t="s">
        <v>46</v>
      </c>
      <c r="L4469" s="2" t="n">
        <v>87</v>
      </c>
      <c r="M4469" s="2" t="n">
        <v>1</v>
      </c>
      <c r="N4469" s="2" t="n">
        <v>-1</v>
      </c>
      <c r="O4469" s="2" t="n">
        <v>0</v>
      </c>
      <c r="P4469" s="2" t="s">
        <v>23</v>
      </c>
      <c r="Q4469" s="2" t="s">
        <v>20</v>
      </c>
    </row>
    <row r="4470" customFormat="false" ht="15" hidden="false" customHeight="false" outlineLevel="0" collapsed="false">
      <c r="A4470" s="2" t="n">
        <v>42</v>
      </c>
      <c r="B4470" s="2" t="s">
        <v>47</v>
      </c>
      <c r="C4470" s="2" t="s">
        <v>18</v>
      </c>
      <c r="D4470" s="2" t="s">
        <v>19</v>
      </c>
      <c r="E4470" s="2" t="s">
        <v>20</v>
      </c>
      <c r="F4470" s="2" t="n">
        <v>1</v>
      </c>
      <c r="G4470" s="2" t="s">
        <v>26</v>
      </c>
      <c r="H4470" s="2" t="s">
        <v>20</v>
      </c>
      <c r="I4470" s="2" t="s">
        <v>49</v>
      </c>
      <c r="J4470" s="2" t="n">
        <v>28</v>
      </c>
      <c r="K4470" s="2" t="s">
        <v>44</v>
      </c>
      <c r="L4470" s="2" t="n">
        <v>59</v>
      </c>
      <c r="M4470" s="2" t="n">
        <v>5</v>
      </c>
      <c r="N4470" s="2" t="n">
        <v>-1</v>
      </c>
      <c r="O4470" s="2" t="n">
        <v>0</v>
      </c>
      <c r="P4470" s="2" t="s">
        <v>23</v>
      </c>
      <c r="Q4470" s="2" t="s">
        <v>20</v>
      </c>
    </row>
    <row r="4471" customFormat="false" ht="15" hidden="false" customHeight="false" outlineLevel="0" collapsed="false">
      <c r="A4471" s="2" t="n">
        <v>36</v>
      </c>
      <c r="B4471" s="2" t="s">
        <v>29</v>
      </c>
      <c r="C4471" s="2" t="s">
        <v>45</v>
      </c>
      <c r="D4471" s="2" t="s">
        <v>31</v>
      </c>
      <c r="E4471" s="2" t="s">
        <v>20</v>
      </c>
      <c r="F4471" s="2" t="n">
        <v>0</v>
      </c>
      <c r="G4471" s="2" t="s">
        <v>20</v>
      </c>
      <c r="H4471" s="2" t="s">
        <v>20</v>
      </c>
      <c r="I4471" s="2" t="s">
        <v>21</v>
      </c>
      <c r="J4471" s="2" t="n">
        <v>28</v>
      </c>
      <c r="K4471" s="2" t="s">
        <v>41</v>
      </c>
      <c r="L4471" s="2" t="n">
        <v>81</v>
      </c>
      <c r="M4471" s="2" t="n">
        <v>4</v>
      </c>
      <c r="N4471" s="2" t="n">
        <v>-1</v>
      </c>
      <c r="O4471" s="2" t="n">
        <v>0</v>
      </c>
      <c r="P4471" s="2" t="s">
        <v>23</v>
      </c>
      <c r="Q4471" s="2" t="s">
        <v>20</v>
      </c>
    </row>
    <row r="4472" customFormat="false" ht="15" hidden="false" customHeight="false" outlineLevel="0" collapsed="false">
      <c r="A4472" s="2" t="n">
        <v>31</v>
      </c>
      <c r="B4472" s="2" t="s">
        <v>38</v>
      </c>
      <c r="C4472" s="2" t="s">
        <v>30</v>
      </c>
      <c r="D4472" s="2" t="s">
        <v>31</v>
      </c>
      <c r="E4472" s="2" t="s">
        <v>20</v>
      </c>
      <c r="F4472" s="2" t="n">
        <v>1166</v>
      </c>
      <c r="G4472" s="2" t="s">
        <v>26</v>
      </c>
      <c r="H4472" s="2" t="s">
        <v>20</v>
      </c>
      <c r="I4472" s="2" t="s">
        <v>23</v>
      </c>
      <c r="J4472" s="2" t="n">
        <v>3</v>
      </c>
      <c r="K4472" s="2" t="s">
        <v>33</v>
      </c>
      <c r="L4472" s="2" t="n">
        <v>207</v>
      </c>
      <c r="M4472" s="2" t="n">
        <v>1</v>
      </c>
      <c r="N4472" s="2" t="n">
        <v>-1</v>
      </c>
      <c r="O4472" s="2" t="n">
        <v>0</v>
      </c>
      <c r="P4472" s="2" t="s">
        <v>23</v>
      </c>
      <c r="Q4472" s="2" t="s">
        <v>20</v>
      </c>
    </row>
    <row r="4473" customFormat="false" ht="15" hidden="false" customHeight="false" outlineLevel="0" collapsed="false">
      <c r="A4473" s="2" t="n">
        <v>59</v>
      </c>
      <c r="B4473" s="2" t="s">
        <v>29</v>
      </c>
      <c r="C4473" s="2" t="s">
        <v>18</v>
      </c>
      <c r="D4473" s="2" t="s">
        <v>23</v>
      </c>
      <c r="E4473" s="2" t="s">
        <v>20</v>
      </c>
      <c r="F4473" s="2" t="n">
        <v>3534</v>
      </c>
      <c r="G4473" s="2" t="s">
        <v>20</v>
      </c>
      <c r="H4473" s="2" t="s">
        <v>20</v>
      </c>
      <c r="I4473" s="2" t="s">
        <v>21</v>
      </c>
      <c r="J4473" s="2" t="n">
        <v>21</v>
      </c>
      <c r="K4473" s="2" t="s">
        <v>46</v>
      </c>
      <c r="L4473" s="2" t="n">
        <v>216</v>
      </c>
      <c r="M4473" s="2" t="n">
        <v>4</v>
      </c>
      <c r="N4473" s="2" t="n">
        <v>-1</v>
      </c>
      <c r="O4473" s="2" t="n">
        <v>0</v>
      </c>
      <c r="P4473" s="2" t="s">
        <v>23</v>
      </c>
      <c r="Q4473" s="2" t="s">
        <v>20</v>
      </c>
    </row>
    <row r="4474" customFormat="false" ht="15" hidden="false" customHeight="false" outlineLevel="0" collapsed="false">
      <c r="A4474" s="2" t="n">
        <v>29</v>
      </c>
      <c r="B4474" s="2" t="s">
        <v>34</v>
      </c>
      <c r="C4474" s="2" t="s">
        <v>18</v>
      </c>
      <c r="D4474" s="2" t="s">
        <v>19</v>
      </c>
      <c r="E4474" s="2" t="s">
        <v>20</v>
      </c>
      <c r="F4474" s="2" t="n">
        <v>200</v>
      </c>
      <c r="G4474" s="2" t="s">
        <v>26</v>
      </c>
      <c r="H4474" s="2" t="s">
        <v>20</v>
      </c>
      <c r="I4474" s="2" t="s">
        <v>23</v>
      </c>
      <c r="J4474" s="2" t="n">
        <v>30</v>
      </c>
      <c r="K4474" s="2" t="s">
        <v>27</v>
      </c>
      <c r="L4474" s="2" t="n">
        <v>322</v>
      </c>
      <c r="M4474" s="2" t="n">
        <v>2</v>
      </c>
      <c r="N4474" s="2" t="n">
        <v>-1</v>
      </c>
      <c r="O4474" s="2" t="n">
        <v>0</v>
      </c>
      <c r="P4474" s="2" t="s">
        <v>23</v>
      </c>
      <c r="Q4474" s="2" t="s">
        <v>20</v>
      </c>
    </row>
    <row r="4475" customFormat="false" ht="15" hidden="false" customHeight="false" outlineLevel="0" collapsed="false">
      <c r="A4475" s="2" t="n">
        <v>33</v>
      </c>
      <c r="B4475" s="2" t="s">
        <v>38</v>
      </c>
      <c r="C4475" s="2" t="s">
        <v>18</v>
      </c>
      <c r="D4475" s="2" t="s">
        <v>25</v>
      </c>
      <c r="E4475" s="2" t="s">
        <v>20</v>
      </c>
      <c r="F4475" s="2" t="n">
        <v>4790</v>
      </c>
      <c r="G4475" s="2" t="s">
        <v>26</v>
      </c>
      <c r="H4475" s="2" t="s">
        <v>20</v>
      </c>
      <c r="I4475" s="2" t="s">
        <v>21</v>
      </c>
      <c r="J4475" s="2" t="n">
        <v>20</v>
      </c>
      <c r="K4475" s="2" t="s">
        <v>32</v>
      </c>
      <c r="L4475" s="2" t="n">
        <v>137</v>
      </c>
      <c r="M4475" s="2" t="n">
        <v>1</v>
      </c>
      <c r="N4475" s="2" t="n">
        <v>272</v>
      </c>
      <c r="O4475" s="2" t="n">
        <v>2</v>
      </c>
      <c r="P4475" s="2" t="s">
        <v>28</v>
      </c>
      <c r="Q4475" s="2" t="s">
        <v>20</v>
      </c>
    </row>
    <row r="4476" customFormat="false" ht="15" hidden="false" customHeight="false" outlineLevel="0" collapsed="false">
      <c r="A4476" s="2" t="n">
        <v>44</v>
      </c>
      <c r="B4476" s="2" t="s">
        <v>34</v>
      </c>
      <c r="C4476" s="2" t="s">
        <v>18</v>
      </c>
      <c r="D4476" s="2" t="s">
        <v>19</v>
      </c>
      <c r="E4476" s="2" t="s">
        <v>20</v>
      </c>
      <c r="F4476" s="2" t="n">
        <v>-237</v>
      </c>
      <c r="G4476" s="2" t="s">
        <v>26</v>
      </c>
      <c r="H4476" s="2" t="s">
        <v>20</v>
      </c>
      <c r="I4476" s="2" t="s">
        <v>49</v>
      </c>
      <c r="J4476" s="2" t="n">
        <v>10</v>
      </c>
      <c r="K4476" s="2" t="s">
        <v>44</v>
      </c>
      <c r="L4476" s="2" t="n">
        <v>73</v>
      </c>
      <c r="M4476" s="2" t="n">
        <v>1</v>
      </c>
      <c r="N4476" s="2" t="n">
        <v>-1</v>
      </c>
      <c r="O4476" s="2" t="n">
        <v>0</v>
      </c>
      <c r="P4476" s="2" t="s">
        <v>23</v>
      </c>
      <c r="Q4476" s="2" t="s">
        <v>20</v>
      </c>
    </row>
    <row r="4477" customFormat="false" ht="15" hidden="false" customHeight="false" outlineLevel="0" collapsed="false">
      <c r="A4477" s="2" t="n">
        <v>43</v>
      </c>
      <c r="B4477" s="2" t="s">
        <v>34</v>
      </c>
      <c r="C4477" s="2" t="s">
        <v>18</v>
      </c>
      <c r="D4477" s="2" t="s">
        <v>25</v>
      </c>
      <c r="E4477" s="2" t="s">
        <v>20</v>
      </c>
      <c r="F4477" s="2" t="n">
        <v>1335</v>
      </c>
      <c r="G4477" s="2" t="s">
        <v>26</v>
      </c>
      <c r="H4477" s="2" t="s">
        <v>20</v>
      </c>
      <c r="I4477" s="2" t="s">
        <v>23</v>
      </c>
      <c r="J4477" s="2" t="n">
        <v>6</v>
      </c>
      <c r="K4477" s="2" t="s">
        <v>27</v>
      </c>
      <c r="L4477" s="2" t="n">
        <v>371</v>
      </c>
      <c r="M4477" s="2" t="n">
        <v>2</v>
      </c>
      <c r="N4477" s="2" t="n">
        <v>-1</v>
      </c>
      <c r="O4477" s="2" t="n">
        <v>0</v>
      </c>
      <c r="P4477" s="2" t="s">
        <v>23</v>
      </c>
      <c r="Q4477" s="2" t="s">
        <v>20</v>
      </c>
    </row>
    <row r="4478" customFormat="false" ht="15" hidden="false" customHeight="false" outlineLevel="0" collapsed="false">
      <c r="A4478" s="2" t="n">
        <v>42</v>
      </c>
      <c r="B4478" s="2" t="s">
        <v>29</v>
      </c>
      <c r="C4478" s="2" t="s">
        <v>18</v>
      </c>
      <c r="D4478" s="2" t="s">
        <v>31</v>
      </c>
      <c r="E4478" s="2" t="s">
        <v>20</v>
      </c>
      <c r="F4478" s="2" t="n">
        <v>603</v>
      </c>
      <c r="G4478" s="2" t="s">
        <v>26</v>
      </c>
      <c r="H4478" s="2" t="s">
        <v>20</v>
      </c>
      <c r="I4478" s="2" t="s">
        <v>21</v>
      </c>
      <c r="J4478" s="2" t="n">
        <v>5</v>
      </c>
      <c r="K4478" s="2" t="s">
        <v>46</v>
      </c>
      <c r="L4478" s="2" t="n">
        <v>298</v>
      </c>
      <c r="M4478" s="2" t="n">
        <v>5</v>
      </c>
      <c r="N4478" s="2" t="n">
        <v>-1</v>
      </c>
      <c r="O4478" s="2" t="n">
        <v>0</v>
      </c>
      <c r="P4478" s="2" t="s">
        <v>23</v>
      </c>
      <c r="Q4478" s="2" t="s">
        <v>20</v>
      </c>
    </row>
    <row r="4479" customFormat="false" ht="15" hidden="false" customHeight="false" outlineLevel="0" collapsed="false">
      <c r="A4479" s="2" t="n">
        <v>32</v>
      </c>
      <c r="B4479" s="2" t="s">
        <v>29</v>
      </c>
      <c r="C4479" s="2" t="s">
        <v>30</v>
      </c>
      <c r="D4479" s="2" t="s">
        <v>31</v>
      </c>
      <c r="E4479" s="2" t="s">
        <v>20</v>
      </c>
      <c r="F4479" s="2" t="n">
        <v>577</v>
      </c>
      <c r="G4479" s="2" t="s">
        <v>20</v>
      </c>
      <c r="H4479" s="2" t="s">
        <v>20</v>
      </c>
      <c r="I4479" s="2" t="s">
        <v>21</v>
      </c>
      <c r="J4479" s="2" t="n">
        <v>7</v>
      </c>
      <c r="K4479" s="2" t="s">
        <v>41</v>
      </c>
      <c r="L4479" s="2" t="n">
        <v>101</v>
      </c>
      <c r="M4479" s="2" t="n">
        <v>2</v>
      </c>
      <c r="N4479" s="2" t="n">
        <v>-1</v>
      </c>
      <c r="O4479" s="2" t="n">
        <v>0</v>
      </c>
      <c r="P4479" s="2" t="s">
        <v>23</v>
      </c>
      <c r="Q4479" s="2" t="s">
        <v>20</v>
      </c>
    </row>
    <row r="4480" customFormat="false" ht="15" hidden="false" customHeight="false" outlineLevel="0" collapsed="false">
      <c r="A4480" s="2" t="n">
        <v>43</v>
      </c>
      <c r="B4480" s="2" t="s">
        <v>29</v>
      </c>
      <c r="C4480" s="2" t="s">
        <v>18</v>
      </c>
      <c r="D4480" s="2" t="s">
        <v>31</v>
      </c>
      <c r="E4480" s="2" t="s">
        <v>20</v>
      </c>
      <c r="F4480" s="2" t="n">
        <v>0</v>
      </c>
      <c r="G4480" s="2" t="s">
        <v>26</v>
      </c>
      <c r="H4480" s="2" t="s">
        <v>20</v>
      </c>
      <c r="I4480" s="2" t="s">
        <v>21</v>
      </c>
      <c r="J4480" s="2" t="n">
        <v>17</v>
      </c>
      <c r="K4480" s="2" t="s">
        <v>46</v>
      </c>
      <c r="L4480" s="2" t="n">
        <v>110</v>
      </c>
      <c r="M4480" s="2" t="n">
        <v>1</v>
      </c>
      <c r="N4480" s="2" t="n">
        <v>-1</v>
      </c>
      <c r="O4480" s="2" t="n">
        <v>0</v>
      </c>
      <c r="P4480" s="2" t="s">
        <v>23</v>
      </c>
      <c r="Q4480" s="2" t="s">
        <v>20</v>
      </c>
    </row>
    <row r="4481" customFormat="false" ht="15" hidden="false" customHeight="false" outlineLevel="0" collapsed="false">
      <c r="A4481" s="2" t="n">
        <v>39</v>
      </c>
      <c r="B4481" s="2" t="s">
        <v>40</v>
      </c>
      <c r="C4481" s="2" t="s">
        <v>30</v>
      </c>
      <c r="D4481" s="2" t="s">
        <v>25</v>
      </c>
      <c r="E4481" s="2" t="s">
        <v>20</v>
      </c>
      <c r="F4481" s="2" t="n">
        <v>163</v>
      </c>
      <c r="G4481" s="2" t="s">
        <v>26</v>
      </c>
      <c r="H4481" s="2" t="s">
        <v>20</v>
      </c>
      <c r="I4481" s="2" t="s">
        <v>21</v>
      </c>
      <c r="J4481" s="2" t="n">
        <v>30</v>
      </c>
      <c r="K4481" s="2" t="s">
        <v>43</v>
      </c>
      <c r="L4481" s="2" t="n">
        <v>107</v>
      </c>
      <c r="M4481" s="2" t="n">
        <v>2</v>
      </c>
      <c r="N4481" s="2" t="n">
        <v>-1</v>
      </c>
      <c r="O4481" s="2" t="n">
        <v>0</v>
      </c>
      <c r="P4481" s="2" t="s">
        <v>23</v>
      </c>
      <c r="Q4481" s="2" t="s">
        <v>20</v>
      </c>
    </row>
    <row r="4482" customFormat="false" ht="15" hidden="false" customHeight="false" outlineLevel="0" collapsed="false">
      <c r="A4482" s="2" t="n">
        <v>23</v>
      </c>
      <c r="B4482" s="2" t="s">
        <v>34</v>
      </c>
      <c r="C4482" s="2" t="s">
        <v>18</v>
      </c>
      <c r="D4482" s="2" t="s">
        <v>19</v>
      </c>
      <c r="E4482" s="2" t="s">
        <v>20</v>
      </c>
      <c r="F4482" s="2" t="n">
        <v>1158</v>
      </c>
      <c r="G4482" s="2" t="s">
        <v>26</v>
      </c>
      <c r="H4482" s="2" t="s">
        <v>20</v>
      </c>
      <c r="I4482" s="2" t="s">
        <v>21</v>
      </c>
      <c r="J4482" s="2" t="n">
        <v>16</v>
      </c>
      <c r="K4482" s="2" t="s">
        <v>32</v>
      </c>
      <c r="L4482" s="2" t="n">
        <v>743</v>
      </c>
      <c r="M4482" s="2" t="n">
        <v>1</v>
      </c>
      <c r="N4482" s="2" t="n">
        <v>-1</v>
      </c>
      <c r="O4482" s="2" t="n">
        <v>0</v>
      </c>
      <c r="P4482" s="2" t="s">
        <v>23</v>
      </c>
      <c r="Q4482" s="2" t="s">
        <v>20</v>
      </c>
    </row>
    <row r="4483" customFormat="false" ht="15" hidden="false" customHeight="false" outlineLevel="0" collapsed="false">
      <c r="A4483" s="2" t="n">
        <v>43</v>
      </c>
      <c r="B4483" s="2" t="s">
        <v>24</v>
      </c>
      <c r="C4483" s="2" t="s">
        <v>18</v>
      </c>
      <c r="D4483" s="2" t="s">
        <v>25</v>
      </c>
      <c r="E4483" s="2" t="s">
        <v>20</v>
      </c>
      <c r="F4483" s="2" t="n">
        <v>642</v>
      </c>
      <c r="G4483" s="2" t="s">
        <v>20</v>
      </c>
      <c r="H4483" s="2" t="s">
        <v>20</v>
      </c>
      <c r="I4483" s="2" t="s">
        <v>21</v>
      </c>
      <c r="J4483" s="2" t="n">
        <v>31</v>
      </c>
      <c r="K4483" s="2" t="s">
        <v>44</v>
      </c>
      <c r="L4483" s="2" t="n">
        <v>644</v>
      </c>
      <c r="M4483" s="2" t="n">
        <v>2</v>
      </c>
      <c r="N4483" s="2" t="n">
        <v>-1</v>
      </c>
      <c r="O4483" s="2" t="n">
        <v>0</v>
      </c>
      <c r="P4483" s="2" t="s">
        <v>23</v>
      </c>
      <c r="Q4483" s="2" t="s">
        <v>20</v>
      </c>
    </row>
    <row r="4484" customFormat="false" ht="15" hidden="false" customHeight="false" outlineLevel="0" collapsed="false">
      <c r="A4484" s="2" t="n">
        <v>46</v>
      </c>
      <c r="B4484" s="2" t="s">
        <v>40</v>
      </c>
      <c r="C4484" s="2" t="s">
        <v>18</v>
      </c>
      <c r="D4484" s="2" t="s">
        <v>25</v>
      </c>
      <c r="E4484" s="2" t="s">
        <v>20</v>
      </c>
      <c r="F4484" s="2" t="n">
        <v>466</v>
      </c>
      <c r="G4484" s="2" t="s">
        <v>26</v>
      </c>
      <c r="H4484" s="2" t="s">
        <v>20</v>
      </c>
      <c r="I4484" s="2" t="s">
        <v>21</v>
      </c>
      <c r="J4484" s="2" t="n">
        <v>29</v>
      </c>
      <c r="K4484" s="2" t="s">
        <v>43</v>
      </c>
      <c r="L4484" s="2" t="n">
        <v>169</v>
      </c>
      <c r="M4484" s="2" t="n">
        <v>1</v>
      </c>
      <c r="N4484" s="2" t="n">
        <v>-1</v>
      </c>
      <c r="O4484" s="2" t="n">
        <v>0</v>
      </c>
      <c r="P4484" s="2" t="s">
        <v>23</v>
      </c>
      <c r="Q4484" s="2" t="s">
        <v>20</v>
      </c>
    </row>
    <row r="4485" customFormat="false" ht="15" hidden="false" customHeight="false" outlineLevel="0" collapsed="false">
      <c r="A4485" s="2" t="n">
        <v>31</v>
      </c>
      <c r="B4485" s="2" t="s">
        <v>38</v>
      </c>
      <c r="C4485" s="2" t="s">
        <v>18</v>
      </c>
      <c r="D4485" s="2" t="s">
        <v>25</v>
      </c>
      <c r="E4485" s="2" t="s">
        <v>20</v>
      </c>
      <c r="F4485" s="2" t="n">
        <v>119</v>
      </c>
      <c r="G4485" s="2" t="s">
        <v>26</v>
      </c>
      <c r="H4485" s="2" t="s">
        <v>20</v>
      </c>
      <c r="I4485" s="2" t="s">
        <v>21</v>
      </c>
      <c r="J4485" s="2" t="n">
        <v>4</v>
      </c>
      <c r="K4485" s="2" t="s">
        <v>35</v>
      </c>
      <c r="L4485" s="2" t="n">
        <v>380</v>
      </c>
      <c r="M4485" s="2" t="n">
        <v>1</v>
      </c>
      <c r="N4485" s="2" t="n">
        <v>-1</v>
      </c>
      <c r="O4485" s="2" t="n">
        <v>0</v>
      </c>
      <c r="P4485" s="2" t="s">
        <v>23</v>
      </c>
      <c r="Q4485" s="2" t="s">
        <v>20</v>
      </c>
    </row>
    <row r="4486" customFormat="false" ht="15" hidden="false" customHeight="false" outlineLevel="0" collapsed="false">
      <c r="A4486" s="2" t="n">
        <v>38</v>
      </c>
      <c r="B4486" s="2" t="s">
        <v>29</v>
      </c>
      <c r="C4486" s="2" t="s">
        <v>18</v>
      </c>
      <c r="D4486" s="2" t="s">
        <v>31</v>
      </c>
      <c r="E4486" s="2" t="s">
        <v>20</v>
      </c>
      <c r="F4486" s="2" t="n">
        <v>3436</v>
      </c>
      <c r="G4486" s="2" t="s">
        <v>20</v>
      </c>
      <c r="H4486" s="2" t="s">
        <v>20</v>
      </c>
      <c r="I4486" s="2" t="s">
        <v>21</v>
      </c>
      <c r="J4486" s="2" t="n">
        <v>21</v>
      </c>
      <c r="K4486" s="2" t="s">
        <v>46</v>
      </c>
      <c r="L4486" s="2" t="n">
        <v>663</v>
      </c>
      <c r="M4486" s="2" t="n">
        <v>4</v>
      </c>
      <c r="N4486" s="2" t="n">
        <v>-1</v>
      </c>
      <c r="O4486" s="2" t="n">
        <v>0</v>
      </c>
      <c r="P4486" s="2" t="s">
        <v>23</v>
      </c>
      <c r="Q4486" s="2" t="s">
        <v>26</v>
      </c>
    </row>
    <row r="4487" customFormat="false" ht="15" hidden="false" customHeight="false" outlineLevel="0" collapsed="false">
      <c r="A4487" s="2" t="n">
        <v>53</v>
      </c>
      <c r="B4487" s="2" t="s">
        <v>34</v>
      </c>
      <c r="C4487" s="2" t="s">
        <v>18</v>
      </c>
      <c r="D4487" s="2" t="s">
        <v>19</v>
      </c>
      <c r="E4487" s="2" t="s">
        <v>20</v>
      </c>
      <c r="F4487" s="2" t="n">
        <v>238</v>
      </c>
      <c r="G4487" s="2" t="s">
        <v>26</v>
      </c>
      <c r="H4487" s="2" t="s">
        <v>20</v>
      </c>
      <c r="I4487" s="2" t="s">
        <v>21</v>
      </c>
      <c r="J4487" s="2" t="n">
        <v>11</v>
      </c>
      <c r="K4487" s="2" t="s">
        <v>27</v>
      </c>
      <c r="L4487" s="2" t="n">
        <v>238</v>
      </c>
      <c r="M4487" s="2" t="n">
        <v>2</v>
      </c>
      <c r="N4487" s="2" t="n">
        <v>361</v>
      </c>
      <c r="O4487" s="2" t="n">
        <v>5</v>
      </c>
      <c r="P4487" s="2" t="s">
        <v>28</v>
      </c>
      <c r="Q4487" s="2" t="s">
        <v>20</v>
      </c>
    </row>
    <row r="4488" customFormat="false" ht="15" hidden="false" customHeight="false" outlineLevel="0" collapsed="false">
      <c r="A4488" s="2" t="n">
        <v>37</v>
      </c>
      <c r="B4488" s="2" t="s">
        <v>34</v>
      </c>
      <c r="C4488" s="2" t="s">
        <v>18</v>
      </c>
      <c r="D4488" s="2" t="s">
        <v>19</v>
      </c>
      <c r="E4488" s="2" t="s">
        <v>20</v>
      </c>
      <c r="F4488" s="2" t="n">
        <v>378</v>
      </c>
      <c r="G4488" s="2" t="s">
        <v>26</v>
      </c>
      <c r="H4488" s="2" t="s">
        <v>20</v>
      </c>
      <c r="I4488" s="2" t="s">
        <v>23</v>
      </c>
      <c r="J4488" s="2" t="n">
        <v>9</v>
      </c>
      <c r="K4488" s="2" t="s">
        <v>27</v>
      </c>
      <c r="L4488" s="2" t="n">
        <v>514</v>
      </c>
      <c r="M4488" s="2" t="n">
        <v>1</v>
      </c>
      <c r="N4488" s="2" t="n">
        <v>-1</v>
      </c>
      <c r="O4488" s="2" t="n">
        <v>0</v>
      </c>
      <c r="P4488" s="2" t="s">
        <v>23</v>
      </c>
      <c r="Q4488" s="2" t="s">
        <v>20</v>
      </c>
    </row>
    <row r="4489" customFormat="false" ht="15" hidden="false" customHeight="false" outlineLevel="0" collapsed="false">
      <c r="A4489" s="2" t="n">
        <v>49</v>
      </c>
      <c r="B4489" s="2" t="s">
        <v>39</v>
      </c>
      <c r="C4489" s="2" t="s">
        <v>45</v>
      </c>
      <c r="D4489" s="2" t="s">
        <v>25</v>
      </c>
      <c r="E4489" s="2" t="s">
        <v>20</v>
      </c>
      <c r="F4489" s="2" t="n">
        <v>32</v>
      </c>
      <c r="G4489" s="2" t="s">
        <v>20</v>
      </c>
      <c r="H4489" s="2" t="s">
        <v>20</v>
      </c>
      <c r="I4489" s="2" t="s">
        <v>21</v>
      </c>
      <c r="J4489" s="2" t="n">
        <v>5</v>
      </c>
      <c r="K4489" s="2" t="s">
        <v>35</v>
      </c>
      <c r="L4489" s="2" t="n">
        <v>128</v>
      </c>
      <c r="M4489" s="2" t="n">
        <v>1</v>
      </c>
      <c r="N4489" s="2" t="n">
        <v>-1</v>
      </c>
      <c r="O4489" s="2" t="n">
        <v>0</v>
      </c>
      <c r="P4489" s="2" t="s">
        <v>23</v>
      </c>
      <c r="Q4489" s="2" t="s">
        <v>20</v>
      </c>
    </row>
    <row r="4490" customFormat="false" ht="15" hidden="false" customHeight="false" outlineLevel="0" collapsed="false">
      <c r="A4490" s="2" t="n">
        <v>31</v>
      </c>
      <c r="B4490" s="2" t="s">
        <v>17</v>
      </c>
      <c r="C4490" s="2" t="s">
        <v>30</v>
      </c>
      <c r="D4490" s="2" t="s">
        <v>25</v>
      </c>
      <c r="E4490" s="2" t="s">
        <v>20</v>
      </c>
      <c r="F4490" s="2" t="n">
        <v>315</v>
      </c>
      <c r="G4490" s="2" t="s">
        <v>20</v>
      </c>
      <c r="H4490" s="2" t="s">
        <v>20</v>
      </c>
      <c r="I4490" s="2" t="s">
        <v>21</v>
      </c>
      <c r="J4490" s="2" t="n">
        <v>30</v>
      </c>
      <c r="K4490" s="2" t="s">
        <v>43</v>
      </c>
      <c r="L4490" s="2" t="n">
        <v>130</v>
      </c>
      <c r="M4490" s="2" t="n">
        <v>1</v>
      </c>
      <c r="N4490" s="2" t="n">
        <v>2</v>
      </c>
      <c r="O4490" s="2" t="n">
        <v>1</v>
      </c>
      <c r="P4490" s="2" t="s">
        <v>37</v>
      </c>
      <c r="Q4490" s="2" t="s">
        <v>20</v>
      </c>
    </row>
    <row r="4491" customFormat="false" ht="15" hidden="false" customHeight="false" outlineLevel="0" collapsed="false">
      <c r="A4491" s="2" t="n">
        <v>45</v>
      </c>
      <c r="B4491" s="2" t="s">
        <v>29</v>
      </c>
      <c r="C4491" s="2" t="s">
        <v>18</v>
      </c>
      <c r="D4491" s="2" t="s">
        <v>31</v>
      </c>
      <c r="E4491" s="2" t="s">
        <v>20</v>
      </c>
      <c r="F4491" s="2" t="n">
        <v>6945</v>
      </c>
      <c r="G4491" s="2" t="s">
        <v>20</v>
      </c>
      <c r="H4491" s="2" t="s">
        <v>20</v>
      </c>
      <c r="I4491" s="2" t="s">
        <v>21</v>
      </c>
      <c r="J4491" s="2" t="n">
        <v>5</v>
      </c>
      <c r="K4491" s="2" t="s">
        <v>41</v>
      </c>
      <c r="L4491" s="2" t="n">
        <v>131</v>
      </c>
      <c r="M4491" s="2" t="n">
        <v>5</v>
      </c>
      <c r="N4491" s="2" t="n">
        <v>356</v>
      </c>
      <c r="O4491" s="2" t="n">
        <v>3</v>
      </c>
      <c r="P4491" s="2" t="s">
        <v>28</v>
      </c>
      <c r="Q4491" s="2" t="s">
        <v>20</v>
      </c>
    </row>
    <row r="4492" customFormat="false" ht="15" hidden="false" customHeight="false" outlineLevel="0" collapsed="false">
      <c r="A4492" s="2" t="n">
        <v>58</v>
      </c>
      <c r="B4492" s="2" t="s">
        <v>40</v>
      </c>
      <c r="C4492" s="2" t="s">
        <v>18</v>
      </c>
      <c r="D4492" s="2" t="s">
        <v>25</v>
      </c>
      <c r="E4492" s="2" t="s">
        <v>20</v>
      </c>
      <c r="F4492" s="2" t="n">
        <v>3496</v>
      </c>
      <c r="G4492" s="2" t="s">
        <v>26</v>
      </c>
      <c r="H4492" s="2" t="s">
        <v>20</v>
      </c>
      <c r="I4492" s="2" t="s">
        <v>23</v>
      </c>
      <c r="J4492" s="2" t="n">
        <v>2</v>
      </c>
      <c r="K4492" s="2" t="s">
        <v>33</v>
      </c>
      <c r="L4492" s="2" t="n">
        <v>111</v>
      </c>
      <c r="M4492" s="2" t="n">
        <v>4</v>
      </c>
      <c r="N4492" s="2" t="n">
        <v>-1</v>
      </c>
      <c r="O4492" s="2" t="n">
        <v>0</v>
      </c>
      <c r="P4492" s="2" t="s">
        <v>23</v>
      </c>
      <c r="Q4492" s="2" t="s">
        <v>20</v>
      </c>
    </row>
    <row r="4493" customFormat="false" ht="15" hidden="false" customHeight="false" outlineLevel="0" collapsed="false">
      <c r="A4493" s="2" t="n">
        <v>35</v>
      </c>
      <c r="B4493" s="2" t="s">
        <v>34</v>
      </c>
      <c r="C4493" s="2" t="s">
        <v>30</v>
      </c>
      <c r="D4493" s="2" t="s">
        <v>25</v>
      </c>
      <c r="E4493" s="2" t="s">
        <v>20</v>
      </c>
      <c r="F4493" s="2" t="n">
        <v>0</v>
      </c>
      <c r="G4493" s="2" t="s">
        <v>26</v>
      </c>
      <c r="H4493" s="2" t="s">
        <v>20</v>
      </c>
      <c r="I4493" s="2" t="s">
        <v>21</v>
      </c>
      <c r="J4493" s="2" t="n">
        <v>16</v>
      </c>
      <c r="K4493" s="2" t="s">
        <v>32</v>
      </c>
      <c r="L4493" s="2" t="n">
        <v>169</v>
      </c>
      <c r="M4493" s="2" t="n">
        <v>1</v>
      </c>
      <c r="N4493" s="2" t="n">
        <v>-1</v>
      </c>
      <c r="O4493" s="2" t="n">
        <v>0</v>
      </c>
      <c r="P4493" s="2" t="s">
        <v>23</v>
      </c>
      <c r="Q4493" s="2" t="s">
        <v>20</v>
      </c>
    </row>
    <row r="4494" customFormat="false" ht="15" hidden="false" customHeight="false" outlineLevel="0" collapsed="false">
      <c r="A4494" s="2" t="n">
        <v>32</v>
      </c>
      <c r="B4494" s="2" t="s">
        <v>38</v>
      </c>
      <c r="C4494" s="2" t="s">
        <v>30</v>
      </c>
      <c r="D4494" s="2" t="s">
        <v>25</v>
      </c>
      <c r="E4494" s="2" t="s">
        <v>20</v>
      </c>
      <c r="F4494" s="2" t="n">
        <v>309</v>
      </c>
      <c r="G4494" s="2" t="s">
        <v>26</v>
      </c>
      <c r="H4494" s="2" t="s">
        <v>26</v>
      </c>
      <c r="I4494" s="2" t="s">
        <v>21</v>
      </c>
      <c r="J4494" s="2" t="n">
        <v>16</v>
      </c>
      <c r="K4494" s="2" t="s">
        <v>32</v>
      </c>
      <c r="L4494" s="2" t="n">
        <v>346</v>
      </c>
      <c r="M4494" s="2" t="n">
        <v>1</v>
      </c>
      <c r="N4494" s="2" t="n">
        <v>234</v>
      </c>
      <c r="O4494" s="2" t="n">
        <v>3</v>
      </c>
      <c r="P4494" s="2" t="s">
        <v>28</v>
      </c>
      <c r="Q4494" s="2" t="s">
        <v>20</v>
      </c>
    </row>
    <row r="4495" customFormat="false" ht="15" hidden="false" customHeight="false" outlineLevel="0" collapsed="false">
      <c r="A4495" s="2" t="n">
        <v>28</v>
      </c>
      <c r="B4495" s="2" t="s">
        <v>38</v>
      </c>
      <c r="C4495" s="2" t="s">
        <v>30</v>
      </c>
      <c r="D4495" s="2" t="s">
        <v>31</v>
      </c>
      <c r="E4495" s="2" t="s">
        <v>20</v>
      </c>
      <c r="F4495" s="2" t="n">
        <v>0</v>
      </c>
      <c r="G4495" s="2" t="s">
        <v>26</v>
      </c>
      <c r="H4495" s="2" t="s">
        <v>20</v>
      </c>
      <c r="I4495" s="2" t="s">
        <v>23</v>
      </c>
      <c r="J4495" s="2" t="n">
        <v>4</v>
      </c>
      <c r="K4495" s="2" t="s">
        <v>33</v>
      </c>
      <c r="L4495" s="2" t="n">
        <v>205</v>
      </c>
      <c r="M4495" s="2" t="n">
        <v>6</v>
      </c>
      <c r="N4495" s="2" t="n">
        <v>-1</v>
      </c>
      <c r="O4495" s="2" t="n">
        <v>0</v>
      </c>
      <c r="P4495" s="2" t="s">
        <v>23</v>
      </c>
      <c r="Q4495" s="2" t="s">
        <v>20</v>
      </c>
    </row>
    <row r="4496" customFormat="false" ht="15" hidden="false" customHeight="false" outlineLevel="0" collapsed="false">
      <c r="A4496" s="2" t="n">
        <v>26</v>
      </c>
      <c r="B4496" s="2" t="s">
        <v>38</v>
      </c>
      <c r="C4496" s="2" t="s">
        <v>30</v>
      </c>
      <c r="D4496" s="2" t="s">
        <v>25</v>
      </c>
      <c r="E4496" s="2" t="s">
        <v>20</v>
      </c>
      <c r="F4496" s="2" t="n">
        <v>668</v>
      </c>
      <c r="G4496" s="2" t="s">
        <v>26</v>
      </c>
      <c r="H4496" s="2" t="s">
        <v>20</v>
      </c>
      <c r="I4496" s="2" t="s">
        <v>23</v>
      </c>
      <c r="J4496" s="2" t="n">
        <v>28</v>
      </c>
      <c r="K4496" s="2" t="s">
        <v>27</v>
      </c>
      <c r="L4496" s="2" t="n">
        <v>576</v>
      </c>
      <c r="M4496" s="2" t="n">
        <v>3</v>
      </c>
      <c r="N4496" s="2" t="n">
        <v>-1</v>
      </c>
      <c r="O4496" s="2" t="n">
        <v>0</v>
      </c>
      <c r="P4496" s="2" t="s">
        <v>23</v>
      </c>
      <c r="Q4496" s="2" t="s">
        <v>26</v>
      </c>
    </row>
    <row r="4497" customFormat="false" ht="15" hidden="false" customHeight="false" outlineLevel="0" collapsed="false">
      <c r="A4497" s="2" t="n">
        <v>48</v>
      </c>
      <c r="B4497" s="2" t="s">
        <v>29</v>
      </c>
      <c r="C4497" s="2" t="s">
        <v>18</v>
      </c>
      <c r="D4497" s="2" t="s">
        <v>31</v>
      </c>
      <c r="E4497" s="2" t="s">
        <v>20</v>
      </c>
      <c r="F4497" s="2" t="n">
        <v>1175</v>
      </c>
      <c r="G4497" s="2" t="s">
        <v>26</v>
      </c>
      <c r="H4497" s="2" t="s">
        <v>20</v>
      </c>
      <c r="I4497" s="2" t="s">
        <v>49</v>
      </c>
      <c r="J4497" s="2" t="n">
        <v>18</v>
      </c>
      <c r="K4497" s="2" t="s">
        <v>46</v>
      </c>
      <c r="L4497" s="2" t="n">
        <v>1476</v>
      </c>
      <c r="M4497" s="2" t="n">
        <v>3</v>
      </c>
      <c r="N4497" s="2" t="n">
        <v>-1</v>
      </c>
      <c r="O4497" s="2" t="n">
        <v>0</v>
      </c>
      <c r="P4497" s="2" t="s">
        <v>23</v>
      </c>
      <c r="Q4497" s="2" t="s">
        <v>20</v>
      </c>
    </row>
    <row r="4498" customFormat="false" ht="15" hidden="false" customHeight="false" outlineLevel="0" collapsed="false">
      <c r="A4498" s="2" t="n">
        <v>30</v>
      </c>
      <c r="B4498" s="2" t="s">
        <v>34</v>
      </c>
      <c r="C4498" s="2" t="s">
        <v>30</v>
      </c>
      <c r="D4498" s="2" t="s">
        <v>25</v>
      </c>
      <c r="E4498" s="2" t="s">
        <v>20</v>
      </c>
      <c r="F4498" s="2" t="n">
        <v>363</v>
      </c>
      <c r="G4498" s="2" t="s">
        <v>20</v>
      </c>
      <c r="H4498" s="2" t="s">
        <v>20</v>
      </c>
      <c r="I4498" s="2" t="s">
        <v>21</v>
      </c>
      <c r="J4498" s="2" t="n">
        <v>28</v>
      </c>
      <c r="K4498" s="2" t="s">
        <v>44</v>
      </c>
      <c r="L4498" s="2" t="n">
        <v>171</v>
      </c>
      <c r="M4498" s="2" t="n">
        <v>3</v>
      </c>
      <c r="N4498" s="2" t="n">
        <v>-1</v>
      </c>
      <c r="O4498" s="2" t="n">
        <v>0</v>
      </c>
      <c r="P4498" s="2" t="s">
        <v>23</v>
      </c>
      <c r="Q4498" s="2" t="s">
        <v>20</v>
      </c>
    </row>
    <row r="4499" customFormat="false" ht="15" hidden="false" customHeight="false" outlineLevel="0" collapsed="false">
      <c r="A4499" s="2" t="n">
        <v>31</v>
      </c>
      <c r="B4499" s="2" t="s">
        <v>39</v>
      </c>
      <c r="C4499" s="2" t="s">
        <v>30</v>
      </c>
      <c r="D4499" s="2" t="s">
        <v>31</v>
      </c>
      <c r="E4499" s="2" t="s">
        <v>20</v>
      </c>
      <c r="F4499" s="2" t="n">
        <v>38</v>
      </c>
      <c r="G4499" s="2" t="s">
        <v>20</v>
      </c>
      <c r="H4499" s="2" t="s">
        <v>20</v>
      </c>
      <c r="I4499" s="2" t="s">
        <v>21</v>
      </c>
      <c r="J4499" s="2" t="n">
        <v>20</v>
      </c>
      <c r="K4499" s="2" t="s">
        <v>46</v>
      </c>
      <c r="L4499" s="2" t="n">
        <v>185</v>
      </c>
      <c r="M4499" s="2" t="n">
        <v>2</v>
      </c>
      <c r="N4499" s="2" t="n">
        <v>-1</v>
      </c>
      <c r="O4499" s="2" t="n">
        <v>0</v>
      </c>
      <c r="P4499" s="2" t="s">
        <v>23</v>
      </c>
      <c r="Q4499" s="2" t="s">
        <v>20</v>
      </c>
    </row>
    <row r="4500" customFormat="false" ht="15" hidden="false" customHeight="false" outlineLevel="0" collapsed="false">
      <c r="A4500" s="2" t="n">
        <v>31</v>
      </c>
      <c r="B4500" s="2" t="s">
        <v>29</v>
      </c>
      <c r="C4500" s="2" t="s">
        <v>18</v>
      </c>
      <c r="D4500" s="2" t="s">
        <v>31</v>
      </c>
      <c r="E4500" s="2" t="s">
        <v>20</v>
      </c>
      <c r="F4500" s="2" t="n">
        <v>1183</v>
      </c>
      <c r="G4500" s="2" t="s">
        <v>26</v>
      </c>
      <c r="H4500" s="2" t="s">
        <v>20</v>
      </c>
      <c r="I4500" s="2" t="s">
        <v>23</v>
      </c>
      <c r="J4500" s="2" t="n">
        <v>27</v>
      </c>
      <c r="K4500" s="2" t="s">
        <v>27</v>
      </c>
      <c r="L4500" s="2" t="n">
        <v>676</v>
      </c>
      <c r="M4500" s="2" t="n">
        <v>6</v>
      </c>
      <c r="N4500" s="2" t="n">
        <v>-1</v>
      </c>
      <c r="O4500" s="2" t="n">
        <v>0</v>
      </c>
      <c r="P4500" s="2" t="s">
        <v>23</v>
      </c>
      <c r="Q4500" s="2" t="s">
        <v>20</v>
      </c>
    </row>
    <row r="4501" customFormat="false" ht="15" hidden="false" customHeight="false" outlineLevel="0" collapsed="false">
      <c r="A4501" s="2" t="n">
        <v>45</v>
      </c>
      <c r="B4501" s="2" t="s">
        <v>34</v>
      </c>
      <c r="C4501" s="2" t="s">
        <v>45</v>
      </c>
      <c r="D4501" s="2" t="s">
        <v>19</v>
      </c>
      <c r="E4501" s="2" t="s">
        <v>20</v>
      </c>
      <c r="F4501" s="2" t="n">
        <v>942</v>
      </c>
      <c r="G4501" s="2" t="s">
        <v>20</v>
      </c>
      <c r="H4501" s="2" t="s">
        <v>20</v>
      </c>
      <c r="I4501" s="2" t="s">
        <v>21</v>
      </c>
      <c r="J4501" s="2" t="n">
        <v>21</v>
      </c>
      <c r="K4501" s="2" t="s">
        <v>46</v>
      </c>
      <c r="L4501" s="2" t="n">
        <v>362</v>
      </c>
      <c r="M4501" s="2" t="n">
        <v>1</v>
      </c>
      <c r="N4501" s="2" t="n">
        <v>-1</v>
      </c>
      <c r="O4501" s="2" t="n">
        <v>0</v>
      </c>
      <c r="P4501" s="2" t="s">
        <v>23</v>
      </c>
      <c r="Q4501" s="2" t="s">
        <v>20</v>
      </c>
    </row>
    <row r="4502" customFormat="false" ht="15" hidden="false" customHeight="false" outlineLevel="0" collapsed="false">
      <c r="A4502" s="2" t="n">
        <v>38</v>
      </c>
      <c r="B4502" s="2" t="s">
        <v>40</v>
      </c>
      <c r="C4502" s="2" t="s">
        <v>18</v>
      </c>
      <c r="D4502" s="2" t="s">
        <v>25</v>
      </c>
      <c r="E4502" s="2" t="s">
        <v>20</v>
      </c>
      <c r="F4502" s="2" t="n">
        <v>4196</v>
      </c>
      <c r="G4502" s="2" t="s">
        <v>26</v>
      </c>
      <c r="H4502" s="2" t="s">
        <v>20</v>
      </c>
      <c r="I4502" s="2" t="s">
        <v>21</v>
      </c>
      <c r="J4502" s="2" t="n">
        <v>12</v>
      </c>
      <c r="K4502" s="2" t="s">
        <v>27</v>
      </c>
      <c r="L4502" s="2" t="n">
        <v>193</v>
      </c>
      <c r="M4502" s="2" t="n">
        <v>2</v>
      </c>
      <c r="N4502" s="2" t="n">
        <v>-1</v>
      </c>
      <c r="O4502" s="2" t="n">
        <v>0</v>
      </c>
      <c r="P4502" s="2" t="s">
        <v>23</v>
      </c>
      <c r="Q4502" s="2" t="s">
        <v>20</v>
      </c>
    </row>
    <row r="4503" customFormat="false" ht="15" hidden="false" customHeight="false" outlineLevel="0" collapsed="false">
      <c r="A4503" s="2" t="n">
        <v>34</v>
      </c>
      <c r="B4503" s="2" t="s">
        <v>29</v>
      </c>
      <c r="C4503" s="2" t="s">
        <v>18</v>
      </c>
      <c r="D4503" s="2" t="s">
        <v>31</v>
      </c>
      <c r="E4503" s="2" t="s">
        <v>20</v>
      </c>
      <c r="F4503" s="2" t="n">
        <v>297</v>
      </c>
      <c r="G4503" s="2" t="s">
        <v>26</v>
      </c>
      <c r="H4503" s="2" t="s">
        <v>20</v>
      </c>
      <c r="I4503" s="2" t="s">
        <v>21</v>
      </c>
      <c r="J4503" s="2" t="n">
        <v>26</v>
      </c>
      <c r="K4503" s="2" t="s">
        <v>41</v>
      </c>
      <c r="L4503" s="2" t="n">
        <v>63</v>
      </c>
      <c r="M4503" s="2" t="n">
        <v>4</v>
      </c>
      <c r="N4503" s="2" t="n">
        <v>-1</v>
      </c>
      <c r="O4503" s="2" t="n">
        <v>0</v>
      </c>
      <c r="P4503" s="2" t="s">
        <v>23</v>
      </c>
      <c r="Q4503" s="2" t="s">
        <v>20</v>
      </c>
    </row>
    <row r="4504" customFormat="false" ht="15" hidden="false" customHeight="false" outlineLevel="0" collapsed="false">
      <c r="A4504" s="2" t="n">
        <v>42</v>
      </c>
      <c r="B4504" s="2" t="s">
        <v>24</v>
      </c>
      <c r="C4504" s="2" t="s">
        <v>18</v>
      </c>
      <c r="D4504" s="2" t="s">
        <v>25</v>
      </c>
      <c r="E4504" s="2" t="s">
        <v>20</v>
      </c>
      <c r="F4504" s="2" t="n">
        <v>-91</v>
      </c>
      <c r="G4504" s="2" t="s">
        <v>26</v>
      </c>
      <c r="H4504" s="2" t="s">
        <v>26</v>
      </c>
      <c r="I4504" s="2" t="s">
        <v>21</v>
      </c>
      <c r="J4504" s="2" t="n">
        <v>5</v>
      </c>
      <c r="K4504" s="2" t="s">
        <v>35</v>
      </c>
      <c r="L4504" s="2" t="n">
        <v>43</v>
      </c>
      <c r="M4504" s="2" t="n">
        <v>1</v>
      </c>
      <c r="N4504" s="2" t="n">
        <v>-1</v>
      </c>
      <c r="O4504" s="2" t="n">
        <v>0</v>
      </c>
      <c r="P4504" s="2" t="s">
        <v>23</v>
      </c>
      <c r="Q4504" s="2" t="s">
        <v>20</v>
      </c>
    </row>
    <row r="4505" customFormat="false" ht="15" hidden="false" customHeight="false" outlineLevel="0" collapsed="false">
      <c r="A4505" s="2" t="n">
        <v>60</v>
      </c>
      <c r="B4505" s="2" t="s">
        <v>36</v>
      </c>
      <c r="C4505" s="2" t="s">
        <v>18</v>
      </c>
      <c r="D4505" s="2" t="s">
        <v>19</v>
      </c>
      <c r="E4505" s="2" t="s">
        <v>20</v>
      </c>
      <c r="F4505" s="2" t="n">
        <v>362</v>
      </c>
      <c r="G4505" s="2" t="s">
        <v>20</v>
      </c>
      <c r="H4505" s="2" t="s">
        <v>26</v>
      </c>
      <c r="I4505" s="2" t="s">
        <v>21</v>
      </c>
      <c r="J4505" s="2" t="n">
        <v>29</v>
      </c>
      <c r="K4505" s="2" t="s">
        <v>44</v>
      </c>
      <c r="L4505" s="2" t="n">
        <v>816</v>
      </c>
      <c r="M4505" s="2" t="n">
        <v>6</v>
      </c>
      <c r="N4505" s="2" t="n">
        <v>-1</v>
      </c>
      <c r="O4505" s="2" t="n">
        <v>0</v>
      </c>
      <c r="P4505" s="2" t="s">
        <v>23</v>
      </c>
      <c r="Q4505" s="2" t="s">
        <v>26</v>
      </c>
    </row>
    <row r="4506" customFormat="false" ht="15" hidden="false" customHeight="false" outlineLevel="0" collapsed="false">
      <c r="A4506" s="2" t="n">
        <v>42</v>
      </c>
      <c r="B4506" s="2" t="s">
        <v>34</v>
      </c>
      <c r="C4506" s="2" t="s">
        <v>30</v>
      </c>
      <c r="D4506" s="2" t="s">
        <v>25</v>
      </c>
      <c r="E4506" s="2" t="s">
        <v>20</v>
      </c>
      <c r="F4506" s="2" t="n">
        <v>1080</v>
      </c>
      <c r="G4506" s="2" t="s">
        <v>26</v>
      </c>
      <c r="H4506" s="2" t="s">
        <v>26</v>
      </c>
      <c r="I4506" s="2" t="s">
        <v>21</v>
      </c>
      <c r="J4506" s="2" t="n">
        <v>13</v>
      </c>
      <c r="K4506" s="2" t="s">
        <v>27</v>
      </c>
      <c r="L4506" s="2" t="n">
        <v>951</v>
      </c>
      <c r="M4506" s="2" t="n">
        <v>3</v>
      </c>
      <c r="N4506" s="2" t="n">
        <v>370</v>
      </c>
      <c r="O4506" s="2" t="n">
        <v>4</v>
      </c>
      <c r="P4506" s="2" t="s">
        <v>28</v>
      </c>
      <c r="Q4506" s="2" t="s">
        <v>26</v>
      </c>
    </row>
    <row r="4507" customFormat="false" ht="15" hidden="false" customHeight="false" outlineLevel="0" collapsed="false">
      <c r="A4507" s="2" t="n">
        <v>32</v>
      </c>
      <c r="B4507" s="2" t="s">
        <v>40</v>
      </c>
      <c r="C4507" s="2" t="s">
        <v>30</v>
      </c>
      <c r="D4507" s="2" t="s">
        <v>25</v>
      </c>
      <c r="E4507" s="2" t="s">
        <v>20</v>
      </c>
      <c r="F4507" s="2" t="n">
        <v>620</v>
      </c>
      <c r="G4507" s="2" t="s">
        <v>26</v>
      </c>
      <c r="H4507" s="2" t="s">
        <v>20</v>
      </c>
      <c r="I4507" s="2" t="s">
        <v>23</v>
      </c>
      <c r="J4507" s="2" t="n">
        <v>26</v>
      </c>
      <c r="K4507" s="2" t="s">
        <v>27</v>
      </c>
      <c r="L4507" s="2" t="n">
        <v>1234</v>
      </c>
      <c r="M4507" s="2" t="n">
        <v>3</v>
      </c>
      <c r="N4507" s="2" t="n">
        <v>-1</v>
      </c>
      <c r="O4507" s="2" t="n">
        <v>0</v>
      </c>
      <c r="P4507" s="2" t="s">
        <v>23</v>
      </c>
      <c r="Q4507" s="2" t="s">
        <v>26</v>
      </c>
    </row>
    <row r="4508" customFormat="false" ht="15" hidden="false" customHeight="false" outlineLevel="0" collapsed="false">
      <c r="A4508" s="2" t="n">
        <v>42</v>
      </c>
      <c r="B4508" s="2" t="s">
        <v>17</v>
      </c>
      <c r="C4508" s="2" t="s">
        <v>45</v>
      </c>
      <c r="D4508" s="2" t="s">
        <v>31</v>
      </c>
      <c r="E4508" s="2" t="s">
        <v>20</v>
      </c>
      <c r="F4508" s="2" t="n">
        <v>-166</v>
      </c>
      <c r="G4508" s="2" t="s">
        <v>20</v>
      </c>
      <c r="H4508" s="2" t="s">
        <v>20</v>
      </c>
      <c r="I4508" s="2" t="s">
        <v>21</v>
      </c>
      <c r="J4508" s="2" t="n">
        <v>29</v>
      </c>
      <c r="K4508" s="2" t="s">
        <v>41</v>
      </c>
      <c r="L4508" s="2" t="n">
        <v>85</v>
      </c>
      <c r="M4508" s="2" t="n">
        <v>4</v>
      </c>
      <c r="N4508" s="2" t="n">
        <v>-1</v>
      </c>
      <c r="O4508" s="2" t="n">
        <v>0</v>
      </c>
      <c r="P4508" s="2" t="s">
        <v>23</v>
      </c>
      <c r="Q4508" s="2" t="s">
        <v>20</v>
      </c>
    </row>
    <row r="4509" customFormat="false" ht="15" hidden="false" customHeight="false" outlineLevel="0" collapsed="false">
      <c r="A4509" s="2" t="n">
        <v>33</v>
      </c>
      <c r="B4509" s="2" t="s">
        <v>24</v>
      </c>
      <c r="C4509" s="2" t="s">
        <v>18</v>
      </c>
      <c r="D4509" s="2" t="s">
        <v>25</v>
      </c>
      <c r="E4509" s="2" t="s">
        <v>20</v>
      </c>
      <c r="F4509" s="2" t="n">
        <v>288</v>
      </c>
      <c r="G4509" s="2" t="s">
        <v>26</v>
      </c>
      <c r="H4509" s="2" t="s">
        <v>20</v>
      </c>
      <c r="I4509" s="2" t="s">
        <v>21</v>
      </c>
      <c r="J4509" s="2" t="n">
        <v>17</v>
      </c>
      <c r="K4509" s="2" t="s">
        <v>32</v>
      </c>
      <c r="L4509" s="2" t="n">
        <v>306</v>
      </c>
      <c r="M4509" s="2" t="n">
        <v>1</v>
      </c>
      <c r="N4509" s="2" t="n">
        <v>-1</v>
      </c>
      <c r="O4509" s="2" t="n">
        <v>0</v>
      </c>
      <c r="P4509" s="2" t="s">
        <v>23</v>
      </c>
      <c r="Q4509" s="2" t="s">
        <v>20</v>
      </c>
    </row>
    <row r="4510" customFormat="false" ht="15" hidden="false" customHeight="false" outlineLevel="0" collapsed="false">
      <c r="A4510" s="2" t="n">
        <v>42</v>
      </c>
      <c r="B4510" s="2" t="s">
        <v>40</v>
      </c>
      <c r="C4510" s="2" t="s">
        <v>18</v>
      </c>
      <c r="D4510" s="2" t="s">
        <v>23</v>
      </c>
      <c r="E4510" s="2" t="s">
        <v>20</v>
      </c>
      <c r="F4510" s="2" t="n">
        <v>642</v>
      </c>
      <c r="G4510" s="2" t="s">
        <v>26</v>
      </c>
      <c r="H4510" s="2" t="s">
        <v>26</v>
      </c>
      <c r="I4510" s="2" t="s">
        <v>23</v>
      </c>
      <c r="J4510" s="2" t="n">
        <v>16</v>
      </c>
      <c r="K4510" s="2" t="s">
        <v>27</v>
      </c>
      <c r="L4510" s="2" t="n">
        <v>509</v>
      </c>
      <c r="M4510" s="2" t="n">
        <v>2</v>
      </c>
      <c r="N4510" s="2" t="n">
        <v>-1</v>
      </c>
      <c r="O4510" s="2" t="n">
        <v>0</v>
      </c>
      <c r="P4510" s="2" t="s">
        <v>23</v>
      </c>
      <c r="Q4510" s="2" t="s">
        <v>20</v>
      </c>
    </row>
    <row r="4511" customFormat="false" ht="15" hidden="false" customHeight="false" outlineLevel="0" collapsed="false">
      <c r="A4511" s="2" t="n">
        <v>51</v>
      </c>
      <c r="B4511" s="2" t="s">
        <v>38</v>
      </c>
      <c r="C4511" s="2" t="s">
        <v>18</v>
      </c>
      <c r="D4511" s="2" t="s">
        <v>31</v>
      </c>
      <c r="E4511" s="2" t="s">
        <v>20</v>
      </c>
      <c r="F4511" s="2" t="n">
        <v>2506</v>
      </c>
      <c r="G4511" s="2" t="s">
        <v>20</v>
      </c>
      <c r="H4511" s="2" t="s">
        <v>20</v>
      </c>
      <c r="I4511" s="2" t="s">
        <v>21</v>
      </c>
      <c r="J4511" s="2" t="n">
        <v>30</v>
      </c>
      <c r="K4511" s="2" t="s">
        <v>46</v>
      </c>
      <c r="L4511" s="2" t="n">
        <v>210</v>
      </c>
      <c r="M4511" s="2" t="n">
        <v>3</v>
      </c>
      <c r="N4511" s="2" t="n">
        <v>-1</v>
      </c>
      <c r="O4511" s="2" t="n">
        <v>0</v>
      </c>
      <c r="P4511" s="2" t="s">
        <v>23</v>
      </c>
      <c r="Q4511" s="2" t="s">
        <v>20</v>
      </c>
    </row>
    <row r="4512" customFormat="false" ht="15" hidden="false" customHeight="false" outlineLevel="0" collapsed="false">
      <c r="A4512" s="2" t="n">
        <v>36</v>
      </c>
      <c r="B4512" s="2" t="s">
        <v>38</v>
      </c>
      <c r="C4512" s="2" t="s">
        <v>45</v>
      </c>
      <c r="D4512" s="2" t="s">
        <v>25</v>
      </c>
      <c r="E4512" s="2" t="s">
        <v>20</v>
      </c>
      <c r="F4512" s="2" t="n">
        <v>566</v>
      </c>
      <c r="G4512" s="2" t="s">
        <v>26</v>
      </c>
      <c r="H4512" s="2" t="s">
        <v>20</v>
      </c>
      <c r="I4512" s="2" t="s">
        <v>23</v>
      </c>
      <c r="J4512" s="2" t="n">
        <v>20</v>
      </c>
      <c r="K4512" s="2" t="s">
        <v>27</v>
      </c>
      <c r="L4512" s="2" t="n">
        <v>129</v>
      </c>
      <c r="M4512" s="2" t="n">
        <v>2</v>
      </c>
      <c r="N4512" s="2" t="n">
        <v>-1</v>
      </c>
      <c r="O4512" s="2" t="n">
        <v>0</v>
      </c>
      <c r="P4512" s="2" t="s">
        <v>23</v>
      </c>
      <c r="Q4512" s="2" t="s">
        <v>20</v>
      </c>
    </row>
    <row r="4513" customFormat="false" ht="15" hidden="false" customHeight="false" outlineLevel="0" collapsed="false">
      <c r="A4513" s="2" t="n">
        <v>46</v>
      </c>
      <c r="B4513" s="2" t="s">
        <v>34</v>
      </c>
      <c r="C4513" s="2" t="s">
        <v>18</v>
      </c>
      <c r="D4513" s="2" t="s">
        <v>25</v>
      </c>
      <c r="E4513" s="2" t="s">
        <v>20</v>
      </c>
      <c r="F4513" s="2" t="n">
        <v>668</v>
      </c>
      <c r="G4513" s="2" t="s">
        <v>26</v>
      </c>
      <c r="H4513" s="2" t="s">
        <v>20</v>
      </c>
      <c r="I4513" s="2" t="s">
        <v>23</v>
      </c>
      <c r="J4513" s="2" t="n">
        <v>15</v>
      </c>
      <c r="K4513" s="2" t="s">
        <v>27</v>
      </c>
      <c r="L4513" s="2" t="n">
        <v>1263</v>
      </c>
      <c r="M4513" s="2" t="n">
        <v>2</v>
      </c>
      <c r="N4513" s="2" t="n">
        <v>-1</v>
      </c>
      <c r="O4513" s="2" t="n">
        <v>0</v>
      </c>
      <c r="P4513" s="2" t="s">
        <v>23</v>
      </c>
      <c r="Q4513" s="2" t="s">
        <v>26</v>
      </c>
    </row>
    <row r="4514" customFormat="false" ht="15" hidden="false" customHeight="false" outlineLevel="0" collapsed="false">
      <c r="A4514" s="2" t="n">
        <v>40</v>
      </c>
      <c r="B4514" s="2" t="s">
        <v>34</v>
      </c>
      <c r="C4514" s="2" t="s">
        <v>18</v>
      </c>
      <c r="D4514" s="2" t="s">
        <v>25</v>
      </c>
      <c r="E4514" s="2" t="s">
        <v>20</v>
      </c>
      <c r="F4514" s="2" t="n">
        <v>1100</v>
      </c>
      <c r="G4514" s="2" t="s">
        <v>26</v>
      </c>
      <c r="H4514" s="2" t="s">
        <v>20</v>
      </c>
      <c r="I4514" s="2" t="s">
        <v>23</v>
      </c>
      <c r="J4514" s="2" t="n">
        <v>29</v>
      </c>
      <c r="K4514" s="2" t="s">
        <v>27</v>
      </c>
      <c r="L4514" s="2" t="n">
        <v>660</v>
      </c>
      <c r="M4514" s="2" t="n">
        <v>2</v>
      </c>
      <c r="N4514" s="2" t="n">
        <v>-1</v>
      </c>
      <c r="O4514" s="2" t="n">
        <v>0</v>
      </c>
      <c r="P4514" s="2" t="s">
        <v>23</v>
      </c>
      <c r="Q4514" s="2" t="s">
        <v>20</v>
      </c>
    </row>
    <row r="4515" customFormat="false" ht="15" hidden="false" customHeight="false" outlineLevel="0" collapsed="false">
      <c r="A4515" s="2" t="n">
        <v>49</v>
      </c>
      <c r="B4515" s="2" t="s">
        <v>34</v>
      </c>
      <c r="C4515" s="2" t="s">
        <v>18</v>
      </c>
      <c r="D4515" s="2" t="s">
        <v>25</v>
      </c>
      <c r="E4515" s="2" t="s">
        <v>20</v>
      </c>
      <c r="F4515" s="2" t="n">
        <v>322</v>
      </c>
      <c r="G4515" s="2" t="s">
        <v>20</v>
      </c>
      <c r="H4515" s="2" t="s">
        <v>20</v>
      </c>
      <c r="I4515" s="2" t="s">
        <v>21</v>
      </c>
      <c r="J4515" s="2" t="n">
        <v>14</v>
      </c>
      <c r="K4515" s="2" t="s">
        <v>41</v>
      </c>
      <c r="L4515" s="2" t="n">
        <v>356</v>
      </c>
      <c r="M4515" s="2" t="n">
        <v>2</v>
      </c>
      <c r="N4515" s="2" t="n">
        <v>-1</v>
      </c>
      <c r="O4515" s="2" t="n">
        <v>0</v>
      </c>
      <c r="P4515" s="2" t="s">
        <v>23</v>
      </c>
      <c r="Q4515" s="2" t="s">
        <v>20</v>
      </c>
    </row>
    <row r="4516" customFormat="false" ht="15" hidden="false" customHeight="false" outlineLevel="0" collapsed="false">
      <c r="A4516" s="2" t="n">
        <v>38</v>
      </c>
      <c r="B4516" s="2" t="s">
        <v>34</v>
      </c>
      <c r="C4516" s="2" t="s">
        <v>18</v>
      </c>
      <c r="D4516" s="2" t="s">
        <v>25</v>
      </c>
      <c r="E4516" s="2" t="s">
        <v>20</v>
      </c>
      <c r="F4516" s="2" t="n">
        <v>1205</v>
      </c>
      <c r="G4516" s="2" t="s">
        <v>26</v>
      </c>
      <c r="H4516" s="2" t="s">
        <v>20</v>
      </c>
      <c r="I4516" s="2" t="s">
        <v>21</v>
      </c>
      <c r="J4516" s="2" t="n">
        <v>20</v>
      </c>
      <c r="K4516" s="2" t="s">
        <v>32</v>
      </c>
      <c r="L4516" s="2" t="n">
        <v>45</v>
      </c>
      <c r="M4516" s="2" t="n">
        <v>4</v>
      </c>
      <c r="N4516" s="2" t="n">
        <v>153</v>
      </c>
      <c r="O4516" s="2" t="n">
        <v>1</v>
      </c>
      <c r="P4516" s="2" t="s">
        <v>28</v>
      </c>
      <c r="Q4516" s="2" t="s">
        <v>20</v>
      </c>
    </row>
    <row r="4517" customFormat="false" ht="15" hidden="false" customHeight="false" outlineLevel="0" collapsed="false">
      <c r="A4517" s="2" t="n">
        <v>32</v>
      </c>
      <c r="B4517" s="2" t="s">
        <v>24</v>
      </c>
      <c r="C4517" s="2" t="s">
        <v>30</v>
      </c>
      <c r="D4517" s="2" t="s">
        <v>25</v>
      </c>
      <c r="E4517" s="2" t="s">
        <v>20</v>
      </c>
      <c r="F4517" s="2" t="n">
        <v>473</v>
      </c>
      <c r="G4517" s="2" t="s">
        <v>26</v>
      </c>
      <c r="H4517" s="2" t="s">
        <v>20</v>
      </c>
      <c r="I4517" s="2" t="s">
        <v>21</v>
      </c>
      <c r="J4517" s="2" t="n">
        <v>7</v>
      </c>
      <c r="K4517" s="2" t="s">
        <v>44</v>
      </c>
      <c r="L4517" s="2" t="n">
        <v>624</v>
      </c>
      <c r="M4517" s="2" t="n">
        <v>5</v>
      </c>
      <c r="N4517" s="2" t="n">
        <v>-1</v>
      </c>
      <c r="O4517" s="2" t="n">
        <v>0</v>
      </c>
      <c r="P4517" s="2" t="s">
        <v>23</v>
      </c>
      <c r="Q4517" s="2" t="s">
        <v>20</v>
      </c>
    </row>
    <row r="4518" customFormat="false" ht="15" hidden="false" customHeight="false" outlineLevel="0" collapsed="false">
      <c r="A4518" s="2" t="n">
        <v>33</v>
      </c>
      <c r="B4518" s="2" t="s">
        <v>24</v>
      </c>
      <c r="C4518" s="2" t="s">
        <v>18</v>
      </c>
      <c r="D4518" s="2" t="s">
        <v>25</v>
      </c>
      <c r="E4518" s="2" t="s">
        <v>20</v>
      </c>
      <c r="F4518" s="2" t="n">
        <v>-333</v>
      </c>
      <c r="G4518" s="2" t="s">
        <v>26</v>
      </c>
      <c r="H4518" s="2" t="s">
        <v>20</v>
      </c>
      <c r="I4518" s="2" t="s">
        <v>21</v>
      </c>
      <c r="J4518" s="2" t="n">
        <v>30</v>
      </c>
      <c r="K4518" s="2" t="s">
        <v>44</v>
      </c>
      <c r="L4518" s="2" t="n">
        <v>329</v>
      </c>
      <c r="M4518" s="2" t="n">
        <v>5</v>
      </c>
      <c r="N4518" s="2" t="n">
        <v>-1</v>
      </c>
      <c r="O4518" s="2" t="n">
        <v>0</v>
      </c>
      <c r="P4518" s="2" t="s">
        <v>23</v>
      </c>
      <c r="Q4518" s="2" t="s">
        <v>20</v>
      </c>
    </row>
    <row r="4519" customFormat="false" ht="15" hidden="false" customHeight="false" outlineLevel="0" collapsed="false">
      <c r="A4519" s="2" t="n">
        <v>57</v>
      </c>
      <c r="B4519" s="2" t="s">
        <v>36</v>
      </c>
      <c r="C4519" s="2" t="s">
        <v>18</v>
      </c>
      <c r="D4519" s="2" t="s">
        <v>31</v>
      </c>
      <c r="E4519" s="2" t="s">
        <v>26</v>
      </c>
      <c r="F4519" s="2" t="n">
        <v>-3313</v>
      </c>
      <c r="G4519" s="2" t="s">
        <v>26</v>
      </c>
      <c r="H4519" s="2" t="s">
        <v>26</v>
      </c>
      <c r="I4519" s="2" t="s">
        <v>23</v>
      </c>
      <c r="J4519" s="2" t="n">
        <v>9</v>
      </c>
      <c r="K4519" s="2" t="s">
        <v>27</v>
      </c>
      <c r="L4519" s="2" t="n">
        <v>153</v>
      </c>
      <c r="M4519" s="2" t="n">
        <v>1</v>
      </c>
      <c r="N4519" s="2" t="n">
        <v>-1</v>
      </c>
      <c r="O4519" s="2" t="n">
        <v>0</v>
      </c>
      <c r="P4519" s="2" t="s">
        <v>23</v>
      </c>
      <c r="Q4519" s="2" t="s">
        <v>20</v>
      </c>
    </row>
    <row r="4520" customFormat="false" ht="15" hidden="false" customHeight="false" outlineLevel="0" collapsed="false">
      <c r="A4520" s="2" t="n">
        <v>57</v>
      </c>
      <c r="B4520" s="2" t="s">
        <v>38</v>
      </c>
      <c r="C4520" s="2" t="s">
        <v>18</v>
      </c>
      <c r="D4520" s="2" t="s">
        <v>25</v>
      </c>
      <c r="E4520" s="2" t="s">
        <v>20</v>
      </c>
      <c r="F4520" s="2" t="n">
        <v>295</v>
      </c>
      <c r="G4520" s="2" t="s">
        <v>20</v>
      </c>
      <c r="H4520" s="2" t="s">
        <v>20</v>
      </c>
      <c r="I4520" s="2" t="s">
        <v>21</v>
      </c>
      <c r="J4520" s="2" t="n">
        <v>19</v>
      </c>
      <c r="K4520" s="2" t="s">
        <v>41</v>
      </c>
      <c r="L4520" s="2" t="n">
        <v>151</v>
      </c>
      <c r="M4520" s="2" t="n">
        <v>11</v>
      </c>
      <c r="N4520" s="2" t="n">
        <v>-1</v>
      </c>
      <c r="O4520" s="2" t="n">
        <v>0</v>
      </c>
      <c r="P4520" s="2" t="s">
        <v>23</v>
      </c>
      <c r="Q4520" s="2" t="s">
        <v>20</v>
      </c>
    </row>
    <row r="4521" customFormat="false" ht="15" hidden="false" customHeight="false" outlineLevel="0" collapsed="false">
      <c r="A4521" s="2" t="n">
        <v>28</v>
      </c>
      <c r="B4521" s="2" t="s">
        <v>34</v>
      </c>
      <c r="C4521" s="2" t="s">
        <v>18</v>
      </c>
      <c r="D4521" s="2" t="s">
        <v>25</v>
      </c>
      <c r="E4521" s="2" t="s">
        <v>20</v>
      </c>
      <c r="F4521" s="2" t="n">
        <v>1137</v>
      </c>
      <c r="G4521" s="2" t="s">
        <v>20</v>
      </c>
      <c r="H4521" s="2" t="s">
        <v>20</v>
      </c>
      <c r="I4521" s="2" t="s">
        <v>21</v>
      </c>
      <c r="J4521" s="2" t="n">
        <v>6</v>
      </c>
      <c r="K4521" s="2" t="s">
        <v>35</v>
      </c>
      <c r="L4521" s="2" t="n">
        <v>129</v>
      </c>
      <c r="M4521" s="2" t="n">
        <v>4</v>
      </c>
      <c r="N4521" s="2" t="n">
        <v>211</v>
      </c>
      <c r="O4521" s="2" t="n">
        <v>3</v>
      </c>
      <c r="P4521" s="2" t="s">
        <v>37</v>
      </c>
      <c r="Q4521" s="2" t="s">
        <v>20</v>
      </c>
    </row>
    <row r="4522" customFormat="false" ht="15" hidden="false" customHeight="false" outlineLevel="0" collapsed="false">
      <c r="A4522" s="2" t="n">
        <v>44</v>
      </c>
      <c r="B4522" s="2" t="s">
        <v>39</v>
      </c>
      <c r="C4522" s="2" t="s">
        <v>30</v>
      </c>
      <c r="D4522" s="2" t="s">
        <v>31</v>
      </c>
      <c r="E4522" s="2" t="s">
        <v>20</v>
      </c>
      <c r="F4522" s="2" t="n">
        <v>1136</v>
      </c>
      <c r="G4522" s="2" t="s">
        <v>26</v>
      </c>
      <c r="H4522" s="2" t="s">
        <v>26</v>
      </c>
      <c r="I4522" s="2" t="s">
        <v>21</v>
      </c>
      <c r="J4522" s="2" t="n">
        <v>3</v>
      </c>
      <c r="K4522" s="2" t="s">
        <v>32</v>
      </c>
      <c r="L4522" s="2" t="n">
        <v>345</v>
      </c>
      <c r="M4522" s="2" t="n">
        <v>2</v>
      </c>
      <c r="N4522" s="2" t="n">
        <v>249</v>
      </c>
      <c r="O4522" s="2" t="n">
        <v>7</v>
      </c>
      <c r="P4522" s="2" t="s">
        <v>37</v>
      </c>
      <c r="Q4522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7" min="1" style="0" width="15"/>
  </cols>
  <sheetData>
    <row r="1" customFormat="false" ht="23.85" hidden="false" customHeight="false" outlineLevel="0" collapsed="false">
      <c r="A1" s="1" t="s">
        <v>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55</v>
      </c>
      <c r="G1" s="1" t="s">
        <v>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</row>
    <row r="2" customFormat="false" ht="15" hidden="false" customHeight="false" outlineLevel="0" collapsed="false">
      <c r="A2" s="3" t="n">
        <v>1</v>
      </c>
      <c r="B2" s="3" t="n">
        <f aca="false">Raw_Data!A2</f>
        <v>30</v>
      </c>
      <c r="C2" s="3" t="str">
        <f aca="false">SUBSTITUTE(Raw_Data!B2,".","")</f>
        <v>unemployed</v>
      </c>
      <c r="D2" s="3" t="str">
        <f aca="false">Raw_Data!C2</f>
        <v>married</v>
      </c>
      <c r="E2" s="3" t="str">
        <f aca="false">Raw_Data!D2</f>
        <v>primary</v>
      </c>
      <c r="F2" s="3" t="str">
        <f aca="false">Raw_Data!E2</f>
        <v>no</v>
      </c>
      <c r="G2" s="3" t="n">
        <f aca="false">Raw_Data!F2</f>
        <v>1787</v>
      </c>
      <c r="H2" s="3" t="str">
        <f aca="false">Raw_Data!G2</f>
        <v>no</v>
      </c>
      <c r="I2" s="3" t="str">
        <f aca="false">Raw_Data!H2</f>
        <v>no</v>
      </c>
      <c r="J2" s="2" t="n">
        <f aca="false">IF(F2="yes",1,0)</f>
        <v>0</v>
      </c>
      <c r="K2" s="2" t="n">
        <f aca="false">IF(H2="yes",1,0)</f>
        <v>0</v>
      </c>
      <c r="L2" s="2" t="n">
        <f aca="false">IF(I2="yes",1,0)</f>
        <v>0</v>
      </c>
      <c r="M2" s="2" t="n">
        <f aca="false">IF(G2&lt;0,1,0)</f>
        <v>0</v>
      </c>
      <c r="N2" s="2" t="str">
        <f aca="false">_xlfn.IFS(B2&lt;30,"Under 30",B2&lt;40,"30-39",B2&lt;50,"40-49",B2&lt;60,"50-59",TRUE(),"60+")</f>
        <v>30-39</v>
      </c>
      <c r="O2" s="2" t="str">
        <f aca="false">_xlfn.IFS(G2&lt;0,"1 Negative",G2=0,"2 Zero",G2&lt;=500,"3 1-500",G2&lt;=2000,"4 501-2000",TRUE(),"5 Above 2000")</f>
        <v>4 501-2000</v>
      </c>
      <c r="P2" s="2" t="n">
        <f aca="false">Lookups!$B$2*M2+Lookups!$B$3*L2</f>
        <v>0</v>
      </c>
      <c r="Q2" s="2" t="str">
        <f aca="false">INDEX(Lookups!$E$2:$E$5,MATCH(P2,Lookups!$D$2:$D$5,0))</f>
        <v>Low</v>
      </c>
    </row>
    <row r="3" customFormat="false" ht="15" hidden="false" customHeight="false" outlineLevel="0" collapsed="false">
      <c r="A3" s="3" t="n">
        <v>2</v>
      </c>
      <c r="B3" s="3" t="n">
        <f aca="false">Raw_Data!A3</f>
        <v>33</v>
      </c>
      <c r="C3" s="3" t="str">
        <f aca="false">SUBSTITUTE(Raw_Data!B3,".","")</f>
        <v>services</v>
      </c>
      <c r="D3" s="3" t="str">
        <f aca="false">Raw_Data!C3</f>
        <v>married</v>
      </c>
      <c r="E3" s="3" t="str">
        <f aca="false">Raw_Data!D3</f>
        <v>secondary</v>
      </c>
      <c r="F3" s="3" t="str">
        <f aca="false">Raw_Data!E3</f>
        <v>no</v>
      </c>
      <c r="G3" s="3" t="n">
        <f aca="false">Raw_Data!F3</f>
        <v>4789</v>
      </c>
      <c r="H3" s="3" t="str">
        <f aca="false">Raw_Data!G3</f>
        <v>yes</v>
      </c>
      <c r="I3" s="3" t="str">
        <f aca="false">Raw_Data!H3</f>
        <v>yes</v>
      </c>
      <c r="J3" s="2" t="n">
        <f aca="false">IF(F3="yes",1,0)</f>
        <v>0</v>
      </c>
      <c r="K3" s="2" t="n">
        <f aca="false">IF(H3="yes",1,0)</f>
        <v>1</v>
      </c>
      <c r="L3" s="2" t="n">
        <f aca="false">IF(I3="yes",1,0)</f>
        <v>1</v>
      </c>
      <c r="M3" s="2" t="n">
        <f aca="false">IF(G3&lt;0,1,0)</f>
        <v>0</v>
      </c>
      <c r="N3" s="2" t="str">
        <f aca="false">_xlfn.IFS(B3&lt;30,"Under 30",B3&lt;40,"30-39",B3&lt;50,"40-49",B3&lt;60,"50-59",TRUE(),"60+")</f>
        <v>30-39</v>
      </c>
      <c r="O3" s="2" t="str">
        <f aca="false">_xlfn.IFS(G3&lt;0,"1 Negative",G3=0,"2 Zero",G3&lt;=500,"3 1-500",G3&lt;=2000,"4 501-2000",TRUE(),"5 Above 2000")</f>
        <v>5 Above 2000</v>
      </c>
      <c r="P3" s="2" t="n">
        <f aca="false">Lookups!$B$2*M3+Lookups!$B$3*L3</f>
        <v>1</v>
      </c>
      <c r="Q3" s="2" t="str">
        <f aca="false">INDEX(Lookups!$E$2:$E$5,MATCH(P3,Lookups!$D$2:$D$5,0))</f>
        <v>Medium</v>
      </c>
    </row>
    <row r="4" customFormat="false" ht="15" hidden="false" customHeight="false" outlineLevel="0" collapsed="false">
      <c r="A4" s="3" t="n">
        <v>3</v>
      </c>
      <c r="B4" s="3" t="n">
        <f aca="false">Raw_Data!A4</f>
        <v>35</v>
      </c>
      <c r="C4" s="3" t="str">
        <f aca="false">SUBSTITUTE(Raw_Data!B4,".","")</f>
        <v>management</v>
      </c>
      <c r="D4" s="3" t="str">
        <f aca="false">Raw_Data!C4</f>
        <v>single</v>
      </c>
      <c r="E4" s="3" t="str">
        <f aca="false">Raw_Data!D4</f>
        <v>tertiary</v>
      </c>
      <c r="F4" s="3" t="str">
        <f aca="false">Raw_Data!E4</f>
        <v>no</v>
      </c>
      <c r="G4" s="3" t="n">
        <f aca="false">Raw_Data!F4</f>
        <v>1350</v>
      </c>
      <c r="H4" s="3" t="str">
        <f aca="false">Raw_Data!G4</f>
        <v>yes</v>
      </c>
      <c r="I4" s="3" t="str">
        <f aca="false">Raw_Data!H4</f>
        <v>no</v>
      </c>
      <c r="J4" s="2" t="n">
        <f aca="false">IF(F4="yes",1,0)</f>
        <v>0</v>
      </c>
      <c r="K4" s="2" t="n">
        <f aca="false">IF(H4="yes",1,0)</f>
        <v>1</v>
      </c>
      <c r="L4" s="2" t="n">
        <f aca="false">IF(I4="yes",1,0)</f>
        <v>0</v>
      </c>
      <c r="M4" s="2" t="n">
        <f aca="false">IF(G4&lt;0,1,0)</f>
        <v>0</v>
      </c>
      <c r="N4" s="2" t="str">
        <f aca="false">_xlfn.IFS(B4&lt;30,"Under 30",B4&lt;40,"30-39",B4&lt;50,"40-49",B4&lt;60,"50-59",TRUE(),"60+")</f>
        <v>30-39</v>
      </c>
      <c r="O4" s="2" t="str">
        <f aca="false">_xlfn.IFS(G4&lt;0,"1 Negative",G4=0,"2 Zero",G4&lt;=500,"3 1-500",G4&lt;=2000,"4 501-2000",TRUE(),"5 Above 2000")</f>
        <v>4 501-2000</v>
      </c>
      <c r="P4" s="2" t="n">
        <f aca="false">Lookups!$B$2*M4+Lookups!$B$3*L4</f>
        <v>0</v>
      </c>
      <c r="Q4" s="2" t="str">
        <f aca="false">INDEX(Lookups!$E$2:$E$5,MATCH(P4,Lookups!$D$2:$D$5,0))</f>
        <v>Low</v>
      </c>
    </row>
    <row r="5" customFormat="false" ht="15" hidden="false" customHeight="false" outlineLevel="0" collapsed="false">
      <c r="A5" s="3" t="n">
        <v>4</v>
      </c>
      <c r="B5" s="3" t="n">
        <f aca="false">Raw_Data!A5</f>
        <v>30</v>
      </c>
      <c r="C5" s="3" t="str">
        <f aca="false">SUBSTITUTE(Raw_Data!B5,".","")</f>
        <v>management</v>
      </c>
      <c r="D5" s="3" t="str">
        <f aca="false">Raw_Data!C5</f>
        <v>married</v>
      </c>
      <c r="E5" s="3" t="str">
        <f aca="false">Raw_Data!D5</f>
        <v>tertiary</v>
      </c>
      <c r="F5" s="3" t="str">
        <f aca="false">Raw_Data!E5</f>
        <v>no</v>
      </c>
      <c r="G5" s="3" t="n">
        <f aca="false">Raw_Data!F5</f>
        <v>1476</v>
      </c>
      <c r="H5" s="3" t="str">
        <f aca="false">Raw_Data!G5</f>
        <v>yes</v>
      </c>
      <c r="I5" s="3" t="str">
        <f aca="false">Raw_Data!H5</f>
        <v>yes</v>
      </c>
      <c r="J5" s="2" t="n">
        <f aca="false">IF(F5="yes",1,0)</f>
        <v>0</v>
      </c>
      <c r="K5" s="2" t="n">
        <f aca="false">IF(H5="yes",1,0)</f>
        <v>1</v>
      </c>
      <c r="L5" s="2" t="n">
        <f aca="false">IF(I5="yes",1,0)</f>
        <v>1</v>
      </c>
      <c r="M5" s="2" t="n">
        <f aca="false">IF(G5&lt;0,1,0)</f>
        <v>0</v>
      </c>
      <c r="N5" s="2" t="str">
        <f aca="false">_xlfn.IFS(B5&lt;30,"Under 30",B5&lt;40,"30-39",B5&lt;50,"40-49",B5&lt;60,"50-59",TRUE(),"60+")</f>
        <v>30-39</v>
      </c>
      <c r="O5" s="2" t="str">
        <f aca="false">_xlfn.IFS(G5&lt;0,"1 Negative",G5=0,"2 Zero",G5&lt;=500,"3 1-500",G5&lt;=2000,"4 501-2000",TRUE(),"5 Above 2000")</f>
        <v>4 501-2000</v>
      </c>
      <c r="P5" s="2" t="n">
        <f aca="false">Lookups!$B$2*M5+Lookups!$B$3*L5</f>
        <v>1</v>
      </c>
      <c r="Q5" s="2" t="str">
        <f aca="false">INDEX(Lookups!$E$2:$E$5,MATCH(P5,Lookups!$D$2:$D$5,0))</f>
        <v>Medium</v>
      </c>
    </row>
    <row r="6" customFormat="false" ht="15" hidden="false" customHeight="false" outlineLevel="0" collapsed="false">
      <c r="A6" s="3" t="n">
        <v>5</v>
      </c>
      <c r="B6" s="3" t="n">
        <f aca="false">Raw_Data!A6</f>
        <v>59</v>
      </c>
      <c r="C6" s="3" t="str">
        <f aca="false">SUBSTITUTE(Raw_Data!B6,".","")</f>
        <v>blue-collar</v>
      </c>
      <c r="D6" s="3" t="str">
        <f aca="false">Raw_Data!C6</f>
        <v>married</v>
      </c>
      <c r="E6" s="3" t="str">
        <f aca="false">Raw_Data!D6</f>
        <v>secondary</v>
      </c>
      <c r="F6" s="3" t="str">
        <f aca="false">Raw_Data!E6</f>
        <v>no</v>
      </c>
      <c r="G6" s="3" t="n">
        <f aca="false">Raw_Data!F6</f>
        <v>0</v>
      </c>
      <c r="H6" s="3" t="str">
        <f aca="false">Raw_Data!G6</f>
        <v>yes</v>
      </c>
      <c r="I6" s="3" t="str">
        <f aca="false">Raw_Data!H6</f>
        <v>no</v>
      </c>
      <c r="J6" s="2" t="n">
        <f aca="false">IF(F6="yes",1,0)</f>
        <v>0</v>
      </c>
      <c r="K6" s="2" t="n">
        <f aca="false">IF(H6="yes",1,0)</f>
        <v>1</v>
      </c>
      <c r="L6" s="2" t="n">
        <f aca="false">IF(I6="yes",1,0)</f>
        <v>0</v>
      </c>
      <c r="M6" s="2" t="n">
        <f aca="false">IF(G6&lt;0,1,0)</f>
        <v>0</v>
      </c>
      <c r="N6" s="2" t="str">
        <f aca="false">_xlfn.IFS(B6&lt;30,"Under 30",B6&lt;40,"30-39",B6&lt;50,"40-49",B6&lt;60,"50-59",TRUE(),"60+")</f>
        <v>50-59</v>
      </c>
      <c r="O6" s="2" t="str">
        <f aca="false">_xlfn.IFS(G6&lt;0,"1 Negative",G6=0,"2 Zero",G6&lt;=500,"3 1-500",G6&lt;=2000,"4 501-2000",TRUE(),"5 Above 2000")</f>
        <v>2 Zero</v>
      </c>
      <c r="P6" s="2" t="n">
        <f aca="false">Lookups!$B$2*M6+Lookups!$B$3*L6</f>
        <v>0</v>
      </c>
      <c r="Q6" s="2" t="str">
        <f aca="false">INDEX(Lookups!$E$2:$E$5,MATCH(P6,Lookups!$D$2:$D$5,0))</f>
        <v>Low</v>
      </c>
    </row>
    <row r="7" customFormat="false" ht="15" hidden="false" customHeight="false" outlineLevel="0" collapsed="false">
      <c r="A7" s="3" t="n">
        <v>6</v>
      </c>
      <c r="B7" s="3" t="n">
        <f aca="false">Raw_Data!A7</f>
        <v>35</v>
      </c>
      <c r="C7" s="3" t="str">
        <f aca="false">SUBSTITUTE(Raw_Data!B7,".","")</f>
        <v>management</v>
      </c>
      <c r="D7" s="3" t="str">
        <f aca="false">Raw_Data!C7</f>
        <v>single</v>
      </c>
      <c r="E7" s="3" t="str">
        <f aca="false">Raw_Data!D7</f>
        <v>tertiary</v>
      </c>
      <c r="F7" s="3" t="str">
        <f aca="false">Raw_Data!E7</f>
        <v>no</v>
      </c>
      <c r="G7" s="3" t="n">
        <f aca="false">Raw_Data!F7</f>
        <v>747</v>
      </c>
      <c r="H7" s="3" t="str">
        <f aca="false">Raw_Data!G7</f>
        <v>no</v>
      </c>
      <c r="I7" s="3" t="str">
        <f aca="false">Raw_Data!H7</f>
        <v>no</v>
      </c>
      <c r="J7" s="2" t="n">
        <f aca="false">IF(F7="yes",1,0)</f>
        <v>0</v>
      </c>
      <c r="K7" s="2" t="n">
        <f aca="false">IF(H7="yes",1,0)</f>
        <v>0</v>
      </c>
      <c r="L7" s="2" t="n">
        <f aca="false">IF(I7="yes",1,0)</f>
        <v>0</v>
      </c>
      <c r="M7" s="2" t="n">
        <f aca="false">IF(G7&lt;0,1,0)</f>
        <v>0</v>
      </c>
      <c r="N7" s="2" t="str">
        <f aca="false">_xlfn.IFS(B7&lt;30,"Under 30",B7&lt;40,"30-39",B7&lt;50,"40-49",B7&lt;60,"50-59",TRUE(),"60+")</f>
        <v>30-39</v>
      </c>
      <c r="O7" s="2" t="str">
        <f aca="false">_xlfn.IFS(G7&lt;0,"1 Negative",G7=0,"2 Zero",G7&lt;=500,"3 1-500",G7&lt;=2000,"4 501-2000",TRUE(),"5 Above 2000")</f>
        <v>4 501-2000</v>
      </c>
      <c r="P7" s="2" t="n">
        <f aca="false">Lookups!$B$2*M7+Lookups!$B$3*L7</f>
        <v>0</v>
      </c>
      <c r="Q7" s="2" t="str">
        <f aca="false">INDEX(Lookups!$E$2:$E$5,MATCH(P7,Lookups!$D$2:$D$5,0))</f>
        <v>Low</v>
      </c>
    </row>
    <row r="8" customFormat="false" ht="15" hidden="false" customHeight="false" outlineLevel="0" collapsed="false">
      <c r="A8" s="3" t="n">
        <v>7</v>
      </c>
      <c r="B8" s="3" t="n">
        <f aca="false">Raw_Data!A8</f>
        <v>36</v>
      </c>
      <c r="C8" s="3" t="str">
        <f aca="false">SUBSTITUTE(Raw_Data!B8,".","")</f>
        <v>self-employed</v>
      </c>
      <c r="D8" s="3" t="str">
        <f aca="false">Raw_Data!C8</f>
        <v>married</v>
      </c>
      <c r="E8" s="3" t="str">
        <f aca="false">Raw_Data!D8</f>
        <v>tertiary</v>
      </c>
      <c r="F8" s="3" t="str">
        <f aca="false">Raw_Data!E8</f>
        <v>no</v>
      </c>
      <c r="G8" s="3" t="n">
        <f aca="false">Raw_Data!F8</f>
        <v>307</v>
      </c>
      <c r="H8" s="3" t="str">
        <f aca="false">Raw_Data!G8</f>
        <v>yes</v>
      </c>
      <c r="I8" s="3" t="str">
        <f aca="false">Raw_Data!H8</f>
        <v>no</v>
      </c>
      <c r="J8" s="2" t="n">
        <f aca="false">IF(F8="yes",1,0)</f>
        <v>0</v>
      </c>
      <c r="K8" s="2" t="n">
        <f aca="false">IF(H8="yes",1,0)</f>
        <v>1</v>
      </c>
      <c r="L8" s="2" t="n">
        <f aca="false">IF(I8="yes",1,0)</f>
        <v>0</v>
      </c>
      <c r="M8" s="2" t="n">
        <f aca="false">IF(G8&lt;0,1,0)</f>
        <v>0</v>
      </c>
      <c r="N8" s="2" t="str">
        <f aca="false">_xlfn.IFS(B8&lt;30,"Under 30",B8&lt;40,"30-39",B8&lt;50,"40-49",B8&lt;60,"50-59",TRUE(),"60+")</f>
        <v>30-39</v>
      </c>
      <c r="O8" s="2" t="str">
        <f aca="false">_xlfn.IFS(G8&lt;0,"1 Negative",G8=0,"2 Zero",G8&lt;=500,"3 1-500",G8&lt;=2000,"4 501-2000",TRUE(),"5 Above 2000")</f>
        <v>3 1-500</v>
      </c>
      <c r="P8" s="2" t="n">
        <f aca="false">Lookups!$B$2*M8+Lookups!$B$3*L8</f>
        <v>0</v>
      </c>
      <c r="Q8" s="2" t="str">
        <f aca="false">INDEX(Lookups!$E$2:$E$5,MATCH(P8,Lookups!$D$2:$D$5,0))</f>
        <v>Low</v>
      </c>
    </row>
    <row r="9" customFormat="false" ht="15" hidden="false" customHeight="false" outlineLevel="0" collapsed="false">
      <c r="A9" s="3" t="n">
        <v>8</v>
      </c>
      <c r="B9" s="3" t="n">
        <f aca="false">Raw_Data!A9</f>
        <v>39</v>
      </c>
      <c r="C9" s="3" t="str">
        <f aca="false">SUBSTITUTE(Raw_Data!B9,".","")</f>
        <v>technician</v>
      </c>
      <c r="D9" s="3" t="str">
        <f aca="false">Raw_Data!C9</f>
        <v>married</v>
      </c>
      <c r="E9" s="3" t="str">
        <f aca="false">Raw_Data!D9</f>
        <v>secondary</v>
      </c>
      <c r="F9" s="3" t="str">
        <f aca="false">Raw_Data!E9</f>
        <v>no</v>
      </c>
      <c r="G9" s="3" t="n">
        <f aca="false">Raw_Data!F9</f>
        <v>147</v>
      </c>
      <c r="H9" s="3" t="str">
        <f aca="false">Raw_Data!G9</f>
        <v>yes</v>
      </c>
      <c r="I9" s="3" t="str">
        <f aca="false">Raw_Data!H9</f>
        <v>no</v>
      </c>
      <c r="J9" s="2" t="n">
        <f aca="false">IF(F9="yes",1,0)</f>
        <v>0</v>
      </c>
      <c r="K9" s="2" t="n">
        <f aca="false">IF(H9="yes",1,0)</f>
        <v>1</v>
      </c>
      <c r="L9" s="2" t="n">
        <f aca="false">IF(I9="yes",1,0)</f>
        <v>0</v>
      </c>
      <c r="M9" s="2" t="n">
        <f aca="false">IF(G9&lt;0,1,0)</f>
        <v>0</v>
      </c>
      <c r="N9" s="2" t="str">
        <f aca="false">_xlfn.IFS(B9&lt;30,"Under 30",B9&lt;40,"30-39",B9&lt;50,"40-49",B9&lt;60,"50-59",TRUE(),"60+")</f>
        <v>30-39</v>
      </c>
      <c r="O9" s="2" t="str">
        <f aca="false">_xlfn.IFS(G9&lt;0,"1 Negative",G9=0,"2 Zero",G9&lt;=500,"3 1-500",G9&lt;=2000,"4 501-2000",TRUE(),"5 Above 2000")</f>
        <v>3 1-500</v>
      </c>
      <c r="P9" s="2" t="n">
        <f aca="false">Lookups!$B$2*M9+Lookups!$B$3*L9</f>
        <v>0</v>
      </c>
      <c r="Q9" s="2" t="str">
        <f aca="false">INDEX(Lookups!$E$2:$E$5,MATCH(P9,Lookups!$D$2:$D$5,0))</f>
        <v>Low</v>
      </c>
    </row>
    <row r="10" customFormat="false" ht="15" hidden="false" customHeight="false" outlineLevel="0" collapsed="false">
      <c r="A10" s="3" t="n">
        <v>9</v>
      </c>
      <c r="B10" s="3" t="n">
        <f aca="false">Raw_Data!A10</f>
        <v>41</v>
      </c>
      <c r="C10" s="3" t="str">
        <f aca="false">SUBSTITUTE(Raw_Data!B10,".","")</f>
        <v>entrepreneur</v>
      </c>
      <c r="D10" s="3" t="str">
        <f aca="false">Raw_Data!C10</f>
        <v>married</v>
      </c>
      <c r="E10" s="3" t="str">
        <f aca="false">Raw_Data!D10</f>
        <v>tertiary</v>
      </c>
      <c r="F10" s="3" t="str">
        <f aca="false">Raw_Data!E10</f>
        <v>no</v>
      </c>
      <c r="G10" s="3" t="n">
        <f aca="false">Raw_Data!F10</f>
        <v>221</v>
      </c>
      <c r="H10" s="3" t="str">
        <f aca="false">Raw_Data!G10</f>
        <v>yes</v>
      </c>
      <c r="I10" s="3" t="str">
        <f aca="false">Raw_Data!H10</f>
        <v>no</v>
      </c>
      <c r="J10" s="2" t="n">
        <f aca="false">IF(F10="yes",1,0)</f>
        <v>0</v>
      </c>
      <c r="K10" s="2" t="n">
        <f aca="false">IF(H10="yes",1,0)</f>
        <v>1</v>
      </c>
      <c r="L10" s="2" t="n">
        <f aca="false">IF(I10="yes",1,0)</f>
        <v>0</v>
      </c>
      <c r="M10" s="2" t="n">
        <f aca="false">IF(G10&lt;0,1,0)</f>
        <v>0</v>
      </c>
      <c r="N10" s="2" t="str">
        <f aca="false">_xlfn.IFS(B10&lt;30,"Under 30",B10&lt;40,"30-39",B10&lt;50,"40-49",B10&lt;60,"50-59",TRUE(),"60+")</f>
        <v>40-49</v>
      </c>
      <c r="O10" s="2" t="str">
        <f aca="false">_xlfn.IFS(G10&lt;0,"1 Negative",G10=0,"2 Zero",G10&lt;=500,"3 1-500",G10&lt;=2000,"4 501-2000",TRUE(),"5 Above 2000")</f>
        <v>3 1-500</v>
      </c>
      <c r="P10" s="2" t="n">
        <f aca="false">Lookups!$B$2*M10+Lookups!$B$3*L10</f>
        <v>0</v>
      </c>
      <c r="Q10" s="2" t="str">
        <f aca="false">INDEX(Lookups!$E$2:$E$5,MATCH(P10,Lookups!$D$2:$D$5,0))</f>
        <v>Low</v>
      </c>
    </row>
    <row r="11" customFormat="false" ht="15" hidden="false" customHeight="false" outlineLevel="0" collapsed="false">
      <c r="A11" s="3" t="n">
        <v>10</v>
      </c>
      <c r="B11" s="3" t="n">
        <f aca="false">Raw_Data!A11</f>
        <v>43</v>
      </c>
      <c r="C11" s="3" t="str">
        <f aca="false">SUBSTITUTE(Raw_Data!B11,".","")</f>
        <v>services</v>
      </c>
      <c r="D11" s="3" t="str">
        <f aca="false">Raw_Data!C11</f>
        <v>married</v>
      </c>
      <c r="E11" s="3" t="str">
        <f aca="false">Raw_Data!D11</f>
        <v>primary</v>
      </c>
      <c r="F11" s="3" t="str">
        <f aca="false">Raw_Data!E11</f>
        <v>no</v>
      </c>
      <c r="G11" s="3" t="n">
        <f aca="false">Raw_Data!F11</f>
        <v>-88</v>
      </c>
      <c r="H11" s="3" t="str">
        <f aca="false">Raw_Data!G11</f>
        <v>yes</v>
      </c>
      <c r="I11" s="3" t="str">
        <f aca="false">Raw_Data!H11</f>
        <v>yes</v>
      </c>
      <c r="J11" s="2" t="n">
        <f aca="false">IF(F11="yes",1,0)</f>
        <v>0</v>
      </c>
      <c r="K11" s="2" t="n">
        <f aca="false">IF(H11="yes",1,0)</f>
        <v>1</v>
      </c>
      <c r="L11" s="2" t="n">
        <f aca="false">IF(I11="yes",1,0)</f>
        <v>1</v>
      </c>
      <c r="M11" s="2" t="n">
        <f aca="false">IF(G11&lt;0,1,0)</f>
        <v>1</v>
      </c>
      <c r="N11" s="2" t="str">
        <f aca="false">_xlfn.IFS(B11&lt;30,"Under 30",B11&lt;40,"30-39",B11&lt;50,"40-49",B11&lt;60,"50-59",TRUE(),"60+")</f>
        <v>40-49</v>
      </c>
      <c r="O11" s="2" t="str">
        <f aca="false">_xlfn.IFS(G11&lt;0,"1 Negative",G11=0,"2 Zero",G11&lt;=500,"3 1-500",G11&lt;=2000,"4 501-2000",TRUE(),"5 Above 2000")</f>
        <v>1 Negative</v>
      </c>
      <c r="P11" s="2" t="n">
        <f aca="false">Lookups!$B$2*M11+Lookups!$B$3*L11</f>
        <v>3</v>
      </c>
      <c r="Q11" s="2" t="str">
        <f aca="false">INDEX(Lookups!$E$2:$E$5,MATCH(P11,Lookups!$D$2:$D$5,0))</f>
        <v>High</v>
      </c>
    </row>
    <row r="12" customFormat="false" ht="15" hidden="false" customHeight="false" outlineLevel="0" collapsed="false">
      <c r="A12" s="3" t="n">
        <v>11</v>
      </c>
      <c r="B12" s="3" t="n">
        <f aca="false">Raw_Data!A12</f>
        <v>39</v>
      </c>
      <c r="C12" s="3" t="str">
        <f aca="false">SUBSTITUTE(Raw_Data!B12,".","")</f>
        <v>services</v>
      </c>
      <c r="D12" s="3" t="str">
        <f aca="false">Raw_Data!C12</f>
        <v>married</v>
      </c>
      <c r="E12" s="3" t="str">
        <f aca="false">Raw_Data!D12</f>
        <v>secondary</v>
      </c>
      <c r="F12" s="3" t="str">
        <f aca="false">Raw_Data!E12</f>
        <v>no</v>
      </c>
      <c r="G12" s="3" t="n">
        <f aca="false">Raw_Data!F12</f>
        <v>9374</v>
      </c>
      <c r="H12" s="3" t="str">
        <f aca="false">Raw_Data!G12</f>
        <v>yes</v>
      </c>
      <c r="I12" s="3" t="str">
        <f aca="false">Raw_Data!H12</f>
        <v>no</v>
      </c>
      <c r="J12" s="2" t="n">
        <f aca="false">IF(F12="yes",1,0)</f>
        <v>0</v>
      </c>
      <c r="K12" s="2" t="n">
        <f aca="false">IF(H12="yes",1,0)</f>
        <v>1</v>
      </c>
      <c r="L12" s="2" t="n">
        <f aca="false">IF(I12="yes",1,0)</f>
        <v>0</v>
      </c>
      <c r="M12" s="2" t="n">
        <f aca="false">IF(G12&lt;0,1,0)</f>
        <v>0</v>
      </c>
      <c r="N12" s="2" t="str">
        <f aca="false">_xlfn.IFS(B12&lt;30,"Under 30",B12&lt;40,"30-39",B12&lt;50,"40-49",B12&lt;60,"50-59",TRUE(),"60+")</f>
        <v>30-39</v>
      </c>
      <c r="O12" s="2" t="str">
        <f aca="false">_xlfn.IFS(G12&lt;0,"1 Negative",G12=0,"2 Zero",G12&lt;=500,"3 1-500",G12&lt;=2000,"4 501-2000",TRUE(),"5 Above 2000")</f>
        <v>5 Above 2000</v>
      </c>
      <c r="P12" s="2" t="n">
        <f aca="false">Lookups!$B$2*M12+Lookups!$B$3*L12</f>
        <v>0</v>
      </c>
      <c r="Q12" s="2" t="str">
        <f aca="false">INDEX(Lookups!$E$2:$E$5,MATCH(P12,Lookups!$D$2:$D$5,0))</f>
        <v>Low</v>
      </c>
    </row>
    <row r="13" customFormat="false" ht="15" hidden="false" customHeight="false" outlineLevel="0" collapsed="false">
      <c r="A13" s="3" t="n">
        <v>12</v>
      </c>
      <c r="B13" s="3" t="n">
        <f aca="false">Raw_Data!A13</f>
        <v>43</v>
      </c>
      <c r="C13" s="3" t="str">
        <f aca="false">SUBSTITUTE(Raw_Data!B13,".","")</f>
        <v>admin</v>
      </c>
      <c r="D13" s="3" t="str">
        <f aca="false">Raw_Data!C13</f>
        <v>married</v>
      </c>
      <c r="E13" s="3" t="str">
        <f aca="false">Raw_Data!D13</f>
        <v>secondary</v>
      </c>
      <c r="F13" s="3" t="str">
        <f aca="false">Raw_Data!E13</f>
        <v>no</v>
      </c>
      <c r="G13" s="3" t="n">
        <f aca="false">Raw_Data!F13</f>
        <v>264</v>
      </c>
      <c r="H13" s="3" t="str">
        <f aca="false">Raw_Data!G13</f>
        <v>yes</v>
      </c>
      <c r="I13" s="3" t="str">
        <f aca="false">Raw_Data!H13</f>
        <v>no</v>
      </c>
      <c r="J13" s="2" t="n">
        <f aca="false">IF(F13="yes",1,0)</f>
        <v>0</v>
      </c>
      <c r="K13" s="2" t="n">
        <f aca="false">IF(H13="yes",1,0)</f>
        <v>1</v>
      </c>
      <c r="L13" s="2" t="n">
        <f aca="false">IF(I13="yes",1,0)</f>
        <v>0</v>
      </c>
      <c r="M13" s="2" t="n">
        <f aca="false">IF(G13&lt;0,1,0)</f>
        <v>0</v>
      </c>
      <c r="N13" s="2" t="str">
        <f aca="false">_xlfn.IFS(B13&lt;30,"Under 30",B13&lt;40,"30-39",B13&lt;50,"40-49",B13&lt;60,"50-59",TRUE(),"60+")</f>
        <v>40-49</v>
      </c>
      <c r="O13" s="2" t="str">
        <f aca="false">_xlfn.IFS(G13&lt;0,"1 Negative",G13=0,"2 Zero",G13&lt;=500,"3 1-500",G13&lt;=2000,"4 501-2000",TRUE(),"5 Above 2000")</f>
        <v>3 1-500</v>
      </c>
      <c r="P13" s="2" t="n">
        <f aca="false">Lookups!$B$2*M13+Lookups!$B$3*L13</f>
        <v>0</v>
      </c>
      <c r="Q13" s="2" t="str">
        <f aca="false">INDEX(Lookups!$E$2:$E$5,MATCH(P13,Lookups!$D$2:$D$5,0))</f>
        <v>Low</v>
      </c>
    </row>
    <row r="14" customFormat="false" ht="15" hidden="false" customHeight="false" outlineLevel="0" collapsed="false">
      <c r="A14" s="3" t="n">
        <v>13</v>
      </c>
      <c r="B14" s="3" t="n">
        <f aca="false">Raw_Data!A14</f>
        <v>36</v>
      </c>
      <c r="C14" s="3" t="str">
        <f aca="false">SUBSTITUTE(Raw_Data!B14,".","")</f>
        <v>technician</v>
      </c>
      <c r="D14" s="3" t="str">
        <f aca="false">Raw_Data!C14</f>
        <v>married</v>
      </c>
      <c r="E14" s="3" t="str">
        <f aca="false">Raw_Data!D14</f>
        <v>tertiary</v>
      </c>
      <c r="F14" s="3" t="str">
        <f aca="false">Raw_Data!E14</f>
        <v>no</v>
      </c>
      <c r="G14" s="3" t="n">
        <f aca="false">Raw_Data!F14</f>
        <v>1109</v>
      </c>
      <c r="H14" s="3" t="str">
        <f aca="false">Raw_Data!G14</f>
        <v>no</v>
      </c>
      <c r="I14" s="3" t="str">
        <f aca="false">Raw_Data!H14</f>
        <v>no</v>
      </c>
      <c r="J14" s="2" t="n">
        <f aca="false">IF(F14="yes",1,0)</f>
        <v>0</v>
      </c>
      <c r="K14" s="2" t="n">
        <f aca="false">IF(H14="yes",1,0)</f>
        <v>0</v>
      </c>
      <c r="L14" s="2" t="n">
        <f aca="false">IF(I14="yes",1,0)</f>
        <v>0</v>
      </c>
      <c r="M14" s="2" t="n">
        <f aca="false">IF(G14&lt;0,1,0)</f>
        <v>0</v>
      </c>
      <c r="N14" s="2" t="str">
        <f aca="false">_xlfn.IFS(B14&lt;30,"Under 30",B14&lt;40,"30-39",B14&lt;50,"40-49",B14&lt;60,"50-59",TRUE(),"60+")</f>
        <v>30-39</v>
      </c>
      <c r="O14" s="2" t="str">
        <f aca="false">_xlfn.IFS(G14&lt;0,"1 Negative",G14=0,"2 Zero",G14&lt;=500,"3 1-500",G14&lt;=2000,"4 501-2000",TRUE(),"5 Above 2000")</f>
        <v>4 501-2000</v>
      </c>
      <c r="P14" s="2" t="n">
        <f aca="false">Lookups!$B$2*M14+Lookups!$B$3*L14</f>
        <v>0</v>
      </c>
      <c r="Q14" s="2" t="str">
        <f aca="false">INDEX(Lookups!$E$2:$E$5,MATCH(P14,Lookups!$D$2:$D$5,0))</f>
        <v>Low</v>
      </c>
    </row>
    <row r="15" customFormat="false" ht="15" hidden="false" customHeight="false" outlineLevel="0" collapsed="false">
      <c r="A15" s="3" t="n">
        <v>14</v>
      </c>
      <c r="B15" s="3" t="n">
        <f aca="false">Raw_Data!A15</f>
        <v>20</v>
      </c>
      <c r="C15" s="3" t="str">
        <f aca="false">SUBSTITUTE(Raw_Data!B15,".","")</f>
        <v>student</v>
      </c>
      <c r="D15" s="3" t="str">
        <f aca="false">Raw_Data!C15</f>
        <v>single</v>
      </c>
      <c r="E15" s="3" t="str">
        <f aca="false">Raw_Data!D15</f>
        <v>secondary</v>
      </c>
      <c r="F15" s="3" t="str">
        <f aca="false">Raw_Data!E15</f>
        <v>no</v>
      </c>
      <c r="G15" s="3" t="n">
        <f aca="false">Raw_Data!F15</f>
        <v>502</v>
      </c>
      <c r="H15" s="3" t="str">
        <f aca="false">Raw_Data!G15</f>
        <v>no</v>
      </c>
      <c r="I15" s="3" t="str">
        <f aca="false">Raw_Data!H15</f>
        <v>no</v>
      </c>
      <c r="J15" s="2" t="n">
        <f aca="false">IF(F15="yes",1,0)</f>
        <v>0</v>
      </c>
      <c r="K15" s="2" t="n">
        <f aca="false">IF(H15="yes",1,0)</f>
        <v>0</v>
      </c>
      <c r="L15" s="2" t="n">
        <f aca="false">IF(I15="yes",1,0)</f>
        <v>0</v>
      </c>
      <c r="M15" s="2" t="n">
        <f aca="false">IF(G15&lt;0,1,0)</f>
        <v>0</v>
      </c>
      <c r="N15" s="2" t="str">
        <f aca="false">_xlfn.IFS(B15&lt;30,"Under 30",B15&lt;40,"30-39",B15&lt;50,"40-49",B15&lt;60,"50-59",TRUE(),"60+")</f>
        <v>Under 30</v>
      </c>
      <c r="O15" s="2" t="str">
        <f aca="false">_xlfn.IFS(G15&lt;0,"1 Negative",G15=0,"2 Zero",G15&lt;=500,"3 1-500",G15&lt;=2000,"4 501-2000",TRUE(),"5 Above 2000")</f>
        <v>4 501-2000</v>
      </c>
      <c r="P15" s="2" t="n">
        <f aca="false">Lookups!$B$2*M15+Lookups!$B$3*L15</f>
        <v>0</v>
      </c>
      <c r="Q15" s="2" t="str">
        <f aca="false">INDEX(Lookups!$E$2:$E$5,MATCH(P15,Lookups!$D$2:$D$5,0))</f>
        <v>Low</v>
      </c>
    </row>
    <row r="16" customFormat="false" ht="15" hidden="false" customHeight="false" outlineLevel="0" collapsed="false">
      <c r="A16" s="3" t="n">
        <v>15</v>
      </c>
      <c r="B16" s="3" t="n">
        <f aca="false">Raw_Data!A16</f>
        <v>31</v>
      </c>
      <c r="C16" s="3" t="str">
        <f aca="false">SUBSTITUTE(Raw_Data!B16,".","")</f>
        <v>blue-collar</v>
      </c>
      <c r="D16" s="3" t="str">
        <f aca="false">Raw_Data!C16</f>
        <v>married</v>
      </c>
      <c r="E16" s="3" t="str">
        <f aca="false">Raw_Data!D16</f>
        <v>secondary</v>
      </c>
      <c r="F16" s="3" t="str">
        <f aca="false">Raw_Data!E16</f>
        <v>no</v>
      </c>
      <c r="G16" s="3" t="n">
        <f aca="false">Raw_Data!F16</f>
        <v>360</v>
      </c>
      <c r="H16" s="3" t="str">
        <f aca="false">Raw_Data!G16</f>
        <v>yes</v>
      </c>
      <c r="I16" s="3" t="str">
        <f aca="false">Raw_Data!H16</f>
        <v>yes</v>
      </c>
      <c r="J16" s="2" t="n">
        <f aca="false">IF(F16="yes",1,0)</f>
        <v>0</v>
      </c>
      <c r="K16" s="2" t="n">
        <f aca="false">IF(H16="yes",1,0)</f>
        <v>1</v>
      </c>
      <c r="L16" s="2" t="n">
        <f aca="false">IF(I16="yes",1,0)</f>
        <v>1</v>
      </c>
      <c r="M16" s="2" t="n">
        <f aca="false">IF(G16&lt;0,1,0)</f>
        <v>0</v>
      </c>
      <c r="N16" s="2" t="str">
        <f aca="false">_xlfn.IFS(B16&lt;30,"Under 30",B16&lt;40,"30-39",B16&lt;50,"40-49",B16&lt;60,"50-59",TRUE(),"60+")</f>
        <v>30-39</v>
      </c>
      <c r="O16" s="2" t="str">
        <f aca="false">_xlfn.IFS(G16&lt;0,"1 Negative",G16=0,"2 Zero",G16&lt;=500,"3 1-500",G16&lt;=2000,"4 501-2000",TRUE(),"5 Above 2000")</f>
        <v>3 1-500</v>
      </c>
      <c r="P16" s="2" t="n">
        <f aca="false">Lookups!$B$2*M16+Lookups!$B$3*L16</f>
        <v>1</v>
      </c>
      <c r="Q16" s="2" t="str">
        <f aca="false">INDEX(Lookups!$E$2:$E$5,MATCH(P16,Lookups!$D$2:$D$5,0))</f>
        <v>Medium</v>
      </c>
    </row>
    <row r="17" customFormat="false" ht="15" hidden="false" customHeight="false" outlineLevel="0" collapsed="false">
      <c r="A17" s="3" t="n">
        <v>16</v>
      </c>
      <c r="B17" s="3" t="n">
        <f aca="false">Raw_Data!A17</f>
        <v>40</v>
      </c>
      <c r="C17" s="3" t="str">
        <f aca="false">SUBSTITUTE(Raw_Data!B17,".","")</f>
        <v>management</v>
      </c>
      <c r="D17" s="3" t="str">
        <f aca="false">Raw_Data!C17</f>
        <v>married</v>
      </c>
      <c r="E17" s="3" t="str">
        <f aca="false">Raw_Data!D17</f>
        <v>tertiary</v>
      </c>
      <c r="F17" s="3" t="str">
        <f aca="false">Raw_Data!E17</f>
        <v>no</v>
      </c>
      <c r="G17" s="3" t="n">
        <f aca="false">Raw_Data!F17</f>
        <v>194</v>
      </c>
      <c r="H17" s="3" t="str">
        <f aca="false">Raw_Data!G17</f>
        <v>no</v>
      </c>
      <c r="I17" s="3" t="str">
        <f aca="false">Raw_Data!H17</f>
        <v>yes</v>
      </c>
      <c r="J17" s="2" t="n">
        <f aca="false">IF(F17="yes",1,0)</f>
        <v>0</v>
      </c>
      <c r="K17" s="2" t="n">
        <f aca="false">IF(H17="yes",1,0)</f>
        <v>0</v>
      </c>
      <c r="L17" s="2" t="n">
        <f aca="false">IF(I17="yes",1,0)</f>
        <v>1</v>
      </c>
      <c r="M17" s="2" t="n">
        <f aca="false">IF(G17&lt;0,1,0)</f>
        <v>0</v>
      </c>
      <c r="N17" s="2" t="str">
        <f aca="false">_xlfn.IFS(B17&lt;30,"Under 30",B17&lt;40,"30-39",B17&lt;50,"40-49",B17&lt;60,"50-59",TRUE(),"60+")</f>
        <v>40-49</v>
      </c>
      <c r="O17" s="2" t="str">
        <f aca="false">_xlfn.IFS(G17&lt;0,"1 Negative",G17=0,"2 Zero",G17&lt;=500,"3 1-500",G17&lt;=2000,"4 501-2000",TRUE(),"5 Above 2000")</f>
        <v>3 1-500</v>
      </c>
      <c r="P17" s="2" t="n">
        <f aca="false">Lookups!$B$2*M17+Lookups!$B$3*L17</f>
        <v>1</v>
      </c>
      <c r="Q17" s="2" t="str">
        <f aca="false">INDEX(Lookups!$E$2:$E$5,MATCH(P17,Lookups!$D$2:$D$5,0))</f>
        <v>Medium</v>
      </c>
    </row>
    <row r="18" customFormat="false" ht="15" hidden="false" customHeight="false" outlineLevel="0" collapsed="false">
      <c r="A18" s="3" t="n">
        <v>17</v>
      </c>
      <c r="B18" s="3" t="n">
        <f aca="false">Raw_Data!A18</f>
        <v>56</v>
      </c>
      <c r="C18" s="3" t="str">
        <f aca="false">SUBSTITUTE(Raw_Data!B18,".","")</f>
        <v>technician</v>
      </c>
      <c r="D18" s="3" t="str">
        <f aca="false">Raw_Data!C18</f>
        <v>married</v>
      </c>
      <c r="E18" s="3" t="str">
        <f aca="false">Raw_Data!D18</f>
        <v>secondary</v>
      </c>
      <c r="F18" s="3" t="str">
        <f aca="false">Raw_Data!E18</f>
        <v>no</v>
      </c>
      <c r="G18" s="3" t="n">
        <f aca="false">Raw_Data!F18</f>
        <v>4073</v>
      </c>
      <c r="H18" s="3" t="str">
        <f aca="false">Raw_Data!G18</f>
        <v>no</v>
      </c>
      <c r="I18" s="3" t="str">
        <f aca="false">Raw_Data!H18</f>
        <v>no</v>
      </c>
      <c r="J18" s="2" t="n">
        <f aca="false">IF(F18="yes",1,0)</f>
        <v>0</v>
      </c>
      <c r="K18" s="2" t="n">
        <f aca="false">IF(H18="yes",1,0)</f>
        <v>0</v>
      </c>
      <c r="L18" s="2" t="n">
        <f aca="false">IF(I18="yes",1,0)</f>
        <v>0</v>
      </c>
      <c r="M18" s="2" t="n">
        <f aca="false">IF(G18&lt;0,1,0)</f>
        <v>0</v>
      </c>
      <c r="N18" s="2" t="str">
        <f aca="false">_xlfn.IFS(B18&lt;30,"Under 30",B18&lt;40,"30-39",B18&lt;50,"40-49",B18&lt;60,"50-59",TRUE(),"60+")</f>
        <v>50-59</v>
      </c>
      <c r="O18" s="2" t="str">
        <f aca="false">_xlfn.IFS(G18&lt;0,"1 Negative",G18=0,"2 Zero",G18&lt;=500,"3 1-500",G18&lt;=2000,"4 501-2000",TRUE(),"5 Above 2000")</f>
        <v>5 Above 2000</v>
      </c>
      <c r="P18" s="2" t="n">
        <f aca="false">Lookups!$B$2*M18+Lookups!$B$3*L18</f>
        <v>0</v>
      </c>
      <c r="Q18" s="2" t="str">
        <f aca="false">INDEX(Lookups!$E$2:$E$5,MATCH(P18,Lookups!$D$2:$D$5,0))</f>
        <v>Low</v>
      </c>
    </row>
    <row r="19" customFormat="false" ht="15" hidden="false" customHeight="false" outlineLevel="0" collapsed="false">
      <c r="A19" s="3" t="n">
        <v>18</v>
      </c>
      <c r="B19" s="3" t="n">
        <f aca="false">Raw_Data!A19</f>
        <v>37</v>
      </c>
      <c r="C19" s="3" t="str">
        <f aca="false">SUBSTITUTE(Raw_Data!B19,".","")</f>
        <v>admin</v>
      </c>
      <c r="D19" s="3" t="str">
        <f aca="false">Raw_Data!C19</f>
        <v>single</v>
      </c>
      <c r="E19" s="3" t="str">
        <f aca="false">Raw_Data!D19</f>
        <v>tertiary</v>
      </c>
      <c r="F19" s="3" t="str">
        <f aca="false">Raw_Data!E19</f>
        <v>no</v>
      </c>
      <c r="G19" s="3" t="n">
        <f aca="false">Raw_Data!F19</f>
        <v>2317</v>
      </c>
      <c r="H19" s="3" t="str">
        <f aca="false">Raw_Data!G19</f>
        <v>yes</v>
      </c>
      <c r="I19" s="3" t="str">
        <f aca="false">Raw_Data!H19</f>
        <v>no</v>
      </c>
      <c r="J19" s="2" t="n">
        <f aca="false">IF(F19="yes",1,0)</f>
        <v>0</v>
      </c>
      <c r="K19" s="2" t="n">
        <f aca="false">IF(H19="yes",1,0)</f>
        <v>1</v>
      </c>
      <c r="L19" s="2" t="n">
        <f aca="false">IF(I19="yes",1,0)</f>
        <v>0</v>
      </c>
      <c r="M19" s="2" t="n">
        <f aca="false">IF(G19&lt;0,1,0)</f>
        <v>0</v>
      </c>
      <c r="N19" s="2" t="str">
        <f aca="false">_xlfn.IFS(B19&lt;30,"Under 30",B19&lt;40,"30-39",B19&lt;50,"40-49",B19&lt;60,"50-59",TRUE(),"60+")</f>
        <v>30-39</v>
      </c>
      <c r="O19" s="2" t="str">
        <f aca="false">_xlfn.IFS(G19&lt;0,"1 Negative",G19=0,"2 Zero",G19&lt;=500,"3 1-500",G19&lt;=2000,"4 501-2000",TRUE(),"5 Above 2000")</f>
        <v>5 Above 2000</v>
      </c>
      <c r="P19" s="2" t="n">
        <f aca="false">Lookups!$B$2*M19+Lookups!$B$3*L19</f>
        <v>0</v>
      </c>
      <c r="Q19" s="2" t="str">
        <f aca="false">INDEX(Lookups!$E$2:$E$5,MATCH(P19,Lookups!$D$2:$D$5,0))</f>
        <v>Low</v>
      </c>
    </row>
    <row r="20" customFormat="false" ht="15" hidden="false" customHeight="false" outlineLevel="0" collapsed="false">
      <c r="A20" s="3" t="n">
        <v>19</v>
      </c>
      <c r="B20" s="3" t="n">
        <f aca="false">Raw_Data!A20</f>
        <v>25</v>
      </c>
      <c r="C20" s="3" t="str">
        <f aca="false">SUBSTITUTE(Raw_Data!B20,".","")</f>
        <v>blue-collar</v>
      </c>
      <c r="D20" s="3" t="str">
        <f aca="false">Raw_Data!C20</f>
        <v>single</v>
      </c>
      <c r="E20" s="3" t="str">
        <f aca="false">Raw_Data!D20</f>
        <v>primary</v>
      </c>
      <c r="F20" s="3" t="str">
        <f aca="false">Raw_Data!E20</f>
        <v>no</v>
      </c>
      <c r="G20" s="3" t="n">
        <f aca="false">Raw_Data!F20</f>
        <v>-221</v>
      </c>
      <c r="H20" s="3" t="str">
        <f aca="false">Raw_Data!G20</f>
        <v>yes</v>
      </c>
      <c r="I20" s="3" t="str">
        <f aca="false">Raw_Data!H20</f>
        <v>no</v>
      </c>
      <c r="J20" s="2" t="n">
        <f aca="false">IF(F20="yes",1,0)</f>
        <v>0</v>
      </c>
      <c r="K20" s="2" t="n">
        <f aca="false">IF(H20="yes",1,0)</f>
        <v>1</v>
      </c>
      <c r="L20" s="2" t="n">
        <f aca="false">IF(I20="yes",1,0)</f>
        <v>0</v>
      </c>
      <c r="M20" s="2" t="n">
        <f aca="false">IF(G20&lt;0,1,0)</f>
        <v>1</v>
      </c>
      <c r="N20" s="2" t="str">
        <f aca="false">_xlfn.IFS(B20&lt;30,"Under 30",B20&lt;40,"30-39",B20&lt;50,"40-49",B20&lt;60,"50-59",TRUE(),"60+")</f>
        <v>Under 30</v>
      </c>
      <c r="O20" s="2" t="str">
        <f aca="false">_xlfn.IFS(G20&lt;0,"1 Negative",G20=0,"2 Zero",G20&lt;=500,"3 1-500",G20&lt;=2000,"4 501-2000",TRUE(),"5 Above 2000")</f>
        <v>1 Negative</v>
      </c>
      <c r="P20" s="2" t="n">
        <f aca="false">Lookups!$B$2*M20+Lookups!$B$3*L20</f>
        <v>2</v>
      </c>
      <c r="Q20" s="2" t="str">
        <f aca="false">INDEX(Lookups!$E$2:$E$5,MATCH(P20,Lookups!$D$2:$D$5,0))</f>
        <v>High</v>
      </c>
    </row>
    <row r="21" customFormat="false" ht="15" hidden="false" customHeight="false" outlineLevel="0" collapsed="false">
      <c r="A21" s="3" t="n">
        <v>20</v>
      </c>
      <c r="B21" s="3" t="n">
        <f aca="false">Raw_Data!A21</f>
        <v>31</v>
      </c>
      <c r="C21" s="3" t="str">
        <f aca="false">SUBSTITUTE(Raw_Data!B21,".","")</f>
        <v>services</v>
      </c>
      <c r="D21" s="3" t="str">
        <f aca="false">Raw_Data!C21</f>
        <v>married</v>
      </c>
      <c r="E21" s="3" t="str">
        <f aca="false">Raw_Data!D21</f>
        <v>secondary</v>
      </c>
      <c r="F21" s="3" t="str">
        <f aca="false">Raw_Data!E21</f>
        <v>no</v>
      </c>
      <c r="G21" s="3" t="n">
        <f aca="false">Raw_Data!F21</f>
        <v>132</v>
      </c>
      <c r="H21" s="3" t="str">
        <f aca="false">Raw_Data!G21</f>
        <v>no</v>
      </c>
      <c r="I21" s="3" t="str">
        <f aca="false">Raw_Data!H21</f>
        <v>no</v>
      </c>
      <c r="J21" s="2" t="n">
        <f aca="false">IF(F21="yes",1,0)</f>
        <v>0</v>
      </c>
      <c r="K21" s="2" t="n">
        <f aca="false">IF(H21="yes",1,0)</f>
        <v>0</v>
      </c>
      <c r="L21" s="2" t="n">
        <f aca="false">IF(I21="yes",1,0)</f>
        <v>0</v>
      </c>
      <c r="M21" s="2" t="n">
        <f aca="false">IF(G21&lt;0,1,0)</f>
        <v>0</v>
      </c>
      <c r="N21" s="2" t="str">
        <f aca="false">_xlfn.IFS(B21&lt;30,"Under 30",B21&lt;40,"30-39",B21&lt;50,"40-49",B21&lt;60,"50-59",TRUE(),"60+")</f>
        <v>30-39</v>
      </c>
      <c r="O21" s="2" t="str">
        <f aca="false">_xlfn.IFS(G21&lt;0,"1 Negative",G21=0,"2 Zero",G21&lt;=500,"3 1-500",G21&lt;=2000,"4 501-2000",TRUE(),"5 Above 2000")</f>
        <v>3 1-500</v>
      </c>
      <c r="P21" s="2" t="n">
        <f aca="false">Lookups!$B$2*M21+Lookups!$B$3*L21</f>
        <v>0</v>
      </c>
      <c r="Q21" s="2" t="str">
        <f aca="false">INDEX(Lookups!$E$2:$E$5,MATCH(P21,Lookups!$D$2:$D$5,0))</f>
        <v>Low</v>
      </c>
    </row>
    <row r="22" customFormat="false" ht="15" hidden="false" customHeight="false" outlineLevel="0" collapsed="false">
      <c r="A22" s="3" t="n">
        <v>21</v>
      </c>
      <c r="B22" s="3" t="n">
        <f aca="false">Raw_Data!A22</f>
        <v>38</v>
      </c>
      <c r="C22" s="3" t="str">
        <f aca="false">SUBSTITUTE(Raw_Data!B22,".","")</f>
        <v>management</v>
      </c>
      <c r="D22" s="3" t="str">
        <f aca="false">Raw_Data!C22</f>
        <v>divorced</v>
      </c>
      <c r="E22" s="3" t="str">
        <f aca="false">Raw_Data!D22</f>
        <v>unknown</v>
      </c>
      <c r="F22" s="3" t="str">
        <f aca="false">Raw_Data!E22</f>
        <v>no</v>
      </c>
      <c r="G22" s="3" t="n">
        <f aca="false">Raw_Data!F22</f>
        <v>0</v>
      </c>
      <c r="H22" s="3" t="str">
        <f aca="false">Raw_Data!G22</f>
        <v>yes</v>
      </c>
      <c r="I22" s="3" t="str">
        <f aca="false">Raw_Data!H22</f>
        <v>no</v>
      </c>
      <c r="J22" s="2" t="n">
        <f aca="false">IF(F22="yes",1,0)</f>
        <v>0</v>
      </c>
      <c r="K22" s="2" t="n">
        <f aca="false">IF(H22="yes",1,0)</f>
        <v>1</v>
      </c>
      <c r="L22" s="2" t="n">
        <f aca="false">IF(I22="yes",1,0)</f>
        <v>0</v>
      </c>
      <c r="M22" s="2" t="n">
        <f aca="false">IF(G22&lt;0,1,0)</f>
        <v>0</v>
      </c>
      <c r="N22" s="2" t="str">
        <f aca="false">_xlfn.IFS(B22&lt;30,"Under 30",B22&lt;40,"30-39",B22&lt;50,"40-49",B22&lt;60,"50-59",TRUE(),"60+")</f>
        <v>30-39</v>
      </c>
      <c r="O22" s="2" t="str">
        <f aca="false">_xlfn.IFS(G22&lt;0,"1 Negative",G22=0,"2 Zero",G22&lt;=500,"3 1-500",G22&lt;=2000,"4 501-2000",TRUE(),"5 Above 2000")</f>
        <v>2 Zero</v>
      </c>
      <c r="P22" s="2" t="n">
        <f aca="false">Lookups!$B$2*M22+Lookups!$B$3*L22</f>
        <v>0</v>
      </c>
      <c r="Q22" s="2" t="str">
        <f aca="false">INDEX(Lookups!$E$2:$E$5,MATCH(P22,Lookups!$D$2:$D$5,0))</f>
        <v>Low</v>
      </c>
    </row>
    <row r="23" customFormat="false" ht="15" hidden="false" customHeight="false" outlineLevel="0" collapsed="false">
      <c r="A23" s="3" t="n">
        <v>22</v>
      </c>
      <c r="B23" s="3" t="n">
        <f aca="false">Raw_Data!A23</f>
        <v>42</v>
      </c>
      <c r="C23" s="3" t="str">
        <f aca="false">SUBSTITUTE(Raw_Data!B23,".","")</f>
        <v>management</v>
      </c>
      <c r="D23" s="3" t="str">
        <f aca="false">Raw_Data!C23</f>
        <v>divorced</v>
      </c>
      <c r="E23" s="3" t="str">
        <f aca="false">Raw_Data!D23</f>
        <v>tertiary</v>
      </c>
      <c r="F23" s="3" t="str">
        <f aca="false">Raw_Data!E23</f>
        <v>no</v>
      </c>
      <c r="G23" s="3" t="n">
        <f aca="false">Raw_Data!F23</f>
        <v>16</v>
      </c>
      <c r="H23" s="3" t="str">
        <f aca="false">Raw_Data!G23</f>
        <v>no</v>
      </c>
      <c r="I23" s="3" t="str">
        <f aca="false">Raw_Data!H23</f>
        <v>no</v>
      </c>
      <c r="J23" s="2" t="n">
        <f aca="false">IF(F23="yes",1,0)</f>
        <v>0</v>
      </c>
      <c r="K23" s="2" t="n">
        <f aca="false">IF(H23="yes",1,0)</f>
        <v>0</v>
      </c>
      <c r="L23" s="2" t="n">
        <f aca="false">IF(I23="yes",1,0)</f>
        <v>0</v>
      </c>
      <c r="M23" s="2" t="n">
        <f aca="false">IF(G23&lt;0,1,0)</f>
        <v>0</v>
      </c>
      <c r="N23" s="2" t="str">
        <f aca="false">_xlfn.IFS(B23&lt;30,"Under 30",B23&lt;40,"30-39",B23&lt;50,"40-49",B23&lt;60,"50-59",TRUE(),"60+")</f>
        <v>40-49</v>
      </c>
      <c r="O23" s="2" t="str">
        <f aca="false">_xlfn.IFS(G23&lt;0,"1 Negative",G23=0,"2 Zero",G23&lt;=500,"3 1-500",G23&lt;=2000,"4 501-2000",TRUE(),"5 Above 2000")</f>
        <v>3 1-500</v>
      </c>
      <c r="P23" s="2" t="n">
        <f aca="false">Lookups!$B$2*M23+Lookups!$B$3*L23</f>
        <v>0</v>
      </c>
      <c r="Q23" s="2" t="str">
        <f aca="false">INDEX(Lookups!$E$2:$E$5,MATCH(P23,Lookups!$D$2:$D$5,0))</f>
        <v>Low</v>
      </c>
    </row>
    <row r="24" customFormat="false" ht="15" hidden="false" customHeight="false" outlineLevel="0" collapsed="false">
      <c r="A24" s="3" t="n">
        <v>23</v>
      </c>
      <c r="B24" s="3" t="n">
        <f aca="false">Raw_Data!A24</f>
        <v>44</v>
      </c>
      <c r="C24" s="3" t="str">
        <f aca="false">SUBSTITUTE(Raw_Data!B24,".","")</f>
        <v>services</v>
      </c>
      <c r="D24" s="3" t="str">
        <f aca="false">Raw_Data!C24</f>
        <v>single</v>
      </c>
      <c r="E24" s="3" t="str">
        <f aca="false">Raw_Data!D24</f>
        <v>secondary</v>
      </c>
      <c r="F24" s="3" t="str">
        <f aca="false">Raw_Data!E24</f>
        <v>no</v>
      </c>
      <c r="G24" s="3" t="n">
        <f aca="false">Raw_Data!F24</f>
        <v>106</v>
      </c>
      <c r="H24" s="3" t="str">
        <f aca="false">Raw_Data!G24</f>
        <v>no</v>
      </c>
      <c r="I24" s="3" t="str">
        <f aca="false">Raw_Data!H24</f>
        <v>no</v>
      </c>
      <c r="J24" s="2" t="n">
        <f aca="false">IF(F24="yes",1,0)</f>
        <v>0</v>
      </c>
      <c r="K24" s="2" t="n">
        <f aca="false">IF(H24="yes",1,0)</f>
        <v>0</v>
      </c>
      <c r="L24" s="2" t="n">
        <f aca="false">IF(I24="yes",1,0)</f>
        <v>0</v>
      </c>
      <c r="M24" s="2" t="n">
        <f aca="false">IF(G24&lt;0,1,0)</f>
        <v>0</v>
      </c>
      <c r="N24" s="2" t="str">
        <f aca="false">_xlfn.IFS(B24&lt;30,"Under 30",B24&lt;40,"30-39",B24&lt;50,"40-49",B24&lt;60,"50-59",TRUE(),"60+")</f>
        <v>40-49</v>
      </c>
      <c r="O24" s="2" t="str">
        <f aca="false">_xlfn.IFS(G24&lt;0,"1 Negative",G24=0,"2 Zero",G24&lt;=500,"3 1-500",G24&lt;=2000,"4 501-2000",TRUE(),"5 Above 2000")</f>
        <v>3 1-500</v>
      </c>
      <c r="P24" s="2" t="n">
        <f aca="false">Lookups!$B$2*M24+Lookups!$B$3*L24</f>
        <v>0</v>
      </c>
      <c r="Q24" s="2" t="str">
        <f aca="false">INDEX(Lookups!$E$2:$E$5,MATCH(P24,Lookups!$D$2:$D$5,0))</f>
        <v>Low</v>
      </c>
    </row>
    <row r="25" customFormat="false" ht="15" hidden="false" customHeight="false" outlineLevel="0" collapsed="false">
      <c r="A25" s="3" t="n">
        <v>24</v>
      </c>
      <c r="B25" s="3" t="n">
        <f aca="false">Raw_Data!A25</f>
        <v>44</v>
      </c>
      <c r="C25" s="3" t="str">
        <f aca="false">SUBSTITUTE(Raw_Data!B25,".","")</f>
        <v>entrepreneur</v>
      </c>
      <c r="D25" s="3" t="str">
        <f aca="false">Raw_Data!C25</f>
        <v>married</v>
      </c>
      <c r="E25" s="3" t="str">
        <f aca="false">Raw_Data!D25</f>
        <v>secondary</v>
      </c>
      <c r="F25" s="3" t="str">
        <f aca="false">Raw_Data!E25</f>
        <v>no</v>
      </c>
      <c r="G25" s="3" t="n">
        <f aca="false">Raw_Data!F25</f>
        <v>93</v>
      </c>
      <c r="H25" s="3" t="str">
        <f aca="false">Raw_Data!G25</f>
        <v>no</v>
      </c>
      <c r="I25" s="3" t="str">
        <f aca="false">Raw_Data!H25</f>
        <v>no</v>
      </c>
      <c r="J25" s="2" t="n">
        <f aca="false">IF(F25="yes",1,0)</f>
        <v>0</v>
      </c>
      <c r="K25" s="2" t="n">
        <f aca="false">IF(H25="yes",1,0)</f>
        <v>0</v>
      </c>
      <c r="L25" s="2" t="n">
        <f aca="false">IF(I25="yes",1,0)</f>
        <v>0</v>
      </c>
      <c r="M25" s="2" t="n">
        <f aca="false">IF(G25&lt;0,1,0)</f>
        <v>0</v>
      </c>
      <c r="N25" s="2" t="str">
        <f aca="false">_xlfn.IFS(B25&lt;30,"Under 30",B25&lt;40,"30-39",B25&lt;50,"40-49",B25&lt;60,"50-59",TRUE(),"60+")</f>
        <v>40-49</v>
      </c>
      <c r="O25" s="2" t="str">
        <f aca="false">_xlfn.IFS(G25&lt;0,"1 Negative",G25=0,"2 Zero",G25&lt;=500,"3 1-500",G25&lt;=2000,"4 501-2000",TRUE(),"5 Above 2000")</f>
        <v>3 1-500</v>
      </c>
      <c r="P25" s="2" t="n">
        <f aca="false">Lookups!$B$2*M25+Lookups!$B$3*L25</f>
        <v>0</v>
      </c>
      <c r="Q25" s="2" t="str">
        <f aca="false">INDEX(Lookups!$E$2:$E$5,MATCH(P25,Lookups!$D$2:$D$5,0))</f>
        <v>Low</v>
      </c>
    </row>
    <row r="26" customFormat="false" ht="15" hidden="false" customHeight="false" outlineLevel="0" collapsed="false">
      <c r="A26" s="3" t="n">
        <v>25</v>
      </c>
      <c r="B26" s="3" t="n">
        <f aca="false">Raw_Data!A26</f>
        <v>26</v>
      </c>
      <c r="C26" s="3" t="str">
        <f aca="false">SUBSTITUTE(Raw_Data!B26,".","")</f>
        <v>housemaid</v>
      </c>
      <c r="D26" s="3" t="str">
        <f aca="false">Raw_Data!C26</f>
        <v>married</v>
      </c>
      <c r="E26" s="3" t="str">
        <f aca="false">Raw_Data!D26</f>
        <v>tertiary</v>
      </c>
      <c r="F26" s="3" t="str">
        <f aca="false">Raw_Data!E26</f>
        <v>no</v>
      </c>
      <c r="G26" s="3" t="n">
        <f aca="false">Raw_Data!F26</f>
        <v>543</v>
      </c>
      <c r="H26" s="3" t="str">
        <f aca="false">Raw_Data!G26</f>
        <v>no</v>
      </c>
      <c r="I26" s="3" t="str">
        <f aca="false">Raw_Data!H26</f>
        <v>no</v>
      </c>
      <c r="J26" s="2" t="n">
        <f aca="false">IF(F26="yes",1,0)</f>
        <v>0</v>
      </c>
      <c r="K26" s="2" t="n">
        <f aca="false">IF(H26="yes",1,0)</f>
        <v>0</v>
      </c>
      <c r="L26" s="2" t="n">
        <f aca="false">IF(I26="yes",1,0)</f>
        <v>0</v>
      </c>
      <c r="M26" s="2" t="n">
        <f aca="false">IF(G26&lt;0,1,0)</f>
        <v>0</v>
      </c>
      <c r="N26" s="2" t="str">
        <f aca="false">_xlfn.IFS(B26&lt;30,"Under 30",B26&lt;40,"30-39",B26&lt;50,"40-49",B26&lt;60,"50-59",TRUE(),"60+")</f>
        <v>Under 30</v>
      </c>
      <c r="O26" s="2" t="str">
        <f aca="false">_xlfn.IFS(G26&lt;0,"1 Negative",G26=0,"2 Zero",G26&lt;=500,"3 1-500",G26&lt;=2000,"4 501-2000",TRUE(),"5 Above 2000")</f>
        <v>4 501-2000</v>
      </c>
      <c r="P26" s="2" t="n">
        <f aca="false">Lookups!$B$2*M26+Lookups!$B$3*L26</f>
        <v>0</v>
      </c>
      <c r="Q26" s="2" t="str">
        <f aca="false">INDEX(Lookups!$E$2:$E$5,MATCH(P26,Lookups!$D$2:$D$5,0))</f>
        <v>Low</v>
      </c>
    </row>
    <row r="27" customFormat="false" ht="15" hidden="false" customHeight="false" outlineLevel="0" collapsed="false">
      <c r="A27" s="3" t="n">
        <v>26</v>
      </c>
      <c r="B27" s="3" t="n">
        <f aca="false">Raw_Data!A27</f>
        <v>41</v>
      </c>
      <c r="C27" s="3" t="str">
        <f aca="false">SUBSTITUTE(Raw_Data!B27,".","")</f>
        <v>management</v>
      </c>
      <c r="D27" s="3" t="str">
        <f aca="false">Raw_Data!C27</f>
        <v>married</v>
      </c>
      <c r="E27" s="3" t="str">
        <f aca="false">Raw_Data!D27</f>
        <v>tertiary</v>
      </c>
      <c r="F27" s="3" t="str">
        <f aca="false">Raw_Data!E27</f>
        <v>no</v>
      </c>
      <c r="G27" s="3" t="n">
        <f aca="false">Raw_Data!F27</f>
        <v>5883</v>
      </c>
      <c r="H27" s="3" t="str">
        <f aca="false">Raw_Data!G27</f>
        <v>no</v>
      </c>
      <c r="I27" s="3" t="str">
        <f aca="false">Raw_Data!H27</f>
        <v>no</v>
      </c>
      <c r="J27" s="2" t="n">
        <f aca="false">IF(F27="yes",1,0)</f>
        <v>0</v>
      </c>
      <c r="K27" s="2" t="n">
        <f aca="false">IF(H27="yes",1,0)</f>
        <v>0</v>
      </c>
      <c r="L27" s="2" t="n">
        <f aca="false">IF(I27="yes",1,0)</f>
        <v>0</v>
      </c>
      <c r="M27" s="2" t="n">
        <f aca="false">IF(G27&lt;0,1,0)</f>
        <v>0</v>
      </c>
      <c r="N27" s="2" t="str">
        <f aca="false">_xlfn.IFS(B27&lt;30,"Under 30",B27&lt;40,"30-39",B27&lt;50,"40-49",B27&lt;60,"50-59",TRUE(),"60+")</f>
        <v>40-49</v>
      </c>
      <c r="O27" s="2" t="str">
        <f aca="false">_xlfn.IFS(G27&lt;0,"1 Negative",G27=0,"2 Zero",G27&lt;=500,"3 1-500",G27&lt;=2000,"4 501-2000",TRUE(),"5 Above 2000")</f>
        <v>5 Above 2000</v>
      </c>
      <c r="P27" s="2" t="n">
        <f aca="false">Lookups!$B$2*M27+Lookups!$B$3*L27</f>
        <v>0</v>
      </c>
      <c r="Q27" s="2" t="str">
        <f aca="false">INDEX(Lookups!$E$2:$E$5,MATCH(P27,Lookups!$D$2:$D$5,0))</f>
        <v>Low</v>
      </c>
    </row>
    <row r="28" customFormat="false" ht="15" hidden="false" customHeight="false" outlineLevel="0" collapsed="false">
      <c r="A28" s="3" t="n">
        <v>27</v>
      </c>
      <c r="B28" s="3" t="n">
        <f aca="false">Raw_Data!A28</f>
        <v>55</v>
      </c>
      <c r="C28" s="3" t="str">
        <f aca="false">SUBSTITUTE(Raw_Data!B28,".","")</f>
        <v>blue-collar</v>
      </c>
      <c r="D28" s="3" t="str">
        <f aca="false">Raw_Data!C28</f>
        <v>married</v>
      </c>
      <c r="E28" s="3" t="str">
        <f aca="false">Raw_Data!D28</f>
        <v>primary</v>
      </c>
      <c r="F28" s="3" t="str">
        <f aca="false">Raw_Data!E28</f>
        <v>no</v>
      </c>
      <c r="G28" s="3" t="n">
        <f aca="false">Raw_Data!F28</f>
        <v>627</v>
      </c>
      <c r="H28" s="3" t="str">
        <f aca="false">Raw_Data!G28</f>
        <v>yes</v>
      </c>
      <c r="I28" s="3" t="str">
        <f aca="false">Raw_Data!H28</f>
        <v>no</v>
      </c>
      <c r="J28" s="2" t="n">
        <f aca="false">IF(F28="yes",1,0)</f>
        <v>0</v>
      </c>
      <c r="K28" s="2" t="n">
        <f aca="false">IF(H28="yes",1,0)</f>
        <v>1</v>
      </c>
      <c r="L28" s="2" t="n">
        <f aca="false">IF(I28="yes",1,0)</f>
        <v>0</v>
      </c>
      <c r="M28" s="2" t="n">
        <f aca="false">IF(G28&lt;0,1,0)</f>
        <v>0</v>
      </c>
      <c r="N28" s="2" t="str">
        <f aca="false">_xlfn.IFS(B28&lt;30,"Under 30",B28&lt;40,"30-39",B28&lt;50,"40-49",B28&lt;60,"50-59",TRUE(),"60+")</f>
        <v>50-59</v>
      </c>
      <c r="O28" s="2" t="str">
        <f aca="false">_xlfn.IFS(G28&lt;0,"1 Negative",G28=0,"2 Zero",G28&lt;=500,"3 1-500",G28&lt;=2000,"4 501-2000",TRUE(),"5 Above 2000")</f>
        <v>4 501-2000</v>
      </c>
      <c r="P28" s="2" t="n">
        <f aca="false">Lookups!$B$2*M28+Lookups!$B$3*L28</f>
        <v>0</v>
      </c>
      <c r="Q28" s="2" t="str">
        <f aca="false">INDEX(Lookups!$E$2:$E$5,MATCH(P28,Lookups!$D$2:$D$5,0))</f>
        <v>Low</v>
      </c>
    </row>
    <row r="29" customFormat="false" ht="15" hidden="false" customHeight="false" outlineLevel="0" collapsed="false">
      <c r="A29" s="3" t="n">
        <v>28</v>
      </c>
      <c r="B29" s="3" t="n">
        <f aca="false">Raw_Data!A29</f>
        <v>67</v>
      </c>
      <c r="C29" s="3" t="str">
        <f aca="false">SUBSTITUTE(Raw_Data!B29,".","")</f>
        <v>retired</v>
      </c>
      <c r="D29" s="3" t="str">
        <f aca="false">Raw_Data!C29</f>
        <v>married</v>
      </c>
      <c r="E29" s="3" t="str">
        <f aca="false">Raw_Data!D29</f>
        <v>unknown</v>
      </c>
      <c r="F29" s="3" t="str">
        <f aca="false">Raw_Data!E29</f>
        <v>no</v>
      </c>
      <c r="G29" s="3" t="n">
        <f aca="false">Raw_Data!F29</f>
        <v>696</v>
      </c>
      <c r="H29" s="3" t="str">
        <f aca="false">Raw_Data!G29</f>
        <v>no</v>
      </c>
      <c r="I29" s="3" t="str">
        <f aca="false">Raw_Data!H29</f>
        <v>no</v>
      </c>
      <c r="J29" s="2" t="n">
        <f aca="false">IF(F29="yes",1,0)</f>
        <v>0</v>
      </c>
      <c r="K29" s="2" t="n">
        <f aca="false">IF(H29="yes",1,0)</f>
        <v>0</v>
      </c>
      <c r="L29" s="2" t="n">
        <f aca="false">IF(I29="yes",1,0)</f>
        <v>0</v>
      </c>
      <c r="M29" s="2" t="n">
        <f aca="false">IF(G29&lt;0,1,0)</f>
        <v>0</v>
      </c>
      <c r="N29" s="2" t="str">
        <f aca="false">_xlfn.IFS(B29&lt;30,"Under 30",B29&lt;40,"30-39",B29&lt;50,"40-49",B29&lt;60,"50-59",TRUE(),"60+")</f>
        <v>60+</v>
      </c>
      <c r="O29" s="2" t="str">
        <f aca="false">_xlfn.IFS(G29&lt;0,"1 Negative",G29=0,"2 Zero",G29&lt;=500,"3 1-500",G29&lt;=2000,"4 501-2000",TRUE(),"5 Above 2000")</f>
        <v>4 501-2000</v>
      </c>
      <c r="P29" s="2" t="n">
        <f aca="false">Lookups!$B$2*M29+Lookups!$B$3*L29</f>
        <v>0</v>
      </c>
      <c r="Q29" s="2" t="str">
        <f aca="false">INDEX(Lookups!$E$2:$E$5,MATCH(P29,Lookups!$D$2:$D$5,0))</f>
        <v>Low</v>
      </c>
    </row>
    <row r="30" customFormat="false" ht="15" hidden="false" customHeight="false" outlineLevel="0" collapsed="false">
      <c r="A30" s="3" t="n">
        <v>29</v>
      </c>
      <c r="B30" s="3" t="n">
        <f aca="false">Raw_Data!A30</f>
        <v>56</v>
      </c>
      <c r="C30" s="3" t="str">
        <f aca="false">SUBSTITUTE(Raw_Data!B30,".","")</f>
        <v>self-employed</v>
      </c>
      <c r="D30" s="3" t="str">
        <f aca="false">Raw_Data!C30</f>
        <v>married</v>
      </c>
      <c r="E30" s="3" t="str">
        <f aca="false">Raw_Data!D30</f>
        <v>secondary</v>
      </c>
      <c r="F30" s="3" t="str">
        <f aca="false">Raw_Data!E30</f>
        <v>no</v>
      </c>
      <c r="G30" s="3" t="n">
        <f aca="false">Raw_Data!F30</f>
        <v>784</v>
      </c>
      <c r="H30" s="3" t="str">
        <f aca="false">Raw_Data!G30</f>
        <v>no</v>
      </c>
      <c r="I30" s="3" t="str">
        <f aca="false">Raw_Data!H30</f>
        <v>yes</v>
      </c>
      <c r="J30" s="2" t="n">
        <f aca="false">IF(F30="yes",1,0)</f>
        <v>0</v>
      </c>
      <c r="K30" s="2" t="n">
        <f aca="false">IF(H30="yes",1,0)</f>
        <v>0</v>
      </c>
      <c r="L30" s="2" t="n">
        <f aca="false">IF(I30="yes",1,0)</f>
        <v>1</v>
      </c>
      <c r="M30" s="2" t="n">
        <f aca="false">IF(G30&lt;0,1,0)</f>
        <v>0</v>
      </c>
      <c r="N30" s="2" t="str">
        <f aca="false">_xlfn.IFS(B30&lt;30,"Under 30",B30&lt;40,"30-39",B30&lt;50,"40-49",B30&lt;60,"50-59",TRUE(),"60+")</f>
        <v>50-59</v>
      </c>
      <c r="O30" s="2" t="str">
        <f aca="false">_xlfn.IFS(G30&lt;0,"1 Negative",G30=0,"2 Zero",G30&lt;=500,"3 1-500",G30&lt;=2000,"4 501-2000",TRUE(),"5 Above 2000")</f>
        <v>4 501-2000</v>
      </c>
      <c r="P30" s="2" t="n">
        <f aca="false">Lookups!$B$2*M30+Lookups!$B$3*L30</f>
        <v>1</v>
      </c>
      <c r="Q30" s="2" t="str">
        <f aca="false">INDEX(Lookups!$E$2:$E$5,MATCH(P30,Lookups!$D$2:$D$5,0))</f>
        <v>Medium</v>
      </c>
    </row>
    <row r="31" customFormat="false" ht="15" hidden="false" customHeight="false" outlineLevel="0" collapsed="false">
      <c r="A31" s="3" t="n">
        <v>30</v>
      </c>
      <c r="B31" s="3" t="n">
        <f aca="false">Raw_Data!A31</f>
        <v>53</v>
      </c>
      <c r="C31" s="3" t="str">
        <f aca="false">SUBSTITUTE(Raw_Data!B31,".","")</f>
        <v>admin</v>
      </c>
      <c r="D31" s="3" t="str">
        <f aca="false">Raw_Data!C31</f>
        <v>married</v>
      </c>
      <c r="E31" s="3" t="str">
        <f aca="false">Raw_Data!D31</f>
        <v>secondary</v>
      </c>
      <c r="F31" s="3" t="str">
        <f aca="false">Raw_Data!E31</f>
        <v>no</v>
      </c>
      <c r="G31" s="3" t="n">
        <f aca="false">Raw_Data!F31</f>
        <v>105</v>
      </c>
      <c r="H31" s="3" t="str">
        <f aca="false">Raw_Data!G31</f>
        <v>no</v>
      </c>
      <c r="I31" s="3" t="str">
        <f aca="false">Raw_Data!H31</f>
        <v>yes</v>
      </c>
      <c r="J31" s="2" t="n">
        <f aca="false">IF(F31="yes",1,0)</f>
        <v>0</v>
      </c>
      <c r="K31" s="2" t="n">
        <f aca="false">IF(H31="yes",1,0)</f>
        <v>0</v>
      </c>
      <c r="L31" s="2" t="n">
        <f aca="false">IF(I31="yes",1,0)</f>
        <v>1</v>
      </c>
      <c r="M31" s="2" t="n">
        <f aca="false">IF(G31&lt;0,1,0)</f>
        <v>0</v>
      </c>
      <c r="N31" s="2" t="str">
        <f aca="false">_xlfn.IFS(B31&lt;30,"Under 30",B31&lt;40,"30-39",B31&lt;50,"40-49",B31&lt;60,"50-59",TRUE(),"60+")</f>
        <v>50-59</v>
      </c>
      <c r="O31" s="2" t="str">
        <f aca="false">_xlfn.IFS(G31&lt;0,"1 Negative",G31=0,"2 Zero",G31&lt;=500,"3 1-500",G31&lt;=2000,"4 501-2000",TRUE(),"5 Above 2000")</f>
        <v>3 1-500</v>
      </c>
      <c r="P31" s="2" t="n">
        <f aca="false">Lookups!$B$2*M31+Lookups!$B$3*L31</f>
        <v>1</v>
      </c>
      <c r="Q31" s="2" t="str">
        <f aca="false">INDEX(Lookups!$E$2:$E$5,MATCH(P31,Lookups!$D$2:$D$5,0))</f>
        <v>Medium</v>
      </c>
    </row>
    <row r="32" customFormat="false" ht="15" hidden="false" customHeight="false" outlineLevel="0" collapsed="false">
      <c r="A32" s="3" t="n">
        <v>31</v>
      </c>
      <c r="B32" s="3" t="n">
        <f aca="false">Raw_Data!A32</f>
        <v>68</v>
      </c>
      <c r="C32" s="3" t="str">
        <f aca="false">SUBSTITUTE(Raw_Data!B32,".","")</f>
        <v>retired</v>
      </c>
      <c r="D32" s="3" t="str">
        <f aca="false">Raw_Data!C32</f>
        <v>divorced</v>
      </c>
      <c r="E32" s="3" t="str">
        <f aca="false">Raw_Data!D32</f>
        <v>secondary</v>
      </c>
      <c r="F32" s="3" t="str">
        <f aca="false">Raw_Data!E32</f>
        <v>no</v>
      </c>
      <c r="G32" s="3" t="n">
        <f aca="false">Raw_Data!F32</f>
        <v>4189</v>
      </c>
      <c r="H32" s="3" t="str">
        <f aca="false">Raw_Data!G32</f>
        <v>no</v>
      </c>
      <c r="I32" s="3" t="str">
        <f aca="false">Raw_Data!H32</f>
        <v>no</v>
      </c>
      <c r="J32" s="2" t="n">
        <f aca="false">IF(F32="yes",1,0)</f>
        <v>0</v>
      </c>
      <c r="K32" s="2" t="n">
        <f aca="false">IF(H32="yes",1,0)</f>
        <v>0</v>
      </c>
      <c r="L32" s="2" t="n">
        <f aca="false">IF(I32="yes",1,0)</f>
        <v>0</v>
      </c>
      <c r="M32" s="2" t="n">
        <f aca="false">IF(G32&lt;0,1,0)</f>
        <v>0</v>
      </c>
      <c r="N32" s="2" t="str">
        <f aca="false">_xlfn.IFS(B32&lt;30,"Under 30",B32&lt;40,"30-39",B32&lt;50,"40-49",B32&lt;60,"50-59",TRUE(),"60+")</f>
        <v>60+</v>
      </c>
      <c r="O32" s="2" t="str">
        <f aca="false">_xlfn.IFS(G32&lt;0,"1 Negative",G32=0,"2 Zero",G32&lt;=500,"3 1-500",G32&lt;=2000,"4 501-2000",TRUE(),"5 Above 2000")</f>
        <v>5 Above 2000</v>
      </c>
      <c r="P32" s="2" t="n">
        <f aca="false">Lookups!$B$2*M32+Lookups!$B$3*L32</f>
        <v>0</v>
      </c>
      <c r="Q32" s="2" t="str">
        <f aca="false">INDEX(Lookups!$E$2:$E$5,MATCH(P32,Lookups!$D$2:$D$5,0))</f>
        <v>Low</v>
      </c>
    </row>
    <row r="33" customFormat="false" ht="15" hidden="false" customHeight="false" outlineLevel="0" collapsed="false">
      <c r="A33" s="3" t="n">
        <v>32</v>
      </c>
      <c r="B33" s="3" t="n">
        <f aca="false">Raw_Data!A33</f>
        <v>31</v>
      </c>
      <c r="C33" s="3" t="str">
        <f aca="false">SUBSTITUTE(Raw_Data!B33,".","")</f>
        <v>technician</v>
      </c>
      <c r="D33" s="3" t="str">
        <f aca="false">Raw_Data!C33</f>
        <v>married</v>
      </c>
      <c r="E33" s="3" t="str">
        <f aca="false">Raw_Data!D33</f>
        <v>secondary</v>
      </c>
      <c r="F33" s="3" t="str">
        <f aca="false">Raw_Data!E33</f>
        <v>no</v>
      </c>
      <c r="G33" s="3" t="n">
        <f aca="false">Raw_Data!F33</f>
        <v>171</v>
      </c>
      <c r="H33" s="3" t="str">
        <f aca="false">Raw_Data!G33</f>
        <v>no</v>
      </c>
      <c r="I33" s="3" t="str">
        <f aca="false">Raw_Data!H33</f>
        <v>no</v>
      </c>
      <c r="J33" s="2" t="n">
        <f aca="false">IF(F33="yes",1,0)</f>
        <v>0</v>
      </c>
      <c r="K33" s="2" t="n">
        <f aca="false">IF(H33="yes",1,0)</f>
        <v>0</v>
      </c>
      <c r="L33" s="2" t="n">
        <f aca="false">IF(I33="yes",1,0)</f>
        <v>0</v>
      </c>
      <c r="M33" s="2" t="n">
        <f aca="false">IF(G33&lt;0,1,0)</f>
        <v>0</v>
      </c>
      <c r="N33" s="2" t="str">
        <f aca="false">_xlfn.IFS(B33&lt;30,"Under 30",B33&lt;40,"30-39",B33&lt;50,"40-49",B33&lt;60,"50-59",TRUE(),"60+")</f>
        <v>30-39</v>
      </c>
      <c r="O33" s="2" t="str">
        <f aca="false">_xlfn.IFS(G33&lt;0,"1 Negative",G33=0,"2 Zero",G33&lt;=500,"3 1-500",G33&lt;=2000,"4 501-2000",TRUE(),"5 Above 2000")</f>
        <v>3 1-500</v>
      </c>
      <c r="P33" s="2" t="n">
        <f aca="false">Lookups!$B$2*M33+Lookups!$B$3*L33</f>
        <v>0</v>
      </c>
      <c r="Q33" s="2" t="str">
        <f aca="false">INDEX(Lookups!$E$2:$E$5,MATCH(P33,Lookups!$D$2:$D$5,0))</f>
        <v>Low</v>
      </c>
    </row>
    <row r="34" customFormat="false" ht="15" hidden="false" customHeight="false" outlineLevel="0" collapsed="false">
      <c r="A34" s="3" t="n">
        <v>33</v>
      </c>
      <c r="B34" s="3" t="n">
        <f aca="false">Raw_Data!A34</f>
        <v>59</v>
      </c>
      <c r="C34" s="3" t="str">
        <f aca="false">SUBSTITUTE(Raw_Data!B34,".","")</f>
        <v>management</v>
      </c>
      <c r="D34" s="3" t="str">
        <f aca="false">Raw_Data!C34</f>
        <v>married</v>
      </c>
      <c r="E34" s="3" t="str">
        <f aca="false">Raw_Data!D34</f>
        <v>secondary</v>
      </c>
      <c r="F34" s="3" t="str">
        <f aca="false">Raw_Data!E34</f>
        <v>no</v>
      </c>
      <c r="G34" s="3" t="n">
        <f aca="false">Raw_Data!F34</f>
        <v>42</v>
      </c>
      <c r="H34" s="3" t="str">
        <f aca="false">Raw_Data!G34</f>
        <v>no</v>
      </c>
      <c r="I34" s="3" t="str">
        <f aca="false">Raw_Data!H34</f>
        <v>no</v>
      </c>
      <c r="J34" s="2" t="n">
        <f aca="false">IF(F34="yes",1,0)</f>
        <v>0</v>
      </c>
      <c r="K34" s="2" t="n">
        <f aca="false">IF(H34="yes",1,0)</f>
        <v>0</v>
      </c>
      <c r="L34" s="2" t="n">
        <f aca="false">IF(I34="yes",1,0)</f>
        <v>0</v>
      </c>
      <c r="M34" s="2" t="n">
        <f aca="false">IF(G34&lt;0,1,0)</f>
        <v>0</v>
      </c>
      <c r="N34" s="2" t="str">
        <f aca="false">_xlfn.IFS(B34&lt;30,"Under 30",B34&lt;40,"30-39",B34&lt;50,"40-49",B34&lt;60,"50-59",TRUE(),"60+")</f>
        <v>50-59</v>
      </c>
      <c r="O34" s="2" t="str">
        <f aca="false">_xlfn.IFS(G34&lt;0,"1 Negative",G34=0,"2 Zero",G34&lt;=500,"3 1-500",G34&lt;=2000,"4 501-2000",TRUE(),"5 Above 2000")</f>
        <v>3 1-500</v>
      </c>
      <c r="P34" s="2" t="n">
        <f aca="false">Lookups!$B$2*M34+Lookups!$B$3*L34</f>
        <v>0</v>
      </c>
      <c r="Q34" s="2" t="str">
        <f aca="false">INDEX(Lookups!$E$2:$E$5,MATCH(P34,Lookups!$D$2:$D$5,0))</f>
        <v>Low</v>
      </c>
    </row>
    <row r="35" customFormat="false" ht="15" hidden="false" customHeight="false" outlineLevel="0" collapsed="false">
      <c r="A35" s="3" t="n">
        <v>34</v>
      </c>
      <c r="B35" s="3" t="n">
        <f aca="false">Raw_Data!A35</f>
        <v>32</v>
      </c>
      <c r="C35" s="3" t="str">
        <f aca="false">SUBSTITUTE(Raw_Data!B35,".","")</f>
        <v>management</v>
      </c>
      <c r="D35" s="3" t="str">
        <f aca="false">Raw_Data!C35</f>
        <v>single</v>
      </c>
      <c r="E35" s="3" t="str">
        <f aca="false">Raw_Data!D35</f>
        <v>tertiary</v>
      </c>
      <c r="F35" s="3" t="str">
        <f aca="false">Raw_Data!E35</f>
        <v>no</v>
      </c>
      <c r="G35" s="3" t="n">
        <f aca="false">Raw_Data!F35</f>
        <v>2536</v>
      </c>
      <c r="H35" s="3" t="str">
        <f aca="false">Raw_Data!G35</f>
        <v>yes</v>
      </c>
      <c r="I35" s="3" t="str">
        <f aca="false">Raw_Data!H35</f>
        <v>no</v>
      </c>
      <c r="J35" s="2" t="n">
        <f aca="false">IF(F35="yes",1,0)</f>
        <v>0</v>
      </c>
      <c r="K35" s="2" t="n">
        <f aca="false">IF(H35="yes",1,0)</f>
        <v>1</v>
      </c>
      <c r="L35" s="2" t="n">
        <f aca="false">IF(I35="yes",1,0)</f>
        <v>0</v>
      </c>
      <c r="M35" s="2" t="n">
        <f aca="false">IF(G35&lt;0,1,0)</f>
        <v>0</v>
      </c>
      <c r="N35" s="2" t="str">
        <f aca="false">_xlfn.IFS(B35&lt;30,"Under 30",B35&lt;40,"30-39",B35&lt;50,"40-49",B35&lt;60,"50-59",TRUE(),"60+")</f>
        <v>30-39</v>
      </c>
      <c r="O35" s="2" t="str">
        <f aca="false">_xlfn.IFS(G35&lt;0,"1 Negative",G35=0,"2 Zero",G35&lt;=500,"3 1-500",G35&lt;=2000,"4 501-2000",TRUE(),"5 Above 2000")</f>
        <v>5 Above 2000</v>
      </c>
      <c r="P35" s="2" t="n">
        <f aca="false">Lookups!$B$2*M35+Lookups!$B$3*L35</f>
        <v>0</v>
      </c>
      <c r="Q35" s="2" t="str">
        <f aca="false">INDEX(Lookups!$E$2:$E$5,MATCH(P35,Lookups!$D$2:$D$5,0))</f>
        <v>Low</v>
      </c>
    </row>
    <row r="36" customFormat="false" ht="15" hidden="false" customHeight="false" outlineLevel="0" collapsed="false">
      <c r="A36" s="3" t="n">
        <v>35</v>
      </c>
      <c r="B36" s="3" t="n">
        <f aca="false">Raw_Data!A36</f>
        <v>49</v>
      </c>
      <c r="C36" s="3" t="str">
        <f aca="false">SUBSTITUTE(Raw_Data!B36,".","")</f>
        <v>technician</v>
      </c>
      <c r="D36" s="3" t="str">
        <f aca="false">Raw_Data!C36</f>
        <v>married</v>
      </c>
      <c r="E36" s="3" t="str">
        <f aca="false">Raw_Data!D36</f>
        <v>tertiary</v>
      </c>
      <c r="F36" s="3" t="str">
        <f aca="false">Raw_Data!E36</f>
        <v>no</v>
      </c>
      <c r="G36" s="3" t="n">
        <f aca="false">Raw_Data!F36</f>
        <v>1235</v>
      </c>
      <c r="H36" s="3" t="str">
        <f aca="false">Raw_Data!G36</f>
        <v>no</v>
      </c>
      <c r="I36" s="3" t="str">
        <f aca="false">Raw_Data!H36</f>
        <v>no</v>
      </c>
      <c r="J36" s="2" t="n">
        <f aca="false">IF(F36="yes",1,0)</f>
        <v>0</v>
      </c>
      <c r="K36" s="2" t="n">
        <f aca="false">IF(H36="yes",1,0)</f>
        <v>0</v>
      </c>
      <c r="L36" s="2" t="n">
        <f aca="false">IF(I36="yes",1,0)</f>
        <v>0</v>
      </c>
      <c r="M36" s="2" t="n">
        <f aca="false">IF(G36&lt;0,1,0)</f>
        <v>0</v>
      </c>
      <c r="N36" s="2" t="str">
        <f aca="false">_xlfn.IFS(B36&lt;30,"Under 30",B36&lt;40,"30-39",B36&lt;50,"40-49",B36&lt;60,"50-59",TRUE(),"60+")</f>
        <v>40-49</v>
      </c>
      <c r="O36" s="2" t="str">
        <f aca="false">_xlfn.IFS(G36&lt;0,"1 Negative",G36=0,"2 Zero",G36&lt;=500,"3 1-500",G36&lt;=2000,"4 501-2000",TRUE(),"5 Above 2000")</f>
        <v>4 501-2000</v>
      </c>
      <c r="P36" s="2" t="n">
        <f aca="false">Lookups!$B$2*M36+Lookups!$B$3*L36</f>
        <v>0</v>
      </c>
      <c r="Q36" s="2" t="str">
        <f aca="false">INDEX(Lookups!$E$2:$E$5,MATCH(P36,Lookups!$D$2:$D$5,0))</f>
        <v>Low</v>
      </c>
    </row>
    <row r="37" customFormat="false" ht="15" hidden="false" customHeight="false" outlineLevel="0" collapsed="false">
      <c r="A37" s="3" t="n">
        <v>36</v>
      </c>
      <c r="B37" s="3" t="n">
        <f aca="false">Raw_Data!A37</f>
        <v>42</v>
      </c>
      <c r="C37" s="3" t="str">
        <f aca="false">SUBSTITUTE(Raw_Data!B37,".","")</f>
        <v>admin</v>
      </c>
      <c r="D37" s="3" t="str">
        <f aca="false">Raw_Data!C37</f>
        <v>divorced</v>
      </c>
      <c r="E37" s="3" t="str">
        <f aca="false">Raw_Data!D37</f>
        <v>secondary</v>
      </c>
      <c r="F37" s="3" t="str">
        <f aca="false">Raw_Data!E37</f>
        <v>no</v>
      </c>
      <c r="G37" s="3" t="n">
        <f aca="false">Raw_Data!F37</f>
        <v>1811</v>
      </c>
      <c r="H37" s="3" t="str">
        <f aca="false">Raw_Data!G37</f>
        <v>yes</v>
      </c>
      <c r="I37" s="3" t="str">
        <f aca="false">Raw_Data!H37</f>
        <v>no</v>
      </c>
      <c r="J37" s="2" t="n">
        <f aca="false">IF(F37="yes",1,0)</f>
        <v>0</v>
      </c>
      <c r="K37" s="2" t="n">
        <f aca="false">IF(H37="yes",1,0)</f>
        <v>1</v>
      </c>
      <c r="L37" s="2" t="n">
        <f aca="false">IF(I37="yes",1,0)</f>
        <v>0</v>
      </c>
      <c r="M37" s="2" t="n">
        <f aca="false">IF(G37&lt;0,1,0)</f>
        <v>0</v>
      </c>
      <c r="N37" s="2" t="str">
        <f aca="false">_xlfn.IFS(B37&lt;30,"Under 30",B37&lt;40,"30-39",B37&lt;50,"40-49",B37&lt;60,"50-59",TRUE(),"60+")</f>
        <v>40-49</v>
      </c>
      <c r="O37" s="2" t="str">
        <f aca="false">_xlfn.IFS(G37&lt;0,"1 Negative",G37=0,"2 Zero",G37&lt;=500,"3 1-500",G37&lt;=2000,"4 501-2000",TRUE(),"5 Above 2000")</f>
        <v>4 501-2000</v>
      </c>
      <c r="P37" s="2" t="n">
        <f aca="false">Lookups!$B$2*M37+Lookups!$B$3*L37</f>
        <v>0</v>
      </c>
      <c r="Q37" s="2" t="str">
        <f aca="false">INDEX(Lookups!$E$2:$E$5,MATCH(P37,Lookups!$D$2:$D$5,0))</f>
        <v>Low</v>
      </c>
    </row>
    <row r="38" customFormat="false" ht="15" hidden="false" customHeight="false" outlineLevel="0" collapsed="false">
      <c r="A38" s="3" t="n">
        <v>37</v>
      </c>
      <c r="B38" s="3" t="n">
        <f aca="false">Raw_Data!A38</f>
        <v>78</v>
      </c>
      <c r="C38" s="3" t="str">
        <f aca="false">SUBSTITUTE(Raw_Data!B38,".","")</f>
        <v>retired</v>
      </c>
      <c r="D38" s="3" t="str">
        <f aca="false">Raw_Data!C38</f>
        <v>divorced</v>
      </c>
      <c r="E38" s="3" t="str">
        <f aca="false">Raw_Data!D38</f>
        <v>primary</v>
      </c>
      <c r="F38" s="3" t="str">
        <f aca="false">Raw_Data!E38</f>
        <v>no</v>
      </c>
      <c r="G38" s="3" t="n">
        <f aca="false">Raw_Data!F38</f>
        <v>229</v>
      </c>
      <c r="H38" s="3" t="str">
        <f aca="false">Raw_Data!G38</f>
        <v>no</v>
      </c>
      <c r="I38" s="3" t="str">
        <f aca="false">Raw_Data!H38</f>
        <v>no</v>
      </c>
      <c r="J38" s="2" t="n">
        <f aca="false">IF(F38="yes",1,0)</f>
        <v>0</v>
      </c>
      <c r="K38" s="2" t="n">
        <f aca="false">IF(H38="yes",1,0)</f>
        <v>0</v>
      </c>
      <c r="L38" s="2" t="n">
        <f aca="false">IF(I38="yes",1,0)</f>
        <v>0</v>
      </c>
      <c r="M38" s="2" t="n">
        <f aca="false">IF(G38&lt;0,1,0)</f>
        <v>0</v>
      </c>
      <c r="N38" s="2" t="str">
        <f aca="false">_xlfn.IFS(B38&lt;30,"Under 30",B38&lt;40,"30-39",B38&lt;50,"40-49",B38&lt;60,"50-59",TRUE(),"60+")</f>
        <v>60+</v>
      </c>
      <c r="O38" s="2" t="str">
        <f aca="false">_xlfn.IFS(G38&lt;0,"1 Negative",G38=0,"2 Zero",G38&lt;=500,"3 1-500",G38&lt;=2000,"4 501-2000",TRUE(),"5 Above 2000")</f>
        <v>3 1-500</v>
      </c>
      <c r="P38" s="2" t="n">
        <f aca="false">Lookups!$B$2*M38+Lookups!$B$3*L38</f>
        <v>0</v>
      </c>
      <c r="Q38" s="2" t="str">
        <f aca="false">INDEX(Lookups!$E$2:$E$5,MATCH(P38,Lookups!$D$2:$D$5,0))</f>
        <v>Low</v>
      </c>
    </row>
    <row r="39" customFormat="false" ht="15" hidden="false" customHeight="false" outlineLevel="0" collapsed="false">
      <c r="A39" s="3" t="n">
        <v>38</v>
      </c>
      <c r="B39" s="3" t="n">
        <f aca="false">Raw_Data!A39</f>
        <v>32</v>
      </c>
      <c r="C39" s="3" t="str">
        <f aca="false">SUBSTITUTE(Raw_Data!B39,".","")</f>
        <v>blue-collar</v>
      </c>
      <c r="D39" s="3" t="str">
        <f aca="false">Raw_Data!C39</f>
        <v>married</v>
      </c>
      <c r="E39" s="3" t="str">
        <f aca="false">Raw_Data!D39</f>
        <v>secondary</v>
      </c>
      <c r="F39" s="3" t="str">
        <f aca="false">Raw_Data!E39</f>
        <v>no</v>
      </c>
      <c r="G39" s="3" t="n">
        <f aca="false">Raw_Data!F39</f>
        <v>2089</v>
      </c>
      <c r="H39" s="3" t="str">
        <f aca="false">Raw_Data!G39</f>
        <v>yes</v>
      </c>
      <c r="I39" s="3" t="str">
        <f aca="false">Raw_Data!H39</f>
        <v>no</v>
      </c>
      <c r="J39" s="2" t="n">
        <f aca="false">IF(F39="yes",1,0)</f>
        <v>0</v>
      </c>
      <c r="K39" s="2" t="n">
        <f aca="false">IF(H39="yes",1,0)</f>
        <v>1</v>
      </c>
      <c r="L39" s="2" t="n">
        <f aca="false">IF(I39="yes",1,0)</f>
        <v>0</v>
      </c>
      <c r="M39" s="2" t="n">
        <f aca="false">IF(G39&lt;0,1,0)</f>
        <v>0</v>
      </c>
      <c r="N39" s="2" t="str">
        <f aca="false">_xlfn.IFS(B39&lt;30,"Under 30",B39&lt;40,"30-39",B39&lt;50,"40-49",B39&lt;60,"50-59",TRUE(),"60+")</f>
        <v>30-39</v>
      </c>
      <c r="O39" s="2" t="str">
        <f aca="false">_xlfn.IFS(G39&lt;0,"1 Negative",G39=0,"2 Zero",G39&lt;=500,"3 1-500",G39&lt;=2000,"4 501-2000",TRUE(),"5 Above 2000")</f>
        <v>5 Above 2000</v>
      </c>
      <c r="P39" s="2" t="n">
        <f aca="false">Lookups!$B$2*M39+Lookups!$B$3*L39</f>
        <v>0</v>
      </c>
      <c r="Q39" s="2" t="str">
        <f aca="false">INDEX(Lookups!$E$2:$E$5,MATCH(P39,Lookups!$D$2:$D$5,0))</f>
        <v>Low</v>
      </c>
    </row>
    <row r="40" customFormat="false" ht="15" hidden="false" customHeight="false" outlineLevel="0" collapsed="false">
      <c r="A40" s="3" t="n">
        <v>39</v>
      </c>
      <c r="B40" s="3" t="n">
        <f aca="false">Raw_Data!A40</f>
        <v>33</v>
      </c>
      <c r="C40" s="3" t="str">
        <f aca="false">SUBSTITUTE(Raw_Data!B40,".","")</f>
        <v>management</v>
      </c>
      <c r="D40" s="3" t="str">
        <f aca="false">Raw_Data!C40</f>
        <v>married</v>
      </c>
      <c r="E40" s="3" t="str">
        <f aca="false">Raw_Data!D40</f>
        <v>secondary</v>
      </c>
      <c r="F40" s="3" t="str">
        <f aca="false">Raw_Data!E40</f>
        <v>no</v>
      </c>
      <c r="G40" s="3" t="n">
        <f aca="false">Raw_Data!F40</f>
        <v>3935</v>
      </c>
      <c r="H40" s="3" t="str">
        <f aca="false">Raw_Data!G40</f>
        <v>yes</v>
      </c>
      <c r="I40" s="3" t="str">
        <f aca="false">Raw_Data!H40</f>
        <v>no</v>
      </c>
      <c r="J40" s="2" t="n">
        <f aca="false">IF(F40="yes",1,0)</f>
        <v>0</v>
      </c>
      <c r="K40" s="2" t="n">
        <f aca="false">IF(H40="yes",1,0)</f>
        <v>1</v>
      </c>
      <c r="L40" s="2" t="n">
        <f aca="false">IF(I40="yes",1,0)</f>
        <v>0</v>
      </c>
      <c r="M40" s="2" t="n">
        <f aca="false">IF(G40&lt;0,1,0)</f>
        <v>0</v>
      </c>
      <c r="N40" s="2" t="str">
        <f aca="false">_xlfn.IFS(B40&lt;30,"Under 30",B40&lt;40,"30-39",B40&lt;50,"40-49",B40&lt;60,"50-59",TRUE(),"60+")</f>
        <v>30-39</v>
      </c>
      <c r="O40" s="2" t="str">
        <f aca="false">_xlfn.IFS(G40&lt;0,"1 Negative",G40=0,"2 Zero",G40&lt;=500,"3 1-500",G40&lt;=2000,"4 501-2000",TRUE(),"5 Above 2000")</f>
        <v>5 Above 2000</v>
      </c>
      <c r="P40" s="2" t="n">
        <f aca="false">Lookups!$B$2*M40+Lookups!$B$3*L40</f>
        <v>0</v>
      </c>
      <c r="Q40" s="2" t="str">
        <f aca="false">INDEX(Lookups!$E$2:$E$5,MATCH(P40,Lookups!$D$2:$D$5,0))</f>
        <v>Low</v>
      </c>
    </row>
    <row r="41" customFormat="false" ht="15" hidden="false" customHeight="false" outlineLevel="0" collapsed="false">
      <c r="A41" s="3" t="n">
        <v>40</v>
      </c>
      <c r="B41" s="3" t="n">
        <f aca="false">Raw_Data!A41</f>
        <v>23</v>
      </c>
      <c r="C41" s="3" t="str">
        <f aca="false">SUBSTITUTE(Raw_Data!B41,".","")</f>
        <v>services</v>
      </c>
      <c r="D41" s="3" t="str">
        <f aca="false">Raw_Data!C41</f>
        <v>single</v>
      </c>
      <c r="E41" s="3" t="str">
        <f aca="false">Raw_Data!D41</f>
        <v>tertiary</v>
      </c>
      <c r="F41" s="3" t="str">
        <f aca="false">Raw_Data!E41</f>
        <v>no</v>
      </c>
      <c r="G41" s="3" t="n">
        <f aca="false">Raw_Data!F41</f>
        <v>363</v>
      </c>
      <c r="H41" s="3" t="str">
        <f aca="false">Raw_Data!G41</f>
        <v>yes</v>
      </c>
      <c r="I41" s="3" t="str">
        <f aca="false">Raw_Data!H41</f>
        <v>no</v>
      </c>
      <c r="J41" s="2" t="n">
        <f aca="false">IF(F41="yes",1,0)</f>
        <v>0</v>
      </c>
      <c r="K41" s="2" t="n">
        <f aca="false">IF(H41="yes",1,0)</f>
        <v>1</v>
      </c>
      <c r="L41" s="2" t="n">
        <f aca="false">IF(I41="yes",1,0)</f>
        <v>0</v>
      </c>
      <c r="M41" s="2" t="n">
        <f aca="false">IF(G41&lt;0,1,0)</f>
        <v>0</v>
      </c>
      <c r="N41" s="2" t="str">
        <f aca="false">_xlfn.IFS(B41&lt;30,"Under 30",B41&lt;40,"30-39",B41&lt;50,"40-49",B41&lt;60,"50-59",TRUE(),"60+")</f>
        <v>Under 30</v>
      </c>
      <c r="O41" s="2" t="str">
        <f aca="false">_xlfn.IFS(G41&lt;0,"1 Negative",G41=0,"2 Zero",G41&lt;=500,"3 1-500",G41&lt;=2000,"4 501-2000",TRUE(),"5 Above 2000")</f>
        <v>3 1-500</v>
      </c>
      <c r="P41" s="2" t="n">
        <f aca="false">Lookups!$B$2*M41+Lookups!$B$3*L41</f>
        <v>0</v>
      </c>
      <c r="Q41" s="2" t="str">
        <f aca="false">INDEX(Lookups!$E$2:$E$5,MATCH(P41,Lookups!$D$2:$D$5,0))</f>
        <v>Low</v>
      </c>
    </row>
    <row r="42" customFormat="false" ht="15" hidden="false" customHeight="false" outlineLevel="0" collapsed="false">
      <c r="A42" s="3" t="n">
        <v>41</v>
      </c>
      <c r="B42" s="3" t="n">
        <f aca="false">Raw_Data!A42</f>
        <v>38</v>
      </c>
      <c r="C42" s="3" t="str">
        <f aca="false">SUBSTITUTE(Raw_Data!B42,".","")</f>
        <v>management</v>
      </c>
      <c r="D42" s="3" t="str">
        <f aca="false">Raw_Data!C42</f>
        <v>single</v>
      </c>
      <c r="E42" s="3" t="str">
        <f aca="false">Raw_Data!D42</f>
        <v>tertiary</v>
      </c>
      <c r="F42" s="3" t="str">
        <f aca="false">Raw_Data!E42</f>
        <v>no</v>
      </c>
      <c r="G42" s="3" t="n">
        <f aca="false">Raw_Data!F42</f>
        <v>11971</v>
      </c>
      <c r="H42" s="3" t="str">
        <f aca="false">Raw_Data!G42</f>
        <v>yes</v>
      </c>
      <c r="I42" s="3" t="str">
        <f aca="false">Raw_Data!H42</f>
        <v>no</v>
      </c>
      <c r="J42" s="2" t="n">
        <f aca="false">IF(F42="yes",1,0)</f>
        <v>0</v>
      </c>
      <c r="K42" s="2" t="n">
        <f aca="false">IF(H42="yes",1,0)</f>
        <v>1</v>
      </c>
      <c r="L42" s="2" t="n">
        <f aca="false">IF(I42="yes",1,0)</f>
        <v>0</v>
      </c>
      <c r="M42" s="2" t="n">
        <f aca="false">IF(G42&lt;0,1,0)</f>
        <v>0</v>
      </c>
      <c r="N42" s="2" t="str">
        <f aca="false">_xlfn.IFS(B42&lt;30,"Under 30",B42&lt;40,"30-39",B42&lt;50,"40-49",B42&lt;60,"50-59",TRUE(),"60+")</f>
        <v>30-39</v>
      </c>
      <c r="O42" s="2" t="str">
        <f aca="false">_xlfn.IFS(G42&lt;0,"1 Negative",G42=0,"2 Zero",G42&lt;=500,"3 1-500",G42&lt;=2000,"4 501-2000",TRUE(),"5 Above 2000")</f>
        <v>5 Above 2000</v>
      </c>
      <c r="P42" s="2" t="n">
        <f aca="false">Lookups!$B$2*M42+Lookups!$B$3*L42</f>
        <v>0</v>
      </c>
      <c r="Q42" s="2" t="str">
        <f aca="false">INDEX(Lookups!$E$2:$E$5,MATCH(P42,Lookups!$D$2:$D$5,0))</f>
        <v>Low</v>
      </c>
    </row>
    <row r="43" customFormat="false" ht="15" hidden="false" customHeight="false" outlineLevel="0" collapsed="false">
      <c r="A43" s="3" t="n">
        <v>42</v>
      </c>
      <c r="B43" s="3" t="n">
        <f aca="false">Raw_Data!A43</f>
        <v>36</v>
      </c>
      <c r="C43" s="3" t="str">
        <f aca="false">SUBSTITUTE(Raw_Data!B43,".","")</f>
        <v>management</v>
      </c>
      <c r="D43" s="3" t="str">
        <f aca="false">Raw_Data!C43</f>
        <v>single</v>
      </c>
      <c r="E43" s="3" t="str">
        <f aca="false">Raw_Data!D43</f>
        <v>tertiary</v>
      </c>
      <c r="F43" s="3" t="str">
        <f aca="false">Raw_Data!E43</f>
        <v>no</v>
      </c>
      <c r="G43" s="3" t="n">
        <f aca="false">Raw_Data!F43</f>
        <v>553</v>
      </c>
      <c r="H43" s="3" t="str">
        <f aca="false">Raw_Data!G43</f>
        <v>no</v>
      </c>
      <c r="I43" s="3" t="str">
        <f aca="false">Raw_Data!H43</f>
        <v>no</v>
      </c>
      <c r="J43" s="2" t="n">
        <f aca="false">IF(F43="yes",1,0)</f>
        <v>0</v>
      </c>
      <c r="K43" s="2" t="n">
        <f aca="false">IF(H43="yes",1,0)</f>
        <v>0</v>
      </c>
      <c r="L43" s="2" t="n">
        <f aca="false">IF(I43="yes",1,0)</f>
        <v>0</v>
      </c>
      <c r="M43" s="2" t="n">
        <f aca="false">IF(G43&lt;0,1,0)</f>
        <v>0</v>
      </c>
      <c r="N43" s="2" t="str">
        <f aca="false">_xlfn.IFS(B43&lt;30,"Under 30",B43&lt;40,"30-39",B43&lt;50,"40-49",B43&lt;60,"50-59",TRUE(),"60+")</f>
        <v>30-39</v>
      </c>
      <c r="O43" s="2" t="str">
        <f aca="false">_xlfn.IFS(G43&lt;0,"1 Negative",G43=0,"2 Zero",G43&lt;=500,"3 1-500",G43&lt;=2000,"4 501-2000",TRUE(),"5 Above 2000")</f>
        <v>4 501-2000</v>
      </c>
      <c r="P43" s="2" t="n">
        <f aca="false">Lookups!$B$2*M43+Lookups!$B$3*L43</f>
        <v>0</v>
      </c>
      <c r="Q43" s="2" t="str">
        <f aca="false">INDEX(Lookups!$E$2:$E$5,MATCH(P43,Lookups!$D$2:$D$5,0))</f>
        <v>Low</v>
      </c>
    </row>
    <row r="44" customFormat="false" ht="15" hidden="false" customHeight="false" outlineLevel="0" collapsed="false">
      <c r="A44" s="3" t="n">
        <v>43</v>
      </c>
      <c r="B44" s="3" t="n">
        <f aca="false">Raw_Data!A44</f>
        <v>52</v>
      </c>
      <c r="C44" s="3" t="str">
        <f aca="false">SUBSTITUTE(Raw_Data!B44,".","")</f>
        <v>blue-collar</v>
      </c>
      <c r="D44" s="3" t="str">
        <f aca="false">Raw_Data!C44</f>
        <v>married</v>
      </c>
      <c r="E44" s="3" t="str">
        <f aca="false">Raw_Data!D44</f>
        <v>secondary</v>
      </c>
      <c r="F44" s="3" t="str">
        <f aca="false">Raw_Data!E44</f>
        <v>no</v>
      </c>
      <c r="G44" s="3" t="n">
        <f aca="false">Raw_Data!F44</f>
        <v>1117</v>
      </c>
      <c r="H44" s="3" t="str">
        <f aca="false">Raw_Data!G44</f>
        <v>yes</v>
      </c>
      <c r="I44" s="3" t="str">
        <f aca="false">Raw_Data!H44</f>
        <v>no</v>
      </c>
      <c r="J44" s="2" t="n">
        <f aca="false">IF(F44="yes",1,0)</f>
        <v>0</v>
      </c>
      <c r="K44" s="2" t="n">
        <f aca="false">IF(H44="yes",1,0)</f>
        <v>1</v>
      </c>
      <c r="L44" s="2" t="n">
        <f aca="false">IF(I44="yes",1,0)</f>
        <v>0</v>
      </c>
      <c r="M44" s="2" t="n">
        <f aca="false">IF(G44&lt;0,1,0)</f>
        <v>0</v>
      </c>
      <c r="N44" s="2" t="str">
        <f aca="false">_xlfn.IFS(B44&lt;30,"Under 30",B44&lt;40,"30-39",B44&lt;50,"40-49",B44&lt;60,"50-59",TRUE(),"60+")</f>
        <v>50-59</v>
      </c>
      <c r="O44" s="2" t="str">
        <f aca="false">_xlfn.IFS(G44&lt;0,"1 Negative",G44=0,"2 Zero",G44&lt;=500,"3 1-500",G44&lt;=2000,"4 501-2000",TRUE(),"5 Above 2000")</f>
        <v>4 501-2000</v>
      </c>
      <c r="P44" s="2" t="n">
        <f aca="false">Lookups!$B$2*M44+Lookups!$B$3*L44</f>
        <v>0</v>
      </c>
      <c r="Q44" s="2" t="str">
        <f aca="false">INDEX(Lookups!$E$2:$E$5,MATCH(P44,Lookups!$D$2:$D$5,0))</f>
        <v>Low</v>
      </c>
    </row>
    <row r="45" customFormat="false" ht="15" hidden="false" customHeight="false" outlineLevel="0" collapsed="false">
      <c r="A45" s="3" t="n">
        <v>44</v>
      </c>
      <c r="B45" s="3" t="n">
        <f aca="false">Raw_Data!A45</f>
        <v>32</v>
      </c>
      <c r="C45" s="3" t="str">
        <f aca="false">SUBSTITUTE(Raw_Data!B45,".","")</f>
        <v>technician</v>
      </c>
      <c r="D45" s="3" t="str">
        <f aca="false">Raw_Data!C45</f>
        <v>married</v>
      </c>
      <c r="E45" s="3" t="str">
        <f aca="false">Raw_Data!D45</f>
        <v>tertiary</v>
      </c>
      <c r="F45" s="3" t="str">
        <f aca="false">Raw_Data!E45</f>
        <v>no</v>
      </c>
      <c r="G45" s="3" t="n">
        <f aca="false">Raw_Data!F45</f>
        <v>396</v>
      </c>
      <c r="H45" s="3" t="str">
        <f aca="false">Raw_Data!G45</f>
        <v>yes</v>
      </c>
      <c r="I45" s="3" t="str">
        <f aca="false">Raw_Data!H45</f>
        <v>no</v>
      </c>
      <c r="J45" s="2" t="n">
        <f aca="false">IF(F45="yes",1,0)</f>
        <v>0</v>
      </c>
      <c r="K45" s="2" t="n">
        <f aca="false">IF(H45="yes",1,0)</f>
        <v>1</v>
      </c>
      <c r="L45" s="2" t="n">
        <f aca="false">IF(I45="yes",1,0)</f>
        <v>0</v>
      </c>
      <c r="M45" s="2" t="n">
        <f aca="false">IF(G45&lt;0,1,0)</f>
        <v>0</v>
      </c>
      <c r="N45" s="2" t="str">
        <f aca="false">_xlfn.IFS(B45&lt;30,"Under 30",B45&lt;40,"30-39",B45&lt;50,"40-49",B45&lt;60,"50-59",TRUE(),"60+")</f>
        <v>30-39</v>
      </c>
      <c r="O45" s="2" t="str">
        <f aca="false">_xlfn.IFS(G45&lt;0,"1 Negative",G45=0,"2 Zero",G45&lt;=500,"3 1-500",G45&lt;=2000,"4 501-2000",TRUE(),"5 Above 2000")</f>
        <v>3 1-500</v>
      </c>
      <c r="P45" s="2" t="n">
        <f aca="false">Lookups!$B$2*M45+Lookups!$B$3*L45</f>
        <v>0</v>
      </c>
      <c r="Q45" s="2" t="str">
        <f aca="false">INDEX(Lookups!$E$2:$E$5,MATCH(P45,Lookups!$D$2:$D$5,0))</f>
        <v>Low</v>
      </c>
    </row>
    <row r="46" customFormat="false" ht="15" hidden="false" customHeight="false" outlineLevel="0" collapsed="false">
      <c r="A46" s="3" t="n">
        <v>45</v>
      </c>
      <c r="B46" s="3" t="n">
        <f aca="false">Raw_Data!A46</f>
        <v>32</v>
      </c>
      <c r="C46" s="3" t="str">
        <f aca="false">SUBSTITUTE(Raw_Data!B46,".","")</f>
        <v>technician</v>
      </c>
      <c r="D46" s="3" t="str">
        <f aca="false">Raw_Data!C46</f>
        <v>single</v>
      </c>
      <c r="E46" s="3" t="str">
        <f aca="false">Raw_Data!D46</f>
        <v>tertiary</v>
      </c>
      <c r="F46" s="3" t="str">
        <f aca="false">Raw_Data!E46</f>
        <v>no</v>
      </c>
      <c r="G46" s="3" t="n">
        <f aca="false">Raw_Data!F46</f>
        <v>2204</v>
      </c>
      <c r="H46" s="3" t="str">
        <f aca="false">Raw_Data!G46</f>
        <v>yes</v>
      </c>
      <c r="I46" s="3" t="str">
        <f aca="false">Raw_Data!H46</f>
        <v>no</v>
      </c>
      <c r="J46" s="2" t="n">
        <f aca="false">IF(F46="yes",1,0)</f>
        <v>0</v>
      </c>
      <c r="K46" s="2" t="n">
        <f aca="false">IF(H46="yes",1,0)</f>
        <v>1</v>
      </c>
      <c r="L46" s="2" t="n">
        <f aca="false">IF(I46="yes",1,0)</f>
        <v>0</v>
      </c>
      <c r="M46" s="2" t="n">
        <f aca="false">IF(G46&lt;0,1,0)</f>
        <v>0</v>
      </c>
      <c r="N46" s="2" t="str">
        <f aca="false">_xlfn.IFS(B46&lt;30,"Under 30",B46&lt;40,"30-39",B46&lt;50,"40-49",B46&lt;60,"50-59",TRUE(),"60+")</f>
        <v>30-39</v>
      </c>
      <c r="O46" s="2" t="str">
        <f aca="false">_xlfn.IFS(G46&lt;0,"1 Negative",G46=0,"2 Zero",G46&lt;=500,"3 1-500",G46&lt;=2000,"4 501-2000",TRUE(),"5 Above 2000")</f>
        <v>5 Above 2000</v>
      </c>
      <c r="P46" s="2" t="n">
        <f aca="false">Lookups!$B$2*M46+Lookups!$B$3*L46</f>
        <v>0</v>
      </c>
      <c r="Q46" s="2" t="str">
        <f aca="false">INDEX(Lookups!$E$2:$E$5,MATCH(P46,Lookups!$D$2:$D$5,0))</f>
        <v>Low</v>
      </c>
    </row>
    <row r="47" customFormat="false" ht="15" hidden="false" customHeight="false" outlineLevel="0" collapsed="false">
      <c r="A47" s="3" t="n">
        <v>46</v>
      </c>
      <c r="B47" s="3" t="n">
        <f aca="false">Raw_Data!A47</f>
        <v>34</v>
      </c>
      <c r="C47" s="3" t="str">
        <f aca="false">SUBSTITUTE(Raw_Data!B47,".","")</f>
        <v>management</v>
      </c>
      <c r="D47" s="3" t="str">
        <f aca="false">Raw_Data!C47</f>
        <v>single</v>
      </c>
      <c r="E47" s="3" t="str">
        <f aca="false">Raw_Data!D47</f>
        <v>tertiary</v>
      </c>
      <c r="F47" s="3" t="str">
        <f aca="false">Raw_Data!E47</f>
        <v>no</v>
      </c>
      <c r="G47" s="3" t="n">
        <f aca="false">Raw_Data!F47</f>
        <v>872</v>
      </c>
      <c r="H47" s="3" t="str">
        <f aca="false">Raw_Data!G47</f>
        <v>yes</v>
      </c>
      <c r="I47" s="3" t="str">
        <f aca="false">Raw_Data!H47</f>
        <v>no</v>
      </c>
      <c r="J47" s="2" t="n">
        <f aca="false">IF(F47="yes",1,0)</f>
        <v>0</v>
      </c>
      <c r="K47" s="2" t="n">
        <f aca="false">IF(H47="yes",1,0)</f>
        <v>1</v>
      </c>
      <c r="L47" s="2" t="n">
        <f aca="false">IF(I47="yes",1,0)</f>
        <v>0</v>
      </c>
      <c r="M47" s="2" t="n">
        <f aca="false">IF(G47&lt;0,1,0)</f>
        <v>0</v>
      </c>
      <c r="N47" s="2" t="str">
        <f aca="false">_xlfn.IFS(B47&lt;30,"Under 30",B47&lt;40,"30-39",B47&lt;50,"40-49",B47&lt;60,"50-59",TRUE(),"60+")</f>
        <v>30-39</v>
      </c>
      <c r="O47" s="2" t="str">
        <f aca="false">_xlfn.IFS(G47&lt;0,"1 Negative",G47=0,"2 Zero",G47&lt;=500,"3 1-500",G47&lt;=2000,"4 501-2000",TRUE(),"5 Above 2000")</f>
        <v>4 501-2000</v>
      </c>
      <c r="P47" s="2" t="n">
        <f aca="false">Lookups!$B$2*M47+Lookups!$B$3*L47</f>
        <v>0</v>
      </c>
      <c r="Q47" s="2" t="str">
        <f aca="false">INDEX(Lookups!$E$2:$E$5,MATCH(P47,Lookups!$D$2:$D$5,0))</f>
        <v>Low</v>
      </c>
    </row>
    <row r="48" customFormat="false" ht="15" hidden="false" customHeight="false" outlineLevel="0" collapsed="false">
      <c r="A48" s="3" t="n">
        <v>47</v>
      </c>
      <c r="B48" s="3" t="n">
        <f aca="false">Raw_Data!A48</f>
        <v>55</v>
      </c>
      <c r="C48" s="3" t="str">
        <f aca="false">SUBSTITUTE(Raw_Data!B48,".","")</f>
        <v>blue-collar</v>
      </c>
      <c r="D48" s="3" t="str">
        <f aca="false">Raw_Data!C48</f>
        <v>married</v>
      </c>
      <c r="E48" s="3" t="str">
        <f aca="false">Raw_Data!D48</f>
        <v>primary</v>
      </c>
      <c r="F48" s="3" t="str">
        <f aca="false">Raw_Data!E48</f>
        <v>no</v>
      </c>
      <c r="G48" s="3" t="n">
        <f aca="false">Raw_Data!F48</f>
        <v>145</v>
      </c>
      <c r="H48" s="3" t="str">
        <f aca="false">Raw_Data!G48</f>
        <v>no</v>
      </c>
      <c r="I48" s="3" t="str">
        <f aca="false">Raw_Data!H48</f>
        <v>no</v>
      </c>
      <c r="J48" s="2" t="n">
        <f aca="false">IF(F48="yes",1,0)</f>
        <v>0</v>
      </c>
      <c r="K48" s="2" t="n">
        <f aca="false">IF(H48="yes",1,0)</f>
        <v>0</v>
      </c>
      <c r="L48" s="2" t="n">
        <f aca="false">IF(I48="yes",1,0)</f>
        <v>0</v>
      </c>
      <c r="M48" s="2" t="n">
        <f aca="false">IF(G48&lt;0,1,0)</f>
        <v>0</v>
      </c>
      <c r="N48" s="2" t="str">
        <f aca="false">_xlfn.IFS(B48&lt;30,"Under 30",B48&lt;40,"30-39",B48&lt;50,"40-49",B48&lt;60,"50-59",TRUE(),"60+")</f>
        <v>50-59</v>
      </c>
      <c r="O48" s="2" t="str">
        <f aca="false">_xlfn.IFS(G48&lt;0,"1 Negative",G48=0,"2 Zero",G48&lt;=500,"3 1-500",G48&lt;=2000,"4 501-2000",TRUE(),"5 Above 2000")</f>
        <v>3 1-500</v>
      </c>
      <c r="P48" s="2" t="n">
        <f aca="false">Lookups!$B$2*M48+Lookups!$B$3*L48</f>
        <v>0</v>
      </c>
      <c r="Q48" s="2" t="str">
        <f aca="false">INDEX(Lookups!$E$2:$E$5,MATCH(P48,Lookups!$D$2:$D$5,0))</f>
        <v>Low</v>
      </c>
    </row>
    <row r="49" customFormat="false" ht="15" hidden="false" customHeight="false" outlineLevel="0" collapsed="false">
      <c r="A49" s="3" t="n">
        <v>48</v>
      </c>
      <c r="B49" s="3" t="n">
        <f aca="false">Raw_Data!A49</f>
        <v>26</v>
      </c>
      <c r="C49" s="3" t="str">
        <f aca="false">SUBSTITUTE(Raw_Data!B49,".","")</f>
        <v>blue-collar</v>
      </c>
      <c r="D49" s="3" t="str">
        <f aca="false">Raw_Data!C49</f>
        <v>married</v>
      </c>
      <c r="E49" s="3" t="str">
        <f aca="false">Raw_Data!D49</f>
        <v>primary</v>
      </c>
      <c r="F49" s="3" t="str">
        <f aca="false">Raw_Data!E49</f>
        <v>no</v>
      </c>
      <c r="G49" s="3" t="n">
        <f aca="false">Raw_Data!F49</f>
        <v>0</v>
      </c>
      <c r="H49" s="3" t="str">
        <f aca="false">Raw_Data!G49</f>
        <v>yes</v>
      </c>
      <c r="I49" s="3" t="str">
        <f aca="false">Raw_Data!H49</f>
        <v>no</v>
      </c>
      <c r="J49" s="2" t="n">
        <f aca="false">IF(F49="yes",1,0)</f>
        <v>0</v>
      </c>
      <c r="K49" s="2" t="n">
        <f aca="false">IF(H49="yes",1,0)</f>
        <v>1</v>
      </c>
      <c r="L49" s="2" t="n">
        <f aca="false">IF(I49="yes",1,0)</f>
        <v>0</v>
      </c>
      <c r="M49" s="2" t="n">
        <f aca="false">IF(G49&lt;0,1,0)</f>
        <v>0</v>
      </c>
      <c r="N49" s="2" t="str">
        <f aca="false">_xlfn.IFS(B49&lt;30,"Under 30",B49&lt;40,"30-39",B49&lt;50,"40-49",B49&lt;60,"50-59",TRUE(),"60+")</f>
        <v>Under 30</v>
      </c>
      <c r="O49" s="2" t="str">
        <f aca="false">_xlfn.IFS(G49&lt;0,"1 Negative",G49=0,"2 Zero",G49&lt;=500,"3 1-500",G49&lt;=2000,"4 501-2000",TRUE(),"5 Above 2000")</f>
        <v>2 Zero</v>
      </c>
      <c r="P49" s="2" t="n">
        <f aca="false">Lookups!$B$2*M49+Lookups!$B$3*L49</f>
        <v>0</v>
      </c>
      <c r="Q49" s="2" t="str">
        <f aca="false">INDEX(Lookups!$E$2:$E$5,MATCH(P49,Lookups!$D$2:$D$5,0))</f>
        <v>Low</v>
      </c>
    </row>
    <row r="50" customFormat="false" ht="15" hidden="false" customHeight="false" outlineLevel="0" collapsed="false">
      <c r="A50" s="3" t="n">
        <v>49</v>
      </c>
      <c r="B50" s="3" t="n">
        <f aca="false">Raw_Data!A50</f>
        <v>32</v>
      </c>
      <c r="C50" s="3" t="str">
        <f aca="false">SUBSTITUTE(Raw_Data!B50,".","")</f>
        <v>entrepreneur</v>
      </c>
      <c r="D50" s="3" t="str">
        <f aca="false">Raw_Data!C50</f>
        <v>single</v>
      </c>
      <c r="E50" s="3" t="str">
        <f aca="false">Raw_Data!D50</f>
        <v>primary</v>
      </c>
      <c r="F50" s="3" t="str">
        <f aca="false">Raw_Data!E50</f>
        <v>yes</v>
      </c>
      <c r="G50" s="3" t="n">
        <f aca="false">Raw_Data!F50</f>
        <v>-849</v>
      </c>
      <c r="H50" s="3" t="str">
        <f aca="false">Raw_Data!G50</f>
        <v>yes</v>
      </c>
      <c r="I50" s="3" t="str">
        <f aca="false">Raw_Data!H50</f>
        <v>yes</v>
      </c>
      <c r="J50" s="2" t="n">
        <f aca="false">IF(F50="yes",1,0)</f>
        <v>1</v>
      </c>
      <c r="K50" s="2" t="n">
        <f aca="false">IF(H50="yes",1,0)</f>
        <v>1</v>
      </c>
      <c r="L50" s="2" t="n">
        <f aca="false">IF(I50="yes",1,0)</f>
        <v>1</v>
      </c>
      <c r="M50" s="2" t="n">
        <f aca="false">IF(G50&lt;0,1,0)</f>
        <v>1</v>
      </c>
      <c r="N50" s="2" t="str">
        <f aca="false">_xlfn.IFS(B50&lt;30,"Under 30",B50&lt;40,"30-39",B50&lt;50,"40-49",B50&lt;60,"50-59",TRUE(),"60+")</f>
        <v>30-39</v>
      </c>
      <c r="O50" s="2" t="str">
        <f aca="false">_xlfn.IFS(G50&lt;0,"1 Negative",G50=0,"2 Zero",G50&lt;=500,"3 1-500",G50&lt;=2000,"4 501-2000",TRUE(),"5 Above 2000")</f>
        <v>1 Negative</v>
      </c>
      <c r="P50" s="2" t="n">
        <f aca="false">Lookups!$B$2*M50+Lookups!$B$3*L50</f>
        <v>3</v>
      </c>
      <c r="Q50" s="2" t="str">
        <f aca="false">INDEX(Lookups!$E$2:$E$5,MATCH(P50,Lookups!$D$2:$D$5,0))</f>
        <v>High</v>
      </c>
    </row>
    <row r="51" customFormat="false" ht="15" hidden="false" customHeight="false" outlineLevel="0" collapsed="false">
      <c r="A51" s="3" t="n">
        <v>50</v>
      </c>
      <c r="B51" s="3" t="n">
        <f aca="false">Raw_Data!A51</f>
        <v>61</v>
      </c>
      <c r="C51" s="3" t="str">
        <f aca="false">SUBSTITUTE(Raw_Data!B51,".","")</f>
        <v>admin</v>
      </c>
      <c r="D51" s="3" t="str">
        <f aca="false">Raw_Data!C51</f>
        <v>married</v>
      </c>
      <c r="E51" s="3" t="str">
        <f aca="false">Raw_Data!D51</f>
        <v>unknown</v>
      </c>
      <c r="F51" s="3" t="str">
        <f aca="false">Raw_Data!E51</f>
        <v>no</v>
      </c>
      <c r="G51" s="3" t="n">
        <f aca="false">Raw_Data!F51</f>
        <v>4629</v>
      </c>
      <c r="H51" s="3" t="str">
        <f aca="false">Raw_Data!G51</f>
        <v>yes</v>
      </c>
      <c r="I51" s="3" t="str">
        <f aca="false">Raw_Data!H51</f>
        <v>no</v>
      </c>
      <c r="J51" s="2" t="n">
        <f aca="false">IF(F51="yes",1,0)</f>
        <v>0</v>
      </c>
      <c r="K51" s="2" t="n">
        <f aca="false">IF(H51="yes",1,0)</f>
        <v>1</v>
      </c>
      <c r="L51" s="2" t="n">
        <f aca="false">IF(I51="yes",1,0)</f>
        <v>0</v>
      </c>
      <c r="M51" s="2" t="n">
        <f aca="false">IF(G51&lt;0,1,0)</f>
        <v>0</v>
      </c>
      <c r="N51" s="2" t="str">
        <f aca="false">_xlfn.IFS(B51&lt;30,"Under 30",B51&lt;40,"30-39",B51&lt;50,"40-49",B51&lt;60,"50-59",TRUE(),"60+")</f>
        <v>60+</v>
      </c>
      <c r="O51" s="2" t="str">
        <f aca="false">_xlfn.IFS(G51&lt;0,"1 Negative",G51=0,"2 Zero",G51&lt;=500,"3 1-500",G51&lt;=2000,"4 501-2000",TRUE(),"5 Above 2000")</f>
        <v>5 Above 2000</v>
      </c>
      <c r="P51" s="2" t="n">
        <f aca="false">Lookups!$B$2*M51+Lookups!$B$3*L51</f>
        <v>0</v>
      </c>
      <c r="Q51" s="2" t="str">
        <f aca="false">INDEX(Lookups!$E$2:$E$5,MATCH(P51,Lookups!$D$2:$D$5,0))</f>
        <v>Low</v>
      </c>
    </row>
    <row r="52" customFormat="false" ht="15" hidden="false" customHeight="false" outlineLevel="0" collapsed="false">
      <c r="A52" s="3" t="n">
        <v>51</v>
      </c>
      <c r="B52" s="3" t="n">
        <f aca="false">Raw_Data!A52</f>
        <v>45</v>
      </c>
      <c r="C52" s="3" t="str">
        <f aca="false">SUBSTITUTE(Raw_Data!B52,".","")</f>
        <v>blue-collar</v>
      </c>
      <c r="D52" s="3" t="str">
        <f aca="false">Raw_Data!C52</f>
        <v>divorced</v>
      </c>
      <c r="E52" s="3" t="str">
        <f aca="false">Raw_Data!D52</f>
        <v>primary</v>
      </c>
      <c r="F52" s="3" t="str">
        <f aca="false">Raw_Data!E52</f>
        <v>no</v>
      </c>
      <c r="G52" s="3" t="n">
        <f aca="false">Raw_Data!F52</f>
        <v>844</v>
      </c>
      <c r="H52" s="3" t="str">
        <f aca="false">Raw_Data!G52</f>
        <v>no</v>
      </c>
      <c r="I52" s="3" t="str">
        <f aca="false">Raw_Data!H52</f>
        <v>no</v>
      </c>
      <c r="J52" s="2" t="n">
        <f aca="false">IF(F52="yes",1,0)</f>
        <v>0</v>
      </c>
      <c r="K52" s="2" t="n">
        <f aca="false">IF(H52="yes",1,0)</f>
        <v>0</v>
      </c>
      <c r="L52" s="2" t="n">
        <f aca="false">IF(I52="yes",1,0)</f>
        <v>0</v>
      </c>
      <c r="M52" s="2" t="n">
        <f aca="false">IF(G52&lt;0,1,0)</f>
        <v>0</v>
      </c>
      <c r="N52" s="2" t="str">
        <f aca="false">_xlfn.IFS(B52&lt;30,"Under 30",B52&lt;40,"30-39",B52&lt;50,"40-49",B52&lt;60,"50-59",TRUE(),"60+")</f>
        <v>40-49</v>
      </c>
      <c r="O52" s="2" t="str">
        <f aca="false">_xlfn.IFS(G52&lt;0,"1 Negative",G52=0,"2 Zero",G52&lt;=500,"3 1-500",G52&lt;=2000,"4 501-2000",TRUE(),"5 Above 2000")</f>
        <v>4 501-2000</v>
      </c>
      <c r="P52" s="2" t="n">
        <f aca="false">Lookups!$B$2*M52+Lookups!$B$3*L52</f>
        <v>0</v>
      </c>
      <c r="Q52" s="2" t="str">
        <f aca="false">INDEX(Lookups!$E$2:$E$5,MATCH(P52,Lookups!$D$2:$D$5,0))</f>
        <v>Low</v>
      </c>
    </row>
    <row r="53" customFormat="false" ht="15" hidden="false" customHeight="false" outlineLevel="0" collapsed="false">
      <c r="A53" s="3" t="n">
        <v>52</v>
      </c>
      <c r="B53" s="3" t="n">
        <f aca="false">Raw_Data!A53</f>
        <v>37</v>
      </c>
      <c r="C53" s="3" t="str">
        <f aca="false">SUBSTITUTE(Raw_Data!B53,".","")</f>
        <v>technician</v>
      </c>
      <c r="D53" s="3" t="str">
        <f aca="false">Raw_Data!C53</f>
        <v>single</v>
      </c>
      <c r="E53" s="3" t="str">
        <f aca="false">Raw_Data!D53</f>
        <v>secondary</v>
      </c>
      <c r="F53" s="3" t="str">
        <f aca="false">Raw_Data!E53</f>
        <v>no</v>
      </c>
      <c r="G53" s="3" t="n">
        <f aca="false">Raw_Data!F53</f>
        <v>228</v>
      </c>
      <c r="H53" s="3" t="str">
        <f aca="false">Raw_Data!G53</f>
        <v>yes</v>
      </c>
      <c r="I53" s="3" t="str">
        <f aca="false">Raw_Data!H53</f>
        <v>no</v>
      </c>
      <c r="J53" s="2" t="n">
        <f aca="false">IF(F53="yes",1,0)</f>
        <v>0</v>
      </c>
      <c r="K53" s="2" t="n">
        <f aca="false">IF(H53="yes",1,0)</f>
        <v>1</v>
      </c>
      <c r="L53" s="2" t="n">
        <f aca="false">IF(I53="yes",1,0)</f>
        <v>0</v>
      </c>
      <c r="M53" s="2" t="n">
        <f aca="false">IF(G53&lt;0,1,0)</f>
        <v>0</v>
      </c>
      <c r="N53" s="2" t="str">
        <f aca="false">_xlfn.IFS(B53&lt;30,"Under 30",B53&lt;40,"30-39",B53&lt;50,"40-49",B53&lt;60,"50-59",TRUE(),"60+")</f>
        <v>30-39</v>
      </c>
      <c r="O53" s="2" t="str">
        <f aca="false">_xlfn.IFS(G53&lt;0,"1 Negative",G53=0,"2 Zero",G53&lt;=500,"3 1-500",G53&lt;=2000,"4 501-2000",TRUE(),"5 Above 2000")</f>
        <v>3 1-500</v>
      </c>
      <c r="P53" s="2" t="n">
        <f aca="false">Lookups!$B$2*M53+Lookups!$B$3*L53</f>
        <v>0</v>
      </c>
      <c r="Q53" s="2" t="str">
        <f aca="false">INDEX(Lookups!$E$2:$E$5,MATCH(P53,Lookups!$D$2:$D$5,0))</f>
        <v>Low</v>
      </c>
    </row>
    <row r="54" customFormat="false" ht="15" hidden="false" customHeight="false" outlineLevel="0" collapsed="false">
      <c r="A54" s="3" t="n">
        <v>53</v>
      </c>
      <c r="B54" s="3" t="n">
        <f aca="false">Raw_Data!A54</f>
        <v>38</v>
      </c>
      <c r="C54" s="3" t="str">
        <f aca="false">SUBSTITUTE(Raw_Data!B54,".","")</f>
        <v>technician</v>
      </c>
      <c r="D54" s="3" t="str">
        <f aca="false">Raw_Data!C54</f>
        <v>single</v>
      </c>
      <c r="E54" s="3" t="str">
        <f aca="false">Raw_Data!D54</f>
        <v>secondary</v>
      </c>
      <c r="F54" s="3" t="str">
        <f aca="false">Raw_Data!E54</f>
        <v>no</v>
      </c>
      <c r="G54" s="3" t="n">
        <f aca="false">Raw_Data!F54</f>
        <v>50</v>
      </c>
      <c r="H54" s="3" t="str">
        <f aca="false">Raw_Data!G54</f>
        <v>no</v>
      </c>
      <c r="I54" s="3" t="str">
        <f aca="false">Raw_Data!H54</f>
        <v>no</v>
      </c>
      <c r="J54" s="2" t="n">
        <f aca="false">IF(F54="yes",1,0)</f>
        <v>0</v>
      </c>
      <c r="K54" s="2" t="n">
        <f aca="false">IF(H54="yes",1,0)</f>
        <v>0</v>
      </c>
      <c r="L54" s="2" t="n">
        <f aca="false">IF(I54="yes",1,0)</f>
        <v>0</v>
      </c>
      <c r="M54" s="2" t="n">
        <f aca="false">IF(G54&lt;0,1,0)</f>
        <v>0</v>
      </c>
      <c r="N54" s="2" t="str">
        <f aca="false">_xlfn.IFS(B54&lt;30,"Under 30",B54&lt;40,"30-39",B54&lt;50,"40-49",B54&lt;60,"50-59",TRUE(),"60+")</f>
        <v>30-39</v>
      </c>
      <c r="O54" s="2" t="str">
        <f aca="false">_xlfn.IFS(G54&lt;0,"1 Negative",G54=0,"2 Zero",G54&lt;=500,"3 1-500",G54&lt;=2000,"4 501-2000",TRUE(),"5 Above 2000")</f>
        <v>3 1-500</v>
      </c>
      <c r="P54" s="2" t="n">
        <f aca="false">Lookups!$B$2*M54+Lookups!$B$3*L54</f>
        <v>0</v>
      </c>
      <c r="Q54" s="2" t="str">
        <f aca="false">INDEX(Lookups!$E$2:$E$5,MATCH(P54,Lookups!$D$2:$D$5,0))</f>
        <v>Low</v>
      </c>
    </row>
    <row r="55" customFormat="false" ht="15" hidden="false" customHeight="false" outlineLevel="0" collapsed="false">
      <c r="A55" s="3" t="n">
        <v>54</v>
      </c>
      <c r="B55" s="3" t="n">
        <f aca="false">Raw_Data!A55</f>
        <v>34</v>
      </c>
      <c r="C55" s="3" t="str">
        <f aca="false">SUBSTITUTE(Raw_Data!B55,".","")</f>
        <v>technician</v>
      </c>
      <c r="D55" s="3" t="str">
        <f aca="false">Raw_Data!C55</f>
        <v>married</v>
      </c>
      <c r="E55" s="3" t="str">
        <f aca="false">Raw_Data!D55</f>
        <v>tertiary</v>
      </c>
      <c r="F55" s="3" t="str">
        <f aca="false">Raw_Data!E55</f>
        <v>no</v>
      </c>
      <c r="G55" s="3" t="n">
        <f aca="false">Raw_Data!F55</f>
        <v>1539</v>
      </c>
      <c r="H55" s="3" t="str">
        <f aca="false">Raw_Data!G55</f>
        <v>yes</v>
      </c>
      <c r="I55" s="3" t="str">
        <f aca="false">Raw_Data!H55</f>
        <v>no</v>
      </c>
      <c r="J55" s="2" t="n">
        <f aca="false">IF(F55="yes",1,0)</f>
        <v>0</v>
      </c>
      <c r="K55" s="2" t="n">
        <f aca="false">IF(H55="yes",1,0)</f>
        <v>1</v>
      </c>
      <c r="L55" s="2" t="n">
        <f aca="false">IF(I55="yes",1,0)</f>
        <v>0</v>
      </c>
      <c r="M55" s="2" t="n">
        <f aca="false">IF(G55&lt;0,1,0)</f>
        <v>0</v>
      </c>
      <c r="N55" s="2" t="str">
        <f aca="false">_xlfn.IFS(B55&lt;30,"Under 30",B55&lt;40,"30-39",B55&lt;50,"40-49",B55&lt;60,"50-59",TRUE(),"60+")</f>
        <v>30-39</v>
      </c>
      <c r="O55" s="2" t="str">
        <f aca="false">_xlfn.IFS(G55&lt;0,"1 Negative",G55=0,"2 Zero",G55&lt;=500,"3 1-500",G55&lt;=2000,"4 501-2000",TRUE(),"5 Above 2000")</f>
        <v>4 501-2000</v>
      </c>
      <c r="P55" s="2" t="n">
        <f aca="false">Lookups!$B$2*M55+Lookups!$B$3*L55</f>
        <v>0</v>
      </c>
      <c r="Q55" s="2" t="str">
        <f aca="false">INDEX(Lookups!$E$2:$E$5,MATCH(P55,Lookups!$D$2:$D$5,0))</f>
        <v>Low</v>
      </c>
    </row>
    <row r="56" customFormat="false" ht="15" hidden="false" customHeight="false" outlineLevel="0" collapsed="false">
      <c r="A56" s="3" t="n">
        <v>55</v>
      </c>
      <c r="B56" s="3" t="n">
        <f aca="false">Raw_Data!A56</f>
        <v>53</v>
      </c>
      <c r="C56" s="3" t="str">
        <f aca="false">SUBSTITUTE(Raw_Data!B56,".","")</f>
        <v>blue-collar</v>
      </c>
      <c r="D56" s="3" t="str">
        <f aca="false">Raw_Data!C56</f>
        <v>married</v>
      </c>
      <c r="E56" s="3" t="str">
        <f aca="false">Raw_Data!D56</f>
        <v>secondary</v>
      </c>
      <c r="F56" s="3" t="str">
        <f aca="false">Raw_Data!E56</f>
        <v>no</v>
      </c>
      <c r="G56" s="3" t="n">
        <f aca="false">Raw_Data!F56</f>
        <v>2231</v>
      </c>
      <c r="H56" s="3" t="str">
        <f aca="false">Raw_Data!G56</f>
        <v>yes</v>
      </c>
      <c r="I56" s="3" t="str">
        <f aca="false">Raw_Data!H56</f>
        <v>no</v>
      </c>
      <c r="J56" s="2" t="n">
        <f aca="false">IF(F56="yes",1,0)</f>
        <v>0</v>
      </c>
      <c r="K56" s="2" t="n">
        <f aca="false">IF(H56="yes",1,0)</f>
        <v>1</v>
      </c>
      <c r="L56" s="2" t="n">
        <f aca="false">IF(I56="yes",1,0)</f>
        <v>0</v>
      </c>
      <c r="M56" s="2" t="n">
        <f aca="false">IF(G56&lt;0,1,0)</f>
        <v>0</v>
      </c>
      <c r="N56" s="2" t="str">
        <f aca="false">_xlfn.IFS(B56&lt;30,"Under 30",B56&lt;40,"30-39",B56&lt;50,"40-49",B56&lt;60,"50-59",TRUE(),"60+")</f>
        <v>50-59</v>
      </c>
      <c r="O56" s="2" t="str">
        <f aca="false">_xlfn.IFS(G56&lt;0,"1 Negative",G56=0,"2 Zero",G56&lt;=500,"3 1-500",G56&lt;=2000,"4 501-2000",TRUE(),"5 Above 2000")</f>
        <v>5 Above 2000</v>
      </c>
      <c r="P56" s="2" t="n">
        <f aca="false">Lookups!$B$2*M56+Lookups!$B$3*L56</f>
        <v>0</v>
      </c>
      <c r="Q56" s="2" t="str">
        <f aca="false">INDEX(Lookups!$E$2:$E$5,MATCH(P56,Lookups!$D$2:$D$5,0))</f>
        <v>Low</v>
      </c>
    </row>
    <row r="57" customFormat="false" ht="15" hidden="false" customHeight="false" outlineLevel="0" collapsed="false">
      <c r="A57" s="3" t="n">
        <v>56</v>
      </c>
      <c r="B57" s="3" t="n">
        <f aca="false">Raw_Data!A57</f>
        <v>48</v>
      </c>
      <c r="C57" s="3" t="str">
        <f aca="false">SUBSTITUTE(Raw_Data!B57,".","")</f>
        <v>admin</v>
      </c>
      <c r="D57" s="3" t="str">
        <f aca="false">Raw_Data!C57</f>
        <v>married</v>
      </c>
      <c r="E57" s="3" t="str">
        <f aca="false">Raw_Data!D57</f>
        <v>secondary</v>
      </c>
      <c r="F57" s="3" t="str">
        <f aca="false">Raw_Data!E57</f>
        <v>no</v>
      </c>
      <c r="G57" s="3" t="n">
        <f aca="false">Raw_Data!F57</f>
        <v>3064</v>
      </c>
      <c r="H57" s="3" t="str">
        <f aca="false">Raw_Data!G57</f>
        <v>yes</v>
      </c>
      <c r="I57" s="3" t="str">
        <f aca="false">Raw_Data!H57</f>
        <v>no</v>
      </c>
      <c r="J57" s="2" t="n">
        <f aca="false">IF(F57="yes",1,0)</f>
        <v>0</v>
      </c>
      <c r="K57" s="2" t="n">
        <f aca="false">IF(H57="yes",1,0)</f>
        <v>1</v>
      </c>
      <c r="L57" s="2" t="n">
        <f aca="false">IF(I57="yes",1,0)</f>
        <v>0</v>
      </c>
      <c r="M57" s="2" t="n">
        <f aca="false">IF(G57&lt;0,1,0)</f>
        <v>0</v>
      </c>
      <c r="N57" s="2" t="str">
        <f aca="false">_xlfn.IFS(B57&lt;30,"Under 30",B57&lt;40,"30-39",B57&lt;50,"40-49",B57&lt;60,"50-59",TRUE(),"60+")</f>
        <v>40-49</v>
      </c>
      <c r="O57" s="2" t="str">
        <f aca="false">_xlfn.IFS(G57&lt;0,"1 Negative",G57=0,"2 Zero",G57&lt;=500,"3 1-500",G57&lt;=2000,"4 501-2000",TRUE(),"5 Above 2000")</f>
        <v>5 Above 2000</v>
      </c>
      <c r="P57" s="2" t="n">
        <f aca="false">Lookups!$B$2*M57+Lookups!$B$3*L57</f>
        <v>0</v>
      </c>
      <c r="Q57" s="2" t="str">
        <f aca="false">INDEX(Lookups!$E$2:$E$5,MATCH(P57,Lookups!$D$2:$D$5,0))</f>
        <v>Low</v>
      </c>
    </row>
    <row r="58" customFormat="false" ht="15" hidden="false" customHeight="false" outlineLevel="0" collapsed="false">
      <c r="A58" s="3" t="n">
        <v>57</v>
      </c>
      <c r="B58" s="3" t="n">
        <f aca="false">Raw_Data!A58</f>
        <v>57</v>
      </c>
      <c r="C58" s="3" t="str">
        <f aca="false">SUBSTITUTE(Raw_Data!B58,".","")</f>
        <v>management</v>
      </c>
      <c r="D58" s="3" t="str">
        <f aca="false">Raw_Data!C58</f>
        <v>married</v>
      </c>
      <c r="E58" s="3" t="str">
        <f aca="false">Raw_Data!D58</f>
        <v>secondary</v>
      </c>
      <c r="F58" s="3" t="str">
        <f aca="false">Raw_Data!E58</f>
        <v>no</v>
      </c>
      <c r="G58" s="3" t="n">
        <f aca="false">Raw_Data!F58</f>
        <v>82</v>
      </c>
      <c r="H58" s="3" t="str">
        <f aca="false">Raw_Data!G58</f>
        <v>no</v>
      </c>
      <c r="I58" s="3" t="str">
        <f aca="false">Raw_Data!H58</f>
        <v>yes</v>
      </c>
      <c r="J58" s="2" t="n">
        <f aca="false">IF(F58="yes",1,0)</f>
        <v>0</v>
      </c>
      <c r="K58" s="2" t="n">
        <f aca="false">IF(H58="yes",1,0)</f>
        <v>0</v>
      </c>
      <c r="L58" s="2" t="n">
        <f aca="false">IF(I58="yes",1,0)</f>
        <v>1</v>
      </c>
      <c r="M58" s="2" t="n">
        <f aca="false">IF(G58&lt;0,1,0)</f>
        <v>0</v>
      </c>
      <c r="N58" s="2" t="str">
        <f aca="false">_xlfn.IFS(B58&lt;30,"Under 30",B58&lt;40,"30-39",B58&lt;50,"40-49",B58&lt;60,"50-59",TRUE(),"60+")</f>
        <v>50-59</v>
      </c>
      <c r="O58" s="2" t="str">
        <f aca="false">_xlfn.IFS(G58&lt;0,"1 Negative",G58=0,"2 Zero",G58&lt;=500,"3 1-500",G58&lt;=2000,"4 501-2000",TRUE(),"5 Above 2000")</f>
        <v>3 1-500</v>
      </c>
      <c r="P58" s="2" t="n">
        <f aca="false">Lookups!$B$2*M58+Lookups!$B$3*L58</f>
        <v>1</v>
      </c>
      <c r="Q58" s="2" t="str">
        <f aca="false">INDEX(Lookups!$E$2:$E$5,MATCH(P58,Lookups!$D$2:$D$5,0))</f>
        <v>Medium</v>
      </c>
    </row>
    <row r="59" customFormat="false" ht="15" hidden="false" customHeight="false" outlineLevel="0" collapsed="false">
      <c r="A59" s="3" t="n">
        <v>58</v>
      </c>
      <c r="B59" s="3" t="n">
        <f aca="false">Raw_Data!A59</f>
        <v>33</v>
      </c>
      <c r="C59" s="3" t="str">
        <f aca="false">SUBSTITUTE(Raw_Data!B59,".","")</f>
        <v>self-employed</v>
      </c>
      <c r="D59" s="3" t="str">
        <f aca="false">Raw_Data!C59</f>
        <v>single</v>
      </c>
      <c r="E59" s="3" t="str">
        <f aca="false">Raw_Data!D59</f>
        <v>tertiary</v>
      </c>
      <c r="F59" s="3" t="str">
        <f aca="false">Raw_Data!E59</f>
        <v>no</v>
      </c>
      <c r="G59" s="3" t="n">
        <f aca="false">Raw_Data!F59</f>
        <v>2155</v>
      </c>
      <c r="H59" s="3" t="str">
        <f aca="false">Raw_Data!G59</f>
        <v>no</v>
      </c>
      <c r="I59" s="3" t="str">
        <f aca="false">Raw_Data!H59</f>
        <v>no</v>
      </c>
      <c r="J59" s="2" t="n">
        <f aca="false">IF(F59="yes",1,0)</f>
        <v>0</v>
      </c>
      <c r="K59" s="2" t="n">
        <f aca="false">IF(H59="yes",1,0)</f>
        <v>0</v>
      </c>
      <c r="L59" s="2" t="n">
        <f aca="false">IF(I59="yes",1,0)</f>
        <v>0</v>
      </c>
      <c r="M59" s="2" t="n">
        <f aca="false">IF(G59&lt;0,1,0)</f>
        <v>0</v>
      </c>
      <c r="N59" s="2" t="str">
        <f aca="false">_xlfn.IFS(B59&lt;30,"Under 30",B59&lt;40,"30-39",B59&lt;50,"40-49",B59&lt;60,"50-59",TRUE(),"60+")</f>
        <v>30-39</v>
      </c>
      <c r="O59" s="2" t="str">
        <f aca="false">_xlfn.IFS(G59&lt;0,"1 Negative",G59=0,"2 Zero",G59&lt;=500,"3 1-500",G59&lt;=2000,"4 501-2000",TRUE(),"5 Above 2000")</f>
        <v>5 Above 2000</v>
      </c>
      <c r="P59" s="2" t="n">
        <f aca="false">Lookups!$B$2*M59+Lookups!$B$3*L59</f>
        <v>0</v>
      </c>
      <c r="Q59" s="2" t="str">
        <f aca="false">INDEX(Lookups!$E$2:$E$5,MATCH(P59,Lookups!$D$2:$D$5,0))</f>
        <v>Low</v>
      </c>
    </row>
    <row r="60" customFormat="false" ht="15" hidden="false" customHeight="false" outlineLevel="0" collapsed="false">
      <c r="A60" s="3" t="n">
        <v>59</v>
      </c>
      <c r="B60" s="3" t="n">
        <f aca="false">Raw_Data!A60</f>
        <v>36</v>
      </c>
      <c r="C60" s="3" t="str">
        <f aca="false">SUBSTITUTE(Raw_Data!B60,".","")</f>
        <v>retired</v>
      </c>
      <c r="D60" s="3" t="str">
        <f aca="false">Raw_Data!C60</f>
        <v>single</v>
      </c>
      <c r="E60" s="3" t="str">
        <f aca="false">Raw_Data!D60</f>
        <v>secondary</v>
      </c>
      <c r="F60" s="3" t="str">
        <f aca="false">Raw_Data!E60</f>
        <v>no</v>
      </c>
      <c r="G60" s="3" t="n">
        <f aca="false">Raw_Data!F60</f>
        <v>101</v>
      </c>
      <c r="H60" s="3" t="str">
        <f aca="false">Raw_Data!G60</f>
        <v>yes</v>
      </c>
      <c r="I60" s="3" t="str">
        <f aca="false">Raw_Data!H60</f>
        <v>yes</v>
      </c>
      <c r="J60" s="2" t="n">
        <f aca="false">IF(F60="yes",1,0)</f>
        <v>0</v>
      </c>
      <c r="K60" s="2" t="n">
        <f aca="false">IF(H60="yes",1,0)</f>
        <v>1</v>
      </c>
      <c r="L60" s="2" t="n">
        <f aca="false">IF(I60="yes",1,0)</f>
        <v>1</v>
      </c>
      <c r="M60" s="2" t="n">
        <f aca="false">IF(G60&lt;0,1,0)</f>
        <v>0</v>
      </c>
      <c r="N60" s="2" t="str">
        <f aca="false">_xlfn.IFS(B60&lt;30,"Under 30",B60&lt;40,"30-39",B60&lt;50,"40-49",B60&lt;60,"50-59",TRUE(),"60+")</f>
        <v>30-39</v>
      </c>
      <c r="O60" s="2" t="str">
        <f aca="false">_xlfn.IFS(G60&lt;0,"1 Negative",G60=0,"2 Zero",G60&lt;=500,"3 1-500",G60&lt;=2000,"4 501-2000",TRUE(),"5 Above 2000")</f>
        <v>3 1-500</v>
      </c>
      <c r="P60" s="2" t="n">
        <f aca="false">Lookups!$B$2*M60+Lookups!$B$3*L60</f>
        <v>1</v>
      </c>
      <c r="Q60" s="2" t="str">
        <f aca="false">INDEX(Lookups!$E$2:$E$5,MATCH(P60,Lookups!$D$2:$D$5,0))</f>
        <v>Medium</v>
      </c>
    </row>
    <row r="61" customFormat="false" ht="15" hidden="false" customHeight="false" outlineLevel="0" collapsed="false">
      <c r="A61" s="3" t="n">
        <v>60</v>
      </c>
      <c r="B61" s="3" t="n">
        <f aca="false">Raw_Data!A61</f>
        <v>54</v>
      </c>
      <c r="C61" s="3" t="str">
        <f aca="false">SUBSTITUTE(Raw_Data!B61,".","")</f>
        <v>technician</v>
      </c>
      <c r="D61" s="3" t="str">
        <f aca="false">Raw_Data!C61</f>
        <v>divorced</v>
      </c>
      <c r="E61" s="3" t="str">
        <f aca="false">Raw_Data!D61</f>
        <v>secondary</v>
      </c>
      <c r="F61" s="3" t="str">
        <f aca="false">Raw_Data!E61</f>
        <v>no</v>
      </c>
      <c r="G61" s="3" t="n">
        <f aca="false">Raw_Data!F61</f>
        <v>784</v>
      </c>
      <c r="H61" s="3" t="str">
        <f aca="false">Raw_Data!G61</f>
        <v>yes</v>
      </c>
      <c r="I61" s="3" t="str">
        <f aca="false">Raw_Data!H61</f>
        <v>yes</v>
      </c>
      <c r="J61" s="2" t="n">
        <f aca="false">IF(F61="yes",1,0)</f>
        <v>0</v>
      </c>
      <c r="K61" s="2" t="n">
        <f aca="false">IF(H61="yes",1,0)</f>
        <v>1</v>
      </c>
      <c r="L61" s="2" t="n">
        <f aca="false">IF(I61="yes",1,0)</f>
        <v>1</v>
      </c>
      <c r="M61" s="2" t="n">
        <f aca="false">IF(G61&lt;0,1,0)</f>
        <v>0</v>
      </c>
      <c r="N61" s="2" t="str">
        <f aca="false">_xlfn.IFS(B61&lt;30,"Under 30",B61&lt;40,"30-39",B61&lt;50,"40-49",B61&lt;60,"50-59",TRUE(),"60+")</f>
        <v>50-59</v>
      </c>
      <c r="O61" s="2" t="str">
        <f aca="false">_xlfn.IFS(G61&lt;0,"1 Negative",G61=0,"2 Zero",G61&lt;=500,"3 1-500",G61&lt;=2000,"4 501-2000",TRUE(),"5 Above 2000")</f>
        <v>4 501-2000</v>
      </c>
      <c r="P61" s="2" t="n">
        <f aca="false">Lookups!$B$2*M61+Lookups!$B$3*L61</f>
        <v>1</v>
      </c>
      <c r="Q61" s="2" t="str">
        <f aca="false">INDEX(Lookups!$E$2:$E$5,MATCH(P61,Lookups!$D$2:$D$5,0))</f>
        <v>Medium</v>
      </c>
    </row>
    <row r="62" customFormat="false" ht="15" hidden="false" customHeight="false" outlineLevel="0" collapsed="false">
      <c r="A62" s="3" t="n">
        <v>61</v>
      </c>
      <c r="B62" s="3" t="n">
        <f aca="false">Raw_Data!A62</f>
        <v>41</v>
      </c>
      <c r="C62" s="3" t="str">
        <f aca="false">SUBSTITUTE(Raw_Data!B62,".","")</f>
        <v>blue-collar</v>
      </c>
      <c r="D62" s="3" t="str">
        <f aca="false">Raw_Data!C62</f>
        <v>married</v>
      </c>
      <c r="E62" s="3" t="str">
        <f aca="false">Raw_Data!D62</f>
        <v>primary</v>
      </c>
      <c r="F62" s="3" t="str">
        <f aca="false">Raw_Data!E62</f>
        <v>no</v>
      </c>
      <c r="G62" s="3" t="n">
        <f aca="false">Raw_Data!F62</f>
        <v>-516</v>
      </c>
      <c r="H62" s="3" t="str">
        <f aca="false">Raw_Data!G62</f>
        <v>no</v>
      </c>
      <c r="I62" s="3" t="str">
        <f aca="false">Raw_Data!H62</f>
        <v>yes</v>
      </c>
      <c r="J62" s="2" t="n">
        <f aca="false">IF(F62="yes",1,0)</f>
        <v>0</v>
      </c>
      <c r="K62" s="2" t="n">
        <f aca="false">IF(H62="yes",1,0)</f>
        <v>0</v>
      </c>
      <c r="L62" s="2" t="n">
        <f aca="false">IF(I62="yes",1,0)</f>
        <v>1</v>
      </c>
      <c r="M62" s="2" t="n">
        <f aca="false">IF(G62&lt;0,1,0)</f>
        <v>1</v>
      </c>
      <c r="N62" s="2" t="str">
        <f aca="false">_xlfn.IFS(B62&lt;30,"Under 30",B62&lt;40,"30-39",B62&lt;50,"40-49",B62&lt;60,"50-59",TRUE(),"60+")</f>
        <v>40-49</v>
      </c>
      <c r="O62" s="2" t="str">
        <f aca="false">_xlfn.IFS(G62&lt;0,"1 Negative",G62=0,"2 Zero",G62&lt;=500,"3 1-500",G62&lt;=2000,"4 501-2000",TRUE(),"5 Above 2000")</f>
        <v>1 Negative</v>
      </c>
      <c r="P62" s="2" t="n">
        <f aca="false">Lookups!$B$2*M62+Lookups!$B$3*L62</f>
        <v>3</v>
      </c>
      <c r="Q62" s="2" t="str">
        <f aca="false">INDEX(Lookups!$E$2:$E$5,MATCH(P62,Lookups!$D$2:$D$5,0))</f>
        <v>High</v>
      </c>
    </row>
    <row r="63" customFormat="false" ht="15" hidden="false" customHeight="false" outlineLevel="0" collapsed="false">
      <c r="A63" s="3" t="n">
        <v>62</v>
      </c>
      <c r="B63" s="3" t="n">
        <f aca="false">Raw_Data!A63</f>
        <v>63</v>
      </c>
      <c r="C63" s="3" t="str">
        <f aca="false">SUBSTITUTE(Raw_Data!B63,".","")</f>
        <v>retired</v>
      </c>
      <c r="D63" s="3" t="str">
        <f aca="false">Raw_Data!C63</f>
        <v>married</v>
      </c>
      <c r="E63" s="3" t="str">
        <f aca="false">Raw_Data!D63</f>
        <v>secondary</v>
      </c>
      <c r="F63" s="3" t="str">
        <f aca="false">Raw_Data!E63</f>
        <v>no</v>
      </c>
      <c r="G63" s="3" t="n">
        <f aca="false">Raw_Data!F63</f>
        <v>415</v>
      </c>
      <c r="H63" s="3" t="str">
        <f aca="false">Raw_Data!G63</f>
        <v>yes</v>
      </c>
      <c r="I63" s="3" t="str">
        <f aca="false">Raw_Data!H63</f>
        <v>no</v>
      </c>
      <c r="J63" s="2" t="n">
        <f aca="false">IF(F63="yes",1,0)</f>
        <v>0</v>
      </c>
      <c r="K63" s="2" t="n">
        <f aca="false">IF(H63="yes",1,0)</f>
        <v>1</v>
      </c>
      <c r="L63" s="2" t="n">
        <f aca="false">IF(I63="yes",1,0)</f>
        <v>0</v>
      </c>
      <c r="M63" s="2" t="n">
        <f aca="false">IF(G63&lt;0,1,0)</f>
        <v>0</v>
      </c>
      <c r="N63" s="2" t="str">
        <f aca="false">_xlfn.IFS(B63&lt;30,"Under 30",B63&lt;40,"30-39",B63&lt;50,"40-49",B63&lt;60,"50-59",TRUE(),"60+")</f>
        <v>60+</v>
      </c>
      <c r="O63" s="2" t="str">
        <f aca="false">_xlfn.IFS(G63&lt;0,"1 Negative",G63=0,"2 Zero",G63&lt;=500,"3 1-500",G63&lt;=2000,"4 501-2000",TRUE(),"5 Above 2000")</f>
        <v>3 1-500</v>
      </c>
      <c r="P63" s="2" t="n">
        <f aca="false">Lookups!$B$2*M63+Lookups!$B$3*L63</f>
        <v>0</v>
      </c>
      <c r="Q63" s="2" t="str">
        <f aca="false">INDEX(Lookups!$E$2:$E$5,MATCH(P63,Lookups!$D$2:$D$5,0))</f>
        <v>Low</v>
      </c>
    </row>
    <row r="64" customFormat="false" ht="15" hidden="false" customHeight="false" outlineLevel="0" collapsed="false">
      <c r="A64" s="3" t="n">
        <v>63</v>
      </c>
      <c r="B64" s="3" t="n">
        <f aca="false">Raw_Data!A64</f>
        <v>48</v>
      </c>
      <c r="C64" s="3" t="str">
        <f aca="false">SUBSTITUTE(Raw_Data!B64,".","")</f>
        <v>management</v>
      </c>
      <c r="D64" s="3" t="str">
        <f aca="false">Raw_Data!C64</f>
        <v>married</v>
      </c>
      <c r="E64" s="3" t="str">
        <f aca="false">Raw_Data!D64</f>
        <v>tertiary</v>
      </c>
      <c r="F64" s="3" t="str">
        <f aca="false">Raw_Data!E64</f>
        <v>no</v>
      </c>
      <c r="G64" s="3" t="n">
        <f aca="false">Raw_Data!F64</f>
        <v>5887</v>
      </c>
      <c r="H64" s="3" t="str">
        <f aca="false">Raw_Data!G64</f>
        <v>no</v>
      </c>
      <c r="I64" s="3" t="str">
        <f aca="false">Raw_Data!H64</f>
        <v>no</v>
      </c>
      <c r="J64" s="2" t="n">
        <f aca="false">IF(F64="yes",1,0)</f>
        <v>0</v>
      </c>
      <c r="K64" s="2" t="n">
        <f aca="false">IF(H64="yes",1,0)</f>
        <v>0</v>
      </c>
      <c r="L64" s="2" t="n">
        <f aca="false">IF(I64="yes",1,0)</f>
        <v>0</v>
      </c>
      <c r="M64" s="2" t="n">
        <f aca="false">IF(G64&lt;0,1,0)</f>
        <v>0</v>
      </c>
      <c r="N64" s="2" t="str">
        <f aca="false">_xlfn.IFS(B64&lt;30,"Under 30",B64&lt;40,"30-39",B64&lt;50,"40-49",B64&lt;60,"50-59",TRUE(),"60+")</f>
        <v>40-49</v>
      </c>
      <c r="O64" s="2" t="str">
        <f aca="false">_xlfn.IFS(G64&lt;0,"1 Negative",G64=0,"2 Zero",G64&lt;=500,"3 1-500",G64&lt;=2000,"4 501-2000",TRUE(),"5 Above 2000")</f>
        <v>5 Above 2000</v>
      </c>
      <c r="P64" s="2" t="n">
        <f aca="false">Lookups!$B$2*M64+Lookups!$B$3*L64</f>
        <v>0</v>
      </c>
      <c r="Q64" s="2" t="str">
        <f aca="false">INDEX(Lookups!$E$2:$E$5,MATCH(P64,Lookups!$D$2:$D$5,0))</f>
        <v>Low</v>
      </c>
    </row>
    <row r="65" customFormat="false" ht="15" hidden="false" customHeight="false" outlineLevel="0" collapsed="false">
      <c r="A65" s="3" t="n">
        <v>64</v>
      </c>
      <c r="B65" s="3" t="n">
        <f aca="false">Raw_Data!A65</f>
        <v>48</v>
      </c>
      <c r="C65" s="3" t="str">
        <f aca="false">SUBSTITUTE(Raw_Data!B65,".","")</f>
        <v>services</v>
      </c>
      <c r="D65" s="3" t="str">
        <f aca="false">Raw_Data!C65</f>
        <v>married</v>
      </c>
      <c r="E65" s="3" t="str">
        <f aca="false">Raw_Data!D65</f>
        <v>secondary</v>
      </c>
      <c r="F65" s="3" t="str">
        <f aca="false">Raw_Data!E65</f>
        <v>no</v>
      </c>
      <c r="G65" s="3" t="n">
        <f aca="false">Raw_Data!F65</f>
        <v>1355</v>
      </c>
      <c r="H65" s="3" t="str">
        <f aca="false">Raw_Data!G65</f>
        <v>no</v>
      </c>
      <c r="I65" s="3" t="str">
        <f aca="false">Raw_Data!H65</f>
        <v>no</v>
      </c>
      <c r="J65" s="2" t="n">
        <f aca="false">IF(F65="yes",1,0)</f>
        <v>0</v>
      </c>
      <c r="K65" s="2" t="n">
        <f aca="false">IF(H65="yes",1,0)</f>
        <v>0</v>
      </c>
      <c r="L65" s="2" t="n">
        <f aca="false">IF(I65="yes",1,0)</f>
        <v>0</v>
      </c>
      <c r="M65" s="2" t="n">
        <f aca="false">IF(G65&lt;0,1,0)</f>
        <v>0</v>
      </c>
      <c r="N65" s="2" t="str">
        <f aca="false">_xlfn.IFS(B65&lt;30,"Under 30",B65&lt;40,"30-39",B65&lt;50,"40-49",B65&lt;60,"50-59",TRUE(),"60+")</f>
        <v>40-49</v>
      </c>
      <c r="O65" s="2" t="str">
        <f aca="false">_xlfn.IFS(G65&lt;0,"1 Negative",G65=0,"2 Zero",G65&lt;=500,"3 1-500",G65&lt;=2000,"4 501-2000",TRUE(),"5 Above 2000")</f>
        <v>4 501-2000</v>
      </c>
      <c r="P65" s="2" t="n">
        <f aca="false">Lookups!$B$2*M65+Lookups!$B$3*L65</f>
        <v>0</v>
      </c>
      <c r="Q65" s="2" t="str">
        <f aca="false">INDEX(Lookups!$E$2:$E$5,MATCH(P65,Lookups!$D$2:$D$5,0))</f>
        <v>Low</v>
      </c>
    </row>
    <row r="66" customFormat="false" ht="15" hidden="false" customHeight="false" outlineLevel="0" collapsed="false">
      <c r="A66" s="3" t="n">
        <v>65</v>
      </c>
      <c r="B66" s="3" t="n">
        <f aca="false">Raw_Data!A66</f>
        <v>56</v>
      </c>
      <c r="C66" s="3" t="str">
        <f aca="false">SUBSTITUTE(Raw_Data!B66,".","")</f>
        <v>admin</v>
      </c>
      <c r="D66" s="3" t="str">
        <f aca="false">Raw_Data!C66</f>
        <v>married</v>
      </c>
      <c r="E66" s="3" t="str">
        <f aca="false">Raw_Data!D66</f>
        <v>secondary</v>
      </c>
      <c r="F66" s="3" t="str">
        <f aca="false">Raw_Data!E66</f>
        <v>no</v>
      </c>
      <c r="G66" s="3" t="n">
        <f aca="false">Raw_Data!F66</f>
        <v>16873</v>
      </c>
      <c r="H66" s="3" t="str">
        <f aca="false">Raw_Data!G66</f>
        <v>no</v>
      </c>
      <c r="I66" s="3" t="str">
        <f aca="false">Raw_Data!H66</f>
        <v>no</v>
      </c>
      <c r="J66" s="2" t="n">
        <f aca="false">IF(F66="yes",1,0)</f>
        <v>0</v>
      </c>
      <c r="K66" s="2" t="n">
        <f aca="false">IF(H66="yes",1,0)</f>
        <v>0</v>
      </c>
      <c r="L66" s="2" t="n">
        <f aca="false">IF(I66="yes",1,0)</f>
        <v>0</v>
      </c>
      <c r="M66" s="2" t="n">
        <f aca="false">IF(G66&lt;0,1,0)</f>
        <v>0</v>
      </c>
      <c r="N66" s="2" t="str">
        <f aca="false">_xlfn.IFS(B66&lt;30,"Under 30",B66&lt;40,"30-39",B66&lt;50,"40-49",B66&lt;60,"50-59",TRUE(),"60+")</f>
        <v>50-59</v>
      </c>
      <c r="O66" s="2" t="str">
        <f aca="false">_xlfn.IFS(G66&lt;0,"1 Negative",G66=0,"2 Zero",G66&lt;=500,"3 1-500",G66&lt;=2000,"4 501-2000",TRUE(),"5 Above 2000")</f>
        <v>5 Above 2000</v>
      </c>
      <c r="P66" s="2" t="n">
        <f aca="false">Lookups!$B$2*M66+Lookups!$B$3*L66</f>
        <v>0</v>
      </c>
      <c r="Q66" s="2" t="str">
        <f aca="false">INDEX(Lookups!$E$2:$E$5,MATCH(P66,Lookups!$D$2:$D$5,0))</f>
        <v>Low</v>
      </c>
    </row>
    <row r="67" customFormat="false" ht="15" hidden="false" customHeight="false" outlineLevel="0" collapsed="false">
      <c r="A67" s="3" t="n">
        <v>66</v>
      </c>
      <c r="B67" s="3" t="n">
        <f aca="false">Raw_Data!A67</f>
        <v>51</v>
      </c>
      <c r="C67" s="3" t="str">
        <f aca="false">SUBSTITUTE(Raw_Data!B67,".","")</f>
        <v>blue-collar</v>
      </c>
      <c r="D67" s="3" t="str">
        <f aca="false">Raw_Data!C67</f>
        <v>divorced</v>
      </c>
      <c r="E67" s="3" t="str">
        <f aca="false">Raw_Data!D67</f>
        <v>secondary</v>
      </c>
      <c r="F67" s="3" t="str">
        <f aca="false">Raw_Data!E67</f>
        <v>no</v>
      </c>
      <c r="G67" s="3" t="n">
        <f aca="false">Raw_Data!F67</f>
        <v>203</v>
      </c>
      <c r="H67" s="3" t="str">
        <f aca="false">Raw_Data!G67</f>
        <v>yes</v>
      </c>
      <c r="I67" s="3" t="str">
        <f aca="false">Raw_Data!H67</f>
        <v>no</v>
      </c>
      <c r="J67" s="2" t="n">
        <f aca="false">IF(F67="yes",1,0)</f>
        <v>0</v>
      </c>
      <c r="K67" s="2" t="n">
        <f aca="false">IF(H67="yes",1,0)</f>
        <v>1</v>
      </c>
      <c r="L67" s="2" t="n">
        <f aca="false">IF(I67="yes",1,0)</f>
        <v>0</v>
      </c>
      <c r="M67" s="2" t="n">
        <f aca="false">IF(G67&lt;0,1,0)</f>
        <v>0</v>
      </c>
      <c r="N67" s="2" t="str">
        <f aca="false">_xlfn.IFS(B67&lt;30,"Under 30",B67&lt;40,"30-39",B67&lt;50,"40-49",B67&lt;60,"50-59",TRUE(),"60+")</f>
        <v>50-59</v>
      </c>
      <c r="O67" s="2" t="str">
        <f aca="false">_xlfn.IFS(G67&lt;0,"1 Negative",G67=0,"2 Zero",G67&lt;=500,"3 1-500",G67&lt;=2000,"4 501-2000",TRUE(),"5 Above 2000")</f>
        <v>3 1-500</v>
      </c>
      <c r="P67" s="2" t="n">
        <f aca="false">Lookups!$B$2*M67+Lookups!$B$3*L67</f>
        <v>0</v>
      </c>
      <c r="Q67" s="2" t="str">
        <f aca="false">INDEX(Lookups!$E$2:$E$5,MATCH(P67,Lookups!$D$2:$D$5,0))</f>
        <v>Low</v>
      </c>
    </row>
    <row r="68" customFormat="false" ht="15" hidden="false" customHeight="false" outlineLevel="0" collapsed="false">
      <c r="A68" s="3" t="n">
        <v>67</v>
      </c>
      <c r="B68" s="3" t="n">
        <f aca="false">Raw_Data!A68</f>
        <v>31</v>
      </c>
      <c r="C68" s="3" t="str">
        <f aca="false">SUBSTITUTE(Raw_Data!B68,".","")</f>
        <v>services</v>
      </c>
      <c r="D68" s="3" t="str">
        <f aca="false">Raw_Data!C68</f>
        <v>married</v>
      </c>
      <c r="E68" s="3" t="str">
        <f aca="false">Raw_Data!D68</f>
        <v>secondary</v>
      </c>
      <c r="F68" s="3" t="str">
        <f aca="false">Raw_Data!E68</f>
        <v>no</v>
      </c>
      <c r="G68" s="3" t="n">
        <f aca="false">Raw_Data!F68</f>
        <v>338</v>
      </c>
      <c r="H68" s="3" t="str">
        <f aca="false">Raw_Data!G68</f>
        <v>yes</v>
      </c>
      <c r="I68" s="3" t="str">
        <f aca="false">Raw_Data!H68</f>
        <v>no</v>
      </c>
      <c r="J68" s="2" t="n">
        <f aca="false">IF(F68="yes",1,0)</f>
        <v>0</v>
      </c>
      <c r="K68" s="2" t="n">
        <f aca="false">IF(H68="yes",1,0)</f>
        <v>1</v>
      </c>
      <c r="L68" s="2" t="n">
        <f aca="false">IF(I68="yes",1,0)</f>
        <v>0</v>
      </c>
      <c r="M68" s="2" t="n">
        <f aca="false">IF(G68&lt;0,1,0)</f>
        <v>0</v>
      </c>
      <c r="N68" s="2" t="str">
        <f aca="false">_xlfn.IFS(B68&lt;30,"Under 30",B68&lt;40,"30-39",B68&lt;50,"40-49",B68&lt;60,"50-59",TRUE(),"60+")</f>
        <v>30-39</v>
      </c>
      <c r="O68" s="2" t="str">
        <f aca="false">_xlfn.IFS(G68&lt;0,"1 Negative",G68=0,"2 Zero",G68&lt;=500,"3 1-500",G68&lt;=2000,"4 501-2000",TRUE(),"5 Above 2000")</f>
        <v>3 1-500</v>
      </c>
      <c r="P68" s="2" t="n">
        <f aca="false">Lookups!$B$2*M68+Lookups!$B$3*L68</f>
        <v>0</v>
      </c>
      <c r="Q68" s="2" t="str">
        <f aca="false">INDEX(Lookups!$E$2:$E$5,MATCH(P68,Lookups!$D$2:$D$5,0))</f>
        <v>Low</v>
      </c>
    </row>
    <row r="69" customFormat="false" ht="15" hidden="false" customHeight="false" outlineLevel="0" collapsed="false">
      <c r="A69" s="3" t="n">
        <v>68</v>
      </c>
      <c r="B69" s="3" t="n">
        <f aca="false">Raw_Data!A69</f>
        <v>29</v>
      </c>
      <c r="C69" s="3" t="str">
        <f aca="false">SUBSTITUTE(Raw_Data!B69,".","")</f>
        <v>technician</v>
      </c>
      <c r="D69" s="3" t="str">
        <f aca="false">Raw_Data!C69</f>
        <v>married</v>
      </c>
      <c r="E69" s="3" t="str">
        <f aca="false">Raw_Data!D69</f>
        <v>secondary</v>
      </c>
      <c r="F69" s="3" t="str">
        <f aca="false">Raw_Data!E69</f>
        <v>no</v>
      </c>
      <c r="G69" s="3" t="n">
        <f aca="false">Raw_Data!F69</f>
        <v>444</v>
      </c>
      <c r="H69" s="3" t="str">
        <f aca="false">Raw_Data!G69</f>
        <v>yes</v>
      </c>
      <c r="I69" s="3" t="str">
        <f aca="false">Raw_Data!H69</f>
        <v>no</v>
      </c>
      <c r="J69" s="2" t="n">
        <f aca="false">IF(F69="yes",1,0)</f>
        <v>0</v>
      </c>
      <c r="K69" s="2" t="n">
        <f aca="false">IF(H69="yes",1,0)</f>
        <v>1</v>
      </c>
      <c r="L69" s="2" t="n">
        <f aca="false">IF(I69="yes",1,0)</f>
        <v>0</v>
      </c>
      <c r="M69" s="2" t="n">
        <f aca="false">IF(G69&lt;0,1,0)</f>
        <v>0</v>
      </c>
      <c r="N69" s="2" t="str">
        <f aca="false">_xlfn.IFS(B69&lt;30,"Under 30",B69&lt;40,"30-39",B69&lt;50,"40-49",B69&lt;60,"50-59",TRUE(),"60+")</f>
        <v>Under 30</v>
      </c>
      <c r="O69" s="2" t="str">
        <f aca="false">_xlfn.IFS(G69&lt;0,"1 Negative",G69=0,"2 Zero",G69&lt;=500,"3 1-500",G69&lt;=2000,"4 501-2000",TRUE(),"5 Above 2000")</f>
        <v>3 1-500</v>
      </c>
      <c r="P69" s="2" t="n">
        <f aca="false">Lookups!$B$2*M69+Lookups!$B$3*L69</f>
        <v>0</v>
      </c>
      <c r="Q69" s="2" t="str">
        <f aca="false">INDEX(Lookups!$E$2:$E$5,MATCH(P69,Lookups!$D$2:$D$5,0))</f>
        <v>Low</v>
      </c>
    </row>
    <row r="70" customFormat="false" ht="15" hidden="false" customHeight="false" outlineLevel="0" collapsed="false">
      <c r="A70" s="3" t="n">
        <v>69</v>
      </c>
      <c r="B70" s="3" t="n">
        <f aca="false">Raw_Data!A70</f>
        <v>41</v>
      </c>
      <c r="C70" s="3" t="str">
        <f aca="false">SUBSTITUTE(Raw_Data!B70,".","")</f>
        <v>management</v>
      </c>
      <c r="D70" s="3" t="str">
        <f aca="false">Raw_Data!C70</f>
        <v>married</v>
      </c>
      <c r="E70" s="3" t="str">
        <f aca="false">Raw_Data!D70</f>
        <v>secondary</v>
      </c>
      <c r="F70" s="3" t="str">
        <f aca="false">Raw_Data!E70</f>
        <v>no</v>
      </c>
      <c r="G70" s="3" t="n">
        <f aca="false">Raw_Data!F70</f>
        <v>0</v>
      </c>
      <c r="H70" s="3" t="str">
        <f aca="false">Raw_Data!G70</f>
        <v>no</v>
      </c>
      <c r="I70" s="3" t="str">
        <f aca="false">Raw_Data!H70</f>
        <v>yes</v>
      </c>
      <c r="J70" s="2" t="n">
        <f aca="false">IF(F70="yes",1,0)</f>
        <v>0</v>
      </c>
      <c r="K70" s="2" t="n">
        <f aca="false">IF(H70="yes",1,0)</f>
        <v>0</v>
      </c>
      <c r="L70" s="2" t="n">
        <f aca="false">IF(I70="yes",1,0)</f>
        <v>1</v>
      </c>
      <c r="M70" s="2" t="n">
        <f aca="false">IF(G70&lt;0,1,0)</f>
        <v>0</v>
      </c>
      <c r="N70" s="2" t="str">
        <f aca="false">_xlfn.IFS(B70&lt;30,"Under 30",B70&lt;40,"30-39",B70&lt;50,"40-49",B70&lt;60,"50-59",TRUE(),"60+")</f>
        <v>40-49</v>
      </c>
      <c r="O70" s="2" t="str">
        <f aca="false">_xlfn.IFS(G70&lt;0,"1 Negative",G70=0,"2 Zero",G70&lt;=500,"3 1-500",G70&lt;=2000,"4 501-2000",TRUE(),"5 Above 2000")</f>
        <v>2 Zero</v>
      </c>
      <c r="P70" s="2" t="n">
        <f aca="false">Lookups!$B$2*M70+Lookups!$B$3*L70</f>
        <v>1</v>
      </c>
      <c r="Q70" s="2" t="str">
        <f aca="false">INDEX(Lookups!$E$2:$E$5,MATCH(P70,Lookups!$D$2:$D$5,0))</f>
        <v>Medium</v>
      </c>
    </row>
    <row r="71" customFormat="false" ht="15" hidden="false" customHeight="false" outlineLevel="0" collapsed="false">
      <c r="A71" s="3" t="n">
        <v>70</v>
      </c>
      <c r="B71" s="3" t="n">
        <f aca="false">Raw_Data!A71</f>
        <v>32</v>
      </c>
      <c r="C71" s="3" t="str">
        <f aca="false">SUBSTITUTE(Raw_Data!B71,".","")</f>
        <v>technician</v>
      </c>
      <c r="D71" s="3" t="str">
        <f aca="false">Raw_Data!C71</f>
        <v>single</v>
      </c>
      <c r="E71" s="3" t="str">
        <f aca="false">Raw_Data!D71</f>
        <v>tertiary</v>
      </c>
      <c r="F71" s="3" t="str">
        <f aca="false">Raw_Data!E71</f>
        <v>no</v>
      </c>
      <c r="G71" s="3" t="n">
        <f aca="false">Raw_Data!F71</f>
        <v>360</v>
      </c>
      <c r="H71" s="3" t="str">
        <f aca="false">Raw_Data!G71</f>
        <v>no</v>
      </c>
      <c r="I71" s="3" t="str">
        <f aca="false">Raw_Data!H71</f>
        <v>no</v>
      </c>
      <c r="J71" s="2" t="n">
        <f aca="false">IF(F71="yes",1,0)</f>
        <v>0</v>
      </c>
      <c r="K71" s="2" t="n">
        <f aca="false">IF(H71="yes",1,0)</f>
        <v>0</v>
      </c>
      <c r="L71" s="2" t="n">
        <f aca="false">IF(I71="yes",1,0)</f>
        <v>0</v>
      </c>
      <c r="M71" s="2" t="n">
        <f aca="false">IF(G71&lt;0,1,0)</f>
        <v>0</v>
      </c>
      <c r="N71" s="2" t="str">
        <f aca="false">_xlfn.IFS(B71&lt;30,"Under 30",B71&lt;40,"30-39",B71&lt;50,"40-49",B71&lt;60,"50-59",TRUE(),"60+")</f>
        <v>30-39</v>
      </c>
      <c r="O71" s="2" t="str">
        <f aca="false">_xlfn.IFS(G71&lt;0,"1 Negative",G71=0,"2 Zero",G71&lt;=500,"3 1-500",G71&lt;=2000,"4 501-2000",TRUE(),"5 Above 2000")</f>
        <v>3 1-500</v>
      </c>
      <c r="P71" s="2" t="n">
        <f aca="false">Lookups!$B$2*M71+Lookups!$B$3*L71</f>
        <v>0</v>
      </c>
      <c r="Q71" s="2" t="str">
        <f aca="false">INDEX(Lookups!$E$2:$E$5,MATCH(P71,Lookups!$D$2:$D$5,0))</f>
        <v>Low</v>
      </c>
    </row>
    <row r="72" customFormat="false" ht="15" hidden="false" customHeight="false" outlineLevel="0" collapsed="false">
      <c r="A72" s="3" t="n">
        <v>71</v>
      </c>
      <c r="B72" s="3" t="n">
        <f aca="false">Raw_Data!A72</f>
        <v>37</v>
      </c>
      <c r="C72" s="3" t="str">
        <f aca="false">SUBSTITUTE(Raw_Data!B72,".","")</f>
        <v>management</v>
      </c>
      <c r="D72" s="3" t="str">
        <f aca="false">Raw_Data!C72</f>
        <v>married</v>
      </c>
      <c r="E72" s="3" t="str">
        <f aca="false">Raw_Data!D72</f>
        <v>tertiary</v>
      </c>
      <c r="F72" s="3" t="str">
        <f aca="false">Raw_Data!E72</f>
        <v>no</v>
      </c>
      <c r="G72" s="3" t="n">
        <f aca="false">Raw_Data!F72</f>
        <v>0</v>
      </c>
      <c r="H72" s="3" t="str">
        <f aca="false">Raw_Data!G72</f>
        <v>no</v>
      </c>
      <c r="I72" s="3" t="str">
        <f aca="false">Raw_Data!H72</f>
        <v>no</v>
      </c>
      <c r="J72" s="2" t="n">
        <f aca="false">IF(F72="yes",1,0)</f>
        <v>0</v>
      </c>
      <c r="K72" s="2" t="n">
        <f aca="false">IF(H72="yes",1,0)</f>
        <v>0</v>
      </c>
      <c r="L72" s="2" t="n">
        <f aca="false">IF(I72="yes",1,0)</f>
        <v>0</v>
      </c>
      <c r="M72" s="2" t="n">
        <f aca="false">IF(G72&lt;0,1,0)</f>
        <v>0</v>
      </c>
      <c r="N72" s="2" t="str">
        <f aca="false">_xlfn.IFS(B72&lt;30,"Under 30",B72&lt;40,"30-39",B72&lt;50,"40-49",B72&lt;60,"50-59",TRUE(),"60+")</f>
        <v>30-39</v>
      </c>
      <c r="O72" s="2" t="str">
        <f aca="false">_xlfn.IFS(G72&lt;0,"1 Negative",G72=0,"2 Zero",G72&lt;=500,"3 1-500",G72&lt;=2000,"4 501-2000",TRUE(),"5 Above 2000")</f>
        <v>2 Zero</v>
      </c>
      <c r="P72" s="2" t="n">
        <f aca="false">Lookups!$B$2*M72+Lookups!$B$3*L72</f>
        <v>0</v>
      </c>
      <c r="Q72" s="2" t="str">
        <f aca="false">INDEX(Lookups!$E$2:$E$5,MATCH(P72,Lookups!$D$2:$D$5,0))</f>
        <v>Low</v>
      </c>
    </row>
    <row r="73" customFormat="false" ht="15" hidden="false" customHeight="false" outlineLevel="0" collapsed="false">
      <c r="A73" s="3" t="n">
        <v>72</v>
      </c>
      <c r="B73" s="3" t="n">
        <f aca="false">Raw_Data!A73</f>
        <v>42</v>
      </c>
      <c r="C73" s="3" t="str">
        <f aca="false">SUBSTITUTE(Raw_Data!B73,".","")</f>
        <v>entrepreneur</v>
      </c>
      <c r="D73" s="3" t="str">
        <f aca="false">Raw_Data!C73</f>
        <v>divorced</v>
      </c>
      <c r="E73" s="3" t="str">
        <f aca="false">Raw_Data!D73</f>
        <v>tertiary</v>
      </c>
      <c r="F73" s="3" t="str">
        <f aca="false">Raw_Data!E73</f>
        <v>yes</v>
      </c>
      <c r="G73" s="3" t="n">
        <f aca="false">Raw_Data!F73</f>
        <v>2</v>
      </c>
      <c r="H73" s="3" t="str">
        <f aca="false">Raw_Data!G73</f>
        <v>yes</v>
      </c>
      <c r="I73" s="3" t="str">
        <f aca="false">Raw_Data!H73</f>
        <v>no</v>
      </c>
      <c r="J73" s="2" t="n">
        <f aca="false">IF(F73="yes",1,0)</f>
        <v>1</v>
      </c>
      <c r="K73" s="2" t="n">
        <f aca="false">IF(H73="yes",1,0)</f>
        <v>1</v>
      </c>
      <c r="L73" s="2" t="n">
        <f aca="false">IF(I73="yes",1,0)</f>
        <v>0</v>
      </c>
      <c r="M73" s="2" t="n">
        <f aca="false">IF(G73&lt;0,1,0)</f>
        <v>0</v>
      </c>
      <c r="N73" s="2" t="str">
        <f aca="false">_xlfn.IFS(B73&lt;30,"Under 30",B73&lt;40,"30-39",B73&lt;50,"40-49",B73&lt;60,"50-59",TRUE(),"60+")</f>
        <v>40-49</v>
      </c>
      <c r="O73" s="2" t="str">
        <f aca="false">_xlfn.IFS(G73&lt;0,"1 Negative",G73=0,"2 Zero",G73&lt;=500,"3 1-500",G73&lt;=2000,"4 501-2000",TRUE(),"5 Above 2000")</f>
        <v>3 1-500</v>
      </c>
      <c r="P73" s="2" t="n">
        <f aca="false">Lookups!$B$2*M73+Lookups!$B$3*L73</f>
        <v>0</v>
      </c>
      <c r="Q73" s="2" t="str">
        <f aca="false">INDEX(Lookups!$E$2:$E$5,MATCH(P73,Lookups!$D$2:$D$5,0))</f>
        <v>Low</v>
      </c>
    </row>
    <row r="74" customFormat="false" ht="15" hidden="false" customHeight="false" outlineLevel="0" collapsed="false">
      <c r="A74" s="3" t="n">
        <v>73</v>
      </c>
      <c r="B74" s="3" t="n">
        <f aca="false">Raw_Data!A74</f>
        <v>31</v>
      </c>
      <c r="C74" s="3" t="str">
        <f aca="false">SUBSTITUTE(Raw_Data!B74,".","")</f>
        <v>management</v>
      </c>
      <c r="D74" s="3" t="str">
        <f aca="false">Raw_Data!C74</f>
        <v>single</v>
      </c>
      <c r="E74" s="3" t="str">
        <f aca="false">Raw_Data!D74</f>
        <v>tertiary</v>
      </c>
      <c r="F74" s="3" t="str">
        <f aca="false">Raw_Data!E74</f>
        <v>no</v>
      </c>
      <c r="G74" s="3" t="n">
        <f aca="false">Raw_Data!F74</f>
        <v>6248</v>
      </c>
      <c r="H74" s="3" t="str">
        <f aca="false">Raw_Data!G74</f>
        <v>yes</v>
      </c>
      <c r="I74" s="3" t="str">
        <f aca="false">Raw_Data!H74</f>
        <v>no</v>
      </c>
      <c r="J74" s="2" t="n">
        <f aca="false">IF(F74="yes",1,0)</f>
        <v>0</v>
      </c>
      <c r="K74" s="2" t="n">
        <f aca="false">IF(H74="yes",1,0)</f>
        <v>1</v>
      </c>
      <c r="L74" s="2" t="n">
        <f aca="false">IF(I74="yes",1,0)</f>
        <v>0</v>
      </c>
      <c r="M74" s="2" t="n">
        <f aca="false">IF(G74&lt;0,1,0)</f>
        <v>0</v>
      </c>
      <c r="N74" s="2" t="str">
        <f aca="false">_xlfn.IFS(B74&lt;30,"Under 30",B74&lt;40,"30-39",B74&lt;50,"40-49",B74&lt;60,"50-59",TRUE(),"60+")</f>
        <v>30-39</v>
      </c>
      <c r="O74" s="2" t="str">
        <f aca="false">_xlfn.IFS(G74&lt;0,"1 Negative",G74=0,"2 Zero",G74&lt;=500,"3 1-500",G74&lt;=2000,"4 501-2000",TRUE(),"5 Above 2000")</f>
        <v>5 Above 2000</v>
      </c>
      <c r="P74" s="2" t="n">
        <f aca="false">Lookups!$B$2*M74+Lookups!$B$3*L74</f>
        <v>0</v>
      </c>
      <c r="Q74" s="2" t="str">
        <f aca="false">INDEX(Lookups!$E$2:$E$5,MATCH(P74,Lookups!$D$2:$D$5,0))</f>
        <v>Low</v>
      </c>
    </row>
    <row r="75" customFormat="false" ht="15" hidden="false" customHeight="false" outlineLevel="0" collapsed="false">
      <c r="A75" s="3" t="n">
        <v>74</v>
      </c>
      <c r="B75" s="3" t="n">
        <f aca="false">Raw_Data!A75</f>
        <v>41</v>
      </c>
      <c r="C75" s="3" t="str">
        <f aca="false">SUBSTITUTE(Raw_Data!B75,".","")</f>
        <v>services</v>
      </c>
      <c r="D75" s="3" t="str">
        <f aca="false">Raw_Data!C75</f>
        <v>married</v>
      </c>
      <c r="E75" s="3" t="str">
        <f aca="false">Raw_Data!D75</f>
        <v>tertiary</v>
      </c>
      <c r="F75" s="3" t="str">
        <f aca="false">Raw_Data!E75</f>
        <v>no</v>
      </c>
      <c r="G75" s="3" t="n">
        <f aca="false">Raw_Data!F75</f>
        <v>412</v>
      </c>
      <c r="H75" s="3" t="str">
        <f aca="false">Raw_Data!G75</f>
        <v>yes</v>
      </c>
      <c r="I75" s="3" t="str">
        <f aca="false">Raw_Data!H75</f>
        <v>no</v>
      </c>
      <c r="J75" s="2" t="n">
        <f aca="false">IF(F75="yes",1,0)</f>
        <v>0</v>
      </c>
      <c r="K75" s="2" t="n">
        <f aca="false">IF(H75="yes",1,0)</f>
        <v>1</v>
      </c>
      <c r="L75" s="2" t="n">
        <f aca="false">IF(I75="yes",1,0)</f>
        <v>0</v>
      </c>
      <c r="M75" s="2" t="n">
        <f aca="false">IF(G75&lt;0,1,0)</f>
        <v>0</v>
      </c>
      <c r="N75" s="2" t="str">
        <f aca="false">_xlfn.IFS(B75&lt;30,"Under 30",B75&lt;40,"30-39",B75&lt;50,"40-49",B75&lt;60,"50-59",TRUE(),"60+")</f>
        <v>40-49</v>
      </c>
      <c r="O75" s="2" t="str">
        <f aca="false">_xlfn.IFS(G75&lt;0,"1 Negative",G75=0,"2 Zero",G75&lt;=500,"3 1-500",G75&lt;=2000,"4 501-2000",TRUE(),"5 Above 2000")</f>
        <v>3 1-500</v>
      </c>
      <c r="P75" s="2" t="n">
        <f aca="false">Lookups!$B$2*M75+Lookups!$B$3*L75</f>
        <v>0</v>
      </c>
      <c r="Q75" s="2" t="str">
        <f aca="false">INDEX(Lookups!$E$2:$E$5,MATCH(P75,Lookups!$D$2:$D$5,0))</f>
        <v>Low</v>
      </c>
    </row>
    <row r="76" customFormat="false" ht="15" hidden="false" customHeight="false" outlineLevel="0" collapsed="false">
      <c r="A76" s="3" t="n">
        <v>75</v>
      </c>
      <c r="B76" s="3" t="n">
        <f aca="false">Raw_Data!A76</f>
        <v>56</v>
      </c>
      <c r="C76" s="3" t="str">
        <f aca="false">SUBSTITUTE(Raw_Data!B76,".","")</f>
        <v>retired</v>
      </c>
      <c r="D76" s="3" t="str">
        <f aca="false">Raw_Data!C76</f>
        <v>married</v>
      </c>
      <c r="E76" s="3" t="str">
        <f aca="false">Raw_Data!D76</f>
        <v>secondary</v>
      </c>
      <c r="F76" s="3" t="str">
        <f aca="false">Raw_Data!E76</f>
        <v>no</v>
      </c>
      <c r="G76" s="3" t="n">
        <f aca="false">Raw_Data!F76</f>
        <v>344</v>
      </c>
      <c r="H76" s="3" t="str">
        <f aca="false">Raw_Data!G76</f>
        <v>yes</v>
      </c>
      <c r="I76" s="3" t="str">
        <f aca="false">Raw_Data!H76</f>
        <v>no</v>
      </c>
      <c r="J76" s="2" t="n">
        <f aca="false">IF(F76="yes",1,0)</f>
        <v>0</v>
      </c>
      <c r="K76" s="2" t="n">
        <f aca="false">IF(H76="yes",1,0)</f>
        <v>1</v>
      </c>
      <c r="L76" s="2" t="n">
        <f aca="false">IF(I76="yes",1,0)</f>
        <v>0</v>
      </c>
      <c r="M76" s="2" t="n">
        <f aca="false">IF(G76&lt;0,1,0)</f>
        <v>0</v>
      </c>
      <c r="N76" s="2" t="str">
        <f aca="false">_xlfn.IFS(B76&lt;30,"Under 30",B76&lt;40,"30-39",B76&lt;50,"40-49",B76&lt;60,"50-59",TRUE(),"60+")</f>
        <v>50-59</v>
      </c>
      <c r="O76" s="2" t="str">
        <f aca="false">_xlfn.IFS(G76&lt;0,"1 Negative",G76=0,"2 Zero",G76&lt;=500,"3 1-500",G76&lt;=2000,"4 501-2000",TRUE(),"5 Above 2000")</f>
        <v>3 1-500</v>
      </c>
      <c r="P76" s="2" t="n">
        <f aca="false">Lookups!$B$2*M76+Lookups!$B$3*L76</f>
        <v>0</v>
      </c>
      <c r="Q76" s="2" t="str">
        <f aca="false">INDEX(Lookups!$E$2:$E$5,MATCH(P76,Lookups!$D$2:$D$5,0))</f>
        <v>Low</v>
      </c>
    </row>
    <row r="77" customFormat="false" ht="15" hidden="false" customHeight="false" outlineLevel="0" collapsed="false">
      <c r="A77" s="3" t="n">
        <v>76</v>
      </c>
      <c r="B77" s="3" t="n">
        <f aca="false">Raw_Data!A77</f>
        <v>54</v>
      </c>
      <c r="C77" s="3" t="str">
        <f aca="false">SUBSTITUTE(Raw_Data!B77,".","")</f>
        <v>management</v>
      </c>
      <c r="D77" s="3" t="str">
        <f aca="false">Raw_Data!C77</f>
        <v>divorced</v>
      </c>
      <c r="E77" s="3" t="str">
        <f aca="false">Raw_Data!D77</f>
        <v>tertiary</v>
      </c>
      <c r="F77" s="3" t="str">
        <f aca="false">Raw_Data!E77</f>
        <v>no</v>
      </c>
      <c r="G77" s="3" t="n">
        <f aca="false">Raw_Data!F77</f>
        <v>3222</v>
      </c>
      <c r="H77" s="3" t="str">
        <f aca="false">Raw_Data!G77</f>
        <v>no</v>
      </c>
      <c r="I77" s="3" t="str">
        <f aca="false">Raw_Data!H77</f>
        <v>no</v>
      </c>
      <c r="J77" s="2" t="n">
        <f aca="false">IF(F77="yes",1,0)</f>
        <v>0</v>
      </c>
      <c r="K77" s="2" t="n">
        <f aca="false">IF(H77="yes",1,0)</f>
        <v>0</v>
      </c>
      <c r="L77" s="2" t="n">
        <f aca="false">IF(I77="yes",1,0)</f>
        <v>0</v>
      </c>
      <c r="M77" s="2" t="n">
        <f aca="false">IF(G77&lt;0,1,0)</f>
        <v>0</v>
      </c>
      <c r="N77" s="2" t="str">
        <f aca="false">_xlfn.IFS(B77&lt;30,"Under 30",B77&lt;40,"30-39",B77&lt;50,"40-49",B77&lt;60,"50-59",TRUE(),"60+")</f>
        <v>50-59</v>
      </c>
      <c r="O77" s="2" t="str">
        <f aca="false">_xlfn.IFS(G77&lt;0,"1 Negative",G77=0,"2 Zero",G77&lt;=500,"3 1-500",G77&lt;=2000,"4 501-2000",TRUE(),"5 Above 2000")</f>
        <v>5 Above 2000</v>
      </c>
      <c r="P77" s="2" t="n">
        <f aca="false">Lookups!$B$2*M77+Lookups!$B$3*L77</f>
        <v>0</v>
      </c>
      <c r="Q77" s="2" t="str">
        <f aca="false">INDEX(Lookups!$E$2:$E$5,MATCH(P77,Lookups!$D$2:$D$5,0))</f>
        <v>Low</v>
      </c>
    </row>
    <row r="78" customFormat="false" ht="15" hidden="false" customHeight="false" outlineLevel="0" collapsed="false">
      <c r="A78" s="3" t="n">
        <v>77</v>
      </c>
      <c r="B78" s="3" t="n">
        <f aca="false">Raw_Data!A78</f>
        <v>41</v>
      </c>
      <c r="C78" s="3" t="str">
        <f aca="false">SUBSTITUTE(Raw_Data!B78,".","")</f>
        <v>blue-collar</v>
      </c>
      <c r="D78" s="3" t="str">
        <f aca="false">Raw_Data!C78</f>
        <v>divorced</v>
      </c>
      <c r="E78" s="3" t="str">
        <f aca="false">Raw_Data!D78</f>
        <v>secondary</v>
      </c>
      <c r="F78" s="3" t="str">
        <f aca="false">Raw_Data!E78</f>
        <v>no</v>
      </c>
      <c r="G78" s="3" t="n">
        <f aca="false">Raw_Data!F78</f>
        <v>174</v>
      </c>
      <c r="H78" s="3" t="str">
        <f aca="false">Raw_Data!G78</f>
        <v>yes</v>
      </c>
      <c r="I78" s="3" t="str">
        <f aca="false">Raw_Data!H78</f>
        <v>no</v>
      </c>
      <c r="J78" s="2" t="n">
        <f aca="false">IF(F78="yes",1,0)</f>
        <v>0</v>
      </c>
      <c r="K78" s="2" t="n">
        <f aca="false">IF(H78="yes",1,0)</f>
        <v>1</v>
      </c>
      <c r="L78" s="2" t="n">
        <f aca="false">IF(I78="yes",1,0)</f>
        <v>0</v>
      </c>
      <c r="M78" s="2" t="n">
        <f aca="false">IF(G78&lt;0,1,0)</f>
        <v>0</v>
      </c>
      <c r="N78" s="2" t="str">
        <f aca="false">_xlfn.IFS(B78&lt;30,"Under 30",B78&lt;40,"30-39",B78&lt;50,"40-49",B78&lt;60,"50-59",TRUE(),"60+")</f>
        <v>40-49</v>
      </c>
      <c r="O78" s="2" t="str">
        <f aca="false">_xlfn.IFS(G78&lt;0,"1 Negative",G78=0,"2 Zero",G78&lt;=500,"3 1-500",G78&lt;=2000,"4 501-2000",TRUE(),"5 Above 2000")</f>
        <v>3 1-500</v>
      </c>
      <c r="P78" s="2" t="n">
        <f aca="false">Lookups!$B$2*M78+Lookups!$B$3*L78</f>
        <v>0</v>
      </c>
      <c r="Q78" s="2" t="str">
        <f aca="false">INDEX(Lookups!$E$2:$E$5,MATCH(P78,Lookups!$D$2:$D$5,0))</f>
        <v>Low</v>
      </c>
    </row>
    <row r="79" customFormat="false" ht="15" hidden="false" customHeight="false" outlineLevel="0" collapsed="false">
      <c r="A79" s="3" t="n">
        <v>78</v>
      </c>
      <c r="B79" s="3" t="n">
        <f aca="false">Raw_Data!A79</f>
        <v>40</v>
      </c>
      <c r="C79" s="3" t="str">
        <f aca="false">SUBSTITUTE(Raw_Data!B79,".","")</f>
        <v>technician</v>
      </c>
      <c r="D79" s="3" t="str">
        <f aca="false">Raw_Data!C79</f>
        <v>single</v>
      </c>
      <c r="E79" s="3" t="str">
        <f aca="false">Raw_Data!D79</f>
        <v>secondary</v>
      </c>
      <c r="F79" s="3" t="str">
        <f aca="false">Raw_Data!E79</f>
        <v>no</v>
      </c>
      <c r="G79" s="3" t="n">
        <f aca="false">Raw_Data!F79</f>
        <v>591</v>
      </c>
      <c r="H79" s="3" t="str">
        <f aca="false">Raw_Data!G79</f>
        <v>no</v>
      </c>
      <c r="I79" s="3" t="str">
        <f aca="false">Raw_Data!H79</f>
        <v>yes</v>
      </c>
      <c r="J79" s="2" t="n">
        <f aca="false">IF(F79="yes",1,0)</f>
        <v>0</v>
      </c>
      <c r="K79" s="2" t="n">
        <f aca="false">IF(H79="yes",1,0)</f>
        <v>0</v>
      </c>
      <c r="L79" s="2" t="n">
        <f aca="false">IF(I79="yes",1,0)</f>
        <v>1</v>
      </c>
      <c r="M79" s="2" t="n">
        <f aca="false">IF(G79&lt;0,1,0)</f>
        <v>0</v>
      </c>
      <c r="N79" s="2" t="str">
        <f aca="false">_xlfn.IFS(B79&lt;30,"Under 30",B79&lt;40,"30-39",B79&lt;50,"40-49",B79&lt;60,"50-59",TRUE(),"60+")</f>
        <v>40-49</v>
      </c>
      <c r="O79" s="2" t="str">
        <f aca="false">_xlfn.IFS(G79&lt;0,"1 Negative",G79=0,"2 Zero",G79&lt;=500,"3 1-500",G79&lt;=2000,"4 501-2000",TRUE(),"5 Above 2000")</f>
        <v>4 501-2000</v>
      </c>
      <c r="P79" s="2" t="n">
        <f aca="false">Lookups!$B$2*M79+Lookups!$B$3*L79</f>
        <v>1</v>
      </c>
      <c r="Q79" s="2" t="str">
        <f aca="false">INDEX(Lookups!$E$2:$E$5,MATCH(P79,Lookups!$D$2:$D$5,0))</f>
        <v>Medium</v>
      </c>
    </row>
    <row r="80" customFormat="false" ht="15" hidden="false" customHeight="false" outlineLevel="0" collapsed="false">
      <c r="A80" s="3" t="n">
        <v>79</v>
      </c>
      <c r="B80" s="3" t="n">
        <f aca="false">Raw_Data!A80</f>
        <v>50</v>
      </c>
      <c r="C80" s="3" t="str">
        <f aca="false">SUBSTITUTE(Raw_Data!B80,".","")</f>
        <v>blue-collar</v>
      </c>
      <c r="D80" s="3" t="str">
        <f aca="false">Raw_Data!C80</f>
        <v>divorced</v>
      </c>
      <c r="E80" s="3" t="str">
        <f aca="false">Raw_Data!D80</f>
        <v>primary</v>
      </c>
      <c r="F80" s="3" t="str">
        <f aca="false">Raw_Data!E80</f>
        <v>no</v>
      </c>
      <c r="G80" s="3" t="n">
        <f aca="false">Raw_Data!F80</f>
        <v>388</v>
      </c>
      <c r="H80" s="3" t="str">
        <f aca="false">Raw_Data!G80</f>
        <v>no</v>
      </c>
      <c r="I80" s="3" t="str">
        <f aca="false">Raw_Data!H80</f>
        <v>no</v>
      </c>
      <c r="J80" s="2" t="n">
        <f aca="false">IF(F80="yes",1,0)</f>
        <v>0</v>
      </c>
      <c r="K80" s="2" t="n">
        <f aca="false">IF(H80="yes",1,0)</f>
        <v>0</v>
      </c>
      <c r="L80" s="2" t="n">
        <f aca="false">IF(I80="yes",1,0)</f>
        <v>0</v>
      </c>
      <c r="M80" s="2" t="n">
        <f aca="false">IF(G80&lt;0,1,0)</f>
        <v>0</v>
      </c>
      <c r="N80" s="2" t="str">
        <f aca="false">_xlfn.IFS(B80&lt;30,"Under 30",B80&lt;40,"30-39",B80&lt;50,"40-49",B80&lt;60,"50-59",TRUE(),"60+")</f>
        <v>50-59</v>
      </c>
      <c r="O80" s="2" t="str">
        <f aca="false">_xlfn.IFS(G80&lt;0,"1 Negative",G80=0,"2 Zero",G80&lt;=500,"3 1-500",G80&lt;=2000,"4 501-2000",TRUE(),"5 Above 2000")</f>
        <v>3 1-500</v>
      </c>
      <c r="P80" s="2" t="n">
        <f aca="false">Lookups!$B$2*M80+Lookups!$B$3*L80</f>
        <v>0</v>
      </c>
      <c r="Q80" s="2" t="str">
        <f aca="false">INDEX(Lookups!$E$2:$E$5,MATCH(P80,Lookups!$D$2:$D$5,0))</f>
        <v>Low</v>
      </c>
    </row>
    <row r="81" customFormat="false" ht="15" hidden="false" customHeight="false" outlineLevel="0" collapsed="false">
      <c r="A81" s="3" t="n">
        <v>80</v>
      </c>
      <c r="B81" s="3" t="n">
        <f aca="false">Raw_Data!A81</f>
        <v>40</v>
      </c>
      <c r="C81" s="3" t="str">
        <f aca="false">SUBSTITUTE(Raw_Data!B81,".","")</f>
        <v>unemployed</v>
      </c>
      <c r="D81" s="3" t="str">
        <f aca="false">Raw_Data!C81</f>
        <v>married</v>
      </c>
      <c r="E81" s="3" t="str">
        <f aca="false">Raw_Data!D81</f>
        <v>secondary</v>
      </c>
      <c r="F81" s="3" t="str">
        <f aca="false">Raw_Data!E81</f>
        <v>no</v>
      </c>
      <c r="G81" s="3" t="n">
        <f aca="false">Raw_Data!F81</f>
        <v>219</v>
      </c>
      <c r="H81" s="3" t="str">
        <f aca="false">Raw_Data!G81</f>
        <v>yes</v>
      </c>
      <c r="I81" s="3" t="str">
        <f aca="false">Raw_Data!H81</f>
        <v>no</v>
      </c>
      <c r="J81" s="2" t="n">
        <f aca="false">IF(F81="yes",1,0)</f>
        <v>0</v>
      </c>
      <c r="K81" s="2" t="n">
        <f aca="false">IF(H81="yes",1,0)</f>
        <v>1</v>
      </c>
      <c r="L81" s="2" t="n">
        <f aca="false">IF(I81="yes",1,0)</f>
        <v>0</v>
      </c>
      <c r="M81" s="2" t="n">
        <f aca="false">IF(G81&lt;0,1,0)</f>
        <v>0</v>
      </c>
      <c r="N81" s="2" t="str">
        <f aca="false">_xlfn.IFS(B81&lt;30,"Under 30",B81&lt;40,"30-39",B81&lt;50,"40-49",B81&lt;60,"50-59",TRUE(),"60+")</f>
        <v>40-49</v>
      </c>
      <c r="O81" s="2" t="str">
        <f aca="false">_xlfn.IFS(G81&lt;0,"1 Negative",G81=0,"2 Zero",G81&lt;=500,"3 1-500",G81&lt;=2000,"4 501-2000",TRUE(),"5 Above 2000")</f>
        <v>3 1-500</v>
      </c>
      <c r="P81" s="2" t="n">
        <f aca="false">Lookups!$B$2*M81+Lookups!$B$3*L81</f>
        <v>0</v>
      </c>
      <c r="Q81" s="2" t="str">
        <f aca="false">INDEX(Lookups!$E$2:$E$5,MATCH(P81,Lookups!$D$2:$D$5,0))</f>
        <v>Low</v>
      </c>
    </row>
    <row r="82" customFormat="false" ht="15" hidden="false" customHeight="false" outlineLevel="0" collapsed="false">
      <c r="A82" s="3" t="n">
        <v>81</v>
      </c>
      <c r="B82" s="3" t="n">
        <f aca="false">Raw_Data!A82</f>
        <v>27</v>
      </c>
      <c r="C82" s="3" t="str">
        <f aca="false">SUBSTITUTE(Raw_Data!B82,".","")</f>
        <v>admin</v>
      </c>
      <c r="D82" s="3" t="str">
        <f aca="false">Raw_Data!C82</f>
        <v>divorced</v>
      </c>
      <c r="E82" s="3" t="str">
        <f aca="false">Raw_Data!D82</f>
        <v>secondary</v>
      </c>
      <c r="F82" s="3" t="str">
        <f aca="false">Raw_Data!E82</f>
        <v>no</v>
      </c>
      <c r="G82" s="3" t="n">
        <f aca="false">Raw_Data!F82</f>
        <v>451</v>
      </c>
      <c r="H82" s="3" t="str">
        <f aca="false">Raw_Data!G82</f>
        <v>yes</v>
      </c>
      <c r="I82" s="3" t="str">
        <f aca="false">Raw_Data!H82</f>
        <v>no</v>
      </c>
      <c r="J82" s="2" t="n">
        <f aca="false">IF(F82="yes",1,0)</f>
        <v>0</v>
      </c>
      <c r="K82" s="2" t="n">
        <f aca="false">IF(H82="yes",1,0)</f>
        <v>1</v>
      </c>
      <c r="L82" s="2" t="n">
        <f aca="false">IF(I82="yes",1,0)</f>
        <v>0</v>
      </c>
      <c r="M82" s="2" t="n">
        <f aca="false">IF(G82&lt;0,1,0)</f>
        <v>0</v>
      </c>
      <c r="N82" s="2" t="str">
        <f aca="false">_xlfn.IFS(B82&lt;30,"Under 30",B82&lt;40,"30-39",B82&lt;50,"40-49",B82&lt;60,"50-59",TRUE(),"60+")</f>
        <v>Under 30</v>
      </c>
      <c r="O82" s="2" t="str">
        <f aca="false">_xlfn.IFS(G82&lt;0,"1 Negative",G82=0,"2 Zero",G82&lt;=500,"3 1-500",G82&lt;=2000,"4 501-2000",TRUE(),"5 Above 2000")</f>
        <v>3 1-500</v>
      </c>
      <c r="P82" s="2" t="n">
        <f aca="false">Lookups!$B$2*M82+Lookups!$B$3*L82</f>
        <v>0</v>
      </c>
      <c r="Q82" s="2" t="str">
        <f aca="false">INDEX(Lookups!$E$2:$E$5,MATCH(P82,Lookups!$D$2:$D$5,0))</f>
        <v>Low</v>
      </c>
    </row>
    <row r="83" customFormat="false" ht="15" hidden="false" customHeight="false" outlineLevel="0" collapsed="false">
      <c r="A83" s="3" t="n">
        <v>82</v>
      </c>
      <c r="B83" s="3" t="n">
        <f aca="false">Raw_Data!A83</f>
        <v>60</v>
      </c>
      <c r="C83" s="3" t="str">
        <f aca="false">SUBSTITUTE(Raw_Data!B83,".","")</f>
        <v>retired</v>
      </c>
      <c r="D83" s="3" t="str">
        <f aca="false">Raw_Data!C83</f>
        <v>married</v>
      </c>
      <c r="E83" s="3" t="str">
        <f aca="false">Raw_Data!D83</f>
        <v>primary</v>
      </c>
      <c r="F83" s="3" t="str">
        <f aca="false">Raw_Data!E83</f>
        <v>no</v>
      </c>
      <c r="G83" s="3" t="n">
        <f aca="false">Raw_Data!F83</f>
        <v>5</v>
      </c>
      <c r="H83" s="3" t="str">
        <f aca="false">Raw_Data!G83</f>
        <v>no</v>
      </c>
      <c r="I83" s="3" t="str">
        <f aca="false">Raw_Data!H83</f>
        <v>no</v>
      </c>
      <c r="J83" s="2" t="n">
        <f aca="false">IF(F83="yes",1,0)</f>
        <v>0</v>
      </c>
      <c r="K83" s="2" t="n">
        <f aca="false">IF(H83="yes",1,0)</f>
        <v>0</v>
      </c>
      <c r="L83" s="2" t="n">
        <f aca="false">IF(I83="yes",1,0)</f>
        <v>0</v>
      </c>
      <c r="M83" s="2" t="n">
        <f aca="false">IF(G83&lt;0,1,0)</f>
        <v>0</v>
      </c>
      <c r="N83" s="2" t="str">
        <f aca="false">_xlfn.IFS(B83&lt;30,"Under 30",B83&lt;40,"30-39",B83&lt;50,"40-49",B83&lt;60,"50-59",TRUE(),"60+")</f>
        <v>60+</v>
      </c>
      <c r="O83" s="2" t="str">
        <f aca="false">_xlfn.IFS(G83&lt;0,"1 Negative",G83=0,"2 Zero",G83&lt;=500,"3 1-500",G83&lt;=2000,"4 501-2000",TRUE(),"5 Above 2000")</f>
        <v>3 1-500</v>
      </c>
      <c r="P83" s="2" t="n">
        <f aca="false">Lookups!$B$2*M83+Lookups!$B$3*L83</f>
        <v>0</v>
      </c>
      <c r="Q83" s="2" t="str">
        <f aca="false">INDEX(Lookups!$E$2:$E$5,MATCH(P83,Lookups!$D$2:$D$5,0))</f>
        <v>Low</v>
      </c>
    </row>
    <row r="84" customFormat="false" ht="15" hidden="false" customHeight="false" outlineLevel="0" collapsed="false">
      <c r="A84" s="3" t="n">
        <v>83</v>
      </c>
      <c r="B84" s="3" t="n">
        <f aca="false">Raw_Data!A84</f>
        <v>28</v>
      </c>
      <c r="C84" s="3" t="str">
        <f aca="false">SUBSTITUTE(Raw_Data!B84,".","")</f>
        <v>admin</v>
      </c>
      <c r="D84" s="3" t="str">
        <f aca="false">Raw_Data!C84</f>
        <v>single</v>
      </c>
      <c r="E84" s="3" t="str">
        <f aca="false">Raw_Data!D84</f>
        <v>secondary</v>
      </c>
      <c r="F84" s="3" t="str">
        <f aca="false">Raw_Data!E84</f>
        <v>no</v>
      </c>
      <c r="G84" s="3" t="n">
        <f aca="false">Raw_Data!F84</f>
        <v>177</v>
      </c>
      <c r="H84" s="3" t="str">
        <f aca="false">Raw_Data!G84</f>
        <v>yes</v>
      </c>
      <c r="I84" s="3" t="str">
        <f aca="false">Raw_Data!H84</f>
        <v>yes</v>
      </c>
      <c r="J84" s="2" t="n">
        <f aca="false">IF(F84="yes",1,0)</f>
        <v>0</v>
      </c>
      <c r="K84" s="2" t="n">
        <f aca="false">IF(H84="yes",1,0)</f>
        <v>1</v>
      </c>
      <c r="L84" s="2" t="n">
        <f aca="false">IF(I84="yes",1,0)</f>
        <v>1</v>
      </c>
      <c r="M84" s="2" t="n">
        <f aca="false">IF(G84&lt;0,1,0)</f>
        <v>0</v>
      </c>
      <c r="N84" s="2" t="str">
        <f aca="false">_xlfn.IFS(B84&lt;30,"Under 30",B84&lt;40,"30-39",B84&lt;50,"40-49",B84&lt;60,"50-59",TRUE(),"60+")</f>
        <v>Under 30</v>
      </c>
      <c r="O84" s="2" t="str">
        <f aca="false">_xlfn.IFS(G84&lt;0,"1 Negative",G84=0,"2 Zero",G84&lt;=500,"3 1-500",G84&lt;=2000,"4 501-2000",TRUE(),"5 Above 2000")</f>
        <v>3 1-500</v>
      </c>
      <c r="P84" s="2" t="n">
        <f aca="false">Lookups!$B$2*M84+Lookups!$B$3*L84</f>
        <v>1</v>
      </c>
      <c r="Q84" s="2" t="str">
        <f aca="false">INDEX(Lookups!$E$2:$E$5,MATCH(P84,Lookups!$D$2:$D$5,0))</f>
        <v>Medium</v>
      </c>
    </row>
    <row r="85" customFormat="false" ht="15" hidden="false" customHeight="false" outlineLevel="0" collapsed="false">
      <c r="A85" s="3" t="n">
        <v>84</v>
      </c>
      <c r="B85" s="3" t="n">
        <f aca="false">Raw_Data!A85</f>
        <v>52</v>
      </c>
      <c r="C85" s="3" t="str">
        <f aca="false">SUBSTITUTE(Raw_Data!B85,".","")</f>
        <v>services</v>
      </c>
      <c r="D85" s="3" t="str">
        <f aca="false">Raw_Data!C85</f>
        <v>married</v>
      </c>
      <c r="E85" s="3" t="str">
        <f aca="false">Raw_Data!D85</f>
        <v>secondary</v>
      </c>
      <c r="F85" s="3" t="str">
        <f aca="false">Raw_Data!E85</f>
        <v>no</v>
      </c>
      <c r="G85" s="3" t="n">
        <f aca="false">Raw_Data!F85</f>
        <v>657</v>
      </c>
      <c r="H85" s="3" t="str">
        <f aca="false">Raw_Data!G85</f>
        <v>no</v>
      </c>
      <c r="I85" s="3" t="str">
        <f aca="false">Raw_Data!H85</f>
        <v>no</v>
      </c>
      <c r="J85" s="2" t="n">
        <f aca="false">IF(F85="yes",1,0)</f>
        <v>0</v>
      </c>
      <c r="K85" s="2" t="n">
        <f aca="false">IF(H85="yes",1,0)</f>
        <v>0</v>
      </c>
      <c r="L85" s="2" t="n">
        <f aca="false">IF(I85="yes",1,0)</f>
        <v>0</v>
      </c>
      <c r="M85" s="2" t="n">
        <f aca="false">IF(G85&lt;0,1,0)</f>
        <v>0</v>
      </c>
      <c r="N85" s="2" t="str">
        <f aca="false">_xlfn.IFS(B85&lt;30,"Under 30",B85&lt;40,"30-39",B85&lt;50,"40-49",B85&lt;60,"50-59",TRUE(),"60+")</f>
        <v>50-59</v>
      </c>
      <c r="O85" s="2" t="str">
        <f aca="false">_xlfn.IFS(G85&lt;0,"1 Negative",G85=0,"2 Zero",G85&lt;=500,"3 1-500",G85&lt;=2000,"4 501-2000",TRUE(),"5 Above 2000")</f>
        <v>4 501-2000</v>
      </c>
      <c r="P85" s="2" t="n">
        <f aca="false">Lookups!$B$2*M85+Lookups!$B$3*L85</f>
        <v>0</v>
      </c>
      <c r="Q85" s="2" t="str">
        <f aca="false">INDEX(Lookups!$E$2:$E$5,MATCH(P85,Lookups!$D$2:$D$5,0))</f>
        <v>Low</v>
      </c>
    </row>
    <row r="86" customFormat="false" ht="15" hidden="false" customHeight="false" outlineLevel="0" collapsed="false">
      <c r="A86" s="3" t="n">
        <v>85</v>
      </c>
      <c r="B86" s="3" t="n">
        <f aca="false">Raw_Data!A86</f>
        <v>37</v>
      </c>
      <c r="C86" s="3" t="str">
        <f aca="false">SUBSTITUTE(Raw_Data!B86,".","")</f>
        <v>management</v>
      </c>
      <c r="D86" s="3" t="str">
        <f aca="false">Raw_Data!C86</f>
        <v>married</v>
      </c>
      <c r="E86" s="3" t="str">
        <f aca="false">Raw_Data!D86</f>
        <v>tertiary</v>
      </c>
      <c r="F86" s="3" t="str">
        <f aca="false">Raw_Data!E86</f>
        <v>no</v>
      </c>
      <c r="G86" s="3" t="n">
        <f aca="false">Raw_Data!F86</f>
        <v>1315</v>
      </c>
      <c r="H86" s="3" t="str">
        <f aca="false">Raw_Data!G86</f>
        <v>no</v>
      </c>
      <c r="I86" s="3" t="str">
        <f aca="false">Raw_Data!H86</f>
        <v>no</v>
      </c>
      <c r="J86" s="2" t="n">
        <f aca="false">IF(F86="yes",1,0)</f>
        <v>0</v>
      </c>
      <c r="K86" s="2" t="n">
        <f aca="false">IF(H86="yes",1,0)</f>
        <v>0</v>
      </c>
      <c r="L86" s="2" t="n">
        <f aca="false">IF(I86="yes",1,0)</f>
        <v>0</v>
      </c>
      <c r="M86" s="2" t="n">
        <f aca="false">IF(G86&lt;0,1,0)</f>
        <v>0</v>
      </c>
      <c r="N86" s="2" t="str">
        <f aca="false">_xlfn.IFS(B86&lt;30,"Under 30",B86&lt;40,"30-39",B86&lt;50,"40-49",B86&lt;60,"50-59",TRUE(),"60+")</f>
        <v>30-39</v>
      </c>
      <c r="O86" s="2" t="str">
        <f aca="false">_xlfn.IFS(G86&lt;0,"1 Negative",G86=0,"2 Zero",G86&lt;=500,"3 1-500",G86&lt;=2000,"4 501-2000",TRUE(),"5 Above 2000")</f>
        <v>4 501-2000</v>
      </c>
      <c r="P86" s="2" t="n">
        <f aca="false">Lookups!$B$2*M86+Lookups!$B$3*L86</f>
        <v>0</v>
      </c>
      <c r="Q86" s="2" t="str">
        <f aca="false">INDEX(Lookups!$E$2:$E$5,MATCH(P86,Lookups!$D$2:$D$5,0))</f>
        <v>Low</v>
      </c>
    </row>
    <row r="87" customFormat="false" ht="15" hidden="false" customHeight="false" outlineLevel="0" collapsed="false">
      <c r="A87" s="3" t="n">
        <v>86</v>
      </c>
      <c r="B87" s="3" t="n">
        <f aca="false">Raw_Data!A87</f>
        <v>51</v>
      </c>
      <c r="C87" s="3" t="str">
        <f aca="false">SUBSTITUTE(Raw_Data!B87,".","")</f>
        <v>blue-collar</v>
      </c>
      <c r="D87" s="3" t="str">
        <f aca="false">Raw_Data!C87</f>
        <v>married</v>
      </c>
      <c r="E87" s="3" t="str">
        <f aca="false">Raw_Data!D87</f>
        <v>primary</v>
      </c>
      <c r="F87" s="3" t="str">
        <f aca="false">Raw_Data!E87</f>
        <v>no</v>
      </c>
      <c r="G87" s="3" t="n">
        <f aca="false">Raw_Data!F87</f>
        <v>1466</v>
      </c>
      <c r="H87" s="3" t="str">
        <f aca="false">Raw_Data!G87</f>
        <v>yes</v>
      </c>
      <c r="I87" s="3" t="str">
        <f aca="false">Raw_Data!H87</f>
        <v>no</v>
      </c>
      <c r="J87" s="2" t="n">
        <f aca="false">IF(F87="yes",1,0)</f>
        <v>0</v>
      </c>
      <c r="K87" s="2" t="n">
        <f aca="false">IF(H87="yes",1,0)</f>
        <v>1</v>
      </c>
      <c r="L87" s="2" t="n">
        <f aca="false">IF(I87="yes",1,0)</f>
        <v>0</v>
      </c>
      <c r="M87" s="2" t="n">
        <f aca="false">IF(G87&lt;0,1,0)</f>
        <v>0</v>
      </c>
      <c r="N87" s="2" t="str">
        <f aca="false">_xlfn.IFS(B87&lt;30,"Under 30",B87&lt;40,"30-39",B87&lt;50,"40-49",B87&lt;60,"50-59",TRUE(),"60+")</f>
        <v>50-59</v>
      </c>
      <c r="O87" s="2" t="str">
        <f aca="false">_xlfn.IFS(G87&lt;0,"1 Negative",G87=0,"2 Zero",G87&lt;=500,"3 1-500",G87&lt;=2000,"4 501-2000",TRUE(),"5 Above 2000")</f>
        <v>4 501-2000</v>
      </c>
      <c r="P87" s="2" t="n">
        <f aca="false">Lookups!$B$2*M87+Lookups!$B$3*L87</f>
        <v>0</v>
      </c>
      <c r="Q87" s="2" t="str">
        <f aca="false">INDEX(Lookups!$E$2:$E$5,MATCH(P87,Lookups!$D$2:$D$5,0))</f>
        <v>Low</v>
      </c>
    </row>
    <row r="88" customFormat="false" ht="15" hidden="false" customHeight="false" outlineLevel="0" collapsed="false">
      <c r="A88" s="3" t="n">
        <v>87</v>
      </c>
      <c r="B88" s="3" t="n">
        <f aca="false">Raw_Data!A88</f>
        <v>41</v>
      </c>
      <c r="C88" s="3" t="str">
        <f aca="false">SUBSTITUTE(Raw_Data!B88,".","")</f>
        <v>technician</v>
      </c>
      <c r="D88" s="3" t="str">
        <f aca="false">Raw_Data!C88</f>
        <v>single</v>
      </c>
      <c r="E88" s="3" t="str">
        <f aca="false">Raw_Data!D88</f>
        <v>secondary</v>
      </c>
      <c r="F88" s="3" t="str">
        <f aca="false">Raw_Data!E88</f>
        <v>no</v>
      </c>
      <c r="G88" s="3" t="n">
        <f aca="false">Raw_Data!F88</f>
        <v>879</v>
      </c>
      <c r="H88" s="3" t="str">
        <f aca="false">Raw_Data!G88</f>
        <v>no</v>
      </c>
      <c r="I88" s="3" t="str">
        <f aca="false">Raw_Data!H88</f>
        <v>yes</v>
      </c>
      <c r="J88" s="2" t="n">
        <f aca="false">IF(F88="yes",1,0)</f>
        <v>0</v>
      </c>
      <c r="K88" s="2" t="n">
        <f aca="false">IF(H88="yes",1,0)</f>
        <v>0</v>
      </c>
      <c r="L88" s="2" t="n">
        <f aca="false">IF(I88="yes",1,0)</f>
        <v>1</v>
      </c>
      <c r="M88" s="2" t="n">
        <f aca="false">IF(G88&lt;0,1,0)</f>
        <v>0</v>
      </c>
      <c r="N88" s="2" t="str">
        <f aca="false">_xlfn.IFS(B88&lt;30,"Under 30",B88&lt;40,"30-39",B88&lt;50,"40-49",B88&lt;60,"50-59",TRUE(),"60+")</f>
        <v>40-49</v>
      </c>
      <c r="O88" s="2" t="str">
        <f aca="false">_xlfn.IFS(G88&lt;0,"1 Negative",G88=0,"2 Zero",G88&lt;=500,"3 1-500",G88&lt;=2000,"4 501-2000",TRUE(),"5 Above 2000")</f>
        <v>4 501-2000</v>
      </c>
      <c r="P88" s="2" t="n">
        <f aca="false">Lookups!$B$2*M88+Lookups!$B$3*L88</f>
        <v>1</v>
      </c>
      <c r="Q88" s="2" t="str">
        <f aca="false">INDEX(Lookups!$E$2:$E$5,MATCH(P88,Lookups!$D$2:$D$5,0))</f>
        <v>Medium</v>
      </c>
    </row>
    <row r="89" customFormat="false" ht="15" hidden="false" customHeight="false" outlineLevel="0" collapsed="false">
      <c r="A89" s="3" t="n">
        <v>88</v>
      </c>
      <c r="B89" s="3" t="n">
        <f aca="false">Raw_Data!A89</f>
        <v>35</v>
      </c>
      <c r="C89" s="3" t="str">
        <f aca="false">SUBSTITUTE(Raw_Data!B89,".","")</f>
        <v>blue-collar</v>
      </c>
      <c r="D89" s="3" t="str">
        <f aca="false">Raw_Data!C89</f>
        <v>single</v>
      </c>
      <c r="E89" s="3" t="str">
        <f aca="false">Raw_Data!D89</f>
        <v>primary</v>
      </c>
      <c r="F89" s="3" t="str">
        <f aca="false">Raw_Data!E89</f>
        <v>no</v>
      </c>
      <c r="G89" s="3" t="n">
        <f aca="false">Raw_Data!F89</f>
        <v>293</v>
      </c>
      <c r="H89" s="3" t="str">
        <f aca="false">Raw_Data!G89</f>
        <v>yes</v>
      </c>
      <c r="I89" s="3" t="str">
        <f aca="false">Raw_Data!H89</f>
        <v>no</v>
      </c>
      <c r="J89" s="2" t="n">
        <f aca="false">IF(F89="yes",1,0)</f>
        <v>0</v>
      </c>
      <c r="K89" s="2" t="n">
        <f aca="false">IF(H89="yes",1,0)</f>
        <v>1</v>
      </c>
      <c r="L89" s="2" t="n">
        <f aca="false">IF(I89="yes",1,0)</f>
        <v>0</v>
      </c>
      <c r="M89" s="2" t="n">
        <f aca="false">IF(G89&lt;0,1,0)</f>
        <v>0</v>
      </c>
      <c r="N89" s="2" t="str">
        <f aca="false">_xlfn.IFS(B89&lt;30,"Under 30",B89&lt;40,"30-39",B89&lt;50,"40-49",B89&lt;60,"50-59",TRUE(),"60+")</f>
        <v>30-39</v>
      </c>
      <c r="O89" s="2" t="str">
        <f aca="false">_xlfn.IFS(G89&lt;0,"1 Negative",G89=0,"2 Zero",G89&lt;=500,"3 1-500",G89&lt;=2000,"4 501-2000",TRUE(),"5 Above 2000")</f>
        <v>3 1-500</v>
      </c>
      <c r="P89" s="2" t="n">
        <f aca="false">Lookups!$B$2*M89+Lookups!$B$3*L89</f>
        <v>0</v>
      </c>
      <c r="Q89" s="2" t="str">
        <f aca="false">INDEX(Lookups!$E$2:$E$5,MATCH(P89,Lookups!$D$2:$D$5,0))</f>
        <v>Low</v>
      </c>
    </row>
    <row r="90" customFormat="false" ht="15" hidden="false" customHeight="false" outlineLevel="0" collapsed="false">
      <c r="A90" s="3" t="n">
        <v>89</v>
      </c>
      <c r="B90" s="3" t="n">
        <f aca="false">Raw_Data!A90</f>
        <v>38</v>
      </c>
      <c r="C90" s="3" t="str">
        <f aca="false">SUBSTITUTE(Raw_Data!B90,".","")</f>
        <v>admin</v>
      </c>
      <c r="D90" s="3" t="str">
        <f aca="false">Raw_Data!C90</f>
        <v>married</v>
      </c>
      <c r="E90" s="3" t="str">
        <f aca="false">Raw_Data!D90</f>
        <v>secondary</v>
      </c>
      <c r="F90" s="3" t="str">
        <f aca="false">Raw_Data!E90</f>
        <v>no</v>
      </c>
      <c r="G90" s="3" t="n">
        <f aca="false">Raw_Data!F90</f>
        <v>424</v>
      </c>
      <c r="H90" s="3" t="str">
        <f aca="false">Raw_Data!G90</f>
        <v>yes</v>
      </c>
      <c r="I90" s="3" t="str">
        <f aca="false">Raw_Data!H90</f>
        <v>no</v>
      </c>
      <c r="J90" s="2" t="n">
        <f aca="false">IF(F90="yes",1,0)</f>
        <v>0</v>
      </c>
      <c r="K90" s="2" t="n">
        <f aca="false">IF(H90="yes",1,0)</f>
        <v>1</v>
      </c>
      <c r="L90" s="2" t="n">
        <f aca="false">IF(I90="yes",1,0)</f>
        <v>0</v>
      </c>
      <c r="M90" s="2" t="n">
        <f aca="false">IF(G90&lt;0,1,0)</f>
        <v>0</v>
      </c>
      <c r="N90" s="2" t="str">
        <f aca="false">_xlfn.IFS(B90&lt;30,"Under 30",B90&lt;40,"30-39",B90&lt;50,"40-49",B90&lt;60,"50-59",TRUE(),"60+")</f>
        <v>30-39</v>
      </c>
      <c r="O90" s="2" t="str">
        <f aca="false">_xlfn.IFS(G90&lt;0,"1 Negative",G90=0,"2 Zero",G90&lt;=500,"3 1-500",G90&lt;=2000,"4 501-2000",TRUE(),"5 Above 2000")</f>
        <v>3 1-500</v>
      </c>
      <c r="P90" s="2" t="n">
        <f aca="false">Lookups!$B$2*M90+Lookups!$B$3*L90</f>
        <v>0</v>
      </c>
      <c r="Q90" s="2" t="str">
        <f aca="false">INDEX(Lookups!$E$2:$E$5,MATCH(P90,Lookups!$D$2:$D$5,0))</f>
        <v>Low</v>
      </c>
    </row>
    <row r="91" customFormat="false" ht="15" hidden="false" customHeight="false" outlineLevel="0" collapsed="false">
      <c r="A91" s="3" t="n">
        <v>90</v>
      </c>
      <c r="B91" s="3" t="n">
        <f aca="false">Raw_Data!A91</f>
        <v>34</v>
      </c>
      <c r="C91" s="3" t="str">
        <f aca="false">SUBSTITUTE(Raw_Data!B91,".","")</f>
        <v>blue-collar</v>
      </c>
      <c r="D91" s="3" t="str">
        <f aca="false">Raw_Data!C91</f>
        <v>married</v>
      </c>
      <c r="E91" s="3" t="str">
        <f aca="false">Raw_Data!D91</f>
        <v>secondary</v>
      </c>
      <c r="F91" s="3" t="str">
        <f aca="false">Raw_Data!E91</f>
        <v>no</v>
      </c>
      <c r="G91" s="3" t="n">
        <f aca="false">Raw_Data!F91</f>
        <v>1831</v>
      </c>
      <c r="H91" s="3" t="str">
        <f aca="false">Raw_Data!G91</f>
        <v>yes</v>
      </c>
      <c r="I91" s="3" t="str">
        <f aca="false">Raw_Data!H91</f>
        <v>no</v>
      </c>
      <c r="J91" s="2" t="n">
        <f aca="false">IF(F91="yes",1,0)</f>
        <v>0</v>
      </c>
      <c r="K91" s="2" t="n">
        <f aca="false">IF(H91="yes",1,0)</f>
        <v>1</v>
      </c>
      <c r="L91" s="2" t="n">
        <f aca="false">IF(I91="yes",1,0)</f>
        <v>0</v>
      </c>
      <c r="M91" s="2" t="n">
        <f aca="false">IF(G91&lt;0,1,0)</f>
        <v>0</v>
      </c>
      <c r="N91" s="2" t="str">
        <f aca="false">_xlfn.IFS(B91&lt;30,"Under 30",B91&lt;40,"30-39",B91&lt;50,"40-49",B91&lt;60,"50-59",TRUE(),"60+")</f>
        <v>30-39</v>
      </c>
      <c r="O91" s="2" t="str">
        <f aca="false">_xlfn.IFS(G91&lt;0,"1 Negative",G91=0,"2 Zero",G91&lt;=500,"3 1-500",G91&lt;=2000,"4 501-2000",TRUE(),"5 Above 2000")</f>
        <v>4 501-2000</v>
      </c>
      <c r="P91" s="2" t="n">
        <f aca="false">Lookups!$B$2*M91+Lookups!$B$3*L91</f>
        <v>0</v>
      </c>
      <c r="Q91" s="2" t="str">
        <f aca="false">INDEX(Lookups!$E$2:$E$5,MATCH(P91,Lookups!$D$2:$D$5,0))</f>
        <v>Low</v>
      </c>
    </row>
    <row r="92" customFormat="false" ht="15" hidden="false" customHeight="false" outlineLevel="0" collapsed="false">
      <c r="A92" s="3" t="n">
        <v>91</v>
      </c>
      <c r="B92" s="3" t="n">
        <f aca="false">Raw_Data!A92</f>
        <v>39</v>
      </c>
      <c r="C92" s="3" t="str">
        <f aca="false">SUBSTITUTE(Raw_Data!B92,".","")</f>
        <v>blue-collar</v>
      </c>
      <c r="D92" s="3" t="str">
        <f aca="false">Raw_Data!C92</f>
        <v>married</v>
      </c>
      <c r="E92" s="3" t="str">
        <f aca="false">Raw_Data!D92</f>
        <v>primary</v>
      </c>
      <c r="F92" s="3" t="str">
        <f aca="false">Raw_Data!E92</f>
        <v>no</v>
      </c>
      <c r="G92" s="3" t="n">
        <f aca="false">Raw_Data!F92</f>
        <v>111</v>
      </c>
      <c r="H92" s="3" t="str">
        <f aca="false">Raw_Data!G92</f>
        <v>no</v>
      </c>
      <c r="I92" s="3" t="str">
        <f aca="false">Raw_Data!H92</f>
        <v>no</v>
      </c>
      <c r="J92" s="2" t="n">
        <f aca="false">IF(F92="yes",1,0)</f>
        <v>0</v>
      </c>
      <c r="K92" s="2" t="n">
        <f aca="false">IF(H92="yes",1,0)</f>
        <v>0</v>
      </c>
      <c r="L92" s="2" t="n">
        <f aca="false">IF(I92="yes",1,0)</f>
        <v>0</v>
      </c>
      <c r="M92" s="2" t="n">
        <f aca="false">IF(G92&lt;0,1,0)</f>
        <v>0</v>
      </c>
      <c r="N92" s="2" t="str">
        <f aca="false">_xlfn.IFS(B92&lt;30,"Under 30",B92&lt;40,"30-39",B92&lt;50,"40-49",B92&lt;60,"50-59",TRUE(),"60+")</f>
        <v>30-39</v>
      </c>
      <c r="O92" s="2" t="str">
        <f aca="false">_xlfn.IFS(G92&lt;0,"1 Negative",G92=0,"2 Zero",G92&lt;=500,"3 1-500",G92&lt;=2000,"4 501-2000",TRUE(),"5 Above 2000")</f>
        <v>3 1-500</v>
      </c>
      <c r="P92" s="2" t="n">
        <f aca="false">Lookups!$B$2*M92+Lookups!$B$3*L92</f>
        <v>0</v>
      </c>
      <c r="Q92" s="2" t="str">
        <f aca="false">INDEX(Lookups!$E$2:$E$5,MATCH(P92,Lookups!$D$2:$D$5,0))</f>
        <v>Low</v>
      </c>
    </row>
    <row r="93" customFormat="false" ht="15" hidden="false" customHeight="false" outlineLevel="0" collapsed="false">
      <c r="A93" s="3" t="n">
        <v>92</v>
      </c>
      <c r="B93" s="3" t="n">
        <f aca="false">Raw_Data!A93</f>
        <v>34</v>
      </c>
      <c r="C93" s="3" t="str">
        <f aca="false">SUBSTITUTE(Raw_Data!B93,".","")</f>
        <v>blue-collar</v>
      </c>
      <c r="D93" s="3" t="str">
        <f aca="false">Raw_Data!C93</f>
        <v>married</v>
      </c>
      <c r="E93" s="3" t="str">
        <f aca="false">Raw_Data!D93</f>
        <v>primary</v>
      </c>
      <c r="F93" s="3" t="str">
        <f aca="false">Raw_Data!E93</f>
        <v>no</v>
      </c>
      <c r="G93" s="3" t="n">
        <f aca="false">Raw_Data!F93</f>
        <v>455</v>
      </c>
      <c r="H93" s="3" t="str">
        <f aca="false">Raw_Data!G93</f>
        <v>yes</v>
      </c>
      <c r="I93" s="3" t="str">
        <f aca="false">Raw_Data!H93</f>
        <v>no</v>
      </c>
      <c r="J93" s="2" t="n">
        <f aca="false">IF(F93="yes",1,0)</f>
        <v>0</v>
      </c>
      <c r="K93" s="2" t="n">
        <f aca="false">IF(H93="yes",1,0)</f>
        <v>1</v>
      </c>
      <c r="L93" s="2" t="n">
        <f aca="false">IF(I93="yes",1,0)</f>
        <v>0</v>
      </c>
      <c r="M93" s="2" t="n">
        <f aca="false">IF(G93&lt;0,1,0)</f>
        <v>0</v>
      </c>
      <c r="N93" s="2" t="str">
        <f aca="false">_xlfn.IFS(B93&lt;30,"Under 30",B93&lt;40,"30-39",B93&lt;50,"40-49",B93&lt;60,"50-59",TRUE(),"60+")</f>
        <v>30-39</v>
      </c>
      <c r="O93" s="2" t="str">
        <f aca="false">_xlfn.IFS(G93&lt;0,"1 Negative",G93=0,"2 Zero",G93&lt;=500,"3 1-500",G93&lt;=2000,"4 501-2000",TRUE(),"5 Above 2000")</f>
        <v>3 1-500</v>
      </c>
      <c r="P93" s="2" t="n">
        <f aca="false">Lookups!$B$2*M93+Lookups!$B$3*L93</f>
        <v>0</v>
      </c>
      <c r="Q93" s="2" t="str">
        <f aca="false">INDEX(Lookups!$E$2:$E$5,MATCH(P93,Lookups!$D$2:$D$5,0))</f>
        <v>Low</v>
      </c>
    </row>
    <row r="94" customFormat="false" ht="15" hidden="false" customHeight="false" outlineLevel="0" collapsed="false">
      <c r="A94" s="3" t="n">
        <v>93</v>
      </c>
      <c r="B94" s="3" t="n">
        <f aca="false">Raw_Data!A94</f>
        <v>27</v>
      </c>
      <c r="C94" s="3" t="str">
        <f aca="false">SUBSTITUTE(Raw_Data!B94,".","")</f>
        <v>services</v>
      </c>
      <c r="D94" s="3" t="str">
        <f aca="false">Raw_Data!C94</f>
        <v>single</v>
      </c>
      <c r="E94" s="3" t="str">
        <f aca="false">Raw_Data!D94</f>
        <v>secondary</v>
      </c>
      <c r="F94" s="3" t="str">
        <f aca="false">Raw_Data!E94</f>
        <v>no</v>
      </c>
      <c r="G94" s="3" t="n">
        <f aca="false">Raw_Data!F94</f>
        <v>-195</v>
      </c>
      <c r="H94" s="3" t="str">
        <f aca="false">Raw_Data!G94</f>
        <v>yes</v>
      </c>
      <c r="I94" s="3" t="str">
        <f aca="false">Raw_Data!H94</f>
        <v>no</v>
      </c>
      <c r="J94" s="2" t="n">
        <f aca="false">IF(F94="yes",1,0)</f>
        <v>0</v>
      </c>
      <c r="K94" s="2" t="n">
        <f aca="false">IF(H94="yes",1,0)</f>
        <v>1</v>
      </c>
      <c r="L94" s="2" t="n">
        <f aca="false">IF(I94="yes",1,0)</f>
        <v>0</v>
      </c>
      <c r="M94" s="2" t="n">
        <f aca="false">IF(G94&lt;0,1,0)</f>
        <v>1</v>
      </c>
      <c r="N94" s="2" t="str">
        <f aca="false">_xlfn.IFS(B94&lt;30,"Under 30",B94&lt;40,"30-39",B94&lt;50,"40-49",B94&lt;60,"50-59",TRUE(),"60+")</f>
        <v>Under 30</v>
      </c>
      <c r="O94" s="2" t="str">
        <f aca="false">_xlfn.IFS(G94&lt;0,"1 Negative",G94=0,"2 Zero",G94&lt;=500,"3 1-500",G94&lt;=2000,"4 501-2000",TRUE(),"5 Above 2000")</f>
        <v>1 Negative</v>
      </c>
      <c r="P94" s="2" t="n">
        <f aca="false">Lookups!$B$2*M94+Lookups!$B$3*L94</f>
        <v>2</v>
      </c>
      <c r="Q94" s="2" t="str">
        <f aca="false">INDEX(Lookups!$E$2:$E$5,MATCH(P94,Lookups!$D$2:$D$5,0))</f>
        <v>High</v>
      </c>
    </row>
    <row r="95" customFormat="false" ht="15" hidden="false" customHeight="false" outlineLevel="0" collapsed="false">
      <c r="A95" s="3" t="n">
        <v>94</v>
      </c>
      <c r="B95" s="3" t="n">
        <f aca="false">Raw_Data!A95</f>
        <v>32</v>
      </c>
      <c r="C95" s="3" t="str">
        <f aca="false">SUBSTITUTE(Raw_Data!B95,".","")</f>
        <v>management</v>
      </c>
      <c r="D95" s="3" t="str">
        <f aca="false">Raw_Data!C95</f>
        <v>single</v>
      </c>
      <c r="E95" s="3" t="str">
        <f aca="false">Raw_Data!D95</f>
        <v>tertiary</v>
      </c>
      <c r="F95" s="3" t="str">
        <f aca="false">Raw_Data!E95</f>
        <v>no</v>
      </c>
      <c r="G95" s="3" t="n">
        <f aca="false">Raw_Data!F95</f>
        <v>3616</v>
      </c>
      <c r="H95" s="3" t="str">
        <f aca="false">Raw_Data!G95</f>
        <v>no</v>
      </c>
      <c r="I95" s="3" t="str">
        <f aca="false">Raw_Data!H95</f>
        <v>no</v>
      </c>
      <c r="J95" s="2" t="n">
        <f aca="false">IF(F95="yes",1,0)</f>
        <v>0</v>
      </c>
      <c r="K95" s="2" t="n">
        <f aca="false">IF(H95="yes",1,0)</f>
        <v>0</v>
      </c>
      <c r="L95" s="2" t="n">
        <f aca="false">IF(I95="yes",1,0)</f>
        <v>0</v>
      </c>
      <c r="M95" s="2" t="n">
        <f aca="false">IF(G95&lt;0,1,0)</f>
        <v>0</v>
      </c>
      <c r="N95" s="2" t="str">
        <f aca="false">_xlfn.IFS(B95&lt;30,"Under 30",B95&lt;40,"30-39",B95&lt;50,"40-49",B95&lt;60,"50-59",TRUE(),"60+")</f>
        <v>30-39</v>
      </c>
      <c r="O95" s="2" t="str">
        <f aca="false">_xlfn.IFS(G95&lt;0,"1 Negative",G95=0,"2 Zero",G95&lt;=500,"3 1-500",G95&lt;=2000,"4 501-2000",TRUE(),"5 Above 2000")</f>
        <v>5 Above 2000</v>
      </c>
      <c r="P95" s="2" t="n">
        <f aca="false">Lookups!$B$2*M95+Lookups!$B$3*L95</f>
        <v>0</v>
      </c>
      <c r="Q95" s="2" t="str">
        <f aca="false">INDEX(Lookups!$E$2:$E$5,MATCH(P95,Lookups!$D$2:$D$5,0))</f>
        <v>Low</v>
      </c>
    </row>
    <row r="96" customFormat="false" ht="15" hidden="false" customHeight="false" outlineLevel="0" collapsed="false">
      <c r="A96" s="3" t="n">
        <v>95</v>
      </c>
      <c r="B96" s="3" t="n">
        <f aca="false">Raw_Data!A96</f>
        <v>57</v>
      </c>
      <c r="C96" s="3" t="str">
        <f aca="false">SUBSTITUTE(Raw_Data!B96,".","")</f>
        <v>blue-collar</v>
      </c>
      <c r="D96" s="3" t="str">
        <f aca="false">Raw_Data!C96</f>
        <v>married</v>
      </c>
      <c r="E96" s="3" t="str">
        <f aca="false">Raw_Data!D96</f>
        <v>secondary</v>
      </c>
      <c r="F96" s="3" t="str">
        <f aca="false">Raw_Data!E96</f>
        <v>no</v>
      </c>
      <c r="G96" s="3" t="n">
        <f aca="false">Raw_Data!F96</f>
        <v>14093</v>
      </c>
      <c r="H96" s="3" t="str">
        <f aca="false">Raw_Data!G96</f>
        <v>no</v>
      </c>
      <c r="I96" s="3" t="str">
        <f aca="false">Raw_Data!H96</f>
        <v>no</v>
      </c>
      <c r="J96" s="2" t="n">
        <f aca="false">IF(F96="yes",1,0)</f>
        <v>0</v>
      </c>
      <c r="K96" s="2" t="n">
        <f aca="false">IF(H96="yes",1,0)</f>
        <v>0</v>
      </c>
      <c r="L96" s="2" t="n">
        <f aca="false">IF(I96="yes",1,0)</f>
        <v>0</v>
      </c>
      <c r="M96" s="2" t="n">
        <f aca="false">IF(G96&lt;0,1,0)</f>
        <v>0</v>
      </c>
      <c r="N96" s="2" t="str">
        <f aca="false">_xlfn.IFS(B96&lt;30,"Under 30",B96&lt;40,"30-39",B96&lt;50,"40-49",B96&lt;60,"50-59",TRUE(),"60+")</f>
        <v>50-59</v>
      </c>
      <c r="O96" s="2" t="str">
        <f aca="false">_xlfn.IFS(G96&lt;0,"1 Negative",G96=0,"2 Zero",G96&lt;=500,"3 1-500",G96&lt;=2000,"4 501-2000",TRUE(),"5 Above 2000")</f>
        <v>5 Above 2000</v>
      </c>
      <c r="P96" s="2" t="n">
        <f aca="false">Lookups!$B$2*M96+Lookups!$B$3*L96</f>
        <v>0</v>
      </c>
      <c r="Q96" s="2" t="str">
        <f aca="false">INDEX(Lookups!$E$2:$E$5,MATCH(P96,Lookups!$D$2:$D$5,0))</f>
        <v>Low</v>
      </c>
    </row>
    <row r="97" customFormat="false" ht="15" hidden="false" customHeight="false" outlineLevel="0" collapsed="false">
      <c r="A97" s="3" t="n">
        <v>96</v>
      </c>
      <c r="B97" s="3" t="n">
        <f aca="false">Raw_Data!A97</f>
        <v>41</v>
      </c>
      <c r="C97" s="3" t="str">
        <f aca="false">SUBSTITUTE(Raw_Data!B97,".","")</f>
        <v>unknown</v>
      </c>
      <c r="D97" s="3" t="str">
        <f aca="false">Raw_Data!C97</f>
        <v>single</v>
      </c>
      <c r="E97" s="3" t="str">
        <f aca="false">Raw_Data!D97</f>
        <v>tertiary</v>
      </c>
      <c r="F97" s="3" t="str">
        <f aca="false">Raw_Data!E97</f>
        <v>no</v>
      </c>
      <c r="G97" s="3" t="n">
        <f aca="false">Raw_Data!F97</f>
        <v>1567</v>
      </c>
      <c r="H97" s="3" t="str">
        <f aca="false">Raw_Data!G97</f>
        <v>no</v>
      </c>
      <c r="I97" s="3" t="str">
        <f aca="false">Raw_Data!H97</f>
        <v>no</v>
      </c>
      <c r="J97" s="2" t="n">
        <f aca="false">IF(F97="yes",1,0)</f>
        <v>0</v>
      </c>
      <c r="K97" s="2" t="n">
        <f aca="false">IF(H97="yes",1,0)</f>
        <v>0</v>
      </c>
      <c r="L97" s="2" t="n">
        <f aca="false">IF(I97="yes",1,0)</f>
        <v>0</v>
      </c>
      <c r="M97" s="2" t="n">
        <f aca="false">IF(G97&lt;0,1,0)</f>
        <v>0</v>
      </c>
      <c r="N97" s="2" t="str">
        <f aca="false">_xlfn.IFS(B97&lt;30,"Under 30",B97&lt;40,"30-39",B97&lt;50,"40-49",B97&lt;60,"50-59",TRUE(),"60+")</f>
        <v>40-49</v>
      </c>
      <c r="O97" s="2" t="str">
        <f aca="false">_xlfn.IFS(G97&lt;0,"1 Negative",G97=0,"2 Zero",G97&lt;=500,"3 1-500",G97&lt;=2000,"4 501-2000",TRUE(),"5 Above 2000")</f>
        <v>4 501-2000</v>
      </c>
      <c r="P97" s="2" t="n">
        <f aca="false">Lookups!$B$2*M97+Lookups!$B$3*L97</f>
        <v>0</v>
      </c>
      <c r="Q97" s="2" t="str">
        <f aca="false">INDEX(Lookups!$E$2:$E$5,MATCH(P97,Lookups!$D$2:$D$5,0))</f>
        <v>Low</v>
      </c>
    </row>
    <row r="98" customFormat="false" ht="15" hidden="false" customHeight="false" outlineLevel="0" collapsed="false">
      <c r="A98" s="3" t="n">
        <v>97</v>
      </c>
      <c r="B98" s="3" t="n">
        <f aca="false">Raw_Data!A98</f>
        <v>41</v>
      </c>
      <c r="C98" s="3" t="str">
        <f aca="false">SUBSTITUTE(Raw_Data!B98,".","")</f>
        <v>admin</v>
      </c>
      <c r="D98" s="3" t="str">
        <f aca="false">Raw_Data!C98</f>
        <v>married</v>
      </c>
      <c r="E98" s="3" t="str">
        <f aca="false">Raw_Data!D98</f>
        <v>tertiary</v>
      </c>
      <c r="F98" s="3" t="str">
        <f aca="false">Raw_Data!E98</f>
        <v>no</v>
      </c>
      <c r="G98" s="3" t="n">
        <f aca="false">Raw_Data!F98</f>
        <v>5426</v>
      </c>
      <c r="H98" s="3" t="str">
        <f aca="false">Raw_Data!G98</f>
        <v>yes</v>
      </c>
      <c r="I98" s="3" t="str">
        <f aca="false">Raw_Data!H98</f>
        <v>no</v>
      </c>
      <c r="J98" s="2" t="n">
        <f aca="false">IF(F98="yes",1,0)</f>
        <v>0</v>
      </c>
      <c r="K98" s="2" t="n">
        <f aca="false">IF(H98="yes",1,0)</f>
        <v>1</v>
      </c>
      <c r="L98" s="2" t="n">
        <f aca="false">IF(I98="yes",1,0)</f>
        <v>0</v>
      </c>
      <c r="M98" s="2" t="n">
        <f aca="false">IF(G98&lt;0,1,0)</f>
        <v>0</v>
      </c>
      <c r="N98" s="2" t="str">
        <f aca="false">_xlfn.IFS(B98&lt;30,"Under 30",B98&lt;40,"30-39",B98&lt;50,"40-49",B98&lt;60,"50-59",TRUE(),"60+")</f>
        <v>40-49</v>
      </c>
      <c r="O98" s="2" t="str">
        <f aca="false">_xlfn.IFS(G98&lt;0,"1 Negative",G98=0,"2 Zero",G98&lt;=500,"3 1-500",G98&lt;=2000,"4 501-2000",TRUE(),"5 Above 2000")</f>
        <v>5 Above 2000</v>
      </c>
      <c r="P98" s="2" t="n">
        <f aca="false">Lookups!$B$2*M98+Lookups!$B$3*L98</f>
        <v>0</v>
      </c>
      <c r="Q98" s="2" t="str">
        <f aca="false">INDEX(Lookups!$E$2:$E$5,MATCH(P98,Lookups!$D$2:$D$5,0))</f>
        <v>Low</v>
      </c>
    </row>
    <row r="99" customFormat="false" ht="15" hidden="false" customHeight="false" outlineLevel="0" collapsed="false">
      <c r="A99" s="3" t="n">
        <v>98</v>
      </c>
      <c r="B99" s="3" t="n">
        <f aca="false">Raw_Data!A99</f>
        <v>30</v>
      </c>
      <c r="C99" s="3" t="str">
        <f aca="false">SUBSTITUTE(Raw_Data!B99,".","")</f>
        <v>admin</v>
      </c>
      <c r="D99" s="3" t="str">
        <f aca="false">Raw_Data!C99</f>
        <v>single</v>
      </c>
      <c r="E99" s="3" t="str">
        <f aca="false">Raw_Data!D99</f>
        <v>tertiary</v>
      </c>
      <c r="F99" s="3" t="str">
        <f aca="false">Raw_Data!E99</f>
        <v>no</v>
      </c>
      <c r="G99" s="3" t="n">
        <f aca="false">Raw_Data!F99</f>
        <v>261</v>
      </c>
      <c r="H99" s="3" t="str">
        <f aca="false">Raw_Data!G99</f>
        <v>no</v>
      </c>
      <c r="I99" s="3" t="str">
        <f aca="false">Raw_Data!H99</f>
        <v>no</v>
      </c>
      <c r="J99" s="2" t="n">
        <f aca="false">IF(F99="yes",1,0)</f>
        <v>0</v>
      </c>
      <c r="K99" s="2" t="n">
        <f aca="false">IF(H99="yes",1,0)</f>
        <v>0</v>
      </c>
      <c r="L99" s="2" t="n">
        <f aca="false">IF(I99="yes",1,0)</f>
        <v>0</v>
      </c>
      <c r="M99" s="2" t="n">
        <f aca="false">IF(G99&lt;0,1,0)</f>
        <v>0</v>
      </c>
      <c r="N99" s="2" t="str">
        <f aca="false">_xlfn.IFS(B99&lt;30,"Under 30",B99&lt;40,"30-39",B99&lt;50,"40-49",B99&lt;60,"50-59",TRUE(),"60+")</f>
        <v>30-39</v>
      </c>
      <c r="O99" s="2" t="str">
        <f aca="false">_xlfn.IFS(G99&lt;0,"1 Negative",G99=0,"2 Zero",G99&lt;=500,"3 1-500",G99&lt;=2000,"4 501-2000",TRUE(),"5 Above 2000")</f>
        <v>3 1-500</v>
      </c>
      <c r="P99" s="2" t="n">
        <f aca="false">Lookups!$B$2*M99+Lookups!$B$3*L99</f>
        <v>0</v>
      </c>
      <c r="Q99" s="2" t="str">
        <f aca="false">INDEX(Lookups!$E$2:$E$5,MATCH(P99,Lookups!$D$2:$D$5,0))</f>
        <v>Low</v>
      </c>
    </row>
    <row r="100" customFormat="false" ht="15" hidden="false" customHeight="false" outlineLevel="0" collapsed="false">
      <c r="A100" s="3" t="n">
        <v>99</v>
      </c>
      <c r="B100" s="3" t="n">
        <f aca="false">Raw_Data!A100</f>
        <v>36</v>
      </c>
      <c r="C100" s="3" t="str">
        <f aca="false">SUBSTITUTE(Raw_Data!B100,".","")</f>
        <v>blue-collar</v>
      </c>
      <c r="D100" s="3" t="str">
        <f aca="false">Raw_Data!C100</f>
        <v>divorced</v>
      </c>
      <c r="E100" s="3" t="str">
        <f aca="false">Raw_Data!D100</f>
        <v>secondary</v>
      </c>
      <c r="F100" s="3" t="str">
        <f aca="false">Raw_Data!E100</f>
        <v>no</v>
      </c>
      <c r="G100" s="3" t="n">
        <f aca="false">Raw_Data!F100</f>
        <v>2843</v>
      </c>
      <c r="H100" s="3" t="str">
        <f aca="false">Raw_Data!G100</f>
        <v>no</v>
      </c>
      <c r="I100" s="3" t="str">
        <f aca="false">Raw_Data!H100</f>
        <v>no</v>
      </c>
      <c r="J100" s="2" t="n">
        <f aca="false">IF(F100="yes",1,0)</f>
        <v>0</v>
      </c>
      <c r="K100" s="2" t="n">
        <f aca="false">IF(H100="yes",1,0)</f>
        <v>0</v>
      </c>
      <c r="L100" s="2" t="n">
        <f aca="false">IF(I100="yes",1,0)</f>
        <v>0</v>
      </c>
      <c r="M100" s="2" t="n">
        <f aca="false">IF(G100&lt;0,1,0)</f>
        <v>0</v>
      </c>
      <c r="N100" s="2" t="str">
        <f aca="false">_xlfn.IFS(B100&lt;30,"Under 30",B100&lt;40,"30-39",B100&lt;50,"40-49",B100&lt;60,"50-59",TRUE(),"60+")</f>
        <v>30-39</v>
      </c>
      <c r="O100" s="2" t="str">
        <f aca="false">_xlfn.IFS(G100&lt;0,"1 Negative",G100=0,"2 Zero",G100&lt;=500,"3 1-500",G100&lt;=2000,"4 501-2000",TRUE(),"5 Above 2000")</f>
        <v>5 Above 2000</v>
      </c>
      <c r="P100" s="2" t="n">
        <f aca="false">Lookups!$B$2*M100+Lookups!$B$3*L100</f>
        <v>0</v>
      </c>
      <c r="Q100" s="2" t="str">
        <f aca="false">INDEX(Lookups!$E$2:$E$5,MATCH(P100,Lookups!$D$2:$D$5,0))</f>
        <v>Low</v>
      </c>
    </row>
    <row r="101" customFormat="false" ht="15" hidden="false" customHeight="false" outlineLevel="0" collapsed="false">
      <c r="A101" s="3" t="n">
        <v>100</v>
      </c>
      <c r="B101" s="3" t="n">
        <f aca="false">Raw_Data!A101</f>
        <v>31</v>
      </c>
      <c r="C101" s="3" t="str">
        <f aca="false">SUBSTITUTE(Raw_Data!B101,".","")</f>
        <v>unemployed</v>
      </c>
      <c r="D101" s="3" t="str">
        <f aca="false">Raw_Data!C101</f>
        <v>single</v>
      </c>
      <c r="E101" s="3" t="str">
        <f aca="false">Raw_Data!D101</f>
        <v>primary</v>
      </c>
      <c r="F101" s="3" t="str">
        <f aca="false">Raw_Data!E101</f>
        <v>no</v>
      </c>
      <c r="G101" s="3" t="n">
        <f aca="false">Raw_Data!F101</f>
        <v>406</v>
      </c>
      <c r="H101" s="3" t="str">
        <f aca="false">Raw_Data!G101</f>
        <v>no</v>
      </c>
      <c r="I101" s="3" t="str">
        <f aca="false">Raw_Data!H101</f>
        <v>no</v>
      </c>
      <c r="J101" s="2" t="n">
        <f aca="false">IF(F101="yes",1,0)</f>
        <v>0</v>
      </c>
      <c r="K101" s="2" t="n">
        <f aca="false">IF(H101="yes",1,0)</f>
        <v>0</v>
      </c>
      <c r="L101" s="2" t="n">
        <f aca="false">IF(I101="yes",1,0)</f>
        <v>0</v>
      </c>
      <c r="M101" s="2" t="n">
        <f aca="false">IF(G101&lt;0,1,0)</f>
        <v>0</v>
      </c>
      <c r="N101" s="2" t="str">
        <f aca="false">_xlfn.IFS(B101&lt;30,"Under 30",B101&lt;40,"30-39",B101&lt;50,"40-49",B101&lt;60,"50-59",TRUE(),"60+")</f>
        <v>30-39</v>
      </c>
      <c r="O101" s="2" t="str">
        <f aca="false">_xlfn.IFS(G101&lt;0,"1 Negative",G101=0,"2 Zero",G101&lt;=500,"3 1-500",G101&lt;=2000,"4 501-2000",TRUE(),"5 Above 2000")</f>
        <v>3 1-500</v>
      </c>
      <c r="P101" s="2" t="n">
        <f aca="false">Lookups!$B$2*M101+Lookups!$B$3*L101</f>
        <v>0</v>
      </c>
      <c r="Q101" s="2" t="str">
        <f aca="false">INDEX(Lookups!$E$2:$E$5,MATCH(P101,Lookups!$D$2:$D$5,0))</f>
        <v>Low</v>
      </c>
    </row>
    <row r="102" customFormat="false" ht="15" hidden="false" customHeight="false" outlineLevel="0" collapsed="false">
      <c r="A102" s="3" t="n">
        <v>101</v>
      </c>
      <c r="B102" s="3" t="n">
        <f aca="false">Raw_Data!A102</f>
        <v>36</v>
      </c>
      <c r="C102" s="3" t="str">
        <f aca="false">SUBSTITUTE(Raw_Data!B102,".","")</f>
        <v>blue-collar</v>
      </c>
      <c r="D102" s="3" t="str">
        <f aca="false">Raw_Data!C102</f>
        <v>married</v>
      </c>
      <c r="E102" s="3" t="str">
        <f aca="false">Raw_Data!D102</f>
        <v>secondary</v>
      </c>
      <c r="F102" s="3" t="str">
        <f aca="false">Raw_Data!E102</f>
        <v>no</v>
      </c>
      <c r="G102" s="3" t="n">
        <f aca="false">Raw_Data!F102</f>
        <v>0</v>
      </c>
      <c r="H102" s="3" t="str">
        <f aca="false">Raw_Data!G102</f>
        <v>yes</v>
      </c>
      <c r="I102" s="3" t="str">
        <f aca="false">Raw_Data!H102</f>
        <v>no</v>
      </c>
      <c r="J102" s="2" t="n">
        <f aca="false">IF(F102="yes",1,0)</f>
        <v>0</v>
      </c>
      <c r="K102" s="2" t="n">
        <f aca="false">IF(H102="yes",1,0)</f>
        <v>1</v>
      </c>
      <c r="L102" s="2" t="n">
        <f aca="false">IF(I102="yes",1,0)</f>
        <v>0</v>
      </c>
      <c r="M102" s="2" t="n">
        <f aca="false">IF(G102&lt;0,1,0)</f>
        <v>0</v>
      </c>
      <c r="N102" s="2" t="str">
        <f aca="false">_xlfn.IFS(B102&lt;30,"Under 30",B102&lt;40,"30-39",B102&lt;50,"40-49",B102&lt;60,"50-59",TRUE(),"60+")</f>
        <v>30-39</v>
      </c>
      <c r="O102" s="2" t="str">
        <f aca="false">_xlfn.IFS(G102&lt;0,"1 Negative",G102=0,"2 Zero",G102&lt;=500,"3 1-500",G102&lt;=2000,"4 501-2000",TRUE(),"5 Above 2000")</f>
        <v>2 Zero</v>
      </c>
      <c r="P102" s="2" t="n">
        <f aca="false">Lookups!$B$2*M102+Lookups!$B$3*L102</f>
        <v>0</v>
      </c>
      <c r="Q102" s="2" t="str">
        <f aca="false">INDEX(Lookups!$E$2:$E$5,MATCH(P102,Lookups!$D$2:$D$5,0))</f>
        <v>Low</v>
      </c>
    </row>
    <row r="103" customFormat="false" ht="15" hidden="false" customHeight="false" outlineLevel="0" collapsed="false">
      <c r="A103" s="3" t="n">
        <v>102</v>
      </c>
      <c r="B103" s="3" t="n">
        <f aca="false">Raw_Data!A103</f>
        <v>38</v>
      </c>
      <c r="C103" s="3" t="str">
        <f aca="false">SUBSTITUTE(Raw_Data!B103,".","")</f>
        <v>management</v>
      </c>
      <c r="D103" s="3" t="str">
        <f aca="false">Raw_Data!C103</f>
        <v>single</v>
      </c>
      <c r="E103" s="3" t="str">
        <f aca="false">Raw_Data!D103</f>
        <v>tertiary</v>
      </c>
      <c r="F103" s="3" t="str">
        <f aca="false">Raw_Data!E103</f>
        <v>no</v>
      </c>
      <c r="G103" s="3" t="n">
        <f aca="false">Raw_Data!F103</f>
        <v>493</v>
      </c>
      <c r="H103" s="3" t="str">
        <f aca="false">Raw_Data!G103</f>
        <v>yes</v>
      </c>
      <c r="I103" s="3" t="str">
        <f aca="false">Raw_Data!H103</f>
        <v>no</v>
      </c>
      <c r="J103" s="2" t="n">
        <f aca="false">IF(F103="yes",1,0)</f>
        <v>0</v>
      </c>
      <c r="K103" s="2" t="n">
        <f aca="false">IF(H103="yes",1,0)</f>
        <v>1</v>
      </c>
      <c r="L103" s="2" t="n">
        <f aca="false">IF(I103="yes",1,0)</f>
        <v>0</v>
      </c>
      <c r="M103" s="2" t="n">
        <f aca="false">IF(G103&lt;0,1,0)</f>
        <v>0</v>
      </c>
      <c r="N103" s="2" t="str">
        <f aca="false">_xlfn.IFS(B103&lt;30,"Under 30",B103&lt;40,"30-39",B103&lt;50,"40-49",B103&lt;60,"50-59",TRUE(),"60+")</f>
        <v>30-39</v>
      </c>
      <c r="O103" s="2" t="str">
        <f aca="false">_xlfn.IFS(G103&lt;0,"1 Negative",G103=0,"2 Zero",G103&lt;=500,"3 1-500",G103&lt;=2000,"4 501-2000",TRUE(),"5 Above 2000")</f>
        <v>3 1-500</v>
      </c>
      <c r="P103" s="2" t="n">
        <f aca="false">Lookups!$B$2*M103+Lookups!$B$3*L103</f>
        <v>0</v>
      </c>
      <c r="Q103" s="2" t="str">
        <f aca="false">INDEX(Lookups!$E$2:$E$5,MATCH(P103,Lookups!$D$2:$D$5,0))</f>
        <v>Low</v>
      </c>
    </row>
    <row r="104" customFormat="false" ht="15" hidden="false" customHeight="false" outlineLevel="0" collapsed="false">
      <c r="A104" s="3" t="n">
        <v>103</v>
      </c>
      <c r="B104" s="3" t="n">
        <f aca="false">Raw_Data!A104</f>
        <v>49</v>
      </c>
      <c r="C104" s="3" t="str">
        <f aca="false">SUBSTITUTE(Raw_Data!B104,".","")</f>
        <v>technician</v>
      </c>
      <c r="D104" s="3" t="str">
        <f aca="false">Raw_Data!C104</f>
        <v>married</v>
      </c>
      <c r="E104" s="3" t="str">
        <f aca="false">Raw_Data!D104</f>
        <v>secondary</v>
      </c>
      <c r="F104" s="3" t="str">
        <f aca="false">Raw_Data!E104</f>
        <v>no</v>
      </c>
      <c r="G104" s="3" t="n">
        <f aca="false">Raw_Data!F104</f>
        <v>5996</v>
      </c>
      <c r="H104" s="3" t="str">
        <f aca="false">Raw_Data!G104</f>
        <v>no</v>
      </c>
      <c r="I104" s="3" t="str">
        <f aca="false">Raw_Data!H104</f>
        <v>no</v>
      </c>
      <c r="J104" s="2" t="n">
        <f aca="false">IF(F104="yes",1,0)</f>
        <v>0</v>
      </c>
      <c r="K104" s="2" t="n">
        <f aca="false">IF(H104="yes",1,0)</f>
        <v>0</v>
      </c>
      <c r="L104" s="2" t="n">
        <f aca="false">IF(I104="yes",1,0)</f>
        <v>0</v>
      </c>
      <c r="M104" s="2" t="n">
        <f aca="false">IF(G104&lt;0,1,0)</f>
        <v>0</v>
      </c>
      <c r="N104" s="2" t="str">
        <f aca="false">_xlfn.IFS(B104&lt;30,"Under 30",B104&lt;40,"30-39",B104&lt;50,"40-49",B104&lt;60,"50-59",TRUE(),"60+")</f>
        <v>40-49</v>
      </c>
      <c r="O104" s="2" t="str">
        <f aca="false">_xlfn.IFS(G104&lt;0,"1 Negative",G104=0,"2 Zero",G104&lt;=500,"3 1-500",G104&lt;=2000,"4 501-2000",TRUE(),"5 Above 2000")</f>
        <v>5 Above 2000</v>
      </c>
      <c r="P104" s="2" t="n">
        <f aca="false">Lookups!$B$2*M104+Lookups!$B$3*L104</f>
        <v>0</v>
      </c>
      <c r="Q104" s="2" t="str">
        <f aca="false">INDEX(Lookups!$E$2:$E$5,MATCH(P104,Lookups!$D$2:$D$5,0))</f>
        <v>Low</v>
      </c>
    </row>
    <row r="105" customFormat="false" ht="15" hidden="false" customHeight="false" outlineLevel="0" collapsed="false">
      <c r="A105" s="3" t="n">
        <v>104</v>
      </c>
      <c r="B105" s="3" t="n">
        <f aca="false">Raw_Data!A105</f>
        <v>57</v>
      </c>
      <c r="C105" s="3" t="str">
        <f aca="false">SUBSTITUTE(Raw_Data!B105,".","")</f>
        <v>services</v>
      </c>
      <c r="D105" s="3" t="str">
        <f aca="false">Raw_Data!C105</f>
        <v>single</v>
      </c>
      <c r="E105" s="3" t="str">
        <f aca="false">Raw_Data!D105</f>
        <v>primary</v>
      </c>
      <c r="F105" s="3" t="str">
        <f aca="false">Raw_Data!E105</f>
        <v>no</v>
      </c>
      <c r="G105" s="3" t="n">
        <f aca="false">Raw_Data!F105</f>
        <v>3777</v>
      </c>
      <c r="H105" s="3" t="str">
        <f aca="false">Raw_Data!G105</f>
        <v>yes</v>
      </c>
      <c r="I105" s="3" t="str">
        <f aca="false">Raw_Data!H105</f>
        <v>no</v>
      </c>
      <c r="J105" s="2" t="n">
        <f aca="false">IF(F105="yes",1,0)</f>
        <v>0</v>
      </c>
      <c r="K105" s="2" t="n">
        <f aca="false">IF(H105="yes",1,0)</f>
        <v>1</v>
      </c>
      <c r="L105" s="2" t="n">
        <f aca="false">IF(I105="yes",1,0)</f>
        <v>0</v>
      </c>
      <c r="M105" s="2" t="n">
        <f aca="false">IF(G105&lt;0,1,0)</f>
        <v>0</v>
      </c>
      <c r="N105" s="2" t="str">
        <f aca="false">_xlfn.IFS(B105&lt;30,"Under 30",B105&lt;40,"30-39",B105&lt;50,"40-49",B105&lt;60,"50-59",TRUE(),"60+")</f>
        <v>50-59</v>
      </c>
      <c r="O105" s="2" t="str">
        <f aca="false">_xlfn.IFS(G105&lt;0,"1 Negative",G105=0,"2 Zero",G105&lt;=500,"3 1-500",G105&lt;=2000,"4 501-2000",TRUE(),"5 Above 2000")</f>
        <v>5 Above 2000</v>
      </c>
      <c r="P105" s="2" t="n">
        <f aca="false">Lookups!$B$2*M105+Lookups!$B$3*L105</f>
        <v>0</v>
      </c>
      <c r="Q105" s="2" t="str">
        <f aca="false">INDEX(Lookups!$E$2:$E$5,MATCH(P105,Lookups!$D$2:$D$5,0))</f>
        <v>Low</v>
      </c>
    </row>
    <row r="106" customFormat="false" ht="15" hidden="false" customHeight="false" outlineLevel="0" collapsed="false">
      <c r="A106" s="3" t="n">
        <v>105</v>
      </c>
      <c r="B106" s="3" t="n">
        <f aca="false">Raw_Data!A106</f>
        <v>34</v>
      </c>
      <c r="C106" s="3" t="str">
        <f aca="false">SUBSTITUTE(Raw_Data!B106,".","")</f>
        <v>management</v>
      </c>
      <c r="D106" s="3" t="str">
        <f aca="false">Raw_Data!C106</f>
        <v>single</v>
      </c>
      <c r="E106" s="3" t="str">
        <f aca="false">Raw_Data!D106</f>
        <v>secondary</v>
      </c>
      <c r="F106" s="3" t="str">
        <f aca="false">Raw_Data!E106</f>
        <v>no</v>
      </c>
      <c r="G106" s="3" t="n">
        <f aca="false">Raw_Data!F106</f>
        <v>524</v>
      </c>
      <c r="H106" s="3" t="str">
        <f aca="false">Raw_Data!G106</f>
        <v>no</v>
      </c>
      <c r="I106" s="3" t="str">
        <f aca="false">Raw_Data!H106</f>
        <v>no</v>
      </c>
      <c r="J106" s="2" t="n">
        <f aca="false">IF(F106="yes",1,0)</f>
        <v>0</v>
      </c>
      <c r="K106" s="2" t="n">
        <f aca="false">IF(H106="yes",1,0)</f>
        <v>0</v>
      </c>
      <c r="L106" s="2" t="n">
        <f aca="false">IF(I106="yes",1,0)</f>
        <v>0</v>
      </c>
      <c r="M106" s="2" t="n">
        <f aca="false">IF(G106&lt;0,1,0)</f>
        <v>0</v>
      </c>
      <c r="N106" s="2" t="str">
        <f aca="false">_xlfn.IFS(B106&lt;30,"Under 30",B106&lt;40,"30-39",B106&lt;50,"40-49",B106&lt;60,"50-59",TRUE(),"60+")</f>
        <v>30-39</v>
      </c>
      <c r="O106" s="2" t="str">
        <f aca="false">_xlfn.IFS(G106&lt;0,"1 Negative",G106=0,"2 Zero",G106&lt;=500,"3 1-500",G106&lt;=2000,"4 501-2000",TRUE(),"5 Above 2000")</f>
        <v>4 501-2000</v>
      </c>
      <c r="P106" s="2" t="n">
        <f aca="false">Lookups!$B$2*M106+Lookups!$B$3*L106</f>
        <v>0</v>
      </c>
      <c r="Q106" s="2" t="str">
        <f aca="false">INDEX(Lookups!$E$2:$E$5,MATCH(P106,Lookups!$D$2:$D$5,0))</f>
        <v>Low</v>
      </c>
    </row>
    <row r="107" customFormat="false" ht="15" hidden="false" customHeight="false" outlineLevel="0" collapsed="false">
      <c r="A107" s="3" t="n">
        <v>106</v>
      </c>
      <c r="B107" s="3" t="n">
        <f aca="false">Raw_Data!A107</f>
        <v>32</v>
      </c>
      <c r="C107" s="3" t="str">
        <f aca="false">SUBSTITUTE(Raw_Data!B107,".","")</f>
        <v>management</v>
      </c>
      <c r="D107" s="3" t="str">
        <f aca="false">Raw_Data!C107</f>
        <v>single</v>
      </c>
      <c r="E107" s="3" t="str">
        <f aca="false">Raw_Data!D107</f>
        <v>tertiary</v>
      </c>
      <c r="F107" s="3" t="str">
        <f aca="false">Raw_Data!E107</f>
        <v>no</v>
      </c>
      <c r="G107" s="3" t="n">
        <f aca="false">Raw_Data!F107</f>
        <v>574</v>
      </c>
      <c r="H107" s="3" t="str">
        <f aca="false">Raw_Data!G107</f>
        <v>yes</v>
      </c>
      <c r="I107" s="3" t="str">
        <f aca="false">Raw_Data!H107</f>
        <v>no</v>
      </c>
      <c r="J107" s="2" t="n">
        <f aca="false">IF(F107="yes",1,0)</f>
        <v>0</v>
      </c>
      <c r="K107" s="2" t="n">
        <f aca="false">IF(H107="yes",1,0)</f>
        <v>1</v>
      </c>
      <c r="L107" s="2" t="n">
        <f aca="false">IF(I107="yes",1,0)</f>
        <v>0</v>
      </c>
      <c r="M107" s="2" t="n">
        <f aca="false">IF(G107&lt;0,1,0)</f>
        <v>0</v>
      </c>
      <c r="N107" s="2" t="str">
        <f aca="false">_xlfn.IFS(B107&lt;30,"Under 30",B107&lt;40,"30-39",B107&lt;50,"40-49",B107&lt;60,"50-59",TRUE(),"60+")</f>
        <v>30-39</v>
      </c>
      <c r="O107" s="2" t="str">
        <f aca="false">_xlfn.IFS(G107&lt;0,"1 Negative",G107=0,"2 Zero",G107&lt;=500,"3 1-500",G107&lt;=2000,"4 501-2000",TRUE(),"5 Above 2000")</f>
        <v>4 501-2000</v>
      </c>
      <c r="P107" s="2" t="n">
        <f aca="false">Lookups!$B$2*M107+Lookups!$B$3*L107</f>
        <v>0</v>
      </c>
      <c r="Q107" s="2" t="str">
        <f aca="false">INDEX(Lookups!$E$2:$E$5,MATCH(P107,Lookups!$D$2:$D$5,0))</f>
        <v>Low</v>
      </c>
    </row>
    <row r="108" customFormat="false" ht="15" hidden="false" customHeight="false" outlineLevel="0" collapsed="false">
      <c r="A108" s="3" t="n">
        <v>107</v>
      </c>
      <c r="B108" s="3" t="n">
        <f aca="false">Raw_Data!A108</f>
        <v>37</v>
      </c>
      <c r="C108" s="3" t="str">
        <f aca="false">SUBSTITUTE(Raw_Data!B108,".","")</f>
        <v>blue-collar</v>
      </c>
      <c r="D108" s="3" t="str">
        <f aca="false">Raw_Data!C108</f>
        <v>married</v>
      </c>
      <c r="E108" s="3" t="str">
        <f aca="false">Raw_Data!D108</f>
        <v>secondary</v>
      </c>
      <c r="F108" s="3" t="str">
        <f aca="false">Raw_Data!E108</f>
        <v>no</v>
      </c>
      <c r="G108" s="3" t="n">
        <f aca="false">Raw_Data!F108</f>
        <v>427</v>
      </c>
      <c r="H108" s="3" t="str">
        <f aca="false">Raw_Data!G108</f>
        <v>yes</v>
      </c>
      <c r="I108" s="3" t="str">
        <f aca="false">Raw_Data!H108</f>
        <v>yes</v>
      </c>
      <c r="J108" s="2" t="n">
        <f aca="false">IF(F108="yes",1,0)</f>
        <v>0</v>
      </c>
      <c r="K108" s="2" t="n">
        <f aca="false">IF(H108="yes",1,0)</f>
        <v>1</v>
      </c>
      <c r="L108" s="2" t="n">
        <f aca="false">IF(I108="yes",1,0)</f>
        <v>1</v>
      </c>
      <c r="M108" s="2" t="n">
        <f aca="false">IF(G108&lt;0,1,0)</f>
        <v>0</v>
      </c>
      <c r="N108" s="2" t="str">
        <f aca="false">_xlfn.IFS(B108&lt;30,"Under 30",B108&lt;40,"30-39",B108&lt;50,"40-49",B108&lt;60,"50-59",TRUE(),"60+")</f>
        <v>30-39</v>
      </c>
      <c r="O108" s="2" t="str">
        <f aca="false">_xlfn.IFS(G108&lt;0,"1 Negative",G108=0,"2 Zero",G108&lt;=500,"3 1-500",G108&lt;=2000,"4 501-2000",TRUE(),"5 Above 2000")</f>
        <v>3 1-500</v>
      </c>
      <c r="P108" s="2" t="n">
        <f aca="false">Lookups!$B$2*M108+Lookups!$B$3*L108</f>
        <v>1</v>
      </c>
      <c r="Q108" s="2" t="str">
        <f aca="false">INDEX(Lookups!$E$2:$E$5,MATCH(P108,Lookups!$D$2:$D$5,0))</f>
        <v>Medium</v>
      </c>
    </row>
    <row r="109" customFormat="false" ht="15" hidden="false" customHeight="false" outlineLevel="0" collapsed="false">
      <c r="A109" s="3" t="n">
        <v>108</v>
      </c>
      <c r="B109" s="3" t="n">
        <f aca="false">Raw_Data!A109</f>
        <v>33</v>
      </c>
      <c r="C109" s="3" t="str">
        <f aca="false">SUBSTITUTE(Raw_Data!B109,".","")</f>
        <v>self-employed</v>
      </c>
      <c r="D109" s="3" t="str">
        <f aca="false">Raw_Data!C109</f>
        <v>married</v>
      </c>
      <c r="E109" s="3" t="str">
        <f aca="false">Raw_Data!D109</f>
        <v>tertiary</v>
      </c>
      <c r="F109" s="3" t="str">
        <f aca="false">Raw_Data!E109</f>
        <v>no</v>
      </c>
      <c r="G109" s="3" t="n">
        <f aca="false">Raw_Data!F109</f>
        <v>483</v>
      </c>
      <c r="H109" s="3" t="str">
        <f aca="false">Raw_Data!G109</f>
        <v>yes</v>
      </c>
      <c r="I109" s="3" t="str">
        <f aca="false">Raw_Data!H109</f>
        <v>no</v>
      </c>
      <c r="J109" s="2" t="n">
        <f aca="false">IF(F109="yes",1,0)</f>
        <v>0</v>
      </c>
      <c r="K109" s="2" t="n">
        <f aca="false">IF(H109="yes",1,0)</f>
        <v>1</v>
      </c>
      <c r="L109" s="2" t="n">
        <f aca="false">IF(I109="yes",1,0)</f>
        <v>0</v>
      </c>
      <c r="M109" s="2" t="n">
        <f aca="false">IF(G109&lt;0,1,0)</f>
        <v>0</v>
      </c>
      <c r="N109" s="2" t="str">
        <f aca="false">_xlfn.IFS(B109&lt;30,"Under 30",B109&lt;40,"30-39",B109&lt;50,"40-49",B109&lt;60,"50-59",TRUE(),"60+")</f>
        <v>30-39</v>
      </c>
      <c r="O109" s="2" t="str">
        <f aca="false">_xlfn.IFS(G109&lt;0,"1 Negative",G109=0,"2 Zero",G109&lt;=500,"3 1-500",G109&lt;=2000,"4 501-2000",TRUE(),"5 Above 2000")</f>
        <v>3 1-500</v>
      </c>
      <c r="P109" s="2" t="n">
        <f aca="false">Lookups!$B$2*M109+Lookups!$B$3*L109</f>
        <v>0</v>
      </c>
      <c r="Q109" s="2" t="str">
        <f aca="false">INDEX(Lookups!$E$2:$E$5,MATCH(P109,Lookups!$D$2:$D$5,0))</f>
        <v>Low</v>
      </c>
    </row>
    <row r="110" customFormat="false" ht="15" hidden="false" customHeight="false" outlineLevel="0" collapsed="false">
      <c r="A110" s="3" t="n">
        <v>109</v>
      </c>
      <c r="B110" s="3" t="n">
        <f aca="false">Raw_Data!A110</f>
        <v>56</v>
      </c>
      <c r="C110" s="3" t="str">
        <f aca="false">SUBSTITUTE(Raw_Data!B110,".","")</f>
        <v>unemployed</v>
      </c>
      <c r="D110" s="3" t="str">
        <f aca="false">Raw_Data!C110</f>
        <v>married</v>
      </c>
      <c r="E110" s="3" t="str">
        <f aca="false">Raw_Data!D110</f>
        <v>primary</v>
      </c>
      <c r="F110" s="3" t="str">
        <f aca="false">Raw_Data!E110</f>
        <v>no</v>
      </c>
      <c r="G110" s="3" t="n">
        <f aca="false">Raw_Data!F110</f>
        <v>3391</v>
      </c>
      <c r="H110" s="3" t="str">
        <f aca="false">Raw_Data!G110</f>
        <v>no</v>
      </c>
      <c r="I110" s="3" t="str">
        <f aca="false">Raw_Data!H110</f>
        <v>no</v>
      </c>
      <c r="J110" s="2" t="n">
        <f aca="false">IF(F110="yes",1,0)</f>
        <v>0</v>
      </c>
      <c r="K110" s="2" t="n">
        <f aca="false">IF(H110="yes",1,0)</f>
        <v>0</v>
      </c>
      <c r="L110" s="2" t="n">
        <f aca="false">IF(I110="yes",1,0)</f>
        <v>0</v>
      </c>
      <c r="M110" s="2" t="n">
        <f aca="false">IF(G110&lt;0,1,0)</f>
        <v>0</v>
      </c>
      <c r="N110" s="2" t="str">
        <f aca="false">_xlfn.IFS(B110&lt;30,"Under 30",B110&lt;40,"30-39",B110&lt;50,"40-49",B110&lt;60,"50-59",TRUE(),"60+")</f>
        <v>50-59</v>
      </c>
      <c r="O110" s="2" t="str">
        <f aca="false">_xlfn.IFS(G110&lt;0,"1 Negative",G110=0,"2 Zero",G110&lt;=500,"3 1-500",G110&lt;=2000,"4 501-2000",TRUE(),"5 Above 2000")</f>
        <v>5 Above 2000</v>
      </c>
      <c r="P110" s="2" t="n">
        <f aca="false">Lookups!$B$2*M110+Lookups!$B$3*L110</f>
        <v>0</v>
      </c>
      <c r="Q110" s="2" t="str">
        <f aca="false">INDEX(Lookups!$E$2:$E$5,MATCH(P110,Lookups!$D$2:$D$5,0))</f>
        <v>Low</v>
      </c>
    </row>
    <row r="111" customFormat="false" ht="15" hidden="false" customHeight="false" outlineLevel="0" collapsed="false">
      <c r="A111" s="3" t="n">
        <v>110</v>
      </c>
      <c r="B111" s="3" t="n">
        <f aca="false">Raw_Data!A111</f>
        <v>27</v>
      </c>
      <c r="C111" s="3" t="str">
        <f aca="false">SUBSTITUTE(Raw_Data!B111,".","")</f>
        <v>housemaid</v>
      </c>
      <c r="D111" s="3" t="str">
        <f aca="false">Raw_Data!C111</f>
        <v>married</v>
      </c>
      <c r="E111" s="3" t="str">
        <f aca="false">Raw_Data!D111</f>
        <v>primary</v>
      </c>
      <c r="F111" s="3" t="str">
        <f aca="false">Raw_Data!E111</f>
        <v>no</v>
      </c>
      <c r="G111" s="3" t="n">
        <f aca="false">Raw_Data!F111</f>
        <v>0</v>
      </c>
      <c r="H111" s="3" t="str">
        <f aca="false">Raw_Data!G111</f>
        <v>yes</v>
      </c>
      <c r="I111" s="3" t="str">
        <f aca="false">Raw_Data!H111</f>
        <v>no</v>
      </c>
      <c r="J111" s="2" t="n">
        <f aca="false">IF(F111="yes",1,0)</f>
        <v>0</v>
      </c>
      <c r="K111" s="2" t="n">
        <f aca="false">IF(H111="yes",1,0)</f>
        <v>1</v>
      </c>
      <c r="L111" s="2" t="n">
        <f aca="false">IF(I111="yes",1,0)</f>
        <v>0</v>
      </c>
      <c r="M111" s="2" t="n">
        <f aca="false">IF(G111&lt;0,1,0)</f>
        <v>0</v>
      </c>
      <c r="N111" s="2" t="str">
        <f aca="false">_xlfn.IFS(B111&lt;30,"Under 30",B111&lt;40,"30-39",B111&lt;50,"40-49",B111&lt;60,"50-59",TRUE(),"60+")</f>
        <v>Under 30</v>
      </c>
      <c r="O111" s="2" t="str">
        <f aca="false">_xlfn.IFS(G111&lt;0,"1 Negative",G111=0,"2 Zero",G111&lt;=500,"3 1-500",G111&lt;=2000,"4 501-2000",TRUE(),"5 Above 2000")</f>
        <v>2 Zero</v>
      </c>
      <c r="P111" s="2" t="n">
        <f aca="false">Lookups!$B$2*M111+Lookups!$B$3*L111</f>
        <v>0</v>
      </c>
      <c r="Q111" s="2" t="str">
        <f aca="false">INDEX(Lookups!$E$2:$E$5,MATCH(P111,Lookups!$D$2:$D$5,0))</f>
        <v>Low</v>
      </c>
    </row>
    <row r="112" customFormat="false" ht="15" hidden="false" customHeight="false" outlineLevel="0" collapsed="false">
      <c r="A112" s="3" t="n">
        <v>111</v>
      </c>
      <c r="B112" s="3" t="n">
        <f aca="false">Raw_Data!A112</f>
        <v>21</v>
      </c>
      <c r="C112" s="3" t="str">
        <f aca="false">SUBSTITUTE(Raw_Data!B112,".","")</f>
        <v>student</v>
      </c>
      <c r="D112" s="3" t="str">
        <f aca="false">Raw_Data!C112</f>
        <v>single</v>
      </c>
      <c r="E112" s="3" t="str">
        <f aca="false">Raw_Data!D112</f>
        <v>secondary</v>
      </c>
      <c r="F112" s="3" t="str">
        <f aca="false">Raw_Data!E112</f>
        <v>no</v>
      </c>
      <c r="G112" s="3" t="n">
        <f aca="false">Raw_Data!F112</f>
        <v>2488</v>
      </c>
      <c r="H112" s="3" t="str">
        <f aca="false">Raw_Data!G112</f>
        <v>no</v>
      </c>
      <c r="I112" s="3" t="str">
        <f aca="false">Raw_Data!H112</f>
        <v>no</v>
      </c>
      <c r="J112" s="2" t="n">
        <f aca="false">IF(F112="yes",1,0)</f>
        <v>0</v>
      </c>
      <c r="K112" s="2" t="n">
        <f aca="false">IF(H112="yes",1,0)</f>
        <v>0</v>
      </c>
      <c r="L112" s="2" t="n">
        <f aca="false">IF(I112="yes",1,0)</f>
        <v>0</v>
      </c>
      <c r="M112" s="2" t="n">
        <f aca="false">IF(G112&lt;0,1,0)</f>
        <v>0</v>
      </c>
      <c r="N112" s="2" t="str">
        <f aca="false">_xlfn.IFS(B112&lt;30,"Under 30",B112&lt;40,"30-39",B112&lt;50,"40-49",B112&lt;60,"50-59",TRUE(),"60+")</f>
        <v>Under 30</v>
      </c>
      <c r="O112" s="2" t="str">
        <f aca="false">_xlfn.IFS(G112&lt;0,"1 Negative",G112=0,"2 Zero",G112&lt;=500,"3 1-500",G112&lt;=2000,"4 501-2000",TRUE(),"5 Above 2000")</f>
        <v>5 Above 2000</v>
      </c>
      <c r="P112" s="2" t="n">
        <f aca="false">Lookups!$B$2*M112+Lookups!$B$3*L112</f>
        <v>0</v>
      </c>
      <c r="Q112" s="2" t="str">
        <f aca="false">INDEX(Lookups!$E$2:$E$5,MATCH(P112,Lookups!$D$2:$D$5,0))</f>
        <v>Low</v>
      </c>
    </row>
    <row r="113" customFormat="false" ht="15" hidden="false" customHeight="false" outlineLevel="0" collapsed="false">
      <c r="A113" s="3" t="n">
        <v>112</v>
      </c>
      <c r="B113" s="3" t="n">
        <f aca="false">Raw_Data!A113</f>
        <v>58</v>
      </c>
      <c r="C113" s="3" t="str">
        <f aca="false">SUBSTITUTE(Raw_Data!B113,".","")</f>
        <v>management</v>
      </c>
      <c r="D113" s="3" t="str">
        <f aca="false">Raw_Data!C113</f>
        <v>married</v>
      </c>
      <c r="E113" s="3" t="str">
        <f aca="false">Raw_Data!D113</f>
        <v>tertiary</v>
      </c>
      <c r="F113" s="3" t="str">
        <f aca="false">Raw_Data!E113</f>
        <v>no</v>
      </c>
      <c r="G113" s="3" t="n">
        <f aca="false">Raw_Data!F113</f>
        <v>1517</v>
      </c>
      <c r="H113" s="3" t="str">
        <f aca="false">Raw_Data!G113</f>
        <v>yes</v>
      </c>
      <c r="I113" s="3" t="str">
        <f aca="false">Raw_Data!H113</f>
        <v>no</v>
      </c>
      <c r="J113" s="2" t="n">
        <f aca="false">IF(F113="yes",1,0)</f>
        <v>0</v>
      </c>
      <c r="K113" s="2" t="n">
        <f aca="false">IF(H113="yes",1,0)</f>
        <v>1</v>
      </c>
      <c r="L113" s="2" t="n">
        <f aca="false">IF(I113="yes",1,0)</f>
        <v>0</v>
      </c>
      <c r="M113" s="2" t="n">
        <f aca="false">IF(G113&lt;0,1,0)</f>
        <v>0</v>
      </c>
      <c r="N113" s="2" t="str">
        <f aca="false">_xlfn.IFS(B113&lt;30,"Under 30",B113&lt;40,"30-39",B113&lt;50,"40-49",B113&lt;60,"50-59",TRUE(),"60+")</f>
        <v>50-59</v>
      </c>
      <c r="O113" s="2" t="str">
        <f aca="false">_xlfn.IFS(G113&lt;0,"1 Negative",G113=0,"2 Zero",G113&lt;=500,"3 1-500",G113&lt;=2000,"4 501-2000",TRUE(),"5 Above 2000")</f>
        <v>4 501-2000</v>
      </c>
      <c r="P113" s="2" t="n">
        <f aca="false">Lookups!$B$2*M113+Lookups!$B$3*L113</f>
        <v>0</v>
      </c>
      <c r="Q113" s="2" t="str">
        <f aca="false">INDEX(Lookups!$E$2:$E$5,MATCH(P113,Lookups!$D$2:$D$5,0))</f>
        <v>Low</v>
      </c>
    </row>
    <row r="114" customFormat="false" ht="15" hidden="false" customHeight="false" outlineLevel="0" collapsed="false">
      <c r="A114" s="3" t="n">
        <v>113</v>
      </c>
      <c r="B114" s="3" t="n">
        <f aca="false">Raw_Data!A114</f>
        <v>32</v>
      </c>
      <c r="C114" s="3" t="str">
        <f aca="false">SUBSTITUTE(Raw_Data!B114,".","")</f>
        <v>self-employed</v>
      </c>
      <c r="D114" s="3" t="str">
        <f aca="false">Raw_Data!C114</f>
        <v>married</v>
      </c>
      <c r="E114" s="3" t="str">
        <f aca="false">Raw_Data!D114</f>
        <v>secondary</v>
      </c>
      <c r="F114" s="3" t="str">
        <f aca="false">Raw_Data!E114</f>
        <v>no</v>
      </c>
      <c r="G114" s="3" t="n">
        <f aca="false">Raw_Data!F114</f>
        <v>217</v>
      </c>
      <c r="H114" s="3" t="str">
        <f aca="false">Raw_Data!G114</f>
        <v>yes</v>
      </c>
      <c r="I114" s="3" t="str">
        <f aca="false">Raw_Data!H114</f>
        <v>yes</v>
      </c>
      <c r="J114" s="2" t="n">
        <f aca="false">IF(F114="yes",1,0)</f>
        <v>0</v>
      </c>
      <c r="K114" s="2" t="n">
        <f aca="false">IF(H114="yes",1,0)</f>
        <v>1</v>
      </c>
      <c r="L114" s="2" t="n">
        <f aca="false">IF(I114="yes",1,0)</f>
        <v>1</v>
      </c>
      <c r="M114" s="2" t="n">
        <f aca="false">IF(G114&lt;0,1,0)</f>
        <v>0</v>
      </c>
      <c r="N114" s="2" t="str">
        <f aca="false">_xlfn.IFS(B114&lt;30,"Under 30",B114&lt;40,"30-39",B114&lt;50,"40-49",B114&lt;60,"50-59",TRUE(),"60+")</f>
        <v>30-39</v>
      </c>
      <c r="O114" s="2" t="str">
        <f aca="false">_xlfn.IFS(G114&lt;0,"1 Negative",G114=0,"2 Zero",G114&lt;=500,"3 1-500",G114&lt;=2000,"4 501-2000",TRUE(),"5 Above 2000")</f>
        <v>3 1-500</v>
      </c>
      <c r="P114" s="2" t="n">
        <f aca="false">Lookups!$B$2*M114+Lookups!$B$3*L114</f>
        <v>1</v>
      </c>
      <c r="Q114" s="2" t="str">
        <f aca="false">INDEX(Lookups!$E$2:$E$5,MATCH(P114,Lookups!$D$2:$D$5,0))</f>
        <v>Medium</v>
      </c>
    </row>
    <row r="115" customFormat="false" ht="15" hidden="false" customHeight="false" outlineLevel="0" collapsed="false">
      <c r="A115" s="3" t="n">
        <v>114</v>
      </c>
      <c r="B115" s="3" t="n">
        <f aca="false">Raw_Data!A115</f>
        <v>33</v>
      </c>
      <c r="C115" s="3" t="str">
        <f aca="false">SUBSTITUTE(Raw_Data!B115,".","")</f>
        <v>blue-collar</v>
      </c>
      <c r="D115" s="3" t="str">
        <f aca="false">Raw_Data!C115</f>
        <v>single</v>
      </c>
      <c r="E115" s="3" t="str">
        <f aca="false">Raw_Data!D115</f>
        <v>secondary</v>
      </c>
      <c r="F115" s="3" t="str">
        <f aca="false">Raw_Data!E115</f>
        <v>no</v>
      </c>
      <c r="G115" s="3" t="n">
        <f aca="false">Raw_Data!F115</f>
        <v>22</v>
      </c>
      <c r="H115" s="3" t="str">
        <f aca="false">Raw_Data!G115</f>
        <v>no</v>
      </c>
      <c r="I115" s="3" t="str">
        <f aca="false">Raw_Data!H115</f>
        <v>no</v>
      </c>
      <c r="J115" s="2" t="n">
        <f aca="false">IF(F115="yes",1,0)</f>
        <v>0</v>
      </c>
      <c r="K115" s="2" t="n">
        <f aca="false">IF(H115="yes",1,0)</f>
        <v>0</v>
      </c>
      <c r="L115" s="2" t="n">
        <f aca="false">IF(I115="yes",1,0)</f>
        <v>0</v>
      </c>
      <c r="M115" s="2" t="n">
        <f aca="false">IF(G115&lt;0,1,0)</f>
        <v>0</v>
      </c>
      <c r="N115" s="2" t="str">
        <f aca="false">_xlfn.IFS(B115&lt;30,"Under 30",B115&lt;40,"30-39",B115&lt;50,"40-49",B115&lt;60,"50-59",TRUE(),"60+")</f>
        <v>30-39</v>
      </c>
      <c r="O115" s="2" t="str">
        <f aca="false">_xlfn.IFS(G115&lt;0,"1 Negative",G115=0,"2 Zero",G115&lt;=500,"3 1-500",G115&lt;=2000,"4 501-2000",TRUE(),"5 Above 2000")</f>
        <v>3 1-500</v>
      </c>
      <c r="P115" s="2" t="n">
        <f aca="false">Lookups!$B$2*M115+Lookups!$B$3*L115</f>
        <v>0</v>
      </c>
      <c r="Q115" s="2" t="str">
        <f aca="false">INDEX(Lookups!$E$2:$E$5,MATCH(P115,Lookups!$D$2:$D$5,0))</f>
        <v>Low</v>
      </c>
    </row>
    <row r="116" customFormat="false" ht="15" hidden="false" customHeight="false" outlineLevel="0" collapsed="false">
      <c r="A116" s="3" t="n">
        <v>115</v>
      </c>
      <c r="B116" s="3" t="n">
        <f aca="false">Raw_Data!A116</f>
        <v>25</v>
      </c>
      <c r="C116" s="3" t="str">
        <f aca="false">SUBSTITUTE(Raw_Data!B116,".","")</f>
        <v>student</v>
      </c>
      <c r="D116" s="3" t="str">
        <f aca="false">Raw_Data!C116</f>
        <v>single</v>
      </c>
      <c r="E116" s="3" t="str">
        <f aca="false">Raw_Data!D116</f>
        <v>secondary</v>
      </c>
      <c r="F116" s="3" t="str">
        <f aca="false">Raw_Data!E116</f>
        <v>no</v>
      </c>
      <c r="G116" s="3" t="n">
        <f aca="false">Raw_Data!F116</f>
        <v>331</v>
      </c>
      <c r="H116" s="3" t="str">
        <f aca="false">Raw_Data!G116</f>
        <v>no</v>
      </c>
      <c r="I116" s="3" t="str">
        <f aca="false">Raw_Data!H116</f>
        <v>no</v>
      </c>
      <c r="J116" s="2" t="n">
        <f aca="false">IF(F116="yes",1,0)</f>
        <v>0</v>
      </c>
      <c r="K116" s="2" t="n">
        <f aca="false">IF(H116="yes",1,0)</f>
        <v>0</v>
      </c>
      <c r="L116" s="2" t="n">
        <f aca="false">IF(I116="yes",1,0)</f>
        <v>0</v>
      </c>
      <c r="M116" s="2" t="n">
        <f aca="false">IF(G116&lt;0,1,0)</f>
        <v>0</v>
      </c>
      <c r="N116" s="2" t="str">
        <f aca="false">_xlfn.IFS(B116&lt;30,"Under 30",B116&lt;40,"30-39",B116&lt;50,"40-49",B116&lt;60,"50-59",TRUE(),"60+")</f>
        <v>Under 30</v>
      </c>
      <c r="O116" s="2" t="str">
        <f aca="false">_xlfn.IFS(G116&lt;0,"1 Negative",G116=0,"2 Zero",G116&lt;=500,"3 1-500",G116&lt;=2000,"4 501-2000",TRUE(),"5 Above 2000")</f>
        <v>3 1-500</v>
      </c>
      <c r="P116" s="2" t="n">
        <f aca="false">Lookups!$B$2*M116+Lookups!$B$3*L116</f>
        <v>0</v>
      </c>
      <c r="Q116" s="2" t="str">
        <f aca="false">INDEX(Lookups!$E$2:$E$5,MATCH(P116,Lookups!$D$2:$D$5,0))</f>
        <v>Low</v>
      </c>
    </row>
    <row r="117" customFormat="false" ht="15" hidden="false" customHeight="false" outlineLevel="0" collapsed="false">
      <c r="A117" s="3" t="n">
        <v>116</v>
      </c>
      <c r="B117" s="3" t="n">
        <f aca="false">Raw_Data!A117</f>
        <v>25</v>
      </c>
      <c r="C117" s="3" t="str">
        <f aca="false">SUBSTITUTE(Raw_Data!B117,".","")</f>
        <v>technician</v>
      </c>
      <c r="D117" s="3" t="str">
        <f aca="false">Raw_Data!C117</f>
        <v>single</v>
      </c>
      <c r="E117" s="3" t="str">
        <f aca="false">Raw_Data!D117</f>
        <v>secondary</v>
      </c>
      <c r="F117" s="3" t="str">
        <f aca="false">Raw_Data!E117</f>
        <v>no</v>
      </c>
      <c r="G117" s="3" t="n">
        <f aca="false">Raw_Data!F117</f>
        <v>505</v>
      </c>
      <c r="H117" s="3" t="str">
        <f aca="false">Raw_Data!G117</f>
        <v>no</v>
      </c>
      <c r="I117" s="3" t="str">
        <f aca="false">Raw_Data!H117</f>
        <v>yes</v>
      </c>
      <c r="J117" s="2" t="n">
        <f aca="false">IF(F117="yes",1,0)</f>
        <v>0</v>
      </c>
      <c r="K117" s="2" t="n">
        <f aca="false">IF(H117="yes",1,0)</f>
        <v>0</v>
      </c>
      <c r="L117" s="2" t="n">
        <f aca="false">IF(I117="yes",1,0)</f>
        <v>1</v>
      </c>
      <c r="M117" s="2" t="n">
        <f aca="false">IF(G117&lt;0,1,0)</f>
        <v>0</v>
      </c>
      <c r="N117" s="2" t="str">
        <f aca="false">_xlfn.IFS(B117&lt;30,"Under 30",B117&lt;40,"30-39",B117&lt;50,"40-49",B117&lt;60,"50-59",TRUE(),"60+")</f>
        <v>Under 30</v>
      </c>
      <c r="O117" s="2" t="str">
        <f aca="false">_xlfn.IFS(G117&lt;0,"1 Negative",G117=0,"2 Zero",G117&lt;=500,"3 1-500",G117&lt;=2000,"4 501-2000",TRUE(),"5 Above 2000")</f>
        <v>4 501-2000</v>
      </c>
      <c r="P117" s="2" t="n">
        <f aca="false">Lookups!$B$2*M117+Lookups!$B$3*L117</f>
        <v>1</v>
      </c>
      <c r="Q117" s="2" t="str">
        <f aca="false">INDEX(Lookups!$E$2:$E$5,MATCH(P117,Lookups!$D$2:$D$5,0))</f>
        <v>Medium</v>
      </c>
    </row>
    <row r="118" customFormat="false" ht="15" hidden="false" customHeight="false" outlineLevel="0" collapsed="false">
      <c r="A118" s="3" t="n">
        <v>117</v>
      </c>
      <c r="B118" s="3" t="n">
        <f aca="false">Raw_Data!A118</f>
        <v>30</v>
      </c>
      <c r="C118" s="3" t="str">
        <f aca="false">SUBSTITUTE(Raw_Data!B118,".","")</f>
        <v>services</v>
      </c>
      <c r="D118" s="3" t="str">
        <f aca="false">Raw_Data!C118</f>
        <v>married</v>
      </c>
      <c r="E118" s="3" t="str">
        <f aca="false">Raw_Data!D118</f>
        <v>secondary</v>
      </c>
      <c r="F118" s="3" t="str">
        <f aca="false">Raw_Data!E118</f>
        <v>no</v>
      </c>
      <c r="G118" s="3" t="n">
        <f aca="false">Raw_Data!F118</f>
        <v>1808</v>
      </c>
      <c r="H118" s="3" t="str">
        <f aca="false">Raw_Data!G118</f>
        <v>yes</v>
      </c>
      <c r="I118" s="3" t="str">
        <f aca="false">Raw_Data!H118</f>
        <v>no</v>
      </c>
      <c r="J118" s="2" t="n">
        <f aca="false">IF(F118="yes",1,0)</f>
        <v>0</v>
      </c>
      <c r="K118" s="2" t="n">
        <f aca="false">IF(H118="yes",1,0)</f>
        <v>1</v>
      </c>
      <c r="L118" s="2" t="n">
        <f aca="false">IF(I118="yes",1,0)</f>
        <v>0</v>
      </c>
      <c r="M118" s="2" t="n">
        <f aca="false">IF(G118&lt;0,1,0)</f>
        <v>0</v>
      </c>
      <c r="N118" s="2" t="str">
        <f aca="false">_xlfn.IFS(B118&lt;30,"Under 30",B118&lt;40,"30-39",B118&lt;50,"40-49",B118&lt;60,"50-59",TRUE(),"60+")</f>
        <v>30-39</v>
      </c>
      <c r="O118" s="2" t="str">
        <f aca="false">_xlfn.IFS(G118&lt;0,"1 Negative",G118=0,"2 Zero",G118&lt;=500,"3 1-500",G118&lt;=2000,"4 501-2000",TRUE(),"5 Above 2000")</f>
        <v>4 501-2000</v>
      </c>
      <c r="P118" s="2" t="n">
        <f aca="false">Lookups!$B$2*M118+Lookups!$B$3*L118</f>
        <v>0</v>
      </c>
      <c r="Q118" s="2" t="str">
        <f aca="false">INDEX(Lookups!$E$2:$E$5,MATCH(P118,Lookups!$D$2:$D$5,0))</f>
        <v>Low</v>
      </c>
    </row>
    <row r="119" customFormat="false" ht="15" hidden="false" customHeight="false" outlineLevel="0" collapsed="false">
      <c r="A119" s="3" t="n">
        <v>118</v>
      </c>
      <c r="B119" s="3" t="n">
        <f aca="false">Raw_Data!A119</f>
        <v>22</v>
      </c>
      <c r="C119" s="3" t="str">
        <f aca="false">SUBSTITUTE(Raw_Data!B119,".","")</f>
        <v>admin</v>
      </c>
      <c r="D119" s="3" t="str">
        <f aca="false">Raw_Data!C119</f>
        <v>single</v>
      </c>
      <c r="E119" s="3" t="str">
        <f aca="false">Raw_Data!D119</f>
        <v>secondary</v>
      </c>
      <c r="F119" s="3" t="str">
        <f aca="false">Raw_Data!E119</f>
        <v>no</v>
      </c>
      <c r="G119" s="3" t="n">
        <f aca="false">Raw_Data!F119</f>
        <v>4111</v>
      </c>
      <c r="H119" s="3" t="str">
        <f aca="false">Raw_Data!G119</f>
        <v>no</v>
      </c>
      <c r="I119" s="3" t="str">
        <f aca="false">Raw_Data!H119</f>
        <v>yes</v>
      </c>
      <c r="J119" s="2" t="n">
        <f aca="false">IF(F119="yes",1,0)</f>
        <v>0</v>
      </c>
      <c r="K119" s="2" t="n">
        <f aca="false">IF(H119="yes",1,0)</f>
        <v>0</v>
      </c>
      <c r="L119" s="2" t="n">
        <f aca="false">IF(I119="yes",1,0)</f>
        <v>1</v>
      </c>
      <c r="M119" s="2" t="n">
        <f aca="false">IF(G119&lt;0,1,0)</f>
        <v>0</v>
      </c>
      <c r="N119" s="2" t="str">
        <f aca="false">_xlfn.IFS(B119&lt;30,"Under 30",B119&lt;40,"30-39",B119&lt;50,"40-49",B119&lt;60,"50-59",TRUE(),"60+")</f>
        <v>Under 30</v>
      </c>
      <c r="O119" s="2" t="str">
        <f aca="false">_xlfn.IFS(G119&lt;0,"1 Negative",G119=0,"2 Zero",G119&lt;=500,"3 1-500",G119&lt;=2000,"4 501-2000",TRUE(),"5 Above 2000")</f>
        <v>5 Above 2000</v>
      </c>
      <c r="P119" s="2" t="n">
        <f aca="false">Lookups!$B$2*M119+Lookups!$B$3*L119</f>
        <v>1</v>
      </c>
      <c r="Q119" s="2" t="str">
        <f aca="false">INDEX(Lookups!$E$2:$E$5,MATCH(P119,Lookups!$D$2:$D$5,0))</f>
        <v>Medium</v>
      </c>
    </row>
    <row r="120" customFormat="false" ht="15" hidden="false" customHeight="false" outlineLevel="0" collapsed="false">
      <c r="A120" s="3" t="n">
        <v>119</v>
      </c>
      <c r="B120" s="3" t="n">
        <f aca="false">Raw_Data!A120</f>
        <v>39</v>
      </c>
      <c r="C120" s="3" t="str">
        <f aca="false">SUBSTITUTE(Raw_Data!B120,".","")</f>
        <v>blue-collar</v>
      </c>
      <c r="D120" s="3" t="str">
        <f aca="false">Raw_Data!C120</f>
        <v>married</v>
      </c>
      <c r="E120" s="3" t="str">
        <f aca="false">Raw_Data!D120</f>
        <v>primary</v>
      </c>
      <c r="F120" s="3" t="str">
        <f aca="false">Raw_Data!E120</f>
        <v>no</v>
      </c>
      <c r="G120" s="3" t="n">
        <f aca="false">Raw_Data!F120</f>
        <v>52</v>
      </c>
      <c r="H120" s="3" t="str">
        <f aca="false">Raw_Data!G120</f>
        <v>no</v>
      </c>
      <c r="I120" s="3" t="str">
        <f aca="false">Raw_Data!H120</f>
        <v>no</v>
      </c>
      <c r="J120" s="2" t="n">
        <f aca="false">IF(F120="yes",1,0)</f>
        <v>0</v>
      </c>
      <c r="K120" s="2" t="n">
        <f aca="false">IF(H120="yes",1,0)</f>
        <v>0</v>
      </c>
      <c r="L120" s="2" t="n">
        <f aca="false">IF(I120="yes",1,0)</f>
        <v>0</v>
      </c>
      <c r="M120" s="2" t="n">
        <f aca="false">IF(G120&lt;0,1,0)</f>
        <v>0</v>
      </c>
      <c r="N120" s="2" t="str">
        <f aca="false">_xlfn.IFS(B120&lt;30,"Under 30",B120&lt;40,"30-39",B120&lt;50,"40-49",B120&lt;60,"50-59",TRUE(),"60+")</f>
        <v>30-39</v>
      </c>
      <c r="O120" s="2" t="str">
        <f aca="false">_xlfn.IFS(G120&lt;0,"1 Negative",G120=0,"2 Zero",G120&lt;=500,"3 1-500",G120&lt;=2000,"4 501-2000",TRUE(),"5 Above 2000")</f>
        <v>3 1-500</v>
      </c>
      <c r="P120" s="2" t="n">
        <f aca="false">Lookups!$B$2*M120+Lookups!$B$3*L120</f>
        <v>0</v>
      </c>
      <c r="Q120" s="2" t="str">
        <f aca="false">INDEX(Lookups!$E$2:$E$5,MATCH(P120,Lookups!$D$2:$D$5,0))</f>
        <v>Low</v>
      </c>
    </row>
    <row r="121" customFormat="false" ht="15" hidden="false" customHeight="false" outlineLevel="0" collapsed="false">
      <c r="A121" s="3" t="n">
        <v>120</v>
      </c>
      <c r="B121" s="3" t="n">
        <f aca="false">Raw_Data!A121</f>
        <v>46</v>
      </c>
      <c r="C121" s="3" t="str">
        <f aca="false">SUBSTITUTE(Raw_Data!B121,".","")</f>
        <v>management</v>
      </c>
      <c r="D121" s="3" t="str">
        <f aca="false">Raw_Data!C121</f>
        <v>divorced</v>
      </c>
      <c r="E121" s="3" t="str">
        <f aca="false">Raw_Data!D121</f>
        <v>tertiary</v>
      </c>
      <c r="F121" s="3" t="str">
        <f aca="false">Raw_Data!E121</f>
        <v>no</v>
      </c>
      <c r="G121" s="3" t="n">
        <f aca="false">Raw_Data!F121</f>
        <v>25</v>
      </c>
      <c r="H121" s="3" t="str">
        <f aca="false">Raw_Data!G121</f>
        <v>no</v>
      </c>
      <c r="I121" s="3" t="str">
        <f aca="false">Raw_Data!H121</f>
        <v>no</v>
      </c>
      <c r="J121" s="2" t="n">
        <f aca="false">IF(F121="yes",1,0)</f>
        <v>0</v>
      </c>
      <c r="K121" s="2" t="n">
        <f aca="false">IF(H121="yes",1,0)</f>
        <v>0</v>
      </c>
      <c r="L121" s="2" t="n">
        <f aca="false">IF(I121="yes",1,0)</f>
        <v>0</v>
      </c>
      <c r="M121" s="2" t="n">
        <f aca="false">IF(G121&lt;0,1,0)</f>
        <v>0</v>
      </c>
      <c r="N121" s="2" t="str">
        <f aca="false">_xlfn.IFS(B121&lt;30,"Under 30",B121&lt;40,"30-39",B121&lt;50,"40-49",B121&lt;60,"50-59",TRUE(),"60+")</f>
        <v>40-49</v>
      </c>
      <c r="O121" s="2" t="str">
        <f aca="false">_xlfn.IFS(G121&lt;0,"1 Negative",G121=0,"2 Zero",G121&lt;=500,"3 1-500",G121&lt;=2000,"4 501-2000",TRUE(),"5 Above 2000")</f>
        <v>3 1-500</v>
      </c>
      <c r="P121" s="2" t="n">
        <f aca="false">Lookups!$B$2*M121+Lookups!$B$3*L121</f>
        <v>0</v>
      </c>
      <c r="Q121" s="2" t="str">
        <f aca="false">INDEX(Lookups!$E$2:$E$5,MATCH(P121,Lookups!$D$2:$D$5,0))</f>
        <v>Low</v>
      </c>
    </row>
    <row r="122" customFormat="false" ht="15" hidden="false" customHeight="false" outlineLevel="0" collapsed="false">
      <c r="A122" s="3" t="n">
        <v>121</v>
      </c>
      <c r="B122" s="3" t="n">
        <f aca="false">Raw_Data!A122</f>
        <v>31</v>
      </c>
      <c r="C122" s="3" t="str">
        <f aca="false">SUBSTITUTE(Raw_Data!B122,".","")</f>
        <v>admin</v>
      </c>
      <c r="D122" s="3" t="str">
        <f aca="false">Raw_Data!C122</f>
        <v>divorced</v>
      </c>
      <c r="E122" s="3" t="str">
        <f aca="false">Raw_Data!D122</f>
        <v>secondary</v>
      </c>
      <c r="F122" s="3" t="str">
        <f aca="false">Raw_Data!E122</f>
        <v>no</v>
      </c>
      <c r="G122" s="3" t="n">
        <f aca="false">Raw_Data!F122</f>
        <v>1890</v>
      </c>
      <c r="H122" s="3" t="str">
        <f aca="false">Raw_Data!G122</f>
        <v>yes</v>
      </c>
      <c r="I122" s="3" t="str">
        <f aca="false">Raw_Data!H122</f>
        <v>no</v>
      </c>
      <c r="J122" s="2" t="n">
        <f aca="false">IF(F122="yes",1,0)</f>
        <v>0</v>
      </c>
      <c r="K122" s="2" t="n">
        <f aca="false">IF(H122="yes",1,0)</f>
        <v>1</v>
      </c>
      <c r="L122" s="2" t="n">
        <f aca="false">IF(I122="yes",1,0)</f>
        <v>0</v>
      </c>
      <c r="M122" s="2" t="n">
        <f aca="false">IF(G122&lt;0,1,0)</f>
        <v>0</v>
      </c>
      <c r="N122" s="2" t="str">
        <f aca="false">_xlfn.IFS(B122&lt;30,"Under 30",B122&lt;40,"30-39",B122&lt;50,"40-49",B122&lt;60,"50-59",TRUE(),"60+")</f>
        <v>30-39</v>
      </c>
      <c r="O122" s="2" t="str">
        <f aca="false">_xlfn.IFS(G122&lt;0,"1 Negative",G122=0,"2 Zero",G122&lt;=500,"3 1-500",G122&lt;=2000,"4 501-2000",TRUE(),"5 Above 2000")</f>
        <v>4 501-2000</v>
      </c>
      <c r="P122" s="2" t="n">
        <f aca="false">Lookups!$B$2*M122+Lookups!$B$3*L122</f>
        <v>0</v>
      </c>
      <c r="Q122" s="2" t="str">
        <f aca="false">INDEX(Lookups!$E$2:$E$5,MATCH(P122,Lookups!$D$2:$D$5,0))</f>
        <v>Low</v>
      </c>
    </row>
    <row r="123" customFormat="false" ht="15" hidden="false" customHeight="false" outlineLevel="0" collapsed="false">
      <c r="A123" s="3" t="n">
        <v>122</v>
      </c>
      <c r="B123" s="3" t="n">
        <f aca="false">Raw_Data!A123</f>
        <v>45</v>
      </c>
      <c r="C123" s="3" t="str">
        <f aca="false">SUBSTITUTE(Raw_Data!B123,".","")</f>
        <v>blue-collar</v>
      </c>
      <c r="D123" s="3" t="str">
        <f aca="false">Raw_Data!C123</f>
        <v>married</v>
      </c>
      <c r="E123" s="3" t="str">
        <f aca="false">Raw_Data!D123</f>
        <v>primary</v>
      </c>
      <c r="F123" s="3" t="str">
        <f aca="false">Raw_Data!E123</f>
        <v>no</v>
      </c>
      <c r="G123" s="3" t="n">
        <f aca="false">Raw_Data!F123</f>
        <v>419</v>
      </c>
      <c r="H123" s="3" t="str">
        <f aca="false">Raw_Data!G123</f>
        <v>no</v>
      </c>
      <c r="I123" s="3" t="str">
        <f aca="false">Raw_Data!H123</f>
        <v>no</v>
      </c>
      <c r="J123" s="2" t="n">
        <f aca="false">IF(F123="yes",1,0)</f>
        <v>0</v>
      </c>
      <c r="K123" s="2" t="n">
        <f aca="false">IF(H123="yes",1,0)</f>
        <v>0</v>
      </c>
      <c r="L123" s="2" t="n">
        <f aca="false">IF(I123="yes",1,0)</f>
        <v>0</v>
      </c>
      <c r="M123" s="2" t="n">
        <f aca="false">IF(G123&lt;0,1,0)</f>
        <v>0</v>
      </c>
      <c r="N123" s="2" t="str">
        <f aca="false">_xlfn.IFS(B123&lt;30,"Under 30",B123&lt;40,"30-39",B123&lt;50,"40-49",B123&lt;60,"50-59",TRUE(),"60+")</f>
        <v>40-49</v>
      </c>
      <c r="O123" s="2" t="str">
        <f aca="false">_xlfn.IFS(G123&lt;0,"1 Negative",G123=0,"2 Zero",G123&lt;=500,"3 1-500",G123&lt;=2000,"4 501-2000",TRUE(),"5 Above 2000")</f>
        <v>3 1-500</v>
      </c>
      <c r="P123" s="2" t="n">
        <f aca="false">Lookups!$B$2*M123+Lookups!$B$3*L123</f>
        <v>0</v>
      </c>
      <c r="Q123" s="2" t="str">
        <f aca="false">INDEX(Lookups!$E$2:$E$5,MATCH(P123,Lookups!$D$2:$D$5,0))</f>
        <v>Low</v>
      </c>
    </row>
    <row r="124" customFormat="false" ht="15" hidden="false" customHeight="false" outlineLevel="0" collapsed="false">
      <c r="A124" s="3" t="n">
        <v>123</v>
      </c>
      <c r="B124" s="3" t="n">
        <f aca="false">Raw_Data!A124</f>
        <v>32</v>
      </c>
      <c r="C124" s="3" t="str">
        <f aca="false">SUBSTITUTE(Raw_Data!B124,".","")</f>
        <v>technician</v>
      </c>
      <c r="D124" s="3" t="str">
        <f aca="false">Raw_Data!C124</f>
        <v>married</v>
      </c>
      <c r="E124" s="3" t="str">
        <f aca="false">Raw_Data!D124</f>
        <v>secondary</v>
      </c>
      <c r="F124" s="3" t="str">
        <f aca="false">Raw_Data!E124</f>
        <v>no</v>
      </c>
      <c r="G124" s="3" t="n">
        <f aca="false">Raw_Data!F124</f>
        <v>2693</v>
      </c>
      <c r="H124" s="3" t="str">
        <f aca="false">Raw_Data!G124</f>
        <v>yes</v>
      </c>
      <c r="I124" s="3" t="str">
        <f aca="false">Raw_Data!H124</f>
        <v>no</v>
      </c>
      <c r="J124" s="2" t="n">
        <f aca="false">IF(F124="yes",1,0)</f>
        <v>0</v>
      </c>
      <c r="K124" s="2" t="n">
        <f aca="false">IF(H124="yes",1,0)</f>
        <v>1</v>
      </c>
      <c r="L124" s="2" t="n">
        <f aca="false">IF(I124="yes",1,0)</f>
        <v>0</v>
      </c>
      <c r="M124" s="2" t="n">
        <f aca="false">IF(G124&lt;0,1,0)</f>
        <v>0</v>
      </c>
      <c r="N124" s="2" t="str">
        <f aca="false">_xlfn.IFS(B124&lt;30,"Under 30",B124&lt;40,"30-39",B124&lt;50,"40-49",B124&lt;60,"50-59",TRUE(),"60+")</f>
        <v>30-39</v>
      </c>
      <c r="O124" s="2" t="str">
        <f aca="false">_xlfn.IFS(G124&lt;0,"1 Negative",G124=0,"2 Zero",G124&lt;=500,"3 1-500",G124&lt;=2000,"4 501-2000",TRUE(),"5 Above 2000")</f>
        <v>5 Above 2000</v>
      </c>
      <c r="P124" s="2" t="n">
        <f aca="false">Lookups!$B$2*M124+Lookups!$B$3*L124</f>
        <v>0</v>
      </c>
      <c r="Q124" s="2" t="str">
        <f aca="false">INDEX(Lookups!$E$2:$E$5,MATCH(P124,Lookups!$D$2:$D$5,0))</f>
        <v>Low</v>
      </c>
    </row>
    <row r="125" customFormat="false" ht="15" hidden="false" customHeight="false" outlineLevel="0" collapsed="false">
      <c r="A125" s="3" t="n">
        <v>124</v>
      </c>
      <c r="B125" s="3" t="n">
        <f aca="false">Raw_Data!A125</f>
        <v>36</v>
      </c>
      <c r="C125" s="3" t="str">
        <f aca="false">SUBSTITUTE(Raw_Data!B125,".","")</f>
        <v>blue-collar</v>
      </c>
      <c r="D125" s="3" t="str">
        <f aca="false">Raw_Data!C125</f>
        <v>married</v>
      </c>
      <c r="E125" s="3" t="str">
        <f aca="false">Raw_Data!D125</f>
        <v>secondary</v>
      </c>
      <c r="F125" s="3" t="str">
        <f aca="false">Raw_Data!E125</f>
        <v>no</v>
      </c>
      <c r="G125" s="3" t="n">
        <f aca="false">Raw_Data!F125</f>
        <v>-231</v>
      </c>
      <c r="H125" s="3" t="str">
        <f aca="false">Raw_Data!G125</f>
        <v>no</v>
      </c>
      <c r="I125" s="3" t="str">
        <f aca="false">Raw_Data!H125</f>
        <v>yes</v>
      </c>
      <c r="J125" s="2" t="n">
        <f aca="false">IF(F125="yes",1,0)</f>
        <v>0</v>
      </c>
      <c r="K125" s="2" t="n">
        <f aca="false">IF(H125="yes",1,0)</f>
        <v>0</v>
      </c>
      <c r="L125" s="2" t="n">
        <f aca="false">IF(I125="yes",1,0)</f>
        <v>1</v>
      </c>
      <c r="M125" s="2" t="n">
        <f aca="false">IF(G125&lt;0,1,0)</f>
        <v>1</v>
      </c>
      <c r="N125" s="2" t="str">
        <f aca="false">_xlfn.IFS(B125&lt;30,"Under 30",B125&lt;40,"30-39",B125&lt;50,"40-49",B125&lt;60,"50-59",TRUE(),"60+")</f>
        <v>30-39</v>
      </c>
      <c r="O125" s="2" t="str">
        <f aca="false">_xlfn.IFS(G125&lt;0,"1 Negative",G125=0,"2 Zero",G125&lt;=500,"3 1-500",G125&lt;=2000,"4 501-2000",TRUE(),"5 Above 2000")</f>
        <v>1 Negative</v>
      </c>
      <c r="P125" s="2" t="n">
        <f aca="false">Lookups!$B$2*M125+Lookups!$B$3*L125</f>
        <v>3</v>
      </c>
      <c r="Q125" s="2" t="str">
        <f aca="false">INDEX(Lookups!$E$2:$E$5,MATCH(P125,Lookups!$D$2:$D$5,0))</f>
        <v>High</v>
      </c>
    </row>
    <row r="126" customFormat="false" ht="15" hidden="false" customHeight="false" outlineLevel="0" collapsed="false">
      <c r="A126" s="3" t="n">
        <v>125</v>
      </c>
      <c r="B126" s="3" t="n">
        <f aca="false">Raw_Data!A126</f>
        <v>51</v>
      </c>
      <c r="C126" s="3" t="str">
        <f aca="false">SUBSTITUTE(Raw_Data!B126,".","")</f>
        <v>management</v>
      </c>
      <c r="D126" s="3" t="str">
        <f aca="false">Raw_Data!C126</f>
        <v>single</v>
      </c>
      <c r="E126" s="3" t="str">
        <f aca="false">Raw_Data!D126</f>
        <v>tertiary</v>
      </c>
      <c r="F126" s="3" t="str">
        <f aca="false">Raw_Data!E126</f>
        <v>yes</v>
      </c>
      <c r="G126" s="3" t="n">
        <f aca="false">Raw_Data!F126</f>
        <v>-55</v>
      </c>
      <c r="H126" s="3" t="str">
        <f aca="false">Raw_Data!G126</f>
        <v>yes</v>
      </c>
      <c r="I126" s="3" t="str">
        <f aca="false">Raw_Data!H126</f>
        <v>no</v>
      </c>
      <c r="J126" s="2" t="n">
        <f aca="false">IF(F126="yes",1,0)</f>
        <v>1</v>
      </c>
      <c r="K126" s="2" t="n">
        <f aca="false">IF(H126="yes",1,0)</f>
        <v>1</v>
      </c>
      <c r="L126" s="2" t="n">
        <f aca="false">IF(I126="yes",1,0)</f>
        <v>0</v>
      </c>
      <c r="M126" s="2" t="n">
        <f aca="false">IF(G126&lt;0,1,0)</f>
        <v>1</v>
      </c>
      <c r="N126" s="2" t="str">
        <f aca="false">_xlfn.IFS(B126&lt;30,"Under 30",B126&lt;40,"30-39",B126&lt;50,"40-49",B126&lt;60,"50-59",TRUE(),"60+")</f>
        <v>50-59</v>
      </c>
      <c r="O126" s="2" t="str">
        <f aca="false">_xlfn.IFS(G126&lt;0,"1 Negative",G126=0,"2 Zero",G126&lt;=500,"3 1-500",G126&lt;=2000,"4 501-2000",TRUE(),"5 Above 2000")</f>
        <v>1 Negative</v>
      </c>
      <c r="P126" s="2" t="n">
        <f aca="false">Lookups!$B$2*M126+Lookups!$B$3*L126</f>
        <v>2</v>
      </c>
      <c r="Q126" s="2" t="str">
        <f aca="false">INDEX(Lookups!$E$2:$E$5,MATCH(P126,Lookups!$D$2:$D$5,0))</f>
        <v>High</v>
      </c>
    </row>
    <row r="127" customFormat="false" ht="15" hidden="false" customHeight="false" outlineLevel="0" collapsed="false">
      <c r="A127" s="3" t="n">
        <v>126</v>
      </c>
      <c r="B127" s="3" t="n">
        <f aca="false">Raw_Data!A127</f>
        <v>34</v>
      </c>
      <c r="C127" s="3" t="str">
        <f aca="false">SUBSTITUTE(Raw_Data!B127,".","")</f>
        <v>self-employed</v>
      </c>
      <c r="D127" s="3" t="str">
        <f aca="false">Raw_Data!C127</f>
        <v>single</v>
      </c>
      <c r="E127" s="3" t="str">
        <f aca="false">Raw_Data!D127</f>
        <v>tertiary</v>
      </c>
      <c r="F127" s="3" t="str">
        <f aca="false">Raw_Data!E127</f>
        <v>no</v>
      </c>
      <c r="G127" s="3" t="n">
        <f aca="false">Raw_Data!F127</f>
        <v>462</v>
      </c>
      <c r="H127" s="3" t="str">
        <f aca="false">Raw_Data!G127</f>
        <v>no</v>
      </c>
      <c r="I127" s="3" t="str">
        <f aca="false">Raw_Data!H127</f>
        <v>no</v>
      </c>
      <c r="J127" s="2" t="n">
        <f aca="false">IF(F127="yes",1,0)</f>
        <v>0</v>
      </c>
      <c r="K127" s="2" t="n">
        <f aca="false">IF(H127="yes",1,0)</f>
        <v>0</v>
      </c>
      <c r="L127" s="2" t="n">
        <f aca="false">IF(I127="yes",1,0)</f>
        <v>0</v>
      </c>
      <c r="M127" s="2" t="n">
        <f aca="false">IF(G127&lt;0,1,0)</f>
        <v>0</v>
      </c>
      <c r="N127" s="2" t="str">
        <f aca="false">_xlfn.IFS(B127&lt;30,"Under 30",B127&lt;40,"30-39",B127&lt;50,"40-49",B127&lt;60,"50-59",TRUE(),"60+")</f>
        <v>30-39</v>
      </c>
      <c r="O127" s="2" t="str">
        <f aca="false">_xlfn.IFS(G127&lt;0,"1 Negative",G127=0,"2 Zero",G127&lt;=500,"3 1-500",G127&lt;=2000,"4 501-2000",TRUE(),"5 Above 2000")</f>
        <v>3 1-500</v>
      </c>
      <c r="P127" s="2" t="n">
        <f aca="false">Lookups!$B$2*M127+Lookups!$B$3*L127</f>
        <v>0</v>
      </c>
      <c r="Q127" s="2" t="str">
        <f aca="false">INDEX(Lookups!$E$2:$E$5,MATCH(P127,Lookups!$D$2:$D$5,0))</f>
        <v>Low</v>
      </c>
    </row>
    <row r="128" customFormat="false" ht="15" hidden="false" customHeight="false" outlineLevel="0" collapsed="false">
      <c r="A128" s="3" t="n">
        <v>127</v>
      </c>
      <c r="B128" s="3" t="n">
        <f aca="false">Raw_Data!A128</f>
        <v>24</v>
      </c>
      <c r="C128" s="3" t="str">
        <f aca="false">SUBSTITUTE(Raw_Data!B128,".","")</f>
        <v>unemployed</v>
      </c>
      <c r="D128" s="3" t="str">
        <f aca="false">Raw_Data!C128</f>
        <v>single</v>
      </c>
      <c r="E128" s="3" t="str">
        <f aca="false">Raw_Data!D128</f>
        <v>secondary</v>
      </c>
      <c r="F128" s="3" t="str">
        <f aca="false">Raw_Data!E128</f>
        <v>no</v>
      </c>
      <c r="G128" s="3" t="n">
        <f aca="false">Raw_Data!F128</f>
        <v>119</v>
      </c>
      <c r="H128" s="3" t="str">
        <f aca="false">Raw_Data!G128</f>
        <v>no</v>
      </c>
      <c r="I128" s="3" t="str">
        <f aca="false">Raw_Data!H128</f>
        <v>no</v>
      </c>
      <c r="J128" s="2" t="n">
        <f aca="false">IF(F128="yes",1,0)</f>
        <v>0</v>
      </c>
      <c r="K128" s="2" t="n">
        <f aca="false">IF(H128="yes",1,0)</f>
        <v>0</v>
      </c>
      <c r="L128" s="2" t="n">
        <f aca="false">IF(I128="yes",1,0)</f>
        <v>0</v>
      </c>
      <c r="M128" s="2" t="n">
        <f aca="false">IF(G128&lt;0,1,0)</f>
        <v>0</v>
      </c>
      <c r="N128" s="2" t="str">
        <f aca="false">_xlfn.IFS(B128&lt;30,"Under 30",B128&lt;40,"30-39",B128&lt;50,"40-49",B128&lt;60,"50-59",TRUE(),"60+")</f>
        <v>Under 30</v>
      </c>
      <c r="O128" s="2" t="str">
        <f aca="false">_xlfn.IFS(G128&lt;0,"1 Negative",G128=0,"2 Zero",G128&lt;=500,"3 1-500",G128&lt;=2000,"4 501-2000",TRUE(),"5 Above 2000")</f>
        <v>3 1-500</v>
      </c>
      <c r="P128" s="2" t="n">
        <f aca="false">Lookups!$B$2*M128+Lookups!$B$3*L128</f>
        <v>0</v>
      </c>
      <c r="Q128" s="2" t="str">
        <f aca="false">INDEX(Lookups!$E$2:$E$5,MATCH(P128,Lookups!$D$2:$D$5,0))</f>
        <v>Low</v>
      </c>
    </row>
    <row r="129" customFormat="false" ht="15" hidden="false" customHeight="false" outlineLevel="0" collapsed="false">
      <c r="A129" s="3" t="n">
        <v>128</v>
      </c>
      <c r="B129" s="3" t="n">
        <f aca="false">Raw_Data!A129</f>
        <v>45</v>
      </c>
      <c r="C129" s="3" t="str">
        <f aca="false">SUBSTITUTE(Raw_Data!B129,".","")</f>
        <v>technician</v>
      </c>
      <c r="D129" s="3" t="str">
        <f aca="false">Raw_Data!C129</f>
        <v>single</v>
      </c>
      <c r="E129" s="3" t="str">
        <f aca="false">Raw_Data!D129</f>
        <v>secondary</v>
      </c>
      <c r="F129" s="3" t="str">
        <f aca="false">Raw_Data!E129</f>
        <v>no</v>
      </c>
      <c r="G129" s="3" t="n">
        <f aca="false">Raw_Data!F129</f>
        <v>586</v>
      </c>
      <c r="H129" s="3" t="str">
        <f aca="false">Raw_Data!G129</f>
        <v>no</v>
      </c>
      <c r="I129" s="3" t="str">
        <f aca="false">Raw_Data!H129</f>
        <v>yes</v>
      </c>
      <c r="J129" s="2" t="n">
        <f aca="false">IF(F129="yes",1,0)</f>
        <v>0</v>
      </c>
      <c r="K129" s="2" t="n">
        <f aca="false">IF(H129="yes",1,0)</f>
        <v>0</v>
      </c>
      <c r="L129" s="2" t="n">
        <f aca="false">IF(I129="yes",1,0)</f>
        <v>1</v>
      </c>
      <c r="M129" s="2" t="n">
        <f aca="false">IF(G129&lt;0,1,0)</f>
        <v>0</v>
      </c>
      <c r="N129" s="2" t="str">
        <f aca="false">_xlfn.IFS(B129&lt;30,"Under 30",B129&lt;40,"30-39",B129&lt;50,"40-49",B129&lt;60,"50-59",TRUE(),"60+")</f>
        <v>40-49</v>
      </c>
      <c r="O129" s="2" t="str">
        <f aca="false">_xlfn.IFS(G129&lt;0,"1 Negative",G129=0,"2 Zero",G129&lt;=500,"3 1-500",G129&lt;=2000,"4 501-2000",TRUE(),"5 Above 2000")</f>
        <v>4 501-2000</v>
      </c>
      <c r="P129" s="2" t="n">
        <f aca="false">Lookups!$B$2*M129+Lookups!$B$3*L129</f>
        <v>1</v>
      </c>
      <c r="Q129" s="2" t="str">
        <f aca="false">INDEX(Lookups!$E$2:$E$5,MATCH(P129,Lookups!$D$2:$D$5,0))</f>
        <v>Medium</v>
      </c>
    </row>
    <row r="130" customFormat="false" ht="15" hidden="false" customHeight="false" outlineLevel="0" collapsed="false">
      <c r="A130" s="3" t="n">
        <v>129</v>
      </c>
      <c r="B130" s="3" t="n">
        <f aca="false">Raw_Data!A130</f>
        <v>32</v>
      </c>
      <c r="C130" s="3" t="str">
        <f aca="false">SUBSTITUTE(Raw_Data!B130,".","")</f>
        <v>blue-collar</v>
      </c>
      <c r="D130" s="3" t="str">
        <f aca="false">Raw_Data!C130</f>
        <v>single</v>
      </c>
      <c r="E130" s="3" t="str">
        <f aca="false">Raw_Data!D130</f>
        <v>secondary</v>
      </c>
      <c r="F130" s="3" t="str">
        <f aca="false">Raw_Data!E130</f>
        <v>no</v>
      </c>
      <c r="G130" s="3" t="n">
        <f aca="false">Raw_Data!F130</f>
        <v>228</v>
      </c>
      <c r="H130" s="3" t="str">
        <f aca="false">Raw_Data!G130</f>
        <v>no</v>
      </c>
      <c r="I130" s="3" t="str">
        <f aca="false">Raw_Data!H130</f>
        <v>no</v>
      </c>
      <c r="J130" s="2" t="n">
        <f aca="false">IF(F130="yes",1,0)</f>
        <v>0</v>
      </c>
      <c r="K130" s="2" t="n">
        <f aca="false">IF(H130="yes",1,0)</f>
        <v>0</v>
      </c>
      <c r="L130" s="2" t="n">
        <f aca="false">IF(I130="yes",1,0)</f>
        <v>0</v>
      </c>
      <c r="M130" s="2" t="n">
        <f aca="false">IF(G130&lt;0,1,0)</f>
        <v>0</v>
      </c>
      <c r="N130" s="2" t="str">
        <f aca="false">_xlfn.IFS(B130&lt;30,"Under 30",B130&lt;40,"30-39",B130&lt;50,"40-49",B130&lt;60,"50-59",TRUE(),"60+")</f>
        <v>30-39</v>
      </c>
      <c r="O130" s="2" t="str">
        <f aca="false">_xlfn.IFS(G130&lt;0,"1 Negative",G130=0,"2 Zero",G130&lt;=500,"3 1-500",G130&lt;=2000,"4 501-2000",TRUE(),"5 Above 2000")</f>
        <v>3 1-500</v>
      </c>
      <c r="P130" s="2" t="n">
        <f aca="false">Lookups!$B$2*M130+Lookups!$B$3*L130</f>
        <v>0</v>
      </c>
      <c r="Q130" s="2" t="str">
        <f aca="false">INDEX(Lookups!$E$2:$E$5,MATCH(P130,Lookups!$D$2:$D$5,0))</f>
        <v>Low</v>
      </c>
    </row>
    <row r="131" customFormat="false" ht="15" hidden="false" customHeight="false" outlineLevel="0" collapsed="false">
      <c r="A131" s="3" t="n">
        <v>130</v>
      </c>
      <c r="B131" s="3" t="n">
        <f aca="false">Raw_Data!A131</f>
        <v>77</v>
      </c>
      <c r="C131" s="3" t="str">
        <f aca="false">SUBSTITUTE(Raw_Data!B131,".","")</f>
        <v>retired</v>
      </c>
      <c r="D131" s="3" t="str">
        <f aca="false">Raw_Data!C131</f>
        <v>divorced</v>
      </c>
      <c r="E131" s="3" t="str">
        <f aca="false">Raw_Data!D131</f>
        <v>tertiary</v>
      </c>
      <c r="F131" s="3" t="str">
        <f aca="false">Raw_Data!E131</f>
        <v>no</v>
      </c>
      <c r="G131" s="3" t="n">
        <f aca="false">Raw_Data!F131</f>
        <v>4659</v>
      </c>
      <c r="H131" s="3" t="str">
        <f aca="false">Raw_Data!G131</f>
        <v>no</v>
      </c>
      <c r="I131" s="3" t="str">
        <f aca="false">Raw_Data!H131</f>
        <v>no</v>
      </c>
      <c r="J131" s="2" t="n">
        <f aca="false">IF(F131="yes",1,0)</f>
        <v>0</v>
      </c>
      <c r="K131" s="2" t="n">
        <f aca="false">IF(H131="yes",1,0)</f>
        <v>0</v>
      </c>
      <c r="L131" s="2" t="n">
        <f aca="false">IF(I131="yes",1,0)</f>
        <v>0</v>
      </c>
      <c r="M131" s="2" t="n">
        <f aca="false">IF(G131&lt;0,1,0)</f>
        <v>0</v>
      </c>
      <c r="N131" s="2" t="str">
        <f aca="false">_xlfn.IFS(B131&lt;30,"Under 30",B131&lt;40,"30-39",B131&lt;50,"40-49",B131&lt;60,"50-59",TRUE(),"60+")</f>
        <v>60+</v>
      </c>
      <c r="O131" s="2" t="str">
        <f aca="false">_xlfn.IFS(G131&lt;0,"1 Negative",G131=0,"2 Zero",G131&lt;=500,"3 1-500",G131&lt;=2000,"4 501-2000",TRUE(),"5 Above 2000")</f>
        <v>5 Above 2000</v>
      </c>
      <c r="P131" s="2" t="n">
        <f aca="false">Lookups!$B$2*M131+Lookups!$B$3*L131</f>
        <v>0</v>
      </c>
      <c r="Q131" s="2" t="str">
        <f aca="false">INDEX(Lookups!$E$2:$E$5,MATCH(P131,Lookups!$D$2:$D$5,0))</f>
        <v>Low</v>
      </c>
    </row>
    <row r="132" customFormat="false" ht="15" hidden="false" customHeight="false" outlineLevel="0" collapsed="false">
      <c r="A132" s="3" t="n">
        <v>131</v>
      </c>
      <c r="B132" s="3" t="n">
        <f aca="false">Raw_Data!A132</f>
        <v>41</v>
      </c>
      <c r="C132" s="3" t="str">
        <f aca="false">SUBSTITUTE(Raw_Data!B132,".","")</f>
        <v>blue-collar</v>
      </c>
      <c r="D132" s="3" t="str">
        <f aca="false">Raw_Data!C132</f>
        <v>married</v>
      </c>
      <c r="E132" s="3" t="str">
        <f aca="false">Raw_Data!D132</f>
        <v>primary</v>
      </c>
      <c r="F132" s="3" t="str">
        <f aca="false">Raw_Data!E132</f>
        <v>no</v>
      </c>
      <c r="G132" s="3" t="n">
        <f aca="false">Raw_Data!F132</f>
        <v>168</v>
      </c>
      <c r="H132" s="3" t="str">
        <f aca="false">Raw_Data!G132</f>
        <v>yes</v>
      </c>
      <c r="I132" s="3" t="str">
        <f aca="false">Raw_Data!H132</f>
        <v>no</v>
      </c>
      <c r="J132" s="2" t="n">
        <f aca="false">IF(F132="yes",1,0)</f>
        <v>0</v>
      </c>
      <c r="K132" s="2" t="n">
        <f aca="false">IF(H132="yes",1,0)</f>
        <v>1</v>
      </c>
      <c r="L132" s="2" t="n">
        <f aca="false">IF(I132="yes",1,0)</f>
        <v>0</v>
      </c>
      <c r="M132" s="2" t="n">
        <f aca="false">IF(G132&lt;0,1,0)</f>
        <v>0</v>
      </c>
      <c r="N132" s="2" t="str">
        <f aca="false">_xlfn.IFS(B132&lt;30,"Under 30",B132&lt;40,"30-39",B132&lt;50,"40-49",B132&lt;60,"50-59",TRUE(),"60+")</f>
        <v>40-49</v>
      </c>
      <c r="O132" s="2" t="str">
        <f aca="false">_xlfn.IFS(G132&lt;0,"1 Negative",G132=0,"2 Zero",G132&lt;=500,"3 1-500",G132&lt;=2000,"4 501-2000",TRUE(),"5 Above 2000")</f>
        <v>3 1-500</v>
      </c>
      <c r="P132" s="2" t="n">
        <f aca="false">Lookups!$B$2*M132+Lookups!$B$3*L132</f>
        <v>0</v>
      </c>
      <c r="Q132" s="2" t="str">
        <f aca="false">INDEX(Lookups!$E$2:$E$5,MATCH(P132,Lookups!$D$2:$D$5,0))</f>
        <v>Low</v>
      </c>
    </row>
    <row r="133" customFormat="false" ht="15" hidden="false" customHeight="false" outlineLevel="0" collapsed="false">
      <c r="A133" s="3" t="n">
        <v>132</v>
      </c>
      <c r="B133" s="3" t="n">
        <f aca="false">Raw_Data!A133</f>
        <v>37</v>
      </c>
      <c r="C133" s="3" t="str">
        <f aca="false">SUBSTITUTE(Raw_Data!B133,".","")</f>
        <v>blue-collar</v>
      </c>
      <c r="D133" s="3" t="str">
        <f aca="false">Raw_Data!C133</f>
        <v>married</v>
      </c>
      <c r="E133" s="3" t="str">
        <f aca="false">Raw_Data!D133</f>
        <v>primary</v>
      </c>
      <c r="F133" s="3" t="str">
        <f aca="false">Raw_Data!E133</f>
        <v>no</v>
      </c>
      <c r="G133" s="3" t="n">
        <f aca="false">Raw_Data!F133</f>
        <v>0</v>
      </c>
      <c r="H133" s="3" t="str">
        <f aca="false">Raw_Data!G133</f>
        <v>yes</v>
      </c>
      <c r="I133" s="3" t="str">
        <f aca="false">Raw_Data!H133</f>
        <v>no</v>
      </c>
      <c r="J133" s="2" t="n">
        <f aca="false">IF(F133="yes",1,0)</f>
        <v>0</v>
      </c>
      <c r="K133" s="2" t="n">
        <f aca="false">IF(H133="yes",1,0)</f>
        <v>1</v>
      </c>
      <c r="L133" s="2" t="n">
        <f aca="false">IF(I133="yes",1,0)</f>
        <v>0</v>
      </c>
      <c r="M133" s="2" t="n">
        <f aca="false">IF(G133&lt;0,1,0)</f>
        <v>0</v>
      </c>
      <c r="N133" s="2" t="str">
        <f aca="false">_xlfn.IFS(B133&lt;30,"Under 30",B133&lt;40,"30-39",B133&lt;50,"40-49",B133&lt;60,"50-59",TRUE(),"60+")</f>
        <v>30-39</v>
      </c>
      <c r="O133" s="2" t="str">
        <f aca="false">_xlfn.IFS(G133&lt;0,"1 Negative",G133=0,"2 Zero",G133&lt;=500,"3 1-500",G133&lt;=2000,"4 501-2000",TRUE(),"5 Above 2000")</f>
        <v>2 Zero</v>
      </c>
      <c r="P133" s="2" t="n">
        <f aca="false">Lookups!$B$2*M133+Lookups!$B$3*L133</f>
        <v>0</v>
      </c>
      <c r="Q133" s="2" t="str">
        <f aca="false">INDEX(Lookups!$E$2:$E$5,MATCH(P133,Lookups!$D$2:$D$5,0))</f>
        <v>Low</v>
      </c>
    </row>
    <row r="134" customFormat="false" ht="15" hidden="false" customHeight="false" outlineLevel="0" collapsed="false">
      <c r="A134" s="3" t="n">
        <v>133</v>
      </c>
      <c r="B134" s="3" t="n">
        <f aca="false">Raw_Data!A134</f>
        <v>43</v>
      </c>
      <c r="C134" s="3" t="str">
        <f aca="false">SUBSTITUTE(Raw_Data!B134,".","")</f>
        <v>blue-collar</v>
      </c>
      <c r="D134" s="3" t="str">
        <f aca="false">Raw_Data!C134</f>
        <v>married</v>
      </c>
      <c r="E134" s="3" t="str">
        <f aca="false">Raw_Data!D134</f>
        <v>unknown</v>
      </c>
      <c r="F134" s="3" t="str">
        <f aca="false">Raw_Data!E134</f>
        <v>yes</v>
      </c>
      <c r="G134" s="3" t="n">
        <f aca="false">Raw_Data!F134</f>
        <v>-715</v>
      </c>
      <c r="H134" s="3" t="str">
        <f aca="false">Raw_Data!G134</f>
        <v>yes</v>
      </c>
      <c r="I134" s="3" t="str">
        <f aca="false">Raw_Data!H134</f>
        <v>no</v>
      </c>
      <c r="J134" s="2" t="n">
        <f aca="false">IF(F134="yes",1,0)</f>
        <v>1</v>
      </c>
      <c r="K134" s="2" t="n">
        <f aca="false">IF(H134="yes",1,0)</f>
        <v>1</v>
      </c>
      <c r="L134" s="2" t="n">
        <f aca="false">IF(I134="yes",1,0)</f>
        <v>0</v>
      </c>
      <c r="M134" s="2" t="n">
        <f aca="false">IF(G134&lt;0,1,0)</f>
        <v>1</v>
      </c>
      <c r="N134" s="2" t="str">
        <f aca="false">_xlfn.IFS(B134&lt;30,"Under 30",B134&lt;40,"30-39",B134&lt;50,"40-49",B134&lt;60,"50-59",TRUE(),"60+")</f>
        <v>40-49</v>
      </c>
      <c r="O134" s="2" t="str">
        <f aca="false">_xlfn.IFS(G134&lt;0,"1 Negative",G134=0,"2 Zero",G134&lt;=500,"3 1-500",G134&lt;=2000,"4 501-2000",TRUE(),"5 Above 2000")</f>
        <v>1 Negative</v>
      </c>
      <c r="P134" s="2" t="n">
        <f aca="false">Lookups!$B$2*M134+Lookups!$B$3*L134</f>
        <v>2</v>
      </c>
      <c r="Q134" s="2" t="str">
        <f aca="false">INDEX(Lookups!$E$2:$E$5,MATCH(P134,Lookups!$D$2:$D$5,0))</f>
        <v>High</v>
      </c>
    </row>
    <row r="135" customFormat="false" ht="15" hidden="false" customHeight="false" outlineLevel="0" collapsed="false">
      <c r="A135" s="3" t="n">
        <v>134</v>
      </c>
      <c r="B135" s="3" t="n">
        <f aca="false">Raw_Data!A135</f>
        <v>48</v>
      </c>
      <c r="C135" s="3" t="str">
        <f aca="false">SUBSTITUTE(Raw_Data!B135,".","")</f>
        <v>admin</v>
      </c>
      <c r="D135" s="3" t="str">
        <f aca="false">Raw_Data!C135</f>
        <v>married</v>
      </c>
      <c r="E135" s="3" t="str">
        <f aca="false">Raw_Data!D135</f>
        <v>unknown</v>
      </c>
      <c r="F135" s="3" t="str">
        <f aca="false">Raw_Data!E135</f>
        <v>no</v>
      </c>
      <c r="G135" s="3" t="n">
        <f aca="false">Raw_Data!F135</f>
        <v>0</v>
      </c>
      <c r="H135" s="3" t="str">
        <f aca="false">Raw_Data!G135</f>
        <v>yes</v>
      </c>
      <c r="I135" s="3" t="str">
        <f aca="false">Raw_Data!H135</f>
        <v>no</v>
      </c>
      <c r="J135" s="2" t="n">
        <f aca="false">IF(F135="yes",1,0)</f>
        <v>0</v>
      </c>
      <c r="K135" s="2" t="n">
        <f aca="false">IF(H135="yes",1,0)</f>
        <v>1</v>
      </c>
      <c r="L135" s="2" t="n">
        <f aca="false">IF(I135="yes",1,0)</f>
        <v>0</v>
      </c>
      <c r="M135" s="2" t="n">
        <f aca="false">IF(G135&lt;0,1,0)</f>
        <v>0</v>
      </c>
      <c r="N135" s="2" t="str">
        <f aca="false">_xlfn.IFS(B135&lt;30,"Under 30",B135&lt;40,"30-39",B135&lt;50,"40-49",B135&lt;60,"50-59",TRUE(),"60+")</f>
        <v>40-49</v>
      </c>
      <c r="O135" s="2" t="str">
        <f aca="false">_xlfn.IFS(G135&lt;0,"1 Negative",G135=0,"2 Zero",G135&lt;=500,"3 1-500",G135&lt;=2000,"4 501-2000",TRUE(),"5 Above 2000")</f>
        <v>2 Zero</v>
      </c>
      <c r="P135" s="2" t="n">
        <f aca="false">Lookups!$B$2*M135+Lookups!$B$3*L135</f>
        <v>0</v>
      </c>
      <c r="Q135" s="2" t="str">
        <f aca="false">INDEX(Lookups!$E$2:$E$5,MATCH(P135,Lookups!$D$2:$D$5,0))</f>
        <v>Low</v>
      </c>
    </row>
    <row r="136" customFormat="false" ht="15" hidden="false" customHeight="false" outlineLevel="0" collapsed="false">
      <c r="A136" s="3" t="n">
        <v>135</v>
      </c>
      <c r="B136" s="3" t="n">
        <f aca="false">Raw_Data!A136</f>
        <v>27</v>
      </c>
      <c r="C136" s="3" t="str">
        <f aca="false">SUBSTITUTE(Raw_Data!B136,".","")</f>
        <v>technician</v>
      </c>
      <c r="D136" s="3" t="str">
        <f aca="false">Raw_Data!C136</f>
        <v>single</v>
      </c>
      <c r="E136" s="3" t="str">
        <f aca="false">Raw_Data!D136</f>
        <v>secondary</v>
      </c>
      <c r="F136" s="3" t="str">
        <f aca="false">Raw_Data!E136</f>
        <v>no</v>
      </c>
      <c r="G136" s="3" t="n">
        <f aca="false">Raw_Data!F136</f>
        <v>769</v>
      </c>
      <c r="H136" s="3" t="str">
        <f aca="false">Raw_Data!G136</f>
        <v>yes</v>
      </c>
      <c r="I136" s="3" t="str">
        <f aca="false">Raw_Data!H136</f>
        <v>no</v>
      </c>
      <c r="J136" s="2" t="n">
        <f aca="false">IF(F136="yes",1,0)</f>
        <v>0</v>
      </c>
      <c r="K136" s="2" t="n">
        <f aca="false">IF(H136="yes",1,0)</f>
        <v>1</v>
      </c>
      <c r="L136" s="2" t="n">
        <f aca="false">IF(I136="yes",1,0)</f>
        <v>0</v>
      </c>
      <c r="M136" s="2" t="n">
        <f aca="false">IF(G136&lt;0,1,0)</f>
        <v>0</v>
      </c>
      <c r="N136" s="2" t="str">
        <f aca="false">_xlfn.IFS(B136&lt;30,"Under 30",B136&lt;40,"30-39",B136&lt;50,"40-49",B136&lt;60,"50-59",TRUE(),"60+")</f>
        <v>Under 30</v>
      </c>
      <c r="O136" s="2" t="str">
        <f aca="false">_xlfn.IFS(G136&lt;0,"1 Negative",G136=0,"2 Zero",G136&lt;=500,"3 1-500",G136&lt;=2000,"4 501-2000",TRUE(),"5 Above 2000")</f>
        <v>4 501-2000</v>
      </c>
      <c r="P136" s="2" t="n">
        <f aca="false">Lookups!$B$2*M136+Lookups!$B$3*L136</f>
        <v>0</v>
      </c>
      <c r="Q136" s="2" t="str">
        <f aca="false">INDEX(Lookups!$E$2:$E$5,MATCH(P136,Lookups!$D$2:$D$5,0))</f>
        <v>Low</v>
      </c>
    </row>
    <row r="137" customFormat="false" ht="15" hidden="false" customHeight="false" outlineLevel="0" collapsed="false">
      <c r="A137" s="3" t="n">
        <v>136</v>
      </c>
      <c r="B137" s="3" t="n">
        <f aca="false">Raw_Data!A137</f>
        <v>33</v>
      </c>
      <c r="C137" s="3" t="str">
        <f aca="false">SUBSTITUTE(Raw_Data!B137,".","")</f>
        <v>management</v>
      </c>
      <c r="D137" s="3" t="str">
        <f aca="false">Raw_Data!C137</f>
        <v>single</v>
      </c>
      <c r="E137" s="3" t="str">
        <f aca="false">Raw_Data!D137</f>
        <v>tertiary</v>
      </c>
      <c r="F137" s="3" t="str">
        <f aca="false">Raw_Data!E137</f>
        <v>no</v>
      </c>
      <c r="G137" s="3" t="n">
        <f aca="false">Raw_Data!F137</f>
        <v>0</v>
      </c>
      <c r="H137" s="3" t="str">
        <f aca="false">Raw_Data!G137</f>
        <v>no</v>
      </c>
      <c r="I137" s="3" t="str">
        <f aca="false">Raw_Data!H137</f>
        <v>no</v>
      </c>
      <c r="J137" s="2" t="n">
        <f aca="false">IF(F137="yes",1,0)</f>
        <v>0</v>
      </c>
      <c r="K137" s="2" t="n">
        <f aca="false">IF(H137="yes",1,0)</f>
        <v>0</v>
      </c>
      <c r="L137" s="2" t="n">
        <f aca="false">IF(I137="yes",1,0)</f>
        <v>0</v>
      </c>
      <c r="M137" s="2" t="n">
        <f aca="false">IF(G137&lt;0,1,0)</f>
        <v>0</v>
      </c>
      <c r="N137" s="2" t="str">
        <f aca="false">_xlfn.IFS(B137&lt;30,"Under 30",B137&lt;40,"30-39",B137&lt;50,"40-49",B137&lt;60,"50-59",TRUE(),"60+")</f>
        <v>30-39</v>
      </c>
      <c r="O137" s="2" t="str">
        <f aca="false">_xlfn.IFS(G137&lt;0,"1 Negative",G137=0,"2 Zero",G137&lt;=500,"3 1-500",G137&lt;=2000,"4 501-2000",TRUE(),"5 Above 2000")</f>
        <v>2 Zero</v>
      </c>
      <c r="P137" s="2" t="n">
        <f aca="false">Lookups!$B$2*M137+Lookups!$B$3*L137</f>
        <v>0</v>
      </c>
      <c r="Q137" s="2" t="str">
        <f aca="false">INDEX(Lookups!$E$2:$E$5,MATCH(P137,Lookups!$D$2:$D$5,0))</f>
        <v>Low</v>
      </c>
    </row>
    <row r="138" customFormat="false" ht="15" hidden="false" customHeight="false" outlineLevel="0" collapsed="false">
      <c r="A138" s="3" t="n">
        <v>137</v>
      </c>
      <c r="B138" s="3" t="n">
        <f aca="false">Raw_Data!A138</f>
        <v>29</v>
      </c>
      <c r="C138" s="3" t="str">
        <f aca="false">SUBSTITUTE(Raw_Data!B138,".","")</f>
        <v>admin</v>
      </c>
      <c r="D138" s="3" t="str">
        <f aca="false">Raw_Data!C138</f>
        <v>single</v>
      </c>
      <c r="E138" s="3" t="str">
        <f aca="false">Raw_Data!D138</f>
        <v>secondary</v>
      </c>
      <c r="F138" s="3" t="str">
        <f aca="false">Raw_Data!E138</f>
        <v>no</v>
      </c>
      <c r="G138" s="3" t="n">
        <f aca="false">Raw_Data!F138</f>
        <v>428</v>
      </c>
      <c r="H138" s="3" t="str">
        <f aca="false">Raw_Data!G138</f>
        <v>yes</v>
      </c>
      <c r="I138" s="3" t="str">
        <f aca="false">Raw_Data!H138</f>
        <v>yes</v>
      </c>
      <c r="J138" s="2" t="n">
        <f aca="false">IF(F138="yes",1,0)</f>
        <v>0</v>
      </c>
      <c r="K138" s="2" t="n">
        <f aca="false">IF(H138="yes",1,0)</f>
        <v>1</v>
      </c>
      <c r="L138" s="2" t="n">
        <f aca="false">IF(I138="yes",1,0)</f>
        <v>1</v>
      </c>
      <c r="M138" s="2" t="n">
        <f aca="false">IF(G138&lt;0,1,0)</f>
        <v>0</v>
      </c>
      <c r="N138" s="2" t="str">
        <f aca="false">_xlfn.IFS(B138&lt;30,"Under 30",B138&lt;40,"30-39",B138&lt;50,"40-49",B138&lt;60,"50-59",TRUE(),"60+")</f>
        <v>Under 30</v>
      </c>
      <c r="O138" s="2" t="str">
        <f aca="false">_xlfn.IFS(G138&lt;0,"1 Negative",G138=0,"2 Zero",G138&lt;=500,"3 1-500",G138&lt;=2000,"4 501-2000",TRUE(),"5 Above 2000")</f>
        <v>3 1-500</v>
      </c>
      <c r="P138" s="2" t="n">
        <f aca="false">Lookups!$B$2*M138+Lookups!$B$3*L138</f>
        <v>1</v>
      </c>
      <c r="Q138" s="2" t="str">
        <f aca="false">INDEX(Lookups!$E$2:$E$5,MATCH(P138,Lookups!$D$2:$D$5,0))</f>
        <v>Medium</v>
      </c>
    </row>
    <row r="139" customFormat="false" ht="15" hidden="false" customHeight="false" outlineLevel="0" collapsed="false">
      <c r="A139" s="3" t="n">
        <v>138</v>
      </c>
      <c r="B139" s="3" t="n">
        <f aca="false">Raw_Data!A139</f>
        <v>34</v>
      </c>
      <c r="C139" s="3" t="str">
        <f aca="false">SUBSTITUTE(Raw_Data!B139,".","")</f>
        <v>management</v>
      </c>
      <c r="D139" s="3" t="str">
        <f aca="false">Raw_Data!C139</f>
        <v>single</v>
      </c>
      <c r="E139" s="3" t="str">
        <f aca="false">Raw_Data!D139</f>
        <v>tertiary</v>
      </c>
      <c r="F139" s="3" t="str">
        <f aca="false">Raw_Data!E139</f>
        <v>no</v>
      </c>
      <c r="G139" s="3" t="n">
        <f aca="false">Raw_Data!F139</f>
        <v>0</v>
      </c>
      <c r="H139" s="3" t="str">
        <f aca="false">Raw_Data!G139</f>
        <v>no</v>
      </c>
      <c r="I139" s="3" t="str">
        <f aca="false">Raw_Data!H139</f>
        <v>no</v>
      </c>
      <c r="J139" s="2" t="n">
        <f aca="false">IF(F139="yes",1,0)</f>
        <v>0</v>
      </c>
      <c r="K139" s="2" t="n">
        <f aca="false">IF(H139="yes",1,0)</f>
        <v>0</v>
      </c>
      <c r="L139" s="2" t="n">
        <f aca="false">IF(I139="yes",1,0)</f>
        <v>0</v>
      </c>
      <c r="M139" s="2" t="n">
        <f aca="false">IF(G139&lt;0,1,0)</f>
        <v>0</v>
      </c>
      <c r="N139" s="2" t="str">
        <f aca="false">_xlfn.IFS(B139&lt;30,"Under 30",B139&lt;40,"30-39",B139&lt;50,"40-49",B139&lt;60,"50-59",TRUE(),"60+")</f>
        <v>30-39</v>
      </c>
      <c r="O139" s="2" t="str">
        <f aca="false">_xlfn.IFS(G139&lt;0,"1 Negative",G139=0,"2 Zero",G139&lt;=500,"3 1-500",G139&lt;=2000,"4 501-2000",TRUE(),"5 Above 2000")</f>
        <v>2 Zero</v>
      </c>
      <c r="P139" s="2" t="n">
        <f aca="false">Lookups!$B$2*M139+Lookups!$B$3*L139</f>
        <v>0</v>
      </c>
      <c r="Q139" s="2" t="str">
        <f aca="false">INDEX(Lookups!$E$2:$E$5,MATCH(P139,Lookups!$D$2:$D$5,0))</f>
        <v>Low</v>
      </c>
    </row>
    <row r="140" customFormat="false" ht="15" hidden="false" customHeight="false" outlineLevel="0" collapsed="false">
      <c r="A140" s="3" t="n">
        <v>139</v>
      </c>
      <c r="B140" s="3" t="n">
        <f aca="false">Raw_Data!A140</f>
        <v>52</v>
      </c>
      <c r="C140" s="3" t="str">
        <f aca="false">SUBSTITUTE(Raw_Data!B140,".","")</f>
        <v>management</v>
      </c>
      <c r="D140" s="3" t="str">
        <f aca="false">Raw_Data!C140</f>
        <v>married</v>
      </c>
      <c r="E140" s="3" t="str">
        <f aca="false">Raw_Data!D140</f>
        <v>tertiary</v>
      </c>
      <c r="F140" s="3" t="str">
        <f aca="false">Raw_Data!E140</f>
        <v>no</v>
      </c>
      <c r="G140" s="3" t="n">
        <f aca="false">Raw_Data!F140</f>
        <v>-970</v>
      </c>
      <c r="H140" s="3" t="str">
        <f aca="false">Raw_Data!G140</f>
        <v>yes</v>
      </c>
      <c r="I140" s="3" t="str">
        <f aca="false">Raw_Data!H140</f>
        <v>no</v>
      </c>
      <c r="J140" s="2" t="n">
        <f aca="false">IF(F140="yes",1,0)</f>
        <v>0</v>
      </c>
      <c r="K140" s="2" t="n">
        <f aca="false">IF(H140="yes",1,0)</f>
        <v>1</v>
      </c>
      <c r="L140" s="2" t="n">
        <f aca="false">IF(I140="yes",1,0)</f>
        <v>0</v>
      </c>
      <c r="M140" s="2" t="n">
        <f aca="false">IF(G140&lt;0,1,0)</f>
        <v>1</v>
      </c>
      <c r="N140" s="2" t="str">
        <f aca="false">_xlfn.IFS(B140&lt;30,"Under 30",B140&lt;40,"30-39",B140&lt;50,"40-49",B140&lt;60,"50-59",TRUE(),"60+")</f>
        <v>50-59</v>
      </c>
      <c r="O140" s="2" t="str">
        <f aca="false">_xlfn.IFS(G140&lt;0,"1 Negative",G140=0,"2 Zero",G140&lt;=500,"3 1-500",G140&lt;=2000,"4 501-2000",TRUE(),"5 Above 2000")</f>
        <v>1 Negative</v>
      </c>
      <c r="P140" s="2" t="n">
        <f aca="false">Lookups!$B$2*M140+Lookups!$B$3*L140</f>
        <v>2</v>
      </c>
      <c r="Q140" s="2" t="str">
        <f aca="false">INDEX(Lookups!$E$2:$E$5,MATCH(P140,Lookups!$D$2:$D$5,0))</f>
        <v>High</v>
      </c>
    </row>
    <row r="141" customFormat="false" ht="15" hidden="false" customHeight="false" outlineLevel="0" collapsed="false">
      <c r="A141" s="3" t="n">
        <v>140</v>
      </c>
      <c r="B141" s="3" t="n">
        <f aca="false">Raw_Data!A141</f>
        <v>60</v>
      </c>
      <c r="C141" s="3" t="str">
        <f aca="false">SUBSTITUTE(Raw_Data!B141,".","")</f>
        <v>management</v>
      </c>
      <c r="D141" s="3" t="str">
        <f aca="false">Raw_Data!C141</f>
        <v>married</v>
      </c>
      <c r="E141" s="3" t="str">
        <f aca="false">Raw_Data!D141</f>
        <v>unknown</v>
      </c>
      <c r="F141" s="3" t="str">
        <f aca="false">Raw_Data!E141</f>
        <v>no</v>
      </c>
      <c r="G141" s="3" t="n">
        <f aca="false">Raw_Data!F141</f>
        <v>6313</v>
      </c>
      <c r="H141" s="3" t="str">
        <f aca="false">Raw_Data!G141</f>
        <v>no</v>
      </c>
      <c r="I141" s="3" t="str">
        <f aca="false">Raw_Data!H141</f>
        <v>no</v>
      </c>
      <c r="J141" s="2" t="n">
        <f aca="false">IF(F141="yes",1,0)</f>
        <v>0</v>
      </c>
      <c r="K141" s="2" t="n">
        <f aca="false">IF(H141="yes",1,0)</f>
        <v>0</v>
      </c>
      <c r="L141" s="2" t="n">
        <f aca="false">IF(I141="yes",1,0)</f>
        <v>0</v>
      </c>
      <c r="M141" s="2" t="n">
        <f aca="false">IF(G141&lt;0,1,0)</f>
        <v>0</v>
      </c>
      <c r="N141" s="2" t="str">
        <f aca="false">_xlfn.IFS(B141&lt;30,"Under 30",B141&lt;40,"30-39",B141&lt;50,"40-49",B141&lt;60,"50-59",TRUE(),"60+")</f>
        <v>60+</v>
      </c>
      <c r="O141" s="2" t="str">
        <f aca="false">_xlfn.IFS(G141&lt;0,"1 Negative",G141=0,"2 Zero",G141&lt;=500,"3 1-500",G141&lt;=2000,"4 501-2000",TRUE(),"5 Above 2000")</f>
        <v>5 Above 2000</v>
      </c>
      <c r="P141" s="2" t="n">
        <f aca="false">Lookups!$B$2*M141+Lookups!$B$3*L141</f>
        <v>0</v>
      </c>
      <c r="Q141" s="2" t="str">
        <f aca="false">INDEX(Lookups!$E$2:$E$5,MATCH(P141,Lookups!$D$2:$D$5,0))</f>
        <v>Low</v>
      </c>
    </row>
    <row r="142" customFormat="false" ht="15" hidden="false" customHeight="false" outlineLevel="0" collapsed="false">
      <c r="A142" s="3" t="n">
        <v>141</v>
      </c>
      <c r="B142" s="3" t="n">
        <f aca="false">Raw_Data!A142</f>
        <v>32</v>
      </c>
      <c r="C142" s="3" t="str">
        <f aca="false">SUBSTITUTE(Raw_Data!B142,".","")</f>
        <v>management</v>
      </c>
      <c r="D142" s="3" t="str">
        <f aca="false">Raw_Data!C142</f>
        <v>divorced</v>
      </c>
      <c r="E142" s="3" t="str">
        <f aca="false">Raw_Data!D142</f>
        <v>tertiary</v>
      </c>
      <c r="F142" s="3" t="str">
        <f aca="false">Raw_Data!E142</f>
        <v>no</v>
      </c>
      <c r="G142" s="3" t="n">
        <f aca="false">Raw_Data!F142</f>
        <v>948</v>
      </c>
      <c r="H142" s="3" t="str">
        <f aca="false">Raw_Data!G142</f>
        <v>no</v>
      </c>
      <c r="I142" s="3" t="str">
        <f aca="false">Raw_Data!H142</f>
        <v>no</v>
      </c>
      <c r="J142" s="2" t="n">
        <f aca="false">IF(F142="yes",1,0)</f>
        <v>0</v>
      </c>
      <c r="K142" s="2" t="n">
        <f aca="false">IF(H142="yes",1,0)</f>
        <v>0</v>
      </c>
      <c r="L142" s="2" t="n">
        <f aca="false">IF(I142="yes",1,0)</f>
        <v>0</v>
      </c>
      <c r="M142" s="2" t="n">
        <f aca="false">IF(G142&lt;0,1,0)</f>
        <v>0</v>
      </c>
      <c r="N142" s="2" t="str">
        <f aca="false">_xlfn.IFS(B142&lt;30,"Under 30",B142&lt;40,"30-39",B142&lt;50,"40-49",B142&lt;60,"50-59",TRUE(),"60+")</f>
        <v>30-39</v>
      </c>
      <c r="O142" s="2" t="str">
        <f aca="false">_xlfn.IFS(G142&lt;0,"1 Negative",G142=0,"2 Zero",G142&lt;=500,"3 1-500",G142&lt;=2000,"4 501-2000",TRUE(),"5 Above 2000")</f>
        <v>4 501-2000</v>
      </c>
      <c r="P142" s="2" t="n">
        <f aca="false">Lookups!$B$2*M142+Lookups!$B$3*L142</f>
        <v>0</v>
      </c>
      <c r="Q142" s="2" t="str">
        <f aca="false">INDEX(Lookups!$E$2:$E$5,MATCH(P142,Lookups!$D$2:$D$5,0))</f>
        <v>Low</v>
      </c>
    </row>
    <row r="143" customFormat="false" ht="15" hidden="false" customHeight="false" outlineLevel="0" collapsed="false">
      <c r="A143" s="3" t="n">
        <v>142</v>
      </c>
      <c r="B143" s="3" t="n">
        <f aca="false">Raw_Data!A143</f>
        <v>32</v>
      </c>
      <c r="C143" s="3" t="str">
        <f aca="false">SUBSTITUTE(Raw_Data!B143,".","")</f>
        <v>management</v>
      </c>
      <c r="D143" s="3" t="str">
        <f aca="false">Raw_Data!C143</f>
        <v>single</v>
      </c>
      <c r="E143" s="3" t="str">
        <f aca="false">Raw_Data!D143</f>
        <v>tertiary</v>
      </c>
      <c r="F143" s="3" t="str">
        <f aca="false">Raw_Data!E143</f>
        <v>no</v>
      </c>
      <c r="G143" s="3" t="n">
        <f aca="false">Raw_Data!F143</f>
        <v>0</v>
      </c>
      <c r="H143" s="3" t="str">
        <f aca="false">Raw_Data!G143</f>
        <v>yes</v>
      </c>
      <c r="I143" s="3" t="str">
        <f aca="false">Raw_Data!H143</f>
        <v>no</v>
      </c>
      <c r="J143" s="2" t="n">
        <f aca="false">IF(F143="yes",1,0)</f>
        <v>0</v>
      </c>
      <c r="K143" s="2" t="n">
        <f aca="false">IF(H143="yes",1,0)</f>
        <v>1</v>
      </c>
      <c r="L143" s="2" t="n">
        <f aca="false">IF(I143="yes",1,0)</f>
        <v>0</v>
      </c>
      <c r="M143" s="2" t="n">
        <f aca="false">IF(G143&lt;0,1,0)</f>
        <v>0</v>
      </c>
      <c r="N143" s="2" t="str">
        <f aca="false">_xlfn.IFS(B143&lt;30,"Under 30",B143&lt;40,"30-39",B143&lt;50,"40-49",B143&lt;60,"50-59",TRUE(),"60+")</f>
        <v>30-39</v>
      </c>
      <c r="O143" s="2" t="str">
        <f aca="false">_xlfn.IFS(G143&lt;0,"1 Negative",G143=0,"2 Zero",G143&lt;=500,"3 1-500",G143&lt;=2000,"4 501-2000",TRUE(),"5 Above 2000")</f>
        <v>2 Zero</v>
      </c>
      <c r="P143" s="2" t="n">
        <f aca="false">Lookups!$B$2*M143+Lookups!$B$3*L143</f>
        <v>0</v>
      </c>
      <c r="Q143" s="2" t="str">
        <f aca="false">INDEX(Lookups!$E$2:$E$5,MATCH(P143,Lookups!$D$2:$D$5,0))</f>
        <v>Low</v>
      </c>
    </row>
    <row r="144" customFormat="false" ht="15" hidden="false" customHeight="false" outlineLevel="0" collapsed="false">
      <c r="A144" s="3" t="n">
        <v>143</v>
      </c>
      <c r="B144" s="3" t="n">
        <f aca="false">Raw_Data!A144</f>
        <v>56</v>
      </c>
      <c r="C144" s="3" t="str">
        <f aca="false">SUBSTITUTE(Raw_Data!B144,".","")</f>
        <v>services</v>
      </c>
      <c r="D144" s="3" t="str">
        <f aca="false">Raw_Data!C144</f>
        <v>divorced</v>
      </c>
      <c r="E144" s="3" t="str">
        <f aca="false">Raw_Data!D144</f>
        <v>unknown</v>
      </c>
      <c r="F144" s="3" t="str">
        <f aca="false">Raw_Data!E144</f>
        <v>no</v>
      </c>
      <c r="G144" s="3" t="n">
        <f aca="false">Raw_Data!F144</f>
        <v>1877</v>
      </c>
      <c r="H144" s="3" t="str">
        <f aca="false">Raw_Data!G144</f>
        <v>yes</v>
      </c>
      <c r="I144" s="3" t="str">
        <f aca="false">Raw_Data!H144</f>
        <v>no</v>
      </c>
      <c r="J144" s="2" t="n">
        <f aca="false">IF(F144="yes",1,0)</f>
        <v>0</v>
      </c>
      <c r="K144" s="2" t="n">
        <f aca="false">IF(H144="yes",1,0)</f>
        <v>1</v>
      </c>
      <c r="L144" s="2" t="n">
        <f aca="false">IF(I144="yes",1,0)</f>
        <v>0</v>
      </c>
      <c r="M144" s="2" t="n">
        <f aca="false">IF(G144&lt;0,1,0)</f>
        <v>0</v>
      </c>
      <c r="N144" s="2" t="str">
        <f aca="false">_xlfn.IFS(B144&lt;30,"Under 30",B144&lt;40,"30-39",B144&lt;50,"40-49",B144&lt;60,"50-59",TRUE(),"60+")</f>
        <v>50-59</v>
      </c>
      <c r="O144" s="2" t="str">
        <f aca="false">_xlfn.IFS(G144&lt;0,"1 Negative",G144=0,"2 Zero",G144&lt;=500,"3 1-500",G144&lt;=2000,"4 501-2000",TRUE(),"5 Above 2000")</f>
        <v>4 501-2000</v>
      </c>
      <c r="P144" s="2" t="n">
        <f aca="false">Lookups!$B$2*M144+Lookups!$B$3*L144</f>
        <v>0</v>
      </c>
      <c r="Q144" s="2" t="str">
        <f aca="false">INDEX(Lookups!$E$2:$E$5,MATCH(P144,Lookups!$D$2:$D$5,0))</f>
        <v>Low</v>
      </c>
    </row>
    <row r="145" customFormat="false" ht="15" hidden="false" customHeight="false" outlineLevel="0" collapsed="false">
      <c r="A145" s="3" t="n">
        <v>144</v>
      </c>
      <c r="B145" s="3" t="n">
        <f aca="false">Raw_Data!A145</f>
        <v>31</v>
      </c>
      <c r="C145" s="3" t="str">
        <f aca="false">SUBSTITUTE(Raw_Data!B145,".","")</f>
        <v>management</v>
      </c>
      <c r="D145" s="3" t="str">
        <f aca="false">Raw_Data!C145</f>
        <v>single</v>
      </c>
      <c r="E145" s="3" t="str">
        <f aca="false">Raw_Data!D145</f>
        <v>tertiary</v>
      </c>
      <c r="F145" s="3" t="str">
        <f aca="false">Raw_Data!E145</f>
        <v>no</v>
      </c>
      <c r="G145" s="3" t="n">
        <f aca="false">Raw_Data!F145</f>
        <v>874</v>
      </c>
      <c r="H145" s="3" t="str">
        <f aca="false">Raw_Data!G145</f>
        <v>yes</v>
      </c>
      <c r="I145" s="3" t="str">
        <f aca="false">Raw_Data!H145</f>
        <v>no</v>
      </c>
      <c r="J145" s="2" t="n">
        <f aca="false">IF(F145="yes",1,0)</f>
        <v>0</v>
      </c>
      <c r="K145" s="2" t="n">
        <f aca="false">IF(H145="yes",1,0)</f>
        <v>1</v>
      </c>
      <c r="L145" s="2" t="n">
        <f aca="false">IF(I145="yes",1,0)</f>
        <v>0</v>
      </c>
      <c r="M145" s="2" t="n">
        <f aca="false">IF(G145&lt;0,1,0)</f>
        <v>0</v>
      </c>
      <c r="N145" s="2" t="str">
        <f aca="false">_xlfn.IFS(B145&lt;30,"Under 30",B145&lt;40,"30-39",B145&lt;50,"40-49",B145&lt;60,"50-59",TRUE(),"60+")</f>
        <v>30-39</v>
      </c>
      <c r="O145" s="2" t="str">
        <f aca="false">_xlfn.IFS(G145&lt;0,"1 Negative",G145=0,"2 Zero",G145&lt;=500,"3 1-500",G145&lt;=2000,"4 501-2000",TRUE(),"5 Above 2000")</f>
        <v>4 501-2000</v>
      </c>
      <c r="P145" s="2" t="n">
        <f aca="false">Lookups!$B$2*M145+Lookups!$B$3*L145</f>
        <v>0</v>
      </c>
      <c r="Q145" s="2" t="str">
        <f aca="false">INDEX(Lookups!$E$2:$E$5,MATCH(P145,Lookups!$D$2:$D$5,0))</f>
        <v>Low</v>
      </c>
    </row>
    <row r="146" customFormat="false" ht="15" hidden="false" customHeight="false" outlineLevel="0" collapsed="false">
      <c r="A146" s="3" t="n">
        <v>145</v>
      </c>
      <c r="B146" s="3" t="n">
        <f aca="false">Raw_Data!A146</f>
        <v>42</v>
      </c>
      <c r="C146" s="3" t="str">
        <f aca="false">SUBSTITUTE(Raw_Data!B146,".","")</f>
        <v>admin</v>
      </c>
      <c r="D146" s="3" t="str">
        <f aca="false">Raw_Data!C146</f>
        <v>married</v>
      </c>
      <c r="E146" s="3" t="str">
        <f aca="false">Raw_Data!D146</f>
        <v>secondary</v>
      </c>
      <c r="F146" s="3" t="str">
        <f aca="false">Raw_Data!E146</f>
        <v>no</v>
      </c>
      <c r="G146" s="3" t="n">
        <f aca="false">Raw_Data!F146</f>
        <v>323</v>
      </c>
      <c r="H146" s="3" t="str">
        <f aca="false">Raw_Data!G146</f>
        <v>yes</v>
      </c>
      <c r="I146" s="3" t="str">
        <f aca="false">Raw_Data!H146</f>
        <v>yes</v>
      </c>
      <c r="J146" s="2" t="n">
        <f aca="false">IF(F146="yes",1,0)</f>
        <v>0</v>
      </c>
      <c r="K146" s="2" t="n">
        <f aca="false">IF(H146="yes",1,0)</f>
        <v>1</v>
      </c>
      <c r="L146" s="2" t="n">
        <f aca="false">IF(I146="yes",1,0)</f>
        <v>1</v>
      </c>
      <c r="M146" s="2" t="n">
        <f aca="false">IF(G146&lt;0,1,0)</f>
        <v>0</v>
      </c>
      <c r="N146" s="2" t="str">
        <f aca="false">_xlfn.IFS(B146&lt;30,"Under 30",B146&lt;40,"30-39",B146&lt;50,"40-49",B146&lt;60,"50-59",TRUE(),"60+")</f>
        <v>40-49</v>
      </c>
      <c r="O146" s="2" t="str">
        <f aca="false">_xlfn.IFS(G146&lt;0,"1 Negative",G146=0,"2 Zero",G146&lt;=500,"3 1-500",G146&lt;=2000,"4 501-2000",TRUE(),"5 Above 2000")</f>
        <v>3 1-500</v>
      </c>
      <c r="P146" s="2" t="n">
        <f aca="false">Lookups!$B$2*M146+Lookups!$B$3*L146</f>
        <v>1</v>
      </c>
      <c r="Q146" s="2" t="str">
        <f aca="false">INDEX(Lookups!$E$2:$E$5,MATCH(P146,Lookups!$D$2:$D$5,0))</f>
        <v>Medium</v>
      </c>
    </row>
    <row r="147" customFormat="false" ht="15" hidden="false" customHeight="false" outlineLevel="0" collapsed="false">
      <c r="A147" s="3" t="n">
        <v>146</v>
      </c>
      <c r="B147" s="3" t="n">
        <f aca="false">Raw_Data!A147</f>
        <v>35</v>
      </c>
      <c r="C147" s="3" t="str">
        <f aca="false">SUBSTITUTE(Raw_Data!B147,".","")</f>
        <v>management</v>
      </c>
      <c r="D147" s="3" t="str">
        <f aca="false">Raw_Data!C147</f>
        <v>married</v>
      </c>
      <c r="E147" s="3" t="str">
        <f aca="false">Raw_Data!D147</f>
        <v>tertiary</v>
      </c>
      <c r="F147" s="3" t="str">
        <f aca="false">Raw_Data!E147</f>
        <v>no</v>
      </c>
      <c r="G147" s="3" t="n">
        <f aca="false">Raw_Data!F147</f>
        <v>106</v>
      </c>
      <c r="H147" s="3" t="str">
        <f aca="false">Raw_Data!G147</f>
        <v>no</v>
      </c>
      <c r="I147" s="3" t="str">
        <f aca="false">Raw_Data!H147</f>
        <v>yes</v>
      </c>
      <c r="J147" s="2" t="n">
        <f aca="false">IF(F147="yes",1,0)</f>
        <v>0</v>
      </c>
      <c r="K147" s="2" t="n">
        <f aca="false">IF(H147="yes",1,0)</f>
        <v>0</v>
      </c>
      <c r="L147" s="2" t="n">
        <f aca="false">IF(I147="yes",1,0)</f>
        <v>1</v>
      </c>
      <c r="M147" s="2" t="n">
        <f aca="false">IF(G147&lt;0,1,0)</f>
        <v>0</v>
      </c>
      <c r="N147" s="2" t="str">
        <f aca="false">_xlfn.IFS(B147&lt;30,"Under 30",B147&lt;40,"30-39",B147&lt;50,"40-49",B147&lt;60,"50-59",TRUE(),"60+")</f>
        <v>30-39</v>
      </c>
      <c r="O147" s="2" t="str">
        <f aca="false">_xlfn.IFS(G147&lt;0,"1 Negative",G147=0,"2 Zero",G147&lt;=500,"3 1-500",G147&lt;=2000,"4 501-2000",TRUE(),"5 Above 2000")</f>
        <v>3 1-500</v>
      </c>
      <c r="P147" s="2" t="n">
        <f aca="false">Lookups!$B$2*M147+Lookups!$B$3*L147</f>
        <v>1</v>
      </c>
      <c r="Q147" s="2" t="str">
        <f aca="false">INDEX(Lookups!$E$2:$E$5,MATCH(P147,Lookups!$D$2:$D$5,0))</f>
        <v>Medium</v>
      </c>
    </row>
    <row r="148" customFormat="false" ht="15" hidden="false" customHeight="false" outlineLevel="0" collapsed="false">
      <c r="A148" s="3" t="n">
        <v>147</v>
      </c>
      <c r="B148" s="3" t="n">
        <f aca="false">Raw_Data!A148</f>
        <v>56</v>
      </c>
      <c r="C148" s="3" t="str">
        <f aca="false">SUBSTITUTE(Raw_Data!B148,".","")</f>
        <v>retired</v>
      </c>
      <c r="D148" s="3" t="str">
        <f aca="false">Raw_Data!C148</f>
        <v>married</v>
      </c>
      <c r="E148" s="3" t="str">
        <f aca="false">Raw_Data!D148</f>
        <v>primary</v>
      </c>
      <c r="F148" s="3" t="str">
        <f aca="false">Raw_Data!E148</f>
        <v>no</v>
      </c>
      <c r="G148" s="3" t="n">
        <f aca="false">Raw_Data!F148</f>
        <v>1906</v>
      </c>
      <c r="H148" s="3" t="str">
        <f aca="false">Raw_Data!G148</f>
        <v>no</v>
      </c>
      <c r="I148" s="3" t="str">
        <f aca="false">Raw_Data!H148</f>
        <v>yes</v>
      </c>
      <c r="J148" s="2" t="n">
        <f aca="false">IF(F148="yes",1,0)</f>
        <v>0</v>
      </c>
      <c r="K148" s="2" t="n">
        <f aca="false">IF(H148="yes",1,0)</f>
        <v>0</v>
      </c>
      <c r="L148" s="2" t="n">
        <f aca="false">IF(I148="yes",1,0)</f>
        <v>1</v>
      </c>
      <c r="M148" s="2" t="n">
        <f aca="false">IF(G148&lt;0,1,0)</f>
        <v>0</v>
      </c>
      <c r="N148" s="2" t="str">
        <f aca="false">_xlfn.IFS(B148&lt;30,"Under 30",B148&lt;40,"30-39",B148&lt;50,"40-49",B148&lt;60,"50-59",TRUE(),"60+")</f>
        <v>50-59</v>
      </c>
      <c r="O148" s="2" t="str">
        <f aca="false">_xlfn.IFS(G148&lt;0,"1 Negative",G148=0,"2 Zero",G148&lt;=500,"3 1-500",G148&lt;=2000,"4 501-2000",TRUE(),"5 Above 2000")</f>
        <v>4 501-2000</v>
      </c>
      <c r="P148" s="2" t="n">
        <f aca="false">Lookups!$B$2*M148+Lookups!$B$3*L148</f>
        <v>1</v>
      </c>
      <c r="Q148" s="2" t="str">
        <f aca="false">INDEX(Lookups!$E$2:$E$5,MATCH(P148,Lookups!$D$2:$D$5,0))</f>
        <v>Medium</v>
      </c>
    </row>
    <row r="149" customFormat="false" ht="15" hidden="false" customHeight="false" outlineLevel="0" collapsed="false">
      <c r="A149" s="3" t="n">
        <v>148</v>
      </c>
      <c r="B149" s="3" t="n">
        <f aca="false">Raw_Data!A149</f>
        <v>48</v>
      </c>
      <c r="C149" s="3" t="str">
        <f aca="false">SUBSTITUTE(Raw_Data!B149,".","")</f>
        <v>technician</v>
      </c>
      <c r="D149" s="3" t="str">
        <f aca="false">Raw_Data!C149</f>
        <v>married</v>
      </c>
      <c r="E149" s="3" t="str">
        <f aca="false">Raw_Data!D149</f>
        <v>secondary</v>
      </c>
      <c r="F149" s="3" t="str">
        <f aca="false">Raw_Data!E149</f>
        <v>no</v>
      </c>
      <c r="G149" s="3" t="n">
        <f aca="false">Raw_Data!F149</f>
        <v>1152</v>
      </c>
      <c r="H149" s="3" t="str">
        <f aca="false">Raw_Data!G149</f>
        <v>yes</v>
      </c>
      <c r="I149" s="3" t="str">
        <f aca="false">Raw_Data!H149</f>
        <v>no</v>
      </c>
      <c r="J149" s="2" t="n">
        <f aca="false">IF(F149="yes",1,0)</f>
        <v>0</v>
      </c>
      <c r="K149" s="2" t="n">
        <f aca="false">IF(H149="yes",1,0)</f>
        <v>1</v>
      </c>
      <c r="L149" s="2" t="n">
        <f aca="false">IF(I149="yes",1,0)</f>
        <v>0</v>
      </c>
      <c r="M149" s="2" t="n">
        <f aca="false">IF(G149&lt;0,1,0)</f>
        <v>0</v>
      </c>
      <c r="N149" s="2" t="str">
        <f aca="false">_xlfn.IFS(B149&lt;30,"Under 30",B149&lt;40,"30-39",B149&lt;50,"40-49",B149&lt;60,"50-59",TRUE(),"60+")</f>
        <v>40-49</v>
      </c>
      <c r="O149" s="2" t="str">
        <f aca="false">_xlfn.IFS(G149&lt;0,"1 Negative",G149=0,"2 Zero",G149&lt;=500,"3 1-500",G149&lt;=2000,"4 501-2000",TRUE(),"5 Above 2000")</f>
        <v>4 501-2000</v>
      </c>
      <c r="P149" s="2" t="n">
        <f aca="false">Lookups!$B$2*M149+Lookups!$B$3*L149</f>
        <v>0</v>
      </c>
      <c r="Q149" s="2" t="str">
        <f aca="false">INDEX(Lookups!$E$2:$E$5,MATCH(P149,Lookups!$D$2:$D$5,0))</f>
        <v>Low</v>
      </c>
    </row>
    <row r="150" customFormat="false" ht="15" hidden="false" customHeight="false" outlineLevel="0" collapsed="false">
      <c r="A150" s="3" t="n">
        <v>149</v>
      </c>
      <c r="B150" s="3" t="n">
        <f aca="false">Raw_Data!A150</f>
        <v>46</v>
      </c>
      <c r="C150" s="3" t="str">
        <f aca="false">SUBSTITUTE(Raw_Data!B150,".","")</f>
        <v>admin</v>
      </c>
      <c r="D150" s="3" t="str">
        <f aca="false">Raw_Data!C150</f>
        <v>married</v>
      </c>
      <c r="E150" s="3" t="str">
        <f aca="false">Raw_Data!D150</f>
        <v>secondary</v>
      </c>
      <c r="F150" s="3" t="str">
        <f aca="false">Raw_Data!E150</f>
        <v>no</v>
      </c>
      <c r="G150" s="3" t="n">
        <f aca="false">Raw_Data!F150</f>
        <v>179</v>
      </c>
      <c r="H150" s="3" t="str">
        <f aca="false">Raw_Data!G150</f>
        <v>yes</v>
      </c>
      <c r="I150" s="3" t="str">
        <f aca="false">Raw_Data!H150</f>
        <v>no</v>
      </c>
      <c r="J150" s="2" t="n">
        <f aca="false">IF(F150="yes",1,0)</f>
        <v>0</v>
      </c>
      <c r="K150" s="2" t="n">
        <f aca="false">IF(H150="yes",1,0)</f>
        <v>1</v>
      </c>
      <c r="L150" s="2" t="n">
        <f aca="false">IF(I150="yes",1,0)</f>
        <v>0</v>
      </c>
      <c r="M150" s="2" t="n">
        <f aca="false">IF(G150&lt;0,1,0)</f>
        <v>0</v>
      </c>
      <c r="N150" s="2" t="str">
        <f aca="false">_xlfn.IFS(B150&lt;30,"Under 30",B150&lt;40,"30-39",B150&lt;50,"40-49",B150&lt;60,"50-59",TRUE(),"60+")</f>
        <v>40-49</v>
      </c>
      <c r="O150" s="2" t="str">
        <f aca="false">_xlfn.IFS(G150&lt;0,"1 Negative",G150=0,"2 Zero",G150&lt;=500,"3 1-500",G150&lt;=2000,"4 501-2000",TRUE(),"5 Above 2000")</f>
        <v>3 1-500</v>
      </c>
      <c r="P150" s="2" t="n">
        <f aca="false">Lookups!$B$2*M150+Lookups!$B$3*L150</f>
        <v>0</v>
      </c>
      <c r="Q150" s="2" t="str">
        <f aca="false">INDEX(Lookups!$E$2:$E$5,MATCH(P150,Lookups!$D$2:$D$5,0))</f>
        <v>Low</v>
      </c>
    </row>
    <row r="151" customFormat="false" ht="15" hidden="false" customHeight="false" outlineLevel="0" collapsed="false">
      <c r="A151" s="3" t="n">
        <v>150</v>
      </c>
      <c r="B151" s="3" t="n">
        <f aca="false">Raw_Data!A151</f>
        <v>37</v>
      </c>
      <c r="C151" s="3" t="str">
        <f aca="false">SUBSTITUTE(Raw_Data!B151,".","")</f>
        <v>technician</v>
      </c>
      <c r="D151" s="3" t="str">
        <f aca="false">Raw_Data!C151</f>
        <v>single</v>
      </c>
      <c r="E151" s="3" t="str">
        <f aca="false">Raw_Data!D151</f>
        <v>unknown</v>
      </c>
      <c r="F151" s="3" t="str">
        <f aca="false">Raw_Data!E151</f>
        <v>no</v>
      </c>
      <c r="G151" s="3" t="n">
        <f aca="false">Raw_Data!F151</f>
        <v>391</v>
      </c>
      <c r="H151" s="3" t="str">
        <f aca="false">Raw_Data!G151</f>
        <v>yes</v>
      </c>
      <c r="I151" s="3" t="str">
        <f aca="false">Raw_Data!H151</f>
        <v>no</v>
      </c>
      <c r="J151" s="2" t="n">
        <f aca="false">IF(F151="yes",1,0)</f>
        <v>0</v>
      </c>
      <c r="K151" s="2" t="n">
        <f aca="false">IF(H151="yes",1,0)</f>
        <v>1</v>
      </c>
      <c r="L151" s="2" t="n">
        <f aca="false">IF(I151="yes",1,0)</f>
        <v>0</v>
      </c>
      <c r="M151" s="2" t="n">
        <f aca="false">IF(G151&lt;0,1,0)</f>
        <v>0</v>
      </c>
      <c r="N151" s="2" t="str">
        <f aca="false">_xlfn.IFS(B151&lt;30,"Under 30",B151&lt;40,"30-39",B151&lt;50,"40-49",B151&lt;60,"50-59",TRUE(),"60+")</f>
        <v>30-39</v>
      </c>
      <c r="O151" s="2" t="str">
        <f aca="false">_xlfn.IFS(G151&lt;0,"1 Negative",G151=0,"2 Zero",G151&lt;=500,"3 1-500",G151&lt;=2000,"4 501-2000",TRUE(),"5 Above 2000")</f>
        <v>3 1-500</v>
      </c>
      <c r="P151" s="2" t="n">
        <f aca="false">Lookups!$B$2*M151+Lookups!$B$3*L151</f>
        <v>0</v>
      </c>
      <c r="Q151" s="2" t="str">
        <f aca="false">INDEX(Lookups!$E$2:$E$5,MATCH(P151,Lookups!$D$2:$D$5,0))</f>
        <v>Low</v>
      </c>
    </row>
    <row r="152" customFormat="false" ht="15" hidden="false" customHeight="false" outlineLevel="0" collapsed="false">
      <c r="A152" s="3" t="n">
        <v>151</v>
      </c>
      <c r="B152" s="3" t="n">
        <f aca="false">Raw_Data!A152</f>
        <v>41</v>
      </c>
      <c r="C152" s="3" t="str">
        <f aca="false">SUBSTITUTE(Raw_Data!B152,".","")</f>
        <v>entrepreneur</v>
      </c>
      <c r="D152" s="3" t="str">
        <f aca="false">Raw_Data!C152</f>
        <v>married</v>
      </c>
      <c r="E152" s="3" t="str">
        <f aca="false">Raw_Data!D152</f>
        <v>unknown</v>
      </c>
      <c r="F152" s="3" t="str">
        <f aca="false">Raw_Data!E152</f>
        <v>no</v>
      </c>
      <c r="G152" s="3" t="n">
        <f aca="false">Raw_Data!F152</f>
        <v>89</v>
      </c>
      <c r="H152" s="3" t="str">
        <f aca="false">Raw_Data!G152</f>
        <v>yes</v>
      </c>
      <c r="I152" s="3" t="str">
        <f aca="false">Raw_Data!H152</f>
        <v>no</v>
      </c>
      <c r="J152" s="2" t="n">
        <f aca="false">IF(F152="yes",1,0)</f>
        <v>0</v>
      </c>
      <c r="K152" s="2" t="n">
        <f aca="false">IF(H152="yes",1,0)</f>
        <v>1</v>
      </c>
      <c r="L152" s="2" t="n">
        <f aca="false">IF(I152="yes",1,0)</f>
        <v>0</v>
      </c>
      <c r="M152" s="2" t="n">
        <f aca="false">IF(G152&lt;0,1,0)</f>
        <v>0</v>
      </c>
      <c r="N152" s="2" t="str">
        <f aca="false">_xlfn.IFS(B152&lt;30,"Under 30",B152&lt;40,"30-39",B152&lt;50,"40-49",B152&lt;60,"50-59",TRUE(),"60+")</f>
        <v>40-49</v>
      </c>
      <c r="O152" s="2" t="str">
        <f aca="false">_xlfn.IFS(G152&lt;0,"1 Negative",G152=0,"2 Zero",G152&lt;=500,"3 1-500",G152&lt;=2000,"4 501-2000",TRUE(),"5 Above 2000")</f>
        <v>3 1-500</v>
      </c>
      <c r="P152" s="2" t="n">
        <f aca="false">Lookups!$B$2*M152+Lookups!$B$3*L152</f>
        <v>0</v>
      </c>
      <c r="Q152" s="2" t="str">
        <f aca="false">INDEX(Lookups!$E$2:$E$5,MATCH(P152,Lookups!$D$2:$D$5,0))</f>
        <v>Low</v>
      </c>
    </row>
    <row r="153" customFormat="false" ht="15" hidden="false" customHeight="false" outlineLevel="0" collapsed="false">
      <c r="A153" s="3" t="n">
        <v>152</v>
      </c>
      <c r="B153" s="3" t="n">
        <f aca="false">Raw_Data!A153</f>
        <v>36</v>
      </c>
      <c r="C153" s="3" t="str">
        <f aca="false">SUBSTITUTE(Raw_Data!B153,".","")</f>
        <v>management</v>
      </c>
      <c r="D153" s="3" t="str">
        <f aca="false">Raw_Data!C153</f>
        <v>single</v>
      </c>
      <c r="E153" s="3" t="str">
        <f aca="false">Raw_Data!D153</f>
        <v>tertiary</v>
      </c>
      <c r="F153" s="3" t="str">
        <f aca="false">Raw_Data!E153</f>
        <v>no</v>
      </c>
      <c r="G153" s="3" t="n">
        <f aca="false">Raw_Data!F153</f>
        <v>442</v>
      </c>
      <c r="H153" s="3" t="str">
        <f aca="false">Raw_Data!G153</f>
        <v>yes</v>
      </c>
      <c r="I153" s="3" t="str">
        <f aca="false">Raw_Data!H153</f>
        <v>yes</v>
      </c>
      <c r="J153" s="2" t="n">
        <f aca="false">IF(F153="yes",1,0)</f>
        <v>0</v>
      </c>
      <c r="K153" s="2" t="n">
        <f aca="false">IF(H153="yes",1,0)</f>
        <v>1</v>
      </c>
      <c r="L153" s="2" t="n">
        <f aca="false">IF(I153="yes",1,0)</f>
        <v>1</v>
      </c>
      <c r="M153" s="2" t="n">
        <f aca="false">IF(G153&lt;0,1,0)</f>
        <v>0</v>
      </c>
      <c r="N153" s="2" t="str">
        <f aca="false">_xlfn.IFS(B153&lt;30,"Under 30",B153&lt;40,"30-39",B153&lt;50,"40-49",B153&lt;60,"50-59",TRUE(),"60+")</f>
        <v>30-39</v>
      </c>
      <c r="O153" s="2" t="str">
        <f aca="false">_xlfn.IFS(G153&lt;0,"1 Negative",G153=0,"2 Zero",G153&lt;=500,"3 1-500",G153&lt;=2000,"4 501-2000",TRUE(),"5 Above 2000")</f>
        <v>3 1-500</v>
      </c>
      <c r="P153" s="2" t="n">
        <f aca="false">Lookups!$B$2*M153+Lookups!$B$3*L153</f>
        <v>1</v>
      </c>
      <c r="Q153" s="2" t="str">
        <f aca="false">INDEX(Lookups!$E$2:$E$5,MATCH(P153,Lookups!$D$2:$D$5,0))</f>
        <v>Medium</v>
      </c>
    </row>
    <row r="154" customFormat="false" ht="15" hidden="false" customHeight="false" outlineLevel="0" collapsed="false">
      <c r="A154" s="3" t="n">
        <v>153</v>
      </c>
      <c r="B154" s="3" t="n">
        <f aca="false">Raw_Data!A154</f>
        <v>45</v>
      </c>
      <c r="C154" s="3" t="str">
        <f aca="false">SUBSTITUTE(Raw_Data!B154,".","")</f>
        <v>unemployed</v>
      </c>
      <c r="D154" s="3" t="str">
        <f aca="false">Raw_Data!C154</f>
        <v>divorced</v>
      </c>
      <c r="E154" s="3" t="str">
        <f aca="false">Raw_Data!D154</f>
        <v>primary</v>
      </c>
      <c r="F154" s="3" t="str">
        <f aca="false">Raw_Data!E154</f>
        <v>yes</v>
      </c>
      <c r="G154" s="3" t="n">
        <f aca="false">Raw_Data!F154</f>
        <v>-249</v>
      </c>
      <c r="H154" s="3" t="str">
        <f aca="false">Raw_Data!G154</f>
        <v>yes</v>
      </c>
      <c r="I154" s="3" t="str">
        <f aca="false">Raw_Data!H154</f>
        <v>yes</v>
      </c>
      <c r="J154" s="2" t="n">
        <f aca="false">IF(F154="yes",1,0)</f>
        <v>1</v>
      </c>
      <c r="K154" s="2" t="n">
        <f aca="false">IF(H154="yes",1,0)</f>
        <v>1</v>
      </c>
      <c r="L154" s="2" t="n">
        <f aca="false">IF(I154="yes",1,0)</f>
        <v>1</v>
      </c>
      <c r="M154" s="2" t="n">
        <f aca="false">IF(G154&lt;0,1,0)</f>
        <v>1</v>
      </c>
      <c r="N154" s="2" t="str">
        <f aca="false">_xlfn.IFS(B154&lt;30,"Under 30",B154&lt;40,"30-39",B154&lt;50,"40-49",B154&lt;60,"50-59",TRUE(),"60+")</f>
        <v>40-49</v>
      </c>
      <c r="O154" s="2" t="str">
        <f aca="false">_xlfn.IFS(G154&lt;0,"1 Negative",G154=0,"2 Zero",G154&lt;=500,"3 1-500",G154&lt;=2000,"4 501-2000",TRUE(),"5 Above 2000")</f>
        <v>1 Negative</v>
      </c>
      <c r="P154" s="2" t="n">
        <f aca="false">Lookups!$B$2*M154+Lookups!$B$3*L154</f>
        <v>3</v>
      </c>
      <c r="Q154" s="2" t="str">
        <f aca="false">INDEX(Lookups!$E$2:$E$5,MATCH(P154,Lookups!$D$2:$D$5,0))</f>
        <v>High</v>
      </c>
    </row>
    <row r="155" customFormat="false" ht="15" hidden="false" customHeight="false" outlineLevel="0" collapsed="false">
      <c r="A155" s="3" t="n">
        <v>154</v>
      </c>
      <c r="B155" s="3" t="n">
        <f aca="false">Raw_Data!A155</f>
        <v>55</v>
      </c>
      <c r="C155" s="3" t="str">
        <f aca="false">SUBSTITUTE(Raw_Data!B155,".","")</f>
        <v>entrepreneur</v>
      </c>
      <c r="D155" s="3" t="str">
        <f aca="false">Raw_Data!C155</f>
        <v>married</v>
      </c>
      <c r="E155" s="3" t="str">
        <f aca="false">Raw_Data!D155</f>
        <v>secondary</v>
      </c>
      <c r="F155" s="3" t="str">
        <f aca="false">Raw_Data!E155</f>
        <v>no</v>
      </c>
      <c r="G155" s="3" t="n">
        <f aca="false">Raw_Data!F155</f>
        <v>8104</v>
      </c>
      <c r="H155" s="3" t="str">
        <f aca="false">Raw_Data!G155</f>
        <v>no</v>
      </c>
      <c r="I155" s="3" t="str">
        <f aca="false">Raw_Data!H155</f>
        <v>no</v>
      </c>
      <c r="J155" s="2" t="n">
        <f aca="false">IF(F155="yes",1,0)</f>
        <v>0</v>
      </c>
      <c r="K155" s="2" t="n">
        <f aca="false">IF(H155="yes",1,0)</f>
        <v>0</v>
      </c>
      <c r="L155" s="2" t="n">
        <f aca="false">IF(I155="yes",1,0)</f>
        <v>0</v>
      </c>
      <c r="M155" s="2" t="n">
        <f aca="false">IF(G155&lt;0,1,0)</f>
        <v>0</v>
      </c>
      <c r="N155" s="2" t="str">
        <f aca="false">_xlfn.IFS(B155&lt;30,"Under 30",B155&lt;40,"30-39",B155&lt;50,"40-49",B155&lt;60,"50-59",TRUE(),"60+")</f>
        <v>50-59</v>
      </c>
      <c r="O155" s="2" t="str">
        <f aca="false">_xlfn.IFS(G155&lt;0,"1 Negative",G155=0,"2 Zero",G155&lt;=500,"3 1-500",G155&lt;=2000,"4 501-2000",TRUE(),"5 Above 2000")</f>
        <v>5 Above 2000</v>
      </c>
      <c r="P155" s="2" t="n">
        <f aca="false">Lookups!$B$2*M155+Lookups!$B$3*L155</f>
        <v>0</v>
      </c>
      <c r="Q155" s="2" t="str">
        <f aca="false">INDEX(Lookups!$E$2:$E$5,MATCH(P155,Lookups!$D$2:$D$5,0))</f>
        <v>Low</v>
      </c>
    </row>
    <row r="156" customFormat="false" ht="15" hidden="false" customHeight="false" outlineLevel="0" collapsed="false">
      <c r="A156" s="3" t="n">
        <v>155</v>
      </c>
      <c r="B156" s="3" t="n">
        <f aca="false">Raw_Data!A156</f>
        <v>39</v>
      </c>
      <c r="C156" s="3" t="str">
        <f aca="false">SUBSTITUTE(Raw_Data!B156,".","")</f>
        <v>technician</v>
      </c>
      <c r="D156" s="3" t="str">
        <f aca="false">Raw_Data!C156</f>
        <v>married</v>
      </c>
      <c r="E156" s="3" t="str">
        <f aca="false">Raw_Data!D156</f>
        <v>secondary</v>
      </c>
      <c r="F156" s="3" t="str">
        <f aca="false">Raw_Data!E156</f>
        <v>no</v>
      </c>
      <c r="G156" s="3" t="n">
        <f aca="false">Raw_Data!F156</f>
        <v>501</v>
      </c>
      <c r="H156" s="3" t="str">
        <f aca="false">Raw_Data!G156</f>
        <v>no</v>
      </c>
      <c r="I156" s="3" t="str">
        <f aca="false">Raw_Data!H156</f>
        <v>no</v>
      </c>
      <c r="J156" s="2" t="n">
        <f aca="false">IF(F156="yes",1,0)</f>
        <v>0</v>
      </c>
      <c r="K156" s="2" t="n">
        <f aca="false">IF(H156="yes",1,0)</f>
        <v>0</v>
      </c>
      <c r="L156" s="2" t="n">
        <f aca="false">IF(I156="yes",1,0)</f>
        <v>0</v>
      </c>
      <c r="M156" s="2" t="n">
        <f aca="false">IF(G156&lt;0,1,0)</f>
        <v>0</v>
      </c>
      <c r="N156" s="2" t="str">
        <f aca="false">_xlfn.IFS(B156&lt;30,"Under 30",B156&lt;40,"30-39",B156&lt;50,"40-49",B156&lt;60,"50-59",TRUE(),"60+")</f>
        <v>30-39</v>
      </c>
      <c r="O156" s="2" t="str">
        <f aca="false">_xlfn.IFS(G156&lt;0,"1 Negative",G156=0,"2 Zero",G156&lt;=500,"3 1-500",G156&lt;=2000,"4 501-2000",TRUE(),"5 Above 2000")</f>
        <v>4 501-2000</v>
      </c>
      <c r="P156" s="2" t="n">
        <f aca="false">Lookups!$B$2*M156+Lookups!$B$3*L156</f>
        <v>0</v>
      </c>
      <c r="Q156" s="2" t="str">
        <f aca="false">INDEX(Lookups!$E$2:$E$5,MATCH(P156,Lookups!$D$2:$D$5,0))</f>
        <v>Low</v>
      </c>
    </row>
    <row r="157" customFormat="false" ht="15" hidden="false" customHeight="false" outlineLevel="0" collapsed="false">
      <c r="A157" s="3" t="n">
        <v>156</v>
      </c>
      <c r="B157" s="3" t="n">
        <f aca="false">Raw_Data!A157</f>
        <v>35</v>
      </c>
      <c r="C157" s="3" t="str">
        <f aca="false">SUBSTITUTE(Raw_Data!B157,".","")</f>
        <v>technician</v>
      </c>
      <c r="D157" s="3" t="str">
        <f aca="false">Raw_Data!C157</f>
        <v>divorced</v>
      </c>
      <c r="E157" s="3" t="str">
        <f aca="false">Raw_Data!D157</f>
        <v>secondary</v>
      </c>
      <c r="F157" s="3" t="str">
        <f aca="false">Raw_Data!E157</f>
        <v>no</v>
      </c>
      <c r="G157" s="3" t="n">
        <f aca="false">Raw_Data!F157</f>
        <v>308</v>
      </c>
      <c r="H157" s="3" t="str">
        <f aca="false">Raw_Data!G157</f>
        <v>no</v>
      </c>
      <c r="I157" s="3" t="str">
        <f aca="false">Raw_Data!H157</f>
        <v>no</v>
      </c>
      <c r="J157" s="2" t="n">
        <f aca="false">IF(F157="yes",1,0)</f>
        <v>0</v>
      </c>
      <c r="K157" s="2" t="n">
        <f aca="false">IF(H157="yes",1,0)</f>
        <v>0</v>
      </c>
      <c r="L157" s="2" t="n">
        <f aca="false">IF(I157="yes",1,0)</f>
        <v>0</v>
      </c>
      <c r="M157" s="2" t="n">
        <f aca="false">IF(G157&lt;0,1,0)</f>
        <v>0</v>
      </c>
      <c r="N157" s="2" t="str">
        <f aca="false">_xlfn.IFS(B157&lt;30,"Under 30",B157&lt;40,"30-39",B157&lt;50,"40-49",B157&lt;60,"50-59",TRUE(),"60+")</f>
        <v>30-39</v>
      </c>
      <c r="O157" s="2" t="str">
        <f aca="false">_xlfn.IFS(G157&lt;0,"1 Negative",G157=0,"2 Zero",G157&lt;=500,"3 1-500",G157&lt;=2000,"4 501-2000",TRUE(),"5 Above 2000")</f>
        <v>3 1-500</v>
      </c>
      <c r="P157" s="2" t="n">
        <f aca="false">Lookups!$B$2*M157+Lookups!$B$3*L157</f>
        <v>0</v>
      </c>
      <c r="Q157" s="2" t="str">
        <f aca="false">INDEX(Lookups!$E$2:$E$5,MATCH(P157,Lookups!$D$2:$D$5,0))</f>
        <v>Low</v>
      </c>
    </row>
    <row r="158" customFormat="false" ht="15" hidden="false" customHeight="false" outlineLevel="0" collapsed="false">
      <c r="A158" s="3" t="n">
        <v>157</v>
      </c>
      <c r="B158" s="3" t="n">
        <f aca="false">Raw_Data!A158</f>
        <v>55</v>
      </c>
      <c r="C158" s="3" t="str">
        <f aca="false">SUBSTITUTE(Raw_Data!B158,".","")</f>
        <v>admin</v>
      </c>
      <c r="D158" s="3" t="str">
        <f aca="false">Raw_Data!C158</f>
        <v>married</v>
      </c>
      <c r="E158" s="3" t="str">
        <f aca="false">Raw_Data!D158</f>
        <v>secondary</v>
      </c>
      <c r="F158" s="3" t="str">
        <f aca="false">Raw_Data!E158</f>
        <v>no</v>
      </c>
      <c r="G158" s="3" t="n">
        <f aca="false">Raw_Data!F158</f>
        <v>602</v>
      </c>
      <c r="H158" s="3" t="str">
        <f aca="false">Raw_Data!G158</f>
        <v>no</v>
      </c>
      <c r="I158" s="3" t="str">
        <f aca="false">Raw_Data!H158</f>
        <v>no</v>
      </c>
      <c r="J158" s="2" t="n">
        <f aca="false">IF(F158="yes",1,0)</f>
        <v>0</v>
      </c>
      <c r="K158" s="2" t="n">
        <f aca="false">IF(H158="yes",1,0)</f>
        <v>0</v>
      </c>
      <c r="L158" s="2" t="n">
        <f aca="false">IF(I158="yes",1,0)</f>
        <v>0</v>
      </c>
      <c r="M158" s="2" t="n">
        <f aca="false">IF(G158&lt;0,1,0)</f>
        <v>0</v>
      </c>
      <c r="N158" s="2" t="str">
        <f aca="false">_xlfn.IFS(B158&lt;30,"Under 30",B158&lt;40,"30-39",B158&lt;50,"40-49",B158&lt;60,"50-59",TRUE(),"60+")</f>
        <v>50-59</v>
      </c>
      <c r="O158" s="2" t="str">
        <f aca="false">_xlfn.IFS(G158&lt;0,"1 Negative",G158=0,"2 Zero",G158&lt;=500,"3 1-500",G158&lt;=2000,"4 501-2000",TRUE(),"5 Above 2000")</f>
        <v>4 501-2000</v>
      </c>
      <c r="P158" s="2" t="n">
        <f aca="false">Lookups!$B$2*M158+Lookups!$B$3*L158</f>
        <v>0</v>
      </c>
      <c r="Q158" s="2" t="str">
        <f aca="false">INDEX(Lookups!$E$2:$E$5,MATCH(P158,Lookups!$D$2:$D$5,0))</f>
        <v>Low</v>
      </c>
    </row>
    <row r="159" customFormat="false" ht="15" hidden="false" customHeight="false" outlineLevel="0" collapsed="false">
      <c r="A159" s="3" t="n">
        <v>158</v>
      </c>
      <c r="B159" s="3" t="n">
        <f aca="false">Raw_Data!A159</f>
        <v>55</v>
      </c>
      <c r="C159" s="3" t="str">
        <f aca="false">SUBSTITUTE(Raw_Data!B159,".","")</f>
        <v>technician</v>
      </c>
      <c r="D159" s="3" t="str">
        <f aca="false">Raw_Data!C159</f>
        <v>married</v>
      </c>
      <c r="E159" s="3" t="str">
        <f aca="false">Raw_Data!D159</f>
        <v>secondary</v>
      </c>
      <c r="F159" s="3" t="str">
        <f aca="false">Raw_Data!E159</f>
        <v>no</v>
      </c>
      <c r="G159" s="3" t="n">
        <f aca="false">Raw_Data!F159</f>
        <v>273</v>
      </c>
      <c r="H159" s="3" t="str">
        <f aca="false">Raw_Data!G159</f>
        <v>yes</v>
      </c>
      <c r="I159" s="3" t="str">
        <f aca="false">Raw_Data!H159</f>
        <v>no</v>
      </c>
      <c r="J159" s="2" t="n">
        <f aca="false">IF(F159="yes",1,0)</f>
        <v>0</v>
      </c>
      <c r="K159" s="2" t="n">
        <f aca="false">IF(H159="yes",1,0)</f>
        <v>1</v>
      </c>
      <c r="L159" s="2" t="n">
        <f aca="false">IF(I159="yes",1,0)</f>
        <v>0</v>
      </c>
      <c r="M159" s="2" t="n">
        <f aca="false">IF(G159&lt;0,1,0)</f>
        <v>0</v>
      </c>
      <c r="N159" s="2" t="str">
        <f aca="false">_xlfn.IFS(B159&lt;30,"Under 30",B159&lt;40,"30-39",B159&lt;50,"40-49",B159&lt;60,"50-59",TRUE(),"60+")</f>
        <v>50-59</v>
      </c>
      <c r="O159" s="2" t="str">
        <f aca="false">_xlfn.IFS(G159&lt;0,"1 Negative",G159=0,"2 Zero",G159&lt;=500,"3 1-500",G159&lt;=2000,"4 501-2000",TRUE(),"5 Above 2000")</f>
        <v>3 1-500</v>
      </c>
      <c r="P159" s="2" t="n">
        <f aca="false">Lookups!$B$2*M159+Lookups!$B$3*L159</f>
        <v>0</v>
      </c>
      <c r="Q159" s="2" t="str">
        <f aca="false">INDEX(Lookups!$E$2:$E$5,MATCH(P159,Lookups!$D$2:$D$5,0))</f>
        <v>Low</v>
      </c>
    </row>
    <row r="160" customFormat="false" ht="15" hidden="false" customHeight="false" outlineLevel="0" collapsed="false">
      <c r="A160" s="3" t="n">
        <v>159</v>
      </c>
      <c r="B160" s="3" t="n">
        <f aca="false">Raw_Data!A160</f>
        <v>27</v>
      </c>
      <c r="C160" s="3" t="str">
        <f aca="false">SUBSTITUTE(Raw_Data!B160,".","")</f>
        <v>self-employed</v>
      </c>
      <c r="D160" s="3" t="str">
        <f aca="false">Raw_Data!C160</f>
        <v>single</v>
      </c>
      <c r="E160" s="3" t="str">
        <f aca="false">Raw_Data!D160</f>
        <v>secondary</v>
      </c>
      <c r="F160" s="3" t="str">
        <f aca="false">Raw_Data!E160</f>
        <v>no</v>
      </c>
      <c r="G160" s="3" t="n">
        <f aca="false">Raw_Data!F160</f>
        <v>50</v>
      </c>
      <c r="H160" s="3" t="str">
        <f aca="false">Raw_Data!G160</f>
        <v>no</v>
      </c>
      <c r="I160" s="3" t="str">
        <f aca="false">Raw_Data!H160</f>
        <v>no</v>
      </c>
      <c r="J160" s="2" t="n">
        <f aca="false">IF(F160="yes",1,0)</f>
        <v>0</v>
      </c>
      <c r="K160" s="2" t="n">
        <f aca="false">IF(H160="yes",1,0)</f>
        <v>0</v>
      </c>
      <c r="L160" s="2" t="n">
        <f aca="false">IF(I160="yes",1,0)</f>
        <v>0</v>
      </c>
      <c r="M160" s="2" t="n">
        <f aca="false">IF(G160&lt;0,1,0)</f>
        <v>0</v>
      </c>
      <c r="N160" s="2" t="str">
        <f aca="false">_xlfn.IFS(B160&lt;30,"Under 30",B160&lt;40,"30-39",B160&lt;50,"40-49",B160&lt;60,"50-59",TRUE(),"60+")</f>
        <v>Under 30</v>
      </c>
      <c r="O160" s="2" t="str">
        <f aca="false">_xlfn.IFS(G160&lt;0,"1 Negative",G160=0,"2 Zero",G160&lt;=500,"3 1-500",G160&lt;=2000,"4 501-2000",TRUE(),"5 Above 2000")</f>
        <v>3 1-500</v>
      </c>
      <c r="P160" s="2" t="n">
        <f aca="false">Lookups!$B$2*M160+Lookups!$B$3*L160</f>
        <v>0</v>
      </c>
      <c r="Q160" s="2" t="str">
        <f aca="false">INDEX(Lookups!$E$2:$E$5,MATCH(P160,Lookups!$D$2:$D$5,0))</f>
        <v>Low</v>
      </c>
    </row>
    <row r="161" customFormat="false" ht="15" hidden="false" customHeight="false" outlineLevel="0" collapsed="false">
      <c r="A161" s="3" t="n">
        <v>160</v>
      </c>
      <c r="B161" s="3" t="n">
        <f aca="false">Raw_Data!A161</f>
        <v>34</v>
      </c>
      <c r="C161" s="3" t="str">
        <f aca="false">SUBSTITUTE(Raw_Data!B161,".","")</f>
        <v>technician</v>
      </c>
      <c r="D161" s="3" t="str">
        <f aca="false">Raw_Data!C161</f>
        <v>married</v>
      </c>
      <c r="E161" s="3" t="str">
        <f aca="false">Raw_Data!D161</f>
        <v>secondary</v>
      </c>
      <c r="F161" s="3" t="str">
        <f aca="false">Raw_Data!E161</f>
        <v>no</v>
      </c>
      <c r="G161" s="3" t="n">
        <f aca="false">Raw_Data!F161</f>
        <v>1641</v>
      </c>
      <c r="H161" s="3" t="str">
        <f aca="false">Raw_Data!G161</f>
        <v>yes</v>
      </c>
      <c r="I161" s="3" t="str">
        <f aca="false">Raw_Data!H161</f>
        <v>no</v>
      </c>
      <c r="J161" s="2" t="n">
        <f aca="false">IF(F161="yes",1,0)</f>
        <v>0</v>
      </c>
      <c r="K161" s="2" t="n">
        <f aca="false">IF(H161="yes",1,0)</f>
        <v>1</v>
      </c>
      <c r="L161" s="2" t="n">
        <f aca="false">IF(I161="yes",1,0)</f>
        <v>0</v>
      </c>
      <c r="M161" s="2" t="n">
        <f aca="false">IF(G161&lt;0,1,0)</f>
        <v>0</v>
      </c>
      <c r="N161" s="2" t="str">
        <f aca="false">_xlfn.IFS(B161&lt;30,"Under 30",B161&lt;40,"30-39",B161&lt;50,"40-49",B161&lt;60,"50-59",TRUE(),"60+")</f>
        <v>30-39</v>
      </c>
      <c r="O161" s="2" t="str">
        <f aca="false">_xlfn.IFS(G161&lt;0,"1 Negative",G161=0,"2 Zero",G161&lt;=500,"3 1-500",G161&lt;=2000,"4 501-2000",TRUE(),"5 Above 2000")</f>
        <v>4 501-2000</v>
      </c>
      <c r="P161" s="2" t="n">
        <f aca="false">Lookups!$B$2*M161+Lookups!$B$3*L161</f>
        <v>0</v>
      </c>
      <c r="Q161" s="2" t="str">
        <f aca="false">INDEX(Lookups!$E$2:$E$5,MATCH(P161,Lookups!$D$2:$D$5,0))</f>
        <v>Low</v>
      </c>
    </row>
    <row r="162" customFormat="false" ht="15" hidden="false" customHeight="false" outlineLevel="0" collapsed="false">
      <c r="A162" s="3" t="n">
        <v>161</v>
      </c>
      <c r="B162" s="3" t="n">
        <f aca="false">Raw_Data!A162</f>
        <v>34</v>
      </c>
      <c r="C162" s="3" t="str">
        <f aca="false">SUBSTITUTE(Raw_Data!B162,".","")</f>
        <v>blue-collar</v>
      </c>
      <c r="D162" s="3" t="str">
        <f aca="false">Raw_Data!C162</f>
        <v>married</v>
      </c>
      <c r="E162" s="3" t="str">
        <f aca="false">Raw_Data!D162</f>
        <v>tertiary</v>
      </c>
      <c r="F162" s="3" t="str">
        <f aca="false">Raw_Data!E162</f>
        <v>no</v>
      </c>
      <c r="G162" s="3" t="n">
        <f aca="false">Raw_Data!F162</f>
        <v>20</v>
      </c>
      <c r="H162" s="3" t="str">
        <f aca="false">Raw_Data!G162</f>
        <v>no</v>
      </c>
      <c r="I162" s="3" t="str">
        <f aca="false">Raw_Data!H162</f>
        <v>no</v>
      </c>
      <c r="J162" s="2" t="n">
        <f aca="false">IF(F162="yes",1,0)</f>
        <v>0</v>
      </c>
      <c r="K162" s="2" t="n">
        <f aca="false">IF(H162="yes",1,0)</f>
        <v>0</v>
      </c>
      <c r="L162" s="2" t="n">
        <f aca="false">IF(I162="yes",1,0)</f>
        <v>0</v>
      </c>
      <c r="M162" s="2" t="n">
        <f aca="false">IF(G162&lt;0,1,0)</f>
        <v>0</v>
      </c>
      <c r="N162" s="2" t="str">
        <f aca="false">_xlfn.IFS(B162&lt;30,"Under 30",B162&lt;40,"30-39",B162&lt;50,"40-49",B162&lt;60,"50-59",TRUE(),"60+")</f>
        <v>30-39</v>
      </c>
      <c r="O162" s="2" t="str">
        <f aca="false">_xlfn.IFS(G162&lt;0,"1 Negative",G162=0,"2 Zero",G162&lt;=500,"3 1-500",G162&lt;=2000,"4 501-2000",TRUE(),"5 Above 2000")</f>
        <v>3 1-500</v>
      </c>
      <c r="P162" s="2" t="n">
        <f aca="false">Lookups!$B$2*M162+Lookups!$B$3*L162</f>
        <v>0</v>
      </c>
      <c r="Q162" s="2" t="str">
        <f aca="false">INDEX(Lookups!$E$2:$E$5,MATCH(P162,Lookups!$D$2:$D$5,0))</f>
        <v>Low</v>
      </c>
    </row>
    <row r="163" customFormat="false" ht="15" hidden="false" customHeight="false" outlineLevel="0" collapsed="false">
      <c r="A163" s="3" t="n">
        <v>162</v>
      </c>
      <c r="B163" s="3" t="n">
        <f aca="false">Raw_Data!A163</f>
        <v>25</v>
      </c>
      <c r="C163" s="3" t="str">
        <f aca="false">SUBSTITUTE(Raw_Data!B163,".","")</f>
        <v>admin</v>
      </c>
      <c r="D163" s="3" t="str">
        <f aca="false">Raw_Data!C163</f>
        <v>single</v>
      </c>
      <c r="E163" s="3" t="str">
        <f aca="false">Raw_Data!D163</f>
        <v>secondary</v>
      </c>
      <c r="F163" s="3" t="str">
        <f aca="false">Raw_Data!E163</f>
        <v>no</v>
      </c>
      <c r="G163" s="3" t="n">
        <f aca="false">Raw_Data!F163</f>
        <v>4590</v>
      </c>
      <c r="H163" s="3" t="str">
        <f aca="false">Raw_Data!G163</f>
        <v>yes</v>
      </c>
      <c r="I163" s="3" t="str">
        <f aca="false">Raw_Data!H163</f>
        <v>no</v>
      </c>
      <c r="J163" s="2" t="n">
        <f aca="false">IF(F163="yes",1,0)</f>
        <v>0</v>
      </c>
      <c r="K163" s="2" t="n">
        <f aca="false">IF(H163="yes",1,0)</f>
        <v>1</v>
      </c>
      <c r="L163" s="2" t="n">
        <f aca="false">IF(I163="yes",1,0)</f>
        <v>0</v>
      </c>
      <c r="M163" s="2" t="n">
        <f aca="false">IF(G163&lt;0,1,0)</f>
        <v>0</v>
      </c>
      <c r="N163" s="2" t="str">
        <f aca="false">_xlfn.IFS(B163&lt;30,"Under 30",B163&lt;40,"30-39",B163&lt;50,"40-49",B163&lt;60,"50-59",TRUE(),"60+")</f>
        <v>Under 30</v>
      </c>
      <c r="O163" s="2" t="str">
        <f aca="false">_xlfn.IFS(G163&lt;0,"1 Negative",G163=0,"2 Zero",G163&lt;=500,"3 1-500",G163&lt;=2000,"4 501-2000",TRUE(),"5 Above 2000")</f>
        <v>5 Above 2000</v>
      </c>
      <c r="P163" s="2" t="n">
        <f aca="false">Lookups!$B$2*M163+Lookups!$B$3*L163</f>
        <v>0</v>
      </c>
      <c r="Q163" s="2" t="str">
        <f aca="false">INDEX(Lookups!$E$2:$E$5,MATCH(P163,Lookups!$D$2:$D$5,0))</f>
        <v>Low</v>
      </c>
    </row>
    <row r="164" customFormat="false" ht="15" hidden="false" customHeight="false" outlineLevel="0" collapsed="false">
      <c r="A164" s="3" t="n">
        <v>163</v>
      </c>
      <c r="B164" s="3" t="n">
        <f aca="false">Raw_Data!A164</f>
        <v>41</v>
      </c>
      <c r="C164" s="3" t="str">
        <f aca="false">SUBSTITUTE(Raw_Data!B164,".","")</f>
        <v>admin</v>
      </c>
      <c r="D164" s="3" t="str">
        <f aca="false">Raw_Data!C164</f>
        <v>single</v>
      </c>
      <c r="E164" s="3" t="str">
        <f aca="false">Raw_Data!D164</f>
        <v>secondary</v>
      </c>
      <c r="F164" s="3" t="str">
        <f aca="false">Raw_Data!E164</f>
        <v>no</v>
      </c>
      <c r="G164" s="3" t="n">
        <f aca="false">Raw_Data!F164</f>
        <v>-256</v>
      </c>
      <c r="H164" s="3" t="str">
        <f aca="false">Raw_Data!G164</f>
        <v>no</v>
      </c>
      <c r="I164" s="3" t="str">
        <f aca="false">Raw_Data!H164</f>
        <v>yes</v>
      </c>
      <c r="J164" s="2" t="n">
        <f aca="false">IF(F164="yes",1,0)</f>
        <v>0</v>
      </c>
      <c r="K164" s="2" t="n">
        <f aca="false">IF(H164="yes",1,0)</f>
        <v>0</v>
      </c>
      <c r="L164" s="2" t="n">
        <f aca="false">IF(I164="yes",1,0)</f>
        <v>1</v>
      </c>
      <c r="M164" s="2" t="n">
        <f aca="false">IF(G164&lt;0,1,0)</f>
        <v>1</v>
      </c>
      <c r="N164" s="2" t="str">
        <f aca="false">_xlfn.IFS(B164&lt;30,"Under 30",B164&lt;40,"30-39",B164&lt;50,"40-49",B164&lt;60,"50-59",TRUE(),"60+")</f>
        <v>40-49</v>
      </c>
      <c r="O164" s="2" t="str">
        <f aca="false">_xlfn.IFS(G164&lt;0,"1 Negative",G164=0,"2 Zero",G164&lt;=500,"3 1-500",G164&lt;=2000,"4 501-2000",TRUE(),"5 Above 2000")</f>
        <v>1 Negative</v>
      </c>
      <c r="P164" s="2" t="n">
        <f aca="false">Lookups!$B$2*M164+Lookups!$B$3*L164</f>
        <v>3</v>
      </c>
      <c r="Q164" s="2" t="str">
        <f aca="false">INDEX(Lookups!$E$2:$E$5,MATCH(P164,Lookups!$D$2:$D$5,0))</f>
        <v>High</v>
      </c>
    </row>
    <row r="165" customFormat="false" ht="15" hidden="false" customHeight="false" outlineLevel="0" collapsed="false">
      <c r="A165" s="3" t="n">
        <v>164</v>
      </c>
      <c r="B165" s="3" t="n">
        <f aca="false">Raw_Data!A165</f>
        <v>43</v>
      </c>
      <c r="C165" s="3" t="str">
        <f aca="false">SUBSTITUTE(Raw_Data!B165,".","")</f>
        <v>services</v>
      </c>
      <c r="D165" s="3" t="str">
        <f aca="false">Raw_Data!C165</f>
        <v>married</v>
      </c>
      <c r="E165" s="3" t="str">
        <f aca="false">Raw_Data!D165</f>
        <v>secondary</v>
      </c>
      <c r="F165" s="3" t="str">
        <f aca="false">Raw_Data!E165</f>
        <v>no</v>
      </c>
      <c r="G165" s="3" t="n">
        <f aca="false">Raw_Data!F165</f>
        <v>978</v>
      </c>
      <c r="H165" s="3" t="str">
        <f aca="false">Raw_Data!G165</f>
        <v>yes</v>
      </c>
      <c r="I165" s="3" t="str">
        <f aca="false">Raw_Data!H165</f>
        <v>yes</v>
      </c>
      <c r="J165" s="2" t="n">
        <f aca="false">IF(F165="yes",1,0)</f>
        <v>0</v>
      </c>
      <c r="K165" s="2" t="n">
        <f aca="false">IF(H165="yes",1,0)</f>
        <v>1</v>
      </c>
      <c r="L165" s="2" t="n">
        <f aca="false">IF(I165="yes",1,0)</f>
        <v>1</v>
      </c>
      <c r="M165" s="2" t="n">
        <f aca="false">IF(G165&lt;0,1,0)</f>
        <v>0</v>
      </c>
      <c r="N165" s="2" t="str">
        <f aca="false">_xlfn.IFS(B165&lt;30,"Under 30",B165&lt;40,"30-39",B165&lt;50,"40-49",B165&lt;60,"50-59",TRUE(),"60+")</f>
        <v>40-49</v>
      </c>
      <c r="O165" s="2" t="str">
        <f aca="false">_xlfn.IFS(G165&lt;0,"1 Negative",G165=0,"2 Zero",G165&lt;=500,"3 1-500",G165&lt;=2000,"4 501-2000",TRUE(),"5 Above 2000")</f>
        <v>4 501-2000</v>
      </c>
      <c r="P165" s="2" t="n">
        <f aca="false">Lookups!$B$2*M165+Lookups!$B$3*L165</f>
        <v>1</v>
      </c>
      <c r="Q165" s="2" t="str">
        <f aca="false">INDEX(Lookups!$E$2:$E$5,MATCH(P165,Lookups!$D$2:$D$5,0))</f>
        <v>Medium</v>
      </c>
    </row>
    <row r="166" customFormat="false" ht="15" hidden="false" customHeight="false" outlineLevel="0" collapsed="false">
      <c r="A166" s="3" t="n">
        <v>165</v>
      </c>
      <c r="B166" s="3" t="n">
        <f aca="false">Raw_Data!A166</f>
        <v>28</v>
      </c>
      <c r="C166" s="3" t="str">
        <f aca="false">SUBSTITUTE(Raw_Data!B166,".","")</f>
        <v>management</v>
      </c>
      <c r="D166" s="3" t="str">
        <f aca="false">Raw_Data!C166</f>
        <v>single</v>
      </c>
      <c r="E166" s="3" t="str">
        <f aca="false">Raw_Data!D166</f>
        <v>tertiary</v>
      </c>
      <c r="F166" s="3" t="str">
        <f aca="false">Raw_Data!E166</f>
        <v>no</v>
      </c>
      <c r="G166" s="3" t="n">
        <f aca="false">Raw_Data!F166</f>
        <v>80</v>
      </c>
      <c r="H166" s="3" t="str">
        <f aca="false">Raw_Data!G166</f>
        <v>no</v>
      </c>
      <c r="I166" s="3" t="str">
        <f aca="false">Raw_Data!H166</f>
        <v>no</v>
      </c>
      <c r="J166" s="2" t="n">
        <f aca="false">IF(F166="yes",1,0)</f>
        <v>0</v>
      </c>
      <c r="K166" s="2" t="n">
        <f aca="false">IF(H166="yes",1,0)</f>
        <v>0</v>
      </c>
      <c r="L166" s="2" t="n">
        <f aca="false">IF(I166="yes",1,0)</f>
        <v>0</v>
      </c>
      <c r="M166" s="2" t="n">
        <f aca="false">IF(G166&lt;0,1,0)</f>
        <v>0</v>
      </c>
      <c r="N166" s="2" t="str">
        <f aca="false">_xlfn.IFS(B166&lt;30,"Under 30",B166&lt;40,"30-39",B166&lt;50,"40-49",B166&lt;60,"50-59",TRUE(),"60+")</f>
        <v>Under 30</v>
      </c>
      <c r="O166" s="2" t="str">
        <f aca="false">_xlfn.IFS(G166&lt;0,"1 Negative",G166=0,"2 Zero",G166&lt;=500,"3 1-500",G166&lt;=2000,"4 501-2000",TRUE(),"5 Above 2000")</f>
        <v>3 1-500</v>
      </c>
      <c r="P166" s="2" t="n">
        <f aca="false">Lookups!$B$2*M166+Lookups!$B$3*L166</f>
        <v>0</v>
      </c>
      <c r="Q166" s="2" t="str">
        <f aca="false">INDEX(Lookups!$E$2:$E$5,MATCH(P166,Lookups!$D$2:$D$5,0))</f>
        <v>Low</v>
      </c>
    </row>
    <row r="167" customFormat="false" ht="15" hidden="false" customHeight="false" outlineLevel="0" collapsed="false">
      <c r="A167" s="3" t="n">
        <v>166</v>
      </c>
      <c r="B167" s="3" t="n">
        <f aca="false">Raw_Data!A167</f>
        <v>31</v>
      </c>
      <c r="C167" s="3" t="str">
        <f aca="false">SUBSTITUTE(Raw_Data!B167,".","")</f>
        <v>admin</v>
      </c>
      <c r="D167" s="3" t="str">
        <f aca="false">Raw_Data!C167</f>
        <v>single</v>
      </c>
      <c r="E167" s="3" t="str">
        <f aca="false">Raw_Data!D167</f>
        <v>secondary</v>
      </c>
      <c r="F167" s="3" t="str">
        <f aca="false">Raw_Data!E167</f>
        <v>no</v>
      </c>
      <c r="G167" s="3" t="n">
        <f aca="false">Raw_Data!F167</f>
        <v>2104</v>
      </c>
      <c r="H167" s="3" t="str">
        <f aca="false">Raw_Data!G167</f>
        <v>yes</v>
      </c>
      <c r="I167" s="3" t="str">
        <f aca="false">Raw_Data!H167</f>
        <v>no</v>
      </c>
      <c r="J167" s="2" t="n">
        <f aca="false">IF(F167="yes",1,0)</f>
        <v>0</v>
      </c>
      <c r="K167" s="2" t="n">
        <f aca="false">IF(H167="yes",1,0)</f>
        <v>1</v>
      </c>
      <c r="L167" s="2" t="n">
        <f aca="false">IF(I167="yes",1,0)</f>
        <v>0</v>
      </c>
      <c r="M167" s="2" t="n">
        <f aca="false">IF(G167&lt;0,1,0)</f>
        <v>0</v>
      </c>
      <c r="N167" s="2" t="str">
        <f aca="false">_xlfn.IFS(B167&lt;30,"Under 30",B167&lt;40,"30-39",B167&lt;50,"40-49",B167&lt;60,"50-59",TRUE(),"60+")</f>
        <v>30-39</v>
      </c>
      <c r="O167" s="2" t="str">
        <f aca="false">_xlfn.IFS(G167&lt;0,"1 Negative",G167=0,"2 Zero",G167&lt;=500,"3 1-500",G167&lt;=2000,"4 501-2000",TRUE(),"5 Above 2000")</f>
        <v>5 Above 2000</v>
      </c>
      <c r="P167" s="2" t="n">
        <f aca="false">Lookups!$B$2*M167+Lookups!$B$3*L167</f>
        <v>0</v>
      </c>
      <c r="Q167" s="2" t="str">
        <f aca="false">INDEX(Lookups!$E$2:$E$5,MATCH(P167,Lookups!$D$2:$D$5,0))</f>
        <v>Low</v>
      </c>
    </row>
    <row r="168" customFormat="false" ht="15" hidden="false" customHeight="false" outlineLevel="0" collapsed="false">
      <c r="A168" s="3" t="n">
        <v>167</v>
      </c>
      <c r="B168" s="3" t="n">
        <f aca="false">Raw_Data!A168</f>
        <v>78</v>
      </c>
      <c r="C168" s="3" t="str">
        <f aca="false">SUBSTITUTE(Raw_Data!B168,".","")</f>
        <v>housemaid</v>
      </c>
      <c r="D168" s="3" t="str">
        <f aca="false">Raw_Data!C168</f>
        <v>married</v>
      </c>
      <c r="E168" s="3" t="str">
        <f aca="false">Raw_Data!D168</f>
        <v>secondary</v>
      </c>
      <c r="F168" s="3" t="str">
        <f aca="false">Raw_Data!E168</f>
        <v>no</v>
      </c>
      <c r="G168" s="3" t="n">
        <f aca="false">Raw_Data!F168</f>
        <v>499</v>
      </c>
      <c r="H168" s="3" t="str">
        <f aca="false">Raw_Data!G168</f>
        <v>no</v>
      </c>
      <c r="I168" s="3" t="str">
        <f aca="false">Raw_Data!H168</f>
        <v>no</v>
      </c>
      <c r="J168" s="2" t="n">
        <f aca="false">IF(F168="yes",1,0)</f>
        <v>0</v>
      </c>
      <c r="K168" s="2" t="n">
        <f aca="false">IF(H168="yes",1,0)</f>
        <v>0</v>
      </c>
      <c r="L168" s="2" t="n">
        <f aca="false">IF(I168="yes",1,0)</f>
        <v>0</v>
      </c>
      <c r="M168" s="2" t="n">
        <f aca="false">IF(G168&lt;0,1,0)</f>
        <v>0</v>
      </c>
      <c r="N168" s="2" t="str">
        <f aca="false">_xlfn.IFS(B168&lt;30,"Under 30",B168&lt;40,"30-39",B168&lt;50,"40-49",B168&lt;60,"50-59",TRUE(),"60+")</f>
        <v>60+</v>
      </c>
      <c r="O168" s="2" t="str">
        <f aca="false">_xlfn.IFS(G168&lt;0,"1 Negative",G168=0,"2 Zero",G168&lt;=500,"3 1-500",G168&lt;=2000,"4 501-2000",TRUE(),"5 Above 2000")</f>
        <v>3 1-500</v>
      </c>
      <c r="P168" s="2" t="n">
        <f aca="false">Lookups!$B$2*M168+Lookups!$B$3*L168</f>
        <v>0</v>
      </c>
      <c r="Q168" s="2" t="str">
        <f aca="false">INDEX(Lookups!$E$2:$E$5,MATCH(P168,Lookups!$D$2:$D$5,0))</f>
        <v>Low</v>
      </c>
    </row>
    <row r="169" customFormat="false" ht="15" hidden="false" customHeight="false" outlineLevel="0" collapsed="false">
      <c r="A169" s="3" t="n">
        <v>168</v>
      </c>
      <c r="B169" s="3" t="n">
        <f aca="false">Raw_Data!A169</f>
        <v>45</v>
      </c>
      <c r="C169" s="3" t="str">
        <f aca="false">SUBSTITUTE(Raw_Data!B169,".","")</f>
        <v>blue-collar</v>
      </c>
      <c r="D169" s="3" t="str">
        <f aca="false">Raw_Data!C169</f>
        <v>divorced</v>
      </c>
      <c r="E169" s="3" t="str">
        <f aca="false">Raw_Data!D169</f>
        <v>secondary</v>
      </c>
      <c r="F169" s="3" t="str">
        <f aca="false">Raw_Data!E169</f>
        <v>no</v>
      </c>
      <c r="G169" s="3" t="n">
        <f aca="false">Raw_Data!F169</f>
        <v>1269</v>
      </c>
      <c r="H169" s="3" t="str">
        <f aca="false">Raw_Data!G169</f>
        <v>yes</v>
      </c>
      <c r="I169" s="3" t="str">
        <f aca="false">Raw_Data!H169</f>
        <v>no</v>
      </c>
      <c r="J169" s="2" t="n">
        <f aca="false">IF(F169="yes",1,0)</f>
        <v>0</v>
      </c>
      <c r="K169" s="2" t="n">
        <f aca="false">IF(H169="yes",1,0)</f>
        <v>1</v>
      </c>
      <c r="L169" s="2" t="n">
        <f aca="false">IF(I169="yes",1,0)</f>
        <v>0</v>
      </c>
      <c r="M169" s="2" t="n">
        <f aca="false">IF(G169&lt;0,1,0)</f>
        <v>0</v>
      </c>
      <c r="N169" s="2" t="str">
        <f aca="false">_xlfn.IFS(B169&lt;30,"Under 30",B169&lt;40,"30-39",B169&lt;50,"40-49",B169&lt;60,"50-59",TRUE(),"60+")</f>
        <v>40-49</v>
      </c>
      <c r="O169" s="2" t="str">
        <f aca="false">_xlfn.IFS(G169&lt;0,"1 Negative",G169=0,"2 Zero",G169&lt;=500,"3 1-500",G169&lt;=2000,"4 501-2000",TRUE(),"5 Above 2000")</f>
        <v>4 501-2000</v>
      </c>
      <c r="P169" s="2" t="n">
        <f aca="false">Lookups!$B$2*M169+Lookups!$B$3*L169</f>
        <v>0</v>
      </c>
      <c r="Q169" s="2" t="str">
        <f aca="false">INDEX(Lookups!$E$2:$E$5,MATCH(P169,Lookups!$D$2:$D$5,0))</f>
        <v>Low</v>
      </c>
    </row>
    <row r="170" customFormat="false" ht="15" hidden="false" customHeight="false" outlineLevel="0" collapsed="false">
      <c r="A170" s="3" t="n">
        <v>169</v>
      </c>
      <c r="B170" s="3" t="n">
        <f aca="false">Raw_Data!A170</f>
        <v>48</v>
      </c>
      <c r="C170" s="3" t="str">
        <f aca="false">SUBSTITUTE(Raw_Data!B170,".","")</f>
        <v>technician</v>
      </c>
      <c r="D170" s="3" t="str">
        <f aca="false">Raw_Data!C170</f>
        <v>married</v>
      </c>
      <c r="E170" s="3" t="str">
        <f aca="false">Raw_Data!D170</f>
        <v>tertiary</v>
      </c>
      <c r="F170" s="3" t="str">
        <f aca="false">Raw_Data!E170</f>
        <v>no</v>
      </c>
      <c r="G170" s="3" t="n">
        <f aca="false">Raw_Data!F170</f>
        <v>310</v>
      </c>
      <c r="H170" s="3" t="str">
        <f aca="false">Raw_Data!G170</f>
        <v>no</v>
      </c>
      <c r="I170" s="3" t="str">
        <f aca="false">Raw_Data!H170</f>
        <v>no</v>
      </c>
      <c r="J170" s="2" t="n">
        <f aca="false">IF(F170="yes",1,0)</f>
        <v>0</v>
      </c>
      <c r="K170" s="2" t="n">
        <f aca="false">IF(H170="yes",1,0)</f>
        <v>0</v>
      </c>
      <c r="L170" s="2" t="n">
        <f aca="false">IF(I170="yes",1,0)</f>
        <v>0</v>
      </c>
      <c r="M170" s="2" t="n">
        <f aca="false">IF(G170&lt;0,1,0)</f>
        <v>0</v>
      </c>
      <c r="N170" s="2" t="str">
        <f aca="false">_xlfn.IFS(B170&lt;30,"Under 30",B170&lt;40,"30-39",B170&lt;50,"40-49",B170&lt;60,"50-59",TRUE(),"60+")</f>
        <v>40-49</v>
      </c>
      <c r="O170" s="2" t="str">
        <f aca="false">_xlfn.IFS(G170&lt;0,"1 Negative",G170=0,"2 Zero",G170&lt;=500,"3 1-500",G170&lt;=2000,"4 501-2000",TRUE(),"5 Above 2000")</f>
        <v>3 1-500</v>
      </c>
      <c r="P170" s="2" t="n">
        <f aca="false">Lookups!$B$2*M170+Lookups!$B$3*L170</f>
        <v>0</v>
      </c>
      <c r="Q170" s="2" t="str">
        <f aca="false">INDEX(Lookups!$E$2:$E$5,MATCH(P170,Lookups!$D$2:$D$5,0))</f>
        <v>Low</v>
      </c>
    </row>
    <row r="171" customFormat="false" ht="15" hidden="false" customHeight="false" outlineLevel="0" collapsed="false">
      <c r="A171" s="3" t="n">
        <v>170</v>
      </c>
      <c r="B171" s="3" t="n">
        <f aca="false">Raw_Data!A171</f>
        <v>32</v>
      </c>
      <c r="C171" s="3" t="str">
        <f aca="false">SUBSTITUTE(Raw_Data!B171,".","")</f>
        <v>blue-collar</v>
      </c>
      <c r="D171" s="3" t="str">
        <f aca="false">Raw_Data!C171</f>
        <v>single</v>
      </c>
      <c r="E171" s="3" t="str">
        <f aca="false">Raw_Data!D171</f>
        <v>secondary</v>
      </c>
      <c r="F171" s="3" t="str">
        <f aca="false">Raw_Data!E171</f>
        <v>no</v>
      </c>
      <c r="G171" s="3" t="n">
        <f aca="false">Raw_Data!F171</f>
        <v>1143</v>
      </c>
      <c r="H171" s="3" t="str">
        <f aca="false">Raw_Data!G171</f>
        <v>yes</v>
      </c>
      <c r="I171" s="3" t="str">
        <f aca="false">Raw_Data!H171</f>
        <v>yes</v>
      </c>
      <c r="J171" s="2" t="n">
        <f aca="false">IF(F171="yes",1,0)</f>
        <v>0</v>
      </c>
      <c r="K171" s="2" t="n">
        <f aca="false">IF(H171="yes",1,0)</f>
        <v>1</v>
      </c>
      <c r="L171" s="2" t="n">
        <f aca="false">IF(I171="yes",1,0)</f>
        <v>1</v>
      </c>
      <c r="M171" s="2" t="n">
        <f aca="false">IF(G171&lt;0,1,0)</f>
        <v>0</v>
      </c>
      <c r="N171" s="2" t="str">
        <f aca="false">_xlfn.IFS(B171&lt;30,"Under 30",B171&lt;40,"30-39",B171&lt;50,"40-49",B171&lt;60,"50-59",TRUE(),"60+")</f>
        <v>30-39</v>
      </c>
      <c r="O171" s="2" t="str">
        <f aca="false">_xlfn.IFS(G171&lt;0,"1 Negative",G171=0,"2 Zero",G171&lt;=500,"3 1-500",G171&lt;=2000,"4 501-2000",TRUE(),"5 Above 2000")</f>
        <v>4 501-2000</v>
      </c>
      <c r="P171" s="2" t="n">
        <f aca="false">Lookups!$B$2*M171+Lookups!$B$3*L171</f>
        <v>1</v>
      </c>
      <c r="Q171" s="2" t="str">
        <f aca="false">INDEX(Lookups!$E$2:$E$5,MATCH(P171,Lookups!$D$2:$D$5,0))</f>
        <v>Medium</v>
      </c>
    </row>
    <row r="172" customFormat="false" ht="15" hidden="false" customHeight="false" outlineLevel="0" collapsed="false">
      <c r="A172" s="3" t="n">
        <v>171</v>
      </c>
      <c r="B172" s="3" t="n">
        <f aca="false">Raw_Data!A172</f>
        <v>42</v>
      </c>
      <c r="C172" s="3" t="str">
        <f aca="false">SUBSTITUTE(Raw_Data!B172,".","")</f>
        <v>technician</v>
      </c>
      <c r="D172" s="3" t="str">
        <f aca="false">Raw_Data!C172</f>
        <v>married</v>
      </c>
      <c r="E172" s="3" t="str">
        <f aca="false">Raw_Data!D172</f>
        <v>secondary</v>
      </c>
      <c r="F172" s="3" t="str">
        <f aca="false">Raw_Data!E172</f>
        <v>no</v>
      </c>
      <c r="G172" s="3" t="n">
        <f aca="false">Raw_Data!F172</f>
        <v>2980</v>
      </c>
      <c r="H172" s="3" t="str">
        <f aca="false">Raw_Data!G172</f>
        <v>no</v>
      </c>
      <c r="I172" s="3" t="str">
        <f aca="false">Raw_Data!H172</f>
        <v>no</v>
      </c>
      <c r="J172" s="2" t="n">
        <f aca="false">IF(F172="yes",1,0)</f>
        <v>0</v>
      </c>
      <c r="K172" s="2" t="n">
        <f aca="false">IF(H172="yes",1,0)</f>
        <v>0</v>
      </c>
      <c r="L172" s="2" t="n">
        <f aca="false">IF(I172="yes",1,0)</f>
        <v>0</v>
      </c>
      <c r="M172" s="2" t="n">
        <f aca="false">IF(G172&lt;0,1,0)</f>
        <v>0</v>
      </c>
      <c r="N172" s="2" t="str">
        <f aca="false">_xlfn.IFS(B172&lt;30,"Under 30",B172&lt;40,"30-39",B172&lt;50,"40-49",B172&lt;60,"50-59",TRUE(),"60+")</f>
        <v>40-49</v>
      </c>
      <c r="O172" s="2" t="str">
        <f aca="false">_xlfn.IFS(G172&lt;0,"1 Negative",G172=0,"2 Zero",G172&lt;=500,"3 1-500",G172&lt;=2000,"4 501-2000",TRUE(),"5 Above 2000")</f>
        <v>5 Above 2000</v>
      </c>
      <c r="P172" s="2" t="n">
        <f aca="false">Lookups!$B$2*M172+Lookups!$B$3*L172</f>
        <v>0</v>
      </c>
      <c r="Q172" s="2" t="str">
        <f aca="false">INDEX(Lookups!$E$2:$E$5,MATCH(P172,Lookups!$D$2:$D$5,0))</f>
        <v>Low</v>
      </c>
    </row>
    <row r="173" customFormat="false" ht="15" hidden="false" customHeight="false" outlineLevel="0" collapsed="false">
      <c r="A173" s="3" t="n">
        <v>172</v>
      </c>
      <c r="B173" s="3" t="n">
        <f aca="false">Raw_Data!A173</f>
        <v>37</v>
      </c>
      <c r="C173" s="3" t="str">
        <f aca="false">SUBSTITUTE(Raw_Data!B173,".","")</f>
        <v>management</v>
      </c>
      <c r="D173" s="3" t="str">
        <f aca="false">Raw_Data!C173</f>
        <v>single</v>
      </c>
      <c r="E173" s="3" t="str">
        <f aca="false">Raw_Data!D173</f>
        <v>tertiary</v>
      </c>
      <c r="F173" s="3" t="str">
        <f aca="false">Raw_Data!E173</f>
        <v>no</v>
      </c>
      <c r="G173" s="3" t="n">
        <f aca="false">Raw_Data!F173</f>
        <v>37</v>
      </c>
      <c r="H173" s="3" t="str">
        <f aca="false">Raw_Data!G173</f>
        <v>no</v>
      </c>
      <c r="I173" s="3" t="str">
        <f aca="false">Raw_Data!H173</f>
        <v>no</v>
      </c>
      <c r="J173" s="2" t="n">
        <f aca="false">IF(F173="yes",1,0)</f>
        <v>0</v>
      </c>
      <c r="K173" s="2" t="n">
        <f aca="false">IF(H173="yes",1,0)</f>
        <v>0</v>
      </c>
      <c r="L173" s="2" t="n">
        <f aca="false">IF(I173="yes",1,0)</f>
        <v>0</v>
      </c>
      <c r="M173" s="2" t="n">
        <f aca="false">IF(G173&lt;0,1,0)</f>
        <v>0</v>
      </c>
      <c r="N173" s="2" t="str">
        <f aca="false">_xlfn.IFS(B173&lt;30,"Under 30",B173&lt;40,"30-39",B173&lt;50,"40-49",B173&lt;60,"50-59",TRUE(),"60+")</f>
        <v>30-39</v>
      </c>
      <c r="O173" s="2" t="str">
        <f aca="false">_xlfn.IFS(G173&lt;0,"1 Negative",G173=0,"2 Zero",G173&lt;=500,"3 1-500",G173&lt;=2000,"4 501-2000",TRUE(),"5 Above 2000")</f>
        <v>3 1-500</v>
      </c>
      <c r="P173" s="2" t="n">
        <f aca="false">Lookups!$B$2*M173+Lookups!$B$3*L173</f>
        <v>0</v>
      </c>
      <c r="Q173" s="2" t="str">
        <f aca="false">INDEX(Lookups!$E$2:$E$5,MATCH(P173,Lookups!$D$2:$D$5,0))</f>
        <v>Low</v>
      </c>
    </row>
    <row r="174" customFormat="false" ht="15" hidden="false" customHeight="false" outlineLevel="0" collapsed="false">
      <c r="A174" s="3" t="n">
        <v>173</v>
      </c>
      <c r="B174" s="3" t="n">
        <f aca="false">Raw_Data!A174</f>
        <v>40</v>
      </c>
      <c r="C174" s="3" t="str">
        <f aca="false">SUBSTITUTE(Raw_Data!B174,".","")</f>
        <v>admin</v>
      </c>
      <c r="D174" s="3" t="str">
        <f aca="false">Raw_Data!C174</f>
        <v>single</v>
      </c>
      <c r="E174" s="3" t="str">
        <f aca="false">Raw_Data!D174</f>
        <v>secondary</v>
      </c>
      <c r="F174" s="3" t="str">
        <f aca="false">Raw_Data!E174</f>
        <v>no</v>
      </c>
      <c r="G174" s="3" t="n">
        <f aca="false">Raw_Data!F174</f>
        <v>462</v>
      </c>
      <c r="H174" s="3" t="str">
        <f aca="false">Raw_Data!G174</f>
        <v>yes</v>
      </c>
      <c r="I174" s="3" t="str">
        <f aca="false">Raw_Data!H174</f>
        <v>yes</v>
      </c>
      <c r="J174" s="2" t="n">
        <f aca="false">IF(F174="yes",1,0)</f>
        <v>0</v>
      </c>
      <c r="K174" s="2" t="n">
        <f aca="false">IF(H174="yes",1,0)</f>
        <v>1</v>
      </c>
      <c r="L174" s="2" t="n">
        <f aca="false">IF(I174="yes",1,0)</f>
        <v>1</v>
      </c>
      <c r="M174" s="2" t="n">
        <f aca="false">IF(G174&lt;0,1,0)</f>
        <v>0</v>
      </c>
      <c r="N174" s="2" t="str">
        <f aca="false">_xlfn.IFS(B174&lt;30,"Under 30",B174&lt;40,"30-39",B174&lt;50,"40-49",B174&lt;60,"50-59",TRUE(),"60+")</f>
        <v>40-49</v>
      </c>
      <c r="O174" s="2" t="str">
        <f aca="false">_xlfn.IFS(G174&lt;0,"1 Negative",G174=0,"2 Zero",G174&lt;=500,"3 1-500",G174&lt;=2000,"4 501-2000",TRUE(),"5 Above 2000")</f>
        <v>3 1-500</v>
      </c>
      <c r="P174" s="2" t="n">
        <f aca="false">Lookups!$B$2*M174+Lookups!$B$3*L174</f>
        <v>1</v>
      </c>
      <c r="Q174" s="2" t="str">
        <f aca="false">INDEX(Lookups!$E$2:$E$5,MATCH(P174,Lookups!$D$2:$D$5,0))</f>
        <v>Medium</v>
      </c>
    </row>
    <row r="175" customFormat="false" ht="15" hidden="false" customHeight="false" outlineLevel="0" collapsed="false">
      <c r="A175" s="3" t="n">
        <v>174</v>
      </c>
      <c r="B175" s="3" t="n">
        <f aca="false">Raw_Data!A175</f>
        <v>32</v>
      </c>
      <c r="C175" s="3" t="str">
        <f aca="false">SUBSTITUTE(Raw_Data!B175,".","")</f>
        <v>admin</v>
      </c>
      <c r="D175" s="3" t="str">
        <f aca="false">Raw_Data!C175</f>
        <v>married</v>
      </c>
      <c r="E175" s="3" t="str">
        <f aca="false">Raw_Data!D175</f>
        <v>secondary</v>
      </c>
      <c r="F175" s="3" t="str">
        <f aca="false">Raw_Data!E175</f>
        <v>no</v>
      </c>
      <c r="G175" s="3" t="n">
        <f aca="false">Raw_Data!F175</f>
        <v>1031</v>
      </c>
      <c r="H175" s="3" t="str">
        <f aca="false">Raw_Data!G175</f>
        <v>yes</v>
      </c>
      <c r="I175" s="3" t="str">
        <f aca="false">Raw_Data!H175</f>
        <v>no</v>
      </c>
      <c r="J175" s="2" t="n">
        <f aca="false">IF(F175="yes",1,0)</f>
        <v>0</v>
      </c>
      <c r="K175" s="2" t="n">
        <f aca="false">IF(H175="yes",1,0)</f>
        <v>1</v>
      </c>
      <c r="L175" s="2" t="n">
        <f aca="false">IF(I175="yes",1,0)</f>
        <v>0</v>
      </c>
      <c r="M175" s="2" t="n">
        <f aca="false">IF(G175&lt;0,1,0)</f>
        <v>0</v>
      </c>
      <c r="N175" s="2" t="str">
        <f aca="false">_xlfn.IFS(B175&lt;30,"Under 30",B175&lt;40,"30-39",B175&lt;50,"40-49",B175&lt;60,"50-59",TRUE(),"60+")</f>
        <v>30-39</v>
      </c>
      <c r="O175" s="2" t="str">
        <f aca="false">_xlfn.IFS(G175&lt;0,"1 Negative",G175=0,"2 Zero",G175&lt;=500,"3 1-500",G175&lt;=2000,"4 501-2000",TRUE(),"5 Above 2000")</f>
        <v>4 501-2000</v>
      </c>
      <c r="P175" s="2" t="n">
        <f aca="false">Lookups!$B$2*M175+Lookups!$B$3*L175</f>
        <v>0</v>
      </c>
      <c r="Q175" s="2" t="str">
        <f aca="false">INDEX(Lookups!$E$2:$E$5,MATCH(P175,Lookups!$D$2:$D$5,0))</f>
        <v>Low</v>
      </c>
    </row>
    <row r="176" customFormat="false" ht="15" hidden="false" customHeight="false" outlineLevel="0" collapsed="false">
      <c r="A176" s="3" t="n">
        <v>175</v>
      </c>
      <c r="B176" s="3" t="n">
        <f aca="false">Raw_Data!A176</f>
        <v>42</v>
      </c>
      <c r="C176" s="3" t="str">
        <f aca="false">SUBSTITUTE(Raw_Data!B176,".","")</f>
        <v>management</v>
      </c>
      <c r="D176" s="3" t="str">
        <f aca="false">Raw_Data!C176</f>
        <v>married</v>
      </c>
      <c r="E176" s="3" t="str">
        <f aca="false">Raw_Data!D176</f>
        <v>tertiary</v>
      </c>
      <c r="F176" s="3" t="str">
        <f aca="false">Raw_Data!E176</f>
        <v>no</v>
      </c>
      <c r="G176" s="3" t="n">
        <f aca="false">Raw_Data!F176</f>
        <v>9009</v>
      </c>
      <c r="H176" s="3" t="str">
        <f aca="false">Raw_Data!G176</f>
        <v>no</v>
      </c>
      <c r="I176" s="3" t="str">
        <f aca="false">Raw_Data!H176</f>
        <v>no</v>
      </c>
      <c r="J176" s="2" t="n">
        <f aca="false">IF(F176="yes",1,0)</f>
        <v>0</v>
      </c>
      <c r="K176" s="2" t="n">
        <f aca="false">IF(H176="yes",1,0)</f>
        <v>0</v>
      </c>
      <c r="L176" s="2" t="n">
        <f aca="false">IF(I176="yes",1,0)</f>
        <v>0</v>
      </c>
      <c r="M176" s="2" t="n">
        <f aca="false">IF(G176&lt;0,1,0)</f>
        <v>0</v>
      </c>
      <c r="N176" s="2" t="str">
        <f aca="false">_xlfn.IFS(B176&lt;30,"Under 30",B176&lt;40,"30-39",B176&lt;50,"40-49",B176&lt;60,"50-59",TRUE(),"60+")</f>
        <v>40-49</v>
      </c>
      <c r="O176" s="2" t="str">
        <f aca="false">_xlfn.IFS(G176&lt;0,"1 Negative",G176=0,"2 Zero",G176&lt;=500,"3 1-500",G176&lt;=2000,"4 501-2000",TRUE(),"5 Above 2000")</f>
        <v>5 Above 2000</v>
      </c>
      <c r="P176" s="2" t="n">
        <f aca="false">Lookups!$B$2*M176+Lookups!$B$3*L176</f>
        <v>0</v>
      </c>
      <c r="Q176" s="2" t="str">
        <f aca="false">INDEX(Lookups!$E$2:$E$5,MATCH(P176,Lookups!$D$2:$D$5,0))</f>
        <v>Low</v>
      </c>
    </row>
    <row r="177" customFormat="false" ht="15" hidden="false" customHeight="false" outlineLevel="0" collapsed="false">
      <c r="A177" s="3" t="n">
        <v>176</v>
      </c>
      <c r="B177" s="3" t="n">
        <f aca="false">Raw_Data!A177</f>
        <v>43</v>
      </c>
      <c r="C177" s="3" t="str">
        <f aca="false">SUBSTITUTE(Raw_Data!B177,".","")</f>
        <v>admin</v>
      </c>
      <c r="D177" s="3" t="str">
        <f aca="false">Raw_Data!C177</f>
        <v>married</v>
      </c>
      <c r="E177" s="3" t="str">
        <f aca="false">Raw_Data!D177</f>
        <v>secondary</v>
      </c>
      <c r="F177" s="3" t="str">
        <f aca="false">Raw_Data!E177</f>
        <v>no</v>
      </c>
      <c r="G177" s="3" t="n">
        <f aca="false">Raw_Data!F177</f>
        <v>-465</v>
      </c>
      <c r="H177" s="3" t="str">
        <f aca="false">Raw_Data!G177</f>
        <v>yes</v>
      </c>
      <c r="I177" s="3" t="str">
        <f aca="false">Raw_Data!H177</f>
        <v>yes</v>
      </c>
      <c r="J177" s="2" t="n">
        <f aca="false">IF(F177="yes",1,0)</f>
        <v>0</v>
      </c>
      <c r="K177" s="2" t="n">
        <f aca="false">IF(H177="yes",1,0)</f>
        <v>1</v>
      </c>
      <c r="L177" s="2" t="n">
        <f aca="false">IF(I177="yes",1,0)</f>
        <v>1</v>
      </c>
      <c r="M177" s="2" t="n">
        <f aca="false">IF(G177&lt;0,1,0)</f>
        <v>1</v>
      </c>
      <c r="N177" s="2" t="str">
        <f aca="false">_xlfn.IFS(B177&lt;30,"Under 30",B177&lt;40,"30-39",B177&lt;50,"40-49",B177&lt;60,"50-59",TRUE(),"60+")</f>
        <v>40-49</v>
      </c>
      <c r="O177" s="2" t="str">
        <f aca="false">_xlfn.IFS(G177&lt;0,"1 Negative",G177=0,"2 Zero",G177&lt;=500,"3 1-500",G177&lt;=2000,"4 501-2000",TRUE(),"5 Above 2000")</f>
        <v>1 Negative</v>
      </c>
      <c r="P177" s="2" t="n">
        <f aca="false">Lookups!$B$2*M177+Lookups!$B$3*L177</f>
        <v>3</v>
      </c>
      <c r="Q177" s="2" t="str">
        <f aca="false">INDEX(Lookups!$E$2:$E$5,MATCH(P177,Lookups!$D$2:$D$5,0))</f>
        <v>High</v>
      </c>
    </row>
    <row r="178" customFormat="false" ht="15" hidden="false" customHeight="false" outlineLevel="0" collapsed="false">
      <c r="A178" s="3" t="n">
        <v>177</v>
      </c>
      <c r="B178" s="3" t="n">
        <f aca="false">Raw_Data!A178</f>
        <v>44</v>
      </c>
      <c r="C178" s="3" t="str">
        <f aca="false">SUBSTITUTE(Raw_Data!B178,".","")</f>
        <v>admin</v>
      </c>
      <c r="D178" s="3" t="str">
        <f aca="false">Raw_Data!C178</f>
        <v>married</v>
      </c>
      <c r="E178" s="3" t="str">
        <f aca="false">Raw_Data!D178</f>
        <v>secondary</v>
      </c>
      <c r="F178" s="3" t="str">
        <f aca="false">Raw_Data!E178</f>
        <v>no</v>
      </c>
      <c r="G178" s="3" t="n">
        <f aca="false">Raw_Data!F178</f>
        <v>5181</v>
      </c>
      <c r="H178" s="3" t="str">
        <f aca="false">Raw_Data!G178</f>
        <v>yes</v>
      </c>
      <c r="I178" s="3" t="str">
        <f aca="false">Raw_Data!H178</f>
        <v>yes</v>
      </c>
      <c r="J178" s="2" t="n">
        <f aca="false">IF(F178="yes",1,0)</f>
        <v>0</v>
      </c>
      <c r="K178" s="2" t="n">
        <f aca="false">IF(H178="yes",1,0)</f>
        <v>1</v>
      </c>
      <c r="L178" s="2" t="n">
        <f aca="false">IF(I178="yes",1,0)</f>
        <v>1</v>
      </c>
      <c r="M178" s="2" t="n">
        <f aca="false">IF(G178&lt;0,1,0)</f>
        <v>0</v>
      </c>
      <c r="N178" s="2" t="str">
        <f aca="false">_xlfn.IFS(B178&lt;30,"Under 30",B178&lt;40,"30-39",B178&lt;50,"40-49",B178&lt;60,"50-59",TRUE(),"60+")</f>
        <v>40-49</v>
      </c>
      <c r="O178" s="2" t="str">
        <f aca="false">_xlfn.IFS(G178&lt;0,"1 Negative",G178=0,"2 Zero",G178&lt;=500,"3 1-500",G178&lt;=2000,"4 501-2000",TRUE(),"5 Above 2000")</f>
        <v>5 Above 2000</v>
      </c>
      <c r="P178" s="2" t="n">
        <f aca="false">Lookups!$B$2*M178+Lookups!$B$3*L178</f>
        <v>1</v>
      </c>
      <c r="Q178" s="2" t="str">
        <f aca="false">INDEX(Lookups!$E$2:$E$5,MATCH(P178,Lookups!$D$2:$D$5,0))</f>
        <v>Medium</v>
      </c>
    </row>
    <row r="179" customFormat="false" ht="15" hidden="false" customHeight="false" outlineLevel="0" collapsed="false">
      <c r="A179" s="3" t="n">
        <v>178</v>
      </c>
      <c r="B179" s="3" t="n">
        <f aca="false">Raw_Data!A179</f>
        <v>37</v>
      </c>
      <c r="C179" s="3" t="str">
        <f aca="false">SUBSTITUTE(Raw_Data!B179,".","")</f>
        <v>admin</v>
      </c>
      <c r="D179" s="3" t="str">
        <f aca="false">Raw_Data!C179</f>
        <v>married</v>
      </c>
      <c r="E179" s="3" t="str">
        <f aca="false">Raw_Data!D179</f>
        <v>secondary</v>
      </c>
      <c r="F179" s="3" t="str">
        <f aca="false">Raw_Data!E179</f>
        <v>no</v>
      </c>
      <c r="G179" s="3" t="n">
        <f aca="false">Raw_Data!F179</f>
        <v>176</v>
      </c>
      <c r="H179" s="3" t="str">
        <f aca="false">Raw_Data!G179</f>
        <v>yes</v>
      </c>
      <c r="I179" s="3" t="str">
        <f aca="false">Raw_Data!H179</f>
        <v>no</v>
      </c>
      <c r="J179" s="2" t="n">
        <f aca="false">IF(F179="yes",1,0)</f>
        <v>0</v>
      </c>
      <c r="K179" s="2" t="n">
        <f aca="false">IF(H179="yes",1,0)</f>
        <v>1</v>
      </c>
      <c r="L179" s="2" t="n">
        <f aca="false">IF(I179="yes",1,0)</f>
        <v>0</v>
      </c>
      <c r="M179" s="2" t="n">
        <f aca="false">IF(G179&lt;0,1,0)</f>
        <v>0</v>
      </c>
      <c r="N179" s="2" t="str">
        <f aca="false">_xlfn.IFS(B179&lt;30,"Under 30",B179&lt;40,"30-39",B179&lt;50,"40-49",B179&lt;60,"50-59",TRUE(),"60+")</f>
        <v>30-39</v>
      </c>
      <c r="O179" s="2" t="str">
        <f aca="false">_xlfn.IFS(G179&lt;0,"1 Negative",G179=0,"2 Zero",G179&lt;=500,"3 1-500",G179&lt;=2000,"4 501-2000",TRUE(),"5 Above 2000")</f>
        <v>3 1-500</v>
      </c>
      <c r="P179" s="2" t="n">
        <f aca="false">Lookups!$B$2*M179+Lookups!$B$3*L179</f>
        <v>0</v>
      </c>
      <c r="Q179" s="2" t="str">
        <f aca="false">INDEX(Lookups!$E$2:$E$5,MATCH(P179,Lookups!$D$2:$D$5,0))</f>
        <v>Low</v>
      </c>
    </row>
    <row r="180" customFormat="false" ht="15" hidden="false" customHeight="false" outlineLevel="0" collapsed="false">
      <c r="A180" s="3" t="n">
        <v>179</v>
      </c>
      <c r="B180" s="3" t="n">
        <f aca="false">Raw_Data!A180</f>
        <v>37</v>
      </c>
      <c r="C180" s="3" t="str">
        <f aca="false">SUBSTITUTE(Raw_Data!B180,".","")</f>
        <v>unknown</v>
      </c>
      <c r="D180" s="3" t="str">
        <f aca="false">Raw_Data!C180</f>
        <v>married</v>
      </c>
      <c r="E180" s="3" t="str">
        <f aca="false">Raw_Data!D180</f>
        <v>unknown</v>
      </c>
      <c r="F180" s="3" t="str">
        <f aca="false">Raw_Data!E180</f>
        <v>no</v>
      </c>
      <c r="G180" s="3" t="n">
        <f aca="false">Raw_Data!F180</f>
        <v>1699</v>
      </c>
      <c r="H180" s="3" t="str">
        <f aca="false">Raw_Data!G180</f>
        <v>no</v>
      </c>
      <c r="I180" s="3" t="str">
        <f aca="false">Raw_Data!H180</f>
        <v>no</v>
      </c>
      <c r="J180" s="2" t="n">
        <f aca="false">IF(F180="yes",1,0)</f>
        <v>0</v>
      </c>
      <c r="K180" s="2" t="n">
        <f aca="false">IF(H180="yes",1,0)</f>
        <v>0</v>
      </c>
      <c r="L180" s="2" t="n">
        <f aca="false">IF(I180="yes",1,0)</f>
        <v>0</v>
      </c>
      <c r="M180" s="2" t="n">
        <f aca="false">IF(G180&lt;0,1,0)</f>
        <v>0</v>
      </c>
      <c r="N180" s="2" t="str">
        <f aca="false">_xlfn.IFS(B180&lt;30,"Under 30",B180&lt;40,"30-39",B180&lt;50,"40-49",B180&lt;60,"50-59",TRUE(),"60+")</f>
        <v>30-39</v>
      </c>
      <c r="O180" s="2" t="str">
        <f aca="false">_xlfn.IFS(G180&lt;0,"1 Negative",G180=0,"2 Zero",G180&lt;=500,"3 1-500",G180&lt;=2000,"4 501-2000",TRUE(),"5 Above 2000")</f>
        <v>4 501-2000</v>
      </c>
      <c r="P180" s="2" t="n">
        <f aca="false">Lookups!$B$2*M180+Lookups!$B$3*L180</f>
        <v>0</v>
      </c>
      <c r="Q180" s="2" t="str">
        <f aca="false">INDEX(Lookups!$E$2:$E$5,MATCH(P180,Lookups!$D$2:$D$5,0))</f>
        <v>Low</v>
      </c>
    </row>
    <row r="181" customFormat="false" ht="15" hidden="false" customHeight="false" outlineLevel="0" collapsed="false">
      <c r="A181" s="3" t="n">
        <v>180</v>
      </c>
      <c r="B181" s="3" t="n">
        <f aca="false">Raw_Data!A181</f>
        <v>37</v>
      </c>
      <c r="C181" s="3" t="str">
        <f aca="false">SUBSTITUTE(Raw_Data!B181,".","")</f>
        <v>admin</v>
      </c>
      <c r="D181" s="3" t="str">
        <f aca="false">Raw_Data!C181</f>
        <v>married</v>
      </c>
      <c r="E181" s="3" t="str">
        <f aca="false">Raw_Data!D181</f>
        <v>tertiary</v>
      </c>
      <c r="F181" s="3" t="str">
        <f aca="false">Raw_Data!E181</f>
        <v>no</v>
      </c>
      <c r="G181" s="3" t="n">
        <f aca="false">Raw_Data!F181</f>
        <v>0</v>
      </c>
      <c r="H181" s="3" t="str">
        <f aca="false">Raw_Data!G181</f>
        <v>yes</v>
      </c>
      <c r="I181" s="3" t="str">
        <f aca="false">Raw_Data!H181</f>
        <v>no</v>
      </c>
      <c r="J181" s="2" t="n">
        <f aca="false">IF(F181="yes",1,0)</f>
        <v>0</v>
      </c>
      <c r="K181" s="2" t="n">
        <f aca="false">IF(H181="yes",1,0)</f>
        <v>1</v>
      </c>
      <c r="L181" s="2" t="n">
        <f aca="false">IF(I181="yes",1,0)</f>
        <v>0</v>
      </c>
      <c r="M181" s="2" t="n">
        <f aca="false">IF(G181&lt;0,1,0)</f>
        <v>0</v>
      </c>
      <c r="N181" s="2" t="str">
        <f aca="false">_xlfn.IFS(B181&lt;30,"Under 30",B181&lt;40,"30-39",B181&lt;50,"40-49",B181&lt;60,"50-59",TRUE(),"60+")</f>
        <v>30-39</v>
      </c>
      <c r="O181" s="2" t="str">
        <f aca="false">_xlfn.IFS(G181&lt;0,"1 Negative",G181=0,"2 Zero",G181&lt;=500,"3 1-500",G181&lt;=2000,"4 501-2000",TRUE(),"5 Above 2000")</f>
        <v>2 Zero</v>
      </c>
      <c r="P181" s="2" t="n">
        <f aca="false">Lookups!$B$2*M181+Lookups!$B$3*L181</f>
        <v>0</v>
      </c>
      <c r="Q181" s="2" t="str">
        <f aca="false">INDEX(Lookups!$E$2:$E$5,MATCH(P181,Lookups!$D$2:$D$5,0))</f>
        <v>Low</v>
      </c>
    </row>
    <row r="182" customFormat="false" ht="15" hidden="false" customHeight="false" outlineLevel="0" collapsed="false">
      <c r="A182" s="3" t="n">
        <v>181</v>
      </c>
      <c r="B182" s="3" t="n">
        <f aca="false">Raw_Data!A182</f>
        <v>28</v>
      </c>
      <c r="C182" s="3" t="str">
        <f aca="false">SUBSTITUTE(Raw_Data!B182,".","")</f>
        <v>technician</v>
      </c>
      <c r="D182" s="3" t="str">
        <f aca="false">Raw_Data!C182</f>
        <v>single</v>
      </c>
      <c r="E182" s="3" t="str">
        <f aca="false">Raw_Data!D182</f>
        <v>tertiary</v>
      </c>
      <c r="F182" s="3" t="str">
        <f aca="false">Raw_Data!E182</f>
        <v>no</v>
      </c>
      <c r="G182" s="3" t="n">
        <f aca="false">Raw_Data!F182</f>
        <v>172</v>
      </c>
      <c r="H182" s="3" t="str">
        <f aca="false">Raw_Data!G182</f>
        <v>yes</v>
      </c>
      <c r="I182" s="3" t="str">
        <f aca="false">Raw_Data!H182</f>
        <v>yes</v>
      </c>
      <c r="J182" s="2" t="n">
        <f aca="false">IF(F182="yes",1,0)</f>
        <v>0</v>
      </c>
      <c r="K182" s="2" t="n">
        <f aca="false">IF(H182="yes",1,0)</f>
        <v>1</v>
      </c>
      <c r="L182" s="2" t="n">
        <f aca="false">IF(I182="yes",1,0)</f>
        <v>1</v>
      </c>
      <c r="M182" s="2" t="n">
        <f aca="false">IF(G182&lt;0,1,0)</f>
        <v>0</v>
      </c>
      <c r="N182" s="2" t="str">
        <f aca="false">_xlfn.IFS(B182&lt;30,"Under 30",B182&lt;40,"30-39",B182&lt;50,"40-49",B182&lt;60,"50-59",TRUE(),"60+")</f>
        <v>Under 30</v>
      </c>
      <c r="O182" s="2" t="str">
        <f aca="false">_xlfn.IFS(G182&lt;0,"1 Negative",G182=0,"2 Zero",G182&lt;=500,"3 1-500",G182&lt;=2000,"4 501-2000",TRUE(),"5 Above 2000")</f>
        <v>3 1-500</v>
      </c>
      <c r="P182" s="2" t="n">
        <f aca="false">Lookups!$B$2*M182+Lookups!$B$3*L182</f>
        <v>1</v>
      </c>
      <c r="Q182" s="2" t="str">
        <f aca="false">INDEX(Lookups!$E$2:$E$5,MATCH(P182,Lookups!$D$2:$D$5,0))</f>
        <v>Medium</v>
      </c>
    </row>
    <row r="183" customFormat="false" ht="15" hidden="false" customHeight="false" outlineLevel="0" collapsed="false">
      <c r="A183" s="3" t="n">
        <v>182</v>
      </c>
      <c r="B183" s="3" t="n">
        <f aca="false">Raw_Data!A183</f>
        <v>32</v>
      </c>
      <c r="C183" s="3" t="str">
        <f aca="false">SUBSTITUTE(Raw_Data!B183,".","")</f>
        <v>services</v>
      </c>
      <c r="D183" s="3" t="str">
        <f aca="false">Raw_Data!C183</f>
        <v>single</v>
      </c>
      <c r="E183" s="3" t="str">
        <f aca="false">Raw_Data!D183</f>
        <v>secondary</v>
      </c>
      <c r="F183" s="3" t="str">
        <f aca="false">Raw_Data!E183</f>
        <v>no</v>
      </c>
      <c r="G183" s="3" t="n">
        <f aca="false">Raw_Data!F183</f>
        <v>0</v>
      </c>
      <c r="H183" s="3" t="str">
        <f aca="false">Raw_Data!G183</f>
        <v>no</v>
      </c>
      <c r="I183" s="3" t="str">
        <f aca="false">Raw_Data!H183</f>
        <v>yes</v>
      </c>
      <c r="J183" s="2" t="n">
        <f aca="false">IF(F183="yes",1,0)</f>
        <v>0</v>
      </c>
      <c r="K183" s="2" t="n">
        <f aca="false">IF(H183="yes",1,0)</f>
        <v>0</v>
      </c>
      <c r="L183" s="2" t="n">
        <f aca="false">IF(I183="yes",1,0)</f>
        <v>1</v>
      </c>
      <c r="M183" s="2" t="n">
        <f aca="false">IF(G183&lt;0,1,0)</f>
        <v>0</v>
      </c>
      <c r="N183" s="2" t="str">
        <f aca="false">_xlfn.IFS(B183&lt;30,"Under 30",B183&lt;40,"30-39",B183&lt;50,"40-49",B183&lt;60,"50-59",TRUE(),"60+")</f>
        <v>30-39</v>
      </c>
      <c r="O183" s="2" t="str">
        <f aca="false">_xlfn.IFS(G183&lt;0,"1 Negative",G183=0,"2 Zero",G183&lt;=500,"3 1-500",G183&lt;=2000,"4 501-2000",TRUE(),"5 Above 2000")</f>
        <v>2 Zero</v>
      </c>
      <c r="P183" s="2" t="n">
        <f aca="false">Lookups!$B$2*M183+Lookups!$B$3*L183</f>
        <v>1</v>
      </c>
      <c r="Q183" s="2" t="str">
        <f aca="false">INDEX(Lookups!$E$2:$E$5,MATCH(P183,Lookups!$D$2:$D$5,0))</f>
        <v>Medium</v>
      </c>
    </row>
    <row r="184" customFormat="false" ht="15" hidden="false" customHeight="false" outlineLevel="0" collapsed="false">
      <c r="A184" s="3" t="n">
        <v>183</v>
      </c>
      <c r="B184" s="3" t="n">
        <f aca="false">Raw_Data!A184</f>
        <v>34</v>
      </c>
      <c r="C184" s="3" t="str">
        <f aca="false">SUBSTITUTE(Raw_Data!B184,".","")</f>
        <v>admin</v>
      </c>
      <c r="D184" s="3" t="str">
        <f aca="false">Raw_Data!C184</f>
        <v>single</v>
      </c>
      <c r="E184" s="3" t="str">
        <f aca="false">Raw_Data!D184</f>
        <v>secondary</v>
      </c>
      <c r="F184" s="3" t="str">
        <f aca="false">Raw_Data!E184</f>
        <v>no</v>
      </c>
      <c r="G184" s="3" t="n">
        <f aca="false">Raw_Data!F184</f>
        <v>6979</v>
      </c>
      <c r="H184" s="3" t="str">
        <f aca="false">Raw_Data!G184</f>
        <v>yes</v>
      </c>
      <c r="I184" s="3" t="str">
        <f aca="false">Raw_Data!H184</f>
        <v>no</v>
      </c>
      <c r="J184" s="2" t="n">
        <f aca="false">IF(F184="yes",1,0)</f>
        <v>0</v>
      </c>
      <c r="K184" s="2" t="n">
        <f aca="false">IF(H184="yes",1,0)</f>
        <v>1</v>
      </c>
      <c r="L184" s="2" t="n">
        <f aca="false">IF(I184="yes",1,0)</f>
        <v>0</v>
      </c>
      <c r="M184" s="2" t="n">
        <f aca="false">IF(G184&lt;0,1,0)</f>
        <v>0</v>
      </c>
      <c r="N184" s="2" t="str">
        <f aca="false">_xlfn.IFS(B184&lt;30,"Under 30",B184&lt;40,"30-39",B184&lt;50,"40-49",B184&lt;60,"50-59",TRUE(),"60+")</f>
        <v>30-39</v>
      </c>
      <c r="O184" s="2" t="str">
        <f aca="false">_xlfn.IFS(G184&lt;0,"1 Negative",G184=0,"2 Zero",G184&lt;=500,"3 1-500",G184&lt;=2000,"4 501-2000",TRUE(),"5 Above 2000")</f>
        <v>5 Above 2000</v>
      </c>
      <c r="P184" s="2" t="n">
        <f aca="false">Lookups!$B$2*M184+Lookups!$B$3*L184</f>
        <v>0</v>
      </c>
      <c r="Q184" s="2" t="str">
        <f aca="false">INDEX(Lookups!$E$2:$E$5,MATCH(P184,Lookups!$D$2:$D$5,0))</f>
        <v>Low</v>
      </c>
    </row>
    <row r="185" customFormat="false" ht="15" hidden="false" customHeight="false" outlineLevel="0" collapsed="false">
      <c r="A185" s="3" t="n">
        <v>184</v>
      </c>
      <c r="B185" s="3" t="n">
        <f aca="false">Raw_Data!A185</f>
        <v>40</v>
      </c>
      <c r="C185" s="3" t="str">
        <f aca="false">SUBSTITUTE(Raw_Data!B185,".","")</f>
        <v>admin</v>
      </c>
      <c r="D185" s="3" t="str">
        <f aca="false">Raw_Data!C185</f>
        <v>divorced</v>
      </c>
      <c r="E185" s="3" t="str">
        <f aca="false">Raw_Data!D185</f>
        <v>secondary</v>
      </c>
      <c r="F185" s="3" t="str">
        <f aca="false">Raw_Data!E185</f>
        <v>no</v>
      </c>
      <c r="G185" s="3" t="n">
        <f aca="false">Raw_Data!F185</f>
        <v>6</v>
      </c>
      <c r="H185" s="3" t="str">
        <f aca="false">Raw_Data!G185</f>
        <v>no</v>
      </c>
      <c r="I185" s="3" t="str">
        <f aca="false">Raw_Data!H185</f>
        <v>no</v>
      </c>
      <c r="J185" s="2" t="n">
        <f aca="false">IF(F185="yes",1,0)</f>
        <v>0</v>
      </c>
      <c r="K185" s="2" t="n">
        <f aca="false">IF(H185="yes",1,0)</f>
        <v>0</v>
      </c>
      <c r="L185" s="2" t="n">
        <f aca="false">IF(I185="yes",1,0)</f>
        <v>0</v>
      </c>
      <c r="M185" s="2" t="n">
        <f aca="false">IF(G185&lt;0,1,0)</f>
        <v>0</v>
      </c>
      <c r="N185" s="2" t="str">
        <f aca="false">_xlfn.IFS(B185&lt;30,"Under 30",B185&lt;40,"30-39",B185&lt;50,"40-49",B185&lt;60,"50-59",TRUE(),"60+")</f>
        <v>40-49</v>
      </c>
      <c r="O185" s="2" t="str">
        <f aca="false">_xlfn.IFS(G185&lt;0,"1 Negative",G185=0,"2 Zero",G185&lt;=500,"3 1-500",G185&lt;=2000,"4 501-2000",TRUE(),"5 Above 2000")</f>
        <v>3 1-500</v>
      </c>
      <c r="P185" s="2" t="n">
        <f aca="false">Lookups!$B$2*M185+Lookups!$B$3*L185</f>
        <v>0</v>
      </c>
      <c r="Q185" s="2" t="str">
        <f aca="false">INDEX(Lookups!$E$2:$E$5,MATCH(P185,Lookups!$D$2:$D$5,0))</f>
        <v>Low</v>
      </c>
    </row>
    <row r="186" customFormat="false" ht="15" hidden="false" customHeight="false" outlineLevel="0" collapsed="false">
      <c r="A186" s="3" t="n">
        <v>185</v>
      </c>
      <c r="B186" s="3" t="n">
        <f aca="false">Raw_Data!A186</f>
        <v>34</v>
      </c>
      <c r="C186" s="3" t="str">
        <f aca="false">SUBSTITUTE(Raw_Data!B186,".","")</f>
        <v>services</v>
      </c>
      <c r="D186" s="3" t="str">
        <f aca="false">Raw_Data!C186</f>
        <v>married</v>
      </c>
      <c r="E186" s="3" t="str">
        <f aca="false">Raw_Data!D186</f>
        <v>secondary</v>
      </c>
      <c r="F186" s="3" t="str">
        <f aca="false">Raw_Data!E186</f>
        <v>no</v>
      </c>
      <c r="G186" s="3" t="n">
        <f aca="false">Raw_Data!F186</f>
        <v>-62</v>
      </c>
      <c r="H186" s="3" t="str">
        <f aca="false">Raw_Data!G186</f>
        <v>yes</v>
      </c>
      <c r="I186" s="3" t="str">
        <f aca="false">Raw_Data!H186</f>
        <v>no</v>
      </c>
      <c r="J186" s="2" t="n">
        <f aca="false">IF(F186="yes",1,0)</f>
        <v>0</v>
      </c>
      <c r="K186" s="2" t="n">
        <f aca="false">IF(H186="yes",1,0)</f>
        <v>1</v>
      </c>
      <c r="L186" s="2" t="n">
        <f aca="false">IF(I186="yes",1,0)</f>
        <v>0</v>
      </c>
      <c r="M186" s="2" t="n">
        <f aca="false">IF(G186&lt;0,1,0)</f>
        <v>1</v>
      </c>
      <c r="N186" s="2" t="str">
        <f aca="false">_xlfn.IFS(B186&lt;30,"Under 30",B186&lt;40,"30-39",B186&lt;50,"40-49",B186&lt;60,"50-59",TRUE(),"60+")</f>
        <v>30-39</v>
      </c>
      <c r="O186" s="2" t="str">
        <f aca="false">_xlfn.IFS(G186&lt;0,"1 Negative",G186=0,"2 Zero",G186&lt;=500,"3 1-500",G186&lt;=2000,"4 501-2000",TRUE(),"5 Above 2000")</f>
        <v>1 Negative</v>
      </c>
      <c r="P186" s="2" t="n">
        <f aca="false">Lookups!$B$2*M186+Lookups!$B$3*L186</f>
        <v>2</v>
      </c>
      <c r="Q186" s="2" t="str">
        <f aca="false">INDEX(Lookups!$E$2:$E$5,MATCH(P186,Lookups!$D$2:$D$5,0))</f>
        <v>High</v>
      </c>
    </row>
    <row r="187" customFormat="false" ht="15" hidden="false" customHeight="false" outlineLevel="0" collapsed="false">
      <c r="A187" s="3" t="n">
        <v>186</v>
      </c>
      <c r="B187" s="3" t="n">
        <f aca="false">Raw_Data!A187</f>
        <v>34</v>
      </c>
      <c r="C187" s="3" t="str">
        <f aca="false">SUBSTITUTE(Raw_Data!B187,".","")</f>
        <v>self-employed</v>
      </c>
      <c r="D187" s="3" t="str">
        <f aca="false">Raw_Data!C187</f>
        <v>married</v>
      </c>
      <c r="E187" s="3" t="str">
        <f aca="false">Raw_Data!D187</f>
        <v>tertiary</v>
      </c>
      <c r="F187" s="3" t="str">
        <f aca="false">Raw_Data!E187</f>
        <v>no</v>
      </c>
      <c r="G187" s="3" t="n">
        <f aca="false">Raw_Data!F187</f>
        <v>1972</v>
      </c>
      <c r="H187" s="3" t="str">
        <f aca="false">Raw_Data!G187</f>
        <v>yes</v>
      </c>
      <c r="I187" s="3" t="str">
        <f aca="false">Raw_Data!H187</f>
        <v>no</v>
      </c>
      <c r="J187" s="2" t="n">
        <f aca="false">IF(F187="yes",1,0)</f>
        <v>0</v>
      </c>
      <c r="K187" s="2" t="n">
        <f aca="false">IF(H187="yes",1,0)</f>
        <v>1</v>
      </c>
      <c r="L187" s="2" t="n">
        <f aca="false">IF(I187="yes",1,0)</f>
        <v>0</v>
      </c>
      <c r="M187" s="2" t="n">
        <f aca="false">IF(G187&lt;0,1,0)</f>
        <v>0</v>
      </c>
      <c r="N187" s="2" t="str">
        <f aca="false">_xlfn.IFS(B187&lt;30,"Under 30",B187&lt;40,"30-39",B187&lt;50,"40-49",B187&lt;60,"50-59",TRUE(),"60+")</f>
        <v>30-39</v>
      </c>
      <c r="O187" s="2" t="str">
        <f aca="false">_xlfn.IFS(G187&lt;0,"1 Negative",G187=0,"2 Zero",G187&lt;=500,"3 1-500",G187&lt;=2000,"4 501-2000",TRUE(),"5 Above 2000")</f>
        <v>4 501-2000</v>
      </c>
      <c r="P187" s="2" t="n">
        <f aca="false">Lookups!$B$2*M187+Lookups!$B$3*L187</f>
        <v>0</v>
      </c>
      <c r="Q187" s="2" t="str">
        <f aca="false">INDEX(Lookups!$E$2:$E$5,MATCH(P187,Lookups!$D$2:$D$5,0))</f>
        <v>Low</v>
      </c>
    </row>
    <row r="188" customFormat="false" ht="15" hidden="false" customHeight="false" outlineLevel="0" collapsed="false">
      <c r="A188" s="3" t="n">
        <v>187</v>
      </c>
      <c r="B188" s="3" t="n">
        <f aca="false">Raw_Data!A188</f>
        <v>34</v>
      </c>
      <c r="C188" s="3" t="str">
        <f aca="false">SUBSTITUTE(Raw_Data!B188,".","")</f>
        <v>admin</v>
      </c>
      <c r="D188" s="3" t="str">
        <f aca="false">Raw_Data!C188</f>
        <v>married</v>
      </c>
      <c r="E188" s="3" t="str">
        <f aca="false">Raw_Data!D188</f>
        <v>tertiary</v>
      </c>
      <c r="F188" s="3" t="str">
        <f aca="false">Raw_Data!E188</f>
        <v>no</v>
      </c>
      <c r="G188" s="3" t="n">
        <f aca="false">Raw_Data!F188</f>
        <v>899</v>
      </c>
      <c r="H188" s="3" t="str">
        <f aca="false">Raw_Data!G188</f>
        <v>yes</v>
      </c>
      <c r="I188" s="3" t="str">
        <f aca="false">Raw_Data!H188</f>
        <v>no</v>
      </c>
      <c r="J188" s="2" t="n">
        <f aca="false">IF(F188="yes",1,0)</f>
        <v>0</v>
      </c>
      <c r="K188" s="2" t="n">
        <f aca="false">IF(H188="yes",1,0)</f>
        <v>1</v>
      </c>
      <c r="L188" s="2" t="n">
        <f aca="false">IF(I188="yes",1,0)</f>
        <v>0</v>
      </c>
      <c r="M188" s="2" t="n">
        <f aca="false">IF(G188&lt;0,1,0)</f>
        <v>0</v>
      </c>
      <c r="N188" s="2" t="str">
        <f aca="false">_xlfn.IFS(B188&lt;30,"Under 30",B188&lt;40,"30-39",B188&lt;50,"40-49",B188&lt;60,"50-59",TRUE(),"60+")</f>
        <v>30-39</v>
      </c>
      <c r="O188" s="2" t="str">
        <f aca="false">_xlfn.IFS(G188&lt;0,"1 Negative",G188=0,"2 Zero",G188&lt;=500,"3 1-500",G188&lt;=2000,"4 501-2000",TRUE(),"5 Above 2000")</f>
        <v>4 501-2000</v>
      </c>
      <c r="P188" s="2" t="n">
        <f aca="false">Lookups!$B$2*M188+Lookups!$B$3*L188</f>
        <v>0</v>
      </c>
      <c r="Q188" s="2" t="str">
        <f aca="false">INDEX(Lookups!$E$2:$E$5,MATCH(P188,Lookups!$D$2:$D$5,0))</f>
        <v>Low</v>
      </c>
    </row>
    <row r="189" customFormat="false" ht="15" hidden="false" customHeight="false" outlineLevel="0" collapsed="false">
      <c r="A189" s="3" t="n">
        <v>188</v>
      </c>
      <c r="B189" s="3" t="n">
        <f aca="false">Raw_Data!A189</f>
        <v>37</v>
      </c>
      <c r="C189" s="3" t="str">
        <f aca="false">SUBSTITUTE(Raw_Data!B189,".","")</f>
        <v>services</v>
      </c>
      <c r="D189" s="3" t="str">
        <f aca="false">Raw_Data!C189</f>
        <v>single</v>
      </c>
      <c r="E189" s="3" t="str">
        <f aca="false">Raw_Data!D189</f>
        <v>secondary</v>
      </c>
      <c r="F189" s="3" t="str">
        <f aca="false">Raw_Data!E189</f>
        <v>no</v>
      </c>
      <c r="G189" s="3" t="n">
        <f aca="false">Raw_Data!F189</f>
        <v>21</v>
      </c>
      <c r="H189" s="3" t="str">
        <f aca="false">Raw_Data!G189</f>
        <v>yes</v>
      </c>
      <c r="I189" s="3" t="str">
        <f aca="false">Raw_Data!H189</f>
        <v>no</v>
      </c>
      <c r="J189" s="2" t="n">
        <f aca="false">IF(F189="yes",1,0)</f>
        <v>0</v>
      </c>
      <c r="K189" s="2" t="n">
        <f aca="false">IF(H189="yes",1,0)</f>
        <v>1</v>
      </c>
      <c r="L189" s="2" t="n">
        <f aca="false">IF(I189="yes",1,0)</f>
        <v>0</v>
      </c>
      <c r="M189" s="2" t="n">
        <f aca="false">IF(G189&lt;0,1,0)</f>
        <v>0</v>
      </c>
      <c r="N189" s="2" t="str">
        <f aca="false">_xlfn.IFS(B189&lt;30,"Under 30",B189&lt;40,"30-39",B189&lt;50,"40-49",B189&lt;60,"50-59",TRUE(),"60+")</f>
        <v>30-39</v>
      </c>
      <c r="O189" s="2" t="str">
        <f aca="false">_xlfn.IFS(G189&lt;0,"1 Negative",G189=0,"2 Zero",G189&lt;=500,"3 1-500",G189&lt;=2000,"4 501-2000",TRUE(),"5 Above 2000")</f>
        <v>3 1-500</v>
      </c>
      <c r="P189" s="2" t="n">
        <f aca="false">Lookups!$B$2*M189+Lookups!$B$3*L189</f>
        <v>0</v>
      </c>
      <c r="Q189" s="2" t="str">
        <f aca="false">INDEX(Lookups!$E$2:$E$5,MATCH(P189,Lookups!$D$2:$D$5,0))</f>
        <v>Low</v>
      </c>
    </row>
    <row r="190" customFormat="false" ht="15" hidden="false" customHeight="false" outlineLevel="0" collapsed="false">
      <c r="A190" s="3" t="n">
        <v>189</v>
      </c>
      <c r="B190" s="3" t="n">
        <f aca="false">Raw_Data!A190</f>
        <v>36</v>
      </c>
      <c r="C190" s="3" t="str">
        <f aca="false">SUBSTITUTE(Raw_Data!B190,".","")</f>
        <v>technician</v>
      </c>
      <c r="D190" s="3" t="str">
        <f aca="false">Raw_Data!C190</f>
        <v>married</v>
      </c>
      <c r="E190" s="3" t="str">
        <f aca="false">Raw_Data!D190</f>
        <v>secondary</v>
      </c>
      <c r="F190" s="3" t="str">
        <f aca="false">Raw_Data!E190</f>
        <v>no</v>
      </c>
      <c r="G190" s="3" t="n">
        <f aca="false">Raw_Data!F190</f>
        <v>23</v>
      </c>
      <c r="H190" s="3" t="str">
        <f aca="false">Raw_Data!G190</f>
        <v>yes</v>
      </c>
      <c r="I190" s="3" t="str">
        <f aca="false">Raw_Data!H190</f>
        <v>no</v>
      </c>
      <c r="J190" s="2" t="n">
        <f aca="false">IF(F190="yes",1,0)</f>
        <v>0</v>
      </c>
      <c r="K190" s="2" t="n">
        <f aca="false">IF(H190="yes",1,0)</f>
        <v>1</v>
      </c>
      <c r="L190" s="2" t="n">
        <f aca="false">IF(I190="yes",1,0)</f>
        <v>0</v>
      </c>
      <c r="M190" s="2" t="n">
        <f aca="false">IF(G190&lt;0,1,0)</f>
        <v>0</v>
      </c>
      <c r="N190" s="2" t="str">
        <f aca="false">_xlfn.IFS(B190&lt;30,"Under 30",B190&lt;40,"30-39",B190&lt;50,"40-49",B190&lt;60,"50-59",TRUE(),"60+")</f>
        <v>30-39</v>
      </c>
      <c r="O190" s="2" t="str">
        <f aca="false">_xlfn.IFS(G190&lt;0,"1 Negative",G190=0,"2 Zero",G190&lt;=500,"3 1-500",G190&lt;=2000,"4 501-2000",TRUE(),"5 Above 2000")</f>
        <v>3 1-500</v>
      </c>
      <c r="P190" s="2" t="n">
        <f aca="false">Lookups!$B$2*M190+Lookups!$B$3*L190</f>
        <v>0</v>
      </c>
      <c r="Q190" s="2" t="str">
        <f aca="false">INDEX(Lookups!$E$2:$E$5,MATCH(P190,Lookups!$D$2:$D$5,0))</f>
        <v>Low</v>
      </c>
    </row>
    <row r="191" customFormat="false" ht="15" hidden="false" customHeight="false" outlineLevel="0" collapsed="false">
      <c r="A191" s="3" t="n">
        <v>190</v>
      </c>
      <c r="B191" s="3" t="n">
        <f aca="false">Raw_Data!A191</f>
        <v>56</v>
      </c>
      <c r="C191" s="3" t="str">
        <f aca="false">SUBSTITUTE(Raw_Data!B191,".","")</f>
        <v>retired</v>
      </c>
      <c r="D191" s="3" t="str">
        <f aca="false">Raw_Data!C191</f>
        <v>married</v>
      </c>
      <c r="E191" s="3" t="str">
        <f aca="false">Raw_Data!D191</f>
        <v>secondary</v>
      </c>
      <c r="F191" s="3" t="str">
        <f aca="false">Raw_Data!E191</f>
        <v>no</v>
      </c>
      <c r="G191" s="3" t="n">
        <f aca="false">Raw_Data!F191</f>
        <v>-1206</v>
      </c>
      <c r="H191" s="3" t="str">
        <f aca="false">Raw_Data!G191</f>
        <v>yes</v>
      </c>
      <c r="I191" s="3" t="str">
        <f aca="false">Raw_Data!H191</f>
        <v>no</v>
      </c>
      <c r="J191" s="2" t="n">
        <f aca="false">IF(F191="yes",1,0)</f>
        <v>0</v>
      </c>
      <c r="K191" s="2" t="n">
        <f aca="false">IF(H191="yes",1,0)</f>
        <v>1</v>
      </c>
      <c r="L191" s="2" t="n">
        <f aca="false">IF(I191="yes",1,0)</f>
        <v>0</v>
      </c>
      <c r="M191" s="2" t="n">
        <f aca="false">IF(G191&lt;0,1,0)</f>
        <v>1</v>
      </c>
      <c r="N191" s="2" t="str">
        <f aca="false">_xlfn.IFS(B191&lt;30,"Under 30",B191&lt;40,"30-39",B191&lt;50,"40-49",B191&lt;60,"50-59",TRUE(),"60+")</f>
        <v>50-59</v>
      </c>
      <c r="O191" s="2" t="str">
        <f aca="false">_xlfn.IFS(G191&lt;0,"1 Negative",G191=0,"2 Zero",G191&lt;=500,"3 1-500",G191&lt;=2000,"4 501-2000",TRUE(),"5 Above 2000")</f>
        <v>1 Negative</v>
      </c>
      <c r="P191" s="2" t="n">
        <f aca="false">Lookups!$B$2*M191+Lookups!$B$3*L191</f>
        <v>2</v>
      </c>
      <c r="Q191" s="2" t="str">
        <f aca="false">INDEX(Lookups!$E$2:$E$5,MATCH(P191,Lookups!$D$2:$D$5,0))</f>
        <v>High</v>
      </c>
    </row>
    <row r="192" customFormat="false" ht="15" hidden="false" customHeight="false" outlineLevel="0" collapsed="false">
      <c r="A192" s="3" t="n">
        <v>191</v>
      </c>
      <c r="B192" s="3" t="n">
        <f aca="false">Raw_Data!A192</f>
        <v>49</v>
      </c>
      <c r="C192" s="3" t="str">
        <f aca="false">SUBSTITUTE(Raw_Data!B192,".","")</f>
        <v>blue-collar</v>
      </c>
      <c r="D192" s="3" t="str">
        <f aca="false">Raw_Data!C192</f>
        <v>married</v>
      </c>
      <c r="E192" s="3" t="str">
        <f aca="false">Raw_Data!D192</f>
        <v>primary</v>
      </c>
      <c r="F192" s="3" t="str">
        <f aca="false">Raw_Data!E192</f>
        <v>no</v>
      </c>
      <c r="G192" s="3" t="n">
        <f aca="false">Raw_Data!F192</f>
        <v>0</v>
      </c>
      <c r="H192" s="3" t="str">
        <f aca="false">Raw_Data!G192</f>
        <v>yes</v>
      </c>
      <c r="I192" s="3" t="str">
        <f aca="false">Raw_Data!H192</f>
        <v>yes</v>
      </c>
      <c r="J192" s="2" t="n">
        <f aca="false">IF(F192="yes",1,0)</f>
        <v>0</v>
      </c>
      <c r="K192" s="2" t="n">
        <f aca="false">IF(H192="yes",1,0)</f>
        <v>1</v>
      </c>
      <c r="L192" s="2" t="n">
        <f aca="false">IF(I192="yes",1,0)</f>
        <v>1</v>
      </c>
      <c r="M192" s="2" t="n">
        <f aca="false">IF(G192&lt;0,1,0)</f>
        <v>0</v>
      </c>
      <c r="N192" s="2" t="str">
        <f aca="false">_xlfn.IFS(B192&lt;30,"Under 30",B192&lt;40,"30-39",B192&lt;50,"40-49",B192&lt;60,"50-59",TRUE(),"60+")</f>
        <v>40-49</v>
      </c>
      <c r="O192" s="2" t="str">
        <f aca="false">_xlfn.IFS(G192&lt;0,"1 Negative",G192=0,"2 Zero",G192&lt;=500,"3 1-500",G192&lt;=2000,"4 501-2000",TRUE(),"5 Above 2000")</f>
        <v>2 Zero</v>
      </c>
      <c r="P192" s="2" t="n">
        <f aca="false">Lookups!$B$2*M192+Lookups!$B$3*L192</f>
        <v>1</v>
      </c>
      <c r="Q192" s="2" t="str">
        <f aca="false">INDEX(Lookups!$E$2:$E$5,MATCH(P192,Lookups!$D$2:$D$5,0))</f>
        <v>Medium</v>
      </c>
    </row>
    <row r="193" customFormat="false" ht="15" hidden="false" customHeight="false" outlineLevel="0" collapsed="false">
      <c r="A193" s="3" t="n">
        <v>192</v>
      </c>
      <c r="B193" s="3" t="n">
        <f aca="false">Raw_Data!A193</f>
        <v>33</v>
      </c>
      <c r="C193" s="3" t="str">
        <f aca="false">SUBSTITUTE(Raw_Data!B193,".","")</f>
        <v>self-employed</v>
      </c>
      <c r="D193" s="3" t="str">
        <f aca="false">Raw_Data!C193</f>
        <v>married</v>
      </c>
      <c r="E193" s="3" t="str">
        <f aca="false">Raw_Data!D193</f>
        <v>secondary</v>
      </c>
      <c r="F193" s="3" t="str">
        <f aca="false">Raw_Data!E193</f>
        <v>no</v>
      </c>
      <c r="G193" s="3" t="n">
        <f aca="false">Raw_Data!F193</f>
        <v>215</v>
      </c>
      <c r="H193" s="3" t="str">
        <f aca="false">Raw_Data!G193</f>
        <v>yes</v>
      </c>
      <c r="I193" s="3" t="str">
        <f aca="false">Raw_Data!H193</f>
        <v>no</v>
      </c>
      <c r="J193" s="2" t="n">
        <f aca="false">IF(F193="yes",1,0)</f>
        <v>0</v>
      </c>
      <c r="K193" s="2" t="n">
        <f aca="false">IF(H193="yes",1,0)</f>
        <v>1</v>
      </c>
      <c r="L193" s="2" t="n">
        <f aca="false">IF(I193="yes",1,0)</f>
        <v>0</v>
      </c>
      <c r="M193" s="2" t="n">
        <f aca="false">IF(G193&lt;0,1,0)</f>
        <v>0</v>
      </c>
      <c r="N193" s="2" t="str">
        <f aca="false">_xlfn.IFS(B193&lt;30,"Under 30",B193&lt;40,"30-39",B193&lt;50,"40-49",B193&lt;60,"50-59",TRUE(),"60+")</f>
        <v>30-39</v>
      </c>
      <c r="O193" s="2" t="str">
        <f aca="false">_xlfn.IFS(G193&lt;0,"1 Negative",G193=0,"2 Zero",G193&lt;=500,"3 1-500",G193&lt;=2000,"4 501-2000",TRUE(),"5 Above 2000")</f>
        <v>3 1-500</v>
      </c>
      <c r="P193" s="2" t="n">
        <f aca="false">Lookups!$B$2*M193+Lookups!$B$3*L193</f>
        <v>0</v>
      </c>
      <c r="Q193" s="2" t="str">
        <f aca="false">INDEX(Lookups!$E$2:$E$5,MATCH(P193,Lookups!$D$2:$D$5,0))</f>
        <v>Low</v>
      </c>
    </row>
    <row r="194" customFormat="false" ht="15" hidden="false" customHeight="false" outlineLevel="0" collapsed="false">
      <c r="A194" s="3" t="n">
        <v>193</v>
      </c>
      <c r="B194" s="3" t="n">
        <f aca="false">Raw_Data!A194</f>
        <v>30</v>
      </c>
      <c r="C194" s="3" t="str">
        <f aca="false">SUBSTITUTE(Raw_Data!B194,".","")</f>
        <v>management</v>
      </c>
      <c r="D194" s="3" t="str">
        <f aca="false">Raw_Data!C194</f>
        <v>single</v>
      </c>
      <c r="E194" s="3" t="str">
        <f aca="false">Raw_Data!D194</f>
        <v>tertiary</v>
      </c>
      <c r="F194" s="3" t="str">
        <f aca="false">Raw_Data!E194</f>
        <v>no</v>
      </c>
      <c r="G194" s="3" t="n">
        <f aca="false">Raw_Data!F194</f>
        <v>1372</v>
      </c>
      <c r="H194" s="3" t="str">
        <f aca="false">Raw_Data!G194</f>
        <v>no</v>
      </c>
      <c r="I194" s="3" t="str">
        <f aca="false">Raw_Data!H194</f>
        <v>no</v>
      </c>
      <c r="J194" s="2" t="n">
        <f aca="false">IF(F194="yes",1,0)</f>
        <v>0</v>
      </c>
      <c r="K194" s="2" t="n">
        <f aca="false">IF(H194="yes",1,0)</f>
        <v>0</v>
      </c>
      <c r="L194" s="2" t="n">
        <f aca="false">IF(I194="yes",1,0)</f>
        <v>0</v>
      </c>
      <c r="M194" s="2" t="n">
        <f aca="false">IF(G194&lt;0,1,0)</f>
        <v>0</v>
      </c>
      <c r="N194" s="2" t="str">
        <f aca="false">_xlfn.IFS(B194&lt;30,"Under 30",B194&lt;40,"30-39",B194&lt;50,"40-49",B194&lt;60,"50-59",TRUE(),"60+")</f>
        <v>30-39</v>
      </c>
      <c r="O194" s="2" t="str">
        <f aca="false">_xlfn.IFS(G194&lt;0,"1 Negative",G194=0,"2 Zero",G194&lt;=500,"3 1-500",G194&lt;=2000,"4 501-2000",TRUE(),"5 Above 2000")</f>
        <v>4 501-2000</v>
      </c>
      <c r="P194" s="2" t="n">
        <f aca="false">Lookups!$B$2*M194+Lookups!$B$3*L194</f>
        <v>0</v>
      </c>
      <c r="Q194" s="2" t="str">
        <f aca="false">INDEX(Lookups!$E$2:$E$5,MATCH(P194,Lookups!$D$2:$D$5,0))</f>
        <v>Low</v>
      </c>
    </row>
    <row r="195" customFormat="false" ht="15" hidden="false" customHeight="false" outlineLevel="0" collapsed="false">
      <c r="A195" s="3" t="n">
        <v>194</v>
      </c>
      <c r="B195" s="3" t="n">
        <f aca="false">Raw_Data!A195</f>
        <v>36</v>
      </c>
      <c r="C195" s="3" t="str">
        <f aca="false">SUBSTITUTE(Raw_Data!B195,".","")</f>
        <v>services</v>
      </c>
      <c r="D195" s="3" t="str">
        <f aca="false">Raw_Data!C195</f>
        <v>married</v>
      </c>
      <c r="E195" s="3" t="str">
        <f aca="false">Raw_Data!D195</f>
        <v>secondary</v>
      </c>
      <c r="F195" s="3" t="str">
        <f aca="false">Raw_Data!E195</f>
        <v>no</v>
      </c>
      <c r="G195" s="3" t="n">
        <f aca="false">Raw_Data!F195</f>
        <v>1981</v>
      </c>
      <c r="H195" s="3" t="str">
        <f aca="false">Raw_Data!G195</f>
        <v>no</v>
      </c>
      <c r="I195" s="3" t="str">
        <f aca="false">Raw_Data!H195</f>
        <v>no</v>
      </c>
      <c r="J195" s="2" t="n">
        <f aca="false">IF(F195="yes",1,0)</f>
        <v>0</v>
      </c>
      <c r="K195" s="2" t="n">
        <f aca="false">IF(H195="yes",1,0)</f>
        <v>0</v>
      </c>
      <c r="L195" s="2" t="n">
        <f aca="false">IF(I195="yes",1,0)</f>
        <v>0</v>
      </c>
      <c r="M195" s="2" t="n">
        <f aca="false">IF(G195&lt;0,1,0)</f>
        <v>0</v>
      </c>
      <c r="N195" s="2" t="str">
        <f aca="false">_xlfn.IFS(B195&lt;30,"Under 30",B195&lt;40,"30-39",B195&lt;50,"40-49",B195&lt;60,"50-59",TRUE(),"60+")</f>
        <v>30-39</v>
      </c>
      <c r="O195" s="2" t="str">
        <f aca="false">_xlfn.IFS(G195&lt;0,"1 Negative",G195=0,"2 Zero",G195&lt;=500,"3 1-500",G195&lt;=2000,"4 501-2000",TRUE(),"5 Above 2000")</f>
        <v>4 501-2000</v>
      </c>
      <c r="P195" s="2" t="n">
        <f aca="false">Lookups!$B$2*M195+Lookups!$B$3*L195</f>
        <v>0</v>
      </c>
      <c r="Q195" s="2" t="str">
        <f aca="false">INDEX(Lookups!$E$2:$E$5,MATCH(P195,Lookups!$D$2:$D$5,0))</f>
        <v>Low</v>
      </c>
    </row>
    <row r="196" customFormat="false" ht="15" hidden="false" customHeight="false" outlineLevel="0" collapsed="false">
      <c r="A196" s="3" t="n">
        <v>195</v>
      </c>
      <c r="B196" s="3" t="n">
        <f aca="false">Raw_Data!A196</f>
        <v>23</v>
      </c>
      <c r="C196" s="3" t="str">
        <f aca="false">SUBSTITUTE(Raw_Data!B196,".","")</f>
        <v>student</v>
      </c>
      <c r="D196" s="3" t="str">
        <f aca="false">Raw_Data!C196</f>
        <v>single</v>
      </c>
      <c r="E196" s="3" t="str">
        <f aca="false">Raw_Data!D196</f>
        <v>secondary</v>
      </c>
      <c r="F196" s="3" t="str">
        <f aca="false">Raw_Data!E196</f>
        <v>no</v>
      </c>
      <c r="G196" s="3" t="n">
        <f aca="false">Raw_Data!F196</f>
        <v>9216</v>
      </c>
      <c r="H196" s="3" t="str">
        <f aca="false">Raw_Data!G196</f>
        <v>no</v>
      </c>
      <c r="I196" s="3" t="str">
        <f aca="false">Raw_Data!H196</f>
        <v>no</v>
      </c>
      <c r="J196" s="2" t="n">
        <f aca="false">IF(F196="yes",1,0)</f>
        <v>0</v>
      </c>
      <c r="K196" s="2" t="n">
        <f aca="false">IF(H196="yes",1,0)</f>
        <v>0</v>
      </c>
      <c r="L196" s="2" t="n">
        <f aca="false">IF(I196="yes",1,0)</f>
        <v>0</v>
      </c>
      <c r="M196" s="2" t="n">
        <f aca="false">IF(G196&lt;0,1,0)</f>
        <v>0</v>
      </c>
      <c r="N196" s="2" t="str">
        <f aca="false">_xlfn.IFS(B196&lt;30,"Under 30",B196&lt;40,"30-39",B196&lt;50,"40-49",B196&lt;60,"50-59",TRUE(),"60+")</f>
        <v>Under 30</v>
      </c>
      <c r="O196" s="2" t="str">
        <f aca="false">_xlfn.IFS(G196&lt;0,"1 Negative",G196=0,"2 Zero",G196&lt;=500,"3 1-500",G196&lt;=2000,"4 501-2000",TRUE(),"5 Above 2000")</f>
        <v>5 Above 2000</v>
      </c>
      <c r="P196" s="2" t="n">
        <f aca="false">Lookups!$B$2*M196+Lookups!$B$3*L196</f>
        <v>0</v>
      </c>
      <c r="Q196" s="2" t="str">
        <f aca="false">INDEX(Lookups!$E$2:$E$5,MATCH(P196,Lookups!$D$2:$D$5,0))</f>
        <v>Low</v>
      </c>
    </row>
    <row r="197" customFormat="false" ht="15" hidden="false" customHeight="false" outlineLevel="0" collapsed="false">
      <c r="A197" s="3" t="n">
        <v>196</v>
      </c>
      <c r="B197" s="3" t="n">
        <f aca="false">Raw_Data!A197</f>
        <v>57</v>
      </c>
      <c r="C197" s="3" t="str">
        <f aca="false">SUBSTITUTE(Raw_Data!B197,".","")</f>
        <v>retired</v>
      </c>
      <c r="D197" s="3" t="str">
        <f aca="false">Raw_Data!C197</f>
        <v>divorced</v>
      </c>
      <c r="E197" s="3" t="str">
        <f aca="false">Raw_Data!D197</f>
        <v>secondary</v>
      </c>
      <c r="F197" s="3" t="str">
        <f aca="false">Raw_Data!E197</f>
        <v>no</v>
      </c>
      <c r="G197" s="3" t="n">
        <f aca="false">Raw_Data!F197</f>
        <v>39</v>
      </c>
      <c r="H197" s="3" t="str">
        <f aca="false">Raw_Data!G197</f>
        <v>yes</v>
      </c>
      <c r="I197" s="3" t="str">
        <f aca="false">Raw_Data!H197</f>
        <v>no</v>
      </c>
      <c r="J197" s="2" t="n">
        <f aca="false">IF(F197="yes",1,0)</f>
        <v>0</v>
      </c>
      <c r="K197" s="2" t="n">
        <f aca="false">IF(H197="yes",1,0)</f>
        <v>1</v>
      </c>
      <c r="L197" s="2" t="n">
        <f aca="false">IF(I197="yes",1,0)</f>
        <v>0</v>
      </c>
      <c r="M197" s="2" t="n">
        <f aca="false">IF(G197&lt;0,1,0)</f>
        <v>0</v>
      </c>
      <c r="N197" s="2" t="str">
        <f aca="false">_xlfn.IFS(B197&lt;30,"Under 30",B197&lt;40,"30-39",B197&lt;50,"40-49",B197&lt;60,"50-59",TRUE(),"60+")</f>
        <v>50-59</v>
      </c>
      <c r="O197" s="2" t="str">
        <f aca="false">_xlfn.IFS(G197&lt;0,"1 Negative",G197=0,"2 Zero",G197&lt;=500,"3 1-500",G197&lt;=2000,"4 501-2000",TRUE(),"5 Above 2000")</f>
        <v>3 1-500</v>
      </c>
      <c r="P197" s="2" t="n">
        <f aca="false">Lookups!$B$2*M197+Lookups!$B$3*L197</f>
        <v>0</v>
      </c>
      <c r="Q197" s="2" t="str">
        <f aca="false">INDEX(Lookups!$E$2:$E$5,MATCH(P197,Lookups!$D$2:$D$5,0))</f>
        <v>Low</v>
      </c>
    </row>
    <row r="198" customFormat="false" ht="15" hidden="false" customHeight="false" outlineLevel="0" collapsed="false">
      <c r="A198" s="3" t="n">
        <v>197</v>
      </c>
      <c r="B198" s="3" t="n">
        <f aca="false">Raw_Data!A198</f>
        <v>27</v>
      </c>
      <c r="C198" s="3" t="str">
        <f aca="false">SUBSTITUTE(Raw_Data!B198,".","")</f>
        <v>blue-collar</v>
      </c>
      <c r="D198" s="3" t="str">
        <f aca="false">Raw_Data!C198</f>
        <v>single</v>
      </c>
      <c r="E198" s="3" t="str">
        <f aca="false">Raw_Data!D198</f>
        <v>secondary</v>
      </c>
      <c r="F198" s="3" t="str">
        <f aca="false">Raw_Data!E198</f>
        <v>no</v>
      </c>
      <c r="G198" s="3" t="n">
        <f aca="false">Raw_Data!F198</f>
        <v>5563</v>
      </c>
      <c r="H198" s="3" t="str">
        <f aca="false">Raw_Data!G198</f>
        <v>yes</v>
      </c>
      <c r="I198" s="3" t="str">
        <f aca="false">Raw_Data!H198</f>
        <v>no</v>
      </c>
      <c r="J198" s="2" t="n">
        <f aca="false">IF(F198="yes",1,0)</f>
        <v>0</v>
      </c>
      <c r="K198" s="2" t="n">
        <f aca="false">IF(H198="yes",1,0)</f>
        <v>1</v>
      </c>
      <c r="L198" s="2" t="n">
        <f aca="false">IF(I198="yes",1,0)</f>
        <v>0</v>
      </c>
      <c r="M198" s="2" t="n">
        <f aca="false">IF(G198&lt;0,1,0)</f>
        <v>0</v>
      </c>
      <c r="N198" s="2" t="str">
        <f aca="false">_xlfn.IFS(B198&lt;30,"Under 30",B198&lt;40,"30-39",B198&lt;50,"40-49",B198&lt;60,"50-59",TRUE(),"60+")</f>
        <v>Under 30</v>
      </c>
      <c r="O198" s="2" t="str">
        <f aca="false">_xlfn.IFS(G198&lt;0,"1 Negative",G198=0,"2 Zero",G198&lt;=500,"3 1-500",G198&lt;=2000,"4 501-2000",TRUE(),"5 Above 2000")</f>
        <v>5 Above 2000</v>
      </c>
      <c r="P198" s="2" t="n">
        <f aca="false">Lookups!$B$2*M198+Lookups!$B$3*L198</f>
        <v>0</v>
      </c>
      <c r="Q198" s="2" t="str">
        <f aca="false">INDEX(Lookups!$E$2:$E$5,MATCH(P198,Lookups!$D$2:$D$5,0))</f>
        <v>Low</v>
      </c>
    </row>
    <row r="199" customFormat="false" ht="15" hidden="false" customHeight="false" outlineLevel="0" collapsed="false">
      <c r="A199" s="3" t="n">
        <v>198</v>
      </c>
      <c r="B199" s="3" t="n">
        <f aca="false">Raw_Data!A199</f>
        <v>38</v>
      </c>
      <c r="C199" s="3" t="str">
        <f aca="false">SUBSTITUTE(Raw_Data!B199,".","")</f>
        <v>services</v>
      </c>
      <c r="D199" s="3" t="str">
        <f aca="false">Raw_Data!C199</f>
        <v>married</v>
      </c>
      <c r="E199" s="3" t="str">
        <f aca="false">Raw_Data!D199</f>
        <v>secondary</v>
      </c>
      <c r="F199" s="3" t="str">
        <f aca="false">Raw_Data!E199</f>
        <v>no</v>
      </c>
      <c r="G199" s="3" t="n">
        <f aca="false">Raw_Data!F199</f>
        <v>1</v>
      </c>
      <c r="H199" s="3" t="str">
        <f aca="false">Raw_Data!G199</f>
        <v>no</v>
      </c>
      <c r="I199" s="3" t="str">
        <f aca="false">Raw_Data!H199</f>
        <v>yes</v>
      </c>
      <c r="J199" s="2" t="n">
        <f aca="false">IF(F199="yes",1,0)</f>
        <v>0</v>
      </c>
      <c r="K199" s="2" t="n">
        <f aca="false">IF(H199="yes",1,0)</f>
        <v>0</v>
      </c>
      <c r="L199" s="2" t="n">
        <f aca="false">IF(I199="yes",1,0)</f>
        <v>1</v>
      </c>
      <c r="M199" s="2" t="n">
        <f aca="false">IF(G199&lt;0,1,0)</f>
        <v>0</v>
      </c>
      <c r="N199" s="2" t="str">
        <f aca="false">_xlfn.IFS(B199&lt;30,"Under 30",B199&lt;40,"30-39",B199&lt;50,"40-49",B199&lt;60,"50-59",TRUE(),"60+")</f>
        <v>30-39</v>
      </c>
      <c r="O199" s="2" t="str">
        <f aca="false">_xlfn.IFS(G199&lt;0,"1 Negative",G199=0,"2 Zero",G199&lt;=500,"3 1-500",G199&lt;=2000,"4 501-2000",TRUE(),"5 Above 2000")</f>
        <v>3 1-500</v>
      </c>
      <c r="P199" s="2" t="n">
        <f aca="false">Lookups!$B$2*M199+Lookups!$B$3*L199</f>
        <v>1</v>
      </c>
      <c r="Q199" s="2" t="str">
        <f aca="false">INDEX(Lookups!$E$2:$E$5,MATCH(P199,Lookups!$D$2:$D$5,0))</f>
        <v>Medium</v>
      </c>
    </row>
    <row r="200" customFormat="false" ht="15" hidden="false" customHeight="false" outlineLevel="0" collapsed="false">
      <c r="A200" s="3" t="n">
        <v>199</v>
      </c>
      <c r="B200" s="3" t="n">
        <f aca="false">Raw_Data!A200</f>
        <v>42</v>
      </c>
      <c r="C200" s="3" t="str">
        <f aca="false">SUBSTITUTE(Raw_Data!B200,".","")</f>
        <v>technician</v>
      </c>
      <c r="D200" s="3" t="str">
        <f aca="false">Raw_Data!C200</f>
        <v>married</v>
      </c>
      <c r="E200" s="3" t="str">
        <f aca="false">Raw_Data!D200</f>
        <v>tertiary</v>
      </c>
      <c r="F200" s="3" t="str">
        <f aca="false">Raw_Data!E200</f>
        <v>no</v>
      </c>
      <c r="G200" s="3" t="n">
        <f aca="false">Raw_Data!F200</f>
        <v>782</v>
      </c>
      <c r="H200" s="3" t="str">
        <f aca="false">Raw_Data!G200</f>
        <v>no</v>
      </c>
      <c r="I200" s="3" t="str">
        <f aca="false">Raw_Data!H200</f>
        <v>no</v>
      </c>
      <c r="J200" s="2" t="n">
        <f aca="false">IF(F200="yes",1,0)</f>
        <v>0</v>
      </c>
      <c r="K200" s="2" t="n">
        <f aca="false">IF(H200="yes",1,0)</f>
        <v>0</v>
      </c>
      <c r="L200" s="2" t="n">
        <f aca="false">IF(I200="yes",1,0)</f>
        <v>0</v>
      </c>
      <c r="M200" s="2" t="n">
        <f aca="false">IF(G200&lt;0,1,0)</f>
        <v>0</v>
      </c>
      <c r="N200" s="2" t="str">
        <f aca="false">_xlfn.IFS(B200&lt;30,"Under 30",B200&lt;40,"30-39",B200&lt;50,"40-49",B200&lt;60,"50-59",TRUE(),"60+")</f>
        <v>40-49</v>
      </c>
      <c r="O200" s="2" t="str">
        <f aca="false">_xlfn.IFS(G200&lt;0,"1 Negative",G200=0,"2 Zero",G200&lt;=500,"3 1-500",G200&lt;=2000,"4 501-2000",TRUE(),"5 Above 2000")</f>
        <v>4 501-2000</v>
      </c>
      <c r="P200" s="2" t="n">
        <f aca="false">Lookups!$B$2*M200+Lookups!$B$3*L200</f>
        <v>0</v>
      </c>
      <c r="Q200" s="2" t="str">
        <f aca="false">INDEX(Lookups!$E$2:$E$5,MATCH(P200,Lookups!$D$2:$D$5,0))</f>
        <v>Low</v>
      </c>
    </row>
    <row r="201" customFormat="false" ht="15" hidden="false" customHeight="false" outlineLevel="0" collapsed="false">
      <c r="A201" s="3" t="n">
        <v>200</v>
      </c>
      <c r="B201" s="3" t="n">
        <f aca="false">Raw_Data!A201</f>
        <v>75</v>
      </c>
      <c r="C201" s="3" t="str">
        <f aca="false">SUBSTITUTE(Raw_Data!B201,".","")</f>
        <v>retired</v>
      </c>
      <c r="D201" s="3" t="str">
        <f aca="false">Raw_Data!C201</f>
        <v>married</v>
      </c>
      <c r="E201" s="3" t="str">
        <f aca="false">Raw_Data!D201</f>
        <v>secondary</v>
      </c>
      <c r="F201" s="3" t="str">
        <f aca="false">Raw_Data!E201</f>
        <v>no</v>
      </c>
      <c r="G201" s="3" t="n">
        <f aca="false">Raw_Data!F201</f>
        <v>3771</v>
      </c>
      <c r="H201" s="3" t="str">
        <f aca="false">Raw_Data!G201</f>
        <v>no</v>
      </c>
      <c r="I201" s="3" t="str">
        <f aca="false">Raw_Data!H201</f>
        <v>no</v>
      </c>
      <c r="J201" s="2" t="n">
        <f aca="false">IF(F201="yes",1,0)</f>
        <v>0</v>
      </c>
      <c r="K201" s="2" t="n">
        <f aca="false">IF(H201="yes",1,0)</f>
        <v>0</v>
      </c>
      <c r="L201" s="2" t="n">
        <f aca="false">IF(I201="yes",1,0)</f>
        <v>0</v>
      </c>
      <c r="M201" s="2" t="n">
        <f aca="false">IF(G201&lt;0,1,0)</f>
        <v>0</v>
      </c>
      <c r="N201" s="2" t="str">
        <f aca="false">_xlfn.IFS(B201&lt;30,"Under 30",B201&lt;40,"30-39",B201&lt;50,"40-49",B201&lt;60,"50-59",TRUE(),"60+")</f>
        <v>60+</v>
      </c>
      <c r="O201" s="2" t="str">
        <f aca="false">_xlfn.IFS(G201&lt;0,"1 Negative",G201=0,"2 Zero",G201&lt;=500,"3 1-500",G201&lt;=2000,"4 501-2000",TRUE(),"5 Above 2000")</f>
        <v>5 Above 2000</v>
      </c>
      <c r="P201" s="2" t="n">
        <f aca="false">Lookups!$B$2*M201+Lookups!$B$3*L201</f>
        <v>0</v>
      </c>
      <c r="Q201" s="2" t="str">
        <f aca="false">INDEX(Lookups!$E$2:$E$5,MATCH(P201,Lookups!$D$2:$D$5,0))</f>
        <v>Low</v>
      </c>
    </row>
    <row r="202" customFormat="false" ht="15" hidden="false" customHeight="false" outlineLevel="0" collapsed="false">
      <c r="A202" s="3" t="n">
        <v>201</v>
      </c>
      <c r="B202" s="3" t="n">
        <f aca="false">Raw_Data!A202</f>
        <v>34</v>
      </c>
      <c r="C202" s="3" t="str">
        <f aca="false">SUBSTITUTE(Raw_Data!B202,".","")</f>
        <v>technician</v>
      </c>
      <c r="D202" s="3" t="str">
        <f aca="false">Raw_Data!C202</f>
        <v>single</v>
      </c>
      <c r="E202" s="3" t="str">
        <f aca="false">Raw_Data!D202</f>
        <v>tertiary</v>
      </c>
      <c r="F202" s="3" t="str">
        <f aca="false">Raw_Data!E202</f>
        <v>no</v>
      </c>
      <c r="G202" s="3" t="n">
        <f aca="false">Raw_Data!F202</f>
        <v>992</v>
      </c>
      <c r="H202" s="3" t="str">
        <f aca="false">Raw_Data!G202</f>
        <v>yes</v>
      </c>
      <c r="I202" s="3" t="str">
        <f aca="false">Raw_Data!H202</f>
        <v>no</v>
      </c>
      <c r="J202" s="2" t="n">
        <f aca="false">IF(F202="yes",1,0)</f>
        <v>0</v>
      </c>
      <c r="K202" s="2" t="n">
        <f aca="false">IF(H202="yes",1,0)</f>
        <v>1</v>
      </c>
      <c r="L202" s="2" t="n">
        <f aca="false">IF(I202="yes",1,0)</f>
        <v>0</v>
      </c>
      <c r="M202" s="2" t="n">
        <f aca="false">IF(G202&lt;0,1,0)</f>
        <v>0</v>
      </c>
      <c r="N202" s="2" t="str">
        <f aca="false">_xlfn.IFS(B202&lt;30,"Under 30",B202&lt;40,"30-39",B202&lt;50,"40-49",B202&lt;60,"50-59",TRUE(),"60+")</f>
        <v>30-39</v>
      </c>
      <c r="O202" s="2" t="str">
        <f aca="false">_xlfn.IFS(G202&lt;0,"1 Negative",G202=0,"2 Zero",G202&lt;=500,"3 1-500",G202&lt;=2000,"4 501-2000",TRUE(),"5 Above 2000")</f>
        <v>4 501-2000</v>
      </c>
      <c r="P202" s="2" t="n">
        <f aca="false">Lookups!$B$2*M202+Lookups!$B$3*L202</f>
        <v>0</v>
      </c>
      <c r="Q202" s="2" t="str">
        <f aca="false">INDEX(Lookups!$E$2:$E$5,MATCH(P202,Lookups!$D$2:$D$5,0))</f>
        <v>Low</v>
      </c>
    </row>
    <row r="203" customFormat="false" ht="15" hidden="false" customHeight="false" outlineLevel="0" collapsed="false">
      <c r="A203" s="3" t="n">
        <v>202</v>
      </c>
      <c r="B203" s="3" t="n">
        <f aca="false">Raw_Data!A203</f>
        <v>48</v>
      </c>
      <c r="C203" s="3" t="str">
        <f aca="false">SUBSTITUTE(Raw_Data!B203,".","")</f>
        <v>technician</v>
      </c>
      <c r="D203" s="3" t="str">
        <f aca="false">Raw_Data!C203</f>
        <v>married</v>
      </c>
      <c r="E203" s="3" t="str">
        <f aca="false">Raw_Data!D203</f>
        <v>secondary</v>
      </c>
      <c r="F203" s="3" t="str">
        <f aca="false">Raw_Data!E203</f>
        <v>no</v>
      </c>
      <c r="G203" s="3" t="n">
        <f aca="false">Raw_Data!F203</f>
        <v>1526</v>
      </c>
      <c r="H203" s="3" t="str">
        <f aca="false">Raw_Data!G203</f>
        <v>no</v>
      </c>
      <c r="I203" s="3" t="str">
        <f aca="false">Raw_Data!H203</f>
        <v>no</v>
      </c>
      <c r="J203" s="2" t="n">
        <f aca="false">IF(F203="yes",1,0)</f>
        <v>0</v>
      </c>
      <c r="K203" s="2" t="n">
        <f aca="false">IF(H203="yes",1,0)</f>
        <v>0</v>
      </c>
      <c r="L203" s="2" t="n">
        <f aca="false">IF(I203="yes",1,0)</f>
        <v>0</v>
      </c>
      <c r="M203" s="2" t="n">
        <f aca="false">IF(G203&lt;0,1,0)</f>
        <v>0</v>
      </c>
      <c r="N203" s="2" t="str">
        <f aca="false">_xlfn.IFS(B203&lt;30,"Under 30",B203&lt;40,"30-39",B203&lt;50,"40-49",B203&lt;60,"50-59",TRUE(),"60+")</f>
        <v>40-49</v>
      </c>
      <c r="O203" s="2" t="str">
        <f aca="false">_xlfn.IFS(G203&lt;0,"1 Negative",G203=0,"2 Zero",G203&lt;=500,"3 1-500",G203&lt;=2000,"4 501-2000",TRUE(),"5 Above 2000")</f>
        <v>4 501-2000</v>
      </c>
      <c r="P203" s="2" t="n">
        <f aca="false">Lookups!$B$2*M203+Lookups!$B$3*L203</f>
        <v>0</v>
      </c>
      <c r="Q203" s="2" t="str">
        <f aca="false">INDEX(Lookups!$E$2:$E$5,MATCH(P203,Lookups!$D$2:$D$5,0))</f>
        <v>Low</v>
      </c>
    </row>
    <row r="204" customFormat="false" ht="15" hidden="false" customHeight="false" outlineLevel="0" collapsed="false">
      <c r="A204" s="3" t="n">
        <v>203</v>
      </c>
      <c r="B204" s="3" t="n">
        <f aca="false">Raw_Data!A204</f>
        <v>35</v>
      </c>
      <c r="C204" s="3" t="str">
        <f aca="false">SUBSTITUTE(Raw_Data!B204,".","")</f>
        <v>technician</v>
      </c>
      <c r="D204" s="3" t="str">
        <f aca="false">Raw_Data!C204</f>
        <v>single</v>
      </c>
      <c r="E204" s="3" t="str">
        <f aca="false">Raw_Data!D204</f>
        <v>tertiary</v>
      </c>
      <c r="F204" s="3" t="str">
        <f aca="false">Raw_Data!E204</f>
        <v>no</v>
      </c>
      <c r="G204" s="3" t="n">
        <f aca="false">Raw_Data!F204</f>
        <v>2658</v>
      </c>
      <c r="H204" s="3" t="str">
        <f aca="false">Raw_Data!G204</f>
        <v>yes</v>
      </c>
      <c r="I204" s="3" t="str">
        <f aca="false">Raw_Data!H204</f>
        <v>no</v>
      </c>
      <c r="J204" s="2" t="n">
        <f aca="false">IF(F204="yes",1,0)</f>
        <v>0</v>
      </c>
      <c r="K204" s="2" t="n">
        <f aca="false">IF(H204="yes",1,0)</f>
        <v>1</v>
      </c>
      <c r="L204" s="2" t="n">
        <f aca="false">IF(I204="yes",1,0)</f>
        <v>0</v>
      </c>
      <c r="M204" s="2" t="n">
        <f aca="false">IF(G204&lt;0,1,0)</f>
        <v>0</v>
      </c>
      <c r="N204" s="2" t="str">
        <f aca="false">_xlfn.IFS(B204&lt;30,"Under 30",B204&lt;40,"30-39",B204&lt;50,"40-49",B204&lt;60,"50-59",TRUE(),"60+")</f>
        <v>30-39</v>
      </c>
      <c r="O204" s="2" t="str">
        <f aca="false">_xlfn.IFS(G204&lt;0,"1 Negative",G204=0,"2 Zero",G204&lt;=500,"3 1-500",G204&lt;=2000,"4 501-2000",TRUE(),"5 Above 2000")</f>
        <v>5 Above 2000</v>
      </c>
      <c r="P204" s="2" t="n">
        <f aca="false">Lookups!$B$2*M204+Lookups!$B$3*L204</f>
        <v>0</v>
      </c>
      <c r="Q204" s="2" t="str">
        <f aca="false">INDEX(Lookups!$E$2:$E$5,MATCH(P204,Lookups!$D$2:$D$5,0))</f>
        <v>Low</v>
      </c>
    </row>
    <row r="205" customFormat="false" ht="15" hidden="false" customHeight="false" outlineLevel="0" collapsed="false">
      <c r="A205" s="3" t="n">
        <v>204</v>
      </c>
      <c r="B205" s="3" t="n">
        <f aca="false">Raw_Data!A205</f>
        <v>39</v>
      </c>
      <c r="C205" s="3" t="str">
        <f aca="false">SUBSTITUTE(Raw_Data!B205,".","")</f>
        <v>management</v>
      </c>
      <c r="D205" s="3" t="str">
        <f aca="false">Raw_Data!C205</f>
        <v>divorced</v>
      </c>
      <c r="E205" s="3" t="str">
        <f aca="false">Raw_Data!D205</f>
        <v>tertiary</v>
      </c>
      <c r="F205" s="3" t="str">
        <f aca="false">Raw_Data!E205</f>
        <v>no</v>
      </c>
      <c r="G205" s="3" t="n">
        <f aca="false">Raw_Data!F205</f>
        <v>1315</v>
      </c>
      <c r="H205" s="3" t="str">
        <f aca="false">Raw_Data!G205</f>
        <v>yes</v>
      </c>
      <c r="I205" s="3" t="str">
        <f aca="false">Raw_Data!H205</f>
        <v>no</v>
      </c>
      <c r="J205" s="2" t="n">
        <f aca="false">IF(F205="yes",1,0)</f>
        <v>0</v>
      </c>
      <c r="K205" s="2" t="n">
        <f aca="false">IF(H205="yes",1,0)</f>
        <v>1</v>
      </c>
      <c r="L205" s="2" t="n">
        <f aca="false">IF(I205="yes",1,0)</f>
        <v>0</v>
      </c>
      <c r="M205" s="2" t="n">
        <f aca="false">IF(G205&lt;0,1,0)</f>
        <v>0</v>
      </c>
      <c r="N205" s="2" t="str">
        <f aca="false">_xlfn.IFS(B205&lt;30,"Under 30",B205&lt;40,"30-39",B205&lt;50,"40-49",B205&lt;60,"50-59",TRUE(),"60+")</f>
        <v>30-39</v>
      </c>
      <c r="O205" s="2" t="str">
        <f aca="false">_xlfn.IFS(G205&lt;0,"1 Negative",G205=0,"2 Zero",G205&lt;=500,"3 1-500",G205&lt;=2000,"4 501-2000",TRUE(),"5 Above 2000")</f>
        <v>4 501-2000</v>
      </c>
      <c r="P205" s="2" t="n">
        <f aca="false">Lookups!$B$2*M205+Lookups!$B$3*L205</f>
        <v>0</v>
      </c>
      <c r="Q205" s="2" t="str">
        <f aca="false">INDEX(Lookups!$E$2:$E$5,MATCH(P205,Lookups!$D$2:$D$5,0))</f>
        <v>Low</v>
      </c>
    </row>
    <row r="206" customFormat="false" ht="15" hidden="false" customHeight="false" outlineLevel="0" collapsed="false">
      <c r="A206" s="3" t="n">
        <v>205</v>
      </c>
      <c r="B206" s="3" t="n">
        <f aca="false">Raw_Data!A206</f>
        <v>29</v>
      </c>
      <c r="C206" s="3" t="str">
        <f aca="false">SUBSTITUTE(Raw_Data!B206,".","")</f>
        <v>blue-collar</v>
      </c>
      <c r="D206" s="3" t="str">
        <f aca="false">Raw_Data!C206</f>
        <v>single</v>
      </c>
      <c r="E206" s="3" t="str">
        <f aca="false">Raw_Data!D206</f>
        <v>tertiary</v>
      </c>
      <c r="F206" s="3" t="str">
        <f aca="false">Raw_Data!E206</f>
        <v>no</v>
      </c>
      <c r="G206" s="3" t="n">
        <f aca="false">Raw_Data!F206</f>
        <v>455</v>
      </c>
      <c r="H206" s="3" t="str">
        <f aca="false">Raw_Data!G206</f>
        <v>no</v>
      </c>
      <c r="I206" s="3" t="str">
        <f aca="false">Raw_Data!H206</f>
        <v>no</v>
      </c>
      <c r="J206" s="2" t="n">
        <f aca="false">IF(F206="yes",1,0)</f>
        <v>0</v>
      </c>
      <c r="K206" s="2" t="n">
        <f aca="false">IF(H206="yes",1,0)</f>
        <v>0</v>
      </c>
      <c r="L206" s="2" t="n">
        <f aca="false">IF(I206="yes",1,0)</f>
        <v>0</v>
      </c>
      <c r="M206" s="2" t="n">
        <f aca="false">IF(G206&lt;0,1,0)</f>
        <v>0</v>
      </c>
      <c r="N206" s="2" t="str">
        <f aca="false">_xlfn.IFS(B206&lt;30,"Under 30",B206&lt;40,"30-39",B206&lt;50,"40-49",B206&lt;60,"50-59",TRUE(),"60+")</f>
        <v>Under 30</v>
      </c>
      <c r="O206" s="2" t="str">
        <f aca="false">_xlfn.IFS(G206&lt;0,"1 Negative",G206=0,"2 Zero",G206&lt;=500,"3 1-500",G206&lt;=2000,"4 501-2000",TRUE(),"5 Above 2000")</f>
        <v>3 1-500</v>
      </c>
      <c r="P206" s="2" t="n">
        <f aca="false">Lookups!$B$2*M206+Lookups!$B$3*L206</f>
        <v>0</v>
      </c>
      <c r="Q206" s="2" t="str">
        <f aca="false">INDEX(Lookups!$E$2:$E$5,MATCH(P206,Lookups!$D$2:$D$5,0))</f>
        <v>Low</v>
      </c>
    </row>
    <row r="207" customFormat="false" ht="15" hidden="false" customHeight="false" outlineLevel="0" collapsed="false">
      <c r="A207" s="3" t="n">
        <v>206</v>
      </c>
      <c r="B207" s="3" t="n">
        <f aca="false">Raw_Data!A207</f>
        <v>45</v>
      </c>
      <c r="C207" s="3" t="str">
        <f aca="false">SUBSTITUTE(Raw_Data!B207,".","")</f>
        <v>technician</v>
      </c>
      <c r="D207" s="3" t="str">
        <f aca="false">Raw_Data!C207</f>
        <v>single</v>
      </c>
      <c r="E207" s="3" t="str">
        <f aca="false">Raw_Data!D207</f>
        <v>tertiary</v>
      </c>
      <c r="F207" s="3" t="str">
        <f aca="false">Raw_Data!E207</f>
        <v>no</v>
      </c>
      <c r="G207" s="3" t="n">
        <f aca="false">Raw_Data!F207</f>
        <v>0</v>
      </c>
      <c r="H207" s="3" t="str">
        <f aca="false">Raw_Data!G207</f>
        <v>yes</v>
      </c>
      <c r="I207" s="3" t="str">
        <f aca="false">Raw_Data!H207</f>
        <v>no</v>
      </c>
      <c r="J207" s="2" t="n">
        <f aca="false">IF(F207="yes",1,0)</f>
        <v>0</v>
      </c>
      <c r="K207" s="2" t="n">
        <f aca="false">IF(H207="yes",1,0)</f>
        <v>1</v>
      </c>
      <c r="L207" s="2" t="n">
        <f aca="false">IF(I207="yes",1,0)</f>
        <v>0</v>
      </c>
      <c r="M207" s="2" t="n">
        <f aca="false">IF(G207&lt;0,1,0)</f>
        <v>0</v>
      </c>
      <c r="N207" s="2" t="str">
        <f aca="false">_xlfn.IFS(B207&lt;30,"Under 30",B207&lt;40,"30-39",B207&lt;50,"40-49",B207&lt;60,"50-59",TRUE(),"60+")</f>
        <v>40-49</v>
      </c>
      <c r="O207" s="2" t="str">
        <f aca="false">_xlfn.IFS(G207&lt;0,"1 Negative",G207=0,"2 Zero",G207&lt;=500,"3 1-500",G207&lt;=2000,"4 501-2000",TRUE(),"5 Above 2000")</f>
        <v>2 Zero</v>
      </c>
      <c r="P207" s="2" t="n">
        <f aca="false">Lookups!$B$2*M207+Lookups!$B$3*L207</f>
        <v>0</v>
      </c>
      <c r="Q207" s="2" t="str">
        <f aca="false">INDEX(Lookups!$E$2:$E$5,MATCH(P207,Lookups!$D$2:$D$5,0))</f>
        <v>Low</v>
      </c>
    </row>
    <row r="208" customFormat="false" ht="15" hidden="false" customHeight="false" outlineLevel="0" collapsed="false">
      <c r="A208" s="3" t="n">
        <v>207</v>
      </c>
      <c r="B208" s="3" t="n">
        <f aca="false">Raw_Data!A208</f>
        <v>42</v>
      </c>
      <c r="C208" s="3" t="str">
        <f aca="false">SUBSTITUTE(Raw_Data!B208,".","")</f>
        <v>technician</v>
      </c>
      <c r="D208" s="3" t="str">
        <f aca="false">Raw_Data!C208</f>
        <v>married</v>
      </c>
      <c r="E208" s="3" t="str">
        <f aca="false">Raw_Data!D208</f>
        <v>secondary</v>
      </c>
      <c r="F208" s="3" t="str">
        <f aca="false">Raw_Data!E208</f>
        <v>no</v>
      </c>
      <c r="G208" s="3" t="n">
        <f aca="false">Raw_Data!F208</f>
        <v>2030</v>
      </c>
      <c r="H208" s="3" t="str">
        <f aca="false">Raw_Data!G208</f>
        <v>yes</v>
      </c>
      <c r="I208" s="3" t="str">
        <f aca="false">Raw_Data!H208</f>
        <v>yes</v>
      </c>
      <c r="J208" s="2" t="n">
        <f aca="false">IF(F208="yes",1,0)</f>
        <v>0</v>
      </c>
      <c r="K208" s="2" t="n">
        <f aca="false">IF(H208="yes",1,0)</f>
        <v>1</v>
      </c>
      <c r="L208" s="2" t="n">
        <f aca="false">IF(I208="yes",1,0)</f>
        <v>1</v>
      </c>
      <c r="M208" s="2" t="n">
        <f aca="false">IF(G208&lt;0,1,0)</f>
        <v>0</v>
      </c>
      <c r="N208" s="2" t="str">
        <f aca="false">_xlfn.IFS(B208&lt;30,"Under 30",B208&lt;40,"30-39",B208&lt;50,"40-49",B208&lt;60,"50-59",TRUE(),"60+")</f>
        <v>40-49</v>
      </c>
      <c r="O208" s="2" t="str">
        <f aca="false">_xlfn.IFS(G208&lt;0,"1 Negative",G208=0,"2 Zero",G208&lt;=500,"3 1-500",G208&lt;=2000,"4 501-2000",TRUE(),"5 Above 2000")</f>
        <v>5 Above 2000</v>
      </c>
      <c r="P208" s="2" t="n">
        <f aca="false">Lookups!$B$2*M208+Lookups!$B$3*L208</f>
        <v>1</v>
      </c>
      <c r="Q208" s="2" t="str">
        <f aca="false">INDEX(Lookups!$E$2:$E$5,MATCH(P208,Lookups!$D$2:$D$5,0))</f>
        <v>Medium</v>
      </c>
    </row>
    <row r="209" customFormat="false" ht="15" hidden="false" customHeight="false" outlineLevel="0" collapsed="false">
      <c r="A209" s="3" t="n">
        <v>208</v>
      </c>
      <c r="B209" s="3" t="n">
        <f aca="false">Raw_Data!A209</f>
        <v>29</v>
      </c>
      <c r="C209" s="3" t="str">
        <f aca="false">SUBSTITUTE(Raw_Data!B209,".","")</f>
        <v>technician</v>
      </c>
      <c r="D209" s="3" t="str">
        <f aca="false">Raw_Data!C209</f>
        <v>married</v>
      </c>
      <c r="E209" s="3" t="str">
        <f aca="false">Raw_Data!D209</f>
        <v>secondary</v>
      </c>
      <c r="F209" s="3" t="str">
        <f aca="false">Raw_Data!E209</f>
        <v>no</v>
      </c>
      <c r="G209" s="3" t="n">
        <f aca="false">Raw_Data!F209</f>
        <v>1599</v>
      </c>
      <c r="H209" s="3" t="str">
        <f aca="false">Raw_Data!G209</f>
        <v>yes</v>
      </c>
      <c r="I209" s="3" t="str">
        <f aca="false">Raw_Data!H209</f>
        <v>no</v>
      </c>
      <c r="J209" s="2" t="n">
        <f aca="false">IF(F209="yes",1,0)</f>
        <v>0</v>
      </c>
      <c r="K209" s="2" t="n">
        <f aca="false">IF(H209="yes",1,0)</f>
        <v>1</v>
      </c>
      <c r="L209" s="2" t="n">
        <f aca="false">IF(I209="yes",1,0)</f>
        <v>0</v>
      </c>
      <c r="M209" s="2" t="n">
        <f aca="false">IF(G209&lt;0,1,0)</f>
        <v>0</v>
      </c>
      <c r="N209" s="2" t="str">
        <f aca="false">_xlfn.IFS(B209&lt;30,"Under 30",B209&lt;40,"30-39",B209&lt;50,"40-49",B209&lt;60,"50-59",TRUE(),"60+")</f>
        <v>Under 30</v>
      </c>
      <c r="O209" s="2" t="str">
        <f aca="false">_xlfn.IFS(G209&lt;0,"1 Negative",G209=0,"2 Zero",G209&lt;=500,"3 1-500",G209&lt;=2000,"4 501-2000",TRUE(),"5 Above 2000")</f>
        <v>4 501-2000</v>
      </c>
      <c r="P209" s="2" t="n">
        <f aca="false">Lookups!$B$2*M209+Lookups!$B$3*L209</f>
        <v>0</v>
      </c>
      <c r="Q209" s="2" t="str">
        <f aca="false">INDEX(Lookups!$E$2:$E$5,MATCH(P209,Lookups!$D$2:$D$5,0))</f>
        <v>Low</v>
      </c>
    </row>
    <row r="210" customFormat="false" ht="15" hidden="false" customHeight="false" outlineLevel="0" collapsed="false">
      <c r="A210" s="3" t="n">
        <v>209</v>
      </c>
      <c r="B210" s="3" t="n">
        <f aca="false">Raw_Data!A210</f>
        <v>38</v>
      </c>
      <c r="C210" s="3" t="str">
        <f aca="false">SUBSTITUTE(Raw_Data!B210,".","")</f>
        <v>services</v>
      </c>
      <c r="D210" s="3" t="str">
        <f aca="false">Raw_Data!C210</f>
        <v>single</v>
      </c>
      <c r="E210" s="3" t="str">
        <f aca="false">Raw_Data!D210</f>
        <v>secondary</v>
      </c>
      <c r="F210" s="3" t="str">
        <f aca="false">Raw_Data!E210</f>
        <v>no</v>
      </c>
      <c r="G210" s="3" t="n">
        <f aca="false">Raw_Data!F210</f>
        <v>-196</v>
      </c>
      <c r="H210" s="3" t="str">
        <f aca="false">Raw_Data!G210</f>
        <v>yes</v>
      </c>
      <c r="I210" s="3" t="str">
        <f aca="false">Raw_Data!H210</f>
        <v>no</v>
      </c>
      <c r="J210" s="2" t="n">
        <f aca="false">IF(F210="yes",1,0)</f>
        <v>0</v>
      </c>
      <c r="K210" s="2" t="n">
        <f aca="false">IF(H210="yes",1,0)</f>
        <v>1</v>
      </c>
      <c r="L210" s="2" t="n">
        <f aca="false">IF(I210="yes",1,0)</f>
        <v>0</v>
      </c>
      <c r="M210" s="2" t="n">
        <f aca="false">IF(G210&lt;0,1,0)</f>
        <v>1</v>
      </c>
      <c r="N210" s="2" t="str">
        <f aca="false">_xlfn.IFS(B210&lt;30,"Under 30",B210&lt;40,"30-39",B210&lt;50,"40-49",B210&lt;60,"50-59",TRUE(),"60+")</f>
        <v>30-39</v>
      </c>
      <c r="O210" s="2" t="str">
        <f aca="false">_xlfn.IFS(G210&lt;0,"1 Negative",G210=0,"2 Zero",G210&lt;=500,"3 1-500",G210&lt;=2000,"4 501-2000",TRUE(),"5 Above 2000")</f>
        <v>1 Negative</v>
      </c>
      <c r="P210" s="2" t="n">
        <f aca="false">Lookups!$B$2*M210+Lookups!$B$3*L210</f>
        <v>2</v>
      </c>
      <c r="Q210" s="2" t="str">
        <f aca="false">INDEX(Lookups!$E$2:$E$5,MATCH(P210,Lookups!$D$2:$D$5,0))</f>
        <v>High</v>
      </c>
    </row>
    <row r="211" customFormat="false" ht="15" hidden="false" customHeight="false" outlineLevel="0" collapsed="false">
      <c r="A211" s="3" t="n">
        <v>210</v>
      </c>
      <c r="B211" s="3" t="n">
        <f aca="false">Raw_Data!A211</f>
        <v>56</v>
      </c>
      <c r="C211" s="3" t="str">
        <f aca="false">SUBSTITUTE(Raw_Data!B211,".","")</f>
        <v>retired</v>
      </c>
      <c r="D211" s="3" t="str">
        <f aca="false">Raw_Data!C211</f>
        <v>married</v>
      </c>
      <c r="E211" s="3" t="str">
        <f aca="false">Raw_Data!D211</f>
        <v>secondary</v>
      </c>
      <c r="F211" s="3" t="str">
        <f aca="false">Raw_Data!E211</f>
        <v>no</v>
      </c>
      <c r="G211" s="3" t="n">
        <f aca="false">Raw_Data!F211</f>
        <v>1333</v>
      </c>
      <c r="H211" s="3" t="str">
        <f aca="false">Raw_Data!G211</f>
        <v>no</v>
      </c>
      <c r="I211" s="3" t="str">
        <f aca="false">Raw_Data!H211</f>
        <v>no</v>
      </c>
      <c r="J211" s="2" t="n">
        <f aca="false">IF(F211="yes",1,0)</f>
        <v>0</v>
      </c>
      <c r="K211" s="2" t="n">
        <f aca="false">IF(H211="yes",1,0)</f>
        <v>0</v>
      </c>
      <c r="L211" s="2" t="n">
        <f aca="false">IF(I211="yes",1,0)</f>
        <v>0</v>
      </c>
      <c r="M211" s="2" t="n">
        <f aca="false">IF(G211&lt;0,1,0)</f>
        <v>0</v>
      </c>
      <c r="N211" s="2" t="str">
        <f aca="false">_xlfn.IFS(B211&lt;30,"Under 30",B211&lt;40,"30-39",B211&lt;50,"40-49",B211&lt;60,"50-59",TRUE(),"60+")</f>
        <v>50-59</v>
      </c>
      <c r="O211" s="2" t="str">
        <f aca="false">_xlfn.IFS(G211&lt;0,"1 Negative",G211=0,"2 Zero",G211&lt;=500,"3 1-500",G211&lt;=2000,"4 501-2000",TRUE(),"5 Above 2000")</f>
        <v>4 501-2000</v>
      </c>
      <c r="P211" s="2" t="n">
        <f aca="false">Lookups!$B$2*M211+Lookups!$B$3*L211</f>
        <v>0</v>
      </c>
      <c r="Q211" s="2" t="str">
        <f aca="false">INDEX(Lookups!$E$2:$E$5,MATCH(P211,Lookups!$D$2:$D$5,0))</f>
        <v>Low</v>
      </c>
    </row>
    <row r="212" customFormat="false" ht="15" hidden="false" customHeight="false" outlineLevel="0" collapsed="false">
      <c r="A212" s="3" t="n">
        <v>211</v>
      </c>
      <c r="B212" s="3" t="n">
        <f aca="false">Raw_Data!A212</f>
        <v>36</v>
      </c>
      <c r="C212" s="3" t="str">
        <f aca="false">SUBSTITUTE(Raw_Data!B212,".","")</f>
        <v>technician</v>
      </c>
      <c r="D212" s="3" t="str">
        <f aca="false">Raw_Data!C212</f>
        <v>single</v>
      </c>
      <c r="E212" s="3" t="str">
        <f aca="false">Raw_Data!D212</f>
        <v>secondary</v>
      </c>
      <c r="F212" s="3" t="str">
        <f aca="false">Raw_Data!E212</f>
        <v>no</v>
      </c>
      <c r="G212" s="3" t="n">
        <f aca="false">Raw_Data!F212</f>
        <v>9149</v>
      </c>
      <c r="H212" s="3" t="str">
        <f aca="false">Raw_Data!G212</f>
        <v>yes</v>
      </c>
      <c r="I212" s="3" t="str">
        <f aca="false">Raw_Data!H212</f>
        <v>no</v>
      </c>
      <c r="J212" s="2" t="n">
        <f aca="false">IF(F212="yes",1,0)</f>
        <v>0</v>
      </c>
      <c r="K212" s="2" t="n">
        <f aca="false">IF(H212="yes",1,0)</f>
        <v>1</v>
      </c>
      <c r="L212" s="2" t="n">
        <f aca="false">IF(I212="yes",1,0)</f>
        <v>0</v>
      </c>
      <c r="M212" s="2" t="n">
        <f aca="false">IF(G212&lt;0,1,0)</f>
        <v>0</v>
      </c>
      <c r="N212" s="2" t="str">
        <f aca="false">_xlfn.IFS(B212&lt;30,"Under 30",B212&lt;40,"30-39",B212&lt;50,"40-49",B212&lt;60,"50-59",TRUE(),"60+")</f>
        <v>30-39</v>
      </c>
      <c r="O212" s="2" t="str">
        <f aca="false">_xlfn.IFS(G212&lt;0,"1 Negative",G212=0,"2 Zero",G212&lt;=500,"3 1-500",G212&lt;=2000,"4 501-2000",TRUE(),"5 Above 2000")</f>
        <v>5 Above 2000</v>
      </c>
      <c r="P212" s="2" t="n">
        <f aca="false">Lookups!$B$2*M212+Lookups!$B$3*L212</f>
        <v>0</v>
      </c>
      <c r="Q212" s="2" t="str">
        <f aca="false">INDEX(Lookups!$E$2:$E$5,MATCH(P212,Lookups!$D$2:$D$5,0))</f>
        <v>Low</v>
      </c>
    </row>
    <row r="213" customFormat="false" ht="15" hidden="false" customHeight="false" outlineLevel="0" collapsed="false">
      <c r="A213" s="3" t="n">
        <v>212</v>
      </c>
      <c r="B213" s="3" t="n">
        <f aca="false">Raw_Data!A213</f>
        <v>25</v>
      </c>
      <c r="C213" s="3" t="str">
        <f aca="false">SUBSTITUTE(Raw_Data!B213,".","")</f>
        <v>blue-collar</v>
      </c>
      <c r="D213" s="3" t="str">
        <f aca="false">Raw_Data!C213</f>
        <v>single</v>
      </c>
      <c r="E213" s="3" t="str">
        <f aca="false">Raw_Data!D213</f>
        <v>secondary</v>
      </c>
      <c r="F213" s="3" t="str">
        <f aca="false">Raw_Data!E213</f>
        <v>no</v>
      </c>
      <c r="G213" s="3" t="n">
        <f aca="false">Raw_Data!F213</f>
        <v>-350</v>
      </c>
      <c r="H213" s="3" t="str">
        <f aca="false">Raw_Data!G213</f>
        <v>yes</v>
      </c>
      <c r="I213" s="3" t="str">
        <f aca="false">Raw_Data!H213</f>
        <v>no</v>
      </c>
      <c r="J213" s="2" t="n">
        <f aca="false">IF(F213="yes",1,0)</f>
        <v>0</v>
      </c>
      <c r="K213" s="2" t="n">
        <f aca="false">IF(H213="yes",1,0)</f>
        <v>1</v>
      </c>
      <c r="L213" s="2" t="n">
        <f aca="false">IF(I213="yes",1,0)</f>
        <v>0</v>
      </c>
      <c r="M213" s="2" t="n">
        <f aca="false">IF(G213&lt;0,1,0)</f>
        <v>1</v>
      </c>
      <c r="N213" s="2" t="str">
        <f aca="false">_xlfn.IFS(B213&lt;30,"Under 30",B213&lt;40,"30-39",B213&lt;50,"40-49",B213&lt;60,"50-59",TRUE(),"60+")</f>
        <v>Under 30</v>
      </c>
      <c r="O213" s="2" t="str">
        <f aca="false">_xlfn.IFS(G213&lt;0,"1 Negative",G213=0,"2 Zero",G213&lt;=500,"3 1-500",G213&lt;=2000,"4 501-2000",TRUE(),"5 Above 2000")</f>
        <v>1 Negative</v>
      </c>
      <c r="P213" s="2" t="n">
        <f aca="false">Lookups!$B$2*M213+Lookups!$B$3*L213</f>
        <v>2</v>
      </c>
      <c r="Q213" s="2" t="str">
        <f aca="false">INDEX(Lookups!$E$2:$E$5,MATCH(P213,Lookups!$D$2:$D$5,0))</f>
        <v>High</v>
      </c>
    </row>
    <row r="214" customFormat="false" ht="15" hidden="false" customHeight="false" outlineLevel="0" collapsed="false">
      <c r="A214" s="3" t="n">
        <v>213</v>
      </c>
      <c r="B214" s="3" t="n">
        <f aca="false">Raw_Data!A214</f>
        <v>38</v>
      </c>
      <c r="C214" s="3" t="str">
        <f aca="false">SUBSTITUTE(Raw_Data!B214,".","")</f>
        <v>technician</v>
      </c>
      <c r="D214" s="3" t="str">
        <f aca="false">Raw_Data!C214</f>
        <v>married</v>
      </c>
      <c r="E214" s="3" t="str">
        <f aca="false">Raw_Data!D214</f>
        <v>tertiary</v>
      </c>
      <c r="F214" s="3" t="str">
        <f aca="false">Raw_Data!E214</f>
        <v>no</v>
      </c>
      <c r="G214" s="3" t="n">
        <f aca="false">Raw_Data!F214</f>
        <v>432</v>
      </c>
      <c r="H214" s="3" t="str">
        <f aca="false">Raw_Data!G214</f>
        <v>yes</v>
      </c>
      <c r="I214" s="3" t="str">
        <f aca="false">Raw_Data!H214</f>
        <v>no</v>
      </c>
      <c r="J214" s="2" t="n">
        <f aca="false">IF(F214="yes",1,0)</f>
        <v>0</v>
      </c>
      <c r="K214" s="2" t="n">
        <f aca="false">IF(H214="yes",1,0)</f>
        <v>1</v>
      </c>
      <c r="L214" s="2" t="n">
        <f aca="false">IF(I214="yes",1,0)</f>
        <v>0</v>
      </c>
      <c r="M214" s="2" t="n">
        <f aca="false">IF(G214&lt;0,1,0)</f>
        <v>0</v>
      </c>
      <c r="N214" s="2" t="str">
        <f aca="false">_xlfn.IFS(B214&lt;30,"Under 30",B214&lt;40,"30-39",B214&lt;50,"40-49",B214&lt;60,"50-59",TRUE(),"60+")</f>
        <v>30-39</v>
      </c>
      <c r="O214" s="2" t="str">
        <f aca="false">_xlfn.IFS(G214&lt;0,"1 Negative",G214=0,"2 Zero",G214&lt;=500,"3 1-500",G214&lt;=2000,"4 501-2000",TRUE(),"5 Above 2000")</f>
        <v>3 1-500</v>
      </c>
      <c r="P214" s="2" t="n">
        <f aca="false">Lookups!$B$2*M214+Lookups!$B$3*L214</f>
        <v>0</v>
      </c>
      <c r="Q214" s="2" t="str">
        <f aca="false">INDEX(Lookups!$E$2:$E$5,MATCH(P214,Lookups!$D$2:$D$5,0))</f>
        <v>Low</v>
      </c>
    </row>
    <row r="215" customFormat="false" ht="15" hidden="false" customHeight="false" outlineLevel="0" collapsed="false">
      <c r="A215" s="3" t="n">
        <v>214</v>
      </c>
      <c r="B215" s="3" t="n">
        <f aca="false">Raw_Data!A215</f>
        <v>57</v>
      </c>
      <c r="C215" s="3" t="str">
        <f aca="false">SUBSTITUTE(Raw_Data!B215,".","")</f>
        <v>self-employed</v>
      </c>
      <c r="D215" s="3" t="str">
        <f aca="false">Raw_Data!C215</f>
        <v>married</v>
      </c>
      <c r="E215" s="3" t="str">
        <f aca="false">Raw_Data!D215</f>
        <v>secondary</v>
      </c>
      <c r="F215" s="3" t="str">
        <f aca="false">Raw_Data!E215</f>
        <v>no</v>
      </c>
      <c r="G215" s="3" t="n">
        <f aca="false">Raw_Data!F215</f>
        <v>11494</v>
      </c>
      <c r="H215" s="3" t="str">
        <f aca="false">Raw_Data!G215</f>
        <v>no</v>
      </c>
      <c r="I215" s="3" t="str">
        <f aca="false">Raw_Data!H215</f>
        <v>no</v>
      </c>
      <c r="J215" s="2" t="n">
        <f aca="false">IF(F215="yes",1,0)</f>
        <v>0</v>
      </c>
      <c r="K215" s="2" t="n">
        <f aca="false">IF(H215="yes",1,0)</f>
        <v>0</v>
      </c>
      <c r="L215" s="2" t="n">
        <f aca="false">IF(I215="yes",1,0)</f>
        <v>0</v>
      </c>
      <c r="M215" s="2" t="n">
        <f aca="false">IF(G215&lt;0,1,0)</f>
        <v>0</v>
      </c>
      <c r="N215" s="2" t="str">
        <f aca="false">_xlfn.IFS(B215&lt;30,"Under 30",B215&lt;40,"30-39",B215&lt;50,"40-49",B215&lt;60,"50-59",TRUE(),"60+")</f>
        <v>50-59</v>
      </c>
      <c r="O215" s="2" t="str">
        <f aca="false">_xlfn.IFS(G215&lt;0,"1 Negative",G215=0,"2 Zero",G215&lt;=500,"3 1-500",G215&lt;=2000,"4 501-2000",TRUE(),"5 Above 2000")</f>
        <v>5 Above 2000</v>
      </c>
      <c r="P215" s="2" t="n">
        <f aca="false">Lookups!$B$2*M215+Lookups!$B$3*L215</f>
        <v>0</v>
      </c>
      <c r="Q215" s="2" t="str">
        <f aca="false">INDEX(Lookups!$E$2:$E$5,MATCH(P215,Lookups!$D$2:$D$5,0))</f>
        <v>Low</v>
      </c>
    </row>
    <row r="216" customFormat="false" ht="15" hidden="false" customHeight="false" outlineLevel="0" collapsed="false">
      <c r="A216" s="3" t="n">
        <v>215</v>
      </c>
      <c r="B216" s="3" t="n">
        <f aca="false">Raw_Data!A216</f>
        <v>31</v>
      </c>
      <c r="C216" s="3" t="str">
        <f aca="false">SUBSTITUTE(Raw_Data!B216,".","")</f>
        <v>management</v>
      </c>
      <c r="D216" s="3" t="str">
        <f aca="false">Raw_Data!C216</f>
        <v>married</v>
      </c>
      <c r="E216" s="3" t="str">
        <f aca="false">Raw_Data!D216</f>
        <v>tertiary</v>
      </c>
      <c r="F216" s="3" t="str">
        <f aca="false">Raw_Data!E216</f>
        <v>yes</v>
      </c>
      <c r="G216" s="3" t="n">
        <f aca="false">Raw_Data!F216</f>
        <v>-253</v>
      </c>
      <c r="H216" s="3" t="str">
        <f aca="false">Raw_Data!G216</f>
        <v>no</v>
      </c>
      <c r="I216" s="3" t="str">
        <f aca="false">Raw_Data!H216</f>
        <v>no</v>
      </c>
      <c r="J216" s="2" t="n">
        <f aca="false">IF(F216="yes",1,0)</f>
        <v>1</v>
      </c>
      <c r="K216" s="2" t="n">
        <f aca="false">IF(H216="yes",1,0)</f>
        <v>0</v>
      </c>
      <c r="L216" s="2" t="n">
        <f aca="false">IF(I216="yes",1,0)</f>
        <v>0</v>
      </c>
      <c r="M216" s="2" t="n">
        <f aca="false">IF(G216&lt;0,1,0)</f>
        <v>1</v>
      </c>
      <c r="N216" s="2" t="str">
        <f aca="false">_xlfn.IFS(B216&lt;30,"Under 30",B216&lt;40,"30-39",B216&lt;50,"40-49",B216&lt;60,"50-59",TRUE(),"60+")</f>
        <v>30-39</v>
      </c>
      <c r="O216" s="2" t="str">
        <f aca="false">_xlfn.IFS(G216&lt;0,"1 Negative",G216=0,"2 Zero",G216&lt;=500,"3 1-500",G216&lt;=2000,"4 501-2000",TRUE(),"5 Above 2000")</f>
        <v>1 Negative</v>
      </c>
      <c r="P216" s="2" t="n">
        <f aca="false">Lookups!$B$2*M216+Lookups!$B$3*L216</f>
        <v>2</v>
      </c>
      <c r="Q216" s="2" t="str">
        <f aca="false">INDEX(Lookups!$E$2:$E$5,MATCH(P216,Lookups!$D$2:$D$5,0))</f>
        <v>High</v>
      </c>
    </row>
    <row r="217" customFormat="false" ht="15" hidden="false" customHeight="false" outlineLevel="0" collapsed="false">
      <c r="A217" s="3" t="n">
        <v>216</v>
      </c>
      <c r="B217" s="3" t="n">
        <f aca="false">Raw_Data!A217</f>
        <v>42</v>
      </c>
      <c r="C217" s="3" t="str">
        <f aca="false">SUBSTITUTE(Raw_Data!B217,".","")</f>
        <v>management</v>
      </c>
      <c r="D217" s="3" t="str">
        <f aca="false">Raw_Data!C217</f>
        <v>married</v>
      </c>
      <c r="E217" s="3" t="str">
        <f aca="false">Raw_Data!D217</f>
        <v>tertiary</v>
      </c>
      <c r="F217" s="3" t="str">
        <f aca="false">Raw_Data!E217</f>
        <v>no</v>
      </c>
      <c r="G217" s="3" t="n">
        <f aca="false">Raw_Data!F217</f>
        <v>372</v>
      </c>
      <c r="H217" s="3" t="str">
        <f aca="false">Raw_Data!G217</f>
        <v>yes</v>
      </c>
      <c r="I217" s="3" t="str">
        <f aca="false">Raw_Data!H217</f>
        <v>no</v>
      </c>
      <c r="J217" s="2" t="n">
        <f aca="false">IF(F217="yes",1,0)</f>
        <v>0</v>
      </c>
      <c r="K217" s="2" t="n">
        <f aca="false">IF(H217="yes",1,0)</f>
        <v>1</v>
      </c>
      <c r="L217" s="2" t="n">
        <f aca="false">IF(I217="yes",1,0)</f>
        <v>0</v>
      </c>
      <c r="M217" s="2" t="n">
        <f aca="false">IF(G217&lt;0,1,0)</f>
        <v>0</v>
      </c>
      <c r="N217" s="2" t="str">
        <f aca="false">_xlfn.IFS(B217&lt;30,"Under 30",B217&lt;40,"30-39",B217&lt;50,"40-49",B217&lt;60,"50-59",TRUE(),"60+")</f>
        <v>40-49</v>
      </c>
      <c r="O217" s="2" t="str">
        <f aca="false">_xlfn.IFS(G217&lt;0,"1 Negative",G217=0,"2 Zero",G217&lt;=500,"3 1-500",G217&lt;=2000,"4 501-2000",TRUE(),"5 Above 2000")</f>
        <v>3 1-500</v>
      </c>
      <c r="P217" s="2" t="n">
        <f aca="false">Lookups!$B$2*M217+Lookups!$B$3*L217</f>
        <v>0</v>
      </c>
      <c r="Q217" s="2" t="str">
        <f aca="false">INDEX(Lookups!$E$2:$E$5,MATCH(P217,Lookups!$D$2:$D$5,0))</f>
        <v>Low</v>
      </c>
    </row>
    <row r="218" customFormat="false" ht="15" hidden="false" customHeight="false" outlineLevel="0" collapsed="false">
      <c r="A218" s="3" t="n">
        <v>217</v>
      </c>
      <c r="B218" s="3" t="n">
        <f aca="false">Raw_Data!A218</f>
        <v>45</v>
      </c>
      <c r="C218" s="3" t="str">
        <f aca="false">SUBSTITUTE(Raw_Data!B218,".","")</f>
        <v>technician</v>
      </c>
      <c r="D218" s="3" t="str">
        <f aca="false">Raw_Data!C218</f>
        <v>married</v>
      </c>
      <c r="E218" s="3" t="str">
        <f aca="false">Raw_Data!D218</f>
        <v>secondary</v>
      </c>
      <c r="F218" s="3" t="str">
        <f aca="false">Raw_Data!E218</f>
        <v>no</v>
      </c>
      <c r="G218" s="3" t="n">
        <f aca="false">Raw_Data!F218</f>
        <v>1410</v>
      </c>
      <c r="H218" s="3" t="str">
        <f aca="false">Raw_Data!G218</f>
        <v>no</v>
      </c>
      <c r="I218" s="3" t="str">
        <f aca="false">Raw_Data!H218</f>
        <v>no</v>
      </c>
      <c r="J218" s="2" t="n">
        <f aca="false">IF(F218="yes",1,0)</f>
        <v>0</v>
      </c>
      <c r="K218" s="2" t="n">
        <f aca="false">IF(H218="yes",1,0)</f>
        <v>0</v>
      </c>
      <c r="L218" s="2" t="n">
        <f aca="false">IF(I218="yes",1,0)</f>
        <v>0</v>
      </c>
      <c r="M218" s="2" t="n">
        <f aca="false">IF(G218&lt;0,1,0)</f>
        <v>0</v>
      </c>
      <c r="N218" s="2" t="str">
        <f aca="false">_xlfn.IFS(B218&lt;30,"Under 30",B218&lt;40,"30-39",B218&lt;50,"40-49",B218&lt;60,"50-59",TRUE(),"60+")</f>
        <v>40-49</v>
      </c>
      <c r="O218" s="2" t="str">
        <f aca="false">_xlfn.IFS(G218&lt;0,"1 Negative",G218=0,"2 Zero",G218&lt;=500,"3 1-500",G218&lt;=2000,"4 501-2000",TRUE(),"5 Above 2000")</f>
        <v>4 501-2000</v>
      </c>
      <c r="P218" s="2" t="n">
        <f aca="false">Lookups!$B$2*M218+Lookups!$B$3*L218</f>
        <v>0</v>
      </c>
      <c r="Q218" s="2" t="str">
        <f aca="false">INDEX(Lookups!$E$2:$E$5,MATCH(P218,Lookups!$D$2:$D$5,0))</f>
        <v>Low</v>
      </c>
    </row>
    <row r="219" customFormat="false" ht="15" hidden="false" customHeight="false" outlineLevel="0" collapsed="false">
      <c r="A219" s="3" t="n">
        <v>218</v>
      </c>
      <c r="B219" s="3" t="n">
        <f aca="false">Raw_Data!A219</f>
        <v>30</v>
      </c>
      <c r="C219" s="3" t="str">
        <f aca="false">SUBSTITUTE(Raw_Data!B219,".","")</f>
        <v>blue-collar</v>
      </c>
      <c r="D219" s="3" t="str">
        <f aca="false">Raw_Data!C219</f>
        <v>married</v>
      </c>
      <c r="E219" s="3" t="str">
        <f aca="false">Raw_Data!D219</f>
        <v>secondary</v>
      </c>
      <c r="F219" s="3" t="str">
        <f aca="false">Raw_Data!E219</f>
        <v>no</v>
      </c>
      <c r="G219" s="3" t="n">
        <f aca="false">Raw_Data!F219</f>
        <v>975</v>
      </c>
      <c r="H219" s="3" t="str">
        <f aca="false">Raw_Data!G219</f>
        <v>yes</v>
      </c>
      <c r="I219" s="3" t="str">
        <f aca="false">Raw_Data!H219</f>
        <v>no</v>
      </c>
      <c r="J219" s="2" t="n">
        <f aca="false">IF(F219="yes",1,0)</f>
        <v>0</v>
      </c>
      <c r="K219" s="2" t="n">
        <f aca="false">IF(H219="yes",1,0)</f>
        <v>1</v>
      </c>
      <c r="L219" s="2" t="n">
        <f aca="false">IF(I219="yes",1,0)</f>
        <v>0</v>
      </c>
      <c r="M219" s="2" t="n">
        <f aca="false">IF(G219&lt;0,1,0)</f>
        <v>0</v>
      </c>
      <c r="N219" s="2" t="str">
        <f aca="false">_xlfn.IFS(B219&lt;30,"Under 30",B219&lt;40,"30-39",B219&lt;50,"40-49",B219&lt;60,"50-59",TRUE(),"60+")</f>
        <v>30-39</v>
      </c>
      <c r="O219" s="2" t="str">
        <f aca="false">_xlfn.IFS(G219&lt;0,"1 Negative",G219=0,"2 Zero",G219&lt;=500,"3 1-500",G219&lt;=2000,"4 501-2000",TRUE(),"5 Above 2000")</f>
        <v>4 501-2000</v>
      </c>
      <c r="P219" s="2" t="n">
        <f aca="false">Lookups!$B$2*M219+Lookups!$B$3*L219</f>
        <v>0</v>
      </c>
      <c r="Q219" s="2" t="str">
        <f aca="false">INDEX(Lookups!$E$2:$E$5,MATCH(P219,Lookups!$D$2:$D$5,0))</f>
        <v>Low</v>
      </c>
    </row>
    <row r="220" customFormat="false" ht="15" hidden="false" customHeight="false" outlineLevel="0" collapsed="false">
      <c r="A220" s="3" t="n">
        <v>219</v>
      </c>
      <c r="B220" s="3" t="n">
        <f aca="false">Raw_Data!A220</f>
        <v>49</v>
      </c>
      <c r="C220" s="3" t="str">
        <f aca="false">SUBSTITUTE(Raw_Data!B220,".","")</f>
        <v>blue-collar</v>
      </c>
      <c r="D220" s="3" t="str">
        <f aca="false">Raw_Data!C220</f>
        <v>married</v>
      </c>
      <c r="E220" s="3" t="str">
        <f aca="false">Raw_Data!D220</f>
        <v>primary</v>
      </c>
      <c r="F220" s="3" t="str">
        <f aca="false">Raw_Data!E220</f>
        <v>no</v>
      </c>
      <c r="G220" s="3" t="n">
        <f aca="false">Raw_Data!F220</f>
        <v>305</v>
      </c>
      <c r="H220" s="3" t="str">
        <f aca="false">Raw_Data!G220</f>
        <v>yes</v>
      </c>
      <c r="I220" s="3" t="str">
        <f aca="false">Raw_Data!H220</f>
        <v>yes</v>
      </c>
      <c r="J220" s="2" t="n">
        <f aca="false">IF(F220="yes",1,0)</f>
        <v>0</v>
      </c>
      <c r="K220" s="2" t="n">
        <f aca="false">IF(H220="yes",1,0)</f>
        <v>1</v>
      </c>
      <c r="L220" s="2" t="n">
        <f aca="false">IF(I220="yes",1,0)</f>
        <v>1</v>
      </c>
      <c r="M220" s="2" t="n">
        <f aca="false">IF(G220&lt;0,1,0)</f>
        <v>0</v>
      </c>
      <c r="N220" s="2" t="str">
        <f aca="false">_xlfn.IFS(B220&lt;30,"Under 30",B220&lt;40,"30-39",B220&lt;50,"40-49",B220&lt;60,"50-59",TRUE(),"60+")</f>
        <v>40-49</v>
      </c>
      <c r="O220" s="2" t="str">
        <f aca="false">_xlfn.IFS(G220&lt;0,"1 Negative",G220=0,"2 Zero",G220&lt;=500,"3 1-500",G220&lt;=2000,"4 501-2000",TRUE(),"5 Above 2000")</f>
        <v>3 1-500</v>
      </c>
      <c r="P220" s="2" t="n">
        <f aca="false">Lookups!$B$2*M220+Lookups!$B$3*L220</f>
        <v>1</v>
      </c>
      <c r="Q220" s="2" t="str">
        <f aca="false">INDEX(Lookups!$E$2:$E$5,MATCH(P220,Lookups!$D$2:$D$5,0))</f>
        <v>Medium</v>
      </c>
    </row>
    <row r="221" customFormat="false" ht="15" hidden="false" customHeight="false" outlineLevel="0" collapsed="false">
      <c r="A221" s="3" t="n">
        <v>220</v>
      </c>
      <c r="B221" s="3" t="n">
        <f aca="false">Raw_Data!A221</f>
        <v>49</v>
      </c>
      <c r="C221" s="3" t="str">
        <f aca="false">SUBSTITUTE(Raw_Data!B221,".","")</f>
        <v>services</v>
      </c>
      <c r="D221" s="3" t="str">
        <f aca="false">Raw_Data!C221</f>
        <v>married</v>
      </c>
      <c r="E221" s="3" t="str">
        <f aca="false">Raw_Data!D221</f>
        <v>secondary</v>
      </c>
      <c r="F221" s="3" t="str">
        <f aca="false">Raw_Data!E221</f>
        <v>no</v>
      </c>
      <c r="G221" s="3" t="n">
        <f aca="false">Raw_Data!F221</f>
        <v>400</v>
      </c>
      <c r="H221" s="3" t="str">
        <f aca="false">Raw_Data!G221</f>
        <v>no</v>
      </c>
      <c r="I221" s="3" t="str">
        <f aca="false">Raw_Data!H221</f>
        <v>no</v>
      </c>
      <c r="J221" s="2" t="n">
        <f aca="false">IF(F221="yes",1,0)</f>
        <v>0</v>
      </c>
      <c r="K221" s="2" t="n">
        <f aca="false">IF(H221="yes",1,0)</f>
        <v>0</v>
      </c>
      <c r="L221" s="2" t="n">
        <f aca="false">IF(I221="yes",1,0)</f>
        <v>0</v>
      </c>
      <c r="M221" s="2" t="n">
        <f aca="false">IF(G221&lt;0,1,0)</f>
        <v>0</v>
      </c>
      <c r="N221" s="2" t="str">
        <f aca="false">_xlfn.IFS(B221&lt;30,"Under 30",B221&lt;40,"30-39",B221&lt;50,"40-49",B221&lt;60,"50-59",TRUE(),"60+")</f>
        <v>40-49</v>
      </c>
      <c r="O221" s="2" t="str">
        <f aca="false">_xlfn.IFS(G221&lt;0,"1 Negative",G221=0,"2 Zero",G221&lt;=500,"3 1-500",G221&lt;=2000,"4 501-2000",TRUE(),"5 Above 2000")</f>
        <v>3 1-500</v>
      </c>
      <c r="P221" s="2" t="n">
        <f aca="false">Lookups!$B$2*M221+Lookups!$B$3*L221</f>
        <v>0</v>
      </c>
      <c r="Q221" s="2" t="str">
        <f aca="false">INDEX(Lookups!$E$2:$E$5,MATCH(P221,Lookups!$D$2:$D$5,0))</f>
        <v>Low</v>
      </c>
    </row>
    <row r="222" customFormat="false" ht="15" hidden="false" customHeight="false" outlineLevel="0" collapsed="false">
      <c r="A222" s="3" t="n">
        <v>221</v>
      </c>
      <c r="B222" s="3" t="n">
        <f aca="false">Raw_Data!A222</f>
        <v>53</v>
      </c>
      <c r="C222" s="3" t="str">
        <f aca="false">SUBSTITUTE(Raw_Data!B222,".","")</f>
        <v>retired</v>
      </c>
      <c r="D222" s="3" t="str">
        <f aca="false">Raw_Data!C222</f>
        <v>married</v>
      </c>
      <c r="E222" s="3" t="str">
        <f aca="false">Raw_Data!D222</f>
        <v>tertiary</v>
      </c>
      <c r="F222" s="3" t="str">
        <f aca="false">Raw_Data!E222</f>
        <v>no</v>
      </c>
      <c r="G222" s="3" t="n">
        <f aca="false">Raw_Data!F222</f>
        <v>-22</v>
      </c>
      <c r="H222" s="3" t="str">
        <f aca="false">Raw_Data!G222</f>
        <v>yes</v>
      </c>
      <c r="I222" s="3" t="str">
        <f aca="false">Raw_Data!H222</f>
        <v>no</v>
      </c>
      <c r="J222" s="2" t="n">
        <f aca="false">IF(F222="yes",1,0)</f>
        <v>0</v>
      </c>
      <c r="K222" s="2" t="n">
        <f aca="false">IF(H222="yes",1,0)</f>
        <v>1</v>
      </c>
      <c r="L222" s="2" t="n">
        <f aca="false">IF(I222="yes",1,0)</f>
        <v>0</v>
      </c>
      <c r="M222" s="2" t="n">
        <f aca="false">IF(G222&lt;0,1,0)</f>
        <v>1</v>
      </c>
      <c r="N222" s="2" t="str">
        <f aca="false">_xlfn.IFS(B222&lt;30,"Under 30",B222&lt;40,"30-39",B222&lt;50,"40-49",B222&lt;60,"50-59",TRUE(),"60+")</f>
        <v>50-59</v>
      </c>
      <c r="O222" s="2" t="str">
        <f aca="false">_xlfn.IFS(G222&lt;0,"1 Negative",G222=0,"2 Zero",G222&lt;=500,"3 1-500",G222&lt;=2000,"4 501-2000",TRUE(),"5 Above 2000")</f>
        <v>1 Negative</v>
      </c>
      <c r="P222" s="2" t="n">
        <f aca="false">Lookups!$B$2*M222+Lookups!$B$3*L222</f>
        <v>2</v>
      </c>
      <c r="Q222" s="2" t="str">
        <f aca="false">INDEX(Lookups!$E$2:$E$5,MATCH(P222,Lookups!$D$2:$D$5,0))</f>
        <v>High</v>
      </c>
    </row>
    <row r="223" customFormat="false" ht="15" hidden="false" customHeight="false" outlineLevel="0" collapsed="false">
      <c r="A223" s="3" t="n">
        <v>222</v>
      </c>
      <c r="B223" s="3" t="n">
        <f aca="false">Raw_Data!A223</f>
        <v>37</v>
      </c>
      <c r="C223" s="3" t="str">
        <f aca="false">SUBSTITUTE(Raw_Data!B223,".","")</f>
        <v>technician</v>
      </c>
      <c r="D223" s="3" t="str">
        <f aca="false">Raw_Data!C223</f>
        <v>married</v>
      </c>
      <c r="E223" s="3" t="str">
        <f aca="false">Raw_Data!D223</f>
        <v>secondary</v>
      </c>
      <c r="F223" s="3" t="str">
        <f aca="false">Raw_Data!E223</f>
        <v>no</v>
      </c>
      <c r="G223" s="3" t="n">
        <f aca="false">Raw_Data!F223</f>
        <v>4030</v>
      </c>
      <c r="H223" s="3" t="str">
        <f aca="false">Raw_Data!G223</f>
        <v>yes</v>
      </c>
      <c r="I223" s="3" t="str">
        <f aca="false">Raw_Data!H223</f>
        <v>no</v>
      </c>
      <c r="J223" s="2" t="n">
        <f aca="false">IF(F223="yes",1,0)</f>
        <v>0</v>
      </c>
      <c r="K223" s="2" t="n">
        <f aca="false">IF(H223="yes",1,0)</f>
        <v>1</v>
      </c>
      <c r="L223" s="2" t="n">
        <f aca="false">IF(I223="yes",1,0)</f>
        <v>0</v>
      </c>
      <c r="M223" s="2" t="n">
        <f aca="false">IF(G223&lt;0,1,0)</f>
        <v>0</v>
      </c>
      <c r="N223" s="2" t="str">
        <f aca="false">_xlfn.IFS(B223&lt;30,"Under 30",B223&lt;40,"30-39",B223&lt;50,"40-49",B223&lt;60,"50-59",TRUE(),"60+")</f>
        <v>30-39</v>
      </c>
      <c r="O223" s="2" t="str">
        <f aca="false">_xlfn.IFS(G223&lt;0,"1 Negative",G223=0,"2 Zero",G223&lt;=500,"3 1-500",G223&lt;=2000,"4 501-2000",TRUE(),"5 Above 2000")</f>
        <v>5 Above 2000</v>
      </c>
      <c r="P223" s="2" t="n">
        <f aca="false">Lookups!$B$2*M223+Lookups!$B$3*L223</f>
        <v>0</v>
      </c>
      <c r="Q223" s="2" t="str">
        <f aca="false">INDEX(Lookups!$E$2:$E$5,MATCH(P223,Lookups!$D$2:$D$5,0))</f>
        <v>Low</v>
      </c>
    </row>
    <row r="224" customFormat="false" ht="15" hidden="false" customHeight="false" outlineLevel="0" collapsed="false">
      <c r="A224" s="3" t="n">
        <v>223</v>
      </c>
      <c r="B224" s="3" t="n">
        <f aca="false">Raw_Data!A224</f>
        <v>49</v>
      </c>
      <c r="C224" s="3" t="str">
        <f aca="false">SUBSTITUTE(Raw_Data!B224,".","")</f>
        <v>blue-collar</v>
      </c>
      <c r="D224" s="3" t="str">
        <f aca="false">Raw_Data!C224</f>
        <v>married</v>
      </c>
      <c r="E224" s="3" t="str">
        <f aca="false">Raw_Data!D224</f>
        <v>primary</v>
      </c>
      <c r="F224" s="3" t="str">
        <f aca="false">Raw_Data!E224</f>
        <v>no</v>
      </c>
      <c r="G224" s="3" t="n">
        <f aca="false">Raw_Data!F224</f>
        <v>365</v>
      </c>
      <c r="H224" s="3" t="str">
        <f aca="false">Raw_Data!G224</f>
        <v>no</v>
      </c>
      <c r="I224" s="3" t="str">
        <f aca="false">Raw_Data!H224</f>
        <v>no</v>
      </c>
      <c r="J224" s="2" t="n">
        <f aca="false">IF(F224="yes",1,0)</f>
        <v>0</v>
      </c>
      <c r="K224" s="2" t="n">
        <f aca="false">IF(H224="yes",1,0)</f>
        <v>0</v>
      </c>
      <c r="L224" s="2" t="n">
        <f aca="false">IF(I224="yes",1,0)</f>
        <v>0</v>
      </c>
      <c r="M224" s="2" t="n">
        <f aca="false">IF(G224&lt;0,1,0)</f>
        <v>0</v>
      </c>
      <c r="N224" s="2" t="str">
        <f aca="false">_xlfn.IFS(B224&lt;30,"Under 30",B224&lt;40,"30-39",B224&lt;50,"40-49",B224&lt;60,"50-59",TRUE(),"60+")</f>
        <v>40-49</v>
      </c>
      <c r="O224" s="2" t="str">
        <f aca="false">_xlfn.IFS(G224&lt;0,"1 Negative",G224=0,"2 Zero",G224&lt;=500,"3 1-500",G224&lt;=2000,"4 501-2000",TRUE(),"5 Above 2000")</f>
        <v>3 1-500</v>
      </c>
      <c r="P224" s="2" t="n">
        <f aca="false">Lookups!$B$2*M224+Lookups!$B$3*L224</f>
        <v>0</v>
      </c>
      <c r="Q224" s="2" t="str">
        <f aca="false">INDEX(Lookups!$E$2:$E$5,MATCH(P224,Lookups!$D$2:$D$5,0))</f>
        <v>Low</v>
      </c>
    </row>
    <row r="225" customFormat="false" ht="15" hidden="false" customHeight="false" outlineLevel="0" collapsed="false">
      <c r="A225" s="3" t="n">
        <v>224</v>
      </c>
      <c r="B225" s="3" t="n">
        <f aca="false">Raw_Data!A225</f>
        <v>41</v>
      </c>
      <c r="C225" s="3" t="str">
        <f aca="false">SUBSTITUTE(Raw_Data!B225,".","")</f>
        <v>self-employed</v>
      </c>
      <c r="D225" s="3" t="str">
        <f aca="false">Raw_Data!C225</f>
        <v>married</v>
      </c>
      <c r="E225" s="3" t="str">
        <f aca="false">Raw_Data!D225</f>
        <v>primary</v>
      </c>
      <c r="F225" s="3" t="str">
        <f aca="false">Raw_Data!E225</f>
        <v>no</v>
      </c>
      <c r="G225" s="3" t="n">
        <f aca="false">Raw_Data!F225</f>
        <v>204</v>
      </c>
      <c r="H225" s="3" t="str">
        <f aca="false">Raw_Data!G225</f>
        <v>no</v>
      </c>
      <c r="I225" s="3" t="str">
        <f aca="false">Raw_Data!H225</f>
        <v>no</v>
      </c>
      <c r="J225" s="2" t="n">
        <f aca="false">IF(F225="yes",1,0)</f>
        <v>0</v>
      </c>
      <c r="K225" s="2" t="n">
        <f aca="false">IF(H225="yes",1,0)</f>
        <v>0</v>
      </c>
      <c r="L225" s="2" t="n">
        <f aca="false">IF(I225="yes",1,0)</f>
        <v>0</v>
      </c>
      <c r="M225" s="2" t="n">
        <f aca="false">IF(G225&lt;0,1,0)</f>
        <v>0</v>
      </c>
      <c r="N225" s="2" t="str">
        <f aca="false">_xlfn.IFS(B225&lt;30,"Under 30",B225&lt;40,"30-39",B225&lt;50,"40-49",B225&lt;60,"50-59",TRUE(),"60+")</f>
        <v>40-49</v>
      </c>
      <c r="O225" s="2" t="str">
        <f aca="false">_xlfn.IFS(G225&lt;0,"1 Negative",G225=0,"2 Zero",G225&lt;=500,"3 1-500",G225&lt;=2000,"4 501-2000",TRUE(),"5 Above 2000")</f>
        <v>3 1-500</v>
      </c>
      <c r="P225" s="2" t="n">
        <f aca="false">Lookups!$B$2*M225+Lookups!$B$3*L225</f>
        <v>0</v>
      </c>
      <c r="Q225" s="2" t="str">
        <f aca="false">INDEX(Lookups!$E$2:$E$5,MATCH(P225,Lookups!$D$2:$D$5,0))</f>
        <v>Low</v>
      </c>
    </row>
    <row r="226" customFormat="false" ht="15" hidden="false" customHeight="false" outlineLevel="0" collapsed="false">
      <c r="A226" s="3" t="n">
        <v>225</v>
      </c>
      <c r="B226" s="3" t="n">
        <f aca="false">Raw_Data!A226</f>
        <v>54</v>
      </c>
      <c r="C226" s="3" t="str">
        <f aca="false">SUBSTITUTE(Raw_Data!B226,".","")</f>
        <v>management</v>
      </c>
      <c r="D226" s="3" t="str">
        <f aca="false">Raw_Data!C226</f>
        <v>married</v>
      </c>
      <c r="E226" s="3" t="str">
        <f aca="false">Raw_Data!D226</f>
        <v>primary</v>
      </c>
      <c r="F226" s="3" t="str">
        <f aca="false">Raw_Data!E226</f>
        <v>no</v>
      </c>
      <c r="G226" s="3" t="n">
        <f aca="false">Raw_Data!F226</f>
        <v>1691</v>
      </c>
      <c r="H226" s="3" t="str">
        <f aca="false">Raw_Data!G226</f>
        <v>yes</v>
      </c>
      <c r="I226" s="3" t="str">
        <f aca="false">Raw_Data!H226</f>
        <v>no</v>
      </c>
      <c r="J226" s="2" t="n">
        <f aca="false">IF(F226="yes",1,0)</f>
        <v>0</v>
      </c>
      <c r="K226" s="2" t="n">
        <f aca="false">IF(H226="yes",1,0)</f>
        <v>1</v>
      </c>
      <c r="L226" s="2" t="n">
        <f aca="false">IF(I226="yes",1,0)</f>
        <v>0</v>
      </c>
      <c r="M226" s="2" t="n">
        <f aca="false">IF(G226&lt;0,1,0)</f>
        <v>0</v>
      </c>
      <c r="N226" s="2" t="str">
        <f aca="false">_xlfn.IFS(B226&lt;30,"Under 30",B226&lt;40,"30-39",B226&lt;50,"40-49",B226&lt;60,"50-59",TRUE(),"60+")</f>
        <v>50-59</v>
      </c>
      <c r="O226" s="2" t="str">
        <f aca="false">_xlfn.IFS(G226&lt;0,"1 Negative",G226=0,"2 Zero",G226&lt;=500,"3 1-500",G226&lt;=2000,"4 501-2000",TRUE(),"5 Above 2000")</f>
        <v>4 501-2000</v>
      </c>
      <c r="P226" s="2" t="n">
        <f aca="false">Lookups!$B$2*M226+Lookups!$B$3*L226</f>
        <v>0</v>
      </c>
      <c r="Q226" s="2" t="str">
        <f aca="false">INDEX(Lookups!$E$2:$E$5,MATCH(P226,Lookups!$D$2:$D$5,0))</f>
        <v>Low</v>
      </c>
    </row>
    <row r="227" customFormat="false" ht="15" hidden="false" customHeight="false" outlineLevel="0" collapsed="false">
      <c r="A227" s="3" t="n">
        <v>226</v>
      </c>
      <c r="B227" s="3" t="n">
        <f aca="false">Raw_Data!A227</f>
        <v>32</v>
      </c>
      <c r="C227" s="3" t="str">
        <f aca="false">SUBSTITUTE(Raw_Data!B227,".","")</f>
        <v>services</v>
      </c>
      <c r="D227" s="3" t="str">
        <f aca="false">Raw_Data!C227</f>
        <v>single</v>
      </c>
      <c r="E227" s="3" t="str">
        <f aca="false">Raw_Data!D227</f>
        <v>secondary</v>
      </c>
      <c r="F227" s="3" t="str">
        <f aca="false">Raw_Data!E227</f>
        <v>no</v>
      </c>
      <c r="G227" s="3" t="n">
        <f aca="false">Raw_Data!F227</f>
        <v>406</v>
      </c>
      <c r="H227" s="3" t="str">
        <f aca="false">Raw_Data!G227</f>
        <v>yes</v>
      </c>
      <c r="I227" s="3" t="str">
        <f aca="false">Raw_Data!H227</f>
        <v>no</v>
      </c>
      <c r="J227" s="2" t="n">
        <f aca="false">IF(F227="yes",1,0)</f>
        <v>0</v>
      </c>
      <c r="K227" s="2" t="n">
        <f aca="false">IF(H227="yes",1,0)</f>
        <v>1</v>
      </c>
      <c r="L227" s="2" t="n">
        <f aca="false">IF(I227="yes",1,0)</f>
        <v>0</v>
      </c>
      <c r="M227" s="2" t="n">
        <f aca="false">IF(G227&lt;0,1,0)</f>
        <v>0</v>
      </c>
      <c r="N227" s="2" t="str">
        <f aca="false">_xlfn.IFS(B227&lt;30,"Under 30",B227&lt;40,"30-39",B227&lt;50,"40-49",B227&lt;60,"50-59",TRUE(),"60+")</f>
        <v>30-39</v>
      </c>
      <c r="O227" s="2" t="str">
        <f aca="false">_xlfn.IFS(G227&lt;0,"1 Negative",G227=0,"2 Zero",G227&lt;=500,"3 1-500",G227&lt;=2000,"4 501-2000",TRUE(),"5 Above 2000")</f>
        <v>3 1-500</v>
      </c>
      <c r="P227" s="2" t="n">
        <f aca="false">Lookups!$B$2*M227+Lookups!$B$3*L227</f>
        <v>0</v>
      </c>
      <c r="Q227" s="2" t="str">
        <f aca="false">INDEX(Lookups!$E$2:$E$5,MATCH(P227,Lookups!$D$2:$D$5,0))</f>
        <v>Low</v>
      </c>
    </row>
    <row r="228" customFormat="false" ht="15" hidden="false" customHeight="false" outlineLevel="0" collapsed="false">
      <c r="A228" s="3" t="n">
        <v>227</v>
      </c>
      <c r="B228" s="3" t="n">
        <f aca="false">Raw_Data!A228</f>
        <v>33</v>
      </c>
      <c r="C228" s="3" t="str">
        <f aca="false">SUBSTITUTE(Raw_Data!B228,".","")</f>
        <v>technician</v>
      </c>
      <c r="D228" s="3" t="str">
        <f aca="false">Raw_Data!C228</f>
        <v>married</v>
      </c>
      <c r="E228" s="3" t="str">
        <f aca="false">Raw_Data!D228</f>
        <v>secondary</v>
      </c>
      <c r="F228" s="3" t="str">
        <f aca="false">Raw_Data!E228</f>
        <v>no</v>
      </c>
      <c r="G228" s="3" t="n">
        <f aca="false">Raw_Data!F228</f>
        <v>-204</v>
      </c>
      <c r="H228" s="3" t="str">
        <f aca="false">Raw_Data!G228</f>
        <v>no</v>
      </c>
      <c r="I228" s="3" t="str">
        <f aca="false">Raw_Data!H228</f>
        <v>no</v>
      </c>
      <c r="J228" s="2" t="n">
        <f aca="false">IF(F228="yes",1,0)</f>
        <v>0</v>
      </c>
      <c r="K228" s="2" t="n">
        <f aca="false">IF(H228="yes",1,0)</f>
        <v>0</v>
      </c>
      <c r="L228" s="2" t="n">
        <f aca="false">IF(I228="yes",1,0)</f>
        <v>0</v>
      </c>
      <c r="M228" s="2" t="n">
        <f aca="false">IF(G228&lt;0,1,0)</f>
        <v>1</v>
      </c>
      <c r="N228" s="2" t="str">
        <f aca="false">_xlfn.IFS(B228&lt;30,"Under 30",B228&lt;40,"30-39",B228&lt;50,"40-49",B228&lt;60,"50-59",TRUE(),"60+")</f>
        <v>30-39</v>
      </c>
      <c r="O228" s="2" t="str">
        <f aca="false">_xlfn.IFS(G228&lt;0,"1 Negative",G228=0,"2 Zero",G228&lt;=500,"3 1-500",G228&lt;=2000,"4 501-2000",TRUE(),"5 Above 2000")</f>
        <v>1 Negative</v>
      </c>
      <c r="P228" s="2" t="n">
        <f aca="false">Lookups!$B$2*M228+Lookups!$B$3*L228</f>
        <v>2</v>
      </c>
      <c r="Q228" s="2" t="str">
        <f aca="false">INDEX(Lookups!$E$2:$E$5,MATCH(P228,Lookups!$D$2:$D$5,0))</f>
        <v>High</v>
      </c>
    </row>
    <row r="229" customFormat="false" ht="15" hidden="false" customHeight="false" outlineLevel="0" collapsed="false">
      <c r="A229" s="3" t="n">
        <v>228</v>
      </c>
      <c r="B229" s="3" t="n">
        <f aca="false">Raw_Data!A229</f>
        <v>33</v>
      </c>
      <c r="C229" s="3" t="str">
        <f aca="false">SUBSTITUTE(Raw_Data!B229,".","")</f>
        <v>technician</v>
      </c>
      <c r="D229" s="3" t="str">
        <f aca="false">Raw_Data!C229</f>
        <v>married</v>
      </c>
      <c r="E229" s="3" t="str">
        <f aca="false">Raw_Data!D229</f>
        <v>secondary</v>
      </c>
      <c r="F229" s="3" t="str">
        <f aca="false">Raw_Data!E229</f>
        <v>no</v>
      </c>
      <c r="G229" s="3" t="n">
        <f aca="false">Raw_Data!F229</f>
        <v>359</v>
      </c>
      <c r="H229" s="3" t="str">
        <f aca="false">Raw_Data!G229</f>
        <v>yes</v>
      </c>
      <c r="I229" s="3" t="str">
        <f aca="false">Raw_Data!H229</f>
        <v>no</v>
      </c>
      <c r="J229" s="2" t="n">
        <f aca="false">IF(F229="yes",1,0)</f>
        <v>0</v>
      </c>
      <c r="K229" s="2" t="n">
        <f aca="false">IF(H229="yes",1,0)</f>
        <v>1</v>
      </c>
      <c r="L229" s="2" t="n">
        <f aca="false">IF(I229="yes",1,0)</f>
        <v>0</v>
      </c>
      <c r="M229" s="2" t="n">
        <f aca="false">IF(G229&lt;0,1,0)</f>
        <v>0</v>
      </c>
      <c r="N229" s="2" t="str">
        <f aca="false">_xlfn.IFS(B229&lt;30,"Under 30",B229&lt;40,"30-39",B229&lt;50,"40-49",B229&lt;60,"50-59",TRUE(),"60+")</f>
        <v>30-39</v>
      </c>
      <c r="O229" s="2" t="str">
        <f aca="false">_xlfn.IFS(G229&lt;0,"1 Negative",G229=0,"2 Zero",G229&lt;=500,"3 1-500",G229&lt;=2000,"4 501-2000",TRUE(),"5 Above 2000")</f>
        <v>3 1-500</v>
      </c>
      <c r="P229" s="2" t="n">
        <f aca="false">Lookups!$B$2*M229+Lookups!$B$3*L229</f>
        <v>0</v>
      </c>
      <c r="Q229" s="2" t="str">
        <f aca="false">INDEX(Lookups!$E$2:$E$5,MATCH(P229,Lookups!$D$2:$D$5,0))</f>
        <v>Low</v>
      </c>
    </row>
    <row r="230" customFormat="false" ht="15" hidden="false" customHeight="false" outlineLevel="0" collapsed="false">
      <c r="A230" s="3" t="n">
        <v>229</v>
      </c>
      <c r="B230" s="3" t="n">
        <f aca="false">Raw_Data!A230</f>
        <v>36</v>
      </c>
      <c r="C230" s="3" t="str">
        <f aca="false">SUBSTITUTE(Raw_Data!B230,".","")</f>
        <v>blue-collar</v>
      </c>
      <c r="D230" s="3" t="str">
        <f aca="false">Raw_Data!C230</f>
        <v>married</v>
      </c>
      <c r="E230" s="3" t="str">
        <f aca="false">Raw_Data!D230</f>
        <v>primary</v>
      </c>
      <c r="F230" s="3" t="str">
        <f aca="false">Raw_Data!E230</f>
        <v>no</v>
      </c>
      <c r="G230" s="3" t="n">
        <f aca="false">Raw_Data!F230</f>
        <v>123</v>
      </c>
      <c r="H230" s="3" t="str">
        <f aca="false">Raw_Data!G230</f>
        <v>yes</v>
      </c>
      <c r="I230" s="3" t="str">
        <f aca="false">Raw_Data!H230</f>
        <v>no</v>
      </c>
      <c r="J230" s="2" t="n">
        <f aca="false">IF(F230="yes",1,0)</f>
        <v>0</v>
      </c>
      <c r="K230" s="2" t="n">
        <f aca="false">IF(H230="yes",1,0)</f>
        <v>1</v>
      </c>
      <c r="L230" s="2" t="n">
        <f aca="false">IF(I230="yes",1,0)</f>
        <v>0</v>
      </c>
      <c r="M230" s="2" t="n">
        <f aca="false">IF(G230&lt;0,1,0)</f>
        <v>0</v>
      </c>
      <c r="N230" s="2" t="str">
        <f aca="false">_xlfn.IFS(B230&lt;30,"Under 30",B230&lt;40,"30-39",B230&lt;50,"40-49",B230&lt;60,"50-59",TRUE(),"60+")</f>
        <v>30-39</v>
      </c>
      <c r="O230" s="2" t="str">
        <f aca="false">_xlfn.IFS(G230&lt;0,"1 Negative",G230=0,"2 Zero",G230&lt;=500,"3 1-500",G230&lt;=2000,"4 501-2000",TRUE(),"5 Above 2000")</f>
        <v>3 1-500</v>
      </c>
      <c r="P230" s="2" t="n">
        <f aca="false">Lookups!$B$2*M230+Lookups!$B$3*L230</f>
        <v>0</v>
      </c>
      <c r="Q230" s="2" t="str">
        <f aca="false">INDEX(Lookups!$E$2:$E$5,MATCH(P230,Lookups!$D$2:$D$5,0))</f>
        <v>Low</v>
      </c>
    </row>
    <row r="231" customFormat="false" ht="15" hidden="false" customHeight="false" outlineLevel="0" collapsed="false">
      <c r="A231" s="3" t="n">
        <v>230</v>
      </c>
      <c r="B231" s="3" t="n">
        <f aca="false">Raw_Data!A231</f>
        <v>35</v>
      </c>
      <c r="C231" s="3" t="str">
        <f aca="false">SUBSTITUTE(Raw_Data!B231,".","")</f>
        <v>technician</v>
      </c>
      <c r="D231" s="3" t="str">
        <f aca="false">Raw_Data!C231</f>
        <v>married</v>
      </c>
      <c r="E231" s="3" t="str">
        <f aca="false">Raw_Data!D231</f>
        <v>tertiary</v>
      </c>
      <c r="F231" s="3" t="str">
        <f aca="false">Raw_Data!E231</f>
        <v>no</v>
      </c>
      <c r="G231" s="3" t="n">
        <f aca="false">Raw_Data!F231</f>
        <v>0</v>
      </c>
      <c r="H231" s="3" t="str">
        <f aca="false">Raw_Data!G231</f>
        <v>yes</v>
      </c>
      <c r="I231" s="3" t="str">
        <f aca="false">Raw_Data!H231</f>
        <v>yes</v>
      </c>
      <c r="J231" s="2" t="n">
        <f aca="false">IF(F231="yes",1,0)</f>
        <v>0</v>
      </c>
      <c r="K231" s="2" t="n">
        <f aca="false">IF(H231="yes",1,0)</f>
        <v>1</v>
      </c>
      <c r="L231" s="2" t="n">
        <f aca="false">IF(I231="yes",1,0)</f>
        <v>1</v>
      </c>
      <c r="M231" s="2" t="n">
        <f aca="false">IF(G231&lt;0,1,0)</f>
        <v>0</v>
      </c>
      <c r="N231" s="2" t="str">
        <f aca="false">_xlfn.IFS(B231&lt;30,"Under 30",B231&lt;40,"30-39",B231&lt;50,"40-49",B231&lt;60,"50-59",TRUE(),"60+")</f>
        <v>30-39</v>
      </c>
      <c r="O231" s="2" t="str">
        <f aca="false">_xlfn.IFS(G231&lt;0,"1 Negative",G231=0,"2 Zero",G231&lt;=500,"3 1-500",G231&lt;=2000,"4 501-2000",TRUE(),"5 Above 2000")</f>
        <v>2 Zero</v>
      </c>
      <c r="P231" s="2" t="n">
        <f aca="false">Lookups!$B$2*M231+Lookups!$B$3*L231</f>
        <v>1</v>
      </c>
      <c r="Q231" s="2" t="str">
        <f aca="false">INDEX(Lookups!$E$2:$E$5,MATCH(P231,Lookups!$D$2:$D$5,0))</f>
        <v>Medium</v>
      </c>
    </row>
    <row r="232" customFormat="false" ht="15" hidden="false" customHeight="false" outlineLevel="0" collapsed="false">
      <c r="A232" s="3" t="n">
        <v>231</v>
      </c>
      <c r="B232" s="3" t="n">
        <f aca="false">Raw_Data!A232</f>
        <v>52</v>
      </c>
      <c r="C232" s="3" t="str">
        <f aca="false">SUBSTITUTE(Raw_Data!B232,".","")</f>
        <v>unknown</v>
      </c>
      <c r="D232" s="3" t="str">
        <f aca="false">Raw_Data!C232</f>
        <v>married</v>
      </c>
      <c r="E232" s="3" t="str">
        <f aca="false">Raw_Data!D232</f>
        <v>secondary</v>
      </c>
      <c r="F232" s="3" t="str">
        <f aca="false">Raw_Data!E232</f>
        <v>no</v>
      </c>
      <c r="G232" s="3" t="n">
        <f aca="false">Raw_Data!F232</f>
        <v>142</v>
      </c>
      <c r="H232" s="3" t="str">
        <f aca="false">Raw_Data!G232</f>
        <v>no</v>
      </c>
      <c r="I232" s="3" t="str">
        <f aca="false">Raw_Data!H232</f>
        <v>no</v>
      </c>
      <c r="J232" s="2" t="n">
        <f aca="false">IF(F232="yes",1,0)</f>
        <v>0</v>
      </c>
      <c r="K232" s="2" t="n">
        <f aca="false">IF(H232="yes",1,0)</f>
        <v>0</v>
      </c>
      <c r="L232" s="2" t="n">
        <f aca="false">IF(I232="yes",1,0)</f>
        <v>0</v>
      </c>
      <c r="M232" s="2" t="n">
        <f aca="false">IF(G232&lt;0,1,0)</f>
        <v>0</v>
      </c>
      <c r="N232" s="2" t="str">
        <f aca="false">_xlfn.IFS(B232&lt;30,"Under 30",B232&lt;40,"30-39",B232&lt;50,"40-49",B232&lt;60,"50-59",TRUE(),"60+")</f>
        <v>50-59</v>
      </c>
      <c r="O232" s="2" t="str">
        <f aca="false">_xlfn.IFS(G232&lt;0,"1 Negative",G232=0,"2 Zero",G232&lt;=500,"3 1-500",G232&lt;=2000,"4 501-2000",TRUE(),"5 Above 2000")</f>
        <v>3 1-500</v>
      </c>
      <c r="P232" s="2" t="n">
        <f aca="false">Lookups!$B$2*M232+Lookups!$B$3*L232</f>
        <v>0</v>
      </c>
      <c r="Q232" s="2" t="str">
        <f aca="false">INDEX(Lookups!$E$2:$E$5,MATCH(P232,Lookups!$D$2:$D$5,0))</f>
        <v>Low</v>
      </c>
    </row>
    <row r="233" customFormat="false" ht="15" hidden="false" customHeight="false" outlineLevel="0" collapsed="false">
      <c r="A233" s="3" t="n">
        <v>232</v>
      </c>
      <c r="B233" s="3" t="n">
        <f aca="false">Raw_Data!A233</f>
        <v>40</v>
      </c>
      <c r="C233" s="3" t="str">
        <f aca="false">SUBSTITUTE(Raw_Data!B233,".","")</f>
        <v>entrepreneur</v>
      </c>
      <c r="D233" s="3" t="str">
        <f aca="false">Raw_Data!C233</f>
        <v>married</v>
      </c>
      <c r="E233" s="3" t="str">
        <f aca="false">Raw_Data!D233</f>
        <v>tertiary</v>
      </c>
      <c r="F233" s="3" t="str">
        <f aca="false">Raw_Data!E233</f>
        <v>no</v>
      </c>
      <c r="G233" s="3" t="n">
        <f aca="false">Raw_Data!F233</f>
        <v>3571</v>
      </c>
      <c r="H233" s="3" t="str">
        <f aca="false">Raw_Data!G233</f>
        <v>no</v>
      </c>
      <c r="I233" s="3" t="str">
        <f aca="false">Raw_Data!H233</f>
        <v>no</v>
      </c>
      <c r="J233" s="2" t="n">
        <f aca="false">IF(F233="yes",1,0)</f>
        <v>0</v>
      </c>
      <c r="K233" s="2" t="n">
        <f aca="false">IF(H233="yes",1,0)</f>
        <v>0</v>
      </c>
      <c r="L233" s="2" t="n">
        <f aca="false">IF(I233="yes",1,0)</f>
        <v>0</v>
      </c>
      <c r="M233" s="2" t="n">
        <f aca="false">IF(G233&lt;0,1,0)</f>
        <v>0</v>
      </c>
      <c r="N233" s="2" t="str">
        <f aca="false">_xlfn.IFS(B233&lt;30,"Under 30",B233&lt;40,"30-39",B233&lt;50,"40-49",B233&lt;60,"50-59",TRUE(),"60+")</f>
        <v>40-49</v>
      </c>
      <c r="O233" s="2" t="str">
        <f aca="false">_xlfn.IFS(G233&lt;0,"1 Negative",G233=0,"2 Zero",G233&lt;=500,"3 1-500",G233&lt;=2000,"4 501-2000",TRUE(),"5 Above 2000")</f>
        <v>5 Above 2000</v>
      </c>
      <c r="P233" s="2" t="n">
        <f aca="false">Lookups!$B$2*M233+Lookups!$B$3*L233</f>
        <v>0</v>
      </c>
      <c r="Q233" s="2" t="str">
        <f aca="false">INDEX(Lookups!$E$2:$E$5,MATCH(P233,Lookups!$D$2:$D$5,0))</f>
        <v>Low</v>
      </c>
    </row>
    <row r="234" customFormat="false" ht="15" hidden="false" customHeight="false" outlineLevel="0" collapsed="false">
      <c r="A234" s="3" t="n">
        <v>233</v>
      </c>
      <c r="B234" s="3" t="n">
        <f aca="false">Raw_Data!A234</f>
        <v>44</v>
      </c>
      <c r="C234" s="3" t="str">
        <f aca="false">SUBSTITUTE(Raw_Data!B234,".","")</f>
        <v>technician</v>
      </c>
      <c r="D234" s="3" t="str">
        <f aca="false">Raw_Data!C234</f>
        <v>single</v>
      </c>
      <c r="E234" s="3" t="str">
        <f aca="false">Raw_Data!D234</f>
        <v>secondary</v>
      </c>
      <c r="F234" s="3" t="str">
        <f aca="false">Raw_Data!E234</f>
        <v>no</v>
      </c>
      <c r="G234" s="3" t="n">
        <f aca="false">Raw_Data!F234</f>
        <v>33</v>
      </c>
      <c r="H234" s="3" t="str">
        <f aca="false">Raw_Data!G234</f>
        <v>yes</v>
      </c>
      <c r="I234" s="3" t="str">
        <f aca="false">Raw_Data!H234</f>
        <v>no</v>
      </c>
      <c r="J234" s="2" t="n">
        <f aca="false">IF(F234="yes",1,0)</f>
        <v>0</v>
      </c>
      <c r="K234" s="2" t="n">
        <f aca="false">IF(H234="yes",1,0)</f>
        <v>1</v>
      </c>
      <c r="L234" s="2" t="n">
        <f aca="false">IF(I234="yes",1,0)</f>
        <v>0</v>
      </c>
      <c r="M234" s="2" t="n">
        <f aca="false">IF(G234&lt;0,1,0)</f>
        <v>0</v>
      </c>
      <c r="N234" s="2" t="str">
        <f aca="false">_xlfn.IFS(B234&lt;30,"Under 30",B234&lt;40,"30-39",B234&lt;50,"40-49",B234&lt;60,"50-59",TRUE(),"60+")</f>
        <v>40-49</v>
      </c>
      <c r="O234" s="2" t="str">
        <f aca="false">_xlfn.IFS(G234&lt;0,"1 Negative",G234=0,"2 Zero",G234&lt;=500,"3 1-500",G234&lt;=2000,"4 501-2000",TRUE(),"5 Above 2000")</f>
        <v>3 1-500</v>
      </c>
      <c r="P234" s="2" t="n">
        <f aca="false">Lookups!$B$2*M234+Lookups!$B$3*L234</f>
        <v>0</v>
      </c>
      <c r="Q234" s="2" t="str">
        <f aca="false">INDEX(Lookups!$E$2:$E$5,MATCH(P234,Lookups!$D$2:$D$5,0))</f>
        <v>Low</v>
      </c>
    </row>
    <row r="235" customFormat="false" ht="15" hidden="false" customHeight="false" outlineLevel="0" collapsed="false">
      <c r="A235" s="3" t="n">
        <v>234</v>
      </c>
      <c r="B235" s="3" t="n">
        <f aca="false">Raw_Data!A235</f>
        <v>45</v>
      </c>
      <c r="C235" s="3" t="str">
        <f aca="false">SUBSTITUTE(Raw_Data!B235,".","")</f>
        <v>blue-collar</v>
      </c>
      <c r="D235" s="3" t="str">
        <f aca="false">Raw_Data!C235</f>
        <v>single</v>
      </c>
      <c r="E235" s="3" t="str">
        <f aca="false">Raw_Data!D235</f>
        <v>secondary</v>
      </c>
      <c r="F235" s="3" t="str">
        <f aca="false">Raw_Data!E235</f>
        <v>no</v>
      </c>
      <c r="G235" s="3" t="n">
        <f aca="false">Raw_Data!F235</f>
        <v>0</v>
      </c>
      <c r="H235" s="3" t="str">
        <f aca="false">Raw_Data!G235</f>
        <v>yes</v>
      </c>
      <c r="I235" s="3" t="str">
        <f aca="false">Raw_Data!H235</f>
        <v>no</v>
      </c>
      <c r="J235" s="2" t="n">
        <f aca="false">IF(F235="yes",1,0)</f>
        <v>0</v>
      </c>
      <c r="K235" s="2" t="n">
        <f aca="false">IF(H235="yes",1,0)</f>
        <v>1</v>
      </c>
      <c r="L235" s="2" t="n">
        <f aca="false">IF(I235="yes",1,0)</f>
        <v>0</v>
      </c>
      <c r="M235" s="2" t="n">
        <f aca="false">IF(G235&lt;0,1,0)</f>
        <v>0</v>
      </c>
      <c r="N235" s="2" t="str">
        <f aca="false">_xlfn.IFS(B235&lt;30,"Under 30",B235&lt;40,"30-39",B235&lt;50,"40-49",B235&lt;60,"50-59",TRUE(),"60+")</f>
        <v>40-49</v>
      </c>
      <c r="O235" s="2" t="str">
        <f aca="false">_xlfn.IFS(G235&lt;0,"1 Negative",G235=0,"2 Zero",G235&lt;=500,"3 1-500",G235&lt;=2000,"4 501-2000",TRUE(),"5 Above 2000")</f>
        <v>2 Zero</v>
      </c>
      <c r="P235" s="2" t="n">
        <f aca="false">Lookups!$B$2*M235+Lookups!$B$3*L235</f>
        <v>0</v>
      </c>
      <c r="Q235" s="2" t="str">
        <f aca="false">INDEX(Lookups!$E$2:$E$5,MATCH(P235,Lookups!$D$2:$D$5,0))</f>
        <v>Low</v>
      </c>
    </row>
    <row r="236" customFormat="false" ht="15" hidden="false" customHeight="false" outlineLevel="0" collapsed="false">
      <c r="A236" s="3" t="n">
        <v>235</v>
      </c>
      <c r="B236" s="3" t="n">
        <f aca="false">Raw_Data!A236</f>
        <v>30</v>
      </c>
      <c r="C236" s="3" t="str">
        <f aca="false">SUBSTITUTE(Raw_Data!B236,".","")</f>
        <v>student</v>
      </c>
      <c r="D236" s="3" t="str">
        <f aca="false">Raw_Data!C236</f>
        <v>single</v>
      </c>
      <c r="E236" s="3" t="str">
        <f aca="false">Raw_Data!D236</f>
        <v>secondary</v>
      </c>
      <c r="F236" s="3" t="str">
        <f aca="false">Raw_Data!E236</f>
        <v>no</v>
      </c>
      <c r="G236" s="3" t="n">
        <f aca="false">Raw_Data!F236</f>
        <v>3096</v>
      </c>
      <c r="H236" s="3" t="str">
        <f aca="false">Raw_Data!G236</f>
        <v>no</v>
      </c>
      <c r="I236" s="3" t="str">
        <f aca="false">Raw_Data!H236</f>
        <v>no</v>
      </c>
      <c r="J236" s="2" t="n">
        <f aca="false">IF(F236="yes",1,0)</f>
        <v>0</v>
      </c>
      <c r="K236" s="2" t="n">
        <f aca="false">IF(H236="yes",1,0)</f>
        <v>0</v>
      </c>
      <c r="L236" s="2" t="n">
        <f aca="false">IF(I236="yes",1,0)</f>
        <v>0</v>
      </c>
      <c r="M236" s="2" t="n">
        <f aca="false">IF(G236&lt;0,1,0)</f>
        <v>0</v>
      </c>
      <c r="N236" s="2" t="str">
        <f aca="false">_xlfn.IFS(B236&lt;30,"Under 30",B236&lt;40,"30-39",B236&lt;50,"40-49",B236&lt;60,"50-59",TRUE(),"60+")</f>
        <v>30-39</v>
      </c>
      <c r="O236" s="2" t="str">
        <f aca="false">_xlfn.IFS(G236&lt;0,"1 Negative",G236=0,"2 Zero",G236&lt;=500,"3 1-500",G236&lt;=2000,"4 501-2000",TRUE(),"5 Above 2000")</f>
        <v>5 Above 2000</v>
      </c>
      <c r="P236" s="2" t="n">
        <f aca="false">Lookups!$B$2*M236+Lookups!$B$3*L236</f>
        <v>0</v>
      </c>
      <c r="Q236" s="2" t="str">
        <f aca="false">INDEX(Lookups!$E$2:$E$5,MATCH(P236,Lookups!$D$2:$D$5,0))</f>
        <v>Low</v>
      </c>
    </row>
    <row r="237" customFormat="false" ht="15" hidden="false" customHeight="false" outlineLevel="0" collapsed="false">
      <c r="A237" s="3" t="n">
        <v>236</v>
      </c>
      <c r="B237" s="3" t="n">
        <f aca="false">Raw_Data!A237</f>
        <v>48</v>
      </c>
      <c r="C237" s="3" t="str">
        <f aca="false">SUBSTITUTE(Raw_Data!B237,".","")</f>
        <v>technician</v>
      </c>
      <c r="D237" s="3" t="str">
        <f aca="false">Raw_Data!C237</f>
        <v>divorced</v>
      </c>
      <c r="E237" s="3" t="str">
        <f aca="false">Raw_Data!D237</f>
        <v>secondary</v>
      </c>
      <c r="F237" s="3" t="str">
        <f aca="false">Raw_Data!E237</f>
        <v>yes</v>
      </c>
      <c r="G237" s="3" t="n">
        <f aca="false">Raw_Data!F237</f>
        <v>20</v>
      </c>
      <c r="H237" s="3" t="str">
        <f aca="false">Raw_Data!G237</f>
        <v>no</v>
      </c>
      <c r="I237" s="3" t="str">
        <f aca="false">Raw_Data!H237</f>
        <v>no</v>
      </c>
      <c r="J237" s="2" t="n">
        <f aca="false">IF(F237="yes",1,0)</f>
        <v>1</v>
      </c>
      <c r="K237" s="2" t="n">
        <f aca="false">IF(H237="yes",1,0)</f>
        <v>0</v>
      </c>
      <c r="L237" s="2" t="n">
        <f aca="false">IF(I237="yes",1,0)</f>
        <v>0</v>
      </c>
      <c r="M237" s="2" t="n">
        <f aca="false">IF(G237&lt;0,1,0)</f>
        <v>0</v>
      </c>
      <c r="N237" s="2" t="str">
        <f aca="false">_xlfn.IFS(B237&lt;30,"Under 30",B237&lt;40,"30-39",B237&lt;50,"40-49",B237&lt;60,"50-59",TRUE(),"60+")</f>
        <v>40-49</v>
      </c>
      <c r="O237" s="2" t="str">
        <f aca="false">_xlfn.IFS(G237&lt;0,"1 Negative",G237=0,"2 Zero",G237&lt;=500,"3 1-500",G237&lt;=2000,"4 501-2000",TRUE(),"5 Above 2000")</f>
        <v>3 1-500</v>
      </c>
      <c r="P237" s="2" t="n">
        <f aca="false">Lookups!$B$2*M237+Lookups!$B$3*L237</f>
        <v>0</v>
      </c>
      <c r="Q237" s="2" t="str">
        <f aca="false">INDEX(Lookups!$E$2:$E$5,MATCH(P237,Lookups!$D$2:$D$5,0))</f>
        <v>Low</v>
      </c>
    </row>
    <row r="238" customFormat="false" ht="15" hidden="false" customHeight="false" outlineLevel="0" collapsed="false">
      <c r="A238" s="3" t="n">
        <v>237</v>
      </c>
      <c r="B238" s="3" t="n">
        <f aca="false">Raw_Data!A238</f>
        <v>33</v>
      </c>
      <c r="C238" s="3" t="str">
        <f aca="false">SUBSTITUTE(Raw_Data!B238,".","")</f>
        <v>blue-collar</v>
      </c>
      <c r="D238" s="3" t="str">
        <f aca="false">Raw_Data!C238</f>
        <v>married</v>
      </c>
      <c r="E238" s="3" t="str">
        <f aca="false">Raw_Data!D238</f>
        <v>secondary</v>
      </c>
      <c r="F238" s="3" t="str">
        <f aca="false">Raw_Data!E238</f>
        <v>no</v>
      </c>
      <c r="G238" s="3" t="n">
        <f aca="false">Raw_Data!F238</f>
        <v>3576</v>
      </c>
      <c r="H238" s="3" t="str">
        <f aca="false">Raw_Data!G238</f>
        <v>yes</v>
      </c>
      <c r="I238" s="3" t="str">
        <f aca="false">Raw_Data!H238</f>
        <v>no</v>
      </c>
      <c r="J238" s="2" t="n">
        <f aca="false">IF(F238="yes",1,0)</f>
        <v>0</v>
      </c>
      <c r="K238" s="2" t="n">
        <f aca="false">IF(H238="yes",1,0)</f>
        <v>1</v>
      </c>
      <c r="L238" s="2" t="n">
        <f aca="false">IF(I238="yes",1,0)</f>
        <v>0</v>
      </c>
      <c r="M238" s="2" t="n">
        <f aca="false">IF(G238&lt;0,1,0)</f>
        <v>0</v>
      </c>
      <c r="N238" s="2" t="str">
        <f aca="false">_xlfn.IFS(B238&lt;30,"Under 30",B238&lt;40,"30-39",B238&lt;50,"40-49",B238&lt;60,"50-59",TRUE(),"60+")</f>
        <v>30-39</v>
      </c>
      <c r="O238" s="2" t="str">
        <f aca="false">_xlfn.IFS(G238&lt;0,"1 Negative",G238=0,"2 Zero",G238&lt;=500,"3 1-500",G238&lt;=2000,"4 501-2000",TRUE(),"5 Above 2000")</f>
        <v>5 Above 2000</v>
      </c>
      <c r="P238" s="2" t="n">
        <f aca="false">Lookups!$B$2*M238+Lookups!$B$3*L238</f>
        <v>0</v>
      </c>
      <c r="Q238" s="2" t="str">
        <f aca="false">INDEX(Lookups!$E$2:$E$5,MATCH(P238,Lookups!$D$2:$D$5,0))</f>
        <v>Low</v>
      </c>
    </row>
    <row r="239" customFormat="false" ht="15" hidden="false" customHeight="false" outlineLevel="0" collapsed="false">
      <c r="A239" s="3" t="n">
        <v>238</v>
      </c>
      <c r="B239" s="3" t="n">
        <f aca="false">Raw_Data!A239</f>
        <v>57</v>
      </c>
      <c r="C239" s="3" t="str">
        <f aca="false">SUBSTITUTE(Raw_Data!B239,".","")</f>
        <v>technician</v>
      </c>
      <c r="D239" s="3" t="str">
        <f aca="false">Raw_Data!C239</f>
        <v>married</v>
      </c>
      <c r="E239" s="3" t="str">
        <f aca="false">Raw_Data!D239</f>
        <v>unknown</v>
      </c>
      <c r="F239" s="3" t="str">
        <f aca="false">Raw_Data!E239</f>
        <v>no</v>
      </c>
      <c r="G239" s="3" t="n">
        <f aca="false">Raw_Data!F239</f>
        <v>206</v>
      </c>
      <c r="H239" s="3" t="str">
        <f aca="false">Raw_Data!G239</f>
        <v>yes</v>
      </c>
      <c r="I239" s="3" t="str">
        <f aca="false">Raw_Data!H239</f>
        <v>no</v>
      </c>
      <c r="J239" s="2" t="n">
        <f aca="false">IF(F239="yes",1,0)</f>
        <v>0</v>
      </c>
      <c r="K239" s="2" t="n">
        <f aca="false">IF(H239="yes",1,0)</f>
        <v>1</v>
      </c>
      <c r="L239" s="2" t="n">
        <f aca="false">IF(I239="yes",1,0)</f>
        <v>0</v>
      </c>
      <c r="M239" s="2" t="n">
        <f aca="false">IF(G239&lt;0,1,0)</f>
        <v>0</v>
      </c>
      <c r="N239" s="2" t="str">
        <f aca="false">_xlfn.IFS(B239&lt;30,"Under 30",B239&lt;40,"30-39",B239&lt;50,"40-49",B239&lt;60,"50-59",TRUE(),"60+")</f>
        <v>50-59</v>
      </c>
      <c r="O239" s="2" t="str">
        <f aca="false">_xlfn.IFS(G239&lt;0,"1 Negative",G239=0,"2 Zero",G239&lt;=500,"3 1-500",G239&lt;=2000,"4 501-2000",TRUE(),"5 Above 2000")</f>
        <v>3 1-500</v>
      </c>
      <c r="P239" s="2" t="n">
        <f aca="false">Lookups!$B$2*M239+Lookups!$B$3*L239</f>
        <v>0</v>
      </c>
      <c r="Q239" s="2" t="str">
        <f aca="false">INDEX(Lookups!$E$2:$E$5,MATCH(P239,Lookups!$D$2:$D$5,0))</f>
        <v>Low</v>
      </c>
    </row>
    <row r="240" customFormat="false" ht="15" hidden="false" customHeight="false" outlineLevel="0" collapsed="false">
      <c r="A240" s="3" t="n">
        <v>239</v>
      </c>
      <c r="B240" s="3" t="n">
        <f aca="false">Raw_Data!A240</f>
        <v>57</v>
      </c>
      <c r="C240" s="3" t="str">
        <f aca="false">SUBSTITUTE(Raw_Data!B240,".","")</f>
        <v>housemaid</v>
      </c>
      <c r="D240" s="3" t="str">
        <f aca="false">Raw_Data!C240</f>
        <v>married</v>
      </c>
      <c r="E240" s="3" t="str">
        <f aca="false">Raw_Data!D240</f>
        <v>primary</v>
      </c>
      <c r="F240" s="3" t="str">
        <f aca="false">Raw_Data!E240</f>
        <v>no</v>
      </c>
      <c r="G240" s="3" t="n">
        <f aca="false">Raw_Data!F240</f>
        <v>7082</v>
      </c>
      <c r="H240" s="3" t="str">
        <f aca="false">Raw_Data!G240</f>
        <v>no</v>
      </c>
      <c r="I240" s="3" t="str">
        <f aca="false">Raw_Data!H240</f>
        <v>no</v>
      </c>
      <c r="J240" s="2" t="n">
        <f aca="false">IF(F240="yes",1,0)</f>
        <v>0</v>
      </c>
      <c r="K240" s="2" t="n">
        <f aca="false">IF(H240="yes",1,0)</f>
        <v>0</v>
      </c>
      <c r="L240" s="2" t="n">
        <f aca="false">IF(I240="yes",1,0)</f>
        <v>0</v>
      </c>
      <c r="M240" s="2" t="n">
        <f aca="false">IF(G240&lt;0,1,0)</f>
        <v>0</v>
      </c>
      <c r="N240" s="2" t="str">
        <f aca="false">_xlfn.IFS(B240&lt;30,"Under 30",B240&lt;40,"30-39",B240&lt;50,"40-49",B240&lt;60,"50-59",TRUE(),"60+")</f>
        <v>50-59</v>
      </c>
      <c r="O240" s="2" t="str">
        <f aca="false">_xlfn.IFS(G240&lt;0,"1 Negative",G240=0,"2 Zero",G240&lt;=500,"3 1-500",G240&lt;=2000,"4 501-2000",TRUE(),"5 Above 2000")</f>
        <v>5 Above 2000</v>
      </c>
      <c r="P240" s="2" t="n">
        <f aca="false">Lookups!$B$2*M240+Lookups!$B$3*L240</f>
        <v>0</v>
      </c>
      <c r="Q240" s="2" t="str">
        <f aca="false">INDEX(Lookups!$E$2:$E$5,MATCH(P240,Lookups!$D$2:$D$5,0))</f>
        <v>Low</v>
      </c>
    </row>
    <row r="241" customFormat="false" ht="15" hidden="false" customHeight="false" outlineLevel="0" collapsed="false">
      <c r="A241" s="3" t="n">
        <v>240</v>
      </c>
      <c r="B241" s="3" t="n">
        <f aca="false">Raw_Data!A241</f>
        <v>51</v>
      </c>
      <c r="C241" s="3" t="str">
        <f aca="false">SUBSTITUTE(Raw_Data!B241,".","")</f>
        <v>unemployed</v>
      </c>
      <c r="D241" s="3" t="str">
        <f aca="false">Raw_Data!C241</f>
        <v>married</v>
      </c>
      <c r="E241" s="3" t="str">
        <f aca="false">Raw_Data!D241</f>
        <v>tertiary</v>
      </c>
      <c r="F241" s="3" t="str">
        <f aca="false">Raw_Data!E241</f>
        <v>no</v>
      </c>
      <c r="G241" s="3" t="n">
        <f aca="false">Raw_Data!F241</f>
        <v>1634</v>
      </c>
      <c r="H241" s="3" t="str">
        <f aca="false">Raw_Data!G241</f>
        <v>yes</v>
      </c>
      <c r="I241" s="3" t="str">
        <f aca="false">Raw_Data!H241</f>
        <v>no</v>
      </c>
      <c r="J241" s="2" t="n">
        <f aca="false">IF(F241="yes",1,0)</f>
        <v>0</v>
      </c>
      <c r="K241" s="2" t="n">
        <f aca="false">IF(H241="yes",1,0)</f>
        <v>1</v>
      </c>
      <c r="L241" s="2" t="n">
        <f aca="false">IF(I241="yes",1,0)</f>
        <v>0</v>
      </c>
      <c r="M241" s="2" t="n">
        <f aca="false">IF(G241&lt;0,1,0)</f>
        <v>0</v>
      </c>
      <c r="N241" s="2" t="str">
        <f aca="false">_xlfn.IFS(B241&lt;30,"Under 30",B241&lt;40,"30-39",B241&lt;50,"40-49",B241&lt;60,"50-59",TRUE(),"60+")</f>
        <v>50-59</v>
      </c>
      <c r="O241" s="2" t="str">
        <f aca="false">_xlfn.IFS(G241&lt;0,"1 Negative",G241=0,"2 Zero",G241&lt;=500,"3 1-500",G241&lt;=2000,"4 501-2000",TRUE(),"5 Above 2000")</f>
        <v>4 501-2000</v>
      </c>
      <c r="P241" s="2" t="n">
        <f aca="false">Lookups!$B$2*M241+Lookups!$B$3*L241</f>
        <v>0</v>
      </c>
      <c r="Q241" s="2" t="str">
        <f aca="false">INDEX(Lookups!$E$2:$E$5,MATCH(P241,Lookups!$D$2:$D$5,0))</f>
        <v>Low</v>
      </c>
    </row>
    <row r="242" customFormat="false" ht="15" hidden="false" customHeight="false" outlineLevel="0" collapsed="false">
      <c r="A242" s="3" t="n">
        <v>241</v>
      </c>
      <c r="B242" s="3" t="n">
        <f aca="false">Raw_Data!A242</f>
        <v>34</v>
      </c>
      <c r="C242" s="3" t="str">
        <f aca="false">SUBSTITUTE(Raw_Data!B242,".","")</f>
        <v>admin</v>
      </c>
      <c r="D242" s="3" t="str">
        <f aca="false">Raw_Data!C242</f>
        <v>single</v>
      </c>
      <c r="E242" s="3" t="str">
        <f aca="false">Raw_Data!D242</f>
        <v>secondary</v>
      </c>
      <c r="F242" s="3" t="str">
        <f aca="false">Raw_Data!E242</f>
        <v>no</v>
      </c>
      <c r="G242" s="3" t="n">
        <f aca="false">Raw_Data!F242</f>
        <v>1</v>
      </c>
      <c r="H242" s="3" t="str">
        <f aca="false">Raw_Data!G242</f>
        <v>yes</v>
      </c>
      <c r="I242" s="3" t="str">
        <f aca="false">Raw_Data!H242</f>
        <v>no</v>
      </c>
      <c r="J242" s="2" t="n">
        <f aca="false">IF(F242="yes",1,0)</f>
        <v>0</v>
      </c>
      <c r="K242" s="2" t="n">
        <f aca="false">IF(H242="yes",1,0)</f>
        <v>1</v>
      </c>
      <c r="L242" s="2" t="n">
        <f aca="false">IF(I242="yes",1,0)</f>
        <v>0</v>
      </c>
      <c r="M242" s="2" t="n">
        <f aca="false">IF(G242&lt;0,1,0)</f>
        <v>0</v>
      </c>
      <c r="N242" s="2" t="str">
        <f aca="false">_xlfn.IFS(B242&lt;30,"Under 30",B242&lt;40,"30-39",B242&lt;50,"40-49",B242&lt;60,"50-59",TRUE(),"60+")</f>
        <v>30-39</v>
      </c>
      <c r="O242" s="2" t="str">
        <f aca="false">_xlfn.IFS(G242&lt;0,"1 Negative",G242=0,"2 Zero",G242&lt;=500,"3 1-500",G242&lt;=2000,"4 501-2000",TRUE(),"5 Above 2000")</f>
        <v>3 1-500</v>
      </c>
      <c r="P242" s="2" t="n">
        <f aca="false">Lookups!$B$2*M242+Lookups!$B$3*L242</f>
        <v>0</v>
      </c>
      <c r="Q242" s="2" t="str">
        <f aca="false">INDEX(Lookups!$E$2:$E$5,MATCH(P242,Lookups!$D$2:$D$5,0))</f>
        <v>Low</v>
      </c>
    </row>
    <row r="243" customFormat="false" ht="15" hidden="false" customHeight="false" outlineLevel="0" collapsed="false">
      <c r="A243" s="3" t="n">
        <v>242</v>
      </c>
      <c r="B243" s="3" t="n">
        <f aca="false">Raw_Data!A243</f>
        <v>50</v>
      </c>
      <c r="C243" s="3" t="str">
        <f aca="false">SUBSTITUTE(Raw_Data!B243,".","")</f>
        <v>self-employed</v>
      </c>
      <c r="D243" s="3" t="str">
        <f aca="false">Raw_Data!C243</f>
        <v>married</v>
      </c>
      <c r="E243" s="3" t="str">
        <f aca="false">Raw_Data!D243</f>
        <v>tertiary</v>
      </c>
      <c r="F243" s="3" t="str">
        <f aca="false">Raw_Data!E243</f>
        <v>no</v>
      </c>
      <c r="G243" s="3" t="n">
        <f aca="false">Raw_Data!F243</f>
        <v>4012</v>
      </c>
      <c r="H243" s="3" t="str">
        <f aca="false">Raw_Data!G243</f>
        <v>no</v>
      </c>
      <c r="I243" s="3" t="str">
        <f aca="false">Raw_Data!H243</f>
        <v>no</v>
      </c>
      <c r="J243" s="2" t="n">
        <f aca="false">IF(F243="yes",1,0)</f>
        <v>0</v>
      </c>
      <c r="K243" s="2" t="n">
        <f aca="false">IF(H243="yes",1,0)</f>
        <v>0</v>
      </c>
      <c r="L243" s="2" t="n">
        <f aca="false">IF(I243="yes",1,0)</f>
        <v>0</v>
      </c>
      <c r="M243" s="2" t="n">
        <f aca="false">IF(G243&lt;0,1,0)</f>
        <v>0</v>
      </c>
      <c r="N243" s="2" t="str">
        <f aca="false">_xlfn.IFS(B243&lt;30,"Under 30",B243&lt;40,"30-39",B243&lt;50,"40-49",B243&lt;60,"50-59",TRUE(),"60+")</f>
        <v>50-59</v>
      </c>
      <c r="O243" s="2" t="str">
        <f aca="false">_xlfn.IFS(G243&lt;0,"1 Negative",G243=0,"2 Zero",G243&lt;=500,"3 1-500",G243&lt;=2000,"4 501-2000",TRUE(),"5 Above 2000")</f>
        <v>5 Above 2000</v>
      </c>
      <c r="P243" s="2" t="n">
        <f aca="false">Lookups!$B$2*M243+Lookups!$B$3*L243</f>
        <v>0</v>
      </c>
      <c r="Q243" s="2" t="str">
        <f aca="false">INDEX(Lookups!$E$2:$E$5,MATCH(P243,Lookups!$D$2:$D$5,0))</f>
        <v>Low</v>
      </c>
    </row>
    <row r="244" customFormat="false" ht="15" hidden="false" customHeight="false" outlineLevel="0" collapsed="false">
      <c r="A244" s="3" t="n">
        <v>243</v>
      </c>
      <c r="B244" s="3" t="n">
        <f aca="false">Raw_Data!A244</f>
        <v>44</v>
      </c>
      <c r="C244" s="3" t="str">
        <f aca="false">SUBSTITUTE(Raw_Data!B244,".","")</f>
        <v>management</v>
      </c>
      <c r="D244" s="3" t="str">
        <f aca="false">Raw_Data!C244</f>
        <v>married</v>
      </c>
      <c r="E244" s="3" t="str">
        <f aca="false">Raw_Data!D244</f>
        <v>tertiary</v>
      </c>
      <c r="F244" s="3" t="str">
        <f aca="false">Raw_Data!E244</f>
        <v>no</v>
      </c>
      <c r="G244" s="3" t="n">
        <f aca="false">Raw_Data!F244</f>
        <v>3762</v>
      </c>
      <c r="H244" s="3" t="str">
        <f aca="false">Raw_Data!G244</f>
        <v>no</v>
      </c>
      <c r="I244" s="3" t="str">
        <f aca="false">Raw_Data!H244</f>
        <v>no</v>
      </c>
      <c r="J244" s="2" t="n">
        <f aca="false">IF(F244="yes",1,0)</f>
        <v>0</v>
      </c>
      <c r="K244" s="2" t="n">
        <f aca="false">IF(H244="yes",1,0)</f>
        <v>0</v>
      </c>
      <c r="L244" s="2" t="n">
        <f aca="false">IF(I244="yes",1,0)</f>
        <v>0</v>
      </c>
      <c r="M244" s="2" t="n">
        <f aca="false">IF(G244&lt;0,1,0)</f>
        <v>0</v>
      </c>
      <c r="N244" s="2" t="str">
        <f aca="false">_xlfn.IFS(B244&lt;30,"Under 30",B244&lt;40,"30-39",B244&lt;50,"40-49",B244&lt;60,"50-59",TRUE(),"60+")</f>
        <v>40-49</v>
      </c>
      <c r="O244" s="2" t="str">
        <f aca="false">_xlfn.IFS(G244&lt;0,"1 Negative",G244=0,"2 Zero",G244&lt;=500,"3 1-500",G244&lt;=2000,"4 501-2000",TRUE(),"5 Above 2000")</f>
        <v>5 Above 2000</v>
      </c>
      <c r="P244" s="2" t="n">
        <f aca="false">Lookups!$B$2*M244+Lookups!$B$3*L244</f>
        <v>0</v>
      </c>
      <c r="Q244" s="2" t="str">
        <f aca="false">INDEX(Lookups!$E$2:$E$5,MATCH(P244,Lookups!$D$2:$D$5,0))</f>
        <v>Low</v>
      </c>
    </row>
    <row r="245" customFormat="false" ht="15" hidden="false" customHeight="false" outlineLevel="0" collapsed="false">
      <c r="A245" s="3" t="n">
        <v>244</v>
      </c>
      <c r="B245" s="3" t="n">
        <f aca="false">Raw_Data!A245</f>
        <v>27</v>
      </c>
      <c r="C245" s="3" t="str">
        <f aca="false">SUBSTITUTE(Raw_Data!B245,".","")</f>
        <v>admin</v>
      </c>
      <c r="D245" s="3" t="str">
        <f aca="false">Raw_Data!C245</f>
        <v>married</v>
      </c>
      <c r="E245" s="3" t="str">
        <f aca="false">Raw_Data!D245</f>
        <v>secondary</v>
      </c>
      <c r="F245" s="3" t="str">
        <f aca="false">Raw_Data!E245</f>
        <v>no</v>
      </c>
      <c r="G245" s="3" t="n">
        <f aca="false">Raw_Data!F245</f>
        <v>-247</v>
      </c>
      <c r="H245" s="3" t="str">
        <f aca="false">Raw_Data!G245</f>
        <v>yes</v>
      </c>
      <c r="I245" s="3" t="str">
        <f aca="false">Raw_Data!H245</f>
        <v>yes</v>
      </c>
      <c r="J245" s="2" t="n">
        <f aca="false">IF(F245="yes",1,0)</f>
        <v>0</v>
      </c>
      <c r="K245" s="2" t="n">
        <f aca="false">IF(H245="yes",1,0)</f>
        <v>1</v>
      </c>
      <c r="L245" s="2" t="n">
        <f aca="false">IF(I245="yes",1,0)</f>
        <v>1</v>
      </c>
      <c r="M245" s="2" t="n">
        <f aca="false">IF(G245&lt;0,1,0)</f>
        <v>1</v>
      </c>
      <c r="N245" s="2" t="str">
        <f aca="false">_xlfn.IFS(B245&lt;30,"Under 30",B245&lt;40,"30-39",B245&lt;50,"40-49",B245&lt;60,"50-59",TRUE(),"60+")</f>
        <v>Under 30</v>
      </c>
      <c r="O245" s="2" t="str">
        <f aca="false">_xlfn.IFS(G245&lt;0,"1 Negative",G245=0,"2 Zero",G245&lt;=500,"3 1-500",G245&lt;=2000,"4 501-2000",TRUE(),"5 Above 2000")</f>
        <v>1 Negative</v>
      </c>
      <c r="P245" s="2" t="n">
        <f aca="false">Lookups!$B$2*M245+Lookups!$B$3*L245</f>
        <v>3</v>
      </c>
      <c r="Q245" s="2" t="str">
        <f aca="false">INDEX(Lookups!$E$2:$E$5,MATCH(P245,Lookups!$D$2:$D$5,0))</f>
        <v>High</v>
      </c>
    </row>
    <row r="246" customFormat="false" ht="15" hidden="false" customHeight="false" outlineLevel="0" collapsed="false">
      <c r="A246" s="3" t="n">
        <v>245</v>
      </c>
      <c r="B246" s="3" t="n">
        <f aca="false">Raw_Data!A246</f>
        <v>50</v>
      </c>
      <c r="C246" s="3" t="str">
        <f aca="false">SUBSTITUTE(Raw_Data!B246,".","")</f>
        <v>blue-collar</v>
      </c>
      <c r="D246" s="3" t="str">
        <f aca="false">Raw_Data!C246</f>
        <v>married</v>
      </c>
      <c r="E246" s="3" t="str">
        <f aca="false">Raw_Data!D246</f>
        <v>secondary</v>
      </c>
      <c r="F246" s="3" t="str">
        <f aca="false">Raw_Data!E246</f>
        <v>no</v>
      </c>
      <c r="G246" s="3" t="n">
        <f aca="false">Raw_Data!F246</f>
        <v>606</v>
      </c>
      <c r="H246" s="3" t="str">
        <f aca="false">Raw_Data!G246</f>
        <v>yes</v>
      </c>
      <c r="I246" s="3" t="str">
        <f aca="false">Raw_Data!H246</f>
        <v>no</v>
      </c>
      <c r="J246" s="2" t="n">
        <f aca="false">IF(F246="yes",1,0)</f>
        <v>0</v>
      </c>
      <c r="K246" s="2" t="n">
        <f aca="false">IF(H246="yes",1,0)</f>
        <v>1</v>
      </c>
      <c r="L246" s="2" t="n">
        <f aca="false">IF(I246="yes",1,0)</f>
        <v>0</v>
      </c>
      <c r="M246" s="2" t="n">
        <f aca="false">IF(G246&lt;0,1,0)</f>
        <v>0</v>
      </c>
      <c r="N246" s="2" t="str">
        <f aca="false">_xlfn.IFS(B246&lt;30,"Under 30",B246&lt;40,"30-39",B246&lt;50,"40-49",B246&lt;60,"50-59",TRUE(),"60+")</f>
        <v>50-59</v>
      </c>
      <c r="O246" s="2" t="str">
        <f aca="false">_xlfn.IFS(G246&lt;0,"1 Negative",G246=0,"2 Zero",G246&lt;=500,"3 1-500",G246&lt;=2000,"4 501-2000",TRUE(),"5 Above 2000")</f>
        <v>4 501-2000</v>
      </c>
      <c r="P246" s="2" t="n">
        <f aca="false">Lookups!$B$2*M246+Lookups!$B$3*L246</f>
        <v>0</v>
      </c>
      <c r="Q246" s="2" t="str">
        <f aca="false">INDEX(Lookups!$E$2:$E$5,MATCH(P246,Lookups!$D$2:$D$5,0))</f>
        <v>Low</v>
      </c>
    </row>
    <row r="247" customFormat="false" ht="15" hidden="false" customHeight="false" outlineLevel="0" collapsed="false">
      <c r="A247" s="3" t="n">
        <v>246</v>
      </c>
      <c r="B247" s="3" t="n">
        <f aca="false">Raw_Data!A247</f>
        <v>36</v>
      </c>
      <c r="C247" s="3" t="str">
        <f aca="false">SUBSTITUTE(Raw_Data!B247,".","")</f>
        <v>management</v>
      </c>
      <c r="D247" s="3" t="str">
        <f aca="false">Raw_Data!C247</f>
        <v>married</v>
      </c>
      <c r="E247" s="3" t="str">
        <f aca="false">Raw_Data!D247</f>
        <v>tertiary</v>
      </c>
      <c r="F247" s="3" t="str">
        <f aca="false">Raw_Data!E247</f>
        <v>no</v>
      </c>
      <c r="G247" s="3" t="n">
        <f aca="false">Raw_Data!F247</f>
        <v>0</v>
      </c>
      <c r="H247" s="3" t="str">
        <f aca="false">Raw_Data!G247</f>
        <v>yes</v>
      </c>
      <c r="I247" s="3" t="str">
        <f aca="false">Raw_Data!H247</f>
        <v>no</v>
      </c>
      <c r="J247" s="2" t="n">
        <f aca="false">IF(F247="yes",1,0)</f>
        <v>0</v>
      </c>
      <c r="K247" s="2" t="n">
        <f aca="false">IF(H247="yes",1,0)</f>
        <v>1</v>
      </c>
      <c r="L247" s="2" t="n">
        <f aca="false">IF(I247="yes",1,0)</f>
        <v>0</v>
      </c>
      <c r="M247" s="2" t="n">
        <f aca="false">IF(G247&lt;0,1,0)</f>
        <v>0</v>
      </c>
      <c r="N247" s="2" t="str">
        <f aca="false">_xlfn.IFS(B247&lt;30,"Under 30",B247&lt;40,"30-39",B247&lt;50,"40-49",B247&lt;60,"50-59",TRUE(),"60+")</f>
        <v>30-39</v>
      </c>
      <c r="O247" s="2" t="str">
        <f aca="false">_xlfn.IFS(G247&lt;0,"1 Negative",G247=0,"2 Zero",G247&lt;=500,"3 1-500",G247&lt;=2000,"4 501-2000",TRUE(),"5 Above 2000")</f>
        <v>2 Zero</v>
      </c>
      <c r="P247" s="2" t="n">
        <f aca="false">Lookups!$B$2*M247+Lookups!$B$3*L247</f>
        <v>0</v>
      </c>
      <c r="Q247" s="2" t="str">
        <f aca="false">INDEX(Lookups!$E$2:$E$5,MATCH(P247,Lookups!$D$2:$D$5,0))</f>
        <v>Low</v>
      </c>
    </row>
    <row r="248" customFormat="false" ht="15" hidden="false" customHeight="false" outlineLevel="0" collapsed="false">
      <c r="A248" s="3" t="n">
        <v>247</v>
      </c>
      <c r="B248" s="3" t="n">
        <f aca="false">Raw_Data!A248</f>
        <v>42</v>
      </c>
      <c r="C248" s="3" t="str">
        <f aca="false">SUBSTITUTE(Raw_Data!B248,".","")</f>
        <v>management</v>
      </c>
      <c r="D248" s="3" t="str">
        <f aca="false">Raw_Data!C248</f>
        <v>married</v>
      </c>
      <c r="E248" s="3" t="str">
        <f aca="false">Raw_Data!D248</f>
        <v>secondary</v>
      </c>
      <c r="F248" s="3" t="str">
        <f aca="false">Raw_Data!E248</f>
        <v>no</v>
      </c>
      <c r="G248" s="3" t="n">
        <f aca="false">Raw_Data!F248</f>
        <v>-189</v>
      </c>
      <c r="H248" s="3" t="str">
        <f aca="false">Raw_Data!G248</f>
        <v>yes</v>
      </c>
      <c r="I248" s="3" t="str">
        <f aca="false">Raw_Data!H248</f>
        <v>no</v>
      </c>
      <c r="J248" s="2" t="n">
        <f aca="false">IF(F248="yes",1,0)</f>
        <v>0</v>
      </c>
      <c r="K248" s="2" t="n">
        <f aca="false">IF(H248="yes",1,0)</f>
        <v>1</v>
      </c>
      <c r="L248" s="2" t="n">
        <f aca="false">IF(I248="yes",1,0)</f>
        <v>0</v>
      </c>
      <c r="M248" s="2" t="n">
        <f aca="false">IF(G248&lt;0,1,0)</f>
        <v>1</v>
      </c>
      <c r="N248" s="2" t="str">
        <f aca="false">_xlfn.IFS(B248&lt;30,"Under 30",B248&lt;40,"30-39",B248&lt;50,"40-49",B248&lt;60,"50-59",TRUE(),"60+")</f>
        <v>40-49</v>
      </c>
      <c r="O248" s="2" t="str">
        <f aca="false">_xlfn.IFS(G248&lt;0,"1 Negative",G248=0,"2 Zero",G248&lt;=500,"3 1-500",G248&lt;=2000,"4 501-2000",TRUE(),"5 Above 2000")</f>
        <v>1 Negative</v>
      </c>
      <c r="P248" s="2" t="n">
        <f aca="false">Lookups!$B$2*M248+Lookups!$B$3*L248</f>
        <v>2</v>
      </c>
      <c r="Q248" s="2" t="str">
        <f aca="false">INDEX(Lookups!$E$2:$E$5,MATCH(P248,Lookups!$D$2:$D$5,0))</f>
        <v>High</v>
      </c>
    </row>
    <row r="249" customFormat="false" ht="15" hidden="false" customHeight="false" outlineLevel="0" collapsed="false">
      <c r="A249" s="3" t="n">
        <v>248</v>
      </c>
      <c r="B249" s="3" t="n">
        <f aca="false">Raw_Data!A249</f>
        <v>32</v>
      </c>
      <c r="C249" s="3" t="str">
        <f aca="false">SUBSTITUTE(Raw_Data!B249,".","")</f>
        <v>unemployed</v>
      </c>
      <c r="D249" s="3" t="str">
        <f aca="false">Raw_Data!C249</f>
        <v>single</v>
      </c>
      <c r="E249" s="3" t="str">
        <f aca="false">Raw_Data!D249</f>
        <v>secondary</v>
      </c>
      <c r="F249" s="3" t="str">
        <f aca="false">Raw_Data!E249</f>
        <v>no</v>
      </c>
      <c r="G249" s="3" t="n">
        <f aca="false">Raw_Data!F249</f>
        <v>0</v>
      </c>
      <c r="H249" s="3" t="str">
        <f aca="false">Raw_Data!G249</f>
        <v>no</v>
      </c>
      <c r="I249" s="3" t="str">
        <f aca="false">Raw_Data!H249</f>
        <v>no</v>
      </c>
      <c r="J249" s="2" t="n">
        <f aca="false">IF(F249="yes",1,0)</f>
        <v>0</v>
      </c>
      <c r="K249" s="2" t="n">
        <f aca="false">IF(H249="yes",1,0)</f>
        <v>0</v>
      </c>
      <c r="L249" s="2" t="n">
        <f aca="false">IF(I249="yes",1,0)</f>
        <v>0</v>
      </c>
      <c r="M249" s="2" t="n">
        <f aca="false">IF(G249&lt;0,1,0)</f>
        <v>0</v>
      </c>
      <c r="N249" s="2" t="str">
        <f aca="false">_xlfn.IFS(B249&lt;30,"Under 30",B249&lt;40,"30-39",B249&lt;50,"40-49",B249&lt;60,"50-59",TRUE(),"60+")</f>
        <v>30-39</v>
      </c>
      <c r="O249" s="2" t="str">
        <f aca="false">_xlfn.IFS(G249&lt;0,"1 Negative",G249=0,"2 Zero",G249&lt;=500,"3 1-500",G249&lt;=2000,"4 501-2000",TRUE(),"5 Above 2000")</f>
        <v>2 Zero</v>
      </c>
      <c r="P249" s="2" t="n">
        <f aca="false">Lookups!$B$2*M249+Lookups!$B$3*L249</f>
        <v>0</v>
      </c>
      <c r="Q249" s="2" t="str">
        <f aca="false">INDEX(Lookups!$E$2:$E$5,MATCH(P249,Lookups!$D$2:$D$5,0))</f>
        <v>Low</v>
      </c>
    </row>
    <row r="250" customFormat="false" ht="15" hidden="false" customHeight="false" outlineLevel="0" collapsed="false">
      <c r="A250" s="3" t="n">
        <v>249</v>
      </c>
      <c r="B250" s="3" t="n">
        <f aca="false">Raw_Data!A250</f>
        <v>42</v>
      </c>
      <c r="C250" s="3" t="str">
        <f aca="false">SUBSTITUTE(Raw_Data!B250,".","")</f>
        <v>management</v>
      </c>
      <c r="D250" s="3" t="str">
        <f aca="false">Raw_Data!C250</f>
        <v>married</v>
      </c>
      <c r="E250" s="3" t="str">
        <f aca="false">Raw_Data!D250</f>
        <v>tertiary</v>
      </c>
      <c r="F250" s="3" t="str">
        <f aca="false">Raw_Data!E250</f>
        <v>no</v>
      </c>
      <c r="G250" s="3" t="n">
        <f aca="false">Raw_Data!F250</f>
        <v>484</v>
      </c>
      <c r="H250" s="3" t="str">
        <f aca="false">Raw_Data!G250</f>
        <v>yes</v>
      </c>
      <c r="I250" s="3" t="str">
        <f aca="false">Raw_Data!H250</f>
        <v>no</v>
      </c>
      <c r="J250" s="2" t="n">
        <f aca="false">IF(F250="yes",1,0)</f>
        <v>0</v>
      </c>
      <c r="K250" s="2" t="n">
        <f aca="false">IF(H250="yes",1,0)</f>
        <v>1</v>
      </c>
      <c r="L250" s="2" t="n">
        <f aca="false">IF(I250="yes",1,0)</f>
        <v>0</v>
      </c>
      <c r="M250" s="2" t="n">
        <f aca="false">IF(G250&lt;0,1,0)</f>
        <v>0</v>
      </c>
      <c r="N250" s="2" t="str">
        <f aca="false">_xlfn.IFS(B250&lt;30,"Under 30",B250&lt;40,"30-39",B250&lt;50,"40-49",B250&lt;60,"50-59",TRUE(),"60+")</f>
        <v>40-49</v>
      </c>
      <c r="O250" s="2" t="str">
        <f aca="false">_xlfn.IFS(G250&lt;0,"1 Negative",G250=0,"2 Zero",G250&lt;=500,"3 1-500",G250&lt;=2000,"4 501-2000",TRUE(),"5 Above 2000")</f>
        <v>3 1-500</v>
      </c>
      <c r="P250" s="2" t="n">
        <f aca="false">Lookups!$B$2*M250+Lookups!$B$3*L250</f>
        <v>0</v>
      </c>
      <c r="Q250" s="2" t="str">
        <f aca="false">INDEX(Lookups!$E$2:$E$5,MATCH(P250,Lookups!$D$2:$D$5,0))</f>
        <v>Low</v>
      </c>
    </row>
    <row r="251" customFormat="false" ht="15" hidden="false" customHeight="false" outlineLevel="0" collapsed="false">
      <c r="A251" s="3" t="n">
        <v>250</v>
      </c>
      <c r="B251" s="3" t="n">
        <f aca="false">Raw_Data!A251</f>
        <v>43</v>
      </c>
      <c r="C251" s="3" t="str">
        <f aca="false">SUBSTITUTE(Raw_Data!B251,".","")</f>
        <v>technician</v>
      </c>
      <c r="D251" s="3" t="str">
        <f aca="false">Raw_Data!C251</f>
        <v>married</v>
      </c>
      <c r="E251" s="3" t="str">
        <f aca="false">Raw_Data!D251</f>
        <v>secondary</v>
      </c>
      <c r="F251" s="3" t="str">
        <f aca="false">Raw_Data!E251</f>
        <v>no</v>
      </c>
      <c r="G251" s="3" t="n">
        <f aca="false">Raw_Data!F251</f>
        <v>0</v>
      </c>
      <c r="H251" s="3" t="str">
        <f aca="false">Raw_Data!G251</f>
        <v>no</v>
      </c>
      <c r="I251" s="3" t="str">
        <f aca="false">Raw_Data!H251</f>
        <v>yes</v>
      </c>
      <c r="J251" s="2" t="n">
        <f aca="false">IF(F251="yes",1,0)</f>
        <v>0</v>
      </c>
      <c r="K251" s="2" t="n">
        <f aca="false">IF(H251="yes",1,0)</f>
        <v>0</v>
      </c>
      <c r="L251" s="2" t="n">
        <f aca="false">IF(I251="yes",1,0)</f>
        <v>1</v>
      </c>
      <c r="M251" s="2" t="n">
        <f aca="false">IF(G251&lt;0,1,0)</f>
        <v>0</v>
      </c>
      <c r="N251" s="2" t="str">
        <f aca="false">_xlfn.IFS(B251&lt;30,"Under 30",B251&lt;40,"30-39",B251&lt;50,"40-49",B251&lt;60,"50-59",TRUE(),"60+")</f>
        <v>40-49</v>
      </c>
      <c r="O251" s="2" t="str">
        <f aca="false">_xlfn.IFS(G251&lt;0,"1 Negative",G251=0,"2 Zero",G251&lt;=500,"3 1-500",G251&lt;=2000,"4 501-2000",TRUE(),"5 Above 2000")</f>
        <v>2 Zero</v>
      </c>
      <c r="P251" s="2" t="n">
        <f aca="false">Lookups!$B$2*M251+Lookups!$B$3*L251</f>
        <v>1</v>
      </c>
      <c r="Q251" s="2" t="str">
        <f aca="false">INDEX(Lookups!$E$2:$E$5,MATCH(P251,Lookups!$D$2:$D$5,0))</f>
        <v>Medium</v>
      </c>
    </row>
    <row r="252" customFormat="false" ht="15" hidden="false" customHeight="false" outlineLevel="0" collapsed="false">
      <c r="A252" s="3" t="n">
        <v>251</v>
      </c>
      <c r="B252" s="3" t="n">
        <f aca="false">Raw_Data!A252</f>
        <v>31</v>
      </c>
      <c r="C252" s="3" t="str">
        <f aca="false">SUBSTITUTE(Raw_Data!B252,".","")</f>
        <v>management</v>
      </c>
      <c r="D252" s="3" t="str">
        <f aca="false">Raw_Data!C252</f>
        <v>married</v>
      </c>
      <c r="E252" s="3" t="str">
        <f aca="false">Raw_Data!D252</f>
        <v>tertiary</v>
      </c>
      <c r="F252" s="3" t="str">
        <f aca="false">Raw_Data!E252</f>
        <v>no</v>
      </c>
      <c r="G252" s="3" t="n">
        <f aca="false">Raw_Data!F252</f>
        <v>395</v>
      </c>
      <c r="H252" s="3" t="str">
        <f aca="false">Raw_Data!G252</f>
        <v>yes</v>
      </c>
      <c r="I252" s="3" t="str">
        <f aca="false">Raw_Data!H252</f>
        <v>no</v>
      </c>
      <c r="J252" s="2" t="n">
        <f aca="false">IF(F252="yes",1,0)</f>
        <v>0</v>
      </c>
      <c r="K252" s="2" t="n">
        <f aca="false">IF(H252="yes",1,0)</f>
        <v>1</v>
      </c>
      <c r="L252" s="2" t="n">
        <f aca="false">IF(I252="yes",1,0)</f>
        <v>0</v>
      </c>
      <c r="M252" s="2" t="n">
        <f aca="false">IF(G252&lt;0,1,0)</f>
        <v>0</v>
      </c>
      <c r="N252" s="2" t="str">
        <f aca="false">_xlfn.IFS(B252&lt;30,"Under 30",B252&lt;40,"30-39",B252&lt;50,"40-49",B252&lt;60,"50-59",TRUE(),"60+")</f>
        <v>30-39</v>
      </c>
      <c r="O252" s="2" t="str">
        <f aca="false">_xlfn.IFS(G252&lt;0,"1 Negative",G252=0,"2 Zero",G252&lt;=500,"3 1-500",G252&lt;=2000,"4 501-2000",TRUE(),"5 Above 2000")</f>
        <v>3 1-500</v>
      </c>
      <c r="P252" s="2" t="n">
        <f aca="false">Lookups!$B$2*M252+Lookups!$B$3*L252</f>
        <v>0</v>
      </c>
      <c r="Q252" s="2" t="str">
        <f aca="false">INDEX(Lookups!$E$2:$E$5,MATCH(P252,Lookups!$D$2:$D$5,0))</f>
        <v>Low</v>
      </c>
    </row>
    <row r="253" customFormat="false" ht="15" hidden="false" customHeight="false" outlineLevel="0" collapsed="false">
      <c r="A253" s="3" t="n">
        <v>252</v>
      </c>
      <c r="B253" s="3" t="n">
        <f aca="false">Raw_Data!A253</f>
        <v>32</v>
      </c>
      <c r="C253" s="3" t="str">
        <f aca="false">SUBSTITUTE(Raw_Data!B253,".","")</f>
        <v>management</v>
      </c>
      <c r="D253" s="3" t="str">
        <f aca="false">Raw_Data!C253</f>
        <v>married</v>
      </c>
      <c r="E253" s="3" t="str">
        <f aca="false">Raw_Data!D253</f>
        <v>tertiary</v>
      </c>
      <c r="F253" s="3" t="str">
        <f aca="false">Raw_Data!E253</f>
        <v>no</v>
      </c>
      <c r="G253" s="3" t="n">
        <f aca="false">Raw_Data!F253</f>
        <v>2349</v>
      </c>
      <c r="H253" s="3" t="str">
        <f aca="false">Raw_Data!G253</f>
        <v>no</v>
      </c>
      <c r="I253" s="3" t="str">
        <f aca="false">Raw_Data!H253</f>
        <v>no</v>
      </c>
      <c r="J253" s="2" t="n">
        <f aca="false">IF(F253="yes",1,0)</f>
        <v>0</v>
      </c>
      <c r="K253" s="2" t="n">
        <f aca="false">IF(H253="yes",1,0)</f>
        <v>0</v>
      </c>
      <c r="L253" s="2" t="n">
        <f aca="false">IF(I253="yes",1,0)</f>
        <v>0</v>
      </c>
      <c r="M253" s="2" t="n">
        <f aca="false">IF(G253&lt;0,1,0)</f>
        <v>0</v>
      </c>
      <c r="N253" s="2" t="str">
        <f aca="false">_xlfn.IFS(B253&lt;30,"Under 30",B253&lt;40,"30-39",B253&lt;50,"40-49",B253&lt;60,"50-59",TRUE(),"60+")</f>
        <v>30-39</v>
      </c>
      <c r="O253" s="2" t="str">
        <f aca="false">_xlfn.IFS(G253&lt;0,"1 Negative",G253=0,"2 Zero",G253&lt;=500,"3 1-500",G253&lt;=2000,"4 501-2000",TRUE(),"5 Above 2000")</f>
        <v>5 Above 2000</v>
      </c>
      <c r="P253" s="2" t="n">
        <f aca="false">Lookups!$B$2*M253+Lookups!$B$3*L253</f>
        <v>0</v>
      </c>
      <c r="Q253" s="2" t="str">
        <f aca="false">INDEX(Lookups!$E$2:$E$5,MATCH(P253,Lookups!$D$2:$D$5,0))</f>
        <v>Low</v>
      </c>
    </row>
    <row r="254" customFormat="false" ht="15" hidden="false" customHeight="false" outlineLevel="0" collapsed="false">
      <c r="A254" s="3" t="n">
        <v>253</v>
      </c>
      <c r="B254" s="3" t="n">
        <f aca="false">Raw_Data!A254</f>
        <v>55</v>
      </c>
      <c r="C254" s="3" t="str">
        <f aca="false">SUBSTITUTE(Raw_Data!B254,".","")</f>
        <v>blue-collar</v>
      </c>
      <c r="D254" s="3" t="str">
        <f aca="false">Raw_Data!C254</f>
        <v>divorced</v>
      </c>
      <c r="E254" s="3" t="str">
        <f aca="false">Raw_Data!D254</f>
        <v>primary</v>
      </c>
      <c r="F254" s="3" t="str">
        <f aca="false">Raw_Data!E254</f>
        <v>no</v>
      </c>
      <c r="G254" s="3" t="n">
        <f aca="false">Raw_Data!F254</f>
        <v>410</v>
      </c>
      <c r="H254" s="3" t="str">
        <f aca="false">Raw_Data!G254</f>
        <v>no</v>
      </c>
      <c r="I254" s="3" t="str">
        <f aca="false">Raw_Data!H254</f>
        <v>yes</v>
      </c>
      <c r="J254" s="2" t="n">
        <f aca="false">IF(F254="yes",1,0)</f>
        <v>0</v>
      </c>
      <c r="K254" s="2" t="n">
        <f aca="false">IF(H254="yes",1,0)</f>
        <v>0</v>
      </c>
      <c r="L254" s="2" t="n">
        <f aca="false">IF(I254="yes",1,0)</f>
        <v>1</v>
      </c>
      <c r="M254" s="2" t="n">
        <f aca="false">IF(G254&lt;0,1,0)</f>
        <v>0</v>
      </c>
      <c r="N254" s="2" t="str">
        <f aca="false">_xlfn.IFS(B254&lt;30,"Under 30",B254&lt;40,"30-39",B254&lt;50,"40-49",B254&lt;60,"50-59",TRUE(),"60+")</f>
        <v>50-59</v>
      </c>
      <c r="O254" s="2" t="str">
        <f aca="false">_xlfn.IFS(G254&lt;0,"1 Negative",G254=0,"2 Zero",G254&lt;=500,"3 1-500",G254&lt;=2000,"4 501-2000",TRUE(),"5 Above 2000")</f>
        <v>3 1-500</v>
      </c>
      <c r="P254" s="2" t="n">
        <f aca="false">Lookups!$B$2*M254+Lookups!$B$3*L254</f>
        <v>1</v>
      </c>
      <c r="Q254" s="2" t="str">
        <f aca="false">INDEX(Lookups!$E$2:$E$5,MATCH(P254,Lookups!$D$2:$D$5,0))</f>
        <v>Medium</v>
      </c>
    </row>
    <row r="255" customFormat="false" ht="15" hidden="false" customHeight="false" outlineLevel="0" collapsed="false">
      <c r="A255" s="3" t="n">
        <v>254</v>
      </c>
      <c r="B255" s="3" t="n">
        <f aca="false">Raw_Data!A255</f>
        <v>58</v>
      </c>
      <c r="C255" s="3" t="str">
        <f aca="false">SUBSTITUTE(Raw_Data!B255,".","")</f>
        <v>retired</v>
      </c>
      <c r="D255" s="3" t="str">
        <f aca="false">Raw_Data!C255</f>
        <v>married</v>
      </c>
      <c r="E255" s="3" t="str">
        <f aca="false">Raw_Data!D255</f>
        <v>primary</v>
      </c>
      <c r="F255" s="3" t="str">
        <f aca="false">Raw_Data!E255</f>
        <v>no</v>
      </c>
      <c r="G255" s="3" t="n">
        <f aca="false">Raw_Data!F255</f>
        <v>3401</v>
      </c>
      <c r="H255" s="3" t="str">
        <f aca="false">Raw_Data!G255</f>
        <v>yes</v>
      </c>
      <c r="I255" s="3" t="str">
        <f aca="false">Raw_Data!H255</f>
        <v>no</v>
      </c>
      <c r="J255" s="2" t="n">
        <f aca="false">IF(F255="yes",1,0)</f>
        <v>0</v>
      </c>
      <c r="K255" s="2" t="n">
        <f aca="false">IF(H255="yes",1,0)</f>
        <v>1</v>
      </c>
      <c r="L255" s="2" t="n">
        <f aca="false">IF(I255="yes",1,0)</f>
        <v>0</v>
      </c>
      <c r="M255" s="2" t="n">
        <f aca="false">IF(G255&lt;0,1,0)</f>
        <v>0</v>
      </c>
      <c r="N255" s="2" t="str">
        <f aca="false">_xlfn.IFS(B255&lt;30,"Under 30",B255&lt;40,"30-39",B255&lt;50,"40-49",B255&lt;60,"50-59",TRUE(),"60+")</f>
        <v>50-59</v>
      </c>
      <c r="O255" s="2" t="str">
        <f aca="false">_xlfn.IFS(G255&lt;0,"1 Negative",G255=0,"2 Zero",G255&lt;=500,"3 1-500",G255&lt;=2000,"4 501-2000",TRUE(),"5 Above 2000")</f>
        <v>5 Above 2000</v>
      </c>
      <c r="P255" s="2" t="n">
        <f aca="false">Lookups!$B$2*M255+Lookups!$B$3*L255</f>
        <v>0</v>
      </c>
      <c r="Q255" s="2" t="str">
        <f aca="false">INDEX(Lookups!$E$2:$E$5,MATCH(P255,Lookups!$D$2:$D$5,0))</f>
        <v>Low</v>
      </c>
    </row>
    <row r="256" customFormat="false" ht="15" hidden="false" customHeight="false" outlineLevel="0" collapsed="false">
      <c r="A256" s="3" t="n">
        <v>255</v>
      </c>
      <c r="B256" s="3" t="n">
        <f aca="false">Raw_Data!A256</f>
        <v>46</v>
      </c>
      <c r="C256" s="3" t="str">
        <f aca="false">SUBSTITUTE(Raw_Data!B256,".","")</f>
        <v>blue-collar</v>
      </c>
      <c r="D256" s="3" t="str">
        <f aca="false">Raw_Data!C256</f>
        <v>married</v>
      </c>
      <c r="E256" s="3" t="str">
        <f aca="false">Raw_Data!D256</f>
        <v>primary</v>
      </c>
      <c r="F256" s="3" t="str">
        <f aca="false">Raw_Data!E256</f>
        <v>no</v>
      </c>
      <c r="G256" s="3" t="n">
        <f aca="false">Raw_Data!F256</f>
        <v>222</v>
      </c>
      <c r="H256" s="3" t="str">
        <f aca="false">Raw_Data!G256</f>
        <v>no</v>
      </c>
      <c r="I256" s="3" t="str">
        <f aca="false">Raw_Data!H256</f>
        <v>no</v>
      </c>
      <c r="J256" s="2" t="n">
        <f aca="false">IF(F256="yes",1,0)</f>
        <v>0</v>
      </c>
      <c r="K256" s="2" t="n">
        <f aca="false">IF(H256="yes",1,0)</f>
        <v>0</v>
      </c>
      <c r="L256" s="2" t="n">
        <f aca="false">IF(I256="yes",1,0)</f>
        <v>0</v>
      </c>
      <c r="M256" s="2" t="n">
        <f aca="false">IF(G256&lt;0,1,0)</f>
        <v>0</v>
      </c>
      <c r="N256" s="2" t="str">
        <f aca="false">_xlfn.IFS(B256&lt;30,"Under 30",B256&lt;40,"30-39",B256&lt;50,"40-49",B256&lt;60,"50-59",TRUE(),"60+")</f>
        <v>40-49</v>
      </c>
      <c r="O256" s="2" t="str">
        <f aca="false">_xlfn.IFS(G256&lt;0,"1 Negative",G256=0,"2 Zero",G256&lt;=500,"3 1-500",G256&lt;=2000,"4 501-2000",TRUE(),"5 Above 2000")</f>
        <v>3 1-500</v>
      </c>
      <c r="P256" s="2" t="n">
        <f aca="false">Lookups!$B$2*M256+Lookups!$B$3*L256</f>
        <v>0</v>
      </c>
      <c r="Q256" s="2" t="str">
        <f aca="false">INDEX(Lookups!$E$2:$E$5,MATCH(P256,Lookups!$D$2:$D$5,0))</f>
        <v>Low</v>
      </c>
    </row>
    <row r="257" customFormat="false" ht="15" hidden="false" customHeight="false" outlineLevel="0" collapsed="false">
      <c r="A257" s="3" t="n">
        <v>256</v>
      </c>
      <c r="B257" s="3" t="n">
        <f aca="false">Raw_Data!A257</f>
        <v>55</v>
      </c>
      <c r="C257" s="3" t="str">
        <f aca="false">SUBSTITUTE(Raw_Data!B257,".","")</f>
        <v>blue-collar</v>
      </c>
      <c r="D257" s="3" t="str">
        <f aca="false">Raw_Data!C257</f>
        <v>married</v>
      </c>
      <c r="E257" s="3" t="str">
        <f aca="false">Raw_Data!D257</f>
        <v>secondary</v>
      </c>
      <c r="F257" s="3" t="str">
        <f aca="false">Raw_Data!E257</f>
        <v>no</v>
      </c>
      <c r="G257" s="3" t="n">
        <f aca="false">Raw_Data!F257</f>
        <v>989</v>
      </c>
      <c r="H257" s="3" t="str">
        <f aca="false">Raw_Data!G257</f>
        <v>yes</v>
      </c>
      <c r="I257" s="3" t="str">
        <f aca="false">Raw_Data!H257</f>
        <v>yes</v>
      </c>
      <c r="J257" s="2" t="n">
        <f aca="false">IF(F257="yes",1,0)</f>
        <v>0</v>
      </c>
      <c r="K257" s="2" t="n">
        <f aca="false">IF(H257="yes",1,0)</f>
        <v>1</v>
      </c>
      <c r="L257" s="2" t="n">
        <f aca="false">IF(I257="yes",1,0)</f>
        <v>1</v>
      </c>
      <c r="M257" s="2" t="n">
        <f aca="false">IF(G257&lt;0,1,0)</f>
        <v>0</v>
      </c>
      <c r="N257" s="2" t="str">
        <f aca="false">_xlfn.IFS(B257&lt;30,"Under 30",B257&lt;40,"30-39",B257&lt;50,"40-49",B257&lt;60,"50-59",TRUE(),"60+")</f>
        <v>50-59</v>
      </c>
      <c r="O257" s="2" t="str">
        <f aca="false">_xlfn.IFS(G257&lt;0,"1 Negative",G257=0,"2 Zero",G257&lt;=500,"3 1-500",G257&lt;=2000,"4 501-2000",TRUE(),"5 Above 2000")</f>
        <v>4 501-2000</v>
      </c>
      <c r="P257" s="2" t="n">
        <f aca="false">Lookups!$B$2*M257+Lookups!$B$3*L257</f>
        <v>1</v>
      </c>
      <c r="Q257" s="2" t="str">
        <f aca="false">INDEX(Lookups!$E$2:$E$5,MATCH(P257,Lookups!$D$2:$D$5,0))</f>
        <v>Medium</v>
      </c>
    </row>
    <row r="258" customFormat="false" ht="15" hidden="false" customHeight="false" outlineLevel="0" collapsed="false">
      <c r="A258" s="3" t="n">
        <v>257</v>
      </c>
      <c r="B258" s="3" t="n">
        <f aca="false">Raw_Data!A258</f>
        <v>34</v>
      </c>
      <c r="C258" s="3" t="str">
        <f aca="false">SUBSTITUTE(Raw_Data!B258,".","")</f>
        <v>management</v>
      </c>
      <c r="D258" s="3" t="str">
        <f aca="false">Raw_Data!C258</f>
        <v>married</v>
      </c>
      <c r="E258" s="3" t="str">
        <f aca="false">Raw_Data!D258</f>
        <v>tertiary</v>
      </c>
      <c r="F258" s="3" t="str">
        <f aca="false">Raw_Data!E258</f>
        <v>no</v>
      </c>
      <c r="G258" s="3" t="n">
        <f aca="false">Raw_Data!F258</f>
        <v>415</v>
      </c>
      <c r="H258" s="3" t="str">
        <f aca="false">Raw_Data!G258</f>
        <v>no</v>
      </c>
      <c r="I258" s="3" t="str">
        <f aca="false">Raw_Data!H258</f>
        <v>yes</v>
      </c>
      <c r="J258" s="2" t="n">
        <f aca="false">IF(F258="yes",1,0)</f>
        <v>0</v>
      </c>
      <c r="K258" s="2" t="n">
        <f aca="false">IF(H258="yes",1,0)</f>
        <v>0</v>
      </c>
      <c r="L258" s="2" t="n">
        <f aca="false">IF(I258="yes",1,0)</f>
        <v>1</v>
      </c>
      <c r="M258" s="2" t="n">
        <f aca="false">IF(G258&lt;0,1,0)</f>
        <v>0</v>
      </c>
      <c r="N258" s="2" t="str">
        <f aca="false">_xlfn.IFS(B258&lt;30,"Under 30",B258&lt;40,"30-39",B258&lt;50,"40-49",B258&lt;60,"50-59",TRUE(),"60+")</f>
        <v>30-39</v>
      </c>
      <c r="O258" s="2" t="str">
        <f aca="false">_xlfn.IFS(G258&lt;0,"1 Negative",G258=0,"2 Zero",G258&lt;=500,"3 1-500",G258&lt;=2000,"4 501-2000",TRUE(),"5 Above 2000")</f>
        <v>3 1-500</v>
      </c>
      <c r="P258" s="2" t="n">
        <f aca="false">Lookups!$B$2*M258+Lookups!$B$3*L258</f>
        <v>1</v>
      </c>
      <c r="Q258" s="2" t="str">
        <f aca="false">INDEX(Lookups!$E$2:$E$5,MATCH(P258,Lookups!$D$2:$D$5,0))</f>
        <v>Medium</v>
      </c>
    </row>
    <row r="259" customFormat="false" ht="15" hidden="false" customHeight="false" outlineLevel="0" collapsed="false">
      <c r="A259" s="3" t="n">
        <v>258</v>
      </c>
      <c r="B259" s="3" t="n">
        <f aca="false">Raw_Data!A259</f>
        <v>28</v>
      </c>
      <c r="C259" s="3" t="str">
        <f aca="false">SUBSTITUTE(Raw_Data!B259,".","")</f>
        <v>unemployed</v>
      </c>
      <c r="D259" s="3" t="str">
        <f aca="false">Raw_Data!C259</f>
        <v>single</v>
      </c>
      <c r="E259" s="3" t="str">
        <f aca="false">Raw_Data!D259</f>
        <v>secondary</v>
      </c>
      <c r="F259" s="3" t="str">
        <f aca="false">Raw_Data!E259</f>
        <v>no</v>
      </c>
      <c r="G259" s="3" t="n">
        <f aca="false">Raw_Data!F259</f>
        <v>16</v>
      </c>
      <c r="H259" s="3" t="str">
        <f aca="false">Raw_Data!G259</f>
        <v>no</v>
      </c>
      <c r="I259" s="3" t="str">
        <f aca="false">Raw_Data!H259</f>
        <v>no</v>
      </c>
      <c r="J259" s="2" t="n">
        <f aca="false">IF(F259="yes",1,0)</f>
        <v>0</v>
      </c>
      <c r="K259" s="2" t="n">
        <f aca="false">IF(H259="yes",1,0)</f>
        <v>0</v>
      </c>
      <c r="L259" s="2" t="n">
        <f aca="false">IF(I259="yes",1,0)</f>
        <v>0</v>
      </c>
      <c r="M259" s="2" t="n">
        <f aca="false">IF(G259&lt;0,1,0)</f>
        <v>0</v>
      </c>
      <c r="N259" s="2" t="str">
        <f aca="false">_xlfn.IFS(B259&lt;30,"Under 30",B259&lt;40,"30-39",B259&lt;50,"40-49",B259&lt;60,"50-59",TRUE(),"60+")</f>
        <v>Under 30</v>
      </c>
      <c r="O259" s="2" t="str">
        <f aca="false">_xlfn.IFS(G259&lt;0,"1 Negative",G259=0,"2 Zero",G259&lt;=500,"3 1-500",G259&lt;=2000,"4 501-2000",TRUE(),"5 Above 2000")</f>
        <v>3 1-500</v>
      </c>
      <c r="P259" s="2" t="n">
        <f aca="false">Lookups!$B$2*M259+Lookups!$B$3*L259</f>
        <v>0</v>
      </c>
      <c r="Q259" s="2" t="str">
        <f aca="false">INDEX(Lookups!$E$2:$E$5,MATCH(P259,Lookups!$D$2:$D$5,0))</f>
        <v>Low</v>
      </c>
    </row>
    <row r="260" customFormat="false" ht="15" hidden="false" customHeight="false" outlineLevel="0" collapsed="false">
      <c r="A260" s="3" t="n">
        <v>259</v>
      </c>
      <c r="B260" s="3" t="n">
        <f aca="false">Raw_Data!A260</f>
        <v>42</v>
      </c>
      <c r="C260" s="3" t="str">
        <f aca="false">SUBSTITUTE(Raw_Data!B260,".","")</f>
        <v>technician</v>
      </c>
      <c r="D260" s="3" t="str">
        <f aca="false">Raw_Data!C260</f>
        <v>divorced</v>
      </c>
      <c r="E260" s="3" t="str">
        <f aca="false">Raw_Data!D260</f>
        <v>tertiary</v>
      </c>
      <c r="F260" s="3" t="str">
        <f aca="false">Raw_Data!E260</f>
        <v>no</v>
      </c>
      <c r="G260" s="3" t="n">
        <f aca="false">Raw_Data!F260</f>
        <v>7190</v>
      </c>
      <c r="H260" s="3" t="str">
        <f aca="false">Raw_Data!G260</f>
        <v>yes</v>
      </c>
      <c r="I260" s="3" t="str">
        <f aca="false">Raw_Data!H260</f>
        <v>no</v>
      </c>
      <c r="J260" s="2" t="n">
        <f aca="false">IF(F260="yes",1,0)</f>
        <v>0</v>
      </c>
      <c r="K260" s="2" t="n">
        <f aca="false">IF(H260="yes",1,0)</f>
        <v>1</v>
      </c>
      <c r="L260" s="2" t="n">
        <f aca="false">IF(I260="yes",1,0)</f>
        <v>0</v>
      </c>
      <c r="M260" s="2" t="n">
        <f aca="false">IF(G260&lt;0,1,0)</f>
        <v>0</v>
      </c>
      <c r="N260" s="2" t="str">
        <f aca="false">_xlfn.IFS(B260&lt;30,"Under 30",B260&lt;40,"30-39",B260&lt;50,"40-49",B260&lt;60,"50-59",TRUE(),"60+")</f>
        <v>40-49</v>
      </c>
      <c r="O260" s="2" t="str">
        <f aca="false">_xlfn.IFS(G260&lt;0,"1 Negative",G260=0,"2 Zero",G260&lt;=500,"3 1-500",G260&lt;=2000,"4 501-2000",TRUE(),"5 Above 2000")</f>
        <v>5 Above 2000</v>
      </c>
      <c r="P260" s="2" t="n">
        <f aca="false">Lookups!$B$2*M260+Lookups!$B$3*L260</f>
        <v>0</v>
      </c>
      <c r="Q260" s="2" t="str">
        <f aca="false">INDEX(Lookups!$E$2:$E$5,MATCH(P260,Lookups!$D$2:$D$5,0))</f>
        <v>Low</v>
      </c>
    </row>
    <row r="261" customFormat="false" ht="15" hidden="false" customHeight="false" outlineLevel="0" collapsed="false">
      <c r="A261" s="3" t="n">
        <v>260</v>
      </c>
      <c r="B261" s="3" t="n">
        <f aca="false">Raw_Data!A261</f>
        <v>29</v>
      </c>
      <c r="C261" s="3" t="str">
        <f aca="false">SUBSTITUTE(Raw_Data!B261,".","")</f>
        <v>blue-collar</v>
      </c>
      <c r="D261" s="3" t="str">
        <f aca="false">Raw_Data!C261</f>
        <v>single</v>
      </c>
      <c r="E261" s="3" t="str">
        <f aca="false">Raw_Data!D261</f>
        <v>secondary</v>
      </c>
      <c r="F261" s="3" t="str">
        <f aca="false">Raw_Data!E261</f>
        <v>no</v>
      </c>
      <c r="G261" s="3" t="n">
        <f aca="false">Raw_Data!F261</f>
        <v>482</v>
      </c>
      <c r="H261" s="3" t="str">
        <f aca="false">Raw_Data!G261</f>
        <v>no</v>
      </c>
      <c r="I261" s="3" t="str">
        <f aca="false">Raw_Data!H261</f>
        <v>yes</v>
      </c>
      <c r="J261" s="2" t="n">
        <f aca="false">IF(F261="yes",1,0)</f>
        <v>0</v>
      </c>
      <c r="K261" s="2" t="n">
        <f aca="false">IF(H261="yes",1,0)</f>
        <v>0</v>
      </c>
      <c r="L261" s="2" t="n">
        <f aca="false">IF(I261="yes",1,0)</f>
        <v>1</v>
      </c>
      <c r="M261" s="2" t="n">
        <f aca="false">IF(G261&lt;0,1,0)</f>
        <v>0</v>
      </c>
      <c r="N261" s="2" t="str">
        <f aca="false">_xlfn.IFS(B261&lt;30,"Under 30",B261&lt;40,"30-39",B261&lt;50,"40-49",B261&lt;60,"50-59",TRUE(),"60+")</f>
        <v>Under 30</v>
      </c>
      <c r="O261" s="2" t="str">
        <f aca="false">_xlfn.IFS(G261&lt;0,"1 Negative",G261=0,"2 Zero",G261&lt;=500,"3 1-500",G261&lt;=2000,"4 501-2000",TRUE(),"5 Above 2000")</f>
        <v>3 1-500</v>
      </c>
      <c r="P261" s="2" t="n">
        <f aca="false">Lookups!$B$2*M261+Lookups!$B$3*L261</f>
        <v>1</v>
      </c>
      <c r="Q261" s="2" t="str">
        <f aca="false">INDEX(Lookups!$E$2:$E$5,MATCH(P261,Lookups!$D$2:$D$5,0))</f>
        <v>Medium</v>
      </c>
    </row>
    <row r="262" customFormat="false" ht="15" hidden="false" customHeight="false" outlineLevel="0" collapsed="false">
      <c r="A262" s="3" t="n">
        <v>261</v>
      </c>
      <c r="B262" s="3" t="n">
        <f aca="false">Raw_Data!A262</f>
        <v>54</v>
      </c>
      <c r="C262" s="3" t="str">
        <f aca="false">SUBSTITUTE(Raw_Data!B262,".","")</f>
        <v>housemaid</v>
      </c>
      <c r="D262" s="3" t="str">
        <f aca="false">Raw_Data!C262</f>
        <v>married</v>
      </c>
      <c r="E262" s="3" t="str">
        <f aca="false">Raw_Data!D262</f>
        <v>secondary</v>
      </c>
      <c r="F262" s="3" t="str">
        <f aca="false">Raw_Data!E262</f>
        <v>no</v>
      </c>
      <c r="G262" s="3" t="n">
        <f aca="false">Raw_Data!F262</f>
        <v>209</v>
      </c>
      <c r="H262" s="3" t="str">
        <f aca="false">Raw_Data!G262</f>
        <v>yes</v>
      </c>
      <c r="I262" s="3" t="str">
        <f aca="false">Raw_Data!H262</f>
        <v>yes</v>
      </c>
      <c r="J262" s="2" t="n">
        <f aca="false">IF(F262="yes",1,0)</f>
        <v>0</v>
      </c>
      <c r="K262" s="2" t="n">
        <f aca="false">IF(H262="yes",1,0)</f>
        <v>1</v>
      </c>
      <c r="L262" s="2" t="n">
        <f aca="false">IF(I262="yes",1,0)</f>
        <v>1</v>
      </c>
      <c r="M262" s="2" t="n">
        <f aca="false">IF(G262&lt;0,1,0)</f>
        <v>0</v>
      </c>
      <c r="N262" s="2" t="str">
        <f aca="false">_xlfn.IFS(B262&lt;30,"Under 30",B262&lt;40,"30-39",B262&lt;50,"40-49",B262&lt;60,"50-59",TRUE(),"60+")</f>
        <v>50-59</v>
      </c>
      <c r="O262" s="2" t="str">
        <f aca="false">_xlfn.IFS(G262&lt;0,"1 Negative",G262=0,"2 Zero",G262&lt;=500,"3 1-500",G262&lt;=2000,"4 501-2000",TRUE(),"5 Above 2000")</f>
        <v>3 1-500</v>
      </c>
      <c r="P262" s="2" t="n">
        <f aca="false">Lookups!$B$2*M262+Lookups!$B$3*L262</f>
        <v>1</v>
      </c>
      <c r="Q262" s="2" t="str">
        <f aca="false">INDEX(Lookups!$E$2:$E$5,MATCH(P262,Lookups!$D$2:$D$5,0))</f>
        <v>Medium</v>
      </c>
    </row>
    <row r="263" customFormat="false" ht="15" hidden="false" customHeight="false" outlineLevel="0" collapsed="false">
      <c r="A263" s="3" t="n">
        <v>262</v>
      </c>
      <c r="B263" s="3" t="n">
        <f aca="false">Raw_Data!A263</f>
        <v>32</v>
      </c>
      <c r="C263" s="3" t="str">
        <f aca="false">SUBSTITUTE(Raw_Data!B263,".","")</f>
        <v>technician</v>
      </c>
      <c r="D263" s="3" t="str">
        <f aca="false">Raw_Data!C263</f>
        <v>single</v>
      </c>
      <c r="E263" s="3" t="str">
        <f aca="false">Raw_Data!D263</f>
        <v>secondary</v>
      </c>
      <c r="F263" s="3" t="str">
        <f aca="false">Raw_Data!E263</f>
        <v>no</v>
      </c>
      <c r="G263" s="3" t="n">
        <f aca="false">Raw_Data!F263</f>
        <v>0</v>
      </c>
      <c r="H263" s="3" t="str">
        <f aca="false">Raw_Data!G263</f>
        <v>no</v>
      </c>
      <c r="I263" s="3" t="str">
        <f aca="false">Raw_Data!H263</f>
        <v>no</v>
      </c>
      <c r="J263" s="2" t="n">
        <f aca="false">IF(F263="yes",1,0)</f>
        <v>0</v>
      </c>
      <c r="K263" s="2" t="n">
        <f aca="false">IF(H263="yes",1,0)</f>
        <v>0</v>
      </c>
      <c r="L263" s="2" t="n">
        <f aca="false">IF(I263="yes",1,0)</f>
        <v>0</v>
      </c>
      <c r="M263" s="2" t="n">
        <f aca="false">IF(G263&lt;0,1,0)</f>
        <v>0</v>
      </c>
      <c r="N263" s="2" t="str">
        <f aca="false">_xlfn.IFS(B263&lt;30,"Under 30",B263&lt;40,"30-39",B263&lt;50,"40-49",B263&lt;60,"50-59",TRUE(),"60+")</f>
        <v>30-39</v>
      </c>
      <c r="O263" s="2" t="str">
        <f aca="false">_xlfn.IFS(G263&lt;0,"1 Negative",G263=0,"2 Zero",G263&lt;=500,"3 1-500",G263&lt;=2000,"4 501-2000",TRUE(),"5 Above 2000")</f>
        <v>2 Zero</v>
      </c>
      <c r="P263" s="2" t="n">
        <f aca="false">Lookups!$B$2*M263+Lookups!$B$3*L263</f>
        <v>0</v>
      </c>
      <c r="Q263" s="2" t="str">
        <f aca="false">INDEX(Lookups!$E$2:$E$5,MATCH(P263,Lookups!$D$2:$D$5,0))</f>
        <v>Low</v>
      </c>
    </row>
    <row r="264" customFormat="false" ht="15" hidden="false" customHeight="false" outlineLevel="0" collapsed="false">
      <c r="A264" s="3" t="n">
        <v>263</v>
      </c>
      <c r="B264" s="3" t="n">
        <f aca="false">Raw_Data!A264</f>
        <v>39</v>
      </c>
      <c r="C264" s="3" t="str">
        <f aca="false">SUBSTITUTE(Raw_Data!B264,".","")</f>
        <v>technician</v>
      </c>
      <c r="D264" s="3" t="str">
        <f aca="false">Raw_Data!C264</f>
        <v>single</v>
      </c>
      <c r="E264" s="3" t="str">
        <f aca="false">Raw_Data!D264</f>
        <v>tertiary</v>
      </c>
      <c r="F264" s="3" t="str">
        <f aca="false">Raw_Data!E264</f>
        <v>no</v>
      </c>
      <c r="G264" s="3" t="n">
        <f aca="false">Raw_Data!F264</f>
        <v>5803</v>
      </c>
      <c r="H264" s="3" t="str">
        <f aca="false">Raw_Data!G264</f>
        <v>no</v>
      </c>
      <c r="I264" s="3" t="str">
        <f aca="false">Raw_Data!H264</f>
        <v>no</v>
      </c>
      <c r="J264" s="2" t="n">
        <f aca="false">IF(F264="yes",1,0)</f>
        <v>0</v>
      </c>
      <c r="K264" s="2" t="n">
        <f aca="false">IF(H264="yes",1,0)</f>
        <v>0</v>
      </c>
      <c r="L264" s="2" t="n">
        <f aca="false">IF(I264="yes",1,0)</f>
        <v>0</v>
      </c>
      <c r="M264" s="2" t="n">
        <f aca="false">IF(G264&lt;0,1,0)</f>
        <v>0</v>
      </c>
      <c r="N264" s="2" t="str">
        <f aca="false">_xlfn.IFS(B264&lt;30,"Under 30",B264&lt;40,"30-39",B264&lt;50,"40-49",B264&lt;60,"50-59",TRUE(),"60+")</f>
        <v>30-39</v>
      </c>
      <c r="O264" s="2" t="str">
        <f aca="false">_xlfn.IFS(G264&lt;0,"1 Negative",G264=0,"2 Zero",G264&lt;=500,"3 1-500",G264&lt;=2000,"4 501-2000",TRUE(),"5 Above 2000")</f>
        <v>5 Above 2000</v>
      </c>
      <c r="P264" s="2" t="n">
        <f aca="false">Lookups!$B$2*M264+Lookups!$B$3*L264</f>
        <v>0</v>
      </c>
      <c r="Q264" s="2" t="str">
        <f aca="false">INDEX(Lookups!$E$2:$E$5,MATCH(P264,Lookups!$D$2:$D$5,0))</f>
        <v>Low</v>
      </c>
    </row>
    <row r="265" customFormat="false" ht="15" hidden="false" customHeight="false" outlineLevel="0" collapsed="false">
      <c r="A265" s="3" t="n">
        <v>264</v>
      </c>
      <c r="B265" s="3" t="n">
        <f aca="false">Raw_Data!A265</f>
        <v>53</v>
      </c>
      <c r="C265" s="3" t="str">
        <f aca="false">SUBSTITUTE(Raw_Data!B265,".","")</f>
        <v>entrepreneur</v>
      </c>
      <c r="D265" s="3" t="str">
        <f aca="false">Raw_Data!C265</f>
        <v>married</v>
      </c>
      <c r="E265" s="3" t="str">
        <f aca="false">Raw_Data!D265</f>
        <v>tertiary</v>
      </c>
      <c r="F265" s="3" t="str">
        <f aca="false">Raw_Data!E265</f>
        <v>no</v>
      </c>
      <c r="G265" s="3" t="n">
        <f aca="false">Raw_Data!F265</f>
        <v>624</v>
      </c>
      <c r="H265" s="3" t="str">
        <f aca="false">Raw_Data!G265</f>
        <v>no</v>
      </c>
      <c r="I265" s="3" t="str">
        <f aca="false">Raw_Data!H265</f>
        <v>yes</v>
      </c>
      <c r="J265" s="2" t="n">
        <f aca="false">IF(F265="yes",1,0)</f>
        <v>0</v>
      </c>
      <c r="K265" s="2" t="n">
        <f aca="false">IF(H265="yes",1,0)</f>
        <v>0</v>
      </c>
      <c r="L265" s="2" t="n">
        <f aca="false">IF(I265="yes",1,0)</f>
        <v>1</v>
      </c>
      <c r="M265" s="2" t="n">
        <f aca="false">IF(G265&lt;0,1,0)</f>
        <v>0</v>
      </c>
      <c r="N265" s="2" t="str">
        <f aca="false">_xlfn.IFS(B265&lt;30,"Under 30",B265&lt;40,"30-39",B265&lt;50,"40-49",B265&lt;60,"50-59",TRUE(),"60+")</f>
        <v>50-59</v>
      </c>
      <c r="O265" s="2" t="str">
        <f aca="false">_xlfn.IFS(G265&lt;0,"1 Negative",G265=0,"2 Zero",G265&lt;=500,"3 1-500",G265&lt;=2000,"4 501-2000",TRUE(),"5 Above 2000")</f>
        <v>4 501-2000</v>
      </c>
      <c r="P265" s="2" t="n">
        <f aca="false">Lookups!$B$2*M265+Lookups!$B$3*L265</f>
        <v>1</v>
      </c>
      <c r="Q265" s="2" t="str">
        <f aca="false">INDEX(Lookups!$E$2:$E$5,MATCH(P265,Lookups!$D$2:$D$5,0))</f>
        <v>Medium</v>
      </c>
    </row>
    <row r="266" customFormat="false" ht="15" hidden="false" customHeight="false" outlineLevel="0" collapsed="false">
      <c r="A266" s="3" t="n">
        <v>265</v>
      </c>
      <c r="B266" s="3" t="n">
        <f aca="false">Raw_Data!A266</f>
        <v>58</v>
      </c>
      <c r="C266" s="3" t="str">
        <f aca="false">SUBSTITUTE(Raw_Data!B266,".","")</f>
        <v>technician</v>
      </c>
      <c r="D266" s="3" t="str">
        <f aca="false">Raw_Data!C266</f>
        <v>married</v>
      </c>
      <c r="E266" s="3" t="str">
        <f aca="false">Raw_Data!D266</f>
        <v>tertiary</v>
      </c>
      <c r="F266" s="3" t="str">
        <f aca="false">Raw_Data!E266</f>
        <v>no</v>
      </c>
      <c r="G266" s="3" t="n">
        <f aca="false">Raw_Data!F266</f>
        <v>883</v>
      </c>
      <c r="H266" s="3" t="str">
        <f aca="false">Raw_Data!G266</f>
        <v>no</v>
      </c>
      <c r="I266" s="3" t="str">
        <f aca="false">Raw_Data!H266</f>
        <v>no</v>
      </c>
      <c r="J266" s="2" t="n">
        <f aca="false">IF(F266="yes",1,0)</f>
        <v>0</v>
      </c>
      <c r="K266" s="2" t="n">
        <f aca="false">IF(H266="yes",1,0)</f>
        <v>0</v>
      </c>
      <c r="L266" s="2" t="n">
        <f aca="false">IF(I266="yes",1,0)</f>
        <v>0</v>
      </c>
      <c r="M266" s="2" t="n">
        <f aca="false">IF(G266&lt;0,1,0)</f>
        <v>0</v>
      </c>
      <c r="N266" s="2" t="str">
        <f aca="false">_xlfn.IFS(B266&lt;30,"Under 30",B266&lt;40,"30-39",B266&lt;50,"40-49",B266&lt;60,"50-59",TRUE(),"60+")</f>
        <v>50-59</v>
      </c>
      <c r="O266" s="2" t="str">
        <f aca="false">_xlfn.IFS(G266&lt;0,"1 Negative",G266=0,"2 Zero",G266&lt;=500,"3 1-500",G266&lt;=2000,"4 501-2000",TRUE(),"5 Above 2000")</f>
        <v>4 501-2000</v>
      </c>
      <c r="P266" s="2" t="n">
        <f aca="false">Lookups!$B$2*M266+Lookups!$B$3*L266</f>
        <v>0</v>
      </c>
      <c r="Q266" s="2" t="str">
        <f aca="false">INDEX(Lookups!$E$2:$E$5,MATCH(P266,Lookups!$D$2:$D$5,0))</f>
        <v>Low</v>
      </c>
    </row>
    <row r="267" customFormat="false" ht="15" hidden="false" customHeight="false" outlineLevel="0" collapsed="false">
      <c r="A267" s="3" t="n">
        <v>266</v>
      </c>
      <c r="B267" s="3" t="n">
        <f aca="false">Raw_Data!A267</f>
        <v>40</v>
      </c>
      <c r="C267" s="3" t="str">
        <f aca="false">SUBSTITUTE(Raw_Data!B267,".","")</f>
        <v>self-employed</v>
      </c>
      <c r="D267" s="3" t="str">
        <f aca="false">Raw_Data!C267</f>
        <v>married</v>
      </c>
      <c r="E267" s="3" t="str">
        <f aca="false">Raw_Data!D267</f>
        <v>secondary</v>
      </c>
      <c r="F267" s="3" t="str">
        <f aca="false">Raw_Data!E267</f>
        <v>no</v>
      </c>
      <c r="G267" s="3" t="n">
        <f aca="false">Raw_Data!F267</f>
        <v>1516</v>
      </c>
      <c r="H267" s="3" t="str">
        <f aca="false">Raw_Data!G267</f>
        <v>yes</v>
      </c>
      <c r="I267" s="3" t="str">
        <f aca="false">Raw_Data!H267</f>
        <v>yes</v>
      </c>
      <c r="J267" s="2" t="n">
        <f aca="false">IF(F267="yes",1,0)</f>
        <v>0</v>
      </c>
      <c r="K267" s="2" t="n">
        <f aca="false">IF(H267="yes",1,0)</f>
        <v>1</v>
      </c>
      <c r="L267" s="2" t="n">
        <f aca="false">IF(I267="yes",1,0)</f>
        <v>1</v>
      </c>
      <c r="M267" s="2" t="n">
        <f aca="false">IF(G267&lt;0,1,0)</f>
        <v>0</v>
      </c>
      <c r="N267" s="2" t="str">
        <f aca="false">_xlfn.IFS(B267&lt;30,"Under 30",B267&lt;40,"30-39",B267&lt;50,"40-49",B267&lt;60,"50-59",TRUE(),"60+")</f>
        <v>40-49</v>
      </c>
      <c r="O267" s="2" t="str">
        <f aca="false">_xlfn.IFS(G267&lt;0,"1 Negative",G267=0,"2 Zero",G267&lt;=500,"3 1-500",G267&lt;=2000,"4 501-2000",TRUE(),"5 Above 2000")</f>
        <v>4 501-2000</v>
      </c>
      <c r="P267" s="2" t="n">
        <f aca="false">Lookups!$B$2*M267+Lookups!$B$3*L267</f>
        <v>1</v>
      </c>
      <c r="Q267" s="2" t="str">
        <f aca="false">INDEX(Lookups!$E$2:$E$5,MATCH(P267,Lookups!$D$2:$D$5,0))</f>
        <v>Medium</v>
      </c>
    </row>
    <row r="268" customFormat="false" ht="15" hidden="false" customHeight="false" outlineLevel="0" collapsed="false">
      <c r="A268" s="3" t="n">
        <v>267</v>
      </c>
      <c r="B268" s="3" t="n">
        <f aca="false">Raw_Data!A268</f>
        <v>29</v>
      </c>
      <c r="C268" s="3" t="str">
        <f aca="false">SUBSTITUTE(Raw_Data!B268,".","")</f>
        <v>student</v>
      </c>
      <c r="D268" s="3" t="str">
        <f aca="false">Raw_Data!C268</f>
        <v>single</v>
      </c>
      <c r="E268" s="3" t="str">
        <f aca="false">Raw_Data!D268</f>
        <v>secondary</v>
      </c>
      <c r="F268" s="3" t="str">
        <f aca="false">Raw_Data!E268</f>
        <v>no</v>
      </c>
      <c r="G268" s="3" t="n">
        <f aca="false">Raw_Data!F268</f>
        <v>872</v>
      </c>
      <c r="H268" s="3" t="str">
        <f aca="false">Raw_Data!G268</f>
        <v>yes</v>
      </c>
      <c r="I268" s="3" t="str">
        <f aca="false">Raw_Data!H268</f>
        <v>no</v>
      </c>
      <c r="J268" s="2" t="n">
        <f aca="false">IF(F268="yes",1,0)</f>
        <v>0</v>
      </c>
      <c r="K268" s="2" t="n">
        <f aca="false">IF(H268="yes",1,0)</f>
        <v>1</v>
      </c>
      <c r="L268" s="2" t="n">
        <f aca="false">IF(I268="yes",1,0)</f>
        <v>0</v>
      </c>
      <c r="M268" s="2" t="n">
        <f aca="false">IF(G268&lt;0,1,0)</f>
        <v>0</v>
      </c>
      <c r="N268" s="2" t="str">
        <f aca="false">_xlfn.IFS(B268&lt;30,"Under 30",B268&lt;40,"30-39",B268&lt;50,"40-49",B268&lt;60,"50-59",TRUE(),"60+")</f>
        <v>Under 30</v>
      </c>
      <c r="O268" s="2" t="str">
        <f aca="false">_xlfn.IFS(G268&lt;0,"1 Negative",G268=0,"2 Zero",G268&lt;=500,"3 1-500",G268&lt;=2000,"4 501-2000",TRUE(),"5 Above 2000")</f>
        <v>4 501-2000</v>
      </c>
      <c r="P268" s="2" t="n">
        <f aca="false">Lookups!$B$2*M268+Lookups!$B$3*L268</f>
        <v>0</v>
      </c>
      <c r="Q268" s="2" t="str">
        <f aca="false">INDEX(Lookups!$E$2:$E$5,MATCH(P268,Lookups!$D$2:$D$5,0))</f>
        <v>Low</v>
      </c>
    </row>
    <row r="269" customFormat="false" ht="15" hidden="false" customHeight="false" outlineLevel="0" collapsed="false">
      <c r="A269" s="3" t="n">
        <v>268</v>
      </c>
      <c r="B269" s="3" t="n">
        <f aca="false">Raw_Data!A269</f>
        <v>33</v>
      </c>
      <c r="C269" s="3" t="str">
        <f aca="false">SUBSTITUTE(Raw_Data!B269,".","")</f>
        <v>technician</v>
      </c>
      <c r="D269" s="3" t="str">
        <f aca="false">Raw_Data!C269</f>
        <v>married</v>
      </c>
      <c r="E269" s="3" t="str">
        <f aca="false">Raw_Data!D269</f>
        <v>tertiary</v>
      </c>
      <c r="F269" s="3" t="str">
        <f aca="false">Raw_Data!E269</f>
        <v>no</v>
      </c>
      <c r="G269" s="3" t="n">
        <f aca="false">Raw_Data!F269</f>
        <v>-988</v>
      </c>
      <c r="H269" s="3" t="str">
        <f aca="false">Raw_Data!G269</f>
        <v>yes</v>
      </c>
      <c r="I269" s="3" t="str">
        <f aca="false">Raw_Data!H269</f>
        <v>yes</v>
      </c>
      <c r="J269" s="2" t="n">
        <f aca="false">IF(F269="yes",1,0)</f>
        <v>0</v>
      </c>
      <c r="K269" s="2" t="n">
        <f aca="false">IF(H269="yes",1,0)</f>
        <v>1</v>
      </c>
      <c r="L269" s="2" t="n">
        <f aca="false">IF(I269="yes",1,0)</f>
        <v>1</v>
      </c>
      <c r="M269" s="2" t="n">
        <f aca="false">IF(G269&lt;0,1,0)</f>
        <v>1</v>
      </c>
      <c r="N269" s="2" t="str">
        <f aca="false">_xlfn.IFS(B269&lt;30,"Under 30",B269&lt;40,"30-39",B269&lt;50,"40-49",B269&lt;60,"50-59",TRUE(),"60+")</f>
        <v>30-39</v>
      </c>
      <c r="O269" s="2" t="str">
        <f aca="false">_xlfn.IFS(G269&lt;0,"1 Negative",G269=0,"2 Zero",G269&lt;=500,"3 1-500",G269&lt;=2000,"4 501-2000",TRUE(),"5 Above 2000")</f>
        <v>1 Negative</v>
      </c>
      <c r="P269" s="2" t="n">
        <f aca="false">Lookups!$B$2*M269+Lookups!$B$3*L269</f>
        <v>3</v>
      </c>
      <c r="Q269" s="2" t="str">
        <f aca="false">INDEX(Lookups!$E$2:$E$5,MATCH(P269,Lookups!$D$2:$D$5,0))</f>
        <v>High</v>
      </c>
    </row>
    <row r="270" customFormat="false" ht="15" hidden="false" customHeight="false" outlineLevel="0" collapsed="false">
      <c r="A270" s="3" t="n">
        <v>269</v>
      </c>
      <c r="B270" s="3" t="n">
        <f aca="false">Raw_Data!A270</f>
        <v>38</v>
      </c>
      <c r="C270" s="3" t="str">
        <f aca="false">SUBSTITUTE(Raw_Data!B270,".","")</f>
        <v>admin</v>
      </c>
      <c r="D270" s="3" t="str">
        <f aca="false">Raw_Data!C270</f>
        <v>single</v>
      </c>
      <c r="E270" s="3" t="str">
        <f aca="false">Raw_Data!D270</f>
        <v>secondary</v>
      </c>
      <c r="F270" s="3" t="str">
        <f aca="false">Raw_Data!E270</f>
        <v>no</v>
      </c>
      <c r="G270" s="3" t="n">
        <f aca="false">Raw_Data!F270</f>
        <v>902</v>
      </c>
      <c r="H270" s="3" t="str">
        <f aca="false">Raw_Data!G270</f>
        <v>yes</v>
      </c>
      <c r="I270" s="3" t="str">
        <f aca="false">Raw_Data!H270</f>
        <v>no</v>
      </c>
      <c r="J270" s="2" t="n">
        <f aca="false">IF(F270="yes",1,0)</f>
        <v>0</v>
      </c>
      <c r="K270" s="2" t="n">
        <f aca="false">IF(H270="yes",1,0)</f>
        <v>1</v>
      </c>
      <c r="L270" s="2" t="n">
        <f aca="false">IF(I270="yes",1,0)</f>
        <v>0</v>
      </c>
      <c r="M270" s="2" t="n">
        <f aca="false">IF(G270&lt;0,1,0)</f>
        <v>0</v>
      </c>
      <c r="N270" s="2" t="str">
        <f aca="false">_xlfn.IFS(B270&lt;30,"Under 30",B270&lt;40,"30-39",B270&lt;50,"40-49",B270&lt;60,"50-59",TRUE(),"60+")</f>
        <v>30-39</v>
      </c>
      <c r="O270" s="2" t="str">
        <f aca="false">_xlfn.IFS(G270&lt;0,"1 Negative",G270=0,"2 Zero",G270&lt;=500,"3 1-500",G270&lt;=2000,"4 501-2000",TRUE(),"5 Above 2000")</f>
        <v>4 501-2000</v>
      </c>
      <c r="P270" s="2" t="n">
        <f aca="false">Lookups!$B$2*M270+Lookups!$B$3*L270</f>
        <v>0</v>
      </c>
      <c r="Q270" s="2" t="str">
        <f aca="false">INDEX(Lookups!$E$2:$E$5,MATCH(P270,Lookups!$D$2:$D$5,0))</f>
        <v>Low</v>
      </c>
    </row>
    <row r="271" customFormat="false" ht="15" hidden="false" customHeight="false" outlineLevel="0" collapsed="false">
      <c r="A271" s="3" t="n">
        <v>270</v>
      </c>
      <c r="B271" s="3" t="n">
        <f aca="false">Raw_Data!A271</f>
        <v>56</v>
      </c>
      <c r="C271" s="3" t="str">
        <f aca="false">SUBSTITUTE(Raw_Data!B271,".","")</f>
        <v>services</v>
      </c>
      <c r="D271" s="3" t="str">
        <f aca="false">Raw_Data!C271</f>
        <v>divorced</v>
      </c>
      <c r="E271" s="3" t="str">
        <f aca="false">Raw_Data!D271</f>
        <v>secondary</v>
      </c>
      <c r="F271" s="3" t="str">
        <f aca="false">Raw_Data!E271</f>
        <v>no</v>
      </c>
      <c r="G271" s="3" t="n">
        <f aca="false">Raw_Data!F271</f>
        <v>1007</v>
      </c>
      <c r="H271" s="3" t="str">
        <f aca="false">Raw_Data!G271</f>
        <v>no</v>
      </c>
      <c r="I271" s="3" t="str">
        <f aca="false">Raw_Data!H271</f>
        <v>no</v>
      </c>
      <c r="J271" s="2" t="n">
        <f aca="false">IF(F271="yes",1,0)</f>
        <v>0</v>
      </c>
      <c r="K271" s="2" t="n">
        <f aca="false">IF(H271="yes",1,0)</f>
        <v>0</v>
      </c>
      <c r="L271" s="2" t="n">
        <f aca="false">IF(I271="yes",1,0)</f>
        <v>0</v>
      </c>
      <c r="M271" s="2" t="n">
        <f aca="false">IF(G271&lt;0,1,0)</f>
        <v>0</v>
      </c>
      <c r="N271" s="2" t="str">
        <f aca="false">_xlfn.IFS(B271&lt;30,"Under 30",B271&lt;40,"30-39",B271&lt;50,"40-49",B271&lt;60,"50-59",TRUE(),"60+")</f>
        <v>50-59</v>
      </c>
      <c r="O271" s="2" t="str">
        <f aca="false">_xlfn.IFS(G271&lt;0,"1 Negative",G271=0,"2 Zero",G271&lt;=500,"3 1-500",G271&lt;=2000,"4 501-2000",TRUE(),"5 Above 2000")</f>
        <v>4 501-2000</v>
      </c>
      <c r="P271" s="2" t="n">
        <f aca="false">Lookups!$B$2*M271+Lookups!$B$3*L271</f>
        <v>0</v>
      </c>
      <c r="Q271" s="2" t="str">
        <f aca="false">INDEX(Lookups!$E$2:$E$5,MATCH(P271,Lookups!$D$2:$D$5,0))</f>
        <v>Low</v>
      </c>
    </row>
    <row r="272" customFormat="false" ht="15" hidden="false" customHeight="false" outlineLevel="0" collapsed="false">
      <c r="A272" s="3" t="n">
        <v>271</v>
      </c>
      <c r="B272" s="3" t="n">
        <f aca="false">Raw_Data!A272</f>
        <v>40</v>
      </c>
      <c r="C272" s="3" t="str">
        <f aca="false">SUBSTITUTE(Raw_Data!B272,".","")</f>
        <v>services</v>
      </c>
      <c r="D272" s="3" t="str">
        <f aca="false">Raw_Data!C272</f>
        <v>married</v>
      </c>
      <c r="E272" s="3" t="str">
        <f aca="false">Raw_Data!D272</f>
        <v>secondary</v>
      </c>
      <c r="F272" s="3" t="str">
        <f aca="false">Raw_Data!E272</f>
        <v>no</v>
      </c>
      <c r="G272" s="3" t="n">
        <f aca="false">Raw_Data!F272</f>
        <v>0</v>
      </c>
      <c r="H272" s="3" t="str">
        <f aca="false">Raw_Data!G272</f>
        <v>yes</v>
      </c>
      <c r="I272" s="3" t="str">
        <f aca="false">Raw_Data!H272</f>
        <v>no</v>
      </c>
      <c r="J272" s="2" t="n">
        <f aca="false">IF(F272="yes",1,0)</f>
        <v>0</v>
      </c>
      <c r="K272" s="2" t="n">
        <f aca="false">IF(H272="yes",1,0)</f>
        <v>1</v>
      </c>
      <c r="L272" s="2" t="n">
        <f aca="false">IF(I272="yes",1,0)</f>
        <v>0</v>
      </c>
      <c r="M272" s="2" t="n">
        <f aca="false">IF(G272&lt;0,1,0)</f>
        <v>0</v>
      </c>
      <c r="N272" s="2" t="str">
        <f aca="false">_xlfn.IFS(B272&lt;30,"Under 30",B272&lt;40,"30-39",B272&lt;50,"40-49",B272&lt;60,"50-59",TRUE(),"60+")</f>
        <v>40-49</v>
      </c>
      <c r="O272" s="2" t="str">
        <f aca="false">_xlfn.IFS(G272&lt;0,"1 Negative",G272=0,"2 Zero",G272&lt;=500,"3 1-500",G272&lt;=2000,"4 501-2000",TRUE(),"5 Above 2000")</f>
        <v>2 Zero</v>
      </c>
      <c r="P272" s="2" t="n">
        <f aca="false">Lookups!$B$2*M272+Lookups!$B$3*L272</f>
        <v>0</v>
      </c>
      <c r="Q272" s="2" t="str">
        <f aca="false">INDEX(Lookups!$E$2:$E$5,MATCH(P272,Lookups!$D$2:$D$5,0))</f>
        <v>Low</v>
      </c>
    </row>
    <row r="273" customFormat="false" ht="15" hidden="false" customHeight="false" outlineLevel="0" collapsed="false">
      <c r="A273" s="3" t="n">
        <v>272</v>
      </c>
      <c r="B273" s="3" t="n">
        <f aca="false">Raw_Data!A273</f>
        <v>24</v>
      </c>
      <c r="C273" s="3" t="str">
        <f aca="false">SUBSTITUTE(Raw_Data!B273,".","")</f>
        <v>blue-collar</v>
      </c>
      <c r="D273" s="3" t="str">
        <f aca="false">Raw_Data!C273</f>
        <v>single</v>
      </c>
      <c r="E273" s="3" t="str">
        <f aca="false">Raw_Data!D273</f>
        <v>secondary</v>
      </c>
      <c r="F273" s="3" t="str">
        <f aca="false">Raw_Data!E273</f>
        <v>no</v>
      </c>
      <c r="G273" s="3" t="n">
        <f aca="false">Raw_Data!F273</f>
        <v>174</v>
      </c>
      <c r="H273" s="3" t="str">
        <f aca="false">Raw_Data!G273</f>
        <v>yes</v>
      </c>
      <c r="I273" s="3" t="str">
        <f aca="false">Raw_Data!H273</f>
        <v>yes</v>
      </c>
      <c r="J273" s="2" t="n">
        <f aca="false">IF(F273="yes",1,0)</f>
        <v>0</v>
      </c>
      <c r="K273" s="2" t="n">
        <f aca="false">IF(H273="yes",1,0)</f>
        <v>1</v>
      </c>
      <c r="L273" s="2" t="n">
        <f aca="false">IF(I273="yes",1,0)</f>
        <v>1</v>
      </c>
      <c r="M273" s="2" t="n">
        <f aca="false">IF(G273&lt;0,1,0)</f>
        <v>0</v>
      </c>
      <c r="N273" s="2" t="str">
        <f aca="false">_xlfn.IFS(B273&lt;30,"Under 30",B273&lt;40,"30-39",B273&lt;50,"40-49",B273&lt;60,"50-59",TRUE(),"60+")</f>
        <v>Under 30</v>
      </c>
      <c r="O273" s="2" t="str">
        <f aca="false">_xlfn.IFS(G273&lt;0,"1 Negative",G273=0,"2 Zero",G273&lt;=500,"3 1-500",G273&lt;=2000,"4 501-2000",TRUE(),"5 Above 2000")</f>
        <v>3 1-500</v>
      </c>
      <c r="P273" s="2" t="n">
        <f aca="false">Lookups!$B$2*M273+Lookups!$B$3*L273</f>
        <v>1</v>
      </c>
      <c r="Q273" s="2" t="str">
        <f aca="false">INDEX(Lookups!$E$2:$E$5,MATCH(P273,Lookups!$D$2:$D$5,0))</f>
        <v>Medium</v>
      </c>
    </row>
    <row r="274" customFormat="false" ht="15" hidden="false" customHeight="false" outlineLevel="0" collapsed="false">
      <c r="A274" s="3" t="n">
        <v>273</v>
      </c>
      <c r="B274" s="3" t="n">
        <f aca="false">Raw_Data!A274</f>
        <v>46</v>
      </c>
      <c r="C274" s="3" t="str">
        <f aca="false">SUBSTITUTE(Raw_Data!B274,".","")</f>
        <v>management</v>
      </c>
      <c r="D274" s="3" t="str">
        <f aca="false">Raw_Data!C274</f>
        <v>married</v>
      </c>
      <c r="E274" s="3" t="str">
        <f aca="false">Raw_Data!D274</f>
        <v>secondary</v>
      </c>
      <c r="F274" s="3" t="str">
        <f aca="false">Raw_Data!E274</f>
        <v>no</v>
      </c>
      <c r="G274" s="3" t="n">
        <f aca="false">Raw_Data!F274</f>
        <v>12186</v>
      </c>
      <c r="H274" s="3" t="str">
        <f aca="false">Raw_Data!G274</f>
        <v>no</v>
      </c>
      <c r="I274" s="3" t="str">
        <f aca="false">Raw_Data!H274</f>
        <v>no</v>
      </c>
      <c r="J274" s="2" t="n">
        <f aca="false">IF(F274="yes",1,0)</f>
        <v>0</v>
      </c>
      <c r="K274" s="2" t="n">
        <f aca="false">IF(H274="yes",1,0)</f>
        <v>0</v>
      </c>
      <c r="L274" s="2" t="n">
        <f aca="false">IF(I274="yes",1,0)</f>
        <v>0</v>
      </c>
      <c r="M274" s="2" t="n">
        <f aca="false">IF(G274&lt;0,1,0)</f>
        <v>0</v>
      </c>
      <c r="N274" s="2" t="str">
        <f aca="false">_xlfn.IFS(B274&lt;30,"Under 30",B274&lt;40,"30-39",B274&lt;50,"40-49",B274&lt;60,"50-59",TRUE(),"60+")</f>
        <v>40-49</v>
      </c>
      <c r="O274" s="2" t="str">
        <f aca="false">_xlfn.IFS(G274&lt;0,"1 Negative",G274=0,"2 Zero",G274&lt;=500,"3 1-500",G274&lt;=2000,"4 501-2000",TRUE(),"5 Above 2000")</f>
        <v>5 Above 2000</v>
      </c>
      <c r="P274" s="2" t="n">
        <f aca="false">Lookups!$B$2*M274+Lookups!$B$3*L274</f>
        <v>0</v>
      </c>
      <c r="Q274" s="2" t="str">
        <f aca="false">INDEX(Lookups!$E$2:$E$5,MATCH(P274,Lookups!$D$2:$D$5,0))</f>
        <v>Low</v>
      </c>
    </row>
    <row r="275" customFormat="false" ht="15" hidden="false" customHeight="false" outlineLevel="0" collapsed="false">
      <c r="A275" s="3" t="n">
        <v>274</v>
      </c>
      <c r="B275" s="3" t="n">
        <f aca="false">Raw_Data!A275</f>
        <v>35</v>
      </c>
      <c r="C275" s="3" t="str">
        <f aca="false">SUBSTITUTE(Raw_Data!B275,".","")</f>
        <v>self-employed</v>
      </c>
      <c r="D275" s="3" t="str">
        <f aca="false">Raw_Data!C275</f>
        <v>married</v>
      </c>
      <c r="E275" s="3" t="str">
        <f aca="false">Raw_Data!D275</f>
        <v>secondary</v>
      </c>
      <c r="F275" s="3" t="str">
        <f aca="false">Raw_Data!E275</f>
        <v>no</v>
      </c>
      <c r="G275" s="3" t="n">
        <f aca="false">Raw_Data!F275</f>
        <v>524</v>
      </c>
      <c r="H275" s="3" t="str">
        <f aca="false">Raw_Data!G275</f>
        <v>yes</v>
      </c>
      <c r="I275" s="3" t="str">
        <f aca="false">Raw_Data!H275</f>
        <v>no</v>
      </c>
      <c r="J275" s="2" t="n">
        <f aca="false">IF(F275="yes",1,0)</f>
        <v>0</v>
      </c>
      <c r="K275" s="2" t="n">
        <f aca="false">IF(H275="yes",1,0)</f>
        <v>1</v>
      </c>
      <c r="L275" s="2" t="n">
        <f aca="false">IF(I275="yes",1,0)</f>
        <v>0</v>
      </c>
      <c r="M275" s="2" t="n">
        <f aca="false">IF(G275&lt;0,1,0)</f>
        <v>0</v>
      </c>
      <c r="N275" s="2" t="str">
        <f aca="false">_xlfn.IFS(B275&lt;30,"Under 30",B275&lt;40,"30-39",B275&lt;50,"40-49",B275&lt;60,"50-59",TRUE(),"60+")</f>
        <v>30-39</v>
      </c>
      <c r="O275" s="2" t="str">
        <f aca="false">_xlfn.IFS(G275&lt;0,"1 Negative",G275=0,"2 Zero",G275&lt;=500,"3 1-500",G275&lt;=2000,"4 501-2000",TRUE(),"5 Above 2000")</f>
        <v>4 501-2000</v>
      </c>
      <c r="P275" s="2" t="n">
        <f aca="false">Lookups!$B$2*M275+Lookups!$B$3*L275</f>
        <v>0</v>
      </c>
      <c r="Q275" s="2" t="str">
        <f aca="false">INDEX(Lookups!$E$2:$E$5,MATCH(P275,Lookups!$D$2:$D$5,0))</f>
        <v>Low</v>
      </c>
    </row>
    <row r="276" customFormat="false" ht="15" hidden="false" customHeight="false" outlineLevel="0" collapsed="false">
      <c r="A276" s="3" t="n">
        <v>275</v>
      </c>
      <c r="B276" s="3" t="n">
        <f aca="false">Raw_Data!A276</f>
        <v>35</v>
      </c>
      <c r="C276" s="3" t="str">
        <f aca="false">SUBSTITUTE(Raw_Data!B276,".","")</f>
        <v>blue-collar</v>
      </c>
      <c r="D276" s="3" t="str">
        <f aca="false">Raw_Data!C276</f>
        <v>single</v>
      </c>
      <c r="E276" s="3" t="str">
        <f aca="false">Raw_Data!D276</f>
        <v>tertiary</v>
      </c>
      <c r="F276" s="3" t="str">
        <f aca="false">Raw_Data!E276</f>
        <v>no</v>
      </c>
      <c r="G276" s="3" t="n">
        <f aca="false">Raw_Data!F276</f>
        <v>0</v>
      </c>
      <c r="H276" s="3" t="str">
        <f aca="false">Raw_Data!G276</f>
        <v>yes</v>
      </c>
      <c r="I276" s="3" t="str">
        <f aca="false">Raw_Data!H276</f>
        <v>no</v>
      </c>
      <c r="J276" s="2" t="n">
        <f aca="false">IF(F276="yes",1,0)</f>
        <v>0</v>
      </c>
      <c r="K276" s="2" t="n">
        <f aca="false">IF(H276="yes",1,0)</f>
        <v>1</v>
      </c>
      <c r="L276" s="2" t="n">
        <f aca="false">IF(I276="yes",1,0)</f>
        <v>0</v>
      </c>
      <c r="M276" s="2" t="n">
        <f aca="false">IF(G276&lt;0,1,0)</f>
        <v>0</v>
      </c>
      <c r="N276" s="2" t="str">
        <f aca="false">_xlfn.IFS(B276&lt;30,"Under 30",B276&lt;40,"30-39",B276&lt;50,"40-49",B276&lt;60,"50-59",TRUE(),"60+")</f>
        <v>30-39</v>
      </c>
      <c r="O276" s="2" t="str">
        <f aca="false">_xlfn.IFS(G276&lt;0,"1 Negative",G276=0,"2 Zero",G276&lt;=500,"3 1-500",G276&lt;=2000,"4 501-2000",TRUE(),"5 Above 2000")</f>
        <v>2 Zero</v>
      </c>
      <c r="P276" s="2" t="n">
        <f aca="false">Lookups!$B$2*M276+Lookups!$B$3*L276</f>
        <v>0</v>
      </c>
      <c r="Q276" s="2" t="str">
        <f aca="false">INDEX(Lookups!$E$2:$E$5,MATCH(P276,Lookups!$D$2:$D$5,0))</f>
        <v>Low</v>
      </c>
    </row>
    <row r="277" customFormat="false" ht="15" hidden="false" customHeight="false" outlineLevel="0" collapsed="false">
      <c r="A277" s="3" t="n">
        <v>276</v>
      </c>
      <c r="B277" s="3" t="n">
        <f aca="false">Raw_Data!A277</f>
        <v>34</v>
      </c>
      <c r="C277" s="3" t="str">
        <f aca="false">SUBSTITUTE(Raw_Data!B277,".","")</f>
        <v>technician</v>
      </c>
      <c r="D277" s="3" t="str">
        <f aca="false">Raw_Data!C277</f>
        <v>married</v>
      </c>
      <c r="E277" s="3" t="str">
        <f aca="false">Raw_Data!D277</f>
        <v>secondary</v>
      </c>
      <c r="F277" s="3" t="str">
        <f aca="false">Raw_Data!E277</f>
        <v>no</v>
      </c>
      <c r="G277" s="3" t="n">
        <f aca="false">Raw_Data!F277</f>
        <v>4</v>
      </c>
      <c r="H277" s="3" t="str">
        <f aca="false">Raw_Data!G277</f>
        <v>yes</v>
      </c>
      <c r="I277" s="3" t="str">
        <f aca="false">Raw_Data!H277</f>
        <v>no</v>
      </c>
      <c r="J277" s="2" t="n">
        <f aca="false">IF(F277="yes",1,0)</f>
        <v>0</v>
      </c>
      <c r="K277" s="2" t="n">
        <f aca="false">IF(H277="yes",1,0)</f>
        <v>1</v>
      </c>
      <c r="L277" s="2" t="n">
        <f aca="false">IF(I277="yes",1,0)</f>
        <v>0</v>
      </c>
      <c r="M277" s="2" t="n">
        <f aca="false">IF(G277&lt;0,1,0)</f>
        <v>0</v>
      </c>
      <c r="N277" s="2" t="str">
        <f aca="false">_xlfn.IFS(B277&lt;30,"Under 30",B277&lt;40,"30-39",B277&lt;50,"40-49",B277&lt;60,"50-59",TRUE(),"60+")</f>
        <v>30-39</v>
      </c>
      <c r="O277" s="2" t="str">
        <f aca="false">_xlfn.IFS(G277&lt;0,"1 Negative",G277=0,"2 Zero",G277&lt;=500,"3 1-500",G277&lt;=2000,"4 501-2000",TRUE(),"5 Above 2000")</f>
        <v>3 1-500</v>
      </c>
      <c r="P277" s="2" t="n">
        <f aca="false">Lookups!$B$2*M277+Lookups!$B$3*L277</f>
        <v>0</v>
      </c>
      <c r="Q277" s="2" t="str">
        <f aca="false">INDEX(Lookups!$E$2:$E$5,MATCH(P277,Lookups!$D$2:$D$5,0))</f>
        <v>Low</v>
      </c>
    </row>
    <row r="278" customFormat="false" ht="15" hidden="false" customHeight="false" outlineLevel="0" collapsed="false">
      <c r="A278" s="3" t="n">
        <v>277</v>
      </c>
      <c r="B278" s="3" t="n">
        <f aca="false">Raw_Data!A278</f>
        <v>35</v>
      </c>
      <c r="C278" s="3" t="str">
        <f aca="false">SUBSTITUTE(Raw_Data!B278,".","")</f>
        <v>housemaid</v>
      </c>
      <c r="D278" s="3" t="str">
        <f aca="false">Raw_Data!C278</f>
        <v>married</v>
      </c>
      <c r="E278" s="3" t="str">
        <f aca="false">Raw_Data!D278</f>
        <v>tertiary</v>
      </c>
      <c r="F278" s="3" t="str">
        <f aca="false">Raw_Data!E278</f>
        <v>no</v>
      </c>
      <c r="G278" s="3" t="n">
        <f aca="false">Raw_Data!F278</f>
        <v>11219</v>
      </c>
      <c r="H278" s="3" t="str">
        <f aca="false">Raw_Data!G278</f>
        <v>no</v>
      </c>
      <c r="I278" s="3" t="str">
        <f aca="false">Raw_Data!H278</f>
        <v>no</v>
      </c>
      <c r="J278" s="2" t="n">
        <f aca="false">IF(F278="yes",1,0)</f>
        <v>0</v>
      </c>
      <c r="K278" s="2" t="n">
        <f aca="false">IF(H278="yes",1,0)</f>
        <v>0</v>
      </c>
      <c r="L278" s="2" t="n">
        <f aca="false">IF(I278="yes",1,0)</f>
        <v>0</v>
      </c>
      <c r="M278" s="2" t="n">
        <f aca="false">IF(G278&lt;0,1,0)</f>
        <v>0</v>
      </c>
      <c r="N278" s="2" t="str">
        <f aca="false">_xlfn.IFS(B278&lt;30,"Under 30",B278&lt;40,"30-39",B278&lt;50,"40-49",B278&lt;60,"50-59",TRUE(),"60+")</f>
        <v>30-39</v>
      </c>
      <c r="O278" s="2" t="str">
        <f aca="false">_xlfn.IFS(G278&lt;0,"1 Negative",G278=0,"2 Zero",G278&lt;=500,"3 1-500",G278&lt;=2000,"4 501-2000",TRUE(),"5 Above 2000")</f>
        <v>5 Above 2000</v>
      </c>
      <c r="P278" s="2" t="n">
        <f aca="false">Lookups!$B$2*M278+Lookups!$B$3*L278</f>
        <v>0</v>
      </c>
      <c r="Q278" s="2" t="str">
        <f aca="false">INDEX(Lookups!$E$2:$E$5,MATCH(P278,Lookups!$D$2:$D$5,0))</f>
        <v>Low</v>
      </c>
    </row>
    <row r="279" customFormat="false" ht="15" hidden="false" customHeight="false" outlineLevel="0" collapsed="false">
      <c r="A279" s="3" t="n">
        <v>278</v>
      </c>
      <c r="B279" s="3" t="n">
        <f aca="false">Raw_Data!A279</f>
        <v>38</v>
      </c>
      <c r="C279" s="3" t="str">
        <f aca="false">SUBSTITUTE(Raw_Data!B279,".","")</f>
        <v>technician</v>
      </c>
      <c r="D279" s="3" t="str">
        <f aca="false">Raw_Data!C279</f>
        <v>single</v>
      </c>
      <c r="E279" s="3" t="str">
        <f aca="false">Raw_Data!D279</f>
        <v>tertiary</v>
      </c>
      <c r="F279" s="3" t="str">
        <f aca="false">Raw_Data!E279</f>
        <v>no</v>
      </c>
      <c r="G279" s="3" t="n">
        <f aca="false">Raw_Data!F279</f>
        <v>0</v>
      </c>
      <c r="H279" s="3" t="str">
        <f aca="false">Raw_Data!G279</f>
        <v>no</v>
      </c>
      <c r="I279" s="3" t="str">
        <f aca="false">Raw_Data!H279</f>
        <v>no</v>
      </c>
      <c r="J279" s="2" t="n">
        <f aca="false">IF(F279="yes",1,0)</f>
        <v>0</v>
      </c>
      <c r="K279" s="2" t="n">
        <f aca="false">IF(H279="yes",1,0)</f>
        <v>0</v>
      </c>
      <c r="L279" s="2" t="n">
        <f aca="false">IF(I279="yes",1,0)</f>
        <v>0</v>
      </c>
      <c r="M279" s="2" t="n">
        <f aca="false">IF(G279&lt;0,1,0)</f>
        <v>0</v>
      </c>
      <c r="N279" s="2" t="str">
        <f aca="false">_xlfn.IFS(B279&lt;30,"Under 30",B279&lt;40,"30-39",B279&lt;50,"40-49",B279&lt;60,"50-59",TRUE(),"60+")</f>
        <v>30-39</v>
      </c>
      <c r="O279" s="2" t="str">
        <f aca="false">_xlfn.IFS(G279&lt;0,"1 Negative",G279=0,"2 Zero",G279&lt;=500,"3 1-500",G279&lt;=2000,"4 501-2000",TRUE(),"5 Above 2000")</f>
        <v>2 Zero</v>
      </c>
      <c r="P279" s="2" t="n">
        <f aca="false">Lookups!$B$2*M279+Lookups!$B$3*L279</f>
        <v>0</v>
      </c>
      <c r="Q279" s="2" t="str">
        <f aca="false">INDEX(Lookups!$E$2:$E$5,MATCH(P279,Lookups!$D$2:$D$5,0))</f>
        <v>Low</v>
      </c>
    </row>
    <row r="280" customFormat="false" ht="15" hidden="false" customHeight="false" outlineLevel="0" collapsed="false">
      <c r="A280" s="3" t="n">
        <v>279</v>
      </c>
      <c r="B280" s="3" t="n">
        <f aca="false">Raw_Data!A280</f>
        <v>50</v>
      </c>
      <c r="C280" s="3" t="str">
        <f aca="false">SUBSTITUTE(Raw_Data!B280,".","")</f>
        <v>blue-collar</v>
      </c>
      <c r="D280" s="3" t="str">
        <f aca="false">Raw_Data!C280</f>
        <v>married</v>
      </c>
      <c r="E280" s="3" t="str">
        <f aca="false">Raw_Data!D280</f>
        <v>primary</v>
      </c>
      <c r="F280" s="3" t="str">
        <f aca="false">Raw_Data!E280</f>
        <v>no</v>
      </c>
      <c r="G280" s="3" t="n">
        <f aca="false">Raw_Data!F280</f>
        <v>5776</v>
      </c>
      <c r="H280" s="3" t="str">
        <f aca="false">Raw_Data!G280</f>
        <v>no</v>
      </c>
      <c r="I280" s="3" t="str">
        <f aca="false">Raw_Data!H280</f>
        <v>no</v>
      </c>
      <c r="J280" s="2" t="n">
        <f aca="false">IF(F280="yes",1,0)</f>
        <v>0</v>
      </c>
      <c r="K280" s="2" t="n">
        <f aca="false">IF(H280="yes",1,0)</f>
        <v>0</v>
      </c>
      <c r="L280" s="2" t="n">
        <f aca="false">IF(I280="yes",1,0)</f>
        <v>0</v>
      </c>
      <c r="M280" s="2" t="n">
        <f aca="false">IF(G280&lt;0,1,0)</f>
        <v>0</v>
      </c>
      <c r="N280" s="2" t="str">
        <f aca="false">_xlfn.IFS(B280&lt;30,"Under 30",B280&lt;40,"30-39",B280&lt;50,"40-49",B280&lt;60,"50-59",TRUE(),"60+")</f>
        <v>50-59</v>
      </c>
      <c r="O280" s="2" t="str">
        <f aca="false">_xlfn.IFS(G280&lt;0,"1 Negative",G280=0,"2 Zero",G280&lt;=500,"3 1-500",G280&lt;=2000,"4 501-2000",TRUE(),"5 Above 2000")</f>
        <v>5 Above 2000</v>
      </c>
      <c r="P280" s="2" t="n">
        <f aca="false">Lookups!$B$2*M280+Lookups!$B$3*L280</f>
        <v>0</v>
      </c>
      <c r="Q280" s="2" t="str">
        <f aca="false">INDEX(Lookups!$E$2:$E$5,MATCH(P280,Lookups!$D$2:$D$5,0))</f>
        <v>Low</v>
      </c>
    </row>
    <row r="281" customFormat="false" ht="15" hidden="false" customHeight="false" outlineLevel="0" collapsed="false">
      <c r="A281" s="3" t="n">
        <v>280</v>
      </c>
      <c r="B281" s="3" t="n">
        <f aca="false">Raw_Data!A281</f>
        <v>51</v>
      </c>
      <c r="C281" s="3" t="str">
        <f aca="false">SUBSTITUTE(Raw_Data!B281,".","")</f>
        <v>blue-collar</v>
      </c>
      <c r="D281" s="3" t="str">
        <f aca="false">Raw_Data!C281</f>
        <v>divorced</v>
      </c>
      <c r="E281" s="3" t="str">
        <f aca="false">Raw_Data!D281</f>
        <v>primary</v>
      </c>
      <c r="F281" s="3" t="str">
        <f aca="false">Raw_Data!E281</f>
        <v>no</v>
      </c>
      <c r="G281" s="3" t="n">
        <f aca="false">Raw_Data!F281</f>
        <v>37</v>
      </c>
      <c r="H281" s="3" t="str">
        <f aca="false">Raw_Data!G281</f>
        <v>yes</v>
      </c>
      <c r="I281" s="3" t="str">
        <f aca="false">Raw_Data!H281</f>
        <v>no</v>
      </c>
      <c r="J281" s="2" t="n">
        <f aca="false">IF(F281="yes",1,0)</f>
        <v>0</v>
      </c>
      <c r="K281" s="2" t="n">
        <f aca="false">IF(H281="yes",1,0)</f>
        <v>1</v>
      </c>
      <c r="L281" s="2" t="n">
        <f aca="false">IF(I281="yes",1,0)</f>
        <v>0</v>
      </c>
      <c r="M281" s="2" t="n">
        <f aca="false">IF(G281&lt;0,1,0)</f>
        <v>0</v>
      </c>
      <c r="N281" s="2" t="str">
        <f aca="false">_xlfn.IFS(B281&lt;30,"Under 30",B281&lt;40,"30-39",B281&lt;50,"40-49",B281&lt;60,"50-59",TRUE(),"60+")</f>
        <v>50-59</v>
      </c>
      <c r="O281" s="2" t="str">
        <f aca="false">_xlfn.IFS(G281&lt;0,"1 Negative",G281=0,"2 Zero",G281&lt;=500,"3 1-500",G281&lt;=2000,"4 501-2000",TRUE(),"5 Above 2000")</f>
        <v>3 1-500</v>
      </c>
      <c r="P281" s="2" t="n">
        <f aca="false">Lookups!$B$2*M281+Lookups!$B$3*L281</f>
        <v>0</v>
      </c>
      <c r="Q281" s="2" t="str">
        <f aca="false">INDEX(Lookups!$E$2:$E$5,MATCH(P281,Lookups!$D$2:$D$5,0))</f>
        <v>Low</v>
      </c>
    </row>
    <row r="282" customFormat="false" ht="15" hidden="false" customHeight="false" outlineLevel="0" collapsed="false">
      <c r="A282" s="3" t="n">
        <v>281</v>
      </c>
      <c r="B282" s="3" t="n">
        <f aca="false">Raw_Data!A282</f>
        <v>59</v>
      </c>
      <c r="C282" s="3" t="str">
        <f aca="false">SUBSTITUTE(Raw_Data!B282,".","")</f>
        <v>self-employed</v>
      </c>
      <c r="D282" s="3" t="str">
        <f aca="false">Raw_Data!C282</f>
        <v>married</v>
      </c>
      <c r="E282" s="3" t="str">
        <f aca="false">Raw_Data!D282</f>
        <v>tertiary</v>
      </c>
      <c r="F282" s="3" t="str">
        <f aca="false">Raw_Data!E282</f>
        <v>no</v>
      </c>
      <c r="G282" s="3" t="n">
        <f aca="false">Raw_Data!F282</f>
        <v>593</v>
      </c>
      <c r="H282" s="3" t="str">
        <f aca="false">Raw_Data!G282</f>
        <v>no</v>
      </c>
      <c r="I282" s="3" t="str">
        <f aca="false">Raw_Data!H282</f>
        <v>no</v>
      </c>
      <c r="J282" s="2" t="n">
        <f aca="false">IF(F282="yes",1,0)</f>
        <v>0</v>
      </c>
      <c r="K282" s="2" t="n">
        <f aca="false">IF(H282="yes",1,0)</f>
        <v>0</v>
      </c>
      <c r="L282" s="2" t="n">
        <f aca="false">IF(I282="yes",1,0)</f>
        <v>0</v>
      </c>
      <c r="M282" s="2" t="n">
        <f aca="false">IF(G282&lt;0,1,0)</f>
        <v>0</v>
      </c>
      <c r="N282" s="2" t="str">
        <f aca="false">_xlfn.IFS(B282&lt;30,"Under 30",B282&lt;40,"30-39",B282&lt;50,"40-49",B282&lt;60,"50-59",TRUE(),"60+")</f>
        <v>50-59</v>
      </c>
      <c r="O282" s="2" t="str">
        <f aca="false">_xlfn.IFS(G282&lt;0,"1 Negative",G282=0,"2 Zero",G282&lt;=500,"3 1-500",G282&lt;=2000,"4 501-2000",TRUE(),"5 Above 2000")</f>
        <v>4 501-2000</v>
      </c>
      <c r="P282" s="2" t="n">
        <f aca="false">Lookups!$B$2*M282+Lookups!$B$3*L282</f>
        <v>0</v>
      </c>
      <c r="Q282" s="2" t="str">
        <f aca="false">INDEX(Lookups!$E$2:$E$5,MATCH(P282,Lookups!$D$2:$D$5,0))</f>
        <v>Low</v>
      </c>
    </row>
    <row r="283" customFormat="false" ht="15" hidden="false" customHeight="false" outlineLevel="0" collapsed="false">
      <c r="A283" s="3" t="n">
        <v>282</v>
      </c>
      <c r="B283" s="3" t="n">
        <f aca="false">Raw_Data!A283</f>
        <v>32</v>
      </c>
      <c r="C283" s="3" t="str">
        <f aca="false">SUBSTITUTE(Raw_Data!B283,".","")</f>
        <v>blue-collar</v>
      </c>
      <c r="D283" s="3" t="str">
        <f aca="false">Raw_Data!C283</f>
        <v>married</v>
      </c>
      <c r="E283" s="3" t="str">
        <f aca="false">Raw_Data!D283</f>
        <v>secondary</v>
      </c>
      <c r="F283" s="3" t="str">
        <f aca="false">Raw_Data!E283</f>
        <v>no</v>
      </c>
      <c r="G283" s="3" t="n">
        <f aca="false">Raw_Data!F283</f>
        <v>1148</v>
      </c>
      <c r="H283" s="3" t="str">
        <f aca="false">Raw_Data!G283</f>
        <v>yes</v>
      </c>
      <c r="I283" s="3" t="str">
        <f aca="false">Raw_Data!H283</f>
        <v>no</v>
      </c>
      <c r="J283" s="2" t="n">
        <f aca="false">IF(F283="yes",1,0)</f>
        <v>0</v>
      </c>
      <c r="K283" s="2" t="n">
        <f aca="false">IF(H283="yes",1,0)</f>
        <v>1</v>
      </c>
      <c r="L283" s="2" t="n">
        <f aca="false">IF(I283="yes",1,0)</f>
        <v>0</v>
      </c>
      <c r="M283" s="2" t="n">
        <f aca="false">IF(G283&lt;0,1,0)</f>
        <v>0</v>
      </c>
      <c r="N283" s="2" t="str">
        <f aca="false">_xlfn.IFS(B283&lt;30,"Under 30",B283&lt;40,"30-39",B283&lt;50,"40-49",B283&lt;60,"50-59",TRUE(),"60+")</f>
        <v>30-39</v>
      </c>
      <c r="O283" s="2" t="str">
        <f aca="false">_xlfn.IFS(G283&lt;0,"1 Negative",G283=0,"2 Zero",G283&lt;=500,"3 1-500",G283&lt;=2000,"4 501-2000",TRUE(),"5 Above 2000")</f>
        <v>4 501-2000</v>
      </c>
      <c r="P283" s="2" t="n">
        <f aca="false">Lookups!$B$2*M283+Lookups!$B$3*L283</f>
        <v>0</v>
      </c>
      <c r="Q283" s="2" t="str">
        <f aca="false">INDEX(Lookups!$E$2:$E$5,MATCH(P283,Lookups!$D$2:$D$5,0))</f>
        <v>Low</v>
      </c>
    </row>
    <row r="284" customFormat="false" ht="15" hidden="false" customHeight="false" outlineLevel="0" collapsed="false">
      <c r="A284" s="3" t="n">
        <v>283</v>
      </c>
      <c r="B284" s="3" t="n">
        <f aca="false">Raw_Data!A284</f>
        <v>37</v>
      </c>
      <c r="C284" s="3" t="str">
        <f aca="false">SUBSTITUTE(Raw_Data!B284,".","")</f>
        <v>blue-collar</v>
      </c>
      <c r="D284" s="3" t="str">
        <f aca="false">Raw_Data!C284</f>
        <v>single</v>
      </c>
      <c r="E284" s="3" t="str">
        <f aca="false">Raw_Data!D284</f>
        <v>secondary</v>
      </c>
      <c r="F284" s="3" t="str">
        <f aca="false">Raw_Data!E284</f>
        <v>no</v>
      </c>
      <c r="G284" s="3" t="n">
        <f aca="false">Raw_Data!F284</f>
        <v>3561</v>
      </c>
      <c r="H284" s="3" t="str">
        <f aca="false">Raw_Data!G284</f>
        <v>yes</v>
      </c>
      <c r="I284" s="3" t="str">
        <f aca="false">Raw_Data!H284</f>
        <v>no</v>
      </c>
      <c r="J284" s="2" t="n">
        <f aca="false">IF(F284="yes",1,0)</f>
        <v>0</v>
      </c>
      <c r="K284" s="2" t="n">
        <f aca="false">IF(H284="yes",1,0)</f>
        <v>1</v>
      </c>
      <c r="L284" s="2" t="n">
        <f aca="false">IF(I284="yes",1,0)</f>
        <v>0</v>
      </c>
      <c r="M284" s="2" t="n">
        <f aca="false">IF(G284&lt;0,1,0)</f>
        <v>0</v>
      </c>
      <c r="N284" s="2" t="str">
        <f aca="false">_xlfn.IFS(B284&lt;30,"Under 30",B284&lt;40,"30-39",B284&lt;50,"40-49",B284&lt;60,"50-59",TRUE(),"60+")</f>
        <v>30-39</v>
      </c>
      <c r="O284" s="2" t="str">
        <f aca="false">_xlfn.IFS(G284&lt;0,"1 Negative",G284=0,"2 Zero",G284&lt;=500,"3 1-500",G284&lt;=2000,"4 501-2000",TRUE(),"5 Above 2000")</f>
        <v>5 Above 2000</v>
      </c>
      <c r="P284" s="2" t="n">
        <f aca="false">Lookups!$B$2*M284+Lookups!$B$3*L284</f>
        <v>0</v>
      </c>
      <c r="Q284" s="2" t="str">
        <f aca="false">INDEX(Lookups!$E$2:$E$5,MATCH(P284,Lookups!$D$2:$D$5,0))</f>
        <v>Low</v>
      </c>
    </row>
    <row r="285" customFormat="false" ht="15" hidden="false" customHeight="false" outlineLevel="0" collapsed="false">
      <c r="A285" s="3" t="n">
        <v>284</v>
      </c>
      <c r="B285" s="3" t="n">
        <f aca="false">Raw_Data!A285</f>
        <v>42</v>
      </c>
      <c r="C285" s="3" t="str">
        <f aca="false">SUBSTITUTE(Raw_Data!B285,".","")</f>
        <v>admin</v>
      </c>
      <c r="D285" s="3" t="str">
        <f aca="false">Raw_Data!C285</f>
        <v>divorced</v>
      </c>
      <c r="E285" s="3" t="str">
        <f aca="false">Raw_Data!D285</f>
        <v>secondary</v>
      </c>
      <c r="F285" s="3" t="str">
        <f aca="false">Raw_Data!E285</f>
        <v>no</v>
      </c>
      <c r="G285" s="3" t="n">
        <f aca="false">Raw_Data!F285</f>
        <v>63</v>
      </c>
      <c r="H285" s="3" t="str">
        <f aca="false">Raw_Data!G285</f>
        <v>no</v>
      </c>
      <c r="I285" s="3" t="str">
        <f aca="false">Raw_Data!H285</f>
        <v>no</v>
      </c>
      <c r="J285" s="2" t="n">
        <f aca="false">IF(F285="yes",1,0)</f>
        <v>0</v>
      </c>
      <c r="K285" s="2" t="n">
        <f aca="false">IF(H285="yes",1,0)</f>
        <v>0</v>
      </c>
      <c r="L285" s="2" t="n">
        <f aca="false">IF(I285="yes",1,0)</f>
        <v>0</v>
      </c>
      <c r="M285" s="2" t="n">
        <f aca="false">IF(G285&lt;0,1,0)</f>
        <v>0</v>
      </c>
      <c r="N285" s="2" t="str">
        <f aca="false">_xlfn.IFS(B285&lt;30,"Under 30",B285&lt;40,"30-39",B285&lt;50,"40-49",B285&lt;60,"50-59",TRUE(),"60+")</f>
        <v>40-49</v>
      </c>
      <c r="O285" s="2" t="str">
        <f aca="false">_xlfn.IFS(G285&lt;0,"1 Negative",G285=0,"2 Zero",G285&lt;=500,"3 1-500",G285&lt;=2000,"4 501-2000",TRUE(),"5 Above 2000")</f>
        <v>3 1-500</v>
      </c>
      <c r="P285" s="2" t="n">
        <f aca="false">Lookups!$B$2*M285+Lookups!$B$3*L285</f>
        <v>0</v>
      </c>
      <c r="Q285" s="2" t="str">
        <f aca="false">INDEX(Lookups!$E$2:$E$5,MATCH(P285,Lookups!$D$2:$D$5,0))</f>
        <v>Low</v>
      </c>
    </row>
    <row r="286" customFormat="false" ht="15" hidden="false" customHeight="false" outlineLevel="0" collapsed="false">
      <c r="A286" s="3" t="n">
        <v>285</v>
      </c>
      <c r="B286" s="3" t="n">
        <f aca="false">Raw_Data!A286</f>
        <v>40</v>
      </c>
      <c r="C286" s="3" t="str">
        <f aca="false">SUBSTITUTE(Raw_Data!B286,".","")</f>
        <v>student</v>
      </c>
      <c r="D286" s="3" t="str">
        <f aca="false">Raw_Data!C286</f>
        <v>married</v>
      </c>
      <c r="E286" s="3" t="str">
        <f aca="false">Raw_Data!D286</f>
        <v>secondary</v>
      </c>
      <c r="F286" s="3" t="str">
        <f aca="false">Raw_Data!E286</f>
        <v>no</v>
      </c>
      <c r="G286" s="3" t="n">
        <f aca="false">Raw_Data!F286</f>
        <v>260</v>
      </c>
      <c r="H286" s="3" t="str">
        <f aca="false">Raw_Data!G286</f>
        <v>no</v>
      </c>
      <c r="I286" s="3" t="str">
        <f aca="false">Raw_Data!H286</f>
        <v>no</v>
      </c>
      <c r="J286" s="2" t="n">
        <f aca="false">IF(F286="yes",1,0)</f>
        <v>0</v>
      </c>
      <c r="K286" s="2" t="n">
        <f aca="false">IF(H286="yes",1,0)</f>
        <v>0</v>
      </c>
      <c r="L286" s="2" t="n">
        <f aca="false">IF(I286="yes",1,0)</f>
        <v>0</v>
      </c>
      <c r="M286" s="2" t="n">
        <f aca="false">IF(G286&lt;0,1,0)</f>
        <v>0</v>
      </c>
      <c r="N286" s="2" t="str">
        <f aca="false">_xlfn.IFS(B286&lt;30,"Under 30",B286&lt;40,"30-39",B286&lt;50,"40-49",B286&lt;60,"50-59",TRUE(),"60+")</f>
        <v>40-49</v>
      </c>
      <c r="O286" s="2" t="str">
        <f aca="false">_xlfn.IFS(G286&lt;0,"1 Negative",G286=0,"2 Zero",G286&lt;=500,"3 1-500",G286&lt;=2000,"4 501-2000",TRUE(),"5 Above 2000")</f>
        <v>3 1-500</v>
      </c>
      <c r="P286" s="2" t="n">
        <f aca="false">Lookups!$B$2*M286+Lookups!$B$3*L286</f>
        <v>0</v>
      </c>
      <c r="Q286" s="2" t="str">
        <f aca="false">INDEX(Lookups!$E$2:$E$5,MATCH(P286,Lookups!$D$2:$D$5,0))</f>
        <v>Low</v>
      </c>
    </row>
    <row r="287" customFormat="false" ht="15" hidden="false" customHeight="false" outlineLevel="0" collapsed="false">
      <c r="A287" s="3" t="n">
        <v>286</v>
      </c>
      <c r="B287" s="3" t="n">
        <f aca="false">Raw_Data!A287</f>
        <v>28</v>
      </c>
      <c r="C287" s="3" t="str">
        <f aca="false">SUBSTITUTE(Raw_Data!B287,".","")</f>
        <v>technician</v>
      </c>
      <c r="D287" s="3" t="str">
        <f aca="false">Raw_Data!C287</f>
        <v>single</v>
      </c>
      <c r="E287" s="3" t="str">
        <f aca="false">Raw_Data!D287</f>
        <v>tertiary</v>
      </c>
      <c r="F287" s="3" t="str">
        <f aca="false">Raw_Data!E287</f>
        <v>no</v>
      </c>
      <c r="G287" s="3" t="n">
        <f aca="false">Raw_Data!F287</f>
        <v>2269</v>
      </c>
      <c r="H287" s="3" t="str">
        <f aca="false">Raw_Data!G287</f>
        <v>yes</v>
      </c>
      <c r="I287" s="3" t="str">
        <f aca="false">Raw_Data!H287</f>
        <v>no</v>
      </c>
      <c r="J287" s="2" t="n">
        <f aca="false">IF(F287="yes",1,0)</f>
        <v>0</v>
      </c>
      <c r="K287" s="2" t="n">
        <f aca="false">IF(H287="yes",1,0)</f>
        <v>1</v>
      </c>
      <c r="L287" s="2" t="n">
        <f aca="false">IF(I287="yes",1,0)</f>
        <v>0</v>
      </c>
      <c r="M287" s="2" t="n">
        <f aca="false">IF(G287&lt;0,1,0)</f>
        <v>0</v>
      </c>
      <c r="N287" s="2" t="str">
        <f aca="false">_xlfn.IFS(B287&lt;30,"Under 30",B287&lt;40,"30-39",B287&lt;50,"40-49",B287&lt;60,"50-59",TRUE(),"60+")</f>
        <v>Under 30</v>
      </c>
      <c r="O287" s="2" t="str">
        <f aca="false">_xlfn.IFS(G287&lt;0,"1 Negative",G287=0,"2 Zero",G287&lt;=500,"3 1-500",G287&lt;=2000,"4 501-2000",TRUE(),"5 Above 2000")</f>
        <v>5 Above 2000</v>
      </c>
      <c r="P287" s="2" t="n">
        <f aca="false">Lookups!$B$2*M287+Lookups!$B$3*L287</f>
        <v>0</v>
      </c>
      <c r="Q287" s="2" t="str">
        <f aca="false">INDEX(Lookups!$E$2:$E$5,MATCH(P287,Lookups!$D$2:$D$5,0))</f>
        <v>Low</v>
      </c>
    </row>
    <row r="288" customFormat="false" ht="15" hidden="false" customHeight="false" outlineLevel="0" collapsed="false">
      <c r="A288" s="3" t="n">
        <v>287</v>
      </c>
      <c r="B288" s="3" t="n">
        <f aca="false">Raw_Data!A288</f>
        <v>47</v>
      </c>
      <c r="C288" s="3" t="str">
        <f aca="false">SUBSTITUTE(Raw_Data!B288,".","")</f>
        <v>admin</v>
      </c>
      <c r="D288" s="3" t="str">
        <f aca="false">Raw_Data!C288</f>
        <v>married</v>
      </c>
      <c r="E288" s="3" t="str">
        <f aca="false">Raw_Data!D288</f>
        <v>secondary</v>
      </c>
      <c r="F288" s="3" t="str">
        <f aca="false">Raw_Data!E288</f>
        <v>no</v>
      </c>
      <c r="G288" s="3" t="n">
        <f aca="false">Raw_Data!F288</f>
        <v>1060</v>
      </c>
      <c r="H288" s="3" t="str">
        <f aca="false">Raw_Data!G288</f>
        <v>yes</v>
      </c>
      <c r="I288" s="3" t="str">
        <f aca="false">Raw_Data!H288</f>
        <v>no</v>
      </c>
      <c r="J288" s="2" t="n">
        <f aca="false">IF(F288="yes",1,0)</f>
        <v>0</v>
      </c>
      <c r="K288" s="2" t="n">
        <f aca="false">IF(H288="yes",1,0)</f>
        <v>1</v>
      </c>
      <c r="L288" s="2" t="n">
        <f aca="false">IF(I288="yes",1,0)</f>
        <v>0</v>
      </c>
      <c r="M288" s="2" t="n">
        <f aca="false">IF(G288&lt;0,1,0)</f>
        <v>0</v>
      </c>
      <c r="N288" s="2" t="str">
        <f aca="false">_xlfn.IFS(B288&lt;30,"Under 30",B288&lt;40,"30-39",B288&lt;50,"40-49",B288&lt;60,"50-59",TRUE(),"60+")</f>
        <v>40-49</v>
      </c>
      <c r="O288" s="2" t="str">
        <f aca="false">_xlfn.IFS(G288&lt;0,"1 Negative",G288=0,"2 Zero",G288&lt;=500,"3 1-500",G288&lt;=2000,"4 501-2000",TRUE(),"5 Above 2000")</f>
        <v>4 501-2000</v>
      </c>
      <c r="P288" s="2" t="n">
        <f aca="false">Lookups!$B$2*M288+Lookups!$B$3*L288</f>
        <v>0</v>
      </c>
      <c r="Q288" s="2" t="str">
        <f aca="false">INDEX(Lookups!$E$2:$E$5,MATCH(P288,Lookups!$D$2:$D$5,0))</f>
        <v>Low</v>
      </c>
    </row>
    <row r="289" customFormat="false" ht="15" hidden="false" customHeight="false" outlineLevel="0" collapsed="false">
      <c r="A289" s="3" t="n">
        <v>288</v>
      </c>
      <c r="B289" s="3" t="n">
        <f aca="false">Raw_Data!A289</f>
        <v>27</v>
      </c>
      <c r="C289" s="3" t="str">
        <f aca="false">SUBSTITUTE(Raw_Data!B289,".","")</f>
        <v>self-employed</v>
      </c>
      <c r="D289" s="3" t="str">
        <f aca="false">Raw_Data!C289</f>
        <v>married</v>
      </c>
      <c r="E289" s="3" t="str">
        <f aca="false">Raw_Data!D289</f>
        <v>secondary</v>
      </c>
      <c r="F289" s="3" t="str">
        <f aca="false">Raw_Data!E289</f>
        <v>no</v>
      </c>
      <c r="G289" s="3" t="n">
        <f aca="false">Raw_Data!F289</f>
        <v>-220</v>
      </c>
      <c r="H289" s="3" t="str">
        <f aca="false">Raw_Data!G289</f>
        <v>yes</v>
      </c>
      <c r="I289" s="3" t="str">
        <f aca="false">Raw_Data!H289</f>
        <v>no</v>
      </c>
      <c r="J289" s="2" t="n">
        <f aca="false">IF(F289="yes",1,0)</f>
        <v>0</v>
      </c>
      <c r="K289" s="2" t="n">
        <f aca="false">IF(H289="yes",1,0)</f>
        <v>1</v>
      </c>
      <c r="L289" s="2" t="n">
        <f aca="false">IF(I289="yes",1,0)</f>
        <v>0</v>
      </c>
      <c r="M289" s="2" t="n">
        <f aca="false">IF(G289&lt;0,1,0)</f>
        <v>1</v>
      </c>
      <c r="N289" s="2" t="str">
        <f aca="false">_xlfn.IFS(B289&lt;30,"Under 30",B289&lt;40,"30-39",B289&lt;50,"40-49",B289&lt;60,"50-59",TRUE(),"60+")</f>
        <v>Under 30</v>
      </c>
      <c r="O289" s="2" t="str">
        <f aca="false">_xlfn.IFS(G289&lt;0,"1 Negative",G289=0,"2 Zero",G289&lt;=500,"3 1-500",G289&lt;=2000,"4 501-2000",TRUE(),"5 Above 2000")</f>
        <v>1 Negative</v>
      </c>
      <c r="P289" s="2" t="n">
        <f aca="false">Lookups!$B$2*M289+Lookups!$B$3*L289</f>
        <v>2</v>
      </c>
      <c r="Q289" s="2" t="str">
        <f aca="false">INDEX(Lookups!$E$2:$E$5,MATCH(P289,Lookups!$D$2:$D$5,0))</f>
        <v>High</v>
      </c>
    </row>
    <row r="290" customFormat="false" ht="15" hidden="false" customHeight="false" outlineLevel="0" collapsed="false">
      <c r="A290" s="3" t="n">
        <v>289</v>
      </c>
      <c r="B290" s="3" t="n">
        <f aca="false">Raw_Data!A290</f>
        <v>41</v>
      </c>
      <c r="C290" s="3" t="str">
        <f aca="false">SUBSTITUTE(Raw_Data!B290,".","")</f>
        <v>management</v>
      </c>
      <c r="D290" s="3" t="str">
        <f aca="false">Raw_Data!C290</f>
        <v>married</v>
      </c>
      <c r="E290" s="3" t="str">
        <f aca="false">Raw_Data!D290</f>
        <v>tertiary</v>
      </c>
      <c r="F290" s="3" t="str">
        <f aca="false">Raw_Data!E290</f>
        <v>no</v>
      </c>
      <c r="G290" s="3" t="n">
        <f aca="false">Raw_Data!F290</f>
        <v>49</v>
      </c>
      <c r="H290" s="3" t="str">
        <f aca="false">Raw_Data!G290</f>
        <v>yes</v>
      </c>
      <c r="I290" s="3" t="str">
        <f aca="false">Raw_Data!H290</f>
        <v>no</v>
      </c>
      <c r="J290" s="2" t="n">
        <f aca="false">IF(F290="yes",1,0)</f>
        <v>0</v>
      </c>
      <c r="K290" s="2" t="n">
        <f aca="false">IF(H290="yes",1,0)</f>
        <v>1</v>
      </c>
      <c r="L290" s="2" t="n">
        <f aca="false">IF(I290="yes",1,0)</f>
        <v>0</v>
      </c>
      <c r="M290" s="2" t="n">
        <f aca="false">IF(G290&lt;0,1,0)</f>
        <v>0</v>
      </c>
      <c r="N290" s="2" t="str">
        <f aca="false">_xlfn.IFS(B290&lt;30,"Under 30",B290&lt;40,"30-39",B290&lt;50,"40-49",B290&lt;60,"50-59",TRUE(),"60+")</f>
        <v>40-49</v>
      </c>
      <c r="O290" s="2" t="str">
        <f aca="false">_xlfn.IFS(G290&lt;0,"1 Negative",G290=0,"2 Zero",G290&lt;=500,"3 1-500",G290&lt;=2000,"4 501-2000",TRUE(),"5 Above 2000")</f>
        <v>3 1-500</v>
      </c>
      <c r="P290" s="2" t="n">
        <f aca="false">Lookups!$B$2*M290+Lookups!$B$3*L290</f>
        <v>0</v>
      </c>
      <c r="Q290" s="2" t="str">
        <f aca="false">INDEX(Lookups!$E$2:$E$5,MATCH(P290,Lookups!$D$2:$D$5,0))</f>
        <v>Low</v>
      </c>
    </row>
    <row r="291" customFormat="false" ht="15" hidden="false" customHeight="false" outlineLevel="0" collapsed="false">
      <c r="A291" s="3" t="n">
        <v>290</v>
      </c>
      <c r="B291" s="3" t="n">
        <f aca="false">Raw_Data!A291</f>
        <v>34</v>
      </c>
      <c r="C291" s="3" t="str">
        <f aca="false">SUBSTITUTE(Raw_Data!B291,".","")</f>
        <v>admin</v>
      </c>
      <c r="D291" s="3" t="str">
        <f aca="false">Raw_Data!C291</f>
        <v>married</v>
      </c>
      <c r="E291" s="3" t="str">
        <f aca="false">Raw_Data!D291</f>
        <v>tertiary</v>
      </c>
      <c r="F291" s="3" t="str">
        <f aca="false">Raw_Data!E291</f>
        <v>no</v>
      </c>
      <c r="G291" s="3" t="n">
        <f aca="false">Raw_Data!F291</f>
        <v>69</v>
      </c>
      <c r="H291" s="3" t="str">
        <f aca="false">Raw_Data!G291</f>
        <v>no</v>
      </c>
      <c r="I291" s="3" t="str">
        <f aca="false">Raw_Data!H291</f>
        <v>yes</v>
      </c>
      <c r="J291" s="2" t="n">
        <f aca="false">IF(F291="yes",1,0)</f>
        <v>0</v>
      </c>
      <c r="K291" s="2" t="n">
        <f aca="false">IF(H291="yes",1,0)</f>
        <v>0</v>
      </c>
      <c r="L291" s="2" t="n">
        <f aca="false">IF(I291="yes",1,0)</f>
        <v>1</v>
      </c>
      <c r="M291" s="2" t="n">
        <f aca="false">IF(G291&lt;0,1,0)</f>
        <v>0</v>
      </c>
      <c r="N291" s="2" t="str">
        <f aca="false">_xlfn.IFS(B291&lt;30,"Under 30",B291&lt;40,"30-39",B291&lt;50,"40-49",B291&lt;60,"50-59",TRUE(),"60+")</f>
        <v>30-39</v>
      </c>
      <c r="O291" s="2" t="str">
        <f aca="false">_xlfn.IFS(G291&lt;0,"1 Negative",G291=0,"2 Zero",G291&lt;=500,"3 1-500",G291&lt;=2000,"4 501-2000",TRUE(),"5 Above 2000")</f>
        <v>3 1-500</v>
      </c>
      <c r="P291" s="2" t="n">
        <f aca="false">Lookups!$B$2*M291+Lookups!$B$3*L291</f>
        <v>1</v>
      </c>
      <c r="Q291" s="2" t="str">
        <f aca="false">INDEX(Lookups!$E$2:$E$5,MATCH(P291,Lookups!$D$2:$D$5,0))</f>
        <v>Medium</v>
      </c>
    </row>
    <row r="292" customFormat="false" ht="15" hidden="false" customHeight="false" outlineLevel="0" collapsed="false">
      <c r="A292" s="3" t="n">
        <v>291</v>
      </c>
      <c r="B292" s="3" t="n">
        <f aca="false">Raw_Data!A292</f>
        <v>50</v>
      </c>
      <c r="C292" s="3" t="str">
        <f aca="false">SUBSTITUTE(Raw_Data!B292,".","")</f>
        <v>blue-collar</v>
      </c>
      <c r="D292" s="3" t="str">
        <f aca="false">Raw_Data!C292</f>
        <v>married</v>
      </c>
      <c r="E292" s="3" t="str">
        <f aca="false">Raw_Data!D292</f>
        <v>primary</v>
      </c>
      <c r="F292" s="3" t="str">
        <f aca="false">Raw_Data!E292</f>
        <v>no</v>
      </c>
      <c r="G292" s="3" t="n">
        <f aca="false">Raw_Data!F292</f>
        <v>4108</v>
      </c>
      <c r="H292" s="3" t="str">
        <f aca="false">Raw_Data!G292</f>
        <v>yes</v>
      </c>
      <c r="I292" s="3" t="str">
        <f aca="false">Raw_Data!H292</f>
        <v>no</v>
      </c>
      <c r="J292" s="2" t="n">
        <f aca="false">IF(F292="yes",1,0)</f>
        <v>0</v>
      </c>
      <c r="K292" s="2" t="n">
        <f aca="false">IF(H292="yes",1,0)</f>
        <v>1</v>
      </c>
      <c r="L292" s="2" t="n">
        <f aca="false">IF(I292="yes",1,0)</f>
        <v>0</v>
      </c>
      <c r="M292" s="2" t="n">
        <f aca="false">IF(G292&lt;0,1,0)</f>
        <v>0</v>
      </c>
      <c r="N292" s="2" t="str">
        <f aca="false">_xlfn.IFS(B292&lt;30,"Under 30",B292&lt;40,"30-39",B292&lt;50,"40-49",B292&lt;60,"50-59",TRUE(),"60+")</f>
        <v>50-59</v>
      </c>
      <c r="O292" s="2" t="str">
        <f aca="false">_xlfn.IFS(G292&lt;0,"1 Negative",G292=0,"2 Zero",G292&lt;=500,"3 1-500",G292&lt;=2000,"4 501-2000",TRUE(),"5 Above 2000")</f>
        <v>5 Above 2000</v>
      </c>
      <c r="P292" s="2" t="n">
        <f aca="false">Lookups!$B$2*M292+Lookups!$B$3*L292</f>
        <v>0</v>
      </c>
      <c r="Q292" s="2" t="str">
        <f aca="false">INDEX(Lookups!$E$2:$E$5,MATCH(P292,Lookups!$D$2:$D$5,0))</f>
        <v>Low</v>
      </c>
    </row>
    <row r="293" customFormat="false" ht="15" hidden="false" customHeight="false" outlineLevel="0" collapsed="false">
      <c r="A293" s="3" t="n">
        <v>292</v>
      </c>
      <c r="B293" s="3" t="n">
        <f aca="false">Raw_Data!A293</f>
        <v>47</v>
      </c>
      <c r="C293" s="3" t="str">
        <f aca="false">SUBSTITUTE(Raw_Data!B293,".","")</f>
        <v>blue-collar</v>
      </c>
      <c r="D293" s="3" t="str">
        <f aca="false">Raw_Data!C293</f>
        <v>married</v>
      </c>
      <c r="E293" s="3" t="str">
        <f aca="false">Raw_Data!D293</f>
        <v>secondary</v>
      </c>
      <c r="F293" s="3" t="str">
        <f aca="false">Raw_Data!E293</f>
        <v>no</v>
      </c>
      <c r="G293" s="3" t="n">
        <f aca="false">Raw_Data!F293</f>
        <v>480</v>
      </c>
      <c r="H293" s="3" t="str">
        <f aca="false">Raw_Data!G293</f>
        <v>yes</v>
      </c>
      <c r="I293" s="3" t="str">
        <f aca="false">Raw_Data!H293</f>
        <v>no</v>
      </c>
      <c r="J293" s="2" t="n">
        <f aca="false">IF(F293="yes",1,0)</f>
        <v>0</v>
      </c>
      <c r="K293" s="2" t="n">
        <f aca="false">IF(H293="yes",1,0)</f>
        <v>1</v>
      </c>
      <c r="L293" s="2" t="n">
        <f aca="false">IF(I293="yes",1,0)</f>
        <v>0</v>
      </c>
      <c r="M293" s="2" t="n">
        <f aca="false">IF(G293&lt;0,1,0)</f>
        <v>0</v>
      </c>
      <c r="N293" s="2" t="str">
        <f aca="false">_xlfn.IFS(B293&lt;30,"Under 30",B293&lt;40,"30-39",B293&lt;50,"40-49",B293&lt;60,"50-59",TRUE(),"60+")</f>
        <v>40-49</v>
      </c>
      <c r="O293" s="2" t="str">
        <f aca="false">_xlfn.IFS(G293&lt;0,"1 Negative",G293=0,"2 Zero",G293&lt;=500,"3 1-500",G293&lt;=2000,"4 501-2000",TRUE(),"5 Above 2000")</f>
        <v>3 1-500</v>
      </c>
      <c r="P293" s="2" t="n">
        <f aca="false">Lookups!$B$2*M293+Lookups!$B$3*L293</f>
        <v>0</v>
      </c>
      <c r="Q293" s="2" t="str">
        <f aca="false">INDEX(Lookups!$E$2:$E$5,MATCH(P293,Lookups!$D$2:$D$5,0))</f>
        <v>Low</v>
      </c>
    </row>
    <row r="294" customFormat="false" ht="15" hidden="false" customHeight="false" outlineLevel="0" collapsed="false">
      <c r="A294" s="3" t="n">
        <v>293</v>
      </c>
      <c r="B294" s="3" t="n">
        <f aca="false">Raw_Data!A294</f>
        <v>53</v>
      </c>
      <c r="C294" s="3" t="str">
        <f aca="false">SUBSTITUTE(Raw_Data!B294,".","")</f>
        <v>services</v>
      </c>
      <c r="D294" s="3" t="str">
        <f aca="false">Raw_Data!C294</f>
        <v>married</v>
      </c>
      <c r="E294" s="3" t="str">
        <f aca="false">Raw_Data!D294</f>
        <v>secondary</v>
      </c>
      <c r="F294" s="3" t="str">
        <f aca="false">Raw_Data!E294</f>
        <v>no</v>
      </c>
      <c r="G294" s="3" t="n">
        <f aca="false">Raw_Data!F294</f>
        <v>4994</v>
      </c>
      <c r="H294" s="3" t="str">
        <f aca="false">Raw_Data!G294</f>
        <v>no</v>
      </c>
      <c r="I294" s="3" t="str">
        <f aca="false">Raw_Data!H294</f>
        <v>no</v>
      </c>
      <c r="J294" s="2" t="n">
        <f aca="false">IF(F294="yes",1,0)</f>
        <v>0</v>
      </c>
      <c r="K294" s="2" t="n">
        <f aca="false">IF(H294="yes",1,0)</f>
        <v>0</v>
      </c>
      <c r="L294" s="2" t="n">
        <f aca="false">IF(I294="yes",1,0)</f>
        <v>0</v>
      </c>
      <c r="M294" s="2" t="n">
        <f aca="false">IF(G294&lt;0,1,0)</f>
        <v>0</v>
      </c>
      <c r="N294" s="2" t="str">
        <f aca="false">_xlfn.IFS(B294&lt;30,"Under 30",B294&lt;40,"30-39",B294&lt;50,"40-49",B294&lt;60,"50-59",TRUE(),"60+")</f>
        <v>50-59</v>
      </c>
      <c r="O294" s="2" t="str">
        <f aca="false">_xlfn.IFS(G294&lt;0,"1 Negative",G294=0,"2 Zero",G294&lt;=500,"3 1-500",G294&lt;=2000,"4 501-2000",TRUE(),"5 Above 2000")</f>
        <v>5 Above 2000</v>
      </c>
      <c r="P294" s="2" t="n">
        <f aca="false">Lookups!$B$2*M294+Lookups!$B$3*L294</f>
        <v>0</v>
      </c>
      <c r="Q294" s="2" t="str">
        <f aca="false">INDEX(Lookups!$E$2:$E$5,MATCH(P294,Lookups!$D$2:$D$5,0))</f>
        <v>Low</v>
      </c>
    </row>
    <row r="295" customFormat="false" ht="15" hidden="false" customHeight="false" outlineLevel="0" collapsed="false">
      <c r="A295" s="3" t="n">
        <v>294</v>
      </c>
      <c r="B295" s="3" t="n">
        <f aca="false">Raw_Data!A295</f>
        <v>53</v>
      </c>
      <c r="C295" s="3" t="str">
        <f aca="false">SUBSTITUTE(Raw_Data!B295,".","")</f>
        <v>technician</v>
      </c>
      <c r="D295" s="3" t="str">
        <f aca="false">Raw_Data!C295</f>
        <v>divorced</v>
      </c>
      <c r="E295" s="3" t="str">
        <f aca="false">Raw_Data!D295</f>
        <v>secondary</v>
      </c>
      <c r="F295" s="3" t="str">
        <f aca="false">Raw_Data!E295</f>
        <v>no</v>
      </c>
      <c r="G295" s="3" t="n">
        <f aca="false">Raw_Data!F295</f>
        <v>0</v>
      </c>
      <c r="H295" s="3" t="str">
        <f aca="false">Raw_Data!G295</f>
        <v>yes</v>
      </c>
      <c r="I295" s="3" t="str">
        <f aca="false">Raw_Data!H295</f>
        <v>yes</v>
      </c>
      <c r="J295" s="2" t="n">
        <f aca="false">IF(F295="yes",1,0)</f>
        <v>0</v>
      </c>
      <c r="K295" s="2" t="n">
        <f aca="false">IF(H295="yes",1,0)</f>
        <v>1</v>
      </c>
      <c r="L295" s="2" t="n">
        <f aca="false">IF(I295="yes",1,0)</f>
        <v>1</v>
      </c>
      <c r="M295" s="2" t="n">
        <f aca="false">IF(G295&lt;0,1,0)</f>
        <v>0</v>
      </c>
      <c r="N295" s="2" t="str">
        <f aca="false">_xlfn.IFS(B295&lt;30,"Under 30",B295&lt;40,"30-39",B295&lt;50,"40-49",B295&lt;60,"50-59",TRUE(),"60+")</f>
        <v>50-59</v>
      </c>
      <c r="O295" s="2" t="str">
        <f aca="false">_xlfn.IFS(G295&lt;0,"1 Negative",G295=0,"2 Zero",G295&lt;=500,"3 1-500",G295&lt;=2000,"4 501-2000",TRUE(),"5 Above 2000")</f>
        <v>2 Zero</v>
      </c>
      <c r="P295" s="2" t="n">
        <f aca="false">Lookups!$B$2*M295+Lookups!$B$3*L295</f>
        <v>1</v>
      </c>
      <c r="Q295" s="2" t="str">
        <f aca="false">INDEX(Lookups!$E$2:$E$5,MATCH(P295,Lookups!$D$2:$D$5,0))</f>
        <v>Medium</v>
      </c>
    </row>
    <row r="296" customFormat="false" ht="15" hidden="false" customHeight="false" outlineLevel="0" collapsed="false">
      <c r="A296" s="3" t="n">
        <v>295</v>
      </c>
      <c r="B296" s="3" t="n">
        <f aca="false">Raw_Data!A296</f>
        <v>47</v>
      </c>
      <c r="C296" s="3" t="str">
        <f aca="false">SUBSTITUTE(Raw_Data!B296,".","")</f>
        <v>management</v>
      </c>
      <c r="D296" s="3" t="str">
        <f aca="false">Raw_Data!C296</f>
        <v>married</v>
      </c>
      <c r="E296" s="3" t="str">
        <f aca="false">Raw_Data!D296</f>
        <v>tertiary</v>
      </c>
      <c r="F296" s="3" t="str">
        <f aca="false">Raw_Data!E296</f>
        <v>no</v>
      </c>
      <c r="G296" s="3" t="n">
        <f aca="false">Raw_Data!F296</f>
        <v>3681</v>
      </c>
      <c r="H296" s="3" t="str">
        <f aca="false">Raw_Data!G296</f>
        <v>no</v>
      </c>
      <c r="I296" s="3" t="str">
        <f aca="false">Raw_Data!H296</f>
        <v>no</v>
      </c>
      <c r="J296" s="2" t="n">
        <f aca="false">IF(F296="yes",1,0)</f>
        <v>0</v>
      </c>
      <c r="K296" s="2" t="n">
        <f aca="false">IF(H296="yes",1,0)</f>
        <v>0</v>
      </c>
      <c r="L296" s="2" t="n">
        <f aca="false">IF(I296="yes",1,0)</f>
        <v>0</v>
      </c>
      <c r="M296" s="2" t="n">
        <f aca="false">IF(G296&lt;0,1,0)</f>
        <v>0</v>
      </c>
      <c r="N296" s="2" t="str">
        <f aca="false">_xlfn.IFS(B296&lt;30,"Under 30",B296&lt;40,"30-39",B296&lt;50,"40-49",B296&lt;60,"50-59",TRUE(),"60+")</f>
        <v>40-49</v>
      </c>
      <c r="O296" s="2" t="str">
        <f aca="false">_xlfn.IFS(G296&lt;0,"1 Negative",G296=0,"2 Zero",G296&lt;=500,"3 1-500",G296&lt;=2000,"4 501-2000",TRUE(),"5 Above 2000")</f>
        <v>5 Above 2000</v>
      </c>
      <c r="P296" s="2" t="n">
        <f aca="false">Lookups!$B$2*M296+Lookups!$B$3*L296</f>
        <v>0</v>
      </c>
      <c r="Q296" s="2" t="str">
        <f aca="false">INDEX(Lookups!$E$2:$E$5,MATCH(P296,Lookups!$D$2:$D$5,0))</f>
        <v>Low</v>
      </c>
    </row>
    <row r="297" customFormat="false" ht="15" hidden="false" customHeight="false" outlineLevel="0" collapsed="false">
      <c r="A297" s="3" t="n">
        <v>296</v>
      </c>
      <c r="B297" s="3" t="n">
        <f aca="false">Raw_Data!A297</f>
        <v>49</v>
      </c>
      <c r="C297" s="3" t="str">
        <f aca="false">SUBSTITUTE(Raw_Data!B297,".","")</f>
        <v>entrepreneur</v>
      </c>
      <c r="D297" s="3" t="str">
        <f aca="false">Raw_Data!C297</f>
        <v>divorced</v>
      </c>
      <c r="E297" s="3" t="str">
        <f aca="false">Raw_Data!D297</f>
        <v>unknown</v>
      </c>
      <c r="F297" s="3" t="str">
        <f aca="false">Raw_Data!E297</f>
        <v>yes</v>
      </c>
      <c r="G297" s="3" t="n">
        <f aca="false">Raw_Data!F297</f>
        <v>-701</v>
      </c>
      <c r="H297" s="3" t="str">
        <f aca="false">Raw_Data!G297</f>
        <v>yes</v>
      </c>
      <c r="I297" s="3" t="str">
        <f aca="false">Raw_Data!H297</f>
        <v>no</v>
      </c>
      <c r="J297" s="2" t="n">
        <f aca="false">IF(F297="yes",1,0)</f>
        <v>1</v>
      </c>
      <c r="K297" s="2" t="n">
        <f aca="false">IF(H297="yes",1,0)</f>
        <v>1</v>
      </c>
      <c r="L297" s="2" t="n">
        <f aca="false">IF(I297="yes",1,0)</f>
        <v>0</v>
      </c>
      <c r="M297" s="2" t="n">
        <f aca="false">IF(G297&lt;0,1,0)</f>
        <v>1</v>
      </c>
      <c r="N297" s="2" t="str">
        <f aca="false">_xlfn.IFS(B297&lt;30,"Under 30",B297&lt;40,"30-39",B297&lt;50,"40-49",B297&lt;60,"50-59",TRUE(),"60+")</f>
        <v>40-49</v>
      </c>
      <c r="O297" s="2" t="str">
        <f aca="false">_xlfn.IFS(G297&lt;0,"1 Negative",G297=0,"2 Zero",G297&lt;=500,"3 1-500",G297&lt;=2000,"4 501-2000",TRUE(),"5 Above 2000")</f>
        <v>1 Negative</v>
      </c>
      <c r="P297" s="2" t="n">
        <f aca="false">Lookups!$B$2*M297+Lookups!$B$3*L297</f>
        <v>2</v>
      </c>
      <c r="Q297" s="2" t="str">
        <f aca="false">INDEX(Lookups!$E$2:$E$5,MATCH(P297,Lookups!$D$2:$D$5,0))</f>
        <v>High</v>
      </c>
    </row>
    <row r="298" customFormat="false" ht="15" hidden="false" customHeight="false" outlineLevel="0" collapsed="false">
      <c r="A298" s="3" t="n">
        <v>297</v>
      </c>
      <c r="B298" s="3" t="n">
        <f aca="false">Raw_Data!A298</f>
        <v>29</v>
      </c>
      <c r="C298" s="3" t="str">
        <f aca="false">SUBSTITUTE(Raw_Data!B298,".","")</f>
        <v>management</v>
      </c>
      <c r="D298" s="3" t="str">
        <f aca="false">Raw_Data!C298</f>
        <v>married</v>
      </c>
      <c r="E298" s="3" t="str">
        <f aca="false">Raw_Data!D298</f>
        <v>tertiary</v>
      </c>
      <c r="F298" s="3" t="str">
        <f aca="false">Raw_Data!E298</f>
        <v>no</v>
      </c>
      <c r="G298" s="3" t="n">
        <f aca="false">Raw_Data!F298</f>
        <v>451</v>
      </c>
      <c r="H298" s="3" t="str">
        <f aca="false">Raw_Data!G298</f>
        <v>no</v>
      </c>
      <c r="I298" s="3" t="str">
        <f aca="false">Raw_Data!H298</f>
        <v>no</v>
      </c>
      <c r="J298" s="2" t="n">
        <f aca="false">IF(F298="yes",1,0)</f>
        <v>0</v>
      </c>
      <c r="K298" s="2" t="n">
        <f aca="false">IF(H298="yes",1,0)</f>
        <v>0</v>
      </c>
      <c r="L298" s="2" t="n">
        <f aca="false">IF(I298="yes",1,0)</f>
        <v>0</v>
      </c>
      <c r="M298" s="2" t="n">
        <f aca="false">IF(G298&lt;0,1,0)</f>
        <v>0</v>
      </c>
      <c r="N298" s="2" t="str">
        <f aca="false">_xlfn.IFS(B298&lt;30,"Under 30",B298&lt;40,"30-39",B298&lt;50,"40-49",B298&lt;60,"50-59",TRUE(),"60+")</f>
        <v>Under 30</v>
      </c>
      <c r="O298" s="2" t="str">
        <f aca="false">_xlfn.IFS(G298&lt;0,"1 Negative",G298=0,"2 Zero",G298&lt;=500,"3 1-500",G298&lt;=2000,"4 501-2000",TRUE(),"5 Above 2000")</f>
        <v>3 1-500</v>
      </c>
      <c r="P298" s="2" t="n">
        <f aca="false">Lookups!$B$2*M298+Lookups!$B$3*L298</f>
        <v>0</v>
      </c>
      <c r="Q298" s="2" t="str">
        <f aca="false">INDEX(Lookups!$E$2:$E$5,MATCH(P298,Lookups!$D$2:$D$5,0))</f>
        <v>Low</v>
      </c>
    </row>
    <row r="299" customFormat="false" ht="15" hidden="false" customHeight="false" outlineLevel="0" collapsed="false">
      <c r="A299" s="3" t="n">
        <v>298</v>
      </c>
      <c r="B299" s="3" t="n">
        <f aca="false">Raw_Data!A299</f>
        <v>45</v>
      </c>
      <c r="C299" s="3" t="str">
        <f aca="false">SUBSTITUTE(Raw_Data!B299,".","")</f>
        <v>blue-collar</v>
      </c>
      <c r="D299" s="3" t="str">
        <f aca="false">Raw_Data!C299</f>
        <v>divorced</v>
      </c>
      <c r="E299" s="3" t="str">
        <f aca="false">Raw_Data!D299</f>
        <v>primary</v>
      </c>
      <c r="F299" s="3" t="str">
        <f aca="false">Raw_Data!E299</f>
        <v>no</v>
      </c>
      <c r="G299" s="3" t="n">
        <f aca="false">Raw_Data!F299</f>
        <v>-311</v>
      </c>
      <c r="H299" s="3" t="str">
        <f aca="false">Raw_Data!G299</f>
        <v>yes</v>
      </c>
      <c r="I299" s="3" t="str">
        <f aca="false">Raw_Data!H299</f>
        <v>no</v>
      </c>
      <c r="J299" s="2" t="n">
        <f aca="false">IF(F299="yes",1,0)</f>
        <v>0</v>
      </c>
      <c r="K299" s="2" t="n">
        <f aca="false">IF(H299="yes",1,0)</f>
        <v>1</v>
      </c>
      <c r="L299" s="2" t="n">
        <f aca="false">IF(I299="yes",1,0)</f>
        <v>0</v>
      </c>
      <c r="M299" s="2" t="n">
        <f aca="false">IF(G299&lt;0,1,0)</f>
        <v>1</v>
      </c>
      <c r="N299" s="2" t="str">
        <f aca="false">_xlfn.IFS(B299&lt;30,"Under 30",B299&lt;40,"30-39",B299&lt;50,"40-49",B299&lt;60,"50-59",TRUE(),"60+")</f>
        <v>40-49</v>
      </c>
      <c r="O299" s="2" t="str">
        <f aca="false">_xlfn.IFS(G299&lt;0,"1 Negative",G299=0,"2 Zero",G299&lt;=500,"3 1-500",G299&lt;=2000,"4 501-2000",TRUE(),"5 Above 2000")</f>
        <v>1 Negative</v>
      </c>
      <c r="P299" s="2" t="n">
        <f aca="false">Lookups!$B$2*M299+Lookups!$B$3*L299</f>
        <v>2</v>
      </c>
      <c r="Q299" s="2" t="str">
        <f aca="false">INDEX(Lookups!$E$2:$E$5,MATCH(P299,Lookups!$D$2:$D$5,0))</f>
        <v>High</v>
      </c>
    </row>
    <row r="300" customFormat="false" ht="15" hidden="false" customHeight="false" outlineLevel="0" collapsed="false">
      <c r="A300" s="3" t="n">
        <v>299</v>
      </c>
      <c r="B300" s="3" t="n">
        <f aca="false">Raw_Data!A300</f>
        <v>38</v>
      </c>
      <c r="C300" s="3" t="str">
        <f aca="false">SUBSTITUTE(Raw_Data!B300,".","")</f>
        <v>entrepreneur</v>
      </c>
      <c r="D300" s="3" t="str">
        <f aca="false">Raw_Data!C300</f>
        <v>married</v>
      </c>
      <c r="E300" s="3" t="str">
        <f aca="false">Raw_Data!D300</f>
        <v>secondary</v>
      </c>
      <c r="F300" s="3" t="str">
        <f aca="false">Raw_Data!E300</f>
        <v>no</v>
      </c>
      <c r="G300" s="3" t="n">
        <f aca="false">Raw_Data!F300</f>
        <v>593</v>
      </c>
      <c r="H300" s="3" t="str">
        <f aca="false">Raw_Data!G300</f>
        <v>yes</v>
      </c>
      <c r="I300" s="3" t="str">
        <f aca="false">Raw_Data!H300</f>
        <v>yes</v>
      </c>
      <c r="J300" s="2" t="n">
        <f aca="false">IF(F300="yes",1,0)</f>
        <v>0</v>
      </c>
      <c r="K300" s="2" t="n">
        <f aca="false">IF(H300="yes",1,0)</f>
        <v>1</v>
      </c>
      <c r="L300" s="2" t="n">
        <f aca="false">IF(I300="yes",1,0)</f>
        <v>1</v>
      </c>
      <c r="M300" s="2" t="n">
        <f aca="false">IF(G300&lt;0,1,0)</f>
        <v>0</v>
      </c>
      <c r="N300" s="2" t="str">
        <f aca="false">_xlfn.IFS(B300&lt;30,"Under 30",B300&lt;40,"30-39",B300&lt;50,"40-49",B300&lt;60,"50-59",TRUE(),"60+")</f>
        <v>30-39</v>
      </c>
      <c r="O300" s="2" t="str">
        <f aca="false">_xlfn.IFS(G300&lt;0,"1 Negative",G300=0,"2 Zero",G300&lt;=500,"3 1-500",G300&lt;=2000,"4 501-2000",TRUE(),"5 Above 2000")</f>
        <v>4 501-2000</v>
      </c>
      <c r="P300" s="2" t="n">
        <f aca="false">Lookups!$B$2*M300+Lookups!$B$3*L300</f>
        <v>1</v>
      </c>
      <c r="Q300" s="2" t="str">
        <f aca="false">INDEX(Lookups!$E$2:$E$5,MATCH(P300,Lookups!$D$2:$D$5,0))</f>
        <v>Medium</v>
      </c>
    </row>
    <row r="301" customFormat="false" ht="15" hidden="false" customHeight="false" outlineLevel="0" collapsed="false">
      <c r="A301" s="3" t="n">
        <v>300</v>
      </c>
      <c r="B301" s="3" t="n">
        <f aca="false">Raw_Data!A301</f>
        <v>32</v>
      </c>
      <c r="C301" s="3" t="str">
        <f aca="false">SUBSTITUTE(Raw_Data!B301,".","")</f>
        <v>blue-collar</v>
      </c>
      <c r="D301" s="3" t="str">
        <f aca="false">Raw_Data!C301</f>
        <v>married</v>
      </c>
      <c r="E301" s="3" t="str">
        <f aca="false">Raw_Data!D301</f>
        <v>secondary</v>
      </c>
      <c r="F301" s="3" t="str">
        <f aca="false">Raw_Data!E301</f>
        <v>no</v>
      </c>
      <c r="G301" s="3" t="n">
        <f aca="false">Raw_Data!F301</f>
        <v>759</v>
      </c>
      <c r="H301" s="3" t="str">
        <f aca="false">Raw_Data!G301</f>
        <v>yes</v>
      </c>
      <c r="I301" s="3" t="str">
        <f aca="false">Raw_Data!H301</f>
        <v>no</v>
      </c>
      <c r="J301" s="2" t="n">
        <f aca="false">IF(F301="yes",1,0)</f>
        <v>0</v>
      </c>
      <c r="K301" s="2" t="n">
        <f aca="false">IF(H301="yes",1,0)</f>
        <v>1</v>
      </c>
      <c r="L301" s="2" t="n">
        <f aca="false">IF(I301="yes",1,0)</f>
        <v>0</v>
      </c>
      <c r="M301" s="2" t="n">
        <f aca="false">IF(G301&lt;0,1,0)</f>
        <v>0</v>
      </c>
      <c r="N301" s="2" t="str">
        <f aca="false">_xlfn.IFS(B301&lt;30,"Under 30",B301&lt;40,"30-39",B301&lt;50,"40-49",B301&lt;60,"50-59",TRUE(),"60+")</f>
        <v>30-39</v>
      </c>
      <c r="O301" s="2" t="str">
        <f aca="false">_xlfn.IFS(G301&lt;0,"1 Negative",G301=0,"2 Zero",G301&lt;=500,"3 1-500",G301&lt;=2000,"4 501-2000",TRUE(),"5 Above 2000")</f>
        <v>4 501-2000</v>
      </c>
      <c r="P301" s="2" t="n">
        <f aca="false">Lookups!$B$2*M301+Lookups!$B$3*L301</f>
        <v>0</v>
      </c>
      <c r="Q301" s="2" t="str">
        <f aca="false">INDEX(Lookups!$E$2:$E$5,MATCH(P301,Lookups!$D$2:$D$5,0))</f>
        <v>Low</v>
      </c>
    </row>
    <row r="302" customFormat="false" ht="15" hidden="false" customHeight="false" outlineLevel="0" collapsed="false">
      <c r="A302" s="3" t="n">
        <v>301</v>
      </c>
      <c r="B302" s="3" t="n">
        <f aca="false">Raw_Data!A302</f>
        <v>70</v>
      </c>
      <c r="C302" s="3" t="str">
        <f aca="false">SUBSTITUTE(Raw_Data!B302,".","")</f>
        <v>retired</v>
      </c>
      <c r="D302" s="3" t="str">
        <f aca="false">Raw_Data!C302</f>
        <v>divorced</v>
      </c>
      <c r="E302" s="3" t="str">
        <f aca="false">Raw_Data!D302</f>
        <v>primary</v>
      </c>
      <c r="F302" s="3" t="str">
        <f aca="false">Raw_Data!E302</f>
        <v>no</v>
      </c>
      <c r="G302" s="3" t="n">
        <f aca="false">Raw_Data!F302</f>
        <v>4531</v>
      </c>
      <c r="H302" s="3" t="str">
        <f aca="false">Raw_Data!G302</f>
        <v>no</v>
      </c>
      <c r="I302" s="3" t="str">
        <f aca="false">Raw_Data!H302</f>
        <v>no</v>
      </c>
      <c r="J302" s="2" t="n">
        <f aca="false">IF(F302="yes",1,0)</f>
        <v>0</v>
      </c>
      <c r="K302" s="2" t="n">
        <f aca="false">IF(H302="yes",1,0)</f>
        <v>0</v>
      </c>
      <c r="L302" s="2" t="n">
        <f aca="false">IF(I302="yes",1,0)</f>
        <v>0</v>
      </c>
      <c r="M302" s="2" t="n">
        <f aca="false">IF(G302&lt;0,1,0)</f>
        <v>0</v>
      </c>
      <c r="N302" s="2" t="str">
        <f aca="false">_xlfn.IFS(B302&lt;30,"Under 30",B302&lt;40,"30-39",B302&lt;50,"40-49",B302&lt;60,"50-59",TRUE(),"60+")</f>
        <v>60+</v>
      </c>
      <c r="O302" s="2" t="str">
        <f aca="false">_xlfn.IFS(G302&lt;0,"1 Negative",G302=0,"2 Zero",G302&lt;=500,"3 1-500",G302&lt;=2000,"4 501-2000",TRUE(),"5 Above 2000")</f>
        <v>5 Above 2000</v>
      </c>
      <c r="P302" s="2" t="n">
        <f aca="false">Lookups!$B$2*M302+Lookups!$B$3*L302</f>
        <v>0</v>
      </c>
      <c r="Q302" s="2" t="str">
        <f aca="false">INDEX(Lookups!$E$2:$E$5,MATCH(P302,Lookups!$D$2:$D$5,0))</f>
        <v>Low</v>
      </c>
    </row>
    <row r="303" customFormat="false" ht="15" hidden="false" customHeight="false" outlineLevel="0" collapsed="false">
      <c r="A303" s="3" t="n">
        <v>302</v>
      </c>
      <c r="B303" s="3" t="n">
        <f aca="false">Raw_Data!A303</f>
        <v>65</v>
      </c>
      <c r="C303" s="3" t="str">
        <f aca="false">SUBSTITUTE(Raw_Data!B303,".","")</f>
        <v>retired</v>
      </c>
      <c r="D303" s="3" t="str">
        <f aca="false">Raw_Data!C303</f>
        <v>divorced</v>
      </c>
      <c r="E303" s="3" t="str">
        <f aca="false">Raw_Data!D303</f>
        <v>primary</v>
      </c>
      <c r="F303" s="3" t="str">
        <f aca="false">Raw_Data!E303</f>
        <v>no</v>
      </c>
      <c r="G303" s="3" t="n">
        <f aca="false">Raw_Data!F303</f>
        <v>1840</v>
      </c>
      <c r="H303" s="3" t="str">
        <f aca="false">Raw_Data!G303</f>
        <v>no</v>
      </c>
      <c r="I303" s="3" t="str">
        <f aca="false">Raw_Data!H303</f>
        <v>no</v>
      </c>
      <c r="J303" s="2" t="n">
        <f aca="false">IF(F303="yes",1,0)</f>
        <v>0</v>
      </c>
      <c r="K303" s="2" t="n">
        <f aca="false">IF(H303="yes",1,0)</f>
        <v>0</v>
      </c>
      <c r="L303" s="2" t="n">
        <f aca="false">IF(I303="yes",1,0)</f>
        <v>0</v>
      </c>
      <c r="M303" s="2" t="n">
        <f aca="false">IF(G303&lt;0,1,0)</f>
        <v>0</v>
      </c>
      <c r="N303" s="2" t="str">
        <f aca="false">_xlfn.IFS(B303&lt;30,"Under 30",B303&lt;40,"30-39",B303&lt;50,"40-49",B303&lt;60,"50-59",TRUE(),"60+")</f>
        <v>60+</v>
      </c>
      <c r="O303" s="2" t="str">
        <f aca="false">_xlfn.IFS(G303&lt;0,"1 Negative",G303=0,"2 Zero",G303&lt;=500,"3 1-500",G303&lt;=2000,"4 501-2000",TRUE(),"5 Above 2000")</f>
        <v>4 501-2000</v>
      </c>
      <c r="P303" s="2" t="n">
        <f aca="false">Lookups!$B$2*M303+Lookups!$B$3*L303</f>
        <v>0</v>
      </c>
      <c r="Q303" s="2" t="str">
        <f aca="false">INDEX(Lookups!$E$2:$E$5,MATCH(P303,Lookups!$D$2:$D$5,0))</f>
        <v>Low</v>
      </c>
    </row>
    <row r="304" customFormat="false" ht="15" hidden="false" customHeight="false" outlineLevel="0" collapsed="false">
      <c r="A304" s="3" t="n">
        <v>303</v>
      </c>
      <c r="B304" s="3" t="n">
        <f aca="false">Raw_Data!A304</f>
        <v>56</v>
      </c>
      <c r="C304" s="3" t="str">
        <f aca="false">SUBSTITUTE(Raw_Data!B304,".","")</f>
        <v>blue-collar</v>
      </c>
      <c r="D304" s="3" t="str">
        <f aca="false">Raw_Data!C304</f>
        <v>married</v>
      </c>
      <c r="E304" s="3" t="str">
        <f aca="false">Raw_Data!D304</f>
        <v>secondary</v>
      </c>
      <c r="F304" s="3" t="str">
        <f aca="false">Raw_Data!E304</f>
        <v>no</v>
      </c>
      <c r="G304" s="3" t="n">
        <f aca="false">Raw_Data!F304</f>
        <v>345</v>
      </c>
      <c r="H304" s="3" t="str">
        <f aca="false">Raw_Data!G304</f>
        <v>yes</v>
      </c>
      <c r="I304" s="3" t="str">
        <f aca="false">Raw_Data!H304</f>
        <v>no</v>
      </c>
      <c r="J304" s="2" t="n">
        <f aca="false">IF(F304="yes",1,0)</f>
        <v>0</v>
      </c>
      <c r="K304" s="2" t="n">
        <f aca="false">IF(H304="yes",1,0)</f>
        <v>1</v>
      </c>
      <c r="L304" s="2" t="n">
        <f aca="false">IF(I304="yes",1,0)</f>
        <v>0</v>
      </c>
      <c r="M304" s="2" t="n">
        <f aca="false">IF(G304&lt;0,1,0)</f>
        <v>0</v>
      </c>
      <c r="N304" s="2" t="str">
        <f aca="false">_xlfn.IFS(B304&lt;30,"Under 30",B304&lt;40,"30-39",B304&lt;50,"40-49",B304&lt;60,"50-59",TRUE(),"60+")</f>
        <v>50-59</v>
      </c>
      <c r="O304" s="2" t="str">
        <f aca="false">_xlfn.IFS(G304&lt;0,"1 Negative",G304=0,"2 Zero",G304&lt;=500,"3 1-500",G304&lt;=2000,"4 501-2000",TRUE(),"5 Above 2000")</f>
        <v>3 1-500</v>
      </c>
      <c r="P304" s="2" t="n">
        <f aca="false">Lookups!$B$2*M304+Lookups!$B$3*L304</f>
        <v>0</v>
      </c>
      <c r="Q304" s="2" t="str">
        <f aca="false">INDEX(Lookups!$E$2:$E$5,MATCH(P304,Lookups!$D$2:$D$5,0))</f>
        <v>Low</v>
      </c>
    </row>
    <row r="305" customFormat="false" ht="15" hidden="false" customHeight="false" outlineLevel="0" collapsed="false">
      <c r="A305" s="3" t="n">
        <v>304</v>
      </c>
      <c r="B305" s="3" t="n">
        <f aca="false">Raw_Data!A305</f>
        <v>35</v>
      </c>
      <c r="C305" s="3" t="str">
        <f aca="false">SUBSTITUTE(Raw_Data!B305,".","")</f>
        <v>blue-collar</v>
      </c>
      <c r="D305" s="3" t="str">
        <f aca="false">Raw_Data!C305</f>
        <v>married</v>
      </c>
      <c r="E305" s="3" t="str">
        <f aca="false">Raw_Data!D305</f>
        <v>secondary</v>
      </c>
      <c r="F305" s="3" t="str">
        <f aca="false">Raw_Data!E305</f>
        <v>no</v>
      </c>
      <c r="G305" s="3" t="n">
        <f aca="false">Raw_Data!F305</f>
        <v>1287</v>
      </c>
      <c r="H305" s="3" t="str">
        <f aca="false">Raw_Data!G305</f>
        <v>yes</v>
      </c>
      <c r="I305" s="3" t="str">
        <f aca="false">Raw_Data!H305</f>
        <v>no</v>
      </c>
      <c r="J305" s="2" t="n">
        <f aca="false">IF(F305="yes",1,0)</f>
        <v>0</v>
      </c>
      <c r="K305" s="2" t="n">
        <f aca="false">IF(H305="yes",1,0)</f>
        <v>1</v>
      </c>
      <c r="L305" s="2" t="n">
        <f aca="false">IF(I305="yes",1,0)</f>
        <v>0</v>
      </c>
      <c r="M305" s="2" t="n">
        <f aca="false">IF(G305&lt;0,1,0)</f>
        <v>0</v>
      </c>
      <c r="N305" s="2" t="str">
        <f aca="false">_xlfn.IFS(B305&lt;30,"Under 30",B305&lt;40,"30-39",B305&lt;50,"40-49",B305&lt;60,"50-59",TRUE(),"60+")</f>
        <v>30-39</v>
      </c>
      <c r="O305" s="2" t="str">
        <f aca="false">_xlfn.IFS(G305&lt;0,"1 Negative",G305=0,"2 Zero",G305&lt;=500,"3 1-500",G305&lt;=2000,"4 501-2000",TRUE(),"5 Above 2000")</f>
        <v>4 501-2000</v>
      </c>
      <c r="P305" s="2" t="n">
        <f aca="false">Lookups!$B$2*M305+Lookups!$B$3*L305</f>
        <v>0</v>
      </c>
      <c r="Q305" s="2" t="str">
        <f aca="false">INDEX(Lookups!$E$2:$E$5,MATCH(P305,Lookups!$D$2:$D$5,0))</f>
        <v>Low</v>
      </c>
    </row>
    <row r="306" customFormat="false" ht="15" hidden="false" customHeight="false" outlineLevel="0" collapsed="false">
      <c r="A306" s="3" t="n">
        <v>305</v>
      </c>
      <c r="B306" s="3" t="n">
        <f aca="false">Raw_Data!A306</f>
        <v>56</v>
      </c>
      <c r="C306" s="3" t="str">
        <f aca="false">SUBSTITUTE(Raw_Data!B306,".","")</f>
        <v>management</v>
      </c>
      <c r="D306" s="3" t="str">
        <f aca="false">Raw_Data!C306</f>
        <v>married</v>
      </c>
      <c r="E306" s="3" t="str">
        <f aca="false">Raw_Data!D306</f>
        <v>unknown</v>
      </c>
      <c r="F306" s="3" t="str">
        <f aca="false">Raw_Data!E306</f>
        <v>no</v>
      </c>
      <c r="G306" s="3" t="n">
        <f aca="false">Raw_Data!F306</f>
        <v>353</v>
      </c>
      <c r="H306" s="3" t="str">
        <f aca="false">Raw_Data!G306</f>
        <v>no</v>
      </c>
      <c r="I306" s="3" t="str">
        <f aca="false">Raw_Data!H306</f>
        <v>yes</v>
      </c>
      <c r="J306" s="2" t="n">
        <f aca="false">IF(F306="yes",1,0)</f>
        <v>0</v>
      </c>
      <c r="K306" s="2" t="n">
        <f aca="false">IF(H306="yes",1,0)</f>
        <v>0</v>
      </c>
      <c r="L306" s="2" t="n">
        <f aca="false">IF(I306="yes",1,0)</f>
        <v>1</v>
      </c>
      <c r="M306" s="2" t="n">
        <f aca="false">IF(G306&lt;0,1,0)</f>
        <v>0</v>
      </c>
      <c r="N306" s="2" t="str">
        <f aca="false">_xlfn.IFS(B306&lt;30,"Under 30",B306&lt;40,"30-39",B306&lt;50,"40-49",B306&lt;60,"50-59",TRUE(),"60+")</f>
        <v>50-59</v>
      </c>
      <c r="O306" s="2" t="str">
        <f aca="false">_xlfn.IFS(G306&lt;0,"1 Negative",G306=0,"2 Zero",G306&lt;=500,"3 1-500",G306&lt;=2000,"4 501-2000",TRUE(),"5 Above 2000")</f>
        <v>3 1-500</v>
      </c>
      <c r="P306" s="2" t="n">
        <f aca="false">Lookups!$B$2*M306+Lookups!$B$3*L306</f>
        <v>1</v>
      </c>
      <c r="Q306" s="2" t="str">
        <f aca="false">INDEX(Lookups!$E$2:$E$5,MATCH(P306,Lookups!$D$2:$D$5,0))</f>
        <v>Medium</v>
      </c>
    </row>
    <row r="307" customFormat="false" ht="15" hidden="false" customHeight="false" outlineLevel="0" collapsed="false">
      <c r="A307" s="3" t="n">
        <v>306</v>
      </c>
      <c r="B307" s="3" t="n">
        <f aca="false">Raw_Data!A307</f>
        <v>56</v>
      </c>
      <c r="C307" s="3" t="str">
        <f aca="false">SUBSTITUTE(Raw_Data!B307,".","")</f>
        <v>technician</v>
      </c>
      <c r="D307" s="3" t="str">
        <f aca="false">Raw_Data!C307</f>
        <v>married</v>
      </c>
      <c r="E307" s="3" t="str">
        <f aca="false">Raw_Data!D307</f>
        <v>secondary</v>
      </c>
      <c r="F307" s="3" t="str">
        <f aca="false">Raw_Data!E307</f>
        <v>no</v>
      </c>
      <c r="G307" s="3" t="n">
        <f aca="false">Raw_Data!F307</f>
        <v>205</v>
      </c>
      <c r="H307" s="3" t="str">
        <f aca="false">Raw_Data!G307</f>
        <v>no</v>
      </c>
      <c r="I307" s="3" t="str">
        <f aca="false">Raw_Data!H307</f>
        <v>yes</v>
      </c>
      <c r="J307" s="2" t="n">
        <f aca="false">IF(F307="yes",1,0)</f>
        <v>0</v>
      </c>
      <c r="K307" s="2" t="n">
        <f aca="false">IF(H307="yes",1,0)</f>
        <v>0</v>
      </c>
      <c r="L307" s="2" t="n">
        <f aca="false">IF(I307="yes",1,0)</f>
        <v>1</v>
      </c>
      <c r="M307" s="2" t="n">
        <f aca="false">IF(G307&lt;0,1,0)</f>
        <v>0</v>
      </c>
      <c r="N307" s="2" t="str">
        <f aca="false">_xlfn.IFS(B307&lt;30,"Under 30",B307&lt;40,"30-39",B307&lt;50,"40-49",B307&lt;60,"50-59",TRUE(),"60+")</f>
        <v>50-59</v>
      </c>
      <c r="O307" s="2" t="str">
        <f aca="false">_xlfn.IFS(G307&lt;0,"1 Negative",G307=0,"2 Zero",G307&lt;=500,"3 1-500",G307&lt;=2000,"4 501-2000",TRUE(),"5 Above 2000")</f>
        <v>3 1-500</v>
      </c>
      <c r="P307" s="2" t="n">
        <f aca="false">Lookups!$B$2*M307+Lookups!$B$3*L307</f>
        <v>1</v>
      </c>
      <c r="Q307" s="2" t="str">
        <f aca="false">INDEX(Lookups!$E$2:$E$5,MATCH(P307,Lookups!$D$2:$D$5,0))</f>
        <v>Medium</v>
      </c>
    </row>
    <row r="308" customFormat="false" ht="15" hidden="false" customHeight="false" outlineLevel="0" collapsed="false">
      <c r="A308" s="3" t="n">
        <v>307</v>
      </c>
      <c r="B308" s="3" t="n">
        <f aca="false">Raw_Data!A308</f>
        <v>49</v>
      </c>
      <c r="C308" s="3" t="str">
        <f aca="false">SUBSTITUTE(Raw_Data!B308,".","")</f>
        <v>entrepreneur</v>
      </c>
      <c r="D308" s="3" t="str">
        <f aca="false">Raw_Data!C308</f>
        <v>married</v>
      </c>
      <c r="E308" s="3" t="str">
        <f aca="false">Raw_Data!D308</f>
        <v>secondary</v>
      </c>
      <c r="F308" s="3" t="str">
        <f aca="false">Raw_Data!E308</f>
        <v>no</v>
      </c>
      <c r="G308" s="3" t="n">
        <f aca="false">Raw_Data!F308</f>
        <v>687</v>
      </c>
      <c r="H308" s="3" t="str">
        <f aca="false">Raw_Data!G308</f>
        <v>yes</v>
      </c>
      <c r="I308" s="3" t="str">
        <f aca="false">Raw_Data!H308</f>
        <v>no</v>
      </c>
      <c r="J308" s="2" t="n">
        <f aca="false">IF(F308="yes",1,0)</f>
        <v>0</v>
      </c>
      <c r="K308" s="2" t="n">
        <f aca="false">IF(H308="yes",1,0)</f>
        <v>1</v>
      </c>
      <c r="L308" s="2" t="n">
        <f aca="false">IF(I308="yes",1,0)</f>
        <v>0</v>
      </c>
      <c r="M308" s="2" t="n">
        <f aca="false">IF(G308&lt;0,1,0)</f>
        <v>0</v>
      </c>
      <c r="N308" s="2" t="str">
        <f aca="false">_xlfn.IFS(B308&lt;30,"Under 30",B308&lt;40,"30-39",B308&lt;50,"40-49",B308&lt;60,"50-59",TRUE(),"60+")</f>
        <v>40-49</v>
      </c>
      <c r="O308" s="2" t="str">
        <f aca="false">_xlfn.IFS(G308&lt;0,"1 Negative",G308=0,"2 Zero",G308&lt;=500,"3 1-500",G308&lt;=2000,"4 501-2000",TRUE(),"5 Above 2000")</f>
        <v>4 501-2000</v>
      </c>
      <c r="P308" s="2" t="n">
        <f aca="false">Lookups!$B$2*M308+Lookups!$B$3*L308</f>
        <v>0</v>
      </c>
      <c r="Q308" s="2" t="str">
        <f aca="false">INDEX(Lookups!$E$2:$E$5,MATCH(P308,Lookups!$D$2:$D$5,0))</f>
        <v>Low</v>
      </c>
    </row>
    <row r="309" customFormat="false" ht="15" hidden="false" customHeight="false" outlineLevel="0" collapsed="false">
      <c r="A309" s="3" t="n">
        <v>308</v>
      </c>
      <c r="B309" s="3" t="n">
        <f aca="false">Raw_Data!A309</f>
        <v>38</v>
      </c>
      <c r="C309" s="3" t="str">
        <f aca="false">SUBSTITUTE(Raw_Data!B309,".","")</f>
        <v>unemployed</v>
      </c>
      <c r="D309" s="3" t="str">
        <f aca="false">Raw_Data!C309</f>
        <v>married</v>
      </c>
      <c r="E309" s="3" t="str">
        <f aca="false">Raw_Data!D309</f>
        <v>primary</v>
      </c>
      <c r="F309" s="3" t="str">
        <f aca="false">Raw_Data!E309</f>
        <v>no</v>
      </c>
      <c r="G309" s="3" t="n">
        <f aca="false">Raw_Data!F309</f>
        <v>1147</v>
      </c>
      <c r="H309" s="3" t="str">
        <f aca="false">Raw_Data!G309</f>
        <v>yes</v>
      </c>
      <c r="I309" s="3" t="str">
        <f aca="false">Raw_Data!H309</f>
        <v>yes</v>
      </c>
      <c r="J309" s="2" t="n">
        <f aca="false">IF(F309="yes",1,0)</f>
        <v>0</v>
      </c>
      <c r="K309" s="2" t="n">
        <f aca="false">IF(H309="yes",1,0)</f>
        <v>1</v>
      </c>
      <c r="L309" s="2" t="n">
        <f aca="false">IF(I309="yes",1,0)</f>
        <v>1</v>
      </c>
      <c r="M309" s="2" t="n">
        <f aca="false">IF(G309&lt;0,1,0)</f>
        <v>0</v>
      </c>
      <c r="N309" s="2" t="str">
        <f aca="false">_xlfn.IFS(B309&lt;30,"Under 30",B309&lt;40,"30-39",B309&lt;50,"40-49",B309&lt;60,"50-59",TRUE(),"60+")</f>
        <v>30-39</v>
      </c>
      <c r="O309" s="2" t="str">
        <f aca="false">_xlfn.IFS(G309&lt;0,"1 Negative",G309=0,"2 Zero",G309&lt;=500,"3 1-500",G309&lt;=2000,"4 501-2000",TRUE(),"5 Above 2000")</f>
        <v>4 501-2000</v>
      </c>
      <c r="P309" s="2" t="n">
        <f aca="false">Lookups!$B$2*M309+Lookups!$B$3*L309</f>
        <v>1</v>
      </c>
      <c r="Q309" s="2" t="str">
        <f aca="false">INDEX(Lookups!$E$2:$E$5,MATCH(P309,Lookups!$D$2:$D$5,0))</f>
        <v>Medium</v>
      </c>
    </row>
    <row r="310" customFormat="false" ht="15" hidden="false" customHeight="false" outlineLevel="0" collapsed="false">
      <c r="A310" s="3" t="n">
        <v>309</v>
      </c>
      <c r="B310" s="3" t="n">
        <f aca="false">Raw_Data!A310</f>
        <v>35</v>
      </c>
      <c r="C310" s="3" t="str">
        <f aca="false">SUBSTITUTE(Raw_Data!B310,".","")</f>
        <v>management</v>
      </c>
      <c r="D310" s="3" t="str">
        <f aca="false">Raw_Data!C310</f>
        <v>married</v>
      </c>
      <c r="E310" s="3" t="str">
        <f aca="false">Raw_Data!D310</f>
        <v>tertiary</v>
      </c>
      <c r="F310" s="3" t="str">
        <f aca="false">Raw_Data!E310</f>
        <v>no</v>
      </c>
      <c r="G310" s="3" t="n">
        <f aca="false">Raw_Data!F310</f>
        <v>4286</v>
      </c>
      <c r="H310" s="3" t="str">
        <f aca="false">Raw_Data!G310</f>
        <v>yes</v>
      </c>
      <c r="I310" s="3" t="str">
        <f aca="false">Raw_Data!H310</f>
        <v>no</v>
      </c>
      <c r="J310" s="2" t="n">
        <f aca="false">IF(F310="yes",1,0)</f>
        <v>0</v>
      </c>
      <c r="K310" s="2" t="n">
        <f aca="false">IF(H310="yes",1,0)</f>
        <v>1</v>
      </c>
      <c r="L310" s="2" t="n">
        <f aca="false">IF(I310="yes",1,0)</f>
        <v>0</v>
      </c>
      <c r="M310" s="2" t="n">
        <f aca="false">IF(G310&lt;0,1,0)</f>
        <v>0</v>
      </c>
      <c r="N310" s="2" t="str">
        <f aca="false">_xlfn.IFS(B310&lt;30,"Under 30",B310&lt;40,"30-39",B310&lt;50,"40-49",B310&lt;60,"50-59",TRUE(),"60+")</f>
        <v>30-39</v>
      </c>
      <c r="O310" s="2" t="str">
        <f aca="false">_xlfn.IFS(G310&lt;0,"1 Negative",G310=0,"2 Zero",G310&lt;=500,"3 1-500",G310&lt;=2000,"4 501-2000",TRUE(),"5 Above 2000")</f>
        <v>5 Above 2000</v>
      </c>
      <c r="P310" s="2" t="n">
        <f aca="false">Lookups!$B$2*M310+Lookups!$B$3*L310</f>
        <v>0</v>
      </c>
      <c r="Q310" s="2" t="str">
        <f aca="false">INDEX(Lookups!$E$2:$E$5,MATCH(P310,Lookups!$D$2:$D$5,0))</f>
        <v>Low</v>
      </c>
    </row>
    <row r="311" customFormat="false" ht="15" hidden="false" customHeight="false" outlineLevel="0" collapsed="false">
      <c r="A311" s="3" t="n">
        <v>310</v>
      </c>
      <c r="B311" s="3" t="n">
        <f aca="false">Raw_Data!A311</f>
        <v>38</v>
      </c>
      <c r="C311" s="3" t="str">
        <f aca="false">SUBSTITUTE(Raw_Data!B311,".","")</f>
        <v>admin</v>
      </c>
      <c r="D311" s="3" t="str">
        <f aca="false">Raw_Data!C311</f>
        <v>married</v>
      </c>
      <c r="E311" s="3" t="str">
        <f aca="false">Raw_Data!D311</f>
        <v>tertiary</v>
      </c>
      <c r="F311" s="3" t="str">
        <f aca="false">Raw_Data!E311</f>
        <v>no</v>
      </c>
      <c r="G311" s="3" t="n">
        <f aca="false">Raw_Data!F311</f>
        <v>605</v>
      </c>
      <c r="H311" s="3" t="str">
        <f aca="false">Raw_Data!G311</f>
        <v>no</v>
      </c>
      <c r="I311" s="3" t="str">
        <f aca="false">Raw_Data!H311</f>
        <v>no</v>
      </c>
      <c r="J311" s="2" t="n">
        <f aca="false">IF(F311="yes",1,0)</f>
        <v>0</v>
      </c>
      <c r="K311" s="2" t="n">
        <f aca="false">IF(H311="yes",1,0)</f>
        <v>0</v>
      </c>
      <c r="L311" s="2" t="n">
        <f aca="false">IF(I311="yes",1,0)</f>
        <v>0</v>
      </c>
      <c r="M311" s="2" t="n">
        <f aca="false">IF(G311&lt;0,1,0)</f>
        <v>0</v>
      </c>
      <c r="N311" s="2" t="str">
        <f aca="false">_xlfn.IFS(B311&lt;30,"Under 30",B311&lt;40,"30-39",B311&lt;50,"40-49",B311&lt;60,"50-59",TRUE(),"60+")</f>
        <v>30-39</v>
      </c>
      <c r="O311" s="2" t="str">
        <f aca="false">_xlfn.IFS(G311&lt;0,"1 Negative",G311=0,"2 Zero",G311&lt;=500,"3 1-500",G311&lt;=2000,"4 501-2000",TRUE(),"5 Above 2000")</f>
        <v>4 501-2000</v>
      </c>
      <c r="P311" s="2" t="n">
        <f aca="false">Lookups!$B$2*M311+Lookups!$B$3*L311</f>
        <v>0</v>
      </c>
      <c r="Q311" s="2" t="str">
        <f aca="false">INDEX(Lookups!$E$2:$E$5,MATCH(P311,Lookups!$D$2:$D$5,0))</f>
        <v>Low</v>
      </c>
    </row>
    <row r="312" customFormat="false" ht="15" hidden="false" customHeight="false" outlineLevel="0" collapsed="false">
      <c r="A312" s="3" t="n">
        <v>311</v>
      </c>
      <c r="B312" s="3" t="n">
        <f aca="false">Raw_Data!A312</f>
        <v>49</v>
      </c>
      <c r="C312" s="3" t="str">
        <f aca="false">SUBSTITUTE(Raw_Data!B312,".","")</f>
        <v>blue-collar</v>
      </c>
      <c r="D312" s="3" t="str">
        <f aca="false">Raw_Data!C312</f>
        <v>married</v>
      </c>
      <c r="E312" s="3" t="str">
        <f aca="false">Raw_Data!D312</f>
        <v>secondary</v>
      </c>
      <c r="F312" s="3" t="str">
        <f aca="false">Raw_Data!E312</f>
        <v>no</v>
      </c>
      <c r="G312" s="3" t="n">
        <f aca="false">Raw_Data!F312</f>
        <v>8545</v>
      </c>
      <c r="H312" s="3" t="str">
        <f aca="false">Raw_Data!G312</f>
        <v>yes</v>
      </c>
      <c r="I312" s="3" t="str">
        <f aca="false">Raw_Data!H312</f>
        <v>yes</v>
      </c>
      <c r="J312" s="2" t="n">
        <f aca="false">IF(F312="yes",1,0)</f>
        <v>0</v>
      </c>
      <c r="K312" s="2" t="n">
        <f aca="false">IF(H312="yes",1,0)</f>
        <v>1</v>
      </c>
      <c r="L312" s="2" t="n">
        <f aca="false">IF(I312="yes",1,0)</f>
        <v>1</v>
      </c>
      <c r="M312" s="2" t="n">
        <f aca="false">IF(G312&lt;0,1,0)</f>
        <v>0</v>
      </c>
      <c r="N312" s="2" t="str">
        <f aca="false">_xlfn.IFS(B312&lt;30,"Under 30",B312&lt;40,"30-39",B312&lt;50,"40-49",B312&lt;60,"50-59",TRUE(),"60+")</f>
        <v>40-49</v>
      </c>
      <c r="O312" s="2" t="str">
        <f aca="false">_xlfn.IFS(G312&lt;0,"1 Negative",G312=0,"2 Zero",G312&lt;=500,"3 1-500",G312&lt;=2000,"4 501-2000",TRUE(),"5 Above 2000")</f>
        <v>5 Above 2000</v>
      </c>
      <c r="P312" s="2" t="n">
        <f aca="false">Lookups!$B$2*M312+Lookups!$B$3*L312</f>
        <v>1</v>
      </c>
      <c r="Q312" s="2" t="str">
        <f aca="false">INDEX(Lookups!$E$2:$E$5,MATCH(P312,Lookups!$D$2:$D$5,0))</f>
        <v>Medium</v>
      </c>
    </row>
    <row r="313" customFormat="false" ht="15" hidden="false" customHeight="false" outlineLevel="0" collapsed="false">
      <c r="A313" s="3" t="n">
        <v>312</v>
      </c>
      <c r="B313" s="3" t="n">
        <f aca="false">Raw_Data!A313</f>
        <v>55</v>
      </c>
      <c r="C313" s="3" t="str">
        <f aca="false">SUBSTITUTE(Raw_Data!B313,".","")</f>
        <v>management</v>
      </c>
      <c r="D313" s="3" t="str">
        <f aca="false">Raw_Data!C313</f>
        <v>married</v>
      </c>
      <c r="E313" s="3" t="str">
        <f aca="false">Raw_Data!D313</f>
        <v>unknown</v>
      </c>
      <c r="F313" s="3" t="str">
        <f aca="false">Raw_Data!E313</f>
        <v>no</v>
      </c>
      <c r="G313" s="3" t="n">
        <f aca="false">Raw_Data!F313</f>
        <v>559</v>
      </c>
      <c r="H313" s="3" t="str">
        <f aca="false">Raw_Data!G313</f>
        <v>no</v>
      </c>
      <c r="I313" s="3" t="str">
        <f aca="false">Raw_Data!H313</f>
        <v>no</v>
      </c>
      <c r="J313" s="2" t="n">
        <f aca="false">IF(F313="yes",1,0)</f>
        <v>0</v>
      </c>
      <c r="K313" s="2" t="n">
        <f aca="false">IF(H313="yes",1,0)</f>
        <v>0</v>
      </c>
      <c r="L313" s="2" t="n">
        <f aca="false">IF(I313="yes",1,0)</f>
        <v>0</v>
      </c>
      <c r="M313" s="2" t="n">
        <f aca="false">IF(G313&lt;0,1,0)</f>
        <v>0</v>
      </c>
      <c r="N313" s="2" t="str">
        <f aca="false">_xlfn.IFS(B313&lt;30,"Under 30",B313&lt;40,"30-39",B313&lt;50,"40-49",B313&lt;60,"50-59",TRUE(),"60+")</f>
        <v>50-59</v>
      </c>
      <c r="O313" s="2" t="str">
        <f aca="false">_xlfn.IFS(G313&lt;0,"1 Negative",G313=0,"2 Zero",G313&lt;=500,"3 1-500",G313&lt;=2000,"4 501-2000",TRUE(),"5 Above 2000")</f>
        <v>4 501-2000</v>
      </c>
      <c r="P313" s="2" t="n">
        <f aca="false">Lookups!$B$2*M313+Lookups!$B$3*L313</f>
        <v>0</v>
      </c>
      <c r="Q313" s="2" t="str">
        <f aca="false">INDEX(Lookups!$E$2:$E$5,MATCH(P313,Lookups!$D$2:$D$5,0))</f>
        <v>Low</v>
      </c>
    </row>
    <row r="314" customFormat="false" ht="15" hidden="false" customHeight="false" outlineLevel="0" collapsed="false">
      <c r="A314" s="3" t="n">
        <v>313</v>
      </c>
      <c r="B314" s="3" t="n">
        <f aca="false">Raw_Data!A314</f>
        <v>43</v>
      </c>
      <c r="C314" s="3" t="str">
        <f aca="false">SUBSTITUTE(Raw_Data!B314,".","")</f>
        <v>blue-collar</v>
      </c>
      <c r="D314" s="3" t="str">
        <f aca="false">Raw_Data!C314</f>
        <v>single</v>
      </c>
      <c r="E314" s="3" t="str">
        <f aca="false">Raw_Data!D314</f>
        <v>primary</v>
      </c>
      <c r="F314" s="3" t="str">
        <f aca="false">Raw_Data!E314</f>
        <v>no</v>
      </c>
      <c r="G314" s="3" t="n">
        <f aca="false">Raw_Data!F314</f>
        <v>2</v>
      </c>
      <c r="H314" s="3" t="str">
        <f aca="false">Raw_Data!G314</f>
        <v>yes</v>
      </c>
      <c r="I314" s="3" t="str">
        <f aca="false">Raw_Data!H314</f>
        <v>no</v>
      </c>
      <c r="J314" s="2" t="n">
        <f aca="false">IF(F314="yes",1,0)</f>
        <v>0</v>
      </c>
      <c r="K314" s="2" t="n">
        <f aca="false">IF(H314="yes",1,0)</f>
        <v>1</v>
      </c>
      <c r="L314" s="2" t="n">
        <f aca="false">IF(I314="yes",1,0)</f>
        <v>0</v>
      </c>
      <c r="M314" s="2" t="n">
        <f aca="false">IF(G314&lt;0,1,0)</f>
        <v>0</v>
      </c>
      <c r="N314" s="2" t="str">
        <f aca="false">_xlfn.IFS(B314&lt;30,"Under 30",B314&lt;40,"30-39",B314&lt;50,"40-49",B314&lt;60,"50-59",TRUE(),"60+")</f>
        <v>40-49</v>
      </c>
      <c r="O314" s="2" t="str">
        <f aca="false">_xlfn.IFS(G314&lt;0,"1 Negative",G314=0,"2 Zero",G314&lt;=500,"3 1-500",G314&lt;=2000,"4 501-2000",TRUE(),"5 Above 2000")</f>
        <v>3 1-500</v>
      </c>
      <c r="P314" s="2" t="n">
        <f aca="false">Lookups!$B$2*M314+Lookups!$B$3*L314</f>
        <v>0</v>
      </c>
      <c r="Q314" s="2" t="str">
        <f aca="false">INDEX(Lookups!$E$2:$E$5,MATCH(P314,Lookups!$D$2:$D$5,0))</f>
        <v>Low</v>
      </c>
    </row>
    <row r="315" customFormat="false" ht="15" hidden="false" customHeight="false" outlineLevel="0" collapsed="false">
      <c r="A315" s="3" t="n">
        <v>314</v>
      </c>
      <c r="B315" s="3" t="n">
        <f aca="false">Raw_Data!A315</f>
        <v>43</v>
      </c>
      <c r="C315" s="3" t="str">
        <f aca="false">SUBSTITUTE(Raw_Data!B315,".","")</f>
        <v>management</v>
      </c>
      <c r="D315" s="3" t="str">
        <f aca="false">Raw_Data!C315</f>
        <v>married</v>
      </c>
      <c r="E315" s="3" t="str">
        <f aca="false">Raw_Data!D315</f>
        <v>tertiary</v>
      </c>
      <c r="F315" s="3" t="str">
        <f aca="false">Raw_Data!E315</f>
        <v>no</v>
      </c>
      <c r="G315" s="3" t="n">
        <f aca="false">Raw_Data!F315</f>
        <v>2</v>
      </c>
      <c r="H315" s="3" t="str">
        <f aca="false">Raw_Data!G315</f>
        <v>no</v>
      </c>
      <c r="I315" s="3" t="str">
        <f aca="false">Raw_Data!H315</f>
        <v>yes</v>
      </c>
      <c r="J315" s="2" t="n">
        <f aca="false">IF(F315="yes",1,0)</f>
        <v>0</v>
      </c>
      <c r="K315" s="2" t="n">
        <f aca="false">IF(H315="yes",1,0)</f>
        <v>0</v>
      </c>
      <c r="L315" s="2" t="n">
        <f aca="false">IF(I315="yes",1,0)</f>
        <v>1</v>
      </c>
      <c r="M315" s="2" t="n">
        <f aca="false">IF(G315&lt;0,1,0)</f>
        <v>0</v>
      </c>
      <c r="N315" s="2" t="str">
        <f aca="false">_xlfn.IFS(B315&lt;30,"Under 30",B315&lt;40,"30-39",B315&lt;50,"40-49",B315&lt;60,"50-59",TRUE(),"60+")</f>
        <v>40-49</v>
      </c>
      <c r="O315" s="2" t="str">
        <f aca="false">_xlfn.IFS(G315&lt;0,"1 Negative",G315=0,"2 Zero",G315&lt;=500,"3 1-500",G315&lt;=2000,"4 501-2000",TRUE(),"5 Above 2000")</f>
        <v>3 1-500</v>
      </c>
      <c r="P315" s="2" t="n">
        <f aca="false">Lookups!$B$2*M315+Lookups!$B$3*L315</f>
        <v>1</v>
      </c>
      <c r="Q315" s="2" t="str">
        <f aca="false">INDEX(Lookups!$E$2:$E$5,MATCH(P315,Lookups!$D$2:$D$5,0))</f>
        <v>Medium</v>
      </c>
    </row>
    <row r="316" customFormat="false" ht="15" hidden="false" customHeight="false" outlineLevel="0" collapsed="false">
      <c r="A316" s="3" t="n">
        <v>315</v>
      </c>
      <c r="B316" s="3" t="n">
        <f aca="false">Raw_Data!A316</f>
        <v>25</v>
      </c>
      <c r="C316" s="3" t="str">
        <f aca="false">SUBSTITUTE(Raw_Data!B316,".","")</f>
        <v>admin</v>
      </c>
      <c r="D316" s="3" t="str">
        <f aca="false">Raw_Data!C316</f>
        <v>single</v>
      </c>
      <c r="E316" s="3" t="str">
        <f aca="false">Raw_Data!D316</f>
        <v>tertiary</v>
      </c>
      <c r="F316" s="3" t="str">
        <f aca="false">Raw_Data!E316</f>
        <v>no</v>
      </c>
      <c r="G316" s="3" t="n">
        <f aca="false">Raw_Data!F316</f>
        <v>760</v>
      </c>
      <c r="H316" s="3" t="str">
        <f aca="false">Raw_Data!G316</f>
        <v>yes</v>
      </c>
      <c r="I316" s="3" t="str">
        <f aca="false">Raw_Data!H316</f>
        <v>no</v>
      </c>
      <c r="J316" s="2" t="n">
        <f aca="false">IF(F316="yes",1,0)</f>
        <v>0</v>
      </c>
      <c r="K316" s="2" t="n">
        <f aca="false">IF(H316="yes",1,0)</f>
        <v>1</v>
      </c>
      <c r="L316" s="2" t="n">
        <f aca="false">IF(I316="yes",1,0)</f>
        <v>0</v>
      </c>
      <c r="M316" s="2" t="n">
        <f aca="false">IF(G316&lt;0,1,0)</f>
        <v>0</v>
      </c>
      <c r="N316" s="2" t="str">
        <f aca="false">_xlfn.IFS(B316&lt;30,"Under 30",B316&lt;40,"30-39",B316&lt;50,"40-49",B316&lt;60,"50-59",TRUE(),"60+")</f>
        <v>Under 30</v>
      </c>
      <c r="O316" s="2" t="str">
        <f aca="false">_xlfn.IFS(G316&lt;0,"1 Negative",G316=0,"2 Zero",G316&lt;=500,"3 1-500",G316&lt;=2000,"4 501-2000",TRUE(),"5 Above 2000")</f>
        <v>4 501-2000</v>
      </c>
      <c r="P316" s="2" t="n">
        <f aca="false">Lookups!$B$2*M316+Lookups!$B$3*L316</f>
        <v>0</v>
      </c>
      <c r="Q316" s="2" t="str">
        <f aca="false">INDEX(Lookups!$E$2:$E$5,MATCH(P316,Lookups!$D$2:$D$5,0))</f>
        <v>Low</v>
      </c>
    </row>
    <row r="317" customFormat="false" ht="15" hidden="false" customHeight="false" outlineLevel="0" collapsed="false">
      <c r="A317" s="3" t="n">
        <v>316</v>
      </c>
      <c r="B317" s="3" t="n">
        <f aca="false">Raw_Data!A317</f>
        <v>30</v>
      </c>
      <c r="C317" s="3" t="str">
        <f aca="false">SUBSTITUTE(Raw_Data!B317,".","")</f>
        <v>blue-collar</v>
      </c>
      <c r="D317" s="3" t="str">
        <f aca="false">Raw_Data!C317</f>
        <v>married</v>
      </c>
      <c r="E317" s="3" t="str">
        <f aca="false">Raw_Data!D317</f>
        <v>primary</v>
      </c>
      <c r="F317" s="3" t="str">
        <f aca="false">Raw_Data!E317</f>
        <v>no</v>
      </c>
      <c r="G317" s="3" t="n">
        <f aca="false">Raw_Data!F317</f>
        <v>1317</v>
      </c>
      <c r="H317" s="3" t="str">
        <f aca="false">Raw_Data!G317</f>
        <v>yes</v>
      </c>
      <c r="I317" s="3" t="str">
        <f aca="false">Raw_Data!H317</f>
        <v>no</v>
      </c>
      <c r="J317" s="2" t="n">
        <f aca="false">IF(F317="yes",1,0)</f>
        <v>0</v>
      </c>
      <c r="K317" s="2" t="n">
        <f aca="false">IF(H317="yes",1,0)</f>
        <v>1</v>
      </c>
      <c r="L317" s="2" t="n">
        <f aca="false">IF(I317="yes",1,0)</f>
        <v>0</v>
      </c>
      <c r="M317" s="2" t="n">
        <f aca="false">IF(G317&lt;0,1,0)</f>
        <v>0</v>
      </c>
      <c r="N317" s="2" t="str">
        <f aca="false">_xlfn.IFS(B317&lt;30,"Under 30",B317&lt;40,"30-39",B317&lt;50,"40-49",B317&lt;60,"50-59",TRUE(),"60+")</f>
        <v>30-39</v>
      </c>
      <c r="O317" s="2" t="str">
        <f aca="false">_xlfn.IFS(G317&lt;0,"1 Negative",G317=0,"2 Zero",G317&lt;=500,"3 1-500",G317&lt;=2000,"4 501-2000",TRUE(),"5 Above 2000")</f>
        <v>4 501-2000</v>
      </c>
      <c r="P317" s="2" t="n">
        <f aca="false">Lookups!$B$2*M317+Lookups!$B$3*L317</f>
        <v>0</v>
      </c>
      <c r="Q317" s="2" t="str">
        <f aca="false">INDEX(Lookups!$E$2:$E$5,MATCH(P317,Lookups!$D$2:$D$5,0))</f>
        <v>Low</v>
      </c>
    </row>
    <row r="318" customFormat="false" ht="15" hidden="false" customHeight="false" outlineLevel="0" collapsed="false">
      <c r="A318" s="3" t="n">
        <v>317</v>
      </c>
      <c r="B318" s="3" t="n">
        <f aca="false">Raw_Data!A318</f>
        <v>46</v>
      </c>
      <c r="C318" s="3" t="str">
        <f aca="false">SUBSTITUTE(Raw_Data!B318,".","")</f>
        <v>blue-collar</v>
      </c>
      <c r="D318" s="3" t="str">
        <f aca="false">Raw_Data!C318</f>
        <v>married</v>
      </c>
      <c r="E318" s="3" t="str">
        <f aca="false">Raw_Data!D318</f>
        <v>secondary</v>
      </c>
      <c r="F318" s="3" t="str">
        <f aca="false">Raw_Data!E318</f>
        <v>no</v>
      </c>
      <c r="G318" s="3" t="n">
        <f aca="false">Raw_Data!F318</f>
        <v>182</v>
      </c>
      <c r="H318" s="3" t="str">
        <f aca="false">Raw_Data!G318</f>
        <v>no</v>
      </c>
      <c r="I318" s="3" t="str">
        <f aca="false">Raw_Data!H318</f>
        <v>no</v>
      </c>
      <c r="J318" s="2" t="n">
        <f aca="false">IF(F318="yes",1,0)</f>
        <v>0</v>
      </c>
      <c r="K318" s="2" t="n">
        <f aca="false">IF(H318="yes",1,0)</f>
        <v>0</v>
      </c>
      <c r="L318" s="2" t="n">
        <f aca="false">IF(I318="yes",1,0)</f>
        <v>0</v>
      </c>
      <c r="M318" s="2" t="n">
        <f aca="false">IF(G318&lt;0,1,0)</f>
        <v>0</v>
      </c>
      <c r="N318" s="2" t="str">
        <f aca="false">_xlfn.IFS(B318&lt;30,"Under 30",B318&lt;40,"30-39",B318&lt;50,"40-49",B318&lt;60,"50-59",TRUE(),"60+")</f>
        <v>40-49</v>
      </c>
      <c r="O318" s="2" t="str">
        <f aca="false">_xlfn.IFS(G318&lt;0,"1 Negative",G318=0,"2 Zero",G318&lt;=500,"3 1-500",G318&lt;=2000,"4 501-2000",TRUE(),"5 Above 2000")</f>
        <v>3 1-500</v>
      </c>
      <c r="P318" s="2" t="n">
        <f aca="false">Lookups!$B$2*M318+Lookups!$B$3*L318</f>
        <v>0</v>
      </c>
      <c r="Q318" s="2" t="str">
        <f aca="false">INDEX(Lookups!$E$2:$E$5,MATCH(P318,Lookups!$D$2:$D$5,0))</f>
        <v>Low</v>
      </c>
    </row>
    <row r="319" customFormat="false" ht="15" hidden="false" customHeight="false" outlineLevel="0" collapsed="false">
      <c r="A319" s="3" t="n">
        <v>318</v>
      </c>
      <c r="B319" s="3" t="n">
        <f aca="false">Raw_Data!A319</f>
        <v>50</v>
      </c>
      <c r="C319" s="3" t="str">
        <f aca="false">SUBSTITUTE(Raw_Data!B319,".","")</f>
        <v>admin</v>
      </c>
      <c r="D319" s="3" t="str">
        <f aca="false">Raw_Data!C319</f>
        <v>married</v>
      </c>
      <c r="E319" s="3" t="str">
        <f aca="false">Raw_Data!D319</f>
        <v>primary</v>
      </c>
      <c r="F319" s="3" t="str">
        <f aca="false">Raw_Data!E319</f>
        <v>no</v>
      </c>
      <c r="G319" s="3" t="n">
        <f aca="false">Raw_Data!F319</f>
        <v>276</v>
      </c>
      <c r="H319" s="3" t="str">
        <f aca="false">Raw_Data!G319</f>
        <v>no</v>
      </c>
      <c r="I319" s="3" t="str">
        <f aca="false">Raw_Data!H319</f>
        <v>yes</v>
      </c>
      <c r="J319" s="2" t="n">
        <f aca="false">IF(F319="yes",1,0)</f>
        <v>0</v>
      </c>
      <c r="K319" s="2" t="n">
        <f aca="false">IF(H319="yes",1,0)</f>
        <v>0</v>
      </c>
      <c r="L319" s="2" t="n">
        <f aca="false">IF(I319="yes",1,0)</f>
        <v>1</v>
      </c>
      <c r="M319" s="2" t="n">
        <f aca="false">IF(G319&lt;0,1,0)</f>
        <v>0</v>
      </c>
      <c r="N319" s="2" t="str">
        <f aca="false">_xlfn.IFS(B319&lt;30,"Under 30",B319&lt;40,"30-39",B319&lt;50,"40-49",B319&lt;60,"50-59",TRUE(),"60+")</f>
        <v>50-59</v>
      </c>
      <c r="O319" s="2" t="str">
        <f aca="false">_xlfn.IFS(G319&lt;0,"1 Negative",G319=0,"2 Zero",G319&lt;=500,"3 1-500",G319&lt;=2000,"4 501-2000",TRUE(),"5 Above 2000")</f>
        <v>3 1-500</v>
      </c>
      <c r="P319" s="2" t="n">
        <f aca="false">Lookups!$B$2*M319+Lookups!$B$3*L319</f>
        <v>1</v>
      </c>
      <c r="Q319" s="2" t="str">
        <f aca="false">INDEX(Lookups!$E$2:$E$5,MATCH(P319,Lookups!$D$2:$D$5,0))</f>
        <v>Medium</v>
      </c>
    </row>
    <row r="320" customFormat="false" ht="15" hidden="false" customHeight="false" outlineLevel="0" collapsed="false">
      <c r="A320" s="3" t="n">
        <v>319</v>
      </c>
      <c r="B320" s="3" t="n">
        <f aca="false">Raw_Data!A320</f>
        <v>35</v>
      </c>
      <c r="C320" s="3" t="str">
        <f aca="false">SUBSTITUTE(Raw_Data!B320,".","")</f>
        <v>entrepreneur</v>
      </c>
      <c r="D320" s="3" t="str">
        <f aca="false">Raw_Data!C320</f>
        <v>married</v>
      </c>
      <c r="E320" s="3" t="str">
        <f aca="false">Raw_Data!D320</f>
        <v>secondary</v>
      </c>
      <c r="F320" s="3" t="str">
        <f aca="false">Raw_Data!E320</f>
        <v>no</v>
      </c>
      <c r="G320" s="3" t="n">
        <f aca="false">Raw_Data!F320</f>
        <v>2971</v>
      </c>
      <c r="H320" s="3" t="str">
        <f aca="false">Raw_Data!G320</f>
        <v>no</v>
      </c>
      <c r="I320" s="3" t="str">
        <f aca="false">Raw_Data!H320</f>
        <v>no</v>
      </c>
      <c r="J320" s="2" t="n">
        <f aca="false">IF(F320="yes",1,0)</f>
        <v>0</v>
      </c>
      <c r="K320" s="2" t="n">
        <f aca="false">IF(H320="yes",1,0)</f>
        <v>0</v>
      </c>
      <c r="L320" s="2" t="n">
        <f aca="false">IF(I320="yes",1,0)</f>
        <v>0</v>
      </c>
      <c r="M320" s="2" t="n">
        <f aca="false">IF(G320&lt;0,1,0)</f>
        <v>0</v>
      </c>
      <c r="N320" s="2" t="str">
        <f aca="false">_xlfn.IFS(B320&lt;30,"Under 30",B320&lt;40,"30-39",B320&lt;50,"40-49",B320&lt;60,"50-59",TRUE(),"60+")</f>
        <v>30-39</v>
      </c>
      <c r="O320" s="2" t="str">
        <f aca="false">_xlfn.IFS(G320&lt;0,"1 Negative",G320=0,"2 Zero",G320&lt;=500,"3 1-500",G320&lt;=2000,"4 501-2000",TRUE(),"5 Above 2000")</f>
        <v>5 Above 2000</v>
      </c>
      <c r="P320" s="2" t="n">
        <f aca="false">Lookups!$B$2*M320+Lookups!$B$3*L320</f>
        <v>0</v>
      </c>
      <c r="Q320" s="2" t="str">
        <f aca="false">INDEX(Lookups!$E$2:$E$5,MATCH(P320,Lookups!$D$2:$D$5,0))</f>
        <v>Low</v>
      </c>
    </row>
    <row r="321" customFormat="false" ht="15" hidden="false" customHeight="false" outlineLevel="0" collapsed="false">
      <c r="A321" s="3" t="n">
        <v>320</v>
      </c>
      <c r="B321" s="3" t="n">
        <f aca="false">Raw_Data!A321</f>
        <v>26</v>
      </c>
      <c r="C321" s="3" t="str">
        <f aca="false">SUBSTITUTE(Raw_Data!B321,".","")</f>
        <v>unemployed</v>
      </c>
      <c r="D321" s="3" t="str">
        <f aca="false">Raw_Data!C321</f>
        <v>single</v>
      </c>
      <c r="E321" s="3" t="str">
        <f aca="false">Raw_Data!D321</f>
        <v>secondary</v>
      </c>
      <c r="F321" s="3" t="str">
        <f aca="false">Raw_Data!E321</f>
        <v>no</v>
      </c>
      <c r="G321" s="3" t="n">
        <f aca="false">Raw_Data!F321</f>
        <v>1064</v>
      </c>
      <c r="H321" s="3" t="str">
        <f aca="false">Raw_Data!G321</f>
        <v>no</v>
      </c>
      <c r="I321" s="3" t="str">
        <f aca="false">Raw_Data!H321</f>
        <v>no</v>
      </c>
      <c r="J321" s="2" t="n">
        <f aca="false">IF(F321="yes",1,0)</f>
        <v>0</v>
      </c>
      <c r="K321" s="2" t="n">
        <f aca="false">IF(H321="yes",1,0)</f>
        <v>0</v>
      </c>
      <c r="L321" s="2" t="n">
        <f aca="false">IF(I321="yes",1,0)</f>
        <v>0</v>
      </c>
      <c r="M321" s="2" t="n">
        <f aca="false">IF(G321&lt;0,1,0)</f>
        <v>0</v>
      </c>
      <c r="N321" s="2" t="str">
        <f aca="false">_xlfn.IFS(B321&lt;30,"Under 30",B321&lt;40,"30-39",B321&lt;50,"40-49",B321&lt;60,"50-59",TRUE(),"60+")</f>
        <v>Under 30</v>
      </c>
      <c r="O321" s="2" t="str">
        <f aca="false">_xlfn.IFS(G321&lt;0,"1 Negative",G321=0,"2 Zero",G321&lt;=500,"3 1-500",G321&lt;=2000,"4 501-2000",TRUE(),"5 Above 2000")</f>
        <v>4 501-2000</v>
      </c>
      <c r="P321" s="2" t="n">
        <f aca="false">Lookups!$B$2*M321+Lookups!$B$3*L321</f>
        <v>0</v>
      </c>
      <c r="Q321" s="2" t="str">
        <f aca="false">INDEX(Lookups!$E$2:$E$5,MATCH(P321,Lookups!$D$2:$D$5,0))</f>
        <v>Low</v>
      </c>
    </row>
    <row r="322" customFormat="false" ht="15" hidden="false" customHeight="false" outlineLevel="0" collapsed="false">
      <c r="A322" s="3" t="n">
        <v>321</v>
      </c>
      <c r="B322" s="3" t="n">
        <f aca="false">Raw_Data!A322</f>
        <v>45</v>
      </c>
      <c r="C322" s="3" t="str">
        <f aca="false">SUBSTITUTE(Raw_Data!B322,".","")</f>
        <v>admin</v>
      </c>
      <c r="D322" s="3" t="str">
        <f aca="false">Raw_Data!C322</f>
        <v>married</v>
      </c>
      <c r="E322" s="3" t="str">
        <f aca="false">Raw_Data!D322</f>
        <v>unknown</v>
      </c>
      <c r="F322" s="3" t="str">
        <f aca="false">Raw_Data!E322</f>
        <v>no</v>
      </c>
      <c r="G322" s="3" t="n">
        <f aca="false">Raw_Data!F322</f>
        <v>1783</v>
      </c>
      <c r="H322" s="3" t="str">
        <f aca="false">Raw_Data!G322</f>
        <v>no</v>
      </c>
      <c r="I322" s="3" t="str">
        <f aca="false">Raw_Data!H322</f>
        <v>no</v>
      </c>
      <c r="J322" s="2" t="n">
        <f aca="false">IF(F322="yes",1,0)</f>
        <v>0</v>
      </c>
      <c r="K322" s="2" t="n">
        <f aca="false">IF(H322="yes",1,0)</f>
        <v>0</v>
      </c>
      <c r="L322" s="2" t="n">
        <f aca="false">IF(I322="yes",1,0)</f>
        <v>0</v>
      </c>
      <c r="M322" s="2" t="n">
        <f aca="false">IF(G322&lt;0,1,0)</f>
        <v>0</v>
      </c>
      <c r="N322" s="2" t="str">
        <f aca="false">_xlfn.IFS(B322&lt;30,"Under 30",B322&lt;40,"30-39",B322&lt;50,"40-49",B322&lt;60,"50-59",TRUE(),"60+")</f>
        <v>40-49</v>
      </c>
      <c r="O322" s="2" t="str">
        <f aca="false">_xlfn.IFS(G322&lt;0,"1 Negative",G322=0,"2 Zero",G322&lt;=500,"3 1-500",G322&lt;=2000,"4 501-2000",TRUE(),"5 Above 2000")</f>
        <v>4 501-2000</v>
      </c>
      <c r="P322" s="2" t="n">
        <f aca="false">Lookups!$B$2*M322+Lookups!$B$3*L322</f>
        <v>0</v>
      </c>
      <c r="Q322" s="2" t="str">
        <f aca="false">INDEX(Lookups!$E$2:$E$5,MATCH(P322,Lookups!$D$2:$D$5,0))</f>
        <v>Low</v>
      </c>
    </row>
    <row r="323" customFormat="false" ht="15" hidden="false" customHeight="false" outlineLevel="0" collapsed="false">
      <c r="A323" s="3" t="n">
        <v>322</v>
      </c>
      <c r="B323" s="3" t="n">
        <f aca="false">Raw_Data!A323</f>
        <v>37</v>
      </c>
      <c r="C323" s="3" t="str">
        <f aca="false">SUBSTITUTE(Raw_Data!B323,".","")</f>
        <v>blue-collar</v>
      </c>
      <c r="D323" s="3" t="str">
        <f aca="false">Raw_Data!C323</f>
        <v>married</v>
      </c>
      <c r="E323" s="3" t="str">
        <f aca="false">Raw_Data!D323</f>
        <v>secondary</v>
      </c>
      <c r="F323" s="3" t="str">
        <f aca="false">Raw_Data!E323</f>
        <v>no</v>
      </c>
      <c r="G323" s="3" t="n">
        <f aca="false">Raw_Data!F323</f>
        <v>-67</v>
      </c>
      <c r="H323" s="3" t="str">
        <f aca="false">Raw_Data!G323</f>
        <v>no</v>
      </c>
      <c r="I323" s="3" t="str">
        <f aca="false">Raw_Data!H323</f>
        <v>no</v>
      </c>
      <c r="J323" s="2" t="n">
        <f aca="false">IF(F323="yes",1,0)</f>
        <v>0</v>
      </c>
      <c r="K323" s="2" t="n">
        <f aca="false">IF(H323="yes",1,0)</f>
        <v>0</v>
      </c>
      <c r="L323" s="2" t="n">
        <f aca="false">IF(I323="yes",1,0)</f>
        <v>0</v>
      </c>
      <c r="M323" s="2" t="n">
        <f aca="false">IF(G323&lt;0,1,0)</f>
        <v>1</v>
      </c>
      <c r="N323" s="2" t="str">
        <f aca="false">_xlfn.IFS(B323&lt;30,"Under 30",B323&lt;40,"30-39",B323&lt;50,"40-49",B323&lt;60,"50-59",TRUE(),"60+")</f>
        <v>30-39</v>
      </c>
      <c r="O323" s="2" t="str">
        <f aca="false">_xlfn.IFS(G323&lt;0,"1 Negative",G323=0,"2 Zero",G323&lt;=500,"3 1-500",G323&lt;=2000,"4 501-2000",TRUE(),"5 Above 2000")</f>
        <v>1 Negative</v>
      </c>
      <c r="P323" s="2" t="n">
        <f aca="false">Lookups!$B$2*M323+Lookups!$B$3*L323</f>
        <v>2</v>
      </c>
      <c r="Q323" s="2" t="str">
        <f aca="false">INDEX(Lookups!$E$2:$E$5,MATCH(P323,Lookups!$D$2:$D$5,0))</f>
        <v>High</v>
      </c>
    </row>
    <row r="324" customFormat="false" ht="15" hidden="false" customHeight="false" outlineLevel="0" collapsed="false">
      <c r="A324" s="3" t="n">
        <v>323</v>
      </c>
      <c r="B324" s="3" t="n">
        <f aca="false">Raw_Data!A324</f>
        <v>60</v>
      </c>
      <c r="C324" s="3" t="str">
        <f aca="false">SUBSTITUTE(Raw_Data!B324,".","")</f>
        <v>self-employed</v>
      </c>
      <c r="D324" s="3" t="str">
        <f aca="false">Raw_Data!C324</f>
        <v>single</v>
      </c>
      <c r="E324" s="3" t="str">
        <f aca="false">Raw_Data!D324</f>
        <v>tertiary</v>
      </c>
      <c r="F324" s="3" t="str">
        <f aca="false">Raw_Data!E324</f>
        <v>no</v>
      </c>
      <c r="G324" s="3" t="n">
        <f aca="false">Raw_Data!F324</f>
        <v>179</v>
      </c>
      <c r="H324" s="3" t="str">
        <f aca="false">Raw_Data!G324</f>
        <v>no</v>
      </c>
      <c r="I324" s="3" t="str">
        <f aca="false">Raw_Data!H324</f>
        <v>yes</v>
      </c>
      <c r="J324" s="2" t="n">
        <f aca="false">IF(F324="yes",1,0)</f>
        <v>0</v>
      </c>
      <c r="K324" s="2" t="n">
        <f aca="false">IF(H324="yes",1,0)</f>
        <v>0</v>
      </c>
      <c r="L324" s="2" t="n">
        <f aca="false">IF(I324="yes",1,0)</f>
        <v>1</v>
      </c>
      <c r="M324" s="2" t="n">
        <f aca="false">IF(G324&lt;0,1,0)</f>
        <v>0</v>
      </c>
      <c r="N324" s="2" t="str">
        <f aca="false">_xlfn.IFS(B324&lt;30,"Under 30",B324&lt;40,"30-39",B324&lt;50,"40-49",B324&lt;60,"50-59",TRUE(),"60+")</f>
        <v>60+</v>
      </c>
      <c r="O324" s="2" t="str">
        <f aca="false">_xlfn.IFS(G324&lt;0,"1 Negative",G324=0,"2 Zero",G324&lt;=500,"3 1-500",G324&lt;=2000,"4 501-2000",TRUE(),"5 Above 2000")</f>
        <v>3 1-500</v>
      </c>
      <c r="P324" s="2" t="n">
        <f aca="false">Lookups!$B$2*M324+Lookups!$B$3*L324</f>
        <v>1</v>
      </c>
      <c r="Q324" s="2" t="str">
        <f aca="false">INDEX(Lookups!$E$2:$E$5,MATCH(P324,Lookups!$D$2:$D$5,0))</f>
        <v>Medium</v>
      </c>
    </row>
    <row r="325" customFormat="false" ht="15" hidden="false" customHeight="false" outlineLevel="0" collapsed="false">
      <c r="A325" s="3" t="n">
        <v>324</v>
      </c>
      <c r="B325" s="3" t="n">
        <f aca="false">Raw_Data!A325</f>
        <v>38</v>
      </c>
      <c r="C325" s="3" t="str">
        <f aca="false">SUBSTITUTE(Raw_Data!B325,".","")</f>
        <v>management</v>
      </c>
      <c r="D325" s="3" t="str">
        <f aca="false">Raw_Data!C325</f>
        <v>married</v>
      </c>
      <c r="E325" s="3" t="str">
        <f aca="false">Raw_Data!D325</f>
        <v>tertiary</v>
      </c>
      <c r="F325" s="3" t="str">
        <f aca="false">Raw_Data!E325</f>
        <v>no</v>
      </c>
      <c r="G325" s="3" t="n">
        <f aca="false">Raw_Data!F325</f>
        <v>1199</v>
      </c>
      <c r="H325" s="3" t="str">
        <f aca="false">Raw_Data!G325</f>
        <v>no</v>
      </c>
      <c r="I325" s="3" t="str">
        <f aca="false">Raw_Data!H325</f>
        <v>no</v>
      </c>
      <c r="J325" s="2" t="n">
        <f aca="false">IF(F325="yes",1,0)</f>
        <v>0</v>
      </c>
      <c r="K325" s="2" t="n">
        <f aca="false">IF(H325="yes",1,0)</f>
        <v>0</v>
      </c>
      <c r="L325" s="2" t="n">
        <f aca="false">IF(I325="yes",1,0)</f>
        <v>0</v>
      </c>
      <c r="M325" s="2" t="n">
        <f aca="false">IF(G325&lt;0,1,0)</f>
        <v>0</v>
      </c>
      <c r="N325" s="2" t="str">
        <f aca="false">_xlfn.IFS(B325&lt;30,"Under 30",B325&lt;40,"30-39",B325&lt;50,"40-49",B325&lt;60,"50-59",TRUE(),"60+")</f>
        <v>30-39</v>
      </c>
      <c r="O325" s="2" t="str">
        <f aca="false">_xlfn.IFS(G325&lt;0,"1 Negative",G325=0,"2 Zero",G325&lt;=500,"3 1-500",G325&lt;=2000,"4 501-2000",TRUE(),"5 Above 2000")</f>
        <v>4 501-2000</v>
      </c>
      <c r="P325" s="2" t="n">
        <f aca="false">Lookups!$B$2*M325+Lookups!$B$3*L325</f>
        <v>0</v>
      </c>
      <c r="Q325" s="2" t="str">
        <f aca="false">INDEX(Lookups!$E$2:$E$5,MATCH(P325,Lookups!$D$2:$D$5,0))</f>
        <v>Low</v>
      </c>
    </row>
    <row r="326" customFormat="false" ht="15" hidden="false" customHeight="false" outlineLevel="0" collapsed="false">
      <c r="A326" s="3" t="n">
        <v>325</v>
      </c>
      <c r="B326" s="3" t="n">
        <f aca="false">Raw_Data!A326</f>
        <v>47</v>
      </c>
      <c r="C326" s="3" t="str">
        <f aca="false">SUBSTITUTE(Raw_Data!B326,".","")</f>
        <v>blue-collar</v>
      </c>
      <c r="D326" s="3" t="str">
        <f aca="false">Raw_Data!C326</f>
        <v>married</v>
      </c>
      <c r="E326" s="3" t="str">
        <f aca="false">Raw_Data!D326</f>
        <v>primary</v>
      </c>
      <c r="F326" s="3" t="str">
        <f aca="false">Raw_Data!E326</f>
        <v>no</v>
      </c>
      <c r="G326" s="3" t="n">
        <f aca="false">Raw_Data!F326</f>
        <v>214</v>
      </c>
      <c r="H326" s="3" t="str">
        <f aca="false">Raw_Data!G326</f>
        <v>yes</v>
      </c>
      <c r="I326" s="3" t="str">
        <f aca="false">Raw_Data!H326</f>
        <v>yes</v>
      </c>
      <c r="J326" s="2" t="n">
        <f aca="false">IF(F326="yes",1,0)</f>
        <v>0</v>
      </c>
      <c r="K326" s="2" t="n">
        <f aca="false">IF(H326="yes",1,0)</f>
        <v>1</v>
      </c>
      <c r="L326" s="2" t="n">
        <f aca="false">IF(I326="yes",1,0)</f>
        <v>1</v>
      </c>
      <c r="M326" s="2" t="n">
        <f aca="false">IF(G326&lt;0,1,0)</f>
        <v>0</v>
      </c>
      <c r="N326" s="2" t="str">
        <f aca="false">_xlfn.IFS(B326&lt;30,"Under 30",B326&lt;40,"30-39",B326&lt;50,"40-49",B326&lt;60,"50-59",TRUE(),"60+")</f>
        <v>40-49</v>
      </c>
      <c r="O326" s="2" t="str">
        <f aca="false">_xlfn.IFS(G326&lt;0,"1 Negative",G326=0,"2 Zero",G326&lt;=500,"3 1-500",G326&lt;=2000,"4 501-2000",TRUE(),"5 Above 2000")</f>
        <v>3 1-500</v>
      </c>
      <c r="P326" s="2" t="n">
        <f aca="false">Lookups!$B$2*M326+Lookups!$B$3*L326</f>
        <v>1</v>
      </c>
      <c r="Q326" s="2" t="str">
        <f aca="false">INDEX(Lookups!$E$2:$E$5,MATCH(P326,Lookups!$D$2:$D$5,0))</f>
        <v>Medium</v>
      </c>
    </row>
    <row r="327" customFormat="false" ht="15" hidden="false" customHeight="false" outlineLevel="0" collapsed="false">
      <c r="A327" s="3" t="n">
        <v>326</v>
      </c>
      <c r="B327" s="3" t="n">
        <f aca="false">Raw_Data!A327</f>
        <v>33</v>
      </c>
      <c r="C327" s="3" t="str">
        <f aca="false">SUBSTITUTE(Raw_Data!B327,".","")</f>
        <v>technician</v>
      </c>
      <c r="D327" s="3" t="str">
        <f aca="false">Raw_Data!C327</f>
        <v>married</v>
      </c>
      <c r="E327" s="3" t="str">
        <f aca="false">Raw_Data!D327</f>
        <v>secondary</v>
      </c>
      <c r="F327" s="3" t="str">
        <f aca="false">Raw_Data!E327</f>
        <v>no</v>
      </c>
      <c r="G327" s="3" t="n">
        <f aca="false">Raw_Data!F327</f>
        <v>6699</v>
      </c>
      <c r="H327" s="3" t="str">
        <f aca="false">Raw_Data!G327</f>
        <v>no</v>
      </c>
      <c r="I327" s="3" t="str">
        <f aca="false">Raw_Data!H327</f>
        <v>no</v>
      </c>
      <c r="J327" s="2" t="n">
        <f aca="false">IF(F327="yes",1,0)</f>
        <v>0</v>
      </c>
      <c r="K327" s="2" t="n">
        <f aca="false">IF(H327="yes",1,0)</f>
        <v>0</v>
      </c>
      <c r="L327" s="2" t="n">
        <f aca="false">IF(I327="yes",1,0)</f>
        <v>0</v>
      </c>
      <c r="M327" s="2" t="n">
        <f aca="false">IF(G327&lt;0,1,0)</f>
        <v>0</v>
      </c>
      <c r="N327" s="2" t="str">
        <f aca="false">_xlfn.IFS(B327&lt;30,"Under 30",B327&lt;40,"30-39",B327&lt;50,"40-49",B327&lt;60,"50-59",TRUE(),"60+")</f>
        <v>30-39</v>
      </c>
      <c r="O327" s="2" t="str">
        <f aca="false">_xlfn.IFS(G327&lt;0,"1 Negative",G327=0,"2 Zero",G327&lt;=500,"3 1-500",G327&lt;=2000,"4 501-2000",TRUE(),"5 Above 2000")</f>
        <v>5 Above 2000</v>
      </c>
      <c r="P327" s="2" t="n">
        <f aca="false">Lookups!$B$2*M327+Lookups!$B$3*L327</f>
        <v>0</v>
      </c>
      <c r="Q327" s="2" t="str">
        <f aca="false">INDEX(Lookups!$E$2:$E$5,MATCH(P327,Lookups!$D$2:$D$5,0))</f>
        <v>Low</v>
      </c>
    </row>
    <row r="328" customFormat="false" ht="15" hidden="false" customHeight="false" outlineLevel="0" collapsed="false">
      <c r="A328" s="3" t="n">
        <v>327</v>
      </c>
      <c r="B328" s="3" t="n">
        <f aca="false">Raw_Data!A328</f>
        <v>51</v>
      </c>
      <c r="C328" s="3" t="str">
        <f aca="false">SUBSTITUTE(Raw_Data!B328,".","")</f>
        <v>unemployed</v>
      </c>
      <c r="D328" s="3" t="str">
        <f aca="false">Raw_Data!C328</f>
        <v>married</v>
      </c>
      <c r="E328" s="3" t="str">
        <f aca="false">Raw_Data!D328</f>
        <v>secondary</v>
      </c>
      <c r="F328" s="3" t="str">
        <f aca="false">Raw_Data!E328</f>
        <v>no</v>
      </c>
      <c r="G328" s="3" t="n">
        <f aca="false">Raw_Data!F328</f>
        <v>1760</v>
      </c>
      <c r="H328" s="3" t="str">
        <f aca="false">Raw_Data!G328</f>
        <v>no</v>
      </c>
      <c r="I328" s="3" t="str">
        <f aca="false">Raw_Data!H328</f>
        <v>yes</v>
      </c>
      <c r="J328" s="2" t="n">
        <f aca="false">IF(F328="yes",1,0)</f>
        <v>0</v>
      </c>
      <c r="K328" s="2" t="n">
        <f aca="false">IF(H328="yes",1,0)</f>
        <v>0</v>
      </c>
      <c r="L328" s="2" t="n">
        <f aca="false">IF(I328="yes",1,0)</f>
        <v>1</v>
      </c>
      <c r="M328" s="2" t="n">
        <f aca="false">IF(G328&lt;0,1,0)</f>
        <v>0</v>
      </c>
      <c r="N328" s="2" t="str">
        <f aca="false">_xlfn.IFS(B328&lt;30,"Under 30",B328&lt;40,"30-39",B328&lt;50,"40-49",B328&lt;60,"50-59",TRUE(),"60+")</f>
        <v>50-59</v>
      </c>
      <c r="O328" s="2" t="str">
        <f aca="false">_xlfn.IFS(G328&lt;0,"1 Negative",G328=0,"2 Zero",G328&lt;=500,"3 1-500",G328&lt;=2000,"4 501-2000",TRUE(),"5 Above 2000")</f>
        <v>4 501-2000</v>
      </c>
      <c r="P328" s="2" t="n">
        <f aca="false">Lookups!$B$2*M328+Lookups!$B$3*L328</f>
        <v>1</v>
      </c>
      <c r="Q328" s="2" t="str">
        <f aca="false">INDEX(Lookups!$E$2:$E$5,MATCH(P328,Lookups!$D$2:$D$5,0))</f>
        <v>Medium</v>
      </c>
    </row>
    <row r="329" customFormat="false" ht="15" hidden="false" customHeight="false" outlineLevel="0" collapsed="false">
      <c r="A329" s="3" t="n">
        <v>328</v>
      </c>
      <c r="B329" s="3" t="n">
        <f aca="false">Raw_Data!A329</f>
        <v>35</v>
      </c>
      <c r="C329" s="3" t="str">
        <f aca="false">SUBSTITUTE(Raw_Data!B329,".","")</f>
        <v>entrepreneur</v>
      </c>
      <c r="D329" s="3" t="str">
        <f aca="false">Raw_Data!C329</f>
        <v>single</v>
      </c>
      <c r="E329" s="3" t="str">
        <f aca="false">Raw_Data!D329</f>
        <v>tertiary</v>
      </c>
      <c r="F329" s="3" t="str">
        <f aca="false">Raw_Data!E329</f>
        <v>no</v>
      </c>
      <c r="G329" s="3" t="n">
        <f aca="false">Raw_Data!F329</f>
        <v>145</v>
      </c>
      <c r="H329" s="3" t="str">
        <f aca="false">Raw_Data!G329</f>
        <v>yes</v>
      </c>
      <c r="I329" s="3" t="str">
        <f aca="false">Raw_Data!H329</f>
        <v>no</v>
      </c>
      <c r="J329" s="2" t="n">
        <f aca="false">IF(F329="yes",1,0)</f>
        <v>0</v>
      </c>
      <c r="K329" s="2" t="n">
        <f aca="false">IF(H329="yes",1,0)</f>
        <v>1</v>
      </c>
      <c r="L329" s="2" t="n">
        <f aca="false">IF(I329="yes",1,0)</f>
        <v>0</v>
      </c>
      <c r="M329" s="2" t="n">
        <f aca="false">IF(G329&lt;0,1,0)</f>
        <v>0</v>
      </c>
      <c r="N329" s="2" t="str">
        <f aca="false">_xlfn.IFS(B329&lt;30,"Under 30",B329&lt;40,"30-39",B329&lt;50,"40-49",B329&lt;60,"50-59",TRUE(),"60+")</f>
        <v>30-39</v>
      </c>
      <c r="O329" s="2" t="str">
        <f aca="false">_xlfn.IFS(G329&lt;0,"1 Negative",G329=0,"2 Zero",G329&lt;=500,"3 1-500",G329&lt;=2000,"4 501-2000",TRUE(),"5 Above 2000")</f>
        <v>3 1-500</v>
      </c>
      <c r="P329" s="2" t="n">
        <f aca="false">Lookups!$B$2*M329+Lookups!$B$3*L329</f>
        <v>0</v>
      </c>
      <c r="Q329" s="2" t="str">
        <f aca="false">INDEX(Lookups!$E$2:$E$5,MATCH(P329,Lookups!$D$2:$D$5,0))</f>
        <v>Low</v>
      </c>
    </row>
    <row r="330" customFormat="false" ht="15" hidden="false" customHeight="false" outlineLevel="0" collapsed="false">
      <c r="A330" s="3" t="n">
        <v>329</v>
      </c>
      <c r="B330" s="3" t="n">
        <f aca="false">Raw_Data!A330</f>
        <v>35</v>
      </c>
      <c r="C330" s="3" t="str">
        <f aca="false">SUBSTITUTE(Raw_Data!B330,".","")</f>
        <v>unemployed</v>
      </c>
      <c r="D330" s="3" t="str">
        <f aca="false">Raw_Data!C330</f>
        <v>married</v>
      </c>
      <c r="E330" s="3" t="str">
        <f aca="false">Raw_Data!D330</f>
        <v>secondary</v>
      </c>
      <c r="F330" s="3" t="str">
        <f aca="false">Raw_Data!E330</f>
        <v>no</v>
      </c>
      <c r="G330" s="3" t="n">
        <f aca="false">Raw_Data!F330</f>
        <v>978</v>
      </c>
      <c r="H330" s="3" t="str">
        <f aca="false">Raw_Data!G330</f>
        <v>no</v>
      </c>
      <c r="I330" s="3" t="str">
        <f aca="false">Raw_Data!H330</f>
        <v>no</v>
      </c>
      <c r="J330" s="2" t="n">
        <f aca="false">IF(F330="yes",1,0)</f>
        <v>0</v>
      </c>
      <c r="K330" s="2" t="n">
        <f aca="false">IF(H330="yes",1,0)</f>
        <v>0</v>
      </c>
      <c r="L330" s="2" t="n">
        <f aca="false">IF(I330="yes",1,0)</f>
        <v>0</v>
      </c>
      <c r="M330" s="2" t="n">
        <f aca="false">IF(G330&lt;0,1,0)</f>
        <v>0</v>
      </c>
      <c r="N330" s="2" t="str">
        <f aca="false">_xlfn.IFS(B330&lt;30,"Under 30",B330&lt;40,"30-39",B330&lt;50,"40-49",B330&lt;60,"50-59",TRUE(),"60+")</f>
        <v>30-39</v>
      </c>
      <c r="O330" s="2" t="str">
        <f aca="false">_xlfn.IFS(G330&lt;0,"1 Negative",G330=0,"2 Zero",G330&lt;=500,"3 1-500",G330&lt;=2000,"4 501-2000",TRUE(),"5 Above 2000")</f>
        <v>4 501-2000</v>
      </c>
      <c r="P330" s="2" t="n">
        <f aca="false">Lookups!$B$2*M330+Lookups!$B$3*L330</f>
        <v>0</v>
      </c>
      <c r="Q330" s="2" t="str">
        <f aca="false">INDEX(Lookups!$E$2:$E$5,MATCH(P330,Lookups!$D$2:$D$5,0))</f>
        <v>Low</v>
      </c>
    </row>
    <row r="331" customFormat="false" ht="15" hidden="false" customHeight="false" outlineLevel="0" collapsed="false">
      <c r="A331" s="3" t="n">
        <v>330</v>
      </c>
      <c r="B331" s="3" t="n">
        <f aca="false">Raw_Data!A331</f>
        <v>48</v>
      </c>
      <c r="C331" s="3" t="str">
        <f aca="false">SUBSTITUTE(Raw_Data!B331,".","")</f>
        <v>admin</v>
      </c>
      <c r="D331" s="3" t="str">
        <f aca="false">Raw_Data!C331</f>
        <v>single</v>
      </c>
      <c r="E331" s="3" t="str">
        <f aca="false">Raw_Data!D331</f>
        <v>secondary</v>
      </c>
      <c r="F331" s="3" t="str">
        <f aca="false">Raw_Data!E331</f>
        <v>no</v>
      </c>
      <c r="G331" s="3" t="n">
        <f aca="false">Raw_Data!F331</f>
        <v>1150</v>
      </c>
      <c r="H331" s="3" t="str">
        <f aca="false">Raw_Data!G331</f>
        <v>yes</v>
      </c>
      <c r="I331" s="3" t="str">
        <f aca="false">Raw_Data!H331</f>
        <v>no</v>
      </c>
      <c r="J331" s="2" t="n">
        <f aca="false">IF(F331="yes",1,0)</f>
        <v>0</v>
      </c>
      <c r="K331" s="2" t="n">
        <f aca="false">IF(H331="yes",1,0)</f>
        <v>1</v>
      </c>
      <c r="L331" s="2" t="n">
        <f aca="false">IF(I331="yes",1,0)</f>
        <v>0</v>
      </c>
      <c r="M331" s="2" t="n">
        <f aca="false">IF(G331&lt;0,1,0)</f>
        <v>0</v>
      </c>
      <c r="N331" s="2" t="str">
        <f aca="false">_xlfn.IFS(B331&lt;30,"Under 30",B331&lt;40,"30-39",B331&lt;50,"40-49",B331&lt;60,"50-59",TRUE(),"60+")</f>
        <v>40-49</v>
      </c>
      <c r="O331" s="2" t="str">
        <f aca="false">_xlfn.IFS(G331&lt;0,"1 Negative",G331=0,"2 Zero",G331&lt;=500,"3 1-500",G331&lt;=2000,"4 501-2000",TRUE(),"5 Above 2000")</f>
        <v>4 501-2000</v>
      </c>
      <c r="P331" s="2" t="n">
        <f aca="false">Lookups!$B$2*M331+Lookups!$B$3*L331</f>
        <v>0</v>
      </c>
      <c r="Q331" s="2" t="str">
        <f aca="false">INDEX(Lookups!$E$2:$E$5,MATCH(P331,Lookups!$D$2:$D$5,0))</f>
        <v>Low</v>
      </c>
    </row>
    <row r="332" customFormat="false" ht="15" hidden="false" customHeight="false" outlineLevel="0" collapsed="false">
      <c r="A332" s="3" t="n">
        <v>331</v>
      </c>
      <c r="B332" s="3" t="n">
        <f aca="false">Raw_Data!A332</f>
        <v>37</v>
      </c>
      <c r="C332" s="3" t="str">
        <f aca="false">SUBSTITUTE(Raw_Data!B332,".","")</f>
        <v>admin</v>
      </c>
      <c r="D332" s="3" t="str">
        <f aca="false">Raw_Data!C332</f>
        <v>married</v>
      </c>
      <c r="E332" s="3" t="str">
        <f aca="false">Raw_Data!D332</f>
        <v>secondary</v>
      </c>
      <c r="F332" s="3" t="str">
        <f aca="false">Raw_Data!E332</f>
        <v>no</v>
      </c>
      <c r="G332" s="3" t="n">
        <f aca="false">Raw_Data!F332</f>
        <v>121</v>
      </c>
      <c r="H332" s="3" t="str">
        <f aca="false">Raw_Data!G332</f>
        <v>no</v>
      </c>
      <c r="I332" s="3" t="str">
        <f aca="false">Raw_Data!H332</f>
        <v>no</v>
      </c>
      <c r="J332" s="2" t="n">
        <f aca="false">IF(F332="yes",1,0)</f>
        <v>0</v>
      </c>
      <c r="K332" s="2" t="n">
        <f aca="false">IF(H332="yes",1,0)</f>
        <v>0</v>
      </c>
      <c r="L332" s="2" t="n">
        <f aca="false">IF(I332="yes",1,0)</f>
        <v>0</v>
      </c>
      <c r="M332" s="2" t="n">
        <f aca="false">IF(G332&lt;0,1,0)</f>
        <v>0</v>
      </c>
      <c r="N332" s="2" t="str">
        <f aca="false">_xlfn.IFS(B332&lt;30,"Under 30",B332&lt;40,"30-39",B332&lt;50,"40-49",B332&lt;60,"50-59",TRUE(),"60+")</f>
        <v>30-39</v>
      </c>
      <c r="O332" s="2" t="str">
        <f aca="false">_xlfn.IFS(G332&lt;0,"1 Negative",G332=0,"2 Zero",G332&lt;=500,"3 1-500",G332&lt;=2000,"4 501-2000",TRUE(),"5 Above 2000")</f>
        <v>3 1-500</v>
      </c>
      <c r="P332" s="2" t="n">
        <f aca="false">Lookups!$B$2*M332+Lookups!$B$3*L332</f>
        <v>0</v>
      </c>
      <c r="Q332" s="2" t="str">
        <f aca="false">INDEX(Lookups!$E$2:$E$5,MATCH(P332,Lookups!$D$2:$D$5,0))</f>
        <v>Low</v>
      </c>
    </row>
    <row r="333" customFormat="false" ht="15" hidden="false" customHeight="false" outlineLevel="0" collapsed="false">
      <c r="A333" s="3" t="n">
        <v>332</v>
      </c>
      <c r="B333" s="3" t="n">
        <f aca="false">Raw_Data!A333</f>
        <v>29</v>
      </c>
      <c r="C333" s="3" t="str">
        <f aca="false">SUBSTITUTE(Raw_Data!B333,".","")</f>
        <v>technician</v>
      </c>
      <c r="D333" s="3" t="str">
        <f aca="false">Raw_Data!C333</f>
        <v>single</v>
      </c>
      <c r="E333" s="3" t="str">
        <f aca="false">Raw_Data!D333</f>
        <v>tertiary</v>
      </c>
      <c r="F333" s="3" t="str">
        <f aca="false">Raw_Data!E333</f>
        <v>no</v>
      </c>
      <c r="G333" s="3" t="n">
        <f aca="false">Raw_Data!F333</f>
        <v>828</v>
      </c>
      <c r="H333" s="3" t="str">
        <f aca="false">Raw_Data!G333</f>
        <v>yes</v>
      </c>
      <c r="I333" s="3" t="str">
        <f aca="false">Raw_Data!H333</f>
        <v>no</v>
      </c>
      <c r="J333" s="2" t="n">
        <f aca="false">IF(F333="yes",1,0)</f>
        <v>0</v>
      </c>
      <c r="K333" s="2" t="n">
        <f aca="false">IF(H333="yes",1,0)</f>
        <v>1</v>
      </c>
      <c r="L333" s="2" t="n">
        <f aca="false">IF(I333="yes",1,0)</f>
        <v>0</v>
      </c>
      <c r="M333" s="2" t="n">
        <f aca="false">IF(G333&lt;0,1,0)</f>
        <v>0</v>
      </c>
      <c r="N333" s="2" t="str">
        <f aca="false">_xlfn.IFS(B333&lt;30,"Under 30",B333&lt;40,"30-39",B333&lt;50,"40-49",B333&lt;60,"50-59",TRUE(),"60+")</f>
        <v>Under 30</v>
      </c>
      <c r="O333" s="2" t="str">
        <f aca="false">_xlfn.IFS(G333&lt;0,"1 Negative",G333=0,"2 Zero",G333&lt;=500,"3 1-500",G333&lt;=2000,"4 501-2000",TRUE(),"5 Above 2000")</f>
        <v>4 501-2000</v>
      </c>
      <c r="P333" s="2" t="n">
        <f aca="false">Lookups!$B$2*M333+Lookups!$B$3*L333</f>
        <v>0</v>
      </c>
      <c r="Q333" s="2" t="str">
        <f aca="false">INDEX(Lookups!$E$2:$E$5,MATCH(P333,Lookups!$D$2:$D$5,0))</f>
        <v>Low</v>
      </c>
    </row>
    <row r="334" customFormat="false" ht="15" hidden="false" customHeight="false" outlineLevel="0" collapsed="false">
      <c r="A334" s="3" t="n">
        <v>333</v>
      </c>
      <c r="B334" s="3" t="n">
        <f aca="false">Raw_Data!A334</f>
        <v>34</v>
      </c>
      <c r="C334" s="3" t="str">
        <f aca="false">SUBSTITUTE(Raw_Data!B334,".","")</f>
        <v>admin</v>
      </c>
      <c r="D334" s="3" t="str">
        <f aca="false">Raw_Data!C334</f>
        <v>married</v>
      </c>
      <c r="E334" s="3" t="str">
        <f aca="false">Raw_Data!D334</f>
        <v>secondary</v>
      </c>
      <c r="F334" s="3" t="str">
        <f aca="false">Raw_Data!E334</f>
        <v>no</v>
      </c>
      <c r="G334" s="3" t="n">
        <f aca="false">Raw_Data!F334</f>
        <v>244</v>
      </c>
      <c r="H334" s="3" t="str">
        <f aca="false">Raw_Data!G334</f>
        <v>yes</v>
      </c>
      <c r="I334" s="3" t="str">
        <f aca="false">Raw_Data!H334</f>
        <v>no</v>
      </c>
      <c r="J334" s="2" t="n">
        <f aca="false">IF(F334="yes",1,0)</f>
        <v>0</v>
      </c>
      <c r="K334" s="2" t="n">
        <f aca="false">IF(H334="yes",1,0)</f>
        <v>1</v>
      </c>
      <c r="L334" s="2" t="n">
        <f aca="false">IF(I334="yes",1,0)</f>
        <v>0</v>
      </c>
      <c r="M334" s="2" t="n">
        <f aca="false">IF(G334&lt;0,1,0)</f>
        <v>0</v>
      </c>
      <c r="N334" s="2" t="str">
        <f aca="false">_xlfn.IFS(B334&lt;30,"Under 30",B334&lt;40,"30-39",B334&lt;50,"40-49",B334&lt;60,"50-59",TRUE(),"60+")</f>
        <v>30-39</v>
      </c>
      <c r="O334" s="2" t="str">
        <f aca="false">_xlfn.IFS(G334&lt;0,"1 Negative",G334=0,"2 Zero",G334&lt;=500,"3 1-500",G334&lt;=2000,"4 501-2000",TRUE(),"5 Above 2000")</f>
        <v>3 1-500</v>
      </c>
      <c r="P334" s="2" t="n">
        <f aca="false">Lookups!$B$2*M334+Lookups!$B$3*L334</f>
        <v>0</v>
      </c>
      <c r="Q334" s="2" t="str">
        <f aca="false">INDEX(Lookups!$E$2:$E$5,MATCH(P334,Lookups!$D$2:$D$5,0))</f>
        <v>Low</v>
      </c>
    </row>
    <row r="335" customFormat="false" ht="15" hidden="false" customHeight="false" outlineLevel="0" collapsed="false">
      <c r="A335" s="3" t="n">
        <v>334</v>
      </c>
      <c r="B335" s="3" t="n">
        <f aca="false">Raw_Data!A335</f>
        <v>32</v>
      </c>
      <c r="C335" s="3" t="str">
        <f aca="false">SUBSTITUTE(Raw_Data!B335,".","")</f>
        <v>services</v>
      </c>
      <c r="D335" s="3" t="str">
        <f aca="false">Raw_Data!C335</f>
        <v>married</v>
      </c>
      <c r="E335" s="3" t="str">
        <f aca="false">Raw_Data!D335</f>
        <v>primary</v>
      </c>
      <c r="F335" s="3" t="str">
        <f aca="false">Raw_Data!E335</f>
        <v>no</v>
      </c>
      <c r="G335" s="3" t="n">
        <f aca="false">Raw_Data!F335</f>
        <v>228</v>
      </c>
      <c r="H335" s="3" t="str">
        <f aca="false">Raw_Data!G335</f>
        <v>yes</v>
      </c>
      <c r="I335" s="3" t="str">
        <f aca="false">Raw_Data!H335</f>
        <v>no</v>
      </c>
      <c r="J335" s="2" t="n">
        <f aca="false">IF(F335="yes",1,0)</f>
        <v>0</v>
      </c>
      <c r="K335" s="2" t="n">
        <f aca="false">IF(H335="yes",1,0)</f>
        <v>1</v>
      </c>
      <c r="L335" s="2" t="n">
        <f aca="false">IF(I335="yes",1,0)</f>
        <v>0</v>
      </c>
      <c r="M335" s="2" t="n">
        <f aca="false">IF(G335&lt;0,1,0)</f>
        <v>0</v>
      </c>
      <c r="N335" s="2" t="str">
        <f aca="false">_xlfn.IFS(B335&lt;30,"Under 30",B335&lt;40,"30-39",B335&lt;50,"40-49",B335&lt;60,"50-59",TRUE(),"60+")</f>
        <v>30-39</v>
      </c>
      <c r="O335" s="2" t="str">
        <f aca="false">_xlfn.IFS(G335&lt;0,"1 Negative",G335=0,"2 Zero",G335&lt;=500,"3 1-500",G335&lt;=2000,"4 501-2000",TRUE(),"5 Above 2000")</f>
        <v>3 1-500</v>
      </c>
      <c r="P335" s="2" t="n">
        <f aca="false">Lookups!$B$2*M335+Lookups!$B$3*L335</f>
        <v>0</v>
      </c>
      <c r="Q335" s="2" t="str">
        <f aca="false">INDEX(Lookups!$E$2:$E$5,MATCH(P335,Lookups!$D$2:$D$5,0))</f>
        <v>Low</v>
      </c>
    </row>
    <row r="336" customFormat="false" ht="15" hidden="false" customHeight="false" outlineLevel="0" collapsed="false">
      <c r="A336" s="3" t="n">
        <v>335</v>
      </c>
      <c r="B336" s="3" t="n">
        <f aca="false">Raw_Data!A336</f>
        <v>30</v>
      </c>
      <c r="C336" s="3" t="str">
        <f aca="false">SUBSTITUTE(Raw_Data!B336,".","")</f>
        <v>management</v>
      </c>
      <c r="D336" s="3" t="str">
        <f aca="false">Raw_Data!C336</f>
        <v>single</v>
      </c>
      <c r="E336" s="3" t="str">
        <f aca="false">Raw_Data!D336</f>
        <v>tertiary</v>
      </c>
      <c r="F336" s="3" t="str">
        <f aca="false">Raw_Data!E336</f>
        <v>no</v>
      </c>
      <c r="G336" s="3" t="n">
        <f aca="false">Raw_Data!F336</f>
        <v>424</v>
      </c>
      <c r="H336" s="3" t="str">
        <f aca="false">Raw_Data!G336</f>
        <v>no</v>
      </c>
      <c r="I336" s="3" t="str">
        <f aca="false">Raw_Data!H336</f>
        <v>no</v>
      </c>
      <c r="J336" s="2" t="n">
        <f aca="false">IF(F336="yes",1,0)</f>
        <v>0</v>
      </c>
      <c r="K336" s="2" t="n">
        <f aca="false">IF(H336="yes",1,0)</f>
        <v>0</v>
      </c>
      <c r="L336" s="2" t="n">
        <f aca="false">IF(I336="yes",1,0)</f>
        <v>0</v>
      </c>
      <c r="M336" s="2" t="n">
        <f aca="false">IF(G336&lt;0,1,0)</f>
        <v>0</v>
      </c>
      <c r="N336" s="2" t="str">
        <f aca="false">_xlfn.IFS(B336&lt;30,"Under 30",B336&lt;40,"30-39",B336&lt;50,"40-49",B336&lt;60,"50-59",TRUE(),"60+")</f>
        <v>30-39</v>
      </c>
      <c r="O336" s="2" t="str">
        <f aca="false">_xlfn.IFS(G336&lt;0,"1 Negative",G336=0,"2 Zero",G336&lt;=500,"3 1-500",G336&lt;=2000,"4 501-2000",TRUE(),"5 Above 2000")</f>
        <v>3 1-500</v>
      </c>
      <c r="P336" s="2" t="n">
        <f aca="false">Lookups!$B$2*M336+Lookups!$B$3*L336</f>
        <v>0</v>
      </c>
      <c r="Q336" s="2" t="str">
        <f aca="false">INDEX(Lookups!$E$2:$E$5,MATCH(P336,Lookups!$D$2:$D$5,0))</f>
        <v>Low</v>
      </c>
    </row>
    <row r="337" customFormat="false" ht="15" hidden="false" customHeight="false" outlineLevel="0" collapsed="false">
      <c r="A337" s="3" t="n">
        <v>336</v>
      </c>
      <c r="B337" s="3" t="n">
        <f aca="false">Raw_Data!A337</f>
        <v>47</v>
      </c>
      <c r="C337" s="3" t="str">
        <f aca="false">SUBSTITUTE(Raw_Data!B337,".","")</f>
        <v>management</v>
      </c>
      <c r="D337" s="3" t="str">
        <f aca="false">Raw_Data!C337</f>
        <v>divorced</v>
      </c>
      <c r="E337" s="3" t="str">
        <f aca="false">Raw_Data!D337</f>
        <v>tertiary</v>
      </c>
      <c r="F337" s="3" t="str">
        <f aca="false">Raw_Data!E337</f>
        <v>no</v>
      </c>
      <c r="G337" s="3" t="n">
        <f aca="false">Raw_Data!F337</f>
        <v>447</v>
      </c>
      <c r="H337" s="3" t="str">
        <f aca="false">Raw_Data!G337</f>
        <v>no</v>
      </c>
      <c r="I337" s="3" t="str">
        <f aca="false">Raw_Data!H337</f>
        <v>yes</v>
      </c>
      <c r="J337" s="2" t="n">
        <f aca="false">IF(F337="yes",1,0)</f>
        <v>0</v>
      </c>
      <c r="K337" s="2" t="n">
        <f aca="false">IF(H337="yes",1,0)</f>
        <v>0</v>
      </c>
      <c r="L337" s="2" t="n">
        <f aca="false">IF(I337="yes",1,0)</f>
        <v>1</v>
      </c>
      <c r="M337" s="2" t="n">
        <f aca="false">IF(G337&lt;0,1,0)</f>
        <v>0</v>
      </c>
      <c r="N337" s="2" t="str">
        <f aca="false">_xlfn.IFS(B337&lt;30,"Under 30",B337&lt;40,"30-39",B337&lt;50,"40-49",B337&lt;60,"50-59",TRUE(),"60+")</f>
        <v>40-49</v>
      </c>
      <c r="O337" s="2" t="str">
        <f aca="false">_xlfn.IFS(G337&lt;0,"1 Negative",G337=0,"2 Zero",G337&lt;=500,"3 1-500",G337&lt;=2000,"4 501-2000",TRUE(),"5 Above 2000")</f>
        <v>3 1-500</v>
      </c>
      <c r="P337" s="2" t="n">
        <f aca="false">Lookups!$B$2*M337+Lookups!$B$3*L337</f>
        <v>1</v>
      </c>
      <c r="Q337" s="2" t="str">
        <f aca="false">INDEX(Lookups!$E$2:$E$5,MATCH(P337,Lookups!$D$2:$D$5,0))</f>
        <v>Medium</v>
      </c>
    </row>
    <row r="338" customFormat="false" ht="15" hidden="false" customHeight="false" outlineLevel="0" collapsed="false">
      <c r="A338" s="3" t="n">
        <v>337</v>
      </c>
      <c r="B338" s="3" t="n">
        <f aca="false">Raw_Data!A338</f>
        <v>33</v>
      </c>
      <c r="C338" s="3" t="str">
        <f aca="false">SUBSTITUTE(Raw_Data!B338,".","")</f>
        <v>blue-collar</v>
      </c>
      <c r="D338" s="3" t="str">
        <f aca="false">Raw_Data!C338</f>
        <v>married</v>
      </c>
      <c r="E338" s="3" t="str">
        <f aca="false">Raw_Data!D338</f>
        <v>primary</v>
      </c>
      <c r="F338" s="3" t="str">
        <f aca="false">Raw_Data!E338</f>
        <v>no</v>
      </c>
      <c r="G338" s="3" t="n">
        <f aca="false">Raw_Data!F338</f>
        <v>-195</v>
      </c>
      <c r="H338" s="3" t="str">
        <f aca="false">Raw_Data!G338</f>
        <v>no</v>
      </c>
      <c r="I338" s="3" t="str">
        <f aca="false">Raw_Data!H338</f>
        <v>no</v>
      </c>
      <c r="J338" s="2" t="n">
        <f aca="false">IF(F338="yes",1,0)</f>
        <v>0</v>
      </c>
      <c r="K338" s="2" t="n">
        <f aca="false">IF(H338="yes",1,0)</f>
        <v>0</v>
      </c>
      <c r="L338" s="2" t="n">
        <f aca="false">IF(I338="yes",1,0)</f>
        <v>0</v>
      </c>
      <c r="M338" s="2" t="n">
        <f aca="false">IF(G338&lt;0,1,0)</f>
        <v>1</v>
      </c>
      <c r="N338" s="2" t="str">
        <f aca="false">_xlfn.IFS(B338&lt;30,"Under 30",B338&lt;40,"30-39",B338&lt;50,"40-49",B338&lt;60,"50-59",TRUE(),"60+")</f>
        <v>30-39</v>
      </c>
      <c r="O338" s="2" t="str">
        <f aca="false">_xlfn.IFS(G338&lt;0,"1 Negative",G338=0,"2 Zero",G338&lt;=500,"3 1-500",G338&lt;=2000,"4 501-2000",TRUE(),"5 Above 2000")</f>
        <v>1 Negative</v>
      </c>
      <c r="P338" s="2" t="n">
        <f aca="false">Lookups!$B$2*M338+Lookups!$B$3*L338</f>
        <v>2</v>
      </c>
      <c r="Q338" s="2" t="str">
        <f aca="false">INDEX(Lookups!$E$2:$E$5,MATCH(P338,Lookups!$D$2:$D$5,0))</f>
        <v>High</v>
      </c>
    </row>
    <row r="339" customFormat="false" ht="15" hidden="false" customHeight="false" outlineLevel="0" collapsed="false">
      <c r="A339" s="3" t="n">
        <v>338</v>
      </c>
      <c r="B339" s="3" t="n">
        <f aca="false">Raw_Data!A339</f>
        <v>33</v>
      </c>
      <c r="C339" s="3" t="str">
        <f aca="false">SUBSTITUTE(Raw_Data!B339,".","")</f>
        <v>management</v>
      </c>
      <c r="D339" s="3" t="str">
        <f aca="false">Raw_Data!C339</f>
        <v>single</v>
      </c>
      <c r="E339" s="3" t="str">
        <f aca="false">Raw_Data!D339</f>
        <v>tertiary</v>
      </c>
      <c r="F339" s="3" t="str">
        <f aca="false">Raw_Data!E339</f>
        <v>no</v>
      </c>
      <c r="G339" s="3" t="n">
        <f aca="false">Raw_Data!F339</f>
        <v>1410</v>
      </c>
      <c r="H339" s="3" t="str">
        <f aca="false">Raw_Data!G339</f>
        <v>yes</v>
      </c>
      <c r="I339" s="3" t="str">
        <f aca="false">Raw_Data!H339</f>
        <v>no</v>
      </c>
      <c r="J339" s="2" t="n">
        <f aca="false">IF(F339="yes",1,0)</f>
        <v>0</v>
      </c>
      <c r="K339" s="2" t="n">
        <f aca="false">IF(H339="yes",1,0)</f>
        <v>1</v>
      </c>
      <c r="L339" s="2" t="n">
        <f aca="false">IF(I339="yes",1,0)</f>
        <v>0</v>
      </c>
      <c r="M339" s="2" t="n">
        <f aca="false">IF(G339&lt;0,1,0)</f>
        <v>0</v>
      </c>
      <c r="N339" s="2" t="str">
        <f aca="false">_xlfn.IFS(B339&lt;30,"Under 30",B339&lt;40,"30-39",B339&lt;50,"40-49",B339&lt;60,"50-59",TRUE(),"60+")</f>
        <v>30-39</v>
      </c>
      <c r="O339" s="2" t="str">
        <f aca="false">_xlfn.IFS(G339&lt;0,"1 Negative",G339=0,"2 Zero",G339&lt;=500,"3 1-500",G339&lt;=2000,"4 501-2000",TRUE(),"5 Above 2000")</f>
        <v>4 501-2000</v>
      </c>
      <c r="P339" s="2" t="n">
        <f aca="false">Lookups!$B$2*M339+Lookups!$B$3*L339</f>
        <v>0</v>
      </c>
      <c r="Q339" s="2" t="str">
        <f aca="false">INDEX(Lookups!$E$2:$E$5,MATCH(P339,Lookups!$D$2:$D$5,0))</f>
        <v>Low</v>
      </c>
    </row>
    <row r="340" customFormat="false" ht="15" hidden="false" customHeight="false" outlineLevel="0" collapsed="false">
      <c r="A340" s="3" t="n">
        <v>339</v>
      </c>
      <c r="B340" s="3" t="n">
        <f aca="false">Raw_Data!A340</f>
        <v>63</v>
      </c>
      <c r="C340" s="3" t="str">
        <f aca="false">SUBSTITUTE(Raw_Data!B340,".","")</f>
        <v>retired</v>
      </c>
      <c r="D340" s="3" t="str">
        <f aca="false">Raw_Data!C340</f>
        <v>married</v>
      </c>
      <c r="E340" s="3" t="str">
        <f aca="false">Raw_Data!D340</f>
        <v>primary</v>
      </c>
      <c r="F340" s="3" t="str">
        <f aca="false">Raw_Data!E340</f>
        <v>no</v>
      </c>
      <c r="G340" s="3" t="n">
        <f aca="false">Raw_Data!F340</f>
        <v>1084</v>
      </c>
      <c r="H340" s="3" t="str">
        <f aca="false">Raw_Data!G340</f>
        <v>no</v>
      </c>
      <c r="I340" s="3" t="str">
        <f aca="false">Raw_Data!H340</f>
        <v>no</v>
      </c>
      <c r="J340" s="2" t="n">
        <f aca="false">IF(F340="yes",1,0)</f>
        <v>0</v>
      </c>
      <c r="K340" s="2" t="n">
        <f aca="false">IF(H340="yes",1,0)</f>
        <v>0</v>
      </c>
      <c r="L340" s="2" t="n">
        <f aca="false">IF(I340="yes",1,0)</f>
        <v>0</v>
      </c>
      <c r="M340" s="2" t="n">
        <f aca="false">IF(G340&lt;0,1,0)</f>
        <v>0</v>
      </c>
      <c r="N340" s="2" t="str">
        <f aca="false">_xlfn.IFS(B340&lt;30,"Under 30",B340&lt;40,"30-39",B340&lt;50,"40-49",B340&lt;60,"50-59",TRUE(),"60+")</f>
        <v>60+</v>
      </c>
      <c r="O340" s="2" t="str">
        <f aca="false">_xlfn.IFS(G340&lt;0,"1 Negative",G340=0,"2 Zero",G340&lt;=500,"3 1-500",G340&lt;=2000,"4 501-2000",TRUE(),"5 Above 2000")</f>
        <v>4 501-2000</v>
      </c>
      <c r="P340" s="2" t="n">
        <f aca="false">Lookups!$B$2*M340+Lookups!$B$3*L340</f>
        <v>0</v>
      </c>
      <c r="Q340" s="2" t="str">
        <f aca="false">INDEX(Lookups!$E$2:$E$5,MATCH(P340,Lookups!$D$2:$D$5,0))</f>
        <v>Low</v>
      </c>
    </row>
    <row r="341" customFormat="false" ht="15" hidden="false" customHeight="false" outlineLevel="0" collapsed="false">
      <c r="A341" s="3" t="n">
        <v>340</v>
      </c>
      <c r="B341" s="3" t="n">
        <f aca="false">Raw_Data!A341</f>
        <v>51</v>
      </c>
      <c r="C341" s="3" t="str">
        <f aca="false">SUBSTITUTE(Raw_Data!B341,".","")</f>
        <v>self-employed</v>
      </c>
      <c r="D341" s="3" t="str">
        <f aca="false">Raw_Data!C341</f>
        <v>divorced</v>
      </c>
      <c r="E341" s="3" t="str">
        <f aca="false">Raw_Data!D341</f>
        <v>primary</v>
      </c>
      <c r="F341" s="3" t="str">
        <f aca="false">Raw_Data!E341</f>
        <v>no</v>
      </c>
      <c r="G341" s="3" t="n">
        <f aca="false">Raw_Data!F341</f>
        <v>10924</v>
      </c>
      <c r="H341" s="3" t="str">
        <f aca="false">Raw_Data!G341</f>
        <v>no</v>
      </c>
      <c r="I341" s="3" t="str">
        <f aca="false">Raw_Data!H341</f>
        <v>no</v>
      </c>
      <c r="J341" s="2" t="n">
        <f aca="false">IF(F341="yes",1,0)</f>
        <v>0</v>
      </c>
      <c r="K341" s="2" t="n">
        <f aca="false">IF(H341="yes",1,0)</f>
        <v>0</v>
      </c>
      <c r="L341" s="2" t="n">
        <f aca="false">IF(I341="yes",1,0)</f>
        <v>0</v>
      </c>
      <c r="M341" s="2" t="n">
        <f aca="false">IF(G341&lt;0,1,0)</f>
        <v>0</v>
      </c>
      <c r="N341" s="2" t="str">
        <f aca="false">_xlfn.IFS(B341&lt;30,"Under 30",B341&lt;40,"30-39",B341&lt;50,"40-49",B341&lt;60,"50-59",TRUE(),"60+")</f>
        <v>50-59</v>
      </c>
      <c r="O341" s="2" t="str">
        <f aca="false">_xlfn.IFS(G341&lt;0,"1 Negative",G341=0,"2 Zero",G341&lt;=500,"3 1-500",G341&lt;=2000,"4 501-2000",TRUE(),"5 Above 2000")</f>
        <v>5 Above 2000</v>
      </c>
      <c r="P341" s="2" t="n">
        <f aca="false">Lookups!$B$2*M341+Lookups!$B$3*L341</f>
        <v>0</v>
      </c>
      <c r="Q341" s="2" t="str">
        <f aca="false">INDEX(Lookups!$E$2:$E$5,MATCH(P341,Lookups!$D$2:$D$5,0))</f>
        <v>Low</v>
      </c>
    </row>
    <row r="342" customFormat="false" ht="15" hidden="false" customHeight="false" outlineLevel="0" collapsed="false">
      <c r="A342" s="3" t="n">
        <v>341</v>
      </c>
      <c r="B342" s="3" t="n">
        <f aca="false">Raw_Data!A342</f>
        <v>41</v>
      </c>
      <c r="C342" s="3" t="str">
        <f aca="false">SUBSTITUTE(Raw_Data!B342,".","")</f>
        <v>management</v>
      </c>
      <c r="D342" s="3" t="str">
        <f aca="false">Raw_Data!C342</f>
        <v>married</v>
      </c>
      <c r="E342" s="3" t="str">
        <f aca="false">Raw_Data!D342</f>
        <v>tertiary</v>
      </c>
      <c r="F342" s="3" t="str">
        <f aca="false">Raw_Data!E342</f>
        <v>no</v>
      </c>
      <c r="G342" s="3" t="n">
        <f aca="false">Raw_Data!F342</f>
        <v>832</v>
      </c>
      <c r="H342" s="3" t="str">
        <f aca="false">Raw_Data!G342</f>
        <v>yes</v>
      </c>
      <c r="I342" s="3" t="str">
        <f aca="false">Raw_Data!H342</f>
        <v>yes</v>
      </c>
      <c r="J342" s="2" t="n">
        <f aca="false">IF(F342="yes",1,0)</f>
        <v>0</v>
      </c>
      <c r="K342" s="2" t="n">
        <f aca="false">IF(H342="yes",1,0)</f>
        <v>1</v>
      </c>
      <c r="L342" s="2" t="n">
        <f aca="false">IF(I342="yes",1,0)</f>
        <v>1</v>
      </c>
      <c r="M342" s="2" t="n">
        <f aca="false">IF(G342&lt;0,1,0)</f>
        <v>0</v>
      </c>
      <c r="N342" s="2" t="str">
        <f aca="false">_xlfn.IFS(B342&lt;30,"Under 30",B342&lt;40,"30-39",B342&lt;50,"40-49",B342&lt;60,"50-59",TRUE(),"60+")</f>
        <v>40-49</v>
      </c>
      <c r="O342" s="2" t="str">
        <f aca="false">_xlfn.IFS(G342&lt;0,"1 Negative",G342=0,"2 Zero",G342&lt;=500,"3 1-500",G342&lt;=2000,"4 501-2000",TRUE(),"5 Above 2000")</f>
        <v>4 501-2000</v>
      </c>
      <c r="P342" s="2" t="n">
        <f aca="false">Lookups!$B$2*M342+Lookups!$B$3*L342</f>
        <v>1</v>
      </c>
      <c r="Q342" s="2" t="str">
        <f aca="false">INDEX(Lookups!$E$2:$E$5,MATCH(P342,Lookups!$D$2:$D$5,0))</f>
        <v>Medium</v>
      </c>
    </row>
    <row r="343" customFormat="false" ht="15" hidden="false" customHeight="false" outlineLevel="0" collapsed="false">
      <c r="A343" s="3" t="n">
        <v>342</v>
      </c>
      <c r="B343" s="3" t="n">
        <f aca="false">Raw_Data!A343</f>
        <v>56</v>
      </c>
      <c r="C343" s="3" t="str">
        <f aca="false">SUBSTITUTE(Raw_Data!B343,".","")</f>
        <v>retired</v>
      </c>
      <c r="D343" s="3" t="str">
        <f aca="false">Raw_Data!C343</f>
        <v>married</v>
      </c>
      <c r="E343" s="3" t="str">
        <f aca="false">Raw_Data!D343</f>
        <v>tertiary</v>
      </c>
      <c r="F343" s="3" t="str">
        <f aca="false">Raw_Data!E343</f>
        <v>no</v>
      </c>
      <c r="G343" s="3" t="n">
        <f aca="false">Raw_Data!F343</f>
        <v>478</v>
      </c>
      <c r="H343" s="3" t="str">
        <f aca="false">Raw_Data!G343</f>
        <v>no</v>
      </c>
      <c r="I343" s="3" t="str">
        <f aca="false">Raw_Data!H343</f>
        <v>no</v>
      </c>
      <c r="J343" s="2" t="n">
        <f aca="false">IF(F343="yes",1,0)</f>
        <v>0</v>
      </c>
      <c r="K343" s="2" t="n">
        <f aca="false">IF(H343="yes",1,0)</f>
        <v>0</v>
      </c>
      <c r="L343" s="2" t="n">
        <f aca="false">IF(I343="yes",1,0)</f>
        <v>0</v>
      </c>
      <c r="M343" s="2" t="n">
        <f aca="false">IF(G343&lt;0,1,0)</f>
        <v>0</v>
      </c>
      <c r="N343" s="2" t="str">
        <f aca="false">_xlfn.IFS(B343&lt;30,"Under 30",B343&lt;40,"30-39",B343&lt;50,"40-49",B343&lt;60,"50-59",TRUE(),"60+")</f>
        <v>50-59</v>
      </c>
      <c r="O343" s="2" t="str">
        <f aca="false">_xlfn.IFS(G343&lt;0,"1 Negative",G343=0,"2 Zero",G343&lt;=500,"3 1-500",G343&lt;=2000,"4 501-2000",TRUE(),"5 Above 2000")</f>
        <v>3 1-500</v>
      </c>
      <c r="P343" s="2" t="n">
        <f aca="false">Lookups!$B$2*M343+Lookups!$B$3*L343</f>
        <v>0</v>
      </c>
      <c r="Q343" s="2" t="str">
        <f aca="false">INDEX(Lookups!$E$2:$E$5,MATCH(P343,Lookups!$D$2:$D$5,0))</f>
        <v>Low</v>
      </c>
    </row>
    <row r="344" customFormat="false" ht="15" hidden="false" customHeight="false" outlineLevel="0" collapsed="false">
      <c r="A344" s="3" t="n">
        <v>343</v>
      </c>
      <c r="B344" s="3" t="n">
        <f aca="false">Raw_Data!A344</f>
        <v>60</v>
      </c>
      <c r="C344" s="3" t="str">
        <f aca="false">SUBSTITUTE(Raw_Data!B344,".","")</f>
        <v>management</v>
      </c>
      <c r="D344" s="3" t="str">
        <f aca="false">Raw_Data!C344</f>
        <v>single</v>
      </c>
      <c r="E344" s="3" t="str">
        <f aca="false">Raw_Data!D344</f>
        <v>tertiary</v>
      </c>
      <c r="F344" s="3" t="str">
        <f aca="false">Raw_Data!E344</f>
        <v>no</v>
      </c>
      <c r="G344" s="3" t="n">
        <f aca="false">Raw_Data!F344</f>
        <v>0</v>
      </c>
      <c r="H344" s="3" t="str">
        <f aca="false">Raw_Data!G344</f>
        <v>no</v>
      </c>
      <c r="I344" s="3" t="str">
        <f aca="false">Raw_Data!H344</f>
        <v>yes</v>
      </c>
      <c r="J344" s="2" t="n">
        <f aca="false">IF(F344="yes",1,0)</f>
        <v>0</v>
      </c>
      <c r="K344" s="2" t="n">
        <f aca="false">IF(H344="yes",1,0)</f>
        <v>0</v>
      </c>
      <c r="L344" s="2" t="n">
        <f aca="false">IF(I344="yes",1,0)</f>
        <v>1</v>
      </c>
      <c r="M344" s="2" t="n">
        <f aca="false">IF(G344&lt;0,1,0)</f>
        <v>0</v>
      </c>
      <c r="N344" s="2" t="str">
        <f aca="false">_xlfn.IFS(B344&lt;30,"Under 30",B344&lt;40,"30-39",B344&lt;50,"40-49",B344&lt;60,"50-59",TRUE(),"60+")</f>
        <v>60+</v>
      </c>
      <c r="O344" s="2" t="str">
        <f aca="false">_xlfn.IFS(G344&lt;0,"1 Negative",G344=0,"2 Zero",G344&lt;=500,"3 1-500",G344&lt;=2000,"4 501-2000",TRUE(),"5 Above 2000")</f>
        <v>2 Zero</v>
      </c>
      <c r="P344" s="2" t="n">
        <f aca="false">Lookups!$B$2*M344+Lookups!$B$3*L344</f>
        <v>1</v>
      </c>
      <c r="Q344" s="2" t="str">
        <f aca="false">INDEX(Lookups!$E$2:$E$5,MATCH(P344,Lookups!$D$2:$D$5,0))</f>
        <v>Medium</v>
      </c>
    </row>
    <row r="345" customFormat="false" ht="15" hidden="false" customHeight="false" outlineLevel="0" collapsed="false">
      <c r="A345" s="3" t="n">
        <v>344</v>
      </c>
      <c r="B345" s="3" t="n">
        <f aca="false">Raw_Data!A345</f>
        <v>41</v>
      </c>
      <c r="C345" s="3" t="str">
        <f aca="false">SUBSTITUTE(Raw_Data!B345,".","")</f>
        <v>self-employed</v>
      </c>
      <c r="D345" s="3" t="str">
        <f aca="false">Raw_Data!C345</f>
        <v>single</v>
      </c>
      <c r="E345" s="3" t="str">
        <f aca="false">Raw_Data!D345</f>
        <v>tertiary</v>
      </c>
      <c r="F345" s="3" t="str">
        <f aca="false">Raw_Data!E345</f>
        <v>no</v>
      </c>
      <c r="G345" s="3" t="n">
        <f aca="false">Raw_Data!F345</f>
        <v>3950</v>
      </c>
      <c r="H345" s="3" t="str">
        <f aca="false">Raw_Data!G345</f>
        <v>yes</v>
      </c>
      <c r="I345" s="3" t="str">
        <f aca="false">Raw_Data!H345</f>
        <v>no</v>
      </c>
      <c r="J345" s="2" t="n">
        <f aca="false">IF(F345="yes",1,0)</f>
        <v>0</v>
      </c>
      <c r="K345" s="2" t="n">
        <f aca="false">IF(H345="yes",1,0)</f>
        <v>1</v>
      </c>
      <c r="L345" s="2" t="n">
        <f aca="false">IF(I345="yes",1,0)</f>
        <v>0</v>
      </c>
      <c r="M345" s="2" t="n">
        <f aca="false">IF(G345&lt;0,1,0)</f>
        <v>0</v>
      </c>
      <c r="N345" s="2" t="str">
        <f aca="false">_xlfn.IFS(B345&lt;30,"Under 30",B345&lt;40,"30-39",B345&lt;50,"40-49",B345&lt;60,"50-59",TRUE(),"60+")</f>
        <v>40-49</v>
      </c>
      <c r="O345" s="2" t="str">
        <f aca="false">_xlfn.IFS(G345&lt;0,"1 Negative",G345=0,"2 Zero",G345&lt;=500,"3 1-500",G345&lt;=2000,"4 501-2000",TRUE(),"5 Above 2000")</f>
        <v>5 Above 2000</v>
      </c>
      <c r="P345" s="2" t="n">
        <f aca="false">Lookups!$B$2*M345+Lookups!$B$3*L345</f>
        <v>0</v>
      </c>
      <c r="Q345" s="2" t="str">
        <f aca="false">INDEX(Lookups!$E$2:$E$5,MATCH(P345,Lookups!$D$2:$D$5,0))</f>
        <v>Low</v>
      </c>
    </row>
    <row r="346" customFormat="false" ht="15" hidden="false" customHeight="false" outlineLevel="0" collapsed="false">
      <c r="A346" s="3" t="n">
        <v>345</v>
      </c>
      <c r="B346" s="3" t="n">
        <f aca="false">Raw_Data!A346</f>
        <v>37</v>
      </c>
      <c r="C346" s="3" t="str">
        <f aca="false">SUBSTITUTE(Raw_Data!B346,".","")</f>
        <v>management</v>
      </c>
      <c r="D346" s="3" t="str">
        <f aca="false">Raw_Data!C346</f>
        <v>single</v>
      </c>
      <c r="E346" s="3" t="str">
        <f aca="false">Raw_Data!D346</f>
        <v>unknown</v>
      </c>
      <c r="F346" s="3" t="str">
        <f aca="false">Raw_Data!E346</f>
        <v>no</v>
      </c>
      <c r="G346" s="3" t="n">
        <f aca="false">Raw_Data!F346</f>
        <v>504</v>
      </c>
      <c r="H346" s="3" t="str">
        <f aca="false">Raw_Data!G346</f>
        <v>yes</v>
      </c>
      <c r="I346" s="3" t="str">
        <f aca="false">Raw_Data!H346</f>
        <v>no</v>
      </c>
      <c r="J346" s="2" t="n">
        <f aca="false">IF(F346="yes",1,0)</f>
        <v>0</v>
      </c>
      <c r="K346" s="2" t="n">
        <f aca="false">IF(H346="yes",1,0)</f>
        <v>1</v>
      </c>
      <c r="L346" s="2" t="n">
        <f aca="false">IF(I346="yes",1,0)</f>
        <v>0</v>
      </c>
      <c r="M346" s="2" t="n">
        <f aca="false">IF(G346&lt;0,1,0)</f>
        <v>0</v>
      </c>
      <c r="N346" s="2" t="str">
        <f aca="false">_xlfn.IFS(B346&lt;30,"Under 30",B346&lt;40,"30-39",B346&lt;50,"40-49",B346&lt;60,"50-59",TRUE(),"60+")</f>
        <v>30-39</v>
      </c>
      <c r="O346" s="2" t="str">
        <f aca="false">_xlfn.IFS(G346&lt;0,"1 Negative",G346=0,"2 Zero",G346&lt;=500,"3 1-500",G346&lt;=2000,"4 501-2000",TRUE(),"5 Above 2000")</f>
        <v>4 501-2000</v>
      </c>
      <c r="P346" s="2" t="n">
        <f aca="false">Lookups!$B$2*M346+Lookups!$B$3*L346</f>
        <v>0</v>
      </c>
      <c r="Q346" s="2" t="str">
        <f aca="false">INDEX(Lookups!$E$2:$E$5,MATCH(P346,Lookups!$D$2:$D$5,0))</f>
        <v>Low</v>
      </c>
    </row>
    <row r="347" customFormat="false" ht="15" hidden="false" customHeight="false" outlineLevel="0" collapsed="false">
      <c r="A347" s="3" t="n">
        <v>346</v>
      </c>
      <c r="B347" s="3" t="n">
        <f aca="false">Raw_Data!A347</f>
        <v>36</v>
      </c>
      <c r="C347" s="3" t="str">
        <f aca="false">SUBSTITUTE(Raw_Data!B347,".","")</f>
        <v>blue-collar</v>
      </c>
      <c r="D347" s="3" t="str">
        <f aca="false">Raw_Data!C347</f>
        <v>single</v>
      </c>
      <c r="E347" s="3" t="str">
        <f aca="false">Raw_Data!D347</f>
        <v>secondary</v>
      </c>
      <c r="F347" s="3" t="str">
        <f aca="false">Raw_Data!E347</f>
        <v>no</v>
      </c>
      <c r="G347" s="3" t="n">
        <f aca="false">Raw_Data!F347</f>
        <v>219</v>
      </c>
      <c r="H347" s="3" t="str">
        <f aca="false">Raw_Data!G347</f>
        <v>yes</v>
      </c>
      <c r="I347" s="3" t="str">
        <f aca="false">Raw_Data!H347</f>
        <v>yes</v>
      </c>
      <c r="J347" s="2" t="n">
        <f aca="false">IF(F347="yes",1,0)</f>
        <v>0</v>
      </c>
      <c r="K347" s="2" t="n">
        <f aca="false">IF(H347="yes",1,0)</f>
        <v>1</v>
      </c>
      <c r="L347" s="2" t="n">
        <f aca="false">IF(I347="yes",1,0)</f>
        <v>1</v>
      </c>
      <c r="M347" s="2" t="n">
        <f aca="false">IF(G347&lt;0,1,0)</f>
        <v>0</v>
      </c>
      <c r="N347" s="2" t="str">
        <f aca="false">_xlfn.IFS(B347&lt;30,"Under 30",B347&lt;40,"30-39",B347&lt;50,"40-49",B347&lt;60,"50-59",TRUE(),"60+")</f>
        <v>30-39</v>
      </c>
      <c r="O347" s="2" t="str">
        <f aca="false">_xlfn.IFS(G347&lt;0,"1 Negative",G347=0,"2 Zero",G347&lt;=500,"3 1-500",G347&lt;=2000,"4 501-2000",TRUE(),"5 Above 2000")</f>
        <v>3 1-500</v>
      </c>
      <c r="P347" s="2" t="n">
        <f aca="false">Lookups!$B$2*M347+Lookups!$B$3*L347</f>
        <v>1</v>
      </c>
      <c r="Q347" s="2" t="str">
        <f aca="false">INDEX(Lookups!$E$2:$E$5,MATCH(P347,Lookups!$D$2:$D$5,0))</f>
        <v>Medium</v>
      </c>
    </row>
    <row r="348" customFormat="false" ht="15" hidden="false" customHeight="false" outlineLevel="0" collapsed="false">
      <c r="A348" s="3" t="n">
        <v>347</v>
      </c>
      <c r="B348" s="3" t="n">
        <f aca="false">Raw_Data!A348</f>
        <v>57</v>
      </c>
      <c r="C348" s="3" t="str">
        <f aca="false">SUBSTITUTE(Raw_Data!B348,".","")</f>
        <v>management</v>
      </c>
      <c r="D348" s="3" t="str">
        <f aca="false">Raw_Data!C348</f>
        <v>married</v>
      </c>
      <c r="E348" s="3" t="str">
        <f aca="false">Raw_Data!D348</f>
        <v>tertiary</v>
      </c>
      <c r="F348" s="3" t="str">
        <f aca="false">Raw_Data!E348</f>
        <v>no</v>
      </c>
      <c r="G348" s="3" t="n">
        <f aca="false">Raw_Data!F348</f>
        <v>1602</v>
      </c>
      <c r="H348" s="3" t="str">
        <f aca="false">Raw_Data!G348</f>
        <v>no</v>
      </c>
      <c r="I348" s="3" t="str">
        <f aca="false">Raw_Data!H348</f>
        <v>no</v>
      </c>
      <c r="J348" s="2" t="n">
        <f aca="false">IF(F348="yes",1,0)</f>
        <v>0</v>
      </c>
      <c r="K348" s="2" t="n">
        <f aca="false">IF(H348="yes",1,0)</f>
        <v>0</v>
      </c>
      <c r="L348" s="2" t="n">
        <f aca="false">IF(I348="yes",1,0)</f>
        <v>0</v>
      </c>
      <c r="M348" s="2" t="n">
        <f aca="false">IF(G348&lt;0,1,0)</f>
        <v>0</v>
      </c>
      <c r="N348" s="2" t="str">
        <f aca="false">_xlfn.IFS(B348&lt;30,"Under 30",B348&lt;40,"30-39",B348&lt;50,"40-49",B348&lt;60,"50-59",TRUE(),"60+")</f>
        <v>50-59</v>
      </c>
      <c r="O348" s="2" t="str">
        <f aca="false">_xlfn.IFS(G348&lt;0,"1 Negative",G348=0,"2 Zero",G348&lt;=500,"3 1-500",G348&lt;=2000,"4 501-2000",TRUE(),"5 Above 2000")</f>
        <v>4 501-2000</v>
      </c>
      <c r="P348" s="2" t="n">
        <f aca="false">Lookups!$B$2*M348+Lookups!$B$3*L348</f>
        <v>0</v>
      </c>
      <c r="Q348" s="2" t="str">
        <f aca="false">INDEX(Lookups!$E$2:$E$5,MATCH(P348,Lookups!$D$2:$D$5,0))</f>
        <v>Low</v>
      </c>
    </row>
    <row r="349" customFormat="false" ht="15" hidden="false" customHeight="false" outlineLevel="0" collapsed="false">
      <c r="A349" s="3" t="n">
        <v>348</v>
      </c>
      <c r="B349" s="3" t="n">
        <f aca="false">Raw_Data!A349</f>
        <v>55</v>
      </c>
      <c r="C349" s="3" t="str">
        <f aca="false">SUBSTITUTE(Raw_Data!B349,".","")</f>
        <v>management</v>
      </c>
      <c r="D349" s="3" t="str">
        <f aca="false">Raw_Data!C349</f>
        <v>married</v>
      </c>
      <c r="E349" s="3" t="str">
        <f aca="false">Raw_Data!D349</f>
        <v>primary</v>
      </c>
      <c r="F349" s="3" t="str">
        <f aca="false">Raw_Data!E349</f>
        <v>no</v>
      </c>
      <c r="G349" s="3" t="n">
        <f aca="false">Raw_Data!F349</f>
        <v>2587</v>
      </c>
      <c r="H349" s="3" t="str">
        <f aca="false">Raw_Data!G349</f>
        <v>no</v>
      </c>
      <c r="I349" s="3" t="str">
        <f aca="false">Raw_Data!H349</f>
        <v>no</v>
      </c>
      <c r="J349" s="2" t="n">
        <f aca="false">IF(F349="yes",1,0)</f>
        <v>0</v>
      </c>
      <c r="K349" s="2" t="n">
        <f aca="false">IF(H349="yes",1,0)</f>
        <v>0</v>
      </c>
      <c r="L349" s="2" t="n">
        <f aca="false">IF(I349="yes",1,0)</f>
        <v>0</v>
      </c>
      <c r="M349" s="2" t="n">
        <f aca="false">IF(G349&lt;0,1,0)</f>
        <v>0</v>
      </c>
      <c r="N349" s="2" t="str">
        <f aca="false">_xlfn.IFS(B349&lt;30,"Under 30",B349&lt;40,"30-39",B349&lt;50,"40-49",B349&lt;60,"50-59",TRUE(),"60+")</f>
        <v>50-59</v>
      </c>
      <c r="O349" s="2" t="str">
        <f aca="false">_xlfn.IFS(G349&lt;0,"1 Negative",G349=0,"2 Zero",G349&lt;=500,"3 1-500",G349&lt;=2000,"4 501-2000",TRUE(),"5 Above 2000")</f>
        <v>5 Above 2000</v>
      </c>
      <c r="P349" s="2" t="n">
        <f aca="false">Lookups!$B$2*M349+Lookups!$B$3*L349</f>
        <v>0</v>
      </c>
      <c r="Q349" s="2" t="str">
        <f aca="false">INDEX(Lookups!$E$2:$E$5,MATCH(P349,Lookups!$D$2:$D$5,0))</f>
        <v>Low</v>
      </c>
    </row>
    <row r="350" customFormat="false" ht="15" hidden="false" customHeight="false" outlineLevel="0" collapsed="false">
      <c r="A350" s="3" t="n">
        <v>349</v>
      </c>
      <c r="B350" s="3" t="n">
        <f aca="false">Raw_Data!A350</f>
        <v>44</v>
      </c>
      <c r="C350" s="3" t="str">
        <f aca="false">SUBSTITUTE(Raw_Data!B350,".","")</f>
        <v>admin</v>
      </c>
      <c r="D350" s="3" t="str">
        <f aca="false">Raw_Data!C350</f>
        <v>married</v>
      </c>
      <c r="E350" s="3" t="str">
        <f aca="false">Raw_Data!D350</f>
        <v>secondary</v>
      </c>
      <c r="F350" s="3" t="str">
        <f aca="false">Raw_Data!E350</f>
        <v>no</v>
      </c>
      <c r="G350" s="3" t="n">
        <f aca="false">Raw_Data!F350</f>
        <v>0</v>
      </c>
      <c r="H350" s="3" t="str">
        <f aca="false">Raw_Data!G350</f>
        <v>yes</v>
      </c>
      <c r="I350" s="3" t="str">
        <f aca="false">Raw_Data!H350</f>
        <v>yes</v>
      </c>
      <c r="J350" s="2" t="n">
        <f aca="false">IF(F350="yes",1,0)</f>
        <v>0</v>
      </c>
      <c r="K350" s="2" t="n">
        <f aca="false">IF(H350="yes",1,0)</f>
        <v>1</v>
      </c>
      <c r="L350" s="2" t="n">
        <f aca="false">IF(I350="yes",1,0)</f>
        <v>1</v>
      </c>
      <c r="M350" s="2" t="n">
        <f aca="false">IF(G350&lt;0,1,0)</f>
        <v>0</v>
      </c>
      <c r="N350" s="2" t="str">
        <f aca="false">_xlfn.IFS(B350&lt;30,"Under 30",B350&lt;40,"30-39",B350&lt;50,"40-49",B350&lt;60,"50-59",TRUE(),"60+")</f>
        <v>40-49</v>
      </c>
      <c r="O350" s="2" t="str">
        <f aca="false">_xlfn.IFS(G350&lt;0,"1 Negative",G350=0,"2 Zero",G350&lt;=500,"3 1-500",G350&lt;=2000,"4 501-2000",TRUE(),"5 Above 2000")</f>
        <v>2 Zero</v>
      </c>
      <c r="P350" s="2" t="n">
        <f aca="false">Lookups!$B$2*M350+Lookups!$B$3*L350</f>
        <v>1</v>
      </c>
      <c r="Q350" s="2" t="str">
        <f aca="false">INDEX(Lookups!$E$2:$E$5,MATCH(P350,Lookups!$D$2:$D$5,0))</f>
        <v>Medium</v>
      </c>
    </row>
    <row r="351" customFormat="false" ht="15" hidden="false" customHeight="false" outlineLevel="0" collapsed="false">
      <c r="A351" s="3" t="n">
        <v>350</v>
      </c>
      <c r="B351" s="3" t="n">
        <f aca="false">Raw_Data!A351</f>
        <v>47</v>
      </c>
      <c r="C351" s="3" t="str">
        <f aca="false">SUBSTITUTE(Raw_Data!B351,".","")</f>
        <v>self-employed</v>
      </c>
      <c r="D351" s="3" t="str">
        <f aca="false">Raw_Data!C351</f>
        <v>married</v>
      </c>
      <c r="E351" s="3" t="str">
        <f aca="false">Raw_Data!D351</f>
        <v>tertiary</v>
      </c>
      <c r="F351" s="3" t="str">
        <f aca="false">Raw_Data!E351</f>
        <v>no</v>
      </c>
      <c r="G351" s="3" t="n">
        <f aca="false">Raw_Data!F351</f>
        <v>2303</v>
      </c>
      <c r="H351" s="3" t="str">
        <f aca="false">Raw_Data!G351</f>
        <v>yes</v>
      </c>
      <c r="I351" s="3" t="str">
        <f aca="false">Raw_Data!H351</f>
        <v>no</v>
      </c>
      <c r="J351" s="2" t="n">
        <f aca="false">IF(F351="yes",1,0)</f>
        <v>0</v>
      </c>
      <c r="K351" s="2" t="n">
        <f aca="false">IF(H351="yes",1,0)</f>
        <v>1</v>
      </c>
      <c r="L351" s="2" t="n">
        <f aca="false">IF(I351="yes",1,0)</f>
        <v>0</v>
      </c>
      <c r="M351" s="2" t="n">
        <f aca="false">IF(G351&lt;0,1,0)</f>
        <v>0</v>
      </c>
      <c r="N351" s="2" t="str">
        <f aca="false">_xlfn.IFS(B351&lt;30,"Under 30",B351&lt;40,"30-39",B351&lt;50,"40-49",B351&lt;60,"50-59",TRUE(),"60+")</f>
        <v>40-49</v>
      </c>
      <c r="O351" s="2" t="str">
        <f aca="false">_xlfn.IFS(G351&lt;0,"1 Negative",G351=0,"2 Zero",G351&lt;=500,"3 1-500",G351&lt;=2000,"4 501-2000",TRUE(),"5 Above 2000")</f>
        <v>5 Above 2000</v>
      </c>
      <c r="P351" s="2" t="n">
        <f aca="false">Lookups!$B$2*M351+Lookups!$B$3*L351</f>
        <v>0</v>
      </c>
      <c r="Q351" s="2" t="str">
        <f aca="false">INDEX(Lookups!$E$2:$E$5,MATCH(P351,Lookups!$D$2:$D$5,0))</f>
        <v>Low</v>
      </c>
    </row>
    <row r="352" customFormat="false" ht="15" hidden="false" customHeight="false" outlineLevel="0" collapsed="false">
      <c r="A352" s="3" t="n">
        <v>351</v>
      </c>
      <c r="B352" s="3" t="n">
        <f aca="false">Raw_Data!A352</f>
        <v>31</v>
      </c>
      <c r="C352" s="3" t="str">
        <f aca="false">SUBSTITUTE(Raw_Data!B352,".","")</f>
        <v>blue-collar</v>
      </c>
      <c r="D352" s="3" t="str">
        <f aca="false">Raw_Data!C352</f>
        <v>married</v>
      </c>
      <c r="E352" s="3" t="str">
        <f aca="false">Raw_Data!D352</f>
        <v>secondary</v>
      </c>
      <c r="F352" s="3" t="str">
        <f aca="false">Raw_Data!E352</f>
        <v>no</v>
      </c>
      <c r="G352" s="3" t="n">
        <f aca="false">Raw_Data!F352</f>
        <v>1660</v>
      </c>
      <c r="H352" s="3" t="str">
        <f aca="false">Raw_Data!G352</f>
        <v>yes</v>
      </c>
      <c r="I352" s="3" t="str">
        <f aca="false">Raw_Data!H352</f>
        <v>no</v>
      </c>
      <c r="J352" s="2" t="n">
        <f aca="false">IF(F352="yes",1,0)</f>
        <v>0</v>
      </c>
      <c r="K352" s="2" t="n">
        <f aca="false">IF(H352="yes",1,0)</f>
        <v>1</v>
      </c>
      <c r="L352" s="2" t="n">
        <f aca="false">IF(I352="yes",1,0)</f>
        <v>0</v>
      </c>
      <c r="M352" s="2" t="n">
        <f aca="false">IF(G352&lt;0,1,0)</f>
        <v>0</v>
      </c>
      <c r="N352" s="2" t="str">
        <f aca="false">_xlfn.IFS(B352&lt;30,"Under 30",B352&lt;40,"30-39",B352&lt;50,"40-49",B352&lt;60,"50-59",TRUE(),"60+")</f>
        <v>30-39</v>
      </c>
      <c r="O352" s="2" t="str">
        <f aca="false">_xlfn.IFS(G352&lt;0,"1 Negative",G352=0,"2 Zero",G352&lt;=500,"3 1-500",G352&lt;=2000,"4 501-2000",TRUE(),"5 Above 2000")</f>
        <v>4 501-2000</v>
      </c>
      <c r="P352" s="2" t="n">
        <f aca="false">Lookups!$B$2*M352+Lookups!$B$3*L352</f>
        <v>0</v>
      </c>
      <c r="Q352" s="2" t="str">
        <f aca="false">INDEX(Lookups!$E$2:$E$5,MATCH(P352,Lookups!$D$2:$D$5,0))</f>
        <v>Low</v>
      </c>
    </row>
    <row r="353" customFormat="false" ht="15" hidden="false" customHeight="false" outlineLevel="0" collapsed="false">
      <c r="A353" s="3" t="n">
        <v>352</v>
      </c>
      <c r="B353" s="3" t="n">
        <f aca="false">Raw_Data!A353</f>
        <v>35</v>
      </c>
      <c r="C353" s="3" t="str">
        <f aca="false">SUBSTITUTE(Raw_Data!B353,".","")</f>
        <v>management</v>
      </c>
      <c r="D353" s="3" t="str">
        <f aca="false">Raw_Data!C353</f>
        <v>married</v>
      </c>
      <c r="E353" s="3" t="str">
        <f aca="false">Raw_Data!D353</f>
        <v>tertiary</v>
      </c>
      <c r="F353" s="3" t="str">
        <f aca="false">Raw_Data!E353</f>
        <v>yes</v>
      </c>
      <c r="G353" s="3" t="n">
        <f aca="false">Raw_Data!F353</f>
        <v>32</v>
      </c>
      <c r="H353" s="3" t="str">
        <f aca="false">Raw_Data!G353</f>
        <v>yes</v>
      </c>
      <c r="I353" s="3" t="str">
        <f aca="false">Raw_Data!H353</f>
        <v>no</v>
      </c>
      <c r="J353" s="2" t="n">
        <f aca="false">IF(F353="yes",1,0)</f>
        <v>1</v>
      </c>
      <c r="K353" s="2" t="n">
        <f aca="false">IF(H353="yes",1,0)</f>
        <v>1</v>
      </c>
      <c r="L353" s="2" t="n">
        <f aca="false">IF(I353="yes",1,0)</f>
        <v>0</v>
      </c>
      <c r="M353" s="2" t="n">
        <f aca="false">IF(G353&lt;0,1,0)</f>
        <v>0</v>
      </c>
      <c r="N353" s="2" t="str">
        <f aca="false">_xlfn.IFS(B353&lt;30,"Under 30",B353&lt;40,"30-39",B353&lt;50,"40-49",B353&lt;60,"50-59",TRUE(),"60+")</f>
        <v>30-39</v>
      </c>
      <c r="O353" s="2" t="str">
        <f aca="false">_xlfn.IFS(G353&lt;0,"1 Negative",G353=0,"2 Zero",G353&lt;=500,"3 1-500",G353&lt;=2000,"4 501-2000",TRUE(),"5 Above 2000")</f>
        <v>3 1-500</v>
      </c>
      <c r="P353" s="2" t="n">
        <f aca="false">Lookups!$B$2*M353+Lookups!$B$3*L353</f>
        <v>0</v>
      </c>
      <c r="Q353" s="2" t="str">
        <f aca="false">INDEX(Lookups!$E$2:$E$5,MATCH(P353,Lookups!$D$2:$D$5,0))</f>
        <v>Low</v>
      </c>
    </row>
    <row r="354" customFormat="false" ht="15" hidden="false" customHeight="false" outlineLevel="0" collapsed="false">
      <c r="A354" s="3" t="n">
        <v>353</v>
      </c>
      <c r="B354" s="3" t="n">
        <f aca="false">Raw_Data!A354</f>
        <v>39</v>
      </c>
      <c r="C354" s="3" t="str">
        <f aca="false">SUBSTITUTE(Raw_Data!B354,".","")</f>
        <v>management</v>
      </c>
      <c r="D354" s="3" t="str">
        <f aca="false">Raw_Data!C354</f>
        <v>married</v>
      </c>
      <c r="E354" s="3" t="str">
        <f aca="false">Raw_Data!D354</f>
        <v>tertiary</v>
      </c>
      <c r="F354" s="3" t="str">
        <f aca="false">Raw_Data!E354</f>
        <v>no</v>
      </c>
      <c r="G354" s="3" t="n">
        <f aca="false">Raw_Data!F354</f>
        <v>278</v>
      </c>
      <c r="H354" s="3" t="str">
        <f aca="false">Raw_Data!G354</f>
        <v>no</v>
      </c>
      <c r="I354" s="3" t="str">
        <f aca="false">Raw_Data!H354</f>
        <v>yes</v>
      </c>
      <c r="J354" s="2" t="n">
        <f aca="false">IF(F354="yes",1,0)</f>
        <v>0</v>
      </c>
      <c r="K354" s="2" t="n">
        <f aca="false">IF(H354="yes",1,0)</f>
        <v>0</v>
      </c>
      <c r="L354" s="2" t="n">
        <f aca="false">IF(I354="yes",1,0)</f>
        <v>1</v>
      </c>
      <c r="M354" s="2" t="n">
        <f aca="false">IF(G354&lt;0,1,0)</f>
        <v>0</v>
      </c>
      <c r="N354" s="2" t="str">
        <f aca="false">_xlfn.IFS(B354&lt;30,"Under 30",B354&lt;40,"30-39",B354&lt;50,"40-49",B354&lt;60,"50-59",TRUE(),"60+")</f>
        <v>30-39</v>
      </c>
      <c r="O354" s="2" t="str">
        <f aca="false">_xlfn.IFS(G354&lt;0,"1 Negative",G354=0,"2 Zero",G354&lt;=500,"3 1-500",G354&lt;=2000,"4 501-2000",TRUE(),"5 Above 2000")</f>
        <v>3 1-500</v>
      </c>
      <c r="P354" s="2" t="n">
        <f aca="false">Lookups!$B$2*M354+Lookups!$B$3*L354</f>
        <v>1</v>
      </c>
      <c r="Q354" s="2" t="str">
        <f aca="false">INDEX(Lookups!$E$2:$E$5,MATCH(P354,Lookups!$D$2:$D$5,0))</f>
        <v>Medium</v>
      </c>
    </row>
    <row r="355" customFormat="false" ht="15" hidden="false" customHeight="false" outlineLevel="0" collapsed="false">
      <c r="A355" s="3" t="n">
        <v>354</v>
      </c>
      <c r="B355" s="3" t="n">
        <f aca="false">Raw_Data!A355</f>
        <v>50</v>
      </c>
      <c r="C355" s="3" t="str">
        <f aca="false">SUBSTITUTE(Raw_Data!B355,".","")</f>
        <v>management</v>
      </c>
      <c r="D355" s="3" t="str">
        <f aca="false">Raw_Data!C355</f>
        <v>married</v>
      </c>
      <c r="E355" s="3" t="str">
        <f aca="false">Raw_Data!D355</f>
        <v>tertiary</v>
      </c>
      <c r="F355" s="3" t="str">
        <f aca="false">Raw_Data!E355</f>
        <v>no</v>
      </c>
      <c r="G355" s="3" t="n">
        <f aca="false">Raw_Data!F355</f>
        <v>4</v>
      </c>
      <c r="H355" s="3" t="str">
        <f aca="false">Raw_Data!G355</f>
        <v>no</v>
      </c>
      <c r="I355" s="3" t="str">
        <f aca="false">Raw_Data!H355</f>
        <v>no</v>
      </c>
      <c r="J355" s="2" t="n">
        <f aca="false">IF(F355="yes",1,0)</f>
        <v>0</v>
      </c>
      <c r="K355" s="2" t="n">
        <f aca="false">IF(H355="yes",1,0)</f>
        <v>0</v>
      </c>
      <c r="L355" s="2" t="n">
        <f aca="false">IF(I355="yes",1,0)</f>
        <v>0</v>
      </c>
      <c r="M355" s="2" t="n">
        <f aca="false">IF(G355&lt;0,1,0)</f>
        <v>0</v>
      </c>
      <c r="N355" s="2" t="str">
        <f aca="false">_xlfn.IFS(B355&lt;30,"Under 30",B355&lt;40,"30-39",B355&lt;50,"40-49",B355&lt;60,"50-59",TRUE(),"60+")</f>
        <v>50-59</v>
      </c>
      <c r="O355" s="2" t="str">
        <f aca="false">_xlfn.IFS(G355&lt;0,"1 Negative",G355=0,"2 Zero",G355&lt;=500,"3 1-500",G355&lt;=2000,"4 501-2000",TRUE(),"5 Above 2000")</f>
        <v>3 1-500</v>
      </c>
      <c r="P355" s="2" t="n">
        <f aca="false">Lookups!$B$2*M355+Lookups!$B$3*L355</f>
        <v>0</v>
      </c>
      <c r="Q355" s="2" t="str">
        <f aca="false">INDEX(Lookups!$E$2:$E$5,MATCH(P355,Lookups!$D$2:$D$5,0))</f>
        <v>Low</v>
      </c>
    </row>
    <row r="356" customFormat="false" ht="15" hidden="false" customHeight="false" outlineLevel="0" collapsed="false">
      <c r="A356" s="3" t="n">
        <v>355</v>
      </c>
      <c r="B356" s="3" t="n">
        <f aca="false">Raw_Data!A356</f>
        <v>29</v>
      </c>
      <c r="C356" s="3" t="str">
        <f aca="false">SUBSTITUTE(Raw_Data!B356,".","")</f>
        <v>management</v>
      </c>
      <c r="D356" s="3" t="str">
        <f aca="false">Raw_Data!C356</f>
        <v>married</v>
      </c>
      <c r="E356" s="3" t="str">
        <f aca="false">Raw_Data!D356</f>
        <v>tertiary</v>
      </c>
      <c r="F356" s="3" t="str">
        <f aca="false">Raw_Data!E356</f>
        <v>no</v>
      </c>
      <c r="G356" s="3" t="n">
        <f aca="false">Raw_Data!F356</f>
        <v>318</v>
      </c>
      <c r="H356" s="3" t="str">
        <f aca="false">Raw_Data!G356</f>
        <v>yes</v>
      </c>
      <c r="I356" s="3" t="str">
        <f aca="false">Raw_Data!H356</f>
        <v>no</v>
      </c>
      <c r="J356" s="2" t="n">
        <f aca="false">IF(F356="yes",1,0)</f>
        <v>0</v>
      </c>
      <c r="K356" s="2" t="n">
        <f aca="false">IF(H356="yes",1,0)</f>
        <v>1</v>
      </c>
      <c r="L356" s="2" t="n">
        <f aca="false">IF(I356="yes",1,0)</f>
        <v>0</v>
      </c>
      <c r="M356" s="2" t="n">
        <f aca="false">IF(G356&lt;0,1,0)</f>
        <v>0</v>
      </c>
      <c r="N356" s="2" t="str">
        <f aca="false">_xlfn.IFS(B356&lt;30,"Under 30",B356&lt;40,"30-39",B356&lt;50,"40-49",B356&lt;60,"50-59",TRUE(),"60+")</f>
        <v>Under 30</v>
      </c>
      <c r="O356" s="2" t="str">
        <f aca="false">_xlfn.IFS(G356&lt;0,"1 Negative",G356=0,"2 Zero",G356&lt;=500,"3 1-500",G356&lt;=2000,"4 501-2000",TRUE(),"5 Above 2000")</f>
        <v>3 1-500</v>
      </c>
      <c r="P356" s="2" t="n">
        <f aca="false">Lookups!$B$2*M356+Lookups!$B$3*L356</f>
        <v>0</v>
      </c>
      <c r="Q356" s="2" t="str">
        <f aca="false">INDEX(Lookups!$E$2:$E$5,MATCH(P356,Lookups!$D$2:$D$5,0))</f>
        <v>Low</v>
      </c>
    </row>
    <row r="357" customFormat="false" ht="15" hidden="false" customHeight="false" outlineLevel="0" collapsed="false">
      <c r="A357" s="3" t="n">
        <v>356</v>
      </c>
      <c r="B357" s="3" t="n">
        <f aca="false">Raw_Data!A357</f>
        <v>30</v>
      </c>
      <c r="C357" s="3" t="str">
        <f aca="false">SUBSTITUTE(Raw_Data!B357,".","")</f>
        <v>services</v>
      </c>
      <c r="D357" s="3" t="str">
        <f aca="false">Raw_Data!C357</f>
        <v>single</v>
      </c>
      <c r="E357" s="3" t="str">
        <f aca="false">Raw_Data!D357</f>
        <v>secondary</v>
      </c>
      <c r="F357" s="3" t="str">
        <f aca="false">Raw_Data!E357</f>
        <v>no</v>
      </c>
      <c r="G357" s="3" t="n">
        <f aca="false">Raw_Data!F357</f>
        <v>209</v>
      </c>
      <c r="H357" s="3" t="str">
        <f aca="false">Raw_Data!G357</f>
        <v>yes</v>
      </c>
      <c r="I357" s="3" t="str">
        <f aca="false">Raw_Data!H357</f>
        <v>no</v>
      </c>
      <c r="J357" s="2" t="n">
        <f aca="false">IF(F357="yes",1,0)</f>
        <v>0</v>
      </c>
      <c r="K357" s="2" t="n">
        <f aca="false">IF(H357="yes",1,0)</f>
        <v>1</v>
      </c>
      <c r="L357" s="2" t="n">
        <f aca="false">IF(I357="yes",1,0)</f>
        <v>0</v>
      </c>
      <c r="M357" s="2" t="n">
        <f aca="false">IF(G357&lt;0,1,0)</f>
        <v>0</v>
      </c>
      <c r="N357" s="2" t="str">
        <f aca="false">_xlfn.IFS(B357&lt;30,"Under 30",B357&lt;40,"30-39",B357&lt;50,"40-49",B357&lt;60,"50-59",TRUE(),"60+")</f>
        <v>30-39</v>
      </c>
      <c r="O357" s="2" t="str">
        <f aca="false">_xlfn.IFS(G357&lt;0,"1 Negative",G357=0,"2 Zero",G357&lt;=500,"3 1-500",G357&lt;=2000,"4 501-2000",TRUE(),"5 Above 2000")</f>
        <v>3 1-500</v>
      </c>
      <c r="P357" s="2" t="n">
        <f aca="false">Lookups!$B$2*M357+Lookups!$B$3*L357</f>
        <v>0</v>
      </c>
      <c r="Q357" s="2" t="str">
        <f aca="false">INDEX(Lookups!$E$2:$E$5,MATCH(P357,Lookups!$D$2:$D$5,0))</f>
        <v>Low</v>
      </c>
    </row>
    <row r="358" customFormat="false" ht="15" hidden="false" customHeight="false" outlineLevel="0" collapsed="false">
      <c r="A358" s="3" t="n">
        <v>357</v>
      </c>
      <c r="B358" s="3" t="n">
        <f aca="false">Raw_Data!A358</f>
        <v>46</v>
      </c>
      <c r="C358" s="3" t="str">
        <f aca="false">SUBSTITUTE(Raw_Data!B358,".","")</f>
        <v>services</v>
      </c>
      <c r="D358" s="3" t="str">
        <f aca="false">Raw_Data!C358</f>
        <v>married</v>
      </c>
      <c r="E358" s="3" t="str">
        <f aca="false">Raw_Data!D358</f>
        <v>secondary</v>
      </c>
      <c r="F358" s="3" t="str">
        <f aca="false">Raw_Data!E358</f>
        <v>no</v>
      </c>
      <c r="G358" s="3" t="n">
        <f aca="false">Raw_Data!F358</f>
        <v>271</v>
      </c>
      <c r="H358" s="3" t="str">
        <f aca="false">Raw_Data!G358</f>
        <v>yes</v>
      </c>
      <c r="I358" s="3" t="str">
        <f aca="false">Raw_Data!H358</f>
        <v>no</v>
      </c>
      <c r="J358" s="2" t="n">
        <f aca="false">IF(F358="yes",1,0)</f>
        <v>0</v>
      </c>
      <c r="K358" s="2" t="n">
        <f aca="false">IF(H358="yes",1,0)</f>
        <v>1</v>
      </c>
      <c r="L358" s="2" t="n">
        <f aca="false">IF(I358="yes",1,0)</f>
        <v>0</v>
      </c>
      <c r="M358" s="2" t="n">
        <f aca="false">IF(G358&lt;0,1,0)</f>
        <v>0</v>
      </c>
      <c r="N358" s="2" t="str">
        <f aca="false">_xlfn.IFS(B358&lt;30,"Under 30",B358&lt;40,"30-39",B358&lt;50,"40-49",B358&lt;60,"50-59",TRUE(),"60+")</f>
        <v>40-49</v>
      </c>
      <c r="O358" s="2" t="str">
        <f aca="false">_xlfn.IFS(G358&lt;0,"1 Negative",G358=0,"2 Zero",G358&lt;=500,"3 1-500",G358&lt;=2000,"4 501-2000",TRUE(),"5 Above 2000")</f>
        <v>3 1-500</v>
      </c>
      <c r="P358" s="2" t="n">
        <f aca="false">Lookups!$B$2*M358+Lookups!$B$3*L358</f>
        <v>0</v>
      </c>
      <c r="Q358" s="2" t="str">
        <f aca="false">INDEX(Lookups!$E$2:$E$5,MATCH(P358,Lookups!$D$2:$D$5,0))</f>
        <v>Low</v>
      </c>
    </row>
    <row r="359" customFormat="false" ht="15" hidden="false" customHeight="false" outlineLevel="0" collapsed="false">
      <c r="A359" s="3" t="n">
        <v>358</v>
      </c>
      <c r="B359" s="3" t="n">
        <f aca="false">Raw_Data!A359</f>
        <v>27</v>
      </c>
      <c r="C359" s="3" t="str">
        <f aca="false">SUBSTITUTE(Raw_Data!B359,".","")</f>
        <v>management</v>
      </c>
      <c r="D359" s="3" t="str">
        <f aca="false">Raw_Data!C359</f>
        <v>single</v>
      </c>
      <c r="E359" s="3" t="str">
        <f aca="false">Raw_Data!D359</f>
        <v>unknown</v>
      </c>
      <c r="F359" s="3" t="str">
        <f aca="false">Raw_Data!E359</f>
        <v>no</v>
      </c>
      <c r="G359" s="3" t="n">
        <f aca="false">Raw_Data!F359</f>
        <v>3196</v>
      </c>
      <c r="H359" s="3" t="str">
        <f aca="false">Raw_Data!G359</f>
        <v>no</v>
      </c>
      <c r="I359" s="3" t="str">
        <f aca="false">Raw_Data!H359</f>
        <v>no</v>
      </c>
      <c r="J359" s="2" t="n">
        <f aca="false">IF(F359="yes",1,0)</f>
        <v>0</v>
      </c>
      <c r="K359" s="2" t="n">
        <f aca="false">IF(H359="yes",1,0)</f>
        <v>0</v>
      </c>
      <c r="L359" s="2" t="n">
        <f aca="false">IF(I359="yes",1,0)</f>
        <v>0</v>
      </c>
      <c r="M359" s="2" t="n">
        <f aca="false">IF(G359&lt;0,1,0)</f>
        <v>0</v>
      </c>
      <c r="N359" s="2" t="str">
        <f aca="false">_xlfn.IFS(B359&lt;30,"Under 30",B359&lt;40,"30-39",B359&lt;50,"40-49",B359&lt;60,"50-59",TRUE(),"60+")</f>
        <v>Under 30</v>
      </c>
      <c r="O359" s="2" t="str">
        <f aca="false">_xlfn.IFS(G359&lt;0,"1 Negative",G359=0,"2 Zero",G359&lt;=500,"3 1-500",G359&lt;=2000,"4 501-2000",TRUE(),"5 Above 2000")</f>
        <v>5 Above 2000</v>
      </c>
      <c r="P359" s="2" t="n">
        <f aca="false">Lookups!$B$2*M359+Lookups!$B$3*L359</f>
        <v>0</v>
      </c>
      <c r="Q359" s="2" t="str">
        <f aca="false">INDEX(Lookups!$E$2:$E$5,MATCH(P359,Lookups!$D$2:$D$5,0))</f>
        <v>Low</v>
      </c>
    </row>
    <row r="360" customFormat="false" ht="15" hidden="false" customHeight="false" outlineLevel="0" collapsed="false">
      <c r="A360" s="3" t="n">
        <v>359</v>
      </c>
      <c r="B360" s="3" t="n">
        <f aca="false">Raw_Data!A360</f>
        <v>48</v>
      </c>
      <c r="C360" s="3" t="str">
        <f aca="false">SUBSTITUTE(Raw_Data!B360,".","")</f>
        <v>admin</v>
      </c>
      <c r="D360" s="3" t="str">
        <f aca="false">Raw_Data!C360</f>
        <v>divorced</v>
      </c>
      <c r="E360" s="3" t="str">
        <f aca="false">Raw_Data!D360</f>
        <v>secondary</v>
      </c>
      <c r="F360" s="3" t="str">
        <f aca="false">Raw_Data!E360</f>
        <v>no</v>
      </c>
      <c r="G360" s="3" t="n">
        <f aca="false">Raw_Data!F360</f>
        <v>4099</v>
      </c>
      <c r="H360" s="3" t="str">
        <f aca="false">Raw_Data!G360</f>
        <v>no</v>
      </c>
      <c r="I360" s="3" t="str">
        <f aca="false">Raw_Data!H360</f>
        <v>no</v>
      </c>
      <c r="J360" s="2" t="n">
        <f aca="false">IF(F360="yes",1,0)</f>
        <v>0</v>
      </c>
      <c r="K360" s="2" t="n">
        <f aca="false">IF(H360="yes",1,0)</f>
        <v>0</v>
      </c>
      <c r="L360" s="2" t="n">
        <f aca="false">IF(I360="yes",1,0)</f>
        <v>0</v>
      </c>
      <c r="M360" s="2" t="n">
        <f aca="false">IF(G360&lt;0,1,0)</f>
        <v>0</v>
      </c>
      <c r="N360" s="2" t="str">
        <f aca="false">_xlfn.IFS(B360&lt;30,"Under 30",B360&lt;40,"30-39",B360&lt;50,"40-49",B360&lt;60,"50-59",TRUE(),"60+")</f>
        <v>40-49</v>
      </c>
      <c r="O360" s="2" t="str">
        <f aca="false">_xlfn.IFS(G360&lt;0,"1 Negative",G360=0,"2 Zero",G360&lt;=500,"3 1-500",G360&lt;=2000,"4 501-2000",TRUE(),"5 Above 2000")</f>
        <v>5 Above 2000</v>
      </c>
      <c r="P360" s="2" t="n">
        <f aca="false">Lookups!$B$2*M360+Lookups!$B$3*L360</f>
        <v>0</v>
      </c>
      <c r="Q360" s="2" t="str">
        <f aca="false">INDEX(Lookups!$E$2:$E$5,MATCH(P360,Lookups!$D$2:$D$5,0))</f>
        <v>Low</v>
      </c>
    </row>
    <row r="361" customFormat="false" ht="15" hidden="false" customHeight="false" outlineLevel="0" collapsed="false">
      <c r="A361" s="3" t="n">
        <v>360</v>
      </c>
      <c r="B361" s="3" t="n">
        <f aca="false">Raw_Data!A361</f>
        <v>26</v>
      </c>
      <c r="C361" s="3" t="str">
        <f aca="false">SUBSTITUTE(Raw_Data!B361,".","")</f>
        <v>student</v>
      </c>
      <c r="D361" s="3" t="str">
        <f aca="false">Raw_Data!C361</f>
        <v>single</v>
      </c>
      <c r="E361" s="3" t="str">
        <f aca="false">Raw_Data!D361</f>
        <v>secondary</v>
      </c>
      <c r="F361" s="3" t="str">
        <f aca="false">Raw_Data!E361</f>
        <v>no</v>
      </c>
      <c r="G361" s="3" t="n">
        <f aca="false">Raw_Data!F361</f>
        <v>2572</v>
      </c>
      <c r="H361" s="3" t="str">
        <f aca="false">Raw_Data!G361</f>
        <v>yes</v>
      </c>
      <c r="I361" s="3" t="str">
        <f aca="false">Raw_Data!H361</f>
        <v>no</v>
      </c>
      <c r="J361" s="2" t="n">
        <f aca="false">IF(F361="yes",1,0)</f>
        <v>0</v>
      </c>
      <c r="K361" s="2" t="n">
        <f aca="false">IF(H361="yes",1,0)</f>
        <v>1</v>
      </c>
      <c r="L361" s="2" t="n">
        <f aca="false">IF(I361="yes",1,0)</f>
        <v>0</v>
      </c>
      <c r="M361" s="2" t="n">
        <f aca="false">IF(G361&lt;0,1,0)</f>
        <v>0</v>
      </c>
      <c r="N361" s="2" t="str">
        <f aca="false">_xlfn.IFS(B361&lt;30,"Under 30",B361&lt;40,"30-39",B361&lt;50,"40-49",B361&lt;60,"50-59",TRUE(),"60+")</f>
        <v>Under 30</v>
      </c>
      <c r="O361" s="2" t="str">
        <f aca="false">_xlfn.IFS(G361&lt;0,"1 Negative",G361=0,"2 Zero",G361&lt;=500,"3 1-500",G361&lt;=2000,"4 501-2000",TRUE(),"5 Above 2000")</f>
        <v>5 Above 2000</v>
      </c>
      <c r="P361" s="2" t="n">
        <f aca="false">Lookups!$B$2*M361+Lookups!$B$3*L361</f>
        <v>0</v>
      </c>
      <c r="Q361" s="2" t="str">
        <f aca="false">INDEX(Lookups!$E$2:$E$5,MATCH(P361,Lookups!$D$2:$D$5,0))</f>
        <v>Low</v>
      </c>
    </row>
    <row r="362" customFormat="false" ht="15" hidden="false" customHeight="false" outlineLevel="0" collapsed="false">
      <c r="A362" s="3" t="n">
        <v>361</v>
      </c>
      <c r="B362" s="3" t="n">
        <f aca="false">Raw_Data!A362</f>
        <v>36</v>
      </c>
      <c r="C362" s="3" t="str">
        <f aca="false">SUBSTITUTE(Raw_Data!B362,".","")</f>
        <v>management</v>
      </c>
      <c r="D362" s="3" t="str">
        <f aca="false">Raw_Data!C362</f>
        <v>single</v>
      </c>
      <c r="E362" s="3" t="str">
        <f aca="false">Raw_Data!D362</f>
        <v>tertiary</v>
      </c>
      <c r="F362" s="3" t="str">
        <f aca="false">Raw_Data!E362</f>
        <v>no</v>
      </c>
      <c r="G362" s="3" t="n">
        <f aca="false">Raw_Data!F362</f>
        <v>339</v>
      </c>
      <c r="H362" s="3" t="str">
        <f aca="false">Raw_Data!G362</f>
        <v>no</v>
      </c>
      <c r="I362" s="3" t="str">
        <f aca="false">Raw_Data!H362</f>
        <v>no</v>
      </c>
      <c r="J362" s="2" t="n">
        <f aca="false">IF(F362="yes",1,0)</f>
        <v>0</v>
      </c>
      <c r="K362" s="2" t="n">
        <f aca="false">IF(H362="yes",1,0)</f>
        <v>0</v>
      </c>
      <c r="L362" s="2" t="n">
        <f aca="false">IF(I362="yes",1,0)</f>
        <v>0</v>
      </c>
      <c r="M362" s="2" t="n">
        <f aca="false">IF(G362&lt;0,1,0)</f>
        <v>0</v>
      </c>
      <c r="N362" s="2" t="str">
        <f aca="false">_xlfn.IFS(B362&lt;30,"Under 30",B362&lt;40,"30-39",B362&lt;50,"40-49",B362&lt;60,"50-59",TRUE(),"60+")</f>
        <v>30-39</v>
      </c>
      <c r="O362" s="2" t="str">
        <f aca="false">_xlfn.IFS(G362&lt;0,"1 Negative",G362=0,"2 Zero",G362&lt;=500,"3 1-500",G362&lt;=2000,"4 501-2000",TRUE(),"5 Above 2000")</f>
        <v>3 1-500</v>
      </c>
      <c r="P362" s="2" t="n">
        <f aca="false">Lookups!$B$2*M362+Lookups!$B$3*L362</f>
        <v>0</v>
      </c>
      <c r="Q362" s="2" t="str">
        <f aca="false">INDEX(Lookups!$E$2:$E$5,MATCH(P362,Lookups!$D$2:$D$5,0))</f>
        <v>Low</v>
      </c>
    </row>
    <row r="363" customFormat="false" ht="15" hidden="false" customHeight="false" outlineLevel="0" collapsed="false">
      <c r="A363" s="3" t="n">
        <v>362</v>
      </c>
      <c r="B363" s="3" t="n">
        <f aca="false">Raw_Data!A363</f>
        <v>42</v>
      </c>
      <c r="C363" s="3" t="str">
        <f aca="false">SUBSTITUTE(Raw_Data!B363,".","")</f>
        <v>blue-collar</v>
      </c>
      <c r="D363" s="3" t="str">
        <f aca="false">Raw_Data!C363</f>
        <v>married</v>
      </c>
      <c r="E363" s="3" t="str">
        <f aca="false">Raw_Data!D363</f>
        <v>primary</v>
      </c>
      <c r="F363" s="3" t="str">
        <f aca="false">Raw_Data!E363</f>
        <v>no</v>
      </c>
      <c r="G363" s="3" t="n">
        <f aca="false">Raw_Data!F363</f>
        <v>0</v>
      </c>
      <c r="H363" s="3" t="str">
        <f aca="false">Raw_Data!G363</f>
        <v>yes</v>
      </c>
      <c r="I363" s="3" t="str">
        <f aca="false">Raw_Data!H363</f>
        <v>yes</v>
      </c>
      <c r="J363" s="2" t="n">
        <f aca="false">IF(F363="yes",1,0)</f>
        <v>0</v>
      </c>
      <c r="K363" s="2" t="n">
        <f aca="false">IF(H363="yes",1,0)</f>
        <v>1</v>
      </c>
      <c r="L363" s="2" t="n">
        <f aca="false">IF(I363="yes",1,0)</f>
        <v>1</v>
      </c>
      <c r="M363" s="2" t="n">
        <f aca="false">IF(G363&lt;0,1,0)</f>
        <v>0</v>
      </c>
      <c r="N363" s="2" t="str">
        <f aca="false">_xlfn.IFS(B363&lt;30,"Under 30",B363&lt;40,"30-39",B363&lt;50,"40-49",B363&lt;60,"50-59",TRUE(),"60+")</f>
        <v>40-49</v>
      </c>
      <c r="O363" s="2" t="str">
        <f aca="false">_xlfn.IFS(G363&lt;0,"1 Negative",G363=0,"2 Zero",G363&lt;=500,"3 1-500",G363&lt;=2000,"4 501-2000",TRUE(),"5 Above 2000")</f>
        <v>2 Zero</v>
      </c>
      <c r="P363" s="2" t="n">
        <f aca="false">Lookups!$B$2*M363+Lookups!$B$3*L363</f>
        <v>1</v>
      </c>
      <c r="Q363" s="2" t="str">
        <f aca="false">INDEX(Lookups!$E$2:$E$5,MATCH(P363,Lookups!$D$2:$D$5,0))</f>
        <v>Medium</v>
      </c>
    </row>
    <row r="364" customFormat="false" ht="15" hidden="false" customHeight="false" outlineLevel="0" collapsed="false">
      <c r="A364" s="3" t="n">
        <v>363</v>
      </c>
      <c r="B364" s="3" t="n">
        <f aca="false">Raw_Data!A364</f>
        <v>50</v>
      </c>
      <c r="C364" s="3" t="str">
        <f aca="false">SUBSTITUTE(Raw_Data!B364,".","")</f>
        <v>housemaid</v>
      </c>
      <c r="D364" s="3" t="str">
        <f aca="false">Raw_Data!C364</f>
        <v>married</v>
      </c>
      <c r="E364" s="3" t="str">
        <f aca="false">Raw_Data!D364</f>
        <v>primary</v>
      </c>
      <c r="F364" s="3" t="str">
        <f aca="false">Raw_Data!E364</f>
        <v>no</v>
      </c>
      <c r="G364" s="3" t="n">
        <f aca="false">Raw_Data!F364</f>
        <v>395</v>
      </c>
      <c r="H364" s="3" t="str">
        <f aca="false">Raw_Data!G364</f>
        <v>yes</v>
      </c>
      <c r="I364" s="3" t="str">
        <f aca="false">Raw_Data!H364</f>
        <v>no</v>
      </c>
      <c r="J364" s="2" t="n">
        <f aca="false">IF(F364="yes",1,0)</f>
        <v>0</v>
      </c>
      <c r="K364" s="2" t="n">
        <f aca="false">IF(H364="yes",1,0)</f>
        <v>1</v>
      </c>
      <c r="L364" s="2" t="n">
        <f aca="false">IF(I364="yes",1,0)</f>
        <v>0</v>
      </c>
      <c r="M364" s="2" t="n">
        <f aca="false">IF(G364&lt;0,1,0)</f>
        <v>0</v>
      </c>
      <c r="N364" s="2" t="str">
        <f aca="false">_xlfn.IFS(B364&lt;30,"Under 30",B364&lt;40,"30-39",B364&lt;50,"40-49",B364&lt;60,"50-59",TRUE(),"60+")</f>
        <v>50-59</v>
      </c>
      <c r="O364" s="2" t="str">
        <f aca="false">_xlfn.IFS(G364&lt;0,"1 Negative",G364=0,"2 Zero",G364&lt;=500,"3 1-500",G364&lt;=2000,"4 501-2000",TRUE(),"5 Above 2000")</f>
        <v>3 1-500</v>
      </c>
      <c r="P364" s="2" t="n">
        <f aca="false">Lookups!$B$2*M364+Lookups!$B$3*L364</f>
        <v>0</v>
      </c>
      <c r="Q364" s="2" t="str">
        <f aca="false">INDEX(Lookups!$E$2:$E$5,MATCH(P364,Lookups!$D$2:$D$5,0))</f>
        <v>Low</v>
      </c>
    </row>
    <row r="365" customFormat="false" ht="15" hidden="false" customHeight="false" outlineLevel="0" collapsed="false">
      <c r="A365" s="3" t="n">
        <v>364</v>
      </c>
      <c r="B365" s="3" t="n">
        <f aca="false">Raw_Data!A365</f>
        <v>49</v>
      </c>
      <c r="C365" s="3" t="str">
        <f aca="false">SUBSTITUTE(Raw_Data!B365,".","")</f>
        <v>blue-collar</v>
      </c>
      <c r="D365" s="3" t="str">
        <f aca="false">Raw_Data!C365</f>
        <v>married</v>
      </c>
      <c r="E365" s="3" t="str">
        <f aca="false">Raw_Data!D365</f>
        <v>secondary</v>
      </c>
      <c r="F365" s="3" t="str">
        <f aca="false">Raw_Data!E365</f>
        <v>no</v>
      </c>
      <c r="G365" s="3" t="n">
        <f aca="false">Raw_Data!F365</f>
        <v>2039</v>
      </c>
      <c r="H365" s="3" t="str">
        <f aca="false">Raw_Data!G365</f>
        <v>yes</v>
      </c>
      <c r="I365" s="3" t="str">
        <f aca="false">Raw_Data!H365</f>
        <v>no</v>
      </c>
      <c r="J365" s="2" t="n">
        <f aca="false">IF(F365="yes",1,0)</f>
        <v>0</v>
      </c>
      <c r="K365" s="2" t="n">
        <f aca="false">IF(H365="yes",1,0)</f>
        <v>1</v>
      </c>
      <c r="L365" s="2" t="n">
        <f aca="false">IF(I365="yes",1,0)</f>
        <v>0</v>
      </c>
      <c r="M365" s="2" t="n">
        <f aca="false">IF(G365&lt;0,1,0)</f>
        <v>0</v>
      </c>
      <c r="N365" s="2" t="str">
        <f aca="false">_xlfn.IFS(B365&lt;30,"Under 30",B365&lt;40,"30-39",B365&lt;50,"40-49",B365&lt;60,"50-59",TRUE(),"60+")</f>
        <v>40-49</v>
      </c>
      <c r="O365" s="2" t="str">
        <f aca="false">_xlfn.IFS(G365&lt;0,"1 Negative",G365=0,"2 Zero",G365&lt;=500,"3 1-500",G365&lt;=2000,"4 501-2000",TRUE(),"5 Above 2000")</f>
        <v>5 Above 2000</v>
      </c>
      <c r="P365" s="2" t="n">
        <f aca="false">Lookups!$B$2*M365+Lookups!$B$3*L365</f>
        <v>0</v>
      </c>
      <c r="Q365" s="2" t="str">
        <f aca="false">INDEX(Lookups!$E$2:$E$5,MATCH(P365,Lookups!$D$2:$D$5,0))</f>
        <v>Low</v>
      </c>
    </row>
    <row r="366" customFormat="false" ht="15" hidden="false" customHeight="false" outlineLevel="0" collapsed="false">
      <c r="A366" s="3" t="n">
        <v>365</v>
      </c>
      <c r="B366" s="3" t="n">
        <f aca="false">Raw_Data!A366</f>
        <v>45</v>
      </c>
      <c r="C366" s="3" t="str">
        <f aca="false">SUBSTITUTE(Raw_Data!B366,".","")</f>
        <v>management</v>
      </c>
      <c r="D366" s="3" t="str">
        <f aca="false">Raw_Data!C366</f>
        <v>married</v>
      </c>
      <c r="E366" s="3" t="str">
        <f aca="false">Raw_Data!D366</f>
        <v>tertiary</v>
      </c>
      <c r="F366" s="3" t="str">
        <f aca="false">Raw_Data!E366</f>
        <v>no</v>
      </c>
      <c r="G366" s="3" t="n">
        <f aca="false">Raw_Data!F366</f>
        <v>5450</v>
      </c>
      <c r="H366" s="3" t="str">
        <f aca="false">Raw_Data!G366</f>
        <v>no</v>
      </c>
      <c r="I366" s="3" t="str">
        <f aca="false">Raw_Data!H366</f>
        <v>no</v>
      </c>
      <c r="J366" s="2" t="n">
        <f aca="false">IF(F366="yes",1,0)</f>
        <v>0</v>
      </c>
      <c r="K366" s="2" t="n">
        <f aca="false">IF(H366="yes",1,0)</f>
        <v>0</v>
      </c>
      <c r="L366" s="2" t="n">
        <f aca="false">IF(I366="yes",1,0)</f>
        <v>0</v>
      </c>
      <c r="M366" s="2" t="n">
        <f aca="false">IF(G366&lt;0,1,0)</f>
        <v>0</v>
      </c>
      <c r="N366" s="2" t="str">
        <f aca="false">_xlfn.IFS(B366&lt;30,"Under 30",B366&lt;40,"30-39",B366&lt;50,"40-49",B366&lt;60,"50-59",TRUE(),"60+")</f>
        <v>40-49</v>
      </c>
      <c r="O366" s="2" t="str">
        <f aca="false">_xlfn.IFS(G366&lt;0,"1 Negative",G366=0,"2 Zero",G366&lt;=500,"3 1-500",G366&lt;=2000,"4 501-2000",TRUE(),"5 Above 2000")</f>
        <v>5 Above 2000</v>
      </c>
      <c r="P366" s="2" t="n">
        <f aca="false">Lookups!$B$2*M366+Lookups!$B$3*L366</f>
        <v>0</v>
      </c>
      <c r="Q366" s="2" t="str">
        <f aca="false">INDEX(Lookups!$E$2:$E$5,MATCH(P366,Lookups!$D$2:$D$5,0))</f>
        <v>Low</v>
      </c>
    </row>
    <row r="367" customFormat="false" ht="15" hidden="false" customHeight="false" outlineLevel="0" collapsed="false">
      <c r="A367" s="3" t="n">
        <v>366</v>
      </c>
      <c r="B367" s="3" t="n">
        <f aca="false">Raw_Data!A367</f>
        <v>23</v>
      </c>
      <c r="C367" s="3" t="str">
        <f aca="false">SUBSTITUTE(Raw_Data!B367,".","")</f>
        <v>student</v>
      </c>
      <c r="D367" s="3" t="str">
        <f aca="false">Raw_Data!C367</f>
        <v>single</v>
      </c>
      <c r="E367" s="3" t="str">
        <f aca="false">Raw_Data!D367</f>
        <v>secondary</v>
      </c>
      <c r="F367" s="3" t="str">
        <f aca="false">Raw_Data!E367</f>
        <v>no</v>
      </c>
      <c r="G367" s="3" t="n">
        <f aca="false">Raw_Data!F367</f>
        <v>780</v>
      </c>
      <c r="H367" s="3" t="str">
        <f aca="false">Raw_Data!G367</f>
        <v>no</v>
      </c>
      <c r="I367" s="3" t="str">
        <f aca="false">Raw_Data!H367</f>
        <v>no</v>
      </c>
      <c r="J367" s="2" t="n">
        <f aca="false">IF(F367="yes",1,0)</f>
        <v>0</v>
      </c>
      <c r="K367" s="2" t="n">
        <f aca="false">IF(H367="yes",1,0)</f>
        <v>0</v>
      </c>
      <c r="L367" s="2" t="n">
        <f aca="false">IF(I367="yes",1,0)</f>
        <v>0</v>
      </c>
      <c r="M367" s="2" t="n">
        <f aca="false">IF(G367&lt;0,1,0)</f>
        <v>0</v>
      </c>
      <c r="N367" s="2" t="str">
        <f aca="false">_xlfn.IFS(B367&lt;30,"Under 30",B367&lt;40,"30-39",B367&lt;50,"40-49",B367&lt;60,"50-59",TRUE(),"60+")</f>
        <v>Under 30</v>
      </c>
      <c r="O367" s="2" t="str">
        <f aca="false">_xlfn.IFS(G367&lt;0,"1 Negative",G367=0,"2 Zero",G367&lt;=500,"3 1-500",G367&lt;=2000,"4 501-2000",TRUE(),"5 Above 2000")</f>
        <v>4 501-2000</v>
      </c>
      <c r="P367" s="2" t="n">
        <f aca="false">Lookups!$B$2*M367+Lookups!$B$3*L367</f>
        <v>0</v>
      </c>
      <c r="Q367" s="2" t="str">
        <f aca="false">INDEX(Lookups!$E$2:$E$5,MATCH(P367,Lookups!$D$2:$D$5,0))</f>
        <v>Low</v>
      </c>
    </row>
    <row r="368" customFormat="false" ht="15" hidden="false" customHeight="false" outlineLevel="0" collapsed="false">
      <c r="A368" s="3" t="n">
        <v>367</v>
      </c>
      <c r="B368" s="3" t="n">
        <f aca="false">Raw_Data!A368</f>
        <v>38</v>
      </c>
      <c r="C368" s="3" t="str">
        <f aca="false">SUBSTITUTE(Raw_Data!B368,".","")</f>
        <v>technician</v>
      </c>
      <c r="D368" s="3" t="str">
        <f aca="false">Raw_Data!C368</f>
        <v>single</v>
      </c>
      <c r="E368" s="3" t="str">
        <f aca="false">Raw_Data!D368</f>
        <v>secondary</v>
      </c>
      <c r="F368" s="3" t="str">
        <f aca="false">Raw_Data!E368</f>
        <v>no</v>
      </c>
      <c r="G368" s="3" t="n">
        <f aca="false">Raw_Data!F368</f>
        <v>0</v>
      </c>
      <c r="H368" s="3" t="str">
        <f aca="false">Raw_Data!G368</f>
        <v>yes</v>
      </c>
      <c r="I368" s="3" t="str">
        <f aca="false">Raw_Data!H368</f>
        <v>no</v>
      </c>
      <c r="J368" s="2" t="n">
        <f aca="false">IF(F368="yes",1,0)</f>
        <v>0</v>
      </c>
      <c r="K368" s="2" t="n">
        <f aca="false">IF(H368="yes",1,0)</f>
        <v>1</v>
      </c>
      <c r="L368" s="2" t="n">
        <f aca="false">IF(I368="yes",1,0)</f>
        <v>0</v>
      </c>
      <c r="M368" s="2" t="n">
        <f aca="false">IF(G368&lt;0,1,0)</f>
        <v>0</v>
      </c>
      <c r="N368" s="2" t="str">
        <f aca="false">_xlfn.IFS(B368&lt;30,"Under 30",B368&lt;40,"30-39",B368&lt;50,"40-49",B368&lt;60,"50-59",TRUE(),"60+")</f>
        <v>30-39</v>
      </c>
      <c r="O368" s="2" t="str">
        <f aca="false">_xlfn.IFS(G368&lt;0,"1 Negative",G368=0,"2 Zero",G368&lt;=500,"3 1-500",G368&lt;=2000,"4 501-2000",TRUE(),"5 Above 2000")</f>
        <v>2 Zero</v>
      </c>
      <c r="P368" s="2" t="n">
        <f aca="false">Lookups!$B$2*M368+Lookups!$B$3*L368</f>
        <v>0</v>
      </c>
      <c r="Q368" s="2" t="str">
        <f aca="false">INDEX(Lookups!$E$2:$E$5,MATCH(P368,Lookups!$D$2:$D$5,0))</f>
        <v>Low</v>
      </c>
    </row>
    <row r="369" customFormat="false" ht="15" hidden="false" customHeight="false" outlineLevel="0" collapsed="false">
      <c r="A369" s="3" t="n">
        <v>368</v>
      </c>
      <c r="B369" s="3" t="n">
        <f aca="false">Raw_Data!A369</f>
        <v>32</v>
      </c>
      <c r="C369" s="3" t="str">
        <f aca="false">SUBSTITUTE(Raw_Data!B369,".","")</f>
        <v>management</v>
      </c>
      <c r="D369" s="3" t="str">
        <f aca="false">Raw_Data!C369</f>
        <v>single</v>
      </c>
      <c r="E369" s="3" t="str">
        <f aca="false">Raw_Data!D369</f>
        <v>tertiary</v>
      </c>
      <c r="F369" s="3" t="str">
        <f aca="false">Raw_Data!E369</f>
        <v>no</v>
      </c>
      <c r="G369" s="3" t="n">
        <f aca="false">Raw_Data!F369</f>
        <v>8436</v>
      </c>
      <c r="H369" s="3" t="str">
        <f aca="false">Raw_Data!G369</f>
        <v>yes</v>
      </c>
      <c r="I369" s="3" t="str">
        <f aca="false">Raw_Data!H369</f>
        <v>no</v>
      </c>
      <c r="J369" s="2" t="n">
        <f aca="false">IF(F369="yes",1,0)</f>
        <v>0</v>
      </c>
      <c r="K369" s="2" t="n">
        <f aca="false">IF(H369="yes",1,0)</f>
        <v>1</v>
      </c>
      <c r="L369" s="2" t="n">
        <f aca="false">IF(I369="yes",1,0)</f>
        <v>0</v>
      </c>
      <c r="M369" s="2" t="n">
        <f aca="false">IF(G369&lt;0,1,0)</f>
        <v>0</v>
      </c>
      <c r="N369" s="2" t="str">
        <f aca="false">_xlfn.IFS(B369&lt;30,"Under 30",B369&lt;40,"30-39",B369&lt;50,"40-49",B369&lt;60,"50-59",TRUE(),"60+")</f>
        <v>30-39</v>
      </c>
      <c r="O369" s="2" t="str">
        <f aca="false">_xlfn.IFS(G369&lt;0,"1 Negative",G369=0,"2 Zero",G369&lt;=500,"3 1-500",G369&lt;=2000,"4 501-2000",TRUE(),"5 Above 2000")</f>
        <v>5 Above 2000</v>
      </c>
      <c r="P369" s="2" t="n">
        <f aca="false">Lookups!$B$2*M369+Lookups!$B$3*L369</f>
        <v>0</v>
      </c>
      <c r="Q369" s="2" t="str">
        <f aca="false">INDEX(Lookups!$E$2:$E$5,MATCH(P369,Lookups!$D$2:$D$5,0))</f>
        <v>Low</v>
      </c>
    </row>
    <row r="370" customFormat="false" ht="15" hidden="false" customHeight="false" outlineLevel="0" collapsed="false">
      <c r="A370" s="3" t="n">
        <v>369</v>
      </c>
      <c r="B370" s="3" t="n">
        <f aca="false">Raw_Data!A370</f>
        <v>60</v>
      </c>
      <c r="C370" s="3" t="str">
        <f aca="false">SUBSTITUTE(Raw_Data!B370,".","")</f>
        <v>technician</v>
      </c>
      <c r="D370" s="3" t="str">
        <f aca="false">Raw_Data!C370</f>
        <v>single</v>
      </c>
      <c r="E370" s="3" t="str">
        <f aca="false">Raw_Data!D370</f>
        <v>primary</v>
      </c>
      <c r="F370" s="3" t="str">
        <f aca="false">Raw_Data!E370</f>
        <v>no</v>
      </c>
      <c r="G370" s="3" t="n">
        <f aca="false">Raw_Data!F370</f>
        <v>11262</v>
      </c>
      <c r="H370" s="3" t="str">
        <f aca="false">Raw_Data!G370</f>
        <v>no</v>
      </c>
      <c r="I370" s="3" t="str">
        <f aca="false">Raw_Data!H370</f>
        <v>no</v>
      </c>
      <c r="J370" s="2" t="n">
        <f aca="false">IF(F370="yes",1,0)</f>
        <v>0</v>
      </c>
      <c r="K370" s="2" t="n">
        <f aca="false">IF(H370="yes",1,0)</f>
        <v>0</v>
      </c>
      <c r="L370" s="2" t="n">
        <f aca="false">IF(I370="yes",1,0)</f>
        <v>0</v>
      </c>
      <c r="M370" s="2" t="n">
        <f aca="false">IF(G370&lt;0,1,0)</f>
        <v>0</v>
      </c>
      <c r="N370" s="2" t="str">
        <f aca="false">_xlfn.IFS(B370&lt;30,"Under 30",B370&lt;40,"30-39",B370&lt;50,"40-49",B370&lt;60,"50-59",TRUE(),"60+")</f>
        <v>60+</v>
      </c>
      <c r="O370" s="2" t="str">
        <f aca="false">_xlfn.IFS(G370&lt;0,"1 Negative",G370=0,"2 Zero",G370&lt;=500,"3 1-500",G370&lt;=2000,"4 501-2000",TRUE(),"5 Above 2000")</f>
        <v>5 Above 2000</v>
      </c>
      <c r="P370" s="2" t="n">
        <f aca="false">Lookups!$B$2*M370+Lookups!$B$3*L370</f>
        <v>0</v>
      </c>
      <c r="Q370" s="2" t="str">
        <f aca="false">INDEX(Lookups!$E$2:$E$5,MATCH(P370,Lookups!$D$2:$D$5,0))</f>
        <v>Low</v>
      </c>
    </row>
    <row r="371" customFormat="false" ht="15" hidden="false" customHeight="false" outlineLevel="0" collapsed="false">
      <c r="A371" s="3" t="n">
        <v>370</v>
      </c>
      <c r="B371" s="3" t="n">
        <f aca="false">Raw_Data!A371</f>
        <v>30</v>
      </c>
      <c r="C371" s="3" t="str">
        <f aca="false">SUBSTITUTE(Raw_Data!B371,".","")</f>
        <v>entrepreneur</v>
      </c>
      <c r="D371" s="3" t="str">
        <f aca="false">Raw_Data!C371</f>
        <v>married</v>
      </c>
      <c r="E371" s="3" t="str">
        <f aca="false">Raw_Data!D371</f>
        <v>secondary</v>
      </c>
      <c r="F371" s="3" t="str">
        <f aca="false">Raw_Data!E371</f>
        <v>no</v>
      </c>
      <c r="G371" s="3" t="n">
        <f aca="false">Raw_Data!F371</f>
        <v>946</v>
      </c>
      <c r="H371" s="3" t="str">
        <f aca="false">Raw_Data!G371</f>
        <v>yes</v>
      </c>
      <c r="I371" s="3" t="str">
        <f aca="false">Raw_Data!H371</f>
        <v>no</v>
      </c>
      <c r="J371" s="2" t="n">
        <f aca="false">IF(F371="yes",1,0)</f>
        <v>0</v>
      </c>
      <c r="K371" s="2" t="n">
        <f aca="false">IF(H371="yes",1,0)</f>
        <v>1</v>
      </c>
      <c r="L371" s="2" t="n">
        <f aca="false">IF(I371="yes",1,0)</f>
        <v>0</v>
      </c>
      <c r="M371" s="2" t="n">
        <f aca="false">IF(G371&lt;0,1,0)</f>
        <v>0</v>
      </c>
      <c r="N371" s="2" t="str">
        <f aca="false">_xlfn.IFS(B371&lt;30,"Under 30",B371&lt;40,"30-39",B371&lt;50,"40-49",B371&lt;60,"50-59",TRUE(),"60+")</f>
        <v>30-39</v>
      </c>
      <c r="O371" s="2" t="str">
        <f aca="false">_xlfn.IFS(G371&lt;0,"1 Negative",G371=0,"2 Zero",G371&lt;=500,"3 1-500",G371&lt;=2000,"4 501-2000",TRUE(),"5 Above 2000")</f>
        <v>4 501-2000</v>
      </c>
      <c r="P371" s="2" t="n">
        <f aca="false">Lookups!$B$2*M371+Lookups!$B$3*L371</f>
        <v>0</v>
      </c>
      <c r="Q371" s="2" t="str">
        <f aca="false">INDEX(Lookups!$E$2:$E$5,MATCH(P371,Lookups!$D$2:$D$5,0))</f>
        <v>Low</v>
      </c>
    </row>
    <row r="372" customFormat="false" ht="15" hidden="false" customHeight="false" outlineLevel="0" collapsed="false">
      <c r="A372" s="3" t="n">
        <v>371</v>
      </c>
      <c r="B372" s="3" t="n">
        <f aca="false">Raw_Data!A372</f>
        <v>58</v>
      </c>
      <c r="C372" s="3" t="str">
        <f aca="false">SUBSTITUTE(Raw_Data!B372,".","")</f>
        <v>housemaid</v>
      </c>
      <c r="D372" s="3" t="str">
        <f aca="false">Raw_Data!C372</f>
        <v>married</v>
      </c>
      <c r="E372" s="3" t="str">
        <f aca="false">Raw_Data!D372</f>
        <v>tertiary</v>
      </c>
      <c r="F372" s="3" t="str">
        <f aca="false">Raw_Data!E372</f>
        <v>no</v>
      </c>
      <c r="G372" s="3" t="n">
        <f aca="false">Raw_Data!F372</f>
        <v>497</v>
      </c>
      <c r="H372" s="3" t="str">
        <f aca="false">Raw_Data!G372</f>
        <v>no</v>
      </c>
      <c r="I372" s="3" t="str">
        <f aca="false">Raw_Data!H372</f>
        <v>no</v>
      </c>
      <c r="J372" s="2" t="n">
        <f aca="false">IF(F372="yes",1,0)</f>
        <v>0</v>
      </c>
      <c r="K372" s="2" t="n">
        <f aca="false">IF(H372="yes",1,0)</f>
        <v>0</v>
      </c>
      <c r="L372" s="2" t="n">
        <f aca="false">IF(I372="yes",1,0)</f>
        <v>0</v>
      </c>
      <c r="M372" s="2" t="n">
        <f aca="false">IF(G372&lt;0,1,0)</f>
        <v>0</v>
      </c>
      <c r="N372" s="2" t="str">
        <f aca="false">_xlfn.IFS(B372&lt;30,"Under 30",B372&lt;40,"30-39",B372&lt;50,"40-49",B372&lt;60,"50-59",TRUE(),"60+")</f>
        <v>50-59</v>
      </c>
      <c r="O372" s="2" t="str">
        <f aca="false">_xlfn.IFS(G372&lt;0,"1 Negative",G372=0,"2 Zero",G372&lt;=500,"3 1-500",G372&lt;=2000,"4 501-2000",TRUE(),"5 Above 2000")</f>
        <v>3 1-500</v>
      </c>
      <c r="P372" s="2" t="n">
        <f aca="false">Lookups!$B$2*M372+Lookups!$B$3*L372</f>
        <v>0</v>
      </c>
      <c r="Q372" s="2" t="str">
        <f aca="false">INDEX(Lookups!$E$2:$E$5,MATCH(P372,Lookups!$D$2:$D$5,0))</f>
        <v>Low</v>
      </c>
    </row>
    <row r="373" customFormat="false" ht="15" hidden="false" customHeight="false" outlineLevel="0" collapsed="false">
      <c r="A373" s="3" t="n">
        <v>372</v>
      </c>
      <c r="B373" s="3" t="n">
        <f aca="false">Raw_Data!A373</f>
        <v>60</v>
      </c>
      <c r="C373" s="3" t="str">
        <f aca="false">SUBSTITUTE(Raw_Data!B373,".","")</f>
        <v>retired</v>
      </c>
      <c r="D373" s="3" t="str">
        <f aca="false">Raw_Data!C373</f>
        <v>married</v>
      </c>
      <c r="E373" s="3" t="str">
        <f aca="false">Raw_Data!D373</f>
        <v>primary</v>
      </c>
      <c r="F373" s="3" t="str">
        <f aca="false">Raw_Data!E373</f>
        <v>no</v>
      </c>
      <c r="G373" s="3" t="n">
        <f aca="false">Raw_Data!F373</f>
        <v>55</v>
      </c>
      <c r="H373" s="3" t="str">
        <f aca="false">Raw_Data!G373</f>
        <v>no</v>
      </c>
      <c r="I373" s="3" t="str">
        <f aca="false">Raw_Data!H373</f>
        <v>no</v>
      </c>
      <c r="J373" s="2" t="n">
        <f aca="false">IF(F373="yes",1,0)</f>
        <v>0</v>
      </c>
      <c r="K373" s="2" t="n">
        <f aca="false">IF(H373="yes",1,0)</f>
        <v>0</v>
      </c>
      <c r="L373" s="2" t="n">
        <f aca="false">IF(I373="yes",1,0)</f>
        <v>0</v>
      </c>
      <c r="M373" s="2" t="n">
        <f aca="false">IF(G373&lt;0,1,0)</f>
        <v>0</v>
      </c>
      <c r="N373" s="2" t="str">
        <f aca="false">_xlfn.IFS(B373&lt;30,"Under 30",B373&lt;40,"30-39",B373&lt;50,"40-49",B373&lt;60,"50-59",TRUE(),"60+")</f>
        <v>60+</v>
      </c>
      <c r="O373" s="2" t="str">
        <f aca="false">_xlfn.IFS(G373&lt;0,"1 Negative",G373=0,"2 Zero",G373&lt;=500,"3 1-500",G373&lt;=2000,"4 501-2000",TRUE(),"5 Above 2000")</f>
        <v>3 1-500</v>
      </c>
      <c r="P373" s="2" t="n">
        <f aca="false">Lookups!$B$2*M373+Lookups!$B$3*L373</f>
        <v>0</v>
      </c>
      <c r="Q373" s="2" t="str">
        <f aca="false">INDEX(Lookups!$E$2:$E$5,MATCH(P373,Lookups!$D$2:$D$5,0))</f>
        <v>Low</v>
      </c>
    </row>
    <row r="374" customFormat="false" ht="15" hidden="false" customHeight="false" outlineLevel="0" collapsed="false">
      <c r="A374" s="3" t="n">
        <v>373</v>
      </c>
      <c r="B374" s="3" t="n">
        <f aca="false">Raw_Data!A374</f>
        <v>38</v>
      </c>
      <c r="C374" s="3" t="str">
        <f aca="false">SUBSTITUTE(Raw_Data!B374,".","")</f>
        <v>services</v>
      </c>
      <c r="D374" s="3" t="str">
        <f aca="false">Raw_Data!C374</f>
        <v>married</v>
      </c>
      <c r="E374" s="3" t="str">
        <f aca="false">Raw_Data!D374</f>
        <v>secondary</v>
      </c>
      <c r="F374" s="3" t="str">
        <f aca="false">Raw_Data!E374</f>
        <v>no</v>
      </c>
      <c r="G374" s="3" t="n">
        <f aca="false">Raw_Data!F374</f>
        <v>-140</v>
      </c>
      <c r="H374" s="3" t="str">
        <f aca="false">Raw_Data!G374</f>
        <v>no</v>
      </c>
      <c r="I374" s="3" t="str">
        <f aca="false">Raw_Data!H374</f>
        <v>no</v>
      </c>
      <c r="J374" s="2" t="n">
        <f aca="false">IF(F374="yes",1,0)</f>
        <v>0</v>
      </c>
      <c r="K374" s="2" t="n">
        <f aca="false">IF(H374="yes",1,0)</f>
        <v>0</v>
      </c>
      <c r="L374" s="2" t="n">
        <f aca="false">IF(I374="yes",1,0)</f>
        <v>0</v>
      </c>
      <c r="M374" s="2" t="n">
        <f aca="false">IF(G374&lt;0,1,0)</f>
        <v>1</v>
      </c>
      <c r="N374" s="2" t="str">
        <f aca="false">_xlfn.IFS(B374&lt;30,"Under 30",B374&lt;40,"30-39",B374&lt;50,"40-49",B374&lt;60,"50-59",TRUE(),"60+")</f>
        <v>30-39</v>
      </c>
      <c r="O374" s="2" t="str">
        <f aca="false">_xlfn.IFS(G374&lt;0,"1 Negative",G374=0,"2 Zero",G374&lt;=500,"3 1-500",G374&lt;=2000,"4 501-2000",TRUE(),"5 Above 2000")</f>
        <v>1 Negative</v>
      </c>
      <c r="P374" s="2" t="n">
        <f aca="false">Lookups!$B$2*M374+Lookups!$B$3*L374</f>
        <v>2</v>
      </c>
      <c r="Q374" s="2" t="str">
        <f aca="false">INDEX(Lookups!$E$2:$E$5,MATCH(P374,Lookups!$D$2:$D$5,0))</f>
        <v>High</v>
      </c>
    </row>
    <row r="375" customFormat="false" ht="15" hidden="false" customHeight="false" outlineLevel="0" collapsed="false">
      <c r="A375" s="3" t="n">
        <v>374</v>
      </c>
      <c r="B375" s="3" t="n">
        <f aca="false">Raw_Data!A375</f>
        <v>51</v>
      </c>
      <c r="C375" s="3" t="str">
        <f aca="false">SUBSTITUTE(Raw_Data!B375,".","")</f>
        <v>technician</v>
      </c>
      <c r="D375" s="3" t="str">
        <f aca="false">Raw_Data!C375</f>
        <v>married</v>
      </c>
      <c r="E375" s="3" t="str">
        <f aca="false">Raw_Data!D375</f>
        <v>secondary</v>
      </c>
      <c r="F375" s="3" t="str">
        <f aca="false">Raw_Data!E375</f>
        <v>no</v>
      </c>
      <c r="G375" s="3" t="n">
        <f aca="false">Raw_Data!F375</f>
        <v>-379</v>
      </c>
      <c r="H375" s="3" t="str">
        <f aca="false">Raw_Data!G375</f>
        <v>yes</v>
      </c>
      <c r="I375" s="3" t="str">
        <f aca="false">Raw_Data!H375</f>
        <v>no</v>
      </c>
      <c r="J375" s="2" t="n">
        <f aca="false">IF(F375="yes",1,0)</f>
        <v>0</v>
      </c>
      <c r="K375" s="2" t="n">
        <f aca="false">IF(H375="yes",1,0)</f>
        <v>1</v>
      </c>
      <c r="L375" s="2" t="n">
        <f aca="false">IF(I375="yes",1,0)</f>
        <v>0</v>
      </c>
      <c r="M375" s="2" t="n">
        <f aca="false">IF(G375&lt;0,1,0)</f>
        <v>1</v>
      </c>
      <c r="N375" s="2" t="str">
        <f aca="false">_xlfn.IFS(B375&lt;30,"Under 30",B375&lt;40,"30-39",B375&lt;50,"40-49",B375&lt;60,"50-59",TRUE(),"60+")</f>
        <v>50-59</v>
      </c>
      <c r="O375" s="2" t="str">
        <f aca="false">_xlfn.IFS(G375&lt;0,"1 Negative",G375=0,"2 Zero",G375&lt;=500,"3 1-500",G375&lt;=2000,"4 501-2000",TRUE(),"5 Above 2000")</f>
        <v>1 Negative</v>
      </c>
      <c r="P375" s="2" t="n">
        <f aca="false">Lookups!$B$2*M375+Lookups!$B$3*L375</f>
        <v>2</v>
      </c>
      <c r="Q375" s="2" t="str">
        <f aca="false">INDEX(Lookups!$E$2:$E$5,MATCH(P375,Lookups!$D$2:$D$5,0))</f>
        <v>High</v>
      </c>
    </row>
    <row r="376" customFormat="false" ht="15" hidden="false" customHeight="false" outlineLevel="0" collapsed="false">
      <c r="A376" s="3" t="n">
        <v>375</v>
      </c>
      <c r="B376" s="3" t="n">
        <f aca="false">Raw_Data!A376</f>
        <v>42</v>
      </c>
      <c r="C376" s="3" t="str">
        <f aca="false">SUBSTITUTE(Raw_Data!B376,".","")</f>
        <v>admin</v>
      </c>
      <c r="D376" s="3" t="str">
        <f aca="false">Raw_Data!C376</f>
        <v>married</v>
      </c>
      <c r="E376" s="3" t="str">
        <f aca="false">Raw_Data!D376</f>
        <v>secondary</v>
      </c>
      <c r="F376" s="3" t="str">
        <f aca="false">Raw_Data!E376</f>
        <v>no</v>
      </c>
      <c r="G376" s="3" t="n">
        <f aca="false">Raw_Data!F376</f>
        <v>-396</v>
      </c>
      <c r="H376" s="3" t="str">
        <f aca="false">Raw_Data!G376</f>
        <v>yes</v>
      </c>
      <c r="I376" s="3" t="str">
        <f aca="false">Raw_Data!H376</f>
        <v>no</v>
      </c>
      <c r="J376" s="2" t="n">
        <f aca="false">IF(F376="yes",1,0)</f>
        <v>0</v>
      </c>
      <c r="K376" s="2" t="n">
        <f aca="false">IF(H376="yes",1,0)</f>
        <v>1</v>
      </c>
      <c r="L376" s="2" t="n">
        <f aca="false">IF(I376="yes",1,0)</f>
        <v>0</v>
      </c>
      <c r="M376" s="2" t="n">
        <f aca="false">IF(G376&lt;0,1,0)</f>
        <v>1</v>
      </c>
      <c r="N376" s="2" t="str">
        <f aca="false">_xlfn.IFS(B376&lt;30,"Under 30",B376&lt;40,"30-39",B376&lt;50,"40-49",B376&lt;60,"50-59",TRUE(),"60+")</f>
        <v>40-49</v>
      </c>
      <c r="O376" s="2" t="str">
        <f aca="false">_xlfn.IFS(G376&lt;0,"1 Negative",G376=0,"2 Zero",G376&lt;=500,"3 1-500",G376&lt;=2000,"4 501-2000",TRUE(),"5 Above 2000")</f>
        <v>1 Negative</v>
      </c>
      <c r="P376" s="2" t="n">
        <f aca="false">Lookups!$B$2*M376+Lookups!$B$3*L376</f>
        <v>2</v>
      </c>
      <c r="Q376" s="2" t="str">
        <f aca="false">INDEX(Lookups!$E$2:$E$5,MATCH(P376,Lookups!$D$2:$D$5,0))</f>
        <v>High</v>
      </c>
    </row>
    <row r="377" customFormat="false" ht="15" hidden="false" customHeight="false" outlineLevel="0" collapsed="false">
      <c r="A377" s="3" t="n">
        <v>376</v>
      </c>
      <c r="B377" s="3" t="n">
        <f aca="false">Raw_Data!A377</f>
        <v>30</v>
      </c>
      <c r="C377" s="3" t="str">
        <f aca="false">SUBSTITUTE(Raw_Data!B377,".","")</f>
        <v>services</v>
      </c>
      <c r="D377" s="3" t="str">
        <f aca="false">Raw_Data!C377</f>
        <v>single</v>
      </c>
      <c r="E377" s="3" t="str">
        <f aca="false">Raw_Data!D377</f>
        <v>secondary</v>
      </c>
      <c r="F377" s="3" t="str">
        <f aca="false">Raw_Data!E377</f>
        <v>no</v>
      </c>
      <c r="G377" s="3" t="n">
        <f aca="false">Raw_Data!F377</f>
        <v>0</v>
      </c>
      <c r="H377" s="3" t="str">
        <f aca="false">Raw_Data!G377</f>
        <v>yes</v>
      </c>
      <c r="I377" s="3" t="str">
        <f aca="false">Raw_Data!H377</f>
        <v>no</v>
      </c>
      <c r="J377" s="2" t="n">
        <f aca="false">IF(F377="yes",1,0)</f>
        <v>0</v>
      </c>
      <c r="K377" s="2" t="n">
        <f aca="false">IF(H377="yes",1,0)</f>
        <v>1</v>
      </c>
      <c r="L377" s="2" t="n">
        <f aca="false">IF(I377="yes",1,0)</f>
        <v>0</v>
      </c>
      <c r="M377" s="2" t="n">
        <f aca="false">IF(G377&lt;0,1,0)</f>
        <v>0</v>
      </c>
      <c r="N377" s="2" t="str">
        <f aca="false">_xlfn.IFS(B377&lt;30,"Under 30",B377&lt;40,"30-39",B377&lt;50,"40-49",B377&lt;60,"50-59",TRUE(),"60+")</f>
        <v>30-39</v>
      </c>
      <c r="O377" s="2" t="str">
        <f aca="false">_xlfn.IFS(G377&lt;0,"1 Negative",G377=0,"2 Zero",G377&lt;=500,"3 1-500",G377&lt;=2000,"4 501-2000",TRUE(),"5 Above 2000")</f>
        <v>2 Zero</v>
      </c>
      <c r="P377" s="2" t="n">
        <f aca="false">Lookups!$B$2*M377+Lookups!$B$3*L377</f>
        <v>0</v>
      </c>
      <c r="Q377" s="2" t="str">
        <f aca="false">INDEX(Lookups!$E$2:$E$5,MATCH(P377,Lookups!$D$2:$D$5,0))</f>
        <v>Low</v>
      </c>
    </row>
    <row r="378" customFormat="false" ht="15" hidden="false" customHeight="false" outlineLevel="0" collapsed="false">
      <c r="A378" s="3" t="n">
        <v>377</v>
      </c>
      <c r="B378" s="3" t="n">
        <f aca="false">Raw_Data!A378</f>
        <v>40</v>
      </c>
      <c r="C378" s="3" t="str">
        <f aca="false">SUBSTITUTE(Raw_Data!B378,".","")</f>
        <v>management</v>
      </c>
      <c r="D378" s="3" t="str">
        <f aca="false">Raw_Data!C378</f>
        <v>married</v>
      </c>
      <c r="E378" s="3" t="str">
        <f aca="false">Raw_Data!D378</f>
        <v>primary</v>
      </c>
      <c r="F378" s="3" t="str">
        <f aca="false">Raw_Data!E378</f>
        <v>no</v>
      </c>
      <c r="G378" s="3" t="n">
        <f aca="false">Raw_Data!F378</f>
        <v>733</v>
      </c>
      <c r="H378" s="3" t="str">
        <f aca="false">Raw_Data!G378</f>
        <v>yes</v>
      </c>
      <c r="I378" s="3" t="str">
        <f aca="false">Raw_Data!H378</f>
        <v>no</v>
      </c>
      <c r="J378" s="2" t="n">
        <f aca="false">IF(F378="yes",1,0)</f>
        <v>0</v>
      </c>
      <c r="K378" s="2" t="n">
        <f aca="false">IF(H378="yes",1,0)</f>
        <v>1</v>
      </c>
      <c r="L378" s="2" t="n">
        <f aca="false">IF(I378="yes",1,0)</f>
        <v>0</v>
      </c>
      <c r="M378" s="2" t="n">
        <f aca="false">IF(G378&lt;0,1,0)</f>
        <v>0</v>
      </c>
      <c r="N378" s="2" t="str">
        <f aca="false">_xlfn.IFS(B378&lt;30,"Under 30",B378&lt;40,"30-39",B378&lt;50,"40-49",B378&lt;60,"50-59",TRUE(),"60+")</f>
        <v>40-49</v>
      </c>
      <c r="O378" s="2" t="str">
        <f aca="false">_xlfn.IFS(G378&lt;0,"1 Negative",G378=0,"2 Zero",G378&lt;=500,"3 1-500",G378&lt;=2000,"4 501-2000",TRUE(),"5 Above 2000")</f>
        <v>4 501-2000</v>
      </c>
      <c r="P378" s="2" t="n">
        <f aca="false">Lookups!$B$2*M378+Lookups!$B$3*L378</f>
        <v>0</v>
      </c>
      <c r="Q378" s="2" t="str">
        <f aca="false">INDEX(Lookups!$E$2:$E$5,MATCH(P378,Lookups!$D$2:$D$5,0))</f>
        <v>Low</v>
      </c>
    </row>
    <row r="379" customFormat="false" ht="15" hidden="false" customHeight="false" outlineLevel="0" collapsed="false">
      <c r="A379" s="3" t="n">
        <v>378</v>
      </c>
      <c r="B379" s="3" t="n">
        <f aca="false">Raw_Data!A379</f>
        <v>37</v>
      </c>
      <c r="C379" s="3" t="str">
        <f aca="false">SUBSTITUTE(Raw_Data!B379,".","")</f>
        <v>management</v>
      </c>
      <c r="D379" s="3" t="str">
        <f aca="false">Raw_Data!C379</f>
        <v>married</v>
      </c>
      <c r="E379" s="3" t="str">
        <f aca="false">Raw_Data!D379</f>
        <v>tertiary</v>
      </c>
      <c r="F379" s="3" t="str">
        <f aca="false">Raw_Data!E379</f>
        <v>no</v>
      </c>
      <c r="G379" s="3" t="n">
        <f aca="false">Raw_Data!F379</f>
        <v>393</v>
      </c>
      <c r="H379" s="3" t="str">
        <f aca="false">Raw_Data!G379</f>
        <v>yes</v>
      </c>
      <c r="I379" s="3" t="str">
        <f aca="false">Raw_Data!H379</f>
        <v>no</v>
      </c>
      <c r="J379" s="2" t="n">
        <f aca="false">IF(F379="yes",1,0)</f>
        <v>0</v>
      </c>
      <c r="K379" s="2" t="n">
        <f aca="false">IF(H379="yes",1,0)</f>
        <v>1</v>
      </c>
      <c r="L379" s="2" t="n">
        <f aca="false">IF(I379="yes",1,0)</f>
        <v>0</v>
      </c>
      <c r="M379" s="2" t="n">
        <f aca="false">IF(G379&lt;0,1,0)</f>
        <v>0</v>
      </c>
      <c r="N379" s="2" t="str">
        <f aca="false">_xlfn.IFS(B379&lt;30,"Under 30",B379&lt;40,"30-39",B379&lt;50,"40-49",B379&lt;60,"50-59",TRUE(),"60+")</f>
        <v>30-39</v>
      </c>
      <c r="O379" s="2" t="str">
        <f aca="false">_xlfn.IFS(G379&lt;0,"1 Negative",G379=0,"2 Zero",G379&lt;=500,"3 1-500",G379&lt;=2000,"4 501-2000",TRUE(),"5 Above 2000")</f>
        <v>3 1-500</v>
      </c>
      <c r="P379" s="2" t="n">
        <f aca="false">Lookups!$B$2*M379+Lookups!$B$3*L379</f>
        <v>0</v>
      </c>
      <c r="Q379" s="2" t="str">
        <f aca="false">INDEX(Lookups!$E$2:$E$5,MATCH(P379,Lookups!$D$2:$D$5,0))</f>
        <v>Low</v>
      </c>
    </row>
    <row r="380" customFormat="false" ht="15" hidden="false" customHeight="false" outlineLevel="0" collapsed="false">
      <c r="A380" s="3" t="n">
        <v>379</v>
      </c>
      <c r="B380" s="3" t="n">
        <f aca="false">Raw_Data!A380</f>
        <v>53</v>
      </c>
      <c r="C380" s="3" t="str">
        <f aca="false">SUBSTITUTE(Raw_Data!B380,".","")</f>
        <v>technician</v>
      </c>
      <c r="D380" s="3" t="str">
        <f aca="false">Raw_Data!C380</f>
        <v>divorced</v>
      </c>
      <c r="E380" s="3" t="str">
        <f aca="false">Raw_Data!D380</f>
        <v>primary</v>
      </c>
      <c r="F380" s="3" t="str">
        <f aca="false">Raw_Data!E380</f>
        <v>no</v>
      </c>
      <c r="G380" s="3" t="n">
        <f aca="false">Raw_Data!F380</f>
        <v>7290</v>
      </c>
      <c r="H380" s="3" t="str">
        <f aca="false">Raw_Data!G380</f>
        <v>yes</v>
      </c>
      <c r="I380" s="3" t="str">
        <f aca="false">Raw_Data!H380</f>
        <v>no</v>
      </c>
      <c r="J380" s="2" t="n">
        <f aca="false">IF(F380="yes",1,0)</f>
        <v>0</v>
      </c>
      <c r="K380" s="2" t="n">
        <f aca="false">IF(H380="yes",1,0)</f>
        <v>1</v>
      </c>
      <c r="L380" s="2" t="n">
        <f aca="false">IF(I380="yes",1,0)</f>
        <v>0</v>
      </c>
      <c r="M380" s="2" t="n">
        <f aca="false">IF(G380&lt;0,1,0)</f>
        <v>0</v>
      </c>
      <c r="N380" s="2" t="str">
        <f aca="false">_xlfn.IFS(B380&lt;30,"Under 30",B380&lt;40,"30-39",B380&lt;50,"40-49",B380&lt;60,"50-59",TRUE(),"60+")</f>
        <v>50-59</v>
      </c>
      <c r="O380" s="2" t="str">
        <f aca="false">_xlfn.IFS(G380&lt;0,"1 Negative",G380=0,"2 Zero",G380&lt;=500,"3 1-500",G380&lt;=2000,"4 501-2000",TRUE(),"5 Above 2000")</f>
        <v>5 Above 2000</v>
      </c>
      <c r="P380" s="2" t="n">
        <f aca="false">Lookups!$B$2*M380+Lookups!$B$3*L380</f>
        <v>0</v>
      </c>
      <c r="Q380" s="2" t="str">
        <f aca="false">INDEX(Lookups!$E$2:$E$5,MATCH(P380,Lookups!$D$2:$D$5,0))</f>
        <v>Low</v>
      </c>
    </row>
    <row r="381" customFormat="false" ht="15" hidden="false" customHeight="false" outlineLevel="0" collapsed="false">
      <c r="A381" s="3" t="n">
        <v>380</v>
      </c>
      <c r="B381" s="3" t="n">
        <f aca="false">Raw_Data!A381</f>
        <v>27</v>
      </c>
      <c r="C381" s="3" t="str">
        <f aca="false">SUBSTITUTE(Raw_Data!B381,".","")</f>
        <v>services</v>
      </c>
      <c r="D381" s="3" t="str">
        <f aca="false">Raw_Data!C381</f>
        <v>single</v>
      </c>
      <c r="E381" s="3" t="str">
        <f aca="false">Raw_Data!D381</f>
        <v>secondary</v>
      </c>
      <c r="F381" s="3" t="str">
        <f aca="false">Raw_Data!E381</f>
        <v>no</v>
      </c>
      <c r="G381" s="3" t="n">
        <f aca="false">Raw_Data!F381</f>
        <v>468</v>
      </c>
      <c r="H381" s="3" t="str">
        <f aca="false">Raw_Data!G381</f>
        <v>yes</v>
      </c>
      <c r="I381" s="3" t="str">
        <f aca="false">Raw_Data!H381</f>
        <v>no</v>
      </c>
      <c r="J381" s="2" t="n">
        <f aca="false">IF(F381="yes",1,0)</f>
        <v>0</v>
      </c>
      <c r="K381" s="2" t="n">
        <f aca="false">IF(H381="yes",1,0)</f>
        <v>1</v>
      </c>
      <c r="L381" s="2" t="n">
        <f aca="false">IF(I381="yes",1,0)</f>
        <v>0</v>
      </c>
      <c r="M381" s="2" t="n">
        <f aca="false">IF(G381&lt;0,1,0)</f>
        <v>0</v>
      </c>
      <c r="N381" s="2" t="str">
        <f aca="false">_xlfn.IFS(B381&lt;30,"Under 30",B381&lt;40,"30-39",B381&lt;50,"40-49",B381&lt;60,"50-59",TRUE(),"60+")</f>
        <v>Under 30</v>
      </c>
      <c r="O381" s="2" t="str">
        <f aca="false">_xlfn.IFS(G381&lt;0,"1 Negative",G381=0,"2 Zero",G381&lt;=500,"3 1-500",G381&lt;=2000,"4 501-2000",TRUE(),"5 Above 2000")</f>
        <v>3 1-500</v>
      </c>
      <c r="P381" s="2" t="n">
        <f aca="false">Lookups!$B$2*M381+Lookups!$B$3*L381</f>
        <v>0</v>
      </c>
      <c r="Q381" s="2" t="str">
        <f aca="false">INDEX(Lookups!$E$2:$E$5,MATCH(P381,Lookups!$D$2:$D$5,0))</f>
        <v>Low</v>
      </c>
    </row>
    <row r="382" customFormat="false" ht="15" hidden="false" customHeight="false" outlineLevel="0" collapsed="false">
      <c r="A382" s="3" t="n">
        <v>381</v>
      </c>
      <c r="B382" s="3" t="n">
        <f aca="false">Raw_Data!A382</f>
        <v>39</v>
      </c>
      <c r="C382" s="3" t="str">
        <f aca="false">SUBSTITUTE(Raw_Data!B382,".","")</f>
        <v>blue-collar</v>
      </c>
      <c r="D382" s="3" t="str">
        <f aca="false">Raw_Data!C382</f>
        <v>married</v>
      </c>
      <c r="E382" s="3" t="str">
        <f aca="false">Raw_Data!D382</f>
        <v>secondary</v>
      </c>
      <c r="F382" s="3" t="str">
        <f aca="false">Raw_Data!E382</f>
        <v>no</v>
      </c>
      <c r="G382" s="3" t="n">
        <f aca="false">Raw_Data!F382</f>
        <v>0</v>
      </c>
      <c r="H382" s="3" t="str">
        <f aca="false">Raw_Data!G382</f>
        <v>yes</v>
      </c>
      <c r="I382" s="3" t="str">
        <f aca="false">Raw_Data!H382</f>
        <v>no</v>
      </c>
      <c r="J382" s="2" t="n">
        <f aca="false">IF(F382="yes",1,0)</f>
        <v>0</v>
      </c>
      <c r="K382" s="2" t="n">
        <f aca="false">IF(H382="yes",1,0)</f>
        <v>1</v>
      </c>
      <c r="L382" s="2" t="n">
        <f aca="false">IF(I382="yes",1,0)</f>
        <v>0</v>
      </c>
      <c r="M382" s="2" t="n">
        <f aca="false">IF(G382&lt;0,1,0)</f>
        <v>0</v>
      </c>
      <c r="N382" s="2" t="str">
        <f aca="false">_xlfn.IFS(B382&lt;30,"Under 30",B382&lt;40,"30-39",B382&lt;50,"40-49",B382&lt;60,"50-59",TRUE(),"60+")</f>
        <v>30-39</v>
      </c>
      <c r="O382" s="2" t="str">
        <f aca="false">_xlfn.IFS(G382&lt;0,"1 Negative",G382=0,"2 Zero",G382&lt;=500,"3 1-500",G382&lt;=2000,"4 501-2000",TRUE(),"5 Above 2000")</f>
        <v>2 Zero</v>
      </c>
      <c r="P382" s="2" t="n">
        <f aca="false">Lookups!$B$2*M382+Lookups!$B$3*L382</f>
        <v>0</v>
      </c>
      <c r="Q382" s="2" t="str">
        <f aca="false">INDEX(Lookups!$E$2:$E$5,MATCH(P382,Lookups!$D$2:$D$5,0))</f>
        <v>Low</v>
      </c>
    </row>
    <row r="383" customFormat="false" ht="15" hidden="false" customHeight="false" outlineLevel="0" collapsed="false">
      <c r="A383" s="3" t="n">
        <v>382</v>
      </c>
      <c r="B383" s="3" t="n">
        <f aca="false">Raw_Data!A383</f>
        <v>39</v>
      </c>
      <c r="C383" s="3" t="str">
        <f aca="false">SUBSTITUTE(Raw_Data!B383,".","")</f>
        <v>blue-collar</v>
      </c>
      <c r="D383" s="3" t="str">
        <f aca="false">Raw_Data!C383</f>
        <v>married</v>
      </c>
      <c r="E383" s="3" t="str">
        <f aca="false">Raw_Data!D383</f>
        <v>primary</v>
      </c>
      <c r="F383" s="3" t="str">
        <f aca="false">Raw_Data!E383</f>
        <v>no</v>
      </c>
      <c r="G383" s="3" t="n">
        <f aca="false">Raw_Data!F383</f>
        <v>3705</v>
      </c>
      <c r="H383" s="3" t="str">
        <f aca="false">Raw_Data!G383</f>
        <v>yes</v>
      </c>
      <c r="I383" s="3" t="str">
        <f aca="false">Raw_Data!H383</f>
        <v>no</v>
      </c>
      <c r="J383" s="2" t="n">
        <f aca="false">IF(F383="yes",1,0)</f>
        <v>0</v>
      </c>
      <c r="K383" s="2" t="n">
        <f aca="false">IF(H383="yes",1,0)</f>
        <v>1</v>
      </c>
      <c r="L383" s="2" t="n">
        <f aca="false">IF(I383="yes",1,0)</f>
        <v>0</v>
      </c>
      <c r="M383" s="2" t="n">
        <f aca="false">IF(G383&lt;0,1,0)</f>
        <v>0</v>
      </c>
      <c r="N383" s="2" t="str">
        <f aca="false">_xlfn.IFS(B383&lt;30,"Under 30",B383&lt;40,"30-39",B383&lt;50,"40-49",B383&lt;60,"50-59",TRUE(),"60+")</f>
        <v>30-39</v>
      </c>
      <c r="O383" s="2" t="str">
        <f aca="false">_xlfn.IFS(G383&lt;0,"1 Negative",G383=0,"2 Zero",G383&lt;=500,"3 1-500",G383&lt;=2000,"4 501-2000",TRUE(),"5 Above 2000")</f>
        <v>5 Above 2000</v>
      </c>
      <c r="P383" s="2" t="n">
        <f aca="false">Lookups!$B$2*M383+Lookups!$B$3*L383</f>
        <v>0</v>
      </c>
      <c r="Q383" s="2" t="str">
        <f aca="false">INDEX(Lookups!$E$2:$E$5,MATCH(P383,Lookups!$D$2:$D$5,0))</f>
        <v>Low</v>
      </c>
    </row>
    <row r="384" customFormat="false" ht="15" hidden="false" customHeight="false" outlineLevel="0" collapsed="false">
      <c r="A384" s="3" t="n">
        <v>383</v>
      </c>
      <c r="B384" s="3" t="n">
        <f aca="false">Raw_Data!A384</f>
        <v>59</v>
      </c>
      <c r="C384" s="3" t="str">
        <f aca="false">SUBSTITUTE(Raw_Data!B384,".","")</f>
        <v>retired</v>
      </c>
      <c r="D384" s="3" t="str">
        <f aca="false">Raw_Data!C384</f>
        <v>married</v>
      </c>
      <c r="E384" s="3" t="str">
        <f aca="false">Raw_Data!D384</f>
        <v>tertiary</v>
      </c>
      <c r="F384" s="3" t="str">
        <f aca="false">Raw_Data!E384</f>
        <v>no</v>
      </c>
      <c r="G384" s="3" t="n">
        <f aca="false">Raw_Data!F384</f>
        <v>9676</v>
      </c>
      <c r="H384" s="3" t="str">
        <f aca="false">Raw_Data!G384</f>
        <v>no</v>
      </c>
      <c r="I384" s="3" t="str">
        <f aca="false">Raw_Data!H384</f>
        <v>no</v>
      </c>
      <c r="J384" s="2" t="n">
        <f aca="false">IF(F384="yes",1,0)</f>
        <v>0</v>
      </c>
      <c r="K384" s="2" t="n">
        <f aca="false">IF(H384="yes",1,0)</f>
        <v>0</v>
      </c>
      <c r="L384" s="2" t="n">
        <f aca="false">IF(I384="yes",1,0)</f>
        <v>0</v>
      </c>
      <c r="M384" s="2" t="n">
        <f aca="false">IF(G384&lt;0,1,0)</f>
        <v>0</v>
      </c>
      <c r="N384" s="2" t="str">
        <f aca="false">_xlfn.IFS(B384&lt;30,"Under 30",B384&lt;40,"30-39",B384&lt;50,"40-49",B384&lt;60,"50-59",TRUE(),"60+")</f>
        <v>50-59</v>
      </c>
      <c r="O384" s="2" t="str">
        <f aca="false">_xlfn.IFS(G384&lt;0,"1 Negative",G384=0,"2 Zero",G384&lt;=500,"3 1-500",G384&lt;=2000,"4 501-2000",TRUE(),"5 Above 2000")</f>
        <v>5 Above 2000</v>
      </c>
      <c r="P384" s="2" t="n">
        <f aca="false">Lookups!$B$2*M384+Lookups!$B$3*L384</f>
        <v>0</v>
      </c>
      <c r="Q384" s="2" t="str">
        <f aca="false">INDEX(Lookups!$E$2:$E$5,MATCH(P384,Lookups!$D$2:$D$5,0))</f>
        <v>Low</v>
      </c>
    </row>
    <row r="385" customFormat="false" ht="15" hidden="false" customHeight="false" outlineLevel="0" collapsed="false">
      <c r="A385" s="3" t="n">
        <v>384</v>
      </c>
      <c r="B385" s="3" t="n">
        <f aca="false">Raw_Data!A385</f>
        <v>37</v>
      </c>
      <c r="C385" s="3" t="str">
        <f aca="false">SUBSTITUTE(Raw_Data!B385,".","")</f>
        <v>services</v>
      </c>
      <c r="D385" s="3" t="str">
        <f aca="false">Raw_Data!C385</f>
        <v>married</v>
      </c>
      <c r="E385" s="3" t="str">
        <f aca="false">Raw_Data!D385</f>
        <v>secondary</v>
      </c>
      <c r="F385" s="3" t="str">
        <f aca="false">Raw_Data!E385</f>
        <v>no</v>
      </c>
      <c r="G385" s="3" t="n">
        <f aca="false">Raw_Data!F385</f>
        <v>1328</v>
      </c>
      <c r="H385" s="3" t="str">
        <f aca="false">Raw_Data!G385</f>
        <v>yes</v>
      </c>
      <c r="I385" s="3" t="str">
        <f aca="false">Raw_Data!H385</f>
        <v>no</v>
      </c>
      <c r="J385" s="2" t="n">
        <f aca="false">IF(F385="yes",1,0)</f>
        <v>0</v>
      </c>
      <c r="K385" s="2" t="n">
        <f aca="false">IF(H385="yes",1,0)</f>
        <v>1</v>
      </c>
      <c r="L385" s="2" t="n">
        <f aca="false">IF(I385="yes",1,0)</f>
        <v>0</v>
      </c>
      <c r="M385" s="2" t="n">
        <f aca="false">IF(G385&lt;0,1,0)</f>
        <v>0</v>
      </c>
      <c r="N385" s="2" t="str">
        <f aca="false">_xlfn.IFS(B385&lt;30,"Under 30",B385&lt;40,"30-39",B385&lt;50,"40-49",B385&lt;60,"50-59",TRUE(),"60+")</f>
        <v>30-39</v>
      </c>
      <c r="O385" s="2" t="str">
        <f aca="false">_xlfn.IFS(G385&lt;0,"1 Negative",G385=0,"2 Zero",G385&lt;=500,"3 1-500",G385&lt;=2000,"4 501-2000",TRUE(),"5 Above 2000")</f>
        <v>4 501-2000</v>
      </c>
      <c r="P385" s="2" t="n">
        <f aca="false">Lookups!$B$2*M385+Lookups!$B$3*L385</f>
        <v>0</v>
      </c>
      <c r="Q385" s="2" t="str">
        <f aca="false">INDEX(Lookups!$E$2:$E$5,MATCH(P385,Lookups!$D$2:$D$5,0))</f>
        <v>Low</v>
      </c>
    </row>
    <row r="386" customFormat="false" ht="15" hidden="false" customHeight="false" outlineLevel="0" collapsed="false">
      <c r="A386" s="3" t="n">
        <v>385</v>
      </c>
      <c r="B386" s="3" t="n">
        <f aca="false">Raw_Data!A386</f>
        <v>41</v>
      </c>
      <c r="C386" s="3" t="str">
        <f aca="false">SUBSTITUTE(Raw_Data!B386,".","")</f>
        <v>blue-collar</v>
      </c>
      <c r="D386" s="3" t="str">
        <f aca="false">Raw_Data!C386</f>
        <v>married</v>
      </c>
      <c r="E386" s="3" t="str">
        <f aca="false">Raw_Data!D386</f>
        <v>primary</v>
      </c>
      <c r="F386" s="3" t="str">
        <f aca="false">Raw_Data!E386</f>
        <v>no</v>
      </c>
      <c r="G386" s="3" t="n">
        <f aca="false">Raw_Data!F386</f>
        <v>8</v>
      </c>
      <c r="H386" s="3" t="str">
        <f aca="false">Raw_Data!G386</f>
        <v>yes</v>
      </c>
      <c r="I386" s="3" t="str">
        <f aca="false">Raw_Data!H386</f>
        <v>no</v>
      </c>
      <c r="J386" s="2" t="n">
        <f aca="false">IF(F386="yes",1,0)</f>
        <v>0</v>
      </c>
      <c r="K386" s="2" t="n">
        <f aca="false">IF(H386="yes",1,0)</f>
        <v>1</v>
      </c>
      <c r="L386" s="2" t="n">
        <f aca="false">IF(I386="yes",1,0)</f>
        <v>0</v>
      </c>
      <c r="M386" s="2" t="n">
        <f aca="false">IF(G386&lt;0,1,0)</f>
        <v>0</v>
      </c>
      <c r="N386" s="2" t="str">
        <f aca="false">_xlfn.IFS(B386&lt;30,"Under 30",B386&lt;40,"30-39",B386&lt;50,"40-49",B386&lt;60,"50-59",TRUE(),"60+")</f>
        <v>40-49</v>
      </c>
      <c r="O386" s="2" t="str">
        <f aca="false">_xlfn.IFS(G386&lt;0,"1 Negative",G386=0,"2 Zero",G386&lt;=500,"3 1-500",G386&lt;=2000,"4 501-2000",TRUE(),"5 Above 2000")</f>
        <v>3 1-500</v>
      </c>
      <c r="P386" s="2" t="n">
        <f aca="false">Lookups!$B$2*M386+Lookups!$B$3*L386</f>
        <v>0</v>
      </c>
      <c r="Q386" s="2" t="str">
        <f aca="false">INDEX(Lookups!$E$2:$E$5,MATCH(P386,Lookups!$D$2:$D$5,0))</f>
        <v>Low</v>
      </c>
    </row>
    <row r="387" customFormat="false" ht="15" hidden="false" customHeight="false" outlineLevel="0" collapsed="false">
      <c r="A387" s="3" t="n">
        <v>386</v>
      </c>
      <c r="B387" s="3" t="n">
        <f aca="false">Raw_Data!A387</f>
        <v>45</v>
      </c>
      <c r="C387" s="3" t="str">
        <f aca="false">SUBSTITUTE(Raw_Data!B387,".","")</f>
        <v>blue-collar</v>
      </c>
      <c r="D387" s="3" t="str">
        <f aca="false">Raw_Data!C387</f>
        <v>married</v>
      </c>
      <c r="E387" s="3" t="str">
        <f aca="false">Raw_Data!D387</f>
        <v>primary</v>
      </c>
      <c r="F387" s="3" t="str">
        <f aca="false">Raw_Data!E387</f>
        <v>no</v>
      </c>
      <c r="G387" s="3" t="n">
        <f aca="false">Raw_Data!F387</f>
        <v>61</v>
      </c>
      <c r="H387" s="3" t="str">
        <f aca="false">Raw_Data!G387</f>
        <v>no</v>
      </c>
      <c r="I387" s="3" t="str">
        <f aca="false">Raw_Data!H387</f>
        <v>no</v>
      </c>
      <c r="J387" s="2" t="n">
        <f aca="false">IF(F387="yes",1,0)</f>
        <v>0</v>
      </c>
      <c r="K387" s="2" t="n">
        <f aca="false">IF(H387="yes",1,0)</f>
        <v>0</v>
      </c>
      <c r="L387" s="2" t="n">
        <f aca="false">IF(I387="yes",1,0)</f>
        <v>0</v>
      </c>
      <c r="M387" s="2" t="n">
        <f aca="false">IF(G387&lt;0,1,0)</f>
        <v>0</v>
      </c>
      <c r="N387" s="2" t="str">
        <f aca="false">_xlfn.IFS(B387&lt;30,"Under 30",B387&lt;40,"30-39",B387&lt;50,"40-49",B387&lt;60,"50-59",TRUE(),"60+")</f>
        <v>40-49</v>
      </c>
      <c r="O387" s="2" t="str">
        <f aca="false">_xlfn.IFS(G387&lt;0,"1 Negative",G387=0,"2 Zero",G387&lt;=500,"3 1-500",G387&lt;=2000,"4 501-2000",TRUE(),"5 Above 2000")</f>
        <v>3 1-500</v>
      </c>
      <c r="P387" s="2" t="n">
        <f aca="false">Lookups!$B$2*M387+Lookups!$B$3*L387</f>
        <v>0</v>
      </c>
      <c r="Q387" s="2" t="str">
        <f aca="false">INDEX(Lookups!$E$2:$E$5,MATCH(P387,Lookups!$D$2:$D$5,0))</f>
        <v>Low</v>
      </c>
    </row>
    <row r="388" customFormat="false" ht="15" hidden="false" customHeight="false" outlineLevel="0" collapsed="false">
      <c r="A388" s="3" t="n">
        <v>387</v>
      </c>
      <c r="B388" s="3" t="n">
        <f aca="false">Raw_Data!A388</f>
        <v>48</v>
      </c>
      <c r="C388" s="3" t="str">
        <f aca="false">SUBSTITUTE(Raw_Data!B388,".","")</f>
        <v>management</v>
      </c>
      <c r="D388" s="3" t="str">
        <f aca="false">Raw_Data!C388</f>
        <v>married</v>
      </c>
      <c r="E388" s="3" t="str">
        <f aca="false">Raw_Data!D388</f>
        <v>tertiary</v>
      </c>
      <c r="F388" s="3" t="str">
        <f aca="false">Raw_Data!E388</f>
        <v>no</v>
      </c>
      <c r="G388" s="3" t="n">
        <f aca="false">Raw_Data!F388</f>
        <v>6613</v>
      </c>
      <c r="H388" s="3" t="str">
        <f aca="false">Raw_Data!G388</f>
        <v>no</v>
      </c>
      <c r="I388" s="3" t="str">
        <f aca="false">Raw_Data!H388</f>
        <v>no</v>
      </c>
      <c r="J388" s="2" t="n">
        <f aca="false">IF(F388="yes",1,0)</f>
        <v>0</v>
      </c>
      <c r="K388" s="2" t="n">
        <f aca="false">IF(H388="yes",1,0)</f>
        <v>0</v>
      </c>
      <c r="L388" s="2" t="n">
        <f aca="false">IF(I388="yes",1,0)</f>
        <v>0</v>
      </c>
      <c r="M388" s="2" t="n">
        <f aca="false">IF(G388&lt;0,1,0)</f>
        <v>0</v>
      </c>
      <c r="N388" s="2" t="str">
        <f aca="false">_xlfn.IFS(B388&lt;30,"Under 30",B388&lt;40,"30-39",B388&lt;50,"40-49",B388&lt;60,"50-59",TRUE(),"60+")</f>
        <v>40-49</v>
      </c>
      <c r="O388" s="2" t="str">
        <f aca="false">_xlfn.IFS(G388&lt;0,"1 Negative",G388=0,"2 Zero",G388&lt;=500,"3 1-500",G388&lt;=2000,"4 501-2000",TRUE(),"5 Above 2000")</f>
        <v>5 Above 2000</v>
      </c>
      <c r="P388" s="2" t="n">
        <f aca="false">Lookups!$B$2*M388+Lookups!$B$3*L388</f>
        <v>0</v>
      </c>
      <c r="Q388" s="2" t="str">
        <f aca="false">INDEX(Lookups!$E$2:$E$5,MATCH(P388,Lookups!$D$2:$D$5,0))</f>
        <v>Low</v>
      </c>
    </row>
    <row r="389" customFormat="false" ht="15" hidden="false" customHeight="false" outlineLevel="0" collapsed="false">
      <c r="A389" s="3" t="n">
        <v>388</v>
      </c>
      <c r="B389" s="3" t="n">
        <f aca="false">Raw_Data!A389</f>
        <v>48</v>
      </c>
      <c r="C389" s="3" t="str">
        <f aca="false">SUBSTITUTE(Raw_Data!B389,".","")</f>
        <v>technician</v>
      </c>
      <c r="D389" s="3" t="str">
        <f aca="false">Raw_Data!C389</f>
        <v>married</v>
      </c>
      <c r="E389" s="3" t="str">
        <f aca="false">Raw_Data!D389</f>
        <v>secondary</v>
      </c>
      <c r="F389" s="3" t="str">
        <f aca="false">Raw_Data!E389</f>
        <v>no</v>
      </c>
      <c r="G389" s="3" t="n">
        <f aca="false">Raw_Data!F389</f>
        <v>302</v>
      </c>
      <c r="H389" s="3" t="str">
        <f aca="false">Raw_Data!G389</f>
        <v>yes</v>
      </c>
      <c r="I389" s="3" t="str">
        <f aca="false">Raw_Data!H389</f>
        <v>no</v>
      </c>
      <c r="J389" s="2" t="n">
        <f aca="false">IF(F389="yes",1,0)</f>
        <v>0</v>
      </c>
      <c r="K389" s="2" t="n">
        <f aca="false">IF(H389="yes",1,0)</f>
        <v>1</v>
      </c>
      <c r="L389" s="2" t="n">
        <f aca="false">IF(I389="yes",1,0)</f>
        <v>0</v>
      </c>
      <c r="M389" s="2" t="n">
        <f aca="false">IF(G389&lt;0,1,0)</f>
        <v>0</v>
      </c>
      <c r="N389" s="2" t="str">
        <f aca="false">_xlfn.IFS(B389&lt;30,"Under 30",B389&lt;40,"30-39",B389&lt;50,"40-49",B389&lt;60,"50-59",TRUE(),"60+")</f>
        <v>40-49</v>
      </c>
      <c r="O389" s="2" t="str">
        <f aca="false">_xlfn.IFS(G389&lt;0,"1 Negative",G389=0,"2 Zero",G389&lt;=500,"3 1-500",G389&lt;=2000,"4 501-2000",TRUE(),"5 Above 2000")</f>
        <v>3 1-500</v>
      </c>
      <c r="P389" s="2" t="n">
        <f aca="false">Lookups!$B$2*M389+Lookups!$B$3*L389</f>
        <v>0</v>
      </c>
      <c r="Q389" s="2" t="str">
        <f aca="false">INDEX(Lookups!$E$2:$E$5,MATCH(P389,Lookups!$D$2:$D$5,0))</f>
        <v>Low</v>
      </c>
    </row>
    <row r="390" customFormat="false" ht="15" hidden="false" customHeight="false" outlineLevel="0" collapsed="false">
      <c r="A390" s="3" t="n">
        <v>389</v>
      </c>
      <c r="B390" s="3" t="n">
        <f aca="false">Raw_Data!A390</f>
        <v>32</v>
      </c>
      <c r="C390" s="3" t="str">
        <f aca="false">SUBSTITUTE(Raw_Data!B390,".","")</f>
        <v>blue-collar</v>
      </c>
      <c r="D390" s="3" t="str">
        <f aca="false">Raw_Data!C390</f>
        <v>married</v>
      </c>
      <c r="E390" s="3" t="str">
        <f aca="false">Raw_Data!D390</f>
        <v>secondary</v>
      </c>
      <c r="F390" s="3" t="str">
        <f aca="false">Raw_Data!E390</f>
        <v>no</v>
      </c>
      <c r="G390" s="3" t="n">
        <f aca="false">Raw_Data!F390</f>
        <v>1005</v>
      </c>
      <c r="H390" s="3" t="str">
        <f aca="false">Raw_Data!G390</f>
        <v>no</v>
      </c>
      <c r="I390" s="3" t="str">
        <f aca="false">Raw_Data!H390</f>
        <v>no</v>
      </c>
      <c r="J390" s="2" t="n">
        <f aca="false">IF(F390="yes",1,0)</f>
        <v>0</v>
      </c>
      <c r="K390" s="2" t="n">
        <f aca="false">IF(H390="yes",1,0)</f>
        <v>0</v>
      </c>
      <c r="L390" s="2" t="n">
        <f aca="false">IF(I390="yes",1,0)</f>
        <v>0</v>
      </c>
      <c r="M390" s="2" t="n">
        <f aca="false">IF(G390&lt;0,1,0)</f>
        <v>0</v>
      </c>
      <c r="N390" s="2" t="str">
        <f aca="false">_xlfn.IFS(B390&lt;30,"Under 30",B390&lt;40,"30-39",B390&lt;50,"40-49",B390&lt;60,"50-59",TRUE(),"60+")</f>
        <v>30-39</v>
      </c>
      <c r="O390" s="2" t="str">
        <f aca="false">_xlfn.IFS(G390&lt;0,"1 Negative",G390=0,"2 Zero",G390&lt;=500,"3 1-500",G390&lt;=2000,"4 501-2000",TRUE(),"5 Above 2000")</f>
        <v>4 501-2000</v>
      </c>
      <c r="P390" s="2" t="n">
        <f aca="false">Lookups!$B$2*M390+Lookups!$B$3*L390</f>
        <v>0</v>
      </c>
      <c r="Q390" s="2" t="str">
        <f aca="false">INDEX(Lookups!$E$2:$E$5,MATCH(P390,Lookups!$D$2:$D$5,0))</f>
        <v>Low</v>
      </c>
    </row>
    <row r="391" customFormat="false" ht="15" hidden="false" customHeight="false" outlineLevel="0" collapsed="false">
      <c r="A391" s="3" t="n">
        <v>390</v>
      </c>
      <c r="B391" s="3" t="n">
        <f aca="false">Raw_Data!A391</f>
        <v>35</v>
      </c>
      <c r="C391" s="3" t="str">
        <f aca="false">SUBSTITUTE(Raw_Data!B391,".","")</f>
        <v>services</v>
      </c>
      <c r="D391" s="3" t="str">
        <f aca="false">Raw_Data!C391</f>
        <v>married</v>
      </c>
      <c r="E391" s="3" t="str">
        <f aca="false">Raw_Data!D391</f>
        <v>secondary</v>
      </c>
      <c r="F391" s="3" t="str">
        <f aca="false">Raw_Data!E391</f>
        <v>no</v>
      </c>
      <c r="G391" s="3" t="n">
        <f aca="false">Raw_Data!F391</f>
        <v>109</v>
      </c>
      <c r="H391" s="3" t="str">
        <f aca="false">Raw_Data!G391</f>
        <v>yes</v>
      </c>
      <c r="I391" s="3" t="str">
        <f aca="false">Raw_Data!H391</f>
        <v>no</v>
      </c>
      <c r="J391" s="2" t="n">
        <f aca="false">IF(F391="yes",1,0)</f>
        <v>0</v>
      </c>
      <c r="K391" s="2" t="n">
        <f aca="false">IF(H391="yes",1,0)</f>
        <v>1</v>
      </c>
      <c r="L391" s="2" t="n">
        <f aca="false">IF(I391="yes",1,0)</f>
        <v>0</v>
      </c>
      <c r="M391" s="2" t="n">
        <f aca="false">IF(G391&lt;0,1,0)</f>
        <v>0</v>
      </c>
      <c r="N391" s="2" t="str">
        <f aca="false">_xlfn.IFS(B391&lt;30,"Under 30",B391&lt;40,"30-39",B391&lt;50,"40-49",B391&lt;60,"50-59",TRUE(),"60+")</f>
        <v>30-39</v>
      </c>
      <c r="O391" s="2" t="str">
        <f aca="false">_xlfn.IFS(G391&lt;0,"1 Negative",G391=0,"2 Zero",G391&lt;=500,"3 1-500",G391&lt;=2000,"4 501-2000",TRUE(),"5 Above 2000")</f>
        <v>3 1-500</v>
      </c>
      <c r="P391" s="2" t="n">
        <f aca="false">Lookups!$B$2*M391+Lookups!$B$3*L391</f>
        <v>0</v>
      </c>
      <c r="Q391" s="2" t="str">
        <f aca="false">INDEX(Lookups!$E$2:$E$5,MATCH(P391,Lookups!$D$2:$D$5,0))</f>
        <v>Low</v>
      </c>
    </row>
    <row r="392" customFormat="false" ht="15" hidden="false" customHeight="false" outlineLevel="0" collapsed="false">
      <c r="A392" s="3" t="n">
        <v>391</v>
      </c>
      <c r="B392" s="3" t="n">
        <f aca="false">Raw_Data!A392</f>
        <v>33</v>
      </c>
      <c r="C392" s="3" t="str">
        <f aca="false">SUBSTITUTE(Raw_Data!B392,".","")</f>
        <v>management</v>
      </c>
      <c r="D392" s="3" t="str">
        <f aca="false">Raw_Data!C392</f>
        <v>single</v>
      </c>
      <c r="E392" s="3" t="str">
        <f aca="false">Raw_Data!D392</f>
        <v>tertiary</v>
      </c>
      <c r="F392" s="3" t="str">
        <f aca="false">Raw_Data!E392</f>
        <v>no</v>
      </c>
      <c r="G392" s="3" t="n">
        <f aca="false">Raw_Data!F392</f>
        <v>1240</v>
      </c>
      <c r="H392" s="3" t="str">
        <f aca="false">Raw_Data!G392</f>
        <v>yes</v>
      </c>
      <c r="I392" s="3" t="str">
        <f aca="false">Raw_Data!H392</f>
        <v>no</v>
      </c>
      <c r="J392" s="2" t="n">
        <f aca="false">IF(F392="yes",1,0)</f>
        <v>0</v>
      </c>
      <c r="K392" s="2" t="n">
        <f aca="false">IF(H392="yes",1,0)</f>
        <v>1</v>
      </c>
      <c r="L392" s="2" t="n">
        <f aca="false">IF(I392="yes",1,0)</f>
        <v>0</v>
      </c>
      <c r="M392" s="2" t="n">
        <f aca="false">IF(G392&lt;0,1,0)</f>
        <v>0</v>
      </c>
      <c r="N392" s="2" t="str">
        <f aca="false">_xlfn.IFS(B392&lt;30,"Under 30",B392&lt;40,"30-39",B392&lt;50,"40-49",B392&lt;60,"50-59",TRUE(),"60+")</f>
        <v>30-39</v>
      </c>
      <c r="O392" s="2" t="str">
        <f aca="false">_xlfn.IFS(G392&lt;0,"1 Negative",G392=0,"2 Zero",G392&lt;=500,"3 1-500",G392&lt;=2000,"4 501-2000",TRUE(),"5 Above 2000")</f>
        <v>4 501-2000</v>
      </c>
      <c r="P392" s="2" t="n">
        <f aca="false">Lookups!$B$2*M392+Lookups!$B$3*L392</f>
        <v>0</v>
      </c>
      <c r="Q392" s="2" t="str">
        <f aca="false">INDEX(Lookups!$E$2:$E$5,MATCH(P392,Lookups!$D$2:$D$5,0))</f>
        <v>Low</v>
      </c>
    </row>
    <row r="393" customFormat="false" ht="15" hidden="false" customHeight="false" outlineLevel="0" collapsed="false">
      <c r="A393" s="3" t="n">
        <v>392</v>
      </c>
      <c r="B393" s="3" t="n">
        <f aca="false">Raw_Data!A393</f>
        <v>28</v>
      </c>
      <c r="C393" s="3" t="str">
        <f aca="false">SUBSTITUTE(Raw_Data!B393,".","")</f>
        <v>blue-collar</v>
      </c>
      <c r="D393" s="3" t="str">
        <f aca="false">Raw_Data!C393</f>
        <v>single</v>
      </c>
      <c r="E393" s="3" t="str">
        <f aca="false">Raw_Data!D393</f>
        <v>primary</v>
      </c>
      <c r="F393" s="3" t="str">
        <f aca="false">Raw_Data!E393</f>
        <v>no</v>
      </c>
      <c r="G393" s="3" t="n">
        <f aca="false">Raw_Data!F393</f>
        <v>0</v>
      </c>
      <c r="H393" s="3" t="str">
        <f aca="false">Raw_Data!G393</f>
        <v>yes</v>
      </c>
      <c r="I393" s="3" t="str">
        <f aca="false">Raw_Data!H393</f>
        <v>yes</v>
      </c>
      <c r="J393" s="2" t="n">
        <f aca="false">IF(F393="yes",1,0)</f>
        <v>0</v>
      </c>
      <c r="K393" s="2" t="n">
        <f aca="false">IF(H393="yes",1,0)</f>
        <v>1</v>
      </c>
      <c r="L393" s="2" t="n">
        <f aca="false">IF(I393="yes",1,0)</f>
        <v>1</v>
      </c>
      <c r="M393" s="2" t="n">
        <f aca="false">IF(G393&lt;0,1,0)</f>
        <v>0</v>
      </c>
      <c r="N393" s="2" t="str">
        <f aca="false">_xlfn.IFS(B393&lt;30,"Under 30",B393&lt;40,"30-39",B393&lt;50,"40-49",B393&lt;60,"50-59",TRUE(),"60+")</f>
        <v>Under 30</v>
      </c>
      <c r="O393" s="2" t="str">
        <f aca="false">_xlfn.IFS(G393&lt;0,"1 Negative",G393=0,"2 Zero",G393&lt;=500,"3 1-500",G393&lt;=2000,"4 501-2000",TRUE(),"5 Above 2000")</f>
        <v>2 Zero</v>
      </c>
      <c r="P393" s="2" t="n">
        <f aca="false">Lookups!$B$2*M393+Lookups!$B$3*L393</f>
        <v>1</v>
      </c>
      <c r="Q393" s="2" t="str">
        <f aca="false">INDEX(Lookups!$E$2:$E$5,MATCH(P393,Lookups!$D$2:$D$5,0))</f>
        <v>Medium</v>
      </c>
    </row>
    <row r="394" customFormat="false" ht="15" hidden="false" customHeight="false" outlineLevel="0" collapsed="false">
      <c r="A394" s="3" t="n">
        <v>393</v>
      </c>
      <c r="B394" s="3" t="n">
        <f aca="false">Raw_Data!A394</f>
        <v>64</v>
      </c>
      <c r="C394" s="3" t="str">
        <f aca="false">SUBSTITUTE(Raw_Data!B394,".","")</f>
        <v>retired</v>
      </c>
      <c r="D394" s="3" t="str">
        <f aca="false">Raw_Data!C394</f>
        <v>married</v>
      </c>
      <c r="E394" s="3" t="str">
        <f aca="false">Raw_Data!D394</f>
        <v>unknown</v>
      </c>
      <c r="F394" s="3" t="str">
        <f aca="false">Raw_Data!E394</f>
        <v>no</v>
      </c>
      <c r="G394" s="3" t="n">
        <f aca="false">Raw_Data!F394</f>
        <v>2923</v>
      </c>
      <c r="H394" s="3" t="str">
        <f aca="false">Raw_Data!G394</f>
        <v>no</v>
      </c>
      <c r="I394" s="3" t="str">
        <f aca="false">Raw_Data!H394</f>
        <v>no</v>
      </c>
      <c r="J394" s="2" t="n">
        <f aca="false">IF(F394="yes",1,0)</f>
        <v>0</v>
      </c>
      <c r="K394" s="2" t="n">
        <f aca="false">IF(H394="yes",1,0)</f>
        <v>0</v>
      </c>
      <c r="L394" s="2" t="n">
        <f aca="false">IF(I394="yes",1,0)</f>
        <v>0</v>
      </c>
      <c r="M394" s="2" t="n">
        <f aca="false">IF(G394&lt;0,1,0)</f>
        <v>0</v>
      </c>
      <c r="N394" s="2" t="str">
        <f aca="false">_xlfn.IFS(B394&lt;30,"Under 30",B394&lt;40,"30-39",B394&lt;50,"40-49",B394&lt;60,"50-59",TRUE(),"60+")</f>
        <v>60+</v>
      </c>
      <c r="O394" s="2" t="str">
        <f aca="false">_xlfn.IFS(G394&lt;0,"1 Negative",G394=0,"2 Zero",G394&lt;=500,"3 1-500",G394&lt;=2000,"4 501-2000",TRUE(),"5 Above 2000")</f>
        <v>5 Above 2000</v>
      </c>
      <c r="P394" s="2" t="n">
        <f aca="false">Lookups!$B$2*M394+Lookups!$B$3*L394</f>
        <v>0</v>
      </c>
      <c r="Q394" s="2" t="str">
        <f aca="false">INDEX(Lookups!$E$2:$E$5,MATCH(P394,Lookups!$D$2:$D$5,0))</f>
        <v>Low</v>
      </c>
    </row>
    <row r="395" customFormat="false" ht="15" hidden="false" customHeight="false" outlineLevel="0" collapsed="false">
      <c r="A395" s="3" t="n">
        <v>394</v>
      </c>
      <c r="B395" s="3" t="n">
        <f aca="false">Raw_Data!A395</f>
        <v>35</v>
      </c>
      <c r="C395" s="3" t="str">
        <f aca="false">SUBSTITUTE(Raw_Data!B395,".","")</f>
        <v>technician</v>
      </c>
      <c r="D395" s="3" t="str">
        <f aca="false">Raw_Data!C395</f>
        <v>married</v>
      </c>
      <c r="E395" s="3" t="str">
        <f aca="false">Raw_Data!D395</f>
        <v>secondary</v>
      </c>
      <c r="F395" s="3" t="str">
        <f aca="false">Raw_Data!E395</f>
        <v>no</v>
      </c>
      <c r="G395" s="3" t="n">
        <f aca="false">Raw_Data!F395</f>
        <v>0</v>
      </c>
      <c r="H395" s="3" t="str">
        <f aca="false">Raw_Data!G395</f>
        <v>no</v>
      </c>
      <c r="I395" s="3" t="str">
        <f aca="false">Raw_Data!H395</f>
        <v>no</v>
      </c>
      <c r="J395" s="2" t="n">
        <f aca="false">IF(F395="yes",1,0)</f>
        <v>0</v>
      </c>
      <c r="K395" s="2" t="n">
        <f aca="false">IF(H395="yes",1,0)</f>
        <v>0</v>
      </c>
      <c r="L395" s="2" t="n">
        <f aca="false">IF(I395="yes",1,0)</f>
        <v>0</v>
      </c>
      <c r="M395" s="2" t="n">
        <f aca="false">IF(G395&lt;0,1,0)</f>
        <v>0</v>
      </c>
      <c r="N395" s="2" t="str">
        <f aca="false">_xlfn.IFS(B395&lt;30,"Under 30",B395&lt;40,"30-39",B395&lt;50,"40-49",B395&lt;60,"50-59",TRUE(),"60+")</f>
        <v>30-39</v>
      </c>
      <c r="O395" s="2" t="str">
        <f aca="false">_xlfn.IFS(G395&lt;0,"1 Negative",G395=0,"2 Zero",G395&lt;=500,"3 1-500",G395&lt;=2000,"4 501-2000",TRUE(),"5 Above 2000")</f>
        <v>2 Zero</v>
      </c>
      <c r="P395" s="2" t="n">
        <f aca="false">Lookups!$B$2*M395+Lookups!$B$3*L395</f>
        <v>0</v>
      </c>
      <c r="Q395" s="2" t="str">
        <f aca="false">INDEX(Lookups!$E$2:$E$5,MATCH(P395,Lookups!$D$2:$D$5,0))</f>
        <v>Low</v>
      </c>
    </row>
    <row r="396" customFormat="false" ht="15" hidden="false" customHeight="false" outlineLevel="0" collapsed="false">
      <c r="A396" s="3" t="n">
        <v>395</v>
      </c>
      <c r="B396" s="3" t="n">
        <f aca="false">Raw_Data!A396</f>
        <v>33</v>
      </c>
      <c r="C396" s="3" t="str">
        <f aca="false">SUBSTITUTE(Raw_Data!B396,".","")</f>
        <v>blue-collar</v>
      </c>
      <c r="D396" s="3" t="str">
        <f aca="false">Raw_Data!C396</f>
        <v>married</v>
      </c>
      <c r="E396" s="3" t="str">
        <f aca="false">Raw_Data!D396</f>
        <v>secondary</v>
      </c>
      <c r="F396" s="3" t="str">
        <f aca="false">Raw_Data!E396</f>
        <v>no</v>
      </c>
      <c r="G396" s="3" t="n">
        <f aca="false">Raw_Data!F396</f>
        <v>43</v>
      </c>
      <c r="H396" s="3" t="str">
        <f aca="false">Raw_Data!G396</f>
        <v>yes</v>
      </c>
      <c r="I396" s="3" t="str">
        <f aca="false">Raw_Data!H396</f>
        <v>no</v>
      </c>
      <c r="J396" s="2" t="n">
        <f aca="false">IF(F396="yes",1,0)</f>
        <v>0</v>
      </c>
      <c r="K396" s="2" t="n">
        <f aca="false">IF(H396="yes",1,0)</f>
        <v>1</v>
      </c>
      <c r="L396" s="2" t="n">
        <f aca="false">IF(I396="yes",1,0)</f>
        <v>0</v>
      </c>
      <c r="M396" s="2" t="n">
        <f aca="false">IF(G396&lt;0,1,0)</f>
        <v>0</v>
      </c>
      <c r="N396" s="2" t="str">
        <f aca="false">_xlfn.IFS(B396&lt;30,"Under 30",B396&lt;40,"30-39",B396&lt;50,"40-49",B396&lt;60,"50-59",TRUE(),"60+")</f>
        <v>30-39</v>
      </c>
      <c r="O396" s="2" t="str">
        <f aca="false">_xlfn.IFS(G396&lt;0,"1 Negative",G396=0,"2 Zero",G396&lt;=500,"3 1-500",G396&lt;=2000,"4 501-2000",TRUE(),"5 Above 2000")</f>
        <v>3 1-500</v>
      </c>
      <c r="P396" s="2" t="n">
        <f aca="false">Lookups!$B$2*M396+Lookups!$B$3*L396</f>
        <v>0</v>
      </c>
      <c r="Q396" s="2" t="str">
        <f aca="false">INDEX(Lookups!$E$2:$E$5,MATCH(P396,Lookups!$D$2:$D$5,0))</f>
        <v>Low</v>
      </c>
    </row>
    <row r="397" customFormat="false" ht="15" hidden="false" customHeight="false" outlineLevel="0" collapsed="false">
      <c r="A397" s="3" t="n">
        <v>396</v>
      </c>
      <c r="B397" s="3" t="n">
        <f aca="false">Raw_Data!A397</f>
        <v>41</v>
      </c>
      <c r="C397" s="3" t="str">
        <f aca="false">SUBSTITUTE(Raw_Data!B397,".","")</f>
        <v>technician</v>
      </c>
      <c r="D397" s="3" t="str">
        <f aca="false">Raw_Data!C397</f>
        <v>married</v>
      </c>
      <c r="E397" s="3" t="str">
        <f aca="false">Raw_Data!D397</f>
        <v>secondary</v>
      </c>
      <c r="F397" s="3" t="str">
        <f aca="false">Raw_Data!E397</f>
        <v>no</v>
      </c>
      <c r="G397" s="3" t="n">
        <f aca="false">Raw_Data!F397</f>
        <v>288</v>
      </c>
      <c r="H397" s="3" t="str">
        <f aca="false">Raw_Data!G397</f>
        <v>yes</v>
      </c>
      <c r="I397" s="3" t="str">
        <f aca="false">Raw_Data!H397</f>
        <v>no</v>
      </c>
      <c r="J397" s="2" t="n">
        <f aca="false">IF(F397="yes",1,0)</f>
        <v>0</v>
      </c>
      <c r="K397" s="2" t="n">
        <f aca="false">IF(H397="yes",1,0)</f>
        <v>1</v>
      </c>
      <c r="L397" s="2" t="n">
        <f aca="false">IF(I397="yes",1,0)</f>
        <v>0</v>
      </c>
      <c r="M397" s="2" t="n">
        <f aca="false">IF(G397&lt;0,1,0)</f>
        <v>0</v>
      </c>
      <c r="N397" s="2" t="str">
        <f aca="false">_xlfn.IFS(B397&lt;30,"Under 30",B397&lt;40,"30-39",B397&lt;50,"40-49",B397&lt;60,"50-59",TRUE(),"60+")</f>
        <v>40-49</v>
      </c>
      <c r="O397" s="2" t="str">
        <f aca="false">_xlfn.IFS(G397&lt;0,"1 Negative",G397=0,"2 Zero",G397&lt;=500,"3 1-500",G397&lt;=2000,"4 501-2000",TRUE(),"5 Above 2000")</f>
        <v>3 1-500</v>
      </c>
      <c r="P397" s="2" t="n">
        <f aca="false">Lookups!$B$2*M397+Lookups!$B$3*L397</f>
        <v>0</v>
      </c>
      <c r="Q397" s="2" t="str">
        <f aca="false">INDEX(Lookups!$E$2:$E$5,MATCH(P397,Lookups!$D$2:$D$5,0))</f>
        <v>Low</v>
      </c>
    </row>
    <row r="398" customFormat="false" ht="15" hidden="false" customHeight="false" outlineLevel="0" collapsed="false">
      <c r="A398" s="3" t="n">
        <v>397</v>
      </c>
      <c r="B398" s="3" t="n">
        <f aca="false">Raw_Data!A398</f>
        <v>34</v>
      </c>
      <c r="C398" s="3" t="str">
        <f aca="false">SUBSTITUTE(Raw_Data!B398,".","")</f>
        <v>admin</v>
      </c>
      <c r="D398" s="3" t="str">
        <f aca="false">Raw_Data!C398</f>
        <v>married</v>
      </c>
      <c r="E398" s="3" t="str">
        <f aca="false">Raw_Data!D398</f>
        <v>secondary</v>
      </c>
      <c r="F398" s="3" t="str">
        <f aca="false">Raw_Data!E398</f>
        <v>no</v>
      </c>
      <c r="G398" s="3" t="n">
        <f aca="false">Raw_Data!F398</f>
        <v>613</v>
      </c>
      <c r="H398" s="3" t="str">
        <f aca="false">Raw_Data!G398</f>
        <v>yes</v>
      </c>
      <c r="I398" s="3" t="str">
        <f aca="false">Raw_Data!H398</f>
        <v>no</v>
      </c>
      <c r="J398" s="2" t="n">
        <f aca="false">IF(F398="yes",1,0)</f>
        <v>0</v>
      </c>
      <c r="K398" s="2" t="n">
        <f aca="false">IF(H398="yes",1,0)</f>
        <v>1</v>
      </c>
      <c r="L398" s="2" t="n">
        <f aca="false">IF(I398="yes",1,0)</f>
        <v>0</v>
      </c>
      <c r="M398" s="2" t="n">
        <f aca="false">IF(G398&lt;0,1,0)</f>
        <v>0</v>
      </c>
      <c r="N398" s="2" t="str">
        <f aca="false">_xlfn.IFS(B398&lt;30,"Under 30",B398&lt;40,"30-39",B398&lt;50,"40-49",B398&lt;60,"50-59",TRUE(),"60+")</f>
        <v>30-39</v>
      </c>
      <c r="O398" s="2" t="str">
        <f aca="false">_xlfn.IFS(G398&lt;0,"1 Negative",G398=0,"2 Zero",G398&lt;=500,"3 1-500",G398&lt;=2000,"4 501-2000",TRUE(),"5 Above 2000")</f>
        <v>4 501-2000</v>
      </c>
      <c r="P398" s="2" t="n">
        <f aca="false">Lookups!$B$2*M398+Lookups!$B$3*L398</f>
        <v>0</v>
      </c>
      <c r="Q398" s="2" t="str">
        <f aca="false">INDEX(Lookups!$E$2:$E$5,MATCH(P398,Lookups!$D$2:$D$5,0))</f>
        <v>Low</v>
      </c>
    </row>
    <row r="399" customFormat="false" ht="15" hidden="false" customHeight="false" outlineLevel="0" collapsed="false">
      <c r="A399" s="3" t="n">
        <v>398</v>
      </c>
      <c r="B399" s="3" t="n">
        <f aca="false">Raw_Data!A399</f>
        <v>37</v>
      </c>
      <c r="C399" s="3" t="str">
        <f aca="false">SUBSTITUTE(Raw_Data!B399,".","")</f>
        <v>technician</v>
      </c>
      <c r="D399" s="3" t="str">
        <f aca="false">Raw_Data!C399</f>
        <v>single</v>
      </c>
      <c r="E399" s="3" t="str">
        <f aca="false">Raw_Data!D399</f>
        <v>tertiary</v>
      </c>
      <c r="F399" s="3" t="str">
        <f aca="false">Raw_Data!E399</f>
        <v>no</v>
      </c>
      <c r="G399" s="3" t="n">
        <f aca="false">Raw_Data!F399</f>
        <v>6101</v>
      </c>
      <c r="H399" s="3" t="str">
        <f aca="false">Raw_Data!G399</f>
        <v>no</v>
      </c>
      <c r="I399" s="3" t="str">
        <f aca="false">Raw_Data!H399</f>
        <v>no</v>
      </c>
      <c r="J399" s="2" t="n">
        <f aca="false">IF(F399="yes",1,0)</f>
        <v>0</v>
      </c>
      <c r="K399" s="2" t="n">
        <f aca="false">IF(H399="yes",1,0)</f>
        <v>0</v>
      </c>
      <c r="L399" s="2" t="n">
        <f aca="false">IF(I399="yes",1,0)</f>
        <v>0</v>
      </c>
      <c r="M399" s="2" t="n">
        <f aca="false">IF(G399&lt;0,1,0)</f>
        <v>0</v>
      </c>
      <c r="N399" s="2" t="str">
        <f aca="false">_xlfn.IFS(B399&lt;30,"Under 30",B399&lt;40,"30-39",B399&lt;50,"40-49",B399&lt;60,"50-59",TRUE(),"60+")</f>
        <v>30-39</v>
      </c>
      <c r="O399" s="2" t="str">
        <f aca="false">_xlfn.IFS(G399&lt;0,"1 Negative",G399=0,"2 Zero",G399&lt;=500,"3 1-500",G399&lt;=2000,"4 501-2000",TRUE(),"5 Above 2000")</f>
        <v>5 Above 2000</v>
      </c>
      <c r="P399" s="2" t="n">
        <f aca="false">Lookups!$B$2*M399+Lookups!$B$3*L399</f>
        <v>0</v>
      </c>
      <c r="Q399" s="2" t="str">
        <f aca="false">INDEX(Lookups!$E$2:$E$5,MATCH(P399,Lookups!$D$2:$D$5,0))</f>
        <v>Low</v>
      </c>
    </row>
    <row r="400" customFormat="false" ht="15" hidden="false" customHeight="false" outlineLevel="0" collapsed="false">
      <c r="A400" s="3" t="n">
        <v>399</v>
      </c>
      <c r="B400" s="3" t="n">
        <f aca="false">Raw_Data!A400</f>
        <v>38</v>
      </c>
      <c r="C400" s="3" t="str">
        <f aca="false">SUBSTITUTE(Raw_Data!B400,".","")</f>
        <v>blue-collar</v>
      </c>
      <c r="D400" s="3" t="str">
        <f aca="false">Raw_Data!C400</f>
        <v>married</v>
      </c>
      <c r="E400" s="3" t="str">
        <f aca="false">Raw_Data!D400</f>
        <v>primary</v>
      </c>
      <c r="F400" s="3" t="str">
        <f aca="false">Raw_Data!E400</f>
        <v>no</v>
      </c>
      <c r="G400" s="3" t="n">
        <f aca="false">Raw_Data!F400</f>
        <v>168</v>
      </c>
      <c r="H400" s="3" t="str">
        <f aca="false">Raw_Data!G400</f>
        <v>yes</v>
      </c>
      <c r="I400" s="3" t="str">
        <f aca="false">Raw_Data!H400</f>
        <v>yes</v>
      </c>
      <c r="J400" s="2" t="n">
        <f aca="false">IF(F400="yes",1,0)</f>
        <v>0</v>
      </c>
      <c r="K400" s="2" t="n">
        <f aca="false">IF(H400="yes",1,0)</f>
        <v>1</v>
      </c>
      <c r="L400" s="2" t="n">
        <f aca="false">IF(I400="yes",1,0)</f>
        <v>1</v>
      </c>
      <c r="M400" s="2" t="n">
        <f aca="false">IF(G400&lt;0,1,0)</f>
        <v>0</v>
      </c>
      <c r="N400" s="2" t="str">
        <f aca="false">_xlfn.IFS(B400&lt;30,"Under 30",B400&lt;40,"30-39",B400&lt;50,"40-49",B400&lt;60,"50-59",TRUE(),"60+")</f>
        <v>30-39</v>
      </c>
      <c r="O400" s="2" t="str">
        <f aca="false">_xlfn.IFS(G400&lt;0,"1 Negative",G400=0,"2 Zero",G400&lt;=500,"3 1-500",G400&lt;=2000,"4 501-2000",TRUE(),"5 Above 2000")</f>
        <v>3 1-500</v>
      </c>
      <c r="P400" s="2" t="n">
        <f aca="false">Lookups!$B$2*M400+Lookups!$B$3*L400</f>
        <v>1</v>
      </c>
      <c r="Q400" s="2" t="str">
        <f aca="false">INDEX(Lookups!$E$2:$E$5,MATCH(P400,Lookups!$D$2:$D$5,0))</f>
        <v>Medium</v>
      </c>
    </row>
    <row r="401" customFormat="false" ht="15" hidden="false" customHeight="false" outlineLevel="0" collapsed="false">
      <c r="A401" s="3" t="n">
        <v>400</v>
      </c>
      <c r="B401" s="3" t="n">
        <f aca="false">Raw_Data!A401</f>
        <v>39</v>
      </c>
      <c r="C401" s="3" t="str">
        <f aca="false">SUBSTITUTE(Raw_Data!B401,".","")</f>
        <v>blue-collar</v>
      </c>
      <c r="D401" s="3" t="str">
        <f aca="false">Raw_Data!C401</f>
        <v>married</v>
      </c>
      <c r="E401" s="3" t="str">
        <f aca="false">Raw_Data!D401</f>
        <v>primary</v>
      </c>
      <c r="F401" s="3" t="str">
        <f aca="false">Raw_Data!E401</f>
        <v>no</v>
      </c>
      <c r="G401" s="3" t="n">
        <f aca="false">Raw_Data!F401</f>
        <v>7685</v>
      </c>
      <c r="H401" s="3" t="str">
        <f aca="false">Raw_Data!G401</f>
        <v>yes</v>
      </c>
      <c r="I401" s="3" t="str">
        <f aca="false">Raw_Data!H401</f>
        <v>no</v>
      </c>
      <c r="J401" s="2" t="n">
        <f aca="false">IF(F401="yes",1,0)</f>
        <v>0</v>
      </c>
      <c r="K401" s="2" t="n">
        <f aca="false">IF(H401="yes",1,0)</f>
        <v>1</v>
      </c>
      <c r="L401" s="2" t="n">
        <f aca="false">IF(I401="yes",1,0)</f>
        <v>0</v>
      </c>
      <c r="M401" s="2" t="n">
        <f aca="false">IF(G401&lt;0,1,0)</f>
        <v>0</v>
      </c>
      <c r="N401" s="2" t="str">
        <f aca="false">_xlfn.IFS(B401&lt;30,"Under 30",B401&lt;40,"30-39",B401&lt;50,"40-49",B401&lt;60,"50-59",TRUE(),"60+")</f>
        <v>30-39</v>
      </c>
      <c r="O401" s="2" t="str">
        <f aca="false">_xlfn.IFS(G401&lt;0,"1 Negative",G401=0,"2 Zero",G401&lt;=500,"3 1-500",G401&lt;=2000,"4 501-2000",TRUE(),"5 Above 2000")</f>
        <v>5 Above 2000</v>
      </c>
      <c r="P401" s="2" t="n">
        <f aca="false">Lookups!$B$2*M401+Lookups!$B$3*L401</f>
        <v>0</v>
      </c>
      <c r="Q401" s="2" t="str">
        <f aca="false">INDEX(Lookups!$E$2:$E$5,MATCH(P401,Lookups!$D$2:$D$5,0))</f>
        <v>Low</v>
      </c>
    </row>
    <row r="402" customFormat="false" ht="15" hidden="false" customHeight="false" outlineLevel="0" collapsed="false">
      <c r="A402" s="3" t="n">
        <v>401</v>
      </c>
      <c r="B402" s="3" t="n">
        <f aca="false">Raw_Data!A402</f>
        <v>35</v>
      </c>
      <c r="C402" s="3" t="str">
        <f aca="false">SUBSTITUTE(Raw_Data!B402,".","")</f>
        <v>technician</v>
      </c>
      <c r="D402" s="3" t="str">
        <f aca="false">Raw_Data!C402</f>
        <v>divorced</v>
      </c>
      <c r="E402" s="3" t="str">
        <f aca="false">Raw_Data!D402</f>
        <v>tertiary</v>
      </c>
      <c r="F402" s="3" t="str">
        <f aca="false">Raw_Data!E402</f>
        <v>no</v>
      </c>
      <c r="G402" s="3" t="n">
        <f aca="false">Raw_Data!F402</f>
        <v>4515</v>
      </c>
      <c r="H402" s="3" t="str">
        <f aca="false">Raw_Data!G402</f>
        <v>yes</v>
      </c>
      <c r="I402" s="3" t="str">
        <f aca="false">Raw_Data!H402</f>
        <v>no</v>
      </c>
      <c r="J402" s="2" t="n">
        <f aca="false">IF(F402="yes",1,0)</f>
        <v>0</v>
      </c>
      <c r="K402" s="2" t="n">
        <f aca="false">IF(H402="yes",1,0)</f>
        <v>1</v>
      </c>
      <c r="L402" s="2" t="n">
        <f aca="false">IF(I402="yes",1,0)</f>
        <v>0</v>
      </c>
      <c r="M402" s="2" t="n">
        <f aca="false">IF(G402&lt;0,1,0)</f>
        <v>0</v>
      </c>
      <c r="N402" s="2" t="str">
        <f aca="false">_xlfn.IFS(B402&lt;30,"Under 30",B402&lt;40,"30-39",B402&lt;50,"40-49",B402&lt;60,"50-59",TRUE(),"60+")</f>
        <v>30-39</v>
      </c>
      <c r="O402" s="2" t="str">
        <f aca="false">_xlfn.IFS(G402&lt;0,"1 Negative",G402=0,"2 Zero",G402&lt;=500,"3 1-500",G402&lt;=2000,"4 501-2000",TRUE(),"5 Above 2000")</f>
        <v>5 Above 2000</v>
      </c>
      <c r="P402" s="2" t="n">
        <f aca="false">Lookups!$B$2*M402+Lookups!$B$3*L402</f>
        <v>0</v>
      </c>
      <c r="Q402" s="2" t="str">
        <f aca="false">INDEX(Lookups!$E$2:$E$5,MATCH(P402,Lookups!$D$2:$D$5,0))</f>
        <v>Low</v>
      </c>
    </row>
    <row r="403" customFormat="false" ht="15" hidden="false" customHeight="false" outlineLevel="0" collapsed="false">
      <c r="A403" s="3" t="n">
        <v>402</v>
      </c>
      <c r="B403" s="3" t="n">
        <f aca="false">Raw_Data!A403</f>
        <v>28</v>
      </c>
      <c r="C403" s="3" t="str">
        <f aca="false">SUBSTITUTE(Raw_Data!B403,".","")</f>
        <v>blue-collar</v>
      </c>
      <c r="D403" s="3" t="str">
        <f aca="false">Raw_Data!C403</f>
        <v>single</v>
      </c>
      <c r="E403" s="3" t="str">
        <f aca="false">Raw_Data!D403</f>
        <v>secondary</v>
      </c>
      <c r="F403" s="3" t="str">
        <f aca="false">Raw_Data!E403</f>
        <v>no</v>
      </c>
      <c r="G403" s="3" t="n">
        <f aca="false">Raw_Data!F403</f>
        <v>517</v>
      </c>
      <c r="H403" s="3" t="str">
        <f aca="false">Raw_Data!G403</f>
        <v>no</v>
      </c>
      <c r="I403" s="3" t="str">
        <f aca="false">Raw_Data!H403</f>
        <v>yes</v>
      </c>
      <c r="J403" s="2" t="n">
        <f aca="false">IF(F403="yes",1,0)</f>
        <v>0</v>
      </c>
      <c r="K403" s="2" t="n">
        <f aca="false">IF(H403="yes",1,0)</f>
        <v>0</v>
      </c>
      <c r="L403" s="2" t="n">
        <f aca="false">IF(I403="yes",1,0)</f>
        <v>1</v>
      </c>
      <c r="M403" s="2" t="n">
        <f aca="false">IF(G403&lt;0,1,0)</f>
        <v>0</v>
      </c>
      <c r="N403" s="2" t="str">
        <f aca="false">_xlfn.IFS(B403&lt;30,"Under 30",B403&lt;40,"30-39",B403&lt;50,"40-49",B403&lt;60,"50-59",TRUE(),"60+")</f>
        <v>Under 30</v>
      </c>
      <c r="O403" s="2" t="str">
        <f aca="false">_xlfn.IFS(G403&lt;0,"1 Negative",G403=0,"2 Zero",G403&lt;=500,"3 1-500",G403&lt;=2000,"4 501-2000",TRUE(),"5 Above 2000")</f>
        <v>4 501-2000</v>
      </c>
      <c r="P403" s="2" t="n">
        <f aca="false">Lookups!$B$2*M403+Lookups!$B$3*L403</f>
        <v>1</v>
      </c>
      <c r="Q403" s="2" t="str">
        <f aca="false">INDEX(Lookups!$E$2:$E$5,MATCH(P403,Lookups!$D$2:$D$5,0))</f>
        <v>Medium</v>
      </c>
    </row>
    <row r="404" customFormat="false" ht="15" hidden="false" customHeight="false" outlineLevel="0" collapsed="false">
      <c r="A404" s="3" t="n">
        <v>403</v>
      </c>
      <c r="B404" s="3" t="n">
        <f aca="false">Raw_Data!A404</f>
        <v>27</v>
      </c>
      <c r="C404" s="3" t="str">
        <f aca="false">SUBSTITUTE(Raw_Data!B404,".","")</f>
        <v>blue-collar</v>
      </c>
      <c r="D404" s="3" t="str">
        <f aca="false">Raw_Data!C404</f>
        <v>single</v>
      </c>
      <c r="E404" s="3" t="str">
        <f aca="false">Raw_Data!D404</f>
        <v>secondary</v>
      </c>
      <c r="F404" s="3" t="str">
        <f aca="false">Raw_Data!E404</f>
        <v>no</v>
      </c>
      <c r="G404" s="3" t="n">
        <f aca="false">Raw_Data!F404</f>
        <v>148</v>
      </c>
      <c r="H404" s="3" t="str">
        <f aca="false">Raw_Data!G404</f>
        <v>no</v>
      </c>
      <c r="I404" s="3" t="str">
        <f aca="false">Raw_Data!H404</f>
        <v>no</v>
      </c>
      <c r="J404" s="2" t="n">
        <f aca="false">IF(F404="yes",1,0)</f>
        <v>0</v>
      </c>
      <c r="K404" s="2" t="n">
        <f aca="false">IF(H404="yes",1,0)</f>
        <v>0</v>
      </c>
      <c r="L404" s="2" t="n">
        <f aca="false">IF(I404="yes",1,0)</f>
        <v>0</v>
      </c>
      <c r="M404" s="2" t="n">
        <f aca="false">IF(G404&lt;0,1,0)</f>
        <v>0</v>
      </c>
      <c r="N404" s="2" t="str">
        <f aca="false">_xlfn.IFS(B404&lt;30,"Under 30",B404&lt;40,"30-39",B404&lt;50,"40-49",B404&lt;60,"50-59",TRUE(),"60+")</f>
        <v>Under 30</v>
      </c>
      <c r="O404" s="2" t="str">
        <f aca="false">_xlfn.IFS(G404&lt;0,"1 Negative",G404=0,"2 Zero",G404&lt;=500,"3 1-500",G404&lt;=2000,"4 501-2000",TRUE(),"5 Above 2000")</f>
        <v>3 1-500</v>
      </c>
      <c r="P404" s="2" t="n">
        <f aca="false">Lookups!$B$2*M404+Lookups!$B$3*L404</f>
        <v>0</v>
      </c>
      <c r="Q404" s="2" t="str">
        <f aca="false">INDEX(Lookups!$E$2:$E$5,MATCH(P404,Lookups!$D$2:$D$5,0))</f>
        <v>Low</v>
      </c>
    </row>
    <row r="405" customFormat="false" ht="15" hidden="false" customHeight="false" outlineLevel="0" collapsed="false">
      <c r="A405" s="3" t="n">
        <v>404</v>
      </c>
      <c r="B405" s="3" t="n">
        <f aca="false">Raw_Data!A405</f>
        <v>48</v>
      </c>
      <c r="C405" s="3" t="str">
        <f aca="false">SUBSTITUTE(Raw_Data!B405,".","")</f>
        <v>retired</v>
      </c>
      <c r="D405" s="3" t="str">
        <f aca="false">Raw_Data!C405</f>
        <v>married</v>
      </c>
      <c r="E405" s="3" t="str">
        <f aca="false">Raw_Data!D405</f>
        <v>primary</v>
      </c>
      <c r="F405" s="3" t="str">
        <f aca="false">Raw_Data!E405</f>
        <v>yes</v>
      </c>
      <c r="G405" s="3" t="n">
        <f aca="false">Raw_Data!F405</f>
        <v>-285</v>
      </c>
      <c r="H405" s="3" t="str">
        <f aca="false">Raw_Data!G405</f>
        <v>no</v>
      </c>
      <c r="I405" s="3" t="str">
        <f aca="false">Raw_Data!H405</f>
        <v>yes</v>
      </c>
      <c r="J405" s="2" t="n">
        <f aca="false">IF(F405="yes",1,0)</f>
        <v>1</v>
      </c>
      <c r="K405" s="2" t="n">
        <f aca="false">IF(H405="yes",1,0)</f>
        <v>0</v>
      </c>
      <c r="L405" s="2" t="n">
        <f aca="false">IF(I405="yes",1,0)</f>
        <v>1</v>
      </c>
      <c r="M405" s="2" t="n">
        <f aca="false">IF(G405&lt;0,1,0)</f>
        <v>1</v>
      </c>
      <c r="N405" s="2" t="str">
        <f aca="false">_xlfn.IFS(B405&lt;30,"Under 30",B405&lt;40,"30-39",B405&lt;50,"40-49",B405&lt;60,"50-59",TRUE(),"60+")</f>
        <v>40-49</v>
      </c>
      <c r="O405" s="2" t="str">
        <f aca="false">_xlfn.IFS(G405&lt;0,"1 Negative",G405=0,"2 Zero",G405&lt;=500,"3 1-500",G405&lt;=2000,"4 501-2000",TRUE(),"5 Above 2000")</f>
        <v>1 Negative</v>
      </c>
      <c r="P405" s="2" t="n">
        <f aca="false">Lookups!$B$2*M405+Lookups!$B$3*L405</f>
        <v>3</v>
      </c>
      <c r="Q405" s="2" t="str">
        <f aca="false">INDEX(Lookups!$E$2:$E$5,MATCH(P405,Lookups!$D$2:$D$5,0))</f>
        <v>High</v>
      </c>
    </row>
    <row r="406" customFormat="false" ht="15" hidden="false" customHeight="false" outlineLevel="0" collapsed="false">
      <c r="A406" s="3" t="n">
        <v>405</v>
      </c>
      <c r="B406" s="3" t="n">
        <f aca="false">Raw_Data!A406</f>
        <v>50</v>
      </c>
      <c r="C406" s="3" t="str">
        <f aca="false">SUBSTITUTE(Raw_Data!B406,".","")</f>
        <v>blue-collar</v>
      </c>
      <c r="D406" s="3" t="str">
        <f aca="false">Raw_Data!C406</f>
        <v>married</v>
      </c>
      <c r="E406" s="3" t="str">
        <f aca="false">Raw_Data!D406</f>
        <v>secondary</v>
      </c>
      <c r="F406" s="3" t="str">
        <f aca="false">Raw_Data!E406</f>
        <v>no</v>
      </c>
      <c r="G406" s="3" t="n">
        <f aca="false">Raw_Data!F406</f>
        <v>887</v>
      </c>
      <c r="H406" s="3" t="str">
        <f aca="false">Raw_Data!G406</f>
        <v>no</v>
      </c>
      <c r="I406" s="3" t="str">
        <f aca="false">Raw_Data!H406</f>
        <v>no</v>
      </c>
      <c r="J406" s="2" t="n">
        <f aca="false">IF(F406="yes",1,0)</f>
        <v>0</v>
      </c>
      <c r="K406" s="2" t="n">
        <f aca="false">IF(H406="yes",1,0)</f>
        <v>0</v>
      </c>
      <c r="L406" s="2" t="n">
        <f aca="false">IF(I406="yes",1,0)</f>
        <v>0</v>
      </c>
      <c r="M406" s="2" t="n">
        <f aca="false">IF(G406&lt;0,1,0)</f>
        <v>0</v>
      </c>
      <c r="N406" s="2" t="str">
        <f aca="false">_xlfn.IFS(B406&lt;30,"Under 30",B406&lt;40,"30-39",B406&lt;50,"40-49",B406&lt;60,"50-59",TRUE(),"60+")</f>
        <v>50-59</v>
      </c>
      <c r="O406" s="2" t="str">
        <f aca="false">_xlfn.IFS(G406&lt;0,"1 Negative",G406=0,"2 Zero",G406&lt;=500,"3 1-500",G406&lt;=2000,"4 501-2000",TRUE(),"5 Above 2000")</f>
        <v>4 501-2000</v>
      </c>
      <c r="P406" s="2" t="n">
        <f aca="false">Lookups!$B$2*M406+Lookups!$B$3*L406</f>
        <v>0</v>
      </c>
      <c r="Q406" s="2" t="str">
        <f aca="false">INDEX(Lookups!$E$2:$E$5,MATCH(P406,Lookups!$D$2:$D$5,0))</f>
        <v>Low</v>
      </c>
    </row>
    <row r="407" customFormat="false" ht="15" hidden="false" customHeight="false" outlineLevel="0" collapsed="false">
      <c r="A407" s="3" t="n">
        <v>406</v>
      </c>
      <c r="B407" s="3" t="n">
        <f aca="false">Raw_Data!A407</f>
        <v>45</v>
      </c>
      <c r="C407" s="3" t="str">
        <f aca="false">SUBSTITUTE(Raw_Data!B407,".","")</f>
        <v>self-employed</v>
      </c>
      <c r="D407" s="3" t="str">
        <f aca="false">Raw_Data!C407</f>
        <v>married</v>
      </c>
      <c r="E407" s="3" t="str">
        <f aca="false">Raw_Data!D407</f>
        <v>secondary</v>
      </c>
      <c r="F407" s="3" t="str">
        <f aca="false">Raw_Data!E407</f>
        <v>no</v>
      </c>
      <c r="G407" s="3" t="n">
        <f aca="false">Raw_Data!F407</f>
        <v>3098</v>
      </c>
      <c r="H407" s="3" t="str">
        <f aca="false">Raw_Data!G407</f>
        <v>yes</v>
      </c>
      <c r="I407" s="3" t="str">
        <f aca="false">Raw_Data!H407</f>
        <v>no</v>
      </c>
      <c r="J407" s="2" t="n">
        <f aca="false">IF(F407="yes",1,0)</f>
        <v>0</v>
      </c>
      <c r="K407" s="2" t="n">
        <f aca="false">IF(H407="yes",1,0)</f>
        <v>1</v>
      </c>
      <c r="L407" s="2" t="n">
        <f aca="false">IF(I407="yes",1,0)</f>
        <v>0</v>
      </c>
      <c r="M407" s="2" t="n">
        <f aca="false">IF(G407&lt;0,1,0)</f>
        <v>0</v>
      </c>
      <c r="N407" s="2" t="str">
        <f aca="false">_xlfn.IFS(B407&lt;30,"Under 30",B407&lt;40,"30-39",B407&lt;50,"40-49",B407&lt;60,"50-59",TRUE(),"60+")</f>
        <v>40-49</v>
      </c>
      <c r="O407" s="2" t="str">
        <f aca="false">_xlfn.IFS(G407&lt;0,"1 Negative",G407=0,"2 Zero",G407&lt;=500,"3 1-500",G407&lt;=2000,"4 501-2000",TRUE(),"5 Above 2000")</f>
        <v>5 Above 2000</v>
      </c>
      <c r="P407" s="2" t="n">
        <f aca="false">Lookups!$B$2*M407+Lookups!$B$3*L407</f>
        <v>0</v>
      </c>
      <c r="Q407" s="2" t="str">
        <f aca="false">INDEX(Lookups!$E$2:$E$5,MATCH(P407,Lookups!$D$2:$D$5,0))</f>
        <v>Low</v>
      </c>
    </row>
    <row r="408" customFormat="false" ht="15" hidden="false" customHeight="false" outlineLevel="0" collapsed="false">
      <c r="A408" s="3" t="n">
        <v>407</v>
      </c>
      <c r="B408" s="3" t="n">
        <f aca="false">Raw_Data!A408</f>
        <v>41</v>
      </c>
      <c r="C408" s="3" t="str">
        <f aca="false">SUBSTITUTE(Raw_Data!B408,".","")</f>
        <v>technician</v>
      </c>
      <c r="D408" s="3" t="str">
        <f aca="false">Raw_Data!C408</f>
        <v>married</v>
      </c>
      <c r="E408" s="3" t="str">
        <f aca="false">Raw_Data!D408</f>
        <v>tertiary</v>
      </c>
      <c r="F408" s="3" t="str">
        <f aca="false">Raw_Data!E408</f>
        <v>no</v>
      </c>
      <c r="G408" s="3" t="n">
        <f aca="false">Raw_Data!F408</f>
        <v>744</v>
      </c>
      <c r="H408" s="3" t="str">
        <f aca="false">Raw_Data!G408</f>
        <v>yes</v>
      </c>
      <c r="I408" s="3" t="str">
        <f aca="false">Raw_Data!H408</f>
        <v>no</v>
      </c>
      <c r="J408" s="2" t="n">
        <f aca="false">IF(F408="yes",1,0)</f>
        <v>0</v>
      </c>
      <c r="K408" s="2" t="n">
        <f aca="false">IF(H408="yes",1,0)</f>
        <v>1</v>
      </c>
      <c r="L408" s="2" t="n">
        <f aca="false">IF(I408="yes",1,0)</f>
        <v>0</v>
      </c>
      <c r="M408" s="2" t="n">
        <f aca="false">IF(G408&lt;0,1,0)</f>
        <v>0</v>
      </c>
      <c r="N408" s="2" t="str">
        <f aca="false">_xlfn.IFS(B408&lt;30,"Under 30",B408&lt;40,"30-39",B408&lt;50,"40-49",B408&lt;60,"50-59",TRUE(),"60+")</f>
        <v>40-49</v>
      </c>
      <c r="O408" s="2" t="str">
        <f aca="false">_xlfn.IFS(G408&lt;0,"1 Negative",G408=0,"2 Zero",G408&lt;=500,"3 1-500",G408&lt;=2000,"4 501-2000",TRUE(),"5 Above 2000")</f>
        <v>4 501-2000</v>
      </c>
      <c r="P408" s="2" t="n">
        <f aca="false">Lookups!$B$2*M408+Lookups!$B$3*L408</f>
        <v>0</v>
      </c>
      <c r="Q408" s="2" t="str">
        <f aca="false">INDEX(Lookups!$E$2:$E$5,MATCH(P408,Lookups!$D$2:$D$5,0))</f>
        <v>Low</v>
      </c>
    </row>
    <row r="409" customFormat="false" ht="15" hidden="false" customHeight="false" outlineLevel="0" collapsed="false">
      <c r="A409" s="3" t="n">
        <v>408</v>
      </c>
      <c r="B409" s="3" t="n">
        <f aca="false">Raw_Data!A409</f>
        <v>39</v>
      </c>
      <c r="C409" s="3" t="str">
        <f aca="false">SUBSTITUTE(Raw_Data!B409,".","")</f>
        <v>technician</v>
      </c>
      <c r="D409" s="3" t="str">
        <f aca="false">Raw_Data!C409</f>
        <v>married</v>
      </c>
      <c r="E409" s="3" t="str">
        <f aca="false">Raw_Data!D409</f>
        <v>secondary</v>
      </c>
      <c r="F409" s="3" t="str">
        <f aca="false">Raw_Data!E409</f>
        <v>no</v>
      </c>
      <c r="G409" s="3" t="n">
        <f aca="false">Raw_Data!F409</f>
        <v>130</v>
      </c>
      <c r="H409" s="3" t="str">
        <f aca="false">Raw_Data!G409</f>
        <v>no</v>
      </c>
      <c r="I409" s="3" t="str">
        <f aca="false">Raw_Data!H409</f>
        <v>no</v>
      </c>
      <c r="J409" s="2" t="n">
        <f aca="false">IF(F409="yes",1,0)</f>
        <v>0</v>
      </c>
      <c r="K409" s="2" t="n">
        <f aca="false">IF(H409="yes",1,0)</f>
        <v>0</v>
      </c>
      <c r="L409" s="2" t="n">
        <f aca="false">IF(I409="yes",1,0)</f>
        <v>0</v>
      </c>
      <c r="M409" s="2" t="n">
        <f aca="false">IF(G409&lt;0,1,0)</f>
        <v>0</v>
      </c>
      <c r="N409" s="2" t="str">
        <f aca="false">_xlfn.IFS(B409&lt;30,"Under 30",B409&lt;40,"30-39",B409&lt;50,"40-49",B409&lt;60,"50-59",TRUE(),"60+")</f>
        <v>30-39</v>
      </c>
      <c r="O409" s="2" t="str">
        <f aca="false">_xlfn.IFS(G409&lt;0,"1 Negative",G409=0,"2 Zero",G409&lt;=500,"3 1-500",G409&lt;=2000,"4 501-2000",TRUE(),"5 Above 2000")</f>
        <v>3 1-500</v>
      </c>
      <c r="P409" s="2" t="n">
        <f aca="false">Lookups!$B$2*M409+Lookups!$B$3*L409</f>
        <v>0</v>
      </c>
      <c r="Q409" s="2" t="str">
        <f aca="false">INDEX(Lookups!$E$2:$E$5,MATCH(P409,Lookups!$D$2:$D$5,0))</f>
        <v>Low</v>
      </c>
    </row>
    <row r="410" customFormat="false" ht="15" hidden="false" customHeight="false" outlineLevel="0" collapsed="false">
      <c r="A410" s="3" t="n">
        <v>409</v>
      </c>
      <c r="B410" s="3" t="n">
        <f aca="false">Raw_Data!A410</f>
        <v>44</v>
      </c>
      <c r="C410" s="3" t="str">
        <f aca="false">SUBSTITUTE(Raw_Data!B410,".","")</f>
        <v>management</v>
      </c>
      <c r="D410" s="3" t="str">
        <f aca="false">Raw_Data!C410</f>
        <v>married</v>
      </c>
      <c r="E410" s="3" t="str">
        <f aca="false">Raw_Data!D410</f>
        <v>secondary</v>
      </c>
      <c r="F410" s="3" t="str">
        <f aca="false">Raw_Data!E410</f>
        <v>no</v>
      </c>
      <c r="G410" s="3" t="n">
        <f aca="false">Raw_Data!F410</f>
        <v>438</v>
      </c>
      <c r="H410" s="3" t="str">
        <f aca="false">Raw_Data!G410</f>
        <v>yes</v>
      </c>
      <c r="I410" s="3" t="str">
        <f aca="false">Raw_Data!H410</f>
        <v>no</v>
      </c>
      <c r="J410" s="2" t="n">
        <f aca="false">IF(F410="yes",1,0)</f>
        <v>0</v>
      </c>
      <c r="K410" s="2" t="n">
        <f aca="false">IF(H410="yes",1,0)</f>
        <v>1</v>
      </c>
      <c r="L410" s="2" t="n">
        <f aca="false">IF(I410="yes",1,0)</f>
        <v>0</v>
      </c>
      <c r="M410" s="2" t="n">
        <f aca="false">IF(G410&lt;0,1,0)</f>
        <v>0</v>
      </c>
      <c r="N410" s="2" t="str">
        <f aca="false">_xlfn.IFS(B410&lt;30,"Under 30",B410&lt;40,"30-39",B410&lt;50,"40-49",B410&lt;60,"50-59",TRUE(),"60+")</f>
        <v>40-49</v>
      </c>
      <c r="O410" s="2" t="str">
        <f aca="false">_xlfn.IFS(G410&lt;0,"1 Negative",G410=0,"2 Zero",G410&lt;=500,"3 1-500",G410&lt;=2000,"4 501-2000",TRUE(),"5 Above 2000")</f>
        <v>3 1-500</v>
      </c>
      <c r="P410" s="2" t="n">
        <f aca="false">Lookups!$B$2*M410+Lookups!$B$3*L410</f>
        <v>0</v>
      </c>
      <c r="Q410" s="2" t="str">
        <f aca="false">INDEX(Lookups!$E$2:$E$5,MATCH(P410,Lookups!$D$2:$D$5,0))</f>
        <v>Low</v>
      </c>
    </row>
    <row r="411" customFormat="false" ht="15" hidden="false" customHeight="false" outlineLevel="0" collapsed="false">
      <c r="A411" s="3" t="n">
        <v>410</v>
      </c>
      <c r="B411" s="3" t="n">
        <f aca="false">Raw_Data!A411</f>
        <v>54</v>
      </c>
      <c r="C411" s="3" t="str">
        <f aca="false">SUBSTITUTE(Raw_Data!B411,".","")</f>
        <v>admin</v>
      </c>
      <c r="D411" s="3" t="str">
        <f aca="false">Raw_Data!C411</f>
        <v>married</v>
      </c>
      <c r="E411" s="3" t="str">
        <f aca="false">Raw_Data!D411</f>
        <v>secondary</v>
      </c>
      <c r="F411" s="3" t="str">
        <f aca="false">Raw_Data!E411</f>
        <v>no</v>
      </c>
      <c r="G411" s="3" t="n">
        <f aca="false">Raw_Data!F411</f>
        <v>0</v>
      </c>
      <c r="H411" s="3" t="str">
        <f aca="false">Raw_Data!G411</f>
        <v>no</v>
      </c>
      <c r="I411" s="3" t="str">
        <f aca="false">Raw_Data!H411</f>
        <v>no</v>
      </c>
      <c r="J411" s="2" t="n">
        <f aca="false">IF(F411="yes",1,0)</f>
        <v>0</v>
      </c>
      <c r="K411" s="2" t="n">
        <f aca="false">IF(H411="yes",1,0)</f>
        <v>0</v>
      </c>
      <c r="L411" s="2" t="n">
        <f aca="false">IF(I411="yes",1,0)</f>
        <v>0</v>
      </c>
      <c r="M411" s="2" t="n">
        <f aca="false">IF(G411&lt;0,1,0)</f>
        <v>0</v>
      </c>
      <c r="N411" s="2" t="str">
        <f aca="false">_xlfn.IFS(B411&lt;30,"Under 30",B411&lt;40,"30-39",B411&lt;50,"40-49",B411&lt;60,"50-59",TRUE(),"60+")</f>
        <v>50-59</v>
      </c>
      <c r="O411" s="2" t="str">
        <f aca="false">_xlfn.IFS(G411&lt;0,"1 Negative",G411=0,"2 Zero",G411&lt;=500,"3 1-500",G411&lt;=2000,"4 501-2000",TRUE(),"5 Above 2000")</f>
        <v>2 Zero</v>
      </c>
      <c r="P411" s="2" t="n">
        <f aca="false">Lookups!$B$2*M411+Lookups!$B$3*L411</f>
        <v>0</v>
      </c>
      <c r="Q411" s="2" t="str">
        <f aca="false">INDEX(Lookups!$E$2:$E$5,MATCH(P411,Lookups!$D$2:$D$5,0))</f>
        <v>Low</v>
      </c>
    </row>
    <row r="412" customFormat="false" ht="15" hidden="false" customHeight="false" outlineLevel="0" collapsed="false">
      <c r="A412" s="3" t="n">
        <v>411</v>
      </c>
      <c r="B412" s="3" t="n">
        <f aca="false">Raw_Data!A412</f>
        <v>49</v>
      </c>
      <c r="C412" s="3" t="str">
        <f aca="false">SUBSTITUTE(Raw_Data!B412,".","")</f>
        <v>management</v>
      </c>
      <c r="D412" s="3" t="str">
        <f aca="false">Raw_Data!C412</f>
        <v>married</v>
      </c>
      <c r="E412" s="3" t="str">
        <f aca="false">Raw_Data!D412</f>
        <v>tertiary</v>
      </c>
      <c r="F412" s="3" t="str">
        <f aca="false">Raw_Data!E412</f>
        <v>no</v>
      </c>
      <c r="G412" s="3" t="n">
        <f aca="false">Raw_Data!F412</f>
        <v>322</v>
      </c>
      <c r="H412" s="3" t="str">
        <f aca="false">Raw_Data!G412</f>
        <v>no</v>
      </c>
      <c r="I412" s="3" t="str">
        <f aca="false">Raw_Data!H412</f>
        <v>no</v>
      </c>
      <c r="J412" s="2" t="n">
        <f aca="false">IF(F412="yes",1,0)</f>
        <v>0</v>
      </c>
      <c r="K412" s="2" t="n">
        <f aca="false">IF(H412="yes",1,0)</f>
        <v>0</v>
      </c>
      <c r="L412" s="2" t="n">
        <f aca="false">IF(I412="yes",1,0)</f>
        <v>0</v>
      </c>
      <c r="M412" s="2" t="n">
        <f aca="false">IF(G412&lt;0,1,0)</f>
        <v>0</v>
      </c>
      <c r="N412" s="2" t="str">
        <f aca="false">_xlfn.IFS(B412&lt;30,"Under 30",B412&lt;40,"30-39",B412&lt;50,"40-49",B412&lt;60,"50-59",TRUE(),"60+")</f>
        <v>40-49</v>
      </c>
      <c r="O412" s="2" t="str">
        <f aca="false">_xlfn.IFS(G412&lt;0,"1 Negative",G412=0,"2 Zero",G412&lt;=500,"3 1-500",G412&lt;=2000,"4 501-2000",TRUE(),"5 Above 2000")</f>
        <v>3 1-500</v>
      </c>
      <c r="P412" s="2" t="n">
        <f aca="false">Lookups!$B$2*M412+Lookups!$B$3*L412</f>
        <v>0</v>
      </c>
      <c r="Q412" s="2" t="str">
        <f aca="false">INDEX(Lookups!$E$2:$E$5,MATCH(P412,Lookups!$D$2:$D$5,0))</f>
        <v>Low</v>
      </c>
    </row>
    <row r="413" customFormat="false" ht="15" hidden="false" customHeight="false" outlineLevel="0" collapsed="false">
      <c r="A413" s="3" t="n">
        <v>412</v>
      </c>
      <c r="B413" s="3" t="n">
        <f aca="false">Raw_Data!A413</f>
        <v>34</v>
      </c>
      <c r="C413" s="3" t="str">
        <f aca="false">SUBSTITUTE(Raw_Data!B413,".","")</f>
        <v>blue-collar</v>
      </c>
      <c r="D413" s="3" t="str">
        <f aca="false">Raw_Data!C413</f>
        <v>single</v>
      </c>
      <c r="E413" s="3" t="str">
        <f aca="false">Raw_Data!D413</f>
        <v>secondary</v>
      </c>
      <c r="F413" s="3" t="str">
        <f aca="false">Raw_Data!E413</f>
        <v>no</v>
      </c>
      <c r="G413" s="3" t="n">
        <f aca="false">Raw_Data!F413</f>
        <v>186</v>
      </c>
      <c r="H413" s="3" t="str">
        <f aca="false">Raw_Data!G413</f>
        <v>no</v>
      </c>
      <c r="I413" s="3" t="str">
        <f aca="false">Raw_Data!H413</f>
        <v>no</v>
      </c>
      <c r="J413" s="2" t="n">
        <f aca="false">IF(F413="yes",1,0)</f>
        <v>0</v>
      </c>
      <c r="K413" s="2" t="n">
        <f aca="false">IF(H413="yes",1,0)</f>
        <v>0</v>
      </c>
      <c r="L413" s="2" t="n">
        <f aca="false">IF(I413="yes",1,0)</f>
        <v>0</v>
      </c>
      <c r="M413" s="2" t="n">
        <f aca="false">IF(G413&lt;0,1,0)</f>
        <v>0</v>
      </c>
      <c r="N413" s="2" t="str">
        <f aca="false">_xlfn.IFS(B413&lt;30,"Under 30",B413&lt;40,"30-39",B413&lt;50,"40-49",B413&lt;60,"50-59",TRUE(),"60+")</f>
        <v>30-39</v>
      </c>
      <c r="O413" s="2" t="str">
        <f aca="false">_xlfn.IFS(G413&lt;0,"1 Negative",G413=0,"2 Zero",G413&lt;=500,"3 1-500",G413&lt;=2000,"4 501-2000",TRUE(),"5 Above 2000")</f>
        <v>3 1-500</v>
      </c>
      <c r="P413" s="2" t="n">
        <f aca="false">Lookups!$B$2*M413+Lookups!$B$3*L413</f>
        <v>0</v>
      </c>
      <c r="Q413" s="2" t="str">
        <f aca="false">INDEX(Lookups!$E$2:$E$5,MATCH(P413,Lookups!$D$2:$D$5,0))</f>
        <v>Low</v>
      </c>
    </row>
    <row r="414" customFormat="false" ht="15" hidden="false" customHeight="false" outlineLevel="0" collapsed="false">
      <c r="A414" s="3" t="n">
        <v>413</v>
      </c>
      <c r="B414" s="3" t="n">
        <f aca="false">Raw_Data!A414</f>
        <v>75</v>
      </c>
      <c r="C414" s="3" t="str">
        <f aca="false">SUBSTITUTE(Raw_Data!B414,".","")</f>
        <v>retired</v>
      </c>
      <c r="D414" s="3" t="str">
        <f aca="false">Raw_Data!C414</f>
        <v>divorced</v>
      </c>
      <c r="E414" s="3" t="str">
        <f aca="false">Raw_Data!D414</f>
        <v>tertiary</v>
      </c>
      <c r="F414" s="3" t="str">
        <f aca="false">Raw_Data!E414</f>
        <v>no</v>
      </c>
      <c r="G414" s="3" t="n">
        <f aca="false">Raw_Data!F414</f>
        <v>3810</v>
      </c>
      <c r="H414" s="3" t="str">
        <f aca="false">Raw_Data!G414</f>
        <v>yes</v>
      </c>
      <c r="I414" s="3" t="str">
        <f aca="false">Raw_Data!H414</f>
        <v>no</v>
      </c>
      <c r="J414" s="2" t="n">
        <f aca="false">IF(F414="yes",1,0)</f>
        <v>0</v>
      </c>
      <c r="K414" s="2" t="n">
        <f aca="false">IF(H414="yes",1,0)</f>
        <v>1</v>
      </c>
      <c r="L414" s="2" t="n">
        <f aca="false">IF(I414="yes",1,0)</f>
        <v>0</v>
      </c>
      <c r="M414" s="2" t="n">
        <f aca="false">IF(G414&lt;0,1,0)</f>
        <v>0</v>
      </c>
      <c r="N414" s="2" t="str">
        <f aca="false">_xlfn.IFS(B414&lt;30,"Under 30",B414&lt;40,"30-39",B414&lt;50,"40-49",B414&lt;60,"50-59",TRUE(),"60+")</f>
        <v>60+</v>
      </c>
      <c r="O414" s="2" t="str">
        <f aca="false">_xlfn.IFS(G414&lt;0,"1 Negative",G414=0,"2 Zero",G414&lt;=500,"3 1-500",G414&lt;=2000,"4 501-2000",TRUE(),"5 Above 2000")</f>
        <v>5 Above 2000</v>
      </c>
      <c r="P414" s="2" t="n">
        <f aca="false">Lookups!$B$2*M414+Lookups!$B$3*L414</f>
        <v>0</v>
      </c>
      <c r="Q414" s="2" t="str">
        <f aca="false">INDEX(Lookups!$E$2:$E$5,MATCH(P414,Lookups!$D$2:$D$5,0))</f>
        <v>Low</v>
      </c>
    </row>
    <row r="415" customFormat="false" ht="15" hidden="false" customHeight="false" outlineLevel="0" collapsed="false">
      <c r="A415" s="3" t="n">
        <v>414</v>
      </c>
      <c r="B415" s="3" t="n">
        <f aca="false">Raw_Data!A415</f>
        <v>42</v>
      </c>
      <c r="C415" s="3" t="str">
        <f aca="false">SUBSTITUTE(Raw_Data!B415,".","")</f>
        <v>management</v>
      </c>
      <c r="D415" s="3" t="str">
        <f aca="false">Raw_Data!C415</f>
        <v>married</v>
      </c>
      <c r="E415" s="3" t="str">
        <f aca="false">Raw_Data!D415</f>
        <v>tertiary</v>
      </c>
      <c r="F415" s="3" t="str">
        <f aca="false">Raw_Data!E415</f>
        <v>no</v>
      </c>
      <c r="G415" s="3" t="n">
        <f aca="false">Raw_Data!F415</f>
        <v>0</v>
      </c>
      <c r="H415" s="3" t="str">
        <f aca="false">Raw_Data!G415</f>
        <v>no</v>
      </c>
      <c r="I415" s="3" t="str">
        <f aca="false">Raw_Data!H415</f>
        <v>no</v>
      </c>
      <c r="J415" s="2" t="n">
        <f aca="false">IF(F415="yes",1,0)</f>
        <v>0</v>
      </c>
      <c r="K415" s="2" t="n">
        <f aca="false">IF(H415="yes",1,0)</f>
        <v>0</v>
      </c>
      <c r="L415" s="2" t="n">
        <f aca="false">IF(I415="yes",1,0)</f>
        <v>0</v>
      </c>
      <c r="M415" s="2" t="n">
        <f aca="false">IF(G415&lt;0,1,0)</f>
        <v>0</v>
      </c>
      <c r="N415" s="2" t="str">
        <f aca="false">_xlfn.IFS(B415&lt;30,"Under 30",B415&lt;40,"30-39",B415&lt;50,"40-49",B415&lt;60,"50-59",TRUE(),"60+")</f>
        <v>40-49</v>
      </c>
      <c r="O415" s="2" t="str">
        <f aca="false">_xlfn.IFS(G415&lt;0,"1 Negative",G415=0,"2 Zero",G415&lt;=500,"3 1-500",G415&lt;=2000,"4 501-2000",TRUE(),"5 Above 2000")</f>
        <v>2 Zero</v>
      </c>
      <c r="P415" s="2" t="n">
        <f aca="false">Lookups!$B$2*M415+Lookups!$B$3*L415</f>
        <v>0</v>
      </c>
      <c r="Q415" s="2" t="str">
        <f aca="false">INDEX(Lookups!$E$2:$E$5,MATCH(P415,Lookups!$D$2:$D$5,0))</f>
        <v>Low</v>
      </c>
    </row>
    <row r="416" customFormat="false" ht="15" hidden="false" customHeight="false" outlineLevel="0" collapsed="false">
      <c r="A416" s="3" t="n">
        <v>415</v>
      </c>
      <c r="B416" s="3" t="n">
        <f aca="false">Raw_Data!A416</f>
        <v>53</v>
      </c>
      <c r="C416" s="3" t="str">
        <f aca="false">SUBSTITUTE(Raw_Data!B416,".","")</f>
        <v>blue-collar</v>
      </c>
      <c r="D416" s="3" t="str">
        <f aca="false">Raw_Data!C416</f>
        <v>married</v>
      </c>
      <c r="E416" s="3" t="str">
        <f aca="false">Raw_Data!D416</f>
        <v>secondary</v>
      </c>
      <c r="F416" s="3" t="str">
        <f aca="false">Raw_Data!E416</f>
        <v>no</v>
      </c>
      <c r="G416" s="3" t="n">
        <f aca="false">Raw_Data!F416</f>
        <v>4380</v>
      </c>
      <c r="H416" s="3" t="str">
        <f aca="false">Raw_Data!G416</f>
        <v>no</v>
      </c>
      <c r="I416" s="3" t="str">
        <f aca="false">Raw_Data!H416</f>
        <v>no</v>
      </c>
      <c r="J416" s="2" t="n">
        <f aca="false">IF(F416="yes",1,0)</f>
        <v>0</v>
      </c>
      <c r="K416" s="2" t="n">
        <f aca="false">IF(H416="yes",1,0)</f>
        <v>0</v>
      </c>
      <c r="L416" s="2" t="n">
        <f aca="false">IF(I416="yes",1,0)</f>
        <v>0</v>
      </c>
      <c r="M416" s="2" t="n">
        <f aca="false">IF(G416&lt;0,1,0)</f>
        <v>0</v>
      </c>
      <c r="N416" s="2" t="str">
        <f aca="false">_xlfn.IFS(B416&lt;30,"Under 30",B416&lt;40,"30-39",B416&lt;50,"40-49",B416&lt;60,"50-59",TRUE(),"60+")</f>
        <v>50-59</v>
      </c>
      <c r="O416" s="2" t="str">
        <f aca="false">_xlfn.IFS(G416&lt;0,"1 Negative",G416=0,"2 Zero",G416&lt;=500,"3 1-500",G416&lt;=2000,"4 501-2000",TRUE(),"5 Above 2000")</f>
        <v>5 Above 2000</v>
      </c>
      <c r="P416" s="2" t="n">
        <f aca="false">Lookups!$B$2*M416+Lookups!$B$3*L416</f>
        <v>0</v>
      </c>
      <c r="Q416" s="2" t="str">
        <f aca="false">INDEX(Lookups!$E$2:$E$5,MATCH(P416,Lookups!$D$2:$D$5,0))</f>
        <v>Low</v>
      </c>
    </row>
    <row r="417" customFormat="false" ht="15" hidden="false" customHeight="false" outlineLevel="0" collapsed="false">
      <c r="A417" s="3" t="n">
        <v>416</v>
      </c>
      <c r="B417" s="3" t="n">
        <f aca="false">Raw_Data!A417</f>
        <v>49</v>
      </c>
      <c r="C417" s="3" t="str">
        <f aca="false">SUBSTITUTE(Raw_Data!B417,".","")</f>
        <v>management</v>
      </c>
      <c r="D417" s="3" t="str">
        <f aca="false">Raw_Data!C417</f>
        <v>divorced</v>
      </c>
      <c r="E417" s="3" t="str">
        <f aca="false">Raw_Data!D417</f>
        <v>tertiary</v>
      </c>
      <c r="F417" s="3" t="str">
        <f aca="false">Raw_Data!E417</f>
        <v>no</v>
      </c>
      <c r="G417" s="3" t="n">
        <f aca="false">Raw_Data!F417</f>
        <v>755</v>
      </c>
      <c r="H417" s="3" t="str">
        <f aca="false">Raw_Data!G417</f>
        <v>no</v>
      </c>
      <c r="I417" s="3" t="str">
        <f aca="false">Raw_Data!H417</f>
        <v>no</v>
      </c>
      <c r="J417" s="2" t="n">
        <f aca="false">IF(F417="yes",1,0)</f>
        <v>0</v>
      </c>
      <c r="K417" s="2" t="n">
        <f aca="false">IF(H417="yes",1,0)</f>
        <v>0</v>
      </c>
      <c r="L417" s="2" t="n">
        <f aca="false">IF(I417="yes",1,0)</f>
        <v>0</v>
      </c>
      <c r="M417" s="2" t="n">
        <f aca="false">IF(G417&lt;0,1,0)</f>
        <v>0</v>
      </c>
      <c r="N417" s="2" t="str">
        <f aca="false">_xlfn.IFS(B417&lt;30,"Under 30",B417&lt;40,"30-39",B417&lt;50,"40-49",B417&lt;60,"50-59",TRUE(),"60+")</f>
        <v>40-49</v>
      </c>
      <c r="O417" s="2" t="str">
        <f aca="false">_xlfn.IFS(G417&lt;0,"1 Negative",G417=0,"2 Zero",G417&lt;=500,"3 1-500",G417&lt;=2000,"4 501-2000",TRUE(),"5 Above 2000")</f>
        <v>4 501-2000</v>
      </c>
      <c r="P417" s="2" t="n">
        <f aca="false">Lookups!$B$2*M417+Lookups!$B$3*L417</f>
        <v>0</v>
      </c>
      <c r="Q417" s="2" t="str">
        <f aca="false">INDEX(Lookups!$E$2:$E$5,MATCH(P417,Lookups!$D$2:$D$5,0))</f>
        <v>Low</v>
      </c>
    </row>
    <row r="418" customFormat="false" ht="15" hidden="false" customHeight="false" outlineLevel="0" collapsed="false">
      <c r="A418" s="3" t="n">
        <v>417</v>
      </c>
      <c r="B418" s="3" t="n">
        <f aca="false">Raw_Data!A418</f>
        <v>31</v>
      </c>
      <c r="C418" s="3" t="str">
        <f aca="false">SUBSTITUTE(Raw_Data!B418,".","")</f>
        <v>services</v>
      </c>
      <c r="D418" s="3" t="str">
        <f aca="false">Raw_Data!C418</f>
        <v>single</v>
      </c>
      <c r="E418" s="3" t="str">
        <f aca="false">Raw_Data!D418</f>
        <v>secondary</v>
      </c>
      <c r="F418" s="3" t="str">
        <f aca="false">Raw_Data!E418</f>
        <v>no</v>
      </c>
      <c r="G418" s="3" t="n">
        <f aca="false">Raw_Data!F418</f>
        <v>2070</v>
      </c>
      <c r="H418" s="3" t="str">
        <f aca="false">Raw_Data!G418</f>
        <v>no</v>
      </c>
      <c r="I418" s="3" t="str">
        <f aca="false">Raw_Data!H418</f>
        <v>no</v>
      </c>
      <c r="J418" s="2" t="n">
        <f aca="false">IF(F418="yes",1,0)</f>
        <v>0</v>
      </c>
      <c r="K418" s="2" t="n">
        <f aca="false">IF(H418="yes",1,0)</f>
        <v>0</v>
      </c>
      <c r="L418" s="2" t="n">
        <f aca="false">IF(I418="yes",1,0)</f>
        <v>0</v>
      </c>
      <c r="M418" s="2" t="n">
        <f aca="false">IF(G418&lt;0,1,0)</f>
        <v>0</v>
      </c>
      <c r="N418" s="2" t="str">
        <f aca="false">_xlfn.IFS(B418&lt;30,"Under 30",B418&lt;40,"30-39",B418&lt;50,"40-49",B418&lt;60,"50-59",TRUE(),"60+")</f>
        <v>30-39</v>
      </c>
      <c r="O418" s="2" t="str">
        <f aca="false">_xlfn.IFS(G418&lt;0,"1 Negative",G418=0,"2 Zero",G418&lt;=500,"3 1-500",G418&lt;=2000,"4 501-2000",TRUE(),"5 Above 2000")</f>
        <v>5 Above 2000</v>
      </c>
      <c r="P418" s="2" t="n">
        <f aca="false">Lookups!$B$2*M418+Lookups!$B$3*L418</f>
        <v>0</v>
      </c>
      <c r="Q418" s="2" t="str">
        <f aca="false">INDEX(Lookups!$E$2:$E$5,MATCH(P418,Lookups!$D$2:$D$5,0))</f>
        <v>Low</v>
      </c>
    </row>
    <row r="419" customFormat="false" ht="15" hidden="false" customHeight="false" outlineLevel="0" collapsed="false">
      <c r="A419" s="3" t="n">
        <v>418</v>
      </c>
      <c r="B419" s="3" t="n">
        <f aca="false">Raw_Data!A419</f>
        <v>45</v>
      </c>
      <c r="C419" s="3" t="str">
        <f aca="false">SUBSTITUTE(Raw_Data!B419,".","")</f>
        <v>blue-collar</v>
      </c>
      <c r="D419" s="3" t="str">
        <f aca="false">Raw_Data!C419</f>
        <v>single</v>
      </c>
      <c r="E419" s="3" t="str">
        <f aca="false">Raw_Data!D419</f>
        <v>primary</v>
      </c>
      <c r="F419" s="3" t="str">
        <f aca="false">Raw_Data!E419</f>
        <v>no</v>
      </c>
      <c r="G419" s="3" t="n">
        <f aca="false">Raw_Data!F419</f>
        <v>999</v>
      </c>
      <c r="H419" s="3" t="str">
        <f aca="false">Raw_Data!G419</f>
        <v>no</v>
      </c>
      <c r="I419" s="3" t="str">
        <f aca="false">Raw_Data!H419</f>
        <v>no</v>
      </c>
      <c r="J419" s="2" t="n">
        <f aca="false">IF(F419="yes",1,0)</f>
        <v>0</v>
      </c>
      <c r="K419" s="2" t="n">
        <f aca="false">IF(H419="yes",1,0)</f>
        <v>0</v>
      </c>
      <c r="L419" s="2" t="n">
        <f aca="false">IF(I419="yes",1,0)</f>
        <v>0</v>
      </c>
      <c r="M419" s="2" t="n">
        <f aca="false">IF(G419&lt;0,1,0)</f>
        <v>0</v>
      </c>
      <c r="N419" s="2" t="str">
        <f aca="false">_xlfn.IFS(B419&lt;30,"Under 30",B419&lt;40,"30-39",B419&lt;50,"40-49",B419&lt;60,"50-59",TRUE(),"60+")</f>
        <v>40-49</v>
      </c>
      <c r="O419" s="2" t="str">
        <f aca="false">_xlfn.IFS(G419&lt;0,"1 Negative",G419=0,"2 Zero",G419&lt;=500,"3 1-500",G419&lt;=2000,"4 501-2000",TRUE(),"5 Above 2000")</f>
        <v>4 501-2000</v>
      </c>
      <c r="P419" s="2" t="n">
        <f aca="false">Lookups!$B$2*M419+Lookups!$B$3*L419</f>
        <v>0</v>
      </c>
      <c r="Q419" s="2" t="str">
        <f aca="false">INDEX(Lookups!$E$2:$E$5,MATCH(P419,Lookups!$D$2:$D$5,0))</f>
        <v>Low</v>
      </c>
    </row>
    <row r="420" customFormat="false" ht="15" hidden="false" customHeight="false" outlineLevel="0" collapsed="false">
      <c r="A420" s="3" t="n">
        <v>419</v>
      </c>
      <c r="B420" s="3" t="n">
        <f aca="false">Raw_Data!A420</f>
        <v>39</v>
      </c>
      <c r="C420" s="3" t="str">
        <f aca="false">SUBSTITUTE(Raw_Data!B420,".","")</f>
        <v>self-employed</v>
      </c>
      <c r="D420" s="3" t="str">
        <f aca="false">Raw_Data!C420</f>
        <v>married</v>
      </c>
      <c r="E420" s="3" t="str">
        <f aca="false">Raw_Data!D420</f>
        <v>secondary</v>
      </c>
      <c r="F420" s="3" t="str">
        <f aca="false">Raw_Data!E420</f>
        <v>no</v>
      </c>
      <c r="G420" s="3" t="n">
        <f aca="false">Raw_Data!F420</f>
        <v>167</v>
      </c>
      <c r="H420" s="3" t="str">
        <f aca="false">Raw_Data!G420</f>
        <v>yes</v>
      </c>
      <c r="I420" s="3" t="str">
        <f aca="false">Raw_Data!H420</f>
        <v>yes</v>
      </c>
      <c r="J420" s="2" t="n">
        <f aca="false">IF(F420="yes",1,0)</f>
        <v>0</v>
      </c>
      <c r="K420" s="2" t="n">
        <f aca="false">IF(H420="yes",1,0)</f>
        <v>1</v>
      </c>
      <c r="L420" s="2" t="n">
        <f aca="false">IF(I420="yes",1,0)</f>
        <v>1</v>
      </c>
      <c r="M420" s="2" t="n">
        <f aca="false">IF(G420&lt;0,1,0)</f>
        <v>0</v>
      </c>
      <c r="N420" s="2" t="str">
        <f aca="false">_xlfn.IFS(B420&lt;30,"Under 30",B420&lt;40,"30-39",B420&lt;50,"40-49",B420&lt;60,"50-59",TRUE(),"60+")</f>
        <v>30-39</v>
      </c>
      <c r="O420" s="2" t="str">
        <f aca="false">_xlfn.IFS(G420&lt;0,"1 Negative",G420=0,"2 Zero",G420&lt;=500,"3 1-500",G420&lt;=2000,"4 501-2000",TRUE(),"5 Above 2000")</f>
        <v>3 1-500</v>
      </c>
      <c r="P420" s="2" t="n">
        <f aca="false">Lookups!$B$2*M420+Lookups!$B$3*L420</f>
        <v>1</v>
      </c>
      <c r="Q420" s="2" t="str">
        <f aca="false">INDEX(Lookups!$E$2:$E$5,MATCH(P420,Lookups!$D$2:$D$5,0))</f>
        <v>Medium</v>
      </c>
    </row>
    <row r="421" customFormat="false" ht="15" hidden="false" customHeight="false" outlineLevel="0" collapsed="false">
      <c r="A421" s="3" t="n">
        <v>420</v>
      </c>
      <c r="B421" s="3" t="n">
        <f aca="false">Raw_Data!A421</f>
        <v>46</v>
      </c>
      <c r="C421" s="3" t="str">
        <f aca="false">SUBSTITUTE(Raw_Data!B421,".","")</f>
        <v>technician</v>
      </c>
      <c r="D421" s="3" t="str">
        <f aca="false">Raw_Data!C421</f>
        <v>married</v>
      </c>
      <c r="E421" s="3" t="str">
        <f aca="false">Raw_Data!D421</f>
        <v>secondary</v>
      </c>
      <c r="F421" s="3" t="str">
        <f aca="false">Raw_Data!E421</f>
        <v>no</v>
      </c>
      <c r="G421" s="3" t="n">
        <f aca="false">Raw_Data!F421</f>
        <v>1322</v>
      </c>
      <c r="H421" s="3" t="str">
        <f aca="false">Raw_Data!G421</f>
        <v>yes</v>
      </c>
      <c r="I421" s="3" t="str">
        <f aca="false">Raw_Data!H421</f>
        <v>yes</v>
      </c>
      <c r="J421" s="2" t="n">
        <f aca="false">IF(F421="yes",1,0)</f>
        <v>0</v>
      </c>
      <c r="K421" s="2" t="n">
        <f aca="false">IF(H421="yes",1,0)</f>
        <v>1</v>
      </c>
      <c r="L421" s="2" t="n">
        <f aca="false">IF(I421="yes",1,0)</f>
        <v>1</v>
      </c>
      <c r="M421" s="2" t="n">
        <f aca="false">IF(G421&lt;0,1,0)</f>
        <v>0</v>
      </c>
      <c r="N421" s="2" t="str">
        <f aca="false">_xlfn.IFS(B421&lt;30,"Under 30",B421&lt;40,"30-39",B421&lt;50,"40-49",B421&lt;60,"50-59",TRUE(),"60+")</f>
        <v>40-49</v>
      </c>
      <c r="O421" s="2" t="str">
        <f aca="false">_xlfn.IFS(G421&lt;0,"1 Negative",G421=0,"2 Zero",G421&lt;=500,"3 1-500",G421&lt;=2000,"4 501-2000",TRUE(),"5 Above 2000")</f>
        <v>4 501-2000</v>
      </c>
      <c r="P421" s="2" t="n">
        <f aca="false">Lookups!$B$2*M421+Lookups!$B$3*L421</f>
        <v>1</v>
      </c>
      <c r="Q421" s="2" t="str">
        <f aca="false">INDEX(Lookups!$E$2:$E$5,MATCH(P421,Lookups!$D$2:$D$5,0))</f>
        <v>Medium</v>
      </c>
    </row>
    <row r="422" customFormat="false" ht="15" hidden="false" customHeight="false" outlineLevel="0" collapsed="false">
      <c r="A422" s="3" t="n">
        <v>421</v>
      </c>
      <c r="B422" s="3" t="n">
        <f aca="false">Raw_Data!A422</f>
        <v>42</v>
      </c>
      <c r="C422" s="3" t="str">
        <f aca="false">SUBSTITUTE(Raw_Data!B422,".","")</f>
        <v>admin</v>
      </c>
      <c r="D422" s="3" t="str">
        <f aca="false">Raw_Data!C422</f>
        <v>divorced</v>
      </c>
      <c r="E422" s="3" t="str">
        <f aca="false">Raw_Data!D422</f>
        <v>secondary</v>
      </c>
      <c r="F422" s="3" t="str">
        <f aca="false">Raw_Data!E422</f>
        <v>no</v>
      </c>
      <c r="G422" s="3" t="n">
        <f aca="false">Raw_Data!F422</f>
        <v>1076</v>
      </c>
      <c r="H422" s="3" t="str">
        <f aca="false">Raw_Data!G422</f>
        <v>yes</v>
      </c>
      <c r="I422" s="3" t="str">
        <f aca="false">Raw_Data!H422</f>
        <v>no</v>
      </c>
      <c r="J422" s="2" t="n">
        <f aca="false">IF(F422="yes",1,0)</f>
        <v>0</v>
      </c>
      <c r="K422" s="2" t="n">
        <f aca="false">IF(H422="yes",1,0)</f>
        <v>1</v>
      </c>
      <c r="L422" s="2" t="n">
        <f aca="false">IF(I422="yes",1,0)</f>
        <v>0</v>
      </c>
      <c r="M422" s="2" t="n">
        <f aca="false">IF(G422&lt;0,1,0)</f>
        <v>0</v>
      </c>
      <c r="N422" s="2" t="str">
        <f aca="false">_xlfn.IFS(B422&lt;30,"Under 30",B422&lt;40,"30-39",B422&lt;50,"40-49",B422&lt;60,"50-59",TRUE(),"60+")</f>
        <v>40-49</v>
      </c>
      <c r="O422" s="2" t="str">
        <f aca="false">_xlfn.IFS(G422&lt;0,"1 Negative",G422=0,"2 Zero",G422&lt;=500,"3 1-500",G422&lt;=2000,"4 501-2000",TRUE(),"5 Above 2000")</f>
        <v>4 501-2000</v>
      </c>
      <c r="P422" s="2" t="n">
        <f aca="false">Lookups!$B$2*M422+Lookups!$B$3*L422</f>
        <v>0</v>
      </c>
      <c r="Q422" s="2" t="str">
        <f aca="false">INDEX(Lookups!$E$2:$E$5,MATCH(P422,Lookups!$D$2:$D$5,0))</f>
        <v>Low</v>
      </c>
    </row>
    <row r="423" customFormat="false" ht="15" hidden="false" customHeight="false" outlineLevel="0" collapsed="false">
      <c r="A423" s="3" t="n">
        <v>422</v>
      </c>
      <c r="B423" s="3" t="n">
        <f aca="false">Raw_Data!A423</f>
        <v>37</v>
      </c>
      <c r="C423" s="3" t="str">
        <f aca="false">SUBSTITUTE(Raw_Data!B423,".","")</f>
        <v>management</v>
      </c>
      <c r="D423" s="3" t="str">
        <f aca="false">Raw_Data!C423</f>
        <v>married</v>
      </c>
      <c r="E423" s="3" t="str">
        <f aca="false">Raw_Data!D423</f>
        <v>tertiary</v>
      </c>
      <c r="F423" s="3" t="str">
        <f aca="false">Raw_Data!E423</f>
        <v>no</v>
      </c>
      <c r="G423" s="3" t="n">
        <f aca="false">Raw_Data!F423</f>
        <v>502</v>
      </c>
      <c r="H423" s="3" t="str">
        <f aca="false">Raw_Data!G423</f>
        <v>yes</v>
      </c>
      <c r="I423" s="3" t="str">
        <f aca="false">Raw_Data!H423</f>
        <v>no</v>
      </c>
      <c r="J423" s="2" t="n">
        <f aca="false">IF(F423="yes",1,0)</f>
        <v>0</v>
      </c>
      <c r="K423" s="2" t="n">
        <f aca="false">IF(H423="yes",1,0)</f>
        <v>1</v>
      </c>
      <c r="L423" s="2" t="n">
        <f aca="false">IF(I423="yes",1,0)</f>
        <v>0</v>
      </c>
      <c r="M423" s="2" t="n">
        <f aca="false">IF(G423&lt;0,1,0)</f>
        <v>0</v>
      </c>
      <c r="N423" s="2" t="str">
        <f aca="false">_xlfn.IFS(B423&lt;30,"Under 30",B423&lt;40,"30-39",B423&lt;50,"40-49",B423&lt;60,"50-59",TRUE(),"60+")</f>
        <v>30-39</v>
      </c>
      <c r="O423" s="2" t="str">
        <f aca="false">_xlfn.IFS(G423&lt;0,"1 Negative",G423=0,"2 Zero",G423&lt;=500,"3 1-500",G423&lt;=2000,"4 501-2000",TRUE(),"5 Above 2000")</f>
        <v>4 501-2000</v>
      </c>
      <c r="P423" s="2" t="n">
        <f aca="false">Lookups!$B$2*M423+Lookups!$B$3*L423</f>
        <v>0</v>
      </c>
      <c r="Q423" s="2" t="str">
        <f aca="false">INDEX(Lookups!$E$2:$E$5,MATCH(P423,Lookups!$D$2:$D$5,0))</f>
        <v>Low</v>
      </c>
    </row>
    <row r="424" customFormat="false" ht="15" hidden="false" customHeight="false" outlineLevel="0" collapsed="false">
      <c r="A424" s="3" t="n">
        <v>423</v>
      </c>
      <c r="B424" s="3" t="n">
        <f aca="false">Raw_Data!A424</f>
        <v>26</v>
      </c>
      <c r="C424" s="3" t="str">
        <f aca="false">SUBSTITUTE(Raw_Data!B424,".","")</f>
        <v>technician</v>
      </c>
      <c r="D424" s="3" t="str">
        <f aca="false">Raw_Data!C424</f>
        <v>single</v>
      </c>
      <c r="E424" s="3" t="str">
        <f aca="false">Raw_Data!D424</f>
        <v>tertiary</v>
      </c>
      <c r="F424" s="3" t="str">
        <f aca="false">Raw_Data!E424</f>
        <v>no</v>
      </c>
      <c r="G424" s="3" t="n">
        <f aca="false">Raw_Data!F424</f>
        <v>1216</v>
      </c>
      <c r="H424" s="3" t="str">
        <f aca="false">Raw_Data!G424</f>
        <v>yes</v>
      </c>
      <c r="I424" s="3" t="str">
        <f aca="false">Raw_Data!H424</f>
        <v>no</v>
      </c>
      <c r="J424" s="2" t="n">
        <f aca="false">IF(F424="yes",1,0)</f>
        <v>0</v>
      </c>
      <c r="K424" s="2" t="n">
        <f aca="false">IF(H424="yes",1,0)</f>
        <v>1</v>
      </c>
      <c r="L424" s="2" t="n">
        <f aca="false">IF(I424="yes",1,0)</f>
        <v>0</v>
      </c>
      <c r="M424" s="2" t="n">
        <f aca="false">IF(G424&lt;0,1,0)</f>
        <v>0</v>
      </c>
      <c r="N424" s="2" t="str">
        <f aca="false">_xlfn.IFS(B424&lt;30,"Under 30",B424&lt;40,"30-39",B424&lt;50,"40-49",B424&lt;60,"50-59",TRUE(),"60+")</f>
        <v>Under 30</v>
      </c>
      <c r="O424" s="2" t="str">
        <f aca="false">_xlfn.IFS(G424&lt;0,"1 Negative",G424=0,"2 Zero",G424&lt;=500,"3 1-500",G424&lt;=2000,"4 501-2000",TRUE(),"5 Above 2000")</f>
        <v>4 501-2000</v>
      </c>
      <c r="P424" s="2" t="n">
        <f aca="false">Lookups!$B$2*M424+Lookups!$B$3*L424</f>
        <v>0</v>
      </c>
      <c r="Q424" s="2" t="str">
        <f aca="false">INDEX(Lookups!$E$2:$E$5,MATCH(P424,Lookups!$D$2:$D$5,0))</f>
        <v>Low</v>
      </c>
    </row>
    <row r="425" customFormat="false" ht="15" hidden="false" customHeight="false" outlineLevel="0" collapsed="false">
      <c r="A425" s="3" t="n">
        <v>424</v>
      </c>
      <c r="B425" s="3" t="n">
        <f aca="false">Raw_Data!A425</f>
        <v>37</v>
      </c>
      <c r="C425" s="3" t="str">
        <f aca="false">SUBSTITUTE(Raw_Data!B425,".","")</f>
        <v>management</v>
      </c>
      <c r="D425" s="3" t="str">
        <f aca="false">Raw_Data!C425</f>
        <v>single</v>
      </c>
      <c r="E425" s="3" t="str">
        <f aca="false">Raw_Data!D425</f>
        <v>tertiary</v>
      </c>
      <c r="F425" s="3" t="str">
        <f aca="false">Raw_Data!E425</f>
        <v>no</v>
      </c>
      <c r="G425" s="3" t="n">
        <f aca="false">Raw_Data!F425</f>
        <v>876</v>
      </c>
      <c r="H425" s="3" t="str">
        <f aca="false">Raw_Data!G425</f>
        <v>yes</v>
      </c>
      <c r="I425" s="3" t="str">
        <f aca="false">Raw_Data!H425</f>
        <v>no</v>
      </c>
      <c r="J425" s="2" t="n">
        <f aca="false">IF(F425="yes",1,0)</f>
        <v>0</v>
      </c>
      <c r="K425" s="2" t="n">
        <f aca="false">IF(H425="yes",1,0)</f>
        <v>1</v>
      </c>
      <c r="L425" s="2" t="n">
        <f aca="false">IF(I425="yes",1,0)</f>
        <v>0</v>
      </c>
      <c r="M425" s="2" t="n">
        <f aca="false">IF(G425&lt;0,1,0)</f>
        <v>0</v>
      </c>
      <c r="N425" s="2" t="str">
        <f aca="false">_xlfn.IFS(B425&lt;30,"Under 30",B425&lt;40,"30-39",B425&lt;50,"40-49",B425&lt;60,"50-59",TRUE(),"60+")</f>
        <v>30-39</v>
      </c>
      <c r="O425" s="2" t="str">
        <f aca="false">_xlfn.IFS(G425&lt;0,"1 Negative",G425=0,"2 Zero",G425&lt;=500,"3 1-500",G425&lt;=2000,"4 501-2000",TRUE(),"5 Above 2000")</f>
        <v>4 501-2000</v>
      </c>
      <c r="P425" s="2" t="n">
        <f aca="false">Lookups!$B$2*M425+Lookups!$B$3*L425</f>
        <v>0</v>
      </c>
      <c r="Q425" s="2" t="str">
        <f aca="false">INDEX(Lookups!$E$2:$E$5,MATCH(P425,Lookups!$D$2:$D$5,0))</f>
        <v>Low</v>
      </c>
    </row>
    <row r="426" customFormat="false" ht="15" hidden="false" customHeight="false" outlineLevel="0" collapsed="false">
      <c r="A426" s="3" t="n">
        <v>425</v>
      </c>
      <c r="B426" s="3" t="n">
        <f aca="false">Raw_Data!A426</f>
        <v>36</v>
      </c>
      <c r="C426" s="3" t="str">
        <f aca="false">SUBSTITUTE(Raw_Data!B426,".","")</f>
        <v>services</v>
      </c>
      <c r="D426" s="3" t="str">
        <f aca="false">Raw_Data!C426</f>
        <v>single</v>
      </c>
      <c r="E426" s="3" t="str">
        <f aca="false">Raw_Data!D426</f>
        <v>secondary</v>
      </c>
      <c r="F426" s="3" t="str">
        <f aca="false">Raw_Data!E426</f>
        <v>no</v>
      </c>
      <c r="G426" s="3" t="n">
        <f aca="false">Raw_Data!F426</f>
        <v>342</v>
      </c>
      <c r="H426" s="3" t="str">
        <f aca="false">Raw_Data!G426</f>
        <v>yes</v>
      </c>
      <c r="I426" s="3" t="str">
        <f aca="false">Raw_Data!H426</f>
        <v>no</v>
      </c>
      <c r="J426" s="2" t="n">
        <f aca="false">IF(F426="yes",1,0)</f>
        <v>0</v>
      </c>
      <c r="K426" s="2" t="n">
        <f aca="false">IF(H426="yes",1,0)</f>
        <v>1</v>
      </c>
      <c r="L426" s="2" t="n">
        <f aca="false">IF(I426="yes",1,0)</f>
        <v>0</v>
      </c>
      <c r="M426" s="2" t="n">
        <f aca="false">IF(G426&lt;0,1,0)</f>
        <v>0</v>
      </c>
      <c r="N426" s="2" t="str">
        <f aca="false">_xlfn.IFS(B426&lt;30,"Under 30",B426&lt;40,"30-39",B426&lt;50,"40-49",B426&lt;60,"50-59",TRUE(),"60+")</f>
        <v>30-39</v>
      </c>
      <c r="O426" s="2" t="str">
        <f aca="false">_xlfn.IFS(G426&lt;0,"1 Negative",G426=0,"2 Zero",G426&lt;=500,"3 1-500",G426&lt;=2000,"4 501-2000",TRUE(),"5 Above 2000")</f>
        <v>3 1-500</v>
      </c>
      <c r="P426" s="2" t="n">
        <f aca="false">Lookups!$B$2*M426+Lookups!$B$3*L426</f>
        <v>0</v>
      </c>
      <c r="Q426" s="2" t="str">
        <f aca="false">INDEX(Lookups!$E$2:$E$5,MATCH(P426,Lookups!$D$2:$D$5,0))</f>
        <v>Low</v>
      </c>
    </row>
    <row r="427" customFormat="false" ht="15" hidden="false" customHeight="false" outlineLevel="0" collapsed="false">
      <c r="A427" s="3" t="n">
        <v>426</v>
      </c>
      <c r="B427" s="3" t="n">
        <f aca="false">Raw_Data!A427</f>
        <v>29</v>
      </c>
      <c r="C427" s="3" t="str">
        <f aca="false">SUBSTITUTE(Raw_Data!B427,".","")</f>
        <v>blue-collar</v>
      </c>
      <c r="D427" s="3" t="str">
        <f aca="false">Raw_Data!C427</f>
        <v>single</v>
      </c>
      <c r="E427" s="3" t="str">
        <f aca="false">Raw_Data!D427</f>
        <v>primary</v>
      </c>
      <c r="F427" s="3" t="str">
        <f aca="false">Raw_Data!E427</f>
        <v>no</v>
      </c>
      <c r="G427" s="3" t="n">
        <f aca="false">Raw_Data!F427</f>
        <v>950</v>
      </c>
      <c r="H427" s="3" t="str">
        <f aca="false">Raw_Data!G427</f>
        <v>yes</v>
      </c>
      <c r="I427" s="3" t="str">
        <f aca="false">Raw_Data!H427</f>
        <v>no</v>
      </c>
      <c r="J427" s="2" t="n">
        <f aca="false">IF(F427="yes",1,0)</f>
        <v>0</v>
      </c>
      <c r="K427" s="2" t="n">
        <f aca="false">IF(H427="yes",1,0)</f>
        <v>1</v>
      </c>
      <c r="L427" s="2" t="n">
        <f aca="false">IF(I427="yes",1,0)</f>
        <v>0</v>
      </c>
      <c r="M427" s="2" t="n">
        <f aca="false">IF(G427&lt;0,1,0)</f>
        <v>0</v>
      </c>
      <c r="N427" s="2" t="str">
        <f aca="false">_xlfn.IFS(B427&lt;30,"Under 30",B427&lt;40,"30-39",B427&lt;50,"40-49",B427&lt;60,"50-59",TRUE(),"60+")</f>
        <v>Under 30</v>
      </c>
      <c r="O427" s="2" t="str">
        <f aca="false">_xlfn.IFS(G427&lt;0,"1 Negative",G427=0,"2 Zero",G427&lt;=500,"3 1-500",G427&lt;=2000,"4 501-2000",TRUE(),"5 Above 2000")</f>
        <v>4 501-2000</v>
      </c>
      <c r="P427" s="2" t="n">
        <f aca="false">Lookups!$B$2*M427+Lookups!$B$3*L427</f>
        <v>0</v>
      </c>
      <c r="Q427" s="2" t="str">
        <f aca="false">INDEX(Lookups!$E$2:$E$5,MATCH(P427,Lookups!$D$2:$D$5,0))</f>
        <v>Low</v>
      </c>
    </row>
    <row r="428" customFormat="false" ht="15" hidden="false" customHeight="false" outlineLevel="0" collapsed="false">
      <c r="A428" s="3" t="n">
        <v>427</v>
      </c>
      <c r="B428" s="3" t="n">
        <f aca="false">Raw_Data!A428</f>
        <v>36</v>
      </c>
      <c r="C428" s="3" t="str">
        <f aca="false">SUBSTITUTE(Raw_Data!B428,".","")</f>
        <v>blue-collar</v>
      </c>
      <c r="D428" s="3" t="str">
        <f aca="false">Raw_Data!C428</f>
        <v>married</v>
      </c>
      <c r="E428" s="3" t="str">
        <f aca="false">Raw_Data!D428</f>
        <v>primary</v>
      </c>
      <c r="F428" s="3" t="str">
        <f aca="false">Raw_Data!E428</f>
        <v>no</v>
      </c>
      <c r="G428" s="3" t="n">
        <f aca="false">Raw_Data!F428</f>
        <v>973</v>
      </c>
      <c r="H428" s="3" t="str">
        <f aca="false">Raw_Data!G428</f>
        <v>yes</v>
      </c>
      <c r="I428" s="3" t="str">
        <f aca="false">Raw_Data!H428</f>
        <v>yes</v>
      </c>
      <c r="J428" s="2" t="n">
        <f aca="false">IF(F428="yes",1,0)</f>
        <v>0</v>
      </c>
      <c r="K428" s="2" t="n">
        <f aca="false">IF(H428="yes",1,0)</f>
        <v>1</v>
      </c>
      <c r="L428" s="2" t="n">
        <f aca="false">IF(I428="yes",1,0)</f>
        <v>1</v>
      </c>
      <c r="M428" s="2" t="n">
        <f aca="false">IF(G428&lt;0,1,0)</f>
        <v>0</v>
      </c>
      <c r="N428" s="2" t="str">
        <f aca="false">_xlfn.IFS(B428&lt;30,"Under 30",B428&lt;40,"30-39",B428&lt;50,"40-49",B428&lt;60,"50-59",TRUE(),"60+")</f>
        <v>30-39</v>
      </c>
      <c r="O428" s="2" t="str">
        <f aca="false">_xlfn.IFS(G428&lt;0,"1 Negative",G428=0,"2 Zero",G428&lt;=500,"3 1-500",G428&lt;=2000,"4 501-2000",TRUE(),"5 Above 2000")</f>
        <v>4 501-2000</v>
      </c>
      <c r="P428" s="2" t="n">
        <f aca="false">Lookups!$B$2*M428+Lookups!$B$3*L428</f>
        <v>1</v>
      </c>
      <c r="Q428" s="2" t="str">
        <f aca="false">INDEX(Lookups!$E$2:$E$5,MATCH(P428,Lookups!$D$2:$D$5,0))</f>
        <v>Medium</v>
      </c>
    </row>
    <row r="429" customFormat="false" ht="15" hidden="false" customHeight="false" outlineLevel="0" collapsed="false">
      <c r="A429" s="3" t="n">
        <v>428</v>
      </c>
      <c r="B429" s="3" t="n">
        <f aca="false">Raw_Data!A429</f>
        <v>26</v>
      </c>
      <c r="C429" s="3" t="str">
        <f aca="false">SUBSTITUTE(Raw_Data!B429,".","")</f>
        <v>technician</v>
      </c>
      <c r="D429" s="3" t="str">
        <f aca="false">Raw_Data!C429</f>
        <v>married</v>
      </c>
      <c r="E429" s="3" t="str">
        <f aca="false">Raw_Data!D429</f>
        <v>tertiary</v>
      </c>
      <c r="F429" s="3" t="str">
        <f aca="false">Raw_Data!E429</f>
        <v>no</v>
      </c>
      <c r="G429" s="3" t="n">
        <f aca="false">Raw_Data!F429</f>
        <v>3825</v>
      </c>
      <c r="H429" s="3" t="str">
        <f aca="false">Raw_Data!G429</f>
        <v>yes</v>
      </c>
      <c r="I429" s="3" t="str">
        <f aca="false">Raw_Data!H429</f>
        <v>no</v>
      </c>
      <c r="J429" s="2" t="n">
        <f aca="false">IF(F429="yes",1,0)</f>
        <v>0</v>
      </c>
      <c r="K429" s="2" t="n">
        <f aca="false">IF(H429="yes",1,0)</f>
        <v>1</v>
      </c>
      <c r="L429" s="2" t="n">
        <f aca="false">IF(I429="yes",1,0)</f>
        <v>0</v>
      </c>
      <c r="M429" s="2" t="n">
        <f aca="false">IF(G429&lt;0,1,0)</f>
        <v>0</v>
      </c>
      <c r="N429" s="2" t="str">
        <f aca="false">_xlfn.IFS(B429&lt;30,"Under 30",B429&lt;40,"30-39",B429&lt;50,"40-49",B429&lt;60,"50-59",TRUE(),"60+")</f>
        <v>Under 30</v>
      </c>
      <c r="O429" s="2" t="str">
        <f aca="false">_xlfn.IFS(G429&lt;0,"1 Negative",G429=0,"2 Zero",G429&lt;=500,"3 1-500",G429&lt;=2000,"4 501-2000",TRUE(),"5 Above 2000")</f>
        <v>5 Above 2000</v>
      </c>
      <c r="P429" s="2" t="n">
        <f aca="false">Lookups!$B$2*M429+Lookups!$B$3*L429</f>
        <v>0</v>
      </c>
      <c r="Q429" s="2" t="str">
        <f aca="false">INDEX(Lookups!$E$2:$E$5,MATCH(P429,Lookups!$D$2:$D$5,0))</f>
        <v>Low</v>
      </c>
    </row>
    <row r="430" customFormat="false" ht="15" hidden="false" customHeight="false" outlineLevel="0" collapsed="false">
      <c r="A430" s="3" t="n">
        <v>429</v>
      </c>
      <c r="B430" s="3" t="n">
        <f aca="false">Raw_Data!A430</f>
        <v>32</v>
      </c>
      <c r="C430" s="3" t="str">
        <f aca="false">SUBSTITUTE(Raw_Data!B430,".","")</f>
        <v>blue-collar</v>
      </c>
      <c r="D430" s="3" t="str">
        <f aca="false">Raw_Data!C430</f>
        <v>married</v>
      </c>
      <c r="E430" s="3" t="str">
        <f aca="false">Raw_Data!D430</f>
        <v>secondary</v>
      </c>
      <c r="F430" s="3" t="str">
        <f aca="false">Raw_Data!E430</f>
        <v>no</v>
      </c>
      <c r="G430" s="3" t="n">
        <f aca="false">Raw_Data!F430</f>
        <v>2366</v>
      </c>
      <c r="H430" s="3" t="str">
        <f aca="false">Raw_Data!G430</f>
        <v>yes</v>
      </c>
      <c r="I430" s="3" t="str">
        <f aca="false">Raw_Data!H430</f>
        <v>no</v>
      </c>
      <c r="J430" s="2" t="n">
        <f aca="false">IF(F430="yes",1,0)</f>
        <v>0</v>
      </c>
      <c r="K430" s="2" t="n">
        <f aca="false">IF(H430="yes",1,0)</f>
        <v>1</v>
      </c>
      <c r="L430" s="2" t="n">
        <f aca="false">IF(I430="yes",1,0)</f>
        <v>0</v>
      </c>
      <c r="M430" s="2" t="n">
        <f aca="false">IF(G430&lt;0,1,0)</f>
        <v>0</v>
      </c>
      <c r="N430" s="2" t="str">
        <f aca="false">_xlfn.IFS(B430&lt;30,"Under 30",B430&lt;40,"30-39",B430&lt;50,"40-49",B430&lt;60,"50-59",TRUE(),"60+")</f>
        <v>30-39</v>
      </c>
      <c r="O430" s="2" t="str">
        <f aca="false">_xlfn.IFS(G430&lt;0,"1 Negative",G430=0,"2 Zero",G430&lt;=500,"3 1-500",G430&lt;=2000,"4 501-2000",TRUE(),"5 Above 2000")</f>
        <v>5 Above 2000</v>
      </c>
      <c r="P430" s="2" t="n">
        <f aca="false">Lookups!$B$2*M430+Lookups!$B$3*L430</f>
        <v>0</v>
      </c>
      <c r="Q430" s="2" t="str">
        <f aca="false">INDEX(Lookups!$E$2:$E$5,MATCH(P430,Lookups!$D$2:$D$5,0))</f>
        <v>Low</v>
      </c>
    </row>
    <row r="431" customFormat="false" ht="15" hidden="false" customHeight="false" outlineLevel="0" collapsed="false">
      <c r="A431" s="3" t="n">
        <v>430</v>
      </c>
      <c r="B431" s="3" t="n">
        <f aca="false">Raw_Data!A431</f>
        <v>40</v>
      </c>
      <c r="C431" s="3" t="str">
        <f aca="false">SUBSTITUTE(Raw_Data!B431,".","")</f>
        <v>management</v>
      </c>
      <c r="D431" s="3" t="str">
        <f aca="false">Raw_Data!C431</f>
        <v>married</v>
      </c>
      <c r="E431" s="3" t="str">
        <f aca="false">Raw_Data!D431</f>
        <v>tertiary</v>
      </c>
      <c r="F431" s="3" t="str">
        <f aca="false">Raw_Data!E431</f>
        <v>no</v>
      </c>
      <c r="G431" s="3" t="n">
        <f aca="false">Raw_Data!F431</f>
        <v>542</v>
      </c>
      <c r="H431" s="3" t="str">
        <f aca="false">Raw_Data!G431</f>
        <v>yes</v>
      </c>
      <c r="I431" s="3" t="str">
        <f aca="false">Raw_Data!H431</f>
        <v>no</v>
      </c>
      <c r="J431" s="2" t="n">
        <f aca="false">IF(F431="yes",1,0)</f>
        <v>0</v>
      </c>
      <c r="K431" s="2" t="n">
        <f aca="false">IF(H431="yes",1,0)</f>
        <v>1</v>
      </c>
      <c r="L431" s="2" t="n">
        <f aca="false">IF(I431="yes",1,0)</f>
        <v>0</v>
      </c>
      <c r="M431" s="2" t="n">
        <f aca="false">IF(G431&lt;0,1,0)</f>
        <v>0</v>
      </c>
      <c r="N431" s="2" t="str">
        <f aca="false">_xlfn.IFS(B431&lt;30,"Under 30",B431&lt;40,"30-39",B431&lt;50,"40-49",B431&lt;60,"50-59",TRUE(),"60+")</f>
        <v>40-49</v>
      </c>
      <c r="O431" s="2" t="str">
        <f aca="false">_xlfn.IFS(G431&lt;0,"1 Negative",G431=0,"2 Zero",G431&lt;=500,"3 1-500",G431&lt;=2000,"4 501-2000",TRUE(),"5 Above 2000")</f>
        <v>4 501-2000</v>
      </c>
      <c r="P431" s="2" t="n">
        <f aca="false">Lookups!$B$2*M431+Lookups!$B$3*L431</f>
        <v>0</v>
      </c>
      <c r="Q431" s="2" t="str">
        <f aca="false">INDEX(Lookups!$E$2:$E$5,MATCH(P431,Lookups!$D$2:$D$5,0))</f>
        <v>Low</v>
      </c>
    </row>
    <row r="432" customFormat="false" ht="15" hidden="false" customHeight="false" outlineLevel="0" collapsed="false">
      <c r="A432" s="3" t="n">
        <v>431</v>
      </c>
      <c r="B432" s="3" t="n">
        <f aca="false">Raw_Data!A432</f>
        <v>53</v>
      </c>
      <c r="C432" s="3" t="str">
        <f aca="false">SUBSTITUTE(Raw_Data!B432,".","")</f>
        <v>management</v>
      </c>
      <c r="D432" s="3" t="str">
        <f aca="false">Raw_Data!C432</f>
        <v>married</v>
      </c>
      <c r="E432" s="3" t="str">
        <f aca="false">Raw_Data!D432</f>
        <v>primary</v>
      </c>
      <c r="F432" s="3" t="str">
        <f aca="false">Raw_Data!E432</f>
        <v>no</v>
      </c>
      <c r="G432" s="3" t="n">
        <f aca="false">Raw_Data!F432</f>
        <v>995</v>
      </c>
      <c r="H432" s="3" t="str">
        <f aca="false">Raw_Data!G432</f>
        <v>no</v>
      </c>
      <c r="I432" s="3" t="str">
        <f aca="false">Raw_Data!H432</f>
        <v>no</v>
      </c>
      <c r="J432" s="2" t="n">
        <f aca="false">IF(F432="yes",1,0)</f>
        <v>0</v>
      </c>
      <c r="K432" s="2" t="n">
        <f aca="false">IF(H432="yes",1,0)</f>
        <v>0</v>
      </c>
      <c r="L432" s="2" t="n">
        <f aca="false">IF(I432="yes",1,0)</f>
        <v>0</v>
      </c>
      <c r="M432" s="2" t="n">
        <f aca="false">IF(G432&lt;0,1,0)</f>
        <v>0</v>
      </c>
      <c r="N432" s="2" t="str">
        <f aca="false">_xlfn.IFS(B432&lt;30,"Under 30",B432&lt;40,"30-39",B432&lt;50,"40-49",B432&lt;60,"50-59",TRUE(),"60+")</f>
        <v>50-59</v>
      </c>
      <c r="O432" s="2" t="str">
        <f aca="false">_xlfn.IFS(G432&lt;0,"1 Negative",G432=0,"2 Zero",G432&lt;=500,"3 1-500",G432&lt;=2000,"4 501-2000",TRUE(),"5 Above 2000")</f>
        <v>4 501-2000</v>
      </c>
      <c r="P432" s="2" t="n">
        <f aca="false">Lookups!$B$2*M432+Lookups!$B$3*L432</f>
        <v>0</v>
      </c>
      <c r="Q432" s="2" t="str">
        <f aca="false">INDEX(Lookups!$E$2:$E$5,MATCH(P432,Lookups!$D$2:$D$5,0))</f>
        <v>Low</v>
      </c>
    </row>
    <row r="433" customFormat="false" ht="15" hidden="false" customHeight="false" outlineLevel="0" collapsed="false">
      <c r="A433" s="3" t="n">
        <v>432</v>
      </c>
      <c r="B433" s="3" t="n">
        <f aca="false">Raw_Data!A433</f>
        <v>29</v>
      </c>
      <c r="C433" s="3" t="str">
        <f aca="false">SUBSTITUTE(Raw_Data!B433,".","")</f>
        <v>management</v>
      </c>
      <c r="D433" s="3" t="str">
        <f aca="false">Raw_Data!C433</f>
        <v>married</v>
      </c>
      <c r="E433" s="3" t="str">
        <f aca="false">Raw_Data!D433</f>
        <v>tertiary</v>
      </c>
      <c r="F433" s="3" t="str">
        <f aca="false">Raw_Data!E433</f>
        <v>no</v>
      </c>
      <c r="G433" s="3" t="n">
        <f aca="false">Raw_Data!F433</f>
        <v>20</v>
      </c>
      <c r="H433" s="3" t="str">
        <f aca="false">Raw_Data!G433</f>
        <v>yes</v>
      </c>
      <c r="I433" s="3" t="str">
        <f aca="false">Raw_Data!H433</f>
        <v>no</v>
      </c>
      <c r="J433" s="2" t="n">
        <f aca="false">IF(F433="yes",1,0)</f>
        <v>0</v>
      </c>
      <c r="K433" s="2" t="n">
        <f aca="false">IF(H433="yes",1,0)</f>
        <v>1</v>
      </c>
      <c r="L433" s="2" t="n">
        <f aca="false">IF(I433="yes",1,0)</f>
        <v>0</v>
      </c>
      <c r="M433" s="2" t="n">
        <f aca="false">IF(G433&lt;0,1,0)</f>
        <v>0</v>
      </c>
      <c r="N433" s="2" t="str">
        <f aca="false">_xlfn.IFS(B433&lt;30,"Under 30",B433&lt;40,"30-39",B433&lt;50,"40-49",B433&lt;60,"50-59",TRUE(),"60+")</f>
        <v>Under 30</v>
      </c>
      <c r="O433" s="2" t="str">
        <f aca="false">_xlfn.IFS(G433&lt;0,"1 Negative",G433=0,"2 Zero",G433&lt;=500,"3 1-500",G433&lt;=2000,"4 501-2000",TRUE(),"5 Above 2000")</f>
        <v>3 1-500</v>
      </c>
      <c r="P433" s="2" t="n">
        <f aca="false">Lookups!$B$2*M433+Lookups!$B$3*L433</f>
        <v>0</v>
      </c>
      <c r="Q433" s="2" t="str">
        <f aca="false">INDEX(Lookups!$E$2:$E$5,MATCH(P433,Lookups!$D$2:$D$5,0))</f>
        <v>Low</v>
      </c>
    </row>
    <row r="434" customFormat="false" ht="15" hidden="false" customHeight="false" outlineLevel="0" collapsed="false">
      <c r="A434" s="3" t="n">
        <v>433</v>
      </c>
      <c r="B434" s="3" t="n">
        <f aca="false">Raw_Data!A434</f>
        <v>34</v>
      </c>
      <c r="C434" s="3" t="str">
        <f aca="false">SUBSTITUTE(Raw_Data!B434,".","")</f>
        <v>technician</v>
      </c>
      <c r="D434" s="3" t="str">
        <f aca="false">Raw_Data!C434</f>
        <v>single</v>
      </c>
      <c r="E434" s="3" t="str">
        <f aca="false">Raw_Data!D434</f>
        <v>tertiary</v>
      </c>
      <c r="F434" s="3" t="str">
        <f aca="false">Raw_Data!E434</f>
        <v>no</v>
      </c>
      <c r="G434" s="3" t="n">
        <f aca="false">Raw_Data!F434</f>
        <v>228</v>
      </c>
      <c r="H434" s="3" t="str">
        <f aca="false">Raw_Data!G434</f>
        <v>yes</v>
      </c>
      <c r="I434" s="3" t="str">
        <f aca="false">Raw_Data!H434</f>
        <v>no</v>
      </c>
      <c r="J434" s="2" t="n">
        <f aca="false">IF(F434="yes",1,0)</f>
        <v>0</v>
      </c>
      <c r="K434" s="2" t="n">
        <f aca="false">IF(H434="yes",1,0)</f>
        <v>1</v>
      </c>
      <c r="L434" s="2" t="n">
        <f aca="false">IF(I434="yes",1,0)</f>
        <v>0</v>
      </c>
      <c r="M434" s="2" t="n">
        <f aca="false">IF(G434&lt;0,1,0)</f>
        <v>0</v>
      </c>
      <c r="N434" s="2" t="str">
        <f aca="false">_xlfn.IFS(B434&lt;30,"Under 30",B434&lt;40,"30-39",B434&lt;50,"40-49",B434&lt;60,"50-59",TRUE(),"60+")</f>
        <v>30-39</v>
      </c>
      <c r="O434" s="2" t="str">
        <f aca="false">_xlfn.IFS(G434&lt;0,"1 Negative",G434=0,"2 Zero",G434&lt;=500,"3 1-500",G434&lt;=2000,"4 501-2000",TRUE(),"5 Above 2000")</f>
        <v>3 1-500</v>
      </c>
      <c r="P434" s="2" t="n">
        <f aca="false">Lookups!$B$2*M434+Lookups!$B$3*L434</f>
        <v>0</v>
      </c>
      <c r="Q434" s="2" t="str">
        <f aca="false">INDEX(Lookups!$E$2:$E$5,MATCH(P434,Lookups!$D$2:$D$5,0))</f>
        <v>Low</v>
      </c>
    </row>
    <row r="435" customFormat="false" ht="15" hidden="false" customHeight="false" outlineLevel="0" collapsed="false">
      <c r="A435" s="3" t="n">
        <v>434</v>
      </c>
      <c r="B435" s="3" t="n">
        <f aca="false">Raw_Data!A435</f>
        <v>43</v>
      </c>
      <c r="C435" s="3" t="str">
        <f aca="false">SUBSTITUTE(Raw_Data!B435,".","")</f>
        <v>blue-collar</v>
      </c>
      <c r="D435" s="3" t="str">
        <f aca="false">Raw_Data!C435</f>
        <v>married</v>
      </c>
      <c r="E435" s="3" t="str">
        <f aca="false">Raw_Data!D435</f>
        <v>secondary</v>
      </c>
      <c r="F435" s="3" t="str">
        <f aca="false">Raw_Data!E435</f>
        <v>no</v>
      </c>
      <c r="G435" s="3" t="n">
        <f aca="false">Raw_Data!F435</f>
        <v>130</v>
      </c>
      <c r="H435" s="3" t="str">
        <f aca="false">Raw_Data!G435</f>
        <v>no</v>
      </c>
      <c r="I435" s="3" t="str">
        <f aca="false">Raw_Data!H435</f>
        <v>no</v>
      </c>
      <c r="J435" s="2" t="n">
        <f aca="false">IF(F435="yes",1,0)</f>
        <v>0</v>
      </c>
      <c r="K435" s="2" t="n">
        <f aca="false">IF(H435="yes",1,0)</f>
        <v>0</v>
      </c>
      <c r="L435" s="2" t="n">
        <f aca="false">IF(I435="yes",1,0)</f>
        <v>0</v>
      </c>
      <c r="M435" s="2" t="n">
        <f aca="false">IF(G435&lt;0,1,0)</f>
        <v>0</v>
      </c>
      <c r="N435" s="2" t="str">
        <f aca="false">_xlfn.IFS(B435&lt;30,"Under 30",B435&lt;40,"30-39",B435&lt;50,"40-49",B435&lt;60,"50-59",TRUE(),"60+")</f>
        <v>40-49</v>
      </c>
      <c r="O435" s="2" t="str">
        <f aca="false">_xlfn.IFS(G435&lt;0,"1 Negative",G435=0,"2 Zero",G435&lt;=500,"3 1-500",G435&lt;=2000,"4 501-2000",TRUE(),"5 Above 2000")</f>
        <v>3 1-500</v>
      </c>
      <c r="P435" s="2" t="n">
        <f aca="false">Lookups!$B$2*M435+Lookups!$B$3*L435</f>
        <v>0</v>
      </c>
      <c r="Q435" s="2" t="str">
        <f aca="false">INDEX(Lookups!$E$2:$E$5,MATCH(P435,Lookups!$D$2:$D$5,0))</f>
        <v>Low</v>
      </c>
    </row>
    <row r="436" customFormat="false" ht="15" hidden="false" customHeight="false" outlineLevel="0" collapsed="false">
      <c r="A436" s="3" t="n">
        <v>435</v>
      </c>
      <c r="B436" s="3" t="n">
        <f aca="false">Raw_Data!A436</f>
        <v>56</v>
      </c>
      <c r="C436" s="3" t="str">
        <f aca="false">SUBSTITUTE(Raw_Data!B436,".","")</f>
        <v>management</v>
      </c>
      <c r="D436" s="3" t="str">
        <f aca="false">Raw_Data!C436</f>
        <v>married</v>
      </c>
      <c r="E436" s="3" t="str">
        <f aca="false">Raw_Data!D436</f>
        <v>tertiary</v>
      </c>
      <c r="F436" s="3" t="str">
        <f aca="false">Raw_Data!E436</f>
        <v>no</v>
      </c>
      <c r="G436" s="3" t="n">
        <f aca="false">Raw_Data!F436</f>
        <v>217</v>
      </c>
      <c r="H436" s="3" t="str">
        <f aca="false">Raw_Data!G436</f>
        <v>no</v>
      </c>
      <c r="I436" s="3" t="str">
        <f aca="false">Raw_Data!H436</f>
        <v>yes</v>
      </c>
      <c r="J436" s="2" t="n">
        <f aca="false">IF(F436="yes",1,0)</f>
        <v>0</v>
      </c>
      <c r="K436" s="2" t="n">
        <f aca="false">IF(H436="yes",1,0)</f>
        <v>0</v>
      </c>
      <c r="L436" s="2" t="n">
        <f aca="false">IF(I436="yes",1,0)</f>
        <v>1</v>
      </c>
      <c r="M436" s="2" t="n">
        <f aca="false">IF(G436&lt;0,1,0)</f>
        <v>0</v>
      </c>
      <c r="N436" s="2" t="str">
        <f aca="false">_xlfn.IFS(B436&lt;30,"Under 30",B436&lt;40,"30-39",B436&lt;50,"40-49",B436&lt;60,"50-59",TRUE(),"60+")</f>
        <v>50-59</v>
      </c>
      <c r="O436" s="2" t="str">
        <f aca="false">_xlfn.IFS(G436&lt;0,"1 Negative",G436=0,"2 Zero",G436&lt;=500,"3 1-500",G436&lt;=2000,"4 501-2000",TRUE(),"5 Above 2000")</f>
        <v>3 1-500</v>
      </c>
      <c r="P436" s="2" t="n">
        <f aca="false">Lookups!$B$2*M436+Lookups!$B$3*L436</f>
        <v>1</v>
      </c>
      <c r="Q436" s="2" t="str">
        <f aca="false">INDEX(Lookups!$E$2:$E$5,MATCH(P436,Lookups!$D$2:$D$5,0))</f>
        <v>Medium</v>
      </c>
    </row>
    <row r="437" customFormat="false" ht="15" hidden="false" customHeight="false" outlineLevel="0" collapsed="false">
      <c r="A437" s="3" t="n">
        <v>436</v>
      </c>
      <c r="B437" s="3" t="n">
        <f aca="false">Raw_Data!A437</f>
        <v>55</v>
      </c>
      <c r="C437" s="3" t="str">
        <f aca="false">SUBSTITUTE(Raw_Data!B437,".","")</f>
        <v>entrepreneur</v>
      </c>
      <c r="D437" s="3" t="str">
        <f aca="false">Raw_Data!C437</f>
        <v>divorced</v>
      </c>
      <c r="E437" s="3" t="str">
        <f aca="false">Raw_Data!D437</f>
        <v>tertiary</v>
      </c>
      <c r="F437" s="3" t="str">
        <f aca="false">Raw_Data!E437</f>
        <v>no</v>
      </c>
      <c r="G437" s="3" t="n">
        <f aca="false">Raw_Data!F437</f>
        <v>0</v>
      </c>
      <c r="H437" s="3" t="str">
        <f aca="false">Raw_Data!G437</f>
        <v>no</v>
      </c>
      <c r="I437" s="3" t="str">
        <f aca="false">Raw_Data!H437</f>
        <v>no</v>
      </c>
      <c r="J437" s="2" t="n">
        <f aca="false">IF(F437="yes",1,0)</f>
        <v>0</v>
      </c>
      <c r="K437" s="2" t="n">
        <f aca="false">IF(H437="yes",1,0)</f>
        <v>0</v>
      </c>
      <c r="L437" s="2" t="n">
        <f aca="false">IF(I437="yes",1,0)</f>
        <v>0</v>
      </c>
      <c r="M437" s="2" t="n">
        <f aca="false">IF(G437&lt;0,1,0)</f>
        <v>0</v>
      </c>
      <c r="N437" s="2" t="str">
        <f aca="false">_xlfn.IFS(B437&lt;30,"Under 30",B437&lt;40,"30-39",B437&lt;50,"40-49",B437&lt;60,"50-59",TRUE(),"60+")</f>
        <v>50-59</v>
      </c>
      <c r="O437" s="2" t="str">
        <f aca="false">_xlfn.IFS(G437&lt;0,"1 Negative",G437=0,"2 Zero",G437&lt;=500,"3 1-500",G437&lt;=2000,"4 501-2000",TRUE(),"5 Above 2000")</f>
        <v>2 Zero</v>
      </c>
      <c r="P437" s="2" t="n">
        <f aca="false">Lookups!$B$2*M437+Lookups!$B$3*L437</f>
        <v>0</v>
      </c>
      <c r="Q437" s="2" t="str">
        <f aca="false">INDEX(Lookups!$E$2:$E$5,MATCH(P437,Lookups!$D$2:$D$5,0))</f>
        <v>Low</v>
      </c>
    </row>
    <row r="438" customFormat="false" ht="15" hidden="false" customHeight="false" outlineLevel="0" collapsed="false">
      <c r="A438" s="3" t="n">
        <v>437</v>
      </c>
      <c r="B438" s="3" t="n">
        <f aca="false">Raw_Data!A438</f>
        <v>31</v>
      </c>
      <c r="C438" s="3" t="str">
        <f aca="false">SUBSTITUTE(Raw_Data!B438,".","")</f>
        <v>self-employed</v>
      </c>
      <c r="D438" s="3" t="str">
        <f aca="false">Raw_Data!C438</f>
        <v>married</v>
      </c>
      <c r="E438" s="3" t="str">
        <f aca="false">Raw_Data!D438</f>
        <v>tertiary</v>
      </c>
      <c r="F438" s="3" t="str">
        <f aca="false">Raw_Data!E438</f>
        <v>no</v>
      </c>
      <c r="G438" s="3" t="n">
        <f aca="false">Raw_Data!F438</f>
        <v>259</v>
      </c>
      <c r="H438" s="3" t="str">
        <f aca="false">Raw_Data!G438</f>
        <v>yes</v>
      </c>
      <c r="I438" s="3" t="str">
        <f aca="false">Raw_Data!H438</f>
        <v>no</v>
      </c>
      <c r="J438" s="2" t="n">
        <f aca="false">IF(F438="yes",1,0)</f>
        <v>0</v>
      </c>
      <c r="K438" s="2" t="n">
        <f aca="false">IF(H438="yes",1,0)</f>
        <v>1</v>
      </c>
      <c r="L438" s="2" t="n">
        <f aca="false">IF(I438="yes",1,0)</f>
        <v>0</v>
      </c>
      <c r="M438" s="2" t="n">
        <f aca="false">IF(G438&lt;0,1,0)</f>
        <v>0</v>
      </c>
      <c r="N438" s="2" t="str">
        <f aca="false">_xlfn.IFS(B438&lt;30,"Under 30",B438&lt;40,"30-39",B438&lt;50,"40-49",B438&lt;60,"50-59",TRUE(),"60+")</f>
        <v>30-39</v>
      </c>
      <c r="O438" s="2" t="str">
        <f aca="false">_xlfn.IFS(G438&lt;0,"1 Negative",G438=0,"2 Zero",G438&lt;=500,"3 1-500",G438&lt;=2000,"4 501-2000",TRUE(),"5 Above 2000")</f>
        <v>3 1-500</v>
      </c>
      <c r="P438" s="2" t="n">
        <f aca="false">Lookups!$B$2*M438+Lookups!$B$3*L438</f>
        <v>0</v>
      </c>
      <c r="Q438" s="2" t="str">
        <f aca="false">INDEX(Lookups!$E$2:$E$5,MATCH(P438,Lookups!$D$2:$D$5,0))</f>
        <v>Low</v>
      </c>
    </row>
    <row r="439" customFormat="false" ht="15" hidden="false" customHeight="false" outlineLevel="0" collapsed="false">
      <c r="A439" s="3" t="n">
        <v>438</v>
      </c>
      <c r="B439" s="3" t="n">
        <f aca="false">Raw_Data!A439</f>
        <v>27</v>
      </c>
      <c r="C439" s="3" t="str">
        <f aca="false">SUBSTITUTE(Raw_Data!B439,".","")</f>
        <v>admin</v>
      </c>
      <c r="D439" s="3" t="str">
        <f aca="false">Raw_Data!C439</f>
        <v>single</v>
      </c>
      <c r="E439" s="3" t="str">
        <f aca="false">Raw_Data!D439</f>
        <v>secondary</v>
      </c>
      <c r="F439" s="3" t="str">
        <f aca="false">Raw_Data!E439</f>
        <v>no</v>
      </c>
      <c r="G439" s="3" t="n">
        <f aca="false">Raw_Data!F439</f>
        <v>619</v>
      </c>
      <c r="H439" s="3" t="str">
        <f aca="false">Raw_Data!G439</f>
        <v>yes</v>
      </c>
      <c r="I439" s="3" t="str">
        <f aca="false">Raw_Data!H439</f>
        <v>no</v>
      </c>
      <c r="J439" s="2" t="n">
        <f aca="false">IF(F439="yes",1,0)</f>
        <v>0</v>
      </c>
      <c r="K439" s="2" t="n">
        <f aca="false">IF(H439="yes",1,0)</f>
        <v>1</v>
      </c>
      <c r="L439" s="2" t="n">
        <f aca="false">IF(I439="yes",1,0)</f>
        <v>0</v>
      </c>
      <c r="M439" s="2" t="n">
        <f aca="false">IF(G439&lt;0,1,0)</f>
        <v>0</v>
      </c>
      <c r="N439" s="2" t="str">
        <f aca="false">_xlfn.IFS(B439&lt;30,"Under 30",B439&lt;40,"30-39",B439&lt;50,"40-49",B439&lt;60,"50-59",TRUE(),"60+")</f>
        <v>Under 30</v>
      </c>
      <c r="O439" s="2" t="str">
        <f aca="false">_xlfn.IFS(G439&lt;0,"1 Negative",G439=0,"2 Zero",G439&lt;=500,"3 1-500",G439&lt;=2000,"4 501-2000",TRUE(),"5 Above 2000")</f>
        <v>4 501-2000</v>
      </c>
      <c r="P439" s="2" t="n">
        <f aca="false">Lookups!$B$2*M439+Lookups!$B$3*L439</f>
        <v>0</v>
      </c>
      <c r="Q439" s="2" t="str">
        <f aca="false">INDEX(Lookups!$E$2:$E$5,MATCH(P439,Lookups!$D$2:$D$5,0))</f>
        <v>Low</v>
      </c>
    </row>
    <row r="440" customFormat="false" ht="15" hidden="false" customHeight="false" outlineLevel="0" collapsed="false">
      <c r="A440" s="3" t="n">
        <v>439</v>
      </c>
      <c r="B440" s="3" t="n">
        <f aca="false">Raw_Data!A440</f>
        <v>36</v>
      </c>
      <c r="C440" s="3" t="str">
        <f aca="false">SUBSTITUTE(Raw_Data!B440,".","")</f>
        <v>management</v>
      </c>
      <c r="D440" s="3" t="str">
        <f aca="false">Raw_Data!C440</f>
        <v>married</v>
      </c>
      <c r="E440" s="3" t="str">
        <f aca="false">Raw_Data!D440</f>
        <v>secondary</v>
      </c>
      <c r="F440" s="3" t="str">
        <f aca="false">Raw_Data!E440</f>
        <v>no</v>
      </c>
      <c r="G440" s="3" t="n">
        <f aca="false">Raw_Data!F440</f>
        <v>644</v>
      </c>
      <c r="H440" s="3" t="str">
        <f aca="false">Raw_Data!G440</f>
        <v>yes</v>
      </c>
      <c r="I440" s="3" t="str">
        <f aca="false">Raw_Data!H440</f>
        <v>no</v>
      </c>
      <c r="J440" s="2" t="n">
        <f aca="false">IF(F440="yes",1,0)</f>
        <v>0</v>
      </c>
      <c r="K440" s="2" t="n">
        <f aca="false">IF(H440="yes",1,0)</f>
        <v>1</v>
      </c>
      <c r="L440" s="2" t="n">
        <f aca="false">IF(I440="yes",1,0)</f>
        <v>0</v>
      </c>
      <c r="M440" s="2" t="n">
        <f aca="false">IF(G440&lt;0,1,0)</f>
        <v>0</v>
      </c>
      <c r="N440" s="2" t="str">
        <f aca="false">_xlfn.IFS(B440&lt;30,"Under 30",B440&lt;40,"30-39",B440&lt;50,"40-49",B440&lt;60,"50-59",TRUE(),"60+")</f>
        <v>30-39</v>
      </c>
      <c r="O440" s="2" t="str">
        <f aca="false">_xlfn.IFS(G440&lt;0,"1 Negative",G440=0,"2 Zero",G440&lt;=500,"3 1-500",G440&lt;=2000,"4 501-2000",TRUE(),"5 Above 2000")</f>
        <v>4 501-2000</v>
      </c>
      <c r="P440" s="2" t="n">
        <f aca="false">Lookups!$B$2*M440+Lookups!$B$3*L440</f>
        <v>0</v>
      </c>
      <c r="Q440" s="2" t="str">
        <f aca="false">INDEX(Lookups!$E$2:$E$5,MATCH(P440,Lookups!$D$2:$D$5,0))</f>
        <v>Low</v>
      </c>
    </row>
    <row r="441" customFormat="false" ht="15" hidden="false" customHeight="false" outlineLevel="0" collapsed="false">
      <c r="A441" s="3" t="n">
        <v>440</v>
      </c>
      <c r="B441" s="3" t="n">
        <f aca="false">Raw_Data!A441</f>
        <v>44</v>
      </c>
      <c r="C441" s="3" t="str">
        <f aca="false">SUBSTITUTE(Raw_Data!B441,".","")</f>
        <v>management</v>
      </c>
      <c r="D441" s="3" t="str">
        <f aca="false">Raw_Data!C441</f>
        <v>married</v>
      </c>
      <c r="E441" s="3" t="str">
        <f aca="false">Raw_Data!D441</f>
        <v>tertiary</v>
      </c>
      <c r="F441" s="3" t="str">
        <f aca="false">Raw_Data!E441</f>
        <v>no</v>
      </c>
      <c r="G441" s="3" t="n">
        <f aca="false">Raw_Data!F441</f>
        <v>22</v>
      </c>
      <c r="H441" s="3" t="str">
        <f aca="false">Raw_Data!G441</f>
        <v>yes</v>
      </c>
      <c r="I441" s="3" t="str">
        <f aca="false">Raw_Data!H441</f>
        <v>no</v>
      </c>
      <c r="J441" s="2" t="n">
        <f aca="false">IF(F441="yes",1,0)</f>
        <v>0</v>
      </c>
      <c r="K441" s="2" t="n">
        <f aca="false">IF(H441="yes",1,0)</f>
        <v>1</v>
      </c>
      <c r="L441" s="2" t="n">
        <f aca="false">IF(I441="yes",1,0)</f>
        <v>0</v>
      </c>
      <c r="M441" s="2" t="n">
        <f aca="false">IF(G441&lt;0,1,0)</f>
        <v>0</v>
      </c>
      <c r="N441" s="2" t="str">
        <f aca="false">_xlfn.IFS(B441&lt;30,"Under 30",B441&lt;40,"30-39",B441&lt;50,"40-49",B441&lt;60,"50-59",TRUE(),"60+")</f>
        <v>40-49</v>
      </c>
      <c r="O441" s="2" t="str">
        <f aca="false">_xlfn.IFS(G441&lt;0,"1 Negative",G441=0,"2 Zero",G441&lt;=500,"3 1-500",G441&lt;=2000,"4 501-2000",TRUE(),"5 Above 2000")</f>
        <v>3 1-500</v>
      </c>
      <c r="P441" s="2" t="n">
        <f aca="false">Lookups!$B$2*M441+Lookups!$B$3*L441</f>
        <v>0</v>
      </c>
      <c r="Q441" s="2" t="str">
        <f aca="false">INDEX(Lookups!$E$2:$E$5,MATCH(P441,Lookups!$D$2:$D$5,0))</f>
        <v>Low</v>
      </c>
    </row>
    <row r="442" customFormat="false" ht="15" hidden="false" customHeight="false" outlineLevel="0" collapsed="false">
      <c r="A442" s="3" t="n">
        <v>441</v>
      </c>
      <c r="B442" s="3" t="n">
        <f aca="false">Raw_Data!A442</f>
        <v>37</v>
      </c>
      <c r="C442" s="3" t="str">
        <f aca="false">SUBSTITUTE(Raw_Data!B442,".","")</f>
        <v>admin</v>
      </c>
      <c r="D442" s="3" t="str">
        <f aca="false">Raw_Data!C442</f>
        <v>divorced</v>
      </c>
      <c r="E442" s="3" t="str">
        <f aca="false">Raw_Data!D442</f>
        <v>tertiary</v>
      </c>
      <c r="F442" s="3" t="str">
        <f aca="false">Raw_Data!E442</f>
        <v>no</v>
      </c>
      <c r="G442" s="3" t="n">
        <f aca="false">Raw_Data!F442</f>
        <v>4303</v>
      </c>
      <c r="H442" s="3" t="str">
        <f aca="false">Raw_Data!G442</f>
        <v>yes</v>
      </c>
      <c r="I442" s="3" t="str">
        <f aca="false">Raw_Data!H442</f>
        <v>no</v>
      </c>
      <c r="J442" s="2" t="n">
        <f aca="false">IF(F442="yes",1,0)</f>
        <v>0</v>
      </c>
      <c r="K442" s="2" t="n">
        <f aca="false">IF(H442="yes",1,0)</f>
        <v>1</v>
      </c>
      <c r="L442" s="2" t="n">
        <f aca="false">IF(I442="yes",1,0)</f>
        <v>0</v>
      </c>
      <c r="M442" s="2" t="n">
        <f aca="false">IF(G442&lt;0,1,0)</f>
        <v>0</v>
      </c>
      <c r="N442" s="2" t="str">
        <f aca="false">_xlfn.IFS(B442&lt;30,"Under 30",B442&lt;40,"30-39",B442&lt;50,"40-49",B442&lt;60,"50-59",TRUE(),"60+")</f>
        <v>30-39</v>
      </c>
      <c r="O442" s="2" t="str">
        <f aca="false">_xlfn.IFS(G442&lt;0,"1 Negative",G442=0,"2 Zero",G442&lt;=500,"3 1-500",G442&lt;=2000,"4 501-2000",TRUE(),"5 Above 2000")</f>
        <v>5 Above 2000</v>
      </c>
      <c r="P442" s="2" t="n">
        <f aca="false">Lookups!$B$2*M442+Lookups!$B$3*L442</f>
        <v>0</v>
      </c>
      <c r="Q442" s="2" t="str">
        <f aca="false">INDEX(Lookups!$E$2:$E$5,MATCH(P442,Lookups!$D$2:$D$5,0))</f>
        <v>Low</v>
      </c>
    </row>
    <row r="443" customFormat="false" ht="15" hidden="false" customHeight="false" outlineLevel="0" collapsed="false">
      <c r="A443" s="3" t="n">
        <v>442</v>
      </c>
      <c r="B443" s="3" t="n">
        <f aca="false">Raw_Data!A443</f>
        <v>30</v>
      </c>
      <c r="C443" s="3" t="str">
        <f aca="false">SUBSTITUTE(Raw_Data!B443,".","")</f>
        <v>admin</v>
      </c>
      <c r="D443" s="3" t="str">
        <f aca="false">Raw_Data!C443</f>
        <v>single</v>
      </c>
      <c r="E443" s="3" t="str">
        <f aca="false">Raw_Data!D443</f>
        <v>secondary</v>
      </c>
      <c r="F443" s="3" t="str">
        <f aca="false">Raw_Data!E443</f>
        <v>no</v>
      </c>
      <c r="G443" s="3" t="n">
        <f aca="false">Raw_Data!F443</f>
        <v>239</v>
      </c>
      <c r="H443" s="3" t="str">
        <f aca="false">Raw_Data!G443</f>
        <v>yes</v>
      </c>
      <c r="I443" s="3" t="str">
        <f aca="false">Raw_Data!H443</f>
        <v>no</v>
      </c>
      <c r="J443" s="2" t="n">
        <f aca="false">IF(F443="yes",1,0)</f>
        <v>0</v>
      </c>
      <c r="K443" s="2" t="n">
        <f aca="false">IF(H443="yes",1,0)</f>
        <v>1</v>
      </c>
      <c r="L443" s="2" t="n">
        <f aca="false">IF(I443="yes",1,0)</f>
        <v>0</v>
      </c>
      <c r="M443" s="2" t="n">
        <f aca="false">IF(G443&lt;0,1,0)</f>
        <v>0</v>
      </c>
      <c r="N443" s="2" t="str">
        <f aca="false">_xlfn.IFS(B443&lt;30,"Under 30",B443&lt;40,"30-39",B443&lt;50,"40-49",B443&lt;60,"50-59",TRUE(),"60+")</f>
        <v>30-39</v>
      </c>
      <c r="O443" s="2" t="str">
        <f aca="false">_xlfn.IFS(G443&lt;0,"1 Negative",G443=0,"2 Zero",G443&lt;=500,"3 1-500",G443&lt;=2000,"4 501-2000",TRUE(),"5 Above 2000")</f>
        <v>3 1-500</v>
      </c>
      <c r="P443" s="2" t="n">
        <f aca="false">Lookups!$B$2*M443+Lookups!$B$3*L443</f>
        <v>0</v>
      </c>
      <c r="Q443" s="2" t="str">
        <f aca="false">INDEX(Lookups!$E$2:$E$5,MATCH(P443,Lookups!$D$2:$D$5,0))</f>
        <v>Low</v>
      </c>
    </row>
    <row r="444" customFormat="false" ht="15" hidden="false" customHeight="false" outlineLevel="0" collapsed="false">
      <c r="A444" s="3" t="n">
        <v>443</v>
      </c>
      <c r="B444" s="3" t="n">
        <f aca="false">Raw_Data!A444</f>
        <v>42</v>
      </c>
      <c r="C444" s="3" t="str">
        <f aca="false">SUBSTITUTE(Raw_Data!B444,".","")</f>
        <v>technician</v>
      </c>
      <c r="D444" s="3" t="str">
        <f aca="false">Raw_Data!C444</f>
        <v>single</v>
      </c>
      <c r="E444" s="3" t="str">
        <f aca="false">Raw_Data!D444</f>
        <v>secondary</v>
      </c>
      <c r="F444" s="3" t="str">
        <f aca="false">Raw_Data!E444</f>
        <v>no</v>
      </c>
      <c r="G444" s="3" t="n">
        <f aca="false">Raw_Data!F444</f>
        <v>275</v>
      </c>
      <c r="H444" s="3" t="str">
        <f aca="false">Raw_Data!G444</f>
        <v>no</v>
      </c>
      <c r="I444" s="3" t="str">
        <f aca="false">Raw_Data!H444</f>
        <v>no</v>
      </c>
      <c r="J444" s="2" t="n">
        <f aca="false">IF(F444="yes",1,0)</f>
        <v>0</v>
      </c>
      <c r="K444" s="2" t="n">
        <f aca="false">IF(H444="yes",1,0)</f>
        <v>0</v>
      </c>
      <c r="L444" s="2" t="n">
        <f aca="false">IF(I444="yes",1,0)</f>
        <v>0</v>
      </c>
      <c r="M444" s="2" t="n">
        <f aca="false">IF(G444&lt;0,1,0)</f>
        <v>0</v>
      </c>
      <c r="N444" s="2" t="str">
        <f aca="false">_xlfn.IFS(B444&lt;30,"Under 30",B444&lt;40,"30-39",B444&lt;50,"40-49",B444&lt;60,"50-59",TRUE(),"60+")</f>
        <v>40-49</v>
      </c>
      <c r="O444" s="2" t="str">
        <f aca="false">_xlfn.IFS(G444&lt;0,"1 Negative",G444=0,"2 Zero",G444&lt;=500,"3 1-500",G444&lt;=2000,"4 501-2000",TRUE(),"5 Above 2000")</f>
        <v>3 1-500</v>
      </c>
      <c r="P444" s="2" t="n">
        <f aca="false">Lookups!$B$2*M444+Lookups!$B$3*L444</f>
        <v>0</v>
      </c>
      <c r="Q444" s="2" t="str">
        <f aca="false">INDEX(Lookups!$E$2:$E$5,MATCH(P444,Lookups!$D$2:$D$5,0))</f>
        <v>Low</v>
      </c>
    </row>
    <row r="445" customFormat="false" ht="15" hidden="false" customHeight="false" outlineLevel="0" collapsed="false">
      <c r="A445" s="3" t="n">
        <v>444</v>
      </c>
      <c r="B445" s="3" t="n">
        <f aca="false">Raw_Data!A445</f>
        <v>30</v>
      </c>
      <c r="C445" s="3" t="str">
        <f aca="false">SUBSTITUTE(Raw_Data!B445,".","")</f>
        <v>management</v>
      </c>
      <c r="D445" s="3" t="str">
        <f aca="false">Raw_Data!C445</f>
        <v>married</v>
      </c>
      <c r="E445" s="3" t="str">
        <f aca="false">Raw_Data!D445</f>
        <v>tertiary</v>
      </c>
      <c r="F445" s="3" t="str">
        <f aca="false">Raw_Data!E445</f>
        <v>no</v>
      </c>
      <c r="G445" s="3" t="n">
        <f aca="false">Raw_Data!F445</f>
        <v>1221</v>
      </c>
      <c r="H445" s="3" t="str">
        <f aca="false">Raw_Data!G445</f>
        <v>yes</v>
      </c>
      <c r="I445" s="3" t="str">
        <f aca="false">Raw_Data!H445</f>
        <v>no</v>
      </c>
      <c r="J445" s="2" t="n">
        <f aca="false">IF(F445="yes",1,0)</f>
        <v>0</v>
      </c>
      <c r="K445" s="2" t="n">
        <f aca="false">IF(H445="yes",1,0)</f>
        <v>1</v>
      </c>
      <c r="L445" s="2" t="n">
        <f aca="false">IF(I445="yes",1,0)</f>
        <v>0</v>
      </c>
      <c r="M445" s="2" t="n">
        <f aca="false">IF(G445&lt;0,1,0)</f>
        <v>0</v>
      </c>
      <c r="N445" s="2" t="str">
        <f aca="false">_xlfn.IFS(B445&lt;30,"Under 30",B445&lt;40,"30-39",B445&lt;50,"40-49",B445&lt;60,"50-59",TRUE(),"60+")</f>
        <v>30-39</v>
      </c>
      <c r="O445" s="2" t="str">
        <f aca="false">_xlfn.IFS(G445&lt;0,"1 Negative",G445=0,"2 Zero",G445&lt;=500,"3 1-500",G445&lt;=2000,"4 501-2000",TRUE(),"5 Above 2000")</f>
        <v>4 501-2000</v>
      </c>
      <c r="P445" s="2" t="n">
        <f aca="false">Lookups!$B$2*M445+Lookups!$B$3*L445</f>
        <v>0</v>
      </c>
      <c r="Q445" s="2" t="str">
        <f aca="false">INDEX(Lookups!$E$2:$E$5,MATCH(P445,Lookups!$D$2:$D$5,0))</f>
        <v>Low</v>
      </c>
    </row>
    <row r="446" customFormat="false" ht="15" hidden="false" customHeight="false" outlineLevel="0" collapsed="false">
      <c r="A446" s="3" t="n">
        <v>445</v>
      </c>
      <c r="B446" s="3" t="n">
        <f aca="false">Raw_Data!A446</f>
        <v>62</v>
      </c>
      <c r="C446" s="3" t="str">
        <f aca="false">SUBSTITUTE(Raw_Data!B446,".","")</f>
        <v>retired</v>
      </c>
      <c r="D446" s="3" t="str">
        <f aca="false">Raw_Data!C446</f>
        <v>married</v>
      </c>
      <c r="E446" s="3" t="str">
        <f aca="false">Raw_Data!D446</f>
        <v>secondary</v>
      </c>
      <c r="F446" s="3" t="str">
        <f aca="false">Raw_Data!E446</f>
        <v>no</v>
      </c>
      <c r="G446" s="3" t="n">
        <f aca="false">Raw_Data!F446</f>
        <v>816</v>
      </c>
      <c r="H446" s="3" t="str">
        <f aca="false">Raw_Data!G446</f>
        <v>no</v>
      </c>
      <c r="I446" s="3" t="str">
        <f aca="false">Raw_Data!H446</f>
        <v>no</v>
      </c>
      <c r="J446" s="2" t="n">
        <f aca="false">IF(F446="yes",1,0)</f>
        <v>0</v>
      </c>
      <c r="K446" s="2" t="n">
        <f aca="false">IF(H446="yes",1,0)</f>
        <v>0</v>
      </c>
      <c r="L446" s="2" t="n">
        <f aca="false">IF(I446="yes",1,0)</f>
        <v>0</v>
      </c>
      <c r="M446" s="2" t="n">
        <f aca="false">IF(G446&lt;0,1,0)</f>
        <v>0</v>
      </c>
      <c r="N446" s="2" t="str">
        <f aca="false">_xlfn.IFS(B446&lt;30,"Under 30",B446&lt;40,"30-39",B446&lt;50,"40-49",B446&lt;60,"50-59",TRUE(),"60+")</f>
        <v>60+</v>
      </c>
      <c r="O446" s="2" t="str">
        <f aca="false">_xlfn.IFS(G446&lt;0,"1 Negative",G446=0,"2 Zero",G446&lt;=500,"3 1-500",G446&lt;=2000,"4 501-2000",TRUE(),"5 Above 2000")</f>
        <v>4 501-2000</v>
      </c>
      <c r="P446" s="2" t="n">
        <f aca="false">Lookups!$B$2*M446+Lookups!$B$3*L446</f>
        <v>0</v>
      </c>
      <c r="Q446" s="2" t="str">
        <f aca="false">INDEX(Lookups!$E$2:$E$5,MATCH(P446,Lookups!$D$2:$D$5,0))</f>
        <v>Low</v>
      </c>
    </row>
    <row r="447" customFormat="false" ht="15" hidden="false" customHeight="false" outlineLevel="0" collapsed="false">
      <c r="A447" s="3" t="n">
        <v>446</v>
      </c>
      <c r="B447" s="3" t="n">
        <f aca="false">Raw_Data!A447</f>
        <v>24</v>
      </c>
      <c r="C447" s="3" t="str">
        <f aca="false">SUBSTITUTE(Raw_Data!B447,".","")</f>
        <v>blue-collar</v>
      </c>
      <c r="D447" s="3" t="str">
        <f aca="false">Raw_Data!C447</f>
        <v>married</v>
      </c>
      <c r="E447" s="3" t="str">
        <f aca="false">Raw_Data!D447</f>
        <v>secondary</v>
      </c>
      <c r="F447" s="3" t="str">
        <f aca="false">Raw_Data!E447</f>
        <v>no</v>
      </c>
      <c r="G447" s="3" t="n">
        <f aca="false">Raw_Data!F447</f>
        <v>1222</v>
      </c>
      <c r="H447" s="3" t="str">
        <f aca="false">Raw_Data!G447</f>
        <v>yes</v>
      </c>
      <c r="I447" s="3" t="str">
        <f aca="false">Raw_Data!H447</f>
        <v>no</v>
      </c>
      <c r="J447" s="2" t="n">
        <f aca="false">IF(F447="yes",1,0)</f>
        <v>0</v>
      </c>
      <c r="K447" s="2" t="n">
        <f aca="false">IF(H447="yes",1,0)</f>
        <v>1</v>
      </c>
      <c r="L447" s="2" t="n">
        <f aca="false">IF(I447="yes",1,0)</f>
        <v>0</v>
      </c>
      <c r="M447" s="2" t="n">
        <f aca="false">IF(G447&lt;0,1,0)</f>
        <v>0</v>
      </c>
      <c r="N447" s="2" t="str">
        <f aca="false">_xlfn.IFS(B447&lt;30,"Under 30",B447&lt;40,"30-39",B447&lt;50,"40-49",B447&lt;60,"50-59",TRUE(),"60+")</f>
        <v>Under 30</v>
      </c>
      <c r="O447" s="2" t="str">
        <f aca="false">_xlfn.IFS(G447&lt;0,"1 Negative",G447=0,"2 Zero",G447&lt;=500,"3 1-500",G447&lt;=2000,"4 501-2000",TRUE(),"5 Above 2000")</f>
        <v>4 501-2000</v>
      </c>
      <c r="P447" s="2" t="n">
        <f aca="false">Lookups!$B$2*M447+Lookups!$B$3*L447</f>
        <v>0</v>
      </c>
      <c r="Q447" s="2" t="str">
        <f aca="false">INDEX(Lookups!$E$2:$E$5,MATCH(P447,Lookups!$D$2:$D$5,0))</f>
        <v>Low</v>
      </c>
    </row>
    <row r="448" customFormat="false" ht="15" hidden="false" customHeight="false" outlineLevel="0" collapsed="false">
      <c r="A448" s="3" t="n">
        <v>447</v>
      </c>
      <c r="B448" s="3" t="n">
        <f aca="false">Raw_Data!A448</f>
        <v>31</v>
      </c>
      <c r="C448" s="3" t="str">
        <f aca="false">SUBSTITUTE(Raw_Data!B448,".","")</f>
        <v>technician</v>
      </c>
      <c r="D448" s="3" t="str">
        <f aca="false">Raw_Data!C448</f>
        <v>married</v>
      </c>
      <c r="E448" s="3" t="str">
        <f aca="false">Raw_Data!D448</f>
        <v>secondary</v>
      </c>
      <c r="F448" s="3" t="str">
        <f aca="false">Raw_Data!E448</f>
        <v>no</v>
      </c>
      <c r="G448" s="3" t="n">
        <f aca="false">Raw_Data!F448</f>
        <v>2363</v>
      </c>
      <c r="H448" s="3" t="str">
        <f aca="false">Raw_Data!G448</f>
        <v>yes</v>
      </c>
      <c r="I448" s="3" t="str">
        <f aca="false">Raw_Data!H448</f>
        <v>no</v>
      </c>
      <c r="J448" s="2" t="n">
        <f aca="false">IF(F448="yes",1,0)</f>
        <v>0</v>
      </c>
      <c r="K448" s="2" t="n">
        <f aca="false">IF(H448="yes",1,0)</f>
        <v>1</v>
      </c>
      <c r="L448" s="2" t="n">
        <f aca="false">IF(I448="yes",1,0)</f>
        <v>0</v>
      </c>
      <c r="M448" s="2" t="n">
        <f aca="false">IF(G448&lt;0,1,0)</f>
        <v>0</v>
      </c>
      <c r="N448" s="2" t="str">
        <f aca="false">_xlfn.IFS(B448&lt;30,"Under 30",B448&lt;40,"30-39",B448&lt;50,"40-49",B448&lt;60,"50-59",TRUE(),"60+")</f>
        <v>30-39</v>
      </c>
      <c r="O448" s="2" t="str">
        <f aca="false">_xlfn.IFS(G448&lt;0,"1 Negative",G448=0,"2 Zero",G448&lt;=500,"3 1-500",G448&lt;=2000,"4 501-2000",TRUE(),"5 Above 2000")</f>
        <v>5 Above 2000</v>
      </c>
      <c r="P448" s="2" t="n">
        <f aca="false">Lookups!$B$2*M448+Lookups!$B$3*L448</f>
        <v>0</v>
      </c>
      <c r="Q448" s="2" t="str">
        <f aca="false">INDEX(Lookups!$E$2:$E$5,MATCH(P448,Lookups!$D$2:$D$5,0))</f>
        <v>Low</v>
      </c>
    </row>
    <row r="449" customFormat="false" ht="15" hidden="false" customHeight="false" outlineLevel="0" collapsed="false">
      <c r="A449" s="3" t="n">
        <v>448</v>
      </c>
      <c r="B449" s="3" t="n">
        <f aca="false">Raw_Data!A449</f>
        <v>66</v>
      </c>
      <c r="C449" s="3" t="str">
        <f aca="false">SUBSTITUTE(Raw_Data!B449,".","")</f>
        <v>retired</v>
      </c>
      <c r="D449" s="3" t="str">
        <f aca="false">Raw_Data!C449</f>
        <v>married</v>
      </c>
      <c r="E449" s="3" t="str">
        <f aca="false">Raw_Data!D449</f>
        <v>tertiary</v>
      </c>
      <c r="F449" s="3" t="str">
        <f aca="false">Raw_Data!E449</f>
        <v>no</v>
      </c>
      <c r="G449" s="3" t="n">
        <f aca="false">Raw_Data!F449</f>
        <v>2262</v>
      </c>
      <c r="H449" s="3" t="str">
        <f aca="false">Raw_Data!G449</f>
        <v>no</v>
      </c>
      <c r="I449" s="3" t="str">
        <f aca="false">Raw_Data!H449</f>
        <v>no</v>
      </c>
      <c r="J449" s="2" t="n">
        <f aca="false">IF(F449="yes",1,0)</f>
        <v>0</v>
      </c>
      <c r="K449" s="2" t="n">
        <f aca="false">IF(H449="yes",1,0)</f>
        <v>0</v>
      </c>
      <c r="L449" s="2" t="n">
        <f aca="false">IF(I449="yes",1,0)</f>
        <v>0</v>
      </c>
      <c r="M449" s="2" t="n">
        <f aca="false">IF(G449&lt;0,1,0)</f>
        <v>0</v>
      </c>
      <c r="N449" s="2" t="str">
        <f aca="false">_xlfn.IFS(B449&lt;30,"Under 30",B449&lt;40,"30-39",B449&lt;50,"40-49",B449&lt;60,"50-59",TRUE(),"60+")</f>
        <v>60+</v>
      </c>
      <c r="O449" s="2" t="str">
        <f aca="false">_xlfn.IFS(G449&lt;0,"1 Negative",G449=0,"2 Zero",G449&lt;=500,"3 1-500",G449&lt;=2000,"4 501-2000",TRUE(),"5 Above 2000")</f>
        <v>5 Above 2000</v>
      </c>
      <c r="P449" s="2" t="n">
        <f aca="false">Lookups!$B$2*M449+Lookups!$B$3*L449</f>
        <v>0</v>
      </c>
      <c r="Q449" s="2" t="str">
        <f aca="false">INDEX(Lookups!$E$2:$E$5,MATCH(P449,Lookups!$D$2:$D$5,0))</f>
        <v>Low</v>
      </c>
    </row>
    <row r="450" customFormat="false" ht="15" hidden="false" customHeight="false" outlineLevel="0" collapsed="false">
      <c r="A450" s="3" t="n">
        <v>449</v>
      </c>
      <c r="B450" s="3" t="n">
        <f aca="false">Raw_Data!A450</f>
        <v>47</v>
      </c>
      <c r="C450" s="3" t="str">
        <f aca="false">SUBSTITUTE(Raw_Data!B450,".","")</f>
        <v>admin</v>
      </c>
      <c r="D450" s="3" t="str">
        <f aca="false">Raw_Data!C450</f>
        <v>married</v>
      </c>
      <c r="E450" s="3" t="str">
        <f aca="false">Raw_Data!D450</f>
        <v>secondary</v>
      </c>
      <c r="F450" s="3" t="str">
        <f aca="false">Raw_Data!E450</f>
        <v>no</v>
      </c>
      <c r="G450" s="3" t="n">
        <f aca="false">Raw_Data!F450</f>
        <v>2</v>
      </c>
      <c r="H450" s="3" t="str">
        <f aca="false">Raw_Data!G450</f>
        <v>no</v>
      </c>
      <c r="I450" s="3" t="str">
        <f aca="false">Raw_Data!H450</f>
        <v>no</v>
      </c>
      <c r="J450" s="2" t="n">
        <f aca="false">IF(F450="yes",1,0)</f>
        <v>0</v>
      </c>
      <c r="K450" s="2" t="n">
        <f aca="false">IF(H450="yes",1,0)</f>
        <v>0</v>
      </c>
      <c r="L450" s="2" t="n">
        <f aca="false">IF(I450="yes",1,0)</f>
        <v>0</v>
      </c>
      <c r="M450" s="2" t="n">
        <f aca="false">IF(G450&lt;0,1,0)</f>
        <v>0</v>
      </c>
      <c r="N450" s="2" t="str">
        <f aca="false">_xlfn.IFS(B450&lt;30,"Under 30",B450&lt;40,"30-39",B450&lt;50,"40-49",B450&lt;60,"50-59",TRUE(),"60+")</f>
        <v>40-49</v>
      </c>
      <c r="O450" s="2" t="str">
        <f aca="false">_xlfn.IFS(G450&lt;0,"1 Negative",G450=0,"2 Zero",G450&lt;=500,"3 1-500",G450&lt;=2000,"4 501-2000",TRUE(),"5 Above 2000")</f>
        <v>3 1-500</v>
      </c>
      <c r="P450" s="2" t="n">
        <f aca="false">Lookups!$B$2*M450+Lookups!$B$3*L450</f>
        <v>0</v>
      </c>
      <c r="Q450" s="2" t="str">
        <f aca="false">INDEX(Lookups!$E$2:$E$5,MATCH(P450,Lookups!$D$2:$D$5,0))</f>
        <v>Low</v>
      </c>
    </row>
    <row r="451" customFormat="false" ht="15" hidden="false" customHeight="false" outlineLevel="0" collapsed="false">
      <c r="A451" s="3" t="n">
        <v>450</v>
      </c>
      <c r="B451" s="3" t="n">
        <f aca="false">Raw_Data!A451</f>
        <v>39</v>
      </c>
      <c r="C451" s="3" t="str">
        <f aca="false">SUBSTITUTE(Raw_Data!B451,".","")</f>
        <v>entrepreneur</v>
      </c>
      <c r="D451" s="3" t="str">
        <f aca="false">Raw_Data!C451</f>
        <v>married</v>
      </c>
      <c r="E451" s="3" t="str">
        <f aca="false">Raw_Data!D451</f>
        <v>tertiary</v>
      </c>
      <c r="F451" s="3" t="str">
        <f aca="false">Raw_Data!E451</f>
        <v>no</v>
      </c>
      <c r="G451" s="3" t="n">
        <f aca="false">Raw_Data!F451</f>
        <v>2</v>
      </c>
      <c r="H451" s="3" t="str">
        <f aca="false">Raw_Data!G451</f>
        <v>yes</v>
      </c>
      <c r="I451" s="3" t="str">
        <f aca="false">Raw_Data!H451</f>
        <v>no</v>
      </c>
      <c r="J451" s="2" t="n">
        <f aca="false">IF(F451="yes",1,0)</f>
        <v>0</v>
      </c>
      <c r="K451" s="2" t="n">
        <f aca="false">IF(H451="yes",1,0)</f>
        <v>1</v>
      </c>
      <c r="L451" s="2" t="n">
        <f aca="false">IF(I451="yes",1,0)</f>
        <v>0</v>
      </c>
      <c r="M451" s="2" t="n">
        <f aca="false">IF(G451&lt;0,1,0)</f>
        <v>0</v>
      </c>
      <c r="N451" s="2" t="str">
        <f aca="false">_xlfn.IFS(B451&lt;30,"Under 30",B451&lt;40,"30-39",B451&lt;50,"40-49",B451&lt;60,"50-59",TRUE(),"60+")</f>
        <v>30-39</v>
      </c>
      <c r="O451" s="2" t="str">
        <f aca="false">_xlfn.IFS(G451&lt;0,"1 Negative",G451=0,"2 Zero",G451&lt;=500,"3 1-500",G451&lt;=2000,"4 501-2000",TRUE(),"5 Above 2000")</f>
        <v>3 1-500</v>
      </c>
      <c r="P451" s="2" t="n">
        <f aca="false">Lookups!$B$2*M451+Lookups!$B$3*L451</f>
        <v>0</v>
      </c>
      <c r="Q451" s="2" t="str">
        <f aca="false">INDEX(Lookups!$E$2:$E$5,MATCH(P451,Lookups!$D$2:$D$5,0))</f>
        <v>Low</v>
      </c>
    </row>
    <row r="452" customFormat="false" ht="15" hidden="false" customHeight="false" outlineLevel="0" collapsed="false">
      <c r="A452" s="3" t="n">
        <v>451</v>
      </c>
      <c r="B452" s="3" t="n">
        <f aca="false">Raw_Data!A452</f>
        <v>35</v>
      </c>
      <c r="C452" s="3" t="str">
        <f aca="false">SUBSTITUTE(Raw_Data!B452,".","")</f>
        <v>technician</v>
      </c>
      <c r="D452" s="3" t="str">
        <f aca="false">Raw_Data!C452</f>
        <v>married</v>
      </c>
      <c r="E452" s="3" t="str">
        <f aca="false">Raw_Data!D452</f>
        <v>secondary</v>
      </c>
      <c r="F452" s="3" t="str">
        <f aca="false">Raw_Data!E452</f>
        <v>no</v>
      </c>
      <c r="G452" s="3" t="n">
        <f aca="false">Raw_Data!F452</f>
        <v>4508</v>
      </c>
      <c r="H452" s="3" t="str">
        <f aca="false">Raw_Data!G452</f>
        <v>yes</v>
      </c>
      <c r="I452" s="3" t="str">
        <f aca="false">Raw_Data!H452</f>
        <v>no</v>
      </c>
      <c r="J452" s="2" t="n">
        <f aca="false">IF(F452="yes",1,0)</f>
        <v>0</v>
      </c>
      <c r="K452" s="2" t="n">
        <f aca="false">IF(H452="yes",1,0)</f>
        <v>1</v>
      </c>
      <c r="L452" s="2" t="n">
        <f aca="false">IF(I452="yes",1,0)</f>
        <v>0</v>
      </c>
      <c r="M452" s="2" t="n">
        <f aca="false">IF(G452&lt;0,1,0)</f>
        <v>0</v>
      </c>
      <c r="N452" s="2" t="str">
        <f aca="false">_xlfn.IFS(B452&lt;30,"Under 30",B452&lt;40,"30-39",B452&lt;50,"40-49",B452&lt;60,"50-59",TRUE(),"60+")</f>
        <v>30-39</v>
      </c>
      <c r="O452" s="2" t="str">
        <f aca="false">_xlfn.IFS(G452&lt;0,"1 Negative",G452=0,"2 Zero",G452&lt;=500,"3 1-500",G452&lt;=2000,"4 501-2000",TRUE(),"5 Above 2000")</f>
        <v>5 Above 2000</v>
      </c>
      <c r="P452" s="2" t="n">
        <f aca="false">Lookups!$B$2*M452+Lookups!$B$3*L452</f>
        <v>0</v>
      </c>
      <c r="Q452" s="2" t="str">
        <f aca="false">INDEX(Lookups!$E$2:$E$5,MATCH(P452,Lookups!$D$2:$D$5,0))</f>
        <v>Low</v>
      </c>
    </row>
    <row r="453" customFormat="false" ht="15" hidden="false" customHeight="false" outlineLevel="0" collapsed="false">
      <c r="A453" s="3" t="n">
        <v>452</v>
      </c>
      <c r="B453" s="3" t="n">
        <f aca="false">Raw_Data!A453</f>
        <v>35</v>
      </c>
      <c r="C453" s="3" t="str">
        <f aca="false">SUBSTITUTE(Raw_Data!B453,".","")</f>
        <v>admin</v>
      </c>
      <c r="D453" s="3" t="str">
        <f aca="false">Raw_Data!C453</f>
        <v>divorced</v>
      </c>
      <c r="E453" s="3" t="str">
        <f aca="false">Raw_Data!D453</f>
        <v>secondary</v>
      </c>
      <c r="F453" s="3" t="str">
        <f aca="false">Raw_Data!E453</f>
        <v>no</v>
      </c>
      <c r="G453" s="3" t="n">
        <f aca="false">Raw_Data!F453</f>
        <v>-402</v>
      </c>
      <c r="H453" s="3" t="str">
        <f aca="false">Raw_Data!G453</f>
        <v>yes</v>
      </c>
      <c r="I453" s="3" t="str">
        <f aca="false">Raw_Data!H453</f>
        <v>no</v>
      </c>
      <c r="J453" s="2" t="n">
        <f aca="false">IF(F453="yes",1,0)</f>
        <v>0</v>
      </c>
      <c r="K453" s="2" t="n">
        <f aca="false">IF(H453="yes",1,0)</f>
        <v>1</v>
      </c>
      <c r="L453" s="2" t="n">
        <f aca="false">IF(I453="yes",1,0)</f>
        <v>0</v>
      </c>
      <c r="M453" s="2" t="n">
        <f aca="false">IF(G453&lt;0,1,0)</f>
        <v>1</v>
      </c>
      <c r="N453" s="2" t="str">
        <f aca="false">_xlfn.IFS(B453&lt;30,"Under 30",B453&lt;40,"30-39",B453&lt;50,"40-49",B453&lt;60,"50-59",TRUE(),"60+")</f>
        <v>30-39</v>
      </c>
      <c r="O453" s="2" t="str">
        <f aca="false">_xlfn.IFS(G453&lt;0,"1 Negative",G453=0,"2 Zero",G453&lt;=500,"3 1-500",G453&lt;=2000,"4 501-2000",TRUE(),"5 Above 2000")</f>
        <v>1 Negative</v>
      </c>
      <c r="P453" s="2" t="n">
        <f aca="false">Lookups!$B$2*M453+Lookups!$B$3*L453</f>
        <v>2</v>
      </c>
      <c r="Q453" s="2" t="str">
        <f aca="false">INDEX(Lookups!$E$2:$E$5,MATCH(P453,Lookups!$D$2:$D$5,0))</f>
        <v>High</v>
      </c>
    </row>
    <row r="454" customFormat="false" ht="15" hidden="false" customHeight="false" outlineLevel="0" collapsed="false">
      <c r="A454" s="3" t="n">
        <v>453</v>
      </c>
      <c r="B454" s="3" t="n">
        <f aca="false">Raw_Data!A454</f>
        <v>27</v>
      </c>
      <c r="C454" s="3" t="str">
        <f aca="false">SUBSTITUTE(Raw_Data!B454,".","")</f>
        <v>technician</v>
      </c>
      <c r="D454" s="3" t="str">
        <f aca="false">Raw_Data!C454</f>
        <v>married</v>
      </c>
      <c r="E454" s="3" t="str">
        <f aca="false">Raw_Data!D454</f>
        <v>secondary</v>
      </c>
      <c r="F454" s="3" t="str">
        <f aca="false">Raw_Data!E454</f>
        <v>no</v>
      </c>
      <c r="G454" s="3" t="n">
        <f aca="false">Raw_Data!F454</f>
        <v>1577</v>
      </c>
      <c r="H454" s="3" t="str">
        <f aca="false">Raw_Data!G454</f>
        <v>yes</v>
      </c>
      <c r="I454" s="3" t="str">
        <f aca="false">Raw_Data!H454</f>
        <v>yes</v>
      </c>
      <c r="J454" s="2" t="n">
        <f aca="false">IF(F454="yes",1,0)</f>
        <v>0</v>
      </c>
      <c r="K454" s="2" t="n">
        <f aca="false">IF(H454="yes",1,0)</f>
        <v>1</v>
      </c>
      <c r="L454" s="2" t="n">
        <f aca="false">IF(I454="yes",1,0)</f>
        <v>1</v>
      </c>
      <c r="M454" s="2" t="n">
        <f aca="false">IF(G454&lt;0,1,0)</f>
        <v>0</v>
      </c>
      <c r="N454" s="2" t="str">
        <f aca="false">_xlfn.IFS(B454&lt;30,"Under 30",B454&lt;40,"30-39",B454&lt;50,"40-49",B454&lt;60,"50-59",TRUE(),"60+")</f>
        <v>Under 30</v>
      </c>
      <c r="O454" s="2" t="str">
        <f aca="false">_xlfn.IFS(G454&lt;0,"1 Negative",G454=0,"2 Zero",G454&lt;=500,"3 1-500",G454&lt;=2000,"4 501-2000",TRUE(),"5 Above 2000")</f>
        <v>4 501-2000</v>
      </c>
      <c r="P454" s="2" t="n">
        <f aca="false">Lookups!$B$2*M454+Lookups!$B$3*L454</f>
        <v>1</v>
      </c>
      <c r="Q454" s="2" t="str">
        <f aca="false">INDEX(Lookups!$E$2:$E$5,MATCH(P454,Lookups!$D$2:$D$5,0))</f>
        <v>Medium</v>
      </c>
    </row>
    <row r="455" customFormat="false" ht="15" hidden="false" customHeight="false" outlineLevel="0" collapsed="false">
      <c r="A455" s="3" t="n">
        <v>454</v>
      </c>
      <c r="B455" s="3" t="n">
        <f aca="false">Raw_Data!A455</f>
        <v>32</v>
      </c>
      <c r="C455" s="3" t="str">
        <f aca="false">SUBSTITUTE(Raw_Data!B455,".","")</f>
        <v>blue-collar</v>
      </c>
      <c r="D455" s="3" t="str">
        <f aca="false">Raw_Data!C455</f>
        <v>married</v>
      </c>
      <c r="E455" s="3" t="str">
        <f aca="false">Raw_Data!D455</f>
        <v>secondary</v>
      </c>
      <c r="F455" s="3" t="str">
        <f aca="false">Raw_Data!E455</f>
        <v>no</v>
      </c>
      <c r="G455" s="3" t="n">
        <f aca="false">Raw_Data!F455</f>
        <v>34</v>
      </c>
      <c r="H455" s="3" t="str">
        <f aca="false">Raw_Data!G455</f>
        <v>yes</v>
      </c>
      <c r="I455" s="3" t="str">
        <f aca="false">Raw_Data!H455</f>
        <v>no</v>
      </c>
      <c r="J455" s="2" t="n">
        <f aca="false">IF(F455="yes",1,0)</f>
        <v>0</v>
      </c>
      <c r="K455" s="2" t="n">
        <f aca="false">IF(H455="yes",1,0)</f>
        <v>1</v>
      </c>
      <c r="L455" s="2" t="n">
        <f aca="false">IF(I455="yes",1,0)</f>
        <v>0</v>
      </c>
      <c r="M455" s="2" t="n">
        <f aca="false">IF(G455&lt;0,1,0)</f>
        <v>0</v>
      </c>
      <c r="N455" s="2" t="str">
        <f aca="false">_xlfn.IFS(B455&lt;30,"Under 30",B455&lt;40,"30-39",B455&lt;50,"40-49",B455&lt;60,"50-59",TRUE(),"60+")</f>
        <v>30-39</v>
      </c>
      <c r="O455" s="2" t="str">
        <f aca="false">_xlfn.IFS(G455&lt;0,"1 Negative",G455=0,"2 Zero",G455&lt;=500,"3 1-500",G455&lt;=2000,"4 501-2000",TRUE(),"5 Above 2000")</f>
        <v>3 1-500</v>
      </c>
      <c r="P455" s="2" t="n">
        <f aca="false">Lookups!$B$2*M455+Lookups!$B$3*L455</f>
        <v>0</v>
      </c>
      <c r="Q455" s="2" t="str">
        <f aca="false">INDEX(Lookups!$E$2:$E$5,MATCH(P455,Lookups!$D$2:$D$5,0))</f>
        <v>Low</v>
      </c>
    </row>
    <row r="456" customFormat="false" ht="15" hidden="false" customHeight="false" outlineLevel="0" collapsed="false">
      <c r="A456" s="3" t="n">
        <v>455</v>
      </c>
      <c r="B456" s="3" t="n">
        <f aca="false">Raw_Data!A456</f>
        <v>44</v>
      </c>
      <c r="C456" s="3" t="str">
        <f aca="false">SUBSTITUTE(Raw_Data!B456,".","")</f>
        <v>management</v>
      </c>
      <c r="D456" s="3" t="str">
        <f aca="false">Raw_Data!C456</f>
        <v>married</v>
      </c>
      <c r="E456" s="3" t="str">
        <f aca="false">Raw_Data!D456</f>
        <v>tertiary</v>
      </c>
      <c r="F456" s="3" t="str">
        <f aca="false">Raw_Data!E456</f>
        <v>no</v>
      </c>
      <c r="G456" s="3" t="n">
        <f aca="false">Raw_Data!F456</f>
        <v>795</v>
      </c>
      <c r="H456" s="3" t="str">
        <f aca="false">Raw_Data!G456</f>
        <v>no</v>
      </c>
      <c r="I456" s="3" t="str">
        <f aca="false">Raw_Data!H456</f>
        <v>no</v>
      </c>
      <c r="J456" s="2" t="n">
        <f aca="false">IF(F456="yes",1,0)</f>
        <v>0</v>
      </c>
      <c r="K456" s="2" t="n">
        <f aca="false">IF(H456="yes",1,0)</f>
        <v>0</v>
      </c>
      <c r="L456" s="2" t="n">
        <f aca="false">IF(I456="yes",1,0)</f>
        <v>0</v>
      </c>
      <c r="M456" s="2" t="n">
        <f aca="false">IF(G456&lt;0,1,0)</f>
        <v>0</v>
      </c>
      <c r="N456" s="2" t="str">
        <f aca="false">_xlfn.IFS(B456&lt;30,"Under 30",B456&lt;40,"30-39",B456&lt;50,"40-49",B456&lt;60,"50-59",TRUE(),"60+")</f>
        <v>40-49</v>
      </c>
      <c r="O456" s="2" t="str">
        <f aca="false">_xlfn.IFS(G456&lt;0,"1 Negative",G456=0,"2 Zero",G456&lt;=500,"3 1-500",G456&lt;=2000,"4 501-2000",TRUE(),"5 Above 2000")</f>
        <v>4 501-2000</v>
      </c>
      <c r="P456" s="2" t="n">
        <f aca="false">Lookups!$B$2*M456+Lookups!$B$3*L456</f>
        <v>0</v>
      </c>
      <c r="Q456" s="2" t="str">
        <f aca="false">INDEX(Lookups!$E$2:$E$5,MATCH(P456,Lookups!$D$2:$D$5,0))</f>
        <v>Low</v>
      </c>
    </row>
    <row r="457" customFormat="false" ht="15" hidden="false" customHeight="false" outlineLevel="0" collapsed="false">
      <c r="A457" s="3" t="n">
        <v>456</v>
      </c>
      <c r="B457" s="3" t="n">
        <f aca="false">Raw_Data!A457</f>
        <v>42</v>
      </c>
      <c r="C457" s="3" t="str">
        <f aca="false">SUBSTITUTE(Raw_Data!B457,".","")</f>
        <v>blue-collar</v>
      </c>
      <c r="D457" s="3" t="str">
        <f aca="false">Raw_Data!C457</f>
        <v>married</v>
      </c>
      <c r="E457" s="3" t="str">
        <f aca="false">Raw_Data!D457</f>
        <v>secondary</v>
      </c>
      <c r="F457" s="3" t="str">
        <f aca="false">Raw_Data!E457</f>
        <v>no</v>
      </c>
      <c r="G457" s="3" t="n">
        <f aca="false">Raw_Data!F457</f>
        <v>117</v>
      </c>
      <c r="H457" s="3" t="str">
        <f aca="false">Raw_Data!G457</f>
        <v>yes</v>
      </c>
      <c r="I457" s="3" t="str">
        <f aca="false">Raw_Data!H457</f>
        <v>no</v>
      </c>
      <c r="J457" s="2" t="n">
        <f aca="false">IF(F457="yes",1,0)</f>
        <v>0</v>
      </c>
      <c r="K457" s="2" t="n">
        <f aca="false">IF(H457="yes",1,0)</f>
        <v>1</v>
      </c>
      <c r="L457" s="2" t="n">
        <f aca="false">IF(I457="yes",1,0)</f>
        <v>0</v>
      </c>
      <c r="M457" s="2" t="n">
        <f aca="false">IF(G457&lt;0,1,0)</f>
        <v>0</v>
      </c>
      <c r="N457" s="2" t="str">
        <f aca="false">_xlfn.IFS(B457&lt;30,"Under 30",B457&lt;40,"30-39",B457&lt;50,"40-49",B457&lt;60,"50-59",TRUE(),"60+")</f>
        <v>40-49</v>
      </c>
      <c r="O457" s="2" t="str">
        <f aca="false">_xlfn.IFS(G457&lt;0,"1 Negative",G457=0,"2 Zero",G457&lt;=500,"3 1-500",G457&lt;=2000,"4 501-2000",TRUE(),"5 Above 2000")</f>
        <v>3 1-500</v>
      </c>
      <c r="P457" s="2" t="n">
        <f aca="false">Lookups!$B$2*M457+Lookups!$B$3*L457</f>
        <v>0</v>
      </c>
      <c r="Q457" s="2" t="str">
        <f aca="false">INDEX(Lookups!$E$2:$E$5,MATCH(P457,Lookups!$D$2:$D$5,0))</f>
        <v>Low</v>
      </c>
    </row>
    <row r="458" customFormat="false" ht="15" hidden="false" customHeight="false" outlineLevel="0" collapsed="false">
      <c r="A458" s="3" t="n">
        <v>457</v>
      </c>
      <c r="B458" s="3" t="n">
        <f aca="false">Raw_Data!A458</f>
        <v>34</v>
      </c>
      <c r="C458" s="3" t="str">
        <f aca="false">SUBSTITUTE(Raw_Data!B458,".","")</f>
        <v>self-employed</v>
      </c>
      <c r="D458" s="3" t="str">
        <f aca="false">Raw_Data!C458</f>
        <v>single</v>
      </c>
      <c r="E458" s="3" t="str">
        <f aca="false">Raw_Data!D458</f>
        <v>tertiary</v>
      </c>
      <c r="F458" s="3" t="str">
        <f aca="false">Raw_Data!E458</f>
        <v>no</v>
      </c>
      <c r="G458" s="3" t="n">
        <f aca="false">Raw_Data!F458</f>
        <v>5462</v>
      </c>
      <c r="H458" s="3" t="str">
        <f aca="false">Raw_Data!G458</f>
        <v>no</v>
      </c>
      <c r="I458" s="3" t="str">
        <f aca="false">Raw_Data!H458</f>
        <v>no</v>
      </c>
      <c r="J458" s="2" t="n">
        <f aca="false">IF(F458="yes",1,0)</f>
        <v>0</v>
      </c>
      <c r="K458" s="2" t="n">
        <f aca="false">IF(H458="yes",1,0)</f>
        <v>0</v>
      </c>
      <c r="L458" s="2" t="n">
        <f aca="false">IF(I458="yes",1,0)</f>
        <v>0</v>
      </c>
      <c r="M458" s="2" t="n">
        <f aca="false">IF(G458&lt;0,1,0)</f>
        <v>0</v>
      </c>
      <c r="N458" s="2" t="str">
        <f aca="false">_xlfn.IFS(B458&lt;30,"Under 30",B458&lt;40,"30-39",B458&lt;50,"40-49",B458&lt;60,"50-59",TRUE(),"60+")</f>
        <v>30-39</v>
      </c>
      <c r="O458" s="2" t="str">
        <f aca="false">_xlfn.IFS(G458&lt;0,"1 Negative",G458=0,"2 Zero",G458&lt;=500,"3 1-500",G458&lt;=2000,"4 501-2000",TRUE(),"5 Above 2000")</f>
        <v>5 Above 2000</v>
      </c>
      <c r="P458" s="2" t="n">
        <f aca="false">Lookups!$B$2*M458+Lookups!$B$3*L458</f>
        <v>0</v>
      </c>
      <c r="Q458" s="2" t="str">
        <f aca="false">INDEX(Lookups!$E$2:$E$5,MATCH(P458,Lookups!$D$2:$D$5,0))</f>
        <v>Low</v>
      </c>
    </row>
    <row r="459" customFormat="false" ht="15" hidden="false" customHeight="false" outlineLevel="0" collapsed="false">
      <c r="A459" s="3" t="n">
        <v>458</v>
      </c>
      <c r="B459" s="3" t="n">
        <f aca="false">Raw_Data!A459</f>
        <v>25</v>
      </c>
      <c r="C459" s="3" t="str">
        <f aca="false">SUBSTITUTE(Raw_Data!B459,".","")</f>
        <v>services</v>
      </c>
      <c r="D459" s="3" t="str">
        <f aca="false">Raw_Data!C459</f>
        <v>single</v>
      </c>
      <c r="E459" s="3" t="str">
        <f aca="false">Raw_Data!D459</f>
        <v>secondary</v>
      </c>
      <c r="F459" s="3" t="str">
        <f aca="false">Raw_Data!E459</f>
        <v>no</v>
      </c>
      <c r="G459" s="3" t="n">
        <f aca="false">Raw_Data!F459</f>
        <v>402</v>
      </c>
      <c r="H459" s="3" t="str">
        <f aca="false">Raw_Data!G459</f>
        <v>no</v>
      </c>
      <c r="I459" s="3" t="str">
        <f aca="false">Raw_Data!H459</f>
        <v>yes</v>
      </c>
      <c r="J459" s="2" t="n">
        <f aca="false">IF(F459="yes",1,0)</f>
        <v>0</v>
      </c>
      <c r="K459" s="2" t="n">
        <f aca="false">IF(H459="yes",1,0)</f>
        <v>0</v>
      </c>
      <c r="L459" s="2" t="n">
        <f aca="false">IF(I459="yes",1,0)</f>
        <v>1</v>
      </c>
      <c r="M459" s="2" t="n">
        <f aca="false">IF(G459&lt;0,1,0)</f>
        <v>0</v>
      </c>
      <c r="N459" s="2" t="str">
        <f aca="false">_xlfn.IFS(B459&lt;30,"Under 30",B459&lt;40,"30-39",B459&lt;50,"40-49",B459&lt;60,"50-59",TRUE(),"60+")</f>
        <v>Under 30</v>
      </c>
      <c r="O459" s="2" t="str">
        <f aca="false">_xlfn.IFS(G459&lt;0,"1 Negative",G459=0,"2 Zero",G459&lt;=500,"3 1-500",G459&lt;=2000,"4 501-2000",TRUE(),"5 Above 2000")</f>
        <v>3 1-500</v>
      </c>
      <c r="P459" s="2" t="n">
        <f aca="false">Lookups!$B$2*M459+Lookups!$B$3*L459</f>
        <v>1</v>
      </c>
      <c r="Q459" s="2" t="str">
        <f aca="false">INDEX(Lookups!$E$2:$E$5,MATCH(P459,Lookups!$D$2:$D$5,0))</f>
        <v>Medium</v>
      </c>
    </row>
    <row r="460" customFormat="false" ht="15" hidden="false" customHeight="false" outlineLevel="0" collapsed="false">
      <c r="A460" s="3" t="n">
        <v>459</v>
      </c>
      <c r="B460" s="3" t="n">
        <f aca="false">Raw_Data!A460</f>
        <v>40</v>
      </c>
      <c r="C460" s="3" t="str">
        <f aca="false">SUBSTITUTE(Raw_Data!B460,".","")</f>
        <v>technician</v>
      </c>
      <c r="D460" s="3" t="str">
        <f aca="false">Raw_Data!C460</f>
        <v>single</v>
      </c>
      <c r="E460" s="3" t="str">
        <f aca="false">Raw_Data!D460</f>
        <v>secondary</v>
      </c>
      <c r="F460" s="3" t="str">
        <f aca="false">Raw_Data!E460</f>
        <v>no</v>
      </c>
      <c r="G460" s="3" t="n">
        <f aca="false">Raw_Data!F460</f>
        <v>641</v>
      </c>
      <c r="H460" s="3" t="str">
        <f aca="false">Raw_Data!G460</f>
        <v>no</v>
      </c>
      <c r="I460" s="3" t="str">
        <f aca="false">Raw_Data!H460</f>
        <v>no</v>
      </c>
      <c r="J460" s="2" t="n">
        <f aca="false">IF(F460="yes",1,0)</f>
        <v>0</v>
      </c>
      <c r="K460" s="2" t="n">
        <f aca="false">IF(H460="yes",1,0)</f>
        <v>0</v>
      </c>
      <c r="L460" s="2" t="n">
        <f aca="false">IF(I460="yes",1,0)</f>
        <v>0</v>
      </c>
      <c r="M460" s="2" t="n">
        <f aca="false">IF(G460&lt;0,1,0)</f>
        <v>0</v>
      </c>
      <c r="N460" s="2" t="str">
        <f aca="false">_xlfn.IFS(B460&lt;30,"Under 30",B460&lt;40,"30-39",B460&lt;50,"40-49",B460&lt;60,"50-59",TRUE(),"60+")</f>
        <v>40-49</v>
      </c>
      <c r="O460" s="2" t="str">
        <f aca="false">_xlfn.IFS(G460&lt;0,"1 Negative",G460=0,"2 Zero",G460&lt;=500,"3 1-500",G460&lt;=2000,"4 501-2000",TRUE(),"5 Above 2000")</f>
        <v>4 501-2000</v>
      </c>
      <c r="P460" s="2" t="n">
        <f aca="false">Lookups!$B$2*M460+Lookups!$B$3*L460</f>
        <v>0</v>
      </c>
      <c r="Q460" s="2" t="str">
        <f aca="false">INDEX(Lookups!$E$2:$E$5,MATCH(P460,Lookups!$D$2:$D$5,0))</f>
        <v>Low</v>
      </c>
    </row>
    <row r="461" customFormat="false" ht="15" hidden="false" customHeight="false" outlineLevel="0" collapsed="false">
      <c r="A461" s="3" t="n">
        <v>460</v>
      </c>
      <c r="B461" s="3" t="n">
        <f aca="false">Raw_Data!A461</f>
        <v>43</v>
      </c>
      <c r="C461" s="3" t="str">
        <f aca="false">SUBSTITUTE(Raw_Data!B461,".","")</f>
        <v>management</v>
      </c>
      <c r="D461" s="3" t="str">
        <f aca="false">Raw_Data!C461</f>
        <v>divorced</v>
      </c>
      <c r="E461" s="3" t="str">
        <f aca="false">Raw_Data!D461</f>
        <v>tertiary</v>
      </c>
      <c r="F461" s="3" t="str">
        <f aca="false">Raw_Data!E461</f>
        <v>no</v>
      </c>
      <c r="G461" s="3" t="n">
        <f aca="false">Raw_Data!F461</f>
        <v>36</v>
      </c>
      <c r="H461" s="3" t="str">
        <f aca="false">Raw_Data!G461</f>
        <v>no</v>
      </c>
      <c r="I461" s="3" t="str">
        <f aca="false">Raw_Data!H461</f>
        <v>no</v>
      </c>
      <c r="J461" s="2" t="n">
        <f aca="false">IF(F461="yes",1,0)</f>
        <v>0</v>
      </c>
      <c r="K461" s="2" t="n">
        <f aca="false">IF(H461="yes",1,0)</f>
        <v>0</v>
      </c>
      <c r="L461" s="2" t="n">
        <f aca="false">IF(I461="yes",1,0)</f>
        <v>0</v>
      </c>
      <c r="M461" s="2" t="n">
        <f aca="false">IF(G461&lt;0,1,0)</f>
        <v>0</v>
      </c>
      <c r="N461" s="2" t="str">
        <f aca="false">_xlfn.IFS(B461&lt;30,"Under 30",B461&lt;40,"30-39",B461&lt;50,"40-49",B461&lt;60,"50-59",TRUE(),"60+")</f>
        <v>40-49</v>
      </c>
      <c r="O461" s="2" t="str">
        <f aca="false">_xlfn.IFS(G461&lt;0,"1 Negative",G461=0,"2 Zero",G461&lt;=500,"3 1-500",G461&lt;=2000,"4 501-2000",TRUE(),"5 Above 2000")</f>
        <v>3 1-500</v>
      </c>
      <c r="P461" s="2" t="n">
        <f aca="false">Lookups!$B$2*M461+Lookups!$B$3*L461</f>
        <v>0</v>
      </c>
      <c r="Q461" s="2" t="str">
        <f aca="false">INDEX(Lookups!$E$2:$E$5,MATCH(P461,Lookups!$D$2:$D$5,0))</f>
        <v>Low</v>
      </c>
    </row>
    <row r="462" customFormat="false" ht="15" hidden="false" customHeight="false" outlineLevel="0" collapsed="false">
      <c r="A462" s="3" t="n">
        <v>461</v>
      </c>
      <c r="B462" s="3" t="n">
        <f aca="false">Raw_Data!A462</f>
        <v>55</v>
      </c>
      <c r="C462" s="3" t="str">
        <f aca="false">SUBSTITUTE(Raw_Data!B462,".","")</f>
        <v>unemployed</v>
      </c>
      <c r="D462" s="3" t="str">
        <f aca="false">Raw_Data!C462</f>
        <v>married</v>
      </c>
      <c r="E462" s="3" t="str">
        <f aca="false">Raw_Data!D462</f>
        <v>tertiary</v>
      </c>
      <c r="F462" s="3" t="str">
        <f aca="false">Raw_Data!E462</f>
        <v>no</v>
      </c>
      <c r="G462" s="3" t="n">
        <f aca="false">Raw_Data!F462</f>
        <v>383</v>
      </c>
      <c r="H462" s="3" t="str">
        <f aca="false">Raw_Data!G462</f>
        <v>no</v>
      </c>
      <c r="I462" s="3" t="str">
        <f aca="false">Raw_Data!H462</f>
        <v>no</v>
      </c>
      <c r="J462" s="2" t="n">
        <f aca="false">IF(F462="yes",1,0)</f>
        <v>0</v>
      </c>
      <c r="K462" s="2" t="n">
        <f aca="false">IF(H462="yes",1,0)</f>
        <v>0</v>
      </c>
      <c r="L462" s="2" t="n">
        <f aca="false">IF(I462="yes",1,0)</f>
        <v>0</v>
      </c>
      <c r="M462" s="2" t="n">
        <f aca="false">IF(G462&lt;0,1,0)</f>
        <v>0</v>
      </c>
      <c r="N462" s="2" t="str">
        <f aca="false">_xlfn.IFS(B462&lt;30,"Under 30",B462&lt;40,"30-39",B462&lt;50,"40-49",B462&lt;60,"50-59",TRUE(),"60+")</f>
        <v>50-59</v>
      </c>
      <c r="O462" s="2" t="str">
        <f aca="false">_xlfn.IFS(G462&lt;0,"1 Negative",G462=0,"2 Zero",G462&lt;=500,"3 1-500",G462&lt;=2000,"4 501-2000",TRUE(),"5 Above 2000")</f>
        <v>3 1-500</v>
      </c>
      <c r="P462" s="2" t="n">
        <f aca="false">Lookups!$B$2*M462+Lookups!$B$3*L462</f>
        <v>0</v>
      </c>
      <c r="Q462" s="2" t="str">
        <f aca="false">INDEX(Lookups!$E$2:$E$5,MATCH(P462,Lookups!$D$2:$D$5,0))</f>
        <v>Low</v>
      </c>
    </row>
    <row r="463" customFormat="false" ht="15" hidden="false" customHeight="false" outlineLevel="0" collapsed="false">
      <c r="A463" s="3" t="n">
        <v>462</v>
      </c>
      <c r="B463" s="3" t="n">
        <f aca="false">Raw_Data!A463</f>
        <v>50</v>
      </c>
      <c r="C463" s="3" t="str">
        <f aca="false">SUBSTITUTE(Raw_Data!B463,".","")</f>
        <v>blue-collar</v>
      </c>
      <c r="D463" s="3" t="str">
        <f aca="false">Raw_Data!C463</f>
        <v>married</v>
      </c>
      <c r="E463" s="3" t="str">
        <f aca="false">Raw_Data!D463</f>
        <v>secondary</v>
      </c>
      <c r="F463" s="3" t="str">
        <f aca="false">Raw_Data!E463</f>
        <v>no</v>
      </c>
      <c r="G463" s="3" t="n">
        <f aca="false">Raw_Data!F463</f>
        <v>283</v>
      </c>
      <c r="H463" s="3" t="str">
        <f aca="false">Raw_Data!G463</f>
        <v>yes</v>
      </c>
      <c r="I463" s="3" t="str">
        <f aca="false">Raw_Data!H463</f>
        <v>no</v>
      </c>
      <c r="J463" s="2" t="n">
        <f aca="false">IF(F463="yes",1,0)</f>
        <v>0</v>
      </c>
      <c r="K463" s="2" t="n">
        <f aca="false">IF(H463="yes",1,0)</f>
        <v>1</v>
      </c>
      <c r="L463" s="2" t="n">
        <f aca="false">IF(I463="yes",1,0)</f>
        <v>0</v>
      </c>
      <c r="M463" s="2" t="n">
        <f aca="false">IF(G463&lt;0,1,0)</f>
        <v>0</v>
      </c>
      <c r="N463" s="2" t="str">
        <f aca="false">_xlfn.IFS(B463&lt;30,"Under 30",B463&lt;40,"30-39",B463&lt;50,"40-49",B463&lt;60,"50-59",TRUE(),"60+")</f>
        <v>50-59</v>
      </c>
      <c r="O463" s="2" t="str">
        <f aca="false">_xlfn.IFS(G463&lt;0,"1 Negative",G463=0,"2 Zero",G463&lt;=500,"3 1-500",G463&lt;=2000,"4 501-2000",TRUE(),"5 Above 2000")</f>
        <v>3 1-500</v>
      </c>
      <c r="P463" s="2" t="n">
        <f aca="false">Lookups!$B$2*M463+Lookups!$B$3*L463</f>
        <v>0</v>
      </c>
      <c r="Q463" s="2" t="str">
        <f aca="false">INDEX(Lookups!$E$2:$E$5,MATCH(P463,Lookups!$D$2:$D$5,0))</f>
        <v>Low</v>
      </c>
    </row>
    <row r="464" customFormat="false" ht="15" hidden="false" customHeight="false" outlineLevel="0" collapsed="false">
      <c r="A464" s="3" t="n">
        <v>463</v>
      </c>
      <c r="B464" s="3" t="n">
        <f aca="false">Raw_Data!A464</f>
        <v>45</v>
      </c>
      <c r="C464" s="3" t="str">
        <f aca="false">SUBSTITUTE(Raw_Data!B464,".","")</f>
        <v>management</v>
      </c>
      <c r="D464" s="3" t="str">
        <f aca="false">Raw_Data!C464</f>
        <v>divorced</v>
      </c>
      <c r="E464" s="3" t="str">
        <f aca="false">Raw_Data!D464</f>
        <v>tertiary</v>
      </c>
      <c r="F464" s="3" t="str">
        <f aca="false">Raw_Data!E464</f>
        <v>no</v>
      </c>
      <c r="G464" s="3" t="n">
        <f aca="false">Raw_Data!F464</f>
        <v>0</v>
      </c>
      <c r="H464" s="3" t="str">
        <f aca="false">Raw_Data!G464</f>
        <v>no</v>
      </c>
      <c r="I464" s="3" t="str">
        <f aca="false">Raw_Data!H464</f>
        <v>no</v>
      </c>
      <c r="J464" s="2" t="n">
        <f aca="false">IF(F464="yes",1,0)</f>
        <v>0</v>
      </c>
      <c r="K464" s="2" t="n">
        <f aca="false">IF(H464="yes",1,0)</f>
        <v>0</v>
      </c>
      <c r="L464" s="2" t="n">
        <f aca="false">IF(I464="yes",1,0)</f>
        <v>0</v>
      </c>
      <c r="M464" s="2" t="n">
        <f aca="false">IF(G464&lt;0,1,0)</f>
        <v>0</v>
      </c>
      <c r="N464" s="2" t="str">
        <f aca="false">_xlfn.IFS(B464&lt;30,"Under 30",B464&lt;40,"30-39",B464&lt;50,"40-49",B464&lt;60,"50-59",TRUE(),"60+")</f>
        <v>40-49</v>
      </c>
      <c r="O464" s="2" t="str">
        <f aca="false">_xlfn.IFS(G464&lt;0,"1 Negative",G464=0,"2 Zero",G464&lt;=500,"3 1-500",G464&lt;=2000,"4 501-2000",TRUE(),"5 Above 2000")</f>
        <v>2 Zero</v>
      </c>
      <c r="P464" s="2" t="n">
        <f aca="false">Lookups!$B$2*M464+Lookups!$B$3*L464</f>
        <v>0</v>
      </c>
      <c r="Q464" s="2" t="str">
        <f aca="false">INDEX(Lookups!$E$2:$E$5,MATCH(P464,Lookups!$D$2:$D$5,0))</f>
        <v>Low</v>
      </c>
    </row>
    <row r="465" customFormat="false" ht="15" hidden="false" customHeight="false" outlineLevel="0" collapsed="false">
      <c r="A465" s="3" t="n">
        <v>464</v>
      </c>
      <c r="B465" s="3" t="n">
        <f aca="false">Raw_Data!A465</f>
        <v>35</v>
      </c>
      <c r="C465" s="3" t="str">
        <f aca="false">SUBSTITUTE(Raw_Data!B465,".","")</f>
        <v>blue-collar</v>
      </c>
      <c r="D465" s="3" t="str">
        <f aca="false">Raw_Data!C465</f>
        <v>divorced</v>
      </c>
      <c r="E465" s="3" t="str">
        <f aca="false">Raw_Data!D465</f>
        <v>secondary</v>
      </c>
      <c r="F465" s="3" t="str">
        <f aca="false">Raw_Data!E465</f>
        <v>no</v>
      </c>
      <c r="G465" s="3" t="n">
        <f aca="false">Raw_Data!F465</f>
        <v>3102</v>
      </c>
      <c r="H465" s="3" t="str">
        <f aca="false">Raw_Data!G465</f>
        <v>yes</v>
      </c>
      <c r="I465" s="3" t="str">
        <f aca="false">Raw_Data!H465</f>
        <v>no</v>
      </c>
      <c r="J465" s="2" t="n">
        <f aca="false">IF(F465="yes",1,0)</f>
        <v>0</v>
      </c>
      <c r="K465" s="2" t="n">
        <f aca="false">IF(H465="yes",1,0)</f>
        <v>1</v>
      </c>
      <c r="L465" s="2" t="n">
        <f aca="false">IF(I465="yes",1,0)</f>
        <v>0</v>
      </c>
      <c r="M465" s="2" t="n">
        <f aca="false">IF(G465&lt;0,1,0)</f>
        <v>0</v>
      </c>
      <c r="N465" s="2" t="str">
        <f aca="false">_xlfn.IFS(B465&lt;30,"Under 30",B465&lt;40,"30-39",B465&lt;50,"40-49",B465&lt;60,"50-59",TRUE(),"60+")</f>
        <v>30-39</v>
      </c>
      <c r="O465" s="2" t="str">
        <f aca="false">_xlfn.IFS(G465&lt;0,"1 Negative",G465=0,"2 Zero",G465&lt;=500,"3 1-500",G465&lt;=2000,"4 501-2000",TRUE(),"5 Above 2000")</f>
        <v>5 Above 2000</v>
      </c>
      <c r="P465" s="2" t="n">
        <f aca="false">Lookups!$B$2*M465+Lookups!$B$3*L465</f>
        <v>0</v>
      </c>
      <c r="Q465" s="2" t="str">
        <f aca="false">INDEX(Lookups!$E$2:$E$5,MATCH(P465,Lookups!$D$2:$D$5,0))</f>
        <v>Low</v>
      </c>
    </row>
    <row r="466" customFormat="false" ht="15" hidden="false" customHeight="false" outlineLevel="0" collapsed="false">
      <c r="A466" s="3" t="n">
        <v>465</v>
      </c>
      <c r="B466" s="3" t="n">
        <f aca="false">Raw_Data!A466</f>
        <v>32</v>
      </c>
      <c r="C466" s="3" t="str">
        <f aca="false">SUBSTITUTE(Raw_Data!B466,".","")</f>
        <v>blue-collar</v>
      </c>
      <c r="D466" s="3" t="str">
        <f aca="false">Raw_Data!C466</f>
        <v>married</v>
      </c>
      <c r="E466" s="3" t="str">
        <f aca="false">Raw_Data!D466</f>
        <v>secondary</v>
      </c>
      <c r="F466" s="3" t="str">
        <f aca="false">Raw_Data!E466</f>
        <v>no</v>
      </c>
      <c r="G466" s="3" t="n">
        <f aca="false">Raw_Data!F466</f>
        <v>889</v>
      </c>
      <c r="H466" s="3" t="str">
        <f aca="false">Raw_Data!G466</f>
        <v>yes</v>
      </c>
      <c r="I466" s="3" t="str">
        <f aca="false">Raw_Data!H466</f>
        <v>no</v>
      </c>
      <c r="J466" s="2" t="n">
        <f aca="false">IF(F466="yes",1,0)</f>
        <v>0</v>
      </c>
      <c r="K466" s="2" t="n">
        <f aca="false">IF(H466="yes",1,0)</f>
        <v>1</v>
      </c>
      <c r="L466" s="2" t="n">
        <f aca="false">IF(I466="yes",1,0)</f>
        <v>0</v>
      </c>
      <c r="M466" s="2" t="n">
        <f aca="false">IF(G466&lt;0,1,0)</f>
        <v>0</v>
      </c>
      <c r="N466" s="2" t="str">
        <f aca="false">_xlfn.IFS(B466&lt;30,"Under 30",B466&lt;40,"30-39",B466&lt;50,"40-49",B466&lt;60,"50-59",TRUE(),"60+")</f>
        <v>30-39</v>
      </c>
      <c r="O466" s="2" t="str">
        <f aca="false">_xlfn.IFS(G466&lt;0,"1 Negative",G466=0,"2 Zero",G466&lt;=500,"3 1-500",G466&lt;=2000,"4 501-2000",TRUE(),"5 Above 2000")</f>
        <v>4 501-2000</v>
      </c>
      <c r="P466" s="2" t="n">
        <f aca="false">Lookups!$B$2*M466+Lookups!$B$3*L466</f>
        <v>0</v>
      </c>
      <c r="Q466" s="2" t="str">
        <f aca="false">INDEX(Lookups!$E$2:$E$5,MATCH(P466,Lookups!$D$2:$D$5,0))</f>
        <v>Low</v>
      </c>
    </row>
    <row r="467" customFormat="false" ht="15" hidden="false" customHeight="false" outlineLevel="0" collapsed="false">
      <c r="A467" s="3" t="n">
        <v>466</v>
      </c>
      <c r="B467" s="3" t="n">
        <f aca="false">Raw_Data!A467</f>
        <v>59</v>
      </c>
      <c r="C467" s="3" t="str">
        <f aca="false">SUBSTITUTE(Raw_Data!B467,".","")</f>
        <v>housemaid</v>
      </c>
      <c r="D467" s="3" t="str">
        <f aca="false">Raw_Data!C467</f>
        <v>married</v>
      </c>
      <c r="E467" s="3" t="str">
        <f aca="false">Raw_Data!D467</f>
        <v>secondary</v>
      </c>
      <c r="F467" s="3" t="str">
        <f aca="false">Raw_Data!E467</f>
        <v>no</v>
      </c>
      <c r="G467" s="3" t="n">
        <f aca="false">Raw_Data!F467</f>
        <v>0</v>
      </c>
      <c r="H467" s="3" t="str">
        <f aca="false">Raw_Data!G467</f>
        <v>no</v>
      </c>
      <c r="I467" s="3" t="str">
        <f aca="false">Raw_Data!H467</f>
        <v>no</v>
      </c>
      <c r="J467" s="2" t="n">
        <f aca="false">IF(F467="yes",1,0)</f>
        <v>0</v>
      </c>
      <c r="K467" s="2" t="n">
        <f aca="false">IF(H467="yes",1,0)</f>
        <v>0</v>
      </c>
      <c r="L467" s="2" t="n">
        <f aca="false">IF(I467="yes",1,0)</f>
        <v>0</v>
      </c>
      <c r="M467" s="2" t="n">
        <f aca="false">IF(G467&lt;0,1,0)</f>
        <v>0</v>
      </c>
      <c r="N467" s="2" t="str">
        <f aca="false">_xlfn.IFS(B467&lt;30,"Under 30",B467&lt;40,"30-39",B467&lt;50,"40-49",B467&lt;60,"50-59",TRUE(),"60+")</f>
        <v>50-59</v>
      </c>
      <c r="O467" s="2" t="str">
        <f aca="false">_xlfn.IFS(G467&lt;0,"1 Negative",G467=0,"2 Zero",G467&lt;=500,"3 1-500",G467&lt;=2000,"4 501-2000",TRUE(),"5 Above 2000")</f>
        <v>2 Zero</v>
      </c>
      <c r="P467" s="2" t="n">
        <f aca="false">Lookups!$B$2*M467+Lookups!$B$3*L467</f>
        <v>0</v>
      </c>
      <c r="Q467" s="2" t="str">
        <f aca="false">INDEX(Lookups!$E$2:$E$5,MATCH(P467,Lookups!$D$2:$D$5,0))</f>
        <v>Low</v>
      </c>
    </row>
    <row r="468" customFormat="false" ht="15" hidden="false" customHeight="false" outlineLevel="0" collapsed="false">
      <c r="A468" s="3" t="n">
        <v>467</v>
      </c>
      <c r="B468" s="3" t="n">
        <f aca="false">Raw_Data!A468</f>
        <v>34</v>
      </c>
      <c r="C468" s="3" t="str">
        <f aca="false">SUBSTITUTE(Raw_Data!B468,".","")</f>
        <v>self-employed</v>
      </c>
      <c r="D468" s="3" t="str">
        <f aca="false">Raw_Data!C468</f>
        <v>married</v>
      </c>
      <c r="E468" s="3" t="str">
        <f aca="false">Raw_Data!D468</f>
        <v>secondary</v>
      </c>
      <c r="F468" s="3" t="str">
        <f aca="false">Raw_Data!E468</f>
        <v>no</v>
      </c>
      <c r="G468" s="3" t="n">
        <f aca="false">Raw_Data!F468</f>
        <v>-370</v>
      </c>
      <c r="H468" s="3" t="str">
        <f aca="false">Raw_Data!G468</f>
        <v>yes</v>
      </c>
      <c r="I468" s="3" t="str">
        <f aca="false">Raw_Data!H468</f>
        <v>no</v>
      </c>
      <c r="J468" s="2" t="n">
        <f aca="false">IF(F468="yes",1,0)</f>
        <v>0</v>
      </c>
      <c r="K468" s="2" t="n">
        <f aca="false">IF(H468="yes",1,0)</f>
        <v>1</v>
      </c>
      <c r="L468" s="2" t="n">
        <f aca="false">IF(I468="yes",1,0)</f>
        <v>0</v>
      </c>
      <c r="M468" s="2" t="n">
        <f aca="false">IF(G468&lt;0,1,0)</f>
        <v>1</v>
      </c>
      <c r="N468" s="2" t="str">
        <f aca="false">_xlfn.IFS(B468&lt;30,"Under 30",B468&lt;40,"30-39",B468&lt;50,"40-49",B468&lt;60,"50-59",TRUE(),"60+")</f>
        <v>30-39</v>
      </c>
      <c r="O468" s="2" t="str">
        <f aca="false">_xlfn.IFS(G468&lt;0,"1 Negative",G468=0,"2 Zero",G468&lt;=500,"3 1-500",G468&lt;=2000,"4 501-2000",TRUE(),"5 Above 2000")</f>
        <v>1 Negative</v>
      </c>
      <c r="P468" s="2" t="n">
        <f aca="false">Lookups!$B$2*M468+Lookups!$B$3*L468</f>
        <v>2</v>
      </c>
      <c r="Q468" s="2" t="str">
        <f aca="false">INDEX(Lookups!$E$2:$E$5,MATCH(P468,Lookups!$D$2:$D$5,0))</f>
        <v>High</v>
      </c>
    </row>
    <row r="469" customFormat="false" ht="15" hidden="false" customHeight="false" outlineLevel="0" collapsed="false">
      <c r="A469" s="3" t="n">
        <v>468</v>
      </c>
      <c r="B469" s="3" t="n">
        <f aca="false">Raw_Data!A469</f>
        <v>39</v>
      </c>
      <c r="C469" s="3" t="str">
        <f aca="false">SUBSTITUTE(Raw_Data!B469,".","")</f>
        <v>management</v>
      </c>
      <c r="D469" s="3" t="str">
        <f aca="false">Raw_Data!C469</f>
        <v>married</v>
      </c>
      <c r="E469" s="3" t="str">
        <f aca="false">Raw_Data!D469</f>
        <v>tertiary</v>
      </c>
      <c r="F469" s="3" t="str">
        <f aca="false">Raw_Data!E469</f>
        <v>no</v>
      </c>
      <c r="G469" s="3" t="n">
        <f aca="false">Raw_Data!F469</f>
        <v>-606</v>
      </c>
      <c r="H469" s="3" t="str">
        <f aca="false">Raw_Data!G469</f>
        <v>yes</v>
      </c>
      <c r="I469" s="3" t="str">
        <f aca="false">Raw_Data!H469</f>
        <v>no</v>
      </c>
      <c r="J469" s="2" t="n">
        <f aca="false">IF(F469="yes",1,0)</f>
        <v>0</v>
      </c>
      <c r="K469" s="2" t="n">
        <f aca="false">IF(H469="yes",1,0)</f>
        <v>1</v>
      </c>
      <c r="L469" s="2" t="n">
        <f aca="false">IF(I469="yes",1,0)</f>
        <v>0</v>
      </c>
      <c r="M469" s="2" t="n">
        <f aca="false">IF(G469&lt;0,1,0)</f>
        <v>1</v>
      </c>
      <c r="N469" s="2" t="str">
        <f aca="false">_xlfn.IFS(B469&lt;30,"Under 30",B469&lt;40,"30-39",B469&lt;50,"40-49",B469&lt;60,"50-59",TRUE(),"60+")</f>
        <v>30-39</v>
      </c>
      <c r="O469" s="2" t="str">
        <f aca="false">_xlfn.IFS(G469&lt;0,"1 Negative",G469=0,"2 Zero",G469&lt;=500,"3 1-500",G469&lt;=2000,"4 501-2000",TRUE(),"5 Above 2000")</f>
        <v>1 Negative</v>
      </c>
      <c r="P469" s="2" t="n">
        <f aca="false">Lookups!$B$2*M469+Lookups!$B$3*L469</f>
        <v>2</v>
      </c>
      <c r="Q469" s="2" t="str">
        <f aca="false">INDEX(Lookups!$E$2:$E$5,MATCH(P469,Lookups!$D$2:$D$5,0))</f>
        <v>High</v>
      </c>
    </row>
    <row r="470" customFormat="false" ht="15" hidden="false" customHeight="false" outlineLevel="0" collapsed="false">
      <c r="A470" s="3" t="n">
        <v>469</v>
      </c>
      <c r="B470" s="3" t="n">
        <f aca="false">Raw_Data!A470</f>
        <v>40</v>
      </c>
      <c r="C470" s="3" t="str">
        <f aca="false">SUBSTITUTE(Raw_Data!B470,".","")</f>
        <v>management</v>
      </c>
      <c r="D470" s="3" t="str">
        <f aca="false">Raw_Data!C470</f>
        <v>single</v>
      </c>
      <c r="E470" s="3" t="str">
        <f aca="false">Raw_Data!D470</f>
        <v>secondary</v>
      </c>
      <c r="F470" s="3" t="str">
        <f aca="false">Raw_Data!E470</f>
        <v>no</v>
      </c>
      <c r="G470" s="3" t="n">
        <f aca="false">Raw_Data!F470</f>
        <v>10378</v>
      </c>
      <c r="H470" s="3" t="str">
        <f aca="false">Raw_Data!G470</f>
        <v>yes</v>
      </c>
      <c r="I470" s="3" t="str">
        <f aca="false">Raw_Data!H470</f>
        <v>no</v>
      </c>
      <c r="J470" s="2" t="n">
        <f aca="false">IF(F470="yes",1,0)</f>
        <v>0</v>
      </c>
      <c r="K470" s="2" t="n">
        <f aca="false">IF(H470="yes",1,0)</f>
        <v>1</v>
      </c>
      <c r="L470" s="2" t="n">
        <f aca="false">IF(I470="yes",1,0)</f>
        <v>0</v>
      </c>
      <c r="M470" s="2" t="n">
        <f aca="false">IF(G470&lt;0,1,0)</f>
        <v>0</v>
      </c>
      <c r="N470" s="2" t="str">
        <f aca="false">_xlfn.IFS(B470&lt;30,"Under 30",B470&lt;40,"30-39",B470&lt;50,"40-49",B470&lt;60,"50-59",TRUE(),"60+")</f>
        <v>40-49</v>
      </c>
      <c r="O470" s="2" t="str">
        <f aca="false">_xlfn.IFS(G470&lt;0,"1 Negative",G470=0,"2 Zero",G470&lt;=500,"3 1-500",G470&lt;=2000,"4 501-2000",TRUE(),"5 Above 2000")</f>
        <v>5 Above 2000</v>
      </c>
      <c r="P470" s="2" t="n">
        <f aca="false">Lookups!$B$2*M470+Lookups!$B$3*L470</f>
        <v>0</v>
      </c>
      <c r="Q470" s="2" t="str">
        <f aca="false">INDEX(Lookups!$E$2:$E$5,MATCH(P470,Lookups!$D$2:$D$5,0))</f>
        <v>Low</v>
      </c>
    </row>
    <row r="471" customFormat="false" ht="15" hidden="false" customHeight="false" outlineLevel="0" collapsed="false">
      <c r="A471" s="3" t="n">
        <v>470</v>
      </c>
      <c r="B471" s="3" t="n">
        <f aca="false">Raw_Data!A471</f>
        <v>36</v>
      </c>
      <c r="C471" s="3" t="str">
        <f aca="false">SUBSTITUTE(Raw_Data!B471,".","")</f>
        <v>blue-collar</v>
      </c>
      <c r="D471" s="3" t="str">
        <f aca="false">Raw_Data!C471</f>
        <v>single</v>
      </c>
      <c r="E471" s="3" t="str">
        <f aca="false">Raw_Data!D471</f>
        <v>primary</v>
      </c>
      <c r="F471" s="3" t="str">
        <f aca="false">Raw_Data!E471</f>
        <v>no</v>
      </c>
      <c r="G471" s="3" t="n">
        <f aca="false">Raw_Data!F471</f>
        <v>1313</v>
      </c>
      <c r="H471" s="3" t="str">
        <f aca="false">Raw_Data!G471</f>
        <v>yes</v>
      </c>
      <c r="I471" s="3" t="str">
        <f aca="false">Raw_Data!H471</f>
        <v>no</v>
      </c>
      <c r="J471" s="2" t="n">
        <f aca="false">IF(F471="yes",1,0)</f>
        <v>0</v>
      </c>
      <c r="K471" s="2" t="n">
        <f aca="false">IF(H471="yes",1,0)</f>
        <v>1</v>
      </c>
      <c r="L471" s="2" t="n">
        <f aca="false">IF(I471="yes",1,0)</f>
        <v>0</v>
      </c>
      <c r="M471" s="2" t="n">
        <f aca="false">IF(G471&lt;0,1,0)</f>
        <v>0</v>
      </c>
      <c r="N471" s="2" t="str">
        <f aca="false">_xlfn.IFS(B471&lt;30,"Under 30",B471&lt;40,"30-39",B471&lt;50,"40-49",B471&lt;60,"50-59",TRUE(),"60+")</f>
        <v>30-39</v>
      </c>
      <c r="O471" s="2" t="str">
        <f aca="false">_xlfn.IFS(G471&lt;0,"1 Negative",G471=0,"2 Zero",G471&lt;=500,"3 1-500",G471&lt;=2000,"4 501-2000",TRUE(),"5 Above 2000")</f>
        <v>4 501-2000</v>
      </c>
      <c r="P471" s="2" t="n">
        <f aca="false">Lookups!$B$2*M471+Lookups!$B$3*L471</f>
        <v>0</v>
      </c>
      <c r="Q471" s="2" t="str">
        <f aca="false">INDEX(Lookups!$E$2:$E$5,MATCH(P471,Lookups!$D$2:$D$5,0))</f>
        <v>Low</v>
      </c>
    </row>
    <row r="472" customFormat="false" ht="15" hidden="false" customHeight="false" outlineLevel="0" collapsed="false">
      <c r="A472" s="3" t="n">
        <v>471</v>
      </c>
      <c r="B472" s="3" t="n">
        <f aca="false">Raw_Data!A472</f>
        <v>40</v>
      </c>
      <c r="C472" s="3" t="str">
        <f aca="false">SUBSTITUTE(Raw_Data!B472,".","")</f>
        <v>management</v>
      </c>
      <c r="D472" s="3" t="str">
        <f aca="false">Raw_Data!C472</f>
        <v>married</v>
      </c>
      <c r="E472" s="3" t="str">
        <f aca="false">Raw_Data!D472</f>
        <v>tertiary</v>
      </c>
      <c r="F472" s="3" t="str">
        <f aca="false">Raw_Data!E472</f>
        <v>no</v>
      </c>
      <c r="G472" s="3" t="n">
        <f aca="false">Raw_Data!F472</f>
        <v>8969</v>
      </c>
      <c r="H472" s="3" t="str">
        <f aca="false">Raw_Data!G472</f>
        <v>yes</v>
      </c>
      <c r="I472" s="3" t="str">
        <f aca="false">Raw_Data!H472</f>
        <v>no</v>
      </c>
      <c r="J472" s="2" t="n">
        <f aca="false">IF(F472="yes",1,0)</f>
        <v>0</v>
      </c>
      <c r="K472" s="2" t="n">
        <f aca="false">IF(H472="yes",1,0)</f>
        <v>1</v>
      </c>
      <c r="L472" s="2" t="n">
        <f aca="false">IF(I472="yes",1,0)</f>
        <v>0</v>
      </c>
      <c r="M472" s="2" t="n">
        <f aca="false">IF(G472&lt;0,1,0)</f>
        <v>0</v>
      </c>
      <c r="N472" s="2" t="str">
        <f aca="false">_xlfn.IFS(B472&lt;30,"Under 30",B472&lt;40,"30-39",B472&lt;50,"40-49",B472&lt;60,"50-59",TRUE(),"60+")</f>
        <v>40-49</v>
      </c>
      <c r="O472" s="2" t="str">
        <f aca="false">_xlfn.IFS(G472&lt;0,"1 Negative",G472=0,"2 Zero",G472&lt;=500,"3 1-500",G472&lt;=2000,"4 501-2000",TRUE(),"5 Above 2000")</f>
        <v>5 Above 2000</v>
      </c>
      <c r="P472" s="2" t="n">
        <f aca="false">Lookups!$B$2*M472+Lookups!$B$3*L472</f>
        <v>0</v>
      </c>
      <c r="Q472" s="2" t="str">
        <f aca="false">INDEX(Lookups!$E$2:$E$5,MATCH(P472,Lookups!$D$2:$D$5,0))</f>
        <v>Low</v>
      </c>
    </row>
    <row r="473" customFormat="false" ht="15" hidden="false" customHeight="false" outlineLevel="0" collapsed="false">
      <c r="A473" s="3" t="n">
        <v>472</v>
      </c>
      <c r="B473" s="3" t="n">
        <f aca="false">Raw_Data!A473</f>
        <v>55</v>
      </c>
      <c r="C473" s="3" t="str">
        <f aca="false">SUBSTITUTE(Raw_Data!B473,".","")</f>
        <v>self-employed</v>
      </c>
      <c r="D473" s="3" t="str">
        <f aca="false">Raw_Data!C473</f>
        <v>married</v>
      </c>
      <c r="E473" s="3" t="str">
        <f aca="false">Raw_Data!D473</f>
        <v>secondary</v>
      </c>
      <c r="F473" s="3" t="str">
        <f aca="false">Raw_Data!E473</f>
        <v>no</v>
      </c>
      <c r="G473" s="3" t="n">
        <f aca="false">Raw_Data!F473</f>
        <v>-196</v>
      </c>
      <c r="H473" s="3" t="str">
        <f aca="false">Raw_Data!G473</f>
        <v>yes</v>
      </c>
      <c r="I473" s="3" t="str">
        <f aca="false">Raw_Data!H473</f>
        <v>no</v>
      </c>
      <c r="J473" s="2" t="n">
        <f aca="false">IF(F473="yes",1,0)</f>
        <v>0</v>
      </c>
      <c r="K473" s="2" t="n">
        <f aca="false">IF(H473="yes",1,0)</f>
        <v>1</v>
      </c>
      <c r="L473" s="2" t="n">
        <f aca="false">IF(I473="yes",1,0)</f>
        <v>0</v>
      </c>
      <c r="M473" s="2" t="n">
        <f aca="false">IF(G473&lt;0,1,0)</f>
        <v>1</v>
      </c>
      <c r="N473" s="2" t="str">
        <f aca="false">_xlfn.IFS(B473&lt;30,"Under 30",B473&lt;40,"30-39",B473&lt;50,"40-49",B473&lt;60,"50-59",TRUE(),"60+")</f>
        <v>50-59</v>
      </c>
      <c r="O473" s="2" t="str">
        <f aca="false">_xlfn.IFS(G473&lt;0,"1 Negative",G473=0,"2 Zero",G473&lt;=500,"3 1-500",G473&lt;=2000,"4 501-2000",TRUE(),"5 Above 2000")</f>
        <v>1 Negative</v>
      </c>
      <c r="P473" s="2" t="n">
        <f aca="false">Lookups!$B$2*M473+Lookups!$B$3*L473</f>
        <v>2</v>
      </c>
      <c r="Q473" s="2" t="str">
        <f aca="false">INDEX(Lookups!$E$2:$E$5,MATCH(P473,Lookups!$D$2:$D$5,0))</f>
        <v>High</v>
      </c>
    </row>
    <row r="474" customFormat="false" ht="15" hidden="false" customHeight="false" outlineLevel="0" collapsed="false">
      <c r="A474" s="3" t="n">
        <v>473</v>
      </c>
      <c r="B474" s="3" t="n">
        <f aca="false">Raw_Data!A474</f>
        <v>38</v>
      </c>
      <c r="C474" s="3" t="str">
        <f aca="false">SUBSTITUTE(Raw_Data!B474,".","")</f>
        <v>entrepreneur</v>
      </c>
      <c r="D474" s="3" t="str">
        <f aca="false">Raw_Data!C474</f>
        <v>married</v>
      </c>
      <c r="E474" s="3" t="str">
        <f aca="false">Raw_Data!D474</f>
        <v>secondary</v>
      </c>
      <c r="F474" s="3" t="str">
        <f aca="false">Raw_Data!E474</f>
        <v>yes</v>
      </c>
      <c r="G474" s="3" t="n">
        <f aca="false">Raw_Data!F474</f>
        <v>15</v>
      </c>
      <c r="H474" s="3" t="str">
        <f aca="false">Raw_Data!G474</f>
        <v>yes</v>
      </c>
      <c r="I474" s="3" t="str">
        <f aca="false">Raw_Data!H474</f>
        <v>no</v>
      </c>
      <c r="J474" s="2" t="n">
        <f aca="false">IF(F474="yes",1,0)</f>
        <v>1</v>
      </c>
      <c r="K474" s="2" t="n">
        <f aca="false">IF(H474="yes",1,0)</f>
        <v>1</v>
      </c>
      <c r="L474" s="2" t="n">
        <f aca="false">IF(I474="yes",1,0)</f>
        <v>0</v>
      </c>
      <c r="M474" s="2" t="n">
        <f aca="false">IF(G474&lt;0,1,0)</f>
        <v>0</v>
      </c>
      <c r="N474" s="2" t="str">
        <f aca="false">_xlfn.IFS(B474&lt;30,"Under 30",B474&lt;40,"30-39",B474&lt;50,"40-49",B474&lt;60,"50-59",TRUE(),"60+")</f>
        <v>30-39</v>
      </c>
      <c r="O474" s="2" t="str">
        <f aca="false">_xlfn.IFS(G474&lt;0,"1 Negative",G474=0,"2 Zero",G474&lt;=500,"3 1-500",G474&lt;=2000,"4 501-2000",TRUE(),"5 Above 2000")</f>
        <v>3 1-500</v>
      </c>
      <c r="P474" s="2" t="n">
        <f aca="false">Lookups!$B$2*M474+Lookups!$B$3*L474</f>
        <v>0</v>
      </c>
      <c r="Q474" s="2" t="str">
        <f aca="false">INDEX(Lookups!$E$2:$E$5,MATCH(P474,Lookups!$D$2:$D$5,0))</f>
        <v>Low</v>
      </c>
    </row>
    <row r="475" customFormat="false" ht="15" hidden="false" customHeight="false" outlineLevel="0" collapsed="false">
      <c r="A475" s="3" t="n">
        <v>474</v>
      </c>
      <c r="B475" s="3" t="n">
        <f aca="false">Raw_Data!A475</f>
        <v>61</v>
      </c>
      <c r="C475" s="3" t="str">
        <f aca="false">SUBSTITUTE(Raw_Data!B475,".","")</f>
        <v>admin</v>
      </c>
      <c r="D475" s="3" t="str">
        <f aca="false">Raw_Data!C475</f>
        <v>married</v>
      </c>
      <c r="E475" s="3" t="str">
        <f aca="false">Raw_Data!D475</f>
        <v>secondary</v>
      </c>
      <c r="F475" s="3" t="str">
        <f aca="false">Raw_Data!E475</f>
        <v>no</v>
      </c>
      <c r="G475" s="3" t="n">
        <f aca="false">Raw_Data!F475</f>
        <v>4608</v>
      </c>
      <c r="H475" s="3" t="str">
        <f aca="false">Raw_Data!G475</f>
        <v>no</v>
      </c>
      <c r="I475" s="3" t="str">
        <f aca="false">Raw_Data!H475</f>
        <v>no</v>
      </c>
      <c r="J475" s="2" t="n">
        <f aca="false">IF(F475="yes",1,0)</f>
        <v>0</v>
      </c>
      <c r="K475" s="2" t="n">
        <f aca="false">IF(H475="yes",1,0)</f>
        <v>0</v>
      </c>
      <c r="L475" s="2" t="n">
        <f aca="false">IF(I475="yes",1,0)</f>
        <v>0</v>
      </c>
      <c r="M475" s="2" t="n">
        <f aca="false">IF(G475&lt;0,1,0)</f>
        <v>0</v>
      </c>
      <c r="N475" s="2" t="str">
        <f aca="false">_xlfn.IFS(B475&lt;30,"Under 30",B475&lt;40,"30-39",B475&lt;50,"40-49",B475&lt;60,"50-59",TRUE(),"60+")</f>
        <v>60+</v>
      </c>
      <c r="O475" s="2" t="str">
        <f aca="false">_xlfn.IFS(G475&lt;0,"1 Negative",G475=0,"2 Zero",G475&lt;=500,"3 1-500",G475&lt;=2000,"4 501-2000",TRUE(),"5 Above 2000")</f>
        <v>5 Above 2000</v>
      </c>
      <c r="P475" s="2" t="n">
        <f aca="false">Lookups!$B$2*M475+Lookups!$B$3*L475</f>
        <v>0</v>
      </c>
      <c r="Q475" s="2" t="str">
        <f aca="false">INDEX(Lookups!$E$2:$E$5,MATCH(P475,Lookups!$D$2:$D$5,0))</f>
        <v>Low</v>
      </c>
    </row>
    <row r="476" customFormat="false" ht="15" hidden="false" customHeight="false" outlineLevel="0" collapsed="false">
      <c r="A476" s="3" t="n">
        <v>475</v>
      </c>
      <c r="B476" s="3" t="n">
        <f aca="false">Raw_Data!A476</f>
        <v>41</v>
      </c>
      <c r="C476" s="3" t="str">
        <f aca="false">SUBSTITUTE(Raw_Data!B476,".","")</f>
        <v>management</v>
      </c>
      <c r="D476" s="3" t="str">
        <f aca="false">Raw_Data!C476</f>
        <v>married</v>
      </c>
      <c r="E476" s="3" t="str">
        <f aca="false">Raw_Data!D476</f>
        <v>tertiary</v>
      </c>
      <c r="F476" s="3" t="str">
        <f aca="false">Raw_Data!E476</f>
        <v>no</v>
      </c>
      <c r="G476" s="3" t="n">
        <f aca="false">Raw_Data!F476</f>
        <v>666</v>
      </c>
      <c r="H476" s="3" t="str">
        <f aca="false">Raw_Data!G476</f>
        <v>yes</v>
      </c>
      <c r="I476" s="3" t="str">
        <f aca="false">Raw_Data!H476</f>
        <v>no</v>
      </c>
      <c r="J476" s="2" t="n">
        <f aca="false">IF(F476="yes",1,0)</f>
        <v>0</v>
      </c>
      <c r="K476" s="2" t="n">
        <f aca="false">IF(H476="yes",1,0)</f>
        <v>1</v>
      </c>
      <c r="L476" s="2" t="n">
        <f aca="false">IF(I476="yes",1,0)</f>
        <v>0</v>
      </c>
      <c r="M476" s="2" t="n">
        <f aca="false">IF(G476&lt;0,1,0)</f>
        <v>0</v>
      </c>
      <c r="N476" s="2" t="str">
        <f aca="false">_xlfn.IFS(B476&lt;30,"Under 30",B476&lt;40,"30-39",B476&lt;50,"40-49",B476&lt;60,"50-59",TRUE(),"60+")</f>
        <v>40-49</v>
      </c>
      <c r="O476" s="2" t="str">
        <f aca="false">_xlfn.IFS(G476&lt;0,"1 Negative",G476=0,"2 Zero",G476&lt;=500,"3 1-500",G476&lt;=2000,"4 501-2000",TRUE(),"5 Above 2000")</f>
        <v>4 501-2000</v>
      </c>
      <c r="P476" s="2" t="n">
        <f aca="false">Lookups!$B$2*M476+Lookups!$B$3*L476</f>
        <v>0</v>
      </c>
      <c r="Q476" s="2" t="str">
        <f aca="false">INDEX(Lookups!$E$2:$E$5,MATCH(P476,Lookups!$D$2:$D$5,0))</f>
        <v>Low</v>
      </c>
    </row>
    <row r="477" customFormat="false" ht="15" hidden="false" customHeight="false" outlineLevel="0" collapsed="false">
      <c r="A477" s="3" t="n">
        <v>476</v>
      </c>
      <c r="B477" s="3" t="n">
        <f aca="false">Raw_Data!A477</f>
        <v>57</v>
      </c>
      <c r="C477" s="3" t="str">
        <f aca="false">SUBSTITUTE(Raw_Data!B477,".","")</f>
        <v>blue-collar</v>
      </c>
      <c r="D477" s="3" t="str">
        <f aca="false">Raw_Data!C477</f>
        <v>married</v>
      </c>
      <c r="E477" s="3" t="str">
        <f aca="false">Raw_Data!D477</f>
        <v>primary</v>
      </c>
      <c r="F477" s="3" t="str">
        <f aca="false">Raw_Data!E477</f>
        <v>no</v>
      </c>
      <c r="G477" s="3" t="n">
        <f aca="false">Raw_Data!F477</f>
        <v>452</v>
      </c>
      <c r="H477" s="3" t="str">
        <f aca="false">Raw_Data!G477</f>
        <v>yes</v>
      </c>
      <c r="I477" s="3" t="str">
        <f aca="false">Raw_Data!H477</f>
        <v>no</v>
      </c>
      <c r="J477" s="2" t="n">
        <f aca="false">IF(F477="yes",1,0)</f>
        <v>0</v>
      </c>
      <c r="K477" s="2" t="n">
        <f aca="false">IF(H477="yes",1,0)</f>
        <v>1</v>
      </c>
      <c r="L477" s="2" t="n">
        <f aca="false">IF(I477="yes",1,0)</f>
        <v>0</v>
      </c>
      <c r="M477" s="2" t="n">
        <f aca="false">IF(G477&lt;0,1,0)</f>
        <v>0</v>
      </c>
      <c r="N477" s="2" t="str">
        <f aca="false">_xlfn.IFS(B477&lt;30,"Under 30",B477&lt;40,"30-39",B477&lt;50,"40-49",B477&lt;60,"50-59",TRUE(),"60+")</f>
        <v>50-59</v>
      </c>
      <c r="O477" s="2" t="str">
        <f aca="false">_xlfn.IFS(G477&lt;0,"1 Negative",G477=0,"2 Zero",G477&lt;=500,"3 1-500",G477&lt;=2000,"4 501-2000",TRUE(),"5 Above 2000")</f>
        <v>3 1-500</v>
      </c>
      <c r="P477" s="2" t="n">
        <f aca="false">Lookups!$B$2*M477+Lookups!$B$3*L477</f>
        <v>0</v>
      </c>
      <c r="Q477" s="2" t="str">
        <f aca="false">INDEX(Lookups!$E$2:$E$5,MATCH(P477,Lookups!$D$2:$D$5,0))</f>
        <v>Low</v>
      </c>
    </row>
    <row r="478" customFormat="false" ht="15" hidden="false" customHeight="false" outlineLevel="0" collapsed="false">
      <c r="A478" s="3" t="n">
        <v>477</v>
      </c>
      <c r="B478" s="3" t="n">
        <f aca="false">Raw_Data!A478</f>
        <v>48</v>
      </c>
      <c r="C478" s="3" t="str">
        <f aca="false">SUBSTITUTE(Raw_Data!B478,".","")</f>
        <v>blue-collar</v>
      </c>
      <c r="D478" s="3" t="str">
        <f aca="false">Raw_Data!C478</f>
        <v>married</v>
      </c>
      <c r="E478" s="3" t="str">
        <f aca="false">Raw_Data!D478</f>
        <v>secondary</v>
      </c>
      <c r="F478" s="3" t="str">
        <f aca="false">Raw_Data!E478</f>
        <v>no</v>
      </c>
      <c r="G478" s="3" t="n">
        <f aca="false">Raw_Data!F478</f>
        <v>149</v>
      </c>
      <c r="H478" s="3" t="str">
        <f aca="false">Raw_Data!G478</f>
        <v>yes</v>
      </c>
      <c r="I478" s="3" t="str">
        <f aca="false">Raw_Data!H478</f>
        <v>no</v>
      </c>
      <c r="J478" s="2" t="n">
        <f aca="false">IF(F478="yes",1,0)</f>
        <v>0</v>
      </c>
      <c r="K478" s="2" t="n">
        <f aca="false">IF(H478="yes",1,0)</f>
        <v>1</v>
      </c>
      <c r="L478" s="2" t="n">
        <f aca="false">IF(I478="yes",1,0)</f>
        <v>0</v>
      </c>
      <c r="M478" s="2" t="n">
        <f aca="false">IF(G478&lt;0,1,0)</f>
        <v>0</v>
      </c>
      <c r="N478" s="2" t="str">
        <f aca="false">_xlfn.IFS(B478&lt;30,"Under 30",B478&lt;40,"30-39",B478&lt;50,"40-49",B478&lt;60,"50-59",TRUE(),"60+")</f>
        <v>40-49</v>
      </c>
      <c r="O478" s="2" t="str">
        <f aca="false">_xlfn.IFS(G478&lt;0,"1 Negative",G478=0,"2 Zero",G478&lt;=500,"3 1-500",G478&lt;=2000,"4 501-2000",TRUE(),"5 Above 2000")</f>
        <v>3 1-500</v>
      </c>
      <c r="P478" s="2" t="n">
        <f aca="false">Lookups!$B$2*M478+Lookups!$B$3*L478</f>
        <v>0</v>
      </c>
      <c r="Q478" s="2" t="str">
        <f aca="false">INDEX(Lookups!$E$2:$E$5,MATCH(P478,Lookups!$D$2:$D$5,0))</f>
        <v>Low</v>
      </c>
    </row>
    <row r="479" customFormat="false" ht="15" hidden="false" customHeight="false" outlineLevel="0" collapsed="false">
      <c r="A479" s="3" t="n">
        <v>478</v>
      </c>
      <c r="B479" s="3" t="n">
        <f aca="false">Raw_Data!A479</f>
        <v>77</v>
      </c>
      <c r="C479" s="3" t="str">
        <f aca="false">SUBSTITUTE(Raw_Data!B479,".","")</f>
        <v>retired</v>
      </c>
      <c r="D479" s="3" t="str">
        <f aca="false">Raw_Data!C479</f>
        <v>married</v>
      </c>
      <c r="E479" s="3" t="str">
        <f aca="false">Raw_Data!D479</f>
        <v>tertiary</v>
      </c>
      <c r="F479" s="3" t="str">
        <f aca="false">Raw_Data!E479</f>
        <v>no</v>
      </c>
      <c r="G479" s="3" t="n">
        <f aca="false">Raw_Data!F479</f>
        <v>7802</v>
      </c>
      <c r="H479" s="3" t="str">
        <f aca="false">Raw_Data!G479</f>
        <v>no</v>
      </c>
      <c r="I479" s="3" t="str">
        <f aca="false">Raw_Data!H479</f>
        <v>no</v>
      </c>
      <c r="J479" s="2" t="n">
        <f aca="false">IF(F479="yes",1,0)</f>
        <v>0</v>
      </c>
      <c r="K479" s="2" t="n">
        <f aca="false">IF(H479="yes",1,0)</f>
        <v>0</v>
      </c>
      <c r="L479" s="2" t="n">
        <f aca="false">IF(I479="yes",1,0)</f>
        <v>0</v>
      </c>
      <c r="M479" s="2" t="n">
        <f aca="false">IF(G479&lt;0,1,0)</f>
        <v>0</v>
      </c>
      <c r="N479" s="2" t="str">
        <f aca="false">_xlfn.IFS(B479&lt;30,"Under 30",B479&lt;40,"30-39",B479&lt;50,"40-49",B479&lt;60,"50-59",TRUE(),"60+")</f>
        <v>60+</v>
      </c>
      <c r="O479" s="2" t="str">
        <f aca="false">_xlfn.IFS(G479&lt;0,"1 Negative",G479=0,"2 Zero",G479&lt;=500,"3 1-500",G479&lt;=2000,"4 501-2000",TRUE(),"5 Above 2000")</f>
        <v>5 Above 2000</v>
      </c>
      <c r="P479" s="2" t="n">
        <f aca="false">Lookups!$B$2*M479+Lookups!$B$3*L479</f>
        <v>0</v>
      </c>
      <c r="Q479" s="2" t="str">
        <f aca="false">INDEX(Lookups!$E$2:$E$5,MATCH(P479,Lookups!$D$2:$D$5,0))</f>
        <v>Low</v>
      </c>
    </row>
    <row r="480" customFormat="false" ht="15" hidden="false" customHeight="false" outlineLevel="0" collapsed="false">
      <c r="A480" s="3" t="n">
        <v>479</v>
      </c>
      <c r="B480" s="3" t="n">
        <f aca="false">Raw_Data!A480</f>
        <v>35</v>
      </c>
      <c r="C480" s="3" t="str">
        <f aca="false">SUBSTITUTE(Raw_Data!B480,".","")</f>
        <v>services</v>
      </c>
      <c r="D480" s="3" t="str">
        <f aca="false">Raw_Data!C480</f>
        <v>married</v>
      </c>
      <c r="E480" s="3" t="str">
        <f aca="false">Raw_Data!D480</f>
        <v>secondary</v>
      </c>
      <c r="F480" s="3" t="str">
        <f aca="false">Raw_Data!E480</f>
        <v>no</v>
      </c>
      <c r="G480" s="3" t="n">
        <f aca="false">Raw_Data!F480</f>
        <v>1453</v>
      </c>
      <c r="H480" s="3" t="str">
        <f aca="false">Raw_Data!G480</f>
        <v>yes</v>
      </c>
      <c r="I480" s="3" t="str">
        <f aca="false">Raw_Data!H480</f>
        <v>no</v>
      </c>
      <c r="J480" s="2" t="n">
        <f aca="false">IF(F480="yes",1,0)</f>
        <v>0</v>
      </c>
      <c r="K480" s="2" t="n">
        <f aca="false">IF(H480="yes",1,0)</f>
        <v>1</v>
      </c>
      <c r="L480" s="2" t="n">
        <f aca="false">IF(I480="yes",1,0)</f>
        <v>0</v>
      </c>
      <c r="M480" s="2" t="n">
        <f aca="false">IF(G480&lt;0,1,0)</f>
        <v>0</v>
      </c>
      <c r="N480" s="2" t="str">
        <f aca="false">_xlfn.IFS(B480&lt;30,"Under 30",B480&lt;40,"30-39",B480&lt;50,"40-49",B480&lt;60,"50-59",TRUE(),"60+")</f>
        <v>30-39</v>
      </c>
      <c r="O480" s="2" t="str">
        <f aca="false">_xlfn.IFS(G480&lt;0,"1 Negative",G480=0,"2 Zero",G480&lt;=500,"3 1-500",G480&lt;=2000,"4 501-2000",TRUE(),"5 Above 2000")</f>
        <v>4 501-2000</v>
      </c>
      <c r="P480" s="2" t="n">
        <f aca="false">Lookups!$B$2*M480+Lookups!$B$3*L480</f>
        <v>0</v>
      </c>
      <c r="Q480" s="2" t="str">
        <f aca="false">INDEX(Lookups!$E$2:$E$5,MATCH(P480,Lookups!$D$2:$D$5,0))</f>
        <v>Low</v>
      </c>
    </row>
    <row r="481" customFormat="false" ht="15" hidden="false" customHeight="false" outlineLevel="0" collapsed="false">
      <c r="A481" s="3" t="n">
        <v>480</v>
      </c>
      <c r="B481" s="3" t="n">
        <f aca="false">Raw_Data!A481</f>
        <v>54</v>
      </c>
      <c r="C481" s="3" t="str">
        <f aca="false">SUBSTITUTE(Raw_Data!B481,".","")</f>
        <v>blue-collar</v>
      </c>
      <c r="D481" s="3" t="str">
        <f aca="false">Raw_Data!C481</f>
        <v>married</v>
      </c>
      <c r="E481" s="3" t="str">
        <f aca="false">Raw_Data!D481</f>
        <v>secondary</v>
      </c>
      <c r="F481" s="3" t="str">
        <f aca="false">Raw_Data!E481</f>
        <v>no</v>
      </c>
      <c r="G481" s="3" t="n">
        <f aca="false">Raw_Data!F481</f>
        <v>1480</v>
      </c>
      <c r="H481" s="3" t="str">
        <f aca="false">Raw_Data!G481</f>
        <v>yes</v>
      </c>
      <c r="I481" s="3" t="str">
        <f aca="false">Raw_Data!H481</f>
        <v>no</v>
      </c>
      <c r="J481" s="2" t="n">
        <f aca="false">IF(F481="yes",1,0)</f>
        <v>0</v>
      </c>
      <c r="K481" s="2" t="n">
        <f aca="false">IF(H481="yes",1,0)</f>
        <v>1</v>
      </c>
      <c r="L481" s="2" t="n">
        <f aca="false">IF(I481="yes",1,0)</f>
        <v>0</v>
      </c>
      <c r="M481" s="2" t="n">
        <f aca="false">IF(G481&lt;0,1,0)</f>
        <v>0</v>
      </c>
      <c r="N481" s="2" t="str">
        <f aca="false">_xlfn.IFS(B481&lt;30,"Under 30",B481&lt;40,"30-39",B481&lt;50,"40-49",B481&lt;60,"50-59",TRUE(),"60+")</f>
        <v>50-59</v>
      </c>
      <c r="O481" s="2" t="str">
        <f aca="false">_xlfn.IFS(G481&lt;0,"1 Negative",G481=0,"2 Zero",G481&lt;=500,"3 1-500",G481&lt;=2000,"4 501-2000",TRUE(),"5 Above 2000")</f>
        <v>4 501-2000</v>
      </c>
      <c r="P481" s="2" t="n">
        <f aca="false">Lookups!$B$2*M481+Lookups!$B$3*L481</f>
        <v>0</v>
      </c>
      <c r="Q481" s="2" t="str">
        <f aca="false">INDEX(Lookups!$E$2:$E$5,MATCH(P481,Lookups!$D$2:$D$5,0))</f>
        <v>Low</v>
      </c>
    </row>
    <row r="482" customFormat="false" ht="15" hidden="false" customHeight="false" outlineLevel="0" collapsed="false">
      <c r="A482" s="3" t="n">
        <v>481</v>
      </c>
      <c r="B482" s="3" t="n">
        <f aca="false">Raw_Data!A482</f>
        <v>37</v>
      </c>
      <c r="C482" s="3" t="str">
        <f aca="false">SUBSTITUTE(Raw_Data!B482,".","")</f>
        <v>management</v>
      </c>
      <c r="D482" s="3" t="str">
        <f aca="false">Raw_Data!C482</f>
        <v>single</v>
      </c>
      <c r="E482" s="3" t="str">
        <f aca="false">Raw_Data!D482</f>
        <v>unknown</v>
      </c>
      <c r="F482" s="3" t="str">
        <f aca="false">Raw_Data!E482</f>
        <v>no</v>
      </c>
      <c r="G482" s="3" t="n">
        <f aca="false">Raw_Data!F482</f>
        <v>715</v>
      </c>
      <c r="H482" s="3" t="str">
        <f aca="false">Raw_Data!G482</f>
        <v>yes</v>
      </c>
      <c r="I482" s="3" t="str">
        <f aca="false">Raw_Data!H482</f>
        <v>no</v>
      </c>
      <c r="J482" s="2" t="n">
        <f aca="false">IF(F482="yes",1,0)</f>
        <v>0</v>
      </c>
      <c r="K482" s="2" t="n">
        <f aca="false">IF(H482="yes",1,0)</f>
        <v>1</v>
      </c>
      <c r="L482" s="2" t="n">
        <f aca="false">IF(I482="yes",1,0)</f>
        <v>0</v>
      </c>
      <c r="M482" s="2" t="n">
        <f aca="false">IF(G482&lt;0,1,0)</f>
        <v>0</v>
      </c>
      <c r="N482" s="2" t="str">
        <f aca="false">_xlfn.IFS(B482&lt;30,"Under 30",B482&lt;40,"30-39",B482&lt;50,"40-49",B482&lt;60,"50-59",TRUE(),"60+")</f>
        <v>30-39</v>
      </c>
      <c r="O482" s="2" t="str">
        <f aca="false">_xlfn.IFS(G482&lt;0,"1 Negative",G482=0,"2 Zero",G482&lt;=500,"3 1-500",G482&lt;=2000,"4 501-2000",TRUE(),"5 Above 2000")</f>
        <v>4 501-2000</v>
      </c>
      <c r="P482" s="2" t="n">
        <f aca="false">Lookups!$B$2*M482+Lookups!$B$3*L482</f>
        <v>0</v>
      </c>
      <c r="Q482" s="2" t="str">
        <f aca="false">INDEX(Lookups!$E$2:$E$5,MATCH(P482,Lookups!$D$2:$D$5,0))</f>
        <v>Low</v>
      </c>
    </row>
    <row r="483" customFormat="false" ht="15" hidden="false" customHeight="false" outlineLevel="0" collapsed="false">
      <c r="A483" s="3" t="n">
        <v>482</v>
      </c>
      <c r="B483" s="3" t="n">
        <f aca="false">Raw_Data!A483</f>
        <v>56</v>
      </c>
      <c r="C483" s="3" t="str">
        <f aca="false">SUBSTITUTE(Raw_Data!B483,".","")</f>
        <v>management</v>
      </c>
      <c r="D483" s="3" t="str">
        <f aca="false">Raw_Data!C483</f>
        <v>single</v>
      </c>
      <c r="E483" s="3" t="str">
        <f aca="false">Raw_Data!D483</f>
        <v>secondary</v>
      </c>
      <c r="F483" s="3" t="str">
        <f aca="false">Raw_Data!E483</f>
        <v>no</v>
      </c>
      <c r="G483" s="3" t="n">
        <f aca="false">Raw_Data!F483</f>
        <v>237</v>
      </c>
      <c r="H483" s="3" t="str">
        <f aca="false">Raw_Data!G483</f>
        <v>yes</v>
      </c>
      <c r="I483" s="3" t="str">
        <f aca="false">Raw_Data!H483</f>
        <v>no</v>
      </c>
      <c r="J483" s="2" t="n">
        <f aca="false">IF(F483="yes",1,0)</f>
        <v>0</v>
      </c>
      <c r="K483" s="2" t="n">
        <f aca="false">IF(H483="yes",1,0)</f>
        <v>1</v>
      </c>
      <c r="L483" s="2" t="n">
        <f aca="false">IF(I483="yes",1,0)</f>
        <v>0</v>
      </c>
      <c r="M483" s="2" t="n">
        <f aca="false">IF(G483&lt;0,1,0)</f>
        <v>0</v>
      </c>
      <c r="N483" s="2" t="str">
        <f aca="false">_xlfn.IFS(B483&lt;30,"Under 30",B483&lt;40,"30-39",B483&lt;50,"40-49",B483&lt;60,"50-59",TRUE(),"60+")</f>
        <v>50-59</v>
      </c>
      <c r="O483" s="2" t="str">
        <f aca="false">_xlfn.IFS(G483&lt;0,"1 Negative",G483=0,"2 Zero",G483&lt;=500,"3 1-500",G483&lt;=2000,"4 501-2000",TRUE(),"5 Above 2000")</f>
        <v>3 1-500</v>
      </c>
      <c r="P483" s="2" t="n">
        <f aca="false">Lookups!$B$2*M483+Lookups!$B$3*L483</f>
        <v>0</v>
      </c>
      <c r="Q483" s="2" t="str">
        <f aca="false">INDEX(Lookups!$E$2:$E$5,MATCH(P483,Lookups!$D$2:$D$5,0))</f>
        <v>Low</v>
      </c>
    </row>
    <row r="484" customFormat="false" ht="15" hidden="false" customHeight="false" outlineLevel="0" collapsed="false">
      <c r="A484" s="3" t="n">
        <v>483</v>
      </c>
      <c r="B484" s="3" t="n">
        <f aca="false">Raw_Data!A484</f>
        <v>40</v>
      </c>
      <c r="C484" s="3" t="str">
        <f aca="false">SUBSTITUTE(Raw_Data!B484,".","")</f>
        <v>technician</v>
      </c>
      <c r="D484" s="3" t="str">
        <f aca="false">Raw_Data!C484</f>
        <v>married</v>
      </c>
      <c r="E484" s="3" t="str">
        <f aca="false">Raw_Data!D484</f>
        <v>secondary</v>
      </c>
      <c r="F484" s="3" t="str">
        <f aca="false">Raw_Data!E484</f>
        <v>no</v>
      </c>
      <c r="G484" s="3" t="n">
        <f aca="false">Raw_Data!F484</f>
        <v>694</v>
      </c>
      <c r="H484" s="3" t="str">
        <f aca="false">Raw_Data!G484</f>
        <v>yes</v>
      </c>
      <c r="I484" s="3" t="str">
        <f aca="false">Raw_Data!H484</f>
        <v>no</v>
      </c>
      <c r="J484" s="2" t="n">
        <f aca="false">IF(F484="yes",1,0)</f>
        <v>0</v>
      </c>
      <c r="K484" s="2" t="n">
        <f aca="false">IF(H484="yes",1,0)</f>
        <v>1</v>
      </c>
      <c r="L484" s="2" t="n">
        <f aca="false">IF(I484="yes",1,0)</f>
        <v>0</v>
      </c>
      <c r="M484" s="2" t="n">
        <f aca="false">IF(G484&lt;0,1,0)</f>
        <v>0</v>
      </c>
      <c r="N484" s="2" t="str">
        <f aca="false">_xlfn.IFS(B484&lt;30,"Under 30",B484&lt;40,"30-39",B484&lt;50,"40-49",B484&lt;60,"50-59",TRUE(),"60+")</f>
        <v>40-49</v>
      </c>
      <c r="O484" s="2" t="str">
        <f aca="false">_xlfn.IFS(G484&lt;0,"1 Negative",G484=0,"2 Zero",G484&lt;=500,"3 1-500",G484&lt;=2000,"4 501-2000",TRUE(),"5 Above 2000")</f>
        <v>4 501-2000</v>
      </c>
      <c r="P484" s="2" t="n">
        <f aca="false">Lookups!$B$2*M484+Lookups!$B$3*L484</f>
        <v>0</v>
      </c>
      <c r="Q484" s="2" t="str">
        <f aca="false">INDEX(Lookups!$E$2:$E$5,MATCH(P484,Lookups!$D$2:$D$5,0))</f>
        <v>Low</v>
      </c>
    </row>
    <row r="485" customFormat="false" ht="15" hidden="false" customHeight="false" outlineLevel="0" collapsed="false">
      <c r="A485" s="3" t="n">
        <v>484</v>
      </c>
      <c r="B485" s="3" t="n">
        <f aca="false">Raw_Data!A485</f>
        <v>40</v>
      </c>
      <c r="C485" s="3" t="str">
        <f aca="false">SUBSTITUTE(Raw_Data!B485,".","")</f>
        <v>management</v>
      </c>
      <c r="D485" s="3" t="str">
        <f aca="false">Raw_Data!C485</f>
        <v>married</v>
      </c>
      <c r="E485" s="3" t="str">
        <f aca="false">Raw_Data!D485</f>
        <v>tertiary</v>
      </c>
      <c r="F485" s="3" t="str">
        <f aca="false">Raw_Data!E485</f>
        <v>no</v>
      </c>
      <c r="G485" s="3" t="n">
        <f aca="false">Raw_Data!F485</f>
        <v>0</v>
      </c>
      <c r="H485" s="3" t="str">
        <f aca="false">Raw_Data!G485</f>
        <v>no</v>
      </c>
      <c r="I485" s="3" t="str">
        <f aca="false">Raw_Data!H485</f>
        <v>no</v>
      </c>
      <c r="J485" s="2" t="n">
        <f aca="false">IF(F485="yes",1,0)</f>
        <v>0</v>
      </c>
      <c r="K485" s="2" t="n">
        <f aca="false">IF(H485="yes",1,0)</f>
        <v>0</v>
      </c>
      <c r="L485" s="2" t="n">
        <f aca="false">IF(I485="yes",1,0)</f>
        <v>0</v>
      </c>
      <c r="M485" s="2" t="n">
        <f aca="false">IF(G485&lt;0,1,0)</f>
        <v>0</v>
      </c>
      <c r="N485" s="2" t="str">
        <f aca="false">_xlfn.IFS(B485&lt;30,"Under 30",B485&lt;40,"30-39",B485&lt;50,"40-49",B485&lt;60,"50-59",TRUE(),"60+")</f>
        <v>40-49</v>
      </c>
      <c r="O485" s="2" t="str">
        <f aca="false">_xlfn.IFS(G485&lt;0,"1 Negative",G485=0,"2 Zero",G485&lt;=500,"3 1-500",G485&lt;=2000,"4 501-2000",TRUE(),"5 Above 2000")</f>
        <v>2 Zero</v>
      </c>
      <c r="P485" s="2" t="n">
        <f aca="false">Lookups!$B$2*M485+Lookups!$B$3*L485</f>
        <v>0</v>
      </c>
      <c r="Q485" s="2" t="str">
        <f aca="false">INDEX(Lookups!$E$2:$E$5,MATCH(P485,Lookups!$D$2:$D$5,0))</f>
        <v>Low</v>
      </c>
    </row>
    <row r="486" customFormat="false" ht="15" hidden="false" customHeight="false" outlineLevel="0" collapsed="false">
      <c r="A486" s="3" t="n">
        <v>485</v>
      </c>
      <c r="B486" s="3" t="n">
        <f aca="false">Raw_Data!A486</f>
        <v>54</v>
      </c>
      <c r="C486" s="3" t="str">
        <f aca="false">SUBSTITUTE(Raw_Data!B486,".","")</f>
        <v>management</v>
      </c>
      <c r="D486" s="3" t="str">
        <f aca="false">Raw_Data!C486</f>
        <v>married</v>
      </c>
      <c r="E486" s="3" t="str">
        <f aca="false">Raw_Data!D486</f>
        <v>tertiary</v>
      </c>
      <c r="F486" s="3" t="str">
        <f aca="false">Raw_Data!E486</f>
        <v>no</v>
      </c>
      <c r="G486" s="3" t="n">
        <f aca="false">Raw_Data!F486</f>
        <v>55</v>
      </c>
      <c r="H486" s="3" t="str">
        <f aca="false">Raw_Data!G486</f>
        <v>yes</v>
      </c>
      <c r="I486" s="3" t="str">
        <f aca="false">Raw_Data!H486</f>
        <v>no</v>
      </c>
      <c r="J486" s="2" t="n">
        <f aca="false">IF(F486="yes",1,0)</f>
        <v>0</v>
      </c>
      <c r="K486" s="2" t="n">
        <f aca="false">IF(H486="yes",1,0)</f>
        <v>1</v>
      </c>
      <c r="L486" s="2" t="n">
        <f aca="false">IF(I486="yes",1,0)</f>
        <v>0</v>
      </c>
      <c r="M486" s="2" t="n">
        <f aca="false">IF(G486&lt;0,1,0)</f>
        <v>0</v>
      </c>
      <c r="N486" s="2" t="str">
        <f aca="false">_xlfn.IFS(B486&lt;30,"Under 30",B486&lt;40,"30-39",B486&lt;50,"40-49",B486&lt;60,"50-59",TRUE(),"60+")</f>
        <v>50-59</v>
      </c>
      <c r="O486" s="2" t="str">
        <f aca="false">_xlfn.IFS(G486&lt;0,"1 Negative",G486=0,"2 Zero",G486&lt;=500,"3 1-500",G486&lt;=2000,"4 501-2000",TRUE(),"5 Above 2000")</f>
        <v>3 1-500</v>
      </c>
      <c r="P486" s="2" t="n">
        <f aca="false">Lookups!$B$2*M486+Lookups!$B$3*L486</f>
        <v>0</v>
      </c>
      <c r="Q486" s="2" t="str">
        <f aca="false">INDEX(Lookups!$E$2:$E$5,MATCH(P486,Lookups!$D$2:$D$5,0))</f>
        <v>Low</v>
      </c>
    </row>
    <row r="487" customFormat="false" ht="15" hidden="false" customHeight="false" outlineLevel="0" collapsed="false">
      <c r="A487" s="3" t="n">
        <v>486</v>
      </c>
      <c r="B487" s="3" t="n">
        <f aca="false">Raw_Data!A487</f>
        <v>55</v>
      </c>
      <c r="C487" s="3" t="str">
        <f aca="false">SUBSTITUTE(Raw_Data!B487,".","")</f>
        <v>housemaid</v>
      </c>
      <c r="D487" s="3" t="str">
        <f aca="false">Raw_Data!C487</f>
        <v>married</v>
      </c>
      <c r="E487" s="3" t="str">
        <f aca="false">Raw_Data!D487</f>
        <v>primary</v>
      </c>
      <c r="F487" s="3" t="str">
        <f aca="false">Raw_Data!E487</f>
        <v>no</v>
      </c>
      <c r="G487" s="3" t="n">
        <f aca="false">Raw_Data!F487</f>
        <v>136</v>
      </c>
      <c r="H487" s="3" t="str">
        <f aca="false">Raw_Data!G487</f>
        <v>yes</v>
      </c>
      <c r="I487" s="3" t="str">
        <f aca="false">Raw_Data!H487</f>
        <v>no</v>
      </c>
      <c r="J487" s="2" t="n">
        <f aca="false">IF(F487="yes",1,0)</f>
        <v>0</v>
      </c>
      <c r="K487" s="2" t="n">
        <f aca="false">IF(H487="yes",1,0)</f>
        <v>1</v>
      </c>
      <c r="L487" s="2" t="n">
        <f aca="false">IF(I487="yes",1,0)</f>
        <v>0</v>
      </c>
      <c r="M487" s="2" t="n">
        <f aca="false">IF(G487&lt;0,1,0)</f>
        <v>0</v>
      </c>
      <c r="N487" s="2" t="str">
        <f aca="false">_xlfn.IFS(B487&lt;30,"Under 30",B487&lt;40,"30-39",B487&lt;50,"40-49",B487&lt;60,"50-59",TRUE(),"60+")</f>
        <v>50-59</v>
      </c>
      <c r="O487" s="2" t="str">
        <f aca="false">_xlfn.IFS(G487&lt;0,"1 Negative",G487=0,"2 Zero",G487&lt;=500,"3 1-500",G487&lt;=2000,"4 501-2000",TRUE(),"5 Above 2000")</f>
        <v>3 1-500</v>
      </c>
      <c r="P487" s="2" t="n">
        <f aca="false">Lookups!$B$2*M487+Lookups!$B$3*L487</f>
        <v>0</v>
      </c>
      <c r="Q487" s="2" t="str">
        <f aca="false">INDEX(Lookups!$E$2:$E$5,MATCH(P487,Lookups!$D$2:$D$5,0))</f>
        <v>Low</v>
      </c>
    </row>
    <row r="488" customFormat="false" ht="15" hidden="false" customHeight="false" outlineLevel="0" collapsed="false">
      <c r="A488" s="3" t="n">
        <v>487</v>
      </c>
      <c r="B488" s="3" t="n">
        <f aca="false">Raw_Data!A488</f>
        <v>55</v>
      </c>
      <c r="C488" s="3" t="str">
        <f aca="false">SUBSTITUTE(Raw_Data!B488,".","")</f>
        <v>services</v>
      </c>
      <c r="D488" s="3" t="str">
        <f aca="false">Raw_Data!C488</f>
        <v>divorced</v>
      </c>
      <c r="E488" s="3" t="str">
        <f aca="false">Raw_Data!D488</f>
        <v>secondary</v>
      </c>
      <c r="F488" s="3" t="str">
        <f aca="false">Raw_Data!E488</f>
        <v>yes</v>
      </c>
      <c r="G488" s="3" t="n">
        <f aca="false">Raw_Data!F488</f>
        <v>-404</v>
      </c>
      <c r="H488" s="3" t="str">
        <f aca="false">Raw_Data!G488</f>
        <v>yes</v>
      </c>
      <c r="I488" s="3" t="str">
        <f aca="false">Raw_Data!H488</f>
        <v>no</v>
      </c>
      <c r="J488" s="2" t="n">
        <f aca="false">IF(F488="yes",1,0)</f>
        <v>1</v>
      </c>
      <c r="K488" s="2" t="n">
        <f aca="false">IF(H488="yes",1,0)</f>
        <v>1</v>
      </c>
      <c r="L488" s="2" t="n">
        <f aca="false">IF(I488="yes",1,0)</f>
        <v>0</v>
      </c>
      <c r="M488" s="2" t="n">
        <f aca="false">IF(G488&lt;0,1,0)</f>
        <v>1</v>
      </c>
      <c r="N488" s="2" t="str">
        <f aca="false">_xlfn.IFS(B488&lt;30,"Under 30",B488&lt;40,"30-39",B488&lt;50,"40-49",B488&lt;60,"50-59",TRUE(),"60+")</f>
        <v>50-59</v>
      </c>
      <c r="O488" s="2" t="str">
        <f aca="false">_xlfn.IFS(G488&lt;0,"1 Negative",G488=0,"2 Zero",G488&lt;=500,"3 1-500",G488&lt;=2000,"4 501-2000",TRUE(),"5 Above 2000")</f>
        <v>1 Negative</v>
      </c>
      <c r="P488" s="2" t="n">
        <f aca="false">Lookups!$B$2*M488+Lookups!$B$3*L488</f>
        <v>2</v>
      </c>
      <c r="Q488" s="2" t="str">
        <f aca="false">INDEX(Lookups!$E$2:$E$5,MATCH(P488,Lookups!$D$2:$D$5,0))</f>
        <v>High</v>
      </c>
    </row>
    <row r="489" customFormat="false" ht="15" hidden="false" customHeight="false" outlineLevel="0" collapsed="false">
      <c r="A489" s="3" t="n">
        <v>488</v>
      </c>
      <c r="B489" s="3" t="n">
        <f aca="false">Raw_Data!A489</f>
        <v>52</v>
      </c>
      <c r="C489" s="3" t="str">
        <f aca="false">SUBSTITUTE(Raw_Data!B489,".","")</f>
        <v>blue-collar</v>
      </c>
      <c r="D489" s="3" t="str">
        <f aca="false">Raw_Data!C489</f>
        <v>married</v>
      </c>
      <c r="E489" s="3" t="str">
        <f aca="false">Raw_Data!D489</f>
        <v>primary</v>
      </c>
      <c r="F489" s="3" t="str">
        <f aca="false">Raw_Data!E489</f>
        <v>no</v>
      </c>
      <c r="G489" s="3" t="n">
        <f aca="false">Raw_Data!F489</f>
        <v>779</v>
      </c>
      <c r="H489" s="3" t="str">
        <f aca="false">Raw_Data!G489</f>
        <v>yes</v>
      </c>
      <c r="I489" s="3" t="str">
        <f aca="false">Raw_Data!H489</f>
        <v>no</v>
      </c>
      <c r="J489" s="2" t="n">
        <f aca="false">IF(F489="yes",1,0)</f>
        <v>0</v>
      </c>
      <c r="K489" s="2" t="n">
        <f aca="false">IF(H489="yes",1,0)</f>
        <v>1</v>
      </c>
      <c r="L489" s="2" t="n">
        <f aca="false">IF(I489="yes",1,0)</f>
        <v>0</v>
      </c>
      <c r="M489" s="2" t="n">
        <f aca="false">IF(G489&lt;0,1,0)</f>
        <v>0</v>
      </c>
      <c r="N489" s="2" t="str">
        <f aca="false">_xlfn.IFS(B489&lt;30,"Under 30",B489&lt;40,"30-39",B489&lt;50,"40-49",B489&lt;60,"50-59",TRUE(),"60+")</f>
        <v>50-59</v>
      </c>
      <c r="O489" s="2" t="str">
        <f aca="false">_xlfn.IFS(G489&lt;0,"1 Negative",G489=0,"2 Zero",G489&lt;=500,"3 1-500",G489&lt;=2000,"4 501-2000",TRUE(),"5 Above 2000")</f>
        <v>4 501-2000</v>
      </c>
      <c r="P489" s="2" t="n">
        <f aca="false">Lookups!$B$2*M489+Lookups!$B$3*L489</f>
        <v>0</v>
      </c>
      <c r="Q489" s="2" t="str">
        <f aca="false">INDEX(Lookups!$E$2:$E$5,MATCH(P489,Lookups!$D$2:$D$5,0))</f>
        <v>Low</v>
      </c>
    </row>
    <row r="490" customFormat="false" ht="15" hidden="false" customHeight="false" outlineLevel="0" collapsed="false">
      <c r="A490" s="3" t="n">
        <v>489</v>
      </c>
      <c r="B490" s="3" t="n">
        <f aca="false">Raw_Data!A490</f>
        <v>55</v>
      </c>
      <c r="C490" s="3" t="str">
        <f aca="false">SUBSTITUTE(Raw_Data!B490,".","")</f>
        <v>blue-collar</v>
      </c>
      <c r="D490" s="3" t="str">
        <f aca="false">Raw_Data!C490</f>
        <v>single</v>
      </c>
      <c r="E490" s="3" t="str">
        <f aca="false">Raw_Data!D490</f>
        <v>primary</v>
      </c>
      <c r="F490" s="3" t="str">
        <f aca="false">Raw_Data!E490</f>
        <v>no</v>
      </c>
      <c r="G490" s="3" t="n">
        <f aca="false">Raw_Data!F490</f>
        <v>1187</v>
      </c>
      <c r="H490" s="3" t="str">
        <f aca="false">Raw_Data!G490</f>
        <v>yes</v>
      </c>
      <c r="I490" s="3" t="str">
        <f aca="false">Raw_Data!H490</f>
        <v>no</v>
      </c>
      <c r="J490" s="2" t="n">
        <f aca="false">IF(F490="yes",1,0)</f>
        <v>0</v>
      </c>
      <c r="K490" s="2" t="n">
        <f aca="false">IF(H490="yes",1,0)</f>
        <v>1</v>
      </c>
      <c r="L490" s="2" t="n">
        <f aca="false">IF(I490="yes",1,0)</f>
        <v>0</v>
      </c>
      <c r="M490" s="2" t="n">
        <f aca="false">IF(G490&lt;0,1,0)</f>
        <v>0</v>
      </c>
      <c r="N490" s="2" t="str">
        <f aca="false">_xlfn.IFS(B490&lt;30,"Under 30",B490&lt;40,"30-39",B490&lt;50,"40-49",B490&lt;60,"50-59",TRUE(),"60+")</f>
        <v>50-59</v>
      </c>
      <c r="O490" s="2" t="str">
        <f aca="false">_xlfn.IFS(G490&lt;0,"1 Negative",G490=0,"2 Zero",G490&lt;=500,"3 1-500",G490&lt;=2000,"4 501-2000",TRUE(),"5 Above 2000")</f>
        <v>4 501-2000</v>
      </c>
      <c r="P490" s="2" t="n">
        <f aca="false">Lookups!$B$2*M490+Lookups!$B$3*L490</f>
        <v>0</v>
      </c>
      <c r="Q490" s="2" t="str">
        <f aca="false">INDEX(Lookups!$E$2:$E$5,MATCH(P490,Lookups!$D$2:$D$5,0))</f>
        <v>Low</v>
      </c>
    </row>
    <row r="491" customFormat="false" ht="15" hidden="false" customHeight="false" outlineLevel="0" collapsed="false">
      <c r="A491" s="3" t="n">
        <v>490</v>
      </c>
      <c r="B491" s="3" t="n">
        <f aca="false">Raw_Data!A491</f>
        <v>33</v>
      </c>
      <c r="C491" s="3" t="str">
        <f aca="false">SUBSTITUTE(Raw_Data!B491,".","")</f>
        <v>management</v>
      </c>
      <c r="D491" s="3" t="str">
        <f aca="false">Raw_Data!C491</f>
        <v>married</v>
      </c>
      <c r="E491" s="3" t="str">
        <f aca="false">Raw_Data!D491</f>
        <v>tertiary</v>
      </c>
      <c r="F491" s="3" t="str">
        <f aca="false">Raw_Data!E491</f>
        <v>no</v>
      </c>
      <c r="G491" s="3" t="n">
        <f aca="false">Raw_Data!F491</f>
        <v>641</v>
      </c>
      <c r="H491" s="3" t="str">
        <f aca="false">Raw_Data!G491</f>
        <v>yes</v>
      </c>
      <c r="I491" s="3" t="str">
        <f aca="false">Raw_Data!H491</f>
        <v>no</v>
      </c>
      <c r="J491" s="2" t="n">
        <f aca="false">IF(F491="yes",1,0)</f>
        <v>0</v>
      </c>
      <c r="K491" s="2" t="n">
        <f aca="false">IF(H491="yes",1,0)</f>
        <v>1</v>
      </c>
      <c r="L491" s="2" t="n">
        <f aca="false">IF(I491="yes",1,0)</f>
        <v>0</v>
      </c>
      <c r="M491" s="2" t="n">
        <f aca="false">IF(G491&lt;0,1,0)</f>
        <v>0</v>
      </c>
      <c r="N491" s="2" t="str">
        <f aca="false">_xlfn.IFS(B491&lt;30,"Under 30",B491&lt;40,"30-39",B491&lt;50,"40-49",B491&lt;60,"50-59",TRUE(),"60+")</f>
        <v>30-39</v>
      </c>
      <c r="O491" s="2" t="str">
        <f aca="false">_xlfn.IFS(G491&lt;0,"1 Negative",G491=0,"2 Zero",G491&lt;=500,"3 1-500",G491&lt;=2000,"4 501-2000",TRUE(),"5 Above 2000")</f>
        <v>4 501-2000</v>
      </c>
      <c r="P491" s="2" t="n">
        <f aca="false">Lookups!$B$2*M491+Lookups!$B$3*L491</f>
        <v>0</v>
      </c>
      <c r="Q491" s="2" t="str">
        <f aca="false">INDEX(Lookups!$E$2:$E$5,MATCH(P491,Lookups!$D$2:$D$5,0))</f>
        <v>Low</v>
      </c>
    </row>
    <row r="492" customFormat="false" ht="15" hidden="false" customHeight="false" outlineLevel="0" collapsed="false">
      <c r="A492" s="3" t="n">
        <v>491</v>
      </c>
      <c r="B492" s="3" t="n">
        <f aca="false">Raw_Data!A492</f>
        <v>52</v>
      </c>
      <c r="C492" s="3" t="str">
        <f aca="false">SUBSTITUTE(Raw_Data!B492,".","")</f>
        <v>blue-collar</v>
      </c>
      <c r="D492" s="3" t="str">
        <f aca="false">Raw_Data!C492</f>
        <v>married</v>
      </c>
      <c r="E492" s="3" t="str">
        <f aca="false">Raw_Data!D492</f>
        <v>unknown</v>
      </c>
      <c r="F492" s="3" t="str">
        <f aca="false">Raw_Data!E492</f>
        <v>no</v>
      </c>
      <c r="G492" s="3" t="n">
        <f aca="false">Raw_Data!F492</f>
        <v>826</v>
      </c>
      <c r="H492" s="3" t="str">
        <f aca="false">Raw_Data!G492</f>
        <v>yes</v>
      </c>
      <c r="I492" s="3" t="str">
        <f aca="false">Raw_Data!H492</f>
        <v>no</v>
      </c>
      <c r="J492" s="2" t="n">
        <f aca="false">IF(F492="yes",1,0)</f>
        <v>0</v>
      </c>
      <c r="K492" s="2" t="n">
        <f aca="false">IF(H492="yes",1,0)</f>
        <v>1</v>
      </c>
      <c r="L492" s="2" t="n">
        <f aca="false">IF(I492="yes",1,0)</f>
        <v>0</v>
      </c>
      <c r="M492" s="2" t="n">
        <f aca="false">IF(G492&lt;0,1,0)</f>
        <v>0</v>
      </c>
      <c r="N492" s="2" t="str">
        <f aca="false">_xlfn.IFS(B492&lt;30,"Under 30",B492&lt;40,"30-39",B492&lt;50,"40-49",B492&lt;60,"50-59",TRUE(),"60+")</f>
        <v>50-59</v>
      </c>
      <c r="O492" s="2" t="str">
        <f aca="false">_xlfn.IFS(G492&lt;0,"1 Negative",G492=0,"2 Zero",G492&lt;=500,"3 1-500",G492&lt;=2000,"4 501-2000",TRUE(),"5 Above 2000")</f>
        <v>4 501-2000</v>
      </c>
      <c r="P492" s="2" t="n">
        <f aca="false">Lookups!$B$2*M492+Lookups!$B$3*L492</f>
        <v>0</v>
      </c>
      <c r="Q492" s="2" t="str">
        <f aca="false">INDEX(Lookups!$E$2:$E$5,MATCH(P492,Lookups!$D$2:$D$5,0))</f>
        <v>Low</v>
      </c>
    </row>
    <row r="493" customFormat="false" ht="15" hidden="false" customHeight="false" outlineLevel="0" collapsed="false">
      <c r="A493" s="3" t="n">
        <v>492</v>
      </c>
      <c r="B493" s="3" t="n">
        <f aca="false">Raw_Data!A493</f>
        <v>33</v>
      </c>
      <c r="C493" s="3" t="str">
        <f aca="false">SUBSTITUTE(Raw_Data!B493,".","")</f>
        <v>services</v>
      </c>
      <c r="D493" s="3" t="str">
        <f aca="false">Raw_Data!C493</f>
        <v>divorced</v>
      </c>
      <c r="E493" s="3" t="str">
        <f aca="false">Raw_Data!D493</f>
        <v>secondary</v>
      </c>
      <c r="F493" s="3" t="str">
        <f aca="false">Raw_Data!E493</f>
        <v>no</v>
      </c>
      <c r="G493" s="3" t="n">
        <f aca="false">Raw_Data!F493</f>
        <v>991</v>
      </c>
      <c r="H493" s="3" t="str">
        <f aca="false">Raw_Data!G493</f>
        <v>yes</v>
      </c>
      <c r="I493" s="3" t="str">
        <f aca="false">Raw_Data!H493</f>
        <v>no</v>
      </c>
      <c r="J493" s="2" t="n">
        <f aca="false">IF(F493="yes",1,0)</f>
        <v>0</v>
      </c>
      <c r="K493" s="2" t="n">
        <f aca="false">IF(H493="yes",1,0)</f>
        <v>1</v>
      </c>
      <c r="L493" s="2" t="n">
        <f aca="false">IF(I493="yes",1,0)</f>
        <v>0</v>
      </c>
      <c r="M493" s="2" t="n">
        <f aca="false">IF(G493&lt;0,1,0)</f>
        <v>0</v>
      </c>
      <c r="N493" s="2" t="str">
        <f aca="false">_xlfn.IFS(B493&lt;30,"Under 30",B493&lt;40,"30-39",B493&lt;50,"40-49",B493&lt;60,"50-59",TRUE(),"60+")</f>
        <v>30-39</v>
      </c>
      <c r="O493" s="2" t="str">
        <f aca="false">_xlfn.IFS(G493&lt;0,"1 Negative",G493=0,"2 Zero",G493&lt;=500,"3 1-500",G493&lt;=2000,"4 501-2000",TRUE(),"5 Above 2000")</f>
        <v>4 501-2000</v>
      </c>
      <c r="P493" s="2" t="n">
        <f aca="false">Lookups!$B$2*M493+Lookups!$B$3*L493</f>
        <v>0</v>
      </c>
      <c r="Q493" s="2" t="str">
        <f aca="false">INDEX(Lookups!$E$2:$E$5,MATCH(P493,Lookups!$D$2:$D$5,0))</f>
        <v>Low</v>
      </c>
    </row>
    <row r="494" customFormat="false" ht="15" hidden="false" customHeight="false" outlineLevel="0" collapsed="false">
      <c r="A494" s="3" t="n">
        <v>493</v>
      </c>
      <c r="B494" s="3" t="n">
        <f aca="false">Raw_Data!A494</f>
        <v>53</v>
      </c>
      <c r="C494" s="3" t="str">
        <f aca="false">SUBSTITUTE(Raw_Data!B494,".","")</f>
        <v>admin</v>
      </c>
      <c r="D494" s="3" t="str">
        <f aca="false">Raw_Data!C494</f>
        <v>married</v>
      </c>
      <c r="E494" s="3" t="str">
        <f aca="false">Raw_Data!D494</f>
        <v>secondary</v>
      </c>
      <c r="F494" s="3" t="str">
        <f aca="false">Raw_Data!E494</f>
        <v>no</v>
      </c>
      <c r="G494" s="3" t="n">
        <f aca="false">Raw_Data!F494</f>
        <v>1796</v>
      </c>
      <c r="H494" s="3" t="str">
        <f aca="false">Raw_Data!G494</f>
        <v>no</v>
      </c>
      <c r="I494" s="3" t="str">
        <f aca="false">Raw_Data!H494</f>
        <v>no</v>
      </c>
      <c r="J494" s="2" t="n">
        <f aca="false">IF(F494="yes",1,0)</f>
        <v>0</v>
      </c>
      <c r="K494" s="2" t="n">
        <f aca="false">IF(H494="yes",1,0)</f>
        <v>0</v>
      </c>
      <c r="L494" s="2" t="n">
        <f aca="false">IF(I494="yes",1,0)</f>
        <v>0</v>
      </c>
      <c r="M494" s="2" t="n">
        <f aca="false">IF(G494&lt;0,1,0)</f>
        <v>0</v>
      </c>
      <c r="N494" s="2" t="str">
        <f aca="false">_xlfn.IFS(B494&lt;30,"Under 30",B494&lt;40,"30-39",B494&lt;50,"40-49",B494&lt;60,"50-59",TRUE(),"60+")</f>
        <v>50-59</v>
      </c>
      <c r="O494" s="2" t="str">
        <f aca="false">_xlfn.IFS(G494&lt;0,"1 Negative",G494=0,"2 Zero",G494&lt;=500,"3 1-500",G494&lt;=2000,"4 501-2000",TRUE(),"5 Above 2000")</f>
        <v>4 501-2000</v>
      </c>
      <c r="P494" s="2" t="n">
        <f aca="false">Lookups!$B$2*M494+Lookups!$B$3*L494</f>
        <v>0</v>
      </c>
      <c r="Q494" s="2" t="str">
        <f aca="false">INDEX(Lookups!$E$2:$E$5,MATCH(P494,Lookups!$D$2:$D$5,0))</f>
        <v>Low</v>
      </c>
    </row>
    <row r="495" customFormat="false" ht="15" hidden="false" customHeight="false" outlineLevel="0" collapsed="false">
      <c r="A495" s="3" t="n">
        <v>494</v>
      </c>
      <c r="B495" s="3" t="n">
        <f aca="false">Raw_Data!A495</f>
        <v>46</v>
      </c>
      <c r="C495" s="3" t="str">
        <f aca="false">SUBSTITUTE(Raw_Data!B495,".","")</f>
        <v>admin</v>
      </c>
      <c r="D495" s="3" t="str">
        <f aca="false">Raw_Data!C495</f>
        <v>married</v>
      </c>
      <c r="E495" s="3" t="str">
        <f aca="false">Raw_Data!D495</f>
        <v>secondary</v>
      </c>
      <c r="F495" s="3" t="str">
        <f aca="false">Raw_Data!E495</f>
        <v>no</v>
      </c>
      <c r="G495" s="3" t="n">
        <f aca="false">Raw_Data!F495</f>
        <v>22</v>
      </c>
      <c r="H495" s="3" t="str">
        <f aca="false">Raw_Data!G495</f>
        <v>no</v>
      </c>
      <c r="I495" s="3" t="str">
        <f aca="false">Raw_Data!H495</f>
        <v>no</v>
      </c>
      <c r="J495" s="2" t="n">
        <f aca="false">IF(F495="yes",1,0)</f>
        <v>0</v>
      </c>
      <c r="K495" s="2" t="n">
        <f aca="false">IF(H495="yes",1,0)</f>
        <v>0</v>
      </c>
      <c r="L495" s="2" t="n">
        <f aca="false">IF(I495="yes",1,0)</f>
        <v>0</v>
      </c>
      <c r="M495" s="2" t="n">
        <f aca="false">IF(G495&lt;0,1,0)</f>
        <v>0</v>
      </c>
      <c r="N495" s="2" t="str">
        <f aca="false">_xlfn.IFS(B495&lt;30,"Under 30",B495&lt;40,"30-39",B495&lt;50,"40-49",B495&lt;60,"50-59",TRUE(),"60+")</f>
        <v>40-49</v>
      </c>
      <c r="O495" s="2" t="str">
        <f aca="false">_xlfn.IFS(G495&lt;0,"1 Negative",G495=0,"2 Zero",G495&lt;=500,"3 1-500",G495&lt;=2000,"4 501-2000",TRUE(),"5 Above 2000")</f>
        <v>3 1-500</v>
      </c>
      <c r="P495" s="2" t="n">
        <f aca="false">Lookups!$B$2*M495+Lookups!$B$3*L495</f>
        <v>0</v>
      </c>
      <c r="Q495" s="2" t="str">
        <f aca="false">INDEX(Lookups!$E$2:$E$5,MATCH(P495,Lookups!$D$2:$D$5,0))</f>
        <v>Low</v>
      </c>
    </row>
    <row r="496" customFormat="false" ht="15" hidden="false" customHeight="false" outlineLevel="0" collapsed="false">
      <c r="A496" s="3" t="n">
        <v>495</v>
      </c>
      <c r="B496" s="3" t="n">
        <f aca="false">Raw_Data!A496</f>
        <v>44</v>
      </c>
      <c r="C496" s="3" t="str">
        <f aca="false">SUBSTITUTE(Raw_Data!B496,".","")</f>
        <v>technician</v>
      </c>
      <c r="D496" s="3" t="str">
        <f aca="false">Raw_Data!C496</f>
        <v>single</v>
      </c>
      <c r="E496" s="3" t="str">
        <f aca="false">Raw_Data!D496</f>
        <v>secondary</v>
      </c>
      <c r="F496" s="3" t="str">
        <f aca="false">Raw_Data!E496</f>
        <v>no</v>
      </c>
      <c r="G496" s="3" t="n">
        <f aca="false">Raw_Data!F496</f>
        <v>244</v>
      </c>
      <c r="H496" s="3" t="str">
        <f aca="false">Raw_Data!G496</f>
        <v>yes</v>
      </c>
      <c r="I496" s="3" t="str">
        <f aca="false">Raw_Data!H496</f>
        <v>no</v>
      </c>
      <c r="J496" s="2" t="n">
        <f aca="false">IF(F496="yes",1,0)</f>
        <v>0</v>
      </c>
      <c r="K496" s="2" t="n">
        <f aca="false">IF(H496="yes",1,0)</f>
        <v>1</v>
      </c>
      <c r="L496" s="2" t="n">
        <f aca="false">IF(I496="yes",1,0)</f>
        <v>0</v>
      </c>
      <c r="M496" s="2" t="n">
        <f aca="false">IF(G496&lt;0,1,0)</f>
        <v>0</v>
      </c>
      <c r="N496" s="2" t="str">
        <f aca="false">_xlfn.IFS(B496&lt;30,"Under 30",B496&lt;40,"30-39",B496&lt;50,"40-49",B496&lt;60,"50-59",TRUE(),"60+")</f>
        <v>40-49</v>
      </c>
      <c r="O496" s="2" t="str">
        <f aca="false">_xlfn.IFS(G496&lt;0,"1 Negative",G496=0,"2 Zero",G496&lt;=500,"3 1-500",G496&lt;=2000,"4 501-2000",TRUE(),"5 Above 2000")</f>
        <v>3 1-500</v>
      </c>
      <c r="P496" s="2" t="n">
        <f aca="false">Lookups!$B$2*M496+Lookups!$B$3*L496</f>
        <v>0</v>
      </c>
      <c r="Q496" s="2" t="str">
        <f aca="false">INDEX(Lookups!$E$2:$E$5,MATCH(P496,Lookups!$D$2:$D$5,0))</f>
        <v>Low</v>
      </c>
    </row>
    <row r="497" customFormat="false" ht="15" hidden="false" customHeight="false" outlineLevel="0" collapsed="false">
      <c r="A497" s="3" t="n">
        <v>496</v>
      </c>
      <c r="B497" s="3" t="n">
        <f aca="false">Raw_Data!A497</f>
        <v>48</v>
      </c>
      <c r="C497" s="3" t="str">
        <f aca="false">SUBSTITUTE(Raw_Data!B497,".","")</f>
        <v>management</v>
      </c>
      <c r="D497" s="3" t="str">
        <f aca="false">Raw_Data!C497</f>
        <v>divorced</v>
      </c>
      <c r="E497" s="3" t="str">
        <f aca="false">Raw_Data!D497</f>
        <v>tertiary</v>
      </c>
      <c r="F497" s="3" t="str">
        <f aca="false">Raw_Data!E497</f>
        <v>no</v>
      </c>
      <c r="G497" s="3" t="n">
        <f aca="false">Raw_Data!F497</f>
        <v>1328</v>
      </c>
      <c r="H497" s="3" t="str">
        <f aca="false">Raw_Data!G497</f>
        <v>yes</v>
      </c>
      <c r="I497" s="3" t="str">
        <f aca="false">Raw_Data!H497</f>
        <v>no</v>
      </c>
      <c r="J497" s="2" t="n">
        <f aca="false">IF(F497="yes",1,0)</f>
        <v>0</v>
      </c>
      <c r="K497" s="2" t="n">
        <f aca="false">IF(H497="yes",1,0)</f>
        <v>1</v>
      </c>
      <c r="L497" s="2" t="n">
        <f aca="false">IF(I497="yes",1,0)</f>
        <v>0</v>
      </c>
      <c r="M497" s="2" t="n">
        <f aca="false">IF(G497&lt;0,1,0)</f>
        <v>0</v>
      </c>
      <c r="N497" s="2" t="str">
        <f aca="false">_xlfn.IFS(B497&lt;30,"Under 30",B497&lt;40,"30-39",B497&lt;50,"40-49",B497&lt;60,"50-59",TRUE(),"60+")</f>
        <v>40-49</v>
      </c>
      <c r="O497" s="2" t="str">
        <f aca="false">_xlfn.IFS(G497&lt;0,"1 Negative",G497=0,"2 Zero",G497&lt;=500,"3 1-500",G497&lt;=2000,"4 501-2000",TRUE(),"5 Above 2000")</f>
        <v>4 501-2000</v>
      </c>
      <c r="P497" s="2" t="n">
        <f aca="false">Lookups!$B$2*M497+Lookups!$B$3*L497</f>
        <v>0</v>
      </c>
      <c r="Q497" s="2" t="str">
        <f aca="false">INDEX(Lookups!$E$2:$E$5,MATCH(P497,Lookups!$D$2:$D$5,0))</f>
        <v>Low</v>
      </c>
    </row>
    <row r="498" customFormat="false" ht="15" hidden="false" customHeight="false" outlineLevel="0" collapsed="false">
      <c r="A498" s="3" t="n">
        <v>497</v>
      </c>
      <c r="B498" s="3" t="n">
        <f aca="false">Raw_Data!A498</f>
        <v>50</v>
      </c>
      <c r="C498" s="3" t="str">
        <f aca="false">SUBSTITUTE(Raw_Data!B498,".","")</f>
        <v>housemaid</v>
      </c>
      <c r="D498" s="3" t="str">
        <f aca="false">Raw_Data!C498</f>
        <v>married</v>
      </c>
      <c r="E498" s="3" t="str">
        <f aca="false">Raw_Data!D498</f>
        <v>secondary</v>
      </c>
      <c r="F498" s="3" t="str">
        <f aca="false">Raw_Data!E498</f>
        <v>no</v>
      </c>
      <c r="G498" s="3" t="n">
        <f aca="false">Raw_Data!F498</f>
        <v>7317</v>
      </c>
      <c r="H498" s="3" t="str">
        <f aca="false">Raw_Data!G498</f>
        <v>yes</v>
      </c>
      <c r="I498" s="3" t="str">
        <f aca="false">Raw_Data!H498</f>
        <v>no</v>
      </c>
      <c r="J498" s="2" t="n">
        <f aca="false">IF(F498="yes",1,0)</f>
        <v>0</v>
      </c>
      <c r="K498" s="2" t="n">
        <f aca="false">IF(H498="yes",1,0)</f>
        <v>1</v>
      </c>
      <c r="L498" s="2" t="n">
        <f aca="false">IF(I498="yes",1,0)</f>
        <v>0</v>
      </c>
      <c r="M498" s="2" t="n">
        <f aca="false">IF(G498&lt;0,1,0)</f>
        <v>0</v>
      </c>
      <c r="N498" s="2" t="str">
        <f aca="false">_xlfn.IFS(B498&lt;30,"Under 30",B498&lt;40,"30-39",B498&lt;50,"40-49",B498&lt;60,"50-59",TRUE(),"60+")</f>
        <v>50-59</v>
      </c>
      <c r="O498" s="2" t="str">
        <f aca="false">_xlfn.IFS(G498&lt;0,"1 Negative",G498=0,"2 Zero",G498&lt;=500,"3 1-500",G498&lt;=2000,"4 501-2000",TRUE(),"5 Above 2000")</f>
        <v>5 Above 2000</v>
      </c>
      <c r="P498" s="2" t="n">
        <f aca="false">Lookups!$B$2*M498+Lookups!$B$3*L498</f>
        <v>0</v>
      </c>
      <c r="Q498" s="2" t="str">
        <f aca="false">INDEX(Lookups!$E$2:$E$5,MATCH(P498,Lookups!$D$2:$D$5,0))</f>
        <v>Low</v>
      </c>
    </row>
    <row r="499" customFormat="false" ht="15" hidden="false" customHeight="false" outlineLevel="0" collapsed="false">
      <c r="A499" s="3" t="n">
        <v>498</v>
      </c>
      <c r="B499" s="3" t="n">
        <f aca="false">Raw_Data!A499</f>
        <v>34</v>
      </c>
      <c r="C499" s="3" t="str">
        <f aca="false">SUBSTITUTE(Raw_Data!B499,".","")</f>
        <v>technician</v>
      </c>
      <c r="D499" s="3" t="str">
        <f aca="false">Raw_Data!C499</f>
        <v>single</v>
      </c>
      <c r="E499" s="3" t="str">
        <f aca="false">Raw_Data!D499</f>
        <v>secondary</v>
      </c>
      <c r="F499" s="3" t="str">
        <f aca="false">Raw_Data!E499</f>
        <v>no</v>
      </c>
      <c r="G499" s="3" t="n">
        <f aca="false">Raw_Data!F499</f>
        <v>4943</v>
      </c>
      <c r="H499" s="3" t="str">
        <f aca="false">Raw_Data!G499</f>
        <v>yes</v>
      </c>
      <c r="I499" s="3" t="str">
        <f aca="false">Raw_Data!H499</f>
        <v>yes</v>
      </c>
      <c r="J499" s="2" t="n">
        <f aca="false">IF(F499="yes",1,0)</f>
        <v>0</v>
      </c>
      <c r="K499" s="2" t="n">
        <f aca="false">IF(H499="yes",1,0)</f>
        <v>1</v>
      </c>
      <c r="L499" s="2" t="n">
        <f aca="false">IF(I499="yes",1,0)</f>
        <v>1</v>
      </c>
      <c r="M499" s="2" t="n">
        <f aca="false">IF(G499&lt;0,1,0)</f>
        <v>0</v>
      </c>
      <c r="N499" s="2" t="str">
        <f aca="false">_xlfn.IFS(B499&lt;30,"Under 30",B499&lt;40,"30-39",B499&lt;50,"40-49",B499&lt;60,"50-59",TRUE(),"60+")</f>
        <v>30-39</v>
      </c>
      <c r="O499" s="2" t="str">
        <f aca="false">_xlfn.IFS(G499&lt;0,"1 Negative",G499=0,"2 Zero",G499&lt;=500,"3 1-500",G499&lt;=2000,"4 501-2000",TRUE(),"5 Above 2000")</f>
        <v>5 Above 2000</v>
      </c>
      <c r="P499" s="2" t="n">
        <f aca="false">Lookups!$B$2*M499+Lookups!$B$3*L499</f>
        <v>1</v>
      </c>
      <c r="Q499" s="2" t="str">
        <f aca="false">INDEX(Lookups!$E$2:$E$5,MATCH(P499,Lookups!$D$2:$D$5,0))</f>
        <v>Medium</v>
      </c>
    </row>
    <row r="500" customFormat="false" ht="15" hidden="false" customHeight="false" outlineLevel="0" collapsed="false">
      <c r="A500" s="3" t="n">
        <v>499</v>
      </c>
      <c r="B500" s="3" t="n">
        <f aca="false">Raw_Data!A500</f>
        <v>38</v>
      </c>
      <c r="C500" s="3" t="str">
        <f aca="false">SUBSTITUTE(Raw_Data!B500,".","")</f>
        <v>technician</v>
      </c>
      <c r="D500" s="3" t="str">
        <f aca="false">Raw_Data!C500</f>
        <v>single</v>
      </c>
      <c r="E500" s="3" t="str">
        <f aca="false">Raw_Data!D500</f>
        <v>secondary</v>
      </c>
      <c r="F500" s="3" t="str">
        <f aca="false">Raw_Data!E500</f>
        <v>no</v>
      </c>
      <c r="G500" s="3" t="n">
        <f aca="false">Raw_Data!F500</f>
        <v>258</v>
      </c>
      <c r="H500" s="3" t="str">
        <f aca="false">Raw_Data!G500</f>
        <v>no</v>
      </c>
      <c r="I500" s="3" t="str">
        <f aca="false">Raw_Data!H500</f>
        <v>yes</v>
      </c>
      <c r="J500" s="2" t="n">
        <f aca="false">IF(F500="yes",1,0)</f>
        <v>0</v>
      </c>
      <c r="K500" s="2" t="n">
        <f aca="false">IF(H500="yes",1,0)</f>
        <v>0</v>
      </c>
      <c r="L500" s="2" t="n">
        <f aca="false">IF(I500="yes",1,0)</f>
        <v>1</v>
      </c>
      <c r="M500" s="2" t="n">
        <f aca="false">IF(G500&lt;0,1,0)</f>
        <v>0</v>
      </c>
      <c r="N500" s="2" t="str">
        <f aca="false">_xlfn.IFS(B500&lt;30,"Under 30",B500&lt;40,"30-39",B500&lt;50,"40-49",B500&lt;60,"50-59",TRUE(),"60+")</f>
        <v>30-39</v>
      </c>
      <c r="O500" s="2" t="str">
        <f aca="false">_xlfn.IFS(G500&lt;0,"1 Negative",G500=0,"2 Zero",G500&lt;=500,"3 1-500",G500&lt;=2000,"4 501-2000",TRUE(),"5 Above 2000")</f>
        <v>3 1-500</v>
      </c>
      <c r="P500" s="2" t="n">
        <f aca="false">Lookups!$B$2*M500+Lookups!$B$3*L500</f>
        <v>1</v>
      </c>
      <c r="Q500" s="2" t="str">
        <f aca="false">INDEX(Lookups!$E$2:$E$5,MATCH(P500,Lookups!$D$2:$D$5,0))</f>
        <v>Medium</v>
      </c>
    </row>
    <row r="501" customFormat="false" ht="15" hidden="false" customHeight="false" outlineLevel="0" collapsed="false">
      <c r="A501" s="3" t="n">
        <v>500</v>
      </c>
      <c r="B501" s="3" t="n">
        <f aca="false">Raw_Data!A501</f>
        <v>42</v>
      </c>
      <c r="C501" s="3" t="str">
        <f aca="false">SUBSTITUTE(Raw_Data!B501,".","")</f>
        <v>management</v>
      </c>
      <c r="D501" s="3" t="str">
        <f aca="false">Raw_Data!C501</f>
        <v>single</v>
      </c>
      <c r="E501" s="3" t="str">
        <f aca="false">Raw_Data!D501</f>
        <v>tertiary</v>
      </c>
      <c r="F501" s="3" t="str">
        <f aca="false">Raw_Data!E501</f>
        <v>no</v>
      </c>
      <c r="G501" s="3" t="n">
        <f aca="false">Raw_Data!F501</f>
        <v>515</v>
      </c>
      <c r="H501" s="3" t="str">
        <f aca="false">Raw_Data!G501</f>
        <v>yes</v>
      </c>
      <c r="I501" s="3" t="str">
        <f aca="false">Raw_Data!H501</f>
        <v>no</v>
      </c>
      <c r="J501" s="2" t="n">
        <f aca="false">IF(F501="yes",1,0)</f>
        <v>0</v>
      </c>
      <c r="K501" s="2" t="n">
        <f aca="false">IF(H501="yes",1,0)</f>
        <v>1</v>
      </c>
      <c r="L501" s="2" t="n">
        <f aca="false">IF(I501="yes",1,0)</f>
        <v>0</v>
      </c>
      <c r="M501" s="2" t="n">
        <f aca="false">IF(G501&lt;0,1,0)</f>
        <v>0</v>
      </c>
      <c r="N501" s="2" t="str">
        <f aca="false">_xlfn.IFS(B501&lt;30,"Under 30",B501&lt;40,"30-39",B501&lt;50,"40-49",B501&lt;60,"50-59",TRUE(),"60+")</f>
        <v>40-49</v>
      </c>
      <c r="O501" s="2" t="str">
        <f aca="false">_xlfn.IFS(G501&lt;0,"1 Negative",G501=0,"2 Zero",G501&lt;=500,"3 1-500",G501&lt;=2000,"4 501-2000",TRUE(),"5 Above 2000")</f>
        <v>4 501-2000</v>
      </c>
      <c r="P501" s="2" t="n">
        <f aca="false">Lookups!$B$2*M501+Lookups!$B$3*L501</f>
        <v>0</v>
      </c>
      <c r="Q501" s="2" t="str">
        <f aca="false">INDEX(Lookups!$E$2:$E$5,MATCH(P501,Lookups!$D$2:$D$5,0))</f>
        <v>Low</v>
      </c>
    </row>
    <row r="502" customFormat="false" ht="15" hidden="false" customHeight="false" outlineLevel="0" collapsed="false">
      <c r="A502" s="3" t="n">
        <v>501</v>
      </c>
      <c r="B502" s="3" t="n">
        <f aca="false">Raw_Data!A502</f>
        <v>32</v>
      </c>
      <c r="C502" s="3" t="str">
        <f aca="false">SUBSTITUTE(Raw_Data!B502,".","")</f>
        <v>management</v>
      </c>
      <c r="D502" s="3" t="str">
        <f aca="false">Raw_Data!C502</f>
        <v>single</v>
      </c>
      <c r="E502" s="3" t="str">
        <f aca="false">Raw_Data!D502</f>
        <v>tertiary</v>
      </c>
      <c r="F502" s="3" t="str">
        <f aca="false">Raw_Data!E502</f>
        <v>no</v>
      </c>
      <c r="G502" s="3" t="n">
        <f aca="false">Raw_Data!F502</f>
        <v>12607</v>
      </c>
      <c r="H502" s="3" t="str">
        <f aca="false">Raw_Data!G502</f>
        <v>no</v>
      </c>
      <c r="I502" s="3" t="str">
        <f aca="false">Raw_Data!H502</f>
        <v>no</v>
      </c>
      <c r="J502" s="2" t="n">
        <f aca="false">IF(F502="yes",1,0)</f>
        <v>0</v>
      </c>
      <c r="K502" s="2" t="n">
        <f aca="false">IF(H502="yes",1,0)</f>
        <v>0</v>
      </c>
      <c r="L502" s="2" t="n">
        <f aca="false">IF(I502="yes",1,0)</f>
        <v>0</v>
      </c>
      <c r="M502" s="2" t="n">
        <f aca="false">IF(G502&lt;0,1,0)</f>
        <v>0</v>
      </c>
      <c r="N502" s="2" t="str">
        <f aca="false">_xlfn.IFS(B502&lt;30,"Under 30",B502&lt;40,"30-39",B502&lt;50,"40-49",B502&lt;60,"50-59",TRUE(),"60+")</f>
        <v>30-39</v>
      </c>
      <c r="O502" s="2" t="str">
        <f aca="false">_xlfn.IFS(G502&lt;0,"1 Negative",G502=0,"2 Zero",G502&lt;=500,"3 1-500",G502&lt;=2000,"4 501-2000",TRUE(),"5 Above 2000")</f>
        <v>5 Above 2000</v>
      </c>
      <c r="P502" s="2" t="n">
        <f aca="false">Lookups!$B$2*M502+Lookups!$B$3*L502</f>
        <v>0</v>
      </c>
      <c r="Q502" s="2" t="str">
        <f aca="false">INDEX(Lookups!$E$2:$E$5,MATCH(P502,Lookups!$D$2:$D$5,0))</f>
        <v>Low</v>
      </c>
    </row>
    <row r="503" customFormat="false" ht="15" hidden="false" customHeight="false" outlineLevel="0" collapsed="false">
      <c r="A503" s="3" t="n">
        <v>502</v>
      </c>
      <c r="B503" s="3" t="n">
        <f aca="false">Raw_Data!A503</f>
        <v>58</v>
      </c>
      <c r="C503" s="3" t="str">
        <f aca="false">SUBSTITUTE(Raw_Data!B503,".","")</f>
        <v>admin</v>
      </c>
      <c r="D503" s="3" t="str">
        <f aca="false">Raw_Data!C503</f>
        <v>married</v>
      </c>
      <c r="E503" s="3" t="str">
        <f aca="false">Raw_Data!D503</f>
        <v>secondary</v>
      </c>
      <c r="F503" s="3" t="str">
        <f aca="false">Raw_Data!E503</f>
        <v>no</v>
      </c>
      <c r="G503" s="3" t="n">
        <f aca="false">Raw_Data!F503</f>
        <v>2</v>
      </c>
      <c r="H503" s="3" t="str">
        <f aca="false">Raw_Data!G503</f>
        <v>yes</v>
      </c>
      <c r="I503" s="3" t="str">
        <f aca="false">Raw_Data!H503</f>
        <v>yes</v>
      </c>
      <c r="J503" s="2" t="n">
        <f aca="false">IF(F503="yes",1,0)</f>
        <v>0</v>
      </c>
      <c r="K503" s="2" t="n">
        <f aca="false">IF(H503="yes",1,0)</f>
        <v>1</v>
      </c>
      <c r="L503" s="2" t="n">
        <f aca="false">IF(I503="yes",1,0)</f>
        <v>1</v>
      </c>
      <c r="M503" s="2" t="n">
        <f aca="false">IF(G503&lt;0,1,0)</f>
        <v>0</v>
      </c>
      <c r="N503" s="2" t="str">
        <f aca="false">_xlfn.IFS(B503&lt;30,"Under 30",B503&lt;40,"30-39",B503&lt;50,"40-49",B503&lt;60,"50-59",TRUE(),"60+")</f>
        <v>50-59</v>
      </c>
      <c r="O503" s="2" t="str">
        <f aca="false">_xlfn.IFS(G503&lt;0,"1 Negative",G503=0,"2 Zero",G503&lt;=500,"3 1-500",G503&lt;=2000,"4 501-2000",TRUE(),"5 Above 2000")</f>
        <v>3 1-500</v>
      </c>
      <c r="P503" s="2" t="n">
        <f aca="false">Lookups!$B$2*M503+Lookups!$B$3*L503</f>
        <v>1</v>
      </c>
      <c r="Q503" s="2" t="str">
        <f aca="false">INDEX(Lookups!$E$2:$E$5,MATCH(P503,Lookups!$D$2:$D$5,0))</f>
        <v>Medium</v>
      </c>
    </row>
    <row r="504" customFormat="false" ht="15" hidden="false" customHeight="false" outlineLevel="0" collapsed="false">
      <c r="A504" s="3" t="n">
        <v>503</v>
      </c>
      <c r="B504" s="3" t="n">
        <f aca="false">Raw_Data!A504</f>
        <v>31</v>
      </c>
      <c r="C504" s="3" t="str">
        <f aca="false">SUBSTITUTE(Raw_Data!B504,".","")</f>
        <v>management</v>
      </c>
      <c r="D504" s="3" t="str">
        <f aca="false">Raw_Data!C504</f>
        <v>married</v>
      </c>
      <c r="E504" s="3" t="str">
        <f aca="false">Raw_Data!D504</f>
        <v>tertiary</v>
      </c>
      <c r="F504" s="3" t="str">
        <f aca="false">Raw_Data!E504</f>
        <v>no</v>
      </c>
      <c r="G504" s="3" t="n">
        <f aca="false">Raw_Data!F504</f>
        <v>13</v>
      </c>
      <c r="H504" s="3" t="str">
        <f aca="false">Raw_Data!G504</f>
        <v>no</v>
      </c>
      <c r="I504" s="3" t="str">
        <f aca="false">Raw_Data!H504</f>
        <v>no</v>
      </c>
      <c r="J504" s="2" t="n">
        <f aca="false">IF(F504="yes",1,0)</f>
        <v>0</v>
      </c>
      <c r="K504" s="2" t="n">
        <f aca="false">IF(H504="yes",1,0)</f>
        <v>0</v>
      </c>
      <c r="L504" s="2" t="n">
        <f aca="false">IF(I504="yes",1,0)</f>
        <v>0</v>
      </c>
      <c r="M504" s="2" t="n">
        <f aca="false">IF(G504&lt;0,1,0)</f>
        <v>0</v>
      </c>
      <c r="N504" s="2" t="str">
        <f aca="false">_xlfn.IFS(B504&lt;30,"Under 30",B504&lt;40,"30-39",B504&lt;50,"40-49",B504&lt;60,"50-59",TRUE(),"60+")</f>
        <v>30-39</v>
      </c>
      <c r="O504" s="2" t="str">
        <f aca="false">_xlfn.IFS(G504&lt;0,"1 Negative",G504=0,"2 Zero",G504&lt;=500,"3 1-500",G504&lt;=2000,"4 501-2000",TRUE(),"5 Above 2000")</f>
        <v>3 1-500</v>
      </c>
      <c r="P504" s="2" t="n">
        <f aca="false">Lookups!$B$2*M504+Lookups!$B$3*L504</f>
        <v>0</v>
      </c>
      <c r="Q504" s="2" t="str">
        <f aca="false">INDEX(Lookups!$E$2:$E$5,MATCH(P504,Lookups!$D$2:$D$5,0))</f>
        <v>Low</v>
      </c>
    </row>
    <row r="505" customFormat="false" ht="15" hidden="false" customHeight="false" outlineLevel="0" collapsed="false">
      <c r="A505" s="3" t="n">
        <v>504</v>
      </c>
      <c r="B505" s="3" t="n">
        <f aca="false">Raw_Data!A505</f>
        <v>19</v>
      </c>
      <c r="C505" s="3" t="str">
        <f aca="false">SUBSTITUTE(Raw_Data!B505,".","")</f>
        <v>student</v>
      </c>
      <c r="D505" s="3" t="str">
        <f aca="false">Raw_Data!C505</f>
        <v>single</v>
      </c>
      <c r="E505" s="3" t="str">
        <f aca="false">Raw_Data!D505</f>
        <v>primary</v>
      </c>
      <c r="F505" s="3" t="str">
        <f aca="false">Raw_Data!E505</f>
        <v>no</v>
      </c>
      <c r="G505" s="3" t="n">
        <f aca="false">Raw_Data!F505</f>
        <v>103</v>
      </c>
      <c r="H505" s="3" t="str">
        <f aca="false">Raw_Data!G505</f>
        <v>no</v>
      </c>
      <c r="I505" s="3" t="str">
        <f aca="false">Raw_Data!H505</f>
        <v>no</v>
      </c>
      <c r="J505" s="2" t="n">
        <f aca="false">IF(F505="yes",1,0)</f>
        <v>0</v>
      </c>
      <c r="K505" s="2" t="n">
        <f aca="false">IF(H505="yes",1,0)</f>
        <v>0</v>
      </c>
      <c r="L505" s="2" t="n">
        <f aca="false">IF(I505="yes",1,0)</f>
        <v>0</v>
      </c>
      <c r="M505" s="2" t="n">
        <f aca="false">IF(G505&lt;0,1,0)</f>
        <v>0</v>
      </c>
      <c r="N505" s="2" t="str">
        <f aca="false">_xlfn.IFS(B505&lt;30,"Under 30",B505&lt;40,"30-39",B505&lt;50,"40-49",B505&lt;60,"50-59",TRUE(),"60+")</f>
        <v>Under 30</v>
      </c>
      <c r="O505" s="2" t="str">
        <f aca="false">_xlfn.IFS(G505&lt;0,"1 Negative",G505=0,"2 Zero",G505&lt;=500,"3 1-500",G505&lt;=2000,"4 501-2000",TRUE(),"5 Above 2000")</f>
        <v>3 1-500</v>
      </c>
      <c r="P505" s="2" t="n">
        <f aca="false">Lookups!$B$2*M505+Lookups!$B$3*L505</f>
        <v>0</v>
      </c>
      <c r="Q505" s="2" t="str">
        <f aca="false">INDEX(Lookups!$E$2:$E$5,MATCH(P505,Lookups!$D$2:$D$5,0))</f>
        <v>Low</v>
      </c>
    </row>
    <row r="506" customFormat="false" ht="15" hidden="false" customHeight="false" outlineLevel="0" collapsed="false">
      <c r="A506" s="3" t="n">
        <v>505</v>
      </c>
      <c r="B506" s="3" t="n">
        <f aca="false">Raw_Data!A506</f>
        <v>41</v>
      </c>
      <c r="C506" s="3" t="str">
        <f aca="false">SUBSTITUTE(Raw_Data!B506,".","")</f>
        <v>management</v>
      </c>
      <c r="D506" s="3" t="str">
        <f aca="false">Raw_Data!C506</f>
        <v>married</v>
      </c>
      <c r="E506" s="3" t="str">
        <f aca="false">Raw_Data!D506</f>
        <v>tertiary</v>
      </c>
      <c r="F506" s="3" t="str">
        <f aca="false">Raw_Data!E506</f>
        <v>no</v>
      </c>
      <c r="G506" s="3" t="n">
        <f aca="false">Raw_Data!F506</f>
        <v>3872</v>
      </c>
      <c r="H506" s="3" t="str">
        <f aca="false">Raw_Data!G506</f>
        <v>no</v>
      </c>
      <c r="I506" s="3" t="str">
        <f aca="false">Raw_Data!H506</f>
        <v>no</v>
      </c>
      <c r="J506" s="2" t="n">
        <f aca="false">IF(F506="yes",1,0)</f>
        <v>0</v>
      </c>
      <c r="K506" s="2" t="n">
        <f aca="false">IF(H506="yes",1,0)</f>
        <v>0</v>
      </c>
      <c r="L506" s="2" t="n">
        <f aca="false">IF(I506="yes",1,0)</f>
        <v>0</v>
      </c>
      <c r="M506" s="2" t="n">
        <f aca="false">IF(G506&lt;0,1,0)</f>
        <v>0</v>
      </c>
      <c r="N506" s="2" t="str">
        <f aca="false">_xlfn.IFS(B506&lt;30,"Under 30",B506&lt;40,"30-39",B506&lt;50,"40-49",B506&lt;60,"50-59",TRUE(),"60+")</f>
        <v>40-49</v>
      </c>
      <c r="O506" s="2" t="str">
        <f aca="false">_xlfn.IFS(G506&lt;0,"1 Negative",G506=0,"2 Zero",G506&lt;=500,"3 1-500",G506&lt;=2000,"4 501-2000",TRUE(),"5 Above 2000")</f>
        <v>5 Above 2000</v>
      </c>
      <c r="P506" s="2" t="n">
        <f aca="false">Lookups!$B$2*M506+Lookups!$B$3*L506</f>
        <v>0</v>
      </c>
      <c r="Q506" s="2" t="str">
        <f aca="false">INDEX(Lookups!$E$2:$E$5,MATCH(P506,Lookups!$D$2:$D$5,0))</f>
        <v>Low</v>
      </c>
    </row>
    <row r="507" customFormat="false" ht="15" hidden="false" customHeight="false" outlineLevel="0" collapsed="false">
      <c r="A507" s="3" t="n">
        <v>506</v>
      </c>
      <c r="B507" s="3" t="n">
        <f aca="false">Raw_Data!A507</f>
        <v>31</v>
      </c>
      <c r="C507" s="3" t="str">
        <f aca="false">SUBSTITUTE(Raw_Data!B507,".","")</f>
        <v>unemployed</v>
      </c>
      <c r="D507" s="3" t="str">
        <f aca="false">Raw_Data!C507</f>
        <v>married</v>
      </c>
      <c r="E507" s="3" t="str">
        <f aca="false">Raw_Data!D507</f>
        <v>secondary</v>
      </c>
      <c r="F507" s="3" t="str">
        <f aca="false">Raw_Data!E507</f>
        <v>no</v>
      </c>
      <c r="G507" s="3" t="n">
        <f aca="false">Raw_Data!F507</f>
        <v>296</v>
      </c>
      <c r="H507" s="3" t="str">
        <f aca="false">Raw_Data!G507</f>
        <v>yes</v>
      </c>
      <c r="I507" s="3" t="str">
        <f aca="false">Raw_Data!H507</f>
        <v>no</v>
      </c>
      <c r="J507" s="2" t="n">
        <f aca="false">IF(F507="yes",1,0)</f>
        <v>0</v>
      </c>
      <c r="K507" s="2" t="n">
        <f aca="false">IF(H507="yes",1,0)</f>
        <v>1</v>
      </c>
      <c r="L507" s="2" t="n">
        <f aca="false">IF(I507="yes",1,0)</f>
        <v>0</v>
      </c>
      <c r="M507" s="2" t="n">
        <f aca="false">IF(G507&lt;0,1,0)</f>
        <v>0</v>
      </c>
      <c r="N507" s="2" t="str">
        <f aca="false">_xlfn.IFS(B507&lt;30,"Under 30",B507&lt;40,"30-39",B507&lt;50,"40-49",B507&lt;60,"50-59",TRUE(),"60+")</f>
        <v>30-39</v>
      </c>
      <c r="O507" s="2" t="str">
        <f aca="false">_xlfn.IFS(G507&lt;0,"1 Negative",G507=0,"2 Zero",G507&lt;=500,"3 1-500",G507&lt;=2000,"4 501-2000",TRUE(),"5 Above 2000")</f>
        <v>3 1-500</v>
      </c>
      <c r="P507" s="2" t="n">
        <f aca="false">Lookups!$B$2*M507+Lookups!$B$3*L507</f>
        <v>0</v>
      </c>
      <c r="Q507" s="2" t="str">
        <f aca="false">INDEX(Lookups!$E$2:$E$5,MATCH(P507,Lookups!$D$2:$D$5,0))</f>
        <v>Low</v>
      </c>
    </row>
    <row r="508" customFormat="false" ht="15" hidden="false" customHeight="false" outlineLevel="0" collapsed="false">
      <c r="A508" s="3" t="n">
        <v>507</v>
      </c>
      <c r="B508" s="3" t="n">
        <f aca="false">Raw_Data!A508</f>
        <v>52</v>
      </c>
      <c r="C508" s="3" t="str">
        <f aca="false">SUBSTITUTE(Raw_Data!B508,".","")</f>
        <v>self-employed</v>
      </c>
      <c r="D508" s="3" t="str">
        <f aca="false">Raw_Data!C508</f>
        <v>single</v>
      </c>
      <c r="E508" s="3" t="str">
        <f aca="false">Raw_Data!D508</f>
        <v>primary</v>
      </c>
      <c r="F508" s="3" t="str">
        <f aca="false">Raw_Data!E508</f>
        <v>no</v>
      </c>
      <c r="G508" s="3" t="n">
        <f aca="false">Raw_Data!F508</f>
        <v>217</v>
      </c>
      <c r="H508" s="3" t="str">
        <f aca="false">Raw_Data!G508</f>
        <v>no</v>
      </c>
      <c r="I508" s="3" t="str">
        <f aca="false">Raw_Data!H508</f>
        <v>yes</v>
      </c>
      <c r="J508" s="2" t="n">
        <f aca="false">IF(F508="yes",1,0)</f>
        <v>0</v>
      </c>
      <c r="K508" s="2" t="n">
        <f aca="false">IF(H508="yes",1,0)</f>
        <v>0</v>
      </c>
      <c r="L508" s="2" t="n">
        <f aca="false">IF(I508="yes",1,0)</f>
        <v>1</v>
      </c>
      <c r="M508" s="2" t="n">
        <f aca="false">IF(G508&lt;0,1,0)</f>
        <v>0</v>
      </c>
      <c r="N508" s="2" t="str">
        <f aca="false">_xlfn.IFS(B508&lt;30,"Under 30",B508&lt;40,"30-39",B508&lt;50,"40-49",B508&lt;60,"50-59",TRUE(),"60+")</f>
        <v>50-59</v>
      </c>
      <c r="O508" s="2" t="str">
        <f aca="false">_xlfn.IFS(G508&lt;0,"1 Negative",G508=0,"2 Zero",G508&lt;=500,"3 1-500",G508&lt;=2000,"4 501-2000",TRUE(),"5 Above 2000")</f>
        <v>3 1-500</v>
      </c>
      <c r="P508" s="2" t="n">
        <f aca="false">Lookups!$B$2*M508+Lookups!$B$3*L508</f>
        <v>1</v>
      </c>
      <c r="Q508" s="2" t="str">
        <f aca="false">INDEX(Lookups!$E$2:$E$5,MATCH(P508,Lookups!$D$2:$D$5,0))</f>
        <v>Medium</v>
      </c>
    </row>
    <row r="509" customFormat="false" ht="15" hidden="false" customHeight="false" outlineLevel="0" collapsed="false">
      <c r="A509" s="3" t="n">
        <v>508</v>
      </c>
      <c r="B509" s="3" t="n">
        <f aca="false">Raw_Data!A509</f>
        <v>42</v>
      </c>
      <c r="C509" s="3" t="str">
        <f aca="false">SUBSTITUTE(Raw_Data!B509,".","")</f>
        <v>self-employed</v>
      </c>
      <c r="D509" s="3" t="str">
        <f aca="false">Raw_Data!C509</f>
        <v>divorced</v>
      </c>
      <c r="E509" s="3" t="str">
        <f aca="false">Raw_Data!D509</f>
        <v>tertiary</v>
      </c>
      <c r="F509" s="3" t="str">
        <f aca="false">Raw_Data!E509</f>
        <v>no</v>
      </c>
      <c r="G509" s="3" t="n">
        <f aca="false">Raw_Data!F509</f>
        <v>360</v>
      </c>
      <c r="H509" s="3" t="str">
        <f aca="false">Raw_Data!G509</f>
        <v>yes</v>
      </c>
      <c r="I509" s="3" t="str">
        <f aca="false">Raw_Data!H509</f>
        <v>no</v>
      </c>
      <c r="J509" s="2" t="n">
        <f aca="false">IF(F509="yes",1,0)</f>
        <v>0</v>
      </c>
      <c r="K509" s="2" t="n">
        <f aca="false">IF(H509="yes",1,0)</f>
        <v>1</v>
      </c>
      <c r="L509" s="2" t="n">
        <f aca="false">IF(I509="yes",1,0)</f>
        <v>0</v>
      </c>
      <c r="M509" s="2" t="n">
        <f aca="false">IF(G509&lt;0,1,0)</f>
        <v>0</v>
      </c>
      <c r="N509" s="2" t="str">
        <f aca="false">_xlfn.IFS(B509&lt;30,"Under 30",B509&lt;40,"30-39",B509&lt;50,"40-49",B509&lt;60,"50-59",TRUE(),"60+")</f>
        <v>40-49</v>
      </c>
      <c r="O509" s="2" t="str">
        <f aca="false">_xlfn.IFS(G509&lt;0,"1 Negative",G509=0,"2 Zero",G509&lt;=500,"3 1-500",G509&lt;=2000,"4 501-2000",TRUE(),"5 Above 2000")</f>
        <v>3 1-500</v>
      </c>
      <c r="P509" s="2" t="n">
        <f aca="false">Lookups!$B$2*M509+Lookups!$B$3*L509</f>
        <v>0</v>
      </c>
      <c r="Q509" s="2" t="str">
        <f aca="false">INDEX(Lookups!$E$2:$E$5,MATCH(P509,Lookups!$D$2:$D$5,0))</f>
        <v>Low</v>
      </c>
    </row>
    <row r="510" customFormat="false" ht="15" hidden="false" customHeight="false" outlineLevel="0" collapsed="false">
      <c r="A510" s="3" t="n">
        <v>509</v>
      </c>
      <c r="B510" s="3" t="n">
        <f aca="false">Raw_Data!A510</f>
        <v>41</v>
      </c>
      <c r="C510" s="3" t="str">
        <f aca="false">SUBSTITUTE(Raw_Data!B510,".","")</f>
        <v>blue-collar</v>
      </c>
      <c r="D510" s="3" t="str">
        <f aca="false">Raw_Data!C510</f>
        <v>single</v>
      </c>
      <c r="E510" s="3" t="str">
        <f aca="false">Raw_Data!D510</f>
        <v>secondary</v>
      </c>
      <c r="F510" s="3" t="str">
        <f aca="false">Raw_Data!E510</f>
        <v>no</v>
      </c>
      <c r="G510" s="3" t="n">
        <f aca="false">Raw_Data!F510</f>
        <v>428</v>
      </c>
      <c r="H510" s="3" t="str">
        <f aca="false">Raw_Data!G510</f>
        <v>yes</v>
      </c>
      <c r="I510" s="3" t="str">
        <f aca="false">Raw_Data!H510</f>
        <v>no</v>
      </c>
      <c r="J510" s="2" t="n">
        <f aca="false">IF(F510="yes",1,0)</f>
        <v>0</v>
      </c>
      <c r="K510" s="2" t="n">
        <f aca="false">IF(H510="yes",1,0)</f>
        <v>1</v>
      </c>
      <c r="L510" s="2" t="n">
        <f aca="false">IF(I510="yes",1,0)</f>
        <v>0</v>
      </c>
      <c r="M510" s="2" t="n">
        <f aca="false">IF(G510&lt;0,1,0)</f>
        <v>0</v>
      </c>
      <c r="N510" s="2" t="str">
        <f aca="false">_xlfn.IFS(B510&lt;30,"Under 30",B510&lt;40,"30-39",B510&lt;50,"40-49",B510&lt;60,"50-59",TRUE(),"60+")</f>
        <v>40-49</v>
      </c>
      <c r="O510" s="2" t="str">
        <f aca="false">_xlfn.IFS(G510&lt;0,"1 Negative",G510=0,"2 Zero",G510&lt;=500,"3 1-500",G510&lt;=2000,"4 501-2000",TRUE(),"5 Above 2000")</f>
        <v>3 1-500</v>
      </c>
      <c r="P510" s="2" t="n">
        <f aca="false">Lookups!$B$2*M510+Lookups!$B$3*L510</f>
        <v>0</v>
      </c>
      <c r="Q510" s="2" t="str">
        <f aca="false">INDEX(Lookups!$E$2:$E$5,MATCH(P510,Lookups!$D$2:$D$5,0))</f>
        <v>Low</v>
      </c>
    </row>
    <row r="511" customFormat="false" ht="15" hidden="false" customHeight="false" outlineLevel="0" collapsed="false">
      <c r="A511" s="3" t="n">
        <v>510</v>
      </c>
      <c r="B511" s="3" t="n">
        <f aca="false">Raw_Data!A511</f>
        <v>30</v>
      </c>
      <c r="C511" s="3" t="str">
        <f aca="false">SUBSTITUTE(Raw_Data!B511,".","")</f>
        <v>blue-collar</v>
      </c>
      <c r="D511" s="3" t="str">
        <f aca="false">Raw_Data!C511</f>
        <v>single</v>
      </c>
      <c r="E511" s="3" t="str">
        <f aca="false">Raw_Data!D511</f>
        <v>secondary</v>
      </c>
      <c r="F511" s="3" t="str">
        <f aca="false">Raw_Data!E511</f>
        <v>no</v>
      </c>
      <c r="G511" s="3" t="n">
        <f aca="false">Raw_Data!F511</f>
        <v>315</v>
      </c>
      <c r="H511" s="3" t="str">
        <f aca="false">Raw_Data!G511</f>
        <v>no</v>
      </c>
      <c r="I511" s="3" t="str">
        <f aca="false">Raw_Data!H511</f>
        <v>no</v>
      </c>
      <c r="J511" s="2" t="n">
        <f aca="false">IF(F511="yes",1,0)</f>
        <v>0</v>
      </c>
      <c r="K511" s="2" t="n">
        <f aca="false">IF(H511="yes",1,0)</f>
        <v>0</v>
      </c>
      <c r="L511" s="2" t="n">
        <f aca="false">IF(I511="yes",1,0)</f>
        <v>0</v>
      </c>
      <c r="M511" s="2" t="n">
        <f aca="false">IF(G511&lt;0,1,0)</f>
        <v>0</v>
      </c>
      <c r="N511" s="2" t="str">
        <f aca="false">_xlfn.IFS(B511&lt;30,"Under 30",B511&lt;40,"30-39",B511&lt;50,"40-49",B511&lt;60,"50-59",TRUE(),"60+")</f>
        <v>30-39</v>
      </c>
      <c r="O511" s="2" t="str">
        <f aca="false">_xlfn.IFS(G511&lt;0,"1 Negative",G511=0,"2 Zero",G511&lt;=500,"3 1-500",G511&lt;=2000,"4 501-2000",TRUE(),"5 Above 2000")</f>
        <v>3 1-500</v>
      </c>
      <c r="P511" s="2" t="n">
        <f aca="false">Lookups!$B$2*M511+Lookups!$B$3*L511</f>
        <v>0</v>
      </c>
      <c r="Q511" s="2" t="str">
        <f aca="false">INDEX(Lookups!$E$2:$E$5,MATCH(P511,Lookups!$D$2:$D$5,0))</f>
        <v>Low</v>
      </c>
    </row>
    <row r="512" customFormat="false" ht="15" hidden="false" customHeight="false" outlineLevel="0" collapsed="false">
      <c r="A512" s="3" t="n">
        <v>511</v>
      </c>
      <c r="B512" s="3" t="n">
        <f aca="false">Raw_Data!A512</f>
        <v>38</v>
      </c>
      <c r="C512" s="3" t="str">
        <f aca="false">SUBSTITUTE(Raw_Data!B512,".","")</f>
        <v>blue-collar</v>
      </c>
      <c r="D512" s="3" t="str">
        <f aca="false">Raw_Data!C512</f>
        <v>married</v>
      </c>
      <c r="E512" s="3" t="str">
        <f aca="false">Raw_Data!D512</f>
        <v>secondary</v>
      </c>
      <c r="F512" s="3" t="str">
        <f aca="false">Raw_Data!E512</f>
        <v>no</v>
      </c>
      <c r="G512" s="3" t="n">
        <f aca="false">Raw_Data!F512</f>
        <v>121</v>
      </c>
      <c r="H512" s="3" t="str">
        <f aca="false">Raw_Data!G512</f>
        <v>yes</v>
      </c>
      <c r="I512" s="3" t="str">
        <f aca="false">Raw_Data!H512</f>
        <v>yes</v>
      </c>
      <c r="J512" s="2" t="n">
        <f aca="false">IF(F512="yes",1,0)</f>
        <v>0</v>
      </c>
      <c r="K512" s="2" t="n">
        <f aca="false">IF(H512="yes",1,0)</f>
        <v>1</v>
      </c>
      <c r="L512" s="2" t="n">
        <f aca="false">IF(I512="yes",1,0)</f>
        <v>1</v>
      </c>
      <c r="M512" s="2" t="n">
        <f aca="false">IF(G512&lt;0,1,0)</f>
        <v>0</v>
      </c>
      <c r="N512" s="2" t="str">
        <f aca="false">_xlfn.IFS(B512&lt;30,"Under 30",B512&lt;40,"30-39",B512&lt;50,"40-49",B512&lt;60,"50-59",TRUE(),"60+")</f>
        <v>30-39</v>
      </c>
      <c r="O512" s="2" t="str">
        <f aca="false">_xlfn.IFS(G512&lt;0,"1 Negative",G512=0,"2 Zero",G512&lt;=500,"3 1-500",G512&lt;=2000,"4 501-2000",TRUE(),"5 Above 2000")</f>
        <v>3 1-500</v>
      </c>
      <c r="P512" s="2" t="n">
        <f aca="false">Lookups!$B$2*M512+Lookups!$B$3*L512</f>
        <v>1</v>
      </c>
      <c r="Q512" s="2" t="str">
        <f aca="false">INDEX(Lookups!$E$2:$E$5,MATCH(P512,Lookups!$D$2:$D$5,0))</f>
        <v>Medium</v>
      </c>
    </row>
    <row r="513" customFormat="false" ht="15" hidden="false" customHeight="false" outlineLevel="0" collapsed="false">
      <c r="A513" s="3" t="n">
        <v>512</v>
      </c>
      <c r="B513" s="3" t="n">
        <f aca="false">Raw_Data!A513</f>
        <v>32</v>
      </c>
      <c r="C513" s="3" t="str">
        <f aca="false">SUBSTITUTE(Raw_Data!B513,".","")</f>
        <v>management</v>
      </c>
      <c r="D513" s="3" t="str">
        <f aca="false">Raw_Data!C513</f>
        <v>married</v>
      </c>
      <c r="E513" s="3" t="str">
        <f aca="false">Raw_Data!D513</f>
        <v>tertiary</v>
      </c>
      <c r="F513" s="3" t="str">
        <f aca="false">Raw_Data!E513</f>
        <v>no</v>
      </c>
      <c r="G513" s="3" t="n">
        <f aca="false">Raw_Data!F513</f>
        <v>820</v>
      </c>
      <c r="H513" s="3" t="str">
        <f aca="false">Raw_Data!G513</f>
        <v>yes</v>
      </c>
      <c r="I513" s="3" t="str">
        <f aca="false">Raw_Data!H513</f>
        <v>no</v>
      </c>
      <c r="J513" s="2" t="n">
        <f aca="false">IF(F513="yes",1,0)</f>
        <v>0</v>
      </c>
      <c r="K513" s="2" t="n">
        <f aca="false">IF(H513="yes",1,0)</f>
        <v>1</v>
      </c>
      <c r="L513" s="2" t="n">
        <f aca="false">IF(I513="yes",1,0)</f>
        <v>0</v>
      </c>
      <c r="M513" s="2" t="n">
        <f aca="false">IF(G513&lt;0,1,0)</f>
        <v>0</v>
      </c>
      <c r="N513" s="2" t="str">
        <f aca="false">_xlfn.IFS(B513&lt;30,"Under 30",B513&lt;40,"30-39",B513&lt;50,"40-49",B513&lt;60,"50-59",TRUE(),"60+")</f>
        <v>30-39</v>
      </c>
      <c r="O513" s="2" t="str">
        <f aca="false">_xlfn.IFS(G513&lt;0,"1 Negative",G513=0,"2 Zero",G513&lt;=500,"3 1-500",G513&lt;=2000,"4 501-2000",TRUE(),"5 Above 2000")</f>
        <v>4 501-2000</v>
      </c>
      <c r="P513" s="2" t="n">
        <f aca="false">Lookups!$B$2*M513+Lookups!$B$3*L513</f>
        <v>0</v>
      </c>
      <c r="Q513" s="2" t="str">
        <f aca="false">INDEX(Lookups!$E$2:$E$5,MATCH(P513,Lookups!$D$2:$D$5,0))</f>
        <v>Low</v>
      </c>
    </row>
    <row r="514" customFormat="false" ht="15" hidden="false" customHeight="false" outlineLevel="0" collapsed="false">
      <c r="A514" s="3" t="n">
        <v>513</v>
      </c>
      <c r="B514" s="3" t="n">
        <f aca="false">Raw_Data!A514</f>
        <v>52</v>
      </c>
      <c r="C514" s="3" t="str">
        <f aca="false">SUBSTITUTE(Raw_Data!B514,".","")</f>
        <v>technician</v>
      </c>
      <c r="D514" s="3" t="str">
        <f aca="false">Raw_Data!C514</f>
        <v>married</v>
      </c>
      <c r="E514" s="3" t="str">
        <f aca="false">Raw_Data!D514</f>
        <v>secondary</v>
      </c>
      <c r="F514" s="3" t="str">
        <f aca="false">Raw_Data!E514</f>
        <v>no</v>
      </c>
      <c r="G514" s="3" t="n">
        <f aca="false">Raw_Data!F514</f>
        <v>195</v>
      </c>
      <c r="H514" s="3" t="str">
        <f aca="false">Raw_Data!G514</f>
        <v>yes</v>
      </c>
      <c r="I514" s="3" t="str">
        <f aca="false">Raw_Data!H514</f>
        <v>no</v>
      </c>
      <c r="J514" s="2" t="n">
        <f aca="false">IF(F514="yes",1,0)</f>
        <v>0</v>
      </c>
      <c r="K514" s="2" t="n">
        <f aca="false">IF(H514="yes",1,0)</f>
        <v>1</v>
      </c>
      <c r="L514" s="2" t="n">
        <f aca="false">IF(I514="yes",1,0)</f>
        <v>0</v>
      </c>
      <c r="M514" s="2" t="n">
        <f aca="false">IF(G514&lt;0,1,0)</f>
        <v>0</v>
      </c>
      <c r="N514" s="2" t="str">
        <f aca="false">_xlfn.IFS(B514&lt;30,"Under 30",B514&lt;40,"30-39",B514&lt;50,"40-49",B514&lt;60,"50-59",TRUE(),"60+")</f>
        <v>50-59</v>
      </c>
      <c r="O514" s="2" t="str">
        <f aca="false">_xlfn.IFS(G514&lt;0,"1 Negative",G514=0,"2 Zero",G514&lt;=500,"3 1-500",G514&lt;=2000,"4 501-2000",TRUE(),"5 Above 2000")</f>
        <v>3 1-500</v>
      </c>
      <c r="P514" s="2" t="n">
        <f aca="false">Lookups!$B$2*M514+Lookups!$B$3*L514</f>
        <v>0</v>
      </c>
      <c r="Q514" s="2" t="str">
        <f aca="false">INDEX(Lookups!$E$2:$E$5,MATCH(P514,Lookups!$D$2:$D$5,0))</f>
        <v>Low</v>
      </c>
    </row>
    <row r="515" customFormat="false" ht="15" hidden="false" customHeight="false" outlineLevel="0" collapsed="false">
      <c r="A515" s="3" t="n">
        <v>514</v>
      </c>
      <c r="B515" s="3" t="n">
        <f aca="false">Raw_Data!A515</f>
        <v>48</v>
      </c>
      <c r="C515" s="3" t="str">
        <f aca="false">SUBSTITUTE(Raw_Data!B515,".","")</f>
        <v>management</v>
      </c>
      <c r="D515" s="3" t="str">
        <f aca="false">Raw_Data!C515</f>
        <v>divorced</v>
      </c>
      <c r="E515" s="3" t="str">
        <f aca="false">Raw_Data!D515</f>
        <v>tertiary</v>
      </c>
      <c r="F515" s="3" t="str">
        <f aca="false">Raw_Data!E515</f>
        <v>no</v>
      </c>
      <c r="G515" s="3" t="n">
        <f aca="false">Raw_Data!F515</f>
        <v>108</v>
      </c>
      <c r="H515" s="3" t="str">
        <f aca="false">Raw_Data!G515</f>
        <v>yes</v>
      </c>
      <c r="I515" s="3" t="str">
        <f aca="false">Raw_Data!H515</f>
        <v>no</v>
      </c>
      <c r="J515" s="2" t="n">
        <f aca="false">IF(F515="yes",1,0)</f>
        <v>0</v>
      </c>
      <c r="K515" s="2" t="n">
        <f aca="false">IF(H515="yes",1,0)</f>
        <v>1</v>
      </c>
      <c r="L515" s="2" t="n">
        <f aca="false">IF(I515="yes",1,0)</f>
        <v>0</v>
      </c>
      <c r="M515" s="2" t="n">
        <f aca="false">IF(G515&lt;0,1,0)</f>
        <v>0</v>
      </c>
      <c r="N515" s="2" t="str">
        <f aca="false">_xlfn.IFS(B515&lt;30,"Under 30",B515&lt;40,"30-39",B515&lt;50,"40-49",B515&lt;60,"50-59",TRUE(),"60+")</f>
        <v>40-49</v>
      </c>
      <c r="O515" s="2" t="str">
        <f aca="false">_xlfn.IFS(G515&lt;0,"1 Negative",G515=0,"2 Zero",G515&lt;=500,"3 1-500",G515&lt;=2000,"4 501-2000",TRUE(),"5 Above 2000")</f>
        <v>3 1-500</v>
      </c>
      <c r="P515" s="2" t="n">
        <f aca="false">Lookups!$B$2*M515+Lookups!$B$3*L515</f>
        <v>0</v>
      </c>
      <c r="Q515" s="2" t="str">
        <f aca="false">INDEX(Lookups!$E$2:$E$5,MATCH(P515,Lookups!$D$2:$D$5,0))</f>
        <v>Low</v>
      </c>
    </row>
    <row r="516" customFormat="false" ht="15" hidden="false" customHeight="false" outlineLevel="0" collapsed="false">
      <c r="A516" s="3" t="n">
        <v>515</v>
      </c>
      <c r="B516" s="3" t="n">
        <f aca="false">Raw_Data!A516</f>
        <v>36</v>
      </c>
      <c r="C516" s="3" t="str">
        <f aca="false">SUBSTITUTE(Raw_Data!B516,".","")</f>
        <v>management</v>
      </c>
      <c r="D516" s="3" t="str">
        <f aca="false">Raw_Data!C516</f>
        <v>married</v>
      </c>
      <c r="E516" s="3" t="str">
        <f aca="false">Raw_Data!D516</f>
        <v>tertiary</v>
      </c>
      <c r="F516" s="3" t="str">
        <f aca="false">Raw_Data!E516</f>
        <v>no</v>
      </c>
      <c r="G516" s="3" t="n">
        <f aca="false">Raw_Data!F516</f>
        <v>-381</v>
      </c>
      <c r="H516" s="3" t="str">
        <f aca="false">Raw_Data!G516</f>
        <v>yes</v>
      </c>
      <c r="I516" s="3" t="str">
        <f aca="false">Raw_Data!H516</f>
        <v>no</v>
      </c>
      <c r="J516" s="2" t="n">
        <f aca="false">IF(F516="yes",1,0)</f>
        <v>0</v>
      </c>
      <c r="K516" s="2" t="n">
        <f aca="false">IF(H516="yes",1,0)</f>
        <v>1</v>
      </c>
      <c r="L516" s="2" t="n">
        <f aca="false">IF(I516="yes",1,0)</f>
        <v>0</v>
      </c>
      <c r="M516" s="2" t="n">
        <f aca="false">IF(G516&lt;0,1,0)</f>
        <v>1</v>
      </c>
      <c r="N516" s="2" t="str">
        <f aca="false">_xlfn.IFS(B516&lt;30,"Under 30",B516&lt;40,"30-39",B516&lt;50,"40-49",B516&lt;60,"50-59",TRUE(),"60+")</f>
        <v>30-39</v>
      </c>
      <c r="O516" s="2" t="str">
        <f aca="false">_xlfn.IFS(G516&lt;0,"1 Negative",G516=0,"2 Zero",G516&lt;=500,"3 1-500",G516&lt;=2000,"4 501-2000",TRUE(),"5 Above 2000")</f>
        <v>1 Negative</v>
      </c>
      <c r="P516" s="2" t="n">
        <f aca="false">Lookups!$B$2*M516+Lookups!$B$3*L516</f>
        <v>2</v>
      </c>
      <c r="Q516" s="2" t="str">
        <f aca="false">INDEX(Lookups!$E$2:$E$5,MATCH(P516,Lookups!$D$2:$D$5,0))</f>
        <v>High</v>
      </c>
    </row>
    <row r="517" customFormat="false" ht="15" hidden="false" customHeight="false" outlineLevel="0" collapsed="false">
      <c r="A517" s="3" t="n">
        <v>516</v>
      </c>
      <c r="B517" s="3" t="n">
        <f aca="false">Raw_Data!A517</f>
        <v>45</v>
      </c>
      <c r="C517" s="3" t="str">
        <f aca="false">SUBSTITUTE(Raw_Data!B517,".","")</f>
        <v>unemployed</v>
      </c>
      <c r="D517" s="3" t="str">
        <f aca="false">Raw_Data!C517</f>
        <v>divorced</v>
      </c>
      <c r="E517" s="3" t="str">
        <f aca="false">Raw_Data!D517</f>
        <v>primary</v>
      </c>
      <c r="F517" s="3" t="str">
        <f aca="false">Raw_Data!E517</f>
        <v>no</v>
      </c>
      <c r="G517" s="3" t="n">
        <f aca="false">Raw_Data!F517</f>
        <v>757</v>
      </c>
      <c r="H517" s="3" t="str">
        <f aca="false">Raw_Data!G517</f>
        <v>no</v>
      </c>
      <c r="I517" s="3" t="str">
        <f aca="false">Raw_Data!H517</f>
        <v>no</v>
      </c>
      <c r="J517" s="2" t="n">
        <f aca="false">IF(F517="yes",1,0)</f>
        <v>0</v>
      </c>
      <c r="K517" s="2" t="n">
        <f aca="false">IF(H517="yes",1,0)</f>
        <v>0</v>
      </c>
      <c r="L517" s="2" t="n">
        <f aca="false">IF(I517="yes",1,0)</f>
        <v>0</v>
      </c>
      <c r="M517" s="2" t="n">
        <f aca="false">IF(G517&lt;0,1,0)</f>
        <v>0</v>
      </c>
      <c r="N517" s="2" t="str">
        <f aca="false">_xlfn.IFS(B517&lt;30,"Under 30",B517&lt;40,"30-39",B517&lt;50,"40-49",B517&lt;60,"50-59",TRUE(),"60+")</f>
        <v>40-49</v>
      </c>
      <c r="O517" s="2" t="str">
        <f aca="false">_xlfn.IFS(G517&lt;0,"1 Negative",G517=0,"2 Zero",G517&lt;=500,"3 1-500",G517&lt;=2000,"4 501-2000",TRUE(),"5 Above 2000")</f>
        <v>4 501-2000</v>
      </c>
      <c r="P517" s="2" t="n">
        <f aca="false">Lookups!$B$2*M517+Lookups!$B$3*L517</f>
        <v>0</v>
      </c>
      <c r="Q517" s="2" t="str">
        <f aca="false">INDEX(Lookups!$E$2:$E$5,MATCH(P517,Lookups!$D$2:$D$5,0))</f>
        <v>Low</v>
      </c>
    </row>
    <row r="518" customFormat="false" ht="15" hidden="false" customHeight="false" outlineLevel="0" collapsed="false">
      <c r="A518" s="3" t="n">
        <v>517</v>
      </c>
      <c r="B518" s="3" t="n">
        <f aca="false">Raw_Data!A518</f>
        <v>34</v>
      </c>
      <c r="C518" s="3" t="str">
        <f aca="false">SUBSTITUTE(Raw_Data!B518,".","")</f>
        <v>technician</v>
      </c>
      <c r="D518" s="3" t="str">
        <f aca="false">Raw_Data!C518</f>
        <v>married</v>
      </c>
      <c r="E518" s="3" t="str">
        <f aca="false">Raw_Data!D518</f>
        <v>tertiary</v>
      </c>
      <c r="F518" s="3" t="str">
        <f aca="false">Raw_Data!E518</f>
        <v>no</v>
      </c>
      <c r="G518" s="3" t="n">
        <f aca="false">Raw_Data!F518</f>
        <v>691</v>
      </c>
      <c r="H518" s="3" t="str">
        <f aca="false">Raw_Data!G518</f>
        <v>yes</v>
      </c>
      <c r="I518" s="3" t="str">
        <f aca="false">Raw_Data!H518</f>
        <v>yes</v>
      </c>
      <c r="J518" s="2" t="n">
        <f aca="false">IF(F518="yes",1,0)</f>
        <v>0</v>
      </c>
      <c r="K518" s="2" t="n">
        <f aca="false">IF(H518="yes",1,0)</f>
        <v>1</v>
      </c>
      <c r="L518" s="2" t="n">
        <f aca="false">IF(I518="yes",1,0)</f>
        <v>1</v>
      </c>
      <c r="M518" s="2" t="n">
        <f aca="false">IF(G518&lt;0,1,0)</f>
        <v>0</v>
      </c>
      <c r="N518" s="2" t="str">
        <f aca="false">_xlfn.IFS(B518&lt;30,"Under 30",B518&lt;40,"30-39",B518&lt;50,"40-49",B518&lt;60,"50-59",TRUE(),"60+")</f>
        <v>30-39</v>
      </c>
      <c r="O518" s="2" t="str">
        <f aca="false">_xlfn.IFS(G518&lt;0,"1 Negative",G518=0,"2 Zero",G518&lt;=500,"3 1-500",G518&lt;=2000,"4 501-2000",TRUE(),"5 Above 2000")</f>
        <v>4 501-2000</v>
      </c>
      <c r="P518" s="2" t="n">
        <f aca="false">Lookups!$B$2*M518+Lookups!$B$3*L518</f>
        <v>1</v>
      </c>
      <c r="Q518" s="2" t="str">
        <f aca="false">INDEX(Lookups!$E$2:$E$5,MATCH(P518,Lookups!$D$2:$D$5,0))</f>
        <v>Medium</v>
      </c>
    </row>
    <row r="519" customFormat="false" ht="15" hidden="false" customHeight="false" outlineLevel="0" collapsed="false">
      <c r="A519" s="3" t="n">
        <v>518</v>
      </c>
      <c r="B519" s="3" t="n">
        <f aca="false">Raw_Data!A519</f>
        <v>36</v>
      </c>
      <c r="C519" s="3" t="str">
        <f aca="false">SUBSTITUTE(Raw_Data!B519,".","")</f>
        <v>blue-collar</v>
      </c>
      <c r="D519" s="3" t="str">
        <f aca="false">Raw_Data!C519</f>
        <v>married</v>
      </c>
      <c r="E519" s="3" t="str">
        <f aca="false">Raw_Data!D519</f>
        <v>primary</v>
      </c>
      <c r="F519" s="3" t="str">
        <f aca="false">Raw_Data!E519</f>
        <v>no</v>
      </c>
      <c r="G519" s="3" t="n">
        <f aca="false">Raw_Data!F519</f>
        <v>1925</v>
      </c>
      <c r="H519" s="3" t="str">
        <f aca="false">Raw_Data!G519</f>
        <v>yes</v>
      </c>
      <c r="I519" s="3" t="str">
        <f aca="false">Raw_Data!H519</f>
        <v>no</v>
      </c>
      <c r="J519" s="2" t="n">
        <f aca="false">IF(F519="yes",1,0)</f>
        <v>0</v>
      </c>
      <c r="K519" s="2" t="n">
        <f aca="false">IF(H519="yes",1,0)</f>
        <v>1</v>
      </c>
      <c r="L519" s="2" t="n">
        <f aca="false">IF(I519="yes",1,0)</f>
        <v>0</v>
      </c>
      <c r="M519" s="2" t="n">
        <f aca="false">IF(G519&lt;0,1,0)</f>
        <v>0</v>
      </c>
      <c r="N519" s="2" t="str">
        <f aca="false">_xlfn.IFS(B519&lt;30,"Under 30",B519&lt;40,"30-39",B519&lt;50,"40-49",B519&lt;60,"50-59",TRUE(),"60+")</f>
        <v>30-39</v>
      </c>
      <c r="O519" s="2" t="str">
        <f aca="false">_xlfn.IFS(G519&lt;0,"1 Negative",G519=0,"2 Zero",G519&lt;=500,"3 1-500",G519&lt;=2000,"4 501-2000",TRUE(),"5 Above 2000")</f>
        <v>4 501-2000</v>
      </c>
      <c r="P519" s="2" t="n">
        <f aca="false">Lookups!$B$2*M519+Lookups!$B$3*L519</f>
        <v>0</v>
      </c>
      <c r="Q519" s="2" t="str">
        <f aca="false">INDEX(Lookups!$E$2:$E$5,MATCH(P519,Lookups!$D$2:$D$5,0))</f>
        <v>Low</v>
      </c>
    </row>
    <row r="520" customFormat="false" ht="15" hidden="false" customHeight="false" outlineLevel="0" collapsed="false">
      <c r="A520" s="3" t="n">
        <v>519</v>
      </c>
      <c r="B520" s="3" t="n">
        <f aca="false">Raw_Data!A520</f>
        <v>34</v>
      </c>
      <c r="C520" s="3" t="str">
        <f aca="false">SUBSTITUTE(Raw_Data!B520,".","")</f>
        <v>management</v>
      </c>
      <c r="D520" s="3" t="str">
        <f aca="false">Raw_Data!C520</f>
        <v>married</v>
      </c>
      <c r="E520" s="3" t="str">
        <f aca="false">Raw_Data!D520</f>
        <v>tertiary</v>
      </c>
      <c r="F520" s="3" t="str">
        <f aca="false">Raw_Data!E520</f>
        <v>no</v>
      </c>
      <c r="G520" s="3" t="n">
        <f aca="false">Raw_Data!F520</f>
        <v>902</v>
      </c>
      <c r="H520" s="3" t="str">
        <f aca="false">Raw_Data!G520</f>
        <v>yes</v>
      </c>
      <c r="I520" s="3" t="str">
        <f aca="false">Raw_Data!H520</f>
        <v>no</v>
      </c>
      <c r="J520" s="2" t="n">
        <f aca="false">IF(F520="yes",1,0)</f>
        <v>0</v>
      </c>
      <c r="K520" s="2" t="n">
        <f aca="false">IF(H520="yes",1,0)</f>
        <v>1</v>
      </c>
      <c r="L520" s="2" t="n">
        <f aca="false">IF(I520="yes",1,0)</f>
        <v>0</v>
      </c>
      <c r="M520" s="2" t="n">
        <f aca="false">IF(G520&lt;0,1,0)</f>
        <v>0</v>
      </c>
      <c r="N520" s="2" t="str">
        <f aca="false">_xlfn.IFS(B520&lt;30,"Under 30",B520&lt;40,"30-39",B520&lt;50,"40-49",B520&lt;60,"50-59",TRUE(),"60+")</f>
        <v>30-39</v>
      </c>
      <c r="O520" s="2" t="str">
        <f aca="false">_xlfn.IFS(G520&lt;0,"1 Negative",G520=0,"2 Zero",G520&lt;=500,"3 1-500",G520&lt;=2000,"4 501-2000",TRUE(),"5 Above 2000")</f>
        <v>4 501-2000</v>
      </c>
      <c r="P520" s="2" t="n">
        <f aca="false">Lookups!$B$2*M520+Lookups!$B$3*L520</f>
        <v>0</v>
      </c>
      <c r="Q520" s="2" t="str">
        <f aca="false">INDEX(Lookups!$E$2:$E$5,MATCH(P520,Lookups!$D$2:$D$5,0))</f>
        <v>Low</v>
      </c>
    </row>
    <row r="521" customFormat="false" ht="15" hidden="false" customHeight="false" outlineLevel="0" collapsed="false">
      <c r="A521" s="3" t="n">
        <v>520</v>
      </c>
      <c r="B521" s="3" t="n">
        <f aca="false">Raw_Data!A521</f>
        <v>61</v>
      </c>
      <c r="C521" s="3" t="str">
        <f aca="false">SUBSTITUTE(Raw_Data!B521,".","")</f>
        <v>retired</v>
      </c>
      <c r="D521" s="3" t="str">
        <f aca="false">Raw_Data!C521</f>
        <v>married</v>
      </c>
      <c r="E521" s="3" t="str">
        <f aca="false">Raw_Data!D521</f>
        <v>secondary</v>
      </c>
      <c r="F521" s="3" t="str">
        <f aca="false">Raw_Data!E521</f>
        <v>no</v>
      </c>
      <c r="G521" s="3" t="n">
        <f aca="false">Raw_Data!F521</f>
        <v>5207</v>
      </c>
      <c r="H521" s="3" t="str">
        <f aca="false">Raw_Data!G521</f>
        <v>no</v>
      </c>
      <c r="I521" s="3" t="str">
        <f aca="false">Raw_Data!H521</f>
        <v>no</v>
      </c>
      <c r="J521" s="2" t="n">
        <f aca="false">IF(F521="yes",1,0)</f>
        <v>0</v>
      </c>
      <c r="K521" s="2" t="n">
        <f aca="false">IF(H521="yes",1,0)</f>
        <v>0</v>
      </c>
      <c r="L521" s="2" t="n">
        <f aca="false">IF(I521="yes",1,0)</f>
        <v>0</v>
      </c>
      <c r="M521" s="2" t="n">
        <f aca="false">IF(G521&lt;0,1,0)</f>
        <v>0</v>
      </c>
      <c r="N521" s="2" t="str">
        <f aca="false">_xlfn.IFS(B521&lt;30,"Under 30",B521&lt;40,"30-39",B521&lt;50,"40-49",B521&lt;60,"50-59",TRUE(),"60+")</f>
        <v>60+</v>
      </c>
      <c r="O521" s="2" t="str">
        <f aca="false">_xlfn.IFS(G521&lt;0,"1 Negative",G521=0,"2 Zero",G521&lt;=500,"3 1-500",G521&lt;=2000,"4 501-2000",TRUE(),"5 Above 2000")</f>
        <v>5 Above 2000</v>
      </c>
      <c r="P521" s="2" t="n">
        <f aca="false">Lookups!$B$2*M521+Lookups!$B$3*L521</f>
        <v>0</v>
      </c>
      <c r="Q521" s="2" t="str">
        <f aca="false">INDEX(Lookups!$E$2:$E$5,MATCH(P521,Lookups!$D$2:$D$5,0))</f>
        <v>Low</v>
      </c>
    </row>
    <row r="522" customFormat="false" ht="15" hidden="false" customHeight="false" outlineLevel="0" collapsed="false">
      <c r="A522" s="3" t="n">
        <v>521</v>
      </c>
      <c r="B522" s="3" t="n">
        <f aca="false">Raw_Data!A522</f>
        <v>54</v>
      </c>
      <c r="C522" s="3" t="str">
        <f aca="false">SUBSTITUTE(Raw_Data!B522,".","")</f>
        <v>services</v>
      </c>
      <c r="D522" s="3" t="str">
        <f aca="false">Raw_Data!C522</f>
        <v>married</v>
      </c>
      <c r="E522" s="3" t="str">
        <f aca="false">Raw_Data!D522</f>
        <v>secondary</v>
      </c>
      <c r="F522" s="3" t="str">
        <f aca="false">Raw_Data!E522</f>
        <v>no</v>
      </c>
      <c r="G522" s="3" t="n">
        <f aca="false">Raw_Data!F522</f>
        <v>0</v>
      </c>
      <c r="H522" s="3" t="str">
        <f aca="false">Raw_Data!G522</f>
        <v>no</v>
      </c>
      <c r="I522" s="3" t="str">
        <f aca="false">Raw_Data!H522</f>
        <v>no</v>
      </c>
      <c r="J522" s="2" t="n">
        <f aca="false">IF(F522="yes",1,0)</f>
        <v>0</v>
      </c>
      <c r="K522" s="2" t="n">
        <f aca="false">IF(H522="yes",1,0)</f>
        <v>0</v>
      </c>
      <c r="L522" s="2" t="n">
        <f aca="false">IF(I522="yes",1,0)</f>
        <v>0</v>
      </c>
      <c r="M522" s="2" t="n">
        <f aca="false">IF(G522&lt;0,1,0)</f>
        <v>0</v>
      </c>
      <c r="N522" s="2" t="str">
        <f aca="false">_xlfn.IFS(B522&lt;30,"Under 30",B522&lt;40,"30-39",B522&lt;50,"40-49",B522&lt;60,"50-59",TRUE(),"60+")</f>
        <v>50-59</v>
      </c>
      <c r="O522" s="2" t="str">
        <f aca="false">_xlfn.IFS(G522&lt;0,"1 Negative",G522=0,"2 Zero",G522&lt;=500,"3 1-500",G522&lt;=2000,"4 501-2000",TRUE(),"5 Above 2000")</f>
        <v>2 Zero</v>
      </c>
      <c r="P522" s="2" t="n">
        <f aca="false">Lookups!$B$2*M522+Lookups!$B$3*L522</f>
        <v>0</v>
      </c>
      <c r="Q522" s="2" t="str">
        <f aca="false">INDEX(Lookups!$E$2:$E$5,MATCH(P522,Lookups!$D$2:$D$5,0))</f>
        <v>Low</v>
      </c>
    </row>
    <row r="523" customFormat="false" ht="15" hidden="false" customHeight="false" outlineLevel="0" collapsed="false">
      <c r="A523" s="3" t="n">
        <v>522</v>
      </c>
      <c r="B523" s="3" t="n">
        <f aca="false">Raw_Data!A523</f>
        <v>50</v>
      </c>
      <c r="C523" s="3" t="str">
        <f aca="false">SUBSTITUTE(Raw_Data!B523,".","")</f>
        <v>entrepreneur</v>
      </c>
      <c r="D523" s="3" t="str">
        <f aca="false">Raw_Data!C523</f>
        <v>married</v>
      </c>
      <c r="E523" s="3" t="str">
        <f aca="false">Raw_Data!D523</f>
        <v>secondary</v>
      </c>
      <c r="F523" s="3" t="str">
        <f aca="false">Raw_Data!E523</f>
        <v>no</v>
      </c>
      <c r="G523" s="3" t="n">
        <f aca="false">Raw_Data!F523</f>
        <v>665</v>
      </c>
      <c r="H523" s="3" t="str">
        <f aca="false">Raw_Data!G523</f>
        <v>no</v>
      </c>
      <c r="I523" s="3" t="str">
        <f aca="false">Raw_Data!H523</f>
        <v>no</v>
      </c>
      <c r="J523" s="2" t="n">
        <f aca="false">IF(F523="yes",1,0)</f>
        <v>0</v>
      </c>
      <c r="K523" s="2" t="n">
        <f aca="false">IF(H523="yes",1,0)</f>
        <v>0</v>
      </c>
      <c r="L523" s="2" t="n">
        <f aca="false">IF(I523="yes",1,0)</f>
        <v>0</v>
      </c>
      <c r="M523" s="2" t="n">
        <f aca="false">IF(G523&lt;0,1,0)</f>
        <v>0</v>
      </c>
      <c r="N523" s="2" t="str">
        <f aca="false">_xlfn.IFS(B523&lt;30,"Under 30",B523&lt;40,"30-39",B523&lt;50,"40-49",B523&lt;60,"50-59",TRUE(),"60+")</f>
        <v>50-59</v>
      </c>
      <c r="O523" s="2" t="str">
        <f aca="false">_xlfn.IFS(G523&lt;0,"1 Negative",G523=0,"2 Zero",G523&lt;=500,"3 1-500",G523&lt;=2000,"4 501-2000",TRUE(),"5 Above 2000")</f>
        <v>4 501-2000</v>
      </c>
      <c r="P523" s="2" t="n">
        <f aca="false">Lookups!$B$2*M523+Lookups!$B$3*L523</f>
        <v>0</v>
      </c>
      <c r="Q523" s="2" t="str">
        <f aca="false">INDEX(Lookups!$E$2:$E$5,MATCH(P523,Lookups!$D$2:$D$5,0))</f>
        <v>Low</v>
      </c>
    </row>
    <row r="524" customFormat="false" ht="15" hidden="false" customHeight="false" outlineLevel="0" collapsed="false">
      <c r="A524" s="3" t="n">
        <v>523</v>
      </c>
      <c r="B524" s="3" t="n">
        <f aca="false">Raw_Data!A524</f>
        <v>43</v>
      </c>
      <c r="C524" s="3" t="str">
        <f aca="false">SUBSTITUTE(Raw_Data!B524,".","")</f>
        <v>admin</v>
      </c>
      <c r="D524" s="3" t="str">
        <f aca="false">Raw_Data!C524</f>
        <v>divorced</v>
      </c>
      <c r="E524" s="3" t="str">
        <f aca="false">Raw_Data!D524</f>
        <v>secondary</v>
      </c>
      <c r="F524" s="3" t="str">
        <f aca="false">Raw_Data!E524</f>
        <v>no</v>
      </c>
      <c r="G524" s="3" t="n">
        <f aca="false">Raw_Data!F524</f>
        <v>738</v>
      </c>
      <c r="H524" s="3" t="str">
        <f aca="false">Raw_Data!G524</f>
        <v>yes</v>
      </c>
      <c r="I524" s="3" t="str">
        <f aca="false">Raw_Data!H524</f>
        <v>no</v>
      </c>
      <c r="J524" s="2" t="n">
        <f aca="false">IF(F524="yes",1,0)</f>
        <v>0</v>
      </c>
      <c r="K524" s="2" t="n">
        <f aca="false">IF(H524="yes",1,0)</f>
        <v>1</v>
      </c>
      <c r="L524" s="2" t="n">
        <f aca="false">IF(I524="yes",1,0)</f>
        <v>0</v>
      </c>
      <c r="M524" s="2" t="n">
        <f aca="false">IF(G524&lt;0,1,0)</f>
        <v>0</v>
      </c>
      <c r="N524" s="2" t="str">
        <f aca="false">_xlfn.IFS(B524&lt;30,"Under 30",B524&lt;40,"30-39",B524&lt;50,"40-49",B524&lt;60,"50-59",TRUE(),"60+")</f>
        <v>40-49</v>
      </c>
      <c r="O524" s="2" t="str">
        <f aca="false">_xlfn.IFS(G524&lt;0,"1 Negative",G524=0,"2 Zero",G524&lt;=500,"3 1-500",G524&lt;=2000,"4 501-2000",TRUE(),"5 Above 2000")</f>
        <v>4 501-2000</v>
      </c>
      <c r="P524" s="2" t="n">
        <f aca="false">Lookups!$B$2*M524+Lookups!$B$3*L524</f>
        <v>0</v>
      </c>
      <c r="Q524" s="2" t="str">
        <f aca="false">INDEX(Lookups!$E$2:$E$5,MATCH(P524,Lookups!$D$2:$D$5,0))</f>
        <v>Low</v>
      </c>
    </row>
    <row r="525" customFormat="false" ht="15" hidden="false" customHeight="false" outlineLevel="0" collapsed="false">
      <c r="A525" s="3" t="n">
        <v>524</v>
      </c>
      <c r="B525" s="3" t="n">
        <f aca="false">Raw_Data!A525</f>
        <v>47</v>
      </c>
      <c r="C525" s="3" t="str">
        <f aca="false">SUBSTITUTE(Raw_Data!B525,".","")</f>
        <v>blue-collar</v>
      </c>
      <c r="D525" s="3" t="str">
        <f aca="false">Raw_Data!C525</f>
        <v>married</v>
      </c>
      <c r="E525" s="3" t="str">
        <f aca="false">Raw_Data!D525</f>
        <v>primary</v>
      </c>
      <c r="F525" s="3" t="str">
        <f aca="false">Raw_Data!E525</f>
        <v>no</v>
      </c>
      <c r="G525" s="3" t="n">
        <f aca="false">Raw_Data!F525</f>
        <v>233</v>
      </c>
      <c r="H525" s="3" t="str">
        <f aca="false">Raw_Data!G525</f>
        <v>no</v>
      </c>
      <c r="I525" s="3" t="str">
        <f aca="false">Raw_Data!H525</f>
        <v>no</v>
      </c>
      <c r="J525" s="2" t="n">
        <f aca="false">IF(F525="yes",1,0)</f>
        <v>0</v>
      </c>
      <c r="K525" s="2" t="n">
        <f aca="false">IF(H525="yes",1,0)</f>
        <v>0</v>
      </c>
      <c r="L525" s="2" t="n">
        <f aca="false">IF(I525="yes",1,0)</f>
        <v>0</v>
      </c>
      <c r="M525" s="2" t="n">
        <f aca="false">IF(G525&lt;0,1,0)</f>
        <v>0</v>
      </c>
      <c r="N525" s="2" t="str">
        <f aca="false">_xlfn.IFS(B525&lt;30,"Under 30",B525&lt;40,"30-39",B525&lt;50,"40-49",B525&lt;60,"50-59",TRUE(),"60+")</f>
        <v>40-49</v>
      </c>
      <c r="O525" s="2" t="str">
        <f aca="false">_xlfn.IFS(G525&lt;0,"1 Negative",G525=0,"2 Zero",G525&lt;=500,"3 1-500",G525&lt;=2000,"4 501-2000",TRUE(),"5 Above 2000")</f>
        <v>3 1-500</v>
      </c>
      <c r="P525" s="2" t="n">
        <f aca="false">Lookups!$B$2*M525+Lookups!$B$3*L525</f>
        <v>0</v>
      </c>
      <c r="Q525" s="2" t="str">
        <f aca="false">INDEX(Lookups!$E$2:$E$5,MATCH(P525,Lookups!$D$2:$D$5,0))</f>
        <v>Low</v>
      </c>
    </row>
    <row r="526" customFormat="false" ht="15" hidden="false" customHeight="false" outlineLevel="0" collapsed="false">
      <c r="A526" s="3" t="n">
        <v>525</v>
      </c>
      <c r="B526" s="3" t="n">
        <f aca="false">Raw_Data!A526</f>
        <v>45</v>
      </c>
      <c r="C526" s="3" t="str">
        <f aca="false">SUBSTITUTE(Raw_Data!B526,".","")</f>
        <v>services</v>
      </c>
      <c r="D526" s="3" t="str">
        <f aca="false">Raw_Data!C526</f>
        <v>married</v>
      </c>
      <c r="E526" s="3" t="str">
        <f aca="false">Raw_Data!D526</f>
        <v>secondary</v>
      </c>
      <c r="F526" s="3" t="str">
        <f aca="false">Raw_Data!E526</f>
        <v>no</v>
      </c>
      <c r="G526" s="3" t="n">
        <f aca="false">Raw_Data!F526</f>
        <v>-839</v>
      </c>
      <c r="H526" s="3" t="str">
        <f aca="false">Raw_Data!G526</f>
        <v>yes</v>
      </c>
      <c r="I526" s="3" t="str">
        <f aca="false">Raw_Data!H526</f>
        <v>no</v>
      </c>
      <c r="J526" s="2" t="n">
        <f aca="false">IF(F526="yes",1,0)</f>
        <v>0</v>
      </c>
      <c r="K526" s="2" t="n">
        <f aca="false">IF(H526="yes",1,0)</f>
        <v>1</v>
      </c>
      <c r="L526" s="2" t="n">
        <f aca="false">IF(I526="yes",1,0)</f>
        <v>0</v>
      </c>
      <c r="M526" s="2" t="n">
        <f aca="false">IF(G526&lt;0,1,0)</f>
        <v>1</v>
      </c>
      <c r="N526" s="2" t="str">
        <f aca="false">_xlfn.IFS(B526&lt;30,"Under 30",B526&lt;40,"30-39",B526&lt;50,"40-49",B526&lt;60,"50-59",TRUE(),"60+")</f>
        <v>40-49</v>
      </c>
      <c r="O526" s="2" t="str">
        <f aca="false">_xlfn.IFS(G526&lt;0,"1 Negative",G526=0,"2 Zero",G526&lt;=500,"3 1-500",G526&lt;=2000,"4 501-2000",TRUE(),"5 Above 2000")</f>
        <v>1 Negative</v>
      </c>
      <c r="P526" s="2" t="n">
        <f aca="false">Lookups!$B$2*M526+Lookups!$B$3*L526</f>
        <v>2</v>
      </c>
      <c r="Q526" s="2" t="str">
        <f aca="false">INDEX(Lookups!$E$2:$E$5,MATCH(P526,Lookups!$D$2:$D$5,0))</f>
        <v>High</v>
      </c>
    </row>
    <row r="527" customFormat="false" ht="15" hidden="false" customHeight="false" outlineLevel="0" collapsed="false">
      <c r="A527" s="3" t="n">
        <v>526</v>
      </c>
      <c r="B527" s="3" t="n">
        <f aca="false">Raw_Data!A527</f>
        <v>57</v>
      </c>
      <c r="C527" s="3" t="str">
        <f aca="false">SUBSTITUTE(Raw_Data!B527,".","")</f>
        <v>retired</v>
      </c>
      <c r="D527" s="3" t="str">
        <f aca="false">Raw_Data!C527</f>
        <v>married</v>
      </c>
      <c r="E527" s="3" t="str">
        <f aca="false">Raw_Data!D527</f>
        <v>primary</v>
      </c>
      <c r="F527" s="3" t="str">
        <f aca="false">Raw_Data!E527</f>
        <v>no</v>
      </c>
      <c r="G527" s="3" t="n">
        <f aca="false">Raw_Data!F527</f>
        <v>5799</v>
      </c>
      <c r="H527" s="3" t="str">
        <f aca="false">Raw_Data!G527</f>
        <v>no</v>
      </c>
      <c r="I527" s="3" t="str">
        <f aca="false">Raw_Data!H527</f>
        <v>no</v>
      </c>
      <c r="J527" s="2" t="n">
        <f aca="false">IF(F527="yes",1,0)</f>
        <v>0</v>
      </c>
      <c r="K527" s="2" t="n">
        <f aca="false">IF(H527="yes",1,0)</f>
        <v>0</v>
      </c>
      <c r="L527" s="2" t="n">
        <f aca="false">IF(I527="yes",1,0)</f>
        <v>0</v>
      </c>
      <c r="M527" s="2" t="n">
        <f aca="false">IF(G527&lt;0,1,0)</f>
        <v>0</v>
      </c>
      <c r="N527" s="2" t="str">
        <f aca="false">_xlfn.IFS(B527&lt;30,"Under 30",B527&lt;40,"30-39",B527&lt;50,"40-49",B527&lt;60,"50-59",TRUE(),"60+")</f>
        <v>50-59</v>
      </c>
      <c r="O527" s="2" t="str">
        <f aca="false">_xlfn.IFS(G527&lt;0,"1 Negative",G527=0,"2 Zero",G527&lt;=500,"3 1-500",G527&lt;=2000,"4 501-2000",TRUE(),"5 Above 2000")</f>
        <v>5 Above 2000</v>
      </c>
      <c r="P527" s="2" t="n">
        <f aca="false">Lookups!$B$2*M527+Lookups!$B$3*L527</f>
        <v>0</v>
      </c>
      <c r="Q527" s="2" t="str">
        <f aca="false">INDEX(Lookups!$E$2:$E$5,MATCH(P527,Lookups!$D$2:$D$5,0))</f>
        <v>Low</v>
      </c>
    </row>
    <row r="528" customFormat="false" ht="15" hidden="false" customHeight="false" outlineLevel="0" collapsed="false">
      <c r="A528" s="3" t="n">
        <v>527</v>
      </c>
      <c r="B528" s="3" t="n">
        <f aca="false">Raw_Data!A528</f>
        <v>27</v>
      </c>
      <c r="C528" s="3" t="str">
        <f aca="false">SUBSTITUTE(Raw_Data!B528,".","")</f>
        <v>admin</v>
      </c>
      <c r="D528" s="3" t="str">
        <f aca="false">Raw_Data!C528</f>
        <v>married</v>
      </c>
      <c r="E528" s="3" t="str">
        <f aca="false">Raw_Data!D528</f>
        <v>secondary</v>
      </c>
      <c r="F528" s="3" t="str">
        <f aca="false">Raw_Data!E528</f>
        <v>no</v>
      </c>
      <c r="G528" s="3" t="n">
        <f aca="false">Raw_Data!F528</f>
        <v>1033</v>
      </c>
      <c r="H528" s="3" t="str">
        <f aca="false">Raw_Data!G528</f>
        <v>yes</v>
      </c>
      <c r="I528" s="3" t="str">
        <f aca="false">Raw_Data!H528</f>
        <v>no</v>
      </c>
      <c r="J528" s="2" t="n">
        <f aca="false">IF(F528="yes",1,0)</f>
        <v>0</v>
      </c>
      <c r="K528" s="2" t="n">
        <f aca="false">IF(H528="yes",1,0)</f>
        <v>1</v>
      </c>
      <c r="L528" s="2" t="n">
        <f aca="false">IF(I528="yes",1,0)</f>
        <v>0</v>
      </c>
      <c r="M528" s="2" t="n">
        <f aca="false">IF(G528&lt;0,1,0)</f>
        <v>0</v>
      </c>
      <c r="N528" s="2" t="str">
        <f aca="false">_xlfn.IFS(B528&lt;30,"Under 30",B528&lt;40,"30-39",B528&lt;50,"40-49",B528&lt;60,"50-59",TRUE(),"60+")</f>
        <v>Under 30</v>
      </c>
      <c r="O528" s="2" t="str">
        <f aca="false">_xlfn.IFS(G528&lt;0,"1 Negative",G528=0,"2 Zero",G528&lt;=500,"3 1-500",G528&lt;=2000,"4 501-2000",TRUE(),"5 Above 2000")</f>
        <v>4 501-2000</v>
      </c>
      <c r="P528" s="2" t="n">
        <f aca="false">Lookups!$B$2*M528+Lookups!$B$3*L528</f>
        <v>0</v>
      </c>
      <c r="Q528" s="2" t="str">
        <f aca="false">INDEX(Lookups!$E$2:$E$5,MATCH(P528,Lookups!$D$2:$D$5,0))</f>
        <v>Low</v>
      </c>
    </row>
    <row r="529" customFormat="false" ht="15" hidden="false" customHeight="false" outlineLevel="0" collapsed="false">
      <c r="A529" s="3" t="n">
        <v>528</v>
      </c>
      <c r="B529" s="3" t="n">
        <f aca="false">Raw_Data!A529</f>
        <v>49</v>
      </c>
      <c r="C529" s="3" t="str">
        <f aca="false">SUBSTITUTE(Raw_Data!B529,".","")</f>
        <v>unemployed</v>
      </c>
      <c r="D529" s="3" t="str">
        <f aca="false">Raw_Data!C529</f>
        <v>divorced</v>
      </c>
      <c r="E529" s="3" t="str">
        <f aca="false">Raw_Data!D529</f>
        <v>secondary</v>
      </c>
      <c r="F529" s="3" t="str">
        <f aca="false">Raw_Data!E529</f>
        <v>no</v>
      </c>
      <c r="G529" s="3" t="n">
        <f aca="false">Raw_Data!F529</f>
        <v>66</v>
      </c>
      <c r="H529" s="3" t="str">
        <f aca="false">Raw_Data!G529</f>
        <v>no</v>
      </c>
      <c r="I529" s="3" t="str">
        <f aca="false">Raw_Data!H529</f>
        <v>no</v>
      </c>
      <c r="J529" s="2" t="n">
        <f aca="false">IF(F529="yes",1,0)</f>
        <v>0</v>
      </c>
      <c r="K529" s="2" t="n">
        <f aca="false">IF(H529="yes",1,0)</f>
        <v>0</v>
      </c>
      <c r="L529" s="2" t="n">
        <f aca="false">IF(I529="yes",1,0)</f>
        <v>0</v>
      </c>
      <c r="M529" s="2" t="n">
        <f aca="false">IF(G529&lt;0,1,0)</f>
        <v>0</v>
      </c>
      <c r="N529" s="2" t="str">
        <f aca="false">_xlfn.IFS(B529&lt;30,"Under 30",B529&lt;40,"30-39",B529&lt;50,"40-49",B529&lt;60,"50-59",TRUE(),"60+")</f>
        <v>40-49</v>
      </c>
      <c r="O529" s="2" t="str">
        <f aca="false">_xlfn.IFS(G529&lt;0,"1 Negative",G529=0,"2 Zero",G529&lt;=500,"3 1-500",G529&lt;=2000,"4 501-2000",TRUE(),"5 Above 2000")</f>
        <v>3 1-500</v>
      </c>
      <c r="P529" s="2" t="n">
        <f aca="false">Lookups!$B$2*M529+Lookups!$B$3*L529</f>
        <v>0</v>
      </c>
      <c r="Q529" s="2" t="str">
        <f aca="false">INDEX(Lookups!$E$2:$E$5,MATCH(P529,Lookups!$D$2:$D$5,0))</f>
        <v>Low</v>
      </c>
    </row>
    <row r="530" customFormat="false" ht="15" hidden="false" customHeight="false" outlineLevel="0" collapsed="false">
      <c r="A530" s="3" t="n">
        <v>529</v>
      </c>
      <c r="B530" s="3" t="n">
        <f aca="false">Raw_Data!A530</f>
        <v>43</v>
      </c>
      <c r="C530" s="3" t="str">
        <f aca="false">SUBSTITUTE(Raw_Data!B530,".","")</f>
        <v>services</v>
      </c>
      <c r="D530" s="3" t="str">
        <f aca="false">Raw_Data!C530</f>
        <v>married</v>
      </c>
      <c r="E530" s="3" t="str">
        <f aca="false">Raw_Data!D530</f>
        <v>primary</v>
      </c>
      <c r="F530" s="3" t="str">
        <f aca="false">Raw_Data!E530</f>
        <v>no</v>
      </c>
      <c r="G530" s="3" t="n">
        <f aca="false">Raw_Data!F530</f>
        <v>2567</v>
      </c>
      <c r="H530" s="3" t="str">
        <f aca="false">Raw_Data!G530</f>
        <v>yes</v>
      </c>
      <c r="I530" s="3" t="str">
        <f aca="false">Raw_Data!H530</f>
        <v>no</v>
      </c>
      <c r="J530" s="2" t="n">
        <f aca="false">IF(F530="yes",1,0)</f>
        <v>0</v>
      </c>
      <c r="K530" s="2" t="n">
        <f aca="false">IF(H530="yes",1,0)</f>
        <v>1</v>
      </c>
      <c r="L530" s="2" t="n">
        <f aca="false">IF(I530="yes",1,0)</f>
        <v>0</v>
      </c>
      <c r="M530" s="2" t="n">
        <f aca="false">IF(G530&lt;0,1,0)</f>
        <v>0</v>
      </c>
      <c r="N530" s="2" t="str">
        <f aca="false">_xlfn.IFS(B530&lt;30,"Under 30",B530&lt;40,"30-39",B530&lt;50,"40-49",B530&lt;60,"50-59",TRUE(),"60+")</f>
        <v>40-49</v>
      </c>
      <c r="O530" s="2" t="str">
        <f aca="false">_xlfn.IFS(G530&lt;0,"1 Negative",G530=0,"2 Zero",G530&lt;=500,"3 1-500",G530&lt;=2000,"4 501-2000",TRUE(),"5 Above 2000")</f>
        <v>5 Above 2000</v>
      </c>
      <c r="P530" s="2" t="n">
        <f aca="false">Lookups!$B$2*M530+Lookups!$B$3*L530</f>
        <v>0</v>
      </c>
      <c r="Q530" s="2" t="str">
        <f aca="false">INDEX(Lookups!$E$2:$E$5,MATCH(P530,Lookups!$D$2:$D$5,0))</f>
        <v>Low</v>
      </c>
    </row>
    <row r="531" customFormat="false" ht="15" hidden="false" customHeight="false" outlineLevel="0" collapsed="false">
      <c r="A531" s="3" t="n">
        <v>530</v>
      </c>
      <c r="B531" s="3" t="n">
        <f aca="false">Raw_Data!A531</f>
        <v>40</v>
      </c>
      <c r="C531" s="3" t="str">
        <f aca="false">SUBSTITUTE(Raw_Data!B531,".","")</f>
        <v>management</v>
      </c>
      <c r="D531" s="3" t="str">
        <f aca="false">Raw_Data!C531</f>
        <v>married</v>
      </c>
      <c r="E531" s="3" t="str">
        <f aca="false">Raw_Data!D531</f>
        <v>tertiary</v>
      </c>
      <c r="F531" s="3" t="str">
        <f aca="false">Raw_Data!E531</f>
        <v>no</v>
      </c>
      <c r="G531" s="3" t="n">
        <f aca="false">Raw_Data!F531</f>
        <v>1584</v>
      </c>
      <c r="H531" s="3" t="str">
        <f aca="false">Raw_Data!G531</f>
        <v>yes</v>
      </c>
      <c r="I531" s="3" t="str">
        <f aca="false">Raw_Data!H531</f>
        <v>no</v>
      </c>
      <c r="J531" s="2" t="n">
        <f aca="false">IF(F531="yes",1,0)</f>
        <v>0</v>
      </c>
      <c r="K531" s="2" t="n">
        <f aca="false">IF(H531="yes",1,0)</f>
        <v>1</v>
      </c>
      <c r="L531" s="2" t="n">
        <f aca="false">IF(I531="yes",1,0)</f>
        <v>0</v>
      </c>
      <c r="M531" s="2" t="n">
        <f aca="false">IF(G531&lt;0,1,0)</f>
        <v>0</v>
      </c>
      <c r="N531" s="2" t="str">
        <f aca="false">_xlfn.IFS(B531&lt;30,"Under 30",B531&lt;40,"30-39",B531&lt;50,"40-49",B531&lt;60,"50-59",TRUE(),"60+")</f>
        <v>40-49</v>
      </c>
      <c r="O531" s="2" t="str">
        <f aca="false">_xlfn.IFS(G531&lt;0,"1 Negative",G531=0,"2 Zero",G531&lt;=500,"3 1-500",G531&lt;=2000,"4 501-2000",TRUE(),"5 Above 2000")</f>
        <v>4 501-2000</v>
      </c>
      <c r="P531" s="2" t="n">
        <f aca="false">Lookups!$B$2*M531+Lookups!$B$3*L531</f>
        <v>0</v>
      </c>
      <c r="Q531" s="2" t="str">
        <f aca="false">INDEX(Lookups!$E$2:$E$5,MATCH(P531,Lookups!$D$2:$D$5,0))</f>
        <v>Low</v>
      </c>
    </row>
    <row r="532" customFormat="false" ht="15" hidden="false" customHeight="false" outlineLevel="0" collapsed="false">
      <c r="A532" s="3" t="n">
        <v>531</v>
      </c>
      <c r="B532" s="3" t="n">
        <f aca="false">Raw_Data!A532</f>
        <v>32</v>
      </c>
      <c r="C532" s="3" t="str">
        <f aca="false">SUBSTITUTE(Raw_Data!B532,".","")</f>
        <v>services</v>
      </c>
      <c r="D532" s="3" t="str">
        <f aca="false">Raw_Data!C532</f>
        <v>single</v>
      </c>
      <c r="E532" s="3" t="str">
        <f aca="false">Raw_Data!D532</f>
        <v>secondary</v>
      </c>
      <c r="F532" s="3" t="str">
        <f aca="false">Raw_Data!E532</f>
        <v>no</v>
      </c>
      <c r="G532" s="3" t="n">
        <f aca="false">Raw_Data!F532</f>
        <v>182</v>
      </c>
      <c r="H532" s="3" t="str">
        <f aca="false">Raw_Data!G532</f>
        <v>yes</v>
      </c>
      <c r="I532" s="3" t="str">
        <f aca="false">Raw_Data!H532</f>
        <v>no</v>
      </c>
      <c r="J532" s="2" t="n">
        <f aca="false">IF(F532="yes",1,0)</f>
        <v>0</v>
      </c>
      <c r="K532" s="2" t="n">
        <f aca="false">IF(H532="yes",1,0)</f>
        <v>1</v>
      </c>
      <c r="L532" s="2" t="n">
        <f aca="false">IF(I532="yes",1,0)</f>
        <v>0</v>
      </c>
      <c r="M532" s="2" t="n">
        <f aca="false">IF(G532&lt;0,1,0)</f>
        <v>0</v>
      </c>
      <c r="N532" s="2" t="str">
        <f aca="false">_xlfn.IFS(B532&lt;30,"Under 30",B532&lt;40,"30-39",B532&lt;50,"40-49",B532&lt;60,"50-59",TRUE(),"60+")</f>
        <v>30-39</v>
      </c>
      <c r="O532" s="2" t="str">
        <f aca="false">_xlfn.IFS(G532&lt;0,"1 Negative",G532=0,"2 Zero",G532&lt;=500,"3 1-500",G532&lt;=2000,"4 501-2000",TRUE(),"5 Above 2000")</f>
        <v>3 1-500</v>
      </c>
      <c r="P532" s="2" t="n">
        <f aca="false">Lookups!$B$2*M532+Lookups!$B$3*L532</f>
        <v>0</v>
      </c>
      <c r="Q532" s="2" t="str">
        <f aca="false">INDEX(Lookups!$E$2:$E$5,MATCH(P532,Lookups!$D$2:$D$5,0))</f>
        <v>Low</v>
      </c>
    </row>
    <row r="533" customFormat="false" ht="15" hidden="false" customHeight="false" outlineLevel="0" collapsed="false">
      <c r="A533" s="3" t="n">
        <v>532</v>
      </c>
      <c r="B533" s="3" t="n">
        <f aca="false">Raw_Data!A533</f>
        <v>58</v>
      </c>
      <c r="C533" s="3" t="str">
        <f aca="false">SUBSTITUTE(Raw_Data!B533,".","")</f>
        <v>management</v>
      </c>
      <c r="D533" s="3" t="str">
        <f aca="false">Raw_Data!C533</f>
        <v>married</v>
      </c>
      <c r="E533" s="3" t="str">
        <f aca="false">Raw_Data!D533</f>
        <v>primary</v>
      </c>
      <c r="F533" s="3" t="str">
        <f aca="false">Raw_Data!E533</f>
        <v>no</v>
      </c>
      <c r="G533" s="3" t="n">
        <f aca="false">Raw_Data!F533</f>
        <v>76</v>
      </c>
      <c r="H533" s="3" t="str">
        <f aca="false">Raw_Data!G533</f>
        <v>yes</v>
      </c>
      <c r="I533" s="3" t="str">
        <f aca="false">Raw_Data!H533</f>
        <v>no</v>
      </c>
      <c r="J533" s="2" t="n">
        <f aca="false">IF(F533="yes",1,0)</f>
        <v>0</v>
      </c>
      <c r="K533" s="2" t="n">
        <f aca="false">IF(H533="yes",1,0)</f>
        <v>1</v>
      </c>
      <c r="L533" s="2" t="n">
        <f aca="false">IF(I533="yes",1,0)</f>
        <v>0</v>
      </c>
      <c r="M533" s="2" t="n">
        <f aca="false">IF(G533&lt;0,1,0)</f>
        <v>0</v>
      </c>
      <c r="N533" s="2" t="str">
        <f aca="false">_xlfn.IFS(B533&lt;30,"Under 30",B533&lt;40,"30-39",B533&lt;50,"40-49",B533&lt;60,"50-59",TRUE(),"60+")</f>
        <v>50-59</v>
      </c>
      <c r="O533" s="2" t="str">
        <f aca="false">_xlfn.IFS(G533&lt;0,"1 Negative",G533=0,"2 Zero",G533&lt;=500,"3 1-500",G533&lt;=2000,"4 501-2000",TRUE(),"5 Above 2000")</f>
        <v>3 1-500</v>
      </c>
      <c r="P533" s="2" t="n">
        <f aca="false">Lookups!$B$2*M533+Lookups!$B$3*L533</f>
        <v>0</v>
      </c>
      <c r="Q533" s="2" t="str">
        <f aca="false">INDEX(Lookups!$E$2:$E$5,MATCH(P533,Lookups!$D$2:$D$5,0))</f>
        <v>Low</v>
      </c>
    </row>
    <row r="534" customFormat="false" ht="15" hidden="false" customHeight="false" outlineLevel="0" collapsed="false">
      <c r="A534" s="3" t="n">
        <v>533</v>
      </c>
      <c r="B534" s="3" t="n">
        <f aca="false">Raw_Data!A534</f>
        <v>34</v>
      </c>
      <c r="C534" s="3" t="str">
        <f aca="false">SUBSTITUTE(Raw_Data!B534,".","")</f>
        <v>admin</v>
      </c>
      <c r="D534" s="3" t="str">
        <f aca="false">Raw_Data!C534</f>
        <v>single</v>
      </c>
      <c r="E534" s="3" t="str">
        <f aca="false">Raw_Data!D534</f>
        <v>secondary</v>
      </c>
      <c r="F534" s="3" t="str">
        <f aca="false">Raw_Data!E534</f>
        <v>no</v>
      </c>
      <c r="G534" s="3" t="n">
        <f aca="false">Raw_Data!F534</f>
        <v>663</v>
      </c>
      <c r="H534" s="3" t="str">
        <f aca="false">Raw_Data!G534</f>
        <v>yes</v>
      </c>
      <c r="I534" s="3" t="str">
        <f aca="false">Raw_Data!H534</f>
        <v>no</v>
      </c>
      <c r="J534" s="2" t="n">
        <f aca="false">IF(F534="yes",1,0)</f>
        <v>0</v>
      </c>
      <c r="K534" s="2" t="n">
        <f aca="false">IF(H534="yes",1,0)</f>
        <v>1</v>
      </c>
      <c r="L534" s="2" t="n">
        <f aca="false">IF(I534="yes",1,0)</f>
        <v>0</v>
      </c>
      <c r="M534" s="2" t="n">
        <f aca="false">IF(G534&lt;0,1,0)</f>
        <v>0</v>
      </c>
      <c r="N534" s="2" t="str">
        <f aca="false">_xlfn.IFS(B534&lt;30,"Under 30",B534&lt;40,"30-39",B534&lt;50,"40-49",B534&lt;60,"50-59",TRUE(),"60+")</f>
        <v>30-39</v>
      </c>
      <c r="O534" s="2" t="str">
        <f aca="false">_xlfn.IFS(G534&lt;0,"1 Negative",G534=0,"2 Zero",G534&lt;=500,"3 1-500",G534&lt;=2000,"4 501-2000",TRUE(),"5 Above 2000")</f>
        <v>4 501-2000</v>
      </c>
      <c r="P534" s="2" t="n">
        <f aca="false">Lookups!$B$2*M534+Lookups!$B$3*L534</f>
        <v>0</v>
      </c>
      <c r="Q534" s="2" t="str">
        <f aca="false">INDEX(Lookups!$E$2:$E$5,MATCH(P534,Lookups!$D$2:$D$5,0))</f>
        <v>Low</v>
      </c>
    </row>
    <row r="535" customFormat="false" ht="15" hidden="false" customHeight="false" outlineLevel="0" collapsed="false">
      <c r="A535" s="3" t="n">
        <v>534</v>
      </c>
      <c r="B535" s="3" t="n">
        <f aca="false">Raw_Data!A535</f>
        <v>46</v>
      </c>
      <c r="C535" s="3" t="str">
        <f aca="false">SUBSTITUTE(Raw_Data!B535,".","")</f>
        <v>technician</v>
      </c>
      <c r="D535" s="3" t="str">
        <f aca="false">Raw_Data!C535</f>
        <v>divorced</v>
      </c>
      <c r="E535" s="3" t="str">
        <f aca="false">Raw_Data!D535</f>
        <v>secondary</v>
      </c>
      <c r="F535" s="3" t="str">
        <f aca="false">Raw_Data!E535</f>
        <v>no</v>
      </c>
      <c r="G535" s="3" t="n">
        <f aca="false">Raw_Data!F535</f>
        <v>3455</v>
      </c>
      <c r="H535" s="3" t="str">
        <f aca="false">Raw_Data!G535</f>
        <v>yes</v>
      </c>
      <c r="I535" s="3" t="str">
        <f aca="false">Raw_Data!H535</f>
        <v>no</v>
      </c>
      <c r="J535" s="2" t="n">
        <f aca="false">IF(F535="yes",1,0)</f>
        <v>0</v>
      </c>
      <c r="K535" s="2" t="n">
        <f aca="false">IF(H535="yes",1,0)</f>
        <v>1</v>
      </c>
      <c r="L535" s="2" t="n">
        <f aca="false">IF(I535="yes",1,0)</f>
        <v>0</v>
      </c>
      <c r="M535" s="2" t="n">
        <f aca="false">IF(G535&lt;0,1,0)</f>
        <v>0</v>
      </c>
      <c r="N535" s="2" t="str">
        <f aca="false">_xlfn.IFS(B535&lt;30,"Under 30",B535&lt;40,"30-39",B535&lt;50,"40-49",B535&lt;60,"50-59",TRUE(),"60+")</f>
        <v>40-49</v>
      </c>
      <c r="O535" s="2" t="str">
        <f aca="false">_xlfn.IFS(G535&lt;0,"1 Negative",G535=0,"2 Zero",G535&lt;=500,"3 1-500",G535&lt;=2000,"4 501-2000",TRUE(),"5 Above 2000")</f>
        <v>5 Above 2000</v>
      </c>
      <c r="P535" s="2" t="n">
        <f aca="false">Lookups!$B$2*M535+Lookups!$B$3*L535</f>
        <v>0</v>
      </c>
      <c r="Q535" s="2" t="str">
        <f aca="false">INDEX(Lookups!$E$2:$E$5,MATCH(P535,Lookups!$D$2:$D$5,0))</f>
        <v>Low</v>
      </c>
    </row>
    <row r="536" customFormat="false" ht="15" hidden="false" customHeight="false" outlineLevel="0" collapsed="false">
      <c r="A536" s="3" t="n">
        <v>535</v>
      </c>
      <c r="B536" s="3" t="n">
        <f aca="false">Raw_Data!A536</f>
        <v>29</v>
      </c>
      <c r="C536" s="3" t="str">
        <f aca="false">SUBSTITUTE(Raw_Data!B536,".","")</f>
        <v>blue-collar</v>
      </c>
      <c r="D536" s="3" t="str">
        <f aca="false">Raw_Data!C536</f>
        <v>married</v>
      </c>
      <c r="E536" s="3" t="str">
        <f aca="false">Raw_Data!D536</f>
        <v>secondary</v>
      </c>
      <c r="F536" s="3" t="str">
        <f aca="false">Raw_Data!E536</f>
        <v>no</v>
      </c>
      <c r="G536" s="3" t="n">
        <f aca="false">Raw_Data!F536</f>
        <v>15</v>
      </c>
      <c r="H536" s="3" t="str">
        <f aca="false">Raw_Data!G536</f>
        <v>no</v>
      </c>
      <c r="I536" s="3" t="str">
        <f aca="false">Raw_Data!H536</f>
        <v>no</v>
      </c>
      <c r="J536" s="2" t="n">
        <f aca="false">IF(F536="yes",1,0)</f>
        <v>0</v>
      </c>
      <c r="K536" s="2" t="n">
        <f aca="false">IF(H536="yes",1,0)</f>
        <v>0</v>
      </c>
      <c r="L536" s="2" t="n">
        <f aca="false">IF(I536="yes",1,0)</f>
        <v>0</v>
      </c>
      <c r="M536" s="2" t="n">
        <f aca="false">IF(G536&lt;0,1,0)</f>
        <v>0</v>
      </c>
      <c r="N536" s="2" t="str">
        <f aca="false">_xlfn.IFS(B536&lt;30,"Under 30",B536&lt;40,"30-39",B536&lt;50,"40-49",B536&lt;60,"50-59",TRUE(),"60+")</f>
        <v>Under 30</v>
      </c>
      <c r="O536" s="2" t="str">
        <f aca="false">_xlfn.IFS(G536&lt;0,"1 Negative",G536=0,"2 Zero",G536&lt;=500,"3 1-500",G536&lt;=2000,"4 501-2000",TRUE(),"5 Above 2000")</f>
        <v>3 1-500</v>
      </c>
      <c r="P536" s="2" t="n">
        <f aca="false">Lookups!$B$2*M536+Lookups!$B$3*L536</f>
        <v>0</v>
      </c>
      <c r="Q536" s="2" t="str">
        <f aca="false">INDEX(Lookups!$E$2:$E$5,MATCH(P536,Lookups!$D$2:$D$5,0))</f>
        <v>Low</v>
      </c>
    </row>
    <row r="537" customFormat="false" ht="15" hidden="false" customHeight="false" outlineLevel="0" collapsed="false">
      <c r="A537" s="3" t="n">
        <v>536</v>
      </c>
      <c r="B537" s="3" t="n">
        <f aca="false">Raw_Data!A537</f>
        <v>52</v>
      </c>
      <c r="C537" s="3" t="str">
        <f aca="false">SUBSTITUTE(Raw_Data!B537,".","")</f>
        <v>blue-collar</v>
      </c>
      <c r="D537" s="3" t="str">
        <f aca="false">Raw_Data!C537</f>
        <v>married</v>
      </c>
      <c r="E537" s="3" t="str">
        <f aca="false">Raw_Data!D537</f>
        <v>primary</v>
      </c>
      <c r="F537" s="3" t="str">
        <f aca="false">Raw_Data!E537</f>
        <v>no</v>
      </c>
      <c r="G537" s="3" t="n">
        <f aca="false">Raw_Data!F537</f>
        <v>1054</v>
      </c>
      <c r="H537" s="3" t="str">
        <f aca="false">Raw_Data!G537</f>
        <v>no</v>
      </c>
      <c r="I537" s="3" t="str">
        <f aca="false">Raw_Data!H537</f>
        <v>no</v>
      </c>
      <c r="J537" s="2" t="n">
        <f aca="false">IF(F537="yes",1,0)</f>
        <v>0</v>
      </c>
      <c r="K537" s="2" t="n">
        <f aca="false">IF(H537="yes",1,0)</f>
        <v>0</v>
      </c>
      <c r="L537" s="2" t="n">
        <f aca="false">IF(I537="yes",1,0)</f>
        <v>0</v>
      </c>
      <c r="M537" s="2" t="n">
        <f aca="false">IF(G537&lt;0,1,0)</f>
        <v>0</v>
      </c>
      <c r="N537" s="2" t="str">
        <f aca="false">_xlfn.IFS(B537&lt;30,"Under 30",B537&lt;40,"30-39",B537&lt;50,"40-49",B537&lt;60,"50-59",TRUE(),"60+")</f>
        <v>50-59</v>
      </c>
      <c r="O537" s="2" t="str">
        <f aca="false">_xlfn.IFS(G537&lt;0,"1 Negative",G537=0,"2 Zero",G537&lt;=500,"3 1-500",G537&lt;=2000,"4 501-2000",TRUE(),"5 Above 2000")</f>
        <v>4 501-2000</v>
      </c>
      <c r="P537" s="2" t="n">
        <f aca="false">Lookups!$B$2*M537+Lookups!$B$3*L537</f>
        <v>0</v>
      </c>
      <c r="Q537" s="2" t="str">
        <f aca="false">INDEX(Lookups!$E$2:$E$5,MATCH(P537,Lookups!$D$2:$D$5,0))</f>
        <v>Low</v>
      </c>
    </row>
    <row r="538" customFormat="false" ht="15" hidden="false" customHeight="false" outlineLevel="0" collapsed="false">
      <c r="A538" s="3" t="n">
        <v>537</v>
      </c>
      <c r="B538" s="3" t="n">
        <f aca="false">Raw_Data!A538</f>
        <v>45</v>
      </c>
      <c r="C538" s="3" t="str">
        <f aca="false">SUBSTITUTE(Raw_Data!B538,".","")</f>
        <v>management</v>
      </c>
      <c r="D538" s="3" t="str">
        <f aca="false">Raw_Data!C538</f>
        <v>married</v>
      </c>
      <c r="E538" s="3" t="str">
        <f aca="false">Raw_Data!D538</f>
        <v>tertiary</v>
      </c>
      <c r="F538" s="3" t="str">
        <f aca="false">Raw_Data!E538</f>
        <v>no</v>
      </c>
      <c r="G538" s="3" t="n">
        <f aca="false">Raw_Data!F538</f>
        <v>1529</v>
      </c>
      <c r="H538" s="3" t="str">
        <f aca="false">Raw_Data!G538</f>
        <v>no</v>
      </c>
      <c r="I538" s="3" t="str">
        <f aca="false">Raw_Data!H538</f>
        <v>no</v>
      </c>
      <c r="J538" s="2" t="n">
        <f aca="false">IF(F538="yes",1,0)</f>
        <v>0</v>
      </c>
      <c r="K538" s="2" t="n">
        <f aca="false">IF(H538="yes",1,0)</f>
        <v>0</v>
      </c>
      <c r="L538" s="2" t="n">
        <f aca="false">IF(I538="yes",1,0)</f>
        <v>0</v>
      </c>
      <c r="M538" s="2" t="n">
        <f aca="false">IF(G538&lt;0,1,0)</f>
        <v>0</v>
      </c>
      <c r="N538" s="2" t="str">
        <f aca="false">_xlfn.IFS(B538&lt;30,"Under 30",B538&lt;40,"30-39",B538&lt;50,"40-49",B538&lt;60,"50-59",TRUE(),"60+")</f>
        <v>40-49</v>
      </c>
      <c r="O538" s="2" t="str">
        <f aca="false">_xlfn.IFS(G538&lt;0,"1 Negative",G538=0,"2 Zero",G538&lt;=500,"3 1-500",G538&lt;=2000,"4 501-2000",TRUE(),"5 Above 2000")</f>
        <v>4 501-2000</v>
      </c>
      <c r="P538" s="2" t="n">
        <f aca="false">Lookups!$B$2*M538+Lookups!$B$3*L538</f>
        <v>0</v>
      </c>
      <c r="Q538" s="2" t="str">
        <f aca="false">INDEX(Lookups!$E$2:$E$5,MATCH(P538,Lookups!$D$2:$D$5,0))</f>
        <v>Low</v>
      </c>
    </row>
    <row r="539" customFormat="false" ht="15" hidden="false" customHeight="false" outlineLevel="0" collapsed="false">
      <c r="A539" s="3" t="n">
        <v>538</v>
      </c>
      <c r="B539" s="3" t="n">
        <f aca="false">Raw_Data!A539</f>
        <v>26</v>
      </c>
      <c r="C539" s="3" t="str">
        <f aca="false">SUBSTITUTE(Raw_Data!B539,".","")</f>
        <v>management</v>
      </c>
      <c r="D539" s="3" t="str">
        <f aca="false">Raw_Data!C539</f>
        <v>single</v>
      </c>
      <c r="E539" s="3" t="str">
        <f aca="false">Raw_Data!D539</f>
        <v>secondary</v>
      </c>
      <c r="F539" s="3" t="str">
        <f aca="false">Raw_Data!E539</f>
        <v>no</v>
      </c>
      <c r="G539" s="3" t="n">
        <f aca="false">Raw_Data!F539</f>
        <v>63</v>
      </c>
      <c r="H539" s="3" t="str">
        <f aca="false">Raw_Data!G539</f>
        <v>no</v>
      </c>
      <c r="I539" s="3" t="str">
        <f aca="false">Raw_Data!H539</f>
        <v>no</v>
      </c>
      <c r="J539" s="2" t="n">
        <f aca="false">IF(F539="yes",1,0)</f>
        <v>0</v>
      </c>
      <c r="K539" s="2" t="n">
        <f aca="false">IF(H539="yes",1,0)</f>
        <v>0</v>
      </c>
      <c r="L539" s="2" t="n">
        <f aca="false">IF(I539="yes",1,0)</f>
        <v>0</v>
      </c>
      <c r="M539" s="2" t="n">
        <f aca="false">IF(G539&lt;0,1,0)</f>
        <v>0</v>
      </c>
      <c r="N539" s="2" t="str">
        <f aca="false">_xlfn.IFS(B539&lt;30,"Under 30",B539&lt;40,"30-39",B539&lt;50,"40-49",B539&lt;60,"50-59",TRUE(),"60+")</f>
        <v>Under 30</v>
      </c>
      <c r="O539" s="2" t="str">
        <f aca="false">_xlfn.IFS(G539&lt;0,"1 Negative",G539=0,"2 Zero",G539&lt;=500,"3 1-500",G539&lt;=2000,"4 501-2000",TRUE(),"5 Above 2000")</f>
        <v>3 1-500</v>
      </c>
      <c r="P539" s="2" t="n">
        <f aca="false">Lookups!$B$2*M539+Lookups!$B$3*L539</f>
        <v>0</v>
      </c>
      <c r="Q539" s="2" t="str">
        <f aca="false">INDEX(Lookups!$E$2:$E$5,MATCH(P539,Lookups!$D$2:$D$5,0))</f>
        <v>Low</v>
      </c>
    </row>
    <row r="540" customFormat="false" ht="15" hidden="false" customHeight="false" outlineLevel="0" collapsed="false">
      <c r="A540" s="3" t="n">
        <v>539</v>
      </c>
      <c r="B540" s="3" t="n">
        <f aca="false">Raw_Data!A540</f>
        <v>40</v>
      </c>
      <c r="C540" s="3" t="str">
        <f aca="false">SUBSTITUTE(Raw_Data!B540,".","")</f>
        <v>technician</v>
      </c>
      <c r="D540" s="3" t="str">
        <f aca="false">Raw_Data!C540</f>
        <v>married</v>
      </c>
      <c r="E540" s="3" t="str">
        <f aca="false">Raw_Data!D540</f>
        <v>tertiary</v>
      </c>
      <c r="F540" s="3" t="str">
        <f aca="false">Raw_Data!E540</f>
        <v>no</v>
      </c>
      <c r="G540" s="3" t="n">
        <f aca="false">Raw_Data!F540</f>
        <v>0</v>
      </c>
      <c r="H540" s="3" t="str">
        <f aca="false">Raw_Data!G540</f>
        <v>no</v>
      </c>
      <c r="I540" s="3" t="str">
        <f aca="false">Raw_Data!H540</f>
        <v>no</v>
      </c>
      <c r="J540" s="2" t="n">
        <f aca="false">IF(F540="yes",1,0)</f>
        <v>0</v>
      </c>
      <c r="K540" s="2" t="n">
        <f aca="false">IF(H540="yes",1,0)</f>
        <v>0</v>
      </c>
      <c r="L540" s="2" t="n">
        <f aca="false">IF(I540="yes",1,0)</f>
        <v>0</v>
      </c>
      <c r="M540" s="2" t="n">
        <f aca="false">IF(G540&lt;0,1,0)</f>
        <v>0</v>
      </c>
      <c r="N540" s="2" t="str">
        <f aca="false">_xlfn.IFS(B540&lt;30,"Under 30",B540&lt;40,"30-39",B540&lt;50,"40-49",B540&lt;60,"50-59",TRUE(),"60+")</f>
        <v>40-49</v>
      </c>
      <c r="O540" s="2" t="str">
        <f aca="false">_xlfn.IFS(G540&lt;0,"1 Negative",G540=0,"2 Zero",G540&lt;=500,"3 1-500",G540&lt;=2000,"4 501-2000",TRUE(),"5 Above 2000")</f>
        <v>2 Zero</v>
      </c>
      <c r="P540" s="2" t="n">
        <f aca="false">Lookups!$B$2*M540+Lookups!$B$3*L540</f>
        <v>0</v>
      </c>
      <c r="Q540" s="2" t="str">
        <f aca="false">INDEX(Lookups!$E$2:$E$5,MATCH(P540,Lookups!$D$2:$D$5,0))</f>
        <v>Low</v>
      </c>
    </row>
    <row r="541" customFormat="false" ht="15" hidden="false" customHeight="false" outlineLevel="0" collapsed="false">
      <c r="A541" s="3" t="n">
        <v>540</v>
      </c>
      <c r="B541" s="3" t="n">
        <f aca="false">Raw_Data!A541</f>
        <v>41</v>
      </c>
      <c r="C541" s="3" t="str">
        <f aca="false">SUBSTITUTE(Raw_Data!B541,".","")</f>
        <v>admin</v>
      </c>
      <c r="D541" s="3" t="str">
        <f aca="false">Raw_Data!C541</f>
        <v>married</v>
      </c>
      <c r="E541" s="3" t="str">
        <f aca="false">Raw_Data!D541</f>
        <v>secondary</v>
      </c>
      <c r="F541" s="3" t="str">
        <f aca="false">Raw_Data!E541</f>
        <v>no</v>
      </c>
      <c r="G541" s="3" t="n">
        <f aca="false">Raw_Data!F541</f>
        <v>920</v>
      </c>
      <c r="H541" s="3" t="str">
        <f aca="false">Raw_Data!G541</f>
        <v>yes</v>
      </c>
      <c r="I541" s="3" t="str">
        <f aca="false">Raw_Data!H541</f>
        <v>yes</v>
      </c>
      <c r="J541" s="2" t="n">
        <f aca="false">IF(F541="yes",1,0)</f>
        <v>0</v>
      </c>
      <c r="K541" s="2" t="n">
        <f aca="false">IF(H541="yes",1,0)</f>
        <v>1</v>
      </c>
      <c r="L541" s="2" t="n">
        <f aca="false">IF(I541="yes",1,0)</f>
        <v>1</v>
      </c>
      <c r="M541" s="2" t="n">
        <f aca="false">IF(G541&lt;0,1,0)</f>
        <v>0</v>
      </c>
      <c r="N541" s="2" t="str">
        <f aca="false">_xlfn.IFS(B541&lt;30,"Under 30",B541&lt;40,"30-39",B541&lt;50,"40-49",B541&lt;60,"50-59",TRUE(),"60+")</f>
        <v>40-49</v>
      </c>
      <c r="O541" s="2" t="str">
        <f aca="false">_xlfn.IFS(G541&lt;0,"1 Negative",G541=0,"2 Zero",G541&lt;=500,"3 1-500",G541&lt;=2000,"4 501-2000",TRUE(),"5 Above 2000")</f>
        <v>4 501-2000</v>
      </c>
      <c r="P541" s="2" t="n">
        <f aca="false">Lookups!$B$2*M541+Lookups!$B$3*L541</f>
        <v>1</v>
      </c>
      <c r="Q541" s="2" t="str">
        <f aca="false">INDEX(Lookups!$E$2:$E$5,MATCH(P541,Lookups!$D$2:$D$5,0))</f>
        <v>Medium</v>
      </c>
    </row>
    <row r="542" customFormat="false" ht="15" hidden="false" customHeight="false" outlineLevel="0" collapsed="false">
      <c r="A542" s="3" t="n">
        <v>541</v>
      </c>
      <c r="B542" s="3" t="n">
        <f aca="false">Raw_Data!A542</f>
        <v>47</v>
      </c>
      <c r="C542" s="3" t="str">
        <f aca="false">SUBSTITUTE(Raw_Data!B542,".","")</f>
        <v>admin</v>
      </c>
      <c r="D542" s="3" t="str">
        <f aca="false">Raw_Data!C542</f>
        <v>single</v>
      </c>
      <c r="E542" s="3" t="str">
        <f aca="false">Raw_Data!D542</f>
        <v>secondary</v>
      </c>
      <c r="F542" s="3" t="str">
        <f aca="false">Raw_Data!E542</f>
        <v>no</v>
      </c>
      <c r="G542" s="3" t="n">
        <f aca="false">Raw_Data!F542</f>
        <v>3696</v>
      </c>
      <c r="H542" s="3" t="str">
        <f aca="false">Raw_Data!G542</f>
        <v>no</v>
      </c>
      <c r="I542" s="3" t="str">
        <f aca="false">Raw_Data!H542</f>
        <v>no</v>
      </c>
      <c r="J542" s="2" t="n">
        <f aca="false">IF(F542="yes",1,0)</f>
        <v>0</v>
      </c>
      <c r="K542" s="2" t="n">
        <f aca="false">IF(H542="yes",1,0)</f>
        <v>0</v>
      </c>
      <c r="L542" s="2" t="n">
        <f aca="false">IF(I542="yes",1,0)</f>
        <v>0</v>
      </c>
      <c r="M542" s="2" t="n">
        <f aca="false">IF(G542&lt;0,1,0)</f>
        <v>0</v>
      </c>
      <c r="N542" s="2" t="str">
        <f aca="false">_xlfn.IFS(B542&lt;30,"Under 30",B542&lt;40,"30-39",B542&lt;50,"40-49",B542&lt;60,"50-59",TRUE(),"60+")</f>
        <v>40-49</v>
      </c>
      <c r="O542" s="2" t="str">
        <f aca="false">_xlfn.IFS(G542&lt;0,"1 Negative",G542=0,"2 Zero",G542&lt;=500,"3 1-500",G542&lt;=2000,"4 501-2000",TRUE(),"5 Above 2000")</f>
        <v>5 Above 2000</v>
      </c>
      <c r="P542" s="2" t="n">
        <f aca="false">Lookups!$B$2*M542+Lookups!$B$3*L542</f>
        <v>0</v>
      </c>
      <c r="Q542" s="2" t="str">
        <f aca="false">INDEX(Lookups!$E$2:$E$5,MATCH(P542,Lookups!$D$2:$D$5,0))</f>
        <v>Low</v>
      </c>
    </row>
    <row r="543" customFormat="false" ht="15" hidden="false" customHeight="false" outlineLevel="0" collapsed="false">
      <c r="A543" s="3" t="n">
        <v>542</v>
      </c>
      <c r="B543" s="3" t="n">
        <f aca="false">Raw_Data!A543</f>
        <v>27</v>
      </c>
      <c r="C543" s="3" t="str">
        <f aca="false">SUBSTITUTE(Raw_Data!B543,".","")</f>
        <v>technician</v>
      </c>
      <c r="D543" s="3" t="str">
        <f aca="false">Raw_Data!C543</f>
        <v>single</v>
      </c>
      <c r="E543" s="3" t="str">
        <f aca="false">Raw_Data!D543</f>
        <v>unknown</v>
      </c>
      <c r="F543" s="3" t="str">
        <f aca="false">Raw_Data!E543</f>
        <v>no</v>
      </c>
      <c r="G543" s="3" t="n">
        <f aca="false">Raw_Data!F543</f>
        <v>59</v>
      </c>
      <c r="H543" s="3" t="str">
        <f aca="false">Raw_Data!G543</f>
        <v>no</v>
      </c>
      <c r="I543" s="3" t="str">
        <f aca="false">Raw_Data!H543</f>
        <v>no</v>
      </c>
      <c r="J543" s="2" t="n">
        <f aca="false">IF(F543="yes",1,0)</f>
        <v>0</v>
      </c>
      <c r="K543" s="2" t="n">
        <f aca="false">IF(H543="yes",1,0)</f>
        <v>0</v>
      </c>
      <c r="L543" s="2" t="n">
        <f aca="false">IF(I543="yes",1,0)</f>
        <v>0</v>
      </c>
      <c r="M543" s="2" t="n">
        <f aca="false">IF(G543&lt;0,1,0)</f>
        <v>0</v>
      </c>
      <c r="N543" s="2" t="str">
        <f aca="false">_xlfn.IFS(B543&lt;30,"Under 30",B543&lt;40,"30-39",B543&lt;50,"40-49",B543&lt;60,"50-59",TRUE(),"60+")</f>
        <v>Under 30</v>
      </c>
      <c r="O543" s="2" t="str">
        <f aca="false">_xlfn.IFS(G543&lt;0,"1 Negative",G543=0,"2 Zero",G543&lt;=500,"3 1-500",G543&lt;=2000,"4 501-2000",TRUE(),"5 Above 2000")</f>
        <v>3 1-500</v>
      </c>
      <c r="P543" s="2" t="n">
        <f aca="false">Lookups!$B$2*M543+Lookups!$B$3*L543</f>
        <v>0</v>
      </c>
      <c r="Q543" s="2" t="str">
        <f aca="false">INDEX(Lookups!$E$2:$E$5,MATCH(P543,Lookups!$D$2:$D$5,0))</f>
        <v>Low</v>
      </c>
    </row>
    <row r="544" customFormat="false" ht="15" hidden="false" customHeight="false" outlineLevel="0" collapsed="false">
      <c r="A544" s="3" t="n">
        <v>543</v>
      </c>
      <c r="B544" s="3" t="n">
        <f aca="false">Raw_Data!A544</f>
        <v>27</v>
      </c>
      <c r="C544" s="3" t="str">
        <f aca="false">SUBSTITUTE(Raw_Data!B544,".","")</f>
        <v>services</v>
      </c>
      <c r="D544" s="3" t="str">
        <f aca="false">Raw_Data!C544</f>
        <v>married</v>
      </c>
      <c r="E544" s="3" t="str">
        <f aca="false">Raw_Data!D544</f>
        <v>secondary</v>
      </c>
      <c r="F544" s="3" t="str">
        <f aca="false">Raw_Data!E544</f>
        <v>no</v>
      </c>
      <c r="G544" s="3" t="n">
        <f aca="false">Raw_Data!F544</f>
        <v>0</v>
      </c>
      <c r="H544" s="3" t="str">
        <f aca="false">Raw_Data!G544</f>
        <v>yes</v>
      </c>
      <c r="I544" s="3" t="str">
        <f aca="false">Raw_Data!H544</f>
        <v>no</v>
      </c>
      <c r="J544" s="2" t="n">
        <f aca="false">IF(F544="yes",1,0)</f>
        <v>0</v>
      </c>
      <c r="K544" s="2" t="n">
        <f aca="false">IF(H544="yes",1,0)</f>
        <v>1</v>
      </c>
      <c r="L544" s="2" t="n">
        <f aca="false">IF(I544="yes",1,0)</f>
        <v>0</v>
      </c>
      <c r="M544" s="2" t="n">
        <f aca="false">IF(G544&lt;0,1,0)</f>
        <v>0</v>
      </c>
      <c r="N544" s="2" t="str">
        <f aca="false">_xlfn.IFS(B544&lt;30,"Under 30",B544&lt;40,"30-39",B544&lt;50,"40-49",B544&lt;60,"50-59",TRUE(),"60+")</f>
        <v>Under 30</v>
      </c>
      <c r="O544" s="2" t="str">
        <f aca="false">_xlfn.IFS(G544&lt;0,"1 Negative",G544=0,"2 Zero",G544&lt;=500,"3 1-500",G544&lt;=2000,"4 501-2000",TRUE(),"5 Above 2000")</f>
        <v>2 Zero</v>
      </c>
      <c r="P544" s="2" t="n">
        <f aca="false">Lookups!$B$2*M544+Lookups!$B$3*L544</f>
        <v>0</v>
      </c>
      <c r="Q544" s="2" t="str">
        <f aca="false">INDEX(Lookups!$E$2:$E$5,MATCH(P544,Lookups!$D$2:$D$5,0))</f>
        <v>Low</v>
      </c>
    </row>
    <row r="545" customFormat="false" ht="15" hidden="false" customHeight="false" outlineLevel="0" collapsed="false">
      <c r="A545" s="3" t="n">
        <v>544</v>
      </c>
      <c r="B545" s="3" t="n">
        <f aca="false">Raw_Data!A545</f>
        <v>48</v>
      </c>
      <c r="C545" s="3" t="str">
        <f aca="false">SUBSTITUTE(Raw_Data!B545,".","")</f>
        <v>blue-collar</v>
      </c>
      <c r="D545" s="3" t="str">
        <f aca="false">Raw_Data!C545</f>
        <v>married</v>
      </c>
      <c r="E545" s="3" t="str">
        <f aca="false">Raw_Data!D545</f>
        <v>secondary</v>
      </c>
      <c r="F545" s="3" t="str">
        <f aca="false">Raw_Data!E545</f>
        <v>no</v>
      </c>
      <c r="G545" s="3" t="n">
        <f aca="false">Raw_Data!F545</f>
        <v>157</v>
      </c>
      <c r="H545" s="3" t="str">
        <f aca="false">Raw_Data!G545</f>
        <v>yes</v>
      </c>
      <c r="I545" s="3" t="str">
        <f aca="false">Raw_Data!H545</f>
        <v>no</v>
      </c>
      <c r="J545" s="2" t="n">
        <f aca="false">IF(F545="yes",1,0)</f>
        <v>0</v>
      </c>
      <c r="K545" s="2" t="n">
        <f aca="false">IF(H545="yes",1,0)</f>
        <v>1</v>
      </c>
      <c r="L545" s="2" t="n">
        <f aca="false">IF(I545="yes",1,0)</f>
        <v>0</v>
      </c>
      <c r="M545" s="2" t="n">
        <f aca="false">IF(G545&lt;0,1,0)</f>
        <v>0</v>
      </c>
      <c r="N545" s="2" t="str">
        <f aca="false">_xlfn.IFS(B545&lt;30,"Under 30",B545&lt;40,"30-39",B545&lt;50,"40-49",B545&lt;60,"50-59",TRUE(),"60+")</f>
        <v>40-49</v>
      </c>
      <c r="O545" s="2" t="str">
        <f aca="false">_xlfn.IFS(G545&lt;0,"1 Negative",G545=0,"2 Zero",G545&lt;=500,"3 1-500",G545&lt;=2000,"4 501-2000",TRUE(),"5 Above 2000")</f>
        <v>3 1-500</v>
      </c>
      <c r="P545" s="2" t="n">
        <f aca="false">Lookups!$B$2*M545+Lookups!$B$3*L545</f>
        <v>0</v>
      </c>
      <c r="Q545" s="2" t="str">
        <f aca="false">INDEX(Lookups!$E$2:$E$5,MATCH(P545,Lookups!$D$2:$D$5,0))</f>
        <v>Low</v>
      </c>
    </row>
    <row r="546" customFormat="false" ht="15" hidden="false" customHeight="false" outlineLevel="0" collapsed="false">
      <c r="A546" s="3" t="n">
        <v>545</v>
      </c>
      <c r="B546" s="3" t="n">
        <f aca="false">Raw_Data!A546</f>
        <v>49</v>
      </c>
      <c r="C546" s="3" t="str">
        <f aca="false">SUBSTITUTE(Raw_Data!B546,".","")</f>
        <v>admin</v>
      </c>
      <c r="D546" s="3" t="str">
        <f aca="false">Raw_Data!C546</f>
        <v>married</v>
      </c>
      <c r="E546" s="3" t="str">
        <f aca="false">Raw_Data!D546</f>
        <v>secondary</v>
      </c>
      <c r="F546" s="3" t="str">
        <f aca="false">Raw_Data!E546</f>
        <v>no</v>
      </c>
      <c r="G546" s="3" t="n">
        <f aca="false">Raw_Data!F546</f>
        <v>2465</v>
      </c>
      <c r="H546" s="3" t="str">
        <f aca="false">Raw_Data!G546</f>
        <v>no</v>
      </c>
      <c r="I546" s="3" t="str">
        <f aca="false">Raw_Data!H546</f>
        <v>no</v>
      </c>
      <c r="J546" s="2" t="n">
        <f aca="false">IF(F546="yes",1,0)</f>
        <v>0</v>
      </c>
      <c r="K546" s="2" t="n">
        <f aca="false">IF(H546="yes",1,0)</f>
        <v>0</v>
      </c>
      <c r="L546" s="2" t="n">
        <f aca="false">IF(I546="yes",1,0)</f>
        <v>0</v>
      </c>
      <c r="M546" s="2" t="n">
        <f aca="false">IF(G546&lt;0,1,0)</f>
        <v>0</v>
      </c>
      <c r="N546" s="2" t="str">
        <f aca="false">_xlfn.IFS(B546&lt;30,"Under 30",B546&lt;40,"30-39",B546&lt;50,"40-49",B546&lt;60,"50-59",TRUE(),"60+")</f>
        <v>40-49</v>
      </c>
      <c r="O546" s="2" t="str">
        <f aca="false">_xlfn.IFS(G546&lt;0,"1 Negative",G546=0,"2 Zero",G546&lt;=500,"3 1-500",G546&lt;=2000,"4 501-2000",TRUE(),"5 Above 2000")</f>
        <v>5 Above 2000</v>
      </c>
      <c r="P546" s="2" t="n">
        <f aca="false">Lookups!$B$2*M546+Lookups!$B$3*L546</f>
        <v>0</v>
      </c>
      <c r="Q546" s="2" t="str">
        <f aca="false">INDEX(Lookups!$E$2:$E$5,MATCH(P546,Lookups!$D$2:$D$5,0))</f>
        <v>Low</v>
      </c>
    </row>
    <row r="547" customFormat="false" ht="15" hidden="false" customHeight="false" outlineLevel="0" collapsed="false">
      <c r="A547" s="3" t="n">
        <v>546</v>
      </c>
      <c r="B547" s="3" t="n">
        <f aca="false">Raw_Data!A547</f>
        <v>35</v>
      </c>
      <c r="C547" s="3" t="str">
        <f aca="false">SUBSTITUTE(Raw_Data!B547,".","")</f>
        <v>blue-collar</v>
      </c>
      <c r="D547" s="3" t="str">
        <f aca="false">Raw_Data!C547</f>
        <v>married</v>
      </c>
      <c r="E547" s="3" t="str">
        <f aca="false">Raw_Data!D547</f>
        <v>primary</v>
      </c>
      <c r="F547" s="3" t="str">
        <f aca="false">Raw_Data!E547</f>
        <v>no</v>
      </c>
      <c r="G547" s="3" t="n">
        <f aca="false">Raw_Data!F547</f>
        <v>0</v>
      </c>
      <c r="H547" s="3" t="str">
        <f aca="false">Raw_Data!G547</f>
        <v>yes</v>
      </c>
      <c r="I547" s="3" t="str">
        <f aca="false">Raw_Data!H547</f>
        <v>no</v>
      </c>
      <c r="J547" s="2" t="n">
        <f aca="false">IF(F547="yes",1,0)</f>
        <v>0</v>
      </c>
      <c r="K547" s="2" t="n">
        <f aca="false">IF(H547="yes",1,0)</f>
        <v>1</v>
      </c>
      <c r="L547" s="2" t="n">
        <f aca="false">IF(I547="yes",1,0)</f>
        <v>0</v>
      </c>
      <c r="M547" s="2" t="n">
        <f aca="false">IF(G547&lt;0,1,0)</f>
        <v>0</v>
      </c>
      <c r="N547" s="2" t="str">
        <f aca="false">_xlfn.IFS(B547&lt;30,"Under 30",B547&lt;40,"30-39",B547&lt;50,"40-49",B547&lt;60,"50-59",TRUE(),"60+")</f>
        <v>30-39</v>
      </c>
      <c r="O547" s="2" t="str">
        <f aca="false">_xlfn.IFS(G547&lt;0,"1 Negative",G547=0,"2 Zero",G547&lt;=500,"3 1-500",G547&lt;=2000,"4 501-2000",TRUE(),"5 Above 2000")</f>
        <v>2 Zero</v>
      </c>
      <c r="P547" s="2" t="n">
        <f aca="false">Lookups!$B$2*M547+Lookups!$B$3*L547</f>
        <v>0</v>
      </c>
      <c r="Q547" s="2" t="str">
        <f aca="false">INDEX(Lookups!$E$2:$E$5,MATCH(P547,Lookups!$D$2:$D$5,0))</f>
        <v>Low</v>
      </c>
    </row>
    <row r="548" customFormat="false" ht="15" hidden="false" customHeight="false" outlineLevel="0" collapsed="false">
      <c r="A548" s="3" t="n">
        <v>547</v>
      </c>
      <c r="B548" s="3" t="n">
        <f aca="false">Raw_Data!A548</f>
        <v>47</v>
      </c>
      <c r="C548" s="3" t="str">
        <f aca="false">SUBSTITUTE(Raw_Data!B548,".","")</f>
        <v>self-employed</v>
      </c>
      <c r="D548" s="3" t="str">
        <f aca="false">Raw_Data!C548</f>
        <v>married</v>
      </c>
      <c r="E548" s="3" t="str">
        <f aca="false">Raw_Data!D548</f>
        <v>secondary</v>
      </c>
      <c r="F548" s="3" t="str">
        <f aca="false">Raw_Data!E548</f>
        <v>yes</v>
      </c>
      <c r="G548" s="3" t="n">
        <f aca="false">Raw_Data!F548</f>
        <v>2</v>
      </c>
      <c r="H548" s="3" t="str">
        <f aca="false">Raw_Data!G548</f>
        <v>no</v>
      </c>
      <c r="I548" s="3" t="str">
        <f aca="false">Raw_Data!H548</f>
        <v>no</v>
      </c>
      <c r="J548" s="2" t="n">
        <f aca="false">IF(F548="yes",1,0)</f>
        <v>1</v>
      </c>
      <c r="K548" s="2" t="n">
        <f aca="false">IF(H548="yes",1,0)</f>
        <v>0</v>
      </c>
      <c r="L548" s="2" t="n">
        <f aca="false">IF(I548="yes",1,0)</f>
        <v>0</v>
      </c>
      <c r="M548" s="2" t="n">
        <f aca="false">IF(G548&lt;0,1,0)</f>
        <v>0</v>
      </c>
      <c r="N548" s="2" t="str">
        <f aca="false">_xlfn.IFS(B548&lt;30,"Under 30",B548&lt;40,"30-39",B548&lt;50,"40-49",B548&lt;60,"50-59",TRUE(),"60+")</f>
        <v>40-49</v>
      </c>
      <c r="O548" s="2" t="str">
        <f aca="false">_xlfn.IFS(G548&lt;0,"1 Negative",G548=0,"2 Zero",G548&lt;=500,"3 1-500",G548&lt;=2000,"4 501-2000",TRUE(),"5 Above 2000")</f>
        <v>3 1-500</v>
      </c>
      <c r="P548" s="2" t="n">
        <f aca="false">Lookups!$B$2*M548+Lookups!$B$3*L548</f>
        <v>0</v>
      </c>
      <c r="Q548" s="2" t="str">
        <f aca="false">INDEX(Lookups!$E$2:$E$5,MATCH(P548,Lookups!$D$2:$D$5,0))</f>
        <v>Low</v>
      </c>
    </row>
    <row r="549" customFormat="false" ht="15" hidden="false" customHeight="false" outlineLevel="0" collapsed="false">
      <c r="A549" s="3" t="n">
        <v>548</v>
      </c>
      <c r="B549" s="3" t="n">
        <f aca="false">Raw_Data!A549</f>
        <v>54</v>
      </c>
      <c r="C549" s="3" t="str">
        <f aca="false">SUBSTITUTE(Raw_Data!B549,".","")</f>
        <v>management</v>
      </c>
      <c r="D549" s="3" t="str">
        <f aca="false">Raw_Data!C549</f>
        <v>married</v>
      </c>
      <c r="E549" s="3" t="str">
        <f aca="false">Raw_Data!D549</f>
        <v>tertiary</v>
      </c>
      <c r="F549" s="3" t="str">
        <f aca="false">Raw_Data!E549</f>
        <v>no</v>
      </c>
      <c r="G549" s="3" t="n">
        <f aca="false">Raw_Data!F549</f>
        <v>0</v>
      </c>
      <c r="H549" s="3" t="str">
        <f aca="false">Raw_Data!G549</f>
        <v>no</v>
      </c>
      <c r="I549" s="3" t="str">
        <f aca="false">Raw_Data!H549</f>
        <v>no</v>
      </c>
      <c r="J549" s="2" t="n">
        <f aca="false">IF(F549="yes",1,0)</f>
        <v>0</v>
      </c>
      <c r="K549" s="2" t="n">
        <f aca="false">IF(H549="yes",1,0)</f>
        <v>0</v>
      </c>
      <c r="L549" s="2" t="n">
        <f aca="false">IF(I549="yes",1,0)</f>
        <v>0</v>
      </c>
      <c r="M549" s="2" t="n">
        <f aca="false">IF(G549&lt;0,1,0)</f>
        <v>0</v>
      </c>
      <c r="N549" s="2" t="str">
        <f aca="false">_xlfn.IFS(B549&lt;30,"Under 30",B549&lt;40,"30-39",B549&lt;50,"40-49",B549&lt;60,"50-59",TRUE(),"60+")</f>
        <v>50-59</v>
      </c>
      <c r="O549" s="2" t="str">
        <f aca="false">_xlfn.IFS(G549&lt;0,"1 Negative",G549=0,"2 Zero",G549&lt;=500,"3 1-500",G549&lt;=2000,"4 501-2000",TRUE(),"5 Above 2000")</f>
        <v>2 Zero</v>
      </c>
      <c r="P549" s="2" t="n">
        <f aca="false">Lookups!$B$2*M549+Lookups!$B$3*L549</f>
        <v>0</v>
      </c>
      <c r="Q549" s="2" t="str">
        <f aca="false">INDEX(Lookups!$E$2:$E$5,MATCH(P549,Lookups!$D$2:$D$5,0))</f>
        <v>Low</v>
      </c>
    </row>
    <row r="550" customFormat="false" ht="15" hidden="false" customHeight="false" outlineLevel="0" collapsed="false">
      <c r="A550" s="3" t="n">
        <v>549</v>
      </c>
      <c r="B550" s="3" t="n">
        <f aca="false">Raw_Data!A550</f>
        <v>39</v>
      </c>
      <c r="C550" s="3" t="str">
        <f aca="false">SUBSTITUTE(Raw_Data!B550,".","")</f>
        <v>management</v>
      </c>
      <c r="D550" s="3" t="str">
        <f aca="false">Raw_Data!C550</f>
        <v>single</v>
      </c>
      <c r="E550" s="3" t="str">
        <f aca="false">Raw_Data!D550</f>
        <v>tertiary</v>
      </c>
      <c r="F550" s="3" t="str">
        <f aca="false">Raw_Data!E550</f>
        <v>no</v>
      </c>
      <c r="G550" s="3" t="n">
        <f aca="false">Raw_Data!F550</f>
        <v>12437</v>
      </c>
      <c r="H550" s="3" t="str">
        <f aca="false">Raw_Data!G550</f>
        <v>no</v>
      </c>
      <c r="I550" s="3" t="str">
        <f aca="false">Raw_Data!H550</f>
        <v>no</v>
      </c>
      <c r="J550" s="2" t="n">
        <f aca="false">IF(F550="yes",1,0)</f>
        <v>0</v>
      </c>
      <c r="K550" s="2" t="n">
        <f aca="false">IF(H550="yes",1,0)</f>
        <v>0</v>
      </c>
      <c r="L550" s="2" t="n">
        <f aca="false">IF(I550="yes",1,0)</f>
        <v>0</v>
      </c>
      <c r="M550" s="2" t="n">
        <f aca="false">IF(G550&lt;0,1,0)</f>
        <v>0</v>
      </c>
      <c r="N550" s="2" t="str">
        <f aca="false">_xlfn.IFS(B550&lt;30,"Under 30",B550&lt;40,"30-39",B550&lt;50,"40-49",B550&lt;60,"50-59",TRUE(),"60+")</f>
        <v>30-39</v>
      </c>
      <c r="O550" s="2" t="str">
        <f aca="false">_xlfn.IFS(G550&lt;0,"1 Negative",G550=0,"2 Zero",G550&lt;=500,"3 1-500",G550&lt;=2000,"4 501-2000",TRUE(),"5 Above 2000")</f>
        <v>5 Above 2000</v>
      </c>
      <c r="P550" s="2" t="n">
        <f aca="false">Lookups!$B$2*M550+Lookups!$B$3*L550</f>
        <v>0</v>
      </c>
      <c r="Q550" s="2" t="str">
        <f aca="false">INDEX(Lookups!$E$2:$E$5,MATCH(P550,Lookups!$D$2:$D$5,0))</f>
        <v>Low</v>
      </c>
    </row>
    <row r="551" customFormat="false" ht="15" hidden="false" customHeight="false" outlineLevel="0" collapsed="false">
      <c r="A551" s="3" t="n">
        <v>550</v>
      </c>
      <c r="B551" s="3" t="n">
        <f aca="false">Raw_Data!A551</f>
        <v>28</v>
      </c>
      <c r="C551" s="3" t="str">
        <f aca="false">SUBSTITUTE(Raw_Data!B551,".","")</f>
        <v>student</v>
      </c>
      <c r="D551" s="3" t="str">
        <f aca="false">Raw_Data!C551</f>
        <v>single</v>
      </c>
      <c r="E551" s="3" t="str">
        <f aca="false">Raw_Data!D551</f>
        <v>secondary</v>
      </c>
      <c r="F551" s="3" t="str">
        <f aca="false">Raw_Data!E551</f>
        <v>no</v>
      </c>
      <c r="G551" s="3" t="n">
        <f aca="false">Raw_Data!F551</f>
        <v>378</v>
      </c>
      <c r="H551" s="3" t="str">
        <f aca="false">Raw_Data!G551</f>
        <v>yes</v>
      </c>
      <c r="I551" s="3" t="str">
        <f aca="false">Raw_Data!H551</f>
        <v>no</v>
      </c>
      <c r="J551" s="2" t="n">
        <f aca="false">IF(F551="yes",1,0)</f>
        <v>0</v>
      </c>
      <c r="K551" s="2" t="n">
        <f aca="false">IF(H551="yes",1,0)</f>
        <v>1</v>
      </c>
      <c r="L551" s="2" t="n">
        <f aca="false">IF(I551="yes",1,0)</f>
        <v>0</v>
      </c>
      <c r="M551" s="2" t="n">
        <f aca="false">IF(G551&lt;0,1,0)</f>
        <v>0</v>
      </c>
      <c r="N551" s="2" t="str">
        <f aca="false">_xlfn.IFS(B551&lt;30,"Under 30",B551&lt;40,"30-39",B551&lt;50,"40-49",B551&lt;60,"50-59",TRUE(),"60+")</f>
        <v>Under 30</v>
      </c>
      <c r="O551" s="2" t="str">
        <f aca="false">_xlfn.IFS(G551&lt;0,"1 Negative",G551=0,"2 Zero",G551&lt;=500,"3 1-500",G551&lt;=2000,"4 501-2000",TRUE(),"5 Above 2000")</f>
        <v>3 1-500</v>
      </c>
      <c r="P551" s="2" t="n">
        <f aca="false">Lookups!$B$2*M551+Lookups!$B$3*L551</f>
        <v>0</v>
      </c>
      <c r="Q551" s="2" t="str">
        <f aca="false">INDEX(Lookups!$E$2:$E$5,MATCH(P551,Lookups!$D$2:$D$5,0))</f>
        <v>Low</v>
      </c>
    </row>
    <row r="552" customFormat="false" ht="15" hidden="false" customHeight="false" outlineLevel="0" collapsed="false">
      <c r="A552" s="3" t="n">
        <v>551</v>
      </c>
      <c r="B552" s="3" t="n">
        <f aca="false">Raw_Data!A552</f>
        <v>54</v>
      </c>
      <c r="C552" s="3" t="str">
        <f aca="false">SUBSTITUTE(Raw_Data!B552,".","")</f>
        <v>blue-collar</v>
      </c>
      <c r="D552" s="3" t="str">
        <f aca="false">Raw_Data!C552</f>
        <v>married</v>
      </c>
      <c r="E552" s="3" t="str">
        <f aca="false">Raw_Data!D552</f>
        <v>primary</v>
      </c>
      <c r="F552" s="3" t="str">
        <f aca="false">Raw_Data!E552</f>
        <v>no</v>
      </c>
      <c r="G552" s="3" t="n">
        <f aca="false">Raw_Data!F552</f>
        <v>211</v>
      </c>
      <c r="H552" s="3" t="str">
        <f aca="false">Raw_Data!G552</f>
        <v>no</v>
      </c>
      <c r="I552" s="3" t="str">
        <f aca="false">Raw_Data!H552</f>
        <v>no</v>
      </c>
      <c r="J552" s="2" t="n">
        <f aca="false">IF(F552="yes",1,0)</f>
        <v>0</v>
      </c>
      <c r="K552" s="2" t="n">
        <f aca="false">IF(H552="yes",1,0)</f>
        <v>0</v>
      </c>
      <c r="L552" s="2" t="n">
        <f aca="false">IF(I552="yes",1,0)</f>
        <v>0</v>
      </c>
      <c r="M552" s="2" t="n">
        <f aca="false">IF(G552&lt;0,1,0)</f>
        <v>0</v>
      </c>
      <c r="N552" s="2" t="str">
        <f aca="false">_xlfn.IFS(B552&lt;30,"Under 30",B552&lt;40,"30-39",B552&lt;50,"40-49",B552&lt;60,"50-59",TRUE(),"60+")</f>
        <v>50-59</v>
      </c>
      <c r="O552" s="2" t="str">
        <f aca="false">_xlfn.IFS(G552&lt;0,"1 Negative",G552=0,"2 Zero",G552&lt;=500,"3 1-500",G552&lt;=2000,"4 501-2000",TRUE(),"5 Above 2000")</f>
        <v>3 1-500</v>
      </c>
      <c r="P552" s="2" t="n">
        <f aca="false">Lookups!$B$2*M552+Lookups!$B$3*L552</f>
        <v>0</v>
      </c>
      <c r="Q552" s="2" t="str">
        <f aca="false">INDEX(Lookups!$E$2:$E$5,MATCH(P552,Lookups!$D$2:$D$5,0))</f>
        <v>Low</v>
      </c>
    </row>
    <row r="553" customFormat="false" ht="15" hidden="false" customHeight="false" outlineLevel="0" collapsed="false">
      <c r="A553" s="3" t="n">
        <v>552</v>
      </c>
      <c r="B553" s="3" t="n">
        <f aca="false">Raw_Data!A553</f>
        <v>34</v>
      </c>
      <c r="C553" s="3" t="str">
        <f aca="false">SUBSTITUTE(Raw_Data!B553,".","")</f>
        <v>technician</v>
      </c>
      <c r="D553" s="3" t="str">
        <f aca="false">Raw_Data!C553</f>
        <v>married</v>
      </c>
      <c r="E553" s="3" t="str">
        <f aca="false">Raw_Data!D553</f>
        <v>secondary</v>
      </c>
      <c r="F553" s="3" t="str">
        <f aca="false">Raw_Data!E553</f>
        <v>no</v>
      </c>
      <c r="G553" s="3" t="n">
        <f aca="false">Raw_Data!F553</f>
        <v>-228</v>
      </c>
      <c r="H553" s="3" t="str">
        <f aca="false">Raw_Data!G553</f>
        <v>yes</v>
      </c>
      <c r="I553" s="3" t="str">
        <f aca="false">Raw_Data!H553</f>
        <v>no</v>
      </c>
      <c r="J553" s="2" t="n">
        <f aca="false">IF(F553="yes",1,0)</f>
        <v>0</v>
      </c>
      <c r="K553" s="2" t="n">
        <f aca="false">IF(H553="yes",1,0)</f>
        <v>1</v>
      </c>
      <c r="L553" s="2" t="n">
        <f aca="false">IF(I553="yes",1,0)</f>
        <v>0</v>
      </c>
      <c r="M553" s="2" t="n">
        <f aca="false">IF(G553&lt;0,1,0)</f>
        <v>1</v>
      </c>
      <c r="N553" s="2" t="str">
        <f aca="false">_xlfn.IFS(B553&lt;30,"Under 30",B553&lt;40,"30-39",B553&lt;50,"40-49",B553&lt;60,"50-59",TRUE(),"60+")</f>
        <v>30-39</v>
      </c>
      <c r="O553" s="2" t="str">
        <f aca="false">_xlfn.IFS(G553&lt;0,"1 Negative",G553=0,"2 Zero",G553&lt;=500,"3 1-500",G553&lt;=2000,"4 501-2000",TRUE(),"5 Above 2000")</f>
        <v>1 Negative</v>
      </c>
      <c r="P553" s="2" t="n">
        <f aca="false">Lookups!$B$2*M553+Lookups!$B$3*L553</f>
        <v>2</v>
      </c>
      <c r="Q553" s="2" t="str">
        <f aca="false">INDEX(Lookups!$E$2:$E$5,MATCH(P553,Lookups!$D$2:$D$5,0))</f>
        <v>High</v>
      </c>
    </row>
    <row r="554" customFormat="false" ht="15" hidden="false" customHeight="false" outlineLevel="0" collapsed="false">
      <c r="A554" s="3" t="n">
        <v>553</v>
      </c>
      <c r="B554" s="3" t="n">
        <f aca="false">Raw_Data!A554</f>
        <v>63</v>
      </c>
      <c r="C554" s="3" t="str">
        <f aca="false">SUBSTITUTE(Raw_Data!B554,".","")</f>
        <v>retired</v>
      </c>
      <c r="D554" s="3" t="str">
        <f aca="false">Raw_Data!C554</f>
        <v>married</v>
      </c>
      <c r="E554" s="3" t="str">
        <f aca="false">Raw_Data!D554</f>
        <v>secondary</v>
      </c>
      <c r="F554" s="3" t="str">
        <f aca="false">Raw_Data!E554</f>
        <v>no</v>
      </c>
      <c r="G554" s="3" t="n">
        <f aca="false">Raw_Data!F554</f>
        <v>2747</v>
      </c>
      <c r="H554" s="3" t="str">
        <f aca="false">Raw_Data!G554</f>
        <v>no</v>
      </c>
      <c r="I554" s="3" t="str">
        <f aca="false">Raw_Data!H554</f>
        <v>no</v>
      </c>
      <c r="J554" s="2" t="n">
        <f aca="false">IF(F554="yes",1,0)</f>
        <v>0</v>
      </c>
      <c r="K554" s="2" t="n">
        <f aca="false">IF(H554="yes",1,0)</f>
        <v>0</v>
      </c>
      <c r="L554" s="2" t="n">
        <f aca="false">IF(I554="yes",1,0)</f>
        <v>0</v>
      </c>
      <c r="M554" s="2" t="n">
        <f aca="false">IF(G554&lt;0,1,0)</f>
        <v>0</v>
      </c>
      <c r="N554" s="2" t="str">
        <f aca="false">_xlfn.IFS(B554&lt;30,"Under 30",B554&lt;40,"30-39",B554&lt;50,"40-49",B554&lt;60,"50-59",TRUE(),"60+")</f>
        <v>60+</v>
      </c>
      <c r="O554" s="2" t="str">
        <f aca="false">_xlfn.IFS(G554&lt;0,"1 Negative",G554=0,"2 Zero",G554&lt;=500,"3 1-500",G554&lt;=2000,"4 501-2000",TRUE(),"5 Above 2000")</f>
        <v>5 Above 2000</v>
      </c>
      <c r="P554" s="2" t="n">
        <f aca="false">Lookups!$B$2*M554+Lookups!$B$3*L554</f>
        <v>0</v>
      </c>
      <c r="Q554" s="2" t="str">
        <f aca="false">INDEX(Lookups!$E$2:$E$5,MATCH(P554,Lookups!$D$2:$D$5,0))</f>
        <v>Low</v>
      </c>
    </row>
    <row r="555" customFormat="false" ht="15" hidden="false" customHeight="false" outlineLevel="0" collapsed="false">
      <c r="A555" s="3" t="n">
        <v>554</v>
      </c>
      <c r="B555" s="3" t="n">
        <f aca="false">Raw_Data!A555</f>
        <v>42</v>
      </c>
      <c r="C555" s="3" t="str">
        <f aca="false">SUBSTITUTE(Raw_Data!B555,".","")</f>
        <v>self-employed</v>
      </c>
      <c r="D555" s="3" t="str">
        <f aca="false">Raw_Data!C555</f>
        <v>married</v>
      </c>
      <c r="E555" s="3" t="str">
        <f aca="false">Raw_Data!D555</f>
        <v>tertiary</v>
      </c>
      <c r="F555" s="3" t="str">
        <f aca="false">Raw_Data!E555</f>
        <v>no</v>
      </c>
      <c r="G555" s="3" t="n">
        <f aca="false">Raw_Data!F555</f>
        <v>1932</v>
      </c>
      <c r="H555" s="3" t="str">
        <f aca="false">Raw_Data!G555</f>
        <v>yes</v>
      </c>
      <c r="I555" s="3" t="str">
        <f aca="false">Raw_Data!H555</f>
        <v>no</v>
      </c>
      <c r="J555" s="2" t="n">
        <f aca="false">IF(F555="yes",1,0)</f>
        <v>0</v>
      </c>
      <c r="K555" s="2" t="n">
        <f aca="false">IF(H555="yes",1,0)</f>
        <v>1</v>
      </c>
      <c r="L555" s="2" t="n">
        <f aca="false">IF(I555="yes",1,0)</f>
        <v>0</v>
      </c>
      <c r="M555" s="2" t="n">
        <f aca="false">IF(G555&lt;0,1,0)</f>
        <v>0</v>
      </c>
      <c r="N555" s="2" t="str">
        <f aca="false">_xlfn.IFS(B555&lt;30,"Under 30",B555&lt;40,"30-39",B555&lt;50,"40-49",B555&lt;60,"50-59",TRUE(),"60+")</f>
        <v>40-49</v>
      </c>
      <c r="O555" s="2" t="str">
        <f aca="false">_xlfn.IFS(G555&lt;0,"1 Negative",G555=0,"2 Zero",G555&lt;=500,"3 1-500",G555&lt;=2000,"4 501-2000",TRUE(),"5 Above 2000")</f>
        <v>4 501-2000</v>
      </c>
      <c r="P555" s="2" t="n">
        <f aca="false">Lookups!$B$2*M555+Lookups!$B$3*L555</f>
        <v>0</v>
      </c>
      <c r="Q555" s="2" t="str">
        <f aca="false">INDEX(Lookups!$E$2:$E$5,MATCH(P555,Lookups!$D$2:$D$5,0))</f>
        <v>Low</v>
      </c>
    </row>
    <row r="556" customFormat="false" ht="15" hidden="false" customHeight="false" outlineLevel="0" collapsed="false">
      <c r="A556" s="3" t="n">
        <v>555</v>
      </c>
      <c r="B556" s="3" t="n">
        <f aca="false">Raw_Data!A556</f>
        <v>43</v>
      </c>
      <c r="C556" s="3" t="str">
        <f aca="false">SUBSTITUTE(Raw_Data!B556,".","")</f>
        <v>technician</v>
      </c>
      <c r="D556" s="3" t="str">
        <f aca="false">Raw_Data!C556</f>
        <v>single</v>
      </c>
      <c r="E556" s="3" t="str">
        <f aca="false">Raw_Data!D556</f>
        <v>secondary</v>
      </c>
      <c r="F556" s="3" t="str">
        <f aca="false">Raw_Data!E556</f>
        <v>no</v>
      </c>
      <c r="G556" s="3" t="n">
        <f aca="false">Raw_Data!F556</f>
        <v>11269</v>
      </c>
      <c r="H556" s="3" t="str">
        <f aca="false">Raw_Data!G556</f>
        <v>no</v>
      </c>
      <c r="I556" s="3" t="str">
        <f aca="false">Raw_Data!H556</f>
        <v>no</v>
      </c>
      <c r="J556" s="2" t="n">
        <f aca="false">IF(F556="yes",1,0)</f>
        <v>0</v>
      </c>
      <c r="K556" s="2" t="n">
        <f aca="false">IF(H556="yes",1,0)</f>
        <v>0</v>
      </c>
      <c r="L556" s="2" t="n">
        <f aca="false">IF(I556="yes",1,0)</f>
        <v>0</v>
      </c>
      <c r="M556" s="2" t="n">
        <f aca="false">IF(G556&lt;0,1,0)</f>
        <v>0</v>
      </c>
      <c r="N556" s="2" t="str">
        <f aca="false">_xlfn.IFS(B556&lt;30,"Under 30",B556&lt;40,"30-39",B556&lt;50,"40-49",B556&lt;60,"50-59",TRUE(),"60+")</f>
        <v>40-49</v>
      </c>
      <c r="O556" s="2" t="str">
        <f aca="false">_xlfn.IFS(G556&lt;0,"1 Negative",G556=0,"2 Zero",G556&lt;=500,"3 1-500",G556&lt;=2000,"4 501-2000",TRUE(),"5 Above 2000")</f>
        <v>5 Above 2000</v>
      </c>
      <c r="P556" s="2" t="n">
        <f aca="false">Lookups!$B$2*M556+Lookups!$B$3*L556</f>
        <v>0</v>
      </c>
      <c r="Q556" s="2" t="str">
        <f aca="false">INDEX(Lookups!$E$2:$E$5,MATCH(P556,Lookups!$D$2:$D$5,0))</f>
        <v>Low</v>
      </c>
    </row>
    <row r="557" customFormat="false" ht="15" hidden="false" customHeight="false" outlineLevel="0" collapsed="false">
      <c r="A557" s="3" t="n">
        <v>556</v>
      </c>
      <c r="B557" s="3" t="n">
        <f aca="false">Raw_Data!A557</f>
        <v>37</v>
      </c>
      <c r="C557" s="3" t="str">
        <f aca="false">SUBSTITUTE(Raw_Data!B557,".","")</f>
        <v>admin</v>
      </c>
      <c r="D557" s="3" t="str">
        <f aca="false">Raw_Data!C557</f>
        <v>married</v>
      </c>
      <c r="E557" s="3" t="str">
        <f aca="false">Raw_Data!D557</f>
        <v>secondary</v>
      </c>
      <c r="F557" s="3" t="str">
        <f aca="false">Raw_Data!E557</f>
        <v>no</v>
      </c>
      <c r="G557" s="3" t="n">
        <f aca="false">Raw_Data!F557</f>
        <v>1314</v>
      </c>
      <c r="H557" s="3" t="str">
        <f aca="false">Raw_Data!G557</f>
        <v>yes</v>
      </c>
      <c r="I557" s="3" t="str">
        <f aca="false">Raw_Data!H557</f>
        <v>no</v>
      </c>
      <c r="J557" s="2" t="n">
        <f aca="false">IF(F557="yes",1,0)</f>
        <v>0</v>
      </c>
      <c r="K557" s="2" t="n">
        <f aca="false">IF(H557="yes",1,0)</f>
        <v>1</v>
      </c>
      <c r="L557" s="2" t="n">
        <f aca="false">IF(I557="yes",1,0)</f>
        <v>0</v>
      </c>
      <c r="M557" s="2" t="n">
        <f aca="false">IF(G557&lt;0,1,0)</f>
        <v>0</v>
      </c>
      <c r="N557" s="2" t="str">
        <f aca="false">_xlfn.IFS(B557&lt;30,"Under 30",B557&lt;40,"30-39",B557&lt;50,"40-49",B557&lt;60,"50-59",TRUE(),"60+")</f>
        <v>30-39</v>
      </c>
      <c r="O557" s="2" t="str">
        <f aca="false">_xlfn.IFS(G557&lt;0,"1 Negative",G557=0,"2 Zero",G557&lt;=500,"3 1-500",G557&lt;=2000,"4 501-2000",TRUE(),"5 Above 2000")</f>
        <v>4 501-2000</v>
      </c>
      <c r="P557" s="2" t="n">
        <f aca="false">Lookups!$B$2*M557+Lookups!$B$3*L557</f>
        <v>0</v>
      </c>
      <c r="Q557" s="2" t="str">
        <f aca="false">INDEX(Lookups!$E$2:$E$5,MATCH(P557,Lookups!$D$2:$D$5,0))</f>
        <v>Low</v>
      </c>
    </row>
    <row r="558" customFormat="false" ht="15" hidden="false" customHeight="false" outlineLevel="0" collapsed="false">
      <c r="A558" s="3" t="n">
        <v>557</v>
      </c>
      <c r="B558" s="3" t="n">
        <f aca="false">Raw_Data!A558</f>
        <v>55</v>
      </c>
      <c r="C558" s="3" t="str">
        <f aca="false">SUBSTITUTE(Raw_Data!B558,".","")</f>
        <v>blue-collar</v>
      </c>
      <c r="D558" s="3" t="str">
        <f aca="false">Raw_Data!C558</f>
        <v>married</v>
      </c>
      <c r="E558" s="3" t="str">
        <f aca="false">Raw_Data!D558</f>
        <v>primary</v>
      </c>
      <c r="F558" s="3" t="str">
        <f aca="false">Raw_Data!E558</f>
        <v>no</v>
      </c>
      <c r="G558" s="3" t="n">
        <f aca="false">Raw_Data!F558</f>
        <v>2275</v>
      </c>
      <c r="H558" s="3" t="str">
        <f aca="false">Raw_Data!G558</f>
        <v>no</v>
      </c>
      <c r="I558" s="3" t="str">
        <f aca="false">Raw_Data!H558</f>
        <v>no</v>
      </c>
      <c r="J558" s="2" t="n">
        <f aca="false">IF(F558="yes",1,0)</f>
        <v>0</v>
      </c>
      <c r="K558" s="2" t="n">
        <f aca="false">IF(H558="yes",1,0)</f>
        <v>0</v>
      </c>
      <c r="L558" s="2" t="n">
        <f aca="false">IF(I558="yes",1,0)</f>
        <v>0</v>
      </c>
      <c r="M558" s="2" t="n">
        <f aca="false">IF(G558&lt;0,1,0)</f>
        <v>0</v>
      </c>
      <c r="N558" s="2" t="str">
        <f aca="false">_xlfn.IFS(B558&lt;30,"Under 30",B558&lt;40,"30-39",B558&lt;50,"40-49",B558&lt;60,"50-59",TRUE(),"60+")</f>
        <v>50-59</v>
      </c>
      <c r="O558" s="2" t="str">
        <f aca="false">_xlfn.IFS(G558&lt;0,"1 Negative",G558=0,"2 Zero",G558&lt;=500,"3 1-500",G558&lt;=2000,"4 501-2000",TRUE(),"5 Above 2000")</f>
        <v>5 Above 2000</v>
      </c>
      <c r="P558" s="2" t="n">
        <f aca="false">Lookups!$B$2*M558+Lookups!$B$3*L558</f>
        <v>0</v>
      </c>
      <c r="Q558" s="2" t="str">
        <f aca="false">INDEX(Lookups!$E$2:$E$5,MATCH(P558,Lookups!$D$2:$D$5,0))</f>
        <v>Low</v>
      </c>
    </row>
    <row r="559" customFormat="false" ht="15" hidden="false" customHeight="false" outlineLevel="0" collapsed="false">
      <c r="A559" s="3" t="n">
        <v>558</v>
      </c>
      <c r="B559" s="3" t="n">
        <f aca="false">Raw_Data!A559</f>
        <v>43</v>
      </c>
      <c r="C559" s="3" t="str">
        <f aca="false">SUBSTITUTE(Raw_Data!B559,".","")</f>
        <v>management</v>
      </c>
      <c r="D559" s="3" t="str">
        <f aca="false">Raw_Data!C559</f>
        <v>single</v>
      </c>
      <c r="E559" s="3" t="str">
        <f aca="false">Raw_Data!D559</f>
        <v>tertiary</v>
      </c>
      <c r="F559" s="3" t="str">
        <f aca="false">Raw_Data!E559</f>
        <v>no</v>
      </c>
      <c r="G559" s="3" t="n">
        <f aca="false">Raw_Data!F559</f>
        <v>1304</v>
      </c>
      <c r="H559" s="3" t="str">
        <f aca="false">Raw_Data!G559</f>
        <v>no</v>
      </c>
      <c r="I559" s="3" t="str">
        <f aca="false">Raw_Data!H559</f>
        <v>no</v>
      </c>
      <c r="J559" s="2" t="n">
        <f aca="false">IF(F559="yes",1,0)</f>
        <v>0</v>
      </c>
      <c r="K559" s="2" t="n">
        <f aca="false">IF(H559="yes",1,0)</f>
        <v>0</v>
      </c>
      <c r="L559" s="2" t="n">
        <f aca="false">IF(I559="yes",1,0)</f>
        <v>0</v>
      </c>
      <c r="M559" s="2" t="n">
        <f aca="false">IF(G559&lt;0,1,0)</f>
        <v>0</v>
      </c>
      <c r="N559" s="2" t="str">
        <f aca="false">_xlfn.IFS(B559&lt;30,"Under 30",B559&lt;40,"30-39",B559&lt;50,"40-49",B559&lt;60,"50-59",TRUE(),"60+")</f>
        <v>40-49</v>
      </c>
      <c r="O559" s="2" t="str">
        <f aca="false">_xlfn.IFS(G559&lt;0,"1 Negative",G559=0,"2 Zero",G559&lt;=500,"3 1-500",G559&lt;=2000,"4 501-2000",TRUE(),"5 Above 2000")</f>
        <v>4 501-2000</v>
      </c>
      <c r="P559" s="2" t="n">
        <f aca="false">Lookups!$B$2*M559+Lookups!$B$3*L559</f>
        <v>0</v>
      </c>
      <c r="Q559" s="2" t="str">
        <f aca="false">INDEX(Lookups!$E$2:$E$5,MATCH(P559,Lookups!$D$2:$D$5,0))</f>
        <v>Low</v>
      </c>
    </row>
    <row r="560" customFormat="false" ht="15" hidden="false" customHeight="false" outlineLevel="0" collapsed="false">
      <c r="A560" s="3" t="n">
        <v>559</v>
      </c>
      <c r="B560" s="3" t="n">
        <f aca="false">Raw_Data!A560</f>
        <v>41</v>
      </c>
      <c r="C560" s="3" t="str">
        <f aca="false">SUBSTITUTE(Raw_Data!B560,".","")</f>
        <v>blue-collar</v>
      </c>
      <c r="D560" s="3" t="str">
        <f aca="false">Raw_Data!C560</f>
        <v>married</v>
      </c>
      <c r="E560" s="3" t="str">
        <f aca="false">Raw_Data!D560</f>
        <v>secondary</v>
      </c>
      <c r="F560" s="3" t="str">
        <f aca="false">Raw_Data!E560</f>
        <v>yes</v>
      </c>
      <c r="G560" s="3" t="n">
        <f aca="false">Raw_Data!F560</f>
        <v>720</v>
      </c>
      <c r="H560" s="3" t="str">
        <f aca="false">Raw_Data!G560</f>
        <v>no</v>
      </c>
      <c r="I560" s="3" t="str">
        <f aca="false">Raw_Data!H560</f>
        <v>yes</v>
      </c>
      <c r="J560" s="2" t="n">
        <f aca="false">IF(F560="yes",1,0)</f>
        <v>1</v>
      </c>
      <c r="K560" s="2" t="n">
        <f aca="false">IF(H560="yes",1,0)</f>
        <v>0</v>
      </c>
      <c r="L560" s="2" t="n">
        <f aca="false">IF(I560="yes",1,0)</f>
        <v>1</v>
      </c>
      <c r="M560" s="2" t="n">
        <f aca="false">IF(G560&lt;0,1,0)</f>
        <v>0</v>
      </c>
      <c r="N560" s="2" t="str">
        <f aca="false">_xlfn.IFS(B560&lt;30,"Under 30",B560&lt;40,"30-39",B560&lt;50,"40-49",B560&lt;60,"50-59",TRUE(),"60+")</f>
        <v>40-49</v>
      </c>
      <c r="O560" s="2" t="str">
        <f aca="false">_xlfn.IFS(G560&lt;0,"1 Negative",G560=0,"2 Zero",G560&lt;=500,"3 1-500",G560&lt;=2000,"4 501-2000",TRUE(),"5 Above 2000")</f>
        <v>4 501-2000</v>
      </c>
      <c r="P560" s="2" t="n">
        <f aca="false">Lookups!$B$2*M560+Lookups!$B$3*L560</f>
        <v>1</v>
      </c>
      <c r="Q560" s="2" t="str">
        <f aca="false">INDEX(Lookups!$E$2:$E$5,MATCH(P560,Lookups!$D$2:$D$5,0))</f>
        <v>Medium</v>
      </c>
    </row>
    <row r="561" customFormat="false" ht="15" hidden="false" customHeight="false" outlineLevel="0" collapsed="false">
      <c r="A561" s="3" t="n">
        <v>560</v>
      </c>
      <c r="B561" s="3" t="n">
        <f aca="false">Raw_Data!A561</f>
        <v>47</v>
      </c>
      <c r="C561" s="3" t="str">
        <f aca="false">SUBSTITUTE(Raw_Data!B561,".","")</f>
        <v>technician</v>
      </c>
      <c r="D561" s="3" t="str">
        <f aca="false">Raw_Data!C561</f>
        <v>divorced</v>
      </c>
      <c r="E561" s="3" t="str">
        <f aca="false">Raw_Data!D561</f>
        <v>secondary</v>
      </c>
      <c r="F561" s="3" t="str">
        <f aca="false">Raw_Data!E561</f>
        <v>no</v>
      </c>
      <c r="G561" s="3" t="n">
        <f aca="false">Raw_Data!F561</f>
        <v>2914</v>
      </c>
      <c r="H561" s="3" t="str">
        <f aca="false">Raw_Data!G561</f>
        <v>yes</v>
      </c>
      <c r="I561" s="3" t="str">
        <f aca="false">Raw_Data!H561</f>
        <v>no</v>
      </c>
      <c r="J561" s="2" t="n">
        <f aca="false">IF(F561="yes",1,0)</f>
        <v>0</v>
      </c>
      <c r="K561" s="2" t="n">
        <f aca="false">IF(H561="yes",1,0)</f>
        <v>1</v>
      </c>
      <c r="L561" s="2" t="n">
        <f aca="false">IF(I561="yes",1,0)</f>
        <v>0</v>
      </c>
      <c r="M561" s="2" t="n">
        <f aca="false">IF(G561&lt;0,1,0)</f>
        <v>0</v>
      </c>
      <c r="N561" s="2" t="str">
        <f aca="false">_xlfn.IFS(B561&lt;30,"Under 30",B561&lt;40,"30-39",B561&lt;50,"40-49",B561&lt;60,"50-59",TRUE(),"60+")</f>
        <v>40-49</v>
      </c>
      <c r="O561" s="2" t="str">
        <f aca="false">_xlfn.IFS(G561&lt;0,"1 Negative",G561=0,"2 Zero",G561&lt;=500,"3 1-500",G561&lt;=2000,"4 501-2000",TRUE(),"5 Above 2000")</f>
        <v>5 Above 2000</v>
      </c>
      <c r="P561" s="2" t="n">
        <f aca="false">Lookups!$B$2*M561+Lookups!$B$3*L561</f>
        <v>0</v>
      </c>
      <c r="Q561" s="2" t="str">
        <f aca="false">INDEX(Lookups!$E$2:$E$5,MATCH(P561,Lookups!$D$2:$D$5,0))</f>
        <v>Low</v>
      </c>
    </row>
    <row r="562" customFormat="false" ht="15" hidden="false" customHeight="false" outlineLevel="0" collapsed="false">
      <c r="A562" s="3" t="n">
        <v>561</v>
      </c>
      <c r="B562" s="3" t="n">
        <f aca="false">Raw_Data!A562</f>
        <v>34</v>
      </c>
      <c r="C562" s="3" t="str">
        <f aca="false">SUBSTITUTE(Raw_Data!B562,".","")</f>
        <v>technician</v>
      </c>
      <c r="D562" s="3" t="str">
        <f aca="false">Raw_Data!C562</f>
        <v>married</v>
      </c>
      <c r="E562" s="3" t="str">
        <f aca="false">Raw_Data!D562</f>
        <v>secondary</v>
      </c>
      <c r="F562" s="3" t="str">
        <f aca="false">Raw_Data!E562</f>
        <v>no</v>
      </c>
      <c r="G562" s="3" t="n">
        <f aca="false">Raw_Data!F562</f>
        <v>1464</v>
      </c>
      <c r="H562" s="3" t="str">
        <f aca="false">Raw_Data!G562</f>
        <v>yes</v>
      </c>
      <c r="I562" s="3" t="str">
        <f aca="false">Raw_Data!H562</f>
        <v>no</v>
      </c>
      <c r="J562" s="2" t="n">
        <f aca="false">IF(F562="yes",1,0)</f>
        <v>0</v>
      </c>
      <c r="K562" s="2" t="n">
        <f aca="false">IF(H562="yes",1,0)</f>
        <v>1</v>
      </c>
      <c r="L562" s="2" t="n">
        <f aca="false">IF(I562="yes",1,0)</f>
        <v>0</v>
      </c>
      <c r="M562" s="2" t="n">
        <f aca="false">IF(G562&lt;0,1,0)</f>
        <v>0</v>
      </c>
      <c r="N562" s="2" t="str">
        <f aca="false">_xlfn.IFS(B562&lt;30,"Under 30",B562&lt;40,"30-39",B562&lt;50,"40-49",B562&lt;60,"50-59",TRUE(),"60+")</f>
        <v>30-39</v>
      </c>
      <c r="O562" s="2" t="str">
        <f aca="false">_xlfn.IFS(G562&lt;0,"1 Negative",G562=0,"2 Zero",G562&lt;=500,"3 1-500",G562&lt;=2000,"4 501-2000",TRUE(),"5 Above 2000")</f>
        <v>4 501-2000</v>
      </c>
      <c r="P562" s="2" t="n">
        <f aca="false">Lookups!$B$2*M562+Lookups!$B$3*L562</f>
        <v>0</v>
      </c>
      <c r="Q562" s="2" t="str">
        <f aca="false">INDEX(Lookups!$E$2:$E$5,MATCH(P562,Lookups!$D$2:$D$5,0))</f>
        <v>Low</v>
      </c>
    </row>
    <row r="563" customFormat="false" ht="15" hidden="false" customHeight="false" outlineLevel="0" collapsed="false">
      <c r="A563" s="3" t="n">
        <v>562</v>
      </c>
      <c r="B563" s="3" t="n">
        <f aca="false">Raw_Data!A563</f>
        <v>28</v>
      </c>
      <c r="C563" s="3" t="str">
        <f aca="false">SUBSTITUTE(Raw_Data!B563,".","")</f>
        <v>student</v>
      </c>
      <c r="D563" s="3" t="str">
        <f aca="false">Raw_Data!C563</f>
        <v>single</v>
      </c>
      <c r="E563" s="3" t="str">
        <f aca="false">Raw_Data!D563</f>
        <v>secondary</v>
      </c>
      <c r="F563" s="3" t="str">
        <f aca="false">Raw_Data!E563</f>
        <v>no</v>
      </c>
      <c r="G563" s="3" t="n">
        <f aca="false">Raw_Data!F563</f>
        <v>11555</v>
      </c>
      <c r="H563" s="3" t="str">
        <f aca="false">Raw_Data!G563</f>
        <v>no</v>
      </c>
      <c r="I563" s="3" t="str">
        <f aca="false">Raw_Data!H563</f>
        <v>no</v>
      </c>
      <c r="J563" s="2" t="n">
        <f aca="false">IF(F563="yes",1,0)</f>
        <v>0</v>
      </c>
      <c r="K563" s="2" t="n">
        <f aca="false">IF(H563="yes",1,0)</f>
        <v>0</v>
      </c>
      <c r="L563" s="2" t="n">
        <f aca="false">IF(I563="yes",1,0)</f>
        <v>0</v>
      </c>
      <c r="M563" s="2" t="n">
        <f aca="false">IF(G563&lt;0,1,0)</f>
        <v>0</v>
      </c>
      <c r="N563" s="2" t="str">
        <f aca="false">_xlfn.IFS(B563&lt;30,"Under 30",B563&lt;40,"30-39",B563&lt;50,"40-49",B563&lt;60,"50-59",TRUE(),"60+")</f>
        <v>Under 30</v>
      </c>
      <c r="O563" s="2" t="str">
        <f aca="false">_xlfn.IFS(G563&lt;0,"1 Negative",G563=0,"2 Zero",G563&lt;=500,"3 1-500",G563&lt;=2000,"4 501-2000",TRUE(),"5 Above 2000")</f>
        <v>5 Above 2000</v>
      </c>
      <c r="P563" s="2" t="n">
        <f aca="false">Lookups!$B$2*M563+Lookups!$B$3*L563</f>
        <v>0</v>
      </c>
      <c r="Q563" s="2" t="str">
        <f aca="false">INDEX(Lookups!$E$2:$E$5,MATCH(P563,Lookups!$D$2:$D$5,0))</f>
        <v>Low</v>
      </c>
    </row>
    <row r="564" customFormat="false" ht="15" hidden="false" customHeight="false" outlineLevel="0" collapsed="false">
      <c r="A564" s="3" t="n">
        <v>563</v>
      </c>
      <c r="B564" s="3" t="n">
        <f aca="false">Raw_Data!A564</f>
        <v>36</v>
      </c>
      <c r="C564" s="3" t="str">
        <f aca="false">SUBSTITUTE(Raw_Data!B564,".","")</f>
        <v>services</v>
      </c>
      <c r="D564" s="3" t="str">
        <f aca="false">Raw_Data!C564</f>
        <v>married</v>
      </c>
      <c r="E564" s="3" t="str">
        <f aca="false">Raw_Data!D564</f>
        <v>secondary</v>
      </c>
      <c r="F564" s="3" t="str">
        <f aca="false">Raw_Data!E564</f>
        <v>no</v>
      </c>
      <c r="G564" s="3" t="n">
        <f aca="false">Raw_Data!F564</f>
        <v>-302</v>
      </c>
      <c r="H564" s="3" t="str">
        <f aca="false">Raw_Data!G564</f>
        <v>yes</v>
      </c>
      <c r="I564" s="3" t="str">
        <f aca="false">Raw_Data!H564</f>
        <v>no</v>
      </c>
      <c r="J564" s="2" t="n">
        <f aca="false">IF(F564="yes",1,0)</f>
        <v>0</v>
      </c>
      <c r="K564" s="2" t="n">
        <f aca="false">IF(H564="yes",1,0)</f>
        <v>1</v>
      </c>
      <c r="L564" s="2" t="n">
        <f aca="false">IF(I564="yes",1,0)</f>
        <v>0</v>
      </c>
      <c r="M564" s="2" t="n">
        <f aca="false">IF(G564&lt;0,1,0)</f>
        <v>1</v>
      </c>
      <c r="N564" s="2" t="str">
        <f aca="false">_xlfn.IFS(B564&lt;30,"Under 30",B564&lt;40,"30-39",B564&lt;50,"40-49",B564&lt;60,"50-59",TRUE(),"60+")</f>
        <v>30-39</v>
      </c>
      <c r="O564" s="2" t="str">
        <f aca="false">_xlfn.IFS(G564&lt;0,"1 Negative",G564=0,"2 Zero",G564&lt;=500,"3 1-500",G564&lt;=2000,"4 501-2000",TRUE(),"5 Above 2000")</f>
        <v>1 Negative</v>
      </c>
      <c r="P564" s="2" t="n">
        <f aca="false">Lookups!$B$2*M564+Lookups!$B$3*L564</f>
        <v>2</v>
      </c>
      <c r="Q564" s="2" t="str">
        <f aca="false">INDEX(Lookups!$E$2:$E$5,MATCH(P564,Lookups!$D$2:$D$5,0))</f>
        <v>High</v>
      </c>
    </row>
    <row r="565" customFormat="false" ht="15" hidden="false" customHeight="false" outlineLevel="0" collapsed="false">
      <c r="A565" s="3" t="n">
        <v>564</v>
      </c>
      <c r="B565" s="3" t="n">
        <f aca="false">Raw_Data!A565</f>
        <v>50</v>
      </c>
      <c r="C565" s="3" t="str">
        <f aca="false">SUBSTITUTE(Raw_Data!B565,".","")</f>
        <v>technician</v>
      </c>
      <c r="D565" s="3" t="str">
        <f aca="false">Raw_Data!C565</f>
        <v>married</v>
      </c>
      <c r="E565" s="3" t="str">
        <f aca="false">Raw_Data!D565</f>
        <v>secondary</v>
      </c>
      <c r="F565" s="3" t="str">
        <f aca="false">Raw_Data!E565</f>
        <v>no</v>
      </c>
      <c r="G565" s="3" t="n">
        <f aca="false">Raw_Data!F565</f>
        <v>2497</v>
      </c>
      <c r="H565" s="3" t="str">
        <f aca="false">Raw_Data!G565</f>
        <v>yes</v>
      </c>
      <c r="I565" s="3" t="str">
        <f aca="false">Raw_Data!H565</f>
        <v>no</v>
      </c>
      <c r="J565" s="2" t="n">
        <f aca="false">IF(F565="yes",1,0)</f>
        <v>0</v>
      </c>
      <c r="K565" s="2" t="n">
        <f aca="false">IF(H565="yes",1,0)</f>
        <v>1</v>
      </c>
      <c r="L565" s="2" t="n">
        <f aca="false">IF(I565="yes",1,0)</f>
        <v>0</v>
      </c>
      <c r="M565" s="2" t="n">
        <f aca="false">IF(G565&lt;0,1,0)</f>
        <v>0</v>
      </c>
      <c r="N565" s="2" t="str">
        <f aca="false">_xlfn.IFS(B565&lt;30,"Under 30",B565&lt;40,"30-39",B565&lt;50,"40-49",B565&lt;60,"50-59",TRUE(),"60+")</f>
        <v>50-59</v>
      </c>
      <c r="O565" s="2" t="str">
        <f aca="false">_xlfn.IFS(G565&lt;0,"1 Negative",G565=0,"2 Zero",G565&lt;=500,"3 1-500",G565&lt;=2000,"4 501-2000",TRUE(),"5 Above 2000")</f>
        <v>5 Above 2000</v>
      </c>
      <c r="P565" s="2" t="n">
        <f aca="false">Lookups!$B$2*M565+Lookups!$B$3*L565</f>
        <v>0</v>
      </c>
      <c r="Q565" s="2" t="str">
        <f aca="false">INDEX(Lookups!$E$2:$E$5,MATCH(P565,Lookups!$D$2:$D$5,0))</f>
        <v>Low</v>
      </c>
    </row>
    <row r="566" customFormat="false" ht="15" hidden="false" customHeight="false" outlineLevel="0" collapsed="false">
      <c r="A566" s="3" t="n">
        <v>565</v>
      </c>
      <c r="B566" s="3" t="n">
        <f aca="false">Raw_Data!A566</f>
        <v>35</v>
      </c>
      <c r="C566" s="3" t="str">
        <f aca="false">SUBSTITUTE(Raw_Data!B566,".","")</f>
        <v>blue-collar</v>
      </c>
      <c r="D566" s="3" t="str">
        <f aca="false">Raw_Data!C566</f>
        <v>married</v>
      </c>
      <c r="E566" s="3" t="str">
        <f aca="false">Raw_Data!D566</f>
        <v>secondary</v>
      </c>
      <c r="F566" s="3" t="str">
        <f aca="false">Raw_Data!E566</f>
        <v>no</v>
      </c>
      <c r="G566" s="3" t="n">
        <f aca="false">Raw_Data!F566</f>
        <v>-339</v>
      </c>
      <c r="H566" s="3" t="str">
        <f aca="false">Raw_Data!G566</f>
        <v>yes</v>
      </c>
      <c r="I566" s="3" t="str">
        <f aca="false">Raw_Data!H566</f>
        <v>no</v>
      </c>
      <c r="J566" s="2" t="n">
        <f aca="false">IF(F566="yes",1,0)</f>
        <v>0</v>
      </c>
      <c r="K566" s="2" t="n">
        <f aca="false">IF(H566="yes",1,0)</f>
        <v>1</v>
      </c>
      <c r="L566" s="2" t="n">
        <f aca="false">IF(I566="yes",1,0)</f>
        <v>0</v>
      </c>
      <c r="M566" s="2" t="n">
        <f aca="false">IF(G566&lt;0,1,0)</f>
        <v>1</v>
      </c>
      <c r="N566" s="2" t="str">
        <f aca="false">_xlfn.IFS(B566&lt;30,"Under 30",B566&lt;40,"30-39",B566&lt;50,"40-49",B566&lt;60,"50-59",TRUE(),"60+")</f>
        <v>30-39</v>
      </c>
      <c r="O566" s="2" t="str">
        <f aca="false">_xlfn.IFS(G566&lt;0,"1 Negative",G566=0,"2 Zero",G566&lt;=500,"3 1-500",G566&lt;=2000,"4 501-2000",TRUE(),"5 Above 2000")</f>
        <v>1 Negative</v>
      </c>
      <c r="P566" s="2" t="n">
        <f aca="false">Lookups!$B$2*M566+Lookups!$B$3*L566</f>
        <v>2</v>
      </c>
      <c r="Q566" s="2" t="str">
        <f aca="false">INDEX(Lookups!$E$2:$E$5,MATCH(P566,Lookups!$D$2:$D$5,0))</f>
        <v>High</v>
      </c>
    </row>
    <row r="567" customFormat="false" ht="15" hidden="false" customHeight="false" outlineLevel="0" collapsed="false">
      <c r="A567" s="3" t="n">
        <v>566</v>
      </c>
      <c r="B567" s="3" t="n">
        <f aca="false">Raw_Data!A567</f>
        <v>40</v>
      </c>
      <c r="C567" s="3" t="str">
        <f aca="false">SUBSTITUTE(Raw_Data!B567,".","")</f>
        <v>technician</v>
      </c>
      <c r="D567" s="3" t="str">
        <f aca="false">Raw_Data!C567</f>
        <v>married</v>
      </c>
      <c r="E567" s="3" t="str">
        <f aca="false">Raw_Data!D567</f>
        <v>secondary</v>
      </c>
      <c r="F567" s="3" t="str">
        <f aca="false">Raw_Data!E567</f>
        <v>no</v>
      </c>
      <c r="G567" s="3" t="n">
        <f aca="false">Raw_Data!F567</f>
        <v>56</v>
      </c>
      <c r="H567" s="3" t="str">
        <f aca="false">Raw_Data!G567</f>
        <v>yes</v>
      </c>
      <c r="I567" s="3" t="str">
        <f aca="false">Raw_Data!H567</f>
        <v>yes</v>
      </c>
      <c r="J567" s="2" t="n">
        <f aca="false">IF(F567="yes",1,0)</f>
        <v>0</v>
      </c>
      <c r="K567" s="2" t="n">
        <f aca="false">IF(H567="yes",1,0)</f>
        <v>1</v>
      </c>
      <c r="L567" s="2" t="n">
        <f aca="false">IF(I567="yes",1,0)</f>
        <v>1</v>
      </c>
      <c r="M567" s="2" t="n">
        <f aca="false">IF(G567&lt;0,1,0)</f>
        <v>0</v>
      </c>
      <c r="N567" s="2" t="str">
        <f aca="false">_xlfn.IFS(B567&lt;30,"Under 30",B567&lt;40,"30-39",B567&lt;50,"40-49",B567&lt;60,"50-59",TRUE(),"60+")</f>
        <v>40-49</v>
      </c>
      <c r="O567" s="2" t="str">
        <f aca="false">_xlfn.IFS(G567&lt;0,"1 Negative",G567=0,"2 Zero",G567&lt;=500,"3 1-500",G567&lt;=2000,"4 501-2000",TRUE(),"5 Above 2000")</f>
        <v>3 1-500</v>
      </c>
      <c r="P567" s="2" t="n">
        <f aca="false">Lookups!$B$2*M567+Lookups!$B$3*L567</f>
        <v>1</v>
      </c>
      <c r="Q567" s="2" t="str">
        <f aca="false">INDEX(Lookups!$E$2:$E$5,MATCH(P567,Lookups!$D$2:$D$5,0))</f>
        <v>Medium</v>
      </c>
    </row>
    <row r="568" customFormat="false" ht="15" hidden="false" customHeight="false" outlineLevel="0" collapsed="false">
      <c r="A568" s="3" t="n">
        <v>567</v>
      </c>
      <c r="B568" s="3" t="n">
        <f aca="false">Raw_Data!A568</f>
        <v>26</v>
      </c>
      <c r="C568" s="3" t="str">
        <f aca="false">SUBSTITUTE(Raw_Data!B568,".","")</f>
        <v>self-employed</v>
      </c>
      <c r="D568" s="3" t="str">
        <f aca="false">Raw_Data!C568</f>
        <v>single</v>
      </c>
      <c r="E568" s="3" t="str">
        <f aca="false">Raw_Data!D568</f>
        <v>tertiary</v>
      </c>
      <c r="F568" s="3" t="str">
        <f aca="false">Raw_Data!E568</f>
        <v>no</v>
      </c>
      <c r="G568" s="3" t="n">
        <f aca="false">Raw_Data!F568</f>
        <v>211</v>
      </c>
      <c r="H568" s="3" t="str">
        <f aca="false">Raw_Data!G568</f>
        <v>no</v>
      </c>
      <c r="I568" s="3" t="str">
        <f aca="false">Raw_Data!H568</f>
        <v>no</v>
      </c>
      <c r="J568" s="2" t="n">
        <f aca="false">IF(F568="yes",1,0)</f>
        <v>0</v>
      </c>
      <c r="K568" s="2" t="n">
        <f aca="false">IF(H568="yes",1,0)</f>
        <v>0</v>
      </c>
      <c r="L568" s="2" t="n">
        <f aca="false">IF(I568="yes",1,0)</f>
        <v>0</v>
      </c>
      <c r="M568" s="2" t="n">
        <f aca="false">IF(G568&lt;0,1,0)</f>
        <v>0</v>
      </c>
      <c r="N568" s="2" t="str">
        <f aca="false">_xlfn.IFS(B568&lt;30,"Under 30",B568&lt;40,"30-39",B568&lt;50,"40-49",B568&lt;60,"50-59",TRUE(),"60+")</f>
        <v>Under 30</v>
      </c>
      <c r="O568" s="2" t="str">
        <f aca="false">_xlfn.IFS(G568&lt;0,"1 Negative",G568=0,"2 Zero",G568&lt;=500,"3 1-500",G568&lt;=2000,"4 501-2000",TRUE(),"5 Above 2000")</f>
        <v>3 1-500</v>
      </c>
      <c r="P568" s="2" t="n">
        <f aca="false">Lookups!$B$2*M568+Lookups!$B$3*L568</f>
        <v>0</v>
      </c>
      <c r="Q568" s="2" t="str">
        <f aca="false">INDEX(Lookups!$E$2:$E$5,MATCH(P568,Lookups!$D$2:$D$5,0))</f>
        <v>Low</v>
      </c>
    </row>
    <row r="569" customFormat="false" ht="15" hidden="false" customHeight="false" outlineLevel="0" collapsed="false">
      <c r="A569" s="3" t="n">
        <v>568</v>
      </c>
      <c r="B569" s="3" t="n">
        <f aca="false">Raw_Data!A569</f>
        <v>36</v>
      </c>
      <c r="C569" s="3" t="str">
        <f aca="false">SUBSTITUTE(Raw_Data!B569,".","")</f>
        <v>management</v>
      </c>
      <c r="D569" s="3" t="str">
        <f aca="false">Raw_Data!C569</f>
        <v>divorced</v>
      </c>
      <c r="E569" s="3" t="str">
        <f aca="false">Raw_Data!D569</f>
        <v>tertiary</v>
      </c>
      <c r="F569" s="3" t="str">
        <f aca="false">Raw_Data!E569</f>
        <v>no</v>
      </c>
      <c r="G569" s="3" t="n">
        <f aca="false">Raw_Data!F569</f>
        <v>3611</v>
      </c>
      <c r="H569" s="3" t="str">
        <f aca="false">Raw_Data!G569</f>
        <v>yes</v>
      </c>
      <c r="I569" s="3" t="str">
        <f aca="false">Raw_Data!H569</f>
        <v>no</v>
      </c>
      <c r="J569" s="2" t="n">
        <f aca="false">IF(F569="yes",1,0)</f>
        <v>0</v>
      </c>
      <c r="K569" s="2" t="n">
        <f aca="false">IF(H569="yes",1,0)</f>
        <v>1</v>
      </c>
      <c r="L569" s="2" t="n">
        <f aca="false">IF(I569="yes",1,0)</f>
        <v>0</v>
      </c>
      <c r="M569" s="2" t="n">
        <f aca="false">IF(G569&lt;0,1,0)</f>
        <v>0</v>
      </c>
      <c r="N569" s="2" t="str">
        <f aca="false">_xlfn.IFS(B569&lt;30,"Under 30",B569&lt;40,"30-39",B569&lt;50,"40-49",B569&lt;60,"50-59",TRUE(),"60+")</f>
        <v>30-39</v>
      </c>
      <c r="O569" s="2" t="str">
        <f aca="false">_xlfn.IFS(G569&lt;0,"1 Negative",G569=0,"2 Zero",G569&lt;=500,"3 1-500",G569&lt;=2000,"4 501-2000",TRUE(),"5 Above 2000")</f>
        <v>5 Above 2000</v>
      </c>
      <c r="P569" s="2" t="n">
        <f aca="false">Lookups!$B$2*M569+Lookups!$B$3*L569</f>
        <v>0</v>
      </c>
      <c r="Q569" s="2" t="str">
        <f aca="false">INDEX(Lookups!$E$2:$E$5,MATCH(P569,Lookups!$D$2:$D$5,0))</f>
        <v>Low</v>
      </c>
    </row>
    <row r="570" customFormat="false" ht="15" hidden="false" customHeight="false" outlineLevel="0" collapsed="false">
      <c r="A570" s="3" t="n">
        <v>569</v>
      </c>
      <c r="B570" s="3" t="n">
        <f aca="false">Raw_Data!A570</f>
        <v>59</v>
      </c>
      <c r="C570" s="3" t="str">
        <f aca="false">SUBSTITUTE(Raw_Data!B570,".","")</f>
        <v>unemployed</v>
      </c>
      <c r="D570" s="3" t="str">
        <f aca="false">Raw_Data!C570</f>
        <v>married</v>
      </c>
      <c r="E570" s="3" t="str">
        <f aca="false">Raw_Data!D570</f>
        <v>primary</v>
      </c>
      <c r="F570" s="3" t="str">
        <f aca="false">Raw_Data!E570</f>
        <v>no</v>
      </c>
      <c r="G570" s="3" t="n">
        <f aca="false">Raw_Data!F570</f>
        <v>0</v>
      </c>
      <c r="H570" s="3" t="str">
        <f aca="false">Raw_Data!G570</f>
        <v>no</v>
      </c>
      <c r="I570" s="3" t="str">
        <f aca="false">Raw_Data!H570</f>
        <v>no</v>
      </c>
      <c r="J570" s="2" t="n">
        <f aca="false">IF(F570="yes",1,0)</f>
        <v>0</v>
      </c>
      <c r="K570" s="2" t="n">
        <f aca="false">IF(H570="yes",1,0)</f>
        <v>0</v>
      </c>
      <c r="L570" s="2" t="n">
        <f aca="false">IF(I570="yes",1,0)</f>
        <v>0</v>
      </c>
      <c r="M570" s="2" t="n">
        <f aca="false">IF(G570&lt;0,1,0)</f>
        <v>0</v>
      </c>
      <c r="N570" s="2" t="str">
        <f aca="false">_xlfn.IFS(B570&lt;30,"Under 30",B570&lt;40,"30-39",B570&lt;50,"40-49",B570&lt;60,"50-59",TRUE(),"60+")</f>
        <v>50-59</v>
      </c>
      <c r="O570" s="2" t="str">
        <f aca="false">_xlfn.IFS(G570&lt;0,"1 Negative",G570=0,"2 Zero",G570&lt;=500,"3 1-500",G570&lt;=2000,"4 501-2000",TRUE(),"5 Above 2000")</f>
        <v>2 Zero</v>
      </c>
      <c r="P570" s="2" t="n">
        <f aca="false">Lookups!$B$2*M570+Lookups!$B$3*L570</f>
        <v>0</v>
      </c>
      <c r="Q570" s="2" t="str">
        <f aca="false">INDEX(Lookups!$E$2:$E$5,MATCH(P570,Lookups!$D$2:$D$5,0))</f>
        <v>Low</v>
      </c>
    </row>
    <row r="571" customFormat="false" ht="15" hidden="false" customHeight="false" outlineLevel="0" collapsed="false">
      <c r="A571" s="3" t="n">
        <v>570</v>
      </c>
      <c r="B571" s="3" t="n">
        <f aca="false">Raw_Data!A571</f>
        <v>28</v>
      </c>
      <c r="C571" s="3" t="str">
        <f aca="false">SUBSTITUTE(Raw_Data!B571,".","")</f>
        <v>student</v>
      </c>
      <c r="D571" s="3" t="str">
        <f aca="false">Raw_Data!C571</f>
        <v>single</v>
      </c>
      <c r="E571" s="3" t="str">
        <f aca="false">Raw_Data!D571</f>
        <v>secondary</v>
      </c>
      <c r="F571" s="3" t="str">
        <f aca="false">Raw_Data!E571</f>
        <v>no</v>
      </c>
      <c r="G571" s="3" t="n">
        <f aca="false">Raw_Data!F571</f>
        <v>459</v>
      </c>
      <c r="H571" s="3" t="str">
        <f aca="false">Raw_Data!G571</f>
        <v>no</v>
      </c>
      <c r="I571" s="3" t="str">
        <f aca="false">Raw_Data!H571</f>
        <v>no</v>
      </c>
      <c r="J571" s="2" t="n">
        <f aca="false">IF(F571="yes",1,0)</f>
        <v>0</v>
      </c>
      <c r="K571" s="2" t="n">
        <f aca="false">IF(H571="yes",1,0)</f>
        <v>0</v>
      </c>
      <c r="L571" s="2" t="n">
        <f aca="false">IF(I571="yes",1,0)</f>
        <v>0</v>
      </c>
      <c r="M571" s="2" t="n">
        <f aca="false">IF(G571&lt;0,1,0)</f>
        <v>0</v>
      </c>
      <c r="N571" s="2" t="str">
        <f aca="false">_xlfn.IFS(B571&lt;30,"Under 30",B571&lt;40,"30-39",B571&lt;50,"40-49",B571&lt;60,"50-59",TRUE(),"60+")</f>
        <v>Under 30</v>
      </c>
      <c r="O571" s="2" t="str">
        <f aca="false">_xlfn.IFS(G571&lt;0,"1 Negative",G571=0,"2 Zero",G571&lt;=500,"3 1-500",G571&lt;=2000,"4 501-2000",TRUE(),"5 Above 2000")</f>
        <v>3 1-500</v>
      </c>
      <c r="P571" s="2" t="n">
        <f aca="false">Lookups!$B$2*M571+Lookups!$B$3*L571</f>
        <v>0</v>
      </c>
      <c r="Q571" s="2" t="str">
        <f aca="false">INDEX(Lookups!$E$2:$E$5,MATCH(P571,Lookups!$D$2:$D$5,0))</f>
        <v>Low</v>
      </c>
    </row>
    <row r="572" customFormat="false" ht="15" hidden="false" customHeight="false" outlineLevel="0" collapsed="false">
      <c r="A572" s="3" t="n">
        <v>571</v>
      </c>
      <c r="B572" s="3" t="n">
        <f aca="false">Raw_Data!A572</f>
        <v>46</v>
      </c>
      <c r="C572" s="3" t="str">
        <f aca="false">SUBSTITUTE(Raw_Data!B572,".","")</f>
        <v>entrepreneur</v>
      </c>
      <c r="D572" s="3" t="str">
        <f aca="false">Raw_Data!C572</f>
        <v>married</v>
      </c>
      <c r="E572" s="3" t="str">
        <f aca="false">Raw_Data!D572</f>
        <v>unknown</v>
      </c>
      <c r="F572" s="3" t="str">
        <f aca="false">Raw_Data!E572</f>
        <v>no</v>
      </c>
      <c r="G572" s="3" t="n">
        <f aca="false">Raw_Data!F572</f>
        <v>242</v>
      </c>
      <c r="H572" s="3" t="str">
        <f aca="false">Raw_Data!G572</f>
        <v>yes</v>
      </c>
      <c r="I572" s="3" t="str">
        <f aca="false">Raw_Data!H572</f>
        <v>no</v>
      </c>
      <c r="J572" s="2" t="n">
        <f aca="false">IF(F572="yes",1,0)</f>
        <v>0</v>
      </c>
      <c r="K572" s="2" t="n">
        <f aca="false">IF(H572="yes",1,0)</f>
        <v>1</v>
      </c>
      <c r="L572" s="2" t="n">
        <f aca="false">IF(I572="yes",1,0)</f>
        <v>0</v>
      </c>
      <c r="M572" s="2" t="n">
        <f aca="false">IF(G572&lt;0,1,0)</f>
        <v>0</v>
      </c>
      <c r="N572" s="2" t="str">
        <f aca="false">_xlfn.IFS(B572&lt;30,"Under 30",B572&lt;40,"30-39",B572&lt;50,"40-49",B572&lt;60,"50-59",TRUE(),"60+")</f>
        <v>40-49</v>
      </c>
      <c r="O572" s="2" t="str">
        <f aca="false">_xlfn.IFS(G572&lt;0,"1 Negative",G572=0,"2 Zero",G572&lt;=500,"3 1-500",G572&lt;=2000,"4 501-2000",TRUE(),"5 Above 2000")</f>
        <v>3 1-500</v>
      </c>
      <c r="P572" s="2" t="n">
        <f aca="false">Lookups!$B$2*M572+Lookups!$B$3*L572</f>
        <v>0</v>
      </c>
      <c r="Q572" s="2" t="str">
        <f aca="false">INDEX(Lookups!$E$2:$E$5,MATCH(P572,Lookups!$D$2:$D$5,0))</f>
        <v>Low</v>
      </c>
    </row>
    <row r="573" customFormat="false" ht="15" hidden="false" customHeight="false" outlineLevel="0" collapsed="false">
      <c r="A573" s="3" t="n">
        <v>572</v>
      </c>
      <c r="B573" s="3" t="n">
        <f aca="false">Raw_Data!A573</f>
        <v>50</v>
      </c>
      <c r="C573" s="3" t="str">
        <f aca="false">SUBSTITUTE(Raw_Data!B573,".","")</f>
        <v>self-employed</v>
      </c>
      <c r="D573" s="3" t="str">
        <f aca="false">Raw_Data!C573</f>
        <v>married</v>
      </c>
      <c r="E573" s="3" t="str">
        <f aca="false">Raw_Data!D573</f>
        <v>secondary</v>
      </c>
      <c r="F573" s="3" t="str">
        <f aca="false">Raw_Data!E573</f>
        <v>no</v>
      </c>
      <c r="G573" s="3" t="n">
        <f aca="false">Raw_Data!F573</f>
        <v>1138</v>
      </c>
      <c r="H573" s="3" t="str">
        <f aca="false">Raw_Data!G573</f>
        <v>no</v>
      </c>
      <c r="I573" s="3" t="str">
        <f aca="false">Raw_Data!H573</f>
        <v>no</v>
      </c>
      <c r="J573" s="2" t="n">
        <f aca="false">IF(F573="yes",1,0)</f>
        <v>0</v>
      </c>
      <c r="K573" s="2" t="n">
        <f aca="false">IF(H573="yes",1,0)</f>
        <v>0</v>
      </c>
      <c r="L573" s="2" t="n">
        <f aca="false">IF(I573="yes",1,0)</f>
        <v>0</v>
      </c>
      <c r="M573" s="2" t="n">
        <f aca="false">IF(G573&lt;0,1,0)</f>
        <v>0</v>
      </c>
      <c r="N573" s="2" t="str">
        <f aca="false">_xlfn.IFS(B573&lt;30,"Under 30",B573&lt;40,"30-39",B573&lt;50,"40-49",B573&lt;60,"50-59",TRUE(),"60+")</f>
        <v>50-59</v>
      </c>
      <c r="O573" s="2" t="str">
        <f aca="false">_xlfn.IFS(G573&lt;0,"1 Negative",G573=0,"2 Zero",G573&lt;=500,"3 1-500",G573&lt;=2000,"4 501-2000",TRUE(),"5 Above 2000")</f>
        <v>4 501-2000</v>
      </c>
      <c r="P573" s="2" t="n">
        <f aca="false">Lookups!$B$2*M573+Lookups!$B$3*L573</f>
        <v>0</v>
      </c>
      <c r="Q573" s="2" t="str">
        <f aca="false">INDEX(Lookups!$E$2:$E$5,MATCH(P573,Lookups!$D$2:$D$5,0))</f>
        <v>Low</v>
      </c>
    </row>
    <row r="574" customFormat="false" ht="15" hidden="false" customHeight="false" outlineLevel="0" collapsed="false">
      <c r="A574" s="3" t="n">
        <v>573</v>
      </c>
      <c r="B574" s="3" t="n">
        <f aca="false">Raw_Data!A574</f>
        <v>53</v>
      </c>
      <c r="C574" s="3" t="str">
        <f aca="false">SUBSTITUTE(Raw_Data!B574,".","")</f>
        <v>management</v>
      </c>
      <c r="D574" s="3" t="str">
        <f aca="false">Raw_Data!C574</f>
        <v>married</v>
      </c>
      <c r="E574" s="3" t="str">
        <f aca="false">Raw_Data!D574</f>
        <v>tertiary</v>
      </c>
      <c r="F574" s="3" t="str">
        <f aca="false">Raw_Data!E574</f>
        <v>no</v>
      </c>
      <c r="G574" s="3" t="n">
        <f aca="false">Raw_Data!F574</f>
        <v>1319</v>
      </c>
      <c r="H574" s="3" t="str">
        <f aca="false">Raw_Data!G574</f>
        <v>yes</v>
      </c>
      <c r="I574" s="3" t="str">
        <f aca="false">Raw_Data!H574</f>
        <v>no</v>
      </c>
      <c r="J574" s="2" t="n">
        <f aca="false">IF(F574="yes",1,0)</f>
        <v>0</v>
      </c>
      <c r="K574" s="2" t="n">
        <f aca="false">IF(H574="yes",1,0)</f>
        <v>1</v>
      </c>
      <c r="L574" s="2" t="n">
        <f aca="false">IF(I574="yes",1,0)</f>
        <v>0</v>
      </c>
      <c r="M574" s="2" t="n">
        <f aca="false">IF(G574&lt;0,1,0)</f>
        <v>0</v>
      </c>
      <c r="N574" s="2" t="str">
        <f aca="false">_xlfn.IFS(B574&lt;30,"Under 30",B574&lt;40,"30-39",B574&lt;50,"40-49",B574&lt;60,"50-59",TRUE(),"60+")</f>
        <v>50-59</v>
      </c>
      <c r="O574" s="2" t="str">
        <f aca="false">_xlfn.IFS(G574&lt;0,"1 Negative",G574=0,"2 Zero",G574&lt;=500,"3 1-500",G574&lt;=2000,"4 501-2000",TRUE(),"5 Above 2000")</f>
        <v>4 501-2000</v>
      </c>
      <c r="P574" s="2" t="n">
        <f aca="false">Lookups!$B$2*M574+Lookups!$B$3*L574</f>
        <v>0</v>
      </c>
      <c r="Q574" s="2" t="str">
        <f aca="false">INDEX(Lookups!$E$2:$E$5,MATCH(P574,Lookups!$D$2:$D$5,0))</f>
        <v>Low</v>
      </c>
    </row>
    <row r="575" customFormat="false" ht="15" hidden="false" customHeight="false" outlineLevel="0" collapsed="false">
      <c r="A575" s="3" t="n">
        <v>574</v>
      </c>
      <c r="B575" s="3" t="n">
        <f aca="false">Raw_Data!A575</f>
        <v>81</v>
      </c>
      <c r="C575" s="3" t="str">
        <f aca="false">SUBSTITUTE(Raw_Data!B575,".","")</f>
        <v>retired</v>
      </c>
      <c r="D575" s="3" t="str">
        <f aca="false">Raw_Data!C575</f>
        <v>married</v>
      </c>
      <c r="E575" s="3" t="str">
        <f aca="false">Raw_Data!D575</f>
        <v>secondary</v>
      </c>
      <c r="F575" s="3" t="str">
        <f aca="false">Raw_Data!E575</f>
        <v>no</v>
      </c>
      <c r="G575" s="3" t="n">
        <f aca="false">Raw_Data!F575</f>
        <v>1</v>
      </c>
      <c r="H575" s="3" t="str">
        <f aca="false">Raw_Data!G575</f>
        <v>no</v>
      </c>
      <c r="I575" s="3" t="str">
        <f aca="false">Raw_Data!H575</f>
        <v>no</v>
      </c>
      <c r="J575" s="2" t="n">
        <f aca="false">IF(F575="yes",1,0)</f>
        <v>0</v>
      </c>
      <c r="K575" s="2" t="n">
        <f aca="false">IF(H575="yes",1,0)</f>
        <v>0</v>
      </c>
      <c r="L575" s="2" t="n">
        <f aca="false">IF(I575="yes",1,0)</f>
        <v>0</v>
      </c>
      <c r="M575" s="2" t="n">
        <f aca="false">IF(G575&lt;0,1,0)</f>
        <v>0</v>
      </c>
      <c r="N575" s="2" t="str">
        <f aca="false">_xlfn.IFS(B575&lt;30,"Under 30",B575&lt;40,"30-39",B575&lt;50,"40-49",B575&lt;60,"50-59",TRUE(),"60+")</f>
        <v>60+</v>
      </c>
      <c r="O575" s="2" t="str">
        <f aca="false">_xlfn.IFS(G575&lt;0,"1 Negative",G575=0,"2 Zero",G575&lt;=500,"3 1-500",G575&lt;=2000,"4 501-2000",TRUE(),"5 Above 2000")</f>
        <v>3 1-500</v>
      </c>
      <c r="P575" s="2" t="n">
        <f aca="false">Lookups!$B$2*M575+Lookups!$B$3*L575</f>
        <v>0</v>
      </c>
      <c r="Q575" s="2" t="str">
        <f aca="false">INDEX(Lookups!$E$2:$E$5,MATCH(P575,Lookups!$D$2:$D$5,0))</f>
        <v>Low</v>
      </c>
    </row>
    <row r="576" customFormat="false" ht="15" hidden="false" customHeight="false" outlineLevel="0" collapsed="false">
      <c r="A576" s="3" t="n">
        <v>575</v>
      </c>
      <c r="B576" s="3" t="n">
        <f aca="false">Raw_Data!A576</f>
        <v>35</v>
      </c>
      <c r="C576" s="3" t="str">
        <f aca="false">SUBSTITUTE(Raw_Data!B576,".","")</f>
        <v>services</v>
      </c>
      <c r="D576" s="3" t="str">
        <f aca="false">Raw_Data!C576</f>
        <v>divorced</v>
      </c>
      <c r="E576" s="3" t="str">
        <f aca="false">Raw_Data!D576</f>
        <v>secondary</v>
      </c>
      <c r="F576" s="3" t="str">
        <f aca="false">Raw_Data!E576</f>
        <v>no</v>
      </c>
      <c r="G576" s="3" t="n">
        <f aca="false">Raw_Data!F576</f>
        <v>67</v>
      </c>
      <c r="H576" s="3" t="str">
        <f aca="false">Raw_Data!G576</f>
        <v>yes</v>
      </c>
      <c r="I576" s="3" t="str">
        <f aca="false">Raw_Data!H576</f>
        <v>no</v>
      </c>
      <c r="J576" s="2" t="n">
        <f aca="false">IF(F576="yes",1,0)</f>
        <v>0</v>
      </c>
      <c r="K576" s="2" t="n">
        <f aca="false">IF(H576="yes",1,0)</f>
        <v>1</v>
      </c>
      <c r="L576" s="2" t="n">
        <f aca="false">IF(I576="yes",1,0)</f>
        <v>0</v>
      </c>
      <c r="M576" s="2" t="n">
        <f aca="false">IF(G576&lt;0,1,0)</f>
        <v>0</v>
      </c>
      <c r="N576" s="2" t="str">
        <f aca="false">_xlfn.IFS(B576&lt;30,"Under 30",B576&lt;40,"30-39",B576&lt;50,"40-49",B576&lt;60,"50-59",TRUE(),"60+")</f>
        <v>30-39</v>
      </c>
      <c r="O576" s="2" t="str">
        <f aca="false">_xlfn.IFS(G576&lt;0,"1 Negative",G576=0,"2 Zero",G576&lt;=500,"3 1-500",G576&lt;=2000,"4 501-2000",TRUE(),"5 Above 2000")</f>
        <v>3 1-500</v>
      </c>
      <c r="P576" s="2" t="n">
        <f aca="false">Lookups!$B$2*M576+Lookups!$B$3*L576</f>
        <v>0</v>
      </c>
      <c r="Q576" s="2" t="str">
        <f aca="false">INDEX(Lookups!$E$2:$E$5,MATCH(P576,Lookups!$D$2:$D$5,0))</f>
        <v>Low</v>
      </c>
    </row>
    <row r="577" customFormat="false" ht="15" hidden="false" customHeight="false" outlineLevel="0" collapsed="false">
      <c r="A577" s="3" t="n">
        <v>576</v>
      </c>
      <c r="B577" s="3" t="n">
        <f aca="false">Raw_Data!A577</f>
        <v>58</v>
      </c>
      <c r="C577" s="3" t="str">
        <f aca="false">SUBSTITUTE(Raw_Data!B577,".","")</f>
        <v>retired</v>
      </c>
      <c r="D577" s="3" t="str">
        <f aca="false">Raw_Data!C577</f>
        <v>married</v>
      </c>
      <c r="E577" s="3" t="str">
        <f aca="false">Raw_Data!D577</f>
        <v>unknown</v>
      </c>
      <c r="F577" s="3" t="str">
        <f aca="false">Raw_Data!E577</f>
        <v>no</v>
      </c>
      <c r="G577" s="3" t="n">
        <f aca="false">Raw_Data!F577</f>
        <v>937</v>
      </c>
      <c r="H577" s="3" t="str">
        <f aca="false">Raw_Data!G577</f>
        <v>no</v>
      </c>
      <c r="I577" s="3" t="str">
        <f aca="false">Raw_Data!H577</f>
        <v>no</v>
      </c>
      <c r="J577" s="2" t="n">
        <f aca="false">IF(F577="yes",1,0)</f>
        <v>0</v>
      </c>
      <c r="K577" s="2" t="n">
        <f aca="false">IF(H577="yes",1,0)</f>
        <v>0</v>
      </c>
      <c r="L577" s="2" t="n">
        <f aca="false">IF(I577="yes",1,0)</f>
        <v>0</v>
      </c>
      <c r="M577" s="2" t="n">
        <f aca="false">IF(G577&lt;0,1,0)</f>
        <v>0</v>
      </c>
      <c r="N577" s="2" t="str">
        <f aca="false">_xlfn.IFS(B577&lt;30,"Under 30",B577&lt;40,"30-39",B577&lt;50,"40-49",B577&lt;60,"50-59",TRUE(),"60+")</f>
        <v>50-59</v>
      </c>
      <c r="O577" s="2" t="str">
        <f aca="false">_xlfn.IFS(G577&lt;0,"1 Negative",G577=0,"2 Zero",G577&lt;=500,"3 1-500",G577&lt;=2000,"4 501-2000",TRUE(),"5 Above 2000")</f>
        <v>4 501-2000</v>
      </c>
      <c r="P577" s="2" t="n">
        <f aca="false">Lookups!$B$2*M577+Lookups!$B$3*L577</f>
        <v>0</v>
      </c>
      <c r="Q577" s="2" t="str">
        <f aca="false">INDEX(Lookups!$E$2:$E$5,MATCH(P577,Lookups!$D$2:$D$5,0))</f>
        <v>Low</v>
      </c>
    </row>
    <row r="578" customFormat="false" ht="15" hidden="false" customHeight="false" outlineLevel="0" collapsed="false">
      <c r="A578" s="3" t="n">
        <v>577</v>
      </c>
      <c r="B578" s="3" t="n">
        <f aca="false">Raw_Data!A578</f>
        <v>44</v>
      </c>
      <c r="C578" s="3" t="str">
        <f aca="false">SUBSTITUTE(Raw_Data!B578,".","")</f>
        <v>services</v>
      </c>
      <c r="D578" s="3" t="str">
        <f aca="false">Raw_Data!C578</f>
        <v>married</v>
      </c>
      <c r="E578" s="3" t="str">
        <f aca="false">Raw_Data!D578</f>
        <v>secondary</v>
      </c>
      <c r="F578" s="3" t="str">
        <f aca="false">Raw_Data!E578</f>
        <v>no</v>
      </c>
      <c r="G578" s="3" t="n">
        <f aca="false">Raw_Data!F578</f>
        <v>0</v>
      </c>
      <c r="H578" s="3" t="str">
        <f aca="false">Raw_Data!G578</f>
        <v>yes</v>
      </c>
      <c r="I578" s="3" t="str">
        <f aca="false">Raw_Data!H578</f>
        <v>yes</v>
      </c>
      <c r="J578" s="2" t="n">
        <f aca="false">IF(F578="yes",1,0)</f>
        <v>0</v>
      </c>
      <c r="K578" s="2" t="n">
        <f aca="false">IF(H578="yes",1,0)</f>
        <v>1</v>
      </c>
      <c r="L578" s="2" t="n">
        <f aca="false">IF(I578="yes",1,0)</f>
        <v>1</v>
      </c>
      <c r="M578" s="2" t="n">
        <f aca="false">IF(G578&lt;0,1,0)</f>
        <v>0</v>
      </c>
      <c r="N578" s="2" t="str">
        <f aca="false">_xlfn.IFS(B578&lt;30,"Under 30",B578&lt;40,"30-39",B578&lt;50,"40-49",B578&lt;60,"50-59",TRUE(),"60+")</f>
        <v>40-49</v>
      </c>
      <c r="O578" s="2" t="str">
        <f aca="false">_xlfn.IFS(G578&lt;0,"1 Negative",G578=0,"2 Zero",G578&lt;=500,"3 1-500",G578&lt;=2000,"4 501-2000",TRUE(),"5 Above 2000")</f>
        <v>2 Zero</v>
      </c>
      <c r="P578" s="2" t="n">
        <f aca="false">Lookups!$B$2*M578+Lookups!$B$3*L578</f>
        <v>1</v>
      </c>
      <c r="Q578" s="2" t="str">
        <f aca="false">INDEX(Lookups!$E$2:$E$5,MATCH(P578,Lookups!$D$2:$D$5,0))</f>
        <v>Medium</v>
      </c>
    </row>
    <row r="579" customFormat="false" ht="15" hidden="false" customHeight="false" outlineLevel="0" collapsed="false">
      <c r="A579" s="3" t="n">
        <v>578</v>
      </c>
      <c r="B579" s="3" t="n">
        <f aca="false">Raw_Data!A579</f>
        <v>38</v>
      </c>
      <c r="C579" s="3" t="str">
        <f aca="false">SUBSTITUTE(Raw_Data!B579,".","")</f>
        <v>management</v>
      </c>
      <c r="D579" s="3" t="str">
        <f aca="false">Raw_Data!C579</f>
        <v>married</v>
      </c>
      <c r="E579" s="3" t="str">
        <f aca="false">Raw_Data!D579</f>
        <v>tertiary</v>
      </c>
      <c r="F579" s="3" t="str">
        <f aca="false">Raw_Data!E579</f>
        <v>no</v>
      </c>
      <c r="G579" s="3" t="n">
        <f aca="false">Raw_Data!F579</f>
        <v>-558</v>
      </c>
      <c r="H579" s="3" t="str">
        <f aca="false">Raw_Data!G579</f>
        <v>yes</v>
      </c>
      <c r="I579" s="3" t="str">
        <f aca="false">Raw_Data!H579</f>
        <v>no</v>
      </c>
      <c r="J579" s="2" t="n">
        <f aca="false">IF(F579="yes",1,0)</f>
        <v>0</v>
      </c>
      <c r="K579" s="2" t="n">
        <f aca="false">IF(H579="yes",1,0)</f>
        <v>1</v>
      </c>
      <c r="L579" s="2" t="n">
        <f aca="false">IF(I579="yes",1,0)</f>
        <v>0</v>
      </c>
      <c r="M579" s="2" t="n">
        <f aca="false">IF(G579&lt;0,1,0)</f>
        <v>1</v>
      </c>
      <c r="N579" s="2" t="str">
        <f aca="false">_xlfn.IFS(B579&lt;30,"Under 30",B579&lt;40,"30-39",B579&lt;50,"40-49",B579&lt;60,"50-59",TRUE(),"60+")</f>
        <v>30-39</v>
      </c>
      <c r="O579" s="2" t="str">
        <f aca="false">_xlfn.IFS(G579&lt;0,"1 Negative",G579=0,"2 Zero",G579&lt;=500,"3 1-500",G579&lt;=2000,"4 501-2000",TRUE(),"5 Above 2000")</f>
        <v>1 Negative</v>
      </c>
      <c r="P579" s="2" t="n">
        <f aca="false">Lookups!$B$2*M579+Lookups!$B$3*L579</f>
        <v>2</v>
      </c>
      <c r="Q579" s="2" t="str">
        <f aca="false">INDEX(Lookups!$E$2:$E$5,MATCH(P579,Lookups!$D$2:$D$5,0))</f>
        <v>High</v>
      </c>
    </row>
    <row r="580" customFormat="false" ht="15" hidden="false" customHeight="false" outlineLevel="0" collapsed="false">
      <c r="A580" s="3" t="n">
        <v>579</v>
      </c>
      <c r="B580" s="3" t="n">
        <f aca="false">Raw_Data!A580</f>
        <v>49</v>
      </c>
      <c r="C580" s="3" t="str">
        <f aca="false">SUBSTITUTE(Raw_Data!B580,".","")</f>
        <v>blue-collar</v>
      </c>
      <c r="D580" s="3" t="str">
        <f aca="false">Raw_Data!C580</f>
        <v>married</v>
      </c>
      <c r="E580" s="3" t="str">
        <f aca="false">Raw_Data!D580</f>
        <v>secondary</v>
      </c>
      <c r="F580" s="3" t="str">
        <f aca="false">Raw_Data!E580</f>
        <v>no</v>
      </c>
      <c r="G580" s="3" t="n">
        <f aca="false">Raw_Data!F580</f>
        <v>171</v>
      </c>
      <c r="H580" s="3" t="str">
        <f aca="false">Raw_Data!G580</f>
        <v>no</v>
      </c>
      <c r="I580" s="3" t="str">
        <f aca="false">Raw_Data!H580</f>
        <v>no</v>
      </c>
      <c r="J580" s="2" t="n">
        <f aca="false">IF(F580="yes",1,0)</f>
        <v>0</v>
      </c>
      <c r="K580" s="2" t="n">
        <f aca="false">IF(H580="yes",1,0)</f>
        <v>0</v>
      </c>
      <c r="L580" s="2" t="n">
        <f aca="false">IF(I580="yes",1,0)</f>
        <v>0</v>
      </c>
      <c r="M580" s="2" t="n">
        <f aca="false">IF(G580&lt;0,1,0)</f>
        <v>0</v>
      </c>
      <c r="N580" s="2" t="str">
        <f aca="false">_xlfn.IFS(B580&lt;30,"Under 30",B580&lt;40,"30-39",B580&lt;50,"40-49",B580&lt;60,"50-59",TRUE(),"60+")</f>
        <v>40-49</v>
      </c>
      <c r="O580" s="2" t="str">
        <f aca="false">_xlfn.IFS(G580&lt;0,"1 Negative",G580=0,"2 Zero",G580&lt;=500,"3 1-500",G580&lt;=2000,"4 501-2000",TRUE(),"5 Above 2000")</f>
        <v>3 1-500</v>
      </c>
      <c r="P580" s="2" t="n">
        <f aca="false">Lookups!$B$2*M580+Lookups!$B$3*L580</f>
        <v>0</v>
      </c>
      <c r="Q580" s="2" t="str">
        <f aca="false">INDEX(Lookups!$E$2:$E$5,MATCH(P580,Lookups!$D$2:$D$5,0))</f>
        <v>Low</v>
      </c>
    </row>
    <row r="581" customFormat="false" ht="15" hidden="false" customHeight="false" outlineLevel="0" collapsed="false">
      <c r="A581" s="3" t="n">
        <v>580</v>
      </c>
      <c r="B581" s="3" t="n">
        <f aca="false">Raw_Data!A581</f>
        <v>33</v>
      </c>
      <c r="C581" s="3" t="str">
        <f aca="false">SUBSTITUTE(Raw_Data!B581,".","")</f>
        <v>technician</v>
      </c>
      <c r="D581" s="3" t="str">
        <f aca="false">Raw_Data!C581</f>
        <v>single</v>
      </c>
      <c r="E581" s="3" t="str">
        <f aca="false">Raw_Data!D581</f>
        <v>tertiary</v>
      </c>
      <c r="F581" s="3" t="str">
        <f aca="false">Raw_Data!E581</f>
        <v>no</v>
      </c>
      <c r="G581" s="3" t="n">
        <f aca="false">Raw_Data!F581</f>
        <v>696</v>
      </c>
      <c r="H581" s="3" t="str">
        <f aca="false">Raw_Data!G581</f>
        <v>no</v>
      </c>
      <c r="I581" s="3" t="str">
        <f aca="false">Raw_Data!H581</f>
        <v>yes</v>
      </c>
      <c r="J581" s="2" t="n">
        <f aca="false">IF(F581="yes",1,0)</f>
        <v>0</v>
      </c>
      <c r="K581" s="2" t="n">
        <f aca="false">IF(H581="yes",1,0)</f>
        <v>0</v>
      </c>
      <c r="L581" s="2" t="n">
        <f aca="false">IF(I581="yes",1,0)</f>
        <v>1</v>
      </c>
      <c r="M581" s="2" t="n">
        <f aca="false">IF(G581&lt;0,1,0)</f>
        <v>0</v>
      </c>
      <c r="N581" s="2" t="str">
        <f aca="false">_xlfn.IFS(B581&lt;30,"Under 30",B581&lt;40,"30-39",B581&lt;50,"40-49",B581&lt;60,"50-59",TRUE(),"60+")</f>
        <v>30-39</v>
      </c>
      <c r="O581" s="2" t="str">
        <f aca="false">_xlfn.IFS(G581&lt;0,"1 Negative",G581=0,"2 Zero",G581&lt;=500,"3 1-500",G581&lt;=2000,"4 501-2000",TRUE(),"5 Above 2000")</f>
        <v>4 501-2000</v>
      </c>
      <c r="P581" s="2" t="n">
        <f aca="false">Lookups!$B$2*M581+Lookups!$B$3*L581</f>
        <v>1</v>
      </c>
      <c r="Q581" s="2" t="str">
        <f aca="false">INDEX(Lookups!$E$2:$E$5,MATCH(P581,Lookups!$D$2:$D$5,0))</f>
        <v>Medium</v>
      </c>
    </row>
    <row r="582" customFormat="false" ht="15" hidden="false" customHeight="false" outlineLevel="0" collapsed="false">
      <c r="A582" s="3" t="n">
        <v>581</v>
      </c>
      <c r="B582" s="3" t="n">
        <f aca="false">Raw_Data!A582</f>
        <v>29</v>
      </c>
      <c r="C582" s="3" t="str">
        <f aca="false">SUBSTITUTE(Raw_Data!B582,".","")</f>
        <v>management</v>
      </c>
      <c r="D582" s="3" t="str">
        <f aca="false">Raw_Data!C582</f>
        <v>married</v>
      </c>
      <c r="E582" s="3" t="str">
        <f aca="false">Raw_Data!D582</f>
        <v>tertiary</v>
      </c>
      <c r="F582" s="3" t="str">
        <f aca="false">Raw_Data!E582</f>
        <v>no</v>
      </c>
      <c r="G582" s="3" t="n">
        <f aca="false">Raw_Data!F582</f>
        <v>361</v>
      </c>
      <c r="H582" s="3" t="str">
        <f aca="false">Raw_Data!G582</f>
        <v>yes</v>
      </c>
      <c r="I582" s="3" t="str">
        <f aca="false">Raw_Data!H582</f>
        <v>yes</v>
      </c>
      <c r="J582" s="2" t="n">
        <f aca="false">IF(F582="yes",1,0)</f>
        <v>0</v>
      </c>
      <c r="K582" s="2" t="n">
        <f aca="false">IF(H582="yes",1,0)</f>
        <v>1</v>
      </c>
      <c r="L582" s="2" t="n">
        <f aca="false">IF(I582="yes",1,0)</f>
        <v>1</v>
      </c>
      <c r="M582" s="2" t="n">
        <f aca="false">IF(G582&lt;0,1,0)</f>
        <v>0</v>
      </c>
      <c r="N582" s="2" t="str">
        <f aca="false">_xlfn.IFS(B582&lt;30,"Under 30",B582&lt;40,"30-39",B582&lt;50,"40-49",B582&lt;60,"50-59",TRUE(),"60+")</f>
        <v>Under 30</v>
      </c>
      <c r="O582" s="2" t="str">
        <f aca="false">_xlfn.IFS(G582&lt;0,"1 Negative",G582=0,"2 Zero",G582&lt;=500,"3 1-500",G582&lt;=2000,"4 501-2000",TRUE(),"5 Above 2000")</f>
        <v>3 1-500</v>
      </c>
      <c r="P582" s="2" t="n">
        <f aca="false">Lookups!$B$2*M582+Lookups!$B$3*L582</f>
        <v>1</v>
      </c>
      <c r="Q582" s="2" t="str">
        <f aca="false">INDEX(Lookups!$E$2:$E$5,MATCH(P582,Lookups!$D$2:$D$5,0))</f>
        <v>Medium</v>
      </c>
    </row>
    <row r="583" customFormat="false" ht="15" hidden="false" customHeight="false" outlineLevel="0" collapsed="false">
      <c r="A583" s="3" t="n">
        <v>582</v>
      </c>
      <c r="B583" s="3" t="n">
        <f aca="false">Raw_Data!A583</f>
        <v>28</v>
      </c>
      <c r="C583" s="3" t="str">
        <f aca="false">SUBSTITUTE(Raw_Data!B583,".","")</f>
        <v>technician</v>
      </c>
      <c r="D583" s="3" t="str">
        <f aca="false">Raw_Data!C583</f>
        <v>single</v>
      </c>
      <c r="E583" s="3" t="str">
        <f aca="false">Raw_Data!D583</f>
        <v>secondary</v>
      </c>
      <c r="F583" s="3" t="str">
        <f aca="false">Raw_Data!E583</f>
        <v>no</v>
      </c>
      <c r="G583" s="3" t="n">
        <f aca="false">Raw_Data!F583</f>
        <v>227</v>
      </c>
      <c r="H583" s="3" t="str">
        <f aca="false">Raw_Data!G583</f>
        <v>no</v>
      </c>
      <c r="I583" s="3" t="str">
        <f aca="false">Raw_Data!H583</f>
        <v>no</v>
      </c>
      <c r="J583" s="2" t="n">
        <f aca="false">IF(F583="yes",1,0)</f>
        <v>0</v>
      </c>
      <c r="K583" s="2" t="n">
        <f aca="false">IF(H583="yes",1,0)</f>
        <v>0</v>
      </c>
      <c r="L583" s="2" t="n">
        <f aca="false">IF(I583="yes",1,0)</f>
        <v>0</v>
      </c>
      <c r="M583" s="2" t="n">
        <f aca="false">IF(G583&lt;0,1,0)</f>
        <v>0</v>
      </c>
      <c r="N583" s="2" t="str">
        <f aca="false">_xlfn.IFS(B583&lt;30,"Under 30",B583&lt;40,"30-39",B583&lt;50,"40-49",B583&lt;60,"50-59",TRUE(),"60+")</f>
        <v>Under 30</v>
      </c>
      <c r="O583" s="2" t="str">
        <f aca="false">_xlfn.IFS(G583&lt;0,"1 Negative",G583=0,"2 Zero",G583&lt;=500,"3 1-500",G583&lt;=2000,"4 501-2000",TRUE(),"5 Above 2000")</f>
        <v>3 1-500</v>
      </c>
      <c r="P583" s="2" t="n">
        <f aca="false">Lookups!$B$2*M583+Lookups!$B$3*L583</f>
        <v>0</v>
      </c>
      <c r="Q583" s="2" t="str">
        <f aca="false">INDEX(Lookups!$E$2:$E$5,MATCH(P583,Lookups!$D$2:$D$5,0))</f>
        <v>Low</v>
      </c>
    </row>
    <row r="584" customFormat="false" ht="15" hidden="false" customHeight="false" outlineLevel="0" collapsed="false">
      <c r="A584" s="3" t="n">
        <v>583</v>
      </c>
      <c r="B584" s="3" t="n">
        <f aca="false">Raw_Data!A584</f>
        <v>31</v>
      </c>
      <c r="C584" s="3" t="str">
        <f aca="false">SUBSTITUTE(Raw_Data!B584,".","")</f>
        <v>admin</v>
      </c>
      <c r="D584" s="3" t="str">
        <f aca="false">Raw_Data!C584</f>
        <v>married</v>
      </c>
      <c r="E584" s="3" t="str">
        <f aca="false">Raw_Data!D584</f>
        <v>secondary</v>
      </c>
      <c r="F584" s="3" t="str">
        <f aca="false">Raw_Data!E584</f>
        <v>no</v>
      </c>
      <c r="G584" s="3" t="n">
        <f aca="false">Raw_Data!F584</f>
        <v>236</v>
      </c>
      <c r="H584" s="3" t="str">
        <f aca="false">Raw_Data!G584</f>
        <v>yes</v>
      </c>
      <c r="I584" s="3" t="str">
        <f aca="false">Raw_Data!H584</f>
        <v>yes</v>
      </c>
      <c r="J584" s="2" t="n">
        <f aca="false">IF(F584="yes",1,0)</f>
        <v>0</v>
      </c>
      <c r="K584" s="2" t="n">
        <f aca="false">IF(H584="yes",1,0)</f>
        <v>1</v>
      </c>
      <c r="L584" s="2" t="n">
        <f aca="false">IF(I584="yes",1,0)</f>
        <v>1</v>
      </c>
      <c r="M584" s="2" t="n">
        <f aca="false">IF(G584&lt;0,1,0)</f>
        <v>0</v>
      </c>
      <c r="N584" s="2" t="str">
        <f aca="false">_xlfn.IFS(B584&lt;30,"Under 30",B584&lt;40,"30-39",B584&lt;50,"40-49",B584&lt;60,"50-59",TRUE(),"60+")</f>
        <v>30-39</v>
      </c>
      <c r="O584" s="2" t="str">
        <f aca="false">_xlfn.IFS(G584&lt;0,"1 Negative",G584=0,"2 Zero",G584&lt;=500,"3 1-500",G584&lt;=2000,"4 501-2000",TRUE(),"5 Above 2000")</f>
        <v>3 1-500</v>
      </c>
      <c r="P584" s="2" t="n">
        <f aca="false">Lookups!$B$2*M584+Lookups!$B$3*L584</f>
        <v>1</v>
      </c>
      <c r="Q584" s="2" t="str">
        <f aca="false">INDEX(Lookups!$E$2:$E$5,MATCH(P584,Lookups!$D$2:$D$5,0))</f>
        <v>Medium</v>
      </c>
    </row>
    <row r="585" customFormat="false" ht="15" hidden="false" customHeight="false" outlineLevel="0" collapsed="false">
      <c r="A585" s="3" t="n">
        <v>584</v>
      </c>
      <c r="B585" s="3" t="n">
        <f aca="false">Raw_Data!A585</f>
        <v>33</v>
      </c>
      <c r="C585" s="3" t="str">
        <f aca="false">SUBSTITUTE(Raw_Data!B585,".","")</f>
        <v>management</v>
      </c>
      <c r="D585" s="3" t="str">
        <f aca="false">Raw_Data!C585</f>
        <v>single</v>
      </c>
      <c r="E585" s="3" t="str">
        <f aca="false">Raw_Data!D585</f>
        <v>tertiary</v>
      </c>
      <c r="F585" s="3" t="str">
        <f aca="false">Raw_Data!E585</f>
        <v>no</v>
      </c>
      <c r="G585" s="3" t="n">
        <f aca="false">Raw_Data!F585</f>
        <v>-53</v>
      </c>
      <c r="H585" s="3" t="str">
        <f aca="false">Raw_Data!G585</f>
        <v>no</v>
      </c>
      <c r="I585" s="3" t="str">
        <f aca="false">Raw_Data!H585</f>
        <v>no</v>
      </c>
      <c r="J585" s="2" t="n">
        <f aca="false">IF(F585="yes",1,0)</f>
        <v>0</v>
      </c>
      <c r="K585" s="2" t="n">
        <f aca="false">IF(H585="yes",1,0)</f>
        <v>0</v>
      </c>
      <c r="L585" s="2" t="n">
        <f aca="false">IF(I585="yes",1,0)</f>
        <v>0</v>
      </c>
      <c r="M585" s="2" t="n">
        <f aca="false">IF(G585&lt;0,1,0)</f>
        <v>1</v>
      </c>
      <c r="N585" s="2" t="str">
        <f aca="false">_xlfn.IFS(B585&lt;30,"Under 30",B585&lt;40,"30-39",B585&lt;50,"40-49",B585&lt;60,"50-59",TRUE(),"60+")</f>
        <v>30-39</v>
      </c>
      <c r="O585" s="2" t="str">
        <f aca="false">_xlfn.IFS(G585&lt;0,"1 Negative",G585=0,"2 Zero",G585&lt;=500,"3 1-500",G585&lt;=2000,"4 501-2000",TRUE(),"5 Above 2000")</f>
        <v>1 Negative</v>
      </c>
      <c r="P585" s="2" t="n">
        <f aca="false">Lookups!$B$2*M585+Lookups!$B$3*L585</f>
        <v>2</v>
      </c>
      <c r="Q585" s="2" t="str">
        <f aca="false">INDEX(Lookups!$E$2:$E$5,MATCH(P585,Lookups!$D$2:$D$5,0))</f>
        <v>High</v>
      </c>
    </row>
    <row r="586" customFormat="false" ht="15" hidden="false" customHeight="false" outlineLevel="0" collapsed="false">
      <c r="A586" s="3" t="n">
        <v>585</v>
      </c>
      <c r="B586" s="3" t="n">
        <f aca="false">Raw_Data!A586</f>
        <v>52</v>
      </c>
      <c r="C586" s="3" t="str">
        <f aca="false">SUBSTITUTE(Raw_Data!B586,".","")</f>
        <v>technician</v>
      </c>
      <c r="D586" s="3" t="str">
        <f aca="false">Raw_Data!C586</f>
        <v>married</v>
      </c>
      <c r="E586" s="3" t="str">
        <f aca="false">Raw_Data!D586</f>
        <v>secondary</v>
      </c>
      <c r="F586" s="3" t="str">
        <f aca="false">Raw_Data!E586</f>
        <v>no</v>
      </c>
      <c r="G586" s="3" t="n">
        <f aca="false">Raw_Data!F586</f>
        <v>192</v>
      </c>
      <c r="H586" s="3" t="str">
        <f aca="false">Raw_Data!G586</f>
        <v>yes</v>
      </c>
      <c r="I586" s="3" t="str">
        <f aca="false">Raw_Data!H586</f>
        <v>no</v>
      </c>
      <c r="J586" s="2" t="n">
        <f aca="false">IF(F586="yes",1,0)</f>
        <v>0</v>
      </c>
      <c r="K586" s="2" t="n">
        <f aca="false">IF(H586="yes",1,0)</f>
        <v>1</v>
      </c>
      <c r="L586" s="2" t="n">
        <f aca="false">IF(I586="yes",1,0)</f>
        <v>0</v>
      </c>
      <c r="M586" s="2" t="n">
        <f aca="false">IF(G586&lt;0,1,0)</f>
        <v>0</v>
      </c>
      <c r="N586" s="2" t="str">
        <f aca="false">_xlfn.IFS(B586&lt;30,"Under 30",B586&lt;40,"30-39",B586&lt;50,"40-49",B586&lt;60,"50-59",TRUE(),"60+")</f>
        <v>50-59</v>
      </c>
      <c r="O586" s="2" t="str">
        <f aca="false">_xlfn.IFS(G586&lt;0,"1 Negative",G586=0,"2 Zero",G586&lt;=500,"3 1-500",G586&lt;=2000,"4 501-2000",TRUE(),"5 Above 2000")</f>
        <v>3 1-500</v>
      </c>
      <c r="P586" s="2" t="n">
        <f aca="false">Lookups!$B$2*M586+Lookups!$B$3*L586</f>
        <v>0</v>
      </c>
      <c r="Q586" s="2" t="str">
        <f aca="false">INDEX(Lookups!$E$2:$E$5,MATCH(P586,Lookups!$D$2:$D$5,0))</f>
        <v>Low</v>
      </c>
    </row>
    <row r="587" customFormat="false" ht="15" hidden="false" customHeight="false" outlineLevel="0" collapsed="false">
      <c r="A587" s="3" t="n">
        <v>586</v>
      </c>
      <c r="B587" s="3" t="n">
        <f aca="false">Raw_Data!A587</f>
        <v>43</v>
      </c>
      <c r="C587" s="3" t="str">
        <f aca="false">SUBSTITUTE(Raw_Data!B587,".","")</f>
        <v>management</v>
      </c>
      <c r="D587" s="3" t="str">
        <f aca="false">Raw_Data!C587</f>
        <v>divorced</v>
      </c>
      <c r="E587" s="3" t="str">
        <f aca="false">Raw_Data!D587</f>
        <v>tertiary</v>
      </c>
      <c r="F587" s="3" t="str">
        <f aca="false">Raw_Data!E587</f>
        <v>no</v>
      </c>
      <c r="G587" s="3" t="n">
        <f aca="false">Raw_Data!F587</f>
        <v>38</v>
      </c>
      <c r="H587" s="3" t="str">
        <f aca="false">Raw_Data!G587</f>
        <v>yes</v>
      </c>
      <c r="I587" s="3" t="str">
        <f aca="false">Raw_Data!H587</f>
        <v>no</v>
      </c>
      <c r="J587" s="2" t="n">
        <f aca="false">IF(F587="yes",1,0)</f>
        <v>0</v>
      </c>
      <c r="K587" s="2" t="n">
        <f aca="false">IF(H587="yes",1,0)</f>
        <v>1</v>
      </c>
      <c r="L587" s="2" t="n">
        <f aca="false">IF(I587="yes",1,0)</f>
        <v>0</v>
      </c>
      <c r="M587" s="2" t="n">
        <f aca="false">IF(G587&lt;0,1,0)</f>
        <v>0</v>
      </c>
      <c r="N587" s="2" t="str">
        <f aca="false">_xlfn.IFS(B587&lt;30,"Under 30",B587&lt;40,"30-39",B587&lt;50,"40-49",B587&lt;60,"50-59",TRUE(),"60+")</f>
        <v>40-49</v>
      </c>
      <c r="O587" s="2" t="str">
        <f aca="false">_xlfn.IFS(G587&lt;0,"1 Negative",G587=0,"2 Zero",G587&lt;=500,"3 1-500",G587&lt;=2000,"4 501-2000",TRUE(),"5 Above 2000")</f>
        <v>3 1-500</v>
      </c>
      <c r="P587" s="2" t="n">
        <f aca="false">Lookups!$B$2*M587+Lookups!$B$3*L587</f>
        <v>0</v>
      </c>
      <c r="Q587" s="2" t="str">
        <f aca="false">INDEX(Lookups!$E$2:$E$5,MATCH(P587,Lookups!$D$2:$D$5,0))</f>
        <v>Low</v>
      </c>
    </row>
    <row r="588" customFormat="false" ht="15" hidden="false" customHeight="false" outlineLevel="0" collapsed="false">
      <c r="A588" s="3" t="n">
        <v>587</v>
      </c>
      <c r="B588" s="3" t="n">
        <f aca="false">Raw_Data!A588</f>
        <v>32</v>
      </c>
      <c r="C588" s="3" t="str">
        <f aca="false">SUBSTITUTE(Raw_Data!B588,".","")</f>
        <v>self-employed</v>
      </c>
      <c r="D588" s="3" t="str">
        <f aca="false">Raw_Data!C588</f>
        <v>single</v>
      </c>
      <c r="E588" s="3" t="str">
        <f aca="false">Raw_Data!D588</f>
        <v>secondary</v>
      </c>
      <c r="F588" s="3" t="str">
        <f aca="false">Raw_Data!E588</f>
        <v>no</v>
      </c>
      <c r="G588" s="3" t="n">
        <f aca="false">Raw_Data!F588</f>
        <v>518</v>
      </c>
      <c r="H588" s="3" t="str">
        <f aca="false">Raw_Data!G588</f>
        <v>yes</v>
      </c>
      <c r="I588" s="3" t="str">
        <f aca="false">Raw_Data!H588</f>
        <v>no</v>
      </c>
      <c r="J588" s="2" t="n">
        <f aca="false">IF(F588="yes",1,0)</f>
        <v>0</v>
      </c>
      <c r="K588" s="2" t="n">
        <f aca="false">IF(H588="yes",1,0)</f>
        <v>1</v>
      </c>
      <c r="L588" s="2" t="n">
        <f aca="false">IF(I588="yes",1,0)</f>
        <v>0</v>
      </c>
      <c r="M588" s="2" t="n">
        <f aca="false">IF(G588&lt;0,1,0)</f>
        <v>0</v>
      </c>
      <c r="N588" s="2" t="str">
        <f aca="false">_xlfn.IFS(B588&lt;30,"Under 30",B588&lt;40,"30-39",B588&lt;50,"40-49",B588&lt;60,"50-59",TRUE(),"60+")</f>
        <v>30-39</v>
      </c>
      <c r="O588" s="2" t="str">
        <f aca="false">_xlfn.IFS(G588&lt;0,"1 Negative",G588=0,"2 Zero",G588&lt;=500,"3 1-500",G588&lt;=2000,"4 501-2000",TRUE(),"5 Above 2000")</f>
        <v>4 501-2000</v>
      </c>
      <c r="P588" s="2" t="n">
        <f aca="false">Lookups!$B$2*M588+Lookups!$B$3*L588</f>
        <v>0</v>
      </c>
      <c r="Q588" s="2" t="str">
        <f aca="false">INDEX(Lookups!$E$2:$E$5,MATCH(P588,Lookups!$D$2:$D$5,0))</f>
        <v>Low</v>
      </c>
    </row>
    <row r="589" customFormat="false" ht="15" hidden="false" customHeight="false" outlineLevel="0" collapsed="false">
      <c r="A589" s="3" t="n">
        <v>588</v>
      </c>
      <c r="B589" s="3" t="n">
        <f aca="false">Raw_Data!A589</f>
        <v>36</v>
      </c>
      <c r="C589" s="3" t="str">
        <f aca="false">SUBSTITUTE(Raw_Data!B589,".","")</f>
        <v>self-employed</v>
      </c>
      <c r="D589" s="3" t="str">
        <f aca="false">Raw_Data!C589</f>
        <v>married</v>
      </c>
      <c r="E589" s="3" t="str">
        <f aca="false">Raw_Data!D589</f>
        <v>tertiary</v>
      </c>
      <c r="F589" s="3" t="str">
        <f aca="false">Raw_Data!E589</f>
        <v>no</v>
      </c>
      <c r="G589" s="3" t="n">
        <f aca="false">Raw_Data!F589</f>
        <v>16</v>
      </c>
      <c r="H589" s="3" t="str">
        <f aca="false">Raw_Data!G589</f>
        <v>yes</v>
      </c>
      <c r="I589" s="3" t="str">
        <f aca="false">Raw_Data!H589</f>
        <v>yes</v>
      </c>
      <c r="J589" s="2" t="n">
        <f aca="false">IF(F589="yes",1,0)</f>
        <v>0</v>
      </c>
      <c r="K589" s="2" t="n">
        <f aca="false">IF(H589="yes",1,0)</f>
        <v>1</v>
      </c>
      <c r="L589" s="2" t="n">
        <f aca="false">IF(I589="yes",1,0)</f>
        <v>1</v>
      </c>
      <c r="M589" s="2" t="n">
        <f aca="false">IF(G589&lt;0,1,0)</f>
        <v>0</v>
      </c>
      <c r="N589" s="2" t="str">
        <f aca="false">_xlfn.IFS(B589&lt;30,"Under 30",B589&lt;40,"30-39",B589&lt;50,"40-49",B589&lt;60,"50-59",TRUE(),"60+")</f>
        <v>30-39</v>
      </c>
      <c r="O589" s="2" t="str">
        <f aca="false">_xlfn.IFS(G589&lt;0,"1 Negative",G589=0,"2 Zero",G589&lt;=500,"3 1-500",G589&lt;=2000,"4 501-2000",TRUE(),"5 Above 2000")</f>
        <v>3 1-500</v>
      </c>
      <c r="P589" s="2" t="n">
        <f aca="false">Lookups!$B$2*M589+Lookups!$B$3*L589</f>
        <v>1</v>
      </c>
      <c r="Q589" s="2" t="str">
        <f aca="false">INDEX(Lookups!$E$2:$E$5,MATCH(P589,Lookups!$D$2:$D$5,0))</f>
        <v>Medium</v>
      </c>
    </row>
    <row r="590" customFormat="false" ht="15" hidden="false" customHeight="false" outlineLevel="0" collapsed="false">
      <c r="A590" s="3" t="n">
        <v>589</v>
      </c>
      <c r="B590" s="3" t="n">
        <f aca="false">Raw_Data!A590</f>
        <v>41</v>
      </c>
      <c r="C590" s="3" t="str">
        <f aca="false">SUBSTITUTE(Raw_Data!B590,".","")</f>
        <v>blue-collar</v>
      </c>
      <c r="D590" s="3" t="str">
        <f aca="false">Raw_Data!C590</f>
        <v>married</v>
      </c>
      <c r="E590" s="3" t="str">
        <f aca="false">Raw_Data!D590</f>
        <v>secondary</v>
      </c>
      <c r="F590" s="3" t="str">
        <f aca="false">Raw_Data!E590</f>
        <v>no</v>
      </c>
      <c r="G590" s="3" t="n">
        <f aca="false">Raw_Data!F590</f>
        <v>-256</v>
      </c>
      <c r="H590" s="3" t="str">
        <f aca="false">Raw_Data!G590</f>
        <v>yes</v>
      </c>
      <c r="I590" s="3" t="str">
        <f aca="false">Raw_Data!H590</f>
        <v>no</v>
      </c>
      <c r="J590" s="2" t="n">
        <f aca="false">IF(F590="yes",1,0)</f>
        <v>0</v>
      </c>
      <c r="K590" s="2" t="n">
        <f aca="false">IF(H590="yes",1,0)</f>
        <v>1</v>
      </c>
      <c r="L590" s="2" t="n">
        <f aca="false">IF(I590="yes",1,0)</f>
        <v>0</v>
      </c>
      <c r="M590" s="2" t="n">
        <f aca="false">IF(G590&lt;0,1,0)</f>
        <v>1</v>
      </c>
      <c r="N590" s="2" t="str">
        <f aca="false">_xlfn.IFS(B590&lt;30,"Under 30",B590&lt;40,"30-39",B590&lt;50,"40-49",B590&lt;60,"50-59",TRUE(),"60+")</f>
        <v>40-49</v>
      </c>
      <c r="O590" s="2" t="str">
        <f aca="false">_xlfn.IFS(G590&lt;0,"1 Negative",G590=0,"2 Zero",G590&lt;=500,"3 1-500",G590&lt;=2000,"4 501-2000",TRUE(),"5 Above 2000")</f>
        <v>1 Negative</v>
      </c>
      <c r="P590" s="2" t="n">
        <f aca="false">Lookups!$B$2*M590+Lookups!$B$3*L590</f>
        <v>2</v>
      </c>
      <c r="Q590" s="2" t="str">
        <f aca="false">INDEX(Lookups!$E$2:$E$5,MATCH(P590,Lookups!$D$2:$D$5,0))</f>
        <v>High</v>
      </c>
    </row>
    <row r="591" customFormat="false" ht="15" hidden="false" customHeight="false" outlineLevel="0" collapsed="false">
      <c r="A591" s="3" t="n">
        <v>590</v>
      </c>
      <c r="B591" s="3" t="n">
        <f aca="false">Raw_Data!A591</f>
        <v>43</v>
      </c>
      <c r="C591" s="3" t="str">
        <f aca="false">SUBSTITUTE(Raw_Data!B591,".","")</f>
        <v>blue-collar</v>
      </c>
      <c r="D591" s="3" t="str">
        <f aca="false">Raw_Data!C591</f>
        <v>married</v>
      </c>
      <c r="E591" s="3" t="str">
        <f aca="false">Raw_Data!D591</f>
        <v>secondary</v>
      </c>
      <c r="F591" s="3" t="str">
        <f aca="false">Raw_Data!E591</f>
        <v>no</v>
      </c>
      <c r="G591" s="3" t="n">
        <f aca="false">Raw_Data!F591</f>
        <v>105</v>
      </c>
      <c r="H591" s="3" t="str">
        <f aca="false">Raw_Data!G591</f>
        <v>no</v>
      </c>
      <c r="I591" s="3" t="str">
        <f aca="false">Raw_Data!H591</f>
        <v>yes</v>
      </c>
      <c r="J591" s="2" t="n">
        <f aca="false">IF(F591="yes",1,0)</f>
        <v>0</v>
      </c>
      <c r="K591" s="2" t="n">
        <f aca="false">IF(H591="yes",1,0)</f>
        <v>0</v>
      </c>
      <c r="L591" s="2" t="n">
        <f aca="false">IF(I591="yes",1,0)</f>
        <v>1</v>
      </c>
      <c r="M591" s="2" t="n">
        <f aca="false">IF(G591&lt;0,1,0)</f>
        <v>0</v>
      </c>
      <c r="N591" s="2" t="str">
        <f aca="false">_xlfn.IFS(B591&lt;30,"Under 30",B591&lt;40,"30-39",B591&lt;50,"40-49",B591&lt;60,"50-59",TRUE(),"60+")</f>
        <v>40-49</v>
      </c>
      <c r="O591" s="2" t="str">
        <f aca="false">_xlfn.IFS(G591&lt;0,"1 Negative",G591=0,"2 Zero",G591&lt;=500,"3 1-500",G591&lt;=2000,"4 501-2000",TRUE(),"5 Above 2000")</f>
        <v>3 1-500</v>
      </c>
      <c r="P591" s="2" t="n">
        <f aca="false">Lookups!$B$2*M591+Lookups!$B$3*L591</f>
        <v>1</v>
      </c>
      <c r="Q591" s="2" t="str">
        <f aca="false">INDEX(Lookups!$E$2:$E$5,MATCH(P591,Lookups!$D$2:$D$5,0))</f>
        <v>Medium</v>
      </c>
    </row>
    <row r="592" customFormat="false" ht="15" hidden="false" customHeight="false" outlineLevel="0" collapsed="false">
      <c r="A592" s="3" t="n">
        <v>591</v>
      </c>
      <c r="B592" s="3" t="n">
        <f aca="false">Raw_Data!A592</f>
        <v>45</v>
      </c>
      <c r="C592" s="3" t="str">
        <f aca="false">SUBSTITUTE(Raw_Data!B592,".","")</f>
        <v>self-employed</v>
      </c>
      <c r="D592" s="3" t="str">
        <f aca="false">Raw_Data!C592</f>
        <v>married</v>
      </c>
      <c r="E592" s="3" t="str">
        <f aca="false">Raw_Data!D592</f>
        <v>tertiary</v>
      </c>
      <c r="F592" s="3" t="str">
        <f aca="false">Raw_Data!E592</f>
        <v>no</v>
      </c>
      <c r="G592" s="3" t="n">
        <f aca="false">Raw_Data!F592</f>
        <v>334</v>
      </c>
      <c r="H592" s="3" t="str">
        <f aca="false">Raw_Data!G592</f>
        <v>no</v>
      </c>
      <c r="I592" s="3" t="str">
        <f aca="false">Raw_Data!H592</f>
        <v>no</v>
      </c>
      <c r="J592" s="2" t="n">
        <f aca="false">IF(F592="yes",1,0)</f>
        <v>0</v>
      </c>
      <c r="K592" s="2" t="n">
        <f aca="false">IF(H592="yes",1,0)</f>
        <v>0</v>
      </c>
      <c r="L592" s="2" t="n">
        <f aca="false">IF(I592="yes",1,0)</f>
        <v>0</v>
      </c>
      <c r="M592" s="2" t="n">
        <f aca="false">IF(G592&lt;0,1,0)</f>
        <v>0</v>
      </c>
      <c r="N592" s="2" t="str">
        <f aca="false">_xlfn.IFS(B592&lt;30,"Under 30",B592&lt;40,"30-39",B592&lt;50,"40-49",B592&lt;60,"50-59",TRUE(),"60+")</f>
        <v>40-49</v>
      </c>
      <c r="O592" s="2" t="str">
        <f aca="false">_xlfn.IFS(G592&lt;0,"1 Negative",G592=0,"2 Zero",G592&lt;=500,"3 1-500",G592&lt;=2000,"4 501-2000",TRUE(),"5 Above 2000")</f>
        <v>3 1-500</v>
      </c>
      <c r="P592" s="2" t="n">
        <f aca="false">Lookups!$B$2*M592+Lookups!$B$3*L592</f>
        <v>0</v>
      </c>
      <c r="Q592" s="2" t="str">
        <f aca="false">INDEX(Lookups!$E$2:$E$5,MATCH(P592,Lookups!$D$2:$D$5,0))</f>
        <v>Low</v>
      </c>
    </row>
    <row r="593" customFormat="false" ht="15" hidden="false" customHeight="false" outlineLevel="0" collapsed="false">
      <c r="A593" s="3" t="n">
        <v>592</v>
      </c>
      <c r="B593" s="3" t="n">
        <f aca="false">Raw_Data!A593</f>
        <v>39</v>
      </c>
      <c r="C593" s="3" t="str">
        <f aca="false">SUBSTITUTE(Raw_Data!B593,".","")</f>
        <v>technician</v>
      </c>
      <c r="D593" s="3" t="str">
        <f aca="false">Raw_Data!C593</f>
        <v>married</v>
      </c>
      <c r="E593" s="3" t="str">
        <f aca="false">Raw_Data!D593</f>
        <v>secondary</v>
      </c>
      <c r="F593" s="3" t="str">
        <f aca="false">Raw_Data!E593</f>
        <v>no</v>
      </c>
      <c r="G593" s="3" t="n">
        <f aca="false">Raw_Data!F593</f>
        <v>1048</v>
      </c>
      <c r="H593" s="3" t="str">
        <f aca="false">Raw_Data!G593</f>
        <v>no</v>
      </c>
      <c r="I593" s="3" t="str">
        <f aca="false">Raw_Data!H593</f>
        <v>yes</v>
      </c>
      <c r="J593" s="2" t="n">
        <f aca="false">IF(F593="yes",1,0)</f>
        <v>0</v>
      </c>
      <c r="K593" s="2" t="n">
        <f aca="false">IF(H593="yes",1,0)</f>
        <v>0</v>
      </c>
      <c r="L593" s="2" t="n">
        <f aca="false">IF(I593="yes",1,0)</f>
        <v>1</v>
      </c>
      <c r="M593" s="2" t="n">
        <f aca="false">IF(G593&lt;0,1,0)</f>
        <v>0</v>
      </c>
      <c r="N593" s="2" t="str">
        <f aca="false">_xlfn.IFS(B593&lt;30,"Under 30",B593&lt;40,"30-39",B593&lt;50,"40-49",B593&lt;60,"50-59",TRUE(),"60+")</f>
        <v>30-39</v>
      </c>
      <c r="O593" s="2" t="str">
        <f aca="false">_xlfn.IFS(G593&lt;0,"1 Negative",G593=0,"2 Zero",G593&lt;=500,"3 1-500",G593&lt;=2000,"4 501-2000",TRUE(),"5 Above 2000")</f>
        <v>4 501-2000</v>
      </c>
      <c r="P593" s="2" t="n">
        <f aca="false">Lookups!$B$2*M593+Lookups!$B$3*L593</f>
        <v>1</v>
      </c>
      <c r="Q593" s="2" t="str">
        <f aca="false">INDEX(Lookups!$E$2:$E$5,MATCH(P593,Lookups!$D$2:$D$5,0))</f>
        <v>Medium</v>
      </c>
    </row>
    <row r="594" customFormat="false" ht="15" hidden="false" customHeight="false" outlineLevel="0" collapsed="false">
      <c r="A594" s="3" t="n">
        <v>593</v>
      </c>
      <c r="B594" s="3" t="n">
        <f aca="false">Raw_Data!A594</f>
        <v>41</v>
      </c>
      <c r="C594" s="3" t="str">
        <f aca="false">SUBSTITUTE(Raw_Data!B594,".","")</f>
        <v>services</v>
      </c>
      <c r="D594" s="3" t="str">
        <f aca="false">Raw_Data!C594</f>
        <v>married</v>
      </c>
      <c r="E594" s="3" t="str">
        <f aca="false">Raw_Data!D594</f>
        <v>secondary</v>
      </c>
      <c r="F594" s="3" t="str">
        <f aca="false">Raw_Data!E594</f>
        <v>no</v>
      </c>
      <c r="G594" s="3" t="n">
        <f aca="false">Raw_Data!F594</f>
        <v>108</v>
      </c>
      <c r="H594" s="3" t="str">
        <f aca="false">Raw_Data!G594</f>
        <v>yes</v>
      </c>
      <c r="I594" s="3" t="str">
        <f aca="false">Raw_Data!H594</f>
        <v>yes</v>
      </c>
      <c r="J594" s="2" t="n">
        <f aca="false">IF(F594="yes",1,0)</f>
        <v>0</v>
      </c>
      <c r="K594" s="2" t="n">
        <f aca="false">IF(H594="yes",1,0)</f>
        <v>1</v>
      </c>
      <c r="L594" s="2" t="n">
        <f aca="false">IF(I594="yes",1,0)</f>
        <v>1</v>
      </c>
      <c r="M594" s="2" t="n">
        <f aca="false">IF(G594&lt;0,1,0)</f>
        <v>0</v>
      </c>
      <c r="N594" s="2" t="str">
        <f aca="false">_xlfn.IFS(B594&lt;30,"Under 30",B594&lt;40,"30-39",B594&lt;50,"40-49",B594&lt;60,"50-59",TRUE(),"60+")</f>
        <v>40-49</v>
      </c>
      <c r="O594" s="2" t="str">
        <f aca="false">_xlfn.IFS(G594&lt;0,"1 Negative",G594=0,"2 Zero",G594&lt;=500,"3 1-500",G594&lt;=2000,"4 501-2000",TRUE(),"5 Above 2000")</f>
        <v>3 1-500</v>
      </c>
      <c r="P594" s="2" t="n">
        <f aca="false">Lookups!$B$2*M594+Lookups!$B$3*L594</f>
        <v>1</v>
      </c>
      <c r="Q594" s="2" t="str">
        <f aca="false">INDEX(Lookups!$E$2:$E$5,MATCH(P594,Lookups!$D$2:$D$5,0))</f>
        <v>Medium</v>
      </c>
    </row>
    <row r="595" customFormat="false" ht="15" hidden="false" customHeight="false" outlineLevel="0" collapsed="false">
      <c r="A595" s="3" t="n">
        <v>594</v>
      </c>
      <c r="B595" s="3" t="n">
        <f aca="false">Raw_Data!A595</f>
        <v>31</v>
      </c>
      <c r="C595" s="3" t="str">
        <f aca="false">SUBSTITUTE(Raw_Data!B595,".","")</f>
        <v>technician</v>
      </c>
      <c r="D595" s="3" t="str">
        <f aca="false">Raw_Data!C595</f>
        <v>married</v>
      </c>
      <c r="E595" s="3" t="str">
        <f aca="false">Raw_Data!D595</f>
        <v>secondary</v>
      </c>
      <c r="F595" s="3" t="str">
        <f aca="false">Raw_Data!E595</f>
        <v>no</v>
      </c>
      <c r="G595" s="3" t="n">
        <f aca="false">Raw_Data!F595</f>
        <v>660</v>
      </c>
      <c r="H595" s="3" t="str">
        <f aca="false">Raw_Data!G595</f>
        <v>no</v>
      </c>
      <c r="I595" s="3" t="str">
        <f aca="false">Raw_Data!H595</f>
        <v>no</v>
      </c>
      <c r="J595" s="2" t="n">
        <f aca="false">IF(F595="yes",1,0)</f>
        <v>0</v>
      </c>
      <c r="K595" s="2" t="n">
        <f aca="false">IF(H595="yes",1,0)</f>
        <v>0</v>
      </c>
      <c r="L595" s="2" t="n">
        <f aca="false">IF(I595="yes",1,0)</f>
        <v>0</v>
      </c>
      <c r="M595" s="2" t="n">
        <f aca="false">IF(G595&lt;0,1,0)</f>
        <v>0</v>
      </c>
      <c r="N595" s="2" t="str">
        <f aca="false">_xlfn.IFS(B595&lt;30,"Under 30",B595&lt;40,"30-39",B595&lt;50,"40-49",B595&lt;60,"50-59",TRUE(),"60+")</f>
        <v>30-39</v>
      </c>
      <c r="O595" s="2" t="str">
        <f aca="false">_xlfn.IFS(G595&lt;0,"1 Negative",G595=0,"2 Zero",G595&lt;=500,"3 1-500",G595&lt;=2000,"4 501-2000",TRUE(),"5 Above 2000")</f>
        <v>4 501-2000</v>
      </c>
      <c r="P595" s="2" t="n">
        <f aca="false">Lookups!$B$2*M595+Lookups!$B$3*L595</f>
        <v>0</v>
      </c>
      <c r="Q595" s="2" t="str">
        <f aca="false">INDEX(Lookups!$E$2:$E$5,MATCH(P595,Lookups!$D$2:$D$5,0))</f>
        <v>Low</v>
      </c>
    </row>
    <row r="596" customFormat="false" ht="15" hidden="false" customHeight="false" outlineLevel="0" collapsed="false">
      <c r="A596" s="3" t="n">
        <v>595</v>
      </c>
      <c r="B596" s="3" t="n">
        <f aca="false">Raw_Data!A596</f>
        <v>37</v>
      </c>
      <c r="C596" s="3" t="str">
        <f aca="false">SUBSTITUTE(Raw_Data!B596,".","")</f>
        <v>unemployed</v>
      </c>
      <c r="D596" s="3" t="str">
        <f aca="false">Raw_Data!C596</f>
        <v>single</v>
      </c>
      <c r="E596" s="3" t="str">
        <f aca="false">Raw_Data!D596</f>
        <v>tertiary</v>
      </c>
      <c r="F596" s="3" t="str">
        <f aca="false">Raw_Data!E596</f>
        <v>yes</v>
      </c>
      <c r="G596" s="3" t="n">
        <f aca="false">Raw_Data!F596</f>
        <v>0</v>
      </c>
      <c r="H596" s="3" t="str">
        <f aca="false">Raw_Data!G596</f>
        <v>yes</v>
      </c>
      <c r="I596" s="3" t="str">
        <f aca="false">Raw_Data!H596</f>
        <v>no</v>
      </c>
      <c r="J596" s="2" t="n">
        <f aca="false">IF(F596="yes",1,0)</f>
        <v>1</v>
      </c>
      <c r="K596" s="2" t="n">
        <f aca="false">IF(H596="yes",1,0)</f>
        <v>1</v>
      </c>
      <c r="L596" s="2" t="n">
        <f aca="false">IF(I596="yes",1,0)</f>
        <v>0</v>
      </c>
      <c r="M596" s="2" t="n">
        <f aca="false">IF(G596&lt;0,1,0)</f>
        <v>0</v>
      </c>
      <c r="N596" s="2" t="str">
        <f aca="false">_xlfn.IFS(B596&lt;30,"Under 30",B596&lt;40,"30-39",B596&lt;50,"40-49",B596&lt;60,"50-59",TRUE(),"60+")</f>
        <v>30-39</v>
      </c>
      <c r="O596" s="2" t="str">
        <f aca="false">_xlfn.IFS(G596&lt;0,"1 Negative",G596=0,"2 Zero",G596&lt;=500,"3 1-500",G596&lt;=2000,"4 501-2000",TRUE(),"5 Above 2000")</f>
        <v>2 Zero</v>
      </c>
      <c r="P596" s="2" t="n">
        <f aca="false">Lookups!$B$2*M596+Lookups!$B$3*L596</f>
        <v>0</v>
      </c>
      <c r="Q596" s="2" t="str">
        <f aca="false">INDEX(Lookups!$E$2:$E$5,MATCH(P596,Lookups!$D$2:$D$5,0))</f>
        <v>Low</v>
      </c>
    </row>
    <row r="597" customFormat="false" ht="15" hidden="false" customHeight="false" outlineLevel="0" collapsed="false">
      <c r="A597" s="3" t="n">
        <v>596</v>
      </c>
      <c r="B597" s="3" t="n">
        <f aca="false">Raw_Data!A597</f>
        <v>28</v>
      </c>
      <c r="C597" s="3" t="str">
        <f aca="false">SUBSTITUTE(Raw_Data!B597,".","")</f>
        <v>entrepreneur</v>
      </c>
      <c r="D597" s="3" t="str">
        <f aca="false">Raw_Data!C597</f>
        <v>married</v>
      </c>
      <c r="E597" s="3" t="str">
        <f aca="false">Raw_Data!D597</f>
        <v>unknown</v>
      </c>
      <c r="F597" s="3" t="str">
        <f aca="false">Raw_Data!E597</f>
        <v>no</v>
      </c>
      <c r="G597" s="3" t="n">
        <f aca="false">Raw_Data!F597</f>
        <v>1034</v>
      </c>
      <c r="H597" s="3" t="str">
        <f aca="false">Raw_Data!G597</f>
        <v>no</v>
      </c>
      <c r="I597" s="3" t="str">
        <f aca="false">Raw_Data!H597</f>
        <v>no</v>
      </c>
      <c r="J597" s="2" t="n">
        <f aca="false">IF(F597="yes",1,0)</f>
        <v>0</v>
      </c>
      <c r="K597" s="2" t="n">
        <f aca="false">IF(H597="yes",1,0)</f>
        <v>0</v>
      </c>
      <c r="L597" s="2" t="n">
        <f aca="false">IF(I597="yes",1,0)</f>
        <v>0</v>
      </c>
      <c r="M597" s="2" t="n">
        <f aca="false">IF(G597&lt;0,1,0)</f>
        <v>0</v>
      </c>
      <c r="N597" s="2" t="str">
        <f aca="false">_xlfn.IFS(B597&lt;30,"Under 30",B597&lt;40,"30-39",B597&lt;50,"40-49",B597&lt;60,"50-59",TRUE(),"60+")</f>
        <v>Under 30</v>
      </c>
      <c r="O597" s="2" t="str">
        <f aca="false">_xlfn.IFS(G597&lt;0,"1 Negative",G597=0,"2 Zero",G597&lt;=500,"3 1-500",G597&lt;=2000,"4 501-2000",TRUE(),"5 Above 2000")</f>
        <v>4 501-2000</v>
      </c>
      <c r="P597" s="2" t="n">
        <f aca="false">Lookups!$B$2*M597+Lookups!$B$3*L597</f>
        <v>0</v>
      </c>
      <c r="Q597" s="2" t="str">
        <f aca="false">INDEX(Lookups!$E$2:$E$5,MATCH(P597,Lookups!$D$2:$D$5,0))</f>
        <v>Low</v>
      </c>
    </row>
    <row r="598" customFormat="false" ht="15" hidden="false" customHeight="false" outlineLevel="0" collapsed="false">
      <c r="A598" s="3" t="n">
        <v>597</v>
      </c>
      <c r="B598" s="3" t="n">
        <f aca="false">Raw_Data!A598</f>
        <v>47</v>
      </c>
      <c r="C598" s="3" t="str">
        <f aca="false">SUBSTITUTE(Raw_Data!B598,".","")</f>
        <v>housemaid</v>
      </c>
      <c r="D598" s="3" t="str">
        <f aca="false">Raw_Data!C598</f>
        <v>married</v>
      </c>
      <c r="E598" s="3" t="str">
        <f aca="false">Raw_Data!D598</f>
        <v>primary</v>
      </c>
      <c r="F598" s="3" t="str">
        <f aca="false">Raw_Data!E598</f>
        <v>no</v>
      </c>
      <c r="G598" s="3" t="n">
        <f aca="false">Raw_Data!F598</f>
        <v>201</v>
      </c>
      <c r="H598" s="3" t="str">
        <f aca="false">Raw_Data!G598</f>
        <v>yes</v>
      </c>
      <c r="I598" s="3" t="str">
        <f aca="false">Raw_Data!H598</f>
        <v>no</v>
      </c>
      <c r="J598" s="2" t="n">
        <f aca="false">IF(F598="yes",1,0)</f>
        <v>0</v>
      </c>
      <c r="K598" s="2" t="n">
        <f aca="false">IF(H598="yes",1,0)</f>
        <v>1</v>
      </c>
      <c r="L598" s="2" t="n">
        <f aca="false">IF(I598="yes",1,0)</f>
        <v>0</v>
      </c>
      <c r="M598" s="2" t="n">
        <f aca="false">IF(G598&lt;0,1,0)</f>
        <v>0</v>
      </c>
      <c r="N598" s="2" t="str">
        <f aca="false">_xlfn.IFS(B598&lt;30,"Under 30",B598&lt;40,"30-39",B598&lt;50,"40-49",B598&lt;60,"50-59",TRUE(),"60+")</f>
        <v>40-49</v>
      </c>
      <c r="O598" s="2" t="str">
        <f aca="false">_xlfn.IFS(G598&lt;0,"1 Negative",G598=0,"2 Zero",G598&lt;=500,"3 1-500",G598&lt;=2000,"4 501-2000",TRUE(),"5 Above 2000")</f>
        <v>3 1-500</v>
      </c>
      <c r="P598" s="2" t="n">
        <f aca="false">Lookups!$B$2*M598+Lookups!$B$3*L598</f>
        <v>0</v>
      </c>
      <c r="Q598" s="2" t="str">
        <f aca="false">INDEX(Lookups!$E$2:$E$5,MATCH(P598,Lookups!$D$2:$D$5,0))</f>
        <v>Low</v>
      </c>
    </row>
    <row r="599" customFormat="false" ht="15" hidden="false" customHeight="false" outlineLevel="0" collapsed="false">
      <c r="A599" s="3" t="n">
        <v>598</v>
      </c>
      <c r="B599" s="3" t="n">
        <f aca="false">Raw_Data!A599</f>
        <v>37</v>
      </c>
      <c r="C599" s="3" t="str">
        <f aca="false">SUBSTITUTE(Raw_Data!B599,".","")</f>
        <v>housemaid</v>
      </c>
      <c r="D599" s="3" t="str">
        <f aca="false">Raw_Data!C599</f>
        <v>married</v>
      </c>
      <c r="E599" s="3" t="str">
        <f aca="false">Raw_Data!D599</f>
        <v>primary</v>
      </c>
      <c r="F599" s="3" t="str">
        <f aca="false">Raw_Data!E599</f>
        <v>no</v>
      </c>
      <c r="G599" s="3" t="n">
        <f aca="false">Raw_Data!F599</f>
        <v>189</v>
      </c>
      <c r="H599" s="3" t="str">
        <f aca="false">Raw_Data!G599</f>
        <v>no</v>
      </c>
      <c r="I599" s="3" t="str">
        <f aca="false">Raw_Data!H599</f>
        <v>no</v>
      </c>
      <c r="J599" s="2" t="n">
        <f aca="false">IF(F599="yes",1,0)</f>
        <v>0</v>
      </c>
      <c r="K599" s="2" t="n">
        <f aca="false">IF(H599="yes",1,0)</f>
        <v>0</v>
      </c>
      <c r="L599" s="2" t="n">
        <f aca="false">IF(I599="yes",1,0)</f>
        <v>0</v>
      </c>
      <c r="M599" s="2" t="n">
        <f aca="false">IF(G599&lt;0,1,0)</f>
        <v>0</v>
      </c>
      <c r="N599" s="2" t="str">
        <f aca="false">_xlfn.IFS(B599&lt;30,"Under 30",B599&lt;40,"30-39",B599&lt;50,"40-49",B599&lt;60,"50-59",TRUE(),"60+")</f>
        <v>30-39</v>
      </c>
      <c r="O599" s="2" t="str">
        <f aca="false">_xlfn.IFS(G599&lt;0,"1 Negative",G599=0,"2 Zero",G599&lt;=500,"3 1-500",G599&lt;=2000,"4 501-2000",TRUE(),"5 Above 2000")</f>
        <v>3 1-500</v>
      </c>
      <c r="P599" s="2" t="n">
        <f aca="false">Lookups!$B$2*M599+Lookups!$B$3*L599</f>
        <v>0</v>
      </c>
      <c r="Q599" s="2" t="str">
        <f aca="false">INDEX(Lookups!$E$2:$E$5,MATCH(P599,Lookups!$D$2:$D$5,0))</f>
        <v>Low</v>
      </c>
    </row>
    <row r="600" customFormat="false" ht="15" hidden="false" customHeight="false" outlineLevel="0" collapsed="false">
      <c r="A600" s="3" t="n">
        <v>599</v>
      </c>
      <c r="B600" s="3" t="n">
        <f aca="false">Raw_Data!A600</f>
        <v>60</v>
      </c>
      <c r="C600" s="3" t="str">
        <f aca="false">SUBSTITUTE(Raw_Data!B600,".","")</f>
        <v>retired</v>
      </c>
      <c r="D600" s="3" t="str">
        <f aca="false">Raw_Data!C600</f>
        <v>divorced</v>
      </c>
      <c r="E600" s="3" t="str">
        <f aca="false">Raw_Data!D600</f>
        <v>unknown</v>
      </c>
      <c r="F600" s="3" t="str">
        <f aca="false">Raw_Data!E600</f>
        <v>no</v>
      </c>
      <c r="G600" s="3" t="n">
        <f aca="false">Raw_Data!F600</f>
        <v>-49</v>
      </c>
      <c r="H600" s="3" t="str">
        <f aca="false">Raw_Data!G600</f>
        <v>yes</v>
      </c>
      <c r="I600" s="3" t="str">
        <f aca="false">Raw_Data!H600</f>
        <v>no</v>
      </c>
      <c r="J600" s="2" t="n">
        <f aca="false">IF(F600="yes",1,0)</f>
        <v>0</v>
      </c>
      <c r="K600" s="2" t="n">
        <f aca="false">IF(H600="yes",1,0)</f>
        <v>1</v>
      </c>
      <c r="L600" s="2" t="n">
        <f aca="false">IF(I600="yes",1,0)</f>
        <v>0</v>
      </c>
      <c r="M600" s="2" t="n">
        <f aca="false">IF(G600&lt;0,1,0)</f>
        <v>1</v>
      </c>
      <c r="N600" s="2" t="str">
        <f aca="false">_xlfn.IFS(B600&lt;30,"Under 30",B600&lt;40,"30-39",B600&lt;50,"40-49",B600&lt;60,"50-59",TRUE(),"60+")</f>
        <v>60+</v>
      </c>
      <c r="O600" s="2" t="str">
        <f aca="false">_xlfn.IFS(G600&lt;0,"1 Negative",G600=0,"2 Zero",G600&lt;=500,"3 1-500",G600&lt;=2000,"4 501-2000",TRUE(),"5 Above 2000")</f>
        <v>1 Negative</v>
      </c>
      <c r="P600" s="2" t="n">
        <f aca="false">Lookups!$B$2*M600+Lookups!$B$3*L600</f>
        <v>2</v>
      </c>
      <c r="Q600" s="2" t="str">
        <f aca="false">INDEX(Lookups!$E$2:$E$5,MATCH(P600,Lookups!$D$2:$D$5,0))</f>
        <v>High</v>
      </c>
    </row>
    <row r="601" customFormat="false" ht="15" hidden="false" customHeight="false" outlineLevel="0" collapsed="false">
      <c r="A601" s="3" t="n">
        <v>600</v>
      </c>
      <c r="B601" s="3" t="n">
        <f aca="false">Raw_Data!A601</f>
        <v>43</v>
      </c>
      <c r="C601" s="3" t="str">
        <f aca="false">SUBSTITUTE(Raw_Data!B601,".","")</f>
        <v>technician</v>
      </c>
      <c r="D601" s="3" t="str">
        <f aca="false">Raw_Data!C601</f>
        <v>divorced</v>
      </c>
      <c r="E601" s="3" t="str">
        <f aca="false">Raw_Data!D601</f>
        <v>secondary</v>
      </c>
      <c r="F601" s="3" t="str">
        <f aca="false">Raw_Data!E601</f>
        <v>no</v>
      </c>
      <c r="G601" s="3" t="n">
        <f aca="false">Raw_Data!F601</f>
        <v>1413</v>
      </c>
      <c r="H601" s="3" t="str">
        <f aca="false">Raw_Data!G601</f>
        <v>yes</v>
      </c>
      <c r="I601" s="3" t="str">
        <f aca="false">Raw_Data!H601</f>
        <v>no</v>
      </c>
      <c r="J601" s="2" t="n">
        <f aca="false">IF(F601="yes",1,0)</f>
        <v>0</v>
      </c>
      <c r="K601" s="2" t="n">
        <f aca="false">IF(H601="yes",1,0)</f>
        <v>1</v>
      </c>
      <c r="L601" s="2" t="n">
        <f aca="false">IF(I601="yes",1,0)</f>
        <v>0</v>
      </c>
      <c r="M601" s="2" t="n">
        <f aca="false">IF(G601&lt;0,1,0)</f>
        <v>0</v>
      </c>
      <c r="N601" s="2" t="str">
        <f aca="false">_xlfn.IFS(B601&lt;30,"Under 30",B601&lt;40,"30-39",B601&lt;50,"40-49",B601&lt;60,"50-59",TRUE(),"60+")</f>
        <v>40-49</v>
      </c>
      <c r="O601" s="2" t="str">
        <f aca="false">_xlfn.IFS(G601&lt;0,"1 Negative",G601=0,"2 Zero",G601&lt;=500,"3 1-500",G601&lt;=2000,"4 501-2000",TRUE(),"5 Above 2000")</f>
        <v>4 501-2000</v>
      </c>
      <c r="P601" s="2" t="n">
        <f aca="false">Lookups!$B$2*M601+Lookups!$B$3*L601</f>
        <v>0</v>
      </c>
      <c r="Q601" s="2" t="str">
        <f aca="false">INDEX(Lookups!$E$2:$E$5,MATCH(P601,Lookups!$D$2:$D$5,0))</f>
        <v>Low</v>
      </c>
    </row>
    <row r="602" customFormat="false" ht="15" hidden="false" customHeight="false" outlineLevel="0" collapsed="false">
      <c r="A602" s="3" t="n">
        <v>601</v>
      </c>
      <c r="B602" s="3" t="n">
        <f aca="false">Raw_Data!A602</f>
        <v>58</v>
      </c>
      <c r="C602" s="3" t="str">
        <f aca="false">SUBSTITUTE(Raw_Data!B602,".","")</f>
        <v>retired</v>
      </c>
      <c r="D602" s="3" t="str">
        <f aca="false">Raw_Data!C602</f>
        <v>divorced</v>
      </c>
      <c r="E602" s="3" t="str">
        <f aca="false">Raw_Data!D602</f>
        <v>tertiary</v>
      </c>
      <c r="F602" s="3" t="str">
        <f aca="false">Raw_Data!E602</f>
        <v>no</v>
      </c>
      <c r="G602" s="3" t="n">
        <f aca="false">Raw_Data!F602</f>
        <v>264</v>
      </c>
      <c r="H602" s="3" t="str">
        <f aca="false">Raw_Data!G602</f>
        <v>yes</v>
      </c>
      <c r="I602" s="3" t="str">
        <f aca="false">Raw_Data!H602</f>
        <v>yes</v>
      </c>
      <c r="J602" s="2" t="n">
        <f aca="false">IF(F602="yes",1,0)</f>
        <v>0</v>
      </c>
      <c r="K602" s="2" t="n">
        <f aca="false">IF(H602="yes",1,0)</f>
        <v>1</v>
      </c>
      <c r="L602" s="2" t="n">
        <f aca="false">IF(I602="yes",1,0)</f>
        <v>1</v>
      </c>
      <c r="M602" s="2" t="n">
        <f aca="false">IF(G602&lt;0,1,0)</f>
        <v>0</v>
      </c>
      <c r="N602" s="2" t="str">
        <f aca="false">_xlfn.IFS(B602&lt;30,"Under 30",B602&lt;40,"30-39",B602&lt;50,"40-49",B602&lt;60,"50-59",TRUE(),"60+")</f>
        <v>50-59</v>
      </c>
      <c r="O602" s="2" t="str">
        <f aca="false">_xlfn.IFS(G602&lt;0,"1 Negative",G602=0,"2 Zero",G602&lt;=500,"3 1-500",G602&lt;=2000,"4 501-2000",TRUE(),"5 Above 2000")</f>
        <v>3 1-500</v>
      </c>
      <c r="P602" s="2" t="n">
        <f aca="false">Lookups!$B$2*M602+Lookups!$B$3*L602</f>
        <v>1</v>
      </c>
      <c r="Q602" s="2" t="str">
        <f aca="false">INDEX(Lookups!$E$2:$E$5,MATCH(P602,Lookups!$D$2:$D$5,0))</f>
        <v>Medium</v>
      </c>
    </row>
    <row r="603" customFormat="false" ht="15" hidden="false" customHeight="false" outlineLevel="0" collapsed="false">
      <c r="A603" s="3" t="n">
        <v>602</v>
      </c>
      <c r="B603" s="3" t="n">
        <f aca="false">Raw_Data!A603</f>
        <v>52</v>
      </c>
      <c r="C603" s="3" t="str">
        <f aca="false">SUBSTITUTE(Raw_Data!B603,".","")</f>
        <v>entrepreneur</v>
      </c>
      <c r="D603" s="3" t="str">
        <f aca="false">Raw_Data!C603</f>
        <v>married</v>
      </c>
      <c r="E603" s="3" t="str">
        <f aca="false">Raw_Data!D603</f>
        <v>tertiary</v>
      </c>
      <c r="F603" s="3" t="str">
        <f aca="false">Raw_Data!E603</f>
        <v>no</v>
      </c>
      <c r="G603" s="3" t="n">
        <f aca="false">Raw_Data!F603</f>
        <v>54</v>
      </c>
      <c r="H603" s="3" t="str">
        <f aca="false">Raw_Data!G603</f>
        <v>yes</v>
      </c>
      <c r="I603" s="3" t="str">
        <f aca="false">Raw_Data!H603</f>
        <v>yes</v>
      </c>
      <c r="J603" s="2" t="n">
        <f aca="false">IF(F603="yes",1,0)</f>
        <v>0</v>
      </c>
      <c r="K603" s="2" t="n">
        <f aca="false">IF(H603="yes",1,0)</f>
        <v>1</v>
      </c>
      <c r="L603" s="2" t="n">
        <f aca="false">IF(I603="yes",1,0)</f>
        <v>1</v>
      </c>
      <c r="M603" s="2" t="n">
        <f aca="false">IF(G603&lt;0,1,0)</f>
        <v>0</v>
      </c>
      <c r="N603" s="2" t="str">
        <f aca="false">_xlfn.IFS(B603&lt;30,"Under 30",B603&lt;40,"30-39",B603&lt;50,"40-49",B603&lt;60,"50-59",TRUE(),"60+")</f>
        <v>50-59</v>
      </c>
      <c r="O603" s="2" t="str">
        <f aca="false">_xlfn.IFS(G603&lt;0,"1 Negative",G603=0,"2 Zero",G603&lt;=500,"3 1-500",G603&lt;=2000,"4 501-2000",TRUE(),"5 Above 2000")</f>
        <v>3 1-500</v>
      </c>
      <c r="P603" s="2" t="n">
        <f aca="false">Lookups!$B$2*M603+Lookups!$B$3*L603</f>
        <v>1</v>
      </c>
      <c r="Q603" s="2" t="str">
        <f aca="false">INDEX(Lookups!$E$2:$E$5,MATCH(P603,Lookups!$D$2:$D$5,0))</f>
        <v>Medium</v>
      </c>
    </row>
    <row r="604" customFormat="false" ht="15" hidden="false" customHeight="false" outlineLevel="0" collapsed="false">
      <c r="A604" s="3" t="n">
        <v>603</v>
      </c>
      <c r="B604" s="3" t="n">
        <f aca="false">Raw_Data!A604</f>
        <v>50</v>
      </c>
      <c r="C604" s="3" t="str">
        <f aca="false">SUBSTITUTE(Raw_Data!B604,".","")</f>
        <v>blue-collar</v>
      </c>
      <c r="D604" s="3" t="str">
        <f aca="false">Raw_Data!C604</f>
        <v>married</v>
      </c>
      <c r="E604" s="3" t="str">
        <f aca="false">Raw_Data!D604</f>
        <v>primary</v>
      </c>
      <c r="F604" s="3" t="str">
        <f aca="false">Raw_Data!E604</f>
        <v>no</v>
      </c>
      <c r="G604" s="3" t="n">
        <f aca="false">Raw_Data!F604</f>
        <v>12519</v>
      </c>
      <c r="H604" s="3" t="str">
        <f aca="false">Raw_Data!G604</f>
        <v>yes</v>
      </c>
      <c r="I604" s="3" t="str">
        <f aca="false">Raw_Data!H604</f>
        <v>no</v>
      </c>
      <c r="J604" s="2" t="n">
        <f aca="false">IF(F604="yes",1,0)</f>
        <v>0</v>
      </c>
      <c r="K604" s="2" t="n">
        <f aca="false">IF(H604="yes",1,0)</f>
        <v>1</v>
      </c>
      <c r="L604" s="2" t="n">
        <f aca="false">IF(I604="yes",1,0)</f>
        <v>0</v>
      </c>
      <c r="M604" s="2" t="n">
        <f aca="false">IF(G604&lt;0,1,0)</f>
        <v>0</v>
      </c>
      <c r="N604" s="2" t="str">
        <f aca="false">_xlfn.IFS(B604&lt;30,"Under 30",B604&lt;40,"30-39",B604&lt;50,"40-49",B604&lt;60,"50-59",TRUE(),"60+")</f>
        <v>50-59</v>
      </c>
      <c r="O604" s="2" t="str">
        <f aca="false">_xlfn.IFS(G604&lt;0,"1 Negative",G604=0,"2 Zero",G604&lt;=500,"3 1-500",G604&lt;=2000,"4 501-2000",TRUE(),"5 Above 2000")</f>
        <v>5 Above 2000</v>
      </c>
      <c r="P604" s="2" t="n">
        <f aca="false">Lookups!$B$2*M604+Lookups!$B$3*L604</f>
        <v>0</v>
      </c>
      <c r="Q604" s="2" t="str">
        <f aca="false">INDEX(Lookups!$E$2:$E$5,MATCH(P604,Lookups!$D$2:$D$5,0))</f>
        <v>Low</v>
      </c>
    </row>
    <row r="605" customFormat="false" ht="15" hidden="false" customHeight="false" outlineLevel="0" collapsed="false">
      <c r="A605" s="3" t="n">
        <v>604</v>
      </c>
      <c r="B605" s="3" t="n">
        <f aca="false">Raw_Data!A605</f>
        <v>32</v>
      </c>
      <c r="C605" s="3" t="str">
        <f aca="false">SUBSTITUTE(Raw_Data!B605,".","")</f>
        <v>services</v>
      </c>
      <c r="D605" s="3" t="str">
        <f aca="false">Raw_Data!C605</f>
        <v>single</v>
      </c>
      <c r="E605" s="3" t="str">
        <f aca="false">Raw_Data!D605</f>
        <v>secondary</v>
      </c>
      <c r="F605" s="3" t="str">
        <f aca="false">Raw_Data!E605</f>
        <v>no</v>
      </c>
      <c r="G605" s="3" t="n">
        <f aca="false">Raw_Data!F605</f>
        <v>2881</v>
      </c>
      <c r="H605" s="3" t="str">
        <f aca="false">Raw_Data!G605</f>
        <v>no</v>
      </c>
      <c r="I605" s="3" t="str">
        <f aca="false">Raw_Data!H605</f>
        <v>no</v>
      </c>
      <c r="J605" s="2" t="n">
        <f aca="false">IF(F605="yes",1,0)</f>
        <v>0</v>
      </c>
      <c r="K605" s="2" t="n">
        <f aca="false">IF(H605="yes",1,0)</f>
        <v>0</v>
      </c>
      <c r="L605" s="2" t="n">
        <f aca="false">IF(I605="yes",1,0)</f>
        <v>0</v>
      </c>
      <c r="M605" s="2" t="n">
        <f aca="false">IF(G605&lt;0,1,0)</f>
        <v>0</v>
      </c>
      <c r="N605" s="2" t="str">
        <f aca="false">_xlfn.IFS(B605&lt;30,"Under 30",B605&lt;40,"30-39",B605&lt;50,"40-49",B605&lt;60,"50-59",TRUE(),"60+")</f>
        <v>30-39</v>
      </c>
      <c r="O605" s="2" t="str">
        <f aca="false">_xlfn.IFS(G605&lt;0,"1 Negative",G605=0,"2 Zero",G605&lt;=500,"3 1-500",G605&lt;=2000,"4 501-2000",TRUE(),"5 Above 2000")</f>
        <v>5 Above 2000</v>
      </c>
      <c r="P605" s="2" t="n">
        <f aca="false">Lookups!$B$2*M605+Lookups!$B$3*L605</f>
        <v>0</v>
      </c>
      <c r="Q605" s="2" t="str">
        <f aca="false">INDEX(Lookups!$E$2:$E$5,MATCH(P605,Lookups!$D$2:$D$5,0))</f>
        <v>Low</v>
      </c>
    </row>
    <row r="606" customFormat="false" ht="15" hidden="false" customHeight="false" outlineLevel="0" collapsed="false">
      <c r="A606" s="3" t="n">
        <v>605</v>
      </c>
      <c r="B606" s="3" t="n">
        <f aca="false">Raw_Data!A606</f>
        <v>42</v>
      </c>
      <c r="C606" s="3" t="str">
        <f aca="false">SUBSTITUTE(Raw_Data!B606,".","")</f>
        <v>blue-collar</v>
      </c>
      <c r="D606" s="3" t="str">
        <f aca="false">Raw_Data!C606</f>
        <v>married</v>
      </c>
      <c r="E606" s="3" t="str">
        <f aca="false">Raw_Data!D606</f>
        <v>primary</v>
      </c>
      <c r="F606" s="3" t="str">
        <f aca="false">Raw_Data!E606</f>
        <v>no</v>
      </c>
      <c r="G606" s="3" t="n">
        <f aca="false">Raw_Data!F606</f>
        <v>0</v>
      </c>
      <c r="H606" s="3" t="str">
        <f aca="false">Raw_Data!G606</f>
        <v>yes</v>
      </c>
      <c r="I606" s="3" t="str">
        <f aca="false">Raw_Data!H606</f>
        <v>no</v>
      </c>
      <c r="J606" s="2" t="n">
        <f aca="false">IF(F606="yes",1,0)</f>
        <v>0</v>
      </c>
      <c r="K606" s="2" t="n">
        <f aca="false">IF(H606="yes",1,0)</f>
        <v>1</v>
      </c>
      <c r="L606" s="2" t="n">
        <f aca="false">IF(I606="yes",1,0)</f>
        <v>0</v>
      </c>
      <c r="M606" s="2" t="n">
        <f aca="false">IF(G606&lt;0,1,0)</f>
        <v>0</v>
      </c>
      <c r="N606" s="2" t="str">
        <f aca="false">_xlfn.IFS(B606&lt;30,"Under 30",B606&lt;40,"30-39",B606&lt;50,"40-49",B606&lt;60,"50-59",TRUE(),"60+")</f>
        <v>40-49</v>
      </c>
      <c r="O606" s="2" t="str">
        <f aca="false">_xlfn.IFS(G606&lt;0,"1 Negative",G606=0,"2 Zero",G606&lt;=500,"3 1-500",G606&lt;=2000,"4 501-2000",TRUE(),"5 Above 2000")</f>
        <v>2 Zero</v>
      </c>
      <c r="P606" s="2" t="n">
        <f aca="false">Lookups!$B$2*M606+Lookups!$B$3*L606</f>
        <v>0</v>
      </c>
      <c r="Q606" s="2" t="str">
        <f aca="false">INDEX(Lookups!$E$2:$E$5,MATCH(P606,Lookups!$D$2:$D$5,0))</f>
        <v>Low</v>
      </c>
    </row>
    <row r="607" customFormat="false" ht="15" hidden="false" customHeight="false" outlineLevel="0" collapsed="false">
      <c r="A607" s="3" t="n">
        <v>606</v>
      </c>
      <c r="B607" s="3" t="n">
        <f aca="false">Raw_Data!A607</f>
        <v>31</v>
      </c>
      <c r="C607" s="3" t="str">
        <f aca="false">SUBSTITUTE(Raw_Data!B607,".","")</f>
        <v>admin</v>
      </c>
      <c r="D607" s="3" t="str">
        <f aca="false">Raw_Data!C607</f>
        <v>married</v>
      </c>
      <c r="E607" s="3" t="str">
        <f aca="false">Raw_Data!D607</f>
        <v>secondary</v>
      </c>
      <c r="F607" s="3" t="str">
        <f aca="false">Raw_Data!E607</f>
        <v>no</v>
      </c>
      <c r="G607" s="3" t="n">
        <f aca="false">Raw_Data!F607</f>
        <v>88</v>
      </c>
      <c r="H607" s="3" t="str">
        <f aca="false">Raw_Data!G607</f>
        <v>yes</v>
      </c>
      <c r="I607" s="3" t="str">
        <f aca="false">Raw_Data!H607</f>
        <v>yes</v>
      </c>
      <c r="J607" s="2" t="n">
        <f aca="false">IF(F607="yes",1,0)</f>
        <v>0</v>
      </c>
      <c r="K607" s="2" t="n">
        <f aca="false">IF(H607="yes",1,0)</f>
        <v>1</v>
      </c>
      <c r="L607" s="2" t="n">
        <f aca="false">IF(I607="yes",1,0)</f>
        <v>1</v>
      </c>
      <c r="M607" s="2" t="n">
        <f aca="false">IF(G607&lt;0,1,0)</f>
        <v>0</v>
      </c>
      <c r="N607" s="2" t="str">
        <f aca="false">_xlfn.IFS(B607&lt;30,"Under 30",B607&lt;40,"30-39",B607&lt;50,"40-49",B607&lt;60,"50-59",TRUE(),"60+")</f>
        <v>30-39</v>
      </c>
      <c r="O607" s="2" t="str">
        <f aca="false">_xlfn.IFS(G607&lt;0,"1 Negative",G607=0,"2 Zero",G607&lt;=500,"3 1-500",G607&lt;=2000,"4 501-2000",TRUE(),"5 Above 2000")</f>
        <v>3 1-500</v>
      </c>
      <c r="P607" s="2" t="n">
        <f aca="false">Lookups!$B$2*M607+Lookups!$B$3*L607</f>
        <v>1</v>
      </c>
      <c r="Q607" s="2" t="str">
        <f aca="false">INDEX(Lookups!$E$2:$E$5,MATCH(P607,Lookups!$D$2:$D$5,0))</f>
        <v>Medium</v>
      </c>
    </row>
    <row r="608" customFormat="false" ht="15" hidden="false" customHeight="false" outlineLevel="0" collapsed="false">
      <c r="A608" s="3" t="n">
        <v>607</v>
      </c>
      <c r="B608" s="3" t="n">
        <f aca="false">Raw_Data!A608</f>
        <v>28</v>
      </c>
      <c r="C608" s="3" t="str">
        <f aca="false">SUBSTITUTE(Raw_Data!B608,".","")</f>
        <v>blue-collar</v>
      </c>
      <c r="D608" s="3" t="str">
        <f aca="false">Raw_Data!C608</f>
        <v>married</v>
      </c>
      <c r="E608" s="3" t="str">
        <f aca="false">Raw_Data!D608</f>
        <v>secondary</v>
      </c>
      <c r="F608" s="3" t="str">
        <f aca="false">Raw_Data!E608</f>
        <v>no</v>
      </c>
      <c r="G608" s="3" t="n">
        <f aca="false">Raw_Data!F608</f>
        <v>1020</v>
      </c>
      <c r="H608" s="3" t="str">
        <f aca="false">Raw_Data!G608</f>
        <v>yes</v>
      </c>
      <c r="I608" s="3" t="str">
        <f aca="false">Raw_Data!H608</f>
        <v>no</v>
      </c>
      <c r="J608" s="2" t="n">
        <f aca="false">IF(F608="yes",1,0)</f>
        <v>0</v>
      </c>
      <c r="K608" s="2" t="n">
        <f aca="false">IF(H608="yes",1,0)</f>
        <v>1</v>
      </c>
      <c r="L608" s="2" t="n">
        <f aca="false">IF(I608="yes",1,0)</f>
        <v>0</v>
      </c>
      <c r="M608" s="2" t="n">
        <f aca="false">IF(G608&lt;0,1,0)</f>
        <v>0</v>
      </c>
      <c r="N608" s="2" t="str">
        <f aca="false">_xlfn.IFS(B608&lt;30,"Under 30",B608&lt;40,"30-39",B608&lt;50,"40-49",B608&lt;60,"50-59",TRUE(),"60+")</f>
        <v>Under 30</v>
      </c>
      <c r="O608" s="2" t="str">
        <f aca="false">_xlfn.IFS(G608&lt;0,"1 Negative",G608=0,"2 Zero",G608&lt;=500,"3 1-500",G608&lt;=2000,"4 501-2000",TRUE(),"5 Above 2000")</f>
        <v>4 501-2000</v>
      </c>
      <c r="P608" s="2" t="n">
        <f aca="false">Lookups!$B$2*M608+Lookups!$B$3*L608</f>
        <v>0</v>
      </c>
      <c r="Q608" s="2" t="str">
        <f aca="false">INDEX(Lookups!$E$2:$E$5,MATCH(P608,Lookups!$D$2:$D$5,0))</f>
        <v>Low</v>
      </c>
    </row>
    <row r="609" customFormat="false" ht="15" hidden="false" customHeight="false" outlineLevel="0" collapsed="false">
      <c r="A609" s="3" t="n">
        <v>608</v>
      </c>
      <c r="B609" s="3" t="n">
        <f aca="false">Raw_Data!A609</f>
        <v>36</v>
      </c>
      <c r="C609" s="3" t="str">
        <f aca="false">SUBSTITUTE(Raw_Data!B609,".","")</f>
        <v>technician</v>
      </c>
      <c r="D609" s="3" t="str">
        <f aca="false">Raw_Data!C609</f>
        <v>divorced</v>
      </c>
      <c r="E609" s="3" t="str">
        <f aca="false">Raw_Data!D609</f>
        <v>tertiary</v>
      </c>
      <c r="F609" s="3" t="str">
        <f aca="false">Raw_Data!E609</f>
        <v>no</v>
      </c>
      <c r="G609" s="3" t="n">
        <f aca="false">Raw_Data!F609</f>
        <v>119</v>
      </c>
      <c r="H609" s="3" t="str">
        <f aca="false">Raw_Data!G609</f>
        <v>no</v>
      </c>
      <c r="I609" s="3" t="str">
        <f aca="false">Raw_Data!H609</f>
        <v>no</v>
      </c>
      <c r="J609" s="2" t="n">
        <f aca="false">IF(F609="yes",1,0)</f>
        <v>0</v>
      </c>
      <c r="K609" s="2" t="n">
        <f aca="false">IF(H609="yes",1,0)</f>
        <v>0</v>
      </c>
      <c r="L609" s="2" t="n">
        <f aca="false">IF(I609="yes",1,0)</f>
        <v>0</v>
      </c>
      <c r="M609" s="2" t="n">
        <f aca="false">IF(G609&lt;0,1,0)</f>
        <v>0</v>
      </c>
      <c r="N609" s="2" t="str">
        <f aca="false">_xlfn.IFS(B609&lt;30,"Under 30",B609&lt;40,"30-39",B609&lt;50,"40-49",B609&lt;60,"50-59",TRUE(),"60+")</f>
        <v>30-39</v>
      </c>
      <c r="O609" s="2" t="str">
        <f aca="false">_xlfn.IFS(G609&lt;0,"1 Negative",G609=0,"2 Zero",G609&lt;=500,"3 1-500",G609&lt;=2000,"4 501-2000",TRUE(),"5 Above 2000")</f>
        <v>3 1-500</v>
      </c>
      <c r="P609" s="2" t="n">
        <f aca="false">Lookups!$B$2*M609+Lookups!$B$3*L609</f>
        <v>0</v>
      </c>
      <c r="Q609" s="2" t="str">
        <f aca="false">INDEX(Lookups!$E$2:$E$5,MATCH(P609,Lookups!$D$2:$D$5,0))</f>
        <v>Low</v>
      </c>
    </row>
    <row r="610" customFormat="false" ht="15" hidden="false" customHeight="false" outlineLevel="0" collapsed="false">
      <c r="A610" s="3" t="n">
        <v>609</v>
      </c>
      <c r="B610" s="3" t="n">
        <f aca="false">Raw_Data!A610</f>
        <v>51</v>
      </c>
      <c r="C610" s="3" t="str">
        <f aca="false">SUBSTITUTE(Raw_Data!B610,".","")</f>
        <v>unemployed</v>
      </c>
      <c r="D610" s="3" t="str">
        <f aca="false">Raw_Data!C610</f>
        <v>single</v>
      </c>
      <c r="E610" s="3" t="str">
        <f aca="false">Raw_Data!D610</f>
        <v>tertiary</v>
      </c>
      <c r="F610" s="3" t="str">
        <f aca="false">Raw_Data!E610</f>
        <v>no</v>
      </c>
      <c r="G610" s="3" t="n">
        <f aca="false">Raw_Data!F610</f>
        <v>1594</v>
      </c>
      <c r="H610" s="3" t="str">
        <f aca="false">Raw_Data!G610</f>
        <v>no</v>
      </c>
      <c r="I610" s="3" t="str">
        <f aca="false">Raw_Data!H610</f>
        <v>no</v>
      </c>
      <c r="J610" s="2" t="n">
        <f aca="false">IF(F610="yes",1,0)</f>
        <v>0</v>
      </c>
      <c r="K610" s="2" t="n">
        <f aca="false">IF(H610="yes",1,0)</f>
        <v>0</v>
      </c>
      <c r="L610" s="2" t="n">
        <f aca="false">IF(I610="yes",1,0)</f>
        <v>0</v>
      </c>
      <c r="M610" s="2" t="n">
        <f aca="false">IF(G610&lt;0,1,0)</f>
        <v>0</v>
      </c>
      <c r="N610" s="2" t="str">
        <f aca="false">_xlfn.IFS(B610&lt;30,"Under 30",B610&lt;40,"30-39",B610&lt;50,"40-49",B610&lt;60,"50-59",TRUE(),"60+")</f>
        <v>50-59</v>
      </c>
      <c r="O610" s="2" t="str">
        <f aca="false">_xlfn.IFS(G610&lt;0,"1 Negative",G610=0,"2 Zero",G610&lt;=500,"3 1-500",G610&lt;=2000,"4 501-2000",TRUE(),"5 Above 2000")</f>
        <v>4 501-2000</v>
      </c>
      <c r="P610" s="2" t="n">
        <f aca="false">Lookups!$B$2*M610+Lookups!$B$3*L610</f>
        <v>0</v>
      </c>
      <c r="Q610" s="2" t="str">
        <f aca="false">INDEX(Lookups!$E$2:$E$5,MATCH(P610,Lookups!$D$2:$D$5,0))</f>
        <v>Low</v>
      </c>
    </row>
    <row r="611" customFormat="false" ht="15" hidden="false" customHeight="false" outlineLevel="0" collapsed="false">
      <c r="A611" s="3" t="n">
        <v>610</v>
      </c>
      <c r="B611" s="3" t="n">
        <f aca="false">Raw_Data!A611</f>
        <v>46</v>
      </c>
      <c r="C611" s="3" t="str">
        <f aca="false">SUBSTITUTE(Raw_Data!B611,".","")</f>
        <v>technician</v>
      </c>
      <c r="D611" s="3" t="str">
        <f aca="false">Raw_Data!C611</f>
        <v>married</v>
      </c>
      <c r="E611" s="3" t="str">
        <f aca="false">Raw_Data!D611</f>
        <v>tertiary</v>
      </c>
      <c r="F611" s="3" t="str">
        <f aca="false">Raw_Data!E611</f>
        <v>no</v>
      </c>
      <c r="G611" s="3" t="n">
        <f aca="false">Raw_Data!F611</f>
        <v>342</v>
      </c>
      <c r="H611" s="3" t="str">
        <f aca="false">Raw_Data!G611</f>
        <v>yes</v>
      </c>
      <c r="I611" s="3" t="str">
        <f aca="false">Raw_Data!H611</f>
        <v>yes</v>
      </c>
      <c r="J611" s="2" t="n">
        <f aca="false">IF(F611="yes",1,0)</f>
        <v>0</v>
      </c>
      <c r="K611" s="2" t="n">
        <f aca="false">IF(H611="yes",1,0)</f>
        <v>1</v>
      </c>
      <c r="L611" s="2" t="n">
        <f aca="false">IF(I611="yes",1,0)</f>
        <v>1</v>
      </c>
      <c r="M611" s="2" t="n">
        <f aca="false">IF(G611&lt;0,1,0)</f>
        <v>0</v>
      </c>
      <c r="N611" s="2" t="str">
        <f aca="false">_xlfn.IFS(B611&lt;30,"Under 30",B611&lt;40,"30-39",B611&lt;50,"40-49",B611&lt;60,"50-59",TRUE(),"60+")</f>
        <v>40-49</v>
      </c>
      <c r="O611" s="2" t="str">
        <f aca="false">_xlfn.IFS(G611&lt;0,"1 Negative",G611=0,"2 Zero",G611&lt;=500,"3 1-500",G611&lt;=2000,"4 501-2000",TRUE(),"5 Above 2000")</f>
        <v>3 1-500</v>
      </c>
      <c r="P611" s="2" t="n">
        <f aca="false">Lookups!$B$2*M611+Lookups!$B$3*L611</f>
        <v>1</v>
      </c>
      <c r="Q611" s="2" t="str">
        <f aca="false">INDEX(Lookups!$E$2:$E$5,MATCH(P611,Lookups!$D$2:$D$5,0))</f>
        <v>Medium</v>
      </c>
    </row>
    <row r="612" customFormat="false" ht="15" hidden="false" customHeight="false" outlineLevel="0" collapsed="false">
      <c r="A612" s="3" t="n">
        <v>611</v>
      </c>
      <c r="B612" s="3" t="n">
        <f aca="false">Raw_Data!A612</f>
        <v>50</v>
      </c>
      <c r="C612" s="3" t="str">
        <f aca="false">SUBSTITUTE(Raw_Data!B612,".","")</f>
        <v>services</v>
      </c>
      <c r="D612" s="3" t="str">
        <f aca="false">Raw_Data!C612</f>
        <v>single</v>
      </c>
      <c r="E612" s="3" t="str">
        <f aca="false">Raw_Data!D612</f>
        <v>secondary</v>
      </c>
      <c r="F612" s="3" t="str">
        <f aca="false">Raw_Data!E612</f>
        <v>no</v>
      </c>
      <c r="G612" s="3" t="n">
        <f aca="false">Raw_Data!F612</f>
        <v>72</v>
      </c>
      <c r="H612" s="3" t="str">
        <f aca="false">Raw_Data!G612</f>
        <v>no</v>
      </c>
      <c r="I612" s="3" t="str">
        <f aca="false">Raw_Data!H612</f>
        <v>no</v>
      </c>
      <c r="J612" s="2" t="n">
        <f aca="false">IF(F612="yes",1,0)</f>
        <v>0</v>
      </c>
      <c r="K612" s="2" t="n">
        <f aca="false">IF(H612="yes",1,0)</f>
        <v>0</v>
      </c>
      <c r="L612" s="2" t="n">
        <f aca="false">IF(I612="yes",1,0)</f>
        <v>0</v>
      </c>
      <c r="M612" s="2" t="n">
        <f aca="false">IF(G612&lt;0,1,0)</f>
        <v>0</v>
      </c>
      <c r="N612" s="2" t="str">
        <f aca="false">_xlfn.IFS(B612&lt;30,"Under 30",B612&lt;40,"30-39",B612&lt;50,"40-49",B612&lt;60,"50-59",TRUE(),"60+")</f>
        <v>50-59</v>
      </c>
      <c r="O612" s="2" t="str">
        <f aca="false">_xlfn.IFS(G612&lt;0,"1 Negative",G612=0,"2 Zero",G612&lt;=500,"3 1-500",G612&lt;=2000,"4 501-2000",TRUE(),"5 Above 2000")</f>
        <v>3 1-500</v>
      </c>
      <c r="P612" s="2" t="n">
        <f aca="false">Lookups!$B$2*M612+Lookups!$B$3*L612</f>
        <v>0</v>
      </c>
      <c r="Q612" s="2" t="str">
        <f aca="false">INDEX(Lookups!$E$2:$E$5,MATCH(P612,Lookups!$D$2:$D$5,0))</f>
        <v>Low</v>
      </c>
    </row>
    <row r="613" customFormat="false" ht="15" hidden="false" customHeight="false" outlineLevel="0" collapsed="false">
      <c r="A613" s="3" t="n">
        <v>612</v>
      </c>
      <c r="B613" s="3" t="n">
        <f aca="false">Raw_Data!A613</f>
        <v>32</v>
      </c>
      <c r="C613" s="3" t="str">
        <f aca="false">SUBSTITUTE(Raw_Data!B613,".","")</f>
        <v>blue-collar</v>
      </c>
      <c r="D613" s="3" t="str">
        <f aca="false">Raw_Data!C613</f>
        <v>married</v>
      </c>
      <c r="E613" s="3" t="str">
        <f aca="false">Raw_Data!D613</f>
        <v>secondary</v>
      </c>
      <c r="F613" s="3" t="str">
        <f aca="false">Raw_Data!E613</f>
        <v>no</v>
      </c>
      <c r="G613" s="3" t="n">
        <f aca="false">Raw_Data!F613</f>
        <v>14</v>
      </c>
      <c r="H613" s="3" t="str">
        <f aca="false">Raw_Data!G613</f>
        <v>yes</v>
      </c>
      <c r="I613" s="3" t="str">
        <f aca="false">Raw_Data!H613</f>
        <v>no</v>
      </c>
      <c r="J613" s="2" t="n">
        <f aca="false">IF(F613="yes",1,0)</f>
        <v>0</v>
      </c>
      <c r="K613" s="2" t="n">
        <f aca="false">IF(H613="yes",1,0)</f>
        <v>1</v>
      </c>
      <c r="L613" s="2" t="n">
        <f aca="false">IF(I613="yes",1,0)</f>
        <v>0</v>
      </c>
      <c r="M613" s="2" t="n">
        <f aca="false">IF(G613&lt;0,1,0)</f>
        <v>0</v>
      </c>
      <c r="N613" s="2" t="str">
        <f aca="false">_xlfn.IFS(B613&lt;30,"Under 30",B613&lt;40,"30-39",B613&lt;50,"40-49",B613&lt;60,"50-59",TRUE(),"60+")</f>
        <v>30-39</v>
      </c>
      <c r="O613" s="2" t="str">
        <f aca="false">_xlfn.IFS(G613&lt;0,"1 Negative",G613=0,"2 Zero",G613&lt;=500,"3 1-500",G613&lt;=2000,"4 501-2000",TRUE(),"5 Above 2000")</f>
        <v>3 1-500</v>
      </c>
      <c r="P613" s="2" t="n">
        <f aca="false">Lookups!$B$2*M613+Lookups!$B$3*L613</f>
        <v>0</v>
      </c>
      <c r="Q613" s="2" t="str">
        <f aca="false">INDEX(Lookups!$E$2:$E$5,MATCH(P613,Lookups!$D$2:$D$5,0))</f>
        <v>Low</v>
      </c>
    </row>
    <row r="614" customFormat="false" ht="15" hidden="false" customHeight="false" outlineLevel="0" collapsed="false">
      <c r="A614" s="3" t="n">
        <v>613</v>
      </c>
      <c r="B614" s="3" t="n">
        <f aca="false">Raw_Data!A614</f>
        <v>26</v>
      </c>
      <c r="C614" s="3" t="str">
        <f aca="false">SUBSTITUTE(Raw_Data!B614,".","")</f>
        <v>entrepreneur</v>
      </c>
      <c r="D614" s="3" t="str">
        <f aca="false">Raw_Data!C614</f>
        <v>single</v>
      </c>
      <c r="E614" s="3" t="str">
        <f aca="false">Raw_Data!D614</f>
        <v>tertiary</v>
      </c>
      <c r="F614" s="3" t="str">
        <f aca="false">Raw_Data!E614</f>
        <v>no</v>
      </c>
      <c r="G614" s="3" t="n">
        <f aca="false">Raw_Data!F614</f>
        <v>81</v>
      </c>
      <c r="H614" s="3" t="str">
        <f aca="false">Raw_Data!G614</f>
        <v>no</v>
      </c>
      <c r="I614" s="3" t="str">
        <f aca="false">Raw_Data!H614</f>
        <v>no</v>
      </c>
      <c r="J614" s="2" t="n">
        <f aca="false">IF(F614="yes",1,0)</f>
        <v>0</v>
      </c>
      <c r="K614" s="2" t="n">
        <f aca="false">IF(H614="yes",1,0)</f>
        <v>0</v>
      </c>
      <c r="L614" s="2" t="n">
        <f aca="false">IF(I614="yes",1,0)</f>
        <v>0</v>
      </c>
      <c r="M614" s="2" t="n">
        <f aca="false">IF(G614&lt;0,1,0)</f>
        <v>0</v>
      </c>
      <c r="N614" s="2" t="str">
        <f aca="false">_xlfn.IFS(B614&lt;30,"Under 30",B614&lt;40,"30-39",B614&lt;50,"40-49",B614&lt;60,"50-59",TRUE(),"60+")</f>
        <v>Under 30</v>
      </c>
      <c r="O614" s="2" t="str">
        <f aca="false">_xlfn.IFS(G614&lt;0,"1 Negative",G614=0,"2 Zero",G614&lt;=500,"3 1-500",G614&lt;=2000,"4 501-2000",TRUE(),"5 Above 2000")</f>
        <v>3 1-500</v>
      </c>
      <c r="P614" s="2" t="n">
        <f aca="false">Lookups!$B$2*M614+Lookups!$B$3*L614</f>
        <v>0</v>
      </c>
      <c r="Q614" s="2" t="str">
        <f aca="false">INDEX(Lookups!$E$2:$E$5,MATCH(P614,Lookups!$D$2:$D$5,0))</f>
        <v>Low</v>
      </c>
    </row>
    <row r="615" customFormat="false" ht="15" hidden="false" customHeight="false" outlineLevel="0" collapsed="false">
      <c r="A615" s="3" t="n">
        <v>614</v>
      </c>
      <c r="B615" s="3" t="n">
        <f aca="false">Raw_Data!A615</f>
        <v>41</v>
      </c>
      <c r="C615" s="3" t="str">
        <f aca="false">SUBSTITUTE(Raw_Data!B615,".","")</f>
        <v>self-employed</v>
      </c>
      <c r="D615" s="3" t="str">
        <f aca="false">Raw_Data!C615</f>
        <v>married</v>
      </c>
      <c r="E615" s="3" t="str">
        <f aca="false">Raw_Data!D615</f>
        <v>tertiary</v>
      </c>
      <c r="F615" s="3" t="str">
        <f aca="false">Raw_Data!E615</f>
        <v>no</v>
      </c>
      <c r="G615" s="3" t="n">
        <f aca="false">Raw_Data!F615</f>
        <v>231</v>
      </c>
      <c r="H615" s="3" t="str">
        <f aca="false">Raw_Data!G615</f>
        <v>no</v>
      </c>
      <c r="I615" s="3" t="str">
        <f aca="false">Raw_Data!H615</f>
        <v>no</v>
      </c>
      <c r="J615" s="2" t="n">
        <f aca="false">IF(F615="yes",1,0)</f>
        <v>0</v>
      </c>
      <c r="K615" s="2" t="n">
        <f aca="false">IF(H615="yes",1,0)</f>
        <v>0</v>
      </c>
      <c r="L615" s="2" t="n">
        <f aca="false">IF(I615="yes",1,0)</f>
        <v>0</v>
      </c>
      <c r="M615" s="2" t="n">
        <f aca="false">IF(G615&lt;0,1,0)</f>
        <v>0</v>
      </c>
      <c r="N615" s="2" t="str">
        <f aca="false">_xlfn.IFS(B615&lt;30,"Under 30",B615&lt;40,"30-39",B615&lt;50,"40-49",B615&lt;60,"50-59",TRUE(),"60+")</f>
        <v>40-49</v>
      </c>
      <c r="O615" s="2" t="str">
        <f aca="false">_xlfn.IFS(G615&lt;0,"1 Negative",G615=0,"2 Zero",G615&lt;=500,"3 1-500",G615&lt;=2000,"4 501-2000",TRUE(),"5 Above 2000")</f>
        <v>3 1-500</v>
      </c>
      <c r="P615" s="2" t="n">
        <f aca="false">Lookups!$B$2*M615+Lookups!$B$3*L615</f>
        <v>0</v>
      </c>
      <c r="Q615" s="2" t="str">
        <f aca="false">INDEX(Lookups!$E$2:$E$5,MATCH(P615,Lookups!$D$2:$D$5,0))</f>
        <v>Low</v>
      </c>
    </row>
    <row r="616" customFormat="false" ht="15" hidden="false" customHeight="false" outlineLevel="0" collapsed="false">
      <c r="A616" s="3" t="n">
        <v>615</v>
      </c>
      <c r="B616" s="3" t="n">
        <f aca="false">Raw_Data!A616</f>
        <v>39</v>
      </c>
      <c r="C616" s="3" t="str">
        <f aca="false">SUBSTITUTE(Raw_Data!B616,".","")</f>
        <v>technician</v>
      </c>
      <c r="D616" s="3" t="str">
        <f aca="false">Raw_Data!C616</f>
        <v>married</v>
      </c>
      <c r="E616" s="3" t="str">
        <f aca="false">Raw_Data!D616</f>
        <v>tertiary</v>
      </c>
      <c r="F616" s="3" t="str">
        <f aca="false">Raw_Data!E616</f>
        <v>no</v>
      </c>
      <c r="G616" s="3" t="n">
        <f aca="false">Raw_Data!F616</f>
        <v>1161</v>
      </c>
      <c r="H616" s="3" t="str">
        <f aca="false">Raw_Data!G616</f>
        <v>yes</v>
      </c>
      <c r="I616" s="3" t="str">
        <f aca="false">Raw_Data!H616</f>
        <v>no</v>
      </c>
      <c r="J616" s="2" t="n">
        <f aca="false">IF(F616="yes",1,0)</f>
        <v>0</v>
      </c>
      <c r="K616" s="2" t="n">
        <f aca="false">IF(H616="yes",1,0)</f>
        <v>1</v>
      </c>
      <c r="L616" s="2" t="n">
        <f aca="false">IF(I616="yes",1,0)</f>
        <v>0</v>
      </c>
      <c r="M616" s="2" t="n">
        <f aca="false">IF(G616&lt;0,1,0)</f>
        <v>0</v>
      </c>
      <c r="N616" s="2" t="str">
        <f aca="false">_xlfn.IFS(B616&lt;30,"Under 30",B616&lt;40,"30-39",B616&lt;50,"40-49",B616&lt;60,"50-59",TRUE(),"60+")</f>
        <v>30-39</v>
      </c>
      <c r="O616" s="2" t="str">
        <f aca="false">_xlfn.IFS(G616&lt;0,"1 Negative",G616=0,"2 Zero",G616&lt;=500,"3 1-500",G616&lt;=2000,"4 501-2000",TRUE(),"5 Above 2000")</f>
        <v>4 501-2000</v>
      </c>
      <c r="P616" s="2" t="n">
        <f aca="false">Lookups!$B$2*M616+Lookups!$B$3*L616</f>
        <v>0</v>
      </c>
      <c r="Q616" s="2" t="str">
        <f aca="false">INDEX(Lookups!$E$2:$E$5,MATCH(P616,Lookups!$D$2:$D$5,0))</f>
        <v>Low</v>
      </c>
    </row>
    <row r="617" customFormat="false" ht="15" hidden="false" customHeight="false" outlineLevel="0" collapsed="false">
      <c r="A617" s="3" t="n">
        <v>616</v>
      </c>
      <c r="B617" s="3" t="n">
        <f aca="false">Raw_Data!A617</f>
        <v>31</v>
      </c>
      <c r="C617" s="3" t="str">
        <f aca="false">SUBSTITUTE(Raw_Data!B617,".","")</f>
        <v>blue-collar</v>
      </c>
      <c r="D617" s="3" t="str">
        <f aca="false">Raw_Data!C617</f>
        <v>married</v>
      </c>
      <c r="E617" s="3" t="str">
        <f aca="false">Raw_Data!D617</f>
        <v>secondary</v>
      </c>
      <c r="F617" s="3" t="str">
        <f aca="false">Raw_Data!E617</f>
        <v>no</v>
      </c>
      <c r="G617" s="3" t="n">
        <f aca="false">Raw_Data!F617</f>
        <v>-45</v>
      </c>
      <c r="H617" s="3" t="str">
        <f aca="false">Raw_Data!G617</f>
        <v>yes</v>
      </c>
      <c r="I617" s="3" t="str">
        <f aca="false">Raw_Data!H617</f>
        <v>no</v>
      </c>
      <c r="J617" s="2" t="n">
        <f aca="false">IF(F617="yes",1,0)</f>
        <v>0</v>
      </c>
      <c r="K617" s="2" t="n">
        <f aca="false">IF(H617="yes",1,0)</f>
        <v>1</v>
      </c>
      <c r="L617" s="2" t="n">
        <f aca="false">IF(I617="yes",1,0)</f>
        <v>0</v>
      </c>
      <c r="M617" s="2" t="n">
        <f aca="false">IF(G617&lt;0,1,0)</f>
        <v>1</v>
      </c>
      <c r="N617" s="2" t="str">
        <f aca="false">_xlfn.IFS(B617&lt;30,"Under 30",B617&lt;40,"30-39",B617&lt;50,"40-49",B617&lt;60,"50-59",TRUE(),"60+")</f>
        <v>30-39</v>
      </c>
      <c r="O617" s="2" t="str">
        <f aca="false">_xlfn.IFS(G617&lt;0,"1 Negative",G617=0,"2 Zero",G617&lt;=500,"3 1-500",G617&lt;=2000,"4 501-2000",TRUE(),"5 Above 2000")</f>
        <v>1 Negative</v>
      </c>
      <c r="P617" s="2" t="n">
        <f aca="false">Lookups!$B$2*M617+Lookups!$B$3*L617</f>
        <v>2</v>
      </c>
      <c r="Q617" s="2" t="str">
        <f aca="false">INDEX(Lookups!$E$2:$E$5,MATCH(P617,Lookups!$D$2:$D$5,0))</f>
        <v>High</v>
      </c>
    </row>
    <row r="618" customFormat="false" ht="15" hidden="false" customHeight="false" outlineLevel="0" collapsed="false">
      <c r="A618" s="3" t="n">
        <v>617</v>
      </c>
      <c r="B618" s="3" t="n">
        <f aca="false">Raw_Data!A618</f>
        <v>28</v>
      </c>
      <c r="C618" s="3" t="str">
        <f aca="false">SUBSTITUTE(Raw_Data!B618,".","")</f>
        <v>management</v>
      </c>
      <c r="D618" s="3" t="str">
        <f aca="false">Raw_Data!C618</f>
        <v>single</v>
      </c>
      <c r="E618" s="3" t="str">
        <f aca="false">Raw_Data!D618</f>
        <v>tertiary</v>
      </c>
      <c r="F618" s="3" t="str">
        <f aca="false">Raw_Data!E618</f>
        <v>no</v>
      </c>
      <c r="G618" s="3" t="n">
        <f aca="false">Raw_Data!F618</f>
        <v>231</v>
      </c>
      <c r="H618" s="3" t="str">
        <f aca="false">Raw_Data!G618</f>
        <v>yes</v>
      </c>
      <c r="I618" s="3" t="str">
        <f aca="false">Raw_Data!H618</f>
        <v>yes</v>
      </c>
      <c r="J618" s="2" t="n">
        <f aca="false">IF(F618="yes",1,0)</f>
        <v>0</v>
      </c>
      <c r="K618" s="2" t="n">
        <f aca="false">IF(H618="yes",1,0)</f>
        <v>1</v>
      </c>
      <c r="L618" s="2" t="n">
        <f aca="false">IF(I618="yes",1,0)</f>
        <v>1</v>
      </c>
      <c r="M618" s="2" t="n">
        <f aca="false">IF(G618&lt;0,1,0)</f>
        <v>0</v>
      </c>
      <c r="N618" s="2" t="str">
        <f aca="false">_xlfn.IFS(B618&lt;30,"Under 30",B618&lt;40,"30-39",B618&lt;50,"40-49",B618&lt;60,"50-59",TRUE(),"60+")</f>
        <v>Under 30</v>
      </c>
      <c r="O618" s="2" t="str">
        <f aca="false">_xlfn.IFS(G618&lt;0,"1 Negative",G618=0,"2 Zero",G618&lt;=500,"3 1-500",G618&lt;=2000,"4 501-2000",TRUE(),"5 Above 2000")</f>
        <v>3 1-500</v>
      </c>
      <c r="P618" s="2" t="n">
        <f aca="false">Lookups!$B$2*M618+Lookups!$B$3*L618</f>
        <v>1</v>
      </c>
      <c r="Q618" s="2" t="str">
        <f aca="false">INDEX(Lookups!$E$2:$E$5,MATCH(P618,Lookups!$D$2:$D$5,0))</f>
        <v>Medium</v>
      </c>
    </row>
    <row r="619" customFormat="false" ht="15" hidden="false" customHeight="false" outlineLevel="0" collapsed="false">
      <c r="A619" s="3" t="n">
        <v>618</v>
      </c>
      <c r="B619" s="3" t="n">
        <f aca="false">Raw_Data!A619</f>
        <v>31</v>
      </c>
      <c r="C619" s="3" t="str">
        <f aca="false">SUBSTITUTE(Raw_Data!B619,".","")</f>
        <v>management</v>
      </c>
      <c r="D619" s="3" t="str">
        <f aca="false">Raw_Data!C619</f>
        <v>single</v>
      </c>
      <c r="E619" s="3" t="str">
        <f aca="false">Raw_Data!D619</f>
        <v>secondary</v>
      </c>
      <c r="F619" s="3" t="str">
        <f aca="false">Raw_Data!E619</f>
        <v>no</v>
      </c>
      <c r="G619" s="3" t="n">
        <f aca="false">Raw_Data!F619</f>
        <v>36</v>
      </c>
      <c r="H619" s="3" t="str">
        <f aca="false">Raw_Data!G619</f>
        <v>no</v>
      </c>
      <c r="I619" s="3" t="str">
        <f aca="false">Raw_Data!H619</f>
        <v>no</v>
      </c>
      <c r="J619" s="2" t="n">
        <f aca="false">IF(F619="yes",1,0)</f>
        <v>0</v>
      </c>
      <c r="K619" s="2" t="n">
        <f aca="false">IF(H619="yes",1,0)</f>
        <v>0</v>
      </c>
      <c r="L619" s="2" t="n">
        <f aca="false">IF(I619="yes",1,0)</f>
        <v>0</v>
      </c>
      <c r="M619" s="2" t="n">
        <f aca="false">IF(G619&lt;0,1,0)</f>
        <v>0</v>
      </c>
      <c r="N619" s="2" t="str">
        <f aca="false">_xlfn.IFS(B619&lt;30,"Under 30",B619&lt;40,"30-39",B619&lt;50,"40-49",B619&lt;60,"50-59",TRUE(),"60+")</f>
        <v>30-39</v>
      </c>
      <c r="O619" s="2" t="str">
        <f aca="false">_xlfn.IFS(G619&lt;0,"1 Negative",G619=0,"2 Zero",G619&lt;=500,"3 1-500",G619&lt;=2000,"4 501-2000",TRUE(),"5 Above 2000")</f>
        <v>3 1-500</v>
      </c>
      <c r="P619" s="2" t="n">
        <f aca="false">Lookups!$B$2*M619+Lookups!$B$3*L619</f>
        <v>0</v>
      </c>
      <c r="Q619" s="2" t="str">
        <f aca="false">INDEX(Lookups!$E$2:$E$5,MATCH(P619,Lookups!$D$2:$D$5,0))</f>
        <v>Low</v>
      </c>
    </row>
    <row r="620" customFormat="false" ht="15" hidden="false" customHeight="false" outlineLevel="0" collapsed="false">
      <c r="A620" s="3" t="n">
        <v>619</v>
      </c>
      <c r="B620" s="3" t="n">
        <f aca="false">Raw_Data!A620</f>
        <v>30</v>
      </c>
      <c r="C620" s="3" t="str">
        <f aca="false">SUBSTITUTE(Raw_Data!B620,".","")</f>
        <v>technician</v>
      </c>
      <c r="D620" s="3" t="str">
        <f aca="false">Raw_Data!C620</f>
        <v>married</v>
      </c>
      <c r="E620" s="3" t="str">
        <f aca="false">Raw_Data!D620</f>
        <v>tertiary</v>
      </c>
      <c r="F620" s="3" t="str">
        <f aca="false">Raw_Data!E620</f>
        <v>no</v>
      </c>
      <c r="G620" s="3" t="n">
        <f aca="false">Raw_Data!F620</f>
        <v>1570</v>
      </c>
      <c r="H620" s="3" t="str">
        <f aca="false">Raw_Data!G620</f>
        <v>yes</v>
      </c>
      <c r="I620" s="3" t="str">
        <f aca="false">Raw_Data!H620</f>
        <v>no</v>
      </c>
      <c r="J620" s="2" t="n">
        <f aca="false">IF(F620="yes",1,0)</f>
        <v>0</v>
      </c>
      <c r="K620" s="2" t="n">
        <f aca="false">IF(H620="yes",1,0)</f>
        <v>1</v>
      </c>
      <c r="L620" s="2" t="n">
        <f aca="false">IF(I620="yes",1,0)</f>
        <v>0</v>
      </c>
      <c r="M620" s="2" t="n">
        <f aca="false">IF(G620&lt;0,1,0)</f>
        <v>0</v>
      </c>
      <c r="N620" s="2" t="str">
        <f aca="false">_xlfn.IFS(B620&lt;30,"Under 30",B620&lt;40,"30-39",B620&lt;50,"40-49",B620&lt;60,"50-59",TRUE(),"60+")</f>
        <v>30-39</v>
      </c>
      <c r="O620" s="2" t="str">
        <f aca="false">_xlfn.IFS(G620&lt;0,"1 Negative",G620=0,"2 Zero",G620&lt;=500,"3 1-500",G620&lt;=2000,"4 501-2000",TRUE(),"5 Above 2000")</f>
        <v>4 501-2000</v>
      </c>
      <c r="P620" s="2" t="n">
        <f aca="false">Lookups!$B$2*M620+Lookups!$B$3*L620</f>
        <v>0</v>
      </c>
      <c r="Q620" s="2" t="str">
        <f aca="false">INDEX(Lookups!$E$2:$E$5,MATCH(P620,Lookups!$D$2:$D$5,0))</f>
        <v>Low</v>
      </c>
    </row>
    <row r="621" customFormat="false" ht="15" hidden="false" customHeight="false" outlineLevel="0" collapsed="false">
      <c r="A621" s="3" t="n">
        <v>620</v>
      </c>
      <c r="B621" s="3" t="n">
        <f aca="false">Raw_Data!A621</f>
        <v>35</v>
      </c>
      <c r="C621" s="3" t="str">
        <f aca="false">SUBSTITUTE(Raw_Data!B621,".","")</f>
        <v>technician</v>
      </c>
      <c r="D621" s="3" t="str">
        <f aca="false">Raw_Data!C621</f>
        <v>married</v>
      </c>
      <c r="E621" s="3" t="str">
        <f aca="false">Raw_Data!D621</f>
        <v>tertiary</v>
      </c>
      <c r="F621" s="3" t="str">
        <f aca="false">Raw_Data!E621</f>
        <v>no</v>
      </c>
      <c r="G621" s="3" t="n">
        <f aca="false">Raw_Data!F621</f>
        <v>7050</v>
      </c>
      <c r="H621" s="3" t="str">
        <f aca="false">Raw_Data!G621</f>
        <v>no</v>
      </c>
      <c r="I621" s="3" t="str">
        <f aca="false">Raw_Data!H621</f>
        <v>no</v>
      </c>
      <c r="J621" s="2" t="n">
        <f aca="false">IF(F621="yes",1,0)</f>
        <v>0</v>
      </c>
      <c r="K621" s="2" t="n">
        <f aca="false">IF(H621="yes",1,0)</f>
        <v>0</v>
      </c>
      <c r="L621" s="2" t="n">
        <f aca="false">IF(I621="yes",1,0)</f>
        <v>0</v>
      </c>
      <c r="M621" s="2" t="n">
        <f aca="false">IF(G621&lt;0,1,0)</f>
        <v>0</v>
      </c>
      <c r="N621" s="2" t="str">
        <f aca="false">_xlfn.IFS(B621&lt;30,"Under 30",B621&lt;40,"30-39",B621&lt;50,"40-49",B621&lt;60,"50-59",TRUE(),"60+")</f>
        <v>30-39</v>
      </c>
      <c r="O621" s="2" t="str">
        <f aca="false">_xlfn.IFS(G621&lt;0,"1 Negative",G621=0,"2 Zero",G621&lt;=500,"3 1-500",G621&lt;=2000,"4 501-2000",TRUE(),"5 Above 2000")</f>
        <v>5 Above 2000</v>
      </c>
      <c r="P621" s="2" t="n">
        <f aca="false">Lookups!$B$2*M621+Lookups!$B$3*L621</f>
        <v>0</v>
      </c>
      <c r="Q621" s="2" t="str">
        <f aca="false">INDEX(Lookups!$E$2:$E$5,MATCH(P621,Lookups!$D$2:$D$5,0))</f>
        <v>Low</v>
      </c>
    </row>
    <row r="622" customFormat="false" ht="15" hidden="false" customHeight="false" outlineLevel="0" collapsed="false">
      <c r="A622" s="3" t="n">
        <v>621</v>
      </c>
      <c r="B622" s="3" t="n">
        <f aca="false">Raw_Data!A622</f>
        <v>33</v>
      </c>
      <c r="C622" s="3" t="str">
        <f aca="false">SUBSTITUTE(Raw_Data!B622,".","")</f>
        <v>blue-collar</v>
      </c>
      <c r="D622" s="3" t="str">
        <f aca="false">Raw_Data!C622</f>
        <v>married</v>
      </c>
      <c r="E622" s="3" t="str">
        <f aca="false">Raw_Data!D622</f>
        <v>primary</v>
      </c>
      <c r="F622" s="3" t="str">
        <f aca="false">Raw_Data!E622</f>
        <v>no</v>
      </c>
      <c r="G622" s="3" t="n">
        <f aca="false">Raw_Data!F622</f>
        <v>3704</v>
      </c>
      <c r="H622" s="3" t="str">
        <f aca="false">Raw_Data!G622</f>
        <v>yes</v>
      </c>
      <c r="I622" s="3" t="str">
        <f aca="false">Raw_Data!H622</f>
        <v>no</v>
      </c>
      <c r="J622" s="2" t="n">
        <f aca="false">IF(F622="yes",1,0)</f>
        <v>0</v>
      </c>
      <c r="K622" s="2" t="n">
        <f aca="false">IF(H622="yes",1,0)</f>
        <v>1</v>
      </c>
      <c r="L622" s="2" t="n">
        <f aca="false">IF(I622="yes",1,0)</f>
        <v>0</v>
      </c>
      <c r="M622" s="2" t="n">
        <f aca="false">IF(G622&lt;0,1,0)</f>
        <v>0</v>
      </c>
      <c r="N622" s="2" t="str">
        <f aca="false">_xlfn.IFS(B622&lt;30,"Under 30",B622&lt;40,"30-39",B622&lt;50,"40-49",B622&lt;60,"50-59",TRUE(),"60+")</f>
        <v>30-39</v>
      </c>
      <c r="O622" s="2" t="str">
        <f aca="false">_xlfn.IFS(G622&lt;0,"1 Negative",G622=0,"2 Zero",G622&lt;=500,"3 1-500",G622&lt;=2000,"4 501-2000",TRUE(),"5 Above 2000")</f>
        <v>5 Above 2000</v>
      </c>
      <c r="P622" s="2" t="n">
        <f aca="false">Lookups!$B$2*M622+Lookups!$B$3*L622</f>
        <v>0</v>
      </c>
      <c r="Q622" s="2" t="str">
        <f aca="false">INDEX(Lookups!$E$2:$E$5,MATCH(P622,Lookups!$D$2:$D$5,0))</f>
        <v>Low</v>
      </c>
    </row>
    <row r="623" customFormat="false" ht="15" hidden="false" customHeight="false" outlineLevel="0" collapsed="false">
      <c r="A623" s="3" t="n">
        <v>622</v>
      </c>
      <c r="B623" s="3" t="n">
        <f aca="false">Raw_Data!A623</f>
        <v>30</v>
      </c>
      <c r="C623" s="3" t="str">
        <f aca="false">SUBSTITUTE(Raw_Data!B623,".","")</f>
        <v>technician</v>
      </c>
      <c r="D623" s="3" t="str">
        <f aca="false">Raw_Data!C623</f>
        <v>single</v>
      </c>
      <c r="E623" s="3" t="str">
        <f aca="false">Raw_Data!D623</f>
        <v>tertiary</v>
      </c>
      <c r="F623" s="3" t="str">
        <f aca="false">Raw_Data!E623</f>
        <v>no</v>
      </c>
      <c r="G623" s="3" t="n">
        <f aca="false">Raw_Data!F623</f>
        <v>6619</v>
      </c>
      <c r="H623" s="3" t="str">
        <f aca="false">Raw_Data!G623</f>
        <v>yes</v>
      </c>
      <c r="I623" s="3" t="str">
        <f aca="false">Raw_Data!H623</f>
        <v>no</v>
      </c>
      <c r="J623" s="2" t="n">
        <f aca="false">IF(F623="yes",1,0)</f>
        <v>0</v>
      </c>
      <c r="K623" s="2" t="n">
        <f aca="false">IF(H623="yes",1,0)</f>
        <v>1</v>
      </c>
      <c r="L623" s="2" t="n">
        <f aca="false">IF(I623="yes",1,0)</f>
        <v>0</v>
      </c>
      <c r="M623" s="2" t="n">
        <f aca="false">IF(G623&lt;0,1,0)</f>
        <v>0</v>
      </c>
      <c r="N623" s="2" t="str">
        <f aca="false">_xlfn.IFS(B623&lt;30,"Under 30",B623&lt;40,"30-39",B623&lt;50,"40-49",B623&lt;60,"50-59",TRUE(),"60+")</f>
        <v>30-39</v>
      </c>
      <c r="O623" s="2" t="str">
        <f aca="false">_xlfn.IFS(G623&lt;0,"1 Negative",G623=0,"2 Zero",G623&lt;=500,"3 1-500",G623&lt;=2000,"4 501-2000",TRUE(),"5 Above 2000")</f>
        <v>5 Above 2000</v>
      </c>
      <c r="P623" s="2" t="n">
        <f aca="false">Lookups!$B$2*M623+Lookups!$B$3*L623</f>
        <v>0</v>
      </c>
      <c r="Q623" s="2" t="str">
        <f aca="false">INDEX(Lookups!$E$2:$E$5,MATCH(P623,Lookups!$D$2:$D$5,0))</f>
        <v>Low</v>
      </c>
    </row>
    <row r="624" customFormat="false" ht="15" hidden="false" customHeight="false" outlineLevel="0" collapsed="false">
      <c r="A624" s="3" t="n">
        <v>623</v>
      </c>
      <c r="B624" s="3" t="n">
        <f aca="false">Raw_Data!A624</f>
        <v>32</v>
      </c>
      <c r="C624" s="3" t="str">
        <f aca="false">SUBSTITUTE(Raw_Data!B624,".","")</f>
        <v>blue-collar</v>
      </c>
      <c r="D624" s="3" t="str">
        <f aca="false">Raw_Data!C624</f>
        <v>single</v>
      </c>
      <c r="E624" s="3" t="str">
        <f aca="false">Raw_Data!D624</f>
        <v>secondary</v>
      </c>
      <c r="F624" s="3" t="str">
        <f aca="false">Raw_Data!E624</f>
        <v>no</v>
      </c>
      <c r="G624" s="3" t="n">
        <f aca="false">Raw_Data!F624</f>
        <v>-84</v>
      </c>
      <c r="H624" s="3" t="str">
        <f aca="false">Raw_Data!G624</f>
        <v>yes</v>
      </c>
      <c r="I624" s="3" t="str">
        <f aca="false">Raw_Data!H624</f>
        <v>no</v>
      </c>
      <c r="J624" s="2" t="n">
        <f aca="false">IF(F624="yes",1,0)</f>
        <v>0</v>
      </c>
      <c r="K624" s="2" t="n">
        <f aca="false">IF(H624="yes",1,0)</f>
        <v>1</v>
      </c>
      <c r="L624" s="2" t="n">
        <f aca="false">IF(I624="yes",1,0)</f>
        <v>0</v>
      </c>
      <c r="M624" s="2" t="n">
        <f aca="false">IF(G624&lt;0,1,0)</f>
        <v>1</v>
      </c>
      <c r="N624" s="2" t="str">
        <f aca="false">_xlfn.IFS(B624&lt;30,"Under 30",B624&lt;40,"30-39",B624&lt;50,"40-49",B624&lt;60,"50-59",TRUE(),"60+")</f>
        <v>30-39</v>
      </c>
      <c r="O624" s="2" t="str">
        <f aca="false">_xlfn.IFS(G624&lt;0,"1 Negative",G624=0,"2 Zero",G624&lt;=500,"3 1-500",G624&lt;=2000,"4 501-2000",TRUE(),"5 Above 2000")</f>
        <v>1 Negative</v>
      </c>
      <c r="P624" s="2" t="n">
        <f aca="false">Lookups!$B$2*M624+Lookups!$B$3*L624</f>
        <v>2</v>
      </c>
      <c r="Q624" s="2" t="str">
        <f aca="false">INDEX(Lookups!$E$2:$E$5,MATCH(P624,Lookups!$D$2:$D$5,0))</f>
        <v>High</v>
      </c>
    </row>
    <row r="625" customFormat="false" ht="15" hidden="false" customHeight="false" outlineLevel="0" collapsed="false">
      <c r="A625" s="3" t="n">
        <v>624</v>
      </c>
      <c r="B625" s="3" t="n">
        <f aca="false">Raw_Data!A625</f>
        <v>40</v>
      </c>
      <c r="C625" s="3" t="str">
        <f aca="false">SUBSTITUTE(Raw_Data!B625,".","")</f>
        <v>management</v>
      </c>
      <c r="D625" s="3" t="str">
        <f aca="false">Raw_Data!C625</f>
        <v>single</v>
      </c>
      <c r="E625" s="3" t="str">
        <f aca="false">Raw_Data!D625</f>
        <v>tertiary</v>
      </c>
      <c r="F625" s="3" t="str">
        <f aca="false">Raw_Data!E625</f>
        <v>no</v>
      </c>
      <c r="G625" s="3" t="n">
        <f aca="false">Raw_Data!F625</f>
        <v>1509</v>
      </c>
      <c r="H625" s="3" t="str">
        <f aca="false">Raw_Data!G625</f>
        <v>no</v>
      </c>
      <c r="I625" s="3" t="str">
        <f aca="false">Raw_Data!H625</f>
        <v>no</v>
      </c>
      <c r="J625" s="2" t="n">
        <f aca="false">IF(F625="yes",1,0)</f>
        <v>0</v>
      </c>
      <c r="K625" s="2" t="n">
        <f aca="false">IF(H625="yes",1,0)</f>
        <v>0</v>
      </c>
      <c r="L625" s="2" t="n">
        <f aca="false">IF(I625="yes",1,0)</f>
        <v>0</v>
      </c>
      <c r="M625" s="2" t="n">
        <f aca="false">IF(G625&lt;0,1,0)</f>
        <v>0</v>
      </c>
      <c r="N625" s="2" t="str">
        <f aca="false">_xlfn.IFS(B625&lt;30,"Under 30",B625&lt;40,"30-39",B625&lt;50,"40-49",B625&lt;60,"50-59",TRUE(),"60+")</f>
        <v>40-49</v>
      </c>
      <c r="O625" s="2" t="str">
        <f aca="false">_xlfn.IFS(G625&lt;0,"1 Negative",G625=0,"2 Zero",G625&lt;=500,"3 1-500",G625&lt;=2000,"4 501-2000",TRUE(),"5 Above 2000")</f>
        <v>4 501-2000</v>
      </c>
      <c r="P625" s="2" t="n">
        <f aca="false">Lookups!$B$2*M625+Lookups!$B$3*L625</f>
        <v>0</v>
      </c>
      <c r="Q625" s="2" t="str">
        <f aca="false">INDEX(Lookups!$E$2:$E$5,MATCH(P625,Lookups!$D$2:$D$5,0))</f>
        <v>Low</v>
      </c>
    </row>
    <row r="626" customFormat="false" ht="15" hidden="false" customHeight="false" outlineLevel="0" collapsed="false">
      <c r="A626" s="3" t="n">
        <v>625</v>
      </c>
      <c r="B626" s="3" t="n">
        <f aca="false">Raw_Data!A626</f>
        <v>31</v>
      </c>
      <c r="C626" s="3" t="str">
        <f aca="false">SUBSTITUTE(Raw_Data!B626,".","")</f>
        <v>self-employed</v>
      </c>
      <c r="D626" s="3" t="str">
        <f aca="false">Raw_Data!C626</f>
        <v>married</v>
      </c>
      <c r="E626" s="3" t="str">
        <f aca="false">Raw_Data!D626</f>
        <v>tertiary</v>
      </c>
      <c r="F626" s="3" t="str">
        <f aca="false">Raw_Data!E626</f>
        <v>no</v>
      </c>
      <c r="G626" s="3" t="n">
        <f aca="false">Raw_Data!F626</f>
        <v>1134</v>
      </c>
      <c r="H626" s="3" t="str">
        <f aca="false">Raw_Data!G626</f>
        <v>no</v>
      </c>
      <c r="I626" s="3" t="str">
        <f aca="false">Raw_Data!H626</f>
        <v>no</v>
      </c>
      <c r="J626" s="2" t="n">
        <f aca="false">IF(F626="yes",1,0)</f>
        <v>0</v>
      </c>
      <c r="K626" s="2" t="n">
        <f aca="false">IF(H626="yes",1,0)</f>
        <v>0</v>
      </c>
      <c r="L626" s="2" t="n">
        <f aca="false">IF(I626="yes",1,0)</f>
        <v>0</v>
      </c>
      <c r="M626" s="2" t="n">
        <f aca="false">IF(G626&lt;0,1,0)</f>
        <v>0</v>
      </c>
      <c r="N626" s="2" t="str">
        <f aca="false">_xlfn.IFS(B626&lt;30,"Under 30",B626&lt;40,"30-39",B626&lt;50,"40-49",B626&lt;60,"50-59",TRUE(),"60+")</f>
        <v>30-39</v>
      </c>
      <c r="O626" s="2" t="str">
        <f aca="false">_xlfn.IFS(G626&lt;0,"1 Negative",G626=0,"2 Zero",G626&lt;=500,"3 1-500",G626&lt;=2000,"4 501-2000",TRUE(),"5 Above 2000")</f>
        <v>4 501-2000</v>
      </c>
      <c r="P626" s="2" t="n">
        <f aca="false">Lookups!$B$2*M626+Lookups!$B$3*L626</f>
        <v>0</v>
      </c>
      <c r="Q626" s="2" t="str">
        <f aca="false">INDEX(Lookups!$E$2:$E$5,MATCH(P626,Lookups!$D$2:$D$5,0))</f>
        <v>Low</v>
      </c>
    </row>
    <row r="627" customFormat="false" ht="15" hidden="false" customHeight="false" outlineLevel="0" collapsed="false">
      <c r="A627" s="3" t="n">
        <v>626</v>
      </c>
      <c r="B627" s="3" t="n">
        <f aca="false">Raw_Data!A627</f>
        <v>36</v>
      </c>
      <c r="C627" s="3" t="str">
        <f aca="false">SUBSTITUTE(Raw_Data!B627,".","")</f>
        <v>technician</v>
      </c>
      <c r="D627" s="3" t="str">
        <f aca="false">Raw_Data!C627</f>
        <v>married</v>
      </c>
      <c r="E627" s="3" t="str">
        <f aca="false">Raw_Data!D627</f>
        <v>secondary</v>
      </c>
      <c r="F627" s="3" t="str">
        <f aca="false">Raw_Data!E627</f>
        <v>no</v>
      </c>
      <c r="G627" s="3" t="n">
        <f aca="false">Raw_Data!F627</f>
        <v>146</v>
      </c>
      <c r="H627" s="3" t="str">
        <f aca="false">Raw_Data!G627</f>
        <v>yes</v>
      </c>
      <c r="I627" s="3" t="str">
        <f aca="false">Raw_Data!H627</f>
        <v>yes</v>
      </c>
      <c r="J627" s="2" t="n">
        <f aca="false">IF(F627="yes",1,0)</f>
        <v>0</v>
      </c>
      <c r="K627" s="2" t="n">
        <f aca="false">IF(H627="yes",1,0)</f>
        <v>1</v>
      </c>
      <c r="L627" s="2" t="n">
        <f aca="false">IF(I627="yes",1,0)</f>
        <v>1</v>
      </c>
      <c r="M627" s="2" t="n">
        <f aca="false">IF(G627&lt;0,1,0)</f>
        <v>0</v>
      </c>
      <c r="N627" s="2" t="str">
        <f aca="false">_xlfn.IFS(B627&lt;30,"Under 30",B627&lt;40,"30-39",B627&lt;50,"40-49",B627&lt;60,"50-59",TRUE(),"60+")</f>
        <v>30-39</v>
      </c>
      <c r="O627" s="2" t="str">
        <f aca="false">_xlfn.IFS(G627&lt;0,"1 Negative",G627=0,"2 Zero",G627&lt;=500,"3 1-500",G627&lt;=2000,"4 501-2000",TRUE(),"5 Above 2000")</f>
        <v>3 1-500</v>
      </c>
      <c r="P627" s="2" t="n">
        <f aca="false">Lookups!$B$2*M627+Lookups!$B$3*L627</f>
        <v>1</v>
      </c>
      <c r="Q627" s="2" t="str">
        <f aca="false">INDEX(Lookups!$E$2:$E$5,MATCH(P627,Lookups!$D$2:$D$5,0))</f>
        <v>Medium</v>
      </c>
    </row>
    <row r="628" customFormat="false" ht="15" hidden="false" customHeight="false" outlineLevel="0" collapsed="false">
      <c r="A628" s="3" t="n">
        <v>627</v>
      </c>
      <c r="B628" s="3" t="n">
        <f aca="false">Raw_Data!A628</f>
        <v>33</v>
      </c>
      <c r="C628" s="3" t="str">
        <f aca="false">SUBSTITUTE(Raw_Data!B628,".","")</f>
        <v>management</v>
      </c>
      <c r="D628" s="3" t="str">
        <f aca="false">Raw_Data!C628</f>
        <v>single</v>
      </c>
      <c r="E628" s="3" t="str">
        <f aca="false">Raw_Data!D628</f>
        <v>tertiary</v>
      </c>
      <c r="F628" s="3" t="str">
        <f aca="false">Raw_Data!E628</f>
        <v>no</v>
      </c>
      <c r="G628" s="3" t="n">
        <f aca="false">Raw_Data!F628</f>
        <v>9449</v>
      </c>
      <c r="H628" s="3" t="str">
        <f aca="false">Raw_Data!G628</f>
        <v>yes</v>
      </c>
      <c r="I628" s="3" t="str">
        <f aca="false">Raw_Data!H628</f>
        <v>no</v>
      </c>
      <c r="J628" s="2" t="n">
        <f aca="false">IF(F628="yes",1,0)</f>
        <v>0</v>
      </c>
      <c r="K628" s="2" t="n">
        <f aca="false">IF(H628="yes",1,0)</f>
        <v>1</v>
      </c>
      <c r="L628" s="2" t="n">
        <f aca="false">IF(I628="yes",1,0)</f>
        <v>0</v>
      </c>
      <c r="M628" s="2" t="n">
        <f aca="false">IF(G628&lt;0,1,0)</f>
        <v>0</v>
      </c>
      <c r="N628" s="2" t="str">
        <f aca="false">_xlfn.IFS(B628&lt;30,"Under 30",B628&lt;40,"30-39",B628&lt;50,"40-49",B628&lt;60,"50-59",TRUE(),"60+")</f>
        <v>30-39</v>
      </c>
      <c r="O628" s="2" t="str">
        <f aca="false">_xlfn.IFS(G628&lt;0,"1 Negative",G628=0,"2 Zero",G628&lt;=500,"3 1-500",G628&lt;=2000,"4 501-2000",TRUE(),"5 Above 2000")</f>
        <v>5 Above 2000</v>
      </c>
      <c r="P628" s="2" t="n">
        <f aca="false">Lookups!$B$2*M628+Lookups!$B$3*L628</f>
        <v>0</v>
      </c>
      <c r="Q628" s="2" t="str">
        <f aca="false">INDEX(Lookups!$E$2:$E$5,MATCH(P628,Lookups!$D$2:$D$5,0))</f>
        <v>Low</v>
      </c>
    </row>
    <row r="629" customFormat="false" ht="15" hidden="false" customHeight="false" outlineLevel="0" collapsed="false">
      <c r="A629" s="3" t="n">
        <v>628</v>
      </c>
      <c r="B629" s="3" t="n">
        <f aca="false">Raw_Data!A629</f>
        <v>57</v>
      </c>
      <c r="C629" s="3" t="str">
        <f aca="false">SUBSTITUTE(Raw_Data!B629,".","")</f>
        <v>retired</v>
      </c>
      <c r="D629" s="3" t="str">
        <f aca="false">Raw_Data!C629</f>
        <v>married</v>
      </c>
      <c r="E629" s="3" t="str">
        <f aca="false">Raw_Data!D629</f>
        <v>secondary</v>
      </c>
      <c r="F629" s="3" t="str">
        <f aca="false">Raw_Data!E629</f>
        <v>no</v>
      </c>
      <c r="G629" s="3" t="n">
        <f aca="false">Raw_Data!F629</f>
        <v>374</v>
      </c>
      <c r="H629" s="3" t="str">
        <f aca="false">Raw_Data!G629</f>
        <v>yes</v>
      </c>
      <c r="I629" s="3" t="str">
        <f aca="false">Raw_Data!H629</f>
        <v>yes</v>
      </c>
      <c r="J629" s="2" t="n">
        <f aca="false">IF(F629="yes",1,0)</f>
        <v>0</v>
      </c>
      <c r="K629" s="2" t="n">
        <f aca="false">IF(H629="yes",1,0)</f>
        <v>1</v>
      </c>
      <c r="L629" s="2" t="n">
        <f aca="false">IF(I629="yes",1,0)</f>
        <v>1</v>
      </c>
      <c r="M629" s="2" t="n">
        <f aca="false">IF(G629&lt;0,1,0)</f>
        <v>0</v>
      </c>
      <c r="N629" s="2" t="str">
        <f aca="false">_xlfn.IFS(B629&lt;30,"Under 30",B629&lt;40,"30-39",B629&lt;50,"40-49",B629&lt;60,"50-59",TRUE(),"60+")</f>
        <v>50-59</v>
      </c>
      <c r="O629" s="2" t="str">
        <f aca="false">_xlfn.IFS(G629&lt;0,"1 Negative",G629=0,"2 Zero",G629&lt;=500,"3 1-500",G629&lt;=2000,"4 501-2000",TRUE(),"5 Above 2000")</f>
        <v>3 1-500</v>
      </c>
      <c r="P629" s="2" t="n">
        <f aca="false">Lookups!$B$2*M629+Lookups!$B$3*L629</f>
        <v>1</v>
      </c>
      <c r="Q629" s="2" t="str">
        <f aca="false">INDEX(Lookups!$E$2:$E$5,MATCH(P629,Lookups!$D$2:$D$5,0))</f>
        <v>Medium</v>
      </c>
    </row>
    <row r="630" customFormat="false" ht="15" hidden="false" customHeight="false" outlineLevel="0" collapsed="false">
      <c r="A630" s="3" t="n">
        <v>629</v>
      </c>
      <c r="B630" s="3" t="n">
        <f aca="false">Raw_Data!A630</f>
        <v>45</v>
      </c>
      <c r="C630" s="3" t="str">
        <f aca="false">SUBSTITUTE(Raw_Data!B630,".","")</f>
        <v>technician</v>
      </c>
      <c r="D630" s="3" t="str">
        <f aca="false">Raw_Data!C630</f>
        <v>married</v>
      </c>
      <c r="E630" s="3" t="str">
        <f aca="false">Raw_Data!D630</f>
        <v>secondary</v>
      </c>
      <c r="F630" s="3" t="str">
        <f aca="false">Raw_Data!E630</f>
        <v>no</v>
      </c>
      <c r="G630" s="3" t="n">
        <f aca="false">Raw_Data!F630</f>
        <v>88</v>
      </c>
      <c r="H630" s="3" t="str">
        <f aca="false">Raw_Data!G630</f>
        <v>no</v>
      </c>
      <c r="I630" s="3" t="str">
        <f aca="false">Raw_Data!H630</f>
        <v>no</v>
      </c>
      <c r="J630" s="2" t="n">
        <f aca="false">IF(F630="yes",1,0)</f>
        <v>0</v>
      </c>
      <c r="K630" s="2" t="n">
        <f aca="false">IF(H630="yes",1,0)</f>
        <v>0</v>
      </c>
      <c r="L630" s="2" t="n">
        <f aca="false">IF(I630="yes",1,0)</f>
        <v>0</v>
      </c>
      <c r="M630" s="2" t="n">
        <f aca="false">IF(G630&lt;0,1,0)</f>
        <v>0</v>
      </c>
      <c r="N630" s="2" t="str">
        <f aca="false">_xlfn.IFS(B630&lt;30,"Under 30",B630&lt;40,"30-39",B630&lt;50,"40-49",B630&lt;60,"50-59",TRUE(),"60+")</f>
        <v>40-49</v>
      </c>
      <c r="O630" s="2" t="str">
        <f aca="false">_xlfn.IFS(G630&lt;0,"1 Negative",G630=0,"2 Zero",G630&lt;=500,"3 1-500",G630&lt;=2000,"4 501-2000",TRUE(),"5 Above 2000")</f>
        <v>3 1-500</v>
      </c>
      <c r="P630" s="2" t="n">
        <f aca="false">Lookups!$B$2*M630+Lookups!$B$3*L630</f>
        <v>0</v>
      </c>
      <c r="Q630" s="2" t="str">
        <f aca="false">INDEX(Lookups!$E$2:$E$5,MATCH(P630,Lookups!$D$2:$D$5,0))</f>
        <v>Low</v>
      </c>
    </row>
    <row r="631" customFormat="false" ht="15" hidden="false" customHeight="false" outlineLevel="0" collapsed="false">
      <c r="A631" s="3" t="n">
        <v>630</v>
      </c>
      <c r="B631" s="3" t="n">
        <f aca="false">Raw_Data!A631</f>
        <v>59</v>
      </c>
      <c r="C631" s="3" t="str">
        <f aca="false">SUBSTITUTE(Raw_Data!B631,".","")</f>
        <v>management</v>
      </c>
      <c r="D631" s="3" t="str">
        <f aca="false">Raw_Data!C631</f>
        <v>married</v>
      </c>
      <c r="E631" s="3" t="str">
        <f aca="false">Raw_Data!D631</f>
        <v>tertiary</v>
      </c>
      <c r="F631" s="3" t="str">
        <f aca="false">Raw_Data!E631</f>
        <v>no</v>
      </c>
      <c r="G631" s="3" t="n">
        <f aca="false">Raw_Data!F631</f>
        <v>2764</v>
      </c>
      <c r="H631" s="3" t="str">
        <f aca="false">Raw_Data!G631</f>
        <v>no</v>
      </c>
      <c r="I631" s="3" t="str">
        <f aca="false">Raw_Data!H631</f>
        <v>no</v>
      </c>
      <c r="J631" s="2" t="n">
        <f aca="false">IF(F631="yes",1,0)</f>
        <v>0</v>
      </c>
      <c r="K631" s="2" t="n">
        <f aca="false">IF(H631="yes",1,0)</f>
        <v>0</v>
      </c>
      <c r="L631" s="2" t="n">
        <f aca="false">IF(I631="yes",1,0)</f>
        <v>0</v>
      </c>
      <c r="M631" s="2" t="n">
        <f aca="false">IF(G631&lt;0,1,0)</f>
        <v>0</v>
      </c>
      <c r="N631" s="2" t="str">
        <f aca="false">_xlfn.IFS(B631&lt;30,"Under 30",B631&lt;40,"30-39",B631&lt;50,"40-49",B631&lt;60,"50-59",TRUE(),"60+")</f>
        <v>50-59</v>
      </c>
      <c r="O631" s="2" t="str">
        <f aca="false">_xlfn.IFS(G631&lt;0,"1 Negative",G631=0,"2 Zero",G631&lt;=500,"3 1-500",G631&lt;=2000,"4 501-2000",TRUE(),"5 Above 2000")</f>
        <v>5 Above 2000</v>
      </c>
      <c r="P631" s="2" t="n">
        <f aca="false">Lookups!$B$2*M631+Lookups!$B$3*L631</f>
        <v>0</v>
      </c>
      <c r="Q631" s="2" t="str">
        <f aca="false">INDEX(Lookups!$E$2:$E$5,MATCH(P631,Lookups!$D$2:$D$5,0))</f>
        <v>Low</v>
      </c>
    </row>
    <row r="632" customFormat="false" ht="15" hidden="false" customHeight="false" outlineLevel="0" collapsed="false">
      <c r="A632" s="3" t="n">
        <v>631</v>
      </c>
      <c r="B632" s="3" t="n">
        <f aca="false">Raw_Data!A632</f>
        <v>30</v>
      </c>
      <c r="C632" s="3" t="str">
        <f aca="false">SUBSTITUTE(Raw_Data!B632,".","")</f>
        <v>management</v>
      </c>
      <c r="D632" s="3" t="str">
        <f aca="false">Raw_Data!C632</f>
        <v>single</v>
      </c>
      <c r="E632" s="3" t="str">
        <f aca="false">Raw_Data!D632</f>
        <v>tertiary</v>
      </c>
      <c r="F632" s="3" t="str">
        <f aca="false">Raw_Data!E632</f>
        <v>no</v>
      </c>
      <c r="G632" s="3" t="n">
        <f aca="false">Raw_Data!F632</f>
        <v>2</v>
      </c>
      <c r="H632" s="3" t="str">
        <f aca="false">Raw_Data!G632</f>
        <v>yes</v>
      </c>
      <c r="I632" s="3" t="str">
        <f aca="false">Raw_Data!H632</f>
        <v>yes</v>
      </c>
      <c r="J632" s="2" t="n">
        <f aca="false">IF(F632="yes",1,0)</f>
        <v>0</v>
      </c>
      <c r="K632" s="2" t="n">
        <f aca="false">IF(H632="yes",1,0)</f>
        <v>1</v>
      </c>
      <c r="L632" s="2" t="n">
        <f aca="false">IF(I632="yes",1,0)</f>
        <v>1</v>
      </c>
      <c r="M632" s="2" t="n">
        <f aca="false">IF(G632&lt;0,1,0)</f>
        <v>0</v>
      </c>
      <c r="N632" s="2" t="str">
        <f aca="false">_xlfn.IFS(B632&lt;30,"Under 30",B632&lt;40,"30-39",B632&lt;50,"40-49",B632&lt;60,"50-59",TRUE(),"60+")</f>
        <v>30-39</v>
      </c>
      <c r="O632" s="2" t="str">
        <f aca="false">_xlfn.IFS(G632&lt;0,"1 Negative",G632=0,"2 Zero",G632&lt;=500,"3 1-500",G632&lt;=2000,"4 501-2000",TRUE(),"5 Above 2000")</f>
        <v>3 1-500</v>
      </c>
      <c r="P632" s="2" t="n">
        <f aca="false">Lookups!$B$2*M632+Lookups!$B$3*L632</f>
        <v>1</v>
      </c>
      <c r="Q632" s="2" t="str">
        <f aca="false">INDEX(Lookups!$E$2:$E$5,MATCH(P632,Lookups!$D$2:$D$5,0))</f>
        <v>Medium</v>
      </c>
    </row>
    <row r="633" customFormat="false" ht="15" hidden="false" customHeight="false" outlineLevel="0" collapsed="false">
      <c r="A633" s="3" t="n">
        <v>632</v>
      </c>
      <c r="B633" s="3" t="n">
        <f aca="false">Raw_Data!A633</f>
        <v>33</v>
      </c>
      <c r="C633" s="3" t="str">
        <f aca="false">SUBSTITUTE(Raw_Data!B633,".","")</f>
        <v>technician</v>
      </c>
      <c r="D633" s="3" t="str">
        <f aca="false">Raw_Data!C633</f>
        <v>married</v>
      </c>
      <c r="E633" s="3" t="str">
        <f aca="false">Raw_Data!D633</f>
        <v>tertiary</v>
      </c>
      <c r="F633" s="3" t="str">
        <f aca="false">Raw_Data!E633</f>
        <v>no</v>
      </c>
      <c r="G633" s="3" t="n">
        <f aca="false">Raw_Data!F633</f>
        <v>8023</v>
      </c>
      <c r="H633" s="3" t="str">
        <f aca="false">Raw_Data!G633</f>
        <v>no</v>
      </c>
      <c r="I633" s="3" t="str">
        <f aca="false">Raw_Data!H633</f>
        <v>no</v>
      </c>
      <c r="J633" s="2" t="n">
        <f aca="false">IF(F633="yes",1,0)</f>
        <v>0</v>
      </c>
      <c r="K633" s="2" t="n">
        <f aca="false">IF(H633="yes",1,0)</f>
        <v>0</v>
      </c>
      <c r="L633" s="2" t="n">
        <f aca="false">IF(I633="yes",1,0)</f>
        <v>0</v>
      </c>
      <c r="M633" s="2" t="n">
        <f aca="false">IF(G633&lt;0,1,0)</f>
        <v>0</v>
      </c>
      <c r="N633" s="2" t="str">
        <f aca="false">_xlfn.IFS(B633&lt;30,"Under 30",B633&lt;40,"30-39",B633&lt;50,"40-49",B633&lt;60,"50-59",TRUE(),"60+")</f>
        <v>30-39</v>
      </c>
      <c r="O633" s="2" t="str">
        <f aca="false">_xlfn.IFS(G633&lt;0,"1 Negative",G633=0,"2 Zero",G633&lt;=500,"3 1-500",G633&lt;=2000,"4 501-2000",TRUE(),"5 Above 2000")</f>
        <v>5 Above 2000</v>
      </c>
      <c r="P633" s="2" t="n">
        <f aca="false">Lookups!$B$2*M633+Lookups!$B$3*L633</f>
        <v>0</v>
      </c>
      <c r="Q633" s="2" t="str">
        <f aca="false">INDEX(Lookups!$E$2:$E$5,MATCH(P633,Lookups!$D$2:$D$5,0))</f>
        <v>Low</v>
      </c>
    </row>
    <row r="634" customFormat="false" ht="15" hidden="false" customHeight="false" outlineLevel="0" collapsed="false">
      <c r="A634" s="3" t="n">
        <v>633</v>
      </c>
      <c r="B634" s="3" t="n">
        <f aca="false">Raw_Data!A634</f>
        <v>52</v>
      </c>
      <c r="C634" s="3" t="str">
        <f aca="false">SUBSTITUTE(Raw_Data!B634,".","")</f>
        <v>blue-collar</v>
      </c>
      <c r="D634" s="3" t="str">
        <f aca="false">Raw_Data!C634</f>
        <v>married</v>
      </c>
      <c r="E634" s="3" t="str">
        <f aca="false">Raw_Data!D634</f>
        <v>secondary</v>
      </c>
      <c r="F634" s="3" t="str">
        <f aca="false">Raw_Data!E634</f>
        <v>no</v>
      </c>
      <c r="G634" s="3" t="n">
        <f aca="false">Raw_Data!F634</f>
        <v>289</v>
      </c>
      <c r="H634" s="3" t="str">
        <f aca="false">Raw_Data!G634</f>
        <v>yes</v>
      </c>
      <c r="I634" s="3" t="str">
        <f aca="false">Raw_Data!H634</f>
        <v>no</v>
      </c>
      <c r="J634" s="2" t="n">
        <f aca="false">IF(F634="yes",1,0)</f>
        <v>0</v>
      </c>
      <c r="K634" s="2" t="n">
        <f aca="false">IF(H634="yes",1,0)</f>
        <v>1</v>
      </c>
      <c r="L634" s="2" t="n">
        <f aca="false">IF(I634="yes",1,0)</f>
        <v>0</v>
      </c>
      <c r="M634" s="2" t="n">
        <f aca="false">IF(G634&lt;0,1,0)</f>
        <v>0</v>
      </c>
      <c r="N634" s="2" t="str">
        <f aca="false">_xlfn.IFS(B634&lt;30,"Under 30",B634&lt;40,"30-39",B634&lt;50,"40-49",B634&lt;60,"50-59",TRUE(),"60+")</f>
        <v>50-59</v>
      </c>
      <c r="O634" s="2" t="str">
        <f aca="false">_xlfn.IFS(G634&lt;0,"1 Negative",G634=0,"2 Zero",G634&lt;=500,"3 1-500",G634&lt;=2000,"4 501-2000",TRUE(),"5 Above 2000")</f>
        <v>3 1-500</v>
      </c>
      <c r="P634" s="2" t="n">
        <f aca="false">Lookups!$B$2*M634+Lookups!$B$3*L634</f>
        <v>0</v>
      </c>
      <c r="Q634" s="2" t="str">
        <f aca="false">INDEX(Lookups!$E$2:$E$5,MATCH(P634,Lookups!$D$2:$D$5,0))</f>
        <v>Low</v>
      </c>
    </row>
    <row r="635" customFormat="false" ht="15" hidden="false" customHeight="false" outlineLevel="0" collapsed="false">
      <c r="A635" s="3" t="n">
        <v>634</v>
      </c>
      <c r="B635" s="3" t="n">
        <f aca="false">Raw_Data!A635</f>
        <v>83</v>
      </c>
      <c r="C635" s="3" t="str">
        <f aca="false">SUBSTITUTE(Raw_Data!B635,".","")</f>
        <v>retired</v>
      </c>
      <c r="D635" s="3" t="str">
        <f aca="false">Raw_Data!C635</f>
        <v>married</v>
      </c>
      <c r="E635" s="3" t="str">
        <f aca="false">Raw_Data!D635</f>
        <v>secondary</v>
      </c>
      <c r="F635" s="3" t="str">
        <f aca="false">Raw_Data!E635</f>
        <v>no</v>
      </c>
      <c r="G635" s="3" t="n">
        <f aca="false">Raw_Data!F635</f>
        <v>0</v>
      </c>
      <c r="H635" s="3" t="str">
        <f aca="false">Raw_Data!G635</f>
        <v>no</v>
      </c>
      <c r="I635" s="3" t="str">
        <f aca="false">Raw_Data!H635</f>
        <v>no</v>
      </c>
      <c r="J635" s="2" t="n">
        <f aca="false">IF(F635="yes",1,0)</f>
        <v>0</v>
      </c>
      <c r="K635" s="2" t="n">
        <f aca="false">IF(H635="yes",1,0)</f>
        <v>0</v>
      </c>
      <c r="L635" s="2" t="n">
        <f aca="false">IF(I635="yes",1,0)</f>
        <v>0</v>
      </c>
      <c r="M635" s="2" t="n">
        <f aca="false">IF(G635&lt;0,1,0)</f>
        <v>0</v>
      </c>
      <c r="N635" s="2" t="str">
        <f aca="false">_xlfn.IFS(B635&lt;30,"Under 30",B635&lt;40,"30-39",B635&lt;50,"40-49",B635&lt;60,"50-59",TRUE(),"60+")</f>
        <v>60+</v>
      </c>
      <c r="O635" s="2" t="str">
        <f aca="false">_xlfn.IFS(G635&lt;0,"1 Negative",G635=0,"2 Zero",G635&lt;=500,"3 1-500",G635&lt;=2000,"4 501-2000",TRUE(),"5 Above 2000")</f>
        <v>2 Zero</v>
      </c>
      <c r="P635" s="2" t="n">
        <f aca="false">Lookups!$B$2*M635+Lookups!$B$3*L635</f>
        <v>0</v>
      </c>
      <c r="Q635" s="2" t="str">
        <f aca="false">INDEX(Lookups!$E$2:$E$5,MATCH(P635,Lookups!$D$2:$D$5,0))</f>
        <v>Low</v>
      </c>
    </row>
    <row r="636" customFormat="false" ht="15" hidden="false" customHeight="false" outlineLevel="0" collapsed="false">
      <c r="A636" s="3" t="n">
        <v>635</v>
      </c>
      <c r="B636" s="3" t="n">
        <f aca="false">Raw_Data!A636</f>
        <v>58</v>
      </c>
      <c r="C636" s="3" t="str">
        <f aca="false">SUBSTITUTE(Raw_Data!B636,".","")</f>
        <v>self-employed</v>
      </c>
      <c r="D636" s="3" t="str">
        <f aca="false">Raw_Data!C636</f>
        <v>divorced</v>
      </c>
      <c r="E636" s="3" t="str">
        <f aca="false">Raw_Data!D636</f>
        <v>tertiary</v>
      </c>
      <c r="F636" s="3" t="str">
        <f aca="false">Raw_Data!E636</f>
        <v>no</v>
      </c>
      <c r="G636" s="3" t="n">
        <f aca="false">Raw_Data!F636</f>
        <v>1382</v>
      </c>
      <c r="H636" s="3" t="str">
        <f aca="false">Raw_Data!G636</f>
        <v>no</v>
      </c>
      <c r="I636" s="3" t="str">
        <f aca="false">Raw_Data!H636</f>
        <v>no</v>
      </c>
      <c r="J636" s="2" t="n">
        <f aca="false">IF(F636="yes",1,0)</f>
        <v>0</v>
      </c>
      <c r="K636" s="2" t="n">
        <f aca="false">IF(H636="yes",1,0)</f>
        <v>0</v>
      </c>
      <c r="L636" s="2" t="n">
        <f aca="false">IF(I636="yes",1,0)</f>
        <v>0</v>
      </c>
      <c r="M636" s="2" t="n">
        <f aca="false">IF(G636&lt;0,1,0)</f>
        <v>0</v>
      </c>
      <c r="N636" s="2" t="str">
        <f aca="false">_xlfn.IFS(B636&lt;30,"Under 30",B636&lt;40,"30-39",B636&lt;50,"40-49",B636&lt;60,"50-59",TRUE(),"60+")</f>
        <v>50-59</v>
      </c>
      <c r="O636" s="2" t="str">
        <f aca="false">_xlfn.IFS(G636&lt;0,"1 Negative",G636=0,"2 Zero",G636&lt;=500,"3 1-500",G636&lt;=2000,"4 501-2000",TRUE(),"5 Above 2000")</f>
        <v>4 501-2000</v>
      </c>
      <c r="P636" s="2" t="n">
        <f aca="false">Lookups!$B$2*M636+Lookups!$B$3*L636</f>
        <v>0</v>
      </c>
      <c r="Q636" s="2" t="str">
        <f aca="false">INDEX(Lookups!$E$2:$E$5,MATCH(P636,Lookups!$D$2:$D$5,0))</f>
        <v>Low</v>
      </c>
    </row>
    <row r="637" customFormat="false" ht="15" hidden="false" customHeight="false" outlineLevel="0" collapsed="false">
      <c r="A637" s="3" t="n">
        <v>636</v>
      </c>
      <c r="B637" s="3" t="n">
        <f aca="false">Raw_Data!A637</f>
        <v>33</v>
      </c>
      <c r="C637" s="3" t="str">
        <f aca="false">SUBSTITUTE(Raw_Data!B637,".","")</f>
        <v>management</v>
      </c>
      <c r="D637" s="3" t="str">
        <f aca="false">Raw_Data!C637</f>
        <v>divorced</v>
      </c>
      <c r="E637" s="3" t="str">
        <f aca="false">Raw_Data!D637</f>
        <v>tertiary</v>
      </c>
      <c r="F637" s="3" t="str">
        <f aca="false">Raw_Data!E637</f>
        <v>yes</v>
      </c>
      <c r="G637" s="3" t="n">
        <f aca="false">Raw_Data!F637</f>
        <v>280</v>
      </c>
      <c r="H637" s="3" t="str">
        <f aca="false">Raw_Data!G637</f>
        <v>no</v>
      </c>
      <c r="I637" s="3" t="str">
        <f aca="false">Raw_Data!H637</f>
        <v>yes</v>
      </c>
      <c r="J637" s="2" t="n">
        <f aca="false">IF(F637="yes",1,0)</f>
        <v>1</v>
      </c>
      <c r="K637" s="2" t="n">
        <f aca="false">IF(H637="yes",1,0)</f>
        <v>0</v>
      </c>
      <c r="L637" s="2" t="n">
        <f aca="false">IF(I637="yes",1,0)</f>
        <v>1</v>
      </c>
      <c r="M637" s="2" t="n">
        <f aca="false">IF(G637&lt;0,1,0)</f>
        <v>0</v>
      </c>
      <c r="N637" s="2" t="str">
        <f aca="false">_xlfn.IFS(B637&lt;30,"Under 30",B637&lt;40,"30-39",B637&lt;50,"40-49",B637&lt;60,"50-59",TRUE(),"60+")</f>
        <v>30-39</v>
      </c>
      <c r="O637" s="2" t="str">
        <f aca="false">_xlfn.IFS(G637&lt;0,"1 Negative",G637=0,"2 Zero",G637&lt;=500,"3 1-500",G637&lt;=2000,"4 501-2000",TRUE(),"5 Above 2000")</f>
        <v>3 1-500</v>
      </c>
      <c r="P637" s="2" t="n">
        <f aca="false">Lookups!$B$2*M637+Lookups!$B$3*L637</f>
        <v>1</v>
      </c>
      <c r="Q637" s="2" t="str">
        <f aca="false">INDEX(Lookups!$E$2:$E$5,MATCH(P637,Lookups!$D$2:$D$5,0))</f>
        <v>Medium</v>
      </c>
    </row>
    <row r="638" customFormat="false" ht="15" hidden="false" customHeight="false" outlineLevel="0" collapsed="false">
      <c r="A638" s="3" t="n">
        <v>637</v>
      </c>
      <c r="B638" s="3" t="n">
        <f aca="false">Raw_Data!A638</f>
        <v>41</v>
      </c>
      <c r="C638" s="3" t="str">
        <f aca="false">SUBSTITUTE(Raw_Data!B638,".","")</f>
        <v>blue-collar</v>
      </c>
      <c r="D638" s="3" t="str">
        <f aca="false">Raw_Data!C638</f>
        <v>divorced</v>
      </c>
      <c r="E638" s="3" t="str">
        <f aca="false">Raw_Data!D638</f>
        <v>primary</v>
      </c>
      <c r="F638" s="3" t="str">
        <f aca="false">Raw_Data!E638</f>
        <v>no</v>
      </c>
      <c r="G638" s="3" t="n">
        <f aca="false">Raw_Data!F638</f>
        <v>2195</v>
      </c>
      <c r="H638" s="3" t="str">
        <f aca="false">Raw_Data!G638</f>
        <v>yes</v>
      </c>
      <c r="I638" s="3" t="str">
        <f aca="false">Raw_Data!H638</f>
        <v>no</v>
      </c>
      <c r="J638" s="2" t="n">
        <f aca="false">IF(F638="yes",1,0)</f>
        <v>0</v>
      </c>
      <c r="K638" s="2" t="n">
        <f aca="false">IF(H638="yes",1,0)</f>
        <v>1</v>
      </c>
      <c r="L638" s="2" t="n">
        <f aca="false">IF(I638="yes",1,0)</f>
        <v>0</v>
      </c>
      <c r="M638" s="2" t="n">
        <f aca="false">IF(G638&lt;0,1,0)</f>
        <v>0</v>
      </c>
      <c r="N638" s="2" t="str">
        <f aca="false">_xlfn.IFS(B638&lt;30,"Under 30",B638&lt;40,"30-39",B638&lt;50,"40-49",B638&lt;60,"50-59",TRUE(),"60+")</f>
        <v>40-49</v>
      </c>
      <c r="O638" s="2" t="str">
        <f aca="false">_xlfn.IFS(G638&lt;0,"1 Negative",G638=0,"2 Zero",G638&lt;=500,"3 1-500",G638&lt;=2000,"4 501-2000",TRUE(),"5 Above 2000")</f>
        <v>5 Above 2000</v>
      </c>
      <c r="P638" s="2" t="n">
        <f aca="false">Lookups!$B$2*M638+Lookups!$B$3*L638</f>
        <v>0</v>
      </c>
      <c r="Q638" s="2" t="str">
        <f aca="false">INDEX(Lookups!$E$2:$E$5,MATCH(P638,Lookups!$D$2:$D$5,0))</f>
        <v>Low</v>
      </c>
    </row>
    <row r="639" customFormat="false" ht="15" hidden="false" customHeight="false" outlineLevel="0" collapsed="false">
      <c r="A639" s="3" t="n">
        <v>638</v>
      </c>
      <c r="B639" s="3" t="n">
        <f aca="false">Raw_Data!A639</f>
        <v>31</v>
      </c>
      <c r="C639" s="3" t="str">
        <f aca="false">SUBSTITUTE(Raw_Data!B639,".","")</f>
        <v>self-employed</v>
      </c>
      <c r="D639" s="3" t="str">
        <f aca="false">Raw_Data!C639</f>
        <v>married</v>
      </c>
      <c r="E639" s="3" t="str">
        <f aca="false">Raw_Data!D639</f>
        <v>secondary</v>
      </c>
      <c r="F639" s="3" t="str">
        <f aca="false">Raw_Data!E639</f>
        <v>no</v>
      </c>
      <c r="G639" s="3" t="n">
        <f aca="false">Raw_Data!F639</f>
        <v>33</v>
      </c>
      <c r="H639" s="3" t="str">
        <f aca="false">Raw_Data!G639</f>
        <v>no</v>
      </c>
      <c r="I639" s="3" t="str">
        <f aca="false">Raw_Data!H639</f>
        <v>no</v>
      </c>
      <c r="J639" s="2" t="n">
        <f aca="false">IF(F639="yes",1,0)</f>
        <v>0</v>
      </c>
      <c r="K639" s="2" t="n">
        <f aca="false">IF(H639="yes",1,0)</f>
        <v>0</v>
      </c>
      <c r="L639" s="2" t="n">
        <f aca="false">IF(I639="yes",1,0)</f>
        <v>0</v>
      </c>
      <c r="M639" s="2" t="n">
        <f aca="false">IF(G639&lt;0,1,0)</f>
        <v>0</v>
      </c>
      <c r="N639" s="2" t="str">
        <f aca="false">_xlfn.IFS(B639&lt;30,"Under 30",B639&lt;40,"30-39",B639&lt;50,"40-49",B639&lt;60,"50-59",TRUE(),"60+")</f>
        <v>30-39</v>
      </c>
      <c r="O639" s="2" t="str">
        <f aca="false">_xlfn.IFS(G639&lt;0,"1 Negative",G639=0,"2 Zero",G639&lt;=500,"3 1-500",G639&lt;=2000,"4 501-2000",TRUE(),"5 Above 2000")</f>
        <v>3 1-500</v>
      </c>
      <c r="P639" s="2" t="n">
        <f aca="false">Lookups!$B$2*M639+Lookups!$B$3*L639</f>
        <v>0</v>
      </c>
      <c r="Q639" s="2" t="str">
        <f aca="false">INDEX(Lookups!$E$2:$E$5,MATCH(P639,Lookups!$D$2:$D$5,0))</f>
        <v>Low</v>
      </c>
    </row>
    <row r="640" customFormat="false" ht="15" hidden="false" customHeight="false" outlineLevel="0" collapsed="false">
      <c r="A640" s="3" t="n">
        <v>639</v>
      </c>
      <c r="B640" s="3" t="n">
        <f aca="false">Raw_Data!A640</f>
        <v>35</v>
      </c>
      <c r="C640" s="3" t="str">
        <f aca="false">SUBSTITUTE(Raw_Data!B640,".","")</f>
        <v>blue-collar</v>
      </c>
      <c r="D640" s="3" t="str">
        <f aca="false">Raw_Data!C640</f>
        <v>divorced</v>
      </c>
      <c r="E640" s="3" t="str">
        <f aca="false">Raw_Data!D640</f>
        <v>secondary</v>
      </c>
      <c r="F640" s="3" t="str">
        <f aca="false">Raw_Data!E640</f>
        <v>no</v>
      </c>
      <c r="G640" s="3" t="n">
        <f aca="false">Raw_Data!F640</f>
        <v>275</v>
      </c>
      <c r="H640" s="3" t="str">
        <f aca="false">Raw_Data!G640</f>
        <v>no</v>
      </c>
      <c r="I640" s="3" t="str">
        <f aca="false">Raw_Data!H640</f>
        <v>yes</v>
      </c>
      <c r="J640" s="2" t="n">
        <f aca="false">IF(F640="yes",1,0)</f>
        <v>0</v>
      </c>
      <c r="K640" s="2" t="n">
        <f aca="false">IF(H640="yes",1,0)</f>
        <v>0</v>
      </c>
      <c r="L640" s="2" t="n">
        <f aca="false">IF(I640="yes",1,0)</f>
        <v>1</v>
      </c>
      <c r="M640" s="2" t="n">
        <f aca="false">IF(G640&lt;0,1,0)</f>
        <v>0</v>
      </c>
      <c r="N640" s="2" t="str">
        <f aca="false">_xlfn.IFS(B640&lt;30,"Under 30",B640&lt;40,"30-39",B640&lt;50,"40-49",B640&lt;60,"50-59",TRUE(),"60+")</f>
        <v>30-39</v>
      </c>
      <c r="O640" s="2" t="str">
        <f aca="false">_xlfn.IFS(G640&lt;0,"1 Negative",G640=0,"2 Zero",G640&lt;=500,"3 1-500",G640&lt;=2000,"4 501-2000",TRUE(),"5 Above 2000")</f>
        <v>3 1-500</v>
      </c>
      <c r="P640" s="2" t="n">
        <f aca="false">Lookups!$B$2*M640+Lookups!$B$3*L640</f>
        <v>1</v>
      </c>
      <c r="Q640" s="2" t="str">
        <f aca="false">INDEX(Lookups!$E$2:$E$5,MATCH(P640,Lookups!$D$2:$D$5,0))</f>
        <v>Medium</v>
      </c>
    </row>
    <row r="641" customFormat="false" ht="15" hidden="false" customHeight="false" outlineLevel="0" collapsed="false">
      <c r="A641" s="3" t="n">
        <v>640</v>
      </c>
      <c r="B641" s="3" t="n">
        <f aca="false">Raw_Data!A641</f>
        <v>27</v>
      </c>
      <c r="C641" s="3" t="str">
        <f aca="false">SUBSTITUTE(Raw_Data!B641,".","")</f>
        <v>management</v>
      </c>
      <c r="D641" s="3" t="str">
        <f aca="false">Raw_Data!C641</f>
        <v>single</v>
      </c>
      <c r="E641" s="3" t="str">
        <f aca="false">Raw_Data!D641</f>
        <v>tertiary</v>
      </c>
      <c r="F641" s="3" t="str">
        <f aca="false">Raw_Data!E641</f>
        <v>no</v>
      </c>
      <c r="G641" s="3" t="n">
        <f aca="false">Raw_Data!F641</f>
        <v>703</v>
      </c>
      <c r="H641" s="3" t="str">
        <f aca="false">Raw_Data!G641</f>
        <v>yes</v>
      </c>
      <c r="I641" s="3" t="str">
        <f aca="false">Raw_Data!H641</f>
        <v>no</v>
      </c>
      <c r="J641" s="2" t="n">
        <f aca="false">IF(F641="yes",1,0)</f>
        <v>0</v>
      </c>
      <c r="K641" s="2" t="n">
        <f aca="false">IF(H641="yes",1,0)</f>
        <v>1</v>
      </c>
      <c r="L641" s="2" t="n">
        <f aca="false">IF(I641="yes",1,0)</f>
        <v>0</v>
      </c>
      <c r="M641" s="2" t="n">
        <f aca="false">IF(G641&lt;0,1,0)</f>
        <v>0</v>
      </c>
      <c r="N641" s="2" t="str">
        <f aca="false">_xlfn.IFS(B641&lt;30,"Under 30",B641&lt;40,"30-39",B641&lt;50,"40-49",B641&lt;60,"50-59",TRUE(),"60+")</f>
        <v>Under 30</v>
      </c>
      <c r="O641" s="2" t="str">
        <f aca="false">_xlfn.IFS(G641&lt;0,"1 Negative",G641=0,"2 Zero",G641&lt;=500,"3 1-500",G641&lt;=2000,"4 501-2000",TRUE(),"5 Above 2000")</f>
        <v>4 501-2000</v>
      </c>
      <c r="P641" s="2" t="n">
        <f aca="false">Lookups!$B$2*M641+Lookups!$B$3*L641</f>
        <v>0</v>
      </c>
      <c r="Q641" s="2" t="str">
        <f aca="false">INDEX(Lookups!$E$2:$E$5,MATCH(P641,Lookups!$D$2:$D$5,0))</f>
        <v>Low</v>
      </c>
    </row>
    <row r="642" customFormat="false" ht="15" hidden="false" customHeight="false" outlineLevel="0" collapsed="false">
      <c r="A642" s="3" t="n">
        <v>641</v>
      </c>
      <c r="B642" s="3" t="n">
        <f aca="false">Raw_Data!A642</f>
        <v>57</v>
      </c>
      <c r="C642" s="3" t="str">
        <f aca="false">SUBSTITUTE(Raw_Data!B642,".","")</f>
        <v>admin</v>
      </c>
      <c r="D642" s="3" t="str">
        <f aca="false">Raw_Data!C642</f>
        <v>divorced</v>
      </c>
      <c r="E642" s="3" t="str">
        <f aca="false">Raw_Data!D642</f>
        <v>unknown</v>
      </c>
      <c r="F642" s="3" t="str">
        <f aca="false">Raw_Data!E642</f>
        <v>no</v>
      </c>
      <c r="G642" s="3" t="n">
        <f aca="false">Raw_Data!F642</f>
        <v>887</v>
      </c>
      <c r="H642" s="3" t="str">
        <f aca="false">Raw_Data!G642</f>
        <v>no</v>
      </c>
      <c r="I642" s="3" t="str">
        <f aca="false">Raw_Data!H642</f>
        <v>no</v>
      </c>
      <c r="J642" s="2" t="n">
        <f aca="false">IF(F642="yes",1,0)</f>
        <v>0</v>
      </c>
      <c r="K642" s="2" t="n">
        <f aca="false">IF(H642="yes",1,0)</f>
        <v>0</v>
      </c>
      <c r="L642" s="2" t="n">
        <f aca="false">IF(I642="yes",1,0)</f>
        <v>0</v>
      </c>
      <c r="M642" s="2" t="n">
        <f aca="false">IF(G642&lt;0,1,0)</f>
        <v>0</v>
      </c>
      <c r="N642" s="2" t="str">
        <f aca="false">_xlfn.IFS(B642&lt;30,"Under 30",B642&lt;40,"30-39",B642&lt;50,"40-49",B642&lt;60,"50-59",TRUE(),"60+")</f>
        <v>50-59</v>
      </c>
      <c r="O642" s="2" t="str">
        <f aca="false">_xlfn.IFS(G642&lt;0,"1 Negative",G642=0,"2 Zero",G642&lt;=500,"3 1-500",G642&lt;=2000,"4 501-2000",TRUE(),"5 Above 2000")</f>
        <v>4 501-2000</v>
      </c>
      <c r="P642" s="2" t="n">
        <f aca="false">Lookups!$B$2*M642+Lookups!$B$3*L642</f>
        <v>0</v>
      </c>
      <c r="Q642" s="2" t="str">
        <f aca="false">INDEX(Lookups!$E$2:$E$5,MATCH(P642,Lookups!$D$2:$D$5,0))</f>
        <v>Low</v>
      </c>
    </row>
    <row r="643" customFormat="false" ht="15" hidden="false" customHeight="false" outlineLevel="0" collapsed="false">
      <c r="A643" s="3" t="n">
        <v>642</v>
      </c>
      <c r="B643" s="3" t="n">
        <f aca="false">Raw_Data!A643</f>
        <v>56</v>
      </c>
      <c r="C643" s="3" t="str">
        <f aca="false">SUBSTITUTE(Raw_Data!B643,".","")</f>
        <v>unknown</v>
      </c>
      <c r="D643" s="3" t="str">
        <f aca="false">Raw_Data!C643</f>
        <v>married</v>
      </c>
      <c r="E643" s="3" t="str">
        <f aca="false">Raw_Data!D643</f>
        <v>unknown</v>
      </c>
      <c r="F643" s="3" t="str">
        <f aca="false">Raw_Data!E643</f>
        <v>no</v>
      </c>
      <c r="G643" s="3" t="n">
        <f aca="false">Raw_Data!F643</f>
        <v>0</v>
      </c>
      <c r="H643" s="3" t="str">
        <f aca="false">Raw_Data!G643</f>
        <v>no</v>
      </c>
      <c r="I643" s="3" t="str">
        <f aca="false">Raw_Data!H643</f>
        <v>no</v>
      </c>
      <c r="J643" s="2" t="n">
        <f aca="false">IF(F643="yes",1,0)</f>
        <v>0</v>
      </c>
      <c r="K643" s="2" t="n">
        <f aca="false">IF(H643="yes",1,0)</f>
        <v>0</v>
      </c>
      <c r="L643" s="2" t="n">
        <f aca="false">IF(I643="yes",1,0)</f>
        <v>0</v>
      </c>
      <c r="M643" s="2" t="n">
        <f aca="false">IF(G643&lt;0,1,0)</f>
        <v>0</v>
      </c>
      <c r="N643" s="2" t="str">
        <f aca="false">_xlfn.IFS(B643&lt;30,"Under 30",B643&lt;40,"30-39",B643&lt;50,"40-49",B643&lt;60,"50-59",TRUE(),"60+")</f>
        <v>50-59</v>
      </c>
      <c r="O643" s="2" t="str">
        <f aca="false">_xlfn.IFS(G643&lt;0,"1 Negative",G643=0,"2 Zero",G643&lt;=500,"3 1-500",G643&lt;=2000,"4 501-2000",TRUE(),"5 Above 2000")</f>
        <v>2 Zero</v>
      </c>
      <c r="P643" s="2" t="n">
        <f aca="false">Lookups!$B$2*M643+Lookups!$B$3*L643</f>
        <v>0</v>
      </c>
      <c r="Q643" s="2" t="str">
        <f aca="false">INDEX(Lookups!$E$2:$E$5,MATCH(P643,Lookups!$D$2:$D$5,0))</f>
        <v>Low</v>
      </c>
    </row>
    <row r="644" customFormat="false" ht="15" hidden="false" customHeight="false" outlineLevel="0" collapsed="false">
      <c r="A644" s="3" t="n">
        <v>643</v>
      </c>
      <c r="B644" s="3" t="n">
        <f aca="false">Raw_Data!A644</f>
        <v>53</v>
      </c>
      <c r="C644" s="3" t="str">
        <f aca="false">SUBSTITUTE(Raw_Data!B644,".","")</f>
        <v>admin</v>
      </c>
      <c r="D644" s="3" t="str">
        <f aca="false">Raw_Data!C644</f>
        <v>single</v>
      </c>
      <c r="E644" s="3" t="str">
        <f aca="false">Raw_Data!D644</f>
        <v>secondary</v>
      </c>
      <c r="F644" s="3" t="str">
        <f aca="false">Raw_Data!E644</f>
        <v>no</v>
      </c>
      <c r="G644" s="3" t="n">
        <f aca="false">Raw_Data!F644</f>
        <v>1178</v>
      </c>
      <c r="H644" s="3" t="str">
        <f aca="false">Raw_Data!G644</f>
        <v>yes</v>
      </c>
      <c r="I644" s="3" t="str">
        <f aca="false">Raw_Data!H644</f>
        <v>no</v>
      </c>
      <c r="J644" s="2" t="n">
        <f aca="false">IF(F644="yes",1,0)</f>
        <v>0</v>
      </c>
      <c r="K644" s="2" t="n">
        <f aca="false">IF(H644="yes",1,0)</f>
        <v>1</v>
      </c>
      <c r="L644" s="2" t="n">
        <f aca="false">IF(I644="yes",1,0)</f>
        <v>0</v>
      </c>
      <c r="M644" s="2" t="n">
        <f aca="false">IF(G644&lt;0,1,0)</f>
        <v>0</v>
      </c>
      <c r="N644" s="2" t="str">
        <f aca="false">_xlfn.IFS(B644&lt;30,"Under 30",B644&lt;40,"30-39",B644&lt;50,"40-49",B644&lt;60,"50-59",TRUE(),"60+")</f>
        <v>50-59</v>
      </c>
      <c r="O644" s="2" t="str">
        <f aca="false">_xlfn.IFS(G644&lt;0,"1 Negative",G644=0,"2 Zero",G644&lt;=500,"3 1-500",G644&lt;=2000,"4 501-2000",TRUE(),"5 Above 2000")</f>
        <v>4 501-2000</v>
      </c>
      <c r="P644" s="2" t="n">
        <f aca="false">Lookups!$B$2*M644+Lookups!$B$3*L644</f>
        <v>0</v>
      </c>
      <c r="Q644" s="2" t="str">
        <f aca="false">INDEX(Lookups!$E$2:$E$5,MATCH(P644,Lookups!$D$2:$D$5,0))</f>
        <v>Low</v>
      </c>
    </row>
    <row r="645" customFormat="false" ht="15" hidden="false" customHeight="false" outlineLevel="0" collapsed="false">
      <c r="A645" s="3" t="n">
        <v>644</v>
      </c>
      <c r="B645" s="3" t="n">
        <f aca="false">Raw_Data!A645</f>
        <v>39</v>
      </c>
      <c r="C645" s="3" t="str">
        <f aca="false">SUBSTITUTE(Raw_Data!B645,".","")</f>
        <v>management</v>
      </c>
      <c r="D645" s="3" t="str">
        <f aca="false">Raw_Data!C645</f>
        <v>married</v>
      </c>
      <c r="E645" s="3" t="str">
        <f aca="false">Raw_Data!D645</f>
        <v>tertiary</v>
      </c>
      <c r="F645" s="3" t="str">
        <f aca="false">Raw_Data!E645</f>
        <v>no</v>
      </c>
      <c r="G645" s="3" t="n">
        <f aca="false">Raw_Data!F645</f>
        <v>2763</v>
      </c>
      <c r="H645" s="3" t="str">
        <f aca="false">Raw_Data!G645</f>
        <v>yes</v>
      </c>
      <c r="I645" s="3" t="str">
        <f aca="false">Raw_Data!H645</f>
        <v>no</v>
      </c>
      <c r="J645" s="2" t="n">
        <f aca="false">IF(F645="yes",1,0)</f>
        <v>0</v>
      </c>
      <c r="K645" s="2" t="n">
        <f aca="false">IF(H645="yes",1,0)</f>
        <v>1</v>
      </c>
      <c r="L645" s="2" t="n">
        <f aca="false">IF(I645="yes",1,0)</f>
        <v>0</v>
      </c>
      <c r="M645" s="2" t="n">
        <f aca="false">IF(G645&lt;0,1,0)</f>
        <v>0</v>
      </c>
      <c r="N645" s="2" t="str">
        <f aca="false">_xlfn.IFS(B645&lt;30,"Under 30",B645&lt;40,"30-39",B645&lt;50,"40-49",B645&lt;60,"50-59",TRUE(),"60+")</f>
        <v>30-39</v>
      </c>
      <c r="O645" s="2" t="str">
        <f aca="false">_xlfn.IFS(G645&lt;0,"1 Negative",G645=0,"2 Zero",G645&lt;=500,"3 1-500",G645&lt;=2000,"4 501-2000",TRUE(),"5 Above 2000")</f>
        <v>5 Above 2000</v>
      </c>
      <c r="P645" s="2" t="n">
        <f aca="false">Lookups!$B$2*M645+Lookups!$B$3*L645</f>
        <v>0</v>
      </c>
      <c r="Q645" s="2" t="str">
        <f aca="false">INDEX(Lookups!$E$2:$E$5,MATCH(P645,Lookups!$D$2:$D$5,0))</f>
        <v>Low</v>
      </c>
    </row>
    <row r="646" customFormat="false" ht="15" hidden="false" customHeight="false" outlineLevel="0" collapsed="false">
      <c r="A646" s="3" t="n">
        <v>645</v>
      </c>
      <c r="B646" s="3" t="n">
        <f aca="false">Raw_Data!A646</f>
        <v>32</v>
      </c>
      <c r="C646" s="3" t="str">
        <f aca="false">SUBSTITUTE(Raw_Data!B646,".","")</f>
        <v>entrepreneur</v>
      </c>
      <c r="D646" s="3" t="str">
        <f aca="false">Raw_Data!C646</f>
        <v>single</v>
      </c>
      <c r="E646" s="3" t="str">
        <f aca="false">Raw_Data!D646</f>
        <v>tertiary</v>
      </c>
      <c r="F646" s="3" t="str">
        <f aca="false">Raw_Data!E646</f>
        <v>no</v>
      </c>
      <c r="G646" s="3" t="n">
        <f aca="false">Raw_Data!F646</f>
        <v>890</v>
      </c>
      <c r="H646" s="3" t="str">
        <f aca="false">Raw_Data!G646</f>
        <v>yes</v>
      </c>
      <c r="I646" s="3" t="str">
        <f aca="false">Raw_Data!H646</f>
        <v>yes</v>
      </c>
      <c r="J646" s="2" t="n">
        <f aca="false">IF(F646="yes",1,0)</f>
        <v>0</v>
      </c>
      <c r="K646" s="2" t="n">
        <f aca="false">IF(H646="yes",1,0)</f>
        <v>1</v>
      </c>
      <c r="L646" s="2" t="n">
        <f aca="false">IF(I646="yes",1,0)</f>
        <v>1</v>
      </c>
      <c r="M646" s="2" t="n">
        <f aca="false">IF(G646&lt;0,1,0)</f>
        <v>0</v>
      </c>
      <c r="N646" s="2" t="str">
        <f aca="false">_xlfn.IFS(B646&lt;30,"Under 30",B646&lt;40,"30-39",B646&lt;50,"40-49",B646&lt;60,"50-59",TRUE(),"60+")</f>
        <v>30-39</v>
      </c>
      <c r="O646" s="2" t="str">
        <f aca="false">_xlfn.IFS(G646&lt;0,"1 Negative",G646=0,"2 Zero",G646&lt;=500,"3 1-500",G646&lt;=2000,"4 501-2000",TRUE(),"5 Above 2000")</f>
        <v>4 501-2000</v>
      </c>
      <c r="P646" s="2" t="n">
        <f aca="false">Lookups!$B$2*M646+Lookups!$B$3*L646</f>
        <v>1</v>
      </c>
      <c r="Q646" s="2" t="str">
        <f aca="false">INDEX(Lookups!$E$2:$E$5,MATCH(P646,Lookups!$D$2:$D$5,0))</f>
        <v>Medium</v>
      </c>
    </row>
    <row r="647" customFormat="false" ht="15" hidden="false" customHeight="false" outlineLevel="0" collapsed="false">
      <c r="A647" s="3" t="n">
        <v>646</v>
      </c>
      <c r="B647" s="3" t="n">
        <f aca="false">Raw_Data!A647</f>
        <v>46</v>
      </c>
      <c r="C647" s="3" t="str">
        <f aca="false">SUBSTITUTE(Raw_Data!B647,".","")</f>
        <v>self-employed</v>
      </c>
      <c r="D647" s="3" t="str">
        <f aca="false">Raw_Data!C647</f>
        <v>married</v>
      </c>
      <c r="E647" s="3" t="str">
        <f aca="false">Raw_Data!D647</f>
        <v>secondary</v>
      </c>
      <c r="F647" s="3" t="str">
        <f aca="false">Raw_Data!E647</f>
        <v>no</v>
      </c>
      <c r="G647" s="3" t="n">
        <f aca="false">Raw_Data!F647</f>
        <v>548</v>
      </c>
      <c r="H647" s="3" t="str">
        <f aca="false">Raw_Data!G647</f>
        <v>no</v>
      </c>
      <c r="I647" s="3" t="str">
        <f aca="false">Raw_Data!H647</f>
        <v>no</v>
      </c>
      <c r="J647" s="2" t="n">
        <f aca="false">IF(F647="yes",1,0)</f>
        <v>0</v>
      </c>
      <c r="K647" s="2" t="n">
        <f aca="false">IF(H647="yes",1,0)</f>
        <v>0</v>
      </c>
      <c r="L647" s="2" t="n">
        <f aca="false">IF(I647="yes",1,0)</f>
        <v>0</v>
      </c>
      <c r="M647" s="2" t="n">
        <f aca="false">IF(G647&lt;0,1,0)</f>
        <v>0</v>
      </c>
      <c r="N647" s="2" t="str">
        <f aca="false">_xlfn.IFS(B647&lt;30,"Under 30",B647&lt;40,"30-39",B647&lt;50,"40-49",B647&lt;60,"50-59",TRUE(),"60+")</f>
        <v>40-49</v>
      </c>
      <c r="O647" s="2" t="str">
        <f aca="false">_xlfn.IFS(G647&lt;0,"1 Negative",G647=0,"2 Zero",G647&lt;=500,"3 1-500",G647&lt;=2000,"4 501-2000",TRUE(),"5 Above 2000")</f>
        <v>4 501-2000</v>
      </c>
      <c r="P647" s="2" t="n">
        <f aca="false">Lookups!$B$2*M647+Lookups!$B$3*L647</f>
        <v>0</v>
      </c>
      <c r="Q647" s="2" t="str">
        <f aca="false">INDEX(Lookups!$E$2:$E$5,MATCH(P647,Lookups!$D$2:$D$5,0))</f>
        <v>Low</v>
      </c>
    </row>
    <row r="648" customFormat="false" ht="15" hidden="false" customHeight="false" outlineLevel="0" collapsed="false">
      <c r="A648" s="3" t="n">
        <v>647</v>
      </c>
      <c r="B648" s="3" t="n">
        <f aca="false">Raw_Data!A648</f>
        <v>56</v>
      </c>
      <c r="C648" s="3" t="str">
        <f aca="false">SUBSTITUTE(Raw_Data!B648,".","")</f>
        <v>technician</v>
      </c>
      <c r="D648" s="3" t="str">
        <f aca="false">Raw_Data!C648</f>
        <v>married</v>
      </c>
      <c r="E648" s="3" t="str">
        <f aca="false">Raw_Data!D648</f>
        <v>tertiary</v>
      </c>
      <c r="F648" s="3" t="str">
        <f aca="false">Raw_Data!E648</f>
        <v>no</v>
      </c>
      <c r="G648" s="3" t="n">
        <f aca="false">Raw_Data!F648</f>
        <v>272</v>
      </c>
      <c r="H648" s="3" t="str">
        <f aca="false">Raw_Data!G648</f>
        <v>no</v>
      </c>
      <c r="I648" s="3" t="str">
        <f aca="false">Raw_Data!H648</f>
        <v>no</v>
      </c>
      <c r="J648" s="2" t="n">
        <f aca="false">IF(F648="yes",1,0)</f>
        <v>0</v>
      </c>
      <c r="K648" s="2" t="n">
        <f aca="false">IF(H648="yes",1,0)</f>
        <v>0</v>
      </c>
      <c r="L648" s="2" t="n">
        <f aca="false">IF(I648="yes",1,0)</f>
        <v>0</v>
      </c>
      <c r="M648" s="2" t="n">
        <f aca="false">IF(G648&lt;0,1,0)</f>
        <v>0</v>
      </c>
      <c r="N648" s="2" t="str">
        <f aca="false">_xlfn.IFS(B648&lt;30,"Under 30",B648&lt;40,"30-39",B648&lt;50,"40-49",B648&lt;60,"50-59",TRUE(),"60+")</f>
        <v>50-59</v>
      </c>
      <c r="O648" s="2" t="str">
        <f aca="false">_xlfn.IFS(G648&lt;0,"1 Negative",G648=0,"2 Zero",G648&lt;=500,"3 1-500",G648&lt;=2000,"4 501-2000",TRUE(),"5 Above 2000")</f>
        <v>3 1-500</v>
      </c>
      <c r="P648" s="2" t="n">
        <f aca="false">Lookups!$B$2*M648+Lookups!$B$3*L648</f>
        <v>0</v>
      </c>
      <c r="Q648" s="2" t="str">
        <f aca="false">INDEX(Lookups!$E$2:$E$5,MATCH(P648,Lookups!$D$2:$D$5,0))</f>
        <v>Low</v>
      </c>
    </row>
    <row r="649" customFormat="false" ht="15" hidden="false" customHeight="false" outlineLevel="0" collapsed="false">
      <c r="A649" s="3" t="n">
        <v>648</v>
      </c>
      <c r="B649" s="3" t="n">
        <f aca="false">Raw_Data!A649</f>
        <v>46</v>
      </c>
      <c r="C649" s="3" t="str">
        <f aca="false">SUBSTITUTE(Raw_Data!B649,".","")</f>
        <v>management</v>
      </c>
      <c r="D649" s="3" t="str">
        <f aca="false">Raw_Data!C649</f>
        <v>divorced</v>
      </c>
      <c r="E649" s="3" t="str">
        <f aca="false">Raw_Data!D649</f>
        <v>tertiary</v>
      </c>
      <c r="F649" s="3" t="str">
        <f aca="false">Raw_Data!E649</f>
        <v>no</v>
      </c>
      <c r="G649" s="3" t="n">
        <f aca="false">Raw_Data!F649</f>
        <v>6269</v>
      </c>
      <c r="H649" s="3" t="str">
        <f aca="false">Raw_Data!G649</f>
        <v>yes</v>
      </c>
      <c r="I649" s="3" t="str">
        <f aca="false">Raw_Data!H649</f>
        <v>no</v>
      </c>
      <c r="J649" s="2" t="n">
        <f aca="false">IF(F649="yes",1,0)</f>
        <v>0</v>
      </c>
      <c r="K649" s="2" t="n">
        <f aca="false">IF(H649="yes",1,0)</f>
        <v>1</v>
      </c>
      <c r="L649" s="2" t="n">
        <f aca="false">IF(I649="yes",1,0)</f>
        <v>0</v>
      </c>
      <c r="M649" s="2" t="n">
        <f aca="false">IF(G649&lt;0,1,0)</f>
        <v>0</v>
      </c>
      <c r="N649" s="2" t="str">
        <f aca="false">_xlfn.IFS(B649&lt;30,"Under 30",B649&lt;40,"30-39",B649&lt;50,"40-49",B649&lt;60,"50-59",TRUE(),"60+")</f>
        <v>40-49</v>
      </c>
      <c r="O649" s="2" t="str">
        <f aca="false">_xlfn.IFS(G649&lt;0,"1 Negative",G649=0,"2 Zero",G649&lt;=500,"3 1-500",G649&lt;=2000,"4 501-2000",TRUE(),"5 Above 2000")</f>
        <v>5 Above 2000</v>
      </c>
      <c r="P649" s="2" t="n">
        <f aca="false">Lookups!$B$2*M649+Lookups!$B$3*L649</f>
        <v>0</v>
      </c>
      <c r="Q649" s="2" t="str">
        <f aca="false">INDEX(Lookups!$E$2:$E$5,MATCH(P649,Lookups!$D$2:$D$5,0))</f>
        <v>Low</v>
      </c>
    </row>
    <row r="650" customFormat="false" ht="15" hidden="false" customHeight="false" outlineLevel="0" collapsed="false">
      <c r="A650" s="3" t="n">
        <v>649</v>
      </c>
      <c r="B650" s="3" t="n">
        <f aca="false">Raw_Data!A650</f>
        <v>29</v>
      </c>
      <c r="C650" s="3" t="str">
        <f aca="false">SUBSTITUTE(Raw_Data!B650,".","")</f>
        <v>entrepreneur</v>
      </c>
      <c r="D650" s="3" t="str">
        <f aca="false">Raw_Data!C650</f>
        <v>married</v>
      </c>
      <c r="E650" s="3" t="str">
        <f aca="false">Raw_Data!D650</f>
        <v>secondary</v>
      </c>
      <c r="F650" s="3" t="str">
        <f aca="false">Raw_Data!E650</f>
        <v>no</v>
      </c>
      <c r="G650" s="3" t="n">
        <f aca="false">Raw_Data!F650</f>
        <v>178</v>
      </c>
      <c r="H650" s="3" t="str">
        <f aca="false">Raw_Data!G650</f>
        <v>yes</v>
      </c>
      <c r="I650" s="3" t="str">
        <f aca="false">Raw_Data!H650</f>
        <v>no</v>
      </c>
      <c r="J650" s="2" t="n">
        <f aca="false">IF(F650="yes",1,0)</f>
        <v>0</v>
      </c>
      <c r="K650" s="2" t="n">
        <f aca="false">IF(H650="yes",1,0)</f>
        <v>1</v>
      </c>
      <c r="L650" s="2" t="n">
        <f aca="false">IF(I650="yes",1,0)</f>
        <v>0</v>
      </c>
      <c r="M650" s="2" t="n">
        <f aca="false">IF(G650&lt;0,1,0)</f>
        <v>0</v>
      </c>
      <c r="N650" s="2" t="str">
        <f aca="false">_xlfn.IFS(B650&lt;30,"Under 30",B650&lt;40,"30-39",B650&lt;50,"40-49",B650&lt;60,"50-59",TRUE(),"60+")</f>
        <v>Under 30</v>
      </c>
      <c r="O650" s="2" t="str">
        <f aca="false">_xlfn.IFS(G650&lt;0,"1 Negative",G650=0,"2 Zero",G650&lt;=500,"3 1-500",G650&lt;=2000,"4 501-2000",TRUE(),"5 Above 2000")</f>
        <v>3 1-500</v>
      </c>
      <c r="P650" s="2" t="n">
        <f aca="false">Lookups!$B$2*M650+Lookups!$B$3*L650</f>
        <v>0</v>
      </c>
      <c r="Q650" s="2" t="str">
        <f aca="false">INDEX(Lookups!$E$2:$E$5,MATCH(P650,Lookups!$D$2:$D$5,0))</f>
        <v>Low</v>
      </c>
    </row>
    <row r="651" customFormat="false" ht="15" hidden="false" customHeight="false" outlineLevel="0" collapsed="false">
      <c r="A651" s="3" t="n">
        <v>650</v>
      </c>
      <c r="B651" s="3" t="n">
        <f aca="false">Raw_Data!A651</f>
        <v>60</v>
      </c>
      <c r="C651" s="3" t="str">
        <f aca="false">SUBSTITUTE(Raw_Data!B651,".","")</f>
        <v>management</v>
      </c>
      <c r="D651" s="3" t="str">
        <f aca="false">Raw_Data!C651</f>
        <v>married</v>
      </c>
      <c r="E651" s="3" t="str">
        <f aca="false">Raw_Data!D651</f>
        <v>primary</v>
      </c>
      <c r="F651" s="3" t="str">
        <f aca="false">Raw_Data!E651</f>
        <v>no</v>
      </c>
      <c r="G651" s="3" t="n">
        <f aca="false">Raw_Data!F651</f>
        <v>252</v>
      </c>
      <c r="H651" s="3" t="str">
        <f aca="false">Raw_Data!G651</f>
        <v>yes</v>
      </c>
      <c r="I651" s="3" t="str">
        <f aca="false">Raw_Data!H651</f>
        <v>yes</v>
      </c>
      <c r="J651" s="2" t="n">
        <f aca="false">IF(F651="yes",1,0)</f>
        <v>0</v>
      </c>
      <c r="K651" s="2" t="n">
        <f aca="false">IF(H651="yes",1,0)</f>
        <v>1</v>
      </c>
      <c r="L651" s="2" t="n">
        <f aca="false">IF(I651="yes",1,0)</f>
        <v>1</v>
      </c>
      <c r="M651" s="2" t="n">
        <f aca="false">IF(G651&lt;0,1,0)</f>
        <v>0</v>
      </c>
      <c r="N651" s="2" t="str">
        <f aca="false">_xlfn.IFS(B651&lt;30,"Under 30",B651&lt;40,"30-39",B651&lt;50,"40-49",B651&lt;60,"50-59",TRUE(),"60+")</f>
        <v>60+</v>
      </c>
      <c r="O651" s="2" t="str">
        <f aca="false">_xlfn.IFS(G651&lt;0,"1 Negative",G651=0,"2 Zero",G651&lt;=500,"3 1-500",G651&lt;=2000,"4 501-2000",TRUE(),"5 Above 2000")</f>
        <v>3 1-500</v>
      </c>
      <c r="P651" s="2" t="n">
        <f aca="false">Lookups!$B$2*M651+Lookups!$B$3*L651</f>
        <v>1</v>
      </c>
      <c r="Q651" s="2" t="str">
        <f aca="false">INDEX(Lookups!$E$2:$E$5,MATCH(P651,Lookups!$D$2:$D$5,0))</f>
        <v>Medium</v>
      </c>
    </row>
    <row r="652" customFormat="false" ht="15" hidden="false" customHeight="false" outlineLevel="0" collapsed="false">
      <c r="A652" s="3" t="n">
        <v>651</v>
      </c>
      <c r="B652" s="3" t="n">
        <f aca="false">Raw_Data!A652</f>
        <v>33</v>
      </c>
      <c r="C652" s="3" t="str">
        <f aca="false">SUBSTITUTE(Raw_Data!B652,".","")</f>
        <v>housemaid</v>
      </c>
      <c r="D652" s="3" t="str">
        <f aca="false">Raw_Data!C652</f>
        <v>single</v>
      </c>
      <c r="E652" s="3" t="str">
        <f aca="false">Raw_Data!D652</f>
        <v>tertiary</v>
      </c>
      <c r="F652" s="3" t="str">
        <f aca="false">Raw_Data!E652</f>
        <v>no</v>
      </c>
      <c r="G652" s="3" t="n">
        <f aca="false">Raw_Data!F652</f>
        <v>23663</v>
      </c>
      <c r="H652" s="3" t="str">
        <f aca="false">Raw_Data!G652</f>
        <v>yes</v>
      </c>
      <c r="I652" s="3" t="str">
        <f aca="false">Raw_Data!H652</f>
        <v>no</v>
      </c>
      <c r="J652" s="2" t="n">
        <f aca="false">IF(F652="yes",1,0)</f>
        <v>0</v>
      </c>
      <c r="K652" s="2" t="n">
        <f aca="false">IF(H652="yes",1,0)</f>
        <v>1</v>
      </c>
      <c r="L652" s="2" t="n">
        <f aca="false">IF(I652="yes",1,0)</f>
        <v>0</v>
      </c>
      <c r="M652" s="2" t="n">
        <f aca="false">IF(G652&lt;0,1,0)</f>
        <v>0</v>
      </c>
      <c r="N652" s="2" t="str">
        <f aca="false">_xlfn.IFS(B652&lt;30,"Under 30",B652&lt;40,"30-39",B652&lt;50,"40-49",B652&lt;60,"50-59",TRUE(),"60+")</f>
        <v>30-39</v>
      </c>
      <c r="O652" s="2" t="str">
        <f aca="false">_xlfn.IFS(G652&lt;0,"1 Negative",G652=0,"2 Zero",G652&lt;=500,"3 1-500",G652&lt;=2000,"4 501-2000",TRUE(),"5 Above 2000")</f>
        <v>5 Above 2000</v>
      </c>
      <c r="P652" s="2" t="n">
        <f aca="false">Lookups!$B$2*M652+Lookups!$B$3*L652</f>
        <v>0</v>
      </c>
      <c r="Q652" s="2" t="str">
        <f aca="false">INDEX(Lookups!$E$2:$E$5,MATCH(P652,Lookups!$D$2:$D$5,0))</f>
        <v>Low</v>
      </c>
    </row>
    <row r="653" customFormat="false" ht="15" hidden="false" customHeight="false" outlineLevel="0" collapsed="false">
      <c r="A653" s="3" t="n">
        <v>652</v>
      </c>
      <c r="B653" s="3" t="n">
        <f aca="false">Raw_Data!A653</f>
        <v>27</v>
      </c>
      <c r="C653" s="3" t="str">
        <f aca="false">SUBSTITUTE(Raw_Data!B653,".","")</f>
        <v>entrepreneur</v>
      </c>
      <c r="D653" s="3" t="str">
        <f aca="false">Raw_Data!C653</f>
        <v>single</v>
      </c>
      <c r="E653" s="3" t="str">
        <f aca="false">Raw_Data!D653</f>
        <v>tertiary</v>
      </c>
      <c r="F653" s="3" t="str">
        <f aca="false">Raw_Data!E653</f>
        <v>no</v>
      </c>
      <c r="G653" s="3" t="n">
        <f aca="false">Raw_Data!F653</f>
        <v>81</v>
      </c>
      <c r="H653" s="3" t="str">
        <f aca="false">Raw_Data!G653</f>
        <v>no</v>
      </c>
      <c r="I653" s="3" t="str">
        <f aca="false">Raw_Data!H653</f>
        <v>no</v>
      </c>
      <c r="J653" s="2" t="n">
        <f aca="false">IF(F653="yes",1,0)</f>
        <v>0</v>
      </c>
      <c r="K653" s="2" t="n">
        <f aca="false">IF(H653="yes",1,0)</f>
        <v>0</v>
      </c>
      <c r="L653" s="2" t="n">
        <f aca="false">IF(I653="yes",1,0)</f>
        <v>0</v>
      </c>
      <c r="M653" s="2" t="n">
        <f aca="false">IF(G653&lt;0,1,0)</f>
        <v>0</v>
      </c>
      <c r="N653" s="2" t="str">
        <f aca="false">_xlfn.IFS(B653&lt;30,"Under 30",B653&lt;40,"30-39",B653&lt;50,"40-49",B653&lt;60,"50-59",TRUE(),"60+")</f>
        <v>Under 30</v>
      </c>
      <c r="O653" s="2" t="str">
        <f aca="false">_xlfn.IFS(G653&lt;0,"1 Negative",G653=0,"2 Zero",G653&lt;=500,"3 1-500",G653&lt;=2000,"4 501-2000",TRUE(),"5 Above 2000")</f>
        <v>3 1-500</v>
      </c>
      <c r="P653" s="2" t="n">
        <f aca="false">Lookups!$B$2*M653+Lookups!$B$3*L653</f>
        <v>0</v>
      </c>
      <c r="Q653" s="2" t="str">
        <f aca="false">INDEX(Lookups!$E$2:$E$5,MATCH(P653,Lookups!$D$2:$D$5,0))</f>
        <v>Low</v>
      </c>
    </row>
    <row r="654" customFormat="false" ht="15" hidden="false" customHeight="false" outlineLevel="0" collapsed="false">
      <c r="A654" s="3" t="n">
        <v>653</v>
      </c>
      <c r="B654" s="3" t="n">
        <f aca="false">Raw_Data!A654</f>
        <v>50</v>
      </c>
      <c r="C654" s="3" t="str">
        <f aca="false">SUBSTITUTE(Raw_Data!B654,".","")</f>
        <v>self-employed</v>
      </c>
      <c r="D654" s="3" t="str">
        <f aca="false">Raw_Data!C654</f>
        <v>divorced</v>
      </c>
      <c r="E654" s="3" t="str">
        <f aca="false">Raw_Data!D654</f>
        <v>tertiary</v>
      </c>
      <c r="F654" s="3" t="str">
        <f aca="false">Raw_Data!E654</f>
        <v>no</v>
      </c>
      <c r="G654" s="3" t="n">
        <f aca="false">Raw_Data!F654</f>
        <v>59</v>
      </c>
      <c r="H654" s="3" t="str">
        <f aca="false">Raw_Data!G654</f>
        <v>yes</v>
      </c>
      <c r="I654" s="3" t="str">
        <f aca="false">Raw_Data!H654</f>
        <v>no</v>
      </c>
      <c r="J654" s="2" t="n">
        <f aca="false">IF(F654="yes",1,0)</f>
        <v>0</v>
      </c>
      <c r="K654" s="2" t="n">
        <f aca="false">IF(H654="yes",1,0)</f>
        <v>1</v>
      </c>
      <c r="L654" s="2" t="n">
        <f aca="false">IF(I654="yes",1,0)</f>
        <v>0</v>
      </c>
      <c r="M654" s="2" t="n">
        <f aca="false">IF(G654&lt;0,1,0)</f>
        <v>0</v>
      </c>
      <c r="N654" s="2" t="str">
        <f aca="false">_xlfn.IFS(B654&lt;30,"Under 30",B654&lt;40,"30-39",B654&lt;50,"40-49",B654&lt;60,"50-59",TRUE(),"60+")</f>
        <v>50-59</v>
      </c>
      <c r="O654" s="2" t="str">
        <f aca="false">_xlfn.IFS(G654&lt;0,"1 Negative",G654=0,"2 Zero",G654&lt;=500,"3 1-500",G654&lt;=2000,"4 501-2000",TRUE(),"5 Above 2000")</f>
        <v>3 1-500</v>
      </c>
      <c r="P654" s="2" t="n">
        <f aca="false">Lookups!$B$2*M654+Lookups!$B$3*L654</f>
        <v>0</v>
      </c>
      <c r="Q654" s="2" t="str">
        <f aca="false">INDEX(Lookups!$E$2:$E$5,MATCH(P654,Lookups!$D$2:$D$5,0))</f>
        <v>Low</v>
      </c>
    </row>
    <row r="655" customFormat="false" ht="15" hidden="false" customHeight="false" outlineLevel="0" collapsed="false">
      <c r="A655" s="3" t="n">
        <v>654</v>
      </c>
      <c r="B655" s="3" t="n">
        <f aca="false">Raw_Data!A655</f>
        <v>45</v>
      </c>
      <c r="C655" s="3" t="str">
        <f aca="false">SUBSTITUTE(Raw_Data!B655,".","")</f>
        <v>services</v>
      </c>
      <c r="D655" s="3" t="str">
        <f aca="false">Raw_Data!C655</f>
        <v>married</v>
      </c>
      <c r="E655" s="3" t="str">
        <f aca="false">Raw_Data!D655</f>
        <v>secondary</v>
      </c>
      <c r="F655" s="3" t="str">
        <f aca="false">Raw_Data!E655</f>
        <v>no</v>
      </c>
      <c r="G655" s="3" t="n">
        <f aca="false">Raw_Data!F655</f>
        <v>1343</v>
      </c>
      <c r="H655" s="3" t="str">
        <f aca="false">Raw_Data!G655</f>
        <v>no</v>
      </c>
      <c r="I655" s="3" t="str">
        <f aca="false">Raw_Data!H655</f>
        <v>yes</v>
      </c>
      <c r="J655" s="2" t="n">
        <f aca="false">IF(F655="yes",1,0)</f>
        <v>0</v>
      </c>
      <c r="K655" s="2" t="n">
        <f aca="false">IF(H655="yes",1,0)</f>
        <v>0</v>
      </c>
      <c r="L655" s="2" t="n">
        <f aca="false">IF(I655="yes",1,0)</f>
        <v>1</v>
      </c>
      <c r="M655" s="2" t="n">
        <f aca="false">IF(G655&lt;0,1,0)</f>
        <v>0</v>
      </c>
      <c r="N655" s="2" t="str">
        <f aca="false">_xlfn.IFS(B655&lt;30,"Under 30",B655&lt;40,"30-39",B655&lt;50,"40-49",B655&lt;60,"50-59",TRUE(),"60+")</f>
        <v>40-49</v>
      </c>
      <c r="O655" s="2" t="str">
        <f aca="false">_xlfn.IFS(G655&lt;0,"1 Negative",G655=0,"2 Zero",G655&lt;=500,"3 1-500",G655&lt;=2000,"4 501-2000",TRUE(),"5 Above 2000")</f>
        <v>4 501-2000</v>
      </c>
      <c r="P655" s="2" t="n">
        <f aca="false">Lookups!$B$2*M655+Lookups!$B$3*L655</f>
        <v>1</v>
      </c>
      <c r="Q655" s="2" t="str">
        <f aca="false">INDEX(Lookups!$E$2:$E$5,MATCH(P655,Lookups!$D$2:$D$5,0))</f>
        <v>Medium</v>
      </c>
    </row>
    <row r="656" customFormat="false" ht="15" hidden="false" customHeight="false" outlineLevel="0" collapsed="false">
      <c r="A656" s="3" t="n">
        <v>655</v>
      </c>
      <c r="B656" s="3" t="n">
        <f aca="false">Raw_Data!A656</f>
        <v>58</v>
      </c>
      <c r="C656" s="3" t="str">
        <f aca="false">SUBSTITUTE(Raw_Data!B656,".","")</f>
        <v>retired</v>
      </c>
      <c r="D656" s="3" t="str">
        <f aca="false">Raw_Data!C656</f>
        <v>married</v>
      </c>
      <c r="E656" s="3" t="str">
        <f aca="false">Raw_Data!D656</f>
        <v>secondary</v>
      </c>
      <c r="F656" s="3" t="str">
        <f aca="false">Raw_Data!E656</f>
        <v>no</v>
      </c>
      <c r="G656" s="3" t="n">
        <f aca="false">Raw_Data!F656</f>
        <v>225</v>
      </c>
      <c r="H656" s="3" t="str">
        <f aca="false">Raw_Data!G656</f>
        <v>no</v>
      </c>
      <c r="I656" s="3" t="str">
        <f aca="false">Raw_Data!H656</f>
        <v>no</v>
      </c>
      <c r="J656" s="2" t="n">
        <f aca="false">IF(F656="yes",1,0)</f>
        <v>0</v>
      </c>
      <c r="K656" s="2" t="n">
        <f aca="false">IF(H656="yes",1,0)</f>
        <v>0</v>
      </c>
      <c r="L656" s="2" t="n">
        <f aca="false">IF(I656="yes",1,0)</f>
        <v>0</v>
      </c>
      <c r="M656" s="2" t="n">
        <f aca="false">IF(G656&lt;0,1,0)</f>
        <v>0</v>
      </c>
      <c r="N656" s="2" t="str">
        <f aca="false">_xlfn.IFS(B656&lt;30,"Under 30",B656&lt;40,"30-39",B656&lt;50,"40-49",B656&lt;60,"50-59",TRUE(),"60+")</f>
        <v>50-59</v>
      </c>
      <c r="O656" s="2" t="str">
        <f aca="false">_xlfn.IFS(G656&lt;0,"1 Negative",G656=0,"2 Zero",G656&lt;=500,"3 1-500",G656&lt;=2000,"4 501-2000",TRUE(),"5 Above 2000")</f>
        <v>3 1-500</v>
      </c>
      <c r="P656" s="2" t="n">
        <f aca="false">Lookups!$B$2*M656+Lookups!$B$3*L656</f>
        <v>0</v>
      </c>
      <c r="Q656" s="2" t="str">
        <f aca="false">INDEX(Lookups!$E$2:$E$5,MATCH(P656,Lookups!$D$2:$D$5,0))</f>
        <v>Low</v>
      </c>
    </row>
    <row r="657" customFormat="false" ht="15" hidden="false" customHeight="false" outlineLevel="0" collapsed="false">
      <c r="A657" s="3" t="n">
        <v>656</v>
      </c>
      <c r="B657" s="3" t="n">
        <f aca="false">Raw_Data!A657</f>
        <v>59</v>
      </c>
      <c r="C657" s="3" t="str">
        <f aca="false">SUBSTITUTE(Raw_Data!B657,".","")</f>
        <v>retired</v>
      </c>
      <c r="D657" s="3" t="str">
        <f aca="false">Raw_Data!C657</f>
        <v>married</v>
      </c>
      <c r="E657" s="3" t="str">
        <f aca="false">Raw_Data!D657</f>
        <v>primary</v>
      </c>
      <c r="F657" s="3" t="str">
        <f aca="false">Raw_Data!E657</f>
        <v>no</v>
      </c>
      <c r="G657" s="3" t="n">
        <f aca="false">Raw_Data!F657</f>
        <v>0</v>
      </c>
      <c r="H657" s="3" t="str">
        <f aca="false">Raw_Data!G657</f>
        <v>yes</v>
      </c>
      <c r="I657" s="3" t="str">
        <f aca="false">Raw_Data!H657</f>
        <v>no</v>
      </c>
      <c r="J657" s="2" t="n">
        <f aca="false">IF(F657="yes",1,0)</f>
        <v>0</v>
      </c>
      <c r="K657" s="2" t="n">
        <f aca="false">IF(H657="yes",1,0)</f>
        <v>1</v>
      </c>
      <c r="L657" s="2" t="n">
        <f aca="false">IF(I657="yes",1,0)</f>
        <v>0</v>
      </c>
      <c r="M657" s="2" t="n">
        <f aca="false">IF(G657&lt;0,1,0)</f>
        <v>0</v>
      </c>
      <c r="N657" s="2" t="str">
        <f aca="false">_xlfn.IFS(B657&lt;30,"Under 30",B657&lt;40,"30-39",B657&lt;50,"40-49",B657&lt;60,"50-59",TRUE(),"60+")</f>
        <v>50-59</v>
      </c>
      <c r="O657" s="2" t="str">
        <f aca="false">_xlfn.IFS(G657&lt;0,"1 Negative",G657=0,"2 Zero",G657&lt;=500,"3 1-500",G657&lt;=2000,"4 501-2000",TRUE(),"5 Above 2000")</f>
        <v>2 Zero</v>
      </c>
      <c r="P657" s="2" t="n">
        <f aca="false">Lookups!$B$2*M657+Lookups!$B$3*L657</f>
        <v>0</v>
      </c>
      <c r="Q657" s="2" t="str">
        <f aca="false">INDEX(Lookups!$E$2:$E$5,MATCH(P657,Lookups!$D$2:$D$5,0))</f>
        <v>Low</v>
      </c>
    </row>
    <row r="658" customFormat="false" ht="15" hidden="false" customHeight="false" outlineLevel="0" collapsed="false">
      <c r="A658" s="3" t="n">
        <v>657</v>
      </c>
      <c r="B658" s="3" t="n">
        <f aca="false">Raw_Data!A658</f>
        <v>58</v>
      </c>
      <c r="C658" s="3" t="str">
        <f aca="false">SUBSTITUTE(Raw_Data!B658,".","")</f>
        <v>retired</v>
      </c>
      <c r="D658" s="3" t="str">
        <f aca="false">Raw_Data!C658</f>
        <v>divorced</v>
      </c>
      <c r="E658" s="3" t="str">
        <f aca="false">Raw_Data!D658</f>
        <v>primary</v>
      </c>
      <c r="F658" s="3" t="str">
        <f aca="false">Raw_Data!E658</f>
        <v>no</v>
      </c>
      <c r="G658" s="3" t="n">
        <f aca="false">Raw_Data!F658</f>
        <v>2538</v>
      </c>
      <c r="H658" s="3" t="str">
        <f aca="false">Raw_Data!G658</f>
        <v>yes</v>
      </c>
      <c r="I658" s="3" t="str">
        <f aca="false">Raw_Data!H658</f>
        <v>no</v>
      </c>
      <c r="J658" s="2" t="n">
        <f aca="false">IF(F658="yes",1,0)</f>
        <v>0</v>
      </c>
      <c r="K658" s="2" t="n">
        <f aca="false">IF(H658="yes",1,0)</f>
        <v>1</v>
      </c>
      <c r="L658" s="2" t="n">
        <f aca="false">IF(I658="yes",1,0)</f>
        <v>0</v>
      </c>
      <c r="M658" s="2" t="n">
        <f aca="false">IF(G658&lt;0,1,0)</f>
        <v>0</v>
      </c>
      <c r="N658" s="2" t="str">
        <f aca="false">_xlfn.IFS(B658&lt;30,"Under 30",B658&lt;40,"30-39",B658&lt;50,"40-49",B658&lt;60,"50-59",TRUE(),"60+")</f>
        <v>50-59</v>
      </c>
      <c r="O658" s="2" t="str">
        <f aca="false">_xlfn.IFS(G658&lt;0,"1 Negative",G658=0,"2 Zero",G658&lt;=500,"3 1-500",G658&lt;=2000,"4 501-2000",TRUE(),"5 Above 2000")</f>
        <v>5 Above 2000</v>
      </c>
      <c r="P658" s="2" t="n">
        <f aca="false">Lookups!$B$2*M658+Lookups!$B$3*L658</f>
        <v>0</v>
      </c>
      <c r="Q658" s="2" t="str">
        <f aca="false">INDEX(Lookups!$E$2:$E$5,MATCH(P658,Lookups!$D$2:$D$5,0))</f>
        <v>Low</v>
      </c>
    </row>
    <row r="659" customFormat="false" ht="15" hidden="false" customHeight="false" outlineLevel="0" collapsed="false">
      <c r="A659" s="3" t="n">
        <v>658</v>
      </c>
      <c r="B659" s="3" t="n">
        <f aca="false">Raw_Data!A659</f>
        <v>64</v>
      </c>
      <c r="C659" s="3" t="str">
        <f aca="false">SUBSTITUTE(Raw_Data!B659,".","")</f>
        <v>retired</v>
      </c>
      <c r="D659" s="3" t="str">
        <f aca="false">Raw_Data!C659</f>
        <v>married</v>
      </c>
      <c r="E659" s="3" t="str">
        <f aca="false">Raw_Data!D659</f>
        <v>primary</v>
      </c>
      <c r="F659" s="3" t="str">
        <f aca="false">Raw_Data!E659</f>
        <v>no</v>
      </c>
      <c r="G659" s="3" t="n">
        <f aca="false">Raw_Data!F659</f>
        <v>43</v>
      </c>
      <c r="H659" s="3" t="str">
        <f aca="false">Raw_Data!G659</f>
        <v>no</v>
      </c>
      <c r="I659" s="3" t="str">
        <f aca="false">Raw_Data!H659</f>
        <v>no</v>
      </c>
      <c r="J659" s="2" t="n">
        <f aca="false">IF(F659="yes",1,0)</f>
        <v>0</v>
      </c>
      <c r="K659" s="2" t="n">
        <f aca="false">IF(H659="yes",1,0)</f>
        <v>0</v>
      </c>
      <c r="L659" s="2" t="n">
        <f aca="false">IF(I659="yes",1,0)</f>
        <v>0</v>
      </c>
      <c r="M659" s="2" t="n">
        <f aca="false">IF(G659&lt;0,1,0)</f>
        <v>0</v>
      </c>
      <c r="N659" s="2" t="str">
        <f aca="false">_xlfn.IFS(B659&lt;30,"Under 30",B659&lt;40,"30-39",B659&lt;50,"40-49",B659&lt;60,"50-59",TRUE(),"60+")</f>
        <v>60+</v>
      </c>
      <c r="O659" s="2" t="str">
        <f aca="false">_xlfn.IFS(G659&lt;0,"1 Negative",G659=0,"2 Zero",G659&lt;=500,"3 1-500",G659&lt;=2000,"4 501-2000",TRUE(),"5 Above 2000")</f>
        <v>3 1-500</v>
      </c>
      <c r="P659" s="2" t="n">
        <f aca="false">Lookups!$B$2*M659+Lookups!$B$3*L659</f>
        <v>0</v>
      </c>
      <c r="Q659" s="2" t="str">
        <f aca="false">INDEX(Lookups!$E$2:$E$5,MATCH(P659,Lookups!$D$2:$D$5,0))</f>
        <v>Low</v>
      </c>
    </row>
    <row r="660" customFormat="false" ht="15" hidden="false" customHeight="false" outlineLevel="0" collapsed="false">
      <c r="A660" s="3" t="n">
        <v>659</v>
      </c>
      <c r="B660" s="3" t="n">
        <f aca="false">Raw_Data!A660</f>
        <v>47</v>
      </c>
      <c r="C660" s="3" t="str">
        <f aca="false">SUBSTITUTE(Raw_Data!B660,".","")</f>
        <v>technician</v>
      </c>
      <c r="D660" s="3" t="str">
        <f aca="false">Raw_Data!C660</f>
        <v>married</v>
      </c>
      <c r="E660" s="3" t="str">
        <f aca="false">Raw_Data!D660</f>
        <v>secondary</v>
      </c>
      <c r="F660" s="3" t="str">
        <f aca="false">Raw_Data!E660</f>
        <v>no</v>
      </c>
      <c r="G660" s="3" t="n">
        <f aca="false">Raw_Data!F660</f>
        <v>57</v>
      </c>
      <c r="H660" s="3" t="str">
        <f aca="false">Raw_Data!G660</f>
        <v>no</v>
      </c>
      <c r="I660" s="3" t="str">
        <f aca="false">Raw_Data!H660</f>
        <v>no</v>
      </c>
      <c r="J660" s="2" t="n">
        <f aca="false">IF(F660="yes",1,0)</f>
        <v>0</v>
      </c>
      <c r="K660" s="2" t="n">
        <f aca="false">IF(H660="yes",1,0)</f>
        <v>0</v>
      </c>
      <c r="L660" s="2" t="n">
        <f aca="false">IF(I660="yes",1,0)</f>
        <v>0</v>
      </c>
      <c r="M660" s="2" t="n">
        <f aca="false">IF(G660&lt;0,1,0)</f>
        <v>0</v>
      </c>
      <c r="N660" s="2" t="str">
        <f aca="false">_xlfn.IFS(B660&lt;30,"Under 30",B660&lt;40,"30-39",B660&lt;50,"40-49",B660&lt;60,"50-59",TRUE(),"60+")</f>
        <v>40-49</v>
      </c>
      <c r="O660" s="2" t="str">
        <f aca="false">_xlfn.IFS(G660&lt;0,"1 Negative",G660=0,"2 Zero",G660&lt;=500,"3 1-500",G660&lt;=2000,"4 501-2000",TRUE(),"5 Above 2000")</f>
        <v>3 1-500</v>
      </c>
      <c r="P660" s="2" t="n">
        <f aca="false">Lookups!$B$2*M660+Lookups!$B$3*L660</f>
        <v>0</v>
      </c>
      <c r="Q660" s="2" t="str">
        <f aca="false">INDEX(Lookups!$E$2:$E$5,MATCH(P660,Lookups!$D$2:$D$5,0))</f>
        <v>Low</v>
      </c>
    </row>
    <row r="661" customFormat="false" ht="15" hidden="false" customHeight="false" outlineLevel="0" collapsed="false">
      <c r="A661" s="3" t="n">
        <v>660</v>
      </c>
      <c r="B661" s="3" t="n">
        <f aca="false">Raw_Data!A661</f>
        <v>40</v>
      </c>
      <c r="C661" s="3" t="str">
        <f aca="false">SUBSTITUTE(Raw_Data!B661,".","")</f>
        <v>management</v>
      </c>
      <c r="D661" s="3" t="str">
        <f aca="false">Raw_Data!C661</f>
        <v>married</v>
      </c>
      <c r="E661" s="3" t="str">
        <f aca="false">Raw_Data!D661</f>
        <v>tertiary</v>
      </c>
      <c r="F661" s="3" t="str">
        <f aca="false">Raw_Data!E661</f>
        <v>no</v>
      </c>
      <c r="G661" s="3" t="n">
        <f aca="false">Raw_Data!F661</f>
        <v>-117</v>
      </c>
      <c r="H661" s="3" t="str">
        <f aca="false">Raw_Data!G661</f>
        <v>yes</v>
      </c>
      <c r="I661" s="3" t="str">
        <f aca="false">Raw_Data!H661</f>
        <v>no</v>
      </c>
      <c r="J661" s="2" t="n">
        <f aca="false">IF(F661="yes",1,0)</f>
        <v>0</v>
      </c>
      <c r="K661" s="2" t="n">
        <f aca="false">IF(H661="yes",1,0)</f>
        <v>1</v>
      </c>
      <c r="L661" s="2" t="n">
        <f aca="false">IF(I661="yes",1,0)</f>
        <v>0</v>
      </c>
      <c r="M661" s="2" t="n">
        <f aca="false">IF(G661&lt;0,1,0)</f>
        <v>1</v>
      </c>
      <c r="N661" s="2" t="str">
        <f aca="false">_xlfn.IFS(B661&lt;30,"Under 30",B661&lt;40,"30-39",B661&lt;50,"40-49",B661&lt;60,"50-59",TRUE(),"60+")</f>
        <v>40-49</v>
      </c>
      <c r="O661" s="2" t="str">
        <f aca="false">_xlfn.IFS(G661&lt;0,"1 Negative",G661=0,"2 Zero",G661&lt;=500,"3 1-500",G661&lt;=2000,"4 501-2000",TRUE(),"5 Above 2000")</f>
        <v>1 Negative</v>
      </c>
      <c r="P661" s="2" t="n">
        <f aca="false">Lookups!$B$2*M661+Lookups!$B$3*L661</f>
        <v>2</v>
      </c>
      <c r="Q661" s="2" t="str">
        <f aca="false">INDEX(Lookups!$E$2:$E$5,MATCH(P661,Lookups!$D$2:$D$5,0))</f>
        <v>High</v>
      </c>
    </row>
    <row r="662" customFormat="false" ht="15" hidden="false" customHeight="false" outlineLevel="0" collapsed="false">
      <c r="A662" s="3" t="n">
        <v>661</v>
      </c>
      <c r="B662" s="3" t="n">
        <f aca="false">Raw_Data!A662</f>
        <v>36</v>
      </c>
      <c r="C662" s="3" t="str">
        <f aca="false">SUBSTITUTE(Raw_Data!B662,".","")</f>
        <v>technician</v>
      </c>
      <c r="D662" s="3" t="str">
        <f aca="false">Raw_Data!C662</f>
        <v>divorced</v>
      </c>
      <c r="E662" s="3" t="str">
        <f aca="false">Raw_Data!D662</f>
        <v>secondary</v>
      </c>
      <c r="F662" s="3" t="str">
        <f aca="false">Raw_Data!E662</f>
        <v>no</v>
      </c>
      <c r="G662" s="3" t="n">
        <f aca="false">Raw_Data!F662</f>
        <v>666</v>
      </c>
      <c r="H662" s="3" t="str">
        <f aca="false">Raw_Data!G662</f>
        <v>yes</v>
      </c>
      <c r="I662" s="3" t="str">
        <f aca="false">Raw_Data!H662</f>
        <v>yes</v>
      </c>
      <c r="J662" s="2" t="n">
        <f aca="false">IF(F662="yes",1,0)</f>
        <v>0</v>
      </c>
      <c r="K662" s="2" t="n">
        <f aca="false">IF(H662="yes",1,0)</f>
        <v>1</v>
      </c>
      <c r="L662" s="2" t="n">
        <f aca="false">IF(I662="yes",1,0)</f>
        <v>1</v>
      </c>
      <c r="M662" s="2" t="n">
        <f aca="false">IF(G662&lt;0,1,0)</f>
        <v>0</v>
      </c>
      <c r="N662" s="2" t="str">
        <f aca="false">_xlfn.IFS(B662&lt;30,"Under 30",B662&lt;40,"30-39",B662&lt;50,"40-49",B662&lt;60,"50-59",TRUE(),"60+")</f>
        <v>30-39</v>
      </c>
      <c r="O662" s="2" t="str">
        <f aca="false">_xlfn.IFS(G662&lt;0,"1 Negative",G662=0,"2 Zero",G662&lt;=500,"3 1-500",G662&lt;=2000,"4 501-2000",TRUE(),"5 Above 2000")</f>
        <v>4 501-2000</v>
      </c>
      <c r="P662" s="2" t="n">
        <f aca="false">Lookups!$B$2*M662+Lookups!$B$3*L662</f>
        <v>1</v>
      </c>
      <c r="Q662" s="2" t="str">
        <f aca="false">INDEX(Lookups!$E$2:$E$5,MATCH(P662,Lookups!$D$2:$D$5,0))</f>
        <v>Medium</v>
      </c>
    </row>
    <row r="663" customFormat="false" ht="15" hidden="false" customHeight="false" outlineLevel="0" collapsed="false">
      <c r="A663" s="3" t="n">
        <v>662</v>
      </c>
      <c r="B663" s="3" t="n">
        <f aca="false">Raw_Data!A663</f>
        <v>28</v>
      </c>
      <c r="C663" s="3" t="str">
        <f aca="false">SUBSTITUTE(Raw_Data!B663,".","")</f>
        <v>management</v>
      </c>
      <c r="D663" s="3" t="str">
        <f aca="false">Raw_Data!C663</f>
        <v>single</v>
      </c>
      <c r="E663" s="3" t="str">
        <f aca="false">Raw_Data!D663</f>
        <v>tertiary</v>
      </c>
      <c r="F663" s="3" t="str">
        <f aca="false">Raw_Data!E663</f>
        <v>no</v>
      </c>
      <c r="G663" s="3" t="n">
        <f aca="false">Raw_Data!F663</f>
        <v>0</v>
      </c>
      <c r="H663" s="3" t="str">
        <f aca="false">Raw_Data!G663</f>
        <v>yes</v>
      </c>
      <c r="I663" s="3" t="str">
        <f aca="false">Raw_Data!H663</f>
        <v>no</v>
      </c>
      <c r="J663" s="2" t="n">
        <f aca="false">IF(F663="yes",1,0)</f>
        <v>0</v>
      </c>
      <c r="K663" s="2" t="n">
        <f aca="false">IF(H663="yes",1,0)</f>
        <v>1</v>
      </c>
      <c r="L663" s="2" t="n">
        <f aca="false">IF(I663="yes",1,0)</f>
        <v>0</v>
      </c>
      <c r="M663" s="2" t="n">
        <f aca="false">IF(G663&lt;0,1,0)</f>
        <v>0</v>
      </c>
      <c r="N663" s="2" t="str">
        <f aca="false">_xlfn.IFS(B663&lt;30,"Under 30",B663&lt;40,"30-39",B663&lt;50,"40-49",B663&lt;60,"50-59",TRUE(),"60+")</f>
        <v>Under 30</v>
      </c>
      <c r="O663" s="2" t="str">
        <f aca="false">_xlfn.IFS(G663&lt;0,"1 Negative",G663=0,"2 Zero",G663&lt;=500,"3 1-500",G663&lt;=2000,"4 501-2000",TRUE(),"5 Above 2000")</f>
        <v>2 Zero</v>
      </c>
      <c r="P663" s="2" t="n">
        <f aca="false">Lookups!$B$2*M663+Lookups!$B$3*L663</f>
        <v>0</v>
      </c>
      <c r="Q663" s="2" t="str">
        <f aca="false">INDEX(Lookups!$E$2:$E$5,MATCH(P663,Lookups!$D$2:$D$5,0))</f>
        <v>Low</v>
      </c>
    </row>
    <row r="664" customFormat="false" ht="15" hidden="false" customHeight="false" outlineLevel="0" collapsed="false">
      <c r="A664" s="3" t="n">
        <v>663</v>
      </c>
      <c r="B664" s="3" t="n">
        <f aca="false">Raw_Data!A664</f>
        <v>38</v>
      </c>
      <c r="C664" s="3" t="str">
        <f aca="false">SUBSTITUTE(Raw_Data!B664,".","")</f>
        <v>technician</v>
      </c>
      <c r="D664" s="3" t="str">
        <f aca="false">Raw_Data!C664</f>
        <v>single</v>
      </c>
      <c r="E664" s="3" t="str">
        <f aca="false">Raw_Data!D664</f>
        <v>tertiary</v>
      </c>
      <c r="F664" s="3" t="str">
        <f aca="false">Raw_Data!E664</f>
        <v>no</v>
      </c>
      <c r="G664" s="3" t="n">
        <f aca="false">Raw_Data!F664</f>
        <v>25</v>
      </c>
      <c r="H664" s="3" t="str">
        <f aca="false">Raw_Data!G664</f>
        <v>yes</v>
      </c>
      <c r="I664" s="3" t="str">
        <f aca="false">Raw_Data!H664</f>
        <v>no</v>
      </c>
      <c r="J664" s="2" t="n">
        <f aca="false">IF(F664="yes",1,0)</f>
        <v>0</v>
      </c>
      <c r="K664" s="2" t="n">
        <f aca="false">IF(H664="yes",1,0)</f>
        <v>1</v>
      </c>
      <c r="L664" s="2" t="n">
        <f aca="false">IF(I664="yes",1,0)</f>
        <v>0</v>
      </c>
      <c r="M664" s="2" t="n">
        <f aca="false">IF(G664&lt;0,1,0)</f>
        <v>0</v>
      </c>
      <c r="N664" s="2" t="str">
        <f aca="false">_xlfn.IFS(B664&lt;30,"Under 30",B664&lt;40,"30-39",B664&lt;50,"40-49",B664&lt;60,"50-59",TRUE(),"60+")</f>
        <v>30-39</v>
      </c>
      <c r="O664" s="2" t="str">
        <f aca="false">_xlfn.IFS(G664&lt;0,"1 Negative",G664=0,"2 Zero",G664&lt;=500,"3 1-500",G664&lt;=2000,"4 501-2000",TRUE(),"5 Above 2000")</f>
        <v>3 1-500</v>
      </c>
      <c r="P664" s="2" t="n">
        <f aca="false">Lookups!$B$2*M664+Lookups!$B$3*L664</f>
        <v>0</v>
      </c>
      <c r="Q664" s="2" t="str">
        <f aca="false">INDEX(Lookups!$E$2:$E$5,MATCH(P664,Lookups!$D$2:$D$5,0))</f>
        <v>Low</v>
      </c>
    </row>
    <row r="665" customFormat="false" ht="15" hidden="false" customHeight="false" outlineLevel="0" collapsed="false">
      <c r="A665" s="3" t="n">
        <v>664</v>
      </c>
      <c r="B665" s="3" t="n">
        <f aca="false">Raw_Data!A665</f>
        <v>53</v>
      </c>
      <c r="C665" s="3" t="str">
        <f aca="false">SUBSTITUTE(Raw_Data!B665,".","")</f>
        <v>entrepreneur</v>
      </c>
      <c r="D665" s="3" t="str">
        <f aca="false">Raw_Data!C665</f>
        <v>married</v>
      </c>
      <c r="E665" s="3" t="str">
        <f aca="false">Raw_Data!D665</f>
        <v>primary</v>
      </c>
      <c r="F665" s="3" t="str">
        <f aca="false">Raw_Data!E665</f>
        <v>no</v>
      </c>
      <c r="G665" s="3" t="n">
        <f aca="false">Raw_Data!F665</f>
        <v>1034</v>
      </c>
      <c r="H665" s="3" t="str">
        <f aca="false">Raw_Data!G665</f>
        <v>yes</v>
      </c>
      <c r="I665" s="3" t="str">
        <f aca="false">Raw_Data!H665</f>
        <v>no</v>
      </c>
      <c r="J665" s="2" t="n">
        <f aca="false">IF(F665="yes",1,0)</f>
        <v>0</v>
      </c>
      <c r="K665" s="2" t="n">
        <f aca="false">IF(H665="yes",1,0)</f>
        <v>1</v>
      </c>
      <c r="L665" s="2" t="n">
        <f aca="false">IF(I665="yes",1,0)</f>
        <v>0</v>
      </c>
      <c r="M665" s="2" t="n">
        <f aca="false">IF(G665&lt;0,1,0)</f>
        <v>0</v>
      </c>
      <c r="N665" s="2" t="str">
        <f aca="false">_xlfn.IFS(B665&lt;30,"Under 30",B665&lt;40,"30-39",B665&lt;50,"40-49",B665&lt;60,"50-59",TRUE(),"60+")</f>
        <v>50-59</v>
      </c>
      <c r="O665" s="2" t="str">
        <f aca="false">_xlfn.IFS(G665&lt;0,"1 Negative",G665=0,"2 Zero",G665&lt;=500,"3 1-500",G665&lt;=2000,"4 501-2000",TRUE(),"5 Above 2000")</f>
        <v>4 501-2000</v>
      </c>
      <c r="P665" s="2" t="n">
        <f aca="false">Lookups!$B$2*M665+Lookups!$B$3*L665</f>
        <v>0</v>
      </c>
      <c r="Q665" s="2" t="str">
        <f aca="false">INDEX(Lookups!$E$2:$E$5,MATCH(P665,Lookups!$D$2:$D$5,0))</f>
        <v>Low</v>
      </c>
    </row>
    <row r="666" customFormat="false" ht="15" hidden="false" customHeight="false" outlineLevel="0" collapsed="false">
      <c r="A666" s="3" t="n">
        <v>665</v>
      </c>
      <c r="B666" s="3" t="n">
        <f aca="false">Raw_Data!A666</f>
        <v>46</v>
      </c>
      <c r="C666" s="3" t="str">
        <f aca="false">SUBSTITUTE(Raw_Data!B666,".","")</f>
        <v>blue-collar</v>
      </c>
      <c r="D666" s="3" t="str">
        <f aca="false">Raw_Data!C666</f>
        <v>single</v>
      </c>
      <c r="E666" s="3" t="str">
        <f aca="false">Raw_Data!D666</f>
        <v>secondary</v>
      </c>
      <c r="F666" s="3" t="str">
        <f aca="false">Raw_Data!E666</f>
        <v>no</v>
      </c>
      <c r="G666" s="3" t="n">
        <f aca="false">Raw_Data!F666</f>
        <v>324</v>
      </c>
      <c r="H666" s="3" t="str">
        <f aca="false">Raw_Data!G666</f>
        <v>yes</v>
      </c>
      <c r="I666" s="3" t="str">
        <f aca="false">Raw_Data!H666</f>
        <v>no</v>
      </c>
      <c r="J666" s="2" t="n">
        <f aca="false">IF(F666="yes",1,0)</f>
        <v>0</v>
      </c>
      <c r="K666" s="2" t="n">
        <f aca="false">IF(H666="yes",1,0)</f>
        <v>1</v>
      </c>
      <c r="L666" s="2" t="n">
        <f aca="false">IF(I666="yes",1,0)</f>
        <v>0</v>
      </c>
      <c r="M666" s="2" t="n">
        <f aca="false">IF(G666&lt;0,1,0)</f>
        <v>0</v>
      </c>
      <c r="N666" s="2" t="str">
        <f aca="false">_xlfn.IFS(B666&lt;30,"Under 30",B666&lt;40,"30-39",B666&lt;50,"40-49",B666&lt;60,"50-59",TRUE(),"60+")</f>
        <v>40-49</v>
      </c>
      <c r="O666" s="2" t="str">
        <f aca="false">_xlfn.IFS(G666&lt;0,"1 Negative",G666=0,"2 Zero",G666&lt;=500,"3 1-500",G666&lt;=2000,"4 501-2000",TRUE(),"5 Above 2000")</f>
        <v>3 1-500</v>
      </c>
      <c r="P666" s="2" t="n">
        <f aca="false">Lookups!$B$2*M666+Lookups!$B$3*L666</f>
        <v>0</v>
      </c>
      <c r="Q666" s="2" t="str">
        <f aca="false">INDEX(Lookups!$E$2:$E$5,MATCH(P666,Lookups!$D$2:$D$5,0))</f>
        <v>Low</v>
      </c>
    </row>
    <row r="667" customFormat="false" ht="15" hidden="false" customHeight="false" outlineLevel="0" collapsed="false">
      <c r="A667" s="3" t="n">
        <v>666</v>
      </c>
      <c r="B667" s="3" t="n">
        <f aca="false">Raw_Data!A667</f>
        <v>54</v>
      </c>
      <c r="C667" s="3" t="str">
        <f aca="false">SUBSTITUTE(Raw_Data!B667,".","")</f>
        <v>technician</v>
      </c>
      <c r="D667" s="3" t="str">
        <f aca="false">Raw_Data!C667</f>
        <v>married</v>
      </c>
      <c r="E667" s="3" t="str">
        <f aca="false">Raw_Data!D667</f>
        <v>secondary</v>
      </c>
      <c r="F667" s="3" t="str">
        <f aca="false">Raw_Data!E667</f>
        <v>no</v>
      </c>
      <c r="G667" s="3" t="n">
        <f aca="false">Raw_Data!F667</f>
        <v>0</v>
      </c>
      <c r="H667" s="3" t="str">
        <f aca="false">Raw_Data!G667</f>
        <v>no</v>
      </c>
      <c r="I667" s="3" t="str">
        <f aca="false">Raw_Data!H667</f>
        <v>no</v>
      </c>
      <c r="J667" s="2" t="n">
        <f aca="false">IF(F667="yes",1,0)</f>
        <v>0</v>
      </c>
      <c r="K667" s="2" t="n">
        <f aca="false">IF(H667="yes",1,0)</f>
        <v>0</v>
      </c>
      <c r="L667" s="2" t="n">
        <f aca="false">IF(I667="yes",1,0)</f>
        <v>0</v>
      </c>
      <c r="M667" s="2" t="n">
        <f aca="false">IF(G667&lt;0,1,0)</f>
        <v>0</v>
      </c>
      <c r="N667" s="2" t="str">
        <f aca="false">_xlfn.IFS(B667&lt;30,"Under 30",B667&lt;40,"30-39",B667&lt;50,"40-49",B667&lt;60,"50-59",TRUE(),"60+")</f>
        <v>50-59</v>
      </c>
      <c r="O667" s="2" t="str">
        <f aca="false">_xlfn.IFS(G667&lt;0,"1 Negative",G667=0,"2 Zero",G667&lt;=500,"3 1-500",G667&lt;=2000,"4 501-2000",TRUE(),"5 Above 2000")</f>
        <v>2 Zero</v>
      </c>
      <c r="P667" s="2" t="n">
        <f aca="false">Lookups!$B$2*M667+Lookups!$B$3*L667</f>
        <v>0</v>
      </c>
      <c r="Q667" s="2" t="str">
        <f aca="false">INDEX(Lookups!$E$2:$E$5,MATCH(P667,Lookups!$D$2:$D$5,0))</f>
        <v>Low</v>
      </c>
    </row>
    <row r="668" customFormat="false" ht="15" hidden="false" customHeight="false" outlineLevel="0" collapsed="false">
      <c r="A668" s="3" t="n">
        <v>667</v>
      </c>
      <c r="B668" s="3" t="n">
        <f aca="false">Raw_Data!A668</f>
        <v>32</v>
      </c>
      <c r="C668" s="3" t="str">
        <f aca="false">SUBSTITUTE(Raw_Data!B668,".","")</f>
        <v>management</v>
      </c>
      <c r="D668" s="3" t="str">
        <f aca="false">Raw_Data!C668</f>
        <v>married</v>
      </c>
      <c r="E668" s="3" t="str">
        <f aca="false">Raw_Data!D668</f>
        <v>tertiary</v>
      </c>
      <c r="F668" s="3" t="str">
        <f aca="false">Raw_Data!E668</f>
        <v>no</v>
      </c>
      <c r="G668" s="3" t="n">
        <f aca="false">Raw_Data!F668</f>
        <v>0</v>
      </c>
      <c r="H668" s="3" t="str">
        <f aca="false">Raw_Data!G668</f>
        <v>no</v>
      </c>
      <c r="I668" s="3" t="str">
        <f aca="false">Raw_Data!H668</f>
        <v>no</v>
      </c>
      <c r="J668" s="2" t="n">
        <f aca="false">IF(F668="yes",1,0)</f>
        <v>0</v>
      </c>
      <c r="K668" s="2" t="n">
        <f aca="false">IF(H668="yes",1,0)</f>
        <v>0</v>
      </c>
      <c r="L668" s="2" t="n">
        <f aca="false">IF(I668="yes",1,0)</f>
        <v>0</v>
      </c>
      <c r="M668" s="2" t="n">
        <f aca="false">IF(G668&lt;0,1,0)</f>
        <v>0</v>
      </c>
      <c r="N668" s="2" t="str">
        <f aca="false">_xlfn.IFS(B668&lt;30,"Under 30",B668&lt;40,"30-39",B668&lt;50,"40-49",B668&lt;60,"50-59",TRUE(),"60+")</f>
        <v>30-39</v>
      </c>
      <c r="O668" s="2" t="str">
        <f aca="false">_xlfn.IFS(G668&lt;0,"1 Negative",G668=0,"2 Zero",G668&lt;=500,"3 1-500",G668&lt;=2000,"4 501-2000",TRUE(),"5 Above 2000")</f>
        <v>2 Zero</v>
      </c>
      <c r="P668" s="2" t="n">
        <f aca="false">Lookups!$B$2*M668+Lookups!$B$3*L668</f>
        <v>0</v>
      </c>
      <c r="Q668" s="2" t="str">
        <f aca="false">INDEX(Lookups!$E$2:$E$5,MATCH(P668,Lookups!$D$2:$D$5,0))</f>
        <v>Low</v>
      </c>
    </row>
    <row r="669" customFormat="false" ht="15" hidden="false" customHeight="false" outlineLevel="0" collapsed="false">
      <c r="A669" s="3" t="n">
        <v>668</v>
      </c>
      <c r="B669" s="3" t="n">
        <f aca="false">Raw_Data!A669</f>
        <v>55</v>
      </c>
      <c r="C669" s="3" t="str">
        <f aca="false">SUBSTITUTE(Raw_Data!B669,".","")</f>
        <v>management</v>
      </c>
      <c r="D669" s="3" t="str">
        <f aca="false">Raw_Data!C669</f>
        <v>married</v>
      </c>
      <c r="E669" s="3" t="str">
        <f aca="false">Raw_Data!D669</f>
        <v>primary</v>
      </c>
      <c r="F669" s="3" t="str">
        <f aca="false">Raw_Data!E669</f>
        <v>no</v>
      </c>
      <c r="G669" s="3" t="n">
        <f aca="false">Raw_Data!F669</f>
        <v>621</v>
      </c>
      <c r="H669" s="3" t="str">
        <f aca="false">Raw_Data!G669</f>
        <v>no</v>
      </c>
      <c r="I669" s="3" t="str">
        <f aca="false">Raw_Data!H669</f>
        <v>yes</v>
      </c>
      <c r="J669" s="2" t="n">
        <f aca="false">IF(F669="yes",1,0)</f>
        <v>0</v>
      </c>
      <c r="K669" s="2" t="n">
        <f aca="false">IF(H669="yes",1,0)</f>
        <v>0</v>
      </c>
      <c r="L669" s="2" t="n">
        <f aca="false">IF(I669="yes",1,0)</f>
        <v>1</v>
      </c>
      <c r="M669" s="2" t="n">
        <f aca="false">IF(G669&lt;0,1,0)</f>
        <v>0</v>
      </c>
      <c r="N669" s="2" t="str">
        <f aca="false">_xlfn.IFS(B669&lt;30,"Under 30",B669&lt;40,"30-39",B669&lt;50,"40-49",B669&lt;60,"50-59",TRUE(),"60+")</f>
        <v>50-59</v>
      </c>
      <c r="O669" s="2" t="str">
        <f aca="false">_xlfn.IFS(G669&lt;0,"1 Negative",G669=0,"2 Zero",G669&lt;=500,"3 1-500",G669&lt;=2000,"4 501-2000",TRUE(),"5 Above 2000")</f>
        <v>4 501-2000</v>
      </c>
      <c r="P669" s="2" t="n">
        <f aca="false">Lookups!$B$2*M669+Lookups!$B$3*L669</f>
        <v>1</v>
      </c>
      <c r="Q669" s="2" t="str">
        <f aca="false">INDEX(Lookups!$E$2:$E$5,MATCH(P669,Lookups!$D$2:$D$5,0))</f>
        <v>Medium</v>
      </c>
    </row>
    <row r="670" customFormat="false" ht="15" hidden="false" customHeight="false" outlineLevel="0" collapsed="false">
      <c r="A670" s="3" t="n">
        <v>669</v>
      </c>
      <c r="B670" s="3" t="n">
        <f aca="false">Raw_Data!A670</f>
        <v>55</v>
      </c>
      <c r="C670" s="3" t="str">
        <f aca="false">SUBSTITUTE(Raw_Data!B670,".","")</f>
        <v>retired</v>
      </c>
      <c r="D670" s="3" t="str">
        <f aca="false">Raw_Data!C670</f>
        <v>divorced</v>
      </c>
      <c r="E670" s="3" t="str">
        <f aca="false">Raw_Data!D670</f>
        <v>secondary</v>
      </c>
      <c r="F670" s="3" t="str">
        <f aca="false">Raw_Data!E670</f>
        <v>no</v>
      </c>
      <c r="G670" s="3" t="n">
        <f aca="false">Raw_Data!F670</f>
        <v>138</v>
      </c>
      <c r="H670" s="3" t="str">
        <f aca="false">Raw_Data!G670</f>
        <v>no</v>
      </c>
      <c r="I670" s="3" t="str">
        <f aca="false">Raw_Data!H670</f>
        <v>no</v>
      </c>
      <c r="J670" s="2" t="n">
        <f aca="false">IF(F670="yes",1,0)</f>
        <v>0</v>
      </c>
      <c r="K670" s="2" t="n">
        <f aca="false">IF(H670="yes",1,0)</f>
        <v>0</v>
      </c>
      <c r="L670" s="2" t="n">
        <f aca="false">IF(I670="yes",1,0)</f>
        <v>0</v>
      </c>
      <c r="M670" s="2" t="n">
        <f aca="false">IF(G670&lt;0,1,0)</f>
        <v>0</v>
      </c>
      <c r="N670" s="2" t="str">
        <f aca="false">_xlfn.IFS(B670&lt;30,"Under 30",B670&lt;40,"30-39",B670&lt;50,"40-49",B670&lt;60,"50-59",TRUE(),"60+")</f>
        <v>50-59</v>
      </c>
      <c r="O670" s="2" t="str">
        <f aca="false">_xlfn.IFS(G670&lt;0,"1 Negative",G670=0,"2 Zero",G670&lt;=500,"3 1-500",G670&lt;=2000,"4 501-2000",TRUE(),"5 Above 2000")</f>
        <v>3 1-500</v>
      </c>
      <c r="P670" s="2" t="n">
        <f aca="false">Lookups!$B$2*M670+Lookups!$B$3*L670</f>
        <v>0</v>
      </c>
      <c r="Q670" s="2" t="str">
        <f aca="false">INDEX(Lookups!$E$2:$E$5,MATCH(P670,Lookups!$D$2:$D$5,0))</f>
        <v>Low</v>
      </c>
    </row>
    <row r="671" customFormat="false" ht="15" hidden="false" customHeight="false" outlineLevel="0" collapsed="false">
      <c r="A671" s="3" t="n">
        <v>670</v>
      </c>
      <c r="B671" s="3" t="n">
        <f aca="false">Raw_Data!A671</f>
        <v>56</v>
      </c>
      <c r="C671" s="3" t="str">
        <f aca="false">SUBSTITUTE(Raw_Data!B671,".","")</f>
        <v>technician</v>
      </c>
      <c r="D671" s="3" t="str">
        <f aca="false">Raw_Data!C671</f>
        <v>married</v>
      </c>
      <c r="E671" s="3" t="str">
        <f aca="false">Raw_Data!D671</f>
        <v>secondary</v>
      </c>
      <c r="F671" s="3" t="str">
        <f aca="false">Raw_Data!E671</f>
        <v>no</v>
      </c>
      <c r="G671" s="3" t="n">
        <f aca="false">Raw_Data!F671</f>
        <v>4063</v>
      </c>
      <c r="H671" s="3" t="str">
        <f aca="false">Raw_Data!G671</f>
        <v>no</v>
      </c>
      <c r="I671" s="3" t="str">
        <f aca="false">Raw_Data!H671</f>
        <v>yes</v>
      </c>
      <c r="J671" s="2" t="n">
        <f aca="false">IF(F671="yes",1,0)</f>
        <v>0</v>
      </c>
      <c r="K671" s="2" t="n">
        <f aca="false">IF(H671="yes",1,0)</f>
        <v>0</v>
      </c>
      <c r="L671" s="2" t="n">
        <f aca="false">IF(I671="yes",1,0)</f>
        <v>1</v>
      </c>
      <c r="M671" s="2" t="n">
        <f aca="false">IF(G671&lt;0,1,0)</f>
        <v>0</v>
      </c>
      <c r="N671" s="2" t="str">
        <f aca="false">_xlfn.IFS(B671&lt;30,"Under 30",B671&lt;40,"30-39",B671&lt;50,"40-49",B671&lt;60,"50-59",TRUE(),"60+")</f>
        <v>50-59</v>
      </c>
      <c r="O671" s="2" t="str">
        <f aca="false">_xlfn.IFS(G671&lt;0,"1 Negative",G671=0,"2 Zero",G671&lt;=500,"3 1-500",G671&lt;=2000,"4 501-2000",TRUE(),"5 Above 2000")</f>
        <v>5 Above 2000</v>
      </c>
      <c r="P671" s="2" t="n">
        <f aca="false">Lookups!$B$2*M671+Lookups!$B$3*L671</f>
        <v>1</v>
      </c>
      <c r="Q671" s="2" t="str">
        <f aca="false">INDEX(Lookups!$E$2:$E$5,MATCH(P671,Lookups!$D$2:$D$5,0))</f>
        <v>Medium</v>
      </c>
    </row>
    <row r="672" customFormat="false" ht="15" hidden="false" customHeight="false" outlineLevel="0" collapsed="false">
      <c r="A672" s="3" t="n">
        <v>671</v>
      </c>
      <c r="B672" s="3" t="n">
        <f aca="false">Raw_Data!A672</f>
        <v>40</v>
      </c>
      <c r="C672" s="3" t="str">
        <f aca="false">SUBSTITUTE(Raw_Data!B672,".","")</f>
        <v>blue-collar</v>
      </c>
      <c r="D672" s="3" t="str">
        <f aca="false">Raw_Data!C672</f>
        <v>married</v>
      </c>
      <c r="E672" s="3" t="str">
        <f aca="false">Raw_Data!D672</f>
        <v>secondary</v>
      </c>
      <c r="F672" s="3" t="str">
        <f aca="false">Raw_Data!E672</f>
        <v>no</v>
      </c>
      <c r="G672" s="3" t="n">
        <f aca="false">Raw_Data!F672</f>
        <v>11084</v>
      </c>
      <c r="H672" s="3" t="str">
        <f aca="false">Raw_Data!G672</f>
        <v>no</v>
      </c>
      <c r="I672" s="3" t="str">
        <f aca="false">Raw_Data!H672</f>
        <v>no</v>
      </c>
      <c r="J672" s="2" t="n">
        <f aca="false">IF(F672="yes",1,0)</f>
        <v>0</v>
      </c>
      <c r="K672" s="2" t="n">
        <f aca="false">IF(H672="yes",1,0)</f>
        <v>0</v>
      </c>
      <c r="L672" s="2" t="n">
        <f aca="false">IF(I672="yes",1,0)</f>
        <v>0</v>
      </c>
      <c r="M672" s="2" t="n">
        <f aca="false">IF(G672&lt;0,1,0)</f>
        <v>0</v>
      </c>
      <c r="N672" s="2" t="str">
        <f aca="false">_xlfn.IFS(B672&lt;30,"Under 30",B672&lt;40,"30-39",B672&lt;50,"40-49",B672&lt;60,"50-59",TRUE(),"60+")</f>
        <v>40-49</v>
      </c>
      <c r="O672" s="2" t="str">
        <f aca="false">_xlfn.IFS(G672&lt;0,"1 Negative",G672=0,"2 Zero",G672&lt;=500,"3 1-500",G672&lt;=2000,"4 501-2000",TRUE(),"5 Above 2000")</f>
        <v>5 Above 2000</v>
      </c>
      <c r="P672" s="2" t="n">
        <f aca="false">Lookups!$B$2*M672+Lookups!$B$3*L672</f>
        <v>0</v>
      </c>
      <c r="Q672" s="2" t="str">
        <f aca="false">INDEX(Lookups!$E$2:$E$5,MATCH(P672,Lookups!$D$2:$D$5,0))</f>
        <v>Low</v>
      </c>
    </row>
    <row r="673" customFormat="false" ht="15" hidden="false" customHeight="false" outlineLevel="0" collapsed="false">
      <c r="A673" s="3" t="n">
        <v>672</v>
      </c>
      <c r="B673" s="3" t="n">
        <f aca="false">Raw_Data!A673</f>
        <v>44</v>
      </c>
      <c r="C673" s="3" t="str">
        <f aca="false">SUBSTITUTE(Raw_Data!B673,".","")</f>
        <v>technician</v>
      </c>
      <c r="D673" s="3" t="str">
        <f aca="false">Raw_Data!C673</f>
        <v>married</v>
      </c>
      <c r="E673" s="3" t="str">
        <f aca="false">Raw_Data!D673</f>
        <v>secondary</v>
      </c>
      <c r="F673" s="3" t="str">
        <f aca="false">Raw_Data!E673</f>
        <v>no</v>
      </c>
      <c r="G673" s="3" t="n">
        <f aca="false">Raw_Data!F673</f>
        <v>310</v>
      </c>
      <c r="H673" s="3" t="str">
        <f aca="false">Raw_Data!G673</f>
        <v>yes</v>
      </c>
      <c r="I673" s="3" t="str">
        <f aca="false">Raw_Data!H673</f>
        <v>no</v>
      </c>
      <c r="J673" s="2" t="n">
        <f aca="false">IF(F673="yes",1,0)</f>
        <v>0</v>
      </c>
      <c r="K673" s="2" t="n">
        <f aca="false">IF(H673="yes",1,0)</f>
        <v>1</v>
      </c>
      <c r="L673" s="2" t="n">
        <f aca="false">IF(I673="yes",1,0)</f>
        <v>0</v>
      </c>
      <c r="M673" s="2" t="n">
        <f aca="false">IF(G673&lt;0,1,0)</f>
        <v>0</v>
      </c>
      <c r="N673" s="2" t="str">
        <f aca="false">_xlfn.IFS(B673&lt;30,"Under 30",B673&lt;40,"30-39",B673&lt;50,"40-49",B673&lt;60,"50-59",TRUE(),"60+")</f>
        <v>40-49</v>
      </c>
      <c r="O673" s="2" t="str">
        <f aca="false">_xlfn.IFS(G673&lt;0,"1 Negative",G673=0,"2 Zero",G673&lt;=500,"3 1-500",G673&lt;=2000,"4 501-2000",TRUE(),"5 Above 2000")</f>
        <v>3 1-500</v>
      </c>
      <c r="P673" s="2" t="n">
        <f aca="false">Lookups!$B$2*M673+Lookups!$B$3*L673</f>
        <v>0</v>
      </c>
      <c r="Q673" s="2" t="str">
        <f aca="false">INDEX(Lookups!$E$2:$E$5,MATCH(P673,Lookups!$D$2:$D$5,0))</f>
        <v>Low</v>
      </c>
    </row>
    <row r="674" customFormat="false" ht="15" hidden="false" customHeight="false" outlineLevel="0" collapsed="false">
      <c r="A674" s="3" t="n">
        <v>673</v>
      </c>
      <c r="B674" s="3" t="n">
        <f aca="false">Raw_Data!A674</f>
        <v>32</v>
      </c>
      <c r="C674" s="3" t="str">
        <f aca="false">SUBSTITUTE(Raw_Data!B674,".","")</f>
        <v>entrepreneur</v>
      </c>
      <c r="D674" s="3" t="str">
        <f aca="false">Raw_Data!C674</f>
        <v>married</v>
      </c>
      <c r="E674" s="3" t="str">
        <f aca="false">Raw_Data!D674</f>
        <v>unknown</v>
      </c>
      <c r="F674" s="3" t="str">
        <f aca="false">Raw_Data!E674</f>
        <v>no</v>
      </c>
      <c r="G674" s="3" t="n">
        <f aca="false">Raw_Data!F674</f>
        <v>73</v>
      </c>
      <c r="H674" s="3" t="str">
        <f aca="false">Raw_Data!G674</f>
        <v>yes</v>
      </c>
      <c r="I674" s="3" t="str">
        <f aca="false">Raw_Data!H674</f>
        <v>no</v>
      </c>
      <c r="J674" s="2" t="n">
        <f aca="false">IF(F674="yes",1,0)</f>
        <v>0</v>
      </c>
      <c r="K674" s="2" t="n">
        <f aca="false">IF(H674="yes",1,0)</f>
        <v>1</v>
      </c>
      <c r="L674" s="2" t="n">
        <f aca="false">IF(I674="yes",1,0)</f>
        <v>0</v>
      </c>
      <c r="M674" s="2" t="n">
        <f aca="false">IF(G674&lt;0,1,0)</f>
        <v>0</v>
      </c>
      <c r="N674" s="2" t="str">
        <f aca="false">_xlfn.IFS(B674&lt;30,"Under 30",B674&lt;40,"30-39",B674&lt;50,"40-49",B674&lt;60,"50-59",TRUE(),"60+")</f>
        <v>30-39</v>
      </c>
      <c r="O674" s="2" t="str">
        <f aca="false">_xlfn.IFS(G674&lt;0,"1 Negative",G674=0,"2 Zero",G674&lt;=500,"3 1-500",G674&lt;=2000,"4 501-2000",TRUE(),"5 Above 2000")</f>
        <v>3 1-500</v>
      </c>
      <c r="P674" s="2" t="n">
        <f aca="false">Lookups!$B$2*M674+Lookups!$B$3*L674</f>
        <v>0</v>
      </c>
      <c r="Q674" s="2" t="str">
        <f aca="false">INDEX(Lookups!$E$2:$E$5,MATCH(P674,Lookups!$D$2:$D$5,0))</f>
        <v>Low</v>
      </c>
    </row>
    <row r="675" customFormat="false" ht="15" hidden="false" customHeight="false" outlineLevel="0" collapsed="false">
      <c r="A675" s="3" t="n">
        <v>674</v>
      </c>
      <c r="B675" s="3" t="n">
        <f aca="false">Raw_Data!A675</f>
        <v>33</v>
      </c>
      <c r="C675" s="3" t="str">
        <f aca="false">SUBSTITUTE(Raw_Data!B675,".","")</f>
        <v>management</v>
      </c>
      <c r="D675" s="3" t="str">
        <f aca="false">Raw_Data!C675</f>
        <v>married</v>
      </c>
      <c r="E675" s="3" t="str">
        <f aca="false">Raw_Data!D675</f>
        <v>tertiary</v>
      </c>
      <c r="F675" s="3" t="str">
        <f aca="false">Raw_Data!E675</f>
        <v>no</v>
      </c>
      <c r="G675" s="3" t="n">
        <f aca="false">Raw_Data!F675</f>
        <v>1808</v>
      </c>
      <c r="H675" s="3" t="str">
        <f aca="false">Raw_Data!G675</f>
        <v>yes</v>
      </c>
      <c r="I675" s="3" t="str">
        <f aca="false">Raw_Data!H675</f>
        <v>no</v>
      </c>
      <c r="J675" s="2" t="n">
        <f aca="false">IF(F675="yes",1,0)</f>
        <v>0</v>
      </c>
      <c r="K675" s="2" t="n">
        <f aca="false">IF(H675="yes",1,0)</f>
        <v>1</v>
      </c>
      <c r="L675" s="2" t="n">
        <f aca="false">IF(I675="yes",1,0)</f>
        <v>0</v>
      </c>
      <c r="M675" s="2" t="n">
        <f aca="false">IF(G675&lt;0,1,0)</f>
        <v>0</v>
      </c>
      <c r="N675" s="2" t="str">
        <f aca="false">_xlfn.IFS(B675&lt;30,"Under 30",B675&lt;40,"30-39",B675&lt;50,"40-49",B675&lt;60,"50-59",TRUE(),"60+")</f>
        <v>30-39</v>
      </c>
      <c r="O675" s="2" t="str">
        <f aca="false">_xlfn.IFS(G675&lt;0,"1 Negative",G675=0,"2 Zero",G675&lt;=500,"3 1-500",G675&lt;=2000,"4 501-2000",TRUE(),"5 Above 2000")</f>
        <v>4 501-2000</v>
      </c>
      <c r="P675" s="2" t="n">
        <f aca="false">Lookups!$B$2*M675+Lookups!$B$3*L675</f>
        <v>0</v>
      </c>
      <c r="Q675" s="2" t="str">
        <f aca="false">INDEX(Lookups!$E$2:$E$5,MATCH(P675,Lookups!$D$2:$D$5,0))</f>
        <v>Low</v>
      </c>
    </row>
    <row r="676" customFormat="false" ht="15" hidden="false" customHeight="false" outlineLevel="0" collapsed="false">
      <c r="A676" s="3" t="n">
        <v>675</v>
      </c>
      <c r="B676" s="3" t="n">
        <f aca="false">Raw_Data!A676</f>
        <v>41</v>
      </c>
      <c r="C676" s="3" t="str">
        <f aca="false">SUBSTITUTE(Raw_Data!B676,".","")</f>
        <v>unemployed</v>
      </c>
      <c r="D676" s="3" t="str">
        <f aca="false">Raw_Data!C676</f>
        <v>divorced</v>
      </c>
      <c r="E676" s="3" t="str">
        <f aca="false">Raw_Data!D676</f>
        <v>secondary</v>
      </c>
      <c r="F676" s="3" t="str">
        <f aca="false">Raw_Data!E676</f>
        <v>no</v>
      </c>
      <c r="G676" s="3" t="n">
        <f aca="false">Raw_Data!F676</f>
        <v>1281</v>
      </c>
      <c r="H676" s="3" t="str">
        <f aca="false">Raw_Data!G676</f>
        <v>no</v>
      </c>
      <c r="I676" s="3" t="str">
        <f aca="false">Raw_Data!H676</f>
        <v>no</v>
      </c>
      <c r="J676" s="2" t="n">
        <f aca="false">IF(F676="yes",1,0)</f>
        <v>0</v>
      </c>
      <c r="K676" s="2" t="n">
        <f aca="false">IF(H676="yes",1,0)</f>
        <v>0</v>
      </c>
      <c r="L676" s="2" t="n">
        <f aca="false">IF(I676="yes",1,0)</f>
        <v>0</v>
      </c>
      <c r="M676" s="2" t="n">
        <f aca="false">IF(G676&lt;0,1,0)</f>
        <v>0</v>
      </c>
      <c r="N676" s="2" t="str">
        <f aca="false">_xlfn.IFS(B676&lt;30,"Under 30",B676&lt;40,"30-39",B676&lt;50,"40-49",B676&lt;60,"50-59",TRUE(),"60+")</f>
        <v>40-49</v>
      </c>
      <c r="O676" s="2" t="str">
        <f aca="false">_xlfn.IFS(G676&lt;0,"1 Negative",G676=0,"2 Zero",G676&lt;=500,"3 1-500",G676&lt;=2000,"4 501-2000",TRUE(),"5 Above 2000")</f>
        <v>4 501-2000</v>
      </c>
      <c r="P676" s="2" t="n">
        <f aca="false">Lookups!$B$2*M676+Lookups!$B$3*L676</f>
        <v>0</v>
      </c>
      <c r="Q676" s="2" t="str">
        <f aca="false">INDEX(Lookups!$E$2:$E$5,MATCH(P676,Lookups!$D$2:$D$5,0))</f>
        <v>Low</v>
      </c>
    </row>
    <row r="677" customFormat="false" ht="15" hidden="false" customHeight="false" outlineLevel="0" collapsed="false">
      <c r="A677" s="3" t="n">
        <v>676</v>
      </c>
      <c r="B677" s="3" t="n">
        <f aca="false">Raw_Data!A677</f>
        <v>37</v>
      </c>
      <c r="C677" s="3" t="str">
        <f aca="false">SUBSTITUTE(Raw_Data!B677,".","")</f>
        <v>technician</v>
      </c>
      <c r="D677" s="3" t="str">
        <f aca="false">Raw_Data!C677</f>
        <v>married</v>
      </c>
      <c r="E677" s="3" t="str">
        <f aca="false">Raw_Data!D677</f>
        <v>secondary</v>
      </c>
      <c r="F677" s="3" t="str">
        <f aca="false">Raw_Data!E677</f>
        <v>no</v>
      </c>
      <c r="G677" s="3" t="n">
        <f aca="false">Raw_Data!F677</f>
        <v>64</v>
      </c>
      <c r="H677" s="3" t="str">
        <f aca="false">Raw_Data!G677</f>
        <v>yes</v>
      </c>
      <c r="I677" s="3" t="str">
        <f aca="false">Raw_Data!H677</f>
        <v>no</v>
      </c>
      <c r="J677" s="2" t="n">
        <f aca="false">IF(F677="yes",1,0)</f>
        <v>0</v>
      </c>
      <c r="K677" s="2" t="n">
        <f aca="false">IF(H677="yes",1,0)</f>
        <v>1</v>
      </c>
      <c r="L677" s="2" t="n">
        <f aca="false">IF(I677="yes",1,0)</f>
        <v>0</v>
      </c>
      <c r="M677" s="2" t="n">
        <f aca="false">IF(G677&lt;0,1,0)</f>
        <v>0</v>
      </c>
      <c r="N677" s="2" t="str">
        <f aca="false">_xlfn.IFS(B677&lt;30,"Under 30",B677&lt;40,"30-39",B677&lt;50,"40-49",B677&lt;60,"50-59",TRUE(),"60+")</f>
        <v>30-39</v>
      </c>
      <c r="O677" s="2" t="str">
        <f aca="false">_xlfn.IFS(G677&lt;0,"1 Negative",G677=0,"2 Zero",G677&lt;=500,"3 1-500",G677&lt;=2000,"4 501-2000",TRUE(),"5 Above 2000")</f>
        <v>3 1-500</v>
      </c>
      <c r="P677" s="2" t="n">
        <f aca="false">Lookups!$B$2*M677+Lookups!$B$3*L677</f>
        <v>0</v>
      </c>
      <c r="Q677" s="2" t="str">
        <f aca="false">INDEX(Lookups!$E$2:$E$5,MATCH(P677,Lookups!$D$2:$D$5,0))</f>
        <v>Low</v>
      </c>
    </row>
    <row r="678" customFormat="false" ht="15" hidden="false" customHeight="false" outlineLevel="0" collapsed="false">
      <c r="A678" s="3" t="n">
        <v>677</v>
      </c>
      <c r="B678" s="3" t="n">
        <f aca="false">Raw_Data!A678</f>
        <v>58</v>
      </c>
      <c r="C678" s="3" t="str">
        <f aca="false">SUBSTITUTE(Raw_Data!B678,".","")</f>
        <v>management</v>
      </c>
      <c r="D678" s="3" t="str">
        <f aca="false">Raw_Data!C678</f>
        <v>single</v>
      </c>
      <c r="E678" s="3" t="str">
        <f aca="false">Raw_Data!D678</f>
        <v>tertiary</v>
      </c>
      <c r="F678" s="3" t="str">
        <f aca="false">Raw_Data!E678</f>
        <v>no</v>
      </c>
      <c r="G678" s="3" t="n">
        <f aca="false">Raw_Data!F678</f>
        <v>2</v>
      </c>
      <c r="H678" s="3" t="str">
        <f aca="false">Raw_Data!G678</f>
        <v>yes</v>
      </c>
      <c r="I678" s="3" t="str">
        <f aca="false">Raw_Data!H678</f>
        <v>no</v>
      </c>
      <c r="J678" s="2" t="n">
        <f aca="false">IF(F678="yes",1,0)</f>
        <v>0</v>
      </c>
      <c r="K678" s="2" t="n">
        <f aca="false">IF(H678="yes",1,0)</f>
        <v>1</v>
      </c>
      <c r="L678" s="2" t="n">
        <f aca="false">IF(I678="yes",1,0)</f>
        <v>0</v>
      </c>
      <c r="M678" s="2" t="n">
        <f aca="false">IF(G678&lt;0,1,0)</f>
        <v>0</v>
      </c>
      <c r="N678" s="2" t="str">
        <f aca="false">_xlfn.IFS(B678&lt;30,"Under 30",B678&lt;40,"30-39",B678&lt;50,"40-49",B678&lt;60,"50-59",TRUE(),"60+")</f>
        <v>50-59</v>
      </c>
      <c r="O678" s="2" t="str">
        <f aca="false">_xlfn.IFS(G678&lt;0,"1 Negative",G678=0,"2 Zero",G678&lt;=500,"3 1-500",G678&lt;=2000,"4 501-2000",TRUE(),"5 Above 2000")</f>
        <v>3 1-500</v>
      </c>
      <c r="P678" s="2" t="n">
        <f aca="false">Lookups!$B$2*M678+Lookups!$B$3*L678</f>
        <v>0</v>
      </c>
      <c r="Q678" s="2" t="str">
        <f aca="false">INDEX(Lookups!$E$2:$E$5,MATCH(P678,Lookups!$D$2:$D$5,0))</f>
        <v>Low</v>
      </c>
    </row>
    <row r="679" customFormat="false" ht="15" hidden="false" customHeight="false" outlineLevel="0" collapsed="false">
      <c r="A679" s="3" t="n">
        <v>678</v>
      </c>
      <c r="B679" s="3" t="n">
        <f aca="false">Raw_Data!A679</f>
        <v>52</v>
      </c>
      <c r="C679" s="3" t="str">
        <f aca="false">SUBSTITUTE(Raw_Data!B679,".","")</f>
        <v>blue-collar</v>
      </c>
      <c r="D679" s="3" t="str">
        <f aca="false">Raw_Data!C679</f>
        <v>married</v>
      </c>
      <c r="E679" s="3" t="str">
        <f aca="false">Raw_Data!D679</f>
        <v>secondary</v>
      </c>
      <c r="F679" s="3" t="str">
        <f aca="false">Raw_Data!E679</f>
        <v>no</v>
      </c>
      <c r="G679" s="3" t="n">
        <f aca="false">Raw_Data!F679</f>
        <v>60</v>
      </c>
      <c r="H679" s="3" t="str">
        <f aca="false">Raw_Data!G679</f>
        <v>no</v>
      </c>
      <c r="I679" s="3" t="str">
        <f aca="false">Raw_Data!H679</f>
        <v>yes</v>
      </c>
      <c r="J679" s="2" t="n">
        <f aca="false">IF(F679="yes",1,0)</f>
        <v>0</v>
      </c>
      <c r="K679" s="2" t="n">
        <f aca="false">IF(H679="yes",1,0)</f>
        <v>0</v>
      </c>
      <c r="L679" s="2" t="n">
        <f aca="false">IF(I679="yes",1,0)</f>
        <v>1</v>
      </c>
      <c r="M679" s="2" t="n">
        <f aca="false">IF(G679&lt;0,1,0)</f>
        <v>0</v>
      </c>
      <c r="N679" s="2" t="str">
        <f aca="false">_xlfn.IFS(B679&lt;30,"Under 30",B679&lt;40,"30-39",B679&lt;50,"40-49",B679&lt;60,"50-59",TRUE(),"60+")</f>
        <v>50-59</v>
      </c>
      <c r="O679" s="2" t="str">
        <f aca="false">_xlfn.IFS(G679&lt;0,"1 Negative",G679=0,"2 Zero",G679&lt;=500,"3 1-500",G679&lt;=2000,"4 501-2000",TRUE(),"5 Above 2000")</f>
        <v>3 1-500</v>
      </c>
      <c r="P679" s="2" t="n">
        <f aca="false">Lookups!$B$2*M679+Lookups!$B$3*L679</f>
        <v>1</v>
      </c>
      <c r="Q679" s="2" t="str">
        <f aca="false">INDEX(Lookups!$E$2:$E$5,MATCH(P679,Lookups!$D$2:$D$5,0))</f>
        <v>Medium</v>
      </c>
    </row>
    <row r="680" customFormat="false" ht="15" hidden="false" customHeight="false" outlineLevel="0" collapsed="false">
      <c r="A680" s="3" t="n">
        <v>679</v>
      </c>
      <c r="B680" s="3" t="n">
        <f aca="false">Raw_Data!A680</f>
        <v>49</v>
      </c>
      <c r="C680" s="3" t="str">
        <f aca="false">SUBSTITUTE(Raw_Data!B680,".","")</f>
        <v>services</v>
      </c>
      <c r="D680" s="3" t="str">
        <f aca="false">Raw_Data!C680</f>
        <v>single</v>
      </c>
      <c r="E680" s="3" t="str">
        <f aca="false">Raw_Data!D680</f>
        <v>secondary</v>
      </c>
      <c r="F680" s="3" t="str">
        <f aca="false">Raw_Data!E680</f>
        <v>no</v>
      </c>
      <c r="G680" s="3" t="n">
        <f aca="false">Raw_Data!F680</f>
        <v>133</v>
      </c>
      <c r="H680" s="3" t="str">
        <f aca="false">Raw_Data!G680</f>
        <v>no</v>
      </c>
      <c r="I680" s="3" t="str">
        <f aca="false">Raw_Data!H680</f>
        <v>no</v>
      </c>
      <c r="J680" s="2" t="n">
        <f aca="false">IF(F680="yes",1,0)</f>
        <v>0</v>
      </c>
      <c r="K680" s="2" t="n">
        <f aca="false">IF(H680="yes",1,0)</f>
        <v>0</v>
      </c>
      <c r="L680" s="2" t="n">
        <f aca="false">IF(I680="yes",1,0)</f>
        <v>0</v>
      </c>
      <c r="M680" s="2" t="n">
        <f aca="false">IF(G680&lt;0,1,0)</f>
        <v>0</v>
      </c>
      <c r="N680" s="2" t="str">
        <f aca="false">_xlfn.IFS(B680&lt;30,"Under 30",B680&lt;40,"30-39",B680&lt;50,"40-49",B680&lt;60,"50-59",TRUE(),"60+")</f>
        <v>40-49</v>
      </c>
      <c r="O680" s="2" t="str">
        <f aca="false">_xlfn.IFS(G680&lt;0,"1 Negative",G680=0,"2 Zero",G680&lt;=500,"3 1-500",G680&lt;=2000,"4 501-2000",TRUE(),"5 Above 2000")</f>
        <v>3 1-500</v>
      </c>
      <c r="P680" s="2" t="n">
        <f aca="false">Lookups!$B$2*M680+Lookups!$B$3*L680</f>
        <v>0</v>
      </c>
      <c r="Q680" s="2" t="str">
        <f aca="false">INDEX(Lookups!$E$2:$E$5,MATCH(P680,Lookups!$D$2:$D$5,0))</f>
        <v>Low</v>
      </c>
    </row>
    <row r="681" customFormat="false" ht="15" hidden="false" customHeight="false" outlineLevel="0" collapsed="false">
      <c r="A681" s="3" t="n">
        <v>680</v>
      </c>
      <c r="B681" s="3" t="n">
        <f aca="false">Raw_Data!A681</f>
        <v>44</v>
      </c>
      <c r="C681" s="3" t="str">
        <f aca="false">SUBSTITUTE(Raw_Data!B681,".","")</f>
        <v>housemaid</v>
      </c>
      <c r="D681" s="3" t="str">
        <f aca="false">Raw_Data!C681</f>
        <v>married</v>
      </c>
      <c r="E681" s="3" t="str">
        <f aca="false">Raw_Data!D681</f>
        <v>primary</v>
      </c>
      <c r="F681" s="3" t="str">
        <f aca="false">Raw_Data!E681</f>
        <v>no</v>
      </c>
      <c r="G681" s="3" t="n">
        <f aca="false">Raw_Data!F681</f>
        <v>3706</v>
      </c>
      <c r="H681" s="3" t="str">
        <f aca="false">Raw_Data!G681</f>
        <v>no</v>
      </c>
      <c r="I681" s="3" t="str">
        <f aca="false">Raw_Data!H681</f>
        <v>no</v>
      </c>
      <c r="J681" s="2" t="n">
        <f aca="false">IF(F681="yes",1,0)</f>
        <v>0</v>
      </c>
      <c r="K681" s="2" t="n">
        <f aca="false">IF(H681="yes",1,0)</f>
        <v>0</v>
      </c>
      <c r="L681" s="2" t="n">
        <f aca="false">IF(I681="yes",1,0)</f>
        <v>0</v>
      </c>
      <c r="M681" s="2" t="n">
        <f aca="false">IF(G681&lt;0,1,0)</f>
        <v>0</v>
      </c>
      <c r="N681" s="2" t="str">
        <f aca="false">_xlfn.IFS(B681&lt;30,"Under 30",B681&lt;40,"30-39",B681&lt;50,"40-49",B681&lt;60,"50-59",TRUE(),"60+")</f>
        <v>40-49</v>
      </c>
      <c r="O681" s="2" t="str">
        <f aca="false">_xlfn.IFS(G681&lt;0,"1 Negative",G681=0,"2 Zero",G681&lt;=500,"3 1-500",G681&lt;=2000,"4 501-2000",TRUE(),"5 Above 2000")</f>
        <v>5 Above 2000</v>
      </c>
      <c r="P681" s="2" t="n">
        <f aca="false">Lookups!$B$2*M681+Lookups!$B$3*L681</f>
        <v>0</v>
      </c>
      <c r="Q681" s="2" t="str">
        <f aca="false">INDEX(Lookups!$E$2:$E$5,MATCH(P681,Lookups!$D$2:$D$5,0))</f>
        <v>Low</v>
      </c>
    </row>
    <row r="682" customFormat="false" ht="15" hidden="false" customHeight="false" outlineLevel="0" collapsed="false">
      <c r="A682" s="3" t="n">
        <v>681</v>
      </c>
      <c r="B682" s="3" t="n">
        <f aca="false">Raw_Data!A682</f>
        <v>28</v>
      </c>
      <c r="C682" s="3" t="str">
        <f aca="false">SUBSTITUTE(Raw_Data!B682,".","")</f>
        <v>admin</v>
      </c>
      <c r="D682" s="3" t="str">
        <f aca="false">Raw_Data!C682</f>
        <v>single</v>
      </c>
      <c r="E682" s="3" t="str">
        <f aca="false">Raw_Data!D682</f>
        <v>unknown</v>
      </c>
      <c r="F682" s="3" t="str">
        <f aca="false">Raw_Data!E682</f>
        <v>no</v>
      </c>
      <c r="G682" s="3" t="n">
        <f aca="false">Raw_Data!F682</f>
        <v>174</v>
      </c>
      <c r="H682" s="3" t="str">
        <f aca="false">Raw_Data!G682</f>
        <v>no</v>
      </c>
      <c r="I682" s="3" t="str">
        <f aca="false">Raw_Data!H682</f>
        <v>no</v>
      </c>
      <c r="J682" s="2" t="n">
        <f aca="false">IF(F682="yes",1,0)</f>
        <v>0</v>
      </c>
      <c r="K682" s="2" t="n">
        <f aca="false">IF(H682="yes",1,0)</f>
        <v>0</v>
      </c>
      <c r="L682" s="2" t="n">
        <f aca="false">IF(I682="yes",1,0)</f>
        <v>0</v>
      </c>
      <c r="M682" s="2" t="n">
        <f aca="false">IF(G682&lt;0,1,0)</f>
        <v>0</v>
      </c>
      <c r="N682" s="2" t="str">
        <f aca="false">_xlfn.IFS(B682&lt;30,"Under 30",B682&lt;40,"30-39",B682&lt;50,"40-49",B682&lt;60,"50-59",TRUE(),"60+")</f>
        <v>Under 30</v>
      </c>
      <c r="O682" s="2" t="str">
        <f aca="false">_xlfn.IFS(G682&lt;0,"1 Negative",G682=0,"2 Zero",G682&lt;=500,"3 1-500",G682&lt;=2000,"4 501-2000",TRUE(),"5 Above 2000")</f>
        <v>3 1-500</v>
      </c>
      <c r="P682" s="2" t="n">
        <f aca="false">Lookups!$B$2*M682+Lookups!$B$3*L682</f>
        <v>0</v>
      </c>
      <c r="Q682" s="2" t="str">
        <f aca="false">INDEX(Lookups!$E$2:$E$5,MATCH(P682,Lookups!$D$2:$D$5,0))</f>
        <v>Low</v>
      </c>
    </row>
    <row r="683" customFormat="false" ht="15" hidden="false" customHeight="false" outlineLevel="0" collapsed="false">
      <c r="A683" s="3" t="n">
        <v>682</v>
      </c>
      <c r="B683" s="3" t="n">
        <f aca="false">Raw_Data!A683</f>
        <v>31</v>
      </c>
      <c r="C683" s="3" t="str">
        <f aca="false">SUBSTITUTE(Raw_Data!B683,".","")</f>
        <v>technician</v>
      </c>
      <c r="D683" s="3" t="str">
        <f aca="false">Raw_Data!C683</f>
        <v>married</v>
      </c>
      <c r="E683" s="3" t="str">
        <f aca="false">Raw_Data!D683</f>
        <v>secondary</v>
      </c>
      <c r="F683" s="3" t="str">
        <f aca="false">Raw_Data!E683</f>
        <v>no</v>
      </c>
      <c r="G683" s="3" t="n">
        <f aca="false">Raw_Data!F683</f>
        <v>251</v>
      </c>
      <c r="H683" s="3" t="str">
        <f aca="false">Raw_Data!G683</f>
        <v>no</v>
      </c>
      <c r="I683" s="3" t="str">
        <f aca="false">Raw_Data!H683</f>
        <v>yes</v>
      </c>
      <c r="J683" s="2" t="n">
        <f aca="false">IF(F683="yes",1,0)</f>
        <v>0</v>
      </c>
      <c r="K683" s="2" t="n">
        <f aca="false">IF(H683="yes",1,0)</f>
        <v>0</v>
      </c>
      <c r="L683" s="2" t="n">
        <f aca="false">IF(I683="yes",1,0)</f>
        <v>1</v>
      </c>
      <c r="M683" s="2" t="n">
        <f aca="false">IF(G683&lt;0,1,0)</f>
        <v>0</v>
      </c>
      <c r="N683" s="2" t="str">
        <f aca="false">_xlfn.IFS(B683&lt;30,"Under 30",B683&lt;40,"30-39",B683&lt;50,"40-49",B683&lt;60,"50-59",TRUE(),"60+")</f>
        <v>30-39</v>
      </c>
      <c r="O683" s="2" t="str">
        <f aca="false">_xlfn.IFS(G683&lt;0,"1 Negative",G683=0,"2 Zero",G683&lt;=500,"3 1-500",G683&lt;=2000,"4 501-2000",TRUE(),"5 Above 2000")</f>
        <v>3 1-500</v>
      </c>
      <c r="P683" s="2" t="n">
        <f aca="false">Lookups!$B$2*M683+Lookups!$B$3*L683</f>
        <v>1</v>
      </c>
      <c r="Q683" s="2" t="str">
        <f aca="false">INDEX(Lookups!$E$2:$E$5,MATCH(P683,Lookups!$D$2:$D$5,0))</f>
        <v>Medium</v>
      </c>
    </row>
    <row r="684" customFormat="false" ht="15" hidden="false" customHeight="false" outlineLevel="0" collapsed="false">
      <c r="A684" s="3" t="n">
        <v>683</v>
      </c>
      <c r="B684" s="3" t="n">
        <f aca="false">Raw_Data!A684</f>
        <v>37</v>
      </c>
      <c r="C684" s="3" t="str">
        <f aca="false">SUBSTITUTE(Raw_Data!B684,".","")</f>
        <v>self-employed</v>
      </c>
      <c r="D684" s="3" t="str">
        <f aca="false">Raw_Data!C684</f>
        <v>married</v>
      </c>
      <c r="E684" s="3" t="str">
        <f aca="false">Raw_Data!D684</f>
        <v>secondary</v>
      </c>
      <c r="F684" s="3" t="str">
        <f aca="false">Raw_Data!E684</f>
        <v>no</v>
      </c>
      <c r="G684" s="3" t="n">
        <f aca="false">Raw_Data!F684</f>
        <v>4153</v>
      </c>
      <c r="H684" s="3" t="str">
        <f aca="false">Raw_Data!G684</f>
        <v>yes</v>
      </c>
      <c r="I684" s="3" t="str">
        <f aca="false">Raw_Data!H684</f>
        <v>no</v>
      </c>
      <c r="J684" s="2" t="n">
        <f aca="false">IF(F684="yes",1,0)</f>
        <v>0</v>
      </c>
      <c r="K684" s="2" t="n">
        <f aca="false">IF(H684="yes",1,0)</f>
        <v>1</v>
      </c>
      <c r="L684" s="2" t="n">
        <f aca="false">IF(I684="yes",1,0)</f>
        <v>0</v>
      </c>
      <c r="M684" s="2" t="n">
        <f aca="false">IF(G684&lt;0,1,0)</f>
        <v>0</v>
      </c>
      <c r="N684" s="2" t="str">
        <f aca="false">_xlfn.IFS(B684&lt;30,"Under 30",B684&lt;40,"30-39",B684&lt;50,"40-49",B684&lt;60,"50-59",TRUE(),"60+")</f>
        <v>30-39</v>
      </c>
      <c r="O684" s="2" t="str">
        <f aca="false">_xlfn.IFS(G684&lt;0,"1 Negative",G684=0,"2 Zero",G684&lt;=500,"3 1-500",G684&lt;=2000,"4 501-2000",TRUE(),"5 Above 2000")</f>
        <v>5 Above 2000</v>
      </c>
      <c r="P684" s="2" t="n">
        <f aca="false">Lookups!$B$2*M684+Lookups!$B$3*L684</f>
        <v>0</v>
      </c>
      <c r="Q684" s="2" t="str">
        <f aca="false">INDEX(Lookups!$E$2:$E$5,MATCH(P684,Lookups!$D$2:$D$5,0))</f>
        <v>Low</v>
      </c>
    </row>
    <row r="685" customFormat="false" ht="15" hidden="false" customHeight="false" outlineLevel="0" collapsed="false">
      <c r="A685" s="3" t="n">
        <v>684</v>
      </c>
      <c r="B685" s="3" t="n">
        <f aca="false">Raw_Data!A685</f>
        <v>30</v>
      </c>
      <c r="C685" s="3" t="str">
        <f aca="false">SUBSTITUTE(Raw_Data!B685,".","")</f>
        <v>technician</v>
      </c>
      <c r="D685" s="3" t="str">
        <f aca="false">Raw_Data!C685</f>
        <v>single</v>
      </c>
      <c r="E685" s="3" t="str">
        <f aca="false">Raw_Data!D685</f>
        <v>tertiary</v>
      </c>
      <c r="F685" s="3" t="str">
        <f aca="false">Raw_Data!E685</f>
        <v>no</v>
      </c>
      <c r="G685" s="3" t="n">
        <f aca="false">Raw_Data!F685</f>
        <v>985</v>
      </c>
      <c r="H685" s="3" t="str">
        <f aca="false">Raw_Data!G685</f>
        <v>yes</v>
      </c>
      <c r="I685" s="3" t="str">
        <f aca="false">Raw_Data!H685</f>
        <v>no</v>
      </c>
      <c r="J685" s="2" t="n">
        <f aca="false">IF(F685="yes",1,0)</f>
        <v>0</v>
      </c>
      <c r="K685" s="2" t="n">
        <f aca="false">IF(H685="yes",1,0)</f>
        <v>1</v>
      </c>
      <c r="L685" s="2" t="n">
        <f aca="false">IF(I685="yes",1,0)</f>
        <v>0</v>
      </c>
      <c r="M685" s="2" t="n">
        <f aca="false">IF(G685&lt;0,1,0)</f>
        <v>0</v>
      </c>
      <c r="N685" s="2" t="str">
        <f aca="false">_xlfn.IFS(B685&lt;30,"Under 30",B685&lt;40,"30-39",B685&lt;50,"40-49",B685&lt;60,"50-59",TRUE(),"60+")</f>
        <v>30-39</v>
      </c>
      <c r="O685" s="2" t="str">
        <f aca="false">_xlfn.IFS(G685&lt;0,"1 Negative",G685=0,"2 Zero",G685&lt;=500,"3 1-500",G685&lt;=2000,"4 501-2000",TRUE(),"5 Above 2000")</f>
        <v>4 501-2000</v>
      </c>
      <c r="P685" s="2" t="n">
        <f aca="false">Lookups!$B$2*M685+Lookups!$B$3*L685</f>
        <v>0</v>
      </c>
      <c r="Q685" s="2" t="str">
        <f aca="false">INDEX(Lookups!$E$2:$E$5,MATCH(P685,Lookups!$D$2:$D$5,0))</f>
        <v>Low</v>
      </c>
    </row>
    <row r="686" customFormat="false" ht="15" hidden="false" customHeight="false" outlineLevel="0" collapsed="false">
      <c r="A686" s="3" t="n">
        <v>685</v>
      </c>
      <c r="B686" s="3" t="n">
        <f aca="false">Raw_Data!A686</f>
        <v>28</v>
      </c>
      <c r="C686" s="3" t="str">
        <f aca="false">SUBSTITUTE(Raw_Data!B686,".","")</f>
        <v>services</v>
      </c>
      <c r="D686" s="3" t="str">
        <f aca="false">Raw_Data!C686</f>
        <v>single</v>
      </c>
      <c r="E686" s="3" t="str">
        <f aca="false">Raw_Data!D686</f>
        <v>secondary</v>
      </c>
      <c r="F686" s="3" t="str">
        <f aca="false">Raw_Data!E686</f>
        <v>no</v>
      </c>
      <c r="G686" s="3" t="n">
        <f aca="false">Raw_Data!F686</f>
        <v>168</v>
      </c>
      <c r="H686" s="3" t="str">
        <f aca="false">Raw_Data!G686</f>
        <v>no</v>
      </c>
      <c r="I686" s="3" t="str">
        <f aca="false">Raw_Data!H686</f>
        <v>no</v>
      </c>
      <c r="J686" s="2" t="n">
        <f aca="false">IF(F686="yes",1,0)</f>
        <v>0</v>
      </c>
      <c r="K686" s="2" t="n">
        <f aca="false">IF(H686="yes",1,0)</f>
        <v>0</v>
      </c>
      <c r="L686" s="2" t="n">
        <f aca="false">IF(I686="yes",1,0)</f>
        <v>0</v>
      </c>
      <c r="M686" s="2" t="n">
        <f aca="false">IF(G686&lt;0,1,0)</f>
        <v>0</v>
      </c>
      <c r="N686" s="2" t="str">
        <f aca="false">_xlfn.IFS(B686&lt;30,"Under 30",B686&lt;40,"30-39",B686&lt;50,"40-49",B686&lt;60,"50-59",TRUE(),"60+")</f>
        <v>Under 30</v>
      </c>
      <c r="O686" s="2" t="str">
        <f aca="false">_xlfn.IFS(G686&lt;0,"1 Negative",G686=0,"2 Zero",G686&lt;=500,"3 1-500",G686&lt;=2000,"4 501-2000",TRUE(),"5 Above 2000")</f>
        <v>3 1-500</v>
      </c>
      <c r="P686" s="2" t="n">
        <f aca="false">Lookups!$B$2*M686+Lookups!$B$3*L686</f>
        <v>0</v>
      </c>
      <c r="Q686" s="2" t="str">
        <f aca="false">INDEX(Lookups!$E$2:$E$5,MATCH(P686,Lookups!$D$2:$D$5,0))</f>
        <v>Low</v>
      </c>
    </row>
    <row r="687" customFormat="false" ht="15" hidden="false" customHeight="false" outlineLevel="0" collapsed="false">
      <c r="A687" s="3" t="n">
        <v>686</v>
      </c>
      <c r="B687" s="3" t="n">
        <f aca="false">Raw_Data!A687</f>
        <v>46</v>
      </c>
      <c r="C687" s="3" t="str">
        <f aca="false">SUBSTITUTE(Raw_Data!B687,".","")</f>
        <v>services</v>
      </c>
      <c r="D687" s="3" t="str">
        <f aca="false">Raw_Data!C687</f>
        <v>married</v>
      </c>
      <c r="E687" s="3" t="str">
        <f aca="false">Raw_Data!D687</f>
        <v>secondary</v>
      </c>
      <c r="F687" s="3" t="str">
        <f aca="false">Raw_Data!E687</f>
        <v>no</v>
      </c>
      <c r="G687" s="3" t="n">
        <f aca="false">Raw_Data!F687</f>
        <v>1550</v>
      </c>
      <c r="H687" s="3" t="str">
        <f aca="false">Raw_Data!G687</f>
        <v>yes</v>
      </c>
      <c r="I687" s="3" t="str">
        <f aca="false">Raw_Data!H687</f>
        <v>no</v>
      </c>
      <c r="J687" s="2" t="n">
        <f aca="false">IF(F687="yes",1,0)</f>
        <v>0</v>
      </c>
      <c r="K687" s="2" t="n">
        <f aca="false">IF(H687="yes",1,0)</f>
        <v>1</v>
      </c>
      <c r="L687" s="2" t="n">
        <f aca="false">IF(I687="yes",1,0)</f>
        <v>0</v>
      </c>
      <c r="M687" s="2" t="n">
        <f aca="false">IF(G687&lt;0,1,0)</f>
        <v>0</v>
      </c>
      <c r="N687" s="2" t="str">
        <f aca="false">_xlfn.IFS(B687&lt;30,"Under 30",B687&lt;40,"30-39",B687&lt;50,"40-49",B687&lt;60,"50-59",TRUE(),"60+")</f>
        <v>40-49</v>
      </c>
      <c r="O687" s="2" t="str">
        <f aca="false">_xlfn.IFS(G687&lt;0,"1 Negative",G687=0,"2 Zero",G687&lt;=500,"3 1-500",G687&lt;=2000,"4 501-2000",TRUE(),"5 Above 2000")</f>
        <v>4 501-2000</v>
      </c>
      <c r="P687" s="2" t="n">
        <f aca="false">Lookups!$B$2*M687+Lookups!$B$3*L687</f>
        <v>0</v>
      </c>
      <c r="Q687" s="2" t="str">
        <f aca="false">INDEX(Lookups!$E$2:$E$5,MATCH(P687,Lookups!$D$2:$D$5,0))</f>
        <v>Low</v>
      </c>
    </row>
    <row r="688" customFormat="false" ht="15" hidden="false" customHeight="false" outlineLevel="0" collapsed="false">
      <c r="A688" s="3" t="n">
        <v>687</v>
      </c>
      <c r="B688" s="3" t="n">
        <f aca="false">Raw_Data!A688</f>
        <v>47</v>
      </c>
      <c r="C688" s="3" t="str">
        <f aca="false">SUBSTITUTE(Raw_Data!B688,".","")</f>
        <v>management</v>
      </c>
      <c r="D688" s="3" t="str">
        <f aca="false">Raw_Data!C688</f>
        <v>married</v>
      </c>
      <c r="E688" s="3" t="str">
        <f aca="false">Raw_Data!D688</f>
        <v>tertiary</v>
      </c>
      <c r="F688" s="3" t="str">
        <f aca="false">Raw_Data!E688</f>
        <v>no</v>
      </c>
      <c r="G688" s="3" t="n">
        <f aca="false">Raw_Data!F688</f>
        <v>7708</v>
      </c>
      <c r="H688" s="3" t="str">
        <f aca="false">Raw_Data!G688</f>
        <v>yes</v>
      </c>
      <c r="I688" s="3" t="str">
        <f aca="false">Raw_Data!H688</f>
        <v>no</v>
      </c>
      <c r="J688" s="2" t="n">
        <f aca="false">IF(F688="yes",1,0)</f>
        <v>0</v>
      </c>
      <c r="K688" s="2" t="n">
        <f aca="false">IF(H688="yes",1,0)</f>
        <v>1</v>
      </c>
      <c r="L688" s="2" t="n">
        <f aca="false">IF(I688="yes",1,0)</f>
        <v>0</v>
      </c>
      <c r="M688" s="2" t="n">
        <f aca="false">IF(G688&lt;0,1,0)</f>
        <v>0</v>
      </c>
      <c r="N688" s="2" t="str">
        <f aca="false">_xlfn.IFS(B688&lt;30,"Under 30",B688&lt;40,"30-39",B688&lt;50,"40-49",B688&lt;60,"50-59",TRUE(),"60+")</f>
        <v>40-49</v>
      </c>
      <c r="O688" s="2" t="str">
        <f aca="false">_xlfn.IFS(G688&lt;0,"1 Negative",G688=0,"2 Zero",G688&lt;=500,"3 1-500",G688&lt;=2000,"4 501-2000",TRUE(),"5 Above 2000")</f>
        <v>5 Above 2000</v>
      </c>
      <c r="P688" s="2" t="n">
        <f aca="false">Lookups!$B$2*M688+Lookups!$B$3*L688</f>
        <v>0</v>
      </c>
      <c r="Q688" s="2" t="str">
        <f aca="false">INDEX(Lookups!$E$2:$E$5,MATCH(P688,Lookups!$D$2:$D$5,0))</f>
        <v>Low</v>
      </c>
    </row>
    <row r="689" customFormat="false" ht="15" hidden="false" customHeight="false" outlineLevel="0" collapsed="false">
      <c r="A689" s="3" t="n">
        <v>688</v>
      </c>
      <c r="B689" s="3" t="n">
        <f aca="false">Raw_Data!A689</f>
        <v>35</v>
      </c>
      <c r="C689" s="3" t="str">
        <f aca="false">SUBSTITUTE(Raw_Data!B689,".","")</f>
        <v>blue-collar</v>
      </c>
      <c r="D689" s="3" t="str">
        <f aca="false">Raw_Data!C689</f>
        <v>married</v>
      </c>
      <c r="E689" s="3" t="str">
        <f aca="false">Raw_Data!D689</f>
        <v>primary</v>
      </c>
      <c r="F689" s="3" t="str">
        <f aca="false">Raw_Data!E689</f>
        <v>no</v>
      </c>
      <c r="G689" s="3" t="n">
        <f aca="false">Raw_Data!F689</f>
        <v>-12</v>
      </c>
      <c r="H689" s="3" t="str">
        <f aca="false">Raw_Data!G689</f>
        <v>yes</v>
      </c>
      <c r="I689" s="3" t="str">
        <f aca="false">Raw_Data!H689</f>
        <v>no</v>
      </c>
      <c r="J689" s="2" t="n">
        <f aca="false">IF(F689="yes",1,0)</f>
        <v>0</v>
      </c>
      <c r="K689" s="2" t="n">
        <f aca="false">IF(H689="yes",1,0)</f>
        <v>1</v>
      </c>
      <c r="L689" s="2" t="n">
        <f aca="false">IF(I689="yes",1,0)</f>
        <v>0</v>
      </c>
      <c r="M689" s="2" t="n">
        <f aca="false">IF(G689&lt;0,1,0)</f>
        <v>1</v>
      </c>
      <c r="N689" s="2" t="str">
        <f aca="false">_xlfn.IFS(B689&lt;30,"Under 30",B689&lt;40,"30-39",B689&lt;50,"40-49",B689&lt;60,"50-59",TRUE(),"60+")</f>
        <v>30-39</v>
      </c>
      <c r="O689" s="2" t="str">
        <f aca="false">_xlfn.IFS(G689&lt;0,"1 Negative",G689=0,"2 Zero",G689&lt;=500,"3 1-500",G689&lt;=2000,"4 501-2000",TRUE(),"5 Above 2000")</f>
        <v>1 Negative</v>
      </c>
      <c r="P689" s="2" t="n">
        <f aca="false">Lookups!$B$2*M689+Lookups!$B$3*L689</f>
        <v>2</v>
      </c>
      <c r="Q689" s="2" t="str">
        <f aca="false">INDEX(Lookups!$E$2:$E$5,MATCH(P689,Lookups!$D$2:$D$5,0))</f>
        <v>High</v>
      </c>
    </row>
    <row r="690" customFormat="false" ht="15" hidden="false" customHeight="false" outlineLevel="0" collapsed="false">
      <c r="A690" s="3" t="n">
        <v>689</v>
      </c>
      <c r="B690" s="3" t="n">
        <f aca="false">Raw_Data!A690</f>
        <v>80</v>
      </c>
      <c r="C690" s="3" t="str">
        <f aca="false">SUBSTITUTE(Raw_Data!B690,".","")</f>
        <v>management</v>
      </c>
      <c r="D690" s="3" t="str">
        <f aca="false">Raw_Data!C690</f>
        <v>married</v>
      </c>
      <c r="E690" s="3" t="str">
        <f aca="false">Raw_Data!D690</f>
        <v>primary</v>
      </c>
      <c r="F690" s="3" t="str">
        <f aca="false">Raw_Data!E690</f>
        <v>no</v>
      </c>
      <c r="G690" s="3" t="n">
        <f aca="false">Raw_Data!F690</f>
        <v>6483</v>
      </c>
      <c r="H690" s="3" t="str">
        <f aca="false">Raw_Data!G690</f>
        <v>no</v>
      </c>
      <c r="I690" s="3" t="str">
        <f aca="false">Raw_Data!H690</f>
        <v>no</v>
      </c>
      <c r="J690" s="2" t="n">
        <f aca="false">IF(F690="yes",1,0)</f>
        <v>0</v>
      </c>
      <c r="K690" s="2" t="n">
        <f aca="false">IF(H690="yes",1,0)</f>
        <v>0</v>
      </c>
      <c r="L690" s="2" t="n">
        <f aca="false">IF(I690="yes",1,0)</f>
        <v>0</v>
      </c>
      <c r="M690" s="2" t="n">
        <f aca="false">IF(G690&lt;0,1,0)</f>
        <v>0</v>
      </c>
      <c r="N690" s="2" t="str">
        <f aca="false">_xlfn.IFS(B690&lt;30,"Under 30",B690&lt;40,"30-39",B690&lt;50,"40-49",B690&lt;60,"50-59",TRUE(),"60+")</f>
        <v>60+</v>
      </c>
      <c r="O690" s="2" t="str">
        <f aca="false">_xlfn.IFS(G690&lt;0,"1 Negative",G690=0,"2 Zero",G690&lt;=500,"3 1-500",G690&lt;=2000,"4 501-2000",TRUE(),"5 Above 2000")</f>
        <v>5 Above 2000</v>
      </c>
      <c r="P690" s="2" t="n">
        <f aca="false">Lookups!$B$2*M690+Lookups!$B$3*L690</f>
        <v>0</v>
      </c>
      <c r="Q690" s="2" t="str">
        <f aca="false">INDEX(Lookups!$E$2:$E$5,MATCH(P690,Lookups!$D$2:$D$5,0))</f>
        <v>Low</v>
      </c>
    </row>
    <row r="691" customFormat="false" ht="15" hidden="false" customHeight="false" outlineLevel="0" collapsed="false">
      <c r="A691" s="3" t="n">
        <v>690</v>
      </c>
      <c r="B691" s="3" t="n">
        <f aca="false">Raw_Data!A691</f>
        <v>30</v>
      </c>
      <c r="C691" s="3" t="str">
        <f aca="false">SUBSTITUTE(Raw_Data!B691,".","")</f>
        <v>technician</v>
      </c>
      <c r="D691" s="3" t="str">
        <f aca="false">Raw_Data!C691</f>
        <v>single</v>
      </c>
      <c r="E691" s="3" t="str">
        <f aca="false">Raw_Data!D691</f>
        <v>tertiary</v>
      </c>
      <c r="F691" s="3" t="str">
        <f aca="false">Raw_Data!E691</f>
        <v>no</v>
      </c>
      <c r="G691" s="3" t="n">
        <f aca="false">Raw_Data!F691</f>
        <v>60</v>
      </c>
      <c r="H691" s="3" t="str">
        <f aca="false">Raw_Data!G691</f>
        <v>yes</v>
      </c>
      <c r="I691" s="3" t="str">
        <f aca="false">Raw_Data!H691</f>
        <v>yes</v>
      </c>
      <c r="J691" s="2" t="n">
        <f aca="false">IF(F691="yes",1,0)</f>
        <v>0</v>
      </c>
      <c r="K691" s="2" t="n">
        <f aca="false">IF(H691="yes",1,0)</f>
        <v>1</v>
      </c>
      <c r="L691" s="2" t="n">
        <f aca="false">IF(I691="yes",1,0)</f>
        <v>1</v>
      </c>
      <c r="M691" s="2" t="n">
        <f aca="false">IF(G691&lt;0,1,0)</f>
        <v>0</v>
      </c>
      <c r="N691" s="2" t="str">
        <f aca="false">_xlfn.IFS(B691&lt;30,"Under 30",B691&lt;40,"30-39",B691&lt;50,"40-49",B691&lt;60,"50-59",TRUE(),"60+")</f>
        <v>30-39</v>
      </c>
      <c r="O691" s="2" t="str">
        <f aca="false">_xlfn.IFS(G691&lt;0,"1 Negative",G691=0,"2 Zero",G691&lt;=500,"3 1-500",G691&lt;=2000,"4 501-2000",TRUE(),"5 Above 2000")</f>
        <v>3 1-500</v>
      </c>
      <c r="P691" s="2" t="n">
        <f aca="false">Lookups!$B$2*M691+Lookups!$B$3*L691</f>
        <v>1</v>
      </c>
      <c r="Q691" s="2" t="str">
        <f aca="false">INDEX(Lookups!$E$2:$E$5,MATCH(P691,Lookups!$D$2:$D$5,0))</f>
        <v>Medium</v>
      </c>
    </row>
    <row r="692" customFormat="false" ht="15" hidden="false" customHeight="false" outlineLevel="0" collapsed="false">
      <c r="A692" s="3" t="n">
        <v>691</v>
      </c>
      <c r="B692" s="3" t="n">
        <f aca="false">Raw_Data!A692</f>
        <v>55</v>
      </c>
      <c r="C692" s="3" t="str">
        <f aca="false">SUBSTITUTE(Raw_Data!B692,".","")</f>
        <v>technician</v>
      </c>
      <c r="D692" s="3" t="str">
        <f aca="false">Raw_Data!C692</f>
        <v>single</v>
      </c>
      <c r="E692" s="3" t="str">
        <f aca="false">Raw_Data!D692</f>
        <v>secondary</v>
      </c>
      <c r="F692" s="3" t="str">
        <f aca="false">Raw_Data!E692</f>
        <v>no</v>
      </c>
      <c r="G692" s="3" t="n">
        <f aca="false">Raw_Data!F692</f>
        <v>3339</v>
      </c>
      <c r="H692" s="3" t="str">
        <f aca="false">Raw_Data!G692</f>
        <v>yes</v>
      </c>
      <c r="I692" s="3" t="str">
        <f aca="false">Raw_Data!H692</f>
        <v>no</v>
      </c>
      <c r="J692" s="2" t="n">
        <f aca="false">IF(F692="yes",1,0)</f>
        <v>0</v>
      </c>
      <c r="K692" s="2" t="n">
        <f aca="false">IF(H692="yes",1,0)</f>
        <v>1</v>
      </c>
      <c r="L692" s="2" t="n">
        <f aca="false">IF(I692="yes",1,0)</f>
        <v>0</v>
      </c>
      <c r="M692" s="2" t="n">
        <f aca="false">IF(G692&lt;0,1,0)</f>
        <v>0</v>
      </c>
      <c r="N692" s="2" t="str">
        <f aca="false">_xlfn.IFS(B692&lt;30,"Under 30",B692&lt;40,"30-39",B692&lt;50,"40-49",B692&lt;60,"50-59",TRUE(),"60+")</f>
        <v>50-59</v>
      </c>
      <c r="O692" s="2" t="str">
        <f aca="false">_xlfn.IFS(G692&lt;0,"1 Negative",G692=0,"2 Zero",G692&lt;=500,"3 1-500",G692&lt;=2000,"4 501-2000",TRUE(),"5 Above 2000")</f>
        <v>5 Above 2000</v>
      </c>
      <c r="P692" s="2" t="n">
        <f aca="false">Lookups!$B$2*M692+Lookups!$B$3*L692</f>
        <v>0</v>
      </c>
      <c r="Q692" s="2" t="str">
        <f aca="false">INDEX(Lookups!$E$2:$E$5,MATCH(P692,Lookups!$D$2:$D$5,0))</f>
        <v>Low</v>
      </c>
    </row>
    <row r="693" customFormat="false" ht="15" hidden="false" customHeight="false" outlineLevel="0" collapsed="false">
      <c r="A693" s="3" t="n">
        <v>692</v>
      </c>
      <c r="B693" s="3" t="n">
        <f aca="false">Raw_Data!A693</f>
        <v>22</v>
      </c>
      <c r="C693" s="3" t="str">
        <f aca="false">SUBSTITUTE(Raw_Data!B693,".","")</f>
        <v>student</v>
      </c>
      <c r="D693" s="3" t="str">
        <f aca="false">Raw_Data!C693</f>
        <v>single</v>
      </c>
      <c r="E693" s="3" t="str">
        <f aca="false">Raw_Data!D693</f>
        <v>tertiary</v>
      </c>
      <c r="F693" s="3" t="str">
        <f aca="false">Raw_Data!E693</f>
        <v>no</v>
      </c>
      <c r="G693" s="3" t="n">
        <f aca="false">Raw_Data!F693</f>
        <v>1161</v>
      </c>
      <c r="H693" s="3" t="str">
        <f aca="false">Raw_Data!G693</f>
        <v>no</v>
      </c>
      <c r="I693" s="3" t="str">
        <f aca="false">Raw_Data!H693</f>
        <v>yes</v>
      </c>
      <c r="J693" s="2" t="n">
        <f aca="false">IF(F693="yes",1,0)</f>
        <v>0</v>
      </c>
      <c r="K693" s="2" t="n">
        <f aca="false">IF(H693="yes",1,0)</f>
        <v>0</v>
      </c>
      <c r="L693" s="2" t="n">
        <f aca="false">IF(I693="yes",1,0)</f>
        <v>1</v>
      </c>
      <c r="M693" s="2" t="n">
        <f aca="false">IF(G693&lt;0,1,0)</f>
        <v>0</v>
      </c>
      <c r="N693" s="2" t="str">
        <f aca="false">_xlfn.IFS(B693&lt;30,"Under 30",B693&lt;40,"30-39",B693&lt;50,"40-49",B693&lt;60,"50-59",TRUE(),"60+")</f>
        <v>Under 30</v>
      </c>
      <c r="O693" s="2" t="str">
        <f aca="false">_xlfn.IFS(G693&lt;0,"1 Negative",G693=0,"2 Zero",G693&lt;=500,"3 1-500",G693&lt;=2000,"4 501-2000",TRUE(),"5 Above 2000")</f>
        <v>4 501-2000</v>
      </c>
      <c r="P693" s="2" t="n">
        <f aca="false">Lookups!$B$2*M693+Lookups!$B$3*L693</f>
        <v>1</v>
      </c>
      <c r="Q693" s="2" t="str">
        <f aca="false">INDEX(Lookups!$E$2:$E$5,MATCH(P693,Lookups!$D$2:$D$5,0))</f>
        <v>Medium</v>
      </c>
    </row>
    <row r="694" customFormat="false" ht="15" hidden="false" customHeight="false" outlineLevel="0" collapsed="false">
      <c r="A694" s="3" t="n">
        <v>693</v>
      </c>
      <c r="B694" s="3" t="n">
        <f aca="false">Raw_Data!A694</f>
        <v>33</v>
      </c>
      <c r="C694" s="3" t="str">
        <f aca="false">SUBSTITUTE(Raw_Data!B694,".","")</f>
        <v>blue-collar</v>
      </c>
      <c r="D694" s="3" t="str">
        <f aca="false">Raw_Data!C694</f>
        <v>single</v>
      </c>
      <c r="E694" s="3" t="str">
        <f aca="false">Raw_Data!D694</f>
        <v>primary</v>
      </c>
      <c r="F694" s="3" t="str">
        <f aca="false">Raw_Data!E694</f>
        <v>no</v>
      </c>
      <c r="G694" s="3" t="n">
        <f aca="false">Raw_Data!F694</f>
        <v>599</v>
      </c>
      <c r="H694" s="3" t="str">
        <f aca="false">Raw_Data!G694</f>
        <v>yes</v>
      </c>
      <c r="I694" s="3" t="str">
        <f aca="false">Raw_Data!H694</f>
        <v>no</v>
      </c>
      <c r="J694" s="2" t="n">
        <f aca="false">IF(F694="yes",1,0)</f>
        <v>0</v>
      </c>
      <c r="K694" s="2" t="n">
        <f aca="false">IF(H694="yes",1,0)</f>
        <v>1</v>
      </c>
      <c r="L694" s="2" t="n">
        <f aca="false">IF(I694="yes",1,0)</f>
        <v>0</v>
      </c>
      <c r="M694" s="2" t="n">
        <f aca="false">IF(G694&lt;0,1,0)</f>
        <v>0</v>
      </c>
      <c r="N694" s="2" t="str">
        <f aca="false">_xlfn.IFS(B694&lt;30,"Under 30",B694&lt;40,"30-39",B694&lt;50,"40-49",B694&lt;60,"50-59",TRUE(),"60+")</f>
        <v>30-39</v>
      </c>
      <c r="O694" s="2" t="str">
        <f aca="false">_xlfn.IFS(G694&lt;0,"1 Negative",G694=0,"2 Zero",G694&lt;=500,"3 1-500",G694&lt;=2000,"4 501-2000",TRUE(),"5 Above 2000")</f>
        <v>4 501-2000</v>
      </c>
      <c r="P694" s="2" t="n">
        <f aca="false">Lookups!$B$2*M694+Lookups!$B$3*L694</f>
        <v>0</v>
      </c>
      <c r="Q694" s="2" t="str">
        <f aca="false">INDEX(Lookups!$E$2:$E$5,MATCH(P694,Lookups!$D$2:$D$5,0))</f>
        <v>Low</v>
      </c>
    </row>
    <row r="695" customFormat="false" ht="15" hidden="false" customHeight="false" outlineLevel="0" collapsed="false">
      <c r="A695" s="3" t="n">
        <v>694</v>
      </c>
      <c r="B695" s="3" t="n">
        <f aca="false">Raw_Data!A695</f>
        <v>53</v>
      </c>
      <c r="C695" s="3" t="str">
        <f aca="false">SUBSTITUTE(Raw_Data!B695,".","")</f>
        <v>entrepreneur</v>
      </c>
      <c r="D695" s="3" t="str">
        <f aca="false">Raw_Data!C695</f>
        <v>married</v>
      </c>
      <c r="E695" s="3" t="str">
        <f aca="false">Raw_Data!D695</f>
        <v>unknown</v>
      </c>
      <c r="F695" s="3" t="str">
        <f aca="false">Raw_Data!E695</f>
        <v>no</v>
      </c>
      <c r="G695" s="3" t="n">
        <f aca="false">Raw_Data!F695</f>
        <v>28</v>
      </c>
      <c r="H695" s="3" t="str">
        <f aca="false">Raw_Data!G695</f>
        <v>no</v>
      </c>
      <c r="I695" s="3" t="str">
        <f aca="false">Raw_Data!H695</f>
        <v>no</v>
      </c>
      <c r="J695" s="2" t="n">
        <f aca="false">IF(F695="yes",1,0)</f>
        <v>0</v>
      </c>
      <c r="K695" s="2" t="n">
        <f aca="false">IF(H695="yes",1,0)</f>
        <v>0</v>
      </c>
      <c r="L695" s="2" t="n">
        <f aca="false">IF(I695="yes",1,0)</f>
        <v>0</v>
      </c>
      <c r="M695" s="2" t="n">
        <f aca="false">IF(G695&lt;0,1,0)</f>
        <v>0</v>
      </c>
      <c r="N695" s="2" t="str">
        <f aca="false">_xlfn.IFS(B695&lt;30,"Under 30",B695&lt;40,"30-39",B695&lt;50,"40-49",B695&lt;60,"50-59",TRUE(),"60+")</f>
        <v>50-59</v>
      </c>
      <c r="O695" s="2" t="str">
        <f aca="false">_xlfn.IFS(G695&lt;0,"1 Negative",G695=0,"2 Zero",G695&lt;=500,"3 1-500",G695&lt;=2000,"4 501-2000",TRUE(),"5 Above 2000")</f>
        <v>3 1-500</v>
      </c>
      <c r="P695" s="2" t="n">
        <f aca="false">Lookups!$B$2*M695+Lookups!$B$3*L695</f>
        <v>0</v>
      </c>
      <c r="Q695" s="2" t="str">
        <f aca="false">INDEX(Lookups!$E$2:$E$5,MATCH(P695,Lookups!$D$2:$D$5,0))</f>
        <v>Low</v>
      </c>
    </row>
    <row r="696" customFormat="false" ht="15" hidden="false" customHeight="false" outlineLevel="0" collapsed="false">
      <c r="A696" s="3" t="n">
        <v>695</v>
      </c>
      <c r="B696" s="3" t="n">
        <f aca="false">Raw_Data!A696</f>
        <v>49</v>
      </c>
      <c r="C696" s="3" t="str">
        <f aca="false">SUBSTITUTE(Raw_Data!B696,".","")</f>
        <v>management</v>
      </c>
      <c r="D696" s="3" t="str">
        <f aca="false">Raw_Data!C696</f>
        <v>married</v>
      </c>
      <c r="E696" s="3" t="str">
        <f aca="false">Raw_Data!D696</f>
        <v>tertiary</v>
      </c>
      <c r="F696" s="3" t="str">
        <f aca="false">Raw_Data!E696</f>
        <v>no</v>
      </c>
      <c r="G696" s="3" t="n">
        <f aca="false">Raw_Data!F696</f>
        <v>1430</v>
      </c>
      <c r="H696" s="3" t="str">
        <f aca="false">Raw_Data!G696</f>
        <v>no</v>
      </c>
      <c r="I696" s="3" t="str">
        <f aca="false">Raw_Data!H696</f>
        <v>no</v>
      </c>
      <c r="J696" s="2" t="n">
        <f aca="false">IF(F696="yes",1,0)</f>
        <v>0</v>
      </c>
      <c r="K696" s="2" t="n">
        <f aca="false">IF(H696="yes",1,0)</f>
        <v>0</v>
      </c>
      <c r="L696" s="2" t="n">
        <f aca="false">IF(I696="yes",1,0)</f>
        <v>0</v>
      </c>
      <c r="M696" s="2" t="n">
        <f aca="false">IF(G696&lt;0,1,0)</f>
        <v>0</v>
      </c>
      <c r="N696" s="2" t="str">
        <f aca="false">_xlfn.IFS(B696&lt;30,"Under 30",B696&lt;40,"30-39",B696&lt;50,"40-49",B696&lt;60,"50-59",TRUE(),"60+")</f>
        <v>40-49</v>
      </c>
      <c r="O696" s="2" t="str">
        <f aca="false">_xlfn.IFS(G696&lt;0,"1 Negative",G696=0,"2 Zero",G696&lt;=500,"3 1-500",G696&lt;=2000,"4 501-2000",TRUE(),"5 Above 2000")</f>
        <v>4 501-2000</v>
      </c>
      <c r="P696" s="2" t="n">
        <f aca="false">Lookups!$B$2*M696+Lookups!$B$3*L696</f>
        <v>0</v>
      </c>
      <c r="Q696" s="2" t="str">
        <f aca="false">INDEX(Lookups!$E$2:$E$5,MATCH(P696,Lookups!$D$2:$D$5,0))</f>
        <v>Low</v>
      </c>
    </row>
    <row r="697" customFormat="false" ht="15" hidden="false" customHeight="false" outlineLevel="0" collapsed="false">
      <c r="A697" s="3" t="n">
        <v>696</v>
      </c>
      <c r="B697" s="3" t="n">
        <f aca="false">Raw_Data!A697</f>
        <v>51</v>
      </c>
      <c r="C697" s="3" t="str">
        <f aca="false">SUBSTITUTE(Raw_Data!B697,".","")</f>
        <v>retired</v>
      </c>
      <c r="D697" s="3" t="str">
        <f aca="false">Raw_Data!C697</f>
        <v>married</v>
      </c>
      <c r="E697" s="3" t="str">
        <f aca="false">Raw_Data!D697</f>
        <v>secondary</v>
      </c>
      <c r="F697" s="3" t="str">
        <f aca="false">Raw_Data!E697</f>
        <v>no</v>
      </c>
      <c r="G697" s="3" t="n">
        <f aca="false">Raw_Data!F697</f>
        <v>35</v>
      </c>
      <c r="H697" s="3" t="str">
        <f aca="false">Raw_Data!G697</f>
        <v>no</v>
      </c>
      <c r="I697" s="3" t="str">
        <f aca="false">Raw_Data!H697</f>
        <v>yes</v>
      </c>
      <c r="J697" s="2" t="n">
        <f aca="false">IF(F697="yes",1,0)</f>
        <v>0</v>
      </c>
      <c r="K697" s="2" t="n">
        <f aca="false">IF(H697="yes",1,0)</f>
        <v>0</v>
      </c>
      <c r="L697" s="2" t="n">
        <f aca="false">IF(I697="yes",1,0)</f>
        <v>1</v>
      </c>
      <c r="M697" s="2" t="n">
        <f aca="false">IF(G697&lt;0,1,0)</f>
        <v>0</v>
      </c>
      <c r="N697" s="2" t="str">
        <f aca="false">_xlfn.IFS(B697&lt;30,"Under 30",B697&lt;40,"30-39",B697&lt;50,"40-49",B697&lt;60,"50-59",TRUE(),"60+")</f>
        <v>50-59</v>
      </c>
      <c r="O697" s="2" t="str">
        <f aca="false">_xlfn.IFS(G697&lt;0,"1 Negative",G697=0,"2 Zero",G697&lt;=500,"3 1-500",G697&lt;=2000,"4 501-2000",TRUE(),"5 Above 2000")</f>
        <v>3 1-500</v>
      </c>
      <c r="P697" s="2" t="n">
        <f aca="false">Lookups!$B$2*M697+Lookups!$B$3*L697</f>
        <v>1</v>
      </c>
      <c r="Q697" s="2" t="str">
        <f aca="false">INDEX(Lookups!$E$2:$E$5,MATCH(P697,Lookups!$D$2:$D$5,0))</f>
        <v>Medium</v>
      </c>
    </row>
    <row r="698" customFormat="false" ht="15" hidden="false" customHeight="false" outlineLevel="0" collapsed="false">
      <c r="A698" s="3" t="n">
        <v>697</v>
      </c>
      <c r="B698" s="3" t="n">
        <f aca="false">Raw_Data!A698</f>
        <v>41</v>
      </c>
      <c r="C698" s="3" t="str">
        <f aca="false">SUBSTITUTE(Raw_Data!B698,".","")</f>
        <v>self-employed</v>
      </c>
      <c r="D698" s="3" t="str">
        <f aca="false">Raw_Data!C698</f>
        <v>married</v>
      </c>
      <c r="E698" s="3" t="str">
        <f aca="false">Raw_Data!D698</f>
        <v>tertiary</v>
      </c>
      <c r="F698" s="3" t="str">
        <f aca="false">Raw_Data!E698</f>
        <v>no</v>
      </c>
      <c r="G698" s="3" t="n">
        <f aca="false">Raw_Data!F698</f>
        <v>6000</v>
      </c>
      <c r="H698" s="3" t="str">
        <f aca="false">Raw_Data!G698</f>
        <v>yes</v>
      </c>
      <c r="I698" s="3" t="str">
        <f aca="false">Raw_Data!H698</f>
        <v>no</v>
      </c>
      <c r="J698" s="2" t="n">
        <f aca="false">IF(F698="yes",1,0)</f>
        <v>0</v>
      </c>
      <c r="K698" s="2" t="n">
        <f aca="false">IF(H698="yes",1,0)</f>
        <v>1</v>
      </c>
      <c r="L698" s="2" t="n">
        <f aca="false">IF(I698="yes",1,0)</f>
        <v>0</v>
      </c>
      <c r="M698" s="2" t="n">
        <f aca="false">IF(G698&lt;0,1,0)</f>
        <v>0</v>
      </c>
      <c r="N698" s="2" t="str">
        <f aca="false">_xlfn.IFS(B698&lt;30,"Under 30",B698&lt;40,"30-39",B698&lt;50,"40-49",B698&lt;60,"50-59",TRUE(),"60+")</f>
        <v>40-49</v>
      </c>
      <c r="O698" s="2" t="str">
        <f aca="false">_xlfn.IFS(G698&lt;0,"1 Negative",G698=0,"2 Zero",G698&lt;=500,"3 1-500",G698&lt;=2000,"4 501-2000",TRUE(),"5 Above 2000")</f>
        <v>5 Above 2000</v>
      </c>
      <c r="P698" s="2" t="n">
        <f aca="false">Lookups!$B$2*M698+Lookups!$B$3*L698</f>
        <v>0</v>
      </c>
      <c r="Q698" s="2" t="str">
        <f aca="false">INDEX(Lookups!$E$2:$E$5,MATCH(P698,Lookups!$D$2:$D$5,0))</f>
        <v>Low</v>
      </c>
    </row>
    <row r="699" customFormat="false" ht="15" hidden="false" customHeight="false" outlineLevel="0" collapsed="false">
      <c r="A699" s="3" t="n">
        <v>698</v>
      </c>
      <c r="B699" s="3" t="n">
        <f aca="false">Raw_Data!A699</f>
        <v>34</v>
      </c>
      <c r="C699" s="3" t="str">
        <f aca="false">SUBSTITUTE(Raw_Data!B699,".","")</f>
        <v>technician</v>
      </c>
      <c r="D699" s="3" t="str">
        <f aca="false">Raw_Data!C699</f>
        <v>married</v>
      </c>
      <c r="E699" s="3" t="str">
        <f aca="false">Raw_Data!D699</f>
        <v>secondary</v>
      </c>
      <c r="F699" s="3" t="str">
        <f aca="false">Raw_Data!E699</f>
        <v>no</v>
      </c>
      <c r="G699" s="3" t="n">
        <f aca="false">Raw_Data!F699</f>
        <v>0</v>
      </c>
      <c r="H699" s="3" t="str">
        <f aca="false">Raw_Data!G699</f>
        <v>yes</v>
      </c>
      <c r="I699" s="3" t="str">
        <f aca="false">Raw_Data!H699</f>
        <v>no</v>
      </c>
      <c r="J699" s="2" t="n">
        <f aca="false">IF(F699="yes",1,0)</f>
        <v>0</v>
      </c>
      <c r="K699" s="2" t="n">
        <f aca="false">IF(H699="yes",1,0)</f>
        <v>1</v>
      </c>
      <c r="L699" s="2" t="n">
        <f aca="false">IF(I699="yes",1,0)</f>
        <v>0</v>
      </c>
      <c r="M699" s="2" t="n">
        <f aca="false">IF(G699&lt;0,1,0)</f>
        <v>0</v>
      </c>
      <c r="N699" s="2" t="str">
        <f aca="false">_xlfn.IFS(B699&lt;30,"Under 30",B699&lt;40,"30-39",B699&lt;50,"40-49",B699&lt;60,"50-59",TRUE(),"60+")</f>
        <v>30-39</v>
      </c>
      <c r="O699" s="2" t="str">
        <f aca="false">_xlfn.IFS(G699&lt;0,"1 Negative",G699=0,"2 Zero",G699&lt;=500,"3 1-500",G699&lt;=2000,"4 501-2000",TRUE(),"5 Above 2000")</f>
        <v>2 Zero</v>
      </c>
      <c r="P699" s="2" t="n">
        <f aca="false">Lookups!$B$2*M699+Lookups!$B$3*L699</f>
        <v>0</v>
      </c>
      <c r="Q699" s="2" t="str">
        <f aca="false">INDEX(Lookups!$E$2:$E$5,MATCH(P699,Lookups!$D$2:$D$5,0))</f>
        <v>Low</v>
      </c>
    </row>
    <row r="700" customFormat="false" ht="15" hidden="false" customHeight="false" outlineLevel="0" collapsed="false">
      <c r="A700" s="3" t="n">
        <v>699</v>
      </c>
      <c r="B700" s="3" t="n">
        <f aca="false">Raw_Data!A700</f>
        <v>36</v>
      </c>
      <c r="C700" s="3" t="str">
        <f aca="false">SUBSTITUTE(Raw_Data!B700,".","")</f>
        <v>blue-collar</v>
      </c>
      <c r="D700" s="3" t="str">
        <f aca="false">Raw_Data!C700</f>
        <v>single</v>
      </c>
      <c r="E700" s="3" t="str">
        <f aca="false">Raw_Data!D700</f>
        <v>secondary</v>
      </c>
      <c r="F700" s="3" t="str">
        <f aca="false">Raw_Data!E700</f>
        <v>no</v>
      </c>
      <c r="G700" s="3" t="n">
        <f aca="false">Raw_Data!F700</f>
        <v>340</v>
      </c>
      <c r="H700" s="3" t="str">
        <f aca="false">Raw_Data!G700</f>
        <v>no</v>
      </c>
      <c r="I700" s="3" t="str">
        <f aca="false">Raw_Data!H700</f>
        <v>yes</v>
      </c>
      <c r="J700" s="2" t="n">
        <f aca="false">IF(F700="yes",1,0)</f>
        <v>0</v>
      </c>
      <c r="K700" s="2" t="n">
        <f aca="false">IF(H700="yes",1,0)</f>
        <v>0</v>
      </c>
      <c r="L700" s="2" t="n">
        <f aca="false">IF(I700="yes",1,0)</f>
        <v>1</v>
      </c>
      <c r="M700" s="2" t="n">
        <f aca="false">IF(G700&lt;0,1,0)</f>
        <v>0</v>
      </c>
      <c r="N700" s="2" t="str">
        <f aca="false">_xlfn.IFS(B700&lt;30,"Under 30",B700&lt;40,"30-39",B700&lt;50,"40-49",B700&lt;60,"50-59",TRUE(),"60+")</f>
        <v>30-39</v>
      </c>
      <c r="O700" s="2" t="str">
        <f aca="false">_xlfn.IFS(G700&lt;0,"1 Negative",G700=0,"2 Zero",G700&lt;=500,"3 1-500",G700&lt;=2000,"4 501-2000",TRUE(),"5 Above 2000")</f>
        <v>3 1-500</v>
      </c>
      <c r="P700" s="2" t="n">
        <f aca="false">Lookups!$B$2*M700+Lookups!$B$3*L700</f>
        <v>1</v>
      </c>
      <c r="Q700" s="2" t="str">
        <f aca="false">INDEX(Lookups!$E$2:$E$5,MATCH(P700,Lookups!$D$2:$D$5,0))</f>
        <v>Medium</v>
      </c>
    </row>
    <row r="701" customFormat="false" ht="15" hidden="false" customHeight="false" outlineLevel="0" collapsed="false">
      <c r="A701" s="3" t="n">
        <v>700</v>
      </c>
      <c r="B701" s="3" t="n">
        <f aca="false">Raw_Data!A701</f>
        <v>35</v>
      </c>
      <c r="C701" s="3" t="str">
        <f aca="false">SUBSTITUTE(Raw_Data!B701,".","")</f>
        <v>entrepreneur</v>
      </c>
      <c r="D701" s="3" t="str">
        <f aca="false">Raw_Data!C701</f>
        <v>married</v>
      </c>
      <c r="E701" s="3" t="str">
        <f aca="false">Raw_Data!D701</f>
        <v>tertiary</v>
      </c>
      <c r="F701" s="3" t="str">
        <f aca="false">Raw_Data!E701</f>
        <v>no</v>
      </c>
      <c r="G701" s="3" t="n">
        <f aca="false">Raw_Data!F701</f>
        <v>0</v>
      </c>
      <c r="H701" s="3" t="str">
        <f aca="false">Raw_Data!G701</f>
        <v>no</v>
      </c>
      <c r="I701" s="3" t="str">
        <f aca="false">Raw_Data!H701</f>
        <v>no</v>
      </c>
      <c r="J701" s="2" t="n">
        <f aca="false">IF(F701="yes",1,0)</f>
        <v>0</v>
      </c>
      <c r="K701" s="2" t="n">
        <f aca="false">IF(H701="yes",1,0)</f>
        <v>0</v>
      </c>
      <c r="L701" s="2" t="n">
        <f aca="false">IF(I701="yes",1,0)</f>
        <v>0</v>
      </c>
      <c r="M701" s="2" t="n">
        <f aca="false">IF(G701&lt;0,1,0)</f>
        <v>0</v>
      </c>
      <c r="N701" s="2" t="str">
        <f aca="false">_xlfn.IFS(B701&lt;30,"Under 30",B701&lt;40,"30-39",B701&lt;50,"40-49",B701&lt;60,"50-59",TRUE(),"60+")</f>
        <v>30-39</v>
      </c>
      <c r="O701" s="2" t="str">
        <f aca="false">_xlfn.IFS(G701&lt;0,"1 Negative",G701=0,"2 Zero",G701&lt;=500,"3 1-500",G701&lt;=2000,"4 501-2000",TRUE(),"5 Above 2000")</f>
        <v>2 Zero</v>
      </c>
      <c r="P701" s="2" t="n">
        <f aca="false">Lookups!$B$2*M701+Lookups!$B$3*L701</f>
        <v>0</v>
      </c>
      <c r="Q701" s="2" t="str">
        <f aca="false">INDEX(Lookups!$E$2:$E$5,MATCH(P701,Lookups!$D$2:$D$5,0))</f>
        <v>Low</v>
      </c>
    </row>
    <row r="702" customFormat="false" ht="15" hidden="false" customHeight="false" outlineLevel="0" collapsed="false">
      <c r="A702" s="3" t="n">
        <v>701</v>
      </c>
      <c r="B702" s="3" t="n">
        <f aca="false">Raw_Data!A702</f>
        <v>29</v>
      </c>
      <c r="C702" s="3" t="str">
        <f aca="false">SUBSTITUTE(Raw_Data!B702,".","")</f>
        <v>services</v>
      </c>
      <c r="D702" s="3" t="str">
        <f aca="false">Raw_Data!C702</f>
        <v>married</v>
      </c>
      <c r="E702" s="3" t="str">
        <f aca="false">Raw_Data!D702</f>
        <v>secondary</v>
      </c>
      <c r="F702" s="3" t="str">
        <f aca="false">Raw_Data!E702</f>
        <v>no</v>
      </c>
      <c r="G702" s="3" t="n">
        <f aca="false">Raw_Data!F702</f>
        <v>3</v>
      </c>
      <c r="H702" s="3" t="str">
        <f aca="false">Raw_Data!G702</f>
        <v>yes</v>
      </c>
      <c r="I702" s="3" t="str">
        <f aca="false">Raw_Data!H702</f>
        <v>no</v>
      </c>
      <c r="J702" s="2" t="n">
        <f aca="false">IF(F702="yes",1,0)</f>
        <v>0</v>
      </c>
      <c r="K702" s="2" t="n">
        <f aca="false">IF(H702="yes",1,0)</f>
        <v>1</v>
      </c>
      <c r="L702" s="2" t="n">
        <f aca="false">IF(I702="yes",1,0)</f>
        <v>0</v>
      </c>
      <c r="M702" s="2" t="n">
        <f aca="false">IF(G702&lt;0,1,0)</f>
        <v>0</v>
      </c>
      <c r="N702" s="2" t="str">
        <f aca="false">_xlfn.IFS(B702&lt;30,"Under 30",B702&lt;40,"30-39",B702&lt;50,"40-49",B702&lt;60,"50-59",TRUE(),"60+")</f>
        <v>Under 30</v>
      </c>
      <c r="O702" s="2" t="str">
        <f aca="false">_xlfn.IFS(G702&lt;0,"1 Negative",G702=0,"2 Zero",G702&lt;=500,"3 1-500",G702&lt;=2000,"4 501-2000",TRUE(),"5 Above 2000")</f>
        <v>3 1-500</v>
      </c>
      <c r="P702" s="2" t="n">
        <f aca="false">Lookups!$B$2*M702+Lookups!$B$3*L702</f>
        <v>0</v>
      </c>
      <c r="Q702" s="2" t="str">
        <f aca="false">INDEX(Lookups!$E$2:$E$5,MATCH(P702,Lookups!$D$2:$D$5,0))</f>
        <v>Low</v>
      </c>
    </row>
    <row r="703" customFormat="false" ht="15" hidden="false" customHeight="false" outlineLevel="0" collapsed="false">
      <c r="A703" s="3" t="n">
        <v>702</v>
      </c>
      <c r="B703" s="3" t="n">
        <f aca="false">Raw_Data!A703</f>
        <v>40</v>
      </c>
      <c r="C703" s="3" t="str">
        <f aca="false">SUBSTITUTE(Raw_Data!B703,".","")</f>
        <v>technician</v>
      </c>
      <c r="D703" s="3" t="str">
        <f aca="false">Raw_Data!C703</f>
        <v>single</v>
      </c>
      <c r="E703" s="3" t="str">
        <f aca="false">Raw_Data!D703</f>
        <v>tertiary</v>
      </c>
      <c r="F703" s="3" t="str">
        <f aca="false">Raw_Data!E703</f>
        <v>no</v>
      </c>
      <c r="G703" s="3" t="n">
        <f aca="false">Raw_Data!F703</f>
        <v>445</v>
      </c>
      <c r="H703" s="3" t="str">
        <f aca="false">Raw_Data!G703</f>
        <v>yes</v>
      </c>
      <c r="I703" s="3" t="str">
        <f aca="false">Raw_Data!H703</f>
        <v>no</v>
      </c>
      <c r="J703" s="2" t="n">
        <f aca="false">IF(F703="yes",1,0)</f>
        <v>0</v>
      </c>
      <c r="K703" s="2" t="n">
        <f aca="false">IF(H703="yes",1,0)</f>
        <v>1</v>
      </c>
      <c r="L703" s="2" t="n">
        <f aca="false">IF(I703="yes",1,0)</f>
        <v>0</v>
      </c>
      <c r="M703" s="2" t="n">
        <f aca="false">IF(G703&lt;0,1,0)</f>
        <v>0</v>
      </c>
      <c r="N703" s="2" t="str">
        <f aca="false">_xlfn.IFS(B703&lt;30,"Under 30",B703&lt;40,"30-39",B703&lt;50,"40-49",B703&lt;60,"50-59",TRUE(),"60+")</f>
        <v>40-49</v>
      </c>
      <c r="O703" s="2" t="str">
        <f aca="false">_xlfn.IFS(G703&lt;0,"1 Negative",G703=0,"2 Zero",G703&lt;=500,"3 1-500",G703&lt;=2000,"4 501-2000",TRUE(),"5 Above 2000")</f>
        <v>3 1-500</v>
      </c>
      <c r="P703" s="2" t="n">
        <f aca="false">Lookups!$B$2*M703+Lookups!$B$3*L703</f>
        <v>0</v>
      </c>
      <c r="Q703" s="2" t="str">
        <f aca="false">INDEX(Lookups!$E$2:$E$5,MATCH(P703,Lookups!$D$2:$D$5,0))</f>
        <v>Low</v>
      </c>
    </row>
    <row r="704" customFormat="false" ht="15" hidden="false" customHeight="false" outlineLevel="0" collapsed="false">
      <c r="A704" s="3" t="n">
        <v>703</v>
      </c>
      <c r="B704" s="3" t="n">
        <f aca="false">Raw_Data!A704</f>
        <v>32</v>
      </c>
      <c r="C704" s="3" t="str">
        <f aca="false">SUBSTITUTE(Raw_Data!B704,".","")</f>
        <v>management</v>
      </c>
      <c r="D704" s="3" t="str">
        <f aca="false">Raw_Data!C704</f>
        <v>divorced</v>
      </c>
      <c r="E704" s="3" t="str">
        <f aca="false">Raw_Data!D704</f>
        <v>tertiary</v>
      </c>
      <c r="F704" s="3" t="str">
        <f aca="false">Raw_Data!E704</f>
        <v>no</v>
      </c>
      <c r="G704" s="3" t="n">
        <f aca="false">Raw_Data!F704</f>
        <v>874</v>
      </c>
      <c r="H704" s="3" t="str">
        <f aca="false">Raw_Data!G704</f>
        <v>no</v>
      </c>
      <c r="I704" s="3" t="str">
        <f aca="false">Raw_Data!H704</f>
        <v>no</v>
      </c>
      <c r="J704" s="2" t="n">
        <f aca="false">IF(F704="yes",1,0)</f>
        <v>0</v>
      </c>
      <c r="K704" s="2" t="n">
        <f aca="false">IF(H704="yes",1,0)</f>
        <v>0</v>
      </c>
      <c r="L704" s="2" t="n">
        <f aca="false">IF(I704="yes",1,0)</f>
        <v>0</v>
      </c>
      <c r="M704" s="2" t="n">
        <f aca="false">IF(G704&lt;0,1,0)</f>
        <v>0</v>
      </c>
      <c r="N704" s="2" t="str">
        <f aca="false">_xlfn.IFS(B704&lt;30,"Under 30",B704&lt;40,"30-39",B704&lt;50,"40-49",B704&lt;60,"50-59",TRUE(),"60+")</f>
        <v>30-39</v>
      </c>
      <c r="O704" s="2" t="str">
        <f aca="false">_xlfn.IFS(G704&lt;0,"1 Negative",G704=0,"2 Zero",G704&lt;=500,"3 1-500",G704&lt;=2000,"4 501-2000",TRUE(),"5 Above 2000")</f>
        <v>4 501-2000</v>
      </c>
      <c r="P704" s="2" t="n">
        <f aca="false">Lookups!$B$2*M704+Lookups!$B$3*L704</f>
        <v>0</v>
      </c>
      <c r="Q704" s="2" t="str">
        <f aca="false">INDEX(Lookups!$E$2:$E$5,MATCH(P704,Lookups!$D$2:$D$5,0))</f>
        <v>Low</v>
      </c>
    </row>
    <row r="705" customFormat="false" ht="15" hidden="false" customHeight="false" outlineLevel="0" collapsed="false">
      <c r="A705" s="3" t="n">
        <v>704</v>
      </c>
      <c r="B705" s="3" t="n">
        <f aca="false">Raw_Data!A705</f>
        <v>48</v>
      </c>
      <c r="C705" s="3" t="str">
        <f aca="false">SUBSTITUTE(Raw_Data!B705,".","")</f>
        <v>blue-collar</v>
      </c>
      <c r="D705" s="3" t="str">
        <f aca="false">Raw_Data!C705</f>
        <v>married</v>
      </c>
      <c r="E705" s="3" t="str">
        <f aca="false">Raw_Data!D705</f>
        <v>secondary</v>
      </c>
      <c r="F705" s="3" t="str">
        <f aca="false">Raw_Data!E705</f>
        <v>no</v>
      </c>
      <c r="G705" s="3" t="n">
        <f aca="false">Raw_Data!F705</f>
        <v>705</v>
      </c>
      <c r="H705" s="3" t="str">
        <f aca="false">Raw_Data!G705</f>
        <v>no</v>
      </c>
      <c r="I705" s="3" t="str">
        <f aca="false">Raw_Data!H705</f>
        <v>no</v>
      </c>
      <c r="J705" s="2" t="n">
        <f aca="false">IF(F705="yes",1,0)</f>
        <v>0</v>
      </c>
      <c r="K705" s="2" t="n">
        <f aca="false">IF(H705="yes",1,0)</f>
        <v>0</v>
      </c>
      <c r="L705" s="2" t="n">
        <f aca="false">IF(I705="yes",1,0)</f>
        <v>0</v>
      </c>
      <c r="M705" s="2" t="n">
        <f aca="false">IF(G705&lt;0,1,0)</f>
        <v>0</v>
      </c>
      <c r="N705" s="2" t="str">
        <f aca="false">_xlfn.IFS(B705&lt;30,"Under 30",B705&lt;40,"30-39",B705&lt;50,"40-49",B705&lt;60,"50-59",TRUE(),"60+")</f>
        <v>40-49</v>
      </c>
      <c r="O705" s="2" t="str">
        <f aca="false">_xlfn.IFS(G705&lt;0,"1 Negative",G705=0,"2 Zero",G705&lt;=500,"3 1-500",G705&lt;=2000,"4 501-2000",TRUE(),"5 Above 2000")</f>
        <v>4 501-2000</v>
      </c>
      <c r="P705" s="2" t="n">
        <f aca="false">Lookups!$B$2*M705+Lookups!$B$3*L705</f>
        <v>0</v>
      </c>
      <c r="Q705" s="2" t="str">
        <f aca="false">INDEX(Lookups!$E$2:$E$5,MATCH(P705,Lookups!$D$2:$D$5,0))</f>
        <v>Low</v>
      </c>
    </row>
    <row r="706" customFormat="false" ht="15" hidden="false" customHeight="false" outlineLevel="0" collapsed="false">
      <c r="A706" s="3" t="n">
        <v>705</v>
      </c>
      <c r="B706" s="3" t="n">
        <f aca="false">Raw_Data!A706</f>
        <v>59</v>
      </c>
      <c r="C706" s="3" t="str">
        <f aca="false">SUBSTITUTE(Raw_Data!B706,".","")</f>
        <v>retired</v>
      </c>
      <c r="D706" s="3" t="str">
        <f aca="false">Raw_Data!C706</f>
        <v>married</v>
      </c>
      <c r="E706" s="3" t="str">
        <f aca="false">Raw_Data!D706</f>
        <v>unknown</v>
      </c>
      <c r="F706" s="3" t="str">
        <f aca="false">Raw_Data!E706</f>
        <v>no</v>
      </c>
      <c r="G706" s="3" t="n">
        <f aca="false">Raw_Data!F706</f>
        <v>1033</v>
      </c>
      <c r="H706" s="3" t="str">
        <f aca="false">Raw_Data!G706</f>
        <v>no</v>
      </c>
      <c r="I706" s="3" t="str">
        <f aca="false">Raw_Data!H706</f>
        <v>no</v>
      </c>
      <c r="J706" s="2" t="n">
        <f aca="false">IF(F706="yes",1,0)</f>
        <v>0</v>
      </c>
      <c r="K706" s="2" t="n">
        <f aca="false">IF(H706="yes",1,0)</f>
        <v>0</v>
      </c>
      <c r="L706" s="2" t="n">
        <f aca="false">IF(I706="yes",1,0)</f>
        <v>0</v>
      </c>
      <c r="M706" s="2" t="n">
        <f aca="false">IF(G706&lt;0,1,0)</f>
        <v>0</v>
      </c>
      <c r="N706" s="2" t="str">
        <f aca="false">_xlfn.IFS(B706&lt;30,"Under 30",B706&lt;40,"30-39",B706&lt;50,"40-49",B706&lt;60,"50-59",TRUE(),"60+")</f>
        <v>50-59</v>
      </c>
      <c r="O706" s="2" t="str">
        <f aca="false">_xlfn.IFS(G706&lt;0,"1 Negative",G706=0,"2 Zero",G706&lt;=500,"3 1-500",G706&lt;=2000,"4 501-2000",TRUE(),"5 Above 2000")</f>
        <v>4 501-2000</v>
      </c>
      <c r="P706" s="2" t="n">
        <f aca="false">Lookups!$B$2*M706+Lookups!$B$3*L706</f>
        <v>0</v>
      </c>
      <c r="Q706" s="2" t="str">
        <f aca="false">INDEX(Lookups!$E$2:$E$5,MATCH(P706,Lookups!$D$2:$D$5,0))</f>
        <v>Low</v>
      </c>
    </row>
    <row r="707" customFormat="false" ht="15" hidden="false" customHeight="false" outlineLevel="0" collapsed="false">
      <c r="A707" s="3" t="n">
        <v>706</v>
      </c>
      <c r="B707" s="3" t="n">
        <f aca="false">Raw_Data!A707</f>
        <v>35</v>
      </c>
      <c r="C707" s="3" t="str">
        <f aca="false">SUBSTITUTE(Raw_Data!B707,".","")</f>
        <v>self-employed</v>
      </c>
      <c r="D707" s="3" t="str">
        <f aca="false">Raw_Data!C707</f>
        <v>divorced</v>
      </c>
      <c r="E707" s="3" t="str">
        <f aca="false">Raw_Data!D707</f>
        <v>tertiary</v>
      </c>
      <c r="F707" s="3" t="str">
        <f aca="false">Raw_Data!E707</f>
        <v>no</v>
      </c>
      <c r="G707" s="3" t="n">
        <f aca="false">Raw_Data!F707</f>
        <v>1354</v>
      </c>
      <c r="H707" s="3" t="str">
        <f aca="false">Raw_Data!G707</f>
        <v>yes</v>
      </c>
      <c r="I707" s="3" t="str">
        <f aca="false">Raw_Data!H707</f>
        <v>no</v>
      </c>
      <c r="J707" s="2" t="n">
        <f aca="false">IF(F707="yes",1,0)</f>
        <v>0</v>
      </c>
      <c r="K707" s="2" t="n">
        <f aca="false">IF(H707="yes",1,0)</f>
        <v>1</v>
      </c>
      <c r="L707" s="2" t="n">
        <f aca="false">IF(I707="yes",1,0)</f>
        <v>0</v>
      </c>
      <c r="M707" s="2" t="n">
        <f aca="false">IF(G707&lt;0,1,0)</f>
        <v>0</v>
      </c>
      <c r="N707" s="2" t="str">
        <f aca="false">_xlfn.IFS(B707&lt;30,"Under 30",B707&lt;40,"30-39",B707&lt;50,"40-49",B707&lt;60,"50-59",TRUE(),"60+")</f>
        <v>30-39</v>
      </c>
      <c r="O707" s="2" t="str">
        <f aca="false">_xlfn.IFS(G707&lt;0,"1 Negative",G707=0,"2 Zero",G707&lt;=500,"3 1-500",G707&lt;=2000,"4 501-2000",TRUE(),"5 Above 2000")</f>
        <v>4 501-2000</v>
      </c>
      <c r="P707" s="2" t="n">
        <f aca="false">Lookups!$B$2*M707+Lookups!$B$3*L707</f>
        <v>0</v>
      </c>
      <c r="Q707" s="2" t="str">
        <f aca="false">INDEX(Lookups!$E$2:$E$5,MATCH(P707,Lookups!$D$2:$D$5,0))</f>
        <v>Low</v>
      </c>
    </row>
    <row r="708" customFormat="false" ht="15" hidden="false" customHeight="false" outlineLevel="0" collapsed="false">
      <c r="A708" s="3" t="n">
        <v>707</v>
      </c>
      <c r="B708" s="3" t="n">
        <f aca="false">Raw_Data!A708</f>
        <v>33</v>
      </c>
      <c r="C708" s="3" t="str">
        <f aca="false">SUBSTITUTE(Raw_Data!B708,".","")</f>
        <v>technician</v>
      </c>
      <c r="D708" s="3" t="str">
        <f aca="false">Raw_Data!C708</f>
        <v>single</v>
      </c>
      <c r="E708" s="3" t="str">
        <f aca="false">Raw_Data!D708</f>
        <v>tertiary</v>
      </c>
      <c r="F708" s="3" t="str">
        <f aca="false">Raw_Data!E708</f>
        <v>no</v>
      </c>
      <c r="G708" s="3" t="n">
        <f aca="false">Raw_Data!F708</f>
        <v>123</v>
      </c>
      <c r="H708" s="3" t="str">
        <f aca="false">Raw_Data!G708</f>
        <v>no</v>
      </c>
      <c r="I708" s="3" t="str">
        <f aca="false">Raw_Data!H708</f>
        <v>no</v>
      </c>
      <c r="J708" s="2" t="n">
        <f aca="false">IF(F708="yes",1,0)</f>
        <v>0</v>
      </c>
      <c r="K708" s="2" t="n">
        <f aca="false">IF(H708="yes",1,0)</f>
        <v>0</v>
      </c>
      <c r="L708" s="2" t="n">
        <f aca="false">IF(I708="yes",1,0)</f>
        <v>0</v>
      </c>
      <c r="M708" s="2" t="n">
        <f aca="false">IF(G708&lt;0,1,0)</f>
        <v>0</v>
      </c>
      <c r="N708" s="2" t="str">
        <f aca="false">_xlfn.IFS(B708&lt;30,"Under 30",B708&lt;40,"30-39",B708&lt;50,"40-49",B708&lt;60,"50-59",TRUE(),"60+")</f>
        <v>30-39</v>
      </c>
      <c r="O708" s="2" t="str">
        <f aca="false">_xlfn.IFS(G708&lt;0,"1 Negative",G708=0,"2 Zero",G708&lt;=500,"3 1-500",G708&lt;=2000,"4 501-2000",TRUE(),"5 Above 2000")</f>
        <v>3 1-500</v>
      </c>
      <c r="P708" s="2" t="n">
        <f aca="false">Lookups!$B$2*M708+Lookups!$B$3*L708</f>
        <v>0</v>
      </c>
      <c r="Q708" s="2" t="str">
        <f aca="false">INDEX(Lookups!$E$2:$E$5,MATCH(P708,Lookups!$D$2:$D$5,0))</f>
        <v>Low</v>
      </c>
    </row>
    <row r="709" customFormat="false" ht="15" hidden="false" customHeight="false" outlineLevel="0" collapsed="false">
      <c r="A709" s="3" t="n">
        <v>708</v>
      </c>
      <c r="B709" s="3" t="n">
        <f aca="false">Raw_Data!A709</f>
        <v>55</v>
      </c>
      <c r="C709" s="3" t="str">
        <f aca="false">SUBSTITUTE(Raw_Data!B709,".","")</f>
        <v>retired</v>
      </c>
      <c r="D709" s="3" t="str">
        <f aca="false">Raw_Data!C709</f>
        <v>married</v>
      </c>
      <c r="E709" s="3" t="str">
        <f aca="false">Raw_Data!D709</f>
        <v>primary</v>
      </c>
      <c r="F709" s="3" t="str">
        <f aca="false">Raw_Data!E709</f>
        <v>no</v>
      </c>
      <c r="G709" s="3" t="n">
        <f aca="false">Raw_Data!F709</f>
        <v>8894</v>
      </c>
      <c r="H709" s="3" t="str">
        <f aca="false">Raw_Data!G709</f>
        <v>no</v>
      </c>
      <c r="I709" s="3" t="str">
        <f aca="false">Raw_Data!H709</f>
        <v>no</v>
      </c>
      <c r="J709" s="2" t="n">
        <f aca="false">IF(F709="yes",1,0)</f>
        <v>0</v>
      </c>
      <c r="K709" s="2" t="n">
        <f aca="false">IF(H709="yes",1,0)</f>
        <v>0</v>
      </c>
      <c r="L709" s="2" t="n">
        <f aca="false">IF(I709="yes",1,0)</f>
        <v>0</v>
      </c>
      <c r="M709" s="2" t="n">
        <f aca="false">IF(G709&lt;0,1,0)</f>
        <v>0</v>
      </c>
      <c r="N709" s="2" t="str">
        <f aca="false">_xlfn.IFS(B709&lt;30,"Under 30",B709&lt;40,"30-39",B709&lt;50,"40-49",B709&lt;60,"50-59",TRUE(),"60+")</f>
        <v>50-59</v>
      </c>
      <c r="O709" s="2" t="str">
        <f aca="false">_xlfn.IFS(G709&lt;0,"1 Negative",G709=0,"2 Zero",G709&lt;=500,"3 1-500",G709&lt;=2000,"4 501-2000",TRUE(),"5 Above 2000")</f>
        <v>5 Above 2000</v>
      </c>
      <c r="P709" s="2" t="n">
        <f aca="false">Lookups!$B$2*M709+Lookups!$B$3*L709</f>
        <v>0</v>
      </c>
      <c r="Q709" s="2" t="str">
        <f aca="false">INDEX(Lookups!$E$2:$E$5,MATCH(P709,Lookups!$D$2:$D$5,0))</f>
        <v>Low</v>
      </c>
    </row>
    <row r="710" customFormat="false" ht="15" hidden="false" customHeight="false" outlineLevel="0" collapsed="false">
      <c r="A710" s="3" t="n">
        <v>709</v>
      </c>
      <c r="B710" s="3" t="n">
        <f aca="false">Raw_Data!A710</f>
        <v>41</v>
      </c>
      <c r="C710" s="3" t="str">
        <f aca="false">SUBSTITUTE(Raw_Data!B710,".","")</f>
        <v>blue-collar</v>
      </c>
      <c r="D710" s="3" t="str">
        <f aca="false">Raw_Data!C710</f>
        <v>married</v>
      </c>
      <c r="E710" s="3" t="str">
        <f aca="false">Raw_Data!D710</f>
        <v>secondary</v>
      </c>
      <c r="F710" s="3" t="str">
        <f aca="false">Raw_Data!E710</f>
        <v>no</v>
      </c>
      <c r="G710" s="3" t="n">
        <f aca="false">Raw_Data!F710</f>
        <v>429</v>
      </c>
      <c r="H710" s="3" t="str">
        <f aca="false">Raw_Data!G710</f>
        <v>yes</v>
      </c>
      <c r="I710" s="3" t="str">
        <f aca="false">Raw_Data!H710</f>
        <v>no</v>
      </c>
      <c r="J710" s="2" t="n">
        <f aca="false">IF(F710="yes",1,0)</f>
        <v>0</v>
      </c>
      <c r="K710" s="2" t="n">
        <f aca="false">IF(H710="yes",1,0)</f>
        <v>1</v>
      </c>
      <c r="L710" s="2" t="n">
        <f aca="false">IF(I710="yes",1,0)</f>
        <v>0</v>
      </c>
      <c r="M710" s="2" t="n">
        <f aca="false">IF(G710&lt;0,1,0)</f>
        <v>0</v>
      </c>
      <c r="N710" s="2" t="str">
        <f aca="false">_xlfn.IFS(B710&lt;30,"Under 30",B710&lt;40,"30-39",B710&lt;50,"40-49",B710&lt;60,"50-59",TRUE(),"60+")</f>
        <v>40-49</v>
      </c>
      <c r="O710" s="2" t="str">
        <f aca="false">_xlfn.IFS(G710&lt;0,"1 Negative",G710=0,"2 Zero",G710&lt;=500,"3 1-500",G710&lt;=2000,"4 501-2000",TRUE(),"5 Above 2000")</f>
        <v>3 1-500</v>
      </c>
      <c r="P710" s="2" t="n">
        <f aca="false">Lookups!$B$2*M710+Lookups!$B$3*L710</f>
        <v>0</v>
      </c>
      <c r="Q710" s="2" t="str">
        <f aca="false">INDEX(Lookups!$E$2:$E$5,MATCH(P710,Lookups!$D$2:$D$5,0))</f>
        <v>Low</v>
      </c>
    </row>
    <row r="711" customFormat="false" ht="15" hidden="false" customHeight="false" outlineLevel="0" collapsed="false">
      <c r="A711" s="3" t="n">
        <v>710</v>
      </c>
      <c r="B711" s="3" t="n">
        <f aca="false">Raw_Data!A711</f>
        <v>42</v>
      </c>
      <c r="C711" s="3" t="str">
        <f aca="false">SUBSTITUTE(Raw_Data!B711,".","")</f>
        <v>housemaid</v>
      </c>
      <c r="D711" s="3" t="str">
        <f aca="false">Raw_Data!C711</f>
        <v>married</v>
      </c>
      <c r="E711" s="3" t="str">
        <f aca="false">Raw_Data!D711</f>
        <v>primary</v>
      </c>
      <c r="F711" s="3" t="str">
        <f aca="false">Raw_Data!E711</f>
        <v>no</v>
      </c>
      <c r="G711" s="3" t="n">
        <f aca="false">Raw_Data!F711</f>
        <v>14752</v>
      </c>
      <c r="H711" s="3" t="str">
        <f aca="false">Raw_Data!G711</f>
        <v>no</v>
      </c>
      <c r="I711" s="3" t="str">
        <f aca="false">Raw_Data!H711</f>
        <v>no</v>
      </c>
      <c r="J711" s="2" t="n">
        <f aca="false">IF(F711="yes",1,0)</f>
        <v>0</v>
      </c>
      <c r="K711" s="2" t="n">
        <f aca="false">IF(H711="yes",1,0)</f>
        <v>0</v>
      </c>
      <c r="L711" s="2" t="n">
        <f aca="false">IF(I711="yes",1,0)</f>
        <v>0</v>
      </c>
      <c r="M711" s="2" t="n">
        <f aca="false">IF(G711&lt;0,1,0)</f>
        <v>0</v>
      </c>
      <c r="N711" s="2" t="str">
        <f aca="false">_xlfn.IFS(B711&lt;30,"Under 30",B711&lt;40,"30-39",B711&lt;50,"40-49",B711&lt;60,"50-59",TRUE(),"60+")</f>
        <v>40-49</v>
      </c>
      <c r="O711" s="2" t="str">
        <f aca="false">_xlfn.IFS(G711&lt;0,"1 Negative",G711=0,"2 Zero",G711&lt;=500,"3 1-500",G711&lt;=2000,"4 501-2000",TRUE(),"5 Above 2000")</f>
        <v>5 Above 2000</v>
      </c>
      <c r="P711" s="2" t="n">
        <f aca="false">Lookups!$B$2*M711+Lookups!$B$3*L711</f>
        <v>0</v>
      </c>
      <c r="Q711" s="2" t="str">
        <f aca="false">INDEX(Lookups!$E$2:$E$5,MATCH(P711,Lookups!$D$2:$D$5,0))</f>
        <v>Low</v>
      </c>
    </row>
    <row r="712" customFormat="false" ht="15" hidden="false" customHeight="false" outlineLevel="0" collapsed="false">
      <c r="A712" s="3" t="n">
        <v>711</v>
      </c>
      <c r="B712" s="3" t="n">
        <f aca="false">Raw_Data!A712</f>
        <v>46</v>
      </c>
      <c r="C712" s="3" t="str">
        <f aca="false">SUBSTITUTE(Raw_Data!B712,".","")</f>
        <v>blue-collar</v>
      </c>
      <c r="D712" s="3" t="str">
        <f aca="false">Raw_Data!C712</f>
        <v>married</v>
      </c>
      <c r="E712" s="3" t="str">
        <f aca="false">Raw_Data!D712</f>
        <v>primary</v>
      </c>
      <c r="F712" s="3" t="str">
        <f aca="false">Raw_Data!E712</f>
        <v>no</v>
      </c>
      <c r="G712" s="3" t="n">
        <f aca="false">Raw_Data!F712</f>
        <v>67</v>
      </c>
      <c r="H712" s="3" t="str">
        <f aca="false">Raw_Data!G712</f>
        <v>no</v>
      </c>
      <c r="I712" s="3" t="str">
        <f aca="false">Raw_Data!H712</f>
        <v>no</v>
      </c>
      <c r="J712" s="2" t="n">
        <f aca="false">IF(F712="yes",1,0)</f>
        <v>0</v>
      </c>
      <c r="K712" s="2" t="n">
        <f aca="false">IF(H712="yes",1,0)</f>
        <v>0</v>
      </c>
      <c r="L712" s="2" t="n">
        <f aca="false">IF(I712="yes",1,0)</f>
        <v>0</v>
      </c>
      <c r="M712" s="2" t="n">
        <f aca="false">IF(G712&lt;0,1,0)</f>
        <v>0</v>
      </c>
      <c r="N712" s="2" t="str">
        <f aca="false">_xlfn.IFS(B712&lt;30,"Under 30",B712&lt;40,"30-39",B712&lt;50,"40-49",B712&lt;60,"50-59",TRUE(),"60+")</f>
        <v>40-49</v>
      </c>
      <c r="O712" s="2" t="str">
        <f aca="false">_xlfn.IFS(G712&lt;0,"1 Negative",G712=0,"2 Zero",G712&lt;=500,"3 1-500",G712&lt;=2000,"4 501-2000",TRUE(),"5 Above 2000")</f>
        <v>3 1-500</v>
      </c>
      <c r="P712" s="2" t="n">
        <f aca="false">Lookups!$B$2*M712+Lookups!$B$3*L712</f>
        <v>0</v>
      </c>
      <c r="Q712" s="2" t="str">
        <f aca="false">INDEX(Lookups!$E$2:$E$5,MATCH(P712,Lookups!$D$2:$D$5,0))</f>
        <v>Low</v>
      </c>
    </row>
    <row r="713" customFormat="false" ht="15" hidden="false" customHeight="false" outlineLevel="0" collapsed="false">
      <c r="A713" s="3" t="n">
        <v>712</v>
      </c>
      <c r="B713" s="3" t="n">
        <f aca="false">Raw_Data!A713</f>
        <v>35</v>
      </c>
      <c r="C713" s="3" t="str">
        <f aca="false">SUBSTITUTE(Raw_Data!B713,".","")</f>
        <v>housemaid</v>
      </c>
      <c r="D713" s="3" t="str">
        <f aca="false">Raw_Data!C713</f>
        <v>divorced</v>
      </c>
      <c r="E713" s="3" t="str">
        <f aca="false">Raw_Data!D713</f>
        <v>secondary</v>
      </c>
      <c r="F713" s="3" t="str">
        <f aca="false">Raw_Data!E713</f>
        <v>no</v>
      </c>
      <c r="G713" s="3" t="n">
        <f aca="false">Raw_Data!F713</f>
        <v>39</v>
      </c>
      <c r="H713" s="3" t="str">
        <f aca="false">Raw_Data!G713</f>
        <v>no</v>
      </c>
      <c r="I713" s="3" t="str">
        <f aca="false">Raw_Data!H713</f>
        <v>no</v>
      </c>
      <c r="J713" s="2" t="n">
        <f aca="false">IF(F713="yes",1,0)</f>
        <v>0</v>
      </c>
      <c r="K713" s="2" t="n">
        <f aca="false">IF(H713="yes",1,0)</f>
        <v>0</v>
      </c>
      <c r="L713" s="2" t="n">
        <f aca="false">IF(I713="yes",1,0)</f>
        <v>0</v>
      </c>
      <c r="M713" s="2" t="n">
        <f aca="false">IF(G713&lt;0,1,0)</f>
        <v>0</v>
      </c>
      <c r="N713" s="2" t="str">
        <f aca="false">_xlfn.IFS(B713&lt;30,"Under 30",B713&lt;40,"30-39",B713&lt;50,"40-49",B713&lt;60,"50-59",TRUE(),"60+")</f>
        <v>30-39</v>
      </c>
      <c r="O713" s="2" t="str">
        <f aca="false">_xlfn.IFS(G713&lt;0,"1 Negative",G713=0,"2 Zero",G713&lt;=500,"3 1-500",G713&lt;=2000,"4 501-2000",TRUE(),"5 Above 2000")</f>
        <v>3 1-500</v>
      </c>
      <c r="P713" s="2" t="n">
        <f aca="false">Lookups!$B$2*M713+Lookups!$B$3*L713</f>
        <v>0</v>
      </c>
      <c r="Q713" s="2" t="str">
        <f aca="false">INDEX(Lookups!$E$2:$E$5,MATCH(P713,Lookups!$D$2:$D$5,0))</f>
        <v>Low</v>
      </c>
    </row>
    <row r="714" customFormat="false" ht="15" hidden="false" customHeight="false" outlineLevel="0" collapsed="false">
      <c r="A714" s="3" t="n">
        <v>713</v>
      </c>
      <c r="B714" s="3" t="n">
        <f aca="false">Raw_Data!A714</f>
        <v>28</v>
      </c>
      <c r="C714" s="3" t="str">
        <f aca="false">SUBSTITUTE(Raw_Data!B714,".","")</f>
        <v>technician</v>
      </c>
      <c r="D714" s="3" t="str">
        <f aca="false">Raw_Data!C714</f>
        <v>single</v>
      </c>
      <c r="E714" s="3" t="str">
        <f aca="false">Raw_Data!D714</f>
        <v>tertiary</v>
      </c>
      <c r="F714" s="3" t="str">
        <f aca="false">Raw_Data!E714</f>
        <v>no</v>
      </c>
      <c r="G714" s="3" t="n">
        <f aca="false">Raw_Data!F714</f>
        <v>102</v>
      </c>
      <c r="H714" s="3" t="str">
        <f aca="false">Raw_Data!G714</f>
        <v>no</v>
      </c>
      <c r="I714" s="3" t="str">
        <f aca="false">Raw_Data!H714</f>
        <v>no</v>
      </c>
      <c r="J714" s="2" t="n">
        <f aca="false">IF(F714="yes",1,0)</f>
        <v>0</v>
      </c>
      <c r="K714" s="2" t="n">
        <f aca="false">IF(H714="yes",1,0)</f>
        <v>0</v>
      </c>
      <c r="L714" s="2" t="n">
        <f aca="false">IF(I714="yes",1,0)</f>
        <v>0</v>
      </c>
      <c r="M714" s="2" t="n">
        <f aca="false">IF(G714&lt;0,1,0)</f>
        <v>0</v>
      </c>
      <c r="N714" s="2" t="str">
        <f aca="false">_xlfn.IFS(B714&lt;30,"Under 30",B714&lt;40,"30-39",B714&lt;50,"40-49",B714&lt;60,"50-59",TRUE(),"60+")</f>
        <v>Under 30</v>
      </c>
      <c r="O714" s="2" t="str">
        <f aca="false">_xlfn.IFS(G714&lt;0,"1 Negative",G714=0,"2 Zero",G714&lt;=500,"3 1-500",G714&lt;=2000,"4 501-2000",TRUE(),"5 Above 2000")</f>
        <v>3 1-500</v>
      </c>
      <c r="P714" s="2" t="n">
        <f aca="false">Lookups!$B$2*M714+Lookups!$B$3*L714</f>
        <v>0</v>
      </c>
      <c r="Q714" s="2" t="str">
        <f aca="false">INDEX(Lookups!$E$2:$E$5,MATCH(P714,Lookups!$D$2:$D$5,0))</f>
        <v>Low</v>
      </c>
    </row>
    <row r="715" customFormat="false" ht="15" hidden="false" customHeight="false" outlineLevel="0" collapsed="false">
      <c r="A715" s="3" t="n">
        <v>714</v>
      </c>
      <c r="B715" s="3" t="n">
        <f aca="false">Raw_Data!A715</f>
        <v>25</v>
      </c>
      <c r="C715" s="3" t="str">
        <f aca="false">SUBSTITUTE(Raw_Data!B715,".","")</f>
        <v>student</v>
      </c>
      <c r="D715" s="3" t="str">
        <f aca="false">Raw_Data!C715</f>
        <v>single</v>
      </c>
      <c r="E715" s="3" t="str">
        <f aca="false">Raw_Data!D715</f>
        <v>secondary</v>
      </c>
      <c r="F715" s="3" t="str">
        <f aca="false">Raw_Data!E715</f>
        <v>no</v>
      </c>
      <c r="G715" s="3" t="n">
        <f aca="false">Raw_Data!F715</f>
        <v>1790</v>
      </c>
      <c r="H715" s="3" t="str">
        <f aca="false">Raw_Data!G715</f>
        <v>no</v>
      </c>
      <c r="I715" s="3" t="str">
        <f aca="false">Raw_Data!H715</f>
        <v>no</v>
      </c>
      <c r="J715" s="2" t="n">
        <f aca="false">IF(F715="yes",1,0)</f>
        <v>0</v>
      </c>
      <c r="K715" s="2" t="n">
        <f aca="false">IF(H715="yes",1,0)</f>
        <v>0</v>
      </c>
      <c r="L715" s="2" t="n">
        <f aca="false">IF(I715="yes",1,0)</f>
        <v>0</v>
      </c>
      <c r="M715" s="2" t="n">
        <f aca="false">IF(G715&lt;0,1,0)</f>
        <v>0</v>
      </c>
      <c r="N715" s="2" t="str">
        <f aca="false">_xlfn.IFS(B715&lt;30,"Under 30",B715&lt;40,"30-39",B715&lt;50,"40-49",B715&lt;60,"50-59",TRUE(),"60+")</f>
        <v>Under 30</v>
      </c>
      <c r="O715" s="2" t="str">
        <f aca="false">_xlfn.IFS(G715&lt;0,"1 Negative",G715=0,"2 Zero",G715&lt;=500,"3 1-500",G715&lt;=2000,"4 501-2000",TRUE(),"5 Above 2000")</f>
        <v>4 501-2000</v>
      </c>
      <c r="P715" s="2" t="n">
        <f aca="false">Lookups!$B$2*M715+Lookups!$B$3*L715</f>
        <v>0</v>
      </c>
      <c r="Q715" s="2" t="str">
        <f aca="false">INDEX(Lookups!$E$2:$E$5,MATCH(P715,Lookups!$D$2:$D$5,0))</f>
        <v>Low</v>
      </c>
    </row>
    <row r="716" customFormat="false" ht="15" hidden="false" customHeight="false" outlineLevel="0" collapsed="false">
      <c r="A716" s="3" t="n">
        <v>715</v>
      </c>
      <c r="B716" s="3" t="n">
        <f aca="false">Raw_Data!A716</f>
        <v>56</v>
      </c>
      <c r="C716" s="3" t="str">
        <f aca="false">SUBSTITUTE(Raw_Data!B716,".","")</f>
        <v>management</v>
      </c>
      <c r="D716" s="3" t="str">
        <f aca="false">Raw_Data!C716</f>
        <v>single</v>
      </c>
      <c r="E716" s="3" t="str">
        <f aca="false">Raw_Data!D716</f>
        <v>tertiary</v>
      </c>
      <c r="F716" s="3" t="str">
        <f aca="false">Raw_Data!E716</f>
        <v>no</v>
      </c>
      <c r="G716" s="3" t="n">
        <f aca="false">Raw_Data!F716</f>
        <v>15311</v>
      </c>
      <c r="H716" s="3" t="str">
        <f aca="false">Raw_Data!G716</f>
        <v>no</v>
      </c>
      <c r="I716" s="3" t="str">
        <f aca="false">Raw_Data!H716</f>
        <v>no</v>
      </c>
      <c r="J716" s="2" t="n">
        <f aca="false">IF(F716="yes",1,0)</f>
        <v>0</v>
      </c>
      <c r="K716" s="2" t="n">
        <f aca="false">IF(H716="yes",1,0)</f>
        <v>0</v>
      </c>
      <c r="L716" s="2" t="n">
        <f aca="false">IF(I716="yes",1,0)</f>
        <v>0</v>
      </c>
      <c r="M716" s="2" t="n">
        <f aca="false">IF(G716&lt;0,1,0)</f>
        <v>0</v>
      </c>
      <c r="N716" s="2" t="str">
        <f aca="false">_xlfn.IFS(B716&lt;30,"Under 30",B716&lt;40,"30-39",B716&lt;50,"40-49",B716&lt;60,"50-59",TRUE(),"60+")</f>
        <v>50-59</v>
      </c>
      <c r="O716" s="2" t="str">
        <f aca="false">_xlfn.IFS(G716&lt;0,"1 Negative",G716=0,"2 Zero",G716&lt;=500,"3 1-500",G716&lt;=2000,"4 501-2000",TRUE(),"5 Above 2000")</f>
        <v>5 Above 2000</v>
      </c>
      <c r="P716" s="2" t="n">
        <f aca="false">Lookups!$B$2*M716+Lookups!$B$3*L716</f>
        <v>0</v>
      </c>
      <c r="Q716" s="2" t="str">
        <f aca="false">INDEX(Lookups!$E$2:$E$5,MATCH(P716,Lookups!$D$2:$D$5,0))</f>
        <v>Low</v>
      </c>
    </row>
    <row r="717" customFormat="false" ht="15" hidden="false" customHeight="false" outlineLevel="0" collapsed="false">
      <c r="A717" s="3" t="n">
        <v>716</v>
      </c>
      <c r="B717" s="3" t="n">
        <f aca="false">Raw_Data!A717</f>
        <v>30</v>
      </c>
      <c r="C717" s="3" t="str">
        <f aca="false">SUBSTITUTE(Raw_Data!B717,".","")</f>
        <v>admin</v>
      </c>
      <c r="D717" s="3" t="str">
        <f aca="false">Raw_Data!C717</f>
        <v>single</v>
      </c>
      <c r="E717" s="3" t="str">
        <f aca="false">Raw_Data!D717</f>
        <v>secondary</v>
      </c>
      <c r="F717" s="3" t="str">
        <f aca="false">Raw_Data!E717</f>
        <v>no</v>
      </c>
      <c r="G717" s="3" t="n">
        <f aca="false">Raw_Data!F717</f>
        <v>-635</v>
      </c>
      <c r="H717" s="3" t="str">
        <f aca="false">Raw_Data!G717</f>
        <v>no</v>
      </c>
      <c r="I717" s="3" t="str">
        <f aca="false">Raw_Data!H717</f>
        <v>no</v>
      </c>
      <c r="J717" s="2" t="n">
        <f aca="false">IF(F717="yes",1,0)</f>
        <v>0</v>
      </c>
      <c r="K717" s="2" t="n">
        <f aca="false">IF(H717="yes",1,0)</f>
        <v>0</v>
      </c>
      <c r="L717" s="2" t="n">
        <f aca="false">IF(I717="yes",1,0)</f>
        <v>0</v>
      </c>
      <c r="M717" s="2" t="n">
        <f aca="false">IF(G717&lt;0,1,0)</f>
        <v>1</v>
      </c>
      <c r="N717" s="2" t="str">
        <f aca="false">_xlfn.IFS(B717&lt;30,"Under 30",B717&lt;40,"30-39",B717&lt;50,"40-49",B717&lt;60,"50-59",TRUE(),"60+")</f>
        <v>30-39</v>
      </c>
      <c r="O717" s="2" t="str">
        <f aca="false">_xlfn.IFS(G717&lt;0,"1 Negative",G717=0,"2 Zero",G717&lt;=500,"3 1-500",G717&lt;=2000,"4 501-2000",TRUE(),"5 Above 2000")</f>
        <v>1 Negative</v>
      </c>
      <c r="P717" s="2" t="n">
        <f aca="false">Lookups!$B$2*M717+Lookups!$B$3*L717</f>
        <v>2</v>
      </c>
      <c r="Q717" s="2" t="str">
        <f aca="false">INDEX(Lookups!$E$2:$E$5,MATCH(P717,Lookups!$D$2:$D$5,0))</f>
        <v>High</v>
      </c>
    </row>
    <row r="718" customFormat="false" ht="15" hidden="false" customHeight="false" outlineLevel="0" collapsed="false">
      <c r="A718" s="3" t="n">
        <v>717</v>
      </c>
      <c r="B718" s="3" t="n">
        <f aca="false">Raw_Data!A718</f>
        <v>45</v>
      </c>
      <c r="C718" s="3" t="str">
        <f aca="false">SUBSTITUTE(Raw_Data!B718,".","")</f>
        <v>blue-collar</v>
      </c>
      <c r="D718" s="3" t="str">
        <f aca="false">Raw_Data!C718</f>
        <v>married</v>
      </c>
      <c r="E718" s="3" t="str">
        <f aca="false">Raw_Data!D718</f>
        <v>secondary</v>
      </c>
      <c r="F718" s="3" t="str">
        <f aca="false">Raw_Data!E718</f>
        <v>no</v>
      </c>
      <c r="G718" s="3" t="n">
        <f aca="false">Raw_Data!F718</f>
        <v>115</v>
      </c>
      <c r="H718" s="3" t="str">
        <f aca="false">Raw_Data!G718</f>
        <v>no</v>
      </c>
      <c r="I718" s="3" t="str">
        <f aca="false">Raw_Data!H718</f>
        <v>no</v>
      </c>
      <c r="J718" s="2" t="n">
        <f aca="false">IF(F718="yes",1,0)</f>
        <v>0</v>
      </c>
      <c r="K718" s="2" t="n">
        <f aca="false">IF(H718="yes",1,0)</f>
        <v>0</v>
      </c>
      <c r="L718" s="2" t="n">
        <f aca="false">IF(I718="yes",1,0)</f>
        <v>0</v>
      </c>
      <c r="M718" s="2" t="n">
        <f aca="false">IF(G718&lt;0,1,0)</f>
        <v>0</v>
      </c>
      <c r="N718" s="2" t="str">
        <f aca="false">_xlfn.IFS(B718&lt;30,"Under 30",B718&lt;40,"30-39",B718&lt;50,"40-49",B718&lt;60,"50-59",TRUE(),"60+")</f>
        <v>40-49</v>
      </c>
      <c r="O718" s="2" t="str">
        <f aca="false">_xlfn.IFS(G718&lt;0,"1 Negative",G718=0,"2 Zero",G718&lt;=500,"3 1-500",G718&lt;=2000,"4 501-2000",TRUE(),"5 Above 2000")</f>
        <v>3 1-500</v>
      </c>
      <c r="P718" s="2" t="n">
        <f aca="false">Lookups!$B$2*M718+Lookups!$B$3*L718</f>
        <v>0</v>
      </c>
      <c r="Q718" s="2" t="str">
        <f aca="false">INDEX(Lookups!$E$2:$E$5,MATCH(P718,Lookups!$D$2:$D$5,0))</f>
        <v>Low</v>
      </c>
    </row>
    <row r="719" customFormat="false" ht="15" hidden="false" customHeight="false" outlineLevel="0" collapsed="false">
      <c r="A719" s="3" t="n">
        <v>718</v>
      </c>
      <c r="B719" s="3" t="n">
        <f aca="false">Raw_Data!A719</f>
        <v>40</v>
      </c>
      <c r="C719" s="3" t="str">
        <f aca="false">SUBSTITUTE(Raw_Data!B719,".","")</f>
        <v>management</v>
      </c>
      <c r="D719" s="3" t="str">
        <f aca="false">Raw_Data!C719</f>
        <v>married</v>
      </c>
      <c r="E719" s="3" t="str">
        <f aca="false">Raw_Data!D719</f>
        <v>tertiary</v>
      </c>
      <c r="F719" s="3" t="str">
        <f aca="false">Raw_Data!E719</f>
        <v>no</v>
      </c>
      <c r="G719" s="3" t="n">
        <f aca="false">Raw_Data!F719</f>
        <v>10786</v>
      </c>
      <c r="H719" s="3" t="str">
        <f aca="false">Raw_Data!G719</f>
        <v>no</v>
      </c>
      <c r="I719" s="3" t="str">
        <f aca="false">Raw_Data!H719</f>
        <v>no</v>
      </c>
      <c r="J719" s="2" t="n">
        <f aca="false">IF(F719="yes",1,0)</f>
        <v>0</v>
      </c>
      <c r="K719" s="2" t="n">
        <f aca="false">IF(H719="yes",1,0)</f>
        <v>0</v>
      </c>
      <c r="L719" s="2" t="n">
        <f aca="false">IF(I719="yes",1,0)</f>
        <v>0</v>
      </c>
      <c r="M719" s="2" t="n">
        <f aca="false">IF(G719&lt;0,1,0)</f>
        <v>0</v>
      </c>
      <c r="N719" s="2" t="str">
        <f aca="false">_xlfn.IFS(B719&lt;30,"Under 30",B719&lt;40,"30-39",B719&lt;50,"40-49",B719&lt;60,"50-59",TRUE(),"60+")</f>
        <v>40-49</v>
      </c>
      <c r="O719" s="2" t="str">
        <f aca="false">_xlfn.IFS(G719&lt;0,"1 Negative",G719=0,"2 Zero",G719&lt;=500,"3 1-500",G719&lt;=2000,"4 501-2000",TRUE(),"5 Above 2000")</f>
        <v>5 Above 2000</v>
      </c>
      <c r="P719" s="2" t="n">
        <f aca="false">Lookups!$B$2*M719+Lookups!$B$3*L719</f>
        <v>0</v>
      </c>
      <c r="Q719" s="2" t="str">
        <f aca="false">INDEX(Lookups!$E$2:$E$5,MATCH(P719,Lookups!$D$2:$D$5,0))</f>
        <v>Low</v>
      </c>
    </row>
    <row r="720" customFormat="false" ht="15" hidden="false" customHeight="false" outlineLevel="0" collapsed="false">
      <c r="A720" s="3" t="n">
        <v>719</v>
      </c>
      <c r="B720" s="3" t="n">
        <f aca="false">Raw_Data!A720</f>
        <v>40</v>
      </c>
      <c r="C720" s="3" t="str">
        <f aca="false">SUBSTITUTE(Raw_Data!B720,".","")</f>
        <v>blue-collar</v>
      </c>
      <c r="D720" s="3" t="str">
        <f aca="false">Raw_Data!C720</f>
        <v>married</v>
      </c>
      <c r="E720" s="3" t="str">
        <f aca="false">Raw_Data!D720</f>
        <v>secondary</v>
      </c>
      <c r="F720" s="3" t="str">
        <f aca="false">Raw_Data!E720</f>
        <v>no</v>
      </c>
      <c r="G720" s="3" t="n">
        <f aca="false">Raw_Data!F720</f>
        <v>498</v>
      </c>
      <c r="H720" s="3" t="str">
        <f aca="false">Raw_Data!G720</f>
        <v>yes</v>
      </c>
      <c r="I720" s="3" t="str">
        <f aca="false">Raw_Data!H720</f>
        <v>no</v>
      </c>
      <c r="J720" s="2" t="n">
        <f aca="false">IF(F720="yes",1,0)</f>
        <v>0</v>
      </c>
      <c r="K720" s="2" t="n">
        <f aca="false">IF(H720="yes",1,0)</f>
        <v>1</v>
      </c>
      <c r="L720" s="2" t="n">
        <f aca="false">IF(I720="yes",1,0)</f>
        <v>0</v>
      </c>
      <c r="M720" s="2" t="n">
        <f aca="false">IF(G720&lt;0,1,0)</f>
        <v>0</v>
      </c>
      <c r="N720" s="2" t="str">
        <f aca="false">_xlfn.IFS(B720&lt;30,"Under 30",B720&lt;40,"30-39",B720&lt;50,"40-49",B720&lt;60,"50-59",TRUE(),"60+")</f>
        <v>40-49</v>
      </c>
      <c r="O720" s="2" t="str">
        <f aca="false">_xlfn.IFS(G720&lt;0,"1 Negative",G720=0,"2 Zero",G720&lt;=500,"3 1-500",G720&lt;=2000,"4 501-2000",TRUE(),"5 Above 2000")</f>
        <v>3 1-500</v>
      </c>
      <c r="P720" s="2" t="n">
        <f aca="false">Lookups!$B$2*M720+Lookups!$B$3*L720</f>
        <v>0</v>
      </c>
      <c r="Q720" s="2" t="str">
        <f aca="false">INDEX(Lookups!$E$2:$E$5,MATCH(P720,Lookups!$D$2:$D$5,0))</f>
        <v>Low</v>
      </c>
    </row>
    <row r="721" customFormat="false" ht="15" hidden="false" customHeight="false" outlineLevel="0" collapsed="false">
      <c r="A721" s="3" t="n">
        <v>720</v>
      </c>
      <c r="B721" s="3" t="n">
        <f aca="false">Raw_Data!A721</f>
        <v>39</v>
      </c>
      <c r="C721" s="3" t="str">
        <f aca="false">SUBSTITUTE(Raw_Data!B721,".","")</f>
        <v>blue-collar</v>
      </c>
      <c r="D721" s="3" t="str">
        <f aca="false">Raw_Data!C721</f>
        <v>married</v>
      </c>
      <c r="E721" s="3" t="str">
        <f aca="false">Raw_Data!D721</f>
        <v>secondary</v>
      </c>
      <c r="F721" s="3" t="str">
        <f aca="false">Raw_Data!E721</f>
        <v>no</v>
      </c>
      <c r="G721" s="3" t="n">
        <f aca="false">Raw_Data!F721</f>
        <v>1045</v>
      </c>
      <c r="H721" s="3" t="str">
        <f aca="false">Raw_Data!G721</f>
        <v>yes</v>
      </c>
      <c r="I721" s="3" t="str">
        <f aca="false">Raw_Data!H721</f>
        <v>yes</v>
      </c>
      <c r="J721" s="2" t="n">
        <f aca="false">IF(F721="yes",1,0)</f>
        <v>0</v>
      </c>
      <c r="K721" s="2" t="n">
        <f aca="false">IF(H721="yes",1,0)</f>
        <v>1</v>
      </c>
      <c r="L721" s="2" t="n">
        <f aca="false">IF(I721="yes",1,0)</f>
        <v>1</v>
      </c>
      <c r="M721" s="2" t="n">
        <f aca="false">IF(G721&lt;0,1,0)</f>
        <v>0</v>
      </c>
      <c r="N721" s="2" t="str">
        <f aca="false">_xlfn.IFS(B721&lt;30,"Under 30",B721&lt;40,"30-39",B721&lt;50,"40-49",B721&lt;60,"50-59",TRUE(),"60+")</f>
        <v>30-39</v>
      </c>
      <c r="O721" s="2" t="str">
        <f aca="false">_xlfn.IFS(G721&lt;0,"1 Negative",G721=0,"2 Zero",G721&lt;=500,"3 1-500",G721&lt;=2000,"4 501-2000",TRUE(),"5 Above 2000")</f>
        <v>4 501-2000</v>
      </c>
      <c r="P721" s="2" t="n">
        <f aca="false">Lookups!$B$2*M721+Lookups!$B$3*L721</f>
        <v>1</v>
      </c>
      <c r="Q721" s="2" t="str">
        <f aca="false">INDEX(Lookups!$E$2:$E$5,MATCH(P721,Lookups!$D$2:$D$5,0))</f>
        <v>Medium</v>
      </c>
    </row>
    <row r="722" customFormat="false" ht="15" hidden="false" customHeight="false" outlineLevel="0" collapsed="false">
      <c r="A722" s="3" t="n">
        <v>721</v>
      </c>
      <c r="B722" s="3" t="n">
        <f aca="false">Raw_Data!A722</f>
        <v>48</v>
      </c>
      <c r="C722" s="3" t="str">
        <f aca="false">SUBSTITUTE(Raw_Data!B722,".","")</f>
        <v>entrepreneur</v>
      </c>
      <c r="D722" s="3" t="str">
        <f aca="false">Raw_Data!C722</f>
        <v>married</v>
      </c>
      <c r="E722" s="3" t="str">
        <f aca="false">Raw_Data!D722</f>
        <v>tertiary</v>
      </c>
      <c r="F722" s="3" t="str">
        <f aca="false">Raw_Data!E722</f>
        <v>no</v>
      </c>
      <c r="G722" s="3" t="n">
        <f aca="false">Raw_Data!F722</f>
        <v>810</v>
      </c>
      <c r="H722" s="3" t="str">
        <f aca="false">Raw_Data!G722</f>
        <v>no</v>
      </c>
      <c r="I722" s="3" t="str">
        <f aca="false">Raw_Data!H722</f>
        <v>no</v>
      </c>
      <c r="J722" s="2" t="n">
        <f aca="false">IF(F722="yes",1,0)</f>
        <v>0</v>
      </c>
      <c r="K722" s="2" t="n">
        <f aca="false">IF(H722="yes",1,0)</f>
        <v>0</v>
      </c>
      <c r="L722" s="2" t="n">
        <f aca="false">IF(I722="yes",1,0)</f>
        <v>0</v>
      </c>
      <c r="M722" s="2" t="n">
        <f aca="false">IF(G722&lt;0,1,0)</f>
        <v>0</v>
      </c>
      <c r="N722" s="2" t="str">
        <f aca="false">_xlfn.IFS(B722&lt;30,"Under 30",B722&lt;40,"30-39",B722&lt;50,"40-49",B722&lt;60,"50-59",TRUE(),"60+")</f>
        <v>40-49</v>
      </c>
      <c r="O722" s="2" t="str">
        <f aca="false">_xlfn.IFS(G722&lt;0,"1 Negative",G722=0,"2 Zero",G722&lt;=500,"3 1-500",G722&lt;=2000,"4 501-2000",TRUE(),"5 Above 2000")</f>
        <v>4 501-2000</v>
      </c>
      <c r="P722" s="2" t="n">
        <f aca="false">Lookups!$B$2*M722+Lookups!$B$3*L722</f>
        <v>0</v>
      </c>
      <c r="Q722" s="2" t="str">
        <f aca="false">INDEX(Lookups!$E$2:$E$5,MATCH(P722,Lookups!$D$2:$D$5,0))</f>
        <v>Low</v>
      </c>
    </row>
    <row r="723" customFormat="false" ht="15" hidden="false" customHeight="false" outlineLevel="0" collapsed="false">
      <c r="A723" s="3" t="n">
        <v>722</v>
      </c>
      <c r="B723" s="3" t="n">
        <f aca="false">Raw_Data!A723</f>
        <v>31</v>
      </c>
      <c r="C723" s="3" t="str">
        <f aca="false">SUBSTITUTE(Raw_Data!B723,".","")</f>
        <v>technician</v>
      </c>
      <c r="D723" s="3" t="str">
        <f aca="false">Raw_Data!C723</f>
        <v>single</v>
      </c>
      <c r="E723" s="3" t="str">
        <f aca="false">Raw_Data!D723</f>
        <v>tertiary</v>
      </c>
      <c r="F723" s="3" t="str">
        <f aca="false">Raw_Data!E723</f>
        <v>no</v>
      </c>
      <c r="G723" s="3" t="n">
        <f aca="false">Raw_Data!F723</f>
        <v>-162</v>
      </c>
      <c r="H723" s="3" t="str">
        <f aca="false">Raw_Data!G723</f>
        <v>yes</v>
      </c>
      <c r="I723" s="3" t="str">
        <f aca="false">Raw_Data!H723</f>
        <v>no</v>
      </c>
      <c r="J723" s="2" t="n">
        <f aca="false">IF(F723="yes",1,0)</f>
        <v>0</v>
      </c>
      <c r="K723" s="2" t="n">
        <f aca="false">IF(H723="yes",1,0)</f>
        <v>1</v>
      </c>
      <c r="L723" s="2" t="n">
        <f aca="false">IF(I723="yes",1,0)</f>
        <v>0</v>
      </c>
      <c r="M723" s="2" t="n">
        <f aca="false">IF(G723&lt;0,1,0)</f>
        <v>1</v>
      </c>
      <c r="N723" s="2" t="str">
        <f aca="false">_xlfn.IFS(B723&lt;30,"Under 30",B723&lt;40,"30-39",B723&lt;50,"40-49",B723&lt;60,"50-59",TRUE(),"60+")</f>
        <v>30-39</v>
      </c>
      <c r="O723" s="2" t="str">
        <f aca="false">_xlfn.IFS(G723&lt;0,"1 Negative",G723=0,"2 Zero",G723&lt;=500,"3 1-500",G723&lt;=2000,"4 501-2000",TRUE(),"5 Above 2000")</f>
        <v>1 Negative</v>
      </c>
      <c r="P723" s="2" t="n">
        <f aca="false">Lookups!$B$2*M723+Lookups!$B$3*L723</f>
        <v>2</v>
      </c>
      <c r="Q723" s="2" t="str">
        <f aca="false">INDEX(Lookups!$E$2:$E$5,MATCH(P723,Lookups!$D$2:$D$5,0))</f>
        <v>High</v>
      </c>
    </row>
    <row r="724" customFormat="false" ht="15" hidden="false" customHeight="false" outlineLevel="0" collapsed="false">
      <c r="A724" s="3" t="n">
        <v>723</v>
      </c>
      <c r="B724" s="3" t="n">
        <f aca="false">Raw_Data!A724</f>
        <v>32</v>
      </c>
      <c r="C724" s="3" t="str">
        <f aca="false">SUBSTITUTE(Raw_Data!B724,".","")</f>
        <v>management</v>
      </c>
      <c r="D724" s="3" t="str">
        <f aca="false">Raw_Data!C724</f>
        <v>married</v>
      </c>
      <c r="E724" s="3" t="str">
        <f aca="false">Raw_Data!D724</f>
        <v>tertiary</v>
      </c>
      <c r="F724" s="3" t="str">
        <f aca="false">Raw_Data!E724</f>
        <v>no</v>
      </c>
      <c r="G724" s="3" t="n">
        <f aca="false">Raw_Data!F724</f>
        <v>55</v>
      </c>
      <c r="H724" s="3" t="str">
        <f aca="false">Raw_Data!G724</f>
        <v>no</v>
      </c>
      <c r="I724" s="3" t="str">
        <f aca="false">Raw_Data!H724</f>
        <v>no</v>
      </c>
      <c r="J724" s="2" t="n">
        <f aca="false">IF(F724="yes",1,0)</f>
        <v>0</v>
      </c>
      <c r="K724" s="2" t="n">
        <f aca="false">IF(H724="yes",1,0)</f>
        <v>0</v>
      </c>
      <c r="L724" s="2" t="n">
        <f aca="false">IF(I724="yes",1,0)</f>
        <v>0</v>
      </c>
      <c r="M724" s="2" t="n">
        <f aca="false">IF(G724&lt;0,1,0)</f>
        <v>0</v>
      </c>
      <c r="N724" s="2" t="str">
        <f aca="false">_xlfn.IFS(B724&lt;30,"Under 30",B724&lt;40,"30-39",B724&lt;50,"40-49",B724&lt;60,"50-59",TRUE(),"60+")</f>
        <v>30-39</v>
      </c>
      <c r="O724" s="2" t="str">
        <f aca="false">_xlfn.IFS(G724&lt;0,"1 Negative",G724=0,"2 Zero",G724&lt;=500,"3 1-500",G724&lt;=2000,"4 501-2000",TRUE(),"5 Above 2000")</f>
        <v>3 1-500</v>
      </c>
      <c r="P724" s="2" t="n">
        <f aca="false">Lookups!$B$2*M724+Lookups!$B$3*L724</f>
        <v>0</v>
      </c>
      <c r="Q724" s="2" t="str">
        <f aca="false">INDEX(Lookups!$E$2:$E$5,MATCH(P724,Lookups!$D$2:$D$5,0))</f>
        <v>Low</v>
      </c>
    </row>
    <row r="725" customFormat="false" ht="15" hidden="false" customHeight="false" outlineLevel="0" collapsed="false">
      <c r="A725" s="3" t="n">
        <v>724</v>
      </c>
      <c r="B725" s="3" t="n">
        <f aca="false">Raw_Data!A725</f>
        <v>34</v>
      </c>
      <c r="C725" s="3" t="str">
        <f aca="false">SUBSTITUTE(Raw_Data!B725,".","")</f>
        <v>services</v>
      </c>
      <c r="D725" s="3" t="str">
        <f aca="false">Raw_Data!C725</f>
        <v>married</v>
      </c>
      <c r="E725" s="3" t="str">
        <f aca="false">Raw_Data!D725</f>
        <v>secondary</v>
      </c>
      <c r="F725" s="3" t="str">
        <f aca="false">Raw_Data!E725</f>
        <v>no</v>
      </c>
      <c r="G725" s="3" t="n">
        <f aca="false">Raw_Data!F725</f>
        <v>586</v>
      </c>
      <c r="H725" s="3" t="str">
        <f aca="false">Raw_Data!G725</f>
        <v>yes</v>
      </c>
      <c r="I725" s="3" t="str">
        <f aca="false">Raw_Data!H725</f>
        <v>yes</v>
      </c>
      <c r="J725" s="2" t="n">
        <f aca="false">IF(F725="yes",1,0)</f>
        <v>0</v>
      </c>
      <c r="K725" s="2" t="n">
        <f aca="false">IF(H725="yes",1,0)</f>
        <v>1</v>
      </c>
      <c r="L725" s="2" t="n">
        <f aca="false">IF(I725="yes",1,0)</f>
        <v>1</v>
      </c>
      <c r="M725" s="2" t="n">
        <f aca="false">IF(G725&lt;0,1,0)</f>
        <v>0</v>
      </c>
      <c r="N725" s="2" t="str">
        <f aca="false">_xlfn.IFS(B725&lt;30,"Under 30",B725&lt;40,"30-39",B725&lt;50,"40-49",B725&lt;60,"50-59",TRUE(),"60+")</f>
        <v>30-39</v>
      </c>
      <c r="O725" s="2" t="str">
        <f aca="false">_xlfn.IFS(G725&lt;0,"1 Negative",G725=0,"2 Zero",G725&lt;=500,"3 1-500",G725&lt;=2000,"4 501-2000",TRUE(),"5 Above 2000")</f>
        <v>4 501-2000</v>
      </c>
      <c r="P725" s="2" t="n">
        <f aca="false">Lookups!$B$2*M725+Lookups!$B$3*L725</f>
        <v>1</v>
      </c>
      <c r="Q725" s="2" t="str">
        <f aca="false">INDEX(Lookups!$E$2:$E$5,MATCH(P725,Lookups!$D$2:$D$5,0))</f>
        <v>Medium</v>
      </c>
    </row>
    <row r="726" customFormat="false" ht="15" hidden="false" customHeight="false" outlineLevel="0" collapsed="false">
      <c r="A726" s="3" t="n">
        <v>725</v>
      </c>
      <c r="B726" s="3" t="n">
        <f aca="false">Raw_Data!A726</f>
        <v>26</v>
      </c>
      <c r="C726" s="3" t="str">
        <f aca="false">SUBSTITUTE(Raw_Data!B726,".","")</f>
        <v>technician</v>
      </c>
      <c r="D726" s="3" t="str">
        <f aca="false">Raw_Data!C726</f>
        <v>single</v>
      </c>
      <c r="E726" s="3" t="str">
        <f aca="false">Raw_Data!D726</f>
        <v>secondary</v>
      </c>
      <c r="F726" s="3" t="str">
        <f aca="false">Raw_Data!E726</f>
        <v>no</v>
      </c>
      <c r="G726" s="3" t="n">
        <f aca="false">Raw_Data!F726</f>
        <v>455</v>
      </c>
      <c r="H726" s="3" t="str">
        <f aca="false">Raw_Data!G726</f>
        <v>no</v>
      </c>
      <c r="I726" s="3" t="str">
        <f aca="false">Raw_Data!H726</f>
        <v>no</v>
      </c>
      <c r="J726" s="2" t="n">
        <f aca="false">IF(F726="yes",1,0)</f>
        <v>0</v>
      </c>
      <c r="K726" s="2" t="n">
        <f aca="false">IF(H726="yes",1,0)</f>
        <v>0</v>
      </c>
      <c r="L726" s="2" t="n">
        <f aca="false">IF(I726="yes",1,0)</f>
        <v>0</v>
      </c>
      <c r="M726" s="2" t="n">
        <f aca="false">IF(G726&lt;0,1,0)</f>
        <v>0</v>
      </c>
      <c r="N726" s="2" t="str">
        <f aca="false">_xlfn.IFS(B726&lt;30,"Under 30",B726&lt;40,"30-39",B726&lt;50,"40-49",B726&lt;60,"50-59",TRUE(),"60+")</f>
        <v>Under 30</v>
      </c>
      <c r="O726" s="2" t="str">
        <f aca="false">_xlfn.IFS(G726&lt;0,"1 Negative",G726=0,"2 Zero",G726&lt;=500,"3 1-500",G726&lt;=2000,"4 501-2000",TRUE(),"5 Above 2000")</f>
        <v>3 1-500</v>
      </c>
      <c r="P726" s="2" t="n">
        <f aca="false">Lookups!$B$2*M726+Lookups!$B$3*L726</f>
        <v>0</v>
      </c>
      <c r="Q726" s="2" t="str">
        <f aca="false">INDEX(Lookups!$E$2:$E$5,MATCH(P726,Lookups!$D$2:$D$5,0))</f>
        <v>Low</v>
      </c>
    </row>
    <row r="727" customFormat="false" ht="15" hidden="false" customHeight="false" outlineLevel="0" collapsed="false">
      <c r="A727" s="3" t="n">
        <v>726</v>
      </c>
      <c r="B727" s="3" t="n">
        <f aca="false">Raw_Data!A727</f>
        <v>31</v>
      </c>
      <c r="C727" s="3" t="str">
        <f aca="false">SUBSTITUTE(Raw_Data!B727,".","")</f>
        <v>management</v>
      </c>
      <c r="D727" s="3" t="str">
        <f aca="false">Raw_Data!C727</f>
        <v>married</v>
      </c>
      <c r="E727" s="3" t="str">
        <f aca="false">Raw_Data!D727</f>
        <v>tertiary</v>
      </c>
      <c r="F727" s="3" t="str">
        <f aca="false">Raw_Data!E727</f>
        <v>no</v>
      </c>
      <c r="G727" s="3" t="n">
        <f aca="false">Raw_Data!F727</f>
        <v>1010</v>
      </c>
      <c r="H727" s="3" t="str">
        <f aca="false">Raw_Data!G727</f>
        <v>yes</v>
      </c>
      <c r="I727" s="3" t="str">
        <f aca="false">Raw_Data!H727</f>
        <v>no</v>
      </c>
      <c r="J727" s="2" t="n">
        <f aca="false">IF(F727="yes",1,0)</f>
        <v>0</v>
      </c>
      <c r="K727" s="2" t="n">
        <f aca="false">IF(H727="yes",1,0)</f>
        <v>1</v>
      </c>
      <c r="L727" s="2" t="n">
        <f aca="false">IF(I727="yes",1,0)</f>
        <v>0</v>
      </c>
      <c r="M727" s="2" t="n">
        <f aca="false">IF(G727&lt;0,1,0)</f>
        <v>0</v>
      </c>
      <c r="N727" s="2" t="str">
        <f aca="false">_xlfn.IFS(B727&lt;30,"Under 30",B727&lt;40,"30-39",B727&lt;50,"40-49",B727&lt;60,"50-59",TRUE(),"60+")</f>
        <v>30-39</v>
      </c>
      <c r="O727" s="2" t="str">
        <f aca="false">_xlfn.IFS(G727&lt;0,"1 Negative",G727=0,"2 Zero",G727&lt;=500,"3 1-500",G727&lt;=2000,"4 501-2000",TRUE(),"5 Above 2000")</f>
        <v>4 501-2000</v>
      </c>
      <c r="P727" s="2" t="n">
        <f aca="false">Lookups!$B$2*M727+Lookups!$B$3*L727</f>
        <v>0</v>
      </c>
      <c r="Q727" s="2" t="str">
        <f aca="false">INDEX(Lookups!$E$2:$E$5,MATCH(P727,Lookups!$D$2:$D$5,0))</f>
        <v>Low</v>
      </c>
    </row>
    <row r="728" customFormat="false" ht="15" hidden="false" customHeight="false" outlineLevel="0" collapsed="false">
      <c r="A728" s="3" t="n">
        <v>727</v>
      </c>
      <c r="B728" s="3" t="n">
        <f aca="false">Raw_Data!A728</f>
        <v>37</v>
      </c>
      <c r="C728" s="3" t="str">
        <f aca="false">SUBSTITUTE(Raw_Data!B728,".","")</f>
        <v>management</v>
      </c>
      <c r="D728" s="3" t="str">
        <f aca="false">Raw_Data!C728</f>
        <v>single</v>
      </c>
      <c r="E728" s="3" t="str">
        <f aca="false">Raw_Data!D728</f>
        <v>tertiary</v>
      </c>
      <c r="F728" s="3" t="str">
        <f aca="false">Raw_Data!E728</f>
        <v>no</v>
      </c>
      <c r="G728" s="3" t="n">
        <f aca="false">Raw_Data!F728</f>
        <v>509</v>
      </c>
      <c r="H728" s="3" t="str">
        <f aca="false">Raw_Data!G728</f>
        <v>yes</v>
      </c>
      <c r="I728" s="3" t="str">
        <f aca="false">Raw_Data!H728</f>
        <v>no</v>
      </c>
      <c r="J728" s="2" t="n">
        <f aca="false">IF(F728="yes",1,0)</f>
        <v>0</v>
      </c>
      <c r="K728" s="2" t="n">
        <f aca="false">IF(H728="yes",1,0)</f>
        <v>1</v>
      </c>
      <c r="L728" s="2" t="n">
        <f aca="false">IF(I728="yes",1,0)</f>
        <v>0</v>
      </c>
      <c r="M728" s="2" t="n">
        <f aca="false">IF(G728&lt;0,1,0)</f>
        <v>0</v>
      </c>
      <c r="N728" s="2" t="str">
        <f aca="false">_xlfn.IFS(B728&lt;30,"Under 30",B728&lt;40,"30-39",B728&lt;50,"40-49",B728&lt;60,"50-59",TRUE(),"60+")</f>
        <v>30-39</v>
      </c>
      <c r="O728" s="2" t="str">
        <f aca="false">_xlfn.IFS(G728&lt;0,"1 Negative",G728=0,"2 Zero",G728&lt;=500,"3 1-500",G728&lt;=2000,"4 501-2000",TRUE(),"5 Above 2000")</f>
        <v>4 501-2000</v>
      </c>
      <c r="P728" s="2" t="n">
        <f aca="false">Lookups!$B$2*M728+Lookups!$B$3*L728</f>
        <v>0</v>
      </c>
      <c r="Q728" s="2" t="str">
        <f aca="false">INDEX(Lookups!$E$2:$E$5,MATCH(P728,Lookups!$D$2:$D$5,0))</f>
        <v>Low</v>
      </c>
    </row>
    <row r="729" customFormat="false" ht="15" hidden="false" customHeight="false" outlineLevel="0" collapsed="false">
      <c r="A729" s="3" t="n">
        <v>728</v>
      </c>
      <c r="B729" s="3" t="n">
        <f aca="false">Raw_Data!A729</f>
        <v>29</v>
      </c>
      <c r="C729" s="3" t="str">
        <f aca="false">SUBSTITUTE(Raw_Data!B729,".","")</f>
        <v>student</v>
      </c>
      <c r="D729" s="3" t="str">
        <f aca="false">Raw_Data!C729</f>
        <v>single</v>
      </c>
      <c r="E729" s="3" t="str">
        <f aca="false">Raw_Data!D729</f>
        <v>unknown</v>
      </c>
      <c r="F729" s="3" t="str">
        <f aca="false">Raw_Data!E729</f>
        <v>no</v>
      </c>
      <c r="G729" s="3" t="n">
        <f aca="false">Raw_Data!F729</f>
        <v>2929</v>
      </c>
      <c r="H729" s="3" t="str">
        <f aca="false">Raw_Data!G729</f>
        <v>no</v>
      </c>
      <c r="I729" s="3" t="str">
        <f aca="false">Raw_Data!H729</f>
        <v>no</v>
      </c>
      <c r="J729" s="2" t="n">
        <f aca="false">IF(F729="yes",1,0)</f>
        <v>0</v>
      </c>
      <c r="K729" s="2" t="n">
        <f aca="false">IF(H729="yes",1,0)</f>
        <v>0</v>
      </c>
      <c r="L729" s="2" t="n">
        <f aca="false">IF(I729="yes",1,0)</f>
        <v>0</v>
      </c>
      <c r="M729" s="2" t="n">
        <f aca="false">IF(G729&lt;0,1,0)</f>
        <v>0</v>
      </c>
      <c r="N729" s="2" t="str">
        <f aca="false">_xlfn.IFS(B729&lt;30,"Under 30",B729&lt;40,"30-39",B729&lt;50,"40-49",B729&lt;60,"50-59",TRUE(),"60+")</f>
        <v>Under 30</v>
      </c>
      <c r="O729" s="2" t="str">
        <f aca="false">_xlfn.IFS(G729&lt;0,"1 Negative",G729=0,"2 Zero",G729&lt;=500,"3 1-500",G729&lt;=2000,"4 501-2000",TRUE(),"5 Above 2000")</f>
        <v>5 Above 2000</v>
      </c>
      <c r="P729" s="2" t="n">
        <f aca="false">Lookups!$B$2*M729+Lookups!$B$3*L729</f>
        <v>0</v>
      </c>
      <c r="Q729" s="2" t="str">
        <f aca="false">INDEX(Lookups!$E$2:$E$5,MATCH(P729,Lookups!$D$2:$D$5,0))</f>
        <v>Low</v>
      </c>
    </row>
    <row r="730" customFormat="false" ht="15" hidden="false" customHeight="false" outlineLevel="0" collapsed="false">
      <c r="A730" s="3" t="n">
        <v>729</v>
      </c>
      <c r="B730" s="3" t="n">
        <f aca="false">Raw_Data!A730</f>
        <v>57</v>
      </c>
      <c r="C730" s="3" t="str">
        <f aca="false">SUBSTITUTE(Raw_Data!B730,".","")</f>
        <v>technician</v>
      </c>
      <c r="D730" s="3" t="str">
        <f aca="false">Raw_Data!C730</f>
        <v>married</v>
      </c>
      <c r="E730" s="3" t="str">
        <f aca="false">Raw_Data!D730</f>
        <v>secondary</v>
      </c>
      <c r="F730" s="3" t="str">
        <f aca="false">Raw_Data!E730</f>
        <v>no</v>
      </c>
      <c r="G730" s="3" t="n">
        <f aca="false">Raw_Data!F730</f>
        <v>3071</v>
      </c>
      <c r="H730" s="3" t="str">
        <f aca="false">Raw_Data!G730</f>
        <v>yes</v>
      </c>
      <c r="I730" s="3" t="str">
        <f aca="false">Raw_Data!H730</f>
        <v>yes</v>
      </c>
      <c r="J730" s="2" t="n">
        <f aca="false">IF(F730="yes",1,0)</f>
        <v>0</v>
      </c>
      <c r="K730" s="2" t="n">
        <f aca="false">IF(H730="yes",1,0)</f>
        <v>1</v>
      </c>
      <c r="L730" s="2" t="n">
        <f aca="false">IF(I730="yes",1,0)</f>
        <v>1</v>
      </c>
      <c r="M730" s="2" t="n">
        <f aca="false">IF(G730&lt;0,1,0)</f>
        <v>0</v>
      </c>
      <c r="N730" s="2" t="str">
        <f aca="false">_xlfn.IFS(B730&lt;30,"Under 30",B730&lt;40,"30-39",B730&lt;50,"40-49",B730&lt;60,"50-59",TRUE(),"60+")</f>
        <v>50-59</v>
      </c>
      <c r="O730" s="2" t="str">
        <f aca="false">_xlfn.IFS(G730&lt;0,"1 Negative",G730=0,"2 Zero",G730&lt;=500,"3 1-500",G730&lt;=2000,"4 501-2000",TRUE(),"5 Above 2000")</f>
        <v>5 Above 2000</v>
      </c>
      <c r="P730" s="2" t="n">
        <f aca="false">Lookups!$B$2*M730+Lookups!$B$3*L730</f>
        <v>1</v>
      </c>
      <c r="Q730" s="2" t="str">
        <f aca="false">INDEX(Lookups!$E$2:$E$5,MATCH(P730,Lookups!$D$2:$D$5,0))</f>
        <v>Medium</v>
      </c>
    </row>
    <row r="731" customFormat="false" ht="15" hidden="false" customHeight="false" outlineLevel="0" collapsed="false">
      <c r="A731" s="3" t="n">
        <v>730</v>
      </c>
      <c r="B731" s="3" t="n">
        <f aca="false">Raw_Data!A731</f>
        <v>47</v>
      </c>
      <c r="C731" s="3" t="str">
        <f aca="false">SUBSTITUTE(Raw_Data!B731,".","")</f>
        <v>management</v>
      </c>
      <c r="D731" s="3" t="str">
        <f aca="false">Raw_Data!C731</f>
        <v>single</v>
      </c>
      <c r="E731" s="3" t="str">
        <f aca="false">Raw_Data!D731</f>
        <v>tertiary</v>
      </c>
      <c r="F731" s="3" t="str">
        <f aca="false">Raw_Data!E731</f>
        <v>no</v>
      </c>
      <c r="G731" s="3" t="n">
        <f aca="false">Raw_Data!F731</f>
        <v>153</v>
      </c>
      <c r="H731" s="3" t="str">
        <f aca="false">Raw_Data!G731</f>
        <v>yes</v>
      </c>
      <c r="I731" s="3" t="str">
        <f aca="false">Raw_Data!H731</f>
        <v>no</v>
      </c>
      <c r="J731" s="2" t="n">
        <f aca="false">IF(F731="yes",1,0)</f>
        <v>0</v>
      </c>
      <c r="K731" s="2" t="n">
        <f aca="false">IF(H731="yes",1,0)</f>
        <v>1</v>
      </c>
      <c r="L731" s="2" t="n">
        <f aca="false">IF(I731="yes",1,0)</f>
        <v>0</v>
      </c>
      <c r="M731" s="2" t="n">
        <f aca="false">IF(G731&lt;0,1,0)</f>
        <v>0</v>
      </c>
      <c r="N731" s="2" t="str">
        <f aca="false">_xlfn.IFS(B731&lt;30,"Under 30",B731&lt;40,"30-39",B731&lt;50,"40-49",B731&lt;60,"50-59",TRUE(),"60+")</f>
        <v>40-49</v>
      </c>
      <c r="O731" s="2" t="str">
        <f aca="false">_xlfn.IFS(G731&lt;0,"1 Negative",G731=0,"2 Zero",G731&lt;=500,"3 1-500",G731&lt;=2000,"4 501-2000",TRUE(),"5 Above 2000")</f>
        <v>3 1-500</v>
      </c>
      <c r="P731" s="2" t="n">
        <f aca="false">Lookups!$B$2*M731+Lookups!$B$3*L731</f>
        <v>0</v>
      </c>
      <c r="Q731" s="2" t="str">
        <f aca="false">INDEX(Lookups!$E$2:$E$5,MATCH(P731,Lookups!$D$2:$D$5,0))</f>
        <v>Low</v>
      </c>
    </row>
    <row r="732" customFormat="false" ht="15" hidden="false" customHeight="false" outlineLevel="0" collapsed="false">
      <c r="A732" s="3" t="n">
        <v>731</v>
      </c>
      <c r="B732" s="3" t="n">
        <f aca="false">Raw_Data!A732</f>
        <v>38</v>
      </c>
      <c r="C732" s="3" t="str">
        <f aca="false">SUBSTITUTE(Raw_Data!B732,".","")</f>
        <v>self-employed</v>
      </c>
      <c r="D732" s="3" t="str">
        <f aca="false">Raw_Data!C732</f>
        <v>single</v>
      </c>
      <c r="E732" s="3" t="str">
        <f aca="false">Raw_Data!D732</f>
        <v>secondary</v>
      </c>
      <c r="F732" s="3" t="str">
        <f aca="false">Raw_Data!E732</f>
        <v>no</v>
      </c>
      <c r="G732" s="3" t="n">
        <f aca="false">Raw_Data!F732</f>
        <v>1146</v>
      </c>
      <c r="H732" s="3" t="str">
        <f aca="false">Raw_Data!G732</f>
        <v>yes</v>
      </c>
      <c r="I732" s="3" t="str">
        <f aca="false">Raw_Data!H732</f>
        <v>no</v>
      </c>
      <c r="J732" s="2" t="n">
        <f aca="false">IF(F732="yes",1,0)</f>
        <v>0</v>
      </c>
      <c r="K732" s="2" t="n">
        <f aca="false">IF(H732="yes",1,0)</f>
        <v>1</v>
      </c>
      <c r="L732" s="2" t="n">
        <f aca="false">IF(I732="yes",1,0)</f>
        <v>0</v>
      </c>
      <c r="M732" s="2" t="n">
        <f aca="false">IF(G732&lt;0,1,0)</f>
        <v>0</v>
      </c>
      <c r="N732" s="2" t="str">
        <f aca="false">_xlfn.IFS(B732&lt;30,"Under 30",B732&lt;40,"30-39",B732&lt;50,"40-49",B732&lt;60,"50-59",TRUE(),"60+")</f>
        <v>30-39</v>
      </c>
      <c r="O732" s="2" t="str">
        <f aca="false">_xlfn.IFS(G732&lt;0,"1 Negative",G732=0,"2 Zero",G732&lt;=500,"3 1-500",G732&lt;=2000,"4 501-2000",TRUE(),"5 Above 2000")</f>
        <v>4 501-2000</v>
      </c>
      <c r="P732" s="2" t="n">
        <f aca="false">Lookups!$B$2*M732+Lookups!$B$3*L732</f>
        <v>0</v>
      </c>
      <c r="Q732" s="2" t="str">
        <f aca="false">INDEX(Lookups!$E$2:$E$5,MATCH(P732,Lookups!$D$2:$D$5,0))</f>
        <v>Low</v>
      </c>
    </row>
    <row r="733" customFormat="false" ht="15" hidden="false" customHeight="false" outlineLevel="0" collapsed="false">
      <c r="A733" s="3" t="n">
        <v>732</v>
      </c>
      <c r="B733" s="3" t="n">
        <f aca="false">Raw_Data!A733</f>
        <v>48</v>
      </c>
      <c r="C733" s="3" t="str">
        <f aca="false">SUBSTITUTE(Raw_Data!B733,".","")</f>
        <v>blue-collar</v>
      </c>
      <c r="D733" s="3" t="str">
        <f aca="false">Raw_Data!C733</f>
        <v>married</v>
      </c>
      <c r="E733" s="3" t="str">
        <f aca="false">Raw_Data!D733</f>
        <v>primary</v>
      </c>
      <c r="F733" s="3" t="str">
        <f aca="false">Raw_Data!E733</f>
        <v>no</v>
      </c>
      <c r="G733" s="3" t="n">
        <f aca="false">Raw_Data!F733</f>
        <v>1092</v>
      </c>
      <c r="H733" s="3" t="str">
        <f aca="false">Raw_Data!G733</f>
        <v>no</v>
      </c>
      <c r="I733" s="3" t="str">
        <f aca="false">Raw_Data!H733</f>
        <v>yes</v>
      </c>
      <c r="J733" s="2" t="n">
        <f aca="false">IF(F733="yes",1,0)</f>
        <v>0</v>
      </c>
      <c r="K733" s="2" t="n">
        <f aca="false">IF(H733="yes",1,0)</f>
        <v>0</v>
      </c>
      <c r="L733" s="2" t="n">
        <f aca="false">IF(I733="yes",1,0)</f>
        <v>1</v>
      </c>
      <c r="M733" s="2" t="n">
        <f aca="false">IF(G733&lt;0,1,0)</f>
        <v>0</v>
      </c>
      <c r="N733" s="2" t="str">
        <f aca="false">_xlfn.IFS(B733&lt;30,"Under 30",B733&lt;40,"30-39",B733&lt;50,"40-49",B733&lt;60,"50-59",TRUE(),"60+")</f>
        <v>40-49</v>
      </c>
      <c r="O733" s="2" t="str">
        <f aca="false">_xlfn.IFS(G733&lt;0,"1 Negative",G733=0,"2 Zero",G733&lt;=500,"3 1-500",G733&lt;=2000,"4 501-2000",TRUE(),"5 Above 2000")</f>
        <v>4 501-2000</v>
      </c>
      <c r="P733" s="2" t="n">
        <f aca="false">Lookups!$B$2*M733+Lookups!$B$3*L733</f>
        <v>1</v>
      </c>
      <c r="Q733" s="2" t="str">
        <f aca="false">INDEX(Lookups!$E$2:$E$5,MATCH(P733,Lookups!$D$2:$D$5,0))</f>
        <v>Medium</v>
      </c>
    </row>
    <row r="734" customFormat="false" ht="15" hidden="false" customHeight="false" outlineLevel="0" collapsed="false">
      <c r="A734" s="3" t="n">
        <v>733</v>
      </c>
      <c r="B734" s="3" t="n">
        <f aca="false">Raw_Data!A734</f>
        <v>50</v>
      </c>
      <c r="C734" s="3" t="str">
        <f aca="false">SUBSTITUTE(Raw_Data!B734,".","")</f>
        <v>management</v>
      </c>
      <c r="D734" s="3" t="str">
        <f aca="false">Raw_Data!C734</f>
        <v>married</v>
      </c>
      <c r="E734" s="3" t="str">
        <f aca="false">Raw_Data!D734</f>
        <v>tertiary</v>
      </c>
      <c r="F734" s="3" t="str">
        <f aca="false">Raw_Data!E734</f>
        <v>no</v>
      </c>
      <c r="G734" s="3" t="n">
        <f aca="false">Raw_Data!F734</f>
        <v>3463</v>
      </c>
      <c r="H734" s="3" t="str">
        <f aca="false">Raw_Data!G734</f>
        <v>no</v>
      </c>
      <c r="I734" s="3" t="str">
        <f aca="false">Raw_Data!H734</f>
        <v>yes</v>
      </c>
      <c r="J734" s="2" t="n">
        <f aca="false">IF(F734="yes",1,0)</f>
        <v>0</v>
      </c>
      <c r="K734" s="2" t="n">
        <f aca="false">IF(H734="yes",1,0)</f>
        <v>0</v>
      </c>
      <c r="L734" s="2" t="n">
        <f aca="false">IF(I734="yes",1,0)</f>
        <v>1</v>
      </c>
      <c r="M734" s="2" t="n">
        <f aca="false">IF(G734&lt;0,1,0)</f>
        <v>0</v>
      </c>
      <c r="N734" s="2" t="str">
        <f aca="false">_xlfn.IFS(B734&lt;30,"Under 30",B734&lt;40,"30-39",B734&lt;50,"40-49",B734&lt;60,"50-59",TRUE(),"60+")</f>
        <v>50-59</v>
      </c>
      <c r="O734" s="2" t="str">
        <f aca="false">_xlfn.IFS(G734&lt;0,"1 Negative",G734=0,"2 Zero",G734&lt;=500,"3 1-500",G734&lt;=2000,"4 501-2000",TRUE(),"5 Above 2000")</f>
        <v>5 Above 2000</v>
      </c>
      <c r="P734" s="2" t="n">
        <f aca="false">Lookups!$B$2*M734+Lookups!$B$3*L734</f>
        <v>1</v>
      </c>
      <c r="Q734" s="2" t="str">
        <f aca="false">INDEX(Lookups!$E$2:$E$5,MATCH(P734,Lookups!$D$2:$D$5,0))</f>
        <v>Medium</v>
      </c>
    </row>
    <row r="735" customFormat="false" ht="15" hidden="false" customHeight="false" outlineLevel="0" collapsed="false">
      <c r="A735" s="3" t="n">
        <v>734</v>
      </c>
      <c r="B735" s="3" t="n">
        <f aca="false">Raw_Data!A735</f>
        <v>33</v>
      </c>
      <c r="C735" s="3" t="str">
        <f aca="false">SUBSTITUTE(Raw_Data!B735,".","")</f>
        <v>admin</v>
      </c>
      <c r="D735" s="3" t="str">
        <f aca="false">Raw_Data!C735</f>
        <v>married</v>
      </c>
      <c r="E735" s="3" t="str">
        <f aca="false">Raw_Data!D735</f>
        <v>secondary</v>
      </c>
      <c r="F735" s="3" t="str">
        <f aca="false">Raw_Data!E735</f>
        <v>no</v>
      </c>
      <c r="G735" s="3" t="n">
        <f aca="false">Raw_Data!F735</f>
        <v>1158</v>
      </c>
      <c r="H735" s="3" t="str">
        <f aca="false">Raw_Data!G735</f>
        <v>yes</v>
      </c>
      <c r="I735" s="3" t="str">
        <f aca="false">Raw_Data!H735</f>
        <v>no</v>
      </c>
      <c r="J735" s="2" t="n">
        <f aca="false">IF(F735="yes",1,0)</f>
        <v>0</v>
      </c>
      <c r="K735" s="2" t="n">
        <f aca="false">IF(H735="yes",1,0)</f>
        <v>1</v>
      </c>
      <c r="L735" s="2" t="n">
        <f aca="false">IF(I735="yes",1,0)</f>
        <v>0</v>
      </c>
      <c r="M735" s="2" t="n">
        <f aca="false">IF(G735&lt;0,1,0)</f>
        <v>0</v>
      </c>
      <c r="N735" s="2" t="str">
        <f aca="false">_xlfn.IFS(B735&lt;30,"Under 30",B735&lt;40,"30-39",B735&lt;50,"40-49",B735&lt;60,"50-59",TRUE(),"60+")</f>
        <v>30-39</v>
      </c>
      <c r="O735" s="2" t="str">
        <f aca="false">_xlfn.IFS(G735&lt;0,"1 Negative",G735=0,"2 Zero",G735&lt;=500,"3 1-500",G735&lt;=2000,"4 501-2000",TRUE(),"5 Above 2000")</f>
        <v>4 501-2000</v>
      </c>
      <c r="P735" s="2" t="n">
        <f aca="false">Lookups!$B$2*M735+Lookups!$B$3*L735</f>
        <v>0</v>
      </c>
      <c r="Q735" s="2" t="str">
        <f aca="false">INDEX(Lookups!$E$2:$E$5,MATCH(P735,Lookups!$D$2:$D$5,0))</f>
        <v>Low</v>
      </c>
    </row>
    <row r="736" customFormat="false" ht="15" hidden="false" customHeight="false" outlineLevel="0" collapsed="false">
      <c r="A736" s="3" t="n">
        <v>735</v>
      </c>
      <c r="B736" s="3" t="n">
        <f aca="false">Raw_Data!A736</f>
        <v>28</v>
      </c>
      <c r="C736" s="3" t="str">
        <f aca="false">SUBSTITUTE(Raw_Data!B736,".","")</f>
        <v>admin</v>
      </c>
      <c r="D736" s="3" t="str">
        <f aca="false">Raw_Data!C736</f>
        <v>single</v>
      </c>
      <c r="E736" s="3" t="str">
        <f aca="false">Raw_Data!D736</f>
        <v>secondary</v>
      </c>
      <c r="F736" s="3" t="str">
        <f aca="false">Raw_Data!E736</f>
        <v>no</v>
      </c>
      <c r="G736" s="3" t="n">
        <f aca="false">Raw_Data!F736</f>
        <v>26</v>
      </c>
      <c r="H736" s="3" t="str">
        <f aca="false">Raw_Data!G736</f>
        <v>yes</v>
      </c>
      <c r="I736" s="3" t="str">
        <f aca="false">Raw_Data!H736</f>
        <v>no</v>
      </c>
      <c r="J736" s="2" t="n">
        <f aca="false">IF(F736="yes",1,0)</f>
        <v>0</v>
      </c>
      <c r="K736" s="2" t="n">
        <f aca="false">IF(H736="yes",1,0)</f>
        <v>1</v>
      </c>
      <c r="L736" s="2" t="n">
        <f aca="false">IF(I736="yes",1,0)</f>
        <v>0</v>
      </c>
      <c r="M736" s="2" t="n">
        <f aca="false">IF(G736&lt;0,1,0)</f>
        <v>0</v>
      </c>
      <c r="N736" s="2" t="str">
        <f aca="false">_xlfn.IFS(B736&lt;30,"Under 30",B736&lt;40,"30-39",B736&lt;50,"40-49",B736&lt;60,"50-59",TRUE(),"60+")</f>
        <v>Under 30</v>
      </c>
      <c r="O736" s="2" t="str">
        <f aca="false">_xlfn.IFS(G736&lt;0,"1 Negative",G736=0,"2 Zero",G736&lt;=500,"3 1-500",G736&lt;=2000,"4 501-2000",TRUE(),"5 Above 2000")</f>
        <v>3 1-500</v>
      </c>
      <c r="P736" s="2" t="n">
        <f aca="false">Lookups!$B$2*M736+Lookups!$B$3*L736</f>
        <v>0</v>
      </c>
      <c r="Q736" s="2" t="str">
        <f aca="false">INDEX(Lookups!$E$2:$E$5,MATCH(P736,Lookups!$D$2:$D$5,0))</f>
        <v>Low</v>
      </c>
    </row>
    <row r="737" customFormat="false" ht="15" hidden="false" customHeight="false" outlineLevel="0" collapsed="false">
      <c r="A737" s="3" t="n">
        <v>736</v>
      </c>
      <c r="B737" s="3" t="n">
        <f aca="false">Raw_Data!A737</f>
        <v>30</v>
      </c>
      <c r="C737" s="3" t="str">
        <f aca="false">SUBSTITUTE(Raw_Data!B737,".","")</f>
        <v>services</v>
      </c>
      <c r="D737" s="3" t="str">
        <f aca="false">Raw_Data!C737</f>
        <v>single</v>
      </c>
      <c r="E737" s="3" t="str">
        <f aca="false">Raw_Data!D737</f>
        <v>secondary</v>
      </c>
      <c r="F737" s="3" t="str">
        <f aca="false">Raw_Data!E737</f>
        <v>no</v>
      </c>
      <c r="G737" s="3" t="n">
        <f aca="false">Raw_Data!F737</f>
        <v>566</v>
      </c>
      <c r="H737" s="3" t="str">
        <f aca="false">Raw_Data!G737</f>
        <v>no</v>
      </c>
      <c r="I737" s="3" t="str">
        <f aca="false">Raw_Data!H737</f>
        <v>no</v>
      </c>
      <c r="J737" s="2" t="n">
        <f aca="false">IF(F737="yes",1,0)</f>
        <v>0</v>
      </c>
      <c r="K737" s="2" t="n">
        <f aca="false">IF(H737="yes",1,0)</f>
        <v>0</v>
      </c>
      <c r="L737" s="2" t="n">
        <f aca="false">IF(I737="yes",1,0)</f>
        <v>0</v>
      </c>
      <c r="M737" s="2" t="n">
        <f aca="false">IF(G737&lt;0,1,0)</f>
        <v>0</v>
      </c>
      <c r="N737" s="2" t="str">
        <f aca="false">_xlfn.IFS(B737&lt;30,"Under 30",B737&lt;40,"30-39",B737&lt;50,"40-49",B737&lt;60,"50-59",TRUE(),"60+")</f>
        <v>30-39</v>
      </c>
      <c r="O737" s="2" t="str">
        <f aca="false">_xlfn.IFS(G737&lt;0,"1 Negative",G737=0,"2 Zero",G737&lt;=500,"3 1-500",G737&lt;=2000,"4 501-2000",TRUE(),"5 Above 2000")</f>
        <v>4 501-2000</v>
      </c>
      <c r="P737" s="2" t="n">
        <f aca="false">Lookups!$B$2*M737+Lookups!$B$3*L737</f>
        <v>0</v>
      </c>
      <c r="Q737" s="2" t="str">
        <f aca="false">INDEX(Lookups!$E$2:$E$5,MATCH(P737,Lookups!$D$2:$D$5,0))</f>
        <v>Low</v>
      </c>
    </row>
    <row r="738" customFormat="false" ht="15" hidden="false" customHeight="false" outlineLevel="0" collapsed="false">
      <c r="A738" s="3" t="n">
        <v>737</v>
      </c>
      <c r="B738" s="3" t="n">
        <f aca="false">Raw_Data!A738</f>
        <v>52</v>
      </c>
      <c r="C738" s="3" t="str">
        <f aca="false">SUBSTITUTE(Raw_Data!B738,".","")</f>
        <v>technician</v>
      </c>
      <c r="D738" s="3" t="str">
        <f aca="false">Raw_Data!C738</f>
        <v>divorced</v>
      </c>
      <c r="E738" s="3" t="str">
        <f aca="false">Raw_Data!D738</f>
        <v>secondary</v>
      </c>
      <c r="F738" s="3" t="str">
        <f aca="false">Raw_Data!E738</f>
        <v>no</v>
      </c>
      <c r="G738" s="3" t="n">
        <f aca="false">Raw_Data!F738</f>
        <v>204</v>
      </c>
      <c r="H738" s="3" t="str">
        <f aca="false">Raw_Data!G738</f>
        <v>no</v>
      </c>
      <c r="I738" s="3" t="str">
        <f aca="false">Raw_Data!H738</f>
        <v>no</v>
      </c>
      <c r="J738" s="2" t="n">
        <f aca="false">IF(F738="yes",1,0)</f>
        <v>0</v>
      </c>
      <c r="K738" s="2" t="n">
        <f aca="false">IF(H738="yes",1,0)</f>
        <v>0</v>
      </c>
      <c r="L738" s="2" t="n">
        <f aca="false">IF(I738="yes",1,0)</f>
        <v>0</v>
      </c>
      <c r="M738" s="2" t="n">
        <f aca="false">IF(G738&lt;0,1,0)</f>
        <v>0</v>
      </c>
      <c r="N738" s="2" t="str">
        <f aca="false">_xlfn.IFS(B738&lt;30,"Under 30",B738&lt;40,"30-39",B738&lt;50,"40-49",B738&lt;60,"50-59",TRUE(),"60+")</f>
        <v>50-59</v>
      </c>
      <c r="O738" s="2" t="str">
        <f aca="false">_xlfn.IFS(G738&lt;0,"1 Negative",G738=0,"2 Zero",G738&lt;=500,"3 1-500",G738&lt;=2000,"4 501-2000",TRUE(),"5 Above 2000")</f>
        <v>3 1-500</v>
      </c>
      <c r="P738" s="2" t="n">
        <f aca="false">Lookups!$B$2*M738+Lookups!$B$3*L738</f>
        <v>0</v>
      </c>
      <c r="Q738" s="2" t="str">
        <f aca="false">INDEX(Lookups!$E$2:$E$5,MATCH(P738,Lookups!$D$2:$D$5,0))</f>
        <v>Low</v>
      </c>
    </row>
    <row r="739" customFormat="false" ht="15" hidden="false" customHeight="false" outlineLevel="0" collapsed="false">
      <c r="A739" s="3" t="n">
        <v>738</v>
      </c>
      <c r="B739" s="3" t="n">
        <f aca="false">Raw_Data!A739</f>
        <v>36</v>
      </c>
      <c r="C739" s="3" t="str">
        <f aca="false">SUBSTITUTE(Raw_Data!B739,".","")</f>
        <v>technician</v>
      </c>
      <c r="D739" s="3" t="str">
        <f aca="false">Raw_Data!C739</f>
        <v>married</v>
      </c>
      <c r="E739" s="3" t="str">
        <f aca="false">Raw_Data!D739</f>
        <v>secondary</v>
      </c>
      <c r="F739" s="3" t="str">
        <f aca="false">Raw_Data!E739</f>
        <v>no</v>
      </c>
      <c r="G739" s="3" t="n">
        <f aca="false">Raw_Data!F739</f>
        <v>480</v>
      </c>
      <c r="H739" s="3" t="str">
        <f aca="false">Raw_Data!G739</f>
        <v>no</v>
      </c>
      <c r="I739" s="3" t="str">
        <f aca="false">Raw_Data!H739</f>
        <v>no</v>
      </c>
      <c r="J739" s="2" t="n">
        <f aca="false">IF(F739="yes",1,0)</f>
        <v>0</v>
      </c>
      <c r="K739" s="2" t="n">
        <f aca="false">IF(H739="yes",1,0)</f>
        <v>0</v>
      </c>
      <c r="L739" s="2" t="n">
        <f aca="false">IF(I739="yes",1,0)</f>
        <v>0</v>
      </c>
      <c r="M739" s="2" t="n">
        <f aca="false">IF(G739&lt;0,1,0)</f>
        <v>0</v>
      </c>
      <c r="N739" s="2" t="str">
        <f aca="false">_xlfn.IFS(B739&lt;30,"Under 30",B739&lt;40,"30-39",B739&lt;50,"40-49",B739&lt;60,"50-59",TRUE(),"60+")</f>
        <v>30-39</v>
      </c>
      <c r="O739" s="2" t="str">
        <f aca="false">_xlfn.IFS(G739&lt;0,"1 Negative",G739=0,"2 Zero",G739&lt;=500,"3 1-500",G739&lt;=2000,"4 501-2000",TRUE(),"5 Above 2000")</f>
        <v>3 1-500</v>
      </c>
      <c r="P739" s="2" t="n">
        <f aca="false">Lookups!$B$2*M739+Lookups!$B$3*L739</f>
        <v>0</v>
      </c>
      <c r="Q739" s="2" t="str">
        <f aca="false">INDEX(Lookups!$E$2:$E$5,MATCH(P739,Lookups!$D$2:$D$5,0))</f>
        <v>Low</v>
      </c>
    </row>
    <row r="740" customFormat="false" ht="15" hidden="false" customHeight="false" outlineLevel="0" collapsed="false">
      <c r="A740" s="3" t="n">
        <v>739</v>
      </c>
      <c r="B740" s="3" t="n">
        <f aca="false">Raw_Data!A740</f>
        <v>36</v>
      </c>
      <c r="C740" s="3" t="str">
        <f aca="false">SUBSTITUTE(Raw_Data!B740,".","")</f>
        <v>technician</v>
      </c>
      <c r="D740" s="3" t="str">
        <f aca="false">Raw_Data!C740</f>
        <v>single</v>
      </c>
      <c r="E740" s="3" t="str">
        <f aca="false">Raw_Data!D740</f>
        <v>secondary</v>
      </c>
      <c r="F740" s="3" t="str">
        <f aca="false">Raw_Data!E740</f>
        <v>no</v>
      </c>
      <c r="G740" s="3" t="n">
        <f aca="false">Raw_Data!F740</f>
        <v>1855</v>
      </c>
      <c r="H740" s="3" t="str">
        <f aca="false">Raw_Data!G740</f>
        <v>yes</v>
      </c>
      <c r="I740" s="3" t="str">
        <f aca="false">Raw_Data!H740</f>
        <v>no</v>
      </c>
      <c r="J740" s="2" t="n">
        <f aca="false">IF(F740="yes",1,0)</f>
        <v>0</v>
      </c>
      <c r="K740" s="2" t="n">
        <f aca="false">IF(H740="yes",1,0)</f>
        <v>1</v>
      </c>
      <c r="L740" s="2" t="n">
        <f aca="false">IF(I740="yes",1,0)</f>
        <v>0</v>
      </c>
      <c r="M740" s="2" t="n">
        <f aca="false">IF(G740&lt;0,1,0)</f>
        <v>0</v>
      </c>
      <c r="N740" s="2" t="str">
        <f aca="false">_xlfn.IFS(B740&lt;30,"Under 30",B740&lt;40,"30-39",B740&lt;50,"40-49",B740&lt;60,"50-59",TRUE(),"60+")</f>
        <v>30-39</v>
      </c>
      <c r="O740" s="2" t="str">
        <f aca="false">_xlfn.IFS(G740&lt;0,"1 Negative",G740=0,"2 Zero",G740&lt;=500,"3 1-500",G740&lt;=2000,"4 501-2000",TRUE(),"5 Above 2000")</f>
        <v>4 501-2000</v>
      </c>
      <c r="P740" s="2" t="n">
        <f aca="false">Lookups!$B$2*M740+Lookups!$B$3*L740</f>
        <v>0</v>
      </c>
      <c r="Q740" s="2" t="str">
        <f aca="false">INDEX(Lookups!$E$2:$E$5,MATCH(P740,Lookups!$D$2:$D$5,0))</f>
        <v>Low</v>
      </c>
    </row>
    <row r="741" customFormat="false" ht="15" hidden="false" customHeight="false" outlineLevel="0" collapsed="false">
      <c r="A741" s="3" t="n">
        <v>740</v>
      </c>
      <c r="B741" s="3" t="n">
        <f aca="false">Raw_Data!A741</f>
        <v>46</v>
      </c>
      <c r="C741" s="3" t="str">
        <f aca="false">SUBSTITUTE(Raw_Data!B741,".","")</f>
        <v>services</v>
      </c>
      <c r="D741" s="3" t="str">
        <f aca="false">Raw_Data!C741</f>
        <v>married</v>
      </c>
      <c r="E741" s="3" t="str">
        <f aca="false">Raw_Data!D741</f>
        <v>secondary</v>
      </c>
      <c r="F741" s="3" t="str">
        <f aca="false">Raw_Data!E741</f>
        <v>no</v>
      </c>
      <c r="G741" s="3" t="n">
        <f aca="false">Raw_Data!F741</f>
        <v>1034</v>
      </c>
      <c r="H741" s="3" t="str">
        <f aca="false">Raw_Data!G741</f>
        <v>no</v>
      </c>
      <c r="I741" s="3" t="str">
        <f aca="false">Raw_Data!H741</f>
        <v>no</v>
      </c>
      <c r="J741" s="2" t="n">
        <f aca="false">IF(F741="yes",1,0)</f>
        <v>0</v>
      </c>
      <c r="K741" s="2" t="n">
        <f aca="false">IF(H741="yes",1,0)</f>
        <v>0</v>
      </c>
      <c r="L741" s="2" t="n">
        <f aca="false">IF(I741="yes",1,0)</f>
        <v>0</v>
      </c>
      <c r="M741" s="2" t="n">
        <f aca="false">IF(G741&lt;0,1,0)</f>
        <v>0</v>
      </c>
      <c r="N741" s="2" t="str">
        <f aca="false">_xlfn.IFS(B741&lt;30,"Under 30",B741&lt;40,"30-39",B741&lt;50,"40-49",B741&lt;60,"50-59",TRUE(),"60+")</f>
        <v>40-49</v>
      </c>
      <c r="O741" s="2" t="str">
        <f aca="false">_xlfn.IFS(G741&lt;0,"1 Negative",G741=0,"2 Zero",G741&lt;=500,"3 1-500",G741&lt;=2000,"4 501-2000",TRUE(),"5 Above 2000")</f>
        <v>4 501-2000</v>
      </c>
      <c r="P741" s="2" t="n">
        <f aca="false">Lookups!$B$2*M741+Lookups!$B$3*L741</f>
        <v>0</v>
      </c>
      <c r="Q741" s="2" t="str">
        <f aca="false">INDEX(Lookups!$E$2:$E$5,MATCH(P741,Lookups!$D$2:$D$5,0))</f>
        <v>Low</v>
      </c>
    </row>
    <row r="742" customFormat="false" ht="15" hidden="false" customHeight="false" outlineLevel="0" collapsed="false">
      <c r="A742" s="3" t="n">
        <v>741</v>
      </c>
      <c r="B742" s="3" t="n">
        <f aca="false">Raw_Data!A742</f>
        <v>57</v>
      </c>
      <c r="C742" s="3" t="str">
        <f aca="false">SUBSTITUTE(Raw_Data!B742,".","")</f>
        <v>management</v>
      </c>
      <c r="D742" s="3" t="str">
        <f aca="false">Raw_Data!C742</f>
        <v>married</v>
      </c>
      <c r="E742" s="3" t="str">
        <f aca="false">Raw_Data!D742</f>
        <v>tertiary</v>
      </c>
      <c r="F742" s="3" t="str">
        <f aca="false">Raw_Data!E742</f>
        <v>no</v>
      </c>
      <c r="G742" s="3" t="n">
        <f aca="false">Raw_Data!F742</f>
        <v>3250</v>
      </c>
      <c r="H742" s="3" t="str">
        <f aca="false">Raw_Data!G742</f>
        <v>no</v>
      </c>
      <c r="I742" s="3" t="str">
        <f aca="false">Raw_Data!H742</f>
        <v>no</v>
      </c>
      <c r="J742" s="2" t="n">
        <f aca="false">IF(F742="yes",1,0)</f>
        <v>0</v>
      </c>
      <c r="K742" s="2" t="n">
        <f aca="false">IF(H742="yes",1,0)</f>
        <v>0</v>
      </c>
      <c r="L742" s="2" t="n">
        <f aca="false">IF(I742="yes",1,0)</f>
        <v>0</v>
      </c>
      <c r="M742" s="2" t="n">
        <f aca="false">IF(G742&lt;0,1,0)</f>
        <v>0</v>
      </c>
      <c r="N742" s="2" t="str">
        <f aca="false">_xlfn.IFS(B742&lt;30,"Under 30",B742&lt;40,"30-39",B742&lt;50,"40-49",B742&lt;60,"50-59",TRUE(),"60+")</f>
        <v>50-59</v>
      </c>
      <c r="O742" s="2" t="str">
        <f aca="false">_xlfn.IFS(G742&lt;0,"1 Negative",G742=0,"2 Zero",G742&lt;=500,"3 1-500",G742&lt;=2000,"4 501-2000",TRUE(),"5 Above 2000")</f>
        <v>5 Above 2000</v>
      </c>
      <c r="P742" s="2" t="n">
        <f aca="false">Lookups!$B$2*M742+Lookups!$B$3*L742</f>
        <v>0</v>
      </c>
      <c r="Q742" s="2" t="str">
        <f aca="false">INDEX(Lookups!$E$2:$E$5,MATCH(P742,Lookups!$D$2:$D$5,0))</f>
        <v>Low</v>
      </c>
    </row>
    <row r="743" customFormat="false" ht="15" hidden="false" customHeight="false" outlineLevel="0" collapsed="false">
      <c r="A743" s="3" t="n">
        <v>742</v>
      </c>
      <c r="B743" s="3" t="n">
        <f aca="false">Raw_Data!A743</f>
        <v>28</v>
      </c>
      <c r="C743" s="3" t="str">
        <f aca="false">SUBSTITUTE(Raw_Data!B743,".","")</f>
        <v>management</v>
      </c>
      <c r="D743" s="3" t="str">
        <f aca="false">Raw_Data!C743</f>
        <v>single</v>
      </c>
      <c r="E743" s="3" t="str">
        <f aca="false">Raw_Data!D743</f>
        <v>secondary</v>
      </c>
      <c r="F743" s="3" t="str">
        <f aca="false">Raw_Data!E743</f>
        <v>no</v>
      </c>
      <c r="G743" s="3" t="n">
        <f aca="false">Raw_Data!F743</f>
        <v>1633</v>
      </c>
      <c r="H743" s="3" t="str">
        <f aca="false">Raw_Data!G743</f>
        <v>no</v>
      </c>
      <c r="I743" s="3" t="str">
        <f aca="false">Raw_Data!H743</f>
        <v>no</v>
      </c>
      <c r="J743" s="2" t="n">
        <f aca="false">IF(F743="yes",1,0)</f>
        <v>0</v>
      </c>
      <c r="K743" s="2" t="n">
        <f aca="false">IF(H743="yes",1,0)</f>
        <v>0</v>
      </c>
      <c r="L743" s="2" t="n">
        <f aca="false">IF(I743="yes",1,0)</f>
        <v>0</v>
      </c>
      <c r="M743" s="2" t="n">
        <f aca="false">IF(G743&lt;0,1,0)</f>
        <v>0</v>
      </c>
      <c r="N743" s="2" t="str">
        <f aca="false">_xlfn.IFS(B743&lt;30,"Under 30",B743&lt;40,"30-39",B743&lt;50,"40-49",B743&lt;60,"50-59",TRUE(),"60+")</f>
        <v>Under 30</v>
      </c>
      <c r="O743" s="2" t="str">
        <f aca="false">_xlfn.IFS(G743&lt;0,"1 Negative",G743=0,"2 Zero",G743&lt;=500,"3 1-500",G743&lt;=2000,"4 501-2000",TRUE(),"5 Above 2000")</f>
        <v>4 501-2000</v>
      </c>
      <c r="P743" s="2" t="n">
        <f aca="false">Lookups!$B$2*M743+Lookups!$B$3*L743</f>
        <v>0</v>
      </c>
      <c r="Q743" s="2" t="str">
        <f aca="false">INDEX(Lookups!$E$2:$E$5,MATCH(P743,Lookups!$D$2:$D$5,0))</f>
        <v>Low</v>
      </c>
    </row>
    <row r="744" customFormat="false" ht="15" hidden="false" customHeight="false" outlineLevel="0" collapsed="false">
      <c r="A744" s="3" t="n">
        <v>743</v>
      </c>
      <c r="B744" s="3" t="n">
        <f aca="false">Raw_Data!A744</f>
        <v>46</v>
      </c>
      <c r="C744" s="3" t="str">
        <f aca="false">SUBSTITUTE(Raw_Data!B744,".","")</f>
        <v>services</v>
      </c>
      <c r="D744" s="3" t="str">
        <f aca="false">Raw_Data!C744</f>
        <v>married</v>
      </c>
      <c r="E744" s="3" t="str">
        <f aca="false">Raw_Data!D744</f>
        <v>secondary</v>
      </c>
      <c r="F744" s="3" t="str">
        <f aca="false">Raw_Data!E744</f>
        <v>no</v>
      </c>
      <c r="G744" s="3" t="n">
        <f aca="false">Raw_Data!F744</f>
        <v>0</v>
      </c>
      <c r="H744" s="3" t="str">
        <f aca="false">Raw_Data!G744</f>
        <v>yes</v>
      </c>
      <c r="I744" s="3" t="str">
        <f aca="false">Raw_Data!H744</f>
        <v>no</v>
      </c>
      <c r="J744" s="2" t="n">
        <f aca="false">IF(F744="yes",1,0)</f>
        <v>0</v>
      </c>
      <c r="K744" s="2" t="n">
        <f aca="false">IF(H744="yes",1,0)</f>
        <v>1</v>
      </c>
      <c r="L744" s="2" t="n">
        <f aca="false">IF(I744="yes",1,0)</f>
        <v>0</v>
      </c>
      <c r="M744" s="2" t="n">
        <f aca="false">IF(G744&lt;0,1,0)</f>
        <v>0</v>
      </c>
      <c r="N744" s="2" t="str">
        <f aca="false">_xlfn.IFS(B744&lt;30,"Under 30",B744&lt;40,"30-39",B744&lt;50,"40-49",B744&lt;60,"50-59",TRUE(),"60+")</f>
        <v>40-49</v>
      </c>
      <c r="O744" s="2" t="str">
        <f aca="false">_xlfn.IFS(G744&lt;0,"1 Negative",G744=0,"2 Zero",G744&lt;=500,"3 1-500",G744&lt;=2000,"4 501-2000",TRUE(),"5 Above 2000")</f>
        <v>2 Zero</v>
      </c>
      <c r="P744" s="2" t="n">
        <f aca="false">Lookups!$B$2*M744+Lookups!$B$3*L744</f>
        <v>0</v>
      </c>
      <c r="Q744" s="2" t="str">
        <f aca="false">INDEX(Lookups!$E$2:$E$5,MATCH(P744,Lookups!$D$2:$D$5,0))</f>
        <v>Low</v>
      </c>
    </row>
    <row r="745" customFormat="false" ht="15" hidden="false" customHeight="false" outlineLevel="0" collapsed="false">
      <c r="A745" s="3" t="n">
        <v>744</v>
      </c>
      <c r="B745" s="3" t="n">
        <f aca="false">Raw_Data!A745</f>
        <v>55</v>
      </c>
      <c r="C745" s="3" t="str">
        <f aca="false">SUBSTITUTE(Raw_Data!B745,".","")</f>
        <v>retired</v>
      </c>
      <c r="D745" s="3" t="str">
        <f aca="false">Raw_Data!C745</f>
        <v>married</v>
      </c>
      <c r="E745" s="3" t="str">
        <f aca="false">Raw_Data!D745</f>
        <v>primary</v>
      </c>
      <c r="F745" s="3" t="str">
        <f aca="false">Raw_Data!E745</f>
        <v>no</v>
      </c>
      <c r="G745" s="3" t="n">
        <f aca="false">Raw_Data!F745</f>
        <v>3334</v>
      </c>
      <c r="H745" s="3" t="str">
        <f aca="false">Raw_Data!G745</f>
        <v>no</v>
      </c>
      <c r="I745" s="3" t="str">
        <f aca="false">Raw_Data!H745</f>
        <v>no</v>
      </c>
      <c r="J745" s="2" t="n">
        <f aca="false">IF(F745="yes",1,0)</f>
        <v>0</v>
      </c>
      <c r="K745" s="2" t="n">
        <f aca="false">IF(H745="yes",1,0)</f>
        <v>0</v>
      </c>
      <c r="L745" s="2" t="n">
        <f aca="false">IF(I745="yes",1,0)</f>
        <v>0</v>
      </c>
      <c r="M745" s="2" t="n">
        <f aca="false">IF(G745&lt;0,1,0)</f>
        <v>0</v>
      </c>
      <c r="N745" s="2" t="str">
        <f aca="false">_xlfn.IFS(B745&lt;30,"Under 30",B745&lt;40,"30-39",B745&lt;50,"40-49",B745&lt;60,"50-59",TRUE(),"60+")</f>
        <v>50-59</v>
      </c>
      <c r="O745" s="2" t="str">
        <f aca="false">_xlfn.IFS(G745&lt;0,"1 Negative",G745=0,"2 Zero",G745&lt;=500,"3 1-500",G745&lt;=2000,"4 501-2000",TRUE(),"5 Above 2000")</f>
        <v>5 Above 2000</v>
      </c>
      <c r="P745" s="2" t="n">
        <f aca="false">Lookups!$B$2*M745+Lookups!$B$3*L745</f>
        <v>0</v>
      </c>
      <c r="Q745" s="2" t="str">
        <f aca="false">INDEX(Lookups!$E$2:$E$5,MATCH(P745,Lookups!$D$2:$D$5,0))</f>
        <v>Low</v>
      </c>
    </row>
    <row r="746" customFormat="false" ht="15" hidden="false" customHeight="false" outlineLevel="0" collapsed="false">
      <c r="A746" s="3" t="n">
        <v>745</v>
      </c>
      <c r="B746" s="3" t="n">
        <f aca="false">Raw_Data!A746</f>
        <v>33</v>
      </c>
      <c r="C746" s="3" t="str">
        <f aca="false">SUBSTITUTE(Raw_Data!B746,".","")</f>
        <v>management</v>
      </c>
      <c r="D746" s="3" t="str">
        <f aca="false">Raw_Data!C746</f>
        <v>married</v>
      </c>
      <c r="E746" s="3" t="str">
        <f aca="false">Raw_Data!D746</f>
        <v>tertiary</v>
      </c>
      <c r="F746" s="3" t="str">
        <f aca="false">Raw_Data!E746</f>
        <v>no</v>
      </c>
      <c r="G746" s="3" t="n">
        <f aca="false">Raw_Data!F746</f>
        <v>4020</v>
      </c>
      <c r="H746" s="3" t="str">
        <f aca="false">Raw_Data!G746</f>
        <v>yes</v>
      </c>
      <c r="I746" s="3" t="str">
        <f aca="false">Raw_Data!H746</f>
        <v>yes</v>
      </c>
      <c r="J746" s="2" t="n">
        <f aca="false">IF(F746="yes",1,0)</f>
        <v>0</v>
      </c>
      <c r="K746" s="2" t="n">
        <f aca="false">IF(H746="yes",1,0)</f>
        <v>1</v>
      </c>
      <c r="L746" s="2" t="n">
        <f aca="false">IF(I746="yes",1,0)</f>
        <v>1</v>
      </c>
      <c r="M746" s="2" t="n">
        <f aca="false">IF(G746&lt;0,1,0)</f>
        <v>0</v>
      </c>
      <c r="N746" s="2" t="str">
        <f aca="false">_xlfn.IFS(B746&lt;30,"Under 30",B746&lt;40,"30-39",B746&lt;50,"40-49",B746&lt;60,"50-59",TRUE(),"60+")</f>
        <v>30-39</v>
      </c>
      <c r="O746" s="2" t="str">
        <f aca="false">_xlfn.IFS(G746&lt;0,"1 Negative",G746=0,"2 Zero",G746&lt;=500,"3 1-500",G746&lt;=2000,"4 501-2000",TRUE(),"5 Above 2000")</f>
        <v>5 Above 2000</v>
      </c>
      <c r="P746" s="2" t="n">
        <f aca="false">Lookups!$B$2*M746+Lookups!$B$3*L746</f>
        <v>1</v>
      </c>
      <c r="Q746" s="2" t="str">
        <f aca="false">INDEX(Lookups!$E$2:$E$5,MATCH(P746,Lookups!$D$2:$D$5,0))</f>
        <v>Medium</v>
      </c>
    </row>
    <row r="747" customFormat="false" ht="15" hidden="false" customHeight="false" outlineLevel="0" collapsed="false">
      <c r="A747" s="3" t="n">
        <v>746</v>
      </c>
      <c r="B747" s="3" t="n">
        <f aca="false">Raw_Data!A747</f>
        <v>53</v>
      </c>
      <c r="C747" s="3" t="str">
        <f aca="false">SUBSTITUTE(Raw_Data!B747,".","")</f>
        <v>management</v>
      </c>
      <c r="D747" s="3" t="str">
        <f aca="false">Raw_Data!C747</f>
        <v>married</v>
      </c>
      <c r="E747" s="3" t="str">
        <f aca="false">Raw_Data!D747</f>
        <v>secondary</v>
      </c>
      <c r="F747" s="3" t="str">
        <f aca="false">Raw_Data!E747</f>
        <v>no</v>
      </c>
      <c r="G747" s="3" t="n">
        <f aca="false">Raw_Data!F747</f>
        <v>66</v>
      </c>
      <c r="H747" s="3" t="str">
        <f aca="false">Raw_Data!G747</f>
        <v>no</v>
      </c>
      <c r="I747" s="3" t="str">
        <f aca="false">Raw_Data!H747</f>
        <v>yes</v>
      </c>
      <c r="J747" s="2" t="n">
        <f aca="false">IF(F747="yes",1,0)</f>
        <v>0</v>
      </c>
      <c r="K747" s="2" t="n">
        <f aca="false">IF(H747="yes",1,0)</f>
        <v>0</v>
      </c>
      <c r="L747" s="2" t="n">
        <f aca="false">IF(I747="yes",1,0)</f>
        <v>1</v>
      </c>
      <c r="M747" s="2" t="n">
        <f aca="false">IF(G747&lt;0,1,0)</f>
        <v>0</v>
      </c>
      <c r="N747" s="2" t="str">
        <f aca="false">_xlfn.IFS(B747&lt;30,"Under 30",B747&lt;40,"30-39",B747&lt;50,"40-49",B747&lt;60,"50-59",TRUE(),"60+")</f>
        <v>50-59</v>
      </c>
      <c r="O747" s="2" t="str">
        <f aca="false">_xlfn.IFS(G747&lt;0,"1 Negative",G747=0,"2 Zero",G747&lt;=500,"3 1-500",G747&lt;=2000,"4 501-2000",TRUE(),"5 Above 2000")</f>
        <v>3 1-500</v>
      </c>
      <c r="P747" s="2" t="n">
        <f aca="false">Lookups!$B$2*M747+Lookups!$B$3*L747</f>
        <v>1</v>
      </c>
      <c r="Q747" s="2" t="str">
        <f aca="false">INDEX(Lookups!$E$2:$E$5,MATCH(P747,Lookups!$D$2:$D$5,0))</f>
        <v>Medium</v>
      </c>
    </row>
    <row r="748" customFormat="false" ht="15" hidden="false" customHeight="false" outlineLevel="0" collapsed="false">
      <c r="A748" s="3" t="n">
        <v>747</v>
      </c>
      <c r="B748" s="3" t="n">
        <f aca="false">Raw_Data!A748</f>
        <v>41</v>
      </c>
      <c r="C748" s="3" t="str">
        <f aca="false">SUBSTITUTE(Raw_Data!B748,".","")</f>
        <v>technician</v>
      </c>
      <c r="D748" s="3" t="str">
        <f aca="false">Raw_Data!C748</f>
        <v>single</v>
      </c>
      <c r="E748" s="3" t="str">
        <f aca="false">Raw_Data!D748</f>
        <v>secondary</v>
      </c>
      <c r="F748" s="3" t="str">
        <f aca="false">Raw_Data!E748</f>
        <v>no</v>
      </c>
      <c r="G748" s="3" t="n">
        <f aca="false">Raw_Data!F748</f>
        <v>-41</v>
      </c>
      <c r="H748" s="3" t="str">
        <f aca="false">Raw_Data!G748</f>
        <v>yes</v>
      </c>
      <c r="I748" s="3" t="str">
        <f aca="false">Raw_Data!H748</f>
        <v>yes</v>
      </c>
      <c r="J748" s="2" t="n">
        <f aca="false">IF(F748="yes",1,0)</f>
        <v>0</v>
      </c>
      <c r="K748" s="2" t="n">
        <f aca="false">IF(H748="yes",1,0)</f>
        <v>1</v>
      </c>
      <c r="L748" s="2" t="n">
        <f aca="false">IF(I748="yes",1,0)</f>
        <v>1</v>
      </c>
      <c r="M748" s="2" t="n">
        <f aca="false">IF(G748&lt;0,1,0)</f>
        <v>1</v>
      </c>
      <c r="N748" s="2" t="str">
        <f aca="false">_xlfn.IFS(B748&lt;30,"Under 30",B748&lt;40,"30-39",B748&lt;50,"40-49",B748&lt;60,"50-59",TRUE(),"60+")</f>
        <v>40-49</v>
      </c>
      <c r="O748" s="2" t="str">
        <f aca="false">_xlfn.IFS(G748&lt;0,"1 Negative",G748=0,"2 Zero",G748&lt;=500,"3 1-500",G748&lt;=2000,"4 501-2000",TRUE(),"5 Above 2000")</f>
        <v>1 Negative</v>
      </c>
      <c r="P748" s="2" t="n">
        <f aca="false">Lookups!$B$2*M748+Lookups!$B$3*L748</f>
        <v>3</v>
      </c>
      <c r="Q748" s="2" t="str">
        <f aca="false">INDEX(Lookups!$E$2:$E$5,MATCH(P748,Lookups!$D$2:$D$5,0))</f>
        <v>High</v>
      </c>
    </row>
    <row r="749" customFormat="false" ht="15" hidden="false" customHeight="false" outlineLevel="0" collapsed="false">
      <c r="A749" s="3" t="n">
        <v>748</v>
      </c>
      <c r="B749" s="3" t="n">
        <f aca="false">Raw_Data!A749</f>
        <v>60</v>
      </c>
      <c r="C749" s="3" t="str">
        <f aca="false">SUBSTITUTE(Raw_Data!B749,".","")</f>
        <v>blue-collar</v>
      </c>
      <c r="D749" s="3" t="str">
        <f aca="false">Raw_Data!C749</f>
        <v>married</v>
      </c>
      <c r="E749" s="3" t="str">
        <f aca="false">Raw_Data!D749</f>
        <v>secondary</v>
      </c>
      <c r="F749" s="3" t="str">
        <f aca="false">Raw_Data!E749</f>
        <v>no</v>
      </c>
      <c r="G749" s="3" t="n">
        <f aca="false">Raw_Data!F749</f>
        <v>322</v>
      </c>
      <c r="H749" s="3" t="str">
        <f aca="false">Raw_Data!G749</f>
        <v>yes</v>
      </c>
      <c r="I749" s="3" t="str">
        <f aca="false">Raw_Data!H749</f>
        <v>no</v>
      </c>
      <c r="J749" s="2" t="n">
        <f aca="false">IF(F749="yes",1,0)</f>
        <v>0</v>
      </c>
      <c r="K749" s="2" t="n">
        <f aca="false">IF(H749="yes",1,0)</f>
        <v>1</v>
      </c>
      <c r="L749" s="2" t="n">
        <f aca="false">IF(I749="yes",1,0)</f>
        <v>0</v>
      </c>
      <c r="M749" s="2" t="n">
        <f aca="false">IF(G749&lt;0,1,0)</f>
        <v>0</v>
      </c>
      <c r="N749" s="2" t="str">
        <f aca="false">_xlfn.IFS(B749&lt;30,"Under 30",B749&lt;40,"30-39",B749&lt;50,"40-49",B749&lt;60,"50-59",TRUE(),"60+")</f>
        <v>60+</v>
      </c>
      <c r="O749" s="2" t="str">
        <f aca="false">_xlfn.IFS(G749&lt;0,"1 Negative",G749=0,"2 Zero",G749&lt;=500,"3 1-500",G749&lt;=2000,"4 501-2000",TRUE(),"5 Above 2000")</f>
        <v>3 1-500</v>
      </c>
      <c r="P749" s="2" t="n">
        <f aca="false">Lookups!$B$2*M749+Lookups!$B$3*L749</f>
        <v>0</v>
      </c>
      <c r="Q749" s="2" t="str">
        <f aca="false">INDEX(Lookups!$E$2:$E$5,MATCH(P749,Lookups!$D$2:$D$5,0))</f>
        <v>Low</v>
      </c>
    </row>
    <row r="750" customFormat="false" ht="15" hidden="false" customHeight="false" outlineLevel="0" collapsed="false">
      <c r="A750" s="3" t="n">
        <v>749</v>
      </c>
      <c r="B750" s="3" t="n">
        <f aca="false">Raw_Data!A750</f>
        <v>35</v>
      </c>
      <c r="C750" s="3" t="str">
        <f aca="false">SUBSTITUTE(Raw_Data!B750,".","")</f>
        <v>entrepreneur</v>
      </c>
      <c r="D750" s="3" t="str">
        <f aca="false">Raw_Data!C750</f>
        <v>married</v>
      </c>
      <c r="E750" s="3" t="str">
        <f aca="false">Raw_Data!D750</f>
        <v>primary</v>
      </c>
      <c r="F750" s="3" t="str">
        <f aca="false">Raw_Data!E750</f>
        <v>no</v>
      </c>
      <c r="G750" s="3" t="n">
        <f aca="false">Raw_Data!F750</f>
        <v>2643</v>
      </c>
      <c r="H750" s="3" t="str">
        <f aca="false">Raw_Data!G750</f>
        <v>no</v>
      </c>
      <c r="I750" s="3" t="str">
        <f aca="false">Raw_Data!H750</f>
        <v>yes</v>
      </c>
      <c r="J750" s="2" t="n">
        <f aca="false">IF(F750="yes",1,0)</f>
        <v>0</v>
      </c>
      <c r="K750" s="2" t="n">
        <f aca="false">IF(H750="yes",1,0)</f>
        <v>0</v>
      </c>
      <c r="L750" s="2" t="n">
        <f aca="false">IF(I750="yes",1,0)</f>
        <v>1</v>
      </c>
      <c r="M750" s="2" t="n">
        <f aca="false">IF(G750&lt;0,1,0)</f>
        <v>0</v>
      </c>
      <c r="N750" s="2" t="str">
        <f aca="false">_xlfn.IFS(B750&lt;30,"Under 30",B750&lt;40,"30-39",B750&lt;50,"40-49",B750&lt;60,"50-59",TRUE(),"60+")</f>
        <v>30-39</v>
      </c>
      <c r="O750" s="2" t="str">
        <f aca="false">_xlfn.IFS(G750&lt;0,"1 Negative",G750=0,"2 Zero",G750&lt;=500,"3 1-500",G750&lt;=2000,"4 501-2000",TRUE(),"5 Above 2000")</f>
        <v>5 Above 2000</v>
      </c>
      <c r="P750" s="2" t="n">
        <f aca="false">Lookups!$B$2*M750+Lookups!$B$3*L750</f>
        <v>1</v>
      </c>
      <c r="Q750" s="2" t="str">
        <f aca="false">INDEX(Lookups!$E$2:$E$5,MATCH(P750,Lookups!$D$2:$D$5,0))</f>
        <v>Medium</v>
      </c>
    </row>
    <row r="751" customFormat="false" ht="15" hidden="false" customHeight="false" outlineLevel="0" collapsed="false">
      <c r="A751" s="3" t="n">
        <v>750</v>
      </c>
      <c r="B751" s="3" t="n">
        <f aca="false">Raw_Data!A751</f>
        <v>43</v>
      </c>
      <c r="C751" s="3" t="str">
        <f aca="false">SUBSTITUTE(Raw_Data!B751,".","")</f>
        <v>blue-collar</v>
      </c>
      <c r="D751" s="3" t="str">
        <f aca="false">Raw_Data!C751</f>
        <v>divorced</v>
      </c>
      <c r="E751" s="3" t="str">
        <f aca="false">Raw_Data!D751</f>
        <v>primary</v>
      </c>
      <c r="F751" s="3" t="str">
        <f aca="false">Raw_Data!E751</f>
        <v>no</v>
      </c>
      <c r="G751" s="3" t="n">
        <f aca="false">Raw_Data!F751</f>
        <v>49</v>
      </c>
      <c r="H751" s="3" t="str">
        <f aca="false">Raw_Data!G751</f>
        <v>yes</v>
      </c>
      <c r="I751" s="3" t="str">
        <f aca="false">Raw_Data!H751</f>
        <v>no</v>
      </c>
      <c r="J751" s="2" t="n">
        <f aca="false">IF(F751="yes",1,0)</f>
        <v>0</v>
      </c>
      <c r="K751" s="2" t="n">
        <f aca="false">IF(H751="yes",1,0)</f>
        <v>1</v>
      </c>
      <c r="L751" s="2" t="n">
        <f aca="false">IF(I751="yes",1,0)</f>
        <v>0</v>
      </c>
      <c r="M751" s="2" t="n">
        <f aca="false">IF(G751&lt;0,1,0)</f>
        <v>0</v>
      </c>
      <c r="N751" s="2" t="str">
        <f aca="false">_xlfn.IFS(B751&lt;30,"Under 30",B751&lt;40,"30-39",B751&lt;50,"40-49",B751&lt;60,"50-59",TRUE(),"60+")</f>
        <v>40-49</v>
      </c>
      <c r="O751" s="2" t="str">
        <f aca="false">_xlfn.IFS(G751&lt;0,"1 Negative",G751=0,"2 Zero",G751&lt;=500,"3 1-500",G751&lt;=2000,"4 501-2000",TRUE(),"5 Above 2000")</f>
        <v>3 1-500</v>
      </c>
      <c r="P751" s="2" t="n">
        <f aca="false">Lookups!$B$2*M751+Lookups!$B$3*L751</f>
        <v>0</v>
      </c>
      <c r="Q751" s="2" t="str">
        <f aca="false">INDEX(Lookups!$E$2:$E$5,MATCH(P751,Lookups!$D$2:$D$5,0))</f>
        <v>Low</v>
      </c>
    </row>
    <row r="752" customFormat="false" ht="15" hidden="false" customHeight="false" outlineLevel="0" collapsed="false">
      <c r="A752" s="3" t="n">
        <v>751</v>
      </c>
      <c r="B752" s="3" t="n">
        <f aca="false">Raw_Data!A752</f>
        <v>57</v>
      </c>
      <c r="C752" s="3" t="str">
        <f aca="false">SUBSTITUTE(Raw_Data!B752,".","")</f>
        <v>admin</v>
      </c>
      <c r="D752" s="3" t="str">
        <f aca="false">Raw_Data!C752</f>
        <v>divorced</v>
      </c>
      <c r="E752" s="3" t="str">
        <f aca="false">Raw_Data!D752</f>
        <v>primary</v>
      </c>
      <c r="F752" s="3" t="str">
        <f aca="false">Raw_Data!E752</f>
        <v>no</v>
      </c>
      <c r="G752" s="3" t="n">
        <f aca="false">Raw_Data!F752</f>
        <v>1</v>
      </c>
      <c r="H752" s="3" t="str">
        <f aca="false">Raw_Data!G752</f>
        <v>no</v>
      </c>
      <c r="I752" s="3" t="str">
        <f aca="false">Raw_Data!H752</f>
        <v>no</v>
      </c>
      <c r="J752" s="2" t="n">
        <f aca="false">IF(F752="yes",1,0)</f>
        <v>0</v>
      </c>
      <c r="K752" s="2" t="n">
        <f aca="false">IF(H752="yes",1,0)</f>
        <v>0</v>
      </c>
      <c r="L752" s="2" t="n">
        <f aca="false">IF(I752="yes",1,0)</f>
        <v>0</v>
      </c>
      <c r="M752" s="2" t="n">
        <f aca="false">IF(G752&lt;0,1,0)</f>
        <v>0</v>
      </c>
      <c r="N752" s="2" t="str">
        <f aca="false">_xlfn.IFS(B752&lt;30,"Under 30",B752&lt;40,"30-39",B752&lt;50,"40-49",B752&lt;60,"50-59",TRUE(),"60+")</f>
        <v>50-59</v>
      </c>
      <c r="O752" s="2" t="str">
        <f aca="false">_xlfn.IFS(G752&lt;0,"1 Negative",G752=0,"2 Zero",G752&lt;=500,"3 1-500",G752&lt;=2000,"4 501-2000",TRUE(),"5 Above 2000")</f>
        <v>3 1-500</v>
      </c>
      <c r="P752" s="2" t="n">
        <f aca="false">Lookups!$B$2*M752+Lookups!$B$3*L752</f>
        <v>0</v>
      </c>
      <c r="Q752" s="2" t="str">
        <f aca="false">INDEX(Lookups!$E$2:$E$5,MATCH(P752,Lookups!$D$2:$D$5,0))</f>
        <v>Low</v>
      </c>
    </row>
    <row r="753" customFormat="false" ht="15" hidden="false" customHeight="false" outlineLevel="0" collapsed="false">
      <c r="A753" s="3" t="n">
        <v>752</v>
      </c>
      <c r="B753" s="3" t="n">
        <f aca="false">Raw_Data!A753</f>
        <v>46</v>
      </c>
      <c r="C753" s="3" t="str">
        <f aca="false">SUBSTITUTE(Raw_Data!B753,".","")</f>
        <v>admin</v>
      </c>
      <c r="D753" s="3" t="str">
        <f aca="false">Raw_Data!C753</f>
        <v>married</v>
      </c>
      <c r="E753" s="3" t="str">
        <f aca="false">Raw_Data!D753</f>
        <v>secondary</v>
      </c>
      <c r="F753" s="3" t="str">
        <f aca="false">Raw_Data!E753</f>
        <v>no</v>
      </c>
      <c r="G753" s="3" t="n">
        <f aca="false">Raw_Data!F753</f>
        <v>3098</v>
      </c>
      <c r="H753" s="3" t="str">
        <f aca="false">Raw_Data!G753</f>
        <v>yes</v>
      </c>
      <c r="I753" s="3" t="str">
        <f aca="false">Raw_Data!H753</f>
        <v>no</v>
      </c>
      <c r="J753" s="2" t="n">
        <f aca="false">IF(F753="yes",1,0)</f>
        <v>0</v>
      </c>
      <c r="K753" s="2" t="n">
        <f aca="false">IF(H753="yes",1,0)</f>
        <v>1</v>
      </c>
      <c r="L753" s="2" t="n">
        <f aca="false">IF(I753="yes",1,0)</f>
        <v>0</v>
      </c>
      <c r="M753" s="2" t="n">
        <f aca="false">IF(G753&lt;0,1,0)</f>
        <v>0</v>
      </c>
      <c r="N753" s="2" t="str">
        <f aca="false">_xlfn.IFS(B753&lt;30,"Under 30",B753&lt;40,"30-39",B753&lt;50,"40-49",B753&lt;60,"50-59",TRUE(),"60+")</f>
        <v>40-49</v>
      </c>
      <c r="O753" s="2" t="str">
        <f aca="false">_xlfn.IFS(G753&lt;0,"1 Negative",G753=0,"2 Zero",G753&lt;=500,"3 1-500",G753&lt;=2000,"4 501-2000",TRUE(),"5 Above 2000")</f>
        <v>5 Above 2000</v>
      </c>
      <c r="P753" s="2" t="n">
        <f aca="false">Lookups!$B$2*M753+Lookups!$B$3*L753</f>
        <v>0</v>
      </c>
      <c r="Q753" s="2" t="str">
        <f aca="false">INDEX(Lookups!$E$2:$E$5,MATCH(P753,Lookups!$D$2:$D$5,0))</f>
        <v>Low</v>
      </c>
    </row>
    <row r="754" customFormat="false" ht="15" hidden="false" customHeight="false" outlineLevel="0" collapsed="false">
      <c r="A754" s="3" t="n">
        <v>753</v>
      </c>
      <c r="B754" s="3" t="n">
        <f aca="false">Raw_Data!A754</f>
        <v>31</v>
      </c>
      <c r="C754" s="3" t="str">
        <f aca="false">SUBSTITUTE(Raw_Data!B754,".","")</f>
        <v>blue-collar</v>
      </c>
      <c r="D754" s="3" t="str">
        <f aca="false">Raw_Data!C754</f>
        <v>married</v>
      </c>
      <c r="E754" s="3" t="str">
        <f aca="false">Raw_Data!D754</f>
        <v>primary</v>
      </c>
      <c r="F754" s="3" t="str">
        <f aca="false">Raw_Data!E754</f>
        <v>no</v>
      </c>
      <c r="G754" s="3" t="n">
        <f aca="false">Raw_Data!F754</f>
        <v>352</v>
      </c>
      <c r="H754" s="3" t="str">
        <f aca="false">Raw_Data!G754</f>
        <v>yes</v>
      </c>
      <c r="I754" s="3" t="str">
        <f aca="false">Raw_Data!H754</f>
        <v>no</v>
      </c>
      <c r="J754" s="2" t="n">
        <f aca="false">IF(F754="yes",1,0)</f>
        <v>0</v>
      </c>
      <c r="K754" s="2" t="n">
        <f aca="false">IF(H754="yes",1,0)</f>
        <v>1</v>
      </c>
      <c r="L754" s="2" t="n">
        <f aca="false">IF(I754="yes",1,0)</f>
        <v>0</v>
      </c>
      <c r="M754" s="2" t="n">
        <f aca="false">IF(G754&lt;0,1,0)</f>
        <v>0</v>
      </c>
      <c r="N754" s="2" t="str">
        <f aca="false">_xlfn.IFS(B754&lt;30,"Under 30",B754&lt;40,"30-39",B754&lt;50,"40-49",B754&lt;60,"50-59",TRUE(),"60+")</f>
        <v>30-39</v>
      </c>
      <c r="O754" s="2" t="str">
        <f aca="false">_xlfn.IFS(G754&lt;0,"1 Negative",G754=0,"2 Zero",G754&lt;=500,"3 1-500",G754&lt;=2000,"4 501-2000",TRUE(),"5 Above 2000")</f>
        <v>3 1-500</v>
      </c>
      <c r="P754" s="2" t="n">
        <f aca="false">Lookups!$B$2*M754+Lookups!$B$3*L754</f>
        <v>0</v>
      </c>
      <c r="Q754" s="2" t="str">
        <f aca="false">INDEX(Lookups!$E$2:$E$5,MATCH(P754,Lookups!$D$2:$D$5,0))</f>
        <v>Low</v>
      </c>
    </row>
    <row r="755" customFormat="false" ht="15" hidden="false" customHeight="false" outlineLevel="0" collapsed="false">
      <c r="A755" s="3" t="n">
        <v>754</v>
      </c>
      <c r="B755" s="3" t="n">
        <f aca="false">Raw_Data!A755</f>
        <v>53</v>
      </c>
      <c r="C755" s="3" t="str">
        <f aca="false">SUBSTITUTE(Raw_Data!B755,".","")</f>
        <v>technician</v>
      </c>
      <c r="D755" s="3" t="str">
        <f aca="false">Raw_Data!C755</f>
        <v>married</v>
      </c>
      <c r="E755" s="3" t="str">
        <f aca="false">Raw_Data!D755</f>
        <v>secondary</v>
      </c>
      <c r="F755" s="3" t="str">
        <f aca="false">Raw_Data!E755</f>
        <v>no</v>
      </c>
      <c r="G755" s="3" t="n">
        <f aca="false">Raw_Data!F755</f>
        <v>65</v>
      </c>
      <c r="H755" s="3" t="str">
        <f aca="false">Raw_Data!G755</f>
        <v>no</v>
      </c>
      <c r="I755" s="3" t="str">
        <f aca="false">Raw_Data!H755</f>
        <v>no</v>
      </c>
      <c r="J755" s="2" t="n">
        <f aca="false">IF(F755="yes",1,0)</f>
        <v>0</v>
      </c>
      <c r="K755" s="2" t="n">
        <f aca="false">IF(H755="yes",1,0)</f>
        <v>0</v>
      </c>
      <c r="L755" s="2" t="n">
        <f aca="false">IF(I755="yes",1,0)</f>
        <v>0</v>
      </c>
      <c r="M755" s="2" t="n">
        <f aca="false">IF(G755&lt;0,1,0)</f>
        <v>0</v>
      </c>
      <c r="N755" s="2" t="str">
        <f aca="false">_xlfn.IFS(B755&lt;30,"Under 30",B755&lt;40,"30-39",B755&lt;50,"40-49",B755&lt;60,"50-59",TRUE(),"60+")</f>
        <v>50-59</v>
      </c>
      <c r="O755" s="2" t="str">
        <f aca="false">_xlfn.IFS(G755&lt;0,"1 Negative",G755=0,"2 Zero",G755&lt;=500,"3 1-500",G755&lt;=2000,"4 501-2000",TRUE(),"5 Above 2000")</f>
        <v>3 1-500</v>
      </c>
      <c r="P755" s="2" t="n">
        <f aca="false">Lookups!$B$2*M755+Lookups!$B$3*L755</f>
        <v>0</v>
      </c>
      <c r="Q755" s="2" t="str">
        <f aca="false">INDEX(Lookups!$E$2:$E$5,MATCH(P755,Lookups!$D$2:$D$5,0))</f>
        <v>Low</v>
      </c>
    </row>
    <row r="756" customFormat="false" ht="15" hidden="false" customHeight="false" outlineLevel="0" collapsed="false">
      <c r="A756" s="3" t="n">
        <v>755</v>
      </c>
      <c r="B756" s="3" t="n">
        <f aca="false">Raw_Data!A756</f>
        <v>35</v>
      </c>
      <c r="C756" s="3" t="str">
        <f aca="false">SUBSTITUTE(Raw_Data!B756,".","")</f>
        <v>blue-collar</v>
      </c>
      <c r="D756" s="3" t="str">
        <f aca="false">Raw_Data!C756</f>
        <v>married</v>
      </c>
      <c r="E756" s="3" t="str">
        <f aca="false">Raw_Data!D756</f>
        <v>secondary</v>
      </c>
      <c r="F756" s="3" t="str">
        <f aca="false">Raw_Data!E756</f>
        <v>no</v>
      </c>
      <c r="G756" s="3" t="n">
        <f aca="false">Raw_Data!F756</f>
        <v>1949</v>
      </c>
      <c r="H756" s="3" t="str">
        <f aca="false">Raw_Data!G756</f>
        <v>yes</v>
      </c>
      <c r="I756" s="3" t="str">
        <f aca="false">Raw_Data!H756</f>
        <v>no</v>
      </c>
      <c r="J756" s="2" t="n">
        <f aca="false">IF(F756="yes",1,0)</f>
        <v>0</v>
      </c>
      <c r="K756" s="2" t="n">
        <f aca="false">IF(H756="yes",1,0)</f>
        <v>1</v>
      </c>
      <c r="L756" s="2" t="n">
        <f aca="false">IF(I756="yes",1,0)</f>
        <v>0</v>
      </c>
      <c r="M756" s="2" t="n">
        <f aca="false">IF(G756&lt;0,1,0)</f>
        <v>0</v>
      </c>
      <c r="N756" s="2" t="str">
        <f aca="false">_xlfn.IFS(B756&lt;30,"Under 30",B756&lt;40,"30-39",B756&lt;50,"40-49",B756&lt;60,"50-59",TRUE(),"60+")</f>
        <v>30-39</v>
      </c>
      <c r="O756" s="2" t="str">
        <f aca="false">_xlfn.IFS(G756&lt;0,"1 Negative",G756=0,"2 Zero",G756&lt;=500,"3 1-500",G756&lt;=2000,"4 501-2000",TRUE(),"5 Above 2000")</f>
        <v>4 501-2000</v>
      </c>
      <c r="P756" s="2" t="n">
        <f aca="false">Lookups!$B$2*M756+Lookups!$B$3*L756</f>
        <v>0</v>
      </c>
      <c r="Q756" s="2" t="str">
        <f aca="false">INDEX(Lookups!$E$2:$E$5,MATCH(P756,Lookups!$D$2:$D$5,0))</f>
        <v>Low</v>
      </c>
    </row>
    <row r="757" customFormat="false" ht="15" hidden="false" customHeight="false" outlineLevel="0" collapsed="false">
      <c r="A757" s="3" t="n">
        <v>756</v>
      </c>
      <c r="B757" s="3" t="n">
        <f aca="false">Raw_Data!A757</f>
        <v>32</v>
      </c>
      <c r="C757" s="3" t="str">
        <f aca="false">SUBSTITUTE(Raw_Data!B757,".","")</f>
        <v>admin</v>
      </c>
      <c r="D757" s="3" t="str">
        <f aca="false">Raw_Data!C757</f>
        <v>single</v>
      </c>
      <c r="E757" s="3" t="str">
        <f aca="false">Raw_Data!D757</f>
        <v>secondary</v>
      </c>
      <c r="F757" s="3" t="str">
        <f aca="false">Raw_Data!E757</f>
        <v>no</v>
      </c>
      <c r="G757" s="3" t="n">
        <f aca="false">Raw_Data!F757</f>
        <v>739</v>
      </c>
      <c r="H757" s="3" t="str">
        <f aca="false">Raw_Data!G757</f>
        <v>yes</v>
      </c>
      <c r="I757" s="3" t="str">
        <f aca="false">Raw_Data!H757</f>
        <v>no</v>
      </c>
      <c r="J757" s="2" t="n">
        <f aca="false">IF(F757="yes",1,0)</f>
        <v>0</v>
      </c>
      <c r="K757" s="2" t="n">
        <f aca="false">IF(H757="yes",1,0)</f>
        <v>1</v>
      </c>
      <c r="L757" s="2" t="n">
        <f aca="false">IF(I757="yes",1,0)</f>
        <v>0</v>
      </c>
      <c r="M757" s="2" t="n">
        <f aca="false">IF(G757&lt;0,1,0)</f>
        <v>0</v>
      </c>
      <c r="N757" s="2" t="str">
        <f aca="false">_xlfn.IFS(B757&lt;30,"Under 30",B757&lt;40,"30-39",B757&lt;50,"40-49",B757&lt;60,"50-59",TRUE(),"60+")</f>
        <v>30-39</v>
      </c>
      <c r="O757" s="2" t="str">
        <f aca="false">_xlfn.IFS(G757&lt;0,"1 Negative",G757=0,"2 Zero",G757&lt;=500,"3 1-500",G757&lt;=2000,"4 501-2000",TRUE(),"5 Above 2000")</f>
        <v>4 501-2000</v>
      </c>
      <c r="P757" s="2" t="n">
        <f aca="false">Lookups!$B$2*M757+Lookups!$B$3*L757</f>
        <v>0</v>
      </c>
      <c r="Q757" s="2" t="str">
        <f aca="false">INDEX(Lookups!$E$2:$E$5,MATCH(P757,Lookups!$D$2:$D$5,0))</f>
        <v>Low</v>
      </c>
    </row>
    <row r="758" customFormat="false" ht="15" hidden="false" customHeight="false" outlineLevel="0" collapsed="false">
      <c r="A758" s="3" t="n">
        <v>757</v>
      </c>
      <c r="B758" s="3" t="n">
        <f aca="false">Raw_Data!A758</f>
        <v>48</v>
      </c>
      <c r="C758" s="3" t="str">
        <f aca="false">SUBSTITUTE(Raw_Data!B758,".","")</f>
        <v>management</v>
      </c>
      <c r="D758" s="3" t="str">
        <f aca="false">Raw_Data!C758</f>
        <v>married</v>
      </c>
      <c r="E758" s="3" t="str">
        <f aca="false">Raw_Data!D758</f>
        <v>tertiary</v>
      </c>
      <c r="F758" s="3" t="str">
        <f aca="false">Raw_Data!E758</f>
        <v>no</v>
      </c>
      <c r="G758" s="3" t="n">
        <f aca="false">Raw_Data!F758</f>
        <v>1167</v>
      </c>
      <c r="H758" s="3" t="str">
        <f aca="false">Raw_Data!G758</f>
        <v>yes</v>
      </c>
      <c r="I758" s="3" t="str">
        <f aca="false">Raw_Data!H758</f>
        <v>yes</v>
      </c>
      <c r="J758" s="2" t="n">
        <f aca="false">IF(F758="yes",1,0)</f>
        <v>0</v>
      </c>
      <c r="K758" s="2" t="n">
        <f aca="false">IF(H758="yes",1,0)</f>
        <v>1</v>
      </c>
      <c r="L758" s="2" t="n">
        <f aca="false">IF(I758="yes",1,0)</f>
        <v>1</v>
      </c>
      <c r="M758" s="2" t="n">
        <f aca="false">IF(G758&lt;0,1,0)</f>
        <v>0</v>
      </c>
      <c r="N758" s="2" t="str">
        <f aca="false">_xlfn.IFS(B758&lt;30,"Under 30",B758&lt;40,"30-39",B758&lt;50,"40-49",B758&lt;60,"50-59",TRUE(),"60+")</f>
        <v>40-49</v>
      </c>
      <c r="O758" s="2" t="str">
        <f aca="false">_xlfn.IFS(G758&lt;0,"1 Negative",G758=0,"2 Zero",G758&lt;=500,"3 1-500",G758&lt;=2000,"4 501-2000",TRUE(),"5 Above 2000")</f>
        <v>4 501-2000</v>
      </c>
      <c r="P758" s="2" t="n">
        <f aca="false">Lookups!$B$2*M758+Lookups!$B$3*L758</f>
        <v>1</v>
      </c>
      <c r="Q758" s="2" t="str">
        <f aca="false">INDEX(Lookups!$E$2:$E$5,MATCH(P758,Lookups!$D$2:$D$5,0))</f>
        <v>Medium</v>
      </c>
    </row>
    <row r="759" customFormat="false" ht="15" hidden="false" customHeight="false" outlineLevel="0" collapsed="false">
      <c r="A759" s="3" t="n">
        <v>758</v>
      </c>
      <c r="B759" s="3" t="n">
        <f aca="false">Raw_Data!A759</f>
        <v>50</v>
      </c>
      <c r="C759" s="3" t="str">
        <f aca="false">SUBSTITUTE(Raw_Data!B759,".","")</f>
        <v>admin</v>
      </c>
      <c r="D759" s="3" t="str">
        <f aca="false">Raw_Data!C759</f>
        <v>married</v>
      </c>
      <c r="E759" s="3" t="str">
        <f aca="false">Raw_Data!D759</f>
        <v>secondary</v>
      </c>
      <c r="F759" s="3" t="str">
        <f aca="false">Raw_Data!E759</f>
        <v>no</v>
      </c>
      <c r="G759" s="3" t="n">
        <f aca="false">Raw_Data!F759</f>
        <v>231</v>
      </c>
      <c r="H759" s="3" t="str">
        <f aca="false">Raw_Data!G759</f>
        <v>yes</v>
      </c>
      <c r="I759" s="3" t="str">
        <f aca="false">Raw_Data!H759</f>
        <v>no</v>
      </c>
      <c r="J759" s="2" t="n">
        <f aca="false">IF(F759="yes",1,0)</f>
        <v>0</v>
      </c>
      <c r="K759" s="2" t="n">
        <f aca="false">IF(H759="yes",1,0)</f>
        <v>1</v>
      </c>
      <c r="L759" s="2" t="n">
        <f aca="false">IF(I759="yes",1,0)</f>
        <v>0</v>
      </c>
      <c r="M759" s="2" t="n">
        <f aca="false">IF(G759&lt;0,1,0)</f>
        <v>0</v>
      </c>
      <c r="N759" s="2" t="str">
        <f aca="false">_xlfn.IFS(B759&lt;30,"Under 30",B759&lt;40,"30-39",B759&lt;50,"40-49",B759&lt;60,"50-59",TRUE(),"60+")</f>
        <v>50-59</v>
      </c>
      <c r="O759" s="2" t="str">
        <f aca="false">_xlfn.IFS(G759&lt;0,"1 Negative",G759=0,"2 Zero",G759&lt;=500,"3 1-500",G759&lt;=2000,"4 501-2000",TRUE(),"5 Above 2000")</f>
        <v>3 1-500</v>
      </c>
      <c r="P759" s="2" t="n">
        <f aca="false">Lookups!$B$2*M759+Lookups!$B$3*L759</f>
        <v>0</v>
      </c>
      <c r="Q759" s="2" t="str">
        <f aca="false">INDEX(Lookups!$E$2:$E$5,MATCH(P759,Lookups!$D$2:$D$5,0))</f>
        <v>Low</v>
      </c>
    </row>
    <row r="760" customFormat="false" ht="15" hidden="false" customHeight="false" outlineLevel="0" collapsed="false">
      <c r="A760" s="3" t="n">
        <v>759</v>
      </c>
      <c r="B760" s="3" t="n">
        <f aca="false">Raw_Data!A760</f>
        <v>40</v>
      </c>
      <c r="C760" s="3" t="str">
        <f aca="false">SUBSTITUTE(Raw_Data!B760,".","")</f>
        <v>blue-collar</v>
      </c>
      <c r="D760" s="3" t="str">
        <f aca="false">Raw_Data!C760</f>
        <v>married</v>
      </c>
      <c r="E760" s="3" t="str">
        <f aca="false">Raw_Data!D760</f>
        <v>primary</v>
      </c>
      <c r="F760" s="3" t="str">
        <f aca="false">Raw_Data!E760</f>
        <v>no</v>
      </c>
      <c r="G760" s="3" t="n">
        <f aca="false">Raw_Data!F760</f>
        <v>1136</v>
      </c>
      <c r="H760" s="3" t="str">
        <f aca="false">Raw_Data!G760</f>
        <v>yes</v>
      </c>
      <c r="I760" s="3" t="str">
        <f aca="false">Raw_Data!H760</f>
        <v>no</v>
      </c>
      <c r="J760" s="2" t="n">
        <f aca="false">IF(F760="yes",1,0)</f>
        <v>0</v>
      </c>
      <c r="K760" s="2" t="n">
        <f aca="false">IF(H760="yes",1,0)</f>
        <v>1</v>
      </c>
      <c r="L760" s="2" t="n">
        <f aca="false">IF(I760="yes",1,0)</f>
        <v>0</v>
      </c>
      <c r="M760" s="2" t="n">
        <f aca="false">IF(G760&lt;0,1,0)</f>
        <v>0</v>
      </c>
      <c r="N760" s="2" t="str">
        <f aca="false">_xlfn.IFS(B760&lt;30,"Under 30",B760&lt;40,"30-39",B760&lt;50,"40-49",B760&lt;60,"50-59",TRUE(),"60+")</f>
        <v>40-49</v>
      </c>
      <c r="O760" s="2" t="str">
        <f aca="false">_xlfn.IFS(G760&lt;0,"1 Negative",G760=0,"2 Zero",G760&lt;=500,"3 1-500",G760&lt;=2000,"4 501-2000",TRUE(),"5 Above 2000")</f>
        <v>4 501-2000</v>
      </c>
      <c r="P760" s="2" t="n">
        <f aca="false">Lookups!$B$2*M760+Lookups!$B$3*L760</f>
        <v>0</v>
      </c>
      <c r="Q760" s="2" t="str">
        <f aca="false">INDEX(Lookups!$E$2:$E$5,MATCH(P760,Lookups!$D$2:$D$5,0))</f>
        <v>Low</v>
      </c>
    </row>
    <row r="761" customFormat="false" ht="15" hidden="false" customHeight="false" outlineLevel="0" collapsed="false">
      <c r="A761" s="3" t="n">
        <v>760</v>
      </c>
      <c r="B761" s="3" t="n">
        <f aca="false">Raw_Data!A761</f>
        <v>42</v>
      </c>
      <c r="C761" s="3" t="str">
        <f aca="false">SUBSTITUTE(Raw_Data!B761,".","")</f>
        <v>entrepreneur</v>
      </c>
      <c r="D761" s="3" t="str">
        <f aca="false">Raw_Data!C761</f>
        <v>married</v>
      </c>
      <c r="E761" s="3" t="str">
        <f aca="false">Raw_Data!D761</f>
        <v>tertiary</v>
      </c>
      <c r="F761" s="3" t="str">
        <f aca="false">Raw_Data!E761</f>
        <v>no</v>
      </c>
      <c r="G761" s="3" t="n">
        <f aca="false">Raw_Data!F761</f>
        <v>233</v>
      </c>
      <c r="H761" s="3" t="str">
        <f aca="false">Raw_Data!G761</f>
        <v>no</v>
      </c>
      <c r="I761" s="3" t="str">
        <f aca="false">Raw_Data!H761</f>
        <v>no</v>
      </c>
      <c r="J761" s="2" t="n">
        <f aca="false">IF(F761="yes",1,0)</f>
        <v>0</v>
      </c>
      <c r="K761" s="2" t="n">
        <f aca="false">IF(H761="yes",1,0)</f>
        <v>0</v>
      </c>
      <c r="L761" s="2" t="n">
        <f aca="false">IF(I761="yes",1,0)</f>
        <v>0</v>
      </c>
      <c r="M761" s="2" t="n">
        <f aca="false">IF(G761&lt;0,1,0)</f>
        <v>0</v>
      </c>
      <c r="N761" s="2" t="str">
        <f aca="false">_xlfn.IFS(B761&lt;30,"Under 30",B761&lt;40,"30-39",B761&lt;50,"40-49",B761&lt;60,"50-59",TRUE(),"60+")</f>
        <v>40-49</v>
      </c>
      <c r="O761" s="2" t="str">
        <f aca="false">_xlfn.IFS(G761&lt;0,"1 Negative",G761=0,"2 Zero",G761&lt;=500,"3 1-500",G761&lt;=2000,"4 501-2000",TRUE(),"5 Above 2000")</f>
        <v>3 1-500</v>
      </c>
      <c r="P761" s="2" t="n">
        <f aca="false">Lookups!$B$2*M761+Lookups!$B$3*L761</f>
        <v>0</v>
      </c>
      <c r="Q761" s="2" t="str">
        <f aca="false">INDEX(Lookups!$E$2:$E$5,MATCH(P761,Lookups!$D$2:$D$5,0))</f>
        <v>Low</v>
      </c>
    </row>
    <row r="762" customFormat="false" ht="15" hidden="false" customHeight="false" outlineLevel="0" collapsed="false">
      <c r="A762" s="3" t="n">
        <v>761</v>
      </c>
      <c r="B762" s="3" t="n">
        <f aca="false">Raw_Data!A762</f>
        <v>59</v>
      </c>
      <c r="C762" s="3" t="str">
        <f aca="false">SUBSTITUTE(Raw_Data!B762,".","")</f>
        <v>admin</v>
      </c>
      <c r="D762" s="3" t="str">
        <f aca="false">Raw_Data!C762</f>
        <v>married</v>
      </c>
      <c r="E762" s="3" t="str">
        <f aca="false">Raw_Data!D762</f>
        <v>secondary</v>
      </c>
      <c r="F762" s="3" t="str">
        <f aca="false">Raw_Data!E762</f>
        <v>no</v>
      </c>
      <c r="G762" s="3" t="n">
        <f aca="false">Raw_Data!F762</f>
        <v>817</v>
      </c>
      <c r="H762" s="3" t="str">
        <f aca="false">Raw_Data!G762</f>
        <v>no</v>
      </c>
      <c r="I762" s="3" t="str">
        <f aca="false">Raw_Data!H762</f>
        <v>no</v>
      </c>
      <c r="J762" s="2" t="n">
        <f aca="false">IF(F762="yes",1,0)</f>
        <v>0</v>
      </c>
      <c r="K762" s="2" t="n">
        <f aca="false">IF(H762="yes",1,0)</f>
        <v>0</v>
      </c>
      <c r="L762" s="2" t="n">
        <f aca="false">IF(I762="yes",1,0)</f>
        <v>0</v>
      </c>
      <c r="M762" s="2" t="n">
        <f aca="false">IF(G762&lt;0,1,0)</f>
        <v>0</v>
      </c>
      <c r="N762" s="2" t="str">
        <f aca="false">_xlfn.IFS(B762&lt;30,"Under 30",B762&lt;40,"30-39",B762&lt;50,"40-49",B762&lt;60,"50-59",TRUE(),"60+")</f>
        <v>50-59</v>
      </c>
      <c r="O762" s="2" t="str">
        <f aca="false">_xlfn.IFS(G762&lt;0,"1 Negative",G762=0,"2 Zero",G762&lt;=500,"3 1-500",G762&lt;=2000,"4 501-2000",TRUE(),"5 Above 2000")</f>
        <v>4 501-2000</v>
      </c>
      <c r="P762" s="2" t="n">
        <f aca="false">Lookups!$B$2*M762+Lookups!$B$3*L762</f>
        <v>0</v>
      </c>
      <c r="Q762" s="2" t="str">
        <f aca="false">INDEX(Lookups!$E$2:$E$5,MATCH(P762,Lookups!$D$2:$D$5,0))</f>
        <v>Low</v>
      </c>
    </row>
    <row r="763" customFormat="false" ht="15" hidden="false" customHeight="false" outlineLevel="0" collapsed="false">
      <c r="A763" s="3" t="n">
        <v>762</v>
      </c>
      <c r="B763" s="3" t="n">
        <f aca="false">Raw_Data!A763</f>
        <v>27</v>
      </c>
      <c r="C763" s="3" t="str">
        <f aca="false">SUBSTITUTE(Raw_Data!B763,".","")</f>
        <v>blue-collar</v>
      </c>
      <c r="D763" s="3" t="str">
        <f aca="false">Raw_Data!C763</f>
        <v>single</v>
      </c>
      <c r="E763" s="3" t="str">
        <f aca="false">Raw_Data!D763</f>
        <v>primary</v>
      </c>
      <c r="F763" s="3" t="str">
        <f aca="false">Raw_Data!E763</f>
        <v>no</v>
      </c>
      <c r="G763" s="3" t="n">
        <f aca="false">Raw_Data!F763</f>
        <v>1128</v>
      </c>
      <c r="H763" s="3" t="str">
        <f aca="false">Raw_Data!G763</f>
        <v>yes</v>
      </c>
      <c r="I763" s="3" t="str">
        <f aca="false">Raw_Data!H763</f>
        <v>no</v>
      </c>
      <c r="J763" s="2" t="n">
        <f aca="false">IF(F763="yes",1,0)</f>
        <v>0</v>
      </c>
      <c r="K763" s="2" t="n">
        <f aca="false">IF(H763="yes",1,0)</f>
        <v>1</v>
      </c>
      <c r="L763" s="2" t="n">
        <f aca="false">IF(I763="yes",1,0)</f>
        <v>0</v>
      </c>
      <c r="M763" s="2" t="n">
        <f aca="false">IF(G763&lt;0,1,0)</f>
        <v>0</v>
      </c>
      <c r="N763" s="2" t="str">
        <f aca="false">_xlfn.IFS(B763&lt;30,"Under 30",B763&lt;40,"30-39",B763&lt;50,"40-49",B763&lt;60,"50-59",TRUE(),"60+")</f>
        <v>Under 30</v>
      </c>
      <c r="O763" s="2" t="str">
        <f aca="false">_xlfn.IFS(G763&lt;0,"1 Negative",G763=0,"2 Zero",G763&lt;=500,"3 1-500",G763&lt;=2000,"4 501-2000",TRUE(),"5 Above 2000")</f>
        <v>4 501-2000</v>
      </c>
      <c r="P763" s="2" t="n">
        <f aca="false">Lookups!$B$2*M763+Lookups!$B$3*L763</f>
        <v>0</v>
      </c>
      <c r="Q763" s="2" t="str">
        <f aca="false">INDEX(Lookups!$E$2:$E$5,MATCH(P763,Lookups!$D$2:$D$5,0))</f>
        <v>Low</v>
      </c>
    </row>
    <row r="764" customFormat="false" ht="15" hidden="false" customHeight="false" outlineLevel="0" collapsed="false">
      <c r="A764" s="3" t="n">
        <v>763</v>
      </c>
      <c r="B764" s="3" t="n">
        <f aca="false">Raw_Data!A764</f>
        <v>32</v>
      </c>
      <c r="C764" s="3" t="str">
        <f aca="false">SUBSTITUTE(Raw_Data!B764,".","")</f>
        <v>management</v>
      </c>
      <c r="D764" s="3" t="str">
        <f aca="false">Raw_Data!C764</f>
        <v>single</v>
      </c>
      <c r="E764" s="3" t="str">
        <f aca="false">Raw_Data!D764</f>
        <v>tertiary</v>
      </c>
      <c r="F764" s="3" t="str">
        <f aca="false">Raw_Data!E764</f>
        <v>no</v>
      </c>
      <c r="G764" s="3" t="n">
        <f aca="false">Raw_Data!F764</f>
        <v>1831</v>
      </c>
      <c r="H764" s="3" t="str">
        <f aca="false">Raw_Data!G764</f>
        <v>yes</v>
      </c>
      <c r="I764" s="3" t="str">
        <f aca="false">Raw_Data!H764</f>
        <v>no</v>
      </c>
      <c r="J764" s="2" t="n">
        <f aca="false">IF(F764="yes",1,0)</f>
        <v>0</v>
      </c>
      <c r="K764" s="2" t="n">
        <f aca="false">IF(H764="yes",1,0)</f>
        <v>1</v>
      </c>
      <c r="L764" s="2" t="n">
        <f aca="false">IF(I764="yes",1,0)</f>
        <v>0</v>
      </c>
      <c r="M764" s="2" t="n">
        <f aca="false">IF(G764&lt;0,1,0)</f>
        <v>0</v>
      </c>
      <c r="N764" s="2" t="str">
        <f aca="false">_xlfn.IFS(B764&lt;30,"Under 30",B764&lt;40,"30-39",B764&lt;50,"40-49",B764&lt;60,"50-59",TRUE(),"60+")</f>
        <v>30-39</v>
      </c>
      <c r="O764" s="2" t="str">
        <f aca="false">_xlfn.IFS(G764&lt;0,"1 Negative",G764=0,"2 Zero",G764&lt;=500,"3 1-500",G764&lt;=2000,"4 501-2000",TRUE(),"5 Above 2000")</f>
        <v>4 501-2000</v>
      </c>
      <c r="P764" s="2" t="n">
        <f aca="false">Lookups!$B$2*M764+Lookups!$B$3*L764</f>
        <v>0</v>
      </c>
      <c r="Q764" s="2" t="str">
        <f aca="false">INDEX(Lookups!$E$2:$E$5,MATCH(P764,Lookups!$D$2:$D$5,0))</f>
        <v>Low</v>
      </c>
    </row>
    <row r="765" customFormat="false" ht="15" hidden="false" customHeight="false" outlineLevel="0" collapsed="false">
      <c r="A765" s="3" t="n">
        <v>764</v>
      </c>
      <c r="B765" s="3" t="n">
        <f aca="false">Raw_Data!A765</f>
        <v>35</v>
      </c>
      <c r="C765" s="3" t="str">
        <f aca="false">SUBSTITUTE(Raw_Data!B765,".","")</f>
        <v>technician</v>
      </c>
      <c r="D765" s="3" t="str">
        <f aca="false">Raw_Data!C765</f>
        <v>single</v>
      </c>
      <c r="E765" s="3" t="str">
        <f aca="false">Raw_Data!D765</f>
        <v>secondary</v>
      </c>
      <c r="F765" s="3" t="str">
        <f aca="false">Raw_Data!E765</f>
        <v>no</v>
      </c>
      <c r="G765" s="3" t="n">
        <f aca="false">Raw_Data!F765</f>
        <v>450</v>
      </c>
      <c r="H765" s="3" t="str">
        <f aca="false">Raw_Data!G765</f>
        <v>yes</v>
      </c>
      <c r="I765" s="3" t="str">
        <f aca="false">Raw_Data!H765</f>
        <v>no</v>
      </c>
      <c r="J765" s="2" t="n">
        <f aca="false">IF(F765="yes",1,0)</f>
        <v>0</v>
      </c>
      <c r="K765" s="2" t="n">
        <f aca="false">IF(H765="yes",1,0)</f>
        <v>1</v>
      </c>
      <c r="L765" s="2" t="n">
        <f aca="false">IF(I765="yes",1,0)</f>
        <v>0</v>
      </c>
      <c r="M765" s="2" t="n">
        <f aca="false">IF(G765&lt;0,1,0)</f>
        <v>0</v>
      </c>
      <c r="N765" s="2" t="str">
        <f aca="false">_xlfn.IFS(B765&lt;30,"Under 30",B765&lt;40,"30-39",B765&lt;50,"40-49",B765&lt;60,"50-59",TRUE(),"60+")</f>
        <v>30-39</v>
      </c>
      <c r="O765" s="2" t="str">
        <f aca="false">_xlfn.IFS(G765&lt;0,"1 Negative",G765=0,"2 Zero",G765&lt;=500,"3 1-500",G765&lt;=2000,"4 501-2000",TRUE(),"5 Above 2000")</f>
        <v>3 1-500</v>
      </c>
      <c r="P765" s="2" t="n">
        <f aca="false">Lookups!$B$2*M765+Lookups!$B$3*L765</f>
        <v>0</v>
      </c>
      <c r="Q765" s="2" t="str">
        <f aca="false">INDEX(Lookups!$E$2:$E$5,MATCH(P765,Lookups!$D$2:$D$5,0))</f>
        <v>Low</v>
      </c>
    </row>
    <row r="766" customFormat="false" ht="15" hidden="false" customHeight="false" outlineLevel="0" collapsed="false">
      <c r="A766" s="3" t="n">
        <v>765</v>
      </c>
      <c r="B766" s="3" t="n">
        <f aca="false">Raw_Data!A766</f>
        <v>28</v>
      </c>
      <c r="C766" s="3" t="str">
        <f aca="false">SUBSTITUTE(Raw_Data!B766,".","")</f>
        <v>services</v>
      </c>
      <c r="D766" s="3" t="str">
        <f aca="false">Raw_Data!C766</f>
        <v>married</v>
      </c>
      <c r="E766" s="3" t="str">
        <f aca="false">Raw_Data!D766</f>
        <v>secondary</v>
      </c>
      <c r="F766" s="3" t="str">
        <f aca="false">Raw_Data!E766</f>
        <v>no</v>
      </c>
      <c r="G766" s="3" t="n">
        <f aca="false">Raw_Data!F766</f>
        <v>0</v>
      </c>
      <c r="H766" s="3" t="str">
        <f aca="false">Raw_Data!G766</f>
        <v>yes</v>
      </c>
      <c r="I766" s="3" t="str">
        <f aca="false">Raw_Data!H766</f>
        <v>no</v>
      </c>
      <c r="J766" s="2" t="n">
        <f aca="false">IF(F766="yes",1,0)</f>
        <v>0</v>
      </c>
      <c r="K766" s="2" t="n">
        <f aca="false">IF(H766="yes",1,0)</f>
        <v>1</v>
      </c>
      <c r="L766" s="2" t="n">
        <f aca="false">IF(I766="yes",1,0)</f>
        <v>0</v>
      </c>
      <c r="M766" s="2" t="n">
        <f aca="false">IF(G766&lt;0,1,0)</f>
        <v>0</v>
      </c>
      <c r="N766" s="2" t="str">
        <f aca="false">_xlfn.IFS(B766&lt;30,"Under 30",B766&lt;40,"30-39",B766&lt;50,"40-49",B766&lt;60,"50-59",TRUE(),"60+")</f>
        <v>Under 30</v>
      </c>
      <c r="O766" s="2" t="str">
        <f aca="false">_xlfn.IFS(G766&lt;0,"1 Negative",G766=0,"2 Zero",G766&lt;=500,"3 1-500",G766&lt;=2000,"4 501-2000",TRUE(),"5 Above 2000")</f>
        <v>2 Zero</v>
      </c>
      <c r="P766" s="2" t="n">
        <f aca="false">Lookups!$B$2*M766+Lookups!$B$3*L766</f>
        <v>0</v>
      </c>
      <c r="Q766" s="2" t="str">
        <f aca="false">INDEX(Lookups!$E$2:$E$5,MATCH(P766,Lookups!$D$2:$D$5,0))</f>
        <v>Low</v>
      </c>
    </row>
    <row r="767" customFormat="false" ht="15" hidden="false" customHeight="false" outlineLevel="0" collapsed="false">
      <c r="A767" s="3" t="n">
        <v>766</v>
      </c>
      <c r="B767" s="3" t="n">
        <f aca="false">Raw_Data!A767</f>
        <v>37</v>
      </c>
      <c r="C767" s="3" t="str">
        <f aca="false">SUBSTITUTE(Raw_Data!B767,".","")</f>
        <v>management</v>
      </c>
      <c r="D767" s="3" t="str">
        <f aca="false">Raw_Data!C767</f>
        <v>divorced</v>
      </c>
      <c r="E767" s="3" t="str">
        <f aca="false">Raw_Data!D767</f>
        <v>secondary</v>
      </c>
      <c r="F767" s="3" t="str">
        <f aca="false">Raw_Data!E767</f>
        <v>no</v>
      </c>
      <c r="G767" s="3" t="n">
        <f aca="false">Raw_Data!F767</f>
        <v>414</v>
      </c>
      <c r="H767" s="3" t="str">
        <f aca="false">Raw_Data!G767</f>
        <v>no</v>
      </c>
      <c r="I767" s="3" t="str">
        <f aca="false">Raw_Data!H767</f>
        <v>no</v>
      </c>
      <c r="J767" s="2" t="n">
        <f aca="false">IF(F767="yes",1,0)</f>
        <v>0</v>
      </c>
      <c r="K767" s="2" t="n">
        <f aca="false">IF(H767="yes",1,0)</f>
        <v>0</v>
      </c>
      <c r="L767" s="2" t="n">
        <f aca="false">IF(I767="yes",1,0)</f>
        <v>0</v>
      </c>
      <c r="M767" s="2" t="n">
        <f aca="false">IF(G767&lt;0,1,0)</f>
        <v>0</v>
      </c>
      <c r="N767" s="2" t="str">
        <f aca="false">_xlfn.IFS(B767&lt;30,"Under 30",B767&lt;40,"30-39",B767&lt;50,"40-49",B767&lt;60,"50-59",TRUE(),"60+")</f>
        <v>30-39</v>
      </c>
      <c r="O767" s="2" t="str">
        <f aca="false">_xlfn.IFS(G767&lt;0,"1 Negative",G767=0,"2 Zero",G767&lt;=500,"3 1-500",G767&lt;=2000,"4 501-2000",TRUE(),"5 Above 2000")</f>
        <v>3 1-500</v>
      </c>
      <c r="P767" s="2" t="n">
        <f aca="false">Lookups!$B$2*M767+Lookups!$B$3*L767</f>
        <v>0</v>
      </c>
      <c r="Q767" s="2" t="str">
        <f aca="false">INDEX(Lookups!$E$2:$E$5,MATCH(P767,Lookups!$D$2:$D$5,0))</f>
        <v>Low</v>
      </c>
    </row>
    <row r="768" customFormat="false" ht="15" hidden="false" customHeight="false" outlineLevel="0" collapsed="false">
      <c r="A768" s="3" t="n">
        <v>767</v>
      </c>
      <c r="B768" s="3" t="n">
        <f aca="false">Raw_Data!A768</f>
        <v>57</v>
      </c>
      <c r="C768" s="3" t="str">
        <f aca="false">SUBSTITUTE(Raw_Data!B768,".","")</f>
        <v>management</v>
      </c>
      <c r="D768" s="3" t="str">
        <f aca="false">Raw_Data!C768</f>
        <v>married</v>
      </c>
      <c r="E768" s="3" t="str">
        <f aca="false">Raw_Data!D768</f>
        <v>primary</v>
      </c>
      <c r="F768" s="3" t="str">
        <f aca="false">Raw_Data!E768</f>
        <v>no</v>
      </c>
      <c r="G768" s="3" t="n">
        <f aca="false">Raw_Data!F768</f>
        <v>1052</v>
      </c>
      <c r="H768" s="3" t="str">
        <f aca="false">Raw_Data!G768</f>
        <v>yes</v>
      </c>
      <c r="I768" s="3" t="str">
        <f aca="false">Raw_Data!H768</f>
        <v>no</v>
      </c>
      <c r="J768" s="2" t="n">
        <f aca="false">IF(F768="yes",1,0)</f>
        <v>0</v>
      </c>
      <c r="K768" s="2" t="n">
        <f aca="false">IF(H768="yes",1,0)</f>
        <v>1</v>
      </c>
      <c r="L768" s="2" t="n">
        <f aca="false">IF(I768="yes",1,0)</f>
        <v>0</v>
      </c>
      <c r="M768" s="2" t="n">
        <f aca="false">IF(G768&lt;0,1,0)</f>
        <v>0</v>
      </c>
      <c r="N768" s="2" t="str">
        <f aca="false">_xlfn.IFS(B768&lt;30,"Under 30",B768&lt;40,"30-39",B768&lt;50,"40-49",B768&lt;60,"50-59",TRUE(),"60+")</f>
        <v>50-59</v>
      </c>
      <c r="O768" s="2" t="str">
        <f aca="false">_xlfn.IFS(G768&lt;0,"1 Negative",G768=0,"2 Zero",G768&lt;=500,"3 1-500",G768&lt;=2000,"4 501-2000",TRUE(),"5 Above 2000")</f>
        <v>4 501-2000</v>
      </c>
      <c r="P768" s="2" t="n">
        <f aca="false">Lookups!$B$2*M768+Lookups!$B$3*L768</f>
        <v>0</v>
      </c>
      <c r="Q768" s="2" t="str">
        <f aca="false">INDEX(Lookups!$E$2:$E$5,MATCH(P768,Lookups!$D$2:$D$5,0))</f>
        <v>Low</v>
      </c>
    </row>
    <row r="769" customFormat="false" ht="15" hidden="false" customHeight="false" outlineLevel="0" collapsed="false">
      <c r="A769" s="3" t="n">
        <v>768</v>
      </c>
      <c r="B769" s="3" t="n">
        <f aca="false">Raw_Data!A769</f>
        <v>42</v>
      </c>
      <c r="C769" s="3" t="str">
        <f aca="false">SUBSTITUTE(Raw_Data!B769,".","")</f>
        <v>admin</v>
      </c>
      <c r="D769" s="3" t="str">
        <f aca="false">Raw_Data!C769</f>
        <v>single</v>
      </c>
      <c r="E769" s="3" t="str">
        <f aca="false">Raw_Data!D769</f>
        <v>secondary</v>
      </c>
      <c r="F769" s="3" t="str">
        <f aca="false">Raw_Data!E769</f>
        <v>no</v>
      </c>
      <c r="G769" s="3" t="n">
        <f aca="false">Raw_Data!F769</f>
        <v>1022</v>
      </c>
      <c r="H769" s="3" t="str">
        <f aca="false">Raw_Data!G769</f>
        <v>yes</v>
      </c>
      <c r="I769" s="3" t="str">
        <f aca="false">Raw_Data!H769</f>
        <v>no</v>
      </c>
      <c r="J769" s="2" t="n">
        <f aca="false">IF(F769="yes",1,0)</f>
        <v>0</v>
      </c>
      <c r="K769" s="2" t="n">
        <f aca="false">IF(H769="yes",1,0)</f>
        <v>1</v>
      </c>
      <c r="L769" s="2" t="n">
        <f aca="false">IF(I769="yes",1,0)</f>
        <v>0</v>
      </c>
      <c r="M769" s="2" t="n">
        <f aca="false">IF(G769&lt;0,1,0)</f>
        <v>0</v>
      </c>
      <c r="N769" s="2" t="str">
        <f aca="false">_xlfn.IFS(B769&lt;30,"Under 30",B769&lt;40,"30-39",B769&lt;50,"40-49",B769&lt;60,"50-59",TRUE(),"60+")</f>
        <v>40-49</v>
      </c>
      <c r="O769" s="2" t="str">
        <f aca="false">_xlfn.IFS(G769&lt;0,"1 Negative",G769=0,"2 Zero",G769&lt;=500,"3 1-500",G769&lt;=2000,"4 501-2000",TRUE(),"5 Above 2000")</f>
        <v>4 501-2000</v>
      </c>
      <c r="P769" s="2" t="n">
        <f aca="false">Lookups!$B$2*M769+Lookups!$B$3*L769</f>
        <v>0</v>
      </c>
      <c r="Q769" s="2" t="str">
        <f aca="false">INDEX(Lookups!$E$2:$E$5,MATCH(P769,Lookups!$D$2:$D$5,0))</f>
        <v>Low</v>
      </c>
    </row>
    <row r="770" customFormat="false" ht="15" hidden="false" customHeight="false" outlineLevel="0" collapsed="false">
      <c r="A770" s="3" t="n">
        <v>769</v>
      </c>
      <c r="B770" s="3" t="n">
        <f aca="false">Raw_Data!A770</f>
        <v>55</v>
      </c>
      <c r="C770" s="3" t="str">
        <f aca="false">SUBSTITUTE(Raw_Data!B770,".","")</f>
        <v>admin</v>
      </c>
      <c r="D770" s="3" t="str">
        <f aca="false">Raw_Data!C770</f>
        <v>married</v>
      </c>
      <c r="E770" s="3" t="str">
        <f aca="false">Raw_Data!D770</f>
        <v>primary</v>
      </c>
      <c r="F770" s="3" t="str">
        <f aca="false">Raw_Data!E770</f>
        <v>no</v>
      </c>
      <c r="G770" s="3" t="n">
        <f aca="false">Raw_Data!F770</f>
        <v>343</v>
      </c>
      <c r="H770" s="3" t="str">
        <f aca="false">Raw_Data!G770</f>
        <v>yes</v>
      </c>
      <c r="I770" s="3" t="str">
        <f aca="false">Raw_Data!H770</f>
        <v>no</v>
      </c>
      <c r="J770" s="2" t="n">
        <f aca="false">IF(F770="yes",1,0)</f>
        <v>0</v>
      </c>
      <c r="K770" s="2" t="n">
        <f aca="false">IF(H770="yes",1,0)</f>
        <v>1</v>
      </c>
      <c r="L770" s="2" t="n">
        <f aca="false">IF(I770="yes",1,0)</f>
        <v>0</v>
      </c>
      <c r="M770" s="2" t="n">
        <f aca="false">IF(G770&lt;0,1,0)</f>
        <v>0</v>
      </c>
      <c r="N770" s="2" t="str">
        <f aca="false">_xlfn.IFS(B770&lt;30,"Under 30",B770&lt;40,"30-39",B770&lt;50,"40-49",B770&lt;60,"50-59",TRUE(),"60+")</f>
        <v>50-59</v>
      </c>
      <c r="O770" s="2" t="str">
        <f aca="false">_xlfn.IFS(G770&lt;0,"1 Negative",G770=0,"2 Zero",G770&lt;=500,"3 1-500",G770&lt;=2000,"4 501-2000",TRUE(),"5 Above 2000")</f>
        <v>3 1-500</v>
      </c>
      <c r="P770" s="2" t="n">
        <f aca="false">Lookups!$B$2*M770+Lookups!$B$3*L770</f>
        <v>0</v>
      </c>
      <c r="Q770" s="2" t="str">
        <f aca="false">INDEX(Lookups!$E$2:$E$5,MATCH(P770,Lookups!$D$2:$D$5,0))</f>
        <v>Low</v>
      </c>
    </row>
    <row r="771" customFormat="false" ht="15" hidden="false" customHeight="false" outlineLevel="0" collapsed="false">
      <c r="A771" s="3" t="n">
        <v>770</v>
      </c>
      <c r="B771" s="3" t="n">
        <f aca="false">Raw_Data!A771</f>
        <v>52</v>
      </c>
      <c r="C771" s="3" t="str">
        <f aca="false">SUBSTITUTE(Raw_Data!B771,".","")</f>
        <v>management</v>
      </c>
      <c r="D771" s="3" t="str">
        <f aca="false">Raw_Data!C771</f>
        <v>married</v>
      </c>
      <c r="E771" s="3" t="str">
        <f aca="false">Raw_Data!D771</f>
        <v>tertiary</v>
      </c>
      <c r="F771" s="3" t="str">
        <f aca="false">Raw_Data!E771</f>
        <v>no</v>
      </c>
      <c r="G771" s="3" t="n">
        <f aca="false">Raw_Data!F771</f>
        <v>1944</v>
      </c>
      <c r="H771" s="3" t="str">
        <f aca="false">Raw_Data!G771</f>
        <v>yes</v>
      </c>
      <c r="I771" s="3" t="str">
        <f aca="false">Raw_Data!H771</f>
        <v>no</v>
      </c>
      <c r="J771" s="2" t="n">
        <f aca="false">IF(F771="yes",1,0)</f>
        <v>0</v>
      </c>
      <c r="K771" s="2" t="n">
        <f aca="false">IF(H771="yes",1,0)</f>
        <v>1</v>
      </c>
      <c r="L771" s="2" t="n">
        <f aca="false">IF(I771="yes",1,0)</f>
        <v>0</v>
      </c>
      <c r="M771" s="2" t="n">
        <f aca="false">IF(G771&lt;0,1,0)</f>
        <v>0</v>
      </c>
      <c r="N771" s="2" t="str">
        <f aca="false">_xlfn.IFS(B771&lt;30,"Under 30",B771&lt;40,"30-39",B771&lt;50,"40-49",B771&lt;60,"50-59",TRUE(),"60+")</f>
        <v>50-59</v>
      </c>
      <c r="O771" s="2" t="str">
        <f aca="false">_xlfn.IFS(G771&lt;0,"1 Negative",G771=0,"2 Zero",G771&lt;=500,"3 1-500",G771&lt;=2000,"4 501-2000",TRUE(),"5 Above 2000")</f>
        <v>4 501-2000</v>
      </c>
      <c r="P771" s="2" t="n">
        <f aca="false">Lookups!$B$2*M771+Lookups!$B$3*L771</f>
        <v>0</v>
      </c>
      <c r="Q771" s="2" t="str">
        <f aca="false">INDEX(Lookups!$E$2:$E$5,MATCH(P771,Lookups!$D$2:$D$5,0))</f>
        <v>Low</v>
      </c>
    </row>
    <row r="772" customFormat="false" ht="15" hidden="false" customHeight="false" outlineLevel="0" collapsed="false">
      <c r="A772" s="3" t="n">
        <v>771</v>
      </c>
      <c r="B772" s="3" t="n">
        <f aca="false">Raw_Data!A772</f>
        <v>26</v>
      </c>
      <c r="C772" s="3" t="str">
        <f aca="false">SUBSTITUTE(Raw_Data!B772,".","")</f>
        <v>blue-collar</v>
      </c>
      <c r="D772" s="3" t="str">
        <f aca="false">Raw_Data!C772</f>
        <v>single</v>
      </c>
      <c r="E772" s="3" t="str">
        <f aca="false">Raw_Data!D772</f>
        <v>secondary</v>
      </c>
      <c r="F772" s="3" t="str">
        <f aca="false">Raw_Data!E772</f>
        <v>no</v>
      </c>
      <c r="G772" s="3" t="n">
        <f aca="false">Raw_Data!F772</f>
        <v>-32</v>
      </c>
      <c r="H772" s="3" t="str">
        <f aca="false">Raw_Data!G772</f>
        <v>yes</v>
      </c>
      <c r="I772" s="3" t="str">
        <f aca="false">Raw_Data!H772</f>
        <v>yes</v>
      </c>
      <c r="J772" s="2" t="n">
        <f aca="false">IF(F772="yes",1,0)</f>
        <v>0</v>
      </c>
      <c r="K772" s="2" t="n">
        <f aca="false">IF(H772="yes",1,0)</f>
        <v>1</v>
      </c>
      <c r="L772" s="2" t="n">
        <f aca="false">IF(I772="yes",1,0)</f>
        <v>1</v>
      </c>
      <c r="M772" s="2" t="n">
        <f aca="false">IF(G772&lt;0,1,0)</f>
        <v>1</v>
      </c>
      <c r="N772" s="2" t="str">
        <f aca="false">_xlfn.IFS(B772&lt;30,"Under 30",B772&lt;40,"30-39",B772&lt;50,"40-49",B772&lt;60,"50-59",TRUE(),"60+")</f>
        <v>Under 30</v>
      </c>
      <c r="O772" s="2" t="str">
        <f aca="false">_xlfn.IFS(G772&lt;0,"1 Negative",G772=0,"2 Zero",G772&lt;=500,"3 1-500",G772&lt;=2000,"4 501-2000",TRUE(),"5 Above 2000")</f>
        <v>1 Negative</v>
      </c>
      <c r="P772" s="2" t="n">
        <f aca="false">Lookups!$B$2*M772+Lookups!$B$3*L772</f>
        <v>3</v>
      </c>
      <c r="Q772" s="2" t="str">
        <f aca="false">INDEX(Lookups!$E$2:$E$5,MATCH(P772,Lookups!$D$2:$D$5,0))</f>
        <v>High</v>
      </c>
    </row>
    <row r="773" customFormat="false" ht="15" hidden="false" customHeight="false" outlineLevel="0" collapsed="false">
      <c r="A773" s="3" t="n">
        <v>772</v>
      </c>
      <c r="B773" s="3" t="n">
        <f aca="false">Raw_Data!A773</f>
        <v>52</v>
      </c>
      <c r="C773" s="3" t="str">
        <f aca="false">SUBSTITUTE(Raw_Data!B773,".","")</f>
        <v>technician</v>
      </c>
      <c r="D773" s="3" t="str">
        <f aca="false">Raw_Data!C773</f>
        <v>married</v>
      </c>
      <c r="E773" s="3" t="str">
        <f aca="false">Raw_Data!D773</f>
        <v>secondary</v>
      </c>
      <c r="F773" s="3" t="str">
        <f aca="false">Raw_Data!E773</f>
        <v>no</v>
      </c>
      <c r="G773" s="3" t="n">
        <f aca="false">Raw_Data!F773</f>
        <v>1781</v>
      </c>
      <c r="H773" s="3" t="str">
        <f aca="false">Raw_Data!G773</f>
        <v>yes</v>
      </c>
      <c r="I773" s="3" t="str">
        <f aca="false">Raw_Data!H773</f>
        <v>no</v>
      </c>
      <c r="J773" s="2" t="n">
        <f aca="false">IF(F773="yes",1,0)</f>
        <v>0</v>
      </c>
      <c r="K773" s="2" t="n">
        <f aca="false">IF(H773="yes",1,0)</f>
        <v>1</v>
      </c>
      <c r="L773" s="2" t="n">
        <f aca="false">IF(I773="yes",1,0)</f>
        <v>0</v>
      </c>
      <c r="M773" s="2" t="n">
        <f aca="false">IF(G773&lt;0,1,0)</f>
        <v>0</v>
      </c>
      <c r="N773" s="2" t="str">
        <f aca="false">_xlfn.IFS(B773&lt;30,"Under 30",B773&lt;40,"30-39",B773&lt;50,"40-49",B773&lt;60,"50-59",TRUE(),"60+")</f>
        <v>50-59</v>
      </c>
      <c r="O773" s="2" t="str">
        <f aca="false">_xlfn.IFS(G773&lt;0,"1 Negative",G773=0,"2 Zero",G773&lt;=500,"3 1-500",G773&lt;=2000,"4 501-2000",TRUE(),"5 Above 2000")</f>
        <v>4 501-2000</v>
      </c>
      <c r="P773" s="2" t="n">
        <f aca="false">Lookups!$B$2*M773+Lookups!$B$3*L773</f>
        <v>0</v>
      </c>
      <c r="Q773" s="2" t="str">
        <f aca="false">INDEX(Lookups!$E$2:$E$5,MATCH(P773,Lookups!$D$2:$D$5,0))</f>
        <v>Low</v>
      </c>
    </row>
    <row r="774" customFormat="false" ht="15" hidden="false" customHeight="false" outlineLevel="0" collapsed="false">
      <c r="A774" s="3" t="n">
        <v>773</v>
      </c>
      <c r="B774" s="3" t="n">
        <f aca="false">Raw_Data!A774</f>
        <v>26</v>
      </c>
      <c r="C774" s="3" t="str">
        <f aca="false">SUBSTITUTE(Raw_Data!B774,".","")</f>
        <v>management</v>
      </c>
      <c r="D774" s="3" t="str">
        <f aca="false">Raw_Data!C774</f>
        <v>single</v>
      </c>
      <c r="E774" s="3" t="str">
        <f aca="false">Raw_Data!D774</f>
        <v>tertiary</v>
      </c>
      <c r="F774" s="3" t="str">
        <f aca="false">Raw_Data!E774</f>
        <v>no</v>
      </c>
      <c r="G774" s="3" t="n">
        <f aca="false">Raw_Data!F774</f>
        <v>350</v>
      </c>
      <c r="H774" s="3" t="str">
        <f aca="false">Raw_Data!G774</f>
        <v>no</v>
      </c>
      <c r="I774" s="3" t="str">
        <f aca="false">Raw_Data!H774</f>
        <v>no</v>
      </c>
      <c r="J774" s="2" t="n">
        <f aca="false">IF(F774="yes",1,0)</f>
        <v>0</v>
      </c>
      <c r="K774" s="2" t="n">
        <f aca="false">IF(H774="yes",1,0)</f>
        <v>0</v>
      </c>
      <c r="L774" s="2" t="n">
        <f aca="false">IF(I774="yes",1,0)</f>
        <v>0</v>
      </c>
      <c r="M774" s="2" t="n">
        <f aca="false">IF(G774&lt;0,1,0)</f>
        <v>0</v>
      </c>
      <c r="N774" s="2" t="str">
        <f aca="false">_xlfn.IFS(B774&lt;30,"Under 30",B774&lt;40,"30-39",B774&lt;50,"40-49",B774&lt;60,"50-59",TRUE(),"60+")</f>
        <v>Under 30</v>
      </c>
      <c r="O774" s="2" t="str">
        <f aca="false">_xlfn.IFS(G774&lt;0,"1 Negative",G774=0,"2 Zero",G774&lt;=500,"3 1-500",G774&lt;=2000,"4 501-2000",TRUE(),"5 Above 2000")</f>
        <v>3 1-500</v>
      </c>
      <c r="P774" s="2" t="n">
        <f aca="false">Lookups!$B$2*M774+Lookups!$B$3*L774</f>
        <v>0</v>
      </c>
      <c r="Q774" s="2" t="str">
        <f aca="false">INDEX(Lookups!$E$2:$E$5,MATCH(P774,Lookups!$D$2:$D$5,0))</f>
        <v>Low</v>
      </c>
    </row>
    <row r="775" customFormat="false" ht="15" hidden="false" customHeight="false" outlineLevel="0" collapsed="false">
      <c r="A775" s="3" t="n">
        <v>774</v>
      </c>
      <c r="B775" s="3" t="n">
        <f aca="false">Raw_Data!A775</f>
        <v>33</v>
      </c>
      <c r="C775" s="3" t="str">
        <f aca="false">SUBSTITUTE(Raw_Data!B775,".","")</f>
        <v>unemployed</v>
      </c>
      <c r="D775" s="3" t="str">
        <f aca="false">Raw_Data!C775</f>
        <v>married</v>
      </c>
      <c r="E775" s="3" t="str">
        <f aca="false">Raw_Data!D775</f>
        <v>secondary</v>
      </c>
      <c r="F775" s="3" t="str">
        <f aca="false">Raw_Data!E775</f>
        <v>no</v>
      </c>
      <c r="G775" s="3" t="n">
        <f aca="false">Raw_Data!F775</f>
        <v>2</v>
      </c>
      <c r="H775" s="3" t="str">
        <f aca="false">Raw_Data!G775</f>
        <v>yes</v>
      </c>
      <c r="I775" s="3" t="str">
        <f aca="false">Raw_Data!H775</f>
        <v>no</v>
      </c>
      <c r="J775" s="2" t="n">
        <f aca="false">IF(F775="yes",1,0)</f>
        <v>0</v>
      </c>
      <c r="K775" s="2" t="n">
        <f aca="false">IF(H775="yes",1,0)</f>
        <v>1</v>
      </c>
      <c r="L775" s="2" t="n">
        <f aca="false">IF(I775="yes",1,0)</f>
        <v>0</v>
      </c>
      <c r="M775" s="2" t="n">
        <f aca="false">IF(G775&lt;0,1,0)</f>
        <v>0</v>
      </c>
      <c r="N775" s="2" t="str">
        <f aca="false">_xlfn.IFS(B775&lt;30,"Under 30",B775&lt;40,"30-39",B775&lt;50,"40-49",B775&lt;60,"50-59",TRUE(),"60+")</f>
        <v>30-39</v>
      </c>
      <c r="O775" s="2" t="str">
        <f aca="false">_xlfn.IFS(G775&lt;0,"1 Negative",G775=0,"2 Zero",G775&lt;=500,"3 1-500",G775&lt;=2000,"4 501-2000",TRUE(),"5 Above 2000")</f>
        <v>3 1-500</v>
      </c>
      <c r="P775" s="2" t="n">
        <f aca="false">Lookups!$B$2*M775+Lookups!$B$3*L775</f>
        <v>0</v>
      </c>
      <c r="Q775" s="2" t="str">
        <f aca="false">INDEX(Lookups!$E$2:$E$5,MATCH(P775,Lookups!$D$2:$D$5,0))</f>
        <v>Low</v>
      </c>
    </row>
    <row r="776" customFormat="false" ht="15" hidden="false" customHeight="false" outlineLevel="0" collapsed="false">
      <c r="A776" s="3" t="n">
        <v>775</v>
      </c>
      <c r="B776" s="3" t="n">
        <f aca="false">Raw_Data!A776</f>
        <v>24</v>
      </c>
      <c r="C776" s="3" t="str">
        <f aca="false">SUBSTITUTE(Raw_Data!B776,".","")</f>
        <v>blue-collar</v>
      </c>
      <c r="D776" s="3" t="str">
        <f aca="false">Raw_Data!C776</f>
        <v>single</v>
      </c>
      <c r="E776" s="3" t="str">
        <f aca="false">Raw_Data!D776</f>
        <v>primary</v>
      </c>
      <c r="F776" s="3" t="str">
        <f aca="false">Raw_Data!E776</f>
        <v>no</v>
      </c>
      <c r="G776" s="3" t="n">
        <f aca="false">Raw_Data!F776</f>
        <v>111</v>
      </c>
      <c r="H776" s="3" t="str">
        <f aca="false">Raw_Data!G776</f>
        <v>yes</v>
      </c>
      <c r="I776" s="3" t="str">
        <f aca="false">Raw_Data!H776</f>
        <v>yes</v>
      </c>
      <c r="J776" s="2" t="n">
        <f aca="false">IF(F776="yes",1,0)</f>
        <v>0</v>
      </c>
      <c r="K776" s="2" t="n">
        <f aca="false">IF(H776="yes",1,0)</f>
        <v>1</v>
      </c>
      <c r="L776" s="2" t="n">
        <f aca="false">IF(I776="yes",1,0)</f>
        <v>1</v>
      </c>
      <c r="M776" s="2" t="n">
        <f aca="false">IF(G776&lt;0,1,0)</f>
        <v>0</v>
      </c>
      <c r="N776" s="2" t="str">
        <f aca="false">_xlfn.IFS(B776&lt;30,"Under 30",B776&lt;40,"30-39",B776&lt;50,"40-49",B776&lt;60,"50-59",TRUE(),"60+")</f>
        <v>Under 30</v>
      </c>
      <c r="O776" s="2" t="str">
        <f aca="false">_xlfn.IFS(G776&lt;0,"1 Negative",G776=0,"2 Zero",G776&lt;=500,"3 1-500",G776&lt;=2000,"4 501-2000",TRUE(),"5 Above 2000")</f>
        <v>3 1-500</v>
      </c>
      <c r="P776" s="2" t="n">
        <f aca="false">Lookups!$B$2*M776+Lookups!$B$3*L776</f>
        <v>1</v>
      </c>
      <c r="Q776" s="2" t="str">
        <f aca="false">INDEX(Lookups!$E$2:$E$5,MATCH(P776,Lookups!$D$2:$D$5,0))</f>
        <v>Medium</v>
      </c>
    </row>
    <row r="777" customFormat="false" ht="15" hidden="false" customHeight="false" outlineLevel="0" collapsed="false">
      <c r="A777" s="3" t="n">
        <v>776</v>
      </c>
      <c r="B777" s="3" t="n">
        <f aca="false">Raw_Data!A777</f>
        <v>37</v>
      </c>
      <c r="C777" s="3" t="str">
        <f aca="false">SUBSTITUTE(Raw_Data!B777,".","")</f>
        <v>management</v>
      </c>
      <c r="D777" s="3" t="str">
        <f aca="false">Raw_Data!C777</f>
        <v>divorced</v>
      </c>
      <c r="E777" s="3" t="str">
        <f aca="false">Raw_Data!D777</f>
        <v>tertiary</v>
      </c>
      <c r="F777" s="3" t="str">
        <f aca="false">Raw_Data!E777</f>
        <v>no</v>
      </c>
      <c r="G777" s="3" t="n">
        <f aca="false">Raw_Data!F777</f>
        <v>168</v>
      </c>
      <c r="H777" s="3" t="str">
        <f aca="false">Raw_Data!G777</f>
        <v>yes</v>
      </c>
      <c r="I777" s="3" t="str">
        <f aca="false">Raw_Data!H777</f>
        <v>no</v>
      </c>
      <c r="J777" s="2" t="n">
        <f aca="false">IF(F777="yes",1,0)</f>
        <v>0</v>
      </c>
      <c r="K777" s="2" t="n">
        <f aca="false">IF(H777="yes",1,0)</f>
        <v>1</v>
      </c>
      <c r="L777" s="2" t="n">
        <f aca="false">IF(I777="yes",1,0)</f>
        <v>0</v>
      </c>
      <c r="M777" s="2" t="n">
        <f aca="false">IF(G777&lt;0,1,0)</f>
        <v>0</v>
      </c>
      <c r="N777" s="2" t="str">
        <f aca="false">_xlfn.IFS(B777&lt;30,"Under 30",B777&lt;40,"30-39",B777&lt;50,"40-49",B777&lt;60,"50-59",TRUE(),"60+")</f>
        <v>30-39</v>
      </c>
      <c r="O777" s="2" t="str">
        <f aca="false">_xlfn.IFS(G777&lt;0,"1 Negative",G777=0,"2 Zero",G777&lt;=500,"3 1-500",G777&lt;=2000,"4 501-2000",TRUE(),"5 Above 2000")</f>
        <v>3 1-500</v>
      </c>
      <c r="P777" s="2" t="n">
        <f aca="false">Lookups!$B$2*M777+Lookups!$B$3*L777</f>
        <v>0</v>
      </c>
      <c r="Q777" s="2" t="str">
        <f aca="false">INDEX(Lookups!$E$2:$E$5,MATCH(P777,Lookups!$D$2:$D$5,0))</f>
        <v>Low</v>
      </c>
    </row>
    <row r="778" customFormat="false" ht="15" hidden="false" customHeight="false" outlineLevel="0" collapsed="false">
      <c r="A778" s="3" t="n">
        <v>777</v>
      </c>
      <c r="B778" s="3" t="n">
        <f aca="false">Raw_Data!A778</f>
        <v>28</v>
      </c>
      <c r="C778" s="3" t="str">
        <f aca="false">SUBSTITUTE(Raw_Data!B778,".","")</f>
        <v>technician</v>
      </c>
      <c r="D778" s="3" t="str">
        <f aca="false">Raw_Data!C778</f>
        <v>single</v>
      </c>
      <c r="E778" s="3" t="str">
        <f aca="false">Raw_Data!D778</f>
        <v>secondary</v>
      </c>
      <c r="F778" s="3" t="str">
        <f aca="false">Raw_Data!E778</f>
        <v>no</v>
      </c>
      <c r="G778" s="3" t="n">
        <f aca="false">Raw_Data!F778</f>
        <v>3</v>
      </c>
      <c r="H778" s="3" t="str">
        <f aca="false">Raw_Data!G778</f>
        <v>no</v>
      </c>
      <c r="I778" s="3" t="str">
        <f aca="false">Raw_Data!H778</f>
        <v>no</v>
      </c>
      <c r="J778" s="2" t="n">
        <f aca="false">IF(F778="yes",1,0)</f>
        <v>0</v>
      </c>
      <c r="K778" s="2" t="n">
        <f aca="false">IF(H778="yes",1,0)</f>
        <v>0</v>
      </c>
      <c r="L778" s="2" t="n">
        <f aca="false">IF(I778="yes",1,0)</f>
        <v>0</v>
      </c>
      <c r="M778" s="2" t="n">
        <f aca="false">IF(G778&lt;0,1,0)</f>
        <v>0</v>
      </c>
      <c r="N778" s="2" t="str">
        <f aca="false">_xlfn.IFS(B778&lt;30,"Under 30",B778&lt;40,"30-39",B778&lt;50,"40-49",B778&lt;60,"50-59",TRUE(),"60+")</f>
        <v>Under 30</v>
      </c>
      <c r="O778" s="2" t="str">
        <f aca="false">_xlfn.IFS(G778&lt;0,"1 Negative",G778=0,"2 Zero",G778&lt;=500,"3 1-500",G778&lt;=2000,"4 501-2000",TRUE(),"5 Above 2000")</f>
        <v>3 1-500</v>
      </c>
      <c r="P778" s="2" t="n">
        <f aca="false">Lookups!$B$2*M778+Lookups!$B$3*L778</f>
        <v>0</v>
      </c>
      <c r="Q778" s="2" t="str">
        <f aca="false">INDEX(Lookups!$E$2:$E$5,MATCH(P778,Lookups!$D$2:$D$5,0))</f>
        <v>Low</v>
      </c>
    </row>
    <row r="779" customFormat="false" ht="15" hidden="false" customHeight="false" outlineLevel="0" collapsed="false">
      <c r="A779" s="3" t="n">
        <v>778</v>
      </c>
      <c r="B779" s="3" t="n">
        <f aca="false">Raw_Data!A779</f>
        <v>30</v>
      </c>
      <c r="C779" s="3" t="str">
        <f aca="false">SUBSTITUTE(Raw_Data!B779,".","")</f>
        <v>technician</v>
      </c>
      <c r="D779" s="3" t="str">
        <f aca="false">Raw_Data!C779</f>
        <v>single</v>
      </c>
      <c r="E779" s="3" t="str">
        <f aca="false">Raw_Data!D779</f>
        <v>secondary</v>
      </c>
      <c r="F779" s="3" t="str">
        <f aca="false">Raw_Data!E779</f>
        <v>no</v>
      </c>
      <c r="G779" s="3" t="n">
        <f aca="false">Raw_Data!F779</f>
        <v>102</v>
      </c>
      <c r="H779" s="3" t="str">
        <f aca="false">Raw_Data!G779</f>
        <v>yes</v>
      </c>
      <c r="I779" s="3" t="str">
        <f aca="false">Raw_Data!H779</f>
        <v>no</v>
      </c>
      <c r="J779" s="2" t="n">
        <f aca="false">IF(F779="yes",1,0)</f>
        <v>0</v>
      </c>
      <c r="K779" s="2" t="n">
        <f aca="false">IF(H779="yes",1,0)</f>
        <v>1</v>
      </c>
      <c r="L779" s="2" t="n">
        <f aca="false">IF(I779="yes",1,0)</f>
        <v>0</v>
      </c>
      <c r="M779" s="2" t="n">
        <f aca="false">IF(G779&lt;0,1,0)</f>
        <v>0</v>
      </c>
      <c r="N779" s="2" t="str">
        <f aca="false">_xlfn.IFS(B779&lt;30,"Under 30",B779&lt;40,"30-39",B779&lt;50,"40-49",B779&lt;60,"50-59",TRUE(),"60+")</f>
        <v>30-39</v>
      </c>
      <c r="O779" s="2" t="str">
        <f aca="false">_xlfn.IFS(G779&lt;0,"1 Negative",G779=0,"2 Zero",G779&lt;=500,"3 1-500",G779&lt;=2000,"4 501-2000",TRUE(),"5 Above 2000")</f>
        <v>3 1-500</v>
      </c>
      <c r="P779" s="2" t="n">
        <f aca="false">Lookups!$B$2*M779+Lookups!$B$3*L779</f>
        <v>0</v>
      </c>
      <c r="Q779" s="2" t="str">
        <f aca="false">INDEX(Lookups!$E$2:$E$5,MATCH(P779,Lookups!$D$2:$D$5,0))</f>
        <v>Low</v>
      </c>
    </row>
    <row r="780" customFormat="false" ht="15" hidden="false" customHeight="false" outlineLevel="0" collapsed="false">
      <c r="A780" s="3" t="n">
        <v>779</v>
      </c>
      <c r="B780" s="3" t="n">
        <f aca="false">Raw_Data!A780</f>
        <v>33</v>
      </c>
      <c r="C780" s="3" t="str">
        <f aca="false">SUBSTITUTE(Raw_Data!B780,".","")</f>
        <v>blue-collar</v>
      </c>
      <c r="D780" s="3" t="str">
        <f aca="false">Raw_Data!C780</f>
        <v>married</v>
      </c>
      <c r="E780" s="3" t="str">
        <f aca="false">Raw_Data!D780</f>
        <v>primary</v>
      </c>
      <c r="F780" s="3" t="str">
        <f aca="false">Raw_Data!E780</f>
        <v>no</v>
      </c>
      <c r="G780" s="3" t="n">
        <f aca="false">Raw_Data!F780</f>
        <v>0</v>
      </c>
      <c r="H780" s="3" t="str">
        <f aca="false">Raw_Data!G780</f>
        <v>yes</v>
      </c>
      <c r="I780" s="3" t="str">
        <f aca="false">Raw_Data!H780</f>
        <v>no</v>
      </c>
      <c r="J780" s="2" t="n">
        <f aca="false">IF(F780="yes",1,0)</f>
        <v>0</v>
      </c>
      <c r="K780" s="2" t="n">
        <f aca="false">IF(H780="yes",1,0)</f>
        <v>1</v>
      </c>
      <c r="L780" s="2" t="n">
        <f aca="false">IF(I780="yes",1,0)</f>
        <v>0</v>
      </c>
      <c r="M780" s="2" t="n">
        <f aca="false">IF(G780&lt;0,1,0)</f>
        <v>0</v>
      </c>
      <c r="N780" s="2" t="str">
        <f aca="false">_xlfn.IFS(B780&lt;30,"Under 30",B780&lt;40,"30-39",B780&lt;50,"40-49",B780&lt;60,"50-59",TRUE(),"60+")</f>
        <v>30-39</v>
      </c>
      <c r="O780" s="2" t="str">
        <f aca="false">_xlfn.IFS(G780&lt;0,"1 Negative",G780=0,"2 Zero",G780&lt;=500,"3 1-500",G780&lt;=2000,"4 501-2000",TRUE(),"5 Above 2000")</f>
        <v>2 Zero</v>
      </c>
      <c r="P780" s="2" t="n">
        <f aca="false">Lookups!$B$2*M780+Lookups!$B$3*L780</f>
        <v>0</v>
      </c>
      <c r="Q780" s="2" t="str">
        <f aca="false">INDEX(Lookups!$E$2:$E$5,MATCH(P780,Lookups!$D$2:$D$5,0))</f>
        <v>Low</v>
      </c>
    </row>
    <row r="781" customFormat="false" ht="15" hidden="false" customHeight="false" outlineLevel="0" collapsed="false">
      <c r="A781" s="3" t="n">
        <v>780</v>
      </c>
      <c r="B781" s="3" t="n">
        <f aca="false">Raw_Data!A781</f>
        <v>55</v>
      </c>
      <c r="C781" s="3" t="str">
        <f aca="false">SUBSTITUTE(Raw_Data!B781,".","")</f>
        <v>unknown</v>
      </c>
      <c r="D781" s="3" t="str">
        <f aca="false">Raw_Data!C781</f>
        <v>married</v>
      </c>
      <c r="E781" s="3" t="str">
        <f aca="false">Raw_Data!D781</f>
        <v>primary</v>
      </c>
      <c r="F781" s="3" t="str">
        <f aca="false">Raw_Data!E781</f>
        <v>no</v>
      </c>
      <c r="G781" s="3" t="n">
        <f aca="false">Raw_Data!F781</f>
        <v>159</v>
      </c>
      <c r="H781" s="3" t="str">
        <f aca="false">Raw_Data!G781</f>
        <v>no</v>
      </c>
      <c r="I781" s="3" t="str">
        <f aca="false">Raw_Data!H781</f>
        <v>no</v>
      </c>
      <c r="J781" s="2" t="n">
        <f aca="false">IF(F781="yes",1,0)</f>
        <v>0</v>
      </c>
      <c r="K781" s="2" t="n">
        <f aca="false">IF(H781="yes",1,0)</f>
        <v>0</v>
      </c>
      <c r="L781" s="2" t="n">
        <f aca="false">IF(I781="yes",1,0)</f>
        <v>0</v>
      </c>
      <c r="M781" s="2" t="n">
        <f aca="false">IF(G781&lt;0,1,0)</f>
        <v>0</v>
      </c>
      <c r="N781" s="2" t="str">
        <f aca="false">_xlfn.IFS(B781&lt;30,"Under 30",B781&lt;40,"30-39",B781&lt;50,"40-49",B781&lt;60,"50-59",TRUE(),"60+")</f>
        <v>50-59</v>
      </c>
      <c r="O781" s="2" t="str">
        <f aca="false">_xlfn.IFS(G781&lt;0,"1 Negative",G781=0,"2 Zero",G781&lt;=500,"3 1-500",G781&lt;=2000,"4 501-2000",TRUE(),"5 Above 2000")</f>
        <v>3 1-500</v>
      </c>
      <c r="P781" s="2" t="n">
        <f aca="false">Lookups!$B$2*M781+Lookups!$B$3*L781</f>
        <v>0</v>
      </c>
      <c r="Q781" s="2" t="str">
        <f aca="false">INDEX(Lookups!$E$2:$E$5,MATCH(P781,Lookups!$D$2:$D$5,0))</f>
        <v>Low</v>
      </c>
    </row>
    <row r="782" customFormat="false" ht="15" hidden="false" customHeight="false" outlineLevel="0" collapsed="false">
      <c r="A782" s="3" t="n">
        <v>781</v>
      </c>
      <c r="B782" s="3" t="n">
        <f aca="false">Raw_Data!A782</f>
        <v>33</v>
      </c>
      <c r="C782" s="3" t="str">
        <f aca="false">SUBSTITUTE(Raw_Data!B782,".","")</f>
        <v>blue-collar</v>
      </c>
      <c r="D782" s="3" t="str">
        <f aca="false">Raw_Data!C782</f>
        <v>married</v>
      </c>
      <c r="E782" s="3" t="str">
        <f aca="false">Raw_Data!D782</f>
        <v>secondary</v>
      </c>
      <c r="F782" s="3" t="str">
        <f aca="false">Raw_Data!E782</f>
        <v>no</v>
      </c>
      <c r="G782" s="3" t="n">
        <f aca="false">Raw_Data!F782</f>
        <v>1134</v>
      </c>
      <c r="H782" s="3" t="str">
        <f aca="false">Raw_Data!G782</f>
        <v>yes</v>
      </c>
      <c r="I782" s="3" t="str">
        <f aca="false">Raw_Data!H782</f>
        <v>no</v>
      </c>
      <c r="J782" s="2" t="n">
        <f aca="false">IF(F782="yes",1,0)</f>
        <v>0</v>
      </c>
      <c r="K782" s="2" t="n">
        <f aca="false">IF(H782="yes",1,0)</f>
        <v>1</v>
      </c>
      <c r="L782" s="2" t="n">
        <f aca="false">IF(I782="yes",1,0)</f>
        <v>0</v>
      </c>
      <c r="M782" s="2" t="n">
        <f aca="false">IF(G782&lt;0,1,0)</f>
        <v>0</v>
      </c>
      <c r="N782" s="2" t="str">
        <f aca="false">_xlfn.IFS(B782&lt;30,"Under 30",B782&lt;40,"30-39",B782&lt;50,"40-49",B782&lt;60,"50-59",TRUE(),"60+")</f>
        <v>30-39</v>
      </c>
      <c r="O782" s="2" t="str">
        <f aca="false">_xlfn.IFS(G782&lt;0,"1 Negative",G782=0,"2 Zero",G782&lt;=500,"3 1-500",G782&lt;=2000,"4 501-2000",TRUE(),"5 Above 2000")</f>
        <v>4 501-2000</v>
      </c>
      <c r="P782" s="2" t="n">
        <f aca="false">Lookups!$B$2*M782+Lookups!$B$3*L782</f>
        <v>0</v>
      </c>
      <c r="Q782" s="2" t="str">
        <f aca="false">INDEX(Lookups!$E$2:$E$5,MATCH(P782,Lookups!$D$2:$D$5,0))</f>
        <v>Low</v>
      </c>
    </row>
    <row r="783" customFormat="false" ht="15" hidden="false" customHeight="false" outlineLevel="0" collapsed="false">
      <c r="A783" s="3" t="n">
        <v>782</v>
      </c>
      <c r="B783" s="3" t="n">
        <f aca="false">Raw_Data!A783</f>
        <v>42</v>
      </c>
      <c r="C783" s="3" t="str">
        <f aca="false">SUBSTITUTE(Raw_Data!B783,".","")</f>
        <v>blue-collar</v>
      </c>
      <c r="D783" s="3" t="str">
        <f aca="false">Raw_Data!C783</f>
        <v>married</v>
      </c>
      <c r="E783" s="3" t="str">
        <f aca="false">Raw_Data!D783</f>
        <v>secondary</v>
      </c>
      <c r="F783" s="3" t="str">
        <f aca="false">Raw_Data!E783</f>
        <v>no</v>
      </c>
      <c r="G783" s="3" t="n">
        <f aca="false">Raw_Data!F783</f>
        <v>352</v>
      </c>
      <c r="H783" s="3" t="str">
        <f aca="false">Raw_Data!G783</f>
        <v>yes</v>
      </c>
      <c r="I783" s="3" t="str">
        <f aca="false">Raw_Data!H783</f>
        <v>no</v>
      </c>
      <c r="J783" s="2" t="n">
        <f aca="false">IF(F783="yes",1,0)</f>
        <v>0</v>
      </c>
      <c r="K783" s="2" t="n">
        <f aca="false">IF(H783="yes",1,0)</f>
        <v>1</v>
      </c>
      <c r="L783" s="2" t="n">
        <f aca="false">IF(I783="yes",1,0)</f>
        <v>0</v>
      </c>
      <c r="M783" s="2" t="n">
        <f aca="false">IF(G783&lt;0,1,0)</f>
        <v>0</v>
      </c>
      <c r="N783" s="2" t="str">
        <f aca="false">_xlfn.IFS(B783&lt;30,"Under 30",B783&lt;40,"30-39",B783&lt;50,"40-49",B783&lt;60,"50-59",TRUE(),"60+")</f>
        <v>40-49</v>
      </c>
      <c r="O783" s="2" t="str">
        <f aca="false">_xlfn.IFS(G783&lt;0,"1 Negative",G783=0,"2 Zero",G783&lt;=500,"3 1-500",G783&lt;=2000,"4 501-2000",TRUE(),"5 Above 2000")</f>
        <v>3 1-500</v>
      </c>
      <c r="P783" s="2" t="n">
        <f aca="false">Lookups!$B$2*M783+Lookups!$B$3*L783</f>
        <v>0</v>
      </c>
      <c r="Q783" s="2" t="str">
        <f aca="false">INDEX(Lookups!$E$2:$E$5,MATCH(P783,Lookups!$D$2:$D$5,0))</f>
        <v>Low</v>
      </c>
    </row>
    <row r="784" customFormat="false" ht="15" hidden="false" customHeight="false" outlineLevel="0" collapsed="false">
      <c r="A784" s="3" t="n">
        <v>783</v>
      </c>
      <c r="B784" s="3" t="n">
        <f aca="false">Raw_Data!A784</f>
        <v>37</v>
      </c>
      <c r="C784" s="3" t="str">
        <f aca="false">SUBSTITUTE(Raw_Data!B784,".","")</f>
        <v>management</v>
      </c>
      <c r="D784" s="3" t="str">
        <f aca="false">Raw_Data!C784</f>
        <v>married</v>
      </c>
      <c r="E784" s="3" t="str">
        <f aca="false">Raw_Data!D784</f>
        <v>tertiary</v>
      </c>
      <c r="F784" s="3" t="str">
        <f aca="false">Raw_Data!E784</f>
        <v>no</v>
      </c>
      <c r="G784" s="3" t="n">
        <f aca="false">Raw_Data!F784</f>
        <v>865</v>
      </c>
      <c r="H784" s="3" t="str">
        <f aca="false">Raw_Data!G784</f>
        <v>yes</v>
      </c>
      <c r="I784" s="3" t="str">
        <f aca="false">Raw_Data!H784</f>
        <v>no</v>
      </c>
      <c r="J784" s="2" t="n">
        <f aca="false">IF(F784="yes",1,0)</f>
        <v>0</v>
      </c>
      <c r="K784" s="2" t="n">
        <f aca="false">IF(H784="yes",1,0)</f>
        <v>1</v>
      </c>
      <c r="L784" s="2" t="n">
        <f aca="false">IF(I784="yes",1,0)</f>
        <v>0</v>
      </c>
      <c r="M784" s="2" t="n">
        <f aca="false">IF(G784&lt;0,1,0)</f>
        <v>0</v>
      </c>
      <c r="N784" s="2" t="str">
        <f aca="false">_xlfn.IFS(B784&lt;30,"Under 30",B784&lt;40,"30-39",B784&lt;50,"40-49",B784&lt;60,"50-59",TRUE(),"60+")</f>
        <v>30-39</v>
      </c>
      <c r="O784" s="2" t="str">
        <f aca="false">_xlfn.IFS(G784&lt;0,"1 Negative",G784=0,"2 Zero",G784&lt;=500,"3 1-500",G784&lt;=2000,"4 501-2000",TRUE(),"5 Above 2000")</f>
        <v>4 501-2000</v>
      </c>
      <c r="P784" s="2" t="n">
        <f aca="false">Lookups!$B$2*M784+Lookups!$B$3*L784</f>
        <v>0</v>
      </c>
      <c r="Q784" s="2" t="str">
        <f aca="false">INDEX(Lookups!$E$2:$E$5,MATCH(P784,Lookups!$D$2:$D$5,0))</f>
        <v>Low</v>
      </c>
    </row>
    <row r="785" customFormat="false" ht="15" hidden="false" customHeight="false" outlineLevel="0" collapsed="false">
      <c r="A785" s="3" t="n">
        <v>784</v>
      </c>
      <c r="B785" s="3" t="n">
        <f aca="false">Raw_Data!A785</f>
        <v>59</v>
      </c>
      <c r="C785" s="3" t="str">
        <f aca="false">SUBSTITUTE(Raw_Data!B785,".","")</f>
        <v>blue-collar</v>
      </c>
      <c r="D785" s="3" t="str">
        <f aca="false">Raw_Data!C785</f>
        <v>married</v>
      </c>
      <c r="E785" s="3" t="str">
        <f aca="false">Raw_Data!D785</f>
        <v>primary</v>
      </c>
      <c r="F785" s="3" t="str">
        <f aca="false">Raw_Data!E785</f>
        <v>no</v>
      </c>
      <c r="G785" s="3" t="n">
        <f aca="false">Raw_Data!F785</f>
        <v>179</v>
      </c>
      <c r="H785" s="3" t="str">
        <f aca="false">Raw_Data!G785</f>
        <v>yes</v>
      </c>
      <c r="I785" s="3" t="str">
        <f aca="false">Raw_Data!H785</f>
        <v>no</v>
      </c>
      <c r="J785" s="2" t="n">
        <f aca="false">IF(F785="yes",1,0)</f>
        <v>0</v>
      </c>
      <c r="K785" s="2" t="n">
        <f aca="false">IF(H785="yes",1,0)</f>
        <v>1</v>
      </c>
      <c r="L785" s="2" t="n">
        <f aca="false">IF(I785="yes",1,0)</f>
        <v>0</v>
      </c>
      <c r="M785" s="2" t="n">
        <f aca="false">IF(G785&lt;0,1,0)</f>
        <v>0</v>
      </c>
      <c r="N785" s="2" t="str">
        <f aca="false">_xlfn.IFS(B785&lt;30,"Under 30",B785&lt;40,"30-39",B785&lt;50,"40-49",B785&lt;60,"50-59",TRUE(),"60+")</f>
        <v>50-59</v>
      </c>
      <c r="O785" s="2" t="str">
        <f aca="false">_xlfn.IFS(G785&lt;0,"1 Negative",G785=0,"2 Zero",G785&lt;=500,"3 1-500",G785&lt;=2000,"4 501-2000",TRUE(),"5 Above 2000")</f>
        <v>3 1-500</v>
      </c>
      <c r="P785" s="2" t="n">
        <f aca="false">Lookups!$B$2*M785+Lookups!$B$3*L785</f>
        <v>0</v>
      </c>
      <c r="Q785" s="2" t="str">
        <f aca="false">INDEX(Lookups!$E$2:$E$5,MATCH(P785,Lookups!$D$2:$D$5,0))</f>
        <v>Low</v>
      </c>
    </row>
    <row r="786" customFormat="false" ht="15" hidden="false" customHeight="false" outlineLevel="0" collapsed="false">
      <c r="A786" s="3" t="n">
        <v>785</v>
      </c>
      <c r="B786" s="3" t="n">
        <f aca="false">Raw_Data!A786</f>
        <v>27</v>
      </c>
      <c r="C786" s="3" t="str">
        <f aca="false">SUBSTITUTE(Raw_Data!B786,".","")</f>
        <v>blue-collar</v>
      </c>
      <c r="D786" s="3" t="str">
        <f aca="false">Raw_Data!C786</f>
        <v>single</v>
      </c>
      <c r="E786" s="3" t="str">
        <f aca="false">Raw_Data!D786</f>
        <v>secondary</v>
      </c>
      <c r="F786" s="3" t="str">
        <f aca="false">Raw_Data!E786</f>
        <v>no</v>
      </c>
      <c r="G786" s="3" t="n">
        <f aca="false">Raw_Data!F786</f>
        <v>5</v>
      </c>
      <c r="H786" s="3" t="str">
        <f aca="false">Raw_Data!G786</f>
        <v>yes</v>
      </c>
      <c r="I786" s="3" t="str">
        <f aca="false">Raw_Data!H786</f>
        <v>no</v>
      </c>
      <c r="J786" s="2" t="n">
        <f aca="false">IF(F786="yes",1,0)</f>
        <v>0</v>
      </c>
      <c r="K786" s="2" t="n">
        <f aca="false">IF(H786="yes",1,0)</f>
        <v>1</v>
      </c>
      <c r="L786" s="2" t="n">
        <f aca="false">IF(I786="yes",1,0)</f>
        <v>0</v>
      </c>
      <c r="M786" s="2" t="n">
        <f aca="false">IF(G786&lt;0,1,0)</f>
        <v>0</v>
      </c>
      <c r="N786" s="2" t="str">
        <f aca="false">_xlfn.IFS(B786&lt;30,"Under 30",B786&lt;40,"30-39",B786&lt;50,"40-49",B786&lt;60,"50-59",TRUE(),"60+")</f>
        <v>Under 30</v>
      </c>
      <c r="O786" s="2" t="str">
        <f aca="false">_xlfn.IFS(G786&lt;0,"1 Negative",G786=0,"2 Zero",G786&lt;=500,"3 1-500",G786&lt;=2000,"4 501-2000",TRUE(),"5 Above 2000")</f>
        <v>3 1-500</v>
      </c>
      <c r="P786" s="2" t="n">
        <f aca="false">Lookups!$B$2*M786+Lookups!$B$3*L786</f>
        <v>0</v>
      </c>
      <c r="Q786" s="2" t="str">
        <f aca="false">INDEX(Lookups!$E$2:$E$5,MATCH(P786,Lookups!$D$2:$D$5,0))</f>
        <v>Low</v>
      </c>
    </row>
    <row r="787" customFormat="false" ht="15" hidden="false" customHeight="false" outlineLevel="0" collapsed="false">
      <c r="A787" s="3" t="n">
        <v>786</v>
      </c>
      <c r="B787" s="3" t="n">
        <f aca="false">Raw_Data!A787</f>
        <v>23</v>
      </c>
      <c r="C787" s="3" t="str">
        <f aca="false">SUBSTITUTE(Raw_Data!B787,".","")</f>
        <v>student</v>
      </c>
      <c r="D787" s="3" t="str">
        <f aca="false">Raw_Data!C787</f>
        <v>married</v>
      </c>
      <c r="E787" s="3" t="str">
        <f aca="false">Raw_Data!D787</f>
        <v>tertiary</v>
      </c>
      <c r="F787" s="3" t="str">
        <f aca="false">Raw_Data!E787</f>
        <v>yes</v>
      </c>
      <c r="G787" s="3" t="n">
        <f aca="false">Raw_Data!F787</f>
        <v>-230</v>
      </c>
      <c r="H787" s="3" t="str">
        <f aca="false">Raw_Data!G787</f>
        <v>yes</v>
      </c>
      <c r="I787" s="3" t="str">
        <f aca="false">Raw_Data!H787</f>
        <v>no</v>
      </c>
      <c r="J787" s="2" t="n">
        <f aca="false">IF(F787="yes",1,0)</f>
        <v>1</v>
      </c>
      <c r="K787" s="2" t="n">
        <f aca="false">IF(H787="yes",1,0)</f>
        <v>1</v>
      </c>
      <c r="L787" s="2" t="n">
        <f aca="false">IF(I787="yes",1,0)</f>
        <v>0</v>
      </c>
      <c r="M787" s="2" t="n">
        <f aca="false">IF(G787&lt;0,1,0)</f>
        <v>1</v>
      </c>
      <c r="N787" s="2" t="str">
        <f aca="false">_xlfn.IFS(B787&lt;30,"Under 30",B787&lt;40,"30-39",B787&lt;50,"40-49",B787&lt;60,"50-59",TRUE(),"60+")</f>
        <v>Under 30</v>
      </c>
      <c r="O787" s="2" t="str">
        <f aca="false">_xlfn.IFS(G787&lt;0,"1 Negative",G787=0,"2 Zero",G787&lt;=500,"3 1-500",G787&lt;=2000,"4 501-2000",TRUE(),"5 Above 2000")</f>
        <v>1 Negative</v>
      </c>
      <c r="P787" s="2" t="n">
        <f aca="false">Lookups!$B$2*M787+Lookups!$B$3*L787</f>
        <v>2</v>
      </c>
      <c r="Q787" s="2" t="str">
        <f aca="false">INDEX(Lookups!$E$2:$E$5,MATCH(P787,Lookups!$D$2:$D$5,0))</f>
        <v>High</v>
      </c>
    </row>
    <row r="788" customFormat="false" ht="15" hidden="false" customHeight="false" outlineLevel="0" collapsed="false">
      <c r="A788" s="3" t="n">
        <v>787</v>
      </c>
      <c r="B788" s="3" t="n">
        <f aca="false">Raw_Data!A788</f>
        <v>51</v>
      </c>
      <c r="C788" s="3" t="str">
        <f aca="false">SUBSTITUTE(Raw_Data!B788,".","")</f>
        <v>management</v>
      </c>
      <c r="D788" s="3" t="str">
        <f aca="false">Raw_Data!C788</f>
        <v>divorced</v>
      </c>
      <c r="E788" s="3" t="str">
        <f aca="false">Raw_Data!D788</f>
        <v>tertiary</v>
      </c>
      <c r="F788" s="3" t="str">
        <f aca="false">Raw_Data!E788</f>
        <v>no</v>
      </c>
      <c r="G788" s="3" t="n">
        <f aca="false">Raw_Data!F788</f>
        <v>0</v>
      </c>
      <c r="H788" s="3" t="str">
        <f aca="false">Raw_Data!G788</f>
        <v>no</v>
      </c>
      <c r="I788" s="3" t="str">
        <f aca="false">Raw_Data!H788</f>
        <v>no</v>
      </c>
      <c r="J788" s="2" t="n">
        <f aca="false">IF(F788="yes",1,0)</f>
        <v>0</v>
      </c>
      <c r="K788" s="2" t="n">
        <f aca="false">IF(H788="yes",1,0)</f>
        <v>0</v>
      </c>
      <c r="L788" s="2" t="n">
        <f aca="false">IF(I788="yes",1,0)</f>
        <v>0</v>
      </c>
      <c r="M788" s="2" t="n">
        <f aca="false">IF(G788&lt;0,1,0)</f>
        <v>0</v>
      </c>
      <c r="N788" s="2" t="str">
        <f aca="false">_xlfn.IFS(B788&lt;30,"Under 30",B788&lt;40,"30-39",B788&lt;50,"40-49",B788&lt;60,"50-59",TRUE(),"60+")</f>
        <v>50-59</v>
      </c>
      <c r="O788" s="2" t="str">
        <f aca="false">_xlfn.IFS(G788&lt;0,"1 Negative",G788=0,"2 Zero",G788&lt;=500,"3 1-500",G788&lt;=2000,"4 501-2000",TRUE(),"5 Above 2000")</f>
        <v>2 Zero</v>
      </c>
      <c r="P788" s="2" t="n">
        <f aca="false">Lookups!$B$2*M788+Lookups!$B$3*L788</f>
        <v>0</v>
      </c>
      <c r="Q788" s="2" t="str">
        <f aca="false">INDEX(Lookups!$E$2:$E$5,MATCH(P788,Lookups!$D$2:$D$5,0))</f>
        <v>Low</v>
      </c>
    </row>
    <row r="789" customFormat="false" ht="15" hidden="false" customHeight="false" outlineLevel="0" collapsed="false">
      <c r="A789" s="3" t="n">
        <v>788</v>
      </c>
      <c r="B789" s="3" t="n">
        <f aca="false">Raw_Data!A789</f>
        <v>50</v>
      </c>
      <c r="C789" s="3" t="str">
        <f aca="false">SUBSTITUTE(Raw_Data!B789,".","")</f>
        <v>blue-collar</v>
      </c>
      <c r="D789" s="3" t="str">
        <f aca="false">Raw_Data!C789</f>
        <v>married</v>
      </c>
      <c r="E789" s="3" t="str">
        <f aca="false">Raw_Data!D789</f>
        <v>primary</v>
      </c>
      <c r="F789" s="3" t="str">
        <f aca="false">Raw_Data!E789</f>
        <v>no</v>
      </c>
      <c r="G789" s="3" t="n">
        <f aca="false">Raw_Data!F789</f>
        <v>3924</v>
      </c>
      <c r="H789" s="3" t="str">
        <f aca="false">Raw_Data!G789</f>
        <v>yes</v>
      </c>
      <c r="I789" s="3" t="str">
        <f aca="false">Raw_Data!H789</f>
        <v>no</v>
      </c>
      <c r="J789" s="2" t="n">
        <f aca="false">IF(F789="yes",1,0)</f>
        <v>0</v>
      </c>
      <c r="K789" s="2" t="n">
        <f aca="false">IF(H789="yes",1,0)</f>
        <v>1</v>
      </c>
      <c r="L789" s="2" t="n">
        <f aca="false">IF(I789="yes",1,0)</f>
        <v>0</v>
      </c>
      <c r="M789" s="2" t="n">
        <f aca="false">IF(G789&lt;0,1,0)</f>
        <v>0</v>
      </c>
      <c r="N789" s="2" t="str">
        <f aca="false">_xlfn.IFS(B789&lt;30,"Under 30",B789&lt;40,"30-39",B789&lt;50,"40-49",B789&lt;60,"50-59",TRUE(),"60+")</f>
        <v>50-59</v>
      </c>
      <c r="O789" s="2" t="str">
        <f aca="false">_xlfn.IFS(G789&lt;0,"1 Negative",G789=0,"2 Zero",G789&lt;=500,"3 1-500",G789&lt;=2000,"4 501-2000",TRUE(),"5 Above 2000")</f>
        <v>5 Above 2000</v>
      </c>
      <c r="P789" s="2" t="n">
        <f aca="false">Lookups!$B$2*M789+Lookups!$B$3*L789</f>
        <v>0</v>
      </c>
      <c r="Q789" s="2" t="str">
        <f aca="false">INDEX(Lookups!$E$2:$E$5,MATCH(P789,Lookups!$D$2:$D$5,0))</f>
        <v>Low</v>
      </c>
    </row>
    <row r="790" customFormat="false" ht="15" hidden="false" customHeight="false" outlineLevel="0" collapsed="false">
      <c r="A790" s="3" t="n">
        <v>789</v>
      </c>
      <c r="B790" s="3" t="n">
        <f aca="false">Raw_Data!A790</f>
        <v>43</v>
      </c>
      <c r="C790" s="3" t="str">
        <f aca="false">SUBSTITUTE(Raw_Data!B790,".","")</f>
        <v>technician</v>
      </c>
      <c r="D790" s="3" t="str">
        <f aca="false">Raw_Data!C790</f>
        <v>married</v>
      </c>
      <c r="E790" s="3" t="str">
        <f aca="false">Raw_Data!D790</f>
        <v>secondary</v>
      </c>
      <c r="F790" s="3" t="str">
        <f aca="false">Raw_Data!E790</f>
        <v>no</v>
      </c>
      <c r="G790" s="3" t="n">
        <f aca="false">Raw_Data!F790</f>
        <v>764</v>
      </c>
      <c r="H790" s="3" t="str">
        <f aca="false">Raw_Data!G790</f>
        <v>yes</v>
      </c>
      <c r="I790" s="3" t="str">
        <f aca="false">Raw_Data!H790</f>
        <v>no</v>
      </c>
      <c r="J790" s="2" t="n">
        <f aca="false">IF(F790="yes",1,0)</f>
        <v>0</v>
      </c>
      <c r="K790" s="2" t="n">
        <f aca="false">IF(H790="yes",1,0)</f>
        <v>1</v>
      </c>
      <c r="L790" s="2" t="n">
        <f aca="false">IF(I790="yes",1,0)</f>
        <v>0</v>
      </c>
      <c r="M790" s="2" t="n">
        <f aca="false">IF(G790&lt;0,1,0)</f>
        <v>0</v>
      </c>
      <c r="N790" s="2" t="str">
        <f aca="false">_xlfn.IFS(B790&lt;30,"Under 30",B790&lt;40,"30-39",B790&lt;50,"40-49",B790&lt;60,"50-59",TRUE(),"60+")</f>
        <v>40-49</v>
      </c>
      <c r="O790" s="2" t="str">
        <f aca="false">_xlfn.IFS(G790&lt;0,"1 Negative",G790=0,"2 Zero",G790&lt;=500,"3 1-500",G790&lt;=2000,"4 501-2000",TRUE(),"5 Above 2000")</f>
        <v>4 501-2000</v>
      </c>
      <c r="P790" s="2" t="n">
        <f aca="false">Lookups!$B$2*M790+Lookups!$B$3*L790</f>
        <v>0</v>
      </c>
      <c r="Q790" s="2" t="str">
        <f aca="false">INDEX(Lookups!$E$2:$E$5,MATCH(P790,Lookups!$D$2:$D$5,0))</f>
        <v>Low</v>
      </c>
    </row>
    <row r="791" customFormat="false" ht="15" hidden="false" customHeight="false" outlineLevel="0" collapsed="false">
      <c r="A791" s="3" t="n">
        <v>790</v>
      </c>
      <c r="B791" s="3" t="n">
        <f aca="false">Raw_Data!A791</f>
        <v>37</v>
      </c>
      <c r="C791" s="3" t="str">
        <f aca="false">SUBSTITUTE(Raw_Data!B791,".","")</f>
        <v>blue-collar</v>
      </c>
      <c r="D791" s="3" t="str">
        <f aca="false">Raw_Data!C791</f>
        <v>divorced</v>
      </c>
      <c r="E791" s="3" t="str">
        <f aca="false">Raw_Data!D791</f>
        <v>primary</v>
      </c>
      <c r="F791" s="3" t="str">
        <f aca="false">Raw_Data!E791</f>
        <v>no</v>
      </c>
      <c r="G791" s="3" t="n">
        <f aca="false">Raw_Data!F791</f>
        <v>511</v>
      </c>
      <c r="H791" s="3" t="str">
        <f aca="false">Raw_Data!G791</f>
        <v>yes</v>
      </c>
      <c r="I791" s="3" t="str">
        <f aca="false">Raw_Data!H791</f>
        <v>no</v>
      </c>
      <c r="J791" s="2" t="n">
        <f aca="false">IF(F791="yes",1,0)</f>
        <v>0</v>
      </c>
      <c r="K791" s="2" t="n">
        <f aca="false">IF(H791="yes",1,0)</f>
        <v>1</v>
      </c>
      <c r="L791" s="2" t="n">
        <f aca="false">IF(I791="yes",1,0)</f>
        <v>0</v>
      </c>
      <c r="M791" s="2" t="n">
        <f aca="false">IF(G791&lt;0,1,0)</f>
        <v>0</v>
      </c>
      <c r="N791" s="2" t="str">
        <f aca="false">_xlfn.IFS(B791&lt;30,"Under 30",B791&lt;40,"30-39",B791&lt;50,"40-49",B791&lt;60,"50-59",TRUE(),"60+")</f>
        <v>30-39</v>
      </c>
      <c r="O791" s="2" t="str">
        <f aca="false">_xlfn.IFS(G791&lt;0,"1 Negative",G791=0,"2 Zero",G791&lt;=500,"3 1-500",G791&lt;=2000,"4 501-2000",TRUE(),"5 Above 2000")</f>
        <v>4 501-2000</v>
      </c>
      <c r="P791" s="2" t="n">
        <f aca="false">Lookups!$B$2*M791+Lookups!$B$3*L791</f>
        <v>0</v>
      </c>
      <c r="Q791" s="2" t="str">
        <f aca="false">INDEX(Lookups!$E$2:$E$5,MATCH(P791,Lookups!$D$2:$D$5,0))</f>
        <v>Low</v>
      </c>
    </row>
    <row r="792" customFormat="false" ht="15" hidden="false" customHeight="false" outlineLevel="0" collapsed="false">
      <c r="A792" s="3" t="n">
        <v>791</v>
      </c>
      <c r="B792" s="3" t="n">
        <f aca="false">Raw_Data!A792</f>
        <v>34</v>
      </c>
      <c r="C792" s="3" t="str">
        <f aca="false">SUBSTITUTE(Raw_Data!B792,".","")</f>
        <v>management</v>
      </c>
      <c r="D792" s="3" t="str">
        <f aca="false">Raw_Data!C792</f>
        <v>single</v>
      </c>
      <c r="E792" s="3" t="str">
        <f aca="false">Raw_Data!D792</f>
        <v>tertiary</v>
      </c>
      <c r="F792" s="3" t="str">
        <f aca="false">Raw_Data!E792</f>
        <v>no</v>
      </c>
      <c r="G792" s="3" t="n">
        <f aca="false">Raw_Data!F792</f>
        <v>4348</v>
      </c>
      <c r="H792" s="3" t="str">
        <f aca="false">Raw_Data!G792</f>
        <v>yes</v>
      </c>
      <c r="I792" s="3" t="str">
        <f aca="false">Raw_Data!H792</f>
        <v>no</v>
      </c>
      <c r="J792" s="2" t="n">
        <f aca="false">IF(F792="yes",1,0)</f>
        <v>0</v>
      </c>
      <c r="K792" s="2" t="n">
        <f aca="false">IF(H792="yes",1,0)</f>
        <v>1</v>
      </c>
      <c r="L792" s="2" t="n">
        <f aca="false">IF(I792="yes",1,0)</f>
        <v>0</v>
      </c>
      <c r="M792" s="2" t="n">
        <f aca="false">IF(G792&lt;0,1,0)</f>
        <v>0</v>
      </c>
      <c r="N792" s="2" t="str">
        <f aca="false">_xlfn.IFS(B792&lt;30,"Under 30",B792&lt;40,"30-39",B792&lt;50,"40-49",B792&lt;60,"50-59",TRUE(),"60+")</f>
        <v>30-39</v>
      </c>
      <c r="O792" s="2" t="str">
        <f aca="false">_xlfn.IFS(G792&lt;0,"1 Negative",G792=0,"2 Zero",G792&lt;=500,"3 1-500",G792&lt;=2000,"4 501-2000",TRUE(),"5 Above 2000")</f>
        <v>5 Above 2000</v>
      </c>
      <c r="P792" s="2" t="n">
        <f aca="false">Lookups!$B$2*M792+Lookups!$B$3*L792</f>
        <v>0</v>
      </c>
      <c r="Q792" s="2" t="str">
        <f aca="false">INDEX(Lookups!$E$2:$E$5,MATCH(P792,Lookups!$D$2:$D$5,0))</f>
        <v>Low</v>
      </c>
    </row>
    <row r="793" customFormat="false" ht="15" hidden="false" customHeight="false" outlineLevel="0" collapsed="false">
      <c r="A793" s="3" t="n">
        <v>792</v>
      </c>
      <c r="B793" s="3" t="n">
        <f aca="false">Raw_Data!A793</f>
        <v>41</v>
      </c>
      <c r="C793" s="3" t="str">
        <f aca="false">SUBSTITUTE(Raw_Data!B793,".","")</f>
        <v>management</v>
      </c>
      <c r="D793" s="3" t="str">
        <f aca="false">Raw_Data!C793</f>
        <v>married</v>
      </c>
      <c r="E793" s="3" t="str">
        <f aca="false">Raw_Data!D793</f>
        <v>tertiary</v>
      </c>
      <c r="F793" s="3" t="str">
        <f aca="false">Raw_Data!E793</f>
        <v>no</v>
      </c>
      <c r="G793" s="3" t="n">
        <f aca="false">Raw_Data!F793</f>
        <v>3016</v>
      </c>
      <c r="H793" s="3" t="str">
        <f aca="false">Raw_Data!G793</f>
        <v>yes</v>
      </c>
      <c r="I793" s="3" t="str">
        <f aca="false">Raw_Data!H793</f>
        <v>no</v>
      </c>
      <c r="J793" s="2" t="n">
        <f aca="false">IF(F793="yes",1,0)</f>
        <v>0</v>
      </c>
      <c r="K793" s="2" t="n">
        <f aca="false">IF(H793="yes",1,0)</f>
        <v>1</v>
      </c>
      <c r="L793" s="2" t="n">
        <f aca="false">IF(I793="yes",1,0)</f>
        <v>0</v>
      </c>
      <c r="M793" s="2" t="n">
        <f aca="false">IF(G793&lt;0,1,0)</f>
        <v>0</v>
      </c>
      <c r="N793" s="2" t="str">
        <f aca="false">_xlfn.IFS(B793&lt;30,"Under 30",B793&lt;40,"30-39",B793&lt;50,"40-49",B793&lt;60,"50-59",TRUE(),"60+")</f>
        <v>40-49</v>
      </c>
      <c r="O793" s="2" t="str">
        <f aca="false">_xlfn.IFS(G793&lt;0,"1 Negative",G793=0,"2 Zero",G793&lt;=500,"3 1-500",G793&lt;=2000,"4 501-2000",TRUE(),"5 Above 2000")</f>
        <v>5 Above 2000</v>
      </c>
      <c r="P793" s="2" t="n">
        <f aca="false">Lookups!$B$2*M793+Lookups!$B$3*L793</f>
        <v>0</v>
      </c>
      <c r="Q793" s="2" t="str">
        <f aca="false">INDEX(Lookups!$E$2:$E$5,MATCH(P793,Lookups!$D$2:$D$5,0))</f>
        <v>Low</v>
      </c>
    </row>
    <row r="794" customFormat="false" ht="15" hidden="false" customHeight="false" outlineLevel="0" collapsed="false">
      <c r="A794" s="3" t="n">
        <v>793</v>
      </c>
      <c r="B794" s="3" t="n">
        <f aca="false">Raw_Data!A794</f>
        <v>26</v>
      </c>
      <c r="C794" s="3" t="str">
        <f aca="false">SUBSTITUTE(Raw_Data!B794,".","")</f>
        <v>student</v>
      </c>
      <c r="D794" s="3" t="str">
        <f aca="false">Raw_Data!C794</f>
        <v>single</v>
      </c>
      <c r="E794" s="3" t="str">
        <f aca="false">Raw_Data!D794</f>
        <v>secondary</v>
      </c>
      <c r="F794" s="3" t="str">
        <f aca="false">Raw_Data!E794</f>
        <v>no</v>
      </c>
      <c r="G794" s="3" t="n">
        <f aca="false">Raw_Data!F794</f>
        <v>279</v>
      </c>
      <c r="H794" s="3" t="str">
        <f aca="false">Raw_Data!G794</f>
        <v>no</v>
      </c>
      <c r="I794" s="3" t="str">
        <f aca="false">Raw_Data!H794</f>
        <v>no</v>
      </c>
      <c r="J794" s="2" t="n">
        <f aca="false">IF(F794="yes",1,0)</f>
        <v>0</v>
      </c>
      <c r="K794" s="2" t="n">
        <f aca="false">IF(H794="yes",1,0)</f>
        <v>0</v>
      </c>
      <c r="L794" s="2" t="n">
        <f aca="false">IF(I794="yes",1,0)</f>
        <v>0</v>
      </c>
      <c r="M794" s="2" t="n">
        <f aca="false">IF(G794&lt;0,1,0)</f>
        <v>0</v>
      </c>
      <c r="N794" s="2" t="str">
        <f aca="false">_xlfn.IFS(B794&lt;30,"Under 30",B794&lt;40,"30-39",B794&lt;50,"40-49",B794&lt;60,"50-59",TRUE(),"60+")</f>
        <v>Under 30</v>
      </c>
      <c r="O794" s="2" t="str">
        <f aca="false">_xlfn.IFS(G794&lt;0,"1 Negative",G794=0,"2 Zero",G794&lt;=500,"3 1-500",G794&lt;=2000,"4 501-2000",TRUE(),"5 Above 2000")</f>
        <v>3 1-500</v>
      </c>
      <c r="P794" s="2" t="n">
        <f aca="false">Lookups!$B$2*M794+Lookups!$B$3*L794</f>
        <v>0</v>
      </c>
      <c r="Q794" s="2" t="str">
        <f aca="false">INDEX(Lookups!$E$2:$E$5,MATCH(P794,Lookups!$D$2:$D$5,0))</f>
        <v>Low</v>
      </c>
    </row>
    <row r="795" customFormat="false" ht="15" hidden="false" customHeight="false" outlineLevel="0" collapsed="false">
      <c r="A795" s="3" t="n">
        <v>794</v>
      </c>
      <c r="B795" s="3" t="n">
        <f aca="false">Raw_Data!A795</f>
        <v>49</v>
      </c>
      <c r="C795" s="3" t="str">
        <f aca="false">SUBSTITUTE(Raw_Data!B795,".","")</f>
        <v>management</v>
      </c>
      <c r="D795" s="3" t="str">
        <f aca="false">Raw_Data!C795</f>
        <v>divorced</v>
      </c>
      <c r="E795" s="3" t="str">
        <f aca="false">Raw_Data!D795</f>
        <v>tertiary</v>
      </c>
      <c r="F795" s="3" t="str">
        <f aca="false">Raw_Data!E795</f>
        <v>no</v>
      </c>
      <c r="G795" s="3" t="n">
        <f aca="false">Raw_Data!F795</f>
        <v>1405</v>
      </c>
      <c r="H795" s="3" t="str">
        <f aca="false">Raw_Data!G795</f>
        <v>no</v>
      </c>
      <c r="I795" s="3" t="str">
        <f aca="false">Raw_Data!H795</f>
        <v>no</v>
      </c>
      <c r="J795" s="2" t="n">
        <f aca="false">IF(F795="yes",1,0)</f>
        <v>0</v>
      </c>
      <c r="K795" s="2" t="n">
        <f aca="false">IF(H795="yes",1,0)</f>
        <v>0</v>
      </c>
      <c r="L795" s="2" t="n">
        <f aca="false">IF(I795="yes",1,0)</f>
        <v>0</v>
      </c>
      <c r="M795" s="2" t="n">
        <f aca="false">IF(G795&lt;0,1,0)</f>
        <v>0</v>
      </c>
      <c r="N795" s="2" t="str">
        <f aca="false">_xlfn.IFS(B795&lt;30,"Under 30",B795&lt;40,"30-39",B795&lt;50,"40-49",B795&lt;60,"50-59",TRUE(),"60+")</f>
        <v>40-49</v>
      </c>
      <c r="O795" s="2" t="str">
        <f aca="false">_xlfn.IFS(G795&lt;0,"1 Negative",G795=0,"2 Zero",G795&lt;=500,"3 1-500",G795&lt;=2000,"4 501-2000",TRUE(),"5 Above 2000")</f>
        <v>4 501-2000</v>
      </c>
      <c r="P795" s="2" t="n">
        <f aca="false">Lookups!$B$2*M795+Lookups!$B$3*L795</f>
        <v>0</v>
      </c>
      <c r="Q795" s="2" t="str">
        <f aca="false">INDEX(Lookups!$E$2:$E$5,MATCH(P795,Lookups!$D$2:$D$5,0))</f>
        <v>Low</v>
      </c>
    </row>
    <row r="796" customFormat="false" ht="15" hidden="false" customHeight="false" outlineLevel="0" collapsed="false">
      <c r="A796" s="3" t="n">
        <v>795</v>
      </c>
      <c r="B796" s="3" t="n">
        <f aca="false">Raw_Data!A796</f>
        <v>29</v>
      </c>
      <c r="C796" s="3" t="str">
        <f aca="false">SUBSTITUTE(Raw_Data!B796,".","")</f>
        <v>blue-collar</v>
      </c>
      <c r="D796" s="3" t="str">
        <f aca="false">Raw_Data!C796</f>
        <v>single</v>
      </c>
      <c r="E796" s="3" t="str">
        <f aca="false">Raw_Data!D796</f>
        <v>secondary</v>
      </c>
      <c r="F796" s="3" t="str">
        <f aca="false">Raw_Data!E796</f>
        <v>no</v>
      </c>
      <c r="G796" s="3" t="n">
        <f aca="false">Raw_Data!F796</f>
        <v>908</v>
      </c>
      <c r="H796" s="3" t="str">
        <f aca="false">Raw_Data!G796</f>
        <v>yes</v>
      </c>
      <c r="I796" s="3" t="str">
        <f aca="false">Raw_Data!H796</f>
        <v>no</v>
      </c>
      <c r="J796" s="2" t="n">
        <f aca="false">IF(F796="yes",1,0)</f>
        <v>0</v>
      </c>
      <c r="K796" s="2" t="n">
        <f aca="false">IF(H796="yes",1,0)</f>
        <v>1</v>
      </c>
      <c r="L796" s="2" t="n">
        <f aca="false">IF(I796="yes",1,0)</f>
        <v>0</v>
      </c>
      <c r="M796" s="2" t="n">
        <f aca="false">IF(G796&lt;0,1,0)</f>
        <v>0</v>
      </c>
      <c r="N796" s="2" t="str">
        <f aca="false">_xlfn.IFS(B796&lt;30,"Under 30",B796&lt;40,"30-39",B796&lt;50,"40-49",B796&lt;60,"50-59",TRUE(),"60+")</f>
        <v>Under 30</v>
      </c>
      <c r="O796" s="2" t="str">
        <f aca="false">_xlfn.IFS(G796&lt;0,"1 Negative",G796=0,"2 Zero",G796&lt;=500,"3 1-500",G796&lt;=2000,"4 501-2000",TRUE(),"5 Above 2000")</f>
        <v>4 501-2000</v>
      </c>
      <c r="P796" s="2" t="n">
        <f aca="false">Lookups!$B$2*M796+Lookups!$B$3*L796</f>
        <v>0</v>
      </c>
      <c r="Q796" s="2" t="str">
        <f aca="false">INDEX(Lookups!$E$2:$E$5,MATCH(P796,Lookups!$D$2:$D$5,0))</f>
        <v>Low</v>
      </c>
    </row>
    <row r="797" customFormat="false" ht="15" hidden="false" customHeight="false" outlineLevel="0" collapsed="false">
      <c r="A797" s="3" t="n">
        <v>796</v>
      </c>
      <c r="B797" s="3" t="n">
        <f aca="false">Raw_Data!A797</f>
        <v>30</v>
      </c>
      <c r="C797" s="3" t="str">
        <f aca="false">SUBSTITUTE(Raw_Data!B797,".","")</f>
        <v>management</v>
      </c>
      <c r="D797" s="3" t="str">
        <f aca="false">Raw_Data!C797</f>
        <v>single</v>
      </c>
      <c r="E797" s="3" t="str">
        <f aca="false">Raw_Data!D797</f>
        <v>tertiary</v>
      </c>
      <c r="F797" s="3" t="str">
        <f aca="false">Raw_Data!E797</f>
        <v>no</v>
      </c>
      <c r="G797" s="3" t="n">
        <f aca="false">Raw_Data!F797</f>
        <v>162</v>
      </c>
      <c r="H797" s="3" t="str">
        <f aca="false">Raw_Data!G797</f>
        <v>yes</v>
      </c>
      <c r="I797" s="3" t="str">
        <f aca="false">Raw_Data!H797</f>
        <v>no</v>
      </c>
      <c r="J797" s="2" t="n">
        <f aca="false">IF(F797="yes",1,0)</f>
        <v>0</v>
      </c>
      <c r="K797" s="2" t="n">
        <f aca="false">IF(H797="yes",1,0)</f>
        <v>1</v>
      </c>
      <c r="L797" s="2" t="n">
        <f aca="false">IF(I797="yes",1,0)</f>
        <v>0</v>
      </c>
      <c r="M797" s="2" t="n">
        <f aca="false">IF(G797&lt;0,1,0)</f>
        <v>0</v>
      </c>
      <c r="N797" s="2" t="str">
        <f aca="false">_xlfn.IFS(B797&lt;30,"Under 30",B797&lt;40,"30-39",B797&lt;50,"40-49",B797&lt;60,"50-59",TRUE(),"60+")</f>
        <v>30-39</v>
      </c>
      <c r="O797" s="2" t="str">
        <f aca="false">_xlfn.IFS(G797&lt;0,"1 Negative",G797=0,"2 Zero",G797&lt;=500,"3 1-500",G797&lt;=2000,"4 501-2000",TRUE(),"5 Above 2000")</f>
        <v>3 1-500</v>
      </c>
      <c r="P797" s="2" t="n">
        <f aca="false">Lookups!$B$2*M797+Lookups!$B$3*L797</f>
        <v>0</v>
      </c>
      <c r="Q797" s="2" t="str">
        <f aca="false">INDEX(Lookups!$E$2:$E$5,MATCH(P797,Lookups!$D$2:$D$5,0))</f>
        <v>Low</v>
      </c>
    </row>
    <row r="798" customFormat="false" ht="15" hidden="false" customHeight="false" outlineLevel="0" collapsed="false">
      <c r="A798" s="3" t="n">
        <v>797</v>
      </c>
      <c r="B798" s="3" t="n">
        <f aca="false">Raw_Data!A798</f>
        <v>38</v>
      </c>
      <c r="C798" s="3" t="str">
        <f aca="false">SUBSTITUTE(Raw_Data!B798,".","")</f>
        <v>services</v>
      </c>
      <c r="D798" s="3" t="str">
        <f aca="false">Raw_Data!C798</f>
        <v>divorced</v>
      </c>
      <c r="E798" s="3" t="str">
        <f aca="false">Raw_Data!D798</f>
        <v>secondary</v>
      </c>
      <c r="F798" s="3" t="str">
        <f aca="false">Raw_Data!E798</f>
        <v>no</v>
      </c>
      <c r="G798" s="3" t="n">
        <f aca="false">Raw_Data!F798</f>
        <v>792</v>
      </c>
      <c r="H798" s="3" t="str">
        <f aca="false">Raw_Data!G798</f>
        <v>no</v>
      </c>
      <c r="I798" s="3" t="str">
        <f aca="false">Raw_Data!H798</f>
        <v>no</v>
      </c>
      <c r="J798" s="2" t="n">
        <f aca="false">IF(F798="yes",1,0)</f>
        <v>0</v>
      </c>
      <c r="K798" s="2" t="n">
        <f aca="false">IF(H798="yes",1,0)</f>
        <v>0</v>
      </c>
      <c r="L798" s="2" t="n">
        <f aca="false">IF(I798="yes",1,0)</f>
        <v>0</v>
      </c>
      <c r="M798" s="2" t="n">
        <f aca="false">IF(G798&lt;0,1,0)</f>
        <v>0</v>
      </c>
      <c r="N798" s="2" t="str">
        <f aca="false">_xlfn.IFS(B798&lt;30,"Under 30",B798&lt;40,"30-39",B798&lt;50,"40-49",B798&lt;60,"50-59",TRUE(),"60+")</f>
        <v>30-39</v>
      </c>
      <c r="O798" s="2" t="str">
        <f aca="false">_xlfn.IFS(G798&lt;0,"1 Negative",G798=0,"2 Zero",G798&lt;=500,"3 1-500",G798&lt;=2000,"4 501-2000",TRUE(),"5 Above 2000")</f>
        <v>4 501-2000</v>
      </c>
      <c r="P798" s="2" t="n">
        <f aca="false">Lookups!$B$2*M798+Lookups!$B$3*L798</f>
        <v>0</v>
      </c>
      <c r="Q798" s="2" t="str">
        <f aca="false">INDEX(Lookups!$E$2:$E$5,MATCH(P798,Lookups!$D$2:$D$5,0))</f>
        <v>Low</v>
      </c>
    </row>
    <row r="799" customFormat="false" ht="15" hidden="false" customHeight="false" outlineLevel="0" collapsed="false">
      <c r="A799" s="3" t="n">
        <v>798</v>
      </c>
      <c r="B799" s="3" t="n">
        <f aca="false">Raw_Data!A799</f>
        <v>58</v>
      </c>
      <c r="C799" s="3" t="str">
        <f aca="false">SUBSTITUTE(Raw_Data!B799,".","")</f>
        <v>management</v>
      </c>
      <c r="D799" s="3" t="str">
        <f aca="false">Raw_Data!C799</f>
        <v>married</v>
      </c>
      <c r="E799" s="3" t="str">
        <f aca="false">Raw_Data!D799</f>
        <v>secondary</v>
      </c>
      <c r="F799" s="3" t="str">
        <f aca="false">Raw_Data!E799</f>
        <v>no</v>
      </c>
      <c r="G799" s="3" t="n">
        <f aca="false">Raw_Data!F799</f>
        <v>111</v>
      </c>
      <c r="H799" s="3" t="str">
        <f aca="false">Raw_Data!G799</f>
        <v>no</v>
      </c>
      <c r="I799" s="3" t="str">
        <f aca="false">Raw_Data!H799</f>
        <v>no</v>
      </c>
      <c r="J799" s="2" t="n">
        <f aca="false">IF(F799="yes",1,0)</f>
        <v>0</v>
      </c>
      <c r="K799" s="2" t="n">
        <f aca="false">IF(H799="yes",1,0)</f>
        <v>0</v>
      </c>
      <c r="L799" s="2" t="n">
        <f aca="false">IF(I799="yes",1,0)</f>
        <v>0</v>
      </c>
      <c r="M799" s="2" t="n">
        <f aca="false">IF(G799&lt;0,1,0)</f>
        <v>0</v>
      </c>
      <c r="N799" s="2" t="str">
        <f aca="false">_xlfn.IFS(B799&lt;30,"Under 30",B799&lt;40,"30-39",B799&lt;50,"40-49",B799&lt;60,"50-59",TRUE(),"60+")</f>
        <v>50-59</v>
      </c>
      <c r="O799" s="2" t="str">
        <f aca="false">_xlfn.IFS(G799&lt;0,"1 Negative",G799=0,"2 Zero",G799&lt;=500,"3 1-500",G799&lt;=2000,"4 501-2000",TRUE(),"5 Above 2000")</f>
        <v>3 1-500</v>
      </c>
      <c r="P799" s="2" t="n">
        <f aca="false">Lookups!$B$2*M799+Lookups!$B$3*L799</f>
        <v>0</v>
      </c>
      <c r="Q799" s="2" t="str">
        <f aca="false">INDEX(Lookups!$E$2:$E$5,MATCH(P799,Lookups!$D$2:$D$5,0))</f>
        <v>Low</v>
      </c>
    </row>
    <row r="800" customFormat="false" ht="15" hidden="false" customHeight="false" outlineLevel="0" collapsed="false">
      <c r="A800" s="3" t="n">
        <v>799</v>
      </c>
      <c r="B800" s="3" t="n">
        <f aca="false">Raw_Data!A800</f>
        <v>34</v>
      </c>
      <c r="C800" s="3" t="str">
        <f aca="false">SUBSTITUTE(Raw_Data!B800,".","")</f>
        <v>student</v>
      </c>
      <c r="D800" s="3" t="str">
        <f aca="false">Raw_Data!C800</f>
        <v>single</v>
      </c>
      <c r="E800" s="3" t="str">
        <f aca="false">Raw_Data!D800</f>
        <v>unknown</v>
      </c>
      <c r="F800" s="3" t="str">
        <f aca="false">Raw_Data!E800</f>
        <v>no</v>
      </c>
      <c r="G800" s="3" t="n">
        <f aca="false">Raw_Data!F800</f>
        <v>1281</v>
      </c>
      <c r="H800" s="3" t="str">
        <f aca="false">Raw_Data!G800</f>
        <v>no</v>
      </c>
      <c r="I800" s="3" t="str">
        <f aca="false">Raw_Data!H800</f>
        <v>no</v>
      </c>
      <c r="J800" s="2" t="n">
        <f aca="false">IF(F800="yes",1,0)</f>
        <v>0</v>
      </c>
      <c r="K800" s="2" t="n">
        <f aca="false">IF(H800="yes",1,0)</f>
        <v>0</v>
      </c>
      <c r="L800" s="2" t="n">
        <f aca="false">IF(I800="yes",1,0)</f>
        <v>0</v>
      </c>
      <c r="M800" s="2" t="n">
        <f aca="false">IF(G800&lt;0,1,0)</f>
        <v>0</v>
      </c>
      <c r="N800" s="2" t="str">
        <f aca="false">_xlfn.IFS(B800&lt;30,"Under 30",B800&lt;40,"30-39",B800&lt;50,"40-49",B800&lt;60,"50-59",TRUE(),"60+")</f>
        <v>30-39</v>
      </c>
      <c r="O800" s="2" t="str">
        <f aca="false">_xlfn.IFS(G800&lt;0,"1 Negative",G800=0,"2 Zero",G800&lt;=500,"3 1-500",G800&lt;=2000,"4 501-2000",TRUE(),"5 Above 2000")</f>
        <v>4 501-2000</v>
      </c>
      <c r="P800" s="2" t="n">
        <f aca="false">Lookups!$B$2*M800+Lookups!$B$3*L800</f>
        <v>0</v>
      </c>
      <c r="Q800" s="2" t="str">
        <f aca="false">INDEX(Lookups!$E$2:$E$5,MATCH(P800,Lookups!$D$2:$D$5,0))</f>
        <v>Low</v>
      </c>
    </row>
    <row r="801" customFormat="false" ht="15" hidden="false" customHeight="false" outlineLevel="0" collapsed="false">
      <c r="A801" s="3" t="n">
        <v>800</v>
      </c>
      <c r="B801" s="3" t="n">
        <f aca="false">Raw_Data!A801</f>
        <v>53</v>
      </c>
      <c r="C801" s="3" t="str">
        <f aca="false">SUBSTITUTE(Raw_Data!B801,".","")</f>
        <v>services</v>
      </c>
      <c r="D801" s="3" t="str">
        <f aca="false">Raw_Data!C801</f>
        <v>divorced</v>
      </c>
      <c r="E801" s="3" t="str">
        <f aca="false">Raw_Data!D801</f>
        <v>unknown</v>
      </c>
      <c r="F801" s="3" t="str">
        <f aca="false">Raw_Data!E801</f>
        <v>no</v>
      </c>
      <c r="G801" s="3" t="n">
        <f aca="false">Raw_Data!F801</f>
        <v>1012</v>
      </c>
      <c r="H801" s="3" t="str">
        <f aca="false">Raw_Data!G801</f>
        <v>yes</v>
      </c>
      <c r="I801" s="3" t="str">
        <f aca="false">Raw_Data!H801</f>
        <v>no</v>
      </c>
      <c r="J801" s="2" t="n">
        <f aca="false">IF(F801="yes",1,0)</f>
        <v>0</v>
      </c>
      <c r="K801" s="2" t="n">
        <f aca="false">IF(H801="yes",1,0)</f>
        <v>1</v>
      </c>
      <c r="L801" s="2" t="n">
        <f aca="false">IF(I801="yes",1,0)</f>
        <v>0</v>
      </c>
      <c r="M801" s="2" t="n">
        <f aca="false">IF(G801&lt;0,1,0)</f>
        <v>0</v>
      </c>
      <c r="N801" s="2" t="str">
        <f aca="false">_xlfn.IFS(B801&lt;30,"Under 30",B801&lt;40,"30-39",B801&lt;50,"40-49",B801&lt;60,"50-59",TRUE(),"60+")</f>
        <v>50-59</v>
      </c>
      <c r="O801" s="2" t="str">
        <f aca="false">_xlfn.IFS(G801&lt;0,"1 Negative",G801=0,"2 Zero",G801&lt;=500,"3 1-500",G801&lt;=2000,"4 501-2000",TRUE(),"5 Above 2000")</f>
        <v>4 501-2000</v>
      </c>
      <c r="P801" s="2" t="n">
        <f aca="false">Lookups!$B$2*M801+Lookups!$B$3*L801</f>
        <v>0</v>
      </c>
      <c r="Q801" s="2" t="str">
        <f aca="false">INDEX(Lookups!$E$2:$E$5,MATCH(P801,Lookups!$D$2:$D$5,0))</f>
        <v>Low</v>
      </c>
    </row>
    <row r="802" customFormat="false" ht="15" hidden="false" customHeight="false" outlineLevel="0" collapsed="false">
      <c r="A802" s="3" t="n">
        <v>801</v>
      </c>
      <c r="B802" s="3" t="n">
        <f aca="false">Raw_Data!A802</f>
        <v>50</v>
      </c>
      <c r="C802" s="3" t="str">
        <f aca="false">SUBSTITUTE(Raw_Data!B802,".","")</f>
        <v>management</v>
      </c>
      <c r="D802" s="3" t="str">
        <f aca="false">Raw_Data!C802</f>
        <v>married</v>
      </c>
      <c r="E802" s="3" t="str">
        <f aca="false">Raw_Data!D802</f>
        <v>tertiary</v>
      </c>
      <c r="F802" s="3" t="str">
        <f aca="false">Raw_Data!E802</f>
        <v>no</v>
      </c>
      <c r="G802" s="3" t="n">
        <f aca="false">Raw_Data!F802</f>
        <v>2881</v>
      </c>
      <c r="H802" s="3" t="str">
        <f aca="false">Raw_Data!G802</f>
        <v>no</v>
      </c>
      <c r="I802" s="3" t="str">
        <f aca="false">Raw_Data!H802</f>
        <v>no</v>
      </c>
      <c r="J802" s="2" t="n">
        <f aca="false">IF(F802="yes",1,0)</f>
        <v>0</v>
      </c>
      <c r="K802" s="2" t="n">
        <f aca="false">IF(H802="yes",1,0)</f>
        <v>0</v>
      </c>
      <c r="L802" s="2" t="n">
        <f aca="false">IF(I802="yes",1,0)</f>
        <v>0</v>
      </c>
      <c r="M802" s="2" t="n">
        <f aca="false">IF(G802&lt;0,1,0)</f>
        <v>0</v>
      </c>
      <c r="N802" s="2" t="str">
        <f aca="false">_xlfn.IFS(B802&lt;30,"Under 30",B802&lt;40,"30-39",B802&lt;50,"40-49",B802&lt;60,"50-59",TRUE(),"60+")</f>
        <v>50-59</v>
      </c>
      <c r="O802" s="2" t="str">
        <f aca="false">_xlfn.IFS(G802&lt;0,"1 Negative",G802=0,"2 Zero",G802&lt;=500,"3 1-500",G802&lt;=2000,"4 501-2000",TRUE(),"5 Above 2000")</f>
        <v>5 Above 2000</v>
      </c>
      <c r="P802" s="2" t="n">
        <f aca="false">Lookups!$B$2*M802+Lookups!$B$3*L802</f>
        <v>0</v>
      </c>
      <c r="Q802" s="2" t="str">
        <f aca="false">INDEX(Lookups!$E$2:$E$5,MATCH(P802,Lookups!$D$2:$D$5,0))</f>
        <v>Low</v>
      </c>
    </row>
    <row r="803" customFormat="false" ht="15" hidden="false" customHeight="false" outlineLevel="0" collapsed="false">
      <c r="A803" s="3" t="n">
        <v>802</v>
      </c>
      <c r="B803" s="3" t="n">
        <f aca="false">Raw_Data!A803</f>
        <v>30</v>
      </c>
      <c r="C803" s="3" t="str">
        <f aca="false">SUBSTITUTE(Raw_Data!B803,".","")</f>
        <v>blue-collar</v>
      </c>
      <c r="D803" s="3" t="str">
        <f aca="false">Raw_Data!C803</f>
        <v>single</v>
      </c>
      <c r="E803" s="3" t="str">
        <f aca="false">Raw_Data!D803</f>
        <v>secondary</v>
      </c>
      <c r="F803" s="3" t="str">
        <f aca="false">Raw_Data!E803</f>
        <v>no</v>
      </c>
      <c r="G803" s="3" t="n">
        <f aca="false">Raw_Data!F803</f>
        <v>445</v>
      </c>
      <c r="H803" s="3" t="str">
        <f aca="false">Raw_Data!G803</f>
        <v>yes</v>
      </c>
      <c r="I803" s="3" t="str">
        <f aca="false">Raw_Data!H803</f>
        <v>no</v>
      </c>
      <c r="J803" s="2" t="n">
        <f aca="false">IF(F803="yes",1,0)</f>
        <v>0</v>
      </c>
      <c r="K803" s="2" t="n">
        <f aca="false">IF(H803="yes",1,0)</f>
        <v>1</v>
      </c>
      <c r="L803" s="2" t="n">
        <f aca="false">IF(I803="yes",1,0)</f>
        <v>0</v>
      </c>
      <c r="M803" s="2" t="n">
        <f aca="false">IF(G803&lt;0,1,0)</f>
        <v>0</v>
      </c>
      <c r="N803" s="2" t="str">
        <f aca="false">_xlfn.IFS(B803&lt;30,"Under 30",B803&lt;40,"30-39",B803&lt;50,"40-49",B803&lt;60,"50-59",TRUE(),"60+")</f>
        <v>30-39</v>
      </c>
      <c r="O803" s="2" t="str">
        <f aca="false">_xlfn.IFS(G803&lt;0,"1 Negative",G803=0,"2 Zero",G803&lt;=500,"3 1-500",G803&lt;=2000,"4 501-2000",TRUE(),"5 Above 2000")</f>
        <v>3 1-500</v>
      </c>
      <c r="P803" s="2" t="n">
        <f aca="false">Lookups!$B$2*M803+Lookups!$B$3*L803</f>
        <v>0</v>
      </c>
      <c r="Q803" s="2" t="str">
        <f aca="false">INDEX(Lookups!$E$2:$E$5,MATCH(P803,Lookups!$D$2:$D$5,0))</f>
        <v>Low</v>
      </c>
    </row>
    <row r="804" customFormat="false" ht="15" hidden="false" customHeight="false" outlineLevel="0" collapsed="false">
      <c r="A804" s="3" t="n">
        <v>803</v>
      </c>
      <c r="B804" s="3" t="n">
        <f aca="false">Raw_Data!A804</f>
        <v>40</v>
      </c>
      <c r="C804" s="3" t="str">
        <f aca="false">SUBSTITUTE(Raw_Data!B804,".","")</f>
        <v>management</v>
      </c>
      <c r="D804" s="3" t="str">
        <f aca="false">Raw_Data!C804</f>
        <v>married</v>
      </c>
      <c r="E804" s="3" t="str">
        <f aca="false">Raw_Data!D804</f>
        <v>secondary</v>
      </c>
      <c r="F804" s="3" t="str">
        <f aca="false">Raw_Data!E804</f>
        <v>no</v>
      </c>
      <c r="G804" s="3" t="n">
        <f aca="false">Raw_Data!F804</f>
        <v>643</v>
      </c>
      <c r="H804" s="3" t="str">
        <f aca="false">Raw_Data!G804</f>
        <v>yes</v>
      </c>
      <c r="I804" s="3" t="str">
        <f aca="false">Raw_Data!H804</f>
        <v>no</v>
      </c>
      <c r="J804" s="2" t="n">
        <f aca="false">IF(F804="yes",1,0)</f>
        <v>0</v>
      </c>
      <c r="K804" s="2" t="n">
        <f aca="false">IF(H804="yes",1,0)</f>
        <v>1</v>
      </c>
      <c r="L804" s="2" t="n">
        <f aca="false">IF(I804="yes",1,0)</f>
        <v>0</v>
      </c>
      <c r="M804" s="2" t="n">
        <f aca="false">IF(G804&lt;0,1,0)</f>
        <v>0</v>
      </c>
      <c r="N804" s="2" t="str">
        <f aca="false">_xlfn.IFS(B804&lt;30,"Under 30",B804&lt;40,"30-39",B804&lt;50,"40-49",B804&lt;60,"50-59",TRUE(),"60+")</f>
        <v>40-49</v>
      </c>
      <c r="O804" s="2" t="str">
        <f aca="false">_xlfn.IFS(G804&lt;0,"1 Negative",G804=0,"2 Zero",G804&lt;=500,"3 1-500",G804&lt;=2000,"4 501-2000",TRUE(),"5 Above 2000")</f>
        <v>4 501-2000</v>
      </c>
      <c r="P804" s="2" t="n">
        <f aca="false">Lookups!$B$2*M804+Lookups!$B$3*L804</f>
        <v>0</v>
      </c>
      <c r="Q804" s="2" t="str">
        <f aca="false">INDEX(Lookups!$E$2:$E$5,MATCH(P804,Lookups!$D$2:$D$5,0))</f>
        <v>Low</v>
      </c>
    </row>
    <row r="805" customFormat="false" ht="15" hidden="false" customHeight="false" outlineLevel="0" collapsed="false">
      <c r="A805" s="3" t="n">
        <v>804</v>
      </c>
      <c r="B805" s="3" t="n">
        <f aca="false">Raw_Data!A805</f>
        <v>57</v>
      </c>
      <c r="C805" s="3" t="str">
        <f aca="false">SUBSTITUTE(Raw_Data!B805,".","")</f>
        <v>housemaid</v>
      </c>
      <c r="D805" s="3" t="str">
        <f aca="false">Raw_Data!C805</f>
        <v>single</v>
      </c>
      <c r="E805" s="3" t="str">
        <f aca="false">Raw_Data!D805</f>
        <v>secondary</v>
      </c>
      <c r="F805" s="3" t="str">
        <f aca="false">Raw_Data!E805</f>
        <v>no</v>
      </c>
      <c r="G805" s="3" t="n">
        <f aca="false">Raw_Data!F805</f>
        <v>254</v>
      </c>
      <c r="H805" s="3" t="str">
        <f aca="false">Raw_Data!G805</f>
        <v>no</v>
      </c>
      <c r="I805" s="3" t="str">
        <f aca="false">Raw_Data!H805</f>
        <v>no</v>
      </c>
      <c r="J805" s="2" t="n">
        <f aca="false">IF(F805="yes",1,0)</f>
        <v>0</v>
      </c>
      <c r="K805" s="2" t="n">
        <f aca="false">IF(H805="yes",1,0)</f>
        <v>0</v>
      </c>
      <c r="L805" s="2" t="n">
        <f aca="false">IF(I805="yes",1,0)</f>
        <v>0</v>
      </c>
      <c r="M805" s="2" t="n">
        <f aca="false">IF(G805&lt;0,1,0)</f>
        <v>0</v>
      </c>
      <c r="N805" s="2" t="str">
        <f aca="false">_xlfn.IFS(B805&lt;30,"Under 30",B805&lt;40,"30-39",B805&lt;50,"40-49",B805&lt;60,"50-59",TRUE(),"60+")</f>
        <v>50-59</v>
      </c>
      <c r="O805" s="2" t="str">
        <f aca="false">_xlfn.IFS(G805&lt;0,"1 Negative",G805=0,"2 Zero",G805&lt;=500,"3 1-500",G805&lt;=2000,"4 501-2000",TRUE(),"5 Above 2000")</f>
        <v>3 1-500</v>
      </c>
      <c r="P805" s="2" t="n">
        <f aca="false">Lookups!$B$2*M805+Lookups!$B$3*L805</f>
        <v>0</v>
      </c>
      <c r="Q805" s="2" t="str">
        <f aca="false">INDEX(Lookups!$E$2:$E$5,MATCH(P805,Lookups!$D$2:$D$5,0))</f>
        <v>Low</v>
      </c>
    </row>
    <row r="806" customFormat="false" ht="15" hidden="false" customHeight="false" outlineLevel="0" collapsed="false">
      <c r="A806" s="3" t="n">
        <v>805</v>
      </c>
      <c r="B806" s="3" t="n">
        <f aca="false">Raw_Data!A806</f>
        <v>40</v>
      </c>
      <c r="C806" s="3" t="str">
        <f aca="false">SUBSTITUTE(Raw_Data!B806,".","")</f>
        <v>management</v>
      </c>
      <c r="D806" s="3" t="str">
        <f aca="false">Raw_Data!C806</f>
        <v>married</v>
      </c>
      <c r="E806" s="3" t="str">
        <f aca="false">Raw_Data!D806</f>
        <v>tertiary</v>
      </c>
      <c r="F806" s="3" t="str">
        <f aca="false">Raw_Data!E806</f>
        <v>no</v>
      </c>
      <c r="G806" s="3" t="n">
        <f aca="false">Raw_Data!F806</f>
        <v>-1212</v>
      </c>
      <c r="H806" s="3" t="str">
        <f aca="false">Raw_Data!G806</f>
        <v>yes</v>
      </c>
      <c r="I806" s="3" t="str">
        <f aca="false">Raw_Data!H806</f>
        <v>no</v>
      </c>
      <c r="J806" s="2" t="n">
        <f aca="false">IF(F806="yes",1,0)</f>
        <v>0</v>
      </c>
      <c r="K806" s="2" t="n">
        <f aca="false">IF(H806="yes",1,0)</f>
        <v>1</v>
      </c>
      <c r="L806" s="2" t="n">
        <f aca="false">IF(I806="yes",1,0)</f>
        <v>0</v>
      </c>
      <c r="M806" s="2" t="n">
        <f aca="false">IF(G806&lt;0,1,0)</f>
        <v>1</v>
      </c>
      <c r="N806" s="2" t="str">
        <f aca="false">_xlfn.IFS(B806&lt;30,"Under 30",B806&lt;40,"30-39",B806&lt;50,"40-49",B806&lt;60,"50-59",TRUE(),"60+")</f>
        <v>40-49</v>
      </c>
      <c r="O806" s="2" t="str">
        <f aca="false">_xlfn.IFS(G806&lt;0,"1 Negative",G806=0,"2 Zero",G806&lt;=500,"3 1-500",G806&lt;=2000,"4 501-2000",TRUE(),"5 Above 2000")</f>
        <v>1 Negative</v>
      </c>
      <c r="P806" s="2" t="n">
        <f aca="false">Lookups!$B$2*M806+Lookups!$B$3*L806</f>
        <v>2</v>
      </c>
      <c r="Q806" s="2" t="str">
        <f aca="false">INDEX(Lookups!$E$2:$E$5,MATCH(P806,Lookups!$D$2:$D$5,0))</f>
        <v>High</v>
      </c>
    </row>
    <row r="807" customFormat="false" ht="15" hidden="false" customHeight="false" outlineLevel="0" collapsed="false">
      <c r="A807" s="3" t="n">
        <v>806</v>
      </c>
      <c r="B807" s="3" t="n">
        <f aca="false">Raw_Data!A807</f>
        <v>41</v>
      </c>
      <c r="C807" s="3" t="str">
        <f aca="false">SUBSTITUTE(Raw_Data!B807,".","")</f>
        <v>technician</v>
      </c>
      <c r="D807" s="3" t="str">
        <f aca="false">Raw_Data!C807</f>
        <v>married</v>
      </c>
      <c r="E807" s="3" t="str">
        <f aca="false">Raw_Data!D807</f>
        <v>secondary</v>
      </c>
      <c r="F807" s="3" t="str">
        <f aca="false">Raw_Data!E807</f>
        <v>no</v>
      </c>
      <c r="G807" s="3" t="n">
        <f aca="false">Raw_Data!F807</f>
        <v>2125</v>
      </c>
      <c r="H807" s="3" t="str">
        <f aca="false">Raw_Data!G807</f>
        <v>yes</v>
      </c>
      <c r="I807" s="3" t="str">
        <f aca="false">Raw_Data!H807</f>
        <v>yes</v>
      </c>
      <c r="J807" s="2" t="n">
        <f aca="false">IF(F807="yes",1,0)</f>
        <v>0</v>
      </c>
      <c r="K807" s="2" t="n">
        <f aca="false">IF(H807="yes",1,0)</f>
        <v>1</v>
      </c>
      <c r="L807" s="2" t="n">
        <f aca="false">IF(I807="yes",1,0)</f>
        <v>1</v>
      </c>
      <c r="M807" s="2" t="n">
        <f aca="false">IF(G807&lt;0,1,0)</f>
        <v>0</v>
      </c>
      <c r="N807" s="2" t="str">
        <f aca="false">_xlfn.IFS(B807&lt;30,"Under 30",B807&lt;40,"30-39",B807&lt;50,"40-49",B807&lt;60,"50-59",TRUE(),"60+")</f>
        <v>40-49</v>
      </c>
      <c r="O807" s="2" t="str">
        <f aca="false">_xlfn.IFS(G807&lt;0,"1 Negative",G807=0,"2 Zero",G807&lt;=500,"3 1-500",G807&lt;=2000,"4 501-2000",TRUE(),"5 Above 2000")</f>
        <v>5 Above 2000</v>
      </c>
      <c r="P807" s="2" t="n">
        <f aca="false">Lookups!$B$2*M807+Lookups!$B$3*L807</f>
        <v>1</v>
      </c>
      <c r="Q807" s="2" t="str">
        <f aca="false">INDEX(Lookups!$E$2:$E$5,MATCH(P807,Lookups!$D$2:$D$5,0))</f>
        <v>Medium</v>
      </c>
    </row>
    <row r="808" customFormat="false" ht="15" hidden="false" customHeight="false" outlineLevel="0" collapsed="false">
      <c r="A808" s="3" t="n">
        <v>807</v>
      </c>
      <c r="B808" s="3" t="n">
        <f aca="false">Raw_Data!A808</f>
        <v>53</v>
      </c>
      <c r="C808" s="3" t="str">
        <f aca="false">SUBSTITUTE(Raw_Data!B808,".","")</f>
        <v>technician</v>
      </c>
      <c r="D808" s="3" t="str">
        <f aca="false">Raw_Data!C808</f>
        <v>divorced</v>
      </c>
      <c r="E808" s="3" t="str">
        <f aca="false">Raw_Data!D808</f>
        <v>unknown</v>
      </c>
      <c r="F808" s="3" t="str">
        <f aca="false">Raw_Data!E808</f>
        <v>no</v>
      </c>
      <c r="G808" s="3" t="n">
        <f aca="false">Raw_Data!F808</f>
        <v>629</v>
      </c>
      <c r="H808" s="3" t="str">
        <f aca="false">Raw_Data!G808</f>
        <v>yes</v>
      </c>
      <c r="I808" s="3" t="str">
        <f aca="false">Raw_Data!H808</f>
        <v>no</v>
      </c>
      <c r="J808" s="2" t="n">
        <f aca="false">IF(F808="yes",1,0)</f>
        <v>0</v>
      </c>
      <c r="K808" s="2" t="n">
        <f aca="false">IF(H808="yes",1,0)</f>
        <v>1</v>
      </c>
      <c r="L808" s="2" t="n">
        <f aca="false">IF(I808="yes",1,0)</f>
        <v>0</v>
      </c>
      <c r="M808" s="2" t="n">
        <f aca="false">IF(G808&lt;0,1,0)</f>
        <v>0</v>
      </c>
      <c r="N808" s="2" t="str">
        <f aca="false">_xlfn.IFS(B808&lt;30,"Under 30",B808&lt;40,"30-39",B808&lt;50,"40-49",B808&lt;60,"50-59",TRUE(),"60+")</f>
        <v>50-59</v>
      </c>
      <c r="O808" s="2" t="str">
        <f aca="false">_xlfn.IFS(G808&lt;0,"1 Negative",G808=0,"2 Zero",G808&lt;=500,"3 1-500",G808&lt;=2000,"4 501-2000",TRUE(),"5 Above 2000")</f>
        <v>4 501-2000</v>
      </c>
      <c r="P808" s="2" t="n">
        <f aca="false">Lookups!$B$2*M808+Lookups!$B$3*L808</f>
        <v>0</v>
      </c>
      <c r="Q808" s="2" t="str">
        <f aca="false">INDEX(Lookups!$E$2:$E$5,MATCH(P808,Lookups!$D$2:$D$5,0))</f>
        <v>Low</v>
      </c>
    </row>
    <row r="809" customFormat="false" ht="15" hidden="false" customHeight="false" outlineLevel="0" collapsed="false">
      <c r="A809" s="3" t="n">
        <v>808</v>
      </c>
      <c r="B809" s="3" t="n">
        <f aca="false">Raw_Data!A809</f>
        <v>48</v>
      </c>
      <c r="C809" s="3" t="str">
        <f aca="false">SUBSTITUTE(Raw_Data!B809,".","")</f>
        <v>blue-collar</v>
      </c>
      <c r="D809" s="3" t="str">
        <f aca="false">Raw_Data!C809</f>
        <v>married</v>
      </c>
      <c r="E809" s="3" t="str">
        <f aca="false">Raw_Data!D809</f>
        <v>secondary</v>
      </c>
      <c r="F809" s="3" t="str">
        <f aca="false">Raw_Data!E809</f>
        <v>no</v>
      </c>
      <c r="G809" s="3" t="n">
        <f aca="false">Raw_Data!F809</f>
        <v>-202</v>
      </c>
      <c r="H809" s="3" t="str">
        <f aca="false">Raw_Data!G809</f>
        <v>yes</v>
      </c>
      <c r="I809" s="3" t="str">
        <f aca="false">Raw_Data!H809</f>
        <v>yes</v>
      </c>
      <c r="J809" s="2" t="n">
        <f aca="false">IF(F809="yes",1,0)</f>
        <v>0</v>
      </c>
      <c r="K809" s="2" t="n">
        <f aca="false">IF(H809="yes",1,0)</f>
        <v>1</v>
      </c>
      <c r="L809" s="2" t="n">
        <f aca="false">IF(I809="yes",1,0)</f>
        <v>1</v>
      </c>
      <c r="M809" s="2" t="n">
        <f aca="false">IF(G809&lt;0,1,0)</f>
        <v>1</v>
      </c>
      <c r="N809" s="2" t="str">
        <f aca="false">_xlfn.IFS(B809&lt;30,"Under 30",B809&lt;40,"30-39",B809&lt;50,"40-49",B809&lt;60,"50-59",TRUE(),"60+")</f>
        <v>40-49</v>
      </c>
      <c r="O809" s="2" t="str">
        <f aca="false">_xlfn.IFS(G809&lt;0,"1 Negative",G809=0,"2 Zero",G809&lt;=500,"3 1-500",G809&lt;=2000,"4 501-2000",TRUE(),"5 Above 2000")</f>
        <v>1 Negative</v>
      </c>
      <c r="P809" s="2" t="n">
        <f aca="false">Lookups!$B$2*M809+Lookups!$B$3*L809</f>
        <v>3</v>
      </c>
      <c r="Q809" s="2" t="str">
        <f aca="false">INDEX(Lookups!$E$2:$E$5,MATCH(P809,Lookups!$D$2:$D$5,0))</f>
        <v>High</v>
      </c>
    </row>
    <row r="810" customFormat="false" ht="15" hidden="false" customHeight="false" outlineLevel="0" collapsed="false">
      <c r="A810" s="3" t="n">
        <v>809</v>
      </c>
      <c r="B810" s="3" t="n">
        <f aca="false">Raw_Data!A810</f>
        <v>32</v>
      </c>
      <c r="C810" s="3" t="str">
        <f aca="false">SUBSTITUTE(Raw_Data!B810,".","")</f>
        <v>technician</v>
      </c>
      <c r="D810" s="3" t="str">
        <f aca="false">Raw_Data!C810</f>
        <v>single</v>
      </c>
      <c r="E810" s="3" t="str">
        <f aca="false">Raw_Data!D810</f>
        <v>secondary</v>
      </c>
      <c r="F810" s="3" t="str">
        <f aca="false">Raw_Data!E810</f>
        <v>no</v>
      </c>
      <c r="G810" s="3" t="n">
        <f aca="false">Raw_Data!F810</f>
        <v>271</v>
      </c>
      <c r="H810" s="3" t="str">
        <f aca="false">Raw_Data!G810</f>
        <v>yes</v>
      </c>
      <c r="I810" s="3" t="str">
        <f aca="false">Raw_Data!H810</f>
        <v>no</v>
      </c>
      <c r="J810" s="2" t="n">
        <f aca="false">IF(F810="yes",1,0)</f>
        <v>0</v>
      </c>
      <c r="K810" s="2" t="n">
        <f aca="false">IF(H810="yes",1,0)</f>
        <v>1</v>
      </c>
      <c r="L810" s="2" t="n">
        <f aca="false">IF(I810="yes",1,0)</f>
        <v>0</v>
      </c>
      <c r="M810" s="2" t="n">
        <f aca="false">IF(G810&lt;0,1,0)</f>
        <v>0</v>
      </c>
      <c r="N810" s="2" t="str">
        <f aca="false">_xlfn.IFS(B810&lt;30,"Under 30",B810&lt;40,"30-39",B810&lt;50,"40-49",B810&lt;60,"50-59",TRUE(),"60+")</f>
        <v>30-39</v>
      </c>
      <c r="O810" s="2" t="str">
        <f aca="false">_xlfn.IFS(G810&lt;0,"1 Negative",G810=0,"2 Zero",G810&lt;=500,"3 1-500",G810&lt;=2000,"4 501-2000",TRUE(),"5 Above 2000")</f>
        <v>3 1-500</v>
      </c>
      <c r="P810" s="2" t="n">
        <f aca="false">Lookups!$B$2*M810+Lookups!$B$3*L810</f>
        <v>0</v>
      </c>
      <c r="Q810" s="2" t="str">
        <f aca="false">INDEX(Lookups!$E$2:$E$5,MATCH(P810,Lookups!$D$2:$D$5,0))</f>
        <v>Low</v>
      </c>
    </row>
    <row r="811" customFormat="false" ht="15" hidden="false" customHeight="false" outlineLevel="0" collapsed="false">
      <c r="A811" s="3" t="n">
        <v>810</v>
      </c>
      <c r="B811" s="3" t="n">
        <f aca="false">Raw_Data!A811</f>
        <v>34</v>
      </c>
      <c r="C811" s="3" t="str">
        <f aca="false">SUBSTITUTE(Raw_Data!B811,".","")</f>
        <v>management</v>
      </c>
      <c r="D811" s="3" t="str">
        <f aca="false">Raw_Data!C811</f>
        <v>married</v>
      </c>
      <c r="E811" s="3" t="str">
        <f aca="false">Raw_Data!D811</f>
        <v>tertiary</v>
      </c>
      <c r="F811" s="3" t="str">
        <f aca="false">Raw_Data!E811</f>
        <v>no</v>
      </c>
      <c r="G811" s="3" t="n">
        <f aca="false">Raw_Data!F811</f>
        <v>703</v>
      </c>
      <c r="H811" s="3" t="str">
        <f aca="false">Raw_Data!G811</f>
        <v>yes</v>
      </c>
      <c r="I811" s="3" t="str">
        <f aca="false">Raw_Data!H811</f>
        <v>no</v>
      </c>
      <c r="J811" s="2" t="n">
        <f aca="false">IF(F811="yes",1,0)</f>
        <v>0</v>
      </c>
      <c r="K811" s="2" t="n">
        <f aca="false">IF(H811="yes",1,0)</f>
        <v>1</v>
      </c>
      <c r="L811" s="2" t="n">
        <f aca="false">IF(I811="yes",1,0)</f>
        <v>0</v>
      </c>
      <c r="M811" s="2" t="n">
        <f aca="false">IF(G811&lt;0,1,0)</f>
        <v>0</v>
      </c>
      <c r="N811" s="2" t="str">
        <f aca="false">_xlfn.IFS(B811&lt;30,"Under 30",B811&lt;40,"30-39",B811&lt;50,"40-49",B811&lt;60,"50-59",TRUE(),"60+")</f>
        <v>30-39</v>
      </c>
      <c r="O811" s="2" t="str">
        <f aca="false">_xlfn.IFS(G811&lt;0,"1 Negative",G811=0,"2 Zero",G811&lt;=500,"3 1-500",G811&lt;=2000,"4 501-2000",TRUE(),"5 Above 2000")</f>
        <v>4 501-2000</v>
      </c>
      <c r="P811" s="2" t="n">
        <f aca="false">Lookups!$B$2*M811+Lookups!$B$3*L811</f>
        <v>0</v>
      </c>
      <c r="Q811" s="2" t="str">
        <f aca="false">INDEX(Lookups!$E$2:$E$5,MATCH(P811,Lookups!$D$2:$D$5,0))</f>
        <v>Low</v>
      </c>
    </row>
    <row r="812" customFormat="false" ht="15" hidden="false" customHeight="false" outlineLevel="0" collapsed="false">
      <c r="A812" s="3" t="n">
        <v>811</v>
      </c>
      <c r="B812" s="3" t="n">
        <f aca="false">Raw_Data!A812</f>
        <v>46</v>
      </c>
      <c r="C812" s="3" t="str">
        <f aca="false">SUBSTITUTE(Raw_Data!B812,".","")</f>
        <v>blue-collar</v>
      </c>
      <c r="D812" s="3" t="str">
        <f aca="false">Raw_Data!C812</f>
        <v>married</v>
      </c>
      <c r="E812" s="3" t="str">
        <f aca="false">Raw_Data!D812</f>
        <v>secondary</v>
      </c>
      <c r="F812" s="3" t="str">
        <f aca="false">Raw_Data!E812</f>
        <v>no</v>
      </c>
      <c r="G812" s="3" t="n">
        <f aca="false">Raw_Data!F812</f>
        <v>-216</v>
      </c>
      <c r="H812" s="3" t="str">
        <f aca="false">Raw_Data!G812</f>
        <v>yes</v>
      </c>
      <c r="I812" s="3" t="str">
        <f aca="false">Raw_Data!H812</f>
        <v>no</v>
      </c>
      <c r="J812" s="2" t="n">
        <f aca="false">IF(F812="yes",1,0)</f>
        <v>0</v>
      </c>
      <c r="K812" s="2" t="n">
        <f aca="false">IF(H812="yes",1,0)</f>
        <v>1</v>
      </c>
      <c r="L812" s="2" t="n">
        <f aca="false">IF(I812="yes",1,0)</f>
        <v>0</v>
      </c>
      <c r="M812" s="2" t="n">
        <f aca="false">IF(G812&lt;0,1,0)</f>
        <v>1</v>
      </c>
      <c r="N812" s="2" t="str">
        <f aca="false">_xlfn.IFS(B812&lt;30,"Under 30",B812&lt;40,"30-39",B812&lt;50,"40-49",B812&lt;60,"50-59",TRUE(),"60+")</f>
        <v>40-49</v>
      </c>
      <c r="O812" s="2" t="str">
        <f aca="false">_xlfn.IFS(G812&lt;0,"1 Negative",G812=0,"2 Zero",G812&lt;=500,"3 1-500",G812&lt;=2000,"4 501-2000",TRUE(),"5 Above 2000")</f>
        <v>1 Negative</v>
      </c>
      <c r="P812" s="2" t="n">
        <f aca="false">Lookups!$B$2*M812+Lookups!$B$3*L812</f>
        <v>2</v>
      </c>
      <c r="Q812" s="2" t="str">
        <f aca="false">INDEX(Lookups!$E$2:$E$5,MATCH(P812,Lookups!$D$2:$D$5,0))</f>
        <v>High</v>
      </c>
    </row>
    <row r="813" customFormat="false" ht="15" hidden="false" customHeight="false" outlineLevel="0" collapsed="false">
      <c r="A813" s="3" t="n">
        <v>812</v>
      </c>
      <c r="B813" s="3" t="n">
        <f aca="false">Raw_Data!A813</f>
        <v>45</v>
      </c>
      <c r="C813" s="3" t="str">
        <f aca="false">SUBSTITUTE(Raw_Data!B813,".","")</f>
        <v>services</v>
      </c>
      <c r="D813" s="3" t="str">
        <f aca="false">Raw_Data!C813</f>
        <v>divorced</v>
      </c>
      <c r="E813" s="3" t="str">
        <f aca="false">Raw_Data!D813</f>
        <v>secondary</v>
      </c>
      <c r="F813" s="3" t="str">
        <f aca="false">Raw_Data!E813</f>
        <v>no</v>
      </c>
      <c r="G813" s="3" t="n">
        <f aca="false">Raw_Data!F813</f>
        <v>88</v>
      </c>
      <c r="H813" s="3" t="str">
        <f aca="false">Raw_Data!G813</f>
        <v>no</v>
      </c>
      <c r="I813" s="3" t="str">
        <f aca="false">Raw_Data!H813</f>
        <v>yes</v>
      </c>
      <c r="J813" s="2" t="n">
        <f aca="false">IF(F813="yes",1,0)</f>
        <v>0</v>
      </c>
      <c r="K813" s="2" t="n">
        <f aca="false">IF(H813="yes",1,0)</f>
        <v>0</v>
      </c>
      <c r="L813" s="2" t="n">
        <f aca="false">IF(I813="yes",1,0)</f>
        <v>1</v>
      </c>
      <c r="M813" s="2" t="n">
        <f aca="false">IF(G813&lt;0,1,0)</f>
        <v>0</v>
      </c>
      <c r="N813" s="2" t="str">
        <f aca="false">_xlfn.IFS(B813&lt;30,"Under 30",B813&lt;40,"30-39",B813&lt;50,"40-49",B813&lt;60,"50-59",TRUE(),"60+")</f>
        <v>40-49</v>
      </c>
      <c r="O813" s="2" t="str">
        <f aca="false">_xlfn.IFS(G813&lt;0,"1 Negative",G813=0,"2 Zero",G813&lt;=500,"3 1-500",G813&lt;=2000,"4 501-2000",TRUE(),"5 Above 2000")</f>
        <v>3 1-500</v>
      </c>
      <c r="P813" s="2" t="n">
        <f aca="false">Lookups!$B$2*M813+Lookups!$B$3*L813</f>
        <v>1</v>
      </c>
      <c r="Q813" s="2" t="str">
        <f aca="false">INDEX(Lookups!$E$2:$E$5,MATCH(P813,Lookups!$D$2:$D$5,0))</f>
        <v>Medium</v>
      </c>
    </row>
    <row r="814" customFormat="false" ht="15" hidden="false" customHeight="false" outlineLevel="0" collapsed="false">
      <c r="A814" s="3" t="n">
        <v>813</v>
      </c>
      <c r="B814" s="3" t="n">
        <f aca="false">Raw_Data!A814</f>
        <v>51</v>
      </c>
      <c r="C814" s="3" t="str">
        <f aca="false">SUBSTITUTE(Raw_Data!B814,".","")</f>
        <v>admin</v>
      </c>
      <c r="D814" s="3" t="str">
        <f aca="false">Raw_Data!C814</f>
        <v>single</v>
      </c>
      <c r="E814" s="3" t="str">
        <f aca="false">Raw_Data!D814</f>
        <v>tertiary</v>
      </c>
      <c r="F814" s="3" t="str">
        <f aca="false">Raw_Data!E814</f>
        <v>no</v>
      </c>
      <c r="G814" s="3" t="n">
        <f aca="false">Raw_Data!F814</f>
        <v>16</v>
      </c>
      <c r="H814" s="3" t="str">
        <f aca="false">Raw_Data!G814</f>
        <v>yes</v>
      </c>
      <c r="I814" s="3" t="str">
        <f aca="false">Raw_Data!H814</f>
        <v>no</v>
      </c>
      <c r="J814" s="2" t="n">
        <f aca="false">IF(F814="yes",1,0)</f>
        <v>0</v>
      </c>
      <c r="K814" s="2" t="n">
        <f aca="false">IF(H814="yes",1,0)</f>
        <v>1</v>
      </c>
      <c r="L814" s="2" t="n">
        <f aca="false">IF(I814="yes",1,0)</f>
        <v>0</v>
      </c>
      <c r="M814" s="2" t="n">
        <f aca="false">IF(G814&lt;0,1,0)</f>
        <v>0</v>
      </c>
      <c r="N814" s="2" t="str">
        <f aca="false">_xlfn.IFS(B814&lt;30,"Under 30",B814&lt;40,"30-39",B814&lt;50,"40-49",B814&lt;60,"50-59",TRUE(),"60+")</f>
        <v>50-59</v>
      </c>
      <c r="O814" s="2" t="str">
        <f aca="false">_xlfn.IFS(G814&lt;0,"1 Negative",G814=0,"2 Zero",G814&lt;=500,"3 1-500",G814&lt;=2000,"4 501-2000",TRUE(),"5 Above 2000")</f>
        <v>3 1-500</v>
      </c>
      <c r="P814" s="2" t="n">
        <f aca="false">Lookups!$B$2*M814+Lookups!$B$3*L814</f>
        <v>0</v>
      </c>
      <c r="Q814" s="2" t="str">
        <f aca="false">INDEX(Lookups!$E$2:$E$5,MATCH(P814,Lookups!$D$2:$D$5,0))</f>
        <v>Low</v>
      </c>
    </row>
    <row r="815" customFormat="false" ht="15" hidden="false" customHeight="false" outlineLevel="0" collapsed="false">
      <c r="A815" s="3" t="n">
        <v>814</v>
      </c>
      <c r="B815" s="3" t="n">
        <f aca="false">Raw_Data!A815</f>
        <v>31</v>
      </c>
      <c r="C815" s="3" t="str">
        <f aca="false">SUBSTITUTE(Raw_Data!B815,".","")</f>
        <v>management</v>
      </c>
      <c r="D815" s="3" t="str">
        <f aca="false">Raw_Data!C815</f>
        <v>married</v>
      </c>
      <c r="E815" s="3" t="str">
        <f aca="false">Raw_Data!D815</f>
        <v>secondary</v>
      </c>
      <c r="F815" s="3" t="str">
        <f aca="false">Raw_Data!E815</f>
        <v>no</v>
      </c>
      <c r="G815" s="3" t="n">
        <f aca="false">Raw_Data!F815</f>
        <v>466</v>
      </c>
      <c r="H815" s="3" t="str">
        <f aca="false">Raw_Data!G815</f>
        <v>yes</v>
      </c>
      <c r="I815" s="3" t="str">
        <f aca="false">Raw_Data!H815</f>
        <v>no</v>
      </c>
      <c r="J815" s="2" t="n">
        <f aca="false">IF(F815="yes",1,0)</f>
        <v>0</v>
      </c>
      <c r="K815" s="2" t="n">
        <f aca="false">IF(H815="yes",1,0)</f>
        <v>1</v>
      </c>
      <c r="L815" s="2" t="n">
        <f aca="false">IF(I815="yes",1,0)</f>
        <v>0</v>
      </c>
      <c r="M815" s="2" t="n">
        <f aca="false">IF(G815&lt;0,1,0)</f>
        <v>0</v>
      </c>
      <c r="N815" s="2" t="str">
        <f aca="false">_xlfn.IFS(B815&lt;30,"Under 30",B815&lt;40,"30-39",B815&lt;50,"40-49",B815&lt;60,"50-59",TRUE(),"60+")</f>
        <v>30-39</v>
      </c>
      <c r="O815" s="2" t="str">
        <f aca="false">_xlfn.IFS(G815&lt;0,"1 Negative",G815=0,"2 Zero",G815&lt;=500,"3 1-500",G815&lt;=2000,"4 501-2000",TRUE(),"5 Above 2000")</f>
        <v>3 1-500</v>
      </c>
      <c r="P815" s="2" t="n">
        <f aca="false">Lookups!$B$2*M815+Lookups!$B$3*L815</f>
        <v>0</v>
      </c>
      <c r="Q815" s="2" t="str">
        <f aca="false">INDEX(Lookups!$E$2:$E$5,MATCH(P815,Lookups!$D$2:$D$5,0))</f>
        <v>Low</v>
      </c>
    </row>
    <row r="816" customFormat="false" ht="15" hidden="false" customHeight="false" outlineLevel="0" collapsed="false">
      <c r="A816" s="3" t="n">
        <v>815</v>
      </c>
      <c r="B816" s="3" t="n">
        <f aca="false">Raw_Data!A816</f>
        <v>47</v>
      </c>
      <c r="C816" s="3" t="str">
        <f aca="false">SUBSTITUTE(Raw_Data!B816,".","")</f>
        <v>technician</v>
      </c>
      <c r="D816" s="3" t="str">
        <f aca="false">Raw_Data!C816</f>
        <v>married</v>
      </c>
      <c r="E816" s="3" t="str">
        <f aca="false">Raw_Data!D816</f>
        <v>secondary</v>
      </c>
      <c r="F816" s="3" t="str">
        <f aca="false">Raw_Data!E816</f>
        <v>no</v>
      </c>
      <c r="G816" s="3" t="n">
        <f aca="false">Raw_Data!F816</f>
        <v>-75</v>
      </c>
      <c r="H816" s="3" t="str">
        <f aca="false">Raw_Data!G816</f>
        <v>yes</v>
      </c>
      <c r="I816" s="3" t="str">
        <f aca="false">Raw_Data!H816</f>
        <v>no</v>
      </c>
      <c r="J816" s="2" t="n">
        <f aca="false">IF(F816="yes",1,0)</f>
        <v>0</v>
      </c>
      <c r="K816" s="2" t="n">
        <f aca="false">IF(H816="yes",1,0)</f>
        <v>1</v>
      </c>
      <c r="L816" s="2" t="n">
        <f aca="false">IF(I816="yes",1,0)</f>
        <v>0</v>
      </c>
      <c r="M816" s="2" t="n">
        <f aca="false">IF(G816&lt;0,1,0)</f>
        <v>1</v>
      </c>
      <c r="N816" s="2" t="str">
        <f aca="false">_xlfn.IFS(B816&lt;30,"Under 30",B816&lt;40,"30-39",B816&lt;50,"40-49",B816&lt;60,"50-59",TRUE(),"60+")</f>
        <v>40-49</v>
      </c>
      <c r="O816" s="2" t="str">
        <f aca="false">_xlfn.IFS(G816&lt;0,"1 Negative",G816=0,"2 Zero",G816&lt;=500,"3 1-500",G816&lt;=2000,"4 501-2000",TRUE(),"5 Above 2000")</f>
        <v>1 Negative</v>
      </c>
      <c r="P816" s="2" t="n">
        <f aca="false">Lookups!$B$2*M816+Lookups!$B$3*L816</f>
        <v>2</v>
      </c>
      <c r="Q816" s="2" t="str">
        <f aca="false">INDEX(Lookups!$E$2:$E$5,MATCH(P816,Lookups!$D$2:$D$5,0))</f>
        <v>High</v>
      </c>
    </row>
    <row r="817" customFormat="false" ht="15" hidden="false" customHeight="false" outlineLevel="0" collapsed="false">
      <c r="A817" s="3" t="n">
        <v>816</v>
      </c>
      <c r="B817" s="3" t="n">
        <f aca="false">Raw_Data!A817</f>
        <v>32</v>
      </c>
      <c r="C817" s="3" t="str">
        <f aca="false">SUBSTITUTE(Raw_Data!B817,".","")</f>
        <v>blue-collar</v>
      </c>
      <c r="D817" s="3" t="str">
        <f aca="false">Raw_Data!C817</f>
        <v>married</v>
      </c>
      <c r="E817" s="3" t="str">
        <f aca="false">Raw_Data!D817</f>
        <v>secondary</v>
      </c>
      <c r="F817" s="3" t="str">
        <f aca="false">Raw_Data!E817</f>
        <v>no</v>
      </c>
      <c r="G817" s="3" t="n">
        <f aca="false">Raw_Data!F817</f>
        <v>456</v>
      </c>
      <c r="H817" s="3" t="str">
        <f aca="false">Raw_Data!G817</f>
        <v>no</v>
      </c>
      <c r="I817" s="3" t="str">
        <f aca="false">Raw_Data!H817</f>
        <v>no</v>
      </c>
      <c r="J817" s="2" t="n">
        <f aca="false">IF(F817="yes",1,0)</f>
        <v>0</v>
      </c>
      <c r="K817" s="2" t="n">
        <f aca="false">IF(H817="yes",1,0)</f>
        <v>0</v>
      </c>
      <c r="L817" s="2" t="n">
        <f aca="false">IF(I817="yes",1,0)</f>
        <v>0</v>
      </c>
      <c r="M817" s="2" t="n">
        <f aca="false">IF(G817&lt;0,1,0)</f>
        <v>0</v>
      </c>
      <c r="N817" s="2" t="str">
        <f aca="false">_xlfn.IFS(B817&lt;30,"Under 30",B817&lt;40,"30-39",B817&lt;50,"40-49",B817&lt;60,"50-59",TRUE(),"60+")</f>
        <v>30-39</v>
      </c>
      <c r="O817" s="2" t="str">
        <f aca="false">_xlfn.IFS(G817&lt;0,"1 Negative",G817=0,"2 Zero",G817&lt;=500,"3 1-500",G817&lt;=2000,"4 501-2000",TRUE(),"5 Above 2000")</f>
        <v>3 1-500</v>
      </c>
      <c r="P817" s="2" t="n">
        <f aca="false">Lookups!$B$2*M817+Lookups!$B$3*L817</f>
        <v>0</v>
      </c>
      <c r="Q817" s="2" t="str">
        <f aca="false">INDEX(Lookups!$E$2:$E$5,MATCH(P817,Lookups!$D$2:$D$5,0))</f>
        <v>Low</v>
      </c>
    </row>
    <row r="818" customFormat="false" ht="15" hidden="false" customHeight="false" outlineLevel="0" collapsed="false">
      <c r="A818" s="3" t="n">
        <v>817</v>
      </c>
      <c r="B818" s="3" t="n">
        <f aca="false">Raw_Data!A818</f>
        <v>41</v>
      </c>
      <c r="C818" s="3" t="str">
        <f aca="false">SUBSTITUTE(Raw_Data!B818,".","")</f>
        <v>technician</v>
      </c>
      <c r="D818" s="3" t="str">
        <f aca="false">Raw_Data!C818</f>
        <v>married</v>
      </c>
      <c r="E818" s="3" t="str">
        <f aca="false">Raw_Data!D818</f>
        <v>secondary</v>
      </c>
      <c r="F818" s="3" t="str">
        <f aca="false">Raw_Data!E818</f>
        <v>no</v>
      </c>
      <c r="G818" s="3" t="n">
        <f aca="false">Raw_Data!F818</f>
        <v>77</v>
      </c>
      <c r="H818" s="3" t="str">
        <f aca="false">Raw_Data!G818</f>
        <v>yes</v>
      </c>
      <c r="I818" s="3" t="str">
        <f aca="false">Raw_Data!H818</f>
        <v>no</v>
      </c>
      <c r="J818" s="2" t="n">
        <f aca="false">IF(F818="yes",1,0)</f>
        <v>0</v>
      </c>
      <c r="K818" s="2" t="n">
        <f aca="false">IF(H818="yes",1,0)</f>
        <v>1</v>
      </c>
      <c r="L818" s="2" t="n">
        <f aca="false">IF(I818="yes",1,0)</f>
        <v>0</v>
      </c>
      <c r="M818" s="2" t="n">
        <f aca="false">IF(G818&lt;0,1,0)</f>
        <v>0</v>
      </c>
      <c r="N818" s="2" t="str">
        <f aca="false">_xlfn.IFS(B818&lt;30,"Under 30",B818&lt;40,"30-39",B818&lt;50,"40-49",B818&lt;60,"50-59",TRUE(),"60+")</f>
        <v>40-49</v>
      </c>
      <c r="O818" s="2" t="str">
        <f aca="false">_xlfn.IFS(G818&lt;0,"1 Negative",G818=0,"2 Zero",G818&lt;=500,"3 1-500",G818&lt;=2000,"4 501-2000",TRUE(),"5 Above 2000")</f>
        <v>3 1-500</v>
      </c>
      <c r="P818" s="2" t="n">
        <f aca="false">Lookups!$B$2*M818+Lookups!$B$3*L818</f>
        <v>0</v>
      </c>
      <c r="Q818" s="2" t="str">
        <f aca="false">INDEX(Lookups!$E$2:$E$5,MATCH(P818,Lookups!$D$2:$D$5,0))</f>
        <v>Low</v>
      </c>
    </row>
    <row r="819" customFormat="false" ht="15" hidden="false" customHeight="false" outlineLevel="0" collapsed="false">
      <c r="A819" s="3" t="n">
        <v>818</v>
      </c>
      <c r="B819" s="3" t="n">
        <f aca="false">Raw_Data!A819</f>
        <v>37</v>
      </c>
      <c r="C819" s="3" t="str">
        <f aca="false">SUBSTITUTE(Raw_Data!B819,".","")</f>
        <v>services</v>
      </c>
      <c r="D819" s="3" t="str">
        <f aca="false">Raw_Data!C819</f>
        <v>single</v>
      </c>
      <c r="E819" s="3" t="str">
        <f aca="false">Raw_Data!D819</f>
        <v>secondary</v>
      </c>
      <c r="F819" s="3" t="str">
        <f aca="false">Raw_Data!E819</f>
        <v>no</v>
      </c>
      <c r="G819" s="3" t="n">
        <f aca="false">Raw_Data!F819</f>
        <v>-244</v>
      </c>
      <c r="H819" s="3" t="str">
        <f aca="false">Raw_Data!G819</f>
        <v>no</v>
      </c>
      <c r="I819" s="3" t="str">
        <f aca="false">Raw_Data!H819</f>
        <v>no</v>
      </c>
      <c r="J819" s="2" t="n">
        <f aca="false">IF(F819="yes",1,0)</f>
        <v>0</v>
      </c>
      <c r="K819" s="2" t="n">
        <f aca="false">IF(H819="yes",1,0)</f>
        <v>0</v>
      </c>
      <c r="L819" s="2" t="n">
        <f aca="false">IF(I819="yes",1,0)</f>
        <v>0</v>
      </c>
      <c r="M819" s="2" t="n">
        <f aca="false">IF(G819&lt;0,1,0)</f>
        <v>1</v>
      </c>
      <c r="N819" s="2" t="str">
        <f aca="false">_xlfn.IFS(B819&lt;30,"Under 30",B819&lt;40,"30-39",B819&lt;50,"40-49",B819&lt;60,"50-59",TRUE(),"60+")</f>
        <v>30-39</v>
      </c>
      <c r="O819" s="2" t="str">
        <f aca="false">_xlfn.IFS(G819&lt;0,"1 Negative",G819=0,"2 Zero",G819&lt;=500,"3 1-500",G819&lt;=2000,"4 501-2000",TRUE(),"5 Above 2000")</f>
        <v>1 Negative</v>
      </c>
      <c r="P819" s="2" t="n">
        <f aca="false">Lookups!$B$2*M819+Lookups!$B$3*L819</f>
        <v>2</v>
      </c>
      <c r="Q819" s="2" t="str">
        <f aca="false">INDEX(Lookups!$E$2:$E$5,MATCH(P819,Lookups!$D$2:$D$5,0))</f>
        <v>High</v>
      </c>
    </row>
    <row r="820" customFormat="false" ht="15" hidden="false" customHeight="false" outlineLevel="0" collapsed="false">
      <c r="A820" s="3" t="n">
        <v>819</v>
      </c>
      <c r="B820" s="3" t="n">
        <f aca="false">Raw_Data!A820</f>
        <v>27</v>
      </c>
      <c r="C820" s="3" t="str">
        <f aca="false">SUBSTITUTE(Raw_Data!B820,".","")</f>
        <v>blue-collar</v>
      </c>
      <c r="D820" s="3" t="str">
        <f aca="false">Raw_Data!C820</f>
        <v>single</v>
      </c>
      <c r="E820" s="3" t="str">
        <f aca="false">Raw_Data!D820</f>
        <v>primary</v>
      </c>
      <c r="F820" s="3" t="str">
        <f aca="false">Raw_Data!E820</f>
        <v>no</v>
      </c>
      <c r="G820" s="3" t="n">
        <f aca="false">Raw_Data!F820</f>
        <v>1209</v>
      </c>
      <c r="H820" s="3" t="str">
        <f aca="false">Raw_Data!G820</f>
        <v>no</v>
      </c>
      <c r="I820" s="3" t="str">
        <f aca="false">Raw_Data!H820</f>
        <v>no</v>
      </c>
      <c r="J820" s="2" t="n">
        <f aca="false">IF(F820="yes",1,0)</f>
        <v>0</v>
      </c>
      <c r="K820" s="2" t="n">
        <f aca="false">IF(H820="yes",1,0)</f>
        <v>0</v>
      </c>
      <c r="L820" s="2" t="n">
        <f aca="false">IF(I820="yes",1,0)</f>
        <v>0</v>
      </c>
      <c r="M820" s="2" t="n">
        <f aca="false">IF(G820&lt;0,1,0)</f>
        <v>0</v>
      </c>
      <c r="N820" s="2" t="str">
        <f aca="false">_xlfn.IFS(B820&lt;30,"Under 30",B820&lt;40,"30-39",B820&lt;50,"40-49",B820&lt;60,"50-59",TRUE(),"60+")</f>
        <v>Under 30</v>
      </c>
      <c r="O820" s="2" t="str">
        <f aca="false">_xlfn.IFS(G820&lt;0,"1 Negative",G820=0,"2 Zero",G820&lt;=500,"3 1-500",G820&lt;=2000,"4 501-2000",TRUE(),"5 Above 2000")</f>
        <v>4 501-2000</v>
      </c>
      <c r="P820" s="2" t="n">
        <f aca="false">Lookups!$B$2*M820+Lookups!$B$3*L820</f>
        <v>0</v>
      </c>
      <c r="Q820" s="2" t="str">
        <f aca="false">INDEX(Lookups!$E$2:$E$5,MATCH(P820,Lookups!$D$2:$D$5,0))</f>
        <v>Low</v>
      </c>
    </row>
    <row r="821" customFormat="false" ht="15" hidden="false" customHeight="false" outlineLevel="0" collapsed="false">
      <c r="A821" s="3" t="n">
        <v>820</v>
      </c>
      <c r="B821" s="3" t="n">
        <f aca="false">Raw_Data!A821</f>
        <v>27</v>
      </c>
      <c r="C821" s="3" t="str">
        <f aca="false">SUBSTITUTE(Raw_Data!B821,".","")</f>
        <v>services</v>
      </c>
      <c r="D821" s="3" t="str">
        <f aca="false">Raw_Data!C821</f>
        <v>married</v>
      </c>
      <c r="E821" s="3" t="str">
        <f aca="false">Raw_Data!D821</f>
        <v>secondary</v>
      </c>
      <c r="F821" s="3" t="str">
        <f aca="false">Raw_Data!E821</f>
        <v>no</v>
      </c>
      <c r="G821" s="3" t="n">
        <f aca="false">Raw_Data!F821</f>
        <v>58</v>
      </c>
      <c r="H821" s="3" t="str">
        <f aca="false">Raw_Data!G821</f>
        <v>yes</v>
      </c>
      <c r="I821" s="3" t="str">
        <f aca="false">Raw_Data!H821</f>
        <v>no</v>
      </c>
      <c r="J821" s="2" t="n">
        <f aca="false">IF(F821="yes",1,0)</f>
        <v>0</v>
      </c>
      <c r="K821" s="2" t="n">
        <f aca="false">IF(H821="yes",1,0)</f>
        <v>1</v>
      </c>
      <c r="L821" s="2" t="n">
        <f aca="false">IF(I821="yes",1,0)</f>
        <v>0</v>
      </c>
      <c r="M821" s="2" t="n">
        <f aca="false">IF(G821&lt;0,1,0)</f>
        <v>0</v>
      </c>
      <c r="N821" s="2" t="str">
        <f aca="false">_xlfn.IFS(B821&lt;30,"Under 30",B821&lt;40,"30-39",B821&lt;50,"40-49",B821&lt;60,"50-59",TRUE(),"60+")</f>
        <v>Under 30</v>
      </c>
      <c r="O821" s="2" t="str">
        <f aca="false">_xlfn.IFS(G821&lt;0,"1 Negative",G821=0,"2 Zero",G821&lt;=500,"3 1-500",G821&lt;=2000,"4 501-2000",TRUE(),"5 Above 2000")</f>
        <v>3 1-500</v>
      </c>
      <c r="P821" s="2" t="n">
        <f aca="false">Lookups!$B$2*M821+Lookups!$B$3*L821</f>
        <v>0</v>
      </c>
      <c r="Q821" s="2" t="str">
        <f aca="false">INDEX(Lookups!$E$2:$E$5,MATCH(P821,Lookups!$D$2:$D$5,0))</f>
        <v>Low</v>
      </c>
    </row>
    <row r="822" customFormat="false" ht="15" hidden="false" customHeight="false" outlineLevel="0" collapsed="false">
      <c r="A822" s="3" t="n">
        <v>821</v>
      </c>
      <c r="B822" s="3" t="n">
        <f aca="false">Raw_Data!A822</f>
        <v>50</v>
      </c>
      <c r="C822" s="3" t="str">
        <f aca="false">SUBSTITUTE(Raw_Data!B822,".","")</f>
        <v>management</v>
      </c>
      <c r="D822" s="3" t="str">
        <f aca="false">Raw_Data!C822</f>
        <v>married</v>
      </c>
      <c r="E822" s="3" t="str">
        <f aca="false">Raw_Data!D822</f>
        <v>secondary</v>
      </c>
      <c r="F822" s="3" t="str">
        <f aca="false">Raw_Data!E822</f>
        <v>yes</v>
      </c>
      <c r="G822" s="3" t="n">
        <f aca="false">Raw_Data!F822</f>
        <v>421</v>
      </c>
      <c r="H822" s="3" t="str">
        <f aca="false">Raw_Data!G822</f>
        <v>no</v>
      </c>
      <c r="I822" s="3" t="str">
        <f aca="false">Raw_Data!H822</f>
        <v>no</v>
      </c>
      <c r="J822" s="2" t="n">
        <f aca="false">IF(F822="yes",1,0)</f>
        <v>1</v>
      </c>
      <c r="K822" s="2" t="n">
        <f aca="false">IF(H822="yes",1,0)</f>
        <v>0</v>
      </c>
      <c r="L822" s="2" t="n">
        <f aca="false">IF(I822="yes",1,0)</f>
        <v>0</v>
      </c>
      <c r="M822" s="2" t="n">
        <f aca="false">IF(G822&lt;0,1,0)</f>
        <v>0</v>
      </c>
      <c r="N822" s="2" t="str">
        <f aca="false">_xlfn.IFS(B822&lt;30,"Under 30",B822&lt;40,"30-39",B822&lt;50,"40-49",B822&lt;60,"50-59",TRUE(),"60+")</f>
        <v>50-59</v>
      </c>
      <c r="O822" s="2" t="str">
        <f aca="false">_xlfn.IFS(G822&lt;0,"1 Negative",G822=0,"2 Zero",G822&lt;=500,"3 1-500",G822&lt;=2000,"4 501-2000",TRUE(),"5 Above 2000")</f>
        <v>3 1-500</v>
      </c>
      <c r="P822" s="2" t="n">
        <f aca="false">Lookups!$B$2*M822+Lookups!$B$3*L822</f>
        <v>0</v>
      </c>
      <c r="Q822" s="2" t="str">
        <f aca="false">INDEX(Lookups!$E$2:$E$5,MATCH(P822,Lookups!$D$2:$D$5,0))</f>
        <v>Low</v>
      </c>
    </row>
    <row r="823" customFormat="false" ht="15" hidden="false" customHeight="false" outlineLevel="0" collapsed="false">
      <c r="A823" s="3" t="n">
        <v>822</v>
      </c>
      <c r="B823" s="3" t="n">
        <f aca="false">Raw_Data!A823</f>
        <v>31</v>
      </c>
      <c r="C823" s="3" t="str">
        <f aca="false">SUBSTITUTE(Raw_Data!B823,".","")</f>
        <v>management</v>
      </c>
      <c r="D823" s="3" t="str">
        <f aca="false">Raw_Data!C823</f>
        <v>single</v>
      </c>
      <c r="E823" s="3" t="str">
        <f aca="false">Raw_Data!D823</f>
        <v>tertiary</v>
      </c>
      <c r="F823" s="3" t="str">
        <f aca="false">Raw_Data!E823</f>
        <v>no</v>
      </c>
      <c r="G823" s="3" t="n">
        <f aca="false">Raw_Data!F823</f>
        <v>112</v>
      </c>
      <c r="H823" s="3" t="str">
        <f aca="false">Raw_Data!G823</f>
        <v>yes</v>
      </c>
      <c r="I823" s="3" t="str">
        <f aca="false">Raw_Data!H823</f>
        <v>no</v>
      </c>
      <c r="J823" s="2" t="n">
        <f aca="false">IF(F823="yes",1,0)</f>
        <v>0</v>
      </c>
      <c r="K823" s="2" t="n">
        <f aca="false">IF(H823="yes",1,0)</f>
        <v>1</v>
      </c>
      <c r="L823" s="2" t="n">
        <f aca="false">IF(I823="yes",1,0)</f>
        <v>0</v>
      </c>
      <c r="M823" s="2" t="n">
        <f aca="false">IF(G823&lt;0,1,0)</f>
        <v>0</v>
      </c>
      <c r="N823" s="2" t="str">
        <f aca="false">_xlfn.IFS(B823&lt;30,"Under 30",B823&lt;40,"30-39",B823&lt;50,"40-49",B823&lt;60,"50-59",TRUE(),"60+")</f>
        <v>30-39</v>
      </c>
      <c r="O823" s="2" t="str">
        <f aca="false">_xlfn.IFS(G823&lt;0,"1 Negative",G823=0,"2 Zero",G823&lt;=500,"3 1-500",G823&lt;=2000,"4 501-2000",TRUE(),"5 Above 2000")</f>
        <v>3 1-500</v>
      </c>
      <c r="P823" s="2" t="n">
        <f aca="false">Lookups!$B$2*M823+Lookups!$B$3*L823</f>
        <v>0</v>
      </c>
      <c r="Q823" s="2" t="str">
        <f aca="false">INDEX(Lookups!$E$2:$E$5,MATCH(P823,Lookups!$D$2:$D$5,0))</f>
        <v>Low</v>
      </c>
    </row>
    <row r="824" customFormat="false" ht="15" hidden="false" customHeight="false" outlineLevel="0" collapsed="false">
      <c r="A824" s="3" t="n">
        <v>823</v>
      </c>
      <c r="B824" s="3" t="n">
        <f aca="false">Raw_Data!A824</f>
        <v>40</v>
      </c>
      <c r="C824" s="3" t="str">
        <f aca="false">SUBSTITUTE(Raw_Data!B824,".","")</f>
        <v>self-employed</v>
      </c>
      <c r="D824" s="3" t="str">
        <f aca="false">Raw_Data!C824</f>
        <v>married</v>
      </c>
      <c r="E824" s="3" t="str">
        <f aca="false">Raw_Data!D824</f>
        <v>tertiary</v>
      </c>
      <c r="F824" s="3" t="str">
        <f aca="false">Raw_Data!E824</f>
        <v>no</v>
      </c>
      <c r="G824" s="3" t="n">
        <f aca="false">Raw_Data!F824</f>
        <v>13669</v>
      </c>
      <c r="H824" s="3" t="str">
        <f aca="false">Raw_Data!G824</f>
        <v>no</v>
      </c>
      <c r="I824" s="3" t="str">
        <f aca="false">Raw_Data!H824</f>
        <v>no</v>
      </c>
      <c r="J824" s="2" t="n">
        <f aca="false">IF(F824="yes",1,0)</f>
        <v>0</v>
      </c>
      <c r="K824" s="2" t="n">
        <f aca="false">IF(H824="yes",1,0)</f>
        <v>0</v>
      </c>
      <c r="L824" s="2" t="n">
        <f aca="false">IF(I824="yes",1,0)</f>
        <v>0</v>
      </c>
      <c r="M824" s="2" t="n">
        <f aca="false">IF(G824&lt;0,1,0)</f>
        <v>0</v>
      </c>
      <c r="N824" s="2" t="str">
        <f aca="false">_xlfn.IFS(B824&lt;30,"Under 30",B824&lt;40,"30-39",B824&lt;50,"40-49",B824&lt;60,"50-59",TRUE(),"60+")</f>
        <v>40-49</v>
      </c>
      <c r="O824" s="2" t="str">
        <f aca="false">_xlfn.IFS(G824&lt;0,"1 Negative",G824=0,"2 Zero",G824&lt;=500,"3 1-500",G824&lt;=2000,"4 501-2000",TRUE(),"5 Above 2000")</f>
        <v>5 Above 2000</v>
      </c>
      <c r="P824" s="2" t="n">
        <f aca="false">Lookups!$B$2*M824+Lookups!$B$3*L824</f>
        <v>0</v>
      </c>
      <c r="Q824" s="2" t="str">
        <f aca="false">INDEX(Lookups!$E$2:$E$5,MATCH(P824,Lookups!$D$2:$D$5,0))</f>
        <v>Low</v>
      </c>
    </row>
    <row r="825" customFormat="false" ht="15" hidden="false" customHeight="false" outlineLevel="0" collapsed="false">
      <c r="A825" s="3" t="n">
        <v>824</v>
      </c>
      <c r="B825" s="3" t="n">
        <f aca="false">Raw_Data!A825</f>
        <v>43</v>
      </c>
      <c r="C825" s="3" t="str">
        <f aca="false">SUBSTITUTE(Raw_Data!B825,".","")</f>
        <v>management</v>
      </c>
      <c r="D825" s="3" t="str">
        <f aca="false">Raw_Data!C825</f>
        <v>married</v>
      </c>
      <c r="E825" s="3" t="str">
        <f aca="false">Raw_Data!D825</f>
        <v>tertiary</v>
      </c>
      <c r="F825" s="3" t="str">
        <f aca="false">Raw_Data!E825</f>
        <v>no</v>
      </c>
      <c r="G825" s="3" t="n">
        <f aca="false">Raw_Data!F825</f>
        <v>1429</v>
      </c>
      <c r="H825" s="3" t="str">
        <f aca="false">Raw_Data!G825</f>
        <v>yes</v>
      </c>
      <c r="I825" s="3" t="str">
        <f aca="false">Raw_Data!H825</f>
        <v>no</v>
      </c>
      <c r="J825" s="2" t="n">
        <f aca="false">IF(F825="yes",1,0)</f>
        <v>0</v>
      </c>
      <c r="K825" s="2" t="n">
        <f aca="false">IF(H825="yes",1,0)</f>
        <v>1</v>
      </c>
      <c r="L825" s="2" t="n">
        <f aca="false">IF(I825="yes",1,0)</f>
        <v>0</v>
      </c>
      <c r="M825" s="2" t="n">
        <f aca="false">IF(G825&lt;0,1,0)</f>
        <v>0</v>
      </c>
      <c r="N825" s="2" t="str">
        <f aca="false">_xlfn.IFS(B825&lt;30,"Under 30",B825&lt;40,"30-39",B825&lt;50,"40-49",B825&lt;60,"50-59",TRUE(),"60+")</f>
        <v>40-49</v>
      </c>
      <c r="O825" s="2" t="str">
        <f aca="false">_xlfn.IFS(G825&lt;0,"1 Negative",G825=0,"2 Zero",G825&lt;=500,"3 1-500",G825&lt;=2000,"4 501-2000",TRUE(),"5 Above 2000")</f>
        <v>4 501-2000</v>
      </c>
      <c r="P825" s="2" t="n">
        <f aca="false">Lookups!$B$2*M825+Lookups!$B$3*L825</f>
        <v>0</v>
      </c>
      <c r="Q825" s="2" t="str">
        <f aca="false">INDEX(Lookups!$E$2:$E$5,MATCH(P825,Lookups!$D$2:$D$5,0))</f>
        <v>Low</v>
      </c>
    </row>
    <row r="826" customFormat="false" ht="15" hidden="false" customHeight="false" outlineLevel="0" collapsed="false">
      <c r="A826" s="3" t="n">
        <v>825</v>
      </c>
      <c r="B826" s="3" t="n">
        <f aca="false">Raw_Data!A826</f>
        <v>39</v>
      </c>
      <c r="C826" s="3" t="str">
        <f aca="false">SUBSTITUTE(Raw_Data!B826,".","")</f>
        <v>technician</v>
      </c>
      <c r="D826" s="3" t="str">
        <f aca="false">Raw_Data!C826</f>
        <v>married</v>
      </c>
      <c r="E826" s="3" t="str">
        <f aca="false">Raw_Data!D826</f>
        <v>tertiary</v>
      </c>
      <c r="F826" s="3" t="str">
        <f aca="false">Raw_Data!E826</f>
        <v>no</v>
      </c>
      <c r="G826" s="3" t="n">
        <f aca="false">Raw_Data!F826</f>
        <v>794</v>
      </c>
      <c r="H826" s="3" t="str">
        <f aca="false">Raw_Data!G826</f>
        <v>no</v>
      </c>
      <c r="I826" s="3" t="str">
        <f aca="false">Raw_Data!H826</f>
        <v>no</v>
      </c>
      <c r="J826" s="2" t="n">
        <f aca="false">IF(F826="yes",1,0)</f>
        <v>0</v>
      </c>
      <c r="K826" s="2" t="n">
        <f aca="false">IF(H826="yes",1,0)</f>
        <v>0</v>
      </c>
      <c r="L826" s="2" t="n">
        <f aca="false">IF(I826="yes",1,0)</f>
        <v>0</v>
      </c>
      <c r="M826" s="2" t="n">
        <f aca="false">IF(G826&lt;0,1,0)</f>
        <v>0</v>
      </c>
      <c r="N826" s="2" t="str">
        <f aca="false">_xlfn.IFS(B826&lt;30,"Under 30",B826&lt;40,"30-39",B826&lt;50,"40-49",B826&lt;60,"50-59",TRUE(),"60+")</f>
        <v>30-39</v>
      </c>
      <c r="O826" s="2" t="str">
        <f aca="false">_xlfn.IFS(G826&lt;0,"1 Negative",G826=0,"2 Zero",G826&lt;=500,"3 1-500",G826&lt;=2000,"4 501-2000",TRUE(),"5 Above 2000")</f>
        <v>4 501-2000</v>
      </c>
      <c r="P826" s="2" t="n">
        <f aca="false">Lookups!$B$2*M826+Lookups!$B$3*L826</f>
        <v>0</v>
      </c>
      <c r="Q826" s="2" t="str">
        <f aca="false">INDEX(Lookups!$E$2:$E$5,MATCH(P826,Lookups!$D$2:$D$5,0))</f>
        <v>Low</v>
      </c>
    </row>
    <row r="827" customFormat="false" ht="15" hidden="false" customHeight="false" outlineLevel="0" collapsed="false">
      <c r="A827" s="3" t="n">
        <v>826</v>
      </c>
      <c r="B827" s="3" t="n">
        <f aca="false">Raw_Data!A827</f>
        <v>31</v>
      </c>
      <c r="C827" s="3" t="str">
        <f aca="false">SUBSTITUTE(Raw_Data!B827,".","")</f>
        <v>entrepreneur</v>
      </c>
      <c r="D827" s="3" t="str">
        <f aca="false">Raw_Data!C827</f>
        <v>single</v>
      </c>
      <c r="E827" s="3" t="str">
        <f aca="false">Raw_Data!D827</f>
        <v>tertiary</v>
      </c>
      <c r="F827" s="3" t="str">
        <f aca="false">Raw_Data!E827</f>
        <v>no</v>
      </c>
      <c r="G827" s="3" t="n">
        <f aca="false">Raw_Data!F827</f>
        <v>1957</v>
      </c>
      <c r="H827" s="3" t="str">
        <f aca="false">Raw_Data!G827</f>
        <v>no</v>
      </c>
      <c r="I827" s="3" t="str">
        <f aca="false">Raw_Data!H827</f>
        <v>no</v>
      </c>
      <c r="J827" s="2" t="n">
        <f aca="false">IF(F827="yes",1,0)</f>
        <v>0</v>
      </c>
      <c r="K827" s="2" t="n">
        <f aca="false">IF(H827="yes",1,0)</f>
        <v>0</v>
      </c>
      <c r="L827" s="2" t="n">
        <f aca="false">IF(I827="yes",1,0)</f>
        <v>0</v>
      </c>
      <c r="M827" s="2" t="n">
        <f aca="false">IF(G827&lt;0,1,0)</f>
        <v>0</v>
      </c>
      <c r="N827" s="2" t="str">
        <f aca="false">_xlfn.IFS(B827&lt;30,"Under 30",B827&lt;40,"30-39",B827&lt;50,"40-49",B827&lt;60,"50-59",TRUE(),"60+")</f>
        <v>30-39</v>
      </c>
      <c r="O827" s="2" t="str">
        <f aca="false">_xlfn.IFS(G827&lt;0,"1 Negative",G827=0,"2 Zero",G827&lt;=500,"3 1-500",G827&lt;=2000,"4 501-2000",TRUE(),"5 Above 2000")</f>
        <v>4 501-2000</v>
      </c>
      <c r="P827" s="2" t="n">
        <f aca="false">Lookups!$B$2*M827+Lookups!$B$3*L827</f>
        <v>0</v>
      </c>
      <c r="Q827" s="2" t="str">
        <f aca="false">INDEX(Lookups!$E$2:$E$5,MATCH(P827,Lookups!$D$2:$D$5,0))</f>
        <v>Low</v>
      </c>
    </row>
    <row r="828" customFormat="false" ht="15" hidden="false" customHeight="false" outlineLevel="0" collapsed="false">
      <c r="A828" s="3" t="n">
        <v>827</v>
      </c>
      <c r="B828" s="3" t="n">
        <f aca="false">Raw_Data!A828</f>
        <v>48</v>
      </c>
      <c r="C828" s="3" t="str">
        <f aca="false">SUBSTITUTE(Raw_Data!B828,".","")</f>
        <v>technician</v>
      </c>
      <c r="D828" s="3" t="str">
        <f aca="false">Raw_Data!C828</f>
        <v>married</v>
      </c>
      <c r="E828" s="3" t="str">
        <f aca="false">Raw_Data!D828</f>
        <v>secondary</v>
      </c>
      <c r="F828" s="3" t="str">
        <f aca="false">Raw_Data!E828</f>
        <v>no</v>
      </c>
      <c r="G828" s="3" t="n">
        <f aca="false">Raw_Data!F828</f>
        <v>454</v>
      </c>
      <c r="H828" s="3" t="str">
        <f aca="false">Raw_Data!G828</f>
        <v>yes</v>
      </c>
      <c r="I828" s="3" t="str">
        <f aca="false">Raw_Data!H828</f>
        <v>no</v>
      </c>
      <c r="J828" s="2" t="n">
        <f aca="false">IF(F828="yes",1,0)</f>
        <v>0</v>
      </c>
      <c r="K828" s="2" t="n">
        <f aca="false">IF(H828="yes",1,0)</f>
        <v>1</v>
      </c>
      <c r="L828" s="2" t="n">
        <f aca="false">IF(I828="yes",1,0)</f>
        <v>0</v>
      </c>
      <c r="M828" s="2" t="n">
        <f aca="false">IF(G828&lt;0,1,0)</f>
        <v>0</v>
      </c>
      <c r="N828" s="2" t="str">
        <f aca="false">_xlfn.IFS(B828&lt;30,"Under 30",B828&lt;40,"30-39",B828&lt;50,"40-49",B828&lt;60,"50-59",TRUE(),"60+")</f>
        <v>40-49</v>
      </c>
      <c r="O828" s="2" t="str">
        <f aca="false">_xlfn.IFS(G828&lt;0,"1 Negative",G828=0,"2 Zero",G828&lt;=500,"3 1-500",G828&lt;=2000,"4 501-2000",TRUE(),"5 Above 2000")</f>
        <v>3 1-500</v>
      </c>
      <c r="P828" s="2" t="n">
        <f aca="false">Lookups!$B$2*M828+Lookups!$B$3*L828</f>
        <v>0</v>
      </c>
      <c r="Q828" s="2" t="str">
        <f aca="false">INDEX(Lookups!$E$2:$E$5,MATCH(P828,Lookups!$D$2:$D$5,0))</f>
        <v>Low</v>
      </c>
    </row>
    <row r="829" customFormat="false" ht="15" hidden="false" customHeight="false" outlineLevel="0" collapsed="false">
      <c r="A829" s="3" t="n">
        <v>828</v>
      </c>
      <c r="B829" s="3" t="n">
        <f aca="false">Raw_Data!A829</f>
        <v>32</v>
      </c>
      <c r="C829" s="3" t="str">
        <f aca="false">SUBSTITUTE(Raw_Data!B829,".","")</f>
        <v>blue-collar</v>
      </c>
      <c r="D829" s="3" t="str">
        <f aca="false">Raw_Data!C829</f>
        <v>single</v>
      </c>
      <c r="E829" s="3" t="str">
        <f aca="false">Raw_Data!D829</f>
        <v>primary</v>
      </c>
      <c r="F829" s="3" t="str">
        <f aca="false">Raw_Data!E829</f>
        <v>no</v>
      </c>
      <c r="G829" s="3" t="n">
        <f aca="false">Raw_Data!F829</f>
        <v>882</v>
      </c>
      <c r="H829" s="3" t="str">
        <f aca="false">Raw_Data!G829</f>
        <v>no</v>
      </c>
      <c r="I829" s="3" t="str">
        <f aca="false">Raw_Data!H829</f>
        <v>yes</v>
      </c>
      <c r="J829" s="2" t="n">
        <f aca="false">IF(F829="yes",1,0)</f>
        <v>0</v>
      </c>
      <c r="K829" s="2" t="n">
        <f aca="false">IF(H829="yes",1,0)</f>
        <v>0</v>
      </c>
      <c r="L829" s="2" t="n">
        <f aca="false">IF(I829="yes",1,0)</f>
        <v>1</v>
      </c>
      <c r="M829" s="2" t="n">
        <f aca="false">IF(G829&lt;0,1,0)</f>
        <v>0</v>
      </c>
      <c r="N829" s="2" t="str">
        <f aca="false">_xlfn.IFS(B829&lt;30,"Under 30",B829&lt;40,"30-39",B829&lt;50,"40-49",B829&lt;60,"50-59",TRUE(),"60+")</f>
        <v>30-39</v>
      </c>
      <c r="O829" s="2" t="str">
        <f aca="false">_xlfn.IFS(G829&lt;0,"1 Negative",G829=0,"2 Zero",G829&lt;=500,"3 1-500",G829&lt;=2000,"4 501-2000",TRUE(),"5 Above 2000")</f>
        <v>4 501-2000</v>
      </c>
      <c r="P829" s="2" t="n">
        <f aca="false">Lookups!$B$2*M829+Lookups!$B$3*L829</f>
        <v>1</v>
      </c>
      <c r="Q829" s="2" t="str">
        <f aca="false">INDEX(Lookups!$E$2:$E$5,MATCH(P829,Lookups!$D$2:$D$5,0))</f>
        <v>Medium</v>
      </c>
    </row>
    <row r="830" customFormat="false" ht="15" hidden="false" customHeight="false" outlineLevel="0" collapsed="false">
      <c r="A830" s="3" t="n">
        <v>829</v>
      </c>
      <c r="B830" s="3" t="n">
        <f aca="false">Raw_Data!A830</f>
        <v>47</v>
      </c>
      <c r="C830" s="3" t="str">
        <f aca="false">SUBSTITUTE(Raw_Data!B830,".","")</f>
        <v>unemployed</v>
      </c>
      <c r="D830" s="3" t="str">
        <f aca="false">Raw_Data!C830</f>
        <v>married</v>
      </c>
      <c r="E830" s="3" t="str">
        <f aca="false">Raw_Data!D830</f>
        <v>primary</v>
      </c>
      <c r="F830" s="3" t="str">
        <f aca="false">Raw_Data!E830</f>
        <v>no</v>
      </c>
      <c r="G830" s="3" t="n">
        <f aca="false">Raw_Data!F830</f>
        <v>168</v>
      </c>
      <c r="H830" s="3" t="str">
        <f aca="false">Raw_Data!G830</f>
        <v>yes</v>
      </c>
      <c r="I830" s="3" t="str">
        <f aca="false">Raw_Data!H830</f>
        <v>no</v>
      </c>
      <c r="J830" s="2" t="n">
        <f aca="false">IF(F830="yes",1,0)</f>
        <v>0</v>
      </c>
      <c r="K830" s="2" t="n">
        <f aca="false">IF(H830="yes",1,0)</f>
        <v>1</v>
      </c>
      <c r="L830" s="2" t="n">
        <f aca="false">IF(I830="yes",1,0)</f>
        <v>0</v>
      </c>
      <c r="M830" s="2" t="n">
        <f aca="false">IF(G830&lt;0,1,0)</f>
        <v>0</v>
      </c>
      <c r="N830" s="2" t="str">
        <f aca="false">_xlfn.IFS(B830&lt;30,"Under 30",B830&lt;40,"30-39",B830&lt;50,"40-49",B830&lt;60,"50-59",TRUE(),"60+")</f>
        <v>40-49</v>
      </c>
      <c r="O830" s="2" t="str">
        <f aca="false">_xlfn.IFS(G830&lt;0,"1 Negative",G830=0,"2 Zero",G830&lt;=500,"3 1-500",G830&lt;=2000,"4 501-2000",TRUE(),"5 Above 2000")</f>
        <v>3 1-500</v>
      </c>
      <c r="P830" s="2" t="n">
        <f aca="false">Lookups!$B$2*M830+Lookups!$B$3*L830</f>
        <v>0</v>
      </c>
      <c r="Q830" s="2" t="str">
        <f aca="false">INDEX(Lookups!$E$2:$E$5,MATCH(P830,Lookups!$D$2:$D$5,0))</f>
        <v>Low</v>
      </c>
    </row>
    <row r="831" customFormat="false" ht="15" hidden="false" customHeight="false" outlineLevel="0" collapsed="false">
      <c r="A831" s="3" t="n">
        <v>830</v>
      </c>
      <c r="B831" s="3" t="n">
        <f aca="false">Raw_Data!A831</f>
        <v>35</v>
      </c>
      <c r="C831" s="3" t="str">
        <f aca="false">SUBSTITUTE(Raw_Data!B831,".","")</f>
        <v>management</v>
      </c>
      <c r="D831" s="3" t="str">
        <f aca="false">Raw_Data!C831</f>
        <v>single</v>
      </c>
      <c r="E831" s="3" t="str">
        <f aca="false">Raw_Data!D831</f>
        <v>tertiary</v>
      </c>
      <c r="F831" s="3" t="str">
        <f aca="false">Raw_Data!E831</f>
        <v>no</v>
      </c>
      <c r="G831" s="3" t="n">
        <f aca="false">Raw_Data!F831</f>
        <v>714</v>
      </c>
      <c r="H831" s="3" t="str">
        <f aca="false">Raw_Data!G831</f>
        <v>yes</v>
      </c>
      <c r="I831" s="3" t="str">
        <f aca="false">Raw_Data!H831</f>
        <v>no</v>
      </c>
      <c r="J831" s="2" t="n">
        <f aca="false">IF(F831="yes",1,0)</f>
        <v>0</v>
      </c>
      <c r="K831" s="2" t="n">
        <f aca="false">IF(H831="yes",1,0)</f>
        <v>1</v>
      </c>
      <c r="L831" s="2" t="n">
        <f aca="false">IF(I831="yes",1,0)</f>
        <v>0</v>
      </c>
      <c r="M831" s="2" t="n">
        <f aca="false">IF(G831&lt;0,1,0)</f>
        <v>0</v>
      </c>
      <c r="N831" s="2" t="str">
        <f aca="false">_xlfn.IFS(B831&lt;30,"Under 30",B831&lt;40,"30-39",B831&lt;50,"40-49",B831&lt;60,"50-59",TRUE(),"60+")</f>
        <v>30-39</v>
      </c>
      <c r="O831" s="2" t="str">
        <f aca="false">_xlfn.IFS(G831&lt;0,"1 Negative",G831=0,"2 Zero",G831&lt;=500,"3 1-500",G831&lt;=2000,"4 501-2000",TRUE(),"5 Above 2000")</f>
        <v>4 501-2000</v>
      </c>
      <c r="P831" s="2" t="n">
        <f aca="false">Lookups!$B$2*M831+Lookups!$B$3*L831</f>
        <v>0</v>
      </c>
      <c r="Q831" s="2" t="str">
        <f aca="false">INDEX(Lookups!$E$2:$E$5,MATCH(P831,Lookups!$D$2:$D$5,0))</f>
        <v>Low</v>
      </c>
    </row>
    <row r="832" customFormat="false" ht="15" hidden="false" customHeight="false" outlineLevel="0" collapsed="false">
      <c r="A832" s="3" t="n">
        <v>831</v>
      </c>
      <c r="B832" s="3" t="n">
        <f aca="false">Raw_Data!A832</f>
        <v>42</v>
      </c>
      <c r="C832" s="3" t="str">
        <f aca="false">SUBSTITUTE(Raw_Data!B832,".","")</f>
        <v>management</v>
      </c>
      <c r="D832" s="3" t="str">
        <f aca="false">Raw_Data!C832</f>
        <v>single</v>
      </c>
      <c r="E832" s="3" t="str">
        <f aca="false">Raw_Data!D832</f>
        <v>tertiary</v>
      </c>
      <c r="F832" s="3" t="str">
        <f aca="false">Raw_Data!E832</f>
        <v>no</v>
      </c>
      <c r="G832" s="3" t="n">
        <f aca="false">Raw_Data!F832</f>
        <v>0</v>
      </c>
      <c r="H832" s="3" t="str">
        <f aca="false">Raw_Data!G832</f>
        <v>no</v>
      </c>
      <c r="I832" s="3" t="str">
        <f aca="false">Raw_Data!H832</f>
        <v>no</v>
      </c>
      <c r="J832" s="2" t="n">
        <f aca="false">IF(F832="yes",1,0)</f>
        <v>0</v>
      </c>
      <c r="K832" s="2" t="n">
        <f aca="false">IF(H832="yes",1,0)</f>
        <v>0</v>
      </c>
      <c r="L832" s="2" t="n">
        <f aca="false">IF(I832="yes",1,0)</f>
        <v>0</v>
      </c>
      <c r="M832" s="2" t="n">
        <f aca="false">IF(G832&lt;0,1,0)</f>
        <v>0</v>
      </c>
      <c r="N832" s="2" t="str">
        <f aca="false">_xlfn.IFS(B832&lt;30,"Under 30",B832&lt;40,"30-39",B832&lt;50,"40-49",B832&lt;60,"50-59",TRUE(),"60+")</f>
        <v>40-49</v>
      </c>
      <c r="O832" s="2" t="str">
        <f aca="false">_xlfn.IFS(G832&lt;0,"1 Negative",G832=0,"2 Zero",G832&lt;=500,"3 1-500",G832&lt;=2000,"4 501-2000",TRUE(),"5 Above 2000")</f>
        <v>2 Zero</v>
      </c>
      <c r="P832" s="2" t="n">
        <f aca="false">Lookups!$B$2*M832+Lookups!$B$3*L832</f>
        <v>0</v>
      </c>
      <c r="Q832" s="2" t="str">
        <f aca="false">INDEX(Lookups!$E$2:$E$5,MATCH(P832,Lookups!$D$2:$D$5,0))</f>
        <v>Low</v>
      </c>
    </row>
    <row r="833" customFormat="false" ht="15" hidden="false" customHeight="false" outlineLevel="0" collapsed="false">
      <c r="A833" s="3" t="n">
        <v>832</v>
      </c>
      <c r="B833" s="3" t="n">
        <f aca="false">Raw_Data!A833</f>
        <v>47</v>
      </c>
      <c r="C833" s="3" t="str">
        <f aca="false">SUBSTITUTE(Raw_Data!B833,".","")</f>
        <v>blue-collar</v>
      </c>
      <c r="D833" s="3" t="str">
        <f aca="false">Raw_Data!C833</f>
        <v>married</v>
      </c>
      <c r="E833" s="3" t="str">
        <f aca="false">Raw_Data!D833</f>
        <v>secondary</v>
      </c>
      <c r="F833" s="3" t="str">
        <f aca="false">Raw_Data!E833</f>
        <v>no</v>
      </c>
      <c r="G833" s="3" t="n">
        <f aca="false">Raw_Data!F833</f>
        <v>1996</v>
      </c>
      <c r="H833" s="3" t="str">
        <f aca="false">Raw_Data!G833</f>
        <v>no</v>
      </c>
      <c r="I833" s="3" t="str">
        <f aca="false">Raw_Data!H833</f>
        <v>no</v>
      </c>
      <c r="J833" s="2" t="n">
        <f aca="false">IF(F833="yes",1,0)</f>
        <v>0</v>
      </c>
      <c r="K833" s="2" t="n">
        <f aca="false">IF(H833="yes",1,0)</f>
        <v>0</v>
      </c>
      <c r="L833" s="2" t="n">
        <f aca="false">IF(I833="yes",1,0)</f>
        <v>0</v>
      </c>
      <c r="M833" s="2" t="n">
        <f aca="false">IF(G833&lt;0,1,0)</f>
        <v>0</v>
      </c>
      <c r="N833" s="2" t="str">
        <f aca="false">_xlfn.IFS(B833&lt;30,"Under 30",B833&lt;40,"30-39",B833&lt;50,"40-49",B833&lt;60,"50-59",TRUE(),"60+")</f>
        <v>40-49</v>
      </c>
      <c r="O833" s="2" t="str">
        <f aca="false">_xlfn.IFS(G833&lt;0,"1 Negative",G833=0,"2 Zero",G833&lt;=500,"3 1-500",G833&lt;=2000,"4 501-2000",TRUE(),"5 Above 2000")</f>
        <v>4 501-2000</v>
      </c>
      <c r="P833" s="2" t="n">
        <f aca="false">Lookups!$B$2*M833+Lookups!$B$3*L833</f>
        <v>0</v>
      </c>
      <c r="Q833" s="2" t="str">
        <f aca="false">INDEX(Lookups!$E$2:$E$5,MATCH(P833,Lookups!$D$2:$D$5,0))</f>
        <v>Low</v>
      </c>
    </row>
    <row r="834" customFormat="false" ht="15" hidden="false" customHeight="false" outlineLevel="0" collapsed="false">
      <c r="A834" s="3" t="n">
        <v>833</v>
      </c>
      <c r="B834" s="3" t="n">
        <f aca="false">Raw_Data!A834</f>
        <v>59</v>
      </c>
      <c r="C834" s="3" t="str">
        <f aca="false">SUBSTITUTE(Raw_Data!B834,".","")</f>
        <v>retired</v>
      </c>
      <c r="D834" s="3" t="str">
        <f aca="false">Raw_Data!C834</f>
        <v>married</v>
      </c>
      <c r="E834" s="3" t="str">
        <f aca="false">Raw_Data!D834</f>
        <v>secondary</v>
      </c>
      <c r="F834" s="3" t="str">
        <f aca="false">Raw_Data!E834</f>
        <v>no</v>
      </c>
      <c r="G834" s="3" t="n">
        <f aca="false">Raw_Data!F834</f>
        <v>163</v>
      </c>
      <c r="H834" s="3" t="str">
        <f aca="false">Raw_Data!G834</f>
        <v>no</v>
      </c>
      <c r="I834" s="3" t="str">
        <f aca="false">Raw_Data!H834</f>
        <v>no</v>
      </c>
      <c r="J834" s="2" t="n">
        <f aca="false">IF(F834="yes",1,0)</f>
        <v>0</v>
      </c>
      <c r="K834" s="2" t="n">
        <f aca="false">IF(H834="yes",1,0)</f>
        <v>0</v>
      </c>
      <c r="L834" s="2" t="n">
        <f aca="false">IF(I834="yes",1,0)</f>
        <v>0</v>
      </c>
      <c r="M834" s="2" t="n">
        <f aca="false">IF(G834&lt;0,1,0)</f>
        <v>0</v>
      </c>
      <c r="N834" s="2" t="str">
        <f aca="false">_xlfn.IFS(B834&lt;30,"Under 30",B834&lt;40,"30-39",B834&lt;50,"40-49",B834&lt;60,"50-59",TRUE(),"60+")</f>
        <v>50-59</v>
      </c>
      <c r="O834" s="2" t="str">
        <f aca="false">_xlfn.IFS(G834&lt;0,"1 Negative",G834=0,"2 Zero",G834&lt;=500,"3 1-500",G834&lt;=2000,"4 501-2000",TRUE(),"5 Above 2000")</f>
        <v>3 1-500</v>
      </c>
      <c r="P834" s="2" t="n">
        <f aca="false">Lookups!$B$2*M834+Lookups!$B$3*L834</f>
        <v>0</v>
      </c>
      <c r="Q834" s="2" t="str">
        <f aca="false">INDEX(Lookups!$E$2:$E$5,MATCH(P834,Lookups!$D$2:$D$5,0))</f>
        <v>Low</v>
      </c>
    </row>
    <row r="835" customFormat="false" ht="15" hidden="false" customHeight="false" outlineLevel="0" collapsed="false">
      <c r="A835" s="3" t="n">
        <v>834</v>
      </c>
      <c r="B835" s="3" t="n">
        <f aca="false">Raw_Data!A835</f>
        <v>38</v>
      </c>
      <c r="C835" s="3" t="str">
        <f aca="false">SUBSTITUTE(Raw_Data!B835,".","")</f>
        <v>admin</v>
      </c>
      <c r="D835" s="3" t="str">
        <f aca="false">Raw_Data!C835</f>
        <v>married</v>
      </c>
      <c r="E835" s="3" t="str">
        <f aca="false">Raw_Data!D835</f>
        <v>secondary</v>
      </c>
      <c r="F835" s="3" t="str">
        <f aca="false">Raw_Data!E835</f>
        <v>no</v>
      </c>
      <c r="G835" s="3" t="n">
        <f aca="false">Raw_Data!F835</f>
        <v>3190</v>
      </c>
      <c r="H835" s="3" t="str">
        <f aca="false">Raw_Data!G835</f>
        <v>yes</v>
      </c>
      <c r="I835" s="3" t="str">
        <f aca="false">Raw_Data!H835</f>
        <v>no</v>
      </c>
      <c r="J835" s="2" t="n">
        <f aca="false">IF(F835="yes",1,0)</f>
        <v>0</v>
      </c>
      <c r="K835" s="2" t="n">
        <f aca="false">IF(H835="yes",1,0)</f>
        <v>1</v>
      </c>
      <c r="L835" s="2" t="n">
        <f aca="false">IF(I835="yes",1,0)</f>
        <v>0</v>
      </c>
      <c r="M835" s="2" t="n">
        <f aca="false">IF(G835&lt;0,1,0)</f>
        <v>0</v>
      </c>
      <c r="N835" s="2" t="str">
        <f aca="false">_xlfn.IFS(B835&lt;30,"Under 30",B835&lt;40,"30-39",B835&lt;50,"40-49",B835&lt;60,"50-59",TRUE(),"60+")</f>
        <v>30-39</v>
      </c>
      <c r="O835" s="2" t="str">
        <f aca="false">_xlfn.IFS(G835&lt;0,"1 Negative",G835=0,"2 Zero",G835&lt;=500,"3 1-500",G835&lt;=2000,"4 501-2000",TRUE(),"5 Above 2000")</f>
        <v>5 Above 2000</v>
      </c>
      <c r="P835" s="2" t="n">
        <f aca="false">Lookups!$B$2*M835+Lookups!$B$3*L835</f>
        <v>0</v>
      </c>
      <c r="Q835" s="2" t="str">
        <f aca="false">INDEX(Lookups!$E$2:$E$5,MATCH(P835,Lookups!$D$2:$D$5,0))</f>
        <v>Low</v>
      </c>
    </row>
    <row r="836" customFormat="false" ht="15" hidden="false" customHeight="false" outlineLevel="0" collapsed="false">
      <c r="A836" s="3" t="n">
        <v>835</v>
      </c>
      <c r="B836" s="3" t="n">
        <f aca="false">Raw_Data!A836</f>
        <v>50</v>
      </c>
      <c r="C836" s="3" t="str">
        <f aca="false">SUBSTITUTE(Raw_Data!B836,".","")</f>
        <v>unemployed</v>
      </c>
      <c r="D836" s="3" t="str">
        <f aca="false">Raw_Data!C836</f>
        <v>married</v>
      </c>
      <c r="E836" s="3" t="str">
        <f aca="false">Raw_Data!D836</f>
        <v>secondary</v>
      </c>
      <c r="F836" s="3" t="str">
        <f aca="false">Raw_Data!E836</f>
        <v>no</v>
      </c>
      <c r="G836" s="3" t="n">
        <f aca="false">Raw_Data!F836</f>
        <v>1772</v>
      </c>
      <c r="H836" s="3" t="str">
        <f aca="false">Raw_Data!G836</f>
        <v>no</v>
      </c>
      <c r="I836" s="3" t="str">
        <f aca="false">Raw_Data!H836</f>
        <v>no</v>
      </c>
      <c r="J836" s="2" t="n">
        <f aca="false">IF(F836="yes",1,0)</f>
        <v>0</v>
      </c>
      <c r="K836" s="2" t="n">
        <f aca="false">IF(H836="yes",1,0)</f>
        <v>0</v>
      </c>
      <c r="L836" s="2" t="n">
        <f aca="false">IF(I836="yes",1,0)</f>
        <v>0</v>
      </c>
      <c r="M836" s="2" t="n">
        <f aca="false">IF(G836&lt;0,1,0)</f>
        <v>0</v>
      </c>
      <c r="N836" s="2" t="str">
        <f aca="false">_xlfn.IFS(B836&lt;30,"Under 30",B836&lt;40,"30-39",B836&lt;50,"40-49",B836&lt;60,"50-59",TRUE(),"60+")</f>
        <v>50-59</v>
      </c>
      <c r="O836" s="2" t="str">
        <f aca="false">_xlfn.IFS(G836&lt;0,"1 Negative",G836=0,"2 Zero",G836&lt;=500,"3 1-500",G836&lt;=2000,"4 501-2000",TRUE(),"5 Above 2000")</f>
        <v>4 501-2000</v>
      </c>
      <c r="P836" s="2" t="n">
        <f aca="false">Lookups!$B$2*M836+Lookups!$B$3*L836</f>
        <v>0</v>
      </c>
      <c r="Q836" s="2" t="str">
        <f aca="false">INDEX(Lookups!$E$2:$E$5,MATCH(P836,Lookups!$D$2:$D$5,0))</f>
        <v>Low</v>
      </c>
    </row>
    <row r="837" customFormat="false" ht="15" hidden="false" customHeight="false" outlineLevel="0" collapsed="false">
      <c r="A837" s="3" t="n">
        <v>836</v>
      </c>
      <c r="B837" s="3" t="n">
        <f aca="false">Raw_Data!A837</f>
        <v>27</v>
      </c>
      <c r="C837" s="3" t="str">
        <f aca="false">SUBSTITUTE(Raw_Data!B837,".","")</f>
        <v>services</v>
      </c>
      <c r="D837" s="3" t="str">
        <f aca="false">Raw_Data!C837</f>
        <v>single</v>
      </c>
      <c r="E837" s="3" t="str">
        <f aca="false">Raw_Data!D837</f>
        <v>secondary</v>
      </c>
      <c r="F837" s="3" t="str">
        <f aca="false">Raw_Data!E837</f>
        <v>no</v>
      </c>
      <c r="G837" s="3" t="n">
        <f aca="false">Raw_Data!F837</f>
        <v>-151</v>
      </c>
      <c r="H837" s="3" t="str">
        <f aca="false">Raw_Data!G837</f>
        <v>no</v>
      </c>
      <c r="I837" s="3" t="str">
        <f aca="false">Raw_Data!H837</f>
        <v>no</v>
      </c>
      <c r="J837" s="2" t="n">
        <f aca="false">IF(F837="yes",1,0)</f>
        <v>0</v>
      </c>
      <c r="K837" s="2" t="n">
        <f aca="false">IF(H837="yes",1,0)</f>
        <v>0</v>
      </c>
      <c r="L837" s="2" t="n">
        <f aca="false">IF(I837="yes",1,0)</f>
        <v>0</v>
      </c>
      <c r="M837" s="2" t="n">
        <f aca="false">IF(G837&lt;0,1,0)</f>
        <v>1</v>
      </c>
      <c r="N837" s="2" t="str">
        <f aca="false">_xlfn.IFS(B837&lt;30,"Under 30",B837&lt;40,"30-39",B837&lt;50,"40-49",B837&lt;60,"50-59",TRUE(),"60+")</f>
        <v>Under 30</v>
      </c>
      <c r="O837" s="2" t="str">
        <f aca="false">_xlfn.IFS(G837&lt;0,"1 Negative",G837=0,"2 Zero",G837&lt;=500,"3 1-500",G837&lt;=2000,"4 501-2000",TRUE(),"5 Above 2000")</f>
        <v>1 Negative</v>
      </c>
      <c r="P837" s="2" t="n">
        <f aca="false">Lookups!$B$2*M837+Lookups!$B$3*L837</f>
        <v>2</v>
      </c>
      <c r="Q837" s="2" t="str">
        <f aca="false">INDEX(Lookups!$E$2:$E$5,MATCH(P837,Lookups!$D$2:$D$5,0))</f>
        <v>High</v>
      </c>
    </row>
    <row r="838" customFormat="false" ht="15" hidden="false" customHeight="false" outlineLevel="0" collapsed="false">
      <c r="A838" s="3" t="n">
        <v>837</v>
      </c>
      <c r="B838" s="3" t="n">
        <f aca="false">Raw_Data!A838</f>
        <v>55</v>
      </c>
      <c r="C838" s="3" t="str">
        <f aca="false">SUBSTITUTE(Raw_Data!B838,".","")</f>
        <v>housemaid</v>
      </c>
      <c r="D838" s="3" t="str">
        <f aca="false">Raw_Data!C838</f>
        <v>married</v>
      </c>
      <c r="E838" s="3" t="str">
        <f aca="false">Raw_Data!D838</f>
        <v>primary</v>
      </c>
      <c r="F838" s="3" t="str">
        <f aca="false">Raw_Data!E838</f>
        <v>no</v>
      </c>
      <c r="G838" s="3" t="n">
        <f aca="false">Raw_Data!F838</f>
        <v>16</v>
      </c>
      <c r="H838" s="3" t="str">
        <f aca="false">Raw_Data!G838</f>
        <v>no</v>
      </c>
      <c r="I838" s="3" t="str">
        <f aca="false">Raw_Data!H838</f>
        <v>no</v>
      </c>
      <c r="J838" s="2" t="n">
        <f aca="false">IF(F838="yes",1,0)</f>
        <v>0</v>
      </c>
      <c r="K838" s="2" t="n">
        <f aca="false">IF(H838="yes",1,0)</f>
        <v>0</v>
      </c>
      <c r="L838" s="2" t="n">
        <f aca="false">IF(I838="yes",1,0)</f>
        <v>0</v>
      </c>
      <c r="M838" s="2" t="n">
        <f aca="false">IF(G838&lt;0,1,0)</f>
        <v>0</v>
      </c>
      <c r="N838" s="2" t="str">
        <f aca="false">_xlfn.IFS(B838&lt;30,"Under 30",B838&lt;40,"30-39",B838&lt;50,"40-49",B838&lt;60,"50-59",TRUE(),"60+")</f>
        <v>50-59</v>
      </c>
      <c r="O838" s="2" t="str">
        <f aca="false">_xlfn.IFS(G838&lt;0,"1 Negative",G838=0,"2 Zero",G838&lt;=500,"3 1-500",G838&lt;=2000,"4 501-2000",TRUE(),"5 Above 2000")</f>
        <v>3 1-500</v>
      </c>
      <c r="P838" s="2" t="n">
        <f aca="false">Lookups!$B$2*M838+Lookups!$B$3*L838</f>
        <v>0</v>
      </c>
      <c r="Q838" s="2" t="str">
        <f aca="false">INDEX(Lookups!$E$2:$E$5,MATCH(P838,Lookups!$D$2:$D$5,0))</f>
        <v>Low</v>
      </c>
    </row>
    <row r="839" customFormat="false" ht="15" hidden="false" customHeight="false" outlineLevel="0" collapsed="false">
      <c r="A839" s="3" t="n">
        <v>838</v>
      </c>
      <c r="B839" s="3" t="n">
        <f aca="false">Raw_Data!A839</f>
        <v>39</v>
      </c>
      <c r="C839" s="3" t="str">
        <f aca="false">SUBSTITUTE(Raw_Data!B839,".","")</f>
        <v>services</v>
      </c>
      <c r="D839" s="3" t="str">
        <f aca="false">Raw_Data!C839</f>
        <v>single</v>
      </c>
      <c r="E839" s="3" t="str">
        <f aca="false">Raw_Data!D839</f>
        <v>secondary</v>
      </c>
      <c r="F839" s="3" t="str">
        <f aca="false">Raw_Data!E839</f>
        <v>no</v>
      </c>
      <c r="G839" s="3" t="n">
        <f aca="false">Raw_Data!F839</f>
        <v>7066</v>
      </c>
      <c r="H839" s="3" t="str">
        <f aca="false">Raw_Data!G839</f>
        <v>yes</v>
      </c>
      <c r="I839" s="3" t="str">
        <f aca="false">Raw_Data!H839</f>
        <v>no</v>
      </c>
      <c r="J839" s="2" t="n">
        <f aca="false">IF(F839="yes",1,0)</f>
        <v>0</v>
      </c>
      <c r="K839" s="2" t="n">
        <f aca="false">IF(H839="yes",1,0)</f>
        <v>1</v>
      </c>
      <c r="L839" s="2" t="n">
        <f aca="false">IF(I839="yes",1,0)</f>
        <v>0</v>
      </c>
      <c r="M839" s="2" t="n">
        <f aca="false">IF(G839&lt;0,1,0)</f>
        <v>0</v>
      </c>
      <c r="N839" s="2" t="str">
        <f aca="false">_xlfn.IFS(B839&lt;30,"Under 30",B839&lt;40,"30-39",B839&lt;50,"40-49",B839&lt;60,"50-59",TRUE(),"60+")</f>
        <v>30-39</v>
      </c>
      <c r="O839" s="2" t="str">
        <f aca="false">_xlfn.IFS(G839&lt;0,"1 Negative",G839=0,"2 Zero",G839&lt;=500,"3 1-500",G839&lt;=2000,"4 501-2000",TRUE(),"5 Above 2000")</f>
        <v>5 Above 2000</v>
      </c>
      <c r="P839" s="2" t="n">
        <f aca="false">Lookups!$B$2*M839+Lookups!$B$3*L839</f>
        <v>0</v>
      </c>
      <c r="Q839" s="2" t="str">
        <f aca="false">INDEX(Lookups!$E$2:$E$5,MATCH(P839,Lookups!$D$2:$D$5,0))</f>
        <v>Low</v>
      </c>
    </row>
    <row r="840" customFormat="false" ht="15" hidden="false" customHeight="false" outlineLevel="0" collapsed="false">
      <c r="A840" s="3" t="n">
        <v>839</v>
      </c>
      <c r="B840" s="3" t="n">
        <f aca="false">Raw_Data!A840</f>
        <v>31</v>
      </c>
      <c r="C840" s="3" t="str">
        <f aca="false">SUBSTITUTE(Raw_Data!B840,".","")</f>
        <v>technician</v>
      </c>
      <c r="D840" s="3" t="str">
        <f aca="false">Raw_Data!C840</f>
        <v>single</v>
      </c>
      <c r="E840" s="3" t="str">
        <f aca="false">Raw_Data!D840</f>
        <v>tertiary</v>
      </c>
      <c r="F840" s="3" t="str">
        <f aca="false">Raw_Data!E840</f>
        <v>no</v>
      </c>
      <c r="G840" s="3" t="n">
        <f aca="false">Raw_Data!F840</f>
        <v>454</v>
      </c>
      <c r="H840" s="3" t="str">
        <f aca="false">Raw_Data!G840</f>
        <v>no</v>
      </c>
      <c r="I840" s="3" t="str">
        <f aca="false">Raw_Data!H840</f>
        <v>no</v>
      </c>
      <c r="J840" s="2" t="n">
        <f aca="false">IF(F840="yes",1,0)</f>
        <v>0</v>
      </c>
      <c r="K840" s="2" t="n">
        <f aca="false">IF(H840="yes",1,0)</f>
        <v>0</v>
      </c>
      <c r="L840" s="2" t="n">
        <f aca="false">IF(I840="yes",1,0)</f>
        <v>0</v>
      </c>
      <c r="M840" s="2" t="n">
        <f aca="false">IF(G840&lt;0,1,0)</f>
        <v>0</v>
      </c>
      <c r="N840" s="2" t="str">
        <f aca="false">_xlfn.IFS(B840&lt;30,"Under 30",B840&lt;40,"30-39",B840&lt;50,"40-49",B840&lt;60,"50-59",TRUE(),"60+")</f>
        <v>30-39</v>
      </c>
      <c r="O840" s="2" t="str">
        <f aca="false">_xlfn.IFS(G840&lt;0,"1 Negative",G840=0,"2 Zero",G840&lt;=500,"3 1-500",G840&lt;=2000,"4 501-2000",TRUE(),"5 Above 2000")</f>
        <v>3 1-500</v>
      </c>
      <c r="P840" s="2" t="n">
        <f aca="false">Lookups!$B$2*M840+Lookups!$B$3*L840</f>
        <v>0</v>
      </c>
      <c r="Q840" s="2" t="str">
        <f aca="false">INDEX(Lookups!$E$2:$E$5,MATCH(P840,Lookups!$D$2:$D$5,0))</f>
        <v>Low</v>
      </c>
    </row>
    <row r="841" customFormat="false" ht="15" hidden="false" customHeight="false" outlineLevel="0" collapsed="false">
      <c r="A841" s="3" t="n">
        <v>840</v>
      </c>
      <c r="B841" s="3" t="n">
        <f aca="false">Raw_Data!A841</f>
        <v>37</v>
      </c>
      <c r="C841" s="3" t="str">
        <f aca="false">SUBSTITUTE(Raw_Data!B841,".","")</f>
        <v>entrepreneur</v>
      </c>
      <c r="D841" s="3" t="str">
        <f aca="false">Raw_Data!C841</f>
        <v>married</v>
      </c>
      <c r="E841" s="3" t="str">
        <f aca="false">Raw_Data!D841</f>
        <v>tertiary</v>
      </c>
      <c r="F841" s="3" t="str">
        <f aca="false">Raw_Data!E841</f>
        <v>no</v>
      </c>
      <c r="G841" s="3" t="n">
        <f aca="false">Raw_Data!F841</f>
        <v>4798</v>
      </c>
      <c r="H841" s="3" t="str">
        <f aca="false">Raw_Data!G841</f>
        <v>yes</v>
      </c>
      <c r="I841" s="3" t="str">
        <f aca="false">Raw_Data!H841</f>
        <v>no</v>
      </c>
      <c r="J841" s="2" t="n">
        <f aca="false">IF(F841="yes",1,0)</f>
        <v>0</v>
      </c>
      <c r="K841" s="2" t="n">
        <f aca="false">IF(H841="yes",1,0)</f>
        <v>1</v>
      </c>
      <c r="L841" s="2" t="n">
        <f aca="false">IF(I841="yes",1,0)</f>
        <v>0</v>
      </c>
      <c r="M841" s="2" t="n">
        <f aca="false">IF(G841&lt;0,1,0)</f>
        <v>0</v>
      </c>
      <c r="N841" s="2" t="str">
        <f aca="false">_xlfn.IFS(B841&lt;30,"Under 30",B841&lt;40,"30-39",B841&lt;50,"40-49",B841&lt;60,"50-59",TRUE(),"60+")</f>
        <v>30-39</v>
      </c>
      <c r="O841" s="2" t="str">
        <f aca="false">_xlfn.IFS(G841&lt;0,"1 Negative",G841=0,"2 Zero",G841&lt;=500,"3 1-500",G841&lt;=2000,"4 501-2000",TRUE(),"5 Above 2000")</f>
        <v>5 Above 2000</v>
      </c>
      <c r="P841" s="2" t="n">
        <f aca="false">Lookups!$B$2*M841+Lookups!$B$3*L841</f>
        <v>0</v>
      </c>
      <c r="Q841" s="2" t="str">
        <f aca="false">INDEX(Lookups!$E$2:$E$5,MATCH(P841,Lookups!$D$2:$D$5,0))</f>
        <v>Low</v>
      </c>
    </row>
    <row r="842" customFormat="false" ht="15" hidden="false" customHeight="false" outlineLevel="0" collapsed="false">
      <c r="A842" s="3" t="n">
        <v>841</v>
      </c>
      <c r="B842" s="3" t="n">
        <f aca="false">Raw_Data!A842</f>
        <v>28</v>
      </c>
      <c r="C842" s="3" t="str">
        <f aca="false">SUBSTITUTE(Raw_Data!B842,".","")</f>
        <v>technician</v>
      </c>
      <c r="D842" s="3" t="str">
        <f aca="false">Raw_Data!C842</f>
        <v>single</v>
      </c>
      <c r="E842" s="3" t="str">
        <f aca="false">Raw_Data!D842</f>
        <v>secondary</v>
      </c>
      <c r="F842" s="3" t="str">
        <f aca="false">Raw_Data!E842</f>
        <v>yes</v>
      </c>
      <c r="G842" s="3" t="n">
        <f aca="false">Raw_Data!F842</f>
        <v>-298</v>
      </c>
      <c r="H842" s="3" t="str">
        <f aca="false">Raw_Data!G842</f>
        <v>yes</v>
      </c>
      <c r="I842" s="3" t="str">
        <f aca="false">Raw_Data!H842</f>
        <v>no</v>
      </c>
      <c r="J842" s="2" t="n">
        <f aca="false">IF(F842="yes",1,0)</f>
        <v>1</v>
      </c>
      <c r="K842" s="2" t="n">
        <f aca="false">IF(H842="yes",1,0)</f>
        <v>1</v>
      </c>
      <c r="L842" s="2" t="n">
        <f aca="false">IF(I842="yes",1,0)</f>
        <v>0</v>
      </c>
      <c r="M842" s="2" t="n">
        <f aca="false">IF(G842&lt;0,1,0)</f>
        <v>1</v>
      </c>
      <c r="N842" s="2" t="str">
        <f aca="false">_xlfn.IFS(B842&lt;30,"Under 30",B842&lt;40,"30-39",B842&lt;50,"40-49",B842&lt;60,"50-59",TRUE(),"60+")</f>
        <v>Under 30</v>
      </c>
      <c r="O842" s="2" t="str">
        <f aca="false">_xlfn.IFS(G842&lt;0,"1 Negative",G842=0,"2 Zero",G842&lt;=500,"3 1-500",G842&lt;=2000,"4 501-2000",TRUE(),"5 Above 2000")</f>
        <v>1 Negative</v>
      </c>
      <c r="P842" s="2" t="n">
        <f aca="false">Lookups!$B$2*M842+Lookups!$B$3*L842</f>
        <v>2</v>
      </c>
      <c r="Q842" s="2" t="str">
        <f aca="false">INDEX(Lookups!$E$2:$E$5,MATCH(P842,Lookups!$D$2:$D$5,0))</f>
        <v>High</v>
      </c>
    </row>
    <row r="843" customFormat="false" ht="15" hidden="false" customHeight="false" outlineLevel="0" collapsed="false">
      <c r="A843" s="3" t="n">
        <v>842</v>
      </c>
      <c r="B843" s="3" t="n">
        <f aca="false">Raw_Data!A843</f>
        <v>42</v>
      </c>
      <c r="C843" s="3" t="str">
        <f aca="false">SUBSTITUTE(Raw_Data!B843,".","")</f>
        <v>technician</v>
      </c>
      <c r="D843" s="3" t="str">
        <f aca="false">Raw_Data!C843</f>
        <v>married</v>
      </c>
      <c r="E843" s="3" t="str">
        <f aca="false">Raw_Data!D843</f>
        <v>secondary</v>
      </c>
      <c r="F843" s="3" t="str">
        <f aca="false">Raw_Data!E843</f>
        <v>no</v>
      </c>
      <c r="G843" s="3" t="n">
        <f aca="false">Raw_Data!F843</f>
        <v>439</v>
      </c>
      <c r="H843" s="3" t="str">
        <f aca="false">Raw_Data!G843</f>
        <v>no</v>
      </c>
      <c r="I843" s="3" t="str">
        <f aca="false">Raw_Data!H843</f>
        <v>no</v>
      </c>
      <c r="J843" s="2" t="n">
        <f aca="false">IF(F843="yes",1,0)</f>
        <v>0</v>
      </c>
      <c r="K843" s="2" t="n">
        <f aca="false">IF(H843="yes",1,0)</f>
        <v>0</v>
      </c>
      <c r="L843" s="2" t="n">
        <f aca="false">IF(I843="yes",1,0)</f>
        <v>0</v>
      </c>
      <c r="M843" s="2" t="n">
        <f aca="false">IF(G843&lt;0,1,0)</f>
        <v>0</v>
      </c>
      <c r="N843" s="2" t="str">
        <f aca="false">_xlfn.IFS(B843&lt;30,"Under 30",B843&lt;40,"30-39",B843&lt;50,"40-49",B843&lt;60,"50-59",TRUE(),"60+")</f>
        <v>40-49</v>
      </c>
      <c r="O843" s="2" t="str">
        <f aca="false">_xlfn.IFS(G843&lt;0,"1 Negative",G843=0,"2 Zero",G843&lt;=500,"3 1-500",G843&lt;=2000,"4 501-2000",TRUE(),"5 Above 2000")</f>
        <v>3 1-500</v>
      </c>
      <c r="P843" s="2" t="n">
        <f aca="false">Lookups!$B$2*M843+Lookups!$B$3*L843</f>
        <v>0</v>
      </c>
      <c r="Q843" s="2" t="str">
        <f aca="false">INDEX(Lookups!$E$2:$E$5,MATCH(P843,Lookups!$D$2:$D$5,0))</f>
        <v>Low</v>
      </c>
    </row>
    <row r="844" customFormat="false" ht="15" hidden="false" customHeight="false" outlineLevel="0" collapsed="false">
      <c r="A844" s="3" t="n">
        <v>843</v>
      </c>
      <c r="B844" s="3" t="n">
        <f aca="false">Raw_Data!A844</f>
        <v>40</v>
      </c>
      <c r="C844" s="3" t="str">
        <f aca="false">SUBSTITUTE(Raw_Data!B844,".","")</f>
        <v>services</v>
      </c>
      <c r="D844" s="3" t="str">
        <f aca="false">Raw_Data!C844</f>
        <v>divorced</v>
      </c>
      <c r="E844" s="3" t="str">
        <f aca="false">Raw_Data!D844</f>
        <v>secondary</v>
      </c>
      <c r="F844" s="3" t="str">
        <f aca="false">Raw_Data!E844</f>
        <v>no</v>
      </c>
      <c r="G844" s="3" t="n">
        <f aca="false">Raw_Data!F844</f>
        <v>1927</v>
      </c>
      <c r="H844" s="3" t="str">
        <f aca="false">Raw_Data!G844</f>
        <v>yes</v>
      </c>
      <c r="I844" s="3" t="str">
        <f aca="false">Raw_Data!H844</f>
        <v>no</v>
      </c>
      <c r="J844" s="2" t="n">
        <f aca="false">IF(F844="yes",1,0)</f>
        <v>0</v>
      </c>
      <c r="K844" s="2" t="n">
        <f aca="false">IF(H844="yes",1,0)</f>
        <v>1</v>
      </c>
      <c r="L844" s="2" t="n">
        <f aca="false">IF(I844="yes",1,0)</f>
        <v>0</v>
      </c>
      <c r="M844" s="2" t="n">
        <f aca="false">IF(G844&lt;0,1,0)</f>
        <v>0</v>
      </c>
      <c r="N844" s="2" t="str">
        <f aca="false">_xlfn.IFS(B844&lt;30,"Under 30",B844&lt;40,"30-39",B844&lt;50,"40-49",B844&lt;60,"50-59",TRUE(),"60+")</f>
        <v>40-49</v>
      </c>
      <c r="O844" s="2" t="str">
        <f aca="false">_xlfn.IFS(G844&lt;0,"1 Negative",G844=0,"2 Zero",G844&lt;=500,"3 1-500",G844&lt;=2000,"4 501-2000",TRUE(),"5 Above 2000")</f>
        <v>4 501-2000</v>
      </c>
      <c r="P844" s="2" t="n">
        <f aca="false">Lookups!$B$2*M844+Lookups!$B$3*L844</f>
        <v>0</v>
      </c>
      <c r="Q844" s="2" t="str">
        <f aca="false">INDEX(Lookups!$E$2:$E$5,MATCH(P844,Lookups!$D$2:$D$5,0))</f>
        <v>Low</v>
      </c>
    </row>
    <row r="845" customFormat="false" ht="15" hidden="false" customHeight="false" outlineLevel="0" collapsed="false">
      <c r="A845" s="3" t="n">
        <v>844</v>
      </c>
      <c r="B845" s="3" t="n">
        <f aca="false">Raw_Data!A845</f>
        <v>59</v>
      </c>
      <c r="C845" s="3" t="str">
        <f aca="false">SUBSTITUTE(Raw_Data!B845,".","")</f>
        <v>management</v>
      </c>
      <c r="D845" s="3" t="str">
        <f aca="false">Raw_Data!C845</f>
        <v>single</v>
      </c>
      <c r="E845" s="3" t="str">
        <f aca="false">Raw_Data!D845</f>
        <v>secondary</v>
      </c>
      <c r="F845" s="3" t="str">
        <f aca="false">Raw_Data!E845</f>
        <v>no</v>
      </c>
      <c r="G845" s="3" t="n">
        <f aca="false">Raw_Data!F845</f>
        <v>671</v>
      </c>
      <c r="H845" s="3" t="str">
        <f aca="false">Raw_Data!G845</f>
        <v>yes</v>
      </c>
      <c r="I845" s="3" t="str">
        <f aca="false">Raw_Data!H845</f>
        <v>yes</v>
      </c>
      <c r="J845" s="2" t="n">
        <f aca="false">IF(F845="yes",1,0)</f>
        <v>0</v>
      </c>
      <c r="K845" s="2" t="n">
        <f aca="false">IF(H845="yes",1,0)</f>
        <v>1</v>
      </c>
      <c r="L845" s="2" t="n">
        <f aca="false">IF(I845="yes",1,0)</f>
        <v>1</v>
      </c>
      <c r="M845" s="2" t="n">
        <f aca="false">IF(G845&lt;0,1,0)</f>
        <v>0</v>
      </c>
      <c r="N845" s="2" t="str">
        <f aca="false">_xlfn.IFS(B845&lt;30,"Under 30",B845&lt;40,"30-39",B845&lt;50,"40-49",B845&lt;60,"50-59",TRUE(),"60+")</f>
        <v>50-59</v>
      </c>
      <c r="O845" s="2" t="str">
        <f aca="false">_xlfn.IFS(G845&lt;0,"1 Negative",G845=0,"2 Zero",G845&lt;=500,"3 1-500",G845&lt;=2000,"4 501-2000",TRUE(),"5 Above 2000")</f>
        <v>4 501-2000</v>
      </c>
      <c r="P845" s="2" t="n">
        <f aca="false">Lookups!$B$2*M845+Lookups!$B$3*L845</f>
        <v>1</v>
      </c>
      <c r="Q845" s="2" t="str">
        <f aca="false">INDEX(Lookups!$E$2:$E$5,MATCH(P845,Lookups!$D$2:$D$5,0))</f>
        <v>Medium</v>
      </c>
    </row>
    <row r="846" customFormat="false" ht="15" hidden="false" customHeight="false" outlineLevel="0" collapsed="false">
      <c r="A846" s="3" t="n">
        <v>845</v>
      </c>
      <c r="B846" s="3" t="n">
        <f aca="false">Raw_Data!A846</f>
        <v>40</v>
      </c>
      <c r="C846" s="3" t="str">
        <f aca="false">SUBSTITUTE(Raw_Data!B846,".","")</f>
        <v>services</v>
      </c>
      <c r="D846" s="3" t="str">
        <f aca="false">Raw_Data!C846</f>
        <v>single</v>
      </c>
      <c r="E846" s="3" t="str">
        <f aca="false">Raw_Data!D846</f>
        <v>secondary</v>
      </c>
      <c r="F846" s="3" t="str">
        <f aca="false">Raw_Data!E846</f>
        <v>no</v>
      </c>
      <c r="G846" s="3" t="n">
        <f aca="false">Raw_Data!F846</f>
        <v>65</v>
      </c>
      <c r="H846" s="3" t="str">
        <f aca="false">Raw_Data!G846</f>
        <v>yes</v>
      </c>
      <c r="I846" s="3" t="str">
        <f aca="false">Raw_Data!H846</f>
        <v>no</v>
      </c>
      <c r="J846" s="2" t="n">
        <f aca="false">IF(F846="yes",1,0)</f>
        <v>0</v>
      </c>
      <c r="K846" s="2" t="n">
        <f aca="false">IF(H846="yes",1,0)</f>
        <v>1</v>
      </c>
      <c r="L846" s="2" t="n">
        <f aca="false">IF(I846="yes",1,0)</f>
        <v>0</v>
      </c>
      <c r="M846" s="2" t="n">
        <f aca="false">IF(G846&lt;0,1,0)</f>
        <v>0</v>
      </c>
      <c r="N846" s="2" t="str">
        <f aca="false">_xlfn.IFS(B846&lt;30,"Under 30",B846&lt;40,"30-39",B846&lt;50,"40-49",B846&lt;60,"50-59",TRUE(),"60+")</f>
        <v>40-49</v>
      </c>
      <c r="O846" s="2" t="str">
        <f aca="false">_xlfn.IFS(G846&lt;0,"1 Negative",G846=0,"2 Zero",G846&lt;=500,"3 1-500",G846&lt;=2000,"4 501-2000",TRUE(),"5 Above 2000")</f>
        <v>3 1-500</v>
      </c>
      <c r="P846" s="2" t="n">
        <f aca="false">Lookups!$B$2*M846+Lookups!$B$3*L846</f>
        <v>0</v>
      </c>
      <c r="Q846" s="2" t="str">
        <f aca="false">INDEX(Lookups!$E$2:$E$5,MATCH(P846,Lookups!$D$2:$D$5,0))</f>
        <v>Low</v>
      </c>
    </row>
    <row r="847" customFormat="false" ht="15" hidden="false" customHeight="false" outlineLevel="0" collapsed="false">
      <c r="A847" s="3" t="n">
        <v>846</v>
      </c>
      <c r="B847" s="3" t="n">
        <f aca="false">Raw_Data!A847</f>
        <v>43</v>
      </c>
      <c r="C847" s="3" t="str">
        <f aca="false">SUBSTITUTE(Raw_Data!B847,".","")</f>
        <v>technician</v>
      </c>
      <c r="D847" s="3" t="str">
        <f aca="false">Raw_Data!C847</f>
        <v>married</v>
      </c>
      <c r="E847" s="3" t="str">
        <f aca="false">Raw_Data!D847</f>
        <v>secondary</v>
      </c>
      <c r="F847" s="3" t="str">
        <f aca="false">Raw_Data!E847</f>
        <v>no</v>
      </c>
      <c r="G847" s="3" t="n">
        <f aca="false">Raw_Data!F847</f>
        <v>-932</v>
      </c>
      <c r="H847" s="3" t="str">
        <f aca="false">Raw_Data!G847</f>
        <v>yes</v>
      </c>
      <c r="I847" s="3" t="str">
        <f aca="false">Raw_Data!H847</f>
        <v>no</v>
      </c>
      <c r="J847" s="2" t="n">
        <f aca="false">IF(F847="yes",1,0)</f>
        <v>0</v>
      </c>
      <c r="K847" s="2" t="n">
        <f aca="false">IF(H847="yes",1,0)</f>
        <v>1</v>
      </c>
      <c r="L847" s="2" t="n">
        <f aca="false">IF(I847="yes",1,0)</f>
        <v>0</v>
      </c>
      <c r="M847" s="2" t="n">
        <f aca="false">IF(G847&lt;0,1,0)</f>
        <v>1</v>
      </c>
      <c r="N847" s="2" t="str">
        <f aca="false">_xlfn.IFS(B847&lt;30,"Under 30",B847&lt;40,"30-39",B847&lt;50,"40-49",B847&lt;60,"50-59",TRUE(),"60+")</f>
        <v>40-49</v>
      </c>
      <c r="O847" s="2" t="str">
        <f aca="false">_xlfn.IFS(G847&lt;0,"1 Negative",G847=0,"2 Zero",G847&lt;=500,"3 1-500",G847&lt;=2000,"4 501-2000",TRUE(),"5 Above 2000")</f>
        <v>1 Negative</v>
      </c>
      <c r="P847" s="2" t="n">
        <f aca="false">Lookups!$B$2*M847+Lookups!$B$3*L847</f>
        <v>2</v>
      </c>
      <c r="Q847" s="2" t="str">
        <f aca="false">INDEX(Lookups!$E$2:$E$5,MATCH(P847,Lookups!$D$2:$D$5,0))</f>
        <v>High</v>
      </c>
    </row>
    <row r="848" customFormat="false" ht="15" hidden="false" customHeight="false" outlineLevel="0" collapsed="false">
      <c r="A848" s="3" t="n">
        <v>847</v>
      </c>
      <c r="B848" s="3" t="n">
        <f aca="false">Raw_Data!A848</f>
        <v>38</v>
      </c>
      <c r="C848" s="3" t="str">
        <f aca="false">SUBSTITUTE(Raw_Data!B848,".","")</f>
        <v>technician</v>
      </c>
      <c r="D848" s="3" t="str">
        <f aca="false">Raw_Data!C848</f>
        <v>single</v>
      </c>
      <c r="E848" s="3" t="str">
        <f aca="false">Raw_Data!D848</f>
        <v>secondary</v>
      </c>
      <c r="F848" s="3" t="str">
        <f aca="false">Raw_Data!E848</f>
        <v>no</v>
      </c>
      <c r="G848" s="3" t="n">
        <f aca="false">Raw_Data!F848</f>
        <v>4366</v>
      </c>
      <c r="H848" s="3" t="str">
        <f aca="false">Raw_Data!G848</f>
        <v>yes</v>
      </c>
      <c r="I848" s="3" t="str">
        <f aca="false">Raw_Data!H848</f>
        <v>no</v>
      </c>
      <c r="J848" s="2" t="n">
        <f aca="false">IF(F848="yes",1,0)</f>
        <v>0</v>
      </c>
      <c r="K848" s="2" t="n">
        <f aca="false">IF(H848="yes",1,0)</f>
        <v>1</v>
      </c>
      <c r="L848" s="2" t="n">
        <f aca="false">IF(I848="yes",1,0)</f>
        <v>0</v>
      </c>
      <c r="M848" s="2" t="n">
        <f aca="false">IF(G848&lt;0,1,0)</f>
        <v>0</v>
      </c>
      <c r="N848" s="2" t="str">
        <f aca="false">_xlfn.IFS(B848&lt;30,"Under 30",B848&lt;40,"30-39",B848&lt;50,"40-49",B848&lt;60,"50-59",TRUE(),"60+")</f>
        <v>30-39</v>
      </c>
      <c r="O848" s="2" t="str">
        <f aca="false">_xlfn.IFS(G848&lt;0,"1 Negative",G848=0,"2 Zero",G848&lt;=500,"3 1-500",G848&lt;=2000,"4 501-2000",TRUE(),"5 Above 2000")</f>
        <v>5 Above 2000</v>
      </c>
      <c r="P848" s="2" t="n">
        <f aca="false">Lookups!$B$2*M848+Lookups!$B$3*L848</f>
        <v>0</v>
      </c>
      <c r="Q848" s="2" t="str">
        <f aca="false">INDEX(Lookups!$E$2:$E$5,MATCH(P848,Lookups!$D$2:$D$5,0))</f>
        <v>Low</v>
      </c>
    </row>
    <row r="849" customFormat="false" ht="15" hidden="false" customHeight="false" outlineLevel="0" collapsed="false">
      <c r="A849" s="3" t="n">
        <v>848</v>
      </c>
      <c r="B849" s="3" t="n">
        <f aca="false">Raw_Data!A849</f>
        <v>54</v>
      </c>
      <c r="C849" s="3" t="str">
        <f aca="false">SUBSTITUTE(Raw_Data!B849,".","")</f>
        <v>retired</v>
      </c>
      <c r="D849" s="3" t="str">
        <f aca="false">Raw_Data!C849</f>
        <v>married</v>
      </c>
      <c r="E849" s="3" t="str">
        <f aca="false">Raw_Data!D849</f>
        <v>primary</v>
      </c>
      <c r="F849" s="3" t="str">
        <f aca="false">Raw_Data!E849</f>
        <v>no</v>
      </c>
      <c r="G849" s="3" t="n">
        <f aca="false">Raw_Data!F849</f>
        <v>0</v>
      </c>
      <c r="H849" s="3" t="str">
        <f aca="false">Raw_Data!G849</f>
        <v>yes</v>
      </c>
      <c r="I849" s="3" t="str">
        <f aca="false">Raw_Data!H849</f>
        <v>no</v>
      </c>
      <c r="J849" s="2" t="n">
        <f aca="false">IF(F849="yes",1,0)</f>
        <v>0</v>
      </c>
      <c r="K849" s="2" t="n">
        <f aca="false">IF(H849="yes",1,0)</f>
        <v>1</v>
      </c>
      <c r="L849" s="2" t="n">
        <f aca="false">IF(I849="yes",1,0)</f>
        <v>0</v>
      </c>
      <c r="M849" s="2" t="n">
        <f aca="false">IF(G849&lt;0,1,0)</f>
        <v>0</v>
      </c>
      <c r="N849" s="2" t="str">
        <f aca="false">_xlfn.IFS(B849&lt;30,"Under 30",B849&lt;40,"30-39",B849&lt;50,"40-49",B849&lt;60,"50-59",TRUE(),"60+")</f>
        <v>50-59</v>
      </c>
      <c r="O849" s="2" t="str">
        <f aca="false">_xlfn.IFS(G849&lt;0,"1 Negative",G849=0,"2 Zero",G849&lt;=500,"3 1-500",G849&lt;=2000,"4 501-2000",TRUE(),"5 Above 2000")</f>
        <v>2 Zero</v>
      </c>
      <c r="P849" s="2" t="n">
        <f aca="false">Lookups!$B$2*M849+Lookups!$B$3*L849</f>
        <v>0</v>
      </c>
      <c r="Q849" s="2" t="str">
        <f aca="false">INDEX(Lookups!$E$2:$E$5,MATCH(P849,Lookups!$D$2:$D$5,0))</f>
        <v>Low</v>
      </c>
    </row>
    <row r="850" customFormat="false" ht="15" hidden="false" customHeight="false" outlineLevel="0" collapsed="false">
      <c r="A850" s="3" t="n">
        <v>849</v>
      </c>
      <c r="B850" s="3" t="n">
        <f aca="false">Raw_Data!A850</f>
        <v>41</v>
      </c>
      <c r="C850" s="3" t="str">
        <f aca="false">SUBSTITUTE(Raw_Data!B850,".","")</f>
        <v>blue-collar</v>
      </c>
      <c r="D850" s="3" t="str">
        <f aca="false">Raw_Data!C850</f>
        <v>married</v>
      </c>
      <c r="E850" s="3" t="str">
        <f aca="false">Raw_Data!D850</f>
        <v>secondary</v>
      </c>
      <c r="F850" s="3" t="str">
        <f aca="false">Raw_Data!E850</f>
        <v>no</v>
      </c>
      <c r="G850" s="3" t="n">
        <f aca="false">Raw_Data!F850</f>
        <v>4900</v>
      </c>
      <c r="H850" s="3" t="str">
        <f aca="false">Raw_Data!G850</f>
        <v>yes</v>
      </c>
      <c r="I850" s="3" t="str">
        <f aca="false">Raw_Data!H850</f>
        <v>no</v>
      </c>
      <c r="J850" s="2" t="n">
        <f aca="false">IF(F850="yes",1,0)</f>
        <v>0</v>
      </c>
      <c r="K850" s="2" t="n">
        <f aca="false">IF(H850="yes",1,0)</f>
        <v>1</v>
      </c>
      <c r="L850" s="2" t="n">
        <f aca="false">IF(I850="yes",1,0)</f>
        <v>0</v>
      </c>
      <c r="M850" s="2" t="n">
        <f aca="false">IF(G850&lt;0,1,0)</f>
        <v>0</v>
      </c>
      <c r="N850" s="2" t="str">
        <f aca="false">_xlfn.IFS(B850&lt;30,"Under 30",B850&lt;40,"30-39",B850&lt;50,"40-49",B850&lt;60,"50-59",TRUE(),"60+")</f>
        <v>40-49</v>
      </c>
      <c r="O850" s="2" t="str">
        <f aca="false">_xlfn.IFS(G850&lt;0,"1 Negative",G850=0,"2 Zero",G850&lt;=500,"3 1-500",G850&lt;=2000,"4 501-2000",TRUE(),"5 Above 2000")</f>
        <v>5 Above 2000</v>
      </c>
      <c r="P850" s="2" t="n">
        <f aca="false">Lookups!$B$2*M850+Lookups!$B$3*L850</f>
        <v>0</v>
      </c>
      <c r="Q850" s="2" t="str">
        <f aca="false">INDEX(Lookups!$E$2:$E$5,MATCH(P850,Lookups!$D$2:$D$5,0))</f>
        <v>Low</v>
      </c>
    </row>
    <row r="851" customFormat="false" ht="15" hidden="false" customHeight="false" outlineLevel="0" collapsed="false">
      <c r="A851" s="3" t="n">
        <v>850</v>
      </c>
      <c r="B851" s="3" t="n">
        <f aca="false">Raw_Data!A851</f>
        <v>55</v>
      </c>
      <c r="C851" s="3" t="str">
        <f aca="false">SUBSTITUTE(Raw_Data!B851,".","")</f>
        <v>housemaid</v>
      </c>
      <c r="D851" s="3" t="str">
        <f aca="false">Raw_Data!C851</f>
        <v>divorced</v>
      </c>
      <c r="E851" s="3" t="str">
        <f aca="false">Raw_Data!D851</f>
        <v>primary</v>
      </c>
      <c r="F851" s="3" t="str">
        <f aca="false">Raw_Data!E851</f>
        <v>no</v>
      </c>
      <c r="G851" s="3" t="n">
        <f aca="false">Raw_Data!F851</f>
        <v>976</v>
      </c>
      <c r="H851" s="3" t="str">
        <f aca="false">Raw_Data!G851</f>
        <v>no</v>
      </c>
      <c r="I851" s="3" t="str">
        <f aca="false">Raw_Data!H851</f>
        <v>no</v>
      </c>
      <c r="J851" s="2" t="n">
        <f aca="false">IF(F851="yes",1,0)</f>
        <v>0</v>
      </c>
      <c r="K851" s="2" t="n">
        <f aca="false">IF(H851="yes",1,0)</f>
        <v>0</v>
      </c>
      <c r="L851" s="2" t="n">
        <f aca="false">IF(I851="yes",1,0)</f>
        <v>0</v>
      </c>
      <c r="M851" s="2" t="n">
        <f aca="false">IF(G851&lt;0,1,0)</f>
        <v>0</v>
      </c>
      <c r="N851" s="2" t="str">
        <f aca="false">_xlfn.IFS(B851&lt;30,"Under 30",B851&lt;40,"30-39",B851&lt;50,"40-49",B851&lt;60,"50-59",TRUE(),"60+")</f>
        <v>50-59</v>
      </c>
      <c r="O851" s="2" t="str">
        <f aca="false">_xlfn.IFS(G851&lt;0,"1 Negative",G851=0,"2 Zero",G851&lt;=500,"3 1-500",G851&lt;=2000,"4 501-2000",TRUE(),"5 Above 2000")</f>
        <v>4 501-2000</v>
      </c>
      <c r="P851" s="2" t="n">
        <f aca="false">Lookups!$B$2*M851+Lookups!$B$3*L851</f>
        <v>0</v>
      </c>
      <c r="Q851" s="2" t="str">
        <f aca="false">INDEX(Lookups!$E$2:$E$5,MATCH(P851,Lookups!$D$2:$D$5,0))</f>
        <v>Low</v>
      </c>
    </row>
    <row r="852" customFormat="false" ht="15" hidden="false" customHeight="false" outlineLevel="0" collapsed="false">
      <c r="A852" s="3" t="n">
        <v>851</v>
      </c>
      <c r="B852" s="3" t="n">
        <f aca="false">Raw_Data!A852</f>
        <v>33</v>
      </c>
      <c r="C852" s="3" t="str">
        <f aca="false">SUBSTITUTE(Raw_Data!B852,".","")</f>
        <v>management</v>
      </c>
      <c r="D852" s="3" t="str">
        <f aca="false">Raw_Data!C852</f>
        <v>married</v>
      </c>
      <c r="E852" s="3" t="str">
        <f aca="false">Raw_Data!D852</f>
        <v>tertiary</v>
      </c>
      <c r="F852" s="3" t="str">
        <f aca="false">Raw_Data!E852</f>
        <v>no</v>
      </c>
      <c r="G852" s="3" t="n">
        <f aca="false">Raw_Data!F852</f>
        <v>148</v>
      </c>
      <c r="H852" s="3" t="str">
        <f aca="false">Raw_Data!G852</f>
        <v>no</v>
      </c>
      <c r="I852" s="3" t="str">
        <f aca="false">Raw_Data!H852</f>
        <v>no</v>
      </c>
      <c r="J852" s="2" t="n">
        <f aca="false">IF(F852="yes",1,0)</f>
        <v>0</v>
      </c>
      <c r="K852" s="2" t="n">
        <f aca="false">IF(H852="yes",1,0)</f>
        <v>0</v>
      </c>
      <c r="L852" s="2" t="n">
        <f aca="false">IF(I852="yes",1,0)</f>
        <v>0</v>
      </c>
      <c r="M852" s="2" t="n">
        <f aca="false">IF(G852&lt;0,1,0)</f>
        <v>0</v>
      </c>
      <c r="N852" s="2" t="str">
        <f aca="false">_xlfn.IFS(B852&lt;30,"Under 30",B852&lt;40,"30-39",B852&lt;50,"40-49",B852&lt;60,"50-59",TRUE(),"60+")</f>
        <v>30-39</v>
      </c>
      <c r="O852" s="2" t="str">
        <f aca="false">_xlfn.IFS(G852&lt;0,"1 Negative",G852=0,"2 Zero",G852&lt;=500,"3 1-500",G852&lt;=2000,"4 501-2000",TRUE(),"5 Above 2000")</f>
        <v>3 1-500</v>
      </c>
      <c r="P852" s="2" t="n">
        <f aca="false">Lookups!$B$2*M852+Lookups!$B$3*L852</f>
        <v>0</v>
      </c>
      <c r="Q852" s="2" t="str">
        <f aca="false">INDEX(Lookups!$E$2:$E$5,MATCH(P852,Lookups!$D$2:$D$5,0))</f>
        <v>Low</v>
      </c>
    </row>
    <row r="853" customFormat="false" ht="15" hidden="false" customHeight="false" outlineLevel="0" collapsed="false">
      <c r="A853" s="3" t="n">
        <v>852</v>
      </c>
      <c r="B853" s="3" t="n">
        <f aca="false">Raw_Data!A853</f>
        <v>46</v>
      </c>
      <c r="C853" s="3" t="str">
        <f aca="false">SUBSTITUTE(Raw_Data!B853,".","")</f>
        <v>blue-collar</v>
      </c>
      <c r="D853" s="3" t="str">
        <f aca="false">Raw_Data!C853</f>
        <v>married</v>
      </c>
      <c r="E853" s="3" t="str">
        <f aca="false">Raw_Data!D853</f>
        <v>secondary</v>
      </c>
      <c r="F853" s="3" t="str">
        <f aca="false">Raw_Data!E853</f>
        <v>no</v>
      </c>
      <c r="G853" s="3" t="n">
        <f aca="false">Raw_Data!F853</f>
        <v>5</v>
      </c>
      <c r="H853" s="3" t="str">
        <f aca="false">Raw_Data!G853</f>
        <v>no</v>
      </c>
      <c r="I853" s="3" t="str">
        <f aca="false">Raw_Data!H853</f>
        <v>no</v>
      </c>
      <c r="J853" s="2" t="n">
        <f aca="false">IF(F853="yes",1,0)</f>
        <v>0</v>
      </c>
      <c r="K853" s="2" t="n">
        <f aca="false">IF(H853="yes",1,0)</f>
        <v>0</v>
      </c>
      <c r="L853" s="2" t="n">
        <f aca="false">IF(I853="yes",1,0)</f>
        <v>0</v>
      </c>
      <c r="M853" s="2" t="n">
        <f aca="false">IF(G853&lt;0,1,0)</f>
        <v>0</v>
      </c>
      <c r="N853" s="2" t="str">
        <f aca="false">_xlfn.IFS(B853&lt;30,"Under 30",B853&lt;40,"30-39",B853&lt;50,"40-49",B853&lt;60,"50-59",TRUE(),"60+")</f>
        <v>40-49</v>
      </c>
      <c r="O853" s="2" t="str">
        <f aca="false">_xlfn.IFS(G853&lt;0,"1 Negative",G853=0,"2 Zero",G853&lt;=500,"3 1-500",G853&lt;=2000,"4 501-2000",TRUE(),"5 Above 2000")</f>
        <v>3 1-500</v>
      </c>
      <c r="P853" s="2" t="n">
        <f aca="false">Lookups!$B$2*M853+Lookups!$B$3*L853</f>
        <v>0</v>
      </c>
      <c r="Q853" s="2" t="str">
        <f aca="false">INDEX(Lookups!$E$2:$E$5,MATCH(P853,Lookups!$D$2:$D$5,0))</f>
        <v>Low</v>
      </c>
    </row>
    <row r="854" customFormat="false" ht="15" hidden="false" customHeight="false" outlineLevel="0" collapsed="false">
      <c r="A854" s="3" t="n">
        <v>853</v>
      </c>
      <c r="B854" s="3" t="n">
        <f aca="false">Raw_Data!A854</f>
        <v>36</v>
      </c>
      <c r="C854" s="3" t="str">
        <f aca="false">SUBSTITUTE(Raw_Data!B854,".","")</f>
        <v>management</v>
      </c>
      <c r="D854" s="3" t="str">
        <f aca="false">Raw_Data!C854</f>
        <v>married</v>
      </c>
      <c r="E854" s="3" t="str">
        <f aca="false">Raw_Data!D854</f>
        <v>secondary</v>
      </c>
      <c r="F854" s="3" t="str">
        <f aca="false">Raw_Data!E854</f>
        <v>no</v>
      </c>
      <c r="G854" s="3" t="n">
        <f aca="false">Raw_Data!F854</f>
        <v>-148</v>
      </c>
      <c r="H854" s="3" t="str">
        <f aca="false">Raw_Data!G854</f>
        <v>no</v>
      </c>
      <c r="I854" s="3" t="str">
        <f aca="false">Raw_Data!H854</f>
        <v>no</v>
      </c>
      <c r="J854" s="2" t="n">
        <f aca="false">IF(F854="yes",1,0)</f>
        <v>0</v>
      </c>
      <c r="K854" s="2" t="n">
        <f aca="false">IF(H854="yes",1,0)</f>
        <v>0</v>
      </c>
      <c r="L854" s="2" t="n">
        <f aca="false">IF(I854="yes",1,0)</f>
        <v>0</v>
      </c>
      <c r="M854" s="2" t="n">
        <f aca="false">IF(G854&lt;0,1,0)</f>
        <v>1</v>
      </c>
      <c r="N854" s="2" t="str">
        <f aca="false">_xlfn.IFS(B854&lt;30,"Under 30",B854&lt;40,"30-39",B854&lt;50,"40-49",B854&lt;60,"50-59",TRUE(),"60+")</f>
        <v>30-39</v>
      </c>
      <c r="O854" s="2" t="str">
        <f aca="false">_xlfn.IFS(G854&lt;0,"1 Negative",G854=0,"2 Zero",G854&lt;=500,"3 1-500",G854&lt;=2000,"4 501-2000",TRUE(),"5 Above 2000")</f>
        <v>1 Negative</v>
      </c>
      <c r="P854" s="2" t="n">
        <f aca="false">Lookups!$B$2*M854+Lookups!$B$3*L854</f>
        <v>2</v>
      </c>
      <c r="Q854" s="2" t="str">
        <f aca="false">INDEX(Lookups!$E$2:$E$5,MATCH(P854,Lookups!$D$2:$D$5,0))</f>
        <v>High</v>
      </c>
    </row>
    <row r="855" customFormat="false" ht="15" hidden="false" customHeight="false" outlineLevel="0" collapsed="false">
      <c r="A855" s="3" t="n">
        <v>854</v>
      </c>
      <c r="B855" s="3" t="n">
        <f aca="false">Raw_Data!A855</f>
        <v>48</v>
      </c>
      <c r="C855" s="3" t="str">
        <f aca="false">SUBSTITUTE(Raw_Data!B855,".","")</f>
        <v>technician</v>
      </c>
      <c r="D855" s="3" t="str">
        <f aca="false">Raw_Data!C855</f>
        <v>divorced</v>
      </c>
      <c r="E855" s="3" t="str">
        <f aca="false">Raw_Data!D855</f>
        <v>tertiary</v>
      </c>
      <c r="F855" s="3" t="str">
        <f aca="false">Raw_Data!E855</f>
        <v>no</v>
      </c>
      <c r="G855" s="3" t="n">
        <f aca="false">Raw_Data!F855</f>
        <v>113</v>
      </c>
      <c r="H855" s="3" t="str">
        <f aca="false">Raw_Data!G855</f>
        <v>no</v>
      </c>
      <c r="I855" s="3" t="str">
        <f aca="false">Raw_Data!H855</f>
        <v>yes</v>
      </c>
      <c r="J855" s="2" t="n">
        <f aca="false">IF(F855="yes",1,0)</f>
        <v>0</v>
      </c>
      <c r="K855" s="2" t="n">
        <f aca="false">IF(H855="yes",1,0)</f>
        <v>0</v>
      </c>
      <c r="L855" s="2" t="n">
        <f aca="false">IF(I855="yes",1,0)</f>
        <v>1</v>
      </c>
      <c r="M855" s="2" t="n">
        <f aca="false">IF(G855&lt;0,1,0)</f>
        <v>0</v>
      </c>
      <c r="N855" s="2" t="str">
        <f aca="false">_xlfn.IFS(B855&lt;30,"Under 30",B855&lt;40,"30-39",B855&lt;50,"40-49",B855&lt;60,"50-59",TRUE(),"60+")</f>
        <v>40-49</v>
      </c>
      <c r="O855" s="2" t="str">
        <f aca="false">_xlfn.IFS(G855&lt;0,"1 Negative",G855=0,"2 Zero",G855&lt;=500,"3 1-500",G855&lt;=2000,"4 501-2000",TRUE(),"5 Above 2000")</f>
        <v>3 1-500</v>
      </c>
      <c r="P855" s="2" t="n">
        <f aca="false">Lookups!$B$2*M855+Lookups!$B$3*L855</f>
        <v>1</v>
      </c>
      <c r="Q855" s="2" t="str">
        <f aca="false">INDEX(Lookups!$E$2:$E$5,MATCH(P855,Lookups!$D$2:$D$5,0))</f>
        <v>Medium</v>
      </c>
    </row>
    <row r="856" customFormat="false" ht="15" hidden="false" customHeight="false" outlineLevel="0" collapsed="false">
      <c r="A856" s="3" t="n">
        <v>855</v>
      </c>
      <c r="B856" s="3" t="n">
        <f aca="false">Raw_Data!A856</f>
        <v>42</v>
      </c>
      <c r="C856" s="3" t="str">
        <f aca="false">SUBSTITUTE(Raw_Data!B856,".","")</f>
        <v>management</v>
      </c>
      <c r="D856" s="3" t="str">
        <f aca="false">Raw_Data!C856</f>
        <v>married</v>
      </c>
      <c r="E856" s="3" t="str">
        <f aca="false">Raw_Data!D856</f>
        <v>secondary</v>
      </c>
      <c r="F856" s="3" t="str">
        <f aca="false">Raw_Data!E856</f>
        <v>no</v>
      </c>
      <c r="G856" s="3" t="n">
        <f aca="false">Raw_Data!F856</f>
        <v>-105</v>
      </c>
      <c r="H856" s="3" t="str">
        <f aca="false">Raw_Data!G856</f>
        <v>yes</v>
      </c>
      <c r="I856" s="3" t="str">
        <f aca="false">Raw_Data!H856</f>
        <v>no</v>
      </c>
      <c r="J856" s="2" t="n">
        <f aca="false">IF(F856="yes",1,0)</f>
        <v>0</v>
      </c>
      <c r="K856" s="2" t="n">
        <f aca="false">IF(H856="yes",1,0)</f>
        <v>1</v>
      </c>
      <c r="L856" s="2" t="n">
        <f aca="false">IF(I856="yes",1,0)</f>
        <v>0</v>
      </c>
      <c r="M856" s="2" t="n">
        <f aca="false">IF(G856&lt;0,1,0)</f>
        <v>1</v>
      </c>
      <c r="N856" s="2" t="str">
        <f aca="false">_xlfn.IFS(B856&lt;30,"Under 30",B856&lt;40,"30-39",B856&lt;50,"40-49",B856&lt;60,"50-59",TRUE(),"60+")</f>
        <v>40-49</v>
      </c>
      <c r="O856" s="2" t="str">
        <f aca="false">_xlfn.IFS(G856&lt;0,"1 Negative",G856=0,"2 Zero",G856&lt;=500,"3 1-500",G856&lt;=2000,"4 501-2000",TRUE(),"5 Above 2000")</f>
        <v>1 Negative</v>
      </c>
      <c r="P856" s="2" t="n">
        <f aca="false">Lookups!$B$2*M856+Lookups!$B$3*L856</f>
        <v>2</v>
      </c>
      <c r="Q856" s="2" t="str">
        <f aca="false">INDEX(Lookups!$E$2:$E$5,MATCH(P856,Lookups!$D$2:$D$5,0))</f>
        <v>High</v>
      </c>
    </row>
    <row r="857" customFormat="false" ht="15" hidden="false" customHeight="false" outlineLevel="0" collapsed="false">
      <c r="A857" s="3" t="n">
        <v>856</v>
      </c>
      <c r="B857" s="3" t="n">
        <f aca="false">Raw_Data!A857</f>
        <v>46</v>
      </c>
      <c r="C857" s="3" t="str">
        <f aca="false">SUBSTITUTE(Raw_Data!B857,".","")</f>
        <v>management</v>
      </c>
      <c r="D857" s="3" t="str">
        <f aca="false">Raw_Data!C857</f>
        <v>divorced</v>
      </c>
      <c r="E857" s="3" t="str">
        <f aca="false">Raw_Data!D857</f>
        <v>tertiary</v>
      </c>
      <c r="F857" s="3" t="str">
        <f aca="false">Raw_Data!E857</f>
        <v>no</v>
      </c>
      <c r="G857" s="3" t="n">
        <f aca="false">Raw_Data!F857</f>
        <v>624</v>
      </c>
      <c r="H857" s="3" t="str">
        <f aca="false">Raw_Data!G857</f>
        <v>no</v>
      </c>
      <c r="I857" s="3" t="str">
        <f aca="false">Raw_Data!H857</f>
        <v>no</v>
      </c>
      <c r="J857" s="2" t="n">
        <f aca="false">IF(F857="yes",1,0)</f>
        <v>0</v>
      </c>
      <c r="K857" s="2" t="n">
        <f aca="false">IF(H857="yes",1,0)</f>
        <v>0</v>
      </c>
      <c r="L857" s="2" t="n">
        <f aca="false">IF(I857="yes",1,0)</f>
        <v>0</v>
      </c>
      <c r="M857" s="2" t="n">
        <f aca="false">IF(G857&lt;0,1,0)</f>
        <v>0</v>
      </c>
      <c r="N857" s="2" t="str">
        <f aca="false">_xlfn.IFS(B857&lt;30,"Under 30",B857&lt;40,"30-39",B857&lt;50,"40-49",B857&lt;60,"50-59",TRUE(),"60+")</f>
        <v>40-49</v>
      </c>
      <c r="O857" s="2" t="str">
        <f aca="false">_xlfn.IFS(G857&lt;0,"1 Negative",G857=0,"2 Zero",G857&lt;=500,"3 1-500",G857&lt;=2000,"4 501-2000",TRUE(),"5 Above 2000")</f>
        <v>4 501-2000</v>
      </c>
      <c r="P857" s="2" t="n">
        <f aca="false">Lookups!$B$2*M857+Lookups!$B$3*L857</f>
        <v>0</v>
      </c>
      <c r="Q857" s="2" t="str">
        <f aca="false">INDEX(Lookups!$E$2:$E$5,MATCH(P857,Lookups!$D$2:$D$5,0))</f>
        <v>Low</v>
      </c>
    </row>
    <row r="858" customFormat="false" ht="15" hidden="false" customHeight="false" outlineLevel="0" collapsed="false">
      <c r="A858" s="3" t="n">
        <v>857</v>
      </c>
      <c r="B858" s="3" t="n">
        <f aca="false">Raw_Data!A858</f>
        <v>49</v>
      </c>
      <c r="C858" s="3" t="str">
        <f aca="false">SUBSTITUTE(Raw_Data!B858,".","")</f>
        <v>technician</v>
      </c>
      <c r="D858" s="3" t="str">
        <f aca="false">Raw_Data!C858</f>
        <v>married</v>
      </c>
      <c r="E858" s="3" t="str">
        <f aca="false">Raw_Data!D858</f>
        <v>secondary</v>
      </c>
      <c r="F858" s="3" t="str">
        <f aca="false">Raw_Data!E858</f>
        <v>yes</v>
      </c>
      <c r="G858" s="3" t="n">
        <f aca="false">Raw_Data!F858</f>
        <v>-1680</v>
      </c>
      <c r="H858" s="3" t="str">
        <f aca="false">Raw_Data!G858</f>
        <v>yes</v>
      </c>
      <c r="I858" s="3" t="str">
        <f aca="false">Raw_Data!H858</f>
        <v>yes</v>
      </c>
      <c r="J858" s="2" t="n">
        <f aca="false">IF(F858="yes",1,0)</f>
        <v>1</v>
      </c>
      <c r="K858" s="2" t="n">
        <f aca="false">IF(H858="yes",1,0)</f>
        <v>1</v>
      </c>
      <c r="L858" s="2" t="n">
        <f aca="false">IF(I858="yes",1,0)</f>
        <v>1</v>
      </c>
      <c r="M858" s="2" t="n">
        <f aca="false">IF(G858&lt;0,1,0)</f>
        <v>1</v>
      </c>
      <c r="N858" s="2" t="str">
        <f aca="false">_xlfn.IFS(B858&lt;30,"Under 30",B858&lt;40,"30-39",B858&lt;50,"40-49",B858&lt;60,"50-59",TRUE(),"60+")</f>
        <v>40-49</v>
      </c>
      <c r="O858" s="2" t="str">
        <f aca="false">_xlfn.IFS(G858&lt;0,"1 Negative",G858=0,"2 Zero",G858&lt;=500,"3 1-500",G858&lt;=2000,"4 501-2000",TRUE(),"5 Above 2000")</f>
        <v>1 Negative</v>
      </c>
      <c r="P858" s="2" t="n">
        <f aca="false">Lookups!$B$2*M858+Lookups!$B$3*L858</f>
        <v>3</v>
      </c>
      <c r="Q858" s="2" t="str">
        <f aca="false">INDEX(Lookups!$E$2:$E$5,MATCH(P858,Lookups!$D$2:$D$5,0))</f>
        <v>High</v>
      </c>
    </row>
    <row r="859" customFormat="false" ht="15" hidden="false" customHeight="false" outlineLevel="0" collapsed="false">
      <c r="A859" s="3" t="n">
        <v>858</v>
      </c>
      <c r="B859" s="3" t="n">
        <f aca="false">Raw_Data!A859</f>
        <v>36</v>
      </c>
      <c r="C859" s="3" t="str">
        <f aca="false">SUBSTITUTE(Raw_Data!B859,".","")</f>
        <v>blue-collar</v>
      </c>
      <c r="D859" s="3" t="str">
        <f aca="false">Raw_Data!C859</f>
        <v>married</v>
      </c>
      <c r="E859" s="3" t="str">
        <f aca="false">Raw_Data!D859</f>
        <v>secondary</v>
      </c>
      <c r="F859" s="3" t="str">
        <f aca="false">Raw_Data!E859</f>
        <v>no</v>
      </c>
      <c r="G859" s="3" t="n">
        <f aca="false">Raw_Data!F859</f>
        <v>-461</v>
      </c>
      <c r="H859" s="3" t="str">
        <f aca="false">Raw_Data!G859</f>
        <v>no</v>
      </c>
      <c r="I859" s="3" t="str">
        <f aca="false">Raw_Data!H859</f>
        <v>no</v>
      </c>
      <c r="J859" s="2" t="n">
        <f aca="false">IF(F859="yes",1,0)</f>
        <v>0</v>
      </c>
      <c r="K859" s="2" t="n">
        <f aca="false">IF(H859="yes",1,0)</f>
        <v>0</v>
      </c>
      <c r="L859" s="2" t="n">
        <f aca="false">IF(I859="yes",1,0)</f>
        <v>0</v>
      </c>
      <c r="M859" s="2" t="n">
        <f aca="false">IF(G859&lt;0,1,0)</f>
        <v>1</v>
      </c>
      <c r="N859" s="2" t="str">
        <f aca="false">_xlfn.IFS(B859&lt;30,"Under 30",B859&lt;40,"30-39",B859&lt;50,"40-49",B859&lt;60,"50-59",TRUE(),"60+")</f>
        <v>30-39</v>
      </c>
      <c r="O859" s="2" t="str">
        <f aca="false">_xlfn.IFS(G859&lt;0,"1 Negative",G859=0,"2 Zero",G859&lt;=500,"3 1-500",G859&lt;=2000,"4 501-2000",TRUE(),"5 Above 2000")</f>
        <v>1 Negative</v>
      </c>
      <c r="P859" s="2" t="n">
        <f aca="false">Lookups!$B$2*M859+Lookups!$B$3*L859</f>
        <v>2</v>
      </c>
      <c r="Q859" s="2" t="str">
        <f aca="false">INDEX(Lookups!$E$2:$E$5,MATCH(P859,Lookups!$D$2:$D$5,0))</f>
        <v>High</v>
      </c>
    </row>
    <row r="860" customFormat="false" ht="15" hidden="false" customHeight="false" outlineLevel="0" collapsed="false">
      <c r="A860" s="3" t="n">
        <v>859</v>
      </c>
      <c r="B860" s="3" t="n">
        <f aca="false">Raw_Data!A860</f>
        <v>34</v>
      </c>
      <c r="C860" s="3" t="str">
        <f aca="false">SUBSTITUTE(Raw_Data!B860,".","")</f>
        <v>technician</v>
      </c>
      <c r="D860" s="3" t="str">
        <f aca="false">Raw_Data!C860</f>
        <v>single</v>
      </c>
      <c r="E860" s="3" t="str">
        <f aca="false">Raw_Data!D860</f>
        <v>tertiary</v>
      </c>
      <c r="F860" s="3" t="str">
        <f aca="false">Raw_Data!E860</f>
        <v>no</v>
      </c>
      <c r="G860" s="3" t="n">
        <f aca="false">Raw_Data!F860</f>
        <v>144</v>
      </c>
      <c r="H860" s="3" t="str">
        <f aca="false">Raw_Data!G860</f>
        <v>yes</v>
      </c>
      <c r="I860" s="3" t="str">
        <f aca="false">Raw_Data!H860</f>
        <v>yes</v>
      </c>
      <c r="J860" s="2" t="n">
        <f aca="false">IF(F860="yes",1,0)</f>
        <v>0</v>
      </c>
      <c r="K860" s="2" t="n">
        <f aca="false">IF(H860="yes",1,0)</f>
        <v>1</v>
      </c>
      <c r="L860" s="2" t="n">
        <f aca="false">IF(I860="yes",1,0)</f>
        <v>1</v>
      </c>
      <c r="M860" s="2" t="n">
        <f aca="false">IF(G860&lt;0,1,0)</f>
        <v>0</v>
      </c>
      <c r="N860" s="2" t="str">
        <f aca="false">_xlfn.IFS(B860&lt;30,"Under 30",B860&lt;40,"30-39",B860&lt;50,"40-49",B860&lt;60,"50-59",TRUE(),"60+")</f>
        <v>30-39</v>
      </c>
      <c r="O860" s="2" t="str">
        <f aca="false">_xlfn.IFS(G860&lt;0,"1 Negative",G860=0,"2 Zero",G860&lt;=500,"3 1-500",G860&lt;=2000,"4 501-2000",TRUE(),"5 Above 2000")</f>
        <v>3 1-500</v>
      </c>
      <c r="P860" s="2" t="n">
        <f aca="false">Lookups!$B$2*M860+Lookups!$B$3*L860</f>
        <v>1</v>
      </c>
      <c r="Q860" s="2" t="str">
        <f aca="false">INDEX(Lookups!$E$2:$E$5,MATCH(P860,Lookups!$D$2:$D$5,0))</f>
        <v>Medium</v>
      </c>
    </row>
    <row r="861" customFormat="false" ht="15" hidden="false" customHeight="false" outlineLevel="0" collapsed="false">
      <c r="A861" s="3" t="n">
        <v>860</v>
      </c>
      <c r="B861" s="3" t="n">
        <f aca="false">Raw_Data!A861</f>
        <v>51</v>
      </c>
      <c r="C861" s="3" t="str">
        <f aca="false">SUBSTITUTE(Raw_Data!B861,".","")</f>
        <v>entrepreneur</v>
      </c>
      <c r="D861" s="3" t="str">
        <f aca="false">Raw_Data!C861</f>
        <v>divorced</v>
      </c>
      <c r="E861" s="3" t="str">
        <f aca="false">Raw_Data!D861</f>
        <v>tertiary</v>
      </c>
      <c r="F861" s="3" t="str">
        <f aca="false">Raw_Data!E861</f>
        <v>no</v>
      </c>
      <c r="G861" s="3" t="n">
        <f aca="false">Raw_Data!F861</f>
        <v>4</v>
      </c>
      <c r="H861" s="3" t="str">
        <f aca="false">Raw_Data!G861</f>
        <v>yes</v>
      </c>
      <c r="I861" s="3" t="str">
        <f aca="false">Raw_Data!H861</f>
        <v>yes</v>
      </c>
      <c r="J861" s="2" t="n">
        <f aca="false">IF(F861="yes",1,0)</f>
        <v>0</v>
      </c>
      <c r="K861" s="2" t="n">
        <f aca="false">IF(H861="yes",1,0)</f>
        <v>1</v>
      </c>
      <c r="L861" s="2" t="n">
        <f aca="false">IF(I861="yes",1,0)</f>
        <v>1</v>
      </c>
      <c r="M861" s="2" t="n">
        <f aca="false">IF(G861&lt;0,1,0)</f>
        <v>0</v>
      </c>
      <c r="N861" s="2" t="str">
        <f aca="false">_xlfn.IFS(B861&lt;30,"Under 30",B861&lt;40,"30-39",B861&lt;50,"40-49",B861&lt;60,"50-59",TRUE(),"60+")</f>
        <v>50-59</v>
      </c>
      <c r="O861" s="2" t="str">
        <f aca="false">_xlfn.IFS(G861&lt;0,"1 Negative",G861=0,"2 Zero",G861&lt;=500,"3 1-500",G861&lt;=2000,"4 501-2000",TRUE(),"5 Above 2000")</f>
        <v>3 1-500</v>
      </c>
      <c r="P861" s="2" t="n">
        <f aca="false">Lookups!$B$2*M861+Lookups!$B$3*L861</f>
        <v>1</v>
      </c>
      <c r="Q861" s="2" t="str">
        <f aca="false">INDEX(Lookups!$E$2:$E$5,MATCH(P861,Lookups!$D$2:$D$5,0))</f>
        <v>Medium</v>
      </c>
    </row>
    <row r="862" customFormat="false" ht="15" hidden="false" customHeight="false" outlineLevel="0" collapsed="false">
      <c r="A862" s="3" t="n">
        <v>861</v>
      </c>
      <c r="B862" s="3" t="n">
        <f aca="false">Raw_Data!A862</f>
        <v>58</v>
      </c>
      <c r="C862" s="3" t="str">
        <f aca="false">SUBSTITUTE(Raw_Data!B862,".","")</f>
        <v>blue-collar</v>
      </c>
      <c r="D862" s="3" t="str">
        <f aca="false">Raw_Data!C862</f>
        <v>married</v>
      </c>
      <c r="E862" s="3" t="str">
        <f aca="false">Raw_Data!D862</f>
        <v>primary</v>
      </c>
      <c r="F862" s="3" t="str">
        <f aca="false">Raw_Data!E862</f>
        <v>no</v>
      </c>
      <c r="G862" s="3" t="n">
        <f aca="false">Raw_Data!F862</f>
        <v>309</v>
      </c>
      <c r="H862" s="3" t="str">
        <f aca="false">Raw_Data!G862</f>
        <v>no</v>
      </c>
      <c r="I862" s="3" t="str">
        <f aca="false">Raw_Data!H862</f>
        <v>no</v>
      </c>
      <c r="J862" s="2" t="n">
        <f aca="false">IF(F862="yes",1,0)</f>
        <v>0</v>
      </c>
      <c r="K862" s="2" t="n">
        <f aca="false">IF(H862="yes",1,0)</f>
        <v>0</v>
      </c>
      <c r="L862" s="2" t="n">
        <f aca="false">IF(I862="yes",1,0)</f>
        <v>0</v>
      </c>
      <c r="M862" s="2" t="n">
        <f aca="false">IF(G862&lt;0,1,0)</f>
        <v>0</v>
      </c>
      <c r="N862" s="2" t="str">
        <f aca="false">_xlfn.IFS(B862&lt;30,"Under 30",B862&lt;40,"30-39",B862&lt;50,"40-49",B862&lt;60,"50-59",TRUE(),"60+")</f>
        <v>50-59</v>
      </c>
      <c r="O862" s="2" t="str">
        <f aca="false">_xlfn.IFS(G862&lt;0,"1 Negative",G862=0,"2 Zero",G862&lt;=500,"3 1-500",G862&lt;=2000,"4 501-2000",TRUE(),"5 Above 2000")</f>
        <v>3 1-500</v>
      </c>
      <c r="P862" s="2" t="n">
        <f aca="false">Lookups!$B$2*M862+Lookups!$B$3*L862</f>
        <v>0</v>
      </c>
      <c r="Q862" s="2" t="str">
        <f aca="false">INDEX(Lookups!$E$2:$E$5,MATCH(P862,Lookups!$D$2:$D$5,0))</f>
        <v>Low</v>
      </c>
    </row>
    <row r="863" customFormat="false" ht="15" hidden="false" customHeight="false" outlineLevel="0" collapsed="false">
      <c r="A863" s="3" t="n">
        <v>862</v>
      </c>
      <c r="B863" s="3" t="n">
        <f aca="false">Raw_Data!A863</f>
        <v>48</v>
      </c>
      <c r="C863" s="3" t="str">
        <f aca="false">SUBSTITUTE(Raw_Data!B863,".","")</f>
        <v>management</v>
      </c>
      <c r="D863" s="3" t="str">
        <f aca="false">Raw_Data!C863</f>
        <v>married</v>
      </c>
      <c r="E863" s="3" t="str">
        <f aca="false">Raw_Data!D863</f>
        <v>tertiary</v>
      </c>
      <c r="F863" s="3" t="str">
        <f aca="false">Raw_Data!E863</f>
        <v>no</v>
      </c>
      <c r="G863" s="3" t="n">
        <f aca="false">Raw_Data!F863</f>
        <v>866</v>
      </c>
      <c r="H863" s="3" t="str">
        <f aca="false">Raw_Data!G863</f>
        <v>no</v>
      </c>
      <c r="I863" s="3" t="str">
        <f aca="false">Raw_Data!H863</f>
        <v>no</v>
      </c>
      <c r="J863" s="2" t="n">
        <f aca="false">IF(F863="yes",1,0)</f>
        <v>0</v>
      </c>
      <c r="K863" s="2" t="n">
        <f aca="false">IF(H863="yes",1,0)</f>
        <v>0</v>
      </c>
      <c r="L863" s="2" t="n">
        <f aca="false">IF(I863="yes",1,0)</f>
        <v>0</v>
      </c>
      <c r="M863" s="2" t="n">
        <f aca="false">IF(G863&lt;0,1,0)</f>
        <v>0</v>
      </c>
      <c r="N863" s="2" t="str">
        <f aca="false">_xlfn.IFS(B863&lt;30,"Under 30",B863&lt;40,"30-39",B863&lt;50,"40-49",B863&lt;60,"50-59",TRUE(),"60+")</f>
        <v>40-49</v>
      </c>
      <c r="O863" s="2" t="str">
        <f aca="false">_xlfn.IFS(G863&lt;0,"1 Negative",G863=0,"2 Zero",G863&lt;=500,"3 1-500",G863&lt;=2000,"4 501-2000",TRUE(),"5 Above 2000")</f>
        <v>4 501-2000</v>
      </c>
      <c r="P863" s="2" t="n">
        <f aca="false">Lookups!$B$2*M863+Lookups!$B$3*L863</f>
        <v>0</v>
      </c>
      <c r="Q863" s="2" t="str">
        <f aca="false">INDEX(Lookups!$E$2:$E$5,MATCH(P863,Lookups!$D$2:$D$5,0))</f>
        <v>Low</v>
      </c>
    </row>
    <row r="864" customFormat="false" ht="15" hidden="false" customHeight="false" outlineLevel="0" collapsed="false">
      <c r="A864" s="3" t="n">
        <v>863</v>
      </c>
      <c r="B864" s="3" t="n">
        <f aca="false">Raw_Data!A864</f>
        <v>41</v>
      </c>
      <c r="C864" s="3" t="str">
        <f aca="false">SUBSTITUTE(Raw_Data!B864,".","")</f>
        <v>admin</v>
      </c>
      <c r="D864" s="3" t="str">
        <f aca="false">Raw_Data!C864</f>
        <v>single</v>
      </c>
      <c r="E864" s="3" t="str">
        <f aca="false">Raw_Data!D864</f>
        <v>secondary</v>
      </c>
      <c r="F864" s="3" t="str">
        <f aca="false">Raw_Data!E864</f>
        <v>no</v>
      </c>
      <c r="G864" s="3" t="n">
        <f aca="false">Raw_Data!F864</f>
        <v>1020</v>
      </c>
      <c r="H864" s="3" t="str">
        <f aca="false">Raw_Data!G864</f>
        <v>yes</v>
      </c>
      <c r="I864" s="3" t="str">
        <f aca="false">Raw_Data!H864</f>
        <v>no</v>
      </c>
      <c r="J864" s="2" t="n">
        <f aca="false">IF(F864="yes",1,0)</f>
        <v>0</v>
      </c>
      <c r="K864" s="2" t="n">
        <f aca="false">IF(H864="yes",1,0)</f>
        <v>1</v>
      </c>
      <c r="L864" s="2" t="n">
        <f aca="false">IF(I864="yes",1,0)</f>
        <v>0</v>
      </c>
      <c r="M864" s="2" t="n">
        <f aca="false">IF(G864&lt;0,1,0)</f>
        <v>0</v>
      </c>
      <c r="N864" s="2" t="str">
        <f aca="false">_xlfn.IFS(B864&lt;30,"Under 30",B864&lt;40,"30-39",B864&lt;50,"40-49",B864&lt;60,"50-59",TRUE(),"60+")</f>
        <v>40-49</v>
      </c>
      <c r="O864" s="2" t="str">
        <f aca="false">_xlfn.IFS(G864&lt;0,"1 Negative",G864=0,"2 Zero",G864&lt;=500,"3 1-500",G864&lt;=2000,"4 501-2000",TRUE(),"5 Above 2000")</f>
        <v>4 501-2000</v>
      </c>
      <c r="P864" s="2" t="n">
        <f aca="false">Lookups!$B$2*M864+Lookups!$B$3*L864</f>
        <v>0</v>
      </c>
      <c r="Q864" s="2" t="str">
        <f aca="false">INDEX(Lookups!$E$2:$E$5,MATCH(P864,Lookups!$D$2:$D$5,0))</f>
        <v>Low</v>
      </c>
    </row>
    <row r="865" customFormat="false" ht="15" hidden="false" customHeight="false" outlineLevel="0" collapsed="false">
      <c r="A865" s="3" t="n">
        <v>864</v>
      </c>
      <c r="B865" s="3" t="n">
        <f aca="false">Raw_Data!A865</f>
        <v>49</v>
      </c>
      <c r="C865" s="3" t="str">
        <f aca="false">SUBSTITUTE(Raw_Data!B865,".","")</f>
        <v>self-employed</v>
      </c>
      <c r="D865" s="3" t="str">
        <f aca="false">Raw_Data!C865</f>
        <v>married</v>
      </c>
      <c r="E865" s="3" t="str">
        <f aca="false">Raw_Data!D865</f>
        <v>primary</v>
      </c>
      <c r="F865" s="3" t="str">
        <f aca="false">Raw_Data!E865</f>
        <v>no</v>
      </c>
      <c r="G865" s="3" t="n">
        <f aca="false">Raw_Data!F865</f>
        <v>489</v>
      </c>
      <c r="H865" s="3" t="str">
        <f aca="false">Raw_Data!G865</f>
        <v>yes</v>
      </c>
      <c r="I865" s="3" t="str">
        <f aca="false">Raw_Data!H865</f>
        <v>no</v>
      </c>
      <c r="J865" s="2" t="n">
        <f aca="false">IF(F865="yes",1,0)</f>
        <v>0</v>
      </c>
      <c r="K865" s="2" t="n">
        <f aca="false">IF(H865="yes",1,0)</f>
        <v>1</v>
      </c>
      <c r="L865" s="2" t="n">
        <f aca="false">IF(I865="yes",1,0)</f>
        <v>0</v>
      </c>
      <c r="M865" s="2" t="n">
        <f aca="false">IF(G865&lt;0,1,0)</f>
        <v>0</v>
      </c>
      <c r="N865" s="2" t="str">
        <f aca="false">_xlfn.IFS(B865&lt;30,"Under 30",B865&lt;40,"30-39",B865&lt;50,"40-49",B865&lt;60,"50-59",TRUE(),"60+")</f>
        <v>40-49</v>
      </c>
      <c r="O865" s="2" t="str">
        <f aca="false">_xlfn.IFS(G865&lt;0,"1 Negative",G865=0,"2 Zero",G865&lt;=500,"3 1-500",G865&lt;=2000,"4 501-2000",TRUE(),"5 Above 2000")</f>
        <v>3 1-500</v>
      </c>
      <c r="P865" s="2" t="n">
        <f aca="false">Lookups!$B$2*M865+Lookups!$B$3*L865</f>
        <v>0</v>
      </c>
      <c r="Q865" s="2" t="str">
        <f aca="false">INDEX(Lookups!$E$2:$E$5,MATCH(P865,Lookups!$D$2:$D$5,0))</f>
        <v>Low</v>
      </c>
    </row>
    <row r="866" customFormat="false" ht="15" hidden="false" customHeight="false" outlineLevel="0" collapsed="false">
      <c r="A866" s="3" t="n">
        <v>865</v>
      </c>
      <c r="B866" s="3" t="n">
        <f aca="false">Raw_Data!A866</f>
        <v>43</v>
      </c>
      <c r="C866" s="3" t="str">
        <f aca="false">SUBSTITUTE(Raw_Data!B866,".","")</f>
        <v>management</v>
      </c>
      <c r="D866" s="3" t="str">
        <f aca="false">Raw_Data!C866</f>
        <v>married</v>
      </c>
      <c r="E866" s="3" t="str">
        <f aca="false">Raw_Data!D866</f>
        <v>primary</v>
      </c>
      <c r="F866" s="3" t="str">
        <f aca="false">Raw_Data!E866</f>
        <v>no</v>
      </c>
      <c r="G866" s="3" t="n">
        <f aca="false">Raw_Data!F866</f>
        <v>8167</v>
      </c>
      <c r="H866" s="3" t="str">
        <f aca="false">Raw_Data!G866</f>
        <v>yes</v>
      </c>
      <c r="I866" s="3" t="str">
        <f aca="false">Raw_Data!H866</f>
        <v>no</v>
      </c>
      <c r="J866" s="2" t="n">
        <f aca="false">IF(F866="yes",1,0)</f>
        <v>0</v>
      </c>
      <c r="K866" s="2" t="n">
        <f aca="false">IF(H866="yes",1,0)</f>
        <v>1</v>
      </c>
      <c r="L866" s="2" t="n">
        <f aca="false">IF(I866="yes",1,0)</f>
        <v>0</v>
      </c>
      <c r="M866" s="2" t="n">
        <f aca="false">IF(G866&lt;0,1,0)</f>
        <v>0</v>
      </c>
      <c r="N866" s="2" t="str">
        <f aca="false">_xlfn.IFS(B866&lt;30,"Under 30",B866&lt;40,"30-39",B866&lt;50,"40-49",B866&lt;60,"50-59",TRUE(),"60+")</f>
        <v>40-49</v>
      </c>
      <c r="O866" s="2" t="str">
        <f aca="false">_xlfn.IFS(G866&lt;0,"1 Negative",G866=0,"2 Zero",G866&lt;=500,"3 1-500",G866&lt;=2000,"4 501-2000",TRUE(),"5 Above 2000")</f>
        <v>5 Above 2000</v>
      </c>
      <c r="P866" s="2" t="n">
        <f aca="false">Lookups!$B$2*M866+Lookups!$B$3*L866</f>
        <v>0</v>
      </c>
      <c r="Q866" s="2" t="str">
        <f aca="false">INDEX(Lookups!$E$2:$E$5,MATCH(P866,Lookups!$D$2:$D$5,0))</f>
        <v>Low</v>
      </c>
    </row>
    <row r="867" customFormat="false" ht="15" hidden="false" customHeight="false" outlineLevel="0" collapsed="false">
      <c r="A867" s="3" t="n">
        <v>866</v>
      </c>
      <c r="B867" s="3" t="n">
        <f aca="false">Raw_Data!A867</f>
        <v>32</v>
      </c>
      <c r="C867" s="3" t="str">
        <f aca="false">SUBSTITUTE(Raw_Data!B867,".","")</f>
        <v>blue-collar</v>
      </c>
      <c r="D867" s="3" t="str">
        <f aca="false">Raw_Data!C867</f>
        <v>single</v>
      </c>
      <c r="E867" s="3" t="str">
        <f aca="false">Raw_Data!D867</f>
        <v>secondary</v>
      </c>
      <c r="F867" s="3" t="str">
        <f aca="false">Raw_Data!E867</f>
        <v>no</v>
      </c>
      <c r="G867" s="3" t="n">
        <f aca="false">Raw_Data!F867</f>
        <v>-255</v>
      </c>
      <c r="H867" s="3" t="str">
        <f aca="false">Raw_Data!G867</f>
        <v>no</v>
      </c>
      <c r="I867" s="3" t="str">
        <f aca="false">Raw_Data!H867</f>
        <v>yes</v>
      </c>
      <c r="J867" s="2" t="n">
        <f aca="false">IF(F867="yes",1,0)</f>
        <v>0</v>
      </c>
      <c r="K867" s="2" t="n">
        <f aca="false">IF(H867="yes",1,0)</f>
        <v>0</v>
      </c>
      <c r="L867" s="2" t="n">
        <f aca="false">IF(I867="yes",1,0)</f>
        <v>1</v>
      </c>
      <c r="M867" s="2" t="n">
        <f aca="false">IF(G867&lt;0,1,0)</f>
        <v>1</v>
      </c>
      <c r="N867" s="2" t="str">
        <f aca="false">_xlfn.IFS(B867&lt;30,"Under 30",B867&lt;40,"30-39",B867&lt;50,"40-49",B867&lt;60,"50-59",TRUE(),"60+")</f>
        <v>30-39</v>
      </c>
      <c r="O867" s="2" t="str">
        <f aca="false">_xlfn.IFS(G867&lt;0,"1 Negative",G867=0,"2 Zero",G867&lt;=500,"3 1-500",G867&lt;=2000,"4 501-2000",TRUE(),"5 Above 2000")</f>
        <v>1 Negative</v>
      </c>
      <c r="P867" s="2" t="n">
        <f aca="false">Lookups!$B$2*M867+Lookups!$B$3*L867</f>
        <v>3</v>
      </c>
      <c r="Q867" s="2" t="str">
        <f aca="false">INDEX(Lookups!$E$2:$E$5,MATCH(P867,Lookups!$D$2:$D$5,0))</f>
        <v>High</v>
      </c>
    </row>
    <row r="868" customFormat="false" ht="15" hidden="false" customHeight="false" outlineLevel="0" collapsed="false">
      <c r="A868" s="3" t="n">
        <v>867</v>
      </c>
      <c r="B868" s="3" t="n">
        <f aca="false">Raw_Data!A868</f>
        <v>54</v>
      </c>
      <c r="C868" s="3" t="str">
        <f aca="false">SUBSTITUTE(Raw_Data!B868,".","")</f>
        <v>retired</v>
      </c>
      <c r="D868" s="3" t="str">
        <f aca="false">Raw_Data!C868</f>
        <v>married</v>
      </c>
      <c r="E868" s="3" t="str">
        <f aca="false">Raw_Data!D868</f>
        <v>secondary</v>
      </c>
      <c r="F868" s="3" t="str">
        <f aca="false">Raw_Data!E868</f>
        <v>no</v>
      </c>
      <c r="G868" s="3" t="n">
        <f aca="false">Raw_Data!F868</f>
        <v>3671</v>
      </c>
      <c r="H868" s="3" t="str">
        <f aca="false">Raw_Data!G868</f>
        <v>no</v>
      </c>
      <c r="I868" s="3" t="str">
        <f aca="false">Raw_Data!H868</f>
        <v>no</v>
      </c>
      <c r="J868" s="2" t="n">
        <f aca="false">IF(F868="yes",1,0)</f>
        <v>0</v>
      </c>
      <c r="K868" s="2" t="n">
        <f aca="false">IF(H868="yes",1,0)</f>
        <v>0</v>
      </c>
      <c r="L868" s="2" t="n">
        <f aca="false">IF(I868="yes",1,0)</f>
        <v>0</v>
      </c>
      <c r="M868" s="2" t="n">
        <f aca="false">IF(G868&lt;0,1,0)</f>
        <v>0</v>
      </c>
      <c r="N868" s="2" t="str">
        <f aca="false">_xlfn.IFS(B868&lt;30,"Under 30",B868&lt;40,"30-39",B868&lt;50,"40-49",B868&lt;60,"50-59",TRUE(),"60+")</f>
        <v>50-59</v>
      </c>
      <c r="O868" s="2" t="str">
        <f aca="false">_xlfn.IFS(G868&lt;0,"1 Negative",G868=0,"2 Zero",G868&lt;=500,"3 1-500",G868&lt;=2000,"4 501-2000",TRUE(),"5 Above 2000")</f>
        <v>5 Above 2000</v>
      </c>
      <c r="P868" s="2" t="n">
        <f aca="false">Lookups!$B$2*M868+Lookups!$B$3*L868</f>
        <v>0</v>
      </c>
      <c r="Q868" s="2" t="str">
        <f aca="false">INDEX(Lookups!$E$2:$E$5,MATCH(P868,Lookups!$D$2:$D$5,0))</f>
        <v>Low</v>
      </c>
    </row>
    <row r="869" customFormat="false" ht="15" hidden="false" customHeight="false" outlineLevel="0" collapsed="false">
      <c r="A869" s="3" t="n">
        <v>868</v>
      </c>
      <c r="B869" s="3" t="n">
        <f aca="false">Raw_Data!A869</f>
        <v>33</v>
      </c>
      <c r="C869" s="3" t="str">
        <f aca="false">SUBSTITUTE(Raw_Data!B869,".","")</f>
        <v>blue-collar</v>
      </c>
      <c r="D869" s="3" t="str">
        <f aca="false">Raw_Data!C869</f>
        <v>divorced</v>
      </c>
      <c r="E869" s="3" t="str">
        <f aca="false">Raw_Data!D869</f>
        <v>primary</v>
      </c>
      <c r="F869" s="3" t="str">
        <f aca="false">Raw_Data!E869</f>
        <v>no</v>
      </c>
      <c r="G869" s="3" t="n">
        <f aca="false">Raw_Data!F869</f>
        <v>636</v>
      </c>
      <c r="H869" s="3" t="str">
        <f aca="false">Raw_Data!G869</f>
        <v>yes</v>
      </c>
      <c r="I869" s="3" t="str">
        <f aca="false">Raw_Data!H869</f>
        <v>no</v>
      </c>
      <c r="J869" s="2" t="n">
        <f aca="false">IF(F869="yes",1,0)</f>
        <v>0</v>
      </c>
      <c r="K869" s="2" t="n">
        <f aca="false">IF(H869="yes",1,0)</f>
        <v>1</v>
      </c>
      <c r="L869" s="2" t="n">
        <f aca="false">IF(I869="yes",1,0)</f>
        <v>0</v>
      </c>
      <c r="M869" s="2" t="n">
        <f aca="false">IF(G869&lt;0,1,0)</f>
        <v>0</v>
      </c>
      <c r="N869" s="2" t="str">
        <f aca="false">_xlfn.IFS(B869&lt;30,"Under 30",B869&lt;40,"30-39",B869&lt;50,"40-49",B869&lt;60,"50-59",TRUE(),"60+")</f>
        <v>30-39</v>
      </c>
      <c r="O869" s="2" t="str">
        <f aca="false">_xlfn.IFS(G869&lt;0,"1 Negative",G869=0,"2 Zero",G869&lt;=500,"3 1-500",G869&lt;=2000,"4 501-2000",TRUE(),"5 Above 2000")</f>
        <v>4 501-2000</v>
      </c>
      <c r="P869" s="2" t="n">
        <f aca="false">Lookups!$B$2*M869+Lookups!$B$3*L869</f>
        <v>0</v>
      </c>
      <c r="Q869" s="2" t="str">
        <f aca="false">INDEX(Lookups!$E$2:$E$5,MATCH(P869,Lookups!$D$2:$D$5,0))</f>
        <v>Low</v>
      </c>
    </row>
    <row r="870" customFormat="false" ht="15" hidden="false" customHeight="false" outlineLevel="0" collapsed="false">
      <c r="A870" s="3" t="n">
        <v>869</v>
      </c>
      <c r="B870" s="3" t="n">
        <f aca="false">Raw_Data!A870</f>
        <v>35</v>
      </c>
      <c r="C870" s="3" t="str">
        <f aca="false">SUBSTITUTE(Raw_Data!B870,".","")</f>
        <v>technician</v>
      </c>
      <c r="D870" s="3" t="str">
        <f aca="false">Raw_Data!C870</f>
        <v>married</v>
      </c>
      <c r="E870" s="3" t="str">
        <f aca="false">Raw_Data!D870</f>
        <v>secondary</v>
      </c>
      <c r="F870" s="3" t="str">
        <f aca="false">Raw_Data!E870</f>
        <v>no</v>
      </c>
      <c r="G870" s="3" t="n">
        <f aca="false">Raw_Data!F870</f>
        <v>141</v>
      </c>
      <c r="H870" s="3" t="str">
        <f aca="false">Raw_Data!G870</f>
        <v>yes</v>
      </c>
      <c r="I870" s="3" t="str">
        <f aca="false">Raw_Data!H870</f>
        <v>no</v>
      </c>
      <c r="J870" s="2" t="n">
        <f aca="false">IF(F870="yes",1,0)</f>
        <v>0</v>
      </c>
      <c r="K870" s="2" t="n">
        <f aca="false">IF(H870="yes",1,0)</f>
        <v>1</v>
      </c>
      <c r="L870" s="2" t="n">
        <f aca="false">IF(I870="yes",1,0)</f>
        <v>0</v>
      </c>
      <c r="M870" s="2" t="n">
        <f aca="false">IF(G870&lt;0,1,0)</f>
        <v>0</v>
      </c>
      <c r="N870" s="2" t="str">
        <f aca="false">_xlfn.IFS(B870&lt;30,"Under 30",B870&lt;40,"30-39",B870&lt;50,"40-49",B870&lt;60,"50-59",TRUE(),"60+")</f>
        <v>30-39</v>
      </c>
      <c r="O870" s="2" t="str">
        <f aca="false">_xlfn.IFS(G870&lt;0,"1 Negative",G870=0,"2 Zero",G870&lt;=500,"3 1-500",G870&lt;=2000,"4 501-2000",TRUE(),"5 Above 2000")</f>
        <v>3 1-500</v>
      </c>
      <c r="P870" s="2" t="n">
        <f aca="false">Lookups!$B$2*M870+Lookups!$B$3*L870</f>
        <v>0</v>
      </c>
      <c r="Q870" s="2" t="str">
        <f aca="false">INDEX(Lookups!$E$2:$E$5,MATCH(P870,Lookups!$D$2:$D$5,0))</f>
        <v>Low</v>
      </c>
    </row>
    <row r="871" customFormat="false" ht="15" hidden="false" customHeight="false" outlineLevel="0" collapsed="false">
      <c r="A871" s="3" t="n">
        <v>870</v>
      </c>
      <c r="B871" s="3" t="n">
        <f aca="false">Raw_Data!A871</f>
        <v>56</v>
      </c>
      <c r="C871" s="3" t="str">
        <f aca="false">SUBSTITUTE(Raw_Data!B871,".","")</f>
        <v>technician</v>
      </c>
      <c r="D871" s="3" t="str">
        <f aca="false">Raw_Data!C871</f>
        <v>married</v>
      </c>
      <c r="E871" s="3" t="str">
        <f aca="false">Raw_Data!D871</f>
        <v>secondary</v>
      </c>
      <c r="F871" s="3" t="str">
        <f aca="false">Raw_Data!E871</f>
        <v>no</v>
      </c>
      <c r="G871" s="3" t="n">
        <f aca="false">Raw_Data!F871</f>
        <v>150</v>
      </c>
      <c r="H871" s="3" t="str">
        <f aca="false">Raw_Data!G871</f>
        <v>yes</v>
      </c>
      <c r="I871" s="3" t="str">
        <f aca="false">Raw_Data!H871</f>
        <v>yes</v>
      </c>
      <c r="J871" s="2" t="n">
        <f aca="false">IF(F871="yes",1,0)</f>
        <v>0</v>
      </c>
      <c r="K871" s="2" t="n">
        <f aca="false">IF(H871="yes",1,0)</f>
        <v>1</v>
      </c>
      <c r="L871" s="2" t="n">
        <f aca="false">IF(I871="yes",1,0)</f>
        <v>1</v>
      </c>
      <c r="M871" s="2" t="n">
        <f aca="false">IF(G871&lt;0,1,0)</f>
        <v>0</v>
      </c>
      <c r="N871" s="2" t="str">
        <f aca="false">_xlfn.IFS(B871&lt;30,"Under 30",B871&lt;40,"30-39",B871&lt;50,"40-49",B871&lt;60,"50-59",TRUE(),"60+")</f>
        <v>50-59</v>
      </c>
      <c r="O871" s="2" t="str">
        <f aca="false">_xlfn.IFS(G871&lt;0,"1 Negative",G871=0,"2 Zero",G871&lt;=500,"3 1-500",G871&lt;=2000,"4 501-2000",TRUE(),"5 Above 2000")</f>
        <v>3 1-500</v>
      </c>
      <c r="P871" s="2" t="n">
        <f aca="false">Lookups!$B$2*M871+Lookups!$B$3*L871</f>
        <v>1</v>
      </c>
      <c r="Q871" s="2" t="str">
        <f aca="false">INDEX(Lookups!$E$2:$E$5,MATCH(P871,Lookups!$D$2:$D$5,0))</f>
        <v>Medium</v>
      </c>
    </row>
    <row r="872" customFormat="false" ht="15" hidden="false" customHeight="false" outlineLevel="0" collapsed="false">
      <c r="A872" s="3" t="n">
        <v>871</v>
      </c>
      <c r="B872" s="3" t="n">
        <f aca="false">Raw_Data!A872</f>
        <v>57</v>
      </c>
      <c r="C872" s="3" t="str">
        <f aca="false">SUBSTITUTE(Raw_Data!B872,".","")</f>
        <v>technician</v>
      </c>
      <c r="D872" s="3" t="str">
        <f aca="false">Raw_Data!C872</f>
        <v>married</v>
      </c>
      <c r="E872" s="3" t="str">
        <f aca="false">Raw_Data!D872</f>
        <v>secondary</v>
      </c>
      <c r="F872" s="3" t="str">
        <f aca="false">Raw_Data!E872</f>
        <v>no</v>
      </c>
      <c r="G872" s="3" t="n">
        <f aca="false">Raw_Data!F872</f>
        <v>839</v>
      </c>
      <c r="H872" s="3" t="str">
        <f aca="false">Raw_Data!G872</f>
        <v>no</v>
      </c>
      <c r="I872" s="3" t="str">
        <f aca="false">Raw_Data!H872</f>
        <v>yes</v>
      </c>
      <c r="J872" s="2" t="n">
        <f aca="false">IF(F872="yes",1,0)</f>
        <v>0</v>
      </c>
      <c r="K872" s="2" t="n">
        <f aca="false">IF(H872="yes",1,0)</f>
        <v>0</v>
      </c>
      <c r="L872" s="2" t="n">
        <f aca="false">IF(I872="yes",1,0)</f>
        <v>1</v>
      </c>
      <c r="M872" s="2" t="n">
        <f aca="false">IF(G872&lt;0,1,0)</f>
        <v>0</v>
      </c>
      <c r="N872" s="2" t="str">
        <f aca="false">_xlfn.IFS(B872&lt;30,"Under 30",B872&lt;40,"30-39",B872&lt;50,"40-49",B872&lt;60,"50-59",TRUE(),"60+")</f>
        <v>50-59</v>
      </c>
      <c r="O872" s="2" t="str">
        <f aca="false">_xlfn.IFS(G872&lt;0,"1 Negative",G872=0,"2 Zero",G872&lt;=500,"3 1-500",G872&lt;=2000,"4 501-2000",TRUE(),"5 Above 2000")</f>
        <v>4 501-2000</v>
      </c>
      <c r="P872" s="2" t="n">
        <f aca="false">Lookups!$B$2*M872+Lookups!$B$3*L872</f>
        <v>1</v>
      </c>
      <c r="Q872" s="2" t="str">
        <f aca="false">INDEX(Lookups!$E$2:$E$5,MATCH(P872,Lookups!$D$2:$D$5,0))</f>
        <v>Medium</v>
      </c>
    </row>
    <row r="873" customFormat="false" ht="15" hidden="false" customHeight="false" outlineLevel="0" collapsed="false">
      <c r="A873" s="3" t="n">
        <v>872</v>
      </c>
      <c r="B873" s="3" t="n">
        <f aca="false">Raw_Data!A873</f>
        <v>31</v>
      </c>
      <c r="C873" s="3" t="str">
        <f aca="false">SUBSTITUTE(Raw_Data!B873,".","")</f>
        <v>housemaid</v>
      </c>
      <c r="D873" s="3" t="str">
        <f aca="false">Raw_Data!C873</f>
        <v>single</v>
      </c>
      <c r="E873" s="3" t="str">
        <f aca="false">Raw_Data!D873</f>
        <v>primary</v>
      </c>
      <c r="F873" s="3" t="str">
        <f aca="false">Raw_Data!E873</f>
        <v>no</v>
      </c>
      <c r="G873" s="3" t="n">
        <f aca="false">Raw_Data!F873</f>
        <v>26965</v>
      </c>
      <c r="H873" s="3" t="str">
        <f aca="false">Raw_Data!G873</f>
        <v>no</v>
      </c>
      <c r="I873" s="3" t="str">
        <f aca="false">Raw_Data!H873</f>
        <v>no</v>
      </c>
      <c r="J873" s="2" t="n">
        <f aca="false">IF(F873="yes",1,0)</f>
        <v>0</v>
      </c>
      <c r="K873" s="2" t="n">
        <f aca="false">IF(H873="yes",1,0)</f>
        <v>0</v>
      </c>
      <c r="L873" s="2" t="n">
        <f aca="false">IF(I873="yes",1,0)</f>
        <v>0</v>
      </c>
      <c r="M873" s="2" t="n">
        <f aca="false">IF(G873&lt;0,1,0)</f>
        <v>0</v>
      </c>
      <c r="N873" s="2" t="str">
        <f aca="false">_xlfn.IFS(B873&lt;30,"Under 30",B873&lt;40,"30-39",B873&lt;50,"40-49",B873&lt;60,"50-59",TRUE(),"60+")</f>
        <v>30-39</v>
      </c>
      <c r="O873" s="2" t="str">
        <f aca="false">_xlfn.IFS(G873&lt;0,"1 Negative",G873=0,"2 Zero",G873&lt;=500,"3 1-500",G873&lt;=2000,"4 501-2000",TRUE(),"5 Above 2000")</f>
        <v>5 Above 2000</v>
      </c>
      <c r="P873" s="2" t="n">
        <f aca="false">Lookups!$B$2*M873+Lookups!$B$3*L873</f>
        <v>0</v>
      </c>
      <c r="Q873" s="2" t="str">
        <f aca="false">INDEX(Lookups!$E$2:$E$5,MATCH(P873,Lookups!$D$2:$D$5,0))</f>
        <v>Low</v>
      </c>
    </row>
    <row r="874" customFormat="false" ht="15" hidden="false" customHeight="false" outlineLevel="0" collapsed="false">
      <c r="A874" s="3" t="n">
        <v>873</v>
      </c>
      <c r="B874" s="3" t="n">
        <f aca="false">Raw_Data!A874</f>
        <v>33</v>
      </c>
      <c r="C874" s="3" t="str">
        <f aca="false">SUBSTITUTE(Raw_Data!B874,".","")</f>
        <v>technician</v>
      </c>
      <c r="D874" s="3" t="str">
        <f aca="false">Raw_Data!C874</f>
        <v>single</v>
      </c>
      <c r="E874" s="3" t="str">
        <f aca="false">Raw_Data!D874</f>
        <v>secondary</v>
      </c>
      <c r="F874" s="3" t="str">
        <f aca="false">Raw_Data!E874</f>
        <v>no</v>
      </c>
      <c r="G874" s="3" t="n">
        <f aca="false">Raw_Data!F874</f>
        <v>716</v>
      </c>
      <c r="H874" s="3" t="str">
        <f aca="false">Raw_Data!G874</f>
        <v>yes</v>
      </c>
      <c r="I874" s="3" t="str">
        <f aca="false">Raw_Data!H874</f>
        <v>no</v>
      </c>
      <c r="J874" s="2" t="n">
        <f aca="false">IF(F874="yes",1,0)</f>
        <v>0</v>
      </c>
      <c r="K874" s="2" t="n">
        <f aca="false">IF(H874="yes",1,0)</f>
        <v>1</v>
      </c>
      <c r="L874" s="2" t="n">
        <f aca="false">IF(I874="yes",1,0)</f>
        <v>0</v>
      </c>
      <c r="M874" s="2" t="n">
        <f aca="false">IF(G874&lt;0,1,0)</f>
        <v>0</v>
      </c>
      <c r="N874" s="2" t="str">
        <f aca="false">_xlfn.IFS(B874&lt;30,"Under 30",B874&lt;40,"30-39",B874&lt;50,"40-49",B874&lt;60,"50-59",TRUE(),"60+")</f>
        <v>30-39</v>
      </c>
      <c r="O874" s="2" t="str">
        <f aca="false">_xlfn.IFS(G874&lt;0,"1 Negative",G874=0,"2 Zero",G874&lt;=500,"3 1-500",G874&lt;=2000,"4 501-2000",TRUE(),"5 Above 2000")</f>
        <v>4 501-2000</v>
      </c>
      <c r="P874" s="2" t="n">
        <f aca="false">Lookups!$B$2*M874+Lookups!$B$3*L874</f>
        <v>0</v>
      </c>
      <c r="Q874" s="2" t="str">
        <f aca="false">INDEX(Lookups!$E$2:$E$5,MATCH(P874,Lookups!$D$2:$D$5,0))</f>
        <v>Low</v>
      </c>
    </row>
    <row r="875" customFormat="false" ht="15" hidden="false" customHeight="false" outlineLevel="0" collapsed="false">
      <c r="A875" s="3" t="n">
        <v>874</v>
      </c>
      <c r="B875" s="3" t="n">
        <f aca="false">Raw_Data!A875</f>
        <v>29</v>
      </c>
      <c r="C875" s="3" t="str">
        <f aca="false">SUBSTITUTE(Raw_Data!B875,".","")</f>
        <v>technician</v>
      </c>
      <c r="D875" s="3" t="str">
        <f aca="false">Raw_Data!C875</f>
        <v>single</v>
      </c>
      <c r="E875" s="3" t="str">
        <f aca="false">Raw_Data!D875</f>
        <v>tertiary</v>
      </c>
      <c r="F875" s="3" t="str">
        <f aca="false">Raw_Data!E875</f>
        <v>no</v>
      </c>
      <c r="G875" s="3" t="n">
        <f aca="false">Raw_Data!F875</f>
        <v>2485</v>
      </c>
      <c r="H875" s="3" t="str">
        <f aca="false">Raw_Data!G875</f>
        <v>no</v>
      </c>
      <c r="I875" s="3" t="str">
        <f aca="false">Raw_Data!H875</f>
        <v>no</v>
      </c>
      <c r="J875" s="2" t="n">
        <f aca="false">IF(F875="yes",1,0)</f>
        <v>0</v>
      </c>
      <c r="K875" s="2" t="n">
        <f aca="false">IF(H875="yes",1,0)</f>
        <v>0</v>
      </c>
      <c r="L875" s="2" t="n">
        <f aca="false">IF(I875="yes",1,0)</f>
        <v>0</v>
      </c>
      <c r="M875" s="2" t="n">
        <f aca="false">IF(G875&lt;0,1,0)</f>
        <v>0</v>
      </c>
      <c r="N875" s="2" t="str">
        <f aca="false">_xlfn.IFS(B875&lt;30,"Under 30",B875&lt;40,"30-39",B875&lt;50,"40-49",B875&lt;60,"50-59",TRUE(),"60+")</f>
        <v>Under 30</v>
      </c>
      <c r="O875" s="2" t="str">
        <f aca="false">_xlfn.IFS(G875&lt;0,"1 Negative",G875=0,"2 Zero",G875&lt;=500,"3 1-500",G875&lt;=2000,"4 501-2000",TRUE(),"5 Above 2000")</f>
        <v>5 Above 2000</v>
      </c>
      <c r="P875" s="2" t="n">
        <f aca="false">Lookups!$B$2*M875+Lookups!$B$3*L875</f>
        <v>0</v>
      </c>
      <c r="Q875" s="2" t="str">
        <f aca="false">INDEX(Lookups!$E$2:$E$5,MATCH(P875,Lookups!$D$2:$D$5,0))</f>
        <v>Low</v>
      </c>
    </row>
    <row r="876" customFormat="false" ht="15" hidden="false" customHeight="false" outlineLevel="0" collapsed="false">
      <c r="A876" s="3" t="n">
        <v>875</v>
      </c>
      <c r="B876" s="3" t="n">
        <f aca="false">Raw_Data!A876</f>
        <v>38</v>
      </c>
      <c r="C876" s="3" t="str">
        <f aca="false">SUBSTITUTE(Raw_Data!B876,".","")</f>
        <v>management</v>
      </c>
      <c r="D876" s="3" t="str">
        <f aca="false">Raw_Data!C876</f>
        <v>single</v>
      </c>
      <c r="E876" s="3" t="str">
        <f aca="false">Raw_Data!D876</f>
        <v>tertiary</v>
      </c>
      <c r="F876" s="3" t="str">
        <f aca="false">Raw_Data!E876</f>
        <v>no</v>
      </c>
      <c r="G876" s="3" t="n">
        <f aca="false">Raw_Data!F876</f>
        <v>15030</v>
      </c>
      <c r="H876" s="3" t="str">
        <f aca="false">Raw_Data!G876</f>
        <v>yes</v>
      </c>
      <c r="I876" s="3" t="str">
        <f aca="false">Raw_Data!H876</f>
        <v>no</v>
      </c>
      <c r="J876" s="2" t="n">
        <f aca="false">IF(F876="yes",1,0)</f>
        <v>0</v>
      </c>
      <c r="K876" s="2" t="n">
        <f aca="false">IF(H876="yes",1,0)</f>
        <v>1</v>
      </c>
      <c r="L876" s="2" t="n">
        <f aca="false">IF(I876="yes",1,0)</f>
        <v>0</v>
      </c>
      <c r="M876" s="2" t="n">
        <f aca="false">IF(G876&lt;0,1,0)</f>
        <v>0</v>
      </c>
      <c r="N876" s="2" t="str">
        <f aca="false">_xlfn.IFS(B876&lt;30,"Under 30",B876&lt;40,"30-39",B876&lt;50,"40-49",B876&lt;60,"50-59",TRUE(),"60+")</f>
        <v>30-39</v>
      </c>
      <c r="O876" s="2" t="str">
        <f aca="false">_xlfn.IFS(G876&lt;0,"1 Negative",G876=0,"2 Zero",G876&lt;=500,"3 1-500",G876&lt;=2000,"4 501-2000",TRUE(),"5 Above 2000")</f>
        <v>5 Above 2000</v>
      </c>
      <c r="P876" s="2" t="n">
        <f aca="false">Lookups!$B$2*M876+Lookups!$B$3*L876</f>
        <v>0</v>
      </c>
      <c r="Q876" s="2" t="str">
        <f aca="false">INDEX(Lookups!$E$2:$E$5,MATCH(P876,Lookups!$D$2:$D$5,0))</f>
        <v>Low</v>
      </c>
    </row>
    <row r="877" customFormat="false" ht="15" hidden="false" customHeight="false" outlineLevel="0" collapsed="false">
      <c r="A877" s="3" t="n">
        <v>876</v>
      </c>
      <c r="B877" s="3" t="n">
        <f aca="false">Raw_Data!A877</f>
        <v>37</v>
      </c>
      <c r="C877" s="3" t="str">
        <f aca="false">SUBSTITUTE(Raw_Data!B877,".","")</f>
        <v>admin</v>
      </c>
      <c r="D877" s="3" t="str">
        <f aca="false">Raw_Data!C877</f>
        <v>married</v>
      </c>
      <c r="E877" s="3" t="str">
        <f aca="false">Raw_Data!D877</f>
        <v>secondary</v>
      </c>
      <c r="F877" s="3" t="str">
        <f aca="false">Raw_Data!E877</f>
        <v>no</v>
      </c>
      <c r="G877" s="3" t="n">
        <f aca="false">Raw_Data!F877</f>
        <v>11303</v>
      </c>
      <c r="H877" s="3" t="str">
        <f aca="false">Raw_Data!G877</f>
        <v>no</v>
      </c>
      <c r="I877" s="3" t="str">
        <f aca="false">Raw_Data!H877</f>
        <v>no</v>
      </c>
      <c r="J877" s="2" t="n">
        <f aca="false">IF(F877="yes",1,0)</f>
        <v>0</v>
      </c>
      <c r="K877" s="2" t="n">
        <f aca="false">IF(H877="yes",1,0)</f>
        <v>0</v>
      </c>
      <c r="L877" s="2" t="n">
        <f aca="false">IF(I877="yes",1,0)</f>
        <v>0</v>
      </c>
      <c r="M877" s="2" t="n">
        <f aca="false">IF(G877&lt;0,1,0)</f>
        <v>0</v>
      </c>
      <c r="N877" s="2" t="str">
        <f aca="false">_xlfn.IFS(B877&lt;30,"Under 30",B877&lt;40,"30-39",B877&lt;50,"40-49",B877&lt;60,"50-59",TRUE(),"60+")</f>
        <v>30-39</v>
      </c>
      <c r="O877" s="2" t="str">
        <f aca="false">_xlfn.IFS(G877&lt;0,"1 Negative",G877=0,"2 Zero",G877&lt;=500,"3 1-500",G877&lt;=2000,"4 501-2000",TRUE(),"5 Above 2000")</f>
        <v>5 Above 2000</v>
      </c>
      <c r="P877" s="2" t="n">
        <f aca="false">Lookups!$B$2*M877+Lookups!$B$3*L877</f>
        <v>0</v>
      </c>
      <c r="Q877" s="2" t="str">
        <f aca="false">INDEX(Lookups!$E$2:$E$5,MATCH(P877,Lookups!$D$2:$D$5,0))</f>
        <v>Low</v>
      </c>
    </row>
    <row r="878" customFormat="false" ht="15" hidden="false" customHeight="false" outlineLevel="0" collapsed="false">
      <c r="A878" s="3" t="n">
        <v>877</v>
      </c>
      <c r="B878" s="3" t="n">
        <f aca="false">Raw_Data!A878</f>
        <v>33</v>
      </c>
      <c r="C878" s="3" t="str">
        <f aca="false">SUBSTITUTE(Raw_Data!B878,".","")</f>
        <v>entrepreneur</v>
      </c>
      <c r="D878" s="3" t="str">
        <f aca="false">Raw_Data!C878</f>
        <v>married</v>
      </c>
      <c r="E878" s="3" t="str">
        <f aca="false">Raw_Data!D878</f>
        <v>tertiary</v>
      </c>
      <c r="F878" s="3" t="str">
        <f aca="false">Raw_Data!E878</f>
        <v>no</v>
      </c>
      <c r="G878" s="3" t="n">
        <f aca="false">Raw_Data!F878</f>
        <v>595</v>
      </c>
      <c r="H878" s="3" t="str">
        <f aca="false">Raw_Data!G878</f>
        <v>no</v>
      </c>
      <c r="I878" s="3" t="str">
        <f aca="false">Raw_Data!H878</f>
        <v>no</v>
      </c>
      <c r="J878" s="2" t="n">
        <f aca="false">IF(F878="yes",1,0)</f>
        <v>0</v>
      </c>
      <c r="K878" s="2" t="n">
        <f aca="false">IF(H878="yes",1,0)</f>
        <v>0</v>
      </c>
      <c r="L878" s="2" t="n">
        <f aca="false">IF(I878="yes",1,0)</f>
        <v>0</v>
      </c>
      <c r="M878" s="2" t="n">
        <f aca="false">IF(G878&lt;0,1,0)</f>
        <v>0</v>
      </c>
      <c r="N878" s="2" t="str">
        <f aca="false">_xlfn.IFS(B878&lt;30,"Under 30",B878&lt;40,"30-39",B878&lt;50,"40-49",B878&lt;60,"50-59",TRUE(),"60+")</f>
        <v>30-39</v>
      </c>
      <c r="O878" s="2" t="str">
        <f aca="false">_xlfn.IFS(G878&lt;0,"1 Negative",G878=0,"2 Zero",G878&lt;=500,"3 1-500",G878&lt;=2000,"4 501-2000",TRUE(),"5 Above 2000")</f>
        <v>4 501-2000</v>
      </c>
      <c r="P878" s="2" t="n">
        <f aca="false">Lookups!$B$2*M878+Lookups!$B$3*L878</f>
        <v>0</v>
      </c>
      <c r="Q878" s="2" t="str">
        <f aca="false">INDEX(Lookups!$E$2:$E$5,MATCH(P878,Lookups!$D$2:$D$5,0))</f>
        <v>Low</v>
      </c>
    </row>
    <row r="879" customFormat="false" ht="15" hidden="false" customHeight="false" outlineLevel="0" collapsed="false">
      <c r="A879" s="3" t="n">
        <v>878</v>
      </c>
      <c r="B879" s="3" t="n">
        <f aca="false">Raw_Data!A879</f>
        <v>30</v>
      </c>
      <c r="C879" s="3" t="str">
        <f aca="false">SUBSTITUTE(Raw_Data!B879,".","")</f>
        <v>management</v>
      </c>
      <c r="D879" s="3" t="str">
        <f aca="false">Raw_Data!C879</f>
        <v>single</v>
      </c>
      <c r="E879" s="3" t="str">
        <f aca="false">Raw_Data!D879</f>
        <v>tertiary</v>
      </c>
      <c r="F879" s="3" t="str">
        <f aca="false">Raw_Data!E879</f>
        <v>no</v>
      </c>
      <c r="G879" s="3" t="n">
        <f aca="false">Raw_Data!F879</f>
        <v>19358</v>
      </c>
      <c r="H879" s="3" t="str">
        <f aca="false">Raw_Data!G879</f>
        <v>no</v>
      </c>
      <c r="I879" s="3" t="str">
        <f aca="false">Raw_Data!H879</f>
        <v>no</v>
      </c>
      <c r="J879" s="2" t="n">
        <f aca="false">IF(F879="yes",1,0)</f>
        <v>0</v>
      </c>
      <c r="K879" s="2" t="n">
        <f aca="false">IF(H879="yes",1,0)</f>
        <v>0</v>
      </c>
      <c r="L879" s="2" t="n">
        <f aca="false">IF(I879="yes",1,0)</f>
        <v>0</v>
      </c>
      <c r="M879" s="2" t="n">
        <f aca="false">IF(G879&lt;0,1,0)</f>
        <v>0</v>
      </c>
      <c r="N879" s="2" t="str">
        <f aca="false">_xlfn.IFS(B879&lt;30,"Under 30",B879&lt;40,"30-39",B879&lt;50,"40-49",B879&lt;60,"50-59",TRUE(),"60+")</f>
        <v>30-39</v>
      </c>
      <c r="O879" s="2" t="str">
        <f aca="false">_xlfn.IFS(G879&lt;0,"1 Negative",G879=0,"2 Zero",G879&lt;=500,"3 1-500",G879&lt;=2000,"4 501-2000",TRUE(),"5 Above 2000")</f>
        <v>5 Above 2000</v>
      </c>
      <c r="P879" s="2" t="n">
        <f aca="false">Lookups!$B$2*M879+Lookups!$B$3*L879</f>
        <v>0</v>
      </c>
      <c r="Q879" s="2" t="str">
        <f aca="false">INDEX(Lookups!$E$2:$E$5,MATCH(P879,Lookups!$D$2:$D$5,0))</f>
        <v>Low</v>
      </c>
    </row>
    <row r="880" customFormat="false" ht="15" hidden="false" customHeight="false" outlineLevel="0" collapsed="false">
      <c r="A880" s="3" t="n">
        <v>879</v>
      </c>
      <c r="B880" s="3" t="n">
        <f aca="false">Raw_Data!A880</f>
        <v>31</v>
      </c>
      <c r="C880" s="3" t="str">
        <f aca="false">SUBSTITUTE(Raw_Data!B880,".","")</f>
        <v>self-employed</v>
      </c>
      <c r="D880" s="3" t="str">
        <f aca="false">Raw_Data!C880</f>
        <v>single</v>
      </c>
      <c r="E880" s="3" t="str">
        <f aca="false">Raw_Data!D880</f>
        <v>secondary</v>
      </c>
      <c r="F880" s="3" t="str">
        <f aca="false">Raw_Data!E880</f>
        <v>no</v>
      </c>
      <c r="G880" s="3" t="n">
        <f aca="false">Raw_Data!F880</f>
        <v>203</v>
      </c>
      <c r="H880" s="3" t="str">
        <f aca="false">Raw_Data!G880</f>
        <v>no</v>
      </c>
      <c r="I880" s="3" t="str">
        <f aca="false">Raw_Data!H880</f>
        <v>yes</v>
      </c>
      <c r="J880" s="2" t="n">
        <f aca="false">IF(F880="yes",1,0)</f>
        <v>0</v>
      </c>
      <c r="K880" s="2" t="n">
        <f aca="false">IF(H880="yes",1,0)</f>
        <v>0</v>
      </c>
      <c r="L880" s="2" t="n">
        <f aca="false">IF(I880="yes",1,0)</f>
        <v>1</v>
      </c>
      <c r="M880" s="2" t="n">
        <f aca="false">IF(G880&lt;0,1,0)</f>
        <v>0</v>
      </c>
      <c r="N880" s="2" t="str">
        <f aca="false">_xlfn.IFS(B880&lt;30,"Under 30",B880&lt;40,"30-39",B880&lt;50,"40-49",B880&lt;60,"50-59",TRUE(),"60+")</f>
        <v>30-39</v>
      </c>
      <c r="O880" s="2" t="str">
        <f aca="false">_xlfn.IFS(G880&lt;0,"1 Negative",G880=0,"2 Zero",G880&lt;=500,"3 1-500",G880&lt;=2000,"4 501-2000",TRUE(),"5 Above 2000")</f>
        <v>3 1-500</v>
      </c>
      <c r="P880" s="2" t="n">
        <f aca="false">Lookups!$B$2*M880+Lookups!$B$3*L880</f>
        <v>1</v>
      </c>
      <c r="Q880" s="2" t="str">
        <f aca="false">INDEX(Lookups!$E$2:$E$5,MATCH(P880,Lookups!$D$2:$D$5,0))</f>
        <v>Medium</v>
      </c>
    </row>
    <row r="881" customFormat="false" ht="15" hidden="false" customHeight="false" outlineLevel="0" collapsed="false">
      <c r="A881" s="3" t="n">
        <v>880</v>
      </c>
      <c r="B881" s="3" t="n">
        <f aca="false">Raw_Data!A881</f>
        <v>28</v>
      </c>
      <c r="C881" s="3" t="str">
        <f aca="false">SUBSTITUTE(Raw_Data!B881,".","")</f>
        <v>technician</v>
      </c>
      <c r="D881" s="3" t="str">
        <f aca="false">Raw_Data!C881</f>
        <v>single</v>
      </c>
      <c r="E881" s="3" t="str">
        <f aca="false">Raw_Data!D881</f>
        <v>tertiary</v>
      </c>
      <c r="F881" s="3" t="str">
        <f aca="false">Raw_Data!E881</f>
        <v>no</v>
      </c>
      <c r="G881" s="3" t="n">
        <f aca="false">Raw_Data!F881</f>
        <v>183</v>
      </c>
      <c r="H881" s="3" t="str">
        <f aca="false">Raw_Data!G881</f>
        <v>yes</v>
      </c>
      <c r="I881" s="3" t="str">
        <f aca="false">Raw_Data!H881</f>
        <v>yes</v>
      </c>
      <c r="J881" s="2" t="n">
        <f aca="false">IF(F881="yes",1,0)</f>
        <v>0</v>
      </c>
      <c r="K881" s="2" t="n">
        <f aca="false">IF(H881="yes",1,0)</f>
        <v>1</v>
      </c>
      <c r="L881" s="2" t="n">
        <f aca="false">IF(I881="yes",1,0)</f>
        <v>1</v>
      </c>
      <c r="M881" s="2" t="n">
        <f aca="false">IF(G881&lt;0,1,0)</f>
        <v>0</v>
      </c>
      <c r="N881" s="2" t="str">
        <f aca="false">_xlfn.IFS(B881&lt;30,"Under 30",B881&lt;40,"30-39",B881&lt;50,"40-49",B881&lt;60,"50-59",TRUE(),"60+")</f>
        <v>Under 30</v>
      </c>
      <c r="O881" s="2" t="str">
        <f aca="false">_xlfn.IFS(G881&lt;0,"1 Negative",G881=0,"2 Zero",G881&lt;=500,"3 1-500",G881&lt;=2000,"4 501-2000",TRUE(),"5 Above 2000")</f>
        <v>3 1-500</v>
      </c>
      <c r="P881" s="2" t="n">
        <f aca="false">Lookups!$B$2*M881+Lookups!$B$3*L881</f>
        <v>1</v>
      </c>
      <c r="Q881" s="2" t="str">
        <f aca="false">INDEX(Lookups!$E$2:$E$5,MATCH(P881,Lookups!$D$2:$D$5,0))</f>
        <v>Medium</v>
      </c>
    </row>
    <row r="882" customFormat="false" ht="15" hidden="false" customHeight="false" outlineLevel="0" collapsed="false">
      <c r="A882" s="3" t="n">
        <v>881</v>
      </c>
      <c r="B882" s="3" t="n">
        <f aca="false">Raw_Data!A882</f>
        <v>26</v>
      </c>
      <c r="C882" s="3" t="str">
        <f aca="false">SUBSTITUTE(Raw_Data!B882,".","")</f>
        <v>admin</v>
      </c>
      <c r="D882" s="3" t="str">
        <f aca="false">Raw_Data!C882</f>
        <v>single</v>
      </c>
      <c r="E882" s="3" t="str">
        <f aca="false">Raw_Data!D882</f>
        <v>secondary</v>
      </c>
      <c r="F882" s="3" t="str">
        <f aca="false">Raw_Data!E882</f>
        <v>no</v>
      </c>
      <c r="G882" s="3" t="n">
        <f aca="false">Raw_Data!F882</f>
        <v>255</v>
      </c>
      <c r="H882" s="3" t="str">
        <f aca="false">Raw_Data!G882</f>
        <v>no</v>
      </c>
      <c r="I882" s="3" t="str">
        <f aca="false">Raw_Data!H882</f>
        <v>no</v>
      </c>
      <c r="J882" s="2" t="n">
        <f aca="false">IF(F882="yes",1,0)</f>
        <v>0</v>
      </c>
      <c r="K882" s="2" t="n">
        <f aca="false">IF(H882="yes",1,0)</f>
        <v>0</v>
      </c>
      <c r="L882" s="2" t="n">
        <f aca="false">IF(I882="yes",1,0)</f>
        <v>0</v>
      </c>
      <c r="M882" s="2" t="n">
        <f aca="false">IF(G882&lt;0,1,0)</f>
        <v>0</v>
      </c>
      <c r="N882" s="2" t="str">
        <f aca="false">_xlfn.IFS(B882&lt;30,"Under 30",B882&lt;40,"30-39",B882&lt;50,"40-49",B882&lt;60,"50-59",TRUE(),"60+")</f>
        <v>Under 30</v>
      </c>
      <c r="O882" s="2" t="str">
        <f aca="false">_xlfn.IFS(G882&lt;0,"1 Negative",G882=0,"2 Zero",G882&lt;=500,"3 1-500",G882&lt;=2000,"4 501-2000",TRUE(),"5 Above 2000")</f>
        <v>3 1-500</v>
      </c>
      <c r="P882" s="2" t="n">
        <f aca="false">Lookups!$B$2*M882+Lookups!$B$3*L882</f>
        <v>0</v>
      </c>
      <c r="Q882" s="2" t="str">
        <f aca="false">INDEX(Lookups!$E$2:$E$5,MATCH(P882,Lookups!$D$2:$D$5,0))</f>
        <v>Low</v>
      </c>
    </row>
    <row r="883" customFormat="false" ht="15" hidden="false" customHeight="false" outlineLevel="0" collapsed="false">
      <c r="A883" s="3" t="n">
        <v>882</v>
      </c>
      <c r="B883" s="3" t="n">
        <f aca="false">Raw_Data!A883</f>
        <v>31</v>
      </c>
      <c r="C883" s="3" t="str">
        <f aca="false">SUBSTITUTE(Raw_Data!B883,".","")</f>
        <v>technician</v>
      </c>
      <c r="D883" s="3" t="str">
        <f aca="false">Raw_Data!C883</f>
        <v>single</v>
      </c>
      <c r="E883" s="3" t="str">
        <f aca="false">Raw_Data!D883</f>
        <v>secondary</v>
      </c>
      <c r="F883" s="3" t="str">
        <f aca="false">Raw_Data!E883</f>
        <v>no</v>
      </c>
      <c r="G883" s="3" t="n">
        <f aca="false">Raw_Data!F883</f>
        <v>102</v>
      </c>
      <c r="H883" s="3" t="str">
        <f aca="false">Raw_Data!G883</f>
        <v>yes</v>
      </c>
      <c r="I883" s="3" t="str">
        <f aca="false">Raw_Data!H883</f>
        <v>no</v>
      </c>
      <c r="J883" s="2" t="n">
        <f aca="false">IF(F883="yes",1,0)</f>
        <v>0</v>
      </c>
      <c r="K883" s="2" t="n">
        <f aca="false">IF(H883="yes",1,0)</f>
        <v>1</v>
      </c>
      <c r="L883" s="2" t="n">
        <f aca="false">IF(I883="yes",1,0)</f>
        <v>0</v>
      </c>
      <c r="M883" s="2" t="n">
        <f aca="false">IF(G883&lt;0,1,0)</f>
        <v>0</v>
      </c>
      <c r="N883" s="2" t="str">
        <f aca="false">_xlfn.IFS(B883&lt;30,"Under 30",B883&lt;40,"30-39",B883&lt;50,"40-49",B883&lt;60,"50-59",TRUE(),"60+")</f>
        <v>30-39</v>
      </c>
      <c r="O883" s="2" t="str">
        <f aca="false">_xlfn.IFS(G883&lt;0,"1 Negative",G883=0,"2 Zero",G883&lt;=500,"3 1-500",G883&lt;=2000,"4 501-2000",TRUE(),"5 Above 2000")</f>
        <v>3 1-500</v>
      </c>
      <c r="P883" s="2" t="n">
        <f aca="false">Lookups!$B$2*M883+Lookups!$B$3*L883</f>
        <v>0</v>
      </c>
      <c r="Q883" s="2" t="str">
        <f aca="false">INDEX(Lookups!$E$2:$E$5,MATCH(P883,Lookups!$D$2:$D$5,0))</f>
        <v>Low</v>
      </c>
    </row>
    <row r="884" customFormat="false" ht="15" hidden="false" customHeight="false" outlineLevel="0" collapsed="false">
      <c r="A884" s="3" t="n">
        <v>883</v>
      </c>
      <c r="B884" s="3" t="n">
        <f aca="false">Raw_Data!A884</f>
        <v>50</v>
      </c>
      <c r="C884" s="3" t="str">
        <f aca="false">SUBSTITUTE(Raw_Data!B884,".","")</f>
        <v>housemaid</v>
      </c>
      <c r="D884" s="3" t="str">
        <f aca="false">Raw_Data!C884</f>
        <v>divorced</v>
      </c>
      <c r="E884" s="3" t="str">
        <f aca="false">Raw_Data!D884</f>
        <v>primary</v>
      </c>
      <c r="F884" s="3" t="str">
        <f aca="false">Raw_Data!E884</f>
        <v>no</v>
      </c>
      <c r="G884" s="3" t="n">
        <f aca="false">Raw_Data!F884</f>
        <v>94</v>
      </c>
      <c r="H884" s="3" t="str">
        <f aca="false">Raw_Data!G884</f>
        <v>yes</v>
      </c>
      <c r="I884" s="3" t="str">
        <f aca="false">Raw_Data!H884</f>
        <v>no</v>
      </c>
      <c r="J884" s="2" t="n">
        <f aca="false">IF(F884="yes",1,0)</f>
        <v>0</v>
      </c>
      <c r="K884" s="2" t="n">
        <f aca="false">IF(H884="yes",1,0)</f>
        <v>1</v>
      </c>
      <c r="L884" s="2" t="n">
        <f aca="false">IF(I884="yes",1,0)</f>
        <v>0</v>
      </c>
      <c r="M884" s="2" t="n">
        <f aca="false">IF(G884&lt;0,1,0)</f>
        <v>0</v>
      </c>
      <c r="N884" s="2" t="str">
        <f aca="false">_xlfn.IFS(B884&lt;30,"Under 30",B884&lt;40,"30-39",B884&lt;50,"40-49",B884&lt;60,"50-59",TRUE(),"60+")</f>
        <v>50-59</v>
      </c>
      <c r="O884" s="2" t="str">
        <f aca="false">_xlfn.IFS(G884&lt;0,"1 Negative",G884=0,"2 Zero",G884&lt;=500,"3 1-500",G884&lt;=2000,"4 501-2000",TRUE(),"5 Above 2000")</f>
        <v>3 1-500</v>
      </c>
      <c r="P884" s="2" t="n">
        <f aca="false">Lookups!$B$2*M884+Lookups!$B$3*L884</f>
        <v>0</v>
      </c>
      <c r="Q884" s="2" t="str">
        <f aca="false">INDEX(Lookups!$E$2:$E$5,MATCH(P884,Lookups!$D$2:$D$5,0))</f>
        <v>Low</v>
      </c>
    </row>
    <row r="885" customFormat="false" ht="15" hidden="false" customHeight="false" outlineLevel="0" collapsed="false">
      <c r="A885" s="3" t="n">
        <v>884</v>
      </c>
      <c r="B885" s="3" t="n">
        <f aca="false">Raw_Data!A885</f>
        <v>45</v>
      </c>
      <c r="C885" s="3" t="str">
        <f aca="false">SUBSTITUTE(Raw_Data!B885,".","")</f>
        <v>entrepreneur</v>
      </c>
      <c r="D885" s="3" t="str">
        <f aca="false">Raw_Data!C885</f>
        <v>married</v>
      </c>
      <c r="E885" s="3" t="str">
        <f aca="false">Raw_Data!D885</f>
        <v>primary</v>
      </c>
      <c r="F885" s="3" t="str">
        <f aca="false">Raw_Data!E885</f>
        <v>no</v>
      </c>
      <c r="G885" s="3" t="n">
        <f aca="false">Raw_Data!F885</f>
        <v>58</v>
      </c>
      <c r="H885" s="3" t="str">
        <f aca="false">Raw_Data!G885</f>
        <v>yes</v>
      </c>
      <c r="I885" s="3" t="str">
        <f aca="false">Raw_Data!H885</f>
        <v>no</v>
      </c>
      <c r="J885" s="2" t="n">
        <f aca="false">IF(F885="yes",1,0)</f>
        <v>0</v>
      </c>
      <c r="K885" s="2" t="n">
        <f aca="false">IF(H885="yes",1,0)</f>
        <v>1</v>
      </c>
      <c r="L885" s="2" t="n">
        <f aca="false">IF(I885="yes",1,0)</f>
        <v>0</v>
      </c>
      <c r="M885" s="2" t="n">
        <f aca="false">IF(G885&lt;0,1,0)</f>
        <v>0</v>
      </c>
      <c r="N885" s="2" t="str">
        <f aca="false">_xlfn.IFS(B885&lt;30,"Under 30",B885&lt;40,"30-39",B885&lt;50,"40-49",B885&lt;60,"50-59",TRUE(),"60+")</f>
        <v>40-49</v>
      </c>
      <c r="O885" s="2" t="str">
        <f aca="false">_xlfn.IFS(G885&lt;0,"1 Negative",G885=0,"2 Zero",G885&lt;=500,"3 1-500",G885&lt;=2000,"4 501-2000",TRUE(),"5 Above 2000")</f>
        <v>3 1-500</v>
      </c>
      <c r="P885" s="2" t="n">
        <f aca="false">Lookups!$B$2*M885+Lookups!$B$3*L885</f>
        <v>0</v>
      </c>
      <c r="Q885" s="2" t="str">
        <f aca="false">INDEX(Lookups!$E$2:$E$5,MATCH(P885,Lookups!$D$2:$D$5,0))</f>
        <v>Low</v>
      </c>
    </row>
    <row r="886" customFormat="false" ht="15" hidden="false" customHeight="false" outlineLevel="0" collapsed="false">
      <c r="A886" s="3" t="n">
        <v>885</v>
      </c>
      <c r="B886" s="3" t="n">
        <f aca="false">Raw_Data!A886</f>
        <v>48</v>
      </c>
      <c r="C886" s="3" t="str">
        <f aca="false">SUBSTITUTE(Raw_Data!B886,".","")</f>
        <v>management</v>
      </c>
      <c r="D886" s="3" t="str">
        <f aca="false">Raw_Data!C886</f>
        <v>married</v>
      </c>
      <c r="E886" s="3" t="str">
        <f aca="false">Raw_Data!D886</f>
        <v>primary</v>
      </c>
      <c r="F886" s="3" t="str">
        <f aca="false">Raw_Data!E886</f>
        <v>no</v>
      </c>
      <c r="G886" s="3" t="n">
        <f aca="false">Raw_Data!F886</f>
        <v>606</v>
      </c>
      <c r="H886" s="3" t="str">
        <f aca="false">Raw_Data!G886</f>
        <v>no</v>
      </c>
      <c r="I886" s="3" t="str">
        <f aca="false">Raw_Data!H886</f>
        <v>no</v>
      </c>
      <c r="J886" s="2" t="n">
        <f aca="false">IF(F886="yes",1,0)</f>
        <v>0</v>
      </c>
      <c r="K886" s="2" t="n">
        <f aca="false">IF(H886="yes",1,0)</f>
        <v>0</v>
      </c>
      <c r="L886" s="2" t="n">
        <f aca="false">IF(I886="yes",1,0)</f>
        <v>0</v>
      </c>
      <c r="M886" s="2" t="n">
        <f aca="false">IF(G886&lt;0,1,0)</f>
        <v>0</v>
      </c>
      <c r="N886" s="2" t="str">
        <f aca="false">_xlfn.IFS(B886&lt;30,"Under 30",B886&lt;40,"30-39",B886&lt;50,"40-49",B886&lt;60,"50-59",TRUE(),"60+")</f>
        <v>40-49</v>
      </c>
      <c r="O886" s="2" t="str">
        <f aca="false">_xlfn.IFS(G886&lt;0,"1 Negative",G886=0,"2 Zero",G886&lt;=500,"3 1-500",G886&lt;=2000,"4 501-2000",TRUE(),"5 Above 2000")</f>
        <v>4 501-2000</v>
      </c>
      <c r="P886" s="2" t="n">
        <f aca="false">Lookups!$B$2*M886+Lookups!$B$3*L886</f>
        <v>0</v>
      </c>
      <c r="Q886" s="2" t="str">
        <f aca="false">INDEX(Lookups!$E$2:$E$5,MATCH(P886,Lookups!$D$2:$D$5,0))</f>
        <v>Low</v>
      </c>
    </row>
    <row r="887" customFormat="false" ht="15" hidden="false" customHeight="false" outlineLevel="0" collapsed="false">
      <c r="A887" s="3" t="n">
        <v>886</v>
      </c>
      <c r="B887" s="3" t="n">
        <f aca="false">Raw_Data!A887</f>
        <v>41</v>
      </c>
      <c r="C887" s="3" t="str">
        <f aca="false">SUBSTITUTE(Raw_Data!B887,".","")</f>
        <v>technician</v>
      </c>
      <c r="D887" s="3" t="str">
        <f aca="false">Raw_Data!C887</f>
        <v>married</v>
      </c>
      <c r="E887" s="3" t="str">
        <f aca="false">Raw_Data!D887</f>
        <v>secondary</v>
      </c>
      <c r="F887" s="3" t="str">
        <f aca="false">Raw_Data!E887</f>
        <v>no</v>
      </c>
      <c r="G887" s="3" t="n">
        <f aca="false">Raw_Data!F887</f>
        <v>0</v>
      </c>
      <c r="H887" s="3" t="str">
        <f aca="false">Raw_Data!G887</f>
        <v>no</v>
      </c>
      <c r="I887" s="3" t="str">
        <f aca="false">Raw_Data!H887</f>
        <v>yes</v>
      </c>
      <c r="J887" s="2" t="n">
        <f aca="false">IF(F887="yes",1,0)</f>
        <v>0</v>
      </c>
      <c r="K887" s="2" t="n">
        <f aca="false">IF(H887="yes",1,0)</f>
        <v>0</v>
      </c>
      <c r="L887" s="2" t="n">
        <f aca="false">IF(I887="yes",1,0)</f>
        <v>1</v>
      </c>
      <c r="M887" s="2" t="n">
        <f aca="false">IF(G887&lt;0,1,0)</f>
        <v>0</v>
      </c>
      <c r="N887" s="2" t="str">
        <f aca="false">_xlfn.IFS(B887&lt;30,"Under 30",B887&lt;40,"30-39",B887&lt;50,"40-49",B887&lt;60,"50-59",TRUE(),"60+")</f>
        <v>40-49</v>
      </c>
      <c r="O887" s="2" t="str">
        <f aca="false">_xlfn.IFS(G887&lt;0,"1 Negative",G887=0,"2 Zero",G887&lt;=500,"3 1-500",G887&lt;=2000,"4 501-2000",TRUE(),"5 Above 2000")</f>
        <v>2 Zero</v>
      </c>
      <c r="P887" s="2" t="n">
        <f aca="false">Lookups!$B$2*M887+Lookups!$B$3*L887</f>
        <v>1</v>
      </c>
      <c r="Q887" s="2" t="str">
        <f aca="false">INDEX(Lookups!$E$2:$E$5,MATCH(P887,Lookups!$D$2:$D$5,0))</f>
        <v>Medium</v>
      </c>
    </row>
    <row r="888" customFormat="false" ht="15" hidden="false" customHeight="false" outlineLevel="0" collapsed="false">
      <c r="A888" s="3" t="n">
        <v>887</v>
      </c>
      <c r="B888" s="3" t="n">
        <f aca="false">Raw_Data!A888</f>
        <v>60</v>
      </c>
      <c r="C888" s="3" t="str">
        <f aca="false">SUBSTITUTE(Raw_Data!B888,".","")</f>
        <v>technician</v>
      </c>
      <c r="D888" s="3" t="str">
        <f aca="false">Raw_Data!C888</f>
        <v>married</v>
      </c>
      <c r="E888" s="3" t="str">
        <f aca="false">Raw_Data!D888</f>
        <v>primary</v>
      </c>
      <c r="F888" s="3" t="str">
        <f aca="false">Raw_Data!E888</f>
        <v>no</v>
      </c>
      <c r="G888" s="3" t="n">
        <f aca="false">Raw_Data!F888</f>
        <v>65</v>
      </c>
      <c r="H888" s="3" t="str">
        <f aca="false">Raw_Data!G888</f>
        <v>yes</v>
      </c>
      <c r="I888" s="3" t="str">
        <f aca="false">Raw_Data!H888</f>
        <v>no</v>
      </c>
      <c r="J888" s="2" t="n">
        <f aca="false">IF(F888="yes",1,0)</f>
        <v>0</v>
      </c>
      <c r="K888" s="2" t="n">
        <f aca="false">IF(H888="yes",1,0)</f>
        <v>1</v>
      </c>
      <c r="L888" s="2" t="n">
        <f aca="false">IF(I888="yes",1,0)</f>
        <v>0</v>
      </c>
      <c r="M888" s="2" t="n">
        <f aca="false">IF(G888&lt;0,1,0)</f>
        <v>0</v>
      </c>
      <c r="N888" s="2" t="str">
        <f aca="false">_xlfn.IFS(B888&lt;30,"Under 30",B888&lt;40,"30-39",B888&lt;50,"40-49",B888&lt;60,"50-59",TRUE(),"60+")</f>
        <v>60+</v>
      </c>
      <c r="O888" s="2" t="str">
        <f aca="false">_xlfn.IFS(G888&lt;0,"1 Negative",G888=0,"2 Zero",G888&lt;=500,"3 1-500",G888&lt;=2000,"4 501-2000",TRUE(),"5 Above 2000")</f>
        <v>3 1-500</v>
      </c>
      <c r="P888" s="2" t="n">
        <f aca="false">Lookups!$B$2*M888+Lookups!$B$3*L888</f>
        <v>0</v>
      </c>
      <c r="Q888" s="2" t="str">
        <f aca="false">INDEX(Lookups!$E$2:$E$5,MATCH(P888,Lookups!$D$2:$D$5,0))</f>
        <v>Low</v>
      </c>
    </row>
    <row r="889" customFormat="false" ht="15" hidden="false" customHeight="false" outlineLevel="0" collapsed="false">
      <c r="A889" s="3" t="n">
        <v>888</v>
      </c>
      <c r="B889" s="3" t="n">
        <f aca="false">Raw_Data!A889</f>
        <v>41</v>
      </c>
      <c r="C889" s="3" t="str">
        <f aca="false">SUBSTITUTE(Raw_Data!B889,".","")</f>
        <v>blue-collar</v>
      </c>
      <c r="D889" s="3" t="str">
        <f aca="false">Raw_Data!C889</f>
        <v>married</v>
      </c>
      <c r="E889" s="3" t="str">
        <f aca="false">Raw_Data!D889</f>
        <v>secondary</v>
      </c>
      <c r="F889" s="3" t="str">
        <f aca="false">Raw_Data!E889</f>
        <v>no</v>
      </c>
      <c r="G889" s="3" t="n">
        <f aca="false">Raw_Data!F889</f>
        <v>338</v>
      </c>
      <c r="H889" s="3" t="str">
        <f aca="false">Raw_Data!G889</f>
        <v>yes</v>
      </c>
      <c r="I889" s="3" t="str">
        <f aca="false">Raw_Data!H889</f>
        <v>no</v>
      </c>
      <c r="J889" s="2" t="n">
        <f aca="false">IF(F889="yes",1,0)</f>
        <v>0</v>
      </c>
      <c r="K889" s="2" t="n">
        <f aca="false">IF(H889="yes",1,0)</f>
        <v>1</v>
      </c>
      <c r="L889" s="2" t="n">
        <f aca="false">IF(I889="yes",1,0)</f>
        <v>0</v>
      </c>
      <c r="M889" s="2" t="n">
        <f aca="false">IF(G889&lt;0,1,0)</f>
        <v>0</v>
      </c>
      <c r="N889" s="2" t="str">
        <f aca="false">_xlfn.IFS(B889&lt;30,"Under 30",B889&lt;40,"30-39",B889&lt;50,"40-49",B889&lt;60,"50-59",TRUE(),"60+")</f>
        <v>40-49</v>
      </c>
      <c r="O889" s="2" t="str">
        <f aca="false">_xlfn.IFS(G889&lt;0,"1 Negative",G889=0,"2 Zero",G889&lt;=500,"3 1-500",G889&lt;=2000,"4 501-2000",TRUE(),"5 Above 2000")</f>
        <v>3 1-500</v>
      </c>
      <c r="P889" s="2" t="n">
        <f aca="false">Lookups!$B$2*M889+Lookups!$B$3*L889</f>
        <v>0</v>
      </c>
      <c r="Q889" s="2" t="str">
        <f aca="false">INDEX(Lookups!$E$2:$E$5,MATCH(P889,Lookups!$D$2:$D$5,0))</f>
        <v>Low</v>
      </c>
    </row>
    <row r="890" customFormat="false" ht="15" hidden="false" customHeight="false" outlineLevel="0" collapsed="false">
      <c r="A890" s="3" t="n">
        <v>889</v>
      </c>
      <c r="B890" s="3" t="n">
        <f aca="false">Raw_Data!A890</f>
        <v>43</v>
      </c>
      <c r="C890" s="3" t="str">
        <f aca="false">SUBSTITUTE(Raw_Data!B890,".","")</f>
        <v>blue-collar</v>
      </c>
      <c r="D890" s="3" t="str">
        <f aca="false">Raw_Data!C890</f>
        <v>married</v>
      </c>
      <c r="E890" s="3" t="str">
        <f aca="false">Raw_Data!D890</f>
        <v>primary</v>
      </c>
      <c r="F890" s="3" t="str">
        <f aca="false">Raw_Data!E890</f>
        <v>no</v>
      </c>
      <c r="G890" s="3" t="n">
        <f aca="false">Raw_Data!F890</f>
        <v>757</v>
      </c>
      <c r="H890" s="3" t="str">
        <f aca="false">Raw_Data!G890</f>
        <v>yes</v>
      </c>
      <c r="I890" s="3" t="str">
        <f aca="false">Raw_Data!H890</f>
        <v>no</v>
      </c>
      <c r="J890" s="2" t="n">
        <f aca="false">IF(F890="yes",1,0)</f>
        <v>0</v>
      </c>
      <c r="K890" s="2" t="n">
        <f aca="false">IF(H890="yes",1,0)</f>
        <v>1</v>
      </c>
      <c r="L890" s="2" t="n">
        <f aca="false">IF(I890="yes",1,0)</f>
        <v>0</v>
      </c>
      <c r="M890" s="2" t="n">
        <f aca="false">IF(G890&lt;0,1,0)</f>
        <v>0</v>
      </c>
      <c r="N890" s="2" t="str">
        <f aca="false">_xlfn.IFS(B890&lt;30,"Under 30",B890&lt;40,"30-39",B890&lt;50,"40-49",B890&lt;60,"50-59",TRUE(),"60+")</f>
        <v>40-49</v>
      </c>
      <c r="O890" s="2" t="str">
        <f aca="false">_xlfn.IFS(G890&lt;0,"1 Negative",G890=0,"2 Zero",G890&lt;=500,"3 1-500",G890&lt;=2000,"4 501-2000",TRUE(),"5 Above 2000")</f>
        <v>4 501-2000</v>
      </c>
      <c r="P890" s="2" t="n">
        <f aca="false">Lookups!$B$2*M890+Lookups!$B$3*L890</f>
        <v>0</v>
      </c>
      <c r="Q890" s="2" t="str">
        <f aca="false">INDEX(Lookups!$E$2:$E$5,MATCH(P890,Lookups!$D$2:$D$5,0))</f>
        <v>Low</v>
      </c>
    </row>
    <row r="891" customFormat="false" ht="15" hidden="false" customHeight="false" outlineLevel="0" collapsed="false">
      <c r="A891" s="3" t="n">
        <v>890</v>
      </c>
      <c r="B891" s="3" t="n">
        <f aca="false">Raw_Data!A891</f>
        <v>36</v>
      </c>
      <c r="C891" s="3" t="str">
        <f aca="false">SUBSTITUTE(Raw_Data!B891,".","")</f>
        <v>management</v>
      </c>
      <c r="D891" s="3" t="str">
        <f aca="false">Raw_Data!C891</f>
        <v>married</v>
      </c>
      <c r="E891" s="3" t="str">
        <f aca="false">Raw_Data!D891</f>
        <v>tertiary</v>
      </c>
      <c r="F891" s="3" t="str">
        <f aca="false">Raw_Data!E891</f>
        <v>no</v>
      </c>
      <c r="G891" s="3" t="n">
        <f aca="false">Raw_Data!F891</f>
        <v>9269</v>
      </c>
      <c r="H891" s="3" t="str">
        <f aca="false">Raw_Data!G891</f>
        <v>yes</v>
      </c>
      <c r="I891" s="3" t="str">
        <f aca="false">Raw_Data!H891</f>
        <v>yes</v>
      </c>
      <c r="J891" s="2" t="n">
        <f aca="false">IF(F891="yes",1,0)</f>
        <v>0</v>
      </c>
      <c r="K891" s="2" t="n">
        <f aca="false">IF(H891="yes",1,0)</f>
        <v>1</v>
      </c>
      <c r="L891" s="2" t="n">
        <f aca="false">IF(I891="yes",1,0)</f>
        <v>1</v>
      </c>
      <c r="M891" s="2" t="n">
        <f aca="false">IF(G891&lt;0,1,0)</f>
        <v>0</v>
      </c>
      <c r="N891" s="2" t="str">
        <f aca="false">_xlfn.IFS(B891&lt;30,"Under 30",B891&lt;40,"30-39",B891&lt;50,"40-49",B891&lt;60,"50-59",TRUE(),"60+")</f>
        <v>30-39</v>
      </c>
      <c r="O891" s="2" t="str">
        <f aca="false">_xlfn.IFS(G891&lt;0,"1 Negative",G891=0,"2 Zero",G891&lt;=500,"3 1-500",G891&lt;=2000,"4 501-2000",TRUE(),"5 Above 2000")</f>
        <v>5 Above 2000</v>
      </c>
      <c r="P891" s="2" t="n">
        <f aca="false">Lookups!$B$2*M891+Lookups!$B$3*L891</f>
        <v>1</v>
      </c>
      <c r="Q891" s="2" t="str">
        <f aca="false">INDEX(Lookups!$E$2:$E$5,MATCH(P891,Lookups!$D$2:$D$5,0))</f>
        <v>Medium</v>
      </c>
    </row>
    <row r="892" customFormat="false" ht="15" hidden="false" customHeight="false" outlineLevel="0" collapsed="false">
      <c r="A892" s="3" t="n">
        <v>891</v>
      </c>
      <c r="B892" s="3" t="n">
        <f aca="false">Raw_Data!A892</f>
        <v>40</v>
      </c>
      <c r="C892" s="3" t="str">
        <f aca="false">SUBSTITUTE(Raw_Data!B892,".","")</f>
        <v>blue-collar</v>
      </c>
      <c r="D892" s="3" t="str">
        <f aca="false">Raw_Data!C892</f>
        <v>married</v>
      </c>
      <c r="E892" s="3" t="str">
        <f aca="false">Raw_Data!D892</f>
        <v>primary</v>
      </c>
      <c r="F892" s="3" t="str">
        <f aca="false">Raw_Data!E892</f>
        <v>no</v>
      </c>
      <c r="G892" s="3" t="n">
        <f aca="false">Raw_Data!F892</f>
        <v>1206</v>
      </c>
      <c r="H892" s="3" t="str">
        <f aca="false">Raw_Data!G892</f>
        <v>no</v>
      </c>
      <c r="I892" s="3" t="str">
        <f aca="false">Raw_Data!H892</f>
        <v>yes</v>
      </c>
      <c r="J892" s="2" t="n">
        <f aca="false">IF(F892="yes",1,0)</f>
        <v>0</v>
      </c>
      <c r="K892" s="2" t="n">
        <f aca="false">IF(H892="yes",1,0)</f>
        <v>0</v>
      </c>
      <c r="L892" s="2" t="n">
        <f aca="false">IF(I892="yes",1,0)</f>
        <v>1</v>
      </c>
      <c r="M892" s="2" t="n">
        <f aca="false">IF(G892&lt;0,1,0)</f>
        <v>0</v>
      </c>
      <c r="N892" s="2" t="str">
        <f aca="false">_xlfn.IFS(B892&lt;30,"Under 30",B892&lt;40,"30-39",B892&lt;50,"40-49",B892&lt;60,"50-59",TRUE(),"60+")</f>
        <v>40-49</v>
      </c>
      <c r="O892" s="2" t="str">
        <f aca="false">_xlfn.IFS(G892&lt;0,"1 Negative",G892=0,"2 Zero",G892&lt;=500,"3 1-500",G892&lt;=2000,"4 501-2000",TRUE(),"5 Above 2000")</f>
        <v>4 501-2000</v>
      </c>
      <c r="P892" s="2" t="n">
        <f aca="false">Lookups!$B$2*M892+Lookups!$B$3*L892</f>
        <v>1</v>
      </c>
      <c r="Q892" s="2" t="str">
        <f aca="false">INDEX(Lookups!$E$2:$E$5,MATCH(P892,Lookups!$D$2:$D$5,0))</f>
        <v>Medium</v>
      </c>
    </row>
    <row r="893" customFormat="false" ht="15" hidden="false" customHeight="false" outlineLevel="0" collapsed="false">
      <c r="A893" s="3" t="n">
        <v>892</v>
      </c>
      <c r="B893" s="3" t="n">
        <f aca="false">Raw_Data!A893</f>
        <v>28</v>
      </c>
      <c r="C893" s="3" t="str">
        <f aca="false">SUBSTITUTE(Raw_Data!B893,".","")</f>
        <v>management</v>
      </c>
      <c r="D893" s="3" t="str">
        <f aca="false">Raw_Data!C893</f>
        <v>single</v>
      </c>
      <c r="E893" s="3" t="str">
        <f aca="false">Raw_Data!D893</f>
        <v>tertiary</v>
      </c>
      <c r="F893" s="3" t="str">
        <f aca="false">Raw_Data!E893</f>
        <v>no</v>
      </c>
      <c r="G893" s="3" t="n">
        <f aca="false">Raw_Data!F893</f>
        <v>882</v>
      </c>
      <c r="H893" s="3" t="str">
        <f aca="false">Raw_Data!G893</f>
        <v>no</v>
      </c>
      <c r="I893" s="3" t="str">
        <f aca="false">Raw_Data!H893</f>
        <v>yes</v>
      </c>
      <c r="J893" s="2" t="n">
        <f aca="false">IF(F893="yes",1,0)</f>
        <v>0</v>
      </c>
      <c r="K893" s="2" t="n">
        <f aca="false">IF(H893="yes",1,0)</f>
        <v>0</v>
      </c>
      <c r="L893" s="2" t="n">
        <f aca="false">IF(I893="yes",1,0)</f>
        <v>1</v>
      </c>
      <c r="M893" s="2" t="n">
        <f aca="false">IF(G893&lt;0,1,0)</f>
        <v>0</v>
      </c>
      <c r="N893" s="2" t="str">
        <f aca="false">_xlfn.IFS(B893&lt;30,"Under 30",B893&lt;40,"30-39",B893&lt;50,"40-49",B893&lt;60,"50-59",TRUE(),"60+")</f>
        <v>Under 30</v>
      </c>
      <c r="O893" s="2" t="str">
        <f aca="false">_xlfn.IFS(G893&lt;0,"1 Negative",G893=0,"2 Zero",G893&lt;=500,"3 1-500",G893&lt;=2000,"4 501-2000",TRUE(),"5 Above 2000")</f>
        <v>4 501-2000</v>
      </c>
      <c r="P893" s="2" t="n">
        <f aca="false">Lookups!$B$2*M893+Lookups!$B$3*L893</f>
        <v>1</v>
      </c>
      <c r="Q893" s="2" t="str">
        <f aca="false">INDEX(Lookups!$E$2:$E$5,MATCH(P893,Lookups!$D$2:$D$5,0))</f>
        <v>Medium</v>
      </c>
    </row>
    <row r="894" customFormat="false" ht="15" hidden="false" customHeight="false" outlineLevel="0" collapsed="false">
      <c r="A894" s="3" t="n">
        <v>893</v>
      </c>
      <c r="B894" s="3" t="n">
        <f aca="false">Raw_Data!A894</f>
        <v>27</v>
      </c>
      <c r="C894" s="3" t="str">
        <f aca="false">SUBSTITUTE(Raw_Data!B894,".","")</f>
        <v>student</v>
      </c>
      <c r="D894" s="3" t="str">
        <f aca="false">Raw_Data!C894</f>
        <v>single</v>
      </c>
      <c r="E894" s="3" t="str">
        <f aca="false">Raw_Data!D894</f>
        <v>tertiary</v>
      </c>
      <c r="F894" s="3" t="str">
        <f aca="false">Raw_Data!E894</f>
        <v>no</v>
      </c>
      <c r="G894" s="3" t="n">
        <f aca="false">Raw_Data!F894</f>
        <v>5291</v>
      </c>
      <c r="H894" s="3" t="str">
        <f aca="false">Raw_Data!G894</f>
        <v>no</v>
      </c>
      <c r="I894" s="3" t="str">
        <f aca="false">Raw_Data!H894</f>
        <v>no</v>
      </c>
      <c r="J894" s="2" t="n">
        <f aca="false">IF(F894="yes",1,0)</f>
        <v>0</v>
      </c>
      <c r="K894" s="2" t="n">
        <f aca="false">IF(H894="yes",1,0)</f>
        <v>0</v>
      </c>
      <c r="L894" s="2" t="n">
        <f aca="false">IF(I894="yes",1,0)</f>
        <v>0</v>
      </c>
      <c r="M894" s="2" t="n">
        <f aca="false">IF(G894&lt;0,1,0)</f>
        <v>0</v>
      </c>
      <c r="N894" s="2" t="str">
        <f aca="false">_xlfn.IFS(B894&lt;30,"Under 30",B894&lt;40,"30-39",B894&lt;50,"40-49",B894&lt;60,"50-59",TRUE(),"60+")</f>
        <v>Under 30</v>
      </c>
      <c r="O894" s="2" t="str">
        <f aca="false">_xlfn.IFS(G894&lt;0,"1 Negative",G894=0,"2 Zero",G894&lt;=500,"3 1-500",G894&lt;=2000,"4 501-2000",TRUE(),"5 Above 2000")</f>
        <v>5 Above 2000</v>
      </c>
      <c r="P894" s="2" t="n">
        <f aca="false">Lookups!$B$2*M894+Lookups!$B$3*L894</f>
        <v>0</v>
      </c>
      <c r="Q894" s="2" t="str">
        <f aca="false">INDEX(Lookups!$E$2:$E$5,MATCH(P894,Lookups!$D$2:$D$5,0))</f>
        <v>Low</v>
      </c>
    </row>
    <row r="895" customFormat="false" ht="15" hidden="false" customHeight="false" outlineLevel="0" collapsed="false">
      <c r="A895" s="3" t="n">
        <v>894</v>
      </c>
      <c r="B895" s="3" t="n">
        <f aca="false">Raw_Data!A895</f>
        <v>49</v>
      </c>
      <c r="C895" s="3" t="str">
        <f aca="false">SUBSTITUTE(Raw_Data!B895,".","")</f>
        <v>management</v>
      </c>
      <c r="D895" s="3" t="str">
        <f aca="false">Raw_Data!C895</f>
        <v>single</v>
      </c>
      <c r="E895" s="3" t="str">
        <f aca="false">Raw_Data!D895</f>
        <v>secondary</v>
      </c>
      <c r="F895" s="3" t="str">
        <f aca="false">Raw_Data!E895</f>
        <v>no</v>
      </c>
      <c r="G895" s="3" t="n">
        <f aca="false">Raw_Data!F895</f>
        <v>61</v>
      </c>
      <c r="H895" s="3" t="str">
        <f aca="false">Raw_Data!G895</f>
        <v>yes</v>
      </c>
      <c r="I895" s="3" t="str">
        <f aca="false">Raw_Data!H895</f>
        <v>no</v>
      </c>
      <c r="J895" s="2" t="n">
        <f aca="false">IF(F895="yes",1,0)</f>
        <v>0</v>
      </c>
      <c r="K895" s="2" t="n">
        <f aca="false">IF(H895="yes",1,0)</f>
        <v>1</v>
      </c>
      <c r="L895" s="2" t="n">
        <f aca="false">IF(I895="yes",1,0)</f>
        <v>0</v>
      </c>
      <c r="M895" s="2" t="n">
        <f aca="false">IF(G895&lt;0,1,0)</f>
        <v>0</v>
      </c>
      <c r="N895" s="2" t="str">
        <f aca="false">_xlfn.IFS(B895&lt;30,"Under 30",B895&lt;40,"30-39",B895&lt;50,"40-49",B895&lt;60,"50-59",TRUE(),"60+")</f>
        <v>40-49</v>
      </c>
      <c r="O895" s="2" t="str">
        <f aca="false">_xlfn.IFS(G895&lt;0,"1 Negative",G895=0,"2 Zero",G895&lt;=500,"3 1-500",G895&lt;=2000,"4 501-2000",TRUE(),"5 Above 2000")</f>
        <v>3 1-500</v>
      </c>
      <c r="P895" s="2" t="n">
        <f aca="false">Lookups!$B$2*M895+Lookups!$B$3*L895</f>
        <v>0</v>
      </c>
      <c r="Q895" s="2" t="str">
        <f aca="false">INDEX(Lookups!$E$2:$E$5,MATCH(P895,Lookups!$D$2:$D$5,0))</f>
        <v>Low</v>
      </c>
    </row>
    <row r="896" customFormat="false" ht="15" hidden="false" customHeight="false" outlineLevel="0" collapsed="false">
      <c r="A896" s="3" t="n">
        <v>895</v>
      </c>
      <c r="B896" s="3" t="n">
        <f aca="false">Raw_Data!A896</f>
        <v>37</v>
      </c>
      <c r="C896" s="3" t="str">
        <f aca="false">SUBSTITUTE(Raw_Data!B896,".","")</f>
        <v>technician</v>
      </c>
      <c r="D896" s="3" t="str">
        <f aca="false">Raw_Data!C896</f>
        <v>married</v>
      </c>
      <c r="E896" s="3" t="str">
        <f aca="false">Raw_Data!D896</f>
        <v>tertiary</v>
      </c>
      <c r="F896" s="3" t="str">
        <f aca="false">Raw_Data!E896</f>
        <v>no</v>
      </c>
      <c r="G896" s="3" t="n">
        <f aca="false">Raw_Data!F896</f>
        <v>0</v>
      </c>
      <c r="H896" s="3" t="str">
        <f aca="false">Raw_Data!G896</f>
        <v>yes</v>
      </c>
      <c r="I896" s="3" t="str">
        <f aca="false">Raw_Data!H896</f>
        <v>no</v>
      </c>
      <c r="J896" s="2" t="n">
        <f aca="false">IF(F896="yes",1,0)</f>
        <v>0</v>
      </c>
      <c r="K896" s="2" t="n">
        <f aca="false">IF(H896="yes",1,0)</f>
        <v>1</v>
      </c>
      <c r="L896" s="2" t="n">
        <f aca="false">IF(I896="yes",1,0)</f>
        <v>0</v>
      </c>
      <c r="M896" s="2" t="n">
        <f aca="false">IF(G896&lt;0,1,0)</f>
        <v>0</v>
      </c>
      <c r="N896" s="2" t="str">
        <f aca="false">_xlfn.IFS(B896&lt;30,"Under 30",B896&lt;40,"30-39",B896&lt;50,"40-49",B896&lt;60,"50-59",TRUE(),"60+")</f>
        <v>30-39</v>
      </c>
      <c r="O896" s="2" t="str">
        <f aca="false">_xlfn.IFS(G896&lt;0,"1 Negative",G896=0,"2 Zero",G896&lt;=500,"3 1-500",G896&lt;=2000,"4 501-2000",TRUE(),"5 Above 2000")</f>
        <v>2 Zero</v>
      </c>
      <c r="P896" s="2" t="n">
        <f aca="false">Lookups!$B$2*M896+Lookups!$B$3*L896</f>
        <v>0</v>
      </c>
      <c r="Q896" s="2" t="str">
        <f aca="false">INDEX(Lookups!$E$2:$E$5,MATCH(P896,Lookups!$D$2:$D$5,0))</f>
        <v>Low</v>
      </c>
    </row>
    <row r="897" customFormat="false" ht="15" hidden="false" customHeight="false" outlineLevel="0" collapsed="false">
      <c r="A897" s="3" t="n">
        <v>896</v>
      </c>
      <c r="B897" s="3" t="n">
        <f aca="false">Raw_Data!A897</f>
        <v>31</v>
      </c>
      <c r="C897" s="3" t="str">
        <f aca="false">SUBSTITUTE(Raw_Data!B897,".","")</f>
        <v>blue-collar</v>
      </c>
      <c r="D897" s="3" t="str">
        <f aca="false">Raw_Data!C897</f>
        <v>married</v>
      </c>
      <c r="E897" s="3" t="str">
        <f aca="false">Raw_Data!D897</f>
        <v>secondary</v>
      </c>
      <c r="F897" s="3" t="str">
        <f aca="false">Raw_Data!E897</f>
        <v>no</v>
      </c>
      <c r="G897" s="3" t="n">
        <f aca="false">Raw_Data!F897</f>
        <v>1407</v>
      </c>
      <c r="H897" s="3" t="str">
        <f aca="false">Raw_Data!G897</f>
        <v>yes</v>
      </c>
      <c r="I897" s="3" t="str">
        <f aca="false">Raw_Data!H897</f>
        <v>no</v>
      </c>
      <c r="J897" s="2" t="n">
        <f aca="false">IF(F897="yes",1,0)</f>
        <v>0</v>
      </c>
      <c r="K897" s="2" t="n">
        <f aca="false">IF(H897="yes",1,0)</f>
        <v>1</v>
      </c>
      <c r="L897" s="2" t="n">
        <f aca="false">IF(I897="yes",1,0)</f>
        <v>0</v>
      </c>
      <c r="M897" s="2" t="n">
        <f aca="false">IF(G897&lt;0,1,0)</f>
        <v>0</v>
      </c>
      <c r="N897" s="2" t="str">
        <f aca="false">_xlfn.IFS(B897&lt;30,"Under 30",B897&lt;40,"30-39",B897&lt;50,"40-49",B897&lt;60,"50-59",TRUE(),"60+")</f>
        <v>30-39</v>
      </c>
      <c r="O897" s="2" t="str">
        <f aca="false">_xlfn.IFS(G897&lt;0,"1 Negative",G897=0,"2 Zero",G897&lt;=500,"3 1-500",G897&lt;=2000,"4 501-2000",TRUE(),"5 Above 2000")</f>
        <v>4 501-2000</v>
      </c>
      <c r="P897" s="2" t="n">
        <f aca="false">Lookups!$B$2*M897+Lookups!$B$3*L897</f>
        <v>0</v>
      </c>
      <c r="Q897" s="2" t="str">
        <f aca="false">INDEX(Lookups!$E$2:$E$5,MATCH(P897,Lookups!$D$2:$D$5,0))</f>
        <v>Low</v>
      </c>
    </row>
    <row r="898" customFormat="false" ht="15" hidden="false" customHeight="false" outlineLevel="0" collapsed="false">
      <c r="A898" s="3" t="n">
        <v>897</v>
      </c>
      <c r="B898" s="3" t="n">
        <f aca="false">Raw_Data!A898</f>
        <v>31</v>
      </c>
      <c r="C898" s="3" t="str">
        <f aca="false">SUBSTITUTE(Raw_Data!B898,".","")</f>
        <v>technician</v>
      </c>
      <c r="D898" s="3" t="str">
        <f aca="false">Raw_Data!C898</f>
        <v>single</v>
      </c>
      <c r="E898" s="3" t="str">
        <f aca="false">Raw_Data!D898</f>
        <v>secondary</v>
      </c>
      <c r="F898" s="3" t="str">
        <f aca="false">Raw_Data!E898</f>
        <v>yes</v>
      </c>
      <c r="G898" s="3" t="n">
        <f aca="false">Raw_Data!F898</f>
        <v>25</v>
      </c>
      <c r="H898" s="3" t="str">
        <f aca="false">Raw_Data!G898</f>
        <v>no</v>
      </c>
      <c r="I898" s="3" t="str">
        <f aca="false">Raw_Data!H898</f>
        <v>no</v>
      </c>
      <c r="J898" s="2" t="n">
        <f aca="false">IF(F898="yes",1,0)</f>
        <v>1</v>
      </c>
      <c r="K898" s="2" t="n">
        <f aca="false">IF(H898="yes",1,0)</f>
        <v>0</v>
      </c>
      <c r="L898" s="2" t="n">
        <f aca="false">IF(I898="yes",1,0)</f>
        <v>0</v>
      </c>
      <c r="M898" s="2" t="n">
        <f aca="false">IF(G898&lt;0,1,0)</f>
        <v>0</v>
      </c>
      <c r="N898" s="2" t="str">
        <f aca="false">_xlfn.IFS(B898&lt;30,"Under 30",B898&lt;40,"30-39",B898&lt;50,"40-49",B898&lt;60,"50-59",TRUE(),"60+")</f>
        <v>30-39</v>
      </c>
      <c r="O898" s="2" t="str">
        <f aca="false">_xlfn.IFS(G898&lt;0,"1 Negative",G898=0,"2 Zero",G898&lt;=500,"3 1-500",G898&lt;=2000,"4 501-2000",TRUE(),"5 Above 2000")</f>
        <v>3 1-500</v>
      </c>
      <c r="P898" s="2" t="n">
        <f aca="false">Lookups!$B$2*M898+Lookups!$B$3*L898</f>
        <v>0</v>
      </c>
      <c r="Q898" s="2" t="str">
        <f aca="false">INDEX(Lookups!$E$2:$E$5,MATCH(P898,Lookups!$D$2:$D$5,0))</f>
        <v>Low</v>
      </c>
    </row>
    <row r="899" customFormat="false" ht="15" hidden="false" customHeight="false" outlineLevel="0" collapsed="false">
      <c r="A899" s="3" t="n">
        <v>898</v>
      </c>
      <c r="B899" s="3" t="n">
        <f aca="false">Raw_Data!A899</f>
        <v>31</v>
      </c>
      <c r="C899" s="3" t="str">
        <f aca="false">SUBSTITUTE(Raw_Data!B899,".","")</f>
        <v>blue-collar</v>
      </c>
      <c r="D899" s="3" t="str">
        <f aca="false">Raw_Data!C899</f>
        <v>married</v>
      </c>
      <c r="E899" s="3" t="str">
        <f aca="false">Raw_Data!D899</f>
        <v>secondary</v>
      </c>
      <c r="F899" s="3" t="str">
        <f aca="false">Raw_Data!E899</f>
        <v>no</v>
      </c>
      <c r="G899" s="3" t="n">
        <f aca="false">Raw_Data!F899</f>
        <v>1354</v>
      </c>
      <c r="H899" s="3" t="str">
        <f aca="false">Raw_Data!G899</f>
        <v>yes</v>
      </c>
      <c r="I899" s="3" t="str">
        <f aca="false">Raw_Data!H899</f>
        <v>yes</v>
      </c>
      <c r="J899" s="2" t="n">
        <f aca="false">IF(F899="yes",1,0)</f>
        <v>0</v>
      </c>
      <c r="K899" s="2" t="n">
        <f aca="false">IF(H899="yes",1,0)</f>
        <v>1</v>
      </c>
      <c r="L899" s="2" t="n">
        <f aca="false">IF(I899="yes",1,0)</f>
        <v>1</v>
      </c>
      <c r="M899" s="2" t="n">
        <f aca="false">IF(G899&lt;0,1,0)</f>
        <v>0</v>
      </c>
      <c r="N899" s="2" t="str">
        <f aca="false">_xlfn.IFS(B899&lt;30,"Under 30",B899&lt;40,"30-39",B899&lt;50,"40-49",B899&lt;60,"50-59",TRUE(),"60+")</f>
        <v>30-39</v>
      </c>
      <c r="O899" s="2" t="str">
        <f aca="false">_xlfn.IFS(G899&lt;0,"1 Negative",G899=0,"2 Zero",G899&lt;=500,"3 1-500",G899&lt;=2000,"4 501-2000",TRUE(),"5 Above 2000")</f>
        <v>4 501-2000</v>
      </c>
      <c r="P899" s="2" t="n">
        <f aca="false">Lookups!$B$2*M899+Lookups!$B$3*L899</f>
        <v>1</v>
      </c>
      <c r="Q899" s="2" t="str">
        <f aca="false">INDEX(Lookups!$E$2:$E$5,MATCH(P899,Lookups!$D$2:$D$5,0))</f>
        <v>Medium</v>
      </c>
    </row>
    <row r="900" customFormat="false" ht="15" hidden="false" customHeight="false" outlineLevel="0" collapsed="false">
      <c r="A900" s="3" t="n">
        <v>899</v>
      </c>
      <c r="B900" s="3" t="n">
        <f aca="false">Raw_Data!A900</f>
        <v>35</v>
      </c>
      <c r="C900" s="3" t="str">
        <f aca="false">SUBSTITUTE(Raw_Data!B900,".","")</f>
        <v>blue-collar</v>
      </c>
      <c r="D900" s="3" t="str">
        <f aca="false">Raw_Data!C900</f>
        <v>married</v>
      </c>
      <c r="E900" s="3" t="str">
        <f aca="false">Raw_Data!D900</f>
        <v>primary</v>
      </c>
      <c r="F900" s="3" t="str">
        <f aca="false">Raw_Data!E900</f>
        <v>no</v>
      </c>
      <c r="G900" s="3" t="n">
        <f aca="false">Raw_Data!F900</f>
        <v>793</v>
      </c>
      <c r="H900" s="3" t="str">
        <f aca="false">Raw_Data!G900</f>
        <v>yes</v>
      </c>
      <c r="I900" s="3" t="str">
        <f aca="false">Raw_Data!H900</f>
        <v>no</v>
      </c>
      <c r="J900" s="2" t="n">
        <f aca="false">IF(F900="yes",1,0)</f>
        <v>0</v>
      </c>
      <c r="K900" s="2" t="n">
        <f aca="false">IF(H900="yes",1,0)</f>
        <v>1</v>
      </c>
      <c r="L900" s="2" t="n">
        <f aca="false">IF(I900="yes",1,0)</f>
        <v>0</v>
      </c>
      <c r="M900" s="2" t="n">
        <f aca="false">IF(G900&lt;0,1,0)</f>
        <v>0</v>
      </c>
      <c r="N900" s="2" t="str">
        <f aca="false">_xlfn.IFS(B900&lt;30,"Under 30",B900&lt;40,"30-39",B900&lt;50,"40-49",B900&lt;60,"50-59",TRUE(),"60+")</f>
        <v>30-39</v>
      </c>
      <c r="O900" s="2" t="str">
        <f aca="false">_xlfn.IFS(G900&lt;0,"1 Negative",G900=0,"2 Zero",G900&lt;=500,"3 1-500",G900&lt;=2000,"4 501-2000",TRUE(),"5 Above 2000")</f>
        <v>4 501-2000</v>
      </c>
      <c r="P900" s="2" t="n">
        <f aca="false">Lookups!$B$2*M900+Lookups!$B$3*L900</f>
        <v>0</v>
      </c>
      <c r="Q900" s="2" t="str">
        <f aca="false">INDEX(Lookups!$E$2:$E$5,MATCH(P900,Lookups!$D$2:$D$5,0))</f>
        <v>Low</v>
      </c>
    </row>
    <row r="901" customFormat="false" ht="15" hidden="false" customHeight="false" outlineLevel="0" collapsed="false">
      <c r="A901" s="3" t="n">
        <v>900</v>
      </c>
      <c r="B901" s="3" t="n">
        <f aca="false">Raw_Data!A901</f>
        <v>51</v>
      </c>
      <c r="C901" s="3" t="str">
        <f aca="false">SUBSTITUTE(Raw_Data!B901,".","")</f>
        <v>blue-collar</v>
      </c>
      <c r="D901" s="3" t="str">
        <f aca="false">Raw_Data!C901</f>
        <v>divorced</v>
      </c>
      <c r="E901" s="3" t="str">
        <f aca="false">Raw_Data!D901</f>
        <v>unknown</v>
      </c>
      <c r="F901" s="3" t="str">
        <f aca="false">Raw_Data!E901</f>
        <v>no</v>
      </c>
      <c r="G901" s="3" t="n">
        <f aca="false">Raw_Data!F901</f>
        <v>10287</v>
      </c>
      <c r="H901" s="3" t="str">
        <f aca="false">Raw_Data!G901</f>
        <v>yes</v>
      </c>
      <c r="I901" s="3" t="str">
        <f aca="false">Raw_Data!H901</f>
        <v>no</v>
      </c>
      <c r="J901" s="2" t="n">
        <f aca="false">IF(F901="yes",1,0)</f>
        <v>0</v>
      </c>
      <c r="K901" s="2" t="n">
        <f aca="false">IF(H901="yes",1,0)</f>
        <v>1</v>
      </c>
      <c r="L901" s="2" t="n">
        <f aca="false">IF(I901="yes",1,0)</f>
        <v>0</v>
      </c>
      <c r="M901" s="2" t="n">
        <f aca="false">IF(G901&lt;0,1,0)</f>
        <v>0</v>
      </c>
      <c r="N901" s="2" t="str">
        <f aca="false">_xlfn.IFS(B901&lt;30,"Under 30",B901&lt;40,"30-39",B901&lt;50,"40-49",B901&lt;60,"50-59",TRUE(),"60+")</f>
        <v>50-59</v>
      </c>
      <c r="O901" s="2" t="str">
        <f aca="false">_xlfn.IFS(G901&lt;0,"1 Negative",G901=0,"2 Zero",G901&lt;=500,"3 1-500",G901&lt;=2000,"4 501-2000",TRUE(),"5 Above 2000")</f>
        <v>5 Above 2000</v>
      </c>
      <c r="P901" s="2" t="n">
        <f aca="false">Lookups!$B$2*M901+Lookups!$B$3*L901</f>
        <v>0</v>
      </c>
      <c r="Q901" s="2" t="str">
        <f aca="false">INDEX(Lookups!$E$2:$E$5,MATCH(P901,Lookups!$D$2:$D$5,0))</f>
        <v>Low</v>
      </c>
    </row>
    <row r="902" customFormat="false" ht="15" hidden="false" customHeight="false" outlineLevel="0" collapsed="false">
      <c r="A902" s="3" t="n">
        <v>901</v>
      </c>
      <c r="B902" s="3" t="n">
        <f aca="false">Raw_Data!A902</f>
        <v>33</v>
      </c>
      <c r="C902" s="3" t="str">
        <f aca="false">SUBSTITUTE(Raw_Data!B902,".","")</f>
        <v>technician</v>
      </c>
      <c r="D902" s="3" t="str">
        <f aca="false">Raw_Data!C902</f>
        <v>single</v>
      </c>
      <c r="E902" s="3" t="str">
        <f aca="false">Raw_Data!D902</f>
        <v>secondary</v>
      </c>
      <c r="F902" s="3" t="str">
        <f aca="false">Raw_Data!E902</f>
        <v>no</v>
      </c>
      <c r="G902" s="3" t="n">
        <f aca="false">Raw_Data!F902</f>
        <v>5235</v>
      </c>
      <c r="H902" s="3" t="str">
        <f aca="false">Raw_Data!G902</f>
        <v>no</v>
      </c>
      <c r="I902" s="3" t="str">
        <f aca="false">Raw_Data!H902</f>
        <v>no</v>
      </c>
      <c r="J902" s="2" t="n">
        <f aca="false">IF(F902="yes",1,0)</f>
        <v>0</v>
      </c>
      <c r="K902" s="2" t="n">
        <f aca="false">IF(H902="yes",1,0)</f>
        <v>0</v>
      </c>
      <c r="L902" s="2" t="n">
        <f aca="false">IF(I902="yes",1,0)</f>
        <v>0</v>
      </c>
      <c r="M902" s="2" t="n">
        <f aca="false">IF(G902&lt;0,1,0)</f>
        <v>0</v>
      </c>
      <c r="N902" s="2" t="str">
        <f aca="false">_xlfn.IFS(B902&lt;30,"Under 30",B902&lt;40,"30-39",B902&lt;50,"40-49",B902&lt;60,"50-59",TRUE(),"60+")</f>
        <v>30-39</v>
      </c>
      <c r="O902" s="2" t="str">
        <f aca="false">_xlfn.IFS(G902&lt;0,"1 Negative",G902=0,"2 Zero",G902&lt;=500,"3 1-500",G902&lt;=2000,"4 501-2000",TRUE(),"5 Above 2000")</f>
        <v>5 Above 2000</v>
      </c>
      <c r="P902" s="2" t="n">
        <f aca="false">Lookups!$B$2*M902+Lookups!$B$3*L902</f>
        <v>0</v>
      </c>
      <c r="Q902" s="2" t="str">
        <f aca="false">INDEX(Lookups!$E$2:$E$5,MATCH(P902,Lookups!$D$2:$D$5,0))</f>
        <v>Low</v>
      </c>
    </row>
    <row r="903" customFormat="false" ht="15" hidden="false" customHeight="false" outlineLevel="0" collapsed="false">
      <c r="A903" s="3" t="n">
        <v>902</v>
      </c>
      <c r="B903" s="3" t="n">
        <f aca="false">Raw_Data!A903</f>
        <v>30</v>
      </c>
      <c r="C903" s="3" t="str">
        <f aca="false">SUBSTITUTE(Raw_Data!B903,".","")</f>
        <v>technician</v>
      </c>
      <c r="D903" s="3" t="str">
        <f aca="false">Raw_Data!C903</f>
        <v>single</v>
      </c>
      <c r="E903" s="3" t="str">
        <f aca="false">Raw_Data!D903</f>
        <v>tertiary</v>
      </c>
      <c r="F903" s="3" t="str">
        <f aca="false">Raw_Data!E903</f>
        <v>no</v>
      </c>
      <c r="G903" s="3" t="n">
        <f aca="false">Raw_Data!F903</f>
        <v>3</v>
      </c>
      <c r="H903" s="3" t="str">
        <f aca="false">Raw_Data!G903</f>
        <v>yes</v>
      </c>
      <c r="I903" s="3" t="str">
        <f aca="false">Raw_Data!H903</f>
        <v>no</v>
      </c>
      <c r="J903" s="2" t="n">
        <f aca="false">IF(F903="yes",1,0)</f>
        <v>0</v>
      </c>
      <c r="K903" s="2" t="n">
        <f aca="false">IF(H903="yes",1,0)</f>
        <v>1</v>
      </c>
      <c r="L903" s="2" t="n">
        <f aca="false">IF(I903="yes",1,0)</f>
        <v>0</v>
      </c>
      <c r="M903" s="2" t="n">
        <f aca="false">IF(G903&lt;0,1,0)</f>
        <v>0</v>
      </c>
      <c r="N903" s="2" t="str">
        <f aca="false">_xlfn.IFS(B903&lt;30,"Under 30",B903&lt;40,"30-39",B903&lt;50,"40-49",B903&lt;60,"50-59",TRUE(),"60+")</f>
        <v>30-39</v>
      </c>
      <c r="O903" s="2" t="str">
        <f aca="false">_xlfn.IFS(G903&lt;0,"1 Negative",G903=0,"2 Zero",G903&lt;=500,"3 1-500",G903&lt;=2000,"4 501-2000",TRUE(),"5 Above 2000")</f>
        <v>3 1-500</v>
      </c>
      <c r="P903" s="2" t="n">
        <f aca="false">Lookups!$B$2*M903+Lookups!$B$3*L903</f>
        <v>0</v>
      </c>
      <c r="Q903" s="2" t="str">
        <f aca="false">INDEX(Lookups!$E$2:$E$5,MATCH(P903,Lookups!$D$2:$D$5,0))</f>
        <v>Low</v>
      </c>
    </row>
    <row r="904" customFormat="false" ht="15" hidden="false" customHeight="false" outlineLevel="0" collapsed="false">
      <c r="A904" s="3" t="n">
        <v>903</v>
      </c>
      <c r="B904" s="3" t="n">
        <f aca="false">Raw_Data!A904</f>
        <v>58</v>
      </c>
      <c r="C904" s="3" t="str">
        <f aca="false">SUBSTITUTE(Raw_Data!B904,".","")</f>
        <v>technician</v>
      </c>
      <c r="D904" s="3" t="str">
        <f aca="false">Raw_Data!C904</f>
        <v>single</v>
      </c>
      <c r="E904" s="3" t="str">
        <f aca="false">Raw_Data!D904</f>
        <v>secondary</v>
      </c>
      <c r="F904" s="3" t="str">
        <f aca="false">Raw_Data!E904</f>
        <v>no</v>
      </c>
      <c r="G904" s="3" t="n">
        <f aca="false">Raw_Data!F904</f>
        <v>409</v>
      </c>
      <c r="H904" s="3" t="str">
        <f aca="false">Raw_Data!G904</f>
        <v>no</v>
      </c>
      <c r="I904" s="3" t="str">
        <f aca="false">Raw_Data!H904</f>
        <v>yes</v>
      </c>
      <c r="J904" s="2" t="n">
        <f aca="false">IF(F904="yes",1,0)</f>
        <v>0</v>
      </c>
      <c r="K904" s="2" t="n">
        <f aca="false">IF(H904="yes",1,0)</f>
        <v>0</v>
      </c>
      <c r="L904" s="2" t="n">
        <f aca="false">IF(I904="yes",1,0)</f>
        <v>1</v>
      </c>
      <c r="M904" s="2" t="n">
        <f aca="false">IF(G904&lt;0,1,0)</f>
        <v>0</v>
      </c>
      <c r="N904" s="2" t="str">
        <f aca="false">_xlfn.IFS(B904&lt;30,"Under 30",B904&lt;40,"30-39",B904&lt;50,"40-49",B904&lt;60,"50-59",TRUE(),"60+")</f>
        <v>50-59</v>
      </c>
      <c r="O904" s="2" t="str">
        <f aca="false">_xlfn.IFS(G904&lt;0,"1 Negative",G904=0,"2 Zero",G904&lt;=500,"3 1-500",G904&lt;=2000,"4 501-2000",TRUE(),"5 Above 2000")</f>
        <v>3 1-500</v>
      </c>
      <c r="P904" s="2" t="n">
        <f aca="false">Lookups!$B$2*M904+Lookups!$B$3*L904</f>
        <v>1</v>
      </c>
      <c r="Q904" s="2" t="str">
        <f aca="false">INDEX(Lookups!$E$2:$E$5,MATCH(P904,Lookups!$D$2:$D$5,0))</f>
        <v>Medium</v>
      </c>
    </row>
    <row r="905" customFormat="false" ht="15" hidden="false" customHeight="false" outlineLevel="0" collapsed="false">
      <c r="A905" s="3" t="n">
        <v>904</v>
      </c>
      <c r="B905" s="3" t="n">
        <f aca="false">Raw_Data!A905</f>
        <v>34</v>
      </c>
      <c r="C905" s="3" t="str">
        <f aca="false">SUBSTITUTE(Raw_Data!B905,".","")</f>
        <v>admin</v>
      </c>
      <c r="D905" s="3" t="str">
        <f aca="false">Raw_Data!C905</f>
        <v>married</v>
      </c>
      <c r="E905" s="3" t="str">
        <f aca="false">Raw_Data!D905</f>
        <v>tertiary</v>
      </c>
      <c r="F905" s="3" t="str">
        <f aca="false">Raw_Data!E905</f>
        <v>no</v>
      </c>
      <c r="G905" s="3" t="n">
        <f aca="false">Raw_Data!F905</f>
        <v>35</v>
      </c>
      <c r="H905" s="3" t="str">
        <f aca="false">Raw_Data!G905</f>
        <v>yes</v>
      </c>
      <c r="I905" s="3" t="str">
        <f aca="false">Raw_Data!H905</f>
        <v>no</v>
      </c>
      <c r="J905" s="2" t="n">
        <f aca="false">IF(F905="yes",1,0)</f>
        <v>0</v>
      </c>
      <c r="K905" s="2" t="n">
        <f aca="false">IF(H905="yes",1,0)</f>
        <v>1</v>
      </c>
      <c r="L905" s="2" t="n">
        <f aca="false">IF(I905="yes",1,0)</f>
        <v>0</v>
      </c>
      <c r="M905" s="2" t="n">
        <f aca="false">IF(G905&lt;0,1,0)</f>
        <v>0</v>
      </c>
      <c r="N905" s="2" t="str">
        <f aca="false">_xlfn.IFS(B905&lt;30,"Under 30",B905&lt;40,"30-39",B905&lt;50,"40-49",B905&lt;60,"50-59",TRUE(),"60+")</f>
        <v>30-39</v>
      </c>
      <c r="O905" s="2" t="str">
        <f aca="false">_xlfn.IFS(G905&lt;0,"1 Negative",G905=0,"2 Zero",G905&lt;=500,"3 1-500",G905&lt;=2000,"4 501-2000",TRUE(),"5 Above 2000")</f>
        <v>3 1-500</v>
      </c>
      <c r="P905" s="2" t="n">
        <f aca="false">Lookups!$B$2*M905+Lookups!$B$3*L905</f>
        <v>0</v>
      </c>
      <c r="Q905" s="2" t="str">
        <f aca="false">INDEX(Lookups!$E$2:$E$5,MATCH(P905,Lookups!$D$2:$D$5,0))</f>
        <v>Low</v>
      </c>
    </row>
    <row r="906" customFormat="false" ht="15" hidden="false" customHeight="false" outlineLevel="0" collapsed="false">
      <c r="A906" s="3" t="n">
        <v>905</v>
      </c>
      <c r="B906" s="3" t="n">
        <f aca="false">Raw_Data!A906</f>
        <v>45</v>
      </c>
      <c r="C906" s="3" t="str">
        <f aca="false">SUBSTITUTE(Raw_Data!B906,".","")</f>
        <v>management</v>
      </c>
      <c r="D906" s="3" t="str">
        <f aca="false">Raw_Data!C906</f>
        <v>married</v>
      </c>
      <c r="E906" s="3" t="str">
        <f aca="false">Raw_Data!D906</f>
        <v>tertiary</v>
      </c>
      <c r="F906" s="3" t="str">
        <f aca="false">Raw_Data!E906</f>
        <v>no</v>
      </c>
      <c r="G906" s="3" t="n">
        <f aca="false">Raw_Data!F906</f>
        <v>-459</v>
      </c>
      <c r="H906" s="3" t="str">
        <f aca="false">Raw_Data!G906</f>
        <v>no</v>
      </c>
      <c r="I906" s="3" t="str">
        <f aca="false">Raw_Data!H906</f>
        <v>no</v>
      </c>
      <c r="J906" s="2" t="n">
        <f aca="false">IF(F906="yes",1,0)</f>
        <v>0</v>
      </c>
      <c r="K906" s="2" t="n">
        <f aca="false">IF(H906="yes",1,0)</f>
        <v>0</v>
      </c>
      <c r="L906" s="2" t="n">
        <f aca="false">IF(I906="yes",1,0)</f>
        <v>0</v>
      </c>
      <c r="M906" s="2" t="n">
        <f aca="false">IF(G906&lt;0,1,0)</f>
        <v>1</v>
      </c>
      <c r="N906" s="2" t="str">
        <f aca="false">_xlfn.IFS(B906&lt;30,"Under 30",B906&lt;40,"30-39",B906&lt;50,"40-49",B906&lt;60,"50-59",TRUE(),"60+")</f>
        <v>40-49</v>
      </c>
      <c r="O906" s="2" t="str">
        <f aca="false">_xlfn.IFS(G906&lt;0,"1 Negative",G906=0,"2 Zero",G906&lt;=500,"3 1-500",G906&lt;=2000,"4 501-2000",TRUE(),"5 Above 2000")</f>
        <v>1 Negative</v>
      </c>
      <c r="P906" s="2" t="n">
        <f aca="false">Lookups!$B$2*M906+Lookups!$B$3*L906</f>
        <v>2</v>
      </c>
      <c r="Q906" s="2" t="str">
        <f aca="false">INDEX(Lookups!$E$2:$E$5,MATCH(P906,Lookups!$D$2:$D$5,0))</f>
        <v>High</v>
      </c>
    </row>
    <row r="907" customFormat="false" ht="15" hidden="false" customHeight="false" outlineLevel="0" collapsed="false">
      <c r="A907" s="3" t="n">
        <v>906</v>
      </c>
      <c r="B907" s="3" t="n">
        <f aca="false">Raw_Data!A907</f>
        <v>28</v>
      </c>
      <c r="C907" s="3" t="str">
        <f aca="false">SUBSTITUTE(Raw_Data!B907,".","")</f>
        <v>services</v>
      </c>
      <c r="D907" s="3" t="str">
        <f aca="false">Raw_Data!C907</f>
        <v>single</v>
      </c>
      <c r="E907" s="3" t="str">
        <f aca="false">Raw_Data!D907</f>
        <v>secondary</v>
      </c>
      <c r="F907" s="3" t="str">
        <f aca="false">Raw_Data!E907</f>
        <v>no</v>
      </c>
      <c r="G907" s="3" t="n">
        <f aca="false">Raw_Data!F907</f>
        <v>198</v>
      </c>
      <c r="H907" s="3" t="str">
        <f aca="false">Raw_Data!G907</f>
        <v>no</v>
      </c>
      <c r="I907" s="3" t="str">
        <f aca="false">Raw_Data!H907</f>
        <v>no</v>
      </c>
      <c r="J907" s="2" t="n">
        <f aca="false">IF(F907="yes",1,0)</f>
        <v>0</v>
      </c>
      <c r="K907" s="2" t="n">
        <f aca="false">IF(H907="yes",1,0)</f>
        <v>0</v>
      </c>
      <c r="L907" s="2" t="n">
        <f aca="false">IF(I907="yes",1,0)</f>
        <v>0</v>
      </c>
      <c r="M907" s="2" t="n">
        <f aca="false">IF(G907&lt;0,1,0)</f>
        <v>0</v>
      </c>
      <c r="N907" s="2" t="str">
        <f aca="false">_xlfn.IFS(B907&lt;30,"Under 30",B907&lt;40,"30-39",B907&lt;50,"40-49",B907&lt;60,"50-59",TRUE(),"60+")</f>
        <v>Under 30</v>
      </c>
      <c r="O907" s="2" t="str">
        <f aca="false">_xlfn.IFS(G907&lt;0,"1 Negative",G907=0,"2 Zero",G907&lt;=500,"3 1-500",G907&lt;=2000,"4 501-2000",TRUE(),"5 Above 2000")</f>
        <v>3 1-500</v>
      </c>
      <c r="P907" s="2" t="n">
        <f aca="false">Lookups!$B$2*M907+Lookups!$B$3*L907</f>
        <v>0</v>
      </c>
      <c r="Q907" s="2" t="str">
        <f aca="false">INDEX(Lookups!$E$2:$E$5,MATCH(P907,Lookups!$D$2:$D$5,0))</f>
        <v>Low</v>
      </c>
    </row>
    <row r="908" customFormat="false" ht="15" hidden="false" customHeight="false" outlineLevel="0" collapsed="false">
      <c r="A908" s="3" t="n">
        <v>907</v>
      </c>
      <c r="B908" s="3" t="n">
        <f aca="false">Raw_Data!A908</f>
        <v>31</v>
      </c>
      <c r="C908" s="3" t="str">
        <f aca="false">SUBSTITUTE(Raw_Data!B908,".","")</f>
        <v>blue-collar</v>
      </c>
      <c r="D908" s="3" t="str">
        <f aca="false">Raw_Data!C908</f>
        <v>married</v>
      </c>
      <c r="E908" s="3" t="str">
        <f aca="false">Raw_Data!D908</f>
        <v>primary</v>
      </c>
      <c r="F908" s="3" t="str">
        <f aca="false">Raw_Data!E908</f>
        <v>no</v>
      </c>
      <c r="G908" s="3" t="n">
        <f aca="false">Raw_Data!F908</f>
        <v>99</v>
      </c>
      <c r="H908" s="3" t="str">
        <f aca="false">Raw_Data!G908</f>
        <v>yes</v>
      </c>
      <c r="I908" s="3" t="str">
        <f aca="false">Raw_Data!H908</f>
        <v>no</v>
      </c>
      <c r="J908" s="2" t="n">
        <f aca="false">IF(F908="yes",1,0)</f>
        <v>0</v>
      </c>
      <c r="K908" s="2" t="n">
        <f aca="false">IF(H908="yes",1,0)</f>
        <v>1</v>
      </c>
      <c r="L908" s="2" t="n">
        <f aca="false">IF(I908="yes",1,0)</f>
        <v>0</v>
      </c>
      <c r="M908" s="2" t="n">
        <f aca="false">IF(G908&lt;0,1,0)</f>
        <v>0</v>
      </c>
      <c r="N908" s="2" t="str">
        <f aca="false">_xlfn.IFS(B908&lt;30,"Under 30",B908&lt;40,"30-39",B908&lt;50,"40-49",B908&lt;60,"50-59",TRUE(),"60+")</f>
        <v>30-39</v>
      </c>
      <c r="O908" s="2" t="str">
        <f aca="false">_xlfn.IFS(G908&lt;0,"1 Negative",G908=0,"2 Zero",G908&lt;=500,"3 1-500",G908&lt;=2000,"4 501-2000",TRUE(),"5 Above 2000")</f>
        <v>3 1-500</v>
      </c>
      <c r="P908" s="2" t="n">
        <f aca="false">Lookups!$B$2*M908+Lookups!$B$3*L908</f>
        <v>0</v>
      </c>
      <c r="Q908" s="2" t="str">
        <f aca="false">INDEX(Lookups!$E$2:$E$5,MATCH(P908,Lookups!$D$2:$D$5,0))</f>
        <v>Low</v>
      </c>
    </row>
    <row r="909" customFormat="false" ht="15" hidden="false" customHeight="false" outlineLevel="0" collapsed="false">
      <c r="A909" s="3" t="n">
        <v>908</v>
      </c>
      <c r="B909" s="3" t="n">
        <f aca="false">Raw_Data!A909</f>
        <v>40</v>
      </c>
      <c r="C909" s="3" t="str">
        <f aca="false">SUBSTITUTE(Raw_Data!B909,".","")</f>
        <v>management</v>
      </c>
      <c r="D909" s="3" t="str">
        <f aca="false">Raw_Data!C909</f>
        <v>married</v>
      </c>
      <c r="E909" s="3" t="str">
        <f aca="false">Raw_Data!D909</f>
        <v>tertiary</v>
      </c>
      <c r="F909" s="3" t="str">
        <f aca="false">Raw_Data!E909</f>
        <v>no</v>
      </c>
      <c r="G909" s="3" t="n">
        <f aca="false">Raw_Data!F909</f>
        <v>60</v>
      </c>
      <c r="H909" s="3" t="str">
        <f aca="false">Raw_Data!G909</f>
        <v>no</v>
      </c>
      <c r="I909" s="3" t="str">
        <f aca="false">Raw_Data!H909</f>
        <v>no</v>
      </c>
      <c r="J909" s="2" t="n">
        <f aca="false">IF(F909="yes",1,0)</f>
        <v>0</v>
      </c>
      <c r="K909" s="2" t="n">
        <f aca="false">IF(H909="yes",1,0)</f>
        <v>0</v>
      </c>
      <c r="L909" s="2" t="n">
        <f aca="false">IF(I909="yes",1,0)</f>
        <v>0</v>
      </c>
      <c r="M909" s="2" t="n">
        <f aca="false">IF(G909&lt;0,1,0)</f>
        <v>0</v>
      </c>
      <c r="N909" s="2" t="str">
        <f aca="false">_xlfn.IFS(B909&lt;30,"Under 30",B909&lt;40,"30-39",B909&lt;50,"40-49",B909&lt;60,"50-59",TRUE(),"60+")</f>
        <v>40-49</v>
      </c>
      <c r="O909" s="2" t="str">
        <f aca="false">_xlfn.IFS(G909&lt;0,"1 Negative",G909=0,"2 Zero",G909&lt;=500,"3 1-500",G909&lt;=2000,"4 501-2000",TRUE(),"5 Above 2000")</f>
        <v>3 1-500</v>
      </c>
      <c r="P909" s="2" t="n">
        <f aca="false">Lookups!$B$2*M909+Lookups!$B$3*L909</f>
        <v>0</v>
      </c>
      <c r="Q909" s="2" t="str">
        <f aca="false">INDEX(Lookups!$E$2:$E$5,MATCH(P909,Lookups!$D$2:$D$5,0))</f>
        <v>Low</v>
      </c>
    </row>
    <row r="910" customFormat="false" ht="15" hidden="false" customHeight="false" outlineLevel="0" collapsed="false">
      <c r="A910" s="3" t="n">
        <v>909</v>
      </c>
      <c r="B910" s="3" t="n">
        <f aca="false">Raw_Data!A910</f>
        <v>30</v>
      </c>
      <c r="C910" s="3" t="str">
        <f aca="false">SUBSTITUTE(Raw_Data!B910,".","")</f>
        <v>services</v>
      </c>
      <c r="D910" s="3" t="str">
        <f aca="false">Raw_Data!C910</f>
        <v>single</v>
      </c>
      <c r="E910" s="3" t="str">
        <f aca="false">Raw_Data!D910</f>
        <v>secondary</v>
      </c>
      <c r="F910" s="3" t="str">
        <f aca="false">Raw_Data!E910</f>
        <v>no</v>
      </c>
      <c r="G910" s="3" t="n">
        <f aca="false">Raw_Data!F910</f>
        <v>3485</v>
      </c>
      <c r="H910" s="3" t="str">
        <f aca="false">Raw_Data!G910</f>
        <v>no</v>
      </c>
      <c r="I910" s="3" t="str">
        <f aca="false">Raw_Data!H910</f>
        <v>no</v>
      </c>
      <c r="J910" s="2" t="n">
        <f aca="false">IF(F910="yes",1,0)</f>
        <v>0</v>
      </c>
      <c r="K910" s="2" t="n">
        <f aca="false">IF(H910="yes",1,0)</f>
        <v>0</v>
      </c>
      <c r="L910" s="2" t="n">
        <f aca="false">IF(I910="yes",1,0)</f>
        <v>0</v>
      </c>
      <c r="M910" s="2" t="n">
        <f aca="false">IF(G910&lt;0,1,0)</f>
        <v>0</v>
      </c>
      <c r="N910" s="2" t="str">
        <f aca="false">_xlfn.IFS(B910&lt;30,"Under 30",B910&lt;40,"30-39",B910&lt;50,"40-49",B910&lt;60,"50-59",TRUE(),"60+")</f>
        <v>30-39</v>
      </c>
      <c r="O910" s="2" t="str">
        <f aca="false">_xlfn.IFS(G910&lt;0,"1 Negative",G910=0,"2 Zero",G910&lt;=500,"3 1-500",G910&lt;=2000,"4 501-2000",TRUE(),"5 Above 2000")</f>
        <v>5 Above 2000</v>
      </c>
      <c r="P910" s="2" t="n">
        <f aca="false">Lookups!$B$2*M910+Lookups!$B$3*L910</f>
        <v>0</v>
      </c>
      <c r="Q910" s="2" t="str">
        <f aca="false">INDEX(Lookups!$E$2:$E$5,MATCH(P910,Lookups!$D$2:$D$5,0))</f>
        <v>Low</v>
      </c>
    </row>
    <row r="911" customFormat="false" ht="15" hidden="false" customHeight="false" outlineLevel="0" collapsed="false">
      <c r="A911" s="3" t="n">
        <v>910</v>
      </c>
      <c r="B911" s="3" t="n">
        <f aca="false">Raw_Data!A911</f>
        <v>34</v>
      </c>
      <c r="C911" s="3" t="str">
        <f aca="false">SUBSTITUTE(Raw_Data!B911,".","")</f>
        <v>entrepreneur</v>
      </c>
      <c r="D911" s="3" t="str">
        <f aca="false">Raw_Data!C911</f>
        <v>married</v>
      </c>
      <c r="E911" s="3" t="str">
        <f aca="false">Raw_Data!D911</f>
        <v>secondary</v>
      </c>
      <c r="F911" s="3" t="str">
        <f aca="false">Raw_Data!E911</f>
        <v>no</v>
      </c>
      <c r="G911" s="3" t="n">
        <f aca="false">Raw_Data!F911</f>
        <v>-139</v>
      </c>
      <c r="H911" s="3" t="str">
        <f aca="false">Raw_Data!G911</f>
        <v>yes</v>
      </c>
      <c r="I911" s="3" t="str">
        <f aca="false">Raw_Data!H911</f>
        <v>yes</v>
      </c>
      <c r="J911" s="2" t="n">
        <f aca="false">IF(F911="yes",1,0)</f>
        <v>0</v>
      </c>
      <c r="K911" s="2" t="n">
        <f aca="false">IF(H911="yes",1,0)</f>
        <v>1</v>
      </c>
      <c r="L911" s="2" t="n">
        <f aca="false">IF(I911="yes",1,0)</f>
        <v>1</v>
      </c>
      <c r="M911" s="2" t="n">
        <f aca="false">IF(G911&lt;0,1,0)</f>
        <v>1</v>
      </c>
      <c r="N911" s="2" t="str">
        <f aca="false">_xlfn.IFS(B911&lt;30,"Under 30",B911&lt;40,"30-39",B911&lt;50,"40-49",B911&lt;60,"50-59",TRUE(),"60+")</f>
        <v>30-39</v>
      </c>
      <c r="O911" s="2" t="str">
        <f aca="false">_xlfn.IFS(G911&lt;0,"1 Negative",G911=0,"2 Zero",G911&lt;=500,"3 1-500",G911&lt;=2000,"4 501-2000",TRUE(),"5 Above 2000")</f>
        <v>1 Negative</v>
      </c>
      <c r="P911" s="2" t="n">
        <f aca="false">Lookups!$B$2*M911+Lookups!$B$3*L911</f>
        <v>3</v>
      </c>
      <c r="Q911" s="2" t="str">
        <f aca="false">INDEX(Lookups!$E$2:$E$5,MATCH(P911,Lookups!$D$2:$D$5,0))</f>
        <v>High</v>
      </c>
    </row>
    <row r="912" customFormat="false" ht="15" hidden="false" customHeight="false" outlineLevel="0" collapsed="false">
      <c r="A912" s="3" t="n">
        <v>911</v>
      </c>
      <c r="B912" s="3" t="n">
        <f aca="false">Raw_Data!A912</f>
        <v>40</v>
      </c>
      <c r="C912" s="3" t="str">
        <f aca="false">SUBSTITUTE(Raw_Data!B912,".","")</f>
        <v>blue-collar</v>
      </c>
      <c r="D912" s="3" t="str">
        <f aca="false">Raw_Data!C912</f>
        <v>married</v>
      </c>
      <c r="E912" s="3" t="str">
        <f aca="false">Raw_Data!D912</f>
        <v>secondary</v>
      </c>
      <c r="F912" s="3" t="str">
        <f aca="false">Raw_Data!E912</f>
        <v>no</v>
      </c>
      <c r="G912" s="3" t="n">
        <f aca="false">Raw_Data!F912</f>
        <v>952</v>
      </c>
      <c r="H912" s="3" t="str">
        <f aca="false">Raw_Data!G912</f>
        <v>no</v>
      </c>
      <c r="I912" s="3" t="str">
        <f aca="false">Raw_Data!H912</f>
        <v>yes</v>
      </c>
      <c r="J912" s="2" t="n">
        <f aca="false">IF(F912="yes",1,0)</f>
        <v>0</v>
      </c>
      <c r="K912" s="2" t="n">
        <f aca="false">IF(H912="yes",1,0)</f>
        <v>0</v>
      </c>
      <c r="L912" s="2" t="n">
        <f aca="false">IF(I912="yes",1,0)</f>
        <v>1</v>
      </c>
      <c r="M912" s="2" t="n">
        <f aca="false">IF(G912&lt;0,1,0)</f>
        <v>0</v>
      </c>
      <c r="N912" s="2" t="str">
        <f aca="false">_xlfn.IFS(B912&lt;30,"Under 30",B912&lt;40,"30-39",B912&lt;50,"40-49",B912&lt;60,"50-59",TRUE(),"60+")</f>
        <v>40-49</v>
      </c>
      <c r="O912" s="2" t="str">
        <f aca="false">_xlfn.IFS(G912&lt;0,"1 Negative",G912=0,"2 Zero",G912&lt;=500,"3 1-500",G912&lt;=2000,"4 501-2000",TRUE(),"5 Above 2000")</f>
        <v>4 501-2000</v>
      </c>
      <c r="P912" s="2" t="n">
        <f aca="false">Lookups!$B$2*M912+Lookups!$B$3*L912</f>
        <v>1</v>
      </c>
      <c r="Q912" s="2" t="str">
        <f aca="false">INDEX(Lookups!$E$2:$E$5,MATCH(P912,Lookups!$D$2:$D$5,0))</f>
        <v>Medium</v>
      </c>
    </row>
    <row r="913" customFormat="false" ht="15" hidden="false" customHeight="false" outlineLevel="0" collapsed="false">
      <c r="A913" s="3" t="n">
        <v>912</v>
      </c>
      <c r="B913" s="3" t="n">
        <f aca="false">Raw_Data!A913</f>
        <v>59</v>
      </c>
      <c r="C913" s="3" t="str">
        <f aca="false">SUBSTITUTE(Raw_Data!B913,".","")</f>
        <v>retired</v>
      </c>
      <c r="D913" s="3" t="str">
        <f aca="false">Raw_Data!C913</f>
        <v>married</v>
      </c>
      <c r="E913" s="3" t="str">
        <f aca="false">Raw_Data!D913</f>
        <v>primary</v>
      </c>
      <c r="F913" s="3" t="str">
        <f aca="false">Raw_Data!E913</f>
        <v>no</v>
      </c>
      <c r="G913" s="3" t="n">
        <f aca="false">Raw_Data!F913</f>
        <v>1427</v>
      </c>
      <c r="H913" s="3" t="str">
        <f aca="false">Raw_Data!G913</f>
        <v>no</v>
      </c>
      <c r="I913" s="3" t="str">
        <f aca="false">Raw_Data!H913</f>
        <v>no</v>
      </c>
      <c r="J913" s="2" t="n">
        <f aca="false">IF(F913="yes",1,0)</f>
        <v>0</v>
      </c>
      <c r="K913" s="2" t="n">
        <f aca="false">IF(H913="yes",1,0)</f>
        <v>0</v>
      </c>
      <c r="L913" s="2" t="n">
        <f aca="false">IF(I913="yes",1,0)</f>
        <v>0</v>
      </c>
      <c r="M913" s="2" t="n">
        <f aca="false">IF(G913&lt;0,1,0)</f>
        <v>0</v>
      </c>
      <c r="N913" s="2" t="str">
        <f aca="false">_xlfn.IFS(B913&lt;30,"Under 30",B913&lt;40,"30-39",B913&lt;50,"40-49",B913&lt;60,"50-59",TRUE(),"60+")</f>
        <v>50-59</v>
      </c>
      <c r="O913" s="2" t="str">
        <f aca="false">_xlfn.IFS(G913&lt;0,"1 Negative",G913=0,"2 Zero",G913&lt;=500,"3 1-500",G913&lt;=2000,"4 501-2000",TRUE(),"5 Above 2000")</f>
        <v>4 501-2000</v>
      </c>
      <c r="P913" s="2" t="n">
        <f aca="false">Lookups!$B$2*M913+Lookups!$B$3*L913</f>
        <v>0</v>
      </c>
      <c r="Q913" s="2" t="str">
        <f aca="false">INDEX(Lookups!$E$2:$E$5,MATCH(P913,Lookups!$D$2:$D$5,0))</f>
        <v>Low</v>
      </c>
    </row>
    <row r="914" customFormat="false" ht="15" hidden="false" customHeight="false" outlineLevel="0" collapsed="false">
      <c r="A914" s="3" t="n">
        <v>913</v>
      </c>
      <c r="B914" s="3" t="n">
        <f aca="false">Raw_Data!A914</f>
        <v>43</v>
      </c>
      <c r="C914" s="3" t="str">
        <f aca="false">SUBSTITUTE(Raw_Data!B914,".","")</f>
        <v>technician</v>
      </c>
      <c r="D914" s="3" t="str">
        <f aca="false">Raw_Data!C914</f>
        <v>single</v>
      </c>
      <c r="E914" s="3" t="str">
        <f aca="false">Raw_Data!D914</f>
        <v>tertiary</v>
      </c>
      <c r="F914" s="3" t="str">
        <f aca="false">Raw_Data!E914</f>
        <v>no</v>
      </c>
      <c r="G914" s="3" t="n">
        <f aca="false">Raw_Data!F914</f>
        <v>1017</v>
      </c>
      <c r="H914" s="3" t="str">
        <f aca="false">Raw_Data!G914</f>
        <v>yes</v>
      </c>
      <c r="I914" s="3" t="str">
        <f aca="false">Raw_Data!H914</f>
        <v>no</v>
      </c>
      <c r="J914" s="2" t="n">
        <f aca="false">IF(F914="yes",1,0)</f>
        <v>0</v>
      </c>
      <c r="K914" s="2" t="n">
        <f aca="false">IF(H914="yes",1,0)</f>
        <v>1</v>
      </c>
      <c r="L914" s="2" t="n">
        <f aca="false">IF(I914="yes",1,0)</f>
        <v>0</v>
      </c>
      <c r="M914" s="2" t="n">
        <f aca="false">IF(G914&lt;0,1,0)</f>
        <v>0</v>
      </c>
      <c r="N914" s="2" t="str">
        <f aca="false">_xlfn.IFS(B914&lt;30,"Under 30",B914&lt;40,"30-39",B914&lt;50,"40-49",B914&lt;60,"50-59",TRUE(),"60+")</f>
        <v>40-49</v>
      </c>
      <c r="O914" s="2" t="str">
        <f aca="false">_xlfn.IFS(G914&lt;0,"1 Negative",G914=0,"2 Zero",G914&lt;=500,"3 1-500",G914&lt;=2000,"4 501-2000",TRUE(),"5 Above 2000")</f>
        <v>4 501-2000</v>
      </c>
      <c r="P914" s="2" t="n">
        <f aca="false">Lookups!$B$2*M914+Lookups!$B$3*L914</f>
        <v>0</v>
      </c>
      <c r="Q914" s="2" t="str">
        <f aca="false">INDEX(Lookups!$E$2:$E$5,MATCH(P914,Lookups!$D$2:$D$5,0))</f>
        <v>Low</v>
      </c>
    </row>
    <row r="915" customFormat="false" ht="15" hidden="false" customHeight="false" outlineLevel="0" collapsed="false">
      <c r="A915" s="3" t="n">
        <v>914</v>
      </c>
      <c r="B915" s="3" t="n">
        <f aca="false">Raw_Data!A915</f>
        <v>41</v>
      </c>
      <c r="C915" s="3" t="str">
        <f aca="false">SUBSTITUTE(Raw_Data!B915,".","")</f>
        <v>management</v>
      </c>
      <c r="D915" s="3" t="str">
        <f aca="false">Raw_Data!C915</f>
        <v>married</v>
      </c>
      <c r="E915" s="3" t="str">
        <f aca="false">Raw_Data!D915</f>
        <v>tertiary</v>
      </c>
      <c r="F915" s="3" t="str">
        <f aca="false">Raw_Data!E915</f>
        <v>no</v>
      </c>
      <c r="G915" s="3" t="n">
        <f aca="false">Raw_Data!F915</f>
        <v>-29</v>
      </c>
      <c r="H915" s="3" t="str">
        <f aca="false">Raw_Data!G915</f>
        <v>no</v>
      </c>
      <c r="I915" s="3" t="str">
        <f aca="false">Raw_Data!H915</f>
        <v>no</v>
      </c>
      <c r="J915" s="2" t="n">
        <f aca="false">IF(F915="yes",1,0)</f>
        <v>0</v>
      </c>
      <c r="K915" s="2" t="n">
        <f aca="false">IF(H915="yes",1,0)</f>
        <v>0</v>
      </c>
      <c r="L915" s="2" t="n">
        <f aca="false">IF(I915="yes",1,0)</f>
        <v>0</v>
      </c>
      <c r="M915" s="2" t="n">
        <f aca="false">IF(G915&lt;0,1,0)</f>
        <v>1</v>
      </c>
      <c r="N915" s="2" t="str">
        <f aca="false">_xlfn.IFS(B915&lt;30,"Under 30",B915&lt;40,"30-39",B915&lt;50,"40-49",B915&lt;60,"50-59",TRUE(),"60+")</f>
        <v>40-49</v>
      </c>
      <c r="O915" s="2" t="str">
        <f aca="false">_xlfn.IFS(G915&lt;0,"1 Negative",G915=0,"2 Zero",G915&lt;=500,"3 1-500",G915&lt;=2000,"4 501-2000",TRUE(),"5 Above 2000")</f>
        <v>1 Negative</v>
      </c>
      <c r="P915" s="2" t="n">
        <f aca="false">Lookups!$B$2*M915+Lookups!$B$3*L915</f>
        <v>2</v>
      </c>
      <c r="Q915" s="2" t="str">
        <f aca="false">INDEX(Lookups!$E$2:$E$5,MATCH(P915,Lookups!$D$2:$D$5,0))</f>
        <v>High</v>
      </c>
    </row>
    <row r="916" customFormat="false" ht="15" hidden="false" customHeight="false" outlineLevel="0" collapsed="false">
      <c r="A916" s="3" t="n">
        <v>915</v>
      </c>
      <c r="B916" s="3" t="n">
        <f aca="false">Raw_Data!A916</f>
        <v>33</v>
      </c>
      <c r="C916" s="3" t="str">
        <f aca="false">SUBSTITUTE(Raw_Data!B916,".","")</f>
        <v>technician</v>
      </c>
      <c r="D916" s="3" t="str">
        <f aca="false">Raw_Data!C916</f>
        <v>divorced</v>
      </c>
      <c r="E916" s="3" t="str">
        <f aca="false">Raw_Data!D916</f>
        <v>secondary</v>
      </c>
      <c r="F916" s="3" t="str">
        <f aca="false">Raw_Data!E916</f>
        <v>no</v>
      </c>
      <c r="G916" s="3" t="n">
        <f aca="false">Raw_Data!F916</f>
        <v>9</v>
      </c>
      <c r="H916" s="3" t="str">
        <f aca="false">Raw_Data!G916</f>
        <v>no</v>
      </c>
      <c r="I916" s="3" t="str">
        <f aca="false">Raw_Data!H916</f>
        <v>no</v>
      </c>
      <c r="J916" s="2" t="n">
        <f aca="false">IF(F916="yes",1,0)</f>
        <v>0</v>
      </c>
      <c r="K916" s="2" t="n">
        <f aca="false">IF(H916="yes",1,0)</f>
        <v>0</v>
      </c>
      <c r="L916" s="2" t="n">
        <f aca="false">IF(I916="yes",1,0)</f>
        <v>0</v>
      </c>
      <c r="M916" s="2" t="n">
        <f aca="false">IF(G916&lt;0,1,0)</f>
        <v>0</v>
      </c>
      <c r="N916" s="2" t="str">
        <f aca="false">_xlfn.IFS(B916&lt;30,"Under 30",B916&lt;40,"30-39",B916&lt;50,"40-49",B916&lt;60,"50-59",TRUE(),"60+")</f>
        <v>30-39</v>
      </c>
      <c r="O916" s="2" t="str">
        <f aca="false">_xlfn.IFS(G916&lt;0,"1 Negative",G916=0,"2 Zero",G916&lt;=500,"3 1-500",G916&lt;=2000,"4 501-2000",TRUE(),"5 Above 2000")</f>
        <v>3 1-500</v>
      </c>
      <c r="P916" s="2" t="n">
        <f aca="false">Lookups!$B$2*M916+Lookups!$B$3*L916</f>
        <v>0</v>
      </c>
      <c r="Q916" s="2" t="str">
        <f aca="false">INDEX(Lookups!$E$2:$E$5,MATCH(P916,Lookups!$D$2:$D$5,0))</f>
        <v>Low</v>
      </c>
    </row>
    <row r="917" customFormat="false" ht="15" hidden="false" customHeight="false" outlineLevel="0" collapsed="false">
      <c r="A917" s="3" t="n">
        <v>916</v>
      </c>
      <c r="B917" s="3" t="n">
        <f aca="false">Raw_Data!A917</f>
        <v>33</v>
      </c>
      <c r="C917" s="3" t="str">
        <f aca="false">SUBSTITUTE(Raw_Data!B917,".","")</f>
        <v>management</v>
      </c>
      <c r="D917" s="3" t="str">
        <f aca="false">Raw_Data!C917</f>
        <v>married</v>
      </c>
      <c r="E917" s="3" t="str">
        <f aca="false">Raw_Data!D917</f>
        <v>secondary</v>
      </c>
      <c r="F917" s="3" t="str">
        <f aca="false">Raw_Data!E917</f>
        <v>no</v>
      </c>
      <c r="G917" s="3" t="n">
        <f aca="false">Raw_Data!F917</f>
        <v>4040</v>
      </c>
      <c r="H917" s="3" t="str">
        <f aca="false">Raw_Data!G917</f>
        <v>yes</v>
      </c>
      <c r="I917" s="3" t="str">
        <f aca="false">Raw_Data!H917</f>
        <v>no</v>
      </c>
      <c r="J917" s="2" t="n">
        <f aca="false">IF(F917="yes",1,0)</f>
        <v>0</v>
      </c>
      <c r="K917" s="2" t="n">
        <f aca="false">IF(H917="yes",1,0)</f>
        <v>1</v>
      </c>
      <c r="L917" s="2" t="n">
        <f aca="false">IF(I917="yes",1,0)</f>
        <v>0</v>
      </c>
      <c r="M917" s="2" t="n">
        <f aca="false">IF(G917&lt;0,1,0)</f>
        <v>0</v>
      </c>
      <c r="N917" s="2" t="str">
        <f aca="false">_xlfn.IFS(B917&lt;30,"Under 30",B917&lt;40,"30-39",B917&lt;50,"40-49",B917&lt;60,"50-59",TRUE(),"60+")</f>
        <v>30-39</v>
      </c>
      <c r="O917" s="2" t="str">
        <f aca="false">_xlfn.IFS(G917&lt;0,"1 Negative",G917=0,"2 Zero",G917&lt;=500,"3 1-500",G917&lt;=2000,"4 501-2000",TRUE(),"5 Above 2000")</f>
        <v>5 Above 2000</v>
      </c>
      <c r="P917" s="2" t="n">
        <f aca="false">Lookups!$B$2*M917+Lookups!$B$3*L917</f>
        <v>0</v>
      </c>
      <c r="Q917" s="2" t="str">
        <f aca="false">INDEX(Lookups!$E$2:$E$5,MATCH(P917,Lookups!$D$2:$D$5,0))</f>
        <v>Low</v>
      </c>
    </row>
    <row r="918" customFormat="false" ht="15" hidden="false" customHeight="false" outlineLevel="0" collapsed="false">
      <c r="A918" s="3" t="n">
        <v>917</v>
      </c>
      <c r="B918" s="3" t="n">
        <f aca="false">Raw_Data!A918</f>
        <v>36</v>
      </c>
      <c r="C918" s="3" t="str">
        <f aca="false">SUBSTITUTE(Raw_Data!B918,".","")</f>
        <v>blue-collar</v>
      </c>
      <c r="D918" s="3" t="str">
        <f aca="false">Raw_Data!C918</f>
        <v>married</v>
      </c>
      <c r="E918" s="3" t="str">
        <f aca="false">Raw_Data!D918</f>
        <v>secondary</v>
      </c>
      <c r="F918" s="3" t="str">
        <f aca="false">Raw_Data!E918</f>
        <v>no</v>
      </c>
      <c r="G918" s="3" t="n">
        <f aca="false">Raw_Data!F918</f>
        <v>13</v>
      </c>
      <c r="H918" s="3" t="str">
        <f aca="false">Raw_Data!G918</f>
        <v>no</v>
      </c>
      <c r="I918" s="3" t="str">
        <f aca="false">Raw_Data!H918</f>
        <v>no</v>
      </c>
      <c r="J918" s="2" t="n">
        <f aca="false">IF(F918="yes",1,0)</f>
        <v>0</v>
      </c>
      <c r="K918" s="2" t="n">
        <f aca="false">IF(H918="yes",1,0)</f>
        <v>0</v>
      </c>
      <c r="L918" s="2" t="n">
        <f aca="false">IF(I918="yes",1,0)</f>
        <v>0</v>
      </c>
      <c r="M918" s="2" t="n">
        <f aca="false">IF(G918&lt;0,1,0)</f>
        <v>0</v>
      </c>
      <c r="N918" s="2" t="str">
        <f aca="false">_xlfn.IFS(B918&lt;30,"Under 30",B918&lt;40,"30-39",B918&lt;50,"40-49",B918&lt;60,"50-59",TRUE(),"60+")</f>
        <v>30-39</v>
      </c>
      <c r="O918" s="2" t="str">
        <f aca="false">_xlfn.IFS(G918&lt;0,"1 Negative",G918=0,"2 Zero",G918&lt;=500,"3 1-500",G918&lt;=2000,"4 501-2000",TRUE(),"5 Above 2000")</f>
        <v>3 1-500</v>
      </c>
      <c r="P918" s="2" t="n">
        <f aca="false">Lookups!$B$2*M918+Lookups!$B$3*L918</f>
        <v>0</v>
      </c>
      <c r="Q918" s="2" t="str">
        <f aca="false">INDEX(Lookups!$E$2:$E$5,MATCH(P918,Lookups!$D$2:$D$5,0))</f>
        <v>Low</v>
      </c>
    </row>
    <row r="919" customFormat="false" ht="15" hidden="false" customHeight="false" outlineLevel="0" collapsed="false">
      <c r="A919" s="3" t="n">
        <v>918</v>
      </c>
      <c r="B919" s="3" t="n">
        <f aca="false">Raw_Data!A919</f>
        <v>32</v>
      </c>
      <c r="C919" s="3" t="str">
        <f aca="false">SUBSTITUTE(Raw_Data!B919,".","")</f>
        <v>self-employed</v>
      </c>
      <c r="D919" s="3" t="str">
        <f aca="false">Raw_Data!C919</f>
        <v>single</v>
      </c>
      <c r="E919" s="3" t="str">
        <f aca="false">Raw_Data!D919</f>
        <v>secondary</v>
      </c>
      <c r="F919" s="3" t="str">
        <f aca="false">Raw_Data!E919</f>
        <v>no</v>
      </c>
      <c r="G919" s="3" t="n">
        <f aca="false">Raw_Data!F919</f>
        <v>1259</v>
      </c>
      <c r="H919" s="3" t="str">
        <f aca="false">Raw_Data!G919</f>
        <v>no</v>
      </c>
      <c r="I919" s="3" t="str">
        <f aca="false">Raw_Data!H919</f>
        <v>no</v>
      </c>
      <c r="J919" s="2" t="n">
        <f aca="false">IF(F919="yes",1,0)</f>
        <v>0</v>
      </c>
      <c r="K919" s="2" t="n">
        <f aca="false">IF(H919="yes",1,0)</f>
        <v>0</v>
      </c>
      <c r="L919" s="2" t="n">
        <f aca="false">IF(I919="yes",1,0)</f>
        <v>0</v>
      </c>
      <c r="M919" s="2" t="n">
        <f aca="false">IF(G919&lt;0,1,0)</f>
        <v>0</v>
      </c>
      <c r="N919" s="2" t="str">
        <f aca="false">_xlfn.IFS(B919&lt;30,"Under 30",B919&lt;40,"30-39",B919&lt;50,"40-49",B919&lt;60,"50-59",TRUE(),"60+")</f>
        <v>30-39</v>
      </c>
      <c r="O919" s="2" t="str">
        <f aca="false">_xlfn.IFS(G919&lt;0,"1 Negative",G919=0,"2 Zero",G919&lt;=500,"3 1-500",G919&lt;=2000,"4 501-2000",TRUE(),"5 Above 2000")</f>
        <v>4 501-2000</v>
      </c>
      <c r="P919" s="2" t="n">
        <f aca="false">Lookups!$B$2*M919+Lookups!$B$3*L919</f>
        <v>0</v>
      </c>
      <c r="Q919" s="2" t="str">
        <f aca="false">INDEX(Lookups!$E$2:$E$5,MATCH(P919,Lookups!$D$2:$D$5,0))</f>
        <v>Low</v>
      </c>
    </row>
    <row r="920" customFormat="false" ht="15" hidden="false" customHeight="false" outlineLevel="0" collapsed="false">
      <c r="A920" s="3" t="n">
        <v>919</v>
      </c>
      <c r="B920" s="3" t="n">
        <f aca="false">Raw_Data!A920</f>
        <v>25</v>
      </c>
      <c r="C920" s="3" t="str">
        <f aca="false">SUBSTITUTE(Raw_Data!B920,".","")</f>
        <v>admin</v>
      </c>
      <c r="D920" s="3" t="str">
        <f aca="false">Raw_Data!C920</f>
        <v>married</v>
      </c>
      <c r="E920" s="3" t="str">
        <f aca="false">Raw_Data!D920</f>
        <v>secondary</v>
      </c>
      <c r="F920" s="3" t="str">
        <f aca="false">Raw_Data!E920</f>
        <v>no</v>
      </c>
      <c r="G920" s="3" t="n">
        <f aca="false">Raw_Data!F920</f>
        <v>18</v>
      </c>
      <c r="H920" s="3" t="str">
        <f aca="false">Raw_Data!G920</f>
        <v>yes</v>
      </c>
      <c r="I920" s="3" t="str">
        <f aca="false">Raw_Data!H920</f>
        <v>no</v>
      </c>
      <c r="J920" s="2" t="n">
        <f aca="false">IF(F920="yes",1,0)</f>
        <v>0</v>
      </c>
      <c r="K920" s="2" t="n">
        <f aca="false">IF(H920="yes",1,0)</f>
        <v>1</v>
      </c>
      <c r="L920" s="2" t="n">
        <f aca="false">IF(I920="yes",1,0)</f>
        <v>0</v>
      </c>
      <c r="M920" s="2" t="n">
        <f aca="false">IF(G920&lt;0,1,0)</f>
        <v>0</v>
      </c>
      <c r="N920" s="2" t="str">
        <f aca="false">_xlfn.IFS(B920&lt;30,"Under 30",B920&lt;40,"30-39",B920&lt;50,"40-49",B920&lt;60,"50-59",TRUE(),"60+")</f>
        <v>Under 30</v>
      </c>
      <c r="O920" s="2" t="str">
        <f aca="false">_xlfn.IFS(G920&lt;0,"1 Negative",G920=0,"2 Zero",G920&lt;=500,"3 1-500",G920&lt;=2000,"4 501-2000",TRUE(),"5 Above 2000")</f>
        <v>3 1-500</v>
      </c>
      <c r="P920" s="2" t="n">
        <f aca="false">Lookups!$B$2*M920+Lookups!$B$3*L920</f>
        <v>0</v>
      </c>
      <c r="Q920" s="2" t="str">
        <f aca="false">INDEX(Lookups!$E$2:$E$5,MATCH(P920,Lookups!$D$2:$D$5,0))</f>
        <v>Low</v>
      </c>
    </row>
    <row r="921" customFormat="false" ht="15" hidden="false" customHeight="false" outlineLevel="0" collapsed="false">
      <c r="A921" s="3" t="n">
        <v>920</v>
      </c>
      <c r="B921" s="3" t="n">
        <f aca="false">Raw_Data!A921</f>
        <v>25</v>
      </c>
      <c r="C921" s="3" t="str">
        <f aca="false">SUBSTITUTE(Raw_Data!B921,".","")</f>
        <v>blue-collar</v>
      </c>
      <c r="D921" s="3" t="str">
        <f aca="false">Raw_Data!C921</f>
        <v>married</v>
      </c>
      <c r="E921" s="3" t="str">
        <f aca="false">Raw_Data!D921</f>
        <v>secondary</v>
      </c>
      <c r="F921" s="3" t="str">
        <f aca="false">Raw_Data!E921</f>
        <v>no</v>
      </c>
      <c r="G921" s="3" t="n">
        <f aca="false">Raw_Data!F921</f>
        <v>-76</v>
      </c>
      <c r="H921" s="3" t="str">
        <f aca="false">Raw_Data!G921</f>
        <v>yes</v>
      </c>
      <c r="I921" s="3" t="str">
        <f aca="false">Raw_Data!H921</f>
        <v>no</v>
      </c>
      <c r="J921" s="2" t="n">
        <f aca="false">IF(F921="yes",1,0)</f>
        <v>0</v>
      </c>
      <c r="K921" s="2" t="n">
        <f aca="false">IF(H921="yes",1,0)</f>
        <v>1</v>
      </c>
      <c r="L921" s="2" t="n">
        <f aca="false">IF(I921="yes",1,0)</f>
        <v>0</v>
      </c>
      <c r="M921" s="2" t="n">
        <f aca="false">IF(G921&lt;0,1,0)</f>
        <v>1</v>
      </c>
      <c r="N921" s="2" t="str">
        <f aca="false">_xlfn.IFS(B921&lt;30,"Under 30",B921&lt;40,"30-39",B921&lt;50,"40-49",B921&lt;60,"50-59",TRUE(),"60+")</f>
        <v>Under 30</v>
      </c>
      <c r="O921" s="2" t="str">
        <f aca="false">_xlfn.IFS(G921&lt;0,"1 Negative",G921=0,"2 Zero",G921&lt;=500,"3 1-500",G921&lt;=2000,"4 501-2000",TRUE(),"5 Above 2000")</f>
        <v>1 Negative</v>
      </c>
      <c r="P921" s="2" t="n">
        <f aca="false">Lookups!$B$2*M921+Lookups!$B$3*L921</f>
        <v>2</v>
      </c>
      <c r="Q921" s="2" t="str">
        <f aca="false">INDEX(Lookups!$E$2:$E$5,MATCH(P921,Lookups!$D$2:$D$5,0))</f>
        <v>High</v>
      </c>
    </row>
    <row r="922" customFormat="false" ht="15" hidden="false" customHeight="false" outlineLevel="0" collapsed="false">
      <c r="A922" s="3" t="n">
        <v>921</v>
      </c>
      <c r="B922" s="3" t="n">
        <f aca="false">Raw_Data!A922</f>
        <v>38</v>
      </c>
      <c r="C922" s="3" t="str">
        <f aca="false">SUBSTITUTE(Raw_Data!B922,".","")</f>
        <v>technician</v>
      </c>
      <c r="D922" s="3" t="str">
        <f aca="false">Raw_Data!C922</f>
        <v>single</v>
      </c>
      <c r="E922" s="3" t="str">
        <f aca="false">Raw_Data!D922</f>
        <v>tertiary</v>
      </c>
      <c r="F922" s="3" t="str">
        <f aca="false">Raw_Data!E922</f>
        <v>no</v>
      </c>
      <c r="G922" s="3" t="n">
        <f aca="false">Raw_Data!F922</f>
        <v>221</v>
      </c>
      <c r="H922" s="3" t="str">
        <f aca="false">Raw_Data!G922</f>
        <v>no</v>
      </c>
      <c r="I922" s="3" t="str">
        <f aca="false">Raw_Data!H922</f>
        <v>no</v>
      </c>
      <c r="J922" s="2" t="n">
        <f aca="false">IF(F922="yes",1,0)</f>
        <v>0</v>
      </c>
      <c r="K922" s="2" t="n">
        <f aca="false">IF(H922="yes",1,0)</f>
        <v>0</v>
      </c>
      <c r="L922" s="2" t="n">
        <f aca="false">IF(I922="yes",1,0)</f>
        <v>0</v>
      </c>
      <c r="M922" s="2" t="n">
        <f aca="false">IF(G922&lt;0,1,0)</f>
        <v>0</v>
      </c>
      <c r="N922" s="2" t="str">
        <f aca="false">_xlfn.IFS(B922&lt;30,"Under 30",B922&lt;40,"30-39",B922&lt;50,"40-49",B922&lt;60,"50-59",TRUE(),"60+")</f>
        <v>30-39</v>
      </c>
      <c r="O922" s="2" t="str">
        <f aca="false">_xlfn.IFS(G922&lt;0,"1 Negative",G922=0,"2 Zero",G922&lt;=500,"3 1-500",G922&lt;=2000,"4 501-2000",TRUE(),"5 Above 2000")</f>
        <v>3 1-500</v>
      </c>
      <c r="P922" s="2" t="n">
        <f aca="false">Lookups!$B$2*M922+Lookups!$B$3*L922</f>
        <v>0</v>
      </c>
      <c r="Q922" s="2" t="str">
        <f aca="false">INDEX(Lookups!$E$2:$E$5,MATCH(P922,Lookups!$D$2:$D$5,0))</f>
        <v>Low</v>
      </c>
    </row>
    <row r="923" customFormat="false" ht="15" hidden="false" customHeight="false" outlineLevel="0" collapsed="false">
      <c r="A923" s="3" t="n">
        <v>922</v>
      </c>
      <c r="B923" s="3" t="n">
        <f aca="false">Raw_Data!A923</f>
        <v>34</v>
      </c>
      <c r="C923" s="3" t="str">
        <f aca="false">SUBSTITUTE(Raw_Data!B923,".","")</f>
        <v>management</v>
      </c>
      <c r="D923" s="3" t="str">
        <f aca="false">Raw_Data!C923</f>
        <v>married</v>
      </c>
      <c r="E923" s="3" t="str">
        <f aca="false">Raw_Data!D923</f>
        <v>tertiary</v>
      </c>
      <c r="F923" s="3" t="str">
        <f aca="false">Raw_Data!E923</f>
        <v>no</v>
      </c>
      <c r="G923" s="3" t="n">
        <f aca="false">Raw_Data!F923</f>
        <v>136</v>
      </c>
      <c r="H923" s="3" t="str">
        <f aca="false">Raw_Data!G923</f>
        <v>yes</v>
      </c>
      <c r="I923" s="3" t="str">
        <f aca="false">Raw_Data!H923</f>
        <v>no</v>
      </c>
      <c r="J923" s="2" t="n">
        <f aca="false">IF(F923="yes",1,0)</f>
        <v>0</v>
      </c>
      <c r="K923" s="2" t="n">
        <f aca="false">IF(H923="yes",1,0)</f>
        <v>1</v>
      </c>
      <c r="L923" s="2" t="n">
        <f aca="false">IF(I923="yes",1,0)</f>
        <v>0</v>
      </c>
      <c r="M923" s="2" t="n">
        <f aca="false">IF(G923&lt;0,1,0)</f>
        <v>0</v>
      </c>
      <c r="N923" s="2" t="str">
        <f aca="false">_xlfn.IFS(B923&lt;30,"Under 30",B923&lt;40,"30-39",B923&lt;50,"40-49",B923&lt;60,"50-59",TRUE(),"60+")</f>
        <v>30-39</v>
      </c>
      <c r="O923" s="2" t="str">
        <f aca="false">_xlfn.IFS(G923&lt;0,"1 Negative",G923=0,"2 Zero",G923&lt;=500,"3 1-500",G923&lt;=2000,"4 501-2000",TRUE(),"5 Above 2000")</f>
        <v>3 1-500</v>
      </c>
      <c r="P923" s="2" t="n">
        <f aca="false">Lookups!$B$2*M923+Lookups!$B$3*L923</f>
        <v>0</v>
      </c>
      <c r="Q923" s="2" t="str">
        <f aca="false">INDEX(Lookups!$E$2:$E$5,MATCH(P923,Lookups!$D$2:$D$5,0))</f>
        <v>Low</v>
      </c>
    </row>
    <row r="924" customFormat="false" ht="15" hidden="false" customHeight="false" outlineLevel="0" collapsed="false">
      <c r="A924" s="3" t="n">
        <v>923</v>
      </c>
      <c r="B924" s="3" t="n">
        <f aca="false">Raw_Data!A924</f>
        <v>67</v>
      </c>
      <c r="C924" s="3" t="str">
        <f aca="false">SUBSTITUTE(Raw_Data!B924,".","")</f>
        <v>blue-collar</v>
      </c>
      <c r="D924" s="3" t="str">
        <f aca="false">Raw_Data!C924</f>
        <v>married</v>
      </c>
      <c r="E924" s="3" t="str">
        <f aca="false">Raw_Data!D924</f>
        <v>secondary</v>
      </c>
      <c r="F924" s="3" t="str">
        <f aca="false">Raw_Data!E924</f>
        <v>no</v>
      </c>
      <c r="G924" s="3" t="n">
        <f aca="false">Raw_Data!F924</f>
        <v>16353</v>
      </c>
      <c r="H924" s="3" t="str">
        <f aca="false">Raw_Data!G924</f>
        <v>no</v>
      </c>
      <c r="I924" s="3" t="str">
        <f aca="false">Raw_Data!H924</f>
        <v>no</v>
      </c>
      <c r="J924" s="2" t="n">
        <f aca="false">IF(F924="yes",1,0)</f>
        <v>0</v>
      </c>
      <c r="K924" s="2" t="n">
        <f aca="false">IF(H924="yes",1,0)</f>
        <v>0</v>
      </c>
      <c r="L924" s="2" t="n">
        <f aca="false">IF(I924="yes",1,0)</f>
        <v>0</v>
      </c>
      <c r="M924" s="2" t="n">
        <f aca="false">IF(G924&lt;0,1,0)</f>
        <v>0</v>
      </c>
      <c r="N924" s="2" t="str">
        <f aca="false">_xlfn.IFS(B924&lt;30,"Under 30",B924&lt;40,"30-39",B924&lt;50,"40-49",B924&lt;60,"50-59",TRUE(),"60+")</f>
        <v>60+</v>
      </c>
      <c r="O924" s="2" t="str">
        <f aca="false">_xlfn.IFS(G924&lt;0,"1 Negative",G924=0,"2 Zero",G924&lt;=500,"3 1-500",G924&lt;=2000,"4 501-2000",TRUE(),"5 Above 2000")</f>
        <v>5 Above 2000</v>
      </c>
      <c r="P924" s="2" t="n">
        <f aca="false">Lookups!$B$2*M924+Lookups!$B$3*L924</f>
        <v>0</v>
      </c>
      <c r="Q924" s="2" t="str">
        <f aca="false">INDEX(Lookups!$E$2:$E$5,MATCH(P924,Lookups!$D$2:$D$5,0))</f>
        <v>Low</v>
      </c>
    </row>
    <row r="925" customFormat="false" ht="15" hidden="false" customHeight="false" outlineLevel="0" collapsed="false">
      <c r="A925" s="3" t="n">
        <v>924</v>
      </c>
      <c r="B925" s="3" t="n">
        <f aca="false">Raw_Data!A925</f>
        <v>32</v>
      </c>
      <c r="C925" s="3" t="str">
        <f aca="false">SUBSTITUTE(Raw_Data!B925,".","")</f>
        <v>blue-collar</v>
      </c>
      <c r="D925" s="3" t="str">
        <f aca="false">Raw_Data!C925</f>
        <v>married</v>
      </c>
      <c r="E925" s="3" t="str">
        <f aca="false">Raw_Data!D925</f>
        <v>secondary</v>
      </c>
      <c r="F925" s="3" t="str">
        <f aca="false">Raw_Data!E925</f>
        <v>no</v>
      </c>
      <c r="G925" s="3" t="n">
        <f aca="false">Raw_Data!F925</f>
        <v>-63</v>
      </c>
      <c r="H925" s="3" t="str">
        <f aca="false">Raw_Data!G925</f>
        <v>yes</v>
      </c>
      <c r="I925" s="3" t="str">
        <f aca="false">Raw_Data!H925</f>
        <v>no</v>
      </c>
      <c r="J925" s="2" t="n">
        <f aca="false">IF(F925="yes",1,0)</f>
        <v>0</v>
      </c>
      <c r="K925" s="2" t="n">
        <f aca="false">IF(H925="yes",1,0)</f>
        <v>1</v>
      </c>
      <c r="L925" s="2" t="n">
        <f aca="false">IF(I925="yes",1,0)</f>
        <v>0</v>
      </c>
      <c r="M925" s="2" t="n">
        <f aca="false">IF(G925&lt;0,1,0)</f>
        <v>1</v>
      </c>
      <c r="N925" s="2" t="str">
        <f aca="false">_xlfn.IFS(B925&lt;30,"Under 30",B925&lt;40,"30-39",B925&lt;50,"40-49",B925&lt;60,"50-59",TRUE(),"60+")</f>
        <v>30-39</v>
      </c>
      <c r="O925" s="2" t="str">
        <f aca="false">_xlfn.IFS(G925&lt;0,"1 Negative",G925=0,"2 Zero",G925&lt;=500,"3 1-500",G925&lt;=2000,"4 501-2000",TRUE(),"5 Above 2000")</f>
        <v>1 Negative</v>
      </c>
      <c r="P925" s="2" t="n">
        <f aca="false">Lookups!$B$2*M925+Lookups!$B$3*L925</f>
        <v>2</v>
      </c>
      <c r="Q925" s="2" t="str">
        <f aca="false">INDEX(Lookups!$E$2:$E$5,MATCH(P925,Lookups!$D$2:$D$5,0))</f>
        <v>High</v>
      </c>
    </row>
    <row r="926" customFormat="false" ht="15" hidden="false" customHeight="false" outlineLevel="0" collapsed="false">
      <c r="A926" s="3" t="n">
        <v>925</v>
      </c>
      <c r="B926" s="3" t="n">
        <f aca="false">Raw_Data!A926</f>
        <v>45</v>
      </c>
      <c r="C926" s="3" t="str">
        <f aca="false">SUBSTITUTE(Raw_Data!B926,".","")</f>
        <v>housemaid</v>
      </c>
      <c r="D926" s="3" t="str">
        <f aca="false">Raw_Data!C926</f>
        <v>married</v>
      </c>
      <c r="E926" s="3" t="str">
        <f aca="false">Raw_Data!D926</f>
        <v>primary</v>
      </c>
      <c r="F926" s="3" t="str">
        <f aca="false">Raw_Data!E926</f>
        <v>no</v>
      </c>
      <c r="G926" s="3" t="n">
        <f aca="false">Raw_Data!F926</f>
        <v>7353</v>
      </c>
      <c r="H926" s="3" t="str">
        <f aca="false">Raw_Data!G926</f>
        <v>no</v>
      </c>
      <c r="I926" s="3" t="str">
        <f aca="false">Raw_Data!H926</f>
        <v>no</v>
      </c>
      <c r="J926" s="2" t="n">
        <f aca="false">IF(F926="yes",1,0)</f>
        <v>0</v>
      </c>
      <c r="K926" s="2" t="n">
        <f aca="false">IF(H926="yes",1,0)</f>
        <v>0</v>
      </c>
      <c r="L926" s="2" t="n">
        <f aca="false">IF(I926="yes",1,0)</f>
        <v>0</v>
      </c>
      <c r="M926" s="2" t="n">
        <f aca="false">IF(G926&lt;0,1,0)</f>
        <v>0</v>
      </c>
      <c r="N926" s="2" t="str">
        <f aca="false">_xlfn.IFS(B926&lt;30,"Under 30",B926&lt;40,"30-39",B926&lt;50,"40-49",B926&lt;60,"50-59",TRUE(),"60+")</f>
        <v>40-49</v>
      </c>
      <c r="O926" s="2" t="str">
        <f aca="false">_xlfn.IFS(G926&lt;0,"1 Negative",G926=0,"2 Zero",G926&lt;=500,"3 1-500",G926&lt;=2000,"4 501-2000",TRUE(),"5 Above 2000")</f>
        <v>5 Above 2000</v>
      </c>
      <c r="P926" s="2" t="n">
        <f aca="false">Lookups!$B$2*M926+Lookups!$B$3*L926</f>
        <v>0</v>
      </c>
      <c r="Q926" s="2" t="str">
        <f aca="false">INDEX(Lookups!$E$2:$E$5,MATCH(P926,Lookups!$D$2:$D$5,0))</f>
        <v>Low</v>
      </c>
    </row>
    <row r="927" customFormat="false" ht="15" hidden="false" customHeight="false" outlineLevel="0" collapsed="false">
      <c r="A927" s="3" t="n">
        <v>926</v>
      </c>
      <c r="B927" s="3" t="n">
        <f aca="false">Raw_Data!A927</f>
        <v>33</v>
      </c>
      <c r="C927" s="3" t="str">
        <f aca="false">SUBSTITUTE(Raw_Data!B927,".","")</f>
        <v>blue-collar</v>
      </c>
      <c r="D927" s="3" t="str">
        <f aca="false">Raw_Data!C927</f>
        <v>married</v>
      </c>
      <c r="E927" s="3" t="str">
        <f aca="false">Raw_Data!D927</f>
        <v>primary</v>
      </c>
      <c r="F927" s="3" t="str">
        <f aca="false">Raw_Data!E927</f>
        <v>no</v>
      </c>
      <c r="G927" s="3" t="n">
        <f aca="false">Raw_Data!F927</f>
        <v>511</v>
      </c>
      <c r="H927" s="3" t="str">
        <f aca="false">Raw_Data!G927</f>
        <v>yes</v>
      </c>
      <c r="I927" s="3" t="str">
        <f aca="false">Raw_Data!H927</f>
        <v>no</v>
      </c>
      <c r="J927" s="2" t="n">
        <f aca="false">IF(F927="yes",1,0)</f>
        <v>0</v>
      </c>
      <c r="K927" s="2" t="n">
        <f aca="false">IF(H927="yes",1,0)</f>
        <v>1</v>
      </c>
      <c r="L927" s="2" t="n">
        <f aca="false">IF(I927="yes",1,0)</f>
        <v>0</v>
      </c>
      <c r="M927" s="2" t="n">
        <f aca="false">IF(G927&lt;0,1,0)</f>
        <v>0</v>
      </c>
      <c r="N927" s="2" t="str">
        <f aca="false">_xlfn.IFS(B927&lt;30,"Under 30",B927&lt;40,"30-39",B927&lt;50,"40-49",B927&lt;60,"50-59",TRUE(),"60+")</f>
        <v>30-39</v>
      </c>
      <c r="O927" s="2" t="str">
        <f aca="false">_xlfn.IFS(G927&lt;0,"1 Negative",G927=0,"2 Zero",G927&lt;=500,"3 1-500",G927&lt;=2000,"4 501-2000",TRUE(),"5 Above 2000")</f>
        <v>4 501-2000</v>
      </c>
      <c r="P927" s="2" t="n">
        <f aca="false">Lookups!$B$2*M927+Lookups!$B$3*L927</f>
        <v>0</v>
      </c>
      <c r="Q927" s="2" t="str">
        <f aca="false">INDEX(Lookups!$E$2:$E$5,MATCH(P927,Lookups!$D$2:$D$5,0))</f>
        <v>Low</v>
      </c>
    </row>
    <row r="928" customFormat="false" ht="15" hidden="false" customHeight="false" outlineLevel="0" collapsed="false">
      <c r="A928" s="3" t="n">
        <v>927</v>
      </c>
      <c r="B928" s="3" t="n">
        <f aca="false">Raw_Data!A928</f>
        <v>38</v>
      </c>
      <c r="C928" s="3" t="str">
        <f aca="false">SUBSTITUTE(Raw_Data!B928,".","")</f>
        <v>admin</v>
      </c>
      <c r="D928" s="3" t="str">
        <f aca="false">Raw_Data!C928</f>
        <v>married</v>
      </c>
      <c r="E928" s="3" t="str">
        <f aca="false">Raw_Data!D928</f>
        <v>primary</v>
      </c>
      <c r="F928" s="3" t="str">
        <f aca="false">Raw_Data!E928</f>
        <v>no</v>
      </c>
      <c r="G928" s="3" t="n">
        <f aca="false">Raw_Data!F928</f>
        <v>3913</v>
      </c>
      <c r="H928" s="3" t="str">
        <f aca="false">Raw_Data!G928</f>
        <v>yes</v>
      </c>
      <c r="I928" s="3" t="str">
        <f aca="false">Raw_Data!H928</f>
        <v>no</v>
      </c>
      <c r="J928" s="2" t="n">
        <f aca="false">IF(F928="yes",1,0)</f>
        <v>0</v>
      </c>
      <c r="K928" s="2" t="n">
        <f aca="false">IF(H928="yes",1,0)</f>
        <v>1</v>
      </c>
      <c r="L928" s="2" t="n">
        <f aca="false">IF(I928="yes",1,0)</f>
        <v>0</v>
      </c>
      <c r="M928" s="2" t="n">
        <f aca="false">IF(G928&lt;0,1,0)</f>
        <v>0</v>
      </c>
      <c r="N928" s="2" t="str">
        <f aca="false">_xlfn.IFS(B928&lt;30,"Under 30",B928&lt;40,"30-39",B928&lt;50,"40-49",B928&lt;60,"50-59",TRUE(),"60+")</f>
        <v>30-39</v>
      </c>
      <c r="O928" s="2" t="str">
        <f aca="false">_xlfn.IFS(G928&lt;0,"1 Negative",G928=0,"2 Zero",G928&lt;=500,"3 1-500",G928&lt;=2000,"4 501-2000",TRUE(),"5 Above 2000")</f>
        <v>5 Above 2000</v>
      </c>
      <c r="P928" s="2" t="n">
        <f aca="false">Lookups!$B$2*M928+Lookups!$B$3*L928</f>
        <v>0</v>
      </c>
      <c r="Q928" s="2" t="str">
        <f aca="false">INDEX(Lookups!$E$2:$E$5,MATCH(P928,Lookups!$D$2:$D$5,0))</f>
        <v>Low</v>
      </c>
    </row>
    <row r="929" customFormat="false" ht="15" hidden="false" customHeight="false" outlineLevel="0" collapsed="false">
      <c r="A929" s="3" t="n">
        <v>928</v>
      </c>
      <c r="B929" s="3" t="n">
        <f aca="false">Raw_Data!A929</f>
        <v>32</v>
      </c>
      <c r="C929" s="3" t="str">
        <f aca="false">SUBSTITUTE(Raw_Data!B929,".","")</f>
        <v>technician</v>
      </c>
      <c r="D929" s="3" t="str">
        <f aca="false">Raw_Data!C929</f>
        <v>divorced</v>
      </c>
      <c r="E929" s="3" t="str">
        <f aca="false">Raw_Data!D929</f>
        <v>secondary</v>
      </c>
      <c r="F929" s="3" t="str">
        <f aca="false">Raw_Data!E929</f>
        <v>no</v>
      </c>
      <c r="G929" s="3" t="n">
        <f aca="false">Raw_Data!F929</f>
        <v>1097</v>
      </c>
      <c r="H929" s="3" t="str">
        <f aca="false">Raw_Data!G929</f>
        <v>yes</v>
      </c>
      <c r="I929" s="3" t="str">
        <f aca="false">Raw_Data!H929</f>
        <v>no</v>
      </c>
      <c r="J929" s="2" t="n">
        <f aca="false">IF(F929="yes",1,0)</f>
        <v>0</v>
      </c>
      <c r="K929" s="2" t="n">
        <f aca="false">IF(H929="yes",1,0)</f>
        <v>1</v>
      </c>
      <c r="L929" s="2" t="n">
        <f aca="false">IF(I929="yes",1,0)</f>
        <v>0</v>
      </c>
      <c r="M929" s="2" t="n">
        <f aca="false">IF(G929&lt;0,1,0)</f>
        <v>0</v>
      </c>
      <c r="N929" s="2" t="str">
        <f aca="false">_xlfn.IFS(B929&lt;30,"Under 30",B929&lt;40,"30-39",B929&lt;50,"40-49",B929&lt;60,"50-59",TRUE(),"60+")</f>
        <v>30-39</v>
      </c>
      <c r="O929" s="2" t="str">
        <f aca="false">_xlfn.IFS(G929&lt;0,"1 Negative",G929=0,"2 Zero",G929&lt;=500,"3 1-500",G929&lt;=2000,"4 501-2000",TRUE(),"5 Above 2000")</f>
        <v>4 501-2000</v>
      </c>
      <c r="P929" s="2" t="n">
        <f aca="false">Lookups!$B$2*M929+Lookups!$B$3*L929</f>
        <v>0</v>
      </c>
      <c r="Q929" s="2" t="str">
        <f aca="false">INDEX(Lookups!$E$2:$E$5,MATCH(P929,Lookups!$D$2:$D$5,0))</f>
        <v>Low</v>
      </c>
    </row>
    <row r="930" customFormat="false" ht="15" hidden="false" customHeight="false" outlineLevel="0" collapsed="false">
      <c r="A930" s="3" t="n">
        <v>929</v>
      </c>
      <c r="B930" s="3" t="n">
        <f aca="false">Raw_Data!A930</f>
        <v>54</v>
      </c>
      <c r="C930" s="3" t="str">
        <f aca="false">SUBSTITUTE(Raw_Data!B930,".","")</f>
        <v>retired</v>
      </c>
      <c r="D930" s="3" t="str">
        <f aca="false">Raw_Data!C930</f>
        <v>divorced</v>
      </c>
      <c r="E930" s="3" t="str">
        <f aca="false">Raw_Data!D930</f>
        <v>tertiary</v>
      </c>
      <c r="F930" s="3" t="str">
        <f aca="false">Raw_Data!E930</f>
        <v>no</v>
      </c>
      <c r="G930" s="3" t="n">
        <f aca="false">Raw_Data!F930</f>
        <v>6102</v>
      </c>
      <c r="H930" s="3" t="str">
        <f aca="false">Raw_Data!G930</f>
        <v>yes</v>
      </c>
      <c r="I930" s="3" t="str">
        <f aca="false">Raw_Data!H930</f>
        <v>yes</v>
      </c>
      <c r="J930" s="2" t="n">
        <f aca="false">IF(F930="yes",1,0)</f>
        <v>0</v>
      </c>
      <c r="K930" s="2" t="n">
        <f aca="false">IF(H930="yes",1,0)</f>
        <v>1</v>
      </c>
      <c r="L930" s="2" t="n">
        <f aca="false">IF(I930="yes",1,0)</f>
        <v>1</v>
      </c>
      <c r="M930" s="2" t="n">
        <f aca="false">IF(G930&lt;0,1,0)</f>
        <v>0</v>
      </c>
      <c r="N930" s="2" t="str">
        <f aca="false">_xlfn.IFS(B930&lt;30,"Under 30",B930&lt;40,"30-39",B930&lt;50,"40-49",B930&lt;60,"50-59",TRUE(),"60+")</f>
        <v>50-59</v>
      </c>
      <c r="O930" s="2" t="str">
        <f aca="false">_xlfn.IFS(G930&lt;0,"1 Negative",G930=0,"2 Zero",G930&lt;=500,"3 1-500",G930&lt;=2000,"4 501-2000",TRUE(),"5 Above 2000")</f>
        <v>5 Above 2000</v>
      </c>
      <c r="P930" s="2" t="n">
        <f aca="false">Lookups!$B$2*M930+Lookups!$B$3*L930</f>
        <v>1</v>
      </c>
      <c r="Q930" s="2" t="str">
        <f aca="false">INDEX(Lookups!$E$2:$E$5,MATCH(P930,Lookups!$D$2:$D$5,0))</f>
        <v>Medium</v>
      </c>
    </row>
    <row r="931" customFormat="false" ht="15" hidden="false" customHeight="false" outlineLevel="0" collapsed="false">
      <c r="A931" s="3" t="n">
        <v>930</v>
      </c>
      <c r="B931" s="3" t="n">
        <f aca="false">Raw_Data!A931</f>
        <v>51</v>
      </c>
      <c r="C931" s="3" t="str">
        <f aca="false">SUBSTITUTE(Raw_Data!B931,".","")</f>
        <v>admin</v>
      </c>
      <c r="D931" s="3" t="str">
        <f aca="false">Raw_Data!C931</f>
        <v>divorced</v>
      </c>
      <c r="E931" s="3" t="str">
        <f aca="false">Raw_Data!D931</f>
        <v>secondary</v>
      </c>
      <c r="F931" s="3" t="str">
        <f aca="false">Raw_Data!E931</f>
        <v>no</v>
      </c>
      <c r="G931" s="3" t="n">
        <f aca="false">Raw_Data!F931</f>
        <v>340</v>
      </c>
      <c r="H931" s="3" t="str">
        <f aca="false">Raw_Data!G931</f>
        <v>yes</v>
      </c>
      <c r="I931" s="3" t="str">
        <f aca="false">Raw_Data!H931</f>
        <v>no</v>
      </c>
      <c r="J931" s="2" t="n">
        <f aca="false">IF(F931="yes",1,0)</f>
        <v>0</v>
      </c>
      <c r="K931" s="2" t="n">
        <f aca="false">IF(H931="yes",1,0)</f>
        <v>1</v>
      </c>
      <c r="L931" s="2" t="n">
        <f aca="false">IF(I931="yes",1,0)</f>
        <v>0</v>
      </c>
      <c r="M931" s="2" t="n">
        <f aca="false">IF(G931&lt;0,1,0)</f>
        <v>0</v>
      </c>
      <c r="N931" s="2" t="str">
        <f aca="false">_xlfn.IFS(B931&lt;30,"Under 30",B931&lt;40,"30-39",B931&lt;50,"40-49",B931&lt;60,"50-59",TRUE(),"60+")</f>
        <v>50-59</v>
      </c>
      <c r="O931" s="2" t="str">
        <f aca="false">_xlfn.IFS(G931&lt;0,"1 Negative",G931=0,"2 Zero",G931&lt;=500,"3 1-500",G931&lt;=2000,"4 501-2000",TRUE(),"5 Above 2000")</f>
        <v>3 1-500</v>
      </c>
      <c r="P931" s="2" t="n">
        <f aca="false">Lookups!$B$2*M931+Lookups!$B$3*L931</f>
        <v>0</v>
      </c>
      <c r="Q931" s="2" t="str">
        <f aca="false">INDEX(Lookups!$E$2:$E$5,MATCH(P931,Lookups!$D$2:$D$5,0))</f>
        <v>Low</v>
      </c>
    </row>
    <row r="932" customFormat="false" ht="15" hidden="false" customHeight="false" outlineLevel="0" collapsed="false">
      <c r="A932" s="3" t="n">
        <v>931</v>
      </c>
      <c r="B932" s="3" t="n">
        <f aca="false">Raw_Data!A932</f>
        <v>42</v>
      </c>
      <c r="C932" s="3" t="str">
        <f aca="false">SUBSTITUTE(Raw_Data!B932,".","")</f>
        <v>blue-collar</v>
      </c>
      <c r="D932" s="3" t="str">
        <f aca="false">Raw_Data!C932</f>
        <v>married</v>
      </c>
      <c r="E932" s="3" t="str">
        <f aca="false">Raw_Data!D932</f>
        <v>primary</v>
      </c>
      <c r="F932" s="3" t="str">
        <f aca="false">Raw_Data!E932</f>
        <v>no</v>
      </c>
      <c r="G932" s="3" t="n">
        <f aca="false">Raw_Data!F932</f>
        <v>-119</v>
      </c>
      <c r="H932" s="3" t="str">
        <f aca="false">Raw_Data!G932</f>
        <v>yes</v>
      </c>
      <c r="I932" s="3" t="str">
        <f aca="false">Raw_Data!H932</f>
        <v>no</v>
      </c>
      <c r="J932" s="2" t="n">
        <f aca="false">IF(F932="yes",1,0)</f>
        <v>0</v>
      </c>
      <c r="K932" s="2" t="n">
        <f aca="false">IF(H932="yes",1,0)</f>
        <v>1</v>
      </c>
      <c r="L932" s="2" t="n">
        <f aca="false">IF(I932="yes",1,0)</f>
        <v>0</v>
      </c>
      <c r="M932" s="2" t="n">
        <f aca="false">IF(G932&lt;0,1,0)</f>
        <v>1</v>
      </c>
      <c r="N932" s="2" t="str">
        <f aca="false">_xlfn.IFS(B932&lt;30,"Under 30",B932&lt;40,"30-39",B932&lt;50,"40-49",B932&lt;60,"50-59",TRUE(),"60+")</f>
        <v>40-49</v>
      </c>
      <c r="O932" s="2" t="str">
        <f aca="false">_xlfn.IFS(G932&lt;0,"1 Negative",G932=0,"2 Zero",G932&lt;=500,"3 1-500",G932&lt;=2000,"4 501-2000",TRUE(),"5 Above 2000")</f>
        <v>1 Negative</v>
      </c>
      <c r="P932" s="2" t="n">
        <f aca="false">Lookups!$B$2*M932+Lookups!$B$3*L932</f>
        <v>2</v>
      </c>
      <c r="Q932" s="2" t="str">
        <f aca="false">INDEX(Lookups!$E$2:$E$5,MATCH(P932,Lookups!$D$2:$D$5,0))</f>
        <v>High</v>
      </c>
    </row>
    <row r="933" customFormat="false" ht="15" hidden="false" customHeight="false" outlineLevel="0" collapsed="false">
      <c r="A933" s="3" t="n">
        <v>932</v>
      </c>
      <c r="B933" s="3" t="n">
        <f aca="false">Raw_Data!A933</f>
        <v>41</v>
      </c>
      <c r="C933" s="3" t="str">
        <f aca="false">SUBSTITUTE(Raw_Data!B933,".","")</f>
        <v>admin</v>
      </c>
      <c r="D933" s="3" t="str">
        <f aca="false">Raw_Data!C933</f>
        <v>married</v>
      </c>
      <c r="E933" s="3" t="str">
        <f aca="false">Raw_Data!D933</f>
        <v>secondary</v>
      </c>
      <c r="F933" s="3" t="str">
        <f aca="false">Raw_Data!E933</f>
        <v>no</v>
      </c>
      <c r="G933" s="3" t="n">
        <f aca="false">Raw_Data!F933</f>
        <v>2993</v>
      </c>
      <c r="H933" s="3" t="str">
        <f aca="false">Raw_Data!G933</f>
        <v>yes</v>
      </c>
      <c r="I933" s="3" t="str">
        <f aca="false">Raw_Data!H933</f>
        <v>no</v>
      </c>
      <c r="J933" s="2" t="n">
        <f aca="false">IF(F933="yes",1,0)</f>
        <v>0</v>
      </c>
      <c r="K933" s="2" t="n">
        <f aca="false">IF(H933="yes",1,0)</f>
        <v>1</v>
      </c>
      <c r="L933" s="2" t="n">
        <f aca="false">IF(I933="yes",1,0)</f>
        <v>0</v>
      </c>
      <c r="M933" s="2" t="n">
        <f aca="false">IF(G933&lt;0,1,0)</f>
        <v>0</v>
      </c>
      <c r="N933" s="2" t="str">
        <f aca="false">_xlfn.IFS(B933&lt;30,"Under 30",B933&lt;40,"30-39",B933&lt;50,"40-49",B933&lt;60,"50-59",TRUE(),"60+")</f>
        <v>40-49</v>
      </c>
      <c r="O933" s="2" t="str">
        <f aca="false">_xlfn.IFS(G933&lt;0,"1 Negative",G933=0,"2 Zero",G933&lt;=500,"3 1-500",G933&lt;=2000,"4 501-2000",TRUE(),"5 Above 2000")</f>
        <v>5 Above 2000</v>
      </c>
      <c r="P933" s="2" t="n">
        <f aca="false">Lookups!$B$2*M933+Lookups!$B$3*L933</f>
        <v>0</v>
      </c>
      <c r="Q933" s="2" t="str">
        <f aca="false">INDEX(Lookups!$E$2:$E$5,MATCH(P933,Lookups!$D$2:$D$5,0))</f>
        <v>Low</v>
      </c>
    </row>
    <row r="934" customFormat="false" ht="15" hidden="false" customHeight="false" outlineLevel="0" collapsed="false">
      <c r="A934" s="3" t="n">
        <v>933</v>
      </c>
      <c r="B934" s="3" t="n">
        <f aca="false">Raw_Data!A934</f>
        <v>39</v>
      </c>
      <c r="C934" s="3" t="str">
        <f aca="false">SUBSTITUTE(Raw_Data!B934,".","")</f>
        <v>management</v>
      </c>
      <c r="D934" s="3" t="str">
        <f aca="false">Raw_Data!C934</f>
        <v>divorced</v>
      </c>
      <c r="E934" s="3" t="str">
        <f aca="false">Raw_Data!D934</f>
        <v>tertiary</v>
      </c>
      <c r="F934" s="3" t="str">
        <f aca="false">Raw_Data!E934</f>
        <v>no</v>
      </c>
      <c r="G934" s="3" t="n">
        <f aca="false">Raw_Data!F934</f>
        <v>3575</v>
      </c>
      <c r="H934" s="3" t="str">
        <f aca="false">Raw_Data!G934</f>
        <v>no</v>
      </c>
      <c r="I934" s="3" t="str">
        <f aca="false">Raw_Data!H934</f>
        <v>yes</v>
      </c>
      <c r="J934" s="2" t="n">
        <f aca="false">IF(F934="yes",1,0)</f>
        <v>0</v>
      </c>
      <c r="K934" s="2" t="n">
        <f aca="false">IF(H934="yes",1,0)</f>
        <v>0</v>
      </c>
      <c r="L934" s="2" t="n">
        <f aca="false">IF(I934="yes",1,0)</f>
        <v>1</v>
      </c>
      <c r="M934" s="2" t="n">
        <f aca="false">IF(G934&lt;0,1,0)</f>
        <v>0</v>
      </c>
      <c r="N934" s="2" t="str">
        <f aca="false">_xlfn.IFS(B934&lt;30,"Under 30",B934&lt;40,"30-39",B934&lt;50,"40-49",B934&lt;60,"50-59",TRUE(),"60+")</f>
        <v>30-39</v>
      </c>
      <c r="O934" s="2" t="str">
        <f aca="false">_xlfn.IFS(G934&lt;0,"1 Negative",G934=0,"2 Zero",G934&lt;=500,"3 1-500",G934&lt;=2000,"4 501-2000",TRUE(),"5 Above 2000")</f>
        <v>5 Above 2000</v>
      </c>
      <c r="P934" s="2" t="n">
        <f aca="false">Lookups!$B$2*M934+Lookups!$B$3*L934</f>
        <v>1</v>
      </c>
      <c r="Q934" s="2" t="str">
        <f aca="false">INDEX(Lookups!$E$2:$E$5,MATCH(P934,Lookups!$D$2:$D$5,0))</f>
        <v>Medium</v>
      </c>
    </row>
    <row r="935" customFormat="false" ht="15" hidden="false" customHeight="false" outlineLevel="0" collapsed="false">
      <c r="A935" s="3" t="n">
        <v>934</v>
      </c>
      <c r="B935" s="3" t="n">
        <f aca="false">Raw_Data!A935</f>
        <v>38</v>
      </c>
      <c r="C935" s="3" t="str">
        <f aca="false">SUBSTITUTE(Raw_Data!B935,".","")</f>
        <v>blue-collar</v>
      </c>
      <c r="D935" s="3" t="str">
        <f aca="false">Raw_Data!C935</f>
        <v>married</v>
      </c>
      <c r="E935" s="3" t="str">
        <f aca="false">Raw_Data!D935</f>
        <v>secondary</v>
      </c>
      <c r="F935" s="3" t="str">
        <f aca="false">Raw_Data!E935</f>
        <v>no</v>
      </c>
      <c r="G935" s="3" t="n">
        <f aca="false">Raw_Data!F935</f>
        <v>361</v>
      </c>
      <c r="H935" s="3" t="str">
        <f aca="false">Raw_Data!G935</f>
        <v>yes</v>
      </c>
      <c r="I935" s="3" t="str">
        <f aca="false">Raw_Data!H935</f>
        <v>no</v>
      </c>
      <c r="J935" s="2" t="n">
        <f aca="false">IF(F935="yes",1,0)</f>
        <v>0</v>
      </c>
      <c r="K935" s="2" t="n">
        <f aca="false">IF(H935="yes",1,0)</f>
        <v>1</v>
      </c>
      <c r="L935" s="2" t="n">
        <f aca="false">IF(I935="yes",1,0)</f>
        <v>0</v>
      </c>
      <c r="M935" s="2" t="n">
        <f aca="false">IF(G935&lt;0,1,0)</f>
        <v>0</v>
      </c>
      <c r="N935" s="2" t="str">
        <f aca="false">_xlfn.IFS(B935&lt;30,"Under 30",B935&lt;40,"30-39",B935&lt;50,"40-49",B935&lt;60,"50-59",TRUE(),"60+")</f>
        <v>30-39</v>
      </c>
      <c r="O935" s="2" t="str">
        <f aca="false">_xlfn.IFS(G935&lt;0,"1 Negative",G935=0,"2 Zero",G935&lt;=500,"3 1-500",G935&lt;=2000,"4 501-2000",TRUE(),"5 Above 2000")</f>
        <v>3 1-500</v>
      </c>
      <c r="P935" s="2" t="n">
        <f aca="false">Lookups!$B$2*M935+Lookups!$B$3*L935</f>
        <v>0</v>
      </c>
      <c r="Q935" s="2" t="str">
        <f aca="false">INDEX(Lookups!$E$2:$E$5,MATCH(P935,Lookups!$D$2:$D$5,0))</f>
        <v>Low</v>
      </c>
    </row>
    <row r="936" customFormat="false" ht="15" hidden="false" customHeight="false" outlineLevel="0" collapsed="false">
      <c r="A936" s="3" t="n">
        <v>935</v>
      </c>
      <c r="B936" s="3" t="n">
        <f aca="false">Raw_Data!A936</f>
        <v>39</v>
      </c>
      <c r="C936" s="3" t="str">
        <f aca="false">SUBSTITUTE(Raw_Data!B936,".","")</f>
        <v>management</v>
      </c>
      <c r="D936" s="3" t="str">
        <f aca="false">Raw_Data!C936</f>
        <v>married</v>
      </c>
      <c r="E936" s="3" t="str">
        <f aca="false">Raw_Data!D936</f>
        <v>secondary</v>
      </c>
      <c r="F936" s="3" t="str">
        <f aca="false">Raw_Data!E936</f>
        <v>no</v>
      </c>
      <c r="G936" s="3" t="n">
        <f aca="false">Raw_Data!F936</f>
        <v>1072</v>
      </c>
      <c r="H936" s="3" t="str">
        <f aca="false">Raw_Data!G936</f>
        <v>yes</v>
      </c>
      <c r="I936" s="3" t="str">
        <f aca="false">Raw_Data!H936</f>
        <v>no</v>
      </c>
      <c r="J936" s="2" t="n">
        <f aca="false">IF(F936="yes",1,0)</f>
        <v>0</v>
      </c>
      <c r="K936" s="2" t="n">
        <f aca="false">IF(H936="yes",1,0)</f>
        <v>1</v>
      </c>
      <c r="L936" s="2" t="n">
        <f aca="false">IF(I936="yes",1,0)</f>
        <v>0</v>
      </c>
      <c r="M936" s="2" t="n">
        <f aca="false">IF(G936&lt;0,1,0)</f>
        <v>0</v>
      </c>
      <c r="N936" s="2" t="str">
        <f aca="false">_xlfn.IFS(B936&lt;30,"Under 30",B936&lt;40,"30-39",B936&lt;50,"40-49",B936&lt;60,"50-59",TRUE(),"60+")</f>
        <v>30-39</v>
      </c>
      <c r="O936" s="2" t="str">
        <f aca="false">_xlfn.IFS(G936&lt;0,"1 Negative",G936=0,"2 Zero",G936&lt;=500,"3 1-500",G936&lt;=2000,"4 501-2000",TRUE(),"5 Above 2000")</f>
        <v>4 501-2000</v>
      </c>
      <c r="P936" s="2" t="n">
        <f aca="false">Lookups!$B$2*M936+Lookups!$B$3*L936</f>
        <v>0</v>
      </c>
      <c r="Q936" s="2" t="str">
        <f aca="false">INDEX(Lookups!$E$2:$E$5,MATCH(P936,Lookups!$D$2:$D$5,0))</f>
        <v>Low</v>
      </c>
    </row>
    <row r="937" customFormat="false" ht="15" hidden="false" customHeight="false" outlineLevel="0" collapsed="false">
      <c r="A937" s="3" t="n">
        <v>936</v>
      </c>
      <c r="B937" s="3" t="n">
        <f aca="false">Raw_Data!A937</f>
        <v>46</v>
      </c>
      <c r="C937" s="3" t="str">
        <f aca="false">SUBSTITUTE(Raw_Data!B937,".","")</f>
        <v>blue-collar</v>
      </c>
      <c r="D937" s="3" t="str">
        <f aca="false">Raw_Data!C937</f>
        <v>married</v>
      </c>
      <c r="E937" s="3" t="str">
        <f aca="false">Raw_Data!D937</f>
        <v>primary</v>
      </c>
      <c r="F937" s="3" t="str">
        <f aca="false">Raw_Data!E937</f>
        <v>no</v>
      </c>
      <c r="G937" s="3" t="n">
        <f aca="false">Raw_Data!F937</f>
        <v>2904</v>
      </c>
      <c r="H937" s="3" t="str">
        <f aca="false">Raw_Data!G937</f>
        <v>no</v>
      </c>
      <c r="I937" s="3" t="str">
        <f aca="false">Raw_Data!H937</f>
        <v>no</v>
      </c>
      <c r="J937" s="2" t="n">
        <f aca="false">IF(F937="yes",1,0)</f>
        <v>0</v>
      </c>
      <c r="K937" s="2" t="n">
        <f aca="false">IF(H937="yes",1,0)</f>
        <v>0</v>
      </c>
      <c r="L937" s="2" t="n">
        <f aca="false">IF(I937="yes",1,0)</f>
        <v>0</v>
      </c>
      <c r="M937" s="2" t="n">
        <f aca="false">IF(G937&lt;0,1,0)</f>
        <v>0</v>
      </c>
      <c r="N937" s="2" t="str">
        <f aca="false">_xlfn.IFS(B937&lt;30,"Under 30",B937&lt;40,"30-39",B937&lt;50,"40-49",B937&lt;60,"50-59",TRUE(),"60+")</f>
        <v>40-49</v>
      </c>
      <c r="O937" s="2" t="str">
        <f aca="false">_xlfn.IFS(G937&lt;0,"1 Negative",G937=0,"2 Zero",G937&lt;=500,"3 1-500",G937&lt;=2000,"4 501-2000",TRUE(),"5 Above 2000")</f>
        <v>5 Above 2000</v>
      </c>
      <c r="P937" s="2" t="n">
        <f aca="false">Lookups!$B$2*M937+Lookups!$B$3*L937</f>
        <v>0</v>
      </c>
      <c r="Q937" s="2" t="str">
        <f aca="false">INDEX(Lookups!$E$2:$E$5,MATCH(P937,Lookups!$D$2:$D$5,0))</f>
        <v>Low</v>
      </c>
    </row>
    <row r="938" customFormat="false" ht="15" hidden="false" customHeight="false" outlineLevel="0" collapsed="false">
      <c r="A938" s="3" t="n">
        <v>937</v>
      </c>
      <c r="B938" s="3" t="n">
        <f aca="false">Raw_Data!A938</f>
        <v>50</v>
      </c>
      <c r="C938" s="3" t="str">
        <f aca="false">SUBSTITUTE(Raw_Data!B938,".","")</f>
        <v>entrepreneur</v>
      </c>
      <c r="D938" s="3" t="str">
        <f aca="false">Raw_Data!C938</f>
        <v>divorced</v>
      </c>
      <c r="E938" s="3" t="str">
        <f aca="false">Raw_Data!D938</f>
        <v>tertiary</v>
      </c>
      <c r="F938" s="3" t="str">
        <f aca="false">Raw_Data!E938</f>
        <v>no</v>
      </c>
      <c r="G938" s="3" t="n">
        <f aca="false">Raw_Data!F938</f>
        <v>1790</v>
      </c>
      <c r="H938" s="3" t="str">
        <f aca="false">Raw_Data!G938</f>
        <v>no</v>
      </c>
      <c r="I938" s="3" t="str">
        <f aca="false">Raw_Data!H938</f>
        <v>yes</v>
      </c>
      <c r="J938" s="2" t="n">
        <f aca="false">IF(F938="yes",1,0)</f>
        <v>0</v>
      </c>
      <c r="K938" s="2" t="n">
        <f aca="false">IF(H938="yes",1,0)</f>
        <v>0</v>
      </c>
      <c r="L938" s="2" t="n">
        <f aca="false">IF(I938="yes",1,0)</f>
        <v>1</v>
      </c>
      <c r="M938" s="2" t="n">
        <f aca="false">IF(G938&lt;0,1,0)</f>
        <v>0</v>
      </c>
      <c r="N938" s="2" t="str">
        <f aca="false">_xlfn.IFS(B938&lt;30,"Under 30",B938&lt;40,"30-39",B938&lt;50,"40-49",B938&lt;60,"50-59",TRUE(),"60+")</f>
        <v>50-59</v>
      </c>
      <c r="O938" s="2" t="str">
        <f aca="false">_xlfn.IFS(G938&lt;0,"1 Negative",G938=0,"2 Zero",G938&lt;=500,"3 1-500",G938&lt;=2000,"4 501-2000",TRUE(),"5 Above 2000")</f>
        <v>4 501-2000</v>
      </c>
      <c r="P938" s="2" t="n">
        <f aca="false">Lookups!$B$2*M938+Lookups!$B$3*L938</f>
        <v>1</v>
      </c>
      <c r="Q938" s="2" t="str">
        <f aca="false">INDEX(Lookups!$E$2:$E$5,MATCH(P938,Lookups!$D$2:$D$5,0))</f>
        <v>Medium</v>
      </c>
    </row>
    <row r="939" customFormat="false" ht="15" hidden="false" customHeight="false" outlineLevel="0" collapsed="false">
      <c r="A939" s="3" t="n">
        <v>938</v>
      </c>
      <c r="B939" s="3" t="n">
        <f aca="false">Raw_Data!A939</f>
        <v>33</v>
      </c>
      <c r="C939" s="3" t="str">
        <f aca="false">SUBSTITUTE(Raw_Data!B939,".","")</f>
        <v>blue-collar</v>
      </c>
      <c r="D939" s="3" t="str">
        <f aca="false">Raw_Data!C939</f>
        <v>married</v>
      </c>
      <c r="E939" s="3" t="str">
        <f aca="false">Raw_Data!D939</f>
        <v>secondary</v>
      </c>
      <c r="F939" s="3" t="str">
        <f aca="false">Raw_Data!E939</f>
        <v>no</v>
      </c>
      <c r="G939" s="3" t="n">
        <f aca="false">Raw_Data!F939</f>
        <v>86</v>
      </c>
      <c r="H939" s="3" t="str">
        <f aca="false">Raw_Data!G939</f>
        <v>yes</v>
      </c>
      <c r="I939" s="3" t="str">
        <f aca="false">Raw_Data!H939</f>
        <v>no</v>
      </c>
      <c r="J939" s="2" t="n">
        <f aca="false">IF(F939="yes",1,0)</f>
        <v>0</v>
      </c>
      <c r="K939" s="2" t="n">
        <f aca="false">IF(H939="yes",1,0)</f>
        <v>1</v>
      </c>
      <c r="L939" s="2" t="n">
        <f aca="false">IF(I939="yes",1,0)</f>
        <v>0</v>
      </c>
      <c r="M939" s="2" t="n">
        <f aca="false">IF(G939&lt;0,1,0)</f>
        <v>0</v>
      </c>
      <c r="N939" s="2" t="str">
        <f aca="false">_xlfn.IFS(B939&lt;30,"Under 30",B939&lt;40,"30-39",B939&lt;50,"40-49",B939&lt;60,"50-59",TRUE(),"60+")</f>
        <v>30-39</v>
      </c>
      <c r="O939" s="2" t="str">
        <f aca="false">_xlfn.IFS(G939&lt;0,"1 Negative",G939=0,"2 Zero",G939&lt;=500,"3 1-500",G939&lt;=2000,"4 501-2000",TRUE(),"5 Above 2000")</f>
        <v>3 1-500</v>
      </c>
      <c r="P939" s="2" t="n">
        <f aca="false">Lookups!$B$2*M939+Lookups!$B$3*L939</f>
        <v>0</v>
      </c>
      <c r="Q939" s="2" t="str">
        <f aca="false">INDEX(Lookups!$E$2:$E$5,MATCH(P939,Lookups!$D$2:$D$5,0))</f>
        <v>Low</v>
      </c>
    </row>
    <row r="940" customFormat="false" ht="15" hidden="false" customHeight="false" outlineLevel="0" collapsed="false">
      <c r="A940" s="3" t="n">
        <v>939</v>
      </c>
      <c r="B940" s="3" t="n">
        <f aca="false">Raw_Data!A940</f>
        <v>37</v>
      </c>
      <c r="C940" s="3" t="str">
        <f aca="false">SUBSTITUTE(Raw_Data!B940,".","")</f>
        <v>technician</v>
      </c>
      <c r="D940" s="3" t="str">
        <f aca="false">Raw_Data!C940</f>
        <v>married</v>
      </c>
      <c r="E940" s="3" t="str">
        <f aca="false">Raw_Data!D940</f>
        <v>secondary</v>
      </c>
      <c r="F940" s="3" t="str">
        <f aca="false">Raw_Data!E940</f>
        <v>no</v>
      </c>
      <c r="G940" s="3" t="n">
        <f aca="false">Raw_Data!F940</f>
        <v>1633</v>
      </c>
      <c r="H940" s="3" t="str">
        <f aca="false">Raw_Data!G940</f>
        <v>yes</v>
      </c>
      <c r="I940" s="3" t="str">
        <f aca="false">Raw_Data!H940</f>
        <v>no</v>
      </c>
      <c r="J940" s="2" t="n">
        <f aca="false">IF(F940="yes",1,0)</f>
        <v>0</v>
      </c>
      <c r="K940" s="2" t="n">
        <f aca="false">IF(H940="yes",1,0)</f>
        <v>1</v>
      </c>
      <c r="L940" s="2" t="n">
        <f aca="false">IF(I940="yes",1,0)</f>
        <v>0</v>
      </c>
      <c r="M940" s="2" t="n">
        <f aca="false">IF(G940&lt;0,1,0)</f>
        <v>0</v>
      </c>
      <c r="N940" s="2" t="str">
        <f aca="false">_xlfn.IFS(B940&lt;30,"Under 30",B940&lt;40,"30-39",B940&lt;50,"40-49",B940&lt;60,"50-59",TRUE(),"60+")</f>
        <v>30-39</v>
      </c>
      <c r="O940" s="2" t="str">
        <f aca="false">_xlfn.IFS(G940&lt;0,"1 Negative",G940=0,"2 Zero",G940&lt;=500,"3 1-500",G940&lt;=2000,"4 501-2000",TRUE(),"5 Above 2000")</f>
        <v>4 501-2000</v>
      </c>
      <c r="P940" s="2" t="n">
        <f aca="false">Lookups!$B$2*M940+Lookups!$B$3*L940</f>
        <v>0</v>
      </c>
      <c r="Q940" s="2" t="str">
        <f aca="false">INDEX(Lookups!$E$2:$E$5,MATCH(P940,Lookups!$D$2:$D$5,0))</f>
        <v>Low</v>
      </c>
    </row>
    <row r="941" customFormat="false" ht="15" hidden="false" customHeight="false" outlineLevel="0" collapsed="false">
      <c r="A941" s="3" t="n">
        <v>940</v>
      </c>
      <c r="B941" s="3" t="n">
        <f aca="false">Raw_Data!A941</f>
        <v>31</v>
      </c>
      <c r="C941" s="3" t="str">
        <f aca="false">SUBSTITUTE(Raw_Data!B941,".","")</f>
        <v>management</v>
      </c>
      <c r="D941" s="3" t="str">
        <f aca="false">Raw_Data!C941</f>
        <v>married</v>
      </c>
      <c r="E941" s="3" t="str">
        <f aca="false">Raw_Data!D941</f>
        <v>tertiary</v>
      </c>
      <c r="F941" s="3" t="str">
        <f aca="false">Raw_Data!E941</f>
        <v>no</v>
      </c>
      <c r="G941" s="3" t="n">
        <f aca="false">Raw_Data!F941</f>
        <v>8312</v>
      </c>
      <c r="H941" s="3" t="str">
        <f aca="false">Raw_Data!G941</f>
        <v>no</v>
      </c>
      <c r="I941" s="3" t="str">
        <f aca="false">Raw_Data!H941</f>
        <v>no</v>
      </c>
      <c r="J941" s="2" t="n">
        <f aca="false">IF(F941="yes",1,0)</f>
        <v>0</v>
      </c>
      <c r="K941" s="2" t="n">
        <f aca="false">IF(H941="yes",1,0)</f>
        <v>0</v>
      </c>
      <c r="L941" s="2" t="n">
        <f aca="false">IF(I941="yes",1,0)</f>
        <v>0</v>
      </c>
      <c r="M941" s="2" t="n">
        <f aca="false">IF(G941&lt;0,1,0)</f>
        <v>0</v>
      </c>
      <c r="N941" s="2" t="str">
        <f aca="false">_xlfn.IFS(B941&lt;30,"Under 30",B941&lt;40,"30-39",B941&lt;50,"40-49",B941&lt;60,"50-59",TRUE(),"60+")</f>
        <v>30-39</v>
      </c>
      <c r="O941" s="2" t="str">
        <f aca="false">_xlfn.IFS(G941&lt;0,"1 Negative",G941=0,"2 Zero",G941&lt;=500,"3 1-500",G941&lt;=2000,"4 501-2000",TRUE(),"5 Above 2000")</f>
        <v>5 Above 2000</v>
      </c>
      <c r="P941" s="2" t="n">
        <f aca="false">Lookups!$B$2*M941+Lookups!$B$3*L941</f>
        <v>0</v>
      </c>
      <c r="Q941" s="2" t="str">
        <f aca="false">INDEX(Lookups!$E$2:$E$5,MATCH(P941,Lookups!$D$2:$D$5,0))</f>
        <v>Low</v>
      </c>
    </row>
    <row r="942" customFormat="false" ht="15" hidden="false" customHeight="false" outlineLevel="0" collapsed="false">
      <c r="A942" s="3" t="n">
        <v>941</v>
      </c>
      <c r="B942" s="3" t="n">
        <f aca="false">Raw_Data!A942</f>
        <v>34</v>
      </c>
      <c r="C942" s="3" t="str">
        <f aca="false">SUBSTITUTE(Raw_Data!B942,".","")</f>
        <v>blue-collar</v>
      </c>
      <c r="D942" s="3" t="str">
        <f aca="false">Raw_Data!C942</f>
        <v>divorced</v>
      </c>
      <c r="E942" s="3" t="str">
        <f aca="false">Raw_Data!D942</f>
        <v>unknown</v>
      </c>
      <c r="F942" s="3" t="str">
        <f aca="false">Raw_Data!E942</f>
        <v>no</v>
      </c>
      <c r="G942" s="3" t="n">
        <f aca="false">Raw_Data!F942</f>
        <v>172</v>
      </c>
      <c r="H942" s="3" t="str">
        <f aca="false">Raw_Data!G942</f>
        <v>no</v>
      </c>
      <c r="I942" s="3" t="str">
        <f aca="false">Raw_Data!H942</f>
        <v>no</v>
      </c>
      <c r="J942" s="2" t="n">
        <f aca="false">IF(F942="yes",1,0)</f>
        <v>0</v>
      </c>
      <c r="K942" s="2" t="n">
        <f aca="false">IF(H942="yes",1,0)</f>
        <v>0</v>
      </c>
      <c r="L942" s="2" t="n">
        <f aca="false">IF(I942="yes",1,0)</f>
        <v>0</v>
      </c>
      <c r="M942" s="2" t="n">
        <f aca="false">IF(G942&lt;0,1,0)</f>
        <v>0</v>
      </c>
      <c r="N942" s="2" t="str">
        <f aca="false">_xlfn.IFS(B942&lt;30,"Under 30",B942&lt;40,"30-39",B942&lt;50,"40-49",B942&lt;60,"50-59",TRUE(),"60+")</f>
        <v>30-39</v>
      </c>
      <c r="O942" s="2" t="str">
        <f aca="false">_xlfn.IFS(G942&lt;0,"1 Negative",G942=0,"2 Zero",G942&lt;=500,"3 1-500",G942&lt;=2000,"4 501-2000",TRUE(),"5 Above 2000")</f>
        <v>3 1-500</v>
      </c>
      <c r="P942" s="2" t="n">
        <f aca="false">Lookups!$B$2*M942+Lookups!$B$3*L942</f>
        <v>0</v>
      </c>
      <c r="Q942" s="2" t="str">
        <f aca="false">INDEX(Lookups!$E$2:$E$5,MATCH(P942,Lookups!$D$2:$D$5,0))</f>
        <v>Low</v>
      </c>
    </row>
    <row r="943" customFormat="false" ht="15" hidden="false" customHeight="false" outlineLevel="0" collapsed="false">
      <c r="A943" s="3" t="n">
        <v>942</v>
      </c>
      <c r="B943" s="3" t="n">
        <f aca="false">Raw_Data!A943</f>
        <v>34</v>
      </c>
      <c r="C943" s="3" t="str">
        <f aca="false">SUBSTITUTE(Raw_Data!B943,".","")</f>
        <v>management</v>
      </c>
      <c r="D943" s="3" t="str">
        <f aca="false">Raw_Data!C943</f>
        <v>married</v>
      </c>
      <c r="E943" s="3" t="str">
        <f aca="false">Raw_Data!D943</f>
        <v>tertiary</v>
      </c>
      <c r="F943" s="3" t="str">
        <f aca="false">Raw_Data!E943</f>
        <v>no</v>
      </c>
      <c r="G943" s="3" t="n">
        <f aca="false">Raw_Data!F943</f>
        <v>0</v>
      </c>
      <c r="H943" s="3" t="str">
        <f aca="false">Raw_Data!G943</f>
        <v>yes</v>
      </c>
      <c r="I943" s="3" t="str">
        <f aca="false">Raw_Data!H943</f>
        <v>no</v>
      </c>
      <c r="J943" s="2" t="n">
        <f aca="false">IF(F943="yes",1,0)</f>
        <v>0</v>
      </c>
      <c r="K943" s="2" t="n">
        <f aca="false">IF(H943="yes",1,0)</f>
        <v>1</v>
      </c>
      <c r="L943" s="2" t="n">
        <f aca="false">IF(I943="yes",1,0)</f>
        <v>0</v>
      </c>
      <c r="M943" s="2" t="n">
        <f aca="false">IF(G943&lt;0,1,0)</f>
        <v>0</v>
      </c>
      <c r="N943" s="2" t="str">
        <f aca="false">_xlfn.IFS(B943&lt;30,"Under 30",B943&lt;40,"30-39",B943&lt;50,"40-49",B943&lt;60,"50-59",TRUE(),"60+")</f>
        <v>30-39</v>
      </c>
      <c r="O943" s="2" t="str">
        <f aca="false">_xlfn.IFS(G943&lt;0,"1 Negative",G943=0,"2 Zero",G943&lt;=500,"3 1-500",G943&lt;=2000,"4 501-2000",TRUE(),"5 Above 2000")</f>
        <v>2 Zero</v>
      </c>
      <c r="P943" s="2" t="n">
        <f aca="false">Lookups!$B$2*M943+Lookups!$B$3*L943</f>
        <v>0</v>
      </c>
      <c r="Q943" s="2" t="str">
        <f aca="false">INDEX(Lookups!$E$2:$E$5,MATCH(P943,Lookups!$D$2:$D$5,0))</f>
        <v>Low</v>
      </c>
    </row>
    <row r="944" customFormat="false" ht="15" hidden="false" customHeight="false" outlineLevel="0" collapsed="false">
      <c r="A944" s="3" t="n">
        <v>943</v>
      </c>
      <c r="B944" s="3" t="n">
        <f aca="false">Raw_Data!A944</f>
        <v>36</v>
      </c>
      <c r="C944" s="3" t="str">
        <f aca="false">SUBSTITUTE(Raw_Data!B944,".","")</f>
        <v>management</v>
      </c>
      <c r="D944" s="3" t="str">
        <f aca="false">Raw_Data!C944</f>
        <v>married</v>
      </c>
      <c r="E944" s="3" t="str">
        <f aca="false">Raw_Data!D944</f>
        <v>tertiary</v>
      </c>
      <c r="F944" s="3" t="str">
        <f aca="false">Raw_Data!E944</f>
        <v>no</v>
      </c>
      <c r="G944" s="3" t="n">
        <f aca="false">Raw_Data!F944</f>
        <v>222</v>
      </c>
      <c r="H944" s="3" t="str">
        <f aca="false">Raw_Data!G944</f>
        <v>yes</v>
      </c>
      <c r="I944" s="3" t="str">
        <f aca="false">Raw_Data!H944</f>
        <v>no</v>
      </c>
      <c r="J944" s="2" t="n">
        <f aca="false">IF(F944="yes",1,0)</f>
        <v>0</v>
      </c>
      <c r="K944" s="2" t="n">
        <f aca="false">IF(H944="yes",1,0)</f>
        <v>1</v>
      </c>
      <c r="L944" s="2" t="n">
        <f aca="false">IF(I944="yes",1,0)</f>
        <v>0</v>
      </c>
      <c r="M944" s="2" t="n">
        <f aca="false">IF(G944&lt;0,1,0)</f>
        <v>0</v>
      </c>
      <c r="N944" s="2" t="str">
        <f aca="false">_xlfn.IFS(B944&lt;30,"Under 30",B944&lt;40,"30-39",B944&lt;50,"40-49",B944&lt;60,"50-59",TRUE(),"60+")</f>
        <v>30-39</v>
      </c>
      <c r="O944" s="2" t="str">
        <f aca="false">_xlfn.IFS(G944&lt;0,"1 Negative",G944=0,"2 Zero",G944&lt;=500,"3 1-500",G944&lt;=2000,"4 501-2000",TRUE(),"5 Above 2000")</f>
        <v>3 1-500</v>
      </c>
      <c r="P944" s="2" t="n">
        <f aca="false">Lookups!$B$2*M944+Lookups!$B$3*L944</f>
        <v>0</v>
      </c>
      <c r="Q944" s="2" t="str">
        <f aca="false">INDEX(Lookups!$E$2:$E$5,MATCH(P944,Lookups!$D$2:$D$5,0))</f>
        <v>Low</v>
      </c>
    </row>
    <row r="945" customFormat="false" ht="15" hidden="false" customHeight="false" outlineLevel="0" collapsed="false">
      <c r="A945" s="3" t="n">
        <v>944</v>
      </c>
      <c r="B945" s="3" t="n">
        <f aca="false">Raw_Data!A945</f>
        <v>40</v>
      </c>
      <c r="C945" s="3" t="str">
        <f aca="false">SUBSTITUTE(Raw_Data!B945,".","")</f>
        <v>technician</v>
      </c>
      <c r="D945" s="3" t="str">
        <f aca="false">Raw_Data!C945</f>
        <v>married</v>
      </c>
      <c r="E945" s="3" t="str">
        <f aca="false">Raw_Data!D945</f>
        <v>secondary</v>
      </c>
      <c r="F945" s="3" t="str">
        <f aca="false">Raw_Data!E945</f>
        <v>no</v>
      </c>
      <c r="G945" s="3" t="n">
        <f aca="false">Raw_Data!F945</f>
        <v>109</v>
      </c>
      <c r="H945" s="3" t="str">
        <f aca="false">Raw_Data!G945</f>
        <v>no</v>
      </c>
      <c r="I945" s="3" t="str">
        <f aca="false">Raw_Data!H945</f>
        <v>no</v>
      </c>
      <c r="J945" s="2" t="n">
        <f aca="false">IF(F945="yes",1,0)</f>
        <v>0</v>
      </c>
      <c r="K945" s="2" t="n">
        <f aca="false">IF(H945="yes",1,0)</f>
        <v>0</v>
      </c>
      <c r="L945" s="2" t="n">
        <f aca="false">IF(I945="yes",1,0)</f>
        <v>0</v>
      </c>
      <c r="M945" s="2" t="n">
        <f aca="false">IF(G945&lt;0,1,0)</f>
        <v>0</v>
      </c>
      <c r="N945" s="2" t="str">
        <f aca="false">_xlfn.IFS(B945&lt;30,"Under 30",B945&lt;40,"30-39",B945&lt;50,"40-49",B945&lt;60,"50-59",TRUE(),"60+")</f>
        <v>40-49</v>
      </c>
      <c r="O945" s="2" t="str">
        <f aca="false">_xlfn.IFS(G945&lt;0,"1 Negative",G945=0,"2 Zero",G945&lt;=500,"3 1-500",G945&lt;=2000,"4 501-2000",TRUE(),"5 Above 2000")</f>
        <v>3 1-500</v>
      </c>
      <c r="P945" s="2" t="n">
        <f aca="false">Lookups!$B$2*M945+Lookups!$B$3*L945</f>
        <v>0</v>
      </c>
      <c r="Q945" s="2" t="str">
        <f aca="false">INDEX(Lookups!$E$2:$E$5,MATCH(P945,Lookups!$D$2:$D$5,0))</f>
        <v>Low</v>
      </c>
    </row>
    <row r="946" customFormat="false" ht="15" hidden="false" customHeight="false" outlineLevel="0" collapsed="false">
      <c r="A946" s="3" t="n">
        <v>945</v>
      </c>
      <c r="B946" s="3" t="n">
        <f aca="false">Raw_Data!A946</f>
        <v>40</v>
      </c>
      <c r="C946" s="3" t="str">
        <f aca="false">SUBSTITUTE(Raw_Data!B946,".","")</f>
        <v>blue-collar</v>
      </c>
      <c r="D946" s="3" t="str">
        <f aca="false">Raw_Data!C946</f>
        <v>married</v>
      </c>
      <c r="E946" s="3" t="str">
        <f aca="false">Raw_Data!D946</f>
        <v>secondary</v>
      </c>
      <c r="F946" s="3" t="str">
        <f aca="false">Raw_Data!E946</f>
        <v>no</v>
      </c>
      <c r="G946" s="3" t="n">
        <f aca="false">Raw_Data!F946</f>
        <v>1451</v>
      </c>
      <c r="H946" s="3" t="str">
        <f aca="false">Raw_Data!G946</f>
        <v>no</v>
      </c>
      <c r="I946" s="3" t="str">
        <f aca="false">Raw_Data!H946</f>
        <v>no</v>
      </c>
      <c r="J946" s="2" t="n">
        <f aca="false">IF(F946="yes",1,0)</f>
        <v>0</v>
      </c>
      <c r="K946" s="2" t="n">
        <f aca="false">IF(H946="yes",1,0)</f>
        <v>0</v>
      </c>
      <c r="L946" s="2" t="n">
        <f aca="false">IF(I946="yes",1,0)</f>
        <v>0</v>
      </c>
      <c r="M946" s="2" t="n">
        <f aca="false">IF(G946&lt;0,1,0)</f>
        <v>0</v>
      </c>
      <c r="N946" s="2" t="str">
        <f aca="false">_xlfn.IFS(B946&lt;30,"Under 30",B946&lt;40,"30-39",B946&lt;50,"40-49",B946&lt;60,"50-59",TRUE(),"60+")</f>
        <v>40-49</v>
      </c>
      <c r="O946" s="2" t="str">
        <f aca="false">_xlfn.IFS(G946&lt;0,"1 Negative",G946=0,"2 Zero",G946&lt;=500,"3 1-500",G946&lt;=2000,"4 501-2000",TRUE(),"5 Above 2000")</f>
        <v>4 501-2000</v>
      </c>
      <c r="P946" s="2" t="n">
        <f aca="false">Lookups!$B$2*M946+Lookups!$B$3*L946</f>
        <v>0</v>
      </c>
      <c r="Q946" s="2" t="str">
        <f aca="false">INDEX(Lookups!$E$2:$E$5,MATCH(P946,Lookups!$D$2:$D$5,0))</f>
        <v>Low</v>
      </c>
    </row>
    <row r="947" customFormat="false" ht="15" hidden="false" customHeight="false" outlineLevel="0" collapsed="false">
      <c r="A947" s="3" t="n">
        <v>946</v>
      </c>
      <c r="B947" s="3" t="n">
        <f aca="false">Raw_Data!A947</f>
        <v>41</v>
      </c>
      <c r="C947" s="3" t="str">
        <f aca="false">SUBSTITUTE(Raw_Data!B947,".","")</f>
        <v>technician</v>
      </c>
      <c r="D947" s="3" t="str">
        <f aca="false">Raw_Data!C947</f>
        <v>married</v>
      </c>
      <c r="E947" s="3" t="str">
        <f aca="false">Raw_Data!D947</f>
        <v>secondary</v>
      </c>
      <c r="F947" s="3" t="str">
        <f aca="false">Raw_Data!E947</f>
        <v>no</v>
      </c>
      <c r="G947" s="3" t="n">
        <f aca="false">Raw_Data!F947</f>
        <v>1066</v>
      </c>
      <c r="H947" s="3" t="str">
        <f aca="false">Raw_Data!G947</f>
        <v>no</v>
      </c>
      <c r="I947" s="3" t="str">
        <f aca="false">Raw_Data!H947</f>
        <v>no</v>
      </c>
      <c r="J947" s="2" t="n">
        <f aca="false">IF(F947="yes",1,0)</f>
        <v>0</v>
      </c>
      <c r="K947" s="2" t="n">
        <f aca="false">IF(H947="yes",1,0)</f>
        <v>0</v>
      </c>
      <c r="L947" s="2" t="n">
        <f aca="false">IF(I947="yes",1,0)</f>
        <v>0</v>
      </c>
      <c r="M947" s="2" t="n">
        <f aca="false">IF(G947&lt;0,1,0)</f>
        <v>0</v>
      </c>
      <c r="N947" s="2" t="str">
        <f aca="false">_xlfn.IFS(B947&lt;30,"Under 30",B947&lt;40,"30-39",B947&lt;50,"40-49",B947&lt;60,"50-59",TRUE(),"60+")</f>
        <v>40-49</v>
      </c>
      <c r="O947" s="2" t="str">
        <f aca="false">_xlfn.IFS(G947&lt;0,"1 Negative",G947=0,"2 Zero",G947&lt;=500,"3 1-500",G947&lt;=2000,"4 501-2000",TRUE(),"5 Above 2000")</f>
        <v>4 501-2000</v>
      </c>
      <c r="P947" s="2" t="n">
        <f aca="false">Lookups!$B$2*M947+Lookups!$B$3*L947</f>
        <v>0</v>
      </c>
      <c r="Q947" s="2" t="str">
        <f aca="false">INDEX(Lookups!$E$2:$E$5,MATCH(P947,Lookups!$D$2:$D$5,0))</f>
        <v>Low</v>
      </c>
    </row>
    <row r="948" customFormat="false" ht="15" hidden="false" customHeight="false" outlineLevel="0" collapsed="false">
      <c r="A948" s="3" t="n">
        <v>947</v>
      </c>
      <c r="B948" s="3" t="n">
        <f aca="false">Raw_Data!A948</f>
        <v>52</v>
      </c>
      <c r="C948" s="3" t="str">
        <f aca="false">SUBSTITUTE(Raw_Data!B948,".","")</f>
        <v>management</v>
      </c>
      <c r="D948" s="3" t="str">
        <f aca="false">Raw_Data!C948</f>
        <v>married</v>
      </c>
      <c r="E948" s="3" t="str">
        <f aca="false">Raw_Data!D948</f>
        <v>tertiary</v>
      </c>
      <c r="F948" s="3" t="str">
        <f aca="false">Raw_Data!E948</f>
        <v>no</v>
      </c>
      <c r="G948" s="3" t="n">
        <f aca="false">Raw_Data!F948</f>
        <v>3163</v>
      </c>
      <c r="H948" s="3" t="str">
        <f aca="false">Raw_Data!G948</f>
        <v>no</v>
      </c>
      <c r="I948" s="3" t="str">
        <f aca="false">Raw_Data!H948</f>
        <v>no</v>
      </c>
      <c r="J948" s="2" t="n">
        <f aca="false">IF(F948="yes",1,0)</f>
        <v>0</v>
      </c>
      <c r="K948" s="2" t="n">
        <f aca="false">IF(H948="yes",1,0)</f>
        <v>0</v>
      </c>
      <c r="L948" s="2" t="n">
        <f aca="false">IF(I948="yes",1,0)</f>
        <v>0</v>
      </c>
      <c r="M948" s="2" t="n">
        <f aca="false">IF(G948&lt;0,1,0)</f>
        <v>0</v>
      </c>
      <c r="N948" s="2" t="str">
        <f aca="false">_xlfn.IFS(B948&lt;30,"Under 30",B948&lt;40,"30-39",B948&lt;50,"40-49",B948&lt;60,"50-59",TRUE(),"60+")</f>
        <v>50-59</v>
      </c>
      <c r="O948" s="2" t="str">
        <f aca="false">_xlfn.IFS(G948&lt;0,"1 Negative",G948=0,"2 Zero",G948&lt;=500,"3 1-500",G948&lt;=2000,"4 501-2000",TRUE(),"5 Above 2000")</f>
        <v>5 Above 2000</v>
      </c>
      <c r="P948" s="2" t="n">
        <f aca="false">Lookups!$B$2*M948+Lookups!$B$3*L948</f>
        <v>0</v>
      </c>
      <c r="Q948" s="2" t="str">
        <f aca="false">INDEX(Lookups!$E$2:$E$5,MATCH(P948,Lookups!$D$2:$D$5,0))</f>
        <v>Low</v>
      </c>
    </row>
    <row r="949" customFormat="false" ht="15" hidden="false" customHeight="false" outlineLevel="0" collapsed="false">
      <c r="A949" s="3" t="n">
        <v>948</v>
      </c>
      <c r="B949" s="3" t="n">
        <f aca="false">Raw_Data!A949</f>
        <v>40</v>
      </c>
      <c r="C949" s="3" t="str">
        <f aca="false">SUBSTITUTE(Raw_Data!B949,".","")</f>
        <v>services</v>
      </c>
      <c r="D949" s="3" t="str">
        <f aca="false">Raw_Data!C949</f>
        <v>single</v>
      </c>
      <c r="E949" s="3" t="str">
        <f aca="false">Raw_Data!D949</f>
        <v>secondary</v>
      </c>
      <c r="F949" s="3" t="str">
        <f aca="false">Raw_Data!E949</f>
        <v>no</v>
      </c>
      <c r="G949" s="3" t="n">
        <f aca="false">Raw_Data!F949</f>
        <v>888</v>
      </c>
      <c r="H949" s="3" t="str">
        <f aca="false">Raw_Data!G949</f>
        <v>yes</v>
      </c>
      <c r="I949" s="3" t="str">
        <f aca="false">Raw_Data!H949</f>
        <v>no</v>
      </c>
      <c r="J949" s="2" t="n">
        <f aca="false">IF(F949="yes",1,0)</f>
        <v>0</v>
      </c>
      <c r="K949" s="2" t="n">
        <f aca="false">IF(H949="yes",1,0)</f>
        <v>1</v>
      </c>
      <c r="L949" s="2" t="n">
        <f aca="false">IF(I949="yes",1,0)</f>
        <v>0</v>
      </c>
      <c r="M949" s="2" t="n">
        <f aca="false">IF(G949&lt;0,1,0)</f>
        <v>0</v>
      </c>
      <c r="N949" s="2" t="str">
        <f aca="false">_xlfn.IFS(B949&lt;30,"Under 30",B949&lt;40,"30-39",B949&lt;50,"40-49",B949&lt;60,"50-59",TRUE(),"60+")</f>
        <v>40-49</v>
      </c>
      <c r="O949" s="2" t="str">
        <f aca="false">_xlfn.IFS(G949&lt;0,"1 Negative",G949=0,"2 Zero",G949&lt;=500,"3 1-500",G949&lt;=2000,"4 501-2000",TRUE(),"5 Above 2000")</f>
        <v>4 501-2000</v>
      </c>
      <c r="P949" s="2" t="n">
        <f aca="false">Lookups!$B$2*M949+Lookups!$B$3*L949</f>
        <v>0</v>
      </c>
      <c r="Q949" s="2" t="str">
        <f aca="false">INDEX(Lookups!$E$2:$E$5,MATCH(P949,Lookups!$D$2:$D$5,0))</f>
        <v>Low</v>
      </c>
    </row>
    <row r="950" customFormat="false" ht="15" hidden="false" customHeight="false" outlineLevel="0" collapsed="false">
      <c r="A950" s="3" t="n">
        <v>949</v>
      </c>
      <c r="B950" s="3" t="n">
        <f aca="false">Raw_Data!A950</f>
        <v>48</v>
      </c>
      <c r="C950" s="3" t="str">
        <f aca="false">SUBSTITUTE(Raw_Data!B950,".","")</f>
        <v>blue-collar</v>
      </c>
      <c r="D950" s="3" t="str">
        <f aca="false">Raw_Data!C950</f>
        <v>single</v>
      </c>
      <c r="E950" s="3" t="str">
        <f aca="false">Raw_Data!D950</f>
        <v>unknown</v>
      </c>
      <c r="F950" s="3" t="str">
        <f aca="false">Raw_Data!E950</f>
        <v>no</v>
      </c>
      <c r="G950" s="3" t="n">
        <f aca="false">Raw_Data!F950</f>
        <v>428</v>
      </c>
      <c r="H950" s="3" t="str">
        <f aca="false">Raw_Data!G950</f>
        <v>yes</v>
      </c>
      <c r="I950" s="3" t="str">
        <f aca="false">Raw_Data!H950</f>
        <v>no</v>
      </c>
      <c r="J950" s="2" t="n">
        <f aca="false">IF(F950="yes",1,0)</f>
        <v>0</v>
      </c>
      <c r="K950" s="2" t="n">
        <f aca="false">IF(H950="yes",1,0)</f>
        <v>1</v>
      </c>
      <c r="L950" s="2" t="n">
        <f aca="false">IF(I950="yes",1,0)</f>
        <v>0</v>
      </c>
      <c r="M950" s="2" t="n">
        <f aca="false">IF(G950&lt;0,1,0)</f>
        <v>0</v>
      </c>
      <c r="N950" s="2" t="str">
        <f aca="false">_xlfn.IFS(B950&lt;30,"Under 30",B950&lt;40,"30-39",B950&lt;50,"40-49",B950&lt;60,"50-59",TRUE(),"60+")</f>
        <v>40-49</v>
      </c>
      <c r="O950" s="2" t="str">
        <f aca="false">_xlfn.IFS(G950&lt;0,"1 Negative",G950=0,"2 Zero",G950&lt;=500,"3 1-500",G950&lt;=2000,"4 501-2000",TRUE(),"5 Above 2000")</f>
        <v>3 1-500</v>
      </c>
      <c r="P950" s="2" t="n">
        <f aca="false">Lookups!$B$2*M950+Lookups!$B$3*L950</f>
        <v>0</v>
      </c>
      <c r="Q950" s="2" t="str">
        <f aca="false">INDEX(Lookups!$E$2:$E$5,MATCH(P950,Lookups!$D$2:$D$5,0))</f>
        <v>Low</v>
      </c>
    </row>
    <row r="951" customFormat="false" ht="15" hidden="false" customHeight="false" outlineLevel="0" collapsed="false">
      <c r="A951" s="3" t="n">
        <v>950</v>
      </c>
      <c r="B951" s="3" t="n">
        <f aca="false">Raw_Data!A951</f>
        <v>33</v>
      </c>
      <c r="C951" s="3" t="str">
        <f aca="false">SUBSTITUTE(Raw_Data!B951,".","")</f>
        <v>management</v>
      </c>
      <c r="D951" s="3" t="str">
        <f aca="false">Raw_Data!C951</f>
        <v>divorced</v>
      </c>
      <c r="E951" s="3" t="str">
        <f aca="false">Raw_Data!D951</f>
        <v>secondary</v>
      </c>
      <c r="F951" s="3" t="str">
        <f aca="false">Raw_Data!E951</f>
        <v>no</v>
      </c>
      <c r="G951" s="3" t="n">
        <f aca="false">Raw_Data!F951</f>
        <v>106</v>
      </c>
      <c r="H951" s="3" t="str">
        <f aca="false">Raw_Data!G951</f>
        <v>no</v>
      </c>
      <c r="I951" s="3" t="str">
        <f aca="false">Raw_Data!H951</f>
        <v>no</v>
      </c>
      <c r="J951" s="2" t="n">
        <f aca="false">IF(F951="yes",1,0)</f>
        <v>0</v>
      </c>
      <c r="K951" s="2" t="n">
        <f aca="false">IF(H951="yes",1,0)</f>
        <v>0</v>
      </c>
      <c r="L951" s="2" t="n">
        <f aca="false">IF(I951="yes",1,0)</f>
        <v>0</v>
      </c>
      <c r="M951" s="2" t="n">
        <f aca="false">IF(G951&lt;0,1,0)</f>
        <v>0</v>
      </c>
      <c r="N951" s="2" t="str">
        <f aca="false">_xlfn.IFS(B951&lt;30,"Under 30",B951&lt;40,"30-39",B951&lt;50,"40-49",B951&lt;60,"50-59",TRUE(),"60+")</f>
        <v>30-39</v>
      </c>
      <c r="O951" s="2" t="str">
        <f aca="false">_xlfn.IFS(G951&lt;0,"1 Negative",G951=0,"2 Zero",G951&lt;=500,"3 1-500",G951&lt;=2000,"4 501-2000",TRUE(),"5 Above 2000")</f>
        <v>3 1-500</v>
      </c>
      <c r="P951" s="2" t="n">
        <f aca="false">Lookups!$B$2*M951+Lookups!$B$3*L951</f>
        <v>0</v>
      </c>
      <c r="Q951" s="2" t="str">
        <f aca="false">INDEX(Lookups!$E$2:$E$5,MATCH(P951,Lookups!$D$2:$D$5,0))</f>
        <v>Low</v>
      </c>
    </row>
    <row r="952" customFormat="false" ht="15" hidden="false" customHeight="false" outlineLevel="0" collapsed="false">
      <c r="A952" s="3" t="n">
        <v>951</v>
      </c>
      <c r="B952" s="3" t="n">
        <f aca="false">Raw_Data!A952</f>
        <v>44</v>
      </c>
      <c r="C952" s="3" t="str">
        <f aca="false">SUBSTITUTE(Raw_Data!B952,".","")</f>
        <v>technician</v>
      </c>
      <c r="D952" s="3" t="str">
        <f aca="false">Raw_Data!C952</f>
        <v>divorced</v>
      </c>
      <c r="E952" s="3" t="str">
        <f aca="false">Raw_Data!D952</f>
        <v>secondary</v>
      </c>
      <c r="F952" s="3" t="str">
        <f aca="false">Raw_Data!E952</f>
        <v>no</v>
      </c>
      <c r="G952" s="3" t="n">
        <f aca="false">Raw_Data!F952</f>
        <v>0</v>
      </c>
      <c r="H952" s="3" t="str">
        <f aca="false">Raw_Data!G952</f>
        <v>no</v>
      </c>
      <c r="I952" s="3" t="str">
        <f aca="false">Raw_Data!H952</f>
        <v>no</v>
      </c>
      <c r="J952" s="2" t="n">
        <f aca="false">IF(F952="yes",1,0)</f>
        <v>0</v>
      </c>
      <c r="K952" s="2" t="n">
        <f aca="false">IF(H952="yes",1,0)</f>
        <v>0</v>
      </c>
      <c r="L952" s="2" t="n">
        <f aca="false">IF(I952="yes",1,0)</f>
        <v>0</v>
      </c>
      <c r="M952" s="2" t="n">
        <f aca="false">IF(G952&lt;0,1,0)</f>
        <v>0</v>
      </c>
      <c r="N952" s="2" t="str">
        <f aca="false">_xlfn.IFS(B952&lt;30,"Under 30",B952&lt;40,"30-39",B952&lt;50,"40-49",B952&lt;60,"50-59",TRUE(),"60+")</f>
        <v>40-49</v>
      </c>
      <c r="O952" s="2" t="str">
        <f aca="false">_xlfn.IFS(G952&lt;0,"1 Negative",G952=0,"2 Zero",G952&lt;=500,"3 1-500",G952&lt;=2000,"4 501-2000",TRUE(),"5 Above 2000")</f>
        <v>2 Zero</v>
      </c>
      <c r="P952" s="2" t="n">
        <f aca="false">Lookups!$B$2*M952+Lookups!$B$3*L952</f>
        <v>0</v>
      </c>
      <c r="Q952" s="2" t="str">
        <f aca="false">INDEX(Lookups!$E$2:$E$5,MATCH(P952,Lookups!$D$2:$D$5,0))</f>
        <v>Low</v>
      </c>
    </row>
    <row r="953" customFormat="false" ht="15" hidden="false" customHeight="false" outlineLevel="0" collapsed="false">
      <c r="A953" s="3" t="n">
        <v>952</v>
      </c>
      <c r="B953" s="3" t="n">
        <f aca="false">Raw_Data!A953</f>
        <v>55</v>
      </c>
      <c r="C953" s="3" t="str">
        <f aca="false">SUBSTITUTE(Raw_Data!B953,".","")</f>
        <v>management</v>
      </c>
      <c r="D953" s="3" t="str">
        <f aca="false">Raw_Data!C953</f>
        <v>married</v>
      </c>
      <c r="E953" s="3" t="str">
        <f aca="false">Raw_Data!D953</f>
        <v>tertiary</v>
      </c>
      <c r="F953" s="3" t="str">
        <f aca="false">Raw_Data!E953</f>
        <v>no</v>
      </c>
      <c r="G953" s="3" t="n">
        <f aca="false">Raw_Data!F953</f>
        <v>979</v>
      </c>
      <c r="H953" s="3" t="str">
        <f aca="false">Raw_Data!G953</f>
        <v>no</v>
      </c>
      <c r="I953" s="3" t="str">
        <f aca="false">Raw_Data!H953</f>
        <v>yes</v>
      </c>
      <c r="J953" s="2" t="n">
        <f aca="false">IF(F953="yes",1,0)</f>
        <v>0</v>
      </c>
      <c r="K953" s="2" t="n">
        <f aca="false">IF(H953="yes",1,0)</f>
        <v>0</v>
      </c>
      <c r="L953" s="2" t="n">
        <f aca="false">IF(I953="yes",1,0)</f>
        <v>1</v>
      </c>
      <c r="M953" s="2" t="n">
        <f aca="false">IF(G953&lt;0,1,0)</f>
        <v>0</v>
      </c>
      <c r="N953" s="2" t="str">
        <f aca="false">_xlfn.IFS(B953&lt;30,"Under 30",B953&lt;40,"30-39",B953&lt;50,"40-49",B953&lt;60,"50-59",TRUE(),"60+")</f>
        <v>50-59</v>
      </c>
      <c r="O953" s="2" t="str">
        <f aca="false">_xlfn.IFS(G953&lt;0,"1 Negative",G953=0,"2 Zero",G953&lt;=500,"3 1-500",G953&lt;=2000,"4 501-2000",TRUE(),"5 Above 2000")</f>
        <v>4 501-2000</v>
      </c>
      <c r="P953" s="2" t="n">
        <f aca="false">Lookups!$B$2*M953+Lookups!$B$3*L953</f>
        <v>1</v>
      </c>
      <c r="Q953" s="2" t="str">
        <f aca="false">INDEX(Lookups!$E$2:$E$5,MATCH(P953,Lookups!$D$2:$D$5,0))</f>
        <v>Medium</v>
      </c>
    </row>
    <row r="954" customFormat="false" ht="15" hidden="false" customHeight="false" outlineLevel="0" collapsed="false">
      <c r="A954" s="3" t="n">
        <v>953</v>
      </c>
      <c r="B954" s="3" t="n">
        <f aca="false">Raw_Data!A954</f>
        <v>51</v>
      </c>
      <c r="C954" s="3" t="str">
        <f aca="false">SUBSTITUTE(Raw_Data!B954,".","")</f>
        <v>admin</v>
      </c>
      <c r="D954" s="3" t="str">
        <f aca="false">Raw_Data!C954</f>
        <v>married</v>
      </c>
      <c r="E954" s="3" t="str">
        <f aca="false">Raw_Data!D954</f>
        <v>secondary</v>
      </c>
      <c r="F954" s="3" t="str">
        <f aca="false">Raw_Data!E954</f>
        <v>no</v>
      </c>
      <c r="G954" s="3" t="n">
        <f aca="false">Raw_Data!F954</f>
        <v>2662</v>
      </c>
      <c r="H954" s="3" t="str">
        <f aca="false">Raw_Data!G954</f>
        <v>no</v>
      </c>
      <c r="I954" s="3" t="str">
        <f aca="false">Raw_Data!H954</f>
        <v>no</v>
      </c>
      <c r="J954" s="2" t="n">
        <f aca="false">IF(F954="yes",1,0)</f>
        <v>0</v>
      </c>
      <c r="K954" s="2" t="n">
        <f aca="false">IF(H954="yes",1,0)</f>
        <v>0</v>
      </c>
      <c r="L954" s="2" t="n">
        <f aca="false">IF(I954="yes",1,0)</f>
        <v>0</v>
      </c>
      <c r="M954" s="2" t="n">
        <f aca="false">IF(G954&lt;0,1,0)</f>
        <v>0</v>
      </c>
      <c r="N954" s="2" t="str">
        <f aca="false">_xlfn.IFS(B954&lt;30,"Under 30",B954&lt;40,"30-39",B954&lt;50,"40-49",B954&lt;60,"50-59",TRUE(),"60+")</f>
        <v>50-59</v>
      </c>
      <c r="O954" s="2" t="str">
        <f aca="false">_xlfn.IFS(G954&lt;0,"1 Negative",G954=0,"2 Zero",G954&lt;=500,"3 1-500",G954&lt;=2000,"4 501-2000",TRUE(),"5 Above 2000")</f>
        <v>5 Above 2000</v>
      </c>
      <c r="P954" s="2" t="n">
        <f aca="false">Lookups!$B$2*M954+Lookups!$B$3*L954</f>
        <v>0</v>
      </c>
      <c r="Q954" s="2" t="str">
        <f aca="false">INDEX(Lookups!$E$2:$E$5,MATCH(P954,Lookups!$D$2:$D$5,0))</f>
        <v>Low</v>
      </c>
    </row>
    <row r="955" customFormat="false" ht="15" hidden="false" customHeight="false" outlineLevel="0" collapsed="false">
      <c r="A955" s="3" t="n">
        <v>954</v>
      </c>
      <c r="B955" s="3" t="n">
        <f aca="false">Raw_Data!A955</f>
        <v>34</v>
      </c>
      <c r="C955" s="3" t="str">
        <f aca="false">SUBSTITUTE(Raw_Data!B955,".","")</f>
        <v>management</v>
      </c>
      <c r="D955" s="3" t="str">
        <f aca="false">Raw_Data!C955</f>
        <v>single</v>
      </c>
      <c r="E955" s="3" t="str">
        <f aca="false">Raw_Data!D955</f>
        <v>tertiary</v>
      </c>
      <c r="F955" s="3" t="str">
        <f aca="false">Raw_Data!E955</f>
        <v>no</v>
      </c>
      <c r="G955" s="3" t="n">
        <f aca="false">Raw_Data!F955</f>
        <v>84</v>
      </c>
      <c r="H955" s="3" t="str">
        <f aca="false">Raw_Data!G955</f>
        <v>no</v>
      </c>
      <c r="I955" s="3" t="str">
        <f aca="false">Raw_Data!H955</f>
        <v>no</v>
      </c>
      <c r="J955" s="2" t="n">
        <f aca="false">IF(F955="yes",1,0)</f>
        <v>0</v>
      </c>
      <c r="K955" s="2" t="n">
        <f aca="false">IF(H955="yes",1,0)</f>
        <v>0</v>
      </c>
      <c r="L955" s="2" t="n">
        <f aca="false">IF(I955="yes",1,0)</f>
        <v>0</v>
      </c>
      <c r="M955" s="2" t="n">
        <f aca="false">IF(G955&lt;0,1,0)</f>
        <v>0</v>
      </c>
      <c r="N955" s="2" t="str">
        <f aca="false">_xlfn.IFS(B955&lt;30,"Under 30",B955&lt;40,"30-39",B955&lt;50,"40-49",B955&lt;60,"50-59",TRUE(),"60+")</f>
        <v>30-39</v>
      </c>
      <c r="O955" s="2" t="str">
        <f aca="false">_xlfn.IFS(G955&lt;0,"1 Negative",G955=0,"2 Zero",G955&lt;=500,"3 1-500",G955&lt;=2000,"4 501-2000",TRUE(),"5 Above 2000")</f>
        <v>3 1-500</v>
      </c>
      <c r="P955" s="2" t="n">
        <f aca="false">Lookups!$B$2*M955+Lookups!$B$3*L955</f>
        <v>0</v>
      </c>
      <c r="Q955" s="2" t="str">
        <f aca="false">INDEX(Lookups!$E$2:$E$5,MATCH(P955,Lookups!$D$2:$D$5,0))</f>
        <v>Low</v>
      </c>
    </row>
    <row r="956" customFormat="false" ht="15" hidden="false" customHeight="false" outlineLevel="0" collapsed="false">
      <c r="A956" s="3" t="n">
        <v>955</v>
      </c>
      <c r="B956" s="3" t="n">
        <f aca="false">Raw_Data!A956</f>
        <v>58</v>
      </c>
      <c r="C956" s="3" t="str">
        <f aca="false">SUBSTITUTE(Raw_Data!B956,".","")</f>
        <v>retired</v>
      </c>
      <c r="D956" s="3" t="str">
        <f aca="false">Raw_Data!C956</f>
        <v>divorced</v>
      </c>
      <c r="E956" s="3" t="str">
        <f aca="false">Raw_Data!D956</f>
        <v>unknown</v>
      </c>
      <c r="F956" s="3" t="str">
        <f aca="false">Raw_Data!E956</f>
        <v>no</v>
      </c>
      <c r="G956" s="3" t="n">
        <f aca="false">Raw_Data!F956</f>
        <v>5920</v>
      </c>
      <c r="H956" s="3" t="str">
        <f aca="false">Raw_Data!G956</f>
        <v>yes</v>
      </c>
      <c r="I956" s="3" t="str">
        <f aca="false">Raw_Data!H956</f>
        <v>no</v>
      </c>
      <c r="J956" s="2" t="n">
        <f aca="false">IF(F956="yes",1,0)</f>
        <v>0</v>
      </c>
      <c r="K956" s="2" t="n">
        <f aca="false">IF(H956="yes",1,0)</f>
        <v>1</v>
      </c>
      <c r="L956" s="2" t="n">
        <f aca="false">IF(I956="yes",1,0)</f>
        <v>0</v>
      </c>
      <c r="M956" s="2" t="n">
        <f aca="false">IF(G956&lt;0,1,0)</f>
        <v>0</v>
      </c>
      <c r="N956" s="2" t="str">
        <f aca="false">_xlfn.IFS(B956&lt;30,"Under 30",B956&lt;40,"30-39",B956&lt;50,"40-49",B956&lt;60,"50-59",TRUE(),"60+")</f>
        <v>50-59</v>
      </c>
      <c r="O956" s="2" t="str">
        <f aca="false">_xlfn.IFS(G956&lt;0,"1 Negative",G956=0,"2 Zero",G956&lt;=500,"3 1-500",G956&lt;=2000,"4 501-2000",TRUE(),"5 Above 2000")</f>
        <v>5 Above 2000</v>
      </c>
      <c r="P956" s="2" t="n">
        <f aca="false">Lookups!$B$2*M956+Lookups!$B$3*L956</f>
        <v>0</v>
      </c>
      <c r="Q956" s="2" t="str">
        <f aca="false">INDEX(Lookups!$E$2:$E$5,MATCH(P956,Lookups!$D$2:$D$5,0))</f>
        <v>Low</v>
      </c>
    </row>
    <row r="957" customFormat="false" ht="15" hidden="false" customHeight="false" outlineLevel="0" collapsed="false">
      <c r="A957" s="3" t="n">
        <v>956</v>
      </c>
      <c r="B957" s="3" t="n">
        <f aca="false">Raw_Data!A957</f>
        <v>39</v>
      </c>
      <c r="C957" s="3" t="str">
        <f aca="false">SUBSTITUTE(Raw_Data!B957,".","")</f>
        <v>management</v>
      </c>
      <c r="D957" s="3" t="str">
        <f aca="false">Raw_Data!C957</f>
        <v>single</v>
      </c>
      <c r="E957" s="3" t="str">
        <f aca="false">Raw_Data!D957</f>
        <v>tertiary</v>
      </c>
      <c r="F957" s="3" t="str">
        <f aca="false">Raw_Data!E957</f>
        <v>no</v>
      </c>
      <c r="G957" s="3" t="n">
        <f aca="false">Raw_Data!F957</f>
        <v>816</v>
      </c>
      <c r="H957" s="3" t="str">
        <f aca="false">Raw_Data!G957</f>
        <v>yes</v>
      </c>
      <c r="I957" s="3" t="str">
        <f aca="false">Raw_Data!H957</f>
        <v>no</v>
      </c>
      <c r="J957" s="2" t="n">
        <f aca="false">IF(F957="yes",1,0)</f>
        <v>0</v>
      </c>
      <c r="K957" s="2" t="n">
        <f aca="false">IF(H957="yes",1,0)</f>
        <v>1</v>
      </c>
      <c r="L957" s="2" t="n">
        <f aca="false">IF(I957="yes",1,0)</f>
        <v>0</v>
      </c>
      <c r="M957" s="2" t="n">
        <f aca="false">IF(G957&lt;0,1,0)</f>
        <v>0</v>
      </c>
      <c r="N957" s="2" t="str">
        <f aca="false">_xlfn.IFS(B957&lt;30,"Under 30",B957&lt;40,"30-39",B957&lt;50,"40-49",B957&lt;60,"50-59",TRUE(),"60+")</f>
        <v>30-39</v>
      </c>
      <c r="O957" s="2" t="str">
        <f aca="false">_xlfn.IFS(G957&lt;0,"1 Negative",G957=0,"2 Zero",G957&lt;=500,"3 1-500",G957&lt;=2000,"4 501-2000",TRUE(),"5 Above 2000")</f>
        <v>4 501-2000</v>
      </c>
      <c r="P957" s="2" t="n">
        <f aca="false">Lookups!$B$2*M957+Lookups!$B$3*L957</f>
        <v>0</v>
      </c>
      <c r="Q957" s="2" t="str">
        <f aca="false">INDEX(Lookups!$E$2:$E$5,MATCH(P957,Lookups!$D$2:$D$5,0))</f>
        <v>Low</v>
      </c>
    </row>
    <row r="958" customFormat="false" ht="15" hidden="false" customHeight="false" outlineLevel="0" collapsed="false">
      <c r="A958" s="3" t="n">
        <v>957</v>
      </c>
      <c r="B958" s="3" t="n">
        <f aca="false">Raw_Data!A958</f>
        <v>27</v>
      </c>
      <c r="C958" s="3" t="str">
        <f aca="false">SUBSTITUTE(Raw_Data!B958,".","")</f>
        <v>unemployed</v>
      </c>
      <c r="D958" s="3" t="str">
        <f aca="false">Raw_Data!C958</f>
        <v>single</v>
      </c>
      <c r="E958" s="3" t="str">
        <f aca="false">Raw_Data!D958</f>
        <v>secondary</v>
      </c>
      <c r="F958" s="3" t="str">
        <f aca="false">Raw_Data!E958</f>
        <v>no</v>
      </c>
      <c r="G958" s="3" t="n">
        <f aca="false">Raw_Data!F958</f>
        <v>3276</v>
      </c>
      <c r="H958" s="3" t="str">
        <f aca="false">Raw_Data!G958</f>
        <v>no</v>
      </c>
      <c r="I958" s="3" t="str">
        <f aca="false">Raw_Data!H958</f>
        <v>no</v>
      </c>
      <c r="J958" s="2" t="n">
        <f aca="false">IF(F958="yes",1,0)</f>
        <v>0</v>
      </c>
      <c r="K958" s="2" t="n">
        <f aca="false">IF(H958="yes",1,0)</f>
        <v>0</v>
      </c>
      <c r="L958" s="2" t="n">
        <f aca="false">IF(I958="yes",1,0)</f>
        <v>0</v>
      </c>
      <c r="M958" s="2" t="n">
        <f aca="false">IF(G958&lt;0,1,0)</f>
        <v>0</v>
      </c>
      <c r="N958" s="2" t="str">
        <f aca="false">_xlfn.IFS(B958&lt;30,"Under 30",B958&lt;40,"30-39",B958&lt;50,"40-49",B958&lt;60,"50-59",TRUE(),"60+")</f>
        <v>Under 30</v>
      </c>
      <c r="O958" s="2" t="str">
        <f aca="false">_xlfn.IFS(G958&lt;0,"1 Negative",G958=0,"2 Zero",G958&lt;=500,"3 1-500",G958&lt;=2000,"4 501-2000",TRUE(),"5 Above 2000")</f>
        <v>5 Above 2000</v>
      </c>
      <c r="P958" s="2" t="n">
        <f aca="false">Lookups!$B$2*M958+Lookups!$B$3*L958</f>
        <v>0</v>
      </c>
      <c r="Q958" s="2" t="str">
        <f aca="false">INDEX(Lookups!$E$2:$E$5,MATCH(P958,Lookups!$D$2:$D$5,0))</f>
        <v>Low</v>
      </c>
    </row>
    <row r="959" customFormat="false" ht="15" hidden="false" customHeight="false" outlineLevel="0" collapsed="false">
      <c r="A959" s="3" t="n">
        <v>958</v>
      </c>
      <c r="B959" s="3" t="n">
        <f aca="false">Raw_Data!A959</f>
        <v>55</v>
      </c>
      <c r="C959" s="3" t="str">
        <f aca="false">SUBSTITUTE(Raw_Data!B959,".","")</f>
        <v>management</v>
      </c>
      <c r="D959" s="3" t="str">
        <f aca="false">Raw_Data!C959</f>
        <v>divorced</v>
      </c>
      <c r="E959" s="3" t="str">
        <f aca="false">Raw_Data!D959</f>
        <v>unknown</v>
      </c>
      <c r="F959" s="3" t="str">
        <f aca="false">Raw_Data!E959</f>
        <v>no</v>
      </c>
      <c r="G959" s="3" t="n">
        <f aca="false">Raw_Data!F959</f>
        <v>2</v>
      </c>
      <c r="H959" s="3" t="str">
        <f aca="false">Raw_Data!G959</f>
        <v>yes</v>
      </c>
      <c r="I959" s="3" t="str">
        <f aca="false">Raw_Data!H959</f>
        <v>no</v>
      </c>
      <c r="J959" s="2" t="n">
        <f aca="false">IF(F959="yes",1,0)</f>
        <v>0</v>
      </c>
      <c r="K959" s="2" t="n">
        <f aca="false">IF(H959="yes",1,0)</f>
        <v>1</v>
      </c>
      <c r="L959" s="2" t="n">
        <f aca="false">IF(I959="yes",1,0)</f>
        <v>0</v>
      </c>
      <c r="M959" s="2" t="n">
        <f aca="false">IF(G959&lt;0,1,0)</f>
        <v>0</v>
      </c>
      <c r="N959" s="2" t="str">
        <f aca="false">_xlfn.IFS(B959&lt;30,"Under 30",B959&lt;40,"30-39",B959&lt;50,"40-49",B959&lt;60,"50-59",TRUE(),"60+")</f>
        <v>50-59</v>
      </c>
      <c r="O959" s="2" t="str">
        <f aca="false">_xlfn.IFS(G959&lt;0,"1 Negative",G959=0,"2 Zero",G959&lt;=500,"3 1-500",G959&lt;=2000,"4 501-2000",TRUE(),"5 Above 2000")</f>
        <v>3 1-500</v>
      </c>
      <c r="P959" s="2" t="n">
        <f aca="false">Lookups!$B$2*M959+Lookups!$B$3*L959</f>
        <v>0</v>
      </c>
      <c r="Q959" s="2" t="str">
        <f aca="false">INDEX(Lookups!$E$2:$E$5,MATCH(P959,Lookups!$D$2:$D$5,0))</f>
        <v>Low</v>
      </c>
    </row>
    <row r="960" customFormat="false" ht="15" hidden="false" customHeight="false" outlineLevel="0" collapsed="false">
      <c r="A960" s="3" t="n">
        <v>959</v>
      </c>
      <c r="B960" s="3" t="n">
        <f aca="false">Raw_Data!A960</f>
        <v>35</v>
      </c>
      <c r="C960" s="3" t="str">
        <f aca="false">SUBSTITUTE(Raw_Data!B960,".","")</f>
        <v>technician</v>
      </c>
      <c r="D960" s="3" t="str">
        <f aca="false">Raw_Data!C960</f>
        <v>single</v>
      </c>
      <c r="E960" s="3" t="str">
        <f aca="false">Raw_Data!D960</f>
        <v>secondary</v>
      </c>
      <c r="F960" s="3" t="str">
        <f aca="false">Raw_Data!E960</f>
        <v>no</v>
      </c>
      <c r="G960" s="3" t="n">
        <f aca="false">Raw_Data!F960</f>
        <v>-51</v>
      </c>
      <c r="H960" s="3" t="str">
        <f aca="false">Raw_Data!G960</f>
        <v>no</v>
      </c>
      <c r="I960" s="3" t="str">
        <f aca="false">Raw_Data!H960</f>
        <v>no</v>
      </c>
      <c r="J960" s="2" t="n">
        <f aca="false">IF(F960="yes",1,0)</f>
        <v>0</v>
      </c>
      <c r="K960" s="2" t="n">
        <f aca="false">IF(H960="yes",1,0)</f>
        <v>0</v>
      </c>
      <c r="L960" s="2" t="n">
        <f aca="false">IF(I960="yes",1,0)</f>
        <v>0</v>
      </c>
      <c r="M960" s="2" t="n">
        <f aca="false">IF(G960&lt;0,1,0)</f>
        <v>1</v>
      </c>
      <c r="N960" s="2" t="str">
        <f aca="false">_xlfn.IFS(B960&lt;30,"Under 30",B960&lt;40,"30-39",B960&lt;50,"40-49",B960&lt;60,"50-59",TRUE(),"60+")</f>
        <v>30-39</v>
      </c>
      <c r="O960" s="2" t="str">
        <f aca="false">_xlfn.IFS(G960&lt;0,"1 Negative",G960=0,"2 Zero",G960&lt;=500,"3 1-500",G960&lt;=2000,"4 501-2000",TRUE(),"5 Above 2000")</f>
        <v>1 Negative</v>
      </c>
      <c r="P960" s="2" t="n">
        <f aca="false">Lookups!$B$2*M960+Lookups!$B$3*L960</f>
        <v>2</v>
      </c>
      <c r="Q960" s="2" t="str">
        <f aca="false">INDEX(Lookups!$E$2:$E$5,MATCH(P960,Lookups!$D$2:$D$5,0))</f>
        <v>High</v>
      </c>
    </row>
    <row r="961" customFormat="false" ht="15" hidden="false" customHeight="false" outlineLevel="0" collapsed="false">
      <c r="A961" s="3" t="n">
        <v>960</v>
      </c>
      <c r="B961" s="3" t="n">
        <f aca="false">Raw_Data!A961</f>
        <v>37</v>
      </c>
      <c r="C961" s="3" t="str">
        <f aca="false">SUBSTITUTE(Raw_Data!B961,".","")</f>
        <v>technician</v>
      </c>
      <c r="D961" s="3" t="str">
        <f aca="false">Raw_Data!C961</f>
        <v>single</v>
      </c>
      <c r="E961" s="3" t="str">
        <f aca="false">Raw_Data!D961</f>
        <v>tertiary</v>
      </c>
      <c r="F961" s="3" t="str">
        <f aca="false">Raw_Data!E961</f>
        <v>no</v>
      </c>
      <c r="G961" s="3" t="n">
        <f aca="false">Raw_Data!F961</f>
        <v>3315</v>
      </c>
      <c r="H961" s="3" t="str">
        <f aca="false">Raw_Data!G961</f>
        <v>yes</v>
      </c>
      <c r="I961" s="3" t="str">
        <f aca="false">Raw_Data!H961</f>
        <v>no</v>
      </c>
      <c r="J961" s="2" t="n">
        <f aca="false">IF(F961="yes",1,0)</f>
        <v>0</v>
      </c>
      <c r="K961" s="2" t="n">
        <f aca="false">IF(H961="yes",1,0)</f>
        <v>1</v>
      </c>
      <c r="L961" s="2" t="n">
        <f aca="false">IF(I961="yes",1,0)</f>
        <v>0</v>
      </c>
      <c r="M961" s="2" t="n">
        <f aca="false">IF(G961&lt;0,1,0)</f>
        <v>0</v>
      </c>
      <c r="N961" s="2" t="str">
        <f aca="false">_xlfn.IFS(B961&lt;30,"Under 30",B961&lt;40,"30-39",B961&lt;50,"40-49",B961&lt;60,"50-59",TRUE(),"60+")</f>
        <v>30-39</v>
      </c>
      <c r="O961" s="2" t="str">
        <f aca="false">_xlfn.IFS(G961&lt;0,"1 Negative",G961=0,"2 Zero",G961&lt;=500,"3 1-500",G961&lt;=2000,"4 501-2000",TRUE(),"5 Above 2000")</f>
        <v>5 Above 2000</v>
      </c>
      <c r="P961" s="2" t="n">
        <f aca="false">Lookups!$B$2*M961+Lookups!$B$3*L961</f>
        <v>0</v>
      </c>
      <c r="Q961" s="2" t="str">
        <f aca="false">INDEX(Lookups!$E$2:$E$5,MATCH(P961,Lookups!$D$2:$D$5,0))</f>
        <v>Low</v>
      </c>
    </row>
    <row r="962" customFormat="false" ht="15" hidden="false" customHeight="false" outlineLevel="0" collapsed="false">
      <c r="A962" s="3" t="n">
        <v>961</v>
      </c>
      <c r="B962" s="3" t="n">
        <f aca="false">Raw_Data!A962</f>
        <v>52</v>
      </c>
      <c r="C962" s="3" t="str">
        <f aca="false">SUBSTITUTE(Raw_Data!B962,".","")</f>
        <v>technician</v>
      </c>
      <c r="D962" s="3" t="str">
        <f aca="false">Raw_Data!C962</f>
        <v>married</v>
      </c>
      <c r="E962" s="3" t="str">
        <f aca="false">Raw_Data!D962</f>
        <v>secondary</v>
      </c>
      <c r="F962" s="3" t="str">
        <f aca="false">Raw_Data!E962</f>
        <v>no</v>
      </c>
      <c r="G962" s="3" t="n">
        <f aca="false">Raw_Data!F962</f>
        <v>196</v>
      </c>
      <c r="H962" s="3" t="str">
        <f aca="false">Raw_Data!G962</f>
        <v>yes</v>
      </c>
      <c r="I962" s="3" t="str">
        <f aca="false">Raw_Data!H962</f>
        <v>yes</v>
      </c>
      <c r="J962" s="2" t="n">
        <f aca="false">IF(F962="yes",1,0)</f>
        <v>0</v>
      </c>
      <c r="K962" s="2" t="n">
        <f aca="false">IF(H962="yes",1,0)</f>
        <v>1</v>
      </c>
      <c r="L962" s="2" t="n">
        <f aca="false">IF(I962="yes",1,0)</f>
        <v>1</v>
      </c>
      <c r="M962" s="2" t="n">
        <f aca="false">IF(G962&lt;0,1,0)</f>
        <v>0</v>
      </c>
      <c r="N962" s="2" t="str">
        <f aca="false">_xlfn.IFS(B962&lt;30,"Under 30",B962&lt;40,"30-39",B962&lt;50,"40-49",B962&lt;60,"50-59",TRUE(),"60+")</f>
        <v>50-59</v>
      </c>
      <c r="O962" s="2" t="str">
        <f aca="false">_xlfn.IFS(G962&lt;0,"1 Negative",G962=0,"2 Zero",G962&lt;=500,"3 1-500",G962&lt;=2000,"4 501-2000",TRUE(),"5 Above 2000")</f>
        <v>3 1-500</v>
      </c>
      <c r="P962" s="2" t="n">
        <f aca="false">Lookups!$B$2*M962+Lookups!$B$3*L962</f>
        <v>1</v>
      </c>
      <c r="Q962" s="2" t="str">
        <f aca="false">INDEX(Lookups!$E$2:$E$5,MATCH(P962,Lookups!$D$2:$D$5,0))</f>
        <v>Medium</v>
      </c>
    </row>
    <row r="963" customFormat="false" ht="15" hidden="false" customHeight="false" outlineLevel="0" collapsed="false">
      <c r="A963" s="3" t="n">
        <v>962</v>
      </c>
      <c r="B963" s="3" t="n">
        <f aca="false">Raw_Data!A963</f>
        <v>41</v>
      </c>
      <c r="C963" s="3" t="str">
        <f aca="false">SUBSTITUTE(Raw_Data!B963,".","")</f>
        <v>blue-collar</v>
      </c>
      <c r="D963" s="3" t="str">
        <f aca="false">Raw_Data!C963</f>
        <v>married</v>
      </c>
      <c r="E963" s="3" t="str">
        <f aca="false">Raw_Data!D963</f>
        <v>secondary</v>
      </c>
      <c r="F963" s="3" t="str">
        <f aca="false">Raw_Data!E963</f>
        <v>no</v>
      </c>
      <c r="G963" s="3" t="n">
        <f aca="false">Raw_Data!F963</f>
        <v>552</v>
      </c>
      <c r="H963" s="3" t="str">
        <f aca="false">Raw_Data!G963</f>
        <v>yes</v>
      </c>
      <c r="I963" s="3" t="str">
        <f aca="false">Raw_Data!H963</f>
        <v>no</v>
      </c>
      <c r="J963" s="2" t="n">
        <f aca="false">IF(F963="yes",1,0)</f>
        <v>0</v>
      </c>
      <c r="K963" s="2" t="n">
        <f aca="false">IF(H963="yes",1,0)</f>
        <v>1</v>
      </c>
      <c r="L963" s="2" t="n">
        <f aca="false">IF(I963="yes",1,0)</f>
        <v>0</v>
      </c>
      <c r="M963" s="2" t="n">
        <f aca="false">IF(G963&lt;0,1,0)</f>
        <v>0</v>
      </c>
      <c r="N963" s="2" t="str">
        <f aca="false">_xlfn.IFS(B963&lt;30,"Under 30",B963&lt;40,"30-39",B963&lt;50,"40-49",B963&lt;60,"50-59",TRUE(),"60+")</f>
        <v>40-49</v>
      </c>
      <c r="O963" s="2" t="str">
        <f aca="false">_xlfn.IFS(G963&lt;0,"1 Negative",G963=0,"2 Zero",G963&lt;=500,"3 1-500",G963&lt;=2000,"4 501-2000",TRUE(),"5 Above 2000")</f>
        <v>4 501-2000</v>
      </c>
      <c r="P963" s="2" t="n">
        <f aca="false">Lookups!$B$2*M963+Lookups!$B$3*L963</f>
        <v>0</v>
      </c>
      <c r="Q963" s="2" t="str">
        <f aca="false">INDEX(Lookups!$E$2:$E$5,MATCH(P963,Lookups!$D$2:$D$5,0))</f>
        <v>Low</v>
      </c>
    </row>
    <row r="964" customFormat="false" ht="15" hidden="false" customHeight="false" outlineLevel="0" collapsed="false">
      <c r="A964" s="3" t="n">
        <v>963</v>
      </c>
      <c r="B964" s="3" t="n">
        <f aca="false">Raw_Data!A964</f>
        <v>52</v>
      </c>
      <c r="C964" s="3" t="str">
        <f aca="false">SUBSTITUTE(Raw_Data!B964,".","")</f>
        <v>admin</v>
      </c>
      <c r="D964" s="3" t="str">
        <f aca="false">Raw_Data!C964</f>
        <v>married</v>
      </c>
      <c r="E964" s="3" t="str">
        <f aca="false">Raw_Data!D964</f>
        <v>secondary</v>
      </c>
      <c r="F964" s="3" t="str">
        <f aca="false">Raw_Data!E964</f>
        <v>no</v>
      </c>
      <c r="G964" s="3" t="n">
        <f aca="false">Raw_Data!F964</f>
        <v>2347</v>
      </c>
      <c r="H964" s="3" t="str">
        <f aca="false">Raw_Data!G964</f>
        <v>no</v>
      </c>
      <c r="I964" s="3" t="str">
        <f aca="false">Raw_Data!H964</f>
        <v>yes</v>
      </c>
      <c r="J964" s="2" t="n">
        <f aca="false">IF(F964="yes",1,0)</f>
        <v>0</v>
      </c>
      <c r="K964" s="2" t="n">
        <f aca="false">IF(H964="yes",1,0)</f>
        <v>0</v>
      </c>
      <c r="L964" s="2" t="n">
        <f aca="false">IF(I964="yes",1,0)</f>
        <v>1</v>
      </c>
      <c r="M964" s="2" t="n">
        <f aca="false">IF(G964&lt;0,1,0)</f>
        <v>0</v>
      </c>
      <c r="N964" s="2" t="str">
        <f aca="false">_xlfn.IFS(B964&lt;30,"Under 30",B964&lt;40,"30-39",B964&lt;50,"40-49",B964&lt;60,"50-59",TRUE(),"60+")</f>
        <v>50-59</v>
      </c>
      <c r="O964" s="2" t="str">
        <f aca="false">_xlfn.IFS(G964&lt;0,"1 Negative",G964=0,"2 Zero",G964&lt;=500,"3 1-500",G964&lt;=2000,"4 501-2000",TRUE(),"5 Above 2000")</f>
        <v>5 Above 2000</v>
      </c>
      <c r="P964" s="2" t="n">
        <f aca="false">Lookups!$B$2*M964+Lookups!$B$3*L964</f>
        <v>1</v>
      </c>
      <c r="Q964" s="2" t="str">
        <f aca="false">INDEX(Lookups!$E$2:$E$5,MATCH(P964,Lookups!$D$2:$D$5,0))</f>
        <v>Medium</v>
      </c>
    </row>
    <row r="965" customFormat="false" ht="15" hidden="false" customHeight="false" outlineLevel="0" collapsed="false">
      <c r="A965" s="3" t="n">
        <v>964</v>
      </c>
      <c r="B965" s="3" t="n">
        <f aca="false">Raw_Data!A965</f>
        <v>34</v>
      </c>
      <c r="C965" s="3" t="str">
        <f aca="false">SUBSTITUTE(Raw_Data!B965,".","")</f>
        <v>blue-collar</v>
      </c>
      <c r="D965" s="3" t="str">
        <f aca="false">Raw_Data!C965</f>
        <v>single</v>
      </c>
      <c r="E965" s="3" t="str">
        <f aca="false">Raw_Data!D965</f>
        <v>secondary</v>
      </c>
      <c r="F965" s="3" t="str">
        <f aca="false">Raw_Data!E965</f>
        <v>no</v>
      </c>
      <c r="G965" s="3" t="n">
        <f aca="false">Raw_Data!F965</f>
        <v>3723</v>
      </c>
      <c r="H965" s="3" t="str">
        <f aca="false">Raw_Data!G965</f>
        <v>yes</v>
      </c>
      <c r="I965" s="3" t="str">
        <f aca="false">Raw_Data!H965</f>
        <v>no</v>
      </c>
      <c r="J965" s="2" t="n">
        <f aca="false">IF(F965="yes",1,0)</f>
        <v>0</v>
      </c>
      <c r="K965" s="2" t="n">
        <f aca="false">IF(H965="yes",1,0)</f>
        <v>1</v>
      </c>
      <c r="L965" s="2" t="n">
        <f aca="false">IF(I965="yes",1,0)</f>
        <v>0</v>
      </c>
      <c r="M965" s="2" t="n">
        <f aca="false">IF(G965&lt;0,1,0)</f>
        <v>0</v>
      </c>
      <c r="N965" s="2" t="str">
        <f aca="false">_xlfn.IFS(B965&lt;30,"Under 30",B965&lt;40,"30-39",B965&lt;50,"40-49",B965&lt;60,"50-59",TRUE(),"60+")</f>
        <v>30-39</v>
      </c>
      <c r="O965" s="2" t="str">
        <f aca="false">_xlfn.IFS(G965&lt;0,"1 Negative",G965=0,"2 Zero",G965&lt;=500,"3 1-500",G965&lt;=2000,"4 501-2000",TRUE(),"5 Above 2000")</f>
        <v>5 Above 2000</v>
      </c>
      <c r="P965" s="2" t="n">
        <f aca="false">Lookups!$B$2*M965+Lookups!$B$3*L965</f>
        <v>0</v>
      </c>
      <c r="Q965" s="2" t="str">
        <f aca="false">INDEX(Lookups!$E$2:$E$5,MATCH(P965,Lookups!$D$2:$D$5,0))</f>
        <v>Low</v>
      </c>
    </row>
    <row r="966" customFormat="false" ht="15" hidden="false" customHeight="false" outlineLevel="0" collapsed="false">
      <c r="A966" s="3" t="n">
        <v>965</v>
      </c>
      <c r="B966" s="3" t="n">
        <f aca="false">Raw_Data!A966</f>
        <v>53</v>
      </c>
      <c r="C966" s="3" t="str">
        <f aca="false">SUBSTITUTE(Raw_Data!B966,".","")</f>
        <v>management</v>
      </c>
      <c r="D966" s="3" t="str">
        <f aca="false">Raw_Data!C966</f>
        <v>divorced</v>
      </c>
      <c r="E966" s="3" t="str">
        <f aca="false">Raw_Data!D966</f>
        <v>primary</v>
      </c>
      <c r="F966" s="3" t="str">
        <f aca="false">Raw_Data!E966</f>
        <v>no</v>
      </c>
      <c r="G966" s="3" t="n">
        <f aca="false">Raw_Data!F966</f>
        <v>255</v>
      </c>
      <c r="H966" s="3" t="str">
        <f aca="false">Raw_Data!G966</f>
        <v>no</v>
      </c>
      <c r="I966" s="3" t="str">
        <f aca="false">Raw_Data!H966</f>
        <v>no</v>
      </c>
      <c r="J966" s="2" t="n">
        <f aca="false">IF(F966="yes",1,0)</f>
        <v>0</v>
      </c>
      <c r="K966" s="2" t="n">
        <f aca="false">IF(H966="yes",1,0)</f>
        <v>0</v>
      </c>
      <c r="L966" s="2" t="n">
        <f aca="false">IF(I966="yes",1,0)</f>
        <v>0</v>
      </c>
      <c r="M966" s="2" t="n">
        <f aca="false">IF(G966&lt;0,1,0)</f>
        <v>0</v>
      </c>
      <c r="N966" s="2" t="str">
        <f aca="false">_xlfn.IFS(B966&lt;30,"Under 30",B966&lt;40,"30-39",B966&lt;50,"40-49",B966&lt;60,"50-59",TRUE(),"60+")</f>
        <v>50-59</v>
      </c>
      <c r="O966" s="2" t="str">
        <f aca="false">_xlfn.IFS(G966&lt;0,"1 Negative",G966=0,"2 Zero",G966&lt;=500,"3 1-500",G966&lt;=2000,"4 501-2000",TRUE(),"5 Above 2000")</f>
        <v>3 1-500</v>
      </c>
      <c r="P966" s="2" t="n">
        <f aca="false">Lookups!$B$2*M966+Lookups!$B$3*L966</f>
        <v>0</v>
      </c>
      <c r="Q966" s="2" t="str">
        <f aca="false">INDEX(Lookups!$E$2:$E$5,MATCH(P966,Lookups!$D$2:$D$5,0))</f>
        <v>Low</v>
      </c>
    </row>
    <row r="967" customFormat="false" ht="15" hidden="false" customHeight="false" outlineLevel="0" collapsed="false">
      <c r="A967" s="3" t="n">
        <v>966</v>
      </c>
      <c r="B967" s="3" t="n">
        <f aca="false">Raw_Data!A967</f>
        <v>33</v>
      </c>
      <c r="C967" s="3" t="str">
        <f aca="false">SUBSTITUTE(Raw_Data!B967,".","")</f>
        <v>management</v>
      </c>
      <c r="D967" s="3" t="str">
        <f aca="false">Raw_Data!C967</f>
        <v>single</v>
      </c>
      <c r="E967" s="3" t="str">
        <f aca="false">Raw_Data!D967</f>
        <v>tertiary</v>
      </c>
      <c r="F967" s="3" t="str">
        <f aca="false">Raw_Data!E967</f>
        <v>no</v>
      </c>
      <c r="G967" s="3" t="n">
        <f aca="false">Raw_Data!F967</f>
        <v>3143</v>
      </c>
      <c r="H967" s="3" t="str">
        <f aca="false">Raw_Data!G967</f>
        <v>no</v>
      </c>
      <c r="I967" s="3" t="str">
        <f aca="false">Raw_Data!H967</f>
        <v>no</v>
      </c>
      <c r="J967" s="2" t="n">
        <f aca="false">IF(F967="yes",1,0)</f>
        <v>0</v>
      </c>
      <c r="K967" s="2" t="n">
        <f aca="false">IF(H967="yes",1,0)</f>
        <v>0</v>
      </c>
      <c r="L967" s="2" t="n">
        <f aca="false">IF(I967="yes",1,0)</f>
        <v>0</v>
      </c>
      <c r="M967" s="2" t="n">
        <f aca="false">IF(G967&lt;0,1,0)</f>
        <v>0</v>
      </c>
      <c r="N967" s="2" t="str">
        <f aca="false">_xlfn.IFS(B967&lt;30,"Under 30",B967&lt;40,"30-39",B967&lt;50,"40-49",B967&lt;60,"50-59",TRUE(),"60+")</f>
        <v>30-39</v>
      </c>
      <c r="O967" s="2" t="str">
        <f aca="false">_xlfn.IFS(G967&lt;0,"1 Negative",G967=0,"2 Zero",G967&lt;=500,"3 1-500",G967&lt;=2000,"4 501-2000",TRUE(),"5 Above 2000")</f>
        <v>5 Above 2000</v>
      </c>
      <c r="P967" s="2" t="n">
        <f aca="false">Lookups!$B$2*M967+Lookups!$B$3*L967</f>
        <v>0</v>
      </c>
      <c r="Q967" s="2" t="str">
        <f aca="false">INDEX(Lookups!$E$2:$E$5,MATCH(P967,Lookups!$D$2:$D$5,0))</f>
        <v>Low</v>
      </c>
    </row>
    <row r="968" customFormat="false" ht="15" hidden="false" customHeight="false" outlineLevel="0" collapsed="false">
      <c r="A968" s="3" t="n">
        <v>967</v>
      </c>
      <c r="B968" s="3" t="n">
        <f aca="false">Raw_Data!A968</f>
        <v>47</v>
      </c>
      <c r="C968" s="3" t="str">
        <f aca="false">SUBSTITUTE(Raw_Data!B968,".","")</f>
        <v>self-employed</v>
      </c>
      <c r="D968" s="3" t="str">
        <f aca="false">Raw_Data!C968</f>
        <v>married</v>
      </c>
      <c r="E968" s="3" t="str">
        <f aca="false">Raw_Data!D968</f>
        <v>secondary</v>
      </c>
      <c r="F968" s="3" t="str">
        <f aca="false">Raw_Data!E968</f>
        <v>no</v>
      </c>
      <c r="G968" s="3" t="n">
        <f aca="false">Raw_Data!F968</f>
        <v>0</v>
      </c>
      <c r="H968" s="3" t="str">
        <f aca="false">Raw_Data!G968</f>
        <v>no</v>
      </c>
      <c r="I968" s="3" t="str">
        <f aca="false">Raw_Data!H968</f>
        <v>no</v>
      </c>
      <c r="J968" s="2" t="n">
        <f aca="false">IF(F968="yes",1,0)</f>
        <v>0</v>
      </c>
      <c r="K968" s="2" t="n">
        <f aca="false">IF(H968="yes",1,0)</f>
        <v>0</v>
      </c>
      <c r="L968" s="2" t="n">
        <f aca="false">IF(I968="yes",1,0)</f>
        <v>0</v>
      </c>
      <c r="M968" s="2" t="n">
        <f aca="false">IF(G968&lt;0,1,0)</f>
        <v>0</v>
      </c>
      <c r="N968" s="2" t="str">
        <f aca="false">_xlfn.IFS(B968&lt;30,"Under 30",B968&lt;40,"30-39",B968&lt;50,"40-49",B968&lt;60,"50-59",TRUE(),"60+")</f>
        <v>40-49</v>
      </c>
      <c r="O968" s="2" t="str">
        <f aca="false">_xlfn.IFS(G968&lt;0,"1 Negative",G968=0,"2 Zero",G968&lt;=500,"3 1-500",G968&lt;=2000,"4 501-2000",TRUE(),"5 Above 2000")</f>
        <v>2 Zero</v>
      </c>
      <c r="P968" s="2" t="n">
        <f aca="false">Lookups!$B$2*M968+Lookups!$B$3*L968</f>
        <v>0</v>
      </c>
      <c r="Q968" s="2" t="str">
        <f aca="false">INDEX(Lookups!$E$2:$E$5,MATCH(P968,Lookups!$D$2:$D$5,0))</f>
        <v>Low</v>
      </c>
    </row>
    <row r="969" customFormat="false" ht="15" hidden="false" customHeight="false" outlineLevel="0" collapsed="false">
      <c r="A969" s="3" t="n">
        <v>968</v>
      </c>
      <c r="B969" s="3" t="n">
        <f aca="false">Raw_Data!A969</f>
        <v>35</v>
      </c>
      <c r="C969" s="3" t="str">
        <f aca="false">SUBSTITUTE(Raw_Data!B969,".","")</f>
        <v>blue-collar</v>
      </c>
      <c r="D969" s="3" t="str">
        <f aca="false">Raw_Data!C969</f>
        <v>married</v>
      </c>
      <c r="E969" s="3" t="str">
        <f aca="false">Raw_Data!D969</f>
        <v>secondary</v>
      </c>
      <c r="F969" s="3" t="str">
        <f aca="false">Raw_Data!E969</f>
        <v>no</v>
      </c>
      <c r="G969" s="3" t="n">
        <f aca="false">Raw_Data!F969</f>
        <v>6411</v>
      </c>
      <c r="H969" s="3" t="str">
        <f aca="false">Raw_Data!G969</f>
        <v>yes</v>
      </c>
      <c r="I969" s="3" t="str">
        <f aca="false">Raw_Data!H969</f>
        <v>yes</v>
      </c>
      <c r="J969" s="2" t="n">
        <f aca="false">IF(F969="yes",1,0)</f>
        <v>0</v>
      </c>
      <c r="K969" s="2" t="n">
        <f aca="false">IF(H969="yes",1,0)</f>
        <v>1</v>
      </c>
      <c r="L969" s="2" t="n">
        <f aca="false">IF(I969="yes",1,0)</f>
        <v>1</v>
      </c>
      <c r="M969" s="2" t="n">
        <f aca="false">IF(G969&lt;0,1,0)</f>
        <v>0</v>
      </c>
      <c r="N969" s="2" t="str">
        <f aca="false">_xlfn.IFS(B969&lt;30,"Under 30",B969&lt;40,"30-39",B969&lt;50,"40-49",B969&lt;60,"50-59",TRUE(),"60+")</f>
        <v>30-39</v>
      </c>
      <c r="O969" s="2" t="str">
        <f aca="false">_xlfn.IFS(G969&lt;0,"1 Negative",G969=0,"2 Zero",G969&lt;=500,"3 1-500",G969&lt;=2000,"4 501-2000",TRUE(),"5 Above 2000")</f>
        <v>5 Above 2000</v>
      </c>
      <c r="P969" s="2" t="n">
        <f aca="false">Lookups!$B$2*M969+Lookups!$B$3*L969</f>
        <v>1</v>
      </c>
      <c r="Q969" s="2" t="str">
        <f aca="false">INDEX(Lookups!$E$2:$E$5,MATCH(P969,Lookups!$D$2:$D$5,0))</f>
        <v>Medium</v>
      </c>
    </row>
    <row r="970" customFormat="false" ht="15" hidden="false" customHeight="false" outlineLevel="0" collapsed="false">
      <c r="A970" s="3" t="n">
        <v>969</v>
      </c>
      <c r="B970" s="3" t="n">
        <f aca="false">Raw_Data!A970</f>
        <v>33</v>
      </c>
      <c r="C970" s="3" t="str">
        <f aca="false">SUBSTITUTE(Raw_Data!B970,".","")</f>
        <v>management</v>
      </c>
      <c r="D970" s="3" t="str">
        <f aca="false">Raw_Data!C970</f>
        <v>single</v>
      </c>
      <c r="E970" s="3" t="str">
        <f aca="false">Raw_Data!D970</f>
        <v>tertiary</v>
      </c>
      <c r="F970" s="3" t="str">
        <f aca="false">Raw_Data!E970</f>
        <v>no</v>
      </c>
      <c r="G970" s="3" t="n">
        <f aca="false">Raw_Data!F970</f>
        <v>1909</v>
      </c>
      <c r="H970" s="3" t="str">
        <f aca="false">Raw_Data!G970</f>
        <v>no</v>
      </c>
      <c r="I970" s="3" t="str">
        <f aca="false">Raw_Data!H970</f>
        <v>no</v>
      </c>
      <c r="J970" s="2" t="n">
        <f aca="false">IF(F970="yes",1,0)</f>
        <v>0</v>
      </c>
      <c r="K970" s="2" t="n">
        <f aca="false">IF(H970="yes",1,0)</f>
        <v>0</v>
      </c>
      <c r="L970" s="2" t="n">
        <f aca="false">IF(I970="yes",1,0)</f>
        <v>0</v>
      </c>
      <c r="M970" s="2" t="n">
        <f aca="false">IF(G970&lt;0,1,0)</f>
        <v>0</v>
      </c>
      <c r="N970" s="2" t="str">
        <f aca="false">_xlfn.IFS(B970&lt;30,"Under 30",B970&lt;40,"30-39",B970&lt;50,"40-49",B970&lt;60,"50-59",TRUE(),"60+")</f>
        <v>30-39</v>
      </c>
      <c r="O970" s="2" t="str">
        <f aca="false">_xlfn.IFS(G970&lt;0,"1 Negative",G970=0,"2 Zero",G970&lt;=500,"3 1-500",G970&lt;=2000,"4 501-2000",TRUE(),"5 Above 2000")</f>
        <v>4 501-2000</v>
      </c>
      <c r="P970" s="2" t="n">
        <f aca="false">Lookups!$B$2*M970+Lookups!$B$3*L970</f>
        <v>0</v>
      </c>
      <c r="Q970" s="2" t="str">
        <f aca="false">INDEX(Lookups!$E$2:$E$5,MATCH(P970,Lookups!$D$2:$D$5,0))</f>
        <v>Low</v>
      </c>
    </row>
    <row r="971" customFormat="false" ht="15" hidden="false" customHeight="false" outlineLevel="0" collapsed="false">
      <c r="A971" s="3" t="n">
        <v>970</v>
      </c>
      <c r="B971" s="3" t="n">
        <f aca="false">Raw_Data!A971</f>
        <v>55</v>
      </c>
      <c r="C971" s="3" t="str">
        <f aca="false">SUBSTITUTE(Raw_Data!B971,".","")</f>
        <v>blue-collar</v>
      </c>
      <c r="D971" s="3" t="str">
        <f aca="false">Raw_Data!C971</f>
        <v>married</v>
      </c>
      <c r="E971" s="3" t="str">
        <f aca="false">Raw_Data!D971</f>
        <v>primary</v>
      </c>
      <c r="F971" s="3" t="str">
        <f aca="false">Raw_Data!E971</f>
        <v>no</v>
      </c>
      <c r="G971" s="3" t="n">
        <f aca="false">Raw_Data!F971</f>
        <v>3873</v>
      </c>
      <c r="H971" s="3" t="str">
        <f aca="false">Raw_Data!G971</f>
        <v>no</v>
      </c>
      <c r="I971" s="3" t="str">
        <f aca="false">Raw_Data!H971</f>
        <v>no</v>
      </c>
      <c r="J971" s="2" t="n">
        <f aca="false">IF(F971="yes",1,0)</f>
        <v>0</v>
      </c>
      <c r="K971" s="2" t="n">
        <f aca="false">IF(H971="yes",1,0)</f>
        <v>0</v>
      </c>
      <c r="L971" s="2" t="n">
        <f aca="false">IF(I971="yes",1,0)</f>
        <v>0</v>
      </c>
      <c r="M971" s="2" t="n">
        <f aca="false">IF(G971&lt;0,1,0)</f>
        <v>0</v>
      </c>
      <c r="N971" s="2" t="str">
        <f aca="false">_xlfn.IFS(B971&lt;30,"Under 30",B971&lt;40,"30-39",B971&lt;50,"40-49",B971&lt;60,"50-59",TRUE(),"60+")</f>
        <v>50-59</v>
      </c>
      <c r="O971" s="2" t="str">
        <f aca="false">_xlfn.IFS(G971&lt;0,"1 Negative",G971=0,"2 Zero",G971&lt;=500,"3 1-500",G971&lt;=2000,"4 501-2000",TRUE(),"5 Above 2000")</f>
        <v>5 Above 2000</v>
      </c>
      <c r="P971" s="2" t="n">
        <f aca="false">Lookups!$B$2*M971+Lookups!$B$3*L971</f>
        <v>0</v>
      </c>
      <c r="Q971" s="2" t="str">
        <f aca="false">INDEX(Lookups!$E$2:$E$5,MATCH(P971,Lookups!$D$2:$D$5,0))</f>
        <v>Low</v>
      </c>
    </row>
    <row r="972" customFormat="false" ht="15" hidden="false" customHeight="false" outlineLevel="0" collapsed="false">
      <c r="A972" s="3" t="n">
        <v>971</v>
      </c>
      <c r="B972" s="3" t="n">
        <f aca="false">Raw_Data!A972</f>
        <v>58</v>
      </c>
      <c r="C972" s="3" t="str">
        <f aca="false">SUBSTITUTE(Raw_Data!B972,".","")</f>
        <v>self-employed</v>
      </c>
      <c r="D972" s="3" t="str">
        <f aca="false">Raw_Data!C972</f>
        <v>married</v>
      </c>
      <c r="E972" s="3" t="str">
        <f aca="false">Raw_Data!D972</f>
        <v>primary</v>
      </c>
      <c r="F972" s="3" t="str">
        <f aca="false">Raw_Data!E972</f>
        <v>no</v>
      </c>
      <c r="G972" s="3" t="n">
        <f aca="false">Raw_Data!F972</f>
        <v>1013</v>
      </c>
      <c r="H972" s="3" t="str">
        <f aca="false">Raw_Data!G972</f>
        <v>yes</v>
      </c>
      <c r="I972" s="3" t="str">
        <f aca="false">Raw_Data!H972</f>
        <v>no</v>
      </c>
      <c r="J972" s="2" t="n">
        <f aca="false">IF(F972="yes",1,0)</f>
        <v>0</v>
      </c>
      <c r="K972" s="2" t="n">
        <f aca="false">IF(H972="yes",1,0)</f>
        <v>1</v>
      </c>
      <c r="L972" s="2" t="n">
        <f aca="false">IF(I972="yes",1,0)</f>
        <v>0</v>
      </c>
      <c r="M972" s="2" t="n">
        <f aca="false">IF(G972&lt;0,1,0)</f>
        <v>0</v>
      </c>
      <c r="N972" s="2" t="str">
        <f aca="false">_xlfn.IFS(B972&lt;30,"Under 30",B972&lt;40,"30-39",B972&lt;50,"40-49",B972&lt;60,"50-59",TRUE(),"60+")</f>
        <v>50-59</v>
      </c>
      <c r="O972" s="2" t="str">
        <f aca="false">_xlfn.IFS(G972&lt;0,"1 Negative",G972=0,"2 Zero",G972&lt;=500,"3 1-500",G972&lt;=2000,"4 501-2000",TRUE(),"5 Above 2000")</f>
        <v>4 501-2000</v>
      </c>
      <c r="P972" s="2" t="n">
        <f aca="false">Lookups!$B$2*M972+Lookups!$B$3*L972</f>
        <v>0</v>
      </c>
      <c r="Q972" s="2" t="str">
        <f aca="false">INDEX(Lookups!$E$2:$E$5,MATCH(P972,Lookups!$D$2:$D$5,0))</f>
        <v>Low</v>
      </c>
    </row>
    <row r="973" customFormat="false" ht="15" hidden="false" customHeight="false" outlineLevel="0" collapsed="false">
      <c r="A973" s="3" t="n">
        <v>972</v>
      </c>
      <c r="B973" s="3" t="n">
        <f aca="false">Raw_Data!A973</f>
        <v>44</v>
      </c>
      <c r="C973" s="3" t="str">
        <f aca="false">SUBSTITUTE(Raw_Data!B973,".","")</f>
        <v>admin</v>
      </c>
      <c r="D973" s="3" t="str">
        <f aca="false">Raw_Data!C973</f>
        <v>married</v>
      </c>
      <c r="E973" s="3" t="str">
        <f aca="false">Raw_Data!D973</f>
        <v>secondary</v>
      </c>
      <c r="F973" s="3" t="str">
        <f aca="false">Raw_Data!E973</f>
        <v>no</v>
      </c>
      <c r="G973" s="3" t="n">
        <f aca="false">Raw_Data!F973</f>
        <v>262</v>
      </c>
      <c r="H973" s="3" t="str">
        <f aca="false">Raw_Data!G973</f>
        <v>yes</v>
      </c>
      <c r="I973" s="3" t="str">
        <f aca="false">Raw_Data!H973</f>
        <v>no</v>
      </c>
      <c r="J973" s="2" t="n">
        <f aca="false">IF(F973="yes",1,0)</f>
        <v>0</v>
      </c>
      <c r="K973" s="2" t="n">
        <f aca="false">IF(H973="yes",1,0)</f>
        <v>1</v>
      </c>
      <c r="L973" s="2" t="n">
        <f aca="false">IF(I973="yes",1,0)</f>
        <v>0</v>
      </c>
      <c r="M973" s="2" t="n">
        <f aca="false">IF(G973&lt;0,1,0)</f>
        <v>0</v>
      </c>
      <c r="N973" s="2" t="str">
        <f aca="false">_xlfn.IFS(B973&lt;30,"Under 30",B973&lt;40,"30-39",B973&lt;50,"40-49",B973&lt;60,"50-59",TRUE(),"60+")</f>
        <v>40-49</v>
      </c>
      <c r="O973" s="2" t="str">
        <f aca="false">_xlfn.IFS(G973&lt;0,"1 Negative",G973=0,"2 Zero",G973&lt;=500,"3 1-500",G973&lt;=2000,"4 501-2000",TRUE(),"5 Above 2000")</f>
        <v>3 1-500</v>
      </c>
      <c r="P973" s="2" t="n">
        <f aca="false">Lookups!$B$2*M973+Lookups!$B$3*L973</f>
        <v>0</v>
      </c>
      <c r="Q973" s="2" t="str">
        <f aca="false">INDEX(Lookups!$E$2:$E$5,MATCH(P973,Lookups!$D$2:$D$5,0))</f>
        <v>Low</v>
      </c>
    </row>
    <row r="974" customFormat="false" ht="15" hidden="false" customHeight="false" outlineLevel="0" collapsed="false">
      <c r="A974" s="3" t="n">
        <v>973</v>
      </c>
      <c r="B974" s="3" t="n">
        <f aca="false">Raw_Data!A974</f>
        <v>25</v>
      </c>
      <c r="C974" s="3" t="str">
        <f aca="false">SUBSTITUTE(Raw_Data!B974,".","")</f>
        <v>services</v>
      </c>
      <c r="D974" s="3" t="str">
        <f aca="false">Raw_Data!C974</f>
        <v>single</v>
      </c>
      <c r="E974" s="3" t="str">
        <f aca="false">Raw_Data!D974</f>
        <v>secondary</v>
      </c>
      <c r="F974" s="3" t="str">
        <f aca="false">Raw_Data!E974</f>
        <v>no</v>
      </c>
      <c r="G974" s="3" t="n">
        <f aca="false">Raw_Data!F974</f>
        <v>3217</v>
      </c>
      <c r="H974" s="3" t="str">
        <f aca="false">Raw_Data!G974</f>
        <v>yes</v>
      </c>
      <c r="I974" s="3" t="str">
        <f aca="false">Raw_Data!H974</f>
        <v>no</v>
      </c>
      <c r="J974" s="2" t="n">
        <f aca="false">IF(F974="yes",1,0)</f>
        <v>0</v>
      </c>
      <c r="K974" s="2" t="n">
        <f aca="false">IF(H974="yes",1,0)</f>
        <v>1</v>
      </c>
      <c r="L974" s="2" t="n">
        <f aca="false">IF(I974="yes",1,0)</f>
        <v>0</v>
      </c>
      <c r="M974" s="2" t="n">
        <f aca="false">IF(G974&lt;0,1,0)</f>
        <v>0</v>
      </c>
      <c r="N974" s="2" t="str">
        <f aca="false">_xlfn.IFS(B974&lt;30,"Under 30",B974&lt;40,"30-39",B974&lt;50,"40-49",B974&lt;60,"50-59",TRUE(),"60+")</f>
        <v>Under 30</v>
      </c>
      <c r="O974" s="2" t="str">
        <f aca="false">_xlfn.IFS(G974&lt;0,"1 Negative",G974=0,"2 Zero",G974&lt;=500,"3 1-500",G974&lt;=2000,"4 501-2000",TRUE(),"5 Above 2000")</f>
        <v>5 Above 2000</v>
      </c>
      <c r="P974" s="2" t="n">
        <f aca="false">Lookups!$B$2*M974+Lookups!$B$3*L974</f>
        <v>0</v>
      </c>
      <c r="Q974" s="2" t="str">
        <f aca="false">INDEX(Lookups!$E$2:$E$5,MATCH(P974,Lookups!$D$2:$D$5,0))</f>
        <v>Low</v>
      </c>
    </row>
    <row r="975" customFormat="false" ht="15" hidden="false" customHeight="false" outlineLevel="0" collapsed="false">
      <c r="A975" s="3" t="n">
        <v>974</v>
      </c>
      <c r="B975" s="3" t="n">
        <f aca="false">Raw_Data!A975</f>
        <v>37</v>
      </c>
      <c r="C975" s="3" t="str">
        <f aca="false">SUBSTITUTE(Raw_Data!B975,".","")</f>
        <v>technician</v>
      </c>
      <c r="D975" s="3" t="str">
        <f aca="false">Raw_Data!C975</f>
        <v>single</v>
      </c>
      <c r="E975" s="3" t="str">
        <f aca="false">Raw_Data!D975</f>
        <v>secondary</v>
      </c>
      <c r="F975" s="3" t="str">
        <f aca="false">Raw_Data!E975</f>
        <v>no</v>
      </c>
      <c r="G975" s="3" t="n">
        <f aca="false">Raw_Data!F975</f>
        <v>5436</v>
      </c>
      <c r="H975" s="3" t="str">
        <f aca="false">Raw_Data!G975</f>
        <v>yes</v>
      </c>
      <c r="I975" s="3" t="str">
        <f aca="false">Raw_Data!H975</f>
        <v>no</v>
      </c>
      <c r="J975" s="2" t="n">
        <f aca="false">IF(F975="yes",1,0)</f>
        <v>0</v>
      </c>
      <c r="K975" s="2" t="n">
        <f aca="false">IF(H975="yes",1,0)</f>
        <v>1</v>
      </c>
      <c r="L975" s="2" t="n">
        <f aca="false">IF(I975="yes",1,0)</f>
        <v>0</v>
      </c>
      <c r="M975" s="2" t="n">
        <f aca="false">IF(G975&lt;0,1,0)</f>
        <v>0</v>
      </c>
      <c r="N975" s="2" t="str">
        <f aca="false">_xlfn.IFS(B975&lt;30,"Under 30",B975&lt;40,"30-39",B975&lt;50,"40-49",B975&lt;60,"50-59",TRUE(),"60+")</f>
        <v>30-39</v>
      </c>
      <c r="O975" s="2" t="str">
        <f aca="false">_xlfn.IFS(G975&lt;0,"1 Negative",G975=0,"2 Zero",G975&lt;=500,"3 1-500",G975&lt;=2000,"4 501-2000",TRUE(),"5 Above 2000")</f>
        <v>5 Above 2000</v>
      </c>
      <c r="P975" s="2" t="n">
        <f aca="false">Lookups!$B$2*M975+Lookups!$B$3*L975</f>
        <v>0</v>
      </c>
      <c r="Q975" s="2" t="str">
        <f aca="false">INDEX(Lookups!$E$2:$E$5,MATCH(P975,Lookups!$D$2:$D$5,0))</f>
        <v>Low</v>
      </c>
    </row>
    <row r="976" customFormat="false" ht="15" hidden="false" customHeight="false" outlineLevel="0" collapsed="false">
      <c r="A976" s="3" t="n">
        <v>975</v>
      </c>
      <c r="B976" s="3" t="n">
        <f aca="false">Raw_Data!A976</f>
        <v>41</v>
      </c>
      <c r="C976" s="3" t="str">
        <f aca="false">SUBSTITUTE(Raw_Data!B976,".","")</f>
        <v>blue-collar</v>
      </c>
      <c r="D976" s="3" t="str">
        <f aca="false">Raw_Data!C976</f>
        <v>married</v>
      </c>
      <c r="E976" s="3" t="str">
        <f aca="false">Raw_Data!D976</f>
        <v>primary</v>
      </c>
      <c r="F976" s="3" t="str">
        <f aca="false">Raw_Data!E976</f>
        <v>no</v>
      </c>
      <c r="G976" s="3" t="n">
        <f aca="false">Raw_Data!F976</f>
        <v>2067</v>
      </c>
      <c r="H976" s="3" t="str">
        <f aca="false">Raw_Data!G976</f>
        <v>yes</v>
      </c>
      <c r="I976" s="3" t="str">
        <f aca="false">Raw_Data!H976</f>
        <v>no</v>
      </c>
      <c r="J976" s="2" t="n">
        <f aca="false">IF(F976="yes",1,0)</f>
        <v>0</v>
      </c>
      <c r="K976" s="2" t="n">
        <f aca="false">IF(H976="yes",1,0)</f>
        <v>1</v>
      </c>
      <c r="L976" s="2" t="n">
        <f aca="false">IF(I976="yes",1,0)</f>
        <v>0</v>
      </c>
      <c r="M976" s="2" t="n">
        <f aca="false">IF(G976&lt;0,1,0)</f>
        <v>0</v>
      </c>
      <c r="N976" s="2" t="str">
        <f aca="false">_xlfn.IFS(B976&lt;30,"Under 30",B976&lt;40,"30-39",B976&lt;50,"40-49",B976&lt;60,"50-59",TRUE(),"60+")</f>
        <v>40-49</v>
      </c>
      <c r="O976" s="2" t="str">
        <f aca="false">_xlfn.IFS(G976&lt;0,"1 Negative",G976=0,"2 Zero",G976&lt;=500,"3 1-500",G976&lt;=2000,"4 501-2000",TRUE(),"5 Above 2000")</f>
        <v>5 Above 2000</v>
      </c>
      <c r="P976" s="2" t="n">
        <f aca="false">Lookups!$B$2*M976+Lookups!$B$3*L976</f>
        <v>0</v>
      </c>
      <c r="Q976" s="2" t="str">
        <f aca="false">INDEX(Lookups!$E$2:$E$5,MATCH(P976,Lookups!$D$2:$D$5,0))</f>
        <v>Low</v>
      </c>
    </row>
    <row r="977" customFormat="false" ht="15" hidden="false" customHeight="false" outlineLevel="0" collapsed="false">
      <c r="A977" s="3" t="n">
        <v>976</v>
      </c>
      <c r="B977" s="3" t="n">
        <f aca="false">Raw_Data!A977</f>
        <v>34</v>
      </c>
      <c r="C977" s="3" t="str">
        <f aca="false">SUBSTITUTE(Raw_Data!B977,".","")</f>
        <v>blue-collar</v>
      </c>
      <c r="D977" s="3" t="str">
        <f aca="false">Raw_Data!C977</f>
        <v>single</v>
      </c>
      <c r="E977" s="3" t="str">
        <f aca="false">Raw_Data!D977</f>
        <v>secondary</v>
      </c>
      <c r="F977" s="3" t="str">
        <f aca="false">Raw_Data!E977</f>
        <v>no</v>
      </c>
      <c r="G977" s="3" t="n">
        <f aca="false">Raw_Data!F977</f>
        <v>215</v>
      </c>
      <c r="H977" s="3" t="str">
        <f aca="false">Raw_Data!G977</f>
        <v>no</v>
      </c>
      <c r="I977" s="3" t="str">
        <f aca="false">Raw_Data!H977</f>
        <v>no</v>
      </c>
      <c r="J977" s="2" t="n">
        <f aca="false">IF(F977="yes",1,0)</f>
        <v>0</v>
      </c>
      <c r="K977" s="2" t="n">
        <f aca="false">IF(H977="yes",1,0)</f>
        <v>0</v>
      </c>
      <c r="L977" s="2" t="n">
        <f aca="false">IF(I977="yes",1,0)</f>
        <v>0</v>
      </c>
      <c r="M977" s="2" t="n">
        <f aca="false">IF(G977&lt;0,1,0)</f>
        <v>0</v>
      </c>
      <c r="N977" s="2" t="str">
        <f aca="false">_xlfn.IFS(B977&lt;30,"Under 30",B977&lt;40,"30-39",B977&lt;50,"40-49",B977&lt;60,"50-59",TRUE(),"60+")</f>
        <v>30-39</v>
      </c>
      <c r="O977" s="2" t="str">
        <f aca="false">_xlfn.IFS(G977&lt;0,"1 Negative",G977=0,"2 Zero",G977&lt;=500,"3 1-500",G977&lt;=2000,"4 501-2000",TRUE(),"5 Above 2000")</f>
        <v>3 1-500</v>
      </c>
      <c r="P977" s="2" t="n">
        <f aca="false">Lookups!$B$2*M977+Lookups!$B$3*L977</f>
        <v>0</v>
      </c>
      <c r="Q977" s="2" t="str">
        <f aca="false">INDEX(Lookups!$E$2:$E$5,MATCH(P977,Lookups!$D$2:$D$5,0))</f>
        <v>Low</v>
      </c>
    </row>
    <row r="978" customFormat="false" ht="15" hidden="false" customHeight="false" outlineLevel="0" collapsed="false">
      <c r="A978" s="3" t="n">
        <v>977</v>
      </c>
      <c r="B978" s="3" t="n">
        <f aca="false">Raw_Data!A978</f>
        <v>36</v>
      </c>
      <c r="C978" s="3" t="str">
        <f aca="false">SUBSTITUTE(Raw_Data!B978,".","")</f>
        <v>services</v>
      </c>
      <c r="D978" s="3" t="str">
        <f aca="false">Raw_Data!C978</f>
        <v>divorced</v>
      </c>
      <c r="E978" s="3" t="str">
        <f aca="false">Raw_Data!D978</f>
        <v>secondary</v>
      </c>
      <c r="F978" s="3" t="str">
        <f aca="false">Raw_Data!E978</f>
        <v>no</v>
      </c>
      <c r="G978" s="3" t="n">
        <f aca="false">Raw_Data!F978</f>
        <v>1594</v>
      </c>
      <c r="H978" s="3" t="str">
        <f aca="false">Raw_Data!G978</f>
        <v>no</v>
      </c>
      <c r="I978" s="3" t="str">
        <f aca="false">Raw_Data!H978</f>
        <v>no</v>
      </c>
      <c r="J978" s="2" t="n">
        <f aca="false">IF(F978="yes",1,0)</f>
        <v>0</v>
      </c>
      <c r="K978" s="2" t="n">
        <f aca="false">IF(H978="yes",1,0)</f>
        <v>0</v>
      </c>
      <c r="L978" s="2" t="n">
        <f aca="false">IF(I978="yes",1,0)</f>
        <v>0</v>
      </c>
      <c r="M978" s="2" t="n">
        <f aca="false">IF(G978&lt;0,1,0)</f>
        <v>0</v>
      </c>
      <c r="N978" s="2" t="str">
        <f aca="false">_xlfn.IFS(B978&lt;30,"Under 30",B978&lt;40,"30-39",B978&lt;50,"40-49",B978&lt;60,"50-59",TRUE(),"60+")</f>
        <v>30-39</v>
      </c>
      <c r="O978" s="2" t="str">
        <f aca="false">_xlfn.IFS(G978&lt;0,"1 Negative",G978=0,"2 Zero",G978&lt;=500,"3 1-500",G978&lt;=2000,"4 501-2000",TRUE(),"5 Above 2000")</f>
        <v>4 501-2000</v>
      </c>
      <c r="P978" s="2" t="n">
        <f aca="false">Lookups!$B$2*M978+Lookups!$B$3*L978</f>
        <v>0</v>
      </c>
      <c r="Q978" s="2" t="str">
        <f aca="false">INDEX(Lookups!$E$2:$E$5,MATCH(P978,Lookups!$D$2:$D$5,0))</f>
        <v>Low</v>
      </c>
    </row>
    <row r="979" customFormat="false" ht="15" hidden="false" customHeight="false" outlineLevel="0" collapsed="false">
      <c r="A979" s="3" t="n">
        <v>978</v>
      </c>
      <c r="B979" s="3" t="n">
        <f aca="false">Raw_Data!A979</f>
        <v>44</v>
      </c>
      <c r="C979" s="3" t="str">
        <f aca="false">SUBSTITUTE(Raw_Data!B979,".","")</f>
        <v>self-employed</v>
      </c>
      <c r="D979" s="3" t="str">
        <f aca="false">Raw_Data!C979</f>
        <v>married</v>
      </c>
      <c r="E979" s="3" t="str">
        <f aca="false">Raw_Data!D979</f>
        <v>tertiary</v>
      </c>
      <c r="F979" s="3" t="str">
        <f aca="false">Raw_Data!E979</f>
        <v>no</v>
      </c>
      <c r="G979" s="3" t="n">
        <f aca="false">Raw_Data!F979</f>
        <v>134</v>
      </c>
      <c r="H979" s="3" t="str">
        <f aca="false">Raw_Data!G979</f>
        <v>no</v>
      </c>
      <c r="I979" s="3" t="str">
        <f aca="false">Raw_Data!H979</f>
        <v>no</v>
      </c>
      <c r="J979" s="2" t="n">
        <f aca="false">IF(F979="yes",1,0)</f>
        <v>0</v>
      </c>
      <c r="K979" s="2" t="n">
        <f aca="false">IF(H979="yes",1,0)</f>
        <v>0</v>
      </c>
      <c r="L979" s="2" t="n">
        <f aca="false">IF(I979="yes",1,0)</f>
        <v>0</v>
      </c>
      <c r="M979" s="2" t="n">
        <f aca="false">IF(G979&lt;0,1,0)</f>
        <v>0</v>
      </c>
      <c r="N979" s="2" t="str">
        <f aca="false">_xlfn.IFS(B979&lt;30,"Under 30",B979&lt;40,"30-39",B979&lt;50,"40-49",B979&lt;60,"50-59",TRUE(),"60+")</f>
        <v>40-49</v>
      </c>
      <c r="O979" s="2" t="str">
        <f aca="false">_xlfn.IFS(G979&lt;0,"1 Negative",G979=0,"2 Zero",G979&lt;=500,"3 1-500",G979&lt;=2000,"4 501-2000",TRUE(),"5 Above 2000")</f>
        <v>3 1-500</v>
      </c>
      <c r="P979" s="2" t="n">
        <f aca="false">Lookups!$B$2*M979+Lookups!$B$3*L979</f>
        <v>0</v>
      </c>
      <c r="Q979" s="2" t="str">
        <f aca="false">INDEX(Lookups!$E$2:$E$5,MATCH(P979,Lookups!$D$2:$D$5,0))</f>
        <v>Low</v>
      </c>
    </row>
    <row r="980" customFormat="false" ht="15" hidden="false" customHeight="false" outlineLevel="0" collapsed="false">
      <c r="A980" s="3" t="n">
        <v>979</v>
      </c>
      <c r="B980" s="3" t="n">
        <f aca="false">Raw_Data!A980</f>
        <v>34</v>
      </c>
      <c r="C980" s="3" t="str">
        <f aca="false">SUBSTITUTE(Raw_Data!B980,".","")</f>
        <v>entrepreneur</v>
      </c>
      <c r="D980" s="3" t="str">
        <f aca="false">Raw_Data!C980</f>
        <v>divorced</v>
      </c>
      <c r="E980" s="3" t="str">
        <f aca="false">Raw_Data!D980</f>
        <v>tertiary</v>
      </c>
      <c r="F980" s="3" t="str">
        <f aca="false">Raw_Data!E980</f>
        <v>no</v>
      </c>
      <c r="G980" s="3" t="n">
        <f aca="false">Raw_Data!F980</f>
        <v>262</v>
      </c>
      <c r="H980" s="3" t="str">
        <f aca="false">Raw_Data!G980</f>
        <v>no</v>
      </c>
      <c r="I980" s="3" t="str">
        <f aca="false">Raw_Data!H980</f>
        <v>no</v>
      </c>
      <c r="J980" s="2" t="n">
        <f aca="false">IF(F980="yes",1,0)</f>
        <v>0</v>
      </c>
      <c r="K980" s="2" t="n">
        <f aca="false">IF(H980="yes",1,0)</f>
        <v>0</v>
      </c>
      <c r="L980" s="2" t="n">
        <f aca="false">IF(I980="yes",1,0)</f>
        <v>0</v>
      </c>
      <c r="M980" s="2" t="n">
        <f aca="false">IF(G980&lt;0,1,0)</f>
        <v>0</v>
      </c>
      <c r="N980" s="2" t="str">
        <f aca="false">_xlfn.IFS(B980&lt;30,"Under 30",B980&lt;40,"30-39",B980&lt;50,"40-49",B980&lt;60,"50-59",TRUE(),"60+")</f>
        <v>30-39</v>
      </c>
      <c r="O980" s="2" t="str">
        <f aca="false">_xlfn.IFS(G980&lt;0,"1 Negative",G980=0,"2 Zero",G980&lt;=500,"3 1-500",G980&lt;=2000,"4 501-2000",TRUE(),"5 Above 2000")</f>
        <v>3 1-500</v>
      </c>
      <c r="P980" s="2" t="n">
        <f aca="false">Lookups!$B$2*M980+Lookups!$B$3*L980</f>
        <v>0</v>
      </c>
      <c r="Q980" s="2" t="str">
        <f aca="false">INDEX(Lookups!$E$2:$E$5,MATCH(P980,Lookups!$D$2:$D$5,0))</f>
        <v>Low</v>
      </c>
    </row>
    <row r="981" customFormat="false" ht="15" hidden="false" customHeight="false" outlineLevel="0" collapsed="false">
      <c r="A981" s="3" t="n">
        <v>980</v>
      </c>
      <c r="B981" s="3" t="n">
        <f aca="false">Raw_Data!A981</f>
        <v>56</v>
      </c>
      <c r="C981" s="3" t="str">
        <f aca="false">SUBSTITUTE(Raw_Data!B981,".","")</f>
        <v>blue-collar</v>
      </c>
      <c r="D981" s="3" t="str">
        <f aca="false">Raw_Data!C981</f>
        <v>divorced</v>
      </c>
      <c r="E981" s="3" t="str">
        <f aca="false">Raw_Data!D981</f>
        <v>primary</v>
      </c>
      <c r="F981" s="3" t="str">
        <f aca="false">Raw_Data!E981</f>
        <v>no</v>
      </c>
      <c r="G981" s="3" t="n">
        <f aca="false">Raw_Data!F981</f>
        <v>3021</v>
      </c>
      <c r="H981" s="3" t="str">
        <f aca="false">Raw_Data!G981</f>
        <v>no</v>
      </c>
      <c r="I981" s="3" t="str">
        <f aca="false">Raw_Data!H981</f>
        <v>no</v>
      </c>
      <c r="J981" s="2" t="n">
        <f aca="false">IF(F981="yes",1,0)</f>
        <v>0</v>
      </c>
      <c r="K981" s="2" t="n">
        <f aca="false">IF(H981="yes",1,0)</f>
        <v>0</v>
      </c>
      <c r="L981" s="2" t="n">
        <f aca="false">IF(I981="yes",1,0)</f>
        <v>0</v>
      </c>
      <c r="M981" s="2" t="n">
        <f aca="false">IF(G981&lt;0,1,0)</f>
        <v>0</v>
      </c>
      <c r="N981" s="2" t="str">
        <f aca="false">_xlfn.IFS(B981&lt;30,"Under 30",B981&lt;40,"30-39",B981&lt;50,"40-49",B981&lt;60,"50-59",TRUE(),"60+")</f>
        <v>50-59</v>
      </c>
      <c r="O981" s="2" t="str">
        <f aca="false">_xlfn.IFS(G981&lt;0,"1 Negative",G981=0,"2 Zero",G981&lt;=500,"3 1-500",G981&lt;=2000,"4 501-2000",TRUE(),"5 Above 2000")</f>
        <v>5 Above 2000</v>
      </c>
      <c r="P981" s="2" t="n">
        <f aca="false">Lookups!$B$2*M981+Lookups!$B$3*L981</f>
        <v>0</v>
      </c>
      <c r="Q981" s="2" t="str">
        <f aca="false">INDEX(Lookups!$E$2:$E$5,MATCH(P981,Lookups!$D$2:$D$5,0))</f>
        <v>Low</v>
      </c>
    </row>
    <row r="982" customFormat="false" ht="15" hidden="false" customHeight="false" outlineLevel="0" collapsed="false">
      <c r="A982" s="3" t="n">
        <v>981</v>
      </c>
      <c r="B982" s="3" t="n">
        <f aca="false">Raw_Data!A982</f>
        <v>43</v>
      </c>
      <c r="C982" s="3" t="str">
        <f aca="false">SUBSTITUTE(Raw_Data!B982,".","")</f>
        <v>management</v>
      </c>
      <c r="D982" s="3" t="str">
        <f aca="false">Raw_Data!C982</f>
        <v>divorced</v>
      </c>
      <c r="E982" s="3" t="str">
        <f aca="false">Raw_Data!D982</f>
        <v>tertiary</v>
      </c>
      <c r="F982" s="3" t="str">
        <f aca="false">Raw_Data!E982</f>
        <v>no</v>
      </c>
      <c r="G982" s="3" t="n">
        <f aca="false">Raw_Data!F982</f>
        <v>388</v>
      </c>
      <c r="H982" s="3" t="str">
        <f aca="false">Raw_Data!G982</f>
        <v>yes</v>
      </c>
      <c r="I982" s="3" t="str">
        <f aca="false">Raw_Data!H982</f>
        <v>no</v>
      </c>
      <c r="J982" s="2" t="n">
        <f aca="false">IF(F982="yes",1,0)</f>
        <v>0</v>
      </c>
      <c r="K982" s="2" t="n">
        <f aca="false">IF(H982="yes",1,0)</f>
        <v>1</v>
      </c>
      <c r="L982" s="2" t="n">
        <f aca="false">IF(I982="yes",1,0)</f>
        <v>0</v>
      </c>
      <c r="M982" s="2" t="n">
        <f aca="false">IF(G982&lt;0,1,0)</f>
        <v>0</v>
      </c>
      <c r="N982" s="2" t="str">
        <f aca="false">_xlfn.IFS(B982&lt;30,"Under 30",B982&lt;40,"30-39",B982&lt;50,"40-49",B982&lt;60,"50-59",TRUE(),"60+")</f>
        <v>40-49</v>
      </c>
      <c r="O982" s="2" t="str">
        <f aca="false">_xlfn.IFS(G982&lt;0,"1 Negative",G982=0,"2 Zero",G982&lt;=500,"3 1-500",G982&lt;=2000,"4 501-2000",TRUE(),"5 Above 2000")</f>
        <v>3 1-500</v>
      </c>
      <c r="P982" s="2" t="n">
        <f aca="false">Lookups!$B$2*M982+Lookups!$B$3*L982</f>
        <v>0</v>
      </c>
      <c r="Q982" s="2" t="str">
        <f aca="false">INDEX(Lookups!$E$2:$E$5,MATCH(P982,Lookups!$D$2:$D$5,0))</f>
        <v>Low</v>
      </c>
    </row>
    <row r="983" customFormat="false" ht="15" hidden="false" customHeight="false" outlineLevel="0" collapsed="false">
      <c r="A983" s="3" t="n">
        <v>982</v>
      </c>
      <c r="B983" s="3" t="n">
        <f aca="false">Raw_Data!A983</f>
        <v>28</v>
      </c>
      <c r="C983" s="3" t="str">
        <f aca="false">SUBSTITUTE(Raw_Data!B983,".","")</f>
        <v>blue-collar</v>
      </c>
      <c r="D983" s="3" t="str">
        <f aca="false">Raw_Data!C983</f>
        <v>single</v>
      </c>
      <c r="E983" s="3" t="str">
        <f aca="false">Raw_Data!D983</f>
        <v>secondary</v>
      </c>
      <c r="F983" s="3" t="str">
        <f aca="false">Raw_Data!E983</f>
        <v>no</v>
      </c>
      <c r="G983" s="3" t="n">
        <f aca="false">Raw_Data!F983</f>
        <v>3412</v>
      </c>
      <c r="H983" s="3" t="str">
        <f aca="false">Raw_Data!G983</f>
        <v>yes</v>
      </c>
      <c r="I983" s="3" t="str">
        <f aca="false">Raw_Data!H983</f>
        <v>no</v>
      </c>
      <c r="J983" s="2" t="n">
        <f aca="false">IF(F983="yes",1,0)</f>
        <v>0</v>
      </c>
      <c r="K983" s="2" t="n">
        <f aca="false">IF(H983="yes",1,0)</f>
        <v>1</v>
      </c>
      <c r="L983" s="2" t="n">
        <f aca="false">IF(I983="yes",1,0)</f>
        <v>0</v>
      </c>
      <c r="M983" s="2" t="n">
        <f aca="false">IF(G983&lt;0,1,0)</f>
        <v>0</v>
      </c>
      <c r="N983" s="2" t="str">
        <f aca="false">_xlfn.IFS(B983&lt;30,"Under 30",B983&lt;40,"30-39",B983&lt;50,"40-49",B983&lt;60,"50-59",TRUE(),"60+")</f>
        <v>Under 30</v>
      </c>
      <c r="O983" s="2" t="str">
        <f aca="false">_xlfn.IFS(G983&lt;0,"1 Negative",G983=0,"2 Zero",G983&lt;=500,"3 1-500",G983&lt;=2000,"4 501-2000",TRUE(),"5 Above 2000")</f>
        <v>5 Above 2000</v>
      </c>
      <c r="P983" s="2" t="n">
        <f aca="false">Lookups!$B$2*M983+Lookups!$B$3*L983</f>
        <v>0</v>
      </c>
      <c r="Q983" s="2" t="str">
        <f aca="false">INDEX(Lookups!$E$2:$E$5,MATCH(P983,Lookups!$D$2:$D$5,0))</f>
        <v>Low</v>
      </c>
    </row>
    <row r="984" customFormat="false" ht="15" hidden="false" customHeight="false" outlineLevel="0" collapsed="false">
      <c r="A984" s="3" t="n">
        <v>983</v>
      </c>
      <c r="B984" s="3" t="n">
        <f aca="false">Raw_Data!A984</f>
        <v>54</v>
      </c>
      <c r="C984" s="3" t="str">
        <f aca="false">SUBSTITUTE(Raw_Data!B984,".","")</f>
        <v>blue-collar</v>
      </c>
      <c r="D984" s="3" t="str">
        <f aca="false">Raw_Data!C984</f>
        <v>married</v>
      </c>
      <c r="E984" s="3" t="str">
        <f aca="false">Raw_Data!D984</f>
        <v>secondary</v>
      </c>
      <c r="F984" s="3" t="str">
        <f aca="false">Raw_Data!E984</f>
        <v>no</v>
      </c>
      <c r="G984" s="3" t="n">
        <f aca="false">Raw_Data!F984</f>
        <v>1291</v>
      </c>
      <c r="H984" s="3" t="str">
        <f aca="false">Raw_Data!G984</f>
        <v>yes</v>
      </c>
      <c r="I984" s="3" t="str">
        <f aca="false">Raw_Data!H984</f>
        <v>no</v>
      </c>
      <c r="J984" s="2" t="n">
        <f aca="false">IF(F984="yes",1,0)</f>
        <v>0</v>
      </c>
      <c r="K984" s="2" t="n">
        <f aca="false">IF(H984="yes",1,0)</f>
        <v>1</v>
      </c>
      <c r="L984" s="2" t="n">
        <f aca="false">IF(I984="yes",1,0)</f>
        <v>0</v>
      </c>
      <c r="M984" s="2" t="n">
        <f aca="false">IF(G984&lt;0,1,0)</f>
        <v>0</v>
      </c>
      <c r="N984" s="2" t="str">
        <f aca="false">_xlfn.IFS(B984&lt;30,"Under 30",B984&lt;40,"30-39",B984&lt;50,"40-49",B984&lt;60,"50-59",TRUE(),"60+")</f>
        <v>50-59</v>
      </c>
      <c r="O984" s="2" t="str">
        <f aca="false">_xlfn.IFS(G984&lt;0,"1 Negative",G984=0,"2 Zero",G984&lt;=500,"3 1-500",G984&lt;=2000,"4 501-2000",TRUE(),"5 Above 2000")</f>
        <v>4 501-2000</v>
      </c>
      <c r="P984" s="2" t="n">
        <f aca="false">Lookups!$B$2*M984+Lookups!$B$3*L984</f>
        <v>0</v>
      </c>
      <c r="Q984" s="2" t="str">
        <f aca="false">INDEX(Lookups!$E$2:$E$5,MATCH(P984,Lookups!$D$2:$D$5,0))</f>
        <v>Low</v>
      </c>
    </row>
    <row r="985" customFormat="false" ht="15" hidden="false" customHeight="false" outlineLevel="0" collapsed="false">
      <c r="A985" s="3" t="n">
        <v>984</v>
      </c>
      <c r="B985" s="3" t="n">
        <f aca="false">Raw_Data!A985</f>
        <v>37</v>
      </c>
      <c r="C985" s="3" t="str">
        <f aca="false">SUBSTITUTE(Raw_Data!B985,".","")</f>
        <v>technician</v>
      </c>
      <c r="D985" s="3" t="str">
        <f aca="false">Raw_Data!C985</f>
        <v>divorced</v>
      </c>
      <c r="E985" s="3" t="str">
        <f aca="false">Raw_Data!D985</f>
        <v>secondary</v>
      </c>
      <c r="F985" s="3" t="str">
        <f aca="false">Raw_Data!E985</f>
        <v>no</v>
      </c>
      <c r="G985" s="3" t="n">
        <f aca="false">Raw_Data!F985</f>
        <v>79</v>
      </c>
      <c r="H985" s="3" t="str">
        <f aca="false">Raw_Data!G985</f>
        <v>no</v>
      </c>
      <c r="I985" s="3" t="str">
        <f aca="false">Raw_Data!H985</f>
        <v>no</v>
      </c>
      <c r="J985" s="2" t="n">
        <f aca="false">IF(F985="yes",1,0)</f>
        <v>0</v>
      </c>
      <c r="K985" s="2" t="n">
        <f aca="false">IF(H985="yes",1,0)</f>
        <v>0</v>
      </c>
      <c r="L985" s="2" t="n">
        <f aca="false">IF(I985="yes",1,0)</f>
        <v>0</v>
      </c>
      <c r="M985" s="2" t="n">
        <f aca="false">IF(G985&lt;0,1,0)</f>
        <v>0</v>
      </c>
      <c r="N985" s="2" t="str">
        <f aca="false">_xlfn.IFS(B985&lt;30,"Under 30",B985&lt;40,"30-39",B985&lt;50,"40-49",B985&lt;60,"50-59",TRUE(),"60+")</f>
        <v>30-39</v>
      </c>
      <c r="O985" s="2" t="str">
        <f aca="false">_xlfn.IFS(G985&lt;0,"1 Negative",G985=0,"2 Zero",G985&lt;=500,"3 1-500",G985&lt;=2000,"4 501-2000",TRUE(),"5 Above 2000")</f>
        <v>3 1-500</v>
      </c>
      <c r="P985" s="2" t="n">
        <f aca="false">Lookups!$B$2*M985+Lookups!$B$3*L985</f>
        <v>0</v>
      </c>
      <c r="Q985" s="2" t="str">
        <f aca="false">INDEX(Lookups!$E$2:$E$5,MATCH(P985,Lookups!$D$2:$D$5,0))</f>
        <v>Low</v>
      </c>
    </row>
    <row r="986" customFormat="false" ht="15" hidden="false" customHeight="false" outlineLevel="0" collapsed="false">
      <c r="A986" s="3" t="n">
        <v>985</v>
      </c>
      <c r="B986" s="3" t="n">
        <f aca="false">Raw_Data!A986</f>
        <v>59</v>
      </c>
      <c r="C986" s="3" t="str">
        <f aca="false">SUBSTITUTE(Raw_Data!B986,".","")</f>
        <v>self-employed</v>
      </c>
      <c r="D986" s="3" t="str">
        <f aca="false">Raw_Data!C986</f>
        <v>married</v>
      </c>
      <c r="E986" s="3" t="str">
        <f aca="false">Raw_Data!D986</f>
        <v>tertiary</v>
      </c>
      <c r="F986" s="3" t="str">
        <f aca="false">Raw_Data!E986</f>
        <v>no</v>
      </c>
      <c r="G986" s="3" t="n">
        <f aca="false">Raw_Data!F986</f>
        <v>2013</v>
      </c>
      <c r="H986" s="3" t="str">
        <f aca="false">Raw_Data!G986</f>
        <v>no</v>
      </c>
      <c r="I986" s="3" t="str">
        <f aca="false">Raw_Data!H986</f>
        <v>no</v>
      </c>
      <c r="J986" s="2" t="n">
        <f aca="false">IF(F986="yes",1,0)</f>
        <v>0</v>
      </c>
      <c r="K986" s="2" t="n">
        <f aca="false">IF(H986="yes",1,0)</f>
        <v>0</v>
      </c>
      <c r="L986" s="2" t="n">
        <f aca="false">IF(I986="yes",1,0)</f>
        <v>0</v>
      </c>
      <c r="M986" s="2" t="n">
        <f aca="false">IF(G986&lt;0,1,0)</f>
        <v>0</v>
      </c>
      <c r="N986" s="2" t="str">
        <f aca="false">_xlfn.IFS(B986&lt;30,"Under 30",B986&lt;40,"30-39",B986&lt;50,"40-49",B986&lt;60,"50-59",TRUE(),"60+")</f>
        <v>50-59</v>
      </c>
      <c r="O986" s="2" t="str">
        <f aca="false">_xlfn.IFS(G986&lt;0,"1 Negative",G986=0,"2 Zero",G986&lt;=500,"3 1-500",G986&lt;=2000,"4 501-2000",TRUE(),"5 Above 2000")</f>
        <v>5 Above 2000</v>
      </c>
      <c r="P986" s="2" t="n">
        <f aca="false">Lookups!$B$2*M986+Lookups!$B$3*L986</f>
        <v>0</v>
      </c>
      <c r="Q986" s="2" t="str">
        <f aca="false">INDEX(Lookups!$E$2:$E$5,MATCH(P986,Lookups!$D$2:$D$5,0))</f>
        <v>Low</v>
      </c>
    </row>
    <row r="987" customFormat="false" ht="15" hidden="false" customHeight="false" outlineLevel="0" collapsed="false">
      <c r="A987" s="3" t="n">
        <v>986</v>
      </c>
      <c r="B987" s="3" t="n">
        <f aca="false">Raw_Data!A987</f>
        <v>58</v>
      </c>
      <c r="C987" s="3" t="str">
        <f aca="false">SUBSTITUTE(Raw_Data!B987,".","")</f>
        <v>blue-collar</v>
      </c>
      <c r="D987" s="3" t="str">
        <f aca="false">Raw_Data!C987</f>
        <v>divorced</v>
      </c>
      <c r="E987" s="3" t="str">
        <f aca="false">Raw_Data!D987</f>
        <v>secondary</v>
      </c>
      <c r="F987" s="3" t="str">
        <f aca="false">Raw_Data!E987</f>
        <v>no</v>
      </c>
      <c r="G987" s="3" t="n">
        <f aca="false">Raw_Data!F987</f>
        <v>543</v>
      </c>
      <c r="H987" s="3" t="str">
        <f aca="false">Raw_Data!G987</f>
        <v>no</v>
      </c>
      <c r="I987" s="3" t="str">
        <f aca="false">Raw_Data!H987</f>
        <v>yes</v>
      </c>
      <c r="J987" s="2" t="n">
        <f aca="false">IF(F987="yes",1,0)</f>
        <v>0</v>
      </c>
      <c r="K987" s="2" t="n">
        <f aca="false">IF(H987="yes",1,0)</f>
        <v>0</v>
      </c>
      <c r="L987" s="2" t="n">
        <f aca="false">IF(I987="yes",1,0)</f>
        <v>1</v>
      </c>
      <c r="M987" s="2" t="n">
        <f aca="false">IF(G987&lt;0,1,0)</f>
        <v>0</v>
      </c>
      <c r="N987" s="2" t="str">
        <f aca="false">_xlfn.IFS(B987&lt;30,"Under 30",B987&lt;40,"30-39",B987&lt;50,"40-49",B987&lt;60,"50-59",TRUE(),"60+")</f>
        <v>50-59</v>
      </c>
      <c r="O987" s="2" t="str">
        <f aca="false">_xlfn.IFS(G987&lt;0,"1 Negative",G987=0,"2 Zero",G987&lt;=500,"3 1-500",G987&lt;=2000,"4 501-2000",TRUE(),"5 Above 2000")</f>
        <v>4 501-2000</v>
      </c>
      <c r="P987" s="2" t="n">
        <f aca="false">Lookups!$B$2*M987+Lookups!$B$3*L987</f>
        <v>1</v>
      </c>
      <c r="Q987" s="2" t="str">
        <f aca="false">INDEX(Lookups!$E$2:$E$5,MATCH(P987,Lookups!$D$2:$D$5,0))</f>
        <v>Medium</v>
      </c>
    </row>
    <row r="988" customFormat="false" ht="15" hidden="false" customHeight="false" outlineLevel="0" collapsed="false">
      <c r="A988" s="3" t="n">
        <v>987</v>
      </c>
      <c r="B988" s="3" t="n">
        <f aca="false">Raw_Data!A988</f>
        <v>56</v>
      </c>
      <c r="C988" s="3" t="str">
        <f aca="false">SUBSTITUTE(Raw_Data!B988,".","")</f>
        <v>management</v>
      </c>
      <c r="D988" s="3" t="str">
        <f aca="false">Raw_Data!C988</f>
        <v>divorced</v>
      </c>
      <c r="E988" s="3" t="str">
        <f aca="false">Raw_Data!D988</f>
        <v>tertiary</v>
      </c>
      <c r="F988" s="3" t="str">
        <f aca="false">Raw_Data!E988</f>
        <v>no</v>
      </c>
      <c r="G988" s="3" t="n">
        <f aca="false">Raw_Data!F988</f>
        <v>1016</v>
      </c>
      <c r="H988" s="3" t="str">
        <f aca="false">Raw_Data!G988</f>
        <v>yes</v>
      </c>
      <c r="I988" s="3" t="str">
        <f aca="false">Raw_Data!H988</f>
        <v>no</v>
      </c>
      <c r="J988" s="2" t="n">
        <f aca="false">IF(F988="yes",1,0)</f>
        <v>0</v>
      </c>
      <c r="K988" s="2" t="n">
        <f aca="false">IF(H988="yes",1,0)</f>
        <v>1</v>
      </c>
      <c r="L988" s="2" t="n">
        <f aca="false">IF(I988="yes",1,0)</f>
        <v>0</v>
      </c>
      <c r="M988" s="2" t="n">
        <f aca="false">IF(G988&lt;0,1,0)</f>
        <v>0</v>
      </c>
      <c r="N988" s="2" t="str">
        <f aca="false">_xlfn.IFS(B988&lt;30,"Under 30",B988&lt;40,"30-39",B988&lt;50,"40-49",B988&lt;60,"50-59",TRUE(),"60+")</f>
        <v>50-59</v>
      </c>
      <c r="O988" s="2" t="str">
        <f aca="false">_xlfn.IFS(G988&lt;0,"1 Negative",G988=0,"2 Zero",G988&lt;=500,"3 1-500",G988&lt;=2000,"4 501-2000",TRUE(),"5 Above 2000")</f>
        <v>4 501-2000</v>
      </c>
      <c r="P988" s="2" t="n">
        <f aca="false">Lookups!$B$2*M988+Lookups!$B$3*L988</f>
        <v>0</v>
      </c>
      <c r="Q988" s="2" t="str">
        <f aca="false">INDEX(Lookups!$E$2:$E$5,MATCH(P988,Lookups!$D$2:$D$5,0))</f>
        <v>Low</v>
      </c>
    </row>
    <row r="989" customFormat="false" ht="15" hidden="false" customHeight="false" outlineLevel="0" collapsed="false">
      <c r="A989" s="3" t="n">
        <v>988</v>
      </c>
      <c r="B989" s="3" t="n">
        <f aca="false">Raw_Data!A989</f>
        <v>32</v>
      </c>
      <c r="C989" s="3" t="str">
        <f aca="false">SUBSTITUTE(Raw_Data!B989,".","")</f>
        <v>blue-collar</v>
      </c>
      <c r="D989" s="3" t="str">
        <f aca="false">Raw_Data!C989</f>
        <v>single</v>
      </c>
      <c r="E989" s="3" t="str">
        <f aca="false">Raw_Data!D989</f>
        <v>secondary</v>
      </c>
      <c r="F989" s="3" t="str">
        <f aca="false">Raw_Data!E989</f>
        <v>no</v>
      </c>
      <c r="G989" s="3" t="n">
        <f aca="false">Raw_Data!F989</f>
        <v>604</v>
      </c>
      <c r="H989" s="3" t="str">
        <f aca="false">Raw_Data!G989</f>
        <v>no</v>
      </c>
      <c r="I989" s="3" t="str">
        <f aca="false">Raw_Data!H989</f>
        <v>yes</v>
      </c>
      <c r="J989" s="2" t="n">
        <f aca="false">IF(F989="yes",1,0)</f>
        <v>0</v>
      </c>
      <c r="K989" s="2" t="n">
        <f aca="false">IF(H989="yes",1,0)</f>
        <v>0</v>
      </c>
      <c r="L989" s="2" t="n">
        <f aca="false">IF(I989="yes",1,0)</f>
        <v>1</v>
      </c>
      <c r="M989" s="2" t="n">
        <f aca="false">IF(G989&lt;0,1,0)</f>
        <v>0</v>
      </c>
      <c r="N989" s="2" t="str">
        <f aca="false">_xlfn.IFS(B989&lt;30,"Under 30",B989&lt;40,"30-39",B989&lt;50,"40-49",B989&lt;60,"50-59",TRUE(),"60+")</f>
        <v>30-39</v>
      </c>
      <c r="O989" s="2" t="str">
        <f aca="false">_xlfn.IFS(G989&lt;0,"1 Negative",G989=0,"2 Zero",G989&lt;=500,"3 1-500",G989&lt;=2000,"4 501-2000",TRUE(),"5 Above 2000")</f>
        <v>4 501-2000</v>
      </c>
      <c r="P989" s="2" t="n">
        <f aca="false">Lookups!$B$2*M989+Lookups!$B$3*L989</f>
        <v>1</v>
      </c>
      <c r="Q989" s="2" t="str">
        <f aca="false">INDEX(Lookups!$E$2:$E$5,MATCH(P989,Lookups!$D$2:$D$5,0))</f>
        <v>Medium</v>
      </c>
    </row>
    <row r="990" customFormat="false" ht="15" hidden="false" customHeight="false" outlineLevel="0" collapsed="false">
      <c r="A990" s="3" t="n">
        <v>989</v>
      </c>
      <c r="B990" s="3" t="n">
        <f aca="false">Raw_Data!A990</f>
        <v>42</v>
      </c>
      <c r="C990" s="3" t="str">
        <f aca="false">SUBSTITUTE(Raw_Data!B990,".","")</f>
        <v>management</v>
      </c>
      <c r="D990" s="3" t="str">
        <f aca="false">Raw_Data!C990</f>
        <v>single</v>
      </c>
      <c r="E990" s="3" t="str">
        <f aca="false">Raw_Data!D990</f>
        <v>tertiary</v>
      </c>
      <c r="F990" s="3" t="str">
        <f aca="false">Raw_Data!E990</f>
        <v>no</v>
      </c>
      <c r="G990" s="3" t="n">
        <f aca="false">Raw_Data!F990</f>
        <v>525</v>
      </c>
      <c r="H990" s="3" t="str">
        <f aca="false">Raw_Data!G990</f>
        <v>no</v>
      </c>
      <c r="I990" s="3" t="str">
        <f aca="false">Raw_Data!H990</f>
        <v>no</v>
      </c>
      <c r="J990" s="2" t="n">
        <f aca="false">IF(F990="yes",1,0)</f>
        <v>0</v>
      </c>
      <c r="K990" s="2" t="n">
        <f aca="false">IF(H990="yes",1,0)</f>
        <v>0</v>
      </c>
      <c r="L990" s="2" t="n">
        <f aca="false">IF(I990="yes",1,0)</f>
        <v>0</v>
      </c>
      <c r="M990" s="2" t="n">
        <f aca="false">IF(G990&lt;0,1,0)</f>
        <v>0</v>
      </c>
      <c r="N990" s="2" t="str">
        <f aca="false">_xlfn.IFS(B990&lt;30,"Under 30",B990&lt;40,"30-39",B990&lt;50,"40-49",B990&lt;60,"50-59",TRUE(),"60+")</f>
        <v>40-49</v>
      </c>
      <c r="O990" s="2" t="str">
        <f aca="false">_xlfn.IFS(G990&lt;0,"1 Negative",G990=0,"2 Zero",G990&lt;=500,"3 1-500",G990&lt;=2000,"4 501-2000",TRUE(),"5 Above 2000")</f>
        <v>4 501-2000</v>
      </c>
      <c r="P990" s="2" t="n">
        <f aca="false">Lookups!$B$2*M990+Lookups!$B$3*L990</f>
        <v>0</v>
      </c>
      <c r="Q990" s="2" t="str">
        <f aca="false">INDEX(Lookups!$E$2:$E$5,MATCH(P990,Lookups!$D$2:$D$5,0))</f>
        <v>Low</v>
      </c>
    </row>
    <row r="991" customFormat="false" ht="15" hidden="false" customHeight="false" outlineLevel="0" collapsed="false">
      <c r="A991" s="3" t="n">
        <v>990</v>
      </c>
      <c r="B991" s="3" t="n">
        <f aca="false">Raw_Data!A991</f>
        <v>52</v>
      </c>
      <c r="C991" s="3" t="str">
        <f aca="false">SUBSTITUTE(Raw_Data!B991,".","")</f>
        <v>retired</v>
      </c>
      <c r="D991" s="3" t="str">
        <f aca="false">Raw_Data!C991</f>
        <v>divorced</v>
      </c>
      <c r="E991" s="3" t="str">
        <f aca="false">Raw_Data!D991</f>
        <v>primary</v>
      </c>
      <c r="F991" s="3" t="str">
        <f aca="false">Raw_Data!E991</f>
        <v>no</v>
      </c>
      <c r="G991" s="3" t="n">
        <f aca="false">Raw_Data!F991</f>
        <v>353</v>
      </c>
      <c r="H991" s="3" t="str">
        <f aca="false">Raw_Data!G991</f>
        <v>no</v>
      </c>
      <c r="I991" s="3" t="str">
        <f aca="false">Raw_Data!H991</f>
        <v>no</v>
      </c>
      <c r="J991" s="2" t="n">
        <f aca="false">IF(F991="yes",1,0)</f>
        <v>0</v>
      </c>
      <c r="K991" s="2" t="n">
        <f aca="false">IF(H991="yes",1,0)</f>
        <v>0</v>
      </c>
      <c r="L991" s="2" t="n">
        <f aca="false">IF(I991="yes",1,0)</f>
        <v>0</v>
      </c>
      <c r="M991" s="2" t="n">
        <f aca="false">IF(G991&lt;0,1,0)</f>
        <v>0</v>
      </c>
      <c r="N991" s="2" t="str">
        <f aca="false">_xlfn.IFS(B991&lt;30,"Under 30",B991&lt;40,"30-39",B991&lt;50,"40-49",B991&lt;60,"50-59",TRUE(),"60+")</f>
        <v>50-59</v>
      </c>
      <c r="O991" s="2" t="str">
        <f aca="false">_xlfn.IFS(G991&lt;0,"1 Negative",G991=0,"2 Zero",G991&lt;=500,"3 1-500",G991&lt;=2000,"4 501-2000",TRUE(),"5 Above 2000")</f>
        <v>3 1-500</v>
      </c>
      <c r="P991" s="2" t="n">
        <f aca="false">Lookups!$B$2*M991+Lookups!$B$3*L991</f>
        <v>0</v>
      </c>
      <c r="Q991" s="2" t="str">
        <f aca="false">INDEX(Lookups!$E$2:$E$5,MATCH(P991,Lookups!$D$2:$D$5,0))</f>
        <v>Low</v>
      </c>
    </row>
    <row r="992" customFormat="false" ht="15" hidden="false" customHeight="false" outlineLevel="0" collapsed="false">
      <c r="A992" s="3" t="n">
        <v>991</v>
      </c>
      <c r="B992" s="3" t="n">
        <f aca="false">Raw_Data!A992</f>
        <v>46</v>
      </c>
      <c r="C992" s="3" t="str">
        <f aca="false">SUBSTITUTE(Raw_Data!B992,".","")</f>
        <v>management</v>
      </c>
      <c r="D992" s="3" t="str">
        <f aca="false">Raw_Data!C992</f>
        <v>married</v>
      </c>
      <c r="E992" s="3" t="str">
        <f aca="false">Raw_Data!D992</f>
        <v>tertiary</v>
      </c>
      <c r="F992" s="3" t="str">
        <f aca="false">Raw_Data!E992</f>
        <v>no</v>
      </c>
      <c r="G992" s="3" t="n">
        <f aca="false">Raw_Data!F992</f>
        <v>964</v>
      </c>
      <c r="H992" s="3" t="str">
        <f aca="false">Raw_Data!G992</f>
        <v>yes</v>
      </c>
      <c r="I992" s="3" t="str">
        <f aca="false">Raw_Data!H992</f>
        <v>no</v>
      </c>
      <c r="J992" s="2" t="n">
        <f aca="false">IF(F992="yes",1,0)</f>
        <v>0</v>
      </c>
      <c r="K992" s="2" t="n">
        <f aca="false">IF(H992="yes",1,0)</f>
        <v>1</v>
      </c>
      <c r="L992" s="2" t="n">
        <f aca="false">IF(I992="yes",1,0)</f>
        <v>0</v>
      </c>
      <c r="M992" s="2" t="n">
        <f aca="false">IF(G992&lt;0,1,0)</f>
        <v>0</v>
      </c>
      <c r="N992" s="2" t="str">
        <f aca="false">_xlfn.IFS(B992&lt;30,"Under 30",B992&lt;40,"30-39",B992&lt;50,"40-49",B992&lt;60,"50-59",TRUE(),"60+")</f>
        <v>40-49</v>
      </c>
      <c r="O992" s="2" t="str">
        <f aca="false">_xlfn.IFS(G992&lt;0,"1 Negative",G992=0,"2 Zero",G992&lt;=500,"3 1-500",G992&lt;=2000,"4 501-2000",TRUE(),"5 Above 2000")</f>
        <v>4 501-2000</v>
      </c>
      <c r="P992" s="2" t="n">
        <f aca="false">Lookups!$B$2*M992+Lookups!$B$3*L992</f>
        <v>0</v>
      </c>
      <c r="Q992" s="2" t="str">
        <f aca="false">INDEX(Lookups!$E$2:$E$5,MATCH(P992,Lookups!$D$2:$D$5,0))</f>
        <v>Low</v>
      </c>
    </row>
    <row r="993" customFormat="false" ht="15" hidden="false" customHeight="false" outlineLevel="0" collapsed="false">
      <c r="A993" s="3" t="n">
        <v>992</v>
      </c>
      <c r="B993" s="3" t="n">
        <f aca="false">Raw_Data!A993</f>
        <v>37</v>
      </c>
      <c r="C993" s="3" t="str">
        <f aca="false">SUBSTITUTE(Raw_Data!B993,".","")</f>
        <v>admin</v>
      </c>
      <c r="D993" s="3" t="str">
        <f aca="false">Raw_Data!C993</f>
        <v>married</v>
      </c>
      <c r="E993" s="3" t="str">
        <f aca="false">Raw_Data!D993</f>
        <v>tertiary</v>
      </c>
      <c r="F993" s="3" t="str">
        <f aca="false">Raw_Data!E993</f>
        <v>no</v>
      </c>
      <c r="G993" s="3" t="n">
        <f aca="false">Raw_Data!F993</f>
        <v>3913</v>
      </c>
      <c r="H993" s="3" t="str">
        <f aca="false">Raw_Data!G993</f>
        <v>yes</v>
      </c>
      <c r="I993" s="3" t="str">
        <f aca="false">Raw_Data!H993</f>
        <v>no</v>
      </c>
      <c r="J993" s="2" t="n">
        <f aca="false">IF(F993="yes",1,0)</f>
        <v>0</v>
      </c>
      <c r="K993" s="2" t="n">
        <f aca="false">IF(H993="yes",1,0)</f>
        <v>1</v>
      </c>
      <c r="L993" s="2" t="n">
        <f aca="false">IF(I993="yes",1,0)</f>
        <v>0</v>
      </c>
      <c r="M993" s="2" t="n">
        <f aca="false">IF(G993&lt;0,1,0)</f>
        <v>0</v>
      </c>
      <c r="N993" s="2" t="str">
        <f aca="false">_xlfn.IFS(B993&lt;30,"Under 30",B993&lt;40,"30-39",B993&lt;50,"40-49",B993&lt;60,"50-59",TRUE(),"60+")</f>
        <v>30-39</v>
      </c>
      <c r="O993" s="2" t="str">
        <f aca="false">_xlfn.IFS(G993&lt;0,"1 Negative",G993=0,"2 Zero",G993&lt;=500,"3 1-500",G993&lt;=2000,"4 501-2000",TRUE(),"5 Above 2000")</f>
        <v>5 Above 2000</v>
      </c>
      <c r="P993" s="2" t="n">
        <f aca="false">Lookups!$B$2*M993+Lookups!$B$3*L993</f>
        <v>0</v>
      </c>
      <c r="Q993" s="2" t="str">
        <f aca="false">INDEX(Lookups!$E$2:$E$5,MATCH(P993,Lookups!$D$2:$D$5,0))</f>
        <v>Low</v>
      </c>
    </row>
    <row r="994" customFormat="false" ht="15" hidden="false" customHeight="false" outlineLevel="0" collapsed="false">
      <c r="A994" s="3" t="n">
        <v>993</v>
      </c>
      <c r="B994" s="3" t="n">
        <f aca="false">Raw_Data!A994</f>
        <v>39</v>
      </c>
      <c r="C994" s="3" t="str">
        <f aca="false">SUBSTITUTE(Raw_Data!B994,".","")</f>
        <v>blue-collar</v>
      </c>
      <c r="D994" s="3" t="str">
        <f aca="false">Raw_Data!C994</f>
        <v>married</v>
      </c>
      <c r="E994" s="3" t="str">
        <f aca="false">Raw_Data!D994</f>
        <v>primary</v>
      </c>
      <c r="F994" s="3" t="str">
        <f aca="false">Raw_Data!E994</f>
        <v>no</v>
      </c>
      <c r="G994" s="3" t="n">
        <f aca="false">Raw_Data!F994</f>
        <v>879</v>
      </c>
      <c r="H994" s="3" t="str">
        <f aca="false">Raw_Data!G994</f>
        <v>yes</v>
      </c>
      <c r="I994" s="3" t="str">
        <f aca="false">Raw_Data!H994</f>
        <v>no</v>
      </c>
      <c r="J994" s="2" t="n">
        <f aca="false">IF(F994="yes",1,0)</f>
        <v>0</v>
      </c>
      <c r="K994" s="2" t="n">
        <f aca="false">IF(H994="yes",1,0)</f>
        <v>1</v>
      </c>
      <c r="L994" s="2" t="n">
        <f aca="false">IF(I994="yes",1,0)</f>
        <v>0</v>
      </c>
      <c r="M994" s="2" t="n">
        <f aca="false">IF(G994&lt;0,1,0)</f>
        <v>0</v>
      </c>
      <c r="N994" s="2" t="str">
        <f aca="false">_xlfn.IFS(B994&lt;30,"Under 30",B994&lt;40,"30-39",B994&lt;50,"40-49",B994&lt;60,"50-59",TRUE(),"60+")</f>
        <v>30-39</v>
      </c>
      <c r="O994" s="2" t="str">
        <f aca="false">_xlfn.IFS(G994&lt;0,"1 Negative",G994=0,"2 Zero",G994&lt;=500,"3 1-500",G994&lt;=2000,"4 501-2000",TRUE(),"5 Above 2000")</f>
        <v>4 501-2000</v>
      </c>
      <c r="P994" s="2" t="n">
        <f aca="false">Lookups!$B$2*M994+Lookups!$B$3*L994</f>
        <v>0</v>
      </c>
      <c r="Q994" s="2" t="str">
        <f aca="false">INDEX(Lookups!$E$2:$E$5,MATCH(P994,Lookups!$D$2:$D$5,0))</f>
        <v>Low</v>
      </c>
    </row>
    <row r="995" customFormat="false" ht="15" hidden="false" customHeight="false" outlineLevel="0" collapsed="false">
      <c r="A995" s="3" t="n">
        <v>994</v>
      </c>
      <c r="B995" s="3" t="n">
        <f aca="false">Raw_Data!A995</f>
        <v>31</v>
      </c>
      <c r="C995" s="3" t="str">
        <f aca="false">SUBSTITUTE(Raw_Data!B995,".","")</f>
        <v>admin</v>
      </c>
      <c r="D995" s="3" t="str">
        <f aca="false">Raw_Data!C995</f>
        <v>married</v>
      </c>
      <c r="E995" s="3" t="str">
        <f aca="false">Raw_Data!D995</f>
        <v>secondary</v>
      </c>
      <c r="F995" s="3" t="str">
        <f aca="false">Raw_Data!E995</f>
        <v>no</v>
      </c>
      <c r="G995" s="3" t="n">
        <f aca="false">Raw_Data!F995</f>
        <v>314</v>
      </c>
      <c r="H995" s="3" t="str">
        <f aca="false">Raw_Data!G995</f>
        <v>yes</v>
      </c>
      <c r="I995" s="3" t="str">
        <f aca="false">Raw_Data!H995</f>
        <v>no</v>
      </c>
      <c r="J995" s="2" t="n">
        <f aca="false">IF(F995="yes",1,0)</f>
        <v>0</v>
      </c>
      <c r="K995" s="2" t="n">
        <f aca="false">IF(H995="yes",1,0)</f>
        <v>1</v>
      </c>
      <c r="L995" s="2" t="n">
        <f aca="false">IF(I995="yes",1,0)</f>
        <v>0</v>
      </c>
      <c r="M995" s="2" t="n">
        <f aca="false">IF(G995&lt;0,1,0)</f>
        <v>0</v>
      </c>
      <c r="N995" s="2" t="str">
        <f aca="false">_xlfn.IFS(B995&lt;30,"Under 30",B995&lt;40,"30-39",B995&lt;50,"40-49",B995&lt;60,"50-59",TRUE(),"60+")</f>
        <v>30-39</v>
      </c>
      <c r="O995" s="2" t="str">
        <f aca="false">_xlfn.IFS(G995&lt;0,"1 Negative",G995=0,"2 Zero",G995&lt;=500,"3 1-500",G995&lt;=2000,"4 501-2000",TRUE(),"5 Above 2000")</f>
        <v>3 1-500</v>
      </c>
      <c r="P995" s="2" t="n">
        <f aca="false">Lookups!$B$2*M995+Lookups!$B$3*L995</f>
        <v>0</v>
      </c>
      <c r="Q995" s="2" t="str">
        <f aca="false">INDEX(Lookups!$E$2:$E$5,MATCH(P995,Lookups!$D$2:$D$5,0))</f>
        <v>Low</v>
      </c>
    </row>
    <row r="996" customFormat="false" ht="15" hidden="false" customHeight="false" outlineLevel="0" collapsed="false">
      <c r="A996" s="3" t="n">
        <v>995</v>
      </c>
      <c r="B996" s="3" t="n">
        <f aca="false">Raw_Data!A996</f>
        <v>59</v>
      </c>
      <c r="C996" s="3" t="str">
        <f aca="false">SUBSTITUTE(Raw_Data!B996,".","")</f>
        <v>housemaid</v>
      </c>
      <c r="D996" s="3" t="str">
        <f aca="false">Raw_Data!C996</f>
        <v>married</v>
      </c>
      <c r="E996" s="3" t="str">
        <f aca="false">Raw_Data!D996</f>
        <v>primary</v>
      </c>
      <c r="F996" s="3" t="str">
        <f aca="false">Raw_Data!E996</f>
        <v>no</v>
      </c>
      <c r="G996" s="3" t="n">
        <f aca="false">Raw_Data!F996</f>
        <v>0</v>
      </c>
      <c r="H996" s="3" t="str">
        <f aca="false">Raw_Data!G996</f>
        <v>no</v>
      </c>
      <c r="I996" s="3" t="str">
        <f aca="false">Raw_Data!H996</f>
        <v>no</v>
      </c>
      <c r="J996" s="2" t="n">
        <f aca="false">IF(F996="yes",1,0)</f>
        <v>0</v>
      </c>
      <c r="K996" s="2" t="n">
        <f aca="false">IF(H996="yes",1,0)</f>
        <v>0</v>
      </c>
      <c r="L996" s="2" t="n">
        <f aca="false">IF(I996="yes",1,0)</f>
        <v>0</v>
      </c>
      <c r="M996" s="2" t="n">
        <f aca="false">IF(G996&lt;0,1,0)</f>
        <v>0</v>
      </c>
      <c r="N996" s="2" t="str">
        <f aca="false">_xlfn.IFS(B996&lt;30,"Under 30",B996&lt;40,"30-39",B996&lt;50,"40-49",B996&lt;60,"50-59",TRUE(),"60+")</f>
        <v>50-59</v>
      </c>
      <c r="O996" s="2" t="str">
        <f aca="false">_xlfn.IFS(G996&lt;0,"1 Negative",G996=0,"2 Zero",G996&lt;=500,"3 1-500",G996&lt;=2000,"4 501-2000",TRUE(),"5 Above 2000")</f>
        <v>2 Zero</v>
      </c>
      <c r="P996" s="2" t="n">
        <f aca="false">Lookups!$B$2*M996+Lookups!$B$3*L996</f>
        <v>0</v>
      </c>
      <c r="Q996" s="2" t="str">
        <f aca="false">INDEX(Lookups!$E$2:$E$5,MATCH(P996,Lookups!$D$2:$D$5,0))</f>
        <v>Low</v>
      </c>
    </row>
    <row r="997" customFormat="false" ht="15" hidden="false" customHeight="false" outlineLevel="0" collapsed="false">
      <c r="A997" s="3" t="n">
        <v>996</v>
      </c>
      <c r="B997" s="3" t="n">
        <f aca="false">Raw_Data!A997</f>
        <v>38</v>
      </c>
      <c r="C997" s="3" t="str">
        <f aca="false">SUBSTITUTE(Raw_Data!B997,".","")</f>
        <v>blue-collar</v>
      </c>
      <c r="D997" s="3" t="str">
        <f aca="false">Raw_Data!C997</f>
        <v>married</v>
      </c>
      <c r="E997" s="3" t="str">
        <f aca="false">Raw_Data!D997</f>
        <v>secondary</v>
      </c>
      <c r="F997" s="3" t="str">
        <f aca="false">Raw_Data!E997</f>
        <v>no</v>
      </c>
      <c r="G997" s="3" t="n">
        <f aca="false">Raw_Data!F997</f>
        <v>1370</v>
      </c>
      <c r="H997" s="3" t="str">
        <f aca="false">Raw_Data!G997</f>
        <v>yes</v>
      </c>
      <c r="I997" s="3" t="str">
        <f aca="false">Raw_Data!H997</f>
        <v>no</v>
      </c>
      <c r="J997" s="2" t="n">
        <f aca="false">IF(F997="yes",1,0)</f>
        <v>0</v>
      </c>
      <c r="K997" s="2" t="n">
        <f aca="false">IF(H997="yes",1,0)</f>
        <v>1</v>
      </c>
      <c r="L997" s="2" t="n">
        <f aca="false">IF(I997="yes",1,0)</f>
        <v>0</v>
      </c>
      <c r="M997" s="2" t="n">
        <f aca="false">IF(G997&lt;0,1,0)</f>
        <v>0</v>
      </c>
      <c r="N997" s="2" t="str">
        <f aca="false">_xlfn.IFS(B997&lt;30,"Under 30",B997&lt;40,"30-39",B997&lt;50,"40-49",B997&lt;60,"50-59",TRUE(),"60+")</f>
        <v>30-39</v>
      </c>
      <c r="O997" s="2" t="str">
        <f aca="false">_xlfn.IFS(G997&lt;0,"1 Negative",G997=0,"2 Zero",G997&lt;=500,"3 1-500",G997&lt;=2000,"4 501-2000",TRUE(),"5 Above 2000")</f>
        <v>4 501-2000</v>
      </c>
      <c r="P997" s="2" t="n">
        <f aca="false">Lookups!$B$2*M997+Lookups!$B$3*L997</f>
        <v>0</v>
      </c>
      <c r="Q997" s="2" t="str">
        <f aca="false">INDEX(Lookups!$E$2:$E$5,MATCH(P997,Lookups!$D$2:$D$5,0))</f>
        <v>Low</v>
      </c>
    </row>
    <row r="998" customFormat="false" ht="15" hidden="false" customHeight="false" outlineLevel="0" collapsed="false">
      <c r="A998" s="3" t="n">
        <v>997</v>
      </c>
      <c r="B998" s="3" t="n">
        <f aca="false">Raw_Data!A998</f>
        <v>58</v>
      </c>
      <c r="C998" s="3" t="str">
        <f aca="false">SUBSTITUTE(Raw_Data!B998,".","")</f>
        <v>management</v>
      </c>
      <c r="D998" s="3" t="str">
        <f aca="false">Raw_Data!C998</f>
        <v>married</v>
      </c>
      <c r="E998" s="3" t="str">
        <f aca="false">Raw_Data!D998</f>
        <v>secondary</v>
      </c>
      <c r="F998" s="3" t="str">
        <f aca="false">Raw_Data!E998</f>
        <v>no</v>
      </c>
      <c r="G998" s="3" t="n">
        <f aca="false">Raw_Data!F998</f>
        <v>37</v>
      </c>
      <c r="H998" s="3" t="str">
        <f aca="false">Raw_Data!G998</f>
        <v>no</v>
      </c>
      <c r="I998" s="3" t="str">
        <f aca="false">Raw_Data!H998</f>
        <v>no</v>
      </c>
      <c r="J998" s="2" t="n">
        <f aca="false">IF(F998="yes",1,0)</f>
        <v>0</v>
      </c>
      <c r="K998" s="2" t="n">
        <f aca="false">IF(H998="yes",1,0)</f>
        <v>0</v>
      </c>
      <c r="L998" s="2" t="n">
        <f aca="false">IF(I998="yes",1,0)</f>
        <v>0</v>
      </c>
      <c r="M998" s="2" t="n">
        <f aca="false">IF(G998&lt;0,1,0)</f>
        <v>0</v>
      </c>
      <c r="N998" s="2" t="str">
        <f aca="false">_xlfn.IFS(B998&lt;30,"Under 30",B998&lt;40,"30-39",B998&lt;50,"40-49",B998&lt;60,"50-59",TRUE(),"60+")</f>
        <v>50-59</v>
      </c>
      <c r="O998" s="2" t="str">
        <f aca="false">_xlfn.IFS(G998&lt;0,"1 Negative",G998=0,"2 Zero",G998&lt;=500,"3 1-500",G998&lt;=2000,"4 501-2000",TRUE(),"5 Above 2000")</f>
        <v>3 1-500</v>
      </c>
      <c r="P998" s="2" t="n">
        <f aca="false">Lookups!$B$2*M998+Lookups!$B$3*L998</f>
        <v>0</v>
      </c>
      <c r="Q998" s="2" t="str">
        <f aca="false">INDEX(Lookups!$E$2:$E$5,MATCH(P998,Lookups!$D$2:$D$5,0))</f>
        <v>Low</v>
      </c>
    </row>
    <row r="999" customFormat="false" ht="15" hidden="false" customHeight="false" outlineLevel="0" collapsed="false">
      <c r="A999" s="3" t="n">
        <v>998</v>
      </c>
      <c r="B999" s="3" t="n">
        <f aca="false">Raw_Data!A999</f>
        <v>34</v>
      </c>
      <c r="C999" s="3" t="str">
        <f aca="false">SUBSTITUTE(Raw_Data!B999,".","")</f>
        <v>management</v>
      </c>
      <c r="D999" s="3" t="str">
        <f aca="false">Raw_Data!C999</f>
        <v>single</v>
      </c>
      <c r="E999" s="3" t="str">
        <f aca="false">Raw_Data!D999</f>
        <v>tertiary</v>
      </c>
      <c r="F999" s="3" t="str">
        <f aca="false">Raw_Data!E999</f>
        <v>no</v>
      </c>
      <c r="G999" s="3" t="n">
        <f aca="false">Raw_Data!F999</f>
        <v>673</v>
      </c>
      <c r="H999" s="3" t="str">
        <f aca="false">Raw_Data!G999</f>
        <v>yes</v>
      </c>
      <c r="I999" s="3" t="str">
        <f aca="false">Raw_Data!H999</f>
        <v>yes</v>
      </c>
      <c r="J999" s="2" t="n">
        <f aca="false">IF(F999="yes",1,0)</f>
        <v>0</v>
      </c>
      <c r="K999" s="2" t="n">
        <f aca="false">IF(H999="yes",1,0)</f>
        <v>1</v>
      </c>
      <c r="L999" s="2" t="n">
        <f aca="false">IF(I999="yes",1,0)</f>
        <v>1</v>
      </c>
      <c r="M999" s="2" t="n">
        <f aca="false">IF(G999&lt;0,1,0)</f>
        <v>0</v>
      </c>
      <c r="N999" s="2" t="str">
        <f aca="false">_xlfn.IFS(B999&lt;30,"Under 30",B999&lt;40,"30-39",B999&lt;50,"40-49",B999&lt;60,"50-59",TRUE(),"60+")</f>
        <v>30-39</v>
      </c>
      <c r="O999" s="2" t="str">
        <f aca="false">_xlfn.IFS(G999&lt;0,"1 Negative",G999=0,"2 Zero",G999&lt;=500,"3 1-500",G999&lt;=2000,"4 501-2000",TRUE(),"5 Above 2000")</f>
        <v>4 501-2000</v>
      </c>
      <c r="P999" s="2" t="n">
        <f aca="false">Lookups!$B$2*M999+Lookups!$B$3*L999</f>
        <v>1</v>
      </c>
      <c r="Q999" s="2" t="str">
        <f aca="false">INDEX(Lookups!$E$2:$E$5,MATCH(P999,Lookups!$D$2:$D$5,0))</f>
        <v>Medium</v>
      </c>
    </row>
    <row r="1000" customFormat="false" ht="15" hidden="false" customHeight="false" outlineLevel="0" collapsed="false">
      <c r="A1000" s="3" t="n">
        <v>999</v>
      </c>
      <c r="B1000" s="3" t="n">
        <f aca="false">Raw_Data!A1000</f>
        <v>40</v>
      </c>
      <c r="C1000" s="3" t="str">
        <f aca="false">SUBSTITUTE(Raw_Data!B1000,".","")</f>
        <v>services</v>
      </c>
      <c r="D1000" s="3" t="str">
        <f aca="false">Raw_Data!C1000</f>
        <v>married</v>
      </c>
      <c r="E1000" s="3" t="str">
        <f aca="false">Raw_Data!D1000</f>
        <v>secondary</v>
      </c>
      <c r="F1000" s="3" t="str">
        <f aca="false">Raw_Data!E1000</f>
        <v>no</v>
      </c>
      <c r="G1000" s="3" t="n">
        <f aca="false">Raw_Data!F1000</f>
        <v>-342</v>
      </c>
      <c r="H1000" s="3" t="str">
        <f aca="false">Raw_Data!G1000</f>
        <v>yes</v>
      </c>
      <c r="I1000" s="3" t="str">
        <f aca="false">Raw_Data!H1000</f>
        <v>no</v>
      </c>
      <c r="J1000" s="2" t="n">
        <f aca="false">IF(F1000="yes",1,0)</f>
        <v>0</v>
      </c>
      <c r="K1000" s="2" t="n">
        <f aca="false">IF(H1000="yes",1,0)</f>
        <v>1</v>
      </c>
      <c r="L1000" s="2" t="n">
        <f aca="false">IF(I1000="yes",1,0)</f>
        <v>0</v>
      </c>
      <c r="M1000" s="2" t="n">
        <f aca="false">IF(G1000&lt;0,1,0)</f>
        <v>1</v>
      </c>
      <c r="N1000" s="2" t="str">
        <f aca="false">_xlfn.IFS(B1000&lt;30,"Under 30",B1000&lt;40,"30-39",B1000&lt;50,"40-49",B1000&lt;60,"50-59",TRUE(),"60+")</f>
        <v>40-49</v>
      </c>
      <c r="O1000" s="2" t="str">
        <f aca="false">_xlfn.IFS(G1000&lt;0,"1 Negative",G1000=0,"2 Zero",G1000&lt;=500,"3 1-500",G1000&lt;=2000,"4 501-2000",TRUE(),"5 Above 2000")</f>
        <v>1 Negative</v>
      </c>
      <c r="P1000" s="2" t="n">
        <f aca="false">Lookups!$B$2*M1000+Lookups!$B$3*L1000</f>
        <v>2</v>
      </c>
      <c r="Q1000" s="2" t="str">
        <f aca="false">INDEX(Lookups!$E$2:$E$5,MATCH(P1000,Lookups!$D$2:$D$5,0))</f>
        <v>High</v>
      </c>
    </row>
    <row r="1001" customFormat="false" ht="15" hidden="false" customHeight="false" outlineLevel="0" collapsed="false">
      <c r="A1001" s="3" t="n">
        <v>1000</v>
      </c>
      <c r="B1001" s="3" t="n">
        <f aca="false">Raw_Data!A1001</f>
        <v>20</v>
      </c>
      <c r="C1001" s="3" t="str">
        <f aca="false">SUBSTITUTE(Raw_Data!B1001,".","")</f>
        <v>student</v>
      </c>
      <c r="D1001" s="3" t="str">
        <f aca="false">Raw_Data!C1001</f>
        <v>single</v>
      </c>
      <c r="E1001" s="3" t="str">
        <f aca="false">Raw_Data!D1001</f>
        <v>secondary</v>
      </c>
      <c r="F1001" s="3" t="str">
        <f aca="false">Raw_Data!E1001</f>
        <v>no</v>
      </c>
      <c r="G1001" s="3" t="n">
        <f aca="false">Raw_Data!F1001</f>
        <v>291</v>
      </c>
      <c r="H1001" s="3" t="str">
        <f aca="false">Raw_Data!G1001</f>
        <v>no</v>
      </c>
      <c r="I1001" s="3" t="str">
        <f aca="false">Raw_Data!H1001</f>
        <v>no</v>
      </c>
      <c r="J1001" s="2" t="n">
        <f aca="false">IF(F1001="yes",1,0)</f>
        <v>0</v>
      </c>
      <c r="K1001" s="2" t="n">
        <f aca="false">IF(H1001="yes",1,0)</f>
        <v>0</v>
      </c>
      <c r="L1001" s="2" t="n">
        <f aca="false">IF(I1001="yes",1,0)</f>
        <v>0</v>
      </c>
      <c r="M1001" s="2" t="n">
        <f aca="false">IF(G1001&lt;0,1,0)</f>
        <v>0</v>
      </c>
      <c r="N1001" s="2" t="str">
        <f aca="false">_xlfn.IFS(B1001&lt;30,"Under 30",B1001&lt;40,"30-39",B1001&lt;50,"40-49",B1001&lt;60,"50-59",TRUE(),"60+")</f>
        <v>Under 30</v>
      </c>
      <c r="O1001" s="2" t="str">
        <f aca="false">_xlfn.IFS(G1001&lt;0,"1 Negative",G1001=0,"2 Zero",G1001&lt;=500,"3 1-500",G1001&lt;=2000,"4 501-2000",TRUE(),"5 Above 2000")</f>
        <v>3 1-500</v>
      </c>
      <c r="P1001" s="2" t="n">
        <f aca="false">Lookups!$B$2*M1001+Lookups!$B$3*L1001</f>
        <v>0</v>
      </c>
      <c r="Q1001" s="2" t="str">
        <f aca="false">INDEX(Lookups!$E$2:$E$5,MATCH(P1001,Lookups!$D$2:$D$5,0))</f>
        <v>Low</v>
      </c>
    </row>
    <row r="1002" customFormat="false" ht="15" hidden="false" customHeight="false" outlineLevel="0" collapsed="false">
      <c r="A1002" s="3" t="n">
        <v>1001</v>
      </c>
      <c r="B1002" s="3" t="n">
        <f aca="false">Raw_Data!A1002</f>
        <v>34</v>
      </c>
      <c r="C1002" s="3" t="str">
        <f aca="false">SUBSTITUTE(Raw_Data!B1002,".","")</f>
        <v>technician</v>
      </c>
      <c r="D1002" s="3" t="str">
        <f aca="false">Raw_Data!C1002</f>
        <v>married</v>
      </c>
      <c r="E1002" s="3" t="str">
        <f aca="false">Raw_Data!D1002</f>
        <v>secondary</v>
      </c>
      <c r="F1002" s="3" t="str">
        <f aca="false">Raw_Data!E1002</f>
        <v>no</v>
      </c>
      <c r="G1002" s="3" t="n">
        <f aca="false">Raw_Data!F1002</f>
        <v>209</v>
      </c>
      <c r="H1002" s="3" t="str">
        <f aca="false">Raw_Data!G1002</f>
        <v>yes</v>
      </c>
      <c r="I1002" s="3" t="str">
        <f aca="false">Raw_Data!H1002</f>
        <v>yes</v>
      </c>
      <c r="J1002" s="2" t="n">
        <f aca="false">IF(F1002="yes",1,0)</f>
        <v>0</v>
      </c>
      <c r="K1002" s="2" t="n">
        <f aca="false">IF(H1002="yes",1,0)</f>
        <v>1</v>
      </c>
      <c r="L1002" s="2" t="n">
        <f aca="false">IF(I1002="yes",1,0)</f>
        <v>1</v>
      </c>
      <c r="M1002" s="2" t="n">
        <f aca="false">IF(G1002&lt;0,1,0)</f>
        <v>0</v>
      </c>
      <c r="N1002" s="2" t="str">
        <f aca="false">_xlfn.IFS(B1002&lt;30,"Under 30",B1002&lt;40,"30-39",B1002&lt;50,"40-49",B1002&lt;60,"50-59",TRUE(),"60+")</f>
        <v>30-39</v>
      </c>
      <c r="O1002" s="2" t="str">
        <f aca="false">_xlfn.IFS(G1002&lt;0,"1 Negative",G1002=0,"2 Zero",G1002&lt;=500,"3 1-500",G1002&lt;=2000,"4 501-2000",TRUE(),"5 Above 2000")</f>
        <v>3 1-500</v>
      </c>
      <c r="P1002" s="2" t="n">
        <f aca="false">Lookups!$B$2*M1002+Lookups!$B$3*L1002</f>
        <v>1</v>
      </c>
      <c r="Q1002" s="2" t="str">
        <f aca="false">INDEX(Lookups!$E$2:$E$5,MATCH(P1002,Lookups!$D$2:$D$5,0))</f>
        <v>Medium</v>
      </c>
    </row>
    <row r="1003" customFormat="false" ht="15" hidden="false" customHeight="false" outlineLevel="0" collapsed="false">
      <c r="A1003" s="3" t="n">
        <v>1002</v>
      </c>
      <c r="B1003" s="3" t="n">
        <f aca="false">Raw_Data!A1003</f>
        <v>31</v>
      </c>
      <c r="C1003" s="3" t="str">
        <f aca="false">SUBSTITUTE(Raw_Data!B1003,".","")</f>
        <v>technician</v>
      </c>
      <c r="D1003" s="3" t="str">
        <f aca="false">Raw_Data!C1003</f>
        <v>single</v>
      </c>
      <c r="E1003" s="3" t="str">
        <f aca="false">Raw_Data!D1003</f>
        <v>tertiary</v>
      </c>
      <c r="F1003" s="3" t="str">
        <f aca="false">Raw_Data!E1003</f>
        <v>no</v>
      </c>
      <c r="G1003" s="3" t="n">
        <f aca="false">Raw_Data!F1003</f>
        <v>438</v>
      </c>
      <c r="H1003" s="3" t="str">
        <f aca="false">Raw_Data!G1003</f>
        <v>yes</v>
      </c>
      <c r="I1003" s="3" t="str">
        <f aca="false">Raw_Data!H1003</f>
        <v>no</v>
      </c>
      <c r="J1003" s="2" t="n">
        <f aca="false">IF(F1003="yes",1,0)</f>
        <v>0</v>
      </c>
      <c r="K1003" s="2" t="n">
        <f aca="false">IF(H1003="yes",1,0)</f>
        <v>1</v>
      </c>
      <c r="L1003" s="2" t="n">
        <f aca="false">IF(I1003="yes",1,0)</f>
        <v>0</v>
      </c>
      <c r="M1003" s="2" t="n">
        <f aca="false">IF(G1003&lt;0,1,0)</f>
        <v>0</v>
      </c>
      <c r="N1003" s="2" t="str">
        <f aca="false">_xlfn.IFS(B1003&lt;30,"Under 30",B1003&lt;40,"30-39",B1003&lt;50,"40-49",B1003&lt;60,"50-59",TRUE(),"60+")</f>
        <v>30-39</v>
      </c>
      <c r="O1003" s="2" t="str">
        <f aca="false">_xlfn.IFS(G1003&lt;0,"1 Negative",G1003=0,"2 Zero",G1003&lt;=500,"3 1-500",G1003&lt;=2000,"4 501-2000",TRUE(),"5 Above 2000")</f>
        <v>3 1-500</v>
      </c>
      <c r="P1003" s="2" t="n">
        <f aca="false">Lookups!$B$2*M1003+Lookups!$B$3*L1003</f>
        <v>0</v>
      </c>
      <c r="Q1003" s="2" t="str">
        <f aca="false">INDEX(Lookups!$E$2:$E$5,MATCH(P1003,Lookups!$D$2:$D$5,0))</f>
        <v>Low</v>
      </c>
    </row>
    <row r="1004" customFormat="false" ht="15" hidden="false" customHeight="false" outlineLevel="0" collapsed="false">
      <c r="A1004" s="3" t="n">
        <v>1003</v>
      </c>
      <c r="B1004" s="3" t="n">
        <f aca="false">Raw_Data!A1004</f>
        <v>39</v>
      </c>
      <c r="C1004" s="3" t="str">
        <f aca="false">SUBSTITUTE(Raw_Data!B1004,".","")</f>
        <v>admin</v>
      </c>
      <c r="D1004" s="3" t="str">
        <f aca="false">Raw_Data!C1004</f>
        <v>single</v>
      </c>
      <c r="E1004" s="3" t="str">
        <f aca="false">Raw_Data!D1004</f>
        <v>secondary</v>
      </c>
      <c r="F1004" s="3" t="str">
        <f aca="false">Raw_Data!E1004</f>
        <v>no</v>
      </c>
      <c r="G1004" s="3" t="n">
        <f aca="false">Raw_Data!F1004</f>
        <v>1242</v>
      </c>
      <c r="H1004" s="3" t="str">
        <f aca="false">Raw_Data!G1004</f>
        <v>yes</v>
      </c>
      <c r="I1004" s="3" t="str">
        <f aca="false">Raw_Data!H1004</f>
        <v>no</v>
      </c>
      <c r="J1004" s="2" t="n">
        <f aca="false">IF(F1004="yes",1,0)</f>
        <v>0</v>
      </c>
      <c r="K1004" s="2" t="n">
        <f aca="false">IF(H1004="yes",1,0)</f>
        <v>1</v>
      </c>
      <c r="L1004" s="2" t="n">
        <f aca="false">IF(I1004="yes",1,0)</f>
        <v>0</v>
      </c>
      <c r="M1004" s="2" t="n">
        <f aca="false">IF(G1004&lt;0,1,0)</f>
        <v>0</v>
      </c>
      <c r="N1004" s="2" t="str">
        <f aca="false">_xlfn.IFS(B1004&lt;30,"Under 30",B1004&lt;40,"30-39",B1004&lt;50,"40-49",B1004&lt;60,"50-59",TRUE(),"60+")</f>
        <v>30-39</v>
      </c>
      <c r="O1004" s="2" t="str">
        <f aca="false">_xlfn.IFS(G1004&lt;0,"1 Negative",G1004=0,"2 Zero",G1004&lt;=500,"3 1-500",G1004&lt;=2000,"4 501-2000",TRUE(),"5 Above 2000")</f>
        <v>4 501-2000</v>
      </c>
      <c r="P1004" s="2" t="n">
        <f aca="false">Lookups!$B$2*M1004+Lookups!$B$3*L1004</f>
        <v>0</v>
      </c>
      <c r="Q1004" s="2" t="str">
        <f aca="false">INDEX(Lookups!$E$2:$E$5,MATCH(P1004,Lookups!$D$2:$D$5,0))</f>
        <v>Low</v>
      </c>
    </row>
    <row r="1005" customFormat="false" ht="15" hidden="false" customHeight="false" outlineLevel="0" collapsed="false">
      <c r="A1005" s="3" t="n">
        <v>1004</v>
      </c>
      <c r="B1005" s="3" t="n">
        <f aca="false">Raw_Data!A1005</f>
        <v>34</v>
      </c>
      <c r="C1005" s="3" t="str">
        <f aca="false">SUBSTITUTE(Raw_Data!B1005,".","")</f>
        <v>entrepreneur</v>
      </c>
      <c r="D1005" s="3" t="str">
        <f aca="false">Raw_Data!C1005</f>
        <v>married</v>
      </c>
      <c r="E1005" s="3" t="str">
        <f aca="false">Raw_Data!D1005</f>
        <v>tertiary</v>
      </c>
      <c r="F1005" s="3" t="str">
        <f aca="false">Raw_Data!E1005</f>
        <v>no</v>
      </c>
      <c r="G1005" s="3" t="n">
        <f aca="false">Raw_Data!F1005</f>
        <v>355</v>
      </c>
      <c r="H1005" s="3" t="str">
        <f aca="false">Raw_Data!G1005</f>
        <v>yes</v>
      </c>
      <c r="I1005" s="3" t="str">
        <f aca="false">Raw_Data!H1005</f>
        <v>no</v>
      </c>
      <c r="J1005" s="2" t="n">
        <f aca="false">IF(F1005="yes",1,0)</f>
        <v>0</v>
      </c>
      <c r="K1005" s="2" t="n">
        <f aca="false">IF(H1005="yes",1,0)</f>
        <v>1</v>
      </c>
      <c r="L1005" s="2" t="n">
        <f aca="false">IF(I1005="yes",1,0)</f>
        <v>0</v>
      </c>
      <c r="M1005" s="2" t="n">
        <f aca="false">IF(G1005&lt;0,1,0)</f>
        <v>0</v>
      </c>
      <c r="N1005" s="2" t="str">
        <f aca="false">_xlfn.IFS(B1005&lt;30,"Under 30",B1005&lt;40,"30-39",B1005&lt;50,"40-49",B1005&lt;60,"50-59",TRUE(),"60+")</f>
        <v>30-39</v>
      </c>
      <c r="O1005" s="2" t="str">
        <f aca="false">_xlfn.IFS(G1005&lt;0,"1 Negative",G1005=0,"2 Zero",G1005&lt;=500,"3 1-500",G1005&lt;=2000,"4 501-2000",TRUE(),"5 Above 2000")</f>
        <v>3 1-500</v>
      </c>
      <c r="P1005" s="2" t="n">
        <f aca="false">Lookups!$B$2*M1005+Lookups!$B$3*L1005</f>
        <v>0</v>
      </c>
      <c r="Q1005" s="2" t="str">
        <f aca="false">INDEX(Lookups!$E$2:$E$5,MATCH(P1005,Lookups!$D$2:$D$5,0))</f>
        <v>Low</v>
      </c>
    </row>
    <row r="1006" customFormat="false" ht="15" hidden="false" customHeight="false" outlineLevel="0" collapsed="false">
      <c r="A1006" s="3" t="n">
        <v>1005</v>
      </c>
      <c r="B1006" s="3" t="n">
        <f aca="false">Raw_Data!A1006</f>
        <v>24</v>
      </c>
      <c r="C1006" s="3" t="str">
        <f aca="false">SUBSTITUTE(Raw_Data!B1006,".","")</f>
        <v>blue-collar</v>
      </c>
      <c r="D1006" s="3" t="str">
        <f aca="false">Raw_Data!C1006</f>
        <v>married</v>
      </c>
      <c r="E1006" s="3" t="str">
        <f aca="false">Raw_Data!D1006</f>
        <v>secondary</v>
      </c>
      <c r="F1006" s="3" t="str">
        <f aca="false">Raw_Data!E1006</f>
        <v>no</v>
      </c>
      <c r="G1006" s="3" t="n">
        <f aca="false">Raw_Data!F1006</f>
        <v>204</v>
      </c>
      <c r="H1006" s="3" t="str">
        <f aca="false">Raw_Data!G1006</f>
        <v>yes</v>
      </c>
      <c r="I1006" s="3" t="str">
        <f aca="false">Raw_Data!H1006</f>
        <v>yes</v>
      </c>
      <c r="J1006" s="2" t="n">
        <f aca="false">IF(F1006="yes",1,0)</f>
        <v>0</v>
      </c>
      <c r="K1006" s="2" t="n">
        <f aca="false">IF(H1006="yes",1,0)</f>
        <v>1</v>
      </c>
      <c r="L1006" s="2" t="n">
        <f aca="false">IF(I1006="yes",1,0)</f>
        <v>1</v>
      </c>
      <c r="M1006" s="2" t="n">
        <f aca="false">IF(G1006&lt;0,1,0)</f>
        <v>0</v>
      </c>
      <c r="N1006" s="2" t="str">
        <f aca="false">_xlfn.IFS(B1006&lt;30,"Under 30",B1006&lt;40,"30-39",B1006&lt;50,"40-49",B1006&lt;60,"50-59",TRUE(),"60+")</f>
        <v>Under 30</v>
      </c>
      <c r="O1006" s="2" t="str">
        <f aca="false">_xlfn.IFS(G1006&lt;0,"1 Negative",G1006=0,"2 Zero",G1006&lt;=500,"3 1-500",G1006&lt;=2000,"4 501-2000",TRUE(),"5 Above 2000")</f>
        <v>3 1-500</v>
      </c>
      <c r="P1006" s="2" t="n">
        <f aca="false">Lookups!$B$2*M1006+Lookups!$B$3*L1006</f>
        <v>1</v>
      </c>
      <c r="Q1006" s="2" t="str">
        <f aca="false">INDEX(Lookups!$E$2:$E$5,MATCH(P1006,Lookups!$D$2:$D$5,0))</f>
        <v>Medium</v>
      </c>
    </row>
    <row r="1007" customFormat="false" ht="15" hidden="false" customHeight="false" outlineLevel="0" collapsed="false">
      <c r="A1007" s="3" t="n">
        <v>1006</v>
      </c>
      <c r="B1007" s="3" t="n">
        <f aca="false">Raw_Data!A1007</f>
        <v>41</v>
      </c>
      <c r="C1007" s="3" t="str">
        <f aca="false">SUBSTITUTE(Raw_Data!B1007,".","")</f>
        <v>management</v>
      </c>
      <c r="D1007" s="3" t="str">
        <f aca="false">Raw_Data!C1007</f>
        <v>married</v>
      </c>
      <c r="E1007" s="3" t="str">
        <f aca="false">Raw_Data!D1007</f>
        <v>tertiary</v>
      </c>
      <c r="F1007" s="3" t="str">
        <f aca="false">Raw_Data!E1007</f>
        <v>no</v>
      </c>
      <c r="G1007" s="3" t="n">
        <f aca="false">Raw_Data!F1007</f>
        <v>10758</v>
      </c>
      <c r="H1007" s="3" t="str">
        <f aca="false">Raw_Data!G1007</f>
        <v>yes</v>
      </c>
      <c r="I1007" s="3" t="str">
        <f aca="false">Raw_Data!H1007</f>
        <v>no</v>
      </c>
      <c r="J1007" s="2" t="n">
        <f aca="false">IF(F1007="yes",1,0)</f>
        <v>0</v>
      </c>
      <c r="K1007" s="2" t="n">
        <f aca="false">IF(H1007="yes",1,0)</f>
        <v>1</v>
      </c>
      <c r="L1007" s="2" t="n">
        <f aca="false">IF(I1007="yes",1,0)</f>
        <v>0</v>
      </c>
      <c r="M1007" s="2" t="n">
        <f aca="false">IF(G1007&lt;0,1,0)</f>
        <v>0</v>
      </c>
      <c r="N1007" s="2" t="str">
        <f aca="false">_xlfn.IFS(B1007&lt;30,"Under 30",B1007&lt;40,"30-39",B1007&lt;50,"40-49",B1007&lt;60,"50-59",TRUE(),"60+")</f>
        <v>40-49</v>
      </c>
      <c r="O1007" s="2" t="str">
        <f aca="false">_xlfn.IFS(G1007&lt;0,"1 Negative",G1007=0,"2 Zero",G1007&lt;=500,"3 1-500",G1007&lt;=2000,"4 501-2000",TRUE(),"5 Above 2000")</f>
        <v>5 Above 2000</v>
      </c>
      <c r="P1007" s="2" t="n">
        <f aca="false">Lookups!$B$2*M1007+Lookups!$B$3*L1007</f>
        <v>0</v>
      </c>
      <c r="Q1007" s="2" t="str">
        <f aca="false">INDEX(Lookups!$E$2:$E$5,MATCH(P1007,Lookups!$D$2:$D$5,0))</f>
        <v>Low</v>
      </c>
    </row>
    <row r="1008" customFormat="false" ht="15" hidden="false" customHeight="false" outlineLevel="0" collapsed="false">
      <c r="A1008" s="3" t="n">
        <v>1007</v>
      </c>
      <c r="B1008" s="3" t="n">
        <f aca="false">Raw_Data!A1008</f>
        <v>40</v>
      </c>
      <c r="C1008" s="3" t="str">
        <f aca="false">SUBSTITUTE(Raw_Data!B1008,".","")</f>
        <v>management</v>
      </c>
      <c r="D1008" s="3" t="str">
        <f aca="false">Raw_Data!C1008</f>
        <v>married</v>
      </c>
      <c r="E1008" s="3" t="str">
        <f aca="false">Raw_Data!D1008</f>
        <v>tertiary</v>
      </c>
      <c r="F1008" s="3" t="str">
        <f aca="false">Raw_Data!E1008</f>
        <v>no</v>
      </c>
      <c r="G1008" s="3" t="n">
        <f aca="false">Raw_Data!F1008</f>
        <v>5</v>
      </c>
      <c r="H1008" s="3" t="str">
        <f aca="false">Raw_Data!G1008</f>
        <v>yes</v>
      </c>
      <c r="I1008" s="3" t="str">
        <f aca="false">Raw_Data!H1008</f>
        <v>no</v>
      </c>
      <c r="J1008" s="2" t="n">
        <f aca="false">IF(F1008="yes",1,0)</f>
        <v>0</v>
      </c>
      <c r="K1008" s="2" t="n">
        <f aca="false">IF(H1008="yes",1,0)</f>
        <v>1</v>
      </c>
      <c r="L1008" s="2" t="n">
        <f aca="false">IF(I1008="yes",1,0)</f>
        <v>0</v>
      </c>
      <c r="M1008" s="2" t="n">
        <f aca="false">IF(G1008&lt;0,1,0)</f>
        <v>0</v>
      </c>
      <c r="N1008" s="2" t="str">
        <f aca="false">_xlfn.IFS(B1008&lt;30,"Under 30",B1008&lt;40,"30-39",B1008&lt;50,"40-49",B1008&lt;60,"50-59",TRUE(),"60+")</f>
        <v>40-49</v>
      </c>
      <c r="O1008" s="2" t="str">
        <f aca="false">_xlfn.IFS(G1008&lt;0,"1 Negative",G1008=0,"2 Zero",G1008&lt;=500,"3 1-500",G1008&lt;=2000,"4 501-2000",TRUE(),"5 Above 2000")</f>
        <v>3 1-500</v>
      </c>
      <c r="P1008" s="2" t="n">
        <f aca="false">Lookups!$B$2*M1008+Lookups!$B$3*L1008</f>
        <v>0</v>
      </c>
      <c r="Q1008" s="2" t="str">
        <f aca="false">INDEX(Lookups!$E$2:$E$5,MATCH(P1008,Lookups!$D$2:$D$5,0))</f>
        <v>Low</v>
      </c>
    </row>
    <row r="1009" customFormat="false" ht="15" hidden="false" customHeight="false" outlineLevel="0" collapsed="false">
      <c r="A1009" s="3" t="n">
        <v>1008</v>
      </c>
      <c r="B1009" s="3" t="n">
        <f aca="false">Raw_Data!A1009</f>
        <v>45</v>
      </c>
      <c r="C1009" s="3" t="str">
        <f aca="false">SUBSTITUTE(Raw_Data!B1009,".","")</f>
        <v>technician</v>
      </c>
      <c r="D1009" s="3" t="str">
        <f aca="false">Raw_Data!C1009</f>
        <v>single</v>
      </c>
      <c r="E1009" s="3" t="str">
        <f aca="false">Raw_Data!D1009</f>
        <v>secondary</v>
      </c>
      <c r="F1009" s="3" t="str">
        <f aca="false">Raw_Data!E1009</f>
        <v>no</v>
      </c>
      <c r="G1009" s="3" t="n">
        <f aca="false">Raw_Data!F1009</f>
        <v>410</v>
      </c>
      <c r="H1009" s="3" t="str">
        <f aca="false">Raw_Data!G1009</f>
        <v>yes</v>
      </c>
      <c r="I1009" s="3" t="str">
        <f aca="false">Raw_Data!H1009</f>
        <v>no</v>
      </c>
      <c r="J1009" s="2" t="n">
        <f aca="false">IF(F1009="yes",1,0)</f>
        <v>0</v>
      </c>
      <c r="K1009" s="2" t="n">
        <f aca="false">IF(H1009="yes",1,0)</f>
        <v>1</v>
      </c>
      <c r="L1009" s="2" t="n">
        <f aca="false">IF(I1009="yes",1,0)</f>
        <v>0</v>
      </c>
      <c r="M1009" s="2" t="n">
        <f aca="false">IF(G1009&lt;0,1,0)</f>
        <v>0</v>
      </c>
      <c r="N1009" s="2" t="str">
        <f aca="false">_xlfn.IFS(B1009&lt;30,"Under 30",B1009&lt;40,"30-39",B1009&lt;50,"40-49",B1009&lt;60,"50-59",TRUE(),"60+")</f>
        <v>40-49</v>
      </c>
      <c r="O1009" s="2" t="str">
        <f aca="false">_xlfn.IFS(G1009&lt;0,"1 Negative",G1009=0,"2 Zero",G1009&lt;=500,"3 1-500",G1009&lt;=2000,"4 501-2000",TRUE(),"5 Above 2000")</f>
        <v>3 1-500</v>
      </c>
      <c r="P1009" s="2" t="n">
        <f aca="false">Lookups!$B$2*M1009+Lookups!$B$3*L1009</f>
        <v>0</v>
      </c>
      <c r="Q1009" s="2" t="str">
        <f aca="false">INDEX(Lookups!$E$2:$E$5,MATCH(P1009,Lookups!$D$2:$D$5,0))</f>
        <v>Low</v>
      </c>
    </row>
    <row r="1010" customFormat="false" ht="15" hidden="false" customHeight="false" outlineLevel="0" collapsed="false">
      <c r="A1010" s="3" t="n">
        <v>1009</v>
      </c>
      <c r="B1010" s="3" t="n">
        <f aca="false">Raw_Data!A1010</f>
        <v>36</v>
      </c>
      <c r="C1010" s="3" t="str">
        <f aca="false">SUBSTITUTE(Raw_Data!B1010,".","")</f>
        <v>management</v>
      </c>
      <c r="D1010" s="3" t="str">
        <f aca="false">Raw_Data!C1010</f>
        <v>married</v>
      </c>
      <c r="E1010" s="3" t="str">
        <f aca="false">Raw_Data!D1010</f>
        <v>tertiary</v>
      </c>
      <c r="F1010" s="3" t="str">
        <f aca="false">Raw_Data!E1010</f>
        <v>no</v>
      </c>
      <c r="G1010" s="3" t="n">
        <f aca="false">Raw_Data!F1010</f>
        <v>605</v>
      </c>
      <c r="H1010" s="3" t="str">
        <f aca="false">Raw_Data!G1010</f>
        <v>yes</v>
      </c>
      <c r="I1010" s="3" t="str">
        <f aca="false">Raw_Data!H1010</f>
        <v>no</v>
      </c>
      <c r="J1010" s="2" t="n">
        <f aca="false">IF(F1010="yes",1,0)</f>
        <v>0</v>
      </c>
      <c r="K1010" s="2" t="n">
        <f aca="false">IF(H1010="yes",1,0)</f>
        <v>1</v>
      </c>
      <c r="L1010" s="2" t="n">
        <f aca="false">IF(I1010="yes",1,0)</f>
        <v>0</v>
      </c>
      <c r="M1010" s="2" t="n">
        <f aca="false">IF(G1010&lt;0,1,0)</f>
        <v>0</v>
      </c>
      <c r="N1010" s="2" t="str">
        <f aca="false">_xlfn.IFS(B1010&lt;30,"Under 30",B1010&lt;40,"30-39",B1010&lt;50,"40-49",B1010&lt;60,"50-59",TRUE(),"60+")</f>
        <v>30-39</v>
      </c>
      <c r="O1010" s="2" t="str">
        <f aca="false">_xlfn.IFS(G1010&lt;0,"1 Negative",G1010=0,"2 Zero",G1010&lt;=500,"3 1-500",G1010&lt;=2000,"4 501-2000",TRUE(),"5 Above 2000")</f>
        <v>4 501-2000</v>
      </c>
      <c r="P1010" s="2" t="n">
        <f aca="false">Lookups!$B$2*M1010+Lookups!$B$3*L1010</f>
        <v>0</v>
      </c>
      <c r="Q1010" s="2" t="str">
        <f aca="false">INDEX(Lookups!$E$2:$E$5,MATCH(P1010,Lookups!$D$2:$D$5,0))</f>
        <v>Low</v>
      </c>
    </row>
    <row r="1011" customFormat="false" ht="15" hidden="false" customHeight="false" outlineLevel="0" collapsed="false">
      <c r="A1011" s="3" t="n">
        <v>1010</v>
      </c>
      <c r="B1011" s="3" t="n">
        <f aca="false">Raw_Data!A1011</f>
        <v>53</v>
      </c>
      <c r="C1011" s="3" t="str">
        <f aca="false">SUBSTITUTE(Raw_Data!B1011,".","")</f>
        <v>management</v>
      </c>
      <c r="D1011" s="3" t="str">
        <f aca="false">Raw_Data!C1011</f>
        <v>married</v>
      </c>
      <c r="E1011" s="3" t="str">
        <f aca="false">Raw_Data!D1011</f>
        <v>tertiary</v>
      </c>
      <c r="F1011" s="3" t="str">
        <f aca="false">Raw_Data!E1011</f>
        <v>no</v>
      </c>
      <c r="G1011" s="3" t="n">
        <f aca="false">Raw_Data!F1011</f>
        <v>4</v>
      </c>
      <c r="H1011" s="3" t="str">
        <f aca="false">Raw_Data!G1011</f>
        <v>no</v>
      </c>
      <c r="I1011" s="3" t="str">
        <f aca="false">Raw_Data!H1011</f>
        <v>no</v>
      </c>
      <c r="J1011" s="2" t="n">
        <f aca="false">IF(F1011="yes",1,0)</f>
        <v>0</v>
      </c>
      <c r="K1011" s="2" t="n">
        <f aca="false">IF(H1011="yes",1,0)</f>
        <v>0</v>
      </c>
      <c r="L1011" s="2" t="n">
        <f aca="false">IF(I1011="yes",1,0)</f>
        <v>0</v>
      </c>
      <c r="M1011" s="2" t="n">
        <f aca="false">IF(G1011&lt;0,1,0)</f>
        <v>0</v>
      </c>
      <c r="N1011" s="2" t="str">
        <f aca="false">_xlfn.IFS(B1011&lt;30,"Under 30",B1011&lt;40,"30-39",B1011&lt;50,"40-49",B1011&lt;60,"50-59",TRUE(),"60+")</f>
        <v>50-59</v>
      </c>
      <c r="O1011" s="2" t="str">
        <f aca="false">_xlfn.IFS(G1011&lt;0,"1 Negative",G1011=0,"2 Zero",G1011&lt;=500,"3 1-500",G1011&lt;=2000,"4 501-2000",TRUE(),"5 Above 2000")</f>
        <v>3 1-500</v>
      </c>
      <c r="P1011" s="2" t="n">
        <f aca="false">Lookups!$B$2*M1011+Lookups!$B$3*L1011</f>
        <v>0</v>
      </c>
      <c r="Q1011" s="2" t="str">
        <f aca="false">INDEX(Lookups!$E$2:$E$5,MATCH(P1011,Lookups!$D$2:$D$5,0))</f>
        <v>Low</v>
      </c>
    </row>
    <row r="1012" customFormat="false" ht="15" hidden="false" customHeight="false" outlineLevel="0" collapsed="false">
      <c r="A1012" s="3" t="n">
        <v>1011</v>
      </c>
      <c r="B1012" s="3" t="n">
        <f aca="false">Raw_Data!A1012</f>
        <v>23</v>
      </c>
      <c r="C1012" s="3" t="str">
        <f aca="false">SUBSTITUTE(Raw_Data!B1012,".","")</f>
        <v>student</v>
      </c>
      <c r="D1012" s="3" t="str">
        <f aca="false">Raw_Data!C1012</f>
        <v>single</v>
      </c>
      <c r="E1012" s="3" t="str">
        <f aca="false">Raw_Data!D1012</f>
        <v>secondary</v>
      </c>
      <c r="F1012" s="3" t="str">
        <f aca="false">Raw_Data!E1012</f>
        <v>no</v>
      </c>
      <c r="G1012" s="3" t="n">
        <f aca="false">Raw_Data!F1012</f>
        <v>8494</v>
      </c>
      <c r="H1012" s="3" t="str">
        <f aca="false">Raw_Data!G1012</f>
        <v>no</v>
      </c>
      <c r="I1012" s="3" t="str">
        <f aca="false">Raw_Data!H1012</f>
        <v>no</v>
      </c>
      <c r="J1012" s="2" t="n">
        <f aca="false">IF(F1012="yes",1,0)</f>
        <v>0</v>
      </c>
      <c r="K1012" s="2" t="n">
        <f aca="false">IF(H1012="yes",1,0)</f>
        <v>0</v>
      </c>
      <c r="L1012" s="2" t="n">
        <f aca="false">IF(I1012="yes",1,0)</f>
        <v>0</v>
      </c>
      <c r="M1012" s="2" t="n">
        <f aca="false">IF(G1012&lt;0,1,0)</f>
        <v>0</v>
      </c>
      <c r="N1012" s="2" t="str">
        <f aca="false">_xlfn.IFS(B1012&lt;30,"Under 30",B1012&lt;40,"30-39",B1012&lt;50,"40-49",B1012&lt;60,"50-59",TRUE(),"60+")</f>
        <v>Under 30</v>
      </c>
      <c r="O1012" s="2" t="str">
        <f aca="false">_xlfn.IFS(G1012&lt;0,"1 Negative",G1012=0,"2 Zero",G1012&lt;=500,"3 1-500",G1012&lt;=2000,"4 501-2000",TRUE(),"5 Above 2000")</f>
        <v>5 Above 2000</v>
      </c>
      <c r="P1012" s="2" t="n">
        <f aca="false">Lookups!$B$2*M1012+Lookups!$B$3*L1012</f>
        <v>0</v>
      </c>
      <c r="Q1012" s="2" t="str">
        <f aca="false">INDEX(Lookups!$E$2:$E$5,MATCH(P1012,Lookups!$D$2:$D$5,0))</f>
        <v>Low</v>
      </c>
    </row>
    <row r="1013" customFormat="false" ht="15" hidden="false" customHeight="false" outlineLevel="0" collapsed="false">
      <c r="A1013" s="3" t="n">
        <v>1012</v>
      </c>
      <c r="B1013" s="3" t="n">
        <f aca="false">Raw_Data!A1013</f>
        <v>42</v>
      </c>
      <c r="C1013" s="3" t="str">
        <f aca="false">SUBSTITUTE(Raw_Data!B1013,".","")</f>
        <v>entrepreneur</v>
      </c>
      <c r="D1013" s="3" t="str">
        <f aca="false">Raw_Data!C1013</f>
        <v>married</v>
      </c>
      <c r="E1013" s="3" t="str">
        <f aca="false">Raw_Data!D1013</f>
        <v>primary</v>
      </c>
      <c r="F1013" s="3" t="str">
        <f aca="false">Raw_Data!E1013</f>
        <v>no</v>
      </c>
      <c r="G1013" s="3" t="n">
        <f aca="false">Raw_Data!F1013</f>
        <v>198</v>
      </c>
      <c r="H1013" s="3" t="str">
        <f aca="false">Raw_Data!G1013</f>
        <v>yes</v>
      </c>
      <c r="I1013" s="3" t="str">
        <f aca="false">Raw_Data!H1013</f>
        <v>no</v>
      </c>
      <c r="J1013" s="2" t="n">
        <f aca="false">IF(F1013="yes",1,0)</f>
        <v>0</v>
      </c>
      <c r="K1013" s="2" t="n">
        <f aca="false">IF(H1013="yes",1,0)</f>
        <v>1</v>
      </c>
      <c r="L1013" s="2" t="n">
        <f aca="false">IF(I1013="yes",1,0)</f>
        <v>0</v>
      </c>
      <c r="M1013" s="2" t="n">
        <f aca="false">IF(G1013&lt;0,1,0)</f>
        <v>0</v>
      </c>
      <c r="N1013" s="2" t="str">
        <f aca="false">_xlfn.IFS(B1013&lt;30,"Under 30",B1013&lt;40,"30-39",B1013&lt;50,"40-49",B1013&lt;60,"50-59",TRUE(),"60+")</f>
        <v>40-49</v>
      </c>
      <c r="O1013" s="2" t="str">
        <f aca="false">_xlfn.IFS(G1013&lt;0,"1 Negative",G1013=0,"2 Zero",G1013&lt;=500,"3 1-500",G1013&lt;=2000,"4 501-2000",TRUE(),"5 Above 2000")</f>
        <v>3 1-500</v>
      </c>
      <c r="P1013" s="2" t="n">
        <f aca="false">Lookups!$B$2*M1013+Lookups!$B$3*L1013</f>
        <v>0</v>
      </c>
      <c r="Q1013" s="2" t="str">
        <f aca="false">INDEX(Lookups!$E$2:$E$5,MATCH(P1013,Lookups!$D$2:$D$5,0))</f>
        <v>Low</v>
      </c>
    </row>
    <row r="1014" customFormat="false" ht="15" hidden="false" customHeight="false" outlineLevel="0" collapsed="false">
      <c r="A1014" s="3" t="n">
        <v>1013</v>
      </c>
      <c r="B1014" s="3" t="n">
        <f aca="false">Raw_Data!A1014</f>
        <v>48</v>
      </c>
      <c r="C1014" s="3" t="str">
        <f aca="false">SUBSTITUTE(Raw_Data!B1014,".","")</f>
        <v>blue-collar</v>
      </c>
      <c r="D1014" s="3" t="str">
        <f aca="false">Raw_Data!C1014</f>
        <v>married</v>
      </c>
      <c r="E1014" s="3" t="str">
        <f aca="false">Raw_Data!D1014</f>
        <v>secondary</v>
      </c>
      <c r="F1014" s="3" t="str">
        <f aca="false">Raw_Data!E1014</f>
        <v>no</v>
      </c>
      <c r="G1014" s="3" t="n">
        <f aca="false">Raw_Data!F1014</f>
        <v>841</v>
      </c>
      <c r="H1014" s="3" t="str">
        <f aca="false">Raw_Data!G1014</f>
        <v>yes</v>
      </c>
      <c r="I1014" s="3" t="str">
        <f aca="false">Raw_Data!H1014</f>
        <v>no</v>
      </c>
      <c r="J1014" s="2" t="n">
        <f aca="false">IF(F1014="yes",1,0)</f>
        <v>0</v>
      </c>
      <c r="K1014" s="2" t="n">
        <f aca="false">IF(H1014="yes",1,0)</f>
        <v>1</v>
      </c>
      <c r="L1014" s="2" t="n">
        <f aca="false">IF(I1014="yes",1,0)</f>
        <v>0</v>
      </c>
      <c r="M1014" s="2" t="n">
        <f aca="false">IF(G1014&lt;0,1,0)</f>
        <v>0</v>
      </c>
      <c r="N1014" s="2" t="str">
        <f aca="false">_xlfn.IFS(B1014&lt;30,"Under 30",B1014&lt;40,"30-39",B1014&lt;50,"40-49",B1014&lt;60,"50-59",TRUE(),"60+")</f>
        <v>40-49</v>
      </c>
      <c r="O1014" s="2" t="str">
        <f aca="false">_xlfn.IFS(G1014&lt;0,"1 Negative",G1014=0,"2 Zero",G1014&lt;=500,"3 1-500",G1014&lt;=2000,"4 501-2000",TRUE(),"5 Above 2000")</f>
        <v>4 501-2000</v>
      </c>
      <c r="P1014" s="2" t="n">
        <f aca="false">Lookups!$B$2*M1014+Lookups!$B$3*L1014</f>
        <v>0</v>
      </c>
      <c r="Q1014" s="2" t="str">
        <f aca="false">INDEX(Lookups!$E$2:$E$5,MATCH(P1014,Lookups!$D$2:$D$5,0))</f>
        <v>Low</v>
      </c>
    </row>
    <row r="1015" customFormat="false" ht="15" hidden="false" customHeight="false" outlineLevel="0" collapsed="false">
      <c r="A1015" s="3" t="n">
        <v>1014</v>
      </c>
      <c r="B1015" s="3" t="n">
        <f aca="false">Raw_Data!A1015</f>
        <v>34</v>
      </c>
      <c r="C1015" s="3" t="str">
        <f aca="false">SUBSTITUTE(Raw_Data!B1015,".","")</f>
        <v>management</v>
      </c>
      <c r="D1015" s="3" t="str">
        <f aca="false">Raw_Data!C1015</f>
        <v>married</v>
      </c>
      <c r="E1015" s="3" t="str">
        <f aca="false">Raw_Data!D1015</f>
        <v>tertiary</v>
      </c>
      <c r="F1015" s="3" t="str">
        <f aca="false">Raw_Data!E1015</f>
        <v>no</v>
      </c>
      <c r="G1015" s="3" t="n">
        <f aca="false">Raw_Data!F1015</f>
        <v>8</v>
      </c>
      <c r="H1015" s="3" t="str">
        <f aca="false">Raw_Data!G1015</f>
        <v>no</v>
      </c>
      <c r="I1015" s="3" t="str">
        <f aca="false">Raw_Data!H1015</f>
        <v>no</v>
      </c>
      <c r="J1015" s="2" t="n">
        <f aca="false">IF(F1015="yes",1,0)</f>
        <v>0</v>
      </c>
      <c r="K1015" s="2" t="n">
        <f aca="false">IF(H1015="yes",1,0)</f>
        <v>0</v>
      </c>
      <c r="L1015" s="2" t="n">
        <f aca="false">IF(I1015="yes",1,0)</f>
        <v>0</v>
      </c>
      <c r="M1015" s="2" t="n">
        <f aca="false">IF(G1015&lt;0,1,0)</f>
        <v>0</v>
      </c>
      <c r="N1015" s="2" t="str">
        <f aca="false">_xlfn.IFS(B1015&lt;30,"Under 30",B1015&lt;40,"30-39",B1015&lt;50,"40-49",B1015&lt;60,"50-59",TRUE(),"60+")</f>
        <v>30-39</v>
      </c>
      <c r="O1015" s="2" t="str">
        <f aca="false">_xlfn.IFS(G1015&lt;0,"1 Negative",G1015=0,"2 Zero",G1015&lt;=500,"3 1-500",G1015&lt;=2000,"4 501-2000",TRUE(),"5 Above 2000")</f>
        <v>3 1-500</v>
      </c>
      <c r="P1015" s="2" t="n">
        <f aca="false">Lookups!$B$2*M1015+Lookups!$B$3*L1015</f>
        <v>0</v>
      </c>
      <c r="Q1015" s="2" t="str">
        <f aca="false">INDEX(Lookups!$E$2:$E$5,MATCH(P1015,Lookups!$D$2:$D$5,0))</f>
        <v>Low</v>
      </c>
    </row>
    <row r="1016" customFormat="false" ht="15" hidden="false" customHeight="false" outlineLevel="0" collapsed="false">
      <c r="A1016" s="3" t="n">
        <v>1015</v>
      </c>
      <c r="B1016" s="3" t="n">
        <f aca="false">Raw_Data!A1016</f>
        <v>36</v>
      </c>
      <c r="C1016" s="3" t="str">
        <f aca="false">SUBSTITUTE(Raw_Data!B1016,".","")</f>
        <v>admin</v>
      </c>
      <c r="D1016" s="3" t="str">
        <f aca="false">Raw_Data!C1016</f>
        <v>married</v>
      </c>
      <c r="E1016" s="3" t="str">
        <f aca="false">Raw_Data!D1016</f>
        <v>secondary</v>
      </c>
      <c r="F1016" s="3" t="str">
        <f aca="false">Raw_Data!E1016</f>
        <v>no</v>
      </c>
      <c r="G1016" s="3" t="n">
        <f aca="false">Raw_Data!F1016</f>
        <v>470</v>
      </c>
      <c r="H1016" s="3" t="str">
        <f aca="false">Raw_Data!G1016</f>
        <v>yes</v>
      </c>
      <c r="I1016" s="3" t="str">
        <f aca="false">Raw_Data!H1016</f>
        <v>no</v>
      </c>
      <c r="J1016" s="2" t="n">
        <f aca="false">IF(F1016="yes",1,0)</f>
        <v>0</v>
      </c>
      <c r="K1016" s="2" t="n">
        <f aca="false">IF(H1016="yes",1,0)</f>
        <v>1</v>
      </c>
      <c r="L1016" s="2" t="n">
        <f aca="false">IF(I1016="yes",1,0)</f>
        <v>0</v>
      </c>
      <c r="M1016" s="2" t="n">
        <f aca="false">IF(G1016&lt;0,1,0)</f>
        <v>0</v>
      </c>
      <c r="N1016" s="2" t="str">
        <f aca="false">_xlfn.IFS(B1016&lt;30,"Under 30",B1016&lt;40,"30-39",B1016&lt;50,"40-49",B1016&lt;60,"50-59",TRUE(),"60+")</f>
        <v>30-39</v>
      </c>
      <c r="O1016" s="2" t="str">
        <f aca="false">_xlfn.IFS(G1016&lt;0,"1 Negative",G1016=0,"2 Zero",G1016&lt;=500,"3 1-500",G1016&lt;=2000,"4 501-2000",TRUE(),"5 Above 2000")</f>
        <v>3 1-500</v>
      </c>
      <c r="P1016" s="2" t="n">
        <f aca="false">Lookups!$B$2*M1016+Lookups!$B$3*L1016</f>
        <v>0</v>
      </c>
      <c r="Q1016" s="2" t="str">
        <f aca="false">INDEX(Lookups!$E$2:$E$5,MATCH(P1016,Lookups!$D$2:$D$5,0))</f>
        <v>Low</v>
      </c>
    </row>
    <row r="1017" customFormat="false" ht="15" hidden="false" customHeight="false" outlineLevel="0" collapsed="false">
      <c r="A1017" s="3" t="n">
        <v>1016</v>
      </c>
      <c r="B1017" s="3" t="n">
        <f aca="false">Raw_Data!A1017</f>
        <v>43</v>
      </c>
      <c r="C1017" s="3" t="str">
        <f aca="false">SUBSTITUTE(Raw_Data!B1017,".","")</f>
        <v>retired</v>
      </c>
      <c r="D1017" s="3" t="str">
        <f aca="false">Raw_Data!C1017</f>
        <v>married</v>
      </c>
      <c r="E1017" s="3" t="str">
        <f aca="false">Raw_Data!D1017</f>
        <v>secondary</v>
      </c>
      <c r="F1017" s="3" t="str">
        <f aca="false">Raw_Data!E1017</f>
        <v>no</v>
      </c>
      <c r="G1017" s="3" t="n">
        <f aca="false">Raw_Data!F1017</f>
        <v>520</v>
      </c>
      <c r="H1017" s="3" t="str">
        <f aca="false">Raw_Data!G1017</f>
        <v>yes</v>
      </c>
      <c r="I1017" s="3" t="str">
        <f aca="false">Raw_Data!H1017</f>
        <v>no</v>
      </c>
      <c r="J1017" s="2" t="n">
        <f aca="false">IF(F1017="yes",1,0)</f>
        <v>0</v>
      </c>
      <c r="K1017" s="2" t="n">
        <f aca="false">IF(H1017="yes",1,0)</f>
        <v>1</v>
      </c>
      <c r="L1017" s="2" t="n">
        <f aca="false">IF(I1017="yes",1,0)</f>
        <v>0</v>
      </c>
      <c r="M1017" s="2" t="n">
        <f aca="false">IF(G1017&lt;0,1,0)</f>
        <v>0</v>
      </c>
      <c r="N1017" s="2" t="str">
        <f aca="false">_xlfn.IFS(B1017&lt;30,"Under 30",B1017&lt;40,"30-39",B1017&lt;50,"40-49",B1017&lt;60,"50-59",TRUE(),"60+")</f>
        <v>40-49</v>
      </c>
      <c r="O1017" s="2" t="str">
        <f aca="false">_xlfn.IFS(G1017&lt;0,"1 Negative",G1017=0,"2 Zero",G1017&lt;=500,"3 1-500",G1017&lt;=2000,"4 501-2000",TRUE(),"5 Above 2000")</f>
        <v>4 501-2000</v>
      </c>
      <c r="P1017" s="2" t="n">
        <f aca="false">Lookups!$B$2*M1017+Lookups!$B$3*L1017</f>
        <v>0</v>
      </c>
      <c r="Q1017" s="2" t="str">
        <f aca="false">INDEX(Lookups!$E$2:$E$5,MATCH(P1017,Lookups!$D$2:$D$5,0))</f>
        <v>Low</v>
      </c>
    </row>
    <row r="1018" customFormat="false" ht="15" hidden="false" customHeight="false" outlineLevel="0" collapsed="false">
      <c r="A1018" s="3" t="n">
        <v>1017</v>
      </c>
      <c r="B1018" s="3" t="n">
        <f aca="false">Raw_Data!A1018</f>
        <v>36</v>
      </c>
      <c r="C1018" s="3" t="str">
        <f aca="false">SUBSTITUTE(Raw_Data!B1018,".","")</f>
        <v>blue-collar</v>
      </c>
      <c r="D1018" s="3" t="str">
        <f aca="false">Raw_Data!C1018</f>
        <v>married</v>
      </c>
      <c r="E1018" s="3" t="str">
        <f aca="false">Raw_Data!D1018</f>
        <v>secondary</v>
      </c>
      <c r="F1018" s="3" t="str">
        <f aca="false">Raw_Data!E1018</f>
        <v>no</v>
      </c>
      <c r="G1018" s="3" t="n">
        <f aca="false">Raw_Data!F1018</f>
        <v>439</v>
      </c>
      <c r="H1018" s="3" t="str">
        <f aca="false">Raw_Data!G1018</f>
        <v>yes</v>
      </c>
      <c r="I1018" s="3" t="str">
        <f aca="false">Raw_Data!H1018</f>
        <v>no</v>
      </c>
      <c r="J1018" s="2" t="n">
        <f aca="false">IF(F1018="yes",1,0)</f>
        <v>0</v>
      </c>
      <c r="K1018" s="2" t="n">
        <f aca="false">IF(H1018="yes",1,0)</f>
        <v>1</v>
      </c>
      <c r="L1018" s="2" t="n">
        <f aca="false">IF(I1018="yes",1,0)</f>
        <v>0</v>
      </c>
      <c r="M1018" s="2" t="n">
        <f aca="false">IF(G1018&lt;0,1,0)</f>
        <v>0</v>
      </c>
      <c r="N1018" s="2" t="str">
        <f aca="false">_xlfn.IFS(B1018&lt;30,"Under 30",B1018&lt;40,"30-39",B1018&lt;50,"40-49",B1018&lt;60,"50-59",TRUE(),"60+")</f>
        <v>30-39</v>
      </c>
      <c r="O1018" s="2" t="str">
        <f aca="false">_xlfn.IFS(G1018&lt;0,"1 Negative",G1018=0,"2 Zero",G1018&lt;=500,"3 1-500",G1018&lt;=2000,"4 501-2000",TRUE(),"5 Above 2000")</f>
        <v>3 1-500</v>
      </c>
      <c r="P1018" s="2" t="n">
        <f aca="false">Lookups!$B$2*M1018+Lookups!$B$3*L1018</f>
        <v>0</v>
      </c>
      <c r="Q1018" s="2" t="str">
        <f aca="false">INDEX(Lookups!$E$2:$E$5,MATCH(P1018,Lookups!$D$2:$D$5,0))</f>
        <v>Low</v>
      </c>
    </row>
    <row r="1019" customFormat="false" ht="15" hidden="false" customHeight="false" outlineLevel="0" collapsed="false">
      <c r="A1019" s="3" t="n">
        <v>1018</v>
      </c>
      <c r="B1019" s="3" t="n">
        <f aca="false">Raw_Data!A1019</f>
        <v>49</v>
      </c>
      <c r="C1019" s="3" t="str">
        <f aca="false">SUBSTITUTE(Raw_Data!B1019,".","")</f>
        <v>blue-collar</v>
      </c>
      <c r="D1019" s="3" t="str">
        <f aca="false">Raw_Data!C1019</f>
        <v>married</v>
      </c>
      <c r="E1019" s="3" t="str">
        <f aca="false">Raw_Data!D1019</f>
        <v>secondary</v>
      </c>
      <c r="F1019" s="3" t="str">
        <f aca="false">Raw_Data!E1019</f>
        <v>no</v>
      </c>
      <c r="G1019" s="3" t="n">
        <f aca="false">Raw_Data!F1019</f>
        <v>-454</v>
      </c>
      <c r="H1019" s="3" t="str">
        <f aca="false">Raw_Data!G1019</f>
        <v>yes</v>
      </c>
      <c r="I1019" s="3" t="str">
        <f aca="false">Raw_Data!H1019</f>
        <v>no</v>
      </c>
      <c r="J1019" s="2" t="n">
        <f aca="false">IF(F1019="yes",1,0)</f>
        <v>0</v>
      </c>
      <c r="K1019" s="2" t="n">
        <f aca="false">IF(H1019="yes",1,0)</f>
        <v>1</v>
      </c>
      <c r="L1019" s="2" t="n">
        <f aca="false">IF(I1019="yes",1,0)</f>
        <v>0</v>
      </c>
      <c r="M1019" s="2" t="n">
        <f aca="false">IF(G1019&lt;0,1,0)</f>
        <v>1</v>
      </c>
      <c r="N1019" s="2" t="str">
        <f aca="false">_xlfn.IFS(B1019&lt;30,"Under 30",B1019&lt;40,"30-39",B1019&lt;50,"40-49",B1019&lt;60,"50-59",TRUE(),"60+")</f>
        <v>40-49</v>
      </c>
      <c r="O1019" s="2" t="str">
        <f aca="false">_xlfn.IFS(G1019&lt;0,"1 Negative",G1019=0,"2 Zero",G1019&lt;=500,"3 1-500",G1019&lt;=2000,"4 501-2000",TRUE(),"5 Above 2000")</f>
        <v>1 Negative</v>
      </c>
      <c r="P1019" s="2" t="n">
        <f aca="false">Lookups!$B$2*M1019+Lookups!$B$3*L1019</f>
        <v>2</v>
      </c>
      <c r="Q1019" s="2" t="str">
        <f aca="false">INDEX(Lookups!$E$2:$E$5,MATCH(P1019,Lookups!$D$2:$D$5,0))</f>
        <v>High</v>
      </c>
    </row>
    <row r="1020" customFormat="false" ht="15" hidden="false" customHeight="false" outlineLevel="0" collapsed="false">
      <c r="A1020" s="3" t="n">
        <v>1019</v>
      </c>
      <c r="B1020" s="3" t="n">
        <f aca="false">Raw_Data!A1020</f>
        <v>55</v>
      </c>
      <c r="C1020" s="3" t="str">
        <f aca="false">SUBSTITUTE(Raw_Data!B1020,".","")</f>
        <v>retired</v>
      </c>
      <c r="D1020" s="3" t="str">
        <f aca="false">Raw_Data!C1020</f>
        <v>married</v>
      </c>
      <c r="E1020" s="3" t="str">
        <f aca="false">Raw_Data!D1020</f>
        <v>secondary</v>
      </c>
      <c r="F1020" s="3" t="str">
        <f aca="false">Raw_Data!E1020</f>
        <v>no</v>
      </c>
      <c r="G1020" s="3" t="n">
        <f aca="false">Raw_Data!F1020</f>
        <v>466</v>
      </c>
      <c r="H1020" s="3" t="str">
        <f aca="false">Raw_Data!G1020</f>
        <v>no</v>
      </c>
      <c r="I1020" s="3" t="str">
        <f aca="false">Raw_Data!H1020</f>
        <v>no</v>
      </c>
      <c r="J1020" s="2" t="n">
        <f aca="false">IF(F1020="yes",1,0)</f>
        <v>0</v>
      </c>
      <c r="K1020" s="2" t="n">
        <f aca="false">IF(H1020="yes",1,0)</f>
        <v>0</v>
      </c>
      <c r="L1020" s="2" t="n">
        <f aca="false">IF(I1020="yes",1,0)</f>
        <v>0</v>
      </c>
      <c r="M1020" s="2" t="n">
        <f aca="false">IF(G1020&lt;0,1,0)</f>
        <v>0</v>
      </c>
      <c r="N1020" s="2" t="str">
        <f aca="false">_xlfn.IFS(B1020&lt;30,"Under 30",B1020&lt;40,"30-39",B1020&lt;50,"40-49",B1020&lt;60,"50-59",TRUE(),"60+")</f>
        <v>50-59</v>
      </c>
      <c r="O1020" s="2" t="str">
        <f aca="false">_xlfn.IFS(G1020&lt;0,"1 Negative",G1020=0,"2 Zero",G1020&lt;=500,"3 1-500",G1020&lt;=2000,"4 501-2000",TRUE(),"5 Above 2000")</f>
        <v>3 1-500</v>
      </c>
      <c r="P1020" s="2" t="n">
        <f aca="false">Lookups!$B$2*M1020+Lookups!$B$3*L1020</f>
        <v>0</v>
      </c>
      <c r="Q1020" s="2" t="str">
        <f aca="false">INDEX(Lookups!$E$2:$E$5,MATCH(P1020,Lookups!$D$2:$D$5,0))</f>
        <v>Low</v>
      </c>
    </row>
    <row r="1021" customFormat="false" ht="15" hidden="false" customHeight="false" outlineLevel="0" collapsed="false">
      <c r="A1021" s="3" t="n">
        <v>1020</v>
      </c>
      <c r="B1021" s="3" t="n">
        <f aca="false">Raw_Data!A1021</f>
        <v>53</v>
      </c>
      <c r="C1021" s="3" t="str">
        <f aca="false">SUBSTITUTE(Raw_Data!B1021,".","")</f>
        <v>retired</v>
      </c>
      <c r="D1021" s="3" t="str">
        <f aca="false">Raw_Data!C1021</f>
        <v>married</v>
      </c>
      <c r="E1021" s="3" t="str">
        <f aca="false">Raw_Data!D1021</f>
        <v>secondary</v>
      </c>
      <c r="F1021" s="3" t="str">
        <f aca="false">Raw_Data!E1021</f>
        <v>no</v>
      </c>
      <c r="G1021" s="3" t="n">
        <f aca="false">Raw_Data!F1021</f>
        <v>665</v>
      </c>
      <c r="H1021" s="3" t="str">
        <f aca="false">Raw_Data!G1021</f>
        <v>yes</v>
      </c>
      <c r="I1021" s="3" t="str">
        <f aca="false">Raw_Data!H1021</f>
        <v>no</v>
      </c>
      <c r="J1021" s="2" t="n">
        <f aca="false">IF(F1021="yes",1,0)</f>
        <v>0</v>
      </c>
      <c r="K1021" s="2" t="n">
        <f aca="false">IF(H1021="yes",1,0)</f>
        <v>1</v>
      </c>
      <c r="L1021" s="2" t="n">
        <f aca="false">IF(I1021="yes",1,0)</f>
        <v>0</v>
      </c>
      <c r="M1021" s="2" t="n">
        <f aca="false">IF(G1021&lt;0,1,0)</f>
        <v>0</v>
      </c>
      <c r="N1021" s="2" t="str">
        <f aca="false">_xlfn.IFS(B1021&lt;30,"Under 30",B1021&lt;40,"30-39",B1021&lt;50,"40-49",B1021&lt;60,"50-59",TRUE(),"60+")</f>
        <v>50-59</v>
      </c>
      <c r="O1021" s="2" t="str">
        <f aca="false">_xlfn.IFS(G1021&lt;0,"1 Negative",G1021=0,"2 Zero",G1021&lt;=500,"3 1-500",G1021&lt;=2000,"4 501-2000",TRUE(),"5 Above 2000")</f>
        <v>4 501-2000</v>
      </c>
      <c r="P1021" s="2" t="n">
        <f aca="false">Lookups!$B$2*M1021+Lookups!$B$3*L1021</f>
        <v>0</v>
      </c>
      <c r="Q1021" s="2" t="str">
        <f aca="false">INDEX(Lookups!$E$2:$E$5,MATCH(P1021,Lookups!$D$2:$D$5,0))</f>
        <v>Low</v>
      </c>
    </row>
    <row r="1022" customFormat="false" ht="15" hidden="false" customHeight="false" outlineLevel="0" collapsed="false">
      <c r="A1022" s="3" t="n">
        <v>1021</v>
      </c>
      <c r="B1022" s="3" t="n">
        <f aca="false">Raw_Data!A1022</f>
        <v>42</v>
      </c>
      <c r="C1022" s="3" t="str">
        <f aca="false">SUBSTITUTE(Raw_Data!B1022,".","")</f>
        <v>technician</v>
      </c>
      <c r="D1022" s="3" t="str">
        <f aca="false">Raw_Data!C1022</f>
        <v>married</v>
      </c>
      <c r="E1022" s="3" t="str">
        <f aca="false">Raw_Data!D1022</f>
        <v>secondary</v>
      </c>
      <c r="F1022" s="3" t="str">
        <f aca="false">Raw_Data!E1022</f>
        <v>no</v>
      </c>
      <c r="G1022" s="3" t="n">
        <f aca="false">Raw_Data!F1022</f>
        <v>994</v>
      </c>
      <c r="H1022" s="3" t="str">
        <f aca="false">Raw_Data!G1022</f>
        <v>yes</v>
      </c>
      <c r="I1022" s="3" t="str">
        <f aca="false">Raw_Data!H1022</f>
        <v>no</v>
      </c>
      <c r="J1022" s="2" t="n">
        <f aca="false">IF(F1022="yes",1,0)</f>
        <v>0</v>
      </c>
      <c r="K1022" s="2" t="n">
        <f aca="false">IF(H1022="yes",1,0)</f>
        <v>1</v>
      </c>
      <c r="L1022" s="2" t="n">
        <f aca="false">IF(I1022="yes",1,0)</f>
        <v>0</v>
      </c>
      <c r="M1022" s="2" t="n">
        <f aca="false">IF(G1022&lt;0,1,0)</f>
        <v>0</v>
      </c>
      <c r="N1022" s="2" t="str">
        <f aca="false">_xlfn.IFS(B1022&lt;30,"Under 30",B1022&lt;40,"30-39",B1022&lt;50,"40-49",B1022&lt;60,"50-59",TRUE(),"60+")</f>
        <v>40-49</v>
      </c>
      <c r="O1022" s="2" t="str">
        <f aca="false">_xlfn.IFS(G1022&lt;0,"1 Negative",G1022=0,"2 Zero",G1022&lt;=500,"3 1-500",G1022&lt;=2000,"4 501-2000",TRUE(),"5 Above 2000")</f>
        <v>4 501-2000</v>
      </c>
      <c r="P1022" s="2" t="n">
        <f aca="false">Lookups!$B$2*M1022+Lookups!$B$3*L1022</f>
        <v>0</v>
      </c>
      <c r="Q1022" s="2" t="str">
        <f aca="false">INDEX(Lookups!$E$2:$E$5,MATCH(P1022,Lookups!$D$2:$D$5,0))</f>
        <v>Low</v>
      </c>
    </row>
    <row r="1023" customFormat="false" ht="15" hidden="false" customHeight="false" outlineLevel="0" collapsed="false">
      <c r="A1023" s="3" t="n">
        <v>1022</v>
      </c>
      <c r="B1023" s="3" t="n">
        <f aca="false">Raw_Data!A1023</f>
        <v>45</v>
      </c>
      <c r="C1023" s="3" t="str">
        <f aca="false">SUBSTITUTE(Raw_Data!B1023,".","")</f>
        <v>admin</v>
      </c>
      <c r="D1023" s="3" t="str">
        <f aca="false">Raw_Data!C1023</f>
        <v>married</v>
      </c>
      <c r="E1023" s="3" t="str">
        <f aca="false">Raw_Data!D1023</f>
        <v>secondary</v>
      </c>
      <c r="F1023" s="3" t="str">
        <f aca="false">Raw_Data!E1023</f>
        <v>no</v>
      </c>
      <c r="G1023" s="3" t="n">
        <f aca="false">Raw_Data!F1023</f>
        <v>5346</v>
      </c>
      <c r="H1023" s="3" t="str">
        <f aca="false">Raw_Data!G1023</f>
        <v>yes</v>
      </c>
      <c r="I1023" s="3" t="str">
        <f aca="false">Raw_Data!H1023</f>
        <v>yes</v>
      </c>
      <c r="J1023" s="2" t="n">
        <f aca="false">IF(F1023="yes",1,0)</f>
        <v>0</v>
      </c>
      <c r="K1023" s="2" t="n">
        <f aca="false">IF(H1023="yes",1,0)</f>
        <v>1</v>
      </c>
      <c r="L1023" s="2" t="n">
        <f aca="false">IF(I1023="yes",1,0)</f>
        <v>1</v>
      </c>
      <c r="M1023" s="2" t="n">
        <f aca="false">IF(G1023&lt;0,1,0)</f>
        <v>0</v>
      </c>
      <c r="N1023" s="2" t="str">
        <f aca="false">_xlfn.IFS(B1023&lt;30,"Under 30",B1023&lt;40,"30-39",B1023&lt;50,"40-49",B1023&lt;60,"50-59",TRUE(),"60+")</f>
        <v>40-49</v>
      </c>
      <c r="O1023" s="2" t="str">
        <f aca="false">_xlfn.IFS(G1023&lt;0,"1 Negative",G1023=0,"2 Zero",G1023&lt;=500,"3 1-500",G1023&lt;=2000,"4 501-2000",TRUE(),"5 Above 2000")</f>
        <v>5 Above 2000</v>
      </c>
      <c r="P1023" s="2" t="n">
        <f aca="false">Lookups!$B$2*M1023+Lookups!$B$3*L1023</f>
        <v>1</v>
      </c>
      <c r="Q1023" s="2" t="str">
        <f aca="false">INDEX(Lookups!$E$2:$E$5,MATCH(P1023,Lookups!$D$2:$D$5,0))</f>
        <v>Medium</v>
      </c>
    </row>
    <row r="1024" customFormat="false" ht="15" hidden="false" customHeight="false" outlineLevel="0" collapsed="false">
      <c r="A1024" s="3" t="n">
        <v>1023</v>
      </c>
      <c r="B1024" s="3" t="n">
        <f aca="false">Raw_Data!A1024</f>
        <v>31</v>
      </c>
      <c r="C1024" s="3" t="str">
        <f aca="false">SUBSTITUTE(Raw_Data!B1024,".","")</f>
        <v>blue-collar</v>
      </c>
      <c r="D1024" s="3" t="str">
        <f aca="false">Raw_Data!C1024</f>
        <v>married</v>
      </c>
      <c r="E1024" s="3" t="str">
        <f aca="false">Raw_Data!D1024</f>
        <v>secondary</v>
      </c>
      <c r="F1024" s="3" t="str">
        <f aca="false">Raw_Data!E1024</f>
        <v>no</v>
      </c>
      <c r="G1024" s="3" t="n">
        <f aca="false">Raw_Data!F1024</f>
        <v>1243</v>
      </c>
      <c r="H1024" s="3" t="str">
        <f aca="false">Raw_Data!G1024</f>
        <v>yes</v>
      </c>
      <c r="I1024" s="3" t="str">
        <f aca="false">Raw_Data!H1024</f>
        <v>no</v>
      </c>
      <c r="J1024" s="2" t="n">
        <f aca="false">IF(F1024="yes",1,0)</f>
        <v>0</v>
      </c>
      <c r="K1024" s="2" t="n">
        <f aca="false">IF(H1024="yes",1,0)</f>
        <v>1</v>
      </c>
      <c r="L1024" s="2" t="n">
        <f aca="false">IF(I1024="yes",1,0)</f>
        <v>0</v>
      </c>
      <c r="M1024" s="2" t="n">
        <f aca="false">IF(G1024&lt;0,1,0)</f>
        <v>0</v>
      </c>
      <c r="N1024" s="2" t="str">
        <f aca="false">_xlfn.IFS(B1024&lt;30,"Under 30",B1024&lt;40,"30-39",B1024&lt;50,"40-49",B1024&lt;60,"50-59",TRUE(),"60+")</f>
        <v>30-39</v>
      </c>
      <c r="O1024" s="2" t="str">
        <f aca="false">_xlfn.IFS(G1024&lt;0,"1 Negative",G1024=0,"2 Zero",G1024&lt;=500,"3 1-500",G1024&lt;=2000,"4 501-2000",TRUE(),"5 Above 2000")</f>
        <v>4 501-2000</v>
      </c>
      <c r="P1024" s="2" t="n">
        <f aca="false">Lookups!$B$2*M1024+Lookups!$B$3*L1024</f>
        <v>0</v>
      </c>
      <c r="Q1024" s="2" t="str">
        <f aca="false">INDEX(Lookups!$E$2:$E$5,MATCH(P1024,Lookups!$D$2:$D$5,0))</f>
        <v>Low</v>
      </c>
    </row>
    <row r="1025" customFormat="false" ht="15" hidden="false" customHeight="false" outlineLevel="0" collapsed="false">
      <c r="A1025" s="3" t="n">
        <v>1024</v>
      </c>
      <c r="B1025" s="3" t="n">
        <f aca="false">Raw_Data!A1025</f>
        <v>32</v>
      </c>
      <c r="C1025" s="3" t="str">
        <f aca="false">SUBSTITUTE(Raw_Data!B1025,".","")</f>
        <v>admin</v>
      </c>
      <c r="D1025" s="3" t="str">
        <f aca="false">Raw_Data!C1025</f>
        <v>married</v>
      </c>
      <c r="E1025" s="3" t="str">
        <f aca="false">Raw_Data!D1025</f>
        <v>tertiary</v>
      </c>
      <c r="F1025" s="3" t="str">
        <f aca="false">Raw_Data!E1025</f>
        <v>no</v>
      </c>
      <c r="G1025" s="3" t="n">
        <f aca="false">Raw_Data!F1025</f>
        <v>0</v>
      </c>
      <c r="H1025" s="3" t="str">
        <f aca="false">Raw_Data!G1025</f>
        <v>yes</v>
      </c>
      <c r="I1025" s="3" t="str">
        <f aca="false">Raw_Data!H1025</f>
        <v>no</v>
      </c>
      <c r="J1025" s="2" t="n">
        <f aca="false">IF(F1025="yes",1,0)</f>
        <v>0</v>
      </c>
      <c r="K1025" s="2" t="n">
        <f aca="false">IF(H1025="yes",1,0)</f>
        <v>1</v>
      </c>
      <c r="L1025" s="2" t="n">
        <f aca="false">IF(I1025="yes",1,0)</f>
        <v>0</v>
      </c>
      <c r="M1025" s="2" t="n">
        <f aca="false">IF(G1025&lt;0,1,0)</f>
        <v>0</v>
      </c>
      <c r="N1025" s="2" t="str">
        <f aca="false">_xlfn.IFS(B1025&lt;30,"Under 30",B1025&lt;40,"30-39",B1025&lt;50,"40-49",B1025&lt;60,"50-59",TRUE(),"60+")</f>
        <v>30-39</v>
      </c>
      <c r="O1025" s="2" t="str">
        <f aca="false">_xlfn.IFS(G1025&lt;0,"1 Negative",G1025=0,"2 Zero",G1025&lt;=500,"3 1-500",G1025&lt;=2000,"4 501-2000",TRUE(),"5 Above 2000")</f>
        <v>2 Zero</v>
      </c>
      <c r="P1025" s="2" t="n">
        <f aca="false">Lookups!$B$2*M1025+Lookups!$B$3*L1025</f>
        <v>0</v>
      </c>
      <c r="Q1025" s="2" t="str">
        <f aca="false">INDEX(Lookups!$E$2:$E$5,MATCH(P1025,Lookups!$D$2:$D$5,0))</f>
        <v>Low</v>
      </c>
    </row>
    <row r="1026" customFormat="false" ht="15" hidden="false" customHeight="false" outlineLevel="0" collapsed="false">
      <c r="A1026" s="3" t="n">
        <v>1025</v>
      </c>
      <c r="B1026" s="3" t="n">
        <f aca="false">Raw_Data!A1026</f>
        <v>36</v>
      </c>
      <c r="C1026" s="3" t="str">
        <f aca="false">SUBSTITUTE(Raw_Data!B1026,".","")</f>
        <v>blue-collar</v>
      </c>
      <c r="D1026" s="3" t="str">
        <f aca="false">Raw_Data!C1026</f>
        <v>married</v>
      </c>
      <c r="E1026" s="3" t="str">
        <f aca="false">Raw_Data!D1026</f>
        <v>secondary</v>
      </c>
      <c r="F1026" s="3" t="str">
        <f aca="false">Raw_Data!E1026</f>
        <v>no</v>
      </c>
      <c r="G1026" s="3" t="n">
        <f aca="false">Raw_Data!F1026</f>
        <v>2357</v>
      </c>
      <c r="H1026" s="3" t="str">
        <f aca="false">Raw_Data!G1026</f>
        <v>yes</v>
      </c>
      <c r="I1026" s="3" t="str">
        <f aca="false">Raw_Data!H1026</f>
        <v>no</v>
      </c>
      <c r="J1026" s="2" t="n">
        <f aca="false">IF(F1026="yes",1,0)</f>
        <v>0</v>
      </c>
      <c r="K1026" s="2" t="n">
        <f aca="false">IF(H1026="yes",1,0)</f>
        <v>1</v>
      </c>
      <c r="L1026" s="2" t="n">
        <f aca="false">IF(I1026="yes",1,0)</f>
        <v>0</v>
      </c>
      <c r="M1026" s="2" t="n">
        <f aca="false">IF(G1026&lt;0,1,0)</f>
        <v>0</v>
      </c>
      <c r="N1026" s="2" t="str">
        <f aca="false">_xlfn.IFS(B1026&lt;30,"Under 30",B1026&lt;40,"30-39",B1026&lt;50,"40-49",B1026&lt;60,"50-59",TRUE(),"60+")</f>
        <v>30-39</v>
      </c>
      <c r="O1026" s="2" t="str">
        <f aca="false">_xlfn.IFS(G1026&lt;0,"1 Negative",G1026=0,"2 Zero",G1026&lt;=500,"3 1-500",G1026&lt;=2000,"4 501-2000",TRUE(),"5 Above 2000")</f>
        <v>5 Above 2000</v>
      </c>
      <c r="P1026" s="2" t="n">
        <f aca="false">Lookups!$B$2*M1026+Lookups!$B$3*L1026</f>
        <v>0</v>
      </c>
      <c r="Q1026" s="2" t="str">
        <f aca="false">INDEX(Lookups!$E$2:$E$5,MATCH(P1026,Lookups!$D$2:$D$5,0))</f>
        <v>Low</v>
      </c>
    </row>
    <row r="1027" customFormat="false" ht="15" hidden="false" customHeight="false" outlineLevel="0" collapsed="false">
      <c r="A1027" s="3" t="n">
        <v>1026</v>
      </c>
      <c r="B1027" s="3" t="n">
        <f aca="false">Raw_Data!A1027</f>
        <v>56</v>
      </c>
      <c r="C1027" s="3" t="str">
        <f aca="false">SUBSTITUTE(Raw_Data!B1027,".","")</f>
        <v>retired</v>
      </c>
      <c r="D1027" s="3" t="str">
        <f aca="false">Raw_Data!C1027</f>
        <v>married</v>
      </c>
      <c r="E1027" s="3" t="str">
        <f aca="false">Raw_Data!D1027</f>
        <v>secondary</v>
      </c>
      <c r="F1027" s="3" t="str">
        <f aca="false">Raw_Data!E1027</f>
        <v>no</v>
      </c>
      <c r="G1027" s="3" t="n">
        <f aca="false">Raw_Data!F1027</f>
        <v>1044</v>
      </c>
      <c r="H1027" s="3" t="str">
        <f aca="false">Raw_Data!G1027</f>
        <v>no</v>
      </c>
      <c r="I1027" s="3" t="str">
        <f aca="false">Raw_Data!H1027</f>
        <v>no</v>
      </c>
      <c r="J1027" s="2" t="n">
        <f aca="false">IF(F1027="yes",1,0)</f>
        <v>0</v>
      </c>
      <c r="K1027" s="2" t="n">
        <f aca="false">IF(H1027="yes",1,0)</f>
        <v>0</v>
      </c>
      <c r="L1027" s="2" t="n">
        <f aca="false">IF(I1027="yes",1,0)</f>
        <v>0</v>
      </c>
      <c r="M1027" s="2" t="n">
        <f aca="false">IF(G1027&lt;0,1,0)</f>
        <v>0</v>
      </c>
      <c r="N1027" s="2" t="str">
        <f aca="false">_xlfn.IFS(B1027&lt;30,"Under 30",B1027&lt;40,"30-39",B1027&lt;50,"40-49",B1027&lt;60,"50-59",TRUE(),"60+")</f>
        <v>50-59</v>
      </c>
      <c r="O1027" s="2" t="str">
        <f aca="false">_xlfn.IFS(G1027&lt;0,"1 Negative",G1027=0,"2 Zero",G1027&lt;=500,"3 1-500",G1027&lt;=2000,"4 501-2000",TRUE(),"5 Above 2000")</f>
        <v>4 501-2000</v>
      </c>
      <c r="P1027" s="2" t="n">
        <f aca="false">Lookups!$B$2*M1027+Lookups!$B$3*L1027</f>
        <v>0</v>
      </c>
      <c r="Q1027" s="2" t="str">
        <f aca="false">INDEX(Lookups!$E$2:$E$5,MATCH(P1027,Lookups!$D$2:$D$5,0))</f>
        <v>Low</v>
      </c>
    </row>
    <row r="1028" customFormat="false" ht="15" hidden="false" customHeight="false" outlineLevel="0" collapsed="false">
      <c r="A1028" s="3" t="n">
        <v>1027</v>
      </c>
      <c r="B1028" s="3" t="n">
        <f aca="false">Raw_Data!A1028</f>
        <v>46</v>
      </c>
      <c r="C1028" s="3" t="str">
        <f aca="false">SUBSTITUTE(Raw_Data!B1028,".","")</f>
        <v>admin</v>
      </c>
      <c r="D1028" s="3" t="str">
        <f aca="false">Raw_Data!C1028</f>
        <v>married</v>
      </c>
      <c r="E1028" s="3" t="str">
        <f aca="false">Raw_Data!D1028</f>
        <v>secondary</v>
      </c>
      <c r="F1028" s="3" t="str">
        <f aca="false">Raw_Data!E1028</f>
        <v>no</v>
      </c>
      <c r="G1028" s="3" t="n">
        <f aca="false">Raw_Data!F1028</f>
        <v>1069</v>
      </c>
      <c r="H1028" s="3" t="str">
        <f aca="false">Raw_Data!G1028</f>
        <v>yes</v>
      </c>
      <c r="I1028" s="3" t="str">
        <f aca="false">Raw_Data!H1028</f>
        <v>no</v>
      </c>
      <c r="J1028" s="2" t="n">
        <f aca="false">IF(F1028="yes",1,0)</f>
        <v>0</v>
      </c>
      <c r="K1028" s="2" t="n">
        <f aca="false">IF(H1028="yes",1,0)</f>
        <v>1</v>
      </c>
      <c r="L1028" s="2" t="n">
        <f aca="false">IF(I1028="yes",1,0)</f>
        <v>0</v>
      </c>
      <c r="M1028" s="2" t="n">
        <f aca="false">IF(G1028&lt;0,1,0)</f>
        <v>0</v>
      </c>
      <c r="N1028" s="2" t="str">
        <f aca="false">_xlfn.IFS(B1028&lt;30,"Under 30",B1028&lt;40,"30-39",B1028&lt;50,"40-49",B1028&lt;60,"50-59",TRUE(),"60+")</f>
        <v>40-49</v>
      </c>
      <c r="O1028" s="2" t="str">
        <f aca="false">_xlfn.IFS(G1028&lt;0,"1 Negative",G1028=0,"2 Zero",G1028&lt;=500,"3 1-500",G1028&lt;=2000,"4 501-2000",TRUE(),"5 Above 2000")</f>
        <v>4 501-2000</v>
      </c>
      <c r="P1028" s="2" t="n">
        <f aca="false">Lookups!$B$2*M1028+Lookups!$B$3*L1028</f>
        <v>0</v>
      </c>
      <c r="Q1028" s="2" t="str">
        <f aca="false">INDEX(Lookups!$E$2:$E$5,MATCH(P1028,Lookups!$D$2:$D$5,0))</f>
        <v>Low</v>
      </c>
    </row>
    <row r="1029" customFormat="false" ht="15" hidden="false" customHeight="false" outlineLevel="0" collapsed="false">
      <c r="A1029" s="3" t="n">
        <v>1028</v>
      </c>
      <c r="B1029" s="3" t="n">
        <f aca="false">Raw_Data!A1029</f>
        <v>41</v>
      </c>
      <c r="C1029" s="3" t="str">
        <f aca="false">SUBSTITUTE(Raw_Data!B1029,".","")</f>
        <v>housemaid</v>
      </c>
      <c r="D1029" s="3" t="str">
        <f aca="false">Raw_Data!C1029</f>
        <v>single</v>
      </c>
      <c r="E1029" s="3" t="str">
        <f aca="false">Raw_Data!D1029</f>
        <v>secondary</v>
      </c>
      <c r="F1029" s="3" t="str">
        <f aca="false">Raw_Data!E1029</f>
        <v>no</v>
      </c>
      <c r="G1029" s="3" t="n">
        <f aca="false">Raw_Data!F1029</f>
        <v>231</v>
      </c>
      <c r="H1029" s="3" t="str">
        <f aca="false">Raw_Data!G1029</f>
        <v>no</v>
      </c>
      <c r="I1029" s="3" t="str">
        <f aca="false">Raw_Data!H1029</f>
        <v>no</v>
      </c>
      <c r="J1029" s="2" t="n">
        <f aca="false">IF(F1029="yes",1,0)</f>
        <v>0</v>
      </c>
      <c r="K1029" s="2" t="n">
        <f aca="false">IF(H1029="yes",1,0)</f>
        <v>0</v>
      </c>
      <c r="L1029" s="2" t="n">
        <f aca="false">IF(I1029="yes",1,0)</f>
        <v>0</v>
      </c>
      <c r="M1029" s="2" t="n">
        <f aca="false">IF(G1029&lt;0,1,0)</f>
        <v>0</v>
      </c>
      <c r="N1029" s="2" t="str">
        <f aca="false">_xlfn.IFS(B1029&lt;30,"Under 30",B1029&lt;40,"30-39",B1029&lt;50,"40-49",B1029&lt;60,"50-59",TRUE(),"60+")</f>
        <v>40-49</v>
      </c>
      <c r="O1029" s="2" t="str">
        <f aca="false">_xlfn.IFS(G1029&lt;0,"1 Negative",G1029=0,"2 Zero",G1029&lt;=500,"3 1-500",G1029&lt;=2000,"4 501-2000",TRUE(),"5 Above 2000")</f>
        <v>3 1-500</v>
      </c>
      <c r="P1029" s="2" t="n">
        <f aca="false">Lookups!$B$2*M1029+Lookups!$B$3*L1029</f>
        <v>0</v>
      </c>
      <c r="Q1029" s="2" t="str">
        <f aca="false">INDEX(Lookups!$E$2:$E$5,MATCH(P1029,Lookups!$D$2:$D$5,0))</f>
        <v>Low</v>
      </c>
    </row>
    <row r="1030" customFormat="false" ht="15" hidden="false" customHeight="false" outlineLevel="0" collapsed="false">
      <c r="A1030" s="3" t="n">
        <v>1029</v>
      </c>
      <c r="B1030" s="3" t="n">
        <f aca="false">Raw_Data!A1030</f>
        <v>31</v>
      </c>
      <c r="C1030" s="3" t="str">
        <f aca="false">SUBSTITUTE(Raw_Data!B1030,".","")</f>
        <v>admin</v>
      </c>
      <c r="D1030" s="3" t="str">
        <f aca="false">Raw_Data!C1030</f>
        <v>married</v>
      </c>
      <c r="E1030" s="3" t="str">
        <f aca="false">Raw_Data!D1030</f>
        <v>secondary</v>
      </c>
      <c r="F1030" s="3" t="str">
        <f aca="false">Raw_Data!E1030</f>
        <v>no</v>
      </c>
      <c r="G1030" s="3" t="n">
        <f aca="false">Raw_Data!F1030</f>
        <v>0</v>
      </c>
      <c r="H1030" s="3" t="str">
        <f aca="false">Raw_Data!G1030</f>
        <v>yes</v>
      </c>
      <c r="I1030" s="3" t="str">
        <f aca="false">Raw_Data!H1030</f>
        <v>yes</v>
      </c>
      <c r="J1030" s="2" t="n">
        <f aca="false">IF(F1030="yes",1,0)</f>
        <v>0</v>
      </c>
      <c r="K1030" s="2" t="n">
        <f aca="false">IF(H1030="yes",1,0)</f>
        <v>1</v>
      </c>
      <c r="L1030" s="2" t="n">
        <f aca="false">IF(I1030="yes",1,0)</f>
        <v>1</v>
      </c>
      <c r="M1030" s="2" t="n">
        <f aca="false">IF(G1030&lt;0,1,0)</f>
        <v>0</v>
      </c>
      <c r="N1030" s="2" t="str">
        <f aca="false">_xlfn.IFS(B1030&lt;30,"Under 30",B1030&lt;40,"30-39",B1030&lt;50,"40-49",B1030&lt;60,"50-59",TRUE(),"60+")</f>
        <v>30-39</v>
      </c>
      <c r="O1030" s="2" t="str">
        <f aca="false">_xlfn.IFS(G1030&lt;0,"1 Negative",G1030=0,"2 Zero",G1030&lt;=500,"3 1-500",G1030&lt;=2000,"4 501-2000",TRUE(),"5 Above 2000")</f>
        <v>2 Zero</v>
      </c>
      <c r="P1030" s="2" t="n">
        <f aca="false">Lookups!$B$2*M1030+Lookups!$B$3*L1030</f>
        <v>1</v>
      </c>
      <c r="Q1030" s="2" t="str">
        <f aca="false">INDEX(Lookups!$E$2:$E$5,MATCH(P1030,Lookups!$D$2:$D$5,0))</f>
        <v>Medium</v>
      </c>
    </row>
    <row r="1031" customFormat="false" ht="15" hidden="false" customHeight="false" outlineLevel="0" collapsed="false">
      <c r="A1031" s="3" t="n">
        <v>1030</v>
      </c>
      <c r="B1031" s="3" t="n">
        <f aca="false">Raw_Data!A1031</f>
        <v>32</v>
      </c>
      <c r="C1031" s="3" t="str">
        <f aca="false">SUBSTITUTE(Raw_Data!B1031,".","")</f>
        <v>technician</v>
      </c>
      <c r="D1031" s="3" t="str">
        <f aca="false">Raw_Data!C1031</f>
        <v>married</v>
      </c>
      <c r="E1031" s="3" t="str">
        <f aca="false">Raw_Data!D1031</f>
        <v>secondary</v>
      </c>
      <c r="F1031" s="3" t="str">
        <f aca="false">Raw_Data!E1031</f>
        <v>no</v>
      </c>
      <c r="G1031" s="3" t="n">
        <f aca="false">Raw_Data!F1031</f>
        <v>266</v>
      </c>
      <c r="H1031" s="3" t="str">
        <f aca="false">Raw_Data!G1031</f>
        <v>yes</v>
      </c>
      <c r="I1031" s="3" t="str">
        <f aca="false">Raw_Data!H1031</f>
        <v>no</v>
      </c>
      <c r="J1031" s="2" t="n">
        <f aca="false">IF(F1031="yes",1,0)</f>
        <v>0</v>
      </c>
      <c r="K1031" s="2" t="n">
        <f aca="false">IF(H1031="yes",1,0)</f>
        <v>1</v>
      </c>
      <c r="L1031" s="2" t="n">
        <f aca="false">IF(I1031="yes",1,0)</f>
        <v>0</v>
      </c>
      <c r="M1031" s="2" t="n">
        <f aca="false">IF(G1031&lt;0,1,0)</f>
        <v>0</v>
      </c>
      <c r="N1031" s="2" t="str">
        <f aca="false">_xlfn.IFS(B1031&lt;30,"Under 30",B1031&lt;40,"30-39",B1031&lt;50,"40-49",B1031&lt;60,"50-59",TRUE(),"60+")</f>
        <v>30-39</v>
      </c>
      <c r="O1031" s="2" t="str">
        <f aca="false">_xlfn.IFS(G1031&lt;0,"1 Negative",G1031=0,"2 Zero",G1031&lt;=500,"3 1-500",G1031&lt;=2000,"4 501-2000",TRUE(),"5 Above 2000")</f>
        <v>3 1-500</v>
      </c>
      <c r="P1031" s="2" t="n">
        <f aca="false">Lookups!$B$2*M1031+Lookups!$B$3*L1031</f>
        <v>0</v>
      </c>
      <c r="Q1031" s="2" t="str">
        <f aca="false">INDEX(Lookups!$E$2:$E$5,MATCH(P1031,Lookups!$D$2:$D$5,0))</f>
        <v>Low</v>
      </c>
    </row>
    <row r="1032" customFormat="false" ht="15" hidden="false" customHeight="false" outlineLevel="0" collapsed="false">
      <c r="A1032" s="3" t="n">
        <v>1031</v>
      </c>
      <c r="B1032" s="3" t="n">
        <f aca="false">Raw_Data!A1032</f>
        <v>38</v>
      </c>
      <c r="C1032" s="3" t="str">
        <f aca="false">SUBSTITUTE(Raw_Data!B1032,".","")</f>
        <v>management</v>
      </c>
      <c r="D1032" s="3" t="str">
        <f aca="false">Raw_Data!C1032</f>
        <v>married</v>
      </c>
      <c r="E1032" s="3" t="str">
        <f aca="false">Raw_Data!D1032</f>
        <v>tertiary</v>
      </c>
      <c r="F1032" s="3" t="str">
        <f aca="false">Raw_Data!E1032</f>
        <v>no</v>
      </c>
      <c r="G1032" s="3" t="n">
        <f aca="false">Raw_Data!F1032</f>
        <v>-70</v>
      </c>
      <c r="H1032" s="3" t="str">
        <f aca="false">Raw_Data!G1032</f>
        <v>yes</v>
      </c>
      <c r="I1032" s="3" t="str">
        <f aca="false">Raw_Data!H1032</f>
        <v>no</v>
      </c>
      <c r="J1032" s="2" t="n">
        <f aca="false">IF(F1032="yes",1,0)</f>
        <v>0</v>
      </c>
      <c r="K1032" s="2" t="n">
        <f aca="false">IF(H1032="yes",1,0)</f>
        <v>1</v>
      </c>
      <c r="L1032" s="2" t="n">
        <f aca="false">IF(I1032="yes",1,0)</f>
        <v>0</v>
      </c>
      <c r="M1032" s="2" t="n">
        <f aca="false">IF(G1032&lt;0,1,0)</f>
        <v>1</v>
      </c>
      <c r="N1032" s="2" t="str">
        <f aca="false">_xlfn.IFS(B1032&lt;30,"Under 30",B1032&lt;40,"30-39",B1032&lt;50,"40-49",B1032&lt;60,"50-59",TRUE(),"60+")</f>
        <v>30-39</v>
      </c>
      <c r="O1032" s="2" t="str">
        <f aca="false">_xlfn.IFS(G1032&lt;0,"1 Negative",G1032=0,"2 Zero",G1032&lt;=500,"3 1-500",G1032&lt;=2000,"4 501-2000",TRUE(),"5 Above 2000")</f>
        <v>1 Negative</v>
      </c>
      <c r="P1032" s="2" t="n">
        <f aca="false">Lookups!$B$2*M1032+Lookups!$B$3*L1032</f>
        <v>2</v>
      </c>
      <c r="Q1032" s="2" t="str">
        <f aca="false">INDEX(Lookups!$E$2:$E$5,MATCH(P1032,Lookups!$D$2:$D$5,0))</f>
        <v>High</v>
      </c>
    </row>
    <row r="1033" customFormat="false" ht="15" hidden="false" customHeight="false" outlineLevel="0" collapsed="false">
      <c r="A1033" s="3" t="n">
        <v>1032</v>
      </c>
      <c r="B1033" s="3" t="n">
        <f aca="false">Raw_Data!A1033</f>
        <v>49</v>
      </c>
      <c r="C1033" s="3" t="str">
        <f aca="false">SUBSTITUTE(Raw_Data!B1033,".","")</f>
        <v>retired</v>
      </c>
      <c r="D1033" s="3" t="str">
        <f aca="false">Raw_Data!C1033</f>
        <v>single</v>
      </c>
      <c r="E1033" s="3" t="str">
        <f aca="false">Raw_Data!D1033</f>
        <v>primary</v>
      </c>
      <c r="F1033" s="3" t="str">
        <f aca="false">Raw_Data!E1033</f>
        <v>no</v>
      </c>
      <c r="G1033" s="3" t="n">
        <f aca="false">Raw_Data!F1033</f>
        <v>25824</v>
      </c>
      <c r="H1033" s="3" t="str">
        <f aca="false">Raw_Data!G1033</f>
        <v>no</v>
      </c>
      <c r="I1033" s="3" t="str">
        <f aca="false">Raw_Data!H1033</f>
        <v>no</v>
      </c>
      <c r="J1033" s="2" t="n">
        <f aca="false">IF(F1033="yes",1,0)</f>
        <v>0</v>
      </c>
      <c r="K1033" s="2" t="n">
        <f aca="false">IF(H1033="yes",1,0)</f>
        <v>0</v>
      </c>
      <c r="L1033" s="2" t="n">
        <f aca="false">IF(I1033="yes",1,0)</f>
        <v>0</v>
      </c>
      <c r="M1033" s="2" t="n">
        <f aca="false">IF(G1033&lt;0,1,0)</f>
        <v>0</v>
      </c>
      <c r="N1033" s="2" t="str">
        <f aca="false">_xlfn.IFS(B1033&lt;30,"Under 30",B1033&lt;40,"30-39",B1033&lt;50,"40-49",B1033&lt;60,"50-59",TRUE(),"60+")</f>
        <v>40-49</v>
      </c>
      <c r="O1033" s="2" t="str">
        <f aca="false">_xlfn.IFS(G1033&lt;0,"1 Negative",G1033=0,"2 Zero",G1033&lt;=500,"3 1-500",G1033&lt;=2000,"4 501-2000",TRUE(),"5 Above 2000")</f>
        <v>5 Above 2000</v>
      </c>
      <c r="P1033" s="2" t="n">
        <f aca="false">Lookups!$B$2*M1033+Lookups!$B$3*L1033</f>
        <v>0</v>
      </c>
      <c r="Q1033" s="2" t="str">
        <f aca="false">INDEX(Lookups!$E$2:$E$5,MATCH(P1033,Lookups!$D$2:$D$5,0))</f>
        <v>Low</v>
      </c>
    </row>
    <row r="1034" customFormat="false" ht="15" hidden="false" customHeight="false" outlineLevel="0" collapsed="false">
      <c r="A1034" s="3" t="n">
        <v>1033</v>
      </c>
      <c r="B1034" s="3" t="n">
        <f aca="false">Raw_Data!A1034</f>
        <v>46</v>
      </c>
      <c r="C1034" s="3" t="str">
        <f aca="false">SUBSTITUTE(Raw_Data!B1034,".","")</f>
        <v>management</v>
      </c>
      <c r="D1034" s="3" t="str">
        <f aca="false">Raw_Data!C1034</f>
        <v>single</v>
      </c>
      <c r="E1034" s="3" t="str">
        <f aca="false">Raw_Data!D1034</f>
        <v>primary</v>
      </c>
      <c r="F1034" s="3" t="str">
        <f aca="false">Raw_Data!E1034</f>
        <v>no</v>
      </c>
      <c r="G1034" s="3" t="n">
        <f aca="false">Raw_Data!F1034</f>
        <v>538</v>
      </c>
      <c r="H1034" s="3" t="str">
        <f aca="false">Raw_Data!G1034</f>
        <v>no</v>
      </c>
      <c r="I1034" s="3" t="str">
        <f aca="false">Raw_Data!H1034</f>
        <v>no</v>
      </c>
      <c r="J1034" s="2" t="n">
        <f aca="false">IF(F1034="yes",1,0)</f>
        <v>0</v>
      </c>
      <c r="K1034" s="2" t="n">
        <f aca="false">IF(H1034="yes",1,0)</f>
        <v>0</v>
      </c>
      <c r="L1034" s="2" t="n">
        <f aca="false">IF(I1034="yes",1,0)</f>
        <v>0</v>
      </c>
      <c r="M1034" s="2" t="n">
        <f aca="false">IF(G1034&lt;0,1,0)</f>
        <v>0</v>
      </c>
      <c r="N1034" s="2" t="str">
        <f aca="false">_xlfn.IFS(B1034&lt;30,"Under 30",B1034&lt;40,"30-39",B1034&lt;50,"40-49",B1034&lt;60,"50-59",TRUE(),"60+")</f>
        <v>40-49</v>
      </c>
      <c r="O1034" s="2" t="str">
        <f aca="false">_xlfn.IFS(G1034&lt;0,"1 Negative",G1034=0,"2 Zero",G1034&lt;=500,"3 1-500",G1034&lt;=2000,"4 501-2000",TRUE(),"5 Above 2000")</f>
        <v>4 501-2000</v>
      </c>
      <c r="P1034" s="2" t="n">
        <f aca="false">Lookups!$B$2*M1034+Lookups!$B$3*L1034</f>
        <v>0</v>
      </c>
      <c r="Q1034" s="2" t="str">
        <f aca="false">INDEX(Lookups!$E$2:$E$5,MATCH(P1034,Lookups!$D$2:$D$5,0))</f>
        <v>Low</v>
      </c>
    </row>
    <row r="1035" customFormat="false" ht="15" hidden="false" customHeight="false" outlineLevel="0" collapsed="false">
      <c r="A1035" s="3" t="n">
        <v>1034</v>
      </c>
      <c r="B1035" s="3" t="n">
        <f aca="false">Raw_Data!A1035</f>
        <v>29</v>
      </c>
      <c r="C1035" s="3" t="str">
        <f aca="false">SUBSTITUTE(Raw_Data!B1035,".","")</f>
        <v>technician</v>
      </c>
      <c r="D1035" s="3" t="str">
        <f aca="false">Raw_Data!C1035</f>
        <v>single</v>
      </c>
      <c r="E1035" s="3" t="str">
        <f aca="false">Raw_Data!D1035</f>
        <v>secondary</v>
      </c>
      <c r="F1035" s="3" t="str">
        <f aca="false">Raw_Data!E1035</f>
        <v>no</v>
      </c>
      <c r="G1035" s="3" t="n">
        <f aca="false">Raw_Data!F1035</f>
        <v>534</v>
      </c>
      <c r="H1035" s="3" t="str">
        <f aca="false">Raw_Data!G1035</f>
        <v>yes</v>
      </c>
      <c r="I1035" s="3" t="str">
        <f aca="false">Raw_Data!H1035</f>
        <v>no</v>
      </c>
      <c r="J1035" s="2" t="n">
        <f aca="false">IF(F1035="yes",1,0)</f>
        <v>0</v>
      </c>
      <c r="K1035" s="2" t="n">
        <f aca="false">IF(H1035="yes",1,0)</f>
        <v>1</v>
      </c>
      <c r="L1035" s="2" t="n">
        <f aca="false">IF(I1035="yes",1,0)</f>
        <v>0</v>
      </c>
      <c r="M1035" s="2" t="n">
        <f aca="false">IF(G1035&lt;0,1,0)</f>
        <v>0</v>
      </c>
      <c r="N1035" s="2" t="str">
        <f aca="false">_xlfn.IFS(B1035&lt;30,"Under 30",B1035&lt;40,"30-39",B1035&lt;50,"40-49",B1035&lt;60,"50-59",TRUE(),"60+")</f>
        <v>Under 30</v>
      </c>
      <c r="O1035" s="2" t="str">
        <f aca="false">_xlfn.IFS(G1035&lt;0,"1 Negative",G1035=0,"2 Zero",G1035&lt;=500,"3 1-500",G1035&lt;=2000,"4 501-2000",TRUE(),"5 Above 2000")</f>
        <v>4 501-2000</v>
      </c>
      <c r="P1035" s="2" t="n">
        <f aca="false">Lookups!$B$2*M1035+Lookups!$B$3*L1035</f>
        <v>0</v>
      </c>
      <c r="Q1035" s="2" t="str">
        <f aca="false">INDEX(Lookups!$E$2:$E$5,MATCH(P1035,Lookups!$D$2:$D$5,0))</f>
        <v>Low</v>
      </c>
    </row>
    <row r="1036" customFormat="false" ht="15" hidden="false" customHeight="false" outlineLevel="0" collapsed="false">
      <c r="A1036" s="3" t="n">
        <v>1035</v>
      </c>
      <c r="B1036" s="3" t="n">
        <f aca="false">Raw_Data!A1036</f>
        <v>36</v>
      </c>
      <c r="C1036" s="3" t="str">
        <f aca="false">SUBSTITUTE(Raw_Data!B1036,".","")</f>
        <v>admin</v>
      </c>
      <c r="D1036" s="3" t="str">
        <f aca="false">Raw_Data!C1036</f>
        <v>married</v>
      </c>
      <c r="E1036" s="3" t="str">
        <f aca="false">Raw_Data!D1036</f>
        <v>unknown</v>
      </c>
      <c r="F1036" s="3" t="str">
        <f aca="false">Raw_Data!E1036</f>
        <v>no</v>
      </c>
      <c r="G1036" s="3" t="n">
        <f aca="false">Raw_Data!F1036</f>
        <v>2323</v>
      </c>
      <c r="H1036" s="3" t="str">
        <f aca="false">Raw_Data!G1036</f>
        <v>no</v>
      </c>
      <c r="I1036" s="3" t="str">
        <f aca="false">Raw_Data!H1036</f>
        <v>no</v>
      </c>
      <c r="J1036" s="2" t="n">
        <f aca="false">IF(F1036="yes",1,0)</f>
        <v>0</v>
      </c>
      <c r="K1036" s="2" t="n">
        <f aca="false">IF(H1036="yes",1,0)</f>
        <v>0</v>
      </c>
      <c r="L1036" s="2" t="n">
        <f aca="false">IF(I1036="yes",1,0)</f>
        <v>0</v>
      </c>
      <c r="M1036" s="2" t="n">
        <f aca="false">IF(G1036&lt;0,1,0)</f>
        <v>0</v>
      </c>
      <c r="N1036" s="2" t="str">
        <f aca="false">_xlfn.IFS(B1036&lt;30,"Under 30",B1036&lt;40,"30-39",B1036&lt;50,"40-49",B1036&lt;60,"50-59",TRUE(),"60+")</f>
        <v>30-39</v>
      </c>
      <c r="O1036" s="2" t="str">
        <f aca="false">_xlfn.IFS(G1036&lt;0,"1 Negative",G1036=0,"2 Zero",G1036&lt;=500,"3 1-500",G1036&lt;=2000,"4 501-2000",TRUE(),"5 Above 2000")</f>
        <v>5 Above 2000</v>
      </c>
      <c r="P1036" s="2" t="n">
        <f aca="false">Lookups!$B$2*M1036+Lookups!$B$3*L1036</f>
        <v>0</v>
      </c>
      <c r="Q1036" s="2" t="str">
        <f aca="false">INDEX(Lookups!$E$2:$E$5,MATCH(P1036,Lookups!$D$2:$D$5,0))</f>
        <v>Low</v>
      </c>
    </row>
    <row r="1037" customFormat="false" ht="15" hidden="false" customHeight="false" outlineLevel="0" collapsed="false">
      <c r="A1037" s="3" t="n">
        <v>1036</v>
      </c>
      <c r="B1037" s="3" t="n">
        <f aca="false">Raw_Data!A1037</f>
        <v>38</v>
      </c>
      <c r="C1037" s="3" t="str">
        <f aca="false">SUBSTITUTE(Raw_Data!B1037,".","")</f>
        <v>admin</v>
      </c>
      <c r="D1037" s="3" t="str">
        <f aca="false">Raw_Data!C1037</f>
        <v>married</v>
      </c>
      <c r="E1037" s="3" t="str">
        <f aca="false">Raw_Data!D1037</f>
        <v>secondary</v>
      </c>
      <c r="F1037" s="3" t="str">
        <f aca="false">Raw_Data!E1037</f>
        <v>no</v>
      </c>
      <c r="G1037" s="3" t="n">
        <f aca="false">Raw_Data!F1037</f>
        <v>1852</v>
      </c>
      <c r="H1037" s="3" t="str">
        <f aca="false">Raw_Data!G1037</f>
        <v>yes</v>
      </c>
      <c r="I1037" s="3" t="str">
        <f aca="false">Raw_Data!H1037</f>
        <v>no</v>
      </c>
      <c r="J1037" s="2" t="n">
        <f aca="false">IF(F1037="yes",1,0)</f>
        <v>0</v>
      </c>
      <c r="K1037" s="2" t="n">
        <f aca="false">IF(H1037="yes",1,0)</f>
        <v>1</v>
      </c>
      <c r="L1037" s="2" t="n">
        <f aca="false">IF(I1037="yes",1,0)</f>
        <v>0</v>
      </c>
      <c r="M1037" s="2" t="n">
        <f aca="false">IF(G1037&lt;0,1,0)</f>
        <v>0</v>
      </c>
      <c r="N1037" s="2" t="str">
        <f aca="false">_xlfn.IFS(B1037&lt;30,"Under 30",B1037&lt;40,"30-39",B1037&lt;50,"40-49",B1037&lt;60,"50-59",TRUE(),"60+")</f>
        <v>30-39</v>
      </c>
      <c r="O1037" s="2" t="str">
        <f aca="false">_xlfn.IFS(G1037&lt;0,"1 Negative",G1037=0,"2 Zero",G1037&lt;=500,"3 1-500",G1037&lt;=2000,"4 501-2000",TRUE(),"5 Above 2000")</f>
        <v>4 501-2000</v>
      </c>
      <c r="P1037" s="2" t="n">
        <f aca="false">Lookups!$B$2*M1037+Lookups!$B$3*L1037</f>
        <v>0</v>
      </c>
      <c r="Q1037" s="2" t="str">
        <f aca="false">INDEX(Lookups!$E$2:$E$5,MATCH(P1037,Lookups!$D$2:$D$5,0))</f>
        <v>Low</v>
      </c>
    </row>
    <row r="1038" customFormat="false" ht="15" hidden="false" customHeight="false" outlineLevel="0" collapsed="false">
      <c r="A1038" s="3" t="n">
        <v>1037</v>
      </c>
      <c r="B1038" s="3" t="n">
        <f aca="false">Raw_Data!A1038</f>
        <v>53</v>
      </c>
      <c r="C1038" s="3" t="str">
        <f aca="false">SUBSTITUTE(Raw_Data!B1038,".","")</f>
        <v>technician</v>
      </c>
      <c r="D1038" s="3" t="str">
        <f aca="false">Raw_Data!C1038</f>
        <v>married</v>
      </c>
      <c r="E1038" s="3" t="str">
        <f aca="false">Raw_Data!D1038</f>
        <v>secondary</v>
      </c>
      <c r="F1038" s="3" t="str">
        <f aca="false">Raw_Data!E1038</f>
        <v>no</v>
      </c>
      <c r="G1038" s="3" t="n">
        <f aca="false">Raw_Data!F1038</f>
        <v>2647</v>
      </c>
      <c r="H1038" s="3" t="str">
        <f aca="false">Raw_Data!G1038</f>
        <v>yes</v>
      </c>
      <c r="I1038" s="3" t="str">
        <f aca="false">Raw_Data!H1038</f>
        <v>no</v>
      </c>
      <c r="J1038" s="2" t="n">
        <f aca="false">IF(F1038="yes",1,0)</f>
        <v>0</v>
      </c>
      <c r="K1038" s="2" t="n">
        <f aca="false">IF(H1038="yes",1,0)</f>
        <v>1</v>
      </c>
      <c r="L1038" s="2" t="n">
        <f aca="false">IF(I1038="yes",1,0)</f>
        <v>0</v>
      </c>
      <c r="M1038" s="2" t="n">
        <f aca="false">IF(G1038&lt;0,1,0)</f>
        <v>0</v>
      </c>
      <c r="N1038" s="2" t="str">
        <f aca="false">_xlfn.IFS(B1038&lt;30,"Under 30",B1038&lt;40,"30-39",B1038&lt;50,"40-49",B1038&lt;60,"50-59",TRUE(),"60+")</f>
        <v>50-59</v>
      </c>
      <c r="O1038" s="2" t="str">
        <f aca="false">_xlfn.IFS(G1038&lt;0,"1 Negative",G1038=0,"2 Zero",G1038&lt;=500,"3 1-500",G1038&lt;=2000,"4 501-2000",TRUE(),"5 Above 2000")</f>
        <v>5 Above 2000</v>
      </c>
      <c r="P1038" s="2" t="n">
        <f aca="false">Lookups!$B$2*M1038+Lookups!$B$3*L1038</f>
        <v>0</v>
      </c>
      <c r="Q1038" s="2" t="str">
        <f aca="false">INDEX(Lookups!$E$2:$E$5,MATCH(P1038,Lookups!$D$2:$D$5,0))</f>
        <v>Low</v>
      </c>
    </row>
    <row r="1039" customFormat="false" ht="15" hidden="false" customHeight="false" outlineLevel="0" collapsed="false">
      <c r="A1039" s="3" t="n">
        <v>1038</v>
      </c>
      <c r="B1039" s="3" t="n">
        <f aca="false">Raw_Data!A1039</f>
        <v>43</v>
      </c>
      <c r="C1039" s="3" t="str">
        <f aca="false">SUBSTITUTE(Raw_Data!B1039,".","")</f>
        <v>management</v>
      </c>
      <c r="D1039" s="3" t="str">
        <f aca="false">Raw_Data!C1039</f>
        <v>married</v>
      </c>
      <c r="E1039" s="3" t="str">
        <f aca="false">Raw_Data!D1039</f>
        <v>tertiary</v>
      </c>
      <c r="F1039" s="3" t="str">
        <f aca="false">Raw_Data!E1039</f>
        <v>no</v>
      </c>
      <c r="G1039" s="3" t="n">
        <f aca="false">Raw_Data!F1039</f>
        <v>2767</v>
      </c>
      <c r="H1039" s="3" t="str">
        <f aca="false">Raw_Data!G1039</f>
        <v>yes</v>
      </c>
      <c r="I1039" s="3" t="str">
        <f aca="false">Raw_Data!H1039</f>
        <v>no</v>
      </c>
      <c r="J1039" s="2" t="n">
        <f aca="false">IF(F1039="yes",1,0)</f>
        <v>0</v>
      </c>
      <c r="K1039" s="2" t="n">
        <f aca="false">IF(H1039="yes",1,0)</f>
        <v>1</v>
      </c>
      <c r="L1039" s="2" t="n">
        <f aca="false">IF(I1039="yes",1,0)</f>
        <v>0</v>
      </c>
      <c r="M1039" s="2" t="n">
        <f aca="false">IF(G1039&lt;0,1,0)</f>
        <v>0</v>
      </c>
      <c r="N1039" s="2" t="str">
        <f aca="false">_xlfn.IFS(B1039&lt;30,"Under 30",B1039&lt;40,"30-39",B1039&lt;50,"40-49",B1039&lt;60,"50-59",TRUE(),"60+")</f>
        <v>40-49</v>
      </c>
      <c r="O1039" s="2" t="str">
        <f aca="false">_xlfn.IFS(G1039&lt;0,"1 Negative",G1039=0,"2 Zero",G1039&lt;=500,"3 1-500",G1039&lt;=2000,"4 501-2000",TRUE(),"5 Above 2000")</f>
        <v>5 Above 2000</v>
      </c>
      <c r="P1039" s="2" t="n">
        <f aca="false">Lookups!$B$2*M1039+Lookups!$B$3*L1039</f>
        <v>0</v>
      </c>
      <c r="Q1039" s="2" t="str">
        <f aca="false">INDEX(Lookups!$E$2:$E$5,MATCH(P1039,Lookups!$D$2:$D$5,0))</f>
        <v>Low</v>
      </c>
    </row>
    <row r="1040" customFormat="false" ht="15" hidden="false" customHeight="false" outlineLevel="0" collapsed="false">
      <c r="A1040" s="3" t="n">
        <v>1039</v>
      </c>
      <c r="B1040" s="3" t="n">
        <f aca="false">Raw_Data!A1040</f>
        <v>41</v>
      </c>
      <c r="C1040" s="3" t="str">
        <f aca="false">SUBSTITUTE(Raw_Data!B1040,".","")</f>
        <v>management</v>
      </c>
      <c r="D1040" s="3" t="str">
        <f aca="false">Raw_Data!C1040</f>
        <v>married</v>
      </c>
      <c r="E1040" s="3" t="str">
        <f aca="false">Raw_Data!D1040</f>
        <v>tertiary</v>
      </c>
      <c r="F1040" s="3" t="str">
        <f aca="false">Raw_Data!E1040</f>
        <v>no</v>
      </c>
      <c r="G1040" s="3" t="n">
        <f aca="false">Raw_Data!F1040</f>
        <v>176</v>
      </c>
      <c r="H1040" s="3" t="str">
        <f aca="false">Raw_Data!G1040</f>
        <v>yes</v>
      </c>
      <c r="I1040" s="3" t="str">
        <f aca="false">Raw_Data!H1040</f>
        <v>yes</v>
      </c>
      <c r="J1040" s="2" t="n">
        <f aca="false">IF(F1040="yes",1,0)</f>
        <v>0</v>
      </c>
      <c r="K1040" s="2" t="n">
        <f aca="false">IF(H1040="yes",1,0)</f>
        <v>1</v>
      </c>
      <c r="L1040" s="2" t="n">
        <f aca="false">IF(I1040="yes",1,0)</f>
        <v>1</v>
      </c>
      <c r="M1040" s="2" t="n">
        <f aca="false">IF(G1040&lt;0,1,0)</f>
        <v>0</v>
      </c>
      <c r="N1040" s="2" t="str">
        <f aca="false">_xlfn.IFS(B1040&lt;30,"Under 30",B1040&lt;40,"30-39",B1040&lt;50,"40-49",B1040&lt;60,"50-59",TRUE(),"60+")</f>
        <v>40-49</v>
      </c>
      <c r="O1040" s="2" t="str">
        <f aca="false">_xlfn.IFS(G1040&lt;0,"1 Negative",G1040=0,"2 Zero",G1040&lt;=500,"3 1-500",G1040&lt;=2000,"4 501-2000",TRUE(),"5 Above 2000")</f>
        <v>3 1-500</v>
      </c>
      <c r="P1040" s="2" t="n">
        <f aca="false">Lookups!$B$2*M1040+Lookups!$B$3*L1040</f>
        <v>1</v>
      </c>
      <c r="Q1040" s="2" t="str">
        <f aca="false">INDEX(Lookups!$E$2:$E$5,MATCH(P1040,Lookups!$D$2:$D$5,0))</f>
        <v>Medium</v>
      </c>
    </row>
    <row r="1041" customFormat="false" ht="15" hidden="false" customHeight="false" outlineLevel="0" collapsed="false">
      <c r="A1041" s="3" t="n">
        <v>1040</v>
      </c>
      <c r="B1041" s="3" t="n">
        <f aca="false">Raw_Data!A1041</f>
        <v>42</v>
      </c>
      <c r="C1041" s="3" t="str">
        <f aca="false">SUBSTITUTE(Raw_Data!B1041,".","")</f>
        <v>management</v>
      </c>
      <c r="D1041" s="3" t="str">
        <f aca="false">Raw_Data!C1041</f>
        <v>single</v>
      </c>
      <c r="E1041" s="3" t="str">
        <f aca="false">Raw_Data!D1041</f>
        <v>secondary</v>
      </c>
      <c r="F1041" s="3" t="str">
        <f aca="false">Raw_Data!E1041</f>
        <v>no</v>
      </c>
      <c r="G1041" s="3" t="n">
        <f aca="false">Raw_Data!F1041</f>
        <v>9720</v>
      </c>
      <c r="H1041" s="3" t="str">
        <f aca="false">Raw_Data!G1041</f>
        <v>no</v>
      </c>
      <c r="I1041" s="3" t="str">
        <f aca="false">Raw_Data!H1041</f>
        <v>no</v>
      </c>
      <c r="J1041" s="2" t="n">
        <f aca="false">IF(F1041="yes",1,0)</f>
        <v>0</v>
      </c>
      <c r="K1041" s="2" t="n">
        <f aca="false">IF(H1041="yes",1,0)</f>
        <v>0</v>
      </c>
      <c r="L1041" s="2" t="n">
        <f aca="false">IF(I1041="yes",1,0)</f>
        <v>0</v>
      </c>
      <c r="M1041" s="2" t="n">
        <f aca="false">IF(G1041&lt;0,1,0)</f>
        <v>0</v>
      </c>
      <c r="N1041" s="2" t="str">
        <f aca="false">_xlfn.IFS(B1041&lt;30,"Under 30",B1041&lt;40,"30-39",B1041&lt;50,"40-49",B1041&lt;60,"50-59",TRUE(),"60+")</f>
        <v>40-49</v>
      </c>
      <c r="O1041" s="2" t="str">
        <f aca="false">_xlfn.IFS(G1041&lt;0,"1 Negative",G1041=0,"2 Zero",G1041&lt;=500,"3 1-500",G1041&lt;=2000,"4 501-2000",TRUE(),"5 Above 2000")</f>
        <v>5 Above 2000</v>
      </c>
      <c r="P1041" s="2" t="n">
        <f aca="false">Lookups!$B$2*M1041+Lookups!$B$3*L1041</f>
        <v>0</v>
      </c>
      <c r="Q1041" s="2" t="str">
        <f aca="false">INDEX(Lookups!$E$2:$E$5,MATCH(P1041,Lookups!$D$2:$D$5,0))</f>
        <v>Low</v>
      </c>
    </row>
    <row r="1042" customFormat="false" ht="15" hidden="false" customHeight="false" outlineLevel="0" collapsed="false">
      <c r="A1042" s="3" t="n">
        <v>1041</v>
      </c>
      <c r="B1042" s="3" t="n">
        <f aca="false">Raw_Data!A1042</f>
        <v>55</v>
      </c>
      <c r="C1042" s="3" t="str">
        <f aca="false">SUBSTITUTE(Raw_Data!B1042,".","")</f>
        <v>blue-collar</v>
      </c>
      <c r="D1042" s="3" t="str">
        <f aca="false">Raw_Data!C1042</f>
        <v>divorced</v>
      </c>
      <c r="E1042" s="3" t="str">
        <f aca="false">Raw_Data!D1042</f>
        <v>secondary</v>
      </c>
      <c r="F1042" s="3" t="str">
        <f aca="false">Raw_Data!E1042</f>
        <v>no</v>
      </c>
      <c r="G1042" s="3" t="n">
        <f aca="false">Raw_Data!F1042</f>
        <v>1613</v>
      </c>
      <c r="H1042" s="3" t="str">
        <f aca="false">Raw_Data!G1042</f>
        <v>yes</v>
      </c>
      <c r="I1042" s="3" t="str">
        <f aca="false">Raw_Data!H1042</f>
        <v>no</v>
      </c>
      <c r="J1042" s="2" t="n">
        <f aca="false">IF(F1042="yes",1,0)</f>
        <v>0</v>
      </c>
      <c r="K1042" s="2" t="n">
        <f aca="false">IF(H1042="yes",1,0)</f>
        <v>1</v>
      </c>
      <c r="L1042" s="2" t="n">
        <f aca="false">IF(I1042="yes",1,0)</f>
        <v>0</v>
      </c>
      <c r="M1042" s="2" t="n">
        <f aca="false">IF(G1042&lt;0,1,0)</f>
        <v>0</v>
      </c>
      <c r="N1042" s="2" t="str">
        <f aca="false">_xlfn.IFS(B1042&lt;30,"Under 30",B1042&lt;40,"30-39",B1042&lt;50,"40-49",B1042&lt;60,"50-59",TRUE(),"60+")</f>
        <v>50-59</v>
      </c>
      <c r="O1042" s="2" t="str">
        <f aca="false">_xlfn.IFS(G1042&lt;0,"1 Negative",G1042=0,"2 Zero",G1042&lt;=500,"3 1-500",G1042&lt;=2000,"4 501-2000",TRUE(),"5 Above 2000")</f>
        <v>4 501-2000</v>
      </c>
      <c r="P1042" s="2" t="n">
        <f aca="false">Lookups!$B$2*M1042+Lookups!$B$3*L1042</f>
        <v>0</v>
      </c>
      <c r="Q1042" s="2" t="str">
        <f aca="false">INDEX(Lookups!$E$2:$E$5,MATCH(P1042,Lookups!$D$2:$D$5,0))</f>
        <v>Low</v>
      </c>
    </row>
    <row r="1043" customFormat="false" ht="15" hidden="false" customHeight="false" outlineLevel="0" collapsed="false">
      <c r="A1043" s="3" t="n">
        <v>1042</v>
      </c>
      <c r="B1043" s="3" t="n">
        <f aca="false">Raw_Data!A1043</f>
        <v>39</v>
      </c>
      <c r="C1043" s="3" t="str">
        <f aca="false">SUBSTITUTE(Raw_Data!B1043,".","")</f>
        <v>admin</v>
      </c>
      <c r="D1043" s="3" t="str">
        <f aca="false">Raw_Data!C1043</f>
        <v>divorced</v>
      </c>
      <c r="E1043" s="3" t="str">
        <f aca="false">Raw_Data!D1043</f>
        <v>secondary</v>
      </c>
      <c r="F1043" s="3" t="str">
        <f aca="false">Raw_Data!E1043</f>
        <v>no</v>
      </c>
      <c r="G1043" s="3" t="n">
        <f aca="false">Raw_Data!F1043</f>
        <v>2903</v>
      </c>
      <c r="H1043" s="3" t="str">
        <f aca="false">Raw_Data!G1043</f>
        <v>yes</v>
      </c>
      <c r="I1043" s="3" t="str">
        <f aca="false">Raw_Data!H1043</f>
        <v>yes</v>
      </c>
      <c r="J1043" s="2" t="n">
        <f aca="false">IF(F1043="yes",1,0)</f>
        <v>0</v>
      </c>
      <c r="K1043" s="2" t="n">
        <f aca="false">IF(H1043="yes",1,0)</f>
        <v>1</v>
      </c>
      <c r="L1043" s="2" t="n">
        <f aca="false">IF(I1043="yes",1,0)</f>
        <v>1</v>
      </c>
      <c r="M1043" s="2" t="n">
        <f aca="false">IF(G1043&lt;0,1,0)</f>
        <v>0</v>
      </c>
      <c r="N1043" s="2" t="str">
        <f aca="false">_xlfn.IFS(B1043&lt;30,"Under 30",B1043&lt;40,"30-39",B1043&lt;50,"40-49",B1043&lt;60,"50-59",TRUE(),"60+")</f>
        <v>30-39</v>
      </c>
      <c r="O1043" s="2" t="str">
        <f aca="false">_xlfn.IFS(G1043&lt;0,"1 Negative",G1043=0,"2 Zero",G1043&lt;=500,"3 1-500",G1043&lt;=2000,"4 501-2000",TRUE(),"5 Above 2000")</f>
        <v>5 Above 2000</v>
      </c>
      <c r="P1043" s="2" t="n">
        <f aca="false">Lookups!$B$2*M1043+Lookups!$B$3*L1043</f>
        <v>1</v>
      </c>
      <c r="Q1043" s="2" t="str">
        <f aca="false">INDEX(Lookups!$E$2:$E$5,MATCH(P1043,Lookups!$D$2:$D$5,0))</f>
        <v>Medium</v>
      </c>
    </row>
    <row r="1044" customFormat="false" ht="15" hidden="false" customHeight="false" outlineLevel="0" collapsed="false">
      <c r="A1044" s="3" t="n">
        <v>1043</v>
      </c>
      <c r="B1044" s="3" t="n">
        <f aca="false">Raw_Data!A1044</f>
        <v>30</v>
      </c>
      <c r="C1044" s="3" t="str">
        <f aca="false">SUBSTITUTE(Raw_Data!B1044,".","")</f>
        <v>admin</v>
      </c>
      <c r="D1044" s="3" t="str">
        <f aca="false">Raw_Data!C1044</f>
        <v>single</v>
      </c>
      <c r="E1044" s="3" t="str">
        <f aca="false">Raw_Data!D1044</f>
        <v>secondary</v>
      </c>
      <c r="F1044" s="3" t="str">
        <f aca="false">Raw_Data!E1044</f>
        <v>no</v>
      </c>
      <c r="G1044" s="3" t="n">
        <f aca="false">Raw_Data!F1044</f>
        <v>81</v>
      </c>
      <c r="H1044" s="3" t="str">
        <f aca="false">Raw_Data!G1044</f>
        <v>yes</v>
      </c>
      <c r="I1044" s="3" t="str">
        <f aca="false">Raw_Data!H1044</f>
        <v>no</v>
      </c>
      <c r="J1044" s="2" t="n">
        <f aca="false">IF(F1044="yes",1,0)</f>
        <v>0</v>
      </c>
      <c r="K1044" s="2" t="n">
        <f aca="false">IF(H1044="yes",1,0)</f>
        <v>1</v>
      </c>
      <c r="L1044" s="2" t="n">
        <f aca="false">IF(I1044="yes",1,0)</f>
        <v>0</v>
      </c>
      <c r="M1044" s="2" t="n">
        <f aca="false">IF(G1044&lt;0,1,0)</f>
        <v>0</v>
      </c>
      <c r="N1044" s="2" t="str">
        <f aca="false">_xlfn.IFS(B1044&lt;30,"Under 30",B1044&lt;40,"30-39",B1044&lt;50,"40-49",B1044&lt;60,"50-59",TRUE(),"60+")</f>
        <v>30-39</v>
      </c>
      <c r="O1044" s="2" t="str">
        <f aca="false">_xlfn.IFS(G1044&lt;0,"1 Negative",G1044=0,"2 Zero",G1044&lt;=500,"3 1-500",G1044&lt;=2000,"4 501-2000",TRUE(),"5 Above 2000")</f>
        <v>3 1-500</v>
      </c>
      <c r="P1044" s="2" t="n">
        <f aca="false">Lookups!$B$2*M1044+Lookups!$B$3*L1044</f>
        <v>0</v>
      </c>
      <c r="Q1044" s="2" t="str">
        <f aca="false">INDEX(Lookups!$E$2:$E$5,MATCH(P1044,Lookups!$D$2:$D$5,0))</f>
        <v>Low</v>
      </c>
    </row>
    <row r="1045" customFormat="false" ht="15" hidden="false" customHeight="false" outlineLevel="0" collapsed="false">
      <c r="A1045" s="3" t="n">
        <v>1044</v>
      </c>
      <c r="B1045" s="3" t="n">
        <f aca="false">Raw_Data!A1045</f>
        <v>41</v>
      </c>
      <c r="C1045" s="3" t="str">
        <f aca="false">SUBSTITUTE(Raw_Data!B1045,".","")</f>
        <v>blue-collar</v>
      </c>
      <c r="D1045" s="3" t="str">
        <f aca="false">Raw_Data!C1045</f>
        <v>married</v>
      </c>
      <c r="E1045" s="3" t="str">
        <f aca="false">Raw_Data!D1045</f>
        <v>secondary</v>
      </c>
      <c r="F1045" s="3" t="str">
        <f aca="false">Raw_Data!E1045</f>
        <v>no</v>
      </c>
      <c r="G1045" s="3" t="n">
        <f aca="false">Raw_Data!F1045</f>
        <v>780</v>
      </c>
      <c r="H1045" s="3" t="str">
        <f aca="false">Raw_Data!G1045</f>
        <v>yes</v>
      </c>
      <c r="I1045" s="3" t="str">
        <f aca="false">Raw_Data!H1045</f>
        <v>no</v>
      </c>
      <c r="J1045" s="2" t="n">
        <f aca="false">IF(F1045="yes",1,0)</f>
        <v>0</v>
      </c>
      <c r="K1045" s="2" t="n">
        <f aca="false">IF(H1045="yes",1,0)</f>
        <v>1</v>
      </c>
      <c r="L1045" s="2" t="n">
        <f aca="false">IF(I1045="yes",1,0)</f>
        <v>0</v>
      </c>
      <c r="M1045" s="2" t="n">
        <f aca="false">IF(G1045&lt;0,1,0)</f>
        <v>0</v>
      </c>
      <c r="N1045" s="2" t="str">
        <f aca="false">_xlfn.IFS(B1045&lt;30,"Under 30",B1045&lt;40,"30-39",B1045&lt;50,"40-49",B1045&lt;60,"50-59",TRUE(),"60+")</f>
        <v>40-49</v>
      </c>
      <c r="O1045" s="2" t="str">
        <f aca="false">_xlfn.IFS(G1045&lt;0,"1 Negative",G1045=0,"2 Zero",G1045&lt;=500,"3 1-500",G1045&lt;=2000,"4 501-2000",TRUE(),"5 Above 2000")</f>
        <v>4 501-2000</v>
      </c>
      <c r="P1045" s="2" t="n">
        <f aca="false">Lookups!$B$2*M1045+Lookups!$B$3*L1045</f>
        <v>0</v>
      </c>
      <c r="Q1045" s="2" t="str">
        <f aca="false">INDEX(Lookups!$E$2:$E$5,MATCH(P1045,Lookups!$D$2:$D$5,0))</f>
        <v>Low</v>
      </c>
    </row>
    <row r="1046" customFormat="false" ht="15" hidden="false" customHeight="false" outlineLevel="0" collapsed="false">
      <c r="A1046" s="3" t="n">
        <v>1045</v>
      </c>
      <c r="B1046" s="3" t="n">
        <f aca="false">Raw_Data!A1046</f>
        <v>44</v>
      </c>
      <c r="C1046" s="3" t="str">
        <f aca="false">SUBSTITUTE(Raw_Data!B1046,".","")</f>
        <v>unemployed</v>
      </c>
      <c r="D1046" s="3" t="str">
        <f aca="false">Raw_Data!C1046</f>
        <v>married</v>
      </c>
      <c r="E1046" s="3" t="str">
        <f aca="false">Raw_Data!D1046</f>
        <v>tertiary</v>
      </c>
      <c r="F1046" s="3" t="str">
        <f aca="false">Raw_Data!E1046</f>
        <v>no</v>
      </c>
      <c r="G1046" s="3" t="n">
        <f aca="false">Raw_Data!F1046</f>
        <v>178</v>
      </c>
      <c r="H1046" s="3" t="str">
        <f aca="false">Raw_Data!G1046</f>
        <v>no</v>
      </c>
      <c r="I1046" s="3" t="str">
        <f aca="false">Raw_Data!H1046</f>
        <v>no</v>
      </c>
      <c r="J1046" s="2" t="n">
        <f aca="false">IF(F1046="yes",1,0)</f>
        <v>0</v>
      </c>
      <c r="K1046" s="2" t="n">
        <f aca="false">IF(H1046="yes",1,0)</f>
        <v>0</v>
      </c>
      <c r="L1046" s="2" t="n">
        <f aca="false">IF(I1046="yes",1,0)</f>
        <v>0</v>
      </c>
      <c r="M1046" s="2" t="n">
        <f aca="false">IF(G1046&lt;0,1,0)</f>
        <v>0</v>
      </c>
      <c r="N1046" s="2" t="str">
        <f aca="false">_xlfn.IFS(B1046&lt;30,"Under 30",B1046&lt;40,"30-39",B1046&lt;50,"40-49",B1046&lt;60,"50-59",TRUE(),"60+")</f>
        <v>40-49</v>
      </c>
      <c r="O1046" s="2" t="str">
        <f aca="false">_xlfn.IFS(G1046&lt;0,"1 Negative",G1046=0,"2 Zero",G1046&lt;=500,"3 1-500",G1046&lt;=2000,"4 501-2000",TRUE(),"5 Above 2000")</f>
        <v>3 1-500</v>
      </c>
      <c r="P1046" s="2" t="n">
        <f aca="false">Lookups!$B$2*M1046+Lookups!$B$3*L1046</f>
        <v>0</v>
      </c>
      <c r="Q1046" s="2" t="str">
        <f aca="false">INDEX(Lookups!$E$2:$E$5,MATCH(P1046,Lookups!$D$2:$D$5,0))</f>
        <v>Low</v>
      </c>
    </row>
    <row r="1047" customFormat="false" ht="15" hidden="false" customHeight="false" outlineLevel="0" collapsed="false">
      <c r="A1047" s="3" t="n">
        <v>1046</v>
      </c>
      <c r="B1047" s="3" t="n">
        <f aca="false">Raw_Data!A1047</f>
        <v>58</v>
      </c>
      <c r="C1047" s="3" t="str">
        <f aca="false">SUBSTITUTE(Raw_Data!B1047,".","")</f>
        <v>management</v>
      </c>
      <c r="D1047" s="3" t="str">
        <f aca="false">Raw_Data!C1047</f>
        <v>married</v>
      </c>
      <c r="E1047" s="3" t="str">
        <f aca="false">Raw_Data!D1047</f>
        <v>tertiary</v>
      </c>
      <c r="F1047" s="3" t="str">
        <f aca="false">Raw_Data!E1047</f>
        <v>no</v>
      </c>
      <c r="G1047" s="3" t="n">
        <f aca="false">Raw_Data!F1047</f>
        <v>299</v>
      </c>
      <c r="H1047" s="3" t="str">
        <f aca="false">Raw_Data!G1047</f>
        <v>no</v>
      </c>
      <c r="I1047" s="3" t="str">
        <f aca="false">Raw_Data!H1047</f>
        <v>no</v>
      </c>
      <c r="J1047" s="2" t="n">
        <f aca="false">IF(F1047="yes",1,0)</f>
        <v>0</v>
      </c>
      <c r="K1047" s="2" t="n">
        <f aca="false">IF(H1047="yes",1,0)</f>
        <v>0</v>
      </c>
      <c r="L1047" s="2" t="n">
        <f aca="false">IF(I1047="yes",1,0)</f>
        <v>0</v>
      </c>
      <c r="M1047" s="2" t="n">
        <f aca="false">IF(G1047&lt;0,1,0)</f>
        <v>0</v>
      </c>
      <c r="N1047" s="2" t="str">
        <f aca="false">_xlfn.IFS(B1047&lt;30,"Under 30",B1047&lt;40,"30-39",B1047&lt;50,"40-49",B1047&lt;60,"50-59",TRUE(),"60+")</f>
        <v>50-59</v>
      </c>
      <c r="O1047" s="2" t="str">
        <f aca="false">_xlfn.IFS(G1047&lt;0,"1 Negative",G1047=0,"2 Zero",G1047&lt;=500,"3 1-500",G1047&lt;=2000,"4 501-2000",TRUE(),"5 Above 2000")</f>
        <v>3 1-500</v>
      </c>
      <c r="P1047" s="2" t="n">
        <f aca="false">Lookups!$B$2*M1047+Lookups!$B$3*L1047</f>
        <v>0</v>
      </c>
      <c r="Q1047" s="2" t="str">
        <f aca="false">INDEX(Lookups!$E$2:$E$5,MATCH(P1047,Lookups!$D$2:$D$5,0))</f>
        <v>Low</v>
      </c>
    </row>
    <row r="1048" customFormat="false" ht="15" hidden="false" customHeight="false" outlineLevel="0" collapsed="false">
      <c r="A1048" s="3" t="n">
        <v>1047</v>
      </c>
      <c r="B1048" s="3" t="n">
        <f aca="false">Raw_Data!A1048</f>
        <v>35</v>
      </c>
      <c r="C1048" s="3" t="str">
        <f aca="false">SUBSTITUTE(Raw_Data!B1048,".","")</f>
        <v>retired</v>
      </c>
      <c r="D1048" s="3" t="str">
        <f aca="false">Raw_Data!C1048</f>
        <v>married</v>
      </c>
      <c r="E1048" s="3" t="str">
        <f aca="false">Raw_Data!D1048</f>
        <v>primary</v>
      </c>
      <c r="F1048" s="3" t="str">
        <f aca="false">Raw_Data!E1048</f>
        <v>no</v>
      </c>
      <c r="G1048" s="3" t="n">
        <f aca="false">Raw_Data!F1048</f>
        <v>285</v>
      </c>
      <c r="H1048" s="3" t="str">
        <f aca="false">Raw_Data!G1048</f>
        <v>yes</v>
      </c>
      <c r="I1048" s="3" t="str">
        <f aca="false">Raw_Data!H1048</f>
        <v>no</v>
      </c>
      <c r="J1048" s="2" t="n">
        <f aca="false">IF(F1048="yes",1,0)</f>
        <v>0</v>
      </c>
      <c r="K1048" s="2" t="n">
        <f aca="false">IF(H1048="yes",1,0)</f>
        <v>1</v>
      </c>
      <c r="L1048" s="2" t="n">
        <f aca="false">IF(I1048="yes",1,0)</f>
        <v>0</v>
      </c>
      <c r="M1048" s="2" t="n">
        <f aca="false">IF(G1048&lt;0,1,0)</f>
        <v>0</v>
      </c>
      <c r="N1048" s="2" t="str">
        <f aca="false">_xlfn.IFS(B1048&lt;30,"Under 30",B1048&lt;40,"30-39",B1048&lt;50,"40-49",B1048&lt;60,"50-59",TRUE(),"60+")</f>
        <v>30-39</v>
      </c>
      <c r="O1048" s="2" t="str">
        <f aca="false">_xlfn.IFS(G1048&lt;0,"1 Negative",G1048=0,"2 Zero",G1048&lt;=500,"3 1-500",G1048&lt;=2000,"4 501-2000",TRUE(),"5 Above 2000")</f>
        <v>3 1-500</v>
      </c>
      <c r="P1048" s="2" t="n">
        <f aca="false">Lookups!$B$2*M1048+Lookups!$B$3*L1048</f>
        <v>0</v>
      </c>
      <c r="Q1048" s="2" t="str">
        <f aca="false">INDEX(Lookups!$E$2:$E$5,MATCH(P1048,Lookups!$D$2:$D$5,0))</f>
        <v>Low</v>
      </c>
    </row>
    <row r="1049" customFormat="false" ht="15" hidden="false" customHeight="false" outlineLevel="0" collapsed="false">
      <c r="A1049" s="3" t="n">
        <v>1048</v>
      </c>
      <c r="B1049" s="3" t="n">
        <f aca="false">Raw_Data!A1049</f>
        <v>27</v>
      </c>
      <c r="C1049" s="3" t="str">
        <f aca="false">SUBSTITUTE(Raw_Data!B1049,".","")</f>
        <v>blue-collar</v>
      </c>
      <c r="D1049" s="3" t="str">
        <f aca="false">Raw_Data!C1049</f>
        <v>married</v>
      </c>
      <c r="E1049" s="3" t="str">
        <f aca="false">Raw_Data!D1049</f>
        <v>secondary</v>
      </c>
      <c r="F1049" s="3" t="str">
        <f aca="false">Raw_Data!E1049</f>
        <v>no</v>
      </c>
      <c r="G1049" s="3" t="n">
        <f aca="false">Raw_Data!F1049</f>
        <v>872</v>
      </c>
      <c r="H1049" s="3" t="str">
        <f aca="false">Raw_Data!G1049</f>
        <v>yes</v>
      </c>
      <c r="I1049" s="3" t="str">
        <f aca="false">Raw_Data!H1049</f>
        <v>no</v>
      </c>
      <c r="J1049" s="2" t="n">
        <f aca="false">IF(F1049="yes",1,0)</f>
        <v>0</v>
      </c>
      <c r="K1049" s="2" t="n">
        <f aca="false">IF(H1049="yes",1,0)</f>
        <v>1</v>
      </c>
      <c r="L1049" s="2" t="n">
        <f aca="false">IF(I1049="yes",1,0)</f>
        <v>0</v>
      </c>
      <c r="M1049" s="2" t="n">
        <f aca="false">IF(G1049&lt;0,1,0)</f>
        <v>0</v>
      </c>
      <c r="N1049" s="2" t="str">
        <f aca="false">_xlfn.IFS(B1049&lt;30,"Under 30",B1049&lt;40,"30-39",B1049&lt;50,"40-49",B1049&lt;60,"50-59",TRUE(),"60+")</f>
        <v>Under 30</v>
      </c>
      <c r="O1049" s="2" t="str">
        <f aca="false">_xlfn.IFS(G1049&lt;0,"1 Negative",G1049=0,"2 Zero",G1049&lt;=500,"3 1-500",G1049&lt;=2000,"4 501-2000",TRUE(),"5 Above 2000")</f>
        <v>4 501-2000</v>
      </c>
      <c r="P1049" s="2" t="n">
        <f aca="false">Lookups!$B$2*M1049+Lookups!$B$3*L1049</f>
        <v>0</v>
      </c>
      <c r="Q1049" s="2" t="str">
        <f aca="false">INDEX(Lookups!$E$2:$E$5,MATCH(P1049,Lookups!$D$2:$D$5,0))</f>
        <v>Low</v>
      </c>
    </row>
    <row r="1050" customFormat="false" ht="15" hidden="false" customHeight="false" outlineLevel="0" collapsed="false">
      <c r="A1050" s="3" t="n">
        <v>1049</v>
      </c>
      <c r="B1050" s="3" t="n">
        <f aca="false">Raw_Data!A1050</f>
        <v>34</v>
      </c>
      <c r="C1050" s="3" t="str">
        <f aca="false">SUBSTITUTE(Raw_Data!B1050,".","")</f>
        <v>services</v>
      </c>
      <c r="D1050" s="3" t="str">
        <f aca="false">Raw_Data!C1050</f>
        <v>married</v>
      </c>
      <c r="E1050" s="3" t="str">
        <f aca="false">Raw_Data!D1050</f>
        <v>secondary</v>
      </c>
      <c r="F1050" s="3" t="str">
        <f aca="false">Raw_Data!E1050</f>
        <v>no</v>
      </c>
      <c r="G1050" s="3" t="n">
        <f aca="false">Raw_Data!F1050</f>
        <v>1337</v>
      </c>
      <c r="H1050" s="3" t="str">
        <f aca="false">Raw_Data!G1050</f>
        <v>no</v>
      </c>
      <c r="I1050" s="3" t="str">
        <f aca="false">Raw_Data!H1050</f>
        <v>no</v>
      </c>
      <c r="J1050" s="2" t="n">
        <f aca="false">IF(F1050="yes",1,0)</f>
        <v>0</v>
      </c>
      <c r="K1050" s="2" t="n">
        <f aca="false">IF(H1050="yes",1,0)</f>
        <v>0</v>
      </c>
      <c r="L1050" s="2" t="n">
        <f aca="false">IF(I1050="yes",1,0)</f>
        <v>0</v>
      </c>
      <c r="M1050" s="2" t="n">
        <f aca="false">IF(G1050&lt;0,1,0)</f>
        <v>0</v>
      </c>
      <c r="N1050" s="2" t="str">
        <f aca="false">_xlfn.IFS(B1050&lt;30,"Under 30",B1050&lt;40,"30-39",B1050&lt;50,"40-49",B1050&lt;60,"50-59",TRUE(),"60+")</f>
        <v>30-39</v>
      </c>
      <c r="O1050" s="2" t="str">
        <f aca="false">_xlfn.IFS(G1050&lt;0,"1 Negative",G1050=0,"2 Zero",G1050&lt;=500,"3 1-500",G1050&lt;=2000,"4 501-2000",TRUE(),"5 Above 2000")</f>
        <v>4 501-2000</v>
      </c>
      <c r="P1050" s="2" t="n">
        <f aca="false">Lookups!$B$2*M1050+Lookups!$B$3*L1050</f>
        <v>0</v>
      </c>
      <c r="Q1050" s="2" t="str">
        <f aca="false">INDEX(Lookups!$E$2:$E$5,MATCH(P1050,Lookups!$D$2:$D$5,0))</f>
        <v>Low</v>
      </c>
    </row>
    <row r="1051" customFormat="false" ht="15" hidden="false" customHeight="false" outlineLevel="0" collapsed="false">
      <c r="A1051" s="3" t="n">
        <v>1050</v>
      </c>
      <c r="B1051" s="3" t="n">
        <f aca="false">Raw_Data!A1051</f>
        <v>25</v>
      </c>
      <c r="C1051" s="3" t="str">
        <f aca="false">SUBSTITUTE(Raw_Data!B1051,".","")</f>
        <v>services</v>
      </c>
      <c r="D1051" s="3" t="str">
        <f aca="false">Raw_Data!C1051</f>
        <v>married</v>
      </c>
      <c r="E1051" s="3" t="str">
        <f aca="false">Raw_Data!D1051</f>
        <v>secondary</v>
      </c>
      <c r="F1051" s="3" t="str">
        <f aca="false">Raw_Data!E1051</f>
        <v>no</v>
      </c>
      <c r="G1051" s="3" t="n">
        <f aca="false">Raw_Data!F1051</f>
        <v>72</v>
      </c>
      <c r="H1051" s="3" t="str">
        <f aca="false">Raw_Data!G1051</f>
        <v>yes</v>
      </c>
      <c r="I1051" s="3" t="str">
        <f aca="false">Raw_Data!H1051</f>
        <v>no</v>
      </c>
      <c r="J1051" s="2" t="n">
        <f aca="false">IF(F1051="yes",1,0)</f>
        <v>0</v>
      </c>
      <c r="K1051" s="2" t="n">
        <f aca="false">IF(H1051="yes",1,0)</f>
        <v>1</v>
      </c>
      <c r="L1051" s="2" t="n">
        <f aca="false">IF(I1051="yes",1,0)</f>
        <v>0</v>
      </c>
      <c r="M1051" s="2" t="n">
        <f aca="false">IF(G1051&lt;0,1,0)</f>
        <v>0</v>
      </c>
      <c r="N1051" s="2" t="str">
        <f aca="false">_xlfn.IFS(B1051&lt;30,"Under 30",B1051&lt;40,"30-39",B1051&lt;50,"40-49",B1051&lt;60,"50-59",TRUE(),"60+")</f>
        <v>Under 30</v>
      </c>
      <c r="O1051" s="2" t="str">
        <f aca="false">_xlfn.IFS(G1051&lt;0,"1 Negative",G1051=0,"2 Zero",G1051&lt;=500,"3 1-500",G1051&lt;=2000,"4 501-2000",TRUE(),"5 Above 2000")</f>
        <v>3 1-500</v>
      </c>
      <c r="P1051" s="2" t="n">
        <f aca="false">Lookups!$B$2*M1051+Lookups!$B$3*L1051</f>
        <v>0</v>
      </c>
      <c r="Q1051" s="2" t="str">
        <f aca="false">INDEX(Lookups!$E$2:$E$5,MATCH(P1051,Lookups!$D$2:$D$5,0))</f>
        <v>Low</v>
      </c>
    </row>
    <row r="1052" customFormat="false" ht="15" hidden="false" customHeight="false" outlineLevel="0" collapsed="false">
      <c r="A1052" s="3" t="n">
        <v>1051</v>
      </c>
      <c r="B1052" s="3" t="n">
        <f aca="false">Raw_Data!A1052</f>
        <v>36</v>
      </c>
      <c r="C1052" s="3" t="str">
        <f aca="false">SUBSTITUTE(Raw_Data!B1052,".","")</f>
        <v>blue-collar</v>
      </c>
      <c r="D1052" s="3" t="str">
        <f aca="false">Raw_Data!C1052</f>
        <v>married</v>
      </c>
      <c r="E1052" s="3" t="str">
        <f aca="false">Raw_Data!D1052</f>
        <v>secondary</v>
      </c>
      <c r="F1052" s="3" t="str">
        <f aca="false">Raw_Data!E1052</f>
        <v>no</v>
      </c>
      <c r="G1052" s="3" t="n">
        <f aca="false">Raw_Data!F1052</f>
        <v>0</v>
      </c>
      <c r="H1052" s="3" t="str">
        <f aca="false">Raw_Data!G1052</f>
        <v>no</v>
      </c>
      <c r="I1052" s="3" t="str">
        <f aca="false">Raw_Data!H1052</f>
        <v>no</v>
      </c>
      <c r="J1052" s="2" t="n">
        <f aca="false">IF(F1052="yes",1,0)</f>
        <v>0</v>
      </c>
      <c r="K1052" s="2" t="n">
        <f aca="false">IF(H1052="yes",1,0)</f>
        <v>0</v>
      </c>
      <c r="L1052" s="2" t="n">
        <f aca="false">IF(I1052="yes",1,0)</f>
        <v>0</v>
      </c>
      <c r="M1052" s="2" t="n">
        <f aca="false">IF(G1052&lt;0,1,0)</f>
        <v>0</v>
      </c>
      <c r="N1052" s="2" t="str">
        <f aca="false">_xlfn.IFS(B1052&lt;30,"Under 30",B1052&lt;40,"30-39",B1052&lt;50,"40-49",B1052&lt;60,"50-59",TRUE(),"60+")</f>
        <v>30-39</v>
      </c>
      <c r="O1052" s="2" t="str">
        <f aca="false">_xlfn.IFS(G1052&lt;0,"1 Negative",G1052=0,"2 Zero",G1052&lt;=500,"3 1-500",G1052&lt;=2000,"4 501-2000",TRUE(),"5 Above 2000")</f>
        <v>2 Zero</v>
      </c>
      <c r="P1052" s="2" t="n">
        <f aca="false">Lookups!$B$2*M1052+Lookups!$B$3*L1052</f>
        <v>0</v>
      </c>
      <c r="Q1052" s="2" t="str">
        <f aca="false">INDEX(Lookups!$E$2:$E$5,MATCH(P1052,Lookups!$D$2:$D$5,0))</f>
        <v>Low</v>
      </c>
    </row>
    <row r="1053" customFormat="false" ht="15" hidden="false" customHeight="false" outlineLevel="0" collapsed="false">
      <c r="A1053" s="3" t="n">
        <v>1052</v>
      </c>
      <c r="B1053" s="3" t="n">
        <f aca="false">Raw_Data!A1053</f>
        <v>38</v>
      </c>
      <c r="C1053" s="3" t="str">
        <f aca="false">SUBSTITUTE(Raw_Data!B1053,".","")</f>
        <v>blue-collar</v>
      </c>
      <c r="D1053" s="3" t="str">
        <f aca="false">Raw_Data!C1053</f>
        <v>married</v>
      </c>
      <c r="E1053" s="3" t="str">
        <f aca="false">Raw_Data!D1053</f>
        <v>secondary</v>
      </c>
      <c r="F1053" s="3" t="str">
        <f aca="false">Raw_Data!E1053</f>
        <v>no</v>
      </c>
      <c r="G1053" s="3" t="n">
        <f aca="false">Raw_Data!F1053</f>
        <v>-388</v>
      </c>
      <c r="H1053" s="3" t="str">
        <f aca="false">Raw_Data!G1053</f>
        <v>yes</v>
      </c>
      <c r="I1053" s="3" t="str">
        <f aca="false">Raw_Data!H1053</f>
        <v>no</v>
      </c>
      <c r="J1053" s="2" t="n">
        <f aca="false">IF(F1053="yes",1,0)</f>
        <v>0</v>
      </c>
      <c r="K1053" s="2" t="n">
        <f aca="false">IF(H1053="yes",1,0)</f>
        <v>1</v>
      </c>
      <c r="L1053" s="2" t="n">
        <f aca="false">IF(I1053="yes",1,0)</f>
        <v>0</v>
      </c>
      <c r="M1053" s="2" t="n">
        <f aca="false">IF(G1053&lt;0,1,0)</f>
        <v>1</v>
      </c>
      <c r="N1053" s="2" t="str">
        <f aca="false">_xlfn.IFS(B1053&lt;30,"Under 30",B1053&lt;40,"30-39",B1053&lt;50,"40-49",B1053&lt;60,"50-59",TRUE(),"60+")</f>
        <v>30-39</v>
      </c>
      <c r="O1053" s="2" t="str">
        <f aca="false">_xlfn.IFS(G1053&lt;0,"1 Negative",G1053=0,"2 Zero",G1053&lt;=500,"3 1-500",G1053&lt;=2000,"4 501-2000",TRUE(),"5 Above 2000")</f>
        <v>1 Negative</v>
      </c>
      <c r="P1053" s="2" t="n">
        <f aca="false">Lookups!$B$2*M1053+Lookups!$B$3*L1053</f>
        <v>2</v>
      </c>
      <c r="Q1053" s="2" t="str">
        <f aca="false">INDEX(Lookups!$E$2:$E$5,MATCH(P1053,Lookups!$D$2:$D$5,0))</f>
        <v>High</v>
      </c>
    </row>
    <row r="1054" customFormat="false" ht="15" hidden="false" customHeight="false" outlineLevel="0" collapsed="false">
      <c r="A1054" s="3" t="n">
        <v>1053</v>
      </c>
      <c r="B1054" s="3" t="n">
        <f aca="false">Raw_Data!A1054</f>
        <v>30</v>
      </c>
      <c r="C1054" s="3" t="str">
        <f aca="false">SUBSTITUTE(Raw_Data!B1054,".","")</f>
        <v>admin</v>
      </c>
      <c r="D1054" s="3" t="str">
        <f aca="false">Raw_Data!C1054</f>
        <v>married</v>
      </c>
      <c r="E1054" s="3" t="str">
        <f aca="false">Raw_Data!D1054</f>
        <v>secondary</v>
      </c>
      <c r="F1054" s="3" t="str">
        <f aca="false">Raw_Data!E1054</f>
        <v>no</v>
      </c>
      <c r="G1054" s="3" t="n">
        <f aca="false">Raw_Data!F1054</f>
        <v>11</v>
      </c>
      <c r="H1054" s="3" t="str">
        <f aca="false">Raw_Data!G1054</f>
        <v>yes</v>
      </c>
      <c r="I1054" s="3" t="str">
        <f aca="false">Raw_Data!H1054</f>
        <v>no</v>
      </c>
      <c r="J1054" s="2" t="n">
        <f aca="false">IF(F1054="yes",1,0)</f>
        <v>0</v>
      </c>
      <c r="K1054" s="2" t="n">
        <f aca="false">IF(H1054="yes",1,0)</f>
        <v>1</v>
      </c>
      <c r="L1054" s="2" t="n">
        <f aca="false">IF(I1054="yes",1,0)</f>
        <v>0</v>
      </c>
      <c r="M1054" s="2" t="n">
        <f aca="false">IF(G1054&lt;0,1,0)</f>
        <v>0</v>
      </c>
      <c r="N1054" s="2" t="str">
        <f aca="false">_xlfn.IFS(B1054&lt;30,"Under 30",B1054&lt;40,"30-39",B1054&lt;50,"40-49",B1054&lt;60,"50-59",TRUE(),"60+")</f>
        <v>30-39</v>
      </c>
      <c r="O1054" s="2" t="str">
        <f aca="false">_xlfn.IFS(G1054&lt;0,"1 Negative",G1054=0,"2 Zero",G1054&lt;=500,"3 1-500",G1054&lt;=2000,"4 501-2000",TRUE(),"5 Above 2000")</f>
        <v>3 1-500</v>
      </c>
      <c r="P1054" s="2" t="n">
        <f aca="false">Lookups!$B$2*M1054+Lookups!$B$3*L1054</f>
        <v>0</v>
      </c>
      <c r="Q1054" s="2" t="str">
        <f aca="false">INDEX(Lookups!$E$2:$E$5,MATCH(P1054,Lookups!$D$2:$D$5,0))</f>
        <v>Low</v>
      </c>
    </row>
    <row r="1055" customFormat="false" ht="15" hidden="false" customHeight="false" outlineLevel="0" collapsed="false">
      <c r="A1055" s="3" t="n">
        <v>1054</v>
      </c>
      <c r="B1055" s="3" t="n">
        <f aca="false">Raw_Data!A1055</f>
        <v>47</v>
      </c>
      <c r="C1055" s="3" t="str">
        <f aca="false">SUBSTITUTE(Raw_Data!B1055,".","")</f>
        <v>blue-collar</v>
      </c>
      <c r="D1055" s="3" t="str">
        <f aca="false">Raw_Data!C1055</f>
        <v>divorced</v>
      </c>
      <c r="E1055" s="3" t="str">
        <f aca="false">Raw_Data!D1055</f>
        <v>secondary</v>
      </c>
      <c r="F1055" s="3" t="str">
        <f aca="false">Raw_Data!E1055</f>
        <v>yes</v>
      </c>
      <c r="G1055" s="3" t="n">
        <f aca="false">Raw_Data!F1055</f>
        <v>-535</v>
      </c>
      <c r="H1055" s="3" t="str">
        <f aca="false">Raw_Data!G1055</f>
        <v>yes</v>
      </c>
      <c r="I1055" s="3" t="str">
        <f aca="false">Raw_Data!H1055</f>
        <v>no</v>
      </c>
      <c r="J1055" s="2" t="n">
        <f aca="false">IF(F1055="yes",1,0)</f>
        <v>1</v>
      </c>
      <c r="K1055" s="2" t="n">
        <f aca="false">IF(H1055="yes",1,0)</f>
        <v>1</v>
      </c>
      <c r="L1055" s="2" t="n">
        <f aca="false">IF(I1055="yes",1,0)</f>
        <v>0</v>
      </c>
      <c r="M1055" s="2" t="n">
        <f aca="false">IF(G1055&lt;0,1,0)</f>
        <v>1</v>
      </c>
      <c r="N1055" s="2" t="str">
        <f aca="false">_xlfn.IFS(B1055&lt;30,"Under 30",B1055&lt;40,"30-39",B1055&lt;50,"40-49",B1055&lt;60,"50-59",TRUE(),"60+")</f>
        <v>40-49</v>
      </c>
      <c r="O1055" s="2" t="str">
        <f aca="false">_xlfn.IFS(G1055&lt;0,"1 Negative",G1055=0,"2 Zero",G1055&lt;=500,"3 1-500",G1055&lt;=2000,"4 501-2000",TRUE(),"5 Above 2000")</f>
        <v>1 Negative</v>
      </c>
      <c r="P1055" s="2" t="n">
        <f aca="false">Lookups!$B$2*M1055+Lookups!$B$3*L1055</f>
        <v>2</v>
      </c>
      <c r="Q1055" s="2" t="str">
        <f aca="false">INDEX(Lookups!$E$2:$E$5,MATCH(P1055,Lookups!$D$2:$D$5,0))</f>
        <v>High</v>
      </c>
    </row>
    <row r="1056" customFormat="false" ht="15" hidden="false" customHeight="false" outlineLevel="0" collapsed="false">
      <c r="A1056" s="3" t="n">
        <v>1055</v>
      </c>
      <c r="B1056" s="3" t="n">
        <f aca="false">Raw_Data!A1056</f>
        <v>41</v>
      </c>
      <c r="C1056" s="3" t="str">
        <f aca="false">SUBSTITUTE(Raw_Data!B1056,".","")</f>
        <v>services</v>
      </c>
      <c r="D1056" s="3" t="str">
        <f aca="false">Raw_Data!C1056</f>
        <v>divorced</v>
      </c>
      <c r="E1056" s="3" t="str">
        <f aca="false">Raw_Data!D1056</f>
        <v>secondary</v>
      </c>
      <c r="F1056" s="3" t="str">
        <f aca="false">Raw_Data!E1056</f>
        <v>no</v>
      </c>
      <c r="G1056" s="3" t="n">
        <f aca="false">Raw_Data!F1056</f>
        <v>787</v>
      </c>
      <c r="H1056" s="3" t="str">
        <f aca="false">Raw_Data!G1056</f>
        <v>yes</v>
      </c>
      <c r="I1056" s="3" t="str">
        <f aca="false">Raw_Data!H1056</f>
        <v>no</v>
      </c>
      <c r="J1056" s="2" t="n">
        <f aca="false">IF(F1056="yes",1,0)</f>
        <v>0</v>
      </c>
      <c r="K1056" s="2" t="n">
        <f aca="false">IF(H1056="yes",1,0)</f>
        <v>1</v>
      </c>
      <c r="L1056" s="2" t="n">
        <f aca="false">IF(I1056="yes",1,0)</f>
        <v>0</v>
      </c>
      <c r="M1056" s="2" t="n">
        <f aca="false">IF(G1056&lt;0,1,0)</f>
        <v>0</v>
      </c>
      <c r="N1056" s="2" t="str">
        <f aca="false">_xlfn.IFS(B1056&lt;30,"Under 30",B1056&lt;40,"30-39",B1056&lt;50,"40-49",B1056&lt;60,"50-59",TRUE(),"60+")</f>
        <v>40-49</v>
      </c>
      <c r="O1056" s="2" t="str">
        <f aca="false">_xlfn.IFS(G1056&lt;0,"1 Negative",G1056=0,"2 Zero",G1056&lt;=500,"3 1-500",G1056&lt;=2000,"4 501-2000",TRUE(),"5 Above 2000")</f>
        <v>4 501-2000</v>
      </c>
      <c r="P1056" s="2" t="n">
        <f aca="false">Lookups!$B$2*M1056+Lookups!$B$3*L1056</f>
        <v>0</v>
      </c>
      <c r="Q1056" s="2" t="str">
        <f aca="false">INDEX(Lookups!$E$2:$E$5,MATCH(P1056,Lookups!$D$2:$D$5,0))</f>
        <v>Low</v>
      </c>
    </row>
    <row r="1057" customFormat="false" ht="15" hidden="false" customHeight="false" outlineLevel="0" collapsed="false">
      <c r="A1057" s="3" t="n">
        <v>1056</v>
      </c>
      <c r="B1057" s="3" t="n">
        <f aca="false">Raw_Data!A1057</f>
        <v>36</v>
      </c>
      <c r="C1057" s="3" t="str">
        <f aca="false">SUBSTITUTE(Raw_Data!B1057,".","")</f>
        <v>management</v>
      </c>
      <c r="D1057" s="3" t="str">
        <f aca="false">Raw_Data!C1057</f>
        <v>single</v>
      </c>
      <c r="E1057" s="3" t="str">
        <f aca="false">Raw_Data!D1057</f>
        <v>tertiary</v>
      </c>
      <c r="F1057" s="3" t="str">
        <f aca="false">Raw_Data!E1057</f>
        <v>no</v>
      </c>
      <c r="G1057" s="3" t="n">
        <f aca="false">Raw_Data!F1057</f>
        <v>3343</v>
      </c>
      <c r="H1057" s="3" t="str">
        <f aca="false">Raw_Data!G1057</f>
        <v>no</v>
      </c>
      <c r="I1057" s="3" t="str">
        <f aca="false">Raw_Data!H1057</f>
        <v>no</v>
      </c>
      <c r="J1057" s="2" t="n">
        <f aca="false">IF(F1057="yes",1,0)</f>
        <v>0</v>
      </c>
      <c r="K1057" s="2" t="n">
        <f aca="false">IF(H1057="yes",1,0)</f>
        <v>0</v>
      </c>
      <c r="L1057" s="2" t="n">
        <f aca="false">IF(I1057="yes",1,0)</f>
        <v>0</v>
      </c>
      <c r="M1057" s="2" t="n">
        <f aca="false">IF(G1057&lt;0,1,0)</f>
        <v>0</v>
      </c>
      <c r="N1057" s="2" t="str">
        <f aca="false">_xlfn.IFS(B1057&lt;30,"Under 30",B1057&lt;40,"30-39",B1057&lt;50,"40-49",B1057&lt;60,"50-59",TRUE(),"60+")</f>
        <v>30-39</v>
      </c>
      <c r="O1057" s="2" t="str">
        <f aca="false">_xlfn.IFS(G1057&lt;0,"1 Negative",G1057=0,"2 Zero",G1057&lt;=500,"3 1-500",G1057&lt;=2000,"4 501-2000",TRUE(),"5 Above 2000")</f>
        <v>5 Above 2000</v>
      </c>
      <c r="P1057" s="2" t="n">
        <f aca="false">Lookups!$B$2*M1057+Lookups!$B$3*L1057</f>
        <v>0</v>
      </c>
      <c r="Q1057" s="2" t="str">
        <f aca="false">INDEX(Lookups!$E$2:$E$5,MATCH(P1057,Lookups!$D$2:$D$5,0))</f>
        <v>Low</v>
      </c>
    </row>
    <row r="1058" customFormat="false" ht="15" hidden="false" customHeight="false" outlineLevel="0" collapsed="false">
      <c r="A1058" s="3" t="n">
        <v>1057</v>
      </c>
      <c r="B1058" s="3" t="n">
        <f aca="false">Raw_Data!A1058</f>
        <v>63</v>
      </c>
      <c r="C1058" s="3" t="str">
        <f aca="false">SUBSTITUTE(Raw_Data!B1058,".","")</f>
        <v>entrepreneur</v>
      </c>
      <c r="D1058" s="3" t="str">
        <f aca="false">Raw_Data!C1058</f>
        <v>married</v>
      </c>
      <c r="E1058" s="3" t="str">
        <f aca="false">Raw_Data!D1058</f>
        <v>secondary</v>
      </c>
      <c r="F1058" s="3" t="str">
        <f aca="false">Raw_Data!E1058</f>
        <v>no</v>
      </c>
      <c r="G1058" s="3" t="n">
        <f aca="false">Raw_Data!F1058</f>
        <v>3904</v>
      </c>
      <c r="H1058" s="3" t="str">
        <f aca="false">Raw_Data!G1058</f>
        <v>no</v>
      </c>
      <c r="I1058" s="3" t="str">
        <f aca="false">Raw_Data!H1058</f>
        <v>no</v>
      </c>
      <c r="J1058" s="2" t="n">
        <f aca="false">IF(F1058="yes",1,0)</f>
        <v>0</v>
      </c>
      <c r="K1058" s="2" t="n">
        <f aca="false">IF(H1058="yes",1,0)</f>
        <v>0</v>
      </c>
      <c r="L1058" s="2" t="n">
        <f aca="false">IF(I1058="yes",1,0)</f>
        <v>0</v>
      </c>
      <c r="M1058" s="2" t="n">
        <f aca="false">IF(G1058&lt;0,1,0)</f>
        <v>0</v>
      </c>
      <c r="N1058" s="2" t="str">
        <f aca="false">_xlfn.IFS(B1058&lt;30,"Under 30",B1058&lt;40,"30-39",B1058&lt;50,"40-49",B1058&lt;60,"50-59",TRUE(),"60+")</f>
        <v>60+</v>
      </c>
      <c r="O1058" s="2" t="str">
        <f aca="false">_xlfn.IFS(G1058&lt;0,"1 Negative",G1058=0,"2 Zero",G1058&lt;=500,"3 1-500",G1058&lt;=2000,"4 501-2000",TRUE(),"5 Above 2000")</f>
        <v>5 Above 2000</v>
      </c>
      <c r="P1058" s="2" t="n">
        <f aca="false">Lookups!$B$2*M1058+Lookups!$B$3*L1058</f>
        <v>0</v>
      </c>
      <c r="Q1058" s="2" t="str">
        <f aca="false">INDEX(Lookups!$E$2:$E$5,MATCH(P1058,Lookups!$D$2:$D$5,0))</f>
        <v>Low</v>
      </c>
    </row>
    <row r="1059" customFormat="false" ht="15" hidden="false" customHeight="false" outlineLevel="0" collapsed="false">
      <c r="A1059" s="3" t="n">
        <v>1058</v>
      </c>
      <c r="B1059" s="3" t="n">
        <f aca="false">Raw_Data!A1059</f>
        <v>23</v>
      </c>
      <c r="C1059" s="3" t="str">
        <f aca="false">SUBSTITUTE(Raw_Data!B1059,".","")</f>
        <v>management</v>
      </c>
      <c r="D1059" s="3" t="str">
        <f aca="false">Raw_Data!C1059</f>
        <v>single</v>
      </c>
      <c r="E1059" s="3" t="str">
        <f aca="false">Raw_Data!D1059</f>
        <v>tertiary</v>
      </c>
      <c r="F1059" s="3" t="str">
        <f aca="false">Raw_Data!E1059</f>
        <v>no</v>
      </c>
      <c r="G1059" s="3" t="n">
        <f aca="false">Raw_Data!F1059</f>
        <v>736</v>
      </c>
      <c r="H1059" s="3" t="str">
        <f aca="false">Raw_Data!G1059</f>
        <v>yes</v>
      </c>
      <c r="I1059" s="3" t="str">
        <f aca="false">Raw_Data!H1059</f>
        <v>no</v>
      </c>
      <c r="J1059" s="2" t="n">
        <f aca="false">IF(F1059="yes",1,0)</f>
        <v>0</v>
      </c>
      <c r="K1059" s="2" t="n">
        <f aca="false">IF(H1059="yes",1,0)</f>
        <v>1</v>
      </c>
      <c r="L1059" s="2" t="n">
        <f aca="false">IF(I1059="yes",1,0)</f>
        <v>0</v>
      </c>
      <c r="M1059" s="2" t="n">
        <f aca="false">IF(G1059&lt;0,1,0)</f>
        <v>0</v>
      </c>
      <c r="N1059" s="2" t="str">
        <f aca="false">_xlfn.IFS(B1059&lt;30,"Under 30",B1059&lt;40,"30-39",B1059&lt;50,"40-49",B1059&lt;60,"50-59",TRUE(),"60+")</f>
        <v>Under 30</v>
      </c>
      <c r="O1059" s="2" t="str">
        <f aca="false">_xlfn.IFS(G1059&lt;0,"1 Negative",G1059=0,"2 Zero",G1059&lt;=500,"3 1-500",G1059&lt;=2000,"4 501-2000",TRUE(),"5 Above 2000")</f>
        <v>4 501-2000</v>
      </c>
      <c r="P1059" s="2" t="n">
        <f aca="false">Lookups!$B$2*M1059+Lookups!$B$3*L1059</f>
        <v>0</v>
      </c>
      <c r="Q1059" s="2" t="str">
        <f aca="false">INDEX(Lookups!$E$2:$E$5,MATCH(P1059,Lookups!$D$2:$D$5,0))</f>
        <v>Low</v>
      </c>
    </row>
    <row r="1060" customFormat="false" ht="15" hidden="false" customHeight="false" outlineLevel="0" collapsed="false">
      <c r="A1060" s="3" t="n">
        <v>1059</v>
      </c>
      <c r="B1060" s="3" t="n">
        <f aca="false">Raw_Data!A1060</f>
        <v>32</v>
      </c>
      <c r="C1060" s="3" t="str">
        <f aca="false">SUBSTITUTE(Raw_Data!B1060,".","")</f>
        <v>management</v>
      </c>
      <c r="D1060" s="3" t="str">
        <f aca="false">Raw_Data!C1060</f>
        <v>married</v>
      </c>
      <c r="E1060" s="3" t="str">
        <f aca="false">Raw_Data!D1060</f>
        <v>tertiary</v>
      </c>
      <c r="F1060" s="3" t="str">
        <f aca="false">Raw_Data!E1060</f>
        <v>no</v>
      </c>
      <c r="G1060" s="3" t="n">
        <f aca="false">Raw_Data!F1060</f>
        <v>1390</v>
      </c>
      <c r="H1060" s="3" t="str">
        <f aca="false">Raw_Data!G1060</f>
        <v>no</v>
      </c>
      <c r="I1060" s="3" t="str">
        <f aca="false">Raw_Data!H1060</f>
        <v>no</v>
      </c>
      <c r="J1060" s="2" t="n">
        <f aca="false">IF(F1060="yes",1,0)</f>
        <v>0</v>
      </c>
      <c r="K1060" s="2" t="n">
        <f aca="false">IF(H1060="yes",1,0)</f>
        <v>0</v>
      </c>
      <c r="L1060" s="2" t="n">
        <f aca="false">IF(I1060="yes",1,0)</f>
        <v>0</v>
      </c>
      <c r="M1060" s="2" t="n">
        <f aca="false">IF(G1060&lt;0,1,0)</f>
        <v>0</v>
      </c>
      <c r="N1060" s="2" t="str">
        <f aca="false">_xlfn.IFS(B1060&lt;30,"Under 30",B1060&lt;40,"30-39",B1060&lt;50,"40-49",B1060&lt;60,"50-59",TRUE(),"60+")</f>
        <v>30-39</v>
      </c>
      <c r="O1060" s="2" t="str">
        <f aca="false">_xlfn.IFS(G1060&lt;0,"1 Negative",G1060=0,"2 Zero",G1060&lt;=500,"3 1-500",G1060&lt;=2000,"4 501-2000",TRUE(),"5 Above 2000")</f>
        <v>4 501-2000</v>
      </c>
      <c r="P1060" s="2" t="n">
        <f aca="false">Lookups!$B$2*M1060+Lookups!$B$3*L1060</f>
        <v>0</v>
      </c>
      <c r="Q1060" s="2" t="str">
        <f aca="false">INDEX(Lookups!$E$2:$E$5,MATCH(P1060,Lookups!$D$2:$D$5,0))</f>
        <v>Low</v>
      </c>
    </row>
    <row r="1061" customFormat="false" ht="15" hidden="false" customHeight="false" outlineLevel="0" collapsed="false">
      <c r="A1061" s="3" t="n">
        <v>1060</v>
      </c>
      <c r="B1061" s="3" t="n">
        <f aca="false">Raw_Data!A1061</f>
        <v>57</v>
      </c>
      <c r="C1061" s="3" t="str">
        <f aca="false">SUBSTITUTE(Raw_Data!B1061,".","")</f>
        <v>retired</v>
      </c>
      <c r="D1061" s="3" t="str">
        <f aca="false">Raw_Data!C1061</f>
        <v>married</v>
      </c>
      <c r="E1061" s="3" t="str">
        <f aca="false">Raw_Data!D1061</f>
        <v>primary</v>
      </c>
      <c r="F1061" s="3" t="str">
        <f aca="false">Raw_Data!E1061</f>
        <v>no</v>
      </c>
      <c r="G1061" s="3" t="n">
        <f aca="false">Raw_Data!F1061</f>
        <v>808</v>
      </c>
      <c r="H1061" s="3" t="str">
        <f aca="false">Raw_Data!G1061</f>
        <v>no</v>
      </c>
      <c r="I1061" s="3" t="str">
        <f aca="false">Raw_Data!H1061</f>
        <v>no</v>
      </c>
      <c r="J1061" s="2" t="n">
        <f aca="false">IF(F1061="yes",1,0)</f>
        <v>0</v>
      </c>
      <c r="K1061" s="2" t="n">
        <f aca="false">IF(H1061="yes",1,0)</f>
        <v>0</v>
      </c>
      <c r="L1061" s="2" t="n">
        <f aca="false">IF(I1061="yes",1,0)</f>
        <v>0</v>
      </c>
      <c r="M1061" s="2" t="n">
        <f aca="false">IF(G1061&lt;0,1,0)</f>
        <v>0</v>
      </c>
      <c r="N1061" s="2" t="str">
        <f aca="false">_xlfn.IFS(B1061&lt;30,"Under 30",B1061&lt;40,"30-39",B1061&lt;50,"40-49",B1061&lt;60,"50-59",TRUE(),"60+")</f>
        <v>50-59</v>
      </c>
      <c r="O1061" s="2" t="str">
        <f aca="false">_xlfn.IFS(G1061&lt;0,"1 Negative",G1061=0,"2 Zero",G1061&lt;=500,"3 1-500",G1061&lt;=2000,"4 501-2000",TRUE(),"5 Above 2000")</f>
        <v>4 501-2000</v>
      </c>
      <c r="P1061" s="2" t="n">
        <f aca="false">Lookups!$B$2*M1061+Lookups!$B$3*L1061</f>
        <v>0</v>
      </c>
      <c r="Q1061" s="2" t="str">
        <f aca="false">INDEX(Lookups!$E$2:$E$5,MATCH(P1061,Lookups!$D$2:$D$5,0))</f>
        <v>Low</v>
      </c>
    </row>
    <row r="1062" customFormat="false" ht="15" hidden="false" customHeight="false" outlineLevel="0" collapsed="false">
      <c r="A1062" s="3" t="n">
        <v>1061</v>
      </c>
      <c r="B1062" s="3" t="n">
        <f aca="false">Raw_Data!A1062</f>
        <v>48</v>
      </c>
      <c r="C1062" s="3" t="str">
        <f aca="false">SUBSTITUTE(Raw_Data!B1062,".","")</f>
        <v>management</v>
      </c>
      <c r="D1062" s="3" t="str">
        <f aca="false">Raw_Data!C1062</f>
        <v>married</v>
      </c>
      <c r="E1062" s="3" t="str">
        <f aca="false">Raw_Data!D1062</f>
        <v>tertiary</v>
      </c>
      <c r="F1062" s="3" t="str">
        <f aca="false">Raw_Data!E1062</f>
        <v>no</v>
      </c>
      <c r="G1062" s="3" t="n">
        <f aca="false">Raw_Data!F1062</f>
        <v>1147</v>
      </c>
      <c r="H1062" s="3" t="str">
        <f aca="false">Raw_Data!G1062</f>
        <v>no</v>
      </c>
      <c r="I1062" s="3" t="str">
        <f aca="false">Raw_Data!H1062</f>
        <v>no</v>
      </c>
      <c r="J1062" s="2" t="n">
        <f aca="false">IF(F1062="yes",1,0)</f>
        <v>0</v>
      </c>
      <c r="K1062" s="2" t="n">
        <f aca="false">IF(H1062="yes",1,0)</f>
        <v>0</v>
      </c>
      <c r="L1062" s="2" t="n">
        <f aca="false">IF(I1062="yes",1,0)</f>
        <v>0</v>
      </c>
      <c r="M1062" s="2" t="n">
        <f aca="false">IF(G1062&lt;0,1,0)</f>
        <v>0</v>
      </c>
      <c r="N1062" s="2" t="str">
        <f aca="false">_xlfn.IFS(B1062&lt;30,"Under 30",B1062&lt;40,"30-39",B1062&lt;50,"40-49",B1062&lt;60,"50-59",TRUE(),"60+")</f>
        <v>40-49</v>
      </c>
      <c r="O1062" s="2" t="str">
        <f aca="false">_xlfn.IFS(G1062&lt;0,"1 Negative",G1062=0,"2 Zero",G1062&lt;=500,"3 1-500",G1062&lt;=2000,"4 501-2000",TRUE(),"5 Above 2000")</f>
        <v>4 501-2000</v>
      </c>
      <c r="P1062" s="2" t="n">
        <f aca="false">Lookups!$B$2*M1062+Lookups!$B$3*L1062</f>
        <v>0</v>
      </c>
      <c r="Q1062" s="2" t="str">
        <f aca="false">INDEX(Lookups!$E$2:$E$5,MATCH(P1062,Lookups!$D$2:$D$5,0))</f>
        <v>Low</v>
      </c>
    </row>
    <row r="1063" customFormat="false" ht="15" hidden="false" customHeight="false" outlineLevel="0" collapsed="false">
      <c r="A1063" s="3" t="n">
        <v>1062</v>
      </c>
      <c r="B1063" s="3" t="n">
        <f aca="false">Raw_Data!A1063</f>
        <v>49</v>
      </c>
      <c r="C1063" s="3" t="str">
        <f aca="false">SUBSTITUTE(Raw_Data!B1063,".","")</f>
        <v>services</v>
      </c>
      <c r="D1063" s="3" t="str">
        <f aca="false">Raw_Data!C1063</f>
        <v>married</v>
      </c>
      <c r="E1063" s="3" t="str">
        <f aca="false">Raw_Data!D1063</f>
        <v>secondary</v>
      </c>
      <c r="F1063" s="3" t="str">
        <f aca="false">Raw_Data!E1063</f>
        <v>no</v>
      </c>
      <c r="G1063" s="3" t="n">
        <f aca="false">Raw_Data!F1063</f>
        <v>1122</v>
      </c>
      <c r="H1063" s="3" t="str">
        <f aca="false">Raw_Data!G1063</f>
        <v>no</v>
      </c>
      <c r="I1063" s="3" t="str">
        <f aca="false">Raw_Data!H1063</f>
        <v>no</v>
      </c>
      <c r="J1063" s="2" t="n">
        <f aca="false">IF(F1063="yes",1,0)</f>
        <v>0</v>
      </c>
      <c r="K1063" s="2" t="n">
        <f aca="false">IF(H1063="yes",1,0)</f>
        <v>0</v>
      </c>
      <c r="L1063" s="2" t="n">
        <f aca="false">IF(I1063="yes",1,0)</f>
        <v>0</v>
      </c>
      <c r="M1063" s="2" t="n">
        <f aca="false">IF(G1063&lt;0,1,0)</f>
        <v>0</v>
      </c>
      <c r="N1063" s="2" t="str">
        <f aca="false">_xlfn.IFS(B1063&lt;30,"Under 30",B1063&lt;40,"30-39",B1063&lt;50,"40-49",B1063&lt;60,"50-59",TRUE(),"60+")</f>
        <v>40-49</v>
      </c>
      <c r="O1063" s="2" t="str">
        <f aca="false">_xlfn.IFS(G1063&lt;0,"1 Negative",G1063=0,"2 Zero",G1063&lt;=500,"3 1-500",G1063&lt;=2000,"4 501-2000",TRUE(),"5 Above 2000")</f>
        <v>4 501-2000</v>
      </c>
      <c r="P1063" s="2" t="n">
        <f aca="false">Lookups!$B$2*M1063+Lookups!$B$3*L1063</f>
        <v>0</v>
      </c>
      <c r="Q1063" s="2" t="str">
        <f aca="false">INDEX(Lookups!$E$2:$E$5,MATCH(P1063,Lookups!$D$2:$D$5,0))</f>
        <v>Low</v>
      </c>
    </row>
    <row r="1064" customFormat="false" ht="15" hidden="false" customHeight="false" outlineLevel="0" collapsed="false">
      <c r="A1064" s="3" t="n">
        <v>1063</v>
      </c>
      <c r="B1064" s="3" t="n">
        <f aca="false">Raw_Data!A1064</f>
        <v>50</v>
      </c>
      <c r="C1064" s="3" t="str">
        <f aca="false">SUBSTITUTE(Raw_Data!B1064,".","")</f>
        <v>technician</v>
      </c>
      <c r="D1064" s="3" t="str">
        <f aca="false">Raw_Data!C1064</f>
        <v>married</v>
      </c>
      <c r="E1064" s="3" t="str">
        <f aca="false">Raw_Data!D1064</f>
        <v>secondary</v>
      </c>
      <c r="F1064" s="3" t="str">
        <f aca="false">Raw_Data!E1064</f>
        <v>no</v>
      </c>
      <c r="G1064" s="3" t="n">
        <f aca="false">Raw_Data!F1064</f>
        <v>-568</v>
      </c>
      <c r="H1064" s="3" t="str">
        <f aca="false">Raw_Data!G1064</f>
        <v>yes</v>
      </c>
      <c r="I1064" s="3" t="str">
        <f aca="false">Raw_Data!H1064</f>
        <v>yes</v>
      </c>
      <c r="J1064" s="2" t="n">
        <f aca="false">IF(F1064="yes",1,0)</f>
        <v>0</v>
      </c>
      <c r="K1064" s="2" t="n">
        <f aca="false">IF(H1064="yes",1,0)</f>
        <v>1</v>
      </c>
      <c r="L1064" s="2" t="n">
        <f aca="false">IF(I1064="yes",1,0)</f>
        <v>1</v>
      </c>
      <c r="M1064" s="2" t="n">
        <f aca="false">IF(G1064&lt;0,1,0)</f>
        <v>1</v>
      </c>
      <c r="N1064" s="2" t="str">
        <f aca="false">_xlfn.IFS(B1064&lt;30,"Under 30",B1064&lt;40,"30-39",B1064&lt;50,"40-49",B1064&lt;60,"50-59",TRUE(),"60+")</f>
        <v>50-59</v>
      </c>
      <c r="O1064" s="2" t="str">
        <f aca="false">_xlfn.IFS(G1064&lt;0,"1 Negative",G1064=0,"2 Zero",G1064&lt;=500,"3 1-500",G1064&lt;=2000,"4 501-2000",TRUE(),"5 Above 2000")</f>
        <v>1 Negative</v>
      </c>
      <c r="P1064" s="2" t="n">
        <f aca="false">Lookups!$B$2*M1064+Lookups!$B$3*L1064</f>
        <v>3</v>
      </c>
      <c r="Q1064" s="2" t="str">
        <f aca="false">INDEX(Lookups!$E$2:$E$5,MATCH(P1064,Lookups!$D$2:$D$5,0))</f>
        <v>High</v>
      </c>
    </row>
    <row r="1065" customFormat="false" ht="15" hidden="false" customHeight="false" outlineLevel="0" collapsed="false">
      <c r="A1065" s="3" t="n">
        <v>1064</v>
      </c>
      <c r="B1065" s="3" t="n">
        <f aca="false">Raw_Data!A1065</f>
        <v>33</v>
      </c>
      <c r="C1065" s="3" t="str">
        <f aca="false">SUBSTITUTE(Raw_Data!B1065,".","")</f>
        <v>blue-collar</v>
      </c>
      <c r="D1065" s="3" t="str">
        <f aca="false">Raw_Data!C1065</f>
        <v>married</v>
      </c>
      <c r="E1065" s="3" t="str">
        <f aca="false">Raw_Data!D1065</f>
        <v>primary</v>
      </c>
      <c r="F1065" s="3" t="str">
        <f aca="false">Raw_Data!E1065</f>
        <v>no</v>
      </c>
      <c r="G1065" s="3" t="n">
        <f aca="false">Raw_Data!F1065</f>
        <v>1165</v>
      </c>
      <c r="H1065" s="3" t="str">
        <f aca="false">Raw_Data!G1065</f>
        <v>yes</v>
      </c>
      <c r="I1065" s="3" t="str">
        <f aca="false">Raw_Data!H1065</f>
        <v>no</v>
      </c>
      <c r="J1065" s="2" t="n">
        <f aca="false">IF(F1065="yes",1,0)</f>
        <v>0</v>
      </c>
      <c r="K1065" s="2" t="n">
        <f aca="false">IF(H1065="yes",1,0)</f>
        <v>1</v>
      </c>
      <c r="L1065" s="2" t="n">
        <f aca="false">IF(I1065="yes",1,0)</f>
        <v>0</v>
      </c>
      <c r="M1065" s="2" t="n">
        <f aca="false">IF(G1065&lt;0,1,0)</f>
        <v>0</v>
      </c>
      <c r="N1065" s="2" t="str">
        <f aca="false">_xlfn.IFS(B1065&lt;30,"Under 30",B1065&lt;40,"30-39",B1065&lt;50,"40-49",B1065&lt;60,"50-59",TRUE(),"60+")</f>
        <v>30-39</v>
      </c>
      <c r="O1065" s="2" t="str">
        <f aca="false">_xlfn.IFS(G1065&lt;0,"1 Negative",G1065=0,"2 Zero",G1065&lt;=500,"3 1-500",G1065&lt;=2000,"4 501-2000",TRUE(),"5 Above 2000")</f>
        <v>4 501-2000</v>
      </c>
      <c r="P1065" s="2" t="n">
        <f aca="false">Lookups!$B$2*M1065+Lookups!$B$3*L1065</f>
        <v>0</v>
      </c>
      <c r="Q1065" s="2" t="str">
        <f aca="false">INDEX(Lookups!$E$2:$E$5,MATCH(P1065,Lookups!$D$2:$D$5,0))</f>
        <v>Low</v>
      </c>
    </row>
    <row r="1066" customFormat="false" ht="15" hidden="false" customHeight="false" outlineLevel="0" collapsed="false">
      <c r="A1066" s="3" t="n">
        <v>1065</v>
      </c>
      <c r="B1066" s="3" t="n">
        <f aca="false">Raw_Data!A1066</f>
        <v>53</v>
      </c>
      <c r="C1066" s="3" t="str">
        <f aca="false">SUBSTITUTE(Raw_Data!B1066,".","")</f>
        <v>services</v>
      </c>
      <c r="D1066" s="3" t="str">
        <f aca="false">Raw_Data!C1066</f>
        <v>divorced</v>
      </c>
      <c r="E1066" s="3" t="str">
        <f aca="false">Raw_Data!D1066</f>
        <v>secondary</v>
      </c>
      <c r="F1066" s="3" t="str">
        <f aca="false">Raw_Data!E1066</f>
        <v>no</v>
      </c>
      <c r="G1066" s="3" t="n">
        <f aca="false">Raw_Data!F1066</f>
        <v>-905</v>
      </c>
      <c r="H1066" s="3" t="str">
        <f aca="false">Raw_Data!G1066</f>
        <v>yes</v>
      </c>
      <c r="I1066" s="3" t="str">
        <f aca="false">Raw_Data!H1066</f>
        <v>no</v>
      </c>
      <c r="J1066" s="2" t="n">
        <f aca="false">IF(F1066="yes",1,0)</f>
        <v>0</v>
      </c>
      <c r="K1066" s="2" t="n">
        <f aca="false">IF(H1066="yes",1,0)</f>
        <v>1</v>
      </c>
      <c r="L1066" s="2" t="n">
        <f aca="false">IF(I1066="yes",1,0)</f>
        <v>0</v>
      </c>
      <c r="M1066" s="2" t="n">
        <f aca="false">IF(G1066&lt;0,1,0)</f>
        <v>1</v>
      </c>
      <c r="N1066" s="2" t="str">
        <f aca="false">_xlfn.IFS(B1066&lt;30,"Under 30",B1066&lt;40,"30-39",B1066&lt;50,"40-49",B1066&lt;60,"50-59",TRUE(),"60+")</f>
        <v>50-59</v>
      </c>
      <c r="O1066" s="2" t="str">
        <f aca="false">_xlfn.IFS(G1066&lt;0,"1 Negative",G1066=0,"2 Zero",G1066&lt;=500,"3 1-500",G1066&lt;=2000,"4 501-2000",TRUE(),"5 Above 2000")</f>
        <v>1 Negative</v>
      </c>
      <c r="P1066" s="2" t="n">
        <f aca="false">Lookups!$B$2*M1066+Lookups!$B$3*L1066</f>
        <v>2</v>
      </c>
      <c r="Q1066" s="2" t="str">
        <f aca="false">INDEX(Lookups!$E$2:$E$5,MATCH(P1066,Lookups!$D$2:$D$5,0))</f>
        <v>High</v>
      </c>
    </row>
    <row r="1067" customFormat="false" ht="15" hidden="false" customHeight="false" outlineLevel="0" collapsed="false">
      <c r="A1067" s="3" t="n">
        <v>1066</v>
      </c>
      <c r="B1067" s="3" t="n">
        <f aca="false">Raw_Data!A1067</f>
        <v>30</v>
      </c>
      <c r="C1067" s="3" t="str">
        <f aca="false">SUBSTITUTE(Raw_Data!B1067,".","")</f>
        <v>unemployed</v>
      </c>
      <c r="D1067" s="3" t="str">
        <f aca="false">Raw_Data!C1067</f>
        <v>married</v>
      </c>
      <c r="E1067" s="3" t="str">
        <f aca="false">Raw_Data!D1067</f>
        <v>tertiary</v>
      </c>
      <c r="F1067" s="3" t="str">
        <f aca="false">Raw_Data!E1067</f>
        <v>no</v>
      </c>
      <c r="G1067" s="3" t="n">
        <f aca="false">Raw_Data!F1067</f>
        <v>0</v>
      </c>
      <c r="H1067" s="3" t="str">
        <f aca="false">Raw_Data!G1067</f>
        <v>yes</v>
      </c>
      <c r="I1067" s="3" t="str">
        <f aca="false">Raw_Data!H1067</f>
        <v>no</v>
      </c>
      <c r="J1067" s="2" t="n">
        <f aca="false">IF(F1067="yes",1,0)</f>
        <v>0</v>
      </c>
      <c r="K1067" s="2" t="n">
        <f aca="false">IF(H1067="yes",1,0)</f>
        <v>1</v>
      </c>
      <c r="L1067" s="2" t="n">
        <f aca="false">IF(I1067="yes",1,0)</f>
        <v>0</v>
      </c>
      <c r="M1067" s="2" t="n">
        <f aca="false">IF(G1067&lt;0,1,0)</f>
        <v>0</v>
      </c>
      <c r="N1067" s="2" t="str">
        <f aca="false">_xlfn.IFS(B1067&lt;30,"Under 30",B1067&lt;40,"30-39",B1067&lt;50,"40-49",B1067&lt;60,"50-59",TRUE(),"60+")</f>
        <v>30-39</v>
      </c>
      <c r="O1067" s="2" t="str">
        <f aca="false">_xlfn.IFS(G1067&lt;0,"1 Negative",G1067=0,"2 Zero",G1067&lt;=500,"3 1-500",G1067&lt;=2000,"4 501-2000",TRUE(),"5 Above 2000")</f>
        <v>2 Zero</v>
      </c>
      <c r="P1067" s="2" t="n">
        <f aca="false">Lookups!$B$2*M1067+Lookups!$B$3*L1067</f>
        <v>0</v>
      </c>
      <c r="Q1067" s="2" t="str">
        <f aca="false">INDEX(Lookups!$E$2:$E$5,MATCH(P1067,Lookups!$D$2:$D$5,0))</f>
        <v>Low</v>
      </c>
    </row>
    <row r="1068" customFormat="false" ht="15" hidden="false" customHeight="false" outlineLevel="0" collapsed="false">
      <c r="A1068" s="3" t="n">
        <v>1067</v>
      </c>
      <c r="B1068" s="3" t="n">
        <f aca="false">Raw_Data!A1068</f>
        <v>38</v>
      </c>
      <c r="C1068" s="3" t="str">
        <f aca="false">SUBSTITUTE(Raw_Data!B1068,".","")</f>
        <v>technician</v>
      </c>
      <c r="D1068" s="3" t="str">
        <f aca="false">Raw_Data!C1068</f>
        <v>married</v>
      </c>
      <c r="E1068" s="3" t="str">
        <f aca="false">Raw_Data!D1068</f>
        <v>secondary</v>
      </c>
      <c r="F1068" s="3" t="str">
        <f aca="false">Raw_Data!E1068</f>
        <v>no</v>
      </c>
      <c r="G1068" s="3" t="n">
        <f aca="false">Raw_Data!F1068</f>
        <v>740</v>
      </c>
      <c r="H1068" s="3" t="str">
        <f aca="false">Raw_Data!G1068</f>
        <v>no</v>
      </c>
      <c r="I1068" s="3" t="str">
        <f aca="false">Raw_Data!H1068</f>
        <v>no</v>
      </c>
      <c r="J1068" s="2" t="n">
        <f aca="false">IF(F1068="yes",1,0)</f>
        <v>0</v>
      </c>
      <c r="K1068" s="2" t="n">
        <f aca="false">IF(H1068="yes",1,0)</f>
        <v>0</v>
      </c>
      <c r="L1068" s="2" t="n">
        <f aca="false">IF(I1068="yes",1,0)</f>
        <v>0</v>
      </c>
      <c r="M1068" s="2" t="n">
        <f aca="false">IF(G1068&lt;0,1,0)</f>
        <v>0</v>
      </c>
      <c r="N1068" s="2" t="str">
        <f aca="false">_xlfn.IFS(B1068&lt;30,"Under 30",B1068&lt;40,"30-39",B1068&lt;50,"40-49",B1068&lt;60,"50-59",TRUE(),"60+")</f>
        <v>30-39</v>
      </c>
      <c r="O1068" s="2" t="str">
        <f aca="false">_xlfn.IFS(G1068&lt;0,"1 Negative",G1068=0,"2 Zero",G1068&lt;=500,"3 1-500",G1068&lt;=2000,"4 501-2000",TRUE(),"5 Above 2000")</f>
        <v>4 501-2000</v>
      </c>
      <c r="P1068" s="2" t="n">
        <f aca="false">Lookups!$B$2*M1068+Lookups!$B$3*L1068</f>
        <v>0</v>
      </c>
      <c r="Q1068" s="2" t="str">
        <f aca="false">INDEX(Lookups!$E$2:$E$5,MATCH(P1068,Lookups!$D$2:$D$5,0))</f>
        <v>Low</v>
      </c>
    </row>
    <row r="1069" customFormat="false" ht="15" hidden="false" customHeight="false" outlineLevel="0" collapsed="false">
      <c r="A1069" s="3" t="n">
        <v>1068</v>
      </c>
      <c r="B1069" s="3" t="n">
        <f aca="false">Raw_Data!A1069</f>
        <v>44</v>
      </c>
      <c r="C1069" s="3" t="str">
        <f aca="false">SUBSTITUTE(Raw_Data!B1069,".","")</f>
        <v>management</v>
      </c>
      <c r="D1069" s="3" t="str">
        <f aca="false">Raw_Data!C1069</f>
        <v>married</v>
      </c>
      <c r="E1069" s="3" t="str">
        <f aca="false">Raw_Data!D1069</f>
        <v>secondary</v>
      </c>
      <c r="F1069" s="3" t="str">
        <f aca="false">Raw_Data!E1069</f>
        <v>no</v>
      </c>
      <c r="G1069" s="3" t="n">
        <f aca="false">Raw_Data!F1069</f>
        <v>8262</v>
      </c>
      <c r="H1069" s="3" t="str">
        <f aca="false">Raw_Data!G1069</f>
        <v>yes</v>
      </c>
      <c r="I1069" s="3" t="str">
        <f aca="false">Raw_Data!H1069</f>
        <v>no</v>
      </c>
      <c r="J1069" s="2" t="n">
        <f aca="false">IF(F1069="yes",1,0)</f>
        <v>0</v>
      </c>
      <c r="K1069" s="2" t="n">
        <f aca="false">IF(H1069="yes",1,0)</f>
        <v>1</v>
      </c>
      <c r="L1069" s="2" t="n">
        <f aca="false">IF(I1069="yes",1,0)</f>
        <v>0</v>
      </c>
      <c r="M1069" s="2" t="n">
        <f aca="false">IF(G1069&lt;0,1,0)</f>
        <v>0</v>
      </c>
      <c r="N1069" s="2" t="str">
        <f aca="false">_xlfn.IFS(B1069&lt;30,"Under 30",B1069&lt;40,"30-39",B1069&lt;50,"40-49",B1069&lt;60,"50-59",TRUE(),"60+")</f>
        <v>40-49</v>
      </c>
      <c r="O1069" s="2" t="str">
        <f aca="false">_xlfn.IFS(G1069&lt;0,"1 Negative",G1069=0,"2 Zero",G1069&lt;=500,"3 1-500",G1069&lt;=2000,"4 501-2000",TRUE(),"5 Above 2000")</f>
        <v>5 Above 2000</v>
      </c>
      <c r="P1069" s="2" t="n">
        <f aca="false">Lookups!$B$2*M1069+Lookups!$B$3*L1069</f>
        <v>0</v>
      </c>
      <c r="Q1069" s="2" t="str">
        <f aca="false">INDEX(Lookups!$E$2:$E$5,MATCH(P1069,Lookups!$D$2:$D$5,0))</f>
        <v>Low</v>
      </c>
    </row>
    <row r="1070" customFormat="false" ht="15" hidden="false" customHeight="false" outlineLevel="0" collapsed="false">
      <c r="A1070" s="3" t="n">
        <v>1069</v>
      </c>
      <c r="B1070" s="3" t="n">
        <f aca="false">Raw_Data!A1070</f>
        <v>39</v>
      </c>
      <c r="C1070" s="3" t="str">
        <f aca="false">SUBSTITUTE(Raw_Data!B1070,".","")</f>
        <v>admin</v>
      </c>
      <c r="D1070" s="3" t="str">
        <f aca="false">Raw_Data!C1070</f>
        <v>single</v>
      </c>
      <c r="E1070" s="3" t="str">
        <f aca="false">Raw_Data!D1070</f>
        <v>secondary</v>
      </c>
      <c r="F1070" s="3" t="str">
        <f aca="false">Raw_Data!E1070</f>
        <v>no</v>
      </c>
      <c r="G1070" s="3" t="n">
        <f aca="false">Raw_Data!F1070</f>
        <v>14</v>
      </c>
      <c r="H1070" s="3" t="str">
        <f aca="false">Raw_Data!G1070</f>
        <v>yes</v>
      </c>
      <c r="I1070" s="3" t="str">
        <f aca="false">Raw_Data!H1070</f>
        <v>yes</v>
      </c>
      <c r="J1070" s="2" t="n">
        <f aca="false">IF(F1070="yes",1,0)</f>
        <v>0</v>
      </c>
      <c r="K1070" s="2" t="n">
        <f aca="false">IF(H1070="yes",1,0)</f>
        <v>1</v>
      </c>
      <c r="L1070" s="2" t="n">
        <f aca="false">IF(I1070="yes",1,0)</f>
        <v>1</v>
      </c>
      <c r="M1070" s="2" t="n">
        <f aca="false">IF(G1070&lt;0,1,0)</f>
        <v>0</v>
      </c>
      <c r="N1070" s="2" t="str">
        <f aca="false">_xlfn.IFS(B1070&lt;30,"Under 30",B1070&lt;40,"30-39",B1070&lt;50,"40-49",B1070&lt;60,"50-59",TRUE(),"60+")</f>
        <v>30-39</v>
      </c>
      <c r="O1070" s="2" t="str">
        <f aca="false">_xlfn.IFS(G1070&lt;0,"1 Negative",G1070=0,"2 Zero",G1070&lt;=500,"3 1-500",G1070&lt;=2000,"4 501-2000",TRUE(),"5 Above 2000")</f>
        <v>3 1-500</v>
      </c>
      <c r="P1070" s="2" t="n">
        <f aca="false">Lookups!$B$2*M1070+Lookups!$B$3*L1070</f>
        <v>1</v>
      </c>
      <c r="Q1070" s="2" t="str">
        <f aca="false">INDEX(Lookups!$E$2:$E$5,MATCH(P1070,Lookups!$D$2:$D$5,0))</f>
        <v>Medium</v>
      </c>
    </row>
    <row r="1071" customFormat="false" ht="15" hidden="false" customHeight="false" outlineLevel="0" collapsed="false">
      <c r="A1071" s="3" t="n">
        <v>1070</v>
      </c>
      <c r="B1071" s="3" t="n">
        <f aca="false">Raw_Data!A1071</f>
        <v>45</v>
      </c>
      <c r="C1071" s="3" t="str">
        <f aca="false">SUBSTITUTE(Raw_Data!B1071,".","")</f>
        <v>technician</v>
      </c>
      <c r="D1071" s="3" t="str">
        <f aca="false">Raw_Data!C1071</f>
        <v>single</v>
      </c>
      <c r="E1071" s="3" t="str">
        <f aca="false">Raw_Data!D1071</f>
        <v>unknown</v>
      </c>
      <c r="F1071" s="3" t="str">
        <f aca="false">Raw_Data!E1071</f>
        <v>no</v>
      </c>
      <c r="G1071" s="3" t="n">
        <f aca="false">Raw_Data!F1071</f>
        <v>7108</v>
      </c>
      <c r="H1071" s="3" t="str">
        <f aca="false">Raw_Data!G1071</f>
        <v>yes</v>
      </c>
      <c r="I1071" s="3" t="str">
        <f aca="false">Raw_Data!H1071</f>
        <v>yes</v>
      </c>
      <c r="J1071" s="2" t="n">
        <f aca="false">IF(F1071="yes",1,0)</f>
        <v>0</v>
      </c>
      <c r="K1071" s="2" t="n">
        <f aca="false">IF(H1071="yes",1,0)</f>
        <v>1</v>
      </c>
      <c r="L1071" s="2" t="n">
        <f aca="false">IF(I1071="yes",1,0)</f>
        <v>1</v>
      </c>
      <c r="M1071" s="2" t="n">
        <f aca="false">IF(G1071&lt;0,1,0)</f>
        <v>0</v>
      </c>
      <c r="N1071" s="2" t="str">
        <f aca="false">_xlfn.IFS(B1071&lt;30,"Under 30",B1071&lt;40,"30-39",B1071&lt;50,"40-49",B1071&lt;60,"50-59",TRUE(),"60+")</f>
        <v>40-49</v>
      </c>
      <c r="O1071" s="2" t="str">
        <f aca="false">_xlfn.IFS(G1071&lt;0,"1 Negative",G1071=0,"2 Zero",G1071&lt;=500,"3 1-500",G1071&lt;=2000,"4 501-2000",TRUE(),"5 Above 2000")</f>
        <v>5 Above 2000</v>
      </c>
      <c r="P1071" s="2" t="n">
        <f aca="false">Lookups!$B$2*M1071+Lookups!$B$3*L1071</f>
        <v>1</v>
      </c>
      <c r="Q1071" s="2" t="str">
        <f aca="false">INDEX(Lookups!$E$2:$E$5,MATCH(P1071,Lookups!$D$2:$D$5,0))</f>
        <v>Medium</v>
      </c>
    </row>
    <row r="1072" customFormat="false" ht="15" hidden="false" customHeight="false" outlineLevel="0" collapsed="false">
      <c r="A1072" s="3" t="n">
        <v>1071</v>
      </c>
      <c r="B1072" s="3" t="n">
        <f aca="false">Raw_Data!A1072</f>
        <v>36</v>
      </c>
      <c r="C1072" s="3" t="str">
        <f aca="false">SUBSTITUTE(Raw_Data!B1072,".","")</f>
        <v>blue-collar</v>
      </c>
      <c r="D1072" s="3" t="str">
        <f aca="false">Raw_Data!C1072</f>
        <v>married</v>
      </c>
      <c r="E1072" s="3" t="str">
        <f aca="false">Raw_Data!D1072</f>
        <v>secondary</v>
      </c>
      <c r="F1072" s="3" t="str">
        <f aca="false">Raw_Data!E1072</f>
        <v>no</v>
      </c>
      <c r="G1072" s="3" t="n">
        <f aca="false">Raw_Data!F1072</f>
        <v>1049</v>
      </c>
      <c r="H1072" s="3" t="str">
        <f aca="false">Raw_Data!G1072</f>
        <v>yes</v>
      </c>
      <c r="I1072" s="3" t="str">
        <f aca="false">Raw_Data!H1072</f>
        <v>no</v>
      </c>
      <c r="J1072" s="2" t="n">
        <f aca="false">IF(F1072="yes",1,0)</f>
        <v>0</v>
      </c>
      <c r="K1072" s="2" t="n">
        <f aca="false">IF(H1072="yes",1,0)</f>
        <v>1</v>
      </c>
      <c r="L1072" s="2" t="n">
        <f aca="false">IF(I1072="yes",1,0)</f>
        <v>0</v>
      </c>
      <c r="M1072" s="2" t="n">
        <f aca="false">IF(G1072&lt;0,1,0)</f>
        <v>0</v>
      </c>
      <c r="N1072" s="2" t="str">
        <f aca="false">_xlfn.IFS(B1072&lt;30,"Under 30",B1072&lt;40,"30-39",B1072&lt;50,"40-49",B1072&lt;60,"50-59",TRUE(),"60+")</f>
        <v>30-39</v>
      </c>
      <c r="O1072" s="2" t="str">
        <f aca="false">_xlfn.IFS(G1072&lt;0,"1 Negative",G1072=0,"2 Zero",G1072&lt;=500,"3 1-500",G1072&lt;=2000,"4 501-2000",TRUE(),"5 Above 2000")</f>
        <v>4 501-2000</v>
      </c>
      <c r="P1072" s="2" t="n">
        <f aca="false">Lookups!$B$2*M1072+Lookups!$B$3*L1072</f>
        <v>0</v>
      </c>
      <c r="Q1072" s="2" t="str">
        <f aca="false">INDEX(Lookups!$E$2:$E$5,MATCH(P1072,Lookups!$D$2:$D$5,0))</f>
        <v>Low</v>
      </c>
    </row>
    <row r="1073" customFormat="false" ht="15" hidden="false" customHeight="false" outlineLevel="0" collapsed="false">
      <c r="A1073" s="3" t="n">
        <v>1072</v>
      </c>
      <c r="B1073" s="3" t="n">
        <f aca="false">Raw_Data!A1073</f>
        <v>38</v>
      </c>
      <c r="C1073" s="3" t="str">
        <f aca="false">SUBSTITUTE(Raw_Data!B1073,".","")</f>
        <v>blue-collar</v>
      </c>
      <c r="D1073" s="3" t="str">
        <f aca="false">Raw_Data!C1073</f>
        <v>married</v>
      </c>
      <c r="E1073" s="3" t="str">
        <f aca="false">Raw_Data!D1073</f>
        <v>secondary</v>
      </c>
      <c r="F1073" s="3" t="str">
        <f aca="false">Raw_Data!E1073</f>
        <v>no</v>
      </c>
      <c r="G1073" s="3" t="n">
        <f aca="false">Raw_Data!F1073</f>
        <v>0</v>
      </c>
      <c r="H1073" s="3" t="str">
        <f aca="false">Raw_Data!G1073</f>
        <v>yes</v>
      </c>
      <c r="I1073" s="3" t="str">
        <f aca="false">Raw_Data!H1073</f>
        <v>no</v>
      </c>
      <c r="J1073" s="2" t="n">
        <f aca="false">IF(F1073="yes",1,0)</f>
        <v>0</v>
      </c>
      <c r="K1073" s="2" t="n">
        <f aca="false">IF(H1073="yes",1,0)</f>
        <v>1</v>
      </c>
      <c r="L1073" s="2" t="n">
        <f aca="false">IF(I1073="yes",1,0)</f>
        <v>0</v>
      </c>
      <c r="M1073" s="2" t="n">
        <f aca="false">IF(G1073&lt;0,1,0)</f>
        <v>0</v>
      </c>
      <c r="N1073" s="2" t="str">
        <f aca="false">_xlfn.IFS(B1073&lt;30,"Under 30",B1073&lt;40,"30-39",B1073&lt;50,"40-49",B1073&lt;60,"50-59",TRUE(),"60+")</f>
        <v>30-39</v>
      </c>
      <c r="O1073" s="2" t="str">
        <f aca="false">_xlfn.IFS(G1073&lt;0,"1 Negative",G1073=0,"2 Zero",G1073&lt;=500,"3 1-500",G1073&lt;=2000,"4 501-2000",TRUE(),"5 Above 2000")</f>
        <v>2 Zero</v>
      </c>
      <c r="P1073" s="2" t="n">
        <f aca="false">Lookups!$B$2*M1073+Lookups!$B$3*L1073</f>
        <v>0</v>
      </c>
      <c r="Q1073" s="2" t="str">
        <f aca="false">INDEX(Lookups!$E$2:$E$5,MATCH(P1073,Lookups!$D$2:$D$5,0))</f>
        <v>Low</v>
      </c>
    </row>
    <row r="1074" customFormat="false" ht="15" hidden="false" customHeight="false" outlineLevel="0" collapsed="false">
      <c r="A1074" s="3" t="n">
        <v>1073</v>
      </c>
      <c r="B1074" s="3" t="n">
        <f aca="false">Raw_Data!A1074</f>
        <v>36</v>
      </c>
      <c r="C1074" s="3" t="str">
        <f aca="false">SUBSTITUTE(Raw_Data!B1074,".","")</f>
        <v>housemaid</v>
      </c>
      <c r="D1074" s="3" t="str">
        <f aca="false">Raw_Data!C1074</f>
        <v>married</v>
      </c>
      <c r="E1074" s="3" t="str">
        <f aca="false">Raw_Data!D1074</f>
        <v>secondary</v>
      </c>
      <c r="F1074" s="3" t="str">
        <f aca="false">Raw_Data!E1074</f>
        <v>no</v>
      </c>
      <c r="G1074" s="3" t="n">
        <f aca="false">Raw_Data!F1074</f>
        <v>419</v>
      </c>
      <c r="H1074" s="3" t="str">
        <f aca="false">Raw_Data!G1074</f>
        <v>yes</v>
      </c>
      <c r="I1074" s="3" t="str">
        <f aca="false">Raw_Data!H1074</f>
        <v>no</v>
      </c>
      <c r="J1074" s="2" t="n">
        <f aca="false">IF(F1074="yes",1,0)</f>
        <v>0</v>
      </c>
      <c r="K1074" s="2" t="n">
        <f aca="false">IF(H1074="yes",1,0)</f>
        <v>1</v>
      </c>
      <c r="L1074" s="2" t="n">
        <f aca="false">IF(I1074="yes",1,0)</f>
        <v>0</v>
      </c>
      <c r="M1074" s="2" t="n">
        <f aca="false">IF(G1074&lt;0,1,0)</f>
        <v>0</v>
      </c>
      <c r="N1074" s="2" t="str">
        <f aca="false">_xlfn.IFS(B1074&lt;30,"Under 30",B1074&lt;40,"30-39",B1074&lt;50,"40-49",B1074&lt;60,"50-59",TRUE(),"60+")</f>
        <v>30-39</v>
      </c>
      <c r="O1074" s="2" t="str">
        <f aca="false">_xlfn.IFS(G1074&lt;0,"1 Negative",G1074=0,"2 Zero",G1074&lt;=500,"3 1-500",G1074&lt;=2000,"4 501-2000",TRUE(),"5 Above 2000")</f>
        <v>3 1-500</v>
      </c>
      <c r="P1074" s="2" t="n">
        <f aca="false">Lookups!$B$2*M1074+Lookups!$B$3*L1074</f>
        <v>0</v>
      </c>
      <c r="Q1074" s="2" t="str">
        <f aca="false">INDEX(Lookups!$E$2:$E$5,MATCH(P1074,Lookups!$D$2:$D$5,0))</f>
        <v>Low</v>
      </c>
    </row>
    <row r="1075" customFormat="false" ht="15" hidden="false" customHeight="false" outlineLevel="0" collapsed="false">
      <c r="A1075" s="3" t="n">
        <v>1074</v>
      </c>
      <c r="B1075" s="3" t="n">
        <f aca="false">Raw_Data!A1075</f>
        <v>30</v>
      </c>
      <c r="C1075" s="3" t="str">
        <f aca="false">SUBSTITUTE(Raw_Data!B1075,".","")</f>
        <v>management</v>
      </c>
      <c r="D1075" s="3" t="str">
        <f aca="false">Raw_Data!C1075</f>
        <v>single</v>
      </c>
      <c r="E1075" s="3" t="str">
        <f aca="false">Raw_Data!D1075</f>
        <v>tertiary</v>
      </c>
      <c r="F1075" s="3" t="str">
        <f aca="false">Raw_Data!E1075</f>
        <v>no</v>
      </c>
      <c r="G1075" s="3" t="n">
        <f aca="false">Raw_Data!F1075</f>
        <v>726</v>
      </c>
      <c r="H1075" s="3" t="str">
        <f aca="false">Raw_Data!G1075</f>
        <v>yes</v>
      </c>
      <c r="I1075" s="3" t="str">
        <f aca="false">Raw_Data!H1075</f>
        <v>no</v>
      </c>
      <c r="J1075" s="2" t="n">
        <f aca="false">IF(F1075="yes",1,0)</f>
        <v>0</v>
      </c>
      <c r="K1075" s="2" t="n">
        <f aca="false">IF(H1075="yes",1,0)</f>
        <v>1</v>
      </c>
      <c r="L1075" s="2" t="n">
        <f aca="false">IF(I1075="yes",1,0)</f>
        <v>0</v>
      </c>
      <c r="M1075" s="2" t="n">
        <f aca="false">IF(G1075&lt;0,1,0)</f>
        <v>0</v>
      </c>
      <c r="N1075" s="2" t="str">
        <f aca="false">_xlfn.IFS(B1075&lt;30,"Under 30",B1075&lt;40,"30-39",B1075&lt;50,"40-49",B1075&lt;60,"50-59",TRUE(),"60+")</f>
        <v>30-39</v>
      </c>
      <c r="O1075" s="2" t="str">
        <f aca="false">_xlfn.IFS(G1075&lt;0,"1 Negative",G1075=0,"2 Zero",G1075&lt;=500,"3 1-500",G1075&lt;=2000,"4 501-2000",TRUE(),"5 Above 2000")</f>
        <v>4 501-2000</v>
      </c>
      <c r="P1075" s="2" t="n">
        <f aca="false">Lookups!$B$2*M1075+Lookups!$B$3*L1075</f>
        <v>0</v>
      </c>
      <c r="Q1075" s="2" t="str">
        <f aca="false">INDEX(Lookups!$E$2:$E$5,MATCH(P1075,Lookups!$D$2:$D$5,0))</f>
        <v>Low</v>
      </c>
    </row>
    <row r="1076" customFormat="false" ht="15" hidden="false" customHeight="false" outlineLevel="0" collapsed="false">
      <c r="A1076" s="3" t="n">
        <v>1075</v>
      </c>
      <c r="B1076" s="3" t="n">
        <f aca="false">Raw_Data!A1076</f>
        <v>28</v>
      </c>
      <c r="C1076" s="3" t="str">
        <f aca="false">SUBSTITUTE(Raw_Data!B1076,".","")</f>
        <v>technician</v>
      </c>
      <c r="D1076" s="3" t="str">
        <f aca="false">Raw_Data!C1076</f>
        <v>divorced</v>
      </c>
      <c r="E1076" s="3" t="str">
        <f aca="false">Raw_Data!D1076</f>
        <v>tertiary</v>
      </c>
      <c r="F1076" s="3" t="str">
        <f aca="false">Raw_Data!E1076</f>
        <v>no</v>
      </c>
      <c r="G1076" s="3" t="n">
        <f aca="false">Raw_Data!F1076</f>
        <v>594</v>
      </c>
      <c r="H1076" s="3" t="str">
        <f aca="false">Raw_Data!G1076</f>
        <v>yes</v>
      </c>
      <c r="I1076" s="3" t="str">
        <f aca="false">Raw_Data!H1076</f>
        <v>yes</v>
      </c>
      <c r="J1076" s="2" t="n">
        <f aca="false">IF(F1076="yes",1,0)</f>
        <v>0</v>
      </c>
      <c r="K1076" s="2" t="n">
        <f aca="false">IF(H1076="yes",1,0)</f>
        <v>1</v>
      </c>
      <c r="L1076" s="2" t="n">
        <f aca="false">IF(I1076="yes",1,0)</f>
        <v>1</v>
      </c>
      <c r="M1076" s="2" t="n">
        <f aca="false">IF(G1076&lt;0,1,0)</f>
        <v>0</v>
      </c>
      <c r="N1076" s="2" t="str">
        <f aca="false">_xlfn.IFS(B1076&lt;30,"Under 30",B1076&lt;40,"30-39",B1076&lt;50,"40-49",B1076&lt;60,"50-59",TRUE(),"60+")</f>
        <v>Under 30</v>
      </c>
      <c r="O1076" s="2" t="str">
        <f aca="false">_xlfn.IFS(G1076&lt;0,"1 Negative",G1076=0,"2 Zero",G1076&lt;=500,"3 1-500",G1076&lt;=2000,"4 501-2000",TRUE(),"5 Above 2000")</f>
        <v>4 501-2000</v>
      </c>
      <c r="P1076" s="2" t="n">
        <f aca="false">Lookups!$B$2*M1076+Lookups!$B$3*L1076</f>
        <v>1</v>
      </c>
      <c r="Q1076" s="2" t="str">
        <f aca="false">INDEX(Lookups!$E$2:$E$5,MATCH(P1076,Lookups!$D$2:$D$5,0))</f>
        <v>Medium</v>
      </c>
    </row>
    <row r="1077" customFormat="false" ht="15" hidden="false" customHeight="false" outlineLevel="0" collapsed="false">
      <c r="A1077" s="3" t="n">
        <v>1076</v>
      </c>
      <c r="B1077" s="3" t="n">
        <f aca="false">Raw_Data!A1077</f>
        <v>26</v>
      </c>
      <c r="C1077" s="3" t="str">
        <f aca="false">SUBSTITUTE(Raw_Data!B1077,".","")</f>
        <v>unemployed</v>
      </c>
      <c r="D1077" s="3" t="str">
        <f aca="false">Raw_Data!C1077</f>
        <v>married</v>
      </c>
      <c r="E1077" s="3" t="str">
        <f aca="false">Raw_Data!D1077</f>
        <v>tertiary</v>
      </c>
      <c r="F1077" s="3" t="str">
        <f aca="false">Raw_Data!E1077</f>
        <v>no</v>
      </c>
      <c r="G1077" s="3" t="n">
        <f aca="false">Raw_Data!F1077</f>
        <v>454</v>
      </c>
      <c r="H1077" s="3" t="str">
        <f aca="false">Raw_Data!G1077</f>
        <v>yes</v>
      </c>
      <c r="I1077" s="3" t="str">
        <f aca="false">Raw_Data!H1077</f>
        <v>yes</v>
      </c>
      <c r="J1077" s="2" t="n">
        <f aca="false">IF(F1077="yes",1,0)</f>
        <v>0</v>
      </c>
      <c r="K1077" s="2" t="n">
        <f aca="false">IF(H1077="yes",1,0)</f>
        <v>1</v>
      </c>
      <c r="L1077" s="2" t="n">
        <f aca="false">IF(I1077="yes",1,0)</f>
        <v>1</v>
      </c>
      <c r="M1077" s="2" t="n">
        <f aca="false">IF(G1077&lt;0,1,0)</f>
        <v>0</v>
      </c>
      <c r="N1077" s="2" t="str">
        <f aca="false">_xlfn.IFS(B1077&lt;30,"Under 30",B1077&lt;40,"30-39",B1077&lt;50,"40-49",B1077&lt;60,"50-59",TRUE(),"60+")</f>
        <v>Under 30</v>
      </c>
      <c r="O1077" s="2" t="str">
        <f aca="false">_xlfn.IFS(G1077&lt;0,"1 Negative",G1077=0,"2 Zero",G1077&lt;=500,"3 1-500",G1077&lt;=2000,"4 501-2000",TRUE(),"5 Above 2000")</f>
        <v>3 1-500</v>
      </c>
      <c r="P1077" s="2" t="n">
        <f aca="false">Lookups!$B$2*M1077+Lookups!$B$3*L1077</f>
        <v>1</v>
      </c>
      <c r="Q1077" s="2" t="str">
        <f aca="false">INDEX(Lookups!$E$2:$E$5,MATCH(P1077,Lookups!$D$2:$D$5,0))</f>
        <v>Medium</v>
      </c>
    </row>
    <row r="1078" customFormat="false" ht="15" hidden="false" customHeight="false" outlineLevel="0" collapsed="false">
      <c r="A1078" s="3" t="n">
        <v>1077</v>
      </c>
      <c r="B1078" s="3" t="n">
        <f aca="false">Raw_Data!A1078</f>
        <v>54</v>
      </c>
      <c r="C1078" s="3" t="str">
        <f aca="false">SUBSTITUTE(Raw_Data!B1078,".","")</f>
        <v>unknown</v>
      </c>
      <c r="D1078" s="3" t="str">
        <f aca="false">Raw_Data!C1078</f>
        <v>married</v>
      </c>
      <c r="E1078" s="3" t="str">
        <f aca="false">Raw_Data!D1078</f>
        <v>secondary</v>
      </c>
      <c r="F1078" s="3" t="str">
        <f aca="false">Raw_Data!E1078</f>
        <v>no</v>
      </c>
      <c r="G1078" s="3" t="n">
        <f aca="false">Raw_Data!F1078</f>
        <v>2206</v>
      </c>
      <c r="H1078" s="3" t="str">
        <f aca="false">Raw_Data!G1078</f>
        <v>no</v>
      </c>
      <c r="I1078" s="3" t="str">
        <f aca="false">Raw_Data!H1078</f>
        <v>no</v>
      </c>
      <c r="J1078" s="2" t="n">
        <f aca="false">IF(F1078="yes",1,0)</f>
        <v>0</v>
      </c>
      <c r="K1078" s="2" t="n">
        <f aca="false">IF(H1078="yes",1,0)</f>
        <v>0</v>
      </c>
      <c r="L1078" s="2" t="n">
        <f aca="false">IF(I1078="yes",1,0)</f>
        <v>0</v>
      </c>
      <c r="M1078" s="2" t="n">
        <f aca="false">IF(G1078&lt;0,1,0)</f>
        <v>0</v>
      </c>
      <c r="N1078" s="2" t="str">
        <f aca="false">_xlfn.IFS(B1078&lt;30,"Under 30",B1078&lt;40,"30-39",B1078&lt;50,"40-49",B1078&lt;60,"50-59",TRUE(),"60+")</f>
        <v>50-59</v>
      </c>
      <c r="O1078" s="2" t="str">
        <f aca="false">_xlfn.IFS(G1078&lt;0,"1 Negative",G1078=0,"2 Zero",G1078&lt;=500,"3 1-500",G1078&lt;=2000,"4 501-2000",TRUE(),"5 Above 2000")</f>
        <v>5 Above 2000</v>
      </c>
      <c r="P1078" s="2" t="n">
        <f aca="false">Lookups!$B$2*M1078+Lookups!$B$3*L1078</f>
        <v>0</v>
      </c>
      <c r="Q1078" s="2" t="str">
        <f aca="false">INDEX(Lookups!$E$2:$E$5,MATCH(P1078,Lookups!$D$2:$D$5,0))</f>
        <v>Low</v>
      </c>
    </row>
    <row r="1079" customFormat="false" ht="15" hidden="false" customHeight="false" outlineLevel="0" collapsed="false">
      <c r="A1079" s="3" t="n">
        <v>1078</v>
      </c>
      <c r="B1079" s="3" t="n">
        <f aca="false">Raw_Data!A1079</f>
        <v>38</v>
      </c>
      <c r="C1079" s="3" t="str">
        <f aca="false">SUBSTITUTE(Raw_Data!B1079,".","")</f>
        <v>admin</v>
      </c>
      <c r="D1079" s="3" t="str">
        <f aca="false">Raw_Data!C1079</f>
        <v>married</v>
      </c>
      <c r="E1079" s="3" t="str">
        <f aca="false">Raw_Data!D1079</f>
        <v>tertiary</v>
      </c>
      <c r="F1079" s="3" t="str">
        <f aca="false">Raw_Data!E1079</f>
        <v>no</v>
      </c>
      <c r="G1079" s="3" t="n">
        <f aca="false">Raw_Data!F1079</f>
        <v>1988</v>
      </c>
      <c r="H1079" s="3" t="str">
        <f aca="false">Raw_Data!G1079</f>
        <v>no</v>
      </c>
      <c r="I1079" s="3" t="str">
        <f aca="false">Raw_Data!H1079</f>
        <v>no</v>
      </c>
      <c r="J1079" s="2" t="n">
        <f aca="false">IF(F1079="yes",1,0)</f>
        <v>0</v>
      </c>
      <c r="K1079" s="2" t="n">
        <f aca="false">IF(H1079="yes",1,0)</f>
        <v>0</v>
      </c>
      <c r="L1079" s="2" t="n">
        <f aca="false">IF(I1079="yes",1,0)</f>
        <v>0</v>
      </c>
      <c r="M1079" s="2" t="n">
        <f aca="false">IF(G1079&lt;0,1,0)</f>
        <v>0</v>
      </c>
      <c r="N1079" s="2" t="str">
        <f aca="false">_xlfn.IFS(B1079&lt;30,"Under 30",B1079&lt;40,"30-39",B1079&lt;50,"40-49",B1079&lt;60,"50-59",TRUE(),"60+")</f>
        <v>30-39</v>
      </c>
      <c r="O1079" s="2" t="str">
        <f aca="false">_xlfn.IFS(G1079&lt;0,"1 Negative",G1079=0,"2 Zero",G1079&lt;=500,"3 1-500",G1079&lt;=2000,"4 501-2000",TRUE(),"5 Above 2000")</f>
        <v>4 501-2000</v>
      </c>
      <c r="P1079" s="2" t="n">
        <f aca="false">Lookups!$B$2*M1079+Lookups!$B$3*L1079</f>
        <v>0</v>
      </c>
      <c r="Q1079" s="2" t="str">
        <f aca="false">INDEX(Lookups!$E$2:$E$5,MATCH(P1079,Lookups!$D$2:$D$5,0))</f>
        <v>Low</v>
      </c>
    </row>
    <row r="1080" customFormat="false" ht="15" hidden="false" customHeight="false" outlineLevel="0" collapsed="false">
      <c r="A1080" s="3" t="n">
        <v>1079</v>
      </c>
      <c r="B1080" s="3" t="n">
        <f aca="false">Raw_Data!A1080</f>
        <v>32</v>
      </c>
      <c r="C1080" s="3" t="str">
        <f aca="false">SUBSTITUTE(Raw_Data!B1080,".","")</f>
        <v>technician</v>
      </c>
      <c r="D1080" s="3" t="str">
        <f aca="false">Raw_Data!C1080</f>
        <v>single</v>
      </c>
      <c r="E1080" s="3" t="str">
        <f aca="false">Raw_Data!D1080</f>
        <v>tertiary</v>
      </c>
      <c r="F1080" s="3" t="str">
        <f aca="false">Raw_Data!E1080</f>
        <v>no</v>
      </c>
      <c r="G1080" s="3" t="n">
        <f aca="false">Raw_Data!F1080</f>
        <v>0</v>
      </c>
      <c r="H1080" s="3" t="str">
        <f aca="false">Raw_Data!G1080</f>
        <v>no</v>
      </c>
      <c r="I1080" s="3" t="str">
        <f aca="false">Raw_Data!H1080</f>
        <v>no</v>
      </c>
      <c r="J1080" s="2" t="n">
        <f aca="false">IF(F1080="yes",1,0)</f>
        <v>0</v>
      </c>
      <c r="K1080" s="2" t="n">
        <f aca="false">IF(H1080="yes",1,0)</f>
        <v>0</v>
      </c>
      <c r="L1080" s="2" t="n">
        <f aca="false">IF(I1080="yes",1,0)</f>
        <v>0</v>
      </c>
      <c r="M1080" s="2" t="n">
        <f aca="false">IF(G1080&lt;0,1,0)</f>
        <v>0</v>
      </c>
      <c r="N1080" s="2" t="str">
        <f aca="false">_xlfn.IFS(B1080&lt;30,"Under 30",B1080&lt;40,"30-39",B1080&lt;50,"40-49",B1080&lt;60,"50-59",TRUE(),"60+")</f>
        <v>30-39</v>
      </c>
      <c r="O1080" s="2" t="str">
        <f aca="false">_xlfn.IFS(G1080&lt;0,"1 Negative",G1080=0,"2 Zero",G1080&lt;=500,"3 1-500",G1080&lt;=2000,"4 501-2000",TRUE(),"5 Above 2000")</f>
        <v>2 Zero</v>
      </c>
      <c r="P1080" s="2" t="n">
        <f aca="false">Lookups!$B$2*M1080+Lookups!$B$3*L1080</f>
        <v>0</v>
      </c>
      <c r="Q1080" s="2" t="str">
        <f aca="false">INDEX(Lookups!$E$2:$E$5,MATCH(P1080,Lookups!$D$2:$D$5,0))</f>
        <v>Low</v>
      </c>
    </row>
    <row r="1081" customFormat="false" ht="15" hidden="false" customHeight="false" outlineLevel="0" collapsed="false">
      <c r="A1081" s="3" t="n">
        <v>1080</v>
      </c>
      <c r="B1081" s="3" t="n">
        <f aca="false">Raw_Data!A1081</f>
        <v>50</v>
      </c>
      <c r="C1081" s="3" t="str">
        <f aca="false">SUBSTITUTE(Raw_Data!B1081,".","")</f>
        <v>admin</v>
      </c>
      <c r="D1081" s="3" t="str">
        <f aca="false">Raw_Data!C1081</f>
        <v>divorced</v>
      </c>
      <c r="E1081" s="3" t="str">
        <f aca="false">Raw_Data!D1081</f>
        <v>secondary</v>
      </c>
      <c r="F1081" s="3" t="str">
        <f aca="false">Raw_Data!E1081</f>
        <v>no</v>
      </c>
      <c r="G1081" s="3" t="n">
        <f aca="false">Raw_Data!F1081</f>
        <v>202</v>
      </c>
      <c r="H1081" s="3" t="str">
        <f aca="false">Raw_Data!G1081</f>
        <v>no</v>
      </c>
      <c r="I1081" s="3" t="str">
        <f aca="false">Raw_Data!H1081</f>
        <v>yes</v>
      </c>
      <c r="J1081" s="2" t="n">
        <f aca="false">IF(F1081="yes",1,0)</f>
        <v>0</v>
      </c>
      <c r="K1081" s="2" t="n">
        <f aca="false">IF(H1081="yes",1,0)</f>
        <v>0</v>
      </c>
      <c r="L1081" s="2" t="n">
        <f aca="false">IF(I1081="yes",1,0)</f>
        <v>1</v>
      </c>
      <c r="M1081" s="2" t="n">
        <f aca="false">IF(G1081&lt;0,1,0)</f>
        <v>0</v>
      </c>
      <c r="N1081" s="2" t="str">
        <f aca="false">_xlfn.IFS(B1081&lt;30,"Under 30",B1081&lt;40,"30-39",B1081&lt;50,"40-49",B1081&lt;60,"50-59",TRUE(),"60+")</f>
        <v>50-59</v>
      </c>
      <c r="O1081" s="2" t="str">
        <f aca="false">_xlfn.IFS(G1081&lt;0,"1 Negative",G1081=0,"2 Zero",G1081&lt;=500,"3 1-500",G1081&lt;=2000,"4 501-2000",TRUE(),"5 Above 2000")</f>
        <v>3 1-500</v>
      </c>
      <c r="P1081" s="2" t="n">
        <f aca="false">Lookups!$B$2*M1081+Lookups!$B$3*L1081</f>
        <v>1</v>
      </c>
      <c r="Q1081" s="2" t="str">
        <f aca="false">INDEX(Lookups!$E$2:$E$5,MATCH(P1081,Lookups!$D$2:$D$5,0))</f>
        <v>Medium</v>
      </c>
    </row>
    <row r="1082" customFormat="false" ht="15" hidden="false" customHeight="false" outlineLevel="0" collapsed="false">
      <c r="A1082" s="3" t="n">
        <v>1081</v>
      </c>
      <c r="B1082" s="3" t="n">
        <f aca="false">Raw_Data!A1082</f>
        <v>43</v>
      </c>
      <c r="C1082" s="3" t="str">
        <f aca="false">SUBSTITUTE(Raw_Data!B1082,".","")</f>
        <v>blue-collar</v>
      </c>
      <c r="D1082" s="3" t="str">
        <f aca="false">Raw_Data!C1082</f>
        <v>married</v>
      </c>
      <c r="E1082" s="3" t="str">
        <f aca="false">Raw_Data!D1082</f>
        <v>secondary</v>
      </c>
      <c r="F1082" s="3" t="str">
        <f aca="false">Raw_Data!E1082</f>
        <v>no</v>
      </c>
      <c r="G1082" s="3" t="n">
        <f aca="false">Raw_Data!F1082</f>
        <v>667</v>
      </c>
      <c r="H1082" s="3" t="str">
        <f aca="false">Raw_Data!G1082</f>
        <v>yes</v>
      </c>
      <c r="I1082" s="3" t="str">
        <f aca="false">Raw_Data!H1082</f>
        <v>no</v>
      </c>
      <c r="J1082" s="2" t="n">
        <f aca="false">IF(F1082="yes",1,0)</f>
        <v>0</v>
      </c>
      <c r="K1082" s="2" t="n">
        <f aca="false">IF(H1082="yes",1,0)</f>
        <v>1</v>
      </c>
      <c r="L1082" s="2" t="n">
        <f aca="false">IF(I1082="yes",1,0)</f>
        <v>0</v>
      </c>
      <c r="M1082" s="2" t="n">
        <f aca="false">IF(G1082&lt;0,1,0)</f>
        <v>0</v>
      </c>
      <c r="N1082" s="2" t="str">
        <f aca="false">_xlfn.IFS(B1082&lt;30,"Under 30",B1082&lt;40,"30-39",B1082&lt;50,"40-49",B1082&lt;60,"50-59",TRUE(),"60+")</f>
        <v>40-49</v>
      </c>
      <c r="O1082" s="2" t="str">
        <f aca="false">_xlfn.IFS(G1082&lt;0,"1 Negative",G1082=0,"2 Zero",G1082&lt;=500,"3 1-500",G1082&lt;=2000,"4 501-2000",TRUE(),"5 Above 2000")</f>
        <v>4 501-2000</v>
      </c>
      <c r="P1082" s="2" t="n">
        <f aca="false">Lookups!$B$2*M1082+Lookups!$B$3*L1082</f>
        <v>0</v>
      </c>
      <c r="Q1082" s="2" t="str">
        <f aca="false">INDEX(Lookups!$E$2:$E$5,MATCH(P1082,Lookups!$D$2:$D$5,0))</f>
        <v>Low</v>
      </c>
    </row>
    <row r="1083" customFormat="false" ht="15" hidden="false" customHeight="false" outlineLevel="0" collapsed="false">
      <c r="A1083" s="3" t="n">
        <v>1082</v>
      </c>
      <c r="B1083" s="3" t="n">
        <f aca="false">Raw_Data!A1083</f>
        <v>48</v>
      </c>
      <c r="C1083" s="3" t="str">
        <f aca="false">SUBSTITUTE(Raw_Data!B1083,".","")</f>
        <v>admin</v>
      </c>
      <c r="D1083" s="3" t="str">
        <f aca="false">Raw_Data!C1083</f>
        <v>married</v>
      </c>
      <c r="E1083" s="3" t="str">
        <f aca="false">Raw_Data!D1083</f>
        <v>secondary</v>
      </c>
      <c r="F1083" s="3" t="str">
        <f aca="false">Raw_Data!E1083</f>
        <v>no</v>
      </c>
      <c r="G1083" s="3" t="n">
        <f aca="false">Raw_Data!F1083</f>
        <v>112</v>
      </c>
      <c r="H1083" s="3" t="str">
        <f aca="false">Raw_Data!G1083</f>
        <v>no</v>
      </c>
      <c r="I1083" s="3" t="str">
        <f aca="false">Raw_Data!H1083</f>
        <v>no</v>
      </c>
      <c r="J1083" s="2" t="n">
        <f aca="false">IF(F1083="yes",1,0)</f>
        <v>0</v>
      </c>
      <c r="K1083" s="2" t="n">
        <f aca="false">IF(H1083="yes",1,0)</f>
        <v>0</v>
      </c>
      <c r="L1083" s="2" t="n">
        <f aca="false">IF(I1083="yes",1,0)</f>
        <v>0</v>
      </c>
      <c r="M1083" s="2" t="n">
        <f aca="false">IF(G1083&lt;0,1,0)</f>
        <v>0</v>
      </c>
      <c r="N1083" s="2" t="str">
        <f aca="false">_xlfn.IFS(B1083&lt;30,"Under 30",B1083&lt;40,"30-39",B1083&lt;50,"40-49",B1083&lt;60,"50-59",TRUE(),"60+")</f>
        <v>40-49</v>
      </c>
      <c r="O1083" s="2" t="str">
        <f aca="false">_xlfn.IFS(G1083&lt;0,"1 Negative",G1083=0,"2 Zero",G1083&lt;=500,"3 1-500",G1083&lt;=2000,"4 501-2000",TRUE(),"5 Above 2000")</f>
        <v>3 1-500</v>
      </c>
      <c r="P1083" s="2" t="n">
        <f aca="false">Lookups!$B$2*M1083+Lookups!$B$3*L1083</f>
        <v>0</v>
      </c>
      <c r="Q1083" s="2" t="str">
        <f aca="false">INDEX(Lookups!$E$2:$E$5,MATCH(P1083,Lookups!$D$2:$D$5,0))</f>
        <v>Low</v>
      </c>
    </row>
    <row r="1084" customFormat="false" ht="15" hidden="false" customHeight="false" outlineLevel="0" collapsed="false">
      <c r="A1084" s="3" t="n">
        <v>1083</v>
      </c>
      <c r="B1084" s="3" t="n">
        <f aca="false">Raw_Data!A1084</f>
        <v>57</v>
      </c>
      <c r="C1084" s="3" t="str">
        <f aca="false">SUBSTITUTE(Raw_Data!B1084,".","")</f>
        <v>housemaid</v>
      </c>
      <c r="D1084" s="3" t="str">
        <f aca="false">Raw_Data!C1084</f>
        <v>married</v>
      </c>
      <c r="E1084" s="3" t="str">
        <f aca="false">Raw_Data!D1084</f>
        <v>primary</v>
      </c>
      <c r="F1084" s="3" t="str">
        <f aca="false">Raw_Data!E1084</f>
        <v>no</v>
      </c>
      <c r="G1084" s="3" t="n">
        <f aca="false">Raw_Data!F1084</f>
        <v>50</v>
      </c>
      <c r="H1084" s="3" t="str">
        <f aca="false">Raw_Data!G1084</f>
        <v>no</v>
      </c>
      <c r="I1084" s="3" t="str">
        <f aca="false">Raw_Data!H1084</f>
        <v>no</v>
      </c>
      <c r="J1084" s="2" t="n">
        <f aca="false">IF(F1084="yes",1,0)</f>
        <v>0</v>
      </c>
      <c r="K1084" s="2" t="n">
        <f aca="false">IF(H1084="yes",1,0)</f>
        <v>0</v>
      </c>
      <c r="L1084" s="2" t="n">
        <f aca="false">IF(I1084="yes",1,0)</f>
        <v>0</v>
      </c>
      <c r="M1084" s="2" t="n">
        <f aca="false">IF(G1084&lt;0,1,0)</f>
        <v>0</v>
      </c>
      <c r="N1084" s="2" t="str">
        <f aca="false">_xlfn.IFS(B1084&lt;30,"Under 30",B1084&lt;40,"30-39",B1084&lt;50,"40-49",B1084&lt;60,"50-59",TRUE(),"60+")</f>
        <v>50-59</v>
      </c>
      <c r="O1084" s="2" t="str">
        <f aca="false">_xlfn.IFS(G1084&lt;0,"1 Negative",G1084=0,"2 Zero",G1084&lt;=500,"3 1-500",G1084&lt;=2000,"4 501-2000",TRUE(),"5 Above 2000")</f>
        <v>3 1-500</v>
      </c>
      <c r="P1084" s="2" t="n">
        <f aca="false">Lookups!$B$2*M1084+Lookups!$B$3*L1084</f>
        <v>0</v>
      </c>
      <c r="Q1084" s="2" t="str">
        <f aca="false">INDEX(Lookups!$E$2:$E$5,MATCH(P1084,Lookups!$D$2:$D$5,0))</f>
        <v>Low</v>
      </c>
    </row>
    <row r="1085" customFormat="false" ht="15" hidden="false" customHeight="false" outlineLevel="0" collapsed="false">
      <c r="A1085" s="3" t="n">
        <v>1084</v>
      </c>
      <c r="B1085" s="3" t="n">
        <f aca="false">Raw_Data!A1085</f>
        <v>64</v>
      </c>
      <c r="C1085" s="3" t="str">
        <f aca="false">SUBSTITUTE(Raw_Data!B1085,".","")</f>
        <v>housemaid</v>
      </c>
      <c r="D1085" s="3" t="str">
        <f aca="false">Raw_Data!C1085</f>
        <v>married</v>
      </c>
      <c r="E1085" s="3" t="str">
        <f aca="false">Raw_Data!D1085</f>
        <v>primary</v>
      </c>
      <c r="F1085" s="3" t="str">
        <f aca="false">Raw_Data!E1085</f>
        <v>no</v>
      </c>
      <c r="G1085" s="3" t="n">
        <f aca="false">Raw_Data!F1085</f>
        <v>768</v>
      </c>
      <c r="H1085" s="3" t="str">
        <f aca="false">Raw_Data!G1085</f>
        <v>no</v>
      </c>
      <c r="I1085" s="3" t="str">
        <f aca="false">Raw_Data!H1085</f>
        <v>no</v>
      </c>
      <c r="J1085" s="2" t="n">
        <f aca="false">IF(F1085="yes",1,0)</f>
        <v>0</v>
      </c>
      <c r="K1085" s="2" t="n">
        <f aca="false">IF(H1085="yes",1,0)</f>
        <v>0</v>
      </c>
      <c r="L1085" s="2" t="n">
        <f aca="false">IF(I1085="yes",1,0)</f>
        <v>0</v>
      </c>
      <c r="M1085" s="2" t="n">
        <f aca="false">IF(G1085&lt;0,1,0)</f>
        <v>0</v>
      </c>
      <c r="N1085" s="2" t="str">
        <f aca="false">_xlfn.IFS(B1085&lt;30,"Under 30",B1085&lt;40,"30-39",B1085&lt;50,"40-49",B1085&lt;60,"50-59",TRUE(),"60+")</f>
        <v>60+</v>
      </c>
      <c r="O1085" s="2" t="str">
        <f aca="false">_xlfn.IFS(G1085&lt;0,"1 Negative",G1085=0,"2 Zero",G1085&lt;=500,"3 1-500",G1085&lt;=2000,"4 501-2000",TRUE(),"5 Above 2000")</f>
        <v>4 501-2000</v>
      </c>
      <c r="P1085" s="2" t="n">
        <f aca="false">Lookups!$B$2*M1085+Lookups!$B$3*L1085</f>
        <v>0</v>
      </c>
      <c r="Q1085" s="2" t="str">
        <f aca="false">INDEX(Lookups!$E$2:$E$5,MATCH(P1085,Lookups!$D$2:$D$5,0))</f>
        <v>Low</v>
      </c>
    </row>
    <row r="1086" customFormat="false" ht="15" hidden="false" customHeight="false" outlineLevel="0" collapsed="false">
      <c r="A1086" s="3" t="n">
        <v>1085</v>
      </c>
      <c r="B1086" s="3" t="n">
        <f aca="false">Raw_Data!A1086</f>
        <v>26</v>
      </c>
      <c r="C1086" s="3" t="str">
        <f aca="false">SUBSTITUTE(Raw_Data!B1086,".","")</f>
        <v>services</v>
      </c>
      <c r="D1086" s="3" t="str">
        <f aca="false">Raw_Data!C1086</f>
        <v>divorced</v>
      </c>
      <c r="E1086" s="3" t="str">
        <f aca="false">Raw_Data!D1086</f>
        <v>secondary</v>
      </c>
      <c r="F1086" s="3" t="str">
        <f aca="false">Raw_Data!E1086</f>
        <v>no</v>
      </c>
      <c r="G1086" s="3" t="n">
        <f aca="false">Raw_Data!F1086</f>
        <v>74</v>
      </c>
      <c r="H1086" s="3" t="str">
        <f aca="false">Raw_Data!G1086</f>
        <v>yes</v>
      </c>
      <c r="I1086" s="3" t="str">
        <f aca="false">Raw_Data!H1086</f>
        <v>no</v>
      </c>
      <c r="J1086" s="2" t="n">
        <f aca="false">IF(F1086="yes",1,0)</f>
        <v>0</v>
      </c>
      <c r="K1086" s="2" t="n">
        <f aca="false">IF(H1086="yes",1,0)</f>
        <v>1</v>
      </c>
      <c r="L1086" s="2" t="n">
        <f aca="false">IF(I1086="yes",1,0)</f>
        <v>0</v>
      </c>
      <c r="M1086" s="2" t="n">
        <f aca="false">IF(G1086&lt;0,1,0)</f>
        <v>0</v>
      </c>
      <c r="N1086" s="2" t="str">
        <f aca="false">_xlfn.IFS(B1086&lt;30,"Under 30",B1086&lt;40,"30-39",B1086&lt;50,"40-49",B1086&lt;60,"50-59",TRUE(),"60+")</f>
        <v>Under 30</v>
      </c>
      <c r="O1086" s="2" t="str">
        <f aca="false">_xlfn.IFS(G1086&lt;0,"1 Negative",G1086=0,"2 Zero",G1086&lt;=500,"3 1-500",G1086&lt;=2000,"4 501-2000",TRUE(),"5 Above 2000")</f>
        <v>3 1-500</v>
      </c>
      <c r="P1086" s="2" t="n">
        <f aca="false">Lookups!$B$2*M1086+Lookups!$B$3*L1086</f>
        <v>0</v>
      </c>
      <c r="Q1086" s="2" t="str">
        <f aca="false">INDEX(Lookups!$E$2:$E$5,MATCH(P1086,Lookups!$D$2:$D$5,0))</f>
        <v>Low</v>
      </c>
    </row>
    <row r="1087" customFormat="false" ht="15" hidden="false" customHeight="false" outlineLevel="0" collapsed="false">
      <c r="A1087" s="3" t="n">
        <v>1086</v>
      </c>
      <c r="B1087" s="3" t="n">
        <f aca="false">Raw_Data!A1087</f>
        <v>33</v>
      </c>
      <c r="C1087" s="3" t="str">
        <f aca="false">SUBSTITUTE(Raw_Data!B1087,".","")</f>
        <v>blue-collar</v>
      </c>
      <c r="D1087" s="3" t="str">
        <f aca="false">Raw_Data!C1087</f>
        <v>married</v>
      </c>
      <c r="E1087" s="3" t="str">
        <f aca="false">Raw_Data!D1087</f>
        <v>secondary</v>
      </c>
      <c r="F1087" s="3" t="str">
        <f aca="false">Raw_Data!E1087</f>
        <v>no</v>
      </c>
      <c r="G1087" s="3" t="n">
        <f aca="false">Raw_Data!F1087</f>
        <v>661</v>
      </c>
      <c r="H1087" s="3" t="str">
        <f aca="false">Raw_Data!G1087</f>
        <v>yes</v>
      </c>
      <c r="I1087" s="3" t="str">
        <f aca="false">Raw_Data!H1087</f>
        <v>no</v>
      </c>
      <c r="J1087" s="2" t="n">
        <f aca="false">IF(F1087="yes",1,0)</f>
        <v>0</v>
      </c>
      <c r="K1087" s="2" t="n">
        <f aca="false">IF(H1087="yes",1,0)</f>
        <v>1</v>
      </c>
      <c r="L1087" s="2" t="n">
        <f aca="false">IF(I1087="yes",1,0)</f>
        <v>0</v>
      </c>
      <c r="M1087" s="2" t="n">
        <f aca="false">IF(G1087&lt;0,1,0)</f>
        <v>0</v>
      </c>
      <c r="N1087" s="2" t="str">
        <f aca="false">_xlfn.IFS(B1087&lt;30,"Under 30",B1087&lt;40,"30-39",B1087&lt;50,"40-49",B1087&lt;60,"50-59",TRUE(),"60+")</f>
        <v>30-39</v>
      </c>
      <c r="O1087" s="2" t="str">
        <f aca="false">_xlfn.IFS(G1087&lt;0,"1 Negative",G1087=0,"2 Zero",G1087&lt;=500,"3 1-500",G1087&lt;=2000,"4 501-2000",TRUE(),"5 Above 2000")</f>
        <v>4 501-2000</v>
      </c>
      <c r="P1087" s="2" t="n">
        <f aca="false">Lookups!$B$2*M1087+Lookups!$B$3*L1087</f>
        <v>0</v>
      </c>
      <c r="Q1087" s="2" t="str">
        <f aca="false">INDEX(Lookups!$E$2:$E$5,MATCH(P1087,Lookups!$D$2:$D$5,0))</f>
        <v>Low</v>
      </c>
    </row>
    <row r="1088" customFormat="false" ht="15" hidden="false" customHeight="false" outlineLevel="0" collapsed="false">
      <c r="A1088" s="3" t="n">
        <v>1087</v>
      </c>
      <c r="B1088" s="3" t="n">
        <f aca="false">Raw_Data!A1088</f>
        <v>50</v>
      </c>
      <c r="C1088" s="3" t="str">
        <f aca="false">SUBSTITUTE(Raw_Data!B1088,".","")</f>
        <v>self-employed</v>
      </c>
      <c r="D1088" s="3" t="str">
        <f aca="false">Raw_Data!C1088</f>
        <v>married</v>
      </c>
      <c r="E1088" s="3" t="str">
        <f aca="false">Raw_Data!D1088</f>
        <v>secondary</v>
      </c>
      <c r="F1088" s="3" t="str">
        <f aca="false">Raw_Data!E1088</f>
        <v>no</v>
      </c>
      <c r="G1088" s="3" t="n">
        <f aca="false">Raw_Data!F1088</f>
        <v>3025</v>
      </c>
      <c r="H1088" s="3" t="str">
        <f aca="false">Raw_Data!G1088</f>
        <v>no</v>
      </c>
      <c r="I1088" s="3" t="str">
        <f aca="false">Raw_Data!H1088</f>
        <v>yes</v>
      </c>
      <c r="J1088" s="2" t="n">
        <f aca="false">IF(F1088="yes",1,0)</f>
        <v>0</v>
      </c>
      <c r="K1088" s="2" t="n">
        <f aca="false">IF(H1088="yes",1,0)</f>
        <v>0</v>
      </c>
      <c r="L1088" s="2" t="n">
        <f aca="false">IF(I1088="yes",1,0)</f>
        <v>1</v>
      </c>
      <c r="M1088" s="2" t="n">
        <f aca="false">IF(G1088&lt;0,1,0)</f>
        <v>0</v>
      </c>
      <c r="N1088" s="2" t="str">
        <f aca="false">_xlfn.IFS(B1088&lt;30,"Under 30",B1088&lt;40,"30-39",B1088&lt;50,"40-49",B1088&lt;60,"50-59",TRUE(),"60+")</f>
        <v>50-59</v>
      </c>
      <c r="O1088" s="2" t="str">
        <f aca="false">_xlfn.IFS(G1088&lt;0,"1 Negative",G1088=0,"2 Zero",G1088&lt;=500,"3 1-500",G1088&lt;=2000,"4 501-2000",TRUE(),"5 Above 2000")</f>
        <v>5 Above 2000</v>
      </c>
      <c r="P1088" s="2" t="n">
        <f aca="false">Lookups!$B$2*M1088+Lookups!$B$3*L1088</f>
        <v>1</v>
      </c>
      <c r="Q1088" s="2" t="str">
        <f aca="false">INDEX(Lookups!$E$2:$E$5,MATCH(P1088,Lookups!$D$2:$D$5,0))</f>
        <v>Medium</v>
      </c>
    </row>
    <row r="1089" customFormat="false" ht="15" hidden="false" customHeight="false" outlineLevel="0" collapsed="false">
      <c r="A1089" s="3" t="n">
        <v>1088</v>
      </c>
      <c r="B1089" s="3" t="n">
        <f aca="false">Raw_Data!A1089</f>
        <v>47</v>
      </c>
      <c r="C1089" s="3" t="str">
        <f aca="false">SUBSTITUTE(Raw_Data!B1089,".","")</f>
        <v>self-employed</v>
      </c>
      <c r="D1089" s="3" t="str">
        <f aca="false">Raw_Data!C1089</f>
        <v>married</v>
      </c>
      <c r="E1089" s="3" t="str">
        <f aca="false">Raw_Data!D1089</f>
        <v>tertiary</v>
      </c>
      <c r="F1089" s="3" t="str">
        <f aca="false">Raw_Data!E1089</f>
        <v>no</v>
      </c>
      <c r="G1089" s="3" t="n">
        <f aca="false">Raw_Data!F1089</f>
        <v>751</v>
      </c>
      <c r="H1089" s="3" t="str">
        <f aca="false">Raw_Data!G1089</f>
        <v>no</v>
      </c>
      <c r="I1089" s="3" t="str">
        <f aca="false">Raw_Data!H1089</f>
        <v>no</v>
      </c>
      <c r="J1089" s="2" t="n">
        <f aca="false">IF(F1089="yes",1,0)</f>
        <v>0</v>
      </c>
      <c r="K1089" s="2" t="n">
        <f aca="false">IF(H1089="yes",1,0)</f>
        <v>0</v>
      </c>
      <c r="L1089" s="2" t="n">
        <f aca="false">IF(I1089="yes",1,0)</f>
        <v>0</v>
      </c>
      <c r="M1089" s="2" t="n">
        <f aca="false">IF(G1089&lt;0,1,0)</f>
        <v>0</v>
      </c>
      <c r="N1089" s="2" t="str">
        <f aca="false">_xlfn.IFS(B1089&lt;30,"Under 30",B1089&lt;40,"30-39",B1089&lt;50,"40-49",B1089&lt;60,"50-59",TRUE(),"60+")</f>
        <v>40-49</v>
      </c>
      <c r="O1089" s="2" t="str">
        <f aca="false">_xlfn.IFS(G1089&lt;0,"1 Negative",G1089=0,"2 Zero",G1089&lt;=500,"3 1-500",G1089&lt;=2000,"4 501-2000",TRUE(),"5 Above 2000")</f>
        <v>4 501-2000</v>
      </c>
      <c r="P1089" s="2" t="n">
        <f aca="false">Lookups!$B$2*M1089+Lookups!$B$3*L1089</f>
        <v>0</v>
      </c>
      <c r="Q1089" s="2" t="str">
        <f aca="false">INDEX(Lookups!$E$2:$E$5,MATCH(P1089,Lookups!$D$2:$D$5,0))</f>
        <v>Low</v>
      </c>
    </row>
    <row r="1090" customFormat="false" ht="15" hidden="false" customHeight="false" outlineLevel="0" collapsed="false">
      <c r="A1090" s="3" t="n">
        <v>1089</v>
      </c>
      <c r="B1090" s="3" t="n">
        <f aca="false">Raw_Data!A1090</f>
        <v>39</v>
      </c>
      <c r="C1090" s="3" t="str">
        <f aca="false">SUBSTITUTE(Raw_Data!B1090,".","")</f>
        <v>management</v>
      </c>
      <c r="D1090" s="3" t="str">
        <f aca="false">Raw_Data!C1090</f>
        <v>single</v>
      </c>
      <c r="E1090" s="3" t="str">
        <f aca="false">Raw_Data!D1090</f>
        <v>tertiary</v>
      </c>
      <c r="F1090" s="3" t="str">
        <f aca="false">Raw_Data!E1090</f>
        <v>no</v>
      </c>
      <c r="G1090" s="3" t="n">
        <f aca="false">Raw_Data!F1090</f>
        <v>416</v>
      </c>
      <c r="H1090" s="3" t="str">
        <f aca="false">Raw_Data!G1090</f>
        <v>no</v>
      </c>
      <c r="I1090" s="3" t="str">
        <f aca="false">Raw_Data!H1090</f>
        <v>no</v>
      </c>
      <c r="J1090" s="2" t="n">
        <f aca="false">IF(F1090="yes",1,0)</f>
        <v>0</v>
      </c>
      <c r="K1090" s="2" t="n">
        <f aca="false">IF(H1090="yes",1,0)</f>
        <v>0</v>
      </c>
      <c r="L1090" s="2" t="n">
        <f aca="false">IF(I1090="yes",1,0)</f>
        <v>0</v>
      </c>
      <c r="M1090" s="2" t="n">
        <f aca="false">IF(G1090&lt;0,1,0)</f>
        <v>0</v>
      </c>
      <c r="N1090" s="2" t="str">
        <f aca="false">_xlfn.IFS(B1090&lt;30,"Under 30",B1090&lt;40,"30-39",B1090&lt;50,"40-49",B1090&lt;60,"50-59",TRUE(),"60+")</f>
        <v>30-39</v>
      </c>
      <c r="O1090" s="2" t="str">
        <f aca="false">_xlfn.IFS(G1090&lt;0,"1 Negative",G1090=0,"2 Zero",G1090&lt;=500,"3 1-500",G1090&lt;=2000,"4 501-2000",TRUE(),"5 Above 2000")</f>
        <v>3 1-500</v>
      </c>
      <c r="P1090" s="2" t="n">
        <f aca="false">Lookups!$B$2*M1090+Lookups!$B$3*L1090</f>
        <v>0</v>
      </c>
      <c r="Q1090" s="2" t="str">
        <f aca="false">INDEX(Lookups!$E$2:$E$5,MATCH(P1090,Lookups!$D$2:$D$5,0))</f>
        <v>Low</v>
      </c>
    </row>
    <row r="1091" customFormat="false" ht="15" hidden="false" customHeight="false" outlineLevel="0" collapsed="false">
      <c r="A1091" s="3" t="n">
        <v>1090</v>
      </c>
      <c r="B1091" s="3" t="n">
        <f aca="false">Raw_Data!A1091</f>
        <v>52</v>
      </c>
      <c r="C1091" s="3" t="str">
        <f aca="false">SUBSTITUTE(Raw_Data!B1091,".","")</f>
        <v>services</v>
      </c>
      <c r="D1091" s="3" t="str">
        <f aca="false">Raw_Data!C1091</f>
        <v>married</v>
      </c>
      <c r="E1091" s="3" t="str">
        <f aca="false">Raw_Data!D1091</f>
        <v>primary</v>
      </c>
      <c r="F1091" s="3" t="str">
        <f aca="false">Raw_Data!E1091</f>
        <v>no</v>
      </c>
      <c r="G1091" s="3" t="n">
        <f aca="false">Raw_Data!F1091</f>
        <v>14</v>
      </c>
      <c r="H1091" s="3" t="str">
        <f aca="false">Raw_Data!G1091</f>
        <v>no</v>
      </c>
      <c r="I1091" s="3" t="str">
        <f aca="false">Raw_Data!H1091</f>
        <v>yes</v>
      </c>
      <c r="J1091" s="2" t="n">
        <f aca="false">IF(F1091="yes",1,0)</f>
        <v>0</v>
      </c>
      <c r="K1091" s="2" t="n">
        <f aca="false">IF(H1091="yes",1,0)</f>
        <v>0</v>
      </c>
      <c r="L1091" s="2" t="n">
        <f aca="false">IF(I1091="yes",1,0)</f>
        <v>1</v>
      </c>
      <c r="M1091" s="2" t="n">
        <f aca="false">IF(G1091&lt;0,1,0)</f>
        <v>0</v>
      </c>
      <c r="N1091" s="2" t="str">
        <f aca="false">_xlfn.IFS(B1091&lt;30,"Under 30",B1091&lt;40,"30-39",B1091&lt;50,"40-49",B1091&lt;60,"50-59",TRUE(),"60+")</f>
        <v>50-59</v>
      </c>
      <c r="O1091" s="2" t="str">
        <f aca="false">_xlfn.IFS(G1091&lt;0,"1 Negative",G1091=0,"2 Zero",G1091&lt;=500,"3 1-500",G1091&lt;=2000,"4 501-2000",TRUE(),"5 Above 2000")</f>
        <v>3 1-500</v>
      </c>
      <c r="P1091" s="2" t="n">
        <f aca="false">Lookups!$B$2*M1091+Lookups!$B$3*L1091</f>
        <v>1</v>
      </c>
      <c r="Q1091" s="2" t="str">
        <f aca="false">INDEX(Lookups!$E$2:$E$5,MATCH(P1091,Lookups!$D$2:$D$5,0))</f>
        <v>Medium</v>
      </c>
    </row>
    <row r="1092" customFormat="false" ht="15" hidden="false" customHeight="false" outlineLevel="0" collapsed="false">
      <c r="A1092" s="3" t="n">
        <v>1091</v>
      </c>
      <c r="B1092" s="3" t="n">
        <f aca="false">Raw_Data!A1092</f>
        <v>31</v>
      </c>
      <c r="C1092" s="3" t="str">
        <f aca="false">SUBSTITUTE(Raw_Data!B1092,".","")</f>
        <v>blue-collar</v>
      </c>
      <c r="D1092" s="3" t="str">
        <f aca="false">Raw_Data!C1092</f>
        <v>single</v>
      </c>
      <c r="E1092" s="3" t="str">
        <f aca="false">Raw_Data!D1092</f>
        <v>primary</v>
      </c>
      <c r="F1092" s="3" t="str">
        <f aca="false">Raw_Data!E1092</f>
        <v>no</v>
      </c>
      <c r="G1092" s="3" t="n">
        <f aca="false">Raw_Data!F1092</f>
        <v>-502</v>
      </c>
      <c r="H1092" s="3" t="str">
        <f aca="false">Raw_Data!G1092</f>
        <v>yes</v>
      </c>
      <c r="I1092" s="3" t="str">
        <f aca="false">Raw_Data!H1092</f>
        <v>no</v>
      </c>
      <c r="J1092" s="2" t="n">
        <f aca="false">IF(F1092="yes",1,0)</f>
        <v>0</v>
      </c>
      <c r="K1092" s="2" t="n">
        <f aca="false">IF(H1092="yes",1,0)</f>
        <v>1</v>
      </c>
      <c r="L1092" s="2" t="n">
        <f aca="false">IF(I1092="yes",1,0)</f>
        <v>0</v>
      </c>
      <c r="M1092" s="2" t="n">
        <f aca="false">IF(G1092&lt;0,1,0)</f>
        <v>1</v>
      </c>
      <c r="N1092" s="2" t="str">
        <f aca="false">_xlfn.IFS(B1092&lt;30,"Under 30",B1092&lt;40,"30-39",B1092&lt;50,"40-49",B1092&lt;60,"50-59",TRUE(),"60+")</f>
        <v>30-39</v>
      </c>
      <c r="O1092" s="2" t="str">
        <f aca="false">_xlfn.IFS(G1092&lt;0,"1 Negative",G1092=0,"2 Zero",G1092&lt;=500,"3 1-500",G1092&lt;=2000,"4 501-2000",TRUE(),"5 Above 2000")</f>
        <v>1 Negative</v>
      </c>
      <c r="P1092" s="2" t="n">
        <f aca="false">Lookups!$B$2*M1092+Lookups!$B$3*L1092</f>
        <v>2</v>
      </c>
      <c r="Q1092" s="2" t="str">
        <f aca="false">INDEX(Lookups!$E$2:$E$5,MATCH(P1092,Lookups!$D$2:$D$5,0))</f>
        <v>High</v>
      </c>
    </row>
    <row r="1093" customFormat="false" ht="15" hidden="false" customHeight="false" outlineLevel="0" collapsed="false">
      <c r="A1093" s="3" t="n">
        <v>1092</v>
      </c>
      <c r="B1093" s="3" t="n">
        <f aca="false">Raw_Data!A1093</f>
        <v>50</v>
      </c>
      <c r="C1093" s="3" t="str">
        <f aca="false">SUBSTITUTE(Raw_Data!B1093,".","")</f>
        <v>blue-collar</v>
      </c>
      <c r="D1093" s="3" t="str">
        <f aca="false">Raw_Data!C1093</f>
        <v>married</v>
      </c>
      <c r="E1093" s="3" t="str">
        <f aca="false">Raw_Data!D1093</f>
        <v>primary</v>
      </c>
      <c r="F1093" s="3" t="str">
        <f aca="false">Raw_Data!E1093</f>
        <v>no</v>
      </c>
      <c r="G1093" s="3" t="n">
        <f aca="false">Raw_Data!F1093</f>
        <v>0</v>
      </c>
      <c r="H1093" s="3" t="str">
        <f aca="false">Raw_Data!G1093</f>
        <v>no</v>
      </c>
      <c r="I1093" s="3" t="str">
        <f aca="false">Raw_Data!H1093</f>
        <v>no</v>
      </c>
      <c r="J1093" s="2" t="n">
        <f aca="false">IF(F1093="yes",1,0)</f>
        <v>0</v>
      </c>
      <c r="K1093" s="2" t="n">
        <f aca="false">IF(H1093="yes",1,0)</f>
        <v>0</v>
      </c>
      <c r="L1093" s="2" t="n">
        <f aca="false">IF(I1093="yes",1,0)</f>
        <v>0</v>
      </c>
      <c r="M1093" s="2" t="n">
        <f aca="false">IF(G1093&lt;0,1,0)</f>
        <v>0</v>
      </c>
      <c r="N1093" s="2" t="str">
        <f aca="false">_xlfn.IFS(B1093&lt;30,"Under 30",B1093&lt;40,"30-39",B1093&lt;50,"40-49",B1093&lt;60,"50-59",TRUE(),"60+")</f>
        <v>50-59</v>
      </c>
      <c r="O1093" s="2" t="str">
        <f aca="false">_xlfn.IFS(G1093&lt;0,"1 Negative",G1093=0,"2 Zero",G1093&lt;=500,"3 1-500",G1093&lt;=2000,"4 501-2000",TRUE(),"5 Above 2000")</f>
        <v>2 Zero</v>
      </c>
      <c r="P1093" s="2" t="n">
        <f aca="false">Lookups!$B$2*M1093+Lookups!$B$3*L1093</f>
        <v>0</v>
      </c>
      <c r="Q1093" s="2" t="str">
        <f aca="false">INDEX(Lookups!$E$2:$E$5,MATCH(P1093,Lookups!$D$2:$D$5,0))</f>
        <v>Low</v>
      </c>
    </row>
    <row r="1094" customFormat="false" ht="15" hidden="false" customHeight="false" outlineLevel="0" collapsed="false">
      <c r="A1094" s="3" t="n">
        <v>1093</v>
      </c>
      <c r="B1094" s="3" t="n">
        <f aca="false">Raw_Data!A1094</f>
        <v>47</v>
      </c>
      <c r="C1094" s="3" t="str">
        <f aca="false">SUBSTITUTE(Raw_Data!B1094,".","")</f>
        <v>technician</v>
      </c>
      <c r="D1094" s="3" t="str">
        <f aca="false">Raw_Data!C1094</f>
        <v>married</v>
      </c>
      <c r="E1094" s="3" t="str">
        <f aca="false">Raw_Data!D1094</f>
        <v>secondary</v>
      </c>
      <c r="F1094" s="3" t="str">
        <f aca="false">Raw_Data!E1094</f>
        <v>no</v>
      </c>
      <c r="G1094" s="3" t="n">
        <f aca="false">Raw_Data!F1094</f>
        <v>599</v>
      </c>
      <c r="H1094" s="3" t="str">
        <f aca="false">Raw_Data!G1094</f>
        <v>yes</v>
      </c>
      <c r="I1094" s="3" t="str">
        <f aca="false">Raw_Data!H1094</f>
        <v>no</v>
      </c>
      <c r="J1094" s="2" t="n">
        <f aca="false">IF(F1094="yes",1,0)</f>
        <v>0</v>
      </c>
      <c r="K1094" s="2" t="n">
        <f aca="false">IF(H1094="yes",1,0)</f>
        <v>1</v>
      </c>
      <c r="L1094" s="2" t="n">
        <f aca="false">IF(I1094="yes",1,0)</f>
        <v>0</v>
      </c>
      <c r="M1094" s="2" t="n">
        <f aca="false">IF(G1094&lt;0,1,0)</f>
        <v>0</v>
      </c>
      <c r="N1094" s="2" t="str">
        <f aca="false">_xlfn.IFS(B1094&lt;30,"Under 30",B1094&lt;40,"30-39",B1094&lt;50,"40-49",B1094&lt;60,"50-59",TRUE(),"60+")</f>
        <v>40-49</v>
      </c>
      <c r="O1094" s="2" t="str">
        <f aca="false">_xlfn.IFS(G1094&lt;0,"1 Negative",G1094=0,"2 Zero",G1094&lt;=500,"3 1-500",G1094&lt;=2000,"4 501-2000",TRUE(),"5 Above 2000")</f>
        <v>4 501-2000</v>
      </c>
      <c r="P1094" s="2" t="n">
        <f aca="false">Lookups!$B$2*M1094+Lookups!$B$3*L1094</f>
        <v>0</v>
      </c>
      <c r="Q1094" s="2" t="str">
        <f aca="false">INDEX(Lookups!$E$2:$E$5,MATCH(P1094,Lookups!$D$2:$D$5,0))</f>
        <v>Low</v>
      </c>
    </row>
    <row r="1095" customFormat="false" ht="15" hidden="false" customHeight="false" outlineLevel="0" collapsed="false">
      <c r="A1095" s="3" t="n">
        <v>1094</v>
      </c>
      <c r="B1095" s="3" t="n">
        <f aca="false">Raw_Data!A1095</f>
        <v>30</v>
      </c>
      <c r="C1095" s="3" t="str">
        <f aca="false">SUBSTITUTE(Raw_Data!B1095,".","")</f>
        <v>management</v>
      </c>
      <c r="D1095" s="3" t="str">
        <f aca="false">Raw_Data!C1095</f>
        <v>single</v>
      </c>
      <c r="E1095" s="3" t="str">
        <f aca="false">Raw_Data!D1095</f>
        <v>tertiary</v>
      </c>
      <c r="F1095" s="3" t="str">
        <f aca="false">Raw_Data!E1095</f>
        <v>no</v>
      </c>
      <c r="G1095" s="3" t="n">
        <f aca="false">Raw_Data!F1095</f>
        <v>-218</v>
      </c>
      <c r="H1095" s="3" t="str">
        <f aca="false">Raw_Data!G1095</f>
        <v>yes</v>
      </c>
      <c r="I1095" s="3" t="str">
        <f aca="false">Raw_Data!H1095</f>
        <v>no</v>
      </c>
      <c r="J1095" s="2" t="n">
        <f aca="false">IF(F1095="yes",1,0)</f>
        <v>0</v>
      </c>
      <c r="K1095" s="2" t="n">
        <f aca="false">IF(H1095="yes",1,0)</f>
        <v>1</v>
      </c>
      <c r="L1095" s="2" t="n">
        <f aca="false">IF(I1095="yes",1,0)</f>
        <v>0</v>
      </c>
      <c r="M1095" s="2" t="n">
        <f aca="false">IF(G1095&lt;0,1,0)</f>
        <v>1</v>
      </c>
      <c r="N1095" s="2" t="str">
        <f aca="false">_xlfn.IFS(B1095&lt;30,"Under 30",B1095&lt;40,"30-39",B1095&lt;50,"40-49",B1095&lt;60,"50-59",TRUE(),"60+")</f>
        <v>30-39</v>
      </c>
      <c r="O1095" s="2" t="str">
        <f aca="false">_xlfn.IFS(G1095&lt;0,"1 Negative",G1095=0,"2 Zero",G1095&lt;=500,"3 1-500",G1095&lt;=2000,"4 501-2000",TRUE(),"5 Above 2000")</f>
        <v>1 Negative</v>
      </c>
      <c r="P1095" s="2" t="n">
        <f aca="false">Lookups!$B$2*M1095+Lookups!$B$3*L1095</f>
        <v>2</v>
      </c>
      <c r="Q1095" s="2" t="str">
        <f aca="false">INDEX(Lookups!$E$2:$E$5,MATCH(P1095,Lookups!$D$2:$D$5,0))</f>
        <v>High</v>
      </c>
    </row>
    <row r="1096" customFormat="false" ht="15" hidden="false" customHeight="false" outlineLevel="0" collapsed="false">
      <c r="A1096" s="3" t="n">
        <v>1095</v>
      </c>
      <c r="B1096" s="3" t="n">
        <f aca="false">Raw_Data!A1096</f>
        <v>32</v>
      </c>
      <c r="C1096" s="3" t="str">
        <f aca="false">SUBSTITUTE(Raw_Data!B1096,".","")</f>
        <v>technician</v>
      </c>
      <c r="D1096" s="3" t="str">
        <f aca="false">Raw_Data!C1096</f>
        <v>single</v>
      </c>
      <c r="E1096" s="3" t="str">
        <f aca="false">Raw_Data!D1096</f>
        <v>tertiary</v>
      </c>
      <c r="F1096" s="3" t="str">
        <f aca="false">Raw_Data!E1096</f>
        <v>no</v>
      </c>
      <c r="G1096" s="3" t="n">
        <f aca="false">Raw_Data!F1096</f>
        <v>1012</v>
      </c>
      <c r="H1096" s="3" t="str">
        <f aca="false">Raw_Data!G1096</f>
        <v>no</v>
      </c>
      <c r="I1096" s="3" t="str">
        <f aca="false">Raw_Data!H1096</f>
        <v>no</v>
      </c>
      <c r="J1096" s="2" t="n">
        <f aca="false">IF(F1096="yes",1,0)</f>
        <v>0</v>
      </c>
      <c r="K1096" s="2" t="n">
        <f aca="false">IF(H1096="yes",1,0)</f>
        <v>0</v>
      </c>
      <c r="L1096" s="2" t="n">
        <f aca="false">IF(I1096="yes",1,0)</f>
        <v>0</v>
      </c>
      <c r="M1096" s="2" t="n">
        <f aca="false">IF(G1096&lt;0,1,0)</f>
        <v>0</v>
      </c>
      <c r="N1096" s="2" t="str">
        <f aca="false">_xlfn.IFS(B1096&lt;30,"Under 30",B1096&lt;40,"30-39",B1096&lt;50,"40-49",B1096&lt;60,"50-59",TRUE(),"60+")</f>
        <v>30-39</v>
      </c>
      <c r="O1096" s="2" t="str">
        <f aca="false">_xlfn.IFS(G1096&lt;0,"1 Negative",G1096=0,"2 Zero",G1096&lt;=500,"3 1-500",G1096&lt;=2000,"4 501-2000",TRUE(),"5 Above 2000")</f>
        <v>4 501-2000</v>
      </c>
      <c r="P1096" s="2" t="n">
        <f aca="false">Lookups!$B$2*M1096+Lookups!$B$3*L1096</f>
        <v>0</v>
      </c>
      <c r="Q1096" s="2" t="str">
        <f aca="false">INDEX(Lookups!$E$2:$E$5,MATCH(P1096,Lookups!$D$2:$D$5,0))</f>
        <v>Low</v>
      </c>
    </row>
    <row r="1097" customFormat="false" ht="15" hidden="false" customHeight="false" outlineLevel="0" collapsed="false">
      <c r="A1097" s="3" t="n">
        <v>1096</v>
      </c>
      <c r="B1097" s="3" t="n">
        <f aca="false">Raw_Data!A1097</f>
        <v>36</v>
      </c>
      <c r="C1097" s="3" t="str">
        <f aca="false">SUBSTITUTE(Raw_Data!B1097,".","")</f>
        <v>technician</v>
      </c>
      <c r="D1097" s="3" t="str">
        <f aca="false">Raw_Data!C1097</f>
        <v>married</v>
      </c>
      <c r="E1097" s="3" t="str">
        <f aca="false">Raw_Data!D1097</f>
        <v>secondary</v>
      </c>
      <c r="F1097" s="3" t="str">
        <f aca="false">Raw_Data!E1097</f>
        <v>no</v>
      </c>
      <c r="G1097" s="3" t="n">
        <f aca="false">Raw_Data!F1097</f>
        <v>300</v>
      </c>
      <c r="H1097" s="3" t="str">
        <f aca="false">Raw_Data!G1097</f>
        <v>no</v>
      </c>
      <c r="I1097" s="3" t="str">
        <f aca="false">Raw_Data!H1097</f>
        <v>no</v>
      </c>
      <c r="J1097" s="2" t="n">
        <f aca="false">IF(F1097="yes",1,0)</f>
        <v>0</v>
      </c>
      <c r="K1097" s="2" t="n">
        <f aca="false">IF(H1097="yes",1,0)</f>
        <v>0</v>
      </c>
      <c r="L1097" s="2" t="n">
        <f aca="false">IF(I1097="yes",1,0)</f>
        <v>0</v>
      </c>
      <c r="M1097" s="2" t="n">
        <f aca="false">IF(G1097&lt;0,1,0)</f>
        <v>0</v>
      </c>
      <c r="N1097" s="2" t="str">
        <f aca="false">_xlfn.IFS(B1097&lt;30,"Under 30",B1097&lt;40,"30-39",B1097&lt;50,"40-49",B1097&lt;60,"50-59",TRUE(),"60+")</f>
        <v>30-39</v>
      </c>
      <c r="O1097" s="2" t="str">
        <f aca="false">_xlfn.IFS(G1097&lt;0,"1 Negative",G1097=0,"2 Zero",G1097&lt;=500,"3 1-500",G1097&lt;=2000,"4 501-2000",TRUE(),"5 Above 2000")</f>
        <v>3 1-500</v>
      </c>
      <c r="P1097" s="2" t="n">
        <f aca="false">Lookups!$B$2*M1097+Lookups!$B$3*L1097</f>
        <v>0</v>
      </c>
      <c r="Q1097" s="2" t="str">
        <f aca="false">INDEX(Lookups!$E$2:$E$5,MATCH(P1097,Lookups!$D$2:$D$5,0))</f>
        <v>Low</v>
      </c>
    </row>
    <row r="1098" customFormat="false" ht="15" hidden="false" customHeight="false" outlineLevel="0" collapsed="false">
      <c r="A1098" s="3" t="n">
        <v>1097</v>
      </c>
      <c r="B1098" s="3" t="n">
        <f aca="false">Raw_Data!A1098</f>
        <v>46</v>
      </c>
      <c r="C1098" s="3" t="str">
        <f aca="false">SUBSTITUTE(Raw_Data!B1098,".","")</f>
        <v>technician</v>
      </c>
      <c r="D1098" s="3" t="str">
        <f aca="false">Raw_Data!C1098</f>
        <v>married</v>
      </c>
      <c r="E1098" s="3" t="str">
        <f aca="false">Raw_Data!D1098</f>
        <v>tertiary</v>
      </c>
      <c r="F1098" s="3" t="str">
        <f aca="false">Raw_Data!E1098</f>
        <v>no</v>
      </c>
      <c r="G1098" s="3" t="n">
        <f aca="false">Raw_Data!F1098</f>
        <v>217</v>
      </c>
      <c r="H1098" s="3" t="str">
        <f aca="false">Raw_Data!G1098</f>
        <v>yes</v>
      </c>
      <c r="I1098" s="3" t="str">
        <f aca="false">Raw_Data!H1098</f>
        <v>no</v>
      </c>
      <c r="J1098" s="2" t="n">
        <f aca="false">IF(F1098="yes",1,0)</f>
        <v>0</v>
      </c>
      <c r="K1098" s="2" t="n">
        <f aca="false">IF(H1098="yes",1,0)</f>
        <v>1</v>
      </c>
      <c r="L1098" s="2" t="n">
        <f aca="false">IF(I1098="yes",1,0)</f>
        <v>0</v>
      </c>
      <c r="M1098" s="2" t="n">
        <f aca="false">IF(G1098&lt;0,1,0)</f>
        <v>0</v>
      </c>
      <c r="N1098" s="2" t="str">
        <f aca="false">_xlfn.IFS(B1098&lt;30,"Under 30",B1098&lt;40,"30-39",B1098&lt;50,"40-49",B1098&lt;60,"50-59",TRUE(),"60+")</f>
        <v>40-49</v>
      </c>
      <c r="O1098" s="2" t="str">
        <f aca="false">_xlfn.IFS(G1098&lt;0,"1 Negative",G1098=0,"2 Zero",G1098&lt;=500,"3 1-500",G1098&lt;=2000,"4 501-2000",TRUE(),"5 Above 2000")</f>
        <v>3 1-500</v>
      </c>
      <c r="P1098" s="2" t="n">
        <f aca="false">Lookups!$B$2*M1098+Lookups!$B$3*L1098</f>
        <v>0</v>
      </c>
      <c r="Q1098" s="2" t="str">
        <f aca="false">INDEX(Lookups!$E$2:$E$5,MATCH(P1098,Lookups!$D$2:$D$5,0))</f>
        <v>Low</v>
      </c>
    </row>
    <row r="1099" customFormat="false" ht="15" hidden="false" customHeight="false" outlineLevel="0" collapsed="false">
      <c r="A1099" s="3" t="n">
        <v>1098</v>
      </c>
      <c r="B1099" s="3" t="n">
        <f aca="false">Raw_Data!A1099</f>
        <v>45</v>
      </c>
      <c r="C1099" s="3" t="str">
        <f aca="false">SUBSTITUTE(Raw_Data!B1099,".","")</f>
        <v>management</v>
      </c>
      <c r="D1099" s="3" t="str">
        <f aca="false">Raw_Data!C1099</f>
        <v>divorced</v>
      </c>
      <c r="E1099" s="3" t="str">
        <f aca="false">Raw_Data!D1099</f>
        <v>tertiary</v>
      </c>
      <c r="F1099" s="3" t="str">
        <f aca="false">Raw_Data!E1099</f>
        <v>no</v>
      </c>
      <c r="G1099" s="3" t="n">
        <f aca="false">Raw_Data!F1099</f>
        <v>2096</v>
      </c>
      <c r="H1099" s="3" t="str">
        <f aca="false">Raw_Data!G1099</f>
        <v>no</v>
      </c>
      <c r="I1099" s="3" t="str">
        <f aca="false">Raw_Data!H1099</f>
        <v>no</v>
      </c>
      <c r="J1099" s="2" t="n">
        <f aca="false">IF(F1099="yes",1,0)</f>
        <v>0</v>
      </c>
      <c r="K1099" s="2" t="n">
        <f aca="false">IF(H1099="yes",1,0)</f>
        <v>0</v>
      </c>
      <c r="L1099" s="2" t="n">
        <f aca="false">IF(I1099="yes",1,0)</f>
        <v>0</v>
      </c>
      <c r="M1099" s="2" t="n">
        <f aca="false">IF(G1099&lt;0,1,0)</f>
        <v>0</v>
      </c>
      <c r="N1099" s="2" t="str">
        <f aca="false">_xlfn.IFS(B1099&lt;30,"Under 30",B1099&lt;40,"30-39",B1099&lt;50,"40-49",B1099&lt;60,"50-59",TRUE(),"60+")</f>
        <v>40-49</v>
      </c>
      <c r="O1099" s="2" t="str">
        <f aca="false">_xlfn.IFS(G1099&lt;0,"1 Negative",G1099=0,"2 Zero",G1099&lt;=500,"3 1-500",G1099&lt;=2000,"4 501-2000",TRUE(),"5 Above 2000")</f>
        <v>5 Above 2000</v>
      </c>
      <c r="P1099" s="2" t="n">
        <f aca="false">Lookups!$B$2*M1099+Lookups!$B$3*L1099</f>
        <v>0</v>
      </c>
      <c r="Q1099" s="2" t="str">
        <f aca="false">INDEX(Lookups!$E$2:$E$5,MATCH(P1099,Lookups!$D$2:$D$5,0))</f>
        <v>Low</v>
      </c>
    </row>
    <row r="1100" customFormat="false" ht="15" hidden="false" customHeight="false" outlineLevel="0" collapsed="false">
      <c r="A1100" s="3" t="n">
        <v>1099</v>
      </c>
      <c r="B1100" s="3" t="n">
        <f aca="false">Raw_Data!A1100</f>
        <v>37</v>
      </c>
      <c r="C1100" s="3" t="str">
        <f aca="false">SUBSTITUTE(Raw_Data!B1100,".","")</f>
        <v>technician</v>
      </c>
      <c r="D1100" s="3" t="str">
        <f aca="false">Raw_Data!C1100</f>
        <v>single</v>
      </c>
      <c r="E1100" s="3" t="str">
        <f aca="false">Raw_Data!D1100</f>
        <v>secondary</v>
      </c>
      <c r="F1100" s="3" t="str">
        <f aca="false">Raw_Data!E1100</f>
        <v>no</v>
      </c>
      <c r="G1100" s="3" t="n">
        <f aca="false">Raw_Data!F1100</f>
        <v>0</v>
      </c>
      <c r="H1100" s="3" t="str">
        <f aca="false">Raw_Data!G1100</f>
        <v>no</v>
      </c>
      <c r="I1100" s="3" t="str">
        <f aca="false">Raw_Data!H1100</f>
        <v>no</v>
      </c>
      <c r="J1100" s="2" t="n">
        <f aca="false">IF(F1100="yes",1,0)</f>
        <v>0</v>
      </c>
      <c r="K1100" s="2" t="n">
        <f aca="false">IF(H1100="yes",1,0)</f>
        <v>0</v>
      </c>
      <c r="L1100" s="2" t="n">
        <f aca="false">IF(I1100="yes",1,0)</f>
        <v>0</v>
      </c>
      <c r="M1100" s="2" t="n">
        <f aca="false">IF(G1100&lt;0,1,0)</f>
        <v>0</v>
      </c>
      <c r="N1100" s="2" t="str">
        <f aca="false">_xlfn.IFS(B1100&lt;30,"Under 30",B1100&lt;40,"30-39",B1100&lt;50,"40-49",B1100&lt;60,"50-59",TRUE(),"60+")</f>
        <v>30-39</v>
      </c>
      <c r="O1100" s="2" t="str">
        <f aca="false">_xlfn.IFS(G1100&lt;0,"1 Negative",G1100=0,"2 Zero",G1100&lt;=500,"3 1-500",G1100&lt;=2000,"4 501-2000",TRUE(),"5 Above 2000")</f>
        <v>2 Zero</v>
      </c>
      <c r="P1100" s="2" t="n">
        <f aca="false">Lookups!$B$2*M1100+Lookups!$B$3*L1100</f>
        <v>0</v>
      </c>
      <c r="Q1100" s="2" t="str">
        <f aca="false">INDEX(Lookups!$E$2:$E$5,MATCH(P1100,Lookups!$D$2:$D$5,0))</f>
        <v>Low</v>
      </c>
    </row>
    <row r="1101" customFormat="false" ht="15" hidden="false" customHeight="false" outlineLevel="0" collapsed="false">
      <c r="A1101" s="3" t="n">
        <v>1100</v>
      </c>
      <c r="B1101" s="3" t="n">
        <f aca="false">Raw_Data!A1101</f>
        <v>58</v>
      </c>
      <c r="C1101" s="3" t="str">
        <f aca="false">SUBSTITUTE(Raw_Data!B1101,".","")</f>
        <v>housemaid</v>
      </c>
      <c r="D1101" s="3" t="str">
        <f aca="false">Raw_Data!C1101</f>
        <v>married</v>
      </c>
      <c r="E1101" s="3" t="str">
        <f aca="false">Raw_Data!D1101</f>
        <v>primary</v>
      </c>
      <c r="F1101" s="3" t="str">
        <f aca="false">Raw_Data!E1101</f>
        <v>no</v>
      </c>
      <c r="G1101" s="3" t="n">
        <f aca="false">Raw_Data!F1101</f>
        <v>5278</v>
      </c>
      <c r="H1101" s="3" t="str">
        <f aca="false">Raw_Data!G1101</f>
        <v>yes</v>
      </c>
      <c r="I1101" s="3" t="str">
        <f aca="false">Raw_Data!H1101</f>
        <v>no</v>
      </c>
      <c r="J1101" s="2" t="n">
        <f aca="false">IF(F1101="yes",1,0)</f>
        <v>0</v>
      </c>
      <c r="K1101" s="2" t="n">
        <f aca="false">IF(H1101="yes",1,0)</f>
        <v>1</v>
      </c>
      <c r="L1101" s="2" t="n">
        <f aca="false">IF(I1101="yes",1,0)</f>
        <v>0</v>
      </c>
      <c r="M1101" s="2" t="n">
        <f aca="false">IF(G1101&lt;0,1,0)</f>
        <v>0</v>
      </c>
      <c r="N1101" s="2" t="str">
        <f aca="false">_xlfn.IFS(B1101&lt;30,"Under 30",B1101&lt;40,"30-39",B1101&lt;50,"40-49",B1101&lt;60,"50-59",TRUE(),"60+")</f>
        <v>50-59</v>
      </c>
      <c r="O1101" s="2" t="str">
        <f aca="false">_xlfn.IFS(G1101&lt;0,"1 Negative",G1101=0,"2 Zero",G1101&lt;=500,"3 1-500",G1101&lt;=2000,"4 501-2000",TRUE(),"5 Above 2000")</f>
        <v>5 Above 2000</v>
      </c>
      <c r="P1101" s="2" t="n">
        <f aca="false">Lookups!$B$2*M1101+Lookups!$B$3*L1101</f>
        <v>0</v>
      </c>
      <c r="Q1101" s="2" t="str">
        <f aca="false">INDEX(Lookups!$E$2:$E$5,MATCH(P1101,Lookups!$D$2:$D$5,0))</f>
        <v>Low</v>
      </c>
    </row>
    <row r="1102" customFormat="false" ht="15" hidden="false" customHeight="false" outlineLevel="0" collapsed="false">
      <c r="A1102" s="3" t="n">
        <v>1101</v>
      </c>
      <c r="B1102" s="3" t="n">
        <f aca="false">Raw_Data!A1102</f>
        <v>59</v>
      </c>
      <c r="C1102" s="3" t="str">
        <f aca="false">SUBSTITUTE(Raw_Data!B1102,".","")</f>
        <v>management</v>
      </c>
      <c r="D1102" s="3" t="str">
        <f aca="false">Raw_Data!C1102</f>
        <v>married</v>
      </c>
      <c r="E1102" s="3" t="str">
        <f aca="false">Raw_Data!D1102</f>
        <v>tertiary</v>
      </c>
      <c r="F1102" s="3" t="str">
        <f aca="false">Raw_Data!E1102</f>
        <v>no</v>
      </c>
      <c r="G1102" s="3" t="n">
        <f aca="false">Raw_Data!F1102</f>
        <v>1831</v>
      </c>
      <c r="H1102" s="3" t="str">
        <f aca="false">Raw_Data!G1102</f>
        <v>no</v>
      </c>
      <c r="I1102" s="3" t="str">
        <f aca="false">Raw_Data!H1102</f>
        <v>no</v>
      </c>
      <c r="J1102" s="2" t="n">
        <f aca="false">IF(F1102="yes",1,0)</f>
        <v>0</v>
      </c>
      <c r="K1102" s="2" t="n">
        <f aca="false">IF(H1102="yes",1,0)</f>
        <v>0</v>
      </c>
      <c r="L1102" s="2" t="n">
        <f aca="false">IF(I1102="yes",1,0)</f>
        <v>0</v>
      </c>
      <c r="M1102" s="2" t="n">
        <f aca="false">IF(G1102&lt;0,1,0)</f>
        <v>0</v>
      </c>
      <c r="N1102" s="2" t="str">
        <f aca="false">_xlfn.IFS(B1102&lt;30,"Under 30",B1102&lt;40,"30-39",B1102&lt;50,"40-49",B1102&lt;60,"50-59",TRUE(),"60+")</f>
        <v>50-59</v>
      </c>
      <c r="O1102" s="2" t="str">
        <f aca="false">_xlfn.IFS(G1102&lt;0,"1 Negative",G1102=0,"2 Zero",G1102&lt;=500,"3 1-500",G1102&lt;=2000,"4 501-2000",TRUE(),"5 Above 2000")</f>
        <v>4 501-2000</v>
      </c>
      <c r="P1102" s="2" t="n">
        <f aca="false">Lookups!$B$2*M1102+Lookups!$B$3*L1102</f>
        <v>0</v>
      </c>
      <c r="Q1102" s="2" t="str">
        <f aca="false">INDEX(Lookups!$E$2:$E$5,MATCH(P1102,Lookups!$D$2:$D$5,0))</f>
        <v>Low</v>
      </c>
    </row>
    <row r="1103" customFormat="false" ht="15" hidden="false" customHeight="false" outlineLevel="0" collapsed="false">
      <c r="A1103" s="3" t="n">
        <v>1102</v>
      </c>
      <c r="B1103" s="3" t="n">
        <f aca="false">Raw_Data!A1103</f>
        <v>28</v>
      </c>
      <c r="C1103" s="3" t="str">
        <f aca="false">SUBSTITUTE(Raw_Data!B1103,".","")</f>
        <v>management</v>
      </c>
      <c r="D1103" s="3" t="str">
        <f aca="false">Raw_Data!C1103</f>
        <v>married</v>
      </c>
      <c r="E1103" s="3" t="str">
        <f aca="false">Raw_Data!D1103</f>
        <v>tertiary</v>
      </c>
      <c r="F1103" s="3" t="str">
        <f aca="false">Raw_Data!E1103</f>
        <v>no</v>
      </c>
      <c r="G1103" s="3" t="n">
        <f aca="false">Raw_Data!F1103</f>
        <v>1480</v>
      </c>
      <c r="H1103" s="3" t="str">
        <f aca="false">Raw_Data!G1103</f>
        <v>yes</v>
      </c>
      <c r="I1103" s="3" t="str">
        <f aca="false">Raw_Data!H1103</f>
        <v>no</v>
      </c>
      <c r="J1103" s="2" t="n">
        <f aca="false">IF(F1103="yes",1,0)</f>
        <v>0</v>
      </c>
      <c r="K1103" s="2" t="n">
        <f aca="false">IF(H1103="yes",1,0)</f>
        <v>1</v>
      </c>
      <c r="L1103" s="2" t="n">
        <f aca="false">IF(I1103="yes",1,0)</f>
        <v>0</v>
      </c>
      <c r="M1103" s="2" t="n">
        <f aca="false">IF(G1103&lt;0,1,0)</f>
        <v>0</v>
      </c>
      <c r="N1103" s="2" t="str">
        <f aca="false">_xlfn.IFS(B1103&lt;30,"Under 30",B1103&lt;40,"30-39",B1103&lt;50,"40-49",B1103&lt;60,"50-59",TRUE(),"60+")</f>
        <v>Under 30</v>
      </c>
      <c r="O1103" s="2" t="str">
        <f aca="false">_xlfn.IFS(G1103&lt;0,"1 Negative",G1103=0,"2 Zero",G1103&lt;=500,"3 1-500",G1103&lt;=2000,"4 501-2000",TRUE(),"5 Above 2000")</f>
        <v>4 501-2000</v>
      </c>
      <c r="P1103" s="2" t="n">
        <f aca="false">Lookups!$B$2*M1103+Lookups!$B$3*L1103</f>
        <v>0</v>
      </c>
      <c r="Q1103" s="2" t="str">
        <f aca="false">INDEX(Lookups!$E$2:$E$5,MATCH(P1103,Lookups!$D$2:$D$5,0))</f>
        <v>Low</v>
      </c>
    </row>
    <row r="1104" customFormat="false" ht="15" hidden="false" customHeight="false" outlineLevel="0" collapsed="false">
      <c r="A1104" s="3" t="n">
        <v>1103</v>
      </c>
      <c r="B1104" s="3" t="n">
        <f aca="false">Raw_Data!A1104</f>
        <v>48</v>
      </c>
      <c r="C1104" s="3" t="str">
        <f aca="false">SUBSTITUTE(Raw_Data!B1104,".","")</f>
        <v>management</v>
      </c>
      <c r="D1104" s="3" t="str">
        <f aca="false">Raw_Data!C1104</f>
        <v>married</v>
      </c>
      <c r="E1104" s="3" t="str">
        <f aca="false">Raw_Data!D1104</f>
        <v>tertiary</v>
      </c>
      <c r="F1104" s="3" t="str">
        <f aca="false">Raw_Data!E1104</f>
        <v>no</v>
      </c>
      <c r="G1104" s="3" t="n">
        <f aca="false">Raw_Data!F1104</f>
        <v>7289</v>
      </c>
      <c r="H1104" s="3" t="str">
        <f aca="false">Raw_Data!G1104</f>
        <v>yes</v>
      </c>
      <c r="I1104" s="3" t="str">
        <f aca="false">Raw_Data!H1104</f>
        <v>no</v>
      </c>
      <c r="J1104" s="2" t="n">
        <f aca="false">IF(F1104="yes",1,0)</f>
        <v>0</v>
      </c>
      <c r="K1104" s="2" t="n">
        <f aca="false">IF(H1104="yes",1,0)</f>
        <v>1</v>
      </c>
      <c r="L1104" s="2" t="n">
        <f aca="false">IF(I1104="yes",1,0)</f>
        <v>0</v>
      </c>
      <c r="M1104" s="2" t="n">
        <f aca="false">IF(G1104&lt;0,1,0)</f>
        <v>0</v>
      </c>
      <c r="N1104" s="2" t="str">
        <f aca="false">_xlfn.IFS(B1104&lt;30,"Under 30",B1104&lt;40,"30-39",B1104&lt;50,"40-49",B1104&lt;60,"50-59",TRUE(),"60+")</f>
        <v>40-49</v>
      </c>
      <c r="O1104" s="2" t="str">
        <f aca="false">_xlfn.IFS(G1104&lt;0,"1 Negative",G1104=0,"2 Zero",G1104&lt;=500,"3 1-500",G1104&lt;=2000,"4 501-2000",TRUE(),"5 Above 2000")</f>
        <v>5 Above 2000</v>
      </c>
      <c r="P1104" s="2" t="n">
        <f aca="false">Lookups!$B$2*M1104+Lookups!$B$3*L1104</f>
        <v>0</v>
      </c>
      <c r="Q1104" s="2" t="str">
        <f aca="false">INDEX(Lookups!$E$2:$E$5,MATCH(P1104,Lookups!$D$2:$D$5,0))</f>
        <v>Low</v>
      </c>
    </row>
    <row r="1105" customFormat="false" ht="15" hidden="false" customHeight="false" outlineLevel="0" collapsed="false">
      <c r="A1105" s="3" t="n">
        <v>1104</v>
      </c>
      <c r="B1105" s="3" t="n">
        <f aca="false">Raw_Data!A1105</f>
        <v>55</v>
      </c>
      <c r="C1105" s="3" t="str">
        <f aca="false">SUBSTITUTE(Raw_Data!B1105,".","")</f>
        <v>blue-collar</v>
      </c>
      <c r="D1105" s="3" t="str">
        <f aca="false">Raw_Data!C1105</f>
        <v>married</v>
      </c>
      <c r="E1105" s="3" t="str">
        <f aca="false">Raw_Data!D1105</f>
        <v>unknown</v>
      </c>
      <c r="F1105" s="3" t="str">
        <f aca="false">Raw_Data!E1105</f>
        <v>no</v>
      </c>
      <c r="G1105" s="3" t="n">
        <f aca="false">Raw_Data!F1105</f>
        <v>1665</v>
      </c>
      <c r="H1105" s="3" t="str">
        <f aca="false">Raw_Data!G1105</f>
        <v>no</v>
      </c>
      <c r="I1105" s="3" t="str">
        <f aca="false">Raw_Data!H1105</f>
        <v>no</v>
      </c>
      <c r="J1105" s="2" t="n">
        <f aca="false">IF(F1105="yes",1,0)</f>
        <v>0</v>
      </c>
      <c r="K1105" s="2" t="n">
        <f aca="false">IF(H1105="yes",1,0)</f>
        <v>0</v>
      </c>
      <c r="L1105" s="2" t="n">
        <f aca="false">IF(I1105="yes",1,0)</f>
        <v>0</v>
      </c>
      <c r="M1105" s="2" t="n">
        <f aca="false">IF(G1105&lt;0,1,0)</f>
        <v>0</v>
      </c>
      <c r="N1105" s="2" t="str">
        <f aca="false">_xlfn.IFS(B1105&lt;30,"Under 30",B1105&lt;40,"30-39",B1105&lt;50,"40-49",B1105&lt;60,"50-59",TRUE(),"60+")</f>
        <v>50-59</v>
      </c>
      <c r="O1105" s="2" t="str">
        <f aca="false">_xlfn.IFS(G1105&lt;0,"1 Negative",G1105=0,"2 Zero",G1105&lt;=500,"3 1-500",G1105&lt;=2000,"4 501-2000",TRUE(),"5 Above 2000")</f>
        <v>4 501-2000</v>
      </c>
      <c r="P1105" s="2" t="n">
        <f aca="false">Lookups!$B$2*M1105+Lookups!$B$3*L1105</f>
        <v>0</v>
      </c>
      <c r="Q1105" s="2" t="str">
        <f aca="false">INDEX(Lookups!$E$2:$E$5,MATCH(P1105,Lookups!$D$2:$D$5,0))</f>
        <v>Low</v>
      </c>
    </row>
    <row r="1106" customFormat="false" ht="15" hidden="false" customHeight="false" outlineLevel="0" collapsed="false">
      <c r="A1106" s="3" t="n">
        <v>1105</v>
      </c>
      <c r="B1106" s="3" t="n">
        <f aca="false">Raw_Data!A1106</f>
        <v>37</v>
      </c>
      <c r="C1106" s="3" t="str">
        <f aca="false">SUBSTITUTE(Raw_Data!B1106,".","")</f>
        <v>blue-collar</v>
      </c>
      <c r="D1106" s="3" t="str">
        <f aca="false">Raw_Data!C1106</f>
        <v>single</v>
      </c>
      <c r="E1106" s="3" t="str">
        <f aca="false">Raw_Data!D1106</f>
        <v>primary</v>
      </c>
      <c r="F1106" s="3" t="str">
        <f aca="false">Raw_Data!E1106</f>
        <v>no</v>
      </c>
      <c r="G1106" s="3" t="n">
        <f aca="false">Raw_Data!F1106</f>
        <v>851</v>
      </c>
      <c r="H1106" s="3" t="str">
        <f aca="false">Raw_Data!G1106</f>
        <v>yes</v>
      </c>
      <c r="I1106" s="3" t="str">
        <f aca="false">Raw_Data!H1106</f>
        <v>no</v>
      </c>
      <c r="J1106" s="2" t="n">
        <f aca="false">IF(F1106="yes",1,0)</f>
        <v>0</v>
      </c>
      <c r="K1106" s="2" t="n">
        <f aca="false">IF(H1106="yes",1,0)</f>
        <v>1</v>
      </c>
      <c r="L1106" s="2" t="n">
        <f aca="false">IF(I1106="yes",1,0)</f>
        <v>0</v>
      </c>
      <c r="M1106" s="2" t="n">
        <f aca="false">IF(G1106&lt;0,1,0)</f>
        <v>0</v>
      </c>
      <c r="N1106" s="2" t="str">
        <f aca="false">_xlfn.IFS(B1106&lt;30,"Under 30",B1106&lt;40,"30-39",B1106&lt;50,"40-49",B1106&lt;60,"50-59",TRUE(),"60+")</f>
        <v>30-39</v>
      </c>
      <c r="O1106" s="2" t="str">
        <f aca="false">_xlfn.IFS(G1106&lt;0,"1 Negative",G1106=0,"2 Zero",G1106&lt;=500,"3 1-500",G1106&lt;=2000,"4 501-2000",TRUE(),"5 Above 2000")</f>
        <v>4 501-2000</v>
      </c>
      <c r="P1106" s="2" t="n">
        <f aca="false">Lookups!$B$2*M1106+Lookups!$B$3*L1106</f>
        <v>0</v>
      </c>
      <c r="Q1106" s="2" t="str">
        <f aca="false">INDEX(Lookups!$E$2:$E$5,MATCH(P1106,Lookups!$D$2:$D$5,0))</f>
        <v>Low</v>
      </c>
    </row>
    <row r="1107" customFormat="false" ht="15" hidden="false" customHeight="false" outlineLevel="0" collapsed="false">
      <c r="A1107" s="3" t="n">
        <v>1106</v>
      </c>
      <c r="B1107" s="3" t="n">
        <f aca="false">Raw_Data!A1107</f>
        <v>41</v>
      </c>
      <c r="C1107" s="3" t="str">
        <f aca="false">SUBSTITUTE(Raw_Data!B1107,".","")</f>
        <v>management</v>
      </c>
      <c r="D1107" s="3" t="str">
        <f aca="false">Raw_Data!C1107</f>
        <v>married</v>
      </c>
      <c r="E1107" s="3" t="str">
        <f aca="false">Raw_Data!D1107</f>
        <v>tertiary</v>
      </c>
      <c r="F1107" s="3" t="str">
        <f aca="false">Raw_Data!E1107</f>
        <v>no</v>
      </c>
      <c r="G1107" s="3" t="n">
        <f aca="false">Raw_Data!F1107</f>
        <v>2885</v>
      </c>
      <c r="H1107" s="3" t="str">
        <f aca="false">Raw_Data!G1107</f>
        <v>no</v>
      </c>
      <c r="I1107" s="3" t="str">
        <f aca="false">Raw_Data!H1107</f>
        <v>no</v>
      </c>
      <c r="J1107" s="2" t="n">
        <f aca="false">IF(F1107="yes",1,0)</f>
        <v>0</v>
      </c>
      <c r="K1107" s="2" t="n">
        <f aca="false">IF(H1107="yes",1,0)</f>
        <v>0</v>
      </c>
      <c r="L1107" s="2" t="n">
        <f aca="false">IF(I1107="yes",1,0)</f>
        <v>0</v>
      </c>
      <c r="M1107" s="2" t="n">
        <f aca="false">IF(G1107&lt;0,1,0)</f>
        <v>0</v>
      </c>
      <c r="N1107" s="2" t="str">
        <f aca="false">_xlfn.IFS(B1107&lt;30,"Under 30",B1107&lt;40,"30-39",B1107&lt;50,"40-49",B1107&lt;60,"50-59",TRUE(),"60+")</f>
        <v>40-49</v>
      </c>
      <c r="O1107" s="2" t="str">
        <f aca="false">_xlfn.IFS(G1107&lt;0,"1 Negative",G1107=0,"2 Zero",G1107&lt;=500,"3 1-500",G1107&lt;=2000,"4 501-2000",TRUE(),"5 Above 2000")</f>
        <v>5 Above 2000</v>
      </c>
      <c r="P1107" s="2" t="n">
        <f aca="false">Lookups!$B$2*M1107+Lookups!$B$3*L1107</f>
        <v>0</v>
      </c>
      <c r="Q1107" s="2" t="str">
        <f aca="false">INDEX(Lookups!$E$2:$E$5,MATCH(P1107,Lookups!$D$2:$D$5,0))</f>
        <v>Low</v>
      </c>
    </row>
    <row r="1108" customFormat="false" ht="15" hidden="false" customHeight="false" outlineLevel="0" collapsed="false">
      <c r="A1108" s="3" t="n">
        <v>1107</v>
      </c>
      <c r="B1108" s="3" t="n">
        <f aca="false">Raw_Data!A1108</f>
        <v>35</v>
      </c>
      <c r="C1108" s="3" t="str">
        <f aca="false">SUBSTITUTE(Raw_Data!B1108,".","")</f>
        <v>blue-collar</v>
      </c>
      <c r="D1108" s="3" t="str">
        <f aca="false">Raw_Data!C1108</f>
        <v>married</v>
      </c>
      <c r="E1108" s="3" t="str">
        <f aca="false">Raw_Data!D1108</f>
        <v>secondary</v>
      </c>
      <c r="F1108" s="3" t="str">
        <f aca="false">Raw_Data!E1108</f>
        <v>no</v>
      </c>
      <c r="G1108" s="3" t="n">
        <f aca="false">Raw_Data!F1108</f>
        <v>137</v>
      </c>
      <c r="H1108" s="3" t="str">
        <f aca="false">Raw_Data!G1108</f>
        <v>no</v>
      </c>
      <c r="I1108" s="3" t="str">
        <f aca="false">Raw_Data!H1108</f>
        <v>yes</v>
      </c>
      <c r="J1108" s="2" t="n">
        <f aca="false">IF(F1108="yes",1,0)</f>
        <v>0</v>
      </c>
      <c r="K1108" s="2" t="n">
        <f aca="false">IF(H1108="yes",1,0)</f>
        <v>0</v>
      </c>
      <c r="L1108" s="2" t="n">
        <f aca="false">IF(I1108="yes",1,0)</f>
        <v>1</v>
      </c>
      <c r="M1108" s="2" t="n">
        <f aca="false">IF(G1108&lt;0,1,0)</f>
        <v>0</v>
      </c>
      <c r="N1108" s="2" t="str">
        <f aca="false">_xlfn.IFS(B1108&lt;30,"Under 30",B1108&lt;40,"30-39",B1108&lt;50,"40-49",B1108&lt;60,"50-59",TRUE(),"60+")</f>
        <v>30-39</v>
      </c>
      <c r="O1108" s="2" t="str">
        <f aca="false">_xlfn.IFS(G1108&lt;0,"1 Negative",G1108=0,"2 Zero",G1108&lt;=500,"3 1-500",G1108&lt;=2000,"4 501-2000",TRUE(),"5 Above 2000")</f>
        <v>3 1-500</v>
      </c>
      <c r="P1108" s="2" t="n">
        <f aca="false">Lookups!$B$2*M1108+Lookups!$B$3*L1108</f>
        <v>1</v>
      </c>
      <c r="Q1108" s="2" t="str">
        <f aca="false">INDEX(Lookups!$E$2:$E$5,MATCH(P1108,Lookups!$D$2:$D$5,0))</f>
        <v>Medium</v>
      </c>
    </row>
    <row r="1109" customFormat="false" ht="15" hidden="false" customHeight="false" outlineLevel="0" collapsed="false">
      <c r="A1109" s="3" t="n">
        <v>1108</v>
      </c>
      <c r="B1109" s="3" t="n">
        <f aca="false">Raw_Data!A1109</f>
        <v>34</v>
      </c>
      <c r="C1109" s="3" t="str">
        <f aca="false">SUBSTITUTE(Raw_Data!B1109,".","")</f>
        <v>blue-collar</v>
      </c>
      <c r="D1109" s="3" t="str">
        <f aca="false">Raw_Data!C1109</f>
        <v>single</v>
      </c>
      <c r="E1109" s="3" t="str">
        <f aca="false">Raw_Data!D1109</f>
        <v>secondary</v>
      </c>
      <c r="F1109" s="3" t="str">
        <f aca="false">Raw_Data!E1109</f>
        <v>no</v>
      </c>
      <c r="G1109" s="3" t="n">
        <f aca="false">Raw_Data!F1109</f>
        <v>1239</v>
      </c>
      <c r="H1109" s="3" t="str">
        <f aca="false">Raw_Data!G1109</f>
        <v>yes</v>
      </c>
      <c r="I1109" s="3" t="str">
        <f aca="false">Raw_Data!H1109</f>
        <v>no</v>
      </c>
      <c r="J1109" s="2" t="n">
        <f aca="false">IF(F1109="yes",1,0)</f>
        <v>0</v>
      </c>
      <c r="K1109" s="2" t="n">
        <f aca="false">IF(H1109="yes",1,0)</f>
        <v>1</v>
      </c>
      <c r="L1109" s="2" t="n">
        <f aca="false">IF(I1109="yes",1,0)</f>
        <v>0</v>
      </c>
      <c r="M1109" s="2" t="n">
        <f aca="false">IF(G1109&lt;0,1,0)</f>
        <v>0</v>
      </c>
      <c r="N1109" s="2" t="str">
        <f aca="false">_xlfn.IFS(B1109&lt;30,"Under 30",B1109&lt;40,"30-39",B1109&lt;50,"40-49",B1109&lt;60,"50-59",TRUE(),"60+")</f>
        <v>30-39</v>
      </c>
      <c r="O1109" s="2" t="str">
        <f aca="false">_xlfn.IFS(G1109&lt;0,"1 Negative",G1109=0,"2 Zero",G1109&lt;=500,"3 1-500",G1109&lt;=2000,"4 501-2000",TRUE(),"5 Above 2000")</f>
        <v>4 501-2000</v>
      </c>
      <c r="P1109" s="2" t="n">
        <f aca="false">Lookups!$B$2*M1109+Lookups!$B$3*L1109</f>
        <v>0</v>
      </c>
      <c r="Q1109" s="2" t="str">
        <f aca="false">INDEX(Lookups!$E$2:$E$5,MATCH(P1109,Lookups!$D$2:$D$5,0))</f>
        <v>Low</v>
      </c>
    </row>
    <row r="1110" customFormat="false" ht="15" hidden="false" customHeight="false" outlineLevel="0" collapsed="false">
      <c r="A1110" s="3" t="n">
        <v>1109</v>
      </c>
      <c r="B1110" s="3" t="n">
        <f aca="false">Raw_Data!A1110</f>
        <v>43</v>
      </c>
      <c r="C1110" s="3" t="str">
        <f aca="false">SUBSTITUTE(Raw_Data!B1110,".","")</f>
        <v>management</v>
      </c>
      <c r="D1110" s="3" t="str">
        <f aca="false">Raw_Data!C1110</f>
        <v>single</v>
      </c>
      <c r="E1110" s="3" t="str">
        <f aca="false">Raw_Data!D1110</f>
        <v>tertiary</v>
      </c>
      <c r="F1110" s="3" t="str">
        <f aca="false">Raw_Data!E1110</f>
        <v>no</v>
      </c>
      <c r="G1110" s="3" t="n">
        <f aca="false">Raw_Data!F1110</f>
        <v>146</v>
      </c>
      <c r="H1110" s="3" t="str">
        <f aca="false">Raw_Data!G1110</f>
        <v>no</v>
      </c>
      <c r="I1110" s="3" t="str">
        <f aca="false">Raw_Data!H1110</f>
        <v>no</v>
      </c>
      <c r="J1110" s="2" t="n">
        <f aca="false">IF(F1110="yes",1,0)</f>
        <v>0</v>
      </c>
      <c r="K1110" s="2" t="n">
        <f aca="false">IF(H1110="yes",1,0)</f>
        <v>0</v>
      </c>
      <c r="L1110" s="2" t="n">
        <f aca="false">IF(I1110="yes",1,0)</f>
        <v>0</v>
      </c>
      <c r="M1110" s="2" t="n">
        <f aca="false">IF(G1110&lt;0,1,0)</f>
        <v>0</v>
      </c>
      <c r="N1110" s="2" t="str">
        <f aca="false">_xlfn.IFS(B1110&lt;30,"Under 30",B1110&lt;40,"30-39",B1110&lt;50,"40-49",B1110&lt;60,"50-59",TRUE(),"60+")</f>
        <v>40-49</v>
      </c>
      <c r="O1110" s="2" t="str">
        <f aca="false">_xlfn.IFS(G1110&lt;0,"1 Negative",G1110=0,"2 Zero",G1110&lt;=500,"3 1-500",G1110&lt;=2000,"4 501-2000",TRUE(),"5 Above 2000")</f>
        <v>3 1-500</v>
      </c>
      <c r="P1110" s="2" t="n">
        <f aca="false">Lookups!$B$2*M1110+Lookups!$B$3*L1110</f>
        <v>0</v>
      </c>
      <c r="Q1110" s="2" t="str">
        <f aca="false">INDEX(Lookups!$E$2:$E$5,MATCH(P1110,Lookups!$D$2:$D$5,0))</f>
        <v>Low</v>
      </c>
    </row>
    <row r="1111" customFormat="false" ht="15" hidden="false" customHeight="false" outlineLevel="0" collapsed="false">
      <c r="A1111" s="3" t="n">
        <v>1110</v>
      </c>
      <c r="B1111" s="3" t="n">
        <f aca="false">Raw_Data!A1111</f>
        <v>59</v>
      </c>
      <c r="C1111" s="3" t="str">
        <f aca="false">SUBSTITUTE(Raw_Data!B1111,".","")</f>
        <v>technician</v>
      </c>
      <c r="D1111" s="3" t="str">
        <f aca="false">Raw_Data!C1111</f>
        <v>married</v>
      </c>
      <c r="E1111" s="3" t="str">
        <f aca="false">Raw_Data!D1111</f>
        <v>secondary</v>
      </c>
      <c r="F1111" s="3" t="str">
        <f aca="false">Raw_Data!E1111</f>
        <v>no</v>
      </c>
      <c r="G1111" s="3" t="n">
        <f aca="false">Raw_Data!F1111</f>
        <v>1</v>
      </c>
      <c r="H1111" s="3" t="str">
        <f aca="false">Raw_Data!G1111</f>
        <v>no</v>
      </c>
      <c r="I1111" s="3" t="str">
        <f aca="false">Raw_Data!H1111</f>
        <v>no</v>
      </c>
      <c r="J1111" s="2" t="n">
        <f aca="false">IF(F1111="yes",1,0)</f>
        <v>0</v>
      </c>
      <c r="K1111" s="2" t="n">
        <f aca="false">IF(H1111="yes",1,0)</f>
        <v>0</v>
      </c>
      <c r="L1111" s="2" t="n">
        <f aca="false">IF(I1111="yes",1,0)</f>
        <v>0</v>
      </c>
      <c r="M1111" s="2" t="n">
        <f aca="false">IF(G1111&lt;0,1,0)</f>
        <v>0</v>
      </c>
      <c r="N1111" s="2" t="str">
        <f aca="false">_xlfn.IFS(B1111&lt;30,"Under 30",B1111&lt;40,"30-39",B1111&lt;50,"40-49",B1111&lt;60,"50-59",TRUE(),"60+")</f>
        <v>50-59</v>
      </c>
      <c r="O1111" s="2" t="str">
        <f aca="false">_xlfn.IFS(G1111&lt;0,"1 Negative",G1111=0,"2 Zero",G1111&lt;=500,"3 1-500",G1111&lt;=2000,"4 501-2000",TRUE(),"5 Above 2000")</f>
        <v>3 1-500</v>
      </c>
      <c r="P1111" s="2" t="n">
        <f aca="false">Lookups!$B$2*M1111+Lookups!$B$3*L1111</f>
        <v>0</v>
      </c>
      <c r="Q1111" s="2" t="str">
        <f aca="false">INDEX(Lookups!$E$2:$E$5,MATCH(P1111,Lookups!$D$2:$D$5,0))</f>
        <v>Low</v>
      </c>
    </row>
    <row r="1112" customFormat="false" ht="15" hidden="false" customHeight="false" outlineLevel="0" collapsed="false">
      <c r="A1112" s="3" t="n">
        <v>1111</v>
      </c>
      <c r="B1112" s="3" t="n">
        <f aca="false">Raw_Data!A1112</f>
        <v>50</v>
      </c>
      <c r="C1112" s="3" t="str">
        <f aca="false">SUBSTITUTE(Raw_Data!B1112,".","")</f>
        <v>blue-collar</v>
      </c>
      <c r="D1112" s="3" t="str">
        <f aca="false">Raw_Data!C1112</f>
        <v>divorced</v>
      </c>
      <c r="E1112" s="3" t="str">
        <f aca="false">Raw_Data!D1112</f>
        <v>primary</v>
      </c>
      <c r="F1112" s="3" t="str">
        <f aca="false">Raw_Data!E1112</f>
        <v>no</v>
      </c>
      <c r="G1112" s="3" t="n">
        <f aca="false">Raw_Data!F1112</f>
        <v>-10</v>
      </c>
      <c r="H1112" s="3" t="str">
        <f aca="false">Raw_Data!G1112</f>
        <v>no</v>
      </c>
      <c r="I1112" s="3" t="str">
        <f aca="false">Raw_Data!H1112</f>
        <v>yes</v>
      </c>
      <c r="J1112" s="2" t="n">
        <f aca="false">IF(F1112="yes",1,0)</f>
        <v>0</v>
      </c>
      <c r="K1112" s="2" t="n">
        <f aca="false">IF(H1112="yes",1,0)</f>
        <v>0</v>
      </c>
      <c r="L1112" s="2" t="n">
        <f aca="false">IF(I1112="yes",1,0)</f>
        <v>1</v>
      </c>
      <c r="M1112" s="2" t="n">
        <f aca="false">IF(G1112&lt;0,1,0)</f>
        <v>1</v>
      </c>
      <c r="N1112" s="2" t="str">
        <f aca="false">_xlfn.IFS(B1112&lt;30,"Under 30",B1112&lt;40,"30-39",B1112&lt;50,"40-49",B1112&lt;60,"50-59",TRUE(),"60+")</f>
        <v>50-59</v>
      </c>
      <c r="O1112" s="2" t="str">
        <f aca="false">_xlfn.IFS(G1112&lt;0,"1 Negative",G1112=0,"2 Zero",G1112&lt;=500,"3 1-500",G1112&lt;=2000,"4 501-2000",TRUE(),"5 Above 2000")</f>
        <v>1 Negative</v>
      </c>
      <c r="P1112" s="2" t="n">
        <f aca="false">Lookups!$B$2*M1112+Lookups!$B$3*L1112</f>
        <v>3</v>
      </c>
      <c r="Q1112" s="2" t="str">
        <f aca="false">INDEX(Lookups!$E$2:$E$5,MATCH(P1112,Lookups!$D$2:$D$5,0))</f>
        <v>High</v>
      </c>
    </row>
    <row r="1113" customFormat="false" ht="15" hidden="false" customHeight="false" outlineLevel="0" collapsed="false">
      <c r="A1113" s="3" t="n">
        <v>1112</v>
      </c>
      <c r="B1113" s="3" t="n">
        <f aca="false">Raw_Data!A1113</f>
        <v>37</v>
      </c>
      <c r="C1113" s="3" t="str">
        <f aca="false">SUBSTITUTE(Raw_Data!B1113,".","")</f>
        <v>technician</v>
      </c>
      <c r="D1113" s="3" t="str">
        <f aca="false">Raw_Data!C1113</f>
        <v>married</v>
      </c>
      <c r="E1113" s="3" t="str">
        <f aca="false">Raw_Data!D1113</f>
        <v>secondary</v>
      </c>
      <c r="F1113" s="3" t="str">
        <f aca="false">Raw_Data!E1113</f>
        <v>no</v>
      </c>
      <c r="G1113" s="3" t="n">
        <f aca="false">Raw_Data!F1113</f>
        <v>480</v>
      </c>
      <c r="H1113" s="3" t="str">
        <f aca="false">Raw_Data!G1113</f>
        <v>no</v>
      </c>
      <c r="I1113" s="3" t="str">
        <f aca="false">Raw_Data!H1113</f>
        <v>no</v>
      </c>
      <c r="J1113" s="2" t="n">
        <f aca="false">IF(F1113="yes",1,0)</f>
        <v>0</v>
      </c>
      <c r="K1113" s="2" t="n">
        <f aca="false">IF(H1113="yes",1,0)</f>
        <v>0</v>
      </c>
      <c r="L1113" s="2" t="n">
        <f aca="false">IF(I1113="yes",1,0)</f>
        <v>0</v>
      </c>
      <c r="M1113" s="2" t="n">
        <f aca="false">IF(G1113&lt;0,1,0)</f>
        <v>0</v>
      </c>
      <c r="N1113" s="2" t="str">
        <f aca="false">_xlfn.IFS(B1113&lt;30,"Under 30",B1113&lt;40,"30-39",B1113&lt;50,"40-49",B1113&lt;60,"50-59",TRUE(),"60+")</f>
        <v>30-39</v>
      </c>
      <c r="O1113" s="2" t="str">
        <f aca="false">_xlfn.IFS(G1113&lt;0,"1 Negative",G1113=0,"2 Zero",G1113&lt;=500,"3 1-500",G1113&lt;=2000,"4 501-2000",TRUE(),"5 Above 2000")</f>
        <v>3 1-500</v>
      </c>
      <c r="P1113" s="2" t="n">
        <f aca="false">Lookups!$B$2*M1113+Lookups!$B$3*L1113</f>
        <v>0</v>
      </c>
      <c r="Q1113" s="2" t="str">
        <f aca="false">INDEX(Lookups!$E$2:$E$5,MATCH(P1113,Lookups!$D$2:$D$5,0))</f>
        <v>Low</v>
      </c>
    </row>
    <row r="1114" customFormat="false" ht="15" hidden="false" customHeight="false" outlineLevel="0" collapsed="false">
      <c r="A1114" s="3" t="n">
        <v>1113</v>
      </c>
      <c r="B1114" s="3" t="n">
        <f aca="false">Raw_Data!A1114</f>
        <v>35</v>
      </c>
      <c r="C1114" s="3" t="str">
        <f aca="false">SUBSTITUTE(Raw_Data!B1114,".","")</f>
        <v>technician</v>
      </c>
      <c r="D1114" s="3" t="str">
        <f aca="false">Raw_Data!C1114</f>
        <v>married</v>
      </c>
      <c r="E1114" s="3" t="str">
        <f aca="false">Raw_Data!D1114</f>
        <v>secondary</v>
      </c>
      <c r="F1114" s="3" t="str">
        <f aca="false">Raw_Data!E1114</f>
        <v>no</v>
      </c>
      <c r="G1114" s="3" t="n">
        <f aca="false">Raw_Data!F1114</f>
        <v>2789</v>
      </c>
      <c r="H1114" s="3" t="str">
        <f aca="false">Raw_Data!G1114</f>
        <v>yes</v>
      </c>
      <c r="I1114" s="3" t="str">
        <f aca="false">Raw_Data!H1114</f>
        <v>no</v>
      </c>
      <c r="J1114" s="2" t="n">
        <f aca="false">IF(F1114="yes",1,0)</f>
        <v>0</v>
      </c>
      <c r="K1114" s="2" t="n">
        <f aca="false">IF(H1114="yes",1,0)</f>
        <v>1</v>
      </c>
      <c r="L1114" s="2" t="n">
        <f aca="false">IF(I1114="yes",1,0)</f>
        <v>0</v>
      </c>
      <c r="M1114" s="2" t="n">
        <f aca="false">IF(G1114&lt;0,1,0)</f>
        <v>0</v>
      </c>
      <c r="N1114" s="2" t="str">
        <f aca="false">_xlfn.IFS(B1114&lt;30,"Under 30",B1114&lt;40,"30-39",B1114&lt;50,"40-49",B1114&lt;60,"50-59",TRUE(),"60+")</f>
        <v>30-39</v>
      </c>
      <c r="O1114" s="2" t="str">
        <f aca="false">_xlfn.IFS(G1114&lt;0,"1 Negative",G1114=0,"2 Zero",G1114&lt;=500,"3 1-500",G1114&lt;=2000,"4 501-2000",TRUE(),"5 Above 2000")</f>
        <v>5 Above 2000</v>
      </c>
      <c r="P1114" s="2" t="n">
        <f aca="false">Lookups!$B$2*M1114+Lookups!$B$3*L1114</f>
        <v>0</v>
      </c>
      <c r="Q1114" s="2" t="str">
        <f aca="false">INDEX(Lookups!$E$2:$E$5,MATCH(P1114,Lookups!$D$2:$D$5,0))</f>
        <v>Low</v>
      </c>
    </row>
    <row r="1115" customFormat="false" ht="15" hidden="false" customHeight="false" outlineLevel="0" collapsed="false">
      <c r="A1115" s="3" t="n">
        <v>1114</v>
      </c>
      <c r="B1115" s="3" t="n">
        <f aca="false">Raw_Data!A1115</f>
        <v>50</v>
      </c>
      <c r="C1115" s="3" t="str">
        <f aca="false">SUBSTITUTE(Raw_Data!B1115,".","")</f>
        <v>technician</v>
      </c>
      <c r="D1115" s="3" t="str">
        <f aca="false">Raw_Data!C1115</f>
        <v>single</v>
      </c>
      <c r="E1115" s="3" t="str">
        <f aca="false">Raw_Data!D1115</f>
        <v>secondary</v>
      </c>
      <c r="F1115" s="3" t="str">
        <f aca="false">Raw_Data!E1115</f>
        <v>no</v>
      </c>
      <c r="G1115" s="3" t="n">
        <f aca="false">Raw_Data!F1115</f>
        <v>3897</v>
      </c>
      <c r="H1115" s="3" t="str">
        <f aca="false">Raw_Data!G1115</f>
        <v>no</v>
      </c>
      <c r="I1115" s="3" t="str">
        <f aca="false">Raw_Data!H1115</f>
        <v>no</v>
      </c>
      <c r="J1115" s="2" t="n">
        <f aca="false">IF(F1115="yes",1,0)</f>
        <v>0</v>
      </c>
      <c r="K1115" s="2" t="n">
        <f aca="false">IF(H1115="yes",1,0)</f>
        <v>0</v>
      </c>
      <c r="L1115" s="2" t="n">
        <f aca="false">IF(I1115="yes",1,0)</f>
        <v>0</v>
      </c>
      <c r="M1115" s="2" t="n">
        <f aca="false">IF(G1115&lt;0,1,0)</f>
        <v>0</v>
      </c>
      <c r="N1115" s="2" t="str">
        <f aca="false">_xlfn.IFS(B1115&lt;30,"Under 30",B1115&lt;40,"30-39",B1115&lt;50,"40-49",B1115&lt;60,"50-59",TRUE(),"60+")</f>
        <v>50-59</v>
      </c>
      <c r="O1115" s="2" t="str">
        <f aca="false">_xlfn.IFS(G1115&lt;0,"1 Negative",G1115=0,"2 Zero",G1115&lt;=500,"3 1-500",G1115&lt;=2000,"4 501-2000",TRUE(),"5 Above 2000")</f>
        <v>5 Above 2000</v>
      </c>
      <c r="P1115" s="2" t="n">
        <f aca="false">Lookups!$B$2*M1115+Lookups!$B$3*L1115</f>
        <v>0</v>
      </c>
      <c r="Q1115" s="2" t="str">
        <f aca="false">INDEX(Lookups!$E$2:$E$5,MATCH(P1115,Lookups!$D$2:$D$5,0))</f>
        <v>Low</v>
      </c>
    </row>
    <row r="1116" customFormat="false" ht="15" hidden="false" customHeight="false" outlineLevel="0" collapsed="false">
      <c r="A1116" s="3" t="n">
        <v>1115</v>
      </c>
      <c r="B1116" s="3" t="n">
        <f aca="false">Raw_Data!A1116</f>
        <v>36</v>
      </c>
      <c r="C1116" s="3" t="str">
        <f aca="false">SUBSTITUTE(Raw_Data!B1116,".","")</f>
        <v>technician</v>
      </c>
      <c r="D1116" s="3" t="str">
        <f aca="false">Raw_Data!C1116</f>
        <v>divorced</v>
      </c>
      <c r="E1116" s="3" t="str">
        <f aca="false">Raw_Data!D1116</f>
        <v>secondary</v>
      </c>
      <c r="F1116" s="3" t="str">
        <f aca="false">Raw_Data!E1116</f>
        <v>no</v>
      </c>
      <c r="G1116" s="3" t="n">
        <f aca="false">Raw_Data!F1116</f>
        <v>487</v>
      </c>
      <c r="H1116" s="3" t="str">
        <f aca="false">Raw_Data!G1116</f>
        <v>no</v>
      </c>
      <c r="I1116" s="3" t="str">
        <f aca="false">Raw_Data!H1116</f>
        <v>yes</v>
      </c>
      <c r="J1116" s="2" t="n">
        <f aca="false">IF(F1116="yes",1,0)</f>
        <v>0</v>
      </c>
      <c r="K1116" s="2" t="n">
        <f aca="false">IF(H1116="yes",1,0)</f>
        <v>0</v>
      </c>
      <c r="L1116" s="2" t="n">
        <f aca="false">IF(I1116="yes",1,0)</f>
        <v>1</v>
      </c>
      <c r="M1116" s="2" t="n">
        <f aca="false">IF(G1116&lt;0,1,0)</f>
        <v>0</v>
      </c>
      <c r="N1116" s="2" t="str">
        <f aca="false">_xlfn.IFS(B1116&lt;30,"Under 30",B1116&lt;40,"30-39",B1116&lt;50,"40-49",B1116&lt;60,"50-59",TRUE(),"60+")</f>
        <v>30-39</v>
      </c>
      <c r="O1116" s="2" t="str">
        <f aca="false">_xlfn.IFS(G1116&lt;0,"1 Negative",G1116=0,"2 Zero",G1116&lt;=500,"3 1-500",G1116&lt;=2000,"4 501-2000",TRUE(),"5 Above 2000")</f>
        <v>3 1-500</v>
      </c>
      <c r="P1116" s="2" t="n">
        <f aca="false">Lookups!$B$2*M1116+Lookups!$B$3*L1116</f>
        <v>1</v>
      </c>
      <c r="Q1116" s="2" t="str">
        <f aca="false">INDEX(Lookups!$E$2:$E$5,MATCH(P1116,Lookups!$D$2:$D$5,0))</f>
        <v>Medium</v>
      </c>
    </row>
    <row r="1117" customFormat="false" ht="15" hidden="false" customHeight="false" outlineLevel="0" collapsed="false">
      <c r="A1117" s="3" t="n">
        <v>1116</v>
      </c>
      <c r="B1117" s="3" t="n">
        <f aca="false">Raw_Data!A1117</f>
        <v>41</v>
      </c>
      <c r="C1117" s="3" t="str">
        <f aca="false">SUBSTITUTE(Raw_Data!B1117,".","")</f>
        <v>admin</v>
      </c>
      <c r="D1117" s="3" t="str">
        <f aca="false">Raw_Data!C1117</f>
        <v>married</v>
      </c>
      <c r="E1117" s="3" t="str">
        <f aca="false">Raw_Data!D1117</f>
        <v>secondary</v>
      </c>
      <c r="F1117" s="3" t="str">
        <f aca="false">Raw_Data!E1117</f>
        <v>no</v>
      </c>
      <c r="G1117" s="3" t="n">
        <f aca="false">Raw_Data!F1117</f>
        <v>5110</v>
      </c>
      <c r="H1117" s="3" t="str">
        <f aca="false">Raw_Data!G1117</f>
        <v>yes</v>
      </c>
      <c r="I1117" s="3" t="str">
        <f aca="false">Raw_Data!H1117</f>
        <v>no</v>
      </c>
      <c r="J1117" s="2" t="n">
        <f aca="false">IF(F1117="yes",1,0)</f>
        <v>0</v>
      </c>
      <c r="K1117" s="2" t="n">
        <f aca="false">IF(H1117="yes",1,0)</f>
        <v>1</v>
      </c>
      <c r="L1117" s="2" t="n">
        <f aca="false">IF(I1117="yes",1,0)</f>
        <v>0</v>
      </c>
      <c r="M1117" s="2" t="n">
        <f aca="false">IF(G1117&lt;0,1,0)</f>
        <v>0</v>
      </c>
      <c r="N1117" s="2" t="str">
        <f aca="false">_xlfn.IFS(B1117&lt;30,"Under 30",B1117&lt;40,"30-39",B1117&lt;50,"40-49",B1117&lt;60,"50-59",TRUE(),"60+")</f>
        <v>40-49</v>
      </c>
      <c r="O1117" s="2" t="str">
        <f aca="false">_xlfn.IFS(G1117&lt;0,"1 Negative",G1117=0,"2 Zero",G1117&lt;=500,"3 1-500",G1117&lt;=2000,"4 501-2000",TRUE(),"5 Above 2000")</f>
        <v>5 Above 2000</v>
      </c>
      <c r="P1117" s="2" t="n">
        <f aca="false">Lookups!$B$2*M1117+Lookups!$B$3*L1117</f>
        <v>0</v>
      </c>
      <c r="Q1117" s="2" t="str">
        <f aca="false">INDEX(Lookups!$E$2:$E$5,MATCH(P1117,Lookups!$D$2:$D$5,0))</f>
        <v>Low</v>
      </c>
    </row>
    <row r="1118" customFormat="false" ht="15" hidden="false" customHeight="false" outlineLevel="0" collapsed="false">
      <c r="A1118" s="3" t="n">
        <v>1117</v>
      </c>
      <c r="B1118" s="3" t="n">
        <f aca="false">Raw_Data!A1118</f>
        <v>28</v>
      </c>
      <c r="C1118" s="3" t="str">
        <f aca="false">SUBSTITUTE(Raw_Data!B1118,".","")</f>
        <v>management</v>
      </c>
      <c r="D1118" s="3" t="str">
        <f aca="false">Raw_Data!C1118</f>
        <v>married</v>
      </c>
      <c r="E1118" s="3" t="str">
        <f aca="false">Raw_Data!D1118</f>
        <v>tertiary</v>
      </c>
      <c r="F1118" s="3" t="str">
        <f aca="false">Raw_Data!E1118</f>
        <v>no</v>
      </c>
      <c r="G1118" s="3" t="n">
        <f aca="false">Raw_Data!F1118</f>
        <v>318</v>
      </c>
      <c r="H1118" s="3" t="str">
        <f aca="false">Raw_Data!G1118</f>
        <v>yes</v>
      </c>
      <c r="I1118" s="3" t="str">
        <f aca="false">Raw_Data!H1118</f>
        <v>no</v>
      </c>
      <c r="J1118" s="2" t="n">
        <f aca="false">IF(F1118="yes",1,0)</f>
        <v>0</v>
      </c>
      <c r="K1118" s="2" t="n">
        <f aca="false">IF(H1118="yes",1,0)</f>
        <v>1</v>
      </c>
      <c r="L1118" s="2" t="n">
        <f aca="false">IF(I1118="yes",1,0)</f>
        <v>0</v>
      </c>
      <c r="M1118" s="2" t="n">
        <f aca="false">IF(G1118&lt;0,1,0)</f>
        <v>0</v>
      </c>
      <c r="N1118" s="2" t="str">
        <f aca="false">_xlfn.IFS(B1118&lt;30,"Under 30",B1118&lt;40,"30-39",B1118&lt;50,"40-49",B1118&lt;60,"50-59",TRUE(),"60+")</f>
        <v>Under 30</v>
      </c>
      <c r="O1118" s="2" t="str">
        <f aca="false">_xlfn.IFS(G1118&lt;0,"1 Negative",G1118=0,"2 Zero",G1118&lt;=500,"3 1-500",G1118&lt;=2000,"4 501-2000",TRUE(),"5 Above 2000")</f>
        <v>3 1-500</v>
      </c>
      <c r="P1118" s="2" t="n">
        <f aca="false">Lookups!$B$2*M1118+Lookups!$B$3*L1118</f>
        <v>0</v>
      </c>
      <c r="Q1118" s="2" t="str">
        <f aca="false">INDEX(Lookups!$E$2:$E$5,MATCH(P1118,Lookups!$D$2:$D$5,0))</f>
        <v>Low</v>
      </c>
    </row>
    <row r="1119" customFormat="false" ht="15" hidden="false" customHeight="false" outlineLevel="0" collapsed="false">
      <c r="A1119" s="3" t="n">
        <v>1118</v>
      </c>
      <c r="B1119" s="3" t="n">
        <f aca="false">Raw_Data!A1119</f>
        <v>42</v>
      </c>
      <c r="C1119" s="3" t="str">
        <f aca="false">SUBSTITUTE(Raw_Data!B1119,".","")</f>
        <v>technician</v>
      </c>
      <c r="D1119" s="3" t="str">
        <f aca="false">Raw_Data!C1119</f>
        <v>single</v>
      </c>
      <c r="E1119" s="3" t="str">
        <f aca="false">Raw_Data!D1119</f>
        <v>tertiary</v>
      </c>
      <c r="F1119" s="3" t="str">
        <f aca="false">Raw_Data!E1119</f>
        <v>no</v>
      </c>
      <c r="G1119" s="3" t="n">
        <f aca="false">Raw_Data!F1119</f>
        <v>-411</v>
      </c>
      <c r="H1119" s="3" t="str">
        <f aca="false">Raw_Data!G1119</f>
        <v>yes</v>
      </c>
      <c r="I1119" s="3" t="str">
        <f aca="false">Raw_Data!H1119</f>
        <v>no</v>
      </c>
      <c r="J1119" s="2" t="n">
        <f aca="false">IF(F1119="yes",1,0)</f>
        <v>0</v>
      </c>
      <c r="K1119" s="2" t="n">
        <f aca="false">IF(H1119="yes",1,0)</f>
        <v>1</v>
      </c>
      <c r="L1119" s="2" t="n">
        <f aca="false">IF(I1119="yes",1,0)</f>
        <v>0</v>
      </c>
      <c r="M1119" s="2" t="n">
        <f aca="false">IF(G1119&lt;0,1,0)</f>
        <v>1</v>
      </c>
      <c r="N1119" s="2" t="str">
        <f aca="false">_xlfn.IFS(B1119&lt;30,"Under 30",B1119&lt;40,"30-39",B1119&lt;50,"40-49",B1119&lt;60,"50-59",TRUE(),"60+")</f>
        <v>40-49</v>
      </c>
      <c r="O1119" s="2" t="str">
        <f aca="false">_xlfn.IFS(G1119&lt;0,"1 Negative",G1119=0,"2 Zero",G1119&lt;=500,"3 1-500",G1119&lt;=2000,"4 501-2000",TRUE(),"5 Above 2000")</f>
        <v>1 Negative</v>
      </c>
      <c r="P1119" s="2" t="n">
        <f aca="false">Lookups!$B$2*M1119+Lookups!$B$3*L1119</f>
        <v>2</v>
      </c>
      <c r="Q1119" s="2" t="str">
        <f aca="false">INDEX(Lookups!$E$2:$E$5,MATCH(P1119,Lookups!$D$2:$D$5,0))</f>
        <v>High</v>
      </c>
    </row>
    <row r="1120" customFormat="false" ht="15" hidden="false" customHeight="false" outlineLevel="0" collapsed="false">
      <c r="A1120" s="3" t="n">
        <v>1119</v>
      </c>
      <c r="B1120" s="3" t="n">
        <f aca="false">Raw_Data!A1120</f>
        <v>60</v>
      </c>
      <c r="C1120" s="3" t="str">
        <f aca="false">SUBSTITUTE(Raw_Data!B1120,".","")</f>
        <v>retired</v>
      </c>
      <c r="D1120" s="3" t="str">
        <f aca="false">Raw_Data!C1120</f>
        <v>married</v>
      </c>
      <c r="E1120" s="3" t="str">
        <f aca="false">Raw_Data!D1120</f>
        <v>secondary</v>
      </c>
      <c r="F1120" s="3" t="str">
        <f aca="false">Raw_Data!E1120</f>
        <v>no</v>
      </c>
      <c r="G1120" s="3" t="n">
        <f aca="false">Raw_Data!F1120</f>
        <v>4820</v>
      </c>
      <c r="H1120" s="3" t="str">
        <f aca="false">Raw_Data!G1120</f>
        <v>no</v>
      </c>
      <c r="I1120" s="3" t="str">
        <f aca="false">Raw_Data!H1120</f>
        <v>no</v>
      </c>
      <c r="J1120" s="2" t="n">
        <f aca="false">IF(F1120="yes",1,0)</f>
        <v>0</v>
      </c>
      <c r="K1120" s="2" t="n">
        <f aca="false">IF(H1120="yes",1,0)</f>
        <v>0</v>
      </c>
      <c r="L1120" s="2" t="n">
        <f aca="false">IF(I1120="yes",1,0)</f>
        <v>0</v>
      </c>
      <c r="M1120" s="2" t="n">
        <f aca="false">IF(G1120&lt;0,1,0)</f>
        <v>0</v>
      </c>
      <c r="N1120" s="2" t="str">
        <f aca="false">_xlfn.IFS(B1120&lt;30,"Under 30",B1120&lt;40,"30-39",B1120&lt;50,"40-49",B1120&lt;60,"50-59",TRUE(),"60+")</f>
        <v>60+</v>
      </c>
      <c r="O1120" s="2" t="str">
        <f aca="false">_xlfn.IFS(G1120&lt;0,"1 Negative",G1120=0,"2 Zero",G1120&lt;=500,"3 1-500",G1120&lt;=2000,"4 501-2000",TRUE(),"5 Above 2000")</f>
        <v>5 Above 2000</v>
      </c>
      <c r="P1120" s="2" t="n">
        <f aca="false">Lookups!$B$2*M1120+Lookups!$B$3*L1120</f>
        <v>0</v>
      </c>
      <c r="Q1120" s="2" t="str">
        <f aca="false">INDEX(Lookups!$E$2:$E$5,MATCH(P1120,Lookups!$D$2:$D$5,0))</f>
        <v>Low</v>
      </c>
    </row>
    <row r="1121" customFormat="false" ht="15" hidden="false" customHeight="false" outlineLevel="0" collapsed="false">
      <c r="A1121" s="3" t="n">
        <v>1120</v>
      </c>
      <c r="B1121" s="3" t="n">
        <f aca="false">Raw_Data!A1121</f>
        <v>28</v>
      </c>
      <c r="C1121" s="3" t="str">
        <f aca="false">SUBSTITUTE(Raw_Data!B1121,".","")</f>
        <v>management</v>
      </c>
      <c r="D1121" s="3" t="str">
        <f aca="false">Raw_Data!C1121</f>
        <v>single</v>
      </c>
      <c r="E1121" s="3" t="str">
        <f aca="false">Raw_Data!D1121</f>
        <v>tertiary</v>
      </c>
      <c r="F1121" s="3" t="str">
        <f aca="false">Raw_Data!E1121</f>
        <v>no</v>
      </c>
      <c r="G1121" s="3" t="n">
        <f aca="false">Raw_Data!F1121</f>
        <v>4937</v>
      </c>
      <c r="H1121" s="3" t="str">
        <f aca="false">Raw_Data!G1121</f>
        <v>yes</v>
      </c>
      <c r="I1121" s="3" t="str">
        <f aca="false">Raw_Data!H1121</f>
        <v>no</v>
      </c>
      <c r="J1121" s="2" t="n">
        <f aca="false">IF(F1121="yes",1,0)</f>
        <v>0</v>
      </c>
      <c r="K1121" s="2" t="n">
        <f aca="false">IF(H1121="yes",1,0)</f>
        <v>1</v>
      </c>
      <c r="L1121" s="2" t="n">
        <f aca="false">IF(I1121="yes",1,0)</f>
        <v>0</v>
      </c>
      <c r="M1121" s="2" t="n">
        <f aca="false">IF(G1121&lt;0,1,0)</f>
        <v>0</v>
      </c>
      <c r="N1121" s="2" t="str">
        <f aca="false">_xlfn.IFS(B1121&lt;30,"Under 30",B1121&lt;40,"30-39",B1121&lt;50,"40-49",B1121&lt;60,"50-59",TRUE(),"60+")</f>
        <v>Under 30</v>
      </c>
      <c r="O1121" s="2" t="str">
        <f aca="false">_xlfn.IFS(G1121&lt;0,"1 Negative",G1121=0,"2 Zero",G1121&lt;=500,"3 1-500",G1121&lt;=2000,"4 501-2000",TRUE(),"5 Above 2000")</f>
        <v>5 Above 2000</v>
      </c>
      <c r="P1121" s="2" t="n">
        <f aca="false">Lookups!$B$2*M1121+Lookups!$B$3*L1121</f>
        <v>0</v>
      </c>
      <c r="Q1121" s="2" t="str">
        <f aca="false">INDEX(Lookups!$E$2:$E$5,MATCH(P1121,Lookups!$D$2:$D$5,0))</f>
        <v>Low</v>
      </c>
    </row>
    <row r="1122" customFormat="false" ht="15" hidden="false" customHeight="false" outlineLevel="0" collapsed="false">
      <c r="A1122" s="3" t="n">
        <v>1121</v>
      </c>
      <c r="B1122" s="3" t="n">
        <f aca="false">Raw_Data!A1122</f>
        <v>48</v>
      </c>
      <c r="C1122" s="3" t="str">
        <f aca="false">SUBSTITUTE(Raw_Data!B1122,".","")</f>
        <v>entrepreneur</v>
      </c>
      <c r="D1122" s="3" t="str">
        <f aca="false">Raw_Data!C1122</f>
        <v>married</v>
      </c>
      <c r="E1122" s="3" t="str">
        <f aca="false">Raw_Data!D1122</f>
        <v>secondary</v>
      </c>
      <c r="F1122" s="3" t="str">
        <f aca="false">Raw_Data!E1122</f>
        <v>no</v>
      </c>
      <c r="G1122" s="3" t="n">
        <f aca="false">Raw_Data!F1122</f>
        <v>725</v>
      </c>
      <c r="H1122" s="3" t="str">
        <f aca="false">Raw_Data!G1122</f>
        <v>no</v>
      </c>
      <c r="I1122" s="3" t="str">
        <f aca="false">Raw_Data!H1122</f>
        <v>yes</v>
      </c>
      <c r="J1122" s="2" t="n">
        <f aca="false">IF(F1122="yes",1,0)</f>
        <v>0</v>
      </c>
      <c r="K1122" s="2" t="n">
        <f aca="false">IF(H1122="yes",1,0)</f>
        <v>0</v>
      </c>
      <c r="L1122" s="2" t="n">
        <f aca="false">IF(I1122="yes",1,0)</f>
        <v>1</v>
      </c>
      <c r="M1122" s="2" t="n">
        <f aca="false">IF(G1122&lt;0,1,0)</f>
        <v>0</v>
      </c>
      <c r="N1122" s="2" t="str">
        <f aca="false">_xlfn.IFS(B1122&lt;30,"Under 30",B1122&lt;40,"30-39",B1122&lt;50,"40-49",B1122&lt;60,"50-59",TRUE(),"60+")</f>
        <v>40-49</v>
      </c>
      <c r="O1122" s="2" t="str">
        <f aca="false">_xlfn.IFS(G1122&lt;0,"1 Negative",G1122=0,"2 Zero",G1122&lt;=500,"3 1-500",G1122&lt;=2000,"4 501-2000",TRUE(),"5 Above 2000")</f>
        <v>4 501-2000</v>
      </c>
      <c r="P1122" s="2" t="n">
        <f aca="false">Lookups!$B$2*M1122+Lookups!$B$3*L1122</f>
        <v>1</v>
      </c>
      <c r="Q1122" s="2" t="str">
        <f aca="false">INDEX(Lookups!$E$2:$E$5,MATCH(P1122,Lookups!$D$2:$D$5,0))</f>
        <v>Medium</v>
      </c>
    </row>
    <row r="1123" customFormat="false" ht="15" hidden="false" customHeight="false" outlineLevel="0" collapsed="false">
      <c r="A1123" s="3" t="n">
        <v>1122</v>
      </c>
      <c r="B1123" s="3" t="n">
        <f aca="false">Raw_Data!A1123</f>
        <v>51</v>
      </c>
      <c r="C1123" s="3" t="str">
        <f aca="false">SUBSTITUTE(Raw_Data!B1123,".","")</f>
        <v>entrepreneur</v>
      </c>
      <c r="D1123" s="3" t="str">
        <f aca="false">Raw_Data!C1123</f>
        <v>married</v>
      </c>
      <c r="E1123" s="3" t="str">
        <f aca="false">Raw_Data!D1123</f>
        <v>tertiary</v>
      </c>
      <c r="F1123" s="3" t="str">
        <f aca="false">Raw_Data!E1123</f>
        <v>no</v>
      </c>
      <c r="G1123" s="3" t="n">
        <f aca="false">Raw_Data!F1123</f>
        <v>5403</v>
      </c>
      <c r="H1123" s="3" t="str">
        <f aca="false">Raw_Data!G1123</f>
        <v>no</v>
      </c>
      <c r="I1123" s="3" t="str">
        <f aca="false">Raw_Data!H1123</f>
        <v>no</v>
      </c>
      <c r="J1123" s="2" t="n">
        <f aca="false">IF(F1123="yes",1,0)</f>
        <v>0</v>
      </c>
      <c r="K1123" s="2" t="n">
        <f aca="false">IF(H1123="yes",1,0)</f>
        <v>0</v>
      </c>
      <c r="L1123" s="2" t="n">
        <f aca="false">IF(I1123="yes",1,0)</f>
        <v>0</v>
      </c>
      <c r="M1123" s="2" t="n">
        <f aca="false">IF(G1123&lt;0,1,0)</f>
        <v>0</v>
      </c>
      <c r="N1123" s="2" t="str">
        <f aca="false">_xlfn.IFS(B1123&lt;30,"Under 30",B1123&lt;40,"30-39",B1123&lt;50,"40-49",B1123&lt;60,"50-59",TRUE(),"60+")</f>
        <v>50-59</v>
      </c>
      <c r="O1123" s="2" t="str">
        <f aca="false">_xlfn.IFS(G1123&lt;0,"1 Negative",G1123=0,"2 Zero",G1123&lt;=500,"3 1-500",G1123&lt;=2000,"4 501-2000",TRUE(),"5 Above 2000")</f>
        <v>5 Above 2000</v>
      </c>
      <c r="P1123" s="2" t="n">
        <f aca="false">Lookups!$B$2*M1123+Lookups!$B$3*L1123</f>
        <v>0</v>
      </c>
      <c r="Q1123" s="2" t="str">
        <f aca="false">INDEX(Lookups!$E$2:$E$5,MATCH(P1123,Lookups!$D$2:$D$5,0))</f>
        <v>Low</v>
      </c>
    </row>
    <row r="1124" customFormat="false" ht="15" hidden="false" customHeight="false" outlineLevel="0" collapsed="false">
      <c r="A1124" s="3" t="n">
        <v>1123</v>
      </c>
      <c r="B1124" s="3" t="n">
        <f aca="false">Raw_Data!A1124</f>
        <v>32</v>
      </c>
      <c r="C1124" s="3" t="str">
        <f aca="false">SUBSTITUTE(Raw_Data!B1124,".","")</f>
        <v>technician</v>
      </c>
      <c r="D1124" s="3" t="str">
        <f aca="false">Raw_Data!C1124</f>
        <v>married</v>
      </c>
      <c r="E1124" s="3" t="str">
        <f aca="false">Raw_Data!D1124</f>
        <v>tertiary</v>
      </c>
      <c r="F1124" s="3" t="str">
        <f aca="false">Raw_Data!E1124</f>
        <v>no</v>
      </c>
      <c r="G1124" s="3" t="n">
        <f aca="false">Raw_Data!F1124</f>
        <v>4089</v>
      </c>
      <c r="H1124" s="3" t="str">
        <f aca="false">Raw_Data!G1124</f>
        <v>no</v>
      </c>
      <c r="I1124" s="3" t="str">
        <f aca="false">Raw_Data!H1124</f>
        <v>no</v>
      </c>
      <c r="J1124" s="2" t="n">
        <f aca="false">IF(F1124="yes",1,0)</f>
        <v>0</v>
      </c>
      <c r="K1124" s="2" t="n">
        <f aca="false">IF(H1124="yes",1,0)</f>
        <v>0</v>
      </c>
      <c r="L1124" s="2" t="n">
        <f aca="false">IF(I1124="yes",1,0)</f>
        <v>0</v>
      </c>
      <c r="M1124" s="2" t="n">
        <f aca="false">IF(G1124&lt;0,1,0)</f>
        <v>0</v>
      </c>
      <c r="N1124" s="2" t="str">
        <f aca="false">_xlfn.IFS(B1124&lt;30,"Under 30",B1124&lt;40,"30-39",B1124&lt;50,"40-49",B1124&lt;60,"50-59",TRUE(),"60+")</f>
        <v>30-39</v>
      </c>
      <c r="O1124" s="2" t="str">
        <f aca="false">_xlfn.IFS(G1124&lt;0,"1 Negative",G1124=0,"2 Zero",G1124&lt;=500,"3 1-500",G1124&lt;=2000,"4 501-2000",TRUE(),"5 Above 2000")</f>
        <v>5 Above 2000</v>
      </c>
      <c r="P1124" s="2" t="n">
        <f aca="false">Lookups!$B$2*M1124+Lookups!$B$3*L1124</f>
        <v>0</v>
      </c>
      <c r="Q1124" s="2" t="str">
        <f aca="false">INDEX(Lookups!$E$2:$E$5,MATCH(P1124,Lookups!$D$2:$D$5,0))</f>
        <v>Low</v>
      </c>
    </row>
    <row r="1125" customFormat="false" ht="15" hidden="false" customHeight="false" outlineLevel="0" collapsed="false">
      <c r="A1125" s="3" t="n">
        <v>1124</v>
      </c>
      <c r="B1125" s="3" t="n">
        <f aca="false">Raw_Data!A1125</f>
        <v>35</v>
      </c>
      <c r="C1125" s="3" t="str">
        <f aca="false">SUBSTITUTE(Raw_Data!B1125,".","")</f>
        <v>technician</v>
      </c>
      <c r="D1125" s="3" t="str">
        <f aca="false">Raw_Data!C1125</f>
        <v>married</v>
      </c>
      <c r="E1125" s="3" t="str">
        <f aca="false">Raw_Data!D1125</f>
        <v>tertiary</v>
      </c>
      <c r="F1125" s="3" t="str">
        <f aca="false">Raw_Data!E1125</f>
        <v>no</v>
      </c>
      <c r="G1125" s="3" t="n">
        <f aca="false">Raw_Data!F1125</f>
        <v>188</v>
      </c>
      <c r="H1125" s="3" t="str">
        <f aca="false">Raw_Data!G1125</f>
        <v>no</v>
      </c>
      <c r="I1125" s="3" t="str">
        <f aca="false">Raw_Data!H1125</f>
        <v>no</v>
      </c>
      <c r="J1125" s="2" t="n">
        <f aca="false">IF(F1125="yes",1,0)</f>
        <v>0</v>
      </c>
      <c r="K1125" s="2" t="n">
        <f aca="false">IF(H1125="yes",1,0)</f>
        <v>0</v>
      </c>
      <c r="L1125" s="2" t="n">
        <f aca="false">IF(I1125="yes",1,0)</f>
        <v>0</v>
      </c>
      <c r="M1125" s="2" t="n">
        <f aca="false">IF(G1125&lt;0,1,0)</f>
        <v>0</v>
      </c>
      <c r="N1125" s="2" t="str">
        <f aca="false">_xlfn.IFS(B1125&lt;30,"Under 30",B1125&lt;40,"30-39",B1125&lt;50,"40-49",B1125&lt;60,"50-59",TRUE(),"60+")</f>
        <v>30-39</v>
      </c>
      <c r="O1125" s="2" t="str">
        <f aca="false">_xlfn.IFS(G1125&lt;0,"1 Negative",G1125=0,"2 Zero",G1125&lt;=500,"3 1-500",G1125&lt;=2000,"4 501-2000",TRUE(),"5 Above 2000")</f>
        <v>3 1-500</v>
      </c>
      <c r="P1125" s="2" t="n">
        <f aca="false">Lookups!$B$2*M1125+Lookups!$B$3*L1125</f>
        <v>0</v>
      </c>
      <c r="Q1125" s="2" t="str">
        <f aca="false">INDEX(Lookups!$E$2:$E$5,MATCH(P1125,Lookups!$D$2:$D$5,0))</f>
        <v>Low</v>
      </c>
    </row>
    <row r="1126" customFormat="false" ht="15" hidden="false" customHeight="false" outlineLevel="0" collapsed="false">
      <c r="A1126" s="3" t="n">
        <v>1125</v>
      </c>
      <c r="B1126" s="3" t="n">
        <f aca="false">Raw_Data!A1126</f>
        <v>37</v>
      </c>
      <c r="C1126" s="3" t="str">
        <f aca="false">SUBSTITUTE(Raw_Data!B1126,".","")</f>
        <v>technician</v>
      </c>
      <c r="D1126" s="3" t="str">
        <f aca="false">Raw_Data!C1126</f>
        <v>married</v>
      </c>
      <c r="E1126" s="3" t="str">
        <f aca="false">Raw_Data!D1126</f>
        <v>unknown</v>
      </c>
      <c r="F1126" s="3" t="str">
        <f aca="false">Raw_Data!E1126</f>
        <v>no</v>
      </c>
      <c r="G1126" s="3" t="n">
        <f aca="false">Raw_Data!F1126</f>
        <v>189</v>
      </c>
      <c r="H1126" s="3" t="str">
        <f aca="false">Raw_Data!G1126</f>
        <v>no</v>
      </c>
      <c r="I1126" s="3" t="str">
        <f aca="false">Raw_Data!H1126</f>
        <v>no</v>
      </c>
      <c r="J1126" s="2" t="n">
        <f aca="false">IF(F1126="yes",1,0)</f>
        <v>0</v>
      </c>
      <c r="K1126" s="2" t="n">
        <f aca="false">IF(H1126="yes",1,0)</f>
        <v>0</v>
      </c>
      <c r="L1126" s="2" t="n">
        <f aca="false">IF(I1126="yes",1,0)</f>
        <v>0</v>
      </c>
      <c r="M1126" s="2" t="n">
        <f aca="false">IF(G1126&lt;0,1,0)</f>
        <v>0</v>
      </c>
      <c r="N1126" s="2" t="str">
        <f aca="false">_xlfn.IFS(B1126&lt;30,"Under 30",B1126&lt;40,"30-39",B1126&lt;50,"40-49",B1126&lt;60,"50-59",TRUE(),"60+")</f>
        <v>30-39</v>
      </c>
      <c r="O1126" s="2" t="str">
        <f aca="false">_xlfn.IFS(G1126&lt;0,"1 Negative",G1126=0,"2 Zero",G1126&lt;=500,"3 1-500",G1126&lt;=2000,"4 501-2000",TRUE(),"5 Above 2000")</f>
        <v>3 1-500</v>
      </c>
      <c r="P1126" s="2" t="n">
        <f aca="false">Lookups!$B$2*M1126+Lookups!$B$3*L1126</f>
        <v>0</v>
      </c>
      <c r="Q1126" s="2" t="str">
        <f aca="false">INDEX(Lookups!$E$2:$E$5,MATCH(P1126,Lookups!$D$2:$D$5,0))</f>
        <v>Low</v>
      </c>
    </row>
    <row r="1127" customFormat="false" ht="15" hidden="false" customHeight="false" outlineLevel="0" collapsed="false">
      <c r="A1127" s="3" t="n">
        <v>1126</v>
      </c>
      <c r="B1127" s="3" t="n">
        <f aca="false">Raw_Data!A1127</f>
        <v>38</v>
      </c>
      <c r="C1127" s="3" t="str">
        <f aca="false">SUBSTITUTE(Raw_Data!B1127,".","")</f>
        <v>blue-collar</v>
      </c>
      <c r="D1127" s="3" t="str">
        <f aca="false">Raw_Data!C1127</f>
        <v>divorced</v>
      </c>
      <c r="E1127" s="3" t="str">
        <f aca="false">Raw_Data!D1127</f>
        <v>secondary</v>
      </c>
      <c r="F1127" s="3" t="str">
        <f aca="false">Raw_Data!E1127</f>
        <v>no</v>
      </c>
      <c r="G1127" s="3" t="n">
        <f aca="false">Raw_Data!F1127</f>
        <v>2998</v>
      </c>
      <c r="H1127" s="3" t="str">
        <f aca="false">Raw_Data!G1127</f>
        <v>yes</v>
      </c>
      <c r="I1127" s="3" t="str">
        <f aca="false">Raw_Data!H1127</f>
        <v>no</v>
      </c>
      <c r="J1127" s="2" t="n">
        <f aca="false">IF(F1127="yes",1,0)</f>
        <v>0</v>
      </c>
      <c r="K1127" s="2" t="n">
        <f aca="false">IF(H1127="yes",1,0)</f>
        <v>1</v>
      </c>
      <c r="L1127" s="2" t="n">
        <f aca="false">IF(I1127="yes",1,0)</f>
        <v>0</v>
      </c>
      <c r="M1127" s="2" t="n">
        <f aca="false">IF(G1127&lt;0,1,0)</f>
        <v>0</v>
      </c>
      <c r="N1127" s="2" t="str">
        <f aca="false">_xlfn.IFS(B1127&lt;30,"Under 30",B1127&lt;40,"30-39",B1127&lt;50,"40-49",B1127&lt;60,"50-59",TRUE(),"60+")</f>
        <v>30-39</v>
      </c>
      <c r="O1127" s="2" t="str">
        <f aca="false">_xlfn.IFS(G1127&lt;0,"1 Negative",G1127=0,"2 Zero",G1127&lt;=500,"3 1-500",G1127&lt;=2000,"4 501-2000",TRUE(),"5 Above 2000")</f>
        <v>5 Above 2000</v>
      </c>
      <c r="P1127" s="2" t="n">
        <f aca="false">Lookups!$B$2*M1127+Lookups!$B$3*L1127</f>
        <v>0</v>
      </c>
      <c r="Q1127" s="2" t="str">
        <f aca="false">INDEX(Lookups!$E$2:$E$5,MATCH(P1127,Lookups!$D$2:$D$5,0))</f>
        <v>Low</v>
      </c>
    </row>
    <row r="1128" customFormat="false" ht="15" hidden="false" customHeight="false" outlineLevel="0" collapsed="false">
      <c r="A1128" s="3" t="n">
        <v>1127</v>
      </c>
      <c r="B1128" s="3" t="n">
        <f aca="false">Raw_Data!A1128</f>
        <v>77</v>
      </c>
      <c r="C1128" s="3" t="str">
        <f aca="false">SUBSTITUTE(Raw_Data!B1128,".","")</f>
        <v>retired</v>
      </c>
      <c r="D1128" s="3" t="str">
        <f aca="false">Raw_Data!C1128</f>
        <v>married</v>
      </c>
      <c r="E1128" s="3" t="str">
        <f aca="false">Raw_Data!D1128</f>
        <v>secondary</v>
      </c>
      <c r="F1128" s="3" t="str">
        <f aca="false">Raw_Data!E1128</f>
        <v>no</v>
      </c>
      <c r="G1128" s="3" t="n">
        <f aca="false">Raw_Data!F1128</f>
        <v>610</v>
      </c>
      <c r="H1128" s="3" t="str">
        <f aca="false">Raw_Data!G1128</f>
        <v>no</v>
      </c>
      <c r="I1128" s="3" t="str">
        <f aca="false">Raw_Data!H1128</f>
        <v>no</v>
      </c>
      <c r="J1128" s="2" t="n">
        <f aca="false">IF(F1128="yes",1,0)</f>
        <v>0</v>
      </c>
      <c r="K1128" s="2" t="n">
        <f aca="false">IF(H1128="yes",1,0)</f>
        <v>0</v>
      </c>
      <c r="L1128" s="2" t="n">
        <f aca="false">IF(I1128="yes",1,0)</f>
        <v>0</v>
      </c>
      <c r="M1128" s="2" t="n">
        <f aca="false">IF(G1128&lt;0,1,0)</f>
        <v>0</v>
      </c>
      <c r="N1128" s="2" t="str">
        <f aca="false">_xlfn.IFS(B1128&lt;30,"Under 30",B1128&lt;40,"30-39",B1128&lt;50,"40-49",B1128&lt;60,"50-59",TRUE(),"60+")</f>
        <v>60+</v>
      </c>
      <c r="O1128" s="2" t="str">
        <f aca="false">_xlfn.IFS(G1128&lt;0,"1 Negative",G1128=0,"2 Zero",G1128&lt;=500,"3 1-500",G1128&lt;=2000,"4 501-2000",TRUE(),"5 Above 2000")</f>
        <v>4 501-2000</v>
      </c>
      <c r="P1128" s="2" t="n">
        <f aca="false">Lookups!$B$2*M1128+Lookups!$B$3*L1128</f>
        <v>0</v>
      </c>
      <c r="Q1128" s="2" t="str">
        <f aca="false">INDEX(Lookups!$E$2:$E$5,MATCH(P1128,Lookups!$D$2:$D$5,0))</f>
        <v>Low</v>
      </c>
    </row>
    <row r="1129" customFormat="false" ht="15" hidden="false" customHeight="false" outlineLevel="0" collapsed="false">
      <c r="A1129" s="3" t="n">
        <v>1128</v>
      </c>
      <c r="B1129" s="3" t="n">
        <f aca="false">Raw_Data!A1129</f>
        <v>32</v>
      </c>
      <c r="C1129" s="3" t="str">
        <f aca="false">SUBSTITUTE(Raw_Data!B1129,".","")</f>
        <v>management</v>
      </c>
      <c r="D1129" s="3" t="str">
        <f aca="false">Raw_Data!C1129</f>
        <v>single</v>
      </c>
      <c r="E1129" s="3" t="str">
        <f aca="false">Raw_Data!D1129</f>
        <v>unknown</v>
      </c>
      <c r="F1129" s="3" t="str">
        <f aca="false">Raw_Data!E1129</f>
        <v>no</v>
      </c>
      <c r="G1129" s="3" t="n">
        <f aca="false">Raw_Data!F1129</f>
        <v>787</v>
      </c>
      <c r="H1129" s="3" t="str">
        <f aca="false">Raw_Data!G1129</f>
        <v>no</v>
      </c>
      <c r="I1129" s="3" t="str">
        <f aca="false">Raw_Data!H1129</f>
        <v>no</v>
      </c>
      <c r="J1129" s="2" t="n">
        <f aca="false">IF(F1129="yes",1,0)</f>
        <v>0</v>
      </c>
      <c r="K1129" s="2" t="n">
        <f aca="false">IF(H1129="yes",1,0)</f>
        <v>0</v>
      </c>
      <c r="L1129" s="2" t="n">
        <f aca="false">IF(I1129="yes",1,0)</f>
        <v>0</v>
      </c>
      <c r="M1129" s="2" t="n">
        <f aca="false">IF(G1129&lt;0,1,0)</f>
        <v>0</v>
      </c>
      <c r="N1129" s="2" t="str">
        <f aca="false">_xlfn.IFS(B1129&lt;30,"Under 30",B1129&lt;40,"30-39",B1129&lt;50,"40-49",B1129&lt;60,"50-59",TRUE(),"60+")</f>
        <v>30-39</v>
      </c>
      <c r="O1129" s="2" t="str">
        <f aca="false">_xlfn.IFS(G1129&lt;0,"1 Negative",G1129=0,"2 Zero",G1129&lt;=500,"3 1-500",G1129&lt;=2000,"4 501-2000",TRUE(),"5 Above 2000")</f>
        <v>4 501-2000</v>
      </c>
      <c r="P1129" s="2" t="n">
        <f aca="false">Lookups!$B$2*M1129+Lookups!$B$3*L1129</f>
        <v>0</v>
      </c>
      <c r="Q1129" s="2" t="str">
        <f aca="false">INDEX(Lookups!$E$2:$E$5,MATCH(P1129,Lookups!$D$2:$D$5,0))</f>
        <v>Low</v>
      </c>
    </row>
    <row r="1130" customFormat="false" ht="15" hidden="false" customHeight="false" outlineLevel="0" collapsed="false">
      <c r="A1130" s="3" t="n">
        <v>1129</v>
      </c>
      <c r="B1130" s="3" t="n">
        <f aca="false">Raw_Data!A1130</f>
        <v>43</v>
      </c>
      <c r="C1130" s="3" t="str">
        <f aca="false">SUBSTITUTE(Raw_Data!B1130,".","")</f>
        <v>technician</v>
      </c>
      <c r="D1130" s="3" t="str">
        <f aca="false">Raw_Data!C1130</f>
        <v>divorced</v>
      </c>
      <c r="E1130" s="3" t="str">
        <f aca="false">Raw_Data!D1130</f>
        <v>secondary</v>
      </c>
      <c r="F1130" s="3" t="str">
        <f aca="false">Raw_Data!E1130</f>
        <v>no</v>
      </c>
      <c r="G1130" s="3" t="n">
        <f aca="false">Raw_Data!F1130</f>
        <v>167</v>
      </c>
      <c r="H1130" s="3" t="str">
        <f aca="false">Raw_Data!G1130</f>
        <v>no</v>
      </c>
      <c r="I1130" s="3" t="str">
        <f aca="false">Raw_Data!H1130</f>
        <v>no</v>
      </c>
      <c r="J1130" s="2" t="n">
        <f aca="false">IF(F1130="yes",1,0)</f>
        <v>0</v>
      </c>
      <c r="K1130" s="2" t="n">
        <f aca="false">IF(H1130="yes",1,0)</f>
        <v>0</v>
      </c>
      <c r="L1130" s="2" t="n">
        <f aca="false">IF(I1130="yes",1,0)</f>
        <v>0</v>
      </c>
      <c r="M1130" s="2" t="n">
        <f aca="false">IF(G1130&lt;0,1,0)</f>
        <v>0</v>
      </c>
      <c r="N1130" s="2" t="str">
        <f aca="false">_xlfn.IFS(B1130&lt;30,"Under 30",B1130&lt;40,"30-39",B1130&lt;50,"40-49",B1130&lt;60,"50-59",TRUE(),"60+")</f>
        <v>40-49</v>
      </c>
      <c r="O1130" s="2" t="str">
        <f aca="false">_xlfn.IFS(G1130&lt;0,"1 Negative",G1130=0,"2 Zero",G1130&lt;=500,"3 1-500",G1130&lt;=2000,"4 501-2000",TRUE(),"5 Above 2000")</f>
        <v>3 1-500</v>
      </c>
      <c r="P1130" s="2" t="n">
        <f aca="false">Lookups!$B$2*M1130+Lookups!$B$3*L1130</f>
        <v>0</v>
      </c>
      <c r="Q1130" s="2" t="str">
        <f aca="false">INDEX(Lookups!$E$2:$E$5,MATCH(P1130,Lookups!$D$2:$D$5,0))</f>
        <v>Low</v>
      </c>
    </row>
    <row r="1131" customFormat="false" ht="15" hidden="false" customHeight="false" outlineLevel="0" collapsed="false">
      <c r="A1131" s="3" t="n">
        <v>1130</v>
      </c>
      <c r="B1131" s="3" t="n">
        <f aca="false">Raw_Data!A1131</f>
        <v>36</v>
      </c>
      <c r="C1131" s="3" t="str">
        <f aca="false">SUBSTITUTE(Raw_Data!B1131,".","")</f>
        <v>management</v>
      </c>
      <c r="D1131" s="3" t="str">
        <f aca="false">Raw_Data!C1131</f>
        <v>single</v>
      </c>
      <c r="E1131" s="3" t="str">
        <f aca="false">Raw_Data!D1131</f>
        <v>tertiary</v>
      </c>
      <c r="F1131" s="3" t="str">
        <f aca="false">Raw_Data!E1131</f>
        <v>no</v>
      </c>
      <c r="G1131" s="3" t="n">
        <f aca="false">Raw_Data!F1131</f>
        <v>243</v>
      </c>
      <c r="H1131" s="3" t="str">
        <f aca="false">Raw_Data!G1131</f>
        <v>yes</v>
      </c>
      <c r="I1131" s="3" t="str">
        <f aca="false">Raw_Data!H1131</f>
        <v>no</v>
      </c>
      <c r="J1131" s="2" t="n">
        <f aca="false">IF(F1131="yes",1,0)</f>
        <v>0</v>
      </c>
      <c r="K1131" s="2" t="n">
        <f aca="false">IF(H1131="yes",1,0)</f>
        <v>1</v>
      </c>
      <c r="L1131" s="2" t="n">
        <f aca="false">IF(I1131="yes",1,0)</f>
        <v>0</v>
      </c>
      <c r="M1131" s="2" t="n">
        <f aca="false">IF(G1131&lt;0,1,0)</f>
        <v>0</v>
      </c>
      <c r="N1131" s="2" t="str">
        <f aca="false">_xlfn.IFS(B1131&lt;30,"Under 30",B1131&lt;40,"30-39",B1131&lt;50,"40-49",B1131&lt;60,"50-59",TRUE(),"60+")</f>
        <v>30-39</v>
      </c>
      <c r="O1131" s="2" t="str">
        <f aca="false">_xlfn.IFS(G1131&lt;0,"1 Negative",G1131=0,"2 Zero",G1131&lt;=500,"3 1-500",G1131&lt;=2000,"4 501-2000",TRUE(),"5 Above 2000")</f>
        <v>3 1-500</v>
      </c>
      <c r="P1131" s="2" t="n">
        <f aca="false">Lookups!$B$2*M1131+Lookups!$B$3*L1131</f>
        <v>0</v>
      </c>
      <c r="Q1131" s="2" t="str">
        <f aca="false">INDEX(Lookups!$E$2:$E$5,MATCH(P1131,Lookups!$D$2:$D$5,0))</f>
        <v>Low</v>
      </c>
    </row>
    <row r="1132" customFormat="false" ht="15" hidden="false" customHeight="false" outlineLevel="0" collapsed="false">
      <c r="A1132" s="3" t="n">
        <v>1131</v>
      </c>
      <c r="B1132" s="3" t="n">
        <f aca="false">Raw_Data!A1132</f>
        <v>29</v>
      </c>
      <c r="C1132" s="3" t="str">
        <f aca="false">SUBSTITUTE(Raw_Data!B1132,".","")</f>
        <v>management</v>
      </c>
      <c r="D1132" s="3" t="str">
        <f aca="false">Raw_Data!C1132</f>
        <v>married</v>
      </c>
      <c r="E1132" s="3" t="str">
        <f aca="false">Raw_Data!D1132</f>
        <v>tertiary</v>
      </c>
      <c r="F1132" s="3" t="str">
        <f aca="false">Raw_Data!E1132</f>
        <v>no</v>
      </c>
      <c r="G1132" s="3" t="n">
        <f aca="false">Raw_Data!F1132</f>
        <v>877</v>
      </c>
      <c r="H1132" s="3" t="str">
        <f aca="false">Raw_Data!G1132</f>
        <v>no</v>
      </c>
      <c r="I1132" s="3" t="str">
        <f aca="false">Raw_Data!H1132</f>
        <v>no</v>
      </c>
      <c r="J1132" s="2" t="n">
        <f aca="false">IF(F1132="yes",1,0)</f>
        <v>0</v>
      </c>
      <c r="K1132" s="2" t="n">
        <f aca="false">IF(H1132="yes",1,0)</f>
        <v>0</v>
      </c>
      <c r="L1132" s="2" t="n">
        <f aca="false">IF(I1132="yes",1,0)</f>
        <v>0</v>
      </c>
      <c r="M1132" s="2" t="n">
        <f aca="false">IF(G1132&lt;0,1,0)</f>
        <v>0</v>
      </c>
      <c r="N1132" s="2" t="str">
        <f aca="false">_xlfn.IFS(B1132&lt;30,"Under 30",B1132&lt;40,"30-39",B1132&lt;50,"40-49",B1132&lt;60,"50-59",TRUE(),"60+")</f>
        <v>Under 30</v>
      </c>
      <c r="O1132" s="2" t="str">
        <f aca="false">_xlfn.IFS(G1132&lt;0,"1 Negative",G1132=0,"2 Zero",G1132&lt;=500,"3 1-500",G1132&lt;=2000,"4 501-2000",TRUE(),"5 Above 2000")</f>
        <v>4 501-2000</v>
      </c>
      <c r="P1132" s="2" t="n">
        <f aca="false">Lookups!$B$2*M1132+Lookups!$B$3*L1132</f>
        <v>0</v>
      </c>
      <c r="Q1132" s="2" t="str">
        <f aca="false">INDEX(Lookups!$E$2:$E$5,MATCH(P1132,Lookups!$D$2:$D$5,0))</f>
        <v>Low</v>
      </c>
    </row>
    <row r="1133" customFormat="false" ht="15" hidden="false" customHeight="false" outlineLevel="0" collapsed="false">
      <c r="A1133" s="3" t="n">
        <v>1132</v>
      </c>
      <c r="B1133" s="3" t="n">
        <f aca="false">Raw_Data!A1133</f>
        <v>32</v>
      </c>
      <c r="C1133" s="3" t="str">
        <f aca="false">SUBSTITUTE(Raw_Data!B1133,".","")</f>
        <v>admin</v>
      </c>
      <c r="D1133" s="3" t="str">
        <f aca="false">Raw_Data!C1133</f>
        <v>single</v>
      </c>
      <c r="E1133" s="3" t="str">
        <f aca="false">Raw_Data!D1133</f>
        <v>secondary</v>
      </c>
      <c r="F1133" s="3" t="str">
        <f aca="false">Raw_Data!E1133</f>
        <v>no</v>
      </c>
      <c r="G1133" s="3" t="n">
        <f aca="false">Raw_Data!F1133</f>
        <v>2817</v>
      </c>
      <c r="H1133" s="3" t="str">
        <f aca="false">Raw_Data!G1133</f>
        <v>yes</v>
      </c>
      <c r="I1133" s="3" t="str">
        <f aca="false">Raw_Data!H1133</f>
        <v>no</v>
      </c>
      <c r="J1133" s="2" t="n">
        <f aca="false">IF(F1133="yes",1,0)</f>
        <v>0</v>
      </c>
      <c r="K1133" s="2" t="n">
        <f aca="false">IF(H1133="yes",1,0)</f>
        <v>1</v>
      </c>
      <c r="L1133" s="2" t="n">
        <f aca="false">IF(I1133="yes",1,0)</f>
        <v>0</v>
      </c>
      <c r="M1133" s="2" t="n">
        <f aca="false">IF(G1133&lt;0,1,0)</f>
        <v>0</v>
      </c>
      <c r="N1133" s="2" t="str">
        <f aca="false">_xlfn.IFS(B1133&lt;30,"Under 30",B1133&lt;40,"30-39",B1133&lt;50,"40-49",B1133&lt;60,"50-59",TRUE(),"60+")</f>
        <v>30-39</v>
      </c>
      <c r="O1133" s="2" t="str">
        <f aca="false">_xlfn.IFS(G1133&lt;0,"1 Negative",G1133=0,"2 Zero",G1133&lt;=500,"3 1-500",G1133&lt;=2000,"4 501-2000",TRUE(),"5 Above 2000")</f>
        <v>5 Above 2000</v>
      </c>
      <c r="P1133" s="2" t="n">
        <f aca="false">Lookups!$B$2*M1133+Lookups!$B$3*L1133</f>
        <v>0</v>
      </c>
      <c r="Q1133" s="2" t="str">
        <f aca="false">INDEX(Lookups!$E$2:$E$5,MATCH(P1133,Lookups!$D$2:$D$5,0))</f>
        <v>Low</v>
      </c>
    </row>
    <row r="1134" customFormat="false" ht="15" hidden="false" customHeight="false" outlineLevel="0" collapsed="false">
      <c r="A1134" s="3" t="n">
        <v>1133</v>
      </c>
      <c r="B1134" s="3" t="n">
        <f aca="false">Raw_Data!A1134</f>
        <v>41</v>
      </c>
      <c r="C1134" s="3" t="str">
        <f aca="false">SUBSTITUTE(Raw_Data!B1134,".","")</f>
        <v>management</v>
      </c>
      <c r="D1134" s="3" t="str">
        <f aca="false">Raw_Data!C1134</f>
        <v>divorced</v>
      </c>
      <c r="E1134" s="3" t="str">
        <f aca="false">Raw_Data!D1134</f>
        <v>tertiary</v>
      </c>
      <c r="F1134" s="3" t="str">
        <f aca="false">Raw_Data!E1134</f>
        <v>no</v>
      </c>
      <c r="G1134" s="3" t="n">
        <f aca="false">Raw_Data!F1134</f>
        <v>4567</v>
      </c>
      <c r="H1134" s="3" t="str">
        <f aca="false">Raw_Data!G1134</f>
        <v>yes</v>
      </c>
      <c r="I1134" s="3" t="str">
        <f aca="false">Raw_Data!H1134</f>
        <v>yes</v>
      </c>
      <c r="J1134" s="2" t="n">
        <f aca="false">IF(F1134="yes",1,0)</f>
        <v>0</v>
      </c>
      <c r="K1134" s="2" t="n">
        <f aca="false">IF(H1134="yes",1,0)</f>
        <v>1</v>
      </c>
      <c r="L1134" s="2" t="n">
        <f aca="false">IF(I1134="yes",1,0)</f>
        <v>1</v>
      </c>
      <c r="M1134" s="2" t="n">
        <f aca="false">IF(G1134&lt;0,1,0)</f>
        <v>0</v>
      </c>
      <c r="N1134" s="2" t="str">
        <f aca="false">_xlfn.IFS(B1134&lt;30,"Under 30",B1134&lt;40,"30-39",B1134&lt;50,"40-49",B1134&lt;60,"50-59",TRUE(),"60+")</f>
        <v>40-49</v>
      </c>
      <c r="O1134" s="2" t="str">
        <f aca="false">_xlfn.IFS(G1134&lt;0,"1 Negative",G1134=0,"2 Zero",G1134&lt;=500,"3 1-500",G1134&lt;=2000,"4 501-2000",TRUE(),"5 Above 2000")</f>
        <v>5 Above 2000</v>
      </c>
      <c r="P1134" s="2" t="n">
        <f aca="false">Lookups!$B$2*M1134+Lookups!$B$3*L1134</f>
        <v>1</v>
      </c>
      <c r="Q1134" s="2" t="str">
        <f aca="false">INDEX(Lookups!$E$2:$E$5,MATCH(P1134,Lookups!$D$2:$D$5,0))</f>
        <v>Medium</v>
      </c>
    </row>
    <row r="1135" customFormat="false" ht="15" hidden="false" customHeight="false" outlineLevel="0" collapsed="false">
      <c r="A1135" s="3" t="n">
        <v>1134</v>
      </c>
      <c r="B1135" s="3" t="n">
        <f aca="false">Raw_Data!A1135</f>
        <v>26</v>
      </c>
      <c r="C1135" s="3" t="str">
        <f aca="false">SUBSTITUTE(Raw_Data!B1135,".","")</f>
        <v>services</v>
      </c>
      <c r="D1135" s="3" t="str">
        <f aca="false">Raw_Data!C1135</f>
        <v>single</v>
      </c>
      <c r="E1135" s="3" t="str">
        <f aca="false">Raw_Data!D1135</f>
        <v>secondary</v>
      </c>
      <c r="F1135" s="3" t="str">
        <f aca="false">Raw_Data!E1135</f>
        <v>no</v>
      </c>
      <c r="G1135" s="3" t="n">
        <f aca="false">Raw_Data!F1135</f>
        <v>127</v>
      </c>
      <c r="H1135" s="3" t="str">
        <f aca="false">Raw_Data!G1135</f>
        <v>yes</v>
      </c>
      <c r="I1135" s="3" t="str">
        <f aca="false">Raw_Data!H1135</f>
        <v>yes</v>
      </c>
      <c r="J1135" s="2" t="n">
        <f aca="false">IF(F1135="yes",1,0)</f>
        <v>0</v>
      </c>
      <c r="K1135" s="2" t="n">
        <f aca="false">IF(H1135="yes",1,0)</f>
        <v>1</v>
      </c>
      <c r="L1135" s="2" t="n">
        <f aca="false">IF(I1135="yes",1,0)</f>
        <v>1</v>
      </c>
      <c r="M1135" s="2" t="n">
        <f aca="false">IF(G1135&lt;0,1,0)</f>
        <v>0</v>
      </c>
      <c r="N1135" s="2" t="str">
        <f aca="false">_xlfn.IFS(B1135&lt;30,"Under 30",B1135&lt;40,"30-39",B1135&lt;50,"40-49",B1135&lt;60,"50-59",TRUE(),"60+")</f>
        <v>Under 30</v>
      </c>
      <c r="O1135" s="2" t="str">
        <f aca="false">_xlfn.IFS(G1135&lt;0,"1 Negative",G1135=0,"2 Zero",G1135&lt;=500,"3 1-500",G1135&lt;=2000,"4 501-2000",TRUE(),"5 Above 2000")</f>
        <v>3 1-500</v>
      </c>
      <c r="P1135" s="2" t="n">
        <f aca="false">Lookups!$B$2*M1135+Lookups!$B$3*L1135</f>
        <v>1</v>
      </c>
      <c r="Q1135" s="2" t="str">
        <f aca="false">INDEX(Lookups!$E$2:$E$5,MATCH(P1135,Lookups!$D$2:$D$5,0))</f>
        <v>Medium</v>
      </c>
    </row>
    <row r="1136" customFormat="false" ht="15" hidden="false" customHeight="false" outlineLevel="0" collapsed="false">
      <c r="A1136" s="3" t="n">
        <v>1135</v>
      </c>
      <c r="B1136" s="3" t="n">
        <f aca="false">Raw_Data!A1136</f>
        <v>34</v>
      </c>
      <c r="C1136" s="3" t="str">
        <f aca="false">SUBSTITUTE(Raw_Data!B1136,".","")</f>
        <v>blue-collar</v>
      </c>
      <c r="D1136" s="3" t="str">
        <f aca="false">Raw_Data!C1136</f>
        <v>married</v>
      </c>
      <c r="E1136" s="3" t="str">
        <f aca="false">Raw_Data!D1136</f>
        <v>primary</v>
      </c>
      <c r="F1136" s="3" t="str">
        <f aca="false">Raw_Data!E1136</f>
        <v>no</v>
      </c>
      <c r="G1136" s="3" t="n">
        <f aca="false">Raw_Data!F1136</f>
        <v>176</v>
      </c>
      <c r="H1136" s="3" t="str">
        <f aca="false">Raw_Data!G1136</f>
        <v>no</v>
      </c>
      <c r="I1136" s="3" t="str">
        <f aca="false">Raw_Data!H1136</f>
        <v>no</v>
      </c>
      <c r="J1136" s="2" t="n">
        <f aca="false">IF(F1136="yes",1,0)</f>
        <v>0</v>
      </c>
      <c r="K1136" s="2" t="n">
        <f aca="false">IF(H1136="yes",1,0)</f>
        <v>0</v>
      </c>
      <c r="L1136" s="2" t="n">
        <f aca="false">IF(I1136="yes",1,0)</f>
        <v>0</v>
      </c>
      <c r="M1136" s="2" t="n">
        <f aca="false">IF(G1136&lt;0,1,0)</f>
        <v>0</v>
      </c>
      <c r="N1136" s="2" t="str">
        <f aca="false">_xlfn.IFS(B1136&lt;30,"Under 30",B1136&lt;40,"30-39",B1136&lt;50,"40-49",B1136&lt;60,"50-59",TRUE(),"60+")</f>
        <v>30-39</v>
      </c>
      <c r="O1136" s="2" t="str">
        <f aca="false">_xlfn.IFS(G1136&lt;0,"1 Negative",G1136=0,"2 Zero",G1136&lt;=500,"3 1-500",G1136&lt;=2000,"4 501-2000",TRUE(),"5 Above 2000")</f>
        <v>3 1-500</v>
      </c>
      <c r="P1136" s="2" t="n">
        <f aca="false">Lookups!$B$2*M1136+Lookups!$B$3*L1136</f>
        <v>0</v>
      </c>
      <c r="Q1136" s="2" t="str">
        <f aca="false">INDEX(Lookups!$E$2:$E$5,MATCH(P1136,Lookups!$D$2:$D$5,0))</f>
        <v>Low</v>
      </c>
    </row>
    <row r="1137" customFormat="false" ht="15" hidden="false" customHeight="false" outlineLevel="0" collapsed="false">
      <c r="A1137" s="3" t="n">
        <v>1136</v>
      </c>
      <c r="B1137" s="3" t="n">
        <f aca="false">Raw_Data!A1137</f>
        <v>57</v>
      </c>
      <c r="C1137" s="3" t="str">
        <f aca="false">SUBSTITUTE(Raw_Data!B1137,".","")</f>
        <v>retired</v>
      </c>
      <c r="D1137" s="3" t="str">
        <f aca="false">Raw_Data!C1137</f>
        <v>married</v>
      </c>
      <c r="E1137" s="3" t="str">
        <f aca="false">Raw_Data!D1137</f>
        <v>tertiary</v>
      </c>
      <c r="F1137" s="3" t="str">
        <f aca="false">Raw_Data!E1137</f>
        <v>no</v>
      </c>
      <c r="G1137" s="3" t="n">
        <f aca="false">Raw_Data!F1137</f>
        <v>0</v>
      </c>
      <c r="H1137" s="3" t="str">
        <f aca="false">Raw_Data!G1137</f>
        <v>yes</v>
      </c>
      <c r="I1137" s="3" t="str">
        <f aca="false">Raw_Data!H1137</f>
        <v>yes</v>
      </c>
      <c r="J1137" s="2" t="n">
        <f aca="false">IF(F1137="yes",1,0)</f>
        <v>0</v>
      </c>
      <c r="K1137" s="2" t="n">
        <f aca="false">IF(H1137="yes",1,0)</f>
        <v>1</v>
      </c>
      <c r="L1137" s="2" t="n">
        <f aca="false">IF(I1137="yes",1,0)</f>
        <v>1</v>
      </c>
      <c r="M1137" s="2" t="n">
        <f aca="false">IF(G1137&lt;0,1,0)</f>
        <v>0</v>
      </c>
      <c r="N1137" s="2" t="str">
        <f aca="false">_xlfn.IFS(B1137&lt;30,"Under 30",B1137&lt;40,"30-39",B1137&lt;50,"40-49",B1137&lt;60,"50-59",TRUE(),"60+")</f>
        <v>50-59</v>
      </c>
      <c r="O1137" s="2" t="str">
        <f aca="false">_xlfn.IFS(G1137&lt;0,"1 Negative",G1137=0,"2 Zero",G1137&lt;=500,"3 1-500",G1137&lt;=2000,"4 501-2000",TRUE(),"5 Above 2000")</f>
        <v>2 Zero</v>
      </c>
      <c r="P1137" s="2" t="n">
        <f aca="false">Lookups!$B$2*M1137+Lookups!$B$3*L1137</f>
        <v>1</v>
      </c>
      <c r="Q1137" s="2" t="str">
        <f aca="false">INDEX(Lookups!$E$2:$E$5,MATCH(P1137,Lookups!$D$2:$D$5,0))</f>
        <v>Medium</v>
      </c>
    </row>
    <row r="1138" customFormat="false" ht="15" hidden="false" customHeight="false" outlineLevel="0" collapsed="false">
      <c r="A1138" s="3" t="n">
        <v>1137</v>
      </c>
      <c r="B1138" s="3" t="n">
        <f aca="false">Raw_Data!A1138</f>
        <v>36</v>
      </c>
      <c r="C1138" s="3" t="str">
        <f aca="false">SUBSTITUTE(Raw_Data!B1138,".","")</f>
        <v>services</v>
      </c>
      <c r="D1138" s="3" t="str">
        <f aca="false">Raw_Data!C1138</f>
        <v>single</v>
      </c>
      <c r="E1138" s="3" t="str">
        <f aca="false">Raw_Data!D1138</f>
        <v>secondary</v>
      </c>
      <c r="F1138" s="3" t="str">
        <f aca="false">Raw_Data!E1138</f>
        <v>no</v>
      </c>
      <c r="G1138" s="3" t="n">
        <f aca="false">Raw_Data!F1138</f>
        <v>1482</v>
      </c>
      <c r="H1138" s="3" t="str">
        <f aca="false">Raw_Data!G1138</f>
        <v>yes</v>
      </c>
      <c r="I1138" s="3" t="str">
        <f aca="false">Raw_Data!H1138</f>
        <v>no</v>
      </c>
      <c r="J1138" s="2" t="n">
        <f aca="false">IF(F1138="yes",1,0)</f>
        <v>0</v>
      </c>
      <c r="K1138" s="2" t="n">
        <f aca="false">IF(H1138="yes",1,0)</f>
        <v>1</v>
      </c>
      <c r="L1138" s="2" t="n">
        <f aca="false">IF(I1138="yes",1,0)</f>
        <v>0</v>
      </c>
      <c r="M1138" s="2" t="n">
        <f aca="false">IF(G1138&lt;0,1,0)</f>
        <v>0</v>
      </c>
      <c r="N1138" s="2" t="str">
        <f aca="false">_xlfn.IFS(B1138&lt;30,"Under 30",B1138&lt;40,"30-39",B1138&lt;50,"40-49",B1138&lt;60,"50-59",TRUE(),"60+")</f>
        <v>30-39</v>
      </c>
      <c r="O1138" s="2" t="str">
        <f aca="false">_xlfn.IFS(G1138&lt;0,"1 Negative",G1138=0,"2 Zero",G1138&lt;=500,"3 1-500",G1138&lt;=2000,"4 501-2000",TRUE(),"5 Above 2000")</f>
        <v>4 501-2000</v>
      </c>
      <c r="P1138" s="2" t="n">
        <f aca="false">Lookups!$B$2*M1138+Lookups!$B$3*L1138</f>
        <v>0</v>
      </c>
      <c r="Q1138" s="2" t="str">
        <f aca="false">INDEX(Lookups!$E$2:$E$5,MATCH(P1138,Lookups!$D$2:$D$5,0))</f>
        <v>Low</v>
      </c>
    </row>
    <row r="1139" customFormat="false" ht="15" hidden="false" customHeight="false" outlineLevel="0" collapsed="false">
      <c r="A1139" s="3" t="n">
        <v>1138</v>
      </c>
      <c r="B1139" s="3" t="n">
        <f aca="false">Raw_Data!A1139</f>
        <v>42</v>
      </c>
      <c r="C1139" s="3" t="str">
        <f aca="false">SUBSTITUTE(Raw_Data!B1139,".","")</f>
        <v>blue-collar</v>
      </c>
      <c r="D1139" s="3" t="str">
        <f aca="false">Raw_Data!C1139</f>
        <v>married</v>
      </c>
      <c r="E1139" s="3" t="str">
        <f aca="false">Raw_Data!D1139</f>
        <v>secondary</v>
      </c>
      <c r="F1139" s="3" t="str">
        <f aca="false">Raw_Data!E1139</f>
        <v>no</v>
      </c>
      <c r="G1139" s="3" t="n">
        <f aca="false">Raw_Data!F1139</f>
        <v>3052</v>
      </c>
      <c r="H1139" s="3" t="str">
        <f aca="false">Raw_Data!G1139</f>
        <v>yes</v>
      </c>
      <c r="I1139" s="3" t="str">
        <f aca="false">Raw_Data!H1139</f>
        <v>no</v>
      </c>
      <c r="J1139" s="2" t="n">
        <f aca="false">IF(F1139="yes",1,0)</f>
        <v>0</v>
      </c>
      <c r="K1139" s="2" t="n">
        <f aca="false">IF(H1139="yes",1,0)</f>
        <v>1</v>
      </c>
      <c r="L1139" s="2" t="n">
        <f aca="false">IF(I1139="yes",1,0)</f>
        <v>0</v>
      </c>
      <c r="M1139" s="2" t="n">
        <f aca="false">IF(G1139&lt;0,1,0)</f>
        <v>0</v>
      </c>
      <c r="N1139" s="2" t="str">
        <f aca="false">_xlfn.IFS(B1139&lt;30,"Under 30",B1139&lt;40,"30-39",B1139&lt;50,"40-49",B1139&lt;60,"50-59",TRUE(),"60+")</f>
        <v>40-49</v>
      </c>
      <c r="O1139" s="2" t="str">
        <f aca="false">_xlfn.IFS(G1139&lt;0,"1 Negative",G1139=0,"2 Zero",G1139&lt;=500,"3 1-500",G1139&lt;=2000,"4 501-2000",TRUE(),"5 Above 2000")</f>
        <v>5 Above 2000</v>
      </c>
      <c r="P1139" s="2" t="n">
        <f aca="false">Lookups!$B$2*M1139+Lookups!$B$3*L1139</f>
        <v>0</v>
      </c>
      <c r="Q1139" s="2" t="str">
        <f aca="false">INDEX(Lookups!$E$2:$E$5,MATCH(P1139,Lookups!$D$2:$D$5,0))</f>
        <v>Low</v>
      </c>
    </row>
    <row r="1140" customFormat="false" ht="15" hidden="false" customHeight="false" outlineLevel="0" collapsed="false">
      <c r="A1140" s="3" t="n">
        <v>1139</v>
      </c>
      <c r="B1140" s="3" t="n">
        <f aca="false">Raw_Data!A1140</f>
        <v>35</v>
      </c>
      <c r="C1140" s="3" t="str">
        <f aca="false">SUBSTITUTE(Raw_Data!B1140,".","")</f>
        <v>technician</v>
      </c>
      <c r="D1140" s="3" t="str">
        <f aca="false">Raw_Data!C1140</f>
        <v>divorced</v>
      </c>
      <c r="E1140" s="3" t="str">
        <f aca="false">Raw_Data!D1140</f>
        <v>secondary</v>
      </c>
      <c r="F1140" s="3" t="str">
        <f aca="false">Raw_Data!E1140</f>
        <v>no</v>
      </c>
      <c r="G1140" s="3" t="n">
        <f aca="false">Raw_Data!F1140</f>
        <v>56</v>
      </c>
      <c r="H1140" s="3" t="str">
        <f aca="false">Raw_Data!G1140</f>
        <v>no</v>
      </c>
      <c r="I1140" s="3" t="str">
        <f aca="false">Raw_Data!H1140</f>
        <v>no</v>
      </c>
      <c r="J1140" s="2" t="n">
        <f aca="false">IF(F1140="yes",1,0)</f>
        <v>0</v>
      </c>
      <c r="K1140" s="2" t="n">
        <f aca="false">IF(H1140="yes",1,0)</f>
        <v>0</v>
      </c>
      <c r="L1140" s="2" t="n">
        <f aca="false">IF(I1140="yes",1,0)</f>
        <v>0</v>
      </c>
      <c r="M1140" s="2" t="n">
        <f aca="false">IF(G1140&lt;0,1,0)</f>
        <v>0</v>
      </c>
      <c r="N1140" s="2" t="str">
        <f aca="false">_xlfn.IFS(B1140&lt;30,"Under 30",B1140&lt;40,"30-39",B1140&lt;50,"40-49",B1140&lt;60,"50-59",TRUE(),"60+")</f>
        <v>30-39</v>
      </c>
      <c r="O1140" s="2" t="str">
        <f aca="false">_xlfn.IFS(G1140&lt;0,"1 Negative",G1140=0,"2 Zero",G1140&lt;=500,"3 1-500",G1140&lt;=2000,"4 501-2000",TRUE(),"5 Above 2000")</f>
        <v>3 1-500</v>
      </c>
      <c r="P1140" s="2" t="n">
        <f aca="false">Lookups!$B$2*M1140+Lookups!$B$3*L1140</f>
        <v>0</v>
      </c>
      <c r="Q1140" s="2" t="str">
        <f aca="false">INDEX(Lookups!$E$2:$E$5,MATCH(P1140,Lookups!$D$2:$D$5,0))</f>
        <v>Low</v>
      </c>
    </row>
    <row r="1141" customFormat="false" ht="15" hidden="false" customHeight="false" outlineLevel="0" collapsed="false">
      <c r="A1141" s="3" t="n">
        <v>1140</v>
      </c>
      <c r="B1141" s="3" t="n">
        <f aca="false">Raw_Data!A1141</f>
        <v>52</v>
      </c>
      <c r="C1141" s="3" t="str">
        <f aca="false">SUBSTITUTE(Raw_Data!B1141,".","")</f>
        <v>entrepreneur</v>
      </c>
      <c r="D1141" s="3" t="str">
        <f aca="false">Raw_Data!C1141</f>
        <v>divorced</v>
      </c>
      <c r="E1141" s="3" t="str">
        <f aca="false">Raw_Data!D1141</f>
        <v>primary</v>
      </c>
      <c r="F1141" s="3" t="str">
        <f aca="false">Raw_Data!E1141</f>
        <v>no</v>
      </c>
      <c r="G1141" s="3" t="n">
        <f aca="false">Raw_Data!F1141</f>
        <v>278</v>
      </c>
      <c r="H1141" s="3" t="str">
        <f aca="false">Raw_Data!G1141</f>
        <v>yes</v>
      </c>
      <c r="I1141" s="3" t="str">
        <f aca="false">Raw_Data!H1141</f>
        <v>no</v>
      </c>
      <c r="J1141" s="2" t="n">
        <f aca="false">IF(F1141="yes",1,0)</f>
        <v>0</v>
      </c>
      <c r="K1141" s="2" t="n">
        <f aca="false">IF(H1141="yes",1,0)</f>
        <v>1</v>
      </c>
      <c r="L1141" s="2" t="n">
        <f aca="false">IF(I1141="yes",1,0)</f>
        <v>0</v>
      </c>
      <c r="M1141" s="2" t="n">
        <f aca="false">IF(G1141&lt;0,1,0)</f>
        <v>0</v>
      </c>
      <c r="N1141" s="2" t="str">
        <f aca="false">_xlfn.IFS(B1141&lt;30,"Under 30",B1141&lt;40,"30-39",B1141&lt;50,"40-49",B1141&lt;60,"50-59",TRUE(),"60+")</f>
        <v>50-59</v>
      </c>
      <c r="O1141" s="2" t="str">
        <f aca="false">_xlfn.IFS(G1141&lt;0,"1 Negative",G1141=0,"2 Zero",G1141&lt;=500,"3 1-500",G1141&lt;=2000,"4 501-2000",TRUE(),"5 Above 2000")</f>
        <v>3 1-500</v>
      </c>
      <c r="P1141" s="2" t="n">
        <f aca="false">Lookups!$B$2*M1141+Lookups!$B$3*L1141</f>
        <v>0</v>
      </c>
      <c r="Q1141" s="2" t="str">
        <f aca="false">INDEX(Lookups!$E$2:$E$5,MATCH(P1141,Lookups!$D$2:$D$5,0))</f>
        <v>Low</v>
      </c>
    </row>
    <row r="1142" customFormat="false" ht="15" hidden="false" customHeight="false" outlineLevel="0" collapsed="false">
      <c r="A1142" s="3" t="n">
        <v>1141</v>
      </c>
      <c r="B1142" s="3" t="n">
        <f aca="false">Raw_Data!A1142</f>
        <v>36</v>
      </c>
      <c r="C1142" s="3" t="str">
        <f aca="false">SUBSTITUTE(Raw_Data!B1142,".","")</f>
        <v>management</v>
      </c>
      <c r="D1142" s="3" t="str">
        <f aca="false">Raw_Data!C1142</f>
        <v>single</v>
      </c>
      <c r="E1142" s="3" t="str">
        <f aca="false">Raw_Data!D1142</f>
        <v>tertiary</v>
      </c>
      <c r="F1142" s="3" t="str">
        <f aca="false">Raw_Data!E1142</f>
        <v>no</v>
      </c>
      <c r="G1142" s="3" t="n">
        <f aca="false">Raw_Data!F1142</f>
        <v>3875</v>
      </c>
      <c r="H1142" s="3" t="str">
        <f aca="false">Raw_Data!G1142</f>
        <v>yes</v>
      </c>
      <c r="I1142" s="3" t="str">
        <f aca="false">Raw_Data!H1142</f>
        <v>no</v>
      </c>
      <c r="J1142" s="2" t="n">
        <f aca="false">IF(F1142="yes",1,0)</f>
        <v>0</v>
      </c>
      <c r="K1142" s="2" t="n">
        <f aca="false">IF(H1142="yes",1,0)</f>
        <v>1</v>
      </c>
      <c r="L1142" s="2" t="n">
        <f aca="false">IF(I1142="yes",1,0)</f>
        <v>0</v>
      </c>
      <c r="M1142" s="2" t="n">
        <f aca="false">IF(G1142&lt;0,1,0)</f>
        <v>0</v>
      </c>
      <c r="N1142" s="2" t="str">
        <f aca="false">_xlfn.IFS(B1142&lt;30,"Under 30",B1142&lt;40,"30-39",B1142&lt;50,"40-49",B1142&lt;60,"50-59",TRUE(),"60+")</f>
        <v>30-39</v>
      </c>
      <c r="O1142" s="2" t="str">
        <f aca="false">_xlfn.IFS(G1142&lt;0,"1 Negative",G1142=0,"2 Zero",G1142&lt;=500,"3 1-500",G1142&lt;=2000,"4 501-2000",TRUE(),"5 Above 2000")</f>
        <v>5 Above 2000</v>
      </c>
      <c r="P1142" s="2" t="n">
        <f aca="false">Lookups!$B$2*M1142+Lookups!$B$3*L1142</f>
        <v>0</v>
      </c>
      <c r="Q1142" s="2" t="str">
        <f aca="false">INDEX(Lookups!$E$2:$E$5,MATCH(P1142,Lookups!$D$2:$D$5,0))</f>
        <v>Low</v>
      </c>
    </row>
    <row r="1143" customFormat="false" ht="15" hidden="false" customHeight="false" outlineLevel="0" collapsed="false">
      <c r="A1143" s="3" t="n">
        <v>1142</v>
      </c>
      <c r="B1143" s="3" t="n">
        <f aca="false">Raw_Data!A1143</f>
        <v>46</v>
      </c>
      <c r="C1143" s="3" t="str">
        <f aca="false">SUBSTITUTE(Raw_Data!B1143,".","")</f>
        <v>technician</v>
      </c>
      <c r="D1143" s="3" t="str">
        <f aca="false">Raw_Data!C1143</f>
        <v>married</v>
      </c>
      <c r="E1143" s="3" t="str">
        <f aca="false">Raw_Data!D1143</f>
        <v>secondary</v>
      </c>
      <c r="F1143" s="3" t="str">
        <f aca="false">Raw_Data!E1143</f>
        <v>no</v>
      </c>
      <c r="G1143" s="3" t="n">
        <f aca="false">Raw_Data!F1143</f>
        <v>-337</v>
      </c>
      <c r="H1143" s="3" t="str">
        <f aca="false">Raw_Data!G1143</f>
        <v>yes</v>
      </c>
      <c r="I1143" s="3" t="str">
        <f aca="false">Raw_Data!H1143</f>
        <v>no</v>
      </c>
      <c r="J1143" s="2" t="n">
        <f aca="false">IF(F1143="yes",1,0)</f>
        <v>0</v>
      </c>
      <c r="K1143" s="2" t="n">
        <f aca="false">IF(H1143="yes",1,0)</f>
        <v>1</v>
      </c>
      <c r="L1143" s="2" t="n">
        <f aca="false">IF(I1143="yes",1,0)</f>
        <v>0</v>
      </c>
      <c r="M1143" s="2" t="n">
        <f aca="false">IF(G1143&lt;0,1,0)</f>
        <v>1</v>
      </c>
      <c r="N1143" s="2" t="str">
        <f aca="false">_xlfn.IFS(B1143&lt;30,"Under 30",B1143&lt;40,"30-39",B1143&lt;50,"40-49",B1143&lt;60,"50-59",TRUE(),"60+")</f>
        <v>40-49</v>
      </c>
      <c r="O1143" s="2" t="str">
        <f aca="false">_xlfn.IFS(G1143&lt;0,"1 Negative",G1143=0,"2 Zero",G1143&lt;=500,"3 1-500",G1143&lt;=2000,"4 501-2000",TRUE(),"5 Above 2000")</f>
        <v>1 Negative</v>
      </c>
      <c r="P1143" s="2" t="n">
        <f aca="false">Lookups!$B$2*M1143+Lookups!$B$3*L1143</f>
        <v>2</v>
      </c>
      <c r="Q1143" s="2" t="str">
        <f aca="false">INDEX(Lookups!$E$2:$E$5,MATCH(P1143,Lookups!$D$2:$D$5,0))</f>
        <v>High</v>
      </c>
    </row>
    <row r="1144" customFormat="false" ht="15" hidden="false" customHeight="false" outlineLevel="0" collapsed="false">
      <c r="A1144" s="3" t="n">
        <v>1143</v>
      </c>
      <c r="B1144" s="3" t="n">
        <f aca="false">Raw_Data!A1144</f>
        <v>60</v>
      </c>
      <c r="C1144" s="3" t="str">
        <f aca="false">SUBSTITUTE(Raw_Data!B1144,".","")</f>
        <v>management</v>
      </c>
      <c r="D1144" s="3" t="str">
        <f aca="false">Raw_Data!C1144</f>
        <v>divorced</v>
      </c>
      <c r="E1144" s="3" t="str">
        <f aca="false">Raw_Data!D1144</f>
        <v>tertiary</v>
      </c>
      <c r="F1144" s="3" t="str">
        <f aca="false">Raw_Data!E1144</f>
        <v>no</v>
      </c>
      <c r="G1144" s="3" t="n">
        <f aca="false">Raw_Data!F1144</f>
        <v>366</v>
      </c>
      <c r="H1144" s="3" t="str">
        <f aca="false">Raw_Data!G1144</f>
        <v>no</v>
      </c>
      <c r="I1144" s="3" t="str">
        <f aca="false">Raw_Data!H1144</f>
        <v>no</v>
      </c>
      <c r="J1144" s="2" t="n">
        <f aca="false">IF(F1144="yes",1,0)</f>
        <v>0</v>
      </c>
      <c r="K1144" s="2" t="n">
        <f aca="false">IF(H1144="yes",1,0)</f>
        <v>0</v>
      </c>
      <c r="L1144" s="2" t="n">
        <f aca="false">IF(I1144="yes",1,0)</f>
        <v>0</v>
      </c>
      <c r="M1144" s="2" t="n">
        <f aca="false">IF(G1144&lt;0,1,0)</f>
        <v>0</v>
      </c>
      <c r="N1144" s="2" t="str">
        <f aca="false">_xlfn.IFS(B1144&lt;30,"Under 30",B1144&lt;40,"30-39",B1144&lt;50,"40-49",B1144&lt;60,"50-59",TRUE(),"60+")</f>
        <v>60+</v>
      </c>
      <c r="O1144" s="2" t="str">
        <f aca="false">_xlfn.IFS(G1144&lt;0,"1 Negative",G1144=0,"2 Zero",G1144&lt;=500,"3 1-500",G1144&lt;=2000,"4 501-2000",TRUE(),"5 Above 2000")</f>
        <v>3 1-500</v>
      </c>
      <c r="P1144" s="2" t="n">
        <f aca="false">Lookups!$B$2*M1144+Lookups!$B$3*L1144</f>
        <v>0</v>
      </c>
      <c r="Q1144" s="2" t="str">
        <f aca="false">INDEX(Lookups!$E$2:$E$5,MATCH(P1144,Lookups!$D$2:$D$5,0))</f>
        <v>Low</v>
      </c>
    </row>
    <row r="1145" customFormat="false" ht="15" hidden="false" customHeight="false" outlineLevel="0" collapsed="false">
      <c r="A1145" s="3" t="n">
        <v>1144</v>
      </c>
      <c r="B1145" s="3" t="n">
        <f aca="false">Raw_Data!A1145</f>
        <v>57</v>
      </c>
      <c r="C1145" s="3" t="str">
        <f aca="false">SUBSTITUTE(Raw_Data!B1145,".","")</f>
        <v>housemaid</v>
      </c>
      <c r="D1145" s="3" t="str">
        <f aca="false">Raw_Data!C1145</f>
        <v>married</v>
      </c>
      <c r="E1145" s="3" t="str">
        <f aca="false">Raw_Data!D1145</f>
        <v>primary</v>
      </c>
      <c r="F1145" s="3" t="str">
        <f aca="false">Raw_Data!E1145</f>
        <v>no</v>
      </c>
      <c r="G1145" s="3" t="n">
        <f aca="false">Raw_Data!F1145</f>
        <v>501</v>
      </c>
      <c r="H1145" s="3" t="str">
        <f aca="false">Raw_Data!G1145</f>
        <v>yes</v>
      </c>
      <c r="I1145" s="3" t="str">
        <f aca="false">Raw_Data!H1145</f>
        <v>yes</v>
      </c>
      <c r="J1145" s="2" t="n">
        <f aca="false">IF(F1145="yes",1,0)</f>
        <v>0</v>
      </c>
      <c r="K1145" s="2" t="n">
        <f aca="false">IF(H1145="yes",1,0)</f>
        <v>1</v>
      </c>
      <c r="L1145" s="2" t="n">
        <f aca="false">IF(I1145="yes",1,0)</f>
        <v>1</v>
      </c>
      <c r="M1145" s="2" t="n">
        <f aca="false">IF(G1145&lt;0,1,0)</f>
        <v>0</v>
      </c>
      <c r="N1145" s="2" t="str">
        <f aca="false">_xlfn.IFS(B1145&lt;30,"Under 30",B1145&lt;40,"30-39",B1145&lt;50,"40-49",B1145&lt;60,"50-59",TRUE(),"60+")</f>
        <v>50-59</v>
      </c>
      <c r="O1145" s="2" t="str">
        <f aca="false">_xlfn.IFS(G1145&lt;0,"1 Negative",G1145=0,"2 Zero",G1145&lt;=500,"3 1-500",G1145&lt;=2000,"4 501-2000",TRUE(),"5 Above 2000")</f>
        <v>4 501-2000</v>
      </c>
      <c r="P1145" s="2" t="n">
        <f aca="false">Lookups!$B$2*M1145+Lookups!$B$3*L1145</f>
        <v>1</v>
      </c>
      <c r="Q1145" s="2" t="str">
        <f aca="false">INDEX(Lookups!$E$2:$E$5,MATCH(P1145,Lookups!$D$2:$D$5,0))</f>
        <v>Medium</v>
      </c>
    </row>
    <row r="1146" customFormat="false" ht="15" hidden="false" customHeight="false" outlineLevel="0" collapsed="false">
      <c r="A1146" s="3" t="n">
        <v>1145</v>
      </c>
      <c r="B1146" s="3" t="n">
        <f aca="false">Raw_Data!A1146</f>
        <v>48</v>
      </c>
      <c r="C1146" s="3" t="str">
        <f aca="false">SUBSTITUTE(Raw_Data!B1146,".","")</f>
        <v>management</v>
      </c>
      <c r="D1146" s="3" t="str">
        <f aca="false">Raw_Data!C1146</f>
        <v>married</v>
      </c>
      <c r="E1146" s="3" t="str">
        <f aca="false">Raw_Data!D1146</f>
        <v>tertiary</v>
      </c>
      <c r="F1146" s="3" t="str">
        <f aca="false">Raw_Data!E1146</f>
        <v>no</v>
      </c>
      <c r="G1146" s="3" t="n">
        <f aca="false">Raw_Data!F1146</f>
        <v>998</v>
      </c>
      <c r="H1146" s="3" t="str">
        <f aca="false">Raw_Data!G1146</f>
        <v>yes</v>
      </c>
      <c r="I1146" s="3" t="str">
        <f aca="false">Raw_Data!H1146</f>
        <v>no</v>
      </c>
      <c r="J1146" s="2" t="n">
        <f aca="false">IF(F1146="yes",1,0)</f>
        <v>0</v>
      </c>
      <c r="K1146" s="2" t="n">
        <f aca="false">IF(H1146="yes",1,0)</f>
        <v>1</v>
      </c>
      <c r="L1146" s="2" t="n">
        <f aca="false">IF(I1146="yes",1,0)</f>
        <v>0</v>
      </c>
      <c r="M1146" s="2" t="n">
        <f aca="false">IF(G1146&lt;0,1,0)</f>
        <v>0</v>
      </c>
      <c r="N1146" s="2" t="str">
        <f aca="false">_xlfn.IFS(B1146&lt;30,"Under 30",B1146&lt;40,"30-39",B1146&lt;50,"40-49",B1146&lt;60,"50-59",TRUE(),"60+")</f>
        <v>40-49</v>
      </c>
      <c r="O1146" s="2" t="str">
        <f aca="false">_xlfn.IFS(G1146&lt;0,"1 Negative",G1146=0,"2 Zero",G1146&lt;=500,"3 1-500",G1146&lt;=2000,"4 501-2000",TRUE(),"5 Above 2000")</f>
        <v>4 501-2000</v>
      </c>
      <c r="P1146" s="2" t="n">
        <f aca="false">Lookups!$B$2*M1146+Lookups!$B$3*L1146</f>
        <v>0</v>
      </c>
      <c r="Q1146" s="2" t="str">
        <f aca="false">INDEX(Lookups!$E$2:$E$5,MATCH(P1146,Lookups!$D$2:$D$5,0))</f>
        <v>Low</v>
      </c>
    </row>
    <row r="1147" customFormat="false" ht="15" hidden="false" customHeight="false" outlineLevel="0" collapsed="false">
      <c r="A1147" s="3" t="n">
        <v>1146</v>
      </c>
      <c r="B1147" s="3" t="n">
        <f aca="false">Raw_Data!A1147</f>
        <v>59</v>
      </c>
      <c r="C1147" s="3" t="str">
        <f aca="false">SUBSTITUTE(Raw_Data!B1147,".","")</f>
        <v>self-employed</v>
      </c>
      <c r="D1147" s="3" t="str">
        <f aca="false">Raw_Data!C1147</f>
        <v>married</v>
      </c>
      <c r="E1147" s="3" t="str">
        <f aca="false">Raw_Data!D1147</f>
        <v>primary</v>
      </c>
      <c r="F1147" s="3" t="str">
        <f aca="false">Raw_Data!E1147</f>
        <v>no</v>
      </c>
      <c r="G1147" s="3" t="n">
        <f aca="false">Raw_Data!F1147</f>
        <v>0</v>
      </c>
      <c r="H1147" s="3" t="str">
        <f aca="false">Raw_Data!G1147</f>
        <v>yes</v>
      </c>
      <c r="I1147" s="3" t="str">
        <f aca="false">Raw_Data!H1147</f>
        <v>no</v>
      </c>
      <c r="J1147" s="2" t="n">
        <f aca="false">IF(F1147="yes",1,0)</f>
        <v>0</v>
      </c>
      <c r="K1147" s="2" t="n">
        <f aca="false">IF(H1147="yes",1,0)</f>
        <v>1</v>
      </c>
      <c r="L1147" s="2" t="n">
        <f aca="false">IF(I1147="yes",1,0)</f>
        <v>0</v>
      </c>
      <c r="M1147" s="2" t="n">
        <f aca="false">IF(G1147&lt;0,1,0)</f>
        <v>0</v>
      </c>
      <c r="N1147" s="2" t="str">
        <f aca="false">_xlfn.IFS(B1147&lt;30,"Under 30",B1147&lt;40,"30-39",B1147&lt;50,"40-49",B1147&lt;60,"50-59",TRUE(),"60+")</f>
        <v>50-59</v>
      </c>
      <c r="O1147" s="2" t="str">
        <f aca="false">_xlfn.IFS(G1147&lt;0,"1 Negative",G1147=0,"2 Zero",G1147&lt;=500,"3 1-500",G1147&lt;=2000,"4 501-2000",TRUE(),"5 Above 2000")</f>
        <v>2 Zero</v>
      </c>
      <c r="P1147" s="2" t="n">
        <f aca="false">Lookups!$B$2*M1147+Lookups!$B$3*L1147</f>
        <v>0</v>
      </c>
      <c r="Q1147" s="2" t="str">
        <f aca="false">INDEX(Lookups!$E$2:$E$5,MATCH(P1147,Lookups!$D$2:$D$5,0))</f>
        <v>Low</v>
      </c>
    </row>
    <row r="1148" customFormat="false" ht="15" hidden="false" customHeight="false" outlineLevel="0" collapsed="false">
      <c r="A1148" s="3" t="n">
        <v>1147</v>
      </c>
      <c r="B1148" s="3" t="n">
        <f aca="false">Raw_Data!A1148</f>
        <v>39</v>
      </c>
      <c r="C1148" s="3" t="str">
        <f aca="false">SUBSTITUTE(Raw_Data!B1148,".","")</f>
        <v>management</v>
      </c>
      <c r="D1148" s="3" t="str">
        <f aca="false">Raw_Data!C1148</f>
        <v>married</v>
      </c>
      <c r="E1148" s="3" t="str">
        <f aca="false">Raw_Data!D1148</f>
        <v>tertiary</v>
      </c>
      <c r="F1148" s="3" t="str">
        <f aca="false">Raw_Data!E1148</f>
        <v>no</v>
      </c>
      <c r="G1148" s="3" t="n">
        <f aca="false">Raw_Data!F1148</f>
        <v>246</v>
      </c>
      <c r="H1148" s="3" t="str">
        <f aca="false">Raw_Data!G1148</f>
        <v>no</v>
      </c>
      <c r="I1148" s="3" t="str">
        <f aca="false">Raw_Data!H1148</f>
        <v>no</v>
      </c>
      <c r="J1148" s="2" t="n">
        <f aca="false">IF(F1148="yes",1,0)</f>
        <v>0</v>
      </c>
      <c r="K1148" s="2" t="n">
        <f aca="false">IF(H1148="yes",1,0)</f>
        <v>0</v>
      </c>
      <c r="L1148" s="2" t="n">
        <f aca="false">IF(I1148="yes",1,0)</f>
        <v>0</v>
      </c>
      <c r="M1148" s="2" t="n">
        <f aca="false">IF(G1148&lt;0,1,0)</f>
        <v>0</v>
      </c>
      <c r="N1148" s="2" t="str">
        <f aca="false">_xlfn.IFS(B1148&lt;30,"Under 30",B1148&lt;40,"30-39",B1148&lt;50,"40-49",B1148&lt;60,"50-59",TRUE(),"60+")</f>
        <v>30-39</v>
      </c>
      <c r="O1148" s="2" t="str">
        <f aca="false">_xlfn.IFS(G1148&lt;0,"1 Negative",G1148=0,"2 Zero",G1148&lt;=500,"3 1-500",G1148&lt;=2000,"4 501-2000",TRUE(),"5 Above 2000")</f>
        <v>3 1-500</v>
      </c>
      <c r="P1148" s="2" t="n">
        <f aca="false">Lookups!$B$2*M1148+Lookups!$B$3*L1148</f>
        <v>0</v>
      </c>
      <c r="Q1148" s="2" t="str">
        <f aca="false">INDEX(Lookups!$E$2:$E$5,MATCH(P1148,Lookups!$D$2:$D$5,0))</f>
        <v>Low</v>
      </c>
    </row>
    <row r="1149" customFormat="false" ht="15" hidden="false" customHeight="false" outlineLevel="0" collapsed="false">
      <c r="A1149" s="3" t="n">
        <v>1148</v>
      </c>
      <c r="B1149" s="3" t="n">
        <f aca="false">Raw_Data!A1149</f>
        <v>44</v>
      </c>
      <c r="C1149" s="3" t="str">
        <f aca="false">SUBSTITUTE(Raw_Data!B1149,".","")</f>
        <v>blue-collar</v>
      </c>
      <c r="D1149" s="3" t="str">
        <f aca="false">Raw_Data!C1149</f>
        <v>married</v>
      </c>
      <c r="E1149" s="3" t="str">
        <f aca="false">Raw_Data!D1149</f>
        <v>secondary</v>
      </c>
      <c r="F1149" s="3" t="str">
        <f aca="false">Raw_Data!E1149</f>
        <v>no</v>
      </c>
      <c r="G1149" s="3" t="n">
        <f aca="false">Raw_Data!F1149</f>
        <v>-182</v>
      </c>
      <c r="H1149" s="3" t="str">
        <f aca="false">Raw_Data!G1149</f>
        <v>yes</v>
      </c>
      <c r="I1149" s="3" t="str">
        <f aca="false">Raw_Data!H1149</f>
        <v>yes</v>
      </c>
      <c r="J1149" s="2" t="n">
        <f aca="false">IF(F1149="yes",1,0)</f>
        <v>0</v>
      </c>
      <c r="K1149" s="2" t="n">
        <f aca="false">IF(H1149="yes",1,0)</f>
        <v>1</v>
      </c>
      <c r="L1149" s="2" t="n">
        <f aca="false">IF(I1149="yes",1,0)</f>
        <v>1</v>
      </c>
      <c r="M1149" s="2" t="n">
        <f aca="false">IF(G1149&lt;0,1,0)</f>
        <v>1</v>
      </c>
      <c r="N1149" s="2" t="str">
        <f aca="false">_xlfn.IFS(B1149&lt;30,"Under 30",B1149&lt;40,"30-39",B1149&lt;50,"40-49",B1149&lt;60,"50-59",TRUE(),"60+")</f>
        <v>40-49</v>
      </c>
      <c r="O1149" s="2" t="str">
        <f aca="false">_xlfn.IFS(G1149&lt;0,"1 Negative",G1149=0,"2 Zero",G1149&lt;=500,"3 1-500",G1149&lt;=2000,"4 501-2000",TRUE(),"5 Above 2000")</f>
        <v>1 Negative</v>
      </c>
      <c r="P1149" s="2" t="n">
        <f aca="false">Lookups!$B$2*M1149+Lookups!$B$3*L1149</f>
        <v>3</v>
      </c>
      <c r="Q1149" s="2" t="str">
        <f aca="false">INDEX(Lookups!$E$2:$E$5,MATCH(P1149,Lookups!$D$2:$D$5,0))</f>
        <v>High</v>
      </c>
    </row>
    <row r="1150" customFormat="false" ht="15" hidden="false" customHeight="false" outlineLevel="0" collapsed="false">
      <c r="A1150" s="3" t="n">
        <v>1149</v>
      </c>
      <c r="B1150" s="3" t="n">
        <f aca="false">Raw_Data!A1150</f>
        <v>27</v>
      </c>
      <c r="C1150" s="3" t="str">
        <f aca="false">SUBSTITUTE(Raw_Data!B1150,".","")</f>
        <v>management</v>
      </c>
      <c r="D1150" s="3" t="str">
        <f aca="false">Raw_Data!C1150</f>
        <v>single</v>
      </c>
      <c r="E1150" s="3" t="str">
        <f aca="false">Raw_Data!D1150</f>
        <v>tertiary</v>
      </c>
      <c r="F1150" s="3" t="str">
        <f aca="false">Raw_Data!E1150</f>
        <v>no</v>
      </c>
      <c r="G1150" s="3" t="n">
        <f aca="false">Raw_Data!F1150</f>
        <v>446</v>
      </c>
      <c r="H1150" s="3" t="str">
        <f aca="false">Raw_Data!G1150</f>
        <v>no</v>
      </c>
      <c r="I1150" s="3" t="str">
        <f aca="false">Raw_Data!H1150</f>
        <v>no</v>
      </c>
      <c r="J1150" s="2" t="n">
        <f aca="false">IF(F1150="yes",1,0)</f>
        <v>0</v>
      </c>
      <c r="K1150" s="2" t="n">
        <f aca="false">IF(H1150="yes",1,0)</f>
        <v>0</v>
      </c>
      <c r="L1150" s="2" t="n">
        <f aca="false">IF(I1150="yes",1,0)</f>
        <v>0</v>
      </c>
      <c r="M1150" s="2" t="n">
        <f aca="false">IF(G1150&lt;0,1,0)</f>
        <v>0</v>
      </c>
      <c r="N1150" s="2" t="str">
        <f aca="false">_xlfn.IFS(B1150&lt;30,"Under 30",B1150&lt;40,"30-39",B1150&lt;50,"40-49",B1150&lt;60,"50-59",TRUE(),"60+")</f>
        <v>Under 30</v>
      </c>
      <c r="O1150" s="2" t="str">
        <f aca="false">_xlfn.IFS(G1150&lt;0,"1 Negative",G1150=0,"2 Zero",G1150&lt;=500,"3 1-500",G1150&lt;=2000,"4 501-2000",TRUE(),"5 Above 2000")</f>
        <v>3 1-500</v>
      </c>
      <c r="P1150" s="2" t="n">
        <f aca="false">Lookups!$B$2*M1150+Lookups!$B$3*L1150</f>
        <v>0</v>
      </c>
      <c r="Q1150" s="2" t="str">
        <f aca="false">INDEX(Lookups!$E$2:$E$5,MATCH(P1150,Lookups!$D$2:$D$5,0))</f>
        <v>Low</v>
      </c>
    </row>
    <row r="1151" customFormat="false" ht="15" hidden="false" customHeight="false" outlineLevel="0" collapsed="false">
      <c r="A1151" s="3" t="n">
        <v>1150</v>
      </c>
      <c r="B1151" s="3" t="n">
        <f aca="false">Raw_Data!A1151</f>
        <v>59</v>
      </c>
      <c r="C1151" s="3" t="str">
        <f aca="false">SUBSTITUTE(Raw_Data!B1151,".","")</f>
        <v>retired</v>
      </c>
      <c r="D1151" s="3" t="str">
        <f aca="false">Raw_Data!C1151</f>
        <v>married</v>
      </c>
      <c r="E1151" s="3" t="str">
        <f aca="false">Raw_Data!D1151</f>
        <v>secondary</v>
      </c>
      <c r="F1151" s="3" t="str">
        <f aca="false">Raw_Data!E1151</f>
        <v>no</v>
      </c>
      <c r="G1151" s="3" t="n">
        <f aca="false">Raw_Data!F1151</f>
        <v>1173</v>
      </c>
      <c r="H1151" s="3" t="str">
        <f aca="false">Raw_Data!G1151</f>
        <v>no</v>
      </c>
      <c r="I1151" s="3" t="str">
        <f aca="false">Raw_Data!H1151</f>
        <v>no</v>
      </c>
      <c r="J1151" s="2" t="n">
        <f aca="false">IF(F1151="yes",1,0)</f>
        <v>0</v>
      </c>
      <c r="K1151" s="2" t="n">
        <f aca="false">IF(H1151="yes",1,0)</f>
        <v>0</v>
      </c>
      <c r="L1151" s="2" t="n">
        <f aca="false">IF(I1151="yes",1,0)</f>
        <v>0</v>
      </c>
      <c r="M1151" s="2" t="n">
        <f aca="false">IF(G1151&lt;0,1,0)</f>
        <v>0</v>
      </c>
      <c r="N1151" s="2" t="str">
        <f aca="false">_xlfn.IFS(B1151&lt;30,"Under 30",B1151&lt;40,"30-39",B1151&lt;50,"40-49",B1151&lt;60,"50-59",TRUE(),"60+")</f>
        <v>50-59</v>
      </c>
      <c r="O1151" s="2" t="str">
        <f aca="false">_xlfn.IFS(G1151&lt;0,"1 Negative",G1151=0,"2 Zero",G1151&lt;=500,"3 1-500",G1151&lt;=2000,"4 501-2000",TRUE(),"5 Above 2000")</f>
        <v>4 501-2000</v>
      </c>
      <c r="P1151" s="2" t="n">
        <f aca="false">Lookups!$B$2*M1151+Lookups!$B$3*L1151</f>
        <v>0</v>
      </c>
      <c r="Q1151" s="2" t="str">
        <f aca="false">INDEX(Lookups!$E$2:$E$5,MATCH(P1151,Lookups!$D$2:$D$5,0))</f>
        <v>Low</v>
      </c>
    </row>
    <row r="1152" customFormat="false" ht="15" hidden="false" customHeight="false" outlineLevel="0" collapsed="false">
      <c r="A1152" s="3" t="n">
        <v>1151</v>
      </c>
      <c r="B1152" s="3" t="n">
        <f aca="false">Raw_Data!A1152</f>
        <v>36</v>
      </c>
      <c r="C1152" s="3" t="str">
        <f aca="false">SUBSTITUTE(Raw_Data!B1152,".","")</f>
        <v>technician</v>
      </c>
      <c r="D1152" s="3" t="str">
        <f aca="false">Raw_Data!C1152</f>
        <v>divorced</v>
      </c>
      <c r="E1152" s="3" t="str">
        <f aca="false">Raw_Data!D1152</f>
        <v>secondary</v>
      </c>
      <c r="F1152" s="3" t="str">
        <f aca="false">Raw_Data!E1152</f>
        <v>no</v>
      </c>
      <c r="G1152" s="3" t="n">
        <f aca="false">Raw_Data!F1152</f>
        <v>5957</v>
      </c>
      <c r="H1152" s="3" t="str">
        <f aca="false">Raw_Data!G1152</f>
        <v>yes</v>
      </c>
      <c r="I1152" s="3" t="str">
        <f aca="false">Raw_Data!H1152</f>
        <v>no</v>
      </c>
      <c r="J1152" s="2" t="n">
        <f aca="false">IF(F1152="yes",1,0)</f>
        <v>0</v>
      </c>
      <c r="K1152" s="2" t="n">
        <f aca="false">IF(H1152="yes",1,0)</f>
        <v>1</v>
      </c>
      <c r="L1152" s="2" t="n">
        <f aca="false">IF(I1152="yes",1,0)</f>
        <v>0</v>
      </c>
      <c r="M1152" s="2" t="n">
        <f aca="false">IF(G1152&lt;0,1,0)</f>
        <v>0</v>
      </c>
      <c r="N1152" s="2" t="str">
        <f aca="false">_xlfn.IFS(B1152&lt;30,"Under 30",B1152&lt;40,"30-39",B1152&lt;50,"40-49",B1152&lt;60,"50-59",TRUE(),"60+")</f>
        <v>30-39</v>
      </c>
      <c r="O1152" s="2" t="str">
        <f aca="false">_xlfn.IFS(G1152&lt;0,"1 Negative",G1152=0,"2 Zero",G1152&lt;=500,"3 1-500",G1152&lt;=2000,"4 501-2000",TRUE(),"5 Above 2000")</f>
        <v>5 Above 2000</v>
      </c>
      <c r="P1152" s="2" t="n">
        <f aca="false">Lookups!$B$2*M1152+Lookups!$B$3*L1152</f>
        <v>0</v>
      </c>
      <c r="Q1152" s="2" t="str">
        <f aca="false">INDEX(Lookups!$E$2:$E$5,MATCH(P1152,Lookups!$D$2:$D$5,0))</f>
        <v>Low</v>
      </c>
    </row>
    <row r="1153" customFormat="false" ht="15" hidden="false" customHeight="false" outlineLevel="0" collapsed="false">
      <c r="A1153" s="3" t="n">
        <v>1152</v>
      </c>
      <c r="B1153" s="3" t="n">
        <f aca="false">Raw_Data!A1153</f>
        <v>44</v>
      </c>
      <c r="C1153" s="3" t="str">
        <f aca="false">SUBSTITUTE(Raw_Data!B1153,".","")</f>
        <v>admin</v>
      </c>
      <c r="D1153" s="3" t="str">
        <f aca="false">Raw_Data!C1153</f>
        <v>married</v>
      </c>
      <c r="E1153" s="3" t="str">
        <f aca="false">Raw_Data!D1153</f>
        <v>secondary</v>
      </c>
      <c r="F1153" s="3" t="str">
        <f aca="false">Raw_Data!E1153</f>
        <v>no</v>
      </c>
      <c r="G1153" s="3" t="n">
        <f aca="false">Raw_Data!F1153</f>
        <v>205</v>
      </c>
      <c r="H1153" s="3" t="str">
        <f aca="false">Raw_Data!G1153</f>
        <v>no</v>
      </c>
      <c r="I1153" s="3" t="str">
        <f aca="false">Raw_Data!H1153</f>
        <v>no</v>
      </c>
      <c r="J1153" s="2" t="n">
        <f aca="false">IF(F1153="yes",1,0)</f>
        <v>0</v>
      </c>
      <c r="K1153" s="2" t="n">
        <f aca="false">IF(H1153="yes",1,0)</f>
        <v>0</v>
      </c>
      <c r="L1153" s="2" t="n">
        <f aca="false">IF(I1153="yes",1,0)</f>
        <v>0</v>
      </c>
      <c r="M1153" s="2" t="n">
        <f aca="false">IF(G1153&lt;0,1,0)</f>
        <v>0</v>
      </c>
      <c r="N1153" s="2" t="str">
        <f aca="false">_xlfn.IFS(B1153&lt;30,"Under 30",B1153&lt;40,"30-39",B1153&lt;50,"40-49",B1153&lt;60,"50-59",TRUE(),"60+")</f>
        <v>40-49</v>
      </c>
      <c r="O1153" s="2" t="str">
        <f aca="false">_xlfn.IFS(G1153&lt;0,"1 Negative",G1153=0,"2 Zero",G1153&lt;=500,"3 1-500",G1153&lt;=2000,"4 501-2000",TRUE(),"5 Above 2000")</f>
        <v>3 1-500</v>
      </c>
      <c r="P1153" s="2" t="n">
        <f aca="false">Lookups!$B$2*M1153+Lookups!$B$3*L1153</f>
        <v>0</v>
      </c>
      <c r="Q1153" s="2" t="str">
        <f aca="false">INDEX(Lookups!$E$2:$E$5,MATCH(P1153,Lookups!$D$2:$D$5,0))</f>
        <v>Low</v>
      </c>
    </row>
    <row r="1154" customFormat="false" ht="15" hidden="false" customHeight="false" outlineLevel="0" collapsed="false">
      <c r="A1154" s="3" t="n">
        <v>1153</v>
      </c>
      <c r="B1154" s="3" t="n">
        <f aca="false">Raw_Data!A1154</f>
        <v>50</v>
      </c>
      <c r="C1154" s="3" t="str">
        <f aca="false">SUBSTITUTE(Raw_Data!B1154,".","")</f>
        <v>admin</v>
      </c>
      <c r="D1154" s="3" t="str">
        <f aca="false">Raw_Data!C1154</f>
        <v>married</v>
      </c>
      <c r="E1154" s="3" t="str">
        <f aca="false">Raw_Data!D1154</f>
        <v>secondary</v>
      </c>
      <c r="F1154" s="3" t="str">
        <f aca="false">Raw_Data!E1154</f>
        <v>no</v>
      </c>
      <c r="G1154" s="3" t="n">
        <f aca="false">Raw_Data!F1154</f>
        <v>0</v>
      </c>
      <c r="H1154" s="3" t="str">
        <f aca="false">Raw_Data!G1154</f>
        <v>no</v>
      </c>
      <c r="I1154" s="3" t="str">
        <f aca="false">Raw_Data!H1154</f>
        <v>no</v>
      </c>
      <c r="J1154" s="2" t="n">
        <f aca="false">IF(F1154="yes",1,0)</f>
        <v>0</v>
      </c>
      <c r="K1154" s="2" t="n">
        <f aca="false">IF(H1154="yes",1,0)</f>
        <v>0</v>
      </c>
      <c r="L1154" s="2" t="n">
        <f aca="false">IF(I1154="yes",1,0)</f>
        <v>0</v>
      </c>
      <c r="M1154" s="2" t="n">
        <f aca="false">IF(G1154&lt;0,1,0)</f>
        <v>0</v>
      </c>
      <c r="N1154" s="2" t="str">
        <f aca="false">_xlfn.IFS(B1154&lt;30,"Under 30",B1154&lt;40,"30-39",B1154&lt;50,"40-49",B1154&lt;60,"50-59",TRUE(),"60+")</f>
        <v>50-59</v>
      </c>
      <c r="O1154" s="2" t="str">
        <f aca="false">_xlfn.IFS(G1154&lt;0,"1 Negative",G1154=0,"2 Zero",G1154&lt;=500,"3 1-500",G1154&lt;=2000,"4 501-2000",TRUE(),"5 Above 2000")</f>
        <v>2 Zero</v>
      </c>
      <c r="P1154" s="2" t="n">
        <f aca="false">Lookups!$B$2*M1154+Lookups!$B$3*L1154</f>
        <v>0</v>
      </c>
      <c r="Q1154" s="2" t="str">
        <f aca="false">INDEX(Lookups!$E$2:$E$5,MATCH(P1154,Lookups!$D$2:$D$5,0))</f>
        <v>Low</v>
      </c>
    </row>
    <row r="1155" customFormat="false" ht="15" hidden="false" customHeight="false" outlineLevel="0" collapsed="false">
      <c r="A1155" s="3" t="n">
        <v>1154</v>
      </c>
      <c r="B1155" s="3" t="n">
        <f aca="false">Raw_Data!A1155</f>
        <v>41</v>
      </c>
      <c r="C1155" s="3" t="str">
        <f aca="false">SUBSTITUTE(Raw_Data!B1155,".","")</f>
        <v>management</v>
      </c>
      <c r="D1155" s="3" t="str">
        <f aca="false">Raw_Data!C1155</f>
        <v>divorced</v>
      </c>
      <c r="E1155" s="3" t="str">
        <f aca="false">Raw_Data!D1155</f>
        <v>tertiary</v>
      </c>
      <c r="F1155" s="3" t="str">
        <f aca="false">Raw_Data!E1155</f>
        <v>no</v>
      </c>
      <c r="G1155" s="3" t="n">
        <f aca="false">Raw_Data!F1155</f>
        <v>369</v>
      </c>
      <c r="H1155" s="3" t="str">
        <f aca="false">Raw_Data!G1155</f>
        <v>yes</v>
      </c>
      <c r="I1155" s="3" t="str">
        <f aca="false">Raw_Data!H1155</f>
        <v>no</v>
      </c>
      <c r="J1155" s="2" t="n">
        <f aca="false">IF(F1155="yes",1,0)</f>
        <v>0</v>
      </c>
      <c r="K1155" s="2" t="n">
        <f aca="false">IF(H1155="yes",1,0)</f>
        <v>1</v>
      </c>
      <c r="L1155" s="2" t="n">
        <f aca="false">IF(I1155="yes",1,0)</f>
        <v>0</v>
      </c>
      <c r="M1155" s="2" t="n">
        <f aca="false">IF(G1155&lt;0,1,0)</f>
        <v>0</v>
      </c>
      <c r="N1155" s="2" t="str">
        <f aca="false">_xlfn.IFS(B1155&lt;30,"Under 30",B1155&lt;40,"30-39",B1155&lt;50,"40-49",B1155&lt;60,"50-59",TRUE(),"60+")</f>
        <v>40-49</v>
      </c>
      <c r="O1155" s="2" t="str">
        <f aca="false">_xlfn.IFS(G1155&lt;0,"1 Negative",G1155=0,"2 Zero",G1155&lt;=500,"3 1-500",G1155&lt;=2000,"4 501-2000",TRUE(),"5 Above 2000")</f>
        <v>3 1-500</v>
      </c>
      <c r="P1155" s="2" t="n">
        <f aca="false">Lookups!$B$2*M1155+Lookups!$B$3*L1155</f>
        <v>0</v>
      </c>
      <c r="Q1155" s="2" t="str">
        <f aca="false">INDEX(Lookups!$E$2:$E$5,MATCH(P1155,Lookups!$D$2:$D$5,0))</f>
        <v>Low</v>
      </c>
    </row>
    <row r="1156" customFormat="false" ht="15" hidden="false" customHeight="false" outlineLevel="0" collapsed="false">
      <c r="A1156" s="3" t="n">
        <v>1155</v>
      </c>
      <c r="B1156" s="3" t="n">
        <f aca="false">Raw_Data!A1156</f>
        <v>47</v>
      </c>
      <c r="C1156" s="3" t="str">
        <f aca="false">SUBSTITUTE(Raw_Data!B1156,".","")</f>
        <v>admin</v>
      </c>
      <c r="D1156" s="3" t="str">
        <f aca="false">Raw_Data!C1156</f>
        <v>married</v>
      </c>
      <c r="E1156" s="3" t="str">
        <f aca="false">Raw_Data!D1156</f>
        <v>secondary</v>
      </c>
      <c r="F1156" s="3" t="str">
        <f aca="false">Raw_Data!E1156</f>
        <v>no</v>
      </c>
      <c r="G1156" s="3" t="n">
        <f aca="false">Raw_Data!F1156</f>
        <v>1934</v>
      </c>
      <c r="H1156" s="3" t="str">
        <f aca="false">Raw_Data!G1156</f>
        <v>no</v>
      </c>
      <c r="I1156" s="3" t="str">
        <f aca="false">Raw_Data!H1156</f>
        <v>yes</v>
      </c>
      <c r="J1156" s="2" t="n">
        <f aca="false">IF(F1156="yes",1,0)</f>
        <v>0</v>
      </c>
      <c r="K1156" s="2" t="n">
        <f aca="false">IF(H1156="yes",1,0)</f>
        <v>0</v>
      </c>
      <c r="L1156" s="2" t="n">
        <f aca="false">IF(I1156="yes",1,0)</f>
        <v>1</v>
      </c>
      <c r="M1156" s="2" t="n">
        <f aca="false">IF(G1156&lt;0,1,0)</f>
        <v>0</v>
      </c>
      <c r="N1156" s="2" t="str">
        <f aca="false">_xlfn.IFS(B1156&lt;30,"Under 30",B1156&lt;40,"30-39",B1156&lt;50,"40-49",B1156&lt;60,"50-59",TRUE(),"60+")</f>
        <v>40-49</v>
      </c>
      <c r="O1156" s="2" t="str">
        <f aca="false">_xlfn.IFS(G1156&lt;0,"1 Negative",G1156=0,"2 Zero",G1156&lt;=500,"3 1-500",G1156&lt;=2000,"4 501-2000",TRUE(),"5 Above 2000")</f>
        <v>4 501-2000</v>
      </c>
      <c r="P1156" s="2" t="n">
        <f aca="false">Lookups!$B$2*M1156+Lookups!$B$3*L1156</f>
        <v>1</v>
      </c>
      <c r="Q1156" s="2" t="str">
        <f aca="false">INDEX(Lookups!$E$2:$E$5,MATCH(P1156,Lookups!$D$2:$D$5,0))</f>
        <v>Medium</v>
      </c>
    </row>
    <row r="1157" customFormat="false" ht="15" hidden="false" customHeight="false" outlineLevel="0" collapsed="false">
      <c r="A1157" s="3" t="n">
        <v>1156</v>
      </c>
      <c r="B1157" s="3" t="n">
        <f aca="false">Raw_Data!A1157</f>
        <v>32</v>
      </c>
      <c r="C1157" s="3" t="str">
        <f aca="false">SUBSTITUTE(Raw_Data!B1157,".","")</f>
        <v>technician</v>
      </c>
      <c r="D1157" s="3" t="str">
        <f aca="false">Raw_Data!C1157</f>
        <v>single</v>
      </c>
      <c r="E1157" s="3" t="str">
        <f aca="false">Raw_Data!D1157</f>
        <v>tertiary</v>
      </c>
      <c r="F1157" s="3" t="str">
        <f aca="false">Raw_Data!E1157</f>
        <v>no</v>
      </c>
      <c r="G1157" s="3" t="n">
        <f aca="false">Raw_Data!F1157</f>
        <v>259</v>
      </c>
      <c r="H1157" s="3" t="str">
        <f aca="false">Raw_Data!G1157</f>
        <v>no</v>
      </c>
      <c r="I1157" s="3" t="str">
        <f aca="false">Raw_Data!H1157</f>
        <v>no</v>
      </c>
      <c r="J1157" s="2" t="n">
        <f aca="false">IF(F1157="yes",1,0)</f>
        <v>0</v>
      </c>
      <c r="K1157" s="2" t="n">
        <f aca="false">IF(H1157="yes",1,0)</f>
        <v>0</v>
      </c>
      <c r="L1157" s="2" t="n">
        <f aca="false">IF(I1157="yes",1,0)</f>
        <v>0</v>
      </c>
      <c r="M1157" s="2" t="n">
        <f aca="false">IF(G1157&lt;0,1,0)</f>
        <v>0</v>
      </c>
      <c r="N1157" s="2" t="str">
        <f aca="false">_xlfn.IFS(B1157&lt;30,"Under 30",B1157&lt;40,"30-39",B1157&lt;50,"40-49",B1157&lt;60,"50-59",TRUE(),"60+")</f>
        <v>30-39</v>
      </c>
      <c r="O1157" s="2" t="str">
        <f aca="false">_xlfn.IFS(G1157&lt;0,"1 Negative",G1157=0,"2 Zero",G1157&lt;=500,"3 1-500",G1157&lt;=2000,"4 501-2000",TRUE(),"5 Above 2000")</f>
        <v>3 1-500</v>
      </c>
      <c r="P1157" s="2" t="n">
        <f aca="false">Lookups!$B$2*M1157+Lookups!$B$3*L1157</f>
        <v>0</v>
      </c>
      <c r="Q1157" s="2" t="str">
        <f aca="false">INDEX(Lookups!$E$2:$E$5,MATCH(P1157,Lookups!$D$2:$D$5,0))</f>
        <v>Low</v>
      </c>
    </row>
    <row r="1158" customFormat="false" ht="15" hidden="false" customHeight="false" outlineLevel="0" collapsed="false">
      <c r="A1158" s="3" t="n">
        <v>1157</v>
      </c>
      <c r="B1158" s="3" t="n">
        <f aca="false">Raw_Data!A1158</f>
        <v>38</v>
      </c>
      <c r="C1158" s="3" t="str">
        <f aca="false">SUBSTITUTE(Raw_Data!B1158,".","")</f>
        <v>blue-collar</v>
      </c>
      <c r="D1158" s="3" t="str">
        <f aca="false">Raw_Data!C1158</f>
        <v>married</v>
      </c>
      <c r="E1158" s="3" t="str">
        <f aca="false">Raw_Data!D1158</f>
        <v>secondary</v>
      </c>
      <c r="F1158" s="3" t="str">
        <f aca="false">Raw_Data!E1158</f>
        <v>no</v>
      </c>
      <c r="G1158" s="3" t="n">
        <f aca="false">Raw_Data!F1158</f>
        <v>284</v>
      </c>
      <c r="H1158" s="3" t="str">
        <f aca="false">Raw_Data!G1158</f>
        <v>yes</v>
      </c>
      <c r="I1158" s="3" t="str">
        <f aca="false">Raw_Data!H1158</f>
        <v>yes</v>
      </c>
      <c r="J1158" s="2" t="n">
        <f aca="false">IF(F1158="yes",1,0)</f>
        <v>0</v>
      </c>
      <c r="K1158" s="2" t="n">
        <f aca="false">IF(H1158="yes",1,0)</f>
        <v>1</v>
      </c>
      <c r="L1158" s="2" t="n">
        <f aca="false">IF(I1158="yes",1,0)</f>
        <v>1</v>
      </c>
      <c r="M1158" s="2" t="n">
        <f aca="false">IF(G1158&lt;0,1,0)</f>
        <v>0</v>
      </c>
      <c r="N1158" s="2" t="str">
        <f aca="false">_xlfn.IFS(B1158&lt;30,"Under 30",B1158&lt;40,"30-39",B1158&lt;50,"40-49",B1158&lt;60,"50-59",TRUE(),"60+")</f>
        <v>30-39</v>
      </c>
      <c r="O1158" s="2" t="str">
        <f aca="false">_xlfn.IFS(G1158&lt;0,"1 Negative",G1158=0,"2 Zero",G1158&lt;=500,"3 1-500",G1158&lt;=2000,"4 501-2000",TRUE(),"5 Above 2000")</f>
        <v>3 1-500</v>
      </c>
      <c r="P1158" s="2" t="n">
        <f aca="false">Lookups!$B$2*M1158+Lookups!$B$3*L1158</f>
        <v>1</v>
      </c>
      <c r="Q1158" s="2" t="str">
        <f aca="false">INDEX(Lookups!$E$2:$E$5,MATCH(P1158,Lookups!$D$2:$D$5,0))</f>
        <v>Medium</v>
      </c>
    </row>
    <row r="1159" customFormat="false" ht="15" hidden="false" customHeight="false" outlineLevel="0" collapsed="false">
      <c r="A1159" s="3" t="n">
        <v>1158</v>
      </c>
      <c r="B1159" s="3" t="n">
        <f aca="false">Raw_Data!A1159</f>
        <v>55</v>
      </c>
      <c r="C1159" s="3" t="str">
        <f aca="false">SUBSTITUTE(Raw_Data!B1159,".","")</f>
        <v>blue-collar</v>
      </c>
      <c r="D1159" s="3" t="str">
        <f aca="false">Raw_Data!C1159</f>
        <v>married</v>
      </c>
      <c r="E1159" s="3" t="str">
        <f aca="false">Raw_Data!D1159</f>
        <v>unknown</v>
      </c>
      <c r="F1159" s="3" t="str">
        <f aca="false">Raw_Data!E1159</f>
        <v>no</v>
      </c>
      <c r="G1159" s="3" t="n">
        <f aca="false">Raw_Data!F1159</f>
        <v>23</v>
      </c>
      <c r="H1159" s="3" t="str">
        <f aca="false">Raw_Data!G1159</f>
        <v>no</v>
      </c>
      <c r="I1159" s="3" t="str">
        <f aca="false">Raw_Data!H1159</f>
        <v>no</v>
      </c>
      <c r="J1159" s="2" t="n">
        <f aca="false">IF(F1159="yes",1,0)</f>
        <v>0</v>
      </c>
      <c r="K1159" s="2" t="n">
        <f aca="false">IF(H1159="yes",1,0)</f>
        <v>0</v>
      </c>
      <c r="L1159" s="2" t="n">
        <f aca="false">IF(I1159="yes",1,0)</f>
        <v>0</v>
      </c>
      <c r="M1159" s="2" t="n">
        <f aca="false">IF(G1159&lt;0,1,0)</f>
        <v>0</v>
      </c>
      <c r="N1159" s="2" t="str">
        <f aca="false">_xlfn.IFS(B1159&lt;30,"Under 30",B1159&lt;40,"30-39",B1159&lt;50,"40-49",B1159&lt;60,"50-59",TRUE(),"60+")</f>
        <v>50-59</v>
      </c>
      <c r="O1159" s="2" t="str">
        <f aca="false">_xlfn.IFS(G1159&lt;0,"1 Negative",G1159=0,"2 Zero",G1159&lt;=500,"3 1-500",G1159&lt;=2000,"4 501-2000",TRUE(),"5 Above 2000")</f>
        <v>3 1-500</v>
      </c>
      <c r="P1159" s="2" t="n">
        <f aca="false">Lookups!$B$2*M1159+Lookups!$B$3*L1159</f>
        <v>0</v>
      </c>
      <c r="Q1159" s="2" t="str">
        <f aca="false">INDEX(Lookups!$E$2:$E$5,MATCH(P1159,Lookups!$D$2:$D$5,0))</f>
        <v>Low</v>
      </c>
    </row>
    <row r="1160" customFormat="false" ht="15" hidden="false" customHeight="false" outlineLevel="0" collapsed="false">
      <c r="A1160" s="3" t="n">
        <v>1159</v>
      </c>
      <c r="B1160" s="3" t="n">
        <f aca="false">Raw_Data!A1160</f>
        <v>38</v>
      </c>
      <c r="C1160" s="3" t="str">
        <f aca="false">SUBSTITUTE(Raw_Data!B1160,".","")</f>
        <v>management</v>
      </c>
      <c r="D1160" s="3" t="str">
        <f aca="false">Raw_Data!C1160</f>
        <v>single</v>
      </c>
      <c r="E1160" s="3" t="str">
        <f aca="false">Raw_Data!D1160</f>
        <v>tertiary</v>
      </c>
      <c r="F1160" s="3" t="str">
        <f aca="false">Raw_Data!E1160</f>
        <v>no</v>
      </c>
      <c r="G1160" s="3" t="n">
        <f aca="false">Raw_Data!F1160</f>
        <v>1373</v>
      </c>
      <c r="H1160" s="3" t="str">
        <f aca="false">Raw_Data!G1160</f>
        <v>no</v>
      </c>
      <c r="I1160" s="3" t="str">
        <f aca="false">Raw_Data!H1160</f>
        <v>no</v>
      </c>
      <c r="J1160" s="2" t="n">
        <f aca="false">IF(F1160="yes",1,0)</f>
        <v>0</v>
      </c>
      <c r="K1160" s="2" t="n">
        <f aca="false">IF(H1160="yes",1,0)</f>
        <v>0</v>
      </c>
      <c r="L1160" s="2" t="n">
        <f aca="false">IF(I1160="yes",1,0)</f>
        <v>0</v>
      </c>
      <c r="M1160" s="2" t="n">
        <f aca="false">IF(G1160&lt;0,1,0)</f>
        <v>0</v>
      </c>
      <c r="N1160" s="2" t="str">
        <f aca="false">_xlfn.IFS(B1160&lt;30,"Under 30",B1160&lt;40,"30-39",B1160&lt;50,"40-49",B1160&lt;60,"50-59",TRUE(),"60+")</f>
        <v>30-39</v>
      </c>
      <c r="O1160" s="2" t="str">
        <f aca="false">_xlfn.IFS(G1160&lt;0,"1 Negative",G1160=0,"2 Zero",G1160&lt;=500,"3 1-500",G1160&lt;=2000,"4 501-2000",TRUE(),"5 Above 2000")</f>
        <v>4 501-2000</v>
      </c>
      <c r="P1160" s="2" t="n">
        <f aca="false">Lookups!$B$2*M1160+Lookups!$B$3*L1160</f>
        <v>0</v>
      </c>
      <c r="Q1160" s="2" t="str">
        <f aca="false">INDEX(Lookups!$E$2:$E$5,MATCH(P1160,Lookups!$D$2:$D$5,0))</f>
        <v>Low</v>
      </c>
    </row>
    <row r="1161" customFormat="false" ht="15" hidden="false" customHeight="false" outlineLevel="0" collapsed="false">
      <c r="A1161" s="3" t="n">
        <v>1160</v>
      </c>
      <c r="B1161" s="3" t="n">
        <f aca="false">Raw_Data!A1161</f>
        <v>31</v>
      </c>
      <c r="C1161" s="3" t="str">
        <f aca="false">SUBSTITUTE(Raw_Data!B1161,".","")</f>
        <v>management</v>
      </c>
      <c r="D1161" s="3" t="str">
        <f aca="false">Raw_Data!C1161</f>
        <v>single</v>
      </c>
      <c r="E1161" s="3" t="str">
        <f aca="false">Raw_Data!D1161</f>
        <v>tertiary</v>
      </c>
      <c r="F1161" s="3" t="str">
        <f aca="false">Raw_Data!E1161</f>
        <v>no</v>
      </c>
      <c r="G1161" s="3" t="n">
        <f aca="false">Raw_Data!F1161</f>
        <v>62</v>
      </c>
      <c r="H1161" s="3" t="str">
        <f aca="false">Raw_Data!G1161</f>
        <v>yes</v>
      </c>
      <c r="I1161" s="3" t="str">
        <f aca="false">Raw_Data!H1161</f>
        <v>no</v>
      </c>
      <c r="J1161" s="2" t="n">
        <f aca="false">IF(F1161="yes",1,0)</f>
        <v>0</v>
      </c>
      <c r="K1161" s="2" t="n">
        <f aca="false">IF(H1161="yes",1,0)</f>
        <v>1</v>
      </c>
      <c r="L1161" s="2" t="n">
        <f aca="false">IF(I1161="yes",1,0)</f>
        <v>0</v>
      </c>
      <c r="M1161" s="2" t="n">
        <f aca="false">IF(G1161&lt;0,1,0)</f>
        <v>0</v>
      </c>
      <c r="N1161" s="2" t="str">
        <f aca="false">_xlfn.IFS(B1161&lt;30,"Under 30",B1161&lt;40,"30-39",B1161&lt;50,"40-49",B1161&lt;60,"50-59",TRUE(),"60+")</f>
        <v>30-39</v>
      </c>
      <c r="O1161" s="2" t="str">
        <f aca="false">_xlfn.IFS(G1161&lt;0,"1 Negative",G1161=0,"2 Zero",G1161&lt;=500,"3 1-500",G1161&lt;=2000,"4 501-2000",TRUE(),"5 Above 2000")</f>
        <v>3 1-500</v>
      </c>
      <c r="P1161" s="2" t="n">
        <f aca="false">Lookups!$B$2*M1161+Lookups!$B$3*L1161</f>
        <v>0</v>
      </c>
      <c r="Q1161" s="2" t="str">
        <f aca="false">INDEX(Lookups!$E$2:$E$5,MATCH(P1161,Lookups!$D$2:$D$5,0))</f>
        <v>Low</v>
      </c>
    </row>
    <row r="1162" customFormat="false" ht="15" hidden="false" customHeight="false" outlineLevel="0" collapsed="false">
      <c r="A1162" s="3" t="n">
        <v>1161</v>
      </c>
      <c r="B1162" s="3" t="n">
        <f aca="false">Raw_Data!A1162</f>
        <v>38</v>
      </c>
      <c r="C1162" s="3" t="str">
        <f aca="false">SUBSTITUTE(Raw_Data!B1162,".","")</f>
        <v>blue-collar</v>
      </c>
      <c r="D1162" s="3" t="str">
        <f aca="false">Raw_Data!C1162</f>
        <v>divorced</v>
      </c>
      <c r="E1162" s="3" t="str">
        <f aca="false">Raw_Data!D1162</f>
        <v>secondary</v>
      </c>
      <c r="F1162" s="3" t="str">
        <f aca="false">Raw_Data!E1162</f>
        <v>no</v>
      </c>
      <c r="G1162" s="3" t="n">
        <f aca="false">Raw_Data!F1162</f>
        <v>157</v>
      </c>
      <c r="H1162" s="3" t="str">
        <f aca="false">Raw_Data!G1162</f>
        <v>no</v>
      </c>
      <c r="I1162" s="3" t="str">
        <f aca="false">Raw_Data!H1162</f>
        <v>no</v>
      </c>
      <c r="J1162" s="2" t="n">
        <f aca="false">IF(F1162="yes",1,0)</f>
        <v>0</v>
      </c>
      <c r="K1162" s="2" t="n">
        <f aca="false">IF(H1162="yes",1,0)</f>
        <v>0</v>
      </c>
      <c r="L1162" s="2" t="n">
        <f aca="false">IF(I1162="yes",1,0)</f>
        <v>0</v>
      </c>
      <c r="M1162" s="2" t="n">
        <f aca="false">IF(G1162&lt;0,1,0)</f>
        <v>0</v>
      </c>
      <c r="N1162" s="2" t="str">
        <f aca="false">_xlfn.IFS(B1162&lt;30,"Under 30",B1162&lt;40,"30-39",B1162&lt;50,"40-49",B1162&lt;60,"50-59",TRUE(),"60+")</f>
        <v>30-39</v>
      </c>
      <c r="O1162" s="2" t="str">
        <f aca="false">_xlfn.IFS(G1162&lt;0,"1 Negative",G1162=0,"2 Zero",G1162&lt;=500,"3 1-500",G1162&lt;=2000,"4 501-2000",TRUE(),"5 Above 2000")</f>
        <v>3 1-500</v>
      </c>
      <c r="P1162" s="2" t="n">
        <f aca="false">Lookups!$B$2*M1162+Lookups!$B$3*L1162</f>
        <v>0</v>
      </c>
      <c r="Q1162" s="2" t="str">
        <f aca="false">INDEX(Lookups!$E$2:$E$5,MATCH(P1162,Lookups!$D$2:$D$5,0))</f>
        <v>Low</v>
      </c>
    </row>
    <row r="1163" customFormat="false" ht="15" hidden="false" customHeight="false" outlineLevel="0" collapsed="false">
      <c r="A1163" s="3" t="n">
        <v>1162</v>
      </c>
      <c r="B1163" s="3" t="n">
        <f aca="false">Raw_Data!A1163</f>
        <v>29</v>
      </c>
      <c r="C1163" s="3" t="str">
        <f aca="false">SUBSTITUTE(Raw_Data!B1163,".","")</f>
        <v>unemployed</v>
      </c>
      <c r="D1163" s="3" t="str">
        <f aca="false">Raw_Data!C1163</f>
        <v>single</v>
      </c>
      <c r="E1163" s="3" t="str">
        <f aca="false">Raw_Data!D1163</f>
        <v>tertiary</v>
      </c>
      <c r="F1163" s="3" t="str">
        <f aca="false">Raw_Data!E1163</f>
        <v>no</v>
      </c>
      <c r="G1163" s="3" t="n">
        <f aca="false">Raw_Data!F1163</f>
        <v>991</v>
      </c>
      <c r="H1163" s="3" t="str">
        <f aca="false">Raw_Data!G1163</f>
        <v>no</v>
      </c>
      <c r="I1163" s="3" t="str">
        <f aca="false">Raw_Data!H1163</f>
        <v>no</v>
      </c>
      <c r="J1163" s="2" t="n">
        <f aca="false">IF(F1163="yes",1,0)</f>
        <v>0</v>
      </c>
      <c r="K1163" s="2" t="n">
        <f aca="false">IF(H1163="yes",1,0)</f>
        <v>0</v>
      </c>
      <c r="L1163" s="2" t="n">
        <f aca="false">IF(I1163="yes",1,0)</f>
        <v>0</v>
      </c>
      <c r="M1163" s="2" t="n">
        <f aca="false">IF(G1163&lt;0,1,0)</f>
        <v>0</v>
      </c>
      <c r="N1163" s="2" t="str">
        <f aca="false">_xlfn.IFS(B1163&lt;30,"Under 30",B1163&lt;40,"30-39",B1163&lt;50,"40-49",B1163&lt;60,"50-59",TRUE(),"60+")</f>
        <v>Under 30</v>
      </c>
      <c r="O1163" s="2" t="str">
        <f aca="false">_xlfn.IFS(G1163&lt;0,"1 Negative",G1163=0,"2 Zero",G1163&lt;=500,"3 1-500",G1163&lt;=2000,"4 501-2000",TRUE(),"5 Above 2000")</f>
        <v>4 501-2000</v>
      </c>
      <c r="P1163" s="2" t="n">
        <f aca="false">Lookups!$B$2*M1163+Lookups!$B$3*L1163</f>
        <v>0</v>
      </c>
      <c r="Q1163" s="2" t="str">
        <f aca="false">INDEX(Lookups!$E$2:$E$5,MATCH(P1163,Lookups!$D$2:$D$5,0))</f>
        <v>Low</v>
      </c>
    </row>
    <row r="1164" customFormat="false" ht="15" hidden="false" customHeight="false" outlineLevel="0" collapsed="false">
      <c r="A1164" s="3" t="n">
        <v>1163</v>
      </c>
      <c r="B1164" s="3" t="n">
        <f aca="false">Raw_Data!A1164</f>
        <v>55</v>
      </c>
      <c r="C1164" s="3" t="str">
        <f aca="false">SUBSTITUTE(Raw_Data!B1164,".","")</f>
        <v>services</v>
      </c>
      <c r="D1164" s="3" t="str">
        <f aca="false">Raw_Data!C1164</f>
        <v>married</v>
      </c>
      <c r="E1164" s="3" t="str">
        <f aca="false">Raw_Data!D1164</f>
        <v>secondary</v>
      </c>
      <c r="F1164" s="3" t="str">
        <f aca="false">Raw_Data!E1164</f>
        <v>no</v>
      </c>
      <c r="G1164" s="3" t="n">
        <f aca="false">Raw_Data!F1164</f>
        <v>186</v>
      </c>
      <c r="H1164" s="3" t="str">
        <f aca="false">Raw_Data!G1164</f>
        <v>yes</v>
      </c>
      <c r="I1164" s="3" t="str">
        <f aca="false">Raw_Data!H1164</f>
        <v>yes</v>
      </c>
      <c r="J1164" s="2" t="n">
        <f aca="false">IF(F1164="yes",1,0)</f>
        <v>0</v>
      </c>
      <c r="K1164" s="2" t="n">
        <f aca="false">IF(H1164="yes",1,0)</f>
        <v>1</v>
      </c>
      <c r="L1164" s="2" t="n">
        <f aca="false">IF(I1164="yes",1,0)</f>
        <v>1</v>
      </c>
      <c r="M1164" s="2" t="n">
        <f aca="false">IF(G1164&lt;0,1,0)</f>
        <v>0</v>
      </c>
      <c r="N1164" s="2" t="str">
        <f aca="false">_xlfn.IFS(B1164&lt;30,"Under 30",B1164&lt;40,"30-39",B1164&lt;50,"40-49",B1164&lt;60,"50-59",TRUE(),"60+")</f>
        <v>50-59</v>
      </c>
      <c r="O1164" s="2" t="str">
        <f aca="false">_xlfn.IFS(G1164&lt;0,"1 Negative",G1164=0,"2 Zero",G1164&lt;=500,"3 1-500",G1164&lt;=2000,"4 501-2000",TRUE(),"5 Above 2000")</f>
        <v>3 1-500</v>
      </c>
      <c r="P1164" s="2" t="n">
        <f aca="false">Lookups!$B$2*M1164+Lookups!$B$3*L1164</f>
        <v>1</v>
      </c>
      <c r="Q1164" s="2" t="str">
        <f aca="false">INDEX(Lookups!$E$2:$E$5,MATCH(P1164,Lookups!$D$2:$D$5,0))</f>
        <v>Medium</v>
      </c>
    </row>
    <row r="1165" customFormat="false" ht="15" hidden="false" customHeight="false" outlineLevel="0" collapsed="false">
      <c r="A1165" s="3" t="n">
        <v>1164</v>
      </c>
      <c r="B1165" s="3" t="n">
        <f aca="false">Raw_Data!A1165</f>
        <v>35</v>
      </c>
      <c r="C1165" s="3" t="str">
        <f aca="false">SUBSTITUTE(Raw_Data!B1165,".","")</f>
        <v>unemployed</v>
      </c>
      <c r="D1165" s="3" t="str">
        <f aca="false">Raw_Data!C1165</f>
        <v>married</v>
      </c>
      <c r="E1165" s="3" t="str">
        <f aca="false">Raw_Data!D1165</f>
        <v>secondary</v>
      </c>
      <c r="F1165" s="3" t="str">
        <f aca="false">Raw_Data!E1165</f>
        <v>no</v>
      </c>
      <c r="G1165" s="3" t="n">
        <f aca="false">Raw_Data!F1165</f>
        <v>977</v>
      </c>
      <c r="H1165" s="3" t="str">
        <f aca="false">Raw_Data!G1165</f>
        <v>yes</v>
      </c>
      <c r="I1165" s="3" t="str">
        <f aca="false">Raw_Data!H1165</f>
        <v>no</v>
      </c>
      <c r="J1165" s="2" t="n">
        <f aca="false">IF(F1165="yes",1,0)</f>
        <v>0</v>
      </c>
      <c r="K1165" s="2" t="n">
        <f aca="false">IF(H1165="yes",1,0)</f>
        <v>1</v>
      </c>
      <c r="L1165" s="2" t="n">
        <f aca="false">IF(I1165="yes",1,0)</f>
        <v>0</v>
      </c>
      <c r="M1165" s="2" t="n">
        <f aca="false">IF(G1165&lt;0,1,0)</f>
        <v>0</v>
      </c>
      <c r="N1165" s="2" t="str">
        <f aca="false">_xlfn.IFS(B1165&lt;30,"Under 30",B1165&lt;40,"30-39",B1165&lt;50,"40-49",B1165&lt;60,"50-59",TRUE(),"60+")</f>
        <v>30-39</v>
      </c>
      <c r="O1165" s="2" t="str">
        <f aca="false">_xlfn.IFS(G1165&lt;0,"1 Negative",G1165=0,"2 Zero",G1165&lt;=500,"3 1-500",G1165&lt;=2000,"4 501-2000",TRUE(),"5 Above 2000")</f>
        <v>4 501-2000</v>
      </c>
      <c r="P1165" s="2" t="n">
        <f aca="false">Lookups!$B$2*M1165+Lookups!$B$3*L1165</f>
        <v>0</v>
      </c>
      <c r="Q1165" s="2" t="str">
        <f aca="false">INDEX(Lookups!$E$2:$E$5,MATCH(P1165,Lookups!$D$2:$D$5,0))</f>
        <v>Low</v>
      </c>
    </row>
    <row r="1166" customFormat="false" ht="15" hidden="false" customHeight="false" outlineLevel="0" collapsed="false">
      <c r="A1166" s="3" t="n">
        <v>1165</v>
      </c>
      <c r="B1166" s="3" t="n">
        <f aca="false">Raw_Data!A1166</f>
        <v>40</v>
      </c>
      <c r="C1166" s="3" t="str">
        <f aca="false">SUBSTITUTE(Raw_Data!B1166,".","")</f>
        <v>self-employed</v>
      </c>
      <c r="D1166" s="3" t="str">
        <f aca="false">Raw_Data!C1166</f>
        <v>single</v>
      </c>
      <c r="E1166" s="3" t="str">
        <f aca="false">Raw_Data!D1166</f>
        <v>tertiary</v>
      </c>
      <c r="F1166" s="3" t="str">
        <f aca="false">Raw_Data!E1166</f>
        <v>no</v>
      </c>
      <c r="G1166" s="3" t="n">
        <f aca="false">Raw_Data!F1166</f>
        <v>2893</v>
      </c>
      <c r="H1166" s="3" t="str">
        <f aca="false">Raw_Data!G1166</f>
        <v>no</v>
      </c>
      <c r="I1166" s="3" t="str">
        <f aca="false">Raw_Data!H1166</f>
        <v>no</v>
      </c>
      <c r="J1166" s="2" t="n">
        <f aca="false">IF(F1166="yes",1,0)</f>
        <v>0</v>
      </c>
      <c r="K1166" s="2" t="n">
        <f aca="false">IF(H1166="yes",1,0)</f>
        <v>0</v>
      </c>
      <c r="L1166" s="2" t="n">
        <f aca="false">IF(I1166="yes",1,0)</f>
        <v>0</v>
      </c>
      <c r="M1166" s="2" t="n">
        <f aca="false">IF(G1166&lt;0,1,0)</f>
        <v>0</v>
      </c>
      <c r="N1166" s="2" t="str">
        <f aca="false">_xlfn.IFS(B1166&lt;30,"Under 30",B1166&lt;40,"30-39",B1166&lt;50,"40-49",B1166&lt;60,"50-59",TRUE(),"60+")</f>
        <v>40-49</v>
      </c>
      <c r="O1166" s="2" t="str">
        <f aca="false">_xlfn.IFS(G1166&lt;0,"1 Negative",G1166=0,"2 Zero",G1166&lt;=500,"3 1-500",G1166&lt;=2000,"4 501-2000",TRUE(),"5 Above 2000")</f>
        <v>5 Above 2000</v>
      </c>
      <c r="P1166" s="2" t="n">
        <f aca="false">Lookups!$B$2*M1166+Lookups!$B$3*L1166</f>
        <v>0</v>
      </c>
      <c r="Q1166" s="2" t="str">
        <f aca="false">INDEX(Lookups!$E$2:$E$5,MATCH(P1166,Lookups!$D$2:$D$5,0))</f>
        <v>Low</v>
      </c>
    </row>
    <row r="1167" customFormat="false" ht="15" hidden="false" customHeight="false" outlineLevel="0" collapsed="false">
      <c r="A1167" s="3" t="n">
        <v>1166</v>
      </c>
      <c r="B1167" s="3" t="n">
        <f aca="false">Raw_Data!A1167</f>
        <v>34</v>
      </c>
      <c r="C1167" s="3" t="str">
        <f aca="false">SUBSTITUTE(Raw_Data!B1167,".","")</f>
        <v>blue-collar</v>
      </c>
      <c r="D1167" s="3" t="str">
        <f aca="false">Raw_Data!C1167</f>
        <v>married</v>
      </c>
      <c r="E1167" s="3" t="str">
        <f aca="false">Raw_Data!D1167</f>
        <v>secondary</v>
      </c>
      <c r="F1167" s="3" t="str">
        <f aca="false">Raw_Data!E1167</f>
        <v>no</v>
      </c>
      <c r="G1167" s="3" t="n">
        <f aca="false">Raw_Data!F1167</f>
        <v>1897</v>
      </c>
      <c r="H1167" s="3" t="str">
        <f aca="false">Raw_Data!G1167</f>
        <v>yes</v>
      </c>
      <c r="I1167" s="3" t="str">
        <f aca="false">Raw_Data!H1167</f>
        <v>yes</v>
      </c>
      <c r="J1167" s="2" t="n">
        <f aca="false">IF(F1167="yes",1,0)</f>
        <v>0</v>
      </c>
      <c r="K1167" s="2" t="n">
        <f aca="false">IF(H1167="yes",1,0)</f>
        <v>1</v>
      </c>
      <c r="L1167" s="2" t="n">
        <f aca="false">IF(I1167="yes",1,0)</f>
        <v>1</v>
      </c>
      <c r="M1167" s="2" t="n">
        <f aca="false">IF(G1167&lt;0,1,0)</f>
        <v>0</v>
      </c>
      <c r="N1167" s="2" t="str">
        <f aca="false">_xlfn.IFS(B1167&lt;30,"Under 30",B1167&lt;40,"30-39",B1167&lt;50,"40-49",B1167&lt;60,"50-59",TRUE(),"60+")</f>
        <v>30-39</v>
      </c>
      <c r="O1167" s="2" t="str">
        <f aca="false">_xlfn.IFS(G1167&lt;0,"1 Negative",G1167=0,"2 Zero",G1167&lt;=500,"3 1-500",G1167&lt;=2000,"4 501-2000",TRUE(),"5 Above 2000")</f>
        <v>4 501-2000</v>
      </c>
      <c r="P1167" s="2" t="n">
        <f aca="false">Lookups!$B$2*M1167+Lookups!$B$3*L1167</f>
        <v>1</v>
      </c>
      <c r="Q1167" s="2" t="str">
        <f aca="false">INDEX(Lookups!$E$2:$E$5,MATCH(P1167,Lookups!$D$2:$D$5,0))</f>
        <v>Medium</v>
      </c>
    </row>
    <row r="1168" customFormat="false" ht="15" hidden="false" customHeight="false" outlineLevel="0" collapsed="false">
      <c r="A1168" s="3" t="n">
        <v>1167</v>
      </c>
      <c r="B1168" s="3" t="n">
        <f aca="false">Raw_Data!A1168</f>
        <v>32</v>
      </c>
      <c r="C1168" s="3" t="str">
        <f aca="false">SUBSTITUTE(Raw_Data!B1168,".","")</f>
        <v>technician</v>
      </c>
      <c r="D1168" s="3" t="str">
        <f aca="false">Raw_Data!C1168</f>
        <v>single</v>
      </c>
      <c r="E1168" s="3" t="str">
        <f aca="false">Raw_Data!D1168</f>
        <v>tertiary</v>
      </c>
      <c r="F1168" s="3" t="str">
        <f aca="false">Raw_Data!E1168</f>
        <v>no</v>
      </c>
      <c r="G1168" s="3" t="n">
        <f aca="false">Raw_Data!F1168</f>
        <v>5514</v>
      </c>
      <c r="H1168" s="3" t="str">
        <f aca="false">Raw_Data!G1168</f>
        <v>no</v>
      </c>
      <c r="I1168" s="3" t="str">
        <f aca="false">Raw_Data!H1168</f>
        <v>no</v>
      </c>
      <c r="J1168" s="2" t="n">
        <f aca="false">IF(F1168="yes",1,0)</f>
        <v>0</v>
      </c>
      <c r="K1168" s="2" t="n">
        <f aca="false">IF(H1168="yes",1,0)</f>
        <v>0</v>
      </c>
      <c r="L1168" s="2" t="n">
        <f aca="false">IF(I1168="yes",1,0)</f>
        <v>0</v>
      </c>
      <c r="M1168" s="2" t="n">
        <f aca="false">IF(G1168&lt;0,1,0)</f>
        <v>0</v>
      </c>
      <c r="N1168" s="2" t="str">
        <f aca="false">_xlfn.IFS(B1168&lt;30,"Under 30",B1168&lt;40,"30-39",B1168&lt;50,"40-49",B1168&lt;60,"50-59",TRUE(),"60+")</f>
        <v>30-39</v>
      </c>
      <c r="O1168" s="2" t="str">
        <f aca="false">_xlfn.IFS(G1168&lt;0,"1 Negative",G1168=0,"2 Zero",G1168&lt;=500,"3 1-500",G1168&lt;=2000,"4 501-2000",TRUE(),"5 Above 2000")</f>
        <v>5 Above 2000</v>
      </c>
      <c r="P1168" s="2" t="n">
        <f aca="false">Lookups!$B$2*M1168+Lookups!$B$3*L1168</f>
        <v>0</v>
      </c>
      <c r="Q1168" s="2" t="str">
        <f aca="false">INDEX(Lookups!$E$2:$E$5,MATCH(P1168,Lookups!$D$2:$D$5,0))</f>
        <v>Low</v>
      </c>
    </row>
    <row r="1169" customFormat="false" ht="15" hidden="false" customHeight="false" outlineLevel="0" collapsed="false">
      <c r="A1169" s="3" t="n">
        <v>1168</v>
      </c>
      <c r="B1169" s="3" t="n">
        <f aca="false">Raw_Data!A1169</f>
        <v>33</v>
      </c>
      <c r="C1169" s="3" t="str">
        <f aca="false">SUBSTITUTE(Raw_Data!B1169,".","")</f>
        <v>blue-collar</v>
      </c>
      <c r="D1169" s="3" t="str">
        <f aca="false">Raw_Data!C1169</f>
        <v>married</v>
      </c>
      <c r="E1169" s="3" t="str">
        <f aca="false">Raw_Data!D1169</f>
        <v>secondary</v>
      </c>
      <c r="F1169" s="3" t="str">
        <f aca="false">Raw_Data!E1169</f>
        <v>no</v>
      </c>
      <c r="G1169" s="3" t="n">
        <f aca="false">Raw_Data!F1169</f>
        <v>889</v>
      </c>
      <c r="H1169" s="3" t="str">
        <f aca="false">Raw_Data!G1169</f>
        <v>yes</v>
      </c>
      <c r="I1169" s="3" t="str">
        <f aca="false">Raw_Data!H1169</f>
        <v>no</v>
      </c>
      <c r="J1169" s="2" t="n">
        <f aca="false">IF(F1169="yes",1,0)</f>
        <v>0</v>
      </c>
      <c r="K1169" s="2" t="n">
        <f aca="false">IF(H1169="yes",1,0)</f>
        <v>1</v>
      </c>
      <c r="L1169" s="2" t="n">
        <f aca="false">IF(I1169="yes",1,0)</f>
        <v>0</v>
      </c>
      <c r="M1169" s="2" t="n">
        <f aca="false">IF(G1169&lt;0,1,0)</f>
        <v>0</v>
      </c>
      <c r="N1169" s="2" t="str">
        <f aca="false">_xlfn.IFS(B1169&lt;30,"Under 30",B1169&lt;40,"30-39",B1169&lt;50,"40-49",B1169&lt;60,"50-59",TRUE(),"60+")</f>
        <v>30-39</v>
      </c>
      <c r="O1169" s="2" t="str">
        <f aca="false">_xlfn.IFS(G1169&lt;0,"1 Negative",G1169=0,"2 Zero",G1169&lt;=500,"3 1-500",G1169&lt;=2000,"4 501-2000",TRUE(),"5 Above 2000")</f>
        <v>4 501-2000</v>
      </c>
      <c r="P1169" s="2" t="n">
        <f aca="false">Lookups!$B$2*M1169+Lookups!$B$3*L1169</f>
        <v>0</v>
      </c>
      <c r="Q1169" s="2" t="str">
        <f aca="false">INDEX(Lookups!$E$2:$E$5,MATCH(P1169,Lookups!$D$2:$D$5,0))</f>
        <v>Low</v>
      </c>
    </row>
    <row r="1170" customFormat="false" ht="15" hidden="false" customHeight="false" outlineLevel="0" collapsed="false">
      <c r="A1170" s="3" t="n">
        <v>1169</v>
      </c>
      <c r="B1170" s="3" t="n">
        <f aca="false">Raw_Data!A1170</f>
        <v>33</v>
      </c>
      <c r="C1170" s="3" t="str">
        <f aca="false">SUBSTITUTE(Raw_Data!B1170,".","")</f>
        <v>management</v>
      </c>
      <c r="D1170" s="3" t="str">
        <f aca="false">Raw_Data!C1170</f>
        <v>married</v>
      </c>
      <c r="E1170" s="3" t="str">
        <f aca="false">Raw_Data!D1170</f>
        <v>tertiary</v>
      </c>
      <c r="F1170" s="3" t="str">
        <f aca="false">Raw_Data!E1170</f>
        <v>no</v>
      </c>
      <c r="G1170" s="3" t="n">
        <f aca="false">Raw_Data!F1170</f>
        <v>273</v>
      </c>
      <c r="H1170" s="3" t="str">
        <f aca="false">Raw_Data!G1170</f>
        <v>yes</v>
      </c>
      <c r="I1170" s="3" t="str">
        <f aca="false">Raw_Data!H1170</f>
        <v>no</v>
      </c>
      <c r="J1170" s="2" t="n">
        <f aca="false">IF(F1170="yes",1,0)</f>
        <v>0</v>
      </c>
      <c r="K1170" s="2" t="n">
        <f aca="false">IF(H1170="yes",1,0)</f>
        <v>1</v>
      </c>
      <c r="L1170" s="2" t="n">
        <f aca="false">IF(I1170="yes",1,0)</f>
        <v>0</v>
      </c>
      <c r="M1170" s="2" t="n">
        <f aca="false">IF(G1170&lt;0,1,0)</f>
        <v>0</v>
      </c>
      <c r="N1170" s="2" t="str">
        <f aca="false">_xlfn.IFS(B1170&lt;30,"Under 30",B1170&lt;40,"30-39",B1170&lt;50,"40-49",B1170&lt;60,"50-59",TRUE(),"60+")</f>
        <v>30-39</v>
      </c>
      <c r="O1170" s="2" t="str">
        <f aca="false">_xlfn.IFS(G1170&lt;0,"1 Negative",G1170=0,"2 Zero",G1170&lt;=500,"3 1-500",G1170&lt;=2000,"4 501-2000",TRUE(),"5 Above 2000")</f>
        <v>3 1-500</v>
      </c>
      <c r="P1170" s="2" t="n">
        <f aca="false">Lookups!$B$2*M1170+Lookups!$B$3*L1170</f>
        <v>0</v>
      </c>
      <c r="Q1170" s="2" t="str">
        <f aca="false">INDEX(Lookups!$E$2:$E$5,MATCH(P1170,Lookups!$D$2:$D$5,0))</f>
        <v>Low</v>
      </c>
    </row>
    <row r="1171" customFormat="false" ht="15" hidden="false" customHeight="false" outlineLevel="0" collapsed="false">
      <c r="A1171" s="3" t="n">
        <v>1170</v>
      </c>
      <c r="B1171" s="3" t="n">
        <f aca="false">Raw_Data!A1171</f>
        <v>37</v>
      </c>
      <c r="C1171" s="3" t="str">
        <f aca="false">SUBSTITUTE(Raw_Data!B1171,".","")</f>
        <v>admin</v>
      </c>
      <c r="D1171" s="3" t="str">
        <f aca="false">Raw_Data!C1171</f>
        <v>married</v>
      </c>
      <c r="E1171" s="3" t="str">
        <f aca="false">Raw_Data!D1171</f>
        <v>secondary</v>
      </c>
      <c r="F1171" s="3" t="str">
        <f aca="false">Raw_Data!E1171</f>
        <v>no</v>
      </c>
      <c r="G1171" s="3" t="n">
        <f aca="false">Raw_Data!F1171</f>
        <v>1193</v>
      </c>
      <c r="H1171" s="3" t="str">
        <f aca="false">Raw_Data!G1171</f>
        <v>no</v>
      </c>
      <c r="I1171" s="3" t="str">
        <f aca="false">Raw_Data!H1171</f>
        <v>no</v>
      </c>
      <c r="J1171" s="2" t="n">
        <f aca="false">IF(F1171="yes",1,0)</f>
        <v>0</v>
      </c>
      <c r="K1171" s="2" t="n">
        <f aca="false">IF(H1171="yes",1,0)</f>
        <v>0</v>
      </c>
      <c r="L1171" s="2" t="n">
        <f aca="false">IF(I1171="yes",1,0)</f>
        <v>0</v>
      </c>
      <c r="M1171" s="2" t="n">
        <f aca="false">IF(G1171&lt;0,1,0)</f>
        <v>0</v>
      </c>
      <c r="N1171" s="2" t="str">
        <f aca="false">_xlfn.IFS(B1171&lt;30,"Under 30",B1171&lt;40,"30-39",B1171&lt;50,"40-49",B1171&lt;60,"50-59",TRUE(),"60+")</f>
        <v>30-39</v>
      </c>
      <c r="O1171" s="2" t="str">
        <f aca="false">_xlfn.IFS(G1171&lt;0,"1 Negative",G1171=0,"2 Zero",G1171&lt;=500,"3 1-500",G1171&lt;=2000,"4 501-2000",TRUE(),"5 Above 2000")</f>
        <v>4 501-2000</v>
      </c>
      <c r="P1171" s="2" t="n">
        <f aca="false">Lookups!$B$2*M1171+Lookups!$B$3*L1171</f>
        <v>0</v>
      </c>
      <c r="Q1171" s="2" t="str">
        <f aca="false">INDEX(Lookups!$E$2:$E$5,MATCH(P1171,Lookups!$D$2:$D$5,0))</f>
        <v>Low</v>
      </c>
    </row>
    <row r="1172" customFormat="false" ht="15" hidden="false" customHeight="false" outlineLevel="0" collapsed="false">
      <c r="A1172" s="3" t="n">
        <v>1171</v>
      </c>
      <c r="B1172" s="3" t="n">
        <f aca="false">Raw_Data!A1172</f>
        <v>58</v>
      </c>
      <c r="C1172" s="3" t="str">
        <f aca="false">SUBSTITUTE(Raw_Data!B1172,".","")</f>
        <v>management</v>
      </c>
      <c r="D1172" s="3" t="str">
        <f aca="false">Raw_Data!C1172</f>
        <v>married</v>
      </c>
      <c r="E1172" s="3" t="str">
        <f aca="false">Raw_Data!D1172</f>
        <v>tertiary</v>
      </c>
      <c r="F1172" s="3" t="str">
        <f aca="false">Raw_Data!E1172</f>
        <v>no</v>
      </c>
      <c r="G1172" s="3" t="n">
        <f aca="false">Raw_Data!F1172</f>
        <v>2729</v>
      </c>
      <c r="H1172" s="3" t="str">
        <f aca="false">Raw_Data!G1172</f>
        <v>no</v>
      </c>
      <c r="I1172" s="3" t="str">
        <f aca="false">Raw_Data!H1172</f>
        <v>no</v>
      </c>
      <c r="J1172" s="2" t="n">
        <f aca="false">IF(F1172="yes",1,0)</f>
        <v>0</v>
      </c>
      <c r="K1172" s="2" t="n">
        <f aca="false">IF(H1172="yes",1,0)</f>
        <v>0</v>
      </c>
      <c r="L1172" s="2" t="n">
        <f aca="false">IF(I1172="yes",1,0)</f>
        <v>0</v>
      </c>
      <c r="M1172" s="2" t="n">
        <f aca="false">IF(G1172&lt;0,1,0)</f>
        <v>0</v>
      </c>
      <c r="N1172" s="2" t="str">
        <f aca="false">_xlfn.IFS(B1172&lt;30,"Under 30",B1172&lt;40,"30-39",B1172&lt;50,"40-49",B1172&lt;60,"50-59",TRUE(),"60+")</f>
        <v>50-59</v>
      </c>
      <c r="O1172" s="2" t="str">
        <f aca="false">_xlfn.IFS(G1172&lt;0,"1 Negative",G1172=0,"2 Zero",G1172&lt;=500,"3 1-500",G1172&lt;=2000,"4 501-2000",TRUE(),"5 Above 2000")</f>
        <v>5 Above 2000</v>
      </c>
      <c r="P1172" s="2" t="n">
        <f aca="false">Lookups!$B$2*M1172+Lookups!$B$3*L1172</f>
        <v>0</v>
      </c>
      <c r="Q1172" s="2" t="str">
        <f aca="false">INDEX(Lookups!$E$2:$E$5,MATCH(P1172,Lookups!$D$2:$D$5,0))</f>
        <v>Low</v>
      </c>
    </row>
    <row r="1173" customFormat="false" ht="15" hidden="false" customHeight="false" outlineLevel="0" collapsed="false">
      <c r="A1173" s="3" t="n">
        <v>1172</v>
      </c>
      <c r="B1173" s="3" t="n">
        <f aca="false">Raw_Data!A1173</f>
        <v>36</v>
      </c>
      <c r="C1173" s="3" t="str">
        <f aca="false">SUBSTITUTE(Raw_Data!B1173,".","")</f>
        <v>admin</v>
      </c>
      <c r="D1173" s="3" t="str">
        <f aca="false">Raw_Data!C1173</f>
        <v>single</v>
      </c>
      <c r="E1173" s="3" t="str">
        <f aca="false">Raw_Data!D1173</f>
        <v>secondary</v>
      </c>
      <c r="F1173" s="3" t="str">
        <f aca="false">Raw_Data!E1173</f>
        <v>no</v>
      </c>
      <c r="G1173" s="3" t="n">
        <f aca="false">Raw_Data!F1173</f>
        <v>0</v>
      </c>
      <c r="H1173" s="3" t="str">
        <f aca="false">Raw_Data!G1173</f>
        <v>no</v>
      </c>
      <c r="I1173" s="3" t="str">
        <f aca="false">Raw_Data!H1173</f>
        <v>no</v>
      </c>
      <c r="J1173" s="2" t="n">
        <f aca="false">IF(F1173="yes",1,0)</f>
        <v>0</v>
      </c>
      <c r="K1173" s="2" t="n">
        <f aca="false">IF(H1173="yes",1,0)</f>
        <v>0</v>
      </c>
      <c r="L1173" s="2" t="n">
        <f aca="false">IF(I1173="yes",1,0)</f>
        <v>0</v>
      </c>
      <c r="M1173" s="2" t="n">
        <f aca="false">IF(G1173&lt;0,1,0)</f>
        <v>0</v>
      </c>
      <c r="N1173" s="2" t="str">
        <f aca="false">_xlfn.IFS(B1173&lt;30,"Under 30",B1173&lt;40,"30-39",B1173&lt;50,"40-49",B1173&lt;60,"50-59",TRUE(),"60+")</f>
        <v>30-39</v>
      </c>
      <c r="O1173" s="2" t="str">
        <f aca="false">_xlfn.IFS(G1173&lt;0,"1 Negative",G1173=0,"2 Zero",G1173&lt;=500,"3 1-500",G1173&lt;=2000,"4 501-2000",TRUE(),"5 Above 2000")</f>
        <v>2 Zero</v>
      </c>
      <c r="P1173" s="2" t="n">
        <f aca="false">Lookups!$B$2*M1173+Lookups!$B$3*L1173</f>
        <v>0</v>
      </c>
      <c r="Q1173" s="2" t="str">
        <f aca="false">INDEX(Lookups!$E$2:$E$5,MATCH(P1173,Lookups!$D$2:$D$5,0))</f>
        <v>Low</v>
      </c>
    </row>
    <row r="1174" customFormat="false" ht="15" hidden="false" customHeight="false" outlineLevel="0" collapsed="false">
      <c r="A1174" s="3" t="n">
        <v>1173</v>
      </c>
      <c r="B1174" s="3" t="n">
        <f aca="false">Raw_Data!A1174</f>
        <v>42</v>
      </c>
      <c r="C1174" s="3" t="str">
        <f aca="false">SUBSTITUTE(Raw_Data!B1174,".","")</f>
        <v>blue-collar</v>
      </c>
      <c r="D1174" s="3" t="str">
        <f aca="false">Raw_Data!C1174</f>
        <v>married</v>
      </c>
      <c r="E1174" s="3" t="str">
        <f aca="false">Raw_Data!D1174</f>
        <v>secondary</v>
      </c>
      <c r="F1174" s="3" t="str">
        <f aca="false">Raw_Data!E1174</f>
        <v>no</v>
      </c>
      <c r="G1174" s="3" t="n">
        <f aca="false">Raw_Data!F1174</f>
        <v>230</v>
      </c>
      <c r="H1174" s="3" t="str">
        <f aca="false">Raw_Data!G1174</f>
        <v>yes</v>
      </c>
      <c r="I1174" s="3" t="str">
        <f aca="false">Raw_Data!H1174</f>
        <v>no</v>
      </c>
      <c r="J1174" s="2" t="n">
        <f aca="false">IF(F1174="yes",1,0)</f>
        <v>0</v>
      </c>
      <c r="K1174" s="2" t="n">
        <f aca="false">IF(H1174="yes",1,0)</f>
        <v>1</v>
      </c>
      <c r="L1174" s="2" t="n">
        <f aca="false">IF(I1174="yes",1,0)</f>
        <v>0</v>
      </c>
      <c r="M1174" s="2" t="n">
        <f aca="false">IF(G1174&lt;0,1,0)</f>
        <v>0</v>
      </c>
      <c r="N1174" s="2" t="str">
        <f aca="false">_xlfn.IFS(B1174&lt;30,"Under 30",B1174&lt;40,"30-39",B1174&lt;50,"40-49",B1174&lt;60,"50-59",TRUE(),"60+")</f>
        <v>40-49</v>
      </c>
      <c r="O1174" s="2" t="str">
        <f aca="false">_xlfn.IFS(G1174&lt;0,"1 Negative",G1174=0,"2 Zero",G1174&lt;=500,"3 1-500",G1174&lt;=2000,"4 501-2000",TRUE(),"5 Above 2000")</f>
        <v>3 1-500</v>
      </c>
      <c r="P1174" s="2" t="n">
        <f aca="false">Lookups!$B$2*M1174+Lookups!$B$3*L1174</f>
        <v>0</v>
      </c>
      <c r="Q1174" s="2" t="str">
        <f aca="false">INDEX(Lookups!$E$2:$E$5,MATCH(P1174,Lookups!$D$2:$D$5,0))</f>
        <v>Low</v>
      </c>
    </row>
    <row r="1175" customFormat="false" ht="15" hidden="false" customHeight="false" outlineLevel="0" collapsed="false">
      <c r="A1175" s="3" t="n">
        <v>1174</v>
      </c>
      <c r="B1175" s="3" t="n">
        <f aca="false">Raw_Data!A1175</f>
        <v>34</v>
      </c>
      <c r="C1175" s="3" t="str">
        <f aca="false">SUBSTITUTE(Raw_Data!B1175,".","")</f>
        <v>technician</v>
      </c>
      <c r="D1175" s="3" t="str">
        <f aca="false">Raw_Data!C1175</f>
        <v>single</v>
      </c>
      <c r="E1175" s="3" t="str">
        <f aca="false">Raw_Data!D1175</f>
        <v>secondary</v>
      </c>
      <c r="F1175" s="3" t="str">
        <f aca="false">Raw_Data!E1175</f>
        <v>no</v>
      </c>
      <c r="G1175" s="3" t="n">
        <f aca="false">Raw_Data!F1175</f>
        <v>2729</v>
      </c>
      <c r="H1175" s="3" t="str">
        <f aca="false">Raw_Data!G1175</f>
        <v>yes</v>
      </c>
      <c r="I1175" s="3" t="str">
        <f aca="false">Raw_Data!H1175</f>
        <v>no</v>
      </c>
      <c r="J1175" s="2" t="n">
        <f aca="false">IF(F1175="yes",1,0)</f>
        <v>0</v>
      </c>
      <c r="K1175" s="2" t="n">
        <f aca="false">IF(H1175="yes",1,0)</f>
        <v>1</v>
      </c>
      <c r="L1175" s="2" t="n">
        <f aca="false">IF(I1175="yes",1,0)</f>
        <v>0</v>
      </c>
      <c r="M1175" s="2" t="n">
        <f aca="false">IF(G1175&lt;0,1,0)</f>
        <v>0</v>
      </c>
      <c r="N1175" s="2" t="str">
        <f aca="false">_xlfn.IFS(B1175&lt;30,"Under 30",B1175&lt;40,"30-39",B1175&lt;50,"40-49",B1175&lt;60,"50-59",TRUE(),"60+")</f>
        <v>30-39</v>
      </c>
      <c r="O1175" s="2" t="str">
        <f aca="false">_xlfn.IFS(G1175&lt;0,"1 Negative",G1175=0,"2 Zero",G1175&lt;=500,"3 1-500",G1175&lt;=2000,"4 501-2000",TRUE(),"5 Above 2000")</f>
        <v>5 Above 2000</v>
      </c>
      <c r="P1175" s="2" t="n">
        <f aca="false">Lookups!$B$2*M1175+Lookups!$B$3*L1175</f>
        <v>0</v>
      </c>
      <c r="Q1175" s="2" t="str">
        <f aca="false">INDEX(Lookups!$E$2:$E$5,MATCH(P1175,Lookups!$D$2:$D$5,0))</f>
        <v>Low</v>
      </c>
    </row>
    <row r="1176" customFormat="false" ht="15" hidden="false" customHeight="false" outlineLevel="0" collapsed="false">
      <c r="A1176" s="3" t="n">
        <v>1175</v>
      </c>
      <c r="B1176" s="3" t="n">
        <f aca="false">Raw_Data!A1176</f>
        <v>35</v>
      </c>
      <c r="C1176" s="3" t="str">
        <f aca="false">SUBSTITUTE(Raw_Data!B1176,".","")</f>
        <v>management</v>
      </c>
      <c r="D1176" s="3" t="str">
        <f aca="false">Raw_Data!C1176</f>
        <v>married</v>
      </c>
      <c r="E1176" s="3" t="str">
        <f aca="false">Raw_Data!D1176</f>
        <v>tertiary</v>
      </c>
      <c r="F1176" s="3" t="str">
        <f aca="false">Raw_Data!E1176</f>
        <v>no</v>
      </c>
      <c r="G1176" s="3" t="n">
        <f aca="false">Raw_Data!F1176</f>
        <v>317</v>
      </c>
      <c r="H1176" s="3" t="str">
        <f aca="false">Raw_Data!G1176</f>
        <v>yes</v>
      </c>
      <c r="I1176" s="3" t="str">
        <f aca="false">Raw_Data!H1176</f>
        <v>no</v>
      </c>
      <c r="J1176" s="2" t="n">
        <f aca="false">IF(F1176="yes",1,0)</f>
        <v>0</v>
      </c>
      <c r="K1176" s="2" t="n">
        <f aca="false">IF(H1176="yes",1,0)</f>
        <v>1</v>
      </c>
      <c r="L1176" s="2" t="n">
        <f aca="false">IF(I1176="yes",1,0)</f>
        <v>0</v>
      </c>
      <c r="M1176" s="2" t="n">
        <f aca="false">IF(G1176&lt;0,1,0)</f>
        <v>0</v>
      </c>
      <c r="N1176" s="2" t="str">
        <f aca="false">_xlfn.IFS(B1176&lt;30,"Under 30",B1176&lt;40,"30-39",B1176&lt;50,"40-49",B1176&lt;60,"50-59",TRUE(),"60+")</f>
        <v>30-39</v>
      </c>
      <c r="O1176" s="2" t="str">
        <f aca="false">_xlfn.IFS(G1176&lt;0,"1 Negative",G1176=0,"2 Zero",G1176&lt;=500,"3 1-500",G1176&lt;=2000,"4 501-2000",TRUE(),"5 Above 2000")</f>
        <v>3 1-500</v>
      </c>
      <c r="P1176" s="2" t="n">
        <f aca="false">Lookups!$B$2*M1176+Lookups!$B$3*L1176</f>
        <v>0</v>
      </c>
      <c r="Q1176" s="2" t="str">
        <f aca="false">INDEX(Lookups!$E$2:$E$5,MATCH(P1176,Lookups!$D$2:$D$5,0))</f>
        <v>Low</v>
      </c>
    </row>
    <row r="1177" customFormat="false" ht="15" hidden="false" customHeight="false" outlineLevel="0" collapsed="false">
      <c r="A1177" s="3" t="n">
        <v>1176</v>
      </c>
      <c r="B1177" s="3" t="n">
        <f aca="false">Raw_Data!A1177</f>
        <v>60</v>
      </c>
      <c r="C1177" s="3" t="str">
        <f aca="false">SUBSTITUTE(Raw_Data!B1177,".","")</f>
        <v>housemaid</v>
      </c>
      <c r="D1177" s="3" t="str">
        <f aca="false">Raw_Data!C1177</f>
        <v>married</v>
      </c>
      <c r="E1177" s="3" t="str">
        <f aca="false">Raw_Data!D1177</f>
        <v>primary</v>
      </c>
      <c r="F1177" s="3" t="str">
        <f aca="false">Raw_Data!E1177</f>
        <v>no</v>
      </c>
      <c r="G1177" s="3" t="n">
        <f aca="false">Raw_Data!F1177</f>
        <v>517</v>
      </c>
      <c r="H1177" s="3" t="str">
        <f aca="false">Raw_Data!G1177</f>
        <v>no</v>
      </c>
      <c r="I1177" s="3" t="str">
        <f aca="false">Raw_Data!H1177</f>
        <v>no</v>
      </c>
      <c r="J1177" s="2" t="n">
        <f aca="false">IF(F1177="yes",1,0)</f>
        <v>0</v>
      </c>
      <c r="K1177" s="2" t="n">
        <f aca="false">IF(H1177="yes",1,0)</f>
        <v>0</v>
      </c>
      <c r="L1177" s="2" t="n">
        <f aca="false">IF(I1177="yes",1,0)</f>
        <v>0</v>
      </c>
      <c r="M1177" s="2" t="n">
        <f aca="false">IF(G1177&lt;0,1,0)</f>
        <v>0</v>
      </c>
      <c r="N1177" s="2" t="str">
        <f aca="false">_xlfn.IFS(B1177&lt;30,"Under 30",B1177&lt;40,"30-39",B1177&lt;50,"40-49",B1177&lt;60,"50-59",TRUE(),"60+")</f>
        <v>60+</v>
      </c>
      <c r="O1177" s="2" t="str">
        <f aca="false">_xlfn.IFS(G1177&lt;0,"1 Negative",G1177=0,"2 Zero",G1177&lt;=500,"3 1-500",G1177&lt;=2000,"4 501-2000",TRUE(),"5 Above 2000")</f>
        <v>4 501-2000</v>
      </c>
      <c r="P1177" s="2" t="n">
        <f aca="false">Lookups!$B$2*M1177+Lookups!$B$3*L1177</f>
        <v>0</v>
      </c>
      <c r="Q1177" s="2" t="str">
        <f aca="false">INDEX(Lookups!$E$2:$E$5,MATCH(P1177,Lookups!$D$2:$D$5,0))</f>
        <v>Low</v>
      </c>
    </row>
    <row r="1178" customFormat="false" ht="15" hidden="false" customHeight="false" outlineLevel="0" collapsed="false">
      <c r="A1178" s="3" t="n">
        <v>1177</v>
      </c>
      <c r="B1178" s="3" t="n">
        <f aca="false">Raw_Data!A1178</f>
        <v>50</v>
      </c>
      <c r="C1178" s="3" t="str">
        <f aca="false">SUBSTITUTE(Raw_Data!B1178,".","")</f>
        <v>management</v>
      </c>
      <c r="D1178" s="3" t="str">
        <f aca="false">Raw_Data!C1178</f>
        <v>married</v>
      </c>
      <c r="E1178" s="3" t="str">
        <f aca="false">Raw_Data!D1178</f>
        <v>tertiary</v>
      </c>
      <c r="F1178" s="3" t="str">
        <f aca="false">Raw_Data!E1178</f>
        <v>no</v>
      </c>
      <c r="G1178" s="3" t="n">
        <f aca="false">Raw_Data!F1178</f>
        <v>-470</v>
      </c>
      <c r="H1178" s="3" t="str">
        <f aca="false">Raw_Data!G1178</f>
        <v>yes</v>
      </c>
      <c r="I1178" s="3" t="str">
        <f aca="false">Raw_Data!H1178</f>
        <v>no</v>
      </c>
      <c r="J1178" s="2" t="n">
        <f aca="false">IF(F1178="yes",1,0)</f>
        <v>0</v>
      </c>
      <c r="K1178" s="2" t="n">
        <f aca="false">IF(H1178="yes",1,0)</f>
        <v>1</v>
      </c>
      <c r="L1178" s="2" t="n">
        <f aca="false">IF(I1178="yes",1,0)</f>
        <v>0</v>
      </c>
      <c r="M1178" s="2" t="n">
        <f aca="false">IF(G1178&lt;0,1,0)</f>
        <v>1</v>
      </c>
      <c r="N1178" s="2" t="str">
        <f aca="false">_xlfn.IFS(B1178&lt;30,"Under 30",B1178&lt;40,"30-39",B1178&lt;50,"40-49",B1178&lt;60,"50-59",TRUE(),"60+")</f>
        <v>50-59</v>
      </c>
      <c r="O1178" s="2" t="str">
        <f aca="false">_xlfn.IFS(G1178&lt;0,"1 Negative",G1178=0,"2 Zero",G1178&lt;=500,"3 1-500",G1178&lt;=2000,"4 501-2000",TRUE(),"5 Above 2000")</f>
        <v>1 Negative</v>
      </c>
      <c r="P1178" s="2" t="n">
        <f aca="false">Lookups!$B$2*M1178+Lookups!$B$3*L1178</f>
        <v>2</v>
      </c>
      <c r="Q1178" s="2" t="str">
        <f aca="false">INDEX(Lookups!$E$2:$E$5,MATCH(P1178,Lookups!$D$2:$D$5,0))</f>
        <v>High</v>
      </c>
    </row>
    <row r="1179" customFormat="false" ht="15" hidden="false" customHeight="false" outlineLevel="0" collapsed="false">
      <c r="A1179" s="3" t="n">
        <v>1178</v>
      </c>
      <c r="B1179" s="3" t="n">
        <f aca="false">Raw_Data!A1179</f>
        <v>28</v>
      </c>
      <c r="C1179" s="3" t="str">
        <f aca="false">SUBSTITUTE(Raw_Data!B1179,".","")</f>
        <v>self-employed</v>
      </c>
      <c r="D1179" s="3" t="str">
        <f aca="false">Raw_Data!C1179</f>
        <v>single</v>
      </c>
      <c r="E1179" s="3" t="str">
        <f aca="false">Raw_Data!D1179</f>
        <v>tertiary</v>
      </c>
      <c r="F1179" s="3" t="str">
        <f aca="false">Raw_Data!E1179</f>
        <v>no</v>
      </c>
      <c r="G1179" s="3" t="n">
        <f aca="false">Raw_Data!F1179</f>
        <v>4579</v>
      </c>
      <c r="H1179" s="3" t="str">
        <f aca="false">Raw_Data!G1179</f>
        <v>no</v>
      </c>
      <c r="I1179" s="3" t="str">
        <f aca="false">Raw_Data!H1179</f>
        <v>no</v>
      </c>
      <c r="J1179" s="2" t="n">
        <f aca="false">IF(F1179="yes",1,0)</f>
        <v>0</v>
      </c>
      <c r="K1179" s="2" t="n">
        <f aca="false">IF(H1179="yes",1,0)</f>
        <v>0</v>
      </c>
      <c r="L1179" s="2" t="n">
        <f aca="false">IF(I1179="yes",1,0)</f>
        <v>0</v>
      </c>
      <c r="M1179" s="2" t="n">
        <f aca="false">IF(G1179&lt;0,1,0)</f>
        <v>0</v>
      </c>
      <c r="N1179" s="2" t="str">
        <f aca="false">_xlfn.IFS(B1179&lt;30,"Under 30",B1179&lt;40,"30-39",B1179&lt;50,"40-49",B1179&lt;60,"50-59",TRUE(),"60+")</f>
        <v>Under 30</v>
      </c>
      <c r="O1179" s="2" t="str">
        <f aca="false">_xlfn.IFS(G1179&lt;0,"1 Negative",G1179=0,"2 Zero",G1179&lt;=500,"3 1-500",G1179&lt;=2000,"4 501-2000",TRUE(),"5 Above 2000")</f>
        <v>5 Above 2000</v>
      </c>
      <c r="P1179" s="2" t="n">
        <f aca="false">Lookups!$B$2*M1179+Lookups!$B$3*L1179</f>
        <v>0</v>
      </c>
      <c r="Q1179" s="2" t="str">
        <f aca="false">INDEX(Lookups!$E$2:$E$5,MATCH(P1179,Lookups!$D$2:$D$5,0))</f>
        <v>Low</v>
      </c>
    </row>
    <row r="1180" customFormat="false" ht="15" hidden="false" customHeight="false" outlineLevel="0" collapsed="false">
      <c r="A1180" s="3" t="n">
        <v>1179</v>
      </c>
      <c r="B1180" s="3" t="n">
        <f aca="false">Raw_Data!A1180</f>
        <v>27</v>
      </c>
      <c r="C1180" s="3" t="str">
        <f aca="false">SUBSTITUTE(Raw_Data!B1180,".","")</f>
        <v>blue-collar</v>
      </c>
      <c r="D1180" s="3" t="str">
        <f aca="false">Raw_Data!C1180</f>
        <v>divorced</v>
      </c>
      <c r="E1180" s="3" t="str">
        <f aca="false">Raw_Data!D1180</f>
        <v>secondary</v>
      </c>
      <c r="F1180" s="3" t="str">
        <f aca="false">Raw_Data!E1180</f>
        <v>no</v>
      </c>
      <c r="G1180" s="3" t="n">
        <f aca="false">Raw_Data!F1180</f>
        <v>1</v>
      </c>
      <c r="H1180" s="3" t="str">
        <f aca="false">Raw_Data!G1180</f>
        <v>yes</v>
      </c>
      <c r="I1180" s="3" t="str">
        <f aca="false">Raw_Data!H1180</f>
        <v>no</v>
      </c>
      <c r="J1180" s="2" t="n">
        <f aca="false">IF(F1180="yes",1,0)</f>
        <v>0</v>
      </c>
      <c r="K1180" s="2" t="n">
        <f aca="false">IF(H1180="yes",1,0)</f>
        <v>1</v>
      </c>
      <c r="L1180" s="2" t="n">
        <f aca="false">IF(I1180="yes",1,0)</f>
        <v>0</v>
      </c>
      <c r="M1180" s="2" t="n">
        <f aca="false">IF(G1180&lt;0,1,0)</f>
        <v>0</v>
      </c>
      <c r="N1180" s="2" t="str">
        <f aca="false">_xlfn.IFS(B1180&lt;30,"Under 30",B1180&lt;40,"30-39",B1180&lt;50,"40-49",B1180&lt;60,"50-59",TRUE(),"60+")</f>
        <v>Under 30</v>
      </c>
      <c r="O1180" s="2" t="str">
        <f aca="false">_xlfn.IFS(G1180&lt;0,"1 Negative",G1180=0,"2 Zero",G1180&lt;=500,"3 1-500",G1180&lt;=2000,"4 501-2000",TRUE(),"5 Above 2000")</f>
        <v>3 1-500</v>
      </c>
      <c r="P1180" s="2" t="n">
        <f aca="false">Lookups!$B$2*M1180+Lookups!$B$3*L1180</f>
        <v>0</v>
      </c>
      <c r="Q1180" s="2" t="str">
        <f aca="false">INDEX(Lookups!$E$2:$E$5,MATCH(P1180,Lookups!$D$2:$D$5,0))</f>
        <v>Low</v>
      </c>
    </row>
    <row r="1181" customFormat="false" ht="15" hidden="false" customHeight="false" outlineLevel="0" collapsed="false">
      <c r="A1181" s="3" t="n">
        <v>1180</v>
      </c>
      <c r="B1181" s="3" t="n">
        <f aca="false">Raw_Data!A1181</f>
        <v>37</v>
      </c>
      <c r="C1181" s="3" t="str">
        <f aca="false">SUBSTITUTE(Raw_Data!B1181,".","")</f>
        <v>management</v>
      </c>
      <c r="D1181" s="3" t="str">
        <f aca="false">Raw_Data!C1181</f>
        <v>married</v>
      </c>
      <c r="E1181" s="3" t="str">
        <f aca="false">Raw_Data!D1181</f>
        <v>tertiary</v>
      </c>
      <c r="F1181" s="3" t="str">
        <f aca="false">Raw_Data!E1181</f>
        <v>no</v>
      </c>
      <c r="G1181" s="3" t="n">
        <f aca="false">Raw_Data!F1181</f>
        <v>5106</v>
      </c>
      <c r="H1181" s="3" t="str">
        <f aca="false">Raw_Data!G1181</f>
        <v>no</v>
      </c>
      <c r="I1181" s="3" t="str">
        <f aca="false">Raw_Data!H1181</f>
        <v>no</v>
      </c>
      <c r="J1181" s="2" t="n">
        <f aca="false">IF(F1181="yes",1,0)</f>
        <v>0</v>
      </c>
      <c r="K1181" s="2" t="n">
        <f aca="false">IF(H1181="yes",1,0)</f>
        <v>0</v>
      </c>
      <c r="L1181" s="2" t="n">
        <f aca="false">IF(I1181="yes",1,0)</f>
        <v>0</v>
      </c>
      <c r="M1181" s="2" t="n">
        <f aca="false">IF(G1181&lt;0,1,0)</f>
        <v>0</v>
      </c>
      <c r="N1181" s="2" t="str">
        <f aca="false">_xlfn.IFS(B1181&lt;30,"Under 30",B1181&lt;40,"30-39",B1181&lt;50,"40-49",B1181&lt;60,"50-59",TRUE(),"60+")</f>
        <v>30-39</v>
      </c>
      <c r="O1181" s="2" t="str">
        <f aca="false">_xlfn.IFS(G1181&lt;0,"1 Negative",G1181=0,"2 Zero",G1181&lt;=500,"3 1-500",G1181&lt;=2000,"4 501-2000",TRUE(),"5 Above 2000")</f>
        <v>5 Above 2000</v>
      </c>
      <c r="P1181" s="2" t="n">
        <f aca="false">Lookups!$B$2*M1181+Lookups!$B$3*L1181</f>
        <v>0</v>
      </c>
      <c r="Q1181" s="2" t="str">
        <f aca="false">INDEX(Lookups!$E$2:$E$5,MATCH(P1181,Lookups!$D$2:$D$5,0))</f>
        <v>Low</v>
      </c>
    </row>
    <row r="1182" customFormat="false" ht="15" hidden="false" customHeight="false" outlineLevel="0" collapsed="false">
      <c r="A1182" s="3" t="n">
        <v>1181</v>
      </c>
      <c r="B1182" s="3" t="n">
        <f aca="false">Raw_Data!A1182</f>
        <v>31</v>
      </c>
      <c r="C1182" s="3" t="str">
        <f aca="false">SUBSTITUTE(Raw_Data!B1182,".","")</f>
        <v>technician</v>
      </c>
      <c r="D1182" s="3" t="str">
        <f aca="false">Raw_Data!C1182</f>
        <v>married</v>
      </c>
      <c r="E1182" s="3" t="str">
        <f aca="false">Raw_Data!D1182</f>
        <v>tertiary</v>
      </c>
      <c r="F1182" s="3" t="str">
        <f aca="false">Raw_Data!E1182</f>
        <v>no</v>
      </c>
      <c r="G1182" s="3" t="n">
        <f aca="false">Raw_Data!F1182</f>
        <v>636</v>
      </c>
      <c r="H1182" s="3" t="str">
        <f aca="false">Raw_Data!G1182</f>
        <v>yes</v>
      </c>
      <c r="I1182" s="3" t="str">
        <f aca="false">Raw_Data!H1182</f>
        <v>no</v>
      </c>
      <c r="J1182" s="2" t="n">
        <f aca="false">IF(F1182="yes",1,0)</f>
        <v>0</v>
      </c>
      <c r="K1182" s="2" t="n">
        <f aca="false">IF(H1182="yes",1,0)</f>
        <v>1</v>
      </c>
      <c r="L1182" s="2" t="n">
        <f aca="false">IF(I1182="yes",1,0)</f>
        <v>0</v>
      </c>
      <c r="M1182" s="2" t="n">
        <f aca="false">IF(G1182&lt;0,1,0)</f>
        <v>0</v>
      </c>
      <c r="N1182" s="2" t="str">
        <f aca="false">_xlfn.IFS(B1182&lt;30,"Under 30",B1182&lt;40,"30-39",B1182&lt;50,"40-49",B1182&lt;60,"50-59",TRUE(),"60+")</f>
        <v>30-39</v>
      </c>
      <c r="O1182" s="2" t="str">
        <f aca="false">_xlfn.IFS(G1182&lt;0,"1 Negative",G1182=0,"2 Zero",G1182&lt;=500,"3 1-500",G1182&lt;=2000,"4 501-2000",TRUE(),"5 Above 2000")</f>
        <v>4 501-2000</v>
      </c>
      <c r="P1182" s="2" t="n">
        <f aca="false">Lookups!$B$2*M1182+Lookups!$B$3*L1182</f>
        <v>0</v>
      </c>
      <c r="Q1182" s="2" t="str">
        <f aca="false">INDEX(Lookups!$E$2:$E$5,MATCH(P1182,Lookups!$D$2:$D$5,0))</f>
        <v>Low</v>
      </c>
    </row>
    <row r="1183" customFormat="false" ht="15" hidden="false" customHeight="false" outlineLevel="0" collapsed="false">
      <c r="A1183" s="3" t="n">
        <v>1182</v>
      </c>
      <c r="B1183" s="3" t="n">
        <f aca="false">Raw_Data!A1183</f>
        <v>34</v>
      </c>
      <c r="C1183" s="3" t="str">
        <f aca="false">SUBSTITUTE(Raw_Data!B1183,".","")</f>
        <v>services</v>
      </c>
      <c r="D1183" s="3" t="str">
        <f aca="false">Raw_Data!C1183</f>
        <v>married</v>
      </c>
      <c r="E1183" s="3" t="str">
        <f aca="false">Raw_Data!D1183</f>
        <v>secondary</v>
      </c>
      <c r="F1183" s="3" t="str">
        <f aca="false">Raw_Data!E1183</f>
        <v>no</v>
      </c>
      <c r="G1183" s="3" t="n">
        <f aca="false">Raw_Data!F1183</f>
        <v>1076</v>
      </c>
      <c r="H1183" s="3" t="str">
        <f aca="false">Raw_Data!G1183</f>
        <v>no</v>
      </c>
      <c r="I1183" s="3" t="str">
        <f aca="false">Raw_Data!H1183</f>
        <v>no</v>
      </c>
      <c r="J1183" s="2" t="n">
        <f aca="false">IF(F1183="yes",1,0)</f>
        <v>0</v>
      </c>
      <c r="K1183" s="2" t="n">
        <f aca="false">IF(H1183="yes",1,0)</f>
        <v>0</v>
      </c>
      <c r="L1183" s="2" t="n">
        <f aca="false">IF(I1183="yes",1,0)</f>
        <v>0</v>
      </c>
      <c r="M1183" s="2" t="n">
        <f aca="false">IF(G1183&lt;0,1,0)</f>
        <v>0</v>
      </c>
      <c r="N1183" s="2" t="str">
        <f aca="false">_xlfn.IFS(B1183&lt;30,"Under 30",B1183&lt;40,"30-39",B1183&lt;50,"40-49",B1183&lt;60,"50-59",TRUE(),"60+")</f>
        <v>30-39</v>
      </c>
      <c r="O1183" s="2" t="str">
        <f aca="false">_xlfn.IFS(G1183&lt;0,"1 Negative",G1183=0,"2 Zero",G1183&lt;=500,"3 1-500",G1183&lt;=2000,"4 501-2000",TRUE(),"5 Above 2000")</f>
        <v>4 501-2000</v>
      </c>
      <c r="P1183" s="2" t="n">
        <f aca="false">Lookups!$B$2*M1183+Lookups!$B$3*L1183</f>
        <v>0</v>
      </c>
      <c r="Q1183" s="2" t="str">
        <f aca="false">INDEX(Lookups!$E$2:$E$5,MATCH(P1183,Lookups!$D$2:$D$5,0))</f>
        <v>Low</v>
      </c>
    </row>
    <row r="1184" customFormat="false" ht="15" hidden="false" customHeight="false" outlineLevel="0" collapsed="false">
      <c r="A1184" s="3" t="n">
        <v>1183</v>
      </c>
      <c r="B1184" s="3" t="n">
        <f aca="false">Raw_Data!A1184</f>
        <v>38</v>
      </c>
      <c r="C1184" s="3" t="str">
        <f aca="false">SUBSTITUTE(Raw_Data!B1184,".","")</f>
        <v>management</v>
      </c>
      <c r="D1184" s="3" t="str">
        <f aca="false">Raw_Data!C1184</f>
        <v>married</v>
      </c>
      <c r="E1184" s="3" t="str">
        <f aca="false">Raw_Data!D1184</f>
        <v>tertiary</v>
      </c>
      <c r="F1184" s="3" t="str">
        <f aca="false">Raw_Data!E1184</f>
        <v>no</v>
      </c>
      <c r="G1184" s="3" t="n">
        <f aca="false">Raw_Data!F1184</f>
        <v>126</v>
      </c>
      <c r="H1184" s="3" t="str">
        <f aca="false">Raw_Data!G1184</f>
        <v>yes</v>
      </c>
      <c r="I1184" s="3" t="str">
        <f aca="false">Raw_Data!H1184</f>
        <v>no</v>
      </c>
      <c r="J1184" s="2" t="n">
        <f aca="false">IF(F1184="yes",1,0)</f>
        <v>0</v>
      </c>
      <c r="K1184" s="2" t="n">
        <f aca="false">IF(H1184="yes",1,0)</f>
        <v>1</v>
      </c>
      <c r="L1184" s="2" t="n">
        <f aca="false">IF(I1184="yes",1,0)</f>
        <v>0</v>
      </c>
      <c r="M1184" s="2" t="n">
        <f aca="false">IF(G1184&lt;0,1,0)</f>
        <v>0</v>
      </c>
      <c r="N1184" s="2" t="str">
        <f aca="false">_xlfn.IFS(B1184&lt;30,"Under 30",B1184&lt;40,"30-39",B1184&lt;50,"40-49",B1184&lt;60,"50-59",TRUE(),"60+")</f>
        <v>30-39</v>
      </c>
      <c r="O1184" s="2" t="str">
        <f aca="false">_xlfn.IFS(G1184&lt;0,"1 Negative",G1184=0,"2 Zero",G1184&lt;=500,"3 1-500",G1184&lt;=2000,"4 501-2000",TRUE(),"5 Above 2000")</f>
        <v>3 1-500</v>
      </c>
      <c r="P1184" s="2" t="n">
        <f aca="false">Lookups!$B$2*M1184+Lookups!$B$3*L1184</f>
        <v>0</v>
      </c>
      <c r="Q1184" s="2" t="str">
        <f aca="false">INDEX(Lookups!$E$2:$E$5,MATCH(P1184,Lookups!$D$2:$D$5,0))</f>
        <v>Low</v>
      </c>
    </row>
    <row r="1185" customFormat="false" ht="15" hidden="false" customHeight="false" outlineLevel="0" collapsed="false">
      <c r="A1185" s="3" t="n">
        <v>1184</v>
      </c>
      <c r="B1185" s="3" t="n">
        <f aca="false">Raw_Data!A1185</f>
        <v>32</v>
      </c>
      <c r="C1185" s="3" t="str">
        <f aca="false">SUBSTITUTE(Raw_Data!B1185,".","")</f>
        <v>self-employed</v>
      </c>
      <c r="D1185" s="3" t="str">
        <f aca="false">Raw_Data!C1185</f>
        <v>married</v>
      </c>
      <c r="E1185" s="3" t="str">
        <f aca="false">Raw_Data!D1185</f>
        <v>secondary</v>
      </c>
      <c r="F1185" s="3" t="str">
        <f aca="false">Raw_Data!E1185</f>
        <v>no</v>
      </c>
      <c r="G1185" s="3" t="n">
        <f aca="false">Raw_Data!F1185</f>
        <v>-33</v>
      </c>
      <c r="H1185" s="3" t="str">
        <f aca="false">Raw_Data!G1185</f>
        <v>yes</v>
      </c>
      <c r="I1185" s="3" t="str">
        <f aca="false">Raw_Data!H1185</f>
        <v>no</v>
      </c>
      <c r="J1185" s="2" t="n">
        <f aca="false">IF(F1185="yes",1,0)</f>
        <v>0</v>
      </c>
      <c r="K1185" s="2" t="n">
        <f aca="false">IF(H1185="yes",1,0)</f>
        <v>1</v>
      </c>
      <c r="L1185" s="2" t="n">
        <f aca="false">IF(I1185="yes",1,0)</f>
        <v>0</v>
      </c>
      <c r="M1185" s="2" t="n">
        <f aca="false">IF(G1185&lt;0,1,0)</f>
        <v>1</v>
      </c>
      <c r="N1185" s="2" t="str">
        <f aca="false">_xlfn.IFS(B1185&lt;30,"Under 30",B1185&lt;40,"30-39",B1185&lt;50,"40-49",B1185&lt;60,"50-59",TRUE(),"60+")</f>
        <v>30-39</v>
      </c>
      <c r="O1185" s="2" t="str">
        <f aca="false">_xlfn.IFS(G1185&lt;0,"1 Negative",G1185=0,"2 Zero",G1185&lt;=500,"3 1-500",G1185&lt;=2000,"4 501-2000",TRUE(),"5 Above 2000")</f>
        <v>1 Negative</v>
      </c>
      <c r="P1185" s="2" t="n">
        <f aca="false">Lookups!$B$2*M1185+Lookups!$B$3*L1185</f>
        <v>2</v>
      </c>
      <c r="Q1185" s="2" t="str">
        <f aca="false">INDEX(Lookups!$E$2:$E$5,MATCH(P1185,Lookups!$D$2:$D$5,0))</f>
        <v>High</v>
      </c>
    </row>
    <row r="1186" customFormat="false" ht="15" hidden="false" customHeight="false" outlineLevel="0" collapsed="false">
      <c r="A1186" s="3" t="n">
        <v>1185</v>
      </c>
      <c r="B1186" s="3" t="n">
        <f aca="false">Raw_Data!A1186</f>
        <v>37</v>
      </c>
      <c r="C1186" s="3" t="str">
        <f aca="false">SUBSTITUTE(Raw_Data!B1186,".","")</f>
        <v>technician</v>
      </c>
      <c r="D1186" s="3" t="str">
        <f aca="false">Raw_Data!C1186</f>
        <v>married</v>
      </c>
      <c r="E1186" s="3" t="str">
        <f aca="false">Raw_Data!D1186</f>
        <v>secondary</v>
      </c>
      <c r="F1186" s="3" t="str">
        <f aca="false">Raw_Data!E1186</f>
        <v>no</v>
      </c>
      <c r="G1186" s="3" t="n">
        <f aca="false">Raw_Data!F1186</f>
        <v>430</v>
      </c>
      <c r="H1186" s="3" t="str">
        <f aca="false">Raw_Data!G1186</f>
        <v>no</v>
      </c>
      <c r="I1186" s="3" t="str">
        <f aca="false">Raw_Data!H1186</f>
        <v>no</v>
      </c>
      <c r="J1186" s="2" t="n">
        <f aca="false">IF(F1186="yes",1,0)</f>
        <v>0</v>
      </c>
      <c r="K1186" s="2" t="n">
        <f aca="false">IF(H1186="yes",1,0)</f>
        <v>0</v>
      </c>
      <c r="L1186" s="2" t="n">
        <f aca="false">IF(I1186="yes",1,0)</f>
        <v>0</v>
      </c>
      <c r="M1186" s="2" t="n">
        <f aca="false">IF(G1186&lt;0,1,0)</f>
        <v>0</v>
      </c>
      <c r="N1186" s="2" t="str">
        <f aca="false">_xlfn.IFS(B1186&lt;30,"Under 30",B1186&lt;40,"30-39",B1186&lt;50,"40-49",B1186&lt;60,"50-59",TRUE(),"60+")</f>
        <v>30-39</v>
      </c>
      <c r="O1186" s="2" t="str">
        <f aca="false">_xlfn.IFS(G1186&lt;0,"1 Negative",G1186=0,"2 Zero",G1186&lt;=500,"3 1-500",G1186&lt;=2000,"4 501-2000",TRUE(),"5 Above 2000")</f>
        <v>3 1-500</v>
      </c>
      <c r="P1186" s="2" t="n">
        <f aca="false">Lookups!$B$2*M1186+Lookups!$B$3*L1186</f>
        <v>0</v>
      </c>
      <c r="Q1186" s="2" t="str">
        <f aca="false">INDEX(Lookups!$E$2:$E$5,MATCH(P1186,Lookups!$D$2:$D$5,0))</f>
        <v>Low</v>
      </c>
    </row>
    <row r="1187" customFormat="false" ht="15" hidden="false" customHeight="false" outlineLevel="0" collapsed="false">
      <c r="A1187" s="3" t="n">
        <v>1186</v>
      </c>
      <c r="B1187" s="3" t="n">
        <f aca="false">Raw_Data!A1187</f>
        <v>33</v>
      </c>
      <c r="C1187" s="3" t="str">
        <f aca="false">SUBSTITUTE(Raw_Data!B1187,".","")</f>
        <v>admin</v>
      </c>
      <c r="D1187" s="3" t="str">
        <f aca="false">Raw_Data!C1187</f>
        <v>married</v>
      </c>
      <c r="E1187" s="3" t="str">
        <f aca="false">Raw_Data!D1187</f>
        <v>secondary</v>
      </c>
      <c r="F1187" s="3" t="str">
        <f aca="false">Raw_Data!E1187</f>
        <v>no</v>
      </c>
      <c r="G1187" s="3" t="n">
        <f aca="false">Raw_Data!F1187</f>
        <v>-6</v>
      </c>
      <c r="H1187" s="3" t="str">
        <f aca="false">Raw_Data!G1187</f>
        <v>yes</v>
      </c>
      <c r="I1187" s="3" t="str">
        <f aca="false">Raw_Data!H1187</f>
        <v>no</v>
      </c>
      <c r="J1187" s="2" t="n">
        <f aca="false">IF(F1187="yes",1,0)</f>
        <v>0</v>
      </c>
      <c r="K1187" s="2" t="n">
        <f aca="false">IF(H1187="yes",1,0)</f>
        <v>1</v>
      </c>
      <c r="L1187" s="2" t="n">
        <f aca="false">IF(I1187="yes",1,0)</f>
        <v>0</v>
      </c>
      <c r="M1187" s="2" t="n">
        <f aca="false">IF(G1187&lt;0,1,0)</f>
        <v>1</v>
      </c>
      <c r="N1187" s="2" t="str">
        <f aca="false">_xlfn.IFS(B1187&lt;30,"Under 30",B1187&lt;40,"30-39",B1187&lt;50,"40-49",B1187&lt;60,"50-59",TRUE(),"60+")</f>
        <v>30-39</v>
      </c>
      <c r="O1187" s="2" t="str">
        <f aca="false">_xlfn.IFS(G1187&lt;0,"1 Negative",G1187=0,"2 Zero",G1187&lt;=500,"3 1-500",G1187&lt;=2000,"4 501-2000",TRUE(),"5 Above 2000")</f>
        <v>1 Negative</v>
      </c>
      <c r="P1187" s="2" t="n">
        <f aca="false">Lookups!$B$2*M1187+Lookups!$B$3*L1187</f>
        <v>2</v>
      </c>
      <c r="Q1187" s="2" t="str">
        <f aca="false">INDEX(Lookups!$E$2:$E$5,MATCH(P1187,Lookups!$D$2:$D$5,0))</f>
        <v>High</v>
      </c>
    </row>
    <row r="1188" customFormat="false" ht="15" hidden="false" customHeight="false" outlineLevel="0" collapsed="false">
      <c r="A1188" s="3" t="n">
        <v>1187</v>
      </c>
      <c r="B1188" s="3" t="n">
        <f aca="false">Raw_Data!A1188</f>
        <v>71</v>
      </c>
      <c r="C1188" s="3" t="str">
        <f aca="false">SUBSTITUTE(Raw_Data!B1188,".","")</f>
        <v>technician</v>
      </c>
      <c r="D1188" s="3" t="str">
        <f aca="false">Raw_Data!C1188</f>
        <v>married</v>
      </c>
      <c r="E1188" s="3" t="str">
        <f aca="false">Raw_Data!D1188</f>
        <v>tertiary</v>
      </c>
      <c r="F1188" s="3" t="str">
        <f aca="false">Raw_Data!E1188</f>
        <v>no</v>
      </c>
      <c r="G1188" s="3" t="n">
        <f aca="false">Raw_Data!F1188</f>
        <v>383</v>
      </c>
      <c r="H1188" s="3" t="str">
        <f aca="false">Raw_Data!G1188</f>
        <v>no</v>
      </c>
      <c r="I1188" s="3" t="str">
        <f aca="false">Raw_Data!H1188</f>
        <v>no</v>
      </c>
      <c r="J1188" s="2" t="n">
        <f aca="false">IF(F1188="yes",1,0)</f>
        <v>0</v>
      </c>
      <c r="K1188" s="2" t="n">
        <f aca="false">IF(H1188="yes",1,0)</f>
        <v>0</v>
      </c>
      <c r="L1188" s="2" t="n">
        <f aca="false">IF(I1188="yes",1,0)</f>
        <v>0</v>
      </c>
      <c r="M1188" s="2" t="n">
        <f aca="false">IF(G1188&lt;0,1,0)</f>
        <v>0</v>
      </c>
      <c r="N1188" s="2" t="str">
        <f aca="false">_xlfn.IFS(B1188&lt;30,"Under 30",B1188&lt;40,"30-39",B1188&lt;50,"40-49",B1188&lt;60,"50-59",TRUE(),"60+")</f>
        <v>60+</v>
      </c>
      <c r="O1188" s="2" t="str">
        <f aca="false">_xlfn.IFS(G1188&lt;0,"1 Negative",G1188=0,"2 Zero",G1188&lt;=500,"3 1-500",G1188&lt;=2000,"4 501-2000",TRUE(),"5 Above 2000")</f>
        <v>3 1-500</v>
      </c>
      <c r="P1188" s="2" t="n">
        <f aca="false">Lookups!$B$2*M1188+Lookups!$B$3*L1188</f>
        <v>0</v>
      </c>
      <c r="Q1188" s="2" t="str">
        <f aca="false">INDEX(Lookups!$E$2:$E$5,MATCH(P1188,Lookups!$D$2:$D$5,0))</f>
        <v>Low</v>
      </c>
    </row>
    <row r="1189" customFormat="false" ht="15" hidden="false" customHeight="false" outlineLevel="0" collapsed="false">
      <c r="A1189" s="3" t="n">
        <v>1188</v>
      </c>
      <c r="B1189" s="3" t="n">
        <f aca="false">Raw_Data!A1189</f>
        <v>27</v>
      </c>
      <c r="C1189" s="3" t="str">
        <f aca="false">SUBSTITUTE(Raw_Data!B1189,".","")</f>
        <v>technician</v>
      </c>
      <c r="D1189" s="3" t="str">
        <f aca="false">Raw_Data!C1189</f>
        <v>married</v>
      </c>
      <c r="E1189" s="3" t="str">
        <f aca="false">Raw_Data!D1189</f>
        <v>secondary</v>
      </c>
      <c r="F1189" s="3" t="str">
        <f aca="false">Raw_Data!E1189</f>
        <v>no</v>
      </c>
      <c r="G1189" s="3" t="n">
        <f aca="false">Raw_Data!F1189</f>
        <v>130</v>
      </c>
      <c r="H1189" s="3" t="str">
        <f aca="false">Raw_Data!G1189</f>
        <v>yes</v>
      </c>
      <c r="I1189" s="3" t="str">
        <f aca="false">Raw_Data!H1189</f>
        <v>no</v>
      </c>
      <c r="J1189" s="2" t="n">
        <f aca="false">IF(F1189="yes",1,0)</f>
        <v>0</v>
      </c>
      <c r="K1189" s="2" t="n">
        <f aca="false">IF(H1189="yes",1,0)</f>
        <v>1</v>
      </c>
      <c r="L1189" s="2" t="n">
        <f aca="false">IF(I1189="yes",1,0)</f>
        <v>0</v>
      </c>
      <c r="M1189" s="2" t="n">
        <f aca="false">IF(G1189&lt;0,1,0)</f>
        <v>0</v>
      </c>
      <c r="N1189" s="2" t="str">
        <f aca="false">_xlfn.IFS(B1189&lt;30,"Under 30",B1189&lt;40,"30-39",B1189&lt;50,"40-49",B1189&lt;60,"50-59",TRUE(),"60+")</f>
        <v>Under 30</v>
      </c>
      <c r="O1189" s="2" t="str">
        <f aca="false">_xlfn.IFS(G1189&lt;0,"1 Negative",G1189=0,"2 Zero",G1189&lt;=500,"3 1-500",G1189&lt;=2000,"4 501-2000",TRUE(),"5 Above 2000")</f>
        <v>3 1-500</v>
      </c>
      <c r="P1189" s="2" t="n">
        <f aca="false">Lookups!$B$2*M1189+Lookups!$B$3*L1189</f>
        <v>0</v>
      </c>
      <c r="Q1189" s="2" t="str">
        <f aca="false">INDEX(Lookups!$E$2:$E$5,MATCH(P1189,Lookups!$D$2:$D$5,0))</f>
        <v>Low</v>
      </c>
    </row>
    <row r="1190" customFormat="false" ht="15" hidden="false" customHeight="false" outlineLevel="0" collapsed="false">
      <c r="A1190" s="3" t="n">
        <v>1189</v>
      </c>
      <c r="B1190" s="3" t="n">
        <f aca="false">Raw_Data!A1190</f>
        <v>38</v>
      </c>
      <c r="C1190" s="3" t="str">
        <f aca="false">SUBSTITUTE(Raw_Data!B1190,".","")</f>
        <v>blue-collar</v>
      </c>
      <c r="D1190" s="3" t="str">
        <f aca="false">Raw_Data!C1190</f>
        <v>married</v>
      </c>
      <c r="E1190" s="3" t="str">
        <f aca="false">Raw_Data!D1190</f>
        <v>primary</v>
      </c>
      <c r="F1190" s="3" t="str">
        <f aca="false">Raw_Data!E1190</f>
        <v>no</v>
      </c>
      <c r="G1190" s="3" t="n">
        <f aca="false">Raw_Data!F1190</f>
        <v>2569</v>
      </c>
      <c r="H1190" s="3" t="str">
        <f aca="false">Raw_Data!G1190</f>
        <v>no</v>
      </c>
      <c r="I1190" s="3" t="str">
        <f aca="false">Raw_Data!H1190</f>
        <v>no</v>
      </c>
      <c r="J1190" s="2" t="n">
        <f aca="false">IF(F1190="yes",1,0)</f>
        <v>0</v>
      </c>
      <c r="K1190" s="2" t="n">
        <f aca="false">IF(H1190="yes",1,0)</f>
        <v>0</v>
      </c>
      <c r="L1190" s="2" t="n">
        <f aca="false">IF(I1190="yes",1,0)</f>
        <v>0</v>
      </c>
      <c r="M1190" s="2" t="n">
        <f aca="false">IF(G1190&lt;0,1,0)</f>
        <v>0</v>
      </c>
      <c r="N1190" s="2" t="str">
        <f aca="false">_xlfn.IFS(B1190&lt;30,"Under 30",B1190&lt;40,"30-39",B1190&lt;50,"40-49",B1190&lt;60,"50-59",TRUE(),"60+")</f>
        <v>30-39</v>
      </c>
      <c r="O1190" s="2" t="str">
        <f aca="false">_xlfn.IFS(G1190&lt;0,"1 Negative",G1190=0,"2 Zero",G1190&lt;=500,"3 1-500",G1190&lt;=2000,"4 501-2000",TRUE(),"5 Above 2000")</f>
        <v>5 Above 2000</v>
      </c>
      <c r="P1190" s="2" t="n">
        <f aca="false">Lookups!$B$2*M1190+Lookups!$B$3*L1190</f>
        <v>0</v>
      </c>
      <c r="Q1190" s="2" t="str">
        <f aca="false">INDEX(Lookups!$E$2:$E$5,MATCH(P1190,Lookups!$D$2:$D$5,0))</f>
        <v>Low</v>
      </c>
    </row>
    <row r="1191" customFormat="false" ht="15" hidden="false" customHeight="false" outlineLevel="0" collapsed="false">
      <c r="A1191" s="3" t="n">
        <v>1190</v>
      </c>
      <c r="B1191" s="3" t="n">
        <f aca="false">Raw_Data!A1191</f>
        <v>34</v>
      </c>
      <c r="C1191" s="3" t="str">
        <f aca="false">SUBSTITUTE(Raw_Data!B1191,".","")</f>
        <v>technician</v>
      </c>
      <c r="D1191" s="3" t="str">
        <f aca="false">Raw_Data!C1191</f>
        <v>single</v>
      </c>
      <c r="E1191" s="3" t="str">
        <f aca="false">Raw_Data!D1191</f>
        <v>secondary</v>
      </c>
      <c r="F1191" s="3" t="str">
        <f aca="false">Raw_Data!E1191</f>
        <v>no</v>
      </c>
      <c r="G1191" s="3" t="n">
        <f aca="false">Raw_Data!F1191</f>
        <v>201</v>
      </c>
      <c r="H1191" s="3" t="str">
        <f aca="false">Raw_Data!G1191</f>
        <v>no</v>
      </c>
      <c r="I1191" s="3" t="str">
        <f aca="false">Raw_Data!H1191</f>
        <v>no</v>
      </c>
      <c r="J1191" s="2" t="n">
        <f aca="false">IF(F1191="yes",1,0)</f>
        <v>0</v>
      </c>
      <c r="K1191" s="2" t="n">
        <f aca="false">IF(H1191="yes",1,0)</f>
        <v>0</v>
      </c>
      <c r="L1191" s="2" t="n">
        <f aca="false">IF(I1191="yes",1,0)</f>
        <v>0</v>
      </c>
      <c r="M1191" s="2" t="n">
        <f aca="false">IF(G1191&lt;0,1,0)</f>
        <v>0</v>
      </c>
      <c r="N1191" s="2" t="str">
        <f aca="false">_xlfn.IFS(B1191&lt;30,"Under 30",B1191&lt;40,"30-39",B1191&lt;50,"40-49",B1191&lt;60,"50-59",TRUE(),"60+")</f>
        <v>30-39</v>
      </c>
      <c r="O1191" s="2" t="str">
        <f aca="false">_xlfn.IFS(G1191&lt;0,"1 Negative",G1191=0,"2 Zero",G1191&lt;=500,"3 1-500",G1191&lt;=2000,"4 501-2000",TRUE(),"5 Above 2000")</f>
        <v>3 1-500</v>
      </c>
      <c r="P1191" s="2" t="n">
        <f aca="false">Lookups!$B$2*M1191+Lookups!$B$3*L1191</f>
        <v>0</v>
      </c>
      <c r="Q1191" s="2" t="str">
        <f aca="false">INDEX(Lookups!$E$2:$E$5,MATCH(P1191,Lookups!$D$2:$D$5,0))</f>
        <v>Low</v>
      </c>
    </row>
    <row r="1192" customFormat="false" ht="15" hidden="false" customHeight="false" outlineLevel="0" collapsed="false">
      <c r="A1192" s="3" t="n">
        <v>1191</v>
      </c>
      <c r="B1192" s="3" t="n">
        <f aca="false">Raw_Data!A1192</f>
        <v>54</v>
      </c>
      <c r="C1192" s="3" t="str">
        <f aca="false">SUBSTITUTE(Raw_Data!B1192,".","")</f>
        <v>retired</v>
      </c>
      <c r="D1192" s="3" t="str">
        <f aca="false">Raw_Data!C1192</f>
        <v>divorced</v>
      </c>
      <c r="E1192" s="3" t="str">
        <f aca="false">Raw_Data!D1192</f>
        <v>tertiary</v>
      </c>
      <c r="F1192" s="3" t="str">
        <f aca="false">Raw_Data!E1192</f>
        <v>no</v>
      </c>
      <c r="G1192" s="3" t="n">
        <f aca="false">Raw_Data!F1192</f>
        <v>0</v>
      </c>
      <c r="H1192" s="3" t="str">
        <f aca="false">Raw_Data!G1192</f>
        <v>no</v>
      </c>
      <c r="I1192" s="3" t="str">
        <f aca="false">Raw_Data!H1192</f>
        <v>no</v>
      </c>
      <c r="J1192" s="2" t="n">
        <f aca="false">IF(F1192="yes",1,0)</f>
        <v>0</v>
      </c>
      <c r="K1192" s="2" t="n">
        <f aca="false">IF(H1192="yes",1,0)</f>
        <v>0</v>
      </c>
      <c r="L1192" s="2" t="n">
        <f aca="false">IF(I1192="yes",1,0)</f>
        <v>0</v>
      </c>
      <c r="M1192" s="2" t="n">
        <f aca="false">IF(G1192&lt;0,1,0)</f>
        <v>0</v>
      </c>
      <c r="N1192" s="2" t="str">
        <f aca="false">_xlfn.IFS(B1192&lt;30,"Under 30",B1192&lt;40,"30-39",B1192&lt;50,"40-49",B1192&lt;60,"50-59",TRUE(),"60+")</f>
        <v>50-59</v>
      </c>
      <c r="O1192" s="2" t="str">
        <f aca="false">_xlfn.IFS(G1192&lt;0,"1 Negative",G1192=0,"2 Zero",G1192&lt;=500,"3 1-500",G1192&lt;=2000,"4 501-2000",TRUE(),"5 Above 2000")</f>
        <v>2 Zero</v>
      </c>
      <c r="P1192" s="2" t="n">
        <f aca="false">Lookups!$B$2*M1192+Lookups!$B$3*L1192</f>
        <v>0</v>
      </c>
      <c r="Q1192" s="2" t="str">
        <f aca="false">INDEX(Lookups!$E$2:$E$5,MATCH(P1192,Lookups!$D$2:$D$5,0))</f>
        <v>Low</v>
      </c>
    </row>
    <row r="1193" customFormat="false" ht="15" hidden="false" customHeight="false" outlineLevel="0" collapsed="false">
      <c r="A1193" s="3" t="n">
        <v>1192</v>
      </c>
      <c r="B1193" s="3" t="n">
        <f aca="false">Raw_Data!A1193</f>
        <v>30</v>
      </c>
      <c r="C1193" s="3" t="str">
        <f aca="false">SUBSTITUTE(Raw_Data!B1193,".","")</f>
        <v>blue-collar</v>
      </c>
      <c r="D1193" s="3" t="str">
        <f aca="false">Raw_Data!C1193</f>
        <v>married</v>
      </c>
      <c r="E1193" s="3" t="str">
        <f aca="false">Raw_Data!D1193</f>
        <v>secondary</v>
      </c>
      <c r="F1193" s="3" t="str">
        <f aca="false">Raw_Data!E1193</f>
        <v>no</v>
      </c>
      <c r="G1193" s="3" t="n">
        <f aca="false">Raw_Data!F1193</f>
        <v>6</v>
      </c>
      <c r="H1193" s="3" t="str">
        <f aca="false">Raw_Data!G1193</f>
        <v>yes</v>
      </c>
      <c r="I1193" s="3" t="str">
        <f aca="false">Raw_Data!H1193</f>
        <v>no</v>
      </c>
      <c r="J1193" s="2" t="n">
        <f aca="false">IF(F1193="yes",1,0)</f>
        <v>0</v>
      </c>
      <c r="K1193" s="2" t="n">
        <f aca="false">IF(H1193="yes",1,0)</f>
        <v>1</v>
      </c>
      <c r="L1193" s="2" t="n">
        <f aca="false">IF(I1193="yes",1,0)</f>
        <v>0</v>
      </c>
      <c r="M1193" s="2" t="n">
        <f aca="false">IF(G1193&lt;0,1,0)</f>
        <v>0</v>
      </c>
      <c r="N1193" s="2" t="str">
        <f aca="false">_xlfn.IFS(B1193&lt;30,"Under 30",B1193&lt;40,"30-39",B1193&lt;50,"40-49",B1193&lt;60,"50-59",TRUE(),"60+")</f>
        <v>30-39</v>
      </c>
      <c r="O1193" s="2" t="str">
        <f aca="false">_xlfn.IFS(G1193&lt;0,"1 Negative",G1193=0,"2 Zero",G1193&lt;=500,"3 1-500",G1193&lt;=2000,"4 501-2000",TRUE(),"5 Above 2000")</f>
        <v>3 1-500</v>
      </c>
      <c r="P1193" s="2" t="n">
        <f aca="false">Lookups!$B$2*M1193+Lookups!$B$3*L1193</f>
        <v>0</v>
      </c>
      <c r="Q1193" s="2" t="str">
        <f aca="false">INDEX(Lookups!$E$2:$E$5,MATCH(P1193,Lookups!$D$2:$D$5,0))</f>
        <v>Low</v>
      </c>
    </row>
    <row r="1194" customFormat="false" ht="15" hidden="false" customHeight="false" outlineLevel="0" collapsed="false">
      <c r="A1194" s="3" t="n">
        <v>1193</v>
      </c>
      <c r="B1194" s="3" t="n">
        <f aca="false">Raw_Data!A1194</f>
        <v>35</v>
      </c>
      <c r="C1194" s="3" t="str">
        <f aca="false">SUBSTITUTE(Raw_Data!B1194,".","")</f>
        <v>entrepreneur</v>
      </c>
      <c r="D1194" s="3" t="str">
        <f aca="false">Raw_Data!C1194</f>
        <v>single</v>
      </c>
      <c r="E1194" s="3" t="str">
        <f aca="false">Raw_Data!D1194</f>
        <v>secondary</v>
      </c>
      <c r="F1194" s="3" t="str">
        <f aca="false">Raw_Data!E1194</f>
        <v>no</v>
      </c>
      <c r="G1194" s="3" t="n">
        <f aca="false">Raw_Data!F1194</f>
        <v>475</v>
      </c>
      <c r="H1194" s="3" t="str">
        <f aca="false">Raw_Data!G1194</f>
        <v>no</v>
      </c>
      <c r="I1194" s="3" t="str">
        <f aca="false">Raw_Data!H1194</f>
        <v>yes</v>
      </c>
      <c r="J1194" s="2" t="n">
        <f aca="false">IF(F1194="yes",1,0)</f>
        <v>0</v>
      </c>
      <c r="K1194" s="2" t="n">
        <f aca="false">IF(H1194="yes",1,0)</f>
        <v>0</v>
      </c>
      <c r="L1194" s="2" t="n">
        <f aca="false">IF(I1194="yes",1,0)</f>
        <v>1</v>
      </c>
      <c r="M1194" s="2" t="n">
        <f aca="false">IF(G1194&lt;0,1,0)</f>
        <v>0</v>
      </c>
      <c r="N1194" s="2" t="str">
        <f aca="false">_xlfn.IFS(B1194&lt;30,"Under 30",B1194&lt;40,"30-39",B1194&lt;50,"40-49",B1194&lt;60,"50-59",TRUE(),"60+")</f>
        <v>30-39</v>
      </c>
      <c r="O1194" s="2" t="str">
        <f aca="false">_xlfn.IFS(G1194&lt;0,"1 Negative",G1194=0,"2 Zero",G1194&lt;=500,"3 1-500",G1194&lt;=2000,"4 501-2000",TRUE(),"5 Above 2000")</f>
        <v>3 1-500</v>
      </c>
      <c r="P1194" s="2" t="n">
        <f aca="false">Lookups!$B$2*M1194+Lookups!$B$3*L1194</f>
        <v>1</v>
      </c>
      <c r="Q1194" s="2" t="str">
        <f aca="false">INDEX(Lookups!$E$2:$E$5,MATCH(P1194,Lookups!$D$2:$D$5,0))</f>
        <v>Medium</v>
      </c>
    </row>
    <row r="1195" customFormat="false" ht="15" hidden="false" customHeight="false" outlineLevel="0" collapsed="false">
      <c r="A1195" s="3" t="n">
        <v>1194</v>
      </c>
      <c r="B1195" s="3" t="n">
        <f aca="false">Raw_Data!A1195</f>
        <v>33</v>
      </c>
      <c r="C1195" s="3" t="str">
        <f aca="false">SUBSTITUTE(Raw_Data!B1195,".","")</f>
        <v>blue-collar</v>
      </c>
      <c r="D1195" s="3" t="str">
        <f aca="false">Raw_Data!C1195</f>
        <v>single</v>
      </c>
      <c r="E1195" s="3" t="str">
        <f aca="false">Raw_Data!D1195</f>
        <v>secondary</v>
      </c>
      <c r="F1195" s="3" t="str">
        <f aca="false">Raw_Data!E1195</f>
        <v>no</v>
      </c>
      <c r="G1195" s="3" t="n">
        <f aca="false">Raw_Data!F1195</f>
        <v>706</v>
      </c>
      <c r="H1195" s="3" t="str">
        <f aca="false">Raw_Data!G1195</f>
        <v>yes</v>
      </c>
      <c r="I1195" s="3" t="str">
        <f aca="false">Raw_Data!H1195</f>
        <v>no</v>
      </c>
      <c r="J1195" s="2" t="n">
        <f aca="false">IF(F1195="yes",1,0)</f>
        <v>0</v>
      </c>
      <c r="K1195" s="2" t="n">
        <f aca="false">IF(H1195="yes",1,0)</f>
        <v>1</v>
      </c>
      <c r="L1195" s="2" t="n">
        <f aca="false">IF(I1195="yes",1,0)</f>
        <v>0</v>
      </c>
      <c r="M1195" s="2" t="n">
        <f aca="false">IF(G1195&lt;0,1,0)</f>
        <v>0</v>
      </c>
      <c r="N1195" s="2" t="str">
        <f aca="false">_xlfn.IFS(B1195&lt;30,"Under 30",B1195&lt;40,"30-39",B1195&lt;50,"40-49",B1195&lt;60,"50-59",TRUE(),"60+")</f>
        <v>30-39</v>
      </c>
      <c r="O1195" s="2" t="str">
        <f aca="false">_xlfn.IFS(G1195&lt;0,"1 Negative",G1195=0,"2 Zero",G1195&lt;=500,"3 1-500",G1195&lt;=2000,"4 501-2000",TRUE(),"5 Above 2000")</f>
        <v>4 501-2000</v>
      </c>
      <c r="P1195" s="2" t="n">
        <f aca="false">Lookups!$B$2*M1195+Lookups!$B$3*L1195</f>
        <v>0</v>
      </c>
      <c r="Q1195" s="2" t="str">
        <f aca="false">INDEX(Lookups!$E$2:$E$5,MATCH(P1195,Lookups!$D$2:$D$5,0))</f>
        <v>Low</v>
      </c>
    </row>
    <row r="1196" customFormat="false" ht="15" hidden="false" customHeight="false" outlineLevel="0" collapsed="false">
      <c r="A1196" s="3" t="n">
        <v>1195</v>
      </c>
      <c r="B1196" s="3" t="n">
        <f aca="false">Raw_Data!A1196</f>
        <v>36</v>
      </c>
      <c r="C1196" s="3" t="str">
        <f aca="false">SUBSTITUTE(Raw_Data!B1196,".","")</f>
        <v>management</v>
      </c>
      <c r="D1196" s="3" t="str">
        <f aca="false">Raw_Data!C1196</f>
        <v>married</v>
      </c>
      <c r="E1196" s="3" t="str">
        <f aca="false">Raw_Data!D1196</f>
        <v>secondary</v>
      </c>
      <c r="F1196" s="3" t="str">
        <f aca="false">Raw_Data!E1196</f>
        <v>no</v>
      </c>
      <c r="G1196" s="3" t="n">
        <f aca="false">Raw_Data!F1196</f>
        <v>1825</v>
      </c>
      <c r="H1196" s="3" t="str">
        <f aca="false">Raw_Data!G1196</f>
        <v>yes</v>
      </c>
      <c r="I1196" s="3" t="str">
        <f aca="false">Raw_Data!H1196</f>
        <v>no</v>
      </c>
      <c r="J1196" s="2" t="n">
        <f aca="false">IF(F1196="yes",1,0)</f>
        <v>0</v>
      </c>
      <c r="K1196" s="2" t="n">
        <f aca="false">IF(H1196="yes",1,0)</f>
        <v>1</v>
      </c>
      <c r="L1196" s="2" t="n">
        <f aca="false">IF(I1196="yes",1,0)</f>
        <v>0</v>
      </c>
      <c r="M1196" s="2" t="n">
        <f aca="false">IF(G1196&lt;0,1,0)</f>
        <v>0</v>
      </c>
      <c r="N1196" s="2" t="str">
        <f aca="false">_xlfn.IFS(B1196&lt;30,"Under 30",B1196&lt;40,"30-39",B1196&lt;50,"40-49",B1196&lt;60,"50-59",TRUE(),"60+")</f>
        <v>30-39</v>
      </c>
      <c r="O1196" s="2" t="str">
        <f aca="false">_xlfn.IFS(G1196&lt;0,"1 Negative",G1196=0,"2 Zero",G1196&lt;=500,"3 1-500",G1196&lt;=2000,"4 501-2000",TRUE(),"5 Above 2000")</f>
        <v>4 501-2000</v>
      </c>
      <c r="P1196" s="2" t="n">
        <f aca="false">Lookups!$B$2*M1196+Lookups!$B$3*L1196</f>
        <v>0</v>
      </c>
      <c r="Q1196" s="2" t="str">
        <f aca="false">INDEX(Lookups!$E$2:$E$5,MATCH(P1196,Lookups!$D$2:$D$5,0))</f>
        <v>Low</v>
      </c>
    </row>
    <row r="1197" customFormat="false" ht="15" hidden="false" customHeight="false" outlineLevel="0" collapsed="false">
      <c r="A1197" s="3" t="n">
        <v>1196</v>
      </c>
      <c r="B1197" s="3" t="n">
        <f aca="false">Raw_Data!A1197</f>
        <v>59</v>
      </c>
      <c r="C1197" s="3" t="str">
        <f aca="false">SUBSTITUTE(Raw_Data!B1197,".","")</f>
        <v>self-employed</v>
      </c>
      <c r="D1197" s="3" t="str">
        <f aca="false">Raw_Data!C1197</f>
        <v>married</v>
      </c>
      <c r="E1197" s="3" t="str">
        <f aca="false">Raw_Data!D1197</f>
        <v>tertiary</v>
      </c>
      <c r="F1197" s="3" t="str">
        <f aca="false">Raw_Data!E1197</f>
        <v>no</v>
      </c>
      <c r="G1197" s="3" t="n">
        <f aca="false">Raw_Data!F1197</f>
        <v>185</v>
      </c>
      <c r="H1197" s="3" t="str">
        <f aca="false">Raw_Data!G1197</f>
        <v>no</v>
      </c>
      <c r="I1197" s="3" t="str">
        <f aca="false">Raw_Data!H1197</f>
        <v>no</v>
      </c>
      <c r="J1197" s="2" t="n">
        <f aca="false">IF(F1197="yes",1,0)</f>
        <v>0</v>
      </c>
      <c r="K1197" s="2" t="n">
        <f aca="false">IF(H1197="yes",1,0)</f>
        <v>0</v>
      </c>
      <c r="L1197" s="2" t="n">
        <f aca="false">IF(I1197="yes",1,0)</f>
        <v>0</v>
      </c>
      <c r="M1197" s="2" t="n">
        <f aca="false">IF(G1197&lt;0,1,0)</f>
        <v>0</v>
      </c>
      <c r="N1197" s="2" t="str">
        <f aca="false">_xlfn.IFS(B1197&lt;30,"Under 30",B1197&lt;40,"30-39",B1197&lt;50,"40-49",B1197&lt;60,"50-59",TRUE(),"60+")</f>
        <v>50-59</v>
      </c>
      <c r="O1197" s="2" t="str">
        <f aca="false">_xlfn.IFS(G1197&lt;0,"1 Negative",G1197=0,"2 Zero",G1197&lt;=500,"3 1-500",G1197&lt;=2000,"4 501-2000",TRUE(),"5 Above 2000")</f>
        <v>3 1-500</v>
      </c>
      <c r="P1197" s="2" t="n">
        <f aca="false">Lookups!$B$2*M1197+Lookups!$B$3*L1197</f>
        <v>0</v>
      </c>
      <c r="Q1197" s="2" t="str">
        <f aca="false">INDEX(Lookups!$E$2:$E$5,MATCH(P1197,Lookups!$D$2:$D$5,0))</f>
        <v>Low</v>
      </c>
    </row>
    <row r="1198" customFormat="false" ht="15" hidden="false" customHeight="false" outlineLevel="0" collapsed="false">
      <c r="A1198" s="3" t="n">
        <v>1197</v>
      </c>
      <c r="B1198" s="3" t="n">
        <f aca="false">Raw_Data!A1198</f>
        <v>72</v>
      </c>
      <c r="C1198" s="3" t="str">
        <f aca="false">SUBSTITUTE(Raw_Data!B1198,".","")</f>
        <v>blue-collar</v>
      </c>
      <c r="D1198" s="3" t="str">
        <f aca="false">Raw_Data!C1198</f>
        <v>married</v>
      </c>
      <c r="E1198" s="3" t="str">
        <f aca="false">Raw_Data!D1198</f>
        <v>primary</v>
      </c>
      <c r="F1198" s="3" t="str">
        <f aca="false">Raw_Data!E1198</f>
        <v>no</v>
      </c>
      <c r="G1198" s="3" t="n">
        <f aca="false">Raw_Data!F1198</f>
        <v>4415</v>
      </c>
      <c r="H1198" s="3" t="str">
        <f aca="false">Raw_Data!G1198</f>
        <v>no</v>
      </c>
      <c r="I1198" s="3" t="str">
        <f aca="false">Raw_Data!H1198</f>
        <v>no</v>
      </c>
      <c r="J1198" s="2" t="n">
        <f aca="false">IF(F1198="yes",1,0)</f>
        <v>0</v>
      </c>
      <c r="K1198" s="2" t="n">
        <f aca="false">IF(H1198="yes",1,0)</f>
        <v>0</v>
      </c>
      <c r="L1198" s="2" t="n">
        <f aca="false">IF(I1198="yes",1,0)</f>
        <v>0</v>
      </c>
      <c r="M1198" s="2" t="n">
        <f aca="false">IF(G1198&lt;0,1,0)</f>
        <v>0</v>
      </c>
      <c r="N1198" s="2" t="str">
        <f aca="false">_xlfn.IFS(B1198&lt;30,"Under 30",B1198&lt;40,"30-39",B1198&lt;50,"40-49",B1198&lt;60,"50-59",TRUE(),"60+")</f>
        <v>60+</v>
      </c>
      <c r="O1198" s="2" t="str">
        <f aca="false">_xlfn.IFS(G1198&lt;0,"1 Negative",G1198=0,"2 Zero",G1198&lt;=500,"3 1-500",G1198&lt;=2000,"4 501-2000",TRUE(),"5 Above 2000")</f>
        <v>5 Above 2000</v>
      </c>
      <c r="P1198" s="2" t="n">
        <f aca="false">Lookups!$B$2*M1198+Lookups!$B$3*L1198</f>
        <v>0</v>
      </c>
      <c r="Q1198" s="2" t="str">
        <f aca="false">INDEX(Lookups!$E$2:$E$5,MATCH(P1198,Lookups!$D$2:$D$5,0))</f>
        <v>Low</v>
      </c>
    </row>
    <row r="1199" customFormat="false" ht="15" hidden="false" customHeight="false" outlineLevel="0" collapsed="false">
      <c r="A1199" s="3" t="n">
        <v>1198</v>
      </c>
      <c r="B1199" s="3" t="n">
        <f aca="false">Raw_Data!A1199</f>
        <v>64</v>
      </c>
      <c r="C1199" s="3" t="str">
        <f aca="false">SUBSTITUTE(Raw_Data!B1199,".","")</f>
        <v>management</v>
      </c>
      <c r="D1199" s="3" t="str">
        <f aca="false">Raw_Data!C1199</f>
        <v>married</v>
      </c>
      <c r="E1199" s="3" t="str">
        <f aca="false">Raw_Data!D1199</f>
        <v>tertiary</v>
      </c>
      <c r="F1199" s="3" t="str">
        <f aca="false">Raw_Data!E1199</f>
        <v>no</v>
      </c>
      <c r="G1199" s="3" t="n">
        <f aca="false">Raw_Data!F1199</f>
        <v>679</v>
      </c>
      <c r="H1199" s="3" t="str">
        <f aca="false">Raw_Data!G1199</f>
        <v>no</v>
      </c>
      <c r="I1199" s="3" t="str">
        <f aca="false">Raw_Data!H1199</f>
        <v>no</v>
      </c>
      <c r="J1199" s="2" t="n">
        <f aca="false">IF(F1199="yes",1,0)</f>
        <v>0</v>
      </c>
      <c r="K1199" s="2" t="n">
        <f aca="false">IF(H1199="yes",1,0)</f>
        <v>0</v>
      </c>
      <c r="L1199" s="2" t="n">
        <f aca="false">IF(I1199="yes",1,0)</f>
        <v>0</v>
      </c>
      <c r="M1199" s="2" t="n">
        <f aca="false">IF(G1199&lt;0,1,0)</f>
        <v>0</v>
      </c>
      <c r="N1199" s="2" t="str">
        <f aca="false">_xlfn.IFS(B1199&lt;30,"Under 30",B1199&lt;40,"30-39",B1199&lt;50,"40-49",B1199&lt;60,"50-59",TRUE(),"60+")</f>
        <v>60+</v>
      </c>
      <c r="O1199" s="2" t="str">
        <f aca="false">_xlfn.IFS(G1199&lt;0,"1 Negative",G1199=0,"2 Zero",G1199&lt;=500,"3 1-500",G1199&lt;=2000,"4 501-2000",TRUE(),"5 Above 2000")</f>
        <v>4 501-2000</v>
      </c>
      <c r="P1199" s="2" t="n">
        <f aca="false">Lookups!$B$2*M1199+Lookups!$B$3*L1199</f>
        <v>0</v>
      </c>
      <c r="Q1199" s="2" t="str">
        <f aca="false">INDEX(Lookups!$E$2:$E$5,MATCH(P1199,Lookups!$D$2:$D$5,0))</f>
        <v>Low</v>
      </c>
    </row>
    <row r="1200" customFormat="false" ht="15" hidden="false" customHeight="false" outlineLevel="0" collapsed="false">
      <c r="A1200" s="3" t="n">
        <v>1199</v>
      </c>
      <c r="B1200" s="3" t="n">
        <f aca="false">Raw_Data!A1200</f>
        <v>53</v>
      </c>
      <c r="C1200" s="3" t="str">
        <f aca="false">SUBSTITUTE(Raw_Data!B1200,".","")</f>
        <v>technician</v>
      </c>
      <c r="D1200" s="3" t="str">
        <f aca="false">Raw_Data!C1200</f>
        <v>divorced</v>
      </c>
      <c r="E1200" s="3" t="str">
        <f aca="false">Raw_Data!D1200</f>
        <v>secondary</v>
      </c>
      <c r="F1200" s="3" t="str">
        <f aca="false">Raw_Data!E1200</f>
        <v>no</v>
      </c>
      <c r="G1200" s="3" t="n">
        <f aca="false">Raw_Data!F1200</f>
        <v>320</v>
      </c>
      <c r="H1200" s="3" t="str">
        <f aca="false">Raw_Data!G1200</f>
        <v>no</v>
      </c>
      <c r="I1200" s="3" t="str">
        <f aca="false">Raw_Data!H1200</f>
        <v>no</v>
      </c>
      <c r="J1200" s="2" t="n">
        <f aca="false">IF(F1200="yes",1,0)</f>
        <v>0</v>
      </c>
      <c r="K1200" s="2" t="n">
        <f aca="false">IF(H1200="yes",1,0)</f>
        <v>0</v>
      </c>
      <c r="L1200" s="2" t="n">
        <f aca="false">IF(I1200="yes",1,0)</f>
        <v>0</v>
      </c>
      <c r="M1200" s="2" t="n">
        <f aca="false">IF(G1200&lt;0,1,0)</f>
        <v>0</v>
      </c>
      <c r="N1200" s="2" t="str">
        <f aca="false">_xlfn.IFS(B1200&lt;30,"Under 30",B1200&lt;40,"30-39",B1200&lt;50,"40-49",B1200&lt;60,"50-59",TRUE(),"60+")</f>
        <v>50-59</v>
      </c>
      <c r="O1200" s="2" t="str">
        <f aca="false">_xlfn.IFS(G1200&lt;0,"1 Negative",G1200=0,"2 Zero",G1200&lt;=500,"3 1-500",G1200&lt;=2000,"4 501-2000",TRUE(),"5 Above 2000")</f>
        <v>3 1-500</v>
      </c>
      <c r="P1200" s="2" t="n">
        <f aca="false">Lookups!$B$2*M1200+Lookups!$B$3*L1200</f>
        <v>0</v>
      </c>
      <c r="Q1200" s="2" t="str">
        <f aca="false">INDEX(Lookups!$E$2:$E$5,MATCH(P1200,Lookups!$D$2:$D$5,0))</f>
        <v>Low</v>
      </c>
    </row>
    <row r="1201" customFormat="false" ht="15" hidden="false" customHeight="false" outlineLevel="0" collapsed="false">
      <c r="A1201" s="3" t="n">
        <v>1200</v>
      </c>
      <c r="B1201" s="3" t="n">
        <f aca="false">Raw_Data!A1201</f>
        <v>35</v>
      </c>
      <c r="C1201" s="3" t="str">
        <f aca="false">SUBSTITUTE(Raw_Data!B1201,".","")</f>
        <v>management</v>
      </c>
      <c r="D1201" s="3" t="str">
        <f aca="false">Raw_Data!C1201</f>
        <v>single</v>
      </c>
      <c r="E1201" s="3" t="str">
        <f aca="false">Raw_Data!D1201</f>
        <v>tertiary</v>
      </c>
      <c r="F1201" s="3" t="str">
        <f aca="false">Raw_Data!E1201</f>
        <v>no</v>
      </c>
      <c r="G1201" s="3" t="n">
        <f aca="false">Raw_Data!F1201</f>
        <v>2988</v>
      </c>
      <c r="H1201" s="3" t="str">
        <f aca="false">Raw_Data!G1201</f>
        <v>yes</v>
      </c>
      <c r="I1201" s="3" t="str">
        <f aca="false">Raw_Data!H1201</f>
        <v>no</v>
      </c>
      <c r="J1201" s="2" t="n">
        <f aca="false">IF(F1201="yes",1,0)</f>
        <v>0</v>
      </c>
      <c r="K1201" s="2" t="n">
        <f aca="false">IF(H1201="yes",1,0)</f>
        <v>1</v>
      </c>
      <c r="L1201" s="2" t="n">
        <f aca="false">IF(I1201="yes",1,0)</f>
        <v>0</v>
      </c>
      <c r="M1201" s="2" t="n">
        <f aca="false">IF(G1201&lt;0,1,0)</f>
        <v>0</v>
      </c>
      <c r="N1201" s="2" t="str">
        <f aca="false">_xlfn.IFS(B1201&lt;30,"Under 30",B1201&lt;40,"30-39",B1201&lt;50,"40-49",B1201&lt;60,"50-59",TRUE(),"60+")</f>
        <v>30-39</v>
      </c>
      <c r="O1201" s="2" t="str">
        <f aca="false">_xlfn.IFS(G1201&lt;0,"1 Negative",G1201=0,"2 Zero",G1201&lt;=500,"3 1-500",G1201&lt;=2000,"4 501-2000",TRUE(),"5 Above 2000")</f>
        <v>5 Above 2000</v>
      </c>
      <c r="P1201" s="2" t="n">
        <f aca="false">Lookups!$B$2*M1201+Lookups!$B$3*L1201</f>
        <v>0</v>
      </c>
      <c r="Q1201" s="2" t="str">
        <f aca="false">INDEX(Lookups!$E$2:$E$5,MATCH(P1201,Lookups!$D$2:$D$5,0))</f>
        <v>Low</v>
      </c>
    </row>
    <row r="1202" customFormat="false" ht="15" hidden="false" customHeight="false" outlineLevel="0" collapsed="false">
      <c r="A1202" s="3" t="n">
        <v>1201</v>
      </c>
      <c r="B1202" s="3" t="n">
        <f aca="false">Raw_Data!A1202</f>
        <v>58</v>
      </c>
      <c r="C1202" s="3" t="str">
        <f aca="false">SUBSTITUTE(Raw_Data!B1202,".","")</f>
        <v>self-employed</v>
      </c>
      <c r="D1202" s="3" t="str">
        <f aca="false">Raw_Data!C1202</f>
        <v>married</v>
      </c>
      <c r="E1202" s="3" t="str">
        <f aca="false">Raw_Data!D1202</f>
        <v>secondary</v>
      </c>
      <c r="F1202" s="3" t="str">
        <f aca="false">Raw_Data!E1202</f>
        <v>no</v>
      </c>
      <c r="G1202" s="3" t="n">
        <f aca="false">Raw_Data!F1202</f>
        <v>1407</v>
      </c>
      <c r="H1202" s="3" t="str">
        <f aca="false">Raw_Data!G1202</f>
        <v>yes</v>
      </c>
      <c r="I1202" s="3" t="str">
        <f aca="false">Raw_Data!H1202</f>
        <v>no</v>
      </c>
      <c r="J1202" s="2" t="n">
        <f aca="false">IF(F1202="yes",1,0)</f>
        <v>0</v>
      </c>
      <c r="K1202" s="2" t="n">
        <f aca="false">IF(H1202="yes",1,0)</f>
        <v>1</v>
      </c>
      <c r="L1202" s="2" t="n">
        <f aca="false">IF(I1202="yes",1,0)</f>
        <v>0</v>
      </c>
      <c r="M1202" s="2" t="n">
        <f aca="false">IF(G1202&lt;0,1,0)</f>
        <v>0</v>
      </c>
      <c r="N1202" s="2" t="str">
        <f aca="false">_xlfn.IFS(B1202&lt;30,"Under 30",B1202&lt;40,"30-39",B1202&lt;50,"40-49",B1202&lt;60,"50-59",TRUE(),"60+")</f>
        <v>50-59</v>
      </c>
      <c r="O1202" s="2" t="str">
        <f aca="false">_xlfn.IFS(G1202&lt;0,"1 Negative",G1202=0,"2 Zero",G1202&lt;=500,"3 1-500",G1202&lt;=2000,"4 501-2000",TRUE(),"5 Above 2000")</f>
        <v>4 501-2000</v>
      </c>
      <c r="P1202" s="2" t="n">
        <f aca="false">Lookups!$B$2*M1202+Lookups!$B$3*L1202</f>
        <v>0</v>
      </c>
      <c r="Q1202" s="2" t="str">
        <f aca="false">INDEX(Lookups!$E$2:$E$5,MATCH(P1202,Lookups!$D$2:$D$5,0))</f>
        <v>Low</v>
      </c>
    </row>
    <row r="1203" customFormat="false" ht="15" hidden="false" customHeight="false" outlineLevel="0" collapsed="false">
      <c r="A1203" s="3" t="n">
        <v>1202</v>
      </c>
      <c r="B1203" s="3" t="n">
        <f aca="false">Raw_Data!A1203</f>
        <v>40</v>
      </c>
      <c r="C1203" s="3" t="str">
        <f aca="false">SUBSTITUTE(Raw_Data!B1203,".","")</f>
        <v>technician</v>
      </c>
      <c r="D1203" s="3" t="str">
        <f aca="false">Raw_Data!C1203</f>
        <v>married</v>
      </c>
      <c r="E1203" s="3" t="str">
        <f aca="false">Raw_Data!D1203</f>
        <v>secondary</v>
      </c>
      <c r="F1203" s="3" t="str">
        <f aca="false">Raw_Data!E1203</f>
        <v>no</v>
      </c>
      <c r="G1203" s="3" t="n">
        <f aca="false">Raw_Data!F1203</f>
        <v>1270</v>
      </c>
      <c r="H1203" s="3" t="str">
        <f aca="false">Raw_Data!G1203</f>
        <v>no</v>
      </c>
      <c r="I1203" s="3" t="str">
        <f aca="false">Raw_Data!H1203</f>
        <v>no</v>
      </c>
      <c r="J1203" s="2" t="n">
        <f aca="false">IF(F1203="yes",1,0)</f>
        <v>0</v>
      </c>
      <c r="K1203" s="2" t="n">
        <f aca="false">IF(H1203="yes",1,0)</f>
        <v>0</v>
      </c>
      <c r="L1203" s="2" t="n">
        <f aca="false">IF(I1203="yes",1,0)</f>
        <v>0</v>
      </c>
      <c r="M1203" s="2" t="n">
        <f aca="false">IF(G1203&lt;0,1,0)</f>
        <v>0</v>
      </c>
      <c r="N1203" s="2" t="str">
        <f aca="false">_xlfn.IFS(B1203&lt;30,"Under 30",B1203&lt;40,"30-39",B1203&lt;50,"40-49",B1203&lt;60,"50-59",TRUE(),"60+")</f>
        <v>40-49</v>
      </c>
      <c r="O1203" s="2" t="str">
        <f aca="false">_xlfn.IFS(G1203&lt;0,"1 Negative",G1203=0,"2 Zero",G1203&lt;=500,"3 1-500",G1203&lt;=2000,"4 501-2000",TRUE(),"5 Above 2000")</f>
        <v>4 501-2000</v>
      </c>
      <c r="P1203" s="2" t="n">
        <f aca="false">Lookups!$B$2*M1203+Lookups!$B$3*L1203</f>
        <v>0</v>
      </c>
      <c r="Q1203" s="2" t="str">
        <f aca="false">INDEX(Lookups!$E$2:$E$5,MATCH(P1203,Lookups!$D$2:$D$5,0))</f>
        <v>Low</v>
      </c>
    </row>
    <row r="1204" customFormat="false" ht="15" hidden="false" customHeight="false" outlineLevel="0" collapsed="false">
      <c r="A1204" s="3" t="n">
        <v>1203</v>
      </c>
      <c r="B1204" s="3" t="n">
        <f aca="false">Raw_Data!A1204</f>
        <v>41</v>
      </c>
      <c r="C1204" s="3" t="str">
        <f aca="false">SUBSTITUTE(Raw_Data!B1204,".","")</f>
        <v>services</v>
      </c>
      <c r="D1204" s="3" t="str">
        <f aca="false">Raw_Data!C1204</f>
        <v>divorced</v>
      </c>
      <c r="E1204" s="3" t="str">
        <f aca="false">Raw_Data!D1204</f>
        <v>secondary</v>
      </c>
      <c r="F1204" s="3" t="str">
        <f aca="false">Raw_Data!E1204</f>
        <v>no</v>
      </c>
      <c r="G1204" s="3" t="n">
        <f aca="false">Raw_Data!F1204</f>
        <v>654</v>
      </c>
      <c r="H1204" s="3" t="str">
        <f aca="false">Raw_Data!G1204</f>
        <v>yes</v>
      </c>
      <c r="I1204" s="3" t="str">
        <f aca="false">Raw_Data!H1204</f>
        <v>no</v>
      </c>
      <c r="J1204" s="2" t="n">
        <f aca="false">IF(F1204="yes",1,0)</f>
        <v>0</v>
      </c>
      <c r="K1204" s="2" t="n">
        <f aca="false">IF(H1204="yes",1,0)</f>
        <v>1</v>
      </c>
      <c r="L1204" s="2" t="n">
        <f aca="false">IF(I1204="yes",1,0)</f>
        <v>0</v>
      </c>
      <c r="M1204" s="2" t="n">
        <f aca="false">IF(G1204&lt;0,1,0)</f>
        <v>0</v>
      </c>
      <c r="N1204" s="2" t="str">
        <f aca="false">_xlfn.IFS(B1204&lt;30,"Under 30",B1204&lt;40,"30-39",B1204&lt;50,"40-49",B1204&lt;60,"50-59",TRUE(),"60+")</f>
        <v>40-49</v>
      </c>
      <c r="O1204" s="2" t="str">
        <f aca="false">_xlfn.IFS(G1204&lt;0,"1 Negative",G1204=0,"2 Zero",G1204&lt;=500,"3 1-500",G1204&lt;=2000,"4 501-2000",TRUE(),"5 Above 2000")</f>
        <v>4 501-2000</v>
      </c>
      <c r="P1204" s="2" t="n">
        <f aca="false">Lookups!$B$2*M1204+Lookups!$B$3*L1204</f>
        <v>0</v>
      </c>
      <c r="Q1204" s="2" t="str">
        <f aca="false">INDEX(Lookups!$E$2:$E$5,MATCH(P1204,Lookups!$D$2:$D$5,0))</f>
        <v>Low</v>
      </c>
    </row>
    <row r="1205" customFormat="false" ht="15" hidden="false" customHeight="false" outlineLevel="0" collapsed="false">
      <c r="A1205" s="3" t="n">
        <v>1204</v>
      </c>
      <c r="B1205" s="3" t="n">
        <f aca="false">Raw_Data!A1205</f>
        <v>48</v>
      </c>
      <c r="C1205" s="3" t="str">
        <f aca="false">SUBSTITUTE(Raw_Data!B1205,".","")</f>
        <v>retired</v>
      </c>
      <c r="D1205" s="3" t="str">
        <f aca="false">Raw_Data!C1205</f>
        <v>married</v>
      </c>
      <c r="E1205" s="3" t="str">
        <f aca="false">Raw_Data!D1205</f>
        <v>primary</v>
      </c>
      <c r="F1205" s="3" t="str">
        <f aca="false">Raw_Data!E1205</f>
        <v>no</v>
      </c>
      <c r="G1205" s="3" t="n">
        <f aca="false">Raw_Data!F1205</f>
        <v>5173</v>
      </c>
      <c r="H1205" s="3" t="str">
        <f aca="false">Raw_Data!G1205</f>
        <v>yes</v>
      </c>
      <c r="I1205" s="3" t="str">
        <f aca="false">Raw_Data!H1205</f>
        <v>no</v>
      </c>
      <c r="J1205" s="2" t="n">
        <f aca="false">IF(F1205="yes",1,0)</f>
        <v>0</v>
      </c>
      <c r="K1205" s="2" t="n">
        <f aca="false">IF(H1205="yes",1,0)</f>
        <v>1</v>
      </c>
      <c r="L1205" s="2" t="n">
        <f aca="false">IF(I1205="yes",1,0)</f>
        <v>0</v>
      </c>
      <c r="M1205" s="2" t="n">
        <f aca="false">IF(G1205&lt;0,1,0)</f>
        <v>0</v>
      </c>
      <c r="N1205" s="2" t="str">
        <f aca="false">_xlfn.IFS(B1205&lt;30,"Under 30",B1205&lt;40,"30-39",B1205&lt;50,"40-49",B1205&lt;60,"50-59",TRUE(),"60+")</f>
        <v>40-49</v>
      </c>
      <c r="O1205" s="2" t="str">
        <f aca="false">_xlfn.IFS(G1205&lt;0,"1 Negative",G1205=0,"2 Zero",G1205&lt;=500,"3 1-500",G1205&lt;=2000,"4 501-2000",TRUE(),"5 Above 2000")</f>
        <v>5 Above 2000</v>
      </c>
      <c r="P1205" s="2" t="n">
        <f aca="false">Lookups!$B$2*M1205+Lookups!$B$3*L1205</f>
        <v>0</v>
      </c>
      <c r="Q1205" s="2" t="str">
        <f aca="false">INDEX(Lookups!$E$2:$E$5,MATCH(P1205,Lookups!$D$2:$D$5,0))</f>
        <v>Low</v>
      </c>
    </row>
    <row r="1206" customFormat="false" ht="15" hidden="false" customHeight="false" outlineLevel="0" collapsed="false">
      <c r="A1206" s="3" t="n">
        <v>1205</v>
      </c>
      <c r="B1206" s="3" t="n">
        <f aca="false">Raw_Data!A1206</f>
        <v>44</v>
      </c>
      <c r="C1206" s="3" t="str">
        <f aca="false">SUBSTITUTE(Raw_Data!B1206,".","")</f>
        <v>entrepreneur</v>
      </c>
      <c r="D1206" s="3" t="str">
        <f aca="false">Raw_Data!C1206</f>
        <v>married</v>
      </c>
      <c r="E1206" s="3" t="str">
        <f aca="false">Raw_Data!D1206</f>
        <v>tertiary</v>
      </c>
      <c r="F1206" s="3" t="str">
        <f aca="false">Raw_Data!E1206</f>
        <v>no</v>
      </c>
      <c r="G1206" s="3" t="n">
        <f aca="false">Raw_Data!F1206</f>
        <v>3463</v>
      </c>
      <c r="H1206" s="3" t="str">
        <f aca="false">Raw_Data!G1206</f>
        <v>yes</v>
      </c>
      <c r="I1206" s="3" t="str">
        <f aca="false">Raw_Data!H1206</f>
        <v>yes</v>
      </c>
      <c r="J1206" s="2" t="n">
        <f aca="false">IF(F1206="yes",1,0)</f>
        <v>0</v>
      </c>
      <c r="K1206" s="2" t="n">
        <f aca="false">IF(H1206="yes",1,0)</f>
        <v>1</v>
      </c>
      <c r="L1206" s="2" t="n">
        <f aca="false">IF(I1206="yes",1,0)</f>
        <v>1</v>
      </c>
      <c r="M1206" s="2" t="n">
        <f aca="false">IF(G1206&lt;0,1,0)</f>
        <v>0</v>
      </c>
      <c r="N1206" s="2" t="str">
        <f aca="false">_xlfn.IFS(B1206&lt;30,"Under 30",B1206&lt;40,"30-39",B1206&lt;50,"40-49",B1206&lt;60,"50-59",TRUE(),"60+")</f>
        <v>40-49</v>
      </c>
      <c r="O1206" s="2" t="str">
        <f aca="false">_xlfn.IFS(G1206&lt;0,"1 Negative",G1206=0,"2 Zero",G1206&lt;=500,"3 1-500",G1206&lt;=2000,"4 501-2000",TRUE(),"5 Above 2000")</f>
        <v>5 Above 2000</v>
      </c>
      <c r="P1206" s="2" t="n">
        <f aca="false">Lookups!$B$2*M1206+Lookups!$B$3*L1206</f>
        <v>1</v>
      </c>
      <c r="Q1206" s="2" t="str">
        <f aca="false">INDEX(Lookups!$E$2:$E$5,MATCH(P1206,Lookups!$D$2:$D$5,0))</f>
        <v>Medium</v>
      </c>
    </row>
    <row r="1207" customFormat="false" ht="15" hidden="false" customHeight="false" outlineLevel="0" collapsed="false">
      <c r="A1207" s="3" t="n">
        <v>1206</v>
      </c>
      <c r="B1207" s="3" t="n">
        <f aca="false">Raw_Data!A1207</f>
        <v>39</v>
      </c>
      <c r="C1207" s="3" t="str">
        <f aca="false">SUBSTITUTE(Raw_Data!B1207,".","")</f>
        <v>blue-collar</v>
      </c>
      <c r="D1207" s="3" t="str">
        <f aca="false">Raw_Data!C1207</f>
        <v>married</v>
      </c>
      <c r="E1207" s="3" t="str">
        <f aca="false">Raw_Data!D1207</f>
        <v>unknown</v>
      </c>
      <c r="F1207" s="3" t="str">
        <f aca="false">Raw_Data!E1207</f>
        <v>no</v>
      </c>
      <c r="G1207" s="3" t="n">
        <f aca="false">Raw_Data!F1207</f>
        <v>0</v>
      </c>
      <c r="H1207" s="3" t="str">
        <f aca="false">Raw_Data!G1207</f>
        <v>no</v>
      </c>
      <c r="I1207" s="3" t="str">
        <f aca="false">Raw_Data!H1207</f>
        <v>no</v>
      </c>
      <c r="J1207" s="2" t="n">
        <f aca="false">IF(F1207="yes",1,0)</f>
        <v>0</v>
      </c>
      <c r="K1207" s="2" t="n">
        <f aca="false">IF(H1207="yes",1,0)</f>
        <v>0</v>
      </c>
      <c r="L1207" s="2" t="n">
        <f aca="false">IF(I1207="yes",1,0)</f>
        <v>0</v>
      </c>
      <c r="M1207" s="2" t="n">
        <f aca="false">IF(G1207&lt;0,1,0)</f>
        <v>0</v>
      </c>
      <c r="N1207" s="2" t="str">
        <f aca="false">_xlfn.IFS(B1207&lt;30,"Under 30",B1207&lt;40,"30-39",B1207&lt;50,"40-49",B1207&lt;60,"50-59",TRUE(),"60+")</f>
        <v>30-39</v>
      </c>
      <c r="O1207" s="2" t="str">
        <f aca="false">_xlfn.IFS(G1207&lt;0,"1 Negative",G1207=0,"2 Zero",G1207&lt;=500,"3 1-500",G1207&lt;=2000,"4 501-2000",TRUE(),"5 Above 2000")</f>
        <v>2 Zero</v>
      </c>
      <c r="P1207" s="2" t="n">
        <f aca="false">Lookups!$B$2*M1207+Lookups!$B$3*L1207</f>
        <v>0</v>
      </c>
      <c r="Q1207" s="2" t="str">
        <f aca="false">INDEX(Lookups!$E$2:$E$5,MATCH(P1207,Lookups!$D$2:$D$5,0))</f>
        <v>Low</v>
      </c>
    </row>
    <row r="1208" customFormat="false" ht="15" hidden="false" customHeight="false" outlineLevel="0" collapsed="false">
      <c r="A1208" s="3" t="n">
        <v>1207</v>
      </c>
      <c r="B1208" s="3" t="n">
        <f aca="false">Raw_Data!A1208</f>
        <v>61</v>
      </c>
      <c r="C1208" s="3" t="str">
        <f aca="false">SUBSTITUTE(Raw_Data!B1208,".","")</f>
        <v>management</v>
      </c>
      <c r="D1208" s="3" t="str">
        <f aca="false">Raw_Data!C1208</f>
        <v>married</v>
      </c>
      <c r="E1208" s="3" t="str">
        <f aca="false">Raw_Data!D1208</f>
        <v>tertiary</v>
      </c>
      <c r="F1208" s="3" t="str">
        <f aca="false">Raw_Data!E1208</f>
        <v>no</v>
      </c>
      <c r="G1208" s="3" t="n">
        <f aca="false">Raw_Data!F1208</f>
        <v>6016</v>
      </c>
      <c r="H1208" s="3" t="str">
        <f aca="false">Raw_Data!G1208</f>
        <v>no</v>
      </c>
      <c r="I1208" s="3" t="str">
        <f aca="false">Raw_Data!H1208</f>
        <v>no</v>
      </c>
      <c r="J1208" s="2" t="n">
        <f aca="false">IF(F1208="yes",1,0)</f>
        <v>0</v>
      </c>
      <c r="K1208" s="2" t="n">
        <f aca="false">IF(H1208="yes",1,0)</f>
        <v>0</v>
      </c>
      <c r="L1208" s="2" t="n">
        <f aca="false">IF(I1208="yes",1,0)</f>
        <v>0</v>
      </c>
      <c r="M1208" s="2" t="n">
        <f aca="false">IF(G1208&lt;0,1,0)</f>
        <v>0</v>
      </c>
      <c r="N1208" s="2" t="str">
        <f aca="false">_xlfn.IFS(B1208&lt;30,"Under 30",B1208&lt;40,"30-39",B1208&lt;50,"40-49",B1208&lt;60,"50-59",TRUE(),"60+")</f>
        <v>60+</v>
      </c>
      <c r="O1208" s="2" t="str">
        <f aca="false">_xlfn.IFS(G1208&lt;0,"1 Negative",G1208=0,"2 Zero",G1208&lt;=500,"3 1-500",G1208&lt;=2000,"4 501-2000",TRUE(),"5 Above 2000")</f>
        <v>5 Above 2000</v>
      </c>
      <c r="P1208" s="2" t="n">
        <f aca="false">Lookups!$B$2*M1208+Lookups!$B$3*L1208</f>
        <v>0</v>
      </c>
      <c r="Q1208" s="2" t="str">
        <f aca="false">INDEX(Lookups!$E$2:$E$5,MATCH(P1208,Lookups!$D$2:$D$5,0))</f>
        <v>Low</v>
      </c>
    </row>
    <row r="1209" customFormat="false" ht="15" hidden="false" customHeight="false" outlineLevel="0" collapsed="false">
      <c r="A1209" s="3" t="n">
        <v>1208</v>
      </c>
      <c r="B1209" s="3" t="n">
        <f aca="false">Raw_Data!A1209</f>
        <v>36</v>
      </c>
      <c r="C1209" s="3" t="str">
        <f aca="false">SUBSTITUTE(Raw_Data!B1209,".","")</f>
        <v>entrepreneur</v>
      </c>
      <c r="D1209" s="3" t="str">
        <f aca="false">Raw_Data!C1209</f>
        <v>married</v>
      </c>
      <c r="E1209" s="3" t="str">
        <f aca="false">Raw_Data!D1209</f>
        <v>primary</v>
      </c>
      <c r="F1209" s="3" t="str">
        <f aca="false">Raw_Data!E1209</f>
        <v>no</v>
      </c>
      <c r="G1209" s="3" t="n">
        <f aca="false">Raw_Data!F1209</f>
        <v>177</v>
      </c>
      <c r="H1209" s="3" t="str">
        <f aca="false">Raw_Data!G1209</f>
        <v>yes</v>
      </c>
      <c r="I1209" s="3" t="str">
        <f aca="false">Raw_Data!H1209</f>
        <v>no</v>
      </c>
      <c r="J1209" s="2" t="n">
        <f aca="false">IF(F1209="yes",1,0)</f>
        <v>0</v>
      </c>
      <c r="K1209" s="2" t="n">
        <f aca="false">IF(H1209="yes",1,0)</f>
        <v>1</v>
      </c>
      <c r="L1209" s="2" t="n">
        <f aca="false">IF(I1209="yes",1,0)</f>
        <v>0</v>
      </c>
      <c r="M1209" s="2" t="n">
        <f aca="false">IF(G1209&lt;0,1,0)</f>
        <v>0</v>
      </c>
      <c r="N1209" s="2" t="str">
        <f aca="false">_xlfn.IFS(B1209&lt;30,"Under 30",B1209&lt;40,"30-39",B1209&lt;50,"40-49",B1209&lt;60,"50-59",TRUE(),"60+")</f>
        <v>30-39</v>
      </c>
      <c r="O1209" s="2" t="str">
        <f aca="false">_xlfn.IFS(G1209&lt;0,"1 Negative",G1209=0,"2 Zero",G1209&lt;=500,"3 1-500",G1209&lt;=2000,"4 501-2000",TRUE(),"5 Above 2000")</f>
        <v>3 1-500</v>
      </c>
      <c r="P1209" s="2" t="n">
        <f aca="false">Lookups!$B$2*M1209+Lookups!$B$3*L1209</f>
        <v>0</v>
      </c>
      <c r="Q1209" s="2" t="str">
        <f aca="false">INDEX(Lookups!$E$2:$E$5,MATCH(P1209,Lookups!$D$2:$D$5,0))</f>
        <v>Low</v>
      </c>
    </row>
    <row r="1210" customFormat="false" ht="15" hidden="false" customHeight="false" outlineLevel="0" collapsed="false">
      <c r="A1210" s="3" t="n">
        <v>1209</v>
      </c>
      <c r="B1210" s="3" t="n">
        <f aca="false">Raw_Data!A1210</f>
        <v>28</v>
      </c>
      <c r="C1210" s="3" t="str">
        <f aca="false">SUBSTITUTE(Raw_Data!B1210,".","")</f>
        <v>management</v>
      </c>
      <c r="D1210" s="3" t="str">
        <f aca="false">Raw_Data!C1210</f>
        <v>married</v>
      </c>
      <c r="E1210" s="3" t="str">
        <f aca="false">Raw_Data!D1210</f>
        <v>tertiary</v>
      </c>
      <c r="F1210" s="3" t="str">
        <f aca="false">Raw_Data!E1210</f>
        <v>no</v>
      </c>
      <c r="G1210" s="3" t="n">
        <f aca="false">Raw_Data!F1210</f>
        <v>3694</v>
      </c>
      <c r="H1210" s="3" t="str">
        <f aca="false">Raw_Data!G1210</f>
        <v>no</v>
      </c>
      <c r="I1210" s="3" t="str">
        <f aca="false">Raw_Data!H1210</f>
        <v>yes</v>
      </c>
      <c r="J1210" s="2" t="n">
        <f aca="false">IF(F1210="yes",1,0)</f>
        <v>0</v>
      </c>
      <c r="K1210" s="2" t="n">
        <f aca="false">IF(H1210="yes",1,0)</f>
        <v>0</v>
      </c>
      <c r="L1210" s="2" t="n">
        <f aca="false">IF(I1210="yes",1,0)</f>
        <v>1</v>
      </c>
      <c r="M1210" s="2" t="n">
        <f aca="false">IF(G1210&lt;0,1,0)</f>
        <v>0</v>
      </c>
      <c r="N1210" s="2" t="str">
        <f aca="false">_xlfn.IFS(B1210&lt;30,"Under 30",B1210&lt;40,"30-39",B1210&lt;50,"40-49",B1210&lt;60,"50-59",TRUE(),"60+")</f>
        <v>Under 30</v>
      </c>
      <c r="O1210" s="2" t="str">
        <f aca="false">_xlfn.IFS(G1210&lt;0,"1 Negative",G1210=0,"2 Zero",G1210&lt;=500,"3 1-500",G1210&lt;=2000,"4 501-2000",TRUE(),"5 Above 2000")</f>
        <v>5 Above 2000</v>
      </c>
      <c r="P1210" s="2" t="n">
        <f aca="false">Lookups!$B$2*M1210+Lookups!$B$3*L1210</f>
        <v>1</v>
      </c>
      <c r="Q1210" s="2" t="str">
        <f aca="false">INDEX(Lookups!$E$2:$E$5,MATCH(P1210,Lookups!$D$2:$D$5,0))</f>
        <v>Medium</v>
      </c>
    </row>
    <row r="1211" customFormat="false" ht="15" hidden="false" customHeight="false" outlineLevel="0" collapsed="false">
      <c r="A1211" s="3" t="n">
        <v>1210</v>
      </c>
      <c r="B1211" s="3" t="n">
        <f aca="false">Raw_Data!A1211</f>
        <v>58</v>
      </c>
      <c r="C1211" s="3" t="str">
        <f aca="false">SUBSTITUTE(Raw_Data!B1211,".","")</f>
        <v>retired</v>
      </c>
      <c r="D1211" s="3" t="str">
        <f aca="false">Raw_Data!C1211</f>
        <v>single</v>
      </c>
      <c r="E1211" s="3" t="str">
        <f aca="false">Raw_Data!D1211</f>
        <v>secondary</v>
      </c>
      <c r="F1211" s="3" t="str">
        <f aca="false">Raw_Data!E1211</f>
        <v>no</v>
      </c>
      <c r="G1211" s="3" t="n">
        <f aca="false">Raw_Data!F1211</f>
        <v>1640</v>
      </c>
      <c r="H1211" s="3" t="str">
        <f aca="false">Raw_Data!G1211</f>
        <v>no</v>
      </c>
      <c r="I1211" s="3" t="str">
        <f aca="false">Raw_Data!H1211</f>
        <v>yes</v>
      </c>
      <c r="J1211" s="2" t="n">
        <f aca="false">IF(F1211="yes",1,0)</f>
        <v>0</v>
      </c>
      <c r="K1211" s="2" t="n">
        <f aca="false">IF(H1211="yes",1,0)</f>
        <v>0</v>
      </c>
      <c r="L1211" s="2" t="n">
        <f aca="false">IF(I1211="yes",1,0)</f>
        <v>1</v>
      </c>
      <c r="M1211" s="2" t="n">
        <f aca="false">IF(G1211&lt;0,1,0)</f>
        <v>0</v>
      </c>
      <c r="N1211" s="2" t="str">
        <f aca="false">_xlfn.IFS(B1211&lt;30,"Under 30",B1211&lt;40,"30-39",B1211&lt;50,"40-49",B1211&lt;60,"50-59",TRUE(),"60+")</f>
        <v>50-59</v>
      </c>
      <c r="O1211" s="2" t="str">
        <f aca="false">_xlfn.IFS(G1211&lt;0,"1 Negative",G1211=0,"2 Zero",G1211&lt;=500,"3 1-500",G1211&lt;=2000,"4 501-2000",TRUE(),"5 Above 2000")</f>
        <v>4 501-2000</v>
      </c>
      <c r="P1211" s="2" t="n">
        <f aca="false">Lookups!$B$2*M1211+Lookups!$B$3*L1211</f>
        <v>1</v>
      </c>
      <c r="Q1211" s="2" t="str">
        <f aca="false">INDEX(Lookups!$E$2:$E$5,MATCH(P1211,Lookups!$D$2:$D$5,0))</f>
        <v>Medium</v>
      </c>
    </row>
    <row r="1212" customFormat="false" ht="15" hidden="false" customHeight="false" outlineLevel="0" collapsed="false">
      <c r="A1212" s="3" t="n">
        <v>1211</v>
      </c>
      <c r="B1212" s="3" t="n">
        <f aca="false">Raw_Data!A1212</f>
        <v>60</v>
      </c>
      <c r="C1212" s="3" t="str">
        <f aca="false">SUBSTITUTE(Raw_Data!B1212,".","")</f>
        <v>admin</v>
      </c>
      <c r="D1212" s="3" t="str">
        <f aca="false">Raw_Data!C1212</f>
        <v>divorced</v>
      </c>
      <c r="E1212" s="3" t="str">
        <f aca="false">Raw_Data!D1212</f>
        <v>secondary</v>
      </c>
      <c r="F1212" s="3" t="str">
        <f aca="false">Raw_Data!E1212</f>
        <v>no</v>
      </c>
      <c r="G1212" s="3" t="n">
        <f aca="false">Raw_Data!F1212</f>
        <v>174</v>
      </c>
      <c r="H1212" s="3" t="str">
        <f aca="false">Raw_Data!G1212</f>
        <v>yes</v>
      </c>
      <c r="I1212" s="3" t="str">
        <f aca="false">Raw_Data!H1212</f>
        <v>no</v>
      </c>
      <c r="J1212" s="2" t="n">
        <f aca="false">IF(F1212="yes",1,0)</f>
        <v>0</v>
      </c>
      <c r="K1212" s="2" t="n">
        <f aca="false">IF(H1212="yes",1,0)</f>
        <v>1</v>
      </c>
      <c r="L1212" s="2" t="n">
        <f aca="false">IF(I1212="yes",1,0)</f>
        <v>0</v>
      </c>
      <c r="M1212" s="2" t="n">
        <f aca="false">IF(G1212&lt;0,1,0)</f>
        <v>0</v>
      </c>
      <c r="N1212" s="2" t="str">
        <f aca="false">_xlfn.IFS(B1212&lt;30,"Under 30",B1212&lt;40,"30-39",B1212&lt;50,"40-49",B1212&lt;60,"50-59",TRUE(),"60+")</f>
        <v>60+</v>
      </c>
      <c r="O1212" s="2" t="str">
        <f aca="false">_xlfn.IFS(G1212&lt;0,"1 Negative",G1212=0,"2 Zero",G1212&lt;=500,"3 1-500",G1212&lt;=2000,"4 501-2000",TRUE(),"5 Above 2000")</f>
        <v>3 1-500</v>
      </c>
      <c r="P1212" s="2" t="n">
        <f aca="false">Lookups!$B$2*M1212+Lookups!$B$3*L1212</f>
        <v>0</v>
      </c>
      <c r="Q1212" s="2" t="str">
        <f aca="false">INDEX(Lookups!$E$2:$E$5,MATCH(P1212,Lookups!$D$2:$D$5,0))</f>
        <v>Low</v>
      </c>
    </row>
    <row r="1213" customFormat="false" ht="15" hidden="false" customHeight="false" outlineLevel="0" collapsed="false">
      <c r="A1213" s="3" t="n">
        <v>1212</v>
      </c>
      <c r="B1213" s="3" t="n">
        <f aca="false">Raw_Data!A1213</f>
        <v>66</v>
      </c>
      <c r="C1213" s="3" t="str">
        <f aca="false">SUBSTITUTE(Raw_Data!B1213,".","")</f>
        <v>admin</v>
      </c>
      <c r="D1213" s="3" t="str">
        <f aca="false">Raw_Data!C1213</f>
        <v>single</v>
      </c>
      <c r="E1213" s="3" t="str">
        <f aca="false">Raw_Data!D1213</f>
        <v>secondary</v>
      </c>
      <c r="F1213" s="3" t="str">
        <f aca="false">Raw_Data!E1213</f>
        <v>no</v>
      </c>
      <c r="G1213" s="3" t="n">
        <f aca="false">Raw_Data!F1213</f>
        <v>10177</v>
      </c>
      <c r="H1213" s="3" t="str">
        <f aca="false">Raw_Data!G1213</f>
        <v>no</v>
      </c>
      <c r="I1213" s="3" t="str">
        <f aca="false">Raw_Data!H1213</f>
        <v>no</v>
      </c>
      <c r="J1213" s="2" t="n">
        <f aca="false">IF(F1213="yes",1,0)</f>
        <v>0</v>
      </c>
      <c r="K1213" s="2" t="n">
        <f aca="false">IF(H1213="yes",1,0)</f>
        <v>0</v>
      </c>
      <c r="L1213" s="2" t="n">
        <f aca="false">IF(I1213="yes",1,0)</f>
        <v>0</v>
      </c>
      <c r="M1213" s="2" t="n">
        <f aca="false">IF(G1213&lt;0,1,0)</f>
        <v>0</v>
      </c>
      <c r="N1213" s="2" t="str">
        <f aca="false">_xlfn.IFS(B1213&lt;30,"Under 30",B1213&lt;40,"30-39",B1213&lt;50,"40-49",B1213&lt;60,"50-59",TRUE(),"60+")</f>
        <v>60+</v>
      </c>
      <c r="O1213" s="2" t="str">
        <f aca="false">_xlfn.IFS(G1213&lt;0,"1 Negative",G1213=0,"2 Zero",G1213&lt;=500,"3 1-500",G1213&lt;=2000,"4 501-2000",TRUE(),"5 Above 2000")</f>
        <v>5 Above 2000</v>
      </c>
      <c r="P1213" s="2" t="n">
        <f aca="false">Lookups!$B$2*M1213+Lookups!$B$3*L1213</f>
        <v>0</v>
      </c>
      <c r="Q1213" s="2" t="str">
        <f aca="false">INDEX(Lookups!$E$2:$E$5,MATCH(P1213,Lookups!$D$2:$D$5,0))</f>
        <v>Low</v>
      </c>
    </row>
    <row r="1214" customFormat="false" ht="15" hidden="false" customHeight="false" outlineLevel="0" collapsed="false">
      <c r="A1214" s="3" t="n">
        <v>1213</v>
      </c>
      <c r="B1214" s="3" t="n">
        <f aca="false">Raw_Data!A1214</f>
        <v>36</v>
      </c>
      <c r="C1214" s="3" t="str">
        <f aca="false">SUBSTITUTE(Raw_Data!B1214,".","")</f>
        <v>management</v>
      </c>
      <c r="D1214" s="3" t="str">
        <f aca="false">Raw_Data!C1214</f>
        <v>single</v>
      </c>
      <c r="E1214" s="3" t="str">
        <f aca="false">Raw_Data!D1214</f>
        <v>tertiary</v>
      </c>
      <c r="F1214" s="3" t="str">
        <f aca="false">Raw_Data!E1214</f>
        <v>no</v>
      </c>
      <c r="G1214" s="3" t="n">
        <f aca="false">Raw_Data!F1214</f>
        <v>490</v>
      </c>
      <c r="H1214" s="3" t="str">
        <f aca="false">Raw_Data!G1214</f>
        <v>no</v>
      </c>
      <c r="I1214" s="3" t="str">
        <f aca="false">Raw_Data!H1214</f>
        <v>no</v>
      </c>
      <c r="J1214" s="2" t="n">
        <f aca="false">IF(F1214="yes",1,0)</f>
        <v>0</v>
      </c>
      <c r="K1214" s="2" t="n">
        <f aca="false">IF(H1214="yes",1,0)</f>
        <v>0</v>
      </c>
      <c r="L1214" s="2" t="n">
        <f aca="false">IF(I1214="yes",1,0)</f>
        <v>0</v>
      </c>
      <c r="M1214" s="2" t="n">
        <f aca="false">IF(G1214&lt;0,1,0)</f>
        <v>0</v>
      </c>
      <c r="N1214" s="2" t="str">
        <f aca="false">_xlfn.IFS(B1214&lt;30,"Under 30",B1214&lt;40,"30-39",B1214&lt;50,"40-49",B1214&lt;60,"50-59",TRUE(),"60+")</f>
        <v>30-39</v>
      </c>
      <c r="O1214" s="2" t="str">
        <f aca="false">_xlfn.IFS(G1214&lt;0,"1 Negative",G1214=0,"2 Zero",G1214&lt;=500,"3 1-500",G1214&lt;=2000,"4 501-2000",TRUE(),"5 Above 2000")</f>
        <v>3 1-500</v>
      </c>
      <c r="P1214" s="2" t="n">
        <f aca="false">Lookups!$B$2*M1214+Lookups!$B$3*L1214</f>
        <v>0</v>
      </c>
      <c r="Q1214" s="2" t="str">
        <f aca="false">INDEX(Lookups!$E$2:$E$5,MATCH(P1214,Lookups!$D$2:$D$5,0))</f>
        <v>Low</v>
      </c>
    </row>
    <row r="1215" customFormat="false" ht="15" hidden="false" customHeight="false" outlineLevel="0" collapsed="false">
      <c r="A1215" s="3" t="n">
        <v>1214</v>
      </c>
      <c r="B1215" s="3" t="n">
        <f aca="false">Raw_Data!A1215</f>
        <v>49</v>
      </c>
      <c r="C1215" s="3" t="str">
        <f aca="false">SUBSTITUTE(Raw_Data!B1215,".","")</f>
        <v>self-employed</v>
      </c>
      <c r="D1215" s="3" t="str">
        <f aca="false">Raw_Data!C1215</f>
        <v>married</v>
      </c>
      <c r="E1215" s="3" t="str">
        <f aca="false">Raw_Data!D1215</f>
        <v>secondary</v>
      </c>
      <c r="F1215" s="3" t="str">
        <f aca="false">Raw_Data!E1215</f>
        <v>no</v>
      </c>
      <c r="G1215" s="3" t="n">
        <f aca="false">Raw_Data!F1215</f>
        <v>2576</v>
      </c>
      <c r="H1215" s="3" t="str">
        <f aca="false">Raw_Data!G1215</f>
        <v>yes</v>
      </c>
      <c r="I1215" s="3" t="str">
        <f aca="false">Raw_Data!H1215</f>
        <v>no</v>
      </c>
      <c r="J1215" s="2" t="n">
        <f aca="false">IF(F1215="yes",1,0)</f>
        <v>0</v>
      </c>
      <c r="K1215" s="2" t="n">
        <f aca="false">IF(H1215="yes",1,0)</f>
        <v>1</v>
      </c>
      <c r="L1215" s="2" t="n">
        <f aca="false">IF(I1215="yes",1,0)</f>
        <v>0</v>
      </c>
      <c r="M1215" s="2" t="n">
        <f aca="false">IF(G1215&lt;0,1,0)</f>
        <v>0</v>
      </c>
      <c r="N1215" s="2" t="str">
        <f aca="false">_xlfn.IFS(B1215&lt;30,"Under 30",B1215&lt;40,"30-39",B1215&lt;50,"40-49",B1215&lt;60,"50-59",TRUE(),"60+")</f>
        <v>40-49</v>
      </c>
      <c r="O1215" s="2" t="str">
        <f aca="false">_xlfn.IFS(G1215&lt;0,"1 Negative",G1215=0,"2 Zero",G1215&lt;=500,"3 1-500",G1215&lt;=2000,"4 501-2000",TRUE(),"5 Above 2000")</f>
        <v>5 Above 2000</v>
      </c>
      <c r="P1215" s="2" t="n">
        <f aca="false">Lookups!$B$2*M1215+Lookups!$B$3*L1215</f>
        <v>0</v>
      </c>
      <c r="Q1215" s="2" t="str">
        <f aca="false">INDEX(Lookups!$E$2:$E$5,MATCH(P1215,Lookups!$D$2:$D$5,0))</f>
        <v>Low</v>
      </c>
    </row>
    <row r="1216" customFormat="false" ht="15" hidden="false" customHeight="false" outlineLevel="0" collapsed="false">
      <c r="A1216" s="3" t="n">
        <v>1215</v>
      </c>
      <c r="B1216" s="3" t="n">
        <f aca="false">Raw_Data!A1216</f>
        <v>40</v>
      </c>
      <c r="C1216" s="3" t="str">
        <f aca="false">SUBSTITUTE(Raw_Data!B1216,".","")</f>
        <v>services</v>
      </c>
      <c r="D1216" s="3" t="str">
        <f aca="false">Raw_Data!C1216</f>
        <v>married</v>
      </c>
      <c r="E1216" s="3" t="str">
        <f aca="false">Raw_Data!D1216</f>
        <v>secondary</v>
      </c>
      <c r="F1216" s="3" t="str">
        <f aca="false">Raw_Data!E1216</f>
        <v>no</v>
      </c>
      <c r="G1216" s="3" t="n">
        <f aca="false">Raw_Data!F1216</f>
        <v>0</v>
      </c>
      <c r="H1216" s="3" t="str">
        <f aca="false">Raw_Data!G1216</f>
        <v>no</v>
      </c>
      <c r="I1216" s="3" t="str">
        <f aca="false">Raw_Data!H1216</f>
        <v>no</v>
      </c>
      <c r="J1216" s="2" t="n">
        <f aca="false">IF(F1216="yes",1,0)</f>
        <v>0</v>
      </c>
      <c r="K1216" s="2" t="n">
        <f aca="false">IF(H1216="yes",1,0)</f>
        <v>0</v>
      </c>
      <c r="L1216" s="2" t="n">
        <f aca="false">IF(I1216="yes",1,0)</f>
        <v>0</v>
      </c>
      <c r="M1216" s="2" t="n">
        <f aca="false">IF(G1216&lt;0,1,0)</f>
        <v>0</v>
      </c>
      <c r="N1216" s="2" t="str">
        <f aca="false">_xlfn.IFS(B1216&lt;30,"Under 30",B1216&lt;40,"30-39",B1216&lt;50,"40-49",B1216&lt;60,"50-59",TRUE(),"60+")</f>
        <v>40-49</v>
      </c>
      <c r="O1216" s="2" t="str">
        <f aca="false">_xlfn.IFS(G1216&lt;0,"1 Negative",G1216=0,"2 Zero",G1216&lt;=500,"3 1-500",G1216&lt;=2000,"4 501-2000",TRUE(),"5 Above 2000")</f>
        <v>2 Zero</v>
      </c>
      <c r="P1216" s="2" t="n">
        <f aca="false">Lookups!$B$2*M1216+Lookups!$B$3*L1216</f>
        <v>0</v>
      </c>
      <c r="Q1216" s="2" t="str">
        <f aca="false">INDEX(Lookups!$E$2:$E$5,MATCH(P1216,Lookups!$D$2:$D$5,0))</f>
        <v>Low</v>
      </c>
    </row>
    <row r="1217" customFormat="false" ht="15" hidden="false" customHeight="false" outlineLevel="0" collapsed="false">
      <c r="A1217" s="3" t="n">
        <v>1216</v>
      </c>
      <c r="B1217" s="3" t="n">
        <f aca="false">Raw_Data!A1217</f>
        <v>23</v>
      </c>
      <c r="C1217" s="3" t="str">
        <f aca="false">SUBSTITUTE(Raw_Data!B1217,".","")</f>
        <v>technician</v>
      </c>
      <c r="D1217" s="3" t="str">
        <f aca="false">Raw_Data!C1217</f>
        <v>single</v>
      </c>
      <c r="E1217" s="3" t="str">
        <f aca="false">Raw_Data!D1217</f>
        <v>secondary</v>
      </c>
      <c r="F1217" s="3" t="str">
        <f aca="false">Raw_Data!E1217</f>
        <v>no</v>
      </c>
      <c r="G1217" s="3" t="n">
        <f aca="false">Raw_Data!F1217</f>
        <v>598</v>
      </c>
      <c r="H1217" s="3" t="str">
        <f aca="false">Raw_Data!G1217</f>
        <v>no</v>
      </c>
      <c r="I1217" s="3" t="str">
        <f aca="false">Raw_Data!H1217</f>
        <v>no</v>
      </c>
      <c r="J1217" s="2" t="n">
        <f aca="false">IF(F1217="yes",1,0)</f>
        <v>0</v>
      </c>
      <c r="K1217" s="2" t="n">
        <f aca="false">IF(H1217="yes",1,0)</f>
        <v>0</v>
      </c>
      <c r="L1217" s="2" t="n">
        <f aca="false">IF(I1217="yes",1,0)</f>
        <v>0</v>
      </c>
      <c r="M1217" s="2" t="n">
        <f aca="false">IF(G1217&lt;0,1,0)</f>
        <v>0</v>
      </c>
      <c r="N1217" s="2" t="str">
        <f aca="false">_xlfn.IFS(B1217&lt;30,"Under 30",B1217&lt;40,"30-39",B1217&lt;50,"40-49",B1217&lt;60,"50-59",TRUE(),"60+")</f>
        <v>Under 30</v>
      </c>
      <c r="O1217" s="2" t="str">
        <f aca="false">_xlfn.IFS(G1217&lt;0,"1 Negative",G1217=0,"2 Zero",G1217&lt;=500,"3 1-500",G1217&lt;=2000,"4 501-2000",TRUE(),"5 Above 2000")</f>
        <v>4 501-2000</v>
      </c>
      <c r="P1217" s="2" t="n">
        <f aca="false">Lookups!$B$2*M1217+Lookups!$B$3*L1217</f>
        <v>0</v>
      </c>
      <c r="Q1217" s="2" t="str">
        <f aca="false">INDEX(Lookups!$E$2:$E$5,MATCH(P1217,Lookups!$D$2:$D$5,0))</f>
        <v>Low</v>
      </c>
    </row>
    <row r="1218" customFormat="false" ht="15" hidden="false" customHeight="false" outlineLevel="0" collapsed="false">
      <c r="A1218" s="3" t="n">
        <v>1217</v>
      </c>
      <c r="B1218" s="3" t="n">
        <f aca="false">Raw_Data!A1218</f>
        <v>29</v>
      </c>
      <c r="C1218" s="3" t="str">
        <f aca="false">SUBSTITUTE(Raw_Data!B1218,".","")</f>
        <v>management</v>
      </c>
      <c r="D1218" s="3" t="str">
        <f aca="false">Raw_Data!C1218</f>
        <v>single</v>
      </c>
      <c r="E1218" s="3" t="str">
        <f aca="false">Raw_Data!D1218</f>
        <v>tertiary</v>
      </c>
      <c r="F1218" s="3" t="str">
        <f aca="false">Raw_Data!E1218</f>
        <v>no</v>
      </c>
      <c r="G1218" s="3" t="n">
        <f aca="false">Raw_Data!F1218</f>
        <v>15459</v>
      </c>
      <c r="H1218" s="3" t="str">
        <f aca="false">Raw_Data!G1218</f>
        <v>no</v>
      </c>
      <c r="I1218" s="3" t="str">
        <f aca="false">Raw_Data!H1218</f>
        <v>no</v>
      </c>
      <c r="J1218" s="2" t="n">
        <f aca="false">IF(F1218="yes",1,0)</f>
        <v>0</v>
      </c>
      <c r="K1218" s="2" t="n">
        <f aca="false">IF(H1218="yes",1,0)</f>
        <v>0</v>
      </c>
      <c r="L1218" s="2" t="n">
        <f aca="false">IF(I1218="yes",1,0)</f>
        <v>0</v>
      </c>
      <c r="M1218" s="2" t="n">
        <f aca="false">IF(G1218&lt;0,1,0)</f>
        <v>0</v>
      </c>
      <c r="N1218" s="2" t="str">
        <f aca="false">_xlfn.IFS(B1218&lt;30,"Under 30",B1218&lt;40,"30-39",B1218&lt;50,"40-49",B1218&lt;60,"50-59",TRUE(),"60+")</f>
        <v>Under 30</v>
      </c>
      <c r="O1218" s="2" t="str">
        <f aca="false">_xlfn.IFS(G1218&lt;0,"1 Negative",G1218=0,"2 Zero",G1218&lt;=500,"3 1-500",G1218&lt;=2000,"4 501-2000",TRUE(),"5 Above 2000")</f>
        <v>5 Above 2000</v>
      </c>
      <c r="P1218" s="2" t="n">
        <f aca="false">Lookups!$B$2*M1218+Lookups!$B$3*L1218</f>
        <v>0</v>
      </c>
      <c r="Q1218" s="2" t="str">
        <f aca="false">INDEX(Lookups!$E$2:$E$5,MATCH(P1218,Lookups!$D$2:$D$5,0))</f>
        <v>Low</v>
      </c>
    </row>
    <row r="1219" customFormat="false" ht="15" hidden="false" customHeight="false" outlineLevel="0" collapsed="false">
      <c r="A1219" s="3" t="n">
        <v>1218</v>
      </c>
      <c r="B1219" s="3" t="n">
        <f aca="false">Raw_Data!A1219</f>
        <v>44</v>
      </c>
      <c r="C1219" s="3" t="str">
        <f aca="false">SUBSTITUTE(Raw_Data!B1219,".","")</f>
        <v>blue-collar</v>
      </c>
      <c r="D1219" s="3" t="str">
        <f aca="false">Raw_Data!C1219</f>
        <v>married</v>
      </c>
      <c r="E1219" s="3" t="str">
        <f aca="false">Raw_Data!D1219</f>
        <v>primary</v>
      </c>
      <c r="F1219" s="3" t="str">
        <f aca="false">Raw_Data!E1219</f>
        <v>no</v>
      </c>
      <c r="G1219" s="3" t="n">
        <f aca="false">Raw_Data!F1219</f>
        <v>271</v>
      </c>
      <c r="H1219" s="3" t="str">
        <f aca="false">Raw_Data!G1219</f>
        <v>yes</v>
      </c>
      <c r="I1219" s="3" t="str">
        <f aca="false">Raw_Data!H1219</f>
        <v>yes</v>
      </c>
      <c r="J1219" s="2" t="n">
        <f aca="false">IF(F1219="yes",1,0)</f>
        <v>0</v>
      </c>
      <c r="K1219" s="2" t="n">
        <f aca="false">IF(H1219="yes",1,0)</f>
        <v>1</v>
      </c>
      <c r="L1219" s="2" t="n">
        <f aca="false">IF(I1219="yes",1,0)</f>
        <v>1</v>
      </c>
      <c r="M1219" s="2" t="n">
        <f aca="false">IF(G1219&lt;0,1,0)</f>
        <v>0</v>
      </c>
      <c r="N1219" s="2" t="str">
        <f aca="false">_xlfn.IFS(B1219&lt;30,"Under 30",B1219&lt;40,"30-39",B1219&lt;50,"40-49",B1219&lt;60,"50-59",TRUE(),"60+")</f>
        <v>40-49</v>
      </c>
      <c r="O1219" s="2" t="str">
        <f aca="false">_xlfn.IFS(G1219&lt;0,"1 Negative",G1219=0,"2 Zero",G1219&lt;=500,"3 1-500",G1219&lt;=2000,"4 501-2000",TRUE(),"5 Above 2000")</f>
        <v>3 1-500</v>
      </c>
      <c r="P1219" s="2" t="n">
        <f aca="false">Lookups!$B$2*M1219+Lookups!$B$3*L1219</f>
        <v>1</v>
      </c>
      <c r="Q1219" s="2" t="str">
        <f aca="false">INDEX(Lookups!$E$2:$E$5,MATCH(P1219,Lookups!$D$2:$D$5,0))</f>
        <v>Medium</v>
      </c>
    </row>
    <row r="1220" customFormat="false" ht="15" hidden="false" customHeight="false" outlineLevel="0" collapsed="false">
      <c r="A1220" s="3" t="n">
        <v>1219</v>
      </c>
      <c r="B1220" s="3" t="n">
        <f aca="false">Raw_Data!A1220</f>
        <v>54</v>
      </c>
      <c r="C1220" s="3" t="str">
        <f aca="false">SUBSTITUTE(Raw_Data!B1220,".","")</f>
        <v>unknown</v>
      </c>
      <c r="D1220" s="3" t="str">
        <f aca="false">Raw_Data!C1220</f>
        <v>married</v>
      </c>
      <c r="E1220" s="3" t="str">
        <f aca="false">Raw_Data!D1220</f>
        <v>unknown</v>
      </c>
      <c r="F1220" s="3" t="str">
        <f aca="false">Raw_Data!E1220</f>
        <v>no</v>
      </c>
      <c r="G1220" s="3" t="n">
        <f aca="false">Raw_Data!F1220</f>
        <v>2508</v>
      </c>
      <c r="H1220" s="3" t="str">
        <f aca="false">Raw_Data!G1220</f>
        <v>no</v>
      </c>
      <c r="I1220" s="3" t="str">
        <f aca="false">Raw_Data!H1220</f>
        <v>no</v>
      </c>
      <c r="J1220" s="2" t="n">
        <f aca="false">IF(F1220="yes",1,0)</f>
        <v>0</v>
      </c>
      <c r="K1220" s="2" t="n">
        <f aca="false">IF(H1220="yes",1,0)</f>
        <v>0</v>
      </c>
      <c r="L1220" s="2" t="n">
        <f aca="false">IF(I1220="yes",1,0)</f>
        <v>0</v>
      </c>
      <c r="M1220" s="2" t="n">
        <f aca="false">IF(G1220&lt;0,1,0)</f>
        <v>0</v>
      </c>
      <c r="N1220" s="2" t="str">
        <f aca="false">_xlfn.IFS(B1220&lt;30,"Under 30",B1220&lt;40,"30-39",B1220&lt;50,"40-49",B1220&lt;60,"50-59",TRUE(),"60+")</f>
        <v>50-59</v>
      </c>
      <c r="O1220" s="2" t="str">
        <f aca="false">_xlfn.IFS(G1220&lt;0,"1 Negative",G1220=0,"2 Zero",G1220&lt;=500,"3 1-500",G1220&lt;=2000,"4 501-2000",TRUE(),"5 Above 2000")</f>
        <v>5 Above 2000</v>
      </c>
      <c r="P1220" s="2" t="n">
        <f aca="false">Lookups!$B$2*M1220+Lookups!$B$3*L1220</f>
        <v>0</v>
      </c>
      <c r="Q1220" s="2" t="str">
        <f aca="false">INDEX(Lookups!$E$2:$E$5,MATCH(P1220,Lookups!$D$2:$D$5,0))</f>
        <v>Low</v>
      </c>
    </row>
    <row r="1221" customFormat="false" ht="15" hidden="false" customHeight="false" outlineLevel="0" collapsed="false">
      <c r="A1221" s="3" t="n">
        <v>1220</v>
      </c>
      <c r="B1221" s="3" t="n">
        <f aca="false">Raw_Data!A1221</f>
        <v>47</v>
      </c>
      <c r="C1221" s="3" t="str">
        <f aca="false">SUBSTITUTE(Raw_Data!B1221,".","")</f>
        <v>blue-collar</v>
      </c>
      <c r="D1221" s="3" t="str">
        <f aca="false">Raw_Data!C1221</f>
        <v>married</v>
      </c>
      <c r="E1221" s="3" t="str">
        <f aca="false">Raw_Data!D1221</f>
        <v>primary</v>
      </c>
      <c r="F1221" s="3" t="str">
        <f aca="false">Raw_Data!E1221</f>
        <v>no</v>
      </c>
      <c r="G1221" s="3" t="n">
        <f aca="false">Raw_Data!F1221</f>
        <v>320</v>
      </c>
      <c r="H1221" s="3" t="str">
        <f aca="false">Raw_Data!G1221</f>
        <v>no</v>
      </c>
      <c r="I1221" s="3" t="str">
        <f aca="false">Raw_Data!H1221</f>
        <v>no</v>
      </c>
      <c r="J1221" s="2" t="n">
        <f aca="false">IF(F1221="yes",1,0)</f>
        <v>0</v>
      </c>
      <c r="K1221" s="2" t="n">
        <f aca="false">IF(H1221="yes",1,0)</f>
        <v>0</v>
      </c>
      <c r="L1221" s="2" t="n">
        <f aca="false">IF(I1221="yes",1,0)</f>
        <v>0</v>
      </c>
      <c r="M1221" s="2" t="n">
        <f aca="false">IF(G1221&lt;0,1,0)</f>
        <v>0</v>
      </c>
      <c r="N1221" s="2" t="str">
        <f aca="false">_xlfn.IFS(B1221&lt;30,"Under 30",B1221&lt;40,"30-39",B1221&lt;50,"40-49",B1221&lt;60,"50-59",TRUE(),"60+")</f>
        <v>40-49</v>
      </c>
      <c r="O1221" s="2" t="str">
        <f aca="false">_xlfn.IFS(G1221&lt;0,"1 Negative",G1221=0,"2 Zero",G1221&lt;=500,"3 1-500",G1221&lt;=2000,"4 501-2000",TRUE(),"5 Above 2000")</f>
        <v>3 1-500</v>
      </c>
      <c r="P1221" s="2" t="n">
        <f aca="false">Lookups!$B$2*M1221+Lookups!$B$3*L1221</f>
        <v>0</v>
      </c>
      <c r="Q1221" s="2" t="str">
        <f aca="false">INDEX(Lookups!$E$2:$E$5,MATCH(P1221,Lookups!$D$2:$D$5,0))</f>
        <v>Low</v>
      </c>
    </row>
    <row r="1222" customFormat="false" ht="15" hidden="false" customHeight="false" outlineLevel="0" collapsed="false">
      <c r="A1222" s="3" t="n">
        <v>1221</v>
      </c>
      <c r="B1222" s="3" t="n">
        <f aca="false">Raw_Data!A1222</f>
        <v>33</v>
      </c>
      <c r="C1222" s="3" t="str">
        <f aca="false">SUBSTITUTE(Raw_Data!B1222,".","")</f>
        <v>admin</v>
      </c>
      <c r="D1222" s="3" t="str">
        <f aca="false">Raw_Data!C1222</f>
        <v>married</v>
      </c>
      <c r="E1222" s="3" t="str">
        <f aca="false">Raw_Data!D1222</f>
        <v>tertiary</v>
      </c>
      <c r="F1222" s="3" t="str">
        <f aca="false">Raw_Data!E1222</f>
        <v>no</v>
      </c>
      <c r="G1222" s="3" t="n">
        <f aca="false">Raw_Data!F1222</f>
        <v>640</v>
      </c>
      <c r="H1222" s="3" t="str">
        <f aca="false">Raw_Data!G1222</f>
        <v>no</v>
      </c>
      <c r="I1222" s="3" t="str">
        <f aca="false">Raw_Data!H1222</f>
        <v>no</v>
      </c>
      <c r="J1222" s="2" t="n">
        <f aca="false">IF(F1222="yes",1,0)</f>
        <v>0</v>
      </c>
      <c r="K1222" s="2" t="n">
        <f aca="false">IF(H1222="yes",1,0)</f>
        <v>0</v>
      </c>
      <c r="L1222" s="2" t="n">
        <f aca="false">IF(I1222="yes",1,0)</f>
        <v>0</v>
      </c>
      <c r="M1222" s="2" t="n">
        <f aca="false">IF(G1222&lt;0,1,0)</f>
        <v>0</v>
      </c>
      <c r="N1222" s="2" t="str">
        <f aca="false">_xlfn.IFS(B1222&lt;30,"Under 30",B1222&lt;40,"30-39",B1222&lt;50,"40-49",B1222&lt;60,"50-59",TRUE(),"60+")</f>
        <v>30-39</v>
      </c>
      <c r="O1222" s="2" t="str">
        <f aca="false">_xlfn.IFS(G1222&lt;0,"1 Negative",G1222=0,"2 Zero",G1222&lt;=500,"3 1-500",G1222&lt;=2000,"4 501-2000",TRUE(),"5 Above 2000")</f>
        <v>4 501-2000</v>
      </c>
      <c r="P1222" s="2" t="n">
        <f aca="false">Lookups!$B$2*M1222+Lookups!$B$3*L1222</f>
        <v>0</v>
      </c>
      <c r="Q1222" s="2" t="str">
        <f aca="false">INDEX(Lookups!$E$2:$E$5,MATCH(P1222,Lookups!$D$2:$D$5,0))</f>
        <v>Low</v>
      </c>
    </row>
    <row r="1223" customFormat="false" ht="15" hidden="false" customHeight="false" outlineLevel="0" collapsed="false">
      <c r="A1223" s="3" t="n">
        <v>1222</v>
      </c>
      <c r="B1223" s="3" t="n">
        <f aca="false">Raw_Data!A1223</f>
        <v>30</v>
      </c>
      <c r="C1223" s="3" t="str">
        <f aca="false">SUBSTITUTE(Raw_Data!B1223,".","")</f>
        <v>self-employed</v>
      </c>
      <c r="D1223" s="3" t="str">
        <f aca="false">Raw_Data!C1223</f>
        <v>married</v>
      </c>
      <c r="E1223" s="3" t="str">
        <f aca="false">Raw_Data!D1223</f>
        <v>secondary</v>
      </c>
      <c r="F1223" s="3" t="str">
        <f aca="false">Raw_Data!E1223</f>
        <v>no</v>
      </c>
      <c r="G1223" s="3" t="n">
        <f aca="false">Raw_Data!F1223</f>
        <v>1772</v>
      </c>
      <c r="H1223" s="3" t="str">
        <f aca="false">Raw_Data!G1223</f>
        <v>yes</v>
      </c>
      <c r="I1223" s="3" t="str">
        <f aca="false">Raw_Data!H1223</f>
        <v>no</v>
      </c>
      <c r="J1223" s="2" t="n">
        <f aca="false">IF(F1223="yes",1,0)</f>
        <v>0</v>
      </c>
      <c r="K1223" s="2" t="n">
        <f aca="false">IF(H1223="yes",1,0)</f>
        <v>1</v>
      </c>
      <c r="L1223" s="2" t="n">
        <f aca="false">IF(I1223="yes",1,0)</f>
        <v>0</v>
      </c>
      <c r="M1223" s="2" t="n">
        <f aca="false">IF(G1223&lt;0,1,0)</f>
        <v>0</v>
      </c>
      <c r="N1223" s="2" t="str">
        <f aca="false">_xlfn.IFS(B1223&lt;30,"Under 30",B1223&lt;40,"30-39",B1223&lt;50,"40-49",B1223&lt;60,"50-59",TRUE(),"60+")</f>
        <v>30-39</v>
      </c>
      <c r="O1223" s="2" t="str">
        <f aca="false">_xlfn.IFS(G1223&lt;0,"1 Negative",G1223=0,"2 Zero",G1223&lt;=500,"3 1-500",G1223&lt;=2000,"4 501-2000",TRUE(),"5 Above 2000")</f>
        <v>4 501-2000</v>
      </c>
      <c r="P1223" s="2" t="n">
        <f aca="false">Lookups!$B$2*M1223+Lookups!$B$3*L1223</f>
        <v>0</v>
      </c>
      <c r="Q1223" s="2" t="str">
        <f aca="false">INDEX(Lookups!$E$2:$E$5,MATCH(P1223,Lookups!$D$2:$D$5,0))</f>
        <v>Low</v>
      </c>
    </row>
    <row r="1224" customFormat="false" ht="15" hidden="false" customHeight="false" outlineLevel="0" collapsed="false">
      <c r="A1224" s="3" t="n">
        <v>1223</v>
      </c>
      <c r="B1224" s="3" t="n">
        <f aca="false">Raw_Data!A1224</f>
        <v>27</v>
      </c>
      <c r="C1224" s="3" t="str">
        <f aca="false">SUBSTITUTE(Raw_Data!B1224,".","")</f>
        <v>admin</v>
      </c>
      <c r="D1224" s="3" t="str">
        <f aca="false">Raw_Data!C1224</f>
        <v>single</v>
      </c>
      <c r="E1224" s="3" t="str">
        <f aca="false">Raw_Data!D1224</f>
        <v>secondary</v>
      </c>
      <c r="F1224" s="3" t="str">
        <f aca="false">Raw_Data!E1224</f>
        <v>no</v>
      </c>
      <c r="G1224" s="3" t="n">
        <f aca="false">Raw_Data!F1224</f>
        <v>15</v>
      </c>
      <c r="H1224" s="3" t="str">
        <f aca="false">Raw_Data!G1224</f>
        <v>no</v>
      </c>
      <c r="I1224" s="3" t="str">
        <f aca="false">Raw_Data!H1224</f>
        <v>yes</v>
      </c>
      <c r="J1224" s="2" t="n">
        <f aca="false">IF(F1224="yes",1,0)</f>
        <v>0</v>
      </c>
      <c r="K1224" s="2" t="n">
        <f aca="false">IF(H1224="yes",1,0)</f>
        <v>0</v>
      </c>
      <c r="L1224" s="2" t="n">
        <f aca="false">IF(I1224="yes",1,0)</f>
        <v>1</v>
      </c>
      <c r="M1224" s="2" t="n">
        <f aca="false">IF(G1224&lt;0,1,0)</f>
        <v>0</v>
      </c>
      <c r="N1224" s="2" t="str">
        <f aca="false">_xlfn.IFS(B1224&lt;30,"Under 30",B1224&lt;40,"30-39",B1224&lt;50,"40-49",B1224&lt;60,"50-59",TRUE(),"60+")</f>
        <v>Under 30</v>
      </c>
      <c r="O1224" s="2" t="str">
        <f aca="false">_xlfn.IFS(G1224&lt;0,"1 Negative",G1224=0,"2 Zero",G1224&lt;=500,"3 1-500",G1224&lt;=2000,"4 501-2000",TRUE(),"5 Above 2000")</f>
        <v>3 1-500</v>
      </c>
      <c r="P1224" s="2" t="n">
        <f aca="false">Lookups!$B$2*M1224+Lookups!$B$3*L1224</f>
        <v>1</v>
      </c>
      <c r="Q1224" s="2" t="str">
        <f aca="false">INDEX(Lookups!$E$2:$E$5,MATCH(P1224,Lookups!$D$2:$D$5,0))</f>
        <v>Medium</v>
      </c>
    </row>
    <row r="1225" customFormat="false" ht="15" hidden="false" customHeight="false" outlineLevel="0" collapsed="false">
      <c r="A1225" s="3" t="n">
        <v>1224</v>
      </c>
      <c r="B1225" s="3" t="n">
        <f aca="false">Raw_Data!A1225</f>
        <v>49</v>
      </c>
      <c r="C1225" s="3" t="str">
        <f aca="false">SUBSTITUTE(Raw_Data!B1225,".","")</f>
        <v>management</v>
      </c>
      <c r="D1225" s="3" t="str">
        <f aca="false">Raw_Data!C1225</f>
        <v>divorced</v>
      </c>
      <c r="E1225" s="3" t="str">
        <f aca="false">Raw_Data!D1225</f>
        <v>tertiary</v>
      </c>
      <c r="F1225" s="3" t="str">
        <f aca="false">Raw_Data!E1225</f>
        <v>no</v>
      </c>
      <c r="G1225" s="3" t="n">
        <f aca="false">Raw_Data!F1225</f>
        <v>2370</v>
      </c>
      <c r="H1225" s="3" t="str">
        <f aca="false">Raw_Data!G1225</f>
        <v>yes</v>
      </c>
      <c r="I1225" s="3" t="str">
        <f aca="false">Raw_Data!H1225</f>
        <v>yes</v>
      </c>
      <c r="J1225" s="2" t="n">
        <f aca="false">IF(F1225="yes",1,0)</f>
        <v>0</v>
      </c>
      <c r="K1225" s="2" t="n">
        <f aca="false">IF(H1225="yes",1,0)</f>
        <v>1</v>
      </c>
      <c r="L1225" s="2" t="n">
        <f aca="false">IF(I1225="yes",1,0)</f>
        <v>1</v>
      </c>
      <c r="M1225" s="2" t="n">
        <f aca="false">IF(G1225&lt;0,1,0)</f>
        <v>0</v>
      </c>
      <c r="N1225" s="2" t="str">
        <f aca="false">_xlfn.IFS(B1225&lt;30,"Under 30",B1225&lt;40,"30-39",B1225&lt;50,"40-49",B1225&lt;60,"50-59",TRUE(),"60+")</f>
        <v>40-49</v>
      </c>
      <c r="O1225" s="2" t="str">
        <f aca="false">_xlfn.IFS(G1225&lt;0,"1 Negative",G1225=0,"2 Zero",G1225&lt;=500,"3 1-500",G1225&lt;=2000,"4 501-2000",TRUE(),"5 Above 2000")</f>
        <v>5 Above 2000</v>
      </c>
      <c r="P1225" s="2" t="n">
        <f aca="false">Lookups!$B$2*M1225+Lookups!$B$3*L1225</f>
        <v>1</v>
      </c>
      <c r="Q1225" s="2" t="str">
        <f aca="false">INDEX(Lookups!$E$2:$E$5,MATCH(P1225,Lookups!$D$2:$D$5,0))</f>
        <v>Medium</v>
      </c>
    </row>
    <row r="1226" customFormat="false" ht="15" hidden="false" customHeight="false" outlineLevel="0" collapsed="false">
      <c r="A1226" s="3" t="n">
        <v>1225</v>
      </c>
      <c r="B1226" s="3" t="n">
        <f aca="false">Raw_Data!A1226</f>
        <v>27</v>
      </c>
      <c r="C1226" s="3" t="str">
        <f aca="false">SUBSTITUTE(Raw_Data!B1226,".","")</f>
        <v>services</v>
      </c>
      <c r="D1226" s="3" t="str">
        <f aca="false">Raw_Data!C1226</f>
        <v>single</v>
      </c>
      <c r="E1226" s="3" t="str">
        <f aca="false">Raw_Data!D1226</f>
        <v>secondary</v>
      </c>
      <c r="F1226" s="3" t="str">
        <f aca="false">Raw_Data!E1226</f>
        <v>no</v>
      </c>
      <c r="G1226" s="3" t="n">
        <f aca="false">Raw_Data!F1226</f>
        <v>201</v>
      </c>
      <c r="H1226" s="3" t="str">
        <f aca="false">Raw_Data!G1226</f>
        <v>yes</v>
      </c>
      <c r="I1226" s="3" t="str">
        <f aca="false">Raw_Data!H1226</f>
        <v>no</v>
      </c>
      <c r="J1226" s="2" t="n">
        <f aca="false">IF(F1226="yes",1,0)</f>
        <v>0</v>
      </c>
      <c r="K1226" s="2" t="n">
        <f aca="false">IF(H1226="yes",1,0)</f>
        <v>1</v>
      </c>
      <c r="L1226" s="2" t="n">
        <f aca="false">IF(I1226="yes",1,0)</f>
        <v>0</v>
      </c>
      <c r="M1226" s="2" t="n">
        <f aca="false">IF(G1226&lt;0,1,0)</f>
        <v>0</v>
      </c>
      <c r="N1226" s="2" t="str">
        <f aca="false">_xlfn.IFS(B1226&lt;30,"Under 30",B1226&lt;40,"30-39",B1226&lt;50,"40-49",B1226&lt;60,"50-59",TRUE(),"60+")</f>
        <v>Under 30</v>
      </c>
      <c r="O1226" s="2" t="str">
        <f aca="false">_xlfn.IFS(G1226&lt;0,"1 Negative",G1226=0,"2 Zero",G1226&lt;=500,"3 1-500",G1226&lt;=2000,"4 501-2000",TRUE(),"5 Above 2000")</f>
        <v>3 1-500</v>
      </c>
      <c r="P1226" s="2" t="n">
        <f aca="false">Lookups!$B$2*M1226+Lookups!$B$3*L1226</f>
        <v>0</v>
      </c>
      <c r="Q1226" s="2" t="str">
        <f aca="false">INDEX(Lookups!$E$2:$E$5,MATCH(P1226,Lookups!$D$2:$D$5,0))</f>
        <v>Low</v>
      </c>
    </row>
    <row r="1227" customFormat="false" ht="15" hidden="false" customHeight="false" outlineLevel="0" collapsed="false">
      <c r="A1227" s="3" t="n">
        <v>1226</v>
      </c>
      <c r="B1227" s="3" t="n">
        <f aca="false">Raw_Data!A1227</f>
        <v>51</v>
      </c>
      <c r="C1227" s="3" t="str">
        <f aca="false">SUBSTITUTE(Raw_Data!B1227,".","")</f>
        <v>blue-collar</v>
      </c>
      <c r="D1227" s="3" t="str">
        <f aca="false">Raw_Data!C1227</f>
        <v>married</v>
      </c>
      <c r="E1227" s="3" t="str">
        <f aca="false">Raw_Data!D1227</f>
        <v>secondary</v>
      </c>
      <c r="F1227" s="3" t="str">
        <f aca="false">Raw_Data!E1227</f>
        <v>no</v>
      </c>
      <c r="G1227" s="3" t="n">
        <f aca="false">Raw_Data!F1227</f>
        <v>160</v>
      </c>
      <c r="H1227" s="3" t="str">
        <f aca="false">Raw_Data!G1227</f>
        <v>yes</v>
      </c>
      <c r="I1227" s="3" t="str">
        <f aca="false">Raw_Data!H1227</f>
        <v>no</v>
      </c>
      <c r="J1227" s="2" t="n">
        <f aca="false">IF(F1227="yes",1,0)</f>
        <v>0</v>
      </c>
      <c r="K1227" s="2" t="n">
        <f aca="false">IF(H1227="yes",1,0)</f>
        <v>1</v>
      </c>
      <c r="L1227" s="2" t="n">
        <f aca="false">IF(I1227="yes",1,0)</f>
        <v>0</v>
      </c>
      <c r="M1227" s="2" t="n">
        <f aca="false">IF(G1227&lt;0,1,0)</f>
        <v>0</v>
      </c>
      <c r="N1227" s="2" t="str">
        <f aca="false">_xlfn.IFS(B1227&lt;30,"Under 30",B1227&lt;40,"30-39",B1227&lt;50,"40-49",B1227&lt;60,"50-59",TRUE(),"60+")</f>
        <v>50-59</v>
      </c>
      <c r="O1227" s="2" t="str">
        <f aca="false">_xlfn.IFS(G1227&lt;0,"1 Negative",G1227=0,"2 Zero",G1227&lt;=500,"3 1-500",G1227&lt;=2000,"4 501-2000",TRUE(),"5 Above 2000")</f>
        <v>3 1-500</v>
      </c>
      <c r="P1227" s="2" t="n">
        <f aca="false">Lookups!$B$2*M1227+Lookups!$B$3*L1227</f>
        <v>0</v>
      </c>
      <c r="Q1227" s="2" t="str">
        <f aca="false">INDEX(Lookups!$E$2:$E$5,MATCH(P1227,Lookups!$D$2:$D$5,0))</f>
        <v>Low</v>
      </c>
    </row>
    <row r="1228" customFormat="false" ht="15" hidden="false" customHeight="false" outlineLevel="0" collapsed="false">
      <c r="A1228" s="3" t="n">
        <v>1227</v>
      </c>
      <c r="B1228" s="3" t="n">
        <f aca="false">Raw_Data!A1228</f>
        <v>32</v>
      </c>
      <c r="C1228" s="3" t="str">
        <f aca="false">SUBSTITUTE(Raw_Data!B1228,".","")</f>
        <v>admin</v>
      </c>
      <c r="D1228" s="3" t="str">
        <f aca="false">Raw_Data!C1228</f>
        <v>divorced</v>
      </c>
      <c r="E1228" s="3" t="str">
        <f aca="false">Raw_Data!D1228</f>
        <v>secondary</v>
      </c>
      <c r="F1228" s="3" t="str">
        <f aca="false">Raw_Data!E1228</f>
        <v>yes</v>
      </c>
      <c r="G1228" s="3" t="n">
        <f aca="false">Raw_Data!F1228</f>
        <v>5</v>
      </c>
      <c r="H1228" s="3" t="str">
        <f aca="false">Raw_Data!G1228</f>
        <v>yes</v>
      </c>
      <c r="I1228" s="3" t="str">
        <f aca="false">Raw_Data!H1228</f>
        <v>yes</v>
      </c>
      <c r="J1228" s="2" t="n">
        <f aca="false">IF(F1228="yes",1,0)</f>
        <v>1</v>
      </c>
      <c r="K1228" s="2" t="n">
        <f aca="false">IF(H1228="yes",1,0)</f>
        <v>1</v>
      </c>
      <c r="L1228" s="2" t="n">
        <f aca="false">IF(I1228="yes",1,0)</f>
        <v>1</v>
      </c>
      <c r="M1228" s="2" t="n">
        <f aca="false">IF(G1228&lt;0,1,0)</f>
        <v>0</v>
      </c>
      <c r="N1228" s="2" t="str">
        <f aca="false">_xlfn.IFS(B1228&lt;30,"Under 30",B1228&lt;40,"30-39",B1228&lt;50,"40-49",B1228&lt;60,"50-59",TRUE(),"60+")</f>
        <v>30-39</v>
      </c>
      <c r="O1228" s="2" t="str">
        <f aca="false">_xlfn.IFS(G1228&lt;0,"1 Negative",G1228=0,"2 Zero",G1228&lt;=500,"3 1-500",G1228&lt;=2000,"4 501-2000",TRUE(),"5 Above 2000")</f>
        <v>3 1-500</v>
      </c>
      <c r="P1228" s="2" t="n">
        <f aca="false">Lookups!$B$2*M1228+Lookups!$B$3*L1228</f>
        <v>1</v>
      </c>
      <c r="Q1228" s="2" t="str">
        <f aca="false">INDEX(Lookups!$E$2:$E$5,MATCH(P1228,Lookups!$D$2:$D$5,0))</f>
        <v>Medium</v>
      </c>
    </row>
    <row r="1229" customFormat="false" ht="15" hidden="false" customHeight="false" outlineLevel="0" collapsed="false">
      <c r="A1229" s="3" t="n">
        <v>1228</v>
      </c>
      <c r="B1229" s="3" t="n">
        <f aca="false">Raw_Data!A1229</f>
        <v>30</v>
      </c>
      <c r="C1229" s="3" t="str">
        <f aca="false">SUBSTITUTE(Raw_Data!B1229,".","")</f>
        <v>blue-collar</v>
      </c>
      <c r="D1229" s="3" t="str">
        <f aca="false">Raw_Data!C1229</f>
        <v>single</v>
      </c>
      <c r="E1229" s="3" t="str">
        <f aca="false">Raw_Data!D1229</f>
        <v>secondary</v>
      </c>
      <c r="F1229" s="3" t="str">
        <f aca="false">Raw_Data!E1229</f>
        <v>no</v>
      </c>
      <c r="G1229" s="3" t="n">
        <f aca="false">Raw_Data!F1229</f>
        <v>75</v>
      </c>
      <c r="H1229" s="3" t="str">
        <f aca="false">Raw_Data!G1229</f>
        <v>yes</v>
      </c>
      <c r="I1229" s="3" t="str">
        <f aca="false">Raw_Data!H1229</f>
        <v>no</v>
      </c>
      <c r="J1229" s="2" t="n">
        <f aca="false">IF(F1229="yes",1,0)</f>
        <v>0</v>
      </c>
      <c r="K1229" s="2" t="n">
        <f aca="false">IF(H1229="yes",1,0)</f>
        <v>1</v>
      </c>
      <c r="L1229" s="2" t="n">
        <f aca="false">IF(I1229="yes",1,0)</f>
        <v>0</v>
      </c>
      <c r="M1229" s="2" t="n">
        <f aca="false">IF(G1229&lt;0,1,0)</f>
        <v>0</v>
      </c>
      <c r="N1229" s="2" t="str">
        <f aca="false">_xlfn.IFS(B1229&lt;30,"Under 30",B1229&lt;40,"30-39",B1229&lt;50,"40-49",B1229&lt;60,"50-59",TRUE(),"60+")</f>
        <v>30-39</v>
      </c>
      <c r="O1229" s="2" t="str">
        <f aca="false">_xlfn.IFS(G1229&lt;0,"1 Negative",G1229=0,"2 Zero",G1229&lt;=500,"3 1-500",G1229&lt;=2000,"4 501-2000",TRUE(),"5 Above 2000")</f>
        <v>3 1-500</v>
      </c>
      <c r="P1229" s="2" t="n">
        <f aca="false">Lookups!$B$2*M1229+Lookups!$B$3*L1229</f>
        <v>0</v>
      </c>
      <c r="Q1229" s="2" t="str">
        <f aca="false">INDEX(Lookups!$E$2:$E$5,MATCH(P1229,Lookups!$D$2:$D$5,0))</f>
        <v>Low</v>
      </c>
    </row>
    <row r="1230" customFormat="false" ht="15" hidden="false" customHeight="false" outlineLevel="0" collapsed="false">
      <c r="A1230" s="3" t="n">
        <v>1229</v>
      </c>
      <c r="B1230" s="3" t="n">
        <f aca="false">Raw_Data!A1230</f>
        <v>33</v>
      </c>
      <c r="C1230" s="3" t="str">
        <f aca="false">SUBSTITUTE(Raw_Data!B1230,".","")</f>
        <v>admin</v>
      </c>
      <c r="D1230" s="3" t="str">
        <f aca="false">Raw_Data!C1230</f>
        <v>married</v>
      </c>
      <c r="E1230" s="3" t="str">
        <f aca="false">Raw_Data!D1230</f>
        <v>secondary</v>
      </c>
      <c r="F1230" s="3" t="str">
        <f aca="false">Raw_Data!E1230</f>
        <v>no</v>
      </c>
      <c r="G1230" s="3" t="n">
        <f aca="false">Raw_Data!F1230</f>
        <v>4902</v>
      </c>
      <c r="H1230" s="3" t="str">
        <f aca="false">Raw_Data!G1230</f>
        <v>yes</v>
      </c>
      <c r="I1230" s="3" t="str">
        <f aca="false">Raw_Data!H1230</f>
        <v>no</v>
      </c>
      <c r="J1230" s="2" t="n">
        <f aca="false">IF(F1230="yes",1,0)</f>
        <v>0</v>
      </c>
      <c r="K1230" s="2" t="n">
        <f aca="false">IF(H1230="yes",1,0)</f>
        <v>1</v>
      </c>
      <c r="L1230" s="2" t="n">
        <f aca="false">IF(I1230="yes",1,0)</f>
        <v>0</v>
      </c>
      <c r="M1230" s="2" t="n">
        <f aca="false">IF(G1230&lt;0,1,0)</f>
        <v>0</v>
      </c>
      <c r="N1230" s="2" t="str">
        <f aca="false">_xlfn.IFS(B1230&lt;30,"Under 30",B1230&lt;40,"30-39",B1230&lt;50,"40-49",B1230&lt;60,"50-59",TRUE(),"60+")</f>
        <v>30-39</v>
      </c>
      <c r="O1230" s="2" t="str">
        <f aca="false">_xlfn.IFS(G1230&lt;0,"1 Negative",G1230=0,"2 Zero",G1230&lt;=500,"3 1-500",G1230&lt;=2000,"4 501-2000",TRUE(),"5 Above 2000")</f>
        <v>5 Above 2000</v>
      </c>
      <c r="P1230" s="2" t="n">
        <f aca="false">Lookups!$B$2*M1230+Lookups!$B$3*L1230</f>
        <v>0</v>
      </c>
      <c r="Q1230" s="2" t="str">
        <f aca="false">INDEX(Lookups!$E$2:$E$5,MATCH(P1230,Lookups!$D$2:$D$5,0))</f>
        <v>Low</v>
      </c>
    </row>
    <row r="1231" customFormat="false" ht="15" hidden="false" customHeight="false" outlineLevel="0" collapsed="false">
      <c r="A1231" s="3" t="n">
        <v>1230</v>
      </c>
      <c r="B1231" s="3" t="n">
        <f aca="false">Raw_Data!A1231</f>
        <v>27</v>
      </c>
      <c r="C1231" s="3" t="str">
        <f aca="false">SUBSTITUTE(Raw_Data!B1231,".","")</f>
        <v>blue-collar</v>
      </c>
      <c r="D1231" s="3" t="str">
        <f aca="false">Raw_Data!C1231</f>
        <v>single</v>
      </c>
      <c r="E1231" s="3" t="str">
        <f aca="false">Raw_Data!D1231</f>
        <v>primary</v>
      </c>
      <c r="F1231" s="3" t="str">
        <f aca="false">Raw_Data!E1231</f>
        <v>no</v>
      </c>
      <c r="G1231" s="3" t="n">
        <f aca="false">Raw_Data!F1231</f>
        <v>-79</v>
      </c>
      <c r="H1231" s="3" t="str">
        <f aca="false">Raw_Data!G1231</f>
        <v>yes</v>
      </c>
      <c r="I1231" s="3" t="str">
        <f aca="false">Raw_Data!H1231</f>
        <v>no</v>
      </c>
      <c r="J1231" s="2" t="n">
        <f aca="false">IF(F1231="yes",1,0)</f>
        <v>0</v>
      </c>
      <c r="K1231" s="2" t="n">
        <f aca="false">IF(H1231="yes",1,0)</f>
        <v>1</v>
      </c>
      <c r="L1231" s="2" t="n">
        <f aca="false">IF(I1231="yes",1,0)</f>
        <v>0</v>
      </c>
      <c r="M1231" s="2" t="n">
        <f aca="false">IF(G1231&lt;0,1,0)</f>
        <v>1</v>
      </c>
      <c r="N1231" s="2" t="str">
        <f aca="false">_xlfn.IFS(B1231&lt;30,"Under 30",B1231&lt;40,"30-39",B1231&lt;50,"40-49",B1231&lt;60,"50-59",TRUE(),"60+")</f>
        <v>Under 30</v>
      </c>
      <c r="O1231" s="2" t="str">
        <f aca="false">_xlfn.IFS(G1231&lt;0,"1 Negative",G1231=0,"2 Zero",G1231&lt;=500,"3 1-500",G1231&lt;=2000,"4 501-2000",TRUE(),"5 Above 2000")</f>
        <v>1 Negative</v>
      </c>
      <c r="P1231" s="2" t="n">
        <f aca="false">Lookups!$B$2*M1231+Lookups!$B$3*L1231</f>
        <v>2</v>
      </c>
      <c r="Q1231" s="2" t="str">
        <f aca="false">INDEX(Lookups!$E$2:$E$5,MATCH(P1231,Lookups!$D$2:$D$5,0))</f>
        <v>High</v>
      </c>
    </row>
    <row r="1232" customFormat="false" ht="15" hidden="false" customHeight="false" outlineLevel="0" collapsed="false">
      <c r="A1232" s="3" t="n">
        <v>1231</v>
      </c>
      <c r="B1232" s="3" t="n">
        <f aca="false">Raw_Data!A1232</f>
        <v>75</v>
      </c>
      <c r="C1232" s="3" t="str">
        <f aca="false">SUBSTITUTE(Raw_Data!B1232,".","")</f>
        <v>retired</v>
      </c>
      <c r="D1232" s="3" t="str">
        <f aca="false">Raw_Data!C1232</f>
        <v>divorced</v>
      </c>
      <c r="E1232" s="3" t="str">
        <f aca="false">Raw_Data!D1232</f>
        <v>secondary</v>
      </c>
      <c r="F1232" s="3" t="str">
        <f aca="false">Raw_Data!E1232</f>
        <v>no</v>
      </c>
      <c r="G1232" s="3" t="n">
        <f aca="false">Raw_Data!F1232</f>
        <v>1341</v>
      </c>
      <c r="H1232" s="3" t="str">
        <f aca="false">Raw_Data!G1232</f>
        <v>no</v>
      </c>
      <c r="I1232" s="3" t="str">
        <f aca="false">Raw_Data!H1232</f>
        <v>no</v>
      </c>
      <c r="J1232" s="2" t="n">
        <f aca="false">IF(F1232="yes",1,0)</f>
        <v>0</v>
      </c>
      <c r="K1232" s="2" t="n">
        <f aca="false">IF(H1232="yes",1,0)</f>
        <v>0</v>
      </c>
      <c r="L1232" s="2" t="n">
        <f aca="false">IF(I1232="yes",1,0)</f>
        <v>0</v>
      </c>
      <c r="M1232" s="2" t="n">
        <f aca="false">IF(G1232&lt;0,1,0)</f>
        <v>0</v>
      </c>
      <c r="N1232" s="2" t="str">
        <f aca="false">_xlfn.IFS(B1232&lt;30,"Under 30",B1232&lt;40,"30-39",B1232&lt;50,"40-49",B1232&lt;60,"50-59",TRUE(),"60+")</f>
        <v>60+</v>
      </c>
      <c r="O1232" s="2" t="str">
        <f aca="false">_xlfn.IFS(G1232&lt;0,"1 Negative",G1232=0,"2 Zero",G1232&lt;=500,"3 1-500",G1232&lt;=2000,"4 501-2000",TRUE(),"5 Above 2000")</f>
        <v>4 501-2000</v>
      </c>
      <c r="P1232" s="2" t="n">
        <f aca="false">Lookups!$B$2*M1232+Lookups!$B$3*L1232</f>
        <v>0</v>
      </c>
      <c r="Q1232" s="2" t="str">
        <f aca="false">INDEX(Lookups!$E$2:$E$5,MATCH(P1232,Lookups!$D$2:$D$5,0))</f>
        <v>Low</v>
      </c>
    </row>
    <row r="1233" customFormat="false" ht="15" hidden="false" customHeight="false" outlineLevel="0" collapsed="false">
      <c r="A1233" s="3" t="n">
        <v>1232</v>
      </c>
      <c r="B1233" s="3" t="n">
        <f aca="false">Raw_Data!A1233</f>
        <v>37</v>
      </c>
      <c r="C1233" s="3" t="str">
        <f aca="false">SUBSTITUTE(Raw_Data!B1233,".","")</f>
        <v>services</v>
      </c>
      <c r="D1233" s="3" t="str">
        <f aca="false">Raw_Data!C1233</f>
        <v>divorced</v>
      </c>
      <c r="E1233" s="3" t="str">
        <f aca="false">Raw_Data!D1233</f>
        <v>secondary</v>
      </c>
      <c r="F1233" s="3" t="str">
        <f aca="false">Raw_Data!E1233</f>
        <v>no</v>
      </c>
      <c r="G1233" s="3" t="n">
        <f aca="false">Raw_Data!F1233</f>
        <v>490</v>
      </c>
      <c r="H1233" s="3" t="str">
        <f aca="false">Raw_Data!G1233</f>
        <v>yes</v>
      </c>
      <c r="I1233" s="3" t="str">
        <f aca="false">Raw_Data!H1233</f>
        <v>no</v>
      </c>
      <c r="J1233" s="2" t="n">
        <f aca="false">IF(F1233="yes",1,0)</f>
        <v>0</v>
      </c>
      <c r="K1233" s="2" t="n">
        <f aca="false">IF(H1233="yes",1,0)</f>
        <v>1</v>
      </c>
      <c r="L1233" s="2" t="n">
        <f aca="false">IF(I1233="yes",1,0)</f>
        <v>0</v>
      </c>
      <c r="M1233" s="2" t="n">
        <f aca="false">IF(G1233&lt;0,1,0)</f>
        <v>0</v>
      </c>
      <c r="N1233" s="2" t="str">
        <f aca="false">_xlfn.IFS(B1233&lt;30,"Under 30",B1233&lt;40,"30-39",B1233&lt;50,"40-49",B1233&lt;60,"50-59",TRUE(),"60+")</f>
        <v>30-39</v>
      </c>
      <c r="O1233" s="2" t="str">
        <f aca="false">_xlfn.IFS(G1233&lt;0,"1 Negative",G1233=0,"2 Zero",G1233&lt;=500,"3 1-500",G1233&lt;=2000,"4 501-2000",TRUE(),"5 Above 2000")</f>
        <v>3 1-500</v>
      </c>
      <c r="P1233" s="2" t="n">
        <f aca="false">Lookups!$B$2*M1233+Lookups!$B$3*L1233</f>
        <v>0</v>
      </c>
      <c r="Q1233" s="2" t="str">
        <f aca="false">INDEX(Lookups!$E$2:$E$5,MATCH(P1233,Lookups!$D$2:$D$5,0))</f>
        <v>Low</v>
      </c>
    </row>
    <row r="1234" customFormat="false" ht="15" hidden="false" customHeight="false" outlineLevel="0" collapsed="false">
      <c r="A1234" s="3" t="n">
        <v>1233</v>
      </c>
      <c r="B1234" s="3" t="n">
        <f aca="false">Raw_Data!A1234</f>
        <v>36</v>
      </c>
      <c r="C1234" s="3" t="str">
        <f aca="false">SUBSTITUTE(Raw_Data!B1234,".","")</f>
        <v>technician</v>
      </c>
      <c r="D1234" s="3" t="str">
        <f aca="false">Raw_Data!C1234</f>
        <v>single</v>
      </c>
      <c r="E1234" s="3" t="str">
        <f aca="false">Raw_Data!D1234</f>
        <v>secondary</v>
      </c>
      <c r="F1234" s="3" t="str">
        <f aca="false">Raw_Data!E1234</f>
        <v>no</v>
      </c>
      <c r="G1234" s="3" t="n">
        <f aca="false">Raw_Data!F1234</f>
        <v>1521</v>
      </c>
      <c r="H1234" s="3" t="str">
        <f aca="false">Raw_Data!G1234</f>
        <v>yes</v>
      </c>
      <c r="I1234" s="3" t="str">
        <f aca="false">Raw_Data!H1234</f>
        <v>no</v>
      </c>
      <c r="J1234" s="2" t="n">
        <f aca="false">IF(F1234="yes",1,0)</f>
        <v>0</v>
      </c>
      <c r="K1234" s="2" t="n">
        <f aca="false">IF(H1234="yes",1,0)</f>
        <v>1</v>
      </c>
      <c r="L1234" s="2" t="n">
        <f aca="false">IF(I1234="yes",1,0)</f>
        <v>0</v>
      </c>
      <c r="M1234" s="2" t="n">
        <f aca="false">IF(G1234&lt;0,1,0)</f>
        <v>0</v>
      </c>
      <c r="N1234" s="2" t="str">
        <f aca="false">_xlfn.IFS(B1234&lt;30,"Under 30",B1234&lt;40,"30-39",B1234&lt;50,"40-49",B1234&lt;60,"50-59",TRUE(),"60+")</f>
        <v>30-39</v>
      </c>
      <c r="O1234" s="2" t="str">
        <f aca="false">_xlfn.IFS(G1234&lt;0,"1 Negative",G1234=0,"2 Zero",G1234&lt;=500,"3 1-500",G1234&lt;=2000,"4 501-2000",TRUE(),"5 Above 2000")</f>
        <v>4 501-2000</v>
      </c>
      <c r="P1234" s="2" t="n">
        <f aca="false">Lookups!$B$2*M1234+Lookups!$B$3*L1234</f>
        <v>0</v>
      </c>
      <c r="Q1234" s="2" t="str">
        <f aca="false">INDEX(Lookups!$E$2:$E$5,MATCH(P1234,Lookups!$D$2:$D$5,0))</f>
        <v>Low</v>
      </c>
    </row>
    <row r="1235" customFormat="false" ht="15" hidden="false" customHeight="false" outlineLevel="0" collapsed="false">
      <c r="A1235" s="3" t="n">
        <v>1234</v>
      </c>
      <c r="B1235" s="3" t="n">
        <f aca="false">Raw_Data!A1235</f>
        <v>37</v>
      </c>
      <c r="C1235" s="3" t="str">
        <f aca="false">SUBSTITUTE(Raw_Data!B1235,".","")</f>
        <v>blue-collar</v>
      </c>
      <c r="D1235" s="3" t="str">
        <f aca="false">Raw_Data!C1235</f>
        <v>married</v>
      </c>
      <c r="E1235" s="3" t="str">
        <f aca="false">Raw_Data!D1235</f>
        <v>secondary</v>
      </c>
      <c r="F1235" s="3" t="str">
        <f aca="false">Raw_Data!E1235</f>
        <v>no</v>
      </c>
      <c r="G1235" s="3" t="n">
        <f aca="false">Raw_Data!F1235</f>
        <v>131</v>
      </c>
      <c r="H1235" s="3" t="str">
        <f aca="false">Raw_Data!G1235</f>
        <v>yes</v>
      </c>
      <c r="I1235" s="3" t="str">
        <f aca="false">Raw_Data!H1235</f>
        <v>no</v>
      </c>
      <c r="J1235" s="2" t="n">
        <f aca="false">IF(F1235="yes",1,0)</f>
        <v>0</v>
      </c>
      <c r="K1235" s="2" t="n">
        <f aca="false">IF(H1235="yes",1,0)</f>
        <v>1</v>
      </c>
      <c r="L1235" s="2" t="n">
        <f aca="false">IF(I1235="yes",1,0)</f>
        <v>0</v>
      </c>
      <c r="M1235" s="2" t="n">
        <f aca="false">IF(G1235&lt;0,1,0)</f>
        <v>0</v>
      </c>
      <c r="N1235" s="2" t="str">
        <f aca="false">_xlfn.IFS(B1235&lt;30,"Under 30",B1235&lt;40,"30-39",B1235&lt;50,"40-49",B1235&lt;60,"50-59",TRUE(),"60+")</f>
        <v>30-39</v>
      </c>
      <c r="O1235" s="2" t="str">
        <f aca="false">_xlfn.IFS(G1235&lt;0,"1 Negative",G1235=0,"2 Zero",G1235&lt;=500,"3 1-500",G1235&lt;=2000,"4 501-2000",TRUE(),"5 Above 2000")</f>
        <v>3 1-500</v>
      </c>
      <c r="P1235" s="2" t="n">
        <f aca="false">Lookups!$B$2*M1235+Lookups!$B$3*L1235</f>
        <v>0</v>
      </c>
      <c r="Q1235" s="2" t="str">
        <f aca="false">INDEX(Lookups!$E$2:$E$5,MATCH(P1235,Lookups!$D$2:$D$5,0))</f>
        <v>Low</v>
      </c>
    </row>
    <row r="1236" customFormat="false" ht="15" hidden="false" customHeight="false" outlineLevel="0" collapsed="false">
      <c r="A1236" s="3" t="n">
        <v>1235</v>
      </c>
      <c r="B1236" s="3" t="n">
        <f aca="false">Raw_Data!A1236</f>
        <v>35</v>
      </c>
      <c r="C1236" s="3" t="str">
        <f aca="false">SUBSTITUTE(Raw_Data!B1236,".","")</f>
        <v>management</v>
      </c>
      <c r="D1236" s="3" t="str">
        <f aca="false">Raw_Data!C1236</f>
        <v>married</v>
      </c>
      <c r="E1236" s="3" t="str">
        <f aca="false">Raw_Data!D1236</f>
        <v>tertiary</v>
      </c>
      <c r="F1236" s="3" t="str">
        <f aca="false">Raw_Data!E1236</f>
        <v>no</v>
      </c>
      <c r="G1236" s="3" t="n">
        <f aca="false">Raw_Data!F1236</f>
        <v>8</v>
      </c>
      <c r="H1236" s="3" t="str">
        <f aca="false">Raw_Data!G1236</f>
        <v>yes</v>
      </c>
      <c r="I1236" s="3" t="str">
        <f aca="false">Raw_Data!H1236</f>
        <v>no</v>
      </c>
      <c r="J1236" s="2" t="n">
        <f aca="false">IF(F1236="yes",1,0)</f>
        <v>0</v>
      </c>
      <c r="K1236" s="2" t="n">
        <f aca="false">IF(H1236="yes",1,0)</f>
        <v>1</v>
      </c>
      <c r="L1236" s="2" t="n">
        <f aca="false">IF(I1236="yes",1,0)</f>
        <v>0</v>
      </c>
      <c r="M1236" s="2" t="n">
        <f aca="false">IF(G1236&lt;0,1,0)</f>
        <v>0</v>
      </c>
      <c r="N1236" s="2" t="str">
        <f aca="false">_xlfn.IFS(B1236&lt;30,"Under 30",B1236&lt;40,"30-39",B1236&lt;50,"40-49",B1236&lt;60,"50-59",TRUE(),"60+")</f>
        <v>30-39</v>
      </c>
      <c r="O1236" s="2" t="str">
        <f aca="false">_xlfn.IFS(G1236&lt;0,"1 Negative",G1236=0,"2 Zero",G1236&lt;=500,"3 1-500",G1236&lt;=2000,"4 501-2000",TRUE(),"5 Above 2000")</f>
        <v>3 1-500</v>
      </c>
      <c r="P1236" s="2" t="n">
        <f aca="false">Lookups!$B$2*M1236+Lookups!$B$3*L1236</f>
        <v>0</v>
      </c>
      <c r="Q1236" s="2" t="str">
        <f aca="false">INDEX(Lookups!$E$2:$E$5,MATCH(P1236,Lookups!$D$2:$D$5,0))</f>
        <v>Low</v>
      </c>
    </row>
    <row r="1237" customFormat="false" ht="15" hidden="false" customHeight="false" outlineLevel="0" collapsed="false">
      <c r="A1237" s="3" t="n">
        <v>1236</v>
      </c>
      <c r="B1237" s="3" t="n">
        <f aca="false">Raw_Data!A1237</f>
        <v>32</v>
      </c>
      <c r="C1237" s="3" t="str">
        <f aca="false">SUBSTITUTE(Raw_Data!B1237,".","")</f>
        <v>services</v>
      </c>
      <c r="D1237" s="3" t="str">
        <f aca="false">Raw_Data!C1237</f>
        <v>married</v>
      </c>
      <c r="E1237" s="3" t="str">
        <f aca="false">Raw_Data!D1237</f>
        <v>secondary</v>
      </c>
      <c r="F1237" s="3" t="str">
        <f aca="false">Raw_Data!E1237</f>
        <v>no</v>
      </c>
      <c r="G1237" s="3" t="n">
        <f aca="false">Raw_Data!F1237</f>
        <v>-632</v>
      </c>
      <c r="H1237" s="3" t="str">
        <f aca="false">Raw_Data!G1237</f>
        <v>yes</v>
      </c>
      <c r="I1237" s="3" t="str">
        <f aca="false">Raw_Data!H1237</f>
        <v>yes</v>
      </c>
      <c r="J1237" s="2" t="n">
        <f aca="false">IF(F1237="yes",1,0)</f>
        <v>0</v>
      </c>
      <c r="K1237" s="2" t="n">
        <f aca="false">IF(H1237="yes",1,0)</f>
        <v>1</v>
      </c>
      <c r="L1237" s="2" t="n">
        <f aca="false">IF(I1237="yes",1,0)</f>
        <v>1</v>
      </c>
      <c r="M1237" s="2" t="n">
        <f aca="false">IF(G1237&lt;0,1,0)</f>
        <v>1</v>
      </c>
      <c r="N1237" s="2" t="str">
        <f aca="false">_xlfn.IFS(B1237&lt;30,"Under 30",B1237&lt;40,"30-39",B1237&lt;50,"40-49",B1237&lt;60,"50-59",TRUE(),"60+")</f>
        <v>30-39</v>
      </c>
      <c r="O1237" s="2" t="str">
        <f aca="false">_xlfn.IFS(G1237&lt;0,"1 Negative",G1237=0,"2 Zero",G1237&lt;=500,"3 1-500",G1237&lt;=2000,"4 501-2000",TRUE(),"5 Above 2000")</f>
        <v>1 Negative</v>
      </c>
      <c r="P1237" s="2" t="n">
        <f aca="false">Lookups!$B$2*M1237+Lookups!$B$3*L1237</f>
        <v>3</v>
      </c>
      <c r="Q1237" s="2" t="str">
        <f aca="false">INDEX(Lookups!$E$2:$E$5,MATCH(P1237,Lookups!$D$2:$D$5,0))</f>
        <v>High</v>
      </c>
    </row>
    <row r="1238" customFormat="false" ht="15" hidden="false" customHeight="false" outlineLevel="0" collapsed="false">
      <c r="A1238" s="3" t="n">
        <v>1237</v>
      </c>
      <c r="B1238" s="3" t="n">
        <f aca="false">Raw_Data!A1238</f>
        <v>32</v>
      </c>
      <c r="C1238" s="3" t="str">
        <f aca="false">SUBSTITUTE(Raw_Data!B1238,".","")</f>
        <v>admin</v>
      </c>
      <c r="D1238" s="3" t="str">
        <f aca="false">Raw_Data!C1238</f>
        <v>single</v>
      </c>
      <c r="E1238" s="3" t="str">
        <f aca="false">Raw_Data!D1238</f>
        <v>secondary</v>
      </c>
      <c r="F1238" s="3" t="str">
        <f aca="false">Raw_Data!E1238</f>
        <v>no</v>
      </c>
      <c r="G1238" s="3" t="n">
        <f aca="false">Raw_Data!F1238</f>
        <v>116</v>
      </c>
      <c r="H1238" s="3" t="str">
        <f aca="false">Raw_Data!G1238</f>
        <v>no</v>
      </c>
      <c r="I1238" s="3" t="str">
        <f aca="false">Raw_Data!H1238</f>
        <v>yes</v>
      </c>
      <c r="J1238" s="2" t="n">
        <f aca="false">IF(F1238="yes",1,0)</f>
        <v>0</v>
      </c>
      <c r="K1238" s="2" t="n">
        <f aca="false">IF(H1238="yes",1,0)</f>
        <v>0</v>
      </c>
      <c r="L1238" s="2" t="n">
        <f aca="false">IF(I1238="yes",1,0)</f>
        <v>1</v>
      </c>
      <c r="M1238" s="2" t="n">
        <f aca="false">IF(G1238&lt;0,1,0)</f>
        <v>0</v>
      </c>
      <c r="N1238" s="2" t="str">
        <f aca="false">_xlfn.IFS(B1238&lt;30,"Under 30",B1238&lt;40,"30-39",B1238&lt;50,"40-49",B1238&lt;60,"50-59",TRUE(),"60+")</f>
        <v>30-39</v>
      </c>
      <c r="O1238" s="2" t="str">
        <f aca="false">_xlfn.IFS(G1238&lt;0,"1 Negative",G1238=0,"2 Zero",G1238&lt;=500,"3 1-500",G1238&lt;=2000,"4 501-2000",TRUE(),"5 Above 2000")</f>
        <v>3 1-500</v>
      </c>
      <c r="P1238" s="2" t="n">
        <f aca="false">Lookups!$B$2*M1238+Lookups!$B$3*L1238</f>
        <v>1</v>
      </c>
      <c r="Q1238" s="2" t="str">
        <f aca="false">INDEX(Lookups!$E$2:$E$5,MATCH(P1238,Lookups!$D$2:$D$5,0))</f>
        <v>Medium</v>
      </c>
    </row>
    <row r="1239" customFormat="false" ht="15" hidden="false" customHeight="false" outlineLevel="0" collapsed="false">
      <c r="A1239" s="3" t="n">
        <v>1238</v>
      </c>
      <c r="B1239" s="3" t="n">
        <f aca="false">Raw_Data!A1239</f>
        <v>35</v>
      </c>
      <c r="C1239" s="3" t="str">
        <f aca="false">SUBSTITUTE(Raw_Data!B1239,".","")</f>
        <v>admin</v>
      </c>
      <c r="D1239" s="3" t="str">
        <f aca="false">Raw_Data!C1239</f>
        <v>married</v>
      </c>
      <c r="E1239" s="3" t="str">
        <f aca="false">Raw_Data!D1239</f>
        <v>primary</v>
      </c>
      <c r="F1239" s="3" t="str">
        <f aca="false">Raw_Data!E1239</f>
        <v>no</v>
      </c>
      <c r="G1239" s="3" t="n">
        <f aca="false">Raw_Data!F1239</f>
        <v>189</v>
      </c>
      <c r="H1239" s="3" t="str">
        <f aca="false">Raw_Data!G1239</f>
        <v>yes</v>
      </c>
      <c r="I1239" s="3" t="str">
        <f aca="false">Raw_Data!H1239</f>
        <v>no</v>
      </c>
      <c r="J1239" s="2" t="n">
        <f aca="false">IF(F1239="yes",1,0)</f>
        <v>0</v>
      </c>
      <c r="K1239" s="2" t="n">
        <f aca="false">IF(H1239="yes",1,0)</f>
        <v>1</v>
      </c>
      <c r="L1239" s="2" t="n">
        <f aca="false">IF(I1239="yes",1,0)</f>
        <v>0</v>
      </c>
      <c r="M1239" s="2" t="n">
        <f aca="false">IF(G1239&lt;0,1,0)</f>
        <v>0</v>
      </c>
      <c r="N1239" s="2" t="str">
        <f aca="false">_xlfn.IFS(B1239&lt;30,"Under 30",B1239&lt;40,"30-39",B1239&lt;50,"40-49",B1239&lt;60,"50-59",TRUE(),"60+")</f>
        <v>30-39</v>
      </c>
      <c r="O1239" s="2" t="str">
        <f aca="false">_xlfn.IFS(G1239&lt;0,"1 Negative",G1239=0,"2 Zero",G1239&lt;=500,"3 1-500",G1239&lt;=2000,"4 501-2000",TRUE(),"5 Above 2000")</f>
        <v>3 1-500</v>
      </c>
      <c r="P1239" s="2" t="n">
        <f aca="false">Lookups!$B$2*M1239+Lookups!$B$3*L1239</f>
        <v>0</v>
      </c>
      <c r="Q1239" s="2" t="str">
        <f aca="false">INDEX(Lookups!$E$2:$E$5,MATCH(P1239,Lookups!$D$2:$D$5,0))</f>
        <v>Low</v>
      </c>
    </row>
    <row r="1240" customFormat="false" ht="15" hidden="false" customHeight="false" outlineLevel="0" collapsed="false">
      <c r="A1240" s="3" t="n">
        <v>1239</v>
      </c>
      <c r="B1240" s="3" t="n">
        <f aca="false">Raw_Data!A1240</f>
        <v>31</v>
      </c>
      <c r="C1240" s="3" t="str">
        <f aca="false">SUBSTITUTE(Raw_Data!B1240,".","")</f>
        <v>blue-collar</v>
      </c>
      <c r="D1240" s="3" t="str">
        <f aca="false">Raw_Data!C1240</f>
        <v>married</v>
      </c>
      <c r="E1240" s="3" t="str">
        <f aca="false">Raw_Data!D1240</f>
        <v>primary</v>
      </c>
      <c r="F1240" s="3" t="str">
        <f aca="false">Raw_Data!E1240</f>
        <v>no</v>
      </c>
      <c r="G1240" s="3" t="n">
        <f aca="false">Raw_Data!F1240</f>
        <v>2</v>
      </c>
      <c r="H1240" s="3" t="str">
        <f aca="false">Raw_Data!G1240</f>
        <v>yes</v>
      </c>
      <c r="I1240" s="3" t="str">
        <f aca="false">Raw_Data!H1240</f>
        <v>yes</v>
      </c>
      <c r="J1240" s="2" t="n">
        <f aca="false">IF(F1240="yes",1,0)</f>
        <v>0</v>
      </c>
      <c r="K1240" s="2" t="n">
        <f aca="false">IF(H1240="yes",1,0)</f>
        <v>1</v>
      </c>
      <c r="L1240" s="2" t="n">
        <f aca="false">IF(I1240="yes",1,0)</f>
        <v>1</v>
      </c>
      <c r="M1240" s="2" t="n">
        <f aca="false">IF(G1240&lt;0,1,0)</f>
        <v>0</v>
      </c>
      <c r="N1240" s="2" t="str">
        <f aca="false">_xlfn.IFS(B1240&lt;30,"Under 30",B1240&lt;40,"30-39",B1240&lt;50,"40-49",B1240&lt;60,"50-59",TRUE(),"60+")</f>
        <v>30-39</v>
      </c>
      <c r="O1240" s="2" t="str">
        <f aca="false">_xlfn.IFS(G1240&lt;0,"1 Negative",G1240=0,"2 Zero",G1240&lt;=500,"3 1-500",G1240&lt;=2000,"4 501-2000",TRUE(),"5 Above 2000")</f>
        <v>3 1-500</v>
      </c>
      <c r="P1240" s="2" t="n">
        <f aca="false">Lookups!$B$2*M1240+Lookups!$B$3*L1240</f>
        <v>1</v>
      </c>
      <c r="Q1240" s="2" t="str">
        <f aca="false">INDEX(Lookups!$E$2:$E$5,MATCH(P1240,Lookups!$D$2:$D$5,0))</f>
        <v>Medium</v>
      </c>
    </row>
    <row r="1241" customFormat="false" ht="15" hidden="false" customHeight="false" outlineLevel="0" collapsed="false">
      <c r="A1241" s="3" t="n">
        <v>1240</v>
      </c>
      <c r="B1241" s="3" t="n">
        <f aca="false">Raw_Data!A1241</f>
        <v>28</v>
      </c>
      <c r="C1241" s="3" t="str">
        <f aca="false">SUBSTITUTE(Raw_Data!B1241,".","")</f>
        <v>blue-collar</v>
      </c>
      <c r="D1241" s="3" t="str">
        <f aca="false">Raw_Data!C1241</f>
        <v>single</v>
      </c>
      <c r="E1241" s="3" t="str">
        <f aca="false">Raw_Data!D1241</f>
        <v>secondary</v>
      </c>
      <c r="F1241" s="3" t="str">
        <f aca="false">Raw_Data!E1241</f>
        <v>no</v>
      </c>
      <c r="G1241" s="3" t="n">
        <f aca="false">Raw_Data!F1241</f>
        <v>4229</v>
      </c>
      <c r="H1241" s="3" t="str">
        <f aca="false">Raw_Data!G1241</f>
        <v>yes</v>
      </c>
      <c r="I1241" s="3" t="str">
        <f aca="false">Raw_Data!H1241</f>
        <v>yes</v>
      </c>
      <c r="J1241" s="2" t="n">
        <f aca="false">IF(F1241="yes",1,0)</f>
        <v>0</v>
      </c>
      <c r="K1241" s="2" t="n">
        <f aca="false">IF(H1241="yes",1,0)</f>
        <v>1</v>
      </c>
      <c r="L1241" s="2" t="n">
        <f aca="false">IF(I1241="yes",1,0)</f>
        <v>1</v>
      </c>
      <c r="M1241" s="2" t="n">
        <f aca="false">IF(G1241&lt;0,1,0)</f>
        <v>0</v>
      </c>
      <c r="N1241" s="2" t="str">
        <f aca="false">_xlfn.IFS(B1241&lt;30,"Under 30",B1241&lt;40,"30-39",B1241&lt;50,"40-49",B1241&lt;60,"50-59",TRUE(),"60+")</f>
        <v>Under 30</v>
      </c>
      <c r="O1241" s="2" t="str">
        <f aca="false">_xlfn.IFS(G1241&lt;0,"1 Negative",G1241=0,"2 Zero",G1241&lt;=500,"3 1-500",G1241&lt;=2000,"4 501-2000",TRUE(),"5 Above 2000")</f>
        <v>5 Above 2000</v>
      </c>
      <c r="P1241" s="2" t="n">
        <f aca="false">Lookups!$B$2*M1241+Lookups!$B$3*L1241</f>
        <v>1</v>
      </c>
      <c r="Q1241" s="2" t="str">
        <f aca="false">INDEX(Lookups!$E$2:$E$5,MATCH(P1241,Lookups!$D$2:$D$5,0))</f>
        <v>Medium</v>
      </c>
    </row>
    <row r="1242" customFormat="false" ht="15" hidden="false" customHeight="false" outlineLevel="0" collapsed="false">
      <c r="A1242" s="3" t="n">
        <v>1241</v>
      </c>
      <c r="B1242" s="3" t="n">
        <f aca="false">Raw_Data!A1242</f>
        <v>27</v>
      </c>
      <c r="C1242" s="3" t="str">
        <f aca="false">SUBSTITUTE(Raw_Data!B1242,".","")</f>
        <v>services</v>
      </c>
      <c r="D1242" s="3" t="str">
        <f aca="false">Raw_Data!C1242</f>
        <v>married</v>
      </c>
      <c r="E1242" s="3" t="str">
        <f aca="false">Raw_Data!D1242</f>
        <v>secondary</v>
      </c>
      <c r="F1242" s="3" t="str">
        <f aca="false">Raw_Data!E1242</f>
        <v>no</v>
      </c>
      <c r="G1242" s="3" t="n">
        <f aca="false">Raw_Data!F1242</f>
        <v>54</v>
      </c>
      <c r="H1242" s="3" t="str">
        <f aca="false">Raw_Data!G1242</f>
        <v>yes</v>
      </c>
      <c r="I1242" s="3" t="str">
        <f aca="false">Raw_Data!H1242</f>
        <v>no</v>
      </c>
      <c r="J1242" s="2" t="n">
        <f aca="false">IF(F1242="yes",1,0)</f>
        <v>0</v>
      </c>
      <c r="K1242" s="2" t="n">
        <f aca="false">IF(H1242="yes",1,0)</f>
        <v>1</v>
      </c>
      <c r="L1242" s="2" t="n">
        <f aca="false">IF(I1242="yes",1,0)</f>
        <v>0</v>
      </c>
      <c r="M1242" s="2" t="n">
        <f aca="false">IF(G1242&lt;0,1,0)</f>
        <v>0</v>
      </c>
      <c r="N1242" s="2" t="str">
        <f aca="false">_xlfn.IFS(B1242&lt;30,"Under 30",B1242&lt;40,"30-39",B1242&lt;50,"40-49",B1242&lt;60,"50-59",TRUE(),"60+")</f>
        <v>Under 30</v>
      </c>
      <c r="O1242" s="2" t="str">
        <f aca="false">_xlfn.IFS(G1242&lt;0,"1 Negative",G1242=0,"2 Zero",G1242&lt;=500,"3 1-500",G1242&lt;=2000,"4 501-2000",TRUE(),"5 Above 2000")</f>
        <v>3 1-500</v>
      </c>
      <c r="P1242" s="2" t="n">
        <f aca="false">Lookups!$B$2*M1242+Lookups!$B$3*L1242</f>
        <v>0</v>
      </c>
      <c r="Q1242" s="2" t="str">
        <f aca="false">INDEX(Lookups!$E$2:$E$5,MATCH(P1242,Lookups!$D$2:$D$5,0))</f>
        <v>Low</v>
      </c>
    </row>
    <row r="1243" customFormat="false" ht="15" hidden="false" customHeight="false" outlineLevel="0" collapsed="false">
      <c r="A1243" s="3" t="n">
        <v>1242</v>
      </c>
      <c r="B1243" s="3" t="n">
        <f aca="false">Raw_Data!A1243</f>
        <v>22</v>
      </c>
      <c r="C1243" s="3" t="str">
        <f aca="false">SUBSTITUTE(Raw_Data!B1243,".","")</f>
        <v>student</v>
      </c>
      <c r="D1243" s="3" t="str">
        <f aca="false">Raw_Data!C1243</f>
        <v>single</v>
      </c>
      <c r="E1243" s="3" t="str">
        <f aca="false">Raw_Data!D1243</f>
        <v>unknown</v>
      </c>
      <c r="F1243" s="3" t="str">
        <f aca="false">Raw_Data!E1243</f>
        <v>no</v>
      </c>
      <c r="G1243" s="3" t="n">
        <f aca="false">Raw_Data!F1243</f>
        <v>549</v>
      </c>
      <c r="H1243" s="3" t="str">
        <f aca="false">Raw_Data!G1243</f>
        <v>no</v>
      </c>
      <c r="I1243" s="3" t="str">
        <f aca="false">Raw_Data!H1243</f>
        <v>no</v>
      </c>
      <c r="J1243" s="2" t="n">
        <f aca="false">IF(F1243="yes",1,0)</f>
        <v>0</v>
      </c>
      <c r="K1243" s="2" t="n">
        <f aca="false">IF(H1243="yes",1,0)</f>
        <v>0</v>
      </c>
      <c r="L1243" s="2" t="n">
        <f aca="false">IF(I1243="yes",1,0)</f>
        <v>0</v>
      </c>
      <c r="M1243" s="2" t="n">
        <f aca="false">IF(G1243&lt;0,1,0)</f>
        <v>0</v>
      </c>
      <c r="N1243" s="2" t="str">
        <f aca="false">_xlfn.IFS(B1243&lt;30,"Under 30",B1243&lt;40,"30-39",B1243&lt;50,"40-49",B1243&lt;60,"50-59",TRUE(),"60+")</f>
        <v>Under 30</v>
      </c>
      <c r="O1243" s="2" t="str">
        <f aca="false">_xlfn.IFS(G1243&lt;0,"1 Negative",G1243=0,"2 Zero",G1243&lt;=500,"3 1-500",G1243&lt;=2000,"4 501-2000",TRUE(),"5 Above 2000")</f>
        <v>4 501-2000</v>
      </c>
      <c r="P1243" s="2" t="n">
        <f aca="false">Lookups!$B$2*M1243+Lookups!$B$3*L1243</f>
        <v>0</v>
      </c>
      <c r="Q1243" s="2" t="str">
        <f aca="false">INDEX(Lookups!$E$2:$E$5,MATCH(P1243,Lookups!$D$2:$D$5,0))</f>
        <v>Low</v>
      </c>
    </row>
    <row r="1244" customFormat="false" ht="15" hidden="false" customHeight="false" outlineLevel="0" collapsed="false">
      <c r="A1244" s="3" t="n">
        <v>1243</v>
      </c>
      <c r="B1244" s="3" t="n">
        <f aca="false">Raw_Data!A1244</f>
        <v>35</v>
      </c>
      <c r="C1244" s="3" t="str">
        <f aca="false">SUBSTITUTE(Raw_Data!B1244,".","")</f>
        <v>blue-collar</v>
      </c>
      <c r="D1244" s="3" t="str">
        <f aca="false">Raw_Data!C1244</f>
        <v>married</v>
      </c>
      <c r="E1244" s="3" t="str">
        <f aca="false">Raw_Data!D1244</f>
        <v>primary</v>
      </c>
      <c r="F1244" s="3" t="str">
        <f aca="false">Raw_Data!E1244</f>
        <v>no</v>
      </c>
      <c r="G1244" s="3" t="n">
        <f aca="false">Raw_Data!F1244</f>
        <v>298</v>
      </c>
      <c r="H1244" s="3" t="str">
        <f aca="false">Raw_Data!G1244</f>
        <v>yes</v>
      </c>
      <c r="I1244" s="3" t="str">
        <f aca="false">Raw_Data!H1244</f>
        <v>no</v>
      </c>
      <c r="J1244" s="2" t="n">
        <f aca="false">IF(F1244="yes",1,0)</f>
        <v>0</v>
      </c>
      <c r="K1244" s="2" t="n">
        <f aca="false">IF(H1244="yes",1,0)</f>
        <v>1</v>
      </c>
      <c r="L1244" s="2" t="n">
        <f aca="false">IF(I1244="yes",1,0)</f>
        <v>0</v>
      </c>
      <c r="M1244" s="2" t="n">
        <f aca="false">IF(G1244&lt;0,1,0)</f>
        <v>0</v>
      </c>
      <c r="N1244" s="2" t="str">
        <f aca="false">_xlfn.IFS(B1244&lt;30,"Under 30",B1244&lt;40,"30-39",B1244&lt;50,"40-49",B1244&lt;60,"50-59",TRUE(),"60+")</f>
        <v>30-39</v>
      </c>
      <c r="O1244" s="2" t="str">
        <f aca="false">_xlfn.IFS(G1244&lt;0,"1 Negative",G1244=0,"2 Zero",G1244&lt;=500,"3 1-500",G1244&lt;=2000,"4 501-2000",TRUE(),"5 Above 2000")</f>
        <v>3 1-500</v>
      </c>
      <c r="P1244" s="2" t="n">
        <f aca="false">Lookups!$B$2*M1244+Lookups!$B$3*L1244</f>
        <v>0</v>
      </c>
      <c r="Q1244" s="2" t="str">
        <f aca="false">INDEX(Lookups!$E$2:$E$5,MATCH(P1244,Lookups!$D$2:$D$5,0))</f>
        <v>Low</v>
      </c>
    </row>
    <row r="1245" customFormat="false" ht="15" hidden="false" customHeight="false" outlineLevel="0" collapsed="false">
      <c r="A1245" s="3" t="n">
        <v>1244</v>
      </c>
      <c r="B1245" s="3" t="n">
        <f aca="false">Raw_Data!A1245</f>
        <v>69</v>
      </c>
      <c r="C1245" s="3" t="str">
        <f aca="false">SUBSTITUTE(Raw_Data!B1245,".","")</f>
        <v>retired</v>
      </c>
      <c r="D1245" s="3" t="str">
        <f aca="false">Raw_Data!C1245</f>
        <v>married</v>
      </c>
      <c r="E1245" s="3" t="str">
        <f aca="false">Raw_Data!D1245</f>
        <v>primary</v>
      </c>
      <c r="F1245" s="3" t="str">
        <f aca="false">Raw_Data!E1245</f>
        <v>no</v>
      </c>
      <c r="G1245" s="3" t="n">
        <f aca="false">Raw_Data!F1245</f>
        <v>579</v>
      </c>
      <c r="H1245" s="3" t="str">
        <f aca="false">Raw_Data!G1245</f>
        <v>no</v>
      </c>
      <c r="I1245" s="3" t="str">
        <f aca="false">Raw_Data!H1245</f>
        <v>no</v>
      </c>
      <c r="J1245" s="2" t="n">
        <f aca="false">IF(F1245="yes",1,0)</f>
        <v>0</v>
      </c>
      <c r="K1245" s="2" t="n">
        <f aca="false">IF(H1245="yes",1,0)</f>
        <v>0</v>
      </c>
      <c r="L1245" s="2" t="n">
        <f aca="false">IF(I1245="yes",1,0)</f>
        <v>0</v>
      </c>
      <c r="M1245" s="2" t="n">
        <f aca="false">IF(G1245&lt;0,1,0)</f>
        <v>0</v>
      </c>
      <c r="N1245" s="2" t="str">
        <f aca="false">_xlfn.IFS(B1245&lt;30,"Under 30",B1245&lt;40,"30-39",B1245&lt;50,"40-49",B1245&lt;60,"50-59",TRUE(),"60+")</f>
        <v>60+</v>
      </c>
      <c r="O1245" s="2" t="str">
        <f aca="false">_xlfn.IFS(G1245&lt;0,"1 Negative",G1245=0,"2 Zero",G1245&lt;=500,"3 1-500",G1245&lt;=2000,"4 501-2000",TRUE(),"5 Above 2000")</f>
        <v>4 501-2000</v>
      </c>
      <c r="P1245" s="2" t="n">
        <f aca="false">Lookups!$B$2*M1245+Lookups!$B$3*L1245</f>
        <v>0</v>
      </c>
      <c r="Q1245" s="2" t="str">
        <f aca="false">INDEX(Lookups!$E$2:$E$5,MATCH(P1245,Lookups!$D$2:$D$5,0))</f>
        <v>Low</v>
      </c>
    </row>
    <row r="1246" customFormat="false" ht="15" hidden="false" customHeight="false" outlineLevel="0" collapsed="false">
      <c r="A1246" s="3" t="n">
        <v>1245</v>
      </c>
      <c r="B1246" s="3" t="n">
        <f aca="false">Raw_Data!A1246</f>
        <v>37</v>
      </c>
      <c r="C1246" s="3" t="str">
        <f aca="false">SUBSTITUTE(Raw_Data!B1246,".","")</f>
        <v>entrepreneur</v>
      </c>
      <c r="D1246" s="3" t="str">
        <f aca="false">Raw_Data!C1246</f>
        <v>single</v>
      </c>
      <c r="E1246" s="3" t="str">
        <f aca="false">Raw_Data!D1246</f>
        <v>tertiary</v>
      </c>
      <c r="F1246" s="3" t="str">
        <f aca="false">Raw_Data!E1246</f>
        <v>no</v>
      </c>
      <c r="G1246" s="3" t="n">
        <f aca="false">Raw_Data!F1246</f>
        <v>1467</v>
      </c>
      <c r="H1246" s="3" t="str">
        <f aca="false">Raw_Data!G1246</f>
        <v>yes</v>
      </c>
      <c r="I1246" s="3" t="str">
        <f aca="false">Raw_Data!H1246</f>
        <v>yes</v>
      </c>
      <c r="J1246" s="2" t="n">
        <f aca="false">IF(F1246="yes",1,0)</f>
        <v>0</v>
      </c>
      <c r="K1246" s="2" t="n">
        <f aca="false">IF(H1246="yes",1,0)</f>
        <v>1</v>
      </c>
      <c r="L1246" s="2" t="n">
        <f aca="false">IF(I1246="yes",1,0)</f>
        <v>1</v>
      </c>
      <c r="M1246" s="2" t="n">
        <f aca="false">IF(G1246&lt;0,1,0)</f>
        <v>0</v>
      </c>
      <c r="N1246" s="2" t="str">
        <f aca="false">_xlfn.IFS(B1246&lt;30,"Under 30",B1246&lt;40,"30-39",B1246&lt;50,"40-49",B1246&lt;60,"50-59",TRUE(),"60+")</f>
        <v>30-39</v>
      </c>
      <c r="O1246" s="2" t="str">
        <f aca="false">_xlfn.IFS(G1246&lt;0,"1 Negative",G1246=0,"2 Zero",G1246&lt;=500,"3 1-500",G1246&lt;=2000,"4 501-2000",TRUE(),"5 Above 2000")</f>
        <v>4 501-2000</v>
      </c>
      <c r="P1246" s="2" t="n">
        <f aca="false">Lookups!$B$2*M1246+Lookups!$B$3*L1246</f>
        <v>1</v>
      </c>
      <c r="Q1246" s="2" t="str">
        <f aca="false">INDEX(Lookups!$E$2:$E$5,MATCH(P1246,Lookups!$D$2:$D$5,0))</f>
        <v>Medium</v>
      </c>
    </row>
    <row r="1247" customFormat="false" ht="15" hidden="false" customHeight="false" outlineLevel="0" collapsed="false">
      <c r="A1247" s="3" t="n">
        <v>1246</v>
      </c>
      <c r="B1247" s="3" t="n">
        <f aca="false">Raw_Data!A1247</f>
        <v>45</v>
      </c>
      <c r="C1247" s="3" t="str">
        <f aca="false">SUBSTITUTE(Raw_Data!B1247,".","")</f>
        <v>admin</v>
      </c>
      <c r="D1247" s="3" t="str">
        <f aca="false">Raw_Data!C1247</f>
        <v>single</v>
      </c>
      <c r="E1247" s="3" t="str">
        <f aca="false">Raw_Data!D1247</f>
        <v>secondary</v>
      </c>
      <c r="F1247" s="3" t="str">
        <f aca="false">Raw_Data!E1247</f>
        <v>no</v>
      </c>
      <c r="G1247" s="3" t="n">
        <f aca="false">Raw_Data!F1247</f>
        <v>0</v>
      </c>
      <c r="H1247" s="3" t="str">
        <f aca="false">Raw_Data!G1247</f>
        <v>yes</v>
      </c>
      <c r="I1247" s="3" t="str">
        <f aca="false">Raw_Data!H1247</f>
        <v>no</v>
      </c>
      <c r="J1247" s="2" t="n">
        <f aca="false">IF(F1247="yes",1,0)</f>
        <v>0</v>
      </c>
      <c r="K1247" s="2" t="n">
        <f aca="false">IF(H1247="yes",1,0)</f>
        <v>1</v>
      </c>
      <c r="L1247" s="2" t="n">
        <f aca="false">IF(I1247="yes",1,0)</f>
        <v>0</v>
      </c>
      <c r="M1247" s="2" t="n">
        <f aca="false">IF(G1247&lt;0,1,0)</f>
        <v>0</v>
      </c>
      <c r="N1247" s="2" t="str">
        <f aca="false">_xlfn.IFS(B1247&lt;30,"Under 30",B1247&lt;40,"30-39",B1247&lt;50,"40-49",B1247&lt;60,"50-59",TRUE(),"60+")</f>
        <v>40-49</v>
      </c>
      <c r="O1247" s="2" t="str">
        <f aca="false">_xlfn.IFS(G1247&lt;0,"1 Negative",G1247=0,"2 Zero",G1247&lt;=500,"3 1-500",G1247&lt;=2000,"4 501-2000",TRUE(),"5 Above 2000")</f>
        <v>2 Zero</v>
      </c>
      <c r="P1247" s="2" t="n">
        <f aca="false">Lookups!$B$2*M1247+Lookups!$B$3*L1247</f>
        <v>0</v>
      </c>
      <c r="Q1247" s="2" t="str">
        <f aca="false">INDEX(Lookups!$E$2:$E$5,MATCH(P1247,Lookups!$D$2:$D$5,0))</f>
        <v>Low</v>
      </c>
    </row>
    <row r="1248" customFormat="false" ht="15" hidden="false" customHeight="false" outlineLevel="0" collapsed="false">
      <c r="A1248" s="3" t="n">
        <v>1247</v>
      </c>
      <c r="B1248" s="3" t="n">
        <f aca="false">Raw_Data!A1248</f>
        <v>47</v>
      </c>
      <c r="C1248" s="3" t="str">
        <f aca="false">SUBSTITUTE(Raw_Data!B1248,".","")</f>
        <v>management</v>
      </c>
      <c r="D1248" s="3" t="str">
        <f aca="false">Raw_Data!C1248</f>
        <v>married</v>
      </c>
      <c r="E1248" s="3" t="str">
        <f aca="false">Raw_Data!D1248</f>
        <v>tertiary</v>
      </c>
      <c r="F1248" s="3" t="str">
        <f aca="false">Raw_Data!E1248</f>
        <v>no</v>
      </c>
      <c r="G1248" s="3" t="n">
        <f aca="false">Raw_Data!F1248</f>
        <v>109</v>
      </c>
      <c r="H1248" s="3" t="str">
        <f aca="false">Raw_Data!G1248</f>
        <v>yes</v>
      </c>
      <c r="I1248" s="3" t="str">
        <f aca="false">Raw_Data!H1248</f>
        <v>no</v>
      </c>
      <c r="J1248" s="2" t="n">
        <f aca="false">IF(F1248="yes",1,0)</f>
        <v>0</v>
      </c>
      <c r="K1248" s="2" t="n">
        <f aca="false">IF(H1248="yes",1,0)</f>
        <v>1</v>
      </c>
      <c r="L1248" s="2" t="n">
        <f aca="false">IF(I1248="yes",1,0)</f>
        <v>0</v>
      </c>
      <c r="M1248" s="2" t="n">
        <f aca="false">IF(G1248&lt;0,1,0)</f>
        <v>0</v>
      </c>
      <c r="N1248" s="2" t="str">
        <f aca="false">_xlfn.IFS(B1248&lt;30,"Under 30",B1248&lt;40,"30-39",B1248&lt;50,"40-49",B1248&lt;60,"50-59",TRUE(),"60+")</f>
        <v>40-49</v>
      </c>
      <c r="O1248" s="2" t="str">
        <f aca="false">_xlfn.IFS(G1248&lt;0,"1 Negative",G1248=0,"2 Zero",G1248&lt;=500,"3 1-500",G1248&lt;=2000,"4 501-2000",TRUE(),"5 Above 2000")</f>
        <v>3 1-500</v>
      </c>
      <c r="P1248" s="2" t="n">
        <f aca="false">Lookups!$B$2*M1248+Lookups!$B$3*L1248</f>
        <v>0</v>
      </c>
      <c r="Q1248" s="2" t="str">
        <f aca="false">INDEX(Lookups!$E$2:$E$5,MATCH(P1248,Lookups!$D$2:$D$5,0))</f>
        <v>Low</v>
      </c>
    </row>
    <row r="1249" customFormat="false" ht="15" hidden="false" customHeight="false" outlineLevel="0" collapsed="false">
      <c r="A1249" s="3" t="n">
        <v>1248</v>
      </c>
      <c r="B1249" s="3" t="n">
        <f aca="false">Raw_Data!A1249</f>
        <v>52</v>
      </c>
      <c r="C1249" s="3" t="str">
        <f aca="false">SUBSTITUTE(Raw_Data!B1249,".","")</f>
        <v>management</v>
      </c>
      <c r="D1249" s="3" t="str">
        <f aca="false">Raw_Data!C1249</f>
        <v>married</v>
      </c>
      <c r="E1249" s="3" t="str">
        <f aca="false">Raw_Data!D1249</f>
        <v>tertiary</v>
      </c>
      <c r="F1249" s="3" t="str">
        <f aca="false">Raw_Data!E1249</f>
        <v>no</v>
      </c>
      <c r="G1249" s="3" t="n">
        <f aca="false">Raw_Data!F1249</f>
        <v>-11</v>
      </c>
      <c r="H1249" s="3" t="str">
        <f aca="false">Raw_Data!G1249</f>
        <v>yes</v>
      </c>
      <c r="I1249" s="3" t="str">
        <f aca="false">Raw_Data!H1249</f>
        <v>no</v>
      </c>
      <c r="J1249" s="2" t="n">
        <f aca="false">IF(F1249="yes",1,0)</f>
        <v>0</v>
      </c>
      <c r="K1249" s="2" t="n">
        <f aca="false">IF(H1249="yes",1,0)</f>
        <v>1</v>
      </c>
      <c r="L1249" s="2" t="n">
        <f aca="false">IF(I1249="yes",1,0)</f>
        <v>0</v>
      </c>
      <c r="M1249" s="2" t="n">
        <f aca="false">IF(G1249&lt;0,1,0)</f>
        <v>1</v>
      </c>
      <c r="N1249" s="2" t="str">
        <f aca="false">_xlfn.IFS(B1249&lt;30,"Under 30",B1249&lt;40,"30-39",B1249&lt;50,"40-49",B1249&lt;60,"50-59",TRUE(),"60+")</f>
        <v>50-59</v>
      </c>
      <c r="O1249" s="2" t="str">
        <f aca="false">_xlfn.IFS(G1249&lt;0,"1 Negative",G1249=0,"2 Zero",G1249&lt;=500,"3 1-500",G1249&lt;=2000,"4 501-2000",TRUE(),"5 Above 2000")</f>
        <v>1 Negative</v>
      </c>
      <c r="P1249" s="2" t="n">
        <f aca="false">Lookups!$B$2*M1249+Lookups!$B$3*L1249</f>
        <v>2</v>
      </c>
      <c r="Q1249" s="2" t="str">
        <f aca="false">INDEX(Lookups!$E$2:$E$5,MATCH(P1249,Lookups!$D$2:$D$5,0))</f>
        <v>High</v>
      </c>
    </row>
    <row r="1250" customFormat="false" ht="15" hidden="false" customHeight="false" outlineLevel="0" collapsed="false">
      <c r="A1250" s="3" t="n">
        <v>1249</v>
      </c>
      <c r="B1250" s="3" t="n">
        <f aca="false">Raw_Data!A1250</f>
        <v>33</v>
      </c>
      <c r="C1250" s="3" t="str">
        <f aca="false">SUBSTITUTE(Raw_Data!B1250,".","")</f>
        <v>services</v>
      </c>
      <c r="D1250" s="3" t="str">
        <f aca="false">Raw_Data!C1250</f>
        <v>married</v>
      </c>
      <c r="E1250" s="3" t="str">
        <f aca="false">Raw_Data!D1250</f>
        <v>secondary</v>
      </c>
      <c r="F1250" s="3" t="str">
        <f aca="false">Raw_Data!E1250</f>
        <v>no</v>
      </c>
      <c r="G1250" s="3" t="n">
        <f aca="false">Raw_Data!F1250</f>
        <v>90</v>
      </c>
      <c r="H1250" s="3" t="str">
        <f aca="false">Raw_Data!G1250</f>
        <v>yes</v>
      </c>
      <c r="I1250" s="3" t="str">
        <f aca="false">Raw_Data!H1250</f>
        <v>no</v>
      </c>
      <c r="J1250" s="2" t="n">
        <f aca="false">IF(F1250="yes",1,0)</f>
        <v>0</v>
      </c>
      <c r="K1250" s="2" t="n">
        <f aca="false">IF(H1250="yes",1,0)</f>
        <v>1</v>
      </c>
      <c r="L1250" s="2" t="n">
        <f aca="false">IF(I1250="yes",1,0)</f>
        <v>0</v>
      </c>
      <c r="M1250" s="2" t="n">
        <f aca="false">IF(G1250&lt;0,1,0)</f>
        <v>0</v>
      </c>
      <c r="N1250" s="2" t="str">
        <f aca="false">_xlfn.IFS(B1250&lt;30,"Under 30",B1250&lt;40,"30-39",B1250&lt;50,"40-49",B1250&lt;60,"50-59",TRUE(),"60+")</f>
        <v>30-39</v>
      </c>
      <c r="O1250" s="2" t="str">
        <f aca="false">_xlfn.IFS(G1250&lt;0,"1 Negative",G1250=0,"2 Zero",G1250&lt;=500,"3 1-500",G1250&lt;=2000,"4 501-2000",TRUE(),"5 Above 2000")</f>
        <v>3 1-500</v>
      </c>
      <c r="P1250" s="2" t="n">
        <f aca="false">Lookups!$B$2*M1250+Lookups!$B$3*L1250</f>
        <v>0</v>
      </c>
      <c r="Q1250" s="2" t="str">
        <f aca="false">INDEX(Lookups!$E$2:$E$5,MATCH(P1250,Lookups!$D$2:$D$5,0))</f>
        <v>Low</v>
      </c>
    </row>
    <row r="1251" customFormat="false" ht="15" hidden="false" customHeight="false" outlineLevel="0" collapsed="false">
      <c r="A1251" s="3" t="n">
        <v>1250</v>
      </c>
      <c r="B1251" s="3" t="n">
        <f aca="false">Raw_Data!A1251</f>
        <v>60</v>
      </c>
      <c r="C1251" s="3" t="str">
        <f aca="false">SUBSTITUTE(Raw_Data!B1251,".","")</f>
        <v>blue-collar</v>
      </c>
      <c r="D1251" s="3" t="str">
        <f aca="false">Raw_Data!C1251</f>
        <v>married</v>
      </c>
      <c r="E1251" s="3" t="str">
        <f aca="false">Raw_Data!D1251</f>
        <v>primary</v>
      </c>
      <c r="F1251" s="3" t="str">
        <f aca="false">Raw_Data!E1251</f>
        <v>no</v>
      </c>
      <c r="G1251" s="3" t="n">
        <f aca="false">Raw_Data!F1251</f>
        <v>493</v>
      </c>
      <c r="H1251" s="3" t="str">
        <f aca="false">Raw_Data!G1251</f>
        <v>no</v>
      </c>
      <c r="I1251" s="3" t="str">
        <f aca="false">Raw_Data!H1251</f>
        <v>no</v>
      </c>
      <c r="J1251" s="2" t="n">
        <f aca="false">IF(F1251="yes",1,0)</f>
        <v>0</v>
      </c>
      <c r="K1251" s="2" t="n">
        <f aca="false">IF(H1251="yes",1,0)</f>
        <v>0</v>
      </c>
      <c r="L1251" s="2" t="n">
        <f aca="false">IF(I1251="yes",1,0)</f>
        <v>0</v>
      </c>
      <c r="M1251" s="2" t="n">
        <f aca="false">IF(G1251&lt;0,1,0)</f>
        <v>0</v>
      </c>
      <c r="N1251" s="2" t="str">
        <f aca="false">_xlfn.IFS(B1251&lt;30,"Under 30",B1251&lt;40,"30-39",B1251&lt;50,"40-49",B1251&lt;60,"50-59",TRUE(),"60+")</f>
        <v>60+</v>
      </c>
      <c r="O1251" s="2" t="str">
        <f aca="false">_xlfn.IFS(G1251&lt;0,"1 Negative",G1251=0,"2 Zero",G1251&lt;=500,"3 1-500",G1251&lt;=2000,"4 501-2000",TRUE(),"5 Above 2000")</f>
        <v>3 1-500</v>
      </c>
      <c r="P1251" s="2" t="n">
        <f aca="false">Lookups!$B$2*M1251+Lookups!$B$3*L1251</f>
        <v>0</v>
      </c>
      <c r="Q1251" s="2" t="str">
        <f aca="false">INDEX(Lookups!$E$2:$E$5,MATCH(P1251,Lookups!$D$2:$D$5,0))</f>
        <v>Low</v>
      </c>
    </row>
    <row r="1252" customFormat="false" ht="15" hidden="false" customHeight="false" outlineLevel="0" collapsed="false">
      <c r="A1252" s="3" t="n">
        <v>1251</v>
      </c>
      <c r="B1252" s="3" t="n">
        <f aca="false">Raw_Data!A1252</f>
        <v>33</v>
      </c>
      <c r="C1252" s="3" t="str">
        <f aca="false">SUBSTITUTE(Raw_Data!B1252,".","")</f>
        <v>management</v>
      </c>
      <c r="D1252" s="3" t="str">
        <f aca="false">Raw_Data!C1252</f>
        <v>divorced</v>
      </c>
      <c r="E1252" s="3" t="str">
        <f aca="false">Raw_Data!D1252</f>
        <v>secondary</v>
      </c>
      <c r="F1252" s="3" t="str">
        <f aca="false">Raw_Data!E1252</f>
        <v>no</v>
      </c>
      <c r="G1252" s="3" t="n">
        <f aca="false">Raw_Data!F1252</f>
        <v>1897</v>
      </c>
      <c r="H1252" s="3" t="str">
        <f aca="false">Raw_Data!G1252</f>
        <v>yes</v>
      </c>
      <c r="I1252" s="3" t="str">
        <f aca="false">Raw_Data!H1252</f>
        <v>yes</v>
      </c>
      <c r="J1252" s="2" t="n">
        <f aca="false">IF(F1252="yes",1,0)</f>
        <v>0</v>
      </c>
      <c r="K1252" s="2" t="n">
        <f aca="false">IF(H1252="yes",1,0)</f>
        <v>1</v>
      </c>
      <c r="L1252" s="2" t="n">
        <f aca="false">IF(I1252="yes",1,0)</f>
        <v>1</v>
      </c>
      <c r="M1252" s="2" t="n">
        <f aca="false">IF(G1252&lt;0,1,0)</f>
        <v>0</v>
      </c>
      <c r="N1252" s="2" t="str">
        <f aca="false">_xlfn.IFS(B1252&lt;30,"Under 30",B1252&lt;40,"30-39",B1252&lt;50,"40-49",B1252&lt;60,"50-59",TRUE(),"60+")</f>
        <v>30-39</v>
      </c>
      <c r="O1252" s="2" t="str">
        <f aca="false">_xlfn.IFS(G1252&lt;0,"1 Negative",G1252=0,"2 Zero",G1252&lt;=500,"3 1-500",G1252&lt;=2000,"4 501-2000",TRUE(),"5 Above 2000")</f>
        <v>4 501-2000</v>
      </c>
      <c r="P1252" s="2" t="n">
        <f aca="false">Lookups!$B$2*M1252+Lookups!$B$3*L1252</f>
        <v>1</v>
      </c>
      <c r="Q1252" s="2" t="str">
        <f aca="false">INDEX(Lookups!$E$2:$E$5,MATCH(P1252,Lookups!$D$2:$D$5,0))</f>
        <v>Medium</v>
      </c>
    </row>
    <row r="1253" customFormat="false" ht="15" hidden="false" customHeight="false" outlineLevel="0" collapsed="false">
      <c r="A1253" s="3" t="n">
        <v>1252</v>
      </c>
      <c r="B1253" s="3" t="n">
        <f aca="false">Raw_Data!A1253</f>
        <v>44</v>
      </c>
      <c r="C1253" s="3" t="str">
        <f aca="false">SUBSTITUTE(Raw_Data!B1253,".","")</f>
        <v>admin</v>
      </c>
      <c r="D1253" s="3" t="str">
        <f aca="false">Raw_Data!C1253</f>
        <v>married</v>
      </c>
      <c r="E1253" s="3" t="str">
        <f aca="false">Raw_Data!D1253</f>
        <v>secondary</v>
      </c>
      <c r="F1253" s="3" t="str">
        <f aca="false">Raw_Data!E1253</f>
        <v>no</v>
      </c>
      <c r="G1253" s="3" t="n">
        <f aca="false">Raw_Data!F1253</f>
        <v>2403</v>
      </c>
      <c r="H1253" s="3" t="str">
        <f aca="false">Raw_Data!G1253</f>
        <v>yes</v>
      </c>
      <c r="I1253" s="3" t="str">
        <f aca="false">Raw_Data!H1253</f>
        <v>no</v>
      </c>
      <c r="J1253" s="2" t="n">
        <f aca="false">IF(F1253="yes",1,0)</f>
        <v>0</v>
      </c>
      <c r="K1253" s="2" t="n">
        <f aca="false">IF(H1253="yes",1,0)</f>
        <v>1</v>
      </c>
      <c r="L1253" s="2" t="n">
        <f aca="false">IF(I1253="yes",1,0)</f>
        <v>0</v>
      </c>
      <c r="M1253" s="2" t="n">
        <f aca="false">IF(G1253&lt;0,1,0)</f>
        <v>0</v>
      </c>
      <c r="N1253" s="2" t="str">
        <f aca="false">_xlfn.IFS(B1253&lt;30,"Under 30",B1253&lt;40,"30-39",B1253&lt;50,"40-49",B1253&lt;60,"50-59",TRUE(),"60+")</f>
        <v>40-49</v>
      </c>
      <c r="O1253" s="2" t="str">
        <f aca="false">_xlfn.IFS(G1253&lt;0,"1 Negative",G1253=0,"2 Zero",G1253&lt;=500,"3 1-500",G1253&lt;=2000,"4 501-2000",TRUE(),"5 Above 2000")</f>
        <v>5 Above 2000</v>
      </c>
      <c r="P1253" s="2" t="n">
        <f aca="false">Lookups!$B$2*M1253+Lookups!$B$3*L1253</f>
        <v>0</v>
      </c>
      <c r="Q1253" s="2" t="str">
        <f aca="false">INDEX(Lookups!$E$2:$E$5,MATCH(P1253,Lookups!$D$2:$D$5,0))</f>
        <v>Low</v>
      </c>
    </row>
    <row r="1254" customFormat="false" ht="15" hidden="false" customHeight="false" outlineLevel="0" collapsed="false">
      <c r="A1254" s="3" t="n">
        <v>1253</v>
      </c>
      <c r="B1254" s="3" t="n">
        <f aca="false">Raw_Data!A1254</f>
        <v>38</v>
      </c>
      <c r="C1254" s="3" t="str">
        <f aca="false">SUBSTITUTE(Raw_Data!B1254,".","")</f>
        <v>entrepreneur</v>
      </c>
      <c r="D1254" s="3" t="str">
        <f aca="false">Raw_Data!C1254</f>
        <v>married</v>
      </c>
      <c r="E1254" s="3" t="str">
        <f aca="false">Raw_Data!D1254</f>
        <v>secondary</v>
      </c>
      <c r="F1254" s="3" t="str">
        <f aca="false">Raw_Data!E1254</f>
        <v>no</v>
      </c>
      <c r="G1254" s="3" t="n">
        <f aca="false">Raw_Data!F1254</f>
        <v>868</v>
      </c>
      <c r="H1254" s="3" t="str">
        <f aca="false">Raw_Data!G1254</f>
        <v>no</v>
      </c>
      <c r="I1254" s="3" t="str">
        <f aca="false">Raw_Data!H1254</f>
        <v>no</v>
      </c>
      <c r="J1254" s="2" t="n">
        <f aca="false">IF(F1254="yes",1,0)</f>
        <v>0</v>
      </c>
      <c r="K1254" s="2" t="n">
        <f aca="false">IF(H1254="yes",1,0)</f>
        <v>0</v>
      </c>
      <c r="L1254" s="2" t="n">
        <f aca="false">IF(I1254="yes",1,0)</f>
        <v>0</v>
      </c>
      <c r="M1254" s="2" t="n">
        <f aca="false">IF(G1254&lt;0,1,0)</f>
        <v>0</v>
      </c>
      <c r="N1254" s="2" t="str">
        <f aca="false">_xlfn.IFS(B1254&lt;30,"Under 30",B1254&lt;40,"30-39",B1254&lt;50,"40-49",B1254&lt;60,"50-59",TRUE(),"60+")</f>
        <v>30-39</v>
      </c>
      <c r="O1254" s="2" t="str">
        <f aca="false">_xlfn.IFS(G1254&lt;0,"1 Negative",G1254=0,"2 Zero",G1254&lt;=500,"3 1-500",G1254&lt;=2000,"4 501-2000",TRUE(),"5 Above 2000")</f>
        <v>4 501-2000</v>
      </c>
      <c r="P1254" s="2" t="n">
        <f aca="false">Lookups!$B$2*M1254+Lookups!$B$3*L1254</f>
        <v>0</v>
      </c>
      <c r="Q1254" s="2" t="str">
        <f aca="false">INDEX(Lookups!$E$2:$E$5,MATCH(P1254,Lookups!$D$2:$D$5,0))</f>
        <v>Low</v>
      </c>
    </row>
    <row r="1255" customFormat="false" ht="15" hidden="false" customHeight="false" outlineLevel="0" collapsed="false">
      <c r="A1255" s="3" t="n">
        <v>1254</v>
      </c>
      <c r="B1255" s="3" t="n">
        <f aca="false">Raw_Data!A1255</f>
        <v>54</v>
      </c>
      <c r="C1255" s="3" t="str">
        <f aca="false">SUBSTITUTE(Raw_Data!B1255,".","")</f>
        <v>entrepreneur</v>
      </c>
      <c r="D1255" s="3" t="str">
        <f aca="false">Raw_Data!C1255</f>
        <v>married</v>
      </c>
      <c r="E1255" s="3" t="str">
        <f aca="false">Raw_Data!D1255</f>
        <v>secondary</v>
      </c>
      <c r="F1255" s="3" t="str">
        <f aca="false">Raw_Data!E1255</f>
        <v>no</v>
      </c>
      <c r="G1255" s="3" t="n">
        <f aca="false">Raw_Data!F1255</f>
        <v>653</v>
      </c>
      <c r="H1255" s="3" t="str">
        <f aca="false">Raw_Data!G1255</f>
        <v>yes</v>
      </c>
      <c r="I1255" s="3" t="str">
        <f aca="false">Raw_Data!H1255</f>
        <v>no</v>
      </c>
      <c r="J1255" s="2" t="n">
        <f aca="false">IF(F1255="yes",1,0)</f>
        <v>0</v>
      </c>
      <c r="K1255" s="2" t="n">
        <f aca="false">IF(H1255="yes",1,0)</f>
        <v>1</v>
      </c>
      <c r="L1255" s="2" t="n">
        <f aca="false">IF(I1255="yes",1,0)</f>
        <v>0</v>
      </c>
      <c r="M1255" s="2" t="n">
        <f aca="false">IF(G1255&lt;0,1,0)</f>
        <v>0</v>
      </c>
      <c r="N1255" s="2" t="str">
        <f aca="false">_xlfn.IFS(B1255&lt;30,"Under 30",B1255&lt;40,"30-39",B1255&lt;50,"40-49",B1255&lt;60,"50-59",TRUE(),"60+")</f>
        <v>50-59</v>
      </c>
      <c r="O1255" s="2" t="str">
        <f aca="false">_xlfn.IFS(G1255&lt;0,"1 Negative",G1255=0,"2 Zero",G1255&lt;=500,"3 1-500",G1255&lt;=2000,"4 501-2000",TRUE(),"5 Above 2000")</f>
        <v>4 501-2000</v>
      </c>
      <c r="P1255" s="2" t="n">
        <f aca="false">Lookups!$B$2*M1255+Lookups!$B$3*L1255</f>
        <v>0</v>
      </c>
      <c r="Q1255" s="2" t="str">
        <f aca="false">INDEX(Lookups!$E$2:$E$5,MATCH(P1255,Lookups!$D$2:$D$5,0))</f>
        <v>Low</v>
      </c>
    </row>
    <row r="1256" customFormat="false" ht="15" hidden="false" customHeight="false" outlineLevel="0" collapsed="false">
      <c r="A1256" s="3" t="n">
        <v>1255</v>
      </c>
      <c r="B1256" s="3" t="n">
        <f aca="false">Raw_Data!A1256</f>
        <v>32</v>
      </c>
      <c r="C1256" s="3" t="str">
        <f aca="false">SUBSTITUTE(Raw_Data!B1256,".","")</f>
        <v>unemployed</v>
      </c>
      <c r="D1256" s="3" t="str">
        <f aca="false">Raw_Data!C1256</f>
        <v>divorced</v>
      </c>
      <c r="E1256" s="3" t="str">
        <f aca="false">Raw_Data!D1256</f>
        <v>primary</v>
      </c>
      <c r="F1256" s="3" t="str">
        <f aca="false">Raw_Data!E1256</f>
        <v>no</v>
      </c>
      <c r="G1256" s="3" t="n">
        <f aca="false">Raw_Data!F1256</f>
        <v>0</v>
      </c>
      <c r="H1256" s="3" t="str">
        <f aca="false">Raw_Data!G1256</f>
        <v>no</v>
      </c>
      <c r="I1256" s="3" t="str">
        <f aca="false">Raw_Data!H1256</f>
        <v>no</v>
      </c>
      <c r="J1256" s="2" t="n">
        <f aca="false">IF(F1256="yes",1,0)</f>
        <v>0</v>
      </c>
      <c r="K1256" s="2" t="n">
        <f aca="false">IF(H1256="yes",1,0)</f>
        <v>0</v>
      </c>
      <c r="L1256" s="2" t="n">
        <f aca="false">IF(I1256="yes",1,0)</f>
        <v>0</v>
      </c>
      <c r="M1256" s="2" t="n">
        <f aca="false">IF(G1256&lt;0,1,0)</f>
        <v>0</v>
      </c>
      <c r="N1256" s="2" t="str">
        <f aca="false">_xlfn.IFS(B1256&lt;30,"Under 30",B1256&lt;40,"30-39",B1256&lt;50,"40-49",B1256&lt;60,"50-59",TRUE(),"60+")</f>
        <v>30-39</v>
      </c>
      <c r="O1256" s="2" t="str">
        <f aca="false">_xlfn.IFS(G1256&lt;0,"1 Negative",G1256=0,"2 Zero",G1256&lt;=500,"3 1-500",G1256&lt;=2000,"4 501-2000",TRUE(),"5 Above 2000")</f>
        <v>2 Zero</v>
      </c>
      <c r="P1256" s="2" t="n">
        <f aca="false">Lookups!$B$2*M1256+Lookups!$B$3*L1256</f>
        <v>0</v>
      </c>
      <c r="Q1256" s="2" t="str">
        <f aca="false">INDEX(Lookups!$E$2:$E$5,MATCH(P1256,Lookups!$D$2:$D$5,0))</f>
        <v>Low</v>
      </c>
    </row>
    <row r="1257" customFormat="false" ht="15" hidden="false" customHeight="false" outlineLevel="0" collapsed="false">
      <c r="A1257" s="3" t="n">
        <v>1256</v>
      </c>
      <c r="B1257" s="3" t="n">
        <f aca="false">Raw_Data!A1257</f>
        <v>33</v>
      </c>
      <c r="C1257" s="3" t="str">
        <f aca="false">SUBSTITUTE(Raw_Data!B1257,".","")</f>
        <v>technician</v>
      </c>
      <c r="D1257" s="3" t="str">
        <f aca="false">Raw_Data!C1257</f>
        <v>married</v>
      </c>
      <c r="E1257" s="3" t="str">
        <f aca="false">Raw_Data!D1257</f>
        <v>secondary</v>
      </c>
      <c r="F1257" s="3" t="str">
        <f aca="false">Raw_Data!E1257</f>
        <v>no</v>
      </c>
      <c r="G1257" s="3" t="n">
        <f aca="false">Raw_Data!F1257</f>
        <v>0</v>
      </c>
      <c r="H1257" s="3" t="str">
        <f aca="false">Raw_Data!G1257</f>
        <v>yes</v>
      </c>
      <c r="I1257" s="3" t="str">
        <f aca="false">Raw_Data!H1257</f>
        <v>yes</v>
      </c>
      <c r="J1257" s="2" t="n">
        <f aca="false">IF(F1257="yes",1,0)</f>
        <v>0</v>
      </c>
      <c r="K1257" s="2" t="n">
        <f aca="false">IF(H1257="yes",1,0)</f>
        <v>1</v>
      </c>
      <c r="L1257" s="2" t="n">
        <f aca="false">IF(I1257="yes",1,0)</f>
        <v>1</v>
      </c>
      <c r="M1257" s="2" t="n">
        <f aca="false">IF(G1257&lt;0,1,0)</f>
        <v>0</v>
      </c>
      <c r="N1257" s="2" t="str">
        <f aca="false">_xlfn.IFS(B1257&lt;30,"Under 30",B1257&lt;40,"30-39",B1257&lt;50,"40-49",B1257&lt;60,"50-59",TRUE(),"60+")</f>
        <v>30-39</v>
      </c>
      <c r="O1257" s="2" t="str">
        <f aca="false">_xlfn.IFS(G1257&lt;0,"1 Negative",G1257=0,"2 Zero",G1257&lt;=500,"3 1-500",G1257&lt;=2000,"4 501-2000",TRUE(),"5 Above 2000")</f>
        <v>2 Zero</v>
      </c>
      <c r="P1257" s="2" t="n">
        <f aca="false">Lookups!$B$2*M1257+Lookups!$B$3*L1257</f>
        <v>1</v>
      </c>
      <c r="Q1257" s="2" t="str">
        <f aca="false">INDEX(Lookups!$E$2:$E$5,MATCH(P1257,Lookups!$D$2:$D$5,0))</f>
        <v>Medium</v>
      </c>
    </row>
    <row r="1258" customFormat="false" ht="15" hidden="false" customHeight="false" outlineLevel="0" collapsed="false">
      <c r="A1258" s="3" t="n">
        <v>1257</v>
      </c>
      <c r="B1258" s="3" t="n">
        <f aca="false">Raw_Data!A1258</f>
        <v>55</v>
      </c>
      <c r="C1258" s="3" t="str">
        <f aca="false">SUBSTITUTE(Raw_Data!B1258,".","")</f>
        <v>services</v>
      </c>
      <c r="D1258" s="3" t="str">
        <f aca="false">Raw_Data!C1258</f>
        <v>divorced</v>
      </c>
      <c r="E1258" s="3" t="str">
        <f aca="false">Raw_Data!D1258</f>
        <v>secondary</v>
      </c>
      <c r="F1258" s="3" t="str">
        <f aca="false">Raw_Data!E1258</f>
        <v>no</v>
      </c>
      <c r="G1258" s="3" t="n">
        <f aca="false">Raw_Data!F1258</f>
        <v>218</v>
      </c>
      <c r="H1258" s="3" t="str">
        <f aca="false">Raw_Data!G1258</f>
        <v>yes</v>
      </c>
      <c r="I1258" s="3" t="str">
        <f aca="false">Raw_Data!H1258</f>
        <v>no</v>
      </c>
      <c r="J1258" s="2" t="n">
        <f aca="false">IF(F1258="yes",1,0)</f>
        <v>0</v>
      </c>
      <c r="K1258" s="2" t="n">
        <f aca="false">IF(H1258="yes",1,0)</f>
        <v>1</v>
      </c>
      <c r="L1258" s="2" t="n">
        <f aca="false">IF(I1258="yes",1,0)</f>
        <v>0</v>
      </c>
      <c r="M1258" s="2" t="n">
        <f aca="false">IF(G1258&lt;0,1,0)</f>
        <v>0</v>
      </c>
      <c r="N1258" s="2" t="str">
        <f aca="false">_xlfn.IFS(B1258&lt;30,"Under 30",B1258&lt;40,"30-39",B1258&lt;50,"40-49",B1258&lt;60,"50-59",TRUE(),"60+")</f>
        <v>50-59</v>
      </c>
      <c r="O1258" s="2" t="str">
        <f aca="false">_xlfn.IFS(G1258&lt;0,"1 Negative",G1258=0,"2 Zero",G1258&lt;=500,"3 1-500",G1258&lt;=2000,"4 501-2000",TRUE(),"5 Above 2000")</f>
        <v>3 1-500</v>
      </c>
      <c r="P1258" s="2" t="n">
        <f aca="false">Lookups!$B$2*M1258+Lookups!$B$3*L1258</f>
        <v>0</v>
      </c>
      <c r="Q1258" s="2" t="str">
        <f aca="false">INDEX(Lookups!$E$2:$E$5,MATCH(P1258,Lookups!$D$2:$D$5,0))</f>
        <v>Low</v>
      </c>
    </row>
    <row r="1259" customFormat="false" ht="15" hidden="false" customHeight="false" outlineLevel="0" collapsed="false">
      <c r="A1259" s="3" t="n">
        <v>1258</v>
      </c>
      <c r="B1259" s="3" t="n">
        <f aca="false">Raw_Data!A1259</f>
        <v>51</v>
      </c>
      <c r="C1259" s="3" t="str">
        <f aca="false">SUBSTITUTE(Raw_Data!B1259,".","")</f>
        <v>blue-collar</v>
      </c>
      <c r="D1259" s="3" t="str">
        <f aca="false">Raw_Data!C1259</f>
        <v>married</v>
      </c>
      <c r="E1259" s="3" t="str">
        <f aca="false">Raw_Data!D1259</f>
        <v>primary</v>
      </c>
      <c r="F1259" s="3" t="str">
        <f aca="false">Raw_Data!E1259</f>
        <v>no</v>
      </c>
      <c r="G1259" s="3" t="n">
        <f aca="false">Raw_Data!F1259</f>
        <v>5050</v>
      </c>
      <c r="H1259" s="3" t="str">
        <f aca="false">Raw_Data!G1259</f>
        <v>no</v>
      </c>
      <c r="I1259" s="3" t="str">
        <f aca="false">Raw_Data!H1259</f>
        <v>yes</v>
      </c>
      <c r="J1259" s="2" t="n">
        <f aca="false">IF(F1259="yes",1,0)</f>
        <v>0</v>
      </c>
      <c r="K1259" s="2" t="n">
        <f aca="false">IF(H1259="yes",1,0)</f>
        <v>0</v>
      </c>
      <c r="L1259" s="2" t="n">
        <f aca="false">IF(I1259="yes",1,0)</f>
        <v>1</v>
      </c>
      <c r="M1259" s="2" t="n">
        <f aca="false">IF(G1259&lt;0,1,0)</f>
        <v>0</v>
      </c>
      <c r="N1259" s="2" t="str">
        <f aca="false">_xlfn.IFS(B1259&lt;30,"Under 30",B1259&lt;40,"30-39",B1259&lt;50,"40-49",B1259&lt;60,"50-59",TRUE(),"60+")</f>
        <v>50-59</v>
      </c>
      <c r="O1259" s="2" t="str">
        <f aca="false">_xlfn.IFS(G1259&lt;0,"1 Negative",G1259=0,"2 Zero",G1259&lt;=500,"3 1-500",G1259&lt;=2000,"4 501-2000",TRUE(),"5 Above 2000")</f>
        <v>5 Above 2000</v>
      </c>
      <c r="P1259" s="2" t="n">
        <f aca="false">Lookups!$B$2*M1259+Lookups!$B$3*L1259</f>
        <v>1</v>
      </c>
      <c r="Q1259" s="2" t="str">
        <f aca="false">INDEX(Lookups!$E$2:$E$5,MATCH(P1259,Lookups!$D$2:$D$5,0))</f>
        <v>Medium</v>
      </c>
    </row>
    <row r="1260" customFormat="false" ht="15" hidden="false" customHeight="false" outlineLevel="0" collapsed="false">
      <c r="A1260" s="3" t="n">
        <v>1259</v>
      </c>
      <c r="B1260" s="3" t="n">
        <f aca="false">Raw_Data!A1260</f>
        <v>48</v>
      </c>
      <c r="C1260" s="3" t="str">
        <f aca="false">SUBSTITUTE(Raw_Data!B1260,".","")</f>
        <v>blue-collar</v>
      </c>
      <c r="D1260" s="3" t="str">
        <f aca="false">Raw_Data!C1260</f>
        <v>married</v>
      </c>
      <c r="E1260" s="3" t="str">
        <f aca="false">Raw_Data!D1260</f>
        <v>secondary</v>
      </c>
      <c r="F1260" s="3" t="str">
        <f aca="false">Raw_Data!E1260</f>
        <v>no</v>
      </c>
      <c r="G1260" s="3" t="n">
        <f aca="false">Raw_Data!F1260</f>
        <v>741</v>
      </c>
      <c r="H1260" s="3" t="str">
        <f aca="false">Raw_Data!G1260</f>
        <v>yes</v>
      </c>
      <c r="I1260" s="3" t="str">
        <f aca="false">Raw_Data!H1260</f>
        <v>no</v>
      </c>
      <c r="J1260" s="2" t="n">
        <f aca="false">IF(F1260="yes",1,0)</f>
        <v>0</v>
      </c>
      <c r="K1260" s="2" t="n">
        <f aca="false">IF(H1260="yes",1,0)</f>
        <v>1</v>
      </c>
      <c r="L1260" s="2" t="n">
        <f aca="false">IF(I1260="yes",1,0)</f>
        <v>0</v>
      </c>
      <c r="M1260" s="2" t="n">
        <f aca="false">IF(G1260&lt;0,1,0)</f>
        <v>0</v>
      </c>
      <c r="N1260" s="2" t="str">
        <f aca="false">_xlfn.IFS(B1260&lt;30,"Under 30",B1260&lt;40,"30-39",B1260&lt;50,"40-49",B1260&lt;60,"50-59",TRUE(),"60+")</f>
        <v>40-49</v>
      </c>
      <c r="O1260" s="2" t="str">
        <f aca="false">_xlfn.IFS(G1260&lt;0,"1 Negative",G1260=0,"2 Zero",G1260&lt;=500,"3 1-500",G1260&lt;=2000,"4 501-2000",TRUE(),"5 Above 2000")</f>
        <v>4 501-2000</v>
      </c>
      <c r="P1260" s="2" t="n">
        <f aca="false">Lookups!$B$2*M1260+Lookups!$B$3*L1260</f>
        <v>0</v>
      </c>
      <c r="Q1260" s="2" t="str">
        <f aca="false">INDEX(Lookups!$E$2:$E$5,MATCH(P1260,Lookups!$D$2:$D$5,0))</f>
        <v>Low</v>
      </c>
    </row>
    <row r="1261" customFormat="false" ht="15" hidden="false" customHeight="false" outlineLevel="0" collapsed="false">
      <c r="A1261" s="3" t="n">
        <v>1260</v>
      </c>
      <c r="B1261" s="3" t="n">
        <f aca="false">Raw_Data!A1261</f>
        <v>37</v>
      </c>
      <c r="C1261" s="3" t="str">
        <f aca="false">SUBSTITUTE(Raw_Data!B1261,".","")</f>
        <v>services</v>
      </c>
      <c r="D1261" s="3" t="str">
        <f aca="false">Raw_Data!C1261</f>
        <v>single</v>
      </c>
      <c r="E1261" s="3" t="str">
        <f aca="false">Raw_Data!D1261</f>
        <v>secondary</v>
      </c>
      <c r="F1261" s="3" t="str">
        <f aca="false">Raw_Data!E1261</f>
        <v>no</v>
      </c>
      <c r="G1261" s="3" t="n">
        <f aca="false">Raw_Data!F1261</f>
        <v>1050</v>
      </c>
      <c r="H1261" s="3" t="str">
        <f aca="false">Raw_Data!G1261</f>
        <v>yes</v>
      </c>
      <c r="I1261" s="3" t="str">
        <f aca="false">Raw_Data!H1261</f>
        <v>no</v>
      </c>
      <c r="J1261" s="2" t="n">
        <f aca="false">IF(F1261="yes",1,0)</f>
        <v>0</v>
      </c>
      <c r="K1261" s="2" t="n">
        <f aca="false">IF(H1261="yes",1,0)</f>
        <v>1</v>
      </c>
      <c r="L1261" s="2" t="n">
        <f aca="false">IF(I1261="yes",1,0)</f>
        <v>0</v>
      </c>
      <c r="M1261" s="2" t="n">
        <f aca="false">IF(G1261&lt;0,1,0)</f>
        <v>0</v>
      </c>
      <c r="N1261" s="2" t="str">
        <f aca="false">_xlfn.IFS(B1261&lt;30,"Under 30",B1261&lt;40,"30-39",B1261&lt;50,"40-49",B1261&lt;60,"50-59",TRUE(),"60+")</f>
        <v>30-39</v>
      </c>
      <c r="O1261" s="2" t="str">
        <f aca="false">_xlfn.IFS(G1261&lt;0,"1 Negative",G1261=0,"2 Zero",G1261&lt;=500,"3 1-500",G1261&lt;=2000,"4 501-2000",TRUE(),"5 Above 2000")</f>
        <v>4 501-2000</v>
      </c>
      <c r="P1261" s="2" t="n">
        <f aca="false">Lookups!$B$2*M1261+Lookups!$B$3*L1261</f>
        <v>0</v>
      </c>
      <c r="Q1261" s="2" t="str">
        <f aca="false">INDEX(Lookups!$E$2:$E$5,MATCH(P1261,Lookups!$D$2:$D$5,0))</f>
        <v>Low</v>
      </c>
    </row>
    <row r="1262" customFormat="false" ht="15" hidden="false" customHeight="false" outlineLevel="0" collapsed="false">
      <c r="A1262" s="3" t="n">
        <v>1261</v>
      </c>
      <c r="B1262" s="3" t="n">
        <f aca="false">Raw_Data!A1262</f>
        <v>33</v>
      </c>
      <c r="C1262" s="3" t="str">
        <f aca="false">SUBSTITUTE(Raw_Data!B1262,".","")</f>
        <v>services</v>
      </c>
      <c r="D1262" s="3" t="str">
        <f aca="false">Raw_Data!C1262</f>
        <v>single</v>
      </c>
      <c r="E1262" s="3" t="str">
        <f aca="false">Raw_Data!D1262</f>
        <v>secondary</v>
      </c>
      <c r="F1262" s="3" t="str">
        <f aca="false">Raw_Data!E1262</f>
        <v>no</v>
      </c>
      <c r="G1262" s="3" t="n">
        <f aca="false">Raw_Data!F1262</f>
        <v>-56</v>
      </c>
      <c r="H1262" s="3" t="str">
        <f aca="false">Raw_Data!G1262</f>
        <v>no</v>
      </c>
      <c r="I1262" s="3" t="str">
        <f aca="false">Raw_Data!H1262</f>
        <v>yes</v>
      </c>
      <c r="J1262" s="2" t="n">
        <f aca="false">IF(F1262="yes",1,0)</f>
        <v>0</v>
      </c>
      <c r="K1262" s="2" t="n">
        <f aca="false">IF(H1262="yes",1,0)</f>
        <v>0</v>
      </c>
      <c r="L1262" s="2" t="n">
        <f aca="false">IF(I1262="yes",1,0)</f>
        <v>1</v>
      </c>
      <c r="M1262" s="2" t="n">
        <f aca="false">IF(G1262&lt;0,1,0)</f>
        <v>1</v>
      </c>
      <c r="N1262" s="2" t="str">
        <f aca="false">_xlfn.IFS(B1262&lt;30,"Under 30",B1262&lt;40,"30-39",B1262&lt;50,"40-49",B1262&lt;60,"50-59",TRUE(),"60+")</f>
        <v>30-39</v>
      </c>
      <c r="O1262" s="2" t="str">
        <f aca="false">_xlfn.IFS(G1262&lt;0,"1 Negative",G1262=0,"2 Zero",G1262&lt;=500,"3 1-500",G1262&lt;=2000,"4 501-2000",TRUE(),"5 Above 2000")</f>
        <v>1 Negative</v>
      </c>
      <c r="P1262" s="2" t="n">
        <f aca="false">Lookups!$B$2*M1262+Lookups!$B$3*L1262</f>
        <v>3</v>
      </c>
      <c r="Q1262" s="2" t="str">
        <f aca="false">INDEX(Lookups!$E$2:$E$5,MATCH(P1262,Lookups!$D$2:$D$5,0))</f>
        <v>High</v>
      </c>
    </row>
    <row r="1263" customFormat="false" ht="15" hidden="false" customHeight="false" outlineLevel="0" collapsed="false">
      <c r="A1263" s="3" t="n">
        <v>1262</v>
      </c>
      <c r="B1263" s="3" t="n">
        <f aca="false">Raw_Data!A1263</f>
        <v>30</v>
      </c>
      <c r="C1263" s="3" t="str">
        <f aca="false">SUBSTITUTE(Raw_Data!B1263,".","")</f>
        <v>blue-collar</v>
      </c>
      <c r="D1263" s="3" t="str">
        <f aca="false">Raw_Data!C1263</f>
        <v>married</v>
      </c>
      <c r="E1263" s="3" t="str">
        <f aca="false">Raw_Data!D1263</f>
        <v>primary</v>
      </c>
      <c r="F1263" s="3" t="str">
        <f aca="false">Raw_Data!E1263</f>
        <v>no</v>
      </c>
      <c r="G1263" s="3" t="n">
        <f aca="false">Raw_Data!F1263</f>
        <v>1</v>
      </c>
      <c r="H1263" s="3" t="str">
        <f aca="false">Raw_Data!G1263</f>
        <v>yes</v>
      </c>
      <c r="I1263" s="3" t="str">
        <f aca="false">Raw_Data!H1263</f>
        <v>yes</v>
      </c>
      <c r="J1263" s="2" t="n">
        <f aca="false">IF(F1263="yes",1,0)</f>
        <v>0</v>
      </c>
      <c r="K1263" s="2" t="n">
        <f aca="false">IF(H1263="yes",1,0)</f>
        <v>1</v>
      </c>
      <c r="L1263" s="2" t="n">
        <f aca="false">IF(I1263="yes",1,0)</f>
        <v>1</v>
      </c>
      <c r="M1263" s="2" t="n">
        <f aca="false">IF(G1263&lt;0,1,0)</f>
        <v>0</v>
      </c>
      <c r="N1263" s="2" t="str">
        <f aca="false">_xlfn.IFS(B1263&lt;30,"Under 30",B1263&lt;40,"30-39",B1263&lt;50,"40-49",B1263&lt;60,"50-59",TRUE(),"60+")</f>
        <v>30-39</v>
      </c>
      <c r="O1263" s="2" t="str">
        <f aca="false">_xlfn.IFS(G1263&lt;0,"1 Negative",G1263=0,"2 Zero",G1263&lt;=500,"3 1-500",G1263&lt;=2000,"4 501-2000",TRUE(),"5 Above 2000")</f>
        <v>3 1-500</v>
      </c>
      <c r="P1263" s="2" t="n">
        <f aca="false">Lookups!$B$2*M1263+Lookups!$B$3*L1263</f>
        <v>1</v>
      </c>
      <c r="Q1263" s="2" t="str">
        <f aca="false">INDEX(Lookups!$E$2:$E$5,MATCH(P1263,Lookups!$D$2:$D$5,0))</f>
        <v>Medium</v>
      </c>
    </row>
    <row r="1264" customFormat="false" ht="15" hidden="false" customHeight="false" outlineLevel="0" collapsed="false">
      <c r="A1264" s="3" t="n">
        <v>1263</v>
      </c>
      <c r="B1264" s="3" t="n">
        <f aca="false">Raw_Data!A1264</f>
        <v>43</v>
      </c>
      <c r="C1264" s="3" t="str">
        <f aca="false">SUBSTITUTE(Raw_Data!B1264,".","")</f>
        <v>blue-collar</v>
      </c>
      <c r="D1264" s="3" t="str">
        <f aca="false">Raw_Data!C1264</f>
        <v>married</v>
      </c>
      <c r="E1264" s="3" t="str">
        <f aca="false">Raw_Data!D1264</f>
        <v>primary</v>
      </c>
      <c r="F1264" s="3" t="str">
        <f aca="false">Raw_Data!E1264</f>
        <v>no</v>
      </c>
      <c r="G1264" s="3" t="n">
        <f aca="false">Raw_Data!F1264</f>
        <v>-98</v>
      </c>
      <c r="H1264" s="3" t="str">
        <f aca="false">Raw_Data!G1264</f>
        <v>yes</v>
      </c>
      <c r="I1264" s="3" t="str">
        <f aca="false">Raw_Data!H1264</f>
        <v>yes</v>
      </c>
      <c r="J1264" s="2" t="n">
        <f aca="false">IF(F1264="yes",1,0)</f>
        <v>0</v>
      </c>
      <c r="K1264" s="2" t="n">
        <f aca="false">IF(H1264="yes",1,0)</f>
        <v>1</v>
      </c>
      <c r="L1264" s="2" t="n">
        <f aca="false">IF(I1264="yes",1,0)</f>
        <v>1</v>
      </c>
      <c r="M1264" s="2" t="n">
        <f aca="false">IF(G1264&lt;0,1,0)</f>
        <v>1</v>
      </c>
      <c r="N1264" s="2" t="str">
        <f aca="false">_xlfn.IFS(B1264&lt;30,"Under 30",B1264&lt;40,"30-39",B1264&lt;50,"40-49",B1264&lt;60,"50-59",TRUE(),"60+")</f>
        <v>40-49</v>
      </c>
      <c r="O1264" s="2" t="str">
        <f aca="false">_xlfn.IFS(G1264&lt;0,"1 Negative",G1264=0,"2 Zero",G1264&lt;=500,"3 1-500",G1264&lt;=2000,"4 501-2000",TRUE(),"5 Above 2000")</f>
        <v>1 Negative</v>
      </c>
      <c r="P1264" s="2" t="n">
        <f aca="false">Lookups!$B$2*M1264+Lookups!$B$3*L1264</f>
        <v>3</v>
      </c>
      <c r="Q1264" s="2" t="str">
        <f aca="false">INDEX(Lookups!$E$2:$E$5,MATCH(P1264,Lookups!$D$2:$D$5,0))</f>
        <v>High</v>
      </c>
    </row>
    <row r="1265" customFormat="false" ht="15" hidden="false" customHeight="false" outlineLevel="0" collapsed="false">
      <c r="A1265" s="3" t="n">
        <v>1264</v>
      </c>
      <c r="B1265" s="3" t="n">
        <f aca="false">Raw_Data!A1265</f>
        <v>49</v>
      </c>
      <c r="C1265" s="3" t="str">
        <f aca="false">SUBSTITUTE(Raw_Data!B1265,".","")</f>
        <v>technician</v>
      </c>
      <c r="D1265" s="3" t="str">
        <f aca="false">Raw_Data!C1265</f>
        <v>married</v>
      </c>
      <c r="E1265" s="3" t="str">
        <f aca="false">Raw_Data!D1265</f>
        <v>secondary</v>
      </c>
      <c r="F1265" s="3" t="str">
        <f aca="false">Raw_Data!E1265</f>
        <v>no</v>
      </c>
      <c r="G1265" s="3" t="n">
        <f aca="false">Raw_Data!F1265</f>
        <v>4667</v>
      </c>
      <c r="H1265" s="3" t="str">
        <f aca="false">Raw_Data!G1265</f>
        <v>yes</v>
      </c>
      <c r="I1265" s="3" t="str">
        <f aca="false">Raw_Data!H1265</f>
        <v>no</v>
      </c>
      <c r="J1265" s="2" t="n">
        <f aca="false">IF(F1265="yes",1,0)</f>
        <v>0</v>
      </c>
      <c r="K1265" s="2" t="n">
        <f aca="false">IF(H1265="yes",1,0)</f>
        <v>1</v>
      </c>
      <c r="L1265" s="2" t="n">
        <f aca="false">IF(I1265="yes",1,0)</f>
        <v>0</v>
      </c>
      <c r="M1265" s="2" t="n">
        <f aca="false">IF(G1265&lt;0,1,0)</f>
        <v>0</v>
      </c>
      <c r="N1265" s="2" t="str">
        <f aca="false">_xlfn.IFS(B1265&lt;30,"Under 30",B1265&lt;40,"30-39",B1265&lt;50,"40-49",B1265&lt;60,"50-59",TRUE(),"60+")</f>
        <v>40-49</v>
      </c>
      <c r="O1265" s="2" t="str">
        <f aca="false">_xlfn.IFS(G1265&lt;0,"1 Negative",G1265=0,"2 Zero",G1265&lt;=500,"3 1-500",G1265&lt;=2000,"4 501-2000",TRUE(),"5 Above 2000")</f>
        <v>5 Above 2000</v>
      </c>
      <c r="P1265" s="2" t="n">
        <f aca="false">Lookups!$B$2*M1265+Lookups!$B$3*L1265</f>
        <v>0</v>
      </c>
      <c r="Q1265" s="2" t="str">
        <f aca="false">INDEX(Lookups!$E$2:$E$5,MATCH(P1265,Lookups!$D$2:$D$5,0))</f>
        <v>Low</v>
      </c>
    </row>
    <row r="1266" customFormat="false" ht="15" hidden="false" customHeight="false" outlineLevel="0" collapsed="false">
      <c r="A1266" s="3" t="n">
        <v>1265</v>
      </c>
      <c r="B1266" s="3" t="n">
        <f aca="false">Raw_Data!A1266</f>
        <v>54</v>
      </c>
      <c r="C1266" s="3" t="str">
        <f aca="false">SUBSTITUTE(Raw_Data!B1266,".","")</f>
        <v>unemployed</v>
      </c>
      <c r="D1266" s="3" t="str">
        <f aca="false">Raw_Data!C1266</f>
        <v>married</v>
      </c>
      <c r="E1266" s="3" t="str">
        <f aca="false">Raw_Data!D1266</f>
        <v>primary</v>
      </c>
      <c r="F1266" s="3" t="str">
        <f aca="false">Raw_Data!E1266</f>
        <v>no</v>
      </c>
      <c r="G1266" s="3" t="n">
        <f aca="false">Raw_Data!F1266</f>
        <v>541</v>
      </c>
      <c r="H1266" s="3" t="str">
        <f aca="false">Raw_Data!G1266</f>
        <v>yes</v>
      </c>
      <c r="I1266" s="3" t="str">
        <f aca="false">Raw_Data!H1266</f>
        <v>no</v>
      </c>
      <c r="J1266" s="2" t="n">
        <f aca="false">IF(F1266="yes",1,0)</f>
        <v>0</v>
      </c>
      <c r="K1266" s="2" t="n">
        <f aca="false">IF(H1266="yes",1,0)</f>
        <v>1</v>
      </c>
      <c r="L1266" s="2" t="n">
        <f aca="false">IF(I1266="yes",1,0)</f>
        <v>0</v>
      </c>
      <c r="M1266" s="2" t="n">
        <f aca="false">IF(G1266&lt;0,1,0)</f>
        <v>0</v>
      </c>
      <c r="N1266" s="2" t="str">
        <f aca="false">_xlfn.IFS(B1266&lt;30,"Under 30",B1266&lt;40,"30-39",B1266&lt;50,"40-49",B1266&lt;60,"50-59",TRUE(),"60+")</f>
        <v>50-59</v>
      </c>
      <c r="O1266" s="2" t="str">
        <f aca="false">_xlfn.IFS(G1266&lt;0,"1 Negative",G1266=0,"2 Zero",G1266&lt;=500,"3 1-500",G1266&lt;=2000,"4 501-2000",TRUE(),"5 Above 2000")</f>
        <v>4 501-2000</v>
      </c>
      <c r="P1266" s="2" t="n">
        <f aca="false">Lookups!$B$2*M1266+Lookups!$B$3*L1266</f>
        <v>0</v>
      </c>
      <c r="Q1266" s="2" t="str">
        <f aca="false">INDEX(Lookups!$E$2:$E$5,MATCH(P1266,Lookups!$D$2:$D$5,0))</f>
        <v>Low</v>
      </c>
    </row>
    <row r="1267" customFormat="false" ht="15" hidden="false" customHeight="false" outlineLevel="0" collapsed="false">
      <c r="A1267" s="3" t="n">
        <v>1266</v>
      </c>
      <c r="B1267" s="3" t="n">
        <f aca="false">Raw_Data!A1267</f>
        <v>31</v>
      </c>
      <c r="C1267" s="3" t="str">
        <f aca="false">SUBSTITUTE(Raw_Data!B1267,".","")</f>
        <v>unemployed</v>
      </c>
      <c r="D1267" s="3" t="str">
        <f aca="false">Raw_Data!C1267</f>
        <v>married</v>
      </c>
      <c r="E1267" s="3" t="str">
        <f aca="false">Raw_Data!D1267</f>
        <v>tertiary</v>
      </c>
      <c r="F1267" s="3" t="str">
        <f aca="false">Raw_Data!E1267</f>
        <v>no</v>
      </c>
      <c r="G1267" s="3" t="n">
        <f aca="false">Raw_Data!F1267</f>
        <v>7744</v>
      </c>
      <c r="H1267" s="3" t="str">
        <f aca="false">Raw_Data!G1267</f>
        <v>no</v>
      </c>
      <c r="I1267" s="3" t="str">
        <f aca="false">Raw_Data!H1267</f>
        <v>no</v>
      </c>
      <c r="J1267" s="2" t="n">
        <f aca="false">IF(F1267="yes",1,0)</f>
        <v>0</v>
      </c>
      <c r="K1267" s="2" t="n">
        <f aca="false">IF(H1267="yes",1,0)</f>
        <v>0</v>
      </c>
      <c r="L1267" s="2" t="n">
        <f aca="false">IF(I1267="yes",1,0)</f>
        <v>0</v>
      </c>
      <c r="M1267" s="2" t="n">
        <f aca="false">IF(G1267&lt;0,1,0)</f>
        <v>0</v>
      </c>
      <c r="N1267" s="2" t="str">
        <f aca="false">_xlfn.IFS(B1267&lt;30,"Under 30",B1267&lt;40,"30-39",B1267&lt;50,"40-49",B1267&lt;60,"50-59",TRUE(),"60+")</f>
        <v>30-39</v>
      </c>
      <c r="O1267" s="2" t="str">
        <f aca="false">_xlfn.IFS(G1267&lt;0,"1 Negative",G1267=0,"2 Zero",G1267&lt;=500,"3 1-500",G1267&lt;=2000,"4 501-2000",TRUE(),"5 Above 2000")</f>
        <v>5 Above 2000</v>
      </c>
      <c r="P1267" s="2" t="n">
        <f aca="false">Lookups!$B$2*M1267+Lookups!$B$3*L1267</f>
        <v>0</v>
      </c>
      <c r="Q1267" s="2" t="str">
        <f aca="false">INDEX(Lookups!$E$2:$E$5,MATCH(P1267,Lookups!$D$2:$D$5,0))</f>
        <v>Low</v>
      </c>
    </row>
    <row r="1268" customFormat="false" ht="15" hidden="false" customHeight="false" outlineLevel="0" collapsed="false">
      <c r="A1268" s="3" t="n">
        <v>1267</v>
      </c>
      <c r="B1268" s="3" t="n">
        <f aca="false">Raw_Data!A1268</f>
        <v>54</v>
      </c>
      <c r="C1268" s="3" t="str">
        <f aca="false">SUBSTITUTE(Raw_Data!B1268,".","")</f>
        <v>unknown</v>
      </c>
      <c r="D1268" s="3" t="str">
        <f aca="false">Raw_Data!C1268</f>
        <v>married</v>
      </c>
      <c r="E1268" s="3" t="str">
        <f aca="false">Raw_Data!D1268</f>
        <v>unknown</v>
      </c>
      <c r="F1268" s="3" t="str">
        <f aca="false">Raw_Data!E1268</f>
        <v>no</v>
      </c>
      <c r="G1268" s="3" t="n">
        <f aca="false">Raw_Data!F1268</f>
        <v>895</v>
      </c>
      <c r="H1268" s="3" t="str">
        <f aca="false">Raw_Data!G1268</f>
        <v>no</v>
      </c>
      <c r="I1268" s="3" t="str">
        <f aca="false">Raw_Data!H1268</f>
        <v>no</v>
      </c>
      <c r="J1268" s="2" t="n">
        <f aca="false">IF(F1268="yes",1,0)</f>
        <v>0</v>
      </c>
      <c r="K1268" s="2" t="n">
        <f aca="false">IF(H1268="yes",1,0)</f>
        <v>0</v>
      </c>
      <c r="L1268" s="2" t="n">
        <f aca="false">IF(I1268="yes",1,0)</f>
        <v>0</v>
      </c>
      <c r="M1268" s="2" t="n">
        <f aca="false">IF(G1268&lt;0,1,0)</f>
        <v>0</v>
      </c>
      <c r="N1268" s="2" t="str">
        <f aca="false">_xlfn.IFS(B1268&lt;30,"Under 30",B1268&lt;40,"30-39",B1268&lt;50,"40-49",B1268&lt;60,"50-59",TRUE(),"60+")</f>
        <v>50-59</v>
      </c>
      <c r="O1268" s="2" t="str">
        <f aca="false">_xlfn.IFS(G1268&lt;0,"1 Negative",G1268=0,"2 Zero",G1268&lt;=500,"3 1-500",G1268&lt;=2000,"4 501-2000",TRUE(),"5 Above 2000")</f>
        <v>4 501-2000</v>
      </c>
      <c r="P1268" s="2" t="n">
        <f aca="false">Lookups!$B$2*M1268+Lookups!$B$3*L1268</f>
        <v>0</v>
      </c>
      <c r="Q1268" s="2" t="str">
        <f aca="false">INDEX(Lookups!$E$2:$E$5,MATCH(P1268,Lookups!$D$2:$D$5,0))</f>
        <v>Low</v>
      </c>
    </row>
    <row r="1269" customFormat="false" ht="15" hidden="false" customHeight="false" outlineLevel="0" collapsed="false">
      <c r="A1269" s="3" t="n">
        <v>1268</v>
      </c>
      <c r="B1269" s="3" t="n">
        <f aca="false">Raw_Data!A1269</f>
        <v>36</v>
      </c>
      <c r="C1269" s="3" t="str">
        <f aca="false">SUBSTITUTE(Raw_Data!B1269,".","")</f>
        <v>unemployed</v>
      </c>
      <c r="D1269" s="3" t="str">
        <f aca="false">Raw_Data!C1269</f>
        <v>married</v>
      </c>
      <c r="E1269" s="3" t="str">
        <f aca="false">Raw_Data!D1269</f>
        <v>secondary</v>
      </c>
      <c r="F1269" s="3" t="str">
        <f aca="false">Raw_Data!E1269</f>
        <v>no</v>
      </c>
      <c r="G1269" s="3" t="n">
        <f aca="false">Raw_Data!F1269</f>
        <v>-129</v>
      </c>
      <c r="H1269" s="3" t="str">
        <f aca="false">Raw_Data!G1269</f>
        <v>yes</v>
      </c>
      <c r="I1269" s="3" t="str">
        <f aca="false">Raw_Data!H1269</f>
        <v>no</v>
      </c>
      <c r="J1269" s="2" t="n">
        <f aca="false">IF(F1269="yes",1,0)</f>
        <v>0</v>
      </c>
      <c r="K1269" s="2" t="n">
        <f aca="false">IF(H1269="yes",1,0)</f>
        <v>1</v>
      </c>
      <c r="L1269" s="2" t="n">
        <f aca="false">IF(I1269="yes",1,0)</f>
        <v>0</v>
      </c>
      <c r="M1269" s="2" t="n">
        <f aca="false">IF(G1269&lt;0,1,0)</f>
        <v>1</v>
      </c>
      <c r="N1269" s="2" t="str">
        <f aca="false">_xlfn.IFS(B1269&lt;30,"Under 30",B1269&lt;40,"30-39",B1269&lt;50,"40-49",B1269&lt;60,"50-59",TRUE(),"60+")</f>
        <v>30-39</v>
      </c>
      <c r="O1269" s="2" t="str">
        <f aca="false">_xlfn.IFS(G1269&lt;0,"1 Negative",G1269=0,"2 Zero",G1269&lt;=500,"3 1-500",G1269&lt;=2000,"4 501-2000",TRUE(),"5 Above 2000")</f>
        <v>1 Negative</v>
      </c>
      <c r="P1269" s="2" t="n">
        <f aca="false">Lookups!$B$2*M1269+Lookups!$B$3*L1269</f>
        <v>2</v>
      </c>
      <c r="Q1269" s="2" t="str">
        <f aca="false">INDEX(Lookups!$E$2:$E$5,MATCH(P1269,Lookups!$D$2:$D$5,0))</f>
        <v>High</v>
      </c>
    </row>
    <row r="1270" customFormat="false" ht="15" hidden="false" customHeight="false" outlineLevel="0" collapsed="false">
      <c r="A1270" s="3" t="n">
        <v>1269</v>
      </c>
      <c r="B1270" s="3" t="n">
        <f aca="false">Raw_Data!A1270</f>
        <v>30</v>
      </c>
      <c r="C1270" s="3" t="str">
        <f aca="false">SUBSTITUTE(Raw_Data!B1270,".","")</f>
        <v>admin</v>
      </c>
      <c r="D1270" s="3" t="str">
        <f aca="false">Raw_Data!C1270</f>
        <v>married</v>
      </c>
      <c r="E1270" s="3" t="str">
        <f aca="false">Raw_Data!D1270</f>
        <v>secondary</v>
      </c>
      <c r="F1270" s="3" t="str">
        <f aca="false">Raw_Data!E1270</f>
        <v>no</v>
      </c>
      <c r="G1270" s="3" t="n">
        <f aca="false">Raw_Data!F1270</f>
        <v>0</v>
      </c>
      <c r="H1270" s="3" t="str">
        <f aca="false">Raw_Data!G1270</f>
        <v>no</v>
      </c>
      <c r="I1270" s="3" t="str">
        <f aca="false">Raw_Data!H1270</f>
        <v>no</v>
      </c>
      <c r="J1270" s="2" t="n">
        <f aca="false">IF(F1270="yes",1,0)</f>
        <v>0</v>
      </c>
      <c r="K1270" s="2" t="n">
        <f aca="false">IF(H1270="yes",1,0)</f>
        <v>0</v>
      </c>
      <c r="L1270" s="2" t="n">
        <f aca="false">IF(I1270="yes",1,0)</f>
        <v>0</v>
      </c>
      <c r="M1270" s="2" t="n">
        <f aca="false">IF(G1270&lt;0,1,0)</f>
        <v>0</v>
      </c>
      <c r="N1270" s="2" t="str">
        <f aca="false">_xlfn.IFS(B1270&lt;30,"Under 30",B1270&lt;40,"30-39",B1270&lt;50,"40-49",B1270&lt;60,"50-59",TRUE(),"60+")</f>
        <v>30-39</v>
      </c>
      <c r="O1270" s="2" t="str">
        <f aca="false">_xlfn.IFS(G1270&lt;0,"1 Negative",G1270=0,"2 Zero",G1270&lt;=500,"3 1-500",G1270&lt;=2000,"4 501-2000",TRUE(),"5 Above 2000")</f>
        <v>2 Zero</v>
      </c>
      <c r="P1270" s="2" t="n">
        <f aca="false">Lookups!$B$2*M1270+Lookups!$B$3*L1270</f>
        <v>0</v>
      </c>
      <c r="Q1270" s="2" t="str">
        <f aca="false">INDEX(Lookups!$E$2:$E$5,MATCH(P1270,Lookups!$D$2:$D$5,0))</f>
        <v>Low</v>
      </c>
    </row>
    <row r="1271" customFormat="false" ht="15" hidden="false" customHeight="false" outlineLevel="0" collapsed="false">
      <c r="A1271" s="3" t="n">
        <v>1270</v>
      </c>
      <c r="B1271" s="3" t="n">
        <f aca="false">Raw_Data!A1271</f>
        <v>27</v>
      </c>
      <c r="C1271" s="3" t="str">
        <f aca="false">SUBSTITUTE(Raw_Data!B1271,".","")</f>
        <v>technician</v>
      </c>
      <c r="D1271" s="3" t="str">
        <f aca="false">Raw_Data!C1271</f>
        <v>single</v>
      </c>
      <c r="E1271" s="3" t="str">
        <f aca="false">Raw_Data!D1271</f>
        <v>secondary</v>
      </c>
      <c r="F1271" s="3" t="str">
        <f aca="false">Raw_Data!E1271</f>
        <v>no</v>
      </c>
      <c r="G1271" s="3" t="n">
        <f aca="false">Raw_Data!F1271</f>
        <v>158</v>
      </c>
      <c r="H1271" s="3" t="str">
        <f aca="false">Raw_Data!G1271</f>
        <v>no</v>
      </c>
      <c r="I1271" s="3" t="str">
        <f aca="false">Raw_Data!H1271</f>
        <v>no</v>
      </c>
      <c r="J1271" s="2" t="n">
        <f aca="false">IF(F1271="yes",1,0)</f>
        <v>0</v>
      </c>
      <c r="K1271" s="2" t="n">
        <f aca="false">IF(H1271="yes",1,0)</f>
        <v>0</v>
      </c>
      <c r="L1271" s="2" t="n">
        <f aca="false">IF(I1271="yes",1,0)</f>
        <v>0</v>
      </c>
      <c r="M1271" s="2" t="n">
        <f aca="false">IF(G1271&lt;0,1,0)</f>
        <v>0</v>
      </c>
      <c r="N1271" s="2" t="str">
        <f aca="false">_xlfn.IFS(B1271&lt;30,"Under 30",B1271&lt;40,"30-39",B1271&lt;50,"40-49",B1271&lt;60,"50-59",TRUE(),"60+")</f>
        <v>Under 30</v>
      </c>
      <c r="O1271" s="2" t="str">
        <f aca="false">_xlfn.IFS(G1271&lt;0,"1 Negative",G1271=0,"2 Zero",G1271&lt;=500,"3 1-500",G1271&lt;=2000,"4 501-2000",TRUE(),"5 Above 2000")</f>
        <v>3 1-500</v>
      </c>
      <c r="P1271" s="2" t="n">
        <f aca="false">Lookups!$B$2*M1271+Lookups!$B$3*L1271</f>
        <v>0</v>
      </c>
      <c r="Q1271" s="2" t="str">
        <f aca="false">INDEX(Lookups!$E$2:$E$5,MATCH(P1271,Lookups!$D$2:$D$5,0))</f>
        <v>Low</v>
      </c>
    </row>
    <row r="1272" customFormat="false" ht="15" hidden="false" customHeight="false" outlineLevel="0" collapsed="false">
      <c r="A1272" s="3" t="n">
        <v>1271</v>
      </c>
      <c r="B1272" s="3" t="n">
        <f aca="false">Raw_Data!A1272</f>
        <v>30</v>
      </c>
      <c r="C1272" s="3" t="str">
        <f aca="false">SUBSTITUTE(Raw_Data!B1272,".","")</f>
        <v>admin</v>
      </c>
      <c r="D1272" s="3" t="str">
        <f aca="false">Raw_Data!C1272</f>
        <v>married</v>
      </c>
      <c r="E1272" s="3" t="str">
        <f aca="false">Raw_Data!D1272</f>
        <v>secondary</v>
      </c>
      <c r="F1272" s="3" t="str">
        <f aca="false">Raw_Data!E1272</f>
        <v>no</v>
      </c>
      <c r="G1272" s="3" t="n">
        <f aca="false">Raw_Data!F1272</f>
        <v>122</v>
      </c>
      <c r="H1272" s="3" t="str">
        <f aca="false">Raw_Data!G1272</f>
        <v>yes</v>
      </c>
      <c r="I1272" s="3" t="str">
        <f aca="false">Raw_Data!H1272</f>
        <v>no</v>
      </c>
      <c r="J1272" s="2" t="n">
        <f aca="false">IF(F1272="yes",1,0)</f>
        <v>0</v>
      </c>
      <c r="K1272" s="2" t="n">
        <f aca="false">IF(H1272="yes",1,0)</f>
        <v>1</v>
      </c>
      <c r="L1272" s="2" t="n">
        <f aca="false">IF(I1272="yes",1,0)</f>
        <v>0</v>
      </c>
      <c r="M1272" s="2" t="n">
        <f aca="false">IF(G1272&lt;0,1,0)</f>
        <v>0</v>
      </c>
      <c r="N1272" s="2" t="str">
        <f aca="false">_xlfn.IFS(B1272&lt;30,"Under 30",B1272&lt;40,"30-39",B1272&lt;50,"40-49",B1272&lt;60,"50-59",TRUE(),"60+")</f>
        <v>30-39</v>
      </c>
      <c r="O1272" s="2" t="str">
        <f aca="false">_xlfn.IFS(G1272&lt;0,"1 Negative",G1272=0,"2 Zero",G1272&lt;=500,"3 1-500",G1272&lt;=2000,"4 501-2000",TRUE(),"5 Above 2000")</f>
        <v>3 1-500</v>
      </c>
      <c r="P1272" s="2" t="n">
        <f aca="false">Lookups!$B$2*M1272+Lookups!$B$3*L1272</f>
        <v>0</v>
      </c>
      <c r="Q1272" s="2" t="str">
        <f aca="false">INDEX(Lookups!$E$2:$E$5,MATCH(P1272,Lookups!$D$2:$D$5,0))</f>
        <v>Low</v>
      </c>
    </row>
    <row r="1273" customFormat="false" ht="15" hidden="false" customHeight="false" outlineLevel="0" collapsed="false">
      <c r="A1273" s="3" t="n">
        <v>1272</v>
      </c>
      <c r="B1273" s="3" t="n">
        <f aca="false">Raw_Data!A1273</f>
        <v>30</v>
      </c>
      <c r="C1273" s="3" t="str">
        <f aca="false">SUBSTITUTE(Raw_Data!B1273,".","")</f>
        <v>blue-collar</v>
      </c>
      <c r="D1273" s="3" t="str">
        <f aca="false">Raw_Data!C1273</f>
        <v>married</v>
      </c>
      <c r="E1273" s="3" t="str">
        <f aca="false">Raw_Data!D1273</f>
        <v>secondary</v>
      </c>
      <c r="F1273" s="3" t="str">
        <f aca="false">Raw_Data!E1273</f>
        <v>no</v>
      </c>
      <c r="G1273" s="3" t="n">
        <f aca="false">Raw_Data!F1273</f>
        <v>673</v>
      </c>
      <c r="H1273" s="3" t="str">
        <f aca="false">Raw_Data!G1273</f>
        <v>yes</v>
      </c>
      <c r="I1273" s="3" t="str">
        <f aca="false">Raw_Data!H1273</f>
        <v>no</v>
      </c>
      <c r="J1273" s="2" t="n">
        <f aca="false">IF(F1273="yes",1,0)</f>
        <v>0</v>
      </c>
      <c r="K1273" s="2" t="n">
        <f aca="false">IF(H1273="yes",1,0)</f>
        <v>1</v>
      </c>
      <c r="L1273" s="2" t="n">
        <f aca="false">IF(I1273="yes",1,0)</f>
        <v>0</v>
      </c>
      <c r="M1273" s="2" t="n">
        <f aca="false">IF(G1273&lt;0,1,0)</f>
        <v>0</v>
      </c>
      <c r="N1273" s="2" t="str">
        <f aca="false">_xlfn.IFS(B1273&lt;30,"Under 30",B1273&lt;40,"30-39",B1273&lt;50,"40-49",B1273&lt;60,"50-59",TRUE(),"60+")</f>
        <v>30-39</v>
      </c>
      <c r="O1273" s="2" t="str">
        <f aca="false">_xlfn.IFS(G1273&lt;0,"1 Negative",G1273=0,"2 Zero",G1273&lt;=500,"3 1-500",G1273&lt;=2000,"4 501-2000",TRUE(),"5 Above 2000")</f>
        <v>4 501-2000</v>
      </c>
      <c r="P1273" s="2" t="n">
        <f aca="false">Lookups!$B$2*M1273+Lookups!$B$3*L1273</f>
        <v>0</v>
      </c>
      <c r="Q1273" s="2" t="str">
        <f aca="false">INDEX(Lookups!$E$2:$E$5,MATCH(P1273,Lookups!$D$2:$D$5,0))</f>
        <v>Low</v>
      </c>
    </row>
    <row r="1274" customFormat="false" ht="15" hidden="false" customHeight="false" outlineLevel="0" collapsed="false">
      <c r="A1274" s="3" t="n">
        <v>1273</v>
      </c>
      <c r="B1274" s="3" t="n">
        <f aca="false">Raw_Data!A1274</f>
        <v>35</v>
      </c>
      <c r="C1274" s="3" t="str">
        <f aca="false">SUBSTITUTE(Raw_Data!B1274,".","")</f>
        <v>technician</v>
      </c>
      <c r="D1274" s="3" t="str">
        <f aca="false">Raw_Data!C1274</f>
        <v>divorced</v>
      </c>
      <c r="E1274" s="3" t="str">
        <f aca="false">Raw_Data!D1274</f>
        <v>secondary</v>
      </c>
      <c r="F1274" s="3" t="str">
        <f aca="false">Raw_Data!E1274</f>
        <v>no</v>
      </c>
      <c r="G1274" s="3" t="n">
        <f aca="false">Raw_Data!F1274</f>
        <v>0</v>
      </c>
      <c r="H1274" s="3" t="str">
        <f aca="false">Raw_Data!G1274</f>
        <v>no</v>
      </c>
      <c r="I1274" s="3" t="str">
        <f aca="false">Raw_Data!H1274</f>
        <v>no</v>
      </c>
      <c r="J1274" s="2" t="n">
        <f aca="false">IF(F1274="yes",1,0)</f>
        <v>0</v>
      </c>
      <c r="K1274" s="2" t="n">
        <f aca="false">IF(H1274="yes",1,0)</f>
        <v>0</v>
      </c>
      <c r="L1274" s="2" t="n">
        <f aca="false">IF(I1274="yes",1,0)</f>
        <v>0</v>
      </c>
      <c r="M1274" s="2" t="n">
        <f aca="false">IF(G1274&lt;0,1,0)</f>
        <v>0</v>
      </c>
      <c r="N1274" s="2" t="str">
        <f aca="false">_xlfn.IFS(B1274&lt;30,"Under 30",B1274&lt;40,"30-39",B1274&lt;50,"40-49",B1274&lt;60,"50-59",TRUE(),"60+")</f>
        <v>30-39</v>
      </c>
      <c r="O1274" s="2" t="str">
        <f aca="false">_xlfn.IFS(G1274&lt;0,"1 Negative",G1274=0,"2 Zero",G1274&lt;=500,"3 1-500",G1274&lt;=2000,"4 501-2000",TRUE(),"5 Above 2000")</f>
        <v>2 Zero</v>
      </c>
      <c r="P1274" s="2" t="n">
        <f aca="false">Lookups!$B$2*M1274+Lookups!$B$3*L1274</f>
        <v>0</v>
      </c>
      <c r="Q1274" s="2" t="str">
        <f aca="false">INDEX(Lookups!$E$2:$E$5,MATCH(P1274,Lookups!$D$2:$D$5,0))</f>
        <v>Low</v>
      </c>
    </row>
    <row r="1275" customFormat="false" ht="15" hidden="false" customHeight="false" outlineLevel="0" collapsed="false">
      <c r="A1275" s="3" t="n">
        <v>1274</v>
      </c>
      <c r="B1275" s="3" t="n">
        <f aca="false">Raw_Data!A1275</f>
        <v>33</v>
      </c>
      <c r="C1275" s="3" t="str">
        <f aca="false">SUBSTITUTE(Raw_Data!B1275,".","")</f>
        <v>services</v>
      </c>
      <c r="D1275" s="3" t="str">
        <f aca="false">Raw_Data!C1275</f>
        <v>divorced</v>
      </c>
      <c r="E1275" s="3" t="str">
        <f aca="false">Raw_Data!D1275</f>
        <v>secondary</v>
      </c>
      <c r="F1275" s="3" t="str">
        <f aca="false">Raw_Data!E1275</f>
        <v>no</v>
      </c>
      <c r="G1275" s="3" t="n">
        <f aca="false">Raw_Data!F1275</f>
        <v>411</v>
      </c>
      <c r="H1275" s="3" t="str">
        <f aca="false">Raw_Data!G1275</f>
        <v>yes</v>
      </c>
      <c r="I1275" s="3" t="str">
        <f aca="false">Raw_Data!H1275</f>
        <v>no</v>
      </c>
      <c r="J1275" s="2" t="n">
        <f aca="false">IF(F1275="yes",1,0)</f>
        <v>0</v>
      </c>
      <c r="K1275" s="2" t="n">
        <f aca="false">IF(H1275="yes",1,0)</f>
        <v>1</v>
      </c>
      <c r="L1275" s="2" t="n">
        <f aca="false">IF(I1275="yes",1,0)</f>
        <v>0</v>
      </c>
      <c r="M1275" s="2" t="n">
        <f aca="false">IF(G1275&lt;0,1,0)</f>
        <v>0</v>
      </c>
      <c r="N1275" s="2" t="str">
        <f aca="false">_xlfn.IFS(B1275&lt;30,"Under 30",B1275&lt;40,"30-39",B1275&lt;50,"40-49",B1275&lt;60,"50-59",TRUE(),"60+")</f>
        <v>30-39</v>
      </c>
      <c r="O1275" s="2" t="str">
        <f aca="false">_xlfn.IFS(G1275&lt;0,"1 Negative",G1275=0,"2 Zero",G1275&lt;=500,"3 1-500",G1275&lt;=2000,"4 501-2000",TRUE(),"5 Above 2000")</f>
        <v>3 1-500</v>
      </c>
      <c r="P1275" s="2" t="n">
        <f aca="false">Lookups!$B$2*M1275+Lookups!$B$3*L1275</f>
        <v>0</v>
      </c>
      <c r="Q1275" s="2" t="str">
        <f aca="false">INDEX(Lookups!$E$2:$E$5,MATCH(P1275,Lookups!$D$2:$D$5,0))</f>
        <v>Low</v>
      </c>
    </row>
    <row r="1276" customFormat="false" ht="15" hidden="false" customHeight="false" outlineLevel="0" collapsed="false">
      <c r="A1276" s="3" t="n">
        <v>1275</v>
      </c>
      <c r="B1276" s="3" t="n">
        <f aca="false">Raw_Data!A1276</f>
        <v>43</v>
      </c>
      <c r="C1276" s="3" t="str">
        <f aca="false">SUBSTITUTE(Raw_Data!B1276,".","")</f>
        <v>blue-collar</v>
      </c>
      <c r="D1276" s="3" t="str">
        <f aca="false">Raw_Data!C1276</f>
        <v>divorced</v>
      </c>
      <c r="E1276" s="3" t="str">
        <f aca="false">Raw_Data!D1276</f>
        <v>primary</v>
      </c>
      <c r="F1276" s="3" t="str">
        <f aca="false">Raw_Data!E1276</f>
        <v>no</v>
      </c>
      <c r="G1276" s="3" t="n">
        <f aca="false">Raw_Data!F1276</f>
        <v>-97</v>
      </c>
      <c r="H1276" s="3" t="str">
        <f aca="false">Raw_Data!G1276</f>
        <v>yes</v>
      </c>
      <c r="I1276" s="3" t="str">
        <f aca="false">Raw_Data!H1276</f>
        <v>yes</v>
      </c>
      <c r="J1276" s="2" t="n">
        <f aca="false">IF(F1276="yes",1,0)</f>
        <v>0</v>
      </c>
      <c r="K1276" s="2" t="n">
        <f aca="false">IF(H1276="yes",1,0)</f>
        <v>1</v>
      </c>
      <c r="L1276" s="2" t="n">
        <f aca="false">IF(I1276="yes",1,0)</f>
        <v>1</v>
      </c>
      <c r="M1276" s="2" t="n">
        <f aca="false">IF(G1276&lt;0,1,0)</f>
        <v>1</v>
      </c>
      <c r="N1276" s="2" t="str">
        <f aca="false">_xlfn.IFS(B1276&lt;30,"Under 30",B1276&lt;40,"30-39",B1276&lt;50,"40-49",B1276&lt;60,"50-59",TRUE(),"60+")</f>
        <v>40-49</v>
      </c>
      <c r="O1276" s="2" t="str">
        <f aca="false">_xlfn.IFS(G1276&lt;0,"1 Negative",G1276=0,"2 Zero",G1276&lt;=500,"3 1-500",G1276&lt;=2000,"4 501-2000",TRUE(),"5 Above 2000")</f>
        <v>1 Negative</v>
      </c>
      <c r="P1276" s="2" t="n">
        <f aca="false">Lookups!$B$2*M1276+Lookups!$B$3*L1276</f>
        <v>3</v>
      </c>
      <c r="Q1276" s="2" t="str">
        <f aca="false">INDEX(Lookups!$E$2:$E$5,MATCH(P1276,Lookups!$D$2:$D$5,0))</f>
        <v>High</v>
      </c>
    </row>
    <row r="1277" customFormat="false" ht="15" hidden="false" customHeight="false" outlineLevel="0" collapsed="false">
      <c r="A1277" s="3" t="n">
        <v>1276</v>
      </c>
      <c r="B1277" s="3" t="n">
        <f aca="false">Raw_Data!A1277</f>
        <v>41</v>
      </c>
      <c r="C1277" s="3" t="str">
        <f aca="false">SUBSTITUTE(Raw_Data!B1277,".","")</f>
        <v>blue-collar</v>
      </c>
      <c r="D1277" s="3" t="str">
        <f aca="false">Raw_Data!C1277</f>
        <v>married</v>
      </c>
      <c r="E1277" s="3" t="str">
        <f aca="false">Raw_Data!D1277</f>
        <v>secondary</v>
      </c>
      <c r="F1277" s="3" t="str">
        <f aca="false">Raw_Data!E1277</f>
        <v>no</v>
      </c>
      <c r="G1277" s="3" t="n">
        <f aca="false">Raw_Data!F1277</f>
        <v>-217</v>
      </c>
      <c r="H1277" s="3" t="str">
        <f aca="false">Raw_Data!G1277</f>
        <v>yes</v>
      </c>
      <c r="I1277" s="3" t="str">
        <f aca="false">Raw_Data!H1277</f>
        <v>no</v>
      </c>
      <c r="J1277" s="2" t="n">
        <f aca="false">IF(F1277="yes",1,0)</f>
        <v>0</v>
      </c>
      <c r="K1277" s="2" t="n">
        <f aca="false">IF(H1277="yes",1,0)</f>
        <v>1</v>
      </c>
      <c r="L1277" s="2" t="n">
        <f aca="false">IF(I1277="yes",1,0)</f>
        <v>0</v>
      </c>
      <c r="M1277" s="2" t="n">
        <f aca="false">IF(G1277&lt;0,1,0)</f>
        <v>1</v>
      </c>
      <c r="N1277" s="2" t="str">
        <f aca="false">_xlfn.IFS(B1277&lt;30,"Under 30",B1277&lt;40,"30-39",B1277&lt;50,"40-49",B1277&lt;60,"50-59",TRUE(),"60+")</f>
        <v>40-49</v>
      </c>
      <c r="O1277" s="2" t="str">
        <f aca="false">_xlfn.IFS(G1277&lt;0,"1 Negative",G1277=0,"2 Zero",G1277&lt;=500,"3 1-500",G1277&lt;=2000,"4 501-2000",TRUE(),"5 Above 2000")</f>
        <v>1 Negative</v>
      </c>
      <c r="P1277" s="2" t="n">
        <f aca="false">Lookups!$B$2*M1277+Lookups!$B$3*L1277</f>
        <v>2</v>
      </c>
      <c r="Q1277" s="2" t="str">
        <f aca="false">INDEX(Lookups!$E$2:$E$5,MATCH(P1277,Lookups!$D$2:$D$5,0))</f>
        <v>High</v>
      </c>
    </row>
    <row r="1278" customFormat="false" ht="15" hidden="false" customHeight="false" outlineLevel="0" collapsed="false">
      <c r="A1278" s="3" t="n">
        <v>1277</v>
      </c>
      <c r="B1278" s="3" t="n">
        <f aca="false">Raw_Data!A1278</f>
        <v>41</v>
      </c>
      <c r="C1278" s="3" t="str">
        <f aca="false">SUBSTITUTE(Raw_Data!B1278,".","")</f>
        <v>management</v>
      </c>
      <c r="D1278" s="3" t="str">
        <f aca="false">Raw_Data!C1278</f>
        <v>divorced</v>
      </c>
      <c r="E1278" s="3" t="str">
        <f aca="false">Raw_Data!D1278</f>
        <v>tertiary</v>
      </c>
      <c r="F1278" s="3" t="str">
        <f aca="false">Raw_Data!E1278</f>
        <v>no</v>
      </c>
      <c r="G1278" s="3" t="n">
        <f aca="false">Raw_Data!F1278</f>
        <v>5037</v>
      </c>
      <c r="H1278" s="3" t="str">
        <f aca="false">Raw_Data!G1278</f>
        <v>no</v>
      </c>
      <c r="I1278" s="3" t="str">
        <f aca="false">Raw_Data!H1278</f>
        <v>no</v>
      </c>
      <c r="J1278" s="2" t="n">
        <f aca="false">IF(F1278="yes",1,0)</f>
        <v>0</v>
      </c>
      <c r="K1278" s="2" t="n">
        <f aca="false">IF(H1278="yes",1,0)</f>
        <v>0</v>
      </c>
      <c r="L1278" s="2" t="n">
        <f aca="false">IF(I1278="yes",1,0)</f>
        <v>0</v>
      </c>
      <c r="M1278" s="2" t="n">
        <f aca="false">IF(G1278&lt;0,1,0)</f>
        <v>0</v>
      </c>
      <c r="N1278" s="2" t="str">
        <f aca="false">_xlfn.IFS(B1278&lt;30,"Under 30",B1278&lt;40,"30-39",B1278&lt;50,"40-49",B1278&lt;60,"50-59",TRUE(),"60+")</f>
        <v>40-49</v>
      </c>
      <c r="O1278" s="2" t="str">
        <f aca="false">_xlfn.IFS(G1278&lt;0,"1 Negative",G1278=0,"2 Zero",G1278&lt;=500,"3 1-500",G1278&lt;=2000,"4 501-2000",TRUE(),"5 Above 2000")</f>
        <v>5 Above 2000</v>
      </c>
      <c r="P1278" s="2" t="n">
        <f aca="false">Lookups!$B$2*M1278+Lookups!$B$3*L1278</f>
        <v>0</v>
      </c>
      <c r="Q1278" s="2" t="str">
        <f aca="false">INDEX(Lookups!$E$2:$E$5,MATCH(P1278,Lookups!$D$2:$D$5,0))</f>
        <v>Low</v>
      </c>
    </row>
    <row r="1279" customFormat="false" ht="15" hidden="false" customHeight="false" outlineLevel="0" collapsed="false">
      <c r="A1279" s="3" t="n">
        <v>1278</v>
      </c>
      <c r="B1279" s="3" t="n">
        <f aca="false">Raw_Data!A1279</f>
        <v>46</v>
      </c>
      <c r="C1279" s="3" t="str">
        <f aca="false">SUBSTITUTE(Raw_Data!B1279,".","")</f>
        <v>admin</v>
      </c>
      <c r="D1279" s="3" t="str">
        <f aca="false">Raw_Data!C1279</f>
        <v>divorced</v>
      </c>
      <c r="E1279" s="3" t="str">
        <f aca="false">Raw_Data!D1279</f>
        <v>secondary</v>
      </c>
      <c r="F1279" s="3" t="str">
        <f aca="false">Raw_Data!E1279</f>
        <v>no</v>
      </c>
      <c r="G1279" s="3" t="n">
        <f aca="false">Raw_Data!F1279</f>
        <v>2232</v>
      </c>
      <c r="H1279" s="3" t="str">
        <f aca="false">Raw_Data!G1279</f>
        <v>no</v>
      </c>
      <c r="I1279" s="3" t="str">
        <f aca="false">Raw_Data!H1279</f>
        <v>no</v>
      </c>
      <c r="J1279" s="2" t="n">
        <f aca="false">IF(F1279="yes",1,0)</f>
        <v>0</v>
      </c>
      <c r="K1279" s="2" t="n">
        <f aca="false">IF(H1279="yes",1,0)</f>
        <v>0</v>
      </c>
      <c r="L1279" s="2" t="n">
        <f aca="false">IF(I1279="yes",1,0)</f>
        <v>0</v>
      </c>
      <c r="M1279" s="2" t="n">
        <f aca="false">IF(G1279&lt;0,1,0)</f>
        <v>0</v>
      </c>
      <c r="N1279" s="2" t="str">
        <f aca="false">_xlfn.IFS(B1279&lt;30,"Under 30",B1279&lt;40,"30-39",B1279&lt;50,"40-49",B1279&lt;60,"50-59",TRUE(),"60+")</f>
        <v>40-49</v>
      </c>
      <c r="O1279" s="2" t="str">
        <f aca="false">_xlfn.IFS(G1279&lt;0,"1 Negative",G1279=0,"2 Zero",G1279&lt;=500,"3 1-500",G1279&lt;=2000,"4 501-2000",TRUE(),"5 Above 2000")</f>
        <v>5 Above 2000</v>
      </c>
      <c r="P1279" s="2" t="n">
        <f aca="false">Lookups!$B$2*M1279+Lookups!$B$3*L1279</f>
        <v>0</v>
      </c>
      <c r="Q1279" s="2" t="str">
        <f aca="false">INDEX(Lookups!$E$2:$E$5,MATCH(P1279,Lookups!$D$2:$D$5,0))</f>
        <v>Low</v>
      </c>
    </row>
    <row r="1280" customFormat="false" ht="15" hidden="false" customHeight="false" outlineLevel="0" collapsed="false">
      <c r="A1280" s="3" t="n">
        <v>1279</v>
      </c>
      <c r="B1280" s="3" t="n">
        <f aca="false">Raw_Data!A1280</f>
        <v>54</v>
      </c>
      <c r="C1280" s="3" t="str">
        <f aca="false">SUBSTITUTE(Raw_Data!B1280,".","")</f>
        <v>blue-collar</v>
      </c>
      <c r="D1280" s="3" t="str">
        <f aca="false">Raw_Data!C1280</f>
        <v>married</v>
      </c>
      <c r="E1280" s="3" t="str">
        <f aca="false">Raw_Data!D1280</f>
        <v>secondary</v>
      </c>
      <c r="F1280" s="3" t="str">
        <f aca="false">Raw_Data!E1280</f>
        <v>no</v>
      </c>
      <c r="G1280" s="3" t="n">
        <f aca="false">Raw_Data!F1280</f>
        <v>-932</v>
      </c>
      <c r="H1280" s="3" t="str">
        <f aca="false">Raw_Data!G1280</f>
        <v>yes</v>
      </c>
      <c r="I1280" s="3" t="str">
        <f aca="false">Raw_Data!H1280</f>
        <v>no</v>
      </c>
      <c r="J1280" s="2" t="n">
        <f aca="false">IF(F1280="yes",1,0)</f>
        <v>0</v>
      </c>
      <c r="K1280" s="2" t="n">
        <f aca="false">IF(H1280="yes",1,0)</f>
        <v>1</v>
      </c>
      <c r="L1280" s="2" t="n">
        <f aca="false">IF(I1280="yes",1,0)</f>
        <v>0</v>
      </c>
      <c r="M1280" s="2" t="n">
        <f aca="false">IF(G1280&lt;0,1,0)</f>
        <v>1</v>
      </c>
      <c r="N1280" s="2" t="str">
        <f aca="false">_xlfn.IFS(B1280&lt;30,"Under 30",B1280&lt;40,"30-39",B1280&lt;50,"40-49",B1280&lt;60,"50-59",TRUE(),"60+")</f>
        <v>50-59</v>
      </c>
      <c r="O1280" s="2" t="str">
        <f aca="false">_xlfn.IFS(G1280&lt;0,"1 Negative",G1280=0,"2 Zero",G1280&lt;=500,"3 1-500",G1280&lt;=2000,"4 501-2000",TRUE(),"5 Above 2000")</f>
        <v>1 Negative</v>
      </c>
      <c r="P1280" s="2" t="n">
        <f aca="false">Lookups!$B$2*M1280+Lookups!$B$3*L1280</f>
        <v>2</v>
      </c>
      <c r="Q1280" s="2" t="str">
        <f aca="false">INDEX(Lookups!$E$2:$E$5,MATCH(P1280,Lookups!$D$2:$D$5,0))</f>
        <v>High</v>
      </c>
    </row>
    <row r="1281" customFormat="false" ht="15" hidden="false" customHeight="false" outlineLevel="0" collapsed="false">
      <c r="A1281" s="3" t="n">
        <v>1280</v>
      </c>
      <c r="B1281" s="3" t="n">
        <f aca="false">Raw_Data!A1281</f>
        <v>32</v>
      </c>
      <c r="C1281" s="3" t="str">
        <f aca="false">SUBSTITUTE(Raw_Data!B1281,".","")</f>
        <v>management</v>
      </c>
      <c r="D1281" s="3" t="str">
        <f aca="false">Raw_Data!C1281</f>
        <v>married</v>
      </c>
      <c r="E1281" s="3" t="str">
        <f aca="false">Raw_Data!D1281</f>
        <v>tertiary</v>
      </c>
      <c r="F1281" s="3" t="str">
        <f aca="false">Raw_Data!E1281</f>
        <v>no</v>
      </c>
      <c r="G1281" s="3" t="n">
        <f aca="false">Raw_Data!F1281</f>
        <v>913</v>
      </c>
      <c r="H1281" s="3" t="str">
        <f aca="false">Raw_Data!G1281</f>
        <v>yes</v>
      </c>
      <c r="I1281" s="3" t="str">
        <f aca="false">Raw_Data!H1281</f>
        <v>no</v>
      </c>
      <c r="J1281" s="2" t="n">
        <f aca="false">IF(F1281="yes",1,0)</f>
        <v>0</v>
      </c>
      <c r="K1281" s="2" t="n">
        <f aca="false">IF(H1281="yes",1,0)</f>
        <v>1</v>
      </c>
      <c r="L1281" s="2" t="n">
        <f aca="false">IF(I1281="yes",1,0)</f>
        <v>0</v>
      </c>
      <c r="M1281" s="2" t="n">
        <f aca="false">IF(G1281&lt;0,1,0)</f>
        <v>0</v>
      </c>
      <c r="N1281" s="2" t="str">
        <f aca="false">_xlfn.IFS(B1281&lt;30,"Under 30",B1281&lt;40,"30-39",B1281&lt;50,"40-49",B1281&lt;60,"50-59",TRUE(),"60+")</f>
        <v>30-39</v>
      </c>
      <c r="O1281" s="2" t="str">
        <f aca="false">_xlfn.IFS(G1281&lt;0,"1 Negative",G1281=0,"2 Zero",G1281&lt;=500,"3 1-500",G1281&lt;=2000,"4 501-2000",TRUE(),"5 Above 2000")</f>
        <v>4 501-2000</v>
      </c>
      <c r="P1281" s="2" t="n">
        <f aca="false">Lookups!$B$2*M1281+Lookups!$B$3*L1281</f>
        <v>0</v>
      </c>
      <c r="Q1281" s="2" t="str">
        <f aca="false">INDEX(Lookups!$E$2:$E$5,MATCH(P1281,Lookups!$D$2:$D$5,0))</f>
        <v>Low</v>
      </c>
    </row>
    <row r="1282" customFormat="false" ht="15" hidden="false" customHeight="false" outlineLevel="0" collapsed="false">
      <c r="A1282" s="3" t="n">
        <v>1281</v>
      </c>
      <c r="B1282" s="3" t="n">
        <f aca="false">Raw_Data!A1282</f>
        <v>30</v>
      </c>
      <c r="C1282" s="3" t="str">
        <f aca="false">SUBSTITUTE(Raw_Data!B1282,".","")</f>
        <v>technician</v>
      </c>
      <c r="D1282" s="3" t="str">
        <f aca="false">Raw_Data!C1282</f>
        <v>single</v>
      </c>
      <c r="E1282" s="3" t="str">
        <f aca="false">Raw_Data!D1282</f>
        <v>tertiary</v>
      </c>
      <c r="F1282" s="3" t="str">
        <f aca="false">Raw_Data!E1282</f>
        <v>no</v>
      </c>
      <c r="G1282" s="3" t="n">
        <f aca="false">Raw_Data!F1282</f>
        <v>236</v>
      </c>
      <c r="H1282" s="3" t="str">
        <f aca="false">Raw_Data!G1282</f>
        <v>yes</v>
      </c>
      <c r="I1282" s="3" t="str">
        <f aca="false">Raw_Data!H1282</f>
        <v>no</v>
      </c>
      <c r="J1282" s="2" t="n">
        <f aca="false">IF(F1282="yes",1,0)</f>
        <v>0</v>
      </c>
      <c r="K1282" s="2" t="n">
        <f aca="false">IF(H1282="yes",1,0)</f>
        <v>1</v>
      </c>
      <c r="L1282" s="2" t="n">
        <f aca="false">IF(I1282="yes",1,0)</f>
        <v>0</v>
      </c>
      <c r="M1282" s="2" t="n">
        <f aca="false">IF(G1282&lt;0,1,0)</f>
        <v>0</v>
      </c>
      <c r="N1282" s="2" t="str">
        <f aca="false">_xlfn.IFS(B1282&lt;30,"Under 30",B1282&lt;40,"30-39",B1282&lt;50,"40-49",B1282&lt;60,"50-59",TRUE(),"60+")</f>
        <v>30-39</v>
      </c>
      <c r="O1282" s="2" t="str">
        <f aca="false">_xlfn.IFS(G1282&lt;0,"1 Negative",G1282=0,"2 Zero",G1282&lt;=500,"3 1-500",G1282&lt;=2000,"4 501-2000",TRUE(),"5 Above 2000")</f>
        <v>3 1-500</v>
      </c>
      <c r="P1282" s="2" t="n">
        <f aca="false">Lookups!$B$2*M1282+Lookups!$B$3*L1282</f>
        <v>0</v>
      </c>
      <c r="Q1282" s="2" t="str">
        <f aca="false">INDEX(Lookups!$E$2:$E$5,MATCH(P1282,Lookups!$D$2:$D$5,0))</f>
        <v>Low</v>
      </c>
    </row>
    <row r="1283" customFormat="false" ht="15" hidden="false" customHeight="false" outlineLevel="0" collapsed="false">
      <c r="A1283" s="3" t="n">
        <v>1282</v>
      </c>
      <c r="B1283" s="3" t="n">
        <f aca="false">Raw_Data!A1283</f>
        <v>40</v>
      </c>
      <c r="C1283" s="3" t="str">
        <f aca="false">SUBSTITUTE(Raw_Data!B1283,".","")</f>
        <v>entrepreneur</v>
      </c>
      <c r="D1283" s="3" t="str">
        <f aca="false">Raw_Data!C1283</f>
        <v>married</v>
      </c>
      <c r="E1283" s="3" t="str">
        <f aca="false">Raw_Data!D1283</f>
        <v>primary</v>
      </c>
      <c r="F1283" s="3" t="str">
        <f aca="false">Raw_Data!E1283</f>
        <v>no</v>
      </c>
      <c r="G1283" s="3" t="n">
        <f aca="false">Raw_Data!F1283</f>
        <v>0</v>
      </c>
      <c r="H1283" s="3" t="str">
        <f aca="false">Raw_Data!G1283</f>
        <v>yes</v>
      </c>
      <c r="I1283" s="3" t="str">
        <f aca="false">Raw_Data!H1283</f>
        <v>no</v>
      </c>
      <c r="J1283" s="2" t="n">
        <f aca="false">IF(F1283="yes",1,0)</f>
        <v>0</v>
      </c>
      <c r="K1283" s="2" t="n">
        <f aca="false">IF(H1283="yes",1,0)</f>
        <v>1</v>
      </c>
      <c r="L1283" s="2" t="n">
        <f aca="false">IF(I1283="yes",1,0)</f>
        <v>0</v>
      </c>
      <c r="M1283" s="2" t="n">
        <f aca="false">IF(G1283&lt;0,1,0)</f>
        <v>0</v>
      </c>
      <c r="N1283" s="2" t="str">
        <f aca="false">_xlfn.IFS(B1283&lt;30,"Under 30",B1283&lt;40,"30-39",B1283&lt;50,"40-49",B1283&lt;60,"50-59",TRUE(),"60+")</f>
        <v>40-49</v>
      </c>
      <c r="O1283" s="2" t="str">
        <f aca="false">_xlfn.IFS(G1283&lt;0,"1 Negative",G1283=0,"2 Zero",G1283&lt;=500,"3 1-500",G1283&lt;=2000,"4 501-2000",TRUE(),"5 Above 2000")</f>
        <v>2 Zero</v>
      </c>
      <c r="P1283" s="2" t="n">
        <f aca="false">Lookups!$B$2*M1283+Lookups!$B$3*L1283</f>
        <v>0</v>
      </c>
      <c r="Q1283" s="2" t="str">
        <f aca="false">INDEX(Lookups!$E$2:$E$5,MATCH(P1283,Lookups!$D$2:$D$5,0))</f>
        <v>Low</v>
      </c>
    </row>
    <row r="1284" customFormat="false" ht="15" hidden="false" customHeight="false" outlineLevel="0" collapsed="false">
      <c r="A1284" s="3" t="n">
        <v>1283</v>
      </c>
      <c r="B1284" s="3" t="n">
        <f aca="false">Raw_Data!A1284</f>
        <v>30</v>
      </c>
      <c r="C1284" s="3" t="str">
        <f aca="false">SUBSTITUTE(Raw_Data!B1284,".","")</f>
        <v>blue-collar</v>
      </c>
      <c r="D1284" s="3" t="str">
        <f aca="false">Raw_Data!C1284</f>
        <v>married</v>
      </c>
      <c r="E1284" s="3" t="str">
        <f aca="false">Raw_Data!D1284</f>
        <v>primary</v>
      </c>
      <c r="F1284" s="3" t="str">
        <f aca="false">Raw_Data!E1284</f>
        <v>no</v>
      </c>
      <c r="G1284" s="3" t="n">
        <f aca="false">Raw_Data!F1284</f>
        <v>2581</v>
      </c>
      <c r="H1284" s="3" t="str">
        <f aca="false">Raw_Data!G1284</f>
        <v>no</v>
      </c>
      <c r="I1284" s="3" t="str">
        <f aca="false">Raw_Data!H1284</f>
        <v>no</v>
      </c>
      <c r="J1284" s="2" t="n">
        <f aca="false">IF(F1284="yes",1,0)</f>
        <v>0</v>
      </c>
      <c r="K1284" s="2" t="n">
        <f aca="false">IF(H1284="yes",1,0)</f>
        <v>0</v>
      </c>
      <c r="L1284" s="2" t="n">
        <f aca="false">IF(I1284="yes",1,0)</f>
        <v>0</v>
      </c>
      <c r="M1284" s="2" t="n">
        <f aca="false">IF(G1284&lt;0,1,0)</f>
        <v>0</v>
      </c>
      <c r="N1284" s="2" t="str">
        <f aca="false">_xlfn.IFS(B1284&lt;30,"Under 30",B1284&lt;40,"30-39",B1284&lt;50,"40-49",B1284&lt;60,"50-59",TRUE(),"60+")</f>
        <v>30-39</v>
      </c>
      <c r="O1284" s="2" t="str">
        <f aca="false">_xlfn.IFS(G1284&lt;0,"1 Negative",G1284=0,"2 Zero",G1284&lt;=500,"3 1-500",G1284&lt;=2000,"4 501-2000",TRUE(),"5 Above 2000")</f>
        <v>5 Above 2000</v>
      </c>
      <c r="P1284" s="2" t="n">
        <f aca="false">Lookups!$B$2*M1284+Lookups!$B$3*L1284</f>
        <v>0</v>
      </c>
      <c r="Q1284" s="2" t="str">
        <f aca="false">INDEX(Lookups!$E$2:$E$5,MATCH(P1284,Lookups!$D$2:$D$5,0))</f>
        <v>Low</v>
      </c>
    </row>
    <row r="1285" customFormat="false" ht="15" hidden="false" customHeight="false" outlineLevel="0" collapsed="false">
      <c r="A1285" s="3" t="n">
        <v>1284</v>
      </c>
      <c r="B1285" s="3" t="n">
        <f aca="false">Raw_Data!A1285</f>
        <v>27</v>
      </c>
      <c r="C1285" s="3" t="str">
        <f aca="false">SUBSTITUTE(Raw_Data!B1285,".","")</f>
        <v>admin</v>
      </c>
      <c r="D1285" s="3" t="str">
        <f aca="false">Raw_Data!C1285</f>
        <v>married</v>
      </c>
      <c r="E1285" s="3" t="str">
        <f aca="false">Raw_Data!D1285</f>
        <v>secondary</v>
      </c>
      <c r="F1285" s="3" t="str">
        <f aca="false">Raw_Data!E1285</f>
        <v>no</v>
      </c>
      <c r="G1285" s="3" t="n">
        <f aca="false">Raw_Data!F1285</f>
        <v>639</v>
      </c>
      <c r="H1285" s="3" t="str">
        <f aca="false">Raw_Data!G1285</f>
        <v>no</v>
      </c>
      <c r="I1285" s="3" t="str">
        <f aca="false">Raw_Data!H1285</f>
        <v>yes</v>
      </c>
      <c r="J1285" s="2" t="n">
        <f aca="false">IF(F1285="yes",1,0)</f>
        <v>0</v>
      </c>
      <c r="K1285" s="2" t="n">
        <f aca="false">IF(H1285="yes",1,0)</f>
        <v>0</v>
      </c>
      <c r="L1285" s="2" t="n">
        <f aca="false">IF(I1285="yes",1,0)</f>
        <v>1</v>
      </c>
      <c r="M1285" s="2" t="n">
        <f aca="false">IF(G1285&lt;0,1,0)</f>
        <v>0</v>
      </c>
      <c r="N1285" s="2" t="str">
        <f aca="false">_xlfn.IFS(B1285&lt;30,"Under 30",B1285&lt;40,"30-39",B1285&lt;50,"40-49",B1285&lt;60,"50-59",TRUE(),"60+")</f>
        <v>Under 30</v>
      </c>
      <c r="O1285" s="2" t="str">
        <f aca="false">_xlfn.IFS(G1285&lt;0,"1 Negative",G1285=0,"2 Zero",G1285&lt;=500,"3 1-500",G1285&lt;=2000,"4 501-2000",TRUE(),"5 Above 2000")</f>
        <v>4 501-2000</v>
      </c>
      <c r="P1285" s="2" t="n">
        <f aca="false">Lookups!$B$2*M1285+Lookups!$B$3*L1285</f>
        <v>1</v>
      </c>
      <c r="Q1285" s="2" t="str">
        <f aca="false">INDEX(Lookups!$E$2:$E$5,MATCH(P1285,Lookups!$D$2:$D$5,0))</f>
        <v>Medium</v>
      </c>
    </row>
    <row r="1286" customFormat="false" ht="15" hidden="false" customHeight="false" outlineLevel="0" collapsed="false">
      <c r="A1286" s="3" t="n">
        <v>1285</v>
      </c>
      <c r="B1286" s="3" t="n">
        <f aca="false">Raw_Data!A1286</f>
        <v>41</v>
      </c>
      <c r="C1286" s="3" t="str">
        <f aca="false">SUBSTITUTE(Raw_Data!B1286,".","")</f>
        <v>blue-collar</v>
      </c>
      <c r="D1286" s="3" t="str">
        <f aca="false">Raw_Data!C1286</f>
        <v>married</v>
      </c>
      <c r="E1286" s="3" t="str">
        <f aca="false">Raw_Data!D1286</f>
        <v>primary</v>
      </c>
      <c r="F1286" s="3" t="str">
        <f aca="false">Raw_Data!E1286</f>
        <v>no</v>
      </c>
      <c r="G1286" s="3" t="n">
        <f aca="false">Raw_Data!F1286</f>
        <v>849</v>
      </c>
      <c r="H1286" s="3" t="str">
        <f aca="false">Raw_Data!G1286</f>
        <v>yes</v>
      </c>
      <c r="I1286" s="3" t="str">
        <f aca="false">Raw_Data!H1286</f>
        <v>no</v>
      </c>
      <c r="J1286" s="2" t="n">
        <f aca="false">IF(F1286="yes",1,0)</f>
        <v>0</v>
      </c>
      <c r="K1286" s="2" t="n">
        <f aca="false">IF(H1286="yes",1,0)</f>
        <v>1</v>
      </c>
      <c r="L1286" s="2" t="n">
        <f aca="false">IF(I1286="yes",1,0)</f>
        <v>0</v>
      </c>
      <c r="M1286" s="2" t="n">
        <f aca="false">IF(G1286&lt;0,1,0)</f>
        <v>0</v>
      </c>
      <c r="N1286" s="2" t="str">
        <f aca="false">_xlfn.IFS(B1286&lt;30,"Under 30",B1286&lt;40,"30-39",B1286&lt;50,"40-49",B1286&lt;60,"50-59",TRUE(),"60+")</f>
        <v>40-49</v>
      </c>
      <c r="O1286" s="2" t="str">
        <f aca="false">_xlfn.IFS(G1286&lt;0,"1 Negative",G1286=0,"2 Zero",G1286&lt;=500,"3 1-500",G1286&lt;=2000,"4 501-2000",TRUE(),"5 Above 2000")</f>
        <v>4 501-2000</v>
      </c>
      <c r="P1286" s="2" t="n">
        <f aca="false">Lookups!$B$2*M1286+Lookups!$B$3*L1286</f>
        <v>0</v>
      </c>
      <c r="Q1286" s="2" t="str">
        <f aca="false">INDEX(Lookups!$E$2:$E$5,MATCH(P1286,Lookups!$D$2:$D$5,0))</f>
        <v>Low</v>
      </c>
    </row>
    <row r="1287" customFormat="false" ht="15" hidden="false" customHeight="false" outlineLevel="0" collapsed="false">
      <c r="A1287" s="3" t="n">
        <v>1286</v>
      </c>
      <c r="B1287" s="3" t="n">
        <f aca="false">Raw_Data!A1287</f>
        <v>54</v>
      </c>
      <c r="C1287" s="3" t="str">
        <f aca="false">SUBSTITUTE(Raw_Data!B1287,".","")</f>
        <v>services</v>
      </c>
      <c r="D1287" s="3" t="str">
        <f aca="false">Raw_Data!C1287</f>
        <v>married</v>
      </c>
      <c r="E1287" s="3" t="str">
        <f aca="false">Raw_Data!D1287</f>
        <v>secondary</v>
      </c>
      <c r="F1287" s="3" t="str">
        <f aca="false">Raw_Data!E1287</f>
        <v>no</v>
      </c>
      <c r="G1287" s="3" t="n">
        <f aca="false">Raw_Data!F1287</f>
        <v>386</v>
      </c>
      <c r="H1287" s="3" t="str">
        <f aca="false">Raw_Data!G1287</f>
        <v>yes</v>
      </c>
      <c r="I1287" s="3" t="str">
        <f aca="false">Raw_Data!H1287</f>
        <v>no</v>
      </c>
      <c r="J1287" s="2" t="n">
        <f aca="false">IF(F1287="yes",1,0)</f>
        <v>0</v>
      </c>
      <c r="K1287" s="2" t="n">
        <f aca="false">IF(H1287="yes",1,0)</f>
        <v>1</v>
      </c>
      <c r="L1287" s="2" t="n">
        <f aca="false">IF(I1287="yes",1,0)</f>
        <v>0</v>
      </c>
      <c r="M1287" s="2" t="n">
        <f aca="false">IF(G1287&lt;0,1,0)</f>
        <v>0</v>
      </c>
      <c r="N1287" s="2" t="str">
        <f aca="false">_xlfn.IFS(B1287&lt;30,"Under 30",B1287&lt;40,"30-39",B1287&lt;50,"40-49",B1287&lt;60,"50-59",TRUE(),"60+")</f>
        <v>50-59</v>
      </c>
      <c r="O1287" s="2" t="str">
        <f aca="false">_xlfn.IFS(G1287&lt;0,"1 Negative",G1287=0,"2 Zero",G1287&lt;=500,"3 1-500",G1287&lt;=2000,"4 501-2000",TRUE(),"5 Above 2000")</f>
        <v>3 1-500</v>
      </c>
      <c r="P1287" s="2" t="n">
        <f aca="false">Lookups!$B$2*M1287+Lookups!$B$3*L1287</f>
        <v>0</v>
      </c>
      <c r="Q1287" s="2" t="str">
        <f aca="false">INDEX(Lookups!$E$2:$E$5,MATCH(P1287,Lookups!$D$2:$D$5,0))</f>
        <v>Low</v>
      </c>
    </row>
    <row r="1288" customFormat="false" ht="15" hidden="false" customHeight="false" outlineLevel="0" collapsed="false">
      <c r="A1288" s="3" t="n">
        <v>1287</v>
      </c>
      <c r="B1288" s="3" t="n">
        <f aca="false">Raw_Data!A1288</f>
        <v>32</v>
      </c>
      <c r="C1288" s="3" t="str">
        <f aca="false">SUBSTITUTE(Raw_Data!B1288,".","")</f>
        <v>management</v>
      </c>
      <c r="D1288" s="3" t="str">
        <f aca="false">Raw_Data!C1288</f>
        <v>single</v>
      </c>
      <c r="E1288" s="3" t="str">
        <f aca="false">Raw_Data!D1288</f>
        <v>tertiary</v>
      </c>
      <c r="F1288" s="3" t="str">
        <f aca="false">Raw_Data!E1288</f>
        <v>no</v>
      </c>
      <c r="G1288" s="3" t="n">
        <f aca="false">Raw_Data!F1288</f>
        <v>1218</v>
      </c>
      <c r="H1288" s="3" t="str">
        <f aca="false">Raw_Data!G1288</f>
        <v>yes</v>
      </c>
      <c r="I1288" s="3" t="str">
        <f aca="false">Raw_Data!H1288</f>
        <v>no</v>
      </c>
      <c r="J1288" s="2" t="n">
        <f aca="false">IF(F1288="yes",1,0)</f>
        <v>0</v>
      </c>
      <c r="K1288" s="2" t="n">
        <f aca="false">IF(H1288="yes",1,0)</f>
        <v>1</v>
      </c>
      <c r="L1288" s="2" t="n">
        <f aca="false">IF(I1288="yes",1,0)</f>
        <v>0</v>
      </c>
      <c r="M1288" s="2" t="n">
        <f aca="false">IF(G1288&lt;0,1,0)</f>
        <v>0</v>
      </c>
      <c r="N1288" s="2" t="str">
        <f aca="false">_xlfn.IFS(B1288&lt;30,"Under 30",B1288&lt;40,"30-39",B1288&lt;50,"40-49",B1288&lt;60,"50-59",TRUE(),"60+")</f>
        <v>30-39</v>
      </c>
      <c r="O1288" s="2" t="str">
        <f aca="false">_xlfn.IFS(G1288&lt;0,"1 Negative",G1288=0,"2 Zero",G1288&lt;=500,"3 1-500",G1288&lt;=2000,"4 501-2000",TRUE(),"5 Above 2000")</f>
        <v>4 501-2000</v>
      </c>
      <c r="P1288" s="2" t="n">
        <f aca="false">Lookups!$B$2*M1288+Lookups!$B$3*L1288</f>
        <v>0</v>
      </c>
      <c r="Q1288" s="2" t="str">
        <f aca="false">INDEX(Lookups!$E$2:$E$5,MATCH(P1288,Lookups!$D$2:$D$5,0))</f>
        <v>Low</v>
      </c>
    </row>
    <row r="1289" customFormat="false" ht="15" hidden="false" customHeight="false" outlineLevel="0" collapsed="false">
      <c r="A1289" s="3" t="n">
        <v>1288</v>
      </c>
      <c r="B1289" s="3" t="n">
        <f aca="false">Raw_Data!A1289</f>
        <v>31</v>
      </c>
      <c r="C1289" s="3" t="str">
        <f aca="false">SUBSTITUTE(Raw_Data!B1289,".","")</f>
        <v>management</v>
      </c>
      <c r="D1289" s="3" t="str">
        <f aca="false">Raw_Data!C1289</f>
        <v>married</v>
      </c>
      <c r="E1289" s="3" t="str">
        <f aca="false">Raw_Data!D1289</f>
        <v>tertiary</v>
      </c>
      <c r="F1289" s="3" t="str">
        <f aca="false">Raw_Data!E1289</f>
        <v>no</v>
      </c>
      <c r="G1289" s="3" t="n">
        <f aca="false">Raw_Data!F1289</f>
        <v>2603</v>
      </c>
      <c r="H1289" s="3" t="str">
        <f aca="false">Raw_Data!G1289</f>
        <v>yes</v>
      </c>
      <c r="I1289" s="3" t="str">
        <f aca="false">Raw_Data!H1289</f>
        <v>no</v>
      </c>
      <c r="J1289" s="2" t="n">
        <f aca="false">IF(F1289="yes",1,0)</f>
        <v>0</v>
      </c>
      <c r="K1289" s="2" t="n">
        <f aca="false">IF(H1289="yes",1,0)</f>
        <v>1</v>
      </c>
      <c r="L1289" s="2" t="n">
        <f aca="false">IF(I1289="yes",1,0)</f>
        <v>0</v>
      </c>
      <c r="M1289" s="2" t="n">
        <f aca="false">IF(G1289&lt;0,1,0)</f>
        <v>0</v>
      </c>
      <c r="N1289" s="2" t="str">
        <f aca="false">_xlfn.IFS(B1289&lt;30,"Under 30",B1289&lt;40,"30-39",B1289&lt;50,"40-49",B1289&lt;60,"50-59",TRUE(),"60+")</f>
        <v>30-39</v>
      </c>
      <c r="O1289" s="2" t="str">
        <f aca="false">_xlfn.IFS(G1289&lt;0,"1 Negative",G1289=0,"2 Zero",G1289&lt;=500,"3 1-500",G1289&lt;=2000,"4 501-2000",TRUE(),"5 Above 2000")</f>
        <v>5 Above 2000</v>
      </c>
      <c r="P1289" s="2" t="n">
        <f aca="false">Lookups!$B$2*M1289+Lookups!$B$3*L1289</f>
        <v>0</v>
      </c>
      <c r="Q1289" s="2" t="str">
        <f aca="false">INDEX(Lookups!$E$2:$E$5,MATCH(P1289,Lookups!$D$2:$D$5,0))</f>
        <v>Low</v>
      </c>
    </row>
    <row r="1290" customFormat="false" ht="15" hidden="false" customHeight="false" outlineLevel="0" collapsed="false">
      <c r="A1290" s="3" t="n">
        <v>1289</v>
      </c>
      <c r="B1290" s="3" t="n">
        <f aca="false">Raw_Data!A1290</f>
        <v>42</v>
      </c>
      <c r="C1290" s="3" t="str">
        <f aca="false">SUBSTITUTE(Raw_Data!B1290,".","")</f>
        <v>blue-collar</v>
      </c>
      <c r="D1290" s="3" t="str">
        <f aca="false">Raw_Data!C1290</f>
        <v>married</v>
      </c>
      <c r="E1290" s="3" t="str">
        <f aca="false">Raw_Data!D1290</f>
        <v>secondary</v>
      </c>
      <c r="F1290" s="3" t="str">
        <f aca="false">Raw_Data!E1290</f>
        <v>no</v>
      </c>
      <c r="G1290" s="3" t="n">
        <f aca="false">Raw_Data!F1290</f>
        <v>-921</v>
      </c>
      <c r="H1290" s="3" t="str">
        <f aca="false">Raw_Data!G1290</f>
        <v>yes</v>
      </c>
      <c r="I1290" s="3" t="str">
        <f aca="false">Raw_Data!H1290</f>
        <v>no</v>
      </c>
      <c r="J1290" s="2" t="n">
        <f aca="false">IF(F1290="yes",1,0)</f>
        <v>0</v>
      </c>
      <c r="K1290" s="2" t="n">
        <f aca="false">IF(H1290="yes",1,0)</f>
        <v>1</v>
      </c>
      <c r="L1290" s="2" t="n">
        <f aca="false">IF(I1290="yes",1,0)</f>
        <v>0</v>
      </c>
      <c r="M1290" s="2" t="n">
        <f aca="false">IF(G1290&lt;0,1,0)</f>
        <v>1</v>
      </c>
      <c r="N1290" s="2" t="str">
        <f aca="false">_xlfn.IFS(B1290&lt;30,"Under 30",B1290&lt;40,"30-39",B1290&lt;50,"40-49",B1290&lt;60,"50-59",TRUE(),"60+")</f>
        <v>40-49</v>
      </c>
      <c r="O1290" s="2" t="str">
        <f aca="false">_xlfn.IFS(G1290&lt;0,"1 Negative",G1290=0,"2 Zero",G1290&lt;=500,"3 1-500",G1290&lt;=2000,"4 501-2000",TRUE(),"5 Above 2000")</f>
        <v>1 Negative</v>
      </c>
      <c r="P1290" s="2" t="n">
        <f aca="false">Lookups!$B$2*M1290+Lookups!$B$3*L1290</f>
        <v>2</v>
      </c>
      <c r="Q1290" s="2" t="str">
        <f aca="false">INDEX(Lookups!$E$2:$E$5,MATCH(P1290,Lookups!$D$2:$D$5,0))</f>
        <v>High</v>
      </c>
    </row>
    <row r="1291" customFormat="false" ht="15" hidden="false" customHeight="false" outlineLevel="0" collapsed="false">
      <c r="A1291" s="3" t="n">
        <v>1290</v>
      </c>
      <c r="B1291" s="3" t="n">
        <f aca="false">Raw_Data!A1291</f>
        <v>48</v>
      </c>
      <c r="C1291" s="3" t="str">
        <f aca="false">SUBSTITUTE(Raw_Data!B1291,".","")</f>
        <v>admin</v>
      </c>
      <c r="D1291" s="3" t="str">
        <f aca="false">Raw_Data!C1291</f>
        <v>married</v>
      </c>
      <c r="E1291" s="3" t="str">
        <f aca="false">Raw_Data!D1291</f>
        <v>primary</v>
      </c>
      <c r="F1291" s="3" t="str">
        <f aca="false">Raw_Data!E1291</f>
        <v>no</v>
      </c>
      <c r="G1291" s="3" t="n">
        <f aca="false">Raw_Data!F1291</f>
        <v>607</v>
      </c>
      <c r="H1291" s="3" t="str">
        <f aca="false">Raw_Data!G1291</f>
        <v>no</v>
      </c>
      <c r="I1291" s="3" t="str">
        <f aca="false">Raw_Data!H1291</f>
        <v>no</v>
      </c>
      <c r="J1291" s="2" t="n">
        <f aca="false">IF(F1291="yes",1,0)</f>
        <v>0</v>
      </c>
      <c r="K1291" s="2" t="n">
        <f aca="false">IF(H1291="yes",1,0)</f>
        <v>0</v>
      </c>
      <c r="L1291" s="2" t="n">
        <f aca="false">IF(I1291="yes",1,0)</f>
        <v>0</v>
      </c>
      <c r="M1291" s="2" t="n">
        <f aca="false">IF(G1291&lt;0,1,0)</f>
        <v>0</v>
      </c>
      <c r="N1291" s="2" t="str">
        <f aca="false">_xlfn.IFS(B1291&lt;30,"Under 30",B1291&lt;40,"30-39",B1291&lt;50,"40-49",B1291&lt;60,"50-59",TRUE(),"60+")</f>
        <v>40-49</v>
      </c>
      <c r="O1291" s="2" t="str">
        <f aca="false">_xlfn.IFS(G1291&lt;0,"1 Negative",G1291=0,"2 Zero",G1291&lt;=500,"3 1-500",G1291&lt;=2000,"4 501-2000",TRUE(),"5 Above 2000")</f>
        <v>4 501-2000</v>
      </c>
      <c r="P1291" s="2" t="n">
        <f aca="false">Lookups!$B$2*M1291+Lookups!$B$3*L1291</f>
        <v>0</v>
      </c>
      <c r="Q1291" s="2" t="str">
        <f aca="false">INDEX(Lookups!$E$2:$E$5,MATCH(P1291,Lookups!$D$2:$D$5,0))</f>
        <v>Low</v>
      </c>
    </row>
    <row r="1292" customFormat="false" ht="15" hidden="false" customHeight="false" outlineLevel="0" collapsed="false">
      <c r="A1292" s="3" t="n">
        <v>1291</v>
      </c>
      <c r="B1292" s="3" t="n">
        <f aca="false">Raw_Data!A1292</f>
        <v>34</v>
      </c>
      <c r="C1292" s="3" t="str">
        <f aca="false">SUBSTITUTE(Raw_Data!B1292,".","")</f>
        <v>blue-collar</v>
      </c>
      <c r="D1292" s="3" t="str">
        <f aca="false">Raw_Data!C1292</f>
        <v>married</v>
      </c>
      <c r="E1292" s="3" t="str">
        <f aca="false">Raw_Data!D1292</f>
        <v>primary</v>
      </c>
      <c r="F1292" s="3" t="str">
        <f aca="false">Raw_Data!E1292</f>
        <v>no</v>
      </c>
      <c r="G1292" s="3" t="n">
        <f aca="false">Raw_Data!F1292</f>
        <v>79</v>
      </c>
      <c r="H1292" s="3" t="str">
        <f aca="false">Raw_Data!G1292</f>
        <v>yes</v>
      </c>
      <c r="I1292" s="3" t="str">
        <f aca="false">Raw_Data!H1292</f>
        <v>no</v>
      </c>
      <c r="J1292" s="2" t="n">
        <f aca="false">IF(F1292="yes",1,0)</f>
        <v>0</v>
      </c>
      <c r="K1292" s="2" t="n">
        <f aca="false">IF(H1292="yes",1,0)</f>
        <v>1</v>
      </c>
      <c r="L1292" s="2" t="n">
        <f aca="false">IF(I1292="yes",1,0)</f>
        <v>0</v>
      </c>
      <c r="M1292" s="2" t="n">
        <f aca="false">IF(G1292&lt;0,1,0)</f>
        <v>0</v>
      </c>
      <c r="N1292" s="2" t="str">
        <f aca="false">_xlfn.IFS(B1292&lt;30,"Under 30",B1292&lt;40,"30-39",B1292&lt;50,"40-49",B1292&lt;60,"50-59",TRUE(),"60+")</f>
        <v>30-39</v>
      </c>
      <c r="O1292" s="2" t="str">
        <f aca="false">_xlfn.IFS(G1292&lt;0,"1 Negative",G1292=0,"2 Zero",G1292&lt;=500,"3 1-500",G1292&lt;=2000,"4 501-2000",TRUE(),"5 Above 2000")</f>
        <v>3 1-500</v>
      </c>
      <c r="P1292" s="2" t="n">
        <f aca="false">Lookups!$B$2*M1292+Lookups!$B$3*L1292</f>
        <v>0</v>
      </c>
      <c r="Q1292" s="2" t="str">
        <f aca="false">INDEX(Lookups!$E$2:$E$5,MATCH(P1292,Lookups!$D$2:$D$5,0))</f>
        <v>Low</v>
      </c>
    </row>
    <row r="1293" customFormat="false" ht="15" hidden="false" customHeight="false" outlineLevel="0" collapsed="false">
      <c r="A1293" s="3" t="n">
        <v>1292</v>
      </c>
      <c r="B1293" s="3" t="n">
        <f aca="false">Raw_Data!A1293</f>
        <v>55</v>
      </c>
      <c r="C1293" s="3" t="str">
        <f aca="false">SUBSTITUTE(Raw_Data!B1293,".","")</f>
        <v>technician</v>
      </c>
      <c r="D1293" s="3" t="str">
        <f aca="false">Raw_Data!C1293</f>
        <v>divorced</v>
      </c>
      <c r="E1293" s="3" t="str">
        <f aca="false">Raw_Data!D1293</f>
        <v>secondary</v>
      </c>
      <c r="F1293" s="3" t="str">
        <f aca="false">Raw_Data!E1293</f>
        <v>no</v>
      </c>
      <c r="G1293" s="3" t="n">
        <f aca="false">Raw_Data!F1293</f>
        <v>61</v>
      </c>
      <c r="H1293" s="3" t="str">
        <f aca="false">Raw_Data!G1293</f>
        <v>yes</v>
      </c>
      <c r="I1293" s="3" t="str">
        <f aca="false">Raw_Data!H1293</f>
        <v>yes</v>
      </c>
      <c r="J1293" s="2" t="n">
        <f aca="false">IF(F1293="yes",1,0)</f>
        <v>0</v>
      </c>
      <c r="K1293" s="2" t="n">
        <f aca="false">IF(H1293="yes",1,0)</f>
        <v>1</v>
      </c>
      <c r="L1293" s="2" t="n">
        <f aca="false">IF(I1293="yes",1,0)</f>
        <v>1</v>
      </c>
      <c r="M1293" s="2" t="n">
        <f aca="false">IF(G1293&lt;0,1,0)</f>
        <v>0</v>
      </c>
      <c r="N1293" s="2" t="str">
        <f aca="false">_xlfn.IFS(B1293&lt;30,"Under 30",B1293&lt;40,"30-39",B1293&lt;50,"40-49",B1293&lt;60,"50-59",TRUE(),"60+")</f>
        <v>50-59</v>
      </c>
      <c r="O1293" s="2" t="str">
        <f aca="false">_xlfn.IFS(G1293&lt;0,"1 Negative",G1293=0,"2 Zero",G1293&lt;=500,"3 1-500",G1293&lt;=2000,"4 501-2000",TRUE(),"5 Above 2000")</f>
        <v>3 1-500</v>
      </c>
      <c r="P1293" s="2" t="n">
        <f aca="false">Lookups!$B$2*M1293+Lookups!$B$3*L1293</f>
        <v>1</v>
      </c>
      <c r="Q1293" s="2" t="str">
        <f aca="false">INDEX(Lookups!$E$2:$E$5,MATCH(P1293,Lookups!$D$2:$D$5,0))</f>
        <v>Medium</v>
      </c>
    </row>
    <row r="1294" customFormat="false" ht="15" hidden="false" customHeight="false" outlineLevel="0" collapsed="false">
      <c r="A1294" s="3" t="n">
        <v>1293</v>
      </c>
      <c r="B1294" s="3" t="n">
        <f aca="false">Raw_Data!A1294</f>
        <v>49</v>
      </c>
      <c r="C1294" s="3" t="str">
        <f aca="false">SUBSTITUTE(Raw_Data!B1294,".","")</f>
        <v>technician</v>
      </c>
      <c r="D1294" s="3" t="str">
        <f aca="false">Raw_Data!C1294</f>
        <v>married</v>
      </c>
      <c r="E1294" s="3" t="str">
        <f aca="false">Raw_Data!D1294</f>
        <v>secondary</v>
      </c>
      <c r="F1294" s="3" t="str">
        <f aca="false">Raw_Data!E1294</f>
        <v>no</v>
      </c>
      <c r="G1294" s="3" t="n">
        <f aca="false">Raw_Data!F1294</f>
        <v>1091</v>
      </c>
      <c r="H1294" s="3" t="str">
        <f aca="false">Raw_Data!G1294</f>
        <v>no</v>
      </c>
      <c r="I1294" s="3" t="str">
        <f aca="false">Raw_Data!H1294</f>
        <v>no</v>
      </c>
      <c r="J1294" s="2" t="n">
        <f aca="false">IF(F1294="yes",1,0)</f>
        <v>0</v>
      </c>
      <c r="K1294" s="2" t="n">
        <f aca="false">IF(H1294="yes",1,0)</f>
        <v>0</v>
      </c>
      <c r="L1294" s="2" t="n">
        <f aca="false">IF(I1294="yes",1,0)</f>
        <v>0</v>
      </c>
      <c r="M1294" s="2" t="n">
        <f aca="false">IF(G1294&lt;0,1,0)</f>
        <v>0</v>
      </c>
      <c r="N1294" s="2" t="str">
        <f aca="false">_xlfn.IFS(B1294&lt;30,"Under 30",B1294&lt;40,"30-39",B1294&lt;50,"40-49",B1294&lt;60,"50-59",TRUE(),"60+")</f>
        <v>40-49</v>
      </c>
      <c r="O1294" s="2" t="str">
        <f aca="false">_xlfn.IFS(G1294&lt;0,"1 Negative",G1294=0,"2 Zero",G1294&lt;=500,"3 1-500",G1294&lt;=2000,"4 501-2000",TRUE(),"5 Above 2000")</f>
        <v>4 501-2000</v>
      </c>
      <c r="P1294" s="2" t="n">
        <f aca="false">Lookups!$B$2*M1294+Lookups!$B$3*L1294</f>
        <v>0</v>
      </c>
      <c r="Q1294" s="2" t="str">
        <f aca="false">INDEX(Lookups!$E$2:$E$5,MATCH(P1294,Lookups!$D$2:$D$5,0))</f>
        <v>Low</v>
      </c>
    </row>
    <row r="1295" customFormat="false" ht="15" hidden="false" customHeight="false" outlineLevel="0" collapsed="false">
      <c r="A1295" s="3" t="n">
        <v>1294</v>
      </c>
      <c r="B1295" s="3" t="n">
        <f aca="false">Raw_Data!A1295</f>
        <v>46</v>
      </c>
      <c r="C1295" s="3" t="str">
        <f aca="false">SUBSTITUTE(Raw_Data!B1295,".","")</f>
        <v>management</v>
      </c>
      <c r="D1295" s="3" t="str">
        <f aca="false">Raw_Data!C1295</f>
        <v>divorced</v>
      </c>
      <c r="E1295" s="3" t="str">
        <f aca="false">Raw_Data!D1295</f>
        <v>tertiary</v>
      </c>
      <c r="F1295" s="3" t="str">
        <f aca="false">Raw_Data!E1295</f>
        <v>no</v>
      </c>
      <c r="G1295" s="3" t="n">
        <f aca="false">Raw_Data!F1295</f>
        <v>743</v>
      </c>
      <c r="H1295" s="3" t="str">
        <f aca="false">Raw_Data!G1295</f>
        <v>no</v>
      </c>
      <c r="I1295" s="3" t="str">
        <f aca="false">Raw_Data!H1295</f>
        <v>no</v>
      </c>
      <c r="J1295" s="2" t="n">
        <f aca="false">IF(F1295="yes",1,0)</f>
        <v>0</v>
      </c>
      <c r="K1295" s="2" t="n">
        <f aca="false">IF(H1295="yes",1,0)</f>
        <v>0</v>
      </c>
      <c r="L1295" s="2" t="n">
        <f aca="false">IF(I1295="yes",1,0)</f>
        <v>0</v>
      </c>
      <c r="M1295" s="2" t="n">
        <f aca="false">IF(G1295&lt;0,1,0)</f>
        <v>0</v>
      </c>
      <c r="N1295" s="2" t="str">
        <f aca="false">_xlfn.IFS(B1295&lt;30,"Under 30",B1295&lt;40,"30-39",B1295&lt;50,"40-49",B1295&lt;60,"50-59",TRUE(),"60+")</f>
        <v>40-49</v>
      </c>
      <c r="O1295" s="2" t="str">
        <f aca="false">_xlfn.IFS(G1295&lt;0,"1 Negative",G1295=0,"2 Zero",G1295&lt;=500,"3 1-500",G1295&lt;=2000,"4 501-2000",TRUE(),"5 Above 2000")</f>
        <v>4 501-2000</v>
      </c>
      <c r="P1295" s="2" t="n">
        <f aca="false">Lookups!$B$2*M1295+Lookups!$B$3*L1295</f>
        <v>0</v>
      </c>
      <c r="Q1295" s="2" t="str">
        <f aca="false">INDEX(Lookups!$E$2:$E$5,MATCH(P1295,Lookups!$D$2:$D$5,0))</f>
        <v>Low</v>
      </c>
    </row>
    <row r="1296" customFormat="false" ht="15" hidden="false" customHeight="false" outlineLevel="0" collapsed="false">
      <c r="A1296" s="3" t="n">
        <v>1295</v>
      </c>
      <c r="B1296" s="3" t="n">
        <f aca="false">Raw_Data!A1296</f>
        <v>47</v>
      </c>
      <c r="C1296" s="3" t="str">
        <f aca="false">SUBSTITUTE(Raw_Data!B1296,".","")</f>
        <v>entrepreneur</v>
      </c>
      <c r="D1296" s="3" t="str">
        <f aca="false">Raw_Data!C1296</f>
        <v>married</v>
      </c>
      <c r="E1296" s="3" t="str">
        <f aca="false">Raw_Data!D1296</f>
        <v>unknown</v>
      </c>
      <c r="F1296" s="3" t="str">
        <f aca="false">Raw_Data!E1296</f>
        <v>no</v>
      </c>
      <c r="G1296" s="3" t="n">
        <f aca="false">Raw_Data!F1296</f>
        <v>209</v>
      </c>
      <c r="H1296" s="3" t="str">
        <f aca="false">Raw_Data!G1296</f>
        <v>yes</v>
      </c>
      <c r="I1296" s="3" t="str">
        <f aca="false">Raw_Data!H1296</f>
        <v>no</v>
      </c>
      <c r="J1296" s="2" t="n">
        <f aca="false">IF(F1296="yes",1,0)</f>
        <v>0</v>
      </c>
      <c r="K1296" s="2" t="n">
        <f aca="false">IF(H1296="yes",1,0)</f>
        <v>1</v>
      </c>
      <c r="L1296" s="2" t="n">
        <f aca="false">IF(I1296="yes",1,0)</f>
        <v>0</v>
      </c>
      <c r="M1296" s="2" t="n">
        <f aca="false">IF(G1296&lt;0,1,0)</f>
        <v>0</v>
      </c>
      <c r="N1296" s="2" t="str">
        <f aca="false">_xlfn.IFS(B1296&lt;30,"Under 30",B1296&lt;40,"30-39",B1296&lt;50,"40-49",B1296&lt;60,"50-59",TRUE(),"60+")</f>
        <v>40-49</v>
      </c>
      <c r="O1296" s="2" t="str">
        <f aca="false">_xlfn.IFS(G1296&lt;0,"1 Negative",G1296=0,"2 Zero",G1296&lt;=500,"3 1-500",G1296&lt;=2000,"4 501-2000",TRUE(),"5 Above 2000")</f>
        <v>3 1-500</v>
      </c>
      <c r="P1296" s="2" t="n">
        <f aca="false">Lookups!$B$2*M1296+Lookups!$B$3*L1296</f>
        <v>0</v>
      </c>
      <c r="Q1296" s="2" t="str">
        <f aca="false">INDEX(Lookups!$E$2:$E$5,MATCH(P1296,Lookups!$D$2:$D$5,0))</f>
        <v>Low</v>
      </c>
    </row>
    <row r="1297" customFormat="false" ht="15" hidden="false" customHeight="false" outlineLevel="0" collapsed="false">
      <c r="A1297" s="3" t="n">
        <v>1296</v>
      </c>
      <c r="B1297" s="3" t="n">
        <f aca="false">Raw_Data!A1297</f>
        <v>24</v>
      </c>
      <c r="C1297" s="3" t="str">
        <f aca="false">SUBSTITUTE(Raw_Data!B1297,".","")</f>
        <v>management</v>
      </c>
      <c r="D1297" s="3" t="str">
        <f aca="false">Raw_Data!C1297</f>
        <v>single</v>
      </c>
      <c r="E1297" s="3" t="str">
        <f aca="false">Raw_Data!D1297</f>
        <v>tertiary</v>
      </c>
      <c r="F1297" s="3" t="str">
        <f aca="false">Raw_Data!E1297</f>
        <v>no</v>
      </c>
      <c r="G1297" s="3" t="n">
        <f aca="false">Raw_Data!F1297</f>
        <v>172</v>
      </c>
      <c r="H1297" s="3" t="str">
        <f aca="false">Raw_Data!G1297</f>
        <v>no</v>
      </c>
      <c r="I1297" s="3" t="str">
        <f aca="false">Raw_Data!H1297</f>
        <v>no</v>
      </c>
      <c r="J1297" s="2" t="n">
        <f aca="false">IF(F1297="yes",1,0)</f>
        <v>0</v>
      </c>
      <c r="K1297" s="2" t="n">
        <f aca="false">IF(H1297="yes",1,0)</f>
        <v>0</v>
      </c>
      <c r="L1297" s="2" t="n">
        <f aca="false">IF(I1297="yes",1,0)</f>
        <v>0</v>
      </c>
      <c r="M1297" s="2" t="n">
        <f aca="false">IF(G1297&lt;0,1,0)</f>
        <v>0</v>
      </c>
      <c r="N1297" s="2" t="str">
        <f aca="false">_xlfn.IFS(B1297&lt;30,"Under 30",B1297&lt;40,"30-39",B1297&lt;50,"40-49",B1297&lt;60,"50-59",TRUE(),"60+")</f>
        <v>Under 30</v>
      </c>
      <c r="O1297" s="2" t="str">
        <f aca="false">_xlfn.IFS(G1297&lt;0,"1 Negative",G1297=0,"2 Zero",G1297&lt;=500,"3 1-500",G1297&lt;=2000,"4 501-2000",TRUE(),"5 Above 2000")</f>
        <v>3 1-500</v>
      </c>
      <c r="P1297" s="2" t="n">
        <f aca="false">Lookups!$B$2*M1297+Lookups!$B$3*L1297</f>
        <v>0</v>
      </c>
      <c r="Q1297" s="2" t="str">
        <f aca="false">INDEX(Lookups!$E$2:$E$5,MATCH(P1297,Lookups!$D$2:$D$5,0))</f>
        <v>Low</v>
      </c>
    </row>
    <row r="1298" customFormat="false" ht="15" hidden="false" customHeight="false" outlineLevel="0" collapsed="false">
      <c r="A1298" s="3" t="n">
        <v>1297</v>
      </c>
      <c r="B1298" s="3" t="n">
        <f aca="false">Raw_Data!A1298</f>
        <v>58</v>
      </c>
      <c r="C1298" s="3" t="str">
        <f aca="false">SUBSTITUTE(Raw_Data!B1298,".","")</f>
        <v>entrepreneur</v>
      </c>
      <c r="D1298" s="3" t="str">
        <f aca="false">Raw_Data!C1298</f>
        <v>married</v>
      </c>
      <c r="E1298" s="3" t="str">
        <f aca="false">Raw_Data!D1298</f>
        <v>secondary</v>
      </c>
      <c r="F1298" s="3" t="str">
        <f aca="false">Raw_Data!E1298</f>
        <v>no</v>
      </c>
      <c r="G1298" s="3" t="n">
        <f aca="false">Raw_Data!F1298</f>
        <v>2</v>
      </c>
      <c r="H1298" s="3" t="str">
        <f aca="false">Raw_Data!G1298</f>
        <v>no</v>
      </c>
      <c r="I1298" s="3" t="str">
        <f aca="false">Raw_Data!H1298</f>
        <v>no</v>
      </c>
      <c r="J1298" s="2" t="n">
        <f aca="false">IF(F1298="yes",1,0)</f>
        <v>0</v>
      </c>
      <c r="K1298" s="2" t="n">
        <f aca="false">IF(H1298="yes",1,0)</f>
        <v>0</v>
      </c>
      <c r="L1298" s="2" t="n">
        <f aca="false">IF(I1298="yes",1,0)</f>
        <v>0</v>
      </c>
      <c r="M1298" s="2" t="n">
        <f aca="false">IF(G1298&lt;0,1,0)</f>
        <v>0</v>
      </c>
      <c r="N1298" s="2" t="str">
        <f aca="false">_xlfn.IFS(B1298&lt;30,"Under 30",B1298&lt;40,"30-39",B1298&lt;50,"40-49",B1298&lt;60,"50-59",TRUE(),"60+")</f>
        <v>50-59</v>
      </c>
      <c r="O1298" s="2" t="str">
        <f aca="false">_xlfn.IFS(G1298&lt;0,"1 Negative",G1298=0,"2 Zero",G1298&lt;=500,"3 1-500",G1298&lt;=2000,"4 501-2000",TRUE(),"5 Above 2000")</f>
        <v>3 1-500</v>
      </c>
      <c r="P1298" s="2" t="n">
        <f aca="false">Lookups!$B$2*M1298+Lookups!$B$3*L1298</f>
        <v>0</v>
      </c>
      <c r="Q1298" s="2" t="str">
        <f aca="false">INDEX(Lookups!$E$2:$E$5,MATCH(P1298,Lookups!$D$2:$D$5,0))</f>
        <v>Low</v>
      </c>
    </row>
    <row r="1299" customFormat="false" ht="15" hidden="false" customHeight="false" outlineLevel="0" collapsed="false">
      <c r="A1299" s="3" t="n">
        <v>1298</v>
      </c>
      <c r="B1299" s="3" t="n">
        <f aca="false">Raw_Data!A1299</f>
        <v>32</v>
      </c>
      <c r="C1299" s="3" t="str">
        <f aca="false">SUBSTITUTE(Raw_Data!B1299,".","")</f>
        <v>management</v>
      </c>
      <c r="D1299" s="3" t="str">
        <f aca="false">Raw_Data!C1299</f>
        <v>single</v>
      </c>
      <c r="E1299" s="3" t="str">
        <f aca="false">Raw_Data!D1299</f>
        <v>tertiary</v>
      </c>
      <c r="F1299" s="3" t="str">
        <f aca="false">Raw_Data!E1299</f>
        <v>no</v>
      </c>
      <c r="G1299" s="3" t="n">
        <f aca="false">Raw_Data!F1299</f>
        <v>41</v>
      </c>
      <c r="H1299" s="3" t="str">
        <f aca="false">Raw_Data!G1299</f>
        <v>no</v>
      </c>
      <c r="I1299" s="3" t="str">
        <f aca="false">Raw_Data!H1299</f>
        <v>no</v>
      </c>
      <c r="J1299" s="2" t="n">
        <f aca="false">IF(F1299="yes",1,0)</f>
        <v>0</v>
      </c>
      <c r="K1299" s="2" t="n">
        <f aca="false">IF(H1299="yes",1,0)</f>
        <v>0</v>
      </c>
      <c r="L1299" s="2" t="n">
        <f aca="false">IF(I1299="yes",1,0)</f>
        <v>0</v>
      </c>
      <c r="M1299" s="2" t="n">
        <f aca="false">IF(G1299&lt;0,1,0)</f>
        <v>0</v>
      </c>
      <c r="N1299" s="2" t="str">
        <f aca="false">_xlfn.IFS(B1299&lt;30,"Under 30",B1299&lt;40,"30-39",B1299&lt;50,"40-49",B1299&lt;60,"50-59",TRUE(),"60+")</f>
        <v>30-39</v>
      </c>
      <c r="O1299" s="2" t="str">
        <f aca="false">_xlfn.IFS(G1299&lt;0,"1 Negative",G1299=0,"2 Zero",G1299&lt;=500,"3 1-500",G1299&lt;=2000,"4 501-2000",TRUE(),"5 Above 2000")</f>
        <v>3 1-500</v>
      </c>
      <c r="P1299" s="2" t="n">
        <f aca="false">Lookups!$B$2*M1299+Lookups!$B$3*L1299</f>
        <v>0</v>
      </c>
      <c r="Q1299" s="2" t="str">
        <f aca="false">INDEX(Lookups!$E$2:$E$5,MATCH(P1299,Lookups!$D$2:$D$5,0))</f>
        <v>Low</v>
      </c>
    </row>
    <row r="1300" customFormat="false" ht="15" hidden="false" customHeight="false" outlineLevel="0" collapsed="false">
      <c r="A1300" s="3" t="n">
        <v>1299</v>
      </c>
      <c r="B1300" s="3" t="n">
        <f aca="false">Raw_Data!A1300</f>
        <v>25</v>
      </c>
      <c r="C1300" s="3" t="str">
        <f aca="false">SUBSTITUTE(Raw_Data!B1300,".","")</f>
        <v>student</v>
      </c>
      <c r="D1300" s="3" t="str">
        <f aca="false">Raw_Data!C1300</f>
        <v>single</v>
      </c>
      <c r="E1300" s="3" t="str">
        <f aca="false">Raw_Data!D1300</f>
        <v>secondary</v>
      </c>
      <c r="F1300" s="3" t="str">
        <f aca="false">Raw_Data!E1300</f>
        <v>no</v>
      </c>
      <c r="G1300" s="3" t="n">
        <f aca="false">Raw_Data!F1300</f>
        <v>1116</v>
      </c>
      <c r="H1300" s="3" t="str">
        <f aca="false">Raw_Data!G1300</f>
        <v>yes</v>
      </c>
      <c r="I1300" s="3" t="str">
        <f aca="false">Raw_Data!H1300</f>
        <v>no</v>
      </c>
      <c r="J1300" s="2" t="n">
        <f aca="false">IF(F1300="yes",1,0)</f>
        <v>0</v>
      </c>
      <c r="K1300" s="2" t="n">
        <f aca="false">IF(H1300="yes",1,0)</f>
        <v>1</v>
      </c>
      <c r="L1300" s="2" t="n">
        <f aca="false">IF(I1300="yes",1,0)</f>
        <v>0</v>
      </c>
      <c r="M1300" s="2" t="n">
        <f aca="false">IF(G1300&lt;0,1,0)</f>
        <v>0</v>
      </c>
      <c r="N1300" s="2" t="str">
        <f aca="false">_xlfn.IFS(B1300&lt;30,"Under 30",B1300&lt;40,"30-39",B1300&lt;50,"40-49",B1300&lt;60,"50-59",TRUE(),"60+")</f>
        <v>Under 30</v>
      </c>
      <c r="O1300" s="2" t="str">
        <f aca="false">_xlfn.IFS(G1300&lt;0,"1 Negative",G1300=0,"2 Zero",G1300&lt;=500,"3 1-500",G1300&lt;=2000,"4 501-2000",TRUE(),"5 Above 2000")</f>
        <v>4 501-2000</v>
      </c>
      <c r="P1300" s="2" t="n">
        <f aca="false">Lookups!$B$2*M1300+Lookups!$B$3*L1300</f>
        <v>0</v>
      </c>
      <c r="Q1300" s="2" t="str">
        <f aca="false">INDEX(Lookups!$E$2:$E$5,MATCH(P1300,Lookups!$D$2:$D$5,0))</f>
        <v>Low</v>
      </c>
    </row>
    <row r="1301" customFormat="false" ht="15" hidden="false" customHeight="false" outlineLevel="0" collapsed="false">
      <c r="A1301" s="3" t="n">
        <v>1300</v>
      </c>
      <c r="B1301" s="3" t="n">
        <f aca="false">Raw_Data!A1301</f>
        <v>49</v>
      </c>
      <c r="C1301" s="3" t="str">
        <f aca="false">SUBSTITUTE(Raw_Data!B1301,".","")</f>
        <v>blue-collar</v>
      </c>
      <c r="D1301" s="3" t="str">
        <f aca="false">Raw_Data!C1301</f>
        <v>married</v>
      </c>
      <c r="E1301" s="3" t="str">
        <f aca="false">Raw_Data!D1301</f>
        <v>secondary</v>
      </c>
      <c r="F1301" s="3" t="str">
        <f aca="false">Raw_Data!E1301</f>
        <v>no</v>
      </c>
      <c r="G1301" s="3" t="n">
        <f aca="false">Raw_Data!F1301</f>
        <v>-55</v>
      </c>
      <c r="H1301" s="3" t="str">
        <f aca="false">Raw_Data!G1301</f>
        <v>no</v>
      </c>
      <c r="I1301" s="3" t="str">
        <f aca="false">Raw_Data!H1301</f>
        <v>no</v>
      </c>
      <c r="J1301" s="2" t="n">
        <f aca="false">IF(F1301="yes",1,0)</f>
        <v>0</v>
      </c>
      <c r="K1301" s="2" t="n">
        <f aca="false">IF(H1301="yes",1,0)</f>
        <v>0</v>
      </c>
      <c r="L1301" s="2" t="n">
        <f aca="false">IF(I1301="yes",1,0)</f>
        <v>0</v>
      </c>
      <c r="M1301" s="2" t="n">
        <f aca="false">IF(G1301&lt;0,1,0)</f>
        <v>1</v>
      </c>
      <c r="N1301" s="2" t="str">
        <f aca="false">_xlfn.IFS(B1301&lt;30,"Under 30",B1301&lt;40,"30-39",B1301&lt;50,"40-49",B1301&lt;60,"50-59",TRUE(),"60+")</f>
        <v>40-49</v>
      </c>
      <c r="O1301" s="2" t="str">
        <f aca="false">_xlfn.IFS(G1301&lt;0,"1 Negative",G1301=0,"2 Zero",G1301&lt;=500,"3 1-500",G1301&lt;=2000,"4 501-2000",TRUE(),"5 Above 2000")</f>
        <v>1 Negative</v>
      </c>
      <c r="P1301" s="2" t="n">
        <f aca="false">Lookups!$B$2*M1301+Lookups!$B$3*L1301</f>
        <v>2</v>
      </c>
      <c r="Q1301" s="2" t="str">
        <f aca="false">INDEX(Lookups!$E$2:$E$5,MATCH(P1301,Lookups!$D$2:$D$5,0))</f>
        <v>High</v>
      </c>
    </row>
    <row r="1302" customFormat="false" ht="15" hidden="false" customHeight="false" outlineLevel="0" collapsed="false">
      <c r="A1302" s="3" t="n">
        <v>1301</v>
      </c>
      <c r="B1302" s="3" t="n">
        <f aca="false">Raw_Data!A1302</f>
        <v>59</v>
      </c>
      <c r="C1302" s="3" t="str">
        <f aca="false">SUBSTITUTE(Raw_Data!B1302,".","")</f>
        <v>retired</v>
      </c>
      <c r="D1302" s="3" t="str">
        <f aca="false">Raw_Data!C1302</f>
        <v>divorced</v>
      </c>
      <c r="E1302" s="3" t="str">
        <f aca="false">Raw_Data!D1302</f>
        <v>secondary</v>
      </c>
      <c r="F1302" s="3" t="str">
        <f aca="false">Raw_Data!E1302</f>
        <v>no</v>
      </c>
      <c r="G1302" s="3" t="n">
        <f aca="false">Raw_Data!F1302</f>
        <v>5845</v>
      </c>
      <c r="H1302" s="3" t="str">
        <f aca="false">Raw_Data!G1302</f>
        <v>no</v>
      </c>
      <c r="I1302" s="3" t="str">
        <f aca="false">Raw_Data!H1302</f>
        <v>no</v>
      </c>
      <c r="J1302" s="2" t="n">
        <f aca="false">IF(F1302="yes",1,0)</f>
        <v>0</v>
      </c>
      <c r="K1302" s="2" t="n">
        <f aca="false">IF(H1302="yes",1,0)</f>
        <v>0</v>
      </c>
      <c r="L1302" s="2" t="n">
        <f aca="false">IF(I1302="yes",1,0)</f>
        <v>0</v>
      </c>
      <c r="M1302" s="2" t="n">
        <f aca="false">IF(G1302&lt;0,1,0)</f>
        <v>0</v>
      </c>
      <c r="N1302" s="2" t="str">
        <f aca="false">_xlfn.IFS(B1302&lt;30,"Under 30",B1302&lt;40,"30-39",B1302&lt;50,"40-49",B1302&lt;60,"50-59",TRUE(),"60+")</f>
        <v>50-59</v>
      </c>
      <c r="O1302" s="2" t="str">
        <f aca="false">_xlfn.IFS(G1302&lt;0,"1 Negative",G1302=0,"2 Zero",G1302&lt;=500,"3 1-500",G1302&lt;=2000,"4 501-2000",TRUE(),"5 Above 2000")</f>
        <v>5 Above 2000</v>
      </c>
      <c r="P1302" s="2" t="n">
        <f aca="false">Lookups!$B$2*M1302+Lookups!$B$3*L1302</f>
        <v>0</v>
      </c>
      <c r="Q1302" s="2" t="str">
        <f aca="false">INDEX(Lookups!$E$2:$E$5,MATCH(P1302,Lookups!$D$2:$D$5,0))</f>
        <v>Low</v>
      </c>
    </row>
    <row r="1303" customFormat="false" ht="15" hidden="false" customHeight="false" outlineLevel="0" collapsed="false">
      <c r="A1303" s="3" t="n">
        <v>1302</v>
      </c>
      <c r="B1303" s="3" t="n">
        <f aca="false">Raw_Data!A1303</f>
        <v>30</v>
      </c>
      <c r="C1303" s="3" t="str">
        <f aca="false">SUBSTITUTE(Raw_Data!B1303,".","")</f>
        <v>management</v>
      </c>
      <c r="D1303" s="3" t="str">
        <f aca="false">Raw_Data!C1303</f>
        <v>single</v>
      </c>
      <c r="E1303" s="3" t="str">
        <f aca="false">Raw_Data!D1303</f>
        <v>tertiary</v>
      </c>
      <c r="F1303" s="3" t="str">
        <f aca="false">Raw_Data!E1303</f>
        <v>no</v>
      </c>
      <c r="G1303" s="3" t="n">
        <f aca="false">Raw_Data!F1303</f>
        <v>329</v>
      </c>
      <c r="H1303" s="3" t="str">
        <f aca="false">Raw_Data!G1303</f>
        <v>yes</v>
      </c>
      <c r="I1303" s="3" t="str">
        <f aca="false">Raw_Data!H1303</f>
        <v>no</v>
      </c>
      <c r="J1303" s="2" t="n">
        <f aca="false">IF(F1303="yes",1,0)</f>
        <v>0</v>
      </c>
      <c r="K1303" s="2" t="n">
        <f aca="false">IF(H1303="yes",1,0)</f>
        <v>1</v>
      </c>
      <c r="L1303" s="2" t="n">
        <f aca="false">IF(I1303="yes",1,0)</f>
        <v>0</v>
      </c>
      <c r="M1303" s="2" t="n">
        <f aca="false">IF(G1303&lt;0,1,0)</f>
        <v>0</v>
      </c>
      <c r="N1303" s="2" t="str">
        <f aca="false">_xlfn.IFS(B1303&lt;30,"Under 30",B1303&lt;40,"30-39",B1303&lt;50,"40-49",B1303&lt;60,"50-59",TRUE(),"60+")</f>
        <v>30-39</v>
      </c>
      <c r="O1303" s="2" t="str">
        <f aca="false">_xlfn.IFS(G1303&lt;0,"1 Negative",G1303=0,"2 Zero",G1303&lt;=500,"3 1-500",G1303&lt;=2000,"4 501-2000",TRUE(),"5 Above 2000")</f>
        <v>3 1-500</v>
      </c>
      <c r="P1303" s="2" t="n">
        <f aca="false">Lookups!$B$2*M1303+Lookups!$B$3*L1303</f>
        <v>0</v>
      </c>
      <c r="Q1303" s="2" t="str">
        <f aca="false">INDEX(Lookups!$E$2:$E$5,MATCH(P1303,Lookups!$D$2:$D$5,0))</f>
        <v>Low</v>
      </c>
    </row>
    <row r="1304" customFormat="false" ht="15" hidden="false" customHeight="false" outlineLevel="0" collapsed="false">
      <c r="A1304" s="3" t="n">
        <v>1303</v>
      </c>
      <c r="B1304" s="3" t="n">
        <f aca="false">Raw_Data!A1304</f>
        <v>46</v>
      </c>
      <c r="C1304" s="3" t="str">
        <f aca="false">SUBSTITUTE(Raw_Data!B1304,".","")</f>
        <v>blue-collar</v>
      </c>
      <c r="D1304" s="3" t="str">
        <f aca="false">Raw_Data!C1304</f>
        <v>married</v>
      </c>
      <c r="E1304" s="3" t="str">
        <f aca="false">Raw_Data!D1304</f>
        <v>secondary</v>
      </c>
      <c r="F1304" s="3" t="str">
        <f aca="false">Raw_Data!E1304</f>
        <v>no</v>
      </c>
      <c r="G1304" s="3" t="n">
        <f aca="false">Raw_Data!F1304</f>
        <v>494</v>
      </c>
      <c r="H1304" s="3" t="str">
        <f aca="false">Raw_Data!G1304</f>
        <v>yes</v>
      </c>
      <c r="I1304" s="3" t="str">
        <f aca="false">Raw_Data!H1304</f>
        <v>no</v>
      </c>
      <c r="J1304" s="2" t="n">
        <f aca="false">IF(F1304="yes",1,0)</f>
        <v>0</v>
      </c>
      <c r="K1304" s="2" t="n">
        <f aca="false">IF(H1304="yes",1,0)</f>
        <v>1</v>
      </c>
      <c r="L1304" s="2" t="n">
        <f aca="false">IF(I1304="yes",1,0)</f>
        <v>0</v>
      </c>
      <c r="M1304" s="2" t="n">
        <f aca="false">IF(G1304&lt;0,1,0)</f>
        <v>0</v>
      </c>
      <c r="N1304" s="2" t="str">
        <f aca="false">_xlfn.IFS(B1304&lt;30,"Under 30",B1304&lt;40,"30-39",B1304&lt;50,"40-49",B1304&lt;60,"50-59",TRUE(),"60+")</f>
        <v>40-49</v>
      </c>
      <c r="O1304" s="2" t="str">
        <f aca="false">_xlfn.IFS(G1304&lt;0,"1 Negative",G1304=0,"2 Zero",G1304&lt;=500,"3 1-500",G1304&lt;=2000,"4 501-2000",TRUE(),"5 Above 2000")</f>
        <v>3 1-500</v>
      </c>
      <c r="P1304" s="2" t="n">
        <f aca="false">Lookups!$B$2*M1304+Lookups!$B$3*L1304</f>
        <v>0</v>
      </c>
      <c r="Q1304" s="2" t="str">
        <f aca="false">INDEX(Lookups!$E$2:$E$5,MATCH(P1304,Lookups!$D$2:$D$5,0))</f>
        <v>Low</v>
      </c>
    </row>
    <row r="1305" customFormat="false" ht="15" hidden="false" customHeight="false" outlineLevel="0" collapsed="false">
      <c r="A1305" s="3" t="n">
        <v>1304</v>
      </c>
      <c r="B1305" s="3" t="n">
        <f aca="false">Raw_Data!A1305</f>
        <v>42</v>
      </c>
      <c r="C1305" s="3" t="str">
        <f aca="false">SUBSTITUTE(Raw_Data!B1305,".","")</f>
        <v>management</v>
      </c>
      <c r="D1305" s="3" t="str">
        <f aca="false">Raw_Data!C1305</f>
        <v>married</v>
      </c>
      <c r="E1305" s="3" t="str">
        <f aca="false">Raw_Data!D1305</f>
        <v>unknown</v>
      </c>
      <c r="F1305" s="3" t="str">
        <f aca="false">Raw_Data!E1305</f>
        <v>no</v>
      </c>
      <c r="G1305" s="3" t="n">
        <f aca="false">Raw_Data!F1305</f>
        <v>1519</v>
      </c>
      <c r="H1305" s="3" t="str">
        <f aca="false">Raw_Data!G1305</f>
        <v>no</v>
      </c>
      <c r="I1305" s="3" t="str">
        <f aca="false">Raw_Data!H1305</f>
        <v>no</v>
      </c>
      <c r="J1305" s="2" t="n">
        <f aca="false">IF(F1305="yes",1,0)</f>
        <v>0</v>
      </c>
      <c r="K1305" s="2" t="n">
        <f aca="false">IF(H1305="yes",1,0)</f>
        <v>0</v>
      </c>
      <c r="L1305" s="2" t="n">
        <f aca="false">IF(I1305="yes",1,0)</f>
        <v>0</v>
      </c>
      <c r="M1305" s="2" t="n">
        <f aca="false">IF(G1305&lt;0,1,0)</f>
        <v>0</v>
      </c>
      <c r="N1305" s="2" t="str">
        <f aca="false">_xlfn.IFS(B1305&lt;30,"Under 30",B1305&lt;40,"30-39",B1305&lt;50,"40-49",B1305&lt;60,"50-59",TRUE(),"60+")</f>
        <v>40-49</v>
      </c>
      <c r="O1305" s="2" t="str">
        <f aca="false">_xlfn.IFS(G1305&lt;0,"1 Negative",G1305=0,"2 Zero",G1305&lt;=500,"3 1-500",G1305&lt;=2000,"4 501-2000",TRUE(),"5 Above 2000")</f>
        <v>4 501-2000</v>
      </c>
      <c r="P1305" s="2" t="n">
        <f aca="false">Lookups!$B$2*M1305+Lookups!$B$3*L1305</f>
        <v>0</v>
      </c>
      <c r="Q1305" s="2" t="str">
        <f aca="false">INDEX(Lookups!$E$2:$E$5,MATCH(P1305,Lookups!$D$2:$D$5,0))</f>
        <v>Low</v>
      </c>
    </row>
    <row r="1306" customFormat="false" ht="15" hidden="false" customHeight="false" outlineLevel="0" collapsed="false">
      <c r="A1306" s="3" t="n">
        <v>1305</v>
      </c>
      <c r="B1306" s="3" t="n">
        <f aca="false">Raw_Data!A1306</f>
        <v>37</v>
      </c>
      <c r="C1306" s="3" t="str">
        <f aca="false">SUBSTITUTE(Raw_Data!B1306,".","")</f>
        <v>entrepreneur</v>
      </c>
      <c r="D1306" s="3" t="str">
        <f aca="false">Raw_Data!C1306</f>
        <v>married</v>
      </c>
      <c r="E1306" s="3" t="str">
        <f aca="false">Raw_Data!D1306</f>
        <v>tertiary</v>
      </c>
      <c r="F1306" s="3" t="str">
        <f aca="false">Raw_Data!E1306</f>
        <v>no</v>
      </c>
      <c r="G1306" s="3" t="n">
        <f aca="false">Raw_Data!F1306</f>
        <v>2685</v>
      </c>
      <c r="H1306" s="3" t="str">
        <f aca="false">Raw_Data!G1306</f>
        <v>no</v>
      </c>
      <c r="I1306" s="3" t="str">
        <f aca="false">Raw_Data!H1306</f>
        <v>no</v>
      </c>
      <c r="J1306" s="2" t="n">
        <f aca="false">IF(F1306="yes",1,0)</f>
        <v>0</v>
      </c>
      <c r="K1306" s="2" t="n">
        <f aca="false">IF(H1306="yes",1,0)</f>
        <v>0</v>
      </c>
      <c r="L1306" s="2" t="n">
        <f aca="false">IF(I1306="yes",1,0)</f>
        <v>0</v>
      </c>
      <c r="M1306" s="2" t="n">
        <f aca="false">IF(G1306&lt;0,1,0)</f>
        <v>0</v>
      </c>
      <c r="N1306" s="2" t="str">
        <f aca="false">_xlfn.IFS(B1306&lt;30,"Under 30",B1306&lt;40,"30-39",B1306&lt;50,"40-49",B1306&lt;60,"50-59",TRUE(),"60+")</f>
        <v>30-39</v>
      </c>
      <c r="O1306" s="2" t="str">
        <f aca="false">_xlfn.IFS(G1306&lt;0,"1 Negative",G1306=0,"2 Zero",G1306&lt;=500,"3 1-500",G1306&lt;=2000,"4 501-2000",TRUE(),"5 Above 2000")</f>
        <v>5 Above 2000</v>
      </c>
      <c r="P1306" s="2" t="n">
        <f aca="false">Lookups!$B$2*M1306+Lookups!$B$3*L1306</f>
        <v>0</v>
      </c>
      <c r="Q1306" s="2" t="str">
        <f aca="false">INDEX(Lookups!$E$2:$E$5,MATCH(P1306,Lookups!$D$2:$D$5,0))</f>
        <v>Low</v>
      </c>
    </row>
    <row r="1307" customFormat="false" ht="15" hidden="false" customHeight="false" outlineLevel="0" collapsed="false">
      <c r="A1307" s="3" t="n">
        <v>1306</v>
      </c>
      <c r="B1307" s="3" t="n">
        <f aca="false">Raw_Data!A1307</f>
        <v>44</v>
      </c>
      <c r="C1307" s="3" t="str">
        <f aca="false">SUBSTITUTE(Raw_Data!B1307,".","")</f>
        <v>blue-collar</v>
      </c>
      <c r="D1307" s="3" t="str">
        <f aca="false">Raw_Data!C1307</f>
        <v>married</v>
      </c>
      <c r="E1307" s="3" t="str">
        <f aca="false">Raw_Data!D1307</f>
        <v>primary</v>
      </c>
      <c r="F1307" s="3" t="str">
        <f aca="false">Raw_Data!E1307</f>
        <v>no</v>
      </c>
      <c r="G1307" s="3" t="n">
        <f aca="false">Raw_Data!F1307</f>
        <v>-14</v>
      </c>
      <c r="H1307" s="3" t="str">
        <f aca="false">Raw_Data!G1307</f>
        <v>yes</v>
      </c>
      <c r="I1307" s="3" t="str">
        <f aca="false">Raw_Data!H1307</f>
        <v>yes</v>
      </c>
      <c r="J1307" s="2" t="n">
        <f aca="false">IF(F1307="yes",1,0)</f>
        <v>0</v>
      </c>
      <c r="K1307" s="2" t="n">
        <f aca="false">IF(H1307="yes",1,0)</f>
        <v>1</v>
      </c>
      <c r="L1307" s="2" t="n">
        <f aca="false">IF(I1307="yes",1,0)</f>
        <v>1</v>
      </c>
      <c r="M1307" s="2" t="n">
        <f aca="false">IF(G1307&lt;0,1,0)</f>
        <v>1</v>
      </c>
      <c r="N1307" s="2" t="str">
        <f aca="false">_xlfn.IFS(B1307&lt;30,"Under 30",B1307&lt;40,"30-39",B1307&lt;50,"40-49",B1307&lt;60,"50-59",TRUE(),"60+")</f>
        <v>40-49</v>
      </c>
      <c r="O1307" s="2" t="str">
        <f aca="false">_xlfn.IFS(G1307&lt;0,"1 Negative",G1307=0,"2 Zero",G1307&lt;=500,"3 1-500",G1307&lt;=2000,"4 501-2000",TRUE(),"5 Above 2000")</f>
        <v>1 Negative</v>
      </c>
      <c r="P1307" s="2" t="n">
        <f aca="false">Lookups!$B$2*M1307+Lookups!$B$3*L1307</f>
        <v>3</v>
      </c>
      <c r="Q1307" s="2" t="str">
        <f aca="false">INDEX(Lookups!$E$2:$E$5,MATCH(P1307,Lookups!$D$2:$D$5,0))</f>
        <v>High</v>
      </c>
    </row>
    <row r="1308" customFormat="false" ht="15" hidden="false" customHeight="false" outlineLevel="0" collapsed="false">
      <c r="A1308" s="3" t="n">
        <v>1307</v>
      </c>
      <c r="B1308" s="3" t="n">
        <f aca="false">Raw_Data!A1308</f>
        <v>49</v>
      </c>
      <c r="C1308" s="3" t="str">
        <f aca="false">SUBSTITUTE(Raw_Data!B1308,".","")</f>
        <v>services</v>
      </c>
      <c r="D1308" s="3" t="str">
        <f aca="false">Raw_Data!C1308</f>
        <v>married</v>
      </c>
      <c r="E1308" s="3" t="str">
        <f aca="false">Raw_Data!D1308</f>
        <v>secondary</v>
      </c>
      <c r="F1308" s="3" t="str">
        <f aca="false">Raw_Data!E1308</f>
        <v>no</v>
      </c>
      <c r="G1308" s="3" t="n">
        <f aca="false">Raw_Data!F1308</f>
        <v>5673</v>
      </c>
      <c r="H1308" s="3" t="str">
        <f aca="false">Raw_Data!G1308</f>
        <v>no</v>
      </c>
      <c r="I1308" s="3" t="str">
        <f aca="false">Raw_Data!H1308</f>
        <v>yes</v>
      </c>
      <c r="J1308" s="2" t="n">
        <f aca="false">IF(F1308="yes",1,0)</f>
        <v>0</v>
      </c>
      <c r="K1308" s="2" t="n">
        <f aca="false">IF(H1308="yes",1,0)</f>
        <v>0</v>
      </c>
      <c r="L1308" s="2" t="n">
        <f aca="false">IF(I1308="yes",1,0)</f>
        <v>1</v>
      </c>
      <c r="M1308" s="2" t="n">
        <f aca="false">IF(G1308&lt;0,1,0)</f>
        <v>0</v>
      </c>
      <c r="N1308" s="2" t="str">
        <f aca="false">_xlfn.IFS(B1308&lt;30,"Under 30",B1308&lt;40,"30-39",B1308&lt;50,"40-49",B1308&lt;60,"50-59",TRUE(),"60+")</f>
        <v>40-49</v>
      </c>
      <c r="O1308" s="2" t="str">
        <f aca="false">_xlfn.IFS(G1308&lt;0,"1 Negative",G1308=0,"2 Zero",G1308&lt;=500,"3 1-500",G1308&lt;=2000,"4 501-2000",TRUE(),"5 Above 2000")</f>
        <v>5 Above 2000</v>
      </c>
      <c r="P1308" s="2" t="n">
        <f aca="false">Lookups!$B$2*M1308+Lookups!$B$3*L1308</f>
        <v>1</v>
      </c>
      <c r="Q1308" s="2" t="str">
        <f aca="false">INDEX(Lookups!$E$2:$E$5,MATCH(P1308,Lookups!$D$2:$D$5,0))</f>
        <v>Medium</v>
      </c>
    </row>
    <row r="1309" customFormat="false" ht="15" hidden="false" customHeight="false" outlineLevel="0" collapsed="false">
      <c r="A1309" s="3" t="n">
        <v>1308</v>
      </c>
      <c r="B1309" s="3" t="n">
        <f aca="false">Raw_Data!A1309</f>
        <v>41</v>
      </c>
      <c r="C1309" s="3" t="str">
        <f aca="false">SUBSTITUTE(Raw_Data!B1309,".","")</f>
        <v>blue-collar</v>
      </c>
      <c r="D1309" s="3" t="str">
        <f aca="false">Raw_Data!C1309</f>
        <v>married</v>
      </c>
      <c r="E1309" s="3" t="str">
        <f aca="false">Raw_Data!D1309</f>
        <v>secondary</v>
      </c>
      <c r="F1309" s="3" t="str">
        <f aca="false">Raw_Data!E1309</f>
        <v>no</v>
      </c>
      <c r="G1309" s="3" t="n">
        <f aca="false">Raw_Data!F1309</f>
        <v>1459</v>
      </c>
      <c r="H1309" s="3" t="str">
        <f aca="false">Raw_Data!G1309</f>
        <v>no</v>
      </c>
      <c r="I1309" s="3" t="str">
        <f aca="false">Raw_Data!H1309</f>
        <v>no</v>
      </c>
      <c r="J1309" s="2" t="n">
        <f aca="false">IF(F1309="yes",1,0)</f>
        <v>0</v>
      </c>
      <c r="K1309" s="2" t="n">
        <f aca="false">IF(H1309="yes",1,0)</f>
        <v>0</v>
      </c>
      <c r="L1309" s="2" t="n">
        <f aca="false">IF(I1309="yes",1,0)</f>
        <v>0</v>
      </c>
      <c r="M1309" s="2" t="n">
        <f aca="false">IF(G1309&lt;0,1,0)</f>
        <v>0</v>
      </c>
      <c r="N1309" s="2" t="str">
        <f aca="false">_xlfn.IFS(B1309&lt;30,"Under 30",B1309&lt;40,"30-39",B1309&lt;50,"40-49",B1309&lt;60,"50-59",TRUE(),"60+")</f>
        <v>40-49</v>
      </c>
      <c r="O1309" s="2" t="str">
        <f aca="false">_xlfn.IFS(G1309&lt;0,"1 Negative",G1309=0,"2 Zero",G1309&lt;=500,"3 1-500",G1309&lt;=2000,"4 501-2000",TRUE(),"5 Above 2000")</f>
        <v>4 501-2000</v>
      </c>
      <c r="P1309" s="2" t="n">
        <f aca="false">Lookups!$B$2*M1309+Lookups!$B$3*L1309</f>
        <v>0</v>
      </c>
      <c r="Q1309" s="2" t="str">
        <f aca="false">INDEX(Lookups!$E$2:$E$5,MATCH(P1309,Lookups!$D$2:$D$5,0))</f>
        <v>Low</v>
      </c>
    </row>
    <row r="1310" customFormat="false" ht="15" hidden="false" customHeight="false" outlineLevel="0" collapsed="false">
      <c r="A1310" s="3" t="n">
        <v>1309</v>
      </c>
      <c r="B1310" s="3" t="n">
        <f aca="false">Raw_Data!A1310</f>
        <v>48</v>
      </c>
      <c r="C1310" s="3" t="str">
        <f aca="false">SUBSTITUTE(Raw_Data!B1310,".","")</f>
        <v>technician</v>
      </c>
      <c r="D1310" s="3" t="str">
        <f aca="false">Raw_Data!C1310</f>
        <v>married</v>
      </c>
      <c r="E1310" s="3" t="str">
        <f aca="false">Raw_Data!D1310</f>
        <v>tertiary</v>
      </c>
      <c r="F1310" s="3" t="str">
        <f aca="false">Raw_Data!E1310</f>
        <v>no</v>
      </c>
      <c r="G1310" s="3" t="n">
        <f aca="false">Raw_Data!F1310</f>
        <v>0</v>
      </c>
      <c r="H1310" s="3" t="str">
        <f aca="false">Raw_Data!G1310</f>
        <v>no</v>
      </c>
      <c r="I1310" s="3" t="str">
        <f aca="false">Raw_Data!H1310</f>
        <v>no</v>
      </c>
      <c r="J1310" s="2" t="n">
        <f aca="false">IF(F1310="yes",1,0)</f>
        <v>0</v>
      </c>
      <c r="K1310" s="2" t="n">
        <f aca="false">IF(H1310="yes",1,0)</f>
        <v>0</v>
      </c>
      <c r="L1310" s="2" t="n">
        <f aca="false">IF(I1310="yes",1,0)</f>
        <v>0</v>
      </c>
      <c r="M1310" s="2" t="n">
        <f aca="false">IF(G1310&lt;0,1,0)</f>
        <v>0</v>
      </c>
      <c r="N1310" s="2" t="str">
        <f aca="false">_xlfn.IFS(B1310&lt;30,"Under 30",B1310&lt;40,"30-39",B1310&lt;50,"40-49",B1310&lt;60,"50-59",TRUE(),"60+")</f>
        <v>40-49</v>
      </c>
      <c r="O1310" s="2" t="str">
        <f aca="false">_xlfn.IFS(G1310&lt;0,"1 Negative",G1310=0,"2 Zero",G1310&lt;=500,"3 1-500",G1310&lt;=2000,"4 501-2000",TRUE(),"5 Above 2000")</f>
        <v>2 Zero</v>
      </c>
      <c r="P1310" s="2" t="n">
        <f aca="false">Lookups!$B$2*M1310+Lookups!$B$3*L1310</f>
        <v>0</v>
      </c>
      <c r="Q1310" s="2" t="str">
        <f aca="false">INDEX(Lookups!$E$2:$E$5,MATCH(P1310,Lookups!$D$2:$D$5,0))</f>
        <v>Low</v>
      </c>
    </row>
    <row r="1311" customFormat="false" ht="15" hidden="false" customHeight="false" outlineLevel="0" collapsed="false">
      <c r="A1311" s="3" t="n">
        <v>1310</v>
      </c>
      <c r="B1311" s="3" t="n">
        <f aca="false">Raw_Data!A1311</f>
        <v>31</v>
      </c>
      <c r="C1311" s="3" t="str">
        <f aca="false">SUBSTITUTE(Raw_Data!B1311,".","")</f>
        <v>management</v>
      </c>
      <c r="D1311" s="3" t="str">
        <f aca="false">Raw_Data!C1311</f>
        <v>married</v>
      </c>
      <c r="E1311" s="3" t="str">
        <f aca="false">Raw_Data!D1311</f>
        <v>secondary</v>
      </c>
      <c r="F1311" s="3" t="str">
        <f aca="false">Raw_Data!E1311</f>
        <v>no</v>
      </c>
      <c r="G1311" s="3" t="n">
        <f aca="false">Raw_Data!F1311</f>
        <v>625</v>
      </c>
      <c r="H1311" s="3" t="str">
        <f aca="false">Raw_Data!G1311</f>
        <v>yes</v>
      </c>
      <c r="I1311" s="3" t="str">
        <f aca="false">Raw_Data!H1311</f>
        <v>no</v>
      </c>
      <c r="J1311" s="2" t="n">
        <f aca="false">IF(F1311="yes",1,0)</f>
        <v>0</v>
      </c>
      <c r="K1311" s="2" t="n">
        <f aca="false">IF(H1311="yes",1,0)</f>
        <v>1</v>
      </c>
      <c r="L1311" s="2" t="n">
        <f aca="false">IF(I1311="yes",1,0)</f>
        <v>0</v>
      </c>
      <c r="M1311" s="2" t="n">
        <f aca="false">IF(G1311&lt;0,1,0)</f>
        <v>0</v>
      </c>
      <c r="N1311" s="2" t="str">
        <f aca="false">_xlfn.IFS(B1311&lt;30,"Under 30",B1311&lt;40,"30-39",B1311&lt;50,"40-49",B1311&lt;60,"50-59",TRUE(),"60+")</f>
        <v>30-39</v>
      </c>
      <c r="O1311" s="2" t="str">
        <f aca="false">_xlfn.IFS(G1311&lt;0,"1 Negative",G1311=0,"2 Zero",G1311&lt;=500,"3 1-500",G1311&lt;=2000,"4 501-2000",TRUE(),"5 Above 2000")</f>
        <v>4 501-2000</v>
      </c>
      <c r="P1311" s="2" t="n">
        <f aca="false">Lookups!$B$2*M1311+Lookups!$B$3*L1311</f>
        <v>0</v>
      </c>
      <c r="Q1311" s="2" t="str">
        <f aca="false">INDEX(Lookups!$E$2:$E$5,MATCH(P1311,Lookups!$D$2:$D$5,0))</f>
        <v>Low</v>
      </c>
    </row>
    <row r="1312" customFormat="false" ht="15" hidden="false" customHeight="false" outlineLevel="0" collapsed="false">
      <c r="A1312" s="3" t="n">
        <v>1311</v>
      </c>
      <c r="B1312" s="3" t="n">
        <f aca="false">Raw_Data!A1312</f>
        <v>37</v>
      </c>
      <c r="C1312" s="3" t="str">
        <f aca="false">SUBSTITUTE(Raw_Data!B1312,".","")</f>
        <v>student</v>
      </c>
      <c r="D1312" s="3" t="str">
        <f aca="false">Raw_Data!C1312</f>
        <v>married</v>
      </c>
      <c r="E1312" s="3" t="str">
        <f aca="false">Raw_Data!D1312</f>
        <v>unknown</v>
      </c>
      <c r="F1312" s="3" t="str">
        <f aca="false">Raw_Data!E1312</f>
        <v>no</v>
      </c>
      <c r="G1312" s="3" t="n">
        <f aca="false">Raw_Data!F1312</f>
        <v>0</v>
      </c>
      <c r="H1312" s="3" t="str">
        <f aca="false">Raw_Data!G1312</f>
        <v>no</v>
      </c>
      <c r="I1312" s="3" t="str">
        <f aca="false">Raw_Data!H1312</f>
        <v>no</v>
      </c>
      <c r="J1312" s="2" t="n">
        <f aca="false">IF(F1312="yes",1,0)</f>
        <v>0</v>
      </c>
      <c r="K1312" s="2" t="n">
        <f aca="false">IF(H1312="yes",1,0)</f>
        <v>0</v>
      </c>
      <c r="L1312" s="2" t="n">
        <f aca="false">IF(I1312="yes",1,0)</f>
        <v>0</v>
      </c>
      <c r="M1312" s="2" t="n">
        <f aca="false">IF(G1312&lt;0,1,0)</f>
        <v>0</v>
      </c>
      <c r="N1312" s="2" t="str">
        <f aca="false">_xlfn.IFS(B1312&lt;30,"Under 30",B1312&lt;40,"30-39",B1312&lt;50,"40-49",B1312&lt;60,"50-59",TRUE(),"60+")</f>
        <v>30-39</v>
      </c>
      <c r="O1312" s="2" t="str">
        <f aca="false">_xlfn.IFS(G1312&lt;0,"1 Negative",G1312=0,"2 Zero",G1312&lt;=500,"3 1-500",G1312&lt;=2000,"4 501-2000",TRUE(),"5 Above 2000")</f>
        <v>2 Zero</v>
      </c>
      <c r="P1312" s="2" t="n">
        <f aca="false">Lookups!$B$2*M1312+Lookups!$B$3*L1312</f>
        <v>0</v>
      </c>
      <c r="Q1312" s="2" t="str">
        <f aca="false">INDEX(Lookups!$E$2:$E$5,MATCH(P1312,Lookups!$D$2:$D$5,0))</f>
        <v>Low</v>
      </c>
    </row>
    <row r="1313" customFormat="false" ht="15" hidden="false" customHeight="false" outlineLevel="0" collapsed="false">
      <c r="A1313" s="3" t="n">
        <v>1312</v>
      </c>
      <c r="B1313" s="3" t="n">
        <f aca="false">Raw_Data!A1313</f>
        <v>51</v>
      </c>
      <c r="C1313" s="3" t="str">
        <f aca="false">SUBSTITUTE(Raw_Data!B1313,".","")</f>
        <v>services</v>
      </c>
      <c r="D1313" s="3" t="str">
        <f aca="false">Raw_Data!C1313</f>
        <v>married</v>
      </c>
      <c r="E1313" s="3" t="str">
        <f aca="false">Raw_Data!D1313</f>
        <v>secondary</v>
      </c>
      <c r="F1313" s="3" t="str">
        <f aca="false">Raw_Data!E1313</f>
        <v>no</v>
      </c>
      <c r="G1313" s="3" t="n">
        <f aca="false">Raw_Data!F1313</f>
        <v>867</v>
      </c>
      <c r="H1313" s="3" t="str">
        <f aca="false">Raw_Data!G1313</f>
        <v>yes</v>
      </c>
      <c r="I1313" s="3" t="str">
        <f aca="false">Raw_Data!H1313</f>
        <v>no</v>
      </c>
      <c r="J1313" s="2" t="n">
        <f aca="false">IF(F1313="yes",1,0)</f>
        <v>0</v>
      </c>
      <c r="K1313" s="2" t="n">
        <f aca="false">IF(H1313="yes",1,0)</f>
        <v>1</v>
      </c>
      <c r="L1313" s="2" t="n">
        <f aca="false">IF(I1313="yes",1,0)</f>
        <v>0</v>
      </c>
      <c r="M1313" s="2" t="n">
        <f aca="false">IF(G1313&lt;0,1,0)</f>
        <v>0</v>
      </c>
      <c r="N1313" s="2" t="str">
        <f aca="false">_xlfn.IFS(B1313&lt;30,"Under 30",B1313&lt;40,"30-39",B1313&lt;50,"40-49",B1313&lt;60,"50-59",TRUE(),"60+")</f>
        <v>50-59</v>
      </c>
      <c r="O1313" s="2" t="str">
        <f aca="false">_xlfn.IFS(G1313&lt;0,"1 Negative",G1313=0,"2 Zero",G1313&lt;=500,"3 1-500",G1313&lt;=2000,"4 501-2000",TRUE(),"5 Above 2000")</f>
        <v>4 501-2000</v>
      </c>
      <c r="P1313" s="2" t="n">
        <f aca="false">Lookups!$B$2*M1313+Lookups!$B$3*L1313</f>
        <v>0</v>
      </c>
      <c r="Q1313" s="2" t="str">
        <f aca="false">INDEX(Lookups!$E$2:$E$5,MATCH(P1313,Lookups!$D$2:$D$5,0))</f>
        <v>Low</v>
      </c>
    </row>
    <row r="1314" customFormat="false" ht="15" hidden="false" customHeight="false" outlineLevel="0" collapsed="false">
      <c r="A1314" s="3" t="n">
        <v>1313</v>
      </c>
      <c r="B1314" s="3" t="n">
        <f aca="false">Raw_Data!A1314</f>
        <v>80</v>
      </c>
      <c r="C1314" s="3" t="str">
        <f aca="false">SUBSTITUTE(Raw_Data!B1314,".","")</f>
        <v>retired</v>
      </c>
      <c r="D1314" s="3" t="str">
        <f aca="false">Raw_Data!C1314</f>
        <v>married</v>
      </c>
      <c r="E1314" s="3" t="str">
        <f aca="false">Raw_Data!D1314</f>
        <v>secondary</v>
      </c>
      <c r="F1314" s="3" t="str">
        <f aca="false">Raw_Data!E1314</f>
        <v>no</v>
      </c>
      <c r="G1314" s="3" t="n">
        <f aca="false">Raw_Data!F1314</f>
        <v>8304</v>
      </c>
      <c r="H1314" s="3" t="str">
        <f aca="false">Raw_Data!G1314</f>
        <v>no</v>
      </c>
      <c r="I1314" s="3" t="str">
        <f aca="false">Raw_Data!H1314</f>
        <v>no</v>
      </c>
      <c r="J1314" s="2" t="n">
        <f aca="false">IF(F1314="yes",1,0)</f>
        <v>0</v>
      </c>
      <c r="K1314" s="2" t="n">
        <f aca="false">IF(H1314="yes",1,0)</f>
        <v>0</v>
      </c>
      <c r="L1314" s="2" t="n">
        <f aca="false">IF(I1314="yes",1,0)</f>
        <v>0</v>
      </c>
      <c r="M1314" s="2" t="n">
        <f aca="false">IF(G1314&lt;0,1,0)</f>
        <v>0</v>
      </c>
      <c r="N1314" s="2" t="str">
        <f aca="false">_xlfn.IFS(B1314&lt;30,"Under 30",B1314&lt;40,"30-39",B1314&lt;50,"40-49",B1314&lt;60,"50-59",TRUE(),"60+")</f>
        <v>60+</v>
      </c>
      <c r="O1314" s="2" t="str">
        <f aca="false">_xlfn.IFS(G1314&lt;0,"1 Negative",G1314=0,"2 Zero",G1314&lt;=500,"3 1-500",G1314&lt;=2000,"4 501-2000",TRUE(),"5 Above 2000")</f>
        <v>5 Above 2000</v>
      </c>
      <c r="P1314" s="2" t="n">
        <f aca="false">Lookups!$B$2*M1314+Lookups!$B$3*L1314</f>
        <v>0</v>
      </c>
      <c r="Q1314" s="2" t="str">
        <f aca="false">INDEX(Lookups!$E$2:$E$5,MATCH(P1314,Lookups!$D$2:$D$5,0))</f>
        <v>Low</v>
      </c>
    </row>
    <row r="1315" customFormat="false" ht="15" hidden="false" customHeight="false" outlineLevel="0" collapsed="false">
      <c r="A1315" s="3" t="n">
        <v>1314</v>
      </c>
      <c r="B1315" s="3" t="n">
        <f aca="false">Raw_Data!A1315</f>
        <v>32</v>
      </c>
      <c r="C1315" s="3" t="str">
        <f aca="false">SUBSTITUTE(Raw_Data!B1315,".","")</f>
        <v>management</v>
      </c>
      <c r="D1315" s="3" t="str">
        <f aca="false">Raw_Data!C1315</f>
        <v>single</v>
      </c>
      <c r="E1315" s="3" t="str">
        <f aca="false">Raw_Data!D1315</f>
        <v>tertiary</v>
      </c>
      <c r="F1315" s="3" t="str">
        <f aca="false">Raw_Data!E1315</f>
        <v>no</v>
      </c>
      <c r="G1315" s="3" t="n">
        <f aca="false">Raw_Data!F1315</f>
        <v>151</v>
      </c>
      <c r="H1315" s="3" t="str">
        <f aca="false">Raw_Data!G1315</f>
        <v>yes</v>
      </c>
      <c r="I1315" s="3" t="str">
        <f aca="false">Raw_Data!H1315</f>
        <v>no</v>
      </c>
      <c r="J1315" s="2" t="n">
        <f aca="false">IF(F1315="yes",1,0)</f>
        <v>0</v>
      </c>
      <c r="K1315" s="2" t="n">
        <f aca="false">IF(H1315="yes",1,0)</f>
        <v>1</v>
      </c>
      <c r="L1315" s="2" t="n">
        <f aca="false">IF(I1315="yes",1,0)</f>
        <v>0</v>
      </c>
      <c r="M1315" s="2" t="n">
        <f aca="false">IF(G1315&lt;0,1,0)</f>
        <v>0</v>
      </c>
      <c r="N1315" s="2" t="str">
        <f aca="false">_xlfn.IFS(B1315&lt;30,"Under 30",B1315&lt;40,"30-39",B1315&lt;50,"40-49",B1315&lt;60,"50-59",TRUE(),"60+")</f>
        <v>30-39</v>
      </c>
      <c r="O1315" s="2" t="str">
        <f aca="false">_xlfn.IFS(G1315&lt;0,"1 Negative",G1315=0,"2 Zero",G1315&lt;=500,"3 1-500",G1315&lt;=2000,"4 501-2000",TRUE(),"5 Above 2000")</f>
        <v>3 1-500</v>
      </c>
      <c r="P1315" s="2" t="n">
        <f aca="false">Lookups!$B$2*M1315+Lookups!$B$3*L1315</f>
        <v>0</v>
      </c>
      <c r="Q1315" s="2" t="str">
        <f aca="false">INDEX(Lookups!$E$2:$E$5,MATCH(P1315,Lookups!$D$2:$D$5,0))</f>
        <v>Low</v>
      </c>
    </row>
    <row r="1316" customFormat="false" ht="15" hidden="false" customHeight="false" outlineLevel="0" collapsed="false">
      <c r="A1316" s="3" t="n">
        <v>1315</v>
      </c>
      <c r="B1316" s="3" t="n">
        <f aca="false">Raw_Data!A1316</f>
        <v>48</v>
      </c>
      <c r="C1316" s="3" t="str">
        <f aca="false">SUBSTITUTE(Raw_Data!B1316,".","")</f>
        <v>services</v>
      </c>
      <c r="D1316" s="3" t="str">
        <f aca="false">Raw_Data!C1316</f>
        <v>married</v>
      </c>
      <c r="E1316" s="3" t="str">
        <f aca="false">Raw_Data!D1316</f>
        <v>primary</v>
      </c>
      <c r="F1316" s="3" t="str">
        <f aca="false">Raw_Data!E1316</f>
        <v>yes</v>
      </c>
      <c r="G1316" s="3" t="n">
        <f aca="false">Raw_Data!F1316</f>
        <v>-583</v>
      </c>
      <c r="H1316" s="3" t="str">
        <f aca="false">Raw_Data!G1316</f>
        <v>yes</v>
      </c>
      <c r="I1316" s="3" t="str">
        <f aca="false">Raw_Data!H1316</f>
        <v>no</v>
      </c>
      <c r="J1316" s="2" t="n">
        <f aca="false">IF(F1316="yes",1,0)</f>
        <v>1</v>
      </c>
      <c r="K1316" s="2" t="n">
        <f aca="false">IF(H1316="yes",1,0)</f>
        <v>1</v>
      </c>
      <c r="L1316" s="2" t="n">
        <f aca="false">IF(I1316="yes",1,0)</f>
        <v>0</v>
      </c>
      <c r="M1316" s="2" t="n">
        <f aca="false">IF(G1316&lt;0,1,0)</f>
        <v>1</v>
      </c>
      <c r="N1316" s="2" t="str">
        <f aca="false">_xlfn.IFS(B1316&lt;30,"Under 30",B1316&lt;40,"30-39",B1316&lt;50,"40-49",B1316&lt;60,"50-59",TRUE(),"60+")</f>
        <v>40-49</v>
      </c>
      <c r="O1316" s="2" t="str">
        <f aca="false">_xlfn.IFS(G1316&lt;0,"1 Negative",G1316=0,"2 Zero",G1316&lt;=500,"3 1-500",G1316&lt;=2000,"4 501-2000",TRUE(),"5 Above 2000")</f>
        <v>1 Negative</v>
      </c>
      <c r="P1316" s="2" t="n">
        <f aca="false">Lookups!$B$2*M1316+Lookups!$B$3*L1316</f>
        <v>2</v>
      </c>
      <c r="Q1316" s="2" t="str">
        <f aca="false">INDEX(Lookups!$E$2:$E$5,MATCH(P1316,Lookups!$D$2:$D$5,0))</f>
        <v>High</v>
      </c>
    </row>
    <row r="1317" customFormat="false" ht="15" hidden="false" customHeight="false" outlineLevel="0" collapsed="false">
      <c r="A1317" s="3" t="n">
        <v>1316</v>
      </c>
      <c r="B1317" s="3" t="n">
        <f aca="false">Raw_Data!A1317</f>
        <v>49</v>
      </c>
      <c r="C1317" s="3" t="str">
        <f aca="false">SUBSTITUTE(Raw_Data!B1317,".","")</f>
        <v>blue-collar</v>
      </c>
      <c r="D1317" s="3" t="str">
        <f aca="false">Raw_Data!C1317</f>
        <v>married</v>
      </c>
      <c r="E1317" s="3" t="str">
        <f aca="false">Raw_Data!D1317</f>
        <v>tertiary</v>
      </c>
      <c r="F1317" s="3" t="str">
        <f aca="false">Raw_Data!E1317</f>
        <v>no</v>
      </c>
      <c r="G1317" s="3" t="n">
        <f aca="false">Raw_Data!F1317</f>
        <v>1784</v>
      </c>
      <c r="H1317" s="3" t="str">
        <f aca="false">Raw_Data!G1317</f>
        <v>no</v>
      </c>
      <c r="I1317" s="3" t="str">
        <f aca="false">Raw_Data!H1317</f>
        <v>no</v>
      </c>
      <c r="J1317" s="2" t="n">
        <f aca="false">IF(F1317="yes",1,0)</f>
        <v>0</v>
      </c>
      <c r="K1317" s="2" t="n">
        <f aca="false">IF(H1317="yes",1,0)</f>
        <v>0</v>
      </c>
      <c r="L1317" s="2" t="n">
        <f aca="false">IF(I1317="yes",1,0)</f>
        <v>0</v>
      </c>
      <c r="M1317" s="2" t="n">
        <f aca="false">IF(G1317&lt;0,1,0)</f>
        <v>0</v>
      </c>
      <c r="N1317" s="2" t="str">
        <f aca="false">_xlfn.IFS(B1317&lt;30,"Under 30",B1317&lt;40,"30-39",B1317&lt;50,"40-49",B1317&lt;60,"50-59",TRUE(),"60+")</f>
        <v>40-49</v>
      </c>
      <c r="O1317" s="2" t="str">
        <f aca="false">_xlfn.IFS(G1317&lt;0,"1 Negative",G1317=0,"2 Zero",G1317&lt;=500,"3 1-500",G1317&lt;=2000,"4 501-2000",TRUE(),"5 Above 2000")</f>
        <v>4 501-2000</v>
      </c>
      <c r="P1317" s="2" t="n">
        <f aca="false">Lookups!$B$2*M1317+Lookups!$B$3*L1317</f>
        <v>0</v>
      </c>
      <c r="Q1317" s="2" t="str">
        <f aca="false">INDEX(Lookups!$E$2:$E$5,MATCH(P1317,Lookups!$D$2:$D$5,0))</f>
        <v>Low</v>
      </c>
    </row>
    <row r="1318" customFormat="false" ht="15" hidden="false" customHeight="false" outlineLevel="0" collapsed="false">
      <c r="A1318" s="3" t="n">
        <v>1317</v>
      </c>
      <c r="B1318" s="3" t="n">
        <f aca="false">Raw_Data!A1318</f>
        <v>30</v>
      </c>
      <c r="C1318" s="3" t="str">
        <f aca="false">SUBSTITUTE(Raw_Data!B1318,".","")</f>
        <v>management</v>
      </c>
      <c r="D1318" s="3" t="str">
        <f aca="false">Raw_Data!C1318</f>
        <v>married</v>
      </c>
      <c r="E1318" s="3" t="str">
        <f aca="false">Raw_Data!D1318</f>
        <v>tertiary</v>
      </c>
      <c r="F1318" s="3" t="str">
        <f aca="false">Raw_Data!E1318</f>
        <v>no</v>
      </c>
      <c r="G1318" s="3" t="n">
        <f aca="false">Raw_Data!F1318</f>
        <v>3134</v>
      </c>
      <c r="H1318" s="3" t="str">
        <f aca="false">Raw_Data!G1318</f>
        <v>yes</v>
      </c>
      <c r="I1318" s="3" t="str">
        <f aca="false">Raw_Data!H1318</f>
        <v>no</v>
      </c>
      <c r="J1318" s="2" t="n">
        <f aca="false">IF(F1318="yes",1,0)</f>
        <v>0</v>
      </c>
      <c r="K1318" s="2" t="n">
        <f aca="false">IF(H1318="yes",1,0)</f>
        <v>1</v>
      </c>
      <c r="L1318" s="2" t="n">
        <f aca="false">IF(I1318="yes",1,0)</f>
        <v>0</v>
      </c>
      <c r="M1318" s="2" t="n">
        <f aca="false">IF(G1318&lt;0,1,0)</f>
        <v>0</v>
      </c>
      <c r="N1318" s="2" t="str">
        <f aca="false">_xlfn.IFS(B1318&lt;30,"Under 30",B1318&lt;40,"30-39",B1318&lt;50,"40-49",B1318&lt;60,"50-59",TRUE(),"60+")</f>
        <v>30-39</v>
      </c>
      <c r="O1318" s="2" t="str">
        <f aca="false">_xlfn.IFS(G1318&lt;0,"1 Negative",G1318=0,"2 Zero",G1318&lt;=500,"3 1-500",G1318&lt;=2000,"4 501-2000",TRUE(),"5 Above 2000")</f>
        <v>5 Above 2000</v>
      </c>
      <c r="P1318" s="2" t="n">
        <f aca="false">Lookups!$B$2*M1318+Lookups!$B$3*L1318</f>
        <v>0</v>
      </c>
      <c r="Q1318" s="2" t="str">
        <f aca="false">INDEX(Lookups!$E$2:$E$5,MATCH(P1318,Lookups!$D$2:$D$5,0))</f>
        <v>Low</v>
      </c>
    </row>
    <row r="1319" customFormat="false" ht="15" hidden="false" customHeight="false" outlineLevel="0" collapsed="false">
      <c r="A1319" s="3" t="n">
        <v>1318</v>
      </c>
      <c r="B1319" s="3" t="n">
        <f aca="false">Raw_Data!A1319</f>
        <v>27</v>
      </c>
      <c r="C1319" s="3" t="str">
        <f aca="false">SUBSTITUTE(Raw_Data!B1319,".","")</f>
        <v>self-employed</v>
      </c>
      <c r="D1319" s="3" t="str">
        <f aca="false">Raw_Data!C1319</f>
        <v>single</v>
      </c>
      <c r="E1319" s="3" t="str">
        <f aca="false">Raw_Data!D1319</f>
        <v>secondary</v>
      </c>
      <c r="F1319" s="3" t="str">
        <f aca="false">Raw_Data!E1319</f>
        <v>no</v>
      </c>
      <c r="G1319" s="3" t="n">
        <f aca="false">Raw_Data!F1319</f>
        <v>49</v>
      </c>
      <c r="H1319" s="3" t="str">
        <f aca="false">Raw_Data!G1319</f>
        <v>yes</v>
      </c>
      <c r="I1319" s="3" t="str">
        <f aca="false">Raw_Data!H1319</f>
        <v>no</v>
      </c>
      <c r="J1319" s="2" t="n">
        <f aca="false">IF(F1319="yes",1,0)</f>
        <v>0</v>
      </c>
      <c r="K1319" s="2" t="n">
        <f aca="false">IF(H1319="yes",1,0)</f>
        <v>1</v>
      </c>
      <c r="L1319" s="2" t="n">
        <f aca="false">IF(I1319="yes",1,0)</f>
        <v>0</v>
      </c>
      <c r="M1319" s="2" t="n">
        <f aca="false">IF(G1319&lt;0,1,0)</f>
        <v>0</v>
      </c>
      <c r="N1319" s="2" t="str">
        <f aca="false">_xlfn.IFS(B1319&lt;30,"Under 30",B1319&lt;40,"30-39",B1319&lt;50,"40-49",B1319&lt;60,"50-59",TRUE(),"60+")</f>
        <v>Under 30</v>
      </c>
      <c r="O1319" s="2" t="str">
        <f aca="false">_xlfn.IFS(G1319&lt;0,"1 Negative",G1319=0,"2 Zero",G1319&lt;=500,"3 1-500",G1319&lt;=2000,"4 501-2000",TRUE(),"5 Above 2000")</f>
        <v>3 1-500</v>
      </c>
      <c r="P1319" s="2" t="n">
        <f aca="false">Lookups!$B$2*M1319+Lookups!$B$3*L1319</f>
        <v>0</v>
      </c>
      <c r="Q1319" s="2" t="str">
        <f aca="false">INDEX(Lookups!$E$2:$E$5,MATCH(P1319,Lookups!$D$2:$D$5,0))</f>
        <v>Low</v>
      </c>
    </row>
    <row r="1320" customFormat="false" ht="15" hidden="false" customHeight="false" outlineLevel="0" collapsed="false">
      <c r="A1320" s="3" t="n">
        <v>1319</v>
      </c>
      <c r="B1320" s="3" t="n">
        <f aca="false">Raw_Data!A1320</f>
        <v>34</v>
      </c>
      <c r="C1320" s="3" t="str">
        <f aca="false">SUBSTITUTE(Raw_Data!B1320,".","")</f>
        <v>technician</v>
      </c>
      <c r="D1320" s="3" t="str">
        <f aca="false">Raw_Data!C1320</f>
        <v>married</v>
      </c>
      <c r="E1320" s="3" t="str">
        <f aca="false">Raw_Data!D1320</f>
        <v>secondary</v>
      </c>
      <c r="F1320" s="3" t="str">
        <f aca="false">Raw_Data!E1320</f>
        <v>no</v>
      </c>
      <c r="G1320" s="3" t="n">
        <f aca="false">Raw_Data!F1320</f>
        <v>-346</v>
      </c>
      <c r="H1320" s="3" t="str">
        <f aca="false">Raw_Data!G1320</f>
        <v>no</v>
      </c>
      <c r="I1320" s="3" t="str">
        <f aca="false">Raw_Data!H1320</f>
        <v>no</v>
      </c>
      <c r="J1320" s="2" t="n">
        <f aca="false">IF(F1320="yes",1,0)</f>
        <v>0</v>
      </c>
      <c r="K1320" s="2" t="n">
        <f aca="false">IF(H1320="yes",1,0)</f>
        <v>0</v>
      </c>
      <c r="L1320" s="2" t="n">
        <f aca="false">IF(I1320="yes",1,0)</f>
        <v>0</v>
      </c>
      <c r="M1320" s="2" t="n">
        <f aca="false">IF(G1320&lt;0,1,0)</f>
        <v>1</v>
      </c>
      <c r="N1320" s="2" t="str">
        <f aca="false">_xlfn.IFS(B1320&lt;30,"Under 30",B1320&lt;40,"30-39",B1320&lt;50,"40-49",B1320&lt;60,"50-59",TRUE(),"60+")</f>
        <v>30-39</v>
      </c>
      <c r="O1320" s="2" t="str">
        <f aca="false">_xlfn.IFS(G1320&lt;0,"1 Negative",G1320=0,"2 Zero",G1320&lt;=500,"3 1-500",G1320&lt;=2000,"4 501-2000",TRUE(),"5 Above 2000")</f>
        <v>1 Negative</v>
      </c>
      <c r="P1320" s="2" t="n">
        <f aca="false">Lookups!$B$2*M1320+Lookups!$B$3*L1320</f>
        <v>2</v>
      </c>
      <c r="Q1320" s="2" t="str">
        <f aca="false">INDEX(Lookups!$E$2:$E$5,MATCH(P1320,Lookups!$D$2:$D$5,0))</f>
        <v>High</v>
      </c>
    </row>
    <row r="1321" customFormat="false" ht="15" hidden="false" customHeight="false" outlineLevel="0" collapsed="false">
      <c r="A1321" s="3" t="n">
        <v>1320</v>
      </c>
      <c r="B1321" s="3" t="n">
        <f aca="false">Raw_Data!A1321</f>
        <v>49</v>
      </c>
      <c r="C1321" s="3" t="str">
        <f aca="false">SUBSTITUTE(Raw_Data!B1321,".","")</f>
        <v>management</v>
      </c>
      <c r="D1321" s="3" t="str">
        <f aca="false">Raw_Data!C1321</f>
        <v>married</v>
      </c>
      <c r="E1321" s="3" t="str">
        <f aca="false">Raw_Data!D1321</f>
        <v>secondary</v>
      </c>
      <c r="F1321" s="3" t="str">
        <f aca="false">Raw_Data!E1321</f>
        <v>no</v>
      </c>
      <c r="G1321" s="3" t="n">
        <f aca="false">Raw_Data!F1321</f>
        <v>1623</v>
      </c>
      <c r="H1321" s="3" t="str">
        <f aca="false">Raw_Data!G1321</f>
        <v>yes</v>
      </c>
      <c r="I1321" s="3" t="str">
        <f aca="false">Raw_Data!H1321</f>
        <v>no</v>
      </c>
      <c r="J1321" s="2" t="n">
        <f aca="false">IF(F1321="yes",1,0)</f>
        <v>0</v>
      </c>
      <c r="K1321" s="2" t="n">
        <f aca="false">IF(H1321="yes",1,0)</f>
        <v>1</v>
      </c>
      <c r="L1321" s="2" t="n">
        <f aca="false">IF(I1321="yes",1,0)</f>
        <v>0</v>
      </c>
      <c r="M1321" s="2" t="n">
        <f aca="false">IF(G1321&lt;0,1,0)</f>
        <v>0</v>
      </c>
      <c r="N1321" s="2" t="str">
        <f aca="false">_xlfn.IFS(B1321&lt;30,"Under 30",B1321&lt;40,"30-39",B1321&lt;50,"40-49",B1321&lt;60,"50-59",TRUE(),"60+")</f>
        <v>40-49</v>
      </c>
      <c r="O1321" s="2" t="str">
        <f aca="false">_xlfn.IFS(G1321&lt;0,"1 Negative",G1321=0,"2 Zero",G1321&lt;=500,"3 1-500",G1321&lt;=2000,"4 501-2000",TRUE(),"5 Above 2000")</f>
        <v>4 501-2000</v>
      </c>
      <c r="P1321" s="2" t="n">
        <f aca="false">Lookups!$B$2*M1321+Lookups!$B$3*L1321</f>
        <v>0</v>
      </c>
      <c r="Q1321" s="2" t="str">
        <f aca="false">INDEX(Lookups!$E$2:$E$5,MATCH(P1321,Lookups!$D$2:$D$5,0))</f>
        <v>Low</v>
      </c>
    </row>
    <row r="1322" customFormat="false" ht="15" hidden="false" customHeight="false" outlineLevel="0" collapsed="false">
      <c r="A1322" s="3" t="n">
        <v>1321</v>
      </c>
      <c r="B1322" s="3" t="n">
        <f aca="false">Raw_Data!A1322</f>
        <v>48</v>
      </c>
      <c r="C1322" s="3" t="str">
        <f aca="false">SUBSTITUTE(Raw_Data!B1322,".","")</f>
        <v>management</v>
      </c>
      <c r="D1322" s="3" t="str">
        <f aca="false">Raw_Data!C1322</f>
        <v>married</v>
      </c>
      <c r="E1322" s="3" t="str">
        <f aca="false">Raw_Data!D1322</f>
        <v>tertiary</v>
      </c>
      <c r="F1322" s="3" t="str">
        <f aca="false">Raw_Data!E1322</f>
        <v>no</v>
      </c>
      <c r="G1322" s="3" t="n">
        <f aca="false">Raw_Data!F1322</f>
        <v>60</v>
      </c>
      <c r="H1322" s="3" t="str">
        <f aca="false">Raw_Data!G1322</f>
        <v>no</v>
      </c>
      <c r="I1322" s="3" t="str">
        <f aca="false">Raw_Data!H1322</f>
        <v>no</v>
      </c>
      <c r="J1322" s="2" t="n">
        <f aca="false">IF(F1322="yes",1,0)</f>
        <v>0</v>
      </c>
      <c r="K1322" s="2" t="n">
        <f aca="false">IF(H1322="yes",1,0)</f>
        <v>0</v>
      </c>
      <c r="L1322" s="2" t="n">
        <f aca="false">IF(I1322="yes",1,0)</f>
        <v>0</v>
      </c>
      <c r="M1322" s="2" t="n">
        <f aca="false">IF(G1322&lt;0,1,0)</f>
        <v>0</v>
      </c>
      <c r="N1322" s="2" t="str">
        <f aca="false">_xlfn.IFS(B1322&lt;30,"Under 30",B1322&lt;40,"30-39",B1322&lt;50,"40-49",B1322&lt;60,"50-59",TRUE(),"60+")</f>
        <v>40-49</v>
      </c>
      <c r="O1322" s="2" t="str">
        <f aca="false">_xlfn.IFS(G1322&lt;0,"1 Negative",G1322=0,"2 Zero",G1322&lt;=500,"3 1-500",G1322&lt;=2000,"4 501-2000",TRUE(),"5 Above 2000")</f>
        <v>3 1-500</v>
      </c>
      <c r="P1322" s="2" t="n">
        <f aca="false">Lookups!$B$2*M1322+Lookups!$B$3*L1322</f>
        <v>0</v>
      </c>
      <c r="Q1322" s="2" t="str">
        <f aca="false">INDEX(Lookups!$E$2:$E$5,MATCH(P1322,Lookups!$D$2:$D$5,0))</f>
        <v>Low</v>
      </c>
    </row>
    <row r="1323" customFormat="false" ht="15" hidden="false" customHeight="false" outlineLevel="0" collapsed="false">
      <c r="A1323" s="3" t="n">
        <v>1322</v>
      </c>
      <c r="B1323" s="3" t="n">
        <f aca="false">Raw_Data!A1323</f>
        <v>40</v>
      </c>
      <c r="C1323" s="3" t="str">
        <f aca="false">SUBSTITUTE(Raw_Data!B1323,".","")</f>
        <v>services</v>
      </c>
      <c r="D1323" s="3" t="str">
        <f aca="false">Raw_Data!C1323</f>
        <v>married</v>
      </c>
      <c r="E1323" s="3" t="str">
        <f aca="false">Raw_Data!D1323</f>
        <v>secondary</v>
      </c>
      <c r="F1323" s="3" t="str">
        <f aca="false">Raw_Data!E1323</f>
        <v>no</v>
      </c>
      <c r="G1323" s="3" t="n">
        <f aca="false">Raw_Data!F1323</f>
        <v>17</v>
      </c>
      <c r="H1323" s="3" t="str">
        <f aca="false">Raw_Data!G1323</f>
        <v>no</v>
      </c>
      <c r="I1323" s="3" t="str">
        <f aca="false">Raw_Data!H1323</f>
        <v>no</v>
      </c>
      <c r="J1323" s="2" t="n">
        <f aca="false">IF(F1323="yes",1,0)</f>
        <v>0</v>
      </c>
      <c r="K1323" s="2" t="n">
        <f aca="false">IF(H1323="yes",1,0)</f>
        <v>0</v>
      </c>
      <c r="L1323" s="2" t="n">
        <f aca="false">IF(I1323="yes",1,0)</f>
        <v>0</v>
      </c>
      <c r="M1323" s="2" t="n">
        <f aca="false">IF(G1323&lt;0,1,0)</f>
        <v>0</v>
      </c>
      <c r="N1323" s="2" t="str">
        <f aca="false">_xlfn.IFS(B1323&lt;30,"Under 30",B1323&lt;40,"30-39",B1323&lt;50,"40-49",B1323&lt;60,"50-59",TRUE(),"60+")</f>
        <v>40-49</v>
      </c>
      <c r="O1323" s="2" t="str">
        <f aca="false">_xlfn.IFS(G1323&lt;0,"1 Negative",G1323=0,"2 Zero",G1323&lt;=500,"3 1-500",G1323&lt;=2000,"4 501-2000",TRUE(),"5 Above 2000")</f>
        <v>3 1-500</v>
      </c>
      <c r="P1323" s="2" t="n">
        <f aca="false">Lookups!$B$2*M1323+Lookups!$B$3*L1323</f>
        <v>0</v>
      </c>
      <c r="Q1323" s="2" t="str">
        <f aca="false">INDEX(Lookups!$E$2:$E$5,MATCH(P1323,Lookups!$D$2:$D$5,0))</f>
        <v>Low</v>
      </c>
    </row>
    <row r="1324" customFormat="false" ht="15" hidden="false" customHeight="false" outlineLevel="0" collapsed="false">
      <c r="A1324" s="3" t="n">
        <v>1323</v>
      </c>
      <c r="B1324" s="3" t="n">
        <f aca="false">Raw_Data!A1324</f>
        <v>38</v>
      </c>
      <c r="C1324" s="3" t="str">
        <f aca="false">SUBSTITUTE(Raw_Data!B1324,".","")</f>
        <v>blue-collar</v>
      </c>
      <c r="D1324" s="3" t="str">
        <f aca="false">Raw_Data!C1324</f>
        <v>married</v>
      </c>
      <c r="E1324" s="3" t="str">
        <f aca="false">Raw_Data!D1324</f>
        <v>secondary</v>
      </c>
      <c r="F1324" s="3" t="str">
        <f aca="false">Raw_Data!E1324</f>
        <v>no</v>
      </c>
      <c r="G1324" s="3" t="n">
        <f aca="false">Raw_Data!F1324</f>
        <v>2008</v>
      </c>
      <c r="H1324" s="3" t="str">
        <f aca="false">Raw_Data!G1324</f>
        <v>yes</v>
      </c>
      <c r="I1324" s="3" t="str">
        <f aca="false">Raw_Data!H1324</f>
        <v>no</v>
      </c>
      <c r="J1324" s="2" t="n">
        <f aca="false">IF(F1324="yes",1,0)</f>
        <v>0</v>
      </c>
      <c r="K1324" s="2" t="n">
        <f aca="false">IF(H1324="yes",1,0)</f>
        <v>1</v>
      </c>
      <c r="L1324" s="2" t="n">
        <f aca="false">IF(I1324="yes",1,0)</f>
        <v>0</v>
      </c>
      <c r="M1324" s="2" t="n">
        <f aca="false">IF(G1324&lt;0,1,0)</f>
        <v>0</v>
      </c>
      <c r="N1324" s="2" t="str">
        <f aca="false">_xlfn.IFS(B1324&lt;30,"Under 30",B1324&lt;40,"30-39",B1324&lt;50,"40-49",B1324&lt;60,"50-59",TRUE(),"60+")</f>
        <v>30-39</v>
      </c>
      <c r="O1324" s="2" t="str">
        <f aca="false">_xlfn.IFS(G1324&lt;0,"1 Negative",G1324=0,"2 Zero",G1324&lt;=500,"3 1-500",G1324&lt;=2000,"4 501-2000",TRUE(),"5 Above 2000")</f>
        <v>5 Above 2000</v>
      </c>
      <c r="P1324" s="2" t="n">
        <f aca="false">Lookups!$B$2*M1324+Lookups!$B$3*L1324</f>
        <v>0</v>
      </c>
      <c r="Q1324" s="2" t="str">
        <f aca="false">INDEX(Lookups!$E$2:$E$5,MATCH(P1324,Lookups!$D$2:$D$5,0))</f>
        <v>Low</v>
      </c>
    </row>
    <row r="1325" customFormat="false" ht="15" hidden="false" customHeight="false" outlineLevel="0" collapsed="false">
      <c r="A1325" s="3" t="n">
        <v>1324</v>
      </c>
      <c r="B1325" s="3" t="n">
        <f aca="false">Raw_Data!A1325</f>
        <v>46</v>
      </c>
      <c r="C1325" s="3" t="str">
        <f aca="false">SUBSTITUTE(Raw_Data!B1325,".","")</f>
        <v>blue-collar</v>
      </c>
      <c r="D1325" s="3" t="str">
        <f aca="false">Raw_Data!C1325</f>
        <v>married</v>
      </c>
      <c r="E1325" s="3" t="str">
        <f aca="false">Raw_Data!D1325</f>
        <v>primary</v>
      </c>
      <c r="F1325" s="3" t="str">
        <f aca="false">Raw_Data!E1325</f>
        <v>no</v>
      </c>
      <c r="G1325" s="3" t="n">
        <f aca="false">Raw_Data!F1325</f>
        <v>91</v>
      </c>
      <c r="H1325" s="3" t="str">
        <f aca="false">Raw_Data!G1325</f>
        <v>yes</v>
      </c>
      <c r="I1325" s="3" t="str">
        <f aca="false">Raw_Data!H1325</f>
        <v>no</v>
      </c>
      <c r="J1325" s="2" t="n">
        <f aca="false">IF(F1325="yes",1,0)</f>
        <v>0</v>
      </c>
      <c r="K1325" s="2" t="n">
        <f aca="false">IF(H1325="yes",1,0)</f>
        <v>1</v>
      </c>
      <c r="L1325" s="2" t="n">
        <f aca="false">IF(I1325="yes",1,0)</f>
        <v>0</v>
      </c>
      <c r="M1325" s="2" t="n">
        <f aca="false">IF(G1325&lt;0,1,0)</f>
        <v>0</v>
      </c>
      <c r="N1325" s="2" t="str">
        <f aca="false">_xlfn.IFS(B1325&lt;30,"Under 30",B1325&lt;40,"30-39",B1325&lt;50,"40-49",B1325&lt;60,"50-59",TRUE(),"60+")</f>
        <v>40-49</v>
      </c>
      <c r="O1325" s="2" t="str">
        <f aca="false">_xlfn.IFS(G1325&lt;0,"1 Negative",G1325=0,"2 Zero",G1325&lt;=500,"3 1-500",G1325&lt;=2000,"4 501-2000",TRUE(),"5 Above 2000")</f>
        <v>3 1-500</v>
      </c>
      <c r="P1325" s="2" t="n">
        <f aca="false">Lookups!$B$2*M1325+Lookups!$B$3*L1325</f>
        <v>0</v>
      </c>
      <c r="Q1325" s="2" t="str">
        <f aca="false">INDEX(Lookups!$E$2:$E$5,MATCH(P1325,Lookups!$D$2:$D$5,0))</f>
        <v>Low</v>
      </c>
    </row>
    <row r="1326" customFormat="false" ht="15" hidden="false" customHeight="false" outlineLevel="0" collapsed="false">
      <c r="A1326" s="3" t="n">
        <v>1325</v>
      </c>
      <c r="B1326" s="3" t="n">
        <f aca="false">Raw_Data!A1326</f>
        <v>41</v>
      </c>
      <c r="C1326" s="3" t="str">
        <f aca="false">SUBSTITUTE(Raw_Data!B1326,".","")</f>
        <v>entrepreneur</v>
      </c>
      <c r="D1326" s="3" t="str">
        <f aca="false">Raw_Data!C1326</f>
        <v>married</v>
      </c>
      <c r="E1326" s="3" t="str">
        <f aca="false">Raw_Data!D1326</f>
        <v>tertiary</v>
      </c>
      <c r="F1326" s="3" t="str">
        <f aca="false">Raw_Data!E1326</f>
        <v>no</v>
      </c>
      <c r="G1326" s="3" t="n">
        <f aca="false">Raw_Data!F1326</f>
        <v>171</v>
      </c>
      <c r="H1326" s="3" t="str">
        <f aca="false">Raw_Data!G1326</f>
        <v>yes</v>
      </c>
      <c r="I1326" s="3" t="str">
        <f aca="false">Raw_Data!H1326</f>
        <v>no</v>
      </c>
      <c r="J1326" s="2" t="n">
        <f aca="false">IF(F1326="yes",1,0)</f>
        <v>0</v>
      </c>
      <c r="K1326" s="2" t="n">
        <f aca="false">IF(H1326="yes",1,0)</f>
        <v>1</v>
      </c>
      <c r="L1326" s="2" t="n">
        <f aca="false">IF(I1326="yes",1,0)</f>
        <v>0</v>
      </c>
      <c r="M1326" s="2" t="n">
        <f aca="false">IF(G1326&lt;0,1,0)</f>
        <v>0</v>
      </c>
      <c r="N1326" s="2" t="str">
        <f aca="false">_xlfn.IFS(B1326&lt;30,"Under 30",B1326&lt;40,"30-39",B1326&lt;50,"40-49",B1326&lt;60,"50-59",TRUE(),"60+")</f>
        <v>40-49</v>
      </c>
      <c r="O1326" s="2" t="str">
        <f aca="false">_xlfn.IFS(G1326&lt;0,"1 Negative",G1326=0,"2 Zero",G1326&lt;=500,"3 1-500",G1326&lt;=2000,"4 501-2000",TRUE(),"5 Above 2000")</f>
        <v>3 1-500</v>
      </c>
      <c r="P1326" s="2" t="n">
        <f aca="false">Lookups!$B$2*M1326+Lookups!$B$3*L1326</f>
        <v>0</v>
      </c>
      <c r="Q1326" s="2" t="str">
        <f aca="false">INDEX(Lookups!$E$2:$E$5,MATCH(P1326,Lookups!$D$2:$D$5,0))</f>
        <v>Low</v>
      </c>
    </row>
    <row r="1327" customFormat="false" ht="15" hidden="false" customHeight="false" outlineLevel="0" collapsed="false">
      <c r="A1327" s="3" t="n">
        <v>1326</v>
      </c>
      <c r="B1327" s="3" t="n">
        <f aca="false">Raw_Data!A1327</f>
        <v>28</v>
      </c>
      <c r="C1327" s="3" t="str">
        <f aca="false">SUBSTITUTE(Raw_Data!B1327,".","")</f>
        <v>management</v>
      </c>
      <c r="D1327" s="3" t="str">
        <f aca="false">Raw_Data!C1327</f>
        <v>single</v>
      </c>
      <c r="E1327" s="3" t="str">
        <f aca="false">Raw_Data!D1327</f>
        <v>tertiary</v>
      </c>
      <c r="F1327" s="3" t="str">
        <f aca="false">Raw_Data!E1327</f>
        <v>no</v>
      </c>
      <c r="G1327" s="3" t="n">
        <f aca="false">Raw_Data!F1327</f>
        <v>1027</v>
      </c>
      <c r="H1327" s="3" t="str">
        <f aca="false">Raw_Data!G1327</f>
        <v>yes</v>
      </c>
      <c r="I1327" s="3" t="str">
        <f aca="false">Raw_Data!H1327</f>
        <v>no</v>
      </c>
      <c r="J1327" s="2" t="n">
        <f aca="false">IF(F1327="yes",1,0)</f>
        <v>0</v>
      </c>
      <c r="K1327" s="2" t="n">
        <f aca="false">IF(H1327="yes",1,0)</f>
        <v>1</v>
      </c>
      <c r="L1327" s="2" t="n">
        <f aca="false">IF(I1327="yes",1,0)</f>
        <v>0</v>
      </c>
      <c r="M1327" s="2" t="n">
        <f aca="false">IF(G1327&lt;0,1,0)</f>
        <v>0</v>
      </c>
      <c r="N1327" s="2" t="str">
        <f aca="false">_xlfn.IFS(B1327&lt;30,"Under 30",B1327&lt;40,"30-39",B1327&lt;50,"40-49",B1327&lt;60,"50-59",TRUE(),"60+")</f>
        <v>Under 30</v>
      </c>
      <c r="O1327" s="2" t="str">
        <f aca="false">_xlfn.IFS(G1327&lt;0,"1 Negative",G1327=0,"2 Zero",G1327&lt;=500,"3 1-500",G1327&lt;=2000,"4 501-2000",TRUE(),"5 Above 2000")</f>
        <v>4 501-2000</v>
      </c>
      <c r="P1327" s="2" t="n">
        <f aca="false">Lookups!$B$2*M1327+Lookups!$B$3*L1327</f>
        <v>0</v>
      </c>
      <c r="Q1327" s="2" t="str">
        <f aca="false">INDEX(Lookups!$E$2:$E$5,MATCH(P1327,Lookups!$D$2:$D$5,0))</f>
        <v>Low</v>
      </c>
    </row>
    <row r="1328" customFormat="false" ht="15" hidden="false" customHeight="false" outlineLevel="0" collapsed="false">
      <c r="A1328" s="3" t="n">
        <v>1327</v>
      </c>
      <c r="B1328" s="3" t="n">
        <f aca="false">Raw_Data!A1328</f>
        <v>51</v>
      </c>
      <c r="C1328" s="3" t="str">
        <f aca="false">SUBSTITUTE(Raw_Data!B1328,".","")</f>
        <v>services</v>
      </c>
      <c r="D1328" s="3" t="str">
        <f aca="false">Raw_Data!C1328</f>
        <v>married</v>
      </c>
      <c r="E1328" s="3" t="str">
        <f aca="false">Raw_Data!D1328</f>
        <v>unknown</v>
      </c>
      <c r="F1328" s="3" t="str">
        <f aca="false">Raw_Data!E1328</f>
        <v>no</v>
      </c>
      <c r="G1328" s="3" t="n">
        <f aca="false">Raw_Data!F1328</f>
        <v>5801</v>
      </c>
      <c r="H1328" s="3" t="str">
        <f aca="false">Raw_Data!G1328</f>
        <v>yes</v>
      </c>
      <c r="I1328" s="3" t="str">
        <f aca="false">Raw_Data!H1328</f>
        <v>no</v>
      </c>
      <c r="J1328" s="2" t="n">
        <f aca="false">IF(F1328="yes",1,0)</f>
        <v>0</v>
      </c>
      <c r="K1328" s="2" t="n">
        <f aca="false">IF(H1328="yes",1,0)</f>
        <v>1</v>
      </c>
      <c r="L1328" s="2" t="n">
        <f aca="false">IF(I1328="yes",1,0)</f>
        <v>0</v>
      </c>
      <c r="M1328" s="2" t="n">
        <f aca="false">IF(G1328&lt;0,1,0)</f>
        <v>0</v>
      </c>
      <c r="N1328" s="2" t="str">
        <f aca="false">_xlfn.IFS(B1328&lt;30,"Under 30",B1328&lt;40,"30-39",B1328&lt;50,"40-49",B1328&lt;60,"50-59",TRUE(),"60+")</f>
        <v>50-59</v>
      </c>
      <c r="O1328" s="2" t="str">
        <f aca="false">_xlfn.IFS(G1328&lt;0,"1 Negative",G1328=0,"2 Zero",G1328&lt;=500,"3 1-500",G1328&lt;=2000,"4 501-2000",TRUE(),"5 Above 2000")</f>
        <v>5 Above 2000</v>
      </c>
      <c r="P1328" s="2" t="n">
        <f aca="false">Lookups!$B$2*M1328+Lookups!$B$3*L1328</f>
        <v>0</v>
      </c>
      <c r="Q1328" s="2" t="str">
        <f aca="false">INDEX(Lookups!$E$2:$E$5,MATCH(P1328,Lookups!$D$2:$D$5,0))</f>
        <v>Low</v>
      </c>
    </row>
    <row r="1329" customFormat="false" ht="15" hidden="false" customHeight="false" outlineLevel="0" collapsed="false">
      <c r="A1329" s="3" t="n">
        <v>1328</v>
      </c>
      <c r="B1329" s="3" t="n">
        <f aca="false">Raw_Data!A1329</f>
        <v>33</v>
      </c>
      <c r="C1329" s="3" t="str">
        <f aca="false">SUBSTITUTE(Raw_Data!B1329,".","")</f>
        <v>blue-collar</v>
      </c>
      <c r="D1329" s="3" t="str">
        <f aca="false">Raw_Data!C1329</f>
        <v>divorced</v>
      </c>
      <c r="E1329" s="3" t="str">
        <f aca="false">Raw_Data!D1329</f>
        <v>primary</v>
      </c>
      <c r="F1329" s="3" t="str">
        <f aca="false">Raw_Data!E1329</f>
        <v>no</v>
      </c>
      <c r="G1329" s="3" t="n">
        <f aca="false">Raw_Data!F1329</f>
        <v>142</v>
      </c>
      <c r="H1329" s="3" t="str">
        <f aca="false">Raw_Data!G1329</f>
        <v>yes</v>
      </c>
      <c r="I1329" s="3" t="str">
        <f aca="false">Raw_Data!H1329</f>
        <v>no</v>
      </c>
      <c r="J1329" s="2" t="n">
        <f aca="false">IF(F1329="yes",1,0)</f>
        <v>0</v>
      </c>
      <c r="K1329" s="2" t="n">
        <f aca="false">IF(H1329="yes",1,0)</f>
        <v>1</v>
      </c>
      <c r="L1329" s="2" t="n">
        <f aca="false">IF(I1329="yes",1,0)</f>
        <v>0</v>
      </c>
      <c r="M1329" s="2" t="n">
        <f aca="false">IF(G1329&lt;0,1,0)</f>
        <v>0</v>
      </c>
      <c r="N1329" s="2" t="str">
        <f aca="false">_xlfn.IFS(B1329&lt;30,"Under 30",B1329&lt;40,"30-39",B1329&lt;50,"40-49",B1329&lt;60,"50-59",TRUE(),"60+")</f>
        <v>30-39</v>
      </c>
      <c r="O1329" s="2" t="str">
        <f aca="false">_xlfn.IFS(G1329&lt;0,"1 Negative",G1329=0,"2 Zero",G1329&lt;=500,"3 1-500",G1329&lt;=2000,"4 501-2000",TRUE(),"5 Above 2000")</f>
        <v>3 1-500</v>
      </c>
      <c r="P1329" s="2" t="n">
        <f aca="false">Lookups!$B$2*M1329+Lookups!$B$3*L1329</f>
        <v>0</v>
      </c>
      <c r="Q1329" s="2" t="str">
        <f aca="false">INDEX(Lookups!$E$2:$E$5,MATCH(P1329,Lookups!$D$2:$D$5,0))</f>
        <v>Low</v>
      </c>
    </row>
    <row r="1330" customFormat="false" ht="15" hidden="false" customHeight="false" outlineLevel="0" collapsed="false">
      <c r="A1330" s="3" t="n">
        <v>1329</v>
      </c>
      <c r="B1330" s="3" t="n">
        <f aca="false">Raw_Data!A1330</f>
        <v>26</v>
      </c>
      <c r="C1330" s="3" t="str">
        <f aca="false">SUBSTITUTE(Raw_Data!B1330,".","")</f>
        <v>management</v>
      </c>
      <c r="D1330" s="3" t="str">
        <f aca="false">Raw_Data!C1330</f>
        <v>single</v>
      </c>
      <c r="E1330" s="3" t="str">
        <f aca="false">Raw_Data!D1330</f>
        <v>tertiary</v>
      </c>
      <c r="F1330" s="3" t="str">
        <f aca="false">Raw_Data!E1330</f>
        <v>no</v>
      </c>
      <c r="G1330" s="3" t="n">
        <f aca="false">Raw_Data!F1330</f>
        <v>205</v>
      </c>
      <c r="H1330" s="3" t="str">
        <f aca="false">Raw_Data!G1330</f>
        <v>no</v>
      </c>
      <c r="I1330" s="3" t="str">
        <f aca="false">Raw_Data!H1330</f>
        <v>no</v>
      </c>
      <c r="J1330" s="2" t="n">
        <f aca="false">IF(F1330="yes",1,0)</f>
        <v>0</v>
      </c>
      <c r="K1330" s="2" t="n">
        <f aca="false">IF(H1330="yes",1,0)</f>
        <v>0</v>
      </c>
      <c r="L1330" s="2" t="n">
        <f aca="false">IF(I1330="yes",1,0)</f>
        <v>0</v>
      </c>
      <c r="M1330" s="2" t="n">
        <f aca="false">IF(G1330&lt;0,1,0)</f>
        <v>0</v>
      </c>
      <c r="N1330" s="2" t="str">
        <f aca="false">_xlfn.IFS(B1330&lt;30,"Under 30",B1330&lt;40,"30-39",B1330&lt;50,"40-49",B1330&lt;60,"50-59",TRUE(),"60+")</f>
        <v>Under 30</v>
      </c>
      <c r="O1330" s="2" t="str">
        <f aca="false">_xlfn.IFS(G1330&lt;0,"1 Negative",G1330=0,"2 Zero",G1330&lt;=500,"3 1-500",G1330&lt;=2000,"4 501-2000",TRUE(),"5 Above 2000")</f>
        <v>3 1-500</v>
      </c>
      <c r="P1330" s="2" t="n">
        <f aca="false">Lookups!$B$2*M1330+Lookups!$B$3*L1330</f>
        <v>0</v>
      </c>
      <c r="Q1330" s="2" t="str">
        <f aca="false">INDEX(Lookups!$E$2:$E$5,MATCH(P1330,Lookups!$D$2:$D$5,0))</f>
        <v>Low</v>
      </c>
    </row>
    <row r="1331" customFormat="false" ht="15" hidden="false" customHeight="false" outlineLevel="0" collapsed="false">
      <c r="A1331" s="3" t="n">
        <v>1330</v>
      </c>
      <c r="B1331" s="3" t="n">
        <f aca="false">Raw_Data!A1331</f>
        <v>34</v>
      </c>
      <c r="C1331" s="3" t="str">
        <f aca="false">SUBSTITUTE(Raw_Data!B1331,".","")</f>
        <v>admin</v>
      </c>
      <c r="D1331" s="3" t="str">
        <f aca="false">Raw_Data!C1331</f>
        <v>single</v>
      </c>
      <c r="E1331" s="3" t="str">
        <f aca="false">Raw_Data!D1331</f>
        <v>secondary</v>
      </c>
      <c r="F1331" s="3" t="str">
        <f aca="false">Raw_Data!E1331</f>
        <v>no</v>
      </c>
      <c r="G1331" s="3" t="n">
        <f aca="false">Raw_Data!F1331</f>
        <v>852</v>
      </c>
      <c r="H1331" s="3" t="str">
        <f aca="false">Raw_Data!G1331</f>
        <v>no</v>
      </c>
      <c r="I1331" s="3" t="str">
        <f aca="false">Raw_Data!H1331</f>
        <v>no</v>
      </c>
      <c r="J1331" s="2" t="n">
        <f aca="false">IF(F1331="yes",1,0)</f>
        <v>0</v>
      </c>
      <c r="K1331" s="2" t="n">
        <f aca="false">IF(H1331="yes",1,0)</f>
        <v>0</v>
      </c>
      <c r="L1331" s="2" t="n">
        <f aca="false">IF(I1331="yes",1,0)</f>
        <v>0</v>
      </c>
      <c r="M1331" s="2" t="n">
        <f aca="false">IF(G1331&lt;0,1,0)</f>
        <v>0</v>
      </c>
      <c r="N1331" s="2" t="str">
        <f aca="false">_xlfn.IFS(B1331&lt;30,"Under 30",B1331&lt;40,"30-39",B1331&lt;50,"40-49",B1331&lt;60,"50-59",TRUE(),"60+")</f>
        <v>30-39</v>
      </c>
      <c r="O1331" s="2" t="str">
        <f aca="false">_xlfn.IFS(G1331&lt;0,"1 Negative",G1331=0,"2 Zero",G1331&lt;=500,"3 1-500",G1331&lt;=2000,"4 501-2000",TRUE(),"5 Above 2000")</f>
        <v>4 501-2000</v>
      </c>
      <c r="P1331" s="2" t="n">
        <f aca="false">Lookups!$B$2*M1331+Lookups!$B$3*L1331</f>
        <v>0</v>
      </c>
      <c r="Q1331" s="2" t="str">
        <f aca="false">INDEX(Lookups!$E$2:$E$5,MATCH(P1331,Lookups!$D$2:$D$5,0))</f>
        <v>Low</v>
      </c>
    </row>
    <row r="1332" customFormat="false" ht="15" hidden="false" customHeight="false" outlineLevel="0" collapsed="false">
      <c r="A1332" s="3" t="n">
        <v>1331</v>
      </c>
      <c r="B1332" s="3" t="n">
        <f aca="false">Raw_Data!A1332</f>
        <v>27</v>
      </c>
      <c r="C1332" s="3" t="str">
        <f aca="false">SUBSTITUTE(Raw_Data!B1332,".","")</f>
        <v>blue-collar</v>
      </c>
      <c r="D1332" s="3" t="str">
        <f aca="false">Raw_Data!C1332</f>
        <v>married</v>
      </c>
      <c r="E1332" s="3" t="str">
        <f aca="false">Raw_Data!D1332</f>
        <v>secondary</v>
      </c>
      <c r="F1332" s="3" t="str">
        <f aca="false">Raw_Data!E1332</f>
        <v>yes</v>
      </c>
      <c r="G1332" s="3" t="n">
        <f aca="false">Raw_Data!F1332</f>
        <v>-584</v>
      </c>
      <c r="H1332" s="3" t="str">
        <f aca="false">Raw_Data!G1332</f>
        <v>yes</v>
      </c>
      <c r="I1332" s="3" t="str">
        <f aca="false">Raw_Data!H1332</f>
        <v>no</v>
      </c>
      <c r="J1332" s="2" t="n">
        <f aca="false">IF(F1332="yes",1,0)</f>
        <v>1</v>
      </c>
      <c r="K1332" s="2" t="n">
        <f aca="false">IF(H1332="yes",1,0)</f>
        <v>1</v>
      </c>
      <c r="L1332" s="2" t="n">
        <f aca="false">IF(I1332="yes",1,0)</f>
        <v>0</v>
      </c>
      <c r="M1332" s="2" t="n">
        <f aca="false">IF(G1332&lt;0,1,0)</f>
        <v>1</v>
      </c>
      <c r="N1332" s="2" t="str">
        <f aca="false">_xlfn.IFS(B1332&lt;30,"Under 30",B1332&lt;40,"30-39",B1332&lt;50,"40-49",B1332&lt;60,"50-59",TRUE(),"60+")</f>
        <v>Under 30</v>
      </c>
      <c r="O1332" s="2" t="str">
        <f aca="false">_xlfn.IFS(G1332&lt;0,"1 Negative",G1332=0,"2 Zero",G1332&lt;=500,"3 1-500",G1332&lt;=2000,"4 501-2000",TRUE(),"5 Above 2000")</f>
        <v>1 Negative</v>
      </c>
      <c r="P1332" s="2" t="n">
        <f aca="false">Lookups!$B$2*M1332+Lookups!$B$3*L1332</f>
        <v>2</v>
      </c>
      <c r="Q1332" s="2" t="str">
        <f aca="false">INDEX(Lookups!$E$2:$E$5,MATCH(P1332,Lookups!$D$2:$D$5,0))</f>
        <v>High</v>
      </c>
    </row>
    <row r="1333" customFormat="false" ht="15" hidden="false" customHeight="false" outlineLevel="0" collapsed="false">
      <c r="A1333" s="3" t="n">
        <v>1332</v>
      </c>
      <c r="B1333" s="3" t="n">
        <f aca="false">Raw_Data!A1333</f>
        <v>42</v>
      </c>
      <c r="C1333" s="3" t="str">
        <f aca="false">SUBSTITUTE(Raw_Data!B1333,".","")</f>
        <v>self-employed</v>
      </c>
      <c r="D1333" s="3" t="str">
        <f aca="false">Raw_Data!C1333</f>
        <v>married</v>
      </c>
      <c r="E1333" s="3" t="str">
        <f aca="false">Raw_Data!D1333</f>
        <v>secondary</v>
      </c>
      <c r="F1333" s="3" t="str">
        <f aca="false">Raw_Data!E1333</f>
        <v>no</v>
      </c>
      <c r="G1333" s="3" t="n">
        <f aca="false">Raw_Data!F1333</f>
        <v>97</v>
      </c>
      <c r="H1333" s="3" t="str">
        <f aca="false">Raw_Data!G1333</f>
        <v>no</v>
      </c>
      <c r="I1333" s="3" t="str">
        <f aca="false">Raw_Data!H1333</f>
        <v>no</v>
      </c>
      <c r="J1333" s="2" t="n">
        <f aca="false">IF(F1333="yes",1,0)</f>
        <v>0</v>
      </c>
      <c r="K1333" s="2" t="n">
        <f aca="false">IF(H1333="yes",1,0)</f>
        <v>0</v>
      </c>
      <c r="L1333" s="2" t="n">
        <f aca="false">IF(I1333="yes",1,0)</f>
        <v>0</v>
      </c>
      <c r="M1333" s="2" t="n">
        <f aca="false">IF(G1333&lt;0,1,0)</f>
        <v>0</v>
      </c>
      <c r="N1333" s="2" t="str">
        <f aca="false">_xlfn.IFS(B1333&lt;30,"Under 30",B1333&lt;40,"30-39",B1333&lt;50,"40-49",B1333&lt;60,"50-59",TRUE(),"60+")</f>
        <v>40-49</v>
      </c>
      <c r="O1333" s="2" t="str">
        <f aca="false">_xlfn.IFS(G1333&lt;0,"1 Negative",G1333=0,"2 Zero",G1333&lt;=500,"3 1-500",G1333&lt;=2000,"4 501-2000",TRUE(),"5 Above 2000")</f>
        <v>3 1-500</v>
      </c>
      <c r="P1333" s="2" t="n">
        <f aca="false">Lookups!$B$2*M1333+Lookups!$B$3*L1333</f>
        <v>0</v>
      </c>
      <c r="Q1333" s="2" t="str">
        <f aca="false">INDEX(Lookups!$E$2:$E$5,MATCH(P1333,Lookups!$D$2:$D$5,0))</f>
        <v>Low</v>
      </c>
    </row>
    <row r="1334" customFormat="false" ht="15" hidden="false" customHeight="false" outlineLevel="0" collapsed="false">
      <c r="A1334" s="3" t="n">
        <v>1333</v>
      </c>
      <c r="B1334" s="3" t="n">
        <f aca="false">Raw_Data!A1334</f>
        <v>45</v>
      </c>
      <c r="C1334" s="3" t="str">
        <f aca="false">SUBSTITUTE(Raw_Data!B1334,".","")</f>
        <v>admin</v>
      </c>
      <c r="D1334" s="3" t="str">
        <f aca="false">Raw_Data!C1334</f>
        <v>married</v>
      </c>
      <c r="E1334" s="3" t="str">
        <f aca="false">Raw_Data!D1334</f>
        <v>secondary</v>
      </c>
      <c r="F1334" s="3" t="str">
        <f aca="false">Raw_Data!E1334</f>
        <v>no</v>
      </c>
      <c r="G1334" s="3" t="n">
        <f aca="false">Raw_Data!F1334</f>
        <v>204</v>
      </c>
      <c r="H1334" s="3" t="str">
        <f aca="false">Raw_Data!G1334</f>
        <v>yes</v>
      </c>
      <c r="I1334" s="3" t="str">
        <f aca="false">Raw_Data!H1334</f>
        <v>no</v>
      </c>
      <c r="J1334" s="2" t="n">
        <f aca="false">IF(F1334="yes",1,0)</f>
        <v>0</v>
      </c>
      <c r="K1334" s="2" t="n">
        <f aca="false">IF(H1334="yes",1,0)</f>
        <v>1</v>
      </c>
      <c r="L1334" s="2" t="n">
        <f aca="false">IF(I1334="yes",1,0)</f>
        <v>0</v>
      </c>
      <c r="M1334" s="2" t="n">
        <f aca="false">IF(G1334&lt;0,1,0)</f>
        <v>0</v>
      </c>
      <c r="N1334" s="2" t="str">
        <f aca="false">_xlfn.IFS(B1334&lt;30,"Under 30",B1334&lt;40,"30-39",B1334&lt;50,"40-49",B1334&lt;60,"50-59",TRUE(),"60+")</f>
        <v>40-49</v>
      </c>
      <c r="O1334" s="2" t="str">
        <f aca="false">_xlfn.IFS(G1334&lt;0,"1 Negative",G1334=0,"2 Zero",G1334&lt;=500,"3 1-500",G1334&lt;=2000,"4 501-2000",TRUE(),"5 Above 2000")</f>
        <v>3 1-500</v>
      </c>
      <c r="P1334" s="2" t="n">
        <f aca="false">Lookups!$B$2*M1334+Lookups!$B$3*L1334</f>
        <v>0</v>
      </c>
      <c r="Q1334" s="2" t="str">
        <f aca="false">INDEX(Lookups!$E$2:$E$5,MATCH(P1334,Lookups!$D$2:$D$5,0))</f>
        <v>Low</v>
      </c>
    </row>
    <row r="1335" customFormat="false" ht="15" hidden="false" customHeight="false" outlineLevel="0" collapsed="false">
      <c r="A1335" s="3" t="n">
        <v>1334</v>
      </c>
      <c r="B1335" s="3" t="n">
        <f aca="false">Raw_Data!A1335</f>
        <v>31</v>
      </c>
      <c r="C1335" s="3" t="str">
        <f aca="false">SUBSTITUTE(Raw_Data!B1335,".","")</f>
        <v>technician</v>
      </c>
      <c r="D1335" s="3" t="str">
        <f aca="false">Raw_Data!C1335</f>
        <v>single</v>
      </c>
      <c r="E1335" s="3" t="str">
        <f aca="false">Raw_Data!D1335</f>
        <v>secondary</v>
      </c>
      <c r="F1335" s="3" t="str">
        <f aca="false">Raw_Data!E1335</f>
        <v>no</v>
      </c>
      <c r="G1335" s="3" t="n">
        <f aca="false">Raw_Data!F1335</f>
        <v>628</v>
      </c>
      <c r="H1335" s="3" t="str">
        <f aca="false">Raw_Data!G1335</f>
        <v>yes</v>
      </c>
      <c r="I1335" s="3" t="str">
        <f aca="false">Raw_Data!H1335</f>
        <v>no</v>
      </c>
      <c r="J1335" s="2" t="n">
        <f aca="false">IF(F1335="yes",1,0)</f>
        <v>0</v>
      </c>
      <c r="K1335" s="2" t="n">
        <f aca="false">IF(H1335="yes",1,0)</f>
        <v>1</v>
      </c>
      <c r="L1335" s="2" t="n">
        <f aca="false">IF(I1335="yes",1,0)</f>
        <v>0</v>
      </c>
      <c r="M1335" s="2" t="n">
        <f aca="false">IF(G1335&lt;0,1,0)</f>
        <v>0</v>
      </c>
      <c r="N1335" s="2" t="str">
        <f aca="false">_xlfn.IFS(B1335&lt;30,"Under 30",B1335&lt;40,"30-39",B1335&lt;50,"40-49",B1335&lt;60,"50-59",TRUE(),"60+")</f>
        <v>30-39</v>
      </c>
      <c r="O1335" s="2" t="str">
        <f aca="false">_xlfn.IFS(G1335&lt;0,"1 Negative",G1335=0,"2 Zero",G1335&lt;=500,"3 1-500",G1335&lt;=2000,"4 501-2000",TRUE(),"5 Above 2000")</f>
        <v>4 501-2000</v>
      </c>
      <c r="P1335" s="2" t="n">
        <f aca="false">Lookups!$B$2*M1335+Lookups!$B$3*L1335</f>
        <v>0</v>
      </c>
      <c r="Q1335" s="2" t="str">
        <f aca="false">INDEX(Lookups!$E$2:$E$5,MATCH(P1335,Lookups!$D$2:$D$5,0))</f>
        <v>Low</v>
      </c>
    </row>
    <row r="1336" customFormat="false" ht="15" hidden="false" customHeight="false" outlineLevel="0" collapsed="false">
      <c r="A1336" s="3" t="n">
        <v>1335</v>
      </c>
      <c r="B1336" s="3" t="n">
        <f aca="false">Raw_Data!A1336</f>
        <v>32</v>
      </c>
      <c r="C1336" s="3" t="str">
        <f aca="false">SUBSTITUTE(Raw_Data!B1336,".","")</f>
        <v>management</v>
      </c>
      <c r="D1336" s="3" t="str">
        <f aca="false">Raw_Data!C1336</f>
        <v>single</v>
      </c>
      <c r="E1336" s="3" t="str">
        <f aca="false">Raw_Data!D1336</f>
        <v>tertiary</v>
      </c>
      <c r="F1336" s="3" t="str">
        <f aca="false">Raw_Data!E1336</f>
        <v>no</v>
      </c>
      <c r="G1336" s="3" t="n">
        <f aca="false">Raw_Data!F1336</f>
        <v>311</v>
      </c>
      <c r="H1336" s="3" t="str">
        <f aca="false">Raw_Data!G1336</f>
        <v>no</v>
      </c>
      <c r="I1336" s="3" t="str">
        <f aca="false">Raw_Data!H1336</f>
        <v>no</v>
      </c>
      <c r="J1336" s="2" t="n">
        <f aca="false">IF(F1336="yes",1,0)</f>
        <v>0</v>
      </c>
      <c r="K1336" s="2" t="n">
        <f aca="false">IF(H1336="yes",1,0)</f>
        <v>0</v>
      </c>
      <c r="L1336" s="2" t="n">
        <f aca="false">IF(I1336="yes",1,0)</f>
        <v>0</v>
      </c>
      <c r="M1336" s="2" t="n">
        <f aca="false">IF(G1336&lt;0,1,0)</f>
        <v>0</v>
      </c>
      <c r="N1336" s="2" t="str">
        <f aca="false">_xlfn.IFS(B1336&lt;30,"Under 30",B1336&lt;40,"30-39",B1336&lt;50,"40-49",B1336&lt;60,"50-59",TRUE(),"60+")</f>
        <v>30-39</v>
      </c>
      <c r="O1336" s="2" t="str">
        <f aca="false">_xlfn.IFS(G1336&lt;0,"1 Negative",G1336=0,"2 Zero",G1336&lt;=500,"3 1-500",G1336&lt;=2000,"4 501-2000",TRUE(),"5 Above 2000")</f>
        <v>3 1-500</v>
      </c>
      <c r="P1336" s="2" t="n">
        <f aca="false">Lookups!$B$2*M1336+Lookups!$B$3*L1336</f>
        <v>0</v>
      </c>
      <c r="Q1336" s="2" t="str">
        <f aca="false">INDEX(Lookups!$E$2:$E$5,MATCH(P1336,Lookups!$D$2:$D$5,0))</f>
        <v>Low</v>
      </c>
    </row>
    <row r="1337" customFormat="false" ht="15" hidden="false" customHeight="false" outlineLevel="0" collapsed="false">
      <c r="A1337" s="3" t="n">
        <v>1336</v>
      </c>
      <c r="B1337" s="3" t="n">
        <f aca="false">Raw_Data!A1337</f>
        <v>39</v>
      </c>
      <c r="C1337" s="3" t="str">
        <f aca="false">SUBSTITUTE(Raw_Data!B1337,".","")</f>
        <v>blue-collar</v>
      </c>
      <c r="D1337" s="3" t="str">
        <f aca="false">Raw_Data!C1337</f>
        <v>married</v>
      </c>
      <c r="E1337" s="3" t="str">
        <f aca="false">Raw_Data!D1337</f>
        <v>primary</v>
      </c>
      <c r="F1337" s="3" t="str">
        <f aca="false">Raw_Data!E1337</f>
        <v>no</v>
      </c>
      <c r="G1337" s="3" t="n">
        <f aca="false">Raw_Data!F1337</f>
        <v>1564</v>
      </c>
      <c r="H1337" s="3" t="str">
        <f aca="false">Raw_Data!G1337</f>
        <v>no</v>
      </c>
      <c r="I1337" s="3" t="str">
        <f aca="false">Raw_Data!H1337</f>
        <v>no</v>
      </c>
      <c r="J1337" s="2" t="n">
        <f aca="false">IF(F1337="yes",1,0)</f>
        <v>0</v>
      </c>
      <c r="K1337" s="2" t="n">
        <f aca="false">IF(H1337="yes",1,0)</f>
        <v>0</v>
      </c>
      <c r="L1337" s="2" t="n">
        <f aca="false">IF(I1337="yes",1,0)</f>
        <v>0</v>
      </c>
      <c r="M1337" s="2" t="n">
        <f aca="false">IF(G1337&lt;0,1,0)</f>
        <v>0</v>
      </c>
      <c r="N1337" s="2" t="str">
        <f aca="false">_xlfn.IFS(B1337&lt;30,"Under 30",B1337&lt;40,"30-39",B1337&lt;50,"40-49",B1337&lt;60,"50-59",TRUE(),"60+")</f>
        <v>30-39</v>
      </c>
      <c r="O1337" s="2" t="str">
        <f aca="false">_xlfn.IFS(G1337&lt;0,"1 Negative",G1337=0,"2 Zero",G1337&lt;=500,"3 1-500",G1337&lt;=2000,"4 501-2000",TRUE(),"5 Above 2000")</f>
        <v>4 501-2000</v>
      </c>
      <c r="P1337" s="2" t="n">
        <f aca="false">Lookups!$B$2*M1337+Lookups!$B$3*L1337</f>
        <v>0</v>
      </c>
      <c r="Q1337" s="2" t="str">
        <f aca="false">INDEX(Lookups!$E$2:$E$5,MATCH(P1337,Lookups!$D$2:$D$5,0))</f>
        <v>Low</v>
      </c>
    </row>
    <row r="1338" customFormat="false" ht="15" hidden="false" customHeight="false" outlineLevel="0" collapsed="false">
      <c r="A1338" s="3" t="n">
        <v>1337</v>
      </c>
      <c r="B1338" s="3" t="n">
        <f aca="false">Raw_Data!A1338</f>
        <v>26</v>
      </c>
      <c r="C1338" s="3" t="str">
        <f aca="false">SUBSTITUTE(Raw_Data!B1338,".","")</f>
        <v>blue-collar</v>
      </c>
      <c r="D1338" s="3" t="str">
        <f aca="false">Raw_Data!C1338</f>
        <v>single</v>
      </c>
      <c r="E1338" s="3" t="str">
        <f aca="false">Raw_Data!D1338</f>
        <v>secondary</v>
      </c>
      <c r="F1338" s="3" t="str">
        <f aca="false">Raw_Data!E1338</f>
        <v>no</v>
      </c>
      <c r="G1338" s="3" t="n">
        <f aca="false">Raw_Data!F1338</f>
        <v>856</v>
      </c>
      <c r="H1338" s="3" t="str">
        <f aca="false">Raw_Data!G1338</f>
        <v>yes</v>
      </c>
      <c r="I1338" s="3" t="str">
        <f aca="false">Raw_Data!H1338</f>
        <v>yes</v>
      </c>
      <c r="J1338" s="2" t="n">
        <f aca="false">IF(F1338="yes",1,0)</f>
        <v>0</v>
      </c>
      <c r="K1338" s="2" t="n">
        <f aca="false">IF(H1338="yes",1,0)</f>
        <v>1</v>
      </c>
      <c r="L1338" s="2" t="n">
        <f aca="false">IF(I1338="yes",1,0)</f>
        <v>1</v>
      </c>
      <c r="M1338" s="2" t="n">
        <f aca="false">IF(G1338&lt;0,1,0)</f>
        <v>0</v>
      </c>
      <c r="N1338" s="2" t="str">
        <f aca="false">_xlfn.IFS(B1338&lt;30,"Under 30",B1338&lt;40,"30-39",B1338&lt;50,"40-49",B1338&lt;60,"50-59",TRUE(),"60+")</f>
        <v>Under 30</v>
      </c>
      <c r="O1338" s="2" t="str">
        <f aca="false">_xlfn.IFS(G1338&lt;0,"1 Negative",G1338=0,"2 Zero",G1338&lt;=500,"3 1-500",G1338&lt;=2000,"4 501-2000",TRUE(),"5 Above 2000")</f>
        <v>4 501-2000</v>
      </c>
      <c r="P1338" s="2" t="n">
        <f aca="false">Lookups!$B$2*M1338+Lookups!$B$3*L1338</f>
        <v>1</v>
      </c>
      <c r="Q1338" s="2" t="str">
        <f aca="false">INDEX(Lookups!$E$2:$E$5,MATCH(P1338,Lookups!$D$2:$D$5,0))</f>
        <v>Medium</v>
      </c>
    </row>
    <row r="1339" customFormat="false" ht="15" hidden="false" customHeight="false" outlineLevel="0" collapsed="false">
      <c r="A1339" s="3" t="n">
        <v>1338</v>
      </c>
      <c r="B1339" s="3" t="n">
        <f aca="false">Raw_Data!A1339</f>
        <v>40</v>
      </c>
      <c r="C1339" s="3" t="str">
        <f aca="false">SUBSTITUTE(Raw_Data!B1339,".","")</f>
        <v>management</v>
      </c>
      <c r="D1339" s="3" t="str">
        <f aca="false">Raw_Data!C1339</f>
        <v>single</v>
      </c>
      <c r="E1339" s="3" t="str">
        <f aca="false">Raw_Data!D1339</f>
        <v>tertiary</v>
      </c>
      <c r="F1339" s="3" t="str">
        <f aca="false">Raw_Data!E1339</f>
        <v>no</v>
      </c>
      <c r="G1339" s="3" t="n">
        <f aca="false">Raw_Data!F1339</f>
        <v>1509</v>
      </c>
      <c r="H1339" s="3" t="str">
        <f aca="false">Raw_Data!G1339</f>
        <v>no</v>
      </c>
      <c r="I1339" s="3" t="str">
        <f aca="false">Raw_Data!H1339</f>
        <v>no</v>
      </c>
      <c r="J1339" s="2" t="n">
        <f aca="false">IF(F1339="yes",1,0)</f>
        <v>0</v>
      </c>
      <c r="K1339" s="2" t="n">
        <f aca="false">IF(H1339="yes",1,0)</f>
        <v>0</v>
      </c>
      <c r="L1339" s="2" t="n">
        <f aca="false">IF(I1339="yes",1,0)</f>
        <v>0</v>
      </c>
      <c r="M1339" s="2" t="n">
        <f aca="false">IF(G1339&lt;0,1,0)</f>
        <v>0</v>
      </c>
      <c r="N1339" s="2" t="str">
        <f aca="false">_xlfn.IFS(B1339&lt;30,"Under 30",B1339&lt;40,"30-39",B1339&lt;50,"40-49",B1339&lt;60,"50-59",TRUE(),"60+")</f>
        <v>40-49</v>
      </c>
      <c r="O1339" s="2" t="str">
        <f aca="false">_xlfn.IFS(G1339&lt;0,"1 Negative",G1339=0,"2 Zero",G1339&lt;=500,"3 1-500",G1339&lt;=2000,"4 501-2000",TRUE(),"5 Above 2000")</f>
        <v>4 501-2000</v>
      </c>
      <c r="P1339" s="2" t="n">
        <f aca="false">Lookups!$B$2*M1339+Lookups!$B$3*L1339</f>
        <v>0</v>
      </c>
      <c r="Q1339" s="2" t="str">
        <f aca="false">INDEX(Lookups!$E$2:$E$5,MATCH(P1339,Lookups!$D$2:$D$5,0))</f>
        <v>Low</v>
      </c>
    </row>
    <row r="1340" customFormat="false" ht="15" hidden="false" customHeight="false" outlineLevel="0" collapsed="false">
      <c r="A1340" s="3" t="n">
        <v>1339</v>
      </c>
      <c r="B1340" s="3" t="n">
        <f aca="false">Raw_Data!A1340</f>
        <v>52</v>
      </c>
      <c r="C1340" s="3" t="str">
        <f aca="false">SUBSTITUTE(Raw_Data!B1340,".","")</f>
        <v>services</v>
      </c>
      <c r="D1340" s="3" t="str">
        <f aca="false">Raw_Data!C1340</f>
        <v>married</v>
      </c>
      <c r="E1340" s="3" t="str">
        <f aca="false">Raw_Data!D1340</f>
        <v>secondary</v>
      </c>
      <c r="F1340" s="3" t="str">
        <f aca="false">Raw_Data!E1340</f>
        <v>no</v>
      </c>
      <c r="G1340" s="3" t="n">
        <f aca="false">Raw_Data!F1340</f>
        <v>-888</v>
      </c>
      <c r="H1340" s="3" t="str">
        <f aca="false">Raw_Data!G1340</f>
        <v>no</v>
      </c>
      <c r="I1340" s="3" t="str">
        <f aca="false">Raw_Data!H1340</f>
        <v>no</v>
      </c>
      <c r="J1340" s="2" t="n">
        <f aca="false">IF(F1340="yes",1,0)</f>
        <v>0</v>
      </c>
      <c r="K1340" s="2" t="n">
        <f aca="false">IF(H1340="yes",1,0)</f>
        <v>0</v>
      </c>
      <c r="L1340" s="2" t="n">
        <f aca="false">IF(I1340="yes",1,0)</f>
        <v>0</v>
      </c>
      <c r="M1340" s="2" t="n">
        <f aca="false">IF(G1340&lt;0,1,0)</f>
        <v>1</v>
      </c>
      <c r="N1340" s="2" t="str">
        <f aca="false">_xlfn.IFS(B1340&lt;30,"Under 30",B1340&lt;40,"30-39",B1340&lt;50,"40-49",B1340&lt;60,"50-59",TRUE(),"60+")</f>
        <v>50-59</v>
      </c>
      <c r="O1340" s="2" t="str">
        <f aca="false">_xlfn.IFS(G1340&lt;0,"1 Negative",G1340=0,"2 Zero",G1340&lt;=500,"3 1-500",G1340&lt;=2000,"4 501-2000",TRUE(),"5 Above 2000")</f>
        <v>1 Negative</v>
      </c>
      <c r="P1340" s="2" t="n">
        <f aca="false">Lookups!$B$2*M1340+Lookups!$B$3*L1340</f>
        <v>2</v>
      </c>
      <c r="Q1340" s="2" t="str">
        <f aca="false">INDEX(Lookups!$E$2:$E$5,MATCH(P1340,Lookups!$D$2:$D$5,0))</f>
        <v>High</v>
      </c>
    </row>
    <row r="1341" customFormat="false" ht="15" hidden="false" customHeight="false" outlineLevel="0" collapsed="false">
      <c r="A1341" s="3" t="n">
        <v>1340</v>
      </c>
      <c r="B1341" s="3" t="n">
        <f aca="false">Raw_Data!A1341</f>
        <v>40</v>
      </c>
      <c r="C1341" s="3" t="str">
        <f aca="false">SUBSTITUTE(Raw_Data!B1341,".","")</f>
        <v>technician</v>
      </c>
      <c r="D1341" s="3" t="str">
        <f aca="false">Raw_Data!C1341</f>
        <v>single</v>
      </c>
      <c r="E1341" s="3" t="str">
        <f aca="false">Raw_Data!D1341</f>
        <v>tertiary</v>
      </c>
      <c r="F1341" s="3" t="str">
        <f aca="false">Raw_Data!E1341</f>
        <v>no</v>
      </c>
      <c r="G1341" s="3" t="n">
        <f aca="false">Raw_Data!F1341</f>
        <v>226</v>
      </c>
      <c r="H1341" s="3" t="str">
        <f aca="false">Raw_Data!G1341</f>
        <v>no</v>
      </c>
      <c r="I1341" s="3" t="str">
        <f aca="false">Raw_Data!H1341</f>
        <v>no</v>
      </c>
      <c r="J1341" s="2" t="n">
        <f aca="false">IF(F1341="yes",1,0)</f>
        <v>0</v>
      </c>
      <c r="K1341" s="2" t="n">
        <f aca="false">IF(H1341="yes",1,0)</f>
        <v>0</v>
      </c>
      <c r="L1341" s="2" t="n">
        <f aca="false">IF(I1341="yes",1,0)</f>
        <v>0</v>
      </c>
      <c r="M1341" s="2" t="n">
        <f aca="false">IF(G1341&lt;0,1,0)</f>
        <v>0</v>
      </c>
      <c r="N1341" s="2" t="str">
        <f aca="false">_xlfn.IFS(B1341&lt;30,"Under 30",B1341&lt;40,"30-39",B1341&lt;50,"40-49",B1341&lt;60,"50-59",TRUE(),"60+")</f>
        <v>40-49</v>
      </c>
      <c r="O1341" s="2" t="str">
        <f aca="false">_xlfn.IFS(G1341&lt;0,"1 Negative",G1341=0,"2 Zero",G1341&lt;=500,"3 1-500",G1341&lt;=2000,"4 501-2000",TRUE(),"5 Above 2000")</f>
        <v>3 1-500</v>
      </c>
      <c r="P1341" s="2" t="n">
        <f aca="false">Lookups!$B$2*M1341+Lookups!$B$3*L1341</f>
        <v>0</v>
      </c>
      <c r="Q1341" s="2" t="str">
        <f aca="false">INDEX(Lookups!$E$2:$E$5,MATCH(P1341,Lookups!$D$2:$D$5,0))</f>
        <v>Low</v>
      </c>
    </row>
    <row r="1342" customFormat="false" ht="15" hidden="false" customHeight="false" outlineLevel="0" collapsed="false">
      <c r="A1342" s="3" t="n">
        <v>1341</v>
      </c>
      <c r="B1342" s="3" t="n">
        <f aca="false">Raw_Data!A1342</f>
        <v>48</v>
      </c>
      <c r="C1342" s="3" t="str">
        <f aca="false">SUBSTITUTE(Raw_Data!B1342,".","")</f>
        <v>technician</v>
      </c>
      <c r="D1342" s="3" t="str">
        <f aca="false">Raw_Data!C1342</f>
        <v>married</v>
      </c>
      <c r="E1342" s="3" t="str">
        <f aca="false">Raw_Data!D1342</f>
        <v>secondary</v>
      </c>
      <c r="F1342" s="3" t="str">
        <f aca="false">Raw_Data!E1342</f>
        <v>no</v>
      </c>
      <c r="G1342" s="3" t="n">
        <f aca="false">Raw_Data!F1342</f>
        <v>127</v>
      </c>
      <c r="H1342" s="3" t="str">
        <f aca="false">Raw_Data!G1342</f>
        <v>no</v>
      </c>
      <c r="I1342" s="3" t="str">
        <f aca="false">Raw_Data!H1342</f>
        <v>yes</v>
      </c>
      <c r="J1342" s="2" t="n">
        <f aca="false">IF(F1342="yes",1,0)</f>
        <v>0</v>
      </c>
      <c r="K1342" s="2" t="n">
        <f aca="false">IF(H1342="yes",1,0)</f>
        <v>0</v>
      </c>
      <c r="L1342" s="2" t="n">
        <f aca="false">IF(I1342="yes",1,0)</f>
        <v>1</v>
      </c>
      <c r="M1342" s="2" t="n">
        <f aca="false">IF(G1342&lt;0,1,0)</f>
        <v>0</v>
      </c>
      <c r="N1342" s="2" t="str">
        <f aca="false">_xlfn.IFS(B1342&lt;30,"Under 30",B1342&lt;40,"30-39",B1342&lt;50,"40-49",B1342&lt;60,"50-59",TRUE(),"60+")</f>
        <v>40-49</v>
      </c>
      <c r="O1342" s="2" t="str">
        <f aca="false">_xlfn.IFS(G1342&lt;0,"1 Negative",G1342=0,"2 Zero",G1342&lt;=500,"3 1-500",G1342&lt;=2000,"4 501-2000",TRUE(),"5 Above 2000")</f>
        <v>3 1-500</v>
      </c>
      <c r="P1342" s="2" t="n">
        <f aca="false">Lookups!$B$2*M1342+Lookups!$B$3*L1342</f>
        <v>1</v>
      </c>
      <c r="Q1342" s="2" t="str">
        <f aca="false">INDEX(Lookups!$E$2:$E$5,MATCH(P1342,Lookups!$D$2:$D$5,0))</f>
        <v>Medium</v>
      </c>
    </row>
    <row r="1343" customFormat="false" ht="15" hidden="false" customHeight="false" outlineLevel="0" collapsed="false">
      <c r="A1343" s="3" t="n">
        <v>1342</v>
      </c>
      <c r="B1343" s="3" t="n">
        <f aca="false">Raw_Data!A1343</f>
        <v>31</v>
      </c>
      <c r="C1343" s="3" t="str">
        <f aca="false">SUBSTITUTE(Raw_Data!B1343,".","")</f>
        <v>services</v>
      </c>
      <c r="D1343" s="3" t="str">
        <f aca="false">Raw_Data!C1343</f>
        <v>married</v>
      </c>
      <c r="E1343" s="3" t="str">
        <f aca="false">Raw_Data!D1343</f>
        <v>secondary</v>
      </c>
      <c r="F1343" s="3" t="str">
        <f aca="false">Raw_Data!E1343</f>
        <v>no</v>
      </c>
      <c r="G1343" s="3" t="n">
        <f aca="false">Raw_Data!F1343</f>
        <v>413</v>
      </c>
      <c r="H1343" s="3" t="str">
        <f aca="false">Raw_Data!G1343</f>
        <v>yes</v>
      </c>
      <c r="I1343" s="3" t="str">
        <f aca="false">Raw_Data!H1343</f>
        <v>no</v>
      </c>
      <c r="J1343" s="2" t="n">
        <f aca="false">IF(F1343="yes",1,0)</f>
        <v>0</v>
      </c>
      <c r="K1343" s="2" t="n">
        <f aca="false">IF(H1343="yes",1,0)</f>
        <v>1</v>
      </c>
      <c r="L1343" s="2" t="n">
        <f aca="false">IF(I1343="yes",1,0)</f>
        <v>0</v>
      </c>
      <c r="M1343" s="2" t="n">
        <f aca="false">IF(G1343&lt;0,1,0)</f>
        <v>0</v>
      </c>
      <c r="N1343" s="2" t="str">
        <f aca="false">_xlfn.IFS(B1343&lt;30,"Under 30",B1343&lt;40,"30-39",B1343&lt;50,"40-49",B1343&lt;60,"50-59",TRUE(),"60+")</f>
        <v>30-39</v>
      </c>
      <c r="O1343" s="2" t="str">
        <f aca="false">_xlfn.IFS(G1343&lt;0,"1 Negative",G1343=0,"2 Zero",G1343&lt;=500,"3 1-500",G1343&lt;=2000,"4 501-2000",TRUE(),"5 Above 2000")</f>
        <v>3 1-500</v>
      </c>
      <c r="P1343" s="2" t="n">
        <f aca="false">Lookups!$B$2*M1343+Lookups!$B$3*L1343</f>
        <v>0</v>
      </c>
      <c r="Q1343" s="2" t="str">
        <f aca="false">INDEX(Lookups!$E$2:$E$5,MATCH(P1343,Lookups!$D$2:$D$5,0))</f>
        <v>Low</v>
      </c>
    </row>
    <row r="1344" customFormat="false" ht="15" hidden="false" customHeight="false" outlineLevel="0" collapsed="false">
      <c r="A1344" s="3" t="n">
        <v>1343</v>
      </c>
      <c r="B1344" s="3" t="n">
        <f aca="false">Raw_Data!A1344</f>
        <v>27</v>
      </c>
      <c r="C1344" s="3" t="str">
        <f aca="false">SUBSTITUTE(Raw_Data!B1344,".","")</f>
        <v>admin</v>
      </c>
      <c r="D1344" s="3" t="str">
        <f aca="false">Raw_Data!C1344</f>
        <v>married</v>
      </c>
      <c r="E1344" s="3" t="str">
        <f aca="false">Raw_Data!D1344</f>
        <v>secondary</v>
      </c>
      <c r="F1344" s="3" t="str">
        <f aca="false">Raw_Data!E1344</f>
        <v>no</v>
      </c>
      <c r="G1344" s="3" t="n">
        <f aca="false">Raw_Data!F1344</f>
        <v>710</v>
      </c>
      <c r="H1344" s="3" t="str">
        <f aca="false">Raw_Data!G1344</f>
        <v>yes</v>
      </c>
      <c r="I1344" s="3" t="str">
        <f aca="false">Raw_Data!H1344</f>
        <v>yes</v>
      </c>
      <c r="J1344" s="2" t="n">
        <f aca="false">IF(F1344="yes",1,0)</f>
        <v>0</v>
      </c>
      <c r="K1344" s="2" t="n">
        <f aca="false">IF(H1344="yes",1,0)</f>
        <v>1</v>
      </c>
      <c r="L1344" s="2" t="n">
        <f aca="false">IF(I1344="yes",1,0)</f>
        <v>1</v>
      </c>
      <c r="M1344" s="2" t="n">
        <f aca="false">IF(G1344&lt;0,1,0)</f>
        <v>0</v>
      </c>
      <c r="N1344" s="2" t="str">
        <f aca="false">_xlfn.IFS(B1344&lt;30,"Under 30",B1344&lt;40,"30-39",B1344&lt;50,"40-49",B1344&lt;60,"50-59",TRUE(),"60+")</f>
        <v>Under 30</v>
      </c>
      <c r="O1344" s="2" t="str">
        <f aca="false">_xlfn.IFS(G1344&lt;0,"1 Negative",G1344=0,"2 Zero",G1344&lt;=500,"3 1-500",G1344&lt;=2000,"4 501-2000",TRUE(),"5 Above 2000")</f>
        <v>4 501-2000</v>
      </c>
      <c r="P1344" s="2" t="n">
        <f aca="false">Lookups!$B$2*M1344+Lookups!$B$3*L1344</f>
        <v>1</v>
      </c>
      <c r="Q1344" s="2" t="str">
        <f aca="false">INDEX(Lookups!$E$2:$E$5,MATCH(P1344,Lookups!$D$2:$D$5,0))</f>
        <v>Medium</v>
      </c>
    </row>
    <row r="1345" customFormat="false" ht="15" hidden="false" customHeight="false" outlineLevel="0" collapsed="false">
      <c r="A1345" s="3" t="n">
        <v>1344</v>
      </c>
      <c r="B1345" s="3" t="n">
        <f aca="false">Raw_Data!A1345</f>
        <v>47</v>
      </c>
      <c r="C1345" s="3" t="str">
        <f aca="false">SUBSTITUTE(Raw_Data!B1345,".","")</f>
        <v>technician</v>
      </c>
      <c r="D1345" s="3" t="str">
        <f aca="false">Raw_Data!C1345</f>
        <v>married</v>
      </c>
      <c r="E1345" s="3" t="str">
        <f aca="false">Raw_Data!D1345</f>
        <v>secondary</v>
      </c>
      <c r="F1345" s="3" t="str">
        <f aca="false">Raw_Data!E1345</f>
        <v>no</v>
      </c>
      <c r="G1345" s="3" t="n">
        <f aca="false">Raw_Data!F1345</f>
        <v>1233</v>
      </c>
      <c r="H1345" s="3" t="str">
        <f aca="false">Raw_Data!G1345</f>
        <v>yes</v>
      </c>
      <c r="I1345" s="3" t="str">
        <f aca="false">Raw_Data!H1345</f>
        <v>no</v>
      </c>
      <c r="J1345" s="2" t="n">
        <f aca="false">IF(F1345="yes",1,0)</f>
        <v>0</v>
      </c>
      <c r="K1345" s="2" t="n">
        <f aca="false">IF(H1345="yes",1,0)</f>
        <v>1</v>
      </c>
      <c r="L1345" s="2" t="n">
        <f aca="false">IF(I1345="yes",1,0)</f>
        <v>0</v>
      </c>
      <c r="M1345" s="2" t="n">
        <f aca="false">IF(G1345&lt;0,1,0)</f>
        <v>0</v>
      </c>
      <c r="N1345" s="2" t="str">
        <f aca="false">_xlfn.IFS(B1345&lt;30,"Under 30",B1345&lt;40,"30-39",B1345&lt;50,"40-49",B1345&lt;60,"50-59",TRUE(),"60+")</f>
        <v>40-49</v>
      </c>
      <c r="O1345" s="2" t="str">
        <f aca="false">_xlfn.IFS(G1345&lt;0,"1 Negative",G1345=0,"2 Zero",G1345&lt;=500,"3 1-500",G1345&lt;=2000,"4 501-2000",TRUE(),"5 Above 2000")</f>
        <v>4 501-2000</v>
      </c>
      <c r="P1345" s="2" t="n">
        <f aca="false">Lookups!$B$2*M1345+Lookups!$B$3*L1345</f>
        <v>0</v>
      </c>
      <c r="Q1345" s="2" t="str">
        <f aca="false">INDEX(Lookups!$E$2:$E$5,MATCH(P1345,Lookups!$D$2:$D$5,0))</f>
        <v>Low</v>
      </c>
    </row>
    <row r="1346" customFormat="false" ht="15" hidden="false" customHeight="false" outlineLevel="0" collapsed="false">
      <c r="A1346" s="3" t="n">
        <v>1345</v>
      </c>
      <c r="B1346" s="3" t="n">
        <f aca="false">Raw_Data!A1346</f>
        <v>28</v>
      </c>
      <c r="C1346" s="3" t="str">
        <f aca="false">SUBSTITUTE(Raw_Data!B1346,".","")</f>
        <v>management</v>
      </c>
      <c r="D1346" s="3" t="str">
        <f aca="false">Raw_Data!C1346</f>
        <v>single</v>
      </c>
      <c r="E1346" s="3" t="str">
        <f aca="false">Raw_Data!D1346</f>
        <v>secondary</v>
      </c>
      <c r="F1346" s="3" t="str">
        <f aca="false">Raw_Data!E1346</f>
        <v>no</v>
      </c>
      <c r="G1346" s="3" t="n">
        <f aca="false">Raw_Data!F1346</f>
        <v>171</v>
      </c>
      <c r="H1346" s="3" t="str">
        <f aca="false">Raw_Data!G1346</f>
        <v>no</v>
      </c>
      <c r="I1346" s="3" t="str">
        <f aca="false">Raw_Data!H1346</f>
        <v>no</v>
      </c>
      <c r="J1346" s="2" t="n">
        <f aca="false">IF(F1346="yes",1,0)</f>
        <v>0</v>
      </c>
      <c r="K1346" s="2" t="n">
        <f aca="false">IF(H1346="yes",1,0)</f>
        <v>0</v>
      </c>
      <c r="L1346" s="2" t="n">
        <f aca="false">IF(I1346="yes",1,0)</f>
        <v>0</v>
      </c>
      <c r="M1346" s="2" t="n">
        <f aca="false">IF(G1346&lt;0,1,0)</f>
        <v>0</v>
      </c>
      <c r="N1346" s="2" t="str">
        <f aca="false">_xlfn.IFS(B1346&lt;30,"Under 30",B1346&lt;40,"30-39",B1346&lt;50,"40-49",B1346&lt;60,"50-59",TRUE(),"60+")</f>
        <v>Under 30</v>
      </c>
      <c r="O1346" s="2" t="str">
        <f aca="false">_xlfn.IFS(G1346&lt;0,"1 Negative",G1346=0,"2 Zero",G1346&lt;=500,"3 1-500",G1346&lt;=2000,"4 501-2000",TRUE(),"5 Above 2000")</f>
        <v>3 1-500</v>
      </c>
      <c r="P1346" s="2" t="n">
        <f aca="false">Lookups!$B$2*M1346+Lookups!$B$3*L1346</f>
        <v>0</v>
      </c>
      <c r="Q1346" s="2" t="str">
        <f aca="false">INDEX(Lookups!$E$2:$E$5,MATCH(P1346,Lookups!$D$2:$D$5,0))</f>
        <v>Low</v>
      </c>
    </row>
    <row r="1347" customFormat="false" ht="15" hidden="false" customHeight="false" outlineLevel="0" collapsed="false">
      <c r="A1347" s="3" t="n">
        <v>1346</v>
      </c>
      <c r="B1347" s="3" t="n">
        <f aca="false">Raw_Data!A1347</f>
        <v>40</v>
      </c>
      <c r="C1347" s="3" t="str">
        <f aca="false">SUBSTITUTE(Raw_Data!B1347,".","")</f>
        <v>management</v>
      </c>
      <c r="D1347" s="3" t="str">
        <f aca="false">Raw_Data!C1347</f>
        <v>divorced</v>
      </c>
      <c r="E1347" s="3" t="str">
        <f aca="false">Raw_Data!D1347</f>
        <v>tertiary</v>
      </c>
      <c r="F1347" s="3" t="str">
        <f aca="false">Raw_Data!E1347</f>
        <v>no</v>
      </c>
      <c r="G1347" s="3" t="n">
        <f aca="false">Raw_Data!F1347</f>
        <v>69</v>
      </c>
      <c r="H1347" s="3" t="str">
        <f aca="false">Raw_Data!G1347</f>
        <v>yes</v>
      </c>
      <c r="I1347" s="3" t="str">
        <f aca="false">Raw_Data!H1347</f>
        <v>no</v>
      </c>
      <c r="J1347" s="2" t="n">
        <f aca="false">IF(F1347="yes",1,0)</f>
        <v>0</v>
      </c>
      <c r="K1347" s="2" t="n">
        <f aca="false">IF(H1347="yes",1,0)</f>
        <v>1</v>
      </c>
      <c r="L1347" s="2" t="n">
        <f aca="false">IF(I1347="yes",1,0)</f>
        <v>0</v>
      </c>
      <c r="M1347" s="2" t="n">
        <f aca="false">IF(G1347&lt;0,1,0)</f>
        <v>0</v>
      </c>
      <c r="N1347" s="2" t="str">
        <f aca="false">_xlfn.IFS(B1347&lt;30,"Under 30",B1347&lt;40,"30-39",B1347&lt;50,"40-49",B1347&lt;60,"50-59",TRUE(),"60+")</f>
        <v>40-49</v>
      </c>
      <c r="O1347" s="2" t="str">
        <f aca="false">_xlfn.IFS(G1347&lt;0,"1 Negative",G1347=0,"2 Zero",G1347&lt;=500,"3 1-500",G1347&lt;=2000,"4 501-2000",TRUE(),"5 Above 2000")</f>
        <v>3 1-500</v>
      </c>
      <c r="P1347" s="2" t="n">
        <f aca="false">Lookups!$B$2*M1347+Lookups!$B$3*L1347</f>
        <v>0</v>
      </c>
      <c r="Q1347" s="2" t="str">
        <f aca="false">INDEX(Lookups!$E$2:$E$5,MATCH(P1347,Lookups!$D$2:$D$5,0))</f>
        <v>Low</v>
      </c>
    </row>
    <row r="1348" customFormat="false" ht="15" hidden="false" customHeight="false" outlineLevel="0" collapsed="false">
      <c r="A1348" s="3" t="n">
        <v>1347</v>
      </c>
      <c r="B1348" s="3" t="n">
        <f aca="false">Raw_Data!A1348</f>
        <v>34</v>
      </c>
      <c r="C1348" s="3" t="str">
        <f aca="false">SUBSTITUTE(Raw_Data!B1348,".","")</f>
        <v>admin</v>
      </c>
      <c r="D1348" s="3" t="str">
        <f aca="false">Raw_Data!C1348</f>
        <v>married</v>
      </c>
      <c r="E1348" s="3" t="str">
        <f aca="false">Raw_Data!D1348</f>
        <v>secondary</v>
      </c>
      <c r="F1348" s="3" t="str">
        <f aca="false">Raw_Data!E1348</f>
        <v>no</v>
      </c>
      <c r="G1348" s="3" t="n">
        <f aca="false">Raw_Data!F1348</f>
        <v>1499</v>
      </c>
      <c r="H1348" s="3" t="str">
        <f aca="false">Raw_Data!G1348</f>
        <v>yes</v>
      </c>
      <c r="I1348" s="3" t="str">
        <f aca="false">Raw_Data!H1348</f>
        <v>no</v>
      </c>
      <c r="J1348" s="2" t="n">
        <f aca="false">IF(F1348="yes",1,0)</f>
        <v>0</v>
      </c>
      <c r="K1348" s="2" t="n">
        <f aca="false">IF(H1348="yes",1,0)</f>
        <v>1</v>
      </c>
      <c r="L1348" s="2" t="n">
        <f aca="false">IF(I1348="yes",1,0)</f>
        <v>0</v>
      </c>
      <c r="M1348" s="2" t="n">
        <f aca="false">IF(G1348&lt;0,1,0)</f>
        <v>0</v>
      </c>
      <c r="N1348" s="2" t="str">
        <f aca="false">_xlfn.IFS(B1348&lt;30,"Under 30",B1348&lt;40,"30-39",B1348&lt;50,"40-49",B1348&lt;60,"50-59",TRUE(),"60+")</f>
        <v>30-39</v>
      </c>
      <c r="O1348" s="2" t="str">
        <f aca="false">_xlfn.IFS(G1348&lt;0,"1 Negative",G1348=0,"2 Zero",G1348&lt;=500,"3 1-500",G1348&lt;=2000,"4 501-2000",TRUE(),"5 Above 2000")</f>
        <v>4 501-2000</v>
      </c>
      <c r="P1348" s="2" t="n">
        <f aca="false">Lookups!$B$2*M1348+Lookups!$B$3*L1348</f>
        <v>0</v>
      </c>
      <c r="Q1348" s="2" t="str">
        <f aca="false">INDEX(Lookups!$E$2:$E$5,MATCH(P1348,Lookups!$D$2:$D$5,0))</f>
        <v>Low</v>
      </c>
    </row>
    <row r="1349" customFormat="false" ht="15" hidden="false" customHeight="false" outlineLevel="0" collapsed="false">
      <c r="A1349" s="3" t="n">
        <v>1348</v>
      </c>
      <c r="B1349" s="3" t="n">
        <f aca="false">Raw_Data!A1349</f>
        <v>29</v>
      </c>
      <c r="C1349" s="3" t="str">
        <f aca="false">SUBSTITUTE(Raw_Data!B1349,".","")</f>
        <v>self-employed</v>
      </c>
      <c r="D1349" s="3" t="str">
        <f aca="false">Raw_Data!C1349</f>
        <v>married</v>
      </c>
      <c r="E1349" s="3" t="str">
        <f aca="false">Raw_Data!D1349</f>
        <v>tertiary</v>
      </c>
      <c r="F1349" s="3" t="str">
        <f aca="false">Raw_Data!E1349</f>
        <v>no</v>
      </c>
      <c r="G1349" s="3" t="n">
        <f aca="false">Raw_Data!F1349</f>
        <v>751</v>
      </c>
      <c r="H1349" s="3" t="str">
        <f aca="false">Raw_Data!G1349</f>
        <v>yes</v>
      </c>
      <c r="I1349" s="3" t="str">
        <f aca="false">Raw_Data!H1349</f>
        <v>no</v>
      </c>
      <c r="J1349" s="2" t="n">
        <f aca="false">IF(F1349="yes",1,0)</f>
        <v>0</v>
      </c>
      <c r="K1349" s="2" t="n">
        <f aca="false">IF(H1349="yes",1,0)</f>
        <v>1</v>
      </c>
      <c r="L1349" s="2" t="n">
        <f aca="false">IF(I1349="yes",1,0)</f>
        <v>0</v>
      </c>
      <c r="M1349" s="2" t="n">
        <f aca="false">IF(G1349&lt;0,1,0)</f>
        <v>0</v>
      </c>
      <c r="N1349" s="2" t="str">
        <f aca="false">_xlfn.IFS(B1349&lt;30,"Under 30",B1349&lt;40,"30-39",B1349&lt;50,"40-49",B1349&lt;60,"50-59",TRUE(),"60+")</f>
        <v>Under 30</v>
      </c>
      <c r="O1349" s="2" t="str">
        <f aca="false">_xlfn.IFS(G1349&lt;0,"1 Negative",G1349=0,"2 Zero",G1349&lt;=500,"3 1-500",G1349&lt;=2000,"4 501-2000",TRUE(),"5 Above 2000")</f>
        <v>4 501-2000</v>
      </c>
      <c r="P1349" s="2" t="n">
        <f aca="false">Lookups!$B$2*M1349+Lookups!$B$3*L1349</f>
        <v>0</v>
      </c>
      <c r="Q1349" s="2" t="str">
        <f aca="false">INDEX(Lookups!$E$2:$E$5,MATCH(P1349,Lookups!$D$2:$D$5,0))</f>
        <v>Low</v>
      </c>
    </row>
    <row r="1350" customFormat="false" ht="15" hidden="false" customHeight="false" outlineLevel="0" collapsed="false">
      <c r="A1350" s="3" t="n">
        <v>1349</v>
      </c>
      <c r="B1350" s="3" t="n">
        <f aca="false">Raw_Data!A1350</f>
        <v>36</v>
      </c>
      <c r="C1350" s="3" t="str">
        <f aca="false">SUBSTITUTE(Raw_Data!B1350,".","")</f>
        <v>management</v>
      </c>
      <c r="D1350" s="3" t="str">
        <f aca="false">Raw_Data!C1350</f>
        <v>married</v>
      </c>
      <c r="E1350" s="3" t="str">
        <f aca="false">Raw_Data!D1350</f>
        <v>tertiary</v>
      </c>
      <c r="F1350" s="3" t="str">
        <f aca="false">Raw_Data!E1350</f>
        <v>no</v>
      </c>
      <c r="G1350" s="3" t="n">
        <f aca="false">Raw_Data!F1350</f>
        <v>61</v>
      </c>
      <c r="H1350" s="3" t="str">
        <f aca="false">Raw_Data!G1350</f>
        <v>no</v>
      </c>
      <c r="I1350" s="3" t="str">
        <f aca="false">Raw_Data!H1350</f>
        <v>yes</v>
      </c>
      <c r="J1350" s="2" t="n">
        <f aca="false">IF(F1350="yes",1,0)</f>
        <v>0</v>
      </c>
      <c r="K1350" s="2" t="n">
        <f aca="false">IF(H1350="yes",1,0)</f>
        <v>0</v>
      </c>
      <c r="L1350" s="2" t="n">
        <f aca="false">IF(I1350="yes",1,0)</f>
        <v>1</v>
      </c>
      <c r="M1350" s="2" t="n">
        <f aca="false">IF(G1350&lt;0,1,0)</f>
        <v>0</v>
      </c>
      <c r="N1350" s="2" t="str">
        <f aca="false">_xlfn.IFS(B1350&lt;30,"Under 30",B1350&lt;40,"30-39",B1350&lt;50,"40-49",B1350&lt;60,"50-59",TRUE(),"60+")</f>
        <v>30-39</v>
      </c>
      <c r="O1350" s="2" t="str">
        <f aca="false">_xlfn.IFS(G1350&lt;0,"1 Negative",G1350=0,"2 Zero",G1350&lt;=500,"3 1-500",G1350&lt;=2000,"4 501-2000",TRUE(),"5 Above 2000")</f>
        <v>3 1-500</v>
      </c>
      <c r="P1350" s="2" t="n">
        <f aca="false">Lookups!$B$2*M1350+Lookups!$B$3*L1350</f>
        <v>1</v>
      </c>
      <c r="Q1350" s="2" t="str">
        <f aca="false">INDEX(Lookups!$E$2:$E$5,MATCH(P1350,Lookups!$D$2:$D$5,0))</f>
        <v>Medium</v>
      </c>
    </row>
    <row r="1351" customFormat="false" ht="15" hidden="false" customHeight="false" outlineLevel="0" collapsed="false">
      <c r="A1351" s="3" t="n">
        <v>1350</v>
      </c>
      <c r="B1351" s="3" t="n">
        <f aca="false">Raw_Data!A1351</f>
        <v>83</v>
      </c>
      <c r="C1351" s="3" t="str">
        <f aca="false">SUBSTITUTE(Raw_Data!B1351,".","")</f>
        <v>retired</v>
      </c>
      <c r="D1351" s="3" t="str">
        <f aca="false">Raw_Data!C1351</f>
        <v>married</v>
      </c>
      <c r="E1351" s="3" t="str">
        <f aca="false">Raw_Data!D1351</f>
        <v>primary</v>
      </c>
      <c r="F1351" s="3" t="str">
        <f aca="false">Raw_Data!E1351</f>
        <v>no</v>
      </c>
      <c r="G1351" s="3" t="n">
        <f aca="false">Raw_Data!F1351</f>
        <v>425</v>
      </c>
      <c r="H1351" s="3" t="str">
        <f aca="false">Raw_Data!G1351</f>
        <v>no</v>
      </c>
      <c r="I1351" s="3" t="str">
        <f aca="false">Raw_Data!H1351</f>
        <v>no</v>
      </c>
      <c r="J1351" s="2" t="n">
        <f aca="false">IF(F1351="yes",1,0)</f>
        <v>0</v>
      </c>
      <c r="K1351" s="2" t="n">
        <f aca="false">IF(H1351="yes",1,0)</f>
        <v>0</v>
      </c>
      <c r="L1351" s="2" t="n">
        <f aca="false">IF(I1351="yes",1,0)</f>
        <v>0</v>
      </c>
      <c r="M1351" s="2" t="n">
        <f aca="false">IF(G1351&lt;0,1,0)</f>
        <v>0</v>
      </c>
      <c r="N1351" s="2" t="str">
        <f aca="false">_xlfn.IFS(B1351&lt;30,"Under 30",B1351&lt;40,"30-39",B1351&lt;50,"40-49",B1351&lt;60,"50-59",TRUE(),"60+")</f>
        <v>60+</v>
      </c>
      <c r="O1351" s="2" t="str">
        <f aca="false">_xlfn.IFS(G1351&lt;0,"1 Negative",G1351=0,"2 Zero",G1351&lt;=500,"3 1-500",G1351&lt;=2000,"4 501-2000",TRUE(),"5 Above 2000")</f>
        <v>3 1-500</v>
      </c>
      <c r="P1351" s="2" t="n">
        <f aca="false">Lookups!$B$2*M1351+Lookups!$B$3*L1351</f>
        <v>0</v>
      </c>
      <c r="Q1351" s="2" t="str">
        <f aca="false">INDEX(Lookups!$E$2:$E$5,MATCH(P1351,Lookups!$D$2:$D$5,0))</f>
        <v>Low</v>
      </c>
    </row>
    <row r="1352" customFormat="false" ht="15" hidden="false" customHeight="false" outlineLevel="0" collapsed="false">
      <c r="A1352" s="3" t="n">
        <v>1351</v>
      </c>
      <c r="B1352" s="3" t="n">
        <f aca="false">Raw_Data!A1352</f>
        <v>55</v>
      </c>
      <c r="C1352" s="3" t="str">
        <f aca="false">SUBSTITUTE(Raw_Data!B1352,".","")</f>
        <v>services</v>
      </c>
      <c r="D1352" s="3" t="str">
        <f aca="false">Raw_Data!C1352</f>
        <v>divorced</v>
      </c>
      <c r="E1352" s="3" t="str">
        <f aca="false">Raw_Data!D1352</f>
        <v>primary</v>
      </c>
      <c r="F1352" s="3" t="str">
        <f aca="false">Raw_Data!E1352</f>
        <v>no</v>
      </c>
      <c r="G1352" s="3" t="n">
        <f aca="false">Raw_Data!F1352</f>
        <v>2923</v>
      </c>
      <c r="H1352" s="3" t="str">
        <f aca="false">Raw_Data!G1352</f>
        <v>yes</v>
      </c>
      <c r="I1352" s="3" t="str">
        <f aca="false">Raw_Data!H1352</f>
        <v>no</v>
      </c>
      <c r="J1352" s="2" t="n">
        <f aca="false">IF(F1352="yes",1,0)</f>
        <v>0</v>
      </c>
      <c r="K1352" s="2" t="n">
        <f aca="false">IF(H1352="yes",1,0)</f>
        <v>1</v>
      </c>
      <c r="L1352" s="2" t="n">
        <f aca="false">IF(I1352="yes",1,0)</f>
        <v>0</v>
      </c>
      <c r="M1352" s="2" t="n">
        <f aca="false">IF(G1352&lt;0,1,0)</f>
        <v>0</v>
      </c>
      <c r="N1352" s="2" t="str">
        <f aca="false">_xlfn.IFS(B1352&lt;30,"Under 30",B1352&lt;40,"30-39",B1352&lt;50,"40-49",B1352&lt;60,"50-59",TRUE(),"60+")</f>
        <v>50-59</v>
      </c>
      <c r="O1352" s="2" t="str">
        <f aca="false">_xlfn.IFS(G1352&lt;0,"1 Negative",G1352=0,"2 Zero",G1352&lt;=500,"3 1-500",G1352&lt;=2000,"4 501-2000",TRUE(),"5 Above 2000")</f>
        <v>5 Above 2000</v>
      </c>
      <c r="P1352" s="2" t="n">
        <f aca="false">Lookups!$B$2*M1352+Lookups!$B$3*L1352</f>
        <v>0</v>
      </c>
      <c r="Q1352" s="2" t="str">
        <f aca="false">INDEX(Lookups!$E$2:$E$5,MATCH(P1352,Lookups!$D$2:$D$5,0))</f>
        <v>Low</v>
      </c>
    </row>
    <row r="1353" customFormat="false" ht="15" hidden="false" customHeight="false" outlineLevel="0" collapsed="false">
      <c r="A1353" s="3" t="n">
        <v>1352</v>
      </c>
      <c r="B1353" s="3" t="n">
        <f aca="false">Raw_Data!A1353</f>
        <v>43</v>
      </c>
      <c r="C1353" s="3" t="str">
        <f aca="false">SUBSTITUTE(Raw_Data!B1353,".","")</f>
        <v>management</v>
      </c>
      <c r="D1353" s="3" t="str">
        <f aca="false">Raw_Data!C1353</f>
        <v>divorced</v>
      </c>
      <c r="E1353" s="3" t="str">
        <f aca="false">Raw_Data!D1353</f>
        <v>tertiary</v>
      </c>
      <c r="F1353" s="3" t="str">
        <f aca="false">Raw_Data!E1353</f>
        <v>no</v>
      </c>
      <c r="G1353" s="3" t="n">
        <f aca="false">Raw_Data!F1353</f>
        <v>99</v>
      </c>
      <c r="H1353" s="3" t="str">
        <f aca="false">Raw_Data!G1353</f>
        <v>no</v>
      </c>
      <c r="I1353" s="3" t="str">
        <f aca="false">Raw_Data!H1353</f>
        <v>no</v>
      </c>
      <c r="J1353" s="2" t="n">
        <f aca="false">IF(F1353="yes",1,0)</f>
        <v>0</v>
      </c>
      <c r="K1353" s="2" t="n">
        <f aca="false">IF(H1353="yes",1,0)</f>
        <v>0</v>
      </c>
      <c r="L1353" s="2" t="n">
        <f aca="false">IF(I1353="yes",1,0)</f>
        <v>0</v>
      </c>
      <c r="M1353" s="2" t="n">
        <f aca="false">IF(G1353&lt;0,1,0)</f>
        <v>0</v>
      </c>
      <c r="N1353" s="2" t="str">
        <f aca="false">_xlfn.IFS(B1353&lt;30,"Under 30",B1353&lt;40,"30-39",B1353&lt;50,"40-49",B1353&lt;60,"50-59",TRUE(),"60+")</f>
        <v>40-49</v>
      </c>
      <c r="O1353" s="2" t="str">
        <f aca="false">_xlfn.IFS(G1353&lt;0,"1 Negative",G1353=0,"2 Zero",G1353&lt;=500,"3 1-500",G1353&lt;=2000,"4 501-2000",TRUE(),"5 Above 2000")</f>
        <v>3 1-500</v>
      </c>
      <c r="P1353" s="2" t="n">
        <f aca="false">Lookups!$B$2*M1353+Lookups!$B$3*L1353</f>
        <v>0</v>
      </c>
      <c r="Q1353" s="2" t="str">
        <f aca="false">INDEX(Lookups!$E$2:$E$5,MATCH(P1353,Lookups!$D$2:$D$5,0))</f>
        <v>Low</v>
      </c>
    </row>
    <row r="1354" customFormat="false" ht="15" hidden="false" customHeight="false" outlineLevel="0" collapsed="false">
      <c r="A1354" s="3" t="n">
        <v>1353</v>
      </c>
      <c r="B1354" s="3" t="n">
        <f aca="false">Raw_Data!A1354</f>
        <v>23</v>
      </c>
      <c r="C1354" s="3" t="str">
        <f aca="false">SUBSTITUTE(Raw_Data!B1354,".","")</f>
        <v>student</v>
      </c>
      <c r="D1354" s="3" t="str">
        <f aca="false">Raw_Data!C1354</f>
        <v>single</v>
      </c>
      <c r="E1354" s="3" t="str">
        <f aca="false">Raw_Data!D1354</f>
        <v>secondary</v>
      </c>
      <c r="F1354" s="3" t="str">
        <f aca="false">Raw_Data!E1354</f>
        <v>no</v>
      </c>
      <c r="G1354" s="3" t="n">
        <f aca="false">Raw_Data!F1354</f>
        <v>1021</v>
      </c>
      <c r="H1354" s="3" t="str">
        <f aca="false">Raw_Data!G1354</f>
        <v>no</v>
      </c>
      <c r="I1354" s="3" t="str">
        <f aca="false">Raw_Data!H1354</f>
        <v>no</v>
      </c>
      <c r="J1354" s="2" t="n">
        <f aca="false">IF(F1354="yes",1,0)</f>
        <v>0</v>
      </c>
      <c r="K1354" s="2" t="n">
        <f aca="false">IF(H1354="yes",1,0)</f>
        <v>0</v>
      </c>
      <c r="L1354" s="2" t="n">
        <f aca="false">IF(I1354="yes",1,0)</f>
        <v>0</v>
      </c>
      <c r="M1354" s="2" t="n">
        <f aca="false">IF(G1354&lt;0,1,0)</f>
        <v>0</v>
      </c>
      <c r="N1354" s="2" t="str">
        <f aca="false">_xlfn.IFS(B1354&lt;30,"Under 30",B1354&lt;40,"30-39",B1354&lt;50,"40-49",B1354&lt;60,"50-59",TRUE(),"60+")</f>
        <v>Under 30</v>
      </c>
      <c r="O1354" s="2" t="str">
        <f aca="false">_xlfn.IFS(G1354&lt;0,"1 Negative",G1354=0,"2 Zero",G1354&lt;=500,"3 1-500",G1354&lt;=2000,"4 501-2000",TRUE(),"5 Above 2000")</f>
        <v>4 501-2000</v>
      </c>
      <c r="P1354" s="2" t="n">
        <f aca="false">Lookups!$B$2*M1354+Lookups!$B$3*L1354</f>
        <v>0</v>
      </c>
      <c r="Q1354" s="2" t="str">
        <f aca="false">INDEX(Lookups!$E$2:$E$5,MATCH(P1354,Lookups!$D$2:$D$5,0))</f>
        <v>Low</v>
      </c>
    </row>
    <row r="1355" customFormat="false" ht="15" hidden="false" customHeight="false" outlineLevel="0" collapsed="false">
      <c r="A1355" s="3" t="n">
        <v>1354</v>
      </c>
      <c r="B1355" s="3" t="n">
        <f aca="false">Raw_Data!A1355</f>
        <v>44</v>
      </c>
      <c r="C1355" s="3" t="str">
        <f aca="false">SUBSTITUTE(Raw_Data!B1355,".","")</f>
        <v>technician</v>
      </c>
      <c r="D1355" s="3" t="str">
        <f aca="false">Raw_Data!C1355</f>
        <v>married</v>
      </c>
      <c r="E1355" s="3" t="str">
        <f aca="false">Raw_Data!D1355</f>
        <v>tertiary</v>
      </c>
      <c r="F1355" s="3" t="str">
        <f aca="false">Raw_Data!E1355</f>
        <v>no</v>
      </c>
      <c r="G1355" s="3" t="n">
        <f aca="false">Raw_Data!F1355</f>
        <v>1146</v>
      </c>
      <c r="H1355" s="3" t="str">
        <f aca="false">Raw_Data!G1355</f>
        <v>no</v>
      </c>
      <c r="I1355" s="3" t="str">
        <f aca="false">Raw_Data!H1355</f>
        <v>no</v>
      </c>
      <c r="J1355" s="2" t="n">
        <f aca="false">IF(F1355="yes",1,0)</f>
        <v>0</v>
      </c>
      <c r="K1355" s="2" t="n">
        <f aca="false">IF(H1355="yes",1,0)</f>
        <v>0</v>
      </c>
      <c r="L1355" s="2" t="n">
        <f aca="false">IF(I1355="yes",1,0)</f>
        <v>0</v>
      </c>
      <c r="M1355" s="2" t="n">
        <f aca="false">IF(G1355&lt;0,1,0)</f>
        <v>0</v>
      </c>
      <c r="N1355" s="2" t="str">
        <f aca="false">_xlfn.IFS(B1355&lt;30,"Under 30",B1355&lt;40,"30-39",B1355&lt;50,"40-49",B1355&lt;60,"50-59",TRUE(),"60+")</f>
        <v>40-49</v>
      </c>
      <c r="O1355" s="2" t="str">
        <f aca="false">_xlfn.IFS(G1355&lt;0,"1 Negative",G1355=0,"2 Zero",G1355&lt;=500,"3 1-500",G1355&lt;=2000,"4 501-2000",TRUE(),"5 Above 2000")</f>
        <v>4 501-2000</v>
      </c>
      <c r="P1355" s="2" t="n">
        <f aca="false">Lookups!$B$2*M1355+Lookups!$B$3*L1355</f>
        <v>0</v>
      </c>
      <c r="Q1355" s="2" t="str">
        <f aca="false">INDEX(Lookups!$E$2:$E$5,MATCH(P1355,Lookups!$D$2:$D$5,0))</f>
        <v>Low</v>
      </c>
    </row>
    <row r="1356" customFormat="false" ht="15" hidden="false" customHeight="false" outlineLevel="0" collapsed="false">
      <c r="A1356" s="3" t="n">
        <v>1355</v>
      </c>
      <c r="B1356" s="3" t="n">
        <f aca="false">Raw_Data!A1356</f>
        <v>58</v>
      </c>
      <c r="C1356" s="3" t="str">
        <f aca="false">SUBSTITUTE(Raw_Data!B1356,".","")</f>
        <v>blue-collar</v>
      </c>
      <c r="D1356" s="3" t="str">
        <f aca="false">Raw_Data!C1356</f>
        <v>married</v>
      </c>
      <c r="E1356" s="3" t="str">
        <f aca="false">Raw_Data!D1356</f>
        <v>primary</v>
      </c>
      <c r="F1356" s="3" t="str">
        <f aca="false">Raw_Data!E1356</f>
        <v>no</v>
      </c>
      <c r="G1356" s="3" t="n">
        <f aca="false">Raw_Data!F1356</f>
        <v>781</v>
      </c>
      <c r="H1356" s="3" t="str">
        <f aca="false">Raw_Data!G1356</f>
        <v>yes</v>
      </c>
      <c r="I1356" s="3" t="str">
        <f aca="false">Raw_Data!H1356</f>
        <v>no</v>
      </c>
      <c r="J1356" s="2" t="n">
        <f aca="false">IF(F1356="yes",1,0)</f>
        <v>0</v>
      </c>
      <c r="K1356" s="2" t="n">
        <f aca="false">IF(H1356="yes",1,0)</f>
        <v>1</v>
      </c>
      <c r="L1356" s="2" t="n">
        <f aca="false">IF(I1356="yes",1,0)</f>
        <v>0</v>
      </c>
      <c r="M1356" s="2" t="n">
        <f aca="false">IF(G1356&lt;0,1,0)</f>
        <v>0</v>
      </c>
      <c r="N1356" s="2" t="str">
        <f aca="false">_xlfn.IFS(B1356&lt;30,"Under 30",B1356&lt;40,"30-39",B1356&lt;50,"40-49",B1356&lt;60,"50-59",TRUE(),"60+")</f>
        <v>50-59</v>
      </c>
      <c r="O1356" s="2" t="str">
        <f aca="false">_xlfn.IFS(G1356&lt;0,"1 Negative",G1356=0,"2 Zero",G1356&lt;=500,"3 1-500",G1356&lt;=2000,"4 501-2000",TRUE(),"5 Above 2000")</f>
        <v>4 501-2000</v>
      </c>
      <c r="P1356" s="2" t="n">
        <f aca="false">Lookups!$B$2*M1356+Lookups!$B$3*L1356</f>
        <v>0</v>
      </c>
      <c r="Q1356" s="2" t="str">
        <f aca="false">INDEX(Lookups!$E$2:$E$5,MATCH(P1356,Lookups!$D$2:$D$5,0))</f>
        <v>Low</v>
      </c>
    </row>
    <row r="1357" customFormat="false" ht="15" hidden="false" customHeight="false" outlineLevel="0" collapsed="false">
      <c r="A1357" s="3" t="n">
        <v>1356</v>
      </c>
      <c r="B1357" s="3" t="n">
        <f aca="false">Raw_Data!A1357</f>
        <v>29</v>
      </c>
      <c r="C1357" s="3" t="str">
        <f aca="false">SUBSTITUTE(Raw_Data!B1357,".","")</f>
        <v>admin</v>
      </c>
      <c r="D1357" s="3" t="str">
        <f aca="false">Raw_Data!C1357</f>
        <v>single</v>
      </c>
      <c r="E1357" s="3" t="str">
        <f aca="false">Raw_Data!D1357</f>
        <v>secondary</v>
      </c>
      <c r="F1357" s="3" t="str">
        <f aca="false">Raw_Data!E1357</f>
        <v>no</v>
      </c>
      <c r="G1357" s="3" t="n">
        <f aca="false">Raw_Data!F1357</f>
        <v>1448</v>
      </c>
      <c r="H1357" s="3" t="str">
        <f aca="false">Raw_Data!G1357</f>
        <v>no</v>
      </c>
      <c r="I1357" s="3" t="str">
        <f aca="false">Raw_Data!H1357</f>
        <v>no</v>
      </c>
      <c r="J1357" s="2" t="n">
        <f aca="false">IF(F1357="yes",1,0)</f>
        <v>0</v>
      </c>
      <c r="K1357" s="2" t="n">
        <f aca="false">IF(H1357="yes",1,0)</f>
        <v>0</v>
      </c>
      <c r="L1357" s="2" t="n">
        <f aca="false">IF(I1357="yes",1,0)</f>
        <v>0</v>
      </c>
      <c r="M1357" s="2" t="n">
        <f aca="false">IF(G1357&lt;0,1,0)</f>
        <v>0</v>
      </c>
      <c r="N1357" s="2" t="str">
        <f aca="false">_xlfn.IFS(B1357&lt;30,"Under 30",B1357&lt;40,"30-39",B1357&lt;50,"40-49",B1357&lt;60,"50-59",TRUE(),"60+")</f>
        <v>Under 30</v>
      </c>
      <c r="O1357" s="2" t="str">
        <f aca="false">_xlfn.IFS(G1357&lt;0,"1 Negative",G1357=0,"2 Zero",G1357&lt;=500,"3 1-500",G1357&lt;=2000,"4 501-2000",TRUE(),"5 Above 2000")</f>
        <v>4 501-2000</v>
      </c>
      <c r="P1357" s="2" t="n">
        <f aca="false">Lookups!$B$2*M1357+Lookups!$B$3*L1357</f>
        <v>0</v>
      </c>
      <c r="Q1357" s="2" t="str">
        <f aca="false">INDEX(Lookups!$E$2:$E$5,MATCH(P1357,Lookups!$D$2:$D$5,0))</f>
        <v>Low</v>
      </c>
    </row>
    <row r="1358" customFormat="false" ht="15" hidden="false" customHeight="false" outlineLevel="0" collapsed="false">
      <c r="A1358" s="3" t="n">
        <v>1357</v>
      </c>
      <c r="B1358" s="3" t="n">
        <f aca="false">Raw_Data!A1358</f>
        <v>30</v>
      </c>
      <c r="C1358" s="3" t="str">
        <f aca="false">SUBSTITUTE(Raw_Data!B1358,".","")</f>
        <v>management</v>
      </c>
      <c r="D1358" s="3" t="str">
        <f aca="false">Raw_Data!C1358</f>
        <v>single</v>
      </c>
      <c r="E1358" s="3" t="str">
        <f aca="false">Raw_Data!D1358</f>
        <v>tertiary</v>
      </c>
      <c r="F1358" s="3" t="str">
        <f aca="false">Raw_Data!E1358</f>
        <v>no</v>
      </c>
      <c r="G1358" s="3" t="n">
        <f aca="false">Raw_Data!F1358</f>
        <v>604</v>
      </c>
      <c r="H1358" s="3" t="str">
        <f aca="false">Raw_Data!G1358</f>
        <v>no</v>
      </c>
      <c r="I1358" s="3" t="str">
        <f aca="false">Raw_Data!H1358</f>
        <v>yes</v>
      </c>
      <c r="J1358" s="2" t="n">
        <f aca="false">IF(F1358="yes",1,0)</f>
        <v>0</v>
      </c>
      <c r="K1358" s="2" t="n">
        <f aca="false">IF(H1358="yes",1,0)</f>
        <v>0</v>
      </c>
      <c r="L1358" s="2" t="n">
        <f aca="false">IF(I1358="yes",1,0)</f>
        <v>1</v>
      </c>
      <c r="M1358" s="2" t="n">
        <f aca="false">IF(G1358&lt;0,1,0)</f>
        <v>0</v>
      </c>
      <c r="N1358" s="2" t="str">
        <f aca="false">_xlfn.IFS(B1358&lt;30,"Under 30",B1358&lt;40,"30-39",B1358&lt;50,"40-49",B1358&lt;60,"50-59",TRUE(),"60+")</f>
        <v>30-39</v>
      </c>
      <c r="O1358" s="2" t="str">
        <f aca="false">_xlfn.IFS(G1358&lt;0,"1 Negative",G1358=0,"2 Zero",G1358&lt;=500,"3 1-500",G1358&lt;=2000,"4 501-2000",TRUE(),"5 Above 2000")</f>
        <v>4 501-2000</v>
      </c>
      <c r="P1358" s="2" t="n">
        <f aca="false">Lookups!$B$2*M1358+Lookups!$B$3*L1358</f>
        <v>1</v>
      </c>
      <c r="Q1358" s="2" t="str">
        <f aca="false">INDEX(Lookups!$E$2:$E$5,MATCH(P1358,Lookups!$D$2:$D$5,0))</f>
        <v>Medium</v>
      </c>
    </row>
    <row r="1359" customFormat="false" ht="15" hidden="false" customHeight="false" outlineLevel="0" collapsed="false">
      <c r="A1359" s="3" t="n">
        <v>1358</v>
      </c>
      <c r="B1359" s="3" t="n">
        <f aca="false">Raw_Data!A1359</f>
        <v>29</v>
      </c>
      <c r="C1359" s="3" t="str">
        <f aca="false">SUBSTITUTE(Raw_Data!B1359,".","")</f>
        <v>admin</v>
      </c>
      <c r="D1359" s="3" t="str">
        <f aca="false">Raw_Data!C1359</f>
        <v>single</v>
      </c>
      <c r="E1359" s="3" t="str">
        <f aca="false">Raw_Data!D1359</f>
        <v>secondary</v>
      </c>
      <c r="F1359" s="3" t="str">
        <f aca="false">Raw_Data!E1359</f>
        <v>no</v>
      </c>
      <c r="G1359" s="3" t="n">
        <f aca="false">Raw_Data!F1359</f>
        <v>-194</v>
      </c>
      <c r="H1359" s="3" t="str">
        <f aca="false">Raw_Data!G1359</f>
        <v>yes</v>
      </c>
      <c r="I1359" s="3" t="str">
        <f aca="false">Raw_Data!H1359</f>
        <v>no</v>
      </c>
      <c r="J1359" s="2" t="n">
        <f aca="false">IF(F1359="yes",1,0)</f>
        <v>0</v>
      </c>
      <c r="K1359" s="2" t="n">
        <f aca="false">IF(H1359="yes",1,0)</f>
        <v>1</v>
      </c>
      <c r="L1359" s="2" t="n">
        <f aca="false">IF(I1359="yes",1,0)</f>
        <v>0</v>
      </c>
      <c r="M1359" s="2" t="n">
        <f aca="false">IF(G1359&lt;0,1,0)</f>
        <v>1</v>
      </c>
      <c r="N1359" s="2" t="str">
        <f aca="false">_xlfn.IFS(B1359&lt;30,"Under 30",B1359&lt;40,"30-39",B1359&lt;50,"40-49",B1359&lt;60,"50-59",TRUE(),"60+")</f>
        <v>Under 30</v>
      </c>
      <c r="O1359" s="2" t="str">
        <f aca="false">_xlfn.IFS(G1359&lt;0,"1 Negative",G1359=0,"2 Zero",G1359&lt;=500,"3 1-500",G1359&lt;=2000,"4 501-2000",TRUE(),"5 Above 2000")</f>
        <v>1 Negative</v>
      </c>
      <c r="P1359" s="2" t="n">
        <f aca="false">Lookups!$B$2*M1359+Lookups!$B$3*L1359</f>
        <v>2</v>
      </c>
      <c r="Q1359" s="2" t="str">
        <f aca="false">INDEX(Lookups!$E$2:$E$5,MATCH(P1359,Lookups!$D$2:$D$5,0))</f>
        <v>High</v>
      </c>
    </row>
    <row r="1360" customFormat="false" ht="15" hidden="false" customHeight="false" outlineLevel="0" collapsed="false">
      <c r="A1360" s="3" t="n">
        <v>1359</v>
      </c>
      <c r="B1360" s="3" t="n">
        <f aca="false">Raw_Data!A1360</f>
        <v>41</v>
      </c>
      <c r="C1360" s="3" t="str">
        <f aca="false">SUBSTITUTE(Raw_Data!B1360,".","")</f>
        <v>technician</v>
      </c>
      <c r="D1360" s="3" t="str">
        <f aca="false">Raw_Data!C1360</f>
        <v>married</v>
      </c>
      <c r="E1360" s="3" t="str">
        <f aca="false">Raw_Data!D1360</f>
        <v>secondary</v>
      </c>
      <c r="F1360" s="3" t="str">
        <f aca="false">Raw_Data!E1360</f>
        <v>no</v>
      </c>
      <c r="G1360" s="3" t="n">
        <f aca="false">Raw_Data!F1360</f>
        <v>0</v>
      </c>
      <c r="H1360" s="3" t="str">
        <f aca="false">Raw_Data!G1360</f>
        <v>no</v>
      </c>
      <c r="I1360" s="3" t="str">
        <f aca="false">Raw_Data!H1360</f>
        <v>no</v>
      </c>
      <c r="J1360" s="2" t="n">
        <f aca="false">IF(F1360="yes",1,0)</f>
        <v>0</v>
      </c>
      <c r="K1360" s="2" t="n">
        <f aca="false">IF(H1360="yes",1,0)</f>
        <v>0</v>
      </c>
      <c r="L1360" s="2" t="n">
        <f aca="false">IF(I1360="yes",1,0)</f>
        <v>0</v>
      </c>
      <c r="M1360" s="2" t="n">
        <f aca="false">IF(G1360&lt;0,1,0)</f>
        <v>0</v>
      </c>
      <c r="N1360" s="2" t="str">
        <f aca="false">_xlfn.IFS(B1360&lt;30,"Under 30",B1360&lt;40,"30-39",B1360&lt;50,"40-49",B1360&lt;60,"50-59",TRUE(),"60+")</f>
        <v>40-49</v>
      </c>
      <c r="O1360" s="2" t="str">
        <f aca="false">_xlfn.IFS(G1360&lt;0,"1 Negative",G1360=0,"2 Zero",G1360&lt;=500,"3 1-500",G1360&lt;=2000,"4 501-2000",TRUE(),"5 Above 2000")</f>
        <v>2 Zero</v>
      </c>
      <c r="P1360" s="2" t="n">
        <f aca="false">Lookups!$B$2*M1360+Lookups!$B$3*L1360</f>
        <v>0</v>
      </c>
      <c r="Q1360" s="2" t="str">
        <f aca="false">INDEX(Lookups!$E$2:$E$5,MATCH(P1360,Lookups!$D$2:$D$5,0))</f>
        <v>Low</v>
      </c>
    </row>
    <row r="1361" customFormat="false" ht="15" hidden="false" customHeight="false" outlineLevel="0" collapsed="false">
      <c r="A1361" s="3" t="n">
        <v>1360</v>
      </c>
      <c r="B1361" s="3" t="n">
        <f aca="false">Raw_Data!A1361</f>
        <v>35</v>
      </c>
      <c r="C1361" s="3" t="str">
        <f aca="false">SUBSTITUTE(Raw_Data!B1361,".","")</f>
        <v>housemaid</v>
      </c>
      <c r="D1361" s="3" t="str">
        <f aca="false">Raw_Data!C1361</f>
        <v>married</v>
      </c>
      <c r="E1361" s="3" t="str">
        <f aca="false">Raw_Data!D1361</f>
        <v>primary</v>
      </c>
      <c r="F1361" s="3" t="str">
        <f aca="false">Raw_Data!E1361</f>
        <v>no</v>
      </c>
      <c r="G1361" s="3" t="n">
        <f aca="false">Raw_Data!F1361</f>
        <v>0</v>
      </c>
      <c r="H1361" s="3" t="str">
        <f aca="false">Raw_Data!G1361</f>
        <v>yes</v>
      </c>
      <c r="I1361" s="3" t="str">
        <f aca="false">Raw_Data!H1361</f>
        <v>no</v>
      </c>
      <c r="J1361" s="2" t="n">
        <f aca="false">IF(F1361="yes",1,0)</f>
        <v>0</v>
      </c>
      <c r="K1361" s="2" t="n">
        <f aca="false">IF(H1361="yes",1,0)</f>
        <v>1</v>
      </c>
      <c r="L1361" s="2" t="n">
        <f aca="false">IF(I1361="yes",1,0)</f>
        <v>0</v>
      </c>
      <c r="M1361" s="2" t="n">
        <f aca="false">IF(G1361&lt;0,1,0)</f>
        <v>0</v>
      </c>
      <c r="N1361" s="2" t="str">
        <f aca="false">_xlfn.IFS(B1361&lt;30,"Under 30",B1361&lt;40,"30-39",B1361&lt;50,"40-49",B1361&lt;60,"50-59",TRUE(),"60+")</f>
        <v>30-39</v>
      </c>
      <c r="O1361" s="2" t="str">
        <f aca="false">_xlfn.IFS(G1361&lt;0,"1 Negative",G1361=0,"2 Zero",G1361&lt;=500,"3 1-500",G1361&lt;=2000,"4 501-2000",TRUE(),"5 Above 2000")</f>
        <v>2 Zero</v>
      </c>
      <c r="P1361" s="2" t="n">
        <f aca="false">Lookups!$B$2*M1361+Lookups!$B$3*L1361</f>
        <v>0</v>
      </c>
      <c r="Q1361" s="2" t="str">
        <f aca="false">INDEX(Lookups!$E$2:$E$5,MATCH(P1361,Lookups!$D$2:$D$5,0))</f>
        <v>Low</v>
      </c>
    </row>
    <row r="1362" customFormat="false" ht="15" hidden="false" customHeight="false" outlineLevel="0" collapsed="false">
      <c r="A1362" s="3" t="n">
        <v>1361</v>
      </c>
      <c r="B1362" s="3" t="n">
        <f aca="false">Raw_Data!A1362</f>
        <v>31</v>
      </c>
      <c r="C1362" s="3" t="str">
        <f aca="false">SUBSTITUTE(Raw_Data!B1362,".","")</f>
        <v>technician</v>
      </c>
      <c r="D1362" s="3" t="str">
        <f aca="false">Raw_Data!C1362</f>
        <v>single</v>
      </c>
      <c r="E1362" s="3" t="str">
        <f aca="false">Raw_Data!D1362</f>
        <v>secondary</v>
      </c>
      <c r="F1362" s="3" t="str">
        <f aca="false">Raw_Data!E1362</f>
        <v>no</v>
      </c>
      <c r="G1362" s="3" t="n">
        <f aca="false">Raw_Data!F1362</f>
        <v>1014</v>
      </c>
      <c r="H1362" s="3" t="str">
        <f aca="false">Raw_Data!G1362</f>
        <v>yes</v>
      </c>
      <c r="I1362" s="3" t="str">
        <f aca="false">Raw_Data!H1362</f>
        <v>no</v>
      </c>
      <c r="J1362" s="2" t="n">
        <f aca="false">IF(F1362="yes",1,0)</f>
        <v>0</v>
      </c>
      <c r="K1362" s="2" t="n">
        <f aca="false">IF(H1362="yes",1,0)</f>
        <v>1</v>
      </c>
      <c r="L1362" s="2" t="n">
        <f aca="false">IF(I1362="yes",1,0)</f>
        <v>0</v>
      </c>
      <c r="M1362" s="2" t="n">
        <f aca="false">IF(G1362&lt;0,1,0)</f>
        <v>0</v>
      </c>
      <c r="N1362" s="2" t="str">
        <f aca="false">_xlfn.IFS(B1362&lt;30,"Under 30",B1362&lt;40,"30-39",B1362&lt;50,"40-49",B1362&lt;60,"50-59",TRUE(),"60+")</f>
        <v>30-39</v>
      </c>
      <c r="O1362" s="2" t="str">
        <f aca="false">_xlfn.IFS(G1362&lt;0,"1 Negative",G1362=0,"2 Zero",G1362&lt;=500,"3 1-500",G1362&lt;=2000,"4 501-2000",TRUE(),"5 Above 2000")</f>
        <v>4 501-2000</v>
      </c>
      <c r="P1362" s="2" t="n">
        <f aca="false">Lookups!$B$2*M1362+Lookups!$B$3*L1362</f>
        <v>0</v>
      </c>
      <c r="Q1362" s="2" t="str">
        <f aca="false">INDEX(Lookups!$E$2:$E$5,MATCH(P1362,Lookups!$D$2:$D$5,0))</f>
        <v>Low</v>
      </c>
    </row>
    <row r="1363" customFormat="false" ht="15" hidden="false" customHeight="false" outlineLevel="0" collapsed="false">
      <c r="A1363" s="3" t="n">
        <v>1362</v>
      </c>
      <c r="B1363" s="3" t="n">
        <f aca="false">Raw_Data!A1363</f>
        <v>27</v>
      </c>
      <c r="C1363" s="3" t="str">
        <f aca="false">SUBSTITUTE(Raw_Data!B1363,".","")</f>
        <v>admin</v>
      </c>
      <c r="D1363" s="3" t="str">
        <f aca="false">Raw_Data!C1363</f>
        <v>single</v>
      </c>
      <c r="E1363" s="3" t="str">
        <f aca="false">Raw_Data!D1363</f>
        <v>tertiary</v>
      </c>
      <c r="F1363" s="3" t="str">
        <f aca="false">Raw_Data!E1363</f>
        <v>no</v>
      </c>
      <c r="G1363" s="3" t="n">
        <f aca="false">Raw_Data!F1363</f>
        <v>73</v>
      </c>
      <c r="H1363" s="3" t="str">
        <f aca="false">Raw_Data!G1363</f>
        <v>no</v>
      </c>
      <c r="I1363" s="3" t="str">
        <f aca="false">Raw_Data!H1363</f>
        <v>no</v>
      </c>
      <c r="J1363" s="2" t="n">
        <f aca="false">IF(F1363="yes",1,0)</f>
        <v>0</v>
      </c>
      <c r="K1363" s="2" t="n">
        <f aca="false">IF(H1363="yes",1,0)</f>
        <v>0</v>
      </c>
      <c r="L1363" s="2" t="n">
        <f aca="false">IF(I1363="yes",1,0)</f>
        <v>0</v>
      </c>
      <c r="M1363" s="2" t="n">
        <f aca="false">IF(G1363&lt;0,1,0)</f>
        <v>0</v>
      </c>
      <c r="N1363" s="2" t="str">
        <f aca="false">_xlfn.IFS(B1363&lt;30,"Under 30",B1363&lt;40,"30-39",B1363&lt;50,"40-49",B1363&lt;60,"50-59",TRUE(),"60+")</f>
        <v>Under 30</v>
      </c>
      <c r="O1363" s="2" t="str">
        <f aca="false">_xlfn.IFS(G1363&lt;0,"1 Negative",G1363=0,"2 Zero",G1363&lt;=500,"3 1-500",G1363&lt;=2000,"4 501-2000",TRUE(),"5 Above 2000")</f>
        <v>3 1-500</v>
      </c>
      <c r="P1363" s="2" t="n">
        <f aca="false">Lookups!$B$2*M1363+Lookups!$B$3*L1363</f>
        <v>0</v>
      </c>
      <c r="Q1363" s="2" t="str">
        <f aca="false">INDEX(Lookups!$E$2:$E$5,MATCH(P1363,Lookups!$D$2:$D$5,0))</f>
        <v>Low</v>
      </c>
    </row>
    <row r="1364" customFormat="false" ht="15" hidden="false" customHeight="false" outlineLevel="0" collapsed="false">
      <c r="A1364" s="3" t="n">
        <v>1363</v>
      </c>
      <c r="B1364" s="3" t="n">
        <f aca="false">Raw_Data!A1364</f>
        <v>47</v>
      </c>
      <c r="C1364" s="3" t="str">
        <f aca="false">SUBSTITUTE(Raw_Data!B1364,".","")</f>
        <v>services</v>
      </c>
      <c r="D1364" s="3" t="str">
        <f aca="false">Raw_Data!C1364</f>
        <v>married</v>
      </c>
      <c r="E1364" s="3" t="str">
        <f aca="false">Raw_Data!D1364</f>
        <v>secondary</v>
      </c>
      <c r="F1364" s="3" t="str">
        <f aca="false">Raw_Data!E1364</f>
        <v>no</v>
      </c>
      <c r="G1364" s="3" t="n">
        <f aca="false">Raw_Data!F1364</f>
        <v>2597</v>
      </c>
      <c r="H1364" s="3" t="str">
        <f aca="false">Raw_Data!G1364</f>
        <v>yes</v>
      </c>
      <c r="I1364" s="3" t="str">
        <f aca="false">Raw_Data!H1364</f>
        <v>no</v>
      </c>
      <c r="J1364" s="2" t="n">
        <f aca="false">IF(F1364="yes",1,0)</f>
        <v>0</v>
      </c>
      <c r="K1364" s="2" t="n">
        <f aca="false">IF(H1364="yes",1,0)</f>
        <v>1</v>
      </c>
      <c r="L1364" s="2" t="n">
        <f aca="false">IF(I1364="yes",1,0)</f>
        <v>0</v>
      </c>
      <c r="M1364" s="2" t="n">
        <f aca="false">IF(G1364&lt;0,1,0)</f>
        <v>0</v>
      </c>
      <c r="N1364" s="2" t="str">
        <f aca="false">_xlfn.IFS(B1364&lt;30,"Under 30",B1364&lt;40,"30-39",B1364&lt;50,"40-49",B1364&lt;60,"50-59",TRUE(),"60+")</f>
        <v>40-49</v>
      </c>
      <c r="O1364" s="2" t="str">
        <f aca="false">_xlfn.IFS(G1364&lt;0,"1 Negative",G1364=0,"2 Zero",G1364&lt;=500,"3 1-500",G1364&lt;=2000,"4 501-2000",TRUE(),"5 Above 2000")</f>
        <v>5 Above 2000</v>
      </c>
      <c r="P1364" s="2" t="n">
        <f aca="false">Lookups!$B$2*M1364+Lookups!$B$3*L1364</f>
        <v>0</v>
      </c>
      <c r="Q1364" s="2" t="str">
        <f aca="false">INDEX(Lookups!$E$2:$E$5,MATCH(P1364,Lookups!$D$2:$D$5,0))</f>
        <v>Low</v>
      </c>
    </row>
    <row r="1365" customFormat="false" ht="15" hidden="false" customHeight="false" outlineLevel="0" collapsed="false">
      <c r="A1365" s="3" t="n">
        <v>1364</v>
      </c>
      <c r="B1365" s="3" t="n">
        <f aca="false">Raw_Data!A1365</f>
        <v>53</v>
      </c>
      <c r="C1365" s="3" t="str">
        <f aca="false">SUBSTITUTE(Raw_Data!B1365,".","")</f>
        <v>self-employed</v>
      </c>
      <c r="D1365" s="3" t="str">
        <f aca="false">Raw_Data!C1365</f>
        <v>married</v>
      </c>
      <c r="E1365" s="3" t="str">
        <f aca="false">Raw_Data!D1365</f>
        <v>tertiary</v>
      </c>
      <c r="F1365" s="3" t="str">
        <f aca="false">Raw_Data!E1365</f>
        <v>no</v>
      </c>
      <c r="G1365" s="3" t="n">
        <f aca="false">Raw_Data!F1365</f>
        <v>2627</v>
      </c>
      <c r="H1365" s="3" t="str">
        <f aca="false">Raw_Data!G1365</f>
        <v>yes</v>
      </c>
      <c r="I1365" s="3" t="str">
        <f aca="false">Raw_Data!H1365</f>
        <v>yes</v>
      </c>
      <c r="J1365" s="2" t="n">
        <f aca="false">IF(F1365="yes",1,0)</f>
        <v>0</v>
      </c>
      <c r="K1365" s="2" t="n">
        <f aca="false">IF(H1365="yes",1,0)</f>
        <v>1</v>
      </c>
      <c r="L1365" s="2" t="n">
        <f aca="false">IF(I1365="yes",1,0)</f>
        <v>1</v>
      </c>
      <c r="M1365" s="2" t="n">
        <f aca="false">IF(G1365&lt;0,1,0)</f>
        <v>0</v>
      </c>
      <c r="N1365" s="2" t="str">
        <f aca="false">_xlfn.IFS(B1365&lt;30,"Under 30",B1365&lt;40,"30-39",B1365&lt;50,"40-49",B1365&lt;60,"50-59",TRUE(),"60+")</f>
        <v>50-59</v>
      </c>
      <c r="O1365" s="2" t="str">
        <f aca="false">_xlfn.IFS(G1365&lt;0,"1 Negative",G1365=0,"2 Zero",G1365&lt;=500,"3 1-500",G1365&lt;=2000,"4 501-2000",TRUE(),"5 Above 2000")</f>
        <v>5 Above 2000</v>
      </c>
      <c r="P1365" s="2" t="n">
        <f aca="false">Lookups!$B$2*M1365+Lookups!$B$3*L1365</f>
        <v>1</v>
      </c>
      <c r="Q1365" s="2" t="str">
        <f aca="false">INDEX(Lookups!$E$2:$E$5,MATCH(P1365,Lookups!$D$2:$D$5,0))</f>
        <v>Medium</v>
      </c>
    </row>
    <row r="1366" customFormat="false" ht="15" hidden="false" customHeight="false" outlineLevel="0" collapsed="false">
      <c r="A1366" s="3" t="n">
        <v>1365</v>
      </c>
      <c r="B1366" s="3" t="n">
        <f aca="false">Raw_Data!A1366</f>
        <v>34</v>
      </c>
      <c r="C1366" s="3" t="str">
        <f aca="false">SUBSTITUTE(Raw_Data!B1366,".","")</f>
        <v>management</v>
      </c>
      <c r="D1366" s="3" t="str">
        <f aca="false">Raw_Data!C1366</f>
        <v>married</v>
      </c>
      <c r="E1366" s="3" t="str">
        <f aca="false">Raw_Data!D1366</f>
        <v>tertiary</v>
      </c>
      <c r="F1366" s="3" t="str">
        <f aca="false">Raw_Data!E1366</f>
        <v>no</v>
      </c>
      <c r="G1366" s="3" t="n">
        <f aca="false">Raw_Data!F1366</f>
        <v>1906</v>
      </c>
      <c r="H1366" s="3" t="str">
        <f aca="false">Raw_Data!G1366</f>
        <v>yes</v>
      </c>
      <c r="I1366" s="3" t="str">
        <f aca="false">Raw_Data!H1366</f>
        <v>no</v>
      </c>
      <c r="J1366" s="2" t="n">
        <f aca="false">IF(F1366="yes",1,0)</f>
        <v>0</v>
      </c>
      <c r="K1366" s="2" t="n">
        <f aca="false">IF(H1366="yes",1,0)</f>
        <v>1</v>
      </c>
      <c r="L1366" s="2" t="n">
        <f aca="false">IF(I1366="yes",1,0)</f>
        <v>0</v>
      </c>
      <c r="M1366" s="2" t="n">
        <f aca="false">IF(G1366&lt;0,1,0)</f>
        <v>0</v>
      </c>
      <c r="N1366" s="2" t="str">
        <f aca="false">_xlfn.IFS(B1366&lt;30,"Under 30",B1366&lt;40,"30-39",B1366&lt;50,"40-49",B1366&lt;60,"50-59",TRUE(),"60+")</f>
        <v>30-39</v>
      </c>
      <c r="O1366" s="2" t="str">
        <f aca="false">_xlfn.IFS(G1366&lt;0,"1 Negative",G1366=0,"2 Zero",G1366&lt;=500,"3 1-500",G1366&lt;=2000,"4 501-2000",TRUE(),"5 Above 2000")</f>
        <v>4 501-2000</v>
      </c>
      <c r="P1366" s="2" t="n">
        <f aca="false">Lookups!$B$2*M1366+Lookups!$B$3*L1366</f>
        <v>0</v>
      </c>
      <c r="Q1366" s="2" t="str">
        <f aca="false">INDEX(Lookups!$E$2:$E$5,MATCH(P1366,Lookups!$D$2:$D$5,0))</f>
        <v>Low</v>
      </c>
    </row>
    <row r="1367" customFormat="false" ht="15" hidden="false" customHeight="false" outlineLevel="0" collapsed="false">
      <c r="A1367" s="3" t="n">
        <v>1366</v>
      </c>
      <c r="B1367" s="3" t="n">
        <f aca="false">Raw_Data!A1367</f>
        <v>34</v>
      </c>
      <c r="C1367" s="3" t="str">
        <f aca="false">SUBSTITUTE(Raw_Data!B1367,".","")</f>
        <v>blue-collar</v>
      </c>
      <c r="D1367" s="3" t="str">
        <f aca="false">Raw_Data!C1367</f>
        <v>married</v>
      </c>
      <c r="E1367" s="3" t="str">
        <f aca="false">Raw_Data!D1367</f>
        <v>primary</v>
      </c>
      <c r="F1367" s="3" t="str">
        <f aca="false">Raw_Data!E1367</f>
        <v>no</v>
      </c>
      <c r="G1367" s="3" t="n">
        <f aca="false">Raw_Data!F1367</f>
        <v>-319</v>
      </c>
      <c r="H1367" s="3" t="str">
        <f aca="false">Raw_Data!G1367</f>
        <v>yes</v>
      </c>
      <c r="I1367" s="3" t="str">
        <f aca="false">Raw_Data!H1367</f>
        <v>yes</v>
      </c>
      <c r="J1367" s="2" t="n">
        <f aca="false">IF(F1367="yes",1,0)</f>
        <v>0</v>
      </c>
      <c r="K1367" s="2" t="n">
        <f aca="false">IF(H1367="yes",1,0)</f>
        <v>1</v>
      </c>
      <c r="L1367" s="2" t="n">
        <f aca="false">IF(I1367="yes",1,0)</f>
        <v>1</v>
      </c>
      <c r="M1367" s="2" t="n">
        <f aca="false">IF(G1367&lt;0,1,0)</f>
        <v>1</v>
      </c>
      <c r="N1367" s="2" t="str">
        <f aca="false">_xlfn.IFS(B1367&lt;30,"Under 30",B1367&lt;40,"30-39",B1367&lt;50,"40-49",B1367&lt;60,"50-59",TRUE(),"60+")</f>
        <v>30-39</v>
      </c>
      <c r="O1367" s="2" t="str">
        <f aca="false">_xlfn.IFS(G1367&lt;0,"1 Negative",G1367=0,"2 Zero",G1367&lt;=500,"3 1-500",G1367&lt;=2000,"4 501-2000",TRUE(),"5 Above 2000")</f>
        <v>1 Negative</v>
      </c>
      <c r="P1367" s="2" t="n">
        <f aca="false">Lookups!$B$2*M1367+Lookups!$B$3*L1367</f>
        <v>3</v>
      </c>
      <c r="Q1367" s="2" t="str">
        <f aca="false">INDEX(Lookups!$E$2:$E$5,MATCH(P1367,Lookups!$D$2:$D$5,0))</f>
        <v>High</v>
      </c>
    </row>
    <row r="1368" customFormat="false" ht="15" hidden="false" customHeight="false" outlineLevel="0" collapsed="false">
      <c r="A1368" s="3" t="n">
        <v>1367</v>
      </c>
      <c r="B1368" s="3" t="n">
        <f aca="false">Raw_Data!A1368</f>
        <v>36</v>
      </c>
      <c r="C1368" s="3" t="str">
        <f aca="false">SUBSTITUTE(Raw_Data!B1368,".","")</f>
        <v>management</v>
      </c>
      <c r="D1368" s="3" t="str">
        <f aca="false">Raw_Data!C1368</f>
        <v>married</v>
      </c>
      <c r="E1368" s="3" t="str">
        <f aca="false">Raw_Data!D1368</f>
        <v>tertiary</v>
      </c>
      <c r="F1368" s="3" t="str">
        <f aca="false">Raw_Data!E1368</f>
        <v>no</v>
      </c>
      <c r="G1368" s="3" t="n">
        <f aca="false">Raw_Data!F1368</f>
        <v>-296</v>
      </c>
      <c r="H1368" s="3" t="str">
        <f aca="false">Raw_Data!G1368</f>
        <v>yes</v>
      </c>
      <c r="I1368" s="3" t="str">
        <f aca="false">Raw_Data!H1368</f>
        <v>no</v>
      </c>
      <c r="J1368" s="2" t="n">
        <f aca="false">IF(F1368="yes",1,0)</f>
        <v>0</v>
      </c>
      <c r="K1368" s="2" t="n">
        <f aca="false">IF(H1368="yes",1,0)</f>
        <v>1</v>
      </c>
      <c r="L1368" s="2" t="n">
        <f aca="false">IF(I1368="yes",1,0)</f>
        <v>0</v>
      </c>
      <c r="M1368" s="2" t="n">
        <f aca="false">IF(G1368&lt;0,1,0)</f>
        <v>1</v>
      </c>
      <c r="N1368" s="2" t="str">
        <f aca="false">_xlfn.IFS(B1368&lt;30,"Under 30",B1368&lt;40,"30-39",B1368&lt;50,"40-49",B1368&lt;60,"50-59",TRUE(),"60+")</f>
        <v>30-39</v>
      </c>
      <c r="O1368" s="2" t="str">
        <f aca="false">_xlfn.IFS(G1368&lt;0,"1 Negative",G1368=0,"2 Zero",G1368&lt;=500,"3 1-500",G1368&lt;=2000,"4 501-2000",TRUE(),"5 Above 2000")</f>
        <v>1 Negative</v>
      </c>
      <c r="P1368" s="2" t="n">
        <f aca="false">Lookups!$B$2*M1368+Lookups!$B$3*L1368</f>
        <v>2</v>
      </c>
      <c r="Q1368" s="2" t="str">
        <f aca="false">INDEX(Lookups!$E$2:$E$5,MATCH(P1368,Lookups!$D$2:$D$5,0))</f>
        <v>High</v>
      </c>
    </row>
    <row r="1369" customFormat="false" ht="15" hidden="false" customHeight="false" outlineLevel="0" collapsed="false">
      <c r="A1369" s="3" t="n">
        <v>1368</v>
      </c>
      <c r="B1369" s="3" t="n">
        <f aca="false">Raw_Data!A1369</f>
        <v>40</v>
      </c>
      <c r="C1369" s="3" t="str">
        <f aca="false">SUBSTITUTE(Raw_Data!B1369,".","")</f>
        <v>technician</v>
      </c>
      <c r="D1369" s="3" t="str">
        <f aca="false">Raw_Data!C1369</f>
        <v>married</v>
      </c>
      <c r="E1369" s="3" t="str">
        <f aca="false">Raw_Data!D1369</f>
        <v>secondary</v>
      </c>
      <c r="F1369" s="3" t="str">
        <f aca="false">Raw_Data!E1369</f>
        <v>no</v>
      </c>
      <c r="G1369" s="3" t="n">
        <f aca="false">Raw_Data!F1369</f>
        <v>169</v>
      </c>
      <c r="H1369" s="3" t="str">
        <f aca="false">Raw_Data!G1369</f>
        <v>yes</v>
      </c>
      <c r="I1369" s="3" t="str">
        <f aca="false">Raw_Data!H1369</f>
        <v>no</v>
      </c>
      <c r="J1369" s="2" t="n">
        <f aca="false">IF(F1369="yes",1,0)</f>
        <v>0</v>
      </c>
      <c r="K1369" s="2" t="n">
        <f aca="false">IF(H1369="yes",1,0)</f>
        <v>1</v>
      </c>
      <c r="L1369" s="2" t="n">
        <f aca="false">IF(I1369="yes",1,0)</f>
        <v>0</v>
      </c>
      <c r="M1369" s="2" t="n">
        <f aca="false">IF(G1369&lt;0,1,0)</f>
        <v>0</v>
      </c>
      <c r="N1369" s="2" t="str">
        <f aca="false">_xlfn.IFS(B1369&lt;30,"Under 30",B1369&lt;40,"30-39",B1369&lt;50,"40-49",B1369&lt;60,"50-59",TRUE(),"60+")</f>
        <v>40-49</v>
      </c>
      <c r="O1369" s="2" t="str">
        <f aca="false">_xlfn.IFS(G1369&lt;0,"1 Negative",G1369=0,"2 Zero",G1369&lt;=500,"3 1-500",G1369&lt;=2000,"4 501-2000",TRUE(),"5 Above 2000")</f>
        <v>3 1-500</v>
      </c>
      <c r="P1369" s="2" t="n">
        <f aca="false">Lookups!$B$2*M1369+Lookups!$B$3*L1369</f>
        <v>0</v>
      </c>
      <c r="Q1369" s="2" t="str">
        <f aca="false">INDEX(Lookups!$E$2:$E$5,MATCH(P1369,Lookups!$D$2:$D$5,0))</f>
        <v>Low</v>
      </c>
    </row>
    <row r="1370" customFormat="false" ht="15" hidden="false" customHeight="false" outlineLevel="0" collapsed="false">
      <c r="A1370" s="3" t="n">
        <v>1369</v>
      </c>
      <c r="B1370" s="3" t="n">
        <f aca="false">Raw_Data!A1370</f>
        <v>37</v>
      </c>
      <c r="C1370" s="3" t="str">
        <f aca="false">SUBSTITUTE(Raw_Data!B1370,".","")</f>
        <v>self-employed</v>
      </c>
      <c r="D1370" s="3" t="str">
        <f aca="false">Raw_Data!C1370</f>
        <v>single</v>
      </c>
      <c r="E1370" s="3" t="str">
        <f aca="false">Raw_Data!D1370</f>
        <v>tertiary</v>
      </c>
      <c r="F1370" s="3" t="str">
        <f aca="false">Raw_Data!E1370</f>
        <v>no</v>
      </c>
      <c r="G1370" s="3" t="n">
        <f aca="false">Raw_Data!F1370</f>
        <v>556</v>
      </c>
      <c r="H1370" s="3" t="str">
        <f aca="false">Raw_Data!G1370</f>
        <v>no</v>
      </c>
      <c r="I1370" s="3" t="str">
        <f aca="false">Raw_Data!H1370</f>
        <v>no</v>
      </c>
      <c r="J1370" s="2" t="n">
        <f aca="false">IF(F1370="yes",1,0)</f>
        <v>0</v>
      </c>
      <c r="K1370" s="2" t="n">
        <f aca="false">IF(H1370="yes",1,0)</f>
        <v>0</v>
      </c>
      <c r="L1370" s="2" t="n">
        <f aca="false">IF(I1370="yes",1,0)</f>
        <v>0</v>
      </c>
      <c r="M1370" s="2" t="n">
        <f aca="false">IF(G1370&lt;0,1,0)</f>
        <v>0</v>
      </c>
      <c r="N1370" s="2" t="str">
        <f aca="false">_xlfn.IFS(B1370&lt;30,"Under 30",B1370&lt;40,"30-39",B1370&lt;50,"40-49",B1370&lt;60,"50-59",TRUE(),"60+")</f>
        <v>30-39</v>
      </c>
      <c r="O1370" s="2" t="str">
        <f aca="false">_xlfn.IFS(G1370&lt;0,"1 Negative",G1370=0,"2 Zero",G1370&lt;=500,"3 1-500",G1370&lt;=2000,"4 501-2000",TRUE(),"5 Above 2000")</f>
        <v>4 501-2000</v>
      </c>
      <c r="P1370" s="2" t="n">
        <f aca="false">Lookups!$B$2*M1370+Lookups!$B$3*L1370</f>
        <v>0</v>
      </c>
      <c r="Q1370" s="2" t="str">
        <f aca="false">INDEX(Lookups!$E$2:$E$5,MATCH(P1370,Lookups!$D$2:$D$5,0))</f>
        <v>Low</v>
      </c>
    </row>
    <row r="1371" customFormat="false" ht="15" hidden="false" customHeight="false" outlineLevel="0" collapsed="false">
      <c r="A1371" s="3" t="n">
        <v>1370</v>
      </c>
      <c r="B1371" s="3" t="n">
        <f aca="false">Raw_Data!A1371</f>
        <v>65</v>
      </c>
      <c r="C1371" s="3" t="str">
        <f aca="false">SUBSTITUTE(Raw_Data!B1371,".","")</f>
        <v>retired</v>
      </c>
      <c r="D1371" s="3" t="str">
        <f aca="false">Raw_Data!C1371</f>
        <v>divorced</v>
      </c>
      <c r="E1371" s="3" t="str">
        <f aca="false">Raw_Data!D1371</f>
        <v>unknown</v>
      </c>
      <c r="F1371" s="3" t="str">
        <f aca="false">Raw_Data!E1371</f>
        <v>no</v>
      </c>
      <c r="G1371" s="3" t="n">
        <f aca="false">Raw_Data!F1371</f>
        <v>300</v>
      </c>
      <c r="H1371" s="3" t="str">
        <f aca="false">Raw_Data!G1371</f>
        <v>no</v>
      </c>
      <c r="I1371" s="3" t="str">
        <f aca="false">Raw_Data!H1371</f>
        <v>no</v>
      </c>
      <c r="J1371" s="2" t="n">
        <f aca="false">IF(F1371="yes",1,0)</f>
        <v>0</v>
      </c>
      <c r="K1371" s="2" t="n">
        <f aca="false">IF(H1371="yes",1,0)</f>
        <v>0</v>
      </c>
      <c r="L1371" s="2" t="n">
        <f aca="false">IF(I1371="yes",1,0)</f>
        <v>0</v>
      </c>
      <c r="M1371" s="2" t="n">
        <f aca="false">IF(G1371&lt;0,1,0)</f>
        <v>0</v>
      </c>
      <c r="N1371" s="2" t="str">
        <f aca="false">_xlfn.IFS(B1371&lt;30,"Under 30",B1371&lt;40,"30-39",B1371&lt;50,"40-49",B1371&lt;60,"50-59",TRUE(),"60+")</f>
        <v>60+</v>
      </c>
      <c r="O1371" s="2" t="str">
        <f aca="false">_xlfn.IFS(G1371&lt;0,"1 Negative",G1371=0,"2 Zero",G1371&lt;=500,"3 1-500",G1371&lt;=2000,"4 501-2000",TRUE(),"5 Above 2000")</f>
        <v>3 1-500</v>
      </c>
      <c r="P1371" s="2" t="n">
        <f aca="false">Lookups!$B$2*M1371+Lookups!$B$3*L1371</f>
        <v>0</v>
      </c>
      <c r="Q1371" s="2" t="str">
        <f aca="false">INDEX(Lookups!$E$2:$E$5,MATCH(P1371,Lookups!$D$2:$D$5,0))</f>
        <v>Low</v>
      </c>
    </row>
    <row r="1372" customFormat="false" ht="15" hidden="false" customHeight="false" outlineLevel="0" collapsed="false">
      <c r="A1372" s="3" t="n">
        <v>1371</v>
      </c>
      <c r="B1372" s="3" t="n">
        <f aca="false">Raw_Data!A1372</f>
        <v>53</v>
      </c>
      <c r="C1372" s="3" t="str">
        <f aca="false">SUBSTITUTE(Raw_Data!B1372,".","")</f>
        <v>technician</v>
      </c>
      <c r="D1372" s="3" t="str">
        <f aca="false">Raw_Data!C1372</f>
        <v>divorced</v>
      </c>
      <c r="E1372" s="3" t="str">
        <f aca="false">Raw_Data!D1372</f>
        <v>secondary</v>
      </c>
      <c r="F1372" s="3" t="str">
        <f aca="false">Raw_Data!E1372</f>
        <v>no</v>
      </c>
      <c r="G1372" s="3" t="n">
        <f aca="false">Raw_Data!F1372</f>
        <v>751</v>
      </c>
      <c r="H1372" s="3" t="str">
        <f aca="false">Raw_Data!G1372</f>
        <v>yes</v>
      </c>
      <c r="I1372" s="3" t="str">
        <f aca="false">Raw_Data!H1372</f>
        <v>no</v>
      </c>
      <c r="J1372" s="2" t="n">
        <f aca="false">IF(F1372="yes",1,0)</f>
        <v>0</v>
      </c>
      <c r="K1372" s="2" t="n">
        <f aca="false">IF(H1372="yes",1,0)</f>
        <v>1</v>
      </c>
      <c r="L1372" s="2" t="n">
        <f aca="false">IF(I1372="yes",1,0)</f>
        <v>0</v>
      </c>
      <c r="M1372" s="2" t="n">
        <f aca="false">IF(G1372&lt;0,1,0)</f>
        <v>0</v>
      </c>
      <c r="N1372" s="2" t="str">
        <f aca="false">_xlfn.IFS(B1372&lt;30,"Under 30",B1372&lt;40,"30-39",B1372&lt;50,"40-49",B1372&lt;60,"50-59",TRUE(),"60+")</f>
        <v>50-59</v>
      </c>
      <c r="O1372" s="2" t="str">
        <f aca="false">_xlfn.IFS(G1372&lt;0,"1 Negative",G1372=0,"2 Zero",G1372&lt;=500,"3 1-500",G1372&lt;=2000,"4 501-2000",TRUE(),"5 Above 2000")</f>
        <v>4 501-2000</v>
      </c>
      <c r="P1372" s="2" t="n">
        <f aca="false">Lookups!$B$2*M1372+Lookups!$B$3*L1372</f>
        <v>0</v>
      </c>
      <c r="Q1372" s="2" t="str">
        <f aca="false">INDEX(Lookups!$E$2:$E$5,MATCH(P1372,Lookups!$D$2:$D$5,0))</f>
        <v>Low</v>
      </c>
    </row>
    <row r="1373" customFormat="false" ht="15" hidden="false" customHeight="false" outlineLevel="0" collapsed="false">
      <c r="A1373" s="3" t="n">
        <v>1372</v>
      </c>
      <c r="B1373" s="3" t="n">
        <f aca="false">Raw_Data!A1373</f>
        <v>28</v>
      </c>
      <c r="C1373" s="3" t="str">
        <f aca="false">SUBSTITUTE(Raw_Data!B1373,".","")</f>
        <v>technician</v>
      </c>
      <c r="D1373" s="3" t="str">
        <f aca="false">Raw_Data!C1373</f>
        <v>single</v>
      </c>
      <c r="E1373" s="3" t="str">
        <f aca="false">Raw_Data!D1373</f>
        <v>secondary</v>
      </c>
      <c r="F1373" s="3" t="str">
        <f aca="false">Raw_Data!E1373</f>
        <v>no</v>
      </c>
      <c r="G1373" s="3" t="n">
        <f aca="false">Raw_Data!F1373</f>
        <v>126</v>
      </c>
      <c r="H1373" s="3" t="str">
        <f aca="false">Raw_Data!G1373</f>
        <v>no</v>
      </c>
      <c r="I1373" s="3" t="str">
        <f aca="false">Raw_Data!H1373</f>
        <v>no</v>
      </c>
      <c r="J1373" s="2" t="n">
        <f aca="false">IF(F1373="yes",1,0)</f>
        <v>0</v>
      </c>
      <c r="K1373" s="2" t="n">
        <f aca="false">IF(H1373="yes",1,0)</f>
        <v>0</v>
      </c>
      <c r="L1373" s="2" t="n">
        <f aca="false">IF(I1373="yes",1,0)</f>
        <v>0</v>
      </c>
      <c r="M1373" s="2" t="n">
        <f aca="false">IF(G1373&lt;0,1,0)</f>
        <v>0</v>
      </c>
      <c r="N1373" s="2" t="str">
        <f aca="false">_xlfn.IFS(B1373&lt;30,"Under 30",B1373&lt;40,"30-39",B1373&lt;50,"40-49",B1373&lt;60,"50-59",TRUE(),"60+")</f>
        <v>Under 30</v>
      </c>
      <c r="O1373" s="2" t="str">
        <f aca="false">_xlfn.IFS(G1373&lt;0,"1 Negative",G1373=0,"2 Zero",G1373&lt;=500,"3 1-500",G1373&lt;=2000,"4 501-2000",TRUE(),"5 Above 2000")</f>
        <v>3 1-500</v>
      </c>
      <c r="P1373" s="2" t="n">
        <f aca="false">Lookups!$B$2*M1373+Lookups!$B$3*L1373</f>
        <v>0</v>
      </c>
      <c r="Q1373" s="2" t="str">
        <f aca="false">INDEX(Lookups!$E$2:$E$5,MATCH(P1373,Lookups!$D$2:$D$5,0))</f>
        <v>Low</v>
      </c>
    </row>
    <row r="1374" customFormat="false" ht="15" hidden="false" customHeight="false" outlineLevel="0" collapsed="false">
      <c r="A1374" s="3" t="n">
        <v>1373</v>
      </c>
      <c r="B1374" s="3" t="n">
        <f aca="false">Raw_Data!A1374</f>
        <v>33</v>
      </c>
      <c r="C1374" s="3" t="str">
        <f aca="false">SUBSTITUTE(Raw_Data!B1374,".","")</f>
        <v>technician</v>
      </c>
      <c r="D1374" s="3" t="str">
        <f aca="false">Raw_Data!C1374</f>
        <v>divorced</v>
      </c>
      <c r="E1374" s="3" t="str">
        <f aca="false">Raw_Data!D1374</f>
        <v>tertiary</v>
      </c>
      <c r="F1374" s="3" t="str">
        <f aca="false">Raw_Data!E1374</f>
        <v>no</v>
      </c>
      <c r="G1374" s="3" t="n">
        <f aca="false">Raw_Data!F1374</f>
        <v>-386</v>
      </c>
      <c r="H1374" s="3" t="str">
        <f aca="false">Raw_Data!G1374</f>
        <v>yes</v>
      </c>
      <c r="I1374" s="3" t="str">
        <f aca="false">Raw_Data!H1374</f>
        <v>no</v>
      </c>
      <c r="J1374" s="2" t="n">
        <f aca="false">IF(F1374="yes",1,0)</f>
        <v>0</v>
      </c>
      <c r="K1374" s="2" t="n">
        <f aca="false">IF(H1374="yes",1,0)</f>
        <v>1</v>
      </c>
      <c r="L1374" s="2" t="n">
        <f aca="false">IF(I1374="yes",1,0)</f>
        <v>0</v>
      </c>
      <c r="M1374" s="2" t="n">
        <f aca="false">IF(G1374&lt;0,1,0)</f>
        <v>1</v>
      </c>
      <c r="N1374" s="2" t="str">
        <f aca="false">_xlfn.IFS(B1374&lt;30,"Under 30",B1374&lt;40,"30-39",B1374&lt;50,"40-49",B1374&lt;60,"50-59",TRUE(),"60+")</f>
        <v>30-39</v>
      </c>
      <c r="O1374" s="2" t="str">
        <f aca="false">_xlfn.IFS(G1374&lt;0,"1 Negative",G1374=0,"2 Zero",G1374&lt;=500,"3 1-500",G1374&lt;=2000,"4 501-2000",TRUE(),"5 Above 2000")</f>
        <v>1 Negative</v>
      </c>
      <c r="P1374" s="2" t="n">
        <f aca="false">Lookups!$B$2*M1374+Lookups!$B$3*L1374</f>
        <v>2</v>
      </c>
      <c r="Q1374" s="2" t="str">
        <f aca="false">INDEX(Lookups!$E$2:$E$5,MATCH(P1374,Lookups!$D$2:$D$5,0))</f>
        <v>High</v>
      </c>
    </row>
    <row r="1375" customFormat="false" ht="15" hidden="false" customHeight="false" outlineLevel="0" collapsed="false">
      <c r="A1375" s="3" t="n">
        <v>1374</v>
      </c>
      <c r="B1375" s="3" t="n">
        <f aca="false">Raw_Data!A1375</f>
        <v>56</v>
      </c>
      <c r="C1375" s="3" t="str">
        <f aca="false">SUBSTITUTE(Raw_Data!B1375,".","")</f>
        <v>blue-collar</v>
      </c>
      <c r="D1375" s="3" t="str">
        <f aca="false">Raw_Data!C1375</f>
        <v>married</v>
      </c>
      <c r="E1375" s="3" t="str">
        <f aca="false">Raw_Data!D1375</f>
        <v>primary</v>
      </c>
      <c r="F1375" s="3" t="str">
        <f aca="false">Raw_Data!E1375</f>
        <v>no</v>
      </c>
      <c r="G1375" s="3" t="n">
        <f aca="false">Raw_Data!F1375</f>
        <v>379</v>
      </c>
      <c r="H1375" s="3" t="str">
        <f aca="false">Raw_Data!G1375</f>
        <v>no</v>
      </c>
      <c r="I1375" s="3" t="str">
        <f aca="false">Raw_Data!H1375</f>
        <v>no</v>
      </c>
      <c r="J1375" s="2" t="n">
        <f aca="false">IF(F1375="yes",1,0)</f>
        <v>0</v>
      </c>
      <c r="K1375" s="2" t="n">
        <f aca="false">IF(H1375="yes",1,0)</f>
        <v>0</v>
      </c>
      <c r="L1375" s="2" t="n">
        <f aca="false">IF(I1375="yes",1,0)</f>
        <v>0</v>
      </c>
      <c r="M1375" s="2" t="n">
        <f aca="false">IF(G1375&lt;0,1,0)</f>
        <v>0</v>
      </c>
      <c r="N1375" s="2" t="str">
        <f aca="false">_xlfn.IFS(B1375&lt;30,"Under 30",B1375&lt;40,"30-39",B1375&lt;50,"40-49",B1375&lt;60,"50-59",TRUE(),"60+")</f>
        <v>50-59</v>
      </c>
      <c r="O1375" s="2" t="str">
        <f aca="false">_xlfn.IFS(G1375&lt;0,"1 Negative",G1375=0,"2 Zero",G1375&lt;=500,"3 1-500",G1375&lt;=2000,"4 501-2000",TRUE(),"5 Above 2000")</f>
        <v>3 1-500</v>
      </c>
      <c r="P1375" s="2" t="n">
        <f aca="false">Lookups!$B$2*M1375+Lookups!$B$3*L1375</f>
        <v>0</v>
      </c>
      <c r="Q1375" s="2" t="str">
        <f aca="false">INDEX(Lookups!$E$2:$E$5,MATCH(P1375,Lookups!$D$2:$D$5,0))</f>
        <v>Low</v>
      </c>
    </row>
    <row r="1376" customFormat="false" ht="15" hidden="false" customHeight="false" outlineLevel="0" collapsed="false">
      <c r="A1376" s="3" t="n">
        <v>1375</v>
      </c>
      <c r="B1376" s="3" t="n">
        <f aca="false">Raw_Data!A1376</f>
        <v>45</v>
      </c>
      <c r="C1376" s="3" t="str">
        <f aca="false">SUBSTITUTE(Raw_Data!B1376,".","")</f>
        <v>self-employed</v>
      </c>
      <c r="D1376" s="3" t="str">
        <f aca="false">Raw_Data!C1376</f>
        <v>married</v>
      </c>
      <c r="E1376" s="3" t="str">
        <f aca="false">Raw_Data!D1376</f>
        <v>secondary</v>
      </c>
      <c r="F1376" s="3" t="str">
        <f aca="false">Raw_Data!E1376</f>
        <v>no</v>
      </c>
      <c r="G1376" s="3" t="n">
        <f aca="false">Raw_Data!F1376</f>
        <v>706</v>
      </c>
      <c r="H1376" s="3" t="str">
        <f aca="false">Raw_Data!G1376</f>
        <v>no</v>
      </c>
      <c r="I1376" s="3" t="str">
        <f aca="false">Raw_Data!H1376</f>
        <v>no</v>
      </c>
      <c r="J1376" s="2" t="n">
        <f aca="false">IF(F1376="yes",1,0)</f>
        <v>0</v>
      </c>
      <c r="K1376" s="2" t="n">
        <f aca="false">IF(H1376="yes",1,0)</f>
        <v>0</v>
      </c>
      <c r="L1376" s="2" t="n">
        <f aca="false">IF(I1376="yes",1,0)</f>
        <v>0</v>
      </c>
      <c r="M1376" s="2" t="n">
        <f aca="false">IF(G1376&lt;0,1,0)</f>
        <v>0</v>
      </c>
      <c r="N1376" s="2" t="str">
        <f aca="false">_xlfn.IFS(B1376&lt;30,"Under 30",B1376&lt;40,"30-39",B1376&lt;50,"40-49",B1376&lt;60,"50-59",TRUE(),"60+")</f>
        <v>40-49</v>
      </c>
      <c r="O1376" s="2" t="str">
        <f aca="false">_xlfn.IFS(G1376&lt;0,"1 Negative",G1376=0,"2 Zero",G1376&lt;=500,"3 1-500",G1376&lt;=2000,"4 501-2000",TRUE(),"5 Above 2000")</f>
        <v>4 501-2000</v>
      </c>
      <c r="P1376" s="2" t="n">
        <f aca="false">Lookups!$B$2*M1376+Lookups!$B$3*L1376</f>
        <v>0</v>
      </c>
      <c r="Q1376" s="2" t="str">
        <f aca="false">INDEX(Lookups!$E$2:$E$5,MATCH(P1376,Lookups!$D$2:$D$5,0))</f>
        <v>Low</v>
      </c>
    </row>
    <row r="1377" customFormat="false" ht="15" hidden="false" customHeight="false" outlineLevel="0" collapsed="false">
      <c r="A1377" s="3" t="n">
        <v>1376</v>
      </c>
      <c r="B1377" s="3" t="n">
        <f aca="false">Raw_Data!A1377</f>
        <v>39</v>
      </c>
      <c r="C1377" s="3" t="str">
        <f aca="false">SUBSTITUTE(Raw_Data!B1377,".","")</f>
        <v>technician</v>
      </c>
      <c r="D1377" s="3" t="str">
        <f aca="false">Raw_Data!C1377</f>
        <v>married</v>
      </c>
      <c r="E1377" s="3" t="str">
        <f aca="false">Raw_Data!D1377</f>
        <v>secondary</v>
      </c>
      <c r="F1377" s="3" t="str">
        <f aca="false">Raw_Data!E1377</f>
        <v>no</v>
      </c>
      <c r="G1377" s="3" t="n">
        <f aca="false">Raw_Data!F1377</f>
        <v>9121</v>
      </c>
      <c r="H1377" s="3" t="str">
        <f aca="false">Raw_Data!G1377</f>
        <v>no</v>
      </c>
      <c r="I1377" s="3" t="str">
        <f aca="false">Raw_Data!H1377</f>
        <v>no</v>
      </c>
      <c r="J1377" s="2" t="n">
        <f aca="false">IF(F1377="yes",1,0)</f>
        <v>0</v>
      </c>
      <c r="K1377" s="2" t="n">
        <f aca="false">IF(H1377="yes",1,0)</f>
        <v>0</v>
      </c>
      <c r="L1377" s="2" t="n">
        <f aca="false">IF(I1377="yes",1,0)</f>
        <v>0</v>
      </c>
      <c r="M1377" s="2" t="n">
        <f aca="false">IF(G1377&lt;0,1,0)</f>
        <v>0</v>
      </c>
      <c r="N1377" s="2" t="str">
        <f aca="false">_xlfn.IFS(B1377&lt;30,"Under 30",B1377&lt;40,"30-39",B1377&lt;50,"40-49",B1377&lt;60,"50-59",TRUE(),"60+")</f>
        <v>30-39</v>
      </c>
      <c r="O1377" s="2" t="str">
        <f aca="false">_xlfn.IFS(G1377&lt;0,"1 Negative",G1377=0,"2 Zero",G1377&lt;=500,"3 1-500",G1377&lt;=2000,"4 501-2000",TRUE(),"5 Above 2000")</f>
        <v>5 Above 2000</v>
      </c>
      <c r="P1377" s="2" t="n">
        <f aca="false">Lookups!$B$2*M1377+Lookups!$B$3*L1377</f>
        <v>0</v>
      </c>
      <c r="Q1377" s="2" t="str">
        <f aca="false">INDEX(Lookups!$E$2:$E$5,MATCH(P1377,Lookups!$D$2:$D$5,0))</f>
        <v>Low</v>
      </c>
    </row>
    <row r="1378" customFormat="false" ht="15" hidden="false" customHeight="false" outlineLevel="0" collapsed="false">
      <c r="A1378" s="3" t="n">
        <v>1377</v>
      </c>
      <c r="B1378" s="3" t="n">
        <f aca="false">Raw_Data!A1378</f>
        <v>28</v>
      </c>
      <c r="C1378" s="3" t="str">
        <f aca="false">SUBSTITUTE(Raw_Data!B1378,".","")</f>
        <v>management</v>
      </c>
      <c r="D1378" s="3" t="str">
        <f aca="false">Raw_Data!C1378</f>
        <v>single</v>
      </c>
      <c r="E1378" s="3" t="str">
        <f aca="false">Raw_Data!D1378</f>
        <v>tertiary</v>
      </c>
      <c r="F1378" s="3" t="str">
        <f aca="false">Raw_Data!E1378</f>
        <v>no</v>
      </c>
      <c r="G1378" s="3" t="n">
        <f aca="false">Raw_Data!F1378</f>
        <v>1466</v>
      </c>
      <c r="H1378" s="3" t="str">
        <f aca="false">Raw_Data!G1378</f>
        <v>yes</v>
      </c>
      <c r="I1378" s="3" t="str">
        <f aca="false">Raw_Data!H1378</f>
        <v>no</v>
      </c>
      <c r="J1378" s="2" t="n">
        <f aca="false">IF(F1378="yes",1,0)</f>
        <v>0</v>
      </c>
      <c r="K1378" s="2" t="n">
        <f aca="false">IF(H1378="yes",1,0)</f>
        <v>1</v>
      </c>
      <c r="L1378" s="2" t="n">
        <f aca="false">IF(I1378="yes",1,0)</f>
        <v>0</v>
      </c>
      <c r="M1378" s="2" t="n">
        <f aca="false">IF(G1378&lt;0,1,0)</f>
        <v>0</v>
      </c>
      <c r="N1378" s="2" t="str">
        <f aca="false">_xlfn.IFS(B1378&lt;30,"Under 30",B1378&lt;40,"30-39",B1378&lt;50,"40-49",B1378&lt;60,"50-59",TRUE(),"60+")</f>
        <v>Under 30</v>
      </c>
      <c r="O1378" s="2" t="str">
        <f aca="false">_xlfn.IFS(G1378&lt;0,"1 Negative",G1378=0,"2 Zero",G1378&lt;=500,"3 1-500",G1378&lt;=2000,"4 501-2000",TRUE(),"5 Above 2000")</f>
        <v>4 501-2000</v>
      </c>
      <c r="P1378" s="2" t="n">
        <f aca="false">Lookups!$B$2*M1378+Lookups!$B$3*L1378</f>
        <v>0</v>
      </c>
      <c r="Q1378" s="2" t="str">
        <f aca="false">INDEX(Lookups!$E$2:$E$5,MATCH(P1378,Lookups!$D$2:$D$5,0))</f>
        <v>Low</v>
      </c>
    </row>
    <row r="1379" customFormat="false" ht="15" hidden="false" customHeight="false" outlineLevel="0" collapsed="false">
      <c r="A1379" s="3" t="n">
        <v>1378</v>
      </c>
      <c r="B1379" s="3" t="n">
        <f aca="false">Raw_Data!A1379</f>
        <v>36</v>
      </c>
      <c r="C1379" s="3" t="str">
        <f aca="false">SUBSTITUTE(Raw_Data!B1379,".","")</f>
        <v>blue-collar</v>
      </c>
      <c r="D1379" s="3" t="str">
        <f aca="false">Raw_Data!C1379</f>
        <v>married</v>
      </c>
      <c r="E1379" s="3" t="str">
        <f aca="false">Raw_Data!D1379</f>
        <v>primary</v>
      </c>
      <c r="F1379" s="3" t="str">
        <f aca="false">Raw_Data!E1379</f>
        <v>no</v>
      </c>
      <c r="G1379" s="3" t="n">
        <f aca="false">Raw_Data!F1379</f>
        <v>0</v>
      </c>
      <c r="H1379" s="3" t="str">
        <f aca="false">Raw_Data!G1379</f>
        <v>yes</v>
      </c>
      <c r="I1379" s="3" t="str">
        <f aca="false">Raw_Data!H1379</f>
        <v>no</v>
      </c>
      <c r="J1379" s="2" t="n">
        <f aca="false">IF(F1379="yes",1,0)</f>
        <v>0</v>
      </c>
      <c r="K1379" s="2" t="n">
        <f aca="false">IF(H1379="yes",1,0)</f>
        <v>1</v>
      </c>
      <c r="L1379" s="2" t="n">
        <f aca="false">IF(I1379="yes",1,0)</f>
        <v>0</v>
      </c>
      <c r="M1379" s="2" t="n">
        <f aca="false">IF(G1379&lt;0,1,0)</f>
        <v>0</v>
      </c>
      <c r="N1379" s="2" t="str">
        <f aca="false">_xlfn.IFS(B1379&lt;30,"Under 30",B1379&lt;40,"30-39",B1379&lt;50,"40-49",B1379&lt;60,"50-59",TRUE(),"60+")</f>
        <v>30-39</v>
      </c>
      <c r="O1379" s="2" t="str">
        <f aca="false">_xlfn.IFS(G1379&lt;0,"1 Negative",G1379=0,"2 Zero",G1379&lt;=500,"3 1-500",G1379&lt;=2000,"4 501-2000",TRUE(),"5 Above 2000")</f>
        <v>2 Zero</v>
      </c>
      <c r="P1379" s="2" t="n">
        <f aca="false">Lookups!$B$2*M1379+Lookups!$B$3*L1379</f>
        <v>0</v>
      </c>
      <c r="Q1379" s="2" t="str">
        <f aca="false">INDEX(Lookups!$E$2:$E$5,MATCH(P1379,Lookups!$D$2:$D$5,0))</f>
        <v>Low</v>
      </c>
    </row>
    <row r="1380" customFormat="false" ht="15" hidden="false" customHeight="false" outlineLevel="0" collapsed="false">
      <c r="A1380" s="3" t="n">
        <v>1379</v>
      </c>
      <c r="B1380" s="3" t="n">
        <f aca="false">Raw_Data!A1380</f>
        <v>41</v>
      </c>
      <c r="C1380" s="3" t="str">
        <f aca="false">SUBSTITUTE(Raw_Data!B1380,".","")</f>
        <v>blue-collar</v>
      </c>
      <c r="D1380" s="3" t="str">
        <f aca="false">Raw_Data!C1380</f>
        <v>married</v>
      </c>
      <c r="E1380" s="3" t="str">
        <f aca="false">Raw_Data!D1380</f>
        <v>primary</v>
      </c>
      <c r="F1380" s="3" t="str">
        <f aca="false">Raw_Data!E1380</f>
        <v>no</v>
      </c>
      <c r="G1380" s="3" t="n">
        <f aca="false">Raw_Data!F1380</f>
        <v>951</v>
      </c>
      <c r="H1380" s="3" t="str">
        <f aca="false">Raw_Data!G1380</f>
        <v>yes</v>
      </c>
      <c r="I1380" s="3" t="str">
        <f aca="false">Raw_Data!H1380</f>
        <v>no</v>
      </c>
      <c r="J1380" s="2" t="n">
        <f aca="false">IF(F1380="yes",1,0)</f>
        <v>0</v>
      </c>
      <c r="K1380" s="2" t="n">
        <f aca="false">IF(H1380="yes",1,0)</f>
        <v>1</v>
      </c>
      <c r="L1380" s="2" t="n">
        <f aca="false">IF(I1380="yes",1,0)</f>
        <v>0</v>
      </c>
      <c r="M1380" s="2" t="n">
        <f aca="false">IF(G1380&lt;0,1,0)</f>
        <v>0</v>
      </c>
      <c r="N1380" s="2" t="str">
        <f aca="false">_xlfn.IFS(B1380&lt;30,"Under 30",B1380&lt;40,"30-39",B1380&lt;50,"40-49",B1380&lt;60,"50-59",TRUE(),"60+")</f>
        <v>40-49</v>
      </c>
      <c r="O1380" s="2" t="str">
        <f aca="false">_xlfn.IFS(G1380&lt;0,"1 Negative",G1380=0,"2 Zero",G1380&lt;=500,"3 1-500",G1380&lt;=2000,"4 501-2000",TRUE(),"5 Above 2000")</f>
        <v>4 501-2000</v>
      </c>
      <c r="P1380" s="2" t="n">
        <f aca="false">Lookups!$B$2*M1380+Lookups!$B$3*L1380</f>
        <v>0</v>
      </c>
      <c r="Q1380" s="2" t="str">
        <f aca="false">INDEX(Lookups!$E$2:$E$5,MATCH(P1380,Lookups!$D$2:$D$5,0))</f>
        <v>Low</v>
      </c>
    </row>
    <row r="1381" customFormat="false" ht="15" hidden="false" customHeight="false" outlineLevel="0" collapsed="false">
      <c r="A1381" s="3" t="n">
        <v>1380</v>
      </c>
      <c r="B1381" s="3" t="n">
        <f aca="false">Raw_Data!A1381</f>
        <v>46</v>
      </c>
      <c r="C1381" s="3" t="str">
        <f aca="false">SUBSTITUTE(Raw_Data!B1381,".","")</f>
        <v>admin</v>
      </c>
      <c r="D1381" s="3" t="str">
        <f aca="false">Raw_Data!C1381</f>
        <v>married</v>
      </c>
      <c r="E1381" s="3" t="str">
        <f aca="false">Raw_Data!D1381</f>
        <v>secondary</v>
      </c>
      <c r="F1381" s="3" t="str">
        <f aca="false">Raw_Data!E1381</f>
        <v>no</v>
      </c>
      <c r="G1381" s="3" t="n">
        <f aca="false">Raw_Data!F1381</f>
        <v>368</v>
      </c>
      <c r="H1381" s="3" t="str">
        <f aca="false">Raw_Data!G1381</f>
        <v>no</v>
      </c>
      <c r="I1381" s="3" t="str">
        <f aca="false">Raw_Data!H1381</f>
        <v>no</v>
      </c>
      <c r="J1381" s="2" t="n">
        <f aca="false">IF(F1381="yes",1,0)</f>
        <v>0</v>
      </c>
      <c r="K1381" s="2" t="n">
        <f aca="false">IF(H1381="yes",1,0)</f>
        <v>0</v>
      </c>
      <c r="L1381" s="2" t="n">
        <f aca="false">IF(I1381="yes",1,0)</f>
        <v>0</v>
      </c>
      <c r="M1381" s="2" t="n">
        <f aca="false">IF(G1381&lt;0,1,0)</f>
        <v>0</v>
      </c>
      <c r="N1381" s="2" t="str">
        <f aca="false">_xlfn.IFS(B1381&lt;30,"Under 30",B1381&lt;40,"30-39",B1381&lt;50,"40-49",B1381&lt;60,"50-59",TRUE(),"60+")</f>
        <v>40-49</v>
      </c>
      <c r="O1381" s="2" t="str">
        <f aca="false">_xlfn.IFS(G1381&lt;0,"1 Negative",G1381=0,"2 Zero",G1381&lt;=500,"3 1-500",G1381&lt;=2000,"4 501-2000",TRUE(),"5 Above 2000")</f>
        <v>3 1-500</v>
      </c>
      <c r="P1381" s="2" t="n">
        <f aca="false">Lookups!$B$2*M1381+Lookups!$B$3*L1381</f>
        <v>0</v>
      </c>
      <c r="Q1381" s="2" t="str">
        <f aca="false">INDEX(Lookups!$E$2:$E$5,MATCH(P1381,Lookups!$D$2:$D$5,0))</f>
        <v>Low</v>
      </c>
    </row>
    <row r="1382" customFormat="false" ht="15" hidden="false" customHeight="false" outlineLevel="0" collapsed="false">
      <c r="A1382" s="3" t="n">
        <v>1381</v>
      </c>
      <c r="B1382" s="3" t="n">
        <f aca="false">Raw_Data!A1382</f>
        <v>41</v>
      </c>
      <c r="C1382" s="3" t="str">
        <f aca="false">SUBSTITUTE(Raw_Data!B1382,".","")</f>
        <v>blue-collar</v>
      </c>
      <c r="D1382" s="3" t="str">
        <f aca="false">Raw_Data!C1382</f>
        <v>married</v>
      </c>
      <c r="E1382" s="3" t="str">
        <f aca="false">Raw_Data!D1382</f>
        <v>secondary</v>
      </c>
      <c r="F1382" s="3" t="str">
        <f aca="false">Raw_Data!E1382</f>
        <v>no</v>
      </c>
      <c r="G1382" s="3" t="n">
        <f aca="false">Raw_Data!F1382</f>
        <v>121</v>
      </c>
      <c r="H1382" s="3" t="str">
        <f aca="false">Raw_Data!G1382</f>
        <v>yes</v>
      </c>
      <c r="I1382" s="3" t="str">
        <f aca="false">Raw_Data!H1382</f>
        <v>no</v>
      </c>
      <c r="J1382" s="2" t="n">
        <f aca="false">IF(F1382="yes",1,0)</f>
        <v>0</v>
      </c>
      <c r="K1382" s="2" t="n">
        <f aca="false">IF(H1382="yes",1,0)</f>
        <v>1</v>
      </c>
      <c r="L1382" s="2" t="n">
        <f aca="false">IF(I1382="yes",1,0)</f>
        <v>0</v>
      </c>
      <c r="M1382" s="2" t="n">
        <f aca="false">IF(G1382&lt;0,1,0)</f>
        <v>0</v>
      </c>
      <c r="N1382" s="2" t="str">
        <f aca="false">_xlfn.IFS(B1382&lt;30,"Under 30",B1382&lt;40,"30-39",B1382&lt;50,"40-49",B1382&lt;60,"50-59",TRUE(),"60+")</f>
        <v>40-49</v>
      </c>
      <c r="O1382" s="2" t="str">
        <f aca="false">_xlfn.IFS(G1382&lt;0,"1 Negative",G1382=0,"2 Zero",G1382&lt;=500,"3 1-500",G1382&lt;=2000,"4 501-2000",TRUE(),"5 Above 2000")</f>
        <v>3 1-500</v>
      </c>
      <c r="P1382" s="2" t="n">
        <f aca="false">Lookups!$B$2*M1382+Lookups!$B$3*L1382</f>
        <v>0</v>
      </c>
      <c r="Q1382" s="2" t="str">
        <f aca="false">INDEX(Lookups!$E$2:$E$5,MATCH(P1382,Lookups!$D$2:$D$5,0))</f>
        <v>Low</v>
      </c>
    </row>
    <row r="1383" customFormat="false" ht="15" hidden="false" customHeight="false" outlineLevel="0" collapsed="false">
      <c r="A1383" s="3" t="n">
        <v>1382</v>
      </c>
      <c r="B1383" s="3" t="n">
        <f aca="false">Raw_Data!A1383</f>
        <v>59</v>
      </c>
      <c r="C1383" s="3" t="str">
        <f aca="false">SUBSTITUTE(Raw_Data!B1383,".","")</f>
        <v>services</v>
      </c>
      <c r="D1383" s="3" t="str">
        <f aca="false">Raw_Data!C1383</f>
        <v>married</v>
      </c>
      <c r="E1383" s="3" t="str">
        <f aca="false">Raw_Data!D1383</f>
        <v>secondary</v>
      </c>
      <c r="F1383" s="3" t="str">
        <f aca="false">Raw_Data!E1383</f>
        <v>no</v>
      </c>
      <c r="G1383" s="3" t="n">
        <f aca="false">Raw_Data!F1383</f>
        <v>204</v>
      </c>
      <c r="H1383" s="3" t="str">
        <f aca="false">Raw_Data!G1383</f>
        <v>no</v>
      </c>
      <c r="I1383" s="3" t="str">
        <f aca="false">Raw_Data!H1383</f>
        <v>no</v>
      </c>
      <c r="J1383" s="2" t="n">
        <f aca="false">IF(F1383="yes",1,0)</f>
        <v>0</v>
      </c>
      <c r="K1383" s="2" t="n">
        <f aca="false">IF(H1383="yes",1,0)</f>
        <v>0</v>
      </c>
      <c r="L1383" s="2" t="n">
        <f aca="false">IF(I1383="yes",1,0)</f>
        <v>0</v>
      </c>
      <c r="M1383" s="2" t="n">
        <f aca="false">IF(G1383&lt;0,1,0)</f>
        <v>0</v>
      </c>
      <c r="N1383" s="2" t="str">
        <f aca="false">_xlfn.IFS(B1383&lt;30,"Under 30",B1383&lt;40,"30-39",B1383&lt;50,"40-49",B1383&lt;60,"50-59",TRUE(),"60+")</f>
        <v>50-59</v>
      </c>
      <c r="O1383" s="2" t="str">
        <f aca="false">_xlfn.IFS(G1383&lt;0,"1 Negative",G1383=0,"2 Zero",G1383&lt;=500,"3 1-500",G1383&lt;=2000,"4 501-2000",TRUE(),"5 Above 2000")</f>
        <v>3 1-500</v>
      </c>
      <c r="P1383" s="2" t="n">
        <f aca="false">Lookups!$B$2*M1383+Lookups!$B$3*L1383</f>
        <v>0</v>
      </c>
      <c r="Q1383" s="2" t="str">
        <f aca="false">INDEX(Lookups!$E$2:$E$5,MATCH(P1383,Lookups!$D$2:$D$5,0))</f>
        <v>Low</v>
      </c>
    </row>
    <row r="1384" customFormat="false" ht="15" hidden="false" customHeight="false" outlineLevel="0" collapsed="false">
      <c r="A1384" s="3" t="n">
        <v>1383</v>
      </c>
      <c r="B1384" s="3" t="n">
        <f aca="false">Raw_Data!A1384</f>
        <v>24</v>
      </c>
      <c r="C1384" s="3" t="str">
        <f aca="false">SUBSTITUTE(Raw_Data!B1384,".","")</f>
        <v>admin</v>
      </c>
      <c r="D1384" s="3" t="str">
        <f aca="false">Raw_Data!C1384</f>
        <v>married</v>
      </c>
      <c r="E1384" s="3" t="str">
        <f aca="false">Raw_Data!D1384</f>
        <v>secondary</v>
      </c>
      <c r="F1384" s="3" t="str">
        <f aca="false">Raw_Data!E1384</f>
        <v>no</v>
      </c>
      <c r="G1384" s="3" t="n">
        <f aca="false">Raw_Data!F1384</f>
        <v>299</v>
      </c>
      <c r="H1384" s="3" t="str">
        <f aca="false">Raw_Data!G1384</f>
        <v>yes</v>
      </c>
      <c r="I1384" s="3" t="str">
        <f aca="false">Raw_Data!H1384</f>
        <v>no</v>
      </c>
      <c r="J1384" s="2" t="n">
        <f aca="false">IF(F1384="yes",1,0)</f>
        <v>0</v>
      </c>
      <c r="K1384" s="2" t="n">
        <f aca="false">IF(H1384="yes",1,0)</f>
        <v>1</v>
      </c>
      <c r="L1384" s="2" t="n">
        <f aca="false">IF(I1384="yes",1,0)</f>
        <v>0</v>
      </c>
      <c r="M1384" s="2" t="n">
        <f aca="false">IF(G1384&lt;0,1,0)</f>
        <v>0</v>
      </c>
      <c r="N1384" s="2" t="str">
        <f aca="false">_xlfn.IFS(B1384&lt;30,"Under 30",B1384&lt;40,"30-39",B1384&lt;50,"40-49",B1384&lt;60,"50-59",TRUE(),"60+")</f>
        <v>Under 30</v>
      </c>
      <c r="O1384" s="2" t="str">
        <f aca="false">_xlfn.IFS(G1384&lt;0,"1 Negative",G1384=0,"2 Zero",G1384&lt;=500,"3 1-500",G1384&lt;=2000,"4 501-2000",TRUE(),"5 Above 2000")</f>
        <v>3 1-500</v>
      </c>
      <c r="P1384" s="2" t="n">
        <f aca="false">Lookups!$B$2*M1384+Lookups!$B$3*L1384</f>
        <v>0</v>
      </c>
      <c r="Q1384" s="2" t="str">
        <f aca="false">INDEX(Lookups!$E$2:$E$5,MATCH(P1384,Lookups!$D$2:$D$5,0))</f>
        <v>Low</v>
      </c>
    </row>
    <row r="1385" customFormat="false" ht="15" hidden="false" customHeight="false" outlineLevel="0" collapsed="false">
      <c r="A1385" s="3" t="n">
        <v>1384</v>
      </c>
      <c r="B1385" s="3" t="n">
        <f aca="false">Raw_Data!A1385</f>
        <v>34</v>
      </c>
      <c r="C1385" s="3" t="str">
        <f aca="false">SUBSTITUTE(Raw_Data!B1385,".","")</f>
        <v>management</v>
      </c>
      <c r="D1385" s="3" t="str">
        <f aca="false">Raw_Data!C1385</f>
        <v>married</v>
      </c>
      <c r="E1385" s="3" t="str">
        <f aca="false">Raw_Data!D1385</f>
        <v>tertiary</v>
      </c>
      <c r="F1385" s="3" t="str">
        <f aca="false">Raw_Data!E1385</f>
        <v>no</v>
      </c>
      <c r="G1385" s="3" t="n">
        <f aca="false">Raw_Data!F1385</f>
        <v>4170</v>
      </c>
      <c r="H1385" s="3" t="str">
        <f aca="false">Raw_Data!G1385</f>
        <v>yes</v>
      </c>
      <c r="I1385" s="3" t="str">
        <f aca="false">Raw_Data!H1385</f>
        <v>no</v>
      </c>
      <c r="J1385" s="2" t="n">
        <f aca="false">IF(F1385="yes",1,0)</f>
        <v>0</v>
      </c>
      <c r="K1385" s="2" t="n">
        <f aca="false">IF(H1385="yes",1,0)</f>
        <v>1</v>
      </c>
      <c r="L1385" s="2" t="n">
        <f aca="false">IF(I1385="yes",1,0)</f>
        <v>0</v>
      </c>
      <c r="M1385" s="2" t="n">
        <f aca="false">IF(G1385&lt;0,1,0)</f>
        <v>0</v>
      </c>
      <c r="N1385" s="2" t="str">
        <f aca="false">_xlfn.IFS(B1385&lt;30,"Under 30",B1385&lt;40,"30-39",B1385&lt;50,"40-49",B1385&lt;60,"50-59",TRUE(),"60+")</f>
        <v>30-39</v>
      </c>
      <c r="O1385" s="2" t="str">
        <f aca="false">_xlfn.IFS(G1385&lt;0,"1 Negative",G1385=0,"2 Zero",G1385&lt;=500,"3 1-500",G1385&lt;=2000,"4 501-2000",TRUE(),"5 Above 2000")</f>
        <v>5 Above 2000</v>
      </c>
      <c r="P1385" s="2" t="n">
        <f aca="false">Lookups!$B$2*M1385+Lookups!$B$3*L1385</f>
        <v>0</v>
      </c>
      <c r="Q1385" s="2" t="str">
        <f aca="false">INDEX(Lookups!$E$2:$E$5,MATCH(P1385,Lookups!$D$2:$D$5,0))</f>
        <v>Low</v>
      </c>
    </row>
    <row r="1386" customFormat="false" ht="15" hidden="false" customHeight="false" outlineLevel="0" collapsed="false">
      <c r="A1386" s="3" t="n">
        <v>1385</v>
      </c>
      <c r="B1386" s="3" t="n">
        <f aca="false">Raw_Data!A1386</f>
        <v>40</v>
      </c>
      <c r="C1386" s="3" t="str">
        <f aca="false">SUBSTITUTE(Raw_Data!B1386,".","")</f>
        <v>blue-collar</v>
      </c>
      <c r="D1386" s="3" t="str">
        <f aca="false">Raw_Data!C1386</f>
        <v>married</v>
      </c>
      <c r="E1386" s="3" t="str">
        <f aca="false">Raw_Data!D1386</f>
        <v>primary</v>
      </c>
      <c r="F1386" s="3" t="str">
        <f aca="false">Raw_Data!E1386</f>
        <v>no</v>
      </c>
      <c r="G1386" s="3" t="n">
        <f aca="false">Raw_Data!F1386</f>
        <v>-335</v>
      </c>
      <c r="H1386" s="3" t="str">
        <f aca="false">Raw_Data!G1386</f>
        <v>yes</v>
      </c>
      <c r="I1386" s="3" t="str">
        <f aca="false">Raw_Data!H1386</f>
        <v>no</v>
      </c>
      <c r="J1386" s="2" t="n">
        <f aca="false">IF(F1386="yes",1,0)</f>
        <v>0</v>
      </c>
      <c r="K1386" s="2" t="n">
        <f aca="false">IF(H1386="yes",1,0)</f>
        <v>1</v>
      </c>
      <c r="L1386" s="2" t="n">
        <f aca="false">IF(I1386="yes",1,0)</f>
        <v>0</v>
      </c>
      <c r="M1386" s="2" t="n">
        <f aca="false">IF(G1386&lt;0,1,0)</f>
        <v>1</v>
      </c>
      <c r="N1386" s="2" t="str">
        <f aca="false">_xlfn.IFS(B1386&lt;30,"Under 30",B1386&lt;40,"30-39",B1386&lt;50,"40-49",B1386&lt;60,"50-59",TRUE(),"60+")</f>
        <v>40-49</v>
      </c>
      <c r="O1386" s="2" t="str">
        <f aca="false">_xlfn.IFS(G1386&lt;0,"1 Negative",G1386=0,"2 Zero",G1386&lt;=500,"3 1-500",G1386&lt;=2000,"4 501-2000",TRUE(),"5 Above 2000")</f>
        <v>1 Negative</v>
      </c>
      <c r="P1386" s="2" t="n">
        <f aca="false">Lookups!$B$2*M1386+Lookups!$B$3*L1386</f>
        <v>2</v>
      </c>
      <c r="Q1386" s="2" t="str">
        <f aca="false">INDEX(Lookups!$E$2:$E$5,MATCH(P1386,Lookups!$D$2:$D$5,0))</f>
        <v>High</v>
      </c>
    </row>
    <row r="1387" customFormat="false" ht="15" hidden="false" customHeight="false" outlineLevel="0" collapsed="false">
      <c r="A1387" s="3" t="n">
        <v>1386</v>
      </c>
      <c r="B1387" s="3" t="n">
        <f aca="false">Raw_Data!A1387</f>
        <v>42</v>
      </c>
      <c r="C1387" s="3" t="str">
        <f aca="false">SUBSTITUTE(Raw_Data!B1387,".","")</f>
        <v>admin</v>
      </c>
      <c r="D1387" s="3" t="str">
        <f aca="false">Raw_Data!C1387</f>
        <v>married</v>
      </c>
      <c r="E1387" s="3" t="str">
        <f aca="false">Raw_Data!D1387</f>
        <v>secondary</v>
      </c>
      <c r="F1387" s="3" t="str">
        <f aca="false">Raw_Data!E1387</f>
        <v>no</v>
      </c>
      <c r="G1387" s="3" t="n">
        <f aca="false">Raw_Data!F1387</f>
        <v>3165</v>
      </c>
      <c r="H1387" s="3" t="str">
        <f aca="false">Raw_Data!G1387</f>
        <v>yes</v>
      </c>
      <c r="I1387" s="3" t="str">
        <f aca="false">Raw_Data!H1387</f>
        <v>no</v>
      </c>
      <c r="J1387" s="2" t="n">
        <f aca="false">IF(F1387="yes",1,0)</f>
        <v>0</v>
      </c>
      <c r="K1387" s="2" t="n">
        <f aca="false">IF(H1387="yes",1,0)</f>
        <v>1</v>
      </c>
      <c r="L1387" s="2" t="n">
        <f aca="false">IF(I1387="yes",1,0)</f>
        <v>0</v>
      </c>
      <c r="M1387" s="2" t="n">
        <f aca="false">IF(G1387&lt;0,1,0)</f>
        <v>0</v>
      </c>
      <c r="N1387" s="2" t="str">
        <f aca="false">_xlfn.IFS(B1387&lt;30,"Under 30",B1387&lt;40,"30-39",B1387&lt;50,"40-49",B1387&lt;60,"50-59",TRUE(),"60+")</f>
        <v>40-49</v>
      </c>
      <c r="O1387" s="2" t="str">
        <f aca="false">_xlfn.IFS(G1387&lt;0,"1 Negative",G1387=0,"2 Zero",G1387&lt;=500,"3 1-500",G1387&lt;=2000,"4 501-2000",TRUE(),"5 Above 2000")</f>
        <v>5 Above 2000</v>
      </c>
      <c r="P1387" s="2" t="n">
        <f aca="false">Lookups!$B$2*M1387+Lookups!$B$3*L1387</f>
        <v>0</v>
      </c>
      <c r="Q1387" s="2" t="str">
        <f aca="false">INDEX(Lookups!$E$2:$E$5,MATCH(P1387,Lookups!$D$2:$D$5,0))</f>
        <v>Low</v>
      </c>
    </row>
    <row r="1388" customFormat="false" ht="15" hidden="false" customHeight="false" outlineLevel="0" collapsed="false">
      <c r="A1388" s="3" t="n">
        <v>1387</v>
      </c>
      <c r="B1388" s="3" t="n">
        <f aca="false">Raw_Data!A1388</f>
        <v>50</v>
      </c>
      <c r="C1388" s="3" t="str">
        <f aca="false">SUBSTITUTE(Raw_Data!B1388,".","")</f>
        <v>services</v>
      </c>
      <c r="D1388" s="3" t="str">
        <f aca="false">Raw_Data!C1388</f>
        <v>married</v>
      </c>
      <c r="E1388" s="3" t="str">
        <f aca="false">Raw_Data!D1388</f>
        <v>secondary</v>
      </c>
      <c r="F1388" s="3" t="str">
        <f aca="false">Raw_Data!E1388</f>
        <v>no</v>
      </c>
      <c r="G1388" s="3" t="n">
        <f aca="false">Raw_Data!F1388</f>
        <v>254</v>
      </c>
      <c r="H1388" s="3" t="str">
        <f aca="false">Raw_Data!G1388</f>
        <v>yes</v>
      </c>
      <c r="I1388" s="3" t="str">
        <f aca="false">Raw_Data!H1388</f>
        <v>no</v>
      </c>
      <c r="J1388" s="2" t="n">
        <f aca="false">IF(F1388="yes",1,0)</f>
        <v>0</v>
      </c>
      <c r="K1388" s="2" t="n">
        <f aca="false">IF(H1388="yes",1,0)</f>
        <v>1</v>
      </c>
      <c r="L1388" s="2" t="n">
        <f aca="false">IF(I1388="yes",1,0)</f>
        <v>0</v>
      </c>
      <c r="M1388" s="2" t="n">
        <f aca="false">IF(G1388&lt;0,1,0)</f>
        <v>0</v>
      </c>
      <c r="N1388" s="2" t="str">
        <f aca="false">_xlfn.IFS(B1388&lt;30,"Under 30",B1388&lt;40,"30-39",B1388&lt;50,"40-49",B1388&lt;60,"50-59",TRUE(),"60+")</f>
        <v>50-59</v>
      </c>
      <c r="O1388" s="2" t="str">
        <f aca="false">_xlfn.IFS(G1388&lt;0,"1 Negative",G1388=0,"2 Zero",G1388&lt;=500,"3 1-500",G1388&lt;=2000,"4 501-2000",TRUE(),"5 Above 2000")</f>
        <v>3 1-500</v>
      </c>
      <c r="P1388" s="2" t="n">
        <f aca="false">Lookups!$B$2*M1388+Lookups!$B$3*L1388</f>
        <v>0</v>
      </c>
      <c r="Q1388" s="2" t="str">
        <f aca="false">INDEX(Lookups!$E$2:$E$5,MATCH(P1388,Lookups!$D$2:$D$5,0))</f>
        <v>Low</v>
      </c>
    </row>
    <row r="1389" customFormat="false" ht="15" hidden="false" customHeight="false" outlineLevel="0" collapsed="false">
      <c r="A1389" s="3" t="n">
        <v>1388</v>
      </c>
      <c r="B1389" s="3" t="n">
        <f aca="false">Raw_Data!A1389</f>
        <v>25</v>
      </c>
      <c r="C1389" s="3" t="str">
        <f aca="false">SUBSTITUTE(Raw_Data!B1389,".","")</f>
        <v>management</v>
      </c>
      <c r="D1389" s="3" t="str">
        <f aca="false">Raw_Data!C1389</f>
        <v>single</v>
      </c>
      <c r="E1389" s="3" t="str">
        <f aca="false">Raw_Data!D1389</f>
        <v>tertiary</v>
      </c>
      <c r="F1389" s="3" t="str">
        <f aca="false">Raw_Data!E1389</f>
        <v>no</v>
      </c>
      <c r="G1389" s="3" t="n">
        <f aca="false">Raw_Data!F1389</f>
        <v>553</v>
      </c>
      <c r="H1389" s="3" t="str">
        <f aca="false">Raw_Data!G1389</f>
        <v>yes</v>
      </c>
      <c r="I1389" s="3" t="str">
        <f aca="false">Raw_Data!H1389</f>
        <v>no</v>
      </c>
      <c r="J1389" s="2" t="n">
        <f aca="false">IF(F1389="yes",1,0)</f>
        <v>0</v>
      </c>
      <c r="K1389" s="2" t="n">
        <f aca="false">IF(H1389="yes",1,0)</f>
        <v>1</v>
      </c>
      <c r="L1389" s="2" t="n">
        <f aca="false">IF(I1389="yes",1,0)</f>
        <v>0</v>
      </c>
      <c r="M1389" s="2" t="n">
        <f aca="false">IF(G1389&lt;0,1,0)</f>
        <v>0</v>
      </c>
      <c r="N1389" s="2" t="str">
        <f aca="false">_xlfn.IFS(B1389&lt;30,"Under 30",B1389&lt;40,"30-39",B1389&lt;50,"40-49",B1389&lt;60,"50-59",TRUE(),"60+")</f>
        <v>Under 30</v>
      </c>
      <c r="O1389" s="2" t="str">
        <f aca="false">_xlfn.IFS(G1389&lt;0,"1 Negative",G1389=0,"2 Zero",G1389&lt;=500,"3 1-500",G1389&lt;=2000,"4 501-2000",TRUE(),"5 Above 2000")</f>
        <v>4 501-2000</v>
      </c>
      <c r="P1389" s="2" t="n">
        <f aca="false">Lookups!$B$2*M1389+Lookups!$B$3*L1389</f>
        <v>0</v>
      </c>
      <c r="Q1389" s="2" t="str">
        <f aca="false">INDEX(Lookups!$E$2:$E$5,MATCH(P1389,Lookups!$D$2:$D$5,0))</f>
        <v>Low</v>
      </c>
    </row>
    <row r="1390" customFormat="false" ht="15" hidden="false" customHeight="false" outlineLevel="0" collapsed="false">
      <c r="A1390" s="3" t="n">
        <v>1389</v>
      </c>
      <c r="B1390" s="3" t="n">
        <f aca="false">Raw_Data!A1390</f>
        <v>51</v>
      </c>
      <c r="C1390" s="3" t="str">
        <f aca="false">SUBSTITUTE(Raw_Data!B1390,".","")</f>
        <v>services</v>
      </c>
      <c r="D1390" s="3" t="str">
        <f aca="false">Raw_Data!C1390</f>
        <v>divorced</v>
      </c>
      <c r="E1390" s="3" t="str">
        <f aca="false">Raw_Data!D1390</f>
        <v>secondary</v>
      </c>
      <c r="F1390" s="3" t="str">
        <f aca="false">Raw_Data!E1390</f>
        <v>no</v>
      </c>
      <c r="G1390" s="3" t="n">
        <f aca="false">Raw_Data!F1390</f>
        <v>518</v>
      </c>
      <c r="H1390" s="3" t="str">
        <f aca="false">Raw_Data!G1390</f>
        <v>yes</v>
      </c>
      <c r="I1390" s="3" t="str">
        <f aca="false">Raw_Data!H1390</f>
        <v>no</v>
      </c>
      <c r="J1390" s="2" t="n">
        <f aca="false">IF(F1390="yes",1,0)</f>
        <v>0</v>
      </c>
      <c r="K1390" s="2" t="n">
        <f aca="false">IF(H1390="yes",1,0)</f>
        <v>1</v>
      </c>
      <c r="L1390" s="2" t="n">
        <f aca="false">IF(I1390="yes",1,0)</f>
        <v>0</v>
      </c>
      <c r="M1390" s="2" t="n">
        <f aca="false">IF(G1390&lt;0,1,0)</f>
        <v>0</v>
      </c>
      <c r="N1390" s="2" t="str">
        <f aca="false">_xlfn.IFS(B1390&lt;30,"Under 30",B1390&lt;40,"30-39",B1390&lt;50,"40-49",B1390&lt;60,"50-59",TRUE(),"60+")</f>
        <v>50-59</v>
      </c>
      <c r="O1390" s="2" t="str">
        <f aca="false">_xlfn.IFS(G1390&lt;0,"1 Negative",G1390=0,"2 Zero",G1390&lt;=500,"3 1-500",G1390&lt;=2000,"4 501-2000",TRUE(),"5 Above 2000")</f>
        <v>4 501-2000</v>
      </c>
      <c r="P1390" s="2" t="n">
        <f aca="false">Lookups!$B$2*M1390+Lookups!$B$3*L1390</f>
        <v>0</v>
      </c>
      <c r="Q1390" s="2" t="str">
        <f aca="false">INDEX(Lookups!$E$2:$E$5,MATCH(P1390,Lookups!$D$2:$D$5,0))</f>
        <v>Low</v>
      </c>
    </row>
    <row r="1391" customFormat="false" ht="15" hidden="false" customHeight="false" outlineLevel="0" collapsed="false">
      <c r="A1391" s="3" t="n">
        <v>1390</v>
      </c>
      <c r="B1391" s="3" t="n">
        <f aca="false">Raw_Data!A1391</f>
        <v>50</v>
      </c>
      <c r="C1391" s="3" t="str">
        <f aca="false">SUBSTITUTE(Raw_Data!B1391,".","")</f>
        <v>management</v>
      </c>
      <c r="D1391" s="3" t="str">
        <f aca="false">Raw_Data!C1391</f>
        <v>married</v>
      </c>
      <c r="E1391" s="3" t="str">
        <f aca="false">Raw_Data!D1391</f>
        <v>tertiary</v>
      </c>
      <c r="F1391" s="3" t="str">
        <f aca="false">Raw_Data!E1391</f>
        <v>no</v>
      </c>
      <c r="G1391" s="3" t="n">
        <f aca="false">Raw_Data!F1391</f>
        <v>85</v>
      </c>
      <c r="H1391" s="3" t="str">
        <f aca="false">Raw_Data!G1391</f>
        <v>no</v>
      </c>
      <c r="I1391" s="3" t="str">
        <f aca="false">Raw_Data!H1391</f>
        <v>yes</v>
      </c>
      <c r="J1391" s="2" t="n">
        <f aca="false">IF(F1391="yes",1,0)</f>
        <v>0</v>
      </c>
      <c r="K1391" s="2" t="n">
        <f aca="false">IF(H1391="yes",1,0)</f>
        <v>0</v>
      </c>
      <c r="L1391" s="2" t="n">
        <f aca="false">IF(I1391="yes",1,0)</f>
        <v>1</v>
      </c>
      <c r="M1391" s="2" t="n">
        <f aca="false">IF(G1391&lt;0,1,0)</f>
        <v>0</v>
      </c>
      <c r="N1391" s="2" t="str">
        <f aca="false">_xlfn.IFS(B1391&lt;30,"Under 30",B1391&lt;40,"30-39",B1391&lt;50,"40-49",B1391&lt;60,"50-59",TRUE(),"60+")</f>
        <v>50-59</v>
      </c>
      <c r="O1391" s="2" t="str">
        <f aca="false">_xlfn.IFS(G1391&lt;0,"1 Negative",G1391=0,"2 Zero",G1391&lt;=500,"3 1-500",G1391&lt;=2000,"4 501-2000",TRUE(),"5 Above 2000")</f>
        <v>3 1-500</v>
      </c>
      <c r="P1391" s="2" t="n">
        <f aca="false">Lookups!$B$2*M1391+Lookups!$B$3*L1391</f>
        <v>1</v>
      </c>
      <c r="Q1391" s="2" t="str">
        <f aca="false">INDEX(Lookups!$E$2:$E$5,MATCH(P1391,Lookups!$D$2:$D$5,0))</f>
        <v>Medium</v>
      </c>
    </row>
    <row r="1392" customFormat="false" ht="15" hidden="false" customHeight="false" outlineLevel="0" collapsed="false">
      <c r="A1392" s="3" t="n">
        <v>1391</v>
      </c>
      <c r="B1392" s="3" t="n">
        <f aca="false">Raw_Data!A1392</f>
        <v>37</v>
      </c>
      <c r="C1392" s="3" t="str">
        <f aca="false">SUBSTITUTE(Raw_Data!B1392,".","")</f>
        <v>blue-collar</v>
      </c>
      <c r="D1392" s="3" t="str">
        <f aca="false">Raw_Data!C1392</f>
        <v>married</v>
      </c>
      <c r="E1392" s="3" t="str">
        <f aca="false">Raw_Data!D1392</f>
        <v>unknown</v>
      </c>
      <c r="F1392" s="3" t="str">
        <f aca="false">Raw_Data!E1392</f>
        <v>no</v>
      </c>
      <c r="G1392" s="3" t="n">
        <f aca="false">Raw_Data!F1392</f>
        <v>603</v>
      </c>
      <c r="H1392" s="3" t="str">
        <f aca="false">Raw_Data!G1392</f>
        <v>yes</v>
      </c>
      <c r="I1392" s="3" t="str">
        <f aca="false">Raw_Data!H1392</f>
        <v>no</v>
      </c>
      <c r="J1392" s="2" t="n">
        <f aca="false">IF(F1392="yes",1,0)</f>
        <v>0</v>
      </c>
      <c r="K1392" s="2" t="n">
        <f aca="false">IF(H1392="yes",1,0)</f>
        <v>1</v>
      </c>
      <c r="L1392" s="2" t="n">
        <f aca="false">IF(I1392="yes",1,0)</f>
        <v>0</v>
      </c>
      <c r="M1392" s="2" t="n">
        <f aca="false">IF(G1392&lt;0,1,0)</f>
        <v>0</v>
      </c>
      <c r="N1392" s="2" t="str">
        <f aca="false">_xlfn.IFS(B1392&lt;30,"Under 30",B1392&lt;40,"30-39",B1392&lt;50,"40-49",B1392&lt;60,"50-59",TRUE(),"60+")</f>
        <v>30-39</v>
      </c>
      <c r="O1392" s="2" t="str">
        <f aca="false">_xlfn.IFS(G1392&lt;0,"1 Negative",G1392=0,"2 Zero",G1392&lt;=500,"3 1-500",G1392&lt;=2000,"4 501-2000",TRUE(),"5 Above 2000")</f>
        <v>4 501-2000</v>
      </c>
      <c r="P1392" s="2" t="n">
        <f aca="false">Lookups!$B$2*M1392+Lookups!$B$3*L1392</f>
        <v>0</v>
      </c>
      <c r="Q1392" s="2" t="str">
        <f aca="false">INDEX(Lookups!$E$2:$E$5,MATCH(P1392,Lookups!$D$2:$D$5,0))</f>
        <v>Low</v>
      </c>
    </row>
    <row r="1393" customFormat="false" ht="15" hidden="false" customHeight="false" outlineLevel="0" collapsed="false">
      <c r="A1393" s="3" t="n">
        <v>1392</v>
      </c>
      <c r="B1393" s="3" t="n">
        <f aca="false">Raw_Data!A1393</f>
        <v>21</v>
      </c>
      <c r="C1393" s="3" t="str">
        <f aca="false">SUBSTITUTE(Raw_Data!B1393,".","")</f>
        <v>services</v>
      </c>
      <c r="D1393" s="3" t="str">
        <f aca="false">Raw_Data!C1393</f>
        <v>single</v>
      </c>
      <c r="E1393" s="3" t="str">
        <f aca="false">Raw_Data!D1393</f>
        <v>secondary</v>
      </c>
      <c r="F1393" s="3" t="str">
        <f aca="false">Raw_Data!E1393</f>
        <v>no</v>
      </c>
      <c r="G1393" s="3" t="n">
        <f aca="false">Raw_Data!F1393</f>
        <v>361</v>
      </c>
      <c r="H1393" s="3" t="str">
        <f aca="false">Raw_Data!G1393</f>
        <v>no</v>
      </c>
      <c r="I1393" s="3" t="str">
        <f aca="false">Raw_Data!H1393</f>
        <v>no</v>
      </c>
      <c r="J1393" s="2" t="n">
        <f aca="false">IF(F1393="yes",1,0)</f>
        <v>0</v>
      </c>
      <c r="K1393" s="2" t="n">
        <f aca="false">IF(H1393="yes",1,0)</f>
        <v>0</v>
      </c>
      <c r="L1393" s="2" t="n">
        <f aca="false">IF(I1393="yes",1,0)</f>
        <v>0</v>
      </c>
      <c r="M1393" s="2" t="n">
        <f aca="false">IF(G1393&lt;0,1,0)</f>
        <v>0</v>
      </c>
      <c r="N1393" s="2" t="str">
        <f aca="false">_xlfn.IFS(B1393&lt;30,"Under 30",B1393&lt;40,"30-39",B1393&lt;50,"40-49",B1393&lt;60,"50-59",TRUE(),"60+")</f>
        <v>Under 30</v>
      </c>
      <c r="O1393" s="2" t="str">
        <f aca="false">_xlfn.IFS(G1393&lt;0,"1 Negative",G1393=0,"2 Zero",G1393&lt;=500,"3 1-500",G1393&lt;=2000,"4 501-2000",TRUE(),"5 Above 2000")</f>
        <v>3 1-500</v>
      </c>
      <c r="P1393" s="2" t="n">
        <f aca="false">Lookups!$B$2*M1393+Lookups!$B$3*L1393</f>
        <v>0</v>
      </c>
      <c r="Q1393" s="2" t="str">
        <f aca="false">INDEX(Lookups!$E$2:$E$5,MATCH(P1393,Lookups!$D$2:$D$5,0))</f>
        <v>Low</v>
      </c>
    </row>
    <row r="1394" customFormat="false" ht="15" hidden="false" customHeight="false" outlineLevel="0" collapsed="false">
      <c r="A1394" s="3" t="n">
        <v>1393</v>
      </c>
      <c r="B1394" s="3" t="n">
        <f aca="false">Raw_Data!A1394</f>
        <v>52</v>
      </c>
      <c r="C1394" s="3" t="str">
        <f aca="false">SUBSTITUTE(Raw_Data!B1394,".","")</f>
        <v>blue-collar</v>
      </c>
      <c r="D1394" s="3" t="str">
        <f aca="false">Raw_Data!C1394</f>
        <v>married</v>
      </c>
      <c r="E1394" s="3" t="str">
        <f aca="false">Raw_Data!D1394</f>
        <v>secondary</v>
      </c>
      <c r="F1394" s="3" t="str">
        <f aca="false">Raw_Data!E1394</f>
        <v>no</v>
      </c>
      <c r="G1394" s="3" t="n">
        <f aca="false">Raw_Data!F1394</f>
        <v>-98</v>
      </c>
      <c r="H1394" s="3" t="str">
        <f aca="false">Raw_Data!G1394</f>
        <v>yes</v>
      </c>
      <c r="I1394" s="3" t="str">
        <f aca="false">Raw_Data!H1394</f>
        <v>no</v>
      </c>
      <c r="J1394" s="2" t="n">
        <f aca="false">IF(F1394="yes",1,0)</f>
        <v>0</v>
      </c>
      <c r="K1394" s="2" t="n">
        <f aca="false">IF(H1394="yes",1,0)</f>
        <v>1</v>
      </c>
      <c r="L1394" s="2" t="n">
        <f aca="false">IF(I1394="yes",1,0)</f>
        <v>0</v>
      </c>
      <c r="M1394" s="2" t="n">
        <f aca="false">IF(G1394&lt;0,1,0)</f>
        <v>1</v>
      </c>
      <c r="N1394" s="2" t="str">
        <f aca="false">_xlfn.IFS(B1394&lt;30,"Under 30",B1394&lt;40,"30-39",B1394&lt;50,"40-49",B1394&lt;60,"50-59",TRUE(),"60+")</f>
        <v>50-59</v>
      </c>
      <c r="O1394" s="2" t="str">
        <f aca="false">_xlfn.IFS(G1394&lt;0,"1 Negative",G1394=0,"2 Zero",G1394&lt;=500,"3 1-500",G1394&lt;=2000,"4 501-2000",TRUE(),"5 Above 2000")</f>
        <v>1 Negative</v>
      </c>
      <c r="P1394" s="2" t="n">
        <f aca="false">Lookups!$B$2*M1394+Lookups!$B$3*L1394</f>
        <v>2</v>
      </c>
      <c r="Q1394" s="2" t="str">
        <f aca="false">INDEX(Lookups!$E$2:$E$5,MATCH(P1394,Lookups!$D$2:$D$5,0))</f>
        <v>High</v>
      </c>
    </row>
    <row r="1395" customFormat="false" ht="15" hidden="false" customHeight="false" outlineLevel="0" collapsed="false">
      <c r="A1395" s="3" t="n">
        <v>1394</v>
      </c>
      <c r="B1395" s="3" t="n">
        <f aca="false">Raw_Data!A1395</f>
        <v>55</v>
      </c>
      <c r="C1395" s="3" t="str">
        <f aca="false">SUBSTITUTE(Raw_Data!B1395,".","")</f>
        <v>retired</v>
      </c>
      <c r="D1395" s="3" t="str">
        <f aca="false">Raw_Data!C1395</f>
        <v>married</v>
      </c>
      <c r="E1395" s="3" t="str">
        <f aca="false">Raw_Data!D1395</f>
        <v>primary</v>
      </c>
      <c r="F1395" s="3" t="str">
        <f aca="false">Raw_Data!E1395</f>
        <v>no</v>
      </c>
      <c r="G1395" s="3" t="n">
        <f aca="false">Raw_Data!F1395</f>
        <v>4424</v>
      </c>
      <c r="H1395" s="3" t="str">
        <f aca="false">Raw_Data!G1395</f>
        <v>no</v>
      </c>
      <c r="I1395" s="3" t="str">
        <f aca="false">Raw_Data!H1395</f>
        <v>no</v>
      </c>
      <c r="J1395" s="2" t="n">
        <f aca="false">IF(F1395="yes",1,0)</f>
        <v>0</v>
      </c>
      <c r="K1395" s="2" t="n">
        <f aca="false">IF(H1395="yes",1,0)</f>
        <v>0</v>
      </c>
      <c r="L1395" s="2" t="n">
        <f aca="false">IF(I1395="yes",1,0)</f>
        <v>0</v>
      </c>
      <c r="M1395" s="2" t="n">
        <f aca="false">IF(G1395&lt;0,1,0)</f>
        <v>0</v>
      </c>
      <c r="N1395" s="2" t="str">
        <f aca="false">_xlfn.IFS(B1395&lt;30,"Under 30",B1395&lt;40,"30-39",B1395&lt;50,"40-49",B1395&lt;60,"50-59",TRUE(),"60+")</f>
        <v>50-59</v>
      </c>
      <c r="O1395" s="2" t="str">
        <f aca="false">_xlfn.IFS(G1395&lt;0,"1 Negative",G1395=0,"2 Zero",G1395&lt;=500,"3 1-500",G1395&lt;=2000,"4 501-2000",TRUE(),"5 Above 2000")</f>
        <v>5 Above 2000</v>
      </c>
      <c r="P1395" s="2" t="n">
        <f aca="false">Lookups!$B$2*M1395+Lookups!$B$3*L1395</f>
        <v>0</v>
      </c>
      <c r="Q1395" s="2" t="str">
        <f aca="false">INDEX(Lookups!$E$2:$E$5,MATCH(P1395,Lookups!$D$2:$D$5,0))</f>
        <v>Low</v>
      </c>
    </row>
    <row r="1396" customFormat="false" ht="15" hidden="false" customHeight="false" outlineLevel="0" collapsed="false">
      <c r="A1396" s="3" t="n">
        <v>1395</v>
      </c>
      <c r="B1396" s="3" t="n">
        <f aca="false">Raw_Data!A1396</f>
        <v>26</v>
      </c>
      <c r="C1396" s="3" t="str">
        <f aca="false">SUBSTITUTE(Raw_Data!B1396,".","")</f>
        <v>technician</v>
      </c>
      <c r="D1396" s="3" t="str">
        <f aca="false">Raw_Data!C1396</f>
        <v>single</v>
      </c>
      <c r="E1396" s="3" t="str">
        <f aca="false">Raw_Data!D1396</f>
        <v>secondary</v>
      </c>
      <c r="F1396" s="3" t="str">
        <f aca="false">Raw_Data!E1396</f>
        <v>no</v>
      </c>
      <c r="G1396" s="3" t="n">
        <f aca="false">Raw_Data!F1396</f>
        <v>2610</v>
      </c>
      <c r="H1396" s="3" t="str">
        <f aca="false">Raw_Data!G1396</f>
        <v>yes</v>
      </c>
      <c r="I1396" s="3" t="str">
        <f aca="false">Raw_Data!H1396</f>
        <v>yes</v>
      </c>
      <c r="J1396" s="2" t="n">
        <f aca="false">IF(F1396="yes",1,0)</f>
        <v>0</v>
      </c>
      <c r="K1396" s="2" t="n">
        <f aca="false">IF(H1396="yes",1,0)</f>
        <v>1</v>
      </c>
      <c r="L1396" s="2" t="n">
        <f aca="false">IF(I1396="yes",1,0)</f>
        <v>1</v>
      </c>
      <c r="M1396" s="2" t="n">
        <f aca="false">IF(G1396&lt;0,1,0)</f>
        <v>0</v>
      </c>
      <c r="N1396" s="2" t="str">
        <f aca="false">_xlfn.IFS(B1396&lt;30,"Under 30",B1396&lt;40,"30-39",B1396&lt;50,"40-49",B1396&lt;60,"50-59",TRUE(),"60+")</f>
        <v>Under 30</v>
      </c>
      <c r="O1396" s="2" t="str">
        <f aca="false">_xlfn.IFS(G1396&lt;0,"1 Negative",G1396=0,"2 Zero",G1396&lt;=500,"3 1-500",G1396&lt;=2000,"4 501-2000",TRUE(),"5 Above 2000")</f>
        <v>5 Above 2000</v>
      </c>
      <c r="P1396" s="2" t="n">
        <f aca="false">Lookups!$B$2*M1396+Lookups!$B$3*L1396</f>
        <v>1</v>
      </c>
      <c r="Q1396" s="2" t="str">
        <f aca="false">INDEX(Lookups!$E$2:$E$5,MATCH(P1396,Lookups!$D$2:$D$5,0))</f>
        <v>Medium</v>
      </c>
    </row>
    <row r="1397" customFormat="false" ht="15" hidden="false" customHeight="false" outlineLevel="0" collapsed="false">
      <c r="A1397" s="3" t="n">
        <v>1396</v>
      </c>
      <c r="B1397" s="3" t="n">
        <f aca="false">Raw_Data!A1397</f>
        <v>38</v>
      </c>
      <c r="C1397" s="3" t="str">
        <f aca="false">SUBSTITUTE(Raw_Data!B1397,".","")</f>
        <v>technician</v>
      </c>
      <c r="D1397" s="3" t="str">
        <f aca="false">Raw_Data!C1397</f>
        <v>married</v>
      </c>
      <c r="E1397" s="3" t="str">
        <f aca="false">Raw_Data!D1397</f>
        <v>tertiary</v>
      </c>
      <c r="F1397" s="3" t="str">
        <f aca="false">Raw_Data!E1397</f>
        <v>no</v>
      </c>
      <c r="G1397" s="3" t="n">
        <f aca="false">Raw_Data!F1397</f>
        <v>3234</v>
      </c>
      <c r="H1397" s="3" t="str">
        <f aca="false">Raw_Data!G1397</f>
        <v>no</v>
      </c>
      <c r="I1397" s="3" t="str">
        <f aca="false">Raw_Data!H1397</f>
        <v>no</v>
      </c>
      <c r="J1397" s="2" t="n">
        <f aca="false">IF(F1397="yes",1,0)</f>
        <v>0</v>
      </c>
      <c r="K1397" s="2" t="n">
        <f aca="false">IF(H1397="yes",1,0)</f>
        <v>0</v>
      </c>
      <c r="L1397" s="2" t="n">
        <f aca="false">IF(I1397="yes",1,0)</f>
        <v>0</v>
      </c>
      <c r="M1397" s="2" t="n">
        <f aca="false">IF(G1397&lt;0,1,0)</f>
        <v>0</v>
      </c>
      <c r="N1397" s="2" t="str">
        <f aca="false">_xlfn.IFS(B1397&lt;30,"Under 30",B1397&lt;40,"30-39",B1397&lt;50,"40-49",B1397&lt;60,"50-59",TRUE(),"60+")</f>
        <v>30-39</v>
      </c>
      <c r="O1397" s="2" t="str">
        <f aca="false">_xlfn.IFS(G1397&lt;0,"1 Negative",G1397=0,"2 Zero",G1397&lt;=500,"3 1-500",G1397&lt;=2000,"4 501-2000",TRUE(),"5 Above 2000")</f>
        <v>5 Above 2000</v>
      </c>
      <c r="P1397" s="2" t="n">
        <f aca="false">Lookups!$B$2*M1397+Lookups!$B$3*L1397</f>
        <v>0</v>
      </c>
      <c r="Q1397" s="2" t="str">
        <f aca="false">INDEX(Lookups!$E$2:$E$5,MATCH(P1397,Lookups!$D$2:$D$5,0))</f>
        <v>Low</v>
      </c>
    </row>
    <row r="1398" customFormat="false" ht="15" hidden="false" customHeight="false" outlineLevel="0" collapsed="false">
      <c r="A1398" s="3" t="n">
        <v>1397</v>
      </c>
      <c r="B1398" s="3" t="n">
        <f aca="false">Raw_Data!A1398</f>
        <v>32</v>
      </c>
      <c r="C1398" s="3" t="str">
        <f aca="false">SUBSTITUTE(Raw_Data!B1398,".","")</f>
        <v>blue-collar</v>
      </c>
      <c r="D1398" s="3" t="str">
        <f aca="false">Raw_Data!C1398</f>
        <v>married</v>
      </c>
      <c r="E1398" s="3" t="str">
        <f aca="false">Raw_Data!D1398</f>
        <v>secondary</v>
      </c>
      <c r="F1398" s="3" t="str">
        <f aca="false">Raw_Data!E1398</f>
        <v>no</v>
      </c>
      <c r="G1398" s="3" t="n">
        <f aca="false">Raw_Data!F1398</f>
        <v>687</v>
      </c>
      <c r="H1398" s="3" t="str">
        <f aca="false">Raw_Data!G1398</f>
        <v>yes</v>
      </c>
      <c r="I1398" s="3" t="str">
        <f aca="false">Raw_Data!H1398</f>
        <v>no</v>
      </c>
      <c r="J1398" s="2" t="n">
        <f aca="false">IF(F1398="yes",1,0)</f>
        <v>0</v>
      </c>
      <c r="K1398" s="2" t="n">
        <f aca="false">IF(H1398="yes",1,0)</f>
        <v>1</v>
      </c>
      <c r="L1398" s="2" t="n">
        <f aca="false">IF(I1398="yes",1,0)</f>
        <v>0</v>
      </c>
      <c r="M1398" s="2" t="n">
        <f aca="false">IF(G1398&lt;0,1,0)</f>
        <v>0</v>
      </c>
      <c r="N1398" s="2" t="str">
        <f aca="false">_xlfn.IFS(B1398&lt;30,"Under 30",B1398&lt;40,"30-39",B1398&lt;50,"40-49",B1398&lt;60,"50-59",TRUE(),"60+")</f>
        <v>30-39</v>
      </c>
      <c r="O1398" s="2" t="str">
        <f aca="false">_xlfn.IFS(G1398&lt;0,"1 Negative",G1398=0,"2 Zero",G1398&lt;=500,"3 1-500",G1398&lt;=2000,"4 501-2000",TRUE(),"5 Above 2000")</f>
        <v>4 501-2000</v>
      </c>
      <c r="P1398" s="2" t="n">
        <f aca="false">Lookups!$B$2*M1398+Lookups!$B$3*L1398</f>
        <v>0</v>
      </c>
      <c r="Q1398" s="2" t="str">
        <f aca="false">INDEX(Lookups!$E$2:$E$5,MATCH(P1398,Lookups!$D$2:$D$5,0))</f>
        <v>Low</v>
      </c>
    </row>
    <row r="1399" customFormat="false" ht="15" hidden="false" customHeight="false" outlineLevel="0" collapsed="false">
      <c r="A1399" s="3" t="n">
        <v>1398</v>
      </c>
      <c r="B1399" s="3" t="n">
        <f aca="false">Raw_Data!A1399</f>
        <v>31</v>
      </c>
      <c r="C1399" s="3" t="str">
        <f aca="false">SUBSTITUTE(Raw_Data!B1399,".","")</f>
        <v>blue-collar</v>
      </c>
      <c r="D1399" s="3" t="str">
        <f aca="false">Raw_Data!C1399</f>
        <v>married</v>
      </c>
      <c r="E1399" s="3" t="str">
        <f aca="false">Raw_Data!D1399</f>
        <v>secondary</v>
      </c>
      <c r="F1399" s="3" t="str">
        <f aca="false">Raw_Data!E1399</f>
        <v>no</v>
      </c>
      <c r="G1399" s="3" t="n">
        <f aca="false">Raw_Data!F1399</f>
        <v>631</v>
      </c>
      <c r="H1399" s="3" t="str">
        <f aca="false">Raw_Data!G1399</f>
        <v>yes</v>
      </c>
      <c r="I1399" s="3" t="str">
        <f aca="false">Raw_Data!H1399</f>
        <v>no</v>
      </c>
      <c r="J1399" s="2" t="n">
        <f aca="false">IF(F1399="yes",1,0)</f>
        <v>0</v>
      </c>
      <c r="K1399" s="2" t="n">
        <f aca="false">IF(H1399="yes",1,0)</f>
        <v>1</v>
      </c>
      <c r="L1399" s="2" t="n">
        <f aca="false">IF(I1399="yes",1,0)</f>
        <v>0</v>
      </c>
      <c r="M1399" s="2" t="n">
        <f aca="false">IF(G1399&lt;0,1,0)</f>
        <v>0</v>
      </c>
      <c r="N1399" s="2" t="str">
        <f aca="false">_xlfn.IFS(B1399&lt;30,"Under 30",B1399&lt;40,"30-39",B1399&lt;50,"40-49",B1399&lt;60,"50-59",TRUE(),"60+")</f>
        <v>30-39</v>
      </c>
      <c r="O1399" s="2" t="str">
        <f aca="false">_xlfn.IFS(G1399&lt;0,"1 Negative",G1399=0,"2 Zero",G1399&lt;=500,"3 1-500",G1399&lt;=2000,"4 501-2000",TRUE(),"5 Above 2000")</f>
        <v>4 501-2000</v>
      </c>
      <c r="P1399" s="2" t="n">
        <f aca="false">Lookups!$B$2*M1399+Lookups!$B$3*L1399</f>
        <v>0</v>
      </c>
      <c r="Q1399" s="2" t="str">
        <f aca="false">INDEX(Lookups!$E$2:$E$5,MATCH(P1399,Lookups!$D$2:$D$5,0))</f>
        <v>Low</v>
      </c>
    </row>
    <row r="1400" customFormat="false" ht="15" hidden="false" customHeight="false" outlineLevel="0" collapsed="false">
      <c r="A1400" s="3" t="n">
        <v>1399</v>
      </c>
      <c r="B1400" s="3" t="n">
        <f aca="false">Raw_Data!A1400</f>
        <v>34</v>
      </c>
      <c r="C1400" s="3" t="str">
        <f aca="false">SUBSTITUTE(Raw_Data!B1400,".","")</f>
        <v>technician</v>
      </c>
      <c r="D1400" s="3" t="str">
        <f aca="false">Raw_Data!C1400</f>
        <v>single</v>
      </c>
      <c r="E1400" s="3" t="str">
        <f aca="false">Raw_Data!D1400</f>
        <v>secondary</v>
      </c>
      <c r="F1400" s="3" t="str">
        <f aca="false">Raw_Data!E1400</f>
        <v>no</v>
      </c>
      <c r="G1400" s="3" t="n">
        <f aca="false">Raw_Data!F1400</f>
        <v>341</v>
      </c>
      <c r="H1400" s="3" t="str">
        <f aca="false">Raw_Data!G1400</f>
        <v>no</v>
      </c>
      <c r="I1400" s="3" t="str">
        <f aca="false">Raw_Data!H1400</f>
        <v>yes</v>
      </c>
      <c r="J1400" s="2" t="n">
        <f aca="false">IF(F1400="yes",1,0)</f>
        <v>0</v>
      </c>
      <c r="K1400" s="2" t="n">
        <f aca="false">IF(H1400="yes",1,0)</f>
        <v>0</v>
      </c>
      <c r="L1400" s="2" t="n">
        <f aca="false">IF(I1400="yes",1,0)</f>
        <v>1</v>
      </c>
      <c r="M1400" s="2" t="n">
        <f aca="false">IF(G1400&lt;0,1,0)</f>
        <v>0</v>
      </c>
      <c r="N1400" s="2" t="str">
        <f aca="false">_xlfn.IFS(B1400&lt;30,"Under 30",B1400&lt;40,"30-39",B1400&lt;50,"40-49",B1400&lt;60,"50-59",TRUE(),"60+")</f>
        <v>30-39</v>
      </c>
      <c r="O1400" s="2" t="str">
        <f aca="false">_xlfn.IFS(G1400&lt;0,"1 Negative",G1400=0,"2 Zero",G1400&lt;=500,"3 1-500",G1400&lt;=2000,"4 501-2000",TRUE(),"5 Above 2000")</f>
        <v>3 1-500</v>
      </c>
      <c r="P1400" s="2" t="n">
        <f aca="false">Lookups!$B$2*M1400+Lookups!$B$3*L1400</f>
        <v>1</v>
      </c>
      <c r="Q1400" s="2" t="str">
        <f aca="false">INDEX(Lookups!$E$2:$E$5,MATCH(P1400,Lookups!$D$2:$D$5,0))</f>
        <v>Medium</v>
      </c>
    </row>
    <row r="1401" customFormat="false" ht="15" hidden="false" customHeight="false" outlineLevel="0" collapsed="false">
      <c r="A1401" s="3" t="n">
        <v>1400</v>
      </c>
      <c r="B1401" s="3" t="n">
        <f aca="false">Raw_Data!A1401</f>
        <v>33</v>
      </c>
      <c r="C1401" s="3" t="str">
        <f aca="false">SUBSTITUTE(Raw_Data!B1401,".","")</f>
        <v>technician</v>
      </c>
      <c r="D1401" s="3" t="str">
        <f aca="false">Raw_Data!C1401</f>
        <v>single</v>
      </c>
      <c r="E1401" s="3" t="str">
        <f aca="false">Raw_Data!D1401</f>
        <v>tertiary</v>
      </c>
      <c r="F1401" s="3" t="str">
        <f aca="false">Raw_Data!E1401</f>
        <v>no</v>
      </c>
      <c r="G1401" s="3" t="n">
        <f aca="false">Raw_Data!F1401</f>
        <v>316</v>
      </c>
      <c r="H1401" s="3" t="str">
        <f aca="false">Raw_Data!G1401</f>
        <v>no</v>
      </c>
      <c r="I1401" s="3" t="str">
        <f aca="false">Raw_Data!H1401</f>
        <v>no</v>
      </c>
      <c r="J1401" s="2" t="n">
        <f aca="false">IF(F1401="yes",1,0)</f>
        <v>0</v>
      </c>
      <c r="K1401" s="2" t="n">
        <f aca="false">IF(H1401="yes",1,0)</f>
        <v>0</v>
      </c>
      <c r="L1401" s="2" t="n">
        <f aca="false">IF(I1401="yes",1,0)</f>
        <v>0</v>
      </c>
      <c r="M1401" s="2" t="n">
        <f aca="false">IF(G1401&lt;0,1,0)</f>
        <v>0</v>
      </c>
      <c r="N1401" s="2" t="str">
        <f aca="false">_xlfn.IFS(B1401&lt;30,"Under 30",B1401&lt;40,"30-39",B1401&lt;50,"40-49",B1401&lt;60,"50-59",TRUE(),"60+")</f>
        <v>30-39</v>
      </c>
      <c r="O1401" s="2" t="str">
        <f aca="false">_xlfn.IFS(G1401&lt;0,"1 Negative",G1401=0,"2 Zero",G1401&lt;=500,"3 1-500",G1401&lt;=2000,"4 501-2000",TRUE(),"5 Above 2000")</f>
        <v>3 1-500</v>
      </c>
      <c r="P1401" s="2" t="n">
        <f aca="false">Lookups!$B$2*M1401+Lookups!$B$3*L1401</f>
        <v>0</v>
      </c>
      <c r="Q1401" s="2" t="str">
        <f aca="false">INDEX(Lookups!$E$2:$E$5,MATCH(P1401,Lookups!$D$2:$D$5,0))</f>
        <v>Low</v>
      </c>
    </row>
    <row r="1402" customFormat="false" ht="15" hidden="false" customHeight="false" outlineLevel="0" collapsed="false">
      <c r="A1402" s="3" t="n">
        <v>1401</v>
      </c>
      <c r="B1402" s="3" t="n">
        <f aca="false">Raw_Data!A1402</f>
        <v>35</v>
      </c>
      <c r="C1402" s="3" t="str">
        <f aca="false">SUBSTITUTE(Raw_Data!B1402,".","")</f>
        <v>technician</v>
      </c>
      <c r="D1402" s="3" t="str">
        <f aca="false">Raw_Data!C1402</f>
        <v>married</v>
      </c>
      <c r="E1402" s="3" t="str">
        <f aca="false">Raw_Data!D1402</f>
        <v>secondary</v>
      </c>
      <c r="F1402" s="3" t="str">
        <f aca="false">Raw_Data!E1402</f>
        <v>no</v>
      </c>
      <c r="G1402" s="3" t="n">
        <f aca="false">Raw_Data!F1402</f>
        <v>2</v>
      </c>
      <c r="H1402" s="3" t="str">
        <f aca="false">Raw_Data!G1402</f>
        <v>no</v>
      </c>
      <c r="I1402" s="3" t="str">
        <f aca="false">Raw_Data!H1402</f>
        <v>no</v>
      </c>
      <c r="J1402" s="2" t="n">
        <f aca="false">IF(F1402="yes",1,0)</f>
        <v>0</v>
      </c>
      <c r="K1402" s="2" t="n">
        <f aca="false">IF(H1402="yes",1,0)</f>
        <v>0</v>
      </c>
      <c r="L1402" s="2" t="n">
        <f aca="false">IF(I1402="yes",1,0)</f>
        <v>0</v>
      </c>
      <c r="M1402" s="2" t="n">
        <f aca="false">IF(G1402&lt;0,1,0)</f>
        <v>0</v>
      </c>
      <c r="N1402" s="2" t="str">
        <f aca="false">_xlfn.IFS(B1402&lt;30,"Under 30",B1402&lt;40,"30-39",B1402&lt;50,"40-49",B1402&lt;60,"50-59",TRUE(),"60+")</f>
        <v>30-39</v>
      </c>
      <c r="O1402" s="2" t="str">
        <f aca="false">_xlfn.IFS(G1402&lt;0,"1 Negative",G1402=0,"2 Zero",G1402&lt;=500,"3 1-500",G1402&lt;=2000,"4 501-2000",TRUE(),"5 Above 2000")</f>
        <v>3 1-500</v>
      </c>
      <c r="P1402" s="2" t="n">
        <f aca="false">Lookups!$B$2*M1402+Lookups!$B$3*L1402</f>
        <v>0</v>
      </c>
      <c r="Q1402" s="2" t="str">
        <f aca="false">INDEX(Lookups!$E$2:$E$5,MATCH(P1402,Lookups!$D$2:$D$5,0))</f>
        <v>Low</v>
      </c>
    </row>
    <row r="1403" customFormat="false" ht="15" hidden="false" customHeight="false" outlineLevel="0" collapsed="false">
      <c r="A1403" s="3" t="n">
        <v>1402</v>
      </c>
      <c r="B1403" s="3" t="n">
        <f aca="false">Raw_Data!A1403</f>
        <v>44</v>
      </c>
      <c r="C1403" s="3" t="str">
        <f aca="false">SUBSTITUTE(Raw_Data!B1403,".","")</f>
        <v>management</v>
      </c>
      <c r="D1403" s="3" t="str">
        <f aca="false">Raw_Data!C1403</f>
        <v>married</v>
      </c>
      <c r="E1403" s="3" t="str">
        <f aca="false">Raw_Data!D1403</f>
        <v>unknown</v>
      </c>
      <c r="F1403" s="3" t="str">
        <f aca="false">Raw_Data!E1403</f>
        <v>no</v>
      </c>
      <c r="G1403" s="3" t="n">
        <f aca="false">Raw_Data!F1403</f>
        <v>415</v>
      </c>
      <c r="H1403" s="3" t="str">
        <f aca="false">Raw_Data!G1403</f>
        <v>yes</v>
      </c>
      <c r="I1403" s="3" t="str">
        <f aca="false">Raw_Data!H1403</f>
        <v>no</v>
      </c>
      <c r="J1403" s="2" t="n">
        <f aca="false">IF(F1403="yes",1,0)</f>
        <v>0</v>
      </c>
      <c r="K1403" s="2" t="n">
        <f aca="false">IF(H1403="yes",1,0)</f>
        <v>1</v>
      </c>
      <c r="L1403" s="2" t="n">
        <f aca="false">IF(I1403="yes",1,0)</f>
        <v>0</v>
      </c>
      <c r="M1403" s="2" t="n">
        <f aca="false">IF(G1403&lt;0,1,0)</f>
        <v>0</v>
      </c>
      <c r="N1403" s="2" t="str">
        <f aca="false">_xlfn.IFS(B1403&lt;30,"Under 30",B1403&lt;40,"30-39",B1403&lt;50,"40-49",B1403&lt;60,"50-59",TRUE(),"60+")</f>
        <v>40-49</v>
      </c>
      <c r="O1403" s="2" t="str">
        <f aca="false">_xlfn.IFS(G1403&lt;0,"1 Negative",G1403=0,"2 Zero",G1403&lt;=500,"3 1-500",G1403&lt;=2000,"4 501-2000",TRUE(),"5 Above 2000")</f>
        <v>3 1-500</v>
      </c>
      <c r="P1403" s="2" t="n">
        <f aca="false">Lookups!$B$2*M1403+Lookups!$B$3*L1403</f>
        <v>0</v>
      </c>
      <c r="Q1403" s="2" t="str">
        <f aca="false">INDEX(Lookups!$E$2:$E$5,MATCH(P1403,Lookups!$D$2:$D$5,0))</f>
        <v>Low</v>
      </c>
    </row>
    <row r="1404" customFormat="false" ht="15" hidden="false" customHeight="false" outlineLevel="0" collapsed="false">
      <c r="A1404" s="3" t="n">
        <v>1403</v>
      </c>
      <c r="B1404" s="3" t="n">
        <f aca="false">Raw_Data!A1404</f>
        <v>48</v>
      </c>
      <c r="C1404" s="3" t="str">
        <f aca="false">SUBSTITUTE(Raw_Data!B1404,".","")</f>
        <v>management</v>
      </c>
      <c r="D1404" s="3" t="str">
        <f aca="false">Raw_Data!C1404</f>
        <v>divorced</v>
      </c>
      <c r="E1404" s="3" t="str">
        <f aca="false">Raw_Data!D1404</f>
        <v>tertiary</v>
      </c>
      <c r="F1404" s="3" t="str">
        <f aca="false">Raw_Data!E1404</f>
        <v>no</v>
      </c>
      <c r="G1404" s="3" t="n">
        <f aca="false">Raw_Data!F1404</f>
        <v>507</v>
      </c>
      <c r="H1404" s="3" t="str">
        <f aca="false">Raw_Data!G1404</f>
        <v>yes</v>
      </c>
      <c r="I1404" s="3" t="str">
        <f aca="false">Raw_Data!H1404</f>
        <v>no</v>
      </c>
      <c r="J1404" s="2" t="n">
        <f aca="false">IF(F1404="yes",1,0)</f>
        <v>0</v>
      </c>
      <c r="K1404" s="2" t="n">
        <f aca="false">IF(H1404="yes",1,0)</f>
        <v>1</v>
      </c>
      <c r="L1404" s="2" t="n">
        <f aca="false">IF(I1404="yes",1,0)</f>
        <v>0</v>
      </c>
      <c r="M1404" s="2" t="n">
        <f aca="false">IF(G1404&lt;0,1,0)</f>
        <v>0</v>
      </c>
      <c r="N1404" s="2" t="str">
        <f aca="false">_xlfn.IFS(B1404&lt;30,"Under 30",B1404&lt;40,"30-39",B1404&lt;50,"40-49",B1404&lt;60,"50-59",TRUE(),"60+")</f>
        <v>40-49</v>
      </c>
      <c r="O1404" s="2" t="str">
        <f aca="false">_xlfn.IFS(G1404&lt;0,"1 Negative",G1404=0,"2 Zero",G1404&lt;=500,"3 1-500",G1404&lt;=2000,"4 501-2000",TRUE(),"5 Above 2000")</f>
        <v>4 501-2000</v>
      </c>
      <c r="P1404" s="2" t="n">
        <f aca="false">Lookups!$B$2*M1404+Lookups!$B$3*L1404</f>
        <v>0</v>
      </c>
      <c r="Q1404" s="2" t="str">
        <f aca="false">INDEX(Lookups!$E$2:$E$5,MATCH(P1404,Lookups!$D$2:$D$5,0))</f>
        <v>Low</v>
      </c>
    </row>
    <row r="1405" customFormat="false" ht="15" hidden="false" customHeight="false" outlineLevel="0" collapsed="false">
      <c r="A1405" s="3" t="n">
        <v>1404</v>
      </c>
      <c r="B1405" s="3" t="n">
        <f aca="false">Raw_Data!A1405</f>
        <v>29</v>
      </c>
      <c r="C1405" s="3" t="str">
        <f aca="false">SUBSTITUTE(Raw_Data!B1405,".","")</f>
        <v>blue-collar</v>
      </c>
      <c r="D1405" s="3" t="str">
        <f aca="false">Raw_Data!C1405</f>
        <v>married</v>
      </c>
      <c r="E1405" s="3" t="str">
        <f aca="false">Raw_Data!D1405</f>
        <v>secondary</v>
      </c>
      <c r="F1405" s="3" t="str">
        <f aca="false">Raw_Data!E1405</f>
        <v>no</v>
      </c>
      <c r="G1405" s="3" t="n">
        <f aca="false">Raw_Data!F1405</f>
        <v>912</v>
      </c>
      <c r="H1405" s="3" t="str">
        <f aca="false">Raw_Data!G1405</f>
        <v>yes</v>
      </c>
      <c r="I1405" s="3" t="str">
        <f aca="false">Raw_Data!H1405</f>
        <v>no</v>
      </c>
      <c r="J1405" s="2" t="n">
        <f aca="false">IF(F1405="yes",1,0)</f>
        <v>0</v>
      </c>
      <c r="K1405" s="2" t="n">
        <f aca="false">IF(H1405="yes",1,0)</f>
        <v>1</v>
      </c>
      <c r="L1405" s="2" t="n">
        <f aca="false">IF(I1405="yes",1,0)</f>
        <v>0</v>
      </c>
      <c r="M1405" s="2" t="n">
        <f aca="false">IF(G1405&lt;0,1,0)</f>
        <v>0</v>
      </c>
      <c r="N1405" s="2" t="str">
        <f aca="false">_xlfn.IFS(B1405&lt;30,"Under 30",B1405&lt;40,"30-39",B1405&lt;50,"40-49",B1405&lt;60,"50-59",TRUE(),"60+")</f>
        <v>Under 30</v>
      </c>
      <c r="O1405" s="2" t="str">
        <f aca="false">_xlfn.IFS(G1405&lt;0,"1 Negative",G1405=0,"2 Zero",G1405&lt;=500,"3 1-500",G1405&lt;=2000,"4 501-2000",TRUE(),"5 Above 2000")</f>
        <v>4 501-2000</v>
      </c>
      <c r="P1405" s="2" t="n">
        <f aca="false">Lookups!$B$2*M1405+Lookups!$B$3*L1405</f>
        <v>0</v>
      </c>
      <c r="Q1405" s="2" t="str">
        <f aca="false">INDEX(Lookups!$E$2:$E$5,MATCH(P1405,Lookups!$D$2:$D$5,0))</f>
        <v>Low</v>
      </c>
    </row>
    <row r="1406" customFormat="false" ht="15" hidden="false" customHeight="false" outlineLevel="0" collapsed="false">
      <c r="A1406" s="3" t="n">
        <v>1405</v>
      </c>
      <c r="B1406" s="3" t="n">
        <f aca="false">Raw_Data!A1406</f>
        <v>50</v>
      </c>
      <c r="C1406" s="3" t="str">
        <f aca="false">SUBSTITUTE(Raw_Data!B1406,".","")</f>
        <v>management</v>
      </c>
      <c r="D1406" s="3" t="str">
        <f aca="false">Raw_Data!C1406</f>
        <v>married</v>
      </c>
      <c r="E1406" s="3" t="str">
        <f aca="false">Raw_Data!D1406</f>
        <v>tertiary</v>
      </c>
      <c r="F1406" s="3" t="str">
        <f aca="false">Raw_Data!E1406</f>
        <v>no</v>
      </c>
      <c r="G1406" s="3" t="n">
        <f aca="false">Raw_Data!F1406</f>
        <v>0</v>
      </c>
      <c r="H1406" s="3" t="str">
        <f aca="false">Raw_Data!G1406</f>
        <v>no</v>
      </c>
      <c r="I1406" s="3" t="str">
        <f aca="false">Raw_Data!H1406</f>
        <v>no</v>
      </c>
      <c r="J1406" s="2" t="n">
        <f aca="false">IF(F1406="yes",1,0)</f>
        <v>0</v>
      </c>
      <c r="K1406" s="2" t="n">
        <f aca="false">IF(H1406="yes",1,0)</f>
        <v>0</v>
      </c>
      <c r="L1406" s="2" t="n">
        <f aca="false">IF(I1406="yes",1,0)</f>
        <v>0</v>
      </c>
      <c r="M1406" s="2" t="n">
        <f aca="false">IF(G1406&lt;0,1,0)</f>
        <v>0</v>
      </c>
      <c r="N1406" s="2" t="str">
        <f aca="false">_xlfn.IFS(B1406&lt;30,"Under 30",B1406&lt;40,"30-39",B1406&lt;50,"40-49",B1406&lt;60,"50-59",TRUE(),"60+")</f>
        <v>50-59</v>
      </c>
      <c r="O1406" s="2" t="str">
        <f aca="false">_xlfn.IFS(G1406&lt;0,"1 Negative",G1406=0,"2 Zero",G1406&lt;=500,"3 1-500",G1406&lt;=2000,"4 501-2000",TRUE(),"5 Above 2000")</f>
        <v>2 Zero</v>
      </c>
      <c r="P1406" s="2" t="n">
        <f aca="false">Lookups!$B$2*M1406+Lookups!$B$3*L1406</f>
        <v>0</v>
      </c>
      <c r="Q1406" s="2" t="str">
        <f aca="false">INDEX(Lookups!$E$2:$E$5,MATCH(P1406,Lookups!$D$2:$D$5,0))</f>
        <v>Low</v>
      </c>
    </row>
    <row r="1407" customFormat="false" ht="15" hidden="false" customHeight="false" outlineLevel="0" collapsed="false">
      <c r="A1407" s="3" t="n">
        <v>1406</v>
      </c>
      <c r="B1407" s="3" t="n">
        <f aca="false">Raw_Data!A1407</f>
        <v>37</v>
      </c>
      <c r="C1407" s="3" t="str">
        <f aca="false">SUBSTITUTE(Raw_Data!B1407,".","")</f>
        <v>blue-collar</v>
      </c>
      <c r="D1407" s="3" t="str">
        <f aca="false">Raw_Data!C1407</f>
        <v>married</v>
      </c>
      <c r="E1407" s="3" t="str">
        <f aca="false">Raw_Data!D1407</f>
        <v>primary</v>
      </c>
      <c r="F1407" s="3" t="str">
        <f aca="false">Raw_Data!E1407</f>
        <v>no</v>
      </c>
      <c r="G1407" s="3" t="n">
        <f aca="false">Raw_Data!F1407</f>
        <v>37</v>
      </c>
      <c r="H1407" s="3" t="str">
        <f aca="false">Raw_Data!G1407</f>
        <v>yes</v>
      </c>
      <c r="I1407" s="3" t="str">
        <f aca="false">Raw_Data!H1407</f>
        <v>no</v>
      </c>
      <c r="J1407" s="2" t="n">
        <f aca="false">IF(F1407="yes",1,0)</f>
        <v>0</v>
      </c>
      <c r="K1407" s="2" t="n">
        <f aca="false">IF(H1407="yes",1,0)</f>
        <v>1</v>
      </c>
      <c r="L1407" s="2" t="n">
        <f aca="false">IF(I1407="yes",1,0)</f>
        <v>0</v>
      </c>
      <c r="M1407" s="2" t="n">
        <f aca="false">IF(G1407&lt;0,1,0)</f>
        <v>0</v>
      </c>
      <c r="N1407" s="2" t="str">
        <f aca="false">_xlfn.IFS(B1407&lt;30,"Under 30",B1407&lt;40,"30-39",B1407&lt;50,"40-49",B1407&lt;60,"50-59",TRUE(),"60+")</f>
        <v>30-39</v>
      </c>
      <c r="O1407" s="2" t="str">
        <f aca="false">_xlfn.IFS(G1407&lt;0,"1 Negative",G1407=0,"2 Zero",G1407&lt;=500,"3 1-500",G1407&lt;=2000,"4 501-2000",TRUE(),"5 Above 2000")</f>
        <v>3 1-500</v>
      </c>
      <c r="P1407" s="2" t="n">
        <f aca="false">Lookups!$B$2*M1407+Lookups!$B$3*L1407</f>
        <v>0</v>
      </c>
      <c r="Q1407" s="2" t="str">
        <f aca="false">INDEX(Lookups!$E$2:$E$5,MATCH(P1407,Lookups!$D$2:$D$5,0))</f>
        <v>Low</v>
      </c>
    </row>
    <row r="1408" customFormat="false" ht="15" hidden="false" customHeight="false" outlineLevel="0" collapsed="false">
      <c r="A1408" s="3" t="n">
        <v>1407</v>
      </c>
      <c r="B1408" s="3" t="n">
        <f aca="false">Raw_Data!A1408</f>
        <v>44</v>
      </c>
      <c r="C1408" s="3" t="str">
        <f aca="false">SUBSTITUTE(Raw_Data!B1408,".","")</f>
        <v>admin</v>
      </c>
      <c r="D1408" s="3" t="str">
        <f aca="false">Raw_Data!C1408</f>
        <v>single</v>
      </c>
      <c r="E1408" s="3" t="str">
        <f aca="false">Raw_Data!D1408</f>
        <v>secondary</v>
      </c>
      <c r="F1408" s="3" t="str">
        <f aca="false">Raw_Data!E1408</f>
        <v>no</v>
      </c>
      <c r="G1408" s="3" t="n">
        <f aca="false">Raw_Data!F1408</f>
        <v>2524</v>
      </c>
      <c r="H1408" s="3" t="str">
        <f aca="false">Raw_Data!G1408</f>
        <v>no</v>
      </c>
      <c r="I1408" s="3" t="str">
        <f aca="false">Raw_Data!H1408</f>
        <v>no</v>
      </c>
      <c r="J1408" s="2" t="n">
        <f aca="false">IF(F1408="yes",1,0)</f>
        <v>0</v>
      </c>
      <c r="K1408" s="2" t="n">
        <f aca="false">IF(H1408="yes",1,0)</f>
        <v>0</v>
      </c>
      <c r="L1408" s="2" t="n">
        <f aca="false">IF(I1408="yes",1,0)</f>
        <v>0</v>
      </c>
      <c r="M1408" s="2" t="n">
        <f aca="false">IF(G1408&lt;0,1,0)</f>
        <v>0</v>
      </c>
      <c r="N1408" s="2" t="str">
        <f aca="false">_xlfn.IFS(B1408&lt;30,"Under 30",B1408&lt;40,"30-39",B1408&lt;50,"40-49",B1408&lt;60,"50-59",TRUE(),"60+")</f>
        <v>40-49</v>
      </c>
      <c r="O1408" s="2" t="str">
        <f aca="false">_xlfn.IFS(G1408&lt;0,"1 Negative",G1408=0,"2 Zero",G1408&lt;=500,"3 1-500",G1408&lt;=2000,"4 501-2000",TRUE(),"5 Above 2000")</f>
        <v>5 Above 2000</v>
      </c>
      <c r="P1408" s="2" t="n">
        <f aca="false">Lookups!$B$2*M1408+Lookups!$B$3*L1408</f>
        <v>0</v>
      </c>
      <c r="Q1408" s="2" t="str">
        <f aca="false">INDEX(Lookups!$E$2:$E$5,MATCH(P1408,Lookups!$D$2:$D$5,0))</f>
        <v>Low</v>
      </c>
    </row>
    <row r="1409" customFormat="false" ht="15" hidden="false" customHeight="false" outlineLevel="0" collapsed="false">
      <c r="A1409" s="3" t="n">
        <v>1408</v>
      </c>
      <c r="B1409" s="3" t="n">
        <f aca="false">Raw_Data!A1409</f>
        <v>36</v>
      </c>
      <c r="C1409" s="3" t="str">
        <f aca="false">SUBSTITUTE(Raw_Data!B1409,".","")</f>
        <v>unemployed</v>
      </c>
      <c r="D1409" s="3" t="str">
        <f aca="false">Raw_Data!C1409</f>
        <v>single</v>
      </c>
      <c r="E1409" s="3" t="str">
        <f aca="false">Raw_Data!D1409</f>
        <v>tertiary</v>
      </c>
      <c r="F1409" s="3" t="str">
        <f aca="false">Raw_Data!E1409</f>
        <v>no</v>
      </c>
      <c r="G1409" s="3" t="n">
        <f aca="false">Raw_Data!F1409</f>
        <v>9019</v>
      </c>
      <c r="H1409" s="3" t="str">
        <f aca="false">Raw_Data!G1409</f>
        <v>yes</v>
      </c>
      <c r="I1409" s="3" t="str">
        <f aca="false">Raw_Data!H1409</f>
        <v>no</v>
      </c>
      <c r="J1409" s="2" t="n">
        <f aca="false">IF(F1409="yes",1,0)</f>
        <v>0</v>
      </c>
      <c r="K1409" s="2" t="n">
        <f aca="false">IF(H1409="yes",1,0)</f>
        <v>1</v>
      </c>
      <c r="L1409" s="2" t="n">
        <f aca="false">IF(I1409="yes",1,0)</f>
        <v>0</v>
      </c>
      <c r="M1409" s="2" t="n">
        <f aca="false">IF(G1409&lt;0,1,0)</f>
        <v>0</v>
      </c>
      <c r="N1409" s="2" t="str">
        <f aca="false">_xlfn.IFS(B1409&lt;30,"Under 30",B1409&lt;40,"30-39",B1409&lt;50,"40-49",B1409&lt;60,"50-59",TRUE(),"60+")</f>
        <v>30-39</v>
      </c>
      <c r="O1409" s="2" t="str">
        <f aca="false">_xlfn.IFS(G1409&lt;0,"1 Negative",G1409=0,"2 Zero",G1409&lt;=500,"3 1-500",G1409&lt;=2000,"4 501-2000",TRUE(),"5 Above 2000")</f>
        <v>5 Above 2000</v>
      </c>
      <c r="P1409" s="2" t="n">
        <f aca="false">Lookups!$B$2*M1409+Lookups!$B$3*L1409</f>
        <v>0</v>
      </c>
      <c r="Q1409" s="2" t="str">
        <f aca="false">INDEX(Lookups!$E$2:$E$5,MATCH(P1409,Lookups!$D$2:$D$5,0))</f>
        <v>Low</v>
      </c>
    </row>
    <row r="1410" customFormat="false" ht="15" hidden="false" customHeight="false" outlineLevel="0" collapsed="false">
      <c r="A1410" s="3" t="n">
        <v>1409</v>
      </c>
      <c r="B1410" s="3" t="n">
        <f aca="false">Raw_Data!A1410</f>
        <v>49</v>
      </c>
      <c r="C1410" s="3" t="str">
        <f aca="false">SUBSTITUTE(Raw_Data!B1410,".","")</f>
        <v>blue-collar</v>
      </c>
      <c r="D1410" s="3" t="str">
        <f aca="false">Raw_Data!C1410</f>
        <v>divorced</v>
      </c>
      <c r="E1410" s="3" t="str">
        <f aca="false">Raw_Data!D1410</f>
        <v>unknown</v>
      </c>
      <c r="F1410" s="3" t="str">
        <f aca="false">Raw_Data!E1410</f>
        <v>no</v>
      </c>
      <c r="G1410" s="3" t="n">
        <f aca="false">Raw_Data!F1410</f>
        <v>39</v>
      </c>
      <c r="H1410" s="3" t="str">
        <f aca="false">Raw_Data!G1410</f>
        <v>yes</v>
      </c>
      <c r="I1410" s="3" t="str">
        <f aca="false">Raw_Data!H1410</f>
        <v>no</v>
      </c>
      <c r="J1410" s="2" t="n">
        <f aca="false">IF(F1410="yes",1,0)</f>
        <v>0</v>
      </c>
      <c r="K1410" s="2" t="n">
        <f aca="false">IF(H1410="yes",1,0)</f>
        <v>1</v>
      </c>
      <c r="L1410" s="2" t="n">
        <f aca="false">IF(I1410="yes",1,0)</f>
        <v>0</v>
      </c>
      <c r="M1410" s="2" t="n">
        <f aca="false">IF(G1410&lt;0,1,0)</f>
        <v>0</v>
      </c>
      <c r="N1410" s="2" t="str">
        <f aca="false">_xlfn.IFS(B1410&lt;30,"Under 30",B1410&lt;40,"30-39",B1410&lt;50,"40-49",B1410&lt;60,"50-59",TRUE(),"60+")</f>
        <v>40-49</v>
      </c>
      <c r="O1410" s="2" t="str">
        <f aca="false">_xlfn.IFS(G1410&lt;0,"1 Negative",G1410=0,"2 Zero",G1410&lt;=500,"3 1-500",G1410&lt;=2000,"4 501-2000",TRUE(),"5 Above 2000")</f>
        <v>3 1-500</v>
      </c>
      <c r="P1410" s="2" t="n">
        <f aca="false">Lookups!$B$2*M1410+Lookups!$B$3*L1410</f>
        <v>0</v>
      </c>
      <c r="Q1410" s="2" t="str">
        <f aca="false">INDEX(Lookups!$E$2:$E$5,MATCH(P1410,Lookups!$D$2:$D$5,0))</f>
        <v>Low</v>
      </c>
    </row>
    <row r="1411" customFormat="false" ht="15" hidden="false" customHeight="false" outlineLevel="0" collapsed="false">
      <c r="A1411" s="3" t="n">
        <v>1410</v>
      </c>
      <c r="B1411" s="3" t="n">
        <f aca="false">Raw_Data!A1411</f>
        <v>31</v>
      </c>
      <c r="C1411" s="3" t="str">
        <f aca="false">SUBSTITUTE(Raw_Data!B1411,".","")</f>
        <v>blue-collar</v>
      </c>
      <c r="D1411" s="3" t="str">
        <f aca="false">Raw_Data!C1411</f>
        <v>married</v>
      </c>
      <c r="E1411" s="3" t="str">
        <f aca="false">Raw_Data!D1411</f>
        <v>secondary</v>
      </c>
      <c r="F1411" s="3" t="str">
        <f aca="false">Raw_Data!E1411</f>
        <v>no</v>
      </c>
      <c r="G1411" s="3" t="n">
        <f aca="false">Raw_Data!F1411</f>
        <v>0</v>
      </c>
      <c r="H1411" s="3" t="str">
        <f aca="false">Raw_Data!G1411</f>
        <v>yes</v>
      </c>
      <c r="I1411" s="3" t="str">
        <f aca="false">Raw_Data!H1411</f>
        <v>no</v>
      </c>
      <c r="J1411" s="2" t="n">
        <f aca="false">IF(F1411="yes",1,0)</f>
        <v>0</v>
      </c>
      <c r="K1411" s="2" t="n">
        <f aca="false">IF(H1411="yes",1,0)</f>
        <v>1</v>
      </c>
      <c r="L1411" s="2" t="n">
        <f aca="false">IF(I1411="yes",1,0)</f>
        <v>0</v>
      </c>
      <c r="M1411" s="2" t="n">
        <f aca="false">IF(G1411&lt;0,1,0)</f>
        <v>0</v>
      </c>
      <c r="N1411" s="2" t="str">
        <f aca="false">_xlfn.IFS(B1411&lt;30,"Under 30",B1411&lt;40,"30-39",B1411&lt;50,"40-49",B1411&lt;60,"50-59",TRUE(),"60+")</f>
        <v>30-39</v>
      </c>
      <c r="O1411" s="2" t="str">
        <f aca="false">_xlfn.IFS(G1411&lt;0,"1 Negative",G1411=0,"2 Zero",G1411&lt;=500,"3 1-500",G1411&lt;=2000,"4 501-2000",TRUE(),"5 Above 2000")</f>
        <v>2 Zero</v>
      </c>
      <c r="P1411" s="2" t="n">
        <f aca="false">Lookups!$B$2*M1411+Lookups!$B$3*L1411</f>
        <v>0</v>
      </c>
      <c r="Q1411" s="2" t="str">
        <f aca="false">INDEX(Lookups!$E$2:$E$5,MATCH(P1411,Lookups!$D$2:$D$5,0))</f>
        <v>Low</v>
      </c>
    </row>
    <row r="1412" customFormat="false" ht="15" hidden="false" customHeight="false" outlineLevel="0" collapsed="false">
      <c r="A1412" s="3" t="n">
        <v>1411</v>
      </c>
      <c r="B1412" s="3" t="n">
        <f aca="false">Raw_Data!A1412</f>
        <v>49</v>
      </c>
      <c r="C1412" s="3" t="str">
        <f aca="false">SUBSTITUTE(Raw_Data!B1412,".","")</f>
        <v>technician</v>
      </c>
      <c r="D1412" s="3" t="str">
        <f aca="false">Raw_Data!C1412</f>
        <v>divorced</v>
      </c>
      <c r="E1412" s="3" t="str">
        <f aca="false">Raw_Data!D1412</f>
        <v>secondary</v>
      </c>
      <c r="F1412" s="3" t="str">
        <f aca="false">Raw_Data!E1412</f>
        <v>no</v>
      </c>
      <c r="G1412" s="3" t="n">
        <f aca="false">Raw_Data!F1412</f>
        <v>265</v>
      </c>
      <c r="H1412" s="3" t="str">
        <f aca="false">Raw_Data!G1412</f>
        <v>yes</v>
      </c>
      <c r="I1412" s="3" t="str">
        <f aca="false">Raw_Data!H1412</f>
        <v>no</v>
      </c>
      <c r="J1412" s="2" t="n">
        <f aca="false">IF(F1412="yes",1,0)</f>
        <v>0</v>
      </c>
      <c r="K1412" s="2" t="n">
        <f aca="false">IF(H1412="yes",1,0)</f>
        <v>1</v>
      </c>
      <c r="L1412" s="2" t="n">
        <f aca="false">IF(I1412="yes",1,0)</f>
        <v>0</v>
      </c>
      <c r="M1412" s="2" t="n">
        <f aca="false">IF(G1412&lt;0,1,0)</f>
        <v>0</v>
      </c>
      <c r="N1412" s="2" t="str">
        <f aca="false">_xlfn.IFS(B1412&lt;30,"Under 30",B1412&lt;40,"30-39",B1412&lt;50,"40-49",B1412&lt;60,"50-59",TRUE(),"60+")</f>
        <v>40-49</v>
      </c>
      <c r="O1412" s="2" t="str">
        <f aca="false">_xlfn.IFS(G1412&lt;0,"1 Negative",G1412=0,"2 Zero",G1412&lt;=500,"3 1-500",G1412&lt;=2000,"4 501-2000",TRUE(),"5 Above 2000")</f>
        <v>3 1-500</v>
      </c>
      <c r="P1412" s="2" t="n">
        <f aca="false">Lookups!$B$2*M1412+Lookups!$B$3*L1412</f>
        <v>0</v>
      </c>
      <c r="Q1412" s="2" t="str">
        <f aca="false">INDEX(Lookups!$E$2:$E$5,MATCH(P1412,Lookups!$D$2:$D$5,0))</f>
        <v>Low</v>
      </c>
    </row>
    <row r="1413" customFormat="false" ht="15" hidden="false" customHeight="false" outlineLevel="0" collapsed="false">
      <c r="A1413" s="3" t="n">
        <v>1412</v>
      </c>
      <c r="B1413" s="3" t="n">
        <f aca="false">Raw_Data!A1413</f>
        <v>35</v>
      </c>
      <c r="C1413" s="3" t="str">
        <f aca="false">SUBSTITUTE(Raw_Data!B1413,".","")</f>
        <v>blue-collar</v>
      </c>
      <c r="D1413" s="3" t="str">
        <f aca="false">Raw_Data!C1413</f>
        <v>single</v>
      </c>
      <c r="E1413" s="3" t="str">
        <f aca="false">Raw_Data!D1413</f>
        <v>secondary</v>
      </c>
      <c r="F1413" s="3" t="str">
        <f aca="false">Raw_Data!E1413</f>
        <v>no</v>
      </c>
      <c r="G1413" s="3" t="n">
        <f aca="false">Raw_Data!F1413</f>
        <v>0</v>
      </c>
      <c r="H1413" s="3" t="str">
        <f aca="false">Raw_Data!G1413</f>
        <v>yes</v>
      </c>
      <c r="I1413" s="3" t="str">
        <f aca="false">Raw_Data!H1413</f>
        <v>no</v>
      </c>
      <c r="J1413" s="2" t="n">
        <f aca="false">IF(F1413="yes",1,0)</f>
        <v>0</v>
      </c>
      <c r="K1413" s="2" t="n">
        <f aca="false">IF(H1413="yes",1,0)</f>
        <v>1</v>
      </c>
      <c r="L1413" s="2" t="n">
        <f aca="false">IF(I1413="yes",1,0)</f>
        <v>0</v>
      </c>
      <c r="M1413" s="2" t="n">
        <f aca="false">IF(G1413&lt;0,1,0)</f>
        <v>0</v>
      </c>
      <c r="N1413" s="2" t="str">
        <f aca="false">_xlfn.IFS(B1413&lt;30,"Under 30",B1413&lt;40,"30-39",B1413&lt;50,"40-49",B1413&lt;60,"50-59",TRUE(),"60+")</f>
        <v>30-39</v>
      </c>
      <c r="O1413" s="2" t="str">
        <f aca="false">_xlfn.IFS(G1413&lt;0,"1 Negative",G1413=0,"2 Zero",G1413&lt;=500,"3 1-500",G1413&lt;=2000,"4 501-2000",TRUE(),"5 Above 2000")</f>
        <v>2 Zero</v>
      </c>
      <c r="P1413" s="2" t="n">
        <f aca="false">Lookups!$B$2*M1413+Lookups!$B$3*L1413</f>
        <v>0</v>
      </c>
      <c r="Q1413" s="2" t="str">
        <f aca="false">INDEX(Lookups!$E$2:$E$5,MATCH(P1413,Lookups!$D$2:$D$5,0))</f>
        <v>Low</v>
      </c>
    </row>
    <row r="1414" customFormat="false" ht="15" hidden="false" customHeight="false" outlineLevel="0" collapsed="false">
      <c r="A1414" s="3" t="n">
        <v>1413</v>
      </c>
      <c r="B1414" s="3" t="n">
        <f aca="false">Raw_Data!A1414</f>
        <v>57</v>
      </c>
      <c r="C1414" s="3" t="str">
        <f aca="false">SUBSTITUTE(Raw_Data!B1414,".","")</f>
        <v>admin</v>
      </c>
      <c r="D1414" s="3" t="str">
        <f aca="false">Raw_Data!C1414</f>
        <v>divorced</v>
      </c>
      <c r="E1414" s="3" t="str">
        <f aca="false">Raw_Data!D1414</f>
        <v>unknown</v>
      </c>
      <c r="F1414" s="3" t="str">
        <f aca="false">Raw_Data!E1414</f>
        <v>no</v>
      </c>
      <c r="G1414" s="3" t="n">
        <f aca="false">Raw_Data!F1414</f>
        <v>4012</v>
      </c>
      <c r="H1414" s="3" t="str">
        <f aca="false">Raw_Data!G1414</f>
        <v>no</v>
      </c>
      <c r="I1414" s="3" t="str">
        <f aca="false">Raw_Data!H1414</f>
        <v>no</v>
      </c>
      <c r="J1414" s="2" t="n">
        <f aca="false">IF(F1414="yes",1,0)</f>
        <v>0</v>
      </c>
      <c r="K1414" s="2" t="n">
        <f aca="false">IF(H1414="yes",1,0)</f>
        <v>0</v>
      </c>
      <c r="L1414" s="2" t="n">
        <f aca="false">IF(I1414="yes",1,0)</f>
        <v>0</v>
      </c>
      <c r="M1414" s="2" t="n">
        <f aca="false">IF(G1414&lt;0,1,0)</f>
        <v>0</v>
      </c>
      <c r="N1414" s="2" t="str">
        <f aca="false">_xlfn.IFS(B1414&lt;30,"Under 30",B1414&lt;40,"30-39",B1414&lt;50,"40-49",B1414&lt;60,"50-59",TRUE(),"60+")</f>
        <v>50-59</v>
      </c>
      <c r="O1414" s="2" t="str">
        <f aca="false">_xlfn.IFS(G1414&lt;0,"1 Negative",G1414=0,"2 Zero",G1414&lt;=500,"3 1-500",G1414&lt;=2000,"4 501-2000",TRUE(),"5 Above 2000")</f>
        <v>5 Above 2000</v>
      </c>
      <c r="P1414" s="2" t="n">
        <f aca="false">Lookups!$B$2*M1414+Lookups!$B$3*L1414</f>
        <v>0</v>
      </c>
      <c r="Q1414" s="2" t="str">
        <f aca="false">INDEX(Lookups!$E$2:$E$5,MATCH(P1414,Lookups!$D$2:$D$5,0))</f>
        <v>Low</v>
      </c>
    </row>
    <row r="1415" customFormat="false" ht="15" hidden="false" customHeight="false" outlineLevel="0" collapsed="false">
      <c r="A1415" s="3" t="n">
        <v>1414</v>
      </c>
      <c r="B1415" s="3" t="n">
        <f aca="false">Raw_Data!A1415</f>
        <v>42</v>
      </c>
      <c r="C1415" s="3" t="str">
        <f aca="false">SUBSTITUTE(Raw_Data!B1415,".","")</f>
        <v>blue-collar</v>
      </c>
      <c r="D1415" s="3" t="str">
        <f aca="false">Raw_Data!C1415</f>
        <v>married</v>
      </c>
      <c r="E1415" s="3" t="str">
        <f aca="false">Raw_Data!D1415</f>
        <v>primary</v>
      </c>
      <c r="F1415" s="3" t="str">
        <f aca="false">Raw_Data!E1415</f>
        <v>no</v>
      </c>
      <c r="G1415" s="3" t="n">
        <f aca="false">Raw_Data!F1415</f>
        <v>1520</v>
      </c>
      <c r="H1415" s="3" t="str">
        <f aca="false">Raw_Data!G1415</f>
        <v>yes</v>
      </c>
      <c r="I1415" s="3" t="str">
        <f aca="false">Raw_Data!H1415</f>
        <v>no</v>
      </c>
      <c r="J1415" s="2" t="n">
        <f aca="false">IF(F1415="yes",1,0)</f>
        <v>0</v>
      </c>
      <c r="K1415" s="2" t="n">
        <f aca="false">IF(H1415="yes",1,0)</f>
        <v>1</v>
      </c>
      <c r="L1415" s="2" t="n">
        <f aca="false">IF(I1415="yes",1,0)</f>
        <v>0</v>
      </c>
      <c r="M1415" s="2" t="n">
        <f aca="false">IF(G1415&lt;0,1,0)</f>
        <v>0</v>
      </c>
      <c r="N1415" s="2" t="str">
        <f aca="false">_xlfn.IFS(B1415&lt;30,"Under 30",B1415&lt;40,"30-39",B1415&lt;50,"40-49",B1415&lt;60,"50-59",TRUE(),"60+")</f>
        <v>40-49</v>
      </c>
      <c r="O1415" s="2" t="str">
        <f aca="false">_xlfn.IFS(G1415&lt;0,"1 Negative",G1415=0,"2 Zero",G1415&lt;=500,"3 1-500",G1415&lt;=2000,"4 501-2000",TRUE(),"5 Above 2000")</f>
        <v>4 501-2000</v>
      </c>
      <c r="P1415" s="2" t="n">
        <f aca="false">Lookups!$B$2*M1415+Lookups!$B$3*L1415</f>
        <v>0</v>
      </c>
      <c r="Q1415" s="2" t="str">
        <f aca="false">INDEX(Lookups!$E$2:$E$5,MATCH(P1415,Lookups!$D$2:$D$5,0))</f>
        <v>Low</v>
      </c>
    </row>
    <row r="1416" customFormat="false" ht="15" hidden="false" customHeight="false" outlineLevel="0" collapsed="false">
      <c r="A1416" s="3" t="n">
        <v>1415</v>
      </c>
      <c r="B1416" s="3" t="n">
        <f aca="false">Raw_Data!A1416</f>
        <v>36</v>
      </c>
      <c r="C1416" s="3" t="str">
        <f aca="false">SUBSTITUTE(Raw_Data!B1416,".","")</f>
        <v>blue-collar</v>
      </c>
      <c r="D1416" s="3" t="str">
        <f aca="false">Raw_Data!C1416</f>
        <v>divorced</v>
      </c>
      <c r="E1416" s="3" t="str">
        <f aca="false">Raw_Data!D1416</f>
        <v>secondary</v>
      </c>
      <c r="F1416" s="3" t="str">
        <f aca="false">Raw_Data!E1416</f>
        <v>no</v>
      </c>
      <c r="G1416" s="3" t="n">
        <f aca="false">Raw_Data!F1416</f>
        <v>-140</v>
      </c>
      <c r="H1416" s="3" t="str">
        <f aca="false">Raw_Data!G1416</f>
        <v>yes</v>
      </c>
      <c r="I1416" s="3" t="str">
        <f aca="false">Raw_Data!H1416</f>
        <v>no</v>
      </c>
      <c r="J1416" s="2" t="n">
        <f aca="false">IF(F1416="yes",1,0)</f>
        <v>0</v>
      </c>
      <c r="K1416" s="2" t="n">
        <f aca="false">IF(H1416="yes",1,0)</f>
        <v>1</v>
      </c>
      <c r="L1416" s="2" t="n">
        <f aca="false">IF(I1416="yes",1,0)</f>
        <v>0</v>
      </c>
      <c r="M1416" s="2" t="n">
        <f aca="false">IF(G1416&lt;0,1,0)</f>
        <v>1</v>
      </c>
      <c r="N1416" s="2" t="str">
        <f aca="false">_xlfn.IFS(B1416&lt;30,"Under 30",B1416&lt;40,"30-39",B1416&lt;50,"40-49",B1416&lt;60,"50-59",TRUE(),"60+")</f>
        <v>30-39</v>
      </c>
      <c r="O1416" s="2" t="str">
        <f aca="false">_xlfn.IFS(G1416&lt;0,"1 Negative",G1416=0,"2 Zero",G1416&lt;=500,"3 1-500",G1416&lt;=2000,"4 501-2000",TRUE(),"5 Above 2000")</f>
        <v>1 Negative</v>
      </c>
      <c r="P1416" s="2" t="n">
        <f aca="false">Lookups!$B$2*M1416+Lookups!$B$3*L1416</f>
        <v>2</v>
      </c>
      <c r="Q1416" s="2" t="str">
        <f aca="false">INDEX(Lookups!$E$2:$E$5,MATCH(P1416,Lookups!$D$2:$D$5,0))</f>
        <v>High</v>
      </c>
    </row>
    <row r="1417" customFormat="false" ht="15" hidden="false" customHeight="false" outlineLevel="0" collapsed="false">
      <c r="A1417" s="3" t="n">
        <v>1416</v>
      </c>
      <c r="B1417" s="3" t="n">
        <f aca="false">Raw_Data!A1417</f>
        <v>75</v>
      </c>
      <c r="C1417" s="3" t="str">
        <f aca="false">SUBSTITUTE(Raw_Data!B1417,".","")</f>
        <v>retired</v>
      </c>
      <c r="D1417" s="3" t="str">
        <f aca="false">Raw_Data!C1417</f>
        <v>divorced</v>
      </c>
      <c r="E1417" s="3" t="str">
        <f aca="false">Raw_Data!D1417</f>
        <v>primary</v>
      </c>
      <c r="F1417" s="3" t="str">
        <f aca="false">Raw_Data!E1417</f>
        <v>no</v>
      </c>
      <c r="G1417" s="3" t="n">
        <f aca="false">Raw_Data!F1417</f>
        <v>852</v>
      </c>
      <c r="H1417" s="3" t="str">
        <f aca="false">Raw_Data!G1417</f>
        <v>no</v>
      </c>
      <c r="I1417" s="3" t="str">
        <f aca="false">Raw_Data!H1417</f>
        <v>no</v>
      </c>
      <c r="J1417" s="2" t="n">
        <f aca="false">IF(F1417="yes",1,0)</f>
        <v>0</v>
      </c>
      <c r="K1417" s="2" t="n">
        <f aca="false">IF(H1417="yes",1,0)</f>
        <v>0</v>
      </c>
      <c r="L1417" s="2" t="n">
        <f aca="false">IF(I1417="yes",1,0)</f>
        <v>0</v>
      </c>
      <c r="M1417" s="2" t="n">
        <f aca="false">IF(G1417&lt;0,1,0)</f>
        <v>0</v>
      </c>
      <c r="N1417" s="2" t="str">
        <f aca="false">_xlfn.IFS(B1417&lt;30,"Under 30",B1417&lt;40,"30-39",B1417&lt;50,"40-49",B1417&lt;60,"50-59",TRUE(),"60+")</f>
        <v>60+</v>
      </c>
      <c r="O1417" s="2" t="str">
        <f aca="false">_xlfn.IFS(G1417&lt;0,"1 Negative",G1417=0,"2 Zero",G1417&lt;=500,"3 1-500",G1417&lt;=2000,"4 501-2000",TRUE(),"5 Above 2000")</f>
        <v>4 501-2000</v>
      </c>
      <c r="P1417" s="2" t="n">
        <f aca="false">Lookups!$B$2*M1417+Lookups!$B$3*L1417</f>
        <v>0</v>
      </c>
      <c r="Q1417" s="2" t="str">
        <f aca="false">INDEX(Lookups!$E$2:$E$5,MATCH(P1417,Lookups!$D$2:$D$5,0))</f>
        <v>Low</v>
      </c>
    </row>
    <row r="1418" customFormat="false" ht="15" hidden="false" customHeight="false" outlineLevel="0" collapsed="false">
      <c r="A1418" s="3" t="n">
        <v>1417</v>
      </c>
      <c r="B1418" s="3" t="n">
        <f aca="false">Raw_Data!A1418</f>
        <v>38</v>
      </c>
      <c r="C1418" s="3" t="str">
        <f aca="false">SUBSTITUTE(Raw_Data!B1418,".","")</f>
        <v>blue-collar</v>
      </c>
      <c r="D1418" s="3" t="str">
        <f aca="false">Raw_Data!C1418</f>
        <v>single</v>
      </c>
      <c r="E1418" s="3" t="str">
        <f aca="false">Raw_Data!D1418</f>
        <v>secondary</v>
      </c>
      <c r="F1418" s="3" t="str">
        <f aca="false">Raw_Data!E1418</f>
        <v>no</v>
      </c>
      <c r="G1418" s="3" t="n">
        <f aca="false">Raw_Data!F1418</f>
        <v>578</v>
      </c>
      <c r="H1418" s="3" t="str">
        <f aca="false">Raw_Data!G1418</f>
        <v>yes</v>
      </c>
      <c r="I1418" s="3" t="str">
        <f aca="false">Raw_Data!H1418</f>
        <v>no</v>
      </c>
      <c r="J1418" s="2" t="n">
        <f aca="false">IF(F1418="yes",1,0)</f>
        <v>0</v>
      </c>
      <c r="K1418" s="2" t="n">
        <f aca="false">IF(H1418="yes",1,0)</f>
        <v>1</v>
      </c>
      <c r="L1418" s="2" t="n">
        <f aca="false">IF(I1418="yes",1,0)</f>
        <v>0</v>
      </c>
      <c r="M1418" s="2" t="n">
        <f aca="false">IF(G1418&lt;0,1,0)</f>
        <v>0</v>
      </c>
      <c r="N1418" s="2" t="str">
        <f aca="false">_xlfn.IFS(B1418&lt;30,"Under 30",B1418&lt;40,"30-39",B1418&lt;50,"40-49",B1418&lt;60,"50-59",TRUE(),"60+")</f>
        <v>30-39</v>
      </c>
      <c r="O1418" s="2" t="str">
        <f aca="false">_xlfn.IFS(G1418&lt;0,"1 Negative",G1418=0,"2 Zero",G1418&lt;=500,"3 1-500",G1418&lt;=2000,"4 501-2000",TRUE(),"5 Above 2000")</f>
        <v>4 501-2000</v>
      </c>
      <c r="P1418" s="2" t="n">
        <f aca="false">Lookups!$B$2*M1418+Lookups!$B$3*L1418</f>
        <v>0</v>
      </c>
      <c r="Q1418" s="2" t="str">
        <f aca="false">INDEX(Lookups!$E$2:$E$5,MATCH(P1418,Lookups!$D$2:$D$5,0))</f>
        <v>Low</v>
      </c>
    </row>
    <row r="1419" customFormat="false" ht="15" hidden="false" customHeight="false" outlineLevel="0" collapsed="false">
      <c r="A1419" s="3" t="n">
        <v>1418</v>
      </c>
      <c r="B1419" s="3" t="n">
        <f aca="false">Raw_Data!A1419</f>
        <v>40</v>
      </c>
      <c r="C1419" s="3" t="str">
        <f aca="false">SUBSTITUTE(Raw_Data!B1419,".","")</f>
        <v>blue-collar</v>
      </c>
      <c r="D1419" s="3" t="str">
        <f aca="false">Raw_Data!C1419</f>
        <v>married</v>
      </c>
      <c r="E1419" s="3" t="str">
        <f aca="false">Raw_Data!D1419</f>
        <v>primary</v>
      </c>
      <c r="F1419" s="3" t="str">
        <f aca="false">Raw_Data!E1419</f>
        <v>yes</v>
      </c>
      <c r="G1419" s="3" t="n">
        <f aca="false">Raw_Data!F1419</f>
        <v>0</v>
      </c>
      <c r="H1419" s="3" t="str">
        <f aca="false">Raw_Data!G1419</f>
        <v>yes</v>
      </c>
      <c r="I1419" s="3" t="str">
        <f aca="false">Raw_Data!H1419</f>
        <v>no</v>
      </c>
      <c r="J1419" s="2" t="n">
        <f aca="false">IF(F1419="yes",1,0)</f>
        <v>1</v>
      </c>
      <c r="K1419" s="2" t="n">
        <f aca="false">IF(H1419="yes",1,0)</f>
        <v>1</v>
      </c>
      <c r="L1419" s="2" t="n">
        <f aca="false">IF(I1419="yes",1,0)</f>
        <v>0</v>
      </c>
      <c r="M1419" s="2" t="n">
        <f aca="false">IF(G1419&lt;0,1,0)</f>
        <v>0</v>
      </c>
      <c r="N1419" s="2" t="str">
        <f aca="false">_xlfn.IFS(B1419&lt;30,"Under 30",B1419&lt;40,"30-39",B1419&lt;50,"40-49",B1419&lt;60,"50-59",TRUE(),"60+")</f>
        <v>40-49</v>
      </c>
      <c r="O1419" s="2" t="str">
        <f aca="false">_xlfn.IFS(G1419&lt;0,"1 Negative",G1419=0,"2 Zero",G1419&lt;=500,"3 1-500",G1419&lt;=2000,"4 501-2000",TRUE(),"5 Above 2000")</f>
        <v>2 Zero</v>
      </c>
      <c r="P1419" s="2" t="n">
        <f aca="false">Lookups!$B$2*M1419+Lookups!$B$3*L1419</f>
        <v>0</v>
      </c>
      <c r="Q1419" s="2" t="str">
        <f aca="false">INDEX(Lookups!$E$2:$E$5,MATCH(P1419,Lookups!$D$2:$D$5,0))</f>
        <v>Low</v>
      </c>
    </row>
    <row r="1420" customFormat="false" ht="15" hidden="false" customHeight="false" outlineLevel="0" collapsed="false">
      <c r="A1420" s="3" t="n">
        <v>1419</v>
      </c>
      <c r="B1420" s="3" t="n">
        <f aca="false">Raw_Data!A1420</f>
        <v>38</v>
      </c>
      <c r="C1420" s="3" t="str">
        <f aca="false">SUBSTITUTE(Raw_Data!B1420,".","")</f>
        <v>services</v>
      </c>
      <c r="D1420" s="3" t="str">
        <f aca="false">Raw_Data!C1420</f>
        <v>single</v>
      </c>
      <c r="E1420" s="3" t="str">
        <f aca="false">Raw_Data!D1420</f>
        <v>secondary</v>
      </c>
      <c r="F1420" s="3" t="str">
        <f aca="false">Raw_Data!E1420</f>
        <v>no</v>
      </c>
      <c r="G1420" s="3" t="n">
        <f aca="false">Raw_Data!F1420</f>
        <v>2253</v>
      </c>
      <c r="H1420" s="3" t="str">
        <f aca="false">Raw_Data!G1420</f>
        <v>yes</v>
      </c>
      <c r="I1420" s="3" t="str">
        <f aca="false">Raw_Data!H1420</f>
        <v>no</v>
      </c>
      <c r="J1420" s="2" t="n">
        <f aca="false">IF(F1420="yes",1,0)</f>
        <v>0</v>
      </c>
      <c r="K1420" s="2" t="n">
        <f aca="false">IF(H1420="yes",1,0)</f>
        <v>1</v>
      </c>
      <c r="L1420" s="2" t="n">
        <f aca="false">IF(I1420="yes",1,0)</f>
        <v>0</v>
      </c>
      <c r="M1420" s="2" t="n">
        <f aca="false">IF(G1420&lt;0,1,0)</f>
        <v>0</v>
      </c>
      <c r="N1420" s="2" t="str">
        <f aca="false">_xlfn.IFS(B1420&lt;30,"Under 30",B1420&lt;40,"30-39",B1420&lt;50,"40-49",B1420&lt;60,"50-59",TRUE(),"60+")</f>
        <v>30-39</v>
      </c>
      <c r="O1420" s="2" t="str">
        <f aca="false">_xlfn.IFS(G1420&lt;0,"1 Negative",G1420=0,"2 Zero",G1420&lt;=500,"3 1-500",G1420&lt;=2000,"4 501-2000",TRUE(),"5 Above 2000")</f>
        <v>5 Above 2000</v>
      </c>
      <c r="P1420" s="2" t="n">
        <f aca="false">Lookups!$B$2*M1420+Lookups!$B$3*L1420</f>
        <v>0</v>
      </c>
      <c r="Q1420" s="2" t="str">
        <f aca="false">INDEX(Lookups!$E$2:$E$5,MATCH(P1420,Lookups!$D$2:$D$5,0))</f>
        <v>Low</v>
      </c>
    </row>
    <row r="1421" customFormat="false" ht="15" hidden="false" customHeight="false" outlineLevel="0" collapsed="false">
      <c r="A1421" s="3" t="n">
        <v>1420</v>
      </c>
      <c r="B1421" s="3" t="n">
        <f aca="false">Raw_Data!A1421</f>
        <v>34</v>
      </c>
      <c r="C1421" s="3" t="str">
        <f aca="false">SUBSTITUTE(Raw_Data!B1421,".","")</f>
        <v>management</v>
      </c>
      <c r="D1421" s="3" t="str">
        <f aca="false">Raw_Data!C1421</f>
        <v>single</v>
      </c>
      <c r="E1421" s="3" t="str">
        <f aca="false">Raw_Data!D1421</f>
        <v>tertiary</v>
      </c>
      <c r="F1421" s="3" t="str">
        <f aca="false">Raw_Data!E1421</f>
        <v>no</v>
      </c>
      <c r="G1421" s="3" t="n">
        <f aca="false">Raw_Data!F1421</f>
        <v>1171</v>
      </c>
      <c r="H1421" s="3" t="str">
        <f aca="false">Raw_Data!G1421</f>
        <v>yes</v>
      </c>
      <c r="I1421" s="3" t="str">
        <f aca="false">Raw_Data!H1421</f>
        <v>no</v>
      </c>
      <c r="J1421" s="2" t="n">
        <f aca="false">IF(F1421="yes",1,0)</f>
        <v>0</v>
      </c>
      <c r="K1421" s="2" t="n">
        <f aca="false">IF(H1421="yes",1,0)</f>
        <v>1</v>
      </c>
      <c r="L1421" s="2" t="n">
        <f aca="false">IF(I1421="yes",1,0)</f>
        <v>0</v>
      </c>
      <c r="M1421" s="2" t="n">
        <f aca="false">IF(G1421&lt;0,1,0)</f>
        <v>0</v>
      </c>
      <c r="N1421" s="2" t="str">
        <f aca="false">_xlfn.IFS(B1421&lt;30,"Under 30",B1421&lt;40,"30-39",B1421&lt;50,"40-49",B1421&lt;60,"50-59",TRUE(),"60+")</f>
        <v>30-39</v>
      </c>
      <c r="O1421" s="2" t="str">
        <f aca="false">_xlfn.IFS(G1421&lt;0,"1 Negative",G1421=0,"2 Zero",G1421&lt;=500,"3 1-500",G1421&lt;=2000,"4 501-2000",TRUE(),"5 Above 2000")</f>
        <v>4 501-2000</v>
      </c>
      <c r="P1421" s="2" t="n">
        <f aca="false">Lookups!$B$2*M1421+Lookups!$B$3*L1421</f>
        <v>0</v>
      </c>
      <c r="Q1421" s="2" t="str">
        <f aca="false">INDEX(Lookups!$E$2:$E$5,MATCH(P1421,Lookups!$D$2:$D$5,0))</f>
        <v>Low</v>
      </c>
    </row>
    <row r="1422" customFormat="false" ht="15" hidden="false" customHeight="false" outlineLevel="0" collapsed="false">
      <c r="A1422" s="3" t="n">
        <v>1421</v>
      </c>
      <c r="B1422" s="3" t="n">
        <f aca="false">Raw_Data!A1422</f>
        <v>29</v>
      </c>
      <c r="C1422" s="3" t="str">
        <f aca="false">SUBSTITUTE(Raw_Data!B1422,".","")</f>
        <v>technician</v>
      </c>
      <c r="D1422" s="3" t="str">
        <f aca="false">Raw_Data!C1422</f>
        <v>single</v>
      </c>
      <c r="E1422" s="3" t="str">
        <f aca="false">Raw_Data!D1422</f>
        <v>tertiary</v>
      </c>
      <c r="F1422" s="3" t="str">
        <f aca="false">Raw_Data!E1422</f>
        <v>no</v>
      </c>
      <c r="G1422" s="3" t="n">
        <f aca="false">Raw_Data!F1422</f>
        <v>452</v>
      </c>
      <c r="H1422" s="3" t="str">
        <f aca="false">Raw_Data!G1422</f>
        <v>yes</v>
      </c>
      <c r="I1422" s="3" t="str">
        <f aca="false">Raw_Data!H1422</f>
        <v>no</v>
      </c>
      <c r="J1422" s="2" t="n">
        <f aca="false">IF(F1422="yes",1,0)</f>
        <v>0</v>
      </c>
      <c r="K1422" s="2" t="n">
        <f aca="false">IF(H1422="yes",1,0)</f>
        <v>1</v>
      </c>
      <c r="L1422" s="2" t="n">
        <f aca="false">IF(I1422="yes",1,0)</f>
        <v>0</v>
      </c>
      <c r="M1422" s="2" t="n">
        <f aca="false">IF(G1422&lt;0,1,0)</f>
        <v>0</v>
      </c>
      <c r="N1422" s="2" t="str">
        <f aca="false">_xlfn.IFS(B1422&lt;30,"Under 30",B1422&lt;40,"30-39",B1422&lt;50,"40-49",B1422&lt;60,"50-59",TRUE(),"60+")</f>
        <v>Under 30</v>
      </c>
      <c r="O1422" s="2" t="str">
        <f aca="false">_xlfn.IFS(G1422&lt;0,"1 Negative",G1422=0,"2 Zero",G1422&lt;=500,"3 1-500",G1422&lt;=2000,"4 501-2000",TRUE(),"5 Above 2000")</f>
        <v>3 1-500</v>
      </c>
      <c r="P1422" s="2" t="n">
        <f aca="false">Lookups!$B$2*M1422+Lookups!$B$3*L1422</f>
        <v>0</v>
      </c>
      <c r="Q1422" s="2" t="str">
        <f aca="false">INDEX(Lookups!$E$2:$E$5,MATCH(P1422,Lookups!$D$2:$D$5,0))</f>
        <v>Low</v>
      </c>
    </row>
    <row r="1423" customFormat="false" ht="15" hidden="false" customHeight="false" outlineLevel="0" collapsed="false">
      <c r="A1423" s="3" t="n">
        <v>1422</v>
      </c>
      <c r="B1423" s="3" t="n">
        <f aca="false">Raw_Data!A1423</f>
        <v>28</v>
      </c>
      <c r="C1423" s="3" t="str">
        <f aca="false">SUBSTITUTE(Raw_Data!B1423,".","")</f>
        <v>admin</v>
      </c>
      <c r="D1423" s="3" t="str">
        <f aca="false">Raw_Data!C1423</f>
        <v>married</v>
      </c>
      <c r="E1423" s="3" t="str">
        <f aca="false">Raw_Data!D1423</f>
        <v>secondary</v>
      </c>
      <c r="F1423" s="3" t="str">
        <f aca="false">Raw_Data!E1423</f>
        <v>no</v>
      </c>
      <c r="G1423" s="3" t="n">
        <f aca="false">Raw_Data!F1423</f>
        <v>-97</v>
      </c>
      <c r="H1423" s="3" t="str">
        <f aca="false">Raw_Data!G1423</f>
        <v>yes</v>
      </c>
      <c r="I1423" s="3" t="str">
        <f aca="false">Raw_Data!H1423</f>
        <v>no</v>
      </c>
      <c r="J1423" s="2" t="n">
        <f aca="false">IF(F1423="yes",1,0)</f>
        <v>0</v>
      </c>
      <c r="K1423" s="2" t="n">
        <f aca="false">IF(H1423="yes",1,0)</f>
        <v>1</v>
      </c>
      <c r="L1423" s="2" t="n">
        <f aca="false">IF(I1423="yes",1,0)</f>
        <v>0</v>
      </c>
      <c r="M1423" s="2" t="n">
        <f aca="false">IF(G1423&lt;0,1,0)</f>
        <v>1</v>
      </c>
      <c r="N1423" s="2" t="str">
        <f aca="false">_xlfn.IFS(B1423&lt;30,"Under 30",B1423&lt;40,"30-39",B1423&lt;50,"40-49",B1423&lt;60,"50-59",TRUE(),"60+")</f>
        <v>Under 30</v>
      </c>
      <c r="O1423" s="2" t="str">
        <f aca="false">_xlfn.IFS(G1423&lt;0,"1 Negative",G1423=0,"2 Zero",G1423&lt;=500,"3 1-500",G1423&lt;=2000,"4 501-2000",TRUE(),"5 Above 2000")</f>
        <v>1 Negative</v>
      </c>
      <c r="P1423" s="2" t="n">
        <f aca="false">Lookups!$B$2*M1423+Lookups!$B$3*L1423</f>
        <v>2</v>
      </c>
      <c r="Q1423" s="2" t="str">
        <f aca="false">INDEX(Lookups!$E$2:$E$5,MATCH(P1423,Lookups!$D$2:$D$5,0))</f>
        <v>High</v>
      </c>
    </row>
    <row r="1424" customFormat="false" ht="15" hidden="false" customHeight="false" outlineLevel="0" collapsed="false">
      <c r="A1424" s="3" t="n">
        <v>1423</v>
      </c>
      <c r="B1424" s="3" t="n">
        <f aca="false">Raw_Data!A1424</f>
        <v>79</v>
      </c>
      <c r="C1424" s="3" t="str">
        <f aca="false">SUBSTITUTE(Raw_Data!B1424,".","")</f>
        <v>retired</v>
      </c>
      <c r="D1424" s="3" t="str">
        <f aca="false">Raw_Data!C1424</f>
        <v>married</v>
      </c>
      <c r="E1424" s="3" t="str">
        <f aca="false">Raw_Data!D1424</f>
        <v>secondary</v>
      </c>
      <c r="F1424" s="3" t="str">
        <f aca="false">Raw_Data!E1424</f>
        <v>no</v>
      </c>
      <c r="G1424" s="3" t="n">
        <f aca="false">Raw_Data!F1424</f>
        <v>4738</v>
      </c>
      <c r="H1424" s="3" t="str">
        <f aca="false">Raw_Data!G1424</f>
        <v>no</v>
      </c>
      <c r="I1424" s="3" t="str">
        <f aca="false">Raw_Data!H1424</f>
        <v>no</v>
      </c>
      <c r="J1424" s="2" t="n">
        <f aca="false">IF(F1424="yes",1,0)</f>
        <v>0</v>
      </c>
      <c r="K1424" s="2" t="n">
        <f aca="false">IF(H1424="yes",1,0)</f>
        <v>0</v>
      </c>
      <c r="L1424" s="2" t="n">
        <f aca="false">IF(I1424="yes",1,0)</f>
        <v>0</v>
      </c>
      <c r="M1424" s="2" t="n">
        <f aca="false">IF(G1424&lt;0,1,0)</f>
        <v>0</v>
      </c>
      <c r="N1424" s="2" t="str">
        <f aca="false">_xlfn.IFS(B1424&lt;30,"Under 30",B1424&lt;40,"30-39",B1424&lt;50,"40-49",B1424&lt;60,"50-59",TRUE(),"60+")</f>
        <v>60+</v>
      </c>
      <c r="O1424" s="2" t="str">
        <f aca="false">_xlfn.IFS(G1424&lt;0,"1 Negative",G1424=0,"2 Zero",G1424&lt;=500,"3 1-500",G1424&lt;=2000,"4 501-2000",TRUE(),"5 Above 2000")</f>
        <v>5 Above 2000</v>
      </c>
      <c r="P1424" s="2" t="n">
        <f aca="false">Lookups!$B$2*M1424+Lookups!$B$3*L1424</f>
        <v>0</v>
      </c>
      <c r="Q1424" s="2" t="str">
        <f aca="false">INDEX(Lookups!$E$2:$E$5,MATCH(P1424,Lookups!$D$2:$D$5,0))</f>
        <v>Low</v>
      </c>
    </row>
    <row r="1425" customFormat="false" ht="15" hidden="false" customHeight="false" outlineLevel="0" collapsed="false">
      <c r="A1425" s="3" t="n">
        <v>1424</v>
      </c>
      <c r="B1425" s="3" t="n">
        <f aca="false">Raw_Data!A1425</f>
        <v>51</v>
      </c>
      <c r="C1425" s="3" t="str">
        <f aca="false">SUBSTITUTE(Raw_Data!B1425,".","")</f>
        <v>admin</v>
      </c>
      <c r="D1425" s="3" t="str">
        <f aca="false">Raw_Data!C1425</f>
        <v>divorced</v>
      </c>
      <c r="E1425" s="3" t="str">
        <f aca="false">Raw_Data!D1425</f>
        <v>secondary</v>
      </c>
      <c r="F1425" s="3" t="str">
        <f aca="false">Raw_Data!E1425</f>
        <v>no</v>
      </c>
      <c r="G1425" s="3" t="n">
        <f aca="false">Raw_Data!F1425</f>
        <v>467</v>
      </c>
      <c r="H1425" s="3" t="str">
        <f aca="false">Raw_Data!G1425</f>
        <v>yes</v>
      </c>
      <c r="I1425" s="3" t="str">
        <f aca="false">Raw_Data!H1425</f>
        <v>no</v>
      </c>
      <c r="J1425" s="2" t="n">
        <f aca="false">IF(F1425="yes",1,0)</f>
        <v>0</v>
      </c>
      <c r="K1425" s="2" t="n">
        <f aca="false">IF(H1425="yes",1,0)</f>
        <v>1</v>
      </c>
      <c r="L1425" s="2" t="n">
        <f aca="false">IF(I1425="yes",1,0)</f>
        <v>0</v>
      </c>
      <c r="M1425" s="2" t="n">
        <f aca="false">IF(G1425&lt;0,1,0)</f>
        <v>0</v>
      </c>
      <c r="N1425" s="2" t="str">
        <f aca="false">_xlfn.IFS(B1425&lt;30,"Under 30",B1425&lt;40,"30-39",B1425&lt;50,"40-49",B1425&lt;60,"50-59",TRUE(),"60+")</f>
        <v>50-59</v>
      </c>
      <c r="O1425" s="2" t="str">
        <f aca="false">_xlfn.IFS(G1425&lt;0,"1 Negative",G1425=0,"2 Zero",G1425&lt;=500,"3 1-500",G1425&lt;=2000,"4 501-2000",TRUE(),"5 Above 2000")</f>
        <v>3 1-500</v>
      </c>
      <c r="P1425" s="2" t="n">
        <f aca="false">Lookups!$B$2*M1425+Lookups!$B$3*L1425</f>
        <v>0</v>
      </c>
      <c r="Q1425" s="2" t="str">
        <f aca="false">INDEX(Lookups!$E$2:$E$5,MATCH(P1425,Lookups!$D$2:$D$5,0))</f>
        <v>Low</v>
      </c>
    </row>
    <row r="1426" customFormat="false" ht="15" hidden="false" customHeight="false" outlineLevel="0" collapsed="false">
      <c r="A1426" s="3" t="n">
        <v>1425</v>
      </c>
      <c r="B1426" s="3" t="n">
        <f aca="false">Raw_Data!A1426</f>
        <v>32</v>
      </c>
      <c r="C1426" s="3" t="str">
        <f aca="false">SUBSTITUTE(Raw_Data!B1426,".","")</f>
        <v>student</v>
      </c>
      <c r="D1426" s="3" t="str">
        <f aca="false">Raw_Data!C1426</f>
        <v>single</v>
      </c>
      <c r="E1426" s="3" t="str">
        <f aca="false">Raw_Data!D1426</f>
        <v>tertiary</v>
      </c>
      <c r="F1426" s="3" t="str">
        <f aca="false">Raw_Data!E1426</f>
        <v>no</v>
      </c>
      <c r="G1426" s="3" t="n">
        <f aca="false">Raw_Data!F1426</f>
        <v>0</v>
      </c>
      <c r="H1426" s="3" t="str">
        <f aca="false">Raw_Data!G1426</f>
        <v>no</v>
      </c>
      <c r="I1426" s="3" t="str">
        <f aca="false">Raw_Data!H1426</f>
        <v>no</v>
      </c>
      <c r="J1426" s="2" t="n">
        <f aca="false">IF(F1426="yes",1,0)</f>
        <v>0</v>
      </c>
      <c r="K1426" s="2" t="n">
        <f aca="false">IF(H1426="yes",1,0)</f>
        <v>0</v>
      </c>
      <c r="L1426" s="2" t="n">
        <f aca="false">IF(I1426="yes",1,0)</f>
        <v>0</v>
      </c>
      <c r="M1426" s="2" t="n">
        <f aca="false">IF(G1426&lt;0,1,0)</f>
        <v>0</v>
      </c>
      <c r="N1426" s="2" t="str">
        <f aca="false">_xlfn.IFS(B1426&lt;30,"Under 30",B1426&lt;40,"30-39",B1426&lt;50,"40-49",B1426&lt;60,"50-59",TRUE(),"60+")</f>
        <v>30-39</v>
      </c>
      <c r="O1426" s="2" t="str">
        <f aca="false">_xlfn.IFS(G1426&lt;0,"1 Negative",G1426=0,"2 Zero",G1426&lt;=500,"3 1-500",G1426&lt;=2000,"4 501-2000",TRUE(),"5 Above 2000")</f>
        <v>2 Zero</v>
      </c>
      <c r="P1426" s="2" t="n">
        <f aca="false">Lookups!$B$2*M1426+Lookups!$B$3*L1426</f>
        <v>0</v>
      </c>
      <c r="Q1426" s="2" t="str">
        <f aca="false">INDEX(Lookups!$E$2:$E$5,MATCH(P1426,Lookups!$D$2:$D$5,0))</f>
        <v>Low</v>
      </c>
    </row>
    <row r="1427" customFormat="false" ht="15" hidden="false" customHeight="false" outlineLevel="0" collapsed="false">
      <c r="A1427" s="3" t="n">
        <v>1426</v>
      </c>
      <c r="B1427" s="3" t="n">
        <f aca="false">Raw_Data!A1427</f>
        <v>36</v>
      </c>
      <c r="C1427" s="3" t="str">
        <f aca="false">SUBSTITUTE(Raw_Data!B1427,".","")</f>
        <v>management</v>
      </c>
      <c r="D1427" s="3" t="str">
        <f aca="false">Raw_Data!C1427</f>
        <v>married</v>
      </c>
      <c r="E1427" s="3" t="str">
        <f aca="false">Raw_Data!D1427</f>
        <v>tertiary</v>
      </c>
      <c r="F1427" s="3" t="str">
        <f aca="false">Raw_Data!E1427</f>
        <v>no</v>
      </c>
      <c r="G1427" s="3" t="n">
        <f aca="false">Raw_Data!F1427</f>
        <v>495</v>
      </c>
      <c r="H1427" s="3" t="str">
        <f aca="false">Raw_Data!G1427</f>
        <v>no</v>
      </c>
      <c r="I1427" s="3" t="str">
        <f aca="false">Raw_Data!H1427</f>
        <v>no</v>
      </c>
      <c r="J1427" s="2" t="n">
        <f aca="false">IF(F1427="yes",1,0)</f>
        <v>0</v>
      </c>
      <c r="K1427" s="2" t="n">
        <f aca="false">IF(H1427="yes",1,0)</f>
        <v>0</v>
      </c>
      <c r="L1427" s="2" t="n">
        <f aca="false">IF(I1427="yes",1,0)</f>
        <v>0</v>
      </c>
      <c r="M1427" s="2" t="n">
        <f aca="false">IF(G1427&lt;0,1,0)</f>
        <v>0</v>
      </c>
      <c r="N1427" s="2" t="str">
        <f aca="false">_xlfn.IFS(B1427&lt;30,"Under 30",B1427&lt;40,"30-39",B1427&lt;50,"40-49",B1427&lt;60,"50-59",TRUE(),"60+")</f>
        <v>30-39</v>
      </c>
      <c r="O1427" s="2" t="str">
        <f aca="false">_xlfn.IFS(G1427&lt;0,"1 Negative",G1427=0,"2 Zero",G1427&lt;=500,"3 1-500",G1427&lt;=2000,"4 501-2000",TRUE(),"5 Above 2000")</f>
        <v>3 1-500</v>
      </c>
      <c r="P1427" s="2" t="n">
        <f aca="false">Lookups!$B$2*M1427+Lookups!$B$3*L1427</f>
        <v>0</v>
      </c>
      <c r="Q1427" s="2" t="str">
        <f aca="false">INDEX(Lookups!$E$2:$E$5,MATCH(P1427,Lookups!$D$2:$D$5,0))</f>
        <v>Low</v>
      </c>
    </row>
    <row r="1428" customFormat="false" ht="15" hidden="false" customHeight="false" outlineLevel="0" collapsed="false">
      <c r="A1428" s="3" t="n">
        <v>1427</v>
      </c>
      <c r="B1428" s="3" t="n">
        <f aca="false">Raw_Data!A1428</f>
        <v>38</v>
      </c>
      <c r="C1428" s="3" t="str">
        <f aca="false">SUBSTITUTE(Raw_Data!B1428,".","")</f>
        <v>entrepreneur</v>
      </c>
      <c r="D1428" s="3" t="str">
        <f aca="false">Raw_Data!C1428</f>
        <v>married</v>
      </c>
      <c r="E1428" s="3" t="str">
        <f aca="false">Raw_Data!D1428</f>
        <v>secondary</v>
      </c>
      <c r="F1428" s="3" t="str">
        <f aca="false">Raw_Data!E1428</f>
        <v>no</v>
      </c>
      <c r="G1428" s="3" t="n">
        <f aca="false">Raw_Data!F1428</f>
        <v>157</v>
      </c>
      <c r="H1428" s="3" t="str">
        <f aca="false">Raw_Data!G1428</f>
        <v>no</v>
      </c>
      <c r="I1428" s="3" t="str">
        <f aca="false">Raw_Data!H1428</f>
        <v>yes</v>
      </c>
      <c r="J1428" s="2" t="n">
        <f aca="false">IF(F1428="yes",1,0)</f>
        <v>0</v>
      </c>
      <c r="K1428" s="2" t="n">
        <f aca="false">IF(H1428="yes",1,0)</f>
        <v>0</v>
      </c>
      <c r="L1428" s="2" t="n">
        <f aca="false">IF(I1428="yes",1,0)</f>
        <v>1</v>
      </c>
      <c r="M1428" s="2" t="n">
        <f aca="false">IF(G1428&lt;0,1,0)</f>
        <v>0</v>
      </c>
      <c r="N1428" s="2" t="str">
        <f aca="false">_xlfn.IFS(B1428&lt;30,"Under 30",B1428&lt;40,"30-39",B1428&lt;50,"40-49",B1428&lt;60,"50-59",TRUE(),"60+")</f>
        <v>30-39</v>
      </c>
      <c r="O1428" s="2" t="str">
        <f aca="false">_xlfn.IFS(G1428&lt;0,"1 Negative",G1428=0,"2 Zero",G1428&lt;=500,"3 1-500",G1428&lt;=2000,"4 501-2000",TRUE(),"5 Above 2000")</f>
        <v>3 1-500</v>
      </c>
      <c r="P1428" s="2" t="n">
        <f aca="false">Lookups!$B$2*M1428+Lookups!$B$3*L1428</f>
        <v>1</v>
      </c>
      <c r="Q1428" s="2" t="str">
        <f aca="false">INDEX(Lookups!$E$2:$E$5,MATCH(P1428,Lookups!$D$2:$D$5,0))</f>
        <v>Medium</v>
      </c>
    </row>
    <row r="1429" customFormat="false" ht="15" hidden="false" customHeight="false" outlineLevel="0" collapsed="false">
      <c r="A1429" s="3" t="n">
        <v>1428</v>
      </c>
      <c r="B1429" s="3" t="n">
        <f aca="false">Raw_Data!A1429</f>
        <v>49</v>
      </c>
      <c r="C1429" s="3" t="str">
        <f aca="false">SUBSTITUTE(Raw_Data!B1429,".","")</f>
        <v>self-employed</v>
      </c>
      <c r="D1429" s="3" t="str">
        <f aca="false">Raw_Data!C1429</f>
        <v>married</v>
      </c>
      <c r="E1429" s="3" t="str">
        <f aca="false">Raw_Data!D1429</f>
        <v>secondary</v>
      </c>
      <c r="F1429" s="3" t="str">
        <f aca="false">Raw_Data!E1429</f>
        <v>no</v>
      </c>
      <c r="G1429" s="3" t="n">
        <f aca="false">Raw_Data!F1429</f>
        <v>358</v>
      </c>
      <c r="H1429" s="3" t="str">
        <f aca="false">Raw_Data!G1429</f>
        <v>yes</v>
      </c>
      <c r="I1429" s="3" t="str">
        <f aca="false">Raw_Data!H1429</f>
        <v>yes</v>
      </c>
      <c r="J1429" s="2" t="n">
        <f aca="false">IF(F1429="yes",1,0)</f>
        <v>0</v>
      </c>
      <c r="K1429" s="2" t="n">
        <f aca="false">IF(H1429="yes",1,0)</f>
        <v>1</v>
      </c>
      <c r="L1429" s="2" t="n">
        <f aca="false">IF(I1429="yes",1,0)</f>
        <v>1</v>
      </c>
      <c r="M1429" s="2" t="n">
        <f aca="false">IF(G1429&lt;0,1,0)</f>
        <v>0</v>
      </c>
      <c r="N1429" s="2" t="str">
        <f aca="false">_xlfn.IFS(B1429&lt;30,"Under 30",B1429&lt;40,"30-39",B1429&lt;50,"40-49",B1429&lt;60,"50-59",TRUE(),"60+")</f>
        <v>40-49</v>
      </c>
      <c r="O1429" s="2" t="str">
        <f aca="false">_xlfn.IFS(G1429&lt;0,"1 Negative",G1429=0,"2 Zero",G1429&lt;=500,"3 1-500",G1429&lt;=2000,"4 501-2000",TRUE(),"5 Above 2000")</f>
        <v>3 1-500</v>
      </c>
      <c r="P1429" s="2" t="n">
        <f aca="false">Lookups!$B$2*M1429+Lookups!$B$3*L1429</f>
        <v>1</v>
      </c>
      <c r="Q1429" s="2" t="str">
        <f aca="false">INDEX(Lookups!$E$2:$E$5,MATCH(P1429,Lookups!$D$2:$D$5,0))</f>
        <v>Medium</v>
      </c>
    </row>
    <row r="1430" customFormat="false" ht="15" hidden="false" customHeight="false" outlineLevel="0" collapsed="false">
      <c r="A1430" s="3" t="n">
        <v>1429</v>
      </c>
      <c r="B1430" s="3" t="n">
        <f aca="false">Raw_Data!A1430</f>
        <v>42</v>
      </c>
      <c r="C1430" s="3" t="str">
        <f aca="false">SUBSTITUTE(Raw_Data!B1430,".","")</f>
        <v>services</v>
      </c>
      <c r="D1430" s="3" t="str">
        <f aca="false">Raw_Data!C1430</f>
        <v>married</v>
      </c>
      <c r="E1430" s="3" t="str">
        <f aca="false">Raw_Data!D1430</f>
        <v>secondary</v>
      </c>
      <c r="F1430" s="3" t="str">
        <f aca="false">Raw_Data!E1430</f>
        <v>no</v>
      </c>
      <c r="G1430" s="3" t="n">
        <f aca="false">Raw_Data!F1430</f>
        <v>292</v>
      </c>
      <c r="H1430" s="3" t="str">
        <f aca="false">Raw_Data!G1430</f>
        <v>yes</v>
      </c>
      <c r="I1430" s="3" t="str">
        <f aca="false">Raw_Data!H1430</f>
        <v>no</v>
      </c>
      <c r="J1430" s="2" t="n">
        <f aca="false">IF(F1430="yes",1,0)</f>
        <v>0</v>
      </c>
      <c r="K1430" s="2" t="n">
        <f aca="false">IF(H1430="yes",1,0)</f>
        <v>1</v>
      </c>
      <c r="L1430" s="2" t="n">
        <f aca="false">IF(I1430="yes",1,0)</f>
        <v>0</v>
      </c>
      <c r="M1430" s="2" t="n">
        <f aca="false">IF(G1430&lt;0,1,0)</f>
        <v>0</v>
      </c>
      <c r="N1430" s="2" t="str">
        <f aca="false">_xlfn.IFS(B1430&lt;30,"Under 30",B1430&lt;40,"30-39",B1430&lt;50,"40-49",B1430&lt;60,"50-59",TRUE(),"60+")</f>
        <v>40-49</v>
      </c>
      <c r="O1430" s="2" t="str">
        <f aca="false">_xlfn.IFS(G1430&lt;0,"1 Negative",G1430=0,"2 Zero",G1430&lt;=500,"3 1-500",G1430&lt;=2000,"4 501-2000",TRUE(),"5 Above 2000")</f>
        <v>3 1-500</v>
      </c>
      <c r="P1430" s="2" t="n">
        <f aca="false">Lookups!$B$2*M1430+Lookups!$B$3*L1430</f>
        <v>0</v>
      </c>
      <c r="Q1430" s="2" t="str">
        <f aca="false">INDEX(Lookups!$E$2:$E$5,MATCH(P1430,Lookups!$D$2:$D$5,0))</f>
        <v>Low</v>
      </c>
    </row>
    <row r="1431" customFormat="false" ht="15" hidden="false" customHeight="false" outlineLevel="0" collapsed="false">
      <c r="A1431" s="3" t="n">
        <v>1430</v>
      </c>
      <c r="B1431" s="3" t="n">
        <f aca="false">Raw_Data!A1431</f>
        <v>43</v>
      </c>
      <c r="C1431" s="3" t="str">
        <f aca="false">SUBSTITUTE(Raw_Data!B1431,".","")</f>
        <v>blue-collar</v>
      </c>
      <c r="D1431" s="3" t="str">
        <f aca="false">Raw_Data!C1431</f>
        <v>married</v>
      </c>
      <c r="E1431" s="3" t="str">
        <f aca="false">Raw_Data!D1431</f>
        <v>primary</v>
      </c>
      <c r="F1431" s="3" t="str">
        <f aca="false">Raw_Data!E1431</f>
        <v>no</v>
      </c>
      <c r="G1431" s="3" t="n">
        <f aca="false">Raw_Data!F1431</f>
        <v>7343</v>
      </c>
      <c r="H1431" s="3" t="str">
        <f aca="false">Raw_Data!G1431</f>
        <v>yes</v>
      </c>
      <c r="I1431" s="3" t="str">
        <f aca="false">Raw_Data!H1431</f>
        <v>no</v>
      </c>
      <c r="J1431" s="2" t="n">
        <f aca="false">IF(F1431="yes",1,0)</f>
        <v>0</v>
      </c>
      <c r="K1431" s="2" t="n">
        <f aca="false">IF(H1431="yes",1,0)</f>
        <v>1</v>
      </c>
      <c r="L1431" s="2" t="n">
        <f aca="false">IF(I1431="yes",1,0)</f>
        <v>0</v>
      </c>
      <c r="M1431" s="2" t="n">
        <f aca="false">IF(G1431&lt;0,1,0)</f>
        <v>0</v>
      </c>
      <c r="N1431" s="2" t="str">
        <f aca="false">_xlfn.IFS(B1431&lt;30,"Under 30",B1431&lt;40,"30-39",B1431&lt;50,"40-49",B1431&lt;60,"50-59",TRUE(),"60+")</f>
        <v>40-49</v>
      </c>
      <c r="O1431" s="2" t="str">
        <f aca="false">_xlfn.IFS(G1431&lt;0,"1 Negative",G1431=0,"2 Zero",G1431&lt;=500,"3 1-500",G1431&lt;=2000,"4 501-2000",TRUE(),"5 Above 2000")</f>
        <v>5 Above 2000</v>
      </c>
      <c r="P1431" s="2" t="n">
        <f aca="false">Lookups!$B$2*M1431+Lookups!$B$3*L1431</f>
        <v>0</v>
      </c>
      <c r="Q1431" s="2" t="str">
        <f aca="false">INDEX(Lookups!$E$2:$E$5,MATCH(P1431,Lookups!$D$2:$D$5,0))</f>
        <v>Low</v>
      </c>
    </row>
    <row r="1432" customFormat="false" ht="15" hidden="false" customHeight="false" outlineLevel="0" collapsed="false">
      <c r="A1432" s="3" t="n">
        <v>1431</v>
      </c>
      <c r="B1432" s="3" t="n">
        <f aca="false">Raw_Data!A1432</f>
        <v>34</v>
      </c>
      <c r="C1432" s="3" t="str">
        <f aca="false">SUBSTITUTE(Raw_Data!B1432,".","")</f>
        <v>blue-collar</v>
      </c>
      <c r="D1432" s="3" t="str">
        <f aca="false">Raw_Data!C1432</f>
        <v>married</v>
      </c>
      <c r="E1432" s="3" t="str">
        <f aca="false">Raw_Data!D1432</f>
        <v>secondary</v>
      </c>
      <c r="F1432" s="3" t="str">
        <f aca="false">Raw_Data!E1432</f>
        <v>no</v>
      </c>
      <c r="G1432" s="3" t="n">
        <f aca="false">Raw_Data!F1432</f>
        <v>-563</v>
      </c>
      <c r="H1432" s="3" t="str">
        <f aca="false">Raw_Data!G1432</f>
        <v>yes</v>
      </c>
      <c r="I1432" s="3" t="str">
        <f aca="false">Raw_Data!H1432</f>
        <v>no</v>
      </c>
      <c r="J1432" s="2" t="n">
        <f aca="false">IF(F1432="yes",1,0)</f>
        <v>0</v>
      </c>
      <c r="K1432" s="2" t="n">
        <f aca="false">IF(H1432="yes",1,0)</f>
        <v>1</v>
      </c>
      <c r="L1432" s="2" t="n">
        <f aca="false">IF(I1432="yes",1,0)</f>
        <v>0</v>
      </c>
      <c r="M1432" s="2" t="n">
        <f aca="false">IF(G1432&lt;0,1,0)</f>
        <v>1</v>
      </c>
      <c r="N1432" s="2" t="str">
        <f aca="false">_xlfn.IFS(B1432&lt;30,"Under 30",B1432&lt;40,"30-39",B1432&lt;50,"40-49",B1432&lt;60,"50-59",TRUE(),"60+")</f>
        <v>30-39</v>
      </c>
      <c r="O1432" s="2" t="str">
        <f aca="false">_xlfn.IFS(G1432&lt;0,"1 Negative",G1432=0,"2 Zero",G1432&lt;=500,"3 1-500",G1432&lt;=2000,"4 501-2000",TRUE(),"5 Above 2000")</f>
        <v>1 Negative</v>
      </c>
      <c r="P1432" s="2" t="n">
        <f aca="false">Lookups!$B$2*M1432+Lookups!$B$3*L1432</f>
        <v>2</v>
      </c>
      <c r="Q1432" s="2" t="str">
        <f aca="false">INDEX(Lookups!$E$2:$E$5,MATCH(P1432,Lookups!$D$2:$D$5,0))</f>
        <v>High</v>
      </c>
    </row>
    <row r="1433" customFormat="false" ht="15" hidden="false" customHeight="false" outlineLevel="0" collapsed="false">
      <c r="A1433" s="3" t="n">
        <v>1432</v>
      </c>
      <c r="B1433" s="3" t="n">
        <f aca="false">Raw_Data!A1433</f>
        <v>59</v>
      </c>
      <c r="C1433" s="3" t="str">
        <f aca="false">SUBSTITUTE(Raw_Data!B1433,".","")</f>
        <v>retired</v>
      </c>
      <c r="D1433" s="3" t="str">
        <f aca="false">Raw_Data!C1433</f>
        <v>single</v>
      </c>
      <c r="E1433" s="3" t="str">
        <f aca="false">Raw_Data!D1433</f>
        <v>secondary</v>
      </c>
      <c r="F1433" s="3" t="str">
        <f aca="false">Raw_Data!E1433</f>
        <v>no</v>
      </c>
      <c r="G1433" s="3" t="n">
        <f aca="false">Raw_Data!F1433</f>
        <v>351</v>
      </c>
      <c r="H1433" s="3" t="str">
        <f aca="false">Raw_Data!G1433</f>
        <v>yes</v>
      </c>
      <c r="I1433" s="3" t="str">
        <f aca="false">Raw_Data!H1433</f>
        <v>no</v>
      </c>
      <c r="J1433" s="2" t="n">
        <f aca="false">IF(F1433="yes",1,0)</f>
        <v>0</v>
      </c>
      <c r="K1433" s="2" t="n">
        <f aca="false">IF(H1433="yes",1,0)</f>
        <v>1</v>
      </c>
      <c r="L1433" s="2" t="n">
        <f aca="false">IF(I1433="yes",1,0)</f>
        <v>0</v>
      </c>
      <c r="M1433" s="2" t="n">
        <f aca="false">IF(G1433&lt;0,1,0)</f>
        <v>0</v>
      </c>
      <c r="N1433" s="2" t="str">
        <f aca="false">_xlfn.IFS(B1433&lt;30,"Under 30",B1433&lt;40,"30-39",B1433&lt;50,"40-49",B1433&lt;60,"50-59",TRUE(),"60+")</f>
        <v>50-59</v>
      </c>
      <c r="O1433" s="2" t="str">
        <f aca="false">_xlfn.IFS(G1433&lt;0,"1 Negative",G1433=0,"2 Zero",G1433&lt;=500,"3 1-500",G1433&lt;=2000,"4 501-2000",TRUE(),"5 Above 2000")</f>
        <v>3 1-500</v>
      </c>
      <c r="P1433" s="2" t="n">
        <f aca="false">Lookups!$B$2*M1433+Lookups!$B$3*L1433</f>
        <v>0</v>
      </c>
      <c r="Q1433" s="2" t="str">
        <f aca="false">INDEX(Lookups!$E$2:$E$5,MATCH(P1433,Lookups!$D$2:$D$5,0))</f>
        <v>Low</v>
      </c>
    </row>
    <row r="1434" customFormat="false" ht="15" hidden="false" customHeight="false" outlineLevel="0" collapsed="false">
      <c r="A1434" s="3" t="n">
        <v>1433</v>
      </c>
      <c r="B1434" s="3" t="n">
        <f aca="false">Raw_Data!A1434</f>
        <v>35</v>
      </c>
      <c r="C1434" s="3" t="str">
        <f aca="false">SUBSTITUTE(Raw_Data!B1434,".","")</f>
        <v>unknown</v>
      </c>
      <c r="D1434" s="3" t="str">
        <f aca="false">Raw_Data!C1434</f>
        <v>married</v>
      </c>
      <c r="E1434" s="3" t="str">
        <f aca="false">Raw_Data!D1434</f>
        <v>primary</v>
      </c>
      <c r="F1434" s="3" t="str">
        <f aca="false">Raw_Data!E1434</f>
        <v>no</v>
      </c>
      <c r="G1434" s="3" t="n">
        <f aca="false">Raw_Data!F1434</f>
        <v>365</v>
      </c>
      <c r="H1434" s="3" t="str">
        <f aca="false">Raw_Data!G1434</f>
        <v>no</v>
      </c>
      <c r="I1434" s="3" t="str">
        <f aca="false">Raw_Data!H1434</f>
        <v>no</v>
      </c>
      <c r="J1434" s="2" t="n">
        <f aca="false">IF(F1434="yes",1,0)</f>
        <v>0</v>
      </c>
      <c r="K1434" s="2" t="n">
        <f aca="false">IF(H1434="yes",1,0)</f>
        <v>0</v>
      </c>
      <c r="L1434" s="2" t="n">
        <f aca="false">IF(I1434="yes",1,0)</f>
        <v>0</v>
      </c>
      <c r="M1434" s="2" t="n">
        <f aca="false">IF(G1434&lt;0,1,0)</f>
        <v>0</v>
      </c>
      <c r="N1434" s="2" t="str">
        <f aca="false">_xlfn.IFS(B1434&lt;30,"Under 30",B1434&lt;40,"30-39",B1434&lt;50,"40-49",B1434&lt;60,"50-59",TRUE(),"60+")</f>
        <v>30-39</v>
      </c>
      <c r="O1434" s="2" t="str">
        <f aca="false">_xlfn.IFS(G1434&lt;0,"1 Negative",G1434=0,"2 Zero",G1434&lt;=500,"3 1-500",G1434&lt;=2000,"4 501-2000",TRUE(),"5 Above 2000")</f>
        <v>3 1-500</v>
      </c>
      <c r="P1434" s="2" t="n">
        <f aca="false">Lookups!$B$2*M1434+Lookups!$B$3*L1434</f>
        <v>0</v>
      </c>
      <c r="Q1434" s="2" t="str">
        <f aca="false">INDEX(Lookups!$E$2:$E$5,MATCH(P1434,Lookups!$D$2:$D$5,0))</f>
        <v>Low</v>
      </c>
    </row>
    <row r="1435" customFormat="false" ht="15" hidden="false" customHeight="false" outlineLevel="0" collapsed="false">
      <c r="A1435" s="3" t="n">
        <v>1434</v>
      </c>
      <c r="B1435" s="3" t="n">
        <f aca="false">Raw_Data!A1435</f>
        <v>33</v>
      </c>
      <c r="C1435" s="3" t="str">
        <f aca="false">SUBSTITUTE(Raw_Data!B1435,".","")</f>
        <v>blue-collar</v>
      </c>
      <c r="D1435" s="3" t="str">
        <f aca="false">Raw_Data!C1435</f>
        <v>single</v>
      </c>
      <c r="E1435" s="3" t="str">
        <f aca="false">Raw_Data!D1435</f>
        <v>secondary</v>
      </c>
      <c r="F1435" s="3" t="str">
        <f aca="false">Raw_Data!E1435</f>
        <v>no</v>
      </c>
      <c r="G1435" s="3" t="n">
        <f aca="false">Raw_Data!F1435</f>
        <v>13494</v>
      </c>
      <c r="H1435" s="3" t="str">
        <f aca="false">Raw_Data!G1435</f>
        <v>yes</v>
      </c>
      <c r="I1435" s="3" t="str">
        <f aca="false">Raw_Data!H1435</f>
        <v>no</v>
      </c>
      <c r="J1435" s="2" t="n">
        <f aca="false">IF(F1435="yes",1,0)</f>
        <v>0</v>
      </c>
      <c r="K1435" s="2" t="n">
        <f aca="false">IF(H1435="yes",1,0)</f>
        <v>1</v>
      </c>
      <c r="L1435" s="2" t="n">
        <f aca="false">IF(I1435="yes",1,0)</f>
        <v>0</v>
      </c>
      <c r="M1435" s="2" t="n">
        <f aca="false">IF(G1435&lt;0,1,0)</f>
        <v>0</v>
      </c>
      <c r="N1435" s="2" t="str">
        <f aca="false">_xlfn.IFS(B1435&lt;30,"Under 30",B1435&lt;40,"30-39",B1435&lt;50,"40-49",B1435&lt;60,"50-59",TRUE(),"60+")</f>
        <v>30-39</v>
      </c>
      <c r="O1435" s="2" t="str">
        <f aca="false">_xlfn.IFS(G1435&lt;0,"1 Negative",G1435=0,"2 Zero",G1435&lt;=500,"3 1-500",G1435&lt;=2000,"4 501-2000",TRUE(),"5 Above 2000")</f>
        <v>5 Above 2000</v>
      </c>
      <c r="P1435" s="2" t="n">
        <f aca="false">Lookups!$B$2*M1435+Lookups!$B$3*L1435</f>
        <v>0</v>
      </c>
      <c r="Q1435" s="2" t="str">
        <f aca="false">INDEX(Lookups!$E$2:$E$5,MATCH(P1435,Lookups!$D$2:$D$5,0))</f>
        <v>Low</v>
      </c>
    </row>
    <row r="1436" customFormat="false" ht="15" hidden="false" customHeight="false" outlineLevel="0" collapsed="false">
      <c r="A1436" s="3" t="n">
        <v>1435</v>
      </c>
      <c r="B1436" s="3" t="n">
        <f aca="false">Raw_Data!A1436</f>
        <v>34</v>
      </c>
      <c r="C1436" s="3" t="str">
        <f aca="false">SUBSTITUTE(Raw_Data!B1436,".","")</f>
        <v>admin</v>
      </c>
      <c r="D1436" s="3" t="str">
        <f aca="false">Raw_Data!C1436</f>
        <v>single</v>
      </c>
      <c r="E1436" s="3" t="str">
        <f aca="false">Raw_Data!D1436</f>
        <v>secondary</v>
      </c>
      <c r="F1436" s="3" t="str">
        <f aca="false">Raw_Data!E1436</f>
        <v>no</v>
      </c>
      <c r="G1436" s="3" t="n">
        <f aca="false">Raw_Data!F1436</f>
        <v>846</v>
      </c>
      <c r="H1436" s="3" t="str">
        <f aca="false">Raw_Data!G1436</f>
        <v>yes</v>
      </c>
      <c r="I1436" s="3" t="str">
        <f aca="false">Raw_Data!H1436</f>
        <v>no</v>
      </c>
      <c r="J1436" s="2" t="n">
        <f aca="false">IF(F1436="yes",1,0)</f>
        <v>0</v>
      </c>
      <c r="K1436" s="2" t="n">
        <f aca="false">IF(H1436="yes",1,0)</f>
        <v>1</v>
      </c>
      <c r="L1436" s="2" t="n">
        <f aca="false">IF(I1436="yes",1,0)</f>
        <v>0</v>
      </c>
      <c r="M1436" s="2" t="n">
        <f aca="false">IF(G1436&lt;0,1,0)</f>
        <v>0</v>
      </c>
      <c r="N1436" s="2" t="str">
        <f aca="false">_xlfn.IFS(B1436&lt;30,"Under 30",B1436&lt;40,"30-39",B1436&lt;50,"40-49",B1436&lt;60,"50-59",TRUE(),"60+")</f>
        <v>30-39</v>
      </c>
      <c r="O1436" s="2" t="str">
        <f aca="false">_xlfn.IFS(G1436&lt;0,"1 Negative",G1436=0,"2 Zero",G1436&lt;=500,"3 1-500",G1436&lt;=2000,"4 501-2000",TRUE(),"5 Above 2000")</f>
        <v>4 501-2000</v>
      </c>
      <c r="P1436" s="2" t="n">
        <f aca="false">Lookups!$B$2*M1436+Lookups!$B$3*L1436</f>
        <v>0</v>
      </c>
      <c r="Q1436" s="2" t="str">
        <f aca="false">INDEX(Lookups!$E$2:$E$5,MATCH(P1436,Lookups!$D$2:$D$5,0))</f>
        <v>Low</v>
      </c>
    </row>
    <row r="1437" customFormat="false" ht="15" hidden="false" customHeight="false" outlineLevel="0" collapsed="false">
      <c r="A1437" s="3" t="n">
        <v>1436</v>
      </c>
      <c r="B1437" s="3" t="n">
        <f aca="false">Raw_Data!A1437</f>
        <v>64</v>
      </c>
      <c r="C1437" s="3" t="str">
        <f aca="false">SUBSTITUTE(Raw_Data!B1437,".","")</f>
        <v>retired</v>
      </c>
      <c r="D1437" s="3" t="str">
        <f aca="false">Raw_Data!C1437</f>
        <v>married</v>
      </c>
      <c r="E1437" s="3" t="str">
        <f aca="false">Raw_Data!D1437</f>
        <v>secondary</v>
      </c>
      <c r="F1437" s="3" t="str">
        <f aca="false">Raw_Data!E1437</f>
        <v>no</v>
      </c>
      <c r="G1437" s="3" t="n">
        <f aca="false">Raw_Data!F1437</f>
        <v>1574</v>
      </c>
      <c r="H1437" s="3" t="str">
        <f aca="false">Raw_Data!G1437</f>
        <v>no</v>
      </c>
      <c r="I1437" s="3" t="str">
        <f aca="false">Raw_Data!H1437</f>
        <v>no</v>
      </c>
      <c r="J1437" s="2" t="n">
        <f aca="false">IF(F1437="yes",1,0)</f>
        <v>0</v>
      </c>
      <c r="K1437" s="2" t="n">
        <f aca="false">IF(H1437="yes",1,0)</f>
        <v>0</v>
      </c>
      <c r="L1437" s="2" t="n">
        <f aca="false">IF(I1437="yes",1,0)</f>
        <v>0</v>
      </c>
      <c r="M1437" s="2" t="n">
        <f aca="false">IF(G1437&lt;0,1,0)</f>
        <v>0</v>
      </c>
      <c r="N1437" s="2" t="str">
        <f aca="false">_xlfn.IFS(B1437&lt;30,"Under 30",B1437&lt;40,"30-39",B1437&lt;50,"40-49",B1437&lt;60,"50-59",TRUE(),"60+")</f>
        <v>60+</v>
      </c>
      <c r="O1437" s="2" t="str">
        <f aca="false">_xlfn.IFS(G1437&lt;0,"1 Negative",G1437=0,"2 Zero",G1437&lt;=500,"3 1-500",G1437&lt;=2000,"4 501-2000",TRUE(),"5 Above 2000")</f>
        <v>4 501-2000</v>
      </c>
      <c r="P1437" s="2" t="n">
        <f aca="false">Lookups!$B$2*M1437+Lookups!$B$3*L1437</f>
        <v>0</v>
      </c>
      <c r="Q1437" s="2" t="str">
        <f aca="false">INDEX(Lookups!$E$2:$E$5,MATCH(P1437,Lookups!$D$2:$D$5,0))</f>
        <v>Low</v>
      </c>
    </row>
    <row r="1438" customFormat="false" ht="15" hidden="false" customHeight="false" outlineLevel="0" collapsed="false">
      <c r="A1438" s="3" t="n">
        <v>1437</v>
      </c>
      <c r="B1438" s="3" t="n">
        <f aca="false">Raw_Data!A1438</f>
        <v>34</v>
      </c>
      <c r="C1438" s="3" t="str">
        <f aca="false">SUBSTITUTE(Raw_Data!B1438,".","")</f>
        <v>entrepreneur</v>
      </c>
      <c r="D1438" s="3" t="str">
        <f aca="false">Raw_Data!C1438</f>
        <v>married</v>
      </c>
      <c r="E1438" s="3" t="str">
        <f aca="false">Raw_Data!D1438</f>
        <v>tertiary</v>
      </c>
      <c r="F1438" s="3" t="str">
        <f aca="false">Raw_Data!E1438</f>
        <v>no</v>
      </c>
      <c r="G1438" s="3" t="n">
        <f aca="false">Raw_Data!F1438</f>
        <v>-28</v>
      </c>
      <c r="H1438" s="3" t="str">
        <f aca="false">Raw_Data!G1438</f>
        <v>yes</v>
      </c>
      <c r="I1438" s="3" t="str">
        <f aca="false">Raw_Data!H1438</f>
        <v>no</v>
      </c>
      <c r="J1438" s="2" t="n">
        <f aca="false">IF(F1438="yes",1,0)</f>
        <v>0</v>
      </c>
      <c r="K1438" s="2" t="n">
        <f aca="false">IF(H1438="yes",1,0)</f>
        <v>1</v>
      </c>
      <c r="L1438" s="2" t="n">
        <f aca="false">IF(I1438="yes",1,0)</f>
        <v>0</v>
      </c>
      <c r="M1438" s="2" t="n">
        <f aca="false">IF(G1438&lt;0,1,0)</f>
        <v>1</v>
      </c>
      <c r="N1438" s="2" t="str">
        <f aca="false">_xlfn.IFS(B1438&lt;30,"Under 30",B1438&lt;40,"30-39",B1438&lt;50,"40-49",B1438&lt;60,"50-59",TRUE(),"60+")</f>
        <v>30-39</v>
      </c>
      <c r="O1438" s="2" t="str">
        <f aca="false">_xlfn.IFS(G1438&lt;0,"1 Negative",G1438=0,"2 Zero",G1438&lt;=500,"3 1-500",G1438&lt;=2000,"4 501-2000",TRUE(),"5 Above 2000")</f>
        <v>1 Negative</v>
      </c>
      <c r="P1438" s="2" t="n">
        <f aca="false">Lookups!$B$2*M1438+Lookups!$B$3*L1438</f>
        <v>2</v>
      </c>
      <c r="Q1438" s="2" t="str">
        <f aca="false">INDEX(Lookups!$E$2:$E$5,MATCH(P1438,Lookups!$D$2:$D$5,0))</f>
        <v>High</v>
      </c>
    </row>
    <row r="1439" customFormat="false" ht="15" hidden="false" customHeight="false" outlineLevel="0" collapsed="false">
      <c r="A1439" s="3" t="n">
        <v>1438</v>
      </c>
      <c r="B1439" s="3" t="n">
        <f aca="false">Raw_Data!A1439</f>
        <v>77</v>
      </c>
      <c r="C1439" s="3" t="str">
        <f aca="false">SUBSTITUTE(Raw_Data!B1439,".","")</f>
        <v>retired</v>
      </c>
      <c r="D1439" s="3" t="str">
        <f aca="false">Raw_Data!C1439</f>
        <v>married</v>
      </c>
      <c r="E1439" s="3" t="str">
        <f aca="false">Raw_Data!D1439</f>
        <v>tertiary</v>
      </c>
      <c r="F1439" s="3" t="str">
        <f aca="false">Raw_Data!E1439</f>
        <v>no</v>
      </c>
      <c r="G1439" s="3" t="n">
        <f aca="false">Raw_Data!F1439</f>
        <v>0</v>
      </c>
      <c r="H1439" s="3" t="str">
        <f aca="false">Raw_Data!G1439</f>
        <v>no</v>
      </c>
      <c r="I1439" s="3" t="str">
        <f aca="false">Raw_Data!H1439</f>
        <v>no</v>
      </c>
      <c r="J1439" s="2" t="n">
        <f aca="false">IF(F1439="yes",1,0)</f>
        <v>0</v>
      </c>
      <c r="K1439" s="2" t="n">
        <f aca="false">IF(H1439="yes",1,0)</f>
        <v>0</v>
      </c>
      <c r="L1439" s="2" t="n">
        <f aca="false">IF(I1439="yes",1,0)</f>
        <v>0</v>
      </c>
      <c r="M1439" s="2" t="n">
        <f aca="false">IF(G1439&lt;0,1,0)</f>
        <v>0</v>
      </c>
      <c r="N1439" s="2" t="str">
        <f aca="false">_xlfn.IFS(B1439&lt;30,"Under 30",B1439&lt;40,"30-39",B1439&lt;50,"40-49",B1439&lt;60,"50-59",TRUE(),"60+")</f>
        <v>60+</v>
      </c>
      <c r="O1439" s="2" t="str">
        <f aca="false">_xlfn.IFS(G1439&lt;0,"1 Negative",G1439=0,"2 Zero",G1439&lt;=500,"3 1-500",G1439&lt;=2000,"4 501-2000",TRUE(),"5 Above 2000")</f>
        <v>2 Zero</v>
      </c>
      <c r="P1439" s="2" t="n">
        <f aca="false">Lookups!$B$2*M1439+Lookups!$B$3*L1439</f>
        <v>0</v>
      </c>
      <c r="Q1439" s="2" t="str">
        <f aca="false">INDEX(Lookups!$E$2:$E$5,MATCH(P1439,Lookups!$D$2:$D$5,0))</f>
        <v>Low</v>
      </c>
    </row>
    <row r="1440" customFormat="false" ht="15" hidden="false" customHeight="false" outlineLevel="0" collapsed="false">
      <c r="A1440" s="3" t="n">
        <v>1439</v>
      </c>
      <c r="B1440" s="3" t="n">
        <f aca="false">Raw_Data!A1440</f>
        <v>57</v>
      </c>
      <c r="C1440" s="3" t="str">
        <f aca="false">SUBSTITUTE(Raw_Data!B1440,".","")</f>
        <v>retired</v>
      </c>
      <c r="D1440" s="3" t="str">
        <f aca="false">Raw_Data!C1440</f>
        <v>married</v>
      </c>
      <c r="E1440" s="3" t="str">
        <f aca="false">Raw_Data!D1440</f>
        <v>primary</v>
      </c>
      <c r="F1440" s="3" t="str">
        <f aca="false">Raw_Data!E1440</f>
        <v>no</v>
      </c>
      <c r="G1440" s="3" t="n">
        <f aca="false">Raw_Data!F1440</f>
        <v>2927</v>
      </c>
      <c r="H1440" s="3" t="str">
        <f aca="false">Raw_Data!G1440</f>
        <v>no</v>
      </c>
      <c r="I1440" s="3" t="str">
        <f aca="false">Raw_Data!H1440</f>
        <v>yes</v>
      </c>
      <c r="J1440" s="2" t="n">
        <f aca="false">IF(F1440="yes",1,0)</f>
        <v>0</v>
      </c>
      <c r="K1440" s="2" t="n">
        <f aca="false">IF(H1440="yes",1,0)</f>
        <v>0</v>
      </c>
      <c r="L1440" s="2" t="n">
        <f aca="false">IF(I1440="yes",1,0)</f>
        <v>1</v>
      </c>
      <c r="M1440" s="2" t="n">
        <f aca="false">IF(G1440&lt;0,1,0)</f>
        <v>0</v>
      </c>
      <c r="N1440" s="2" t="str">
        <f aca="false">_xlfn.IFS(B1440&lt;30,"Under 30",B1440&lt;40,"30-39",B1440&lt;50,"40-49",B1440&lt;60,"50-59",TRUE(),"60+")</f>
        <v>50-59</v>
      </c>
      <c r="O1440" s="2" t="str">
        <f aca="false">_xlfn.IFS(G1440&lt;0,"1 Negative",G1440=0,"2 Zero",G1440&lt;=500,"3 1-500",G1440&lt;=2000,"4 501-2000",TRUE(),"5 Above 2000")</f>
        <v>5 Above 2000</v>
      </c>
      <c r="P1440" s="2" t="n">
        <f aca="false">Lookups!$B$2*M1440+Lookups!$B$3*L1440</f>
        <v>1</v>
      </c>
      <c r="Q1440" s="2" t="str">
        <f aca="false">INDEX(Lookups!$E$2:$E$5,MATCH(P1440,Lookups!$D$2:$D$5,0))</f>
        <v>Medium</v>
      </c>
    </row>
    <row r="1441" customFormat="false" ht="15" hidden="false" customHeight="false" outlineLevel="0" collapsed="false">
      <c r="A1441" s="3" t="n">
        <v>1440</v>
      </c>
      <c r="B1441" s="3" t="n">
        <f aca="false">Raw_Data!A1441</f>
        <v>30</v>
      </c>
      <c r="C1441" s="3" t="str">
        <f aca="false">SUBSTITUTE(Raw_Data!B1441,".","")</f>
        <v>blue-collar</v>
      </c>
      <c r="D1441" s="3" t="str">
        <f aca="false">Raw_Data!C1441</f>
        <v>married</v>
      </c>
      <c r="E1441" s="3" t="str">
        <f aca="false">Raw_Data!D1441</f>
        <v>secondary</v>
      </c>
      <c r="F1441" s="3" t="str">
        <f aca="false">Raw_Data!E1441</f>
        <v>no</v>
      </c>
      <c r="G1441" s="3" t="n">
        <f aca="false">Raw_Data!F1441</f>
        <v>501</v>
      </c>
      <c r="H1441" s="3" t="str">
        <f aca="false">Raw_Data!G1441</f>
        <v>yes</v>
      </c>
      <c r="I1441" s="3" t="str">
        <f aca="false">Raw_Data!H1441</f>
        <v>yes</v>
      </c>
      <c r="J1441" s="2" t="n">
        <f aca="false">IF(F1441="yes",1,0)</f>
        <v>0</v>
      </c>
      <c r="K1441" s="2" t="n">
        <f aca="false">IF(H1441="yes",1,0)</f>
        <v>1</v>
      </c>
      <c r="L1441" s="2" t="n">
        <f aca="false">IF(I1441="yes",1,0)</f>
        <v>1</v>
      </c>
      <c r="M1441" s="2" t="n">
        <f aca="false">IF(G1441&lt;0,1,0)</f>
        <v>0</v>
      </c>
      <c r="N1441" s="2" t="str">
        <f aca="false">_xlfn.IFS(B1441&lt;30,"Under 30",B1441&lt;40,"30-39",B1441&lt;50,"40-49",B1441&lt;60,"50-59",TRUE(),"60+")</f>
        <v>30-39</v>
      </c>
      <c r="O1441" s="2" t="str">
        <f aca="false">_xlfn.IFS(G1441&lt;0,"1 Negative",G1441=0,"2 Zero",G1441&lt;=500,"3 1-500",G1441&lt;=2000,"4 501-2000",TRUE(),"5 Above 2000")</f>
        <v>4 501-2000</v>
      </c>
      <c r="P1441" s="2" t="n">
        <f aca="false">Lookups!$B$2*M1441+Lookups!$B$3*L1441</f>
        <v>1</v>
      </c>
      <c r="Q1441" s="2" t="str">
        <f aca="false">INDEX(Lookups!$E$2:$E$5,MATCH(P1441,Lookups!$D$2:$D$5,0))</f>
        <v>Medium</v>
      </c>
    </row>
    <row r="1442" customFormat="false" ht="15" hidden="false" customHeight="false" outlineLevel="0" collapsed="false">
      <c r="A1442" s="3" t="n">
        <v>1441</v>
      </c>
      <c r="B1442" s="3" t="n">
        <f aca="false">Raw_Data!A1442</f>
        <v>56</v>
      </c>
      <c r="C1442" s="3" t="str">
        <f aca="false">SUBSTITUTE(Raw_Data!B1442,".","")</f>
        <v>housemaid</v>
      </c>
      <c r="D1442" s="3" t="str">
        <f aca="false">Raw_Data!C1442</f>
        <v>divorced</v>
      </c>
      <c r="E1442" s="3" t="str">
        <f aca="false">Raw_Data!D1442</f>
        <v>primary</v>
      </c>
      <c r="F1442" s="3" t="str">
        <f aca="false">Raw_Data!E1442</f>
        <v>yes</v>
      </c>
      <c r="G1442" s="3" t="n">
        <f aca="false">Raw_Data!F1442</f>
        <v>1238</v>
      </c>
      <c r="H1442" s="3" t="str">
        <f aca="false">Raw_Data!G1442</f>
        <v>no</v>
      </c>
      <c r="I1442" s="3" t="str">
        <f aca="false">Raw_Data!H1442</f>
        <v>no</v>
      </c>
      <c r="J1442" s="2" t="n">
        <f aca="false">IF(F1442="yes",1,0)</f>
        <v>1</v>
      </c>
      <c r="K1442" s="2" t="n">
        <f aca="false">IF(H1442="yes",1,0)</f>
        <v>0</v>
      </c>
      <c r="L1442" s="2" t="n">
        <f aca="false">IF(I1442="yes",1,0)</f>
        <v>0</v>
      </c>
      <c r="M1442" s="2" t="n">
        <f aca="false">IF(G1442&lt;0,1,0)</f>
        <v>0</v>
      </c>
      <c r="N1442" s="2" t="str">
        <f aca="false">_xlfn.IFS(B1442&lt;30,"Under 30",B1442&lt;40,"30-39",B1442&lt;50,"40-49",B1442&lt;60,"50-59",TRUE(),"60+")</f>
        <v>50-59</v>
      </c>
      <c r="O1442" s="2" t="str">
        <f aca="false">_xlfn.IFS(G1442&lt;0,"1 Negative",G1442=0,"2 Zero",G1442&lt;=500,"3 1-500",G1442&lt;=2000,"4 501-2000",TRUE(),"5 Above 2000")</f>
        <v>4 501-2000</v>
      </c>
      <c r="P1442" s="2" t="n">
        <f aca="false">Lookups!$B$2*M1442+Lookups!$B$3*L1442</f>
        <v>0</v>
      </c>
      <c r="Q1442" s="2" t="str">
        <f aca="false">INDEX(Lookups!$E$2:$E$5,MATCH(P1442,Lookups!$D$2:$D$5,0))</f>
        <v>Low</v>
      </c>
    </row>
    <row r="1443" customFormat="false" ht="15" hidden="false" customHeight="false" outlineLevel="0" collapsed="false">
      <c r="A1443" s="3" t="n">
        <v>1442</v>
      </c>
      <c r="B1443" s="3" t="n">
        <f aca="false">Raw_Data!A1443</f>
        <v>49</v>
      </c>
      <c r="C1443" s="3" t="str">
        <f aca="false">SUBSTITUTE(Raw_Data!B1443,".","")</f>
        <v>unknown</v>
      </c>
      <c r="D1443" s="3" t="str">
        <f aca="false">Raw_Data!C1443</f>
        <v>married</v>
      </c>
      <c r="E1443" s="3" t="str">
        <f aca="false">Raw_Data!D1443</f>
        <v>unknown</v>
      </c>
      <c r="F1443" s="3" t="str">
        <f aca="false">Raw_Data!E1443</f>
        <v>no</v>
      </c>
      <c r="G1443" s="3" t="n">
        <f aca="false">Raw_Data!F1443</f>
        <v>301</v>
      </c>
      <c r="H1443" s="3" t="str">
        <f aca="false">Raw_Data!G1443</f>
        <v>no</v>
      </c>
      <c r="I1443" s="3" t="str">
        <f aca="false">Raw_Data!H1443</f>
        <v>no</v>
      </c>
      <c r="J1443" s="2" t="n">
        <f aca="false">IF(F1443="yes",1,0)</f>
        <v>0</v>
      </c>
      <c r="K1443" s="2" t="n">
        <f aca="false">IF(H1443="yes",1,0)</f>
        <v>0</v>
      </c>
      <c r="L1443" s="2" t="n">
        <f aca="false">IF(I1443="yes",1,0)</f>
        <v>0</v>
      </c>
      <c r="M1443" s="2" t="n">
        <f aca="false">IF(G1443&lt;0,1,0)</f>
        <v>0</v>
      </c>
      <c r="N1443" s="2" t="str">
        <f aca="false">_xlfn.IFS(B1443&lt;30,"Under 30",B1443&lt;40,"30-39",B1443&lt;50,"40-49",B1443&lt;60,"50-59",TRUE(),"60+")</f>
        <v>40-49</v>
      </c>
      <c r="O1443" s="2" t="str">
        <f aca="false">_xlfn.IFS(G1443&lt;0,"1 Negative",G1443=0,"2 Zero",G1443&lt;=500,"3 1-500",G1443&lt;=2000,"4 501-2000",TRUE(),"5 Above 2000")</f>
        <v>3 1-500</v>
      </c>
      <c r="P1443" s="2" t="n">
        <f aca="false">Lookups!$B$2*M1443+Lookups!$B$3*L1443</f>
        <v>0</v>
      </c>
      <c r="Q1443" s="2" t="str">
        <f aca="false">INDEX(Lookups!$E$2:$E$5,MATCH(P1443,Lookups!$D$2:$D$5,0))</f>
        <v>Low</v>
      </c>
    </row>
    <row r="1444" customFormat="false" ht="15" hidden="false" customHeight="false" outlineLevel="0" collapsed="false">
      <c r="A1444" s="3" t="n">
        <v>1443</v>
      </c>
      <c r="B1444" s="3" t="n">
        <f aca="false">Raw_Data!A1444</f>
        <v>73</v>
      </c>
      <c r="C1444" s="3" t="str">
        <f aca="false">SUBSTITUTE(Raw_Data!B1444,".","")</f>
        <v>retired</v>
      </c>
      <c r="D1444" s="3" t="str">
        <f aca="false">Raw_Data!C1444</f>
        <v>married</v>
      </c>
      <c r="E1444" s="3" t="str">
        <f aca="false">Raw_Data!D1444</f>
        <v>primary</v>
      </c>
      <c r="F1444" s="3" t="str">
        <f aca="false">Raw_Data!E1444</f>
        <v>no</v>
      </c>
      <c r="G1444" s="3" t="n">
        <f aca="false">Raw_Data!F1444</f>
        <v>1388</v>
      </c>
      <c r="H1444" s="3" t="str">
        <f aca="false">Raw_Data!G1444</f>
        <v>no</v>
      </c>
      <c r="I1444" s="3" t="str">
        <f aca="false">Raw_Data!H1444</f>
        <v>no</v>
      </c>
      <c r="J1444" s="2" t="n">
        <f aca="false">IF(F1444="yes",1,0)</f>
        <v>0</v>
      </c>
      <c r="K1444" s="2" t="n">
        <f aca="false">IF(H1444="yes",1,0)</f>
        <v>0</v>
      </c>
      <c r="L1444" s="2" t="n">
        <f aca="false">IF(I1444="yes",1,0)</f>
        <v>0</v>
      </c>
      <c r="M1444" s="2" t="n">
        <f aca="false">IF(G1444&lt;0,1,0)</f>
        <v>0</v>
      </c>
      <c r="N1444" s="2" t="str">
        <f aca="false">_xlfn.IFS(B1444&lt;30,"Under 30",B1444&lt;40,"30-39",B1444&lt;50,"40-49",B1444&lt;60,"50-59",TRUE(),"60+")</f>
        <v>60+</v>
      </c>
      <c r="O1444" s="2" t="str">
        <f aca="false">_xlfn.IFS(G1444&lt;0,"1 Negative",G1444=0,"2 Zero",G1444&lt;=500,"3 1-500",G1444&lt;=2000,"4 501-2000",TRUE(),"5 Above 2000")</f>
        <v>4 501-2000</v>
      </c>
      <c r="P1444" s="2" t="n">
        <f aca="false">Lookups!$B$2*M1444+Lookups!$B$3*L1444</f>
        <v>0</v>
      </c>
      <c r="Q1444" s="2" t="str">
        <f aca="false">INDEX(Lookups!$E$2:$E$5,MATCH(P1444,Lookups!$D$2:$D$5,0))</f>
        <v>Low</v>
      </c>
    </row>
    <row r="1445" customFormat="false" ht="15" hidden="false" customHeight="false" outlineLevel="0" collapsed="false">
      <c r="A1445" s="3" t="n">
        <v>1444</v>
      </c>
      <c r="B1445" s="3" t="n">
        <f aca="false">Raw_Data!A1445</f>
        <v>39</v>
      </c>
      <c r="C1445" s="3" t="str">
        <f aca="false">SUBSTITUTE(Raw_Data!B1445,".","")</f>
        <v>technician</v>
      </c>
      <c r="D1445" s="3" t="str">
        <f aca="false">Raw_Data!C1445</f>
        <v>single</v>
      </c>
      <c r="E1445" s="3" t="str">
        <f aca="false">Raw_Data!D1445</f>
        <v>secondary</v>
      </c>
      <c r="F1445" s="3" t="str">
        <f aca="false">Raw_Data!E1445</f>
        <v>no</v>
      </c>
      <c r="G1445" s="3" t="n">
        <f aca="false">Raw_Data!F1445</f>
        <v>102</v>
      </c>
      <c r="H1445" s="3" t="str">
        <f aca="false">Raw_Data!G1445</f>
        <v>yes</v>
      </c>
      <c r="I1445" s="3" t="str">
        <f aca="false">Raw_Data!H1445</f>
        <v>no</v>
      </c>
      <c r="J1445" s="2" t="n">
        <f aca="false">IF(F1445="yes",1,0)</f>
        <v>0</v>
      </c>
      <c r="K1445" s="2" t="n">
        <f aca="false">IF(H1445="yes",1,0)</f>
        <v>1</v>
      </c>
      <c r="L1445" s="2" t="n">
        <f aca="false">IF(I1445="yes",1,0)</f>
        <v>0</v>
      </c>
      <c r="M1445" s="2" t="n">
        <f aca="false">IF(G1445&lt;0,1,0)</f>
        <v>0</v>
      </c>
      <c r="N1445" s="2" t="str">
        <f aca="false">_xlfn.IFS(B1445&lt;30,"Under 30",B1445&lt;40,"30-39",B1445&lt;50,"40-49",B1445&lt;60,"50-59",TRUE(),"60+")</f>
        <v>30-39</v>
      </c>
      <c r="O1445" s="2" t="str">
        <f aca="false">_xlfn.IFS(G1445&lt;0,"1 Negative",G1445=0,"2 Zero",G1445&lt;=500,"3 1-500",G1445&lt;=2000,"4 501-2000",TRUE(),"5 Above 2000")</f>
        <v>3 1-500</v>
      </c>
      <c r="P1445" s="2" t="n">
        <f aca="false">Lookups!$B$2*M1445+Lookups!$B$3*L1445</f>
        <v>0</v>
      </c>
      <c r="Q1445" s="2" t="str">
        <f aca="false">INDEX(Lookups!$E$2:$E$5,MATCH(P1445,Lookups!$D$2:$D$5,0))</f>
        <v>Low</v>
      </c>
    </row>
    <row r="1446" customFormat="false" ht="15" hidden="false" customHeight="false" outlineLevel="0" collapsed="false">
      <c r="A1446" s="3" t="n">
        <v>1445</v>
      </c>
      <c r="B1446" s="3" t="n">
        <f aca="false">Raw_Data!A1446</f>
        <v>57</v>
      </c>
      <c r="C1446" s="3" t="str">
        <f aca="false">SUBSTITUTE(Raw_Data!B1446,".","")</f>
        <v>technician</v>
      </c>
      <c r="D1446" s="3" t="str">
        <f aca="false">Raw_Data!C1446</f>
        <v>divorced</v>
      </c>
      <c r="E1446" s="3" t="str">
        <f aca="false">Raw_Data!D1446</f>
        <v>primary</v>
      </c>
      <c r="F1446" s="3" t="str">
        <f aca="false">Raw_Data!E1446</f>
        <v>no</v>
      </c>
      <c r="G1446" s="3" t="n">
        <f aca="false">Raw_Data!F1446</f>
        <v>13</v>
      </c>
      <c r="H1446" s="3" t="str">
        <f aca="false">Raw_Data!G1446</f>
        <v>yes</v>
      </c>
      <c r="I1446" s="3" t="str">
        <f aca="false">Raw_Data!H1446</f>
        <v>no</v>
      </c>
      <c r="J1446" s="2" t="n">
        <f aca="false">IF(F1446="yes",1,0)</f>
        <v>0</v>
      </c>
      <c r="K1446" s="2" t="n">
        <f aca="false">IF(H1446="yes",1,0)</f>
        <v>1</v>
      </c>
      <c r="L1446" s="2" t="n">
        <f aca="false">IF(I1446="yes",1,0)</f>
        <v>0</v>
      </c>
      <c r="M1446" s="2" t="n">
        <f aca="false">IF(G1446&lt;0,1,0)</f>
        <v>0</v>
      </c>
      <c r="N1446" s="2" t="str">
        <f aca="false">_xlfn.IFS(B1446&lt;30,"Under 30",B1446&lt;40,"30-39",B1446&lt;50,"40-49",B1446&lt;60,"50-59",TRUE(),"60+")</f>
        <v>50-59</v>
      </c>
      <c r="O1446" s="2" t="str">
        <f aca="false">_xlfn.IFS(G1446&lt;0,"1 Negative",G1446=0,"2 Zero",G1446&lt;=500,"3 1-500",G1446&lt;=2000,"4 501-2000",TRUE(),"5 Above 2000")</f>
        <v>3 1-500</v>
      </c>
      <c r="P1446" s="2" t="n">
        <f aca="false">Lookups!$B$2*M1446+Lookups!$B$3*L1446</f>
        <v>0</v>
      </c>
      <c r="Q1446" s="2" t="str">
        <f aca="false">INDEX(Lookups!$E$2:$E$5,MATCH(P1446,Lookups!$D$2:$D$5,0))</f>
        <v>Low</v>
      </c>
    </row>
    <row r="1447" customFormat="false" ht="15" hidden="false" customHeight="false" outlineLevel="0" collapsed="false">
      <c r="A1447" s="3" t="n">
        <v>1446</v>
      </c>
      <c r="B1447" s="3" t="n">
        <f aca="false">Raw_Data!A1447</f>
        <v>32</v>
      </c>
      <c r="C1447" s="3" t="str">
        <f aca="false">SUBSTITUTE(Raw_Data!B1447,".","")</f>
        <v>self-employed</v>
      </c>
      <c r="D1447" s="3" t="str">
        <f aca="false">Raw_Data!C1447</f>
        <v>married</v>
      </c>
      <c r="E1447" s="3" t="str">
        <f aca="false">Raw_Data!D1447</f>
        <v>secondary</v>
      </c>
      <c r="F1447" s="3" t="str">
        <f aca="false">Raw_Data!E1447</f>
        <v>no</v>
      </c>
      <c r="G1447" s="3" t="n">
        <f aca="false">Raw_Data!F1447</f>
        <v>413</v>
      </c>
      <c r="H1447" s="3" t="str">
        <f aca="false">Raw_Data!G1447</f>
        <v>yes</v>
      </c>
      <c r="I1447" s="3" t="str">
        <f aca="false">Raw_Data!H1447</f>
        <v>no</v>
      </c>
      <c r="J1447" s="2" t="n">
        <f aca="false">IF(F1447="yes",1,0)</f>
        <v>0</v>
      </c>
      <c r="K1447" s="2" t="n">
        <f aca="false">IF(H1447="yes",1,0)</f>
        <v>1</v>
      </c>
      <c r="L1447" s="2" t="n">
        <f aca="false">IF(I1447="yes",1,0)</f>
        <v>0</v>
      </c>
      <c r="M1447" s="2" t="n">
        <f aca="false">IF(G1447&lt;0,1,0)</f>
        <v>0</v>
      </c>
      <c r="N1447" s="2" t="str">
        <f aca="false">_xlfn.IFS(B1447&lt;30,"Under 30",B1447&lt;40,"30-39",B1447&lt;50,"40-49",B1447&lt;60,"50-59",TRUE(),"60+")</f>
        <v>30-39</v>
      </c>
      <c r="O1447" s="2" t="str">
        <f aca="false">_xlfn.IFS(G1447&lt;0,"1 Negative",G1447=0,"2 Zero",G1447&lt;=500,"3 1-500",G1447&lt;=2000,"4 501-2000",TRUE(),"5 Above 2000")</f>
        <v>3 1-500</v>
      </c>
      <c r="P1447" s="2" t="n">
        <f aca="false">Lookups!$B$2*M1447+Lookups!$B$3*L1447</f>
        <v>0</v>
      </c>
      <c r="Q1447" s="2" t="str">
        <f aca="false">INDEX(Lookups!$E$2:$E$5,MATCH(P1447,Lookups!$D$2:$D$5,0))</f>
        <v>Low</v>
      </c>
    </row>
    <row r="1448" customFormat="false" ht="15" hidden="false" customHeight="false" outlineLevel="0" collapsed="false">
      <c r="A1448" s="3" t="n">
        <v>1447</v>
      </c>
      <c r="B1448" s="3" t="n">
        <f aca="false">Raw_Data!A1448</f>
        <v>32</v>
      </c>
      <c r="C1448" s="3" t="str">
        <f aca="false">SUBSTITUTE(Raw_Data!B1448,".","")</f>
        <v>technician</v>
      </c>
      <c r="D1448" s="3" t="str">
        <f aca="false">Raw_Data!C1448</f>
        <v>single</v>
      </c>
      <c r="E1448" s="3" t="str">
        <f aca="false">Raw_Data!D1448</f>
        <v>tertiary</v>
      </c>
      <c r="F1448" s="3" t="str">
        <f aca="false">Raw_Data!E1448</f>
        <v>no</v>
      </c>
      <c r="G1448" s="3" t="n">
        <f aca="false">Raw_Data!F1448</f>
        <v>4665</v>
      </c>
      <c r="H1448" s="3" t="str">
        <f aca="false">Raw_Data!G1448</f>
        <v>yes</v>
      </c>
      <c r="I1448" s="3" t="str">
        <f aca="false">Raw_Data!H1448</f>
        <v>no</v>
      </c>
      <c r="J1448" s="2" t="n">
        <f aca="false">IF(F1448="yes",1,0)</f>
        <v>0</v>
      </c>
      <c r="K1448" s="2" t="n">
        <f aca="false">IF(H1448="yes",1,0)</f>
        <v>1</v>
      </c>
      <c r="L1448" s="2" t="n">
        <f aca="false">IF(I1448="yes",1,0)</f>
        <v>0</v>
      </c>
      <c r="M1448" s="2" t="n">
        <f aca="false">IF(G1448&lt;0,1,0)</f>
        <v>0</v>
      </c>
      <c r="N1448" s="2" t="str">
        <f aca="false">_xlfn.IFS(B1448&lt;30,"Under 30",B1448&lt;40,"30-39",B1448&lt;50,"40-49",B1448&lt;60,"50-59",TRUE(),"60+")</f>
        <v>30-39</v>
      </c>
      <c r="O1448" s="2" t="str">
        <f aca="false">_xlfn.IFS(G1448&lt;0,"1 Negative",G1448=0,"2 Zero",G1448&lt;=500,"3 1-500",G1448&lt;=2000,"4 501-2000",TRUE(),"5 Above 2000")</f>
        <v>5 Above 2000</v>
      </c>
      <c r="P1448" s="2" t="n">
        <f aca="false">Lookups!$B$2*M1448+Lookups!$B$3*L1448</f>
        <v>0</v>
      </c>
      <c r="Q1448" s="2" t="str">
        <f aca="false">INDEX(Lookups!$E$2:$E$5,MATCH(P1448,Lookups!$D$2:$D$5,0))</f>
        <v>Low</v>
      </c>
    </row>
    <row r="1449" customFormat="false" ht="15" hidden="false" customHeight="false" outlineLevel="0" collapsed="false">
      <c r="A1449" s="3" t="n">
        <v>1448</v>
      </c>
      <c r="B1449" s="3" t="n">
        <f aca="false">Raw_Data!A1449</f>
        <v>45</v>
      </c>
      <c r="C1449" s="3" t="str">
        <f aca="false">SUBSTITUTE(Raw_Data!B1449,".","")</f>
        <v>admin</v>
      </c>
      <c r="D1449" s="3" t="str">
        <f aca="false">Raw_Data!C1449</f>
        <v>married</v>
      </c>
      <c r="E1449" s="3" t="str">
        <f aca="false">Raw_Data!D1449</f>
        <v>secondary</v>
      </c>
      <c r="F1449" s="3" t="str">
        <f aca="false">Raw_Data!E1449</f>
        <v>no</v>
      </c>
      <c r="G1449" s="3" t="n">
        <f aca="false">Raw_Data!F1449</f>
        <v>638</v>
      </c>
      <c r="H1449" s="3" t="str">
        <f aca="false">Raw_Data!G1449</f>
        <v>yes</v>
      </c>
      <c r="I1449" s="3" t="str">
        <f aca="false">Raw_Data!H1449</f>
        <v>no</v>
      </c>
      <c r="J1449" s="2" t="n">
        <f aca="false">IF(F1449="yes",1,0)</f>
        <v>0</v>
      </c>
      <c r="K1449" s="2" t="n">
        <f aca="false">IF(H1449="yes",1,0)</f>
        <v>1</v>
      </c>
      <c r="L1449" s="2" t="n">
        <f aca="false">IF(I1449="yes",1,0)</f>
        <v>0</v>
      </c>
      <c r="M1449" s="2" t="n">
        <f aca="false">IF(G1449&lt;0,1,0)</f>
        <v>0</v>
      </c>
      <c r="N1449" s="2" t="str">
        <f aca="false">_xlfn.IFS(B1449&lt;30,"Under 30",B1449&lt;40,"30-39",B1449&lt;50,"40-49",B1449&lt;60,"50-59",TRUE(),"60+")</f>
        <v>40-49</v>
      </c>
      <c r="O1449" s="2" t="str">
        <f aca="false">_xlfn.IFS(G1449&lt;0,"1 Negative",G1449=0,"2 Zero",G1449&lt;=500,"3 1-500",G1449&lt;=2000,"4 501-2000",TRUE(),"5 Above 2000")</f>
        <v>4 501-2000</v>
      </c>
      <c r="P1449" s="2" t="n">
        <f aca="false">Lookups!$B$2*M1449+Lookups!$B$3*L1449</f>
        <v>0</v>
      </c>
      <c r="Q1449" s="2" t="str">
        <f aca="false">INDEX(Lookups!$E$2:$E$5,MATCH(P1449,Lookups!$D$2:$D$5,0))</f>
        <v>Low</v>
      </c>
    </row>
    <row r="1450" customFormat="false" ht="15" hidden="false" customHeight="false" outlineLevel="0" collapsed="false">
      <c r="A1450" s="3" t="n">
        <v>1449</v>
      </c>
      <c r="B1450" s="3" t="n">
        <f aca="false">Raw_Data!A1450</f>
        <v>32</v>
      </c>
      <c r="C1450" s="3" t="str">
        <f aca="false">SUBSTITUTE(Raw_Data!B1450,".","")</f>
        <v>blue-collar</v>
      </c>
      <c r="D1450" s="3" t="str">
        <f aca="false">Raw_Data!C1450</f>
        <v>married</v>
      </c>
      <c r="E1450" s="3" t="str">
        <f aca="false">Raw_Data!D1450</f>
        <v>secondary</v>
      </c>
      <c r="F1450" s="3" t="str">
        <f aca="false">Raw_Data!E1450</f>
        <v>no</v>
      </c>
      <c r="G1450" s="3" t="n">
        <f aca="false">Raw_Data!F1450</f>
        <v>101</v>
      </c>
      <c r="H1450" s="3" t="str">
        <f aca="false">Raw_Data!G1450</f>
        <v>yes</v>
      </c>
      <c r="I1450" s="3" t="str">
        <f aca="false">Raw_Data!H1450</f>
        <v>no</v>
      </c>
      <c r="J1450" s="2" t="n">
        <f aca="false">IF(F1450="yes",1,0)</f>
        <v>0</v>
      </c>
      <c r="K1450" s="2" t="n">
        <f aca="false">IF(H1450="yes",1,0)</f>
        <v>1</v>
      </c>
      <c r="L1450" s="2" t="n">
        <f aca="false">IF(I1450="yes",1,0)</f>
        <v>0</v>
      </c>
      <c r="M1450" s="2" t="n">
        <f aca="false">IF(G1450&lt;0,1,0)</f>
        <v>0</v>
      </c>
      <c r="N1450" s="2" t="str">
        <f aca="false">_xlfn.IFS(B1450&lt;30,"Under 30",B1450&lt;40,"30-39",B1450&lt;50,"40-49",B1450&lt;60,"50-59",TRUE(),"60+")</f>
        <v>30-39</v>
      </c>
      <c r="O1450" s="2" t="str">
        <f aca="false">_xlfn.IFS(G1450&lt;0,"1 Negative",G1450=0,"2 Zero",G1450&lt;=500,"3 1-500",G1450&lt;=2000,"4 501-2000",TRUE(),"5 Above 2000")</f>
        <v>3 1-500</v>
      </c>
      <c r="P1450" s="2" t="n">
        <f aca="false">Lookups!$B$2*M1450+Lookups!$B$3*L1450</f>
        <v>0</v>
      </c>
      <c r="Q1450" s="2" t="str">
        <f aca="false">INDEX(Lookups!$E$2:$E$5,MATCH(P1450,Lookups!$D$2:$D$5,0))</f>
        <v>Low</v>
      </c>
    </row>
    <row r="1451" customFormat="false" ht="15" hidden="false" customHeight="false" outlineLevel="0" collapsed="false">
      <c r="A1451" s="3" t="n">
        <v>1450</v>
      </c>
      <c r="B1451" s="3" t="n">
        <f aca="false">Raw_Data!A1451</f>
        <v>31</v>
      </c>
      <c r="C1451" s="3" t="str">
        <f aca="false">SUBSTITUTE(Raw_Data!B1451,".","")</f>
        <v>management</v>
      </c>
      <c r="D1451" s="3" t="str">
        <f aca="false">Raw_Data!C1451</f>
        <v>married</v>
      </c>
      <c r="E1451" s="3" t="str">
        <f aca="false">Raw_Data!D1451</f>
        <v>tertiary</v>
      </c>
      <c r="F1451" s="3" t="str">
        <f aca="false">Raw_Data!E1451</f>
        <v>no</v>
      </c>
      <c r="G1451" s="3" t="n">
        <f aca="false">Raw_Data!F1451</f>
        <v>1224</v>
      </c>
      <c r="H1451" s="3" t="str">
        <f aca="false">Raw_Data!G1451</f>
        <v>yes</v>
      </c>
      <c r="I1451" s="3" t="str">
        <f aca="false">Raw_Data!H1451</f>
        <v>yes</v>
      </c>
      <c r="J1451" s="2" t="n">
        <f aca="false">IF(F1451="yes",1,0)</f>
        <v>0</v>
      </c>
      <c r="K1451" s="2" t="n">
        <f aca="false">IF(H1451="yes",1,0)</f>
        <v>1</v>
      </c>
      <c r="L1451" s="2" t="n">
        <f aca="false">IF(I1451="yes",1,0)</f>
        <v>1</v>
      </c>
      <c r="M1451" s="2" t="n">
        <f aca="false">IF(G1451&lt;0,1,0)</f>
        <v>0</v>
      </c>
      <c r="N1451" s="2" t="str">
        <f aca="false">_xlfn.IFS(B1451&lt;30,"Under 30",B1451&lt;40,"30-39",B1451&lt;50,"40-49",B1451&lt;60,"50-59",TRUE(),"60+")</f>
        <v>30-39</v>
      </c>
      <c r="O1451" s="2" t="str">
        <f aca="false">_xlfn.IFS(G1451&lt;0,"1 Negative",G1451=0,"2 Zero",G1451&lt;=500,"3 1-500",G1451&lt;=2000,"4 501-2000",TRUE(),"5 Above 2000")</f>
        <v>4 501-2000</v>
      </c>
      <c r="P1451" s="2" t="n">
        <f aca="false">Lookups!$B$2*M1451+Lookups!$B$3*L1451</f>
        <v>1</v>
      </c>
      <c r="Q1451" s="2" t="str">
        <f aca="false">INDEX(Lookups!$E$2:$E$5,MATCH(P1451,Lookups!$D$2:$D$5,0))</f>
        <v>Medium</v>
      </c>
    </row>
    <row r="1452" customFormat="false" ht="15" hidden="false" customHeight="false" outlineLevel="0" collapsed="false">
      <c r="A1452" s="3" t="n">
        <v>1451</v>
      </c>
      <c r="B1452" s="3" t="n">
        <f aca="false">Raw_Data!A1452</f>
        <v>49</v>
      </c>
      <c r="C1452" s="3" t="str">
        <f aca="false">SUBSTITUTE(Raw_Data!B1452,".","")</f>
        <v>self-employed</v>
      </c>
      <c r="D1452" s="3" t="str">
        <f aca="false">Raw_Data!C1452</f>
        <v>married</v>
      </c>
      <c r="E1452" s="3" t="str">
        <f aca="false">Raw_Data!D1452</f>
        <v>secondary</v>
      </c>
      <c r="F1452" s="3" t="str">
        <f aca="false">Raw_Data!E1452</f>
        <v>no</v>
      </c>
      <c r="G1452" s="3" t="n">
        <f aca="false">Raw_Data!F1452</f>
        <v>1103</v>
      </c>
      <c r="H1452" s="3" t="str">
        <f aca="false">Raw_Data!G1452</f>
        <v>no</v>
      </c>
      <c r="I1452" s="3" t="str">
        <f aca="false">Raw_Data!H1452</f>
        <v>no</v>
      </c>
      <c r="J1452" s="2" t="n">
        <f aca="false">IF(F1452="yes",1,0)</f>
        <v>0</v>
      </c>
      <c r="K1452" s="2" t="n">
        <f aca="false">IF(H1452="yes",1,0)</f>
        <v>0</v>
      </c>
      <c r="L1452" s="2" t="n">
        <f aca="false">IF(I1452="yes",1,0)</f>
        <v>0</v>
      </c>
      <c r="M1452" s="2" t="n">
        <f aca="false">IF(G1452&lt;0,1,0)</f>
        <v>0</v>
      </c>
      <c r="N1452" s="2" t="str">
        <f aca="false">_xlfn.IFS(B1452&lt;30,"Under 30",B1452&lt;40,"30-39",B1452&lt;50,"40-49",B1452&lt;60,"50-59",TRUE(),"60+")</f>
        <v>40-49</v>
      </c>
      <c r="O1452" s="2" t="str">
        <f aca="false">_xlfn.IFS(G1452&lt;0,"1 Negative",G1452=0,"2 Zero",G1452&lt;=500,"3 1-500",G1452&lt;=2000,"4 501-2000",TRUE(),"5 Above 2000")</f>
        <v>4 501-2000</v>
      </c>
      <c r="P1452" s="2" t="n">
        <f aca="false">Lookups!$B$2*M1452+Lookups!$B$3*L1452</f>
        <v>0</v>
      </c>
      <c r="Q1452" s="2" t="str">
        <f aca="false">INDEX(Lookups!$E$2:$E$5,MATCH(P1452,Lookups!$D$2:$D$5,0))</f>
        <v>Low</v>
      </c>
    </row>
    <row r="1453" customFormat="false" ht="15" hidden="false" customHeight="false" outlineLevel="0" collapsed="false">
      <c r="A1453" s="3" t="n">
        <v>1452</v>
      </c>
      <c r="B1453" s="3" t="n">
        <f aca="false">Raw_Data!A1453</f>
        <v>29</v>
      </c>
      <c r="C1453" s="3" t="str">
        <f aca="false">SUBSTITUTE(Raw_Data!B1453,".","")</f>
        <v>services</v>
      </c>
      <c r="D1453" s="3" t="str">
        <f aca="false">Raw_Data!C1453</f>
        <v>married</v>
      </c>
      <c r="E1453" s="3" t="str">
        <f aca="false">Raw_Data!D1453</f>
        <v>secondary</v>
      </c>
      <c r="F1453" s="3" t="str">
        <f aca="false">Raw_Data!E1453</f>
        <v>no</v>
      </c>
      <c r="G1453" s="3" t="n">
        <f aca="false">Raw_Data!F1453</f>
        <v>3748</v>
      </c>
      <c r="H1453" s="3" t="str">
        <f aca="false">Raw_Data!G1453</f>
        <v>no</v>
      </c>
      <c r="I1453" s="3" t="str">
        <f aca="false">Raw_Data!H1453</f>
        <v>no</v>
      </c>
      <c r="J1453" s="2" t="n">
        <f aca="false">IF(F1453="yes",1,0)</f>
        <v>0</v>
      </c>
      <c r="K1453" s="2" t="n">
        <f aca="false">IF(H1453="yes",1,0)</f>
        <v>0</v>
      </c>
      <c r="L1453" s="2" t="n">
        <f aca="false">IF(I1453="yes",1,0)</f>
        <v>0</v>
      </c>
      <c r="M1453" s="2" t="n">
        <f aca="false">IF(G1453&lt;0,1,0)</f>
        <v>0</v>
      </c>
      <c r="N1453" s="2" t="str">
        <f aca="false">_xlfn.IFS(B1453&lt;30,"Under 30",B1453&lt;40,"30-39",B1453&lt;50,"40-49",B1453&lt;60,"50-59",TRUE(),"60+")</f>
        <v>Under 30</v>
      </c>
      <c r="O1453" s="2" t="str">
        <f aca="false">_xlfn.IFS(G1453&lt;0,"1 Negative",G1453=0,"2 Zero",G1453&lt;=500,"3 1-500",G1453&lt;=2000,"4 501-2000",TRUE(),"5 Above 2000")</f>
        <v>5 Above 2000</v>
      </c>
      <c r="P1453" s="2" t="n">
        <f aca="false">Lookups!$B$2*M1453+Lookups!$B$3*L1453</f>
        <v>0</v>
      </c>
      <c r="Q1453" s="2" t="str">
        <f aca="false">INDEX(Lookups!$E$2:$E$5,MATCH(P1453,Lookups!$D$2:$D$5,0))</f>
        <v>Low</v>
      </c>
    </row>
    <row r="1454" customFormat="false" ht="15" hidden="false" customHeight="false" outlineLevel="0" collapsed="false">
      <c r="A1454" s="3" t="n">
        <v>1453</v>
      </c>
      <c r="B1454" s="3" t="n">
        <f aca="false">Raw_Data!A1454</f>
        <v>55</v>
      </c>
      <c r="C1454" s="3" t="str">
        <f aca="false">SUBSTITUTE(Raw_Data!B1454,".","")</f>
        <v>technician</v>
      </c>
      <c r="D1454" s="3" t="str">
        <f aca="false">Raw_Data!C1454</f>
        <v>married</v>
      </c>
      <c r="E1454" s="3" t="str">
        <f aca="false">Raw_Data!D1454</f>
        <v>secondary</v>
      </c>
      <c r="F1454" s="3" t="str">
        <f aca="false">Raw_Data!E1454</f>
        <v>no</v>
      </c>
      <c r="G1454" s="3" t="n">
        <f aca="false">Raw_Data!F1454</f>
        <v>955</v>
      </c>
      <c r="H1454" s="3" t="str">
        <f aca="false">Raw_Data!G1454</f>
        <v>yes</v>
      </c>
      <c r="I1454" s="3" t="str">
        <f aca="false">Raw_Data!H1454</f>
        <v>no</v>
      </c>
      <c r="J1454" s="2" t="n">
        <f aca="false">IF(F1454="yes",1,0)</f>
        <v>0</v>
      </c>
      <c r="K1454" s="2" t="n">
        <f aca="false">IF(H1454="yes",1,0)</f>
        <v>1</v>
      </c>
      <c r="L1454" s="2" t="n">
        <f aca="false">IF(I1454="yes",1,0)</f>
        <v>0</v>
      </c>
      <c r="M1454" s="2" t="n">
        <f aca="false">IF(G1454&lt;0,1,0)</f>
        <v>0</v>
      </c>
      <c r="N1454" s="2" t="str">
        <f aca="false">_xlfn.IFS(B1454&lt;30,"Under 30",B1454&lt;40,"30-39",B1454&lt;50,"40-49",B1454&lt;60,"50-59",TRUE(),"60+")</f>
        <v>50-59</v>
      </c>
      <c r="O1454" s="2" t="str">
        <f aca="false">_xlfn.IFS(G1454&lt;0,"1 Negative",G1454=0,"2 Zero",G1454&lt;=500,"3 1-500",G1454&lt;=2000,"4 501-2000",TRUE(),"5 Above 2000")</f>
        <v>4 501-2000</v>
      </c>
      <c r="P1454" s="2" t="n">
        <f aca="false">Lookups!$B$2*M1454+Lookups!$B$3*L1454</f>
        <v>0</v>
      </c>
      <c r="Q1454" s="2" t="str">
        <f aca="false">INDEX(Lookups!$E$2:$E$5,MATCH(P1454,Lookups!$D$2:$D$5,0))</f>
        <v>Low</v>
      </c>
    </row>
    <row r="1455" customFormat="false" ht="15" hidden="false" customHeight="false" outlineLevel="0" collapsed="false">
      <c r="A1455" s="3" t="n">
        <v>1454</v>
      </c>
      <c r="B1455" s="3" t="n">
        <f aca="false">Raw_Data!A1455</f>
        <v>30</v>
      </c>
      <c r="C1455" s="3" t="str">
        <f aca="false">SUBSTITUTE(Raw_Data!B1455,".","")</f>
        <v>admin</v>
      </c>
      <c r="D1455" s="3" t="str">
        <f aca="false">Raw_Data!C1455</f>
        <v>married</v>
      </c>
      <c r="E1455" s="3" t="str">
        <f aca="false">Raw_Data!D1455</f>
        <v>secondary</v>
      </c>
      <c r="F1455" s="3" t="str">
        <f aca="false">Raw_Data!E1455</f>
        <v>no</v>
      </c>
      <c r="G1455" s="3" t="n">
        <f aca="false">Raw_Data!F1455</f>
        <v>518</v>
      </c>
      <c r="H1455" s="3" t="str">
        <f aca="false">Raw_Data!G1455</f>
        <v>yes</v>
      </c>
      <c r="I1455" s="3" t="str">
        <f aca="false">Raw_Data!H1455</f>
        <v>no</v>
      </c>
      <c r="J1455" s="2" t="n">
        <f aca="false">IF(F1455="yes",1,0)</f>
        <v>0</v>
      </c>
      <c r="K1455" s="2" t="n">
        <f aca="false">IF(H1455="yes",1,0)</f>
        <v>1</v>
      </c>
      <c r="L1455" s="2" t="n">
        <f aca="false">IF(I1455="yes",1,0)</f>
        <v>0</v>
      </c>
      <c r="M1455" s="2" t="n">
        <f aca="false">IF(G1455&lt;0,1,0)</f>
        <v>0</v>
      </c>
      <c r="N1455" s="2" t="str">
        <f aca="false">_xlfn.IFS(B1455&lt;30,"Under 30",B1455&lt;40,"30-39",B1455&lt;50,"40-49",B1455&lt;60,"50-59",TRUE(),"60+")</f>
        <v>30-39</v>
      </c>
      <c r="O1455" s="2" t="str">
        <f aca="false">_xlfn.IFS(G1455&lt;0,"1 Negative",G1455=0,"2 Zero",G1455&lt;=500,"3 1-500",G1455&lt;=2000,"4 501-2000",TRUE(),"5 Above 2000")</f>
        <v>4 501-2000</v>
      </c>
      <c r="P1455" s="2" t="n">
        <f aca="false">Lookups!$B$2*M1455+Lookups!$B$3*L1455</f>
        <v>0</v>
      </c>
      <c r="Q1455" s="2" t="str">
        <f aca="false">INDEX(Lookups!$E$2:$E$5,MATCH(P1455,Lookups!$D$2:$D$5,0))</f>
        <v>Low</v>
      </c>
    </row>
    <row r="1456" customFormat="false" ht="15" hidden="false" customHeight="false" outlineLevel="0" collapsed="false">
      <c r="A1456" s="3" t="n">
        <v>1455</v>
      </c>
      <c r="B1456" s="3" t="n">
        <f aca="false">Raw_Data!A1456</f>
        <v>45</v>
      </c>
      <c r="C1456" s="3" t="str">
        <f aca="false">SUBSTITUTE(Raw_Data!B1456,".","")</f>
        <v>services</v>
      </c>
      <c r="D1456" s="3" t="str">
        <f aca="false">Raw_Data!C1456</f>
        <v>single</v>
      </c>
      <c r="E1456" s="3" t="str">
        <f aca="false">Raw_Data!D1456</f>
        <v>primary</v>
      </c>
      <c r="F1456" s="3" t="str">
        <f aca="false">Raw_Data!E1456</f>
        <v>no</v>
      </c>
      <c r="G1456" s="3" t="n">
        <f aca="false">Raw_Data!F1456</f>
        <v>1893</v>
      </c>
      <c r="H1456" s="3" t="str">
        <f aca="false">Raw_Data!G1456</f>
        <v>yes</v>
      </c>
      <c r="I1456" s="3" t="str">
        <f aca="false">Raw_Data!H1456</f>
        <v>no</v>
      </c>
      <c r="J1456" s="2" t="n">
        <f aca="false">IF(F1456="yes",1,0)</f>
        <v>0</v>
      </c>
      <c r="K1456" s="2" t="n">
        <f aca="false">IF(H1456="yes",1,0)</f>
        <v>1</v>
      </c>
      <c r="L1456" s="2" t="n">
        <f aca="false">IF(I1456="yes",1,0)</f>
        <v>0</v>
      </c>
      <c r="M1456" s="2" t="n">
        <f aca="false">IF(G1456&lt;0,1,0)</f>
        <v>0</v>
      </c>
      <c r="N1456" s="2" t="str">
        <f aca="false">_xlfn.IFS(B1456&lt;30,"Under 30",B1456&lt;40,"30-39",B1456&lt;50,"40-49",B1456&lt;60,"50-59",TRUE(),"60+")</f>
        <v>40-49</v>
      </c>
      <c r="O1456" s="2" t="str">
        <f aca="false">_xlfn.IFS(G1456&lt;0,"1 Negative",G1456=0,"2 Zero",G1456&lt;=500,"3 1-500",G1456&lt;=2000,"4 501-2000",TRUE(),"5 Above 2000")</f>
        <v>4 501-2000</v>
      </c>
      <c r="P1456" s="2" t="n">
        <f aca="false">Lookups!$B$2*M1456+Lookups!$B$3*L1456</f>
        <v>0</v>
      </c>
      <c r="Q1456" s="2" t="str">
        <f aca="false">INDEX(Lookups!$E$2:$E$5,MATCH(P1456,Lookups!$D$2:$D$5,0))</f>
        <v>Low</v>
      </c>
    </row>
    <row r="1457" customFormat="false" ht="15" hidden="false" customHeight="false" outlineLevel="0" collapsed="false">
      <c r="A1457" s="3" t="n">
        <v>1456</v>
      </c>
      <c r="B1457" s="3" t="n">
        <f aca="false">Raw_Data!A1457</f>
        <v>39</v>
      </c>
      <c r="C1457" s="3" t="str">
        <f aca="false">SUBSTITUTE(Raw_Data!B1457,".","")</f>
        <v>technician</v>
      </c>
      <c r="D1457" s="3" t="str">
        <f aca="false">Raw_Data!C1457</f>
        <v>married</v>
      </c>
      <c r="E1457" s="3" t="str">
        <f aca="false">Raw_Data!D1457</f>
        <v>tertiary</v>
      </c>
      <c r="F1457" s="3" t="str">
        <f aca="false">Raw_Data!E1457</f>
        <v>no</v>
      </c>
      <c r="G1457" s="3" t="n">
        <f aca="false">Raw_Data!F1457</f>
        <v>14</v>
      </c>
      <c r="H1457" s="3" t="str">
        <f aca="false">Raw_Data!G1457</f>
        <v>no</v>
      </c>
      <c r="I1457" s="3" t="str">
        <f aca="false">Raw_Data!H1457</f>
        <v>no</v>
      </c>
      <c r="J1457" s="2" t="n">
        <f aca="false">IF(F1457="yes",1,0)</f>
        <v>0</v>
      </c>
      <c r="K1457" s="2" t="n">
        <f aca="false">IF(H1457="yes",1,0)</f>
        <v>0</v>
      </c>
      <c r="L1457" s="2" t="n">
        <f aca="false">IF(I1457="yes",1,0)</f>
        <v>0</v>
      </c>
      <c r="M1457" s="2" t="n">
        <f aca="false">IF(G1457&lt;0,1,0)</f>
        <v>0</v>
      </c>
      <c r="N1457" s="2" t="str">
        <f aca="false">_xlfn.IFS(B1457&lt;30,"Under 30",B1457&lt;40,"30-39",B1457&lt;50,"40-49",B1457&lt;60,"50-59",TRUE(),"60+")</f>
        <v>30-39</v>
      </c>
      <c r="O1457" s="2" t="str">
        <f aca="false">_xlfn.IFS(G1457&lt;0,"1 Negative",G1457=0,"2 Zero",G1457&lt;=500,"3 1-500",G1457&lt;=2000,"4 501-2000",TRUE(),"5 Above 2000")</f>
        <v>3 1-500</v>
      </c>
      <c r="P1457" s="2" t="n">
        <f aca="false">Lookups!$B$2*M1457+Lookups!$B$3*L1457</f>
        <v>0</v>
      </c>
      <c r="Q1457" s="2" t="str">
        <f aca="false">INDEX(Lookups!$E$2:$E$5,MATCH(P1457,Lookups!$D$2:$D$5,0))</f>
        <v>Low</v>
      </c>
    </row>
    <row r="1458" customFormat="false" ht="15" hidden="false" customHeight="false" outlineLevel="0" collapsed="false">
      <c r="A1458" s="3" t="n">
        <v>1457</v>
      </c>
      <c r="B1458" s="3" t="n">
        <f aca="false">Raw_Data!A1458</f>
        <v>36</v>
      </c>
      <c r="C1458" s="3" t="str">
        <f aca="false">SUBSTITUTE(Raw_Data!B1458,".","")</f>
        <v>admin</v>
      </c>
      <c r="D1458" s="3" t="str">
        <f aca="false">Raw_Data!C1458</f>
        <v>married</v>
      </c>
      <c r="E1458" s="3" t="str">
        <f aca="false">Raw_Data!D1458</f>
        <v>secondary</v>
      </c>
      <c r="F1458" s="3" t="str">
        <f aca="false">Raw_Data!E1458</f>
        <v>no</v>
      </c>
      <c r="G1458" s="3" t="n">
        <f aca="false">Raw_Data!F1458</f>
        <v>-423</v>
      </c>
      <c r="H1458" s="3" t="str">
        <f aca="false">Raw_Data!G1458</f>
        <v>yes</v>
      </c>
      <c r="I1458" s="3" t="str">
        <f aca="false">Raw_Data!H1458</f>
        <v>yes</v>
      </c>
      <c r="J1458" s="2" t="n">
        <f aca="false">IF(F1458="yes",1,0)</f>
        <v>0</v>
      </c>
      <c r="K1458" s="2" t="n">
        <f aca="false">IF(H1458="yes",1,0)</f>
        <v>1</v>
      </c>
      <c r="L1458" s="2" t="n">
        <f aca="false">IF(I1458="yes",1,0)</f>
        <v>1</v>
      </c>
      <c r="M1458" s="2" t="n">
        <f aca="false">IF(G1458&lt;0,1,0)</f>
        <v>1</v>
      </c>
      <c r="N1458" s="2" t="str">
        <f aca="false">_xlfn.IFS(B1458&lt;30,"Under 30",B1458&lt;40,"30-39",B1458&lt;50,"40-49",B1458&lt;60,"50-59",TRUE(),"60+")</f>
        <v>30-39</v>
      </c>
      <c r="O1458" s="2" t="str">
        <f aca="false">_xlfn.IFS(G1458&lt;0,"1 Negative",G1458=0,"2 Zero",G1458&lt;=500,"3 1-500",G1458&lt;=2000,"4 501-2000",TRUE(),"5 Above 2000")</f>
        <v>1 Negative</v>
      </c>
      <c r="P1458" s="2" t="n">
        <f aca="false">Lookups!$B$2*M1458+Lookups!$B$3*L1458</f>
        <v>3</v>
      </c>
      <c r="Q1458" s="2" t="str">
        <f aca="false">INDEX(Lookups!$E$2:$E$5,MATCH(P1458,Lookups!$D$2:$D$5,0))</f>
        <v>High</v>
      </c>
    </row>
    <row r="1459" customFormat="false" ht="15" hidden="false" customHeight="false" outlineLevel="0" collapsed="false">
      <c r="A1459" s="3" t="n">
        <v>1458</v>
      </c>
      <c r="B1459" s="3" t="n">
        <f aca="false">Raw_Data!A1459</f>
        <v>33</v>
      </c>
      <c r="C1459" s="3" t="str">
        <f aca="false">SUBSTITUTE(Raw_Data!B1459,".","")</f>
        <v>management</v>
      </c>
      <c r="D1459" s="3" t="str">
        <f aca="false">Raw_Data!C1459</f>
        <v>married</v>
      </c>
      <c r="E1459" s="3" t="str">
        <f aca="false">Raw_Data!D1459</f>
        <v>tertiary</v>
      </c>
      <c r="F1459" s="3" t="str">
        <f aca="false">Raw_Data!E1459</f>
        <v>no</v>
      </c>
      <c r="G1459" s="3" t="n">
        <f aca="false">Raw_Data!F1459</f>
        <v>3696</v>
      </c>
      <c r="H1459" s="3" t="str">
        <f aca="false">Raw_Data!G1459</f>
        <v>no</v>
      </c>
      <c r="I1459" s="3" t="str">
        <f aca="false">Raw_Data!H1459</f>
        <v>no</v>
      </c>
      <c r="J1459" s="2" t="n">
        <f aca="false">IF(F1459="yes",1,0)</f>
        <v>0</v>
      </c>
      <c r="K1459" s="2" t="n">
        <f aca="false">IF(H1459="yes",1,0)</f>
        <v>0</v>
      </c>
      <c r="L1459" s="2" t="n">
        <f aca="false">IF(I1459="yes",1,0)</f>
        <v>0</v>
      </c>
      <c r="M1459" s="2" t="n">
        <f aca="false">IF(G1459&lt;0,1,0)</f>
        <v>0</v>
      </c>
      <c r="N1459" s="2" t="str">
        <f aca="false">_xlfn.IFS(B1459&lt;30,"Under 30",B1459&lt;40,"30-39",B1459&lt;50,"40-49",B1459&lt;60,"50-59",TRUE(),"60+")</f>
        <v>30-39</v>
      </c>
      <c r="O1459" s="2" t="str">
        <f aca="false">_xlfn.IFS(G1459&lt;0,"1 Negative",G1459=0,"2 Zero",G1459&lt;=500,"3 1-500",G1459&lt;=2000,"4 501-2000",TRUE(),"5 Above 2000")</f>
        <v>5 Above 2000</v>
      </c>
      <c r="P1459" s="2" t="n">
        <f aca="false">Lookups!$B$2*M1459+Lookups!$B$3*L1459</f>
        <v>0</v>
      </c>
      <c r="Q1459" s="2" t="str">
        <f aca="false">INDEX(Lookups!$E$2:$E$5,MATCH(P1459,Lookups!$D$2:$D$5,0))</f>
        <v>Low</v>
      </c>
    </row>
    <row r="1460" customFormat="false" ht="15" hidden="false" customHeight="false" outlineLevel="0" collapsed="false">
      <c r="A1460" s="3" t="n">
        <v>1459</v>
      </c>
      <c r="B1460" s="3" t="n">
        <f aca="false">Raw_Data!A1460</f>
        <v>36</v>
      </c>
      <c r="C1460" s="3" t="str">
        <f aca="false">SUBSTITUTE(Raw_Data!B1460,".","")</f>
        <v>management</v>
      </c>
      <c r="D1460" s="3" t="str">
        <f aca="false">Raw_Data!C1460</f>
        <v>married</v>
      </c>
      <c r="E1460" s="3" t="str">
        <f aca="false">Raw_Data!D1460</f>
        <v>tertiary</v>
      </c>
      <c r="F1460" s="3" t="str">
        <f aca="false">Raw_Data!E1460</f>
        <v>no</v>
      </c>
      <c r="G1460" s="3" t="n">
        <f aca="false">Raw_Data!F1460</f>
        <v>2987</v>
      </c>
      <c r="H1460" s="3" t="str">
        <f aca="false">Raw_Data!G1460</f>
        <v>yes</v>
      </c>
      <c r="I1460" s="3" t="str">
        <f aca="false">Raw_Data!H1460</f>
        <v>no</v>
      </c>
      <c r="J1460" s="2" t="n">
        <f aca="false">IF(F1460="yes",1,0)</f>
        <v>0</v>
      </c>
      <c r="K1460" s="2" t="n">
        <f aca="false">IF(H1460="yes",1,0)</f>
        <v>1</v>
      </c>
      <c r="L1460" s="2" t="n">
        <f aca="false">IF(I1460="yes",1,0)</f>
        <v>0</v>
      </c>
      <c r="M1460" s="2" t="n">
        <f aca="false">IF(G1460&lt;0,1,0)</f>
        <v>0</v>
      </c>
      <c r="N1460" s="2" t="str">
        <f aca="false">_xlfn.IFS(B1460&lt;30,"Under 30",B1460&lt;40,"30-39",B1460&lt;50,"40-49",B1460&lt;60,"50-59",TRUE(),"60+")</f>
        <v>30-39</v>
      </c>
      <c r="O1460" s="2" t="str">
        <f aca="false">_xlfn.IFS(G1460&lt;0,"1 Negative",G1460=0,"2 Zero",G1460&lt;=500,"3 1-500",G1460&lt;=2000,"4 501-2000",TRUE(),"5 Above 2000")</f>
        <v>5 Above 2000</v>
      </c>
      <c r="P1460" s="2" t="n">
        <f aca="false">Lookups!$B$2*M1460+Lookups!$B$3*L1460</f>
        <v>0</v>
      </c>
      <c r="Q1460" s="2" t="str">
        <f aca="false">INDEX(Lookups!$E$2:$E$5,MATCH(P1460,Lookups!$D$2:$D$5,0))</f>
        <v>Low</v>
      </c>
    </row>
    <row r="1461" customFormat="false" ht="15" hidden="false" customHeight="false" outlineLevel="0" collapsed="false">
      <c r="A1461" s="3" t="n">
        <v>1460</v>
      </c>
      <c r="B1461" s="3" t="n">
        <f aca="false">Raw_Data!A1461</f>
        <v>31</v>
      </c>
      <c r="C1461" s="3" t="str">
        <f aca="false">SUBSTITUTE(Raw_Data!B1461,".","")</f>
        <v>technician</v>
      </c>
      <c r="D1461" s="3" t="str">
        <f aca="false">Raw_Data!C1461</f>
        <v>single</v>
      </c>
      <c r="E1461" s="3" t="str">
        <f aca="false">Raw_Data!D1461</f>
        <v>secondary</v>
      </c>
      <c r="F1461" s="3" t="str">
        <f aca="false">Raw_Data!E1461</f>
        <v>no</v>
      </c>
      <c r="G1461" s="3" t="n">
        <f aca="false">Raw_Data!F1461</f>
        <v>433</v>
      </c>
      <c r="H1461" s="3" t="str">
        <f aca="false">Raw_Data!G1461</f>
        <v>no</v>
      </c>
      <c r="I1461" s="3" t="str">
        <f aca="false">Raw_Data!H1461</f>
        <v>no</v>
      </c>
      <c r="J1461" s="2" t="n">
        <f aca="false">IF(F1461="yes",1,0)</f>
        <v>0</v>
      </c>
      <c r="K1461" s="2" t="n">
        <f aca="false">IF(H1461="yes",1,0)</f>
        <v>0</v>
      </c>
      <c r="L1461" s="2" t="n">
        <f aca="false">IF(I1461="yes",1,0)</f>
        <v>0</v>
      </c>
      <c r="M1461" s="2" t="n">
        <f aca="false">IF(G1461&lt;0,1,0)</f>
        <v>0</v>
      </c>
      <c r="N1461" s="2" t="str">
        <f aca="false">_xlfn.IFS(B1461&lt;30,"Under 30",B1461&lt;40,"30-39",B1461&lt;50,"40-49",B1461&lt;60,"50-59",TRUE(),"60+")</f>
        <v>30-39</v>
      </c>
      <c r="O1461" s="2" t="str">
        <f aca="false">_xlfn.IFS(G1461&lt;0,"1 Negative",G1461=0,"2 Zero",G1461&lt;=500,"3 1-500",G1461&lt;=2000,"4 501-2000",TRUE(),"5 Above 2000")</f>
        <v>3 1-500</v>
      </c>
      <c r="P1461" s="2" t="n">
        <f aca="false">Lookups!$B$2*M1461+Lookups!$B$3*L1461</f>
        <v>0</v>
      </c>
      <c r="Q1461" s="2" t="str">
        <f aca="false">INDEX(Lookups!$E$2:$E$5,MATCH(P1461,Lookups!$D$2:$D$5,0))</f>
        <v>Low</v>
      </c>
    </row>
    <row r="1462" customFormat="false" ht="15" hidden="false" customHeight="false" outlineLevel="0" collapsed="false">
      <c r="A1462" s="3" t="n">
        <v>1461</v>
      </c>
      <c r="B1462" s="3" t="n">
        <f aca="false">Raw_Data!A1462</f>
        <v>36</v>
      </c>
      <c r="C1462" s="3" t="str">
        <f aca="false">SUBSTITUTE(Raw_Data!B1462,".","")</f>
        <v>technician</v>
      </c>
      <c r="D1462" s="3" t="str">
        <f aca="false">Raw_Data!C1462</f>
        <v>married</v>
      </c>
      <c r="E1462" s="3" t="str">
        <f aca="false">Raw_Data!D1462</f>
        <v>unknown</v>
      </c>
      <c r="F1462" s="3" t="str">
        <f aca="false">Raw_Data!E1462</f>
        <v>no</v>
      </c>
      <c r="G1462" s="3" t="n">
        <f aca="false">Raw_Data!F1462</f>
        <v>756</v>
      </c>
      <c r="H1462" s="3" t="str">
        <f aca="false">Raw_Data!G1462</f>
        <v>no</v>
      </c>
      <c r="I1462" s="3" t="str">
        <f aca="false">Raw_Data!H1462</f>
        <v>no</v>
      </c>
      <c r="J1462" s="2" t="n">
        <f aca="false">IF(F1462="yes",1,0)</f>
        <v>0</v>
      </c>
      <c r="K1462" s="2" t="n">
        <f aca="false">IF(H1462="yes",1,0)</f>
        <v>0</v>
      </c>
      <c r="L1462" s="2" t="n">
        <f aca="false">IF(I1462="yes",1,0)</f>
        <v>0</v>
      </c>
      <c r="M1462" s="2" t="n">
        <f aca="false">IF(G1462&lt;0,1,0)</f>
        <v>0</v>
      </c>
      <c r="N1462" s="2" t="str">
        <f aca="false">_xlfn.IFS(B1462&lt;30,"Under 30",B1462&lt;40,"30-39",B1462&lt;50,"40-49",B1462&lt;60,"50-59",TRUE(),"60+")</f>
        <v>30-39</v>
      </c>
      <c r="O1462" s="2" t="str">
        <f aca="false">_xlfn.IFS(G1462&lt;0,"1 Negative",G1462=0,"2 Zero",G1462&lt;=500,"3 1-500",G1462&lt;=2000,"4 501-2000",TRUE(),"5 Above 2000")</f>
        <v>4 501-2000</v>
      </c>
      <c r="P1462" s="2" t="n">
        <f aca="false">Lookups!$B$2*M1462+Lookups!$B$3*L1462</f>
        <v>0</v>
      </c>
      <c r="Q1462" s="2" t="str">
        <f aca="false">INDEX(Lookups!$E$2:$E$5,MATCH(P1462,Lookups!$D$2:$D$5,0))</f>
        <v>Low</v>
      </c>
    </row>
    <row r="1463" customFormat="false" ht="15" hidden="false" customHeight="false" outlineLevel="0" collapsed="false">
      <c r="A1463" s="3" t="n">
        <v>1462</v>
      </c>
      <c r="B1463" s="3" t="n">
        <f aca="false">Raw_Data!A1463</f>
        <v>38</v>
      </c>
      <c r="C1463" s="3" t="str">
        <f aca="false">SUBSTITUTE(Raw_Data!B1463,".","")</f>
        <v>technician</v>
      </c>
      <c r="D1463" s="3" t="str">
        <f aca="false">Raw_Data!C1463</f>
        <v>single</v>
      </c>
      <c r="E1463" s="3" t="str">
        <f aca="false">Raw_Data!D1463</f>
        <v>tertiary</v>
      </c>
      <c r="F1463" s="3" t="str">
        <f aca="false">Raw_Data!E1463</f>
        <v>no</v>
      </c>
      <c r="G1463" s="3" t="n">
        <f aca="false">Raw_Data!F1463</f>
        <v>0</v>
      </c>
      <c r="H1463" s="3" t="str">
        <f aca="false">Raw_Data!G1463</f>
        <v>yes</v>
      </c>
      <c r="I1463" s="3" t="str">
        <f aca="false">Raw_Data!H1463</f>
        <v>no</v>
      </c>
      <c r="J1463" s="2" t="n">
        <f aca="false">IF(F1463="yes",1,0)</f>
        <v>0</v>
      </c>
      <c r="K1463" s="2" t="n">
        <f aca="false">IF(H1463="yes",1,0)</f>
        <v>1</v>
      </c>
      <c r="L1463" s="2" t="n">
        <f aca="false">IF(I1463="yes",1,0)</f>
        <v>0</v>
      </c>
      <c r="M1463" s="2" t="n">
        <f aca="false">IF(G1463&lt;0,1,0)</f>
        <v>0</v>
      </c>
      <c r="N1463" s="2" t="str">
        <f aca="false">_xlfn.IFS(B1463&lt;30,"Under 30",B1463&lt;40,"30-39",B1463&lt;50,"40-49",B1463&lt;60,"50-59",TRUE(),"60+")</f>
        <v>30-39</v>
      </c>
      <c r="O1463" s="2" t="str">
        <f aca="false">_xlfn.IFS(G1463&lt;0,"1 Negative",G1463=0,"2 Zero",G1463&lt;=500,"3 1-500",G1463&lt;=2000,"4 501-2000",TRUE(),"5 Above 2000")</f>
        <v>2 Zero</v>
      </c>
      <c r="P1463" s="2" t="n">
        <f aca="false">Lookups!$B$2*M1463+Lookups!$B$3*L1463</f>
        <v>0</v>
      </c>
      <c r="Q1463" s="2" t="str">
        <f aca="false">INDEX(Lookups!$E$2:$E$5,MATCH(P1463,Lookups!$D$2:$D$5,0))</f>
        <v>Low</v>
      </c>
    </row>
    <row r="1464" customFormat="false" ht="15" hidden="false" customHeight="false" outlineLevel="0" collapsed="false">
      <c r="A1464" s="3" t="n">
        <v>1463</v>
      </c>
      <c r="B1464" s="3" t="n">
        <f aca="false">Raw_Data!A1464</f>
        <v>33</v>
      </c>
      <c r="C1464" s="3" t="str">
        <f aca="false">SUBSTITUTE(Raw_Data!B1464,".","")</f>
        <v>unknown</v>
      </c>
      <c r="D1464" s="3" t="str">
        <f aca="false">Raw_Data!C1464</f>
        <v>married</v>
      </c>
      <c r="E1464" s="3" t="str">
        <f aca="false">Raw_Data!D1464</f>
        <v>secondary</v>
      </c>
      <c r="F1464" s="3" t="str">
        <f aca="false">Raw_Data!E1464</f>
        <v>no</v>
      </c>
      <c r="G1464" s="3" t="n">
        <f aca="false">Raw_Data!F1464</f>
        <v>2727</v>
      </c>
      <c r="H1464" s="3" t="str">
        <f aca="false">Raw_Data!G1464</f>
        <v>no</v>
      </c>
      <c r="I1464" s="3" t="str">
        <f aca="false">Raw_Data!H1464</f>
        <v>no</v>
      </c>
      <c r="J1464" s="2" t="n">
        <f aca="false">IF(F1464="yes",1,0)</f>
        <v>0</v>
      </c>
      <c r="K1464" s="2" t="n">
        <f aca="false">IF(H1464="yes",1,0)</f>
        <v>0</v>
      </c>
      <c r="L1464" s="2" t="n">
        <f aca="false">IF(I1464="yes",1,0)</f>
        <v>0</v>
      </c>
      <c r="M1464" s="2" t="n">
        <f aca="false">IF(G1464&lt;0,1,0)</f>
        <v>0</v>
      </c>
      <c r="N1464" s="2" t="str">
        <f aca="false">_xlfn.IFS(B1464&lt;30,"Under 30",B1464&lt;40,"30-39",B1464&lt;50,"40-49",B1464&lt;60,"50-59",TRUE(),"60+")</f>
        <v>30-39</v>
      </c>
      <c r="O1464" s="2" t="str">
        <f aca="false">_xlfn.IFS(G1464&lt;0,"1 Negative",G1464=0,"2 Zero",G1464&lt;=500,"3 1-500",G1464&lt;=2000,"4 501-2000",TRUE(),"5 Above 2000")</f>
        <v>5 Above 2000</v>
      </c>
      <c r="P1464" s="2" t="n">
        <f aca="false">Lookups!$B$2*M1464+Lookups!$B$3*L1464</f>
        <v>0</v>
      </c>
      <c r="Q1464" s="2" t="str">
        <f aca="false">INDEX(Lookups!$E$2:$E$5,MATCH(P1464,Lookups!$D$2:$D$5,0))</f>
        <v>Low</v>
      </c>
    </row>
    <row r="1465" customFormat="false" ht="15" hidden="false" customHeight="false" outlineLevel="0" collapsed="false">
      <c r="A1465" s="3" t="n">
        <v>1464</v>
      </c>
      <c r="B1465" s="3" t="n">
        <f aca="false">Raw_Data!A1465</f>
        <v>40</v>
      </c>
      <c r="C1465" s="3" t="str">
        <f aca="false">SUBSTITUTE(Raw_Data!B1465,".","")</f>
        <v>technician</v>
      </c>
      <c r="D1465" s="3" t="str">
        <f aca="false">Raw_Data!C1465</f>
        <v>married</v>
      </c>
      <c r="E1465" s="3" t="str">
        <f aca="false">Raw_Data!D1465</f>
        <v>secondary</v>
      </c>
      <c r="F1465" s="3" t="str">
        <f aca="false">Raw_Data!E1465</f>
        <v>no</v>
      </c>
      <c r="G1465" s="3" t="n">
        <f aca="false">Raw_Data!F1465</f>
        <v>93</v>
      </c>
      <c r="H1465" s="3" t="str">
        <f aca="false">Raw_Data!G1465</f>
        <v>yes</v>
      </c>
      <c r="I1465" s="3" t="str">
        <f aca="false">Raw_Data!H1465</f>
        <v>no</v>
      </c>
      <c r="J1465" s="2" t="n">
        <f aca="false">IF(F1465="yes",1,0)</f>
        <v>0</v>
      </c>
      <c r="K1465" s="2" t="n">
        <f aca="false">IF(H1465="yes",1,0)</f>
        <v>1</v>
      </c>
      <c r="L1465" s="2" t="n">
        <f aca="false">IF(I1465="yes",1,0)</f>
        <v>0</v>
      </c>
      <c r="M1465" s="2" t="n">
        <f aca="false">IF(G1465&lt;0,1,0)</f>
        <v>0</v>
      </c>
      <c r="N1465" s="2" t="str">
        <f aca="false">_xlfn.IFS(B1465&lt;30,"Under 30",B1465&lt;40,"30-39",B1465&lt;50,"40-49",B1465&lt;60,"50-59",TRUE(),"60+")</f>
        <v>40-49</v>
      </c>
      <c r="O1465" s="2" t="str">
        <f aca="false">_xlfn.IFS(G1465&lt;0,"1 Negative",G1465=0,"2 Zero",G1465&lt;=500,"3 1-500",G1465&lt;=2000,"4 501-2000",TRUE(),"5 Above 2000")</f>
        <v>3 1-500</v>
      </c>
      <c r="P1465" s="2" t="n">
        <f aca="false">Lookups!$B$2*M1465+Lookups!$B$3*L1465</f>
        <v>0</v>
      </c>
      <c r="Q1465" s="2" t="str">
        <f aca="false">INDEX(Lookups!$E$2:$E$5,MATCH(P1465,Lookups!$D$2:$D$5,0))</f>
        <v>Low</v>
      </c>
    </row>
    <row r="1466" customFormat="false" ht="15" hidden="false" customHeight="false" outlineLevel="0" collapsed="false">
      <c r="A1466" s="3" t="n">
        <v>1465</v>
      </c>
      <c r="B1466" s="3" t="n">
        <f aca="false">Raw_Data!A1466</f>
        <v>31</v>
      </c>
      <c r="C1466" s="3" t="str">
        <f aca="false">SUBSTITUTE(Raw_Data!B1466,".","")</f>
        <v>blue-collar</v>
      </c>
      <c r="D1466" s="3" t="str">
        <f aca="false">Raw_Data!C1466</f>
        <v>married</v>
      </c>
      <c r="E1466" s="3" t="str">
        <f aca="false">Raw_Data!D1466</f>
        <v>secondary</v>
      </c>
      <c r="F1466" s="3" t="str">
        <f aca="false">Raw_Data!E1466</f>
        <v>no</v>
      </c>
      <c r="G1466" s="3" t="n">
        <f aca="false">Raw_Data!F1466</f>
        <v>1766</v>
      </c>
      <c r="H1466" s="3" t="str">
        <f aca="false">Raw_Data!G1466</f>
        <v>no</v>
      </c>
      <c r="I1466" s="3" t="str">
        <f aca="false">Raw_Data!H1466</f>
        <v>yes</v>
      </c>
      <c r="J1466" s="2" t="n">
        <f aca="false">IF(F1466="yes",1,0)</f>
        <v>0</v>
      </c>
      <c r="K1466" s="2" t="n">
        <f aca="false">IF(H1466="yes",1,0)</f>
        <v>0</v>
      </c>
      <c r="L1466" s="2" t="n">
        <f aca="false">IF(I1466="yes",1,0)</f>
        <v>1</v>
      </c>
      <c r="M1466" s="2" t="n">
        <f aca="false">IF(G1466&lt;0,1,0)</f>
        <v>0</v>
      </c>
      <c r="N1466" s="2" t="str">
        <f aca="false">_xlfn.IFS(B1466&lt;30,"Under 30",B1466&lt;40,"30-39",B1466&lt;50,"40-49",B1466&lt;60,"50-59",TRUE(),"60+")</f>
        <v>30-39</v>
      </c>
      <c r="O1466" s="2" t="str">
        <f aca="false">_xlfn.IFS(G1466&lt;0,"1 Negative",G1466=0,"2 Zero",G1466&lt;=500,"3 1-500",G1466&lt;=2000,"4 501-2000",TRUE(),"5 Above 2000")</f>
        <v>4 501-2000</v>
      </c>
      <c r="P1466" s="2" t="n">
        <f aca="false">Lookups!$B$2*M1466+Lookups!$B$3*L1466</f>
        <v>1</v>
      </c>
      <c r="Q1466" s="2" t="str">
        <f aca="false">INDEX(Lookups!$E$2:$E$5,MATCH(P1466,Lookups!$D$2:$D$5,0))</f>
        <v>Medium</v>
      </c>
    </row>
    <row r="1467" customFormat="false" ht="15" hidden="false" customHeight="false" outlineLevel="0" collapsed="false">
      <c r="A1467" s="3" t="n">
        <v>1466</v>
      </c>
      <c r="B1467" s="3" t="n">
        <f aca="false">Raw_Data!A1467</f>
        <v>39</v>
      </c>
      <c r="C1467" s="3" t="str">
        <f aca="false">SUBSTITUTE(Raw_Data!B1467,".","")</f>
        <v>services</v>
      </c>
      <c r="D1467" s="3" t="str">
        <f aca="false">Raw_Data!C1467</f>
        <v>married</v>
      </c>
      <c r="E1467" s="3" t="str">
        <f aca="false">Raw_Data!D1467</f>
        <v>secondary</v>
      </c>
      <c r="F1467" s="3" t="str">
        <f aca="false">Raw_Data!E1467</f>
        <v>no</v>
      </c>
      <c r="G1467" s="3" t="n">
        <f aca="false">Raw_Data!F1467</f>
        <v>124</v>
      </c>
      <c r="H1467" s="3" t="str">
        <f aca="false">Raw_Data!G1467</f>
        <v>yes</v>
      </c>
      <c r="I1467" s="3" t="str">
        <f aca="false">Raw_Data!H1467</f>
        <v>no</v>
      </c>
      <c r="J1467" s="2" t="n">
        <f aca="false">IF(F1467="yes",1,0)</f>
        <v>0</v>
      </c>
      <c r="K1467" s="2" t="n">
        <f aca="false">IF(H1467="yes",1,0)</f>
        <v>1</v>
      </c>
      <c r="L1467" s="2" t="n">
        <f aca="false">IF(I1467="yes",1,0)</f>
        <v>0</v>
      </c>
      <c r="M1467" s="2" t="n">
        <f aca="false">IF(G1467&lt;0,1,0)</f>
        <v>0</v>
      </c>
      <c r="N1467" s="2" t="str">
        <f aca="false">_xlfn.IFS(B1467&lt;30,"Under 30",B1467&lt;40,"30-39",B1467&lt;50,"40-49",B1467&lt;60,"50-59",TRUE(),"60+")</f>
        <v>30-39</v>
      </c>
      <c r="O1467" s="2" t="str">
        <f aca="false">_xlfn.IFS(G1467&lt;0,"1 Negative",G1467=0,"2 Zero",G1467&lt;=500,"3 1-500",G1467&lt;=2000,"4 501-2000",TRUE(),"5 Above 2000")</f>
        <v>3 1-500</v>
      </c>
      <c r="P1467" s="2" t="n">
        <f aca="false">Lookups!$B$2*M1467+Lookups!$B$3*L1467</f>
        <v>0</v>
      </c>
      <c r="Q1467" s="2" t="str">
        <f aca="false">INDEX(Lookups!$E$2:$E$5,MATCH(P1467,Lookups!$D$2:$D$5,0))</f>
        <v>Low</v>
      </c>
    </row>
    <row r="1468" customFormat="false" ht="15" hidden="false" customHeight="false" outlineLevel="0" collapsed="false">
      <c r="A1468" s="3" t="n">
        <v>1467</v>
      </c>
      <c r="B1468" s="3" t="n">
        <f aca="false">Raw_Data!A1468</f>
        <v>33</v>
      </c>
      <c r="C1468" s="3" t="str">
        <f aca="false">SUBSTITUTE(Raw_Data!B1468,".","")</f>
        <v>admin</v>
      </c>
      <c r="D1468" s="3" t="str">
        <f aca="false">Raw_Data!C1468</f>
        <v>married</v>
      </c>
      <c r="E1468" s="3" t="str">
        <f aca="false">Raw_Data!D1468</f>
        <v>tertiary</v>
      </c>
      <c r="F1468" s="3" t="str">
        <f aca="false">Raw_Data!E1468</f>
        <v>no</v>
      </c>
      <c r="G1468" s="3" t="n">
        <f aca="false">Raw_Data!F1468</f>
        <v>69</v>
      </c>
      <c r="H1468" s="3" t="str">
        <f aca="false">Raw_Data!G1468</f>
        <v>no</v>
      </c>
      <c r="I1468" s="3" t="str">
        <f aca="false">Raw_Data!H1468</f>
        <v>yes</v>
      </c>
      <c r="J1468" s="2" t="n">
        <f aca="false">IF(F1468="yes",1,0)</f>
        <v>0</v>
      </c>
      <c r="K1468" s="2" t="n">
        <f aca="false">IF(H1468="yes",1,0)</f>
        <v>0</v>
      </c>
      <c r="L1468" s="2" t="n">
        <f aca="false">IF(I1468="yes",1,0)</f>
        <v>1</v>
      </c>
      <c r="M1468" s="2" t="n">
        <f aca="false">IF(G1468&lt;0,1,0)</f>
        <v>0</v>
      </c>
      <c r="N1468" s="2" t="str">
        <f aca="false">_xlfn.IFS(B1468&lt;30,"Under 30",B1468&lt;40,"30-39",B1468&lt;50,"40-49",B1468&lt;60,"50-59",TRUE(),"60+")</f>
        <v>30-39</v>
      </c>
      <c r="O1468" s="2" t="str">
        <f aca="false">_xlfn.IFS(G1468&lt;0,"1 Negative",G1468=0,"2 Zero",G1468&lt;=500,"3 1-500",G1468&lt;=2000,"4 501-2000",TRUE(),"5 Above 2000")</f>
        <v>3 1-500</v>
      </c>
      <c r="P1468" s="2" t="n">
        <f aca="false">Lookups!$B$2*M1468+Lookups!$B$3*L1468</f>
        <v>1</v>
      </c>
      <c r="Q1468" s="2" t="str">
        <f aca="false">INDEX(Lookups!$E$2:$E$5,MATCH(P1468,Lookups!$D$2:$D$5,0))</f>
        <v>Medium</v>
      </c>
    </row>
    <row r="1469" customFormat="false" ht="15" hidden="false" customHeight="false" outlineLevel="0" collapsed="false">
      <c r="A1469" s="3" t="n">
        <v>1468</v>
      </c>
      <c r="B1469" s="3" t="n">
        <f aca="false">Raw_Data!A1469</f>
        <v>53</v>
      </c>
      <c r="C1469" s="3" t="str">
        <f aca="false">SUBSTITUTE(Raw_Data!B1469,".","")</f>
        <v>services</v>
      </c>
      <c r="D1469" s="3" t="str">
        <f aca="false">Raw_Data!C1469</f>
        <v>divorced</v>
      </c>
      <c r="E1469" s="3" t="str">
        <f aca="false">Raw_Data!D1469</f>
        <v>secondary</v>
      </c>
      <c r="F1469" s="3" t="str">
        <f aca="false">Raw_Data!E1469</f>
        <v>no</v>
      </c>
      <c r="G1469" s="3" t="n">
        <f aca="false">Raw_Data!F1469</f>
        <v>0</v>
      </c>
      <c r="H1469" s="3" t="str">
        <f aca="false">Raw_Data!G1469</f>
        <v>no</v>
      </c>
      <c r="I1469" s="3" t="str">
        <f aca="false">Raw_Data!H1469</f>
        <v>no</v>
      </c>
      <c r="J1469" s="2" t="n">
        <f aca="false">IF(F1469="yes",1,0)</f>
        <v>0</v>
      </c>
      <c r="K1469" s="2" t="n">
        <f aca="false">IF(H1469="yes",1,0)</f>
        <v>0</v>
      </c>
      <c r="L1469" s="2" t="n">
        <f aca="false">IF(I1469="yes",1,0)</f>
        <v>0</v>
      </c>
      <c r="M1469" s="2" t="n">
        <f aca="false">IF(G1469&lt;0,1,0)</f>
        <v>0</v>
      </c>
      <c r="N1469" s="2" t="str">
        <f aca="false">_xlfn.IFS(B1469&lt;30,"Under 30",B1469&lt;40,"30-39",B1469&lt;50,"40-49",B1469&lt;60,"50-59",TRUE(),"60+")</f>
        <v>50-59</v>
      </c>
      <c r="O1469" s="2" t="str">
        <f aca="false">_xlfn.IFS(G1469&lt;0,"1 Negative",G1469=0,"2 Zero",G1469&lt;=500,"3 1-500",G1469&lt;=2000,"4 501-2000",TRUE(),"5 Above 2000")</f>
        <v>2 Zero</v>
      </c>
      <c r="P1469" s="2" t="n">
        <f aca="false">Lookups!$B$2*M1469+Lookups!$B$3*L1469</f>
        <v>0</v>
      </c>
      <c r="Q1469" s="2" t="str">
        <f aca="false">INDEX(Lookups!$E$2:$E$5,MATCH(P1469,Lookups!$D$2:$D$5,0))</f>
        <v>Low</v>
      </c>
    </row>
    <row r="1470" customFormat="false" ht="15" hidden="false" customHeight="false" outlineLevel="0" collapsed="false">
      <c r="A1470" s="3" t="n">
        <v>1469</v>
      </c>
      <c r="B1470" s="3" t="n">
        <f aca="false">Raw_Data!A1470</f>
        <v>38</v>
      </c>
      <c r="C1470" s="3" t="str">
        <f aca="false">SUBSTITUTE(Raw_Data!B1470,".","")</f>
        <v>management</v>
      </c>
      <c r="D1470" s="3" t="str">
        <f aca="false">Raw_Data!C1470</f>
        <v>married</v>
      </c>
      <c r="E1470" s="3" t="str">
        <f aca="false">Raw_Data!D1470</f>
        <v>tertiary</v>
      </c>
      <c r="F1470" s="3" t="str">
        <f aca="false">Raw_Data!E1470</f>
        <v>no</v>
      </c>
      <c r="G1470" s="3" t="n">
        <f aca="false">Raw_Data!F1470</f>
        <v>0</v>
      </c>
      <c r="H1470" s="3" t="str">
        <f aca="false">Raw_Data!G1470</f>
        <v>yes</v>
      </c>
      <c r="I1470" s="3" t="str">
        <f aca="false">Raw_Data!H1470</f>
        <v>no</v>
      </c>
      <c r="J1470" s="2" t="n">
        <f aca="false">IF(F1470="yes",1,0)</f>
        <v>0</v>
      </c>
      <c r="K1470" s="2" t="n">
        <f aca="false">IF(H1470="yes",1,0)</f>
        <v>1</v>
      </c>
      <c r="L1470" s="2" t="n">
        <f aca="false">IF(I1470="yes",1,0)</f>
        <v>0</v>
      </c>
      <c r="M1470" s="2" t="n">
        <f aca="false">IF(G1470&lt;0,1,0)</f>
        <v>0</v>
      </c>
      <c r="N1470" s="2" t="str">
        <f aca="false">_xlfn.IFS(B1470&lt;30,"Under 30",B1470&lt;40,"30-39",B1470&lt;50,"40-49",B1470&lt;60,"50-59",TRUE(),"60+")</f>
        <v>30-39</v>
      </c>
      <c r="O1470" s="2" t="str">
        <f aca="false">_xlfn.IFS(G1470&lt;0,"1 Negative",G1470=0,"2 Zero",G1470&lt;=500,"3 1-500",G1470&lt;=2000,"4 501-2000",TRUE(),"5 Above 2000")</f>
        <v>2 Zero</v>
      </c>
      <c r="P1470" s="2" t="n">
        <f aca="false">Lookups!$B$2*M1470+Lookups!$B$3*L1470</f>
        <v>0</v>
      </c>
      <c r="Q1470" s="2" t="str">
        <f aca="false">INDEX(Lookups!$E$2:$E$5,MATCH(P1470,Lookups!$D$2:$D$5,0))</f>
        <v>Low</v>
      </c>
    </row>
    <row r="1471" customFormat="false" ht="15" hidden="false" customHeight="false" outlineLevel="0" collapsed="false">
      <c r="A1471" s="3" t="n">
        <v>1470</v>
      </c>
      <c r="B1471" s="3" t="n">
        <f aca="false">Raw_Data!A1471</f>
        <v>59</v>
      </c>
      <c r="C1471" s="3" t="str">
        <f aca="false">SUBSTITUTE(Raw_Data!B1471,".","")</f>
        <v>technician</v>
      </c>
      <c r="D1471" s="3" t="str">
        <f aca="false">Raw_Data!C1471</f>
        <v>married</v>
      </c>
      <c r="E1471" s="3" t="str">
        <f aca="false">Raw_Data!D1471</f>
        <v>secondary</v>
      </c>
      <c r="F1471" s="3" t="str">
        <f aca="false">Raw_Data!E1471</f>
        <v>no</v>
      </c>
      <c r="G1471" s="3" t="n">
        <f aca="false">Raw_Data!F1471</f>
        <v>259</v>
      </c>
      <c r="H1471" s="3" t="str">
        <f aca="false">Raw_Data!G1471</f>
        <v>no</v>
      </c>
      <c r="I1471" s="3" t="str">
        <f aca="false">Raw_Data!H1471</f>
        <v>no</v>
      </c>
      <c r="J1471" s="2" t="n">
        <f aca="false">IF(F1471="yes",1,0)</f>
        <v>0</v>
      </c>
      <c r="K1471" s="2" t="n">
        <f aca="false">IF(H1471="yes",1,0)</f>
        <v>0</v>
      </c>
      <c r="L1471" s="2" t="n">
        <f aca="false">IF(I1471="yes",1,0)</f>
        <v>0</v>
      </c>
      <c r="M1471" s="2" t="n">
        <f aca="false">IF(G1471&lt;0,1,0)</f>
        <v>0</v>
      </c>
      <c r="N1471" s="2" t="str">
        <f aca="false">_xlfn.IFS(B1471&lt;30,"Under 30",B1471&lt;40,"30-39",B1471&lt;50,"40-49",B1471&lt;60,"50-59",TRUE(),"60+")</f>
        <v>50-59</v>
      </c>
      <c r="O1471" s="2" t="str">
        <f aca="false">_xlfn.IFS(G1471&lt;0,"1 Negative",G1471=0,"2 Zero",G1471&lt;=500,"3 1-500",G1471&lt;=2000,"4 501-2000",TRUE(),"5 Above 2000")</f>
        <v>3 1-500</v>
      </c>
      <c r="P1471" s="2" t="n">
        <f aca="false">Lookups!$B$2*M1471+Lookups!$B$3*L1471</f>
        <v>0</v>
      </c>
      <c r="Q1471" s="2" t="str">
        <f aca="false">INDEX(Lookups!$E$2:$E$5,MATCH(P1471,Lookups!$D$2:$D$5,0))</f>
        <v>Low</v>
      </c>
    </row>
    <row r="1472" customFormat="false" ht="15" hidden="false" customHeight="false" outlineLevel="0" collapsed="false">
      <c r="A1472" s="3" t="n">
        <v>1471</v>
      </c>
      <c r="B1472" s="3" t="n">
        <f aca="false">Raw_Data!A1472</f>
        <v>55</v>
      </c>
      <c r="C1472" s="3" t="str">
        <f aca="false">SUBSTITUTE(Raw_Data!B1472,".","")</f>
        <v>blue-collar</v>
      </c>
      <c r="D1472" s="3" t="str">
        <f aca="false">Raw_Data!C1472</f>
        <v>married</v>
      </c>
      <c r="E1472" s="3" t="str">
        <f aca="false">Raw_Data!D1472</f>
        <v>primary</v>
      </c>
      <c r="F1472" s="3" t="str">
        <f aca="false">Raw_Data!E1472</f>
        <v>no</v>
      </c>
      <c r="G1472" s="3" t="n">
        <f aca="false">Raw_Data!F1472</f>
        <v>4103</v>
      </c>
      <c r="H1472" s="3" t="str">
        <f aca="false">Raw_Data!G1472</f>
        <v>no</v>
      </c>
      <c r="I1472" s="3" t="str">
        <f aca="false">Raw_Data!H1472</f>
        <v>no</v>
      </c>
      <c r="J1472" s="2" t="n">
        <f aca="false">IF(F1472="yes",1,0)</f>
        <v>0</v>
      </c>
      <c r="K1472" s="2" t="n">
        <f aca="false">IF(H1472="yes",1,0)</f>
        <v>0</v>
      </c>
      <c r="L1472" s="2" t="n">
        <f aca="false">IF(I1472="yes",1,0)</f>
        <v>0</v>
      </c>
      <c r="M1472" s="2" t="n">
        <f aca="false">IF(G1472&lt;0,1,0)</f>
        <v>0</v>
      </c>
      <c r="N1472" s="2" t="str">
        <f aca="false">_xlfn.IFS(B1472&lt;30,"Under 30",B1472&lt;40,"30-39",B1472&lt;50,"40-49",B1472&lt;60,"50-59",TRUE(),"60+")</f>
        <v>50-59</v>
      </c>
      <c r="O1472" s="2" t="str">
        <f aca="false">_xlfn.IFS(G1472&lt;0,"1 Negative",G1472=0,"2 Zero",G1472&lt;=500,"3 1-500",G1472&lt;=2000,"4 501-2000",TRUE(),"5 Above 2000")</f>
        <v>5 Above 2000</v>
      </c>
      <c r="P1472" s="2" t="n">
        <f aca="false">Lookups!$B$2*M1472+Lookups!$B$3*L1472</f>
        <v>0</v>
      </c>
      <c r="Q1472" s="2" t="str">
        <f aca="false">INDEX(Lookups!$E$2:$E$5,MATCH(P1472,Lookups!$D$2:$D$5,0))</f>
        <v>Low</v>
      </c>
    </row>
    <row r="1473" customFormat="false" ht="15" hidden="false" customHeight="false" outlineLevel="0" collapsed="false">
      <c r="A1473" s="3" t="n">
        <v>1472</v>
      </c>
      <c r="B1473" s="3" t="n">
        <f aca="false">Raw_Data!A1473</f>
        <v>38</v>
      </c>
      <c r="C1473" s="3" t="str">
        <f aca="false">SUBSTITUTE(Raw_Data!B1473,".","")</f>
        <v>technician</v>
      </c>
      <c r="D1473" s="3" t="str">
        <f aca="false">Raw_Data!C1473</f>
        <v>single</v>
      </c>
      <c r="E1473" s="3" t="str">
        <f aca="false">Raw_Data!D1473</f>
        <v>tertiary</v>
      </c>
      <c r="F1473" s="3" t="str">
        <f aca="false">Raw_Data!E1473</f>
        <v>no</v>
      </c>
      <c r="G1473" s="3" t="n">
        <f aca="false">Raw_Data!F1473</f>
        <v>744</v>
      </c>
      <c r="H1473" s="3" t="str">
        <f aca="false">Raw_Data!G1473</f>
        <v>yes</v>
      </c>
      <c r="I1473" s="3" t="str">
        <f aca="false">Raw_Data!H1473</f>
        <v>no</v>
      </c>
      <c r="J1473" s="2" t="n">
        <f aca="false">IF(F1473="yes",1,0)</f>
        <v>0</v>
      </c>
      <c r="K1473" s="2" t="n">
        <f aca="false">IF(H1473="yes",1,0)</f>
        <v>1</v>
      </c>
      <c r="L1473" s="2" t="n">
        <f aca="false">IF(I1473="yes",1,0)</f>
        <v>0</v>
      </c>
      <c r="M1473" s="2" t="n">
        <f aca="false">IF(G1473&lt;0,1,0)</f>
        <v>0</v>
      </c>
      <c r="N1473" s="2" t="str">
        <f aca="false">_xlfn.IFS(B1473&lt;30,"Under 30",B1473&lt;40,"30-39",B1473&lt;50,"40-49",B1473&lt;60,"50-59",TRUE(),"60+")</f>
        <v>30-39</v>
      </c>
      <c r="O1473" s="2" t="str">
        <f aca="false">_xlfn.IFS(G1473&lt;0,"1 Negative",G1473=0,"2 Zero",G1473&lt;=500,"3 1-500",G1473&lt;=2000,"4 501-2000",TRUE(),"5 Above 2000")</f>
        <v>4 501-2000</v>
      </c>
      <c r="P1473" s="2" t="n">
        <f aca="false">Lookups!$B$2*M1473+Lookups!$B$3*L1473</f>
        <v>0</v>
      </c>
      <c r="Q1473" s="2" t="str">
        <f aca="false">INDEX(Lookups!$E$2:$E$5,MATCH(P1473,Lookups!$D$2:$D$5,0))</f>
        <v>Low</v>
      </c>
    </row>
    <row r="1474" customFormat="false" ht="15" hidden="false" customHeight="false" outlineLevel="0" collapsed="false">
      <c r="A1474" s="3" t="n">
        <v>1473</v>
      </c>
      <c r="B1474" s="3" t="n">
        <f aca="false">Raw_Data!A1474</f>
        <v>48</v>
      </c>
      <c r="C1474" s="3" t="str">
        <f aca="false">SUBSTITUTE(Raw_Data!B1474,".","")</f>
        <v>services</v>
      </c>
      <c r="D1474" s="3" t="str">
        <f aca="false">Raw_Data!C1474</f>
        <v>married</v>
      </c>
      <c r="E1474" s="3" t="str">
        <f aca="false">Raw_Data!D1474</f>
        <v>secondary</v>
      </c>
      <c r="F1474" s="3" t="str">
        <f aca="false">Raw_Data!E1474</f>
        <v>no</v>
      </c>
      <c r="G1474" s="3" t="n">
        <f aca="false">Raw_Data!F1474</f>
        <v>116</v>
      </c>
      <c r="H1474" s="3" t="str">
        <f aca="false">Raw_Data!G1474</f>
        <v>yes</v>
      </c>
      <c r="I1474" s="3" t="str">
        <f aca="false">Raw_Data!H1474</f>
        <v>no</v>
      </c>
      <c r="J1474" s="2" t="n">
        <f aca="false">IF(F1474="yes",1,0)</f>
        <v>0</v>
      </c>
      <c r="K1474" s="2" t="n">
        <f aca="false">IF(H1474="yes",1,0)</f>
        <v>1</v>
      </c>
      <c r="L1474" s="2" t="n">
        <f aca="false">IF(I1474="yes",1,0)</f>
        <v>0</v>
      </c>
      <c r="M1474" s="2" t="n">
        <f aca="false">IF(G1474&lt;0,1,0)</f>
        <v>0</v>
      </c>
      <c r="N1474" s="2" t="str">
        <f aca="false">_xlfn.IFS(B1474&lt;30,"Under 30",B1474&lt;40,"30-39",B1474&lt;50,"40-49",B1474&lt;60,"50-59",TRUE(),"60+")</f>
        <v>40-49</v>
      </c>
      <c r="O1474" s="2" t="str">
        <f aca="false">_xlfn.IFS(G1474&lt;0,"1 Negative",G1474=0,"2 Zero",G1474&lt;=500,"3 1-500",G1474&lt;=2000,"4 501-2000",TRUE(),"5 Above 2000")</f>
        <v>3 1-500</v>
      </c>
      <c r="P1474" s="2" t="n">
        <f aca="false">Lookups!$B$2*M1474+Lookups!$B$3*L1474</f>
        <v>0</v>
      </c>
      <c r="Q1474" s="2" t="str">
        <f aca="false">INDEX(Lookups!$E$2:$E$5,MATCH(P1474,Lookups!$D$2:$D$5,0))</f>
        <v>Low</v>
      </c>
    </row>
    <row r="1475" customFormat="false" ht="15" hidden="false" customHeight="false" outlineLevel="0" collapsed="false">
      <c r="A1475" s="3" t="n">
        <v>1474</v>
      </c>
      <c r="B1475" s="3" t="n">
        <f aca="false">Raw_Data!A1475</f>
        <v>53</v>
      </c>
      <c r="C1475" s="3" t="str">
        <f aca="false">SUBSTITUTE(Raw_Data!B1475,".","")</f>
        <v>blue-collar</v>
      </c>
      <c r="D1475" s="3" t="str">
        <f aca="false">Raw_Data!C1475</f>
        <v>married</v>
      </c>
      <c r="E1475" s="3" t="str">
        <f aca="false">Raw_Data!D1475</f>
        <v>secondary</v>
      </c>
      <c r="F1475" s="3" t="str">
        <f aca="false">Raw_Data!E1475</f>
        <v>no</v>
      </c>
      <c r="G1475" s="3" t="n">
        <f aca="false">Raw_Data!F1475</f>
        <v>70</v>
      </c>
      <c r="H1475" s="3" t="str">
        <f aca="false">Raw_Data!G1475</f>
        <v>yes</v>
      </c>
      <c r="I1475" s="3" t="str">
        <f aca="false">Raw_Data!H1475</f>
        <v>no</v>
      </c>
      <c r="J1475" s="2" t="n">
        <f aca="false">IF(F1475="yes",1,0)</f>
        <v>0</v>
      </c>
      <c r="K1475" s="2" t="n">
        <f aca="false">IF(H1475="yes",1,0)</f>
        <v>1</v>
      </c>
      <c r="L1475" s="2" t="n">
        <f aca="false">IF(I1475="yes",1,0)</f>
        <v>0</v>
      </c>
      <c r="M1475" s="2" t="n">
        <f aca="false">IF(G1475&lt;0,1,0)</f>
        <v>0</v>
      </c>
      <c r="N1475" s="2" t="str">
        <f aca="false">_xlfn.IFS(B1475&lt;30,"Under 30",B1475&lt;40,"30-39",B1475&lt;50,"40-49",B1475&lt;60,"50-59",TRUE(),"60+")</f>
        <v>50-59</v>
      </c>
      <c r="O1475" s="2" t="str">
        <f aca="false">_xlfn.IFS(G1475&lt;0,"1 Negative",G1475=0,"2 Zero",G1475&lt;=500,"3 1-500",G1475&lt;=2000,"4 501-2000",TRUE(),"5 Above 2000")</f>
        <v>3 1-500</v>
      </c>
      <c r="P1475" s="2" t="n">
        <f aca="false">Lookups!$B$2*M1475+Lookups!$B$3*L1475</f>
        <v>0</v>
      </c>
      <c r="Q1475" s="2" t="str">
        <f aca="false">INDEX(Lookups!$E$2:$E$5,MATCH(P1475,Lookups!$D$2:$D$5,0))</f>
        <v>Low</v>
      </c>
    </row>
    <row r="1476" customFormat="false" ht="15" hidden="false" customHeight="false" outlineLevel="0" collapsed="false">
      <c r="A1476" s="3" t="n">
        <v>1475</v>
      </c>
      <c r="B1476" s="3" t="n">
        <f aca="false">Raw_Data!A1476</f>
        <v>44</v>
      </c>
      <c r="C1476" s="3" t="str">
        <f aca="false">SUBSTITUTE(Raw_Data!B1476,".","")</f>
        <v>admin</v>
      </c>
      <c r="D1476" s="3" t="str">
        <f aca="false">Raw_Data!C1476</f>
        <v>divorced</v>
      </c>
      <c r="E1476" s="3" t="str">
        <f aca="false">Raw_Data!D1476</f>
        <v>secondary</v>
      </c>
      <c r="F1476" s="3" t="str">
        <f aca="false">Raw_Data!E1476</f>
        <v>no</v>
      </c>
      <c r="G1476" s="3" t="n">
        <f aca="false">Raw_Data!F1476</f>
        <v>432</v>
      </c>
      <c r="H1476" s="3" t="str">
        <f aca="false">Raw_Data!G1476</f>
        <v>no</v>
      </c>
      <c r="I1476" s="3" t="str">
        <f aca="false">Raw_Data!H1476</f>
        <v>no</v>
      </c>
      <c r="J1476" s="2" t="n">
        <f aca="false">IF(F1476="yes",1,0)</f>
        <v>0</v>
      </c>
      <c r="K1476" s="2" t="n">
        <f aca="false">IF(H1476="yes",1,0)</f>
        <v>0</v>
      </c>
      <c r="L1476" s="2" t="n">
        <f aca="false">IF(I1476="yes",1,0)</f>
        <v>0</v>
      </c>
      <c r="M1476" s="2" t="n">
        <f aca="false">IF(G1476&lt;0,1,0)</f>
        <v>0</v>
      </c>
      <c r="N1476" s="2" t="str">
        <f aca="false">_xlfn.IFS(B1476&lt;30,"Under 30",B1476&lt;40,"30-39",B1476&lt;50,"40-49",B1476&lt;60,"50-59",TRUE(),"60+")</f>
        <v>40-49</v>
      </c>
      <c r="O1476" s="2" t="str">
        <f aca="false">_xlfn.IFS(G1476&lt;0,"1 Negative",G1476=0,"2 Zero",G1476&lt;=500,"3 1-500",G1476&lt;=2000,"4 501-2000",TRUE(),"5 Above 2000")</f>
        <v>3 1-500</v>
      </c>
      <c r="P1476" s="2" t="n">
        <f aca="false">Lookups!$B$2*M1476+Lookups!$B$3*L1476</f>
        <v>0</v>
      </c>
      <c r="Q1476" s="2" t="str">
        <f aca="false">INDEX(Lookups!$E$2:$E$5,MATCH(P1476,Lookups!$D$2:$D$5,0))</f>
        <v>Low</v>
      </c>
    </row>
    <row r="1477" customFormat="false" ht="15" hidden="false" customHeight="false" outlineLevel="0" collapsed="false">
      <c r="A1477" s="3" t="n">
        <v>1476</v>
      </c>
      <c r="B1477" s="3" t="n">
        <f aca="false">Raw_Data!A1477</f>
        <v>57</v>
      </c>
      <c r="C1477" s="3" t="str">
        <f aca="false">SUBSTITUTE(Raw_Data!B1477,".","")</f>
        <v>management</v>
      </c>
      <c r="D1477" s="3" t="str">
        <f aca="false">Raw_Data!C1477</f>
        <v>married</v>
      </c>
      <c r="E1477" s="3" t="str">
        <f aca="false">Raw_Data!D1477</f>
        <v>tertiary</v>
      </c>
      <c r="F1477" s="3" t="str">
        <f aca="false">Raw_Data!E1477</f>
        <v>no</v>
      </c>
      <c r="G1477" s="3" t="n">
        <f aca="false">Raw_Data!F1477</f>
        <v>1172</v>
      </c>
      <c r="H1477" s="3" t="str">
        <f aca="false">Raw_Data!G1477</f>
        <v>no</v>
      </c>
      <c r="I1477" s="3" t="str">
        <f aca="false">Raw_Data!H1477</f>
        <v>no</v>
      </c>
      <c r="J1477" s="2" t="n">
        <f aca="false">IF(F1477="yes",1,0)</f>
        <v>0</v>
      </c>
      <c r="K1477" s="2" t="n">
        <f aca="false">IF(H1477="yes",1,0)</f>
        <v>0</v>
      </c>
      <c r="L1477" s="2" t="n">
        <f aca="false">IF(I1477="yes",1,0)</f>
        <v>0</v>
      </c>
      <c r="M1477" s="2" t="n">
        <f aca="false">IF(G1477&lt;0,1,0)</f>
        <v>0</v>
      </c>
      <c r="N1477" s="2" t="str">
        <f aca="false">_xlfn.IFS(B1477&lt;30,"Under 30",B1477&lt;40,"30-39",B1477&lt;50,"40-49",B1477&lt;60,"50-59",TRUE(),"60+")</f>
        <v>50-59</v>
      </c>
      <c r="O1477" s="2" t="str">
        <f aca="false">_xlfn.IFS(G1477&lt;0,"1 Negative",G1477=0,"2 Zero",G1477&lt;=500,"3 1-500",G1477&lt;=2000,"4 501-2000",TRUE(),"5 Above 2000")</f>
        <v>4 501-2000</v>
      </c>
      <c r="P1477" s="2" t="n">
        <f aca="false">Lookups!$B$2*M1477+Lookups!$B$3*L1477</f>
        <v>0</v>
      </c>
      <c r="Q1477" s="2" t="str">
        <f aca="false">INDEX(Lookups!$E$2:$E$5,MATCH(P1477,Lookups!$D$2:$D$5,0))</f>
        <v>Low</v>
      </c>
    </row>
    <row r="1478" customFormat="false" ht="15" hidden="false" customHeight="false" outlineLevel="0" collapsed="false">
      <c r="A1478" s="3" t="n">
        <v>1477</v>
      </c>
      <c r="B1478" s="3" t="n">
        <f aca="false">Raw_Data!A1478</f>
        <v>29</v>
      </c>
      <c r="C1478" s="3" t="str">
        <f aca="false">SUBSTITUTE(Raw_Data!B1478,".","")</f>
        <v>blue-collar</v>
      </c>
      <c r="D1478" s="3" t="str">
        <f aca="false">Raw_Data!C1478</f>
        <v>single</v>
      </c>
      <c r="E1478" s="3" t="str">
        <f aca="false">Raw_Data!D1478</f>
        <v>secondary</v>
      </c>
      <c r="F1478" s="3" t="str">
        <f aca="false">Raw_Data!E1478</f>
        <v>no</v>
      </c>
      <c r="G1478" s="3" t="n">
        <f aca="false">Raw_Data!F1478</f>
        <v>9</v>
      </c>
      <c r="H1478" s="3" t="str">
        <f aca="false">Raw_Data!G1478</f>
        <v>yes</v>
      </c>
      <c r="I1478" s="3" t="str">
        <f aca="false">Raw_Data!H1478</f>
        <v>no</v>
      </c>
      <c r="J1478" s="2" t="n">
        <f aca="false">IF(F1478="yes",1,0)</f>
        <v>0</v>
      </c>
      <c r="K1478" s="2" t="n">
        <f aca="false">IF(H1478="yes",1,0)</f>
        <v>1</v>
      </c>
      <c r="L1478" s="2" t="n">
        <f aca="false">IF(I1478="yes",1,0)</f>
        <v>0</v>
      </c>
      <c r="M1478" s="2" t="n">
        <f aca="false">IF(G1478&lt;0,1,0)</f>
        <v>0</v>
      </c>
      <c r="N1478" s="2" t="str">
        <f aca="false">_xlfn.IFS(B1478&lt;30,"Under 30",B1478&lt;40,"30-39",B1478&lt;50,"40-49",B1478&lt;60,"50-59",TRUE(),"60+")</f>
        <v>Under 30</v>
      </c>
      <c r="O1478" s="2" t="str">
        <f aca="false">_xlfn.IFS(G1478&lt;0,"1 Negative",G1478=0,"2 Zero",G1478&lt;=500,"3 1-500",G1478&lt;=2000,"4 501-2000",TRUE(),"5 Above 2000")</f>
        <v>3 1-500</v>
      </c>
      <c r="P1478" s="2" t="n">
        <f aca="false">Lookups!$B$2*M1478+Lookups!$B$3*L1478</f>
        <v>0</v>
      </c>
      <c r="Q1478" s="2" t="str">
        <f aca="false">INDEX(Lookups!$E$2:$E$5,MATCH(P1478,Lookups!$D$2:$D$5,0))</f>
        <v>Low</v>
      </c>
    </row>
    <row r="1479" customFormat="false" ht="15" hidden="false" customHeight="false" outlineLevel="0" collapsed="false">
      <c r="A1479" s="3" t="n">
        <v>1478</v>
      </c>
      <c r="B1479" s="3" t="n">
        <f aca="false">Raw_Data!A1479</f>
        <v>31</v>
      </c>
      <c r="C1479" s="3" t="str">
        <f aca="false">SUBSTITUTE(Raw_Data!B1479,".","")</f>
        <v>services</v>
      </c>
      <c r="D1479" s="3" t="str">
        <f aca="false">Raw_Data!C1479</f>
        <v>married</v>
      </c>
      <c r="E1479" s="3" t="str">
        <f aca="false">Raw_Data!D1479</f>
        <v>secondary</v>
      </c>
      <c r="F1479" s="3" t="str">
        <f aca="false">Raw_Data!E1479</f>
        <v>no</v>
      </c>
      <c r="G1479" s="3" t="n">
        <f aca="false">Raw_Data!F1479</f>
        <v>428</v>
      </c>
      <c r="H1479" s="3" t="str">
        <f aca="false">Raw_Data!G1479</f>
        <v>yes</v>
      </c>
      <c r="I1479" s="3" t="str">
        <f aca="false">Raw_Data!H1479</f>
        <v>no</v>
      </c>
      <c r="J1479" s="2" t="n">
        <f aca="false">IF(F1479="yes",1,0)</f>
        <v>0</v>
      </c>
      <c r="K1479" s="2" t="n">
        <f aca="false">IF(H1479="yes",1,0)</f>
        <v>1</v>
      </c>
      <c r="L1479" s="2" t="n">
        <f aca="false">IF(I1479="yes",1,0)</f>
        <v>0</v>
      </c>
      <c r="M1479" s="2" t="n">
        <f aca="false">IF(G1479&lt;0,1,0)</f>
        <v>0</v>
      </c>
      <c r="N1479" s="2" t="str">
        <f aca="false">_xlfn.IFS(B1479&lt;30,"Under 30",B1479&lt;40,"30-39",B1479&lt;50,"40-49",B1479&lt;60,"50-59",TRUE(),"60+")</f>
        <v>30-39</v>
      </c>
      <c r="O1479" s="2" t="str">
        <f aca="false">_xlfn.IFS(G1479&lt;0,"1 Negative",G1479=0,"2 Zero",G1479&lt;=500,"3 1-500",G1479&lt;=2000,"4 501-2000",TRUE(),"5 Above 2000")</f>
        <v>3 1-500</v>
      </c>
      <c r="P1479" s="2" t="n">
        <f aca="false">Lookups!$B$2*M1479+Lookups!$B$3*L1479</f>
        <v>0</v>
      </c>
      <c r="Q1479" s="2" t="str">
        <f aca="false">INDEX(Lookups!$E$2:$E$5,MATCH(P1479,Lookups!$D$2:$D$5,0))</f>
        <v>Low</v>
      </c>
    </row>
    <row r="1480" customFormat="false" ht="15" hidden="false" customHeight="false" outlineLevel="0" collapsed="false">
      <c r="A1480" s="3" t="n">
        <v>1479</v>
      </c>
      <c r="B1480" s="3" t="n">
        <f aca="false">Raw_Data!A1480</f>
        <v>35</v>
      </c>
      <c r="C1480" s="3" t="str">
        <f aca="false">SUBSTITUTE(Raw_Data!B1480,".","")</f>
        <v>technician</v>
      </c>
      <c r="D1480" s="3" t="str">
        <f aca="false">Raw_Data!C1480</f>
        <v>single</v>
      </c>
      <c r="E1480" s="3" t="str">
        <f aca="false">Raw_Data!D1480</f>
        <v>tertiary</v>
      </c>
      <c r="F1480" s="3" t="str">
        <f aca="false">Raw_Data!E1480</f>
        <v>no</v>
      </c>
      <c r="G1480" s="3" t="n">
        <f aca="false">Raw_Data!F1480</f>
        <v>7546</v>
      </c>
      <c r="H1480" s="3" t="str">
        <f aca="false">Raw_Data!G1480</f>
        <v>yes</v>
      </c>
      <c r="I1480" s="3" t="str">
        <f aca="false">Raw_Data!H1480</f>
        <v>no</v>
      </c>
      <c r="J1480" s="2" t="n">
        <f aca="false">IF(F1480="yes",1,0)</f>
        <v>0</v>
      </c>
      <c r="K1480" s="2" t="n">
        <f aca="false">IF(H1480="yes",1,0)</f>
        <v>1</v>
      </c>
      <c r="L1480" s="2" t="n">
        <f aca="false">IF(I1480="yes",1,0)</f>
        <v>0</v>
      </c>
      <c r="M1480" s="2" t="n">
        <f aca="false">IF(G1480&lt;0,1,0)</f>
        <v>0</v>
      </c>
      <c r="N1480" s="2" t="str">
        <f aca="false">_xlfn.IFS(B1480&lt;30,"Under 30",B1480&lt;40,"30-39",B1480&lt;50,"40-49",B1480&lt;60,"50-59",TRUE(),"60+")</f>
        <v>30-39</v>
      </c>
      <c r="O1480" s="2" t="str">
        <f aca="false">_xlfn.IFS(G1480&lt;0,"1 Negative",G1480=0,"2 Zero",G1480&lt;=500,"3 1-500",G1480&lt;=2000,"4 501-2000",TRUE(),"5 Above 2000")</f>
        <v>5 Above 2000</v>
      </c>
      <c r="P1480" s="2" t="n">
        <f aca="false">Lookups!$B$2*M1480+Lookups!$B$3*L1480</f>
        <v>0</v>
      </c>
      <c r="Q1480" s="2" t="str">
        <f aca="false">INDEX(Lookups!$E$2:$E$5,MATCH(P1480,Lookups!$D$2:$D$5,0))</f>
        <v>Low</v>
      </c>
    </row>
    <row r="1481" customFormat="false" ht="15" hidden="false" customHeight="false" outlineLevel="0" collapsed="false">
      <c r="A1481" s="3" t="n">
        <v>1480</v>
      </c>
      <c r="B1481" s="3" t="n">
        <f aca="false">Raw_Data!A1481</f>
        <v>31</v>
      </c>
      <c r="C1481" s="3" t="str">
        <f aca="false">SUBSTITUTE(Raw_Data!B1481,".","")</f>
        <v>blue-collar</v>
      </c>
      <c r="D1481" s="3" t="str">
        <f aca="false">Raw_Data!C1481</f>
        <v>married</v>
      </c>
      <c r="E1481" s="3" t="str">
        <f aca="false">Raw_Data!D1481</f>
        <v>primary</v>
      </c>
      <c r="F1481" s="3" t="str">
        <f aca="false">Raw_Data!E1481</f>
        <v>no</v>
      </c>
      <c r="G1481" s="3" t="n">
        <f aca="false">Raw_Data!F1481</f>
        <v>620</v>
      </c>
      <c r="H1481" s="3" t="str">
        <f aca="false">Raw_Data!G1481</f>
        <v>no</v>
      </c>
      <c r="I1481" s="3" t="str">
        <f aca="false">Raw_Data!H1481</f>
        <v>no</v>
      </c>
      <c r="J1481" s="2" t="n">
        <f aca="false">IF(F1481="yes",1,0)</f>
        <v>0</v>
      </c>
      <c r="K1481" s="2" t="n">
        <f aca="false">IF(H1481="yes",1,0)</f>
        <v>0</v>
      </c>
      <c r="L1481" s="2" t="n">
        <f aca="false">IF(I1481="yes",1,0)</f>
        <v>0</v>
      </c>
      <c r="M1481" s="2" t="n">
        <f aca="false">IF(G1481&lt;0,1,0)</f>
        <v>0</v>
      </c>
      <c r="N1481" s="2" t="str">
        <f aca="false">_xlfn.IFS(B1481&lt;30,"Under 30",B1481&lt;40,"30-39",B1481&lt;50,"40-49",B1481&lt;60,"50-59",TRUE(),"60+")</f>
        <v>30-39</v>
      </c>
      <c r="O1481" s="2" t="str">
        <f aca="false">_xlfn.IFS(G1481&lt;0,"1 Negative",G1481=0,"2 Zero",G1481&lt;=500,"3 1-500",G1481&lt;=2000,"4 501-2000",TRUE(),"5 Above 2000")</f>
        <v>4 501-2000</v>
      </c>
      <c r="P1481" s="2" t="n">
        <f aca="false">Lookups!$B$2*M1481+Lookups!$B$3*L1481</f>
        <v>0</v>
      </c>
      <c r="Q1481" s="2" t="str">
        <f aca="false">INDEX(Lookups!$E$2:$E$5,MATCH(P1481,Lookups!$D$2:$D$5,0))</f>
        <v>Low</v>
      </c>
    </row>
    <row r="1482" customFormat="false" ht="15" hidden="false" customHeight="false" outlineLevel="0" collapsed="false">
      <c r="A1482" s="3" t="n">
        <v>1481</v>
      </c>
      <c r="B1482" s="3" t="n">
        <f aca="false">Raw_Data!A1482</f>
        <v>35</v>
      </c>
      <c r="C1482" s="3" t="str">
        <f aca="false">SUBSTITUTE(Raw_Data!B1482,".","")</f>
        <v>self-employed</v>
      </c>
      <c r="D1482" s="3" t="str">
        <f aca="false">Raw_Data!C1482</f>
        <v>married</v>
      </c>
      <c r="E1482" s="3" t="str">
        <f aca="false">Raw_Data!D1482</f>
        <v>tertiary</v>
      </c>
      <c r="F1482" s="3" t="str">
        <f aca="false">Raw_Data!E1482</f>
        <v>no</v>
      </c>
      <c r="G1482" s="3" t="n">
        <f aca="false">Raw_Data!F1482</f>
        <v>8647</v>
      </c>
      <c r="H1482" s="3" t="str">
        <f aca="false">Raw_Data!G1482</f>
        <v>no</v>
      </c>
      <c r="I1482" s="3" t="str">
        <f aca="false">Raw_Data!H1482</f>
        <v>no</v>
      </c>
      <c r="J1482" s="2" t="n">
        <f aca="false">IF(F1482="yes",1,0)</f>
        <v>0</v>
      </c>
      <c r="K1482" s="2" t="n">
        <f aca="false">IF(H1482="yes",1,0)</f>
        <v>0</v>
      </c>
      <c r="L1482" s="2" t="n">
        <f aca="false">IF(I1482="yes",1,0)</f>
        <v>0</v>
      </c>
      <c r="M1482" s="2" t="n">
        <f aca="false">IF(G1482&lt;0,1,0)</f>
        <v>0</v>
      </c>
      <c r="N1482" s="2" t="str">
        <f aca="false">_xlfn.IFS(B1482&lt;30,"Under 30",B1482&lt;40,"30-39",B1482&lt;50,"40-49",B1482&lt;60,"50-59",TRUE(),"60+")</f>
        <v>30-39</v>
      </c>
      <c r="O1482" s="2" t="str">
        <f aca="false">_xlfn.IFS(G1482&lt;0,"1 Negative",G1482=0,"2 Zero",G1482&lt;=500,"3 1-500",G1482&lt;=2000,"4 501-2000",TRUE(),"5 Above 2000")</f>
        <v>5 Above 2000</v>
      </c>
      <c r="P1482" s="2" t="n">
        <f aca="false">Lookups!$B$2*M1482+Lookups!$B$3*L1482</f>
        <v>0</v>
      </c>
      <c r="Q1482" s="2" t="str">
        <f aca="false">INDEX(Lookups!$E$2:$E$5,MATCH(P1482,Lookups!$D$2:$D$5,0))</f>
        <v>Low</v>
      </c>
    </row>
    <row r="1483" customFormat="false" ht="15" hidden="false" customHeight="false" outlineLevel="0" collapsed="false">
      <c r="A1483" s="3" t="n">
        <v>1482</v>
      </c>
      <c r="B1483" s="3" t="n">
        <f aca="false">Raw_Data!A1483</f>
        <v>40</v>
      </c>
      <c r="C1483" s="3" t="str">
        <f aca="false">SUBSTITUTE(Raw_Data!B1483,".","")</f>
        <v>management</v>
      </c>
      <c r="D1483" s="3" t="str">
        <f aca="false">Raw_Data!C1483</f>
        <v>single</v>
      </c>
      <c r="E1483" s="3" t="str">
        <f aca="false">Raw_Data!D1483</f>
        <v>secondary</v>
      </c>
      <c r="F1483" s="3" t="str">
        <f aca="false">Raw_Data!E1483</f>
        <v>no</v>
      </c>
      <c r="G1483" s="3" t="n">
        <f aca="false">Raw_Data!F1483</f>
        <v>192</v>
      </c>
      <c r="H1483" s="3" t="str">
        <f aca="false">Raw_Data!G1483</f>
        <v>yes</v>
      </c>
      <c r="I1483" s="3" t="str">
        <f aca="false">Raw_Data!H1483</f>
        <v>no</v>
      </c>
      <c r="J1483" s="2" t="n">
        <f aca="false">IF(F1483="yes",1,0)</f>
        <v>0</v>
      </c>
      <c r="K1483" s="2" t="n">
        <f aca="false">IF(H1483="yes",1,0)</f>
        <v>1</v>
      </c>
      <c r="L1483" s="2" t="n">
        <f aca="false">IF(I1483="yes",1,0)</f>
        <v>0</v>
      </c>
      <c r="M1483" s="2" t="n">
        <f aca="false">IF(G1483&lt;0,1,0)</f>
        <v>0</v>
      </c>
      <c r="N1483" s="2" t="str">
        <f aca="false">_xlfn.IFS(B1483&lt;30,"Under 30",B1483&lt;40,"30-39",B1483&lt;50,"40-49",B1483&lt;60,"50-59",TRUE(),"60+")</f>
        <v>40-49</v>
      </c>
      <c r="O1483" s="2" t="str">
        <f aca="false">_xlfn.IFS(G1483&lt;0,"1 Negative",G1483=0,"2 Zero",G1483&lt;=500,"3 1-500",G1483&lt;=2000,"4 501-2000",TRUE(),"5 Above 2000")</f>
        <v>3 1-500</v>
      </c>
      <c r="P1483" s="2" t="n">
        <f aca="false">Lookups!$B$2*M1483+Lookups!$B$3*L1483</f>
        <v>0</v>
      </c>
      <c r="Q1483" s="2" t="str">
        <f aca="false">INDEX(Lookups!$E$2:$E$5,MATCH(P1483,Lookups!$D$2:$D$5,0))</f>
        <v>Low</v>
      </c>
    </row>
    <row r="1484" customFormat="false" ht="15" hidden="false" customHeight="false" outlineLevel="0" collapsed="false">
      <c r="A1484" s="3" t="n">
        <v>1483</v>
      </c>
      <c r="B1484" s="3" t="n">
        <f aca="false">Raw_Data!A1484</f>
        <v>39</v>
      </c>
      <c r="C1484" s="3" t="str">
        <f aca="false">SUBSTITUTE(Raw_Data!B1484,".","")</f>
        <v>blue-collar</v>
      </c>
      <c r="D1484" s="3" t="str">
        <f aca="false">Raw_Data!C1484</f>
        <v>married</v>
      </c>
      <c r="E1484" s="3" t="str">
        <f aca="false">Raw_Data!D1484</f>
        <v>secondary</v>
      </c>
      <c r="F1484" s="3" t="str">
        <f aca="false">Raw_Data!E1484</f>
        <v>no</v>
      </c>
      <c r="G1484" s="3" t="n">
        <f aca="false">Raw_Data!F1484</f>
        <v>0</v>
      </c>
      <c r="H1484" s="3" t="str">
        <f aca="false">Raw_Data!G1484</f>
        <v>yes</v>
      </c>
      <c r="I1484" s="3" t="str">
        <f aca="false">Raw_Data!H1484</f>
        <v>no</v>
      </c>
      <c r="J1484" s="2" t="n">
        <f aca="false">IF(F1484="yes",1,0)</f>
        <v>0</v>
      </c>
      <c r="K1484" s="2" t="n">
        <f aca="false">IF(H1484="yes",1,0)</f>
        <v>1</v>
      </c>
      <c r="L1484" s="2" t="n">
        <f aca="false">IF(I1484="yes",1,0)</f>
        <v>0</v>
      </c>
      <c r="M1484" s="2" t="n">
        <f aca="false">IF(G1484&lt;0,1,0)</f>
        <v>0</v>
      </c>
      <c r="N1484" s="2" t="str">
        <f aca="false">_xlfn.IFS(B1484&lt;30,"Under 30",B1484&lt;40,"30-39",B1484&lt;50,"40-49",B1484&lt;60,"50-59",TRUE(),"60+")</f>
        <v>30-39</v>
      </c>
      <c r="O1484" s="2" t="str">
        <f aca="false">_xlfn.IFS(G1484&lt;0,"1 Negative",G1484=0,"2 Zero",G1484&lt;=500,"3 1-500",G1484&lt;=2000,"4 501-2000",TRUE(),"5 Above 2000")</f>
        <v>2 Zero</v>
      </c>
      <c r="P1484" s="2" t="n">
        <f aca="false">Lookups!$B$2*M1484+Lookups!$B$3*L1484</f>
        <v>0</v>
      </c>
      <c r="Q1484" s="2" t="str">
        <f aca="false">INDEX(Lookups!$E$2:$E$5,MATCH(P1484,Lookups!$D$2:$D$5,0))</f>
        <v>Low</v>
      </c>
    </row>
    <row r="1485" customFormat="false" ht="15" hidden="false" customHeight="false" outlineLevel="0" collapsed="false">
      <c r="A1485" s="3" t="n">
        <v>1484</v>
      </c>
      <c r="B1485" s="3" t="n">
        <f aca="false">Raw_Data!A1485</f>
        <v>43</v>
      </c>
      <c r="C1485" s="3" t="str">
        <f aca="false">SUBSTITUTE(Raw_Data!B1485,".","")</f>
        <v>technician</v>
      </c>
      <c r="D1485" s="3" t="str">
        <f aca="false">Raw_Data!C1485</f>
        <v>single</v>
      </c>
      <c r="E1485" s="3" t="str">
        <f aca="false">Raw_Data!D1485</f>
        <v>tertiary</v>
      </c>
      <c r="F1485" s="3" t="str">
        <f aca="false">Raw_Data!E1485</f>
        <v>no</v>
      </c>
      <c r="G1485" s="3" t="n">
        <f aca="false">Raw_Data!F1485</f>
        <v>27733</v>
      </c>
      <c r="H1485" s="3" t="str">
        <f aca="false">Raw_Data!G1485</f>
        <v>yes</v>
      </c>
      <c r="I1485" s="3" t="str">
        <f aca="false">Raw_Data!H1485</f>
        <v>no</v>
      </c>
      <c r="J1485" s="2" t="n">
        <f aca="false">IF(F1485="yes",1,0)</f>
        <v>0</v>
      </c>
      <c r="K1485" s="2" t="n">
        <f aca="false">IF(H1485="yes",1,0)</f>
        <v>1</v>
      </c>
      <c r="L1485" s="2" t="n">
        <f aca="false">IF(I1485="yes",1,0)</f>
        <v>0</v>
      </c>
      <c r="M1485" s="2" t="n">
        <f aca="false">IF(G1485&lt;0,1,0)</f>
        <v>0</v>
      </c>
      <c r="N1485" s="2" t="str">
        <f aca="false">_xlfn.IFS(B1485&lt;30,"Under 30",B1485&lt;40,"30-39",B1485&lt;50,"40-49",B1485&lt;60,"50-59",TRUE(),"60+")</f>
        <v>40-49</v>
      </c>
      <c r="O1485" s="2" t="str">
        <f aca="false">_xlfn.IFS(G1485&lt;0,"1 Negative",G1485=0,"2 Zero",G1485&lt;=500,"3 1-500",G1485&lt;=2000,"4 501-2000",TRUE(),"5 Above 2000")</f>
        <v>5 Above 2000</v>
      </c>
      <c r="P1485" s="2" t="n">
        <f aca="false">Lookups!$B$2*M1485+Lookups!$B$3*L1485</f>
        <v>0</v>
      </c>
      <c r="Q1485" s="2" t="str">
        <f aca="false">INDEX(Lookups!$E$2:$E$5,MATCH(P1485,Lookups!$D$2:$D$5,0))</f>
        <v>Low</v>
      </c>
    </row>
    <row r="1486" customFormat="false" ht="15" hidden="false" customHeight="false" outlineLevel="0" collapsed="false">
      <c r="A1486" s="3" t="n">
        <v>1485</v>
      </c>
      <c r="B1486" s="3" t="n">
        <f aca="false">Raw_Data!A1486</f>
        <v>44</v>
      </c>
      <c r="C1486" s="3" t="str">
        <f aca="false">SUBSTITUTE(Raw_Data!B1486,".","")</f>
        <v>entrepreneur</v>
      </c>
      <c r="D1486" s="3" t="str">
        <f aca="false">Raw_Data!C1486</f>
        <v>married</v>
      </c>
      <c r="E1486" s="3" t="str">
        <f aca="false">Raw_Data!D1486</f>
        <v>primary</v>
      </c>
      <c r="F1486" s="3" t="str">
        <f aca="false">Raw_Data!E1486</f>
        <v>no</v>
      </c>
      <c r="G1486" s="3" t="n">
        <f aca="false">Raw_Data!F1486</f>
        <v>276</v>
      </c>
      <c r="H1486" s="3" t="str">
        <f aca="false">Raw_Data!G1486</f>
        <v>yes</v>
      </c>
      <c r="I1486" s="3" t="str">
        <f aca="false">Raw_Data!H1486</f>
        <v>yes</v>
      </c>
      <c r="J1486" s="2" t="n">
        <f aca="false">IF(F1486="yes",1,0)</f>
        <v>0</v>
      </c>
      <c r="K1486" s="2" t="n">
        <f aca="false">IF(H1486="yes",1,0)</f>
        <v>1</v>
      </c>
      <c r="L1486" s="2" t="n">
        <f aca="false">IF(I1486="yes",1,0)</f>
        <v>1</v>
      </c>
      <c r="M1486" s="2" t="n">
        <f aca="false">IF(G1486&lt;0,1,0)</f>
        <v>0</v>
      </c>
      <c r="N1486" s="2" t="str">
        <f aca="false">_xlfn.IFS(B1486&lt;30,"Under 30",B1486&lt;40,"30-39",B1486&lt;50,"40-49",B1486&lt;60,"50-59",TRUE(),"60+")</f>
        <v>40-49</v>
      </c>
      <c r="O1486" s="2" t="str">
        <f aca="false">_xlfn.IFS(G1486&lt;0,"1 Negative",G1486=0,"2 Zero",G1486&lt;=500,"3 1-500",G1486&lt;=2000,"4 501-2000",TRUE(),"5 Above 2000")</f>
        <v>3 1-500</v>
      </c>
      <c r="P1486" s="2" t="n">
        <f aca="false">Lookups!$B$2*M1486+Lookups!$B$3*L1486</f>
        <v>1</v>
      </c>
      <c r="Q1486" s="2" t="str">
        <f aca="false">INDEX(Lookups!$E$2:$E$5,MATCH(P1486,Lookups!$D$2:$D$5,0))</f>
        <v>Medium</v>
      </c>
    </row>
    <row r="1487" customFormat="false" ht="15" hidden="false" customHeight="false" outlineLevel="0" collapsed="false">
      <c r="A1487" s="3" t="n">
        <v>1486</v>
      </c>
      <c r="B1487" s="3" t="n">
        <f aca="false">Raw_Data!A1487</f>
        <v>29</v>
      </c>
      <c r="C1487" s="3" t="str">
        <f aca="false">SUBSTITUTE(Raw_Data!B1487,".","")</f>
        <v>technician</v>
      </c>
      <c r="D1487" s="3" t="str">
        <f aca="false">Raw_Data!C1487</f>
        <v>single</v>
      </c>
      <c r="E1487" s="3" t="str">
        <f aca="false">Raw_Data!D1487</f>
        <v>secondary</v>
      </c>
      <c r="F1487" s="3" t="str">
        <f aca="false">Raw_Data!E1487</f>
        <v>no</v>
      </c>
      <c r="G1487" s="3" t="n">
        <f aca="false">Raw_Data!F1487</f>
        <v>113</v>
      </c>
      <c r="H1487" s="3" t="str">
        <f aca="false">Raw_Data!G1487</f>
        <v>no</v>
      </c>
      <c r="I1487" s="3" t="str">
        <f aca="false">Raw_Data!H1487</f>
        <v>no</v>
      </c>
      <c r="J1487" s="2" t="n">
        <f aca="false">IF(F1487="yes",1,0)</f>
        <v>0</v>
      </c>
      <c r="K1487" s="2" t="n">
        <f aca="false">IF(H1487="yes",1,0)</f>
        <v>0</v>
      </c>
      <c r="L1487" s="2" t="n">
        <f aca="false">IF(I1487="yes",1,0)</f>
        <v>0</v>
      </c>
      <c r="M1487" s="2" t="n">
        <f aca="false">IF(G1487&lt;0,1,0)</f>
        <v>0</v>
      </c>
      <c r="N1487" s="2" t="str">
        <f aca="false">_xlfn.IFS(B1487&lt;30,"Under 30",B1487&lt;40,"30-39",B1487&lt;50,"40-49",B1487&lt;60,"50-59",TRUE(),"60+")</f>
        <v>Under 30</v>
      </c>
      <c r="O1487" s="2" t="str">
        <f aca="false">_xlfn.IFS(G1487&lt;0,"1 Negative",G1487=0,"2 Zero",G1487&lt;=500,"3 1-500",G1487&lt;=2000,"4 501-2000",TRUE(),"5 Above 2000")</f>
        <v>3 1-500</v>
      </c>
      <c r="P1487" s="2" t="n">
        <f aca="false">Lookups!$B$2*M1487+Lookups!$B$3*L1487</f>
        <v>0</v>
      </c>
      <c r="Q1487" s="2" t="str">
        <f aca="false">INDEX(Lookups!$E$2:$E$5,MATCH(P1487,Lookups!$D$2:$D$5,0))</f>
        <v>Low</v>
      </c>
    </row>
    <row r="1488" customFormat="false" ht="15" hidden="false" customHeight="false" outlineLevel="0" collapsed="false">
      <c r="A1488" s="3" t="n">
        <v>1487</v>
      </c>
      <c r="B1488" s="3" t="n">
        <f aca="false">Raw_Data!A1488</f>
        <v>40</v>
      </c>
      <c r="C1488" s="3" t="str">
        <f aca="false">SUBSTITUTE(Raw_Data!B1488,".","")</f>
        <v>technician</v>
      </c>
      <c r="D1488" s="3" t="str">
        <f aca="false">Raw_Data!C1488</f>
        <v>married</v>
      </c>
      <c r="E1488" s="3" t="str">
        <f aca="false">Raw_Data!D1488</f>
        <v>secondary</v>
      </c>
      <c r="F1488" s="3" t="str">
        <f aca="false">Raw_Data!E1488</f>
        <v>no</v>
      </c>
      <c r="G1488" s="3" t="n">
        <f aca="false">Raw_Data!F1488</f>
        <v>782</v>
      </c>
      <c r="H1488" s="3" t="str">
        <f aca="false">Raw_Data!G1488</f>
        <v>yes</v>
      </c>
      <c r="I1488" s="3" t="str">
        <f aca="false">Raw_Data!H1488</f>
        <v>no</v>
      </c>
      <c r="J1488" s="2" t="n">
        <f aca="false">IF(F1488="yes",1,0)</f>
        <v>0</v>
      </c>
      <c r="K1488" s="2" t="n">
        <f aca="false">IF(H1488="yes",1,0)</f>
        <v>1</v>
      </c>
      <c r="L1488" s="2" t="n">
        <f aca="false">IF(I1488="yes",1,0)</f>
        <v>0</v>
      </c>
      <c r="M1488" s="2" t="n">
        <f aca="false">IF(G1488&lt;0,1,0)</f>
        <v>0</v>
      </c>
      <c r="N1488" s="2" t="str">
        <f aca="false">_xlfn.IFS(B1488&lt;30,"Under 30",B1488&lt;40,"30-39",B1488&lt;50,"40-49",B1488&lt;60,"50-59",TRUE(),"60+")</f>
        <v>40-49</v>
      </c>
      <c r="O1488" s="2" t="str">
        <f aca="false">_xlfn.IFS(G1488&lt;0,"1 Negative",G1488=0,"2 Zero",G1488&lt;=500,"3 1-500",G1488&lt;=2000,"4 501-2000",TRUE(),"5 Above 2000")</f>
        <v>4 501-2000</v>
      </c>
      <c r="P1488" s="2" t="n">
        <f aca="false">Lookups!$B$2*M1488+Lookups!$B$3*L1488</f>
        <v>0</v>
      </c>
      <c r="Q1488" s="2" t="str">
        <f aca="false">INDEX(Lookups!$E$2:$E$5,MATCH(P1488,Lookups!$D$2:$D$5,0))</f>
        <v>Low</v>
      </c>
    </row>
    <row r="1489" customFormat="false" ht="15" hidden="false" customHeight="false" outlineLevel="0" collapsed="false">
      <c r="A1489" s="3" t="n">
        <v>1488</v>
      </c>
      <c r="B1489" s="3" t="n">
        <f aca="false">Raw_Data!A1489</f>
        <v>33</v>
      </c>
      <c r="C1489" s="3" t="str">
        <f aca="false">SUBSTITUTE(Raw_Data!B1489,".","")</f>
        <v>entrepreneur</v>
      </c>
      <c r="D1489" s="3" t="str">
        <f aca="false">Raw_Data!C1489</f>
        <v>married</v>
      </c>
      <c r="E1489" s="3" t="str">
        <f aca="false">Raw_Data!D1489</f>
        <v>primary</v>
      </c>
      <c r="F1489" s="3" t="str">
        <f aca="false">Raw_Data!E1489</f>
        <v>no</v>
      </c>
      <c r="G1489" s="3" t="n">
        <f aca="false">Raw_Data!F1489</f>
        <v>82</v>
      </c>
      <c r="H1489" s="3" t="str">
        <f aca="false">Raw_Data!G1489</f>
        <v>yes</v>
      </c>
      <c r="I1489" s="3" t="str">
        <f aca="false">Raw_Data!H1489</f>
        <v>no</v>
      </c>
      <c r="J1489" s="2" t="n">
        <f aca="false">IF(F1489="yes",1,0)</f>
        <v>0</v>
      </c>
      <c r="K1489" s="2" t="n">
        <f aca="false">IF(H1489="yes",1,0)</f>
        <v>1</v>
      </c>
      <c r="L1489" s="2" t="n">
        <f aca="false">IF(I1489="yes",1,0)</f>
        <v>0</v>
      </c>
      <c r="M1489" s="2" t="n">
        <f aca="false">IF(G1489&lt;0,1,0)</f>
        <v>0</v>
      </c>
      <c r="N1489" s="2" t="str">
        <f aca="false">_xlfn.IFS(B1489&lt;30,"Under 30",B1489&lt;40,"30-39",B1489&lt;50,"40-49",B1489&lt;60,"50-59",TRUE(),"60+")</f>
        <v>30-39</v>
      </c>
      <c r="O1489" s="2" t="str">
        <f aca="false">_xlfn.IFS(G1489&lt;0,"1 Negative",G1489=0,"2 Zero",G1489&lt;=500,"3 1-500",G1489&lt;=2000,"4 501-2000",TRUE(),"5 Above 2000")</f>
        <v>3 1-500</v>
      </c>
      <c r="P1489" s="2" t="n">
        <f aca="false">Lookups!$B$2*M1489+Lookups!$B$3*L1489</f>
        <v>0</v>
      </c>
      <c r="Q1489" s="2" t="str">
        <f aca="false">INDEX(Lookups!$E$2:$E$5,MATCH(P1489,Lookups!$D$2:$D$5,0))</f>
        <v>Low</v>
      </c>
    </row>
    <row r="1490" customFormat="false" ht="15" hidden="false" customHeight="false" outlineLevel="0" collapsed="false">
      <c r="A1490" s="3" t="n">
        <v>1489</v>
      </c>
      <c r="B1490" s="3" t="n">
        <f aca="false">Raw_Data!A1490</f>
        <v>46</v>
      </c>
      <c r="C1490" s="3" t="str">
        <f aca="false">SUBSTITUTE(Raw_Data!B1490,".","")</f>
        <v>management</v>
      </c>
      <c r="D1490" s="3" t="str">
        <f aca="false">Raw_Data!C1490</f>
        <v>married</v>
      </c>
      <c r="E1490" s="3" t="str">
        <f aca="false">Raw_Data!D1490</f>
        <v>tertiary</v>
      </c>
      <c r="F1490" s="3" t="str">
        <f aca="false">Raw_Data!E1490</f>
        <v>no</v>
      </c>
      <c r="G1490" s="3" t="n">
        <f aca="false">Raw_Data!F1490</f>
        <v>1008</v>
      </c>
      <c r="H1490" s="3" t="str">
        <f aca="false">Raw_Data!G1490</f>
        <v>no</v>
      </c>
      <c r="I1490" s="3" t="str">
        <f aca="false">Raw_Data!H1490</f>
        <v>no</v>
      </c>
      <c r="J1490" s="2" t="n">
        <f aca="false">IF(F1490="yes",1,0)</f>
        <v>0</v>
      </c>
      <c r="K1490" s="2" t="n">
        <f aca="false">IF(H1490="yes",1,0)</f>
        <v>0</v>
      </c>
      <c r="L1490" s="2" t="n">
        <f aca="false">IF(I1490="yes",1,0)</f>
        <v>0</v>
      </c>
      <c r="M1490" s="2" t="n">
        <f aca="false">IF(G1490&lt;0,1,0)</f>
        <v>0</v>
      </c>
      <c r="N1490" s="2" t="str">
        <f aca="false">_xlfn.IFS(B1490&lt;30,"Under 30",B1490&lt;40,"30-39",B1490&lt;50,"40-49",B1490&lt;60,"50-59",TRUE(),"60+")</f>
        <v>40-49</v>
      </c>
      <c r="O1490" s="2" t="str">
        <f aca="false">_xlfn.IFS(G1490&lt;0,"1 Negative",G1490=0,"2 Zero",G1490&lt;=500,"3 1-500",G1490&lt;=2000,"4 501-2000",TRUE(),"5 Above 2000")</f>
        <v>4 501-2000</v>
      </c>
      <c r="P1490" s="2" t="n">
        <f aca="false">Lookups!$B$2*M1490+Lookups!$B$3*L1490</f>
        <v>0</v>
      </c>
      <c r="Q1490" s="2" t="str">
        <f aca="false">INDEX(Lookups!$E$2:$E$5,MATCH(P1490,Lookups!$D$2:$D$5,0))</f>
        <v>Low</v>
      </c>
    </row>
    <row r="1491" customFormat="false" ht="15" hidden="false" customHeight="false" outlineLevel="0" collapsed="false">
      <c r="A1491" s="3" t="n">
        <v>1490</v>
      </c>
      <c r="B1491" s="3" t="n">
        <f aca="false">Raw_Data!A1491</f>
        <v>27</v>
      </c>
      <c r="C1491" s="3" t="str">
        <f aca="false">SUBSTITUTE(Raw_Data!B1491,".","")</f>
        <v>unknown</v>
      </c>
      <c r="D1491" s="3" t="str">
        <f aca="false">Raw_Data!C1491</f>
        <v>single</v>
      </c>
      <c r="E1491" s="3" t="str">
        <f aca="false">Raw_Data!D1491</f>
        <v>tertiary</v>
      </c>
      <c r="F1491" s="3" t="str">
        <f aca="false">Raw_Data!E1491</f>
        <v>no</v>
      </c>
      <c r="G1491" s="3" t="n">
        <f aca="false">Raw_Data!F1491</f>
        <v>6421</v>
      </c>
      <c r="H1491" s="3" t="str">
        <f aca="false">Raw_Data!G1491</f>
        <v>no</v>
      </c>
      <c r="I1491" s="3" t="str">
        <f aca="false">Raw_Data!H1491</f>
        <v>no</v>
      </c>
      <c r="J1491" s="2" t="n">
        <f aca="false">IF(F1491="yes",1,0)</f>
        <v>0</v>
      </c>
      <c r="K1491" s="2" t="n">
        <f aca="false">IF(H1491="yes",1,0)</f>
        <v>0</v>
      </c>
      <c r="L1491" s="2" t="n">
        <f aca="false">IF(I1491="yes",1,0)</f>
        <v>0</v>
      </c>
      <c r="M1491" s="2" t="n">
        <f aca="false">IF(G1491&lt;0,1,0)</f>
        <v>0</v>
      </c>
      <c r="N1491" s="2" t="str">
        <f aca="false">_xlfn.IFS(B1491&lt;30,"Under 30",B1491&lt;40,"30-39",B1491&lt;50,"40-49",B1491&lt;60,"50-59",TRUE(),"60+")</f>
        <v>Under 30</v>
      </c>
      <c r="O1491" s="2" t="str">
        <f aca="false">_xlfn.IFS(G1491&lt;0,"1 Negative",G1491=0,"2 Zero",G1491&lt;=500,"3 1-500",G1491&lt;=2000,"4 501-2000",TRUE(),"5 Above 2000")</f>
        <v>5 Above 2000</v>
      </c>
      <c r="P1491" s="2" t="n">
        <f aca="false">Lookups!$B$2*M1491+Lookups!$B$3*L1491</f>
        <v>0</v>
      </c>
      <c r="Q1491" s="2" t="str">
        <f aca="false">INDEX(Lookups!$E$2:$E$5,MATCH(P1491,Lookups!$D$2:$D$5,0))</f>
        <v>Low</v>
      </c>
    </row>
    <row r="1492" customFormat="false" ht="15" hidden="false" customHeight="false" outlineLevel="0" collapsed="false">
      <c r="A1492" s="3" t="n">
        <v>1491</v>
      </c>
      <c r="B1492" s="3" t="n">
        <f aca="false">Raw_Data!A1492</f>
        <v>26</v>
      </c>
      <c r="C1492" s="3" t="str">
        <f aca="false">SUBSTITUTE(Raw_Data!B1492,".","")</f>
        <v>admin</v>
      </c>
      <c r="D1492" s="3" t="str">
        <f aca="false">Raw_Data!C1492</f>
        <v>single</v>
      </c>
      <c r="E1492" s="3" t="str">
        <f aca="false">Raw_Data!D1492</f>
        <v>secondary</v>
      </c>
      <c r="F1492" s="3" t="str">
        <f aca="false">Raw_Data!E1492</f>
        <v>no</v>
      </c>
      <c r="G1492" s="3" t="n">
        <f aca="false">Raw_Data!F1492</f>
        <v>443</v>
      </c>
      <c r="H1492" s="3" t="str">
        <f aca="false">Raw_Data!G1492</f>
        <v>no</v>
      </c>
      <c r="I1492" s="3" t="str">
        <f aca="false">Raw_Data!H1492</f>
        <v>no</v>
      </c>
      <c r="J1492" s="2" t="n">
        <f aca="false">IF(F1492="yes",1,0)</f>
        <v>0</v>
      </c>
      <c r="K1492" s="2" t="n">
        <f aca="false">IF(H1492="yes",1,0)</f>
        <v>0</v>
      </c>
      <c r="L1492" s="2" t="n">
        <f aca="false">IF(I1492="yes",1,0)</f>
        <v>0</v>
      </c>
      <c r="M1492" s="2" t="n">
        <f aca="false">IF(G1492&lt;0,1,0)</f>
        <v>0</v>
      </c>
      <c r="N1492" s="2" t="str">
        <f aca="false">_xlfn.IFS(B1492&lt;30,"Under 30",B1492&lt;40,"30-39",B1492&lt;50,"40-49",B1492&lt;60,"50-59",TRUE(),"60+")</f>
        <v>Under 30</v>
      </c>
      <c r="O1492" s="2" t="str">
        <f aca="false">_xlfn.IFS(G1492&lt;0,"1 Negative",G1492=0,"2 Zero",G1492&lt;=500,"3 1-500",G1492&lt;=2000,"4 501-2000",TRUE(),"5 Above 2000")</f>
        <v>3 1-500</v>
      </c>
      <c r="P1492" s="2" t="n">
        <f aca="false">Lookups!$B$2*M1492+Lookups!$B$3*L1492</f>
        <v>0</v>
      </c>
      <c r="Q1492" s="2" t="str">
        <f aca="false">INDEX(Lookups!$E$2:$E$5,MATCH(P1492,Lookups!$D$2:$D$5,0))</f>
        <v>Low</v>
      </c>
    </row>
    <row r="1493" customFormat="false" ht="15" hidden="false" customHeight="false" outlineLevel="0" collapsed="false">
      <c r="A1493" s="3" t="n">
        <v>1492</v>
      </c>
      <c r="B1493" s="3" t="n">
        <f aca="false">Raw_Data!A1493</f>
        <v>41</v>
      </c>
      <c r="C1493" s="3" t="str">
        <f aca="false">SUBSTITUTE(Raw_Data!B1493,".","")</f>
        <v>technician</v>
      </c>
      <c r="D1493" s="3" t="str">
        <f aca="false">Raw_Data!C1493</f>
        <v>married</v>
      </c>
      <c r="E1493" s="3" t="str">
        <f aca="false">Raw_Data!D1493</f>
        <v>secondary</v>
      </c>
      <c r="F1493" s="3" t="str">
        <f aca="false">Raw_Data!E1493</f>
        <v>no</v>
      </c>
      <c r="G1493" s="3" t="n">
        <f aca="false">Raw_Data!F1493</f>
        <v>351</v>
      </c>
      <c r="H1493" s="3" t="str">
        <f aca="false">Raw_Data!G1493</f>
        <v>yes</v>
      </c>
      <c r="I1493" s="3" t="str">
        <f aca="false">Raw_Data!H1493</f>
        <v>no</v>
      </c>
      <c r="J1493" s="2" t="n">
        <f aca="false">IF(F1493="yes",1,0)</f>
        <v>0</v>
      </c>
      <c r="K1493" s="2" t="n">
        <f aca="false">IF(H1493="yes",1,0)</f>
        <v>1</v>
      </c>
      <c r="L1493" s="2" t="n">
        <f aca="false">IF(I1493="yes",1,0)</f>
        <v>0</v>
      </c>
      <c r="M1493" s="2" t="n">
        <f aca="false">IF(G1493&lt;0,1,0)</f>
        <v>0</v>
      </c>
      <c r="N1493" s="2" t="str">
        <f aca="false">_xlfn.IFS(B1493&lt;30,"Under 30",B1493&lt;40,"30-39",B1493&lt;50,"40-49",B1493&lt;60,"50-59",TRUE(),"60+")</f>
        <v>40-49</v>
      </c>
      <c r="O1493" s="2" t="str">
        <f aca="false">_xlfn.IFS(G1493&lt;0,"1 Negative",G1493=0,"2 Zero",G1493&lt;=500,"3 1-500",G1493&lt;=2000,"4 501-2000",TRUE(),"5 Above 2000")</f>
        <v>3 1-500</v>
      </c>
      <c r="P1493" s="2" t="n">
        <f aca="false">Lookups!$B$2*M1493+Lookups!$B$3*L1493</f>
        <v>0</v>
      </c>
      <c r="Q1493" s="2" t="str">
        <f aca="false">INDEX(Lookups!$E$2:$E$5,MATCH(P1493,Lookups!$D$2:$D$5,0))</f>
        <v>Low</v>
      </c>
    </row>
    <row r="1494" customFormat="false" ht="15" hidden="false" customHeight="false" outlineLevel="0" collapsed="false">
      <c r="A1494" s="3" t="n">
        <v>1493</v>
      </c>
      <c r="B1494" s="3" t="n">
        <f aca="false">Raw_Data!A1494</f>
        <v>34</v>
      </c>
      <c r="C1494" s="3" t="str">
        <f aca="false">SUBSTITUTE(Raw_Data!B1494,".","")</f>
        <v>technician</v>
      </c>
      <c r="D1494" s="3" t="str">
        <f aca="false">Raw_Data!C1494</f>
        <v>married</v>
      </c>
      <c r="E1494" s="3" t="str">
        <f aca="false">Raw_Data!D1494</f>
        <v>tertiary</v>
      </c>
      <c r="F1494" s="3" t="str">
        <f aca="false">Raw_Data!E1494</f>
        <v>no</v>
      </c>
      <c r="G1494" s="3" t="n">
        <f aca="false">Raw_Data!F1494</f>
        <v>5060</v>
      </c>
      <c r="H1494" s="3" t="str">
        <f aca="false">Raw_Data!G1494</f>
        <v>yes</v>
      </c>
      <c r="I1494" s="3" t="str">
        <f aca="false">Raw_Data!H1494</f>
        <v>no</v>
      </c>
      <c r="J1494" s="2" t="n">
        <f aca="false">IF(F1494="yes",1,0)</f>
        <v>0</v>
      </c>
      <c r="K1494" s="2" t="n">
        <f aca="false">IF(H1494="yes",1,0)</f>
        <v>1</v>
      </c>
      <c r="L1494" s="2" t="n">
        <f aca="false">IF(I1494="yes",1,0)</f>
        <v>0</v>
      </c>
      <c r="M1494" s="2" t="n">
        <f aca="false">IF(G1494&lt;0,1,0)</f>
        <v>0</v>
      </c>
      <c r="N1494" s="2" t="str">
        <f aca="false">_xlfn.IFS(B1494&lt;30,"Under 30",B1494&lt;40,"30-39",B1494&lt;50,"40-49",B1494&lt;60,"50-59",TRUE(),"60+")</f>
        <v>30-39</v>
      </c>
      <c r="O1494" s="2" t="str">
        <f aca="false">_xlfn.IFS(G1494&lt;0,"1 Negative",G1494=0,"2 Zero",G1494&lt;=500,"3 1-500",G1494&lt;=2000,"4 501-2000",TRUE(),"5 Above 2000")</f>
        <v>5 Above 2000</v>
      </c>
      <c r="P1494" s="2" t="n">
        <f aca="false">Lookups!$B$2*M1494+Lookups!$B$3*L1494</f>
        <v>0</v>
      </c>
      <c r="Q1494" s="2" t="str">
        <f aca="false">INDEX(Lookups!$E$2:$E$5,MATCH(P1494,Lookups!$D$2:$D$5,0))</f>
        <v>Low</v>
      </c>
    </row>
    <row r="1495" customFormat="false" ht="15" hidden="false" customHeight="false" outlineLevel="0" collapsed="false">
      <c r="A1495" s="3" t="n">
        <v>1494</v>
      </c>
      <c r="B1495" s="3" t="n">
        <f aca="false">Raw_Data!A1495</f>
        <v>39</v>
      </c>
      <c r="C1495" s="3" t="str">
        <f aca="false">SUBSTITUTE(Raw_Data!B1495,".","")</f>
        <v>technician</v>
      </c>
      <c r="D1495" s="3" t="str">
        <f aca="false">Raw_Data!C1495</f>
        <v>single</v>
      </c>
      <c r="E1495" s="3" t="str">
        <f aca="false">Raw_Data!D1495</f>
        <v>tertiary</v>
      </c>
      <c r="F1495" s="3" t="str">
        <f aca="false">Raw_Data!E1495</f>
        <v>no</v>
      </c>
      <c r="G1495" s="3" t="n">
        <f aca="false">Raw_Data!F1495</f>
        <v>-41</v>
      </c>
      <c r="H1495" s="3" t="str">
        <f aca="false">Raw_Data!G1495</f>
        <v>no</v>
      </c>
      <c r="I1495" s="3" t="str">
        <f aca="false">Raw_Data!H1495</f>
        <v>yes</v>
      </c>
      <c r="J1495" s="2" t="n">
        <f aca="false">IF(F1495="yes",1,0)</f>
        <v>0</v>
      </c>
      <c r="K1495" s="2" t="n">
        <f aca="false">IF(H1495="yes",1,0)</f>
        <v>0</v>
      </c>
      <c r="L1495" s="2" t="n">
        <f aca="false">IF(I1495="yes",1,0)</f>
        <v>1</v>
      </c>
      <c r="M1495" s="2" t="n">
        <f aca="false">IF(G1495&lt;0,1,0)</f>
        <v>1</v>
      </c>
      <c r="N1495" s="2" t="str">
        <f aca="false">_xlfn.IFS(B1495&lt;30,"Under 30",B1495&lt;40,"30-39",B1495&lt;50,"40-49",B1495&lt;60,"50-59",TRUE(),"60+")</f>
        <v>30-39</v>
      </c>
      <c r="O1495" s="2" t="str">
        <f aca="false">_xlfn.IFS(G1495&lt;0,"1 Negative",G1495=0,"2 Zero",G1495&lt;=500,"3 1-500",G1495&lt;=2000,"4 501-2000",TRUE(),"5 Above 2000")</f>
        <v>1 Negative</v>
      </c>
      <c r="P1495" s="2" t="n">
        <f aca="false">Lookups!$B$2*M1495+Lookups!$B$3*L1495</f>
        <v>3</v>
      </c>
      <c r="Q1495" s="2" t="str">
        <f aca="false">INDEX(Lookups!$E$2:$E$5,MATCH(P1495,Lookups!$D$2:$D$5,0))</f>
        <v>High</v>
      </c>
    </row>
    <row r="1496" customFormat="false" ht="15" hidden="false" customHeight="false" outlineLevel="0" collapsed="false">
      <c r="A1496" s="3" t="n">
        <v>1495</v>
      </c>
      <c r="B1496" s="3" t="n">
        <f aca="false">Raw_Data!A1496</f>
        <v>27</v>
      </c>
      <c r="C1496" s="3" t="str">
        <f aca="false">SUBSTITUTE(Raw_Data!B1496,".","")</f>
        <v>services</v>
      </c>
      <c r="D1496" s="3" t="str">
        <f aca="false">Raw_Data!C1496</f>
        <v>single</v>
      </c>
      <c r="E1496" s="3" t="str">
        <f aca="false">Raw_Data!D1496</f>
        <v>secondary</v>
      </c>
      <c r="F1496" s="3" t="str">
        <f aca="false">Raw_Data!E1496</f>
        <v>no</v>
      </c>
      <c r="G1496" s="3" t="n">
        <f aca="false">Raw_Data!F1496</f>
        <v>-124</v>
      </c>
      <c r="H1496" s="3" t="str">
        <f aca="false">Raw_Data!G1496</f>
        <v>no</v>
      </c>
      <c r="I1496" s="3" t="str">
        <f aca="false">Raw_Data!H1496</f>
        <v>no</v>
      </c>
      <c r="J1496" s="2" t="n">
        <f aca="false">IF(F1496="yes",1,0)</f>
        <v>0</v>
      </c>
      <c r="K1496" s="2" t="n">
        <f aca="false">IF(H1496="yes",1,0)</f>
        <v>0</v>
      </c>
      <c r="L1496" s="2" t="n">
        <f aca="false">IF(I1496="yes",1,0)</f>
        <v>0</v>
      </c>
      <c r="M1496" s="2" t="n">
        <f aca="false">IF(G1496&lt;0,1,0)</f>
        <v>1</v>
      </c>
      <c r="N1496" s="2" t="str">
        <f aca="false">_xlfn.IFS(B1496&lt;30,"Under 30",B1496&lt;40,"30-39",B1496&lt;50,"40-49",B1496&lt;60,"50-59",TRUE(),"60+")</f>
        <v>Under 30</v>
      </c>
      <c r="O1496" s="2" t="str">
        <f aca="false">_xlfn.IFS(G1496&lt;0,"1 Negative",G1496=0,"2 Zero",G1496&lt;=500,"3 1-500",G1496&lt;=2000,"4 501-2000",TRUE(),"5 Above 2000")</f>
        <v>1 Negative</v>
      </c>
      <c r="P1496" s="2" t="n">
        <f aca="false">Lookups!$B$2*M1496+Lookups!$B$3*L1496</f>
        <v>2</v>
      </c>
      <c r="Q1496" s="2" t="str">
        <f aca="false">INDEX(Lookups!$E$2:$E$5,MATCH(P1496,Lookups!$D$2:$D$5,0))</f>
        <v>High</v>
      </c>
    </row>
    <row r="1497" customFormat="false" ht="15" hidden="false" customHeight="false" outlineLevel="0" collapsed="false">
      <c r="A1497" s="3" t="n">
        <v>1496</v>
      </c>
      <c r="B1497" s="3" t="n">
        <f aca="false">Raw_Data!A1497</f>
        <v>31</v>
      </c>
      <c r="C1497" s="3" t="str">
        <f aca="false">SUBSTITUTE(Raw_Data!B1497,".","")</f>
        <v>blue-collar</v>
      </c>
      <c r="D1497" s="3" t="str">
        <f aca="false">Raw_Data!C1497</f>
        <v>married</v>
      </c>
      <c r="E1497" s="3" t="str">
        <f aca="false">Raw_Data!D1497</f>
        <v>secondary</v>
      </c>
      <c r="F1497" s="3" t="str">
        <f aca="false">Raw_Data!E1497</f>
        <v>no</v>
      </c>
      <c r="G1497" s="3" t="n">
        <f aca="false">Raw_Data!F1497</f>
        <v>79</v>
      </c>
      <c r="H1497" s="3" t="str">
        <f aca="false">Raw_Data!G1497</f>
        <v>yes</v>
      </c>
      <c r="I1497" s="3" t="str">
        <f aca="false">Raw_Data!H1497</f>
        <v>yes</v>
      </c>
      <c r="J1497" s="2" t="n">
        <f aca="false">IF(F1497="yes",1,0)</f>
        <v>0</v>
      </c>
      <c r="K1497" s="2" t="n">
        <f aca="false">IF(H1497="yes",1,0)</f>
        <v>1</v>
      </c>
      <c r="L1497" s="2" t="n">
        <f aca="false">IF(I1497="yes",1,0)</f>
        <v>1</v>
      </c>
      <c r="M1497" s="2" t="n">
        <f aca="false">IF(G1497&lt;0,1,0)</f>
        <v>0</v>
      </c>
      <c r="N1497" s="2" t="str">
        <f aca="false">_xlfn.IFS(B1497&lt;30,"Under 30",B1497&lt;40,"30-39",B1497&lt;50,"40-49",B1497&lt;60,"50-59",TRUE(),"60+")</f>
        <v>30-39</v>
      </c>
      <c r="O1497" s="2" t="str">
        <f aca="false">_xlfn.IFS(G1497&lt;0,"1 Negative",G1497=0,"2 Zero",G1497&lt;=500,"3 1-500",G1497&lt;=2000,"4 501-2000",TRUE(),"5 Above 2000")</f>
        <v>3 1-500</v>
      </c>
      <c r="P1497" s="2" t="n">
        <f aca="false">Lookups!$B$2*M1497+Lookups!$B$3*L1497</f>
        <v>1</v>
      </c>
      <c r="Q1497" s="2" t="str">
        <f aca="false">INDEX(Lookups!$E$2:$E$5,MATCH(P1497,Lookups!$D$2:$D$5,0))</f>
        <v>Medium</v>
      </c>
    </row>
    <row r="1498" customFormat="false" ht="15" hidden="false" customHeight="false" outlineLevel="0" collapsed="false">
      <c r="A1498" s="3" t="n">
        <v>1497</v>
      </c>
      <c r="B1498" s="3" t="n">
        <f aca="false">Raw_Data!A1498</f>
        <v>44</v>
      </c>
      <c r="C1498" s="3" t="str">
        <f aca="false">SUBSTITUTE(Raw_Data!B1498,".","")</f>
        <v>unemployed</v>
      </c>
      <c r="D1498" s="3" t="str">
        <f aca="false">Raw_Data!C1498</f>
        <v>single</v>
      </c>
      <c r="E1498" s="3" t="str">
        <f aca="false">Raw_Data!D1498</f>
        <v>secondary</v>
      </c>
      <c r="F1498" s="3" t="str">
        <f aca="false">Raw_Data!E1498</f>
        <v>no</v>
      </c>
      <c r="G1498" s="3" t="n">
        <f aca="false">Raw_Data!F1498</f>
        <v>3945</v>
      </c>
      <c r="H1498" s="3" t="str">
        <f aca="false">Raw_Data!G1498</f>
        <v>no</v>
      </c>
      <c r="I1498" s="3" t="str">
        <f aca="false">Raw_Data!H1498</f>
        <v>no</v>
      </c>
      <c r="J1498" s="2" t="n">
        <f aca="false">IF(F1498="yes",1,0)</f>
        <v>0</v>
      </c>
      <c r="K1498" s="2" t="n">
        <f aca="false">IF(H1498="yes",1,0)</f>
        <v>0</v>
      </c>
      <c r="L1498" s="2" t="n">
        <f aca="false">IF(I1498="yes",1,0)</f>
        <v>0</v>
      </c>
      <c r="M1498" s="2" t="n">
        <f aca="false">IF(G1498&lt;0,1,0)</f>
        <v>0</v>
      </c>
      <c r="N1498" s="2" t="str">
        <f aca="false">_xlfn.IFS(B1498&lt;30,"Under 30",B1498&lt;40,"30-39",B1498&lt;50,"40-49",B1498&lt;60,"50-59",TRUE(),"60+")</f>
        <v>40-49</v>
      </c>
      <c r="O1498" s="2" t="str">
        <f aca="false">_xlfn.IFS(G1498&lt;0,"1 Negative",G1498=0,"2 Zero",G1498&lt;=500,"3 1-500",G1498&lt;=2000,"4 501-2000",TRUE(),"5 Above 2000")</f>
        <v>5 Above 2000</v>
      </c>
      <c r="P1498" s="2" t="n">
        <f aca="false">Lookups!$B$2*M1498+Lookups!$B$3*L1498</f>
        <v>0</v>
      </c>
      <c r="Q1498" s="2" t="str">
        <f aca="false">INDEX(Lookups!$E$2:$E$5,MATCH(P1498,Lookups!$D$2:$D$5,0))</f>
        <v>Low</v>
      </c>
    </row>
    <row r="1499" customFormat="false" ht="15" hidden="false" customHeight="false" outlineLevel="0" collapsed="false">
      <c r="A1499" s="3" t="n">
        <v>1498</v>
      </c>
      <c r="B1499" s="3" t="n">
        <f aca="false">Raw_Data!A1499</f>
        <v>55</v>
      </c>
      <c r="C1499" s="3" t="str">
        <f aca="false">SUBSTITUTE(Raw_Data!B1499,".","")</f>
        <v>retired</v>
      </c>
      <c r="D1499" s="3" t="str">
        <f aca="false">Raw_Data!C1499</f>
        <v>married</v>
      </c>
      <c r="E1499" s="3" t="str">
        <f aca="false">Raw_Data!D1499</f>
        <v>tertiary</v>
      </c>
      <c r="F1499" s="3" t="str">
        <f aca="false">Raw_Data!E1499</f>
        <v>no</v>
      </c>
      <c r="G1499" s="3" t="n">
        <f aca="false">Raw_Data!F1499</f>
        <v>197</v>
      </c>
      <c r="H1499" s="3" t="str">
        <f aca="false">Raw_Data!G1499</f>
        <v>no</v>
      </c>
      <c r="I1499" s="3" t="str">
        <f aca="false">Raw_Data!H1499</f>
        <v>yes</v>
      </c>
      <c r="J1499" s="2" t="n">
        <f aca="false">IF(F1499="yes",1,0)</f>
        <v>0</v>
      </c>
      <c r="K1499" s="2" t="n">
        <f aca="false">IF(H1499="yes",1,0)</f>
        <v>0</v>
      </c>
      <c r="L1499" s="2" t="n">
        <f aca="false">IF(I1499="yes",1,0)</f>
        <v>1</v>
      </c>
      <c r="M1499" s="2" t="n">
        <f aca="false">IF(G1499&lt;0,1,0)</f>
        <v>0</v>
      </c>
      <c r="N1499" s="2" t="str">
        <f aca="false">_xlfn.IFS(B1499&lt;30,"Under 30",B1499&lt;40,"30-39",B1499&lt;50,"40-49",B1499&lt;60,"50-59",TRUE(),"60+")</f>
        <v>50-59</v>
      </c>
      <c r="O1499" s="2" t="str">
        <f aca="false">_xlfn.IFS(G1499&lt;0,"1 Negative",G1499=0,"2 Zero",G1499&lt;=500,"3 1-500",G1499&lt;=2000,"4 501-2000",TRUE(),"5 Above 2000")</f>
        <v>3 1-500</v>
      </c>
      <c r="P1499" s="2" t="n">
        <f aca="false">Lookups!$B$2*M1499+Lookups!$B$3*L1499</f>
        <v>1</v>
      </c>
      <c r="Q1499" s="2" t="str">
        <f aca="false">INDEX(Lookups!$E$2:$E$5,MATCH(P1499,Lookups!$D$2:$D$5,0))</f>
        <v>Medium</v>
      </c>
    </row>
    <row r="1500" customFormat="false" ht="15" hidden="false" customHeight="false" outlineLevel="0" collapsed="false">
      <c r="A1500" s="3" t="n">
        <v>1499</v>
      </c>
      <c r="B1500" s="3" t="n">
        <f aca="false">Raw_Data!A1500</f>
        <v>51</v>
      </c>
      <c r="C1500" s="3" t="str">
        <f aca="false">SUBSTITUTE(Raw_Data!B1500,".","")</f>
        <v>blue-collar</v>
      </c>
      <c r="D1500" s="3" t="str">
        <f aca="false">Raw_Data!C1500</f>
        <v>divorced</v>
      </c>
      <c r="E1500" s="3" t="str">
        <f aca="false">Raw_Data!D1500</f>
        <v>primary</v>
      </c>
      <c r="F1500" s="3" t="str">
        <f aca="false">Raw_Data!E1500</f>
        <v>no</v>
      </c>
      <c r="G1500" s="3" t="n">
        <f aca="false">Raw_Data!F1500</f>
        <v>837</v>
      </c>
      <c r="H1500" s="3" t="str">
        <f aca="false">Raw_Data!G1500</f>
        <v>no</v>
      </c>
      <c r="I1500" s="3" t="str">
        <f aca="false">Raw_Data!H1500</f>
        <v>no</v>
      </c>
      <c r="J1500" s="2" t="n">
        <f aca="false">IF(F1500="yes",1,0)</f>
        <v>0</v>
      </c>
      <c r="K1500" s="2" t="n">
        <f aca="false">IF(H1500="yes",1,0)</f>
        <v>0</v>
      </c>
      <c r="L1500" s="2" t="n">
        <f aca="false">IF(I1500="yes",1,0)</f>
        <v>0</v>
      </c>
      <c r="M1500" s="2" t="n">
        <f aca="false">IF(G1500&lt;0,1,0)</f>
        <v>0</v>
      </c>
      <c r="N1500" s="2" t="str">
        <f aca="false">_xlfn.IFS(B1500&lt;30,"Under 30",B1500&lt;40,"30-39",B1500&lt;50,"40-49",B1500&lt;60,"50-59",TRUE(),"60+")</f>
        <v>50-59</v>
      </c>
      <c r="O1500" s="2" t="str">
        <f aca="false">_xlfn.IFS(G1500&lt;0,"1 Negative",G1500=0,"2 Zero",G1500&lt;=500,"3 1-500",G1500&lt;=2000,"4 501-2000",TRUE(),"5 Above 2000")</f>
        <v>4 501-2000</v>
      </c>
      <c r="P1500" s="2" t="n">
        <f aca="false">Lookups!$B$2*M1500+Lookups!$B$3*L1500</f>
        <v>0</v>
      </c>
      <c r="Q1500" s="2" t="str">
        <f aca="false">INDEX(Lookups!$E$2:$E$5,MATCH(P1500,Lookups!$D$2:$D$5,0))</f>
        <v>Low</v>
      </c>
    </row>
    <row r="1501" customFormat="false" ht="15" hidden="false" customHeight="false" outlineLevel="0" collapsed="false">
      <c r="A1501" s="3" t="n">
        <v>1500</v>
      </c>
      <c r="B1501" s="3" t="n">
        <f aca="false">Raw_Data!A1501</f>
        <v>50</v>
      </c>
      <c r="C1501" s="3" t="str">
        <f aca="false">SUBSTITUTE(Raw_Data!B1501,".","")</f>
        <v>management</v>
      </c>
      <c r="D1501" s="3" t="str">
        <f aca="false">Raw_Data!C1501</f>
        <v>married</v>
      </c>
      <c r="E1501" s="3" t="str">
        <f aca="false">Raw_Data!D1501</f>
        <v>tertiary</v>
      </c>
      <c r="F1501" s="3" t="str">
        <f aca="false">Raw_Data!E1501</f>
        <v>no</v>
      </c>
      <c r="G1501" s="3" t="n">
        <f aca="false">Raw_Data!F1501</f>
        <v>-94</v>
      </c>
      <c r="H1501" s="3" t="str">
        <f aca="false">Raw_Data!G1501</f>
        <v>no</v>
      </c>
      <c r="I1501" s="3" t="str">
        <f aca="false">Raw_Data!H1501</f>
        <v>yes</v>
      </c>
      <c r="J1501" s="2" t="n">
        <f aca="false">IF(F1501="yes",1,0)</f>
        <v>0</v>
      </c>
      <c r="K1501" s="2" t="n">
        <f aca="false">IF(H1501="yes",1,0)</f>
        <v>0</v>
      </c>
      <c r="L1501" s="2" t="n">
        <f aca="false">IF(I1501="yes",1,0)</f>
        <v>1</v>
      </c>
      <c r="M1501" s="2" t="n">
        <f aca="false">IF(G1501&lt;0,1,0)</f>
        <v>1</v>
      </c>
      <c r="N1501" s="2" t="str">
        <f aca="false">_xlfn.IFS(B1501&lt;30,"Under 30",B1501&lt;40,"30-39",B1501&lt;50,"40-49",B1501&lt;60,"50-59",TRUE(),"60+")</f>
        <v>50-59</v>
      </c>
      <c r="O1501" s="2" t="str">
        <f aca="false">_xlfn.IFS(G1501&lt;0,"1 Negative",G1501=0,"2 Zero",G1501&lt;=500,"3 1-500",G1501&lt;=2000,"4 501-2000",TRUE(),"5 Above 2000")</f>
        <v>1 Negative</v>
      </c>
      <c r="P1501" s="2" t="n">
        <f aca="false">Lookups!$B$2*M1501+Lookups!$B$3*L1501</f>
        <v>3</v>
      </c>
      <c r="Q1501" s="2" t="str">
        <f aca="false">INDEX(Lookups!$E$2:$E$5,MATCH(P1501,Lookups!$D$2:$D$5,0))</f>
        <v>High</v>
      </c>
    </row>
    <row r="1502" customFormat="false" ht="15" hidden="false" customHeight="false" outlineLevel="0" collapsed="false">
      <c r="A1502" s="3" t="n">
        <v>1501</v>
      </c>
      <c r="B1502" s="3" t="n">
        <f aca="false">Raw_Data!A1502</f>
        <v>30</v>
      </c>
      <c r="C1502" s="3" t="str">
        <f aca="false">SUBSTITUTE(Raw_Data!B1502,".","")</f>
        <v>services</v>
      </c>
      <c r="D1502" s="3" t="str">
        <f aca="false">Raw_Data!C1502</f>
        <v>married</v>
      </c>
      <c r="E1502" s="3" t="str">
        <f aca="false">Raw_Data!D1502</f>
        <v>secondary</v>
      </c>
      <c r="F1502" s="3" t="str">
        <f aca="false">Raw_Data!E1502</f>
        <v>no</v>
      </c>
      <c r="G1502" s="3" t="n">
        <f aca="false">Raw_Data!F1502</f>
        <v>1743</v>
      </c>
      <c r="H1502" s="3" t="str">
        <f aca="false">Raw_Data!G1502</f>
        <v>yes</v>
      </c>
      <c r="I1502" s="3" t="str">
        <f aca="false">Raw_Data!H1502</f>
        <v>no</v>
      </c>
      <c r="J1502" s="2" t="n">
        <f aca="false">IF(F1502="yes",1,0)</f>
        <v>0</v>
      </c>
      <c r="K1502" s="2" t="n">
        <f aca="false">IF(H1502="yes",1,0)</f>
        <v>1</v>
      </c>
      <c r="L1502" s="2" t="n">
        <f aca="false">IF(I1502="yes",1,0)</f>
        <v>0</v>
      </c>
      <c r="M1502" s="2" t="n">
        <f aca="false">IF(G1502&lt;0,1,0)</f>
        <v>0</v>
      </c>
      <c r="N1502" s="2" t="str">
        <f aca="false">_xlfn.IFS(B1502&lt;30,"Under 30",B1502&lt;40,"30-39",B1502&lt;50,"40-49",B1502&lt;60,"50-59",TRUE(),"60+")</f>
        <v>30-39</v>
      </c>
      <c r="O1502" s="2" t="str">
        <f aca="false">_xlfn.IFS(G1502&lt;0,"1 Negative",G1502=0,"2 Zero",G1502&lt;=500,"3 1-500",G1502&lt;=2000,"4 501-2000",TRUE(),"5 Above 2000")</f>
        <v>4 501-2000</v>
      </c>
      <c r="P1502" s="2" t="n">
        <f aca="false">Lookups!$B$2*M1502+Lookups!$B$3*L1502</f>
        <v>0</v>
      </c>
      <c r="Q1502" s="2" t="str">
        <f aca="false">INDEX(Lookups!$E$2:$E$5,MATCH(P1502,Lookups!$D$2:$D$5,0))</f>
        <v>Low</v>
      </c>
    </row>
    <row r="1503" customFormat="false" ht="15" hidden="false" customHeight="false" outlineLevel="0" collapsed="false">
      <c r="A1503" s="3" t="n">
        <v>1502</v>
      </c>
      <c r="B1503" s="3" t="n">
        <f aca="false">Raw_Data!A1503</f>
        <v>46</v>
      </c>
      <c r="C1503" s="3" t="str">
        <f aca="false">SUBSTITUTE(Raw_Data!B1503,".","")</f>
        <v>technician</v>
      </c>
      <c r="D1503" s="3" t="str">
        <f aca="false">Raw_Data!C1503</f>
        <v>married</v>
      </c>
      <c r="E1503" s="3" t="str">
        <f aca="false">Raw_Data!D1503</f>
        <v>secondary</v>
      </c>
      <c r="F1503" s="3" t="str">
        <f aca="false">Raw_Data!E1503</f>
        <v>no</v>
      </c>
      <c r="G1503" s="3" t="n">
        <f aca="false">Raw_Data!F1503</f>
        <v>57</v>
      </c>
      <c r="H1503" s="3" t="str">
        <f aca="false">Raw_Data!G1503</f>
        <v>no</v>
      </c>
      <c r="I1503" s="3" t="str">
        <f aca="false">Raw_Data!H1503</f>
        <v>no</v>
      </c>
      <c r="J1503" s="2" t="n">
        <f aca="false">IF(F1503="yes",1,0)</f>
        <v>0</v>
      </c>
      <c r="K1503" s="2" t="n">
        <f aca="false">IF(H1503="yes",1,0)</f>
        <v>0</v>
      </c>
      <c r="L1503" s="2" t="n">
        <f aca="false">IF(I1503="yes",1,0)</f>
        <v>0</v>
      </c>
      <c r="M1503" s="2" t="n">
        <f aca="false">IF(G1503&lt;0,1,0)</f>
        <v>0</v>
      </c>
      <c r="N1503" s="2" t="str">
        <f aca="false">_xlfn.IFS(B1503&lt;30,"Under 30",B1503&lt;40,"30-39",B1503&lt;50,"40-49",B1503&lt;60,"50-59",TRUE(),"60+")</f>
        <v>40-49</v>
      </c>
      <c r="O1503" s="2" t="str">
        <f aca="false">_xlfn.IFS(G1503&lt;0,"1 Negative",G1503=0,"2 Zero",G1503&lt;=500,"3 1-500",G1503&lt;=2000,"4 501-2000",TRUE(),"5 Above 2000")</f>
        <v>3 1-500</v>
      </c>
      <c r="P1503" s="2" t="n">
        <f aca="false">Lookups!$B$2*M1503+Lookups!$B$3*L1503</f>
        <v>0</v>
      </c>
      <c r="Q1503" s="2" t="str">
        <f aca="false">INDEX(Lookups!$E$2:$E$5,MATCH(P1503,Lookups!$D$2:$D$5,0))</f>
        <v>Low</v>
      </c>
    </row>
    <row r="1504" customFormat="false" ht="15" hidden="false" customHeight="false" outlineLevel="0" collapsed="false">
      <c r="A1504" s="3" t="n">
        <v>1503</v>
      </c>
      <c r="B1504" s="3" t="n">
        <f aca="false">Raw_Data!A1504</f>
        <v>49</v>
      </c>
      <c r="C1504" s="3" t="str">
        <f aca="false">SUBSTITUTE(Raw_Data!B1504,".","")</f>
        <v>admin</v>
      </c>
      <c r="D1504" s="3" t="str">
        <f aca="false">Raw_Data!C1504</f>
        <v>married</v>
      </c>
      <c r="E1504" s="3" t="str">
        <f aca="false">Raw_Data!D1504</f>
        <v>secondary</v>
      </c>
      <c r="F1504" s="3" t="str">
        <f aca="false">Raw_Data!E1504</f>
        <v>no</v>
      </c>
      <c r="G1504" s="3" t="n">
        <f aca="false">Raw_Data!F1504</f>
        <v>635</v>
      </c>
      <c r="H1504" s="3" t="str">
        <f aca="false">Raw_Data!G1504</f>
        <v>no</v>
      </c>
      <c r="I1504" s="3" t="str">
        <f aca="false">Raw_Data!H1504</f>
        <v>no</v>
      </c>
      <c r="J1504" s="2" t="n">
        <f aca="false">IF(F1504="yes",1,0)</f>
        <v>0</v>
      </c>
      <c r="K1504" s="2" t="n">
        <f aca="false">IF(H1504="yes",1,0)</f>
        <v>0</v>
      </c>
      <c r="L1504" s="2" t="n">
        <f aca="false">IF(I1504="yes",1,0)</f>
        <v>0</v>
      </c>
      <c r="M1504" s="2" t="n">
        <f aca="false">IF(G1504&lt;0,1,0)</f>
        <v>0</v>
      </c>
      <c r="N1504" s="2" t="str">
        <f aca="false">_xlfn.IFS(B1504&lt;30,"Under 30",B1504&lt;40,"30-39",B1504&lt;50,"40-49",B1504&lt;60,"50-59",TRUE(),"60+")</f>
        <v>40-49</v>
      </c>
      <c r="O1504" s="2" t="str">
        <f aca="false">_xlfn.IFS(G1504&lt;0,"1 Negative",G1504=0,"2 Zero",G1504&lt;=500,"3 1-500",G1504&lt;=2000,"4 501-2000",TRUE(),"5 Above 2000")</f>
        <v>4 501-2000</v>
      </c>
      <c r="P1504" s="2" t="n">
        <f aca="false">Lookups!$B$2*M1504+Lookups!$B$3*L1504</f>
        <v>0</v>
      </c>
      <c r="Q1504" s="2" t="str">
        <f aca="false">INDEX(Lookups!$E$2:$E$5,MATCH(P1504,Lookups!$D$2:$D$5,0))</f>
        <v>Low</v>
      </c>
    </row>
    <row r="1505" customFormat="false" ht="15" hidden="false" customHeight="false" outlineLevel="0" collapsed="false">
      <c r="A1505" s="3" t="n">
        <v>1504</v>
      </c>
      <c r="B1505" s="3" t="n">
        <f aca="false">Raw_Data!A1505</f>
        <v>56</v>
      </c>
      <c r="C1505" s="3" t="str">
        <f aca="false">SUBSTITUTE(Raw_Data!B1505,".","")</f>
        <v>retired</v>
      </c>
      <c r="D1505" s="3" t="str">
        <f aca="false">Raw_Data!C1505</f>
        <v>married</v>
      </c>
      <c r="E1505" s="3" t="str">
        <f aca="false">Raw_Data!D1505</f>
        <v>secondary</v>
      </c>
      <c r="F1505" s="3" t="str">
        <f aca="false">Raw_Data!E1505</f>
        <v>no</v>
      </c>
      <c r="G1505" s="3" t="n">
        <f aca="false">Raw_Data!F1505</f>
        <v>-113</v>
      </c>
      <c r="H1505" s="3" t="str">
        <f aca="false">Raw_Data!G1505</f>
        <v>yes</v>
      </c>
      <c r="I1505" s="3" t="str">
        <f aca="false">Raw_Data!H1505</f>
        <v>yes</v>
      </c>
      <c r="J1505" s="2" t="n">
        <f aca="false">IF(F1505="yes",1,0)</f>
        <v>0</v>
      </c>
      <c r="K1505" s="2" t="n">
        <f aca="false">IF(H1505="yes",1,0)</f>
        <v>1</v>
      </c>
      <c r="L1505" s="2" t="n">
        <f aca="false">IF(I1505="yes",1,0)</f>
        <v>1</v>
      </c>
      <c r="M1505" s="2" t="n">
        <f aca="false">IF(G1505&lt;0,1,0)</f>
        <v>1</v>
      </c>
      <c r="N1505" s="2" t="str">
        <f aca="false">_xlfn.IFS(B1505&lt;30,"Under 30",B1505&lt;40,"30-39",B1505&lt;50,"40-49",B1505&lt;60,"50-59",TRUE(),"60+")</f>
        <v>50-59</v>
      </c>
      <c r="O1505" s="2" t="str">
        <f aca="false">_xlfn.IFS(G1505&lt;0,"1 Negative",G1505=0,"2 Zero",G1505&lt;=500,"3 1-500",G1505&lt;=2000,"4 501-2000",TRUE(),"5 Above 2000")</f>
        <v>1 Negative</v>
      </c>
      <c r="P1505" s="2" t="n">
        <f aca="false">Lookups!$B$2*M1505+Lookups!$B$3*L1505</f>
        <v>3</v>
      </c>
      <c r="Q1505" s="2" t="str">
        <f aca="false">INDEX(Lookups!$E$2:$E$5,MATCH(P1505,Lookups!$D$2:$D$5,0))</f>
        <v>High</v>
      </c>
    </row>
    <row r="1506" customFormat="false" ht="15" hidden="false" customHeight="false" outlineLevel="0" collapsed="false">
      <c r="A1506" s="3" t="n">
        <v>1505</v>
      </c>
      <c r="B1506" s="3" t="n">
        <f aca="false">Raw_Data!A1506</f>
        <v>47</v>
      </c>
      <c r="C1506" s="3" t="str">
        <f aca="false">SUBSTITUTE(Raw_Data!B1506,".","")</f>
        <v>admin</v>
      </c>
      <c r="D1506" s="3" t="str">
        <f aca="false">Raw_Data!C1506</f>
        <v>divorced</v>
      </c>
      <c r="E1506" s="3" t="str">
        <f aca="false">Raw_Data!D1506</f>
        <v>secondary</v>
      </c>
      <c r="F1506" s="3" t="str">
        <f aca="false">Raw_Data!E1506</f>
        <v>no</v>
      </c>
      <c r="G1506" s="3" t="n">
        <f aca="false">Raw_Data!F1506</f>
        <v>225</v>
      </c>
      <c r="H1506" s="3" t="str">
        <f aca="false">Raw_Data!G1506</f>
        <v>no</v>
      </c>
      <c r="I1506" s="3" t="str">
        <f aca="false">Raw_Data!H1506</f>
        <v>no</v>
      </c>
      <c r="J1506" s="2" t="n">
        <f aca="false">IF(F1506="yes",1,0)</f>
        <v>0</v>
      </c>
      <c r="K1506" s="2" t="n">
        <f aca="false">IF(H1506="yes",1,0)</f>
        <v>0</v>
      </c>
      <c r="L1506" s="2" t="n">
        <f aca="false">IF(I1506="yes",1,0)</f>
        <v>0</v>
      </c>
      <c r="M1506" s="2" t="n">
        <f aca="false">IF(G1506&lt;0,1,0)</f>
        <v>0</v>
      </c>
      <c r="N1506" s="2" t="str">
        <f aca="false">_xlfn.IFS(B1506&lt;30,"Under 30",B1506&lt;40,"30-39",B1506&lt;50,"40-49",B1506&lt;60,"50-59",TRUE(),"60+")</f>
        <v>40-49</v>
      </c>
      <c r="O1506" s="2" t="str">
        <f aca="false">_xlfn.IFS(G1506&lt;0,"1 Negative",G1506=0,"2 Zero",G1506&lt;=500,"3 1-500",G1506&lt;=2000,"4 501-2000",TRUE(),"5 Above 2000")</f>
        <v>3 1-500</v>
      </c>
      <c r="P1506" s="2" t="n">
        <f aca="false">Lookups!$B$2*M1506+Lookups!$B$3*L1506</f>
        <v>0</v>
      </c>
      <c r="Q1506" s="2" t="str">
        <f aca="false">INDEX(Lookups!$E$2:$E$5,MATCH(P1506,Lookups!$D$2:$D$5,0))</f>
        <v>Low</v>
      </c>
    </row>
    <row r="1507" customFormat="false" ht="15" hidden="false" customHeight="false" outlineLevel="0" collapsed="false">
      <c r="A1507" s="3" t="n">
        <v>1506</v>
      </c>
      <c r="B1507" s="3" t="n">
        <f aca="false">Raw_Data!A1507</f>
        <v>30</v>
      </c>
      <c r="C1507" s="3" t="str">
        <f aca="false">SUBSTITUTE(Raw_Data!B1507,".","")</f>
        <v>admin</v>
      </c>
      <c r="D1507" s="3" t="str">
        <f aca="false">Raw_Data!C1507</f>
        <v>married</v>
      </c>
      <c r="E1507" s="3" t="str">
        <f aca="false">Raw_Data!D1507</f>
        <v>secondary</v>
      </c>
      <c r="F1507" s="3" t="str">
        <f aca="false">Raw_Data!E1507</f>
        <v>no</v>
      </c>
      <c r="G1507" s="3" t="n">
        <f aca="false">Raw_Data!F1507</f>
        <v>124</v>
      </c>
      <c r="H1507" s="3" t="str">
        <f aca="false">Raw_Data!G1507</f>
        <v>no</v>
      </c>
      <c r="I1507" s="3" t="str">
        <f aca="false">Raw_Data!H1507</f>
        <v>no</v>
      </c>
      <c r="J1507" s="2" t="n">
        <f aca="false">IF(F1507="yes",1,0)</f>
        <v>0</v>
      </c>
      <c r="K1507" s="2" t="n">
        <f aca="false">IF(H1507="yes",1,0)</f>
        <v>0</v>
      </c>
      <c r="L1507" s="2" t="n">
        <f aca="false">IF(I1507="yes",1,0)</f>
        <v>0</v>
      </c>
      <c r="M1507" s="2" t="n">
        <f aca="false">IF(G1507&lt;0,1,0)</f>
        <v>0</v>
      </c>
      <c r="N1507" s="2" t="str">
        <f aca="false">_xlfn.IFS(B1507&lt;30,"Under 30",B1507&lt;40,"30-39",B1507&lt;50,"40-49",B1507&lt;60,"50-59",TRUE(),"60+")</f>
        <v>30-39</v>
      </c>
      <c r="O1507" s="2" t="str">
        <f aca="false">_xlfn.IFS(G1507&lt;0,"1 Negative",G1507=0,"2 Zero",G1507&lt;=500,"3 1-500",G1507&lt;=2000,"4 501-2000",TRUE(),"5 Above 2000")</f>
        <v>3 1-500</v>
      </c>
      <c r="P1507" s="2" t="n">
        <f aca="false">Lookups!$B$2*M1507+Lookups!$B$3*L1507</f>
        <v>0</v>
      </c>
      <c r="Q1507" s="2" t="str">
        <f aca="false">INDEX(Lookups!$E$2:$E$5,MATCH(P1507,Lookups!$D$2:$D$5,0))</f>
        <v>Low</v>
      </c>
    </row>
    <row r="1508" customFormat="false" ht="15" hidden="false" customHeight="false" outlineLevel="0" collapsed="false">
      <c r="A1508" s="3" t="n">
        <v>1507</v>
      </c>
      <c r="B1508" s="3" t="n">
        <f aca="false">Raw_Data!A1508</f>
        <v>36</v>
      </c>
      <c r="C1508" s="3" t="str">
        <f aca="false">SUBSTITUTE(Raw_Data!B1508,".","")</f>
        <v>entrepreneur</v>
      </c>
      <c r="D1508" s="3" t="str">
        <f aca="false">Raw_Data!C1508</f>
        <v>single</v>
      </c>
      <c r="E1508" s="3" t="str">
        <f aca="false">Raw_Data!D1508</f>
        <v>secondary</v>
      </c>
      <c r="F1508" s="3" t="str">
        <f aca="false">Raw_Data!E1508</f>
        <v>no</v>
      </c>
      <c r="G1508" s="3" t="n">
        <f aca="false">Raw_Data!F1508</f>
        <v>475</v>
      </c>
      <c r="H1508" s="3" t="str">
        <f aca="false">Raw_Data!G1508</f>
        <v>no</v>
      </c>
      <c r="I1508" s="3" t="str">
        <f aca="false">Raw_Data!H1508</f>
        <v>no</v>
      </c>
      <c r="J1508" s="2" t="n">
        <f aca="false">IF(F1508="yes",1,0)</f>
        <v>0</v>
      </c>
      <c r="K1508" s="2" t="n">
        <f aca="false">IF(H1508="yes",1,0)</f>
        <v>0</v>
      </c>
      <c r="L1508" s="2" t="n">
        <f aca="false">IF(I1508="yes",1,0)</f>
        <v>0</v>
      </c>
      <c r="M1508" s="2" t="n">
        <f aca="false">IF(G1508&lt;0,1,0)</f>
        <v>0</v>
      </c>
      <c r="N1508" s="2" t="str">
        <f aca="false">_xlfn.IFS(B1508&lt;30,"Under 30",B1508&lt;40,"30-39",B1508&lt;50,"40-49",B1508&lt;60,"50-59",TRUE(),"60+")</f>
        <v>30-39</v>
      </c>
      <c r="O1508" s="2" t="str">
        <f aca="false">_xlfn.IFS(G1508&lt;0,"1 Negative",G1508=0,"2 Zero",G1508&lt;=500,"3 1-500",G1508&lt;=2000,"4 501-2000",TRUE(),"5 Above 2000")</f>
        <v>3 1-500</v>
      </c>
      <c r="P1508" s="2" t="n">
        <f aca="false">Lookups!$B$2*M1508+Lookups!$B$3*L1508</f>
        <v>0</v>
      </c>
      <c r="Q1508" s="2" t="str">
        <f aca="false">INDEX(Lookups!$E$2:$E$5,MATCH(P1508,Lookups!$D$2:$D$5,0))</f>
        <v>Low</v>
      </c>
    </row>
    <row r="1509" customFormat="false" ht="15" hidden="false" customHeight="false" outlineLevel="0" collapsed="false">
      <c r="A1509" s="3" t="n">
        <v>1508</v>
      </c>
      <c r="B1509" s="3" t="n">
        <f aca="false">Raw_Data!A1509</f>
        <v>40</v>
      </c>
      <c r="C1509" s="3" t="str">
        <f aca="false">SUBSTITUTE(Raw_Data!B1509,".","")</f>
        <v>management</v>
      </c>
      <c r="D1509" s="3" t="str">
        <f aca="false">Raw_Data!C1509</f>
        <v>married</v>
      </c>
      <c r="E1509" s="3" t="str">
        <f aca="false">Raw_Data!D1509</f>
        <v>tertiary</v>
      </c>
      <c r="F1509" s="3" t="str">
        <f aca="false">Raw_Data!E1509</f>
        <v>no</v>
      </c>
      <c r="G1509" s="3" t="n">
        <f aca="false">Raw_Data!F1509</f>
        <v>-7</v>
      </c>
      <c r="H1509" s="3" t="str">
        <f aca="false">Raw_Data!G1509</f>
        <v>no</v>
      </c>
      <c r="I1509" s="3" t="str">
        <f aca="false">Raw_Data!H1509</f>
        <v>yes</v>
      </c>
      <c r="J1509" s="2" t="n">
        <f aca="false">IF(F1509="yes",1,0)</f>
        <v>0</v>
      </c>
      <c r="K1509" s="2" t="n">
        <f aca="false">IF(H1509="yes",1,0)</f>
        <v>0</v>
      </c>
      <c r="L1509" s="2" t="n">
        <f aca="false">IF(I1509="yes",1,0)</f>
        <v>1</v>
      </c>
      <c r="M1509" s="2" t="n">
        <f aca="false">IF(G1509&lt;0,1,0)</f>
        <v>1</v>
      </c>
      <c r="N1509" s="2" t="str">
        <f aca="false">_xlfn.IFS(B1509&lt;30,"Under 30",B1509&lt;40,"30-39",B1509&lt;50,"40-49",B1509&lt;60,"50-59",TRUE(),"60+")</f>
        <v>40-49</v>
      </c>
      <c r="O1509" s="2" t="str">
        <f aca="false">_xlfn.IFS(G1509&lt;0,"1 Negative",G1509=0,"2 Zero",G1509&lt;=500,"3 1-500",G1509&lt;=2000,"4 501-2000",TRUE(),"5 Above 2000")</f>
        <v>1 Negative</v>
      </c>
      <c r="P1509" s="2" t="n">
        <f aca="false">Lookups!$B$2*M1509+Lookups!$B$3*L1509</f>
        <v>3</v>
      </c>
      <c r="Q1509" s="2" t="str">
        <f aca="false">INDEX(Lookups!$E$2:$E$5,MATCH(P1509,Lookups!$D$2:$D$5,0))</f>
        <v>High</v>
      </c>
    </row>
    <row r="1510" customFormat="false" ht="15" hidden="false" customHeight="false" outlineLevel="0" collapsed="false">
      <c r="A1510" s="3" t="n">
        <v>1509</v>
      </c>
      <c r="B1510" s="3" t="n">
        <f aca="false">Raw_Data!A1510</f>
        <v>37</v>
      </c>
      <c r="C1510" s="3" t="str">
        <f aca="false">SUBSTITUTE(Raw_Data!B1510,".","")</f>
        <v>technician</v>
      </c>
      <c r="D1510" s="3" t="str">
        <f aca="false">Raw_Data!C1510</f>
        <v>single</v>
      </c>
      <c r="E1510" s="3" t="str">
        <f aca="false">Raw_Data!D1510</f>
        <v>secondary</v>
      </c>
      <c r="F1510" s="3" t="str">
        <f aca="false">Raw_Data!E1510</f>
        <v>yes</v>
      </c>
      <c r="G1510" s="3" t="n">
        <f aca="false">Raw_Data!F1510</f>
        <v>375</v>
      </c>
      <c r="H1510" s="3" t="str">
        <f aca="false">Raw_Data!G1510</f>
        <v>no</v>
      </c>
      <c r="I1510" s="3" t="str">
        <f aca="false">Raw_Data!H1510</f>
        <v>no</v>
      </c>
      <c r="J1510" s="2" t="n">
        <f aca="false">IF(F1510="yes",1,0)</f>
        <v>1</v>
      </c>
      <c r="K1510" s="2" t="n">
        <f aca="false">IF(H1510="yes",1,0)</f>
        <v>0</v>
      </c>
      <c r="L1510" s="2" t="n">
        <f aca="false">IF(I1510="yes",1,0)</f>
        <v>0</v>
      </c>
      <c r="M1510" s="2" t="n">
        <f aca="false">IF(G1510&lt;0,1,0)</f>
        <v>0</v>
      </c>
      <c r="N1510" s="2" t="str">
        <f aca="false">_xlfn.IFS(B1510&lt;30,"Under 30",B1510&lt;40,"30-39",B1510&lt;50,"40-49",B1510&lt;60,"50-59",TRUE(),"60+")</f>
        <v>30-39</v>
      </c>
      <c r="O1510" s="2" t="str">
        <f aca="false">_xlfn.IFS(G1510&lt;0,"1 Negative",G1510=0,"2 Zero",G1510&lt;=500,"3 1-500",G1510&lt;=2000,"4 501-2000",TRUE(),"5 Above 2000")</f>
        <v>3 1-500</v>
      </c>
      <c r="P1510" s="2" t="n">
        <f aca="false">Lookups!$B$2*M1510+Lookups!$B$3*L1510</f>
        <v>0</v>
      </c>
      <c r="Q1510" s="2" t="str">
        <f aca="false">INDEX(Lookups!$E$2:$E$5,MATCH(P1510,Lookups!$D$2:$D$5,0))</f>
        <v>Low</v>
      </c>
    </row>
    <row r="1511" customFormat="false" ht="15" hidden="false" customHeight="false" outlineLevel="0" collapsed="false">
      <c r="A1511" s="3" t="n">
        <v>1510</v>
      </c>
      <c r="B1511" s="3" t="n">
        <f aca="false">Raw_Data!A1511</f>
        <v>42</v>
      </c>
      <c r="C1511" s="3" t="str">
        <f aca="false">SUBSTITUTE(Raw_Data!B1511,".","")</f>
        <v>admin</v>
      </c>
      <c r="D1511" s="3" t="str">
        <f aca="false">Raw_Data!C1511</f>
        <v>divorced</v>
      </c>
      <c r="E1511" s="3" t="str">
        <f aca="false">Raw_Data!D1511</f>
        <v>secondary</v>
      </c>
      <c r="F1511" s="3" t="str">
        <f aca="false">Raw_Data!E1511</f>
        <v>no</v>
      </c>
      <c r="G1511" s="3" t="n">
        <f aca="false">Raw_Data!F1511</f>
        <v>936</v>
      </c>
      <c r="H1511" s="3" t="str">
        <f aca="false">Raw_Data!G1511</f>
        <v>no</v>
      </c>
      <c r="I1511" s="3" t="str">
        <f aca="false">Raw_Data!H1511</f>
        <v>no</v>
      </c>
      <c r="J1511" s="2" t="n">
        <f aca="false">IF(F1511="yes",1,0)</f>
        <v>0</v>
      </c>
      <c r="K1511" s="2" t="n">
        <f aca="false">IF(H1511="yes",1,0)</f>
        <v>0</v>
      </c>
      <c r="L1511" s="2" t="n">
        <f aca="false">IF(I1511="yes",1,0)</f>
        <v>0</v>
      </c>
      <c r="M1511" s="2" t="n">
        <f aca="false">IF(G1511&lt;0,1,0)</f>
        <v>0</v>
      </c>
      <c r="N1511" s="2" t="str">
        <f aca="false">_xlfn.IFS(B1511&lt;30,"Under 30",B1511&lt;40,"30-39",B1511&lt;50,"40-49",B1511&lt;60,"50-59",TRUE(),"60+")</f>
        <v>40-49</v>
      </c>
      <c r="O1511" s="2" t="str">
        <f aca="false">_xlfn.IFS(G1511&lt;0,"1 Negative",G1511=0,"2 Zero",G1511&lt;=500,"3 1-500",G1511&lt;=2000,"4 501-2000",TRUE(),"5 Above 2000")</f>
        <v>4 501-2000</v>
      </c>
      <c r="P1511" s="2" t="n">
        <f aca="false">Lookups!$B$2*M1511+Lookups!$B$3*L1511</f>
        <v>0</v>
      </c>
      <c r="Q1511" s="2" t="str">
        <f aca="false">INDEX(Lookups!$E$2:$E$5,MATCH(P1511,Lookups!$D$2:$D$5,0))</f>
        <v>Low</v>
      </c>
    </row>
    <row r="1512" customFormat="false" ht="15" hidden="false" customHeight="false" outlineLevel="0" collapsed="false">
      <c r="A1512" s="3" t="n">
        <v>1511</v>
      </c>
      <c r="B1512" s="3" t="n">
        <f aca="false">Raw_Data!A1512</f>
        <v>45</v>
      </c>
      <c r="C1512" s="3" t="str">
        <f aca="false">SUBSTITUTE(Raw_Data!B1512,".","")</f>
        <v>technician</v>
      </c>
      <c r="D1512" s="3" t="str">
        <f aca="false">Raw_Data!C1512</f>
        <v>married</v>
      </c>
      <c r="E1512" s="3" t="str">
        <f aca="false">Raw_Data!D1512</f>
        <v>secondary</v>
      </c>
      <c r="F1512" s="3" t="str">
        <f aca="false">Raw_Data!E1512</f>
        <v>no</v>
      </c>
      <c r="G1512" s="3" t="n">
        <f aca="false">Raw_Data!F1512</f>
        <v>1415</v>
      </c>
      <c r="H1512" s="3" t="str">
        <f aca="false">Raw_Data!G1512</f>
        <v>yes</v>
      </c>
      <c r="I1512" s="3" t="str">
        <f aca="false">Raw_Data!H1512</f>
        <v>no</v>
      </c>
      <c r="J1512" s="2" t="n">
        <f aca="false">IF(F1512="yes",1,0)</f>
        <v>0</v>
      </c>
      <c r="K1512" s="2" t="n">
        <f aca="false">IF(H1512="yes",1,0)</f>
        <v>1</v>
      </c>
      <c r="L1512" s="2" t="n">
        <f aca="false">IF(I1512="yes",1,0)</f>
        <v>0</v>
      </c>
      <c r="M1512" s="2" t="n">
        <f aca="false">IF(G1512&lt;0,1,0)</f>
        <v>0</v>
      </c>
      <c r="N1512" s="2" t="str">
        <f aca="false">_xlfn.IFS(B1512&lt;30,"Under 30",B1512&lt;40,"30-39",B1512&lt;50,"40-49",B1512&lt;60,"50-59",TRUE(),"60+")</f>
        <v>40-49</v>
      </c>
      <c r="O1512" s="2" t="str">
        <f aca="false">_xlfn.IFS(G1512&lt;0,"1 Negative",G1512=0,"2 Zero",G1512&lt;=500,"3 1-500",G1512&lt;=2000,"4 501-2000",TRUE(),"5 Above 2000")</f>
        <v>4 501-2000</v>
      </c>
      <c r="P1512" s="2" t="n">
        <f aca="false">Lookups!$B$2*M1512+Lookups!$B$3*L1512</f>
        <v>0</v>
      </c>
      <c r="Q1512" s="2" t="str">
        <f aca="false">INDEX(Lookups!$E$2:$E$5,MATCH(P1512,Lookups!$D$2:$D$5,0))</f>
        <v>Low</v>
      </c>
    </row>
    <row r="1513" customFormat="false" ht="15" hidden="false" customHeight="false" outlineLevel="0" collapsed="false">
      <c r="A1513" s="3" t="n">
        <v>1512</v>
      </c>
      <c r="B1513" s="3" t="n">
        <f aca="false">Raw_Data!A1513</f>
        <v>34</v>
      </c>
      <c r="C1513" s="3" t="str">
        <f aca="false">SUBSTITUTE(Raw_Data!B1513,".","")</f>
        <v>unemployed</v>
      </c>
      <c r="D1513" s="3" t="str">
        <f aca="false">Raw_Data!C1513</f>
        <v>single</v>
      </c>
      <c r="E1513" s="3" t="str">
        <f aca="false">Raw_Data!D1513</f>
        <v>secondary</v>
      </c>
      <c r="F1513" s="3" t="str">
        <f aca="false">Raw_Data!E1513</f>
        <v>no</v>
      </c>
      <c r="G1513" s="3" t="n">
        <f aca="false">Raw_Data!F1513</f>
        <v>0</v>
      </c>
      <c r="H1513" s="3" t="str">
        <f aca="false">Raw_Data!G1513</f>
        <v>no</v>
      </c>
      <c r="I1513" s="3" t="str">
        <f aca="false">Raw_Data!H1513</f>
        <v>no</v>
      </c>
      <c r="J1513" s="2" t="n">
        <f aca="false">IF(F1513="yes",1,0)</f>
        <v>0</v>
      </c>
      <c r="K1513" s="2" t="n">
        <f aca="false">IF(H1513="yes",1,0)</f>
        <v>0</v>
      </c>
      <c r="L1513" s="2" t="n">
        <f aca="false">IF(I1513="yes",1,0)</f>
        <v>0</v>
      </c>
      <c r="M1513" s="2" t="n">
        <f aca="false">IF(G1513&lt;0,1,0)</f>
        <v>0</v>
      </c>
      <c r="N1513" s="2" t="str">
        <f aca="false">_xlfn.IFS(B1513&lt;30,"Under 30",B1513&lt;40,"30-39",B1513&lt;50,"40-49",B1513&lt;60,"50-59",TRUE(),"60+")</f>
        <v>30-39</v>
      </c>
      <c r="O1513" s="2" t="str">
        <f aca="false">_xlfn.IFS(G1513&lt;0,"1 Negative",G1513=0,"2 Zero",G1513&lt;=500,"3 1-500",G1513&lt;=2000,"4 501-2000",TRUE(),"5 Above 2000")</f>
        <v>2 Zero</v>
      </c>
      <c r="P1513" s="2" t="n">
        <f aca="false">Lookups!$B$2*M1513+Lookups!$B$3*L1513</f>
        <v>0</v>
      </c>
      <c r="Q1513" s="2" t="str">
        <f aca="false">INDEX(Lookups!$E$2:$E$5,MATCH(P1513,Lookups!$D$2:$D$5,0))</f>
        <v>Low</v>
      </c>
    </row>
    <row r="1514" customFormat="false" ht="15" hidden="false" customHeight="false" outlineLevel="0" collapsed="false">
      <c r="A1514" s="3" t="n">
        <v>1513</v>
      </c>
      <c r="B1514" s="3" t="n">
        <f aca="false">Raw_Data!A1514</f>
        <v>27</v>
      </c>
      <c r="C1514" s="3" t="str">
        <f aca="false">SUBSTITUTE(Raw_Data!B1514,".","")</f>
        <v>admin</v>
      </c>
      <c r="D1514" s="3" t="str">
        <f aca="false">Raw_Data!C1514</f>
        <v>single</v>
      </c>
      <c r="E1514" s="3" t="str">
        <f aca="false">Raw_Data!D1514</f>
        <v>secondary</v>
      </c>
      <c r="F1514" s="3" t="str">
        <f aca="false">Raw_Data!E1514</f>
        <v>no</v>
      </c>
      <c r="G1514" s="3" t="n">
        <f aca="false">Raw_Data!F1514</f>
        <v>3638</v>
      </c>
      <c r="H1514" s="3" t="str">
        <f aca="false">Raw_Data!G1514</f>
        <v>no</v>
      </c>
      <c r="I1514" s="3" t="str">
        <f aca="false">Raw_Data!H1514</f>
        <v>no</v>
      </c>
      <c r="J1514" s="2" t="n">
        <f aca="false">IF(F1514="yes",1,0)</f>
        <v>0</v>
      </c>
      <c r="K1514" s="2" t="n">
        <f aca="false">IF(H1514="yes",1,0)</f>
        <v>0</v>
      </c>
      <c r="L1514" s="2" t="n">
        <f aca="false">IF(I1514="yes",1,0)</f>
        <v>0</v>
      </c>
      <c r="M1514" s="2" t="n">
        <f aca="false">IF(G1514&lt;0,1,0)</f>
        <v>0</v>
      </c>
      <c r="N1514" s="2" t="str">
        <f aca="false">_xlfn.IFS(B1514&lt;30,"Under 30",B1514&lt;40,"30-39",B1514&lt;50,"40-49",B1514&lt;60,"50-59",TRUE(),"60+")</f>
        <v>Under 30</v>
      </c>
      <c r="O1514" s="2" t="str">
        <f aca="false">_xlfn.IFS(G1514&lt;0,"1 Negative",G1514=0,"2 Zero",G1514&lt;=500,"3 1-500",G1514&lt;=2000,"4 501-2000",TRUE(),"5 Above 2000")</f>
        <v>5 Above 2000</v>
      </c>
      <c r="P1514" s="2" t="n">
        <f aca="false">Lookups!$B$2*M1514+Lookups!$B$3*L1514</f>
        <v>0</v>
      </c>
      <c r="Q1514" s="2" t="str">
        <f aca="false">INDEX(Lookups!$E$2:$E$5,MATCH(P1514,Lookups!$D$2:$D$5,0))</f>
        <v>Low</v>
      </c>
    </row>
    <row r="1515" customFormat="false" ht="15" hidden="false" customHeight="false" outlineLevel="0" collapsed="false">
      <c r="A1515" s="3" t="n">
        <v>1514</v>
      </c>
      <c r="B1515" s="3" t="n">
        <f aca="false">Raw_Data!A1515</f>
        <v>30</v>
      </c>
      <c r="C1515" s="3" t="str">
        <f aca="false">SUBSTITUTE(Raw_Data!B1515,".","")</f>
        <v>blue-collar</v>
      </c>
      <c r="D1515" s="3" t="str">
        <f aca="false">Raw_Data!C1515</f>
        <v>married</v>
      </c>
      <c r="E1515" s="3" t="str">
        <f aca="false">Raw_Data!D1515</f>
        <v>secondary</v>
      </c>
      <c r="F1515" s="3" t="str">
        <f aca="false">Raw_Data!E1515</f>
        <v>no</v>
      </c>
      <c r="G1515" s="3" t="n">
        <f aca="false">Raw_Data!F1515</f>
        <v>-99</v>
      </c>
      <c r="H1515" s="3" t="str">
        <f aca="false">Raw_Data!G1515</f>
        <v>yes</v>
      </c>
      <c r="I1515" s="3" t="str">
        <f aca="false">Raw_Data!H1515</f>
        <v>no</v>
      </c>
      <c r="J1515" s="2" t="n">
        <f aca="false">IF(F1515="yes",1,0)</f>
        <v>0</v>
      </c>
      <c r="K1515" s="2" t="n">
        <f aca="false">IF(H1515="yes",1,0)</f>
        <v>1</v>
      </c>
      <c r="L1515" s="2" t="n">
        <f aca="false">IF(I1515="yes",1,0)</f>
        <v>0</v>
      </c>
      <c r="M1515" s="2" t="n">
        <f aca="false">IF(G1515&lt;0,1,0)</f>
        <v>1</v>
      </c>
      <c r="N1515" s="2" t="str">
        <f aca="false">_xlfn.IFS(B1515&lt;30,"Under 30",B1515&lt;40,"30-39",B1515&lt;50,"40-49",B1515&lt;60,"50-59",TRUE(),"60+")</f>
        <v>30-39</v>
      </c>
      <c r="O1515" s="2" t="str">
        <f aca="false">_xlfn.IFS(G1515&lt;0,"1 Negative",G1515=0,"2 Zero",G1515&lt;=500,"3 1-500",G1515&lt;=2000,"4 501-2000",TRUE(),"5 Above 2000")</f>
        <v>1 Negative</v>
      </c>
      <c r="P1515" s="2" t="n">
        <f aca="false">Lookups!$B$2*M1515+Lookups!$B$3*L1515</f>
        <v>2</v>
      </c>
      <c r="Q1515" s="2" t="str">
        <f aca="false">INDEX(Lookups!$E$2:$E$5,MATCH(P1515,Lookups!$D$2:$D$5,0))</f>
        <v>High</v>
      </c>
    </row>
    <row r="1516" customFormat="false" ht="15" hidden="false" customHeight="false" outlineLevel="0" collapsed="false">
      <c r="A1516" s="3" t="n">
        <v>1515</v>
      </c>
      <c r="B1516" s="3" t="n">
        <f aca="false">Raw_Data!A1516</f>
        <v>32</v>
      </c>
      <c r="C1516" s="3" t="str">
        <f aca="false">SUBSTITUTE(Raw_Data!B1516,".","")</f>
        <v>technician</v>
      </c>
      <c r="D1516" s="3" t="str">
        <f aca="false">Raw_Data!C1516</f>
        <v>married</v>
      </c>
      <c r="E1516" s="3" t="str">
        <f aca="false">Raw_Data!D1516</f>
        <v>secondary</v>
      </c>
      <c r="F1516" s="3" t="str">
        <f aca="false">Raw_Data!E1516</f>
        <v>no</v>
      </c>
      <c r="G1516" s="3" t="n">
        <f aca="false">Raw_Data!F1516</f>
        <v>167</v>
      </c>
      <c r="H1516" s="3" t="str">
        <f aca="false">Raw_Data!G1516</f>
        <v>yes</v>
      </c>
      <c r="I1516" s="3" t="str">
        <f aca="false">Raw_Data!H1516</f>
        <v>yes</v>
      </c>
      <c r="J1516" s="2" t="n">
        <f aca="false">IF(F1516="yes",1,0)</f>
        <v>0</v>
      </c>
      <c r="K1516" s="2" t="n">
        <f aca="false">IF(H1516="yes",1,0)</f>
        <v>1</v>
      </c>
      <c r="L1516" s="2" t="n">
        <f aca="false">IF(I1516="yes",1,0)</f>
        <v>1</v>
      </c>
      <c r="M1516" s="2" t="n">
        <f aca="false">IF(G1516&lt;0,1,0)</f>
        <v>0</v>
      </c>
      <c r="N1516" s="2" t="str">
        <f aca="false">_xlfn.IFS(B1516&lt;30,"Under 30",B1516&lt;40,"30-39",B1516&lt;50,"40-49",B1516&lt;60,"50-59",TRUE(),"60+")</f>
        <v>30-39</v>
      </c>
      <c r="O1516" s="2" t="str">
        <f aca="false">_xlfn.IFS(G1516&lt;0,"1 Negative",G1516=0,"2 Zero",G1516&lt;=500,"3 1-500",G1516&lt;=2000,"4 501-2000",TRUE(),"5 Above 2000")</f>
        <v>3 1-500</v>
      </c>
      <c r="P1516" s="2" t="n">
        <f aca="false">Lookups!$B$2*M1516+Lookups!$B$3*L1516</f>
        <v>1</v>
      </c>
      <c r="Q1516" s="2" t="str">
        <f aca="false">INDEX(Lookups!$E$2:$E$5,MATCH(P1516,Lookups!$D$2:$D$5,0))</f>
        <v>Medium</v>
      </c>
    </row>
    <row r="1517" customFormat="false" ht="15" hidden="false" customHeight="false" outlineLevel="0" collapsed="false">
      <c r="A1517" s="3" t="n">
        <v>1516</v>
      </c>
      <c r="B1517" s="3" t="n">
        <f aca="false">Raw_Data!A1517</f>
        <v>46</v>
      </c>
      <c r="C1517" s="3" t="str">
        <f aca="false">SUBSTITUTE(Raw_Data!B1517,".","")</f>
        <v>housemaid</v>
      </c>
      <c r="D1517" s="3" t="str">
        <f aca="false">Raw_Data!C1517</f>
        <v>married</v>
      </c>
      <c r="E1517" s="3" t="str">
        <f aca="false">Raw_Data!D1517</f>
        <v>primary</v>
      </c>
      <c r="F1517" s="3" t="str">
        <f aca="false">Raw_Data!E1517</f>
        <v>no</v>
      </c>
      <c r="G1517" s="3" t="n">
        <f aca="false">Raw_Data!F1517</f>
        <v>19</v>
      </c>
      <c r="H1517" s="3" t="str">
        <f aca="false">Raw_Data!G1517</f>
        <v>yes</v>
      </c>
      <c r="I1517" s="3" t="str">
        <f aca="false">Raw_Data!H1517</f>
        <v>no</v>
      </c>
      <c r="J1517" s="2" t="n">
        <f aca="false">IF(F1517="yes",1,0)</f>
        <v>0</v>
      </c>
      <c r="K1517" s="2" t="n">
        <f aca="false">IF(H1517="yes",1,0)</f>
        <v>1</v>
      </c>
      <c r="L1517" s="2" t="n">
        <f aca="false">IF(I1517="yes",1,0)</f>
        <v>0</v>
      </c>
      <c r="M1517" s="2" t="n">
        <f aca="false">IF(G1517&lt;0,1,0)</f>
        <v>0</v>
      </c>
      <c r="N1517" s="2" t="str">
        <f aca="false">_xlfn.IFS(B1517&lt;30,"Under 30",B1517&lt;40,"30-39",B1517&lt;50,"40-49",B1517&lt;60,"50-59",TRUE(),"60+")</f>
        <v>40-49</v>
      </c>
      <c r="O1517" s="2" t="str">
        <f aca="false">_xlfn.IFS(G1517&lt;0,"1 Negative",G1517=0,"2 Zero",G1517&lt;=500,"3 1-500",G1517&lt;=2000,"4 501-2000",TRUE(),"5 Above 2000")</f>
        <v>3 1-500</v>
      </c>
      <c r="P1517" s="2" t="n">
        <f aca="false">Lookups!$B$2*M1517+Lookups!$B$3*L1517</f>
        <v>0</v>
      </c>
      <c r="Q1517" s="2" t="str">
        <f aca="false">INDEX(Lookups!$E$2:$E$5,MATCH(P1517,Lookups!$D$2:$D$5,0))</f>
        <v>Low</v>
      </c>
    </row>
    <row r="1518" customFormat="false" ht="15" hidden="false" customHeight="false" outlineLevel="0" collapsed="false">
      <c r="A1518" s="3" t="n">
        <v>1517</v>
      </c>
      <c r="B1518" s="3" t="n">
        <f aca="false">Raw_Data!A1518</f>
        <v>29</v>
      </c>
      <c r="C1518" s="3" t="str">
        <f aca="false">SUBSTITUTE(Raw_Data!B1518,".","")</f>
        <v>self-employed</v>
      </c>
      <c r="D1518" s="3" t="str">
        <f aca="false">Raw_Data!C1518</f>
        <v>married</v>
      </c>
      <c r="E1518" s="3" t="str">
        <f aca="false">Raw_Data!D1518</f>
        <v>tertiary</v>
      </c>
      <c r="F1518" s="3" t="str">
        <f aca="false">Raw_Data!E1518</f>
        <v>no</v>
      </c>
      <c r="G1518" s="3" t="n">
        <f aca="false">Raw_Data!F1518</f>
        <v>242</v>
      </c>
      <c r="H1518" s="3" t="str">
        <f aca="false">Raw_Data!G1518</f>
        <v>yes</v>
      </c>
      <c r="I1518" s="3" t="str">
        <f aca="false">Raw_Data!H1518</f>
        <v>no</v>
      </c>
      <c r="J1518" s="2" t="n">
        <f aca="false">IF(F1518="yes",1,0)</f>
        <v>0</v>
      </c>
      <c r="K1518" s="2" t="n">
        <f aca="false">IF(H1518="yes",1,0)</f>
        <v>1</v>
      </c>
      <c r="L1518" s="2" t="n">
        <f aca="false">IF(I1518="yes",1,0)</f>
        <v>0</v>
      </c>
      <c r="M1518" s="2" t="n">
        <f aca="false">IF(G1518&lt;0,1,0)</f>
        <v>0</v>
      </c>
      <c r="N1518" s="2" t="str">
        <f aca="false">_xlfn.IFS(B1518&lt;30,"Under 30",B1518&lt;40,"30-39",B1518&lt;50,"40-49",B1518&lt;60,"50-59",TRUE(),"60+")</f>
        <v>Under 30</v>
      </c>
      <c r="O1518" s="2" t="str">
        <f aca="false">_xlfn.IFS(G1518&lt;0,"1 Negative",G1518=0,"2 Zero",G1518&lt;=500,"3 1-500",G1518&lt;=2000,"4 501-2000",TRUE(),"5 Above 2000")</f>
        <v>3 1-500</v>
      </c>
      <c r="P1518" s="2" t="n">
        <f aca="false">Lookups!$B$2*M1518+Lookups!$B$3*L1518</f>
        <v>0</v>
      </c>
      <c r="Q1518" s="2" t="str">
        <f aca="false">INDEX(Lookups!$E$2:$E$5,MATCH(P1518,Lookups!$D$2:$D$5,0))</f>
        <v>Low</v>
      </c>
    </row>
    <row r="1519" customFormat="false" ht="15" hidden="false" customHeight="false" outlineLevel="0" collapsed="false">
      <c r="A1519" s="3" t="n">
        <v>1518</v>
      </c>
      <c r="B1519" s="3" t="n">
        <f aca="false">Raw_Data!A1519</f>
        <v>53</v>
      </c>
      <c r="C1519" s="3" t="str">
        <f aca="false">SUBSTITUTE(Raw_Data!B1519,".","")</f>
        <v>unknown</v>
      </c>
      <c r="D1519" s="3" t="str">
        <f aca="false">Raw_Data!C1519</f>
        <v>married</v>
      </c>
      <c r="E1519" s="3" t="str">
        <f aca="false">Raw_Data!D1519</f>
        <v>unknown</v>
      </c>
      <c r="F1519" s="3" t="str">
        <f aca="false">Raw_Data!E1519</f>
        <v>no</v>
      </c>
      <c r="G1519" s="3" t="n">
        <f aca="false">Raw_Data!F1519</f>
        <v>13</v>
      </c>
      <c r="H1519" s="3" t="str">
        <f aca="false">Raw_Data!G1519</f>
        <v>no</v>
      </c>
      <c r="I1519" s="3" t="str">
        <f aca="false">Raw_Data!H1519</f>
        <v>no</v>
      </c>
      <c r="J1519" s="2" t="n">
        <f aca="false">IF(F1519="yes",1,0)</f>
        <v>0</v>
      </c>
      <c r="K1519" s="2" t="n">
        <f aca="false">IF(H1519="yes",1,0)</f>
        <v>0</v>
      </c>
      <c r="L1519" s="2" t="n">
        <f aca="false">IF(I1519="yes",1,0)</f>
        <v>0</v>
      </c>
      <c r="M1519" s="2" t="n">
        <f aca="false">IF(G1519&lt;0,1,0)</f>
        <v>0</v>
      </c>
      <c r="N1519" s="2" t="str">
        <f aca="false">_xlfn.IFS(B1519&lt;30,"Under 30",B1519&lt;40,"30-39",B1519&lt;50,"40-49",B1519&lt;60,"50-59",TRUE(),"60+")</f>
        <v>50-59</v>
      </c>
      <c r="O1519" s="2" t="str">
        <f aca="false">_xlfn.IFS(G1519&lt;0,"1 Negative",G1519=0,"2 Zero",G1519&lt;=500,"3 1-500",G1519&lt;=2000,"4 501-2000",TRUE(),"5 Above 2000")</f>
        <v>3 1-500</v>
      </c>
      <c r="P1519" s="2" t="n">
        <f aca="false">Lookups!$B$2*M1519+Lookups!$B$3*L1519</f>
        <v>0</v>
      </c>
      <c r="Q1519" s="2" t="str">
        <f aca="false">INDEX(Lookups!$E$2:$E$5,MATCH(P1519,Lookups!$D$2:$D$5,0))</f>
        <v>Low</v>
      </c>
    </row>
    <row r="1520" customFormat="false" ht="15" hidden="false" customHeight="false" outlineLevel="0" collapsed="false">
      <c r="A1520" s="3" t="n">
        <v>1519</v>
      </c>
      <c r="B1520" s="3" t="n">
        <f aca="false">Raw_Data!A1520</f>
        <v>32</v>
      </c>
      <c r="C1520" s="3" t="str">
        <f aca="false">SUBSTITUTE(Raw_Data!B1520,".","")</f>
        <v>technician</v>
      </c>
      <c r="D1520" s="3" t="str">
        <f aca="false">Raw_Data!C1520</f>
        <v>married</v>
      </c>
      <c r="E1520" s="3" t="str">
        <f aca="false">Raw_Data!D1520</f>
        <v>secondary</v>
      </c>
      <c r="F1520" s="3" t="str">
        <f aca="false">Raw_Data!E1520</f>
        <v>no</v>
      </c>
      <c r="G1520" s="3" t="n">
        <f aca="false">Raw_Data!F1520</f>
        <v>286</v>
      </c>
      <c r="H1520" s="3" t="str">
        <f aca="false">Raw_Data!G1520</f>
        <v>no</v>
      </c>
      <c r="I1520" s="3" t="str">
        <f aca="false">Raw_Data!H1520</f>
        <v>no</v>
      </c>
      <c r="J1520" s="2" t="n">
        <f aca="false">IF(F1520="yes",1,0)</f>
        <v>0</v>
      </c>
      <c r="K1520" s="2" t="n">
        <f aca="false">IF(H1520="yes",1,0)</f>
        <v>0</v>
      </c>
      <c r="L1520" s="2" t="n">
        <f aca="false">IF(I1520="yes",1,0)</f>
        <v>0</v>
      </c>
      <c r="M1520" s="2" t="n">
        <f aca="false">IF(G1520&lt;0,1,0)</f>
        <v>0</v>
      </c>
      <c r="N1520" s="2" t="str">
        <f aca="false">_xlfn.IFS(B1520&lt;30,"Under 30",B1520&lt;40,"30-39",B1520&lt;50,"40-49",B1520&lt;60,"50-59",TRUE(),"60+")</f>
        <v>30-39</v>
      </c>
      <c r="O1520" s="2" t="str">
        <f aca="false">_xlfn.IFS(G1520&lt;0,"1 Negative",G1520=0,"2 Zero",G1520&lt;=500,"3 1-500",G1520&lt;=2000,"4 501-2000",TRUE(),"5 Above 2000")</f>
        <v>3 1-500</v>
      </c>
      <c r="P1520" s="2" t="n">
        <f aca="false">Lookups!$B$2*M1520+Lookups!$B$3*L1520</f>
        <v>0</v>
      </c>
      <c r="Q1520" s="2" t="str">
        <f aca="false">INDEX(Lookups!$E$2:$E$5,MATCH(P1520,Lookups!$D$2:$D$5,0))</f>
        <v>Low</v>
      </c>
    </row>
    <row r="1521" customFormat="false" ht="15" hidden="false" customHeight="false" outlineLevel="0" collapsed="false">
      <c r="A1521" s="3" t="n">
        <v>1520</v>
      </c>
      <c r="B1521" s="3" t="n">
        <f aca="false">Raw_Data!A1521</f>
        <v>49</v>
      </c>
      <c r="C1521" s="3" t="str">
        <f aca="false">SUBSTITUTE(Raw_Data!B1521,".","")</f>
        <v>unemployed</v>
      </c>
      <c r="D1521" s="3" t="str">
        <f aca="false">Raw_Data!C1521</f>
        <v>married</v>
      </c>
      <c r="E1521" s="3" t="str">
        <f aca="false">Raw_Data!D1521</f>
        <v>secondary</v>
      </c>
      <c r="F1521" s="3" t="str">
        <f aca="false">Raw_Data!E1521</f>
        <v>no</v>
      </c>
      <c r="G1521" s="3" t="n">
        <f aca="false">Raw_Data!F1521</f>
        <v>769</v>
      </c>
      <c r="H1521" s="3" t="str">
        <f aca="false">Raw_Data!G1521</f>
        <v>yes</v>
      </c>
      <c r="I1521" s="3" t="str">
        <f aca="false">Raw_Data!H1521</f>
        <v>no</v>
      </c>
      <c r="J1521" s="2" t="n">
        <f aca="false">IF(F1521="yes",1,0)</f>
        <v>0</v>
      </c>
      <c r="K1521" s="2" t="n">
        <f aca="false">IF(H1521="yes",1,0)</f>
        <v>1</v>
      </c>
      <c r="L1521" s="2" t="n">
        <f aca="false">IF(I1521="yes",1,0)</f>
        <v>0</v>
      </c>
      <c r="M1521" s="2" t="n">
        <f aca="false">IF(G1521&lt;0,1,0)</f>
        <v>0</v>
      </c>
      <c r="N1521" s="2" t="str">
        <f aca="false">_xlfn.IFS(B1521&lt;30,"Under 30",B1521&lt;40,"30-39",B1521&lt;50,"40-49",B1521&lt;60,"50-59",TRUE(),"60+")</f>
        <v>40-49</v>
      </c>
      <c r="O1521" s="2" t="str">
        <f aca="false">_xlfn.IFS(G1521&lt;0,"1 Negative",G1521=0,"2 Zero",G1521&lt;=500,"3 1-500",G1521&lt;=2000,"4 501-2000",TRUE(),"5 Above 2000")</f>
        <v>4 501-2000</v>
      </c>
      <c r="P1521" s="2" t="n">
        <f aca="false">Lookups!$B$2*M1521+Lookups!$B$3*L1521</f>
        <v>0</v>
      </c>
      <c r="Q1521" s="2" t="str">
        <f aca="false">INDEX(Lookups!$E$2:$E$5,MATCH(P1521,Lookups!$D$2:$D$5,0))</f>
        <v>Low</v>
      </c>
    </row>
    <row r="1522" customFormat="false" ht="15" hidden="false" customHeight="false" outlineLevel="0" collapsed="false">
      <c r="A1522" s="3" t="n">
        <v>1521</v>
      </c>
      <c r="B1522" s="3" t="n">
        <f aca="false">Raw_Data!A1522</f>
        <v>35</v>
      </c>
      <c r="C1522" s="3" t="str">
        <f aca="false">SUBSTITUTE(Raw_Data!B1522,".","")</f>
        <v>management</v>
      </c>
      <c r="D1522" s="3" t="str">
        <f aca="false">Raw_Data!C1522</f>
        <v>married</v>
      </c>
      <c r="E1522" s="3" t="str">
        <f aca="false">Raw_Data!D1522</f>
        <v>tertiary</v>
      </c>
      <c r="F1522" s="3" t="str">
        <f aca="false">Raw_Data!E1522</f>
        <v>no</v>
      </c>
      <c r="G1522" s="3" t="n">
        <f aca="false">Raw_Data!F1522</f>
        <v>93</v>
      </c>
      <c r="H1522" s="3" t="str">
        <f aca="false">Raw_Data!G1522</f>
        <v>no</v>
      </c>
      <c r="I1522" s="3" t="str">
        <f aca="false">Raw_Data!H1522</f>
        <v>no</v>
      </c>
      <c r="J1522" s="2" t="n">
        <f aca="false">IF(F1522="yes",1,0)</f>
        <v>0</v>
      </c>
      <c r="K1522" s="2" t="n">
        <f aca="false">IF(H1522="yes",1,0)</f>
        <v>0</v>
      </c>
      <c r="L1522" s="2" t="n">
        <f aca="false">IF(I1522="yes",1,0)</f>
        <v>0</v>
      </c>
      <c r="M1522" s="2" t="n">
        <f aca="false">IF(G1522&lt;0,1,0)</f>
        <v>0</v>
      </c>
      <c r="N1522" s="2" t="str">
        <f aca="false">_xlfn.IFS(B1522&lt;30,"Under 30",B1522&lt;40,"30-39",B1522&lt;50,"40-49",B1522&lt;60,"50-59",TRUE(),"60+")</f>
        <v>30-39</v>
      </c>
      <c r="O1522" s="2" t="str">
        <f aca="false">_xlfn.IFS(G1522&lt;0,"1 Negative",G1522=0,"2 Zero",G1522&lt;=500,"3 1-500",G1522&lt;=2000,"4 501-2000",TRUE(),"5 Above 2000")</f>
        <v>3 1-500</v>
      </c>
      <c r="P1522" s="2" t="n">
        <f aca="false">Lookups!$B$2*M1522+Lookups!$B$3*L1522</f>
        <v>0</v>
      </c>
      <c r="Q1522" s="2" t="str">
        <f aca="false">INDEX(Lookups!$E$2:$E$5,MATCH(P1522,Lookups!$D$2:$D$5,0))</f>
        <v>Low</v>
      </c>
    </row>
    <row r="1523" customFormat="false" ht="15" hidden="false" customHeight="false" outlineLevel="0" collapsed="false">
      <c r="A1523" s="3" t="n">
        <v>1522</v>
      </c>
      <c r="B1523" s="3" t="n">
        <f aca="false">Raw_Data!A1523</f>
        <v>38</v>
      </c>
      <c r="C1523" s="3" t="str">
        <f aca="false">SUBSTITUTE(Raw_Data!B1523,".","")</f>
        <v>blue-collar</v>
      </c>
      <c r="D1523" s="3" t="str">
        <f aca="false">Raw_Data!C1523</f>
        <v>married</v>
      </c>
      <c r="E1523" s="3" t="str">
        <f aca="false">Raw_Data!D1523</f>
        <v>secondary</v>
      </c>
      <c r="F1523" s="3" t="str">
        <f aca="false">Raw_Data!E1523</f>
        <v>no</v>
      </c>
      <c r="G1523" s="3" t="n">
        <f aca="false">Raw_Data!F1523</f>
        <v>1663</v>
      </c>
      <c r="H1523" s="3" t="str">
        <f aca="false">Raw_Data!G1523</f>
        <v>yes</v>
      </c>
      <c r="I1523" s="3" t="str">
        <f aca="false">Raw_Data!H1523</f>
        <v>no</v>
      </c>
      <c r="J1523" s="2" t="n">
        <f aca="false">IF(F1523="yes",1,0)</f>
        <v>0</v>
      </c>
      <c r="K1523" s="2" t="n">
        <f aca="false">IF(H1523="yes",1,0)</f>
        <v>1</v>
      </c>
      <c r="L1523" s="2" t="n">
        <f aca="false">IF(I1523="yes",1,0)</f>
        <v>0</v>
      </c>
      <c r="M1523" s="2" t="n">
        <f aca="false">IF(G1523&lt;0,1,0)</f>
        <v>0</v>
      </c>
      <c r="N1523" s="2" t="str">
        <f aca="false">_xlfn.IFS(B1523&lt;30,"Under 30",B1523&lt;40,"30-39",B1523&lt;50,"40-49",B1523&lt;60,"50-59",TRUE(),"60+")</f>
        <v>30-39</v>
      </c>
      <c r="O1523" s="2" t="str">
        <f aca="false">_xlfn.IFS(G1523&lt;0,"1 Negative",G1523=0,"2 Zero",G1523&lt;=500,"3 1-500",G1523&lt;=2000,"4 501-2000",TRUE(),"5 Above 2000")</f>
        <v>4 501-2000</v>
      </c>
      <c r="P1523" s="2" t="n">
        <f aca="false">Lookups!$B$2*M1523+Lookups!$B$3*L1523</f>
        <v>0</v>
      </c>
      <c r="Q1523" s="2" t="str">
        <f aca="false">INDEX(Lookups!$E$2:$E$5,MATCH(P1523,Lookups!$D$2:$D$5,0))</f>
        <v>Low</v>
      </c>
    </row>
    <row r="1524" customFormat="false" ht="15" hidden="false" customHeight="false" outlineLevel="0" collapsed="false">
      <c r="A1524" s="3" t="n">
        <v>1523</v>
      </c>
      <c r="B1524" s="3" t="n">
        <f aca="false">Raw_Data!A1524</f>
        <v>39</v>
      </c>
      <c r="C1524" s="3" t="str">
        <f aca="false">SUBSTITUTE(Raw_Data!B1524,".","")</f>
        <v>entrepreneur</v>
      </c>
      <c r="D1524" s="3" t="str">
        <f aca="false">Raw_Data!C1524</f>
        <v>married</v>
      </c>
      <c r="E1524" s="3" t="str">
        <f aca="false">Raw_Data!D1524</f>
        <v>primary</v>
      </c>
      <c r="F1524" s="3" t="str">
        <f aca="false">Raw_Data!E1524</f>
        <v>no</v>
      </c>
      <c r="G1524" s="3" t="n">
        <f aca="false">Raw_Data!F1524</f>
        <v>238</v>
      </c>
      <c r="H1524" s="3" t="str">
        <f aca="false">Raw_Data!G1524</f>
        <v>yes</v>
      </c>
      <c r="I1524" s="3" t="str">
        <f aca="false">Raw_Data!H1524</f>
        <v>yes</v>
      </c>
      <c r="J1524" s="2" t="n">
        <f aca="false">IF(F1524="yes",1,0)</f>
        <v>0</v>
      </c>
      <c r="K1524" s="2" t="n">
        <f aca="false">IF(H1524="yes",1,0)</f>
        <v>1</v>
      </c>
      <c r="L1524" s="2" t="n">
        <f aca="false">IF(I1524="yes",1,0)</f>
        <v>1</v>
      </c>
      <c r="M1524" s="2" t="n">
        <f aca="false">IF(G1524&lt;0,1,0)</f>
        <v>0</v>
      </c>
      <c r="N1524" s="2" t="str">
        <f aca="false">_xlfn.IFS(B1524&lt;30,"Under 30",B1524&lt;40,"30-39",B1524&lt;50,"40-49",B1524&lt;60,"50-59",TRUE(),"60+")</f>
        <v>30-39</v>
      </c>
      <c r="O1524" s="2" t="str">
        <f aca="false">_xlfn.IFS(G1524&lt;0,"1 Negative",G1524=0,"2 Zero",G1524&lt;=500,"3 1-500",G1524&lt;=2000,"4 501-2000",TRUE(),"5 Above 2000")</f>
        <v>3 1-500</v>
      </c>
      <c r="P1524" s="2" t="n">
        <f aca="false">Lookups!$B$2*M1524+Lookups!$B$3*L1524</f>
        <v>1</v>
      </c>
      <c r="Q1524" s="2" t="str">
        <f aca="false">INDEX(Lookups!$E$2:$E$5,MATCH(P1524,Lookups!$D$2:$D$5,0))</f>
        <v>Medium</v>
      </c>
    </row>
    <row r="1525" customFormat="false" ht="15" hidden="false" customHeight="false" outlineLevel="0" collapsed="false">
      <c r="A1525" s="3" t="n">
        <v>1524</v>
      </c>
      <c r="B1525" s="3" t="n">
        <f aca="false">Raw_Data!A1525</f>
        <v>34</v>
      </c>
      <c r="C1525" s="3" t="str">
        <f aca="false">SUBSTITUTE(Raw_Data!B1525,".","")</f>
        <v>technician</v>
      </c>
      <c r="D1525" s="3" t="str">
        <f aca="false">Raw_Data!C1525</f>
        <v>single</v>
      </c>
      <c r="E1525" s="3" t="str">
        <f aca="false">Raw_Data!D1525</f>
        <v>secondary</v>
      </c>
      <c r="F1525" s="3" t="str">
        <f aca="false">Raw_Data!E1525</f>
        <v>no</v>
      </c>
      <c r="G1525" s="3" t="n">
        <f aca="false">Raw_Data!F1525</f>
        <v>2178</v>
      </c>
      <c r="H1525" s="3" t="str">
        <f aca="false">Raw_Data!G1525</f>
        <v>yes</v>
      </c>
      <c r="I1525" s="3" t="str">
        <f aca="false">Raw_Data!H1525</f>
        <v>no</v>
      </c>
      <c r="J1525" s="2" t="n">
        <f aca="false">IF(F1525="yes",1,0)</f>
        <v>0</v>
      </c>
      <c r="K1525" s="2" t="n">
        <f aca="false">IF(H1525="yes",1,0)</f>
        <v>1</v>
      </c>
      <c r="L1525" s="2" t="n">
        <f aca="false">IF(I1525="yes",1,0)</f>
        <v>0</v>
      </c>
      <c r="M1525" s="2" t="n">
        <f aca="false">IF(G1525&lt;0,1,0)</f>
        <v>0</v>
      </c>
      <c r="N1525" s="2" t="str">
        <f aca="false">_xlfn.IFS(B1525&lt;30,"Under 30",B1525&lt;40,"30-39",B1525&lt;50,"40-49",B1525&lt;60,"50-59",TRUE(),"60+")</f>
        <v>30-39</v>
      </c>
      <c r="O1525" s="2" t="str">
        <f aca="false">_xlfn.IFS(G1525&lt;0,"1 Negative",G1525=0,"2 Zero",G1525&lt;=500,"3 1-500",G1525&lt;=2000,"4 501-2000",TRUE(),"5 Above 2000")</f>
        <v>5 Above 2000</v>
      </c>
      <c r="P1525" s="2" t="n">
        <f aca="false">Lookups!$B$2*M1525+Lookups!$B$3*L1525</f>
        <v>0</v>
      </c>
      <c r="Q1525" s="2" t="str">
        <f aca="false">INDEX(Lookups!$E$2:$E$5,MATCH(P1525,Lookups!$D$2:$D$5,0))</f>
        <v>Low</v>
      </c>
    </row>
    <row r="1526" customFormat="false" ht="15" hidden="false" customHeight="false" outlineLevel="0" collapsed="false">
      <c r="A1526" s="3" t="n">
        <v>1525</v>
      </c>
      <c r="B1526" s="3" t="n">
        <f aca="false">Raw_Data!A1526</f>
        <v>42</v>
      </c>
      <c r="C1526" s="3" t="str">
        <f aca="false">SUBSTITUTE(Raw_Data!B1526,".","")</f>
        <v>blue-collar</v>
      </c>
      <c r="D1526" s="3" t="str">
        <f aca="false">Raw_Data!C1526</f>
        <v>married</v>
      </c>
      <c r="E1526" s="3" t="str">
        <f aca="false">Raw_Data!D1526</f>
        <v>primary</v>
      </c>
      <c r="F1526" s="3" t="str">
        <f aca="false">Raw_Data!E1526</f>
        <v>no</v>
      </c>
      <c r="G1526" s="3" t="n">
        <f aca="false">Raw_Data!F1526</f>
        <v>792</v>
      </c>
      <c r="H1526" s="3" t="str">
        <f aca="false">Raw_Data!G1526</f>
        <v>yes</v>
      </c>
      <c r="I1526" s="3" t="str">
        <f aca="false">Raw_Data!H1526</f>
        <v>yes</v>
      </c>
      <c r="J1526" s="2" t="n">
        <f aca="false">IF(F1526="yes",1,0)</f>
        <v>0</v>
      </c>
      <c r="K1526" s="2" t="n">
        <f aca="false">IF(H1526="yes",1,0)</f>
        <v>1</v>
      </c>
      <c r="L1526" s="2" t="n">
        <f aca="false">IF(I1526="yes",1,0)</f>
        <v>1</v>
      </c>
      <c r="M1526" s="2" t="n">
        <f aca="false">IF(G1526&lt;0,1,0)</f>
        <v>0</v>
      </c>
      <c r="N1526" s="2" t="str">
        <f aca="false">_xlfn.IFS(B1526&lt;30,"Under 30",B1526&lt;40,"30-39",B1526&lt;50,"40-49",B1526&lt;60,"50-59",TRUE(),"60+")</f>
        <v>40-49</v>
      </c>
      <c r="O1526" s="2" t="str">
        <f aca="false">_xlfn.IFS(G1526&lt;0,"1 Negative",G1526=0,"2 Zero",G1526&lt;=500,"3 1-500",G1526&lt;=2000,"4 501-2000",TRUE(),"5 Above 2000")</f>
        <v>4 501-2000</v>
      </c>
      <c r="P1526" s="2" t="n">
        <f aca="false">Lookups!$B$2*M1526+Lookups!$B$3*L1526</f>
        <v>1</v>
      </c>
      <c r="Q1526" s="2" t="str">
        <f aca="false">INDEX(Lookups!$E$2:$E$5,MATCH(P1526,Lookups!$D$2:$D$5,0))</f>
        <v>Medium</v>
      </c>
    </row>
    <row r="1527" customFormat="false" ht="15" hidden="false" customHeight="false" outlineLevel="0" collapsed="false">
      <c r="A1527" s="3" t="n">
        <v>1526</v>
      </c>
      <c r="B1527" s="3" t="n">
        <f aca="false">Raw_Data!A1527</f>
        <v>35</v>
      </c>
      <c r="C1527" s="3" t="str">
        <f aca="false">SUBSTITUTE(Raw_Data!B1527,".","")</f>
        <v>blue-collar</v>
      </c>
      <c r="D1527" s="3" t="str">
        <f aca="false">Raw_Data!C1527</f>
        <v>single</v>
      </c>
      <c r="E1527" s="3" t="str">
        <f aca="false">Raw_Data!D1527</f>
        <v>unknown</v>
      </c>
      <c r="F1527" s="3" t="str">
        <f aca="false">Raw_Data!E1527</f>
        <v>no</v>
      </c>
      <c r="G1527" s="3" t="n">
        <f aca="false">Raw_Data!F1527</f>
        <v>871</v>
      </c>
      <c r="H1527" s="3" t="str">
        <f aca="false">Raw_Data!G1527</f>
        <v>yes</v>
      </c>
      <c r="I1527" s="3" t="str">
        <f aca="false">Raw_Data!H1527</f>
        <v>no</v>
      </c>
      <c r="J1527" s="2" t="n">
        <f aca="false">IF(F1527="yes",1,0)</f>
        <v>0</v>
      </c>
      <c r="K1527" s="2" t="n">
        <f aca="false">IF(H1527="yes",1,0)</f>
        <v>1</v>
      </c>
      <c r="L1527" s="2" t="n">
        <f aca="false">IF(I1527="yes",1,0)</f>
        <v>0</v>
      </c>
      <c r="M1527" s="2" t="n">
        <f aca="false">IF(G1527&lt;0,1,0)</f>
        <v>0</v>
      </c>
      <c r="N1527" s="2" t="str">
        <f aca="false">_xlfn.IFS(B1527&lt;30,"Under 30",B1527&lt;40,"30-39",B1527&lt;50,"40-49",B1527&lt;60,"50-59",TRUE(),"60+")</f>
        <v>30-39</v>
      </c>
      <c r="O1527" s="2" t="str">
        <f aca="false">_xlfn.IFS(G1527&lt;0,"1 Negative",G1527=0,"2 Zero",G1527&lt;=500,"3 1-500",G1527&lt;=2000,"4 501-2000",TRUE(),"5 Above 2000")</f>
        <v>4 501-2000</v>
      </c>
      <c r="P1527" s="2" t="n">
        <f aca="false">Lookups!$B$2*M1527+Lookups!$B$3*L1527</f>
        <v>0</v>
      </c>
      <c r="Q1527" s="2" t="str">
        <f aca="false">INDEX(Lookups!$E$2:$E$5,MATCH(P1527,Lookups!$D$2:$D$5,0))</f>
        <v>Low</v>
      </c>
    </row>
    <row r="1528" customFormat="false" ht="15" hidden="false" customHeight="false" outlineLevel="0" collapsed="false">
      <c r="A1528" s="3" t="n">
        <v>1527</v>
      </c>
      <c r="B1528" s="3" t="n">
        <f aca="false">Raw_Data!A1528</f>
        <v>60</v>
      </c>
      <c r="C1528" s="3" t="str">
        <f aca="false">SUBSTITUTE(Raw_Data!B1528,".","")</f>
        <v>admin</v>
      </c>
      <c r="D1528" s="3" t="str">
        <f aca="false">Raw_Data!C1528</f>
        <v>married</v>
      </c>
      <c r="E1528" s="3" t="str">
        <f aca="false">Raw_Data!D1528</f>
        <v>secondary</v>
      </c>
      <c r="F1528" s="3" t="str">
        <f aca="false">Raw_Data!E1528</f>
        <v>no</v>
      </c>
      <c r="G1528" s="3" t="n">
        <f aca="false">Raw_Data!F1528</f>
        <v>1025</v>
      </c>
      <c r="H1528" s="3" t="str">
        <f aca="false">Raw_Data!G1528</f>
        <v>no</v>
      </c>
      <c r="I1528" s="3" t="str">
        <f aca="false">Raw_Data!H1528</f>
        <v>no</v>
      </c>
      <c r="J1528" s="2" t="n">
        <f aca="false">IF(F1528="yes",1,0)</f>
        <v>0</v>
      </c>
      <c r="K1528" s="2" t="n">
        <f aca="false">IF(H1528="yes",1,0)</f>
        <v>0</v>
      </c>
      <c r="L1528" s="2" t="n">
        <f aca="false">IF(I1528="yes",1,0)</f>
        <v>0</v>
      </c>
      <c r="M1528" s="2" t="n">
        <f aca="false">IF(G1528&lt;0,1,0)</f>
        <v>0</v>
      </c>
      <c r="N1528" s="2" t="str">
        <f aca="false">_xlfn.IFS(B1528&lt;30,"Under 30",B1528&lt;40,"30-39",B1528&lt;50,"40-49",B1528&lt;60,"50-59",TRUE(),"60+")</f>
        <v>60+</v>
      </c>
      <c r="O1528" s="2" t="str">
        <f aca="false">_xlfn.IFS(G1528&lt;0,"1 Negative",G1528=0,"2 Zero",G1528&lt;=500,"3 1-500",G1528&lt;=2000,"4 501-2000",TRUE(),"5 Above 2000")</f>
        <v>4 501-2000</v>
      </c>
      <c r="P1528" s="2" t="n">
        <f aca="false">Lookups!$B$2*M1528+Lookups!$B$3*L1528</f>
        <v>0</v>
      </c>
      <c r="Q1528" s="2" t="str">
        <f aca="false">INDEX(Lookups!$E$2:$E$5,MATCH(P1528,Lookups!$D$2:$D$5,0))</f>
        <v>Low</v>
      </c>
    </row>
    <row r="1529" customFormat="false" ht="15" hidden="false" customHeight="false" outlineLevel="0" collapsed="false">
      <c r="A1529" s="3" t="n">
        <v>1528</v>
      </c>
      <c r="B1529" s="3" t="n">
        <f aca="false">Raw_Data!A1529</f>
        <v>57</v>
      </c>
      <c r="C1529" s="3" t="str">
        <f aca="false">SUBSTITUTE(Raw_Data!B1529,".","")</f>
        <v>technician</v>
      </c>
      <c r="D1529" s="3" t="str">
        <f aca="false">Raw_Data!C1529</f>
        <v>divorced</v>
      </c>
      <c r="E1529" s="3" t="str">
        <f aca="false">Raw_Data!D1529</f>
        <v>secondary</v>
      </c>
      <c r="F1529" s="3" t="str">
        <f aca="false">Raw_Data!E1529</f>
        <v>no</v>
      </c>
      <c r="G1529" s="3" t="n">
        <f aca="false">Raw_Data!F1529</f>
        <v>63</v>
      </c>
      <c r="H1529" s="3" t="str">
        <f aca="false">Raw_Data!G1529</f>
        <v>yes</v>
      </c>
      <c r="I1529" s="3" t="str">
        <f aca="false">Raw_Data!H1529</f>
        <v>no</v>
      </c>
      <c r="J1529" s="2" t="n">
        <f aca="false">IF(F1529="yes",1,0)</f>
        <v>0</v>
      </c>
      <c r="K1529" s="2" t="n">
        <f aca="false">IF(H1529="yes",1,0)</f>
        <v>1</v>
      </c>
      <c r="L1529" s="2" t="n">
        <f aca="false">IF(I1529="yes",1,0)</f>
        <v>0</v>
      </c>
      <c r="M1529" s="2" t="n">
        <f aca="false">IF(G1529&lt;0,1,0)</f>
        <v>0</v>
      </c>
      <c r="N1529" s="2" t="str">
        <f aca="false">_xlfn.IFS(B1529&lt;30,"Under 30",B1529&lt;40,"30-39",B1529&lt;50,"40-49",B1529&lt;60,"50-59",TRUE(),"60+")</f>
        <v>50-59</v>
      </c>
      <c r="O1529" s="2" t="str">
        <f aca="false">_xlfn.IFS(G1529&lt;0,"1 Negative",G1529=0,"2 Zero",G1529&lt;=500,"3 1-500",G1529&lt;=2000,"4 501-2000",TRUE(),"5 Above 2000")</f>
        <v>3 1-500</v>
      </c>
      <c r="P1529" s="2" t="n">
        <f aca="false">Lookups!$B$2*M1529+Lookups!$B$3*L1529</f>
        <v>0</v>
      </c>
      <c r="Q1529" s="2" t="str">
        <f aca="false">INDEX(Lookups!$E$2:$E$5,MATCH(P1529,Lookups!$D$2:$D$5,0))</f>
        <v>Low</v>
      </c>
    </row>
    <row r="1530" customFormat="false" ht="15" hidden="false" customHeight="false" outlineLevel="0" collapsed="false">
      <c r="A1530" s="3" t="n">
        <v>1529</v>
      </c>
      <c r="B1530" s="3" t="n">
        <f aca="false">Raw_Data!A1530</f>
        <v>31</v>
      </c>
      <c r="C1530" s="3" t="str">
        <f aca="false">SUBSTITUTE(Raw_Data!B1530,".","")</f>
        <v>blue-collar</v>
      </c>
      <c r="D1530" s="3" t="str">
        <f aca="false">Raw_Data!C1530</f>
        <v>single</v>
      </c>
      <c r="E1530" s="3" t="str">
        <f aca="false">Raw_Data!D1530</f>
        <v>secondary</v>
      </c>
      <c r="F1530" s="3" t="str">
        <f aca="false">Raw_Data!E1530</f>
        <v>no</v>
      </c>
      <c r="G1530" s="3" t="n">
        <f aca="false">Raw_Data!F1530</f>
        <v>16</v>
      </c>
      <c r="H1530" s="3" t="str">
        <f aca="false">Raw_Data!G1530</f>
        <v>no</v>
      </c>
      <c r="I1530" s="3" t="str">
        <f aca="false">Raw_Data!H1530</f>
        <v>no</v>
      </c>
      <c r="J1530" s="2" t="n">
        <f aca="false">IF(F1530="yes",1,0)</f>
        <v>0</v>
      </c>
      <c r="K1530" s="2" t="n">
        <f aca="false">IF(H1530="yes",1,0)</f>
        <v>0</v>
      </c>
      <c r="L1530" s="2" t="n">
        <f aca="false">IF(I1530="yes",1,0)</f>
        <v>0</v>
      </c>
      <c r="M1530" s="2" t="n">
        <f aca="false">IF(G1530&lt;0,1,0)</f>
        <v>0</v>
      </c>
      <c r="N1530" s="2" t="str">
        <f aca="false">_xlfn.IFS(B1530&lt;30,"Under 30",B1530&lt;40,"30-39",B1530&lt;50,"40-49",B1530&lt;60,"50-59",TRUE(),"60+")</f>
        <v>30-39</v>
      </c>
      <c r="O1530" s="2" t="str">
        <f aca="false">_xlfn.IFS(G1530&lt;0,"1 Negative",G1530=0,"2 Zero",G1530&lt;=500,"3 1-500",G1530&lt;=2000,"4 501-2000",TRUE(),"5 Above 2000")</f>
        <v>3 1-500</v>
      </c>
      <c r="P1530" s="2" t="n">
        <f aca="false">Lookups!$B$2*M1530+Lookups!$B$3*L1530</f>
        <v>0</v>
      </c>
      <c r="Q1530" s="2" t="str">
        <f aca="false">INDEX(Lookups!$E$2:$E$5,MATCH(P1530,Lookups!$D$2:$D$5,0))</f>
        <v>Low</v>
      </c>
    </row>
    <row r="1531" customFormat="false" ht="15" hidden="false" customHeight="false" outlineLevel="0" collapsed="false">
      <c r="A1531" s="3" t="n">
        <v>1530</v>
      </c>
      <c r="B1531" s="3" t="n">
        <f aca="false">Raw_Data!A1531</f>
        <v>29</v>
      </c>
      <c r="C1531" s="3" t="str">
        <f aca="false">SUBSTITUTE(Raw_Data!B1531,".","")</f>
        <v>management</v>
      </c>
      <c r="D1531" s="3" t="str">
        <f aca="false">Raw_Data!C1531</f>
        <v>single</v>
      </c>
      <c r="E1531" s="3" t="str">
        <f aca="false">Raw_Data!D1531</f>
        <v>secondary</v>
      </c>
      <c r="F1531" s="3" t="str">
        <f aca="false">Raw_Data!E1531</f>
        <v>no</v>
      </c>
      <c r="G1531" s="3" t="n">
        <f aca="false">Raw_Data!F1531</f>
        <v>417</v>
      </c>
      <c r="H1531" s="3" t="str">
        <f aca="false">Raw_Data!G1531</f>
        <v>no</v>
      </c>
      <c r="I1531" s="3" t="str">
        <f aca="false">Raw_Data!H1531</f>
        <v>no</v>
      </c>
      <c r="J1531" s="2" t="n">
        <f aca="false">IF(F1531="yes",1,0)</f>
        <v>0</v>
      </c>
      <c r="K1531" s="2" t="n">
        <f aca="false">IF(H1531="yes",1,0)</f>
        <v>0</v>
      </c>
      <c r="L1531" s="2" t="n">
        <f aca="false">IF(I1531="yes",1,0)</f>
        <v>0</v>
      </c>
      <c r="M1531" s="2" t="n">
        <f aca="false">IF(G1531&lt;0,1,0)</f>
        <v>0</v>
      </c>
      <c r="N1531" s="2" t="str">
        <f aca="false">_xlfn.IFS(B1531&lt;30,"Under 30",B1531&lt;40,"30-39",B1531&lt;50,"40-49",B1531&lt;60,"50-59",TRUE(),"60+")</f>
        <v>Under 30</v>
      </c>
      <c r="O1531" s="2" t="str">
        <f aca="false">_xlfn.IFS(G1531&lt;0,"1 Negative",G1531=0,"2 Zero",G1531&lt;=500,"3 1-500",G1531&lt;=2000,"4 501-2000",TRUE(),"5 Above 2000")</f>
        <v>3 1-500</v>
      </c>
      <c r="P1531" s="2" t="n">
        <f aca="false">Lookups!$B$2*M1531+Lookups!$B$3*L1531</f>
        <v>0</v>
      </c>
      <c r="Q1531" s="2" t="str">
        <f aca="false">INDEX(Lookups!$E$2:$E$5,MATCH(P1531,Lookups!$D$2:$D$5,0))</f>
        <v>Low</v>
      </c>
    </row>
    <row r="1532" customFormat="false" ht="15" hidden="false" customHeight="false" outlineLevel="0" collapsed="false">
      <c r="A1532" s="3" t="n">
        <v>1531</v>
      </c>
      <c r="B1532" s="3" t="n">
        <f aca="false">Raw_Data!A1532</f>
        <v>41</v>
      </c>
      <c r="C1532" s="3" t="str">
        <f aca="false">SUBSTITUTE(Raw_Data!B1532,".","")</f>
        <v>services</v>
      </c>
      <c r="D1532" s="3" t="str">
        <f aca="false">Raw_Data!C1532</f>
        <v>married</v>
      </c>
      <c r="E1532" s="3" t="str">
        <f aca="false">Raw_Data!D1532</f>
        <v>secondary</v>
      </c>
      <c r="F1532" s="3" t="str">
        <f aca="false">Raw_Data!E1532</f>
        <v>no</v>
      </c>
      <c r="G1532" s="3" t="n">
        <f aca="false">Raw_Data!F1532</f>
        <v>3992</v>
      </c>
      <c r="H1532" s="3" t="str">
        <f aca="false">Raw_Data!G1532</f>
        <v>yes</v>
      </c>
      <c r="I1532" s="3" t="str">
        <f aca="false">Raw_Data!H1532</f>
        <v>no</v>
      </c>
      <c r="J1532" s="2" t="n">
        <f aca="false">IF(F1532="yes",1,0)</f>
        <v>0</v>
      </c>
      <c r="K1532" s="2" t="n">
        <f aca="false">IF(H1532="yes",1,0)</f>
        <v>1</v>
      </c>
      <c r="L1532" s="2" t="n">
        <f aca="false">IF(I1532="yes",1,0)</f>
        <v>0</v>
      </c>
      <c r="M1532" s="2" t="n">
        <f aca="false">IF(G1532&lt;0,1,0)</f>
        <v>0</v>
      </c>
      <c r="N1532" s="2" t="str">
        <f aca="false">_xlfn.IFS(B1532&lt;30,"Under 30",B1532&lt;40,"30-39",B1532&lt;50,"40-49",B1532&lt;60,"50-59",TRUE(),"60+")</f>
        <v>40-49</v>
      </c>
      <c r="O1532" s="2" t="str">
        <f aca="false">_xlfn.IFS(G1532&lt;0,"1 Negative",G1532=0,"2 Zero",G1532&lt;=500,"3 1-500",G1532&lt;=2000,"4 501-2000",TRUE(),"5 Above 2000")</f>
        <v>5 Above 2000</v>
      </c>
      <c r="P1532" s="2" t="n">
        <f aca="false">Lookups!$B$2*M1532+Lookups!$B$3*L1532</f>
        <v>0</v>
      </c>
      <c r="Q1532" s="2" t="str">
        <f aca="false">INDEX(Lookups!$E$2:$E$5,MATCH(P1532,Lookups!$D$2:$D$5,0))</f>
        <v>Low</v>
      </c>
    </row>
    <row r="1533" customFormat="false" ht="15" hidden="false" customHeight="false" outlineLevel="0" collapsed="false">
      <c r="A1533" s="3" t="n">
        <v>1532</v>
      </c>
      <c r="B1533" s="3" t="n">
        <f aca="false">Raw_Data!A1533</f>
        <v>46</v>
      </c>
      <c r="C1533" s="3" t="str">
        <f aca="false">SUBSTITUTE(Raw_Data!B1533,".","")</f>
        <v>blue-collar</v>
      </c>
      <c r="D1533" s="3" t="str">
        <f aca="false">Raw_Data!C1533</f>
        <v>married</v>
      </c>
      <c r="E1533" s="3" t="str">
        <f aca="false">Raw_Data!D1533</f>
        <v>primary</v>
      </c>
      <c r="F1533" s="3" t="str">
        <f aca="false">Raw_Data!E1533</f>
        <v>no</v>
      </c>
      <c r="G1533" s="3" t="n">
        <f aca="false">Raw_Data!F1533</f>
        <v>2749</v>
      </c>
      <c r="H1533" s="3" t="str">
        <f aca="false">Raw_Data!G1533</f>
        <v>yes</v>
      </c>
      <c r="I1533" s="3" t="str">
        <f aca="false">Raw_Data!H1533</f>
        <v>no</v>
      </c>
      <c r="J1533" s="2" t="n">
        <f aca="false">IF(F1533="yes",1,0)</f>
        <v>0</v>
      </c>
      <c r="K1533" s="2" t="n">
        <f aca="false">IF(H1533="yes",1,0)</f>
        <v>1</v>
      </c>
      <c r="L1533" s="2" t="n">
        <f aca="false">IF(I1533="yes",1,0)</f>
        <v>0</v>
      </c>
      <c r="M1533" s="2" t="n">
        <f aca="false">IF(G1533&lt;0,1,0)</f>
        <v>0</v>
      </c>
      <c r="N1533" s="2" t="str">
        <f aca="false">_xlfn.IFS(B1533&lt;30,"Under 30",B1533&lt;40,"30-39",B1533&lt;50,"40-49",B1533&lt;60,"50-59",TRUE(),"60+")</f>
        <v>40-49</v>
      </c>
      <c r="O1533" s="2" t="str">
        <f aca="false">_xlfn.IFS(G1533&lt;0,"1 Negative",G1533=0,"2 Zero",G1533&lt;=500,"3 1-500",G1533&lt;=2000,"4 501-2000",TRUE(),"5 Above 2000")</f>
        <v>5 Above 2000</v>
      </c>
      <c r="P1533" s="2" t="n">
        <f aca="false">Lookups!$B$2*M1533+Lookups!$B$3*L1533</f>
        <v>0</v>
      </c>
      <c r="Q1533" s="2" t="str">
        <f aca="false">INDEX(Lookups!$E$2:$E$5,MATCH(P1533,Lookups!$D$2:$D$5,0))</f>
        <v>Low</v>
      </c>
    </row>
    <row r="1534" customFormat="false" ht="15" hidden="false" customHeight="false" outlineLevel="0" collapsed="false">
      <c r="A1534" s="3" t="n">
        <v>1533</v>
      </c>
      <c r="B1534" s="3" t="n">
        <f aca="false">Raw_Data!A1534</f>
        <v>33</v>
      </c>
      <c r="C1534" s="3" t="str">
        <f aca="false">SUBSTITUTE(Raw_Data!B1534,".","")</f>
        <v>technician</v>
      </c>
      <c r="D1534" s="3" t="str">
        <f aca="false">Raw_Data!C1534</f>
        <v>married</v>
      </c>
      <c r="E1534" s="3" t="str">
        <f aca="false">Raw_Data!D1534</f>
        <v>secondary</v>
      </c>
      <c r="F1534" s="3" t="str">
        <f aca="false">Raw_Data!E1534</f>
        <v>no</v>
      </c>
      <c r="G1534" s="3" t="n">
        <f aca="false">Raw_Data!F1534</f>
        <v>133</v>
      </c>
      <c r="H1534" s="3" t="str">
        <f aca="false">Raw_Data!G1534</f>
        <v>no</v>
      </c>
      <c r="I1534" s="3" t="str">
        <f aca="false">Raw_Data!H1534</f>
        <v>no</v>
      </c>
      <c r="J1534" s="2" t="n">
        <f aca="false">IF(F1534="yes",1,0)</f>
        <v>0</v>
      </c>
      <c r="K1534" s="2" t="n">
        <f aca="false">IF(H1534="yes",1,0)</f>
        <v>0</v>
      </c>
      <c r="L1534" s="2" t="n">
        <f aca="false">IF(I1534="yes",1,0)</f>
        <v>0</v>
      </c>
      <c r="M1534" s="2" t="n">
        <f aca="false">IF(G1534&lt;0,1,0)</f>
        <v>0</v>
      </c>
      <c r="N1534" s="2" t="str">
        <f aca="false">_xlfn.IFS(B1534&lt;30,"Under 30",B1534&lt;40,"30-39",B1534&lt;50,"40-49",B1534&lt;60,"50-59",TRUE(),"60+")</f>
        <v>30-39</v>
      </c>
      <c r="O1534" s="2" t="str">
        <f aca="false">_xlfn.IFS(G1534&lt;0,"1 Negative",G1534=0,"2 Zero",G1534&lt;=500,"3 1-500",G1534&lt;=2000,"4 501-2000",TRUE(),"5 Above 2000")</f>
        <v>3 1-500</v>
      </c>
      <c r="P1534" s="2" t="n">
        <f aca="false">Lookups!$B$2*M1534+Lookups!$B$3*L1534</f>
        <v>0</v>
      </c>
      <c r="Q1534" s="2" t="str">
        <f aca="false">INDEX(Lookups!$E$2:$E$5,MATCH(P1534,Lookups!$D$2:$D$5,0))</f>
        <v>Low</v>
      </c>
    </row>
    <row r="1535" customFormat="false" ht="15" hidden="false" customHeight="false" outlineLevel="0" collapsed="false">
      <c r="A1535" s="3" t="n">
        <v>1534</v>
      </c>
      <c r="B1535" s="3" t="n">
        <f aca="false">Raw_Data!A1535</f>
        <v>32</v>
      </c>
      <c r="C1535" s="3" t="str">
        <f aca="false">SUBSTITUTE(Raw_Data!B1535,".","")</f>
        <v>blue-collar</v>
      </c>
      <c r="D1535" s="3" t="str">
        <f aca="false">Raw_Data!C1535</f>
        <v>single</v>
      </c>
      <c r="E1535" s="3" t="str">
        <f aca="false">Raw_Data!D1535</f>
        <v>secondary</v>
      </c>
      <c r="F1535" s="3" t="str">
        <f aca="false">Raw_Data!E1535</f>
        <v>no</v>
      </c>
      <c r="G1535" s="3" t="n">
        <f aca="false">Raw_Data!F1535</f>
        <v>1721</v>
      </c>
      <c r="H1535" s="3" t="str">
        <f aca="false">Raw_Data!G1535</f>
        <v>yes</v>
      </c>
      <c r="I1535" s="3" t="str">
        <f aca="false">Raw_Data!H1535</f>
        <v>no</v>
      </c>
      <c r="J1535" s="2" t="n">
        <f aca="false">IF(F1535="yes",1,0)</f>
        <v>0</v>
      </c>
      <c r="K1535" s="2" t="n">
        <f aca="false">IF(H1535="yes",1,0)</f>
        <v>1</v>
      </c>
      <c r="L1535" s="2" t="n">
        <f aca="false">IF(I1535="yes",1,0)</f>
        <v>0</v>
      </c>
      <c r="M1535" s="2" t="n">
        <f aca="false">IF(G1535&lt;0,1,0)</f>
        <v>0</v>
      </c>
      <c r="N1535" s="2" t="str">
        <f aca="false">_xlfn.IFS(B1535&lt;30,"Under 30",B1535&lt;40,"30-39",B1535&lt;50,"40-49",B1535&lt;60,"50-59",TRUE(),"60+")</f>
        <v>30-39</v>
      </c>
      <c r="O1535" s="2" t="str">
        <f aca="false">_xlfn.IFS(G1535&lt;0,"1 Negative",G1535=0,"2 Zero",G1535&lt;=500,"3 1-500",G1535&lt;=2000,"4 501-2000",TRUE(),"5 Above 2000")</f>
        <v>4 501-2000</v>
      </c>
      <c r="P1535" s="2" t="n">
        <f aca="false">Lookups!$B$2*M1535+Lookups!$B$3*L1535</f>
        <v>0</v>
      </c>
      <c r="Q1535" s="2" t="str">
        <f aca="false">INDEX(Lookups!$E$2:$E$5,MATCH(P1535,Lookups!$D$2:$D$5,0))</f>
        <v>Low</v>
      </c>
    </row>
    <row r="1536" customFormat="false" ht="15" hidden="false" customHeight="false" outlineLevel="0" collapsed="false">
      <c r="A1536" s="3" t="n">
        <v>1535</v>
      </c>
      <c r="B1536" s="3" t="n">
        <f aca="false">Raw_Data!A1536</f>
        <v>54</v>
      </c>
      <c r="C1536" s="3" t="str">
        <f aca="false">SUBSTITUTE(Raw_Data!B1536,".","")</f>
        <v>management</v>
      </c>
      <c r="D1536" s="3" t="str">
        <f aca="false">Raw_Data!C1536</f>
        <v>divorced</v>
      </c>
      <c r="E1536" s="3" t="str">
        <f aca="false">Raw_Data!D1536</f>
        <v>tertiary</v>
      </c>
      <c r="F1536" s="3" t="str">
        <f aca="false">Raw_Data!E1536</f>
        <v>no</v>
      </c>
      <c r="G1536" s="3" t="n">
        <f aca="false">Raw_Data!F1536</f>
        <v>2171</v>
      </c>
      <c r="H1536" s="3" t="str">
        <f aca="false">Raw_Data!G1536</f>
        <v>yes</v>
      </c>
      <c r="I1536" s="3" t="str">
        <f aca="false">Raw_Data!H1536</f>
        <v>yes</v>
      </c>
      <c r="J1536" s="2" t="n">
        <f aca="false">IF(F1536="yes",1,0)</f>
        <v>0</v>
      </c>
      <c r="K1536" s="2" t="n">
        <f aca="false">IF(H1536="yes",1,0)</f>
        <v>1</v>
      </c>
      <c r="L1536" s="2" t="n">
        <f aca="false">IF(I1536="yes",1,0)</f>
        <v>1</v>
      </c>
      <c r="M1536" s="2" t="n">
        <f aca="false">IF(G1536&lt;0,1,0)</f>
        <v>0</v>
      </c>
      <c r="N1536" s="2" t="str">
        <f aca="false">_xlfn.IFS(B1536&lt;30,"Under 30",B1536&lt;40,"30-39",B1536&lt;50,"40-49",B1536&lt;60,"50-59",TRUE(),"60+")</f>
        <v>50-59</v>
      </c>
      <c r="O1536" s="2" t="str">
        <f aca="false">_xlfn.IFS(G1536&lt;0,"1 Negative",G1536=0,"2 Zero",G1536&lt;=500,"3 1-500",G1536&lt;=2000,"4 501-2000",TRUE(),"5 Above 2000")</f>
        <v>5 Above 2000</v>
      </c>
      <c r="P1536" s="2" t="n">
        <f aca="false">Lookups!$B$2*M1536+Lookups!$B$3*L1536</f>
        <v>1</v>
      </c>
      <c r="Q1536" s="2" t="str">
        <f aca="false">INDEX(Lookups!$E$2:$E$5,MATCH(P1536,Lookups!$D$2:$D$5,0))</f>
        <v>Medium</v>
      </c>
    </row>
    <row r="1537" customFormat="false" ht="15" hidden="false" customHeight="false" outlineLevel="0" collapsed="false">
      <c r="A1537" s="3" t="n">
        <v>1536</v>
      </c>
      <c r="B1537" s="3" t="n">
        <f aca="false">Raw_Data!A1537</f>
        <v>37</v>
      </c>
      <c r="C1537" s="3" t="str">
        <f aca="false">SUBSTITUTE(Raw_Data!B1537,".","")</f>
        <v>services</v>
      </c>
      <c r="D1537" s="3" t="str">
        <f aca="false">Raw_Data!C1537</f>
        <v>married</v>
      </c>
      <c r="E1537" s="3" t="str">
        <f aca="false">Raw_Data!D1537</f>
        <v>secondary</v>
      </c>
      <c r="F1537" s="3" t="str">
        <f aca="false">Raw_Data!E1537</f>
        <v>no</v>
      </c>
      <c r="G1537" s="3" t="n">
        <f aca="false">Raw_Data!F1537</f>
        <v>4760</v>
      </c>
      <c r="H1537" s="3" t="str">
        <f aca="false">Raw_Data!G1537</f>
        <v>yes</v>
      </c>
      <c r="I1537" s="3" t="str">
        <f aca="false">Raw_Data!H1537</f>
        <v>no</v>
      </c>
      <c r="J1537" s="2" t="n">
        <f aca="false">IF(F1537="yes",1,0)</f>
        <v>0</v>
      </c>
      <c r="K1537" s="2" t="n">
        <f aca="false">IF(H1537="yes",1,0)</f>
        <v>1</v>
      </c>
      <c r="L1537" s="2" t="n">
        <f aca="false">IF(I1537="yes",1,0)</f>
        <v>0</v>
      </c>
      <c r="M1537" s="2" t="n">
        <f aca="false">IF(G1537&lt;0,1,0)</f>
        <v>0</v>
      </c>
      <c r="N1537" s="2" t="str">
        <f aca="false">_xlfn.IFS(B1537&lt;30,"Under 30",B1537&lt;40,"30-39",B1537&lt;50,"40-49",B1537&lt;60,"50-59",TRUE(),"60+")</f>
        <v>30-39</v>
      </c>
      <c r="O1537" s="2" t="str">
        <f aca="false">_xlfn.IFS(G1537&lt;0,"1 Negative",G1537=0,"2 Zero",G1537&lt;=500,"3 1-500",G1537&lt;=2000,"4 501-2000",TRUE(),"5 Above 2000")</f>
        <v>5 Above 2000</v>
      </c>
      <c r="P1537" s="2" t="n">
        <f aca="false">Lookups!$B$2*M1537+Lookups!$B$3*L1537</f>
        <v>0</v>
      </c>
      <c r="Q1537" s="2" t="str">
        <f aca="false">INDEX(Lookups!$E$2:$E$5,MATCH(P1537,Lookups!$D$2:$D$5,0))</f>
        <v>Low</v>
      </c>
    </row>
    <row r="1538" customFormat="false" ht="15" hidden="false" customHeight="false" outlineLevel="0" collapsed="false">
      <c r="A1538" s="3" t="n">
        <v>1537</v>
      </c>
      <c r="B1538" s="3" t="n">
        <f aca="false">Raw_Data!A1538</f>
        <v>32</v>
      </c>
      <c r="C1538" s="3" t="str">
        <f aca="false">SUBSTITUTE(Raw_Data!B1538,".","")</f>
        <v>technician</v>
      </c>
      <c r="D1538" s="3" t="str">
        <f aca="false">Raw_Data!C1538</f>
        <v>single</v>
      </c>
      <c r="E1538" s="3" t="str">
        <f aca="false">Raw_Data!D1538</f>
        <v>secondary</v>
      </c>
      <c r="F1538" s="3" t="str">
        <f aca="false">Raw_Data!E1538</f>
        <v>no</v>
      </c>
      <c r="G1538" s="3" t="n">
        <f aca="false">Raw_Data!F1538</f>
        <v>2979</v>
      </c>
      <c r="H1538" s="3" t="str">
        <f aca="false">Raw_Data!G1538</f>
        <v>no</v>
      </c>
      <c r="I1538" s="3" t="str">
        <f aca="false">Raw_Data!H1538</f>
        <v>no</v>
      </c>
      <c r="J1538" s="2" t="n">
        <f aca="false">IF(F1538="yes",1,0)</f>
        <v>0</v>
      </c>
      <c r="K1538" s="2" t="n">
        <f aca="false">IF(H1538="yes",1,0)</f>
        <v>0</v>
      </c>
      <c r="L1538" s="2" t="n">
        <f aca="false">IF(I1538="yes",1,0)</f>
        <v>0</v>
      </c>
      <c r="M1538" s="2" t="n">
        <f aca="false">IF(G1538&lt;0,1,0)</f>
        <v>0</v>
      </c>
      <c r="N1538" s="2" t="str">
        <f aca="false">_xlfn.IFS(B1538&lt;30,"Under 30",B1538&lt;40,"30-39",B1538&lt;50,"40-49",B1538&lt;60,"50-59",TRUE(),"60+")</f>
        <v>30-39</v>
      </c>
      <c r="O1538" s="2" t="str">
        <f aca="false">_xlfn.IFS(G1538&lt;0,"1 Negative",G1538=0,"2 Zero",G1538&lt;=500,"3 1-500",G1538&lt;=2000,"4 501-2000",TRUE(),"5 Above 2000")</f>
        <v>5 Above 2000</v>
      </c>
      <c r="P1538" s="2" t="n">
        <f aca="false">Lookups!$B$2*M1538+Lookups!$B$3*L1538</f>
        <v>0</v>
      </c>
      <c r="Q1538" s="2" t="str">
        <f aca="false">INDEX(Lookups!$E$2:$E$5,MATCH(P1538,Lookups!$D$2:$D$5,0))</f>
        <v>Low</v>
      </c>
    </row>
    <row r="1539" customFormat="false" ht="15" hidden="false" customHeight="false" outlineLevel="0" collapsed="false">
      <c r="A1539" s="3" t="n">
        <v>1538</v>
      </c>
      <c r="B1539" s="3" t="n">
        <f aca="false">Raw_Data!A1539</f>
        <v>43</v>
      </c>
      <c r="C1539" s="3" t="str">
        <f aca="false">SUBSTITUTE(Raw_Data!B1539,".","")</f>
        <v>management</v>
      </c>
      <c r="D1539" s="3" t="str">
        <f aca="false">Raw_Data!C1539</f>
        <v>married</v>
      </c>
      <c r="E1539" s="3" t="str">
        <f aca="false">Raw_Data!D1539</f>
        <v>tertiary</v>
      </c>
      <c r="F1539" s="3" t="str">
        <f aca="false">Raw_Data!E1539</f>
        <v>no</v>
      </c>
      <c r="G1539" s="3" t="n">
        <f aca="false">Raw_Data!F1539</f>
        <v>690</v>
      </c>
      <c r="H1539" s="3" t="str">
        <f aca="false">Raw_Data!G1539</f>
        <v>yes</v>
      </c>
      <c r="I1539" s="3" t="str">
        <f aca="false">Raw_Data!H1539</f>
        <v>no</v>
      </c>
      <c r="J1539" s="2" t="n">
        <f aca="false">IF(F1539="yes",1,0)</f>
        <v>0</v>
      </c>
      <c r="K1539" s="2" t="n">
        <f aca="false">IF(H1539="yes",1,0)</f>
        <v>1</v>
      </c>
      <c r="L1539" s="2" t="n">
        <f aca="false">IF(I1539="yes",1,0)</f>
        <v>0</v>
      </c>
      <c r="M1539" s="2" t="n">
        <f aca="false">IF(G1539&lt;0,1,0)</f>
        <v>0</v>
      </c>
      <c r="N1539" s="2" t="str">
        <f aca="false">_xlfn.IFS(B1539&lt;30,"Under 30",B1539&lt;40,"30-39",B1539&lt;50,"40-49",B1539&lt;60,"50-59",TRUE(),"60+")</f>
        <v>40-49</v>
      </c>
      <c r="O1539" s="2" t="str">
        <f aca="false">_xlfn.IFS(G1539&lt;0,"1 Negative",G1539=0,"2 Zero",G1539&lt;=500,"3 1-500",G1539&lt;=2000,"4 501-2000",TRUE(),"5 Above 2000")</f>
        <v>4 501-2000</v>
      </c>
      <c r="P1539" s="2" t="n">
        <f aca="false">Lookups!$B$2*M1539+Lookups!$B$3*L1539</f>
        <v>0</v>
      </c>
      <c r="Q1539" s="2" t="str">
        <f aca="false">INDEX(Lookups!$E$2:$E$5,MATCH(P1539,Lookups!$D$2:$D$5,0))</f>
        <v>Low</v>
      </c>
    </row>
    <row r="1540" customFormat="false" ht="15" hidden="false" customHeight="false" outlineLevel="0" collapsed="false">
      <c r="A1540" s="3" t="n">
        <v>1539</v>
      </c>
      <c r="B1540" s="3" t="n">
        <f aca="false">Raw_Data!A1540</f>
        <v>50</v>
      </c>
      <c r="C1540" s="3" t="str">
        <f aca="false">SUBSTITUTE(Raw_Data!B1540,".","")</f>
        <v>blue-collar</v>
      </c>
      <c r="D1540" s="3" t="str">
        <f aca="false">Raw_Data!C1540</f>
        <v>divorced</v>
      </c>
      <c r="E1540" s="3" t="str">
        <f aca="false">Raw_Data!D1540</f>
        <v>secondary</v>
      </c>
      <c r="F1540" s="3" t="str">
        <f aca="false">Raw_Data!E1540</f>
        <v>no</v>
      </c>
      <c r="G1540" s="3" t="n">
        <f aca="false">Raw_Data!F1540</f>
        <v>203</v>
      </c>
      <c r="H1540" s="3" t="str">
        <f aca="false">Raw_Data!G1540</f>
        <v>yes</v>
      </c>
      <c r="I1540" s="3" t="str">
        <f aca="false">Raw_Data!H1540</f>
        <v>no</v>
      </c>
      <c r="J1540" s="2" t="n">
        <f aca="false">IF(F1540="yes",1,0)</f>
        <v>0</v>
      </c>
      <c r="K1540" s="2" t="n">
        <f aca="false">IF(H1540="yes",1,0)</f>
        <v>1</v>
      </c>
      <c r="L1540" s="2" t="n">
        <f aca="false">IF(I1540="yes",1,0)</f>
        <v>0</v>
      </c>
      <c r="M1540" s="2" t="n">
        <f aca="false">IF(G1540&lt;0,1,0)</f>
        <v>0</v>
      </c>
      <c r="N1540" s="2" t="str">
        <f aca="false">_xlfn.IFS(B1540&lt;30,"Under 30",B1540&lt;40,"30-39",B1540&lt;50,"40-49",B1540&lt;60,"50-59",TRUE(),"60+")</f>
        <v>50-59</v>
      </c>
      <c r="O1540" s="2" t="str">
        <f aca="false">_xlfn.IFS(G1540&lt;0,"1 Negative",G1540=0,"2 Zero",G1540&lt;=500,"3 1-500",G1540&lt;=2000,"4 501-2000",TRUE(),"5 Above 2000")</f>
        <v>3 1-500</v>
      </c>
      <c r="P1540" s="2" t="n">
        <f aca="false">Lookups!$B$2*M1540+Lookups!$B$3*L1540</f>
        <v>0</v>
      </c>
      <c r="Q1540" s="2" t="str">
        <f aca="false">INDEX(Lookups!$E$2:$E$5,MATCH(P1540,Lookups!$D$2:$D$5,0))</f>
        <v>Low</v>
      </c>
    </row>
    <row r="1541" customFormat="false" ht="15" hidden="false" customHeight="false" outlineLevel="0" collapsed="false">
      <c r="A1541" s="3" t="n">
        <v>1540</v>
      </c>
      <c r="B1541" s="3" t="n">
        <f aca="false">Raw_Data!A1541</f>
        <v>34</v>
      </c>
      <c r="C1541" s="3" t="str">
        <f aca="false">SUBSTITUTE(Raw_Data!B1541,".","")</f>
        <v>blue-collar</v>
      </c>
      <c r="D1541" s="3" t="str">
        <f aca="false">Raw_Data!C1541</f>
        <v>married</v>
      </c>
      <c r="E1541" s="3" t="str">
        <f aca="false">Raw_Data!D1541</f>
        <v>secondary</v>
      </c>
      <c r="F1541" s="3" t="str">
        <f aca="false">Raw_Data!E1541</f>
        <v>no</v>
      </c>
      <c r="G1541" s="3" t="n">
        <f aca="false">Raw_Data!F1541</f>
        <v>322</v>
      </c>
      <c r="H1541" s="3" t="str">
        <f aca="false">Raw_Data!G1541</f>
        <v>yes</v>
      </c>
      <c r="I1541" s="3" t="str">
        <f aca="false">Raw_Data!H1541</f>
        <v>no</v>
      </c>
      <c r="J1541" s="2" t="n">
        <f aca="false">IF(F1541="yes",1,0)</f>
        <v>0</v>
      </c>
      <c r="K1541" s="2" t="n">
        <f aca="false">IF(H1541="yes",1,0)</f>
        <v>1</v>
      </c>
      <c r="L1541" s="2" t="n">
        <f aca="false">IF(I1541="yes",1,0)</f>
        <v>0</v>
      </c>
      <c r="M1541" s="2" t="n">
        <f aca="false">IF(G1541&lt;0,1,0)</f>
        <v>0</v>
      </c>
      <c r="N1541" s="2" t="str">
        <f aca="false">_xlfn.IFS(B1541&lt;30,"Under 30",B1541&lt;40,"30-39",B1541&lt;50,"40-49",B1541&lt;60,"50-59",TRUE(),"60+")</f>
        <v>30-39</v>
      </c>
      <c r="O1541" s="2" t="str">
        <f aca="false">_xlfn.IFS(G1541&lt;0,"1 Negative",G1541=0,"2 Zero",G1541&lt;=500,"3 1-500",G1541&lt;=2000,"4 501-2000",TRUE(),"5 Above 2000")</f>
        <v>3 1-500</v>
      </c>
      <c r="P1541" s="2" t="n">
        <f aca="false">Lookups!$B$2*M1541+Lookups!$B$3*L1541</f>
        <v>0</v>
      </c>
      <c r="Q1541" s="2" t="str">
        <f aca="false">INDEX(Lookups!$E$2:$E$5,MATCH(P1541,Lookups!$D$2:$D$5,0))</f>
        <v>Low</v>
      </c>
    </row>
    <row r="1542" customFormat="false" ht="15" hidden="false" customHeight="false" outlineLevel="0" collapsed="false">
      <c r="A1542" s="3" t="n">
        <v>1541</v>
      </c>
      <c r="B1542" s="3" t="n">
        <f aca="false">Raw_Data!A1542</f>
        <v>31</v>
      </c>
      <c r="C1542" s="3" t="str">
        <f aca="false">SUBSTITUTE(Raw_Data!B1542,".","")</f>
        <v>admin</v>
      </c>
      <c r="D1542" s="3" t="str">
        <f aca="false">Raw_Data!C1542</f>
        <v>divorced</v>
      </c>
      <c r="E1542" s="3" t="str">
        <f aca="false">Raw_Data!D1542</f>
        <v>secondary</v>
      </c>
      <c r="F1542" s="3" t="str">
        <f aca="false">Raw_Data!E1542</f>
        <v>no</v>
      </c>
      <c r="G1542" s="3" t="n">
        <f aca="false">Raw_Data!F1542</f>
        <v>1210</v>
      </c>
      <c r="H1542" s="3" t="str">
        <f aca="false">Raw_Data!G1542</f>
        <v>no</v>
      </c>
      <c r="I1542" s="3" t="str">
        <f aca="false">Raw_Data!H1542</f>
        <v>no</v>
      </c>
      <c r="J1542" s="2" t="n">
        <f aca="false">IF(F1542="yes",1,0)</f>
        <v>0</v>
      </c>
      <c r="K1542" s="2" t="n">
        <f aca="false">IF(H1542="yes",1,0)</f>
        <v>0</v>
      </c>
      <c r="L1542" s="2" t="n">
        <f aca="false">IF(I1542="yes",1,0)</f>
        <v>0</v>
      </c>
      <c r="M1542" s="2" t="n">
        <f aca="false">IF(G1542&lt;0,1,0)</f>
        <v>0</v>
      </c>
      <c r="N1542" s="2" t="str">
        <f aca="false">_xlfn.IFS(B1542&lt;30,"Under 30",B1542&lt;40,"30-39",B1542&lt;50,"40-49",B1542&lt;60,"50-59",TRUE(),"60+")</f>
        <v>30-39</v>
      </c>
      <c r="O1542" s="2" t="str">
        <f aca="false">_xlfn.IFS(G1542&lt;0,"1 Negative",G1542=0,"2 Zero",G1542&lt;=500,"3 1-500",G1542&lt;=2000,"4 501-2000",TRUE(),"5 Above 2000")</f>
        <v>4 501-2000</v>
      </c>
      <c r="P1542" s="2" t="n">
        <f aca="false">Lookups!$B$2*M1542+Lookups!$B$3*L1542</f>
        <v>0</v>
      </c>
      <c r="Q1542" s="2" t="str">
        <f aca="false">INDEX(Lookups!$E$2:$E$5,MATCH(P1542,Lookups!$D$2:$D$5,0))</f>
        <v>Low</v>
      </c>
    </row>
    <row r="1543" customFormat="false" ht="15" hidden="false" customHeight="false" outlineLevel="0" collapsed="false">
      <c r="A1543" s="3" t="n">
        <v>1542</v>
      </c>
      <c r="B1543" s="3" t="n">
        <f aca="false">Raw_Data!A1543</f>
        <v>43</v>
      </c>
      <c r="C1543" s="3" t="str">
        <f aca="false">SUBSTITUTE(Raw_Data!B1543,".","")</f>
        <v>self-employed</v>
      </c>
      <c r="D1543" s="3" t="str">
        <f aca="false">Raw_Data!C1543</f>
        <v>married</v>
      </c>
      <c r="E1543" s="3" t="str">
        <f aca="false">Raw_Data!D1543</f>
        <v>secondary</v>
      </c>
      <c r="F1543" s="3" t="str">
        <f aca="false">Raw_Data!E1543</f>
        <v>no</v>
      </c>
      <c r="G1543" s="3" t="n">
        <f aca="false">Raw_Data!F1543</f>
        <v>634</v>
      </c>
      <c r="H1543" s="3" t="str">
        <f aca="false">Raw_Data!G1543</f>
        <v>yes</v>
      </c>
      <c r="I1543" s="3" t="str">
        <f aca="false">Raw_Data!H1543</f>
        <v>no</v>
      </c>
      <c r="J1543" s="2" t="n">
        <f aca="false">IF(F1543="yes",1,0)</f>
        <v>0</v>
      </c>
      <c r="K1543" s="2" t="n">
        <f aca="false">IF(H1543="yes",1,0)</f>
        <v>1</v>
      </c>
      <c r="L1543" s="2" t="n">
        <f aca="false">IF(I1543="yes",1,0)</f>
        <v>0</v>
      </c>
      <c r="M1543" s="2" t="n">
        <f aca="false">IF(G1543&lt;0,1,0)</f>
        <v>0</v>
      </c>
      <c r="N1543" s="2" t="str">
        <f aca="false">_xlfn.IFS(B1543&lt;30,"Under 30",B1543&lt;40,"30-39",B1543&lt;50,"40-49",B1543&lt;60,"50-59",TRUE(),"60+")</f>
        <v>40-49</v>
      </c>
      <c r="O1543" s="2" t="str">
        <f aca="false">_xlfn.IFS(G1543&lt;0,"1 Negative",G1543=0,"2 Zero",G1543&lt;=500,"3 1-500",G1543&lt;=2000,"4 501-2000",TRUE(),"5 Above 2000")</f>
        <v>4 501-2000</v>
      </c>
      <c r="P1543" s="2" t="n">
        <f aca="false">Lookups!$B$2*M1543+Lookups!$B$3*L1543</f>
        <v>0</v>
      </c>
      <c r="Q1543" s="2" t="str">
        <f aca="false">INDEX(Lookups!$E$2:$E$5,MATCH(P1543,Lookups!$D$2:$D$5,0))</f>
        <v>Low</v>
      </c>
    </row>
    <row r="1544" customFormat="false" ht="15" hidden="false" customHeight="false" outlineLevel="0" collapsed="false">
      <c r="A1544" s="3" t="n">
        <v>1543</v>
      </c>
      <c r="B1544" s="3" t="n">
        <f aca="false">Raw_Data!A1544</f>
        <v>49</v>
      </c>
      <c r="C1544" s="3" t="str">
        <f aca="false">SUBSTITUTE(Raw_Data!B1544,".","")</f>
        <v>entrepreneur</v>
      </c>
      <c r="D1544" s="3" t="str">
        <f aca="false">Raw_Data!C1544</f>
        <v>married</v>
      </c>
      <c r="E1544" s="3" t="str">
        <f aca="false">Raw_Data!D1544</f>
        <v>secondary</v>
      </c>
      <c r="F1544" s="3" t="str">
        <f aca="false">Raw_Data!E1544</f>
        <v>no</v>
      </c>
      <c r="G1544" s="3" t="n">
        <f aca="false">Raw_Data!F1544</f>
        <v>273</v>
      </c>
      <c r="H1544" s="3" t="str">
        <f aca="false">Raw_Data!G1544</f>
        <v>no</v>
      </c>
      <c r="I1544" s="3" t="str">
        <f aca="false">Raw_Data!H1544</f>
        <v>no</v>
      </c>
      <c r="J1544" s="2" t="n">
        <f aca="false">IF(F1544="yes",1,0)</f>
        <v>0</v>
      </c>
      <c r="K1544" s="2" t="n">
        <f aca="false">IF(H1544="yes",1,0)</f>
        <v>0</v>
      </c>
      <c r="L1544" s="2" t="n">
        <f aca="false">IF(I1544="yes",1,0)</f>
        <v>0</v>
      </c>
      <c r="M1544" s="2" t="n">
        <f aca="false">IF(G1544&lt;0,1,0)</f>
        <v>0</v>
      </c>
      <c r="N1544" s="2" t="str">
        <f aca="false">_xlfn.IFS(B1544&lt;30,"Under 30",B1544&lt;40,"30-39",B1544&lt;50,"40-49",B1544&lt;60,"50-59",TRUE(),"60+")</f>
        <v>40-49</v>
      </c>
      <c r="O1544" s="2" t="str">
        <f aca="false">_xlfn.IFS(G1544&lt;0,"1 Negative",G1544=0,"2 Zero",G1544&lt;=500,"3 1-500",G1544&lt;=2000,"4 501-2000",TRUE(),"5 Above 2000")</f>
        <v>3 1-500</v>
      </c>
      <c r="P1544" s="2" t="n">
        <f aca="false">Lookups!$B$2*M1544+Lookups!$B$3*L1544</f>
        <v>0</v>
      </c>
      <c r="Q1544" s="2" t="str">
        <f aca="false">INDEX(Lookups!$E$2:$E$5,MATCH(P1544,Lookups!$D$2:$D$5,0))</f>
        <v>Low</v>
      </c>
    </row>
    <row r="1545" customFormat="false" ht="15" hidden="false" customHeight="false" outlineLevel="0" collapsed="false">
      <c r="A1545" s="3" t="n">
        <v>1544</v>
      </c>
      <c r="B1545" s="3" t="n">
        <f aca="false">Raw_Data!A1545</f>
        <v>22</v>
      </c>
      <c r="C1545" s="3" t="str">
        <f aca="false">SUBSTITUTE(Raw_Data!B1545,".","")</f>
        <v>student</v>
      </c>
      <c r="D1545" s="3" t="str">
        <f aca="false">Raw_Data!C1545</f>
        <v>single</v>
      </c>
      <c r="E1545" s="3" t="str">
        <f aca="false">Raw_Data!D1545</f>
        <v>unknown</v>
      </c>
      <c r="F1545" s="3" t="str">
        <f aca="false">Raw_Data!E1545</f>
        <v>no</v>
      </c>
      <c r="G1545" s="3" t="n">
        <f aca="false">Raw_Data!F1545</f>
        <v>47</v>
      </c>
      <c r="H1545" s="3" t="str">
        <f aca="false">Raw_Data!G1545</f>
        <v>no</v>
      </c>
      <c r="I1545" s="3" t="str">
        <f aca="false">Raw_Data!H1545</f>
        <v>no</v>
      </c>
      <c r="J1545" s="2" t="n">
        <f aca="false">IF(F1545="yes",1,0)</f>
        <v>0</v>
      </c>
      <c r="K1545" s="2" t="n">
        <f aca="false">IF(H1545="yes",1,0)</f>
        <v>0</v>
      </c>
      <c r="L1545" s="2" t="n">
        <f aca="false">IF(I1545="yes",1,0)</f>
        <v>0</v>
      </c>
      <c r="M1545" s="2" t="n">
        <f aca="false">IF(G1545&lt;0,1,0)</f>
        <v>0</v>
      </c>
      <c r="N1545" s="2" t="str">
        <f aca="false">_xlfn.IFS(B1545&lt;30,"Under 30",B1545&lt;40,"30-39",B1545&lt;50,"40-49",B1545&lt;60,"50-59",TRUE(),"60+")</f>
        <v>Under 30</v>
      </c>
      <c r="O1545" s="2" t="str">
        <f aca="false">_xlfn.IFS(G1545&lt;0,"1 Negative",G1545=0,"2 Zero",G1545&lt;=500,"3 1-500",G1545&lt;=2000,"4 501-2000",TRUE(),"5 Above 2000")</f>
        <v>3 1-500</v>
      </c>
      <c r="P1545" s="2" t="n">
        <f aca="false">Lookups!$B$2*M1545+Lookups!$B$3*L1545</f>
        <v>0</v>
      </c>
      <c r="Q1545" s="2" t="str">
        <f aca="false">INDEX(Lookups!$E$2:$E$5,MATCH(P1545,Lookups!$D$2:$D$5,0))</f>
        <v>Low</v>
      </c>
    </row>
    <row r="1546" customFormat="false" ht="15" hidden="false" customHeight="false" outlineLevel="0" collapsed="false">
      <c r="A1546" s="3" t="n">
        <v>1545</v>
      </c>
      <c r="B1546" s="3" t="n">
        <f aca="false">Raw_Data!A1546</f>
        <v>35</v>
      </c>
      <c r="C1546" s="3" t="str">
        <f aca="false">SUBSTITUTE(Raw_Data!B1546,".","")</f>
        <v>management</v>
      </c>
      <c r="D1546" s="3" t="str">
        <f aca="false">Raw_Data!C1546</f>
        <v>married</v>
      </c>
      <c r="E1546" s="3" t="str">
        <f aca="false">Raw_Data!D1546</f>
        <v>tertiary</v>
      </c>
      <c r="F1546" s="3" t="str">
        <f aca="false">Raw_Data!E1546</f>
        <v>no</v>
      </c>
      <c r="G1546" s="3" t="n">
        <f aca="false">Raw_Data!F1546</f>
        <v>1100</v>
      </c>
      <c r="H1546" s="3" t="str">
        <f aca="false">Raw_Data!G1546</f>
        <v>no</v>
      </c>
      <c r="I1546" s="3" t="str">
        <f aca="false">Raw_Data!H1546</f>
        <v>yes</v>
      </c>
      <c r="J1546" s="2" t="n">
        <f aca="false">IF(F1546="yes",1,0)</f>
        <v>0</v>
      </c>
      <c r="K1546" s="2" t="n">
        <f aca="false">IF(H1546="yes",1,0)</f>
        <v>0</v>
      </c>
      <c r="L1546" s="2" t="n">
        <f aca="false">IF(I1546="yes",1,0)</f>
        <v>1</v>
      </c>
      <c r="M1546" s="2" t="n">
        <f aca="false">IF(G1546&lt;0,1,0)</f>
        <v>0</v>
      </c>
      <c r="N1546" s="2" t="str">
        <f aca="false">_xlfn.IFS(B1546&lt;30,"Under 30",B1546&lt;40,"30-39",B1546&lt;50,"40-49",B1546&lt;60,"50-59",TRUE(),"60+")</f>
        <v>30-39</v>
      </c>
      <c r="O1546" s="2" t="str">
        <f aca="false">_xlfn.IFS(G1546&lt;0,"1 Negative",G1546=0,"2 Zero",G1546&lt;=500,"3 1-500",G1546&lt;=2000,"4 501-2000",TRUE(),"5 Above 2000")</f>
        <v>4 501-2000</v>
      </c>
      <c r="P1546" s="2" t="n">
        <f aca="false">Lookups!$B$2*M1546+Lookups!$B$3*L1546</f>
        <v>1</v>
      </c>
      <c r="Q1546" s="2" t="str">
        <f aca="false">INDEX(Lookups!$E$2:$E$5,MATCH(P1546,Lookups!$D$2:$D$5,0))</f>
        <v>Medium</v>
      </c>
    </row>
    <row r="1547" customFormat="false" ht="15" hidden="false" customHeight="false" outlineLevel="0" collapsed="false">
      <c r="A1547" s="3" t="n">
        <v>1546</v>
      </c>
      <c r="B1547" s="3" t="n">
        <f aca="false">Raw_Data!A1547</f>
        <v>56</v>
      </c>
      <c r="C1547" s="3" t="str">
        <f aca="false">SUBSTITUTE(Raw_Data!B1547,".","")</f>
        <v>admin</v>
      </c>
      <c r="D1547" s="3" t="str">
        <f aca="false">Raw_Data!C1547</f>
        <v>married</v>
      </c>
      <c r="E1547" s="3" t="str">
        <f aca="false">Raw_Data!D1547</f>
        <v>secondary</v>
      </c>
      <c r="F1547" s="3" t="str">
        <f aca="false">Raw_Data!E1547</f>
        <v>no</v>
      </c>
      <c r="G1547" s="3" t="n">
        <f aca="false">Raw_Data!F1547</f>
        <v>0</v>
      </c>
      <c r="H1547" s="3" t="str">
        <f aca="false">Raw_Data!G1547</f>
        <v>yes</v>
      </c>
      <c r="I1547" s="3" t="str">
        <f aca="false">Raw_Data!H1547</f>
        <v>no</v>
      </c>
      <c r="J1547" s="2" t="n">
        <f aca="false">IF(F1547="yes",1,0)</f>
        <v>0</v>
      </c>
      <c r="K1547" s="2" t="n">
        <f aca="false">IF(H1547="yes",1,0)</f>
        <v>1</v>
      </c>
      <c r="L1547" s="2" t="n">
        <f aca="false">IF(I1547="yes",1,0)</f>
        <v>0</v>
      </c>
      <c r="M1547" s="2" t="n">
        <f aca="false">IF(G1547&lt;0,1,0)</f>
        <v>0</v>
      </c>
      <c r="N1547" s="2" t="str">
        <f aca="false">_xlfn.IFS(B1547&lt;30,"Under 30",B1547&lt;40,"30-39",B1547&lt;50,"40-49",B1547&lt;60,"50-59",TRUE(),"60+")</f>
        <v>50-59</v>
      </c>
      <c r="O1547" s="2" t="str">
        <f aca="false">_xlfn.IFS(G1547&lt;0,"1 Negative",G1547=0,"2 Zero",G1547&lt;=500,"3 1-500",G1547&lt;=2000,"4 501-2000",TRUE(),"5 Above 2000")</f>
        <v>2 Zero</v>
      </c>
      <c r="P1547" s="2" t="n">
        <f aca="false">Lookups!$B$2*M1547+Lookups!$B$3*L1547</f>
        <v>0</v>
      </c>
      <c r="Q1547" s="2" t="str">
        <f aca="false">INDEX(Lookups!$E$2:$E$5,MATCH(P1547,Lookups!$D$2:$D$5,0))</f>
        <v>Low</v>
      </c>
    </row>
    <row r="1548" customFormat="false" ht="15" hidden="false" customHeight="false" outlineLevel="0" collapsed="false">
      <c r="A1548" s="3" t="n">
        <v>1547</v>
      </c>
      <c r="B1548" s="3" t="n">
        <f aca="false">Raw_Data!A1548</f>
        <v>53</v>
      </c>
      <c r="C1548" s="3" t="str">
        <f aca="false">SUBSTITUTE(Raw_Data!B1548,".","")</f>
        <v>blue-collar</v>
      </c>
      <c r="D1548" s="3" t="str">
        <f aca="false">Raw_Data!C1548</f>
        <v>married</v>
      </c>
      <c r="E1548" s="3" t="str">
        <f aca="false">Raw_Data!D1548</f>
        <v>secondary</v>
      </c>
      <c r="F1548" s="3" t="str">
        <f aca="false">Raw_Data!E1548</f>
        <v>no</v>
      </c>
      <c r="G1548" s="3" t="n">
        <f aca="false">Raw_Data!F1548</f>
        <v>0</v>
      </c>
      <c r="H1548" s="3" t="str">
        <f aca="false">Raw_Data!G1548</f>
        <v>no</v>
      </c>
      <c r="I1548" s="3" t="str">
        <f aca="false">Raw_Data!H1548</f>
        <v>no</v>
      </c>
      <c r="J1548" s="2" t="n">
        <f aca="false">IF(F1548="yes",1,0)</f>
        <v>0</v>
      </c>
      <c r="K1548" s="2" t="n">
        <f aca="false">IF(H1548="yes",1,0)</f>
        <v>0</v>
      </c>
      <c r="L1548" s="2" t="n">
        <f aca="false">IF(I1548="yes",1,0)</f>
        <v>0</v>
      </c>
      <c r="M1548" s="2" t="n">
        <f aca="false">IF(G1548&lt;0,1,0)</f>
        <v>0</v>
      </c>
      <c r="N1548" s="2" t="str">
        <f aca="false">_xlfn.IFS(B1548&lt;30,"Under 30",B1548&lt;40,"30-39",B1548&lt;50,"40-49",B1548&lt;60,"50-59",TRUE(),"60+")</f>
        <v>50-59</v>
      </c>
      <c r="O1548" s="2" t="str">
        <f aca="false">_xlfn.IFS(G1548&lt;0,"1 Negative",G1548=0,"2 Zero",G1548&lt;=500,"3 1-500",G1548&lt;=2000,"4 501-2000",TRUE(),"5 Above 2000")</f>
        <v>2 Zero</v>
      </c>
      <c r="P1548" s="2" t="n">
        <f aca="false">Lookups!$B$2*M1548+Lookups!$B$3*L1548</f>
        <v>0</v>
      </c>
      <c r="Q1548" s="2" t="str">
        <f aca="false">INDEX(Lookups!$E$2:$E$5,MATCH(P1548,Lookups!$D$2:$D$5,0))</f>
        <v>Low</v>
      </c>
    </row>
    <row r="1549" customFormat="false" ht="15" hidden="false" customHeight="false" outlineLevel="0" collapsed="false">
      <c r="A1549" s="3" t="n">
        <v>1548</v>
      </c>
      <c r="B1549" s="3" t="n">
        <f aca="false">Raw_Data!A1549</f>
        <v>54</v>
      </c>
      <c r="C1549" s="3" t="str">
        <f aca="false">SUBSTITUTE(Raw_Data!B1549,".","")</f>
        <v>entrepreneur</v>
      </c>
      <c r="D1549" s="3" t="str">
        <f aca="false">Raw_Data!C1549</f>
        <v>married</v>
      </c>
      <c r="E1549" s="3" t="str">
        <f aca="false">Raw_Data!D1549</f>
        <v>tertiary</v>
      </c>
      <c r="F1549" s="3" t="str">
        <f aca="false">Raw_Data!E1549</f>
        <v>no</v>
      </c>
      <c r="G1549" s="3" t="n">
        <f aca="false">Raw_Data!F1549</f>
        <v>1544</v>
      </c>
      <c r="H1549" s="3" t="str">
        <f aca="false">Raw_Data!G1549</f>
        <v>no</v>
      </c>
      <c r="I1549" s="3" t="str">
        <f aca="false">Raw_Data!H1549</f>
        <v>yes</v>
      </c>
      <c r="J1549" s="2" t="n">
        <f aca="false">IF(F1549="yes",1,0)</f>
        <v>0</v>
      </c>
      <c r="K1549" s="2" t="n">
        <f aca="false">IF(H1549="yes",1,0)</f>
        <v>0</v>
      </c>
      <c r="L1549" s="2" t="n">
        <f aca="false">IF(I1549="yes",1,0)</f>
        <v>1</v>
      </c>
      <c r="M1549" s="2" t="n">
        <f aca="false">IF(G1549&lt;0,1,0)</f>
        <v>0</v>
      </c>
      <c r="N1549" s="2" t="str">
        <f aca="false">_xlfn.IFS(B1549&lt;30,"Under 30",B1549&lt;40,"30-39",B1549&lt;50,"40-49",B1549&lt;60,"50-59",TRUE(),"60+")</f>
        <v>50-59</v>
      </c>
      <c r="O1549" s="2" t="str">
        <f aca="false">_xlfn.IFS(G1549&lt;0,"1 Negative",G1549=0,"2 Zero",G1549&lt;=500,"3 1-500",G1549&lt;=2000,"4 501-2000",TRUE(),"5 Above 2000")</f>
        <v>4 501-2000</v>
      </c>
      <c r="P1549" s="2" t="n">
        <f aca="false">Lookups!$B$2*M1549+Lookups!$B$3*L1549</f>
        <v>1</v>
      </c>
      <c r="Q1549" s="2" t="str">
        <f aca="false">INDEX(Lookups!$E$2:$E$5,MATCH(P1549,Lookups!$D$2:$D$5,0))</f>
        <v>Medium</v>
      </c>
    </row>
    <row r="1550" customFormat="false" ht="15" hidden="false" customHeight="false" outlineLevel="0" collapsed="false">
      <c r="A1550" s="3" t="n">
        <v>1549</v>
      </c>
      <c r="B1550" s="3" t="n">
        <f aca="false">Raw_Data!A1550</f>
        <v>32</v>
      </c>
      <c r="C1550" s="3" t="str">
        <f aca="false">SUBSTITUTE(Raw_Data!B1550,".","")</f>
        <v>services</v>
      </c>
      <c r="D1550" s="3" t="str">
        <f aca="false">Raw_Data!C1550</f>
        <v>single</v>
      </c>
      <c r="E1550" s="3" t="str">
        <f aca="false">Raw_Data!D1550</f>
        <v>unknown</v>
      </c>
      <c r="F1550" s="3" t="str">
        <f aca="false">Raw_Data!E1550</f>
        <v>no</v>
      </c>
      <c r="G1550" s="3" t="n">
        <f aca="false">Raw_Data!F1550</f>
        <v>6145</v>
      </c>
      <c r="H1550" s="3" t="str">
        <f aca="false">Raw_Data!G1550</f>
        <v>yes</v>
      </c>
      <c r="I1550" s="3" t="str">
        <f aca="false">Raw_Data!H1550</f>
        <v>no</v>
      </c>
      <c r="J1550" s="2" t="n">
        <f aca="false">IF(F1550="yes",1,0)</f>
        <v>0</v>
      </c>
      <c r="K1550" s="2" t="n">
        <f aca="false">IF(H1550="yes",1,0)</f>
        <v>1</v>
      </c>
      <c r="L1550" s="2" t="n">
        <f aca="false">IF(I1550="yes",1,0)</f>
        <v>0</v>
      </c>
      <c r="M1550" s="2" t="n">
        <f aca="false">IF(G1550&lt;0,1,0)</f>
        <v>0</v>
      </c>
      <c r="N1550" s="2" t="str">
        <f aca="false">_xlfn.IFS(B1550&lt;30,"Under 30",B1550&lt;40,"30-39",B1550&lt;50,"40-49",B1550&lt;60,"50-59",TRUE(),"60+")</f>
        <v>30-39</v>
      </c>
      <c r="O1550" s="2" t="str">
        <f aca="false">_xlfn.IFS(G1550&lt;0,"1 Negative",G1550=0,"2 Zero",G1550&lt;=500,"3 1-500",G1550&lt;=2000,"4 501-2000",TRUE(),"5 Above 2000")</f>
        <v>5 Above 2000</v>
      </c>
      <c r="P1550" s="2" t="n">
        <f aca="false">Lookups!$B$2*M1550+Lookups!$B$3*L1550</f>
        <v>0</v>
      </c>
      <c r="Q1550" s="2" t="str">
        <f aca="false">INDEX(Lookups!$E$2:$E$5,MATCH(P1550,Lookups!$D$2:$D$5,0))</f>
        <v>Low</v>
      </c>
    </row>
    <row r="1551" customFormat="false" ht="15" hidden="false" customHeight="false" outlineLevel="0" collapsed="false">
      <c r="A1551" s="3" t="n">
        <v>1550</v>
      </c>
      <c r="B1551" s="3" t="n">
        <f aca="false">Raw_Data!A1551</f>
        <v>41</v>
      </c>
      <c r="C1551" s="3" t="str">
        <f aca="false">SUBSTITUTE(Raw_Data!B1551,".","")</f>
        <v>self-employed</v>
      </c>
      <c r="D1551" s="3" t="str">
        <f aca="false">Raw_Data!C1551</f>
        <v>married</v>
      </c>
      <c r="E1551" s="3" t="str">
        <f aca="false">Raw_Data!D1551</f>
        <v>secondary</v>
      </c>
      <c r="F1551" s="3" t="str">
        <f aca="false">Raw_Data!E1551</f>
        <v>no</v>
      </c>
      <c r="G1551" s="3" t="n">
        <f aca="false">Raw_Data!F1551</f>
        <v>28</v>
      </c>
      <c r="H1551" s="3" t="str">
        <f aca="false">Raw_Data!G1551</f>
        <v>yes</v>
      </c>
      <c r="I1551" s="3" t="str">
        <f aca="false">Raw_Data!H1551</f>
        <v>no</v>
      </c>
      <c r="J1551" s="2" t="n">
        <f aca="false">IF(F1551="yes",1,0)</f>
        <v>0</v>
      </c>
      <c r="K1551" s="2" t="n">
        <f aca="false">IF(H1551="yes",1,0)</f>
        <v>1</v>
      </c>
      <c r="L1551" s="2" t="n">
        <f aca="false">IF(I1551="yes",1,0)</f>
        <v>0</v>
      </c>
      <c r="M1551" s="2" t="n">
        <f aca="false">IF(G1551&lt;0,1,0)</f>
        <v>0</v>
      </c>
      <c r="N1551" s="2" t="str">
        <f aca="false">_xlfn.IFS(B1551&lt;30,"Under 30",B1551&lt;40,"30-39",B1551&lt;50,"40-49",B1551&lt;60,"50-59",TRUE(),"60+")</f>
        <v>40-49</v>
      </c>
      <c r="O1551" s="2" t="str">
        <f aca="false">_xlfn.IFS(G1551&lt;0,"1 Negative",G1551=0,"2 Zero",G1551&lt;=500,"3 1-500",G1551&lt;=2000,"4 501-2000",TRUE(),"5 Above 2000")</f>
        <v>3 1-500</v>
      </c>
      <c r="P1551" s="2" t="n">
        <f aca="false">Lookups!$B$2*M1551+Lookups!$B$3*L1551</f>
        <v>0</v>
      </c>
      <c r="Q1551" s="2" t="str">
        <f aca="false">INDEX(Lookups!$E$2:$E$5,MATCH(P1551,Lookups!$D$2:$D$5,0))</f>
        <v>Low</v>
      </c>
    </row>
    <row r="1552" customFormat="false" ht="15" hidden="false" customHeight="false" outlineLevel="0" collapsed="false">
      <c r="A1552" s="3" t="n">
        <v>1551</v>
      </c>
      <c r="B1552" s="3" t="n">
        <f aca="false">Raw_Data!A1552</f>
        <v>40</v>
      </c>
      <c r="C1552" s="3" t="str">
        <f aca="false">SUBSTITUTE(Raw_Data!B1552,".","")</f>
        <v>blue-collar</v>
      </c>
      <c r="D1552" s="3" t="str">
        <f aca="false">Raw_Data!C1552</f>
        <v>married</v>
      </c>
      <c r="E1552" s="3" t="str">
        <f aca="false">Raw_Data!D1552</f>
        <v>secondary</v>
      </c>
      <c r="F1552" s="3" t="str">
        <f aca="false">Raw_Data!E1552</f>
        <v>no</v>
      </c>
      <c r="G1552" s="3" t="n">
        <f aca="false">Raw_Data!F1552</f>
        <v>1012</v>
      </c>
      <c r="H1552" s="3" t="str">
        <f aca="false">Raw_Data!G1552</f>
        <v>yes</v>
      </c>
      <c r="I1552" s="3" t="str">
        <f aca="false">Raw_Data!H1552</f>
        <v>no</v>
      </c>
      <c r="J1552" s="2" t="n">
        <f aca="false">IF(F1552="yes",1,0)</f>
        <v>0</v>
      </c>
      <c r="K1552" s="2" t="n">
        <f aca="false">IF(H1552="yes",1,0)</f>
        <v>1</v>
      </c>
      <c r="L1552" s="2" t="n">
        <f aca="false">IF(I1552="yes",1,0)</f>
        <v>0</v>
      </c>
      <c r="M1552" s="2" t="n">
        <f aca="false">IF(G1552&lt;0,1,0)</f>
        <v>0</v>
      </c>
      <c r="N1552" s="2" t="str">
        <f aca="false">_xlfn.IFS(B1552&lt;30,"Under 30",B1552&lt;40,"30-39",B1552&lt;50,"40-49",B1552&lt;60,"50-59",TRUE(),"60+")</f>
        <v>40-49</v>
      </c>
      <c r="O1552" s="2" t="str">
        <f aca="false">_xlfn.IFS(G1552&lt;0,"1 Negative",G1552=0,"2 Zero",G1552&lt;=500,"3 1-500",G1552&lt;=2000,"4 501-2000",TRUE(),"5 Above 2000")</f>
        <v>4 501-2000</v>
      </c>
      <c r="P1552" s="2" t="n">
        <f aca="false">Lookups!$B$2*M1552+Lookups!$B$3*L1552</f>
        <v>0</v>
      </c>
      <c r="Q1552" s="2" t="str">
        <f aca="false">INDEX(Lookups!$E$2:$E$5,MATCH(P1552,Lookups!$D$2:$D$5,0))</f>
        <v>Low</v>
      </c>
    </row>
    <row r="1553" customFormat="false" ht="15" hidden="false" customHeight="false" outlineLevel="0" collapsed="false">
      <c r="A1553" s="3" t="n">
        <v>1552</v>
      </c>
      <c r="B1553" s="3" t="n">
        <f aca="false">Raw_Data!A1553</f>
        <v>33</v>
      </c>
      <c r="C1553" s="3" t="str">
        <f aca="false">SUBSTITUTE(Raw_Data!B1553,".","")</f>
        <v>blue-collar</v>
      </c>
      <c r="D1553" s="3" t="str">
        <f aca="false">Raw_Data!C1553</f>
        <v>married</v>
      </c>
      <c r="E1553" s="3" t="str">
        <f aca="false">Raw_Data!D1553</f>
        <v>primary</v>
      </c>
      <c r="F1553" s="3" t="str">
        <f aca="false">Raw_Data!E1553</f>
        <v>no</v>
      </c>
      <c r="G1553" s="3" t="n">
        <f aca="false">Raw_Data!F1553</f>
        <v>245</v>
      </c>
      <c r="H1553" s="3" t="str">
        <f aca="false">Raw_Data!G1553</f>
        <v>yes</v>
      </c>
      <c r="I1553" s="3" t="str">
        <f aca="false">Raw_Data!H1553</f>
        <v>yes</v>
      </c>
      <c r="J1553" s="2" t="n">
        <f aca="false">IF(F1553="yes",1,0)</f>
        <v>0</v>
      </c>
      <c r="K1553" s="2" t="n">
        <f aca="false">IF(H1553="yes",1,0)</f>
        <v>1</v>
      </c>
      <c r="L1553" s="2" t="n">
        <f aca="false">IF(I1553="yes",1,0)</f>
        <v>1</v>
      </c>
      <c r="M1553" s="2" t="n">
        <f aca="false">IF(G1553&lt;0,1,0)</f>
        <v>0</v>
      </c>
      <c r="N1553" s="2" t="str">
        <f aca="false">_xlfn.IFS(B1553&lt;30,"Under 30",B1553&lt;40,"30-39",B1553&lt;50,"40-49",B1553&lt;60,"50-59",TRUE(),"60+")</f>
        <v>30-39</v>
      </c>
      <c r="O1553" s="2" t="str">
        <f aca="false">_xlfn.IFS(G1553&lt;0,"1 Negative",G1553=0,"2 Zero",G1553&lt;=500,"3 1-500",G1553&lt;=2000,"4 501-2000",TRUE(),"5 Above 2000")</f>
        <v>3 1-500</v>
      </c>
      <c r="P1553" s="2" t="n">
        <f aca="false">Lookups!$B$2*M1553+Lookups!$B$3*L1553</f>
        <v>1</v>
      </c>
      <c r="Q1553" s="2" t="str">
        <f aca="false">INDEX(Lookups!$E$2:$E$5,MATCH(P1553,Lookups!$D$2:$D$5,0))</f>
        <v>Medium</v>
      </c>
    </row>
    <row r="1554" customFormat="false" ht="15" hidden="false" customHeight="false" outlineLevel="0" collapsed="false">
      <c r="A1554" s="3" t="n">
        <v>1553</v>
      </c>
      <c r="B1554" s="3" t="n">
        <f aca="false">Raw_Data!A1554</f>
        <v>33</v>
      </c>
      <c r="C1554" s="3" t="str">
        <f aca="false">SUBSTITUTE(Raw_Data!B1554,".","")</f>
        <v>management</v>
      </c>
      <c r="D1554" s="3" t="str">
        <f aca="false">Raw_Data!C1554</f>
        <v>single</v>
      </c>
      <c r="E1554" s="3" t="str">
        <f aca="false">Raw_Data!D1554</f>
        <v>tertiary</v>
      </c>
      <c r="F1554" s="3" t="str">
        <f aca="false">Raw_Data!E1554</f>
        <v>no</v>
      </c>
      <c r="G1554" s="3" t="n">
        <f aca="false">Raw_Data!F1554</f>
        <v>1998</v>
      </c>
      <c r="H1554" s="3" t="str">
        <f aca="false">Raw_Data!G1554</f>
        <v>no</v>
      </c>
      <c r="I1554" s="3" t="str">
        <f aca="false">Raw_Data!H1554</f>
        <v>no</v>
      </c>
      <c r="J1554" s="2" t="n">
        <f aca="false">IF(F1554="yes",1,0)</f>
        <v>0</v>
      </c>
      <c r="K1554" s="2" t="n">
        <f aca="false">IF(H1554="yes",1,0)</f>
        <v>0</v>
      </c>
      <c r="L1554" s="2" t="n">
        <f aca="false">IF(I1554="yes",1,0)</f>
        <v>0</v>
      </c>
      <c r="M1554" s="2" t="n">
        <f aca="false">IF(G1554&lt;0,1,0)</f>
        <v>0</v>
      </c>
      <c r="N1554" s="2" t="str">
        <f aca="false">_xlfn.IFS(B1554&lt;30,"Under 30",B1554&lt;40,"30-39",B1554&lt;50,"40-49",B1554&lt;60,"50-59",TRUE(),"60+")</f>
        <v>30-39</v>
      </c>
      <c r="O1554" s="2" t="str">
        <f aca="false">_xlfn.IFS(G1554&lt;0,"1 Negative",G1554=0,"2 Zero",G1554&lt;=500,"3 1-500",G1554&lt;=2000,"4 501-2000",TRUE(),"5 Above 2000")</f>
        <v>4 501-2000</v>
      </c>
      <c r="P1554" s="2" t="n">
        <f aca="false">Lookups!$B$2*M1554+Lookups!$B$3*L1554</f>
        <v>0</v>
      </c>
      <c r="Q1554" s="2" t="str">
        <f aca="false">INDEX(Lookups!$E$2:$E$5,MATCH(P1554,Lookups!$D$2:$D$5,0))</f>
        <v>Low</v>
      </c>
    </row>
    <row r="1555" customFormat="false" ht="15" hidden="false" customHeight="false" outlineLevel="0" collapsed="false">
      <c r="A1555" s="3" t="n">
        <v>1554</v>
      </c>
      <c r="B1555" s="3" t="n">
        <f aca="false">Raw_Data!A1555</f>
        <v>34</v>
      </c>
      <c r="C1555" s="3" t="str">
        <f aca="false">SUBSTITUTE(Raw_Data!B1555,".","")</f>
        <v>blue-collar</v>
      </c>
      <c r="D1555" s="3" t="str">
        <f aca="false">Raw_Data!C1555</f>
        <v>married</v>
      </c>
      <c r="E1555" s="3" t="str">
        <f aca="false">Raw_Data!D1555</f>
        <v>secondary</v>
      </c>
      <c r="F1555" s="3" t="str">
        <f aca="false">Raw_Data!E1555</f>
        <v>no</v>
      </c>
      <c r="G1555" s="3" t="n">
        <f aca="false">Raw_Data!F1555</f>
        <v>3990</v>
      </c>
      <c r="H1555" s="3" t="str">
        <f aca="false">Raw_Data!G1555</f>
        <v>yes</v>
      </c>
      <c r="I1555" s="3" t="str">
        <f aca="false">Raw_Data!H1555</f>
        <v>no</v>
      </c>
      <c r="J1555" s="2" t="n">
        <f aca="false">IF(F1555="yes",1,0)</f>
        <v>0</v>
      </c>
      <c r="K1555" s="2" t="n">
        <f aca="false">IF(H1555="yes",1,0)</f>
        <v>1</v>
      </c>
      <c r="L1555" s="2" t="n">
        <f aca="false">IF(I1555="yes",1,0)</f>
        <v>0</v>
      </c>
      <c r="M1555" s="2" t="n">
        <f aca="false">IF(G1555&lt;0,1,0)</f>
        <v>0</v>
      </c>
      <c r="N1555" s="2" t="str">
        <f aca="false">_xlfn.IFS(B1555&lt;30,"Under 30",B1555&lt;40,"30-39",B1555&lt;50,"40-49",B1555&lt;60,"50-59",TRUE(),"60+")</f>
        <v>30-39</v>
      </c>
      <c r="O1555" s="2" t="str">
        <f aca="false">_xlfn.IFS(G1555&lt;0,"1 Negative",G1555=0,"2 Zero",G1555&lt;=500,"3 1-500",G1555&lt;=2000,"4 501-2000",TRUE(),"5 Above 2000")</f>
        <v>5 Above 2000</v>
      </c>
      <c r="P1555" s="2" t="n">
        <f aca="false">Lookups!$B$2*M1555+Lookups!$B$3*L1555</f>
        <v>0</v>
      </c>
      <c r="Q1555" s="2" t="str">
        <f aca="false">INDEX(Lookups!$E$2:$E$5,MATCH(P1555,Lookups!$D$2:$D$5,0))</f>
        <v>Low</v>
      </c>
    </row>
    <row r="1556" customFormat="false" ht="15" hidden="false" customHeight="false" outlineLevel="0" collapsed="false">
      <c r="A1556" s="3" t="n">
        <v>1555</v>
      </c>
      <c r="B1556" s="3" t="n">
        <f aca="false">Raw_Data!A1556</f>
        <v>36</v>
      </c>
      <c r="C1556" s="3" t="str">
        <f aca="false">SUBSTITUTE(Raw_Data!B1556,".","")</f>
        <v>services</v>
      </c>
      <c r="D1556" s="3" t="str">
        <f aca="false">Raw_Data!C1556</f>
        <v>married</v>
      </c>
      <c r="E1556" s="3" t="str">
        <f aca="false">Raw_Data!D1556</f>
        <v>secondary</v>
      </c>
      <c r="F1556" s="3" t="str">
        <f aca="false">Raw_Data!E1556</f>
        <v>no</v>
      </c>
      <c r="G1556" s="3" t="n">
        <f aca="false">Raw_Data!F1556</f>
        <v>1328</v>
      </c>
      <c r="H1556" s="3" t="str">
        <f aca="false">Raw_Data!G1556</f>
        <v>yes</v>
      </c>
      <c r="I1556" s="3" t="str">
        <f aca="false">Raw_Data!H1556</f>
        <v>no</v>
      </c>
      <c r="J1556" s="2" t="n">
        <f aca="false">IF(F1556="yes",1,0)</f>
        <v>0</v>
      </c>
      <c r="K1556" s="2" t="n">
        <f aca="false">IF(H1556="yes",1,0)</f>
        <v>1</v>
      </c>
      <c r="L1556" s="2" t="n">
        <f aca="false">IF(I1556="yes",1,0)</f>
        <v>0</v>
      </c>
      <c r="M1556" s="2" t="n">
        <f aca="false">IF(G1556&lt;0,1,0)</f>
        <v>0</v>
      </c>
      <c r="N1556" s="2" t="str">
        <f aca="false">_xlfn.IFS(B1556&lt;30,"Under 30",B1556&lt;40,"30-39",B1556&lt;50,"40-49",B1556&lt;60,"50-59",TRUE(),"60+")</f>
        <v>30-39</v>
      </c>
      <c r="O1556" s="2" t="str">
        <f aca="false">_xlfn.IFS(G1556&lt;0,"1 Negative",G1556=0,"2 Zero",G1556&lt;=500,"3 1-500",G1556&lt;=2000,"4 501-2000",TRUE(),"5 Above 2000")</f>
        <v>4 501-2000</v>
      </c>
      <c r="P1556" s="2" t="n">
        <f aca="false">Lookups!$B$2*M1556+Lookups!$B$3*L1556</f>
        <v>0</v>
      </c>
      <c r="Q1556" s="2" t="str">
        <f aca="false">INDEX(Lookups!$E$2:$E$5,MATCH(P1556,Lookups!$D$2:$D$5,0))</f>
        <v>Low</v>
      </c>
    </row>
    <row r="1557" customFormat="false" ht="15" hidden="false" customHeight="false" outlineLevel="0" collapsed="false">
      <c r="A1557" s="3" t="n">
        <v>1556</v>
      </c>
      <c r="B1557" s="3" t="n">
        <f aca="false">Raw_Data!A1557</f>
        <v>34</v>
      </c>
      <c r="C1557" s="3" t="str">
        <f aca="false">SUBSTITUTE(Raw_Data!B1557,".","")</f>
        <v>entrepreneur</v>
      </c>
      <c r="D1557" s="3" t="str">
        <f aca="false">Raw_Data!C1557</f>
        <v>married</v>
      </c>
      <c r="E1557" s="3" t="str">
        <f aca="false">Raw_Data!D1557</f>
        <v>tertiary</v>
      </c>
      <c r="F1557" s="3" t="str">
        <f aca="false">Raw_Data!E1557</f>
        <v>no</v>
      </c>
      <c r="G1557" s="3" t="n">
        <f aca="false">Raw_Data!F1557</f>
        <v>412</v>
      </c>
      <c r="H1557" s="3" t="str">
        <f aca="false">Raw_Data!G1557</f>
        <v>yes</v>
      </c>
      <c r="I1557" s="3" t="str">
        <f aca="false">Raw_Data!H1557</f>
        <v>yes</v>
      </c>
      <c r="J1557" s="2" t="n">
        <f aca="false">IF(F1557="yes",1,0)</f>
        <v>0</v>
      </c>
      <c r="K1557" s="2" t="n">
        <f aca="false">IF(H1557="yes",1,0)</f>
        <v>1</v>
      </c>
      <c r="L1557" s="2" t="n">
        <f aca="false">IF(I1557="yes",1,0)</f>
        <v>1</v>
      </c>
      <c r="M1557" s="2" t="n">
        <f aca="false">IF(G1557&lt;0,1,0)</f>
        <v>0</v>
      </c>
      <c r="N1557" s="2" t="str">
        <f aca="false">_xlfn.IFS(B1557&lt;30,"Under 30",B1557&lt;40,"30-39",B1557&lt;50,"40-49",B1557&lt;60,"50-59",TRUE(),"60+")</f>
        <v>30-39</v>
      </c>
      <c r="O1557" s="2" t="str">
        <f aca="false">_xlfn.IFS(G1557&lt;0,"1 Negative",G1557=0,"2 Zero",G1557&lt;=500,"3 1-500",G1557&lt;=2000,"4 501-2000",TRUE(),"5 Above 2000")</f>
        <v>3 1-500</v>
      </c>
      <c r="P1557" s="2" t="n">
        <f aca="false">Lookups!$B$2*M1557+Lookups!$B$3*L1557</f>
        <v>1</v>
      </c>
      <c r="Q1557" s="2" t="str">
        <f aca="false">INDEX(Lookups!$E$2:$E$5,MATCH(P1557,Lookups!$D$2:$D$5,0))</f>
        <v>Medium</v>
      </c>
    </row>
    <row r="1558" customFormat="false" ht="15" hidden="false" customHeight="false" outlineLevel="0" collapsed="false">
      <c r="A1558" s="3" t="n">
        <v>1557</v>
      </c>
      <c r="B1558" s="3" t="n">
        <f aca="false">Raw_Data!A1558</f>
        <v>55</v>
      </c>
      <c r="C1558" s="3" t="str">
        <f aca="false">SUBSTITUTE(Raw_Data!B1558,".","")</f>
        <v>management</v>
      </c>
      <c r="D1558" s="3" t="str">
        <f aca="false">Raw_Data!C1558</f>
        <v>married</v>
      </c>
      <c r="E1558" s="3" t="str">
        <f aca="false">Raw_Data!D1558</f>
        <v>primary</v>
      </c>
      <c r="F1558" s="3" t="str">
        <f aca="false">Raw_Data!E1558</f>
        <v>no</v>
      </c>
      <c r="G1558" s="3" t="n">
        <f aca="false">Raw_Data!F1558</f>
        <v>229</v>
      </c>
      <c r="H1558" s="3" t="str">
        <f aca="false">Raw_Data!G1558</f>
        <v>no</v>
      </c>
      <c r="I1558" s="3" t="str">
        <f aca="false">Raw_Data!H1558</f>
        <v>yes</v>
      </c>
      <c r="J1558" s="2" t="n">
        <f aca="false">IF(F1558="yes",1,0)</f>
        <v>0</v>
      </c>
      <c r="K1558" s="2" t="n">
        <f aca="false">IF(H1558="yes",1,0)</f>
        <v>0</v>
      </c>
      <c r="L1558" s="2" t="n">
        <f aca="false">IF(I1558="yes",1,0)</f>
        <v>1</v>
      </c>
      <c r="M1558" s="2" t="n">
        <f aca="false">IF(G1558&lt;0,1,0)</f>
        <v>0</v>
      </c>
      <c r="N1558" s="2" t="str">
        <f aca="false">_xlfn.IFS(B1558&lt;30,"Under 30",B1558&lt;40,"30-39",B1558&lt;50,"40-49",B1558&lt;60,"50-59",TRUE(),"60+")</f>
        <v>50-59</v>
      </c>
      <c r="O1558" s="2" t="str">
        <f aca="false">_xlfn.IFS(G1558&lt;0,"1 Negative",G1558=0,"2 Zero",G1558&lt;=500,"3 1-500",G1558&lt;=2000,"4 501-2000",TRUE(),"5 Above 2000")</f>
        <v>3 1-500</v>
      </c>
      <c r="P1558" s="2" t="n">
        <f aca="false">Lookups!$B$2*M1558+Lookups!$B$3*L1558</f>
        <v>1</v>
      </c>
      <c r="Q1558" s="2" t="str">
        <f aca="false">INDEX(Lookups!$E$2:$E$5,MATCH(P1558,Lookups!$D$2:$D$5,0))</f>
        <v>Medium</v>
      </c>
    </row>
    <row r="1559" customFormat="false" ht="15" hidden="false" customHeight="false" outlineLevel="0" collapsed="false">
      <c r="A1559" s="3" t="n">
        <v>1558</v>
      </c>
      <c r="B1559" s="3" t="n">
        <f aca="false">Raw_Data!A1559</f>
        <v>28</v>
      </c>
      <c r="C1559" s="3" t="str">
        <f aca="false">SUBSTITUTE(Raw_Data!B1559,".","")</f>
        <v>student</v>
      </c>
      <c r="D1559" s="3" t="str">
        <f aca="false">Raw_Data!C1559</f>
        <v>single</v>
      </c>
      <c r="E1559" s="3" t="str">
        <f aca="false">Raw_Data!D1559</f>
        <v>tertiary</v>
      </c>
      <c r="F1559" s="3" t="str">
        <f aca="false">Raw_Data!E1559</f>
        <v>no</v>
      </c>
      <c r="G1559" s="3" t="n">
        <f aca="false">Raw_Data!F1559</f>
        <v>1562</v>
      </c>
      <c r="H1559" s="3" t="str">
        <f aca="false">Raw_Data!G1559</f>
        <v>no</v>
      </c>
      <c r="I1559" s="3" t="str">
        <f aca="false">Raw_Data!H1559</f>
        <v>no</v>
      </c>
      <c r="J1559" s="2" t="n">
        <f aca="false">IF(F1559="yes",1,0)</f>
        <v>0</v>
      </c>
      <c r="K1559" s="2" t="n">
        <f aca="false">IF(H1559="yes",1,0)</f>
        <v>0</v>
      </c>
      <c r="L1559" s="2" t="n">
        <f aca="false">IF(I1559="yes",1,0)</f>
        <v>0</v>
      </c>
      <c r="M1559" s="2" t="n">
        <f aca="false">IF(G1559&lt;0,1,0)</f>
        <v>0</v>
      </c>
      <c r="N1559" s="2" t="str">
        <f aca="false">_xlfn.IFS(B1559&lt;30,"Under 30",B1559&lt;40,"30-39",B1559&lt;50,"40-49",B1559&lt;60,"50-59",TRUE(),"60+")</f>
        <v>Under 30</v>
      </c>
      <c r="O1559" s="2" t="str">
        <f aca="false">_xlfn.IFS(G1559&lt;0,"1 Negative",G1559=0,"2 Zero",G1559&lt;=500,"3 1-500",G1559&lt;=2000,"4 501-2000",TRUE(),"5 Above 2000")</f>
        <v>4 501-2000</v>
      </c>
      <c r="P1559" s="2" t="n">
        <f aca="false">Lookups!$B$2*M1559+Lookups!$B$3*L1559</f>
        <v>0</v>
      </c>
      <c r="Q1559" s="2" t="str">
        <f aca="false">INDEX(Lookups!$E$2:$E$5,MATCH(P1559,Lookups!$D$2:$D$5,0))</f>
        <v>Low</v>
      </c>
    </row>
    <row r="1560" customFormat="false" ht="15" hidden="false" customHeight="false" outlineLevel="0" collapsed="false">
      <c r="A1560" s="3" t="n">
        <v>1559</v>
      </c>
      <c r="B1560" s="3" t="n">
        <f aca="false">Raw_Data!A1560</f>
        <v>29</v>
      </c>
      <c r="C1560" s="3" t="str">
        <f aca="false">SUBSTITUTE(Raw_Data!B1560,".","")</f>
        <v>admin</v>
      </c>
      <c r="D1560" s="3" t="str">
        <f aca="false">Raw_Data!C1560</f>
        <v>single</v>
      </c>
      <c r="E1560" s="3" t="str">
        <f aca="false">Raw_Data!D1560</f>
        <v>secondary</v>
      </c>
      <c r="F1560" s="3" t="str">
        <f aca="false">Raw_Data!E1560</f>
        <v>no</v>
      </c>
      <c r="G1560" s="3" t="n">
        <f aca="false">Raw_Data!F1560</f>
        <v>3432</v>
      </c>
      <c r="H1560" s="3" t="str">
        <f aca="false">Raw_Data!G1560</f>
        <v>yes</v>
      </c>
      <c r="I1560" s="3" t="str">
        <f aca="false">Raw_Data!H1560</f>
        <v>no</v>
      </c>
      <c r="J1560" s="2" t="n">
        <f aca="false">IF(F1560="yes",1,0)</f>
        <v>0</v>
      </c>
      <c r="K1560" s="2" t="n">
        <f aca="false">IF(H1560="yes",1,0)</f>
        <v>1</v>
      </c>
      <c r="L1560" s="2" t="n">
        <f aca="false">IF(I1560="yes",1,0)</f>
        <v>0</v>
      </c>
      <c r="M1560" s="2" t="n">
        <f aca="false">IF(G1560&lt;0,1,0)</f>
        <v>0</v>
      </c>
      <c r="N1560" s="2" t="str">
        <f aca="false">_xlfn.IFS(B1560&lt;30,"Under 30",B1560&lt;40,"30-39",B1560&lt;50,"40-49",B1560&lt;60,"50-59",TRUE(),"60+")</f>
        <v>Under 30</v>
      </c>
      <c r="O1560" s="2" t="str">
        <f aca="false">_xlfn.IFS(G1560&lt;0,"1 Negative",G1560=0,"2 Zero",G1560&lt;=500,"3 1-500",G1560&lt;=2000,"4 501-2000",TRUE(),"5 Above 2000")</f>
        <v>5 Above 2000</v>
      </c>
      <c r="P1560" s="2" t="n">
        <f aca="false">Lookups!$B$2*M1560+Lookups!$B$3*L1560</f>
        <v>0</v>
      </c>
      <c r="Q1560" s="2" t="str">
        <f aca="false">INDEX(Lookups!$E$2:$E$5,MATCH(P1560,Lookups!$D$2:$D$5,0))</f>
        <v>Low</v>
      </c>
    </row>
    <row r="1561" customFormat="false" ht="15" hidden="false" customHeight="false" outlineLevel="0" collapsed="false">
      <c r="A1561" s="3" t="n">
        <v>1560</v>
      </c>
      <c r="B1561" s="3" t="n">
        <f aca="false">Raw_Data!A1561</f>
        <v>31</v>
      </c>
      <c r="C1561" s="3" t="str">
        <f aca="false">SUBSTITUTE(Raw_Data!B1561,".","")</f>
        <v>admin</v>
      </c>
      <c r="D1561" s="3" t="str">
        <f aca="false">Raw_Data!C1561</f>
        <v>single</v>
      </c>
      <c r="E1561" s="3" t="str">
        <f aca="false">Raw_Data!D1561</f>
        <v>secondary</v>
      </c>
      <c r="F1561" s="3" t="str">
        <f aca="false">Raw_Data!E1561</f>
        <v>no</v>
      </c>
      <c r="G1561" s="3" t="n">
        <f aca="false">Raw_Data!F1561</f>
        <v>144</v>
      </c>
      <c r="H1561" s="3" t="str">
        <f aca="false">Raw_Data!G1561</f>
        <v>yes</v>
      </c>
      <c r="I1561" s="3" t="str">
        <f aca="false">Raw_Data!H1561</f>
        <v>no</v>
      </c>
      <c r="J1561" s="2" t="n">
        <f aca="false">IF(F1561="yes",1,0)</f>
        <v>0</v>
      </c>
      <c r="K1561" s="2" t="n">
        <f aca="false">IF(H1561="yes",1,0)</f>
        <v>1</v>
      </c>
      <c r="L1561" s="2" t="n">
        <f aca="false">IF(I1561="yes",1,0)</f>
        <v>0</v>
      </c>
      <c r="M1561" s="2" t="n">
        <f aca="false">IF(G1561&lt;0,1,0)</f>
        <v>0</v>
      </c>
      <c r="N1561" s="2" t="str">
        <f aca="false">_xlfn.IFS(B1561&lt;30,"Under 30",B1561&lt;40,"30-39",B1561&lt;50,"40-49",B1561&lt;60,"50-59",TRUE(),"60+")</f>
        <v>30-39</v>
      </c>
      <c r="O1561" s="2" t="str">
        <f aca="false">_xlfn.IFS(G1561&lt;0,"1 Negative",G1561=0,"2 Zero",G1561&lt;=500,"3 1-500",G1561&lt;=2000,"4 501-2000",TRUE(),"5 Above 2000")</f>
        <v>3 1-500</v>
      </c>
      <c r="P1561" s="2" t="n">
        <f aca="false">Lookups!$B$2*M1561+Lookups!$B$3*L1561</f>
        <v>0</v>
      </c>
      <c r="Q1561" s="2" t="str">
        <f aca="false">INDEX(Lookups!$E$2:$E$5,MATCH(P1561,Lookups!$D$2:$D$5,0))</f>
        <v>Low</v>
      </c>
    </row>
    <row r="1562" customFormat="false" ht="15" hidden="false" customHeight="false" outlineLevel="0" collapsed="false">
      <c r="A1562" s="3" t="n">
        <v>1561</v>
      </c>
      <c r="B1562" s="3" t="n">
        <f aca="false">Raw_Data!A1562</f>
        <v>52</v>
      </c>
      <c r="C1562" s="3" t="str">
        <f aca="false">SUBSTITUTE(Raw_Data!B1562,".","")</f>
        <v>management</v>
      </c>
      <c r="D1562" s="3" t="str">
        <f aca="false">Raw_Data!C1562</f>
        <v>married</v>
      </c>
      <c r="E1562" s="3" t="str">
        <f aca="false">Raw_Data!D1562</f>
        <v>tertiary</v>
      </c>
      <c r="F1562" s="3" t="str">
        <f aca="false">Raw_Data!E1562</f>
        <v>no</v>
      </c>
      <c r="G1562" s="3" t="n">
        <f aca="false">Raw_Data!F1562</f>
        <v>1339</v>
      </c>
      <c r="H1562" s="3" t="str">
        <f aca="false">Raw_Data!G1562</f>
        <v>yes</v>
      </c>
      <c r="I1562" s="3" t="str">
        <f aca="false">Raw_Data!H1562</f>
        <v>no</v>
      </c>
      <c r="J1562" s="2" t="n">
        <f aca="false">IF(F1562="yes",1,0)</f>
        <v>0</v>
      </c>
      <c r="K1562" s="2" t="n">
        <f aca="false">IF(H1562="yes",1,0)</f>
        <v>1</v>
      </c>
      <c r="L1562" s="2" t="n">
        <f aca="false">IF(I1562="yes",1,0)</f>
        <v>0</v>
      </c>
      <c r="M1562" s="2" t="n">
        <f aca="false">IF(G1562&lt;0,1,0)</f>
        <v>0</v>
      </c>
      <c r="N1562" s="2" t="str">
        <f aca="false">_xlfn.IFS(B1562&lt;30,"Under 30",B1562&lt;40,"30-39",B1562&lt;50,"40-49",B1562&lt;60,"50-59",TRUE(),"60+")</f>
        <v>50-59</v>
      </c>
      <c r="O1562" s="2" t="str">
        <f aca="false">_xlfn.IFS(G1562&lt;0,"1 Negative",G1562=0,"2 Zero",G1562&lt;=500,"3 1-500",G1562&lt;=2000,"4 501-2000",TRUE(),"5 Above 2000")</f>
        <v>4 501-2000</v>
      </c>
      <c r="P1562" s="2" t="n">
        <f aca="false">Lookups!$B$2*M1562+Lookups!$B$3*L1562</f>
        <v>0</v>
      </c>
      <c r="Q1562" s="2" t="str">
        <f aca="false">INDEX(Lookups!$E$2:$E$5,MATCH(P1562,Lookups!$D$2:$D$5,0))</f>
        <v>Low</v>
      </c>
    </row>
    <row r="1563" customFormat="false" ht="15" hidden="false" customHeight="false" outlineLevel="0" collapsed="false">
      <c r="A1563" s="3" t="n">
        <v>1562</v>
      </c>
      <c r="B1563" s="3" t="n">
        <f aca="false">Raw_Data!A1563</f>
        <v>54</v>
      </c>
      <c r="C1563" s="3" t="str">
        <f aca="false">SUBSTITUTE(Raw_Data!B1563,".","")</f>
        <v>services</v>
      </c>
      <c r="D1563" s="3" t="str">
        <f aca="false">Raw_Data!C1563</f>
        <v>married</v>
      </c>
      <c r="E1563" s="3" t="str">
        <f aca="false">Raw_Data!D1563</f>
        <v>unknown</v>
      </c>
      <c r="F1563" s="3" t="str">
        <f aca="false">Raw_Data!E1563</f>
        <v>no</v>
      </c>
      <c r="G1563" s="3" t="n">
        <f aca="false">Raw_Data!F1563</f>
        <v>386</v>
      </c>
      <c r="H1563" s="3" t="str">
        <f aca="false">Raw_Data!G1563</f>
        <v>no</v>
      </c>
      <c r="I1563" s="3" t="str">
        <f aca="false">Raw_Data!H1563</f>
        <v>yes</v>
      </c>
      <c r="J1563" s="2" t="n">
        <f aca="false">IF(F1563="yes",1,0)</f>
        <v>0</v>
      </c>
      <c r="K1563" s="2" t="n">
        <f aca="false">IF(H1563="yes",1,0)</f>
        <v>0</v>
      </c>
      <c r="L1563" s="2" t="n">
        <f aca="false">IF(I1563="yes",1,0)</f>
        <v>1</v>
      </c>
      <c r="M1563" s="2" t="n">
        <f aca="false">IF(G1563&lt;0,1,0)</f>
        <v>0</v>
      </c>
      <c r="N1563" s="2" t="str">
        <f aca="false">_xlfn.IFS(B1563&lt;30,"Under 30",B1563&lt;40,"30-39",B1563&lt;50,"40-49",B1563&lt;60,"50-59",TRUE(),"60+")</f>
        <v>50-59</v>
      </c>
      <c r="O1563" s="2" t="str">
        <f aca="false">_xlfn.IFS(G1563&lt;0,"1 Negative",G1563=0,"2 Zero",G1563&lt;=500,"3 1-500",G1563&lt;=2000,"4 501-2000",TRUE(),"5 Above 2000")</f>
        <v>3 1-500</v>
      </c>
      <c r="P1563" s="2" t="n">
        <f aca="false">Lookups!$B$2*M1563+Lookups!$B$3*L1563</f>
        <v>1</v>
      </c>
      <c r="Q1563" s="2" t="str">
        <f aca="false">INDEX(Lookups!$E$2:$E$5,MATCH(P1563,Lookups!$D$2:$D$5,0))</f>
        <v>Medium</v>
      </c>
    </row>
    <row r="1564" customFormat="false" ht="15" hidden="false" customHeight="false" outlineLevel="0" collapsed="false">
      <c r="A1564" s="3" t="n">
        <v>1563</v>
      </c>
      <c r="B1564" s="3" t="n">
        <f aca="false">Raw_Data!A1564</f>
        <v>43</v>
      </c>
      <c r="C1564" s="3" t="str">
        <f aca="false">SUBSTITUTE(Raw_Data!B1564,".","")</f>
        <v>blue-collar</v>
      </c>
      <c r="D1564" s="3" t="str">
        <f aca="false">Raw_Data!C1564</f>
        <v>married</v>
      </c>
      <c r="E1564" s="3" t="str">
        <f aca="false">Raw_Data!D1564</f>
        <v>primary</v>
      </c>
      <c r="F1564" s="3" t="str">
        <f aca="false">Raw_Data!E1564</f>
        <v>no</v>
      </c>
      <c r="G1564" s="3" t="n">
        <f aca="false">Raw_Data!F1564</f>
        <v>7727</v>
      </c>
      <c r="H1564" s="3" t="str">
        <f aca="false">Raw_Data!G1564</f>
        <v>yes</v>
      </c>
      <c r="I1564" s="3" t="str">
        <f aca="false">Raw_Data!H1564</f>
        <v>no</v>
      </c>
      <c r="J1564" s="2" t="n">
        <f aca="false">IF(F1564="yes",1,0)</f>
        <v>0</v>
      </c>
      <c r="K1564" s="2" t="n">
        <f aca="false">IF(H1564="yes",1,0)</f>
        <v>1</v>
      </c>
      <c r="L1564" s="2" t="n">
        <f aca="false">IF(I1564="yes",1,0)</f>
        <v>0</v>
      </c>
      <c r="M1564" s="2" t="n">
        <f aca="false">IF(G1564&lt;0,1,0)</f>
        <v>0</v>
      </c>
      <c r="N1564" s="2" t="str">
        <f aca="false">_xlfn.IFS(B1564&lt;30,"Under 30",B1564&lt;40,"30-39",B1564&lt;50,"40-49",B1564&lt;60,"50-59",TRUE(),"60+")</f>
        <v>40-49</v>
      </c>
      <c r="O1564" s="2" t="str">
        <f aca="false">_xlfn.IFS(G1564&lt;0,"1 Negative",G1564=0,"2 Zero",G1564&lt;=500,"3 1-500",G1564&lt;=2000,"4 501-2000",TRUE(),"5 Above 2000")</f>
        <v>5 Above 2000</v>
      </c>
      <c r="P1564" s="2" t="n">
        <f aca="false">Lookups!$B$2*M1564+Lookups!$B$3*L1564</f>
        <v>0</v>
      </c>
      <c r="Q1564" s="2" t="str">
        <f aca="false">INDEX(Lookups!$E$2:$E$5,MATCH(P1564,Lookups!$D$2:$D$5,0))</f>
        <v>Low</v>
      </c>
    </row>
    <row r="1565" customFormat="false" ht="15" hidden="false" customHeight="false" outlineLevel="0" collapsed="false">
      <c r="A1565" s="3" t="n">
        <v>1564</v>
      </c>
      <c r="B1565" s="3" t="n">
        <f aca="false">Raw_Data!A1565</f>
        <v>55</v>
      </c>
      <c r="C1565" s="3" t="str">
        <f aca="false">SUBSTITUTE(Raw_Data!B1565,".","")</f>
        <v>entrepreneur</v>
      </c>
      <c r="D1565" s="3" t="str">
        <f aca="false">Raw_Data!C1565</f>
        <v>married</v>
      </c>
      <c r="E1565" s="3" t="str">
        <f aca="false">Raw_Data!D1565</f>
        <v>secondary</v>
      </c>
      <c r="F1565" s="3" t="str">
        <f aca="false">Raw_Data!E1565</f>
        <v>no</v>
      </c>
      <c r="G1565" s="3" t="n">
        <f aca="false">Raw_Data!F1565</f>
        <v>204</v>
      </c>
      <c r="H1565" s="3" t="str">
        <f aca="false">Raw_Data!G1565</f>
        <v>no</v>
      </c>
      <c r="I1565" s="3" t="str">
        <f aca="false">Raw_Data!H1565</f>
        <v>no</v>
      </c>
      <c r="J1565" s="2" t="n">
        <f aca="false">IF(F1565="yes",1,0)</f>
        <v>0</v>
      </c>
      <c r="K1565" s="2" t="n">
        <f aca="false">IF(H1565="yes",1,0)</f>
        <v>0</v>
      </c>
      <c r="L1565" s="2" t="n">
        <f aca="false">IF(I1565="yes",1,0)</f>
        <v>0</v>
      </c>
      <c r="M1565" s="2" t="n">
        <f aca="false">IF(G1565&lt;0,1,0)</f>
        <v>0</v>
      </c>
      <c r="N1565" s="2" t="str">
        <f aca="false">_xlfn.IFS(B1565&lt;30,"Under 30",B1565&lt;40,"30-39",B1565&lt;50,"40-49",B1565&lt;60,"50-59",TRUE(),"60+")</f>
        <v>50-59</v>
      </c>
      <c r="O1565" s="2" t="str">
        <f aca="false">_xlfn.IFS(G1565&lt;0,"1 Negative",G1565=0,"2 Zero",G1565&lt;=500,"3 1-500",G1565&lt;=2000,"4 501-2000",TRUE(),"5 Above 2000")</f>
        <v>3 1-500</v>
      </c>
      <c r="P1565" s="2" t="n">
        <f aca="false">Lookups!$B$2*M1565+Lookups!$B$3*L1565</f>
        <v>0</v>
      </c>
      <c r="Q1565" s="2" t="str">
        <f aca="false">INDEX(Lookups!$E$2:$E$5,MATCH(P1565,Lookups!$D$2:$D$5,0))</f>
        <v>Low</v>
      </c>
    </row>
    <row r="1566" customFormat="false" ht="15" hidden="false" customHeight="false" outlineLevel="0" collapsed="false">
      <c r="A1566" s="3" t="n">
        <v>1565</v>
      </c>
      <c r="B1566" s="3" t="n">
        <f aca="false">Raw_Data!A1566</f>
        <v>28</v>
      </c>
      <c r="C1566" s="3" t="str">
        <f aca="false">SUBSTITUTE(Raw_Data!B1566,".","")</f>
        <v>blue-collar</v>
      </c>
      <c r="D1566" s="3" t="str">
        <f aca="false">Raw_Data!C1566</f>
        <v>divorced</v>
      </c>
      <c r="E1566" s="3" t="str">
        <f aca="false">Raw_Data!D1566</f>
        <v>unknown</v>
      </c>
      <c r="F1566" s="3" t="str">
        <f aca="false">Raw_Data!E1566</f>
        <v>no</v>
      </c>
      <c r="G1566" s="3" t="n">
        <f aca="false">Raw_Data!F1566</f>
        <v>101</v>
      </c>
      <c r="H1566" s="3" t="str">
        <f aca="false">Raw_Data!G1566</f>
        <v>yes</v>
      </c>
      <c r="I1566" s="3" t="str">
        <f aca="false">Raw_Data!H1566</f>
        <v>no</v>
      </c>
      <c r="J1566" s="2" t="n">
        <f aca="false">IF(F1566="yes",1,0)</f>
        <v>0</v>
      </c>
      <c r="K1566" s="2" t="n">
        <f aca="false">IF(H1566="yes",1,0)</f>
        <v>1</v>
      </c>
      <c r="L1566" s="2" t="n">
        <f aca="false">IF(I1566="yes",1,0)</f>
        <v>0</v>
      </c>
      <c r="M1566" s="2" t="n">
        <f aca="false">IF(G1566&lt;0,1,0)</f>
        <v>0</v>
      </c>
      <c r="N1566" s="2" t="str">
        <f aca="false">_xlfn.IFS(B1566&lt;30,"Under 30",B1566&lt;40,"30-39",B1566&lt;50,"40-49",B1566&lt;60,"50-59",TRUE(),"60+")</f>
        <v>Under 30</v>
      </c>
      <c r="O1566" s="2" t="str">
        <f aca="false">_xlfn.IFS(G1566&lt;0,"1 Negative",G1566=0,"2 Zero",G1566&lt;=500,"3 1-500",G1566&lt;=2000,"4 501-2000",TRUE(),"5 Above 2000")</f>
        <v>3 1-500</v>
      </c>
      <c r="P1566" s="2" t="n">
        <f aca="false">Lookups!$B$2*M1566+Lookups!$B$3*L1566</f>
        <v>0</v>
      </c>
      <c r="Q1566" s="2" t="str">
        <f aca="false">INDEX(Lookups!$E$2:$E$5,MATCH(P1566,Lookups!$D$2:$D$5,0))</f>
        <v>Low</v>
      </c>
    </row>
    <row r="1567" customFormat="false" ht="15" hidden="false" customHeight="false" outlineLevel="0" collapsed="false">
      <c r="A1567" s="3" t="n">
        <v>1566</v>
      </c>
      <c r="B1567" s="3" t="n">
        <f aca="false">Raw_Data!A1567</f>
        <v>45</v>
      </c>
      <c r="C1567" s="3" t="str">
        <f aca="false">SUBSTITUTE(Raw_Data!B1567,".","")</f>
        <v>unemployed</v>
      </c>
      <c r="D1567" s="3" t="str">
        <f aca="false">Raw_Data!C1567</f>
        <v>divorced</v>
      </c>
      <c r="E1567" s="3" t="str">
        <f aca="false">Raw_Data!D1567</f>
        <v>secondary</v>
      </c>
      <c r="F1567" s="3" t="str">
        <f aca="false">Raw_Data!E1567</f>
        <v>no</v>
      </c>
      <c r="G1567" s="3" t="n">
        <f aca="false">Raw_Data!F1567</f>
        <v>728</v>
      </c>
      <c r="H1567" s="3" t="str">
        <f aca="false">Raw_Data!G1567</f>
        <v>yes</v>
      </c>
      <c r="I1567" s="3" t="str">
        <f aca="false">Raw_Data!H1567</f>
        <v>yes</v>
      </c>
      <c r="J1567" s="2" t="n">
        <f aca="false">IF(F1567="yes",1,0)</f>
        <v>0</v>
      </c>
      <c r="K1567" s="2" t="n">
        <f aca="false">IF(H1567="yes",1,0)</f>
        <v>1</v>
      </c>
      <c r="L1567" s="2" t="n">
        <f aca="false">IF(I1567="yes",1,0)</f>
        <v>1</v>
      </c>
      <c r="M1567" s="2" t="n">
        <f aca="false">IF(G1567&lt;0,1,0)</f>
        <v>0</v>
      </c>
      <c r="N1567" s="2" t="str">
        <f aca="false">_xlfn.IFS(B1567&lt;30,"Under 30",B1567&lt;40,"30-39",B1567&lt;50,"40-49",B1567&lt;60,"50-59",TRUE(),"60+")</f>
        <v>40-49</v>
      </c>
      <c r="O1567" s="2" t="str">
        <f aca="false">_xlfn.IFS(G1567&lt;0,"1 Negative",G1567=0,"2 Zero",G1567&lt;=500,"3 1-500",G1567&lt;=2000,"4 501-2000",TRUE(),"5 Above 2000")</f>
        <v>4 501-2000</v>
      </c>
      <c r="P1567" s="2" t="n">
        <f aca="false">Lookups!$B$2*M1567+Lookups!$B$3*L1567</f>
        <v>1</v>
      </c>
      <c r="Q1567" s="2" t="str">
        <f aca="false">INDEX(Lookups!$E$2:$E$5,MATCH(P1567,Lookups!$D$2:$D$5,0))</f>
        <v>Medium</v>
      </c>
    </row>
    <row r="1568" customFormat="false" ht="15" hidden="false" customHeight="false" outlineLevel="0" collapsed="false">
      <c r="A1568" s="3" t="n">
        <v>1567</v>
      </c>
      <c r="B1568" s="3" t="n">
        <f aca="false">Raw_Data!A1568</f>
        <v>45</v>
      </c>
      <c r="C1568" s="3" t="str">
        <f aca="false">SUBSTITUTE(Raw_Data!B1568,".","")</f>
        <v>entrepreneur</v>
      </c>
      <c r="D1568" s="3" t="str">
        <f aca="false">Raw_Data!C1568</f>
        <v>married</v>
      </c>
      <c r="E1568" s="3" t="str">
        <f aca="false">Raw_Data!D1568</f>
        <v>primary</v>
      </c>
      <c r="F1568" s="3" t="str">
        <f aca="false">Raw_Data!E1568</f>
        <v>no</v>
      </c>
      <c r="G1568" s="3" t="n">
        <f aca="false">Raw_Data!F1568</f>
        <v>2418</v>
      </c>
      <c r="H1568" s="3" t="str">
        <f aca="false">Raw_Data!G1568</f>
        <v>yes</v>
      </c>
      <c r="I1568" s="3" t="str">
        <f aca="false">Raw_Data!H1568</f>
        <v>no</v>
      </c>
      <c r="J1568" s="2" t="n">
        <f aca="false">IF(F1568="yes",1,0)</f>
        <v>0</v>
      </c>
      <c r="K1568" s="2" t="n">
        <f aca="false">IF(H1568="yes",1,0)</f>
        <v>1</v>
      </c>
      <c r="L1568" s="2" t="n">
        <f aca="false">IF(I1568="yes",1,0)</f>
        <v>0</v>
      </c>
      <c r="M1568" s="2" t="n">
        <f aca="false">IF(G1568&lt;0,1,0)</f>
        <v>0</v>
      </c>
      <c r="N1568" s="2" t="str">
        <f aca="false">_xlfn.IFS(B1568&lt;30,"Under 30",B1568&lt;40,"30-39",B1568&lt;50,"40-49",B1568&lt;60,"50-59",TRUE(),"60+")</f>
        <v>40-49</v>
      </c>
      <c r="O1568" s="2" t="str">
        <f aca="false">_xlfn.IFS(G1568&lt;0,"1 Negative",G1568=0,"2 Zero",G1568&lt;=500,"3 1-500",G1568&lt;=2000,"4 501-2000",TRUE(),"5 Above 2000")</f>
        <v>5 Above 2000</v>
      </c>
      <c r="P1568" s="2" t="n">
        <f aca="false">Lookups!$B$2*M1568+Lookups!$B$3*L1568</f>
        <v>0</v>
      </c>
      <c r="Q1568" s="2" t="str">
        <f aca="false">INDEX(Lookups!$E$2:$E$5,MATCH(P1568,Lookups!$D$2:$D$5,0))</f>
        <v>Low</v>
      </c>
    </row>
    <row r="1569" customFormat="false" ht="15" hidden="false" customHeight="false" outlineLevel="0" collapsed="false">
      <c r="A1569" s="3" t="n">
        <v>1568</v>
      </c>
      <c r="B1569" s="3" t="n">
        <f aca="false">Raw_Data!A1569</f>
        <v>51</v>
      </c>
      <c r="C1569" s="3" t="str">
        <f aca="false">SUBSTITUTE(Raw_Data!B1569,".","")</f>
        <v>management</v>
      </c>
      <c r="D1569" s="3" t="str">
        <f aca="false">Raw_Data!C1569</f>
        <v>married</v>
      </c>
      <c r="E1569" s="3" t="str">
        <f aca="false">Raw_Data!D1569</f>
        <v>tertiary</v>
      </c>
      <c r="F1569" s="3" t="str">
        <f aca="false">Raw_Data!E1569</f>
        <v>no</v>
      </c>
      <c r="G1569" s="3" t="n">
        <f aca="false">Raw_Data!F1569</f>
        <v>2934</v>
      </c>
      <c r="H1569" s="3" t="str">
        <f aca="false">Raw_Data!G1569</f>
        <v>yes</v>
      </c>
      <c r="I1569" s="3" t="str">
        <f aca="false">Raw_Data!H1569</f>
        <v>no</v>
      </c>
      <c r="J1569" s="2" t="n">
        <f aca="false">IF(F1569="yes",1,0)</f>
        <v>0</v>
      </c>
      <c r="K1569" s="2" t="n">
        <f aca="false">IF(H1569="yes",1,0)</f>
        <v>1</v>
      </c>
      <c r="L1569" s="2" t="n">
        <f aca="false">IF(I1569="yes",1,0)</f>
        <v>0</v>
      </c>
      <c r="M1569" s="2" t="n">
        <f aca="false">IF(G1569&lt;0,1,0)</f>
        <v>0</v>
      </c>
      <c r="N1569" s="2" t="str">
        <f aca="false">_xlfn.IFS(B1569&lt;30,"Under 30",B1569&lt;40,"30-39",B1569&lt;50,"40-49",B1569&lt;60,"50-59",TRUE(),"60+")</f>
        <v>50-59</v>
      </c>
      <c r="O1569" s="2" t="str">
        <f aca="false">_xlfn.IFS(G1569&lt;0,"1 Negative",G1569=0,"2 Zero",G1569&lt;=500,"3 1-500",G1569&lt;=2000,"4 501-2000",TRUE(),"5 Above 2000")</f>
        <v>5 Above 2000</v>
      </c>
      <c r="P1569" s="2" t="n">
        <f aca="false">Lookups!$B$2*M1569+Lookups!$B$3*L1569</f>
        <v>0</v>
      </c>
      <c r="Q1569" s="2" t="str">
        <f aca="false">INDEX(Lookups!$E$2:$E$5,MATCH(P1569,Lookups!$D$2:$D$5,0))</f>
        <v>Low</v>
      </c>
    </row>
    <row r="1570" customFormat="false" ht="15" hidden="false" customHeight="false" outlineLevel="0" collapsed="false">
      <c r="A1570" s="3" t="n">
        <v>1569</v>
      </c>
      <c r="B1570" s="3" t="n">
        <f aca="false">Raw_Data!A1570</f>
        <v>42</v>
      </c>
      <c r="C1570" s="3" t="str">
        <f aca="false">SUBSTITUTE(Raw_Data!B1570,".","")</f>
        <v>technician</v>
      </c>
      <c r="D1570" s="3" t="str">
        <f aca="false">Raw_Data!C1570</f>
        <v>single</v>
      </c>
      <c r="E1570" s="3" t="str">
        <f aca="false">Raw_Data!D1570</f>
        <v>secondary</v>
      </c>
      <c r="F1570" s="3" t="str">
        <f aca="false">Raw_Data!E1570</f>
        <v>no</v>
      </c>
      <c r="G1570" s="3" t="n">
        <f aca="false">Raw_Data!F1570</f>
        <v>0</v>
      </c>
      <c r="H1570" s="3" t="str">
        <f aca="false">Raw_Data!G1570</f>
        <v>yes</v>
      </c>
      <c r="I1570" s="3" t="str">
        <f aca="false">Raw_Data!H1570</f>
        <v>no</v>
      </c>
      <c r="J1570" s="2" t="n">
        <f aca="false">IF(F1570="yes",1,0)</f>
        <v>0</v>
      </c>
      <c r="K1570" s="2" t="n">
        <f aca="false">IF(H1570="yes",1,0)</f>
        <v>1</v>
      </c>
      <c r="L1570" s="2" t="n">
        <f aca="false">IF(I1570="yes",1,0)</f>
        <v>0</v>
      </c>
      <c r="M1570" s="2" t="n">
        <f aca="false">IF(G1570&lt;0,1,0)</f>
        <v>0</v>
      </c>
      <c r="N1570" s="2" t="str">
        <f aca="false">_xlfn.IFS(B1570&lt;30,"Under 30",B1570&lt;40,"30-39",B1570&lt;50,"40-49",B1570&lt;60,"50-59",TRUE(),"60+")</f>
        <v>40-49</v>
      </c>
      <c r="O1570" s="2" t="str">
        <f aca="false">_xlfn.IFS(G1570&lt;0,"1 Negative",G1570=0,"2 Zero",G1570&lt;=500,"3 1-500",G1570&lt;=2000,"4 501-2000",TRUE(),"5 Above 2000")</f>
        <v>2 Zero</v>
      </c>
      <c r="P1570" s="2" t="n">
        <f aca="false">Lookups!$B$2*M1570+Lookups!$B$3*L1570</f>
        <v>0</v>
      </c>
      <c r="Q1570" s="2" t="str">
        <f aca="false">INDEX(Lookups!$E$2:$E$5,MATCH(P1570,Lookups!$D$2:$D$5,0))</f>
        <v>Low</v>
      </c>
    </row>
    <row r="1571" customFormat="false" ht="15" hidden="false" customHeight="false" outlineLevel="0" collapsed="false">
      <c r="A1571" s="3" t="n">
        <v>1570</v>
      </c>
      <c r="B1571" s="3" t="n">
        <f aca="false">Raw_Data!A1571</f>
        <v>43</v>
      </c>
      <c r="C1571" s="3" t="str">
        <f aca="false">SUBSTITUTE(Raw_Data!B1571,".","")</f>
        <v>unknown</v>
      </c>
      <c r="D1571" s="3" t="str">
        <f aca="false">Raw_Data!C1571</f>
        <v>single</v>
      </c>
      <c r="E1571" s="3" t="str">
        <f aca="false">Raw_Data!D1571</f>
        <v>unknown</v>
      </c>
      <c r="F1571" s="3" t="str">
        <f aca="false">Raw_Data!E1571</f>
        <v>no</v>
      </c>
      <c r="G1571" s="3" t="n">
        <f aca="false">Raw_Data!F1571</f>
        <v>181</v>
      </c>
      <c r="H1571" s="3" t="str">
        <f aca="false">Raw_Data!G1571</f>
        <v>no</v>
      </c>
      <c r="I1571" s="3" t="str">
        <f aca="false">Raw_Data!H1571</f>
        <v>no</v>
      </c>
      <c r="J1571" s="2" t="n">
        <f aca="false">IF(F1571="yes",1,0)</f>
        <v>0</v>
      </c>
      <c r="K1571" s="2" t="n">
        <f aca="false">IF(H1571="yes",1,0)</f>
        <v>0</v>
      </c>
      <c r="L1571" s="2" t="n">
        <f aca="false">IF(I1571="yes",1,0)</f>
        <v>0</v>
      </c>
      <c r="M1571" s="2" t="n">
        <f aca="false">IF(G1571&lt;0,1,0)</f>
        <v>0</v>
      </c>
      <c r="N1571" s="2" t="str">
        <f aca="false">_xlfn.IFS(B1571&lt;30,"Under 30",B1571&lt;40,"30-39",B1571&lt;50,"40-49",B1571&lt;60,"50-59",TRUE(),"60+")</f>
        <v>40-49</v>
      </c>
      <c r="O1571" s="2" t="str">
        <f aca="false">_xlfn.IFS(G1571&lt;0,"1 Negative",G1571=0,"2 Zero",G1571&lt;=500,"3 1-500",G1571&lt;=2000,"4 501-2000",TRUE(),"5 Above 2000")</f>
        <v>3 1-500</v>
      </c>
      <c r="P1571" s="2" t="n">
        <f aca="false">Lookups!$B$2*M1571+Lookups!$B$3*L1571</f>
        <v>0</v>
      </c>
      <c r="Q1571" s="2" t="str">
        <f aca="false">INDEX(Lookups!$E$2:$E$5,MATCH(P1571,Lookups!$D$2:$D$5,0))</f>
        <v>Low</v>
      </c>
    </row>
    <row r="1572" customFormat="false" ht="15" hidden="false" customHeight="false" outlineLevel="0" collapsed="false">
      <c r="A1572" s="3" t="n">
        <v>1571</v>
      </c>
      <c r="B1572" s="3" t="n">
        <f aca="false">Raw_Data!A1572</f>
        <v>34</v>
      </c>
      <c r="C1572" s="3" t="str">
        <f aca="false">SUBSTITUTE(Raw_Data!B1572,".","")</f>
        <v>management</v>
      </c>
      <c r="D1572" s="3" t="str">
        <f aca="false">Raw_Data!C1572</f>
        <v>married</v>
      </c>
      <c r="E1572" s="3" t="str">
        <f aca="false">Raw_Data!D1572</f>
        <v>tertiary</v>
      </c>
      <c r="F1572" s="3" t="str">
        <f aca="false">Raw_Data!E1572</f>
        <v>no</v>
      </c>
      <c r="G1572" s="3" t="n">
        <f aca="false">Raw_Data!F1572</f>
        <v>176</v>
      </c>
      <c r="H1572" s="3" t="str">
        <f aca="false">Raw_Data!G1572</f>
        <v>no</v>
      </c>
      <c r="I1572" s="3" t="str">
        <f aca="false">Raw_Data!H1572</f>
        <v>no</v>
      </c>
      <c r="J1572" s="2" t="n">
        <f aca="false">IF(F1572="yes",1,0)</f>
        <v>0</v>
      </c>
      <c r="K1572" s="2" t="n">
        <f aca="false">IF(H1572="yes",1,0)</f>
        <v>0</v>
      </c>
      <c r="L1572" s="2" t="n">
        <f aca="false">IF(I1572="yes",1,0)</f>
        <v>0</v>
      </c>
      <c r="M1572" s="2" t="n">
        <f aca="false">IF(G1572&lt;0,1,0)</f>
        <v>0</v>
      </c>
      <c r="N1572" s="2" t="str">
        <f aca="false">_xlfn.IFS(B1572&lt;30,"Under 30",B1572&lt;40,"30-39",B1572&lt;50,"40-49",B1572&lt;60,"50-59",TRUE(),"60+")</f>
        <v>30-39</v>
      </c>
      <c r="O1572" s="2" t="str">
        <f aca="false">_xlfn.IFS(G1572&lt;0,"1 Negative",G1572=0,"2 Zero",G1572&lt;=500,"3 1-500",G1572&lt;=2000,"4 501-2000",TRUE(),"5 Above 2000")</f>
        <v>3 1-500</v>
      </c>
      <c r="P1572" s="2" t="n">
        <f aca="false">Lookups!$B$2*M1572+Lookups!$B$3*L1572</f>
        <v>0</v>
      </c>
      <c r="Q1572" s="2" t="str">
        <f aca="false">INDEX(Lookups!$E$2:$E$5,MATCH(P1572,Lookups!$D$2:$D$5,0))</f>
        <v>Low</v>
      </c>
    </row>
    <row r="1573" customFormat="false" ht="15" hidden="false" customHeight="false" outlineLevel="0" collapsed="false">
      <c r="A1573" s="3" t="n">
        <v>1572</v>
      </c>
      <c r="B1573" s="3" t="n">
        <f aca="false">Raw_Data!A1573</f>
        <v>36</v>
      </c>
      <c r="C1573" s="3" t="str">
        <f aca="false">SUBSTITUTE(Raw_Data!B1573,".","")</f>
        <v>blue-collar</v>
      </c>
      <c r="D1573" s="3" t="str">
        <f aca="false">Raw_Data!C1573</f>
        <v>married</v>
      </c>
      <c r="E1573" s="3" t="str">
        <f aca="false">Raw_Data!D1573</f>
        <v>primary</v>
      </c>
      <c r="F1573" s="3" t="str">
        <f aca="false">Raw_Data!E1573</f>
        <v>no</v>
      </c>
      <c r="G1573" s="3" t="n">
        <f aca="false">Raw_Data!F1573</f>
        <v>49</v>
      </c>
      <c r="H1573" s="3" t="str">
        <f aca="false">Raw_Data!G1573</f>
        <v>yes</v>
      </c>
      <c r="I1573" s="3" t="str">
        <f aca="false">Raw_Data!H1573</f>
        <v>no</v>
      </c>
      <c r="J1573" s="2" t="n">
        <f aca="false">IF(F1573="yes",1,0)</f>
        <v>0</v>
      </c>
      <c r="K1573" s="2" t="n">
        <f aca="false">IF(H1573="yes",1,0)</f>
        <v>1</v>
      </c>
      <c r="L1573" s="2" t="n">
        <f aca="false">IF(I1573="yes",1,0)</f>
        <v>0</v>
      </c>
      <c r="M1573" s="2" t="n">
        <f aca="false">IF(G1573&lt;0,1,0)</f>
        <v>0</v>
      </c>
      <c r="N1573" s="2" t="str">
        <f aca="false">_xlfn.IFS(B1573&lt;30,"Under 30",B1573&lt;40,"30-39",B1573&lt;50,"40-49",B1573&lt;60,"50-59",TRUE(),"60+")</f>
        <v>30-39</v>
      </c>
      <c r="O1573" s="2" t="str">
        <f aca="false">_xlfn.IFS(G1573&lt;0,"1 Negative",G1573=0,"2 Zero",G1573&lt;=500,"3 1-500",G1573&lt;=2000,"4 501-2000",TRUE(),"5 Above 2000")</f>
        <v>3 1-500</v>
      </c>
      <c r="P1573" s="2" t="n">
        <f aca="false">Lookups!$B$2*M1573+Lookups!$B$3*L1573</f>
        <v>0</v>
      </c>
      <c r="Q1573" s="2" t="str">
        <f aca="false">INDEX(Lookups!$E$2:$E$5,MATCH(P1573,Lookups!$D$2:$D$5,0))</f>
        <v>Low</v>
      </c>
    </row>
    <row r="1574" customFormat="false" ht="15" hidden="false" customHeight="false" outlineLevel="0" collapsed="false">
      <c r="A1574" s="3" t="n">
        <v>1573</v>
      </c>
      <c r="B1574" s="3" t="n">
        <f aca="false">Raw_Data!A1574</f>
        <v>37</v>
      </c>
      <c r="C1574" s="3" t="str">
        <f aca="false">SUBSTITUTE(Raw_Data!B1574,".","")</f>
        <v>blue-collar</v>
      </c>
      <c r="D1574" s="3" t="str">
        <f aca="false">Raw_Data!C1574</f>
        <v>married</v>
      </c>
      <c r="E1574" s="3" t="str">
        <f aca="false">Raw_Data!D1574</f>
        <v>secondary</v>
      </c>
      <c r="F1574" s="3" t="str">
        <f aca="false">Raw_Data!E1574</f>
        <v>no</v>
      </c>
      <c r="G1574" s="3" t="n">
        <f aca="false">Raw_Data!F1574</f>
        <v>2023</v>
      </c>
      <c r="H1574" s="3" t="str">
        <f aca="false">Raw_Data!G1574</f>
        <v>yes</v>
      </c>
      <c r="I1574" s="3" t="str">
        <f aca="false">Raw_Data!H1574</f>
        <v>no</v>
      </c>
      <c r="J1574" s="2" t="n">
        <f aca="false">IF(F1574="yes",1,0)</f>
        <v>0</v>
      </c>
      <c r="K1574" s="2" t="n">
        <f aca="false">IF(H1574="yes",1,0)</f>
        <v>1</v>
      </c>
      <c r="L1574" s="2" t="n">
        <f aca="false">IF(I1574="yes",1,0)</f>
        <v>0</v>
      </c>
      <c r="M1574" s="2" t="n">
        <f aca="false">IF(G1574&lt;0,1,0)</f>
        <v>0</v>
      </c>
      <c r="N1574" s="2" t="str">
        <f aca="false">_xlfn.IFS(B1574&lt;30,"Under 30",B1574&lt;40,"30-39",B1574&lt;50,"40-49",B1574&lt;60,"50-59",TRUE(),"60+")</f>
        <v>30-39</v>
      </c>
      <c r="O1574" s="2" t="str">
        <f aca="false">_xlfn.IFS(G1574&lt;0,"1 Negative",G1574=0,"2 Zero",G1574&lt;=500,"3 1-500",G1574&lt;=2000,"4 501-2000",TRUE(),"5 Above 2000")</f>
        <v>5 Above 2000</v>
      </c>
      <c r="P1574" s="2" t="n">
        <f aca="false">Lookups!$B$2*M1574+Lookups!$B$3*L1574</f>
        <v>0</v>
      </c>
      <c r="Q1574" s="2" t="str">
        <f aca="false">INDEX(Lookups!$E$2:$E$5,MATCH(P1574,Lookups!$D$2:$D$5,0))</f>
        <v>Low</v>
      </c>
    </row>
    <row r="1575" customFormat="false" ht="15" hidden="false" customHeight="false" outlineLevel="0" collapsed="false">
      <c r="A1575" s="3" t="n">
        <v>1574</v>
      </c>
      <c r="B1575" s="3" t="n">
        <f aca="false">Raw_Data!A1575</f>
        <v>50</v>
      </c>
      <c r="C1575" s="3" t="str">
        <f aca="false">SUBSTITUTE(Raw_Data!B1575,".","")</f>
        <v>blue-collar</v>
      </c>
      <c r="D1575" s="3" t="str">
        <f aca="false">Raw_Data!C1575</f>
        <v>married</v>
      </c>
      <c r="E1575" s="3" t="str">
        <f aca="false">Raw_Data!D1575</f>
        <v>secondary</v>
      </c>
      <c r="F1575" s="3" t="str">
        <f aca="false">Raw_Data!E1575</f>
        <v>no</v>
      </c>
      <c r="G1575" s="3" t="n">
        <f aca="false">Raw_Data!F1575</f>
        <v>372</v>
      </c>
      <c r="H1575" s="3" t="str">
        <f aca="false">Raw_Data!G1575</f>
        <v>yes</v>
      </c>
      <c r="I1575" s="3" t="str">
        <f aca="false">Raw_Data!H1575</f>
        <v>no</v>
      </c>
      <c r="J1575" s="2" t="n">
        <f aca="false">IF(F1575="yes",1,0)</f>
        <v>0</v>
      </c>
      <c r="K1575" s="2" t="n">
        <f aca="false">IF(H1575="yes",1,0)</f>
        <v>1</v>
      </c>
      <c r="L1575" s="2" t="n">
        <f aca="false">IF(I1575="yes",1,0)</f>
        <v>0</v>
      </c>
      <c r="M1575" s="2" t="n">
        <f aca="false">IF(G1575&lt;0,1,0)</f>
        <v>0</v>
      </c>
      <c r="N1575" s="2" t="str">
        <f aca="false">_xlfn.IFS(B1575&lt;30,"Under 30",B1575&lt;40,"30-39",B1575&lt;50,"40-49",B1575&lt;60,"50-59",TRUE(),"60+")</f>
        <v>50-59</v>
      </c>
      <c r="O1575" s="2" t="str">
        <f aca="false">_xlfn.IFS(G1575&lt;0,"1 Negative",G1575=0,"2 Zero",G1575&lt;=500,"3 1-500",G1575&lt;=2000,"4 501-2000",TRUE(),"5 Above 2000")</f>
        <v>3 1-500</v>
      </c>
      <c r="P1575" s="2" t="n">
        <f aca="false">Lookups!$B$2*M1575+Lookups!$B$3*L1575</f>
        <v>0</v>
      </c>
      <c r="Q1575" s="2" t="str">
        <f aca="false">INDEX(Lookups!$E$2:$E$5,MATCH(P1575,Lookups!$D$2:$D$5,0))</f>
        <v>Low</v>
      </c>
    </row>
    <row r="1576" customFormat="false" ht="15" hidden="false" customHeight="false" outlineLevel="0" collapsed="false">
      <c r="A1576" s="3" t="n">
        <v>1575</v>
      </c>
      <c r="B1576" s="3" t="n">
        <f aca="false">Raw_Data!A1576</f>
        <v>42</v>
      </c>
      <c r="C1576" s="3" t="str">
        <f aca="false">SUBSTITUTE(Raw_Data!B1576,".","")</f>
        <v>management</v>
      </c>
      <c r="D1576" s="3" t="str">
        <f aca="false">Raw_Data!C1576</f>
        <v>divorced</v>
      </c>
      <c r="E1576" s="3" t="str">
        <f aca="false">Raw_Data!D1576</f>
        <v>unknown</v>
      </c>
      <c r="F1576" s="3" t="str">
        <f aca="false">Raw_Data!E1576</f>
        <v>no</v>
      </c>
      <c r="G1576" s="3" t="n">
        <f aca="false">Raw_Data!F1576</f>
        <v>7702</v>
      </c>
      <c r="H1576" s="3" t="str">
        <f aca="false">Raw_Data!G1576</f>
        <v>no</v>
      </c>
      <c r="I1576" s="3" t="str">
        <f aca="false">Raw_Data!H1576</f>
        <v>no</v>
      </c>
      <c r="J1576" s="2" t="n">
        <f aca="false">IF(F1576="yes",1,0)</f>
        <v>0</v>
      </c>
      <c r="K1576" s="2" t="n">
        <f aca="false">IF(H1576="yes",1,0)</f>
        <v>0</v>
      </c>
      <c r="L1576" s="2" t="n">
        <f aca="false">IF(I1576="yes",1,0)</f>
        <v>0</v>
      </c>
      <c r="M1576" s="2" t="n">
        <f aca="false">IF(G1576&lt;0,1,0)</f>
        <v>0</v>
      </c>
      <c r="N1576" s="2" t="str">
        <f aca="false">_xlfn.IFS(B1576&lt;30,"Under 30",B1576&lt;40,"30-39",B1576&lt;50,"40-49",B1576&lt;60,"50-59",TRUE(),"60+")</f>
        <v>40-49</v>
      </c>
      <c r="O1576" s="2" t="str">
        <f aca="false">_xlfn.IFS(G1576&lt;0,"1 Negative",G1576=0,"2 Zero",G1576&lt;=500,"3 1-500",G1576&lt;=2000,"4 501-2000",TRUE(),"5 Above 2000")</f>
        <v>5 Above 2000</v>
      </c>
      <c r="P1576" s="2" t="n">
        <f aca="false">Lookups!$B$2*M1576+Lookups!$B$3*L1576</f>
        <v>0</v>
      </c>
      <c r="Q1576" s="2" t="str">
        <f aca="false">INDEX(Lookups!$E$2:$E$5,MATCH(P1576,Lookups!$D$2:$D$5,0))</f>
        <v>Low</v>
      </c>
    </row>
    <row r="1577" customFormat="false" ht="15" hidden="false" customHeight="false" outlineLevel="0" collapsed="false">
      <c r="A1577" s="3" t="n">
        <v>1576</v>
      </c>
      <c r="B1577" s="3" t="n">
        <f aca="false">Raw_Data!A1577</f>
        <v>34</v>
      </c>
      <c r="C1577" s="3" t="str">
        <f aca="false">SUBSTITUTE(Raw_Data!B1577,".","")</f>
        <v>blue-collar</v>
      </c>
      <c r="D1577" s="3" t="str">
        <f aca="false">Raw_Data!C1577</f>
        <v>single</v>
      </c>
      <c r="E1577" s="3" t="str">
        <f aca="false">Raw_Data!D1577</f>
        <v>primary</v>
      </c>
      <c r="F1577" s="3" t="str">
        <f aca="false">Raw_Data!E1577</f>
        <v>no</v>
      </c>
      <c r="G1577" s="3" t="n">
        <f aca="false">Raw_Data!F1577</f>
        <v>464</v>
      </c>
      <c r="H1577" s="3" t="str">
        <f aca="false">Raw_Data!G1577</f>
        <v>yes</v>
      </c>
      <c r="I1577" s="3" t="str">
        <f aca="false">Raw_Data!H1577</f>
        <v>no</v>
      </c>
      <c r="J1577" s="2" t="n">
        <f aca="false">IF(F1577="yes",1,0)</f>
        <v>0</v>
      </c>
      <c r="K1577" s="2" t="n">
        <f aca="false">IF(H1577="yes",1,0)</f>
        <v>1</v>
      </c>
      <c r="L1577" s="2" t="n">
        <f aca="false">IF(I1577="yes",1,0)</f>
        <v>0</v>
      </c>
      <c r="M1577" s="2" t="n">
        <f aca="false">IF(G1577&lt;0,1,0)</f>
        <v>0</v>
      </c>
      <c r="N1577" s="2" t="str">
        <f aca="false">_xlfn.IFS(B1577&lt;30,"Under 30",B1577&lt;40,"30-39",B1577&lt;50,"40-49",B1577&lt;60,"50-59",TRUE(),"60+")</f>
        <v>30-39</v>
      </c>
      <c r="O1577" s="2" t="str">
        <f aca="false">_xlfn.IFS(G1577&lt;0,"1 Negative",G1577=0,"2 Zero",G1577&lt;=500,"3 1-500",G1577&lt;=2000,"4 501-2000",TRUE(),"5 Above 2000")</f>
        <v>3 1-500</v>
      </c>
      <c r="P1577" s="2" t="n">
        <f aca="false">Lookups!$B$2*M1577+Lookups!$B$3*L1577</f>
        <v>0</v>
      </c>
      <c r="Q1577" s="2" t="str">
        <f aca="false">INDEX(Lookups!$E$2:$E$5,MATCH(P1577,Lookups!$D$2:$D$5,0))</f>
        <v>Low</v>
      </c>
    </row>
    <row r="1578" customFormat="false" ht="15" hidden="false" customHeight="false" outlineLevel="0" collapsed="false">
      <c r="A1578" s="3" t="n">
        <v>1577</v>
      </c>
      <c r="B1578" s="3" t="n">
        <f aca="false">Raw_Data!A1578</f>
        <v>48</v>
      </c>
      <c r="C1578" s="3" t="str">
        <f aca="false">SUBSTITUTE(Raw_Data!B1578,".","")</f>
        <v>management</v>
      </c>
      <c r="D1578" s="3" t="str">
        <f aca="false">Raw_Data!C1578</f>
        <v>married</v>
      </c>
      <c r="E1578" s="3" t="str">
        <f aca="false">Raw_Data!D1578</f>
        <v>secondary</v>
      </c>
      <c r="F1578" s="3" t="str">
        <f aca="false">Raw_Data!E1578</f>
        <v>no</v>
      </c>
      <c r="G1578" s="3" t="n">
        <f aca="false">Raw_Data!F1578</f>
        <v>117</v>
      </c>
      <c r="H1578" s="3" t="str">
        <f aca="false">Raw_Data!G1578</f>
        <v>yes</v>
      </c>
      <c r="I1578" s="3" t="str">
        <f aca="false">Raw_Data!H1578</f>
        <v>no</v>
      </c>
      <c r="J1578" s="2" t="n">
        <f aca="false">IF(F1578="yes",1,0)</f>
        <v>0</v>
      </c>
      <c r="K1578" s="2" t="n">
        <f aca="false">IF(H1578="yes",1,0)</f>
        <v>1</v>
      </c>
      <c r="L1578" s="2" t="n">
        <f aca="false">IF(I1578="yes",1,0)</f>
        <v>0</v>
      </c>
      <c r="M1578" s="2" t="n">
        <f aca="false">IF(G1578&lt;0,1,0)</f>
        <v>0</v>
      </c>
      <c r="N1578" s="2" t="str">
        <f aca="false">_xlfn.IFS(B1578&lt;30,"Under 30",B1578&lt;40,"30-39",B1578&lt;50,"40-49",B1578&lt;60,"50-59",TRUE(),"60+")</f>
        <v>40-49</v>
      </c>
      <c r="O1578" s="2" t="str">
        <f aca="false">_xlfn.IFS(G1578&lt;0,"1 Negative",G1578=0,"2 Zero",G1578&lt;=500,"3 1-500",G1578&lt;=2000,"4 501-2000",TRUE(),"5 Above 2000")</f>
        <v>3 1-500</v>
      </c>
      <c r="P1578" s="2" t="n">
        <f aca="false">Lookups!$B$2*M1578+Lookups!$B$3*L1578</f>
        <v>0</v>
      </c>
      <c r="Q1578" s="2" t="str">
        <f aca="false">INDEX(Lookups!$E$2:$E$5,MATCH(P1578,Lookups!$D$2:$D$5,0))</f>
        <v>Low</v>
      </c>
    </row>
    <row r="1579" customFormat="false" ht="15" hidden="false" customHeight="false" outlineLevel="0" collapsed="false">
      <c r="A1579" s="3" t="n">
        <v>1578</v>
      </c>
      <c r="B1579" s="3" t="n">
        <f aca="false">Raw_Data!A1579</f>
        <v>47</v>
      </c>
      <c r="C1579" s="3" t="str">
        <f aca="false">SUBSTITUTE(Raw_Data!B1579,".","")</f>
        <v>admin</v>
      </c>
      <c r="D1579" s="3" t="str">
        <f aca="false">Raw_Data!C1579</f>
        <v>married</v>
      </c>
      <c r="E1579" s="3" t="str">
        <f aca="false">Raw_Data!D1579</f>
        <v>secondary</v>
      </c>
      <c r="F1579" s="3" t="str">
        <f aca="false">Raw_Data!E1579</f>
        <v>no</v>
      </c>
      <c r="G1579" s="3" t="n">
        <f aca="false">Raw_Data!F1579</f>
        <v>104</v>
      </c>
      <c r="H1579" s="3" t="str">
        <f aca="false">Raw_Data!G1579</f>
        <v>yes</v>
      </c>
      <c r="I1579" s="3" t="str">
        <f aca="false">Raw_Data!H1579</f>
        <v>yes</v>
      </c>
      <c r="J1579" s="2" t="n">
        <f aca="false">IF(F1579="yes",1,0)</f>
        <v>0</v>
      </c>
      <c r="K1579" s="2" t="n">
        <f aca="false">IF(H1579="yes",1,0)</f>
        <v>1</v>
      </c>
      <c r="L1579" s="2" t="n">
        <f aca="false">IF(I1579="yes",1,0)</f>
        <v>1</v>
      </c>
      <c r="M1579" s="2" t="n">
        <f aca="false">IF(G1579&lt;0,1,0)</f>
        <v>0</v>
      </c>
      <c r="N1579" s="2" t="str">
        <f aca="false">_xlfn.IFS(B1579&lt;30,"Under 30",B1579&lt;40,"30-39",B1579&lt;50,"40-49",B1579&lt;60,"50-59",TRUE(),"60+")</f>
        <v>40-49</v>
      </c>
      <c r="O1579" s="2" t="str">
        <f aca="false">_xlfn.IFS(G1579&lt;0,"1 Negative",G1579=0,"2 Zero",G1579&lt;=500,"3 1-500",G1579&lt;=2000,"4 501-2000",TRUE(),"5 Above 2000")</f>
        <v>3 1-500</v>
      </c>
      <c r="P1579" s="2" t="n">
        <f aca="false">Lookups!$B$2*M1579+Lookups!$B$3*L1579</f>
        <v>1</v>
      </c>
      <c r="Q1579" s="2" t="str">
        <f aca="false">INDEX(Lookups!$E$2:$E$5,MATCH(P1579,Lookups!$D$2:$D$5,0))</f>
        <v>Medium</v>
      </c>
    </row>
    <row r="1580" customFormat="false" ht="15" hidden="false" customHeight="false" outlineLevel="0" collapsed="false">
      <c r="A1580" s="3" t="n">
        <v>1579</v>
      </c>
      <c r="B1580" s="3" t="n">
        <f aca="false">Raw_Data!A1580</f>
        <v>40</v>
      </c>
      <c r="C1580" s="3" t="str">
        <f aca="false">SUBSTITUTE(Raw_Data!B1580,".","")</f>
        <v>management</v>
      </c>
      <c r="D1580" s="3" t="str">
        <f aca="false">Raw_Data!C1580</f>
        <v>married</v>
      </c>
      <c r="E1580" s="3" t="str">
        <f aca="false">Raw_Data!D1580</f>
        <v>tertiary</v>
      </c>
      <c r="F1580" s="3" t="str">
        <f aca="false">Raw_Data!E1580</f>
        <v>no</v>
      </c>
      <c r="G1580" s="3" t="n">
        <f aca="false">Raw_Data!F1580</f>
        <v>1041</v>
      </c>
      <c r="H1580" s="3" t="str">
        <f aca="false">Raw_Data!G1580</f>
        <v>yes</v>
      </c>
      <c r="I1580" s="3" t="str">
        <f aca="false">Raw_Data!H1580</f>
        <v>no</v>
      </c>
      <c r="J1580" s="2" t="n">
        <f aca="false">IF(F1580="yes",1,0)</f>
        <v>0</v>
      </c>
      <c r="K1580" s="2" t="n">
        <f aca="false">IF(H1580="yes",1,0)</f>
        <v>1</v>
      </c>
      <c r="L1580" s="2" t="n">
        <f aca="false">IF(I1580="yes",1,0)</f>
        <v>0</v>
      </c>
      <c r="M1580" s="2" t="n">
        <f aca="false">IF(G1580&lt;0,1,0)</f>
        <v>0</v>
      </c>
      <c r="N1580" s="2" t="str">
        <f aca="false">_xlfn.IFS(B1580&lt;30,"Under 30",B1580&lt;40,"30-39",B1580&lt;50,"40-49",B1580&lt;60,"50-59",TRUE(),"60+")</f>
        <v>40-49</v>
      </c>
      <c r="O1580" s="2" t="str">
        <f aca="false">_xlfn.IFS(G1580&lt;0,"1 Negative",G1580=0,"2 Zero",G1580&lt;=500,"3 1-500",G1580&lt;=2000,"4 501-2000",TRUE(),"5 Above 2000")</f>
        <v>4 501-2000</v>
      </c>
      <c r="P1580" s="2" t="n">
        <f aca="false">Lookups!$B$2*M1580+Lookups!$B$3*L1580</f>
        <v>0</v>
      </c>
      <c r="Q1580" s="2" t="str">
        <f aca="false">INDEX(Lookups!$E$2:$E$5,MATCH(P1580,Lookups!$D$2:$D$5,0))</f>
        <v>Low</v>
      </c>
    </row>
    <row r="1581" customFormat="false" ht="15" hidden="false" customHeight="false" outlineLevel="0" collapsed="false">
      <c r="A1581" s="3" t="n">
        <v>1580</v>
      </c>
      <c r="B1581" s="3" t="n">
        <f aca="false">Raw_Data!A1581</f>
        <v>37</v>
      </c>
      <c r="C1581" s="3" t="str">
        <f aca="false">SUBSTITUTE(Raw_Data!B1581,".","")</f>
        <v>management</v>
      </c>
      <c r="D1581" s="3" t="str">
        <f aca="false">Raw_Data!C1581</f>
        <v>married</v>
      </c>
      <c r="E1581" s="3" t="str">
        <f aca="false">Raw_Data!D1581</f>
        <v>tertiary</v>
      </c>
      <c r="F1581" s="3" t="str">
        <f aca="false">Raw_Data!E1581</f>
        <v>no</v>
      </c>
      <c r="G1581" s="3" t="n">
        <f aca="false">Raw_Data!F1581</f>
        <v>539</v>
      </c>
      <c r="H1581" s="3" t="str">
        <f aca="false">Raw_Data!G1581</f>
        <v>no</v>
      </c>
      <c r="I1581" s="3" t="str">
        <f aca="false">Raw_Data!H1581</f>
        <v>no</v>
      </c>
      <c r="J1581" s="2" t="n">
        <f aca="false">IF(F1581="yes",1,0)</f>
        <v>0</v>
      </c>
      <c r="K1581" s="2" t="n">
        <f aca="false">IF(H1581="yes",1,0)</f>
        <v>0</v>
      </c>
      <c r="L1581" s="2" t="n">
        <f aca="false">IF(I1581="yes",1,0)</f>
        <v>0</v>
      </c>
      <c r="M1581" s="2" t="n">
        <f aca="false">IF(G1581&lt;0,1,0)</f>
        <v>0</v>
      </c>
      <c r="N1581" s="2" t="str">
        <f aca="false">_xlfn.IFS(B1581&lt;30,"Under 30",B1581&lt;40,"30-39",B1581&lt;50,"40-49",B1581&lt;60,"50-59",TRUE(),"60+")</f>
        <v>30-39</v>
      </c>
      <c r="O1581" s="2" t="str">
        <f aca="false">_xlfn.IFS(G1581&lt;0,"1 Negative",G1581=0,"2 Zero",G1581&lt;=500,"3 1-500",G1581&lt;=2000,"4 501-2000",TRUE(),"5 Above 2000")</f>
        <v>4 501-2000</v>
      </c>
      <c r="P1581" s="2" t="n">
        <f aca="false">Lookups!$B$2*M1581+Lookups!$B$3*L1581</f>
        <v>0</v>
      </c>
      <c r="Q1581" s="2" t="str">
        <f aca="false">INDEX(Lookups!$E$2:$E$5,MATCH(P1581,Lookups!$D$2:$D$5,0))</f>
        <v>Low</v>
      </c>
    </row>
    <row r="1582" customFormat="false" ht="15" hidden="false" customHeight="false" outlineLevel="0" collapsed="false">
      <c r="A1582" s="3" t="n">
        <v>1581</v>
      </c>
      <c r="B1582" s="3" t="n">
        <f aca="false">Raw_Data!A1582</f>
        <v>38</v>
      </c>
      <c r="C1582" s="3" t="str">
        <f aca="false">SUBSTITUTE(Raw_Data!B1582,".","")</f>
        <v>blue-collar</v>
      </c>
      <c r="D1582" s="3" t="str">
        <f aca="false">Raw_Data!C1582</f>
        <v>married</v>
      </c>
      <c r="E1582" s="3" t="str">
        <f aca="false">Raw_Data!D1582</f>
        <v>primary</v>
      </c>
      <c r="F1582" s="3" t="str">
        <f aca="false">Raw_Data!E1582</f>
        <v>no</v>
      </c>
      <c r="G1582" s="3" t="n">
        <f aca="false">Raw_Data!F1582</f>
        <v>0</v>
      </c>
      <c r="H1582" s="3" t="str">
        <f aca="false">Raw_Data!G1582</f>
        <v>yes</v>
      </c>
      <c r="I1582" s="3" t="str">
        <f aca="false">Raw_Data!H1582</f>
        <v>no</v>
      </c>
      <c r="J1582" s="2" t="n">
        <f aca="false">IF(F1582="yes",1,0)</f>
        <v>0</v>
      </c>
      <c r="K1582" s="2" t="n">
        <f aca="false">IF(H1582="yes",1,0)</f>
        <v>1</v>
      </c>
      <c r="L1582" s="2" t="n">
        <f aca="false">IF(I1582="yes",1,0)</f>
        <v>0</v>
      </c>
      <c r="M1582" s="2" t="n">
        <f aca="false">IF(G1582&lt;0,1,0)</f>
        <v>0</v>
      </c>
      <c r="N1582" s="2" t="str">
        <f aca="false">_xlfn.IFS(B1582&lt;30,"Under 30",B1582&lt;40,"30-39",B1582&lt;50,"40-49",B1582&lt;60,"50-59",TRUE(),"60+")</f>
        <v>30-39</v>
      </c>
      <c r="O1582" s="2" t="str">
        <f aca="false">_xlfn.IFS(G1582&lt;0,"1 Negative",G1582=0,"2 Zero",G1582&lt;=500,"3 1-500",G1582&lt;=2000,"4 501-2000",TRUE(),"5 Above 2000")</f>
        <v>2 Zero</v>
      </c>
      <c r="P1582" s="2" t="n">
        <f aca="false">Lookups!$B$2*M1582+Lookups!$B$3*L1582</f>
        <v>0</v>
      </c>
      <c r="Q1582" s="2" t="str">
        <f aca="false">INDEX(Lookups!$E$2:$E$5,MATCH(P1582,Lookups!$D$2:$D$5,0))</f>
        <v>Low</v>
      </c>
    </row>
    <row r="1583" customFormat="false" ht="15" hidden="false" customHeight="false" outlineLevel="0" collapsed="false">
      <c r="A1583" s="3" t="n">
        <v>1582</v>
      </c>
      <c r="B1583" s="3" t="n">
        <f aca="false">Raw_Data!A1583</f>
        <v>29</v>
      </c>
      <c r="C1583" s="3" t="str">
        <f aca="false">SUBSTITUTE(Raw_Data!B1583,".","")</f>
        <v>technician</v>
      </c>
      <c r="D1583" s="3" t="str">
        <f aca="false">Raw_Data!C1583</f>
        <v>single</v>
      </c>
      <c r="E1583" s="3" t="str">
        <f aca="false">Raw_Data!D1583</f>
        <v>tertiary</v>
      </c>
      <c r="F1583" s="3" t="str">
        <f aca="false">Raw_Data!E1583</f>
        <v>no</v>
      </c>
      <c r="G1583" s="3" t="n">
        <f aca="false">Raw_Data!F1583</f>
        <v>406</v>
      </c>
      <c r="H1583" s="3" t="str">
        <f aca="false">Raw_Data!G1583</f>
        <v>yes</v>
      </c>
      <c r="I1583" s="3" t="str">
        <f aca="false">Raw_Data!H1583</f>
        <v>no</v>
      </c>
      <c r="J1583" s="2" t="n">
        <f aca="false">IF(F1583="yes",1,0)</f>
        <v>0</v>
      </c>
      <c r="K1583" s="2" t="n">
        <f aca="false">IF(H1583="yes",1,0)</f>
        <v>1</v>
      </c>
      <c r="L1583" s="2" t="n">
        <f aca="false">IF(I1583="yes",1,0)</f>
        <v>0</v>
      </c>
      <c r="M1583" s="2" t="n">
        <f aca="false">IF(G1583&lt;0,1,0)</f>
        <v>0</v>
      </c>
      <c r="N1583" s="2" t="str">
        <f aca="false">_xlfn.IFS(B1583&lt;30,"Under 30",B1583&lt;40,"30-39",B1583&lt;50,"40-49",B1583&lt;60,"50-59",TRUE(),"60+")</f>
        <v>Under 30</v>
      </c>
      <c r="O1583" s="2" t="str">
        <f aca="false">_xlfn.IFS(G1583&lt;0,"1 Negative",G1583=0,"2 Zero",G1583&lt;=500,"3 1-500",G1583&lt;=2000,"4 501-2000",TRUE(),"5 Above 2000")</f>
        <v>3 1-500</v>
      </c>
      <c r="P1583" s="2" t="n">
        <f aca="false">Lookups!$B$2*M1583+Lookups!$B$3*L1583</f>
        <v>0</v>
      </c>
      <c r="Q1583" s="2" t="str">
        <f aca="false">INDEX(Lookups!$E$2:$E$5,MATCH(P1583,Lookups!$D$2:$D$5,0))</f>
        <v>Low</v>
      </c>
    </row>
    <row r="1584" customFormat="false" ht="15" hidden="false" customHeight="false" outlineLevel="0" collapsed="false">
      <c r="A1584" s="3" t="n">
        <v>1583</v>
      </c>
      <c r="B1584" s="3" t="n">
        <f aca="false">Raw_Data!A1584</f>
        <v>46</v>
      </c>
      <c r="C1584" s="3" t="str">
        <f aca="false">SUBSTITUTE(Raw_Data!B1584,".","")</f>
        <v>blue-collar</v>
      </c>
      <c r="D1584" s="3" t="str">
        <f aca="false">Raw_Data!C1584</f>
        <v>married</v>
      </c>
      <c r="E1584" s="3" t="str">
        <f aca="false">Raw_Data!D1584</f>
        <v>primary</v>
      </c>
      <c r="F1584" s="3" t="str">
        <f aca="false">Raw_Data!E1584</f>
        <v>no</v>
      </c>
      <c r="G1584" s="3" t="n">
        <f aca="false">Raw_Data!F1584</f>
        <v>2558</v>
      </c>
      <c r="H1584" s="3" t="str">
        <f aca="false">Raw_Data!G1584</f>
        <v>yes</v>
      </c>
      <c r="I1584" s="3" t="str">
        <f aca="false">Raw_Data!H1584</f>
        <v>no</v>
      </c>
      <c r="J1584" s="2" t="n">
        <f aca="false">IF(F1584="yes",1,0)</f>
        <v>0</v>
      </c>
      <c r="K1584" s="2" t="n">
        <f aca="false">IF(H1584="yes",1,0)</f>
        <v>1</v>
      </c>
      <c r="L1584" s="2" t="n">
        <f aca="false">IF(I1584="yes",1,0)</f>
        <v>0</v>
      </c>
      <c r="M1584" s="2" t="n">
        <f aca="false">IF(G1584&lt;0,1,0)</f>
        <v>0</v>
      </c>
      <c r="N1584" s="2" t="str">
        <f aca="false">_xlfn.IFS(B1584&lt;30,"Under 30",B1584&lt;40,"30-39",B1584&lt;50,"40-49",B1584&lt;60,"50-59",TRUE(),"60+")</f>
        <v>40-49</v>
      </c>
      <c r="O1584" s="2" t="str">
        <f aca="false">_xlfn.IFS(G1584&lt;0,"1 Negative",G1584=0,"2 Zero",G1584&lt;=500,"3 1-500",G1584&lt;=2000,"4 501-2000",TRUE(),"5 Above 2000")</f>
        <v>5 Above 2000</v>
      </c>
      <c r="P1584" s="2" t="n">
        <f aca="false">Lookups!$B$2*M1584+Lookups!$B$3*L1584</f>
        <v>0</v>
      </c>
      <c r="Q1584" s="2" t="str">
        <f aca="false">INDEX(Lookups!$E$2:$E$5,MATCH(P1584,Lookups!$D$2:$D$5,0))</f>
        <v>Low</v>
      </c>
    </row>
    <row r="1585" customFormat="false" ht="15" hidden="false" customHeight="false" outlineLevel="0" collapsed="false">
      <c r="A1585" s="3" t="n">
        <v>1584</v>
      </c>
      <c r="B1585" s="3" t="n">
        <f aca="false">Raw_Data!A1585</f>
        <v>26</v>
      </c>
      <c r="C1585" s="3" t="str">
        <f aca="false">SUBSTITUTE(Raw_Data!B1585,".","")</f>
        <v>blue-collar</v>
      </c>
      <c r="D1585" s="3" t="str">
        <f aca="false">Raw_Data!C1585</f>
        <v>married</v>
      </c>
      <c r="E1585" s="3" t="str">
        <f aca="false">Raw_Data!D1585</f>
        <v>secondary</v>
      </c>
      <c r="F1585" s="3" t="str">
        <f aca="false">Raw_Data!E1585</f>
        <v>no</v>
      </c>
      <c r="G1585" s="3" t="n">
        <f aca="false">Raw_Data!F1585</f>
        <v>484</v>
      </c>
      <c r="H1585" s="3" t="str">
        <f aca="false">Raw_Data!G1585</f>
        <v>yes</v>
      </c>
      <c r="I1585" s="3" t="str">
        <f aca="false">Raw_Data!H1585</f>
        <v>no</v>
      </c>
      <c r="J1585" s="2" t="n">
        <f aca="false">IF(F1585="yes",1,0)</f>
        <v>0</v>
      </c>
      <c r="K1585" s="2" t="n">
        <f aca="false">IF(H1585="yes",1,0)</f>
        <v>1</v>
      </c>
      <c r="L1585" s="2" t="n">
        <f aca="false">IF(I1585="yes",1,0)</f>
        <v>0</v>
      </c>
      <c r="M1585" s="2" t="n">
        <f aca="false">IF(G1585&lt;0,1,0)</f>
        <v>0</v>
      </c>
      <c r="N1585" s="2" t="str">
        <f aca="false">_xlfn.IFS(B1585&lt;30,"Under 30",B1585&lt;40,"30-39",B1585&lt;50,"40-49",B1585&lt;60,"50-59",TRUE(),"60+")</f>
        <v>Under 30</v>
      </c>
      <c r="O1585" s="2" t="str">
        <f aca="false">_xlfn.IFS(G1585&lt;0,"1 Negative",G1585=0,"2 Zero",G1585&lt;=500,"3 1-500",G1585&lt;=2000,"4 501-2000",TRUE(),"5 Above 2000")</f>
        <v>3 1-500</v>
      </c>
      <c r="P1585" s="2" t="n">
        <f aca="false">Lookups!$B$2*M1585+Lookups!$B$3*L1585</f>
        <v>0</v>
      </c>
      <c r="Q1585" s="2" t="str">
        <f aca="false">INDEX(Lookups!$E$2:$E$5,MATCH(P1585,Lookups!$D$2:$D$5,0))</f>
        <v>Low</v>
      </c>
    </row>
    <row r="1586" customFormat="false" ht="15" hidden="false" customHeight="false" outlineLevel="0" collapsed="false">
      <c r="A1586" s="3" t="n">
        <v>1585</v>
      </c>
      <c r="B1586" s="3" t="n">
        <f aca="false">Raw_Data!A1586</f>
        <v>30</v>
      </c>
      <c r="C1586" s="3" t="str">
        <f aca="false">SUBSTITUTE(Raw_Data!B1586,".","")</f>
        <v>services</v>
      </c>
      <c r="D1586" s="3" t="str">
        <f aca="false">Raw_Data!C1586</f>
        <v>single</v>
      </c>
      <c r="E1586" s="3" t="str">
        <f aca="false">Raw_Data!D1586</f>
        <v>tertiary</v>
      </c>
      <c r="F1586" s="3" t="str">
        <f aca="false">Raw_Data!E1586</f>
        <v>no</v>
      </c>
      <c r="G1586" s="3" t="n">
        <f aca="false">Raw_Data!F1586</f>
        <v>3516</v>
      </c>
      <c r="H1586" s="3" t="str">
        <f aca="false">Raw_Data!G1586</f>
        <v>yes</v>
      </c>
      <c r="I1586" s="3" t="str">
        <f aca="false">Raw_Data!H1586</f>
        <v>no</v>
      </c>
      <c r="J1586" s="2" t="n">
        <f aca="false">IF(F1586="yes",1,0)</f>
        <v>0</v>
      </c>
      <c r="K1586" s="2" t="n">
        <f aca="false">IF(H1586="yes",1,0)</f>
        <v>1</v>
      </c>
      <c r="L1586" s="2" t="n">
        <f aca="false">IF(I1586="yes",1,0)</f>
        <v>0</v>
      </c>
      <c r="M1586" s="2" t="n">
        <f aca="false">IF(G1586&lt;0,1,0)</f>
        <v>0</v>
      </c>
      <c r="N1586" s="2" t="str">
        <f aca="false">_xlfn.IFS(B1586&lt;30,"Under 30",B1586&lt;40,"30-39",B1586&lt;50,"40-49",B1586&lt;60,"50-59",TRUE(),"60+")</f>
        <v>30-39</v>
      </c>
      <c r="O1586" s="2" t="str">
        <f aca="false">_xlfn.IFS(G1586&lt;0,"1 Negative",G1586=0,"2 Zero",G1586&lt;=500,"3 1-500",G1586&lt;=2000,"4 501-2000",TRUE(),"5 Above 2000")</f>
        <v>5 Above 2000</v>
      </c>
      <c r="P1586" s="2" t="n">
        <f aca="false">Lookups!$B$2*M1586+Lookups!$B$3*L1586</f>
        <v>0</v>
      </c>
      <c r="Q1586" s="2" t="str">
        <f aca="false">INDEX(Lookups!$E$2:$E$5,MATCH(P1586,Lookups!$D$2:$D$5,0))</f>
        <v>Low</v>
      </c>
    </row>
    <row r="1587" customFormat="false" ht="15" hidden="false" customHeight="false" outlineLevel="0" collapsed="false">
      <c r="A1587" s="3" t="n">
        <v>1586</v>
      </c>
      <c r="B1587" s="3" t="n">
        <f aca="false">Raw_Data!A1587</f>
        <v>42</v>
      </c>
      <c r="C1587" s="3" t="str">
        <f aca="false">SUBSTITUTE(Raw_Data!B1587,".","")</f>
        <v>blue-collar</v>
      </c>
      <c r="D1587" s="3" t="str">
        <f aca="false">Raw_Data!C1587</f>
        <v>married</v>
      </c>
      <c r="E1587" s="3" t="str">
        <f aca="false">Raw_Data!D1587</f>
        <v>secondary</v>
      </c>
      <c r="F1587" s="3" t="str">
        <f aca="false">Raw_Data!E1587</f>
        <v>no</v>
      </c>
      <c r="G1587" s="3" t="n">
        <f aca="false">Raw_Data!F1587</f>
        <v>5639</v>
      </c>
      <c r="H1587" s="3" t="str">
        <f aca="false">Raw_Data!G1587</f>
        <v>yes</v>
      </c>
      <c r="I1587" s="3" t="str">
        <f aca="false">Raw_Data!H1587</f>
        <v>no</v>
      </c>
      <c r="J1587" s="2" t="n">
        <f aca="false">IF(F1587="yes",1,0)</f>
        <v>0</v>
      </c>
      <c r="K1587" s="2" t="n">
        <f aca="false">IF(H1587="yes",1,0)</f>
        <v>1</v>
      </c>
      <c r="L1587" s="2" t="n">
        <f aca="false">IF(I1587="yes",1,0)</f>
        <v>0</v>
      </c>
      <c r="M1587" s="2" t="n">
        <f aca="false">IF(G1587&lt;0,1,0)</f>
        <v>0</v>
      </c>
      <c r="N1587" s="2" t="str">
        <f aca="false">_xlfn.IFS(B1587&lt;30,"Under 30",B1587&lt;40,"30-39",B1587&lt;50,"40-49",B1587&lt;60,"50-59",TRUE(),"60+")</f>
        <v>40-49</v>
      </c>
      <c r="O1587" s="2" t="str">
        <f aca="false">_xlfn.IFS(G1587&lt;0,"1 Negative",G1587=0,"2 Zero",G1587&lt;=500,"3 1-500",G1587&lt;=2000,"4 501-2000",TRUE(),"5 Above 2000")</f>
        <v>5 Above 2000</v>
      </c>
      <c r="P1587" s="2" t="n">
        <f aca="false">Lookups!$B$2*M1587+Lookups!$B$3*L1587</f>
        <v>0</v>
      </c>
      <c r="Q1587" s="2" t="str">
        <f aca="false">INDEX(Lookups!$E$2:$E$5,MATCH(P1587,Lookups!$D$2:$D$5,0))</f>
        <v>Low</v>
      </c>
    </row>
    <row r="1588" customFormat="false" ht="15" hidden="false" customHeight="false" outlineLevel="0" collapsed="false">
      <c r="A1588" s="3" t="n">
        <v>1587</v>
      </c>
      <c r="B1588" s="3" t="n">
        <f aca="false">Raw_Data!A1588</f>
        <v>42</v>
      </c>
      <c r="C1588" s="3" t="str">
        <f aca="false">SUBSTITUTE(Raw_Data!B1588,".","")</f>
        <v>management</v>
      </c>
      <c r="D1588" s="3" t="str">
        <f aca="false">Raw_Data!C1588</f>
        <v>single</v>
      </c>
      <c r="E1588" s="3" t="str">
        <f aca="false">Raw_Data!D1588</f>
        <v>tertiary</v>
      </c>
      <c r="F1588" s="3" t="str">
        <f aca="false">Raw_Data!E1588</f>
        <v>no</v>
      </c>
      <c r="G1588" s="3" t="n">
        <f aca="false">Raw_Data!F1588</f>
        <v>100</v>
      </c>
      <c r="H1588" s="3" t="str">
        <f aca="false">Raw_Data!G1588</f>
        <v>no</v>
      </c>
      <c r="I1588" s="3" t="str">
        <f aca="false">Raw_Data!H1588</f>
        <v>no</v>
      </c>
      <c r="J1588" s="2" t="n">
        <f aca="false">IF(F1588="yes",1,0)</f>
        <v>0</v>
      </c>
      <c r="K1588" s="2" t="n">
        <f aca="false">IF(H1588="yes",1,0)</f>
        <v>0</v>
      </c>
      <c r="L1588" s="2" t="n">
        <f aca="false">IF(I1588="yes",1,0)</f>
        <v>0</v>
      </c>
      <c r="M1588" s="2" t="n">
        <f aca="false">IF(G1588&lt;0,1,0)</f>
        <v>0</v>
      </c>
      <c r="N1588" s="2" t="str">
        <f aca="false">_xlfn.IFS(B1588&lt;30,"Under 30",B1588&lt;40,"30-39",B1588&lt;50,"40-49",B1588&lt;60,"50-59",TRUE(),"60+")</f>
        <v>40-49</v>
      </c>
      <c r="O1588" s="2" t="str">
        <f aca="false">_xlfn.IFS(G1588&lt;0,"1 Negative",G1588=0,"2 Zero",G1588&lt;=500,"3 1-500",G1588&lt;=2000,"4 501-2000",TRUE(),"5 Above 2000")</f>
        <v>3 1-500</v>
      </c>
      <c r="P1588" s="2" t="n">
        <f aca="false">Lookups!$B$2*M1588+Lookups!$B$3*L1588</f>
        <v>0</v>
      </c>
      <c r="Q1588" s="2" t="str">
        <f aca="false">INDEX(Lookups!$E$2:$E$5,MATCH(P1588,Lookups!$D$2:$D$5,0))</f>
        <v>Low</v>
      </c>
    </row>
    <row r="1589" customFormat="false" ht="15" hidden="false" customHeight="false" outlineLevel="0" collapsed="false">
      <c r="A1589" s="3" t="n">
        <v>1588</v>
      </c>
      <c r="B1589" s="3" t="n">
        <f aca="false">Raw_Data!A1589</f>
        <v>31</v>
      </c>
      <c r="C1589" s="3" t="str">
        <f aca="false">SUBSTITUTE(Raw_Data!B1589,".","")</f>
        <v>admin</v>
      </c>
      <c r="D1589" s="3" t="str">
        <f aca="false">Raw_Data!C1589</f>
        <v>single</v>
      </c>
      <c r="E1589" s="3" t="str">
        <f aca="false">Raw_Data!D1589</f>
        <v>secondary</v>
      </c>
      <c r="F1589" s="3" t="str">
        <f aca="false">Raw_Data!E1589</f>
        <v>no</v>
      </c>
      <c r="G1589" s="3" t="n">
        <f aca="false">Raw_Data!F1589</f>
        <v>1306</v>
      </c>
      <c r="H1589" s="3" t="str">
        <f aca="false">Raw_Data!G1589</f>
        <v>yes</v>
      </c>
      <c r="I1589" s="3" t="str">
        <f aca="false">Raw_Data!H1589</f>
        <v>no</v>
      </c>
      <c r="J1589" s="2" t="n">
        <f aca="false">IF(F1589="yes",1,0)</f>
        <v>0</v>
      </c>
      <c r="K1589" s="2" t="n">
        <f aca="false">IF(H1589="yes",1,0)</f>
        <v>1</v>
      </c>
      <c r="L1589" s="2" t="n">
        <f aca="false">IF(I1589="yes",1,0)</f>
        <v>0</v>
      </c>
      <c r="M1589" s="2" t="n">
        <f aca="false">IF(G1589&lt;0,1,0)</f>
        <v>0</v>
      </c>
      <c r="N1589" s="2" t="str">
        <f aca="false">_xlfn.IFS(B1589&lt;30,"Under 30",B1589&lt;40,"30-39",B1589&lt;50,"40-49",B1589&lt;60,"50-59",TRUE(),"60+")</f>
        <v>30-39</v>
      </c>
      <c r="O1589" s="2" t="str">
        <f aca="false">_xlfn.IFS(G1589&lt;0,"1 Negative",G1589=0,"2 Zero",G1589&lt;=500,"3 1-500",G1589&lt;=2000,"4 501-2000",TRUE(),"5 Above 2000")</f>
        <v>4 501-2000</v>
      </c>
      <c r="P1589" s="2" t="n">
        <f aca="false">Lookups!$B$2*M1589+Lookups!$B$3*L1589</f>
        <v>0</v>
      </c>
      <c r="Q1589" s="2" t="str">
        <f aca="false">INDEX(Lookups!$E$2:$E$5,MATCH(P1589,Lookups!$D$2:$D$5,0))</f>
        <v>Low</v>
      </c>
    </row>
    <row r="1590" customFormat="false" ht="15" hidden="false" customHeight="false" outlineLevel="0" collapsed="false">
      <c r="A1590" s="3" t="n">
        <v>1589</v>
      </c>
      <c r="B1590" s="3" t="n">
        <f aca="false">Raw_Data!A1590</f>
        <v>37</v>
      </c>
      <c r="C1590" s="3" t="str">
        <f aca="false">SUBSTITUTE(Raw_Data!B1590,".","")</f>
        <v>management</v>
      </c>
      <c r="D1590" s="3" t="str">
        <f aca="false">Raw_Data!C1590</f>
        <v>single</v>
      </c>
      <c r="E1590" s="3" t="str">
        <f aca="false">Raw_Data!D1590</f>
        <v>tertiary</v>
      </c>
      <c r="F1590" s="3" t="str">
        <f aca="false">Raw_Data!E1590</f>
        <v>no</v>
      </c>
      <c r="G1590" s="3" t="n">
        <f aca="false">Raw_Data!F1590</f>
        <v>815</v>
      </c>
      <c r="H1590" s="3" t="str">
        <f aca="false">Raw_Data!G1590</f>
        <v>yes</v>
      </c>
      <c r="I1590" s="3" t="str">
        <f aca="false">Raw_Data!H1590</f>
        <v>no</v>
      </c>
      <c r="J1590" s="2" t="n">
        <f aca="false">IF(F1590="yes",1,0)</f>
        <v>0</v>
      </c>
      <c r="K1590" s="2" t="n">
        <f aca="false">IF(H1590="yes",1,0)</f>
        <v>1</v>
      </c>
      <c r="L1590" s="2" t="n">
        <f aca="false">IF(I1590="yes",1,0)</f>
        <v>0</v>
      </c>
      <c r="M1590" s="2" t="n">
        <f aca="false">IF(G1590&lt;0,1,0)</f>
        <v>0</v>
      </c>
      <c r="N1590" s="2" t="str">
        <f aca="false">_xlfn.IFS(B1590&lt;30,"Under 30",B1590&lt;40,"30-39",B1590&lt;50,"40-49",B1590&lt;60,"50-59",TRUE(),"60+")</f>
        <v>30-39</v>
      </c>
      <c r="O1590" s="2" t="str">
        <f aca="false">_xlfn.IFS(G1590&lt;0,"1 Negative",G1590=0,"2 Zero",G1590&lt;=500,"3 1-500",G1590&lt;=2000,"4 501-2000",TRUE(),"5 Above 2000")</f>
        <v>4 501-2000</v>
      </c>
      <c r="P1590" s="2" t="n">
        <f aca="false">Lookups!$B$2*M1590+Lookups!$B$3*L1590</f>
        <v>0</v>
      </c>
      <c r="Q1590" s="2" t="str">
        <f aca="false">INDEX(Lookups!$E$2:$E$5,MATCH(P1590,Lookups!$D$2:$D$5,0))</f>
        <v>Low</v>
      </c>
    </row>
    <row r="1591" customFormat="false" ht="15" hidden="false" customHeight="false" outlineLevel="0" collapsed="false">
      <c r="A1591" s="3" t="n">
        <v>1590</v>
      </c>
      <c r="B1591" s="3" t="n">
        <f aca="false">Raw_Data!A1591</f>
        <v>26</v>
      </c>
      <c r="C1591" s="3" t="str">
        <f aca="false">SUBSTITUTE(Raw_Data!B1591,".","")</f>
        <v>blue-collar</v>
      </c>
      <c r="D1591" s="3" t="str">
        <f aca="false">Raw_Data!C1591</f>
        <v>married</v>
      </c>
      <c r="E1591" s="3" t="str">
        <f aca="false">Raw_Data!D1591</f>
        <v>secondary</v>
      </c>
      <c r="F1591" s="3" t="str">
        <f aca="false">Raw_Data!E1591</f>
        <v>no</v>
      </c>
      <c r="G1591" s="3" t="n">
        <f aca="false">Raw_Data!F1591</f>
        <v>245</v>
      </c>
      <c r="H1591" s="3" t="str">
        <f aca="false">Raw_Data!G1591</f>
        <v>yes</v>
      </c>
      <c r="I1591" s="3" t="str">
        <f aca="false">Raw_Data!H1591</f>
        <v>no</v>
      </c>
      <c r="J1591" s="2" t="n">
        <f aca="false">IF(F1591="yes",1,0)</f>
        <v>0</v>
      </c>
      <c r="K1591" s="2" t="n">
        <f aca="false">IF(H1591="yes",1,0)</f>
        <v>1</v>
      </c>
      <c r="L1591" s="2" t="n">
        <f aca="false">IF(I1591="yes",1,0)</f>
        <v>0</v>
      </c>
      <c r="M1591" s="2" t="n">
        <f aca="false">IF(G1591&lt;0,1,0)</f>
        <v>0</v>
      </c>
      <c r="N1591" s="2" t="str">
        <f aca="false">_xlfn.IFS(B1591&lt;30,"Under 30",B1591&lt;40,"30-39",B1591&lt;50,"40-49",B1591&lt;60,"50-59",TRUE(),"60+")</f>
        <v>Under 30</v>
      </c>
      <c r="O1591" s="2" t="str">
        <f aca="false">_xlfn.IFS(G1591&lt;0,"1 Negative",G1591=0,"2 Zero",G1591&lt;=500,"3 1-500",G1591&lt;=2000,"4 501-2000",TRUE(),"5 Above 2000")</f>
        <v>3 1-500</v>
      </c>
      <c r="P1591" s="2" t="n">
        <f aca="false">Lookups!$B$2*M1591+Lookups!$B$3*L1591</f>
        <v>0</v>
      </c>
      <c r="Q1591" s="2" t="str">
        <f aca="false">INDEX(Lookups!$E$2:$E$5,MATCH(P1591,Lookups!$D$2:$D$5,0))</f>
        <v>Low</v>
      </c>
    </row>
    <row r="1592" customFormat="false" ht="15" hidden="false" customHeight="false" outlineLevel="0" collapsed="false">
      <c r="A1592" s="3" t="n">
        <v>1591</v>
      </c>
      <c r="B1592" s="3" t="n">
        <f aca="false">Raw_Data!A1592</f>
        <v>54</v>
      </c>
      <c r="C1592" s="3" t="str">
        <f aca="false">SUBSTITUTE(Raw_Data!B1592,".","")</f>
        <v>blue-collar</v>
      </c>
      <c r="D1592" s="3" t="str">
        <f aca="false">Raw_Data!C1592</f>
        <v>married</v>
      </c>
      <c r="E1592" s="3" t="str">
        <f aca="false">Raw_Data!D1592</f>
        <v>unknown</v>
      </c>
      <c r="F1592" s="3" t="str">
        <f aca="false">Raw_Data!E1592</f>
        <v>no</v>
      </c>
      <c r="G1592" s="3" t="n">
        <f aca="false">Raw_Data!F1592</f>
        <v>191</v>
      </c>
      <c r="H1592" s="3" t="str">
        <f aca="false">Raw_Data!G1592</f>
        <v>no</v>
      </c>
      <c r="I1592" s="3" t="str">
        <f aca="false">Raw_Data!H1592</f>
        <v>no</v>
      </c>
      <c r="J1592" s="2" t="n">
        <f aca="false">IF(F1592="yes",1,0)</f>
        <v>0</v>
      </c>
      <c r="K1592" s="2" t="n">
        <f aca="false">IF(H1592="yes",1,0)</f>
        <v>0</v>
      </c>
      <c r="L1592" s="2" t="n">
        <f aca="false">IF(I1592="yes",1,0)</f>
        <v>0</v>
      </c>
      <c r="M1592" s="2" t="n">
        <f aca="false">IF(G1592&lt;0,1,0)</f>
        <v>0</v>
      </c>
      <c r="N1592" s="2" t="str">
        <f aca="false">_xlfn.IFS(B1592&lt;30,"Under 30",B1592&lt;40,"30-39",B1592&lt;50,"40-49",B1592&lt;60,"50-59",TRUE(),"60+")</f>
        <v>50-59</v>
      </c>
      <c r="O1592" s="2" t="str">
        <f aca="false">_xlfn.IFS(G1592&lt;0,"1 Negative",G1592=0,"2 Zero",G1592&lt;=500,"3 1-500",G1592&lt;=2000,"4 501-2000",TRUE(),"5 Above 2000")</f>
        <v>3 1-500</v>
      </c>
      <c r="P1592" s="2" t="n">
        <f aca="false">Lookups!$B$2*M1592+Lookups!$B$3*L1592</f>
        <v>0</v>
      </c>
      <c r="Q1592" s="2" t="str">
        <f aca="false">INDEX(Lookups!$E$2:$E$5,MATCH(P1592,Lookups!$D$2:$D$5,0))</f>
        <v>Low</v>
      </c>
    </row>
    <row r="1593" customFormat="false" ht="15" hidden="false" customHeight="false" outlineLevel="0" collapsed="false">
      <c r="A1593" s="3" t="n">
        <v>1592</v>
      </c>
      <c r="B1593" s="3" t="n">
        <f aca="false">Raw_Data!A1593</f>
        <v>70</v>
      </c>
      <c r="C1593" s="3" t="str">
        <f aca="false">SUBSTITUTE(Raw_Data!B1593,".","")</f>
        <v>retired</v>
      </c>
      <c r="D1593" s="3" t="str">
        <f aca="false">Raw_Data!C1593</f>
        <v>married</v>
      </c>
      <c r="E1593" s="3" t="str">
        <f aca="false">Raw_Data!D1593</f>
        <v>secondary</v>
      </c>
      <c r="F1593" s="3" t="str">
        <f aca="false">Raw_Data!E1593</f>
        <v>no</v>
      </c>
      <c r="G1593" s="3" t="n">
        <f aca="false">Raw_Data!F1593</f>
        <v>2815</v>
      </c>
      <c r="H1593" s="3" t="str">
        <f aca="false">Raw_Data!G1593</f>
        <v>no</v>
      </c>
      <c r="I1593" s="3" t="str">
        <f aca="false">Raw_Data!H1593</f>
        <v>no</v>
      </c>
      <c r="J1593" s="2" t="n">
        <f aca="false">IF(F1593="yes",1,0)</f>
        <v>0</v>
      </c>
      <c r="K1593" s="2" t="n">
        <f aca="false">IF(H1593="yes",1,0)</f>
        <v>0</v>
      </c>
      <c r="L1593" s="2" t="n">
        <f aca="false">IF(I1593="yes",1,0)</f>
        <v>0</v>
      </c>
      <c r="M1593" s="2" t="n">
        <f aca="false">IF(G1593&lt;0,1,0)</f>
        <v>0</v>
      </c>
      <c r="N1593" s="2" t="str">
        <f aca="false">_xlfn.IFS(B1593&lt;30,"Under 30",B1593&lt;40,"30-39",B1593&lt;50,"40-49",B1593&lt;60,"50-59",TRUE(),"60+")</f>
        <v>60+</v>
      </c>
      <c r="O1593" s="2" t="str">
        <f aca="false">_xlfn.IFS(G1593&lt;0,"1 Negative",G1593=0,"2 Zero",G1593&lt;=500,"3 1-500",G1593&lt;=2000,"4 501-2000",TRUE(),"5 Above 2000")</f>
        <v>5 Above 2000</v>
      </c>
      <c r="P1593" s="2" t="n">
        <f aca="false">Lookups!$B$2*M1593+Lookups!$B$3*L1593</f>
        <v>0</v>
      </c>
      <c r="Q1593" s="2" t="str">
        <f aca="false">INDEX(Lookups!$E$2:$E$5,MATCH(P1593,Lookups!$D$2:$D$5,0))</f>
        <v>Low</v>
      </c>
    </row>
    <row r="1594" customFormat="false" ht="15" hidden="false" customHeight="false" outlineLevel="0" collapsed="false">
      <c r="A1594" s="3" t="n">
        <v>1593</v>
      </c>
      <c r="B1594" s="3" t="n">
        <f aca="false">Raw_Data!A1594</f>
        <v>29</v>
      </c>
      <c r="C1594" s="3" t="str">
        <f aca="false">SUBSTITUTE(Raw_Data!B1594,".","")</f>
        <v>self-employed</v>
      </c>
      <c r="D1594" s="3" t="str">
        <f aca="false">Raw_Data!C1594</f>
        <v>single</v>
      </c>
      <c r="E1594" s="3" t="str">
        <f aca="false">Raw_Data!D1594</f>
        <v>secondary</v>
      </c>
      <c r="F1594" s="3" t="str">
        <f aca="false">Raw_Data!E1594</f>
        <v>no</v>
      </c>
      <c r="G1594" s="3" t="n">
        <f aca="false">Raw_Data!F1594</f>
        <v>3672</v>
      </c>
      <c r="H1594" s="3" t="str">
        <f aca="false">Raw_Data!G1594</f>
        <v>yes</v>
      </c>
      <c r="I1594" s="3" t="str">
        <f aca="false">Raw_Data!H1594</f>
        <v>yes</v>
      </c>
      <c r="J1594" s="2" t="n">
        <f aca="false">IF(F1594="yes",1,0)</f>
        <v>0</v>
      </c>
      <c r="K1594" s="2" t="n">
        <f aca="false">IF(H1594="yes",1,0)</f>
        <v>1</v>
      </c>
      <c r="L1594" s="2" t="n">
        <f aca="false">IF(I1594="yes",1,0)</f>
        <v>1</v>
      </c>
      <c r="M1594" s="2" t="n">
        <f aca="false">IF(G1594&lt;0,1,0)</f>
        <v>0</v>
      </c>
      <c r="N1594" s="2" t="str">
        <f aca="false">_xlfn.IFS(B1594&lt;30,"Under 30",B1594&lt;40,"30-39",B1594&lt;50,"40-49",B1594&lt;60,"50-59",TRUE(),"60+")</f>
        <v>Under 30</v>
      </c>
      <c r="O1594" s="2" t="str">
        <f aca="false">_xlfn.IFS(G1594&lt;0,"1 Negative",G1594=0,"2 Zero",G1594&lt;=500,"3 1-500",G1594&lt;=2000,"4 501-2000",TRUE(),"5 Above 2000")</f>
        <v>5 Above 2000</v>
      </c>
      <c r="P1594" s="2" t="n">
        <f aca="false">Lookups!$B$2*M1594+Lookups!$B$3*L1594</f>
        <v>1</v>
      </c>
      <c r="Q1594" s="2" t="str">
        <f aca="false">INDEX(Lookups!$E$2:$E$5,MATCH(P1594,Lookups!$D$2:$D$5,0))</f>
        <v>Medium</v>
      </c>
    </row>
    <row r="1595" customFormat="false" ht="15" hidden="false" customHeight="false" outlineLevel="0" collapsed="false">
      <c r="A1595" s="3" t="n">
        <v>1594</v>
      </c>
      <c r="B1595" s="3" t="n">
        <f aca="false">Raw_Data!A1595</f>
        <v>50</v>
      </c>
      <c r="C1595" s="3" t="str">
        <f aca="false">SUBSTITUTE(Raw_Data!B1595,".","")</f>
        <v>services</v>
      </c>
      <c r="D1595" s="3" t="str">
        <f aca="false">Raw_Data!C1595</f>
        <v>married</v>
      </c>
      <c r="E1595" s="3" t="str">
        <f aca="false">Raw_Data!D1595</f>
        <v>secondary</v>
      </c>
      <c r="F1595" s="3" t="str">
        <f aca="false">Raw_Data!E1595</f>
        <v>no</v>
      </c>
      <c r="G1595" s="3" t="n">
        <f aca="false">Raw_Data!F1595</f>
        <v>1572</v>
      </c>
      <c r="H1595" s="3" t="str">
        <f aca="false">Raw_Data!G1595</f>
        <v>yes</v>
      </c>
      <c r="I1595" s="3" t="str">
        <f aca="false">Raw_Data!H1595</f>
        <v>no</v>
      </c>
      <c r="J1595" s="2" t="n">
        <f aca="false">IF(F1595="yes",1,0)</f>
        <v>0</v>
      </c>
      <c r="K1595" s="2" t="n">
        <f aca="false">IF(H1595="yes",1,0)</f>
        <v>1</v>
      </c>
      <c r="L1595" s="2" t="n">
        <f aca="false">IF(I1595="yes",1,0)</f>
        <v>0</v>
      </c>
      <c r="M1595" s="2" t="n">
        <f aca="false">IF(G1595&lt;0,1,0)</f>
        <v>0</v>
      </c>
      <c r="N1595" s="2" t="str">
        <f aca="false">_xlfn.IFS(B1595&lt;30,"Under 30",B1595&lt;40,"30-39",B1595&lt;50,"40-49",B1595&lt;60,"50-59",TRUE(),"60+")</f>
        <v>50-59</v>
      </c>
      <c r="O1595" s="2" t="str">
        <f aca="false">_xlfn.IFS(G1595&lt;0,"1 Negative",G1595=0,"2 Zero",G1595&lt;=500,"3 1-500",G1595&lt;=2000,"4 501-2000",TRUE(),"5 Above 2000")</f>
        <v>4 501-2000</v>
      </c>
      <c r="P1595" s="2" t="n">
        <f aca="false">Lookups!$B$2*M1595+Lookups!$B$3*L1595</f>
        <v>0</v>
      </c>
      <c r="Q1595" s="2" t="str">
        <f aca="false">INDEX(Lookups!$E$2:$E$5,MATCH(P1595,Lookups!$D$2:$D$5,0))</f>
        <v>Low</v>
      </c>
    </row>
    <row r="1596" customFormat="false" ht="15" hidden="false" customHeight="false" outlineLevel="0" collapsed="false">
      <c r="A1596" s="3" t="n">
        <v>1595</v>
      </c>
      <c r="B1596" s="3" t="n">
        <f aca="false">Raw_Data!A1596</f>
        <v>60</v>
      </c>
      <c r="C1596" s="3" t="str">
        <f aca="false">SUBSTITUTE(Raw_Data!B1596,".","")</f>
        <v>unemployed</v>
      </c>
      <c r="D1596" s="3" t="str">
        <f aca="false">Raw_Data!C1596</f>
        <v>divorced</v>
      </c>
      <c r="E1596" s="3" t="str">
        <f aca="false">Raw_Data!D1596</f>
        <v>secondary</v>
      </c>
      <c r="F1596" s="3" t="str">
        <f aca="false">Raw_Data!E1596</f>
        <v>no</v>
      </c>
      <c r="G1596" s="3" t="n">
        <f aca="false">Raw_Data!F1596</f>
        <v>385</v>
      </c>
      <c r="H1596" s="3" t="str">
        <f aca="false">Raw_Data!G1596</f>
        <v>yes</v>
      </c>
      <c r="I1596" s="3" t="str">
        <f aca="false">Raw_Data!H1596</f>
        <v>no</v>
      </c>
      <c r="J1596" s="2" t="n">
        <f aca="false">IF(F1596="yes",1,0)</f>
        <v>0</v>
      </c>
      <c r="K1596" s="2" t="n">
        <f aca="false">IF(H1596="yes",1,0)</f>
        <v>1</v>
      </c>
      <c r="L1596" s="2" t="n">
        <f aca="false">IF(I1596="yes",1,0)</f>
        <v>0</v>
      </c>
      <c r="M1596" s="2" t="n">
        <f aca="false">IF(G1596&lt;0,1,0)</f>
        <v>0</v>
      </c>
      <c r="N1596" s="2" t="str">
        <f aca="false">_xlfn.IFS(B1596&lt;30,"Under 30",B1596&lt;40,"30-39",B1596&lt;50,"40-49",B1596&lt;60,"50-59",TRUE(),"60+")</f>
        <v>60+</v>
      </c>
      <c r="O1596" s="2" t="str">
        <f aca="false">_xlfn.IFS(G1596&lt;0,"1 Negative",G1596=0,"2 Zero",G1596&lt;=500,"3 1-500",G1596&lt;=2000,"4 501-2000",TRUE(),"5 Above 2000")</f>
        <v>3 1-500</v>
      </c>
      <c r="P1596" s="2" t="n">
        <f aca="false">Lookups!$B$2*M1596+Lookups!$B$3*L1596</f>
        <v>0</v>
      </c>
      <c r="Q1596" s="2" t="str">
        <f aca="false">INDEX(Lookups!$E$2:$E$5,MATCH(P1596,Lookups!$D$2:$D$5,0))</f>
        <v>Low</v>
      </c>
    </row>
    <row r="1597" customFormat="false" ht="15" hidden="false" customHeight="false" outlineLevel="0" collapsed="false">
      <c r="A1597" s="3" t="n">
        <v>1596</v>
      </c>
      <c r="B1597" s="3" t="n">
        <f aca="false">Raw_Data!A1597</f>
        <v>32</v>
      </c>
      <c r="C1597" s="3" t="str">
        <f aca="false">SUBSTITUTE(Raw_Data!B1597,".","")</f>
        <v>technician</v>
      </c>
      <c r="D1597" s="3" t="str">
        <f aca="false">Raw_Data!C1597</f>
        <v>single</v>
      </c>
      <c r="E1597" s="3" t="str">
        <f aca="false">Raw_Data!D1597</f>
        <v>secondary</v>
      </c>
      <c r="F1597" s="3" t="str">
        <f aca="false">Raw_Data!E1597</f>
        <v>no</v>
      </c>
      <c r="G1597" s="3" t="n">
        <f aca="false">Raw_Data!F1597</f>
        <v>29</v>
      </c>
      <c r="H1597" s="3" t="str">
        <f aca="false">Raw_Data!G1597</f>
        <v>no</v>
      </c>
      <c r="I1597" s="3" t="str">
        <f aca="false">Raw_Data!H1597</f>
        <v>no</v>
      </c>
      <c r="J1597" s="2" t="n">
        <f aca="false">IF(F1597="yes",1,0)</f>
        <v>0</v>
      </c>
      <c r="K1597" s="2" t="n">
        <f aca="false">IF(H1597="yes",1,0)</f>
        <v>0</v>
      </c>
      <c r="L1597" s="2" t="n">
        <f aca="false">IF(I1597="yes",1,0)</f>
        <v>0</v>
      </c>
      <c r="M1597" s="2" t="n">
        <f aca="false">IF(G1597&lt;0,1,0)</f>
        <v>0</v>
      </c>
      <c r="N1597" s="2" t="str">
        <f aca="false">_xlfn.IFS(B1597&lt;30,"Under 30",B1597&lt;40,"30-39",B1597&lt;50,"40-49",B1597&lt;60,"50-59",TRUE(),"60+")</f>
        <v>30-39</v>
      </c>
      <c r="O1597" s="2" t="str">
        <f aca="false">_xlfn.IFS(G1597&lt;0,"1 Negative",G1597=0,"2 Zero",G1597&lt;=500,"3 1-500",G1597&lt;=2000,"4 501-2000",TRUE(),"5 Above 2000")</f>
        <v>3 1-500</v>
      </c>
      <c r="P1597" s="2" t="n">
        <f aca="false">Lookups!$B$2*M1597+Lookups!$B$3*L1597</f>
        <v>0</v>
      </c>
      <c r="Q1597" s="2" t="str">
        <f aca="false">INDEX(Lookups!$E$2:$E$5,MATCH(P1597,Lookups!$D$2:$D$5,0))</f>
        <v>Low</v>
      </c>
    </row>
    <row r="1598" customFormat="false" ht="15" hidden="false" customHeight="false" outlineLevel="0" collapsed="false">
      <c r="A1598" s="3" t="n">
        <v>1597</v>
      </c>
      <c r="B1598" s="3" t="n">
        <f aca="false">Raw_Data!A1598</f>
        <v>32</v>
      </c>
      <c r="C1598" s="3" t="str">
        <f aca="false">SUBSTITUTE(Raw_Data!B1598,".","")</f>
        <v>technician</v>
      </c>
      <c r="D1598" s="3" t="str">
        <f aca="false">Raw_Data!C1598</f>
        <v>married</v>
      </c>
      <c r="E1598" s="3" t="str">
        <f aca="false">Raw_Data!D1598</f>
        <v>secondary</v>
      </c>
      <c r="F1598" s="3" t="str">
        <f aca="false">Raw_Data!E1598</f>
        <v>no</v>
      </c>
      <c r="G1598" s="3" t="n">
        <f aca="false">Raw_Data!F1598</f>
        <v>84</v>
      </c>
      <c r="H1598" s="3" t="str">
        <f aca="false">Raw_Data!G1598</f>
        <v>no</v>
      </c>
      <c r="I1598" s="3" t="str">
        <f aca="false">Raw_Data!H1598</f>
        <v>yes</v>
      </c>
      <c r="J1598" s="2" t="n">
        <f aca="false">IF(F1598="yes",1,0)</f>
        <v>0</v>
      </c>
      <c r="K1598" s="2" t="n">
        <f aca="false">IF(H1598="yes",1,0)</f>
        <v>0</v>
      </c>
      <c r="L1598" s="2" t="n">
        <f aca="false">IF(I1598="yes",1,0)</f>
        <v>1</v>
      </c>
      <c r="M1598" s="2" t="n">
        <f aca="false">IF(G1598&lt;0,1,0)</f>
        <v>0</v>
      </c>
      <c r="N1598" s="2" t="str">
        <f aca="false">_xlfn.IFS(B1598&lt;30,"Under 30",B1598&lt;40,"30-39",B1598&lt;50,"40-49",B1598&lt;60,"50-59",TRUE(),"60+")</f>
        <v>30-39</v>
      </c>
      <c r="O1598" s="2" t="str">
        <f aca="false">_xlfn.IFS(G1598&lt;0,"1 Negative",G1598=0,"2 Zero",G1598&lt;=500,"3 1-500",G1598&lt;=2000,"4 501-2000",TRUE(),"5 Above 2000")</f>
        <v>3 1-500</v>
      </c>
      <c r="P1598" s="2" t="n">
        <f aca="false">Lookups!$B$2*M1598+Lookups!$B$3*L1598</f>
        <v>1</v>
      </c>
      <c r="Q1598" s="2" t="str">
        <f aca="false">INDEX(Lookups!$E$2:$E$5,MATCH(P1598,Lookups!$D$2:$D$5,0))</f>
        <v>Medium</v>
      </c>
    </row>
    <row r="1599" customFormat="false" ht="15" hidden="false" customHeight="false" outlineLevel="0" collapsed="false">
      <c r="A1599" s="3" t="n">
        <v>1598</v>
      </c>
      <c r="B1599" s="3" t="n">
        <f aca="false">Raw_Data!A1599</f>
        <v>34</v>
      </c>
      <c r="C1599" s="3" t="str">
        <f aca="false">SUBSTITUTE(Raw_Data!B1599,".","")</f>
        <v>self-employed</v>
      </c>
      <c r="D1599" s="3" t="str">
        <f aca="false">Raw_Data!C1599</f>
        <v>single</v>
      </c>
      <c r="E1599" s="3" t="str">
        <f aca="false">Raw_Data!D1599</f>
        <v>tertiary</v>
      </c>
      <c r="F1599" s="3" t="str">
        <f aca="false">Raw_Data!E1599</f>
        <v>no</v>
      </c>
      <c r="G1599" s="3" t="n">
        <f aca="false">Raw_Data!F1599</f>
        <v>876</v>
      </c>
      <c r="H1599" s="3" t="str">
        <f aca="false">Raw_Data!G1599</f>
        <v>yes</v>
      </c>
      <c r="I1599" s="3" t="str">
        <f aca="false">Raw_Data!H1599</f>
        <v>no</v>
      </c>
      <c r="J1599" s="2" t="n">
        <f aca="false">IF(F1599="yes",1,0)</f>
        <v>0</v>
      </c>
      <c r="K1599" s="2" t="n">
        <f aca="false">IF(H1599="yes",1,0)</f>
        <v>1</v>
      </c>
      <c r="L1599" s="2" t="n">
        <f aca="false">IF(I1599="yes",1,0)</f>
        <v>0</v>
      </c>
      <c r="M1599" s="2" t="n">
        <f aca="false">IF(G1599&lt;0,1,0)</f>
        <v>0</v>
      </c>
      <c r="N1599" s="2" t="str">
        <f aca="false">_xlfn.IFS(B1599&lt;30,"Under 30",B1599&lt;40,"30-39",B1599&lt;50,"40-49",B1599&lt;60,"50-59",TRUE(),"60+")</f>
        <v>30-39</v>
      </c>
      <c r="O1599" s="2" t="str">
        <f aca="false">_xlfn.IFS(G1599&lt;0,"1 Negative",G1599=0,"2 Zero",G1599&lt;=500,"3 1-500",G1599&lt;=2000,"4 501-2000",TRUE(),"5 Above 2000")</f>
        <v>4 501-2000</v>
      </c>
      <c r="P1599" s="2" t="n">
        <f aca="false">Lookups!$B$2*M1599+Lookups!$B$3*L1599</f>
        <v>0</v>
      </c>
      <c r="Q1599" s="2" t="str">
        <f aca="false">INDEX(Lookups!$E$2:$E$5,MATCH(P1599,Lookups!$D$2:$D$5,0))</f>
        <v>Low</v>
      </c>
    </row>
    <row r="1600" customFormat="false" ht="15" hidden="false" customHeight="false" outlineLevel="0" collapsed="false">
      <c r="A1600" s="3" t="n">
        <v>1599</v>
      </c>
      <c r="B1600" s="3" t="n">
        <f aca="false">Raw_Data!A1600</f>
        <v>48</v>
      </c>
      <c r="C1600" s="3" t="str">
        <f aca="false">SUBSTITUTE(Raw_Data!B1600,".","")</f>
        <v>services</v>
      </c>
      <c r="D1600" s="3" t="str">
        <f aca="false">Raw_Data!C1600</f>
        <v>single</v>
      </c>
      <c r="E1600" s="3" t="str">
        <f aca="false">Raw_Data!D1600</f>
        <v>primary</v>
      </c>
      <c r="F1600" s="3" t="str">
        <f aca="false">Raw_Data!E1600</f>
        <v>no</v>
      </c>
      <c r="G1600" s="3" t="n">
        <f aca="false">Raw_Data!F1600</f>
        <v>1499</v>
      </c>
      <c r="H1600" s="3" t="str">
        <f aca="false">Raw_Data!G1600</f>
        <v>yes</v>
      </c>
      <c r="I1600" s="3" t="str">
        <f aca="false">Raw_Data!H1600</f>
        <v>no</v>
      </c>
      <c r="J1600" s="2" t="n">
        <f aca="false">IF(F1600="yes",1,0)</f>
        <v>0</v>
      </c>
      <c r="K1600" s="2" t="n">
        <f aca="false">IF(H1600="yes",1,0)</f>
        <v>1</v>
      </c>
      <c r="L1600" s="2" t="n">
        <f aca="false">IF(I1600="yes",1,0)</f>
        <v>0</v>
      </c>
      <c r="M1600" s="2" t="n">
        <f aca="false">IF(G1600&lt;0,1,0)</f>
        <v>0</v>
      </c>
      <c r="N1600" s="2" t="str">
        <f aca="false">_xlfn.IFS(B1600&lt;30,"Under 30",B1600&lt;40,"30-39",B1600&lt;50,"40-49",B1600&lt;60,"50-59",TRUE(),"60+")</f>
        <v>40-49</v>
      </c>
      <c r="O1600" s="2" t="str">
        <f aca="false">_xlfn.IFS(G1600&lt;0,"1 Negative",G1600=0,"2 Zero",G1600&lt;=500,"3 1-500",G1600&lt;=2000,"4 501-2000",TRUE(),"5 Above 2000")</f>
        <v>4 501-2000</v>
      </c>
      <c r="P1600" s="2" t="n">
        <f aca="false">Lookups!$B$2*M1600+Lookups!$B$3*L1600</f>
        <v>0</v>
      </c>
      <c r="Q1600" s="2" t="str">
        <f aca="false">INDEX(Lookups!$E$2:$E$5,MATCH(P1600,Lookups!$D$2:$D$5,0))</f>
        <v>Low</v>
      </c>
    </row>
    <row r="1601" customFormat="false" ht="15" hidden="false" customHeight="false" outlineLevel="0" collapsed="false">
      <c r="A1601" s="3" t="n">
        <v>1600</v>
      </c>
      <c r="B1601" s="3" t="n">
        <f aca="false">Raw_Data!A1601</f>
        <v>25</v>
      </c>
      <c r="C1601" s="3" t="str">
        <f aca="false">SUBSTITUTE(Raw_Data!B1601,".","")</f>
        <v>student</v>
      </c>
      <c r="D1601" s="3" t="str">
        <f aca="false">Raw_Data!C1601</f>
        <v>married</v>
      </c>
      <c r="E1601" s="3" t="str">
        <f aca="false">Raw_Data!D1601</f>
        <v>tertiary</v>
      </c>
      <c r="F1601" s="3" t="str">
        <f aca="false">Raw_Data!E1601</f>
        <v>no</v>
      </c>
      <c r="G1601" s="3" t="n">
        <f aca="false">Raw_Data!F1601</f>
        <v>0</v>
      </c>
      <c r="H1601" s="3" t="str">
        <f aca="false">Raw_Data!G1601</f>
        <v>yes</v>
      </c>
      <c r="I1601" s="3" t="str">
        <f aca="false">Raw_Data!H1601</f>
        <v>no</v>
      </c>
      <c r="J1601" s="2" t="n">
        <f aca="false">IF(F1601="yes",1,0)</f>
        <v>0</v>
      </c>
      <c r="K1601" s="2" t="n">
        <f aca="false">IF(H1601="yes",1,0)</f>
        <v>1</v>
      </c>
      <c r="L1601" s="2" t="n">
        <f aca="false">IF(I1601="yes",1,0)</f>
        <v>0</v>
      </c>
      <c r="M1601" s="2" t="n">
        <f aca="false">IF(G1601&lt;0,1,0)</f>
        <v>0</v>
      </c>
      <c r="N1601" s="2" t="str">
        <f aca="false">_xlfn.IFS(B1601&lt;30,"Under 30",B1601&lt;40,"30-39",B1601&lt;50,"40-49",B1601&lt;60,"50-59",TRUE(),"60+")</f>
        <v>Under 30</v>
      </c>
      <c r="O1601" s="2" t="str">
        <f aca="false">_xlfn.IFS(G1601&lt;0,"1 Negative",G1601=0,"2 Zero",G1601&lt;=500,"3 1-500",G1601&lt;=2000,"4 501-2000",TRUE(),"5 Above 2000")</f>
        <v>2 Zero</v>
      </c>
      <c r="P1601" s="2" t="n">
        <f aca="false">Lookups!$B$2*M1601+Lookups!$B$3*L1601</f>
        <v>0</v>
      </c>
      <c r="Q1601" s="2" t="str">
        <f aca="false">INDEX(Lookups!$E$2:$E$5,MATCH(P1601,Lookups!$D$2:$D$5,0))</f>
        <v>Low</v>
      </c>
    </row>
    <row r="1602" customFormat="false" ht="15" hidden="false" customHeight="false" outlineLevel="0" collapsed="false">
      <c r="A1602" s="3" t="n">
        <v>1601</v>
      </c>
      <c r="B1602" s="3" t="n">
        <f aca="false">Raw_Data!A1602</f>
        <v>32</v>
      </c>
      <c r="C1602" s="3" t="str">
        <f aca="false">SUBSTITUTE(Raw_Data!B1602,".","")</f>
        <v>management</v>
      </c>
      <c r="D1602" s="3" t="str">
        <f aca="false">Raw_Data!C1602</f>
        <v>married</v>
      </c>
      <c r="E1602" s="3" t="str">
        <f aca="false">Raw_Data!D1602</f>
        <v>secondary</v>
      </c>
      <c r="F1602" s="3" t="str">
        <f aca="false">Raw_Data!E1602</f>
        <v>no</v>
      </c>
      <c r="G1602" s="3" t="n">
        <f aca="false">Raw_Data!F1602</f>
        <v>6217</v>
      </c>
      <c r="H1602" s="3" t="str">
        <f aca="false">Raw_Data!G1602</f>
        <v>yes</v>
      </c>
      <c r="I1602" s="3" t="str">
        <f aca="false">Raw_Data!H1602</f>
        <v>yes</v>
      </c>
      <c r="J1602" s="2" t="n">
        <f aca="false">IF(F1602="yes",1,0)</f>
        <v>0</v>
      </c>
      <c r="K1602" s="2" t="n">
        <f aca="false">IF(H1602="yes",1,0)</f>
        <v>1</v>
      </c>
      <c r="L1602" s="2" t="n">
        <f aca="false">IF(I1602="yes",1,0)</f>
        <v>1</v>
      </c>
      <c r="M1602" s="2" t="n">
        <f aca="false">IF(G1602&lt;0,1,0)</f>
        <v>0</v>
      </c>
      <c r="N1602" s="2" t="str">
        <f aca="false">_xlfn.IFS(B1602&lt;30,"Under 30",B1602&lt;40,"30-39",B1602&lt;50,"40-49",B1602&lt;60,"50-59",TRUE(),"60+")</f>
        <v>30-39</v>
      </c>
      <c r="O1602" s="2" t="str">
        <f aca="false">_xlfn.IFS(G1602&lt;0,"1 Negative",G1602=0,"2 Zero",G1602&lt;=500,"3 1-500",G1602&lt;=2000,"4 501-2000",TRUE(),"5 Above 2000")</f>
        <v>5 Above 2000</v>
      </c>
      <c r="P1602" s="2" t="n">
        <f aca="false">Lookups!$B$2*M1602+Lookups!$B$3*L1602</f>
        <v>1</v>
      </c>
      <c r="Q1602" s="2" t="str">
        <f aca="false">INDEX(Lookups!$E$2:$E$5,MATCH(P1602,Lookups!$D$2:$D$5,0))</f>
        <v>Medium</v>
      </c>
    </row>
    <row r="1603" customFormat="false" ht="15" hidden="false" customHeight="false" outlineLevel="0" collapsed="false">
      <c r="A1603" s="3" t="n">
        <v>1602</v>
      </c>
      <c r="B1603" s="3" t="n">
        <f aca="false">Raw_Data!A1603</f>
        <v>32</v>
      </c>
      <c r="C1603" s="3" t="str">
        <f aca="false">SUBSTITUTE(Raw_Data!B1603,".","")</f>
        <v>blue-collar</v>
      </c>
      <c r="D1603" s="3" t="str">
        <f aca="false">Raw_Data!C1603</f>
        <v>married</v>
      </c>
      <c r="E1603" s="3" t="str">
        <f aca="false">Raw_Data!D1603</f>
        <v>primary</v>
      </c>
      <c r="F1603" s="3" t="str">
        <f aca="false">Raw_Data!E1603</f>
        <v>no</v>
      </c>
      <c r="G1603" s="3" t="n">
        <f aca="false">Raw_Data!F1603</f>
        <v>329</v>
      </c>
      <c r="H1603" s="3" t="str">
        <f aca="false">Raw_Data!G1603</f>
        <v>yes</v>
      </c>
      <c r="I1603" s="3" t="str">
        <f aca="false">Raw_Data!H1603</f>
        <v>no</v>
      </c>
      <c r="J1603" s="2" t="n">
        <f aca="false">IF(F1603="yes",1,0)</f>
        <v>0</v>
      </c>
      <c r="K1603" s="2" t="n">
        <f aca="false">IF(H1603="yes",1,0)</f>
        <v>1</v>
      </c>
      <c r="L1603" s="2" t="n">
        <f aca="false">IF(I1603="yes",1,0)</f>
        <v>0</v>
      </c>
      <c r="M1603" s="2" t="n">
        <f aca="false">IF(G1603&lt;0,1,0)</f>
        <v>0</v>
      </c>
      <c r="N1603" s="2" t="str">
        <f aca="false">_xlfn.IFS(B1603&lt;30,"Under 30",B1603&lt;40,"30-39",B1603&lt;50,"40-49",B1603&lt;60,"50-59",TRUE(),"60+")</f>
        <v>30-39</v>
      </c>
      <c r="O1603" s="2" t="str">
        <f aca="false">_xlfn.IFS(G1603&lt;0,"1 Negative",G1603=0,"2 Zero",G1603&lt;=500,"3 1-500",G1603&lt;=2000,"4 501-2000",TRUE(),"5 Above 2000")</f>
        <v>3 1-500</v>
      </c>
      <c r="P1603" s="2" t="n">
        <f aca="false">Lookups!$B$2*M1603+Lookups!$B$3*L1603</f>
        <v>0</v>
      </c>
      <c r="Q1603" s="2" t="str">
        <f aca="false">INDEX(Lookups!$E$2:$E$5,MATCH(P1603,Lookups!$D$2:$D$5,0))</f>
        <v>Low</v>
      </c>
    </row>
    <row r="1604" customFormat="false" ht="15" hidden="false" customHeight="false" outlineLevel="0" collapsed="false">
      <c r="A1604" s="3" t="n">
        <v>1603</v>
      </c>
      <c r="B1604" s="3" t="n">
        <f aca="false">Raw_Data!A1604</f>
        <v>47</v>
      </c>
      <c r="C1604" s="3" t="str">
        <f aca="false">SUBSTITUTE(Raw_Data!B1604,".","")</f>
        <v>admin</v>
      </c>
      <c r="D1604" s="3" t="str">
        <f aca="false">Raw_Data!C1604</f>
        <v>divorced</v>
      </c>
      <c r="E1604" s="3" t="str">
        <f aca="false">Raw_Data!D1604</f>
        <v>secondary</v>
      </c>
      <c r="F1604" s="3" t="str">
        <f aca="false">Raw_Data!E1604</f>
        <v>no</v>
      </c>
      <c r="G1604" s="3" t="n">
        <f aca="false">Raw_Data!F1604</f>
        <v>162</v>
      </c>
      <c r="H1604" s="3" t="str">
        <f aca="false">Raw_Data!G1604</f>
        <v>yes</v>
      </c>
      <c r="I1604" s="3" t="str">
        <f aca="false">Raw_Data!H1604</f>
        <v>no</v>
      </c>
      <c r="J1604" s="2" t="n">
        <f aca="false">IF(F1604="yes",1,0)</f>
        <v>0</v>
      </c>
      <c r="K1604" s="2" t="n">
        <f aca="false">IF(H1604="yes",1,0)</f>
        <v>1</v>
      </c>
      <c r="L1604" s="2" t="n">
        <f aca="false">IF(I1604="yes",1,0)</f>
        <v>0</v>
      </c>
      <c r="M1604" s="2" t="n">
        <f aca="false">IF(G1604&lt;0,1,0)</f>
        <v>0</v>
      </c>
      <c r="N1604" s="2" t="str">
        <f aca="false">_xlfn.IFS(B1604&lt;30,"Under 30",B1604&lt;40,"30-39",B1604&lt;50,"40-49",B1604&lt;60,"50-59",TRUE(),"60+")</f>
        <v>40-49</v>
      </c>
      <c r="O1604" s="2" t="str">
        <f aca="false">_xlfn.IFS(G1604&lt;0,"1 Negative",G1604=0,"2 Zero",G1604&lt;=500,"3 1-500",G1604&lt;=2000,"4 501-2000",TRUE(),"5 Above 2000")</f>
        <v>3 1-500</v>
      </c>
      <c r="P1604" s="2" t="n">
        <f aca="false">Lookups!$B$2*M1604+Lookups!$B$3*L1604</f>
        <v>0</v>
      </c>
      <c r="Q1604" s="2" t="str">
        <f aca="false">INDEX(Lookups!$E$2:$E$5,MATCH(P1604,Lookups!$D$2:$D$5,0))</f>
        <v>Low</v>
      </c>
    </row>
    <row r="1605" customFormat="false" ht="15" hidden="false" customHeight="false" outlineLevel="0" collapsed="false">
      <c r="A1605" s="3" t="n">
        <v>1604</v>
      </c>
      <c r="B1605" s="3" t="n">
        <f aca="false">Raw_Data!A1605</f>
        <v>32</v>
      </c>
      <c r="C1605" s="3" t="str">
        <f aca="false">SUBSTITUTE(Raw_Data!B1605,".","")</f>
        <v>technician</v>
      </c>
      <c r="D1605" s="3" t="str">
        <f aca="false">Raw_Data!C1605</f>
        <v>married</v>
      </c>
      <c r="E1605" s="3" t="str">
        <f aca="false">Raw_Data!D1605</f>
        <v>unknown</v>
      </c>
      <c r="F1605" s="3" t="str">
        <f aca="false">Raw_Data!E1605</f>
        <v>no</v>
      </c>
      <c r="G1605" s="3" t="n">
        <f aca="false">Raw_Data!F1605</f>
        <v>14533</v>
      </c>
      <c r="H1605" s="3" t="str">
        <f aca="false">Raw_Data!G1605</f>
        <v>no</v>
      </c>
      <c r="I1605" s="3" t="str">
        <f aca="false">Raw_Data!H1605</f>
        <v>no</v>
      </c>
      <c r="J1605" s="2" t="n">
        <f aca="false">IF(F1605="yes",1,0)</f>
        <v>0</v>
      </c>
      <c r="K1605" s="2" t="n">
        <f aca="false">IF(H1605="yes",1,0)</f>
        <v>0</v>
      </c>
      <c r="L1605" s="2" t="n">
        <f aca="false">IF(I1605="yes",1,0)</f>
        <v>0</v>
      </c>
      <c r="M1605" s="2" t="n">
        <f aca="false">IF(G1605&lt;0,1,0)</f>
        <v>0</v>
      </c>
      <c r="N1605" s="2" t="str">
        <f aca="false">_xlfn.IFS(B1605&lt;30,"Under 30",B1605&lt;40,"30-39",B1605&lt;50,"40-49",B1605&lt;60,"50-59",TRUE(),"60+")</f>
        <v>30-39</v>
      </c>
      <c r="O1605" s="2" t="str">
        <f aca="false">_xlfn.IFS(G1605&lt;0,"1 Negative",G1605=0,"2 Zero",G1605&lt;=500,"3 1-500",G1605&lt;=2000,"4 501-2000",TRUE(),"5 Above 2000")</f>
        <v>5 Above 2000</v>
      </c>
      <c r="P1605" s="2" t="n">
        <f aca="false">Lookups!$B$2*M1605+Lookups!$B$3*L1605</f>
        <v>0</v>
      </c>
      <c r="Q1605" s="2" t="str">
        <f aca="false">INDEX(Lookups!$E$2:$E$5,MATCH(P1605,Lookups!$D$2:$D$5,0))</f>
        <v>Low</v>
      </c>
    </row>
    <row r="1606" customFormat="false" ht="15" hidden="false" customHeight="false" outlineLevel="0" collapsed="false">
      <c r="A1606" s="3" t="n">
        <v>1605</v>
      </c>
      <c r="B1606" s="3" t="n">
        <f aca="false">Raw_Data!A1606</f>
        <v>49</v>
      </c>
      <c r="C1606" s="3" t="str">
        <f aca="false">SUBSTITUTE(Raw_Data!B1606,".","")</f>
        <v>management</v>
      </c>
      <c r="D1606" s="3" t="str">
        <f aca="false">Raw_Data!C1606</f>
        <v>single</v>
      </c>
      <c r="E1606" s="3" t="str">
        <f aca="false">Raw_Data!D1606</f>
        <v>tertiary</v>
      </c>
      <c r="F1606" s="3" t="str">
        <f aca="false">Raw_Data!E1606</f>
        <v>no</v>
      </c>
      <c r="G1606" s="3" t="n">
        <f aca="false">Raw_Data!F1606</f>
        <v>151</v>
      </c>
      <c r="H1606" s="3" t="str">
        <f aca="false">Raw_Data!G1606</f>
        <v>yes</v>
      </c>
      <c r="I1606" s="3" t="str">
        <f aca="false">Raw_Data!H1606</f>
        <v>no</v>
      </c>
      <c r="J1606" s="2" t="n">
        <f aca="false">IF(F1606="yes",1,0)</f>
        <v>0</v>
      </c>
      <c r="K1606" s="2" t="n">
        <f aca="false">IF(H1606="yes",1,0)</f>
        <v>1</v>
      </c>
      <c r="L1606" s="2" t="n">
        <f aca="false">IF(I1606="yes",1,0)</f>
        <v>0</v>
      </c>
      <c r="M1606" s="2" t="n">
        <f aca="false">IF(G1606&lt;0,1,0)</f>
        <v>0</v>
      </c>
      <c r="N1606" s="2" t="str">
        <f aca="false">_xlfn.IFS(B1606&lt;30,"Under 30",B1606&lt;40,"30-39",B1606&lt;50,"40-49",B1606&lt;60,"50-59",TRUE(),"60+")</f>
        <v>40-49</v>
      </c>
      <c r="O1606" s="2" t="str">
        <f aca="false">_xlfn.IFS(G1606&lt;0,"1 Negative",G1606=0,"2 Zero",G1606&lt;=500,"3 1-500",G1606&lt;=2000,"4 501-2000",TRUE(),"5 Above 2000")</f>
        <v>3 1-500</v>
      </c>
      <c r="P1606" s="2" t="n">
        <f aca="false">Lookups!$B$2*M1606+Lookups!$B$3*L1606</f>
        <v>0</v>
      </c>
      <c r="Q1606" s="2" t="str">
        <f aca="false">INDEX(Lookups!$E$2:$E$5,MATCH(P1606,Lookups!$D$2:$D$5,0))</f>
        <v>Low</v>
      </c>
    </row>
    <row r="1607" customFormat="false" ht="15" hidden="false" customHeight="false" outlineLevel="0" collapsed="false">
      <c r="A1607" s="3" t="n">
        <v>1606</v>
      </c>
      <c r="B1607" s="3" t="n">
        <f aca="false">Raw_Data!A1607</f>
        <v>53</v>
      </c>
      <c r="C1607" s="3" t="str">
        <f aca="false">SUBSTITUTE(Raw_Data!B1607,".","")</f>
        <v>services</v>
      </c>
      <c r="D1607" s="3" t="str">
        <f aca="false">Raw_Data!C1607</f>
        <v>married</v>
      </c>
      <c r="E1607" s="3" t="str">
        <f aca="false">Raw_Data!D1607</f>
        <v>secondary</v>
      </c>
      <c r="F1607" s="3" t="str">
        <f aca="false">Raw_Data!E1607</f>
        <v>no</v>
      </c>
      <c r="G1607" s="3" t="n">
        <f aca="false">Raw_Data!F1607</f>
        <v>-2</v>
      </c>
      <c r="H1607" s="3" t="str">
        <f aca="false">Raw_Data!G1607</f>
        <v>yes</v>
      </c>
      <c r="I1607" s="3" t="str">
        <f aca="false">Raw_Data!H1607</f>
        <v>yes</v>
      </c>
      <c r="J1607" s="2" t="n">
        <f aca="false">IF(F1607="yes",1,0)</f>
        <v>0</v>
      </c>
      <c r="K1607" s="2" t="n">
        <f aca="false">IF(H1607="yes",1,0)</f>
        <v>1</v>
      </c>
      <c r="L1607" s="2" t="n">
        <f aca="false">IF(I1607="yes",1,0)</f>
        <v>1</v>
      </c>
      <c r="M1607" s="2" t="n">
        <f aca="false">IF(G1607&lt;0,1,0)</f>
        <v>1</v>
      </c>
      <c r="N1607" s="2" t="str">
        <f aca="false">_xlfn.IFS(B1607&lt;30,"Under 30",B1607&lt;40,"30-39",B1607&lt;50,"40-49",B1607&lt;60,"50-59",TRUE(),"60+")</f>
        <v>50-59</v>
      </c>
      <c r="O1607" s="2" t="str">
        <f aca="false">_xlfn.IFS(G1607&lt;0,"1 Negative",G1607=0,"2 Zero",G1607&lt;=500,"3 1-500",G1607&lt;=2000,"4 501-2000",TRUE(),"5 Above 2000")</f>
        <v>1 Negative</v>
      </c>
      <c r="P1607" s="2" t="n">
        <f aca="false">Lookups!$B$2*M1607+Lookups!$B$3*L1607</f>
        <v>3</v>
      </c>
      <c r="Q1607" s="2" t="str">
        <f aca="false">INDEX(Lookups!$E$2:$E$5,MATCH(P1607,Lookups!$D$2:$D$5,0))</f>
        <v>High</v>
      </c>
    </row>
    <row r="1608" customFormat="false" ht="15" hidden="false" customHeight="false" outlineLevel="0" collapsed="false">
      <c r="A1608" s="3" t="n">
        <v>1607</v>
      </c>
      <c r="B1608" s="3" t="n">
        <f aca="false">Raw_Data!A1608</f>
        <v>41</v>
      </c>
      <c r="C1608" s="3" t="str">
        <f aca="false">SUBSTITUTE(Raw_Data!B1608,".","")</f>
        <v>blue-collar</v>
      </c>
      <c r="D1608" s="3" t="str">
        <f aca="false">Raw_Data!C1608</f>
        <v>single</v>
      </c>
      <c r="E1608" s="3" t="str">
        <f aca="false">Raw_Data!D1608</f>
        <v>unknown</v>
      </c>
      <c r="F1608" s="3" t="str">
        <f aca="false">Raw_Data!E1608</f>
        <v>no</v>
      </c>
      <c r="G1608" s="3" t="n">
        <f aca="false">Raw_Data!F1608</f>
        <v>4684</v>
      </c>
      <c r="H1608" s="3" t="str">
        <f aca="false">Raw_Data!G1608</f>
        <v>no</v>
      </c>
      <c r="I1608" s="3" t="str">
        <f aca="false">Raw_Data!H1608</f>
        <v>no</v>
      </c>
      <c r="J1608" s="2" t="n">
        <f aca="false">IF(F1608="yes",1,0)</f>
        <v>0</v>
      </c>
      <c r="K1608" s="2" t="n">
        <f aca="false">IF(H1608="yes",1,0)</f>
        <v>0</v>
      </c>
      <c r="L1608" s="2" t="n">
        <f aca="false">IF(I1608="yes",1,0)</f>
        <v>0</v>
      </c>
      <c r="M1608" s="2" t="n">
        <f aca="false">IF(G1608&lt;0,1,0)</f>
        <v>0</v>
      </c>
      <c r="N1608" s="2" t="str">
        <f aca="false">_xlfn.IFS(B1608&lt;30,"Under 30",B1608&lt;40,"30-39",B1608&lt;50,"40-49",B1608&lt;60,"50-59",TRUE(),"60+")</f>
        <v>40-49</v>
      </c>
      <c r="O1608" s="2" t="str">
        <f aca="false">_xlfn.IFS(G1608&lt;0,"1 Negative",G1608=0,"2 Zero",G1608&lt;=500,"3 1-500",G1608&lt;=2000,"4 501-2000",TRUE(),"5 Above 2000")</f>
        <v>5 Above 2000</v>
      </c>
      <c r="P1608" s="2" t="n">
        <f aca="false">Lookups!$B$2*M1608+Lookups!$B$3*L1608</f>
        <v>0</v>
      </c>
      <c r="Q1608" s="2" t="str">
        <f aca="false">INDEX(Lookups!$E$2:$E$5,MATCH(P1608,Lookups!$D$2:$D$5,0))</f>
        <v>Low</v>
      </c>
    </row>
    <row r="1609" customFormat="false" ht="15" hidden="false" customHeight="false" outlineLevel="0" collapsed="false">
      <c r="A1609" s="3" t="n">
        <v>1608</v>
      </c>
      <c r="B1609" s="3" t="n">
        <f aca="false">Raw_Data!A1609</f>
        <v>47</v>
      </c>
      <c r="C1609" s="3" t="str">
        <f aca="false">SUBSTITUTE(Raw_Data!B1609,".","")</f>
        <v>management</v>
      </c>
      <c r="D1609" s="3" t="str">
        <f aca="false">Raw_Data!C1609</f>
        <v>divorced</v>
      </c>
      <c r="E1609" s="3" t="str">
        <f aca="false">Raw_Data!D1609</f>
        <v>tertiary</v>
      </c>
      <c r="F1609" s="3" t="str">
        <f aca="false">Raw_Data!E1609</f>
        <v>no</v>
      </c>
      <c r="G1609" s="3" t="n">
        <f aca="false">Raw_Data!F1609</f>
        <v>1149</v>
      </c>
      <c r="H1609" s="3" t="str">
        <f aca="false">Raw_Data!G1609</f>
        <v>no</v>
      </c>
      <c r="I1609" s="3" t="str">
        <f aca="false">Raw_Data!H1609</f>
        <v>yes</v>
      </c>
      <c r="J1609" s="2" t="n">
        <f aca="false">IF(F1609="yes",1,0)</f>
        <v>0</v>
      </c>
      <c r="K1609" s="2" t="n">
        <f aca="false">IF(H1609="yes",1,0)</f>
        <v>0</v>
      </c>
      <c r="L1609" s="2" t="n">
        <f aca="false">IF(I1609="yes",1,0)</f>
        <v>1</v>
      </c>
      <c r="M1609" s="2" t="n">
        <f aca="false">IF(G1609&lt;0,1,0)</f>
        <v>0</v>
      </c>
      <c r="N1609" s="2" t="str">
        <f aca="false">_xlfn.IFS(B1609&lt;30,"Under 30",B1609&lt;40,"30-39",B1609&lt;50,"40-49",B1609&lt;60,"50-59",TRUE(),"60+")</f>
        <v>40-49</v>
      </c>
      <c r="O1609" s="2" t="str">
        <f aca="false">_xlfn.IFS(G1609&lt;0,"1 Negative",G1609=0,"2 Zero",G1609&lt;=500,"3 1-500",G1609&lt;=2000,"4 501-2000",TRUE(),"5 Above 2000")</f>
        <v>4 501-2000</v>
      </c>
      <c r="P1609" s="2" t="n">
        <f aca="false">Lookups!$B$2*M1609+Lookups!$B$3*L1609</f>
        <v>1</v>
      </c>
      <c r="Q1609" s="2" t="str">
        <f aca="false">INDEX(Lookups!$E$2:$E$5,MATCH(P1609,Lookups!$D$2:$D$5,0))</f>
        <v>Medium</v>
      </c>
    </row>
    <row r="1610" customFormat="false" ht="15" hidden="false" customHeight="false" outlineLevel="0" collapsed="false">
      <c r="A1610" s="3" t="n">
        <v>1609</v>
      </c>
      <c r="B1610" s="3" t="n">
        <f aca="false">Raw_Data!A1610</f>
        <v>35</v>
      </c>
      <c r="C1610" s="3" t="str">
        <f aca="false">SUBSTITUTE(Raw_Data!B1610,".","")</f>
        <v>blue-collar</v>
      </c>
      <c r="D1610" s="3" t="str">
        <f aca="false">Raw_Data!C1610</f>
        <v>married</v>
      </c>
      <c r="E1610" s="3" t="str">
        <f aca="false">Raw_Data!D1610</f>
        <v>primary</v>
      </c>
      <c r="F1610" s="3" t="str">
        <f aca="false">Raw_Data!E1610</f>
        <v>no</v>
      </c>
      <c r="G1610" s="3" t="n">
        <f aca="false">Raw_Data!F1610</f>
        <v>11</v>
      </c>
      <c r="H1610" s="3" t="str">
        <f aca="false">Raw_Data!G1610</f>
        <v>yes</v>
      </c>
      <c r="I1610" s="3" t="str">
        <f aca="false">Raw_Data!H1610</f>
        <v>no</v>
      </c>
      <c r="J1610" s="2" t="n">
        <f aca="false">IF(F1610="yes",1,0)</f>
        <v>0</v>
      </c>
      <c r="K1610" s="2" t="n">
        <f aca="false">IF(H1610="yes",1,0)</f>
        <v>1</v>
      </c>
      <c r="L1610" s="2" t="n">
        <f aca="false">IF(I1610="yes",1,0)</f>
        <v>0</v>
      </c>
      <c r="M1610" s="2" t="n">
        <f aca="false">IF(G1610&lt;0,1,0)</f>
        <v>0</v>
      </c>
      <c r="N1610" s="2" t="str">
        <f aca="false">_xlfn.IFS(B1610&lt;30,"Under 30",B1610&lt;40,"30-39",B1610&lt;50,"40-49",B1610&lt;60,"50-59",TRUE(),"60+")</f>
        <v>30-39</v>
      </c>
      <c r="O1610" s="2" t="str">
        <f aca="false">_xlfn.IFS(G1610&lt;0,"1 Negative",G1610=0,"2 Zero",G1610&lt;=500,"3 1-500",G1610&lt;=2000,"4 501-2000",TRUE(),"5 Above 2000")</f>
        <v>3 1-500</v>
      </c>
      <c r="P1610" s="2" t="n">
        <f aca="false">Lookups!$B$2*M1610+Lookups!$B$3*L1610</f>
        <v>0</v>
      </c>
      <c r="Q1610" s="2" t="str">
        <f aca="false">INDEX(Lookups!$E$2:$E$5,MATCH(P1610,Lookups!$D$2:$D$5,0))</f>
        <v>Low</v>
      </c>
    </row>
    <row r="1611" customFormat="false" ht="15" hidden="false" customHeight="false" outlineLevel="0" collapsed="false">
      <c r="A1611" s="3" t="n">
        <v>1610</v>
      </c>
      <c r="B1611" s="3" t="n">
        <f aca="false">Raw_Data!A1611</f>
        <v>33</v>
      </c>
      <c r="C1611" s="3" t="str">
        <f aca="false">SUBSTITUTE(Raw_Data!B1611,".","")</f>
        <v>management</v>
      </c>
      <c r="D1611" s="3" t="str">
        <f aca="false">Raw_Data!C1611</f>
        <v>single</v>
      </c>
      <c r="E1611" s="3" t="str">
        <f aca="false">Raw_Data!D1611</f>
        <v>secondary</v>
      </c>
      <c r="F1611" s="3" t="str">
        <f aca="false">Raw_Data!E1611</f>
        <v>no</v>
      </c>
      <c r="G1611" s="3" t="n">
        <f aca="false">Raw_Data!F1611</f>
        <v>8004</v>
      </c>
      <c r="H1611" s="3" t="str">
        <f aca="false">Raw_Data!G1611</f>
        <v>no</v>
      </c>
      <c r="I1611" s="3" t="str">
        <f aca="false">Raw_Data!H1611</f>
        <v>no</v>
      </c>
      <c r="J1611" s="2" t="n">
        <f aca="false">IF(F1611="yes",1,0)</f>
        <v>0</v>
      </c>
      <c r="K1611" s="2" t="n">
        <f aca="false">IF(H1611="yes",1,0)</f>
        <v>0</v>
      </c>
      <c r="L1611" s="2" t="n">
        <f aca="false">IF(I1611="yes",1,0)</f>
        <v>0</v>
      </c>
      <c r="M1611" s="2" t="n">
        <f aca="false">IF(G1611&lt;0,1,0)</f>
        <v>0</v>
      </c>
      <c r="N1611" s="2" t="str">
        <f aca="false">_xlfn.IFS(B1611&lt;30,"Under 30",B1611&lt;40,"30-39",B1611&lt;50,"40-49",B1611&lt;60,"50-59",TRUE(),"60+")</f>
        <v>30-39</v>
      </c>
      <c r="O1611" s="2" t="str">
        <f aca="false">_xlfn.IFS(G1611&lt;0,"1 Negative",G1611=0,"2 Zero",G1611&lt;=500,"3 1-500",G1611&lt;=2000,"4 501-2000",TRUE(),"5 Above 2000")</f>
        <v>5 Above 2000</v>
      </c>
      <c r="P1611" s="2" t="n">
        <f aca="false">Lookups!$B$2*M1611+Lookups!$B$3*L1611</f>
        <v>0</v>
      </c>
      <c r="Q1611" s="2" t="str">
        <f aca="false">INDEX(Lookups!$E$2:$E$5,MATCH(P1611,Lookups!$D$2:$D$5,0))</f>
        <v>Low</v>
      </c>
    </row>
    <row r="1612" customFormat="false" ht="15" hidden="false" customHeight="false" outlineLevel="0" collapsed="false">
      <c r="A1612" s="3" t="n">
        <v>1611</v>
      </c>
      <c r="B1612" s="3" t="n">
        <f aca="false">Raw_Data!A1612</f>
        <v>49</v>
      </c>
      <c r="C1612" s="3" t="str">
        <f aca="false">SUBSTITUTE(Raw_Data!B1612,".","")</f>
        <v>blue-collar</v>
      </c>
      <c r="D1612" s="3" t="str">
        <f aca="false">Raw_Data!C1612</f>
        <v>married</v>
      </c>
      <c r="E1612" s="3" t="str">
        <f aca="false">Raw_Data!D1612</f>
        <v>primary</v>
      </c>
      <c r="F1612" s="3" t="str">
        <f aca="false">Raw_Data!E1612</f>
        <v>no</v>
      </c>
      <c r="G1612" s="3" t="n">
        <f aca="false">Raw_Data!F1612</f>
        <v>1019</v>
      </c>
      <c r="H1612" s="3" t="str">
        <f aca="false">Raw_Data!G1612</f>
        <v>yes</v>
      </c>
      <c r="I1612" s="3" t="str">
        <f aca="false">Raw_Data!H1612</f>
        <v>no</v>
      </c>
      <c r="J1612" s="2" t="n">
        <f aca="false">IF(F1612="yes",1,0)</f>
        <v>0</v>
      </c>
      <c r="K1612" s="2" t="n">
        <f aca="false">IF(H1612="yes",1,0)</f>
        <v>1</v>
      </c>
      <c r="L1612" s="2" t="n">
        <f aca="false">IF(I1612="yes",1,0)</f>
        <v>0</v>
      </c>
      <c r="M1612" s="2" t="n">
        <f aca="false">IF(G1612&lt;0,1,0)</f>
        <v>0</v>
      </c>
      <c r="N1612" s="2" t="str">
        <f aca="false">_xlfn.IFS(B1612&lt;30,"Under 30",B1612&lt;40,"30-39",B1612&lt;50,"40-49",B1612&lt;60,"50-59",TRUE(),"60+")</f>
        <v>40-49</v>
      </c>
      <c r="O1612" s="2" t="str">
        <f aca="false">_xlfn.IFS(G1612&lt;0,"1 Negative",G1612=0,"2 Zero",G1612&lt;=500,"3 1-500",G1612&lt;=2000,"4 501-2000",TRUE(),"5 Above 2000")</f>
        <v>4 501-2000</v>
      </c>
      <c r="P1612" s="2" t="n">
        <f aca="false">Lookups!$B$2*M1612+Lookups!$B$3*L1612</f>
        <v>0</v>
      </c>
      <c r="Q1612" s="2" t="str">
        <f aca="false">INDEX(Lookups!$E$2:$E$5,MATCH(P1612,Lookups!$D$2:$D$5,0))</f>
        <v>Low</v>
      </c>
    </row>
    <row r="1613" customFormat="false" ht="15" hidden="false" customHeight="false" outlineLevel="0" collapsed="false">
      <c r="A1613" s="3" t="n">
        <v>1612</v>
      </c>
      <c r="B1613" s="3" t="n">
        <f aca="false">Raw_Data!A1613</f>
        <v>46</v>
      </c>
      <c r="C1613" s="3" t="str">
        <f aca="false">SUBSTITUTE(Raw_Data!B1613,".","")</f>
        <v>management</v>
      </c>
      <c r="D1613" s="3" t="str">
        <f aca="false">Raw_Data!C1613</f>
        <v>divorced</v>
      </c>
      <c r="E1613" s="3" t="str">
        <f aca="false">Raw_Data!D1613</f>
        <v>tertiary</v>
      </c>
      <c r="F1613" s="3" t="str">
        <f aca="false">Raw_Data!E1613</f>
        <v>no</v>
      </c>
      <c r="G1613" s="3" t="n">
        <f aca="false">Raw_Data!F1613</f>
        <v>1297</v>
      </c>
      <c r="H1613" s="3" t="str">
        <f aca="false">Raw_Data!G1613</f>
        <v>no</v>
      </c>
      <c r="I1613" s="3" t="str">
        <f aca="false">Raw_Data!H1613</f>
        <v>no</v>
      </c>
      <c r="J1613" s="2" t="n">
        <f aca="false">IF(F1613="yes",1,0)</f>
        <v>0</v>
      </c>
      <c r="K1613" s="2" t="n">
        <f aca="false">IF(H1613="yes",1,0)</f>
        <v>0</v>
      </c>
      <c r="L1613" s="2" t="n">
        <f aca="false">IF(I1613="yes",1,0)</f>
        <v>0</v>
      </c>
      <c r="M1613" s="2" t="n">
        <f aca="false">IF(G1613&lt;0,1,0)</f>
        <v>0</v>
      </c>
      <c r="N1613" s="2" t="str">
        <f aca="false">_xlfn.IFS(B1613&lt;30,"Under 30",B1613&lt;40,"30-39",B1613&lt;50,"40-49",B1613&lt;60,"50-59",TRUE(),"60+")</f>
        <v>40-49</v>
      </c>
      <c r="O1613" s="2" t="str">
        <f aca="false">_xlfn.IFS(G1613&lt;0,"1 Negative",G1613=0,"2 Zero",G1613&lt;=500,"3 1-500",G1613&lt;=2000,"4 501-2000",TRUE(),"5 Above 2000")</f>
        <v>4 501-2000</v>
      </c>
      <c r="P1613" s="2" t="n">
        <f aca="false">Lookups!$B$2*M1613+Lookups!$B$3*L1613</f>
        <v>0</v>
      </c>
      <c r="Q1613" s="2" t="str">
        <f aca="false">INDEX(Lookups!$E$2:$E$5,MATCH(P1613,Lookups!$D$2:$D$5,0))</f>
        <v>Low</v>
      </c>
    </row>
    <row r="1614" customFormat="false" ht="15" hidden="false" customHeight="false" outlineLevel="0" collapsed="false">
      <c r="A1614" s="3" t="n">
        <v>1613</v>
      </c>
      <c r="B1614" s="3" t="n">
        <f aca="false">Raw_Data!A1614</f>
        <v>29</v>
      </c>
      <c r="C1614" s="3" t="str">
        <f aca="false">SUBSTITUTE(Raw_Data!B1614,".","")</f>
        <v>management</v>
      </c>
      <c r="D1614" s="3" t="str">
        <f aca="false">Raw_Data!C1614</f>
        <v>divorced</v>
      </c>
      <c r="E1614" s="3" t="str">
        <f aca="false">Raw_Data!D1614</f>
        <v>tertiary</v>
      </c>
      <c r="F1614" s="3" t="str">
        <f aca="false">Raw_Data!E1614</f>
        <v>no</v>
      </c>
      <c r="G1614" s="3" t="n">
        <f aca="false">Raw_Data!F1614</f>
        <v>415</v>
      </c>
      <c r="H1614" s="3" t="str">
        <f aca="false">Raw_Data!G1614</f>
        <v>yes</v>
      </c>
      <c r="I1614" s="3" t="str">
        <f aca="false">Raw_Data!H1614</f>
        <v>yes</v>
      </c>
      <c r="J1614" s="2" t="n">
        <f aca="false">IF(F1614="yes",1,0)</f>
        <v>0</v>
      </c>
      <c r="K1614" s="2" t="n">
        <f aca="false">IF(H1614="yes",1,0)</f>
        <v>1</v>
      </c>
      <c r="L1614" s="2" t="n">
        <f aca="false">IF(I1614="yes",1,0)</f>
        <v>1</v>
      </c>
      <c r="M1614" s="2" t="n">
        <f aca="false">IF(G1614&lt;0,1,0)</f>
        <v>0</v>
      </c>
      <c r="N1614" s="2" t="str">
        <f aca="false">_xlfn.IFS(B1614&lt;30,"Under 30",B1614&lt;40,"30-39",B1614&lt;50,"40-49",B1614&lt;60,"50-59",TRUE(),"60+")</f>
        <v>Under 30</v>
      </c>
      <c r="O1614" s="2" t="str">
        <f aca="false">_xlfn.IFS(G1614&lt;0,"1 Negative",G1614=0,"2 Zero",G1614&lt;=500,"3 1-500",G1614&lt;=2000,"4 501-2000",TRUE(),"5 Above 2000")</f>
        <v>3 1-500</v>
      </c>
      <c r="P1614" s="2" t="n">
        <f aca="false">Lookups!$B$2*M1614+Lookups!$B$3*L1614</f>
        <v>1</v>
      </c>
      <c r="Q1614" s="2" t="str">
        <f aca="false">INDEX(Lookups!$E$2:$E$5,MATCH(P1614,Lookups!$D$2:$D$5,0))</f>
        <v>Medium</v>
      </c>
    </row>
    <row r="1615" customFormat="false" ht="15" hidden="false" customHeight="false" outlineLevel="0" collapsed="false">
      <c r="A1615" s="3" t="n">
        <v>1614</v>
      </c>
      <c r="B1615" s="3" t="n">
        <f aca="false">Raw_Data!A1615</f>
        <v>58</v>
      </c>
      <c r="C1615" s="3" t="str">
        <f aca="false">SUBSTITUTE(Raw_Data!B1615,".","")</f>
        <v>self-employed</v>
      </c>
      <c r="D1615" s="3" t="str">
        <f aca="false">Raw_Data!C1615</f>
        <v>married</v>
      </c>
      <c r="E1615" s="3" t="str">
        <f aca="false">Raw_Data!D1615</f>
        <v>primary</v>
      </c>
      <c r="F1615" s="3" t="str">
        <f aca="false">Raw_Data!E1615</f>
        <v>no</v>
      </c>
      <c r="G1615" s="3" t="n">
        <f aca="false">Raw_Data!F1615</f>
        <v>671</v>
      </c>
      <c r="H1615" s="3" t="str">
        <f aca="false">Raw_Data!G1615</f>
        <v>yes</v>
      </c>
      <c r="I1615" s="3" t="str">
        <f aca="false">Raw_Data!H1615</f>
        <v>no</v>
      </c>
      <c r="J1615" s="2" t="n">
        <f aca="false">IF(F1615="yes",1,0)</f>
        <v>0</v>
      </c>
      <c r="K1615" s="2" t="n">
        <f aca="false">IF(H1615="yes",1,0)</f>
        <v>1</v>
      </c>
      <c r="L1615" s="2" t="n">
        <f aca="false">IF(I1615="yes",1,0)</f>
        <v>0</v>
      </c>
      <c r="M1615" s="2" t="n">
        <f aca="false">IF(G1615&lt;0,1,0)</f>
        <v>0</v>
      </c>
      <c r="N1615" s="2" t="str">
        <f aca="false">_xlfn.IFS(B1615&lt;30,"Under 30",B1615&lt;40,"30-39",B1615&lt;50,"40-49",B1615&lt;60,"50-59",TRUE(),"60+")</f>
        <v>50-59</v>
      </c>
      <c r="O1615" s="2" t="str">
        <f aca="false">_xlfn.IFS(G1615&lt;0,"1 Negative",G1615=0,"2 Zero",G1615&lt;=500,"3 1-500",G1615&lt;=2000,"4 501-2000",TRUE(),"5 Above 2000")</f>
        <v>4 501-2000</v>
      </c>
      <c r="P1615" s="2" t="n">
        <f aca="false">Lookups!$B$2*M1615+Lookups!$B$3*L1615</f>
        <v>0</v>
      </c>
      <c r="Q1615" s="2" t="str">
        <f aca="false">INDEX(Lookups!$E$2:$E$5,MATCH(P1615,Lookups!$D$2:$D$5,0))</f>
        <v>Low</v>
      </c>
    </row>
    <row r="1616" customFormat="false" ht="15" hidden="false" customHeight="false" outlineLevel="0" collapsed="false">
      <c r="A1616" s="3" t="n">
        <v>1615</v>
      </c>
      <c r="B1616" s="3" t="n">
        <f aca="false">Raw_Data!A1616</f>
        <v>40</v>
      </c>
      <c r="C1616" s="3" t="str">
        <f aca="false">SUBSTITUTE(Raw_Data!B1616,".","")</f>
        <v>admin</v>
      </c>
      <c r="D1616" s="3" t="str">
        <f aca="false">Raw_Data!C1616</f>
        <v>single</v>
      </c>
      <c r="E1616" s="3" t="str">
        <f aca="false">Raw_Data!D1616</f>
        <v>secondary</v>
      </c>
      <c r="F1616" s="3" t="str">
        <f aca="false">Raw_Data!E1616</f>
        <v>no</v>
      </c>
      <c r="G1616" s="3" t="n">
        <f aca="false">Raw_Data!F1616</f>
        <v>2378</v>
      </c>
      <c r="H1616" s="3" t="str">
        <f aca="false">Raw_Data!G1616</f>
        <v>yes</v>
      </c>
      <c r="I1616" s="3" t="str">
        <f aca="false">Raw_Data!H1616</f>
        <v>no</v>
      </c>
      <c r="J1616" s="2" t="n">
        <f aca="false">IF(F1616="yes",1,0)</f>
        <v>0</v>
      </c>
      <c r="K1616" s="2" t="n">
        <f aca="false">IF(H1616="yes",1,0)</f>
        <v>1</v>
      </c>
      <c r="L1616" s="2" t="n">
        <f aca="false">IF(I1616="yes",1,0)</f>
        <v>0</v>
      </c>
      <c r="M1616" s="2" t="n">
        <f aca="false">IF(G1616&lt;0,1,0)</f>
        <v>0</v>
      </c>
      <c r="N1616" s="2" t="str">
        <f aca="false">_xlfn.IFS(B1616&lt;30,"Under 30",B1616&lt;40,"30-39",B1616&lt;50,"40-49",B1616&lt;60,"50-59",TRUE(),"60+")</f>
        <v>40-49</v>
      </c>
      <c r="O1616" s="2" t="str">
        <f aca="false">_xlfn.IFS(G1616&lt;0,"1 Negative",G1616=0,"2 Zero",G1616&lt;=500,"3 1-500",G1616&lt;=2000,"4 501-2000",TRUE(),"5 Above 2000")</f>
        <v>5 Above 2000</v>
      </c>
      <c r="P1616" s="2" t="n">
        <f aca="false">Lookups!$B$2*M1616+Lookups!$B$3*L1616</f>
        <v>0</v>
      </c>
      <c r="Q1616" s="2" t="str">
        <f aca="false">INDEX(Lookups!$E$2:$E$5,MATCH(P1616,Lookups!$D$2:$D$5,0))</f>
        <v>Low</v>
      </c>
    </row>
    <row r="1617" customFormat="false" ht="15" hidden="false" customHeight="false" outlineLevel="0" collapsed="false">
      <c r="A1617" s="3" t="n">
        <v>1616</v>
      </c>
      <c r="B1617" s="3" t="n">
        <f aca="false">Raw_Data!A1617</f>
        <v>34</v>
      </c>
      <c r="C1617" s="3" t="str">
        <f aca="false">SUBSTITUTE(Raw_Data!B1617,".","")</f>
        <v>management</v>
      </c>
      <c r="D1617" s="3" t="str">
        <f aca="false">Raw_Data!C1617</f>
        <v>married</v>
      </c>
      <c r="E1617" s="3" t="str">
        <f aca="false">Raw_Data!D1617</f>
        <v>tertiary</v>
      </c>
      <c r="F1617" s="3" t="str">
        <f aca="false">Raw_Data!E1617</f>
        <v>no</v>
      </c>
      <c r="G1617" s="3" t="n">
        <f aca="false">Raw_Data!F1617</f>
        <v>417</v>
      </c>
      <c r="H1617" s="3" t="str">
        <f aca="false">Raw_Data!G1617</f>
        <v>yes</v>
      </c>
      <c r="I1617" s="3" t="str">
        <f aca="false">Raw_Data!H1617</f>
        <v>no</v>
      </c>
      <c r="J1617" s="2" t="n">
        <f aca="false">IF(F1617="yes",1,0)</f>
        <v>0</v>
      </c>
      <c r="K1617" s="2" t="n">
        <f aca="false">IF(H1617="yes",1,0)</f>
        <v>1</v>
      </c>
      <c r="L1617" s="2" t="n">
        <f aca="false">IF(I1617="yes",1,0)</f>
        <v>0</v>
      </c>
      <c r="M1617" s="2" t="n">
        <f aca="false">IF(G1617&lt;0,1,0)</f>
        <v>0</v>
      </c>
      <c r="N1617" s="2" t="str">
        <f aca="false">_xlfn.IFS(B1617&lt;30,"Under 30",B1617&lt;40,"30-39",B1617&lt;50,"40-49",B1617&lt;60,"50-59",TRUE(),"60+")</f>
        <v>30-39</v>
      </c>
      <c r="O1617" s="2" t="str">
        <f aca="false">_xlfn.IFS(G1617&lt;0,"1 Negative",G1617=0,"2 Zero",G1617&lt;=500,"3 1-500",G1617&lt;=2000,"4 501-2000",TRUE(),"5 Above 2000")</f>
        <v>3 1-500</v>
      </c>
      <c r="P1617" s="2" t="n">
        <f aca="false">Lookups!$B$2*M1617+Lookups!$B$3*L1617</f>
        <v>0</v>
      </c>
      <c r="Q1617" s="2" t="str">
        <f aca="false">INDEX(Lookups!$E$2:$E$5,MATCH(P1617,Lookups!$D$2:$D$5,0))</f>
        <v>Low</v>
      </c>
    </row>
    <row r="1618" customFormat="false" ht="15" hidden="false" customHeight="false" outlineLevel="0" collapsed="false">
      <c r="A1618" s="3" t="n">
        <v>1617</v>
      </c>
      <c r="B1618" s="3" t="n">
        <f aca="false">Raw_Data!A1618</f>
        <v>60</v>
      </c>
      <c r="C1618" s="3" t="str">
        <f aca="false">SUBSTITUTE(Raw_Data!B1618,".","")</f>
        <v>retired</v>
      </c>
      <c r="D1618" s="3" t="str">
        <f aca="false">Raw_Data!C1618</f>
        <v>married</v>
      </c>
      <c r="E1618" s="3" t="str">
        <f aca="false">Raw_Data!D1618</f>
        <v>primary</v>
      </c>
      <c r="F1618" s="3" t="str">
        <f aca="false">Raw_Data!E1618</f>
        <v>no</v>
      </c>
      <c r="G1618" s="3" t="n">
        <f aca="false">Raw_Data!F1618</f>
        <v>71</v>
      </c>
      <c r="H1618" s="3" t="str">
        <f aca="false">Raw_Data!G1618</f>
        <v>no</v>
      </c>
      <c r="I1618" s="3" t="str">
        <f aca="false">Raw_Data!H1618</f>
        <v>no</v>
      </c>
      <c r="J1618" s="2" t="n">
        <f aca="false">IF(F1618="yes",1,0)</f>
        <v>0</v>
      </c>
      <c r="K1618" s="2" t="n">
        <f aca="false">IF(H1618="yes",1,0)</f>
        <v>0</v>
      </c>
      <c r="L1618" s="2" t="n">
        <f aca="false">IF(I1618="yes",1,0)</f>
        <v>0</v>
      </c>
      <c r="M1618" s="2" t="n">
        <f aca="false">IF(G1618&lt;0,1,0)</f>
        <v>0</v>
      </c>
      <c r="N1618" s="2" t="str">
        <f aca="false">_xlfn.IFS(B1618&lt;30,"Under 30",B1618&lt;40,"30-39",B1618&lt;50,"40-49",B1618&lt;60,"50-59",TRUE(),"60+")</f>
        <v>60+</v>
      </c>
      <c r="O1618" s="2" t="str">
        <f aca="false">_xlfn.IFS(G1618&lt;0,"1 Negative",G1618=0,"2 Zero",G1618&lt;=500,"3 1-500",G1618&lt;=2000,"4 501-2000",TRUE(),"5 Above 2000")</f>
        <v>3 1-500</v>
      </c>
      <c r="P1618" s="2" t="n">
        <f aca="false">Lookups!$B$2*M1618+Lookups!$B$3*L1618</f>
        <v>0</v>
      </c>
      <c r="Q1618" s="2" t="str">
        <f aca="false">INDEX(Lookups!$E$2:$E$5,MATCH(P1618,Lookups!$D$2:$D$5,0))</f>
        <v>Low</v>
      </c>
    </row>
    <row r="1619" customFormat="false" ht="15" hidden="false" customHeight="false" outlineLevel="0" collapsed="false">
      <c r="A1619" s="3" t="n">
        <v>1618</v>
      </c>
      <c r="B1619" s="3" t="n">
        <f aca="false">Raw_Data!A1619</f>
        <v>43</v>
      </c>
      <c r="C1619" s="3" t="str">
        <f aca="false">SUBSTITUTE(Raw_Data!B1619,".","")</f>
        <v>management</v>
      </c>
      <c r="D1619" s="3" t="str">
        <f aca="false">Raw_Data!C1619</f>
        <v>married</v>
      </c>
      <c r="E1619" s="3" t="str">
        <f aca="false">Raw_Data!D1619</f>
        <v>tertiary</v>
      </c>
      <c r="F1619" s="3" t="str">
        <f aca="false">Raw_Data!E1619</f>
        <v>no</v>
      </c>
      <c r="G1619" s="3" t="n">
        <f aca="false">Raw_Data!F1619</f>
        <v>1188</v>
      </c>
      <c r="H1619" s="3" t="str">
        <f aca="false">Raw_Data!G1619</f>
        <v>no</v>
      </c>
      <c r="I1619" s="3" t="str">
        <f aca="false">Raw_Data!H1619</f>
        <v>no</v>
      </c>
      <c r="J1619" s="2" t="n">
        <f aca="false">IF(F1619="yes",1,0)</f>
        <v>0</v>
      </c>
      <c r="K1619" s="2" t="n">
        <f aca="false">IF(H1619="yes",1,0)</f>
        <v>0</v>
      </c>
      <c r="L1619" s="2" t="n">
        <f aca="false">IF(I1619="yes",1,0)</f>
        <v>0</v>
      </c>
      <c r="M1619" s="2" t="n">
        <f aca="false">IF(G1619&lt;0,1,0)</f>
        <v>0</v>
      </c>
      <c r="N1619" s="2" t="str">
        <f aca="false">_xlfn.IFS(B1619&lt;30,"Under 30",B1619&lt;40,"30-39",B1619&lt;50,"40-49",B1619&lt;60,"50-59",TRUE(),"60+")</f>
        <v>40-49</v>
      </c>
      <c r="O1619" s="2" t="str">
        <f aca="false">_xlfn.IFS(G1619&lt;0,"1 Negative",G1619=0,"2 Zero",G1619&lt;=500,"3 1-500",G1619&lt;=2000,"4 501-2000",TRUE(),"5 Above 2000")</f>
        <v>4 501-2000</v>
      </c>
      <c r="P1619" s="2" t="n">
        <f aca="false">Lookups!$B$2*M1619+Lookups!$B$3*L1619</f>
        <v>0</v>
      </c>
      <c r="Q1619" s="2" t="str">
        <f aca="false">INDEX(Lookups!$E$2:$E$5,MATCH(P1619,Lookups!$D$2:$D$5,0))</f>
        <v>Low</v>
      </c>
    </row>
    <row r="1620" customFormat="false" ht="15" hidden="false" customHeight="false" outlineLevel="0" collapsed="false">
      <c r="A1620" s="3" t="n">
        <v>1619</v>
      </c>
      <c r="B1620" s="3" t="n">
        <f aca="false">Raw_Data!A1620</f>
        <v>50</v>
      </c>
      <c r="C1620" s="3" t="str">
        <f aca="false">SUBSTITUTE(Raw_Data!B1620,".","")</f>
        <v>blue-collar</v>
      </c>
      <c r="D1620" s="3" t="str">
        <f aca="false">Raw_Data!C1620</f>
        <v>married</v>
      </c>
      <c r="E1620" s="3" t="str">
        <f aca="false">Raw_Data!D1620</f>
        <v>primary</v>
      </c>
      <c r="F1620" s="3" t="str">
        <f aca="false">Raw_Data!E1620</f>
        <v>no</v>
      </c>
      <c r="G1620" s="3" t="n">
        <f aca="false">Raw_Data!F1620</f>
        <v>8139</v>
      </c>
      <c r="H1620" s="3" t="str">
        <f aca="false">Raw_Data!G1620</f>
        <v>yes</v>
      </c>
      <c r="I1620" s="3" t="str">
        <f aca="false">Raw_Data!H1620</f>
        <v>no</v>
      </c>
      <c r="J1620" s="2" t="n">
        <f aca="false">IF(F1620="yes",1,0)</f>
        <v>0</v>
      </c>
      <c r="K1620" s="2" t="n">
        <f aca="false">IF(H1620="yes",1,0)</f>
        <v>1</v>
      </c>
      <c r="L1620" s="2" t="n">
        <f aca="false">IF(I1620="yes",1,0)</f>
        <v>0</v>
      </c>
      <c r="M1620" s="2" t="n">
        <f aca="false">IF(G1620&lt;0,1,0)</f>
        <v>0</v>
      </c>
      <c r="N1620" s="2" t="str">
        <f aca="false">_xlfn.IFS(B1620&lt;30,"Under 30",B1620&lt;40,"30-39",B1620&lt;50,"40-49",B1620&lt;60,"50-59",TRUE(),"60+")</f>
        <v>50-59</v>
      </c>
      <c r="O1620" s="2" t="str">
        <f aca="false">_xlfn.IFS(G1620&lt;0,"1 Negative",G1620=0,"2 Zero",G1620&lt;=500,"3 1-500",G1620&lt;=2000,"4 501-2000",TRUE(),"5 Above 2000")</f>
        <v>5 Above 2000</v>
      </c>
      <c r="P1620" s="2" t="n">
        <f aca="false">Lookups!$B$2*M1620+Lookups!$B$3*L1620</f>
        <v>0</v>
      </c>
      <c r="Q1620" s="2" t="str">
        <f aca="false">INDEX(Lookups!$E$2:$E$5,MATCH(P1620,Lookups!$D$2:$D$5,0))</f>
        <v>Low</v>
      </c>
    </row>
    <row r="1621" customFormat="false" ht="15" hidden="false" customHeight="false" outlineLevel="0" collapsed="false">
      <c r="A1621" s="3" t="n">
        <v>1620</v>
      </c>
      <c r="B1621" s="3" t="n">
        <f aca="false">Raw_Data!A1621</f>
        <v>33</v>
      </c>
      <c r="C1621" s="3" t="str">
        <f aca="false">SUBSTITUTE(Raw_Data!B1621,".","")</f>
        <v>blue-collar</v>
      </c>
      <c r="D1621" s="3" t="str">
        <f aca="false">Raw_Data!C1621</f>
        <v>married</v>
      </c>
      <c r="E1621" s="3" t="str">
        <f aca="false">Raw_Data!D1621</f>
        <v>secondary</v>
      </c>
      <c r="F1621" s="3" t="str">
        <f aca="false">Raw_Data!E1621</f>
        <v>no</v>
      </c>
      <c r="G1621" s="3" t="n">
        <f aca="false">Raw_Data!F1621</f>
        <v>249</v>
      </c>
      <c r="H1621" s="3" t="str">
        <f aca="false">Raw_Data!G1621</f>
        <v>yes</v>
      </c>
      <c r="I1621" s="3" t="str">
        <f aca="false">Raw_Data!H1621</f>
        <v>no</v>
      </c>
      <c r="J1621" s="2" t="n">
        <f aca="false">IF(F1621="yes",1,0)</f>
        <v>0</v>
      </c>
      <c r="K1621" s="2" t="n">
        <f aca="false">IF(H1621="yes",1,0)</f>
        <v>1</v>
      </c>
      <c r="L1621" s="2" t="n">
        <f aca="false">IF(I1621="yes",1,0)</f>
        <v>0</v>
      </c>
      <c r="M1621" s="2" t="n">
        <f aca="false">IF(G1621&lt;0,1,0)</f>
        <v>0</v>
      </c>
      <c r="N1621" s="2" t="str">
        <f aca="false">_xlfn.IFS(B1621&lt;30,"Under 30",B1621&lt;40,"30-39",B1621&lt;50,"40-49",B1621&lt;60,"50-59",TRUE(),"60+")</f>
        <v>30-39</v>
      </c>
      <c r="O1621" s="2" t="str">
        <f aca="false">_xlfn.IFS(G1621&lt;0,"1 Negative",G1621=0,"2 Zero",G1621&lt;=500,"3 1-500",G1621&lt;=2000,"4 501-2000",TRUE(),"5 Above 2000")</f>
        <v>3 1-500</v>
      </c>
      <c r="P1621" s="2" t="n">
        <f aca="false">Lookups!$B$2*M1621+Lookups!$B$3*L1621</f>
        <v>0</v>
      </c>
      <c r="Q1621" s="2" t="str">
        <f aca="false">INDEX(Lookups!$E$2:$E$5,MATCH(P1621,Lookups!$D$2:$D$5,0))</f>
        <v>Low</v>
      </c>
    </row>
    <row r="1622" customFormat="false" ht="15" hidden="false" customHeight="false" outlineLevel="0" collapsed="false">
      <c r="A1622" s="3" t="n">
        <v>1621</v>
      </c>
      <c r="B1622" s="3" t="n">
        <f aca="false">Raw_Data!A1622</f>
        <v>37</v>
      </c>
      <c r="C1622" s="3" t="str">
        <f aca="false">SUBSTITUTE(Raw_Data!B1622,".","")</f>
        <v>blue-collar</v>
      </c>
      <c r="D1622" s="3" t="str">
        <f aca="false">Raw_Data!C1622</f>
        <v>married</v>
      </c>
      <c r="E1622" s="3" t="str">
        <f aca="false">Raw_Data!D1622</f>
        <v>primary</v>
      </c>
      <c r="F1622" s="3" t="str">
        <f aca="false">Raw_Data!E1622</f>
        <v>no</v>
      </c>
      <c r="G1622" s="3" t="n">
        <f aca="false">Raw_Data!F1622</f>
        <v>689</v>
      </c>
      <c r="H1622" s="3" t="str">
        <f aca="false">Raw_Data!G1622</f>
        <v>yes</v>
      </c>
      <c r="I1622" s="3" t="str">
        <f aca="false">Raw_Data!H1622</f>
        <v>no</v>
      </c>
      <c r="J1622" s="2" t="n">
        <f aca="false">IF(F1622="yes",1,0)</f>
        <v>0</v>
      </c>
      <c r="K1622" s="2" t="n">
        <f aca="false">IF(H1622="yes",1,0)</f>
        <v>1</v>
      </c>
      <c r="L1622" s="2" t="n">
        <f aca="false">IF(I1622="yes",1,0)</f>
        <v>0</v>
      </c>
      <c r="M1622" s="2" t="n">
        <f aca="false">IF(G1622&lt;0,1,0)</f>
        <v>0</v>
      </c>
      <c r="N1622" s="2" t="str">
        <f aca="false">_xlfn.IFS(B1622&lt;30,"Under 30",B1622&lt;40,"30-39",B1622&lt;50,"40-49",B1622&lt;60,"50-59",TRUE(),"60+")</f>
        <v>30-39</v>
      </c>
      <c r="O1622" s="2" t="str">
        <f aca="false">_xlfn.IFS(G1622&lt;0,"1 Negative",G1622=0,"2 Zero",G1622&lt;=500,"3 1-500",G1622&lt;=2000,"4 501-2000",TRUE(),"5 Above 2000")</f>
        <v>4 501-2000</v>
      </c>
      <c r="P1622" s="2" t="n">
        <f aca="false">Lookups!$B$2*M1622+Lookups!$B$3*L1622</f>
        <v>0</v>
      </c>
      <c r="Q1622" s="2" t="str">
        <f aca="false">INDEX(Lookups!$E$2:$E$5,MATCH(P1622,Lookups!$D$2:$D$5,0))</f>
        <v>Low</v>
      </c>
    </row>
    <row r="1623" customFormat="false" ht="15" hidden="false" customHeight="false" outlineLevel="0" collapsed="false">
      <c r="A1623" s="3" t="n">
        <v>1622</v>
      </c>
      <c r="B1623" s="3" t="n">
        <f aca="false">Raw_Data!A1623</f>
        <v>55</v>
      </c>
      <c r="C1623" s="3" t="str">
        <f aca="false">SUBSTITUTE(Raw_Data!B1623,".","")</f>
        <v>self-employed</v>
      </c>
      <c r="D1623" s="3" t="str">
        <f aca="false">Raw_Data!C1623</f>
        <v>married</v>
      </c>
      <c r="E1623" s="3" t="str">
        <f aca="false">Raw_Data!D1623</f>
        <v>secondary</v>
      </c>
      <c r="F1623" s="3" t="str">
        <f aca="false">Raw_Data!E1623</f>
        <v>no</v>
      </c>
      <c r="G1623" s="3" t="n">
        <f aca="false">Raw_Data!F1623</f>
        <v>203</v>
      </c>
      <c r="H1623" s="3" t="str">
        <f aca="false">Raw_Data!G1623</f>
        <v>yes</v>
      </c>
      <c r="I1623" s="3" t="str">
        <f aca="false">Raw_Data!H1623</f>
        <v>no</v>
      </c>
      <c r="J1623" s="2" t="n">
        <f aca="false">IF(F1623="yes",1,0)</f>
        <v>0</v>
      </c>
      <c r="K1623" s="2" t="n">
        <f aca="false">IF(H1623="yes",1,0)</f>
        <v>1</v>
      </c>
      <c r="L1623" s="2" t="n">
        <f aca="false">IF(I1623="yes",1,0)</f>
        <v>0</v>
      </c>
      <c r="M1623" s="2" t="n">
        <f aca="false">IF(G1623&lt;0,1,0)</f>
        <v>0</v>
      </c>
      <c r="N1623" s="2" t="str">
        <f aca="false">_xlfn.IFS(B1623&lt;30,"Under 30",B1623&lt;40,"30-39",B1623&lt;50,"40-49",B1623&lt;60,"50-59",TRUE(),"60+")</f>
        <v>50-59</v>
      </c>
      <c r="O1623" s="2" t="str">
        <f aca="false">_xlfn.IFS(G1623&lt;0,"1 Negative",G1623=0,"2 Zero",G1623&lt;=500,"3 1-500",G1623&lt;=2000,"4 501-2000",TRUE(),"5 Above 2000")</f>
        <v>3 1-500</v>
      </c>
      <c r="P1623" s="2" t="n">
        <f aca="false">Lookups!$B$2*M1623+Lookups!$B$3*L1623</f>
        <v>0</v>
      </c>
      <c r="Q1623" s="2" t="str">
        <f aca="false">INDEX(Lookups!$E$2:$E$5,MATCH(P1623,Lookups!$D$2:$D$5,0))</f>
        <v>Low</v>
      </c>
    </row>
    <row r="1624" customFormat="false" ht="15" hidden="false" customHeight="false" outlineLevel="0" collapsed="false">
      <c r="A1624" s="3" t="n">
        <v>1623</v>
      </c>
      <c r="B1624" s="3" t="n">
        <f aca="false">Raw_Data!A1624</f>
        <v>45</v>
      </c>
      <c r="C1624" s="3" t="str">
        <f aca="false">SUBSTITUTE(Raw_Data!B1624,".","")</f>
        <v>blue-collar</v>
      </c>
      <c r="D1624" s="3" t="str">
        <f aca="false">Raw_Data!C1624</f>
        <v>single</v>
      </c>
      <c r="E1624" s="3" t="str">
        <f aca="false">Raw_Data!D1624</f>
        <v>primary</v>
      </c>
      <c r="F1624" s="3" t="str">
        <f aca="false">Raw_Data!E1624</f>
        <v>yes</v>
      </c>
      <c r="G1624" s="3" t="n">
        <f aca="false">Raw_Data!F1624</f>
        <v>-183</v>
      </c>
      <c r="H1624" s="3" t="str">
        <f aca="false">Raw_Data!G1624</f>
        <v>no</v>
      </c>
      <c r="I1624" s="3" t="str">
        <f aca="false">Raw_Data!H1624</f>
        <v>yes</v>
      </c>
      <c r="J1624" s="2" t="n">
        <f aca="false">IF(F1624="yes",1,0)</f>
        <v>1</v>
      </c>
      <c r="K1624" s="2" t="n">
        <f aca="false">IF(H1624="yes",1,0)</f>
        <v>0</v>
      </c>
      <c r="L1624" s="2" t="n">
        <f aca="false">IF(I1624="yes",1,0)</f>
        <v>1</v>
      </c>
      <c r="M1624" s="2" t="n">
        <f aca="false">IF(G1624&lt;0,1,0)</f>
        <v>1</v>
      </c>
      <c r="N1624" s="2" t="str">
        <f aca="false">_xlfn.IFS(B1624&lt;30,"Under 30",B1624&lt;40,"30-39",B1624&lt;50,"40-49",B1624&lt;60,"50-59",TRUE(),"60+")</f>
        <v>40-49</v>
      </c>
      <c r="O1624" s="2" t="str">
        <f aca="false">_xlfn.IFS(G1624&lt;0,"1 Negative",G1624=0,"2 Zero",G1624&lt;=500,"3 1-500",G1624&lt;=2000,"4 501-2000",TRUE(),"5 Above 2000")</f>
        <v>1 Negative</v>
      </c>
      <c r="P1624" s="2" t="n">
        <f aca="false">Lookups!$B$2*M1624+Lookups!$B$3*L1624</f>
        <v>3</v>
      </c>
      <c r="Q1624" s="2" t="str">
        <f aca="false">INDEX(Lookups!$E$2:$E$5,MATCH(P1624,Lookups!$D$2:$D$5,0))</f>
        <v>High</v>
      </c>
    </row>
    <row r="1625" customFormat="false" ht="15" hidden="false" customHeight="false" outlineLevel="0" collapsed="false">
      <c r="A1625" s="3" t="n">
        <v>1624</v>
      </c>
      <c r="B1625" s="3" t="n">
        <f aca="false">Raw_Data!A1625</f>
        <v>47</v>
      </c>
      <c r="C1625" s="3" t="str">
        <f aca="false">SUBSTITUTE(Raw_Data!B1625,".","")</f>
        <v>blue-collar</v>
      </c>
      <c r="D1625" s="3" t="str">
        <f aca="false">Raw_Data!C1625</f>
        <v>married</v>
      </c>
      <c r="E1625" s="3" t="str">
        <f aca="false">Raw_Data!D1625</f>
        <v>primary</v>
      </c>
      <c r="F1625" s="3" t="str">
        <f aca="false">Raw_Data!E1625</f>
        <v>no</v>
      </c>
      <c r="G1625" s="3" t="n">
        <f aca="false">Raw_Data!F1625</f>
        <v>3451</v>
      </c>
      <c r="H1625" s="3" t="str">
        <f aca="false">Raw_Data!G1625</f>
        <v>no</v>
      </c>
      <c r="I1625" s="3" t="str">
        <f aca="false">Raw_Data!H1625</f>
        <v>yes</v>
      </c>
      <c r="J1625" s="2" t="n">
        <f aca="false">IF(F1625="yes",1,0)</f>
        <v>0</v>
      </c>
      <c r="K1625" s="2" t="n">
        <f aca="false">IF(H1625="yes",1,0)</f>
        <v>0</v>
      </c>
      <c r="L1625" s="2" t="n">
        <f aca="false">IF(I1625="yes",1,0)</f>
        <v>1</v>
      </c>
      <c r="M1625" s="2" t="n">
        <f aca="false">IF(G1625&lt;0,1,0)</f>
        <v>0</v>
      </c>
      <c r="N1625" s="2" t="str">
        <f aca="false">_xlfn.IFS(B1625&lt;30,"Under 30",B1625&lt;40,"30-39",B1625&lt;50,"40-49",B1625&lt;60,"50-59",TRUE(),"60+")</f>
        <v>40-49</v>
      </c>
      <c r="O1625" s="2" t="str">
        <f aca="false">_xlfn.IFS(G1625&lt;0,"1 Negative",G1625=0,"2 Zero",G1625&lt;=500,"3 1-500",G1625&lt;=2000,"4 501-2000",TRUE(),"5 Above 2000")</f>
        <v>5 Above 2000</v>
      </c>
      <c r="P1625" s="2" t="n">
        <f aca="false">Lookups!$B$2*M1625+Lookups!$B$3*L1625</f>
        <v>1</v>
      </c>
      <c r="Q1625" s="2" t="str">
        <f aca="false">INDEX(Lookups!$E$2:$E$5,MATCH(P1625,Lookups!$D$2:$D$5,0))</f>
        <v>Medium</v>
      </c>
    </row>
    <row r="1626" customFormat="false" ht="15" hidden="false" customHeight="false" outlineLevel="0" collapsed="false">
      <c r="A1626" s="3" t="n">
        <v>1625</v>
      </c>
      <c r="B1626" s="3" t="n">
        <f aca="false">Raw_Data!A1626</f>
        <v>58</v>
      </c>
      <c r="C1626" s="3" t="str">
        <f aca="false">SUBSTITUTE(Raw_Data!B1626,".","")</f>
        <v>technician</v>
      </c>
      <c r="D1626" s="3" t="str">
        <f aca="false">Raw_Data!C1626</f>
        <v>married</v>
      </c>
      <c r="E1626" s="3" t="str">
        <f aca="false">Raw_Data!D1626</f>
        <v>secondary</v>
      </c>
      <c r="F1626" s="3" t="str">
        <f aca="false">Raw_Data!E1626</f>
        <v>no</v>
      </c>
      <c r="G1626" s="3" t="n">
        <f aca="false">Raw_Data!F1626</f>
        <v>116</v>
      </c>
      <c r="H1626" s="3" t="str">
        <f aca="false">Raw_Data!G1626</f>
        <v>no</v>
      </c>
      <c r="I1626" s="3" t="str">
        <f aca="false">Raw_Data!H1626</f>
        <v>no</v>
      </c>
      <c r="J1626" s="2" t="n">
        <f aca="false">IF(F1626="yes",1,0)</f>
        <v>0</v>
      </c>
      <c r="K1626" s="2" t="n">
        <f aca="false">IF(H1626="yes",1,0)</f>
        <v>0</v>
      </c>
      <c r="L1626" s="2" t="n">
        <f aca="false">IF(I1626="yes",1,0)</f>
        <v>0</v>
      </c>
      <c r="M1626" s="2" t="n">
        <f aca="false">IF(G1626&lt;0,1,0)</f>
        <v>0</v>
      </c>
      <c r="N1626" s="2" t="str">
        <f aca="false">_xlfn.IFS(B1626&lt;30,"Under 30",B1626&lt;40,"30-39",B1626&lt;50,"40-49",B1626&lt;60,"50-59",TRUE(),"60+")</f>
        <v>50-59</v>
      </c>
      <c r="O1626" s="2" t="str">
        <f aca="false">_xlfn.IFS(G1626&lt;0,"1 Negative",G1626=0,"2 Zero",G1626&lt;=500,"3 1-500",G1626&lt;=2000,"4 501-2000",TRUE(),"5 Above 2000")</f>
        <v>3 1-500</v>
      </c>
      <c r="P1626" s="2" t="n">
        <f aca="false">Lookups!$B$2*M1626+Lookups!$B$3*L1626</f>
        <v>0</v>
      </c>
      <c r="Q1626" s="2" t="str">
        <f aca="false">INDEX(Lookups!$E$2:$E$5,MATCH(P1626,Lookups!$D$2:$D$5,0))</f>
        <v>Low</v>
      </c>
    </row>
    <row r="1627" customFormat="false" ht="15" hidden="false" customHeight="false" outlineLevel="0" collapsed="false">
      <c r="A1627" s="3" t="n">
        <v>1626</v>
      </c>
      <c r="B1627" s="3" t="n">
        <f aca="false">Raw_Data!A1627</f>
        <v>36</v>
      </c>
      <c r="C1627" s="3" t="str">
        <f aca="false">SUBSTITUTE(Raw_Data!B1627,".","")</f>
        <v>services</v>
      </c>
      <c r="D1627" s="3" t="str">
        <f aca="false">Raw_Data!C1627</f>
        <v>married</v>
      </c>
      <c r="E1627" s="3" t="str">
        <f aca="false">Raw_Data!D1627</f>
        <v>secondary</v>
      </c>
      <c r="F1627" s="3" t="str">
        <f aca="false">Raw_Data!E1627</f>
        <v>no</v>
      </c>
      <c r="G1627" s="3" t="n">
        <f aca="false">Raw_Data!F1627</f>
        <v>1746</v>
      </c>
      <c r="H1627" s="3" t="str">
        <f aca="false">Raw_Data!G1627</f>
        <v>yes</v>
      </c>
      <c r="I1627" s="3" t="str">
        <f aca="false">Raw_Data!H1627</f>
        <v>no</v>
      </c>
      <c r="J1627" s="2" t="n">
        <f aca="false">IF(F1627="yes",1,0)</f>
        <v>0</v>
      </c>
      <c r="K1627" s="2" t="n">
        <f aca="false">IF(H1627="yes",1,0)</f>
        <v>1</v>
      </c>
      <c r="L1627" s="2" t="n">
        <f aca="false">IF(I1627="yes",1,0)</f>
        <v>0</v>
      </c>
      <c r="M1627" s="2" t="n">
        <f aca="false">IF(G1627&lt;0,1,0)</f>
        <v>0</v>
      </c>
      <c r="N1627" s="2" t="str">
        <f aca="false">_xlfn.IFS(B1627&lt;30,"Under 30",B1627&lt;40,"30-39",B1627&lt;50,"40-49",B1627&lt;60,"50-59",TRUE(),"60+")</f>
        <v>30-39</v>
      </c>
      <c r="O1627" s="2" t="str">
        <f aca="false">_xlfn.IFS(G1627&lt;0,"1 Negative",G1627=0,"2 Zero",G1627&lt;=500,"3 1-500",G1627&lt;=2000,"4 501-2000",TRUE(),"5 Above 2000")</f>
        <v>4 501-2000</v>
      </c>
      <c r="P1627" s="2" t="n">
        <f aca="false">Lookups!$B$2*M1627+Lookups!$B$3*L1627</f>
        <v>0</v>
      </c>
      <c r="Q1627" s="2" t="str">
        <f aca="false">INDEX(Lookups!$E$2:$E$5,MATCH(P1627,Lookups!$D$2:$D$5,0))</f>
        <v>Low</v>
      </c>
    </row>
    <row r="1628" customFormat="false" ht="15" hidden="false" customHeight="false" outlineLevel="0" collapsed="false">
      <c r="A1628" s="3" t="n">
        <v>1627</v>
      </c>
      <c r="B1628" s="3" t="n">
        <f aca="false">Raw_Data!A1628</f>
        <v>55</v>
      </c>
      <c r="C1628" s="3" t="str">
        <f aca="false">SUBSTITUTE(Raw_Data!B1628,".","")</f>
        <v>technician</v>
      </c>
      <c r="D1628" s="3" t="str">
        <f aca="false">Raw_Data!C1628</f>
        <v>married</v>
      </c>
      <c r="E1628" s="3" t="str">
        <f aca="false">Raw_Data!D1628</f>
        <v>secondary</v>
      </c>
      <c r="F1628" s="3" t="str">
        <f aca="false">Raw_Data!E1628</f>
        <v>no</v>
      </c>
      <c r="G1628" s="3" t="n">
        <f aca="false">Raw_Data!F1628</f>
        <v>0</v>
      </c>
      <c r="H1628" s="3" t="str">
        <f aca="false">Raw_Data!G1628</f>
        <v>yes</v>
      </c>
      <c r="I1628" s="3" t="str">
        <f aca="false">Raw_Data!H1628</f>
        <v>no</v>
      </c>
      <c r="J1628" s="2" t="n">
        <f aca="false">IF(F1628="yes",1,0)</f>
        <v>0</v>
      </c>
      <c r="K1628" s="2" t="n">
        <f aca="false">IF(H1628="yes",1,0)</f>
        <v>1</v>
      </c>
      <c r="L1628" s="2" t="n">
        <f aca="false">IF(I1628="yes",1,0)</f>
        <v>0</v>
      </c>
      <c r="M1628" s="2" t="n">
        <f aca="false">IF(G1628&lt;0,1,0)</f>
        <v>0</v>
      </c>
      <c r="N1628" s="2" t="str">
        <f aca="false">_xlfn.IFS(B1628&lt;30,"Under 30",B1628&lt;40,"30-39",B1628&lt;50,"40-49",B1628&lt;60,"50-59",TRUE(),"60+")</f>
        <v>50-59</v>
      </c>
      <c r="O1628" s="2" t="str">
        <f aca="false">_xlfn.IFS(G1628&lt;0,"1 Negative",G1628=0,"2 Zero",G1628&lt;=500,"3 1-500",G1628&lt;=2000,"4 501-2000",TRUE(),"5 Above 2000")</f>
        <v>2 Zero</v>
      </c>
      <c r="P1628" s="2" t="n">
        <f aca="false">Lookups!$B$2*M1628+Lookups!$B$3*L1628</f>
        <v>0</v>
      </c>
      <c r="Q1628" s="2" t="str">
        <f aca="false">INDEX(Lookups!$E$2:$E$5,MATCH(P1628,Lookups!$D$2:$D$5,0))</f>
        <v>Low</v>
      </c>
    </row>
    <row r="1629" customFormat="false" ht="15" hidden="false" customHeight="false" outlineLevel="0" collapsed="false">
      <c r="A1629" s="3" t="n">
        <v>1628</v>
      </c>
      <c r="B1629" s="3" t="n">
        <f aca="false">Raw_Data!A1629</f>
        <v>31</v>
      </c>
      <c r="C1629" s="3" t="str">
        <f aca="false">SUBSTITUTE(Raw_Data!B1629,".","")</f>
        <v>blue-collar</v>
      </c>
      <c r="D1629" s="3" t="str">
        <f aca="false">Raw_Data!C1629</f>
        <v>married</v>
      </c>
      <c r="E1629" s="3" t="str">
        <f aca="false">Raw_Data!D1629</f>
        <v>secondary</v>
      </c>
      <c r="F1629" s="3" t="str">
        <f aca="false">Raw_Data!E1629</f>
        <v>no</v>
      </c>
      <c r="G1629" s="3" t="n">
        <f aca="false">Raw_Data!F1629</f>
        <v>897</v>
      </c>
      <c r="H1629" s="3" t="str">
        <f aca="false">Raw_Data!G1629</f>
        <v>yes</v>
      </c>
      <c r="I1629" s="3" t="str">
        <f aca="false">Raw_Data!H1629</f>
        <v>no</v>
      </c>
      <c r="J1629" s="2" t="n">
        <f aca="false">IF(F1629="yes",1,0)</f>
        <v>0</v>
      </c>
      <c r="K1629" s="2" t="n">
        <f aca="false">IF(H1629="yes",1,0)</f>
        <v>1</v>
      </c>
      <c r="L1629" s="2" t="n">
        <f aca="false">IF(I1629="yes",1,0)</f>
        <v>0</v>
      </c>
      <c r="M1629" s="2" t="n">
        <f aca="false">IF(G1629&lt;0,1,0)</f>
        <v>0</v>
      </c>
      <c r="N1629" s="2" t="str">
        <f aca="false">_xlfn.IFS(B1629&lt;30,"Under 30",B1629&lt;40,"30-39",B1629&lt;50,"40-49",B1629&lt;60,"50-59",TRUE(),"60+")</f>
        <v>30-39</v>
      </c>
      <c r="O1629" s="2" t="str">
        <f aca="false">_xlfn.IFS(G1629&lt;0,"1 Negative",G1629=0,"2 Zero",G1629&lt;=500,"3 1-500",G1629&lt;=2000,"4 501-2000",TRUE(),"5 Above 2000")</f>
        <v>4 501-2000</v>
      </c>
      <c r="P1629" s="2" t="n">
        <f aca="false">Lookups!$B$2*M1629+Lookups!$B$3*L1629</f>
        <v>0</v>
      </c>
      <c r="Q1629" s="2" t="str">
        <f aca="false">INDEX(Lookups!$E$2:$E$5,MATCH(P1629,Lookups!$D$2:$D$5,0))</f>
        <v>Low</v>
      </c>
    </row>
    <row r="1630" customFormat="false" ht="15" hidden="false" customHeight="false" outlineLevel="0" collapsed="false">
      <c r="A1630" s="3" t="n">
        <v>1629</v>
      </c>
      <c r="B1630" s="3" t="n">
        <f aca="false">Raw_Data!A1630</f>
        <v>38</v>
      </c>
      <c r="C1630" s="3" t="str">
        <f aca="false">SUBSTITUTE(Raw_Data!B1630,".","")</f>
        <v>technician</v>
      </c>
      <c r="D1630" s="3" t="str">
        <f aca="false">Raw_Data!C1630</f>
        <v>married</v>
      </c>
      <c r="E1630" s="3" t="str">
        <f aca="false">Raw_Data!D1630</f>
        <v>secondary</v>
      </c>
      <c r="F1630" s="3" t="str">
        <f aca="false">Raw_Data!E1630</f>
        <v>no</v>
      </c>
      <c r="G1630" s="3" t="n">
        <f aca="false">Raw_Data!F1630</f>
        <v>821</v>
      </c>
      <c r="H1630" s="3" t="str">
        <f aca="false">Raw_Data!G1630</f>
        <v>yes</v>
      </c>
      <c r="I1630" s="3" t="str">
        <f aca="false">Raw_Data!H1630</f>
        <v>yes</v>
      </c>
      <c r="J1630" s="2" t="n">
        <f aca="false">IF(F1630="yes",1,0)</f>
        <v>0</v>
      </c>
      <c r="K1630" s="2" t="n">
        <f aca="false">IF(H1630="yes",1,0)</f>
        <v>1</v>
      </c>
      <c r="L1630" s="2" t="n">
        <f aca="false">IF(I1630="yes",1,0)</f>
        <v>1</v>
      </c>
      <c r="M1630" s="2" t="n">
        <f aca="false">IF(G1630&lt;0,1,0)</f>
        <v>0</v>
      </c>
      <c r="N1630" s="2" t="str">
        <f aca="false">_xlfn.IFS(B1630&lt;30,"Under 30",B1630&lt;40,"30-39",B1630&lt;50,"40-49",B1630&lt;60,"50-59",TRUE(),"60+")</f>
        <v>30-39</v>
      </c>
      <c r="O1630" s="2" t="str">
        <f aca="false">_xlfn.IFS(G1630&lt;0,"1 Negative",G1630=0,"2 Zero",G1630&lt;=500,"3 1-500",G1630&lt;=2000,"4 501-2000",TRUE(),"5 Above 2000")</f>
        <v>4 501-2000</v>
      </c>
      <c r="P1630" s="2" t="n">
        <f aca="false">Lookups!$B$2*M1630+Lookups!$B$3*L1630</f>
        <v>1</v>
      </c>
      <c r="Q1630" s="2" t="str">
        <f aca="false">INDEX(Lookups!$E$2:$E$5,MATCH(P1630,Lookups!$D$2:$D$5,0))</f>
        <v>Medium</v>
      </c>
    </row>
    <row r="1631" customFormat="false" ht="15" hidden="false" customHeight="false" outlineLevel="0" collapsed="false">
      <c r="A1631" s="3" t="n">
        <v>1630</v>
      </c>
      <c r="B1631" s="3" t="n">
        <f aca="false">Raw_Data!A1631</f>
        <v>42</v>
      </c>
      <c r="C1631" s="3" t="str">
        <f aca="false">SUBSTITUTE(Raw_Data!B1631,".","")</f>
        <v>blue-collar</v>
      </c>
      <c r="D1631" s="3" t="str">
        <f aca="false">Raw_Data!C1631</f>
        <v>married</v>
      </c>
      <c r="E1631" s="3" t="str">
        <f aca="false">Raw_Data!D1631</f>
        <v>secondary</v>
      </c>
      <c r="F1631" s="3" t="str">
        <f aca="false">Raw_Data!E1631</f>
        <v>no</v>
      </c>
      <c r="G1631" s="3" t="n">
        <f aca="false">Raw_Data!F1631</f>
        <v>130</v>
      </c>
      <c r="H1631" s="3" t="str">
        <f aca="false">Raw_Data!G1631</f>
        <v>yes</v>
      </c>
      <c r="I1631" s="3" t="str">
        <f aca="false">Raw_Data!H1631</f>
        <v>no</v>
      </c>
      <c r="J1631" s="2" t="n">
        <f aca="false">IF(F1631="yes",1,0)</f>
        <v>0</v>
      </c>
      <c r="K1631" s="2" t="n">
        <f aca="false">IF(H1631="yes",1,0)</f>
        <v>1</v>
      </c>
      <c r="L1631" s="2" t="n">
        <f aca="false">IF(I1631="yes",1,0)</f>
        <v>0</v>
      </c>
      <c r="M1631" s="2" t="n">
        <f aca="false">IF(G1631&lt;0,1,0)</f>
        <v>0</v>
      </c>
      <c r="N1631" s="2" t="str">
        <f aca="false">_xlfn.IFS(B1631&lt;30,"Under 30",B1631&lt;40,"30-39",B1631&lt;50,"40-49",B1631&lt;60,"50-59",TRUE(),"60+")</f>
        <v>40-49</v>
      </c>
      <c r="O1631" s="2" t="str">
        <f aca="false">_xlfn.IFS(G1631&lt;0,"1 Negative",G1631=0,"2 Zero",G1631&lt;=500,"3 1-500",G1631&lt;=2000,"4 501-2000",TRUE(),"5 Above 2000")</f>
        <v>3 1-500</v>
      </c>
      <c r="P1631" s="2" t="n">
        <f aca="false">Lookups!$B$2*M1631+Lookups!$B$3*L1631</f>
        <v>0</v>
      </c>
      <c r="Q1631" s="2" t="str">
        <f aca="false">INDEX(Lookups!$E$2:$E$5,MATCH(P1631,Lookups!$D$2:$D$5,0))</f>
        <v>Low</v>
      </c>
    </row>
    <row r="1632" customFormat="false" ht="15" hidden="false" customHeight="false" outlineLevel="0" collapsed="false">
      <c r="A1632" s="3" t="n">
        <v>1631</v>
      </c>
      <c r="B1632" s="3" t="n">
        <f aca="false">Raw_Data!A1632</f>
        <v>32</v>
      </c>
      <c r="C1632" s="3" t="str">
        <f aca="false">SUBSTITUTE(Raw_Data!B1632,".","")</f>
        <v>management</v>
      </c>
      <c r="D1632" s="3" t="str">
        <f aca="false">Raw_Data!C1632</f>
        <v>divorced</v>
      </c>
      <c r="E1632" s="3" t="str">
        <f aca="false">Raw_Data!D1632</f>
        <v>tertiary</v>
      </c>
      <c r="F1632" s="3" t="str">
        <f aca="false">Raw_Data!E1632</f>
        <v>no</v>
      </c>
      <c r="G1632" s="3" t="n">
        <f aca="false">Raw_Data!F1632</f>
        <v>1</v>
      </c>
      <c r="H1632" s="3" t="str">
        <f aca="false">Raw_Data!G1632</f>
        <v>yes</v>
      </c>
      <c r="I1632" s="3" t="str">
        <f aca="false">Raw_Data!H1632</f>
        <v>no</v>
      </c>
      <c r="J1632" s="2" t="n">
        <f aca="false">IF(F1632="yes",1,0)</f>
        <v>0</v>
      </c>
      <c r="K1632" s="2" t="n">
        <f aca="false">IF(H1632="yes",1,0)</f>
        <v>1</v>
      </c>
      <c r="L1632" s="2" t="n">
        <f aca="false">IF(I1632="yes",1,0)</f>
        <v>0</v>
      </c>
      <c r="M1632" s="2" t="n">
        <f aca="false">IF(G1632&lt;0,1,0)</f>
        <v>0</v>
      </c>
      <c r="N1632" s="2" t="str">
        <f aca="false">_xlfn.IFS(B1632&lt;30,"Under 30",B1632&lt;40,"30-39",B1632&lt;50,"40-49",B1632&lt;60,"50-59",TRUE(),"60+")</f>
        <v>30-39</v>
      </c>
      <c r="O1632" s="2" t="str">
        <f aca="false">_xlfn.IFS(G1632&lt;0,"1 Negative",G1632=0,"2 Zero",G1632&lt;=500,"3 1-500",G1632&lt;=2000,"4 501-2000",TRUE(),"5 Above 2000")</f>
        <v>3 1-500</v>
      </c>
      <c r="P1632" s="2" t="n">
        <f aca="false">Lookups!$B$2*M1632+Lookups!$B$3*L1632</f>
        <v>0</v>
      </c>
      <c r="Q1632" s="2" t="str">
        <f aca="false">INDEX(Lookups!$E$2:$E$5,MATCH(P1632,Lookups!$D$2:$D$5,0))</f>
        <v>Low</v>
      </c>
    </row>
    <row r="1633" customFormat="false" ht="15" hidden="false" customHeight="false" outlineLevel="0" collapsed="false">
      <c r="A1633" s="3" t="n">
        <v>1632</v>
      </c>
      <c r="B1633" s="3" t="n">
        <f aca="false">Raw_Data!A1633</f>
        <v>39</v>
      </c>
      <c r="C1633" s="3" t="str">
        <f aca="false">SUBSTITUTE(Raw_Data!B1633,".","")</f>
        <v>blue-collar</v>
      </c>
      <c r="D1633" s="3" t="str">
        <f aca="false">Raw_Data!C1633</f>
        <v>married</v>
      </c>
      <c r="E1633" s="3" t="str">
        <f aca="false">Raw_Data!D1633</f>
        <v>secondary</v>
      </c>
      <c r="F1633" s="3" t="str">
        <f aca="false">Raw_Data!E1633</f>
        <v>no</v>
      </c>
      <c r="G1633" s="3" t="n">
        <f aca="false">Raw_Data!F1633</f>
        <v>8</v>
      </c>
      <c r="H1633" s="3" t="str">
        <f aca="false">Raw_Data!G1633</f>
        <v>no</v>
      </c>
      <c r="I1633" s="3" t="str">
        <f aca="false">Raw_Data!H1633</f>
        <v>no</v>
      </c>
      <c r="J1633" s="2" t="n">
        <f aca="false">IF(F1633="yes",1,0)</f>
        <v>0</v>
      </c>
      <c r="K1633" s="2" t="n">
        <f aca="false">IF(H1633="yes",1,0)</f>
        <v>0</v>
      </c>
      <c r="L1633" s="2" t="n">
        <f aca="false">IF(I1633="yes",1,0)</f>
        <v>0</v>
      </c>
      <c r="M1633" s="2" t="n">
        <f aca="false">IF(G1633&lt;0,1,0)</f>
        <v>0</v>
      </c>
      <c r="N1633" s="2" t="str">
        <f aca="false">_xlfn.IFS(B1633&lt;30,"Under 30",B1633&lt;40,"30-39",B1633&lt;50,"40-49",B1633&lt;60,"50-59",TRUE(),"60+")</f>
        <v>30-39</v>
      </c>
      <c r="O1633" s="2" t="str">
        <f aca="false">_xlfn.IFS(G1633&lt;0,"1 Negative",G1633=0,"2 Zero",G1633&lt;=500,"3 1-500",G1633&lt;=2000,"4 501-2000",TRUE(),"5 Above 2000")</f>
        <v>3 1-500</v>
      </c>
      <c r="P1633" s="2" t="n">
        <f aca="false">Lookups!$B$2*M1633+Lookups!$B$3*L1633</f>
        <v>0</v>
      </c>
      <c r="Q1633" s="2" t="str">
        <f aca="false">INDEX(Lookups!$E$2:$E$5,MATCH(P1633,Lookups!$D$2:$D$5,0))</f>
        <v>Low</v>
      </c>
    </row>
    <row r="1634" customFormat="false" ht="15" hidden="false" customHeight="false" outlineLevel="0" collapsed="false">
      <c r="A1634" s="3" t="n">
        <v>1633</v>
      </c>
      <c r="B1634" s="3" t="n">
        <f aca="false">Raw_Data!A1634</f>
        <v>41</v>
      </c>
      <c r="C1634" s="3" t="str">
        <f aca="false">SUBSTITUTE(Raw_Data!B1634,".","")</f>
        <v>technician</v>
      </c>
      <c r="D1634" s="3" t="str">
        <f aca="false">Raw_Data!C1634</f>
        <v>married</v>
      </c>
      <c r="E1634" s="3" t="str">
        <f aca="false">Raw_Data!D1634</f>
        <v>secondary</v>
      </c>
      <c r="F1634" s="3" t="str">
        <f aca="false">Raw_Data!E1634</f>
        <v>no</v>
      </c>
      <c r="G1634" s="3" t="n">
        <f aca="false">Raw_Data!F1634</f>
        <v>55</v>
      </c>
      <c r="H1634" s="3" t="str">
        <f aca="false">Raw_Data!G1634</f>
        <v>yes</v>
      </c>
      <c r="I1634" s="3" t="str">
        <f aca="false">Raw_Data!H1634</f>
        <v>no</v>
      </c>
      <c r="J1634" s="2" t="n">
        <f aca="false">IF(F1634="yes",1,0)</f>
        <v>0</v>
      </c>
      <c r="K1634" s="2" t="n">
        <f aca="false">IF(H1634="yes",1,0)</f>
        <v>1</v>
      </c>
      <c r="L1634" s="2" t="n">
        <f aca="false">IF(I1634="yes",1,0)</f>
        <v>0</v>
      </c>
      <c r="M1634" s="2" t="n">
        <f aca="false">IF(G1634&lt;0,1,0)</f>
        <v>0</v>
      </c>
      <c r="N1634" s="2" t="str">
        <f aca="false">_xlfn.IFS(B1634&lt;30,"Under 30",B1634&lt;40,"30-39",B1634&lt;50,"40-49",B1634&lt;60,"50-59",TRUE(),"60+")</f>
        <v>40-49</v>
      </c>
      <c r="O1634" s="2" t="str">
        <f aca="false">_xlfn.IFS(G1634&lt;0,"1 Negative",G1634=0,"2 Zero",G1634&lt;=500,"3 1-500",G1634&lt;=2000,"4 501-2000",TRUE(),"5 Above 2000")</f>
        <v>3 1-500</v>
      </c>
      <c r="P1634" s="2" t="n">
        <f aca="false">Lookups!$B$2*M1634+Lookups!$B$3*L1634</f>
        <v>0</v>
      </c>
      <c r="Q1634" s="2" t="str">
        <f aca="false">INDEX(Lookups!$E$2:$E$5,MATCH(P1634,Lookups!$D$2:$D$5,0))</f>
        <v>Low</v>
      </c>
    </row>
    <row r="1635" customFormat="false" ht="15" hidden="false" customHeight="false" outlineLevel="0" collapsed="false">
      <c r="A1635" s="3" t="n">
        <v>1634</v>
      </c>
      <c r="B1635" s="3" t="n">
        <f aca="false">Raw_Data!A1635</f>
        <v>59</v>
      </c>
      <c r="C1635" s="3" t="str">
        <f aca="false">SUBSTITUTE(Raw_Data!B1635,".","")</f>
        <v>blue-collar</v>
      </c>
      <c r="D1635" s="3" t="str">
        <f aca="false">Raw_Data!C1635</f>
        <v>married</v>
      </c>
      <c r="E1635" s="3" t="str">
        <f aca="false">Raw_Data!D1635</f>
        <v>primary</v>
      </c>
      <c r="F1635" s="3" t="str">
        <f aca="false">Raw_Data!E1635</f>
        <v>no</v>
      </c>
      <c r="G1635" s="3" t="n">
        <f aca="false">Raw_Data!F1635</f>
        <v>699</v>
      </c>
      <c r="H1635" s="3" t="str">
        <f aca="false">Raw_Data!G1635</f>
        <v>no</v>
      </c>
      <c r="I1635" s="3" t="str">
        <f aca="false">Raw_Data!H1635</f>
        <v>no</v>
      </c>
      <c r="J1635" s="2" t="n">
        <f aca="false">IF(F1635="yes",1,0)</f>
        <v>0</v>
      </c>
      <c r="K1635" s="2" t="n">
        <f aca="false">IF(H1635="yes",1,0)</f>
        <v>0</v>
      </c>
      <c r="L1635" s="2" t="n">
        <f aca="false">IF(I1635="yes",1,0)</f>
        <v>0</v>
      </c>
      <c r="M1635" s="2" t="n">
        <f aca="false">IF(G1635&lt;0,1,0)</f>
        <v>0</v>
      </c>
      <c r="N1635" s="2" t="str">
        <f aca="false">_xlfn.IFS(B1635&lt;30,"Under 30",B1635&lt;40,"30-39",B1635&lt;50,"40-49",B1635&lt;60,"50-59",TRUE(),"60+")</f>
        <v>50-59</v>
      </c>
      <c r="O1635" s="2" t="str">
        <f aca="false">_xlfn.IFS(G1635&lt;0,"1 Negative",G1635=0,"2 Zero",G1635&lt;=500,"3 1-500",G1635&lt;=2000,"4 501-2000",TRUE(),"5 Above 2000")</f>
        <v>4 501-2000</v>
      </c>
      <c r="P1635" s="2" t="n">
        <f aca="false">Lookups!$B$2*M1635+Lookups!$B$3*L1635</f>
        <v>0</v>
      </c>
      <c r="Q1635" s="2" t="str">
        <f aca="false">INDEX(Lookups!$E$2:$E$5,MATCH(P1635,Lookups!$D$2:$D$5,0))</f>
        <v>Low</v>
      </c>
    </row>
    <row r="1636" customFormat="false" ht="15" hidden="false" customHeight="false" outlineLevel="0" collapsed="false">
      <c r="A1636" s="3" t="n">
        <v>1635</v>
      </c>
      <c r="B1636" s="3" t="n">
        <f aca="false">Raw_Data!A1636</f>
        <v>42</v>
      </c>
      <c r="C1636" s="3" t="str">
        <f aca="false">SUBSTITUTE(Raw_Data!B1636,".","")</f>
        <v>unemployed</v>
      </c>
      <c r="D1636" s="3" t="str">
        <f aca="false">Raw_Data!C1636</f>
        <v>divorced</v>
      </c>
      <c r="E1636" s="3" t="str">
        <f aca="false">Raw_Data!D1636</f>
        <v>secondary</v>
      </c>
      <c r="F1636" s="3" t="str">
        <f aca="false">Raw_Data!E1636</f>
        <v>no</v>
      </c>
      <c r="G1636" s="3" t="n">
        <f aca="false">Raw_Data!F1636</f>
        <v>759</v>
      </c>
      <c r="H1636" s="3" t="str">
        <f aca="false">Raw_Data!G1636</f>
        <v>no</v>
      </c>
      <c r="I1636" s="3" t="str">
        <f aca="false">Raw_Data!H1636</f>
        <v>no</v>
      </c>
      <c r="J1636" s="2" t="n">
        <f aca="false">IF(F1636="yes",1,0)</f>
        <v>0</v>
      </c>
      <c r="K1636" s="2" t="n">
        <f aca="false">IF(H1636="yes",1,0)</f>
        <v>0</v>
      </c>
      <c r="L1636" s="2" t="n">
        <f aca="false">IF(I1636="yes",1,0)</f>
        <v>0</v>
      </c>
      <c r="M1636" s="2" t="n">
        <f aca="false">IF(G1636&lt;0,1,0)</f>
        <v>0</v>
      </c>
      <c r="N1636" s="2" t="str">
        <f aca="false">_xlfn.IFS(B1636&lt;30,"Under 30",B1636&lt;40,"30-39",B1636&lt;50,"40-49",B1636&lt;60,"50-59",TRUE(),"60+")</f>
        <v>40-49</v>
      </c>
      <c r="O1636" s="2" t="str">
        <f aca="false">_xlfn.IFS(G1636&lt;0,"1 Negative",G1636=0,"2 Zero",G1636&lt;=500,"3 1-500",G1636&lt;=2000,"4 501-2000",TRUE(),"5 Above 2000")</f>
        <v>4 501-2000</v>
      </c>
      <c r="P1636" s="2" t="n">
        <f aca="false">Lookups!$B$2*M1636+Lookups!$B$3*L1636</f>
        <v>0</v>
      </c>
      <c r="Q1636" s="2" t="str">
        <f aca="false">INDEX(Lookups!$E$2:$E$5,MATCH(P1636,Lookups!$D$2:$D$5,0))</f>
        <v>Low</v>
      </c>
    </row>
    <row r="1637" customFormat="false" ht="15" hidden="false" customHeight="false" outlineLevel="0" collapsed="false">
      <c r="A1637" s="3" t="n">
        <v>1636</v>
      </c>
      <c r="B1637" s="3" t="n">
        <f aca="false">Raw_Data!A1637</f>
        <v>33</v>
      </c>
      <c r="C1637" s="3" t="str">
        <f aca="false">SUBSTITUTE(Raw_Data!B1637,".","")</f>
        <v>blue-collar</v>
      </c>
      <c r="D1637" s="3" t="str">
        <f aca="false">Raw_Data!C1637</f>
        <v>married</v>
      </c>
      <c r="E1637" s="3" t="str">
        <f aca="false">Raw_Data!D1637</f>
        <v>secondary</v>
      </c>
      <c r="F1637" s="3" t="str">
        <f aca="false">Raw_Data!E1637</f>
        <v>no</v>
      </c>
      <c r="G1637" s="3" t="n">
        <f aca="false">Raw_Data!F1637</f>
        <v>687</v>
      </c>
      <c r="H1637" s="3" t="str">
        <f aca="false">Raw_Data!G1637</f>
        <v>yes</v>
      </c>
      <c r="I1637" s="3" t="str">
        <f aca="false">Raw_Data!H1637</f>
        <v>no</v>
      </c>
      <c r="J1637" s="2" t="n">
        <f aca="false">IF(F1637="yes",1,0)</f>
        <v>0</v>
      </c>
      <c r="K1637" s="2" t="n">
        <f aca="false">IF(H1637="yes",1,0)</f>
        <v>1</v>
      </c>
      <c r="L1637" s="2" t="n">
        <f aca="false">IF(I1637="yes",1,0)</f>
        <v>0</v>
      </c>
      <c r="M1637" s="2" t="n">
        <f aca="false">IF(G1637&lt;0,1,0)</f>
        <v>0</v>
      </c>
      <c r="N1637" s="2" t="str">
        <f aca="false">_xlfn.IFS(B1637&lt;30,"Under 30",B1637&lt;40,"30-39",B1637&lt;50,"40-49",B1637&lt;60,"50-59",TRUE(),"60+")</f>
        <v>30-39</v>
      </c>
      <c r="O1637" s="2" t="str">
        <f aca="false">_xlfn.IFS(G1637&lt;0,"1 Negative",G1637=0,"2 Zero",G1637&lt;=500,"3 1-500",G1637&lt;=2000,"4 501-2000",TRUE(),"5 Above 2000")</f>
        <v>4 501-2000</v>
      </c>
      <c r="P1637" s="2" t="n">
        <f aca="false">Lookups!$B$2*M1637+Lookups!$B$3*L1637</f>
        <v>0</v>
      </c>
      <c r="Q1637" s="2" t="str">
        <f aca="false">INDEX(Lookups!$E$2:$E$5,MATCH(P1637,Lookups!$D$2:$D$5,0))</f>
        <v>Low</v>
      </c>
    </row>
    <row r="1638" customFormat="false" ht="15" hidden="false" customHeight="false" outlineLevel="0" collapsed="false">
      <c r="A1638" s="3" t="n">
        <v>1637</v>
      </c>
      <c r="B1638" s="3" t="n">
        <f aca="false">Raw_Data!A1638</f>
        <v>53</v>
      </c>
      <c r="C1638" s="3" t="str">
        <f aca="false">SUBSTITUTE(Raw_Data!B1638,".","")</f>
        <v>retired</v>
      </c>
      <c r="D1638" s="3" t="str">
        <f aca="false">Raw_Data!C1638</f>
        <v>married</v>
      </c>
      <c r="E1638" s="3" t="str">
        <f aca="false">Raw_Data!D1638</f>
        <v>secondary</v>
      </c>
      <c r="F1638" s="3" t="str">
        <f aca="false">Raw_Data!E1638</f>
        <v>no</v>
      </c>
      <c r="G1638" s="3" t="n">
        <f aca="false">Raw_Data!F1638</f>
        <v>4968</v>
      </c>
      <c r="H1638" s="3" t="str">
        <f aca="false">Raw_Data!G1638</f>
        <v>no</v>
      </c>
      <c r="I1638" s="3" t="str">
        <f aca="false">Raw_Data!H1638</f>
        <v>no</v>
      </c>
      <c r="J1638" s="2" t="n">
        <f aca="false">IF(F1638="yes",1,0)</f>
        <v>0</v>
      </c>
      <c r="K1638" s="2" t="n">
        <f aca="false">IF(H1638="yes",1,0)</f>
        <v>0</v>
      </c>
      <c r="L1638" s="2" t="n">
        <f aca="false">IF(I1638="yes",1,0)</f>
        <v>0</v>
      </c>
      <c r="M1638" s="2" t="n">
        <f aca="false">IF(G1638&lt;0,1,0)</f>
        <v>0</v>
      </c>
      <c r="N1638" s="2" t="str">
        <f aca="false">_xlfn.IFS(B1638&lt;30,"Under 30",B1638&lt;40,"30-39",B1638&lt;50,"40-49",B1638&lt;60,"50-59",TRUE(),"60+")</f>
        <v>50-59</v>
      </c>
      <c r="O1638" s="2" t="str">
        <f aca="false">_xlfn.IFS(G1638&lt;0,"1 Negative",G1638=0,"2 Zero",G1638&lt;=500,"3 1-500",G1638&lt;=2000,"4 501-2000",TRUE(),"5 Above 2000")</f>
        <v>5 Above 2000</v>
      </c>
      <c r="P1638" s="2" t="n">
        <f aca="false">Lookups!$B$2*M1638+Lookups!$B$3*L1638</f>
        <v>0</v>
      </c>
      <c r="Q1638" s="2" t="str">
        <f aca="false">INDEX(Lookups!$E$2:$E$5,MATCH(P1638,Lookups!$D$2:$D$5,0))</f>
        <v>Low</v>
      </c>
    </row>
    <row r="1639" customFormat="false" ht="15" hidden="false" customHeight="false" outlineLevel="0" collapsed="false">
      <c r="A1639" s="3" t="n">
        <v>1638</v>
      </c>
      <c r="B1639" s="3" t="n">
        <f aca="false">Raw_Data!A1639</f>
        <v>43</v>
      </c>
      <c r="C1639" s="3" t="str">
        <f aca="false">SUBSTITUTE(Raw_Data!B1639,".","")</f>
        <v>blue-collar</v>
      </c>
      <c r="D1639" s="3" t="str">
        <f aca="false">Raw_Data!C1639</f>
        <v>married</v>
      </c>
      <c r="E1639" s="3" t="str">
        <f aca="false">Raw_Data!D1639</f>
        <v>primary</v>
      </c>
      <c r="F1639" s="3" t="str">
        <f aca="false">Raw_Data!E1639</f>
        <v>no</v>
      </c>
      <c r="G1639" s="3" t="n">
        <f aca="false">Raw_Data!F1639</f>
        <v>1211</v>
      </c>
      <c r="H1639" s="3" t="str">
        <f aca="false">Raw_Data!G1639</f>
        <v>yes</v>
      </c>
      <c r="I1639" s="3" t="str">
        <f aca="false">Raw_Data!H1639</f>
        <v>no</v>
      </c>
      <c r="J1639" s="2" t="n">
        <f aca="false">IF(F1639="yes",1,0)</f>
        <v>0</v>
      </c>
      <c r="K1639" s="2" t="n">
        <f aca="false">IF(H1639="yes",1,0)</f>
        <v>1</v>
      </c>
      <c r="L1639" s="2" t="n">
        <f aca="false">IF(I1639="yes",1,0)</f>
        <v>0</v>
      </c>
      <c r="M1639" s="2" t="n">
        <f aca="false">IF(G1639&lt;0,1,0)</f>
        <v>0</v>
      </c>
      <c r="N1639" s="2" t="str">
        <f aca="false">_xlfn.IFS(B1639&lt;30,"Under 30",B1639&lt;40,"30-39",B1639&lt;50,"40-49",B1639&lt;60,"50-59",TRUE(),"60+")</f>
        <v>40-49</v>
      </c>
      <c r="O1639" s="2" t="str">
        <f aca="false">_xlfn.IFS(G1639&lt;0,"1 Negative",G1639=0,"2 Zero",G1639&lt;=500,"3 1-500",G1639&lt;=2000,"4 501-2000",TRUE(),"5 Above 2000")</f>
        <v>4 501-2000</v>
      </c>
      <c r="P1639" s="2" t="n">
        <f aca="false">Lookups!$B$2*M1639+Lookups!$B$3*L1639</f>
        <v>0</v>
      </c>
      <c r="Q1639" s="2" t="str">
        <f aca="false">INDEX(Lookups!$E$2:$E$5,MATCH(P1639,Lookups!$D$2:$D$5,0))</f>
        <v>Low</v>
      </c>
    </row>
    <row r="1640" customFormat="false" ht="15" hidden="false" customHeight="false" outlineLevel="0" collapsed="false">
      <c r="A1640" s="3" t="n">
        <v>1639</v>
      </c>
      <c r="B1640" s="3" t="n">
        <f aca="false">Raw_Data!A1640</f>
        <v>39</v>
      </c>
      <c r="C1640" s="3" t="str">
        <f aca="false">SUBSTITUTE(Raw_Data!B1640,".","")</f>
        <v>self-employed</v>
      </c>
      <c r="D1640" s="3" t="str">
        <f aca="false">Raw_Data!C1640</f>
        <v>single</v>
      </c>
      <c r="E1640" s="3" t="str">
        <f aca="false">Raw_Data!D1640</f>
        <v>tertiary</v>
      </c>
      <c r="F1640" s="3" t="str">
        <f aca="false">Raw_Data!E1640</f>
        <v>no</v>
      </c>
      <c r="G1640" s="3" t="n">
        <f aca="false">Raw_Data!F1640</f>
        <v>426</v>
      </c>
      <c r="H1640" s="3" t="str">
        <f aca="false">Raw_Data!G1640</f>
        <v>no</v>
      </c>
      <c r="I1640" s="3" t="str">
        <f aca="false">Raw_Data!H1640</f>
        <v>no</v>
      </c>
      <c r="J1640" s="2" t="n">
        <f aca="false">IF(F1640="yes",1,0)</f>
        <v>0</v>
      </c>
      <c r="K1640" s="2" t="n">
        <f aca="false">IF(H1640="yes",1,0)</f>
        <v>0</v>
      </c>
      <c r="L1640" s="2" t="n">
        <f aca="false">IF(I1640="yes",1,0)</f>
        <v>0</v>
      </c>
      <c r="M1640" s="2" t="n">
        <f aca="false">IF(G1640&lt;0,1,0)</f>
        <v>0</v>
      </c>
      <c r="N1640" s="2" t="str">
        <f aca="false">_xlfn.IFS(B1640&lt;30,"Under 30",B1640&lt;40,"30-39",B1640&lt;50,"40-49",B1640&lt;60,"50-59",TRUE(),"60+")</f>
        <v>30-39</v>
      </c>
      <c r="O1640" s="2" t="str">
        <f aca="false">_xlfn.IFS(G1640&lt;0,"1 Negative",G1640=0,"2 Zero",G1640&lt;=500,"3 1-500",G1640&lt;=2000,"4 501-2000",TRUE(),"5 Above 2000")</f>
        <v>3 1-500</v>
      </c>
      <c r="P1640" s="2" t="n">
        <f aca="false">Lookups!$B$2*M1640+Lookups!$B$3*L1640</f>
        <v>0</v>
      </c>
      <c r="Q1640" s="2" t="str">
        <f aca="false">INDEX(Lookups!$E$2:$E$5,MATCH(P1640,Lookups!$D$2:$D$5,0))</f>
        <v>Low</v>
      </c>
    </row>
    <row r="1641" customFormat="false" ht="15" hidden="false" customHeight="false" outlineLevel="0" collapsed="false">
      <c r="A1641" s="3" t="n">
        <v>1640</v>
      </c>
      <c r="B1641" s="3" t="n">
        <f aca="false">Raw_Data!A1641</f>
        <v>27</v>
      </c>
      <c r="C1641" s="3" t="str">
        <f aca="false">SUBSTITUTE(Raw_Data!B1641,".","")</f>
        <v>entrepreneur</v>
      </c>
      <c r="D1641" s="3" t="str">
        <f aca="false">Raw_Data!C1641</f>
        <v>single</v>
      </c>
      <c r="E1641" s="3" t="str">
        <f aca="false">Raw_Data!D1641</f>
        <v>secondary</v>
      </c>
      <c r="F1641" s="3" t="str">
        <f aca="false">Raw_Data!E1641</f>
        <v>no</v>
      </c>
      <c r="G1641" s="3" t="n">
        <f aca="false">Raw_Data!F1641</f>
        <v>376</v>
      </c>
      <c r="H1641" s="3" t="str">
        <f aca="false">Raw_Data!G1641</f>
        <v>yes</v>
      </c>
      <c r="I1641" s="3" t="str">
        <f aca="false">Raw_Data!H1641</f>
        <v>yes</v>
      </c>
      <c r="J1641" s="2" t="n">
        <f aca="false">IF(F1641="yes",1,0)</f>
        <v>0</v>
      </c>
      <c r="K1641" s="2" t="n">
        <f aca="false">IF(H1641="yes",1,0)</f>
        <v>1</v>
      </c>
      <c r="L1641" s="2" t="n">
        <f aca="false">IF(I1641="yes",1,0)</f>
        <v>1</v>
      </c>
      <c r="M1641" s="2" t="n">
        <f aca="false">IF(G1641&lt;0,1,0)</f>
        <v>0</v>
      </c>
      <c r="N1641" s="2" t="str">
        <f aca="false">_xlfn.IFS(B1641&lt;30,"Under 30",B1641&lt;40,"30-39",B1641&lt;50,"40-49",B1641&lt;60,"50-59",TRUE(),"60+")</f>
        <v>Under 30</v>
      </c>
      <c r="O1641" s="2" t="str">
        <f aca="false">_xlfn.IFS(G1641&lt;0,"1 Negative",G1641=0,"2 Zero",G1641&lt;=500,"3 1-500",G1641&lt;=2000,"4 501-2000",TRUE(),"5 Above 2000")</f>
        <v>3 1-500</v>
      </c>
      <c r="P1641" s="2" t="n">
        <f aca="false">Lookups!$B$2*M1641+Lookups!$B$3*L1641</f>
        <v>1</v>
      </c>
      <c r="Q1641" s="2" t="str">
        <f aca="false">INDEX(Lookups!$E$2:$E$5,MATCH(P1641,Lookups!$D$2:$D$5,0))</f>
        <v>Medium</v>
      </c>
    </row>
    <row r="1642" customFormat="false" ht="15" hidden="false" customHeight="false" outlineLevel="0" collapsed="false">
      <c r="A1642" s="3" t="n">
        <v>1641</v>
      </c>
      <c r="B1642" s="3" t="n">
        <f aca="false">Raw_Data!A1642</f>
        <v>39</v>
      </c>
      <c r="C1642" s="3" t="str">
        <f aca="false">SUBSTITUTE(Raw_Data!B1642,".","")</f>
        <v>management</v>
      </c>
      <c r="D1642" s="3" t="str">
        <f aca="false">Raw_Data!C1642</f>
        <v>married</v>
      </c>
      <c r="E1642" s="3" t="str">
        <f aca="false">Raw_Data!D1642</f>
        <v>tertiary</v>
      </c>
      <c r="F1642" s="3" t="str">
        <f aca="false">Raw_Data!E1642</f>
        <v>no</v>
      </c>
      <c r="G1642" s="3" t="n">
        <f aca="false">Raw_Data!F1642</f>
        <v>12</v>
      </c>
      <c r="H1642" s="3" t="str">
        <f aca="false">Raw_Data!G1642</f>
        <v>yes</v>
      </c>
      <c r="I1642" s="3" t="str">
        <f aca="false">Raw_Data!H1642</f>
        <v>no</v>
      </c>
      <c r="J1642" s="2" t="n">
        <f aca="false">IF(F1642="yes",1,0)</f>
        <v>0</v>
      </c>
      <c r="K1642" s="2" t="n">
        <f aca="false">IF(H1642="yes",1,0)</f>
        <v>1</v>
      </c>
      <c r="L1642" s="2" t="n">
        <f aca="false">IF(I1642="yes",1,0)</f>
        <v>0</v>
      </c>
      <c r="M1642" s="2" t="n">
        <f aca="false">IF(G1642&lt;0,1,0)</f>
        <v>0</v>
      </c>
      <c r="N1642" s="2" t="str">
        <f aca="false">_xlfn.IFS(B1642&lt;30,"Under 30",B1642&lt;40,"30-39",B1642&lt;50,"40-49",B1642&lt;60,"50-59",TRUE(),"60+")</f>
        <v>30-39</v>
      </c>
      <c r="O1642" s="2" t="str">
        <f aca="false">_xlfn.IFS(G1642&lt;0,"1 Negative",G1642=0,"2 Zero",G1642&lt;=500,"3 1-500",G1642&lt;=2000,"4 501-2000",TRUE(),"5 Above 2000")</f>
        <v>3 1-500</v>
      </c>
      <c r="P1642" s="2" t="n">
        <f aca="false">Lookups!$B$2*M1642+Lookups!$B$3*L1642</f>
        <v>0</v>
      </c>
      <c r="Q1642" s="2" t="str">
        <f aca="false">INDEX(Lookups!$E$2:$E$5,MATCH(P1642,Lookups!$D$2:$D$5,0))</f>
        <v>Low</v>
      </c>
    </row>
    <row r="1643" customFormat="false" ht="15" hidden="false" customHeight="false" outlineLevel="0" collapsed="false">
      <c r="A1643" s="3" t="n">
        <v>1642</v>
      </c>
      <c r="B1643" s="3" t="n">
        <f aca="false">Raw_Data!A1643</f>
        <v>27</v>
      </c>
      <c r="C1643" s="3" t="str">
        <f aca="false">SUBSTITUTE(Raw_Data!B1643,".","")</f>
        <v>blue-collar</v>
      </c>
      <c r="D1643" s="3" t="str">
        <f aca="false">Raw_Data!C1643</f>
        <v>single</v>
      </c>
      <c r="E1643" s="3" t="str">
        <f aca="false">Raw_Data!D1643</f>
        <v>secondary</v>
      </c>
      <c r="F1643" s="3" t="str">
        <f aca="false">Raw_Data!E1643</f>
        <v>no</v>
      </c>
      <c r="G1643" s="3" t="n">
        <f aca="false">Raw_Data!F1643</f>
        <v>23</v>
      </c>
      <c r="H1643" s="3" t="str">
        <f aca="false">Raw_Data!G1643</f>
        <v>no</v>
      </c>
      <c r="I1643" s="3" t="str">
        <f aca="false">Raw_Data!H1643</f>
        <v>no</v>
      </c>
      <c r="J1643" s="2" t="n">
        <f aca="false">IF(F1643="yes",1,0)</f>
        <v>0</v>
      </c>
      <c r="K1643" s="2" t="n">
        <f aca="false">IF(H1643="yes",1,0)</f>
        <v>0</v>
      </c>
      <c r="L1643" s="2" t="n">
        <f aca="false">IF(I1643="yes",1,0)</f>
        <v>0</v>
      </c>
      <c r="M1643" s="2" t="n">
        <f aca="false">IF(G1643&lt;0,1,0)</f>
        <v>0</v>
      </c>
      <c r="N1643" s="2" t="str">
        <f aca="false">_xlfn.IFS(B1643&lt;30,"Under 30",B1643&lt;40,"30-39",B1643&lt;50,"40-49",B1643&lt;60,"50-59",TRUE(),"60+")</f>
        <v>Under 30</v>
      </c>
      <c r="O1643" s="2" t="str">
        <f aca="false">_xlfn.IFS(G1643&lt;0,"1 Negative",G1643=0,"2 Zero",G1643&lt;=500,"3 1-500",G1643&lt;=2000,"4 501-2000",TRUE(),"5 Above 2000")</f>
        <v>3 1-500</v>
      </c>
      <c r="P1643" s="2" t="n">
        <f aca="false">Lookups!$B$2*M1643+Lookups!$B$3*L1643</f>
        <v>0</v>
      </c>
      <c r="Q1643" s="2" t="str">
        <f aca="false">INDEX(Lookups!$E$2:$E$5,MATCH(P1643,Lookups!$D$2:$D$5,0))</f>
        <v>Low</v>
      </c>
    </row>
    <row r="1644" customFormat="false" ht="15" hidden="false" customHeight="false" outlineLevel="0" collapsed="false">
      <c r="A1644" s="3" t="n">
        <v>1643</v>
      </c>
      <c r="B1644" s="3" t="n">
        <f aca="false">Raw_Data!A1644</f>
        <v>33</v>
      </c>
      <c r="C1644" s="3" t="str">
        <f aca="false">SUBSTITUTE(Raw_Data!B1644,".","")</f>
        <v>admin</v>
      </c>
      <c r="D1644" s="3" t="str">
        <f aca="false">Raw_Data!C1644</f>
        <v>married</v>
      </c>
      <c r="E1644" s="3" t="str">
        <f aca="false">Raw_Data!D1644</f>
        <v>secondary</v>
      </c>
      <c r="F1644" s="3" t="str">
        <f aca="false">Raw_Data!E1644</f>
        <v>no</v>
      </c>
      <c r="G1644" s="3" t="n">
        <f aca="false">Raw_Data!F1644</f>
        <v>353</v>
      </c>
      <c r="H1644" s="3" t="str">
        <f aca="false">Raw_Data!G1644</f>
        <v>yes</v>
      </c>
      <c r="I1644" s="3" t="str">
        <f aca="false">Raw_Data!H1644</f>
        <v>no</v>
      </c>
      <c r="J1644" s="2" t="n">
        <f aca="false">IF(F1644="yes",1,0)</f>
        <v>0</v>
      </c>
      <c r="K1644" s="2" t="n">
        <f aca="false">IF(H1644="yes",1,0)</f>
        <v>1</v>
      </c>
      <c r="L1644" s="2" t="n">
        <f aca="false">IF(I1644="yes",1,0)</f>
        <v>0</v>
      </c>
      <c r="M1644" s="2" t="n">
        <f aca="false">IF(G1644&lt;0,1,0)</f>
        <v>0</v>
      </c>
      <c r="N1644" s="2" t="str">
        <f aca="false">_xlfn.IFS(B1644&lt;30,"Under 30",B1644&lt;40,"30-39",B1644&lt;50,"40-49",B1644&lt;60,"50-59",TRUE(),"60+")</f>
        <v>30-39</v>
      </c>
      <c r="O1644" s="2" t="str">
        <f aca="false">_xlfn.IFS(G1644&lt;0,"1 Negative",G1644=0,"2 Zero",G1644&lt;=500,"3 1-500",G1644&lt;=2000,"4 501-2000",TRUE(),"5 Above 2000")</f>
        <v>3 1-500</v>
      </c>
      <c r="P1644" s="2" t="n">
        <f aca="false">Lookups!$B$2*M1644+Lookups!$B$3*L1644</f>
        <v>0</v>
      </c>
      <c r="Q1644" s="2" t="str">
        <f aca="false">INDEX(Lookups!$E$2:$E$5,MATCH(P1644,Lookups!$D$2:$D$5,0))</f>
        <v>Low</v>
      </c>
    </row>
    <row r="1645" customFormat="false" ht="15" hidden="false" customHeight="false" outlineLevel="0" collapsed="false">
      <c r="A1645" s="3" t="n">
        <v>1644</v>
      </c>
      <c r="B1645" s="3" t="n">
        <f aca="false">Raw_Data!A1645</f>
        <v>29</v>
      </c>
      <c r="C1645" s="3" t="str">
        <f aca="false">SUBSTITUTE(Raw_Data!B1645,".","")</f>
        <v>services</v>
      </c>
      <c r="D1645" s="3" t="str">
        <f aca="false">Raw_Data!C1645</f>
        <v>divorced</v>
      </c>
      <c r="E1645" s="3" t="str">
        <f aca="false">Raw_Data!D1645</f>
        <v>secondary</v>
      </c>
      <c r="F1645" s="3" t="str">
        <f aca="false">Raw_Data!E1645</f>
        <v>no</v>
      </c>
      <c r="G1645" s="3" t="n">
        <f aca="false">Raw_Data!F1645</f>
        <v>330</v>
      </c>
      <c r="H1645" s="3" t="str">
        <f aca="false">Raw_Data!G1645</f>
        <v>yes</v>
      </c>
      <c r="I1645" s="3" t="str">
        <f aca="false">Raw_Data!H1645</f>
        <v>no</v>
      </c>
      <c r="J1645" s="2" t="n">
        <f aca="false">IF(F1645="yes",1,0)</f>
        <v>0</v>
      </c>
      <c r="K1645" s="2" t="n">
        <f aca="false">IF(H1645="yes",1,0)</f>
        <v>1</v>
      </c>
      <c r="L1645" s="2" t="n">
        <f aca="false">IF(I1645="yes",1,0)</f>
        <v>0</v>
      </c>
      <c r="M1645" s="2" t="n">
        <f aca="false">IF(G1645&lt;0,1,0)</f>
        <v>0</v>
      </c>
      <c r="N1645" s="2" t="str">
        <f aca="false">_xlfn.IFS(B1645&lt;30,"Under 30",B1645&lt;40,"30-39",B1645&lt;50,"40-49",B1645&lt;60,"50-59",TRUE(),"60+")</f>
        <v>Under 30</v>
      </c>
      <c r="O1645" s="2" t="str">
        <f aca="false">_xlfn.IFS(G1645&lt;0,"1 Negative",G1645=0,"2 Zero",G1645&lt;=500,"3 1-500",G1645&lt;=2000,"4 501-2000",TRUE(),"5 Above 2000")</f>
        <v>3 1-500</v>
      </c>
      <c r="P1645" s="2" t="n">
        <f aca="false">Lookups!$B$2*M1645+Lookups!$B$3*L1645</f>
        <v>0</v>
      </c>
      <c r="Q1645" s="2" t="str">
        <f aca="false">INDEX(Lookups!$E$2:$E$5,MATCH(P1645,Lookups!$D$2:$D$5,0))</f>
        <v>Low</v>
      </c>
    </row>
    <row r="1646" customFormat="false" ht="15" hidden="false" customHeight="false" outlineLevel="0" collapsed="false">
      <c r="A1646" s="3" t="n">
        <v>1645</v>
      </c>
      <c r="B1646" s="3" t="n">
        <f aca="false">Raw_Data!A1646</f>
        <v>33</v>
      </c>
      <c r="C1646" s="3" t="str">
        <f aca="false">SUBSTITUTE(Raw_Data!B1646,".","")</f>
        <v>management</v>
      </c>
      <c r="D1646" s="3" t="str">
        <f aca="false">Raw_Data!C1646</f>
        <v>divorced</v>
      </c>
      <c r="E1646" s="3" t="str">
        <f aca="false">Raw_Data!D1646</f>
        <v>tertiary</v>
      </c>
      <c r="F1646" s="3" t="str">
        <f aca="false">Raw_Data!E1646</f>
        <v>no</v>
      </c>
      <c r="G1646" s="3" t="n">
        <f aca="false">Raw_Data!F1646</f>
        <v>0</v>
      </c>
      <c r="H1646" s="3" t="str">
        <f aca="false">Raw_Data!G1646</f>
        <v>no</v>
      </c>
      <c r="I1646" s="3" t="str">
        <f aca="false">Raw_Data!H1646</f>
        <v>no</v>
      </c>
      <c r="J1646" s="2" t="n">
        <f aca="false">IF(F1646="yes",1,0)</f>
        <v>0</v>
      </c>
      <c r="K1646" s="2" t="n">
        <f aca="false">IF(H1646="yes",1,0)</f>
        <v>0</v>
      </c>
      <c r="L1646" s="2" t="n">
        <f aca="false">IF(I1646="yes",1,0)</f>
        <v>0</v>
      </c>
      <c r="M1646" s="2" t="n">
        <f aca="false">IF(G1646&lt;0,1,0)</f>
        <v>0</v>
      </c>
      <c r="N1646" s="2" t="str">
        <f aca="false">_xlfn.IFS(B1646&lt;30,"Under 30",B1646&lt;40,"30-39",B1646&lt;50,"40-49",B1646&lt;60,"50-59",TRUE(),"60+")</f>
        <v>30-39</v>
      </c>
      <c r="O1646" s="2" t="str">
        <f aca="false">_xlfn.IFS(G1646&lt;0,"1 Negative",G1646=0,"2 Zero",G1646&lt;=500,"3 1-500",G1646&lt;=2000,"4 501-2000",TRUE(),"5 Above 2000")</f>
        <v>2 Zero</v>
      </c>
      <c r="P1646" s="2" t="n">
        <f aca="false">Lookups!$B$2*M1646+Lookups!$B$3*L1646</f>
        <v>0</v>
      </c>
      <c r="Q1646" s="2" t="str">
        <f aca="false">INDEX(Lookups!$E$2:$E$5,MATCH(P1646,Lookups!$D$2:$D$5,0))</f>
        <v>Low</v>
      </c>
    </row>
    <row r="1647" customFormat="false" ht="15" hidden="false" customHeight="false" outlineLevel="0" collapsed="false">
      <c r="A1647" s="3" t="n">
        <v>1646</v>
      </c>
      <c r="B1647" s="3" t="n">
        <f aca="false">Raw_Data!A1647</f>
        <v>41</v>
      </c>
      <c r="C1647" s="3" t="str">
        <f aca="false">SUBSTITUTE(Raw_Data!B1647,".","")</f>
        <v>entrepreneur</v>
      </c>
      <c r="D1647" s="3" t="str">
        <f aca="false">Raw_Data!C1647</f>
        <v>married</v>
      </c>
      <c r="E1647" s="3" t="str">
        <f aca="false">Raw_Data!D1647</f>
        <v>secondary</v>
      </c>
      <c r="F1647" s="3" t="str">
        <f aca="false">Raw_Data!E1647</f>
        <v>no</v>
      </c>
      <c r="G1647" s="3" t="n">
        <f aca="false">Raw_Data!F1647</f>
        <v>353</v>
      </c>
      <c r="H1647" s="3" t="str">
        <f aca="false">Raw_Data!G1647</f>
        <v>no</v>
      </c>
      <c r="I1647" s="3" t="str">
        <f aca="false">Raw_Data!H1647</f>
        <v>no</v>
      </c>
      <c r="J1647" s="2" t="n">
        <f aca="false">IF(F1647="yes",1,0)</f>
        <v>0</v>
      </c>
      <c r="K1647" s="2" t="n">
        <f aca="false">IF(H1647="yes",1,0)</f>
        <v>0</v>
      </c>
      <c r="L1647" s="2" t="n">
        <f aca="false">IF(I1647="yes",1,0)</f>
        <v>0</v>
      </c>
      <c r="M1647" s="2" t="n">
        <f aca="false">IF(G1647&lt;0,1,0)</f>
        <v>0</v>
      </c>
      <c r="N1647" s="2" t="str">
        <f aca="false">_xlfn.IFS(B1647&lt;30,"Under 30",B1647&lt;40,"30-39",B1647&lt;50,"40-49",B1647&lt;60,"50-59",TRUE(),"60+")</f>
        <v>40-49</v>
      </c>
      <c r="O1647" s="2" t="str">
        <f aca="false">_xlfn.IFS(G1647&lt;0,"1 Negative",G1647=0,"2 Zero",G1647&lt;=500,"3 1-500",G1647&lt;=2000,"4 501-2000",TRUE(),"5 Above 2000")</f>
        <v>3 1-500</v>
      </c>
      <c r="P1647" s="2" t="n">
        <f aca="false">Lookups!$B$2*M1647+Lookups!$B$3*L1647</f>
        <v>0</v>
      </c>
      <c r="Q1647" s="2" t="str">
        <f aca="false">INDEX(Lookups!$E$2:$E$5,MATCH(P1647,Lookups!$D$2:$D$5,0))</f>
        <v>Low</v>
      </c>
    </row>
    <row r="1648" customFormat="false" ht="15" hidden="false" customHeight="false" outlineLevel="0" collapsed="false">
      <c r="A1648" s="3" t="n">
        <v>1647</v>
      </c>
      <c r="B1648" s="3" t="n">
        <f aca="false">Raw_Data!A1648</f>
        <v>38</v>
      </c>
      <c r="C1648" s="3" t="str">
        <f aca="false">SUBSTITUTE(Raw_Data!B1648,".","")</f>
        <v>technician</v>
      </c>
      <c r="D1648" s="3" t="str">
        <f aca="false">Raw_Data!C1648</f>
        <v>single</v>
      </c>
      <c r="E1648" s="3" t="str">
        <f aca="false">Raw_Data!D1648</f>
        <v>tertiary</v>
      </c>
      <c r="F1648" s="3" t="str">
        <f aca="false">Raw_Data!E1648</f>
        <v>no</v>
      </c>
      <c r="G1648" s="3" t="n">
        <f aca="false">Raw_Data!F1648</f>
        <v>2273</v>
      </c>
      <c r="H1648" s="3" t="str">
        <f aca="false">Raw_Data!G1648</f>
        <v>yes</v>
      </c>
      <c r="I1648" s="3" t="str">
        <f aca="false">Raw_Data!H1648</f>
        <v>no</v>
      </c>
      <c r="J1648" s="2" t="n">
        <f aca="false">IF(F1648="yes",1,0)</f>
        <v>0</v>
      </c>
      <c r="K1648" s="2" t="n">
        <f aca="false">IF(H1648="yes",1,0)</f>
        <v>1</v>
      </c>
      <c r="L1648" s="2" t="n">
        <f aca="false">IF(I1648="yes",1,0)</f>
        <v>0</v>
      </c>
      <c r="M1648" s="2" t="n">
        <f aca="false">IF(G1648&lt;0,1,0)</f>
        <v>0</v>
      </c>
      <c r="N1648" s="2" t="str">
        <f aca="false">_xlfn.IFS(B1648&lt;30,"Under 30",B1648&lt;40,"30-39",B1648&lt;50,"40-49",B1648&lt;60,"50-59",TRUE(),"60+")</f>
        <v>30-39</v>
      </c>
      <c r="O1648" s="2" t="str">
        <f aca="false">_xlfn.IFS(G1648&lt;0,"1 Negative",G1648=0,"2 Zero",G1648&lt;=500,"3 1-500",G1648&lt;=2000,"4 501-2000",TRUE(),"5 Above 2000")</f>
        <v>5 Above 2000</v>
      </c>
      <c r="P1648" s="2" t="n">
        <f aca="false">Lookups!$B$2*M1648+Lookups!$B$3*L1648</f>
        <v>0</v>
      </c>
      <c r="Q1648" s="2" t="str">
        <f aca="false">INDEX(Lookups!$E$2:$E$5,MATCH(P1648,Lookups!$D$2:$D$5,0))</f>
        <v>Low</v>
      </c>
    </row>
    <row r="1649" customFormat="false" ht="15" hidden="false" customHeight="false" outlineLevel="0" collapsed="false">
      <c r="A1649" s="3" t="n">
        <v>1648</v>
      </c>
      <c r="B1649" s="3" t="n">
        <f aca="false">Raw_Data!A1649</f>
        <v>30</v>
      </c>
      <c r="C1649" s="3" t="str">
        <f aca="false">SUBSTITUTE(Raw_Data!B1649,".","")</f>
        <v>management</v>
      </c>
      <c r="D1649" s="3" t="str">
        <f aca="false">Raw_Data!C1649</f>
        <v>married</v>
      </c>
      <c r="E1649" s="3" t="str">
        <f aca="false">Raw_Data!D1649</f>
        <v>tertiary</v>
      </c>
      <c r="F1649" s="3" t="str">
        <f aca="false">Raw_Data!E1649</f>
        <v>no</v>
      </c>
      <c r="G1649" s="3" t="n">
        <f aca="false">Raw_Data!F1649</f>
        <v>0</v>
      </c>
      <c r="H1649" s="3" t="str">
        <f aca="false">Raw_Data!G1649</f>
        <v>yes</v>
      </c>
      <c r="I1649" s="3" t="str">
        <f aca="false">Raw_Data!H1649</f>
        <v>no</v>
      </c>
      <c r="J1649" s="2" t="n">
        <f aca="false">IF(F1649="yes",1,0)</f>
        <v>0</v>
      </c>
      <c r="K1649" s="2" t="n">
        <f aca="false">IF(H1649="yes",1,0)</f>
        <v>1</v>
      </c>
      <c r="L1649" s="2" t="n">
        <f aca="false">IF(I1649="yes",1,0)</f>
        <v>0</v>
      </c>
      <c r="M1649" s="2" t="n">
        <f aca="false">IF(G1649&lt;0,1,0)</f>
        <v>0</v>
      </c>
      <c r="N1649" s="2" t="str">
        <f aca="false">_xlfn.IFS(B1649&lt;30,"Under 30",B1649&lt;40,"30-39",B1649&lt;50,"40-49",B1649&lt;60,"50-59",TRUE(),"60+")</f>
        <v>30-39</v>
      </c>
      <c r="O1649" s="2" t="str">
        <f aca="false">_xlfn.IFS(G1649&lt;0,"1 Negative",G1649=0,"2 Zero",G1649&lt;=500,"3 1-500",G1649&lt;=2000,"4 501-2000",TRUE(),"5 Above 2000")</f>
        <v>2 Zero</v>
      </c>
      <c r="P1649" s="2" t="n">
        <f aca="false">Lookups!$B$2*M1649+Lookups!$B$3*L1649</f>
        <v>0</v>
      </c>
      <c r="Q1649" s="2" t="str">
        <f aca="false">INDEX(Lookups!$E$2:$E$5,MATCH(P1649,Lookups!$D$2:$D$5,0))</f>
        <v>Low</v>
      </c>
    </row>
    <row r="1650" customFormat="false" ht="15" hidden="false" customHeight="false" outlineLevel="0" collapsed="false">
      <c r="A1650" s="3" t="n">
        <v>1649</v>
      </c>
      <c r="B1650" s="3" t="n">
        <f aca="false">Raw_Data!A1650</f>
        <v>58</v>
      </c>
      <c r="C1650" s="3" t="str">
        <f aca="false">SUBSTITUTE(Raw_Data!B1650,".","")</f>
        <v>unemployed</v>
      </c>
      <c r="D1650" s="3" t="str">
        <f aca="false">Raw_Data!C1650</f>
        <v>married</v>
      </c>
      <c r="E1650" s="3" t="str">
        <f aca="false">Raw_Data!D1650</f>
        <v>tertiary</v>
      </c>
      <c r="F1650" s="3" t="str">
        <f aca="false">Raw_Data!E1650</f>
        <v>no</v>
      </c>
      <c r="G1650" s="3" t="n">
        <f aca="false">Raw_Data!F1650</f>
        <v>744</v>
      </c>
      <c r="H1650" s="3" t="str">
        <f aca="false">Raw_Data!G1650</f>
        <v>no</v>
      </c>
      <c r="I1650" s="3" t="str">
        <f aca="false">Raw_Data!H1650</f>
        <v>no</v>
      </c>
      <c r="J1650" s="2" t="n">
        <f aca="false">IF(F1650="yes",1,0)</f>
        <v>0</v>
      </c>
      <c r="K1650" s="2" t="n">
        <f aca="false">IF(H1650="yes",1,0)</f>
        <v>0</v>
      </c>
      <c r="L1650" s="2" t="n">
        <f aca="false">IF(I1650="yes",1,0)</f>
        <v>0</v>
      </c>
      <c r="M1650" s="2" t="n">
        <f aca="false">IF(G1650&lt;0,1,0)</f>
        <v>0</v>
      </c>
      <c r="N1650" s="2" t="str">
        <f aca="false">_xlfn.IFS(B1650&lt;30,"Under 30",B1650&lt;40,"30-39",B1650&lt;50,"40-49",B1650&lt;60,"50-59",TRUE(),"60+")</f>
        <v>50-59</v>
      </c>
      <c r="O1650" s="2" t="str">
        <f aca="false">_xlfn.IFS(G1650&lt;0,"1 Negative",G1650=0,"2 Zero",G1650&lt;=500,"3 1-500",G1650&lt;=2000,"4 501-2000",TRUE(),"5 Above 2000")</f>
        <v>4 501-2000</v>
      </c>
      <c r="P1650" s="2" t="n">
        <f aca="false">Lookups!$B$2*M1650+Lookups!$B$3*L1650</f>
        <v>0</v>
      </c>
      <c r="Q1650" s="2" t="str">
        <f aca="false">INDEX(Lookups!$E$2:$E$5,MATCH(P1650,Lookups!$D$2:$D$5,0))</f>
        <v>Low</v>
      </c>
    </row>
    <row r="1651" customFormat="false" ht="15" hidden="false" customHeight="false" outlineLevel="0" collapsed="false">
      <c r="A1651" s="3" t="n">
        <v>1650</v>
      </c>
      <c r="B1651" s="3" t="n">
        <f aca="false">Raw_Data!A1651</f>
        <v>37</v>
      </c>
      <c r="C1651" s="3" t="str">
        <f aca="false">SUBSTITUTE(Raw_Data!B1651,".","")</f>
        <v>services</v>
      </c>
      <c r="D1651" s="3" t="str">
        <f aca="false">Raw_Data!C1651</f>
        <v>single</v>
      </c>
      <c r="E1651" s="3" t="str">
        <f aca="false">Raw_Data!D1651</f>
        <v>secondary</v>
      </c>
      <c r="F1651" s="3" t="str">
        <f aca="false">Raw_Data!E1651</f>
        <v>no</v>
      </c>
      <c r="G1651" s="3" t="n">
        <f aca="false">Raw_Data!F1651</f>
        <v>608</v>
      </c>
      <c r="H1651" s="3" t="str">
        <f aca="false">Raw_Data!G1651</f>
        <v>no</v>
      </c>
      <c r="I1651" s="3" t="str">
        <f aca="false">Raw_Data!H1651</f>
        <v>no</v>
      </c>
      <c r="J1651" s="2" t="n">
        <f aca="false">IF(F1651="yes",1,0)</f>
        <v>0</v>
      </c>
      <c r="K1651" s="2" t="n">
        <f aca="false">IF(H1651="yes",1,0)</f>
        <v>0</v>
      </c>
      <c r="L1651" s="2" t="n">
        <f aca="false">IF(I1651="yes",1,0)</f>
        <v>0</v>
      </c>
      <c r="M1651" s="2" t="n">
        <f aca="false">IF(G1651&lt;0,1,0)</f>
        <v>0</v>
      </c>
      <c r="N1651" s="2" t="str">
        <f aca="false">_xlfn.IFS(B1651&lt;30,"Under 30",B1651&lt;40,"30-39",B1651&lt;50,"40-49",B1651&lt;60,"50-59",TRUE(),"60+")</f>
        <v>30-39</v>
      </c>
      <c r="O1651" s="2" t="str">
        <f aca="false">_xlfn.IFS(G1651&lt;0,"1 Negative",G1651=0,"2 Zero",G1651&lt;=500,"3 1-500",G1651&lt;=2000,"4 501-2000",TRUE(),"5 Above 2000")</f>
        <v>4 501-2000</v>
      </c>
      <c r="P1651" s="2" t="n">
        <f aca="false">Lookups!$B$2*M1651+Lookups!$B$3*L1651</f>
        <v>0</v>
      </c>
      <c r="Q1651" s="2" t="str">
        <f aca="false">INDEX(Lookups!$E$2:$E$5,MATCH(P1651,Lookups!$D$2:$D$5,0))</f>
        <v>Low</v>
      </c>
    </row>
    <row r="1652" customFormat="false" ht="15" hidden="false" customHeight="false" outlineLevel="0" collapsed="false">
      <c r="A1652" s="3" t="n">
        <v>1651</v>
      </c>
      <c r="B1652" s="3" t="n">
        <f aca="false">Raw_Data!A1652</f>
        <v>36</v>
      </c>
      <c r="C1652" s="3" t="str">
        <f aca="false">SUBSTITUTE(Raw_Data!B1652,".","")</f>
        <v>admin</v>
      </c>
      <c r="D1652" s="3" t="str">
        <f aca="false">Raw_Data!C1652</f>
        <v>divorced</v>
      </c>
      <c r="E1652" s="3" t="str">
        <f aca="false">Raw_Data!D1652</f>
        <v>secondary</v>
      </c>
      <c r="F1652" s="3" t="str">
        <f aca="false">Raw_Data!E1652</f>
        <v>no</v>
      </c>
      <c r="G1652" s="3" t="n">
        <f aca="false">Raw_Data!F1652</f>
        <v>356</v>
      </c>
      <c r="H1652" s="3" t="str">
        <f aca="false">Raw_Data!G1652</f>
        <v>yes</v>
      </c>
      <c r="I1652" s="3" t="str">
        <f aca="false">Raw_Data!H1652</f>
        <v>no</v>
      </c>
      <c r="J1652" s="2" t="n">
        <f aca="false">IF(F1652="yes",1,0)</f>
        <v>0</v>
      </c>
      <c r="K1652" s="2" t="n">
        <f aca="false">IF(H1652="yes",1,0)</f>
        <v>1</v>
      </c>
      <c r="L1652" s="2" t="n">
        <f aca="false">IF(I1652="yes",1,0)</f>
        <v>0</v>
      </c>
      <c r="M1652" s="2" t="n">
        <f aca="false">IF(G1652&lt;0,1,0)</f>
        <v>0</v>
      </c>
      <c r="N1652" s="2" t="str">
        <f aca="false">_xlfn.IFS(B1652&lt;30,"Under 30",B1652&lt;40,"30-39",B1652&lt;50,"40-49",B1652&lt;60,"50-59",TRUE(),"60+")</f>
        <v>30-39</v>
      </c>
      <c r="O1652" s="2" t="str">
        <f aca="false">_xlfn.IFS(G1652&lt;0,"1 Negative",G1652=0,"2 Zero",G1652&lt;=500,"3 1-500",G1652&lt;=2000,"4 501-2000",TRUE(),"5 Above 2000")</f>
        <v>3 1-500</v>
      </c>
      <c r="P1652" s="2" t="n">
        <f aca="false">Lookups!$B$2*M1652+Lookups!$B$3*L1652</f>
        <v>0</v>
      </c>
      <c r="Q1652" s="2" t="str">
        <f aca="false">INDEX(Lookups!$E$2:$E$5,MATCH(P1652,Lookups!$D$2:$D$5,0))</f>
        <v>Low</v>
      </c>
    </row>
    <row r="1653" customFormat="false" ht="15" hidden="false" customHeight="false" outlineLevel="0" collapsed="false">
      <c r="A1653" s="3" t="n">
        <v>1652</v>
      </c>
      <c r="B1653" s="3" t="n">
        <f aca="false">Raw_Data!A1653</f>
        <v>45</v>
      </c>
      <c r="C1653" s="3" t="str">
        <f aca="false">SUBSTITUTE(Raw_Data!B1653,".","")</f>
        <v>blue-collar</v>
      </c>
      <c r="D1653" s="3" t="str">
        <f aca="false">Raw_Data!C1653</f>
        <v>married</v>
      </c>
      <c r="E1653" s="3" t="str">
        <f aca="false">Raw_Data!D1653</f>
        <v>primary</v>
      </c>
      <c r="F1653" s="3" t="str">
        <f aca="false">Raw_Data!E1653</f>
        <v>no</v>
      </c>
      <c r="G1653" s="3" t="n">
        <f aca="false">Raw_Data!F1653</f>
        <v>1291</v>
      </c>
      <c r="H1653" s="3" t="str">
        <f aca="false">Raw_Data!G1653</f>
        <v>yes</v>
      </c>
      <c r="I1653" s="3" t="str">
        <f aca="false">Raw_Data!H1653</f>
        <v>no</v>
      </c>
      <c r="J1653" s="2" t="n">
        <f aca="false">IF(F1653="yes",1,0)</f>
        <v>0</v>
      </c>
      <c r="K1653" s="2" t="n">
        <f aca="false">IF(H1653="yes",1,0)</f>
        <v>1</v>
      </c>
      <c r="L1653" s="2" t="n">
        <f aca="false">IF(I1653="yes",1,0)</f>
        <v>0</v>
      </c>
      <c r="M1653" s="2" t="n">
        <f aca="false">IF(G1653&lt;0,1,0)</f>
        <v>0</v>
      </c>
      <c r="N1653" s="2" t="str">
        <f aca="false">_xlfn.IFS(B1653&lt;30,"Under 30",B1653&lt;40,"30-39",B1653&lt;50,"40-49",B1653&lt;60,"50-59",TRUE(),"60+")</f>
        <v>40-49</v>
      </c>
      <c r="O1653" s="2" t="str">
        <f aca="false">_xlfn.IFS(G1653&lt;0,"1 Negative",G1653=0,"2 Zero",G1653&lt;=500,"3 1-500",G1653&lt;=2000,"4 501-2000",TRUE(),"5 Above 2000")</f>
        <v>4 501-2000</v>
      </c>
      <c r="P1653" s="2" t="n">
        <f aca="false">Lookups!$B$2*M1653+Lookups!$B$3*L1653</f>
        <v>0</v>
      </c>
      <c r="Q1653" s="2" t="str">
        <f aca="false">INDEX(Lookups!$E$2:$E$5,MATCH(P1653,Lookups!$D$2:$D$5,0))</f>
        <v>Low</v>
      </c>
    </row>
    <row r="1654" customFormat="false" ht="15" hidden="false" customHeight="false" outlineLevel="0" collapsed="false">
      <c r="A1654" s="3" t="n">
        <v>1653</v>
      </c>
      <c r="B1654" s="3" t="n">
        <f aca="false">Raw_Data!A1654</f>
        <v>23</v>
      </c>
      <c r="C1654" s="3" t="str">
        <f aca="false">SUBSTITUTE(Raw_Data!B1654,".","")</f>
        <v>technician</v>
      </c>
      <c r="D1654" s="3" t="str">
        <f aca="false">Raw_Data!C1654</f>
        <v>single</v>
      </c>
      <c r="E1654" s="3" t="str">
        <f aca="false">Raw_Data!D1654</f>
        <v>secondary</v>
      </c>
      <c r="F1654" s="3" t="str">
        <f aca="false">Raw_Data!E1654</f>
        <v>no</v>
      </c>
      <c r="G1654" s="3" t="n">
        <f aca="false">Raw_Data!F1654</f>
        <v>-306</v>
      </c>
      <c r="H1654" s="3" t="str">
        <f aca="false">Raw_Data!G1654</f>
        <v>yes</v>
      </c>
      <c r="I1654" s="3" t="str">
        <f aca="false">Raw_Data!H1654</f>
        <v>no</v>
      </c>
      <c r="J1654" s="2" t="n">
        <f aca="false">IF(F1654="yes",1,0)</f>
        <v>0</v>
      </c>
      <c r="K1654" s="2" t="n">
        <f aca="false">IF(H1654="yes",1,0)</f>
        <v>1</v>
      </c>
      <c r="L1654" s="2" t="n">
        <f aca="false">IF(I1654="yes",1,0)</f>
        <v>0</v>
      </c>
      <c r="M1654" s="2" t="n">
        <f aca="false">IF(G1654&lt;0,1,0)</f>
        <v>1</v>
      </c>
      <c r="N1654" s="2" t="str">
        <f aca="false">_xlfn.IFS(B1654&lt;30,"Under 30",B1654&lt;40,"30-39",B1654&lt;50,"40-49",B1654&lt;60,"50-59",TRUE(),"60+")</f>
        <v>Under 30</v>
      </c>
      <c r="O1654" s="2" t="str">
        <f aca="false">_xlfn.IFS(G1654&lt;0,"1 Negative",G1654=0,"2 Zero",G1654&lt;=500,"3 1-500",G1654&lt;=2000,"4 501-2000",TRUE(),"5 Above 2000")</f>
        <v>1 Negative</v>
      </c>
      <c r="P1654" s="2" t="n">
        <f aca="false">Lookups!$B$2*M1654+Lookups!$B$3*L1654</f>
        <v>2</v>
      </c>
      <c r="Q1654" s="2" t="str">
        <f aca="false">INDEX(Lookups!$E$2:$E$5,MATCH(P1654,Lookups!$D$2:$D$5,0))</f>
        <v>High</v>
      </c>
    </row>
    <row r="1655" customFormat="false" ht="15" hidden="false" customHeight="false" outlineLevel="0" collapsed="false">
      <c r="A1655" s="3" t="n">
        <v>1654</v>
      </c>
      <c r="B1655" s="3" t="n">
        <f aca="false">Raw_Data!A1655</f>
        <v>53</v>
      </c>
      <c r="C1655" s="3" t="str">
        <f aca="false">SUBSTITUTE(Raw_Data!B1655,".","")</f>
        <v>blue-collar</v>
      </c>
      <c r="D1655" s="3" t="str">
        <f aca="false">Raw_Data!C1655</f>
        <v>married</v>
      </c>
      <c r="E1655" s="3" t="str">
        <f aca="false">Raw_Data!D1655</f>
        <v>primary</v>
      </c>
      <c r="F1655" s="3" t="str">
        <f aca="false">Raw_Data!E1655</f>
        <v>no</v>
      </c>
      <c r="G1655" s="3" t="n">
        <f aca="false">Raw_Data!F1655</f>
        <v>306</v>
      </c>
      <c r="H1655" s="3" t="str">
        <f aca="false">Raw_Data!G1655</f>
        <v>no</v>
      </c>
      <c r="I1655" s="3" t="str">
        <f aca="false">Raw_Data!H1655</f>
        <v>no</v>
      </c>
      <c r="J1655" s="2" t="n">
        <f aca="false">IF(F1655="yes",1,0)</f>
        <v>0</v>
      </c>
      <c r="K1655" s="2" t="n">
        <f aca="false">IF(H1655="yes",1,0)</f>
        <v>0</v>
      </c>
      <c r="L1655" s="2" t="n">
        <f aca="false">IF(I1655="yes",1,0)</f>
        <v>0</v>
      </c>
      <c r="M1655" s="2" t="n">
        <f aca="false">IF(G1655&lt;0,1,0)</f>
        <v>0</v>
      </c>
      <c r="N1655" s="2" t="str">
        <f aca="false">_xlfn.IFS(B1655&lt;30,"Under 30",B1655&lt;40,"30-39",B1655&lt;50,"40-49",B1655&lt;60,"50-59",TRUE(),"60+")</f>
        <v>50-59</v>
      </c>
      <c r="O1655" s="2" t="str">
        <f aca="false">_xlfn.IFS(G1655&lt;0,"1 Negative",G1655=0,"2 Zero",G1655&lt;=500,"3 1-500",G1655&lt;=2000,"4 501-2000",TRUE(),"5 Above 2000")</f>
        <v>3 1-500</v>
      </c>
      <c r="P1655" s="2" t="n">
        <f aca="false">Lookups!$B$2*M1655+Lookups!$B$3*L1655</f>
        <v>0</v>
      </c>
      <c r="Q1655" s="2" t="str">
        <f aca="false">INDEX(Lookups!$E$2:$E$5,MATCH(P1655,Lookups!$D$2:$D$5,0))</f>
        <v>Low</v>
      </c>
    </row>
    <row r="1656" customFormat="false" ht="15" hidden="false" customHeight="false" outlineLevel="0" collapsed="false">
      <c r="A1656" s="3" t="n">
        <v>1655</v>
      </c>
      <c r="B1656" s="3" t="n">
        <f aca="false">Raw_Data!A1656</f>
        <v>44</v>
      </c>
      <c r="C1656" s="3" t="str">
        <f aca="false">SUBSTITUTE(Raw_Data!B1656,".","")</f>
        <v>blue-collar</v>
      </c>
      <c r="D1656" s="3" t="str">
        <f aca="false">Raw_Data!C1656</f>
        <v>married</v>
      </c>
      <c r="E1656" s="3" t="str">
        <f aca="false">Raw_Data!D1656</f>
        <v>primary</v>
      </c>
      <c r="F1656" s="3" t="str">
        <f aca="false">Raw_Data!E1656</f>
        <v>no</v>
      </c>
      <c r="G1656" s="3" t="n">
        <f aca="false">Raw_Data!F1656</f>
        <v>-312</v>
      </c>
      <c r="H1656" s="3" t="str">
        <f aca="false">Raw_Data!G1656</f>
        <v>yes</v>
      </c>
      <c r="I1656" s="3" t="str">
        <f aca="false">Raw_Data!H1656</f>
        <v>no</v>
      </c>
      <c r="J1656" s="2" t="n">
        <f aca="false">IF(F1656="yes",1,0)</f>
        <v>0</v>
      </c>
      <c r="K1656" s="2" t="n">
        <f aca="false">IF(H1656="yes",1,0)</f>
        <v>1</v>
      </c>
      <c r="L1656" s="2" t="n">
        <f aca="false">IF(I1656="yes",1,0)</f>
        <v>0</v>
      </c>
      <c r="M1656" s="2" t="n">
        <f aca="false">IF(G1656&lt;0,1,0)</f>
        <v>1</v>
      </c>
      <c r="N1656" s="2" t="str">
        <f aca="false">_xlfn.IFS(B1656&lt;30,"Under 30",B1656&lt;40,"30-39",B1656&lt;50,"40-49",B1656&lt;60,"50-59",TRUE(),"60+")</f>
        <v>40-49</v>
      </c>
      <c r="O1656" s="2" t="str">
        <f aca="false">_xlfn.IFS(G1656&lt;0,"1 Negative",G1656=0,"2 Zero",G1656&lt;=500,"3 1-500",G1656&lt;=2000,"4 501-2000",TRUE(),"5 Above 2000")</f>
        <v>1 Negative</v>
      </c>
      <c r="P1656" s="2" t="n">
        <f aca="false">Lookups!$B$2*M1656+Lookups!$B$3*L1656</f>
        <v>2</v>
      </c>
      <c r="Q1656" s="2" t="str">
        <f aca="false">INDEX(Lookups!$E$2:$E$5,MATCH(P1656,Lookups!$D$2:$D$5,0))</f>
        <v>High</v>
      </c>
    </row>
    <row r="1657" customFormat="false" ht="15" hidden="false" customHeight="false" outlineLevel="0" collapsed="false">
      <c r="A1657" s="3" t="n">
        <v>1656</v>
      </c>
      <c r="B1657" s="3" t="n">
        <f aca="false">Raw_Data!A1657</f>
        <v>32</v>
      </c>
      <c r="C1657" s="3" t="str">
        <f aca="false">SUBSTITUTE(Raw_Data!B1657,".","")</f>
        <v>technician</v>
      </c>
      <c r="D1657" s="3" t="str">
        <f aca="false">Raw_Data!C1657</f>
        <v>single</v>
      </c>
      <c r="E1657" s="3" t="str">
        <f aca="false">Raw_Data!D1657</f>
        <v>secondary</v>
      </c>
      <c r="F1657" s="3" t="str">
        <f aca="false">Raw_Data!E1657</f>
        <v>no</v>
      </c>
      <c r="G1657" s="3" t="n">
        <f aca="false">Raw_Data!F1657</f>
        <v>493</v>
      </c>
      <c r="H1657" s="3" t="str">
        <f aca="false">Raw_Data!G1657</f>
        <v>no</v>
      </c>
      <c r="I1657" s="3" t="str">
        <f aca="false">Raw_Data!H1657</f>
        <v>no</v>
      </c>
      <c r="J1657" s="2" t="n">
        <f aca="false">IF(F1657="yes",1,0)</f>
        <v>0</v>
      </c>
      <c r="K1657" s="2" t="n">
        <f aca="false">IF(H1657="yes",1,0)</f>
        <v>0</v>
      </c>
      <c r="L1657" s="2" t="n">
        <f aca="false">IF(I1657="yes",1,0)</f>
        <v>0</v>
      </c>
      <c r="M1657" s="2" t="n">
        <f aca="false">IF(G1657&lt;0,1,0)</f>
        <v>0</v>
      </c>
      <c r="N1657" s="2" t="str">
        <f aca="false">_xlfn.IFS(B1657&lt;30,"Under 30",B1657&lt;40,"30-39",B1657&lt;50,"40-49",B1657&lt;60,"50-59",TRUE(),"60+")</f>
        <v>30-39</v>
      </c>
      <c r="O1657" s="2" t="str">
        <f aca="false">_xlfn.IFS(G1657&lt;0,"1 Negative",G1657=0,"2 Zero",G1657&lt;=500,"3 1-500",G1657&lt;=2000,"4 501-2000",TRUE(),"5 Above 2000")</f>
        <v>3 1-500</v>
      </c>
      <c r="P1657" s="2" t="n">
        <f aca="false">Lookups!$B$2*M1657+Lookups!$B$3*L1657</f>
        <v>0</v>
      </c>
      <c r="Q1657" s="2" t="str">
        <f aca="false">INDEX(Lookups!$E$2:$E$5,MATCH(P1657,Lookups!$D$2:$D$5,0))</f>
        <v>Low</v>
      </c>
    </row>
    <row r="1658" customFormat="false" ht="15" hidden="false" customHeight="false" outlineLevel="0" collapsed="false">
      <c r="A1658" s="3" t="n">
        <v>1657</v>
      </c>
      <c r="B1658" s="3" t="n">
        <f aca="false">Raw_Data!A1658</f>
        <v>32</v>
      </c>
      <c r="C1658" s="3" t="str">
        <f aca="false">SUBSTITUTE(Raw_Data!B1658,".","")</f>
        <v>management</v>
      </c>
      <c r="D1658" s="3" t="str">
        <f aca="false">Raw_Data!C1658</f>
        <v>married</v>
      </c>
      <c r="E1658" s="3" t="str">
        <f aca="false">Raw_Data!D1658</f>
        <v>tertiary</v>
      </c>
      <c r="F1658" s="3" t="str">
        <f aca="false">Raw_Data!E1658</f>
        <v>no</v>
      </c>
      <c r="G1658" s="3" t="n">
        <f aca="false">Raw_Data!F1658</f>
        <v>71</v>
      </c>
      <c r="H1658" s="3" t="str">
        <f aca="false">Raw_Data!G1658</f>
        <v>yes</v>
      </c>
      <c r="I1658" s="3" t="str">
        <f aca="false">Raw_Data!H1658</f>
        <v>no</v>
      </c>
      <c r="J1658" s="2" t="n">
        <f aca="false">IF(F1658="yes",1,0)</f>
        <v>0</v>
      </c>
      <c r="K1658" s="2" t="n">
        <f aca="false">IF(H1658="yes",1,0)</f>
        <v>1</v>
      </c>
      <c r="L1658" s="2" t="n">
        <f aca="false">IF(I1658="yes",1,0)</f>
        <v>0</v>
      </c>
      <c r="M1658" s="2" t="n">
        <f aca="false">IF(G1658&lt;0,1,0)</f>
        <v>0</v>
      </c>
      <c r="N1658" s="2" t="str">
        <f aca="false">_xlfn.IFS(B1658&lt;30,"Under 30",B1658&lt;40,"30-39",B1658&lt;50,"40-49",B1658&lt;60,"50-59",TRUE(),"60+")</f>
        <v>30-39</v>
      </c>
      <c r="O1658" s="2" t="str">
        <f aca="false">_xlfn.IFS(G1658&lt;0,"1 Negative",G1658=0,"2 Zero",G1658&lt;=500,"3 1-500",G1658&lt;=2000,"4 501-2000",TRUE(),"5 Above 2000")</f>
        <v>3 1-500</v>
      </c>
      <c r="P1658" s="2" t="n">
        <f aca="false">Lookups!$B$2*M1658+Lookups!$B$3*L1658</f>
        <v>0</v>
      </c>
      <c r="Q1658" s="2" t="str">
        <f aca="false">INDEX(Lookups!$E$2:$E$5,MATCH(P1658,Lookups!$D$2:$D$5,0))</f>
        <v>Low</v>
      </c>
    </row>
    <row r="1659" customFormat="false" ht="15" hidden="false" customHeight="false" outlineLevel="0" collapsed="false">
      <c r="A1659" s="3" t="n">
        <v>1658</v>
      </c>
      <c r="B1659" s="3" t="n">
        <f aca="false">Raw_Data!A1659</f>
        <v>38</v>
      </c>
      <c r="C1659" s="3" t="str">
        <f aca="false">SUBSTITUTE(Raw_Data!B1659,".","")</f>
        <v>admin</v>
      </c>
      <c r="D1659" s="3" t="str">
        <f aca="false">Raw_Data!C1659</f>
        <v>married</v>
      </c>
      <c r="E1659" s="3" t="str">
        <f aca="false">Raw_Data!D1659</f>
        <v>tertiary</v>
      </c>
      <c r="F1659" s="3" t="str">
        <f aca="false">Raw_Data!E1659</f>
        <v>no</v>
      </c>
      <c r="G1659" s="3" t="n">
        <f aca="false">Raw_Data!F1659</f>
        <v>669</v>
      </c>
      <c r="H1659" s="3" t="str">
        <f aca="false">Raw_Data!G1659</f>
        <v>yes</v>
      </c>
      <c r="I1659" s="3" t="str">
        <f aca="false">Raw_Data!H1659</f>
        <v>yes</v>
      </c>
      <c r="J1659" s="2" t="n">
        <f aca="false">IF(F1659="yes",1,0)</f>
        <v>0</v>
      </c>
      <c r="K1659" s="2" t="n">
        <f aca="false">IF(H1659="yes",1,0)</f>
        <v>1</v>
      </c>
      <c r="L1659" s="2" t="n">
        <f aca="false">IF(I1659="yes",1,0)</f>
        <v>1</v>
      </c>
      <c r="M1659" s="2" t="n">
        <f aca="false">IF(G1659&lt;0,1,0)</f>
        <v>0</v>
      </c>
      <c r="N1659" s="2" t="str">
        <f aca="false">_xlfn.IFS(B1659&lt;30,"Under 30",B1659&lt;40,"30-39",B1659&lt;50,"40-49",B1659&lt;60,"50-59",TRUE(),"60+")</f>
        <v>30-39</v>
      </c>
      <c r="O1659" s="2" t="str">
        <f aca="false">_xlfn.IFS(G1659&lt;0,"1 Negative",G1659=0,"2 Zero",G1659&lt;=500,"3 1-500",G1659&lt;=2000,"4 501-2000",TRUE(),"5 Above 2000")</f>
        <v>4 501-2000</v>
      </c>
      <c r="P1659" s="2" t="n">
        <f aca="false">Lookups!$B$2*M1659+Lookups!$B$3*L1659</f>
        <v>1</v>
      </c>
      <c r="Q1659" s="2" t="str">
        <f aca="false">INDEX(Lookups!$E$2:$E$5,MATCH(P1659,Lookups!$D$2:$D$5,0))</f>
        <v>Medium</v>
      </c>
    </row>
    <row r="1660" customFormat="false" ht="15" hidden="false" customHeight="false" outlineLevel="0" collapsed="false">
      <c r="A1660" s="3" t="n">
        <v>1659</v>
      </c>
      <c r="B1660" s="3" t="n">
        <f aca="false">Raw_Data!A1660</f>
        <v>47</v>
      </c>
      <c r="C1660" s="3" t="str">
        <f aca="false">SUBSTITUTE(Raw_Data!B1660,".","")</f>
        <v>blue-collar</v>
      </c>
      <c r="D1660" s="3" t="str">
        <f aca="false">Raw_Data!C1660</f>
        <v>married</v>
      </c>
      <c r="E1660" s="3" t="str">
        <f aca="false">Raw_Data!D1660</f>
        <v>primary</v>
      </c>
      <c r="F1660" s="3" t="str">
        <f aca="false">Raw_Data!E1660</f>
        <v>no</v>
      </c>
      <c r="G1660" s="3" t="n">
        <f aca="false">Raw_Data!F1660</f>
        <v>556</v>
      </c>
      <c r="H1660" s="3" t="str">
        <f aca="false">Raw_Data!G1660</f>
        <v>yes</v>
      </c>
      <c r="I1660" s="3" t="str">
        <f aca="false">Raw_Data!H1660</f>
        <v>no</v>
      </c>
      <c r="J1660" s="2" t="n">
        <f aca="false">IF(F1660="yes",1,0)</f>
        <v>0</v>
      </c>
      <c r="K1660" s="2" t="n">
        <f aca="false">IF(H1660="yes",1,0)</f>
        <v>1</v>
      </c>
      <c r="L1660" s="2" t="n">
        <f aca="false">IF(I1660="yes",1,0)</f>
        <v>0</v>
      </c>
      <c r="M1660" s="2" t="n">
        <f aca="false">IF(G1660&lt;0,1,0)</f>
        <v>0</v>
      </c>
      <c r="N1660" s="2" t="str">
        <f aca="false">_xlfn.IFS(B1660&lt;30,"Under 30",B1660&lt;40,"30-39",B1660&lt;50,"40-49",B1660&lt;60,"50-59",TRUE(),"60+")</f>
        <v>40-49</v>
      </c>
      <c r="O1660" s="2" t="str">
        <f aca="false">_xlfn.IFS(G1660&lt;0,"1 Negative",G1660=0,"2 Zero",G1660&lt;=500,"3 1-500",G1660&lt;=2000,"4 501-2000",TRUE(),"5 Above 2000")</f>
        <v>4 501-2000</v>
      </c>
      <c r="P1660" s="2" t="n">
        <f aca="false">Lookups!$B$2*M1660+Lookups!$B$3*L1660</f>
        <v>0</v>
      </c>
      <c r="Q1660" s="2" t="str">
        <f aca="false">INDEX(Lookups!$E$2:$E$5,MATCH(P1660,Lookups!$D$2:$D$5,0))</f>
        <v>Low</v>
      </c>
    </row>
    <row r="1661" customFormat="false" ht="15" hidden="false" customHeight="false" outlineLevel="0" collapsed="false">
      <c r="A1661" s="3" t="n">
        <v>1660</v>
      </c>
      <c r="B1661" s="3" t="n">
        <f aca="false">Raw_Data!A1661</f>
        <v>34</v>
      </c>
      <c r="C1661" s="3" t="str">
        <f aca="false">SUBSTITUTE(Raw_Data!B1661,".","")</f>
        <v>services</v>
      </c>
      <c r="D1661" s="3" t="str">
        <f aca="false">Raw_Data!C1661</f>
        <v>single</v>
      </c>
      <c r="E1661" s="3" t="str">
        <f aca="false">Raw_Data!D1661</f>
        <v>secondary</v>
      </c>
      <c r="F1661" s="3" t="str">
        <f aca="false">Raw_Data!E1661</f>
        <v>no</v>
      </c>
      <c r="G1661" s="3" t="n">
        <f aca="false">Raw_Data!F1661</f>
        <v>84</v>
      </c>
      <c r="H1661" s="3" t="str">
        <f aca="false">Raw_Data!G1661</f>
        <v>yes</v>
      </c>
      <c r="I1661" s="3" t="str">
        <f aca="false">Raw_Data!H1661</f>
        <v>no</v>
      </c>
      <c r="J1661" s="2" t="n">
        <f aca="false">IF(F1661="yes",1,0)</f>
        <v>0</v>
      </c>
      <c r="K1661" s="2" t="n">
        <f aca="false">IF(H1661="yes",1,0)</f>
        <v>1</v>
      </c>
      <c r="L1661" s="2" t="n">
        <f aca="false">IF(I1661="yes",1,0)</f>
        <v>0</v>
      </c>
      <c r="M1661" s="2" t="n">
        <f aca="false">IF(G1661&lt;0,1,0)</f>
        <v>0</v>
      </c>
      <c r="N1661" s="2" t="str">
        <f aca="false">_xlfn.IFS(B1661&lt;30,"Under 30",B1661&lt;40,"30-39",B1661&lt;50,"40-49",B1661&lt;60,"50-59",TRUE(),"60+")</f>
        <v>30-39</v>
      </c>
      <c r="O1661" s="2" t="str">
        <f aca="false">_xlfn.IFS(G1661&lt;0,"1 Negative",G1661=0,"2 Zero",G1661&lt;=500,"3 1-500",G1661&lt;=2000,"4 501-2000",TRUE(),"5 Above 2000")</f>
        <v>3 1-500</v>
      </c>
      <c r="P1661" s="2" t="n">
        <f aca="false">Lookups!$B$2*M1661+Lookups!$B$3*L1661</f>
        <v>0</v>
      </c>
      <c r="Q1661" s="2" t="str">
        <f aca="false">INDEX(Lookups!$E$2:$E$5,MATCH(P1661,Lookups!$D$2:$D$5,0))</f>
        <v>Low</v>
      </c>
    </row>
    <row r="1662" customFormat="false" ht="15" hidden="false" customHeight="false" outlineLevel="0" collapsed="false">
      <c r="A1662" s="3" t="n">
        <v>1661</v>
      </c>
      <c r="B1662" s="3" t="n">
        <f aca="false">Raw_Data!A1662</f>
        <v>52</v>
      </c>
      <c r="C1662" s="3" t="str">
        <f aca="false">SUBSTITUTE(Raw_Data!B1662,".","")</f>
        <v>services</v>
      </c>
      <c r="D1662" s="3" t="str">
        <f aca="false">Raw_Data!C1662</f>
        <v>married</v>
      </c>
      <c r="E1662" s="3" t="str">
        <f aca="false">Raw_Data!D1662</f>
        <v>secondary</v>
      </c>
      <c r="F1662" s="3" t="str">
        <f aca="false">Raw_Data!E1662</f>
        <v>no</v>
      </c>
      <c r="G1662" s="3" t="n">
        <f aca="false">Raw_Data!F1662</f>
        <v>108</v>
      </c>
      <c r="H1662" s="3" t="str">
        <f aca="false">Raw_Data!G1662</f>
        <v>yes</v>
      </c>
      <c r="I1662" s="3" t="str">
        <f aca="false">Raw_Data!H1662</f>
        <v>no</v>
      </c>
      <c r="J1662" s="2" t="n">
        <f aca="false">IF(F1662="yes",1,0)</f>
        <v>0</v>
      </c>
      <c r="K1662" s="2" t="n">
        <f aca="false">IF(H1662="yes",1,0)</f>
        <v>1</v>
      </c>
      <c r="L1662" s="2" t="n">
        <f aca="false">IF(I1662="yes",1,0)</f>
        <v>0</v>
      </c>
      <c r="M1662" s="2" t="n">
        <f aca="false">IF(G1662&lt;0,1,0)</f>
        <v>0</v>
      </c>
      <c r="N1662" s="2" t="str">
        <f aca="false">_xlfn.IFS(B1662&lt;30,"Under 30",B1662&lt;40,"30-39",B1662&lt;50,"40-49",B1662&lt;60,"50-59",TRUE(),"60+")</f>
        <v>50-59</v>
      </c>
      <c r="O1662" s="2" t="str">
        <f aca="false">_xlfn.IFS(G1662&lt;0,"1 Negative",G1662=0,"2 Zero",G1662&lt;=500,"3 1-500",G1662&lt;=2000,"4 501-2000",TRUE(),"5 Above 2000")</f>
        <v>3 1-500</v>
      </c>
      <c r="P1662" s="2" t="n">
        <f aca="false">Lookups!$B$2*M1662+Lookups!$B$3*L1662</f>
        <v>0</v>
      </c>
      <c r="Q1662" s="2" t="str">
        <f aca="false">INDEX(Lookups!$E$2:$E$5,MATCH(P1662,Lookups!$D$2:$D$5,0))</f>
        <v>Low</v>
      </c>
    </row>
    <row r="1663" customFormat="false" ht="15" hidden="false" customHeight="false" outlineLevel="0" collapsed="false">
      <c r="A1663" s="3" t="n">
        <v>1662</v>
      </c>
      <c r="B1663" s="3" t="n">
        <f aca="false">Raw_Data!A1663</f>
        <v>45</v>
      </c>
      <c r="C1663" s="3" t="str">
        <f aca="false">SUBSTITUTE(Raw_Data!B1663,".","")</f>
        <v>admin</v>
      </c>
      <c r="D1663" s="3" t="str">
        <f aca="false">Raw_Data!C1663</f>
        <v>single</v>
      </c>
      <c r="E1663" s="3" t="str">
        <f aca="false">Raw_Data!D1663</f>
        <v>secondary</v>
      </c>
      <c r="F1663" s="3" t="str">
        <f aca="false">Raw_Data!E1663</f>
        <v>no</v>
      </c>
      <c r="G1663" s="3" t="n">
        <f aca="false">Raw_Data!F1663</f>
        <v>-11</v>
      </c>
      <c r="H1663" s="3" t="str">
        <f aca="false">Raw_Data!G1663</f>
        <v>yes</v>
      </c>
      <c r="I1663" s="3" t="str">
        <f aca="false">Raw_Data!H1663</f>
        <v>no</v>
      </c>
      <c r="J1663" s="2" t="n">
        <f aca="false">IF(F1663="yes",1,0)</f>
        <v>0</v>
      </c>
      <c r="K1663" s="2" t="n">
        <f aca="false">IF(H1663="yes",1,0)</f>
        <v>1</v>
      </c>
      <c r="L1663" s="2" t="n">
        <f aca="false">IF(I1663="yes",1,0)</f>
        <v>0</v>
      </c>
      <c r="M1663" s="2" t="n">
        <f aca="false">IF(G1663&lt;0,1,0)</f>
        <v>1</v>
      </c>
      <c r="N1663" s="2" t="str">
        <f aca="false">_xlfn.IFS(B1663&lt;30,"Under 30",B1663&lt;40,"30-39",B1663&lt;50,"40-49",B1663&lt;60,"50-59",TRUE(),"60+")</f>
        <v>40-49</v>
      </c>
      <c r="O1663" s="2" t="str">
        <f aca="false">_xlfn.IFS(G1663&lt;0,"1 Negative",G1663=0,"2 Zero",G1663&lt;=500,"3 1-500",G1663&lt;=2000,"4 501-2000",TRUE(),"5 Above 2000")</f>
        <v>1 Negative</v>
      </c>
      <c r="P1663" s="2" t="n">
        <f aca="false">Lookups!$B$2*M1663+Lookups!$B$3*L1663</f>
        <v>2</v>
      </c>
      <c r="Q1663" s="2" t="str">
        <f aca="false">INDEX(Lookups!$E$2:$E$5,MATCH(P1663,Lookups!$D$2:$D$5,0))</f>
        <v>High</v>
      </c>
    </row>
    <row r="1664" customFormat="false" ht="15" hidden="false" customHeight="false" outlineLevel="0" collapsed="false">
      <c r="A1664" s="3" t="n">
        <v>1663</v>
      </c>
      <c r="B1664" s="3" t="n">
        <f aca="false">Raw_Data!A1664</f>
        <v>50</v>
      </c>
      <c r="C1664" s="3" t="str">
        <f aca="false">SUBSTITUTE(Raw_Data!B1664,".","")</f>
        <v>blue-collar</v>
      </c>
      <c r="D1664" s="3" t="str">
        <f aca="false">Raw_Data!C1664</f>
        <v>married</v>
      </c>
      <c r="E1664" s="3" t="str">
        <f aca="false">Raw_Data!D1664</f>
        <v>primary</v>
      </c>
      <c r="F1664" s="3" t="str">
        <f aca="false">Raw_Data!E1664</f>
        <v>no</v>
      </c>
      <c r="G1664" s="3" t="n">
        <f aca="false">Raw_Data!F1664</f>
        <v>1164</v>
      </c>
      <c r="H1664" s="3" t="str">
        <f aca="false">Raw_Data!G1664</f>
        <v>yes</v>
      </c>
      <c r="I1664" s="3" t="str">
        <f aca="false">Raw_Data!H1664</f>
        <v>no</v>
      </c>
      <c r="J1664" s="2" t="n">
        <f aca="false">IF(F1664="yes",1,0)</f>
        <v>0</v>
      </c>
      <c r="K1664" s="2" t="n">
        <f aca="false">IF(H1664="yes",1,0)</f>
        <v>1</v>
      </c>
      <c r="L1664" s="2" t="n">
        <f aca="false">IF(I1664="yes",1,0)</f>
        <v>0</v>
      </c>
      <c r="M1664" s="2" t="n">
        <f aca="false">IF(G1664&lt;0,1,0)</f>
        <v>0</v>
      </c>
      <c r="N1664" s="2" t="str">
        <f aca="false">_xlfn.IFS(B1664&lt;30,"Under 30",B1664&lt;40,"30-39",B1664&lt;50,"40-49",B1664&lt;60,"50-59",TRUE(),"60+")</f>
        <v>50-59</v>
      </c>
      <c r="O1664" s="2" t="str">
        <f aca="false">_xlfn.IFS(G1664&lt;0,"1 Negative",G1664=0,"2 Zero",G1664&lt;=500,"3 1-500",G1664&lt;=2000,"4 501-2000",TRUE(),"5 Above 2000")</f>
        <v>4 501-2000</v>
      </c>
      <c r="P1664" s="2" t="n">
        <f aca="false">Lookups!$B$2*M1664+Lookups!$B$3*L1664</f>
        <v>0</v>
      </c>
      <c r="Q1664" s="2" t="str">
        <f aca="false">INDEX(Lookups!$E$2:$E$5,MATCH(P1664,Lookups!$D$2:$D$5,0))</f>
        <v>Low</v>
      </c>
    </row>
    <row r="1665" customFormat="false" ht="15" hidden="false" customHeight="false" outlineLevel="0" collapsed="false">
      <c r="A1665" s="3" t="n">
        <v>1664</v>
      </c>
      <c r="B1665" s="3" t="n">
        <f aca="false">Raw_Data!A1665</f>
        <v>52</v>
      </c>
      <c r="C1665" s="3" t="str">
        <f aca="false">SUBSTITUTE(Raw_Data!B1665,".","")</f>
        <v>blue-collar</v>
      </c>
      <c r="D1665" s="3" t="str">
        <f aca="false">Raw_Data!C1665</f>
        <v>divorced</v>
      </c>
      <c r="E1665" s="3" t="str">
        <f aca="false">Raw_Data!D1665</f>
        <v>primary</v>
      </c>
      <c r="F1665" s="3" t="str">
        <f aca="false">Raw_Data!E1665</f>
        <v>no</v>
      </c>
      <c r="G1665" s="3" t="n">
        <f aca="false">Raw_Data!F1665</f>
        <v>-191</v>
      </c>
      <c r="H1665" s="3" t="str">
        <f aca="false">Raw_Data!G1665</f>
        <v>yes</v>
      </c>
      <c r="I1665" s="3" t="str">
        <f aca="false">Raw_Data!H1665</f>
        <v>no</v>
      </c>
      <c r="J1665" s="2" t="n">
        <f aca="false">IF(F1665="yes",1,0)</f>
        <v>0</v>
      </c>
      <c r="K1665" s="2" t="n">
        <f aca="false">IF(H1665="yes",1,0)</f>
        <v>1</v>
      </c>
      <c r="L1665" s="2" t="n">
        <f aca="false">IF(I1665="yes",1,0)</f>
        <v>0</v>
      </c>
      <c r="M1665" s="2" t="n">
        <f aca="false">IF(G1665&lt;0,1,0)</f>
        <v>1</v>
      </c>
      <c r="N1665" s="2" t="str">
        <f aca="false">_xlfn.IFS(B1665&lt;30,"Under 30",B1665&lt;40,"30-39",B1665&lt;50,"40-49",B1665&lt;60,"50-59",TRUE(),"60+")</f>
        <v>50-59</v>
      </c>
      <c r="O1665" s="2" t="str">
        <f aca="false">_xlfn.IFS(G1665&lt;0,"1 Negative",G1665=0,"2 Zero",G1665&lt;=500,"3 1-500",G1665&lt;=2000,"4 501-2000",TRUE(),"5 Above 2000")</f>
        <v>1 Negative</v>
      </c>
      <c r="P1665" s="2" t="n">
        <f aca="false">Lookups!$B$2*M1665+Lookups!$B$3*L1665</f>
        <v>2</v>
      </c>
      <c r="Q1665" s="2" t="str">
        <f aca="false">INDEX(Lookups!$E$2:$E$5,MATCH(P1665,Lookups!$D$2:$D$5,0))</f>
        <v>High</v>
      </c>
    </row>
    <row r="1666" customFormat="false" ht="15" hidden="false" customHeight="false" outlineLevel="0" collapsed="false">
      <c r="A1666" s="3" t="n">
        <v>1665</v>
      </c>
      <c r="B1666" s="3" t="n">
        <f aca="false">Raw_Data!A1666</f>
        <v>37</v>
      </c>
      <c r="C1666" s="3" t="str">
        <f aca="false">SUBSTITUTE(Raw_Data!B1666,".","")</f>
        <v>blue-collar</v>
      </c>
      <c r="D1666" s="3" t="str">
        <f aca="false">Raw_Data!C1666</f>
        <v>married</v>
      </c>
      <c r="E1666" s="3" t="str">
        <f aca="false">Raw_Data!D1666</f>
        <v>secondary</v>
      </c>
      <c r="F1666" s="3" t="str">
        <f aca="false">Raw_Data!E1666</f>
        <v>no</v>
      </c>
      <c r="G1666" s="3" t="n">
        <f aca="false">Raw_Data!F1666</f>
        <v>132</v>
      </c>
      <c r="H1666" s="3" t="str">
        <f aca="false">Raw_Data!G1666</f>
        <v>no</v>
      </c>
      <c r="I1666" s="3" t="str">
        <f aca="false">Raw_Data!H1666</f>
        <v>no</v>
      </c>
      <c r="J1666" s="2" t="n">
        <f aca="false">IF(F1666="yes",1,0)</f>
        <v>0</v>
      </c>
      <c r="K1666" s="2" t="n">
        <f aca="false">IF(H1666="yes",1,0)</f>
        <v>0</v>
      </c>
      <c r="L1666" s="2" t="n">
        <f aca="false">IF(I1666="yes",1,0)</f>
        <v>0</v>
      </c>
      <c r="M1666" s="2" t="n">
        <f aca="false">IF(G1666&lt;0,1,0)</f>
        <v>0</v>
      </c>
      <c r="N1666" s="2" t="str">
        <f aca="false">_xlfn.IFS(B1666&lt;30,"Under 30",B1666&lt;40,"30-39",B1666&lt;50,"40-49",B1666&lt;60,"50-59",TRUE(),"60+")</f>
        <v>30-39</v>
      </c>
      <c r="O1666" s="2" t="str">
        <f aca="false">_xlfn.IFS(G1666&lt;0,"1 Negative",G1666=0,"2 Zero",G1666&lt;=500,"3 1-500",G1666&lt;=2000,"4 501-2000",TRUE(),"5 Above 2000")</f>
        <v>3 1-500</v>
      </c>
      <c r="P1666" s="2" t="n">
        <f aca="false">Lookups!$B$2*M1666+Lookups!$B$3*L1666</f>
        <v>0</v>
      </c>
      <c r="Q1666" s="2" t="str">
        <f aca="false">INDEX(Lookups!$E$2:$E$5,MATCH(P1666,Lookups!$D$2:$D$5,0))</f>
        <v>Low</v>
      </c>
    </row>
    <row r="1667" customFormat="false" ht="15" hidden="false" customHeight="false" outlineLevel="0" collapsed="false">
      <c r="A1667" s="3" t="n">
        <v>1666</v>
      </c>
      <c r="B1667" s="3" t="n">
        <f aca="false">Raw_Data!A1667</f>
        <v>51</v>
      </c>
      <c r="C1667" s="3" t="str">
        <f aca="false">SUBSTITUTE(Raw_Data!B1667,".","")</f>
        <v>blue-collar</v>
      </c>
      <c r="D1667" s="3" t="str">
        <f aca="false">Raw_Data!C1667</f>
        <v>married</v>
      </c>
      <c r="E1667" s="3" t="str">
        <f aca="false">Raw_Data!D1667</f>
        <v>secondary</v>
      </c>
      <c r="F1667" s="3" t="str">
        <f aca="false">Raw_Data!E1667</f>
        <v>no</v>
      </c>
      <c r="G1667" s="3" t="n">
        <f aca="false">Raw_Data!F1667</f>
        <v>2237</v>
      </c>
      <c r="H1667" s="3" t="str">
        <f aca="false">Raw_Data!G1667</f>
        <v>yes</v>
      </c>
      <c r="I1667" s="3" t="str">
        <f aca="false">Raw_Data!H1667</f>
        <v>no</v>
      </c>
      <c r="J1667" s="2" t="n">
        <f aca="false">IF(F1667="yes",1,0)</f>
        <v>0</v>
      </c>
      <c r="K1667" s="2" t="n">
        <f aca="false">IF(H1667="yes",1,0)</f>
        <v>1</v>
      </c>
      <c r="L1667" s="2" t="n">
        <f aca="false">IF(I1667="yes",1,0)</f>
        <v>0</v>
      </c>
      <c r="M1667" s="2" t="n">
        <f aca="false">IF(G1667&lt;0,1,0)</f>
        <v>0</v>
      </c>
      <c r="N1667" s="2" t="str">
        <f aca="false">_xlfn.IFS(B1667&lt;30,"Under 30",B1667&lt;40,"30-39",B1667&lt;50,"40-49",B1667&lt;60,"50-59",TRUE(),"60+")</f>
        <v>50-59</v>
      </c>
      <c r="O1667" s="2" t="str">
        <f aca="false">_xlfn.IFS(G1667&lt;0,"1 Negative",G1667=0,"2 Zero",G1667&lt;=500,"3 1-500",G1667&lt;=2000,"4 501-2000",TRUE(),"5 Above 2000")</f>
        <v>5 Above 2000</v>
      </c>
      <c r="P1667" s="2" t="n">
        <f aca="false">Lookups!$B$2*M1667+Lookups!$B$3*L1667</f>
        <v>0</v>
      </c>
      <c r="Q1667" s="2" t="str">
        <f aca="false">INDEX(Lookups!$E$2:$E$5,MATCH(P1667,Lookups!$D$2:$D$5,0))</f>
        <v>Low</v>
      </c>
    </row>
    <row r="1668" customFormat="false" ht="15" hidden="false" customHeight="false" outlineLevel="0" collapsed="false">
      <c r="A1668" s="3" t="n">
        <v>1667</v>
      </c>
      <c r="B1668" s="3" t="n">
        <f aca="false">Raw_Data!A1668</f>
        <v>32</v>
      </c>
      <c r="C1668" s="3" t="str">
        <f aca="false">SUBSTITUTE(Raw_Data!B1668,".","")</f>
        <v>management</v>
      </c>
      <c r="D1668" s="3" t="str">
        <f aca="false">Raw_Data!C1668</f>
        <v>married</v>
      </c>
      <c r="E1668" s="3" t="str">
        <f aca="false">Raw_Data!D1668</f>
        <v>tertiary</v>
      </c>
      <c r="F1668" s="3" t="str">
        <f aca="false">Raw_Data!E1668</f>
        <v>no</v>
      </c>
      <c r="G1668" s="3" t="n">
        <f aca="false">Raw_Data!F1668</f>
        <v>4761</v>
      </c>
      <c r="H1668" s="3" t="str">
        <f aca="false">Raw_Data!G1668</f>
        <v>yes</v>
      </c>
      <c r="I1668" s="3" t="str">
        <f aca="false">Raw_Data!H1668</f>
        <v>no</v>
      </c>
      <c r="J1668" s="2" t="n">
        <f aca="false">IF(F1668="yes",1,0)</f>
        <v>0</v>
      </c>
      <c r="K1668" s="2" t="n">
        <f aca="false">IF(H1668="yes",1,0)</f>
        <v>1</v>
      </c>
      <c r="L1668" s="2" t="n">
        <f aca="false">IF(I1668="yes",1,0)</f>
        <v>0</v>
      </c>
      <c r="M1668" s="2" t="n">
        <f aca="false">IF(G1668&lt;0,1,0)</f>
        <v>0</v>
      </c>
      <c r="N1668" s="2" t="str">
        <f aca="false">_xlfn.IFS(B1668&lt;30,"Under 30",B1668&lt;40,"30-39",B1668&lt;50,"40-49",B1668&lt;60,"50-59",TRUE(),"60+")</f>
        <v>30-39</v>
      </c>
      <c r="O1668" s="2" t="str">
        <f aca="false">_xlfn.IFS(G1668&lt;0,"1 Negative",G1668=0,"2 Zero",G1668&lt;=500,"3 1-500",G1668&lt;=2000,"4 501-2000",TRUE(),"5 Above 2000")</f>
        <v>5 Above 2000</v>
      </c>
      <c r="P1668" s="2" t="n">
        <f aca="false">Lookups!$B$2*M1668+Lookups!$B$3*L1668</f>
        <v>0</v>
      </c>
      <c r="Q1668" s="2" t="str">
        <f aca="false">INDEX(Lookups!$E$2:$E$5,MATCH(P1668,Lookups!$D$2:$D$5,0))</f>
        <v>Low</v>
      </c>
    </row>
    <row r="1669" customFormat="false" ht="15" hidden="false" customHeight="false" outlineLevel="0" collapsed="false">
      <c r="A1669" s="3" t="n">
        <v>1668</v>
      </c>
      <c r="B1669" s="3" t="n">
        <f aca="false">Raw_Data!A1669</f>
        <v>33</v>
      </c>
      <c r="C1669" s="3" t="str">
        <f aca="false">SUBSTITUTE(Raw_Data!B1669,".","")</f>
        <v>blue-collar</v>
      </c>
      <c r="D1669" s="3" t="str">
        <f aca="false">Raw_Data!C1669</f>
        <v>married</v>
      </c>
      <c r="E1669" s="3" t="str">
        <f aca="false">Raw_Data!D1669</f>
        <v>secondary</v>
      </c>
      <c r="F1669" s="3" t="str">
        <f aca="false">Raw_Data!E1669</f>
        <v>no</v>
      </c>
      <c r="G1669" s="3" t="n">
        <f aca="false">Raw_Data!F1669</f>
        <v>-346</v>
      </c>
      <c r="H1669" s="3" t="str">
        <f aca="false">Raw_Data!G1669</f>
        <v>yes</v>
      </c>
      <c r="I1669" s="3" t="str">
        <f aca="false">Raw_Data!H1669</f>
        <v>yes</v>
      </c>
      <c r="J1669" s="2" t="n">
        <f aca="false">IF(F1669="yes",1,0)</f>
        <v>0</v>
      </c>
      <c r="K1669" s="2" t="n">
        <f aca="false">IF(H1669="yes",1,0)</f>
        <v>1</v>
      </c>
      <c r="L1669" s="2" t="n">
        <f aca="false">IF(I1669="yes",1,0)</f>
        <v>1</v>
      </c>
      <c r="M1669" s="2" t="n">
        <f aca="false">IF(G1669&lt;0,1,0)</f>
        <v>1</v>
      </c>
      <c r="N1669" s="2" t="str">
        <f aca="false">_xlfn.IFS(B1669&lt;30,"Under 30",B1669&lt;40,"30-39",B1669&lt;50,"40-49",B1669&lt;60,"50-59",TRUE(),"60+")</f>
        <v>30-39</v>
      </c>
      <c r="O1669" s="2" t="str">
        <f aca="false">_xlfn.IFS(G1669&lt;0,"1 Negative",G1669=0,"2 Zero",G1669&lt;=500,"3 1-500",G1669&lt;=2000,"4 501-2000",TRUE(),"5 Above 2000")</f>
        <v>1 Negative</v>
      </c>
      <c r="P1669" s="2" t="n">
        <f aca="false">Lookups!$B$2*M1669+Lookups!$B$3*L1669</f>
        <v>3</v>
      </c>
      <c r="Q1669" s="2" t="str">
        <f aca="false">INDEX(Lookups!$E$2:$E$5,MATCH(P1669,Lookups!$D$2:$D$5,0))</f>
        <v>High</v>
      </c>
    </row>
    <row r="1670" customFormat="false" ht="15" hidden="false" customHeight="false" outlineLevel="0" collapsed="false">
      <c r="A1670" s="3" t="n">
        <v>1669</v>
      </c>
      <c r="B1670" s="3" t="n">
        <f aca="false">Raw_Data!A1670</f>
        <v>28</v>
      </c>
      <c r="C1670" s="3" t="str">
        <f aca="false">SUBSTITUTE(Raw_Data!B1670,".","")</f>
        <v>unemployed</v>
      </c>
      <c r="D1670" s="3" t="str">
        <f aca="false">Raw_Data!C1670</f>
        <v>married</v>
      </c>
      <c r="E1670" s="3" t="str">
        <f aca="false">Raw_Data!D1670</f>
        <v>secondary</v>
      </c>
      <c r="F1670" s="3" t="str">
        <f aca="false">Raw_Data!E1670</f>
        <v>no</v>
      </c>
      <c r="G1670" s="3" t="n">
        <f aca="false">Raw_Data!F1670</f>
        <v>655</v>
      </c>
      <c r="H1670" s="3" t="str">
        <f aca="false">Raw_Data!G1670</f>
        <v>yes</v>
      </c>
      <c r="I1670" s="3" t="str">
        <f aca="false">Raw_Data!H1670</f>
        <v>no</v>
      </c>
      <c r="J1670" s="2" t="n">
        <f aca="false">IF(F1670="yes",1,0)</f>
        <v>0</v>
      </c>
      <c r="K1670" s="2" t="n">
        <f aca="false">IF(H1670="yes",1,0)</f>
        <v>1</v>
      </c>
      <c r="L1670" s="2" t="n">
        <f aca="false">IF(I1670="yes",1,0)</f>
        <v>0</v>
      </c>
      <c r="M1670" s="2" t="n">
        <f aca="false">IF(G1670&lt;0,1,0)</f>
        <v>0</v>
      </c>
      <c r="N1670" s="2" t="str">
        <f aca="false">_xlfn.IFS(B1670&lt;30,"Under 30",B1670&lt;40,"30-39",B1670&lt;50,"40-49",B1670&lt;60,"50-59",TRUE(),"60+")</f>
        <v>Under 30</v>
      </c>
      <c r="O1670" s="2" t="str">
        <f aca="false">_xlfn.IFS(G1670&lt;0,"1 Negative",G1670=0,"2 Zero",G1670&lt;=500,"3 1-500",G1670&lt;=2000,"4 501-2000",TRUE(),"5 Above 2000")</f>
        <v>4 501-2000</v>
      </c>
      <c r="P1670" s="2" t="n">
        <f aca="false">Lookups!$B$2*M1670+Lookups!$B$3*L1670</f>
        <v>0</v>
      </c>
      <c r="Q1670" s="2" t="str">
        <f aca="false">INDEX(Lookups!$E$2:$E$5,MATCH(P1670,Lookups!$D$2:$D$5,0))</f>
        <v>Low</v>
      </c>
    </row>
    <row r="1671" customFormat="false" ht="15" hidden="false" customHeight="false" outlineLevel="0" collapsed="false">
      <c r="A1671" s="3" t="n">
        <v>1670</v>
      </c>
      <c r="B1671" s="3" t="n">
        <f aca="false">Raw_Data!A1671</f>
        <v>66</v>
      </c>
      <c r="C1671" s="3" t="str">
        <f aca="false">SUBSTITUTE(Raw_Data!B1671,".","")</f>
        <v>management</v>
      </c>
      <c r="D1671" s="3" t="str">
        <f aca="false">Raw_Data!C1671</f>
        <v>married</v>
      </c>
      <c r="E1671" s="3" t="str">
        <f aca="false">Raw_Data!D1671</f>
        <v>tertiary</v>
      </c>
      <c r="F1671" s="3" t="str">
        <f aca="false">Raw_Data!E1671</f>
        <v>no</v>
      </c>
      <c r="G1671" s="3" t="n">
        <f aca="false">Raw_Data!F1671</f>
        <v>1048</v>
      </c>
      <c r="H1671" s="3" t="str">
        <f aca="false">Raw_Data!G1671</f>
        <v>yes</v>
      </c>
      <c r="I1671" s="3" t="str">
        <f aca="false">Raw_Data!H1671</f>
        <v>no</v>
      </c>
      <c r="J1671" s="2" t="n">
        <f aca="false">IF(F1671="yes",1,0)</f>
        <v>0</v>
      </c>
      <c r="K1671" s="2" t="n">
        <f aca="false">IF(H1671="yes",1,0)</f>
        <v>1</v>
      </c>
      <c r="L1671" s="2" t="n">
        <f aca="false">IF(I1671="yes",1,0)</f>
        <v>0</v>
      </c>
      <c r="M1671" s="2" t="n">
        <f aca="false">IF(G1671&lt;0,1,0)</f>
        <v>0</v>
      </c>
      <c r="N1671" s="2" t="str">
        <f aca="false">_xlfn.IFS(B1671&lt;30,"Under 30",B1671&lt;40,"30-39",B1671&lt;50,"40-49",B1671&lt;60,"50-59",TRUE(),"60+")</f>
        <v>60+</v>
      </c>
      <c r="O1671" s="2" t="str">
        <f aca="false">_xlfn.IFS(G1671&lt;0,"1 Negative",G1671=0,"2 Zero",G1671&lt;=500,"3 1-500",G1671&lt;=2000,"4 501-2000",TRUE(),"5 Above 2000")</f>
        <v>4 501-2000</v>
      </c>
      <c r="P1671" s="2" t="n">
        <f aca="false">Lookups!$B$2*M1671+Lookups!$B$3*L1671</f>
        <v>0</v>
      </c>
      <c r="Q1671" s="2" t="str">
        <f aca="false">INDEX(Lookups!$E$2:$E$5,MATCH(P1671,Lookups!$D$2:$D$5,0))</f>
        <v>Low</v>
      </c>
    </row>
    <row r="1672" customFormat="false" ht="15" hidden="false" customHeight="false" outlineLevel="0" collapsed="false">
      <c r="A1672" s="3" t="n">
        <v>1671</v>
      </c>
      <c r="B1672" s="3" t="n">
        <f aca="false">Raw_Data!A1672</f>
        <v>31</v>
      </c>
      <c r="C1672" s="3" t="str">
        <f aca="false">SUBSTITUTE(Raw_Data!B1672,".","")</f>
        <v>services</v>
      </c>
      <c r="D1672" s="3" t="str">
        <f aca="false">Raw_Data!C1672</f>
        <v>single</v>
      </c>
      <c r="E1672" s="3" t="str">
        <f aca="false">Raw_Data!D1672</f>
        <v>secondary</v>
      </c>
      <c r="F1672" s="3" t="str">
        <f aca="false">Raw_Data!E1672</f>
        <v>no</v>
      </c>
      <c r="G1672" s="3" t="n">
        <f aca="false">Raw_Data!F1672</f>
        <v>0</v>
      </c>
      <c r="H1672" s="3" t="str">
        <f aca="false">Raw_Data!G1672</f>
        <v>yes</v>
      </c>
      <c r="I1672" s="3" t="str">
        <f aca="false">Raw_Data!H1672</f>
        <v>no</v>
      </c>
      <c r="J1672" s="2" t="n">
        <f aca="false">IF(F1672="yes",1,0)</f>
        <v>0</v>
      </c>
      <c r="K1672" s="2" t="n">
        <f aca="false">IF(H1672="yes",1,0)</f>
        <v>1</v>
      </c>
      <c r="L1672" s="2" t="n">
        <f aca="false">IF(I1672="yes",1,0)</f>
        <v>0</v>
      </c>
      <c r="M1672" s="2" t="n">
        <f aca="false">IF(G1672&lt;0,1,0)</f>
        <v>0</v>
      </c>
      <c r="N1672" s="2" t="str">
        <f aca="false">_xlfn.IFS(B1672&lt;30,"Under 30",B1672&lt;40,"30-39",B1672&lt;50,"40-49",B1672&lt;60,"50-59",TRUE(),"60+")</f>
        <v>30-39</v>
      </c>
      <c r="O1672" s="2" t="str">
        <f aca="false">_xlfn.IFS(G1672&lt;0,"1 Negative",G1672=0,"2 Zero",G1672&lt;=500,"3 1-500",G1672&lt;=2000,"4 501-2000",TRUE(),"5 Above 2000")</f>
        <v>2 Zero</v>
      </c>
      <c r="P1672" s="2" t="n">
        <f aca="false">Lookups!$B$2*M1672+Lookups!$B$3*L1672</f>
        <v>0</v>
      </c>
      <c r="Q1672" s="2" t="str">
        <f aca="false">INDEX(Lookups!$E$2:$E$5,MATCH(P1672,Lookups!$D$2:$D$5,0))</f>
        <v>Low</v>
      </c>
    </row>
    <row r="1673" customFormat="false" ht="15" hidden="false" customHeight="false" outlineLevel="0" collapsed="false">
      <c r="A1673" s="3" t="n">
        <v>1672</v>
      </c>
      <c r="B1673" s="3" t="n">
        <f aca="false">Raw_Data!A1673</f>
        <v>35</v>
      </c>
      <c r="C1673" s="3" t="str">
        <f aca="false">SUBSTITUTE(Raw_Data!B1673,".","")</f>
        <v>blue-collar</v>
      </c>
      <c r="D1673" s="3" t="str">
        <f aca="false">Raw_Data!C1673</f>
        <v>married</v>
      </c>
      <c r="E1673" s="3" t="str">
        <f aca="false">Raw_Data!D1673</f>
        <v>primary</v>
      </c>
      <c r="F1673" s="3" t="str">
        <f aca="false">Raw_Data!E1673</f>
        <v>no</v>
      </c>
      <c r="G1673" s="3" t="n">
        <f aca="false">Raw_Data!F1673</f>
        <v>624</v>
      </c>
      <c r="H1673" s="3" t="str">
        <f aca="false">Raw_Data!G1673</f>
        <v>yes</v>
      </c>
      <c r="I1673" s="3" t="str">
        <f aca="false">Raw_Data!H1673</f>
        <v>no</v>
      </c>
      <c r="J1673" s="2" t="n">
        <f aca="false">IF(F1673="yes",1,0)</f>
        <v>0</v>
      </c>
      <c r="K1673" s="2" t="n">
        <f aca="false">IF(H1673="yes",1,0)</f>
        <v>1</v>
      </c>
      <c r="L1673" s="2" t="n">
        <f aca="false">IF(I1673="yes",1,0)</f>
        <v>0</v>
      </c>
      <c r="M1673" s="2" t="n">
        <f aca="false">IF(G1673&lt;0,1,0)</f>
        <v>0</v>
      </c>
      <c r="N1673" s="2" t="str">
        <f aca="false">_xlfn.IFS(B1673&lt;30,"Under 30",B1673&lt;40,"30-39",B1673&lt;50,"40-49",B1673&lt;60,"50-59",TRUE(),"60+")</f>
        <v>30-39</v>
      </c>
      <c r="O1673" s="2" t="str">
        <f aca="false">_xlfn.IFS(G1673&lt;0,"1 Negative",G1673=0,"2 Zero",G1673&lt;=500,"3 1-500",G1673&lt;=2000,"4 501-2000",TRUE(),"5 Above 2000")</f>
        <v>4 501-2000</v>
      </c>
      <c r="P1673" s="2" t="n">
        <f aca="false">Lookups!$B$2*M1673+Lookups!$B$3*L1673</f>
        <v>0</v>
      </c>
      <c r="Q1673" s="2" t="str">
        <f aca="false">INDEX(Lookups!$E$2:$E$5,MATCH(P1673,Lookups!$D$2:$D$5,0))</f>
        <v>Low</v>
      </c>
    </row>
    <row r="1674" customFormat="false" ht="15" hidden="false" customHeight="false" outlineLevel="0" collapsed="false">
      <c r="A1674" s="3" t="n">
        <v>1673</v>
      </c>
      <c r="B1674" s="3" t="n">
        <f aca="false">Raw_Data!A1674</f>
        <v>47</v>
      </c>
      <c r="C1674" s="3" t="str">
        <f aca="false">SUBSTITUTE(Raw_Data!B1674,".","")</f>
        <v>services</v>
      </c>
      <c r="D1674" s="3" t="str">
        <f aca="false">Raw_Data!C1674</f>
        <v>single</v>
      </c>
      <c r="E1674" s="3" t="str">
        <f aca="false">Raw_Data!D1674</f>
        <v>unknown</v>
      </c>
      <c r="F1674" s="3" t="str">
        <f aca="false">Raw_Data!E1674</f>
        <v>no</v>
      </c>
      <c r="G1674" s="3" t="n">
        <f aca="false">Raw_Data!F1674</f>
        <v>1784</v>
      </c>
      <c r="H1674" s="3" t="str">
        <f aca="false">Raw_Data!G1674</f>
        <v>no</v>
      </c>
      <c r="I1674" s="3" t="str">
        <f aca="false">Raw_Data!H1674</f>
        <v>no</v>
      </c>
      <c r="J1674" s="2" t="n">
        <f aca="false">IF(F1674="yes",1,0)</f>
        <v>0</v>
      </c>
      <c r="K1674" s="2" t="n">
        <f aca="false">IF(H1674="yes",1,0)</f>
        <v>0</v>
      </c>
      <c r="L1674" s="2" t="n">
        <f aca="false">IF(I1674="yes",1,0)</f>
        <v>0</v>
      </c>
      <c r="M1674" s="2" t="n">
        <f aca="false">IF(G1674&lt;0,1,0)</f>
        <v>0</v>
      </c>
      <c r="N1674" s="2" t="str">
        <f aca="false">_xlfn.IFS(B1674&lt;30,"Under 30",B1674&lt;40,"30-39",B1674&lt;50,"40-49",B1674&lt;60,"50-59",TRUE(),"60+")</f>
        <v>40-49</v>
      </c>
      <c r="O1674" s="2" t="str">
        <f aca="false">_xlfn.IFS(G1674&lt;0,"1 Negative",G1674=0,"2 Zero",G1674&lt;=500,"3 1-500",G1674&lt;=2000,"4 501-2000",TRUE(),"5 Above 2000")</f>
        <v>4 501-2000</v>
      </c>
      <c r="P1674" s="2" t="n">
        <f aca="false">Lookups!$B$2*M1674+Lookups!$B$3*L1674</f>
        <v>0</v>
      </c>
      <c r="Q1674" s="2" t="str">
        <f aca="false">INDEX(Lookups!$E$2:$E$5,MATCH(P1674,Lookups!$D$2:$D$5,0))</f>
        <v>Low</v>
      </c>
    </row>
    <row r="1675" customFormat="false" ht="15" hidden="false" customHeight="false" outlineLevel="0" collapsed="false">
      <c r="A1675" s="3" t="n">
        <v>1674</v>
      </c>
      <c r="B1675" s="3" t="n">
        <f aca="false">Raw_Data!A1675</f>
        <v>36</v>
      </c>
      <c r="C1675" s="3" t="str">
        <f aca="false">SUBSTITUTE(Raw_Data!B1675,".","")</f>
        <v>admin</v>
      </c>
      <c r="D1675" s="3" t="str">
        <f aca="false">Raw_Data!C1675</f>
        <v>single</v>
      </c>
      <c r="E1675" s="3" t="str">
        <f aca="false">Raw_Data!D1675</f>
        <v>secondary</v>
      </c>
      <c r="F1675" s="3" t="str">
        <f aca="false">Raw_Data!E1675</f>
        <v>no</v>
      </c>
      <c r="G1675" s="3" t="n">
        <f aca="false">Raw_Data!F1675</f>
        <v>1281</v>
      </c>
      <c r="H1675" s="3" t="str">
        <f aca="false">Raw_Data!G1675</f>
        <v>no</v>
      </c>
      <c r="I1675" s="3" t="str">
        <f aca="false">Raw_Data!H1675</f>
        <v>no</v>
      </c>
      <c r="J1675" s="2" t="n">
        <f aca="false">IF(F1675="yes",1,0)</f>
        <v>0</v>
      </c>
      <c r="K1675" s="2" t="n">
        <f aca="false">IF(H1675="yes",1,0)</f>
        <v>0</v>
      </c>
      <c r="L1675" s="2" t="n">
        <f aca="false">IF(I1675="yes",1,0)</f>
        <v>0</v>
      </c>
      <c r="M1675" s="2" t="n">
        <f aca="false">IF(G1675&lt;0,1,0)</f>
        <v>0</v>
      </c>
      <c r="N1675" s="2" t="str">
        <f aca="false">_xlfn.IFS(B1675&lt;30,"Under 30",B1675&lt;40,"30-39",B1675&lt;50,"40-49",B1675&lt;60,"50-59",TRUE(),"60+")</f>
        <v>30-39</v>
      </c>
      <c r="O1675" s="2" t="str">
        <f aca="false">_xlfn.IFS(G1675&lt;0,"1 Negative",G1675=0,"2 Zero",G1675&lt;=500,"3 1-500",G1675&lt;=2000,"4 501-2000",TRUE(),"5 Above 2000")</f>
        <v>4 501-2000</v>
      </c>
      <c r="P1675" s="2" t="n">
        <f aca="false">Lookups!$B$2*M1675+Lookups!$B$3*L1675</f>
        <v>0</v>
      </c>
      <c r="Q1675" s="2" t="str">
        <f aca="false">INDEX(Lookups!$E$2:$E$5,MATCH(P1675,Lookups!$D$2:$D$5,0))</f>
        <v>Low</v>
      </c>
    </row>
    <row r="1676" customFormat="false" ht="15" hidden="false" customHeight="false" outlineLevel="0" collapsed="false">
      <c r="A1676" s="3" t="n">
        <v>1675</v>
      </c>
      <c r="B1676" s="3" t="n">
        <f aca="false">Raw_Data!A1676</f>
        <v>32</v>
      </c>
      <c r="C1676" s="3" t="str">
        <f aca="false">SUBSTITUTE(Raw_Data!B1676,".","")</f>
        <v>technician</v>
      </c>
      <c r="D1676" s="3" t="str">
        <f aca="false">Raw_Data!C1676</f>
        <v>single</v>
      </c>
      <c r="E1676" s="3" t="str">
        <f aca="false">Raw_Data!D1676</f>
        <v>tertiary</v>
      </c>
      <c r="F1676" s="3" t="str">
        <f aca="false">Raw_Data!E1676</f>
        <v>no</v>
      </c>
      <c r="G1676" s="3" t="n">
        <f aca="false">Raw_Data!F1676</f>
        <v>569</v>
      </c>
      <c r="H1676" s="3" t="str">
        <f aca="false">Raw_Data!G1676</f>
        <v>no</v>
      </c>
      <c r="I1676" s="3" t="str">
        <f aca="false">Raw_Data!H1676</f>
        <v>yes</v>
      </c>
      <c r="J1676" s="2" t="n">
        <f aca="false">IF(F1676="yes",1,0)</f>
        <v>0</v>
      </c>
      <c r="K1676" s="2" t="n">
        <f aca="false">IF(H1676="yes",1,0)</f>
        <v>0</v>
      </c>
      <c r="L1676" s="2" t="n">
        <f aca="false">IF(I1676="yes",1,0)</f>
        <v>1</v>
      </c>
      <c r="M1676" s="2" t="n">
        <f aca="false">IF(G1676&lt;0,1,0)</f>
        <v>0</v>
      </c>
      <c r="N1676" s="2" t="str">
        <f aca="false">_xlfn.IFS(B1676&lt;30,"Under 30",B1676&lt;40,"30-39",B1676&lt;50,"40-49",B1676&lt;60,"50-59",TRUE(),"60+")</f>
        <v>30-39</v>
      </c>
      <c r="O1676" s="2" t="str">
        <f aca="false">_xlfn.IFS(G1676&lt;0,"1 Negative",G1676=0,"2 Zero",G1676&lt;=500,"3 1-500",G1676&lt;=2000,"4 501-2000",TRUE(),"5 Above 2000")</f>
        <v>4 501-2000</v>
      </c>
      <c r="P1676" s="2" t="n">
        <f aca="false">Lookups!$B$2*M1676+Lookups!$B$3*L1676</f>
        <v>1</v>
      </c>
      <c r="Q1676" s="2" t="str">
        <f aca="false">INDEX(Lookups!$E$2:$E$5,MATCH(P1676,Lookups!$D$2:$D$5,0))</f>
        <v>Medium</v>
      </c>
    </row>
    <row r="1677" customFormat="false" ht="15" hidden="false" customHeight="false" outlineLevel="0" collapsed="false">
      <c r="A1677" s="3" t="n">
        <v>1676</v>
      </c>
      <c r="B1677" s="3" t="n">
        <f aca="false">Raw_Data!A1677</f>
        <v>34</v>
      </c>
      <c r="C1677" s="3" t="str">
        <f aca="false">SUBSTITUTE(Raw_Data!B1677,".","")</f>
        <v>blue-collar</v>
      </c>
      <c r="D1677" s="3" t="str">
        <f aca="false">Raw_Data!C1677</f>
        <v>married</v>
      </c>
      <c r="E1677" s="3" t="str">
        <f aca="false">Raw_Data!D1677</f>
        <v>primary</v>
      </c>
      <c r="F1677" s="3" t="str">
        <f aca="false">Raw_Data!E1677</f>
        <v>no</v>
      </c>
      <c r="G1677" s="3" t="n">
        <f aca="false">Raw_Data!F1677</f>
        <v>1666</v>
      </c>
      <c r="H1677" s="3" t="str">
        <f aca="false">Raw_Data!G1677</f>
        <v>yes</v>
      </c>
      <c r="I1677" s="3" t="str">
        <f aca="false">Raw_Data!H1677</f>
        <v>no</v>
      </c>
      <c r="J1677" s="2" t="n">
        <f aca="false">IF(F1677="yes",1,0)</f>
        <v>0</v>
      </c>
      <c r="K1677" s="2" t="n">
        <f aca="false">IF(H1677="yes",1,0)</f>
        <v>1</v>
      </c>
      <c r="L1677" s="2" t="n">
        <f aca="false">IF(I1677="yes",1,0)</f>
        <v>0</v>
      </c>
      <c r="M1677" s="2" t="n">
        <f aca="false">IF(G1677&lt;0,1,0)</f>
        <v>0</v>
      </c>
      <c r="N1677" s="2" t="str">
        <f aca="false">_xlfn.IFS(B1677&lt;30,"Under 30",B1677&lt;40,"30-39",B1677&lt;50,"40-49",B1677&lt;60,"50-59",TRUE(),"60+")</f>
        <v>30-39</v>
      </c>
      <c r="O1677" s="2" t="str">
        <f aca="false">_xlfn.IFS(G1677&lt;0,"1 Negative",G1677=0,"2 Zero",G1677&lt;=500,"3 1-500",G1677&lt;=2000,"4 501-2000",TRUE(),"5 Above 2000")</f>
        <v>4 501-2000</v>
      </c>
      <c r="P1677" s="2" t="n">
        <f aca="false">Lookups!$B$2*M1677+Lookups!$B$3*L1677</f>
        <v>0</v>
      </c>
      <c r="Q1677" s="2" t="str">
        <f aca="false">INDEX(Lookups!$E$2:$E$5,MATCH(P1677,Lookups!$D$2:$D$5,0))</f>
        <v>Low</v>
      </c>
    </row>
    <row r="1678" customFormat="false" ht="15" hidden="false" customHeight="false" outlineLevel="0" collapsed="false">
      <c r="A1678" s="3" t="n">
        <v>1677</v>
      </c>
      <c r="B1678" s="3" t="n">
        <f aca="false">Raw_Data!A1678</f>
        <v>40</v>
      </c>
      <c r="C1678" s="3" t="str">
        <f aca="false">SUBSTITUTE(Raw_Data!B1678,".","")</f>
        <v>admin</v>
      </c>
      <c r="D1678" s="3" t="str">
        <f aca="false">Raw_Data!C1678</f>
        <v>married</v>
      </c>
      <c r="E1678" s="3" t="str">
        <f aca="false">Raw_Data!D1678</f>
        <v>secondary</v>
      </c>
      <c r="F1678" s="3" t="str">
        <f aca="false">Raw_Data!E1678</f>
        <v>no</v>
      </c>
      <c r="G1678" s="3" t="n">
        <f aca="false">Raw_Data!F1678</f>
        <v>168</v>
      </c>
      <c r="H1678" s="3" t="str">
        <f aca="false">Raw_Data!G1678</f>
        <v>yes</v>
      </c>
      <c r="I1678" s="3" t="str">
        <f aca="false">Raw_Data!H1678</f>
        <v>no</v>
      </c>
      <c r="J1678" s="2" t="n">
        <f aca="false">IF(F1678="yes",1,0)</f>
        <v>0</v>
      </c>
      <c r="K1678" s="2" t="n">
        <f aca="false">IF(H1678="yes",1,0)</f>
        <v>1</v>
      </c>
      <c r="L1678" s="2" t="n">
        <f aca="false">IF(I1678="yes",1,0)</f>
        <v>0</v>
      </c>
      <c r="M1678" s="2" t="n">
        <f aca="false">IF(G1678&lt;0,1,0)</f>
        <v>0</v>
      </c>
      <c r="N1678" s="2" t="str">
        <f aca="false">_xlfn.IFS(B1678&lt;30,"Under 30",B1678&lt;40,"30-39",B1678&lt;50,"40-49",B1678&lt;60,"50-59",TRUE(),"60+")</f>
        <v>40-49</v>
      </c>
      <c r="O1678" s="2" t="str">
        <f aca="false">_xlfn.IFS(G1678&lt;0,"1 Negative",G1678=0,"2 Zero",G1678&lt;=500,"3 1-500",G1678&lt;=2000,"4 501-2000",TRUE(),"5 Above 2000")</f>
        <v>3 1-500</v>
      </c>
      <c r="P1678" s="2" t="n">
        <f aca="false">Lookups!$B$2*M1678+Lookups!$B$3*L1678</f>
        <v>0</v>
      </c>
      <c r="Q1678" s="2" t="str">
        <f aca="false">INDEX(Lookups!$E$2:$E$5,MATCH(P1678,Lookups!$D$2:$D$5,0))</f>
        <v>Low</v>
      </c>
    </row>
    <row r="1679" customFormat="false" ht="15" hidden="false" customHeight="false" outlineLevel="0" collapsed="false">
      <c r="A1679" s="3" t="n">
        <v>1678</v>
      </c>
      <c r="B1679" s="3" t="n">
        <f aca="false">Raw_Data!A1679</f>
        <v>33</v>
      </c>
      <c r="C1679" s="3" t="str">
        <f aca="false">SUBSTITUTE(Raw_Data!B1679,".","")</f>
        <v>self-employed</v>
      </c>
      <c r="D1679" s="3" t="str">
        <f aca="false">Raw_Data!C1679</f>
        <v>married</v>
      </c>
      <c r="E1679" s="3" t="str">
        <f aca="false">Raw_Data!D1679</f>
        <v>tertiary</v>
      </c>
      <c r="F1679" s="3" t="str">
        <f aca="false">Raw_Data!E1679</f>
        <v>no</v>
      </c>
      <c r="G1679" s="3" t="n">
        <f aca="false">Raw_Data!F1679</f>
        <v>263</v>
      </c>
      <c r="H1679" s="3" t="str">
        <f aca="false">Raw_Data!G1679</f>
        <v>no</v>
      </c>
      <c r="I1679" s="3" t="str">
        <f aca="false">Raw_Data!H1679</f>
        <v>no</v>
      </c>
      <c r="J1679" s="2" t="n">
        <f aca="false">IF(F1679="yes",1,0)</f>
        <v>0</v>
      </c>
      <c r="K1679" s="2" t="n">
        <f aca="false">IF(H1679="yes",1,0)</f>
        <v>0</v>
      </c>
      <c r="L1679" s="2" t="n">
        <f aca="false">IF(I1679="yes",1,0)</f>
        <v>0</v>
      </c>
      <c r="M1679" s="2" t="n">
        <f aca="false">IF(G1679&lt;0,1,0)</f>
        <v>0</v>
      </c>
      <c r="N1679" s="2" t="str">
        <f aca="false">_xlfn.IFS(B1679&lt;30,"Under 30",B1679&lt;40,"30-39",B1679&lt;50,"40-49",B1679&lt;60,"50-59",TRUE(),"60+")</f>
        <v>30-39</v>
      </c>
      <c r="O1679" s="2" t="str">
        <f aca="false">_xlfn.IFS(G1679&lt;0,"1 Negative",G1679=0,"2 Zero",G1679&lt;=500,"3 1-500",G1679&lt;=2000,"4 501-2000",TRUE(),"5 Above 2000")</f>
        <v>3 1-500</v>
      </c>
      <c r="P1679" s="2" t="n">
        <f aca="false">Lookups!$B$2*M1679+Lookups!$B$3*L1679</f>
        <v>0</v>
      </c>
      <c r="Q1679" s="2" t="str">
        <f aca="false">INDEX(Lookups!$E$2:$E$5,MATCH(P1679,Lookups!$D$2:$D$5,0))</f>
        <v>Low</v>
      </c>
    </row>
    <row r="1680" customFormat="false" ht="15" hidden="false" customHeight="false" outlineLevel="0" collapsed="false">
      <c r="A1680" s="3" t="n">
        <v>1679</v>
      </c>
      <c r="B1680" s="3" t="n">
        <f aca="false">Raw_Data!A1680</f>
        <v>39</v>
      </c>
      <c r="C1680" s="3" t="str">
        <f aca="false">SUBSTITUTE(Raw_Data!B1680,".","")</f>
        <v>blue-collar</v>
      </c>
      <c r="D1680" s="3" t="str">
        <f aca="false">Raw_Data!C1680</f>
        <v>married</v>
      </c>
      <c r="E1680" s="3" t="str">
        <f aca="false">Raw_Data!D1680</f>
        <v>secondary</v>
      </c>
      <c r="F1680" s="3" t="str">
        <f aca="false">Raw_Data!E1680</f>
        <v>no</v>
      </c>
      <c r="G1680" s="3" t="n">
        <f aca="false">Raw_Data!F1680</f>
        <v>-405</v>
      </c>
      <c r="H1680" s="3" t="str">
        <f aca="false">Raw_Data!G1680</f>
        <v>yes</v>
      </c>
      <c r="I1680" s="3" t="str">
        <f aca="false">Raw_Data!H1680</f>
        <v>no</v>
      </c>
      <c r="J1680" s="2" t="n">
        <f aca="false">IF(F1680="yes",1,0)</f>
        <v>0</v>
      </c>
      <c r="K1680" s="2" t="n">
        <f aca="false">IF(H1680="yes",1,0)</f>
        <v>1</v>
      </c>
      <c r="L1680" s="2" t="n">
        <f aca="false">IF(I1680="yes",1,0)</f>
        <v>0</v>
      </c>
      <c r="M1680" s="2" t="n">
        <f aca="false">IF(G1680&lt;0,1,0)</f>
        <v>1</v>
      </c>
      <c r="N1680" s="2" t="str">
        <f aca="false">_xlfn.IFS(B1680&lt;30,"Under 30",B1680&lt;40,"30-39",B1680&lt;50,"40-49",B1680&lt;60,"50-59",TRUE(),"60+")</f>
        <v>30-39</v>
      </c>
      <c r="O1680" s="2" t="str">
        <f aca="false">_xlfn.IFS(G1680&lt;0,"1 Negative",G1680=0,"2 Zero",G1680&lt;=500,"3 1-500",G1680&lt;=2000,"4 501-2000",TRUE(),"5 Above 2000")</f>
        <v>1 Negative</v>
      </c>
      <c r="P1680" s="2" t="n">
        <f aca="false">Lookups!$B$2*M1680+Lookups!$B$3*L1680</f>
        <v>2</v>
      </c>
      <c r="Q1680" s="2" t="str">
        <f aca="false">INDEX(Lookups!$E$2:$E$5,MATCH(P1680,Lookups!$D$2:$D$5,0))</f>
        <v>High</v>
      </c>
    </row>
    <row r="1681" customFormat="false" ht="15" hidden="false" customHeight="false" outlineLevel="0" collapsed="false">
      <c r="A1681" s="3" t="n">
        <v>1680</v>
      </c>
      <c r="B1681" s="3" t="n">
        <f aca="false">Raw_Data!A1681</f>
        <v>38</v>
      </c>
      <c r="C1681" s="3" t="str">
        <f aca="false">SUBSTITUTE(Raw_Data!B1681,".","")</f>
        <v>self-employed</v>
      </c>
      <c r="D1681" s="3" t="str">
        <f aca="false">Raw_Data!C1681</f>
        <v>married</v>
      </c>
      <c r="E1681" s="3" t="str">
        <f aca="false">Raw_Data!D1681</f>
        <v>secondary</v>
      </c>
      <c r="F1681" s="3" t="str">
        <f aca="false">Raw_Data!E1681</f>
        <v>no</v>
      </c>
      <c r="G1681" s="3" t="n">
        <f aca="false">Raw_Data!F1681</f>
        <v>279</v>
      </c>
      <c r="H1681" s="3" t="str">
        <f aca="false">Raw_Data!G1681</f>
        <v>yes</v>
      </c>
      <c r="I1681" s="3" t="str">
        <f aca="false">Raw_Data!H1681</f>
        <v>no</v>
      </c>
      <c r="J1681" s="2" t="n">
        <f aca="false">IF(F1681="yes",1,0)</f>
        <v>0</v>
      </c>
      <c r="K1681" s="2" t="n">
        <f aca="false">IF(H1681="yes",1,0)</f>
        <v>1</v>
      </c>
      <c r="L1681" s="2" t="n">
        <f aca="false">IF(I1681="yes",1,0)</f>
        <v>0</v>
      </c>
      <c r="M1681" s="2" t="n">
        <f aca="false">IF(G1681&lt;0,1,0)</f>
        <v>0</v>
      </c>
      <c r="N1681" s="2" t="str">
        <f aca="false">_xlfn.IFS(B1681&lt;30,"Under 30",B1681&lt;40,"30-39",B1681&lt;50,"40-49",B1681&lt;60,"50-59",TRUE(),"60+")</f>
        <v>30-39</v>
      </c>
      <c r="O1681" s="2" t="str">
        <f aca="false">_xlfn.IFS(G1681&lt;0,"1 Negative",G1681=0,"2 Zero",G1681&lt;=500,"3 1-500",G1681&lt;=2000,"4 501-2000",TRUE(),"5 Above 2000")</f>
        <v>3 1-500</v>
      </c>
      <c r="P1681" s="2" t="n">
        <f aca="false">Lookups!$B$2*M1681+Lookups!$B$3*L1681</f>
        <v>0</v>
      </c>
      <c r="Q1681" s="2" t="str">
        <f aca="false">INDEX(Lookups!$E$2:$E$5,MATCH(P1681,Lookups!$D$2:$D$5,0))</f>
        <v>Low</v>
      </c>
    </row>
    <row r="1682" customFormat="false" ht="15" hidden="false" customHeight="false" outlineLevel="0" collapsed="false">
      <c r="A1682" s="3" t="n">
        <v>1681</v>
      </c>
      <c r="B1682" s="3" t="n">
        <f aca="false">Raw_Data!A1682</f>
        <v>32</v>
      </c>
      <c r="C1682" s="3" t="str">
        <f aca="false">SUBSTITUTE(Raw_Data!B1682,".","")</f>
        <v>technician</v>
      </c>
      <c r="D1682" s="3" t="str">
        <f aca="false">Raw_Data!C1682</f>
        <v>single</v>
      </c>
      <c r="E1682" s="3" t="str">
        <f aca="false">Raw_Data!D1682</f>
        <v>secondary</v>
      </c>
      <c r="F1682" s="3" t="str">
        <f aca="false">Raw_Data!E1682</f>
        <v>no</v>
      </c>
      <c r="G1682" s="3" t="n">
        <f aca="false">Raw_Data!F1682</f>
        <v>0</v>
      </c>
      <c r="H1682" s="3" t="str">
        <f aca="false">Raw_Data!G1682</f>
        <v>no</v>
      </c>
      <c r="I1682" s="3" t="str">
        <f aca="false">Raw_Data!H1682</f>
        <v>no</v>
      </c>
      <c r="J1682" s="2" t="n">
        <f aca="false">IF(F1682="yes",1,0)</f>
        <v>0</v>
      </c>
      <c r="K1682" s="2" t="n">
        <f aca="false">IF(H1682="yes",1,0)</f>
        <v>0</v>
      </c>
      <c r="L1682" s="2" t="n">
        <f aca="false">IF(I1682="yes",1,0)</f>
        <v>0</v>
      </c>
      <c r="M1682" s="2" t="n">
        <f aca="false">IF(G1682&lt;0,1,0)</f>
        <v>0</v>
      </c>
      <c r="N1682" s="2" t="str">
        <f aca="false">_xlfn.IFS(B1682&lt;30,"Under 30",B1682&lt;40,"30-39",B1682&lt;50,"40-49",B1682&lt;60,"50-59",TRUE(),"60+")</f>
        <v>30-39</v>
      </c>
      <c r="O1682" s="2" t="str">
        <f aca="false">_xlfn.IFS(G1682&lt;0,"1 Negative",G1682=0,"2 Zero",G1682&lt;=500,"3 1-500",G1682&lt;=2000,"4 501-2000",TRUE(),"5 Above 2000")</f>
        <v>2 Zero</v>
      </c>
      <c r="P1682" s="2" t="n">
        <f aca="false">Lookups!$B$2*M1682+Lookups!$B$3*L1682</f>
        <v>0</v>
      </c>
      <c r="Q1682" s="2" t="str">
        <f aca="false">INDEX(Lookups!$E$2:$E$5,MATCH(P1682,Lookups!$D$2:$D$5,0))</f>
        <v>Low</v>
      </c>
    </row>
    <row r="1683" customFormat="false" ht="15" hidden="false" customHeight="false" outlineLevel="0" collapsed="false">
      <c r="A1683" s="3" t="n">
        <v>1682</v>
      </c>
      <c r="B1683" s="3" t="n">
        <f aca="false">Raw_Data!A1683</f>
        <v>65</v>
      </c>
      <c r="C1683" s="3" t="str">
        <f aca="false">SUBSTITUTE(Raw_Data!B1683,".","")</f>
        <v>unknown</v>
      </c>
      <c r="D1683" s="3" t="str">
        <f aca="false">Raw_Data!C1683</f>
        <v>married</v>
      </c>
      <c r="E1683" s="3" t="str">
        <f aca="false">Raw_Data!D1683</f>
        <v>unknown</v>
      </c>
      <c r="F1683" s="3" t="str">
        <f aca="false">Raw_Data!E1683</f>
        <v>no</v>
      </c>
      <c r="G1683" s="3" t="n">
        <f aca="false">Raw_Data!F1683</f>
        <v>300</v>
      </c>
      <c r="H1683" s="3" t="str">
        <f aca="false">Raw_Data!G1683</f>
        <v>no</v>
      </c>
      <c r="I1683" s="3" t="str">
        <f aca="false">Raw_Data!H1683</f>
        <v>no</v>
      </c>
      <c r="J1683" s="2" t="n">
        <f aca="false">IF(F1683="yes",1,0)</f>
        <v>0</v>
      </c>
      <c r="K1683" s="2" t="n">
        <f aca="false">IF(H1683="yes",1,0)</f>
        <v>0</v>
      </c>
      <c r="L1683" s="2" t="n">
        <f aca="false">IF(I1683="yes",1,0)</f>
        <v>0</v>
      </c>
      <c r="M1683" s="2" t="n">
        <f aca="false">IF(G1683&lt;0,1,0)</f>
        <v>0</v>
      </c>
      <c r="N1683" s="2" t="str">
        <f aca="false">_xlfn.IFS(B1683&lt;30,"Under 30",B1683&lt;40,"30-39",B1683&lt;50,"40-49",B1683&lt;60,"50-59",TRUE(),"60+")</f>
        <v>60+</v>
      </c>
      <c r="O1683" s="2" t="str">
        <f aca="false">_xlfn.IFS(G1683&lt;0,"1 Negative",G1683=0,"2 Zero",G1683&lt;=500,"3 1-500",G1683&lt;=2000,"4 501-2000",TRUE(),"5 Above 2000")</f>
        <v>3 1-500</v>
      </c>
      <c r="P1683" s="2" t="n">
        <f aca="false">Lookups!$B$2*M1683+Lookups!$B$3*L1683</f>
        <v>0</v>
      </c>
      <c r="Q1683" s="2" t="str">
        <f aca="false">INDEX(Lookups!$E$2:$E$5,MATCH(P1683,Lookups!$D$2:$D$5,0))</f>
        <v>Low</v>
      </c>
    </row>
    <row r="1684" customFormat="false" ht="15" hidden="false" customHeight="false" outlineLevel="0" collapsed="false">
      <c r="A1684" s="3" t="n">
        <v>1683</v>
      </c>
      <c r="B1684" s="3" t="n">
        <f aca="false">Raw_Data!A1684</f>
        <v>34</v>
      </c>
      <c r="C1684" s="3" t="str">
        <f aca="false">SUBSTITUTE(Raw_Data!B1684,".","")</f>
        <v>unemployed</v>
      </c>
      <c r="D1684" s="3" t="str">
        <f aca="false">Raw_Data!C1684</f>
        <v>single</v>
      </c>
      <c r="E1684" s="3" t="str">
        <f aca="false">Raw_Data!D1684</f>
        <v>tertiary</v>
      </c>
      <c r="F1684" s="3" t="str">
        <f aca="false">Raw_Data!E1684</f>
        <v>no</v>
      </c>
      <c r="G1684" s="3" t="n">
        <f aca="false">Raw_Data!F1684</f>
        <v>415</v>
      </c>
      <c r="H1684" s="3" t="str">
        <f aca="false">Raw_Data!G1684</f>
        <v>no</v>
      </c>
      <c r="I1684" s="3" t="str">
        <f aca="false">Raw_Data!H1684</f>
        <v>no</v>
      </c>
      <c r="J1684" s="2" t="n">
        <f aca="false">IF(F1684="yes",1,0)</f>
        <v>0</v>
      </c>
      <c r="K1684" s="2" t="n">
        <f aca="false">IF(H1684="yes",1,0)</f>
        <v>0</v>
      </c>
      <c r="L1684" s="2" t="n">
        <f aca="false">IF(I1684="yes",1,0)</f>
        <v>0</v>
      </c>
      <c r="M1684" s="2" t="n">
        <f aca="false">IF(G1684&lt;0,1,0)</f>
        <v>0</v>
      </c>
      <c r="N1684" s="2" t="str">
        <f aca="false">_xlfn.IFS(B1684&lt;30,"Under 30",B1684&lt;40,"30-39",B1684&lt;50,"40-49",B1684&lt;60,"50-59",TRUE(),"60+")</f>
        <v>30-39</v>
      </c>
      <c r="O1684" s="2" t="str">
        <f aca="false">_xlfn.IFS(G1684&lt;0,"1 Negative",G1684=0,"2 Zero",G1684&lt;=500,"3 1-500",G1684&lt;=2000,"4 501-2000",TRUE(),"5 Above 2000")</f>
        <v>3 1-500</v>
      </c>
      <c r="P1684" s="2" t="n">
        <f aca="false">Lookups!$B$2*M1684+Lookups!$B$3*L1684</f>
        <v>0</v>
      </c>
      <c r="Q1684" s="2" t="str">
        <f aca="false">INDEX(Lookups!$E$2:$E$5,MATCH(P1684,Lookups!$D$2:$D$5,0))</f>
        <v>Low</v>
      </c>
    </row>
    <row r="1685" customFormat="false" ht="15" hidden="false" customHeight="false" outlineLevel="0" collapsed="false">
      <c r="A1685" s="3" t="n">
        <v>1684</v>
      </c>
      <c r="B1685" s="3" t="n">
        <f aca="false">Raw_Data!A1685</f>
        <v>34</v>
      </c>
      <c r="C1685" s="3" t="str">
        <f aca="false">SUBSTITUTE(Raw_Data!B1685,".","")</f>
        <v>admin</v>
      </c>
      <c r="D1685" s="3" t="str">
        <f aca="false">Raw_Data!C1685</f>
        <v>single</v>
      </c>
      <c r="E1685" s="3" t="str">
        <f aca="false">Raw_Data!D1685</f>
        <v>primary</v>
      </c>
      <c r="F1685" s="3" t="str">
        <f aca="false">Raw_Data!E1685</f>
        <v>no</v>
      </c>
      <c r="G1685" s="3" t="n">
        <f aca="false">Raw_Data!F1685</f>
        <v>0</v>
      </c>
      <c r="H1685" s="3" t="str">
        <f aca="false">Raw_Data!G1685</f>
        <v>yes</v>
      </c>
      <c r="I1685" s="3" t="str">
        <f aca="false">Raw_Data!H1685</f>
        <v>yes</v>
      </c>
      <c r="J1685" s="2" t="n">
        <f aca="false">IF(F1685="yes",1,0)</f>
        <v>0</v>
      </c>
      <c r="K1685" s="2" t="n">
        <f aca="false">IF(H1685="yes",1,0)</f>
        <v>1</v>
      </c>
      <c r="L1685" s="2" t="n">
        <f aca="false">IF(I1685="yes",1,0)</f>
        <v>1</v>
      </c>
      <c r="M1685" s="2" t="n">
        <f aca="false">IF(G1685&lt;0,1,0)</f>
        <v>0</v>
      </c>
      <c r="N1685" s="2" t="str">
        <f aca="false">_xlfn.IFS(B1685&lt;30,"Under 30",B1685&lt;40,"30-39",B1685&lt;50,"40-49",B1685&lt;60,"50-59",TRUE(),"60+")</f>
        <v>30-39</v>
      </c>
      <c r="O1685" s="2" t="str">
        <f aca="false">_xlfn.IFS(G1685&lt;0,"1 Negative",G1685=0,"2 Zero",G1685&lt;=500,"3 1-500",G1685&lt;=2000,"4 501-2000",TRUE(),"5 Above 2000")</f>
        <v>2 Zero</v>
      </c>
      <c r="P1685" s="2" t="n">
        <f aca="false">Lookups!$B$2*M1685+Lookups!$B$3*L1685</f>
        <v>1</v>
      </c>
      <c r="Q1685" s="2" t="str">
        <f aca="false">INDEX(Lookups!$E$2:$E$5,MATCH(P1685,Lookups!$D$2:$D$5,0))</f>
        <v>Medium</v>
      </c>
    </row>
    <row r="1686" customFormat="false" ht="15" hidden="false" customHeight="false" outlineLevel="0" collapsed="false">
      <c r="A1686" s="3" t="n">
        <v>1685</v>
      </c>
      <c r="B1686" s="3" t="n">
        <f aca="false">Raw_Data!A1686</f>
        <v>42</v>
      </c>
      <c r="C1686" s="3" t="str">
        <f aca="false">SUBSTITUTE(Raw_Data!B1686,".","")</f>
        <v>blue-collar</v>
      </c>
      <c r="D1686" s="3" t="str">
        <f aca="false">Raw_Data!C1686</f>
        <v>single</v>
      </c>
      <c r="E1686" s="3" t="str">
        <f aca="false">Raw_Data!D1686</f>
        <v>primary</v>
      </c>
      <c r="F1686" s="3" t="str">
        <f aca="false">Raw_Data!E1686</f>
        <v>no</v>
      </c>
      <c r="G1686" s="3" t="n">
        <f aca="false">Raw_Data!F1686</f>
        <v>1322</v>
      </c>
      <c r="H1686" s="3" t="str">
        <f aca="false">Raw_Data!G1686</f>
        <v>yes</v>
      </c>
      <c r="I1686" s="3" t="str">
        <f aca="false">Raw_Data!H1686</f>
        <v>yes</v>
      </c>
      <c r="J1686" s="2" t="n">
        <f aca="false">IF(F1686="yes",1,0)</f>
        <v>0</v>
      </c>
      <c r="K1686" s="2" t="n">
        <f aca="false">IF(H1686="yes",1,0)</f>
        <v>1</v>
      </c>
      <c r="L1686" s="2" t="n">
        <f aca="false">IF(I1686="yes",1,0)</f>
        <v>1</v>
      </c>
      <c r="M1686" s="2" t="n">
        <f aca="false">IF(G1686&lt;0,1,0)</f>
        <v>0</v>
      </c>
      <c r="N1686" s="2" t="str">
        <f aca="false">_xlfn.IFS(B1686&lt;30,"Under 30",B1686&lt;40,"30-39",B1686&lt;50,"40-49",B1686&lt;60,"50-59",TRUE(),"60+")</f>
        <v>40-49</v>
      </c>
      <c r="O1686" s="2" t="str">
        <f aca="false">_xlfn.IFS(G1686&lt;0,"1 Negative",G1686=0,"2 Zero",G1686&lt;=500,"3 1-500",G1686&lt;=2000,"4 501-2000",TRUE(),"5 Above 2000")</f>
        <v>4 501-2000</v>
      </c>
      <c r="P1686" s="2" t="n">
        <f aca="false">Lookups!$B$2*M1686+Lookups!$B$3*L1686</f>
        <v>1</v>
      </c>
      <c r="Q1686" s="2" t="str">
        <f aca="false">INDEX(Lookups!$E$2:$E$5,MATCH(P1686,Lookups!$D$2:$D$5,0))</f>
        <v>Medium</v>
      </c>
    </row>
    <row r="1687" customFormat="false" ht="15" hidden="false" customHeight="false" outlineLevel="0" collapsed="false">
      <c r="A1687" s="3" t="n">
        <v>1686</v>
      </c>
      <c r="B1687" s="3" t="n">
        <f aca="false">Raw_Data!A1687</f>
        <v>31</v>
      </c>
      <c r="C1687" s="3" t="str">
        <f aca="false">SUBSTITUTE(Raw_Data!B1687,".","")</f>
        <v>services</v>
      </c>
      <c r="D1687" s="3" t="str">
        <f aca="false">Raw_Data!C1687</f>
        <v>married</v>
      </c>
      <c r="E1687" s="3" t="str">
        <f aca="false">Raw_Data!D1687</f>
        <v>secondary</v>
      </c>
      <c r="F1687" s="3" t="str">
        <f aca="false">Raw_Data!E1687</f>
        <v>no</v>
      </c>
      <c r="G1687" s="3" t="n">
        <f aca="false">Raw_Data!F1687</f>
        <v>1062</v>
      </c>
      <c r="H1687" s="3" t="str">
        <f aca="false">Raw_Data!G1687</f>
        <v>yes</v>
      </c>
      <c r="I1687" s="3" t="str">
        <f aca="false">Raw_Data!H1687</f>
        <v>yes</v>
      </c>
      <c r="J1687" s="2" t="n">
        <f aca="false">IF(F1687="yes",1,0)</f>
        <v>0</v>
      </c>
      <c r="K1687" s="2" t="n">
        <f aca="false">IF(H1687="yes",1,0)</f>
        <v>1</v>
      </c>
      <c r="L1687" s="2" t="n">
        <f aca="false">IF(I1687="yes",1,0)</f>
        <v>1</v>
      </c>
      <c r="M1687" s="2" t="n">
        <f aca="false">IF(G1687&lt;0,1,0)</f>
        <v>0</v>
      </c>
      <c r="N1687" s="2" t="str">
        <f aca="false">_xlfn.IFS(B1687&lt;30,"Under 30",B1687&lt;40,"30-39",B1687&lt;50,"40-49",B1687&lt;60,"50-59",TRUE(),"60+")</f>
        <v>30-39</v>
      </c>
      <c r="O1687" s="2" t="str">
        <f aca="false">_xlfn.IFS(G1687&lt;0,"1 Negative",G1687=0,"2 Zero",G1687&lt;=500,"3 1-500",G1687&lt;=2000,"4 501-2000",TRUE(),"5 Above 2000")</f>
        <v>4 501-2000</v>
      </c>
      <c r="P1687" s="2" t="n">
        <f aca="false">Lookups!$B$2*M1687+Lookups!$B$3*L1687</f>
        <v>1</v>
      </c>
      <c r="Q1687" s="2" t="str">
        <f aca="false">INDEX(Lookups!$E$2:$E$5,MATCH(P1687,Lookups!$D$2:$D$5,0))</f>
        <v>Medium</v>
      </c>
    </row>
    <row r="1688" customFormat="false" ht="15" hidden="false" customHeight="false" outlineLevel="0" collapsed="false">
      <c r="A1688" s="3" t="n">
        <v>1687</v>
      </c>
      <c r="B1688" s="3" t="n">
        <f aca="false">Raw_Data!A1688</f>
        <v>47</v>
      </c>
      <c r="C1688" s="3" t="str">
        <f aca="false">SUBSTITUTE(Raw_Data!B1688,".","")</f>
        <v>technician</v>
      </c>
      <c r="D1688" s="3" t="str">
        <f aca="false">Raw_Data!C1688</f>
        <v>married</v>
      </c>
      <c r="E1688" s="3" t="str">
        <f aca="false">Raw_Data!D1688</f>
        <v>secondary</v>
      </c>
      <c r="F1688" s="3" t="str">
        <f aca="false">Raw_Data!E1688</f>
        <v>no</v>
      </c>
      <c r="G1688" s="3" t="n">
        <f aca="false">Raw_Data!F1688</f>
        <v>302</v>
      </c>
      <c r="H1688" s="3" t="str">
        <f aca="false">Raw_Data!G1688</f>
        <v>yes</v>
      </c>
      <c r="I1688" s="3" t="str">
        <f aca="false">Raw_Data!H1688</f>
        <v>no</v>
      </c>
      <c r="J1688" s="2" t="n">
        <f aca="false">IF(F1688="yes",1,0)</f>
        <v>0</v>
      </c>
      <c r="K1688" s="2" t="n">
        <f aca="false">IF(H1688="yes",1,0)</f>
        <v>1</v>
      </c>
      <c r="L1688" s="2" t="n">
        <f aca="false">IF(I1688="yes",1,0)</f>
        <v>0</v>
      </c>
      <c r="M1688" s="2" t="n">
        <f aca="false">IF(G1688&lt;0,1,0)</f>
        <v>0</v>
      </c>
      <c r="N1688" s="2" t="str">
        <f aca="false">_xlfn.IFS(B1688&lt;30,"Under 30",B1688&lt;40,"30-39",B1688&lt;50,"40-49",B1688&lt;60,"50-59",TRUE(),"60+")</f>
        <v>40-49</v>
      </c>
      <c r="O1688" s="2" t="str">
        <f aca="false">_xlfn.IFS(G1688&lt;0,"1 Negative",G1688=0,"2 Zero",G1688&lt;=500,"3 1-500",G1688&lt;=2000,"4 501-2000",TRUE(),"5 Above 2000")</f>
        <v>3 1-500</v>
      </c>
      <c r="P1688" s="2" t="n">
        <f aca="false">Lookups!$B$2*M1688+Lookups!$B$3*L1688</f>
        <v>0</v>
      </c>
      <c r="Q1688" s="2" t="str">
        <f aca="false">INDEX(Lookups!$E$2:$E$5,MATCH(P1688,Lookups!$D$2:$D$5,0))</f>
        <v>Low</v>
      </c>
    </row>
    <row r="1689" customFormat="false" ht="15" hidden="false" customHeight="false" outlineLevel="0" collapsed="false">
      <c r="A1689" s="3" t="n">
        <v>1688</v>
      </c>
      <c r="B1689" s="3" t="n">
        <f aca="false">Raw_Data!A1689</f>
        <v>44</v>
      </c>
      <c r="C1689" s="3" t="str">
        <f aca="false">SUBSTITUTE(Raw_Data!B1689,".","")</f>
        <v>technician</v>
      </c>
      <c r="D1689" s="3" t="str">
        <f aca="false">Raw_Data!C1689</f>
        <v>divorced</v>
      </c>
      <c r="E1689" s="3" t="str">
        <f aca="false">Raw_Data!D1689</f>
        <v>secondary</v>
      </c>
      <c r="F1689" s="3" t="str">
        <f aca="false">Raw_Data!E1689</f>
        <v>no</v>
      </c>
      <c r="G1689" s="3" t="n">
        <f aca="false">Raw_Data!F1689</f>
        <v>809</v>
      </c>
      <c r="H1689" s="3" t="str">
        <f aca="false">Raw_Data!G1689</f>
        <v>yes</v>
      </c>
      <c r="I1689" s="3" t="str">
        <f aca="false">Raw_Data!H1689</f>
        <v>no</v>
      </c>
      <c r="J1689" s="2" t="n">
        <f aca="false">IF(F1689="yes",1,0)</f>
        <v>0</v>
      </c>
      <c r="K1689" s="2" t="n">
        <f aca="false">IF(H1689="yes",1,0)</f>
        <v>1</v>
      </c>
      <c r="L1689" s="2" t="n">
        <f aca="false">IF(I1689="yes",1,0)</f>
        <v>0</v>
      </c>
      <c r="M1689" s="2" t="n">
        <f aca="false">IF(G1689&lt;0,1,0)</f>
        <v>0</v>
      </c>
      <c r="N1689" s="2" t="str">
        <f aca="false">_xlfn.IFS(B1689&lt;30,"Under 30",B1689&lt;40,"30-39",B1689&lt;50,"40-49",B1689&lt;60,"50-59",TRUE(),"60+")</f>
        <v>40-49</v>
      </c>
      <c r="O1689" s="2" t="str">
        <f aca="false">_xlfn.IFS(G1689&lt;0,"1 Negative",G1689=0,"2 Zero",G1689&lt;=500,"3 1-500",G1689&lt;=2000,"4 501-2000",TRUE(),"5 Above 2000")</f>
        <v>4 501-2000</v>
      </c>
      <c r="P1689" s="2" t="n">
        <f aca="false">Lookups!$B$2*M1689+Lookups!$B$3*L1689</f>
        <v>0</v>
      </c>
      <c r="Q1689" s="2" t="str">
        <f aca="false">INDEX(Lookups!$E$2:$E$5,MATCH(P1689,Lookups!$D$2:$D$5,0))</f>
        <v>Low</v>
      </c>
    </row>
    <row r="1690" customFormat="false" ht="15" hidden="false" customHeight="false" outlineLevel="0" collapsed="false">
      <c r="A1690" s="3" t="n">
        <v>1689</v>
      </c>
      <c r="B1690" s="3" t="n">
        <f aca="false">Raw_Data!A1690</f>
        <v>38</v>
      </c>
      <c r="C1690" s="3" t="str">
        <f aca="false">SUBSTITUTE(Raw_Data!B1690,".","")</f>
        <v>housemaid</v>
      </c>
      <c r="D1690" s="3" t="str">
        <f aca="false">Raw_Data!C1690</f>
        <v>married</v>
      </c>
      <c r="E1690" s="3" t="str">
        <f aca="false">Raw_Data!D1690</f>
        <v>secondary</v>
      </c>
      <c r="F1690" s="3" t="str">
        <f aca="false">Raw_Data!E1690</f>
        <v>no</v>
      </c>
      <c r="G1690" s="3" t="n">
        <f aca="false">Raw_Data!F1690</f>
        <v>-278</v>
      </c>
      <c r="H1690" s="3" t="str">
        <f aca="false">Raw_Data!G1690</f>
        <v>yes</v>
      </c>
      <c r="I1690" s="3" t="str">
        <f aca="false">Raw_Data!H1690</f>
        <v>no</v>
      </c>
      <c r="J1690" s="2" t="n">
        <f aca="false">IF(F1690="yes",1,0)</f>
        <v>0</v>
      </c>
      <c r="K1690" s="2" t="n">
        <f aca="false">IF(H1690="yes",1,0)</f>
        <v>1</v>
      </c>
      <c r="L1690" s="2" t="n">
        <f aca="false">IF(I1690="yes",1,0)</f>
        <v>0</v>
      </c>
      <c r="M1690" s="2" t="n">
        <f aca="false">IF(G1690&lt;0,1,0)</f>
        <v>1</v>
      </c>
      <c r="N1690" s="2" t="str">
        <f aca="false">_xlfn.IFS(B1690&lt;30,"Under 30",B1690&lt;40,"30-39",B1690&lt;50,"40-49",B1690&lt;60,"50-59",TRUE(),"60+")</f>
        <v>30-39</v>
      </c>
      <c r="O1690" s="2" t="str">
        <f aca="false">_xlfn.IFS(G1690&lt;0,"1 Negative",G1690=0,"2 Zero",G1690&lt;=500,"3 1-500",G1690&lt;=2000,"4 501-2000",TRUE(),"5 Above 2000")</f>
        <v>1 Negative</v>
      </c>
      <c r="P1690" s="2" t="n">
        <f aca="false">Lookups!$B$2*M1690+Lookups!$B$3*L1690</f>
        <v>2</v>
      </c>
      <c r="Q1690" s="2" t="str">
        <f aca="false">INDEX(Lookups!$E$2:$E$5,MATCH(P1690,Lookups!$D$2:$D$5,0))</f>
        <v>High</v>
      </c>
    </row>
    <row r="1691" customFormat="false" ht="15" hidden="false" customHeight="false" outlineLevel="0" collapsed="false">
      <c r="A1691" s="3" t="n">
        <v>1690</v>
      </c>
      <c r="B1691" s="3" t="n">
        <f aca="false">Raw_Data!A1691</f>
        <v>28</v>
      </c>
      <c r="C1691" s="3" t="str">
        <f aca="false">SUBSTITUTE(Raw_Data!B1691,".","")</f>
        <v>management</v>
      </c>
      <c r="D1691" s="3" t="str">
        <f aca="false">Raw_Data!C1691</f>
        <v>single</v>
      </c>
      <c r="E1691" s="3" t="str">
        <f aca="false">Raw_Data!D1691</f>
        <v>tertiary</v>
      </c>
      <c r="F1691" s="3" t="str">
        <f aca="false">Raw_Data!E1691</f>
        <v>no</v>
      </c>
      <c r="G1691" s="3" t="n">
        <f aca="false">Raw_Data!F1691</f>
        <v>3238</v>
      </c>
      <c r="H1691" s="3" t="str">
        <f aca="false">Raw_Data!G1691</f>
        <v>yes</v>
      </c>
      <c r="I1691" s="3" t="str">
        <f aca="false">Raw_Data!H1691</f>
        <v>no</v>
      </c>
      <c r="J1691" s="2" t="n">
        <f aca="false">IF(F1691="yes",1,0)</f>
        <v>0</v>
      </c>
      <c r="K1691" s="2" t="n">
        <f aca="false">IF(H1691="yes",1,0)</f>
        <v>1</v>
      </c>
      <c r="L1691" s="2" t="n">
        <f aca="false">IF(I1691="yes",1,0)</f>
        <v>0</v>
      </c>
      <c r="M1691" s="2" t="n">
        <f aca="false">IF(G1691&lt;0,1,0)</f>
        <v>0</v>
      </c>
      <c r="N1691" s="2" t="str">
        <f aca="false">_xlfn.IFS(B1691&lt;30,"Under 30",B1691&lt;40,"30-39",B1691&lt;50,"40-49",B1691&lt;60,"50-59",TRUE(),"60+")</f>
        <v>Under 30</v>
      </c>
      <c r="O1691" s="2" t="str">
        <f aca="false">_xlfn.IFS(G1691&lt;0,"1 Negative",G1691=0,"2 Zero",G1691&lt;=500,"3 1-500",G1691&lt;=2000,"4 501-2000",TRUE(),"5 Above 2000")</f>
        <v>5 Above 2000</v>
      </c>
      <c r="P1691" s="2" t="n">
        <f aca="false">Lookups!$B$2*M1691+Lookups!$B$3*L1691</f>
        <v>0</v>
      </c>
      <c r="Q1691" s="2" t="str">
        <f aca="false">INDEX(Lookups!$E$2:$E$5,MATCH(P1691,Lookups!$D$2:$D$5,0))</f>
        <v>Low</v>
      </c>
    </row>
    <row r="1692" customFormat="false" ht="15" hidden="false" customHeight="false" outlineLevel="0" collapsed="false">
      <c r="A1692" s="3" t="n">
        <v>1691</v>
      </c>
      <c r="B1692" s="3" t="n">
        <f aca="false">Raw_Data!A1692</f>
        <v>46</v>
      </c>
      <c r="C1692" s="3" t="str">
        <f aca="false">SUBSTITUTE(Raw_Data!B1692,".","")</f>
        <v>admin</v>
      </c>
      <c r="D1692" s="3" t="str">
        <f aca="false">Raw_Data!C1692</f>
        <v>single</v>
      </c>
      <c r="E1692" s="3" t="str">
        <f aca="false">Raw_Data!D1692</f>
        <v>secondary</v>
      </c>
      <c r="F1692" s="3" t="str">
        <f aca="false">Raw_Data!E1692</f>
        <v>no</v>
      </c>
      <c r="G1692" s="3" t="n">
        <f aca="false">Raw_Data!F1692</f>
        <v>751</v>
      </c>
      <c r="H1692" s="3" t="str">
        <f aca="false">Raw_Data!G1692</f>
        <v>yes</v>
      </c>
      <c r="I1692" s="3" t="str">
        <f aca="false">Raw_Data!H1692</f>
        <v>no</v>
      </c>
      <c r="J1692" s="2" t="n">
        <f aca="false">IF(F1692="yes",1,0)</f>
        <v>0</v>
      </c>
      <c r="K1692" s="2" t="n">
        <f aca="false">IF(H1692="yes",1,0)</f>
        <v>1</v>
      </c>
      <c r="L1692" s="2" t="n">
        <f aca="false">IF(I1692="yes",1,0)</f>
        <v>0</v>
      </c>
      <c r="M1692" s="2" t="n">
        <f aca="false">IF(G1692&lt;0,1,0)</f>
        <v>0</v>
      </c>
      <c r="N1692" s="2" t="str">
        <f aca="false">_xlfn.IFS(B1692&lt;30,"Under 30",B1692&lt;40,"30-39",B1692&lt;50,"40-49",B1692&lt;60,"50-59",TRUE(),"60+")</f>
        <v>40-49</v>
      </c>
      <c r="O1692" s="2" t="str">
        <f aca="false">_xlfn.IFS(G1692&lt;0,"1 Negative",G1692=0,"2 Zero",G1692&lt;=500,"3 1-500",G1692&lt;=2000,"4 501-2000",TRUE(),"5 Above 2000")</f>
        <v>4 501-2000</v>
      </c>
      <c r="P1692" s="2" t="n">
        <f aca="false">Lookups!$B$2*M1692+Lookups!$B$3*L1692</f>
        <v>0</v>
      </c>
      <c r="Q1692" s="2" t="str">
        <f aca="false">INDEX(Lookups!$E$2:$E$5,MATCH(P1692,Lookups!$D$2:$D$5,0))</f>
        <v>Low</v>
      </c>
    </row>
    <row r="1693" customFormat="false" ht="15" hidden="false" customHeight="false" outlineLevel="0" collapsed="false">
      <c r="A1693" s="3" t="n">
        <v>1692</v>
      </c>
      <c r="B1693" s="3" t="n">
        <f aca="false">Raw_Data!A1693</f>
        <v>51</v>
      </c>
      <c r="C1693" s="3" t="str">
        <f aca="false">SUBSTITUTE(Raw_Data!B1693,".","")</f>
        <v>blue-collar</v>
      </c>
      <c r="D1693" s="3" t="str">
        <f aca="false">Raw_Data!C1693</f>
        <v>divorced</v>
      </c>
      <c r="E1693" s="3" t="str">
        <f aca="false">Raw_Data!D1693</f>
        <v>primary</v>
      </c>
      <c r="F1693" s="3" t="str">
        <f aca="false">Raw_Data!E1693</f>
        <v>no</v>
      </c>
      <c r="G1693" s="3" t="n">
        <f aca="false">Raw_Data!F1693</f>
        <v>-28</v>
      </c>
      <c r="H1693" s="3" t="str">
        <f aca="false">Raw_Data!G1693</f>
        <v>no</v>
      </c>
      <c r="I1693" s="3" t="str">
        <f aca="false">Raw_Data!H1693</f>
        <v>yes</v>
      </c>
      <c r="J1693" s="2" t="n">
        <f aca="false">IF(F1693="yes",1,0)</f>
        <v>0</v>
      </c>
      <c r="K1693" s="2" t="n">
        <f aca="false">IF(H1693="yes",1,0)</f>
        <v>0</v>
      </c>
      <c r="L1693" s="2" t="n">
        <f aca="false">IF(I1693="yes",1,0)</f>
        <v>1</v>
      </c>
      <c r="M1693" s="2" t="n">
        <f aca="false">IF(G1693&lt;0,1,0)</f>
        <v>1</v>
      </c>
      <c r="N1693" s="2" t="str">
        <f aca="false">_xlfn.IFS(B1693&lt;30,"Under 30",B1693&lt;40,"30-39",B1693&lt;50,"40-49",B1693&lt;60,"50-59",TRUE(),"60+")</f>
        <v>50-59</v>
      </c>
      <c r="O1693" s="2" t="str">
        <f aca="false">_xlfn.IFS(G1693&lt;0,"1 Negative",G1693=0,"2 Zero",G1693&lt;=500,"3 1-500",G1693&lt;=2000,"4 501-2000",TRUE(),"5 Above 2000")</f>
        <v>1 Negative</v>
      </c>
      <c r="P1693" s="2" t="n">
        <f aca="false">Lookups!$B$2*M1693+Lookups!$B$3*L1693</f>
        <v>3</v>
      </c>
      <c r="Q1693" s="2" t="str">
        <f aca="false">INDEX(Lookups!$E$2:$E$5,MATCH(P1693,Lookups!$D$2:$D$5,0))</f>
        <v>High</v>
      </c>
    </row>
    <row r="1694" customFormat="false" ht="15" hidden="false" customHeight="false" outlineLevel="0" collapsed="false">
      <c r="A1694" s="3" t="n">
        <v>1693</v>
      </c>
      <c r="B1694" s="3" t="n">
        <f aca="false">Raw_Data!A1694</f>
        <v>42</v>
      </c>
      <c r="C1694" s="3" t="str">
        <f aca="false">SUBSTITUTE(Raw_Data!B1694,".","")</f>
        <v>management</v>
      </c>
      <c r="D1694" s="3" t="str">
        <f aca="false">Raw_Data!C1694</f>
        <v>divorced</v>
      </c>
      <c r="E1694" s="3" t="str">
        <f aca="false">Raw_Data!D1694</f>
        <v>tertiary</v>
      </c>
      <c r="F1694" s="3" t="str">
        <f aca="false">Raw_Data!E1694</f>
        <v>no</v>
      </c>
      <c r="G1694" s="3" t="n">
        <f aca="false">Raw_Data!F1694</f>
        <v>0</v>
      </c>
      <c r="H1694" s="3" t="str">
        <f aca="false">Raw_Data!G1694</f>
        <v>no</v>
      </c>
      <c r="I1694" s="3" t="str">
        <f aca="false">Raw_Data!H1694</f>
        <v>no</v>
      </c>
      <c r="J1694" s="2" t="n">
        <f aca="false">IF(F1694="yes",1,0)</f>
        <v>0</v>
      </c>
      <c r="K1694" s="2" t="n">
        <f aca="false">IF(H1694="yes",1,0)</f>
        <v>0</v>
      </c>
      <c r="L1694" s="2" t="n">
        <f aca="false">IF(I1694="yes",1,0)</f>
        <v>0</v>
      </c>
      <c r="M1694" s="2" t="n">
        <f aca="false">IF(G1694&lt;0,1,0)</f>
        <v>0</v>
      </c>
      <c r="N1694" s="2" t="str">
        <f aca="false">_xlfn.IFS(B1694&lt;30,"Under 30",B1694&lt;40,"30-39",B1694&lt;50,"40-49",B1694&lt;60,"50-59",TRUE(),"60+")</f>
        <v>40-49</v>
      </c>
      <c r="O1694" s="2" t="str">
        <f aca="false">_xlfn.IFS(G1694&lt;0,"1 Negative",G1694=0,"2 Zero",G1694&lt;=500,"3 1-500",G1694&lt;=2000,"4 501-2000",TRUE(),"5 Above 2000")</f>
        <v>2 Zero</v>
      </c>
      <c r="P1694" s="2" t="n">
        <f aca="false">Lookups!$B$2*M1694+Lookups!$B$3*L1694</f>
        <v>0</v>
      </c>
      <c r="Q1694" s="2" t="str">
        <f aca="false">INDEX(Lookups!$E$2:$E$5,MATCH(P1694,Lookups!$D$2:$D$5,0))</f>
        <v>Low</v>
      </c>
    </row>
    <row r="1695" customFormat="false" ht="15" hidden="false" customHeight="false" outlineLevel="0" collapsed="false">
      <c r="A1695" s="3" t="n">
        <v>1694</v>
      </c>
      <c r="B1695" s="3" t="n">
        <f aca="false">Raw_Data!A1695</f>
        <v>37</v>
      </c>
      <c r="C1695" s="3" t="str">
        <f aca="false">SUBSTITUTE(Raw_Data!B1695,".","")</f>
        <v>technician</v>
      </c>
      <c r="D1695" s="3" t="str">
        <f aca="false">Raw_Data!C1695</f>
        <v>single</v>
      </c>
      <c r="E1695" s="3" t="str">
        <f aca="false">Raw_Data!D1695</f>
        <v>secondary</v>
      </c>
      <c r="F1695" s="3" t="str">
        <f aca="false">Raw_Data!E1695</f>
        <v>no</v>
      </c>
      <c r="G1695" s="3" t="n">
        <f aca="false">Raw_Data!F1695</f>
        <v>2442</v>
      </c>
      <c r="H1695" s="3" t="str">
        <f aca="false">Raw_Data!G1695</f>
        <v>no</v>
      </c>
      <c r="I1695" s="3" t="str">
        <f aca="false">Raw_Data!H1695</f>
        <v>no</v>
      </c>
      <c r="J1695" s="2" t="n">
        <f aca="false">IF(F1695="yes",1,0)</f>
        <v>0</v>
      </c>
      <c r="K1695" s="2" t="n">
        <f aca="false">IF(H1695="yes",1,0)</f>
        <v>0</v>
      </c>
      <c r="L1695" s="2" t="n">
        <f aca="false">IF(I1695="yes",1,0)</f>
        <v>0</v>
      </c>
      <c r="M1695" s="2" t="n">
        <f aca="false">IF(G1695&lt;0,1,0)</f>
        <v>0</v>
      </c>
      <c r="N1695" s="2" t="str">
        <f aca="false">_xlfn.IFS(B1695&lt;30,"Under 30",B1695&lt;40,"30-39",B1695&lt;50,"40-49",B1695&lt;60,"50-59",TRUE(),"60+")</f>
        <v>30-39</v>
      </c>
      <c r="O1695" s="2" t="str">
        <f aca="false">_xlfn.IFS(G1695&lt;0,"1 Negative",G1695=0,"2 Zero",G1695&lt;=500,"3 1-500",G1695&lt;=2000,"4 501-2000",TRUE(),"5 Above 2000")</f>
        <v>5 Above 2000</v>
      </c>
      <c r="P1695" s="2" t="n">
        <f aca="false">Lookups!$B$2*M1695+Lookups!$B$3*L1695</f>
        <v>0</v>
      </c>
      <c r="Q1695" s="2" t="str">
        <f aca="false">INDEX(Lookups!$E$2:$E$5,MATCH(P1695,Lookups!$D$2:$D$5,0))</f>
        <v>Low</v>
      </c>
    </row>
    <row r="1696" customFormat="false" ht="15" hidden="false" customHeight="false" outlineLevel="0" collapsed="false">
      <c r="A1696" s="3" t="n">
        <v>1695</v>
      </c>
      <c r="B1696" s="3" t="n">
        <f aca="false">Raw_Data!A1696</f>
        <v>58</v>
      </c>
      <c r="C1696" s="3" t="str">
        <f aca="false">SUBSTITUTE(Raw_Data!B1696,".","")</f>
        <v>unemployed</v>
      </c>
      <c r="D1696" s="3" t="str">
        <f aca="false">Raw_Data!C1696</f>
        <v>married</v>
      </c>
      <c r="E1696" s="3" t="str">
        <f aca="false">Raw_Data!D1696</f>
        <v>tertiary</v>
      </c>
      <c r="F1696" s="3" t="str">
        <f aca="false">Raw_Data!E1696</f>
        <v>no</v>
      </c>
      <c r="G1696" s="3" t="n">
        <f aca="false">Raw_Data!F1696</f>
        <v>1798</v>
      </c>
      <c r="H1696" s="3" t="str">
        <f aca="false">Raw_Data!G1696</f>
        <v>yes</v>
      </c>
      <c r="I1696" s="3" t="str">
        <f aca="false">Raw_Data!H1696</f>
        <v>no</v>
      </c>
      <c r="J1696" s="2" t="n">
        <f aca="false">IF(F1696="yes",1,0)</f>
        <v>0</v>
      </c>
      <c r="K1696" s="2" t="n">
        <f aca="false">IF(H1696="yes",1,0)</f>
        <v>1</v>
      </c>
      <c r="L1696" s="2" t="n">
        <f aca="false">IF(I1696="yes",1,0)</f>
        <v>0</v>
      </c>
      <c r="M1696" s="2" t="n">
        <f aca="false">IF(G1696&lt;0,1,0)</f>
        <v>0</v>
      </c>
      <c r="N1696" s="2" t="str">
        <f aca="false">_xlfn.IFS(B1696&lt;30,"Under 30",B1696&lt;40,"30-39",B1696&lt;50,"40-49",B1696&lt;60,"50-59",TRUE(),"60+")</f>
        <v>50-59</v>
      </c>
      <c r="O1696" s="2" t="str">
        <f aca="false">_xlfn.IFS(G1696&lt;0,"1 Negative",G1696=0,"2 Zero",G1696&lt;=500,"3 1-500",G1696&lt;=2000,"4 501-2000",TRUE(),"5 Above 2000")</f>
        <v>4 501-2000</v>
      </c>
      <c r="P1696" s="2" t="n">
        <f aca="false">Lookups!$B$2*M1696+Lookups!$B$3*L1696</f>
        <v>0</v>
      </c>
      <c r="Q1696" s="2" t="str">
        <f aca="false">INDEX(Lookups!$E$2:$E$5,MATCH(P1696,Lookups!$D$2:$D$5,0))</f>
        <v>Low</v>
      </c>
    </row>
    <row r="1697" customFormat="false" ht="15" hidden="false" customHeight="false" outlineLevel="0" collapsed="false">
      <c r="A1697" s="3" t="n">
        <v>1696</v>
      </c>
      <c r="B1697" s="3" t="n">
        <f aca="false">Raw_Data!A1697</f>
        <v>43</v>
      </c>
      <c r="C1697" s="3" t="str">
        <f aca="false">SUBSTITUTE(Raw_Data!B1697,".","")</f>
        <v>admin</v>
      </c>
      <c r="D1697" s="3" t="str">
        <f aca="false">Raw_Data!C1697</f>
        <v>married</v>
      </c>
      <c r="E1697" s="3" t="str">
        <f aca="false">Raw_Data!D1697</f>
        <v>secondary</v>
      </c>
      <c r="F1697" s="3" t="str">
        <f aca="false">Raw_Data!E1697</f>
        <v>no</v>
      </c>
      <c r="G1697" s="3" t="n">
        <f aca="false">Raw_Data!F1697</f>
        <v>132</v>
      </c>
      <c r="H1697" s="3" t="str">
        <f aca="false">Raw_Data!G1697</f>
        <v>no</v>
      </c>
      <c r="I1697" s="3" t="str">
        <f aca="false">Raw_Data!H1697</f>
        <v>no</v>
      </c>
      <c r="J1697" s="2" t="n">
        <f aca="false">IF(F1697="yes",1,0)</f>
        <v>0</v>
      </c>
      <c r="K1697" s="2" t="n">
        <f aca="false">IF(H1697="yes",1,0)</f>
        <v>0</v>
      </c>
      <c r="L1697" s="2" t="n">
        <f aca="false">IF(I1697="yes",1,0)</f>
        <v>0</v>
      </c>
      <c r="M1697" s="2" t="n">
        <f aca="false">IF(G1697&lt;0,1,0)</f>
        <v>0</v>
      </c>
      <c r="N1697" s="2" t="str">
        <f aca="false">_xlfn.IFS(B1697&lt;30,"Under 30",B1697&lt;40,"30-39",B1697&lt;50,"40-49",B1697&lt;60,"50-59",TRUE(),"60+")</f>
        <v>40-49</v>
      </c>
      <c r="O1697" s="2" t="str">
        <f aca="false">_xlfn.IFS(G1697&lt;0,"1 Negative",G1697=0,"2 Zero",G1697&lt;=500,"3 1-500",G1697&lt;=2000,"4 501-2000",TRUE(),"5 Above 2000")</f>
        <v>3 1-500</v>
      </c>
      <c r="P1697" s="2" t="n">
        <f aca="false">Lookups!$B$2*M1697+Lookups!$B$3*L1697</f>
        <v>0</v>
      </c>
      <c r="Q1697" s="2" t="str">
        <f aca="false">INDEX(Lookups!$E$2:$E$5,MATCH(P1697,Lookups!$D$2:$D$5,0))</f>
        <v>Low</v>
      </c>
    </row>
    <row r="1698" customFormat="false" ht="15" hidden="false" customHeight="false" outlineLevel="0" collapsed="false">
      <c r="A1698" s="3" t="n">
        <v>1697</v>
      </c>
      <c r="B1698" s="3" t="n">
        <f aca="false">Raw_Data!A1698</f>
        <v>36</v>
      </c>
      <c r="C1698" s="3" t="str">
        <f aca="false">SUBSTITUTE(Raw_Data!B1698,".","")</f>
        <v>management</v>
      </c>
      <c r="D1698" s="3" t="str">
        <f aca="false">Raw_Data!C1698</f>
        <v>single</v>
      </c>
      <c r="E1698" s="3" t="str">
        <f aca="false">Raw_Data!D1698</f>
        <v>tertiary</v>
      </c>
      <c r="F1698" s="3" t="str">
        <f aca="false">Raw_Data!E1698</f>
        <v>no</v>
      </c>
      <c r="G1698" s="3" t="n">
        <f aca="false">Raw_Data!F1698</f>
        <v>260</v>
      </c>
      <c r="H1698" s="3" t="str">
        <f aca="false">Raw_Data!G1698</f>
        <v>yes</v>
      </c>
      <c r="I1698" s="3" t="str">
        <f aca="false">Raw_Data!H1698</f>
        <v>no</v>
      </c>
      <c r="J1698" s="2" t="n">
        <f aca="false">IF(F1698="yes",1,0)</f>
        <v>0</v>
      </c>
      <c r="K1698" s="2" t="n">
        <f aca="false">IF(H1698="yes",1,0)</f>
        <v>1</v>
      </c>
      <c r="L1698" s="2" t="n">
        <f aca="false">IF(I1698="yes",1,0)</f>
        <v>0</v>
      </c>
      <c r="M1698" s="2" t="n">
        <f aca="false">IF(G1698&lt;0,1,0)</f>
        <v>0</v>
      </c>
      <c r="N1698" s="2" t="str">
        <f aca="false">_xlfn.IFS(B1698&lt;30,"Under 30",B1698&lt;40,"30-39",B1698&lt;50,"40-49",B1698&lt;60,"50-59",TRUE(),"60+")</f>
        <v>30-39</v>
      </c>
      <c r="O1698" s="2" t="str">
        <f aca="false">_xlfn.IFS(G1698&lt;0,"1 Negative",G1698=0,"2 Zero",G1698&lt;=500,"3 1-500",G1698&lt;=2000,"4 501-2000",TRUE(),"5 Above 2000")</f>
        <v>3 1-500</v>
      </c>
      <c r="P1698" s="2" t="n">
        <f aca="false">Lookups!$B$2*M1698+Lookups!$B$3*L1698</f>
        <v>0</v>
      </c>
      <c r="Q1698" s="2" t="str">
        <f aca="false">INDEX(Lookups!$E$2:$E$5,MATCH(P1698,Lookups!$D$2:$D$5,0))</f>
        <v>Low</v>
      </c>
    </row>
    <row r="1699" customFormat="false" ht="15" hidden="false" customHeight="false" outlineLevel="0" collapsed="false">
      <c r="A1699" s="3" t="n">
        <v>1698</v>
      </c>
      <c r="B1699" s="3" t="n">
        <f aca="false">Raw_Data!A1699</f>
        <v>34</v>
      </c>
      <c r="C1699" s="3" t="str">
        <f aca="false">SUBSTITUTE(Raw_Data!B1699,".","")</f>
        <v>blue-collar</v>
      </c>
      <c r="D1699" s="3" t="str">
        <f aca="false">Raw_Data!C1699</f>
        <v>married</v>
      </c>
      <c r="E1699" s="3" t="str">
        <f aca="false">Raw_Data!D1699</f>
        <v>secondary</v>
      </c>
      <c r="F1699" s="3" t="str">
        <f aca="false">Raw_Data!E1699</f>
        <v>no</v>
      </c>
      <c r="G1699" s="3" t="n">
        <f aca="false">Raw_Data!F1699</f>
        <v>7</v>
      </c>
      <c r="H1699" s="3" t="str">
        <f aca="false">Raw_Data!G1699</f>
        <v>yes</v>
      </c>
      <c r="I1699" s="3" t="str">
        <f aca="false">Raw_Data!H1699</f>
        <v>yes</v>
      </c>
      <c r="J1699" s="2" t="n">
        <f aca="false">IF(F1699="yes",1,0)</f>
        <v>0</v>
      </c>
      <c r="K1699" s="2" t="n">
        <f aca="false">IF(H1699="yes",1,0)</f>
        <v>1</v>
      </c>
      <c r="L1699" s="2" t="n">
        <f aca="false">IF(I1699="yes",1,0)</f>
        <v>1</v>
      </c>
      <c r="M1699" s="2" t="n">
        <f aca="false">IF(G1699&lt;0,1,0)</f>
        <v>0</v>
      </c>
      <c r="N1699" s="2" t="str">
        <f aca="false">_xlfn.IFS(B1699&lt;30,"Under 30",B1699&lt;40,"30-39",B1699&lt;50,"40-49",B1699&lt;60,"50-59",TRUE(),"60+")</f>
        <v>30-39</v>
      </c>
      <c r="O1699" s="2" t="str">
        <f aca="false">_xlfn.IFS(G1699&lt;0,"1 Negative",G1699=0,"2 Zero",G1699&lt;=500,"3 1-500",G1699&lt;=2000,"4 501-2000",TRUE(),"5 Above 2000")</f>
        <v>3 1-500</v>
      </c>
      <c r="P1699" s="2" t="n">
        <f aca="false">Lookups!$B$2*M1699+Lookups!$B$3*L1699</f>
        <v>1</v>
      </c>
      <c r="Q1699" s="2" t="str">
        <f aca="false">INDEX(Lookups!$E$2:$E$5,MATCH(P1699,Lookups!$D$2:$D$5,0))</f>
        <v>Medium</v>
      </c>
    </row>
    <row r="1700" customFormat="false" ht="15" hidden="false" customHeight="false" outlineLevel="0" collapsed="false">
      <c r="A1700" s="3" t="n">
        <v>1699</v>
      </c>
      <c r="B1700" s="3" t="n">
        <f aca="false">Raw_Data!A1700</f>
        <v>31</v>
      </c>
      <c r="C1700" s="3" t="str">
        <f aca="false">SUBSTITUTE(Raw_Data!B1700,".","")</f>
        <v>management</v>
      </c>
      <c r="D1700" s="3" t="str">
        <f aca="false">Raw_Data!C1700</f>
        <v>single</v>
      </c>
      <c r="E1700" s="3" t="str">
        <f aca="false">Raw_Data!D1700</f>
        <v>tertiary</v>
      </c>
      <c r="F1700" s="3" t="str">
        <f aca="false">Raw_Data!E1700</f>
        <v>no</v>
      </c>
      <c r="G1700" s="3" t="n">
        <f aca="false">Raw_Data!F1700</f>
        <v>3283</v>
      </c>
      <c r="H1700" s="3" t="str">
        <f aca="false">Raw_Data!G1700</f>
        <v>no</v>
      </c>
      <c r="I1700" s="3" t="str">
        <f aca="false">Raw_Data!H1700</f>
        <v>no</v>
      </c>
      <c r="J1700" s="2" t="n">
        <f aca="false">IF(F1700="yes",1,0)</f>
        <v>0</v>
      </c>
      <c r="K1700" s="2" t="n">
        <f aca="false">IF(H1700="yes",1,0)</f>
        <v>0</v>
      </c>
      <c r="L1700" s="2" t="n">
        <f aca="false">IF(I1700="yes",1,0)</f>
        <v>0</v>
      </c>
      <c r="M1700" s="2" t="n">
        <f aca="false">IF(G1700&lt;0,1,0)</f>
        <v>0</v>
      </c>
      <c r="N1700" s="2" t="str">
        <f aca="false">_xlfn.IFS(B1700&lt;30,"Under 30",B1700&lt;40,"30-39",B1700&lt;50,"40-49",B1700&lt;60,"50-59",TRUE(),"60+")</f>
        <v>30-39</v>
      </c>
      <c r="O1700" s="2" t="str">
        <f aca="false">_xlfn.IFS(G1700&lt;0,"1 Negative",G1700=0,"2 Zero",G1700&lt;=500,"3 1-500",G1700&lt;=2000,"4 501-2000",TRUE(),"5 Above 2000")</f>
        <v>5 Above 2000</v>
      </c>
      <c r="P1700" s="2" t="n">
        <f aca="false">Lookups!$B$2*M1700+Lookups!$B$3*L1700</f>
        <v>0</v>
      </c>
      <c r="Q1700" s="2" t="str">
        <f aca="false">INDEX(Lookups!$E$2:$E$5,MATCH(P1700,Lookups!$D$2:$D$5,0))</f>
        <v>Low</v>
      </c>
    </row>
    <row r="1701" customFormat="false" ht="15" hidden="false" customHeight="false" outlineLevel="0" collapsed="false">
      <c r="A1701" s="3" t="n">
        <v>1700</v>
      </c>
      <c r="B1701" s="3" t="n">
        <f aca="false">Raw_Data!A1701</f>
        <v>49</v>
      </c>
      <c r="C1701" s="3" t="str">
        <f aca="false">SUBSTITUTE(Raw_Data!B1701,".","")</f>
        <v>technician</v>
      </c>
      <c r="D1701" s="3" t="str">
        <f aca="false">Raw_Data!C1701</f>
        <v>married</v>
      </c>
      <c r="E1701" s="3" t="str">
        <f aca="false">Raw_Data!D1701</f>
        <v>unknown</v>
      </c>
      <c r="F1701" s="3" t="str">
        <f aca="false">Raw_Data!E1701</f>
        <v>no</v>
      </c>
      <c r="G1701" s="3" t="n">
        <f aca="false">Raw_Data!F1701</f>
        <v>323</v>
      </c>
      <c r="H1701" s="3" t="str">
        <f aca="false">Raw_Data!G1701</f>
        <v>yes</v>
      </c>
      <c r="I1701" s="3" t="str">
        <f aca="false">Raw_Data!H1701</f>
        <v>no</v>
      </c>
      <c r="J1701" s="2" t="n">
        <f aca="false">IF(F1701="yes",1,0)</f>
        <v>0</v>
      </c>
      <c r="K1701" s="2" t="n">
        <f aca="false">IF(H1701="yes",1,0)</f>
        <v>1</v>
      </c>
      <c r="L1701" s="2" t="n">
        <f aca="false">IF(I1701="yes",1,0)</f>
        <v>0</v>
      </c>
      <c r="M1701" s="2" t="n">
        <f aca="false">IF(G1701&lt;0,1,0)</f>
        <v>0</v>
      </c>
      <c r="N1701" s="2" t="str">
        <f aca="false">_xlfn.IFS(B1701&lt;30,"Under 30",B1701&lt;40,"30-39",B1701&lt;50,"40-49",B1701&lt;60,"50-59",TRUE(),"60+")</f>
        <v>40-49</v>
      </c>
      <c r="O1701" s="2" t="str">
        <f aca="false">_xlfn.IFS(G1701&lt;0,"1 Negative",G1701=0,"2 Zero",G1701&lt;=500,"3 1-500",G1701&lt;=2000,"4 501-2000",TRUE(),"5 Above 2000")</f>
        <v>3 1-500</v>
      </c>
      <c r="P1701" s="2" t="n">
        <f aca="false">Lookups!$B$2*M1701+Lookups!$B$3*L1701</f>
        <v>0</v>
      </c>
      <c r="Q1701" s="2" t="str">
        <f aca="false">INDEX(Lookups!$E$2:$E$5,MATCH(P1701,Lookups!$D$2:$D$5,0))</f>
        <v>Low</v>
      </c>
    </row>
    <row r="1702" customFormat="false" ht="15" hidden="false" customHeight="false" outlineLevel="0" collapsed="false">
      <c r="A1702" s="3" t="n">
        <v>1701</v>
      </c>
      <c r="B1702" s="3" t="n">
        <f aca="false">Raw_Data!A1702</f>
        <v>54</v>
      </c>
      <c r="C1702" s="3" t="str">
        <f aca="false">SUBSTITUTE(Raw_Data!B1702,".","")</f>
        <v>management</v>
      </c>
      <c r="D1702" s="3" t="str">
        <f aca="false">Raw_Data!C1702</f>
        <v>married</v>
      </c>
      <c r="E1702" s="3" t="str">
        <f aca="false">Raw_Data!D1702</f>
        <v>tertiary</v>
      </c>
      <c r="F1702" s="3" t="str">
        <f aca="false">Raw_Data!E1702</f>
        <v>no</v>
      </c>
      <c r="G1702" s="3" t="n">
        <f aca="false">Raw_Data!F1702</f>
        <v>2960</v>
      </c>
      <c r="H1702" s="3" t="str">
        <f aca="false">Raw_Data!G1702</f>
        <v>yes</v>
      </c>
      <c r="I1702" s="3" t="str">
        <f aca="false">Raw_Data!H1702</f>
        <v>no</v>
      </c>
      <c r="J1702" s="2" t="n">
        <f aca="false">IF(F1702="yes",1,0)</f>
        <v>0</v>
      </c>
      <c r="K1702" s="2" t="n">
        <f aca="false">IF(H1702="yes",1,0)</f>
        <v>1</v>
      </c>
      <c r="L1702" s="2" t="n">
        <f aca="false">IF(I1702="yes",1,0)</f>
        <v>0</v>
      </c>
      <c r="M1702" s="2" t="n">
        <f aca="false">IF(G1702&lt;0,1,0)</f>
        <v>0</v>
      </c>
      <c r="N1702" s="2" t="str">
        <f aca="false">_xlfn.IFS(B1702&lt;30,"Under 30",B1702&lt;40,"30-39",B1702&lt;50,"40-49",B1702&lt;60,"50-59",TRUE(),"60+")</f>
        <v>50-59</v>
      </c>
      <c r="O1702" s="2" t="str">
        <f aca="false">_xlfn.IFS(G1702&lt;0,"1 Negative",G1702=0,"2 Zero",G1702&lt;=500,"3 1-500",G1702&lt;=2000,"4 501-2000",TRUE(),"5 Above 2000")</f>
        <v>5 Above 2000</v>
      </c>
      <c r="P1702" s="2" t="n">
        <f aca="false">Lookups!$B$2*M1702+Lookups!$B$3*L1702</f>
        <v>0</v>
      </c>
      <c r="Q1702" s="2" t="str">
        <f aca="false">INDEX(Lookups!$E$2:$E$5,MATCH(P1702,Lookups!$D$2:$D$5,0))</f>
        <v>Low</v>
      </c>
    </row>
    <row r="1703" customFormat="false" ht="15" hidden="false" customHeight="false" outlineLevel="0" collapsed="false">
      <c r="A1703" s="3" t="n">
        <v>1702</v>
      </c>
      <c r="B1703" s="3" t="n">
        <f aca="false">Raw_Data!A1703</f>
        <v>29</v>
      </c>
      <c r="C1703" s="3" t="str">
        <f aca="false">SUBSTITUTE(Raw_Data!B1703,".","")</f>
        <v>unemployed</v>
      </c>
      <c r="D1703" s="3" t="str">
        <f aca="false">Raw_Data!C1703</f>
        <v>single</v>
      </c>
      <c r="E1703" s="3" t="str">
        <f aca="false">Raw_Data!D1703</f>
        <v>secondary</v>
      </c>
      <c r="F1703" s="3" t="str">
        <f aca="false">Raw_Data!E1703</f>
        <v>no</v>
      </c>
      <c r="G1703" s="3" t="n">
        <f aca="false">Raw_Data!F1703</f>
        <v>486</v>
      </c>
      <c r="H1703" s="3" t="str">
        <f aca="false">Raw_Data!G1703</f>
        <v>no</v>
      </c>
      <c r="I1703" s="3" t="str">
        <f aca="false">Raw_Data!H1703</f>
        <v>no</v>
      </c>
      <c r="J1703" s="2" t="n">
        <f aca="false">IF(F1703="yes",1,0)</f>
        <v>0</v>
      </c>
      <c r="K1703" s="2" t="n">
        <f aca="false">IF(H1703="yes",1,0)</f>
        <v>0</v>
      </c>
      <c r="L1703" s="2" t="n">
        <f aca="false">IF(I1703="yes",1,0)</f>
        <v>0</v>
      </c>
      <c r="M1703" s="2" t="n">
        <f aca="false">IF(G1703&lt;0,1,0)</f>
        <v>0</v>
      </c>
      <c r="N1703" s="2" t="str">
        <f aca="false">_xlfn.IFS(B1703&lt;30,"Under 30",B1703&lt;40,"30-39",B1703&lt;50,"40-49",B1703&lt;60,"50-59",TRUE(),"60+")</f>
        <v>Under 30</v>
      </c>
      <c r="O1703" s="2" t="str">
        <f aca="false">_xlfn.IFS(G1703&lt;0,"1 Negative",G1703=0,"2 Zero",G1703&lt;=500,"3 1-500",G1703&lt;=2000,"4 501-2000",TRUE(),"5 Above 2000")</f>
        <v>3 1-500</v>
      </c>
      <c r="P1703" s="2" t="n">
        <f aca="false">Lookups!$B$2*M1703+Lookups!$B$3*L1703</f>
        <v>0</v>
      </c>
      <c r="Q1703" s="2" t="str">
        <f aca="false">INDEX(Lookups!$E$2:$E$5,MATCH(P1703,Lookups!$D$2:$D$5,0))</f>
        <v>Low</v>
      </c>
    </row>
    <row r="1704" customFormat="false" ht="15" hidden="false" customHeight="false" outlineLevel="0" collapsed="false">
      <c r="A1704" s="3" t="n">
        <v>1703</v>
      </c>
      <c r="B1704" s="3" t="n">
        <f aca="false">Raw_Data!A1704</f>
        <v>51</v>
      </c>
      <c r="C1704" s="3" t="str">
        <f aca="false">SUBSTITUTE(Raw_Data!B1704,".","")</f>
        <v>retired</v>
      </c>
      <c r="D1704" s="3" t="str">
        <f aca="false">Raw_Data!C1704</f>
        <v>divorced</v>
      </c>
      <c r="E1704" s="3" t="str">
        <f aca="false">Raw_Data!D1704</f>
        <v>secondary</v>
      </c>
      <c r="F1704" s="3" t="str">
        <f aca="false">Raw_Data!E1704</f>
        <v>no</v>
      </c>
      <c r="G1704" s="3" t="n">
        <f aca="false">Raw_Data!F1704</f>
        <v>343</v>
      </c>
      <c r="H1704" s="3" t="str">
        <f aca="false">Raw_Data!G1704</f>
        <v>yes</v>
      </c>
      <c r="I1704" s="3" t="str">
        <f aca="false">Raw_Data!H1704</f>
        <v>no</v>
      </c>
      <c r="J1704" s="2" t="n">
        <f aca="false">IF(F1704="yes",1,0)</f>
        <v>0</v>
      </c>
      <c r="K1704" s="2" t="n">
        <f aca="false">IF(H1704="yes",1,0)</f>
        <v>1</v>
      </c>
      <c r="L1704" s="2" t="n">
        <f aca="false">IF(I1704="yes",1,0)</f>
        <v>0</v>
      </c>
      <c r="M1704" s="2" t="n">
        <f aca="false">IF(G1704&lt;0,1,0)</f>
        <v>0</v>
      </c>
      <c r="N1704" s="2" t="str">
        <f aca="false">_xlfn.IFS(B1704&lt;30,"Under 30",B1704&lt;40,"30-39",B1704&lt;50,"40-49",B1704&lt;60,"50-59",TRUE(),"60+")</f>
        <v>50-59</v>
      </c>
      <c r="O1704" s="2" t="str">
        <f aca="false">_xlfn.IFS(G1704&lt;0,"1 Negative",G1704=0,"2 Zero",G1704&lt;=500,"3 1-500",G1704&lt;=2000,"4 501-2000",TRUE(),"5 Above 2000")</f>
        <v>3 1-500</v>
      </c>
      <c r="P1704" s="2" t="n">
        <f aca="false">Lookups!$B$2*M1704+Lookups!$B$3*L1704</f>
        <v>0</v>
      </c>
      <c r="Q1704" s="2" t="str">
        <f aca="false">INDEX(Lookups!$E$2:$E$5,MATCH(P1704,Lookups!$D$2:$D$5,0))</f>
        <v>Low</v>
      </c>
    </row>
    <row r="1705" customFormat="false" ht="15" hidden="false" customHeight="false" outlineLevel="0" collapsed="false">
      <c r="A1705" s="3" t="n">
        <v>1704</v>
      </c>
      <c r="B1705" s="3" t="n">
        <f aca="false">Raw_Data!A1705</f>
        <v>40</v>
      </c>
      <c r="C1705" s="3" t="str">
        <f aca="false">SUBSTITUTE(Raw_Data!B1705,".","")</f>
        <v>unemployed</v>
      </c>
      <c r="D1705" s="3" t="str">
        <f aca="false">Raw_Data!C1705</f>
        <v>divorced</v>
      </c>
      <c r="E1705" s="3" t="str">
        <f aca="false">Raw_Data!D1705</f>
        <v>secondary</v>
      </c>
      <c r="F1705" s="3" t="str">
        <f aca="false">Raw_Data!E1705</f>
        <v>no</v>
      </c>
      <c r="G1705" s="3" t="n">
        <f aca="false">Raw_Data!F1705</f>
        <v>507</v>
      </c>
      <c r="H1705" s="3" t="str">
        <f aca="false">Raw_Data!G1705</f>
        <v>yes</v>
      </c>
      <c r="I1705" s="3" t="str">
        <f aca="false">Raw_Data!H1705</f>
        <v>no</v>
      </c>
      <c r="J1705" s="2" t="n">
        <f aca="false">IF(F1705="yes",1,0)</f>
        <v>0</v>
      </c>
      <c r="K1705" s="2" t="n">
        <f aca="false">IF(H1705="yes",1,0)</f>
        <v>1</v>
      </c>
      <c r="L1705" s="2" t="n">
        <f aca="false">IF(I1705="yes",1,0)</f>
        <v>0</v>
      </c>
      <c r="M1705" s="2" t="n">
        <f aca="false">IF(G1705&lt;0,1,0)</f>
        <v>0</v>
      </c>
      <c r="N1705" s="2" t="str">
        <f aca="false">_xlfn.IFS(B1705&lt;30,"Under 30",B1705&lt;40,"30-39",B1705&lt;50,"40-49",B1705&lt;60,"50-59",TRUE(),"60+")</f>
        <v>40-49</v>
      </c>
      <c r="O1705" s="2" t="str">
        <f aca="false">_xlfn.IFS(G1705&lt;0,"1 Negative",G1705=0,"2 Zero",G1705&lt;=500,"3 1-500",G1705&lt;=2000,"4 501-2000",TRUE(),"5 Above 2000")</f>
        <v>4 501-2000</v>
      </c>
      <c r="P1705" s="2" t="n">
        <f aca="false">Lookups!$B$2*M1705+Lookups!$B$3*L1705</f>
        <v>0</v>
      </c>
      <c r="Q1705" s="2" t="str">
        <f aca="false">INDEX(Lookups!$E$2:$E$5,MATCH(P1705,Lookups!$D$2:$D$5,0))</f>
        <v>Low</v>
      </c>
    </row>
    <row r="1706" customFormat="false" ht="15" hidden="false" customHeight="false" outlineLevel="0" collapsed="false">
      <c r="A1706" s="3" t="n">
        <v>1705</v>
      </c>
      <c r="B1706" s="3" t="n">
        <f aca="false">Raw_Data!A1706</f>
        <v>35</v>
      </c>
      <c r="C1706" s="3" t="str">
        <f aca="false">SUBSTITUTE(Raw_Data!B1706,".","")</f>
        <v>management</v>
      </c>
      <c r="D1706" s="3" t="str">
        <f aca="false">Raw_Data!C1706</f>
        <v>single</v>
      </c>
      <c r="E1706" s="3" t="str">
        <f aca="false">Raw_Data!D1706</f>
        <v>tertiary</v>
      </c>
      <c r="F1706" s="3" t="str">
        <f aca="false">Raw_Data!E1706</f>
        <v>no</v>
      </c>
      <c r="G1706" s="3" t="n">
        <f aca="false">Raw_Data!F1706</f>
        <v>5958</v>
      </c>
      <c r="H1706" s="3" t="str">
        <f aca="false">Raw_Data!G1706</f>
        <v>yes</v>
      </c>
      <c r="I1706" s="3" t="str">
        <f aca="false">Raw_Data!H1706</f>
        <v>no</v>
      </c>
      <c r="J1706" s="2" t="n">
        <f aca="false">IF(F1706="yes",1,0)</f>
        <v>0</v>
      </c>
      <c r="K1706" s="2" t="n">
        <f aca="false">IF(H1706="yes",1,0)</f>
        <v>1</v>
      </c>
      <c r="L1706" s="2" t="n">
        <f aca="false">IF(I1706="yes",1,0)</f>
        <v>0</v>
      </c>
      <c r="M1706" s="2" t="n">
        <f aca="false">IF(G1706&lt;0,1,0)</f>
        <v>0</v>
      </c>
      <c r="N1706" s="2" t="str">
        <f aca="false">_xlfn.IFS(B1706&lt;30,"Under 30",B1706&lt;40,"30-39",B1706&lt;50,"40-49",B1706&lt;60,"50-59",TRUE(),"60+")</f>
        <v>30-39</v>
      </c>
      <c r="O1706" s="2" t="str">
        <f aca="false">_xlfn.IFS(G1706&lt;0,"1 Negative",G1706=0,"2 Zero",G1706&lt;=500,"3 1-500",G1706&lt;=2000,"4 501-2000",TRUE(),"5 Above 2000")</f>
        <v>5 Above 2000</v>
      </c>
      <c r="P1706" s="2" t="n">
        <f aca="false">Lookups!$B$2*M1706+Lookups!$B$3*L1706</f>
        <v>0</v>
      </c>
      <c r="Q1706" s="2" t="str">
        <f aca="false">INDEX(Lookups!$E$2:$E$5,MATCH(P1706,Lookups!$D$2:$D$5,0))</f>
        <v>Low</v>
      </c>
    </row>
    <row r="1707" customFormat="false" ht="15" hidden="false" customHeight="false" outlineLevel="0" collapsed="false">
      <c r="A1707" s="3" t="n">
        <v>1706</v>
      </c>
      <c r="B1707" s="3" t="n">
        <f aca="false">Raw_Data!A1707</f>
        <v>25</v>
      </c>
      <c r="C1707" s="3" t="str">
        <f aca="false">SUBSTITUTE(Raw_Data!B1707,".","")</f>
        <v>student</v>
      </c>
      <c r="D1707" s="3" t="str">
        <f aca="false">Raw_Data!C1707</f>
        <v>single</v>
      </c>
      <c r="E1707" s="3" t="str">
        <f aca="false">Raw_Data!D1707</f>
        <v>secondary</v>
      </c>
      <c r="F1707" s="3" t="str">
        <f aca="false">Raw_Data!E1707</f>
        <v>no</v>
      </c>
      <c r="G1707" s="3" t="n">
        <f aca="false">Raw_Data!F1707</f>
        <v>304</v>
      </c>
      <c r="H1707" s="3" t="str">
        <f aca="false">Raw_Data!G1707</f>
        <v>no</v>
      </c>
      <c r="I1707" s="3" t="str">
        <f aca="false">Raw_Data!H1707</f>
        <v>no</v>
      </c>
      <c r="J1707" s="2" t="n">
        <f aca="false">IF(F1707="yes",1,0)</f>
        <v>0</v>
      </c>
      <c r="K1707" s="2" t="n">
        <f aca="false">IF(H1707="yes",1,0)</f>
        <v>0</v>
      </c>
      <c r="L1707" s="2" t="n">
        <f aca="false">IF(I1707="yes",1,0)</f>
        <v>0</v>
      </c>
      <c r="M1707" s="2" t="n">
        <f aca="false">IF(G1707&lt;0,1,0)</f>
        <v>0</v>
      </c>
      <c r="N1707" s="2" t="str">
        <f aca="false">_xlfn.IFS(B1707&lt;30,"Under 30",B1707&lt;40,"30-39",B1707&lt;50,"40-49",B1707&lt;60,"50-59",TRUE(),"60+")</f>
        <v>Under 30</v>
      </c>
      <c r="O1707" s="2" t="str">
        <f aca="false">_xlfn.IFS(G1707&lt;0,"1 Negative",G1707=0,"2 Zero",G1707&lt;=500,"3 1-500",G1707&lt;=2000,"4 501-2000",TRUE(),"5 Above 2000")</f>
        <v>3 1-500</v>
      </c>
      <c r="P1707" s="2" t="n">
        <f aca="false">Lookups!$B$2*M1707+Lookups!$B$3*L1707</f>
        <v>0</v>
      </c>
      <c r="Q1707" s="2" t="str">
        <f aca="false">INDEX(Lookups!$E$2:$E$5,MATCH(P1707,Lookups!$D$2:$D$5,0))</f>
        <v>Low</v>
      </c>
    </row>
    <row r="1708" customFormat="false" ht="15" hidden="false" customHeight="false" outlineLevel="0" collapsed="false">
      <c r="A1708" s="3" t="n">
        <v>1707</v>
      </c>
      <c r="B1708" s="3" t="n">
        <f aca="false">Raw_Data!A1708</f>
        <v>32</v>
      </c>
      <c r="C1708" s="3" t="str">
        <f aca="false">SUBSTITUTE(Raw_Data!B1708,".","")</f>
        <v>blue-collar</v>
      </c>
      <c r="D1708" s="3" t="str">
        <f aca="false">Raw_Data!C1708</f>
        <v>single</v>
      </c>
      <c r="E1708" s="3" t="str">
        <f aca="false">Raw_Data!D1708</f>
        <v>secondary</v>
      </c>
      <c r="F1708" s="3" t="str">
        <f aca="false">Raw_Data!E1708</f>
        <v>no</v>
      </c>
      <c r="G1708" s="3" t="n">
        <f aca="false">Raw_Data!F1708</f>
        <v>118</v>
      </c>
      <c r="H1708" s="3" t="str">
        <f aca="false">Raw_Data!G1708</f>
        <v>yes</v>
      </c>
      <c r="I1708" s="3" t="str">
        <f aca="false">Raw_Data!H1708</f>
        <v>no</v>
      </c>
      <c r="J1708" s="2" t="n">
        <f aca="false">IF(F1708="yes",1,0)</f>
        <v>0</v>
      </c>
      <c r="K1708" s="2" t="n">
        <f aca="false">IF(H1708="yes",1,0)</f>
        <v>1</v>
      </c>
      <c r="L1708" s="2" t="n">
        <f aca="false">IF(I1708="yes",1,0)</f>
        <v>0</v>
      </c>
      <c r="M1708" s="2" t="n">
        <f aca="false">IF(G1708&lt;0,1,0)</f>
        <v>0</v>
      </c>
      <c r="N1708" s="2" t="str">
        <f aca="false">_xlfn.IFS(B1708&lt;30,"Under 30",B1708&lt;40,"30-39",B1708&lt;50,"40-49",B1708&lt;60,"50-59",TRUE(),"60+")</f>
        <v>30-39</v>
      </c>
      <c r="O1708" s="2" t="str">
        <f aca="false">_xlfn.IFS(G1708&lt;0,"1 Negative",G1708=0,"2 Zero",G1708&lt;=500,"3 1-500",G1708&lt;=2000,"4 501-2000",TRUE(),"5 Above 2000")</f>
        <v>3 1-500</v>
      </c>
      <c r="P1708" s="2" t="n">
        <f aca="false">Lookups!$B$2*M1708+Lookups!$B$3*L1708</f>
        <v>0</v>
      </c>
      <c r="Q1708" s="2" t="str">
        <f aca="false">INDEX(Lookups!$E$2:$E$5,MATCH(P1708,Lookups!$D$2:$D$5,0))</f>
        <v>Low</v>
      </c>
    </row>
    <row r="1709" customFormat="false" ht="15" hidden="false" customHeight="false" outlineLevel="0" collapsed="false">
      <c r="A1709" s="3" t="n">
        <v>1708</v>
      </c>
      <c r="B1709" s="3" t="n">
        <f aca="false">Raw_Data!A1709</f>
        <v>30</v>
      </c>
      <c r="C1709" s="3" t="str">
        <f aca="false">SUBSTITUTE(Raw_Data!B1709,".","")</f>
        <v>self-employed</v>
      </c>
      <c r="D1709" s="3" t="str">
        <f aca="false">Raw_Data!C1709</f>
        <v>married</v>
      </c>
      <c r="E1709" s="3" t="str">
        <f aca="false">Raw_Data!D1709</f>
        <v>secondary</v>
      </c>
      <c r="F1709" s="3" t="str">
        <f aca="false">Raw_Data!E1709</f>
        <v>no</v>
      </c>
      <c r="G1709" s="3" t="n">
        <f aca="false">Raw_Data!F1709</f>
        <v>123</v>
      </c>
      <c r="H1709" s="3" t="str">
        <f aca="false">Raw_Data!G1709</f>
        <v>no</v>
      </c>
      <c r="I1709" s="3" t="str">
        <f aca="false">Raw_Data!H1709</f>
        <v>yes</v>
      </c>
      <c r="J1709" s="2" t="n">
        <f aca="false">IF(F1709="yes",1,0)</f>
        <v>0</v>
      </c>
      <c r="K1709" s="2" t="n">
        <f aca="false">IF(H1709="yes",1,0)</f>
        <v>0</v>
      </c>
      <c r="L1709" s="2" t="n">
        <f aca="false">IF(I1709="yes",1,0)</f>
        <v>1</v>
      </c>
      <c r="M1709" s="2" t="n">
        <f aca="false">IF(G1709&lt;0,1,0)</f>
        <v>0</v>
      </c>
      <c r="N1709" s="2" t="str">
        <f aca="false">_xlfn.IFS(B1709&lt;30,"Under 30",B1709&lt;40,"30-39",B1709&lt;50,"40-49",B1709&lt;60,"50-59",TRUE(),"60+")</f>
        <v>30-39</v>
      </c>
      <c r="O1709" s="2" t="str">
        <f aca="false">_xlfn.IFS(G1709&lt;0,"1 Negative",G1709=0,"2 Zero",G1709&lt;=500,"3 1-500",G1709&lt;=2000,"4 501-2000",TRUE(),"5 Above 2000")</f>
        <v>3 1-500</v>
      </c>
      <c r="P1709" s="2" t="n">
        <f aca="false">Lookups!$B$2*M1709+Lookups!$B$3*L1709</f>
        <v>1</v>
      </c>
      <c r="Q1709" s="2" t="str">
        <f aca="false">INDEX(Lookups!$E$2:$E$5,MATCH(P1709,Lookups!$D$2:$D$5,0))</f>
        <v>Medium</v>
      </c>
    </row>
    <row r="1710" customFormat="false" ht="15" hidden="false" customHeight="false" outlineLevel="0" collapsed="false">
      <c r="A1710" s="3" t="n">
        <v>1709</v>
      </c>
      <c r="B1710" s="3" t="n">
        <f aca="false">Raw_Data!A1710</f>
        <v>38</v>
      </c>
      <c r="C1710" s="3" t="str">
        <f aca="false">SUBSTITUTE(Raw_Data!B1710,".","")</f>
        <v>management</v>
      </c>
      <c r="D1710" s="3" t="str">
        <f aca="false">Raw_Data!C1710</f>
        <v>married</v>
      </c>
      <c r="E1710" s="3" t="str">
        <f aca="false">Raw_Data!D1710</f>
        <v>tertiary</v>
      </c>
      <c r="F1710" s="3" t="str">
        <f aca="false">Raw_Data!E1710</f>
        <v>no</v>
      </c>
      <c r="G1710" s="3" t="n">
        <f aca="false">Raw_Data!F1710</f>
        <v>76</v>
      </c>
      <c r="H1710" s="3" t="str">
        <f aca="false">Raw_Data!G1710</f>
        <v>yes</v>
      </c>
      <c r="I1710" s="3" t="str">
        <f aca="false">Raw_Data!H1710</f>
        <v>no</v>
      </c>
      <c r="J1710" s="2" t="n">
        <f aca="false">IF(F1710="yes",1,0)</f>
        <v>0</v>
      </c>
      <c r="K1710" s="2" t="n">
        <f aca="false">IF(H1710="yes",1,0)</f>
        <v>1</v>
      </c>
      <c r="L1710" s="2" t="n">
        <f aca="false">IF(I1710="yes",1,0)</f>
        <v>0</v>
      </c>
      <c r="M1710" s="2" t="n">
        <f aca="false">IF(G1710&lt;0,1,0)</f>
        <v>0</v>
      </c>
      <c r="N1710" s="2" t="str">
        <f aca="false">_xlfn.IFS(B1710&lt;30,"Under 30",B1710&lt;40,"30-39",B1710&lt;50,"40-49",B1710&lt;60,"50-59",TRUE(),"60+")</f>
        <v>30-39</v>
      </c>
      <c r="O1710" s="2" t="str">
        <f aca="false">_xlfn.IFS(G1710&lt;0,"1 Negative",G1710=0,"2 Zero",G1710&lt;=500,"3 1-500",G1710&lt;=2000,"4 501-2000",TRUE(),"5 Above 2000")</f>
        <v>3 1-500</v>
      </c>
      <c r="P1710" s="2" t="n">
        <f aca="false">Lookups!$B$2*M1710+Lookups!$B$3*L1710</f>
        <v>0</v>
      </c>
      <c r="Q1710" s="2" t="str">
        <f aca="false">INDEX(Lookups!$E$2:$E$5,MATCH(P1710,Lookups!$D$2:$D$5,0))</f>
        <v>Low</v>
      </c>
    </row>
    <row r="1711" customFormat="false" ht="15" hidden="false" customHeight="false" outlineLevel="0" collapsed="false">
      <c r="A1711" s="3" t="n">
        <v>1710</v>
      </c>
      <c r="B1711" s="3" t="n">
        <f aca="false">Raw_Data!A1711</f>
        <v>46</v>
      </c>
      <c r="C1711" s="3" t="str">
        <f aca="false">SUBSTITUTE(Raw_Data!B1711,".","")</f>
        <v>admin</v>
      </c>
      <c r="D1711" s="3" t="str">
        <f aca="false">Raw_Data!C1711</f>
        <v>married</v>
      </c>
      <c r="E1711" s="3" t="str">
        <f aca="false">Raw_Data!D1711</f>
        <v>secondary</v>
      </c>
      <c r="F1711" s="3" t="str">
        <f aca="false">Raw_Data!E1711</f>
        <v>no</v>
      </c>
      <c r="G1711" s="3" t="n">
        <f aca="false">Raw_Data!F1711</f>
        <v>70</v>
      </c>
      <c r="H1711" s="3" t="str">
        <f aca="false">Raw_Data!G1711</f>
        <v>yes</v>
      </c>
      <c r="I1711" s="3" t="str">
        <f aca="false">Raw_Data!H1711</f>
        <v>no</v>
      </c>
      <c r="J1711" s="2" t="n">
        <f aca="false">IF(F1711="yes",1,0)</f>
        <v>0</v>
      </c>
      <c r="K1711" s="2" t="n">
        <f aca="false">IF(H1711="yes",1,0)</f>
        <v>1</v>
      </c>
      <c r="L1711" s="2" t="n">
        <f aca="false">IF(I1711="yes",1,0)</f>
        <v>0</v>
      </c>
      <c r="M1711" s="2" t="n">
        <f aca="false">IF(G1711&lt;0,1,0)</f>
        <v>0</v>
      </c>
      <c r="N1711" s="2" t="str">
        <f aca="false">_xlfn.IFS(B1711&lt;30,"Under 30",B1711&lt;40,"30-39",B1711&lt;50,"40-49",B1711&lt;60,"50-59",TRUE(),"60+")</f>
        <v>40-49</v>
      </c>
      <c r="O1711" s="2" t="str">
        <f aca="false">_xlfn.IFS(G1711&lt;0,"1 Negative",G1711=0,"2 Zero",G1711&lt;=500,"3 1-500",G1711&lt;=2000,"4 501-2000",TRUE(),"5 Above 2000")</f>
        <v>3 1-500</v>
      </c>
      <c r="P1711" s="2" t="n">
        <f aca="false">Lookups!$B$2*M1711+Lookups!$B$3*L1711</f>
        <v>0</v>
      </c>
      <c r="Q1711" s="2" t="str">
        <f aca="false">INDEX(Lookups!$E$2:$E$5,MATCH(P1711,Lookups!$D$2:$D$5,0))</f>
        <v>Low</v>
      </c>
    </row>
    <row r="1712" customFormat="false" ht="15" hidden="false" customHeight="false" outlineLevel="0" collapsed="false">
      <c r="A1712" s="3" t="n">
        <v>1711</v>
      </c>
      <c r="B1712" s="3" t="n">
        <f aca="false">Raw_Data!A1712</f>
        <v>43</v>
      </c>
      <c r="C1712" s="3" t="str">
        <f aca="false">SUBSTITUTE(Raw_Data!B1712,".","")</f>
        <v>unemployed</v>
      </c>
      <c r="D1712" s="3" t="str">
        <f aca="false">Raw_Data!C1712</f>
        <v>married</v>
      </c>
      <c r="E1712" s="3" t="str">
        <f aca="false">Raw_Data!D1712</f>
        <v>primary</v>
      </c>
      <c r="F1712" s="3" t="str">
        <f aca="false">Raw_Data!E1712</f>
        <v>no</v>
      </c>
      <c r="G1712" s="3" t="n">
        <f aca="false">Raw_Data!F1712</f>
        <v>960</v>
      </c>
      <c r="H1712" s="3" t="str">
        <f aca="false">Raw_Data!G1712</f>
        <v>yes</v>
      </c>
      <c r="I1712" s="3" t="str">
        <f aca="false">Raw_Data!H1712</f>
        <v>yes</v>
      </c>
      <c r="J1712" s="2" t="n">
        <f aca="false">IF(F1712="yes",1,0)</f>
        <v>0</v>
      </c>
      <c r="K1712" s="2" t="n">
        <f aca="false">IF(H1712="yes",1,0)</f>
        <v>1</v>
      </c>
      <c r="L1712" s="2" t="n">
        <f aca="false">IF(I1712="yes",1,0)</f>
        <v>1</v>
      </c>
      <c r="M1712" s="2" t="n">
        <f aca="false">IF(G1712&lt;0,1,0)</f>
        <v>0</v>
      </c>
      <c r="N1712" s="2" t="str">
        <f aca="false">_xlfn.IFS(B1712&lt;30,"Under 30",B1712&lt;40,"30-39",B1712&lt;50,"40-49",B1712&lt;60,"50-59",TRUE(),"60+")</f>
        <v>40-49</v>
      </c>
      <c r="O1712" s="2" t="str">
        <f aca="false">_xlfn.IFS(G1712&lt;0,"1 Negative",G1712=0,"2 Zero",G1712&lt;=500,"3 1-500",G1712&lt;=2000,"4 501-2000",TRUE(),"5 Above 2000")</f>
        <v>4 501-2000</v>
      </c>
      <c r="P1712" s="2" t="n">
        <f aca="false">Lookups!$B$2*M1712+Lookups!$B$3*L1712</f>
        <v>1</v>
      </c>
      <c r="Q1712" s="2" t="str">
        <f aca="false">INDEX(Lookups!$E$2:$E$5,MATCH(P1712,Lookups!$D$2:$D$5,0))</f>
        <v>Medium</v>
      </c>
    </row>
    <row r="1713" customFormat="false" ht="15" hidden="false" customHeight="false" outlineLevel="0" collapsed="false">
      <c r="A1713" s="3" t="n">
        <v>1712</v>
      </c>
      <c r="B1713" s="3" t="n">
        <f aca="false">Raw_Data!A1713</f>
        <v>32</v>
      </c>
      <c r="C1713" s="3" t="str">
        <f aca="false">SUBSTITUTE(Raw_Data!B1713,".","")</f>
        <v>technician</v>
      </c>
      <c r="D1713" s="3" t="str">
        <f aca="false">Raw_Data!C1713</f>
        <v>single</v>
      </c>
      <c r="E1713" s="3" t="str">
        <f aca="false">Raw_Data!D1713</f>
        <v>tertiary</v>
      </c>
      <c r="F1713" s="3" t="str">
        <f aca="false">Raw_Data!E1713</f>
        <v>no</v>
      </c>
      <c r="G1713" s="3" t="n">
        <f aca="false">Raw_Data!F1713</f>
        <v>2185</v>
      </c>
      <c r="H1713" s="3" t="str">
        <f aca="false">Raw_Data!G1713</f>
        <v>no</v>
      </c>
      <c r="I1713" s="3" t="str">
        <f aca="false">Raw_Data!H1713</f>
        <v>no</v>
      </c>
      <c r="J1713" s="2" t="n">
        <f aca="false">IF(F1713="yes",1,0)</f>
        <v>0</v>
      </c>
      <c r="K1713" s="2" t="n">
        <f aca="false">IF(H1713="yes",1,0)</f>
        <v>0</v>
      </c>
      <c r="L1713" s="2" t="n">
        <f aca="false">IF(I1713="yes",1,0)</f>
        <v>0</v>
      </c>
      <c r="M1713" s="2" t="n">
        <f aca="false">IF(G1713&lt;0,1,0)</f>
        <v>0</v>
      </c>
      <c r="N1713" s="2" t="str">
        <f aca="false">_xlfn.IFS(B1713&lt;30,"Under 30",B1713&lt;40,"30-39",B1713&lt;50,"40-49",B1713&lt;60,"50-59",TRUE(),"60+")</f>
        <v>30-39</v>
      </c>
      <c r="O1713" s="2" t="str">
        <f aca="false">_xlfn.IFS(G1713&lt;0,"1 Negative",G1713=0,"2 Zero",G1713&lt;=500,"3 1-500",G1713&lt;=2000,"4 501-2000",TRUE(),"5 Above 2000")</f>
        <v>5 Above 2000</v>
      </c>
      <c r="P1713" s="2" t="n">
        <f aca="false">Lookups!$B$2*M1713+Lookups!$B$3*L1713</f>
        <v>0</v>
      </c>
      <c r="Q1713" s="2" t="str">
        <f aca="false">INDEX(Lookups!$E$2:$E$5,MATCH(P1713,Lookups!$D$2:$D$5,0))</f>
        <v>Low</v>
      </c>
    </row>
    <row r="1714" customFormat="false" ht="15" hidden="false" customHeight="false" outlineLevel="0" collapsed="false">
      <c r="A1714" s="3" t="n">
        <v>1713</v>
      </c>
      <c r="B1714" s="3" t="n">
        <f aca="false">Raw_Data!A1714</f>
        <v>29</v>
      </c>
      <c r="C1714" s="3" t="str">
        <f aca="false">SUBSTITUTE(Raw_Data!B1714,".","")</f>
        <v>blue-collar</v>
      </c>
      <c r="D1714" s="3" t="str">
        <f aca="false">Raw_Data!C1714</f>
        <v>single</v>
      </c>
      <c r="E1714" s="3" t="str">
        <f aca="false">Raw_Data!D1714</f>
        <v>secondary</v>
      </c>
      <c r="F1714" s="3" t="str">
        <f aca="false">Raw_Data!E1714</f>
        <v>no</v>
      </c>
      <c r="G1714" s="3" t="n">
        <f aca="false">Raw_Data!F1714</f>
        <v>309</v>
      </c>
      <c r="H1714" s="3" t="str">
        <f aca="false">Raw_Data!G1714</f>
        <v>yes</v>
      </c>
      <c r="I1714" s="3" t="str">
        <f aca="false">Raw_Data!H1714</f>
        <v>no</v>
      </c>
      <c r="J1714" s="2" t="n">
        <f aca="false">IF(F1714="yes",1,0)</f>
        <v>0</v>
      </c>
      <c r="K1714" s="2" t="n">
        <f aca="false">IF(H1714="yes",1,0)</f>
        <v>1</v>
      </c>
      <c r="L1714" s="2" t="n">
        <f aca="false">IF(I1714="yes",1,0)</f>
        <v>0</v>
      </c>
      <c r="M1714" s="2" t="n">
        <f aca="false">IF(G1714&lt;0,1,0)</f>
        <v>0</v>
      </c>
      <c r="N1714" s="2" t="str">
        <f aca="false">_xlfn.IFS(B1714&lt;30,"Under 30",B1714&lt;40,"30-39",B1714&lt;50,"40-49",B1714&lt;60,"50-59",TRUE(),"60+")</f>
        <v>Under 30</v>
      </c>
      <c r="O1714" s="2" t="str">
        <f aca="false">_xlfn.IFS(G1714&lt;0,"1 Negative",G1714=0,"2 Zero",G1714&lt;=500,"3 1-500",G1714&lt;=2000,"4 501-2000",TRUE(),"5 Above 2000")</f>
        <v>3 1-500</v>
      </c>
      <c r="P1714" s="2" t="n">
        <f aca="false">Lookups!$B$2*M1714+Lookups!$B$3*L1714</f>
        <v>0</v>
      </c>
      <c r="Q1714" s="2" t="str">
        <f aca="false">INDEX(Lookups!$E$2:$E$5,MATCH(P1714,Lookups!$D$2:$D$5,0))</f>
        <v>Low</v>
      </c>
    </row>
    <row r="1715" customFormat="false" ht="15" hidden="false" customHeight="false" outlineLevel="0" collapsed="false">
      <c r="A1715" s="3" t="n">
        <v>1714</v>
      </c>
      <c r="B1715" s="3" t="n">
        <f aca="false">Raw_Data!A1715</f>
        <v>56</v>
      </c>
      <c r="C1715" s="3" t="str">
        <f aca="false">SUBSTITUTE(Raw_Data!B1715,".","")</f>
        <v>blue-collar</v>
      </c>
      <c r="D1715" s="3" t="str">
        <f aca="false">Raw_Data!C1715</f>
        <v>married</v>
      </c>
      <c r="E1715" s="3" t="str">
        <f aca="false">Raw_Data!D1715</f>
        <v>secondary</v>
      </c>
      <c r="F1715" s="3" t="str">
        <f aca="false">Raw_Data!E1715</f>
        <v>no</v>
      </c>
      <c r="G1715" s="3" t="n">
        <f aca="false">Raw_Data!F1715</f>
        <v>2190</v>
      </c>
      <c r="H1715" s="3" t="str">
        <f aca="false">Raw_Data!G1715</f>
        <v>no</v>
      </c>
      <c r="I1715" s="3" t="str">
        <f aca="false">Raw_Data!H1715</f>
        <v>yes</v>
      </c>
      <c r="J1715" s="2" t="n">
        <f aca="false">IF(F1715="yes",1,0)</f>
        <v>0</v>
      </c>
      <c r="K1715" s="2" t="n">
        <f aca="false">IF(H1715="yes",1,0)</f>
        <v>0</v>
      </c>
      <c r="L1715" s="2" t="n">
        <f aca="false">IF(I1715="yes",1,0)</f>
        <v>1</v>
      </c>
      <c r="M1715" s="2" t="n">
        <f aca="false">IF(G1715&lt;0,1,0)</f>
        <v>0</v>
      </c>
      <c r="N1715" s="2" t="str">
        <f aca="false">_xlfn.IFS(B1715&lt;30,"Under 30",B1715&lt;40,"30-39",B1715&lt;50,"40-49",B1715&lt;60,"50-59",TRUE(),"60+")</f>
        <v>50-59</v>
      </c>
      <c r="O1715" s="2" t="str">
        <f aca="false">_xlfn.IFS(G1715&lt;0,"1 Negative",G1715=0,"2 Zero",G1715&lt;=500,"3 1-500",G1715&lt;=2000,"4 501-2000",TRUE(),"5 Above 2000")</f>
        <v>5 Above 2000</v>
      </c>
      <c r="P1715" s="2" t="n">
        <f aca="false">Lookups!$B$2*M1715+Lookups!$B$3*L1715</f>
        <v>1</v>
      </c>
      <c r="Q1715" s="2" t="str">
        <f aca="false">INDEX(Lookups!$E$2:$E$5,MATCH(P1715,Lookups!$D$2:$D$5,0))</f>
        <v>Medium</v>
      </c>
    </row>
    <row r="1716" customFormat="false" ht="15" hidden="false" customHeight="false" outlineLevel="0" collapsed="false">
      <c r="A1716" s="3" t="n">
        <v>1715</v>
      </c>
      <c r="B1716" s="3" t="n">
        <f aca="false">Raw_Data!A1716</f>
        <v>57</v>
      </c>
      <c r="C1716" s="3" t="str">
        <f aca="false">SUBSTITUTE(Raw_Data!B1716,".","")</f>
        <v>technician</v>
      </c>
      <c r="D1716" s="3" t="str">
        <f aca="false">Raw_Data!C1716</f>
        <v>married</v>
      </c>
      <c r="E1716" s="3" t="str">
        <f aca="false">Raw_Data!D1716</f>
        <v>primary</v>
      </c>
      <c r="F1716" s="3" t="str">
        <f aca="false">Raw_Data!E1716</f>
        <v>no</v>
      </c>
      <c r="G1716" s="3" t="n">
        <f aca="false">Raw_Data!F1716</f>
        <v>0</v>
      </c>
      <c r="H1716" s="3" t="str">
        <f aca="false">Raw_Data!G1716</f>
        <v>no</v>
      </c>
      <c r="I1716" s="3" t="str">
        <f aca="false">Raw_Data!H1716</f>
        <v>no</v>
      </c>
      <c r="J1716" s="2" t="n">
        <f aca="false">IF(F1716="yes",1,0)</f>
        <v>0</v>
      </c>
      <c r="K1716" s="2" t="n">
        <f aca="false">IF(H1716="yes",1,0)</f>
        <v>0</v>
      </c>
      <c r="L1716" s="2" t="n">
        <f aca="false">IF(I1716="yes",1,0)</f>
        <v>0</v>
      </c>
      <c r="M1716" s="2" t="n">
        <f aca="false">IF(G1716&lt;0,1,0)</f>
        <v>0</v>
      </c>
      <c r="N1716" s="2" t="str">
        <f aca="false">_xlfn.IFS(B1716&lt;30,"Under 30",B1716&lt;40,"30-39",B1716&lt;50,"40-49",B1716&lt;60,"50-59",TRUE(),"60+")</f>
        <v>50-59</v>
      </c>
      <c r="O1716" s="2" t="str">
        <f aca="false">_xlfn.IFS(G1716&lt;0,"1 Negative",G1716=0,"2 Zero",G1716&lt;=500,"3 1-500",G1716&lt;=2000,"4 501-2000",TRUE(),"5 Above 2000")</f>
        <v>2 Zero</v>
      </c>
      <c r="P1716" s="2" t="n">
        <f aca="false">Lookups!$B$2*M1716+Lookups!$B$3*L1716</f>
        <v>0</v>
      </c>
      <c r="Q1716" s="2" t="str">
        <f aca="false">INDEX(Lookups!$E$2:$E$5,MATCH(P1716,Lookups!$D$2:$D$5,0))</f>
        <v>Low</v>
      </c>
    </row>
    <row r="1717" customFormat="false" ht="15" hidden="false" customHeight="false" outlineLevel="0" collapsed="false">
      <c r="A1717" s="3" t="n">
        <v>1716</v>
      </c>
      <c r="B1717" s="3" t="n">
        <f aca="false">Raw_Data!A1717</f>
        <v>38</v>
      </c>
      <c r="C1717" s="3" t="str">
        <f aca="false">SUBSTITUTE(Raw_Data!B1717,".","")</f>
        <v>admin</v>
      </c>
      <c r="D1717" s="3" t="str">
        <f aca="false">Raw_Data!C1717</f>
        <v>married</v>
      </c>
      <c r="E1717" s="3" t="str">
        <f aca="false">Raw_Data!D1717</f>
        <v>secondary</v>
      </c>
      <c r="F1717" s="3" t="str">
        <f aca="false">Raw_Data!E1717</f>
        <v>no</v>
      </c>
      <c r="G1717" s="3" t="n">
        <f aca="false">Raw_Data!F1717</f>
        <v>3732</v>
      </c>
      <c r="H1717" s="3" t="str">
        <f aca="false">Raw_Data!G1717</f>
        <v>yes</v>
      </c>
      <c r="I1717" s="3" t="str">
        <f aca="false">Raw_Data!H1717</f>
        <v>no</v>
      </c>
      <c r="J1717" s="2" t="n">
        <f aca="false">IF(F1717="yes",1,0)</f>
        <v>0</v>
      </c>
      <c r="K1717" s="2" t="n">
        <f aca="false">IF(H1717="yes",1,0)</f>
        <v>1</v>
      </c>
      <c r="L1717" s="2" t="n">
        <f aca="false">IF(I1717="yes",1,0)</f>
        <v>0</v>
      </c>
      <c r="M1717" s="2" t="n">
        <f aca="false">IF(G1717&lt;0,1,0)</f>
        <v>0</v>
      </c>
      <c r="N1717" s="2" t="str">
        <f aca="false">_xlfn.IFS(B1717&lt;30,"Under 30",B1717&lt;40,"30-39",B1717&lt;50,"40-49",B1717&lt;60,"50-59",TRUE(),"60+")</f>
        <v>30-39</v>
      </c>
      <c r="O1717" s="2" t="str">
        <f aca="false">_xlfn.IFS(G1717&lt;0,"1 Negative",G1717=0,"2 Zero",G1717&lt;=500,"3 1-500",G1717&lt;=2000,"4 501-2000",TRUE(),"5 Above 2000")</f>
        <v>5 Above 2000</v>
      </c>
      <c r="P1717" s="2" t="n">
        <f aca="false">Lookups!$B$2*M1717+Lookups!$B$3*L1717</f>
        <v>0</v>
      </c>
      <c r="Q1717" s="2" t="str">
        <f aca="false">INDEX(Lookups!$E$2:$E$5,MATCH(P1717,Lookups!$D$2:$D$5,0))</f>
        <v>Low</v>
      </c>
    </row>
    <row r="1718" customFormat="false" ht="15" hidden="false" customHeight="false" outlineLevel="0" collapsed="false">
      <c r="A1718" s="3" t="n">
        <v>1717</v>
      </c>
      <c r="B1718" s="3" t="n">
        <f aca="false">Raw_Data!A1718</f>
        <v>51</v>
      </c>
      <c r="C1718" s="3" t="str">
        <f aca="false">SUBSTITUTE(Raw_Data!B1718,".","")</f>
        <v>technician</v>
      </c>
      <c r="D1718" s="3" t="str">
        <f aca="false">Raw_Data!C1718</f>
        <v>married</v>
      </c>
      <c r="E1718" s="3" t="str">
        <f aca="false">Raw_Data!D1718</f>
        <v>primary</v>
      </c>
      <c r="F1718" s="3" t="str">
        <f aca="false">Raw_Data!E1718</f>
        <v>no</v>
      </c>
      <c r="G1718" s="3" t="n">
        <f aca="false">Raw_Data!F1718</f>
        <v>1550</v>
      </c>
      <c r="H1718" s="3" t="str">
        <f aca="false">Raw_Data!G1718</f>
        <v>no</v>
      </c>
      <c r="I1718" s="3" t="str">
        <f aca="false">Raw_Data!H1718</f>
        <v>no</v>
      </c>
      <c r="J1718" s="2" t="n">
        <f aca="false">IF(F1718="yes",1,0)</f>
        <v>0</v>
      </c>
      <c r="K1718" s="2" t="n">
        <f aca="false">IF(H1718="yes",1,0)</f>
        <v>0</v>
      </c>
      <c r="L1718" s="2" t="n">
        <f aca="false">IF(I1718="yes",1,0)</f>
        <v>0</v>
      </c>
      <c r="M1718" s="2" t="n">
        <f aca="false">IF(G1718&lt;0,1,0)</f>
        <v>0</v>
      </c>
      <c r="N1718" s="2" t="str">
        <f aca="false">_xlfn.IFS(B1718&lt;30,"Under 30",B1718&lt;40,"30-39",B1718&lt;50,"40-49",B1718&lt;60,"50-59",TRUE(),"60+")</f>
        <v>50-59</v>
      </c>
      <c r="O1718" s="2" t="str">
        <f aca="false">_xlfn.IFS(G1718&lt;0,"1 Negative",G1718=0,"2 Zero",G1718&lt;=500,"3 1-500",G1718&lt;=2000,"4 501-2000",TRUE(),"5 Above 2000")</f>
        <v>4 501-2000</v>
      </c>
      <c r="P1718" s="2" t="n">
        <f aca="false">Lookups!$B$2*M1718+Lookups!$B$3*L1718</f>
        <v>0</v>
      </c>
      <c r="Q1718" s="2" t="str">
        <f aca="false">INDEX(Lookups!$E$2:$E$5,MATCH(P1718,Lookups!$D$2:$D$5,0))</f>
        <v>Low</v>
      </c>
    </row>
    <row r="1719" customFormat="false" ht="15" hidden="false" customHeight="false" outlineLevel="0" collapsed="false">
      <c r="A1719" s="3" t="n">
        <v>1718</v>
      </c>
      <c r="B1719" s="3" t="n">
        <f aca="false">Raw_Data!A1719</f>
        <v>35</v>
      </c>
      <c r="C1719" s="3" t="str">
        <f aca="false">SUBSTITUTE(Raw_Data!B1719,".","")</f>
        <v>admin</v>
      </c>
      <c r="D1719" s="3" t="str">
        <f aca="false">Raw_Data!C1719</f>
        <v>single</v>
      </c>
      <c r="E1719" s="3" t="str">
        <f aca="false">Raw_Data!D1719</f>
        <v>tertiary</v>
      </c>
      <c r="F1719" s="3" t="str">
        <f aca="false">Raw_Data!E1719</f>
        <v>no</v>
      </c>
      <c r="G1719" s="3" t="n">
        <f aca="false">Raw_Data!F1719</f>
        <v>62</v>
      </c>
      <c r="H1719" s="3" t="str">
        <f aca="false">Raw_Data!G1719</f>
        <v>no</v>
      </c>
      <c r="I1719" s="3" t="str">
        <f aca="false">Raw_Data!H1719</f>
        <v>yes</v>
      </c>
      <c r="J1719" s="2" t="n">
        <f aca="false">IF(F1719="yes",1,0)</f>
        <v>0</v>
      </c>
      <c r="K1719" s="2" t="n">
        <f aca="false">IF(H1719="yes",1,0)</f>
        <v>0</v>
      </c>
      <c r="L1719" s="2" t="n">
        <f aca="false">IF(I1719="yes",1,0)</f>
        <v>1</v>
      </c>
      <c r="M1719" s="2" t="n">
        <f aca="false">IF(G1719&lt;0,1,0)</f>
        <v>0</v>
      </c>
      <c r="N1719" s="2" t="str">
        <f aca="false">_xlfn.IFS(B1719&lt;30,"Under 30",B1719&lt;40,"30-39",B1719&lt;50,"40-49",B1719&lt;60,"50-59",TRUE(),"60+")</f>
        <v>30-39</v>
      </c>
      <c r="O1719" s="2" t="str">
        <f aca="false">_xlfn.IFS(G1719&lt;0,"1 Negative",G1719=0,"2 Zero",G1719&lt;=500,"3 1-500",G1719&lt;=2000,"4 501-2000",TRUE(),"5 Above 2000")</f>
        <v>3 1-500</v>
      </c>
      <c r="P1719" s="2" t="n">
        <f aca="false">Lookups!$B$2*M1719+Lookups!$B$3*L1719</f>
        <v>1</v>
      </c>
      <c r="Q1719" s="2" t="str">
        <f aca="false">INDEX(Lookups!$E$2:$E$5,MATCH(P1719,Lookups!$D$2:$D$5,0))</f>
        <v>Medium</v>
      </c>
    </row>
    <row r="1720" customFormat="false" ht="15" hidden="false" customHeight="false" outlineLevel="0" collapsed="false">
      <c r="A1720" s="3" t="n">
        <v>1719</v>
      </c>
      <c r="B1720" s="3" t="n">
        <f aca="false">Raw_Data!A1720</f>
        <v>37</v>
      </c>
      <c r="C1720" s="3" t="str">
        <f aca="false">SUBSTITUTE(Raw_Data!B1720,".","")</f>
        <v>blue-collar</v>
      </c>
      <c r="D1720" s="3" t="str">
        <f aca="false">Raw_Data!C1720</f>
        <v>married</v>
      </c>
      <c r="E1720" s="3" t="str">
        <f aca="false">Raw_Data!D1720</f>
        <v>primary</v>
      </c>
      <c r="F1720" s="3" t="str">
        <f aca="false">Raw_Data!E1720</f>
        <v>no</v>
      </c>
      <c r="G1720" s="3" t="n">
        <f aca="false">Raw_Data!F1720</f>
        <v>704</v>
      </c>
      <c r="H1720" s="3" t="str">
        <f aca="false">Raw_Data!G1720</f>
        <v>no</v>
      </c>
      <c r="I1720" s="3" t="str">
        <f aca="false">Raw_Data!H1720</f>
        <v>no</v>
      </c>
      <c r="J1720" s="2" t="n">
        <f aca="false">IF(F1720="yes",1,0)</f>
        <v>0</v>
      </c>
      <c r="K1720" s="2" t="n">
        <f aca="false">IF(H1720="yes",1,0)</f>
        <v>0</v>
      </c>
      <c r="L1720" s="2" t="n">
        <f aca="false">IF(I1720="yes",1,0)</f>
        <v>0</v>
      </c>
      <c r="M1720" s="2" t="n">
        <f aca="false">IF(G1720&lt;0,1,0)</f>
        <v>0</v>
      </c>
      <c r="N1720" s="2" t="str">
        <f aca="false">_xlfn.IFS(B1720&lt;30,"Under 30",B1720&lt;40,"30-39",B1720&lt;50,"40-49",B1720&lt;60,"50-59",TRUE(),"60+")</f>
        <v>30-39</v>
      </c>
      <c r="O1720" s="2" t="str">
        <f aca="false">_xlfn.IFS(G1720&lt;0,"1 Negative",G1720=0,"2 Zero",G1720&lt;=500,"3 1-500",G1720&lt;=2000,"4 501-2000",TRUE(),"5 Above 2000")</f>
        <v>4 501-2000</v>
      </c>
      <c r="P1720" s="2" t="n">
        <f aca="false">Lookups!$B$2*M1720+Lookups!$B$3*L1720</f>
        <v>0</v>
      </c>
      <c r="Q1720" s="2" t="str">
        <f aca="false">INDEX(Lookups!$E$2:$E$5,MATCH(P1720,Lookups!$D$2:$D$5,0))</f>
        <v>Low</v>
      </c>
    </row>
    <row r="1721" customFormat="false" ht="15" hidden="false" customHeight="false" outlineLevel="0" collapsed="false">
      <c r="A1721" s="3" t="n">
        <v>1720</v>
      </c>
      <c r="B1721" s="3" t="n">
        <f aca="false">Raw_Data!A1721</f>
        <v>48</v>
      </c>
      <c r="C1721" s="3" t="str">
        <f aca="false">SUBSTITUTE(Raw_Data!B1721,".","")</f>
        <v>management</v>
      </c>
      <c r="D1721" s="3" t="str">
        <f aca="false">Raw_Data!C1721</f>
        <v>married</v>
      </c>
      <c r="E1721" s="3" t="str">
        <f aca="false">Raw_Data!D1721</f>
        <v>secondary</v>
      </c>
      <c r="F1721" s="3" t="str">
        <f aca="false">Raw_Data!E1721</f>
        <v>no</v>
      </c>
      <c r="G1721" s="3" t="n">
        <f aca="false">Raw_Data!F1721</f>
        <v>4415</v>
      </c>
      <c r="H1721" s="3" t="str">
        <f aca="false">Raw_Data!G1721</f>
        <v>yes</v>
      </c>
      <c r="I1721" s="3" t="str">
        <f aca="false">Raw_Data!H1721</f>
        <v>no</v>
      </c>
      <c r="J1721" s="2" t="n">
        <f aca="false">IF(F1721="yes",1,0)</f>
        <v>0</v>
      </c>
      <c r="K1721" s="2" t="n">
        <f aca="false">IF(H1721="yes",1,0)</f>
        <v>1</v>
      </c>
      <c r="L1721" s="2" t="n">
        <f aca="false">IF(I1721="yes",1,0)</f>
        <v>0</v>
      </c>
      <c r="M1721" s="2" t="n">
        <f aca="false">IF(G1721&lt;0,1,0)</f>
        <v>0</v>
      </c>
      <c r="N1721" s="2" t="str">
        <f aca="false">_xlfn.IFS(B1721&lt;30,"Under 30",B1721&lt;40,"30-39",B1721&lt;50,"40-49",B1721&lt;60,"50-59",TRUE(),"60+")</f>
        <v>40-49</v>
      </c>
      <c r="O1721" s="2" t="str">
        <f aca="false">_xlfn.IFS(G1721&lt;0,"1 Negative",G1721=0,"2 Zero",G1721&lt;=500,"3 1-500",G1721&lt;=2000,"4 501-2000",TRUE(),"5 Above 2000")</f>
        <v>5 Above 2000</v>
      </c>
      <c r="P1721" s="2" t="n">
        <f aca="false">Lookups!$B$2*M1721+Lookups!$B$3*L1721</f>
        <v>0</v>
      </c>
      <c r="Q1721" s="2" t="str">
        <f aca="false">INDEX(Lookups!$E$2:$E$5,MATCH(P1721,Lookups!$D$2:$D$5,0))</f>
        <v>Low</v>
      </c>
    </row>
    <row r="1722" customFormat="false" ht="15" hidden="false" customHeight="false" outlineLevel="0" collapsed="false">
      <c r="A1722" s="3" t="n">
        <v>1721</v>
      </c>
      <c r="B1722" s="3" t="n">
        <f aca="false">Raw_Data!A1722</f>
        <v>30</v>
      </c>
      <c r="C1722" s="3" t="str">
        <f aca="false">SUBSTITUTE(Raw_Data!B1722,".","")</f>
        <v>blue-collar</v>
      </c>
      <c r="D1722" s="3" t="str">
        <f aca="false">Raw_Data!C1722</f>
        <v>single</v>
      </c>
      <c r="E1722" s="3" t="str">
        <f aca="false">Raw_Data!D1722</f>
        <v>secondary</v>
      </c>
      <c r="F1722" s="3" t="str">
        <f aca="false">Raw_Data!E1722</f>
        <v>yes</v>
      </c>
      <c r="G1722" s="3" t="n">
        <f aca="false">Raw_Data!F1722</f>
        <v>4</v>
      </c>
      <c r="H1722" s="3" t="str">
        <f aca="false">Raw_Data!G1722</f>
        <v>yes</v>
      </c>
      <c r="I1722" s="3" t="str">
        <f aca="false">Raw_Data!H1722</f>
        <v>no</v>
      </c>
      <c r="J1722" s="2" t="n">
        <f aca="false">IF(F1722="yes",1,0)</f>
        <v>1</v>
      </c>
      <c r="K1722" s="2" t="n">
        <f aca="false">IF(H1722="yes",1,0)</f>
        <v>1</v>
      </c>
      <c r="L1722" s="2" t="n">
        <f aca="false">IF(I1722="yes",1,0)</f>
        <v>0</v>
      </c>
      <c r="M1722" s="2" t="n">
        <f aca="false">IF(G1722&lt;0,1,0)</f>
        <v>0</v>
      </c>
      <c r="N1722" s="2" t="str">
        <f aca="false">_xlfn.IFS(B1722&lt;30,"Under 30",B1722&lt;40,"30-39",B1722&lt;50,"40-49",B1722&lt;60,"50-59",TRUE(),"60+")</f>
        <v>30-39</v>
      </c>
      <c r="O1722" s="2" t="str">
        <f aca="false">_xlfn.IFS(G1722&lt;0,"1 Negative",G1722=0,"2 Zero",G1722&lt;=500,"3 1-500",G1722&lt;=2000,"4 501-2000",TRUE(),"5 Above 2000")</f>
        <v>3 1-500</v>
      </c>
      <c r="P1722" s="2" t="n">
        <f aca="false">Lookups!$B$2*M1722+Lookups!$B$3*L1722</f>
        <v>0</v>
      </c>
      <c r="Q1722" s="2" t="str">
        <f aca="false">INDEX(Lookups!$E$2:$E$5,MATCH(P1722,Lookups!$D$2:$D$5,0))</f>
        <v>Low</v>
      </c>
    </row>
    <row r="1723" customFormat="false" ht="15" hidden="false" customHeight="false" outlineLevel="0" collapsed="false">
      <c r="A1723" s="3" t="n">
        <v>1722</v>
      </c>
      <c r="B1723" s="3" t="n">
        <f aca="false">Raw_Data!A1723</f>
        <v>60</v>
      </c>
      <c r="C1723" s="3" t="str">
        <f aca="false">SUBSTITUTE(Raw_Data!B1723,".","")</f>
        <v>retired</v>
      </c>
      <c r="D1723" s="3" t="str">
        <f aca="false">Raw_Data!C1723</f>
        <v>married</v>
      </c>
      <c r="E1723" s="3" t="str">
        <f aca="false">Raw_Data!D1723</f>
        <v>secondary</v>
      </c>
      <c r="F1723" s="3" t="str">
        <f aca="false">Raw_Data!E1723</f>
        <v>no</v>
      </c>
      <c r="G1723" s="3" t="n">
        <f aca="false">Raw_Data!F1723</f>
        <v>262</v>
      </c>
      <c r="H1723" s="3" t="str">
        <f aca="false">Raw_Data!G1723</f>
        <v>no</v>
      </c>
      <c r="I1723" s="3" t="str">
        <f aca="false">Raw_Data!H1723</f>
        <v>no</v>
      </c>
      <c r="J1723" s="2" t="n">
        <f aca="false">IF(F1723="yes",1,0)</f>
        <v>0</v>
      </c>
      <c r="K1723" s="2" t="n">
        <f aca="false">IF(H1723="yes",1,0)</f>
        <v>0</v>
      </c>
      <c r="L1723" s="2" t="n">
        <f aca="false">IF(I1723="yes",1,0)</f>
        <v>0</v>
      </c>
      <c r="M1723" s="2" t="n">
        <f aca="false">IF(G1723&lt;0,1,0)</f>
        <v>0</v>
      </c>
      <c r="N1723" s="2" t="str">
        <f aca="false">_xlfn.IFS(B1723&lt;30,"Under 30",B1723&lt;40,"30-39",B1723&lt;50,"40-49",B1723&lt;60,"50-59",TRUE(),"60+")</f>
        <v>60+</v>
      </c>
      <c r="O1723" s="2" t="str">
        <f aca="false">_xlfn.IFS(G1723&lt;0,"1 Negative",G1723=0,"2 Zero",G1723&lt;=500,"3 1-500",G1723&lt;=2000,"4 501-2000",TRUE(),"5 Above 2000")</f>
        <v>3 1-500</v>
      </c>
      <c r="P1723" s="2" t="n">
        <f aca="false">Lookups!$B$2*M1723+Lookups!$B$3*L1723</f>
        <v>0</v>
      </c>
      <c r="Q1723" s="2" t="str">
        <f aca="false">INDEX(Lookups!$E$2:$E$5,MATCH(P1723,Lookups!$D$2:$D$5,0))</f>
        <v>Low</v>
      </c>
    </row>
    <row r="1724" customFormat="false" ht="15" hidden="false" customHeight="false" outlineLevel="0" collapsed="false">
      <c r="A1724" s="3" t="n">
        <v>1723</v>
      </c>
      <c r="B1724" s="3" t="n">
        <f aca="false">Raw_Data!A1724</f>
        <v>56</v>
      </c>
      <c r="C1724" s="3" t="str">
        <f aca="false">SUBSTITUTE(Raw_Data!B1724,".","")</f>
        <v>management</v>
      </c>
      <c r="D1724" s="3" t="str">
        <f aca="false">Raw_Data!C1724</f>
        <v>married</v>
      </c>
      <c r="E1724" s="3" t="str">
        <f aca="false">Raw_Data!D1724</f>
        <v>secondary</v>
      </c>
      <c r="F1724" s="3" t="str">
        <f aca="false">Raw_Data!E1724</f>
        <v>no</v>
      </c>
      <c r="G1724" s="3" t="n">
        <f aca="false">Raw_Data!F1724</f>
        <v>238</v>
      </c>
      <c r="H1724" s="3" t="str">
        <f aca="false">Raw_Data!G1724</f>
        <v>yes</v>
      </c>
      <c r="I1724" s="3" t="str">
        <f aca="false">Raw_Data!H1724</f>
        <v>no</v>
      </c>
      <c r="J1724" s="2" t="n">
        <f aca="false">IF(F1724="yes",1,0)</f>
        <v>0</v>
      </c>
      <c r="K1724" s="2" t="n">
        <f aca="false">IF(H1724="yes",1,0)</f>
        <v>1</v>
      </c>
      <c r="L1724" s="2" t="n">
        <f aca="false">IF(I1724="yes",1,0)</f>
        <v>0</v>
      </c>
      <c r="M1724" s="2" t="n">
        <f aca="false">IF(G1724&lt;0,1,0)</f>
        <v>0</v>
      </c>
      <c r="N1724" s="2" t="str">
        <f aca="false">_xlfn.IFS(B1724&lt;30,"Under 30",B1724&lt;40,"30-39",B1724&lt;50,"40-49",B1724&lt;60,"50-59",TRUE(),"60+")</f>
        <v>50-59</v>
      </c>
      <c r="O1724" s="2" t="str">
        <f aca="false">_xlfn.IFS(G1724&lt;0,"1 Negative",G1724=0,"2 Zero",G1724&lt;=500,"3 1-500",G1724&lt;=2000,"4 501-2000",TRUE(),"5 Above 2000")</f>
        <v>3 1-500</v>
      </c>
      <c r="P1724" s="2" t="n">
        <f aca="false">Lookups!$B$2*M1724+Lookups!$B$3*L1724</f>
        <v>0</v>
      </c>
      <c r="Q1724" s="2" t="str">
        <f aca="false">INDEX(Lookups!$E$2:$E$5,MATCH(P1724,Lookups!$D$2:$D$5,0))</f>
        <v>Low</v>
      </c>
    </row>
    <row r="1725" customFormat="false" ht="15" hidden="false" customHeight="false" outlineLevel="0" collapsed="false">
      <c r="A1725" s="3" t="n">
        <v>1724</v>
      </c>
      <c r="B1725" s="3" t="n">
        <f aca="false">Raw_Data!A1725</f>
        <v>45</v>
      </c>
      <c r="C1725" s="3" t="str">
        <f aca="false">SUBSTITUTE(Raw_Data!B1725,".","")</f>
        <v>blue-collar</v>
      </c>
      <c r="D1725" s="3" t="str">
        <f aca="false">Raw_Data!C1725</f>
        <v>married</v>
      </c>
      <c r="E1725" s="3" t="str">
        <f aca="false">Raw_Data!D1725</f>
        <v>primary</v>
      </c>
      <c r="F1725" s="3" t="str">
        <f aca="false">Raw_Data!E1725</f>
        <v>no</v>
      </c>
      <c r="G1725" s="3" t="n">
        <f aca="false">Raw_Data!F1725</f>
        <v>97</v>
      </c>
      <c r="H1725" s="3" t="str">
        <f aca="false">Raw_Data!G1725</f>
        <v>yes</v>
      </c>
      <c r="I1725" s="3" t="str">
        <f aca="false">Raw_Data!H1725</f>
        <v>no</v>
      </c>
      <c r="J1725" s="2" t="n">
        <f aca="false">IF(F1725="yes",1,0)</f>
        <v>0</v>
      </c>
      <c r="K1725" s="2" t="n">
        <f aca="false">IF(H1725="yes",1,0)</f>
        <v>1</v>
      </c>
      <c r="L1725" s="2" t="n">
        <f aca="false">IF(I1725="yes",1,0)</f>
        <v>0</v>
      </c>
      <c r="M1725" s="2" t="n">
        <f aca="false">IF(G1725&lt;0,1,0)</f>
        <v>0</v>
      </c>
      <c r="N1725" s="2" t="str">
        <f aca="false">_xlfn.IFS(B1725&lt;30,"Under 30",B1725&lt;40,"30-39",B1725&lt;50,"40-49",B1725&lt;60,"50-59",TRUE(),"60+")</f>
        <v>40-49</v>
      </c>
      <c r="O1725" s="2" t="str">
        <f aca="false">_xlfn.IFS(G1725&lt;0,"1 Negative",G1725=0,"2 Zero",G1725&lt;=500,"3 1-500",G1725&lt;=2000,"4 501-2000",TRUE(),"5 Above 2000")</f>
        <v>3 1-500</v>
      </c>
      <c r="P1725" s="2" t="n">
        <f aca="false">Lookups!$B$2*M1725+Lookups!$B$3*L1725</f>
        <v>0</v>
      </c>
      <c r="Q1725" s="2" t="str">
        <f aca="false">INDEX(Lookups!$E$2:$E$5,MATCH(P1725,Lookups!$D$2:$D$5,0))</f>
        <v>Low</v>
      </c>
    </row>
    <row r="1726" customFormat="false" ht="15" hidden="false" customHeight="false" outlineLevel="0" collapsed="false">
      <c r="A1726" s="3" t="n">
        <v>1725</v>
      </c>
      <c r="B1726" s="3" t="n">
        <f aca="false">Raw_Data!A1726</f>
        <v>38</v>
      </c>
      <c r="C1726" s="3" t="str">
        <f aca="false">SUBSTITUTE(Raw_Data!B1726,".","")</f>
        <v>technician</v>
      </c>
      <c r="D1726" s="3" t="str">
        <f aca="false">Raw_Data!C1726</f>
        <v>divorced</v>
      </c>
      <c r="E1726" s="3" t="str">
        <f aca="false">Raw_Data!D1726</f>
        <v>secondary</v>
      </c>
      <c r="F1726" s="3" t="str">
        <f aca="false">Raw_Data!E1726</f>
        <v>no</v>
      </c>
      <c r="G1726" s="3" t="n">
        <f aca="false">Raw_Data!F1726</f>
        <v>410</v>
      </c>
      <c r="H1726" s="3" t="str">
        <f aca="false">Raw_Data!G1726</f>
        <v>no</v>
      </c>
      <c r="I1726" s="3" t="str">
        <f aca="false">Raw_Data!H1726</f>
        <v>no</v>
      </c>
      <c r="J1726" s="2" t="n">
        <f aca="false">IF(F1726="yes",1,0)</f>
        <v>0</v>
      </c>
      <c r="K1726" s="2" t="n">
        <f aca="false">IF(H1726="yes",1,0)</f>
        <v>0</v>
      </c>
      <c r="L1726" s="2" t="n">
        <f aca="false">IF(I1726="yes",1,0)</f>
        <v>0</v>
      </c>
      <c r="M1726" s="2" t="n">
        <f aca="false">IF(G1726&lt;0,1,0)</f>
        <v>0</v>
      </c>
      <c r="N1726" s="2" t="str">
        <f aca="false">_xlfn.IFS(B1726&lt;30,"Under 30",B1726&lt;40,"30-39",B1726&lt;50,"40-49",B1726&lt;60,"50-59",TRUE(),"60+")</f>
        <v>30-39</v>
      </c>
      <c r="O1726" s="2" t="str">
        <f aca="false">_xlfn.IFS(G1726&lt;0,"1 Negative",G1726=0,"2 Zero",G1726&lt;=500,"3 1-500",G1726&lt;=2000,"4 501-2000",TRUE(),"5 Above 2000")</f>
        <v>3 1-500</v>
      </c>
      <c r="P1726" s="2" t="n">
        <f aca="false">Lookups!$B$2*M1726+Lookups!$B$3*L1726</f>
        <v>0</v>
      </c>
      <c r="Q1726" s="2" t="str">
        <f aca="false">INDEX(Lookups!$E$2:$E$5,MATCH(P1726,Lookups!$D$2:$D$5,0))</f>
        <v>Low</v>
      </c>
    </row>
    <row r="1727" customFormat="false" ht="15" hidden="false" customHeight="false" outlineLevel="0" collapsed="false">
      <c r="A1727" s="3" t="n">
        <v>1726</v>
      </c>
      <c r="B1727" s="3" t="n">
        <f aca="false">Raw_Data!A1727</f>
        <v>20</v>
      </c>
      <c r="C1727" s="3" t="str">
        <f aca="false">SUBSTITUTE(Raw_Data!B1727,".","")</f>
        <v>student</v>
      </c>
      <c r="D1727" s="3" t="str">
        <f aca="false">Raw_Data!C1727</f>
        <v>single</v>
      </c>
      <c r="E1727" s="3" t="str">
        <f aca="false">Raw_Data!D1727</f>
        <v>secondary</v>
      </c>
      <c r="F1727" s="3" t="str">
        <f aca="false">Raw_Data!E1727</f>
        <v>no</v>
      </c>
      <c r="G1727" s="3" t="n">
        <f aca="false">Raw_Data!F1727</f>
        <v>1191</v>
      </c>
      <c r="H1727" s="3" t="str">
        <f aca="false">Raw_Data!G1727</f>
        <v>no</v>
      </c>
      <c r="I1727" s="3" t="str">
        <f aca="false">Raw_Data!H1727</f>
        <v>no</v>
      </c>
      <c r="J1727" s="2" t="n">
        <f aca="false">IF(F1727="yes",1,0)</f>
        <v>0</v>
      </c>
      <c r="K1727" s="2" t="n">
        <f aca="false">IF(H1727="yes",1,0)</f>
        <v>0</v>
      </c>
      <c r="L1727" s="2" t="n">
        <f aca="false">IF(I1727="yes",1,0)</f>
        <v>0</v>
      </c>
      <c r="M1727" s="2" t="n">
        <f aca="false">IF(G1727&lt;0,1,0)</f>
        <v>0</v>
      </c>
      <c r="N1727" s="2" t="str">
        <f aca="false">_xlfn.IFS(B1727&lt;30,"Under 30",B1727&lt;40,"30-39",B1727&lt;50,"40-49",B1727&lt;60,"50-59",TRUE(),"60+")</f>
        <v>Under 30</v>
      </c>
      <c r="O1727" s="2" t="str">
        <f aca="false">_xlfn.IFS(G1727&lt;0,"1 Negative",G1727=0,"2 Zero",G1727&lt;=500,"3 1-500",G1727&lt;=2000,"4 501-2000",TRUE(),"5 Above 2000")</f>
        <v>4 501-2000</v>
      </c>
      <c r="P1727" s="2" t="n">
        <f aca="false">Lookups!$B$2*M1727+Lookups!$B$3*L1727</f>
        <v>0</v>
      </c>
      <c r="Q1727" s="2" t="str">
        <f aca="false">INDEX(Lookups!$E$2:$E$5,MATCH(P1727,Lookups!$D$2:$D$5,0))</f>
        <v>Low</v>
      </c>
    </row>
    <row r="1728" customFormat="false" ht="15" hidden="false" customHeight="false" outlineLevel="0" collapsed="false">
      <c r="A1728" s="3" t="n">
        <v>1727</v>
      </c>
      <c r="B1728" s="3" t="n">
        <f aca="false">Raw_Data!A1728</f>
        <v>59</v>
      </c>
      <c r="C1728" s="3" t="str">
        <f aca="false">SUBSTITUTE(Raw_Data!B1728,".","")</f>
        <v>retired</v>
      </c>
      <c r="D1728" s="3" t="str">
        <f aca="false">Raw_Data!C1728</f>
        <v>married</v>
      </c>
      <c r="E1728" s="3" t="str">
        <f aca="false">Raw_Data!D1728</f>
        <v>primary</v>
      </c>
      <c r="F1728" s="3" t="str">
        <f aca="false">Raw_Data!E1728</f>
        <v>no</v>
      </c>
      <c r="G1728" s="3" t="n">
        <f aca="false">Raw_Data!F1728</f>
        <v>-47</v>
      </c>
      <c r="H1728" s="3" t="str">
        <f aca="false">Raw_Data!G1728</f>
        <v>yes</v>
      </c>
      <c r="I1728" s="3" t="str">
        <f aca="false">Raw_Data!H1728</f>
        <v>no</v>
      </c>
      <c r="J1728" s="2" t="n">
        <f aca="false">IF(F1728="yes",1,0)</f>
        <v>0</v>
      </c>
      <c r="K1728" s="2" t="n">
        <f aca="false">IF(H1728="yes",1,0)</f>
        <v>1</v>
      </c>
      <c r="L1728" s="2" t="n">
        <f aca="false">IF(I1728="yes",1,0)</f>
        <v>0</v>
      </c>
      <c r="M1728" s="2" t="n">
        <f aca="false">IF(G1728&lt;0,1,0)</f>
        <v>1</v>
      </c>
      <c r="N1728" s="2" t="str">
        <f aca="false">_xlfn.IFS(B1728&lt;30,"Under 30",B1728&lt;40,"30-39",B1728&lt;50,"40-49",B1728&lt;60,"50-59",TRUE(),"60+")</f>
        <v>50-59</v>
      </c>
      <c r="O1728" s="2" t="str">
        <f aca="false">_xlfn.IFS(G1728&lt;0,"1 Negative",G1728=0,"2 Zero",G1728&lt;=500,"3 1-500",G1728&lt;=2000,"4 501-2000",TRUE(),"5 Above 2000")</f>
        <v>1 Negative</v>
      </c>
      <c r="P1728" s="2" t="n">
        <f aca="false">Lookups!$B$2*M1728+Lookups!$B$3*L1728</f>
        <v>2</v>
      </c>
      <c r="Q1728" s="2" t="str">
        <f aca="false">INDEX(Lookups!$E$2:$E$5,MATCH(P1728,Lookups!$D$2:$D$5,0))</f>
        <v>High</v>
      </c>
    </row>
    <row r="1729" customFormat="false" ht="15" hidden="false" customHeight="false" outlineLevel="0" collapsed="false">
      <c r="A1729" s="3" t="n">
        <v>1728</v>
      </c>
      <c r="B1729" s="3" t="n">
        <f aca="false">Raw_Data!A1729</f>
        <v>34</v>
      </c>
      <c r="C1729" s="3" t="str">
        <f aca="false">SUBSTITUTE(Raw_Data!B1729,".","")</f>
        <v>technician</v>
      </c>
      <c r="D1729" s="3" t="str">
        <f aca="false">Raw_Data!C1729</f>
        <v>married</v>
      </c>
      <c r="E1729" s="3" t="str">
        <f aca="false">Raw_Data!D1729</f>
        <v>tertiary</v>
      </c>
      <c r="F1729" s="3" t="str">
        <f aca="false">Raw_Data!E1729</f>
        <v>no</v>
      </c>
      <c r="G1729" s="3" t="n">
        <f aca="false">Raw_Data!F1729</f>
        <v>197</v>
      </c>
      <c r="H1729" s="3" t="str">
        <f aca="false">Raw_Data!G1729</f>
        <v>no</v>
      </c>
      <c r="I1729" s="3" t="str">
        <f aca="false">Raw_Data!H1729</f>
        <v>no</v>
      </c>
      <c r="J1729" s="2" t="n">
        <f aca="false">IF(F1729="yes",1,0)</f>
        <v>0</v>
      </c>
      <c r="K1729" s="2" t="n">
        <f aca="false">IF(H1729="yes",1,0)</f>
        <v>0</v>
      </c>
      <c r="L1729" s="2" t="n">
        <f aca="false">IF(I1729="yes",1,0)</f>
        <v>0</v>
      </c>
      <c r="M1729" s="2" t="n">
        <f aca="false">IF(G1729&lt;0,1,0)</f>
        <v>0</v>
      </c>
      <c r="N1729" s="2" t="str">
        <f aca="false">_xlfn.IFS(B1729&lt;30,"Under 30",B1729&lt;40,"30-39",B1729&lt;50,"40-49",B1729&lt;60,"50-59",TRUE(),"60+")</f>
        <v>30-39</v>
      </c>
      <c r="O1729" s="2" t="str">
        <f aca="false">_xlfn.IFS(G1729&lt;0,"1 Negative",G1729=0,"2 Zero",G1729&lt;=500,"3 1-500",G1729&lt;=2000,"4 501-2000",TRUE(),"5 Above 2000")</f>
        <v>3 1-500</v>
      </c>
      <c r="P1729" s="2" t="n">
        <f aca="false">Lookups!$B$2*M1729+Lookups!$B$3*L1729</f>
        <v>0</v>
      </c>
      <c r="Q1729" s="2" t="str">
        <f aca="false">INDEX(Lookups!$E$2:$E$5,MATCH(P1729,Lookups!$D$2:$D$5,0))</f>
        <v>Low</v>
      </c>
    </row>
    <row r="1730" customFormat="false" ht="15" hidden="false" customHeight="false" outlineLevel="0" collapsed="false">
      <c r="A1730" s="3" t="n">
        <v>1729</v>
      </c>
      <c r="B1730" s="3" t="n">
        <f aca="false">Raw_Data!A1730</f>
        <v>36</v>
      </c>
      <c r="C1730" s="3" t="str">
        <f aca="false">SUBSTITUTE(Raw_Data!B1730,".","")</f>
        <v>blue-collar</v>
      </c>
      <c r="D1730" s="3" t="str">
        <f aca="false">Raw_Data!C1730</f>
        <v>married</v>
      </c>
      <c r="E1730" s="3" t="str">
        <f aca="false">Raw_Data!D1730</f>
        <v>unknown</v>
      </c>
      <c r="F1730" s="3" t="str">
        <f aca="false">Raw_Data!E1730</f>
        <v>no</v>
      </c>
      <c r="G1730" s="3" t="n">
        <f aca="false">Raw_Data!F1730</f>
        <v>6</v>
      </c>
      <c r="H1730" s="3" t="str">
        <f aca="false">Raw_Data!G1730</f>
        <v>no</v>
      </c>
      <c r="I1730" s="3" t="str">
        <f aca="false">Raw_Data!H1730</f>
        <v>no</v>
      </c>
      <c r="J1730" s="2" t="n">
        <f aca="false">IF(F1730="yes",1,0)</f>
        <v>0</v>
      </c>
      <c r="K1730" s="2" t="n">
        <f aca="false">IF(H1730="yes",1,0)</f>
        <v>0</v>
      </c>
      <c r="L1730" s="2" t="n">
        <f aca="false">IF(I1730="yes",1,0)</f>
        <v>0</v>
      </c>
      <c r="M1730" s="2" t="n">
        <f aca="false">IF(G1730&lt;0,1,0)</f>
        <v>0</v>
      </c>
      <c r="N1730" s="2" t="str">
        <f aca="false">_xlfn.IFS(B1730&lt;30,"Under 30",B1730&lt;40,"30-39",B1730&lt;50,"40-49",B1730&lt;60,"50-59",TRUE(),"60+")</f>
        <v>30-39</v>
      </c>
      <c r="O1730" s="2" t="str">
        <f aca="false">_xlfn.IFS(G1730&lt;0,"1 Negative",G1730=0,"2 Zero",G1730&lt;=500,"3 1-500",G1730&lt;=2000,"4 501-2000",TRUE(),"5 Above 2000")</f>
        <v>3 1-500</v>
      </c>
      <c r="P1730" s="2" t="n">
        <f aca="false">Lookups!$B$2*M1730+Lookups!$B$3*L1730</f>
        <v>0</v>
      </c>
      <c r="Q1730" s="2" t="str">
        <f aca="false">INDEX(Lookups!$E$2:$E$5,MATCH(P1730,Lookups!$D$2:$D$5,0))</f>
        <v>Low</v>
      </c>
    </row>
    <row r="1731" customFormat="false" ht="15" hidden="false" customHeight="false" outlineLevel="0" collapsed="false">
      <c r="A1731" s="3" t="n">
        <v>1730</v>
      </c>
      <c r="B1731" s="3" t="n">
        <f aca="false">Raw_Data!A1731</f>
        <v>53</v>
      </c>
      <c r="C1731" s="3" t="str">
        <f aca="false">SUBSTITUTE(Raw_Data!B1731,".","")</f>
        <v>admin</v>
      </c>
      <c r="D1731" s="3" t="str">
        <f aca="false">Raw_Data!C1731</f>
        <v>single</v>
      </c>
      <c r="E1731" s="3" t="str">
        <f aca="false">Raw_Data!D1731</f>
        <v>secondary</v>
      </c>
      <c r="F1731" s="3" t="str">
        <f aca="false">Raw_Data!E1731</f>
        <v>no</v>
      </c>
      <c r="G1731" s="3" t="n">
        <f aca="false">Raw_Data!F1731</f>
        <v>2398</v>
      </c>
      <c r="H1731" s="3" t="str">
        <f aca="false">Raw_Data!G1731</f>
        <v>yes</v>
      </c>
      <c r="I1731" s="3" t="str">
        <f aca="false">Raw_Data!H1731</f>
        <v>no</v>
      </c>
      <c r="J1731" s="2" t="n">
        <f aca="false">IF(F1731="yes",1,0)</f>
        <v>0</v>
      </c>
      <c r="K1731" s="2" t="n">
        <f aca="false">IF(H1731="yes",1,0)</f>
        <v>1</v>
      </c>
      <c r="L1731" s="2" t="n">
        <f aca="false">IF(I1731="yes",1,0)</f>
        <v>0</v>
      </c>
      <c r="M1731" s="2" t="n">
        <f aca="false">IF(G1731&lt;0,1,0)</f>
        <v>0</v>
      </c>
      <c r="N1731" s="2" t="str">
        <f aca="false">_xlfn.IFS(B1731&lt;30,"Under 30",B1731&lt;40,"30-39",B1731&lt;50,"40-49",B1731&lt;60,"50-59",TRUE(),"60+")</f>
        <v>50-59</v>
      </c>
      <c r="O1731" s="2" t="str">
        <f aca="false">_xlfn.IFS(G1731&lt;0,"1 Negative",G1731=0,"2 Zero",G1731&lt;=500,"3 1-500",G1731&lt;=2000,"4 501-2000",TRUE(),"5 Above 2000")</f>
        <v>5 Above 2000</v>
      </c>
      <c r="P1731" s="2" t="n">
        <f aca="false">Lookups!$B$2*M1731+Lookups!$B$3*L1731</f>
        <v>0</v>
      </c>
      <c r="Q1731" s="2" t="str">
        <f aca="false">INDEX(Lookups!$E$2:$E$5,MATCH(P1731,Lookups!$D$2:$D$5,0))</f>
        <v>Low</v>
      </c>
    </row>
    <row r="1732" customFormat="false" ht="15" hidden="false" customHeight="false" outlineLevel="0" collapsed="false">
      <c r="A1732" s="3" t="n">
        <v>1731</v>
      </c>
      <c r="B1732" s="3" t="n">
        <f aca="false">Raw_Data!A1732</f>
        <v>51</v>
      </c>
      <c r="C1732" s="3" t="str">
        <f aca="false">SUBSTITUTE(Raw_Data!B1732,".","")</f>
        <v>management</v>
      </c>
      <c r="D1732" s="3" t="str">
        <f aca="false">Raw_Data!C1732</f>
        <v>married</v>
      </c>
      <c r="E1732" s="3" t="str">
        <f aca="false">Raw_Data!D1732</f>
        <v>tertiary</v>
      </c>
      <c r="F1732" s="3" t="str">
        <f aca="false">Raw_Data!E1732</f>
        <v>no</v>
      </c>
      <c r="G1732" s="3" t="n">
        <f aca="false">Raw_Data!F1732</f>
        <v>630</v>
      </c>
      <c r="H1732" s="3" t="str">
        <f aca="false">Raw_Data!G1732</f>
        <v>yes</v>
      </c>
      <c r="I1732" s="3" t="str">
        <f aca="false">Raw_Data!H1732</f>
        <v>no</v>
      </c>
      <c r="J1732" s="2" t="n">
        <f aca="false">IF(F1732="yes",1,0)</f>
        <v>0</v>
      </c>
      <c r="K1732" s="2" t="n">
        <f aca="false">IF(H1732="yes",1,0)</f>
        <v>1</v>
      </c>
      <c r="L1732" s="2" t="n">
        <f aca="false">IF(I1732="yes",1,0)</f>
        <v>0</v>
      </c>
      <c r="M1732" s="2" t="n">
        <f aca="false">IF(G1732&lt;0,1,0)</f>
        <v>0</v>
      </c>
      <c r="N1732" s="2" t="str">
        <f aca="false">_xlfn.IFS(B1732&lt;30,"Under 30",B1732&lt;40,"30-39",B1732&lt;50,"40-49",B1732&lt;60,"50-59",TRUE(),"60+")</f>
        <v>50-59</v>
      </c>
      <c r="O1732" s="2" t="str">
        <f aca="false">_xlfn.IFS(G1732&lt;0,"1 Negative",G1732=0,"2 Zero",G1732&lt;=500,"3 1-500",G1732&lt;=2000,"4 501-2000",TRUE(),"5 Above 2000")</f>
        <v>4 501-2000</v>
      </c>
      <c r="P1732" s="2" t="n">
        <f aca="false">Lookups!$B$2*M1732+Lookups!$B$3*L1732</f>
        <v>0</v>
      </c>
      <c r="Q1732" s="2" t="str">
        <f aca="false">INDEX(Lookups!$E$2:$E$5,MATCH(P1732,Lookups!$D$2:$D$5,0))</f>
        <v>Low</v>
      </c>
    </row>
    <row r="1733" customFormat="false" ht="15" hidden="false" customHeight="false" outlineLevel="0" collapsed="false">
      <c r="A1733" s="3" t="n">
        <v>1732</v>
      </c>
      <c r="B1733" s="3" t="n">
        <f aca="false">Raw_Data!A1733</f>
        <v>58</v>
      </c>
      <c r="C1733" s="3" t="str">
        <f aca="false">SUBSTITUTE(Raw_Data!B1733,".","")</f>
        <v>retired</v>
      </c>
      <c r="D1733" s="3" t="str">
        <f aca="false">Raw_Data!C1733</f>
        <v>married</v>
      </c>
      <c r="E1733" s="3" t="str">
        <f aca="false">Raw_Data!D1733</f>
        <v>secondary</v>
      </c>
      <c r="F1733" s="3" t="str">
        <f aca="false">Raw_Data!E1733</f>
        <v>no</v>
      </c>
      <c r="G1733" s="3" t="n">
        <f aca="false">Raw_Data!F1733</f>
        <v>235</v>
      </c>
      <c r="H1733" s="3" t="str">
        <f aca="false">Raw_Data!G1733</f>
        <v>no</v>
      </c>
      <c r="I1733" s="3" t="str">
        <f aca="false">Raw_Data!H1733</f>
        <v>no</v>
      </c>
      <c r="J1733" s="2" t="n">
        <f aca="false">IF(F1733="yes",1,0)</f>
        <v>0</v>
      </c>
      <c r="K1733" s="2" t="n">
        <f aca="false">IF(H1733="yes",1,0)</f>
        <v>0</v>
      </c>
      <c r="L1733" s="2" t="n">
        <f aca="false">IF(I1733="yes",1,0)</f>
        <v>0</v>
      </c>
      <c r="M1733" s="2" t="n">
        <f aca="false">IF(G1733&lt;0,1,0)</f>
        <v>0</v>
      </c>
      <c r="N1733" s="2" t="str">
        <f aca="false">_xlfn.IFS(B1733&lt;30,"Under 30",B1733&lt;40,"30-39",B1733&lt;50,"40-49",B1733&lt;60,"50-59",TRUE(),"60+")</f>
        <v>50-59</v>
      </c>
      <c r="O1733" s="2" t="str">
        <f aca="false">_xlfn.IFS(G1733&lt;0,"1 Negative",G1733=0,"2 Zero",G1733&lt;=500,"3 1-500",G1733&lt;=2000,"4 501-2000",TRUE(),"5 Above 2000")</f>
        <v>3 1-500</v>
      </c>
      <c r="P1733" s="2" t="n">
        <f aca="false">Lookups!$B$2*M1733+Lookups!$B$3*L1733</f>
        <v>0</v>
      </c>
      <c r="Q1733" s="2" t="str">
        <f aca="false">INDEX(Lookups!$E$2:$E$5,MATCH(P1733,Lookups!$D$2:$D$5,0))</f>
        <v>Low</v>
      </c>
    </row>
    <row r="1734" customFormat="false" ht="15" hidden="false" customHeight="false" outlineLevel="0" collapsed="false">
      <c r="A1734" s="3" t="n">
        <v>1733</v>
      </c>
      <c r="B1734" s="3" t="n">
        <f aca="false">Raw_Data!A1734</f>
        <v>48</v>
      </c>
      <c r="C1734" s="3" t="str">
        <f aca="false">SUBSTITUTE(Raw_Data!B1734,".","")</f>
        <v>management</v>
      </c>
      <c r="D1734" s="3" t="str">
        <f aca="false">Raw_Data!C1734</f>
        <v>married</v>
      </c>
      <c r="E1734" s="3" t="str">
        <f aca="false">Raw_Data!D1734</f>
        <v>primary</v>
      </c>
      <c r="F1734" s="3" t="str">
        <f aca="false">Raw_Data!E1734</f>
        <v>no</v>
      </c>
      <c r="G1734" s="3" t="n">
        <f aca="false">Raw_Data!F1734</f>
        <v>1910</v>
      </c>
      <c r="H1734" s="3" t="str">
        <f aca="false">Raw_Data!G1734</f>
        <v>yes</v>
      </c>
      <c r="I1734" s="3" t="str">
        <f aca="false">Raw_Data!H1734</f>
        <v>no</v>
      </c>
      <c r="J1734" s="2" t="n">
        <f aca="false">IF(F1734="yes",1,0)</f>
        <v>0</v>
      </c>
      <c r="K1734" s="2" t="n">
        <f aca="false">IF(H1734="yes",1,0)</f>
        <v>1</v>
      </c>
      <c r="L1734" s="2" t="n">
        <f aca="false">IF(I1734="yes",1,0)</f>
        <v>0</v>
      </c>
      <c r="M1734" s="2" t="n">
        <f aca="false">IF(G1734&lt;0,1,0)</f>
        <v>0</v>
      </c>
      <c r="N1734" s="2" t="str">
        <f aca="false">_xlfn.IFS(B1734&lt;30,"Under 30",B1734&lt;40,"30-39",B1734&lt;50,"40-49",B1734&lt;60,"50-59",TRUE(),"60+")</f>
        <v>40-49</v>
      </c>
      <c r="O1734" s="2" t="str">
        <f aca="false">_xlfn.IFS(G1734&lt;0,"1 Negative",G1734=0,"2 Zero",G1734&lt;=500,"3 1-500",G1734&lt;=2000,"4 501-2000",TRUE(),"5 Above 2000")</f>
        <v>4 501-2000</v>
      </c>
      <c r="P1734" s="2" t="n">
        <f aca="false">Lookups!$B$2*M1734+Lookups!$B$3*L1734</f>
        <v>0</v>
      </c>
      <c r="Q1734" s="2" t="str">
        <f aca="false">INDEX(Lookups!$E$2:$E$5,MATCH(P1734,Lookups!$D$2:$D$5,0))</f>
        <v>Low</v>
      </c>
    </row>
    <row r="1735" customFormat="false" ht="15" hidden="false" customHeight="false" outlineLevel="0" collapsed="false">
      <c r="A1735" s="3" t="n">
        <v>1734</v>
      </c>
      <c r="B1735" s="3" t="n">
        <f aca="false">Raw_Data!A1735</f>
        <v>56</v>
      </c>
      <c r="C1735" s="3" t="str">
        <f aca="false">SUBSTITUTE(Raw_Data!B1735,".","")</f>
        <v>management</v>
      </c>
      <c r="D1735" s="3" t="str">
        <f aca="false">Raw_Data!C1735</f>
        <v>married</v>
      </c>
      <c r="E1735" s="3" t="str">
        <f aca="false">Raw_Data!D1735</f>
        <v>tertiary</v>
      </c>
      <c r="F1735" s="3" t="str">
        <f aca="false">Raw_Data!E1735</f>
        <v>no</v>
      </c>
      <c r="G1735" s="3" t="n">
        <f aca="false">Raw_Data!F1735</f>
        <v>3172</v>
      </c>
      <c r="H1735" s="3" t="str">
        <f aca="false">Raw_Data!G1735</f>
        <v>yes</v>
      </c>
      <c r="I1735" s="3" t="str">
        <f aca="false">Raw_Data!H1735</f>
        <v>no</v>
      </c>
      <c r="J1735" s="2" t="n">
        <f aca="false">IF(F1735="yes",1,0)</f>
        <v>0</v>
      </c>
      <c r="K1735" s="2" t="n">
        <f aca="false">IF(H1735="yes",1,0)</f>
        <v>1</v>
      </c>
      <c r="L1735" s="2" t="n">
        <f aca="false">IF(I1735="yes",1,0)</f>
        <v>0</v>
      </c>
      <c r="M1735" s="2" t="n">
        <f aca="false">IF(G1735&lt;0,1,0)</f>
        <v>0</v>
      </c>
      <c r="N1735" s="2" t="str">
        <f aca="false">_xlfn.IFS(B1735&lt;30,"Under 30",B1735&lt;40,"30-39",B1735&lt;50,"40-49",B1735&lt;60,"50-59",TRUE(),"60+")</f>
        <v>50-59</v>
      </c>
      <c r="O1735" s="2" t="str">
        <f aca="false">_xlfn.IFS(G1735&lt;0,"1 Negative",G1735=0,"2 Zero",G1735&lt;=500,"3 1-500",G1735&lt;=2000,"4 501-2000",TRUE(),"5 Above 2000")</f>
        <v>5 Above 2000</v>
      </c>
      <c r="P1735" s="2" t="n">
        <f aca="false">Lookups!$B$2*M1735+Lookups!$B$3*L1735</f>
        <v>0</v>
      </c>
      <c r="Q1735" s="2" t="str">
        <f aca="false">INDEX(Lookups!$E$2:$E$5,MATCH(P1735,Lookups!$D$2:$D$5,0))</f>
        <v>Low</v>
      </c>
    </row>
    <row r="1736" customFormat="false" ht="15" hidden="false" customHeight="false" outlineLevel="0" collapsed="false">
      <c r="A1736" s="3" t="n">
        <v>1735</v>
      </c>
      <c r="B1736" s="3" t="n">
        <f aca="false">Raw_Data!A1736</f>
        <v>51</v>
      </c>
      <c r="C1736" s="3" t="str">
        <f aca="false">SUBSTITUTE(Raw_Data!B1736,".","")</f>
        <v>blue-collar</v>
      </c>
      <c r="D1736" s="3" t="str">
        <f aca="false">Raw_Data!C1736</f>
        <v>married</v>
      </c>
      <c r="E1736" s="3" t="str">
        <f aca="false">Raw_Data!D1736</f>
        <v>primary</v>
      </c>
      <c r="F1736" s="3" t="str">
        <f aca="false">Raw_Data!E1736</f>
        <v>no</v>
      </c>
      <c r="G1736" s="3" t="n">
        <f aca="false">Raw_Data!F1736</f>
        <v>872</v>
      </c>
      <c r="H1736" s="3" t="str">
        <f aca="false">Raw_Data!G1736</f>
        <v>no</v>
      </c>
      <c r="I1736" s="3" t="str">
        <f aca="false">Raw_Data!H1736</f>
        <v>no</v>
      </c>
      <c r="J1736" s="2" t="n">
        <f aca="false">IF(F1736="yes",1,0)</f>
        <v>0</v>
      </c>
      <c r="K1736" s="2" t="n">
        <f aca="false">IF(H1736="yes",1,0)</f>
        <v>0</v>
      </c>
      <c r="L1736" s="2" t="n">
        <f aca="false">IF(I1736="yes",1,0)</f>
        <v>0</v>
      </c>
      <c r="M1736" s="2" t="n">
        <f aca="false">IF(G1736&lt;0,1,0)</f>
        <v>0</v>
      </c>
      <c r="N1736" s="2" t="str">
        <f aca="false">_xlfn.IFS(B1736&lt;30,"Under 30",B1736&lt;40,"30-39",B1736&lt;50,"40-49",B1736&lt;60,"50-59",TRUE(),"60+")</f>
        <v>50-59</v>
      </c>
      <c r="O1736" s="2" t="str">
        <f aca="false">_xlfn.IFS(G1736&lt;0,"1 Negative",G1736=0,"2 Zero",G1736&lt;=500,"3 1-500",G1736&lt;=2000,"4 501-2000",TRUE(),"5 Above 2000")</f>
        <v>4 501-2000</v>
      </c>
      <c r="P1736" s="2" t="n">
        <f aca="false">Lookups!$B$2*M1736+Lookups!$B$3*L1736</f>
        <v>0</v>
      </c>
      <c r="Q1736" s="2" t="str">
        <f aca="false">INDEX(Lookups!$E$2:$E$5,MATCH(P1736,Lookups!$D$2:$D$5,0))</f>
        <v>Low</v>
      </c>
    </row>
    <row r="1737" customFormat="false" ht="15" hidden="false" customHeight="false" outlineLevel="0" collapsed="false">
      <c r="A1737" s="3" t="n">
        <v>1736</v>
      </c>
      <c r="B1737" s="3" t="n">
        <f aca="false">Raw_Data!A1737</f>
        <v>35</v>
      </c>
      <c r="C1737" s="3" t="str">
        <f aca="false">SUBSTITUTE(Raw_Data!B1737,".","")</f>
        <v>blue-collar</v>
      </c>
      <c r="D1737" s="3" t="str">
        <f aca="false">Raw_Data!C1737</f>
        <v>married</v>
      </c>
      <c r="E1737" s="3" t="str">
        <f aca="false">Raw_Data!D1737</f>
        <v>secondary</v>
      </c>
      <c r="F1737" s="3" t="str">
        <f aca="false">Raw_Data!E1737</f>
        <v>no</v>
      </c>
      <c r="G1737" s="3" t="n">
        <f aca="false">Raw_Data!F1737</f>
        <v>407</v>
      </c>
      <c r="H1737" s="3" t="str">
        <f aca="false">Raw_Data!G1737</f>
        <v>yes</v>
      </c>
      <c r="I1737" s="3" t="str">
        <f aca="false">Raw_Data!H1737</f>
        <v>no</v>
      </c>
      <c r="J1737" s="2" t="n">
        <f aca="false">IF(F1737="yes",1,0)</f>
        <v>0</v>
      </c>
      <c r="K1737" s="2" t="n">
        <f aca="false">IF(H1737="yes",1,0)</f>
        <v>1</v>
      </c>
      <c r="L1737" s="2" t="n">
        <f aca="false">IF(I1737="yes",1,0)</f>
        <v>0</v>
      </c>
      <c r="M1737" s="2" t="n">
        <f aca="false">IF(G1737&lt;0,1,0)</f>
        <v>0</v>
      </c>
      <c r="N1737" s="2" t="str">
        <f aca="false">_xlfn.IFS(B1737&lt;30,"Under 30",B1737&lt;40,"30-39",B1737&lt;50,"40-49",B1737&lt;60,"50-59",TRUE(),"60+")</f>
        <v>30-39</v>
      </c>
      <c r="O1737" s="2" t="str">
        <f aca="false">_xlfn.IFS(G1737&lt;0,"1 Negative",G1737=0,"2 Zero",G1737&lt;=500,"3 1-500",G1737&lt;=2000,"4 501-2000",TRUE(),"5 Above 2000")</f>
        <v>3 1-500</v>
      </c>
      <c r="P1737" s="2" t="n">
        <f aca="false">Lookups!$B$2*M1737+Lookups!$B$3*L1737</f>
        <v>0</v>
      </c>
      <c r="Q1737" s="2" t="str">
        <f aca="false">INDEX(Lookups!$E$2:$E$5,MATCH(P1737,Lookups!$D$2:$D$5,0))</f>
        <v>Low</v>
      </c>
    </row>
    <row r="1738" customFormat="false" ht="15" hidden="false" customHeight="false" outlineLevel="0" collapsed="false">
      <c r="A1738" s="3" t="n">
        <v>1737</v>
      </c>
      <c r="B1738" s="3" t="n">
        <f aca="false">Raw_Data!A1738</f>
        <v>40</v>
      </c>
      <c r="C1738" s="3" t="str">
        <f aca="false">SUBSTITUTE(Raw_Data!B1738,".","")</f>
        <v>admin</v>
      </c>
      <c r="D1738" s="3" t="str">
        <f aca="false">Raw_Data!C1738</f>
        <v>single</v>
      </c>
      <c r="E1738" s="3" t="str">
        <f aca="false">Raw_Data!D1738</f>
        <v>secondary</v>
      </c>
      <c r="F1738" s="3" t="str">
        <f aca="false">Raw_Data!E1738</f>
        <v>no</v>
      </c>
      <c r="G1738" s="3" t="n">
        <f aca="false">Raw_Data!F1738</f>
        <v>100</v>
      </c>
      <c r="H1738" s="3" t="str">
        <f aca="false">Raw_Data!G1738</f>
        <v>yes</v>
      </c>
      <c r="I1738" s="3" t="str">
        <f aca="false">Raw_Data!H1738</f>
        <v>no</v>
      </c>
      <c r="J1738" s="2" t="n">
        <f aca="false">IF(F1738="yes",1,0)</f>
        <v>0</v>
      </c>
      <c r="K1738" s="2" t="n">
        <f aca="false">IF(H1738="yes",1,0)</f>
        <v>1</v>
      </c>
      <c r="L1738" s="2" t="n">
        <f aca="false">IF(I1738="yes",1,0)</f>
        <v>0</v>
      </c>
      <c r="M1738" s="2" t="n">
        <f aca="false">IF(G1738&lt;0,1,0)</f>
        <v>0</v>
      </c>
      <c r="N1738" s="2" t="str">
        <f aca="false">_xlfn.IFS(B1738&lt;30,"Under 30",B1738&lt;40,"30-39",B1738&lt;50,"40-49",B1738&lt;60,"50-59",TRUE(),"60+")</f>
        <v>40-49</v>
      </c>
      <c r="O1738" s="2" t="str">
        <f aca="false">_xlfn.IFS(G1738&lt;0,"1 Negative",G1738=0,"2 Zero",G1738&lt;=500,"3 1-500",G1738&lt;=2000,"4 501-2000",TRUE(),"5 Above 2000")</f>
        <v>3 1-500</v>
      </c>
      <c r="P1738" s="2" t="n">
        <f aca="false">Lookups!$B$2*M1738+Lookups!$B$3*L1738</f>
        <v>0</v>
      </c>
      <c r="Q1738" s="2" t="str">
        <f aca="false">INDEX(Lookups!$E$2:$E$5,MATCH(P1738,Lookups!$D$2:$D$5,0))</f>
        <v>Low</v>
      </c>
    </row>
    <row r="1739" customFormat="false" ht="15" hidden="false" customHeight="false" outlineLevel="0" collapsed="false">
      <c r="A1739" s="3" t="n">
        <v>1738</v>
      </c>
      <c r="B1739" s="3" t="n">
        <f aca="false">Raw_Data!A1739</f>
        <v>59</v>
      </c>
      <c r="C1739" s="3" t="str">
        <f aca="false">SUBSTITUTE(Raw_Data!B1739,".","")</f>
        <v>housemaid</v>
      </c>
      <c r="D1739" s="3" t="str">
        <f aca="false">Raw_Data!C1739</f>
        <v>married</v>
      </c>
      <c r="E1739" s="3" t="str">
        <f aca="false">Raw_Data!D1739</f>
        <v>secondary</v>
      </c>
      <c r="F1739" s="3" t="str">
        <f aca="false">Raw_Data!E1739</f>
        <v>no</v>
      </c>
      <c r="G1739" s="3" t="n">
        <f aca="false">Raw_Data!F1739</f>
        <v>345</v>
      </c>
      <c r="H1739" s="3" t="str">
        <f aca="false">Raw_Data!G1739</f>
        <v>no</v>
      </c>
      <c r="I1739" s="3" t="str">
        <f aca="false">Raw_Data!H1739</f>
        <v>no</v>
      </c>
      <c r="J1739" s="2" t="n">
        <f aca="false">IF(F1739="yes",1,0)</f>
        <v>0</v>
      </c>
      <c r="K1739" s="2" t="n">
        <f aca="false">IF(H1739="yes",1,0)</f>
        <v>0</v>
      </c>
      <c r="L1739" s="2" t="n">
        <f aca="false">IF(I1739="yes",1,0)</f>
        <v>0</v>
      </c>
      <c r="M1739" s="2" t="n">
        <f aca="false">IF(G1739&lt;0,1,0)</f>
        <v>0</v>
      </c>
      <c r="N1739" s="2" t="str">
        <f aca="false">_xlfn.IFS(B1739&lt;30,"Under 30",B1739&lt;40,"30-39",B1739&lt;50,"40-49",B1739&lt;60,"50-59",TRUE(),"60+")</f>
        <v>50-59</v>
      </c>
      <c r="O1739" s="2" t="str">
        <f aca="false">_xlfn.IFS(G1739&lt;0,"1 Negative",G1739=0,"2 Zero",G1739&lt;=500,"3 1-500",G1739&lt;=2000,"4 501-2000",TRUE(),"5 Above 2000")</f>
        <v>3 1-500</v>
      </c>
      <c r="P1739" s="2" t="n">
        <f aca="false">Lookups!$B$2*M1739+Lookups!$B$3*L1739</f>
        <v>0</v>
      </c>
      <c r="Q1739" s="2" t="str">
        <f aca="false">INDEX(Lookups!$E$2:$E$5,MATCH(P1739,Lookups!$D$2:$D$5,0))</f>
        <v>Low</v>
      </c>
    </row>
    <row r="1740" customFormat="false" ht="15" hidden="false" customHeight="false" outlineLevel="0" collapsed="false">
      <c r="A1740" s="3" t="n">
        <v>1739</v>
      </c>
      <c r="B1740" s="3" t="n">
        <f aca="false">Raw_Data!A1740</f>
        <v>44</v>
      </c>
      <c r="C1740" s="3" t="str">
        <f aca="false">SUBSTITUTE(Raw_Data!B1740,".","")</f>
        <v>management</v>
      </c>
      <c r="D1740" s="3" t="str">
        <f aca="false">Raw_Data!C1740</f>
        <v>divorced</v>
      </c>
      <c r="E1740" s="3" t="str">
        <f aca="false">Raw_Data!D1740</f>
        <v>tertiary</v>
      </c>
      <c r="F1740" s="3" t="str">
        <f aca="false">Raw_Data!E1740</f>
        <v>no</v>
      </c>
      <c r="G1740" s="3" t="n">
        <f aca="false">Raw_Data!F1740</f>
        <v>2058</v>
      </c>
      <c r="H1740" s="3" t="str">
        <f aca="false">Raw_Data!G1740</f>
        <v>no</v>
      </c>
      <c r="I1740" s="3" t="str">
        <f aca="false">Raw_Data!H1740</f>
        <v>yes</v>
      </c>
      <c r="J1740" s="2" t="n">
        <f aca="false">IF(F1740="yes",1,0)</f>
        <v>0</v>
      </c>
      <c r="K1740" s="2" t="n">
        <f aca="false">IF(H1740="yes",1,0)</f>
        <v>0</v>
      </c>
      <c r="L1740" s="2" t="n">
        <f aca="false">IF(I1740="yes",1,0)</f>
        <v>1</v>
      </c>
      <c r="M1740" s="2" t="n">
        <f aca="false">IF(G1740&lt;0,1,0)</f>
        <v>0</v>
      </c>
      <c r="N1740" s="2" t="str">
        <f aca="false">_xlfn.IFS(B1740&lt;30,"Under 30",B1740&lt;40,"30-39",B1740&lt;50,"40-49",B1740&lt;60,"50-59",TRUE(),"60+")</f>
        <v>40-49</v>
      </c>
      <c r="O1740" s="2" t="str">
        <f aca="false">_xlfn.IFS(G1740&lt;0,"1 Negative",G1740=0,"2 Zero",G1740&lt;=500,"3 1-500",G1740&lt;=2000,"4 501-2000",TRUE(),"5 Above 2000")</f>
        <v>5 Above 2000</v>
      </c>
      <c r="P1740" s="2" t="n">
        <f aca="false">Lookups!$B$2*M1740+Lookups!$B$3*L1740</f>
        <v>1</v>
      </c>
      <c r="Q1740" s="2" t="str">
        <f aca="false">INDEX(Lookups!$E$2:$E$5,MATCH(P1740,Lookups!$D$2:$D$5,0))</f>
        <v>Medium</v>
      </c>
    </row>
    <row r="1741" customFormat="false" ht="15" hidden="false" customHeight="false" outlineLevel="0" collapsed="false">
      <c r="A1741" s="3" t="n">
        <v>1740</v>
      </c>
      <c r="B1741" s="3" t="n">
        <f aca="false">Raw_Data!A1741</f>
        <v>49</v>
      </c>
      <c r="C1741" s="3" t="str">
        <f aca="false">SUBSTITUTE(Raw_Data!B1741,".","")</f>
        <v>housemaid</v>
      </c>
      <c r="D1741" s="3" t="str">
        <f aca="false">Raw_Data!C1741</f>
        <v>married</v>
      </c>
      <c r="E1741" s="3" t="str">
        <f aca="false">Raw_Data!D1741</f>
        <v>primary</v>
      </c>
      <c r="F1741" s="3" t="str">
        <f aca="false">Raw_Data!E1741</f>
        <v>no</v>
      </c>
      <c r="G1741" s="3" t="n">
        <f aca="false">Raw_Data!F1741</f>
        <v>889</v>
      </c>
      <c r="H1741" s="3" t="str">
        <f aca="false">Raw_Data!G1741</f>
        <v>no</v>
      </c>
      <c r="I1741" s="3" t="str">
        <f aca="false">Raw_Data!H1741</f>
        <v>no</v>
      </c>
      <c r="J1741" s="2" t="n">
        <f aca="false">IF(F1741="yes",1,0)</f>
        <v>0</v>
      </c>
      <c r="K1741" s="2" t="n">
        <f aca="false">IF(H1741="yes",1,0)</f>
        <v>0</v>
      </c>
      <c r="L1741" s="2" t="n">
        <f aca="false">IF(I1741="yes",1,0)</f>
        <v>0</v>
      </c>
      <c r="M1741" s="2" t="n">
        <f aca="false">IF(G1741&lt;0,1,0)</f>
        <v>0</v>
      </c>
      <c r="N1741" s="2" t="str">
        <f aca="false">_xlfn.IFS(B1741&lt;30,"Under 30",B1741&lt;40,"30-39",B1741&lt;50,"40-49",B1741&lt;60,"50-59",TRUE(),"60+")</f>
        <v>40-49</v>
      </c>
      <c r="O1741" s="2" t="str">
        <f aca="false">_xlfn.IFS(G1741&lt;0,"1 Negative",G1741=0,"2 Zero",G1741&lt;=500,"3 1-500",G1741&lt;=2000,"4 501-2000",TRUE(),"5 Above 2000")</f>
        <v>4 501-2000</v>
      </c>
      <c r="P1741" s="2" t="n">
        <f aca="false">Lookups!$B$2*M1741+Lookups!$B$3*L1741</f>
        <v>0</v>
      </c>
      <c r="Q1741" s="2" t="str">
        <f aca="false">INDEX(Lookups!$E$2:$E$5,MATCH(P1741,Lookups!$D$2:$D$5,0))</f>
        <v>Low</v>
      </c>
    </row>
    <row r="1742" customFormat="false" ht="15" hidden="false" customHeight="false" outlineLevel="0" collapsed="false">
      <c r="A1742" s="3" t="n">
        <v>1741</v>
      </c>
      <c r="B1742" s="3" t="n">
        <f aca="false">Raw_Data!A1742</f>
        <v>35</v>
      </c>
      <c r="C1742" s="3" t="str">
        <f aca="false">SUBSTITUTE(Raw_Data!B1742,".","")</f>
        <v>admin</v>
      </c>
      <c r="D1742" s="3" t="str">
        <f aca="false">Raw_Data!C1742</f>
        <v>married</v>
      </c>
      <c r="E1742" s="3" t="str">
        <f aca="false">Raw_Data!D1742</f>
        <v>tertiary</v>
      </c>
      <c r="F1742" s="3" t="str">
        <f aca="false">Raw_Data!E1742</f>
        <v>no</v>
      </c>
      <c r="G1742" s="3" t="n">
        <f aca="false">Raw_Data!F1742</f>
        <v>0</v>
      </c>
      <c r="H1742" s="3" t="str">
        <f aca="false">Raw_Data!G1742</f>
        <v>yes</v>
      </c>
      <c r="I1742" s="3" t="str">
        <f aca="false">Raw_Data!H1742</f>
        <v>no</v>
      </c>
      <c r="J1742" s="2" t="n">
        <f aca="false">IF(F1742="yes",1,0)</f>
        <v>0</v>
      </c>
      <c r="K1742" s="2" t="n">
        <f aca="false">IF(H1742="yes",1,0)</f>
        <v>1</v>
      </c>
      <c r="L1742" s="2" t="n">
        <f aca="false">IF(I1742="yes",1,0)</f>
        <v>0</v>
      </c>
      <c r="M1742" s="2" t="n">
        <f aca="false">IF(G1742&lt;0,1,0)</f>
        <v>0</v>
      </c>
      <c r="N1742" s="2" t="str">
        <f aca="false">_xlfn.IFS(B1742&lt;30,"Under 30",B1742&lt;40,"30-39",B1742&lt;50,"40-49",B1742&lt;60,"50-59",TRUE(),"60+")</f>
        <v>30-39</v>
      </c>
      <c r="O1742" s="2" t="str">
        <f aca="false">_xlfn.IFS(G1742&lt;0,"1 Negative",G1742=0,"2 Zero",G1742&lt;=500,"3 1-500",G1742&lt;=2000,"4 501-2000",TRUE(),"5 Above 2000")</f>
        <v>2 Zero</v>
      </c>
      <c r="P1742" s="2" t="n">
        <f aca="false">Lookups!$B$2*M1742+Lookups!$B$3*L1742</f>
        <v>0</v>
      </c>
      <c r="Q1742" s="2" t="str">
        <f aca="false">INDEX(Lookups!$E$2:$E$5,MATCH(P1742,Lookups!$D$2:$D$5,0))</f>
        <v>Low</v>
      </c>
    </row>
    <row r="1743" customFormat="false" ht="15" hidden="false" customHeight="false" outlineLevel="0" collapsed="false">
      <c r="A1743" s="3" t="n">
        <v>1742</v>
      </c>
      <c r="B1743" s="3" t="n">
        <f aca="false">Raw_Data!A1743</f>
        <v>41</v>
      </c>
      <c r="C1743" s="3" t="str">
        <f aca="false">SUBSTITUTE(Raw_Data!B1743,".","")</f>
        <v>management</v>
      </c>
      <c r="D1743" s="3" t="str">
        <f aca="false">Raw_Data!C1743</f>
        <v>married</v>
      </c>
      <c r="E1743" s="3" t="str">
        <f aca="false">Raw_Data!D1743</f>
        <v>tertiary</v>
      </c>
      <c r="F1743" s="3" t="str">
        <f aca="false">Raw_Data!E1743</f>
        <v>no</v>
      </c>
      <c r="G1743" s="3" t="n">
        <f aca="false">Raw_Data!F1743</f>
        <v>51</v>
      </c>
      <c r="H1743" s="3" t="str">
        <f aca="false">Raw_Data!G1743</f>
        <v>no</v>
      </c>
      <c r="I1743" s="3" t="str">
        <f aca="false">Raw_Data!H1743</f>
        <v>no</v>
      </c>
      <c r="J1743" s="2" t="n">
        <f aca="false">IF(F1743="yes",1,0)</f>
        <v>0</v>
      </c>
      <c r="K1743" s="2" t="n">
        <f aca="false">IF(H1743="yes",1,0)</f>
        <v>0</v>
      </c>
      <c r="L1743" s="2" t="n">
        <f aca="false">IF(I1743="yes",1,0)</f>
        <v>0</v>
      </c>
      <c r="M1743" s="2" t="n">
        <f aca="false">IF(G1743&lt;0,1,0)</f>
        <v>0</v>
      </c>
      <c r="N1743" s="2" t="str">
        <f aca="false">_xlfn.IFS(B1743&lt;30,"Under 30",B1743&lt;40,"30-39",B1743&lt;50,"40-49",B1743&lt;60,"50-59",TRUE(),"60+")</f>
        <v>40-49</v>
      </c>
      <c r="O1743" s="2" t="str">
        <f aca="false">_xlfn.IFS(G1743&lt;0,"1 Negative",G1743=0,"2 Zero",G1743&lt;=500,"3 1-500",G1743&lt;=2000,"4 501-2000",TRUE(),"5 Above 2000")</f>
        <v>3 1-500</v>
      </c>
      <c r="P1743" s="2" t="n">
        <f aca="false">Lookups!$B$2*M1743+Lookups!$B$3*L1743</f>
        <v>0</v>
      </c>
      <c r="Q1743" s="2" t="str">
        <f aca="false">INDEX(Lookups!$E$2:$E$5,MATCH(P1743,Lookups!$D$2:$D$5,0))</f>
        <v>Low</v>
      </c>
    </row>
    <row r="1744" customFormat="false" ht="15" hidden="false" customHeight="false" outlineLevel="0" collapsed="false">
      <c r="A1744" s="3" t="n">
        <v>1743</v>
      </c>
      <c r="B1744" s="3" t="n">
        <f aca="false">Raw_Data!A1744</f>
        <v>55</v>
      </c>
      <c r="C1744" s="3" t="str">
        <f aca="false">SUBSTITUTE(Raw_Data!B1744,".","")</f>
        <v>retired</v>
      </c>
      <c r="D1744" s="3" t="str">
        <f aca="false">Raw_Data!C1744</f>
        <v>married</v>
      </c>
      <c r="E1744" s="3" t="str">
        <f aca="false">Raw_Data!D1744</f>
        <v>primary</v>
      </c>
      <c r="F1744" s="3" t="str">
        <f aca="false">Raw_Data!E1744</f>
        <v>no</v>
      </c>
      <c r="G1744" s="3" t="n">
        <f aca="false">Raw_Data!F1744</f>
        <v>150</v>
      </c>
      <c r="H1744" s="3" t="str">
        <f aca="false">Raw_Data!G1744</f>
        <v>no</v>
      </c>
      <c r="I1744" s="3" t="str">
        <f aca="false">Raw_Data!H1744</f>
        <v>no</v>
      </c>
      <c r="J1744" s="2" t="n">
        <f aca="false">IF(F1744="yes",1,0)</f>
        <v>0</v>
      </c>
      <c r="K1744" s="2" t="n">
        <f aca="false">IF(H1744="yes",1,0)</f>
        <v>0</v>
      </c>
      <c r="L1744" s="2" t="n">
        <f aca="false">IF(I1744="yes",1,0)</f>
        <v>0</v>
      </c>
      <c r="M1744" s="2" t="n">
        <f aca="false">IF(G1744&lt;0,1,0)</f>
        <v>0</v>
      </c>
      <c r="N1744" s="2" t="str">
        <f aca="false">_xlfn.IFS(B1744&lt;30,"Under 30",B1744&lt;40,"30-39",B1744&lt;50,"40-49",B1744&lt;60,"50-59",TRUE(),"60+")</f>
        <v>50-59</v>
      </c>
      <c r="O1744" s="2" t="str">
        <f aca="false">_xlfn.IFS(G1744&lt;0,"1 Negative",G1744=0,"2 Zero",G1744&lt;=500,"3 1-500",G1744&lt;=2000,"4 501-2000",TRUE(),"5 Above 2000")</f>
        <v>3 1-500</v>
      </c>
      <c r="P1744" s="2" t="n">
        <f aca="false">Lookups!$B$2*M1744+Lookups!$B$3*L1744</f>
        <v>0</v>
      </c>
      <c r="Q1744" s="2" t="str">
        <f aca="false">INDEX(Lookups!$E$2:$E$5,MATCH(P1744,Lookups!$D$2:$D$5,0))</f>
        <v>Low</v>
      </c>
    </row>
    <row r="1745" customFormat="false" ht="15" hidden="false" customHeight="false" outlineLevel="0" collapsed="false">
      <c r="A1745" s="3" t="n">
        <v>1744</v>
      </c>
      <c r="B1745" s="3" t="n">
        <f aca="false">Raw_Data!A1745</f>
        <v>51</v>
      </c>
      <c r="C1745" s="3" t="str">
        <f aca="false">SUBSTITUTE(Raw_Data!B1745,".","")</f>
        <v>self-employed</v>
      </c>
      <c r="D1745" s="3" t="str">
        <f aca="false">Raw_Data!C1745</f>
        <v>married</v>
      </c>
      <c r="E1745" s="3" t="str">
        <f aca="false">Raw_Data!D1745</f>
        <v>secondary</v>
      </c>
      <c r="F1745" s="3" t="str">
        <f aca="false">Raw_Data!E1745</f>
        <v>yes</v>
      </c>
      <c r="G1745" s="3" t="n">
        <f aca="false">Raw_Data!F1745</f>
        <v>34</v>
      </c>
      <c r="H1745" s="3" t="str">
        <f aca="false">Raw_Data!G1745</f>
        <v>no</v>
      </c>
      <c r="I1745" s="3" t="str">
        <f aca="false">Raw_Data!H1745</f>
        <v>yes</v>
      </c>
      <c r="J1745" s="2" t="n">
        <f aca="false">IF(F1745="yes",1,0)</f>
        <v>1</v>
      </c>
      <c r="K1745" s="2" t="n">
        <f aca="false">IF(H1745="yes",1,0)</f>
        <v>0</v>
      </c>
      <c r="L1745" s="2" t="n">
        <f aca="false">IF(I1745="yes",1,0)</f>
        <v>1</v>
      </c>
      <c r="M1745" s="2" t="n">
        <f aca="false">IF(G1745&lt;0,1,0)</f>
        <v>0</v>
      </c>
      <c r="N1745" s="2" t="str">
        <f aca="false">_xlfn.IFS(B1745&lt;30,"Under 30",B1745&lt;40,"30-39",B1745&lt;50,"40-49",B1745&lt;60,"50-59",TRUE(),"60+")</f>
        <v>50-59</v>
      </c>
      <c r="O1745" s="2" t="str">
        <f aca="false">_xlfn.IFS(G1745&lt;0,"1 Negative",G1745=0,"2 Zero",G1745&lt;=500,"3 1-500",G1745&lt;=2000,"4 501-2000",TRUE(),"5 Above 2000")</f>
        <v>3 1-500</v>
      </c>
      <c r="P1745" s="2" t="n">
        <f aca="false">Lookups!$B$2*M1745+Lookups!$B$3*L1745</f>
        <v>1</v>
      </c>
      <c r="Q1745" s="2" t="str">
        <f aca="false">INDEX(Lookups!$E$2:$E$5,MATCH(P1745,Lookups!$D$2:$D$5,0))</f>
        <v>Medium</v>
      </c>
    </row>
    <row r="1746" customFormat="false" ht="15" hidden="false" customHeight="false" outlineLevel="0" collapsed="false">
      <c r="A1746" s="3" t="n">
        <v>1745</v>
      </c>
      <c r="B1746" s="3" t="n">
        <f aca="false">Raw_Data!A1746</f>
        <v>27</v>
      </c>
      <c r="C1746" s="3" t="str">
        <f aca="false">SUBSTITUTE(Raw_Data!B1746,".","")</f>
        <v>services</v>
      </c>
      <c r="D1746" s="3" t="str">
        <f aca="false">Raw_Data!C1746</f>
        <v>single</v>
      </c>
      <c r="E1746" s="3" t="str">
        <f aca="false">Raw_Data!D1746</f>
        <v>secondary</v>
      </c>
      <c r="F1746" s="3" t="str">
        <f aca="false">Raw_Data!E1746</f>
        <v>no</v>
      </c>
      <c r="G1746" s="3" t="n">
        <f aca="false">Raw_Data!F1746</f>
        <v>795</v>
      </c>
      <c r="H1746" s="3" t="str">
        <f aca="false">Raw_Data!G1746</f>
        <v>no</v>
      </c>
      <c r="I1746" s="3" t="str">
        <f aca="false">Raw_Data!H1746</f>
        <v>no</v>
      </c>
      <c r="J1746" s="2" t="n">
        <f aca="false">IF(F1746="yes",1,0)</f>
        <v>0</v>
      </c>
      <c r="K1746" s="2" t="n">
        <f aca="false">IF(H1746="yes",1,0)</f>
        <v>0</v>
      </c>
      <c r="L1746" s="2" t="n">
        <f aca="false">IF(I1746="yes",1,0)</f>
        <v>0</v>
      </c>
      <c r="M1746" s="2" t="n">
        <f aca="false">IF(G1746&lt;0,1,0)</f>
        <v>0</v>
      </c>
      <c r="N1746" s="2" t="str">
        <f aca="false">_xlfn.IFS(B1746&lt;30,"Under 30",B1746&lt;40,"30-39",B1746&lt;50,"40-49",B1746&lt;60,"50-59",TRUE(),"60+")</f>
        <v>Under 30</v>
      </c>
      <c r="O1746" s="2" t="str">
        <f aca="false">_xlfn.IFS(G1746&lt;0,"1 Negative",G1746=0,"2 Zero",G1746&lt;=500,"3 1-500",G1746&lt;=2000,"4 501-2000",TRUE(),"5 Above 2000")</f>
        <v>4 501-2000</v>
      </c>
      <c r="P1746" s="2" t="n">
        <f aca="false">Lookups!$B$2*M1746+Lookups!$B$3*L1746</f>
        <v>0</v>
      </c>
      <c r="Q1746" s="2" t="str">
        <f aca="false">INDEX(Lookups!$E$2:$E$5,MATCH(P1746,Lookups!$D$2:$D$5,0))</f>
        <v>Low</v>
      </c>
    </row>
    <row r="1747" customFormat="false" ht="15" hidden="false" customHeight="false" outlineLevel="0" collapsed="false">
      <c r="A1747" s="3" t="n">
        <v>1746</v>
      </c>
      <c r="B1747" s="3" t="n">
        <f aca="false">Raw_Data!A1747</f>
        <v>57</v>
      </c>
      <c r="C1747" s="3" t="str">
        <f aca="false">SUBSTITUTE(Raw_Data!B1747,".","")</f>
        <v>blue-collar</v>
      </c>
      <c r="D1747" s="3" t="str">
        <f aca="false">Raw_Data!C1747</f>
        <v>married</v>
      </c>
      <c r="E1747" s="3" t="str">
        <f aca="false">Raw_Data!D1747</f>
        <v>primary</v>
      </c>
      <c r="F1747" s="3" t="str">
        <f aca="false">Raw_Data!E1747</f>
        <v>no</v>
      </c>
      <c r="G1747" s="3" t="n">
        <f aca="false">Raw_Data!F1747</f>
        <v>282</v>
      </c>
      <c r="H1747" s="3" t="str">
        <f aca="false">Raw_Data!G1747</f>
        <v>no</v>
      </c>
      <c r="I1747" s="3" t="str">
        <f aca="false">Raw_Data!H1747</f>
        <v>yes</v>
      </c>
      <c r="J1747" s="2" t="n">
        <f aca="false">IF(F1747="yes",1,0)</f>
        <v>0</v>
      </c>
      <c r="K1747" s="2" t="n">
        <f aca="false">IF(H1747="yes",1,0)</f>
        <v>0</v>
      </c>
      <c r="L1747" s="2" t="n">
        <f aca="false">IF(I1747="yes",1,0)</f>
        <v>1</v>
      </c>
      <c r="M1747" s="2" t="n">
        <f aca="false">IF(G1747&lt;0,1,0)</f>
        <v>0</v>
      </c>
      <c r="N1747" s="2" t="str">
        <f aca="false">_xlfn.IFS(B1747&lt;30,"Under 30",B1747&lt;40,"30-39",B1747&lt;50,"40-49",B1747&lt;60,"50-59",TRUE(),"60+")</f>
        <v>50-59</v>
      </c>
      <c r="O1747" s="2" t="str">
        <f aca="false">_xlfn.IFS(G1747&lt;0,"1 Negative",G1747=0,"2 Zero",G1747&lt;=500,"3 1-500",G1747&lt;=2000,"4 501-2000",TRUE(),"5 Above 2000")</f>
        <v>3 1-500</v>
      </c>
      <c r="P1747" s="2" t="n">
        <f aca="false">Lookups!$B$2*M1747+Lookups!$B$3*L1747</f>
        <v>1</v>
      </c>
      <c r="Q1747" s="2" t="str">
        <f aca="false">INDEX(Lookups!$E$2:$E$5,MATCH(P1747,Lookups!$D$2:$D$5,0))</f>
        <v>Medium</v>
      </c>
    </row>
    <row r="1748" customFormat="false" ht="15" hidden="false" customHeight="false" outlineLevel="0" collapsed="false">
      <c r="A1748" s="3" t="n">
        <v>1747</v>
      </c>
      <c r="B1748" s="3" t="n">
        <f aca="false">Raw_Data!A1748</f>
        <v>51</v>
      </c>
      <c r="C1748" s="3" t="str">
        <f aca="false">SUBSTITUTE(Raw_Data!B1748,".","")</f>
        <v>management</v>
      </c>
      <c r="D1748" s="3" t="str">
        <f aca="false">Raw_Data!C1748</f>
        <v>single</v>
      </c>
      <c r="E1748" s="3" t="str">
        <f aca="false">Raw_Data!D1748</f>
        <v>tertiary</v>
      </c>
      <c r="F1748" s="3" t="str">
        <f aca="false">Raw_Data!E1748</f>
        <v>no</v>
      </c>
      <c r="G1748" s="3" t="n">
        <f aca="false">Raw_Data!F1748</f>
        <v>2139</v>
      </c>
      <c r="H1748" s="3" t="str">
        <f aca="false">Raw_Data!G1748</f>
        <v>no</v>
      </c>
      <c r="I1748" s="3" t="str">
        <f aca="false">Raw_Data!H1748</f>
        <v>no</v>
      </c>
      <c r="J1748" s="2" t="n">
        <f aca="false">IF(F1748="yes",1,0)</f>
        <v>0</v>
      </c>
      <c r="K1748" s="2" t="n">
        <f aca="false">IF(H1748="yes",1,0)</f>
        <v>0</v>
      </c>
      <c r="L1748" s="2" t="n">
        <f aca="false">IF(I1748="yes",1,0)</f>
        <v>0</v>
      </c>
      <c r="M1748" s="2" t="n">
        <f aca="false">IF(G1748&lt;0,1,0)</f>
        <v>0</v>
      </c>
      <c r="N1748" s="2" t="str">
        <f aca="false">_xlfn.IFS(B1748&lt;30,"Under 30",B1748&lt;40,"30-39",B1748&lt;50,"40-49",B1748&lt;60,"50-59",TRUE(),"60+")</f>
        <v>50-59</v>
      </c>
      <c r="O1748" s="2" t="str">
        <f aca="false">_xlfn.IFS(G1748&lt;0,"1 Negative",G1748=0,"2 Zero",G1748&lt;=500,"3 1-500",G1748&lt;=2000,"4 501-2000",TRUE(),"5 Above 2000")</f>
        <v>5 Above 2000</v>
      </c>
      <c r="P1748" s="2" t="n">
        <f aca="false">Lookups!$B$2*M1748+Lookups!$B$3*L1748</f>
        <v>0</v>
      </c>
      <c r="Q1748" s="2" t="str">
        <f aca="false">INDEX(Lookups!$E$2:$E$5,MATCH(P1748,Lookups!$D$2:$D$5,0))</f>
        <v>Low</v>
      </c>
    </row>
    <row r="1749" customFormat="false" ht="15" hidden="false" customHeight="false" outlineLevel="0" collapsed="false">
      <c r="A1749" s="3" t="n">
        <v>1748</v>
      </c>
      <c r="B1749" s="3" t="n">
        <f aca="false">Raw_Data!A1749</f>
        <v>38</v>
      </c>
      <c r="C1749" s="3" t="str">
        <f aca="false">SUBSTITUTE(Raw_Data!B1749,".","")</f>
        <v>management</v>
      </c>
      <c r="D1749" s="3" t="str">
        <f aca="false">Raw_Data!C1749</f>
        <v>married</v>
      </c>
      <c r="E1749" s="3" t="str">
        <f aca="false">Raw_Data!D1749</f>
        <v>tertiary</v>
      </c>
      <c r="F1749" s="3" t="str">
        <f aca="false">Raw_Data!E1749</f>
        <v>no</v>
      </c>
      <c r="G1749" s="3" t="n">
        <f aca="false">Raw_Data!F1749</f>
        <v>-469</v>
      </c>
      <c r="H1749" s="3" t="str">
        <f aca="false">Raw_Data!G1749</f>
        <v>yes</v>
      </c>
      <c r="I1749" s="3" t="str">
        <f aca="false">Raw_Data!H1749</f>
        <v>no</v>
      </c>
      <c r="J1749" s="2" t="n">
        <f aca="false">IF(F1749="yes",1,0)</f>
        <v>0</v>
      </c>
      <c r="K1749" s="2" t="n">
        <f aca="false">IF(H1749="yes",1,0)</f>
        <v>1</v>
      </c>
      <c r="L1749" s="2" t="n">
        <f aca="false">IF(I1749="yes",1,0)</f>
        <v>0</v>
      </c>
      <c r="M1749" s="2" t="n">
        <f aca="false">IF(G1749&lt;0,1,0)</f>
        <v>1</v>
      </c>
      <c r="N1749" s="2" t="str">
        <f aca="false">_xlfn.IFS(B1749&lt;30,"Under 30",B1749&lt;40,"30-39",B1749&lt;50,"40-49",B1749&lt;60,"50-59",TRUE(),"60+")</f>
        <v>30-39</v>
      </c>
      <c r="O1749" s="2" t="str">
        <f aca="false">_xlfn.IFS(G1749&lt;0,"1 Negative",G1749=0,"2 Zero",G1749&lt;=500,"3 1-500",G1749&lt;=2000,"4 501-2000",TRUE(),"5 Above 2000")</f>
        <v>1 Negative</v>
      </c>
      <c r="P1749" s="2" t="n">
        <f aca="false">Lookups!$B$2*M1749+Lookups!$B$3*L1749</f>
        <v>2</v>
      </c>
      <c r="Q1749" s="2" t="str">
        <f aca="false">INDEX(Lookups!$E$2:$E$5,MATCH(P1749,Lookups!$D$2:$D$5,0))</f>
        <v>High</v>
      </c>
    </row>
    <row r="1750" customFormat="false" ht="15" hidden="false" customHeight="false" outlineLevel="0" collapsed="false">
      <c r="A1750" s="3" t="n">
        <v>1749</v>
      </c>
      <c r="B1750" s="3" t="n">
        <f aca="false">Raw_Data!A1750</f>
        <v>49</v>
      </c>
      <c r="C1750" s="3" t="str">
        <f aca="false">SUBSTITUTE(Raw_Data!B1750,".","")</f>
        <v>admin</v>
      </c>
      <c r="D1750" s="3" t="str">
        <f aca="false">Raw_Data!C1750</f>
        <v>married</v>
      </c>
      <c r="E1750" s="3" t="str">
        <f aca="false">Raw_Data!D1750</f>
        <v>secondary</v>
      </c>
      <c r="F1750" s="3" t="str">
        <f aca="false">Raw_Data!E1750</f>
        <v>no</v>
      </c>
      <c r="G1750" s="3" t="n">
        <f aca="false">Raw_Data!F1750</f>
        <v>197</v>
      </c>
      <c r="H1750" s="3" t="str">
        <f aca="false">Raw_Data!G1750</f>
        <v>yes</v>
      </c>
      <c r="I1750" s="3" t="str">
        <f aca="false">Raw_Data!H1750</f>
        <v>no</v>
      </c>
      <c r="J1750" s="2" t="n">
        <f aca="false">IF(F1750="yes",1,0)</f>
        <v>0</v>
      </c>
      <c r="K1750" s="2" t="n">
        <f aca="false">IF(H1750="yes",1,0)</f>
        <v>1</v>
      </c>
      <c r="L1750" s="2" t="n">
        <f aca="false">IF(I1750="yes",1,0)</f>
        <v>0</v>
      </c>
      <c r="M1750" s="2" t="n">
        <f aca="false">IF(G1750&lt;0,1,0)</f>
        <v>0</v>
      </c>
      <c r="N1750" s="2" t="str">
        <f aca="false">_xlfn.IFS(B1750&lt;30,"Under 30",B1750&lt;40,"30-39",B1750&lt;50,"40-49",B1750&lt;60,"50-59",TRUE(),"60+")</f>
        <v>40-49</v>
      </c>
      <c r="O1750" s="2" t="str">
        <f aca="false">_xlfn.IFS(G1750&lt;0,"1 Negative",G1750=0,"2 Zero",G1750&lt;=500,"3 1-500",G1750&lt;=2000,"4 501-2000",TRUE(),"5 Above 2000")</f>
        <v>3 1-500</v>
      </c>
      <c r="P1750" s="2" t="n">
        <f aca="false">Lookups!$B$2*M1750+Lookups!$B$3*L1750</f>
        <v>0</v>
      </c>
      <c r="Q1750" s="2" t="str">
        <f aca="false">INDEX(Lookups!$E$2:$E$5,MATCH(P1750,Lookups!$D$2:$D$5,0))</f>
        <v>Low</v>
      </c>
    </row>
    <row r="1751" customFormat="false" ht="15" hidden="false" customHeight="false" outlineLevel="0" collapsed="false">
      <c r="A1751" s="3" t="n">
        <v>1750</v>
      </c>
      <c r="B1751" s="3" t="n">
        <f aca="false">Raw_Data!A1751</f>
        <v>40</v>
      </c>
      <c r="C1751" s="3" t="str">
        <f aca="false">SUBSTITUTE(Raw_Data!B1751,".","")</f>
        <v>technician</v>
      </c>
      <c r="D1751" s="3" t="str">
        <f aca="false">Raw_Data!C1751</f>
        <v>single</v>
      </c>
      <c r="E1751" s="3" t="str">
        <f aca="false">Raw_Data!D1751</f>
        <v>tertiary</v>
      </c>
      <c r="F1751" s="3" t="str">
        <f aca="false">Raw_Data!E1751</f>
        <v>no</v>
      </c>
      <c r="G1751" s="3" t="n">
        <f aca="false">Raw_Data!F1751</f>
        <v>825</v>
      </c>
      <c r="H1751" s="3" t="str">
        <f aca="false">Raw_Data!G1751</f>
        <v>yes</v>
      </c>
      <c r="I1751" s="3" t="str">
        <f aca="false">Raw_Data!H1751</f>
        <v>no</v>
      </c>
      <c r="J1751" s="2" t="n">
        <f aca="false">IF(F1751="yes",1,0)</f>
        <v>0</v>
      </c>
      <c r="K1751" s="2" t="n">
        <f aca="false">IF(H1751="yes",1,0)</f>
        <v>1</v>
      </c>
      <c r="L1751" s="2" t="n">
        <f aca="false">IF(I1751="yes",1,0)</f>
        <v>0</v>
      </c>
      <c r="M1751" s="2" t="n">
        <f aca="false">IF(G1751&lt;0,1,0)</f>
        <v>0</v>
      </c>
      <c r="N1751" s="2" t="str">
        <f aca="false">_xlfn.IFS(B1751&lt;30,"Under 30",B1751&lt;40,"30-39",B1751&lt;50,"40-49",B1751&lt;60,"50-59",TRUE(),"60+")</f>
        <v>40-49</v>
      </c>
      <c r="O1751" s="2" t="str">
        <f aca="false">_xlfn.IFS(G1751&lt;0,"1 Negative",G1751=0,"2 Zero",G1751&lt;=500,"3 1-500",G1751&lt;=2000,"4 501-2000",TRUE(),"5 Above 2000")</f>
        <v>4 501-2000</v>
      </c>
      <c r="P1751" s="2" t="n">
        <f aca="false">Lookups!$B$2*M1751+Lookups!$B$3*L1751</f>
        <v>0</v>
      </c>
      <c r="Q1751" s="2" t="str">
        <f aca="false">INDEX(Lookups!$E$2:$E$5,MATCH(P1751,Lookups!$D$2:$D$5,0))</f>
        <v>Low</v>
      </c>
    </row>
    <row r="1752" customFormat="false" ht="15" hidden="false" customHeight="false" outlineLevel="0" collapsed="false">
      <c r="A1752" s="3" t="n">
        <v>1751</v>
      </c>
      <c r="B1752" s="3" t="n">
        <f aca="false">Raw_Data!A1752</f>
        <v>47</v>
      </c>
      <c r="C1752" s="3" t="str">
        <f aca="false">SUBSTITUTE(Raw_Data!B1752,".","")</f>
        <v>housemaid</v>
      </c>
      <c r="D1752" s="3" t="str">
        <f aca="false">Raw_Data!C1752</f>
        <v>single</v>
      </c>
      <c r="E1752" s="3" t="str">
        <f aca="false">Raw_Data!D1752</f>
        <v>tertiary</v>
      </c>
      <c r="F1752" s="3" t="str">
        <f aca="false">Raw_Data!E1752</f>
        <v>no</v>
      </c>
      <c r="G1752" s="3" t="n">
        <f aca="false">Raw_Data!F1752</f>
        <v>3232</v>
      </c>
      <c r="H1752" s="3" t="str">
        <f aca="false">Raw_Data!G1752</f>
        <v>no</v>
      </c>
      <c r="I1752" s="3" t="str">
        <f aca="false">Raw_Data!H1752</f>
        <v>no</v>
      </c>
      <c r="J1752" s="2" t="n">
        <f aca="false">IF(F1752="yes",1,0)</f>
        <v>0</v>
      </c>
      <c r="K1752" s="2" t="n">
        <f aca="false">IF(H1752="yes",1,0)</f>
        <v>0</v>
      </c>
      <c r="L1752" s="2" t="n">
        <f aca="false">IF(I1752="yes",1,0)</f>
        <v>0</v>
      </c>
      <c r="M1752" s="2" t="n">
        <f aca="false">IF(G1752&lt;0,1,0)</f>
        <v>0</v>
      </c>
      <c r="N1752" s="2" t="str">
        <f aca="false">_xlfn.IFS(B1752&lt;30,"Under 30",B1752&lt;40,"30-39",B1752&lt;50,"40-49",B1752&lt;60,"50-59",TRUE(),"60+")</f>
        <v>40-49</v>
      </c>
      <c r="O1752" s="2" t="str">
        <f aca="false">_xlfn.IFS(G1752&lt;0,"1 Negative",G1752=0,"2 Zero",G1752&lt;=500,"3 1-500",G1752&lt;=2000,"4 501-2000",TRUE(),"5 Above 2000")</f>
        <v>5 Above 2000</v>
      </c>
      <c r="P1752" s="2" t="n">
        <f aca="false">Lookups!$B$2*M1752+Lookups!$B$3*L1752</f>
        <v>0</v>
      </c>
      <c r="Q1752" s="2" t="str">
        <f aca="false">INDEX(Lookups!$E$2:$E$5,MATCH(P1752,Lookups!$D$2:$D$5,0))</f>
        <v>Low</v>
      </c>
    </row>
    <row r="1753" customFormat="false" ht="15" hidden="false" customHeight="false" outlineLevel="0" collapsed="false">
      <c r="A1753" s="3" t="n">
        <v>1752</v>
      </c>
      <c r="B1753" s="3" t="n">
        <f aca="false">Raw_Data!A1753</f>
        <v>48</v>
      </c>
      <c r="C1753" s="3" t="str">
        <f aca="false">SUBSTITUTE(Raw_Data!B1753,".","")</f>
        <v>management</v>
      </c>
      <c r="D1753" s="3" t="str">
        <f aca="false">Raw_Data!C1753</f>
        <v>divorced</v>
      </c>
      <c r="E1753" s="3" t="str">
        <f aca="false">Raw_Data!D1753</f>
        <v>secondary</v>
      </c>
      <c r="F1753" s="3" t="str">
        <f aca="false">Raw_Data!E1753</f>
        <v>no</v>
      </c>
      <c r="G1753" s="3" t="n">
        <f aca="false">Raw_Data!F1753</f>
        <v>1598</v>
      </c>
      <c r="H1753" s="3" t="str">
        <f aca="false">Raw_Data!G1753</f>
        <v>yes</v>
      </c>
      <c r="I1753" s="3" t="str">
        <f aca="false">Raw_Data!H1753</f>
        <v>no</v>
      </c>
      <c r="J1753" s="2" t="n">
        <f aca="false">IF(F1753="yes",1,0)</f>
        <v>0</v>
      </c>
      <c r="K1753" s="2" t="n">
        <f aca="false">IF(H1753="yes",1,0)</f>
        <v>1</v>
      </c>
      <c r="L1753" s="2" t="n">
        <f aca="false">IF(I1753="yes",1,0)</f>
        <v>0</v>
      </c>
      <c r="M1753" s="2" t="n">
        <f aca="false">IF(G1753&lt;0,1,0)</f>
        <v>0</v>
      </c>
      <c r="N1753" s="2" t="str">
        <f aca="false">_xlfn.IFS(B1753&lt;30,"Under 30",B1753&lt;40,"30-39",B1753&lt;50,"40-49",B1753&lt;60,"50-59",TRUE(),"60+")</f>
        <v>40-49</v>
      </c>
      <c r="O1753" s="2" t="str">
        <f aca="false">_xlfn.IFS(G1753&lt;0,"1 Negative",G1753=0,"2 Zero",G1753&lt;=500,"3 1-500",G1753&lt;=2000,"4 501-2000",TRUE(),"5 Above 2000")</f>
        <v>4 501-2000</v>
      </c>
      <c r="P1753" s="2" t="n">
        <f aca="false">Lookups!$B$2*M1753+Lookups!$B$3*L1753</f>
        <v>0</v>
      </c>
      <c r="Q1753" s="2" t="str">
        <f aca="false">INDEX(Lookups!$E$2:$E$5,MATCH(P1753,Lookups!$D$2:$D$5,0))</f>
        <v>Low</v>
      </c>
    </row>
    <row r="1754" customFormat="false" ht="15" hidden="false" customHeight="false" outlineLevel="0" collapsed="false">
      <c r="A1754" s="3" t="n">
        <v>1753</v>
      </c>
      <c r="B1754" s="3" t="n">
        <f aca="false">Raw_Data!A1754</f>
        <v>47</v>
      </c>
      <c r="C1754" s="3" t="str">
        <f aca="false">SUBSTITUTE(Raw_Data!B1754,".","")</f>
        <v>services</v>
      </c>
      <c r="D1754" s="3" t="str">
        <f aca="false">Raw_Data!C1754</f>
        <v>married</v>
      </c>
      <c r="E1754" s="3" t="str">
        <f aca="false">Raw_Data!D1754</f>
        <v>tertiary</v>
      </c>
      <c r="F1754" s="3" t="str">
        <f aca="false">Raw_Data!E1754</f>
        <v>no</v>
      </c>
      <c r="G1754" s="3" t="n">
        <f aca="false">Raw_Data!F1754</f>
        <v>871</v>
      </c>
      <c r="H1754" s="3" t="str">
        <f aca="false">Raw_Data!G1754</f>
        <v>no</v>
      </c>
      <c r="I1754" s="3" t="str">
        <f aca="false">Raw_Data!H1754</f>
        <v>no</v>
      </c>
      <c r="J1754" s="2" t="n">
        <f aca="false">IF(F1754="yes",1,0)</f>
        <v>0</v>
      </c>
      <c r="K1754" s="2" t="n">
        <f aca="false">IF(H1754="yes",1,0)</f>
        <v>0</v>
      </c>
      <c r="L1754" s="2" t="n">
        <f aca="false">IF(I1754="yes",1,0)</f>
        <v>0</v>
      </c>
      <c r="M1754" s="2" t="n">
        <f aca="false">IF(G1754&lt;0,1,0)</f>
        <v>0</v>
      </c>
      <c r="N1754" s="2" t="str">
        <f aca="false">_xlfn.IFS(B1754&lt;30,"Under 30",B1754&lt;40,"30-39",B1754&lt;50,"40-49",B1754&lt;60,"50-59",TRUE(),"60+")</f>
        <v>40-49</v>
      </c>
      <c r="O1754" s="2" t="str">
        <f aca="false">_xlfn.IFS(G1754&lt;0,"1 Negative",G1754=0,"2 Zero",G1754&lt;=500,"3 1-500",G1754&lt;=2000,"4 501-2000",TRUE(),"5 Above 2000")</f>
        <v>4 501-2000</v>
      </c>
      <c r="P1754" s="2" t="n">
        <f aca="false">Lookups!$B$2*M1754+Lookups!$B$3*L1754</f>
        <v>0</v>
      </c>
      <c r="Q1754" s="2" t="str">
        <f aca="false">INDEX(Lookups!$E$2:$E$5,MATCH(P1754,Lookups!$D$2:$D$5,0))</f>
        <v>Low</v>
      </c>
    </row>
    <row r="1755" customFormat="false" ht="15" hidden="false" customHeight="false" outlineLevel="0" collapsed="false">
      <c r="A1755" s="3" t="n">
        <v>1754</v>
      </c>
      <c r="B1755" s="3" t="n">
        <f aca="false">Raw_Data!A1755</f>
        <v>56</v>
      </c>
      <c r="C1755" s="3" t="str">
        <f aca="false">SUBSTITUTE(Raw_Data!B1755,".","")</f>
        <v>services</v>
      </c>
      <c r="D1755" s="3" t="str">
        <f aca="false">Raw_Data!C1755</f>
        <v>married</v>
      </c>
      <c r="E1755" s="3" t="str">
        <f aca="false">Raw_Data!D1755</f>
        <v>secondary</v>
      </c>
      <c r="F1755" s="3" t="str">
        <f aca="false">Raw_Data!E1755</f>
        <v>no</v>
      </c>
      <c r="G1755" s="3" t="n">
        <f aca="false">Raw_Data!F1755</f>
        <v>83</v>
      </c>
      <c r="H1755" s="3" t="str">
        <f aca="false">Raw_Data!G1755</f>
        <v>no</v>
      </c>
      <c r="I1755" s="3" t="str">
        <f aca="false">Raw_Data!H1755</f>
        <v>no</v>
      </c>
      <c r="J1755" s="2" t="n">
        <f aca="false">IF(F1755="yes",1,0)</f>
        <v>0</v>
      </c>
      <c r="K1755" s="2" t="n">
        <f aca="false">IF(H1755="yes",1,0)</f>
        <v>0</v>
      </c>
      <c r="L1755" s="2" t="n">
        <f aca="false">IF(I1755="yes",1,0)</f>
        <v>0</v>
      </c>
      <c r="M1755" s="2" t="n">
        <f aca="false">IF(G1755&lt;0,1,0)</f>
        <v>0</v>
      </c>
      <c r="N1755" s="2" t="str">
        <f aca="false">_xlfn.IFS(B1755&lt;30,"Under 30",B1755&lt;40,"30-39",B1755&lt;50,"40-49",B1755&lt;60,"50-59",TRUE(),"60+")</f>
        <v>50-59</v>
      </c>
      <c r="O1755" s="2" t="str">
        <f aca="false">_xlfn.IFS(G1755&lt;0,"1 Negative",G1755=0,"2 Zero",G1755&lt;=500,"3 1-500",G1755&lt;=2000,"4 501-2000",TRUE(),"5 Above 2000")</f>
        <v>3 1-500</v>
      </c>
      <c r="P1755" s="2" t="n">
        <f aca="false">Lookups!$B$2*M1755+Lookups!$B$3*L1755</f>
        <v>0</v>
      </c>
      <c r="Q1755" s="2" t="str">
        <f aca="false">INDEX(Lookups!$E$2:$E$5,MATCH(P1755,Lookups!$D$2:$D$5,0))</f>
        <v>Low</v>
      </c>
    </row>
    <row r="1756" customFormat="false" ht="15" hidden="false" customHeight="false" outlineLevel="0" collapsed="false">
      <c r="A1756" s="3" t="n">
        <v>1755</v>
      </c>
      <c r="B1756" s="3" t="n">
        <f aca="false">Raw_Data!A1756</f>
        <v>29</v>
      </c>
      <c r="C1756" s="3" t="str">
        <f aca="false">SUBSTITUTE(Raw_Data!B1756,".","")</f>
        <v>management</v>
      </c>
      <c r="D1756" s="3" t="str">
        <f aca="false">Raw_Data!C1756</f>
        <v>single</v>
      </c>
      <c r="E1756" s="3" t="str">
        <f aca="false">Raw_Data!D1756</f>
        <v>tertiary</v>
      </c>
      <c r="F1756" s="3" t="str">
        <f aca="false">Raw_Data!E1756</f>
        <v>no</v>
      </c>
      <c r="G1756" s="3" t="n">
        <f aca="false">Raw_Data!F1756</f>
        <v>1445</v>
      </c>
      <c r="H1756" s="3" t="str">
        <f aca="false">Raw_Data!G1756</f>
        <v>no</v>
      </c>
      <c r="I1756" s="3" t="str">
        <f aca="false">Raw_Data!H1756</f>
        <v>no</v>
      </c>
      <c r="J1756" s="2" t="n">
        <f aca="false">IF(F1756="yes",1,0)</f>
        <v>0</v>
      </c>
      <c r="K1756" s="2" t="n">
        <f aca="false">IF(H1756="yes",1,0)</f>
        <v>0</v>
      </c>
      <c r="L1756" s="2" t="n">
        <f aca="false">IF(I1756="yes",1,0)</f>
        <v>0</v>
      </c>
      <c r="M1756" s="2" t="n">
        <f aca="false">IF(G1756&lt;0,1,0)</f>
        <v>0</v>
      </c>
      <c r="N1756" s="2" t="str">
        <f aca="false">_xlfn.IFS(B1756&lt;30,"Under 30",B1756&lt;40,"30-39",B1756&lt;50,"40-49",B1756&lt;60,"50-59",TRUE(),"60+")</f>
        <v>Under 30</v>
      </c>
      <c r="O1756" s="2" t="str">
        <f aca="false">_xlfn.IFS(G1756&lt;0,"1 Negative",G1756=0,"2 Zero",G1756&lt;=500,"3 1-500",G1756&lt;=2000,"4 501-2000",TRUE(),"5 Above 2000")</f>
        <v>4 501-2000</v>
      </c>
      <c r="P1756" s="2" t="n">
        <f aca="false">Lookups!$B$2*M1756+Lookups!$B$3*L1756</f>
        <v>0</v>
      </c>
      <c r="Q1756" s="2" t="str">
        <f aca="false">INDEX(Lookups!$E$2:$E$5,MATCH(P1756,Lookups!$D$2:$D$5,0))</f>
        <v>Low</v>
      </c>
    </row>
    <row r="1757" customFormat="false" ht="15" hidden="false" customHeight="false" outlineLevel="0" collapsed="false">
      <c r="A1757" s="3" t="n">
        <v>1756</v>
      </c>
      <c r="B1757" s="3" t="n">
        <f aca="false">Raw_Data!A1757</f>
        <v>38</v>
      </c>
      <c r="C1757" s="3" t="str">
        <f aca="false">SUBSTITUTE(Raw_Data!B1757,".","")</f>
        <v>technician</v>
      </c>
      <c r="D1757" s="3" t="str">
        <f aca="false">Raw_Data!C1757</f>
        <v>married</v>
      </c>
      <c r="E1757" s="3" t="str">
        <f aca="false">Raw_Data!D1757</f>
        <v>secondary</v>
      </c>
      <c r="F1757" s="3" t="str">
        <f aca="false">Raw_Data!E1757</f>
        <v>no</v>
      </c>
      <c r="G1757" s="3" t="n">
        <f aca="false">Raw_Data!F1757</f>
        <v>226</v>
      </c>
      <c r="H1757" s="3" t="str">
        <f aca="false">Raw_Data!G1757</f>
        <v>yes</v>
      </c>
      <c r="I1757" s="3" t="str">
        <f aca="false">Raw_Data!H1757</f>
        <v>no</v>
      </c>
      <c r="J1757" s="2" t="n">
        <f aca="false">IF(F1757="yes",1,0)</f>
        <v>0</v>
      </c>
      <c r="K1757" s="2" t="n">
        <f aca="false">IF(H1757="yes",1,0)</f>
        <v>1</v>
      </c>
      <c r="L1757" s="2" t="n">
        <f aca="false">IF(I1757="yes",1,0)</f>
        <v>0</v>
      </c>
      <c r="M1757" s="2" t="n">
        <f aca="false">IF(G1757&lt;0,1,0)</f>
        <v>0</v>
      </c>
      <c r="N1757" s="2" t="str">
        <f aca="false">_xlfn.IFS(B1757&lt;30,"Under 30",B1757&lt;40,"30-39",B1757&lt;50,"40-49",B1757&lt;60,"50-59",TRUE(),"60+")</f>
        <v>30-39</v>
      </c>
      <c r="O1757" s="2" t="str">
        <f aca="false">_xlfn.IFS(G1757&lt;0,"1 Negative",G1757=0,"2 Zero",G1757&lt;=500,"3 1-500",G1757&lt;=2000,"4 501-2000",TRUE(),"5 Above 2000")</f>
        <v>3 1-500</v>
      </c>
      <c r="P1757" s="2" t="n">
        <f aca="false">Lookups!$B$2*M1757+Lookups!$B$3*L1757</f>
        <v>0</v>
      </c>
      <c r="Q1757" s="2" t="str">
        <f aca="false">INDEX(Lookups!$E$2:$E$5,MATCH(P1757,Lookups!$D$2:$D$5,0))</f>
        <v>Low</v>
      </c>
    </row>
    <row r="1758" customFormat="false" ht="15" hidden="false" customHeight="false" outlineLevel="0" collapsed="false">
      <c r="A1758" s="3" t="n">
        <v>1757</v>
      </c>
      <c r="B1758" s="3" t="n">
        <f aca="false">Raw_Data!A1758</f>
        <v>32</v>
      </c>
      <c r="C1758" s="3" t="str">
        <f aca="false">SUBSTITUTE(Raw_Data!B1758,".","")</f>
        <v>management</v>
      </c>
      <c r="D1758" s="3" t="str">
        <f aca="false">Raw_Data!C1758</f>
        <v>married</v>
      </c>
      <c r="E1758" s="3" t="str">
        <f aca="false">Raw_Data!D1758</f>
        <v>tertiary</v>
      </c>
      <c r="F1758" s="3" t="str">
        <f aca="false">Raw_Data!E1758</f>
        <v>no</v>
      </c>
      <c r="G1758" s="3" t="n">
        <f aca="false">Raw_Data!F1758</f>
        <v>-55</v>
      </c>
      <c r="H1758" s="3" t="str">
        <f aca="false">Raw_Data!G1758</f>
        <v>yes</v>
      </c>
      <c r="I1758" s="3" t="str">
        <f aca="false">Raw_Data!H1758</f>
        <v>no</v>
      </c>
      <c r="J1758" s="2" t="n">
        <f aca="false">IF(F1758="yes",1,0)</f>
        <v>0</v>
      </c>
      <c r="K1758" s="2" t="n">
        <f aca="false">IF(H1758="yes",1,0)</f>
        <v>1</v>
      </c>
      <c r="L1758" s="2" t="n">
        <f aca="false">IF(I1758="yes",1,0)</f>
        <v>0</v>
      </c>
      <c r="M1758" s="2" t="n">
        <f aca="false">IF(G1758&lt;0,1,0)</f>
        <v>1</v>
      </c>
      <c r="N1758" s="2" t="str">
        <f aca="false">_xlfn.IFS(B1758&lt;30,"Under 30",B1758&lt;40,"30-39",B1758&lt;50,"40-49",B1758&lt;60,"50-59",TRUE(),"60+")</f>
        <v>30-39</v>
      </c>
      <c r="O1758" s="2" t="str">
        <f aca="false">_xlfn.IFS(G1758&lt;0,"1 Negative",G1758=0,"2 Zero",G1758&lt;=500,"3 1-500",G1758&lt;=2000,"4 501-2000",TRUE(),"5 Above 2000")</f>
        <v>1 Negative</v>
      </c>
      <c r="P1758" s="2" t="n">
        <f aca="false">Lookups!$B$2*M1758+Lookups!$B$3*L1758</f>
        <v>2</v>
      </c>
      <c r="Q1758" s="2" t="str">
        <f aca="false">INDEX(Lookups!$E$2:$E$5,MATCH(P1758,Lookups!$D$2:$D$5,0))</f>
        <v>High</v>
      </c>
    </row>
    <row r="1759" customFormat="false" ht="15" hidden="false" customHeight="false" outlineLevel="0" collapsed="false">
      <c r="A1759" s="3" t="n">
        <v>1758</v>
      </c>
      <c r="B1759" s="3" t="n">
        <f aca="false">Raw_Data!A1759</f>
        <v>42</v>
      </c>
      <c r="C1759" s="3" t="str">
        <f aca="false">SUBSTITUTE(Raw_Data!B1759,".","")</f>
        <v>admin</v>
      </c>
      <c r="D1759" s="3" t="str">
        <f aca="false">Raw_Data!C1759</f>
        <v>single</v>
      </c>
      <c r="E1759" s="3" t="str">
        <f aca="false">Raw_Data!D1759</f>
        <v>secondary</v>
      </c>
      <c r="F1759" s="3" t="str">
        <f aca="false">Raw_Data!E1759</f>
        <v>no</v>
      </c>
      <c r="G1759" s="3" t="n">
        <f aca="false">Raw_Data!F1759</f>
        <v>243</v>
      </c>
      <c r="H1759" s="3" t="str">
        <f aca="false">Raw_Data!G1759</f>
        <v>yes</v>
      </c>
      <c r="I1759" s="3" t="str">
        <f aca="false">Raw_Data!H1759</f>
        <v>no</v>
      </c>
      <c r="J1759" s="2" t="n">
        <f aca="false">IF(F1759="yes",1,0)</f>
        <v>0</v>
      </c>
      <c r="K1759" s="2" t="n">
        <f aca="false">IF(H1759="yes",1,0)</f>
        <v>1</v>
      </c>
      <c r="L1759" s="2" t="n">
        <f aca="false">IF(I1759="yes",1,0)</f>
        <v>0</v>
      </c>
      <c r="M1759" s="2" t="n">
        <f aca="false">IF(G1759&lt;0,1,0)</f>
        <v>0</v>
      </c>
      <c r="N1759" s="2" t="str">
        <f aca="false">_xlfn.IFS(B1759&lt;30,"Under 30",B1759&lt;40,"30-39",B1759&lt;50,"40-49",B1759&lt;60,"50-59",TRUE(),"60+")</f>
        <v>40-49</v>
      </c>
      <c r="O1759" s="2" t="str">
        <f aca="false">_xlfn.IFS(G1759&lt;0,"1 Negative",G1759=0,"2 Zero",G1759&lt;=500,"3 1-500",G1759&lt;=2000,"4 501-2000",TRUE(),"5 Above 2000")</f>
        <v>3 1-500</v>
      </c>
      <c r="P1759" s="2" t="n">
        <f aca="false">Lookups!$B$2*M1759+Lookups!$B$3*L1759</f>
        <v>0</v>
      </c>
      <c r="Q1759" s="2" t="str">
        <f aca="false">INDEX(Lookups!$E$2:$E$5,MATCH(P1759,Lookups!$D$2:$D$5,0))</f>
        <v>Low</v>
      </c>
    </row>
    <row r="1760" customFormat="false" ht="15" hidden="false" customHeight="false" outlineLevel="0" collapsed="false">
      <c r="A1760" s="3" t="n">
        <v>1759</v>
      </c>
      <c r="B1760" s="3" t="n">
        <f aca="false">Raw_Data!A1760</f>
        <v>30</v>
      </c>
      <c r="C1760" s="3" t="str">
        <f aca="false">SUBSTITUTE(Raw_Data!B1760,".","")</f>
        <v>blue-collar</v>
      </c>
      <c r="D1760" s="3" t="str">
        <f aca="false">Raw_Data!C1760</f>
        <v>married</v>
      </c>
      <c r="E1760" s="3" t="str">
        <f aca="false">Raw_Data!D1760</f>
        <v>primary</v>
      </c>
      <c r="F1760" s="3" t="str">
        <f aca="false">Raw_Data!E1760</f>
        <v>no</v>
      </c>
      <c r="G1760" s="3" t="n">
        <f aca="false">Raw_Data!F1760</f>
        <v>-336</v>
      </c>
      <c r="H1760" s="3" t="str">
        <f aca="false">Raw_Data!G1760</f>
        <v>no</v>
      </c>
      <c r="I1760" s="3" t="str">
        <f aca="false">Raw_Data!H1760</f>
        <v>no</v>
      </c>
      <c r="J1760" s="2" t="n">
        <f aca="false">IF(F1760="yes",1,0)</f>
        <v>0</v>
      </c>
      <c r="K1760" s="2" t="n">
        <f aca="false">IF(H1760="yes",1,0)</f>
        <v>0</v>
      </c>
      <c r="L1760" s="2" t="n">
        <f aca="false">IF(I1760="yes",1,0)</f>
        <v>0</v>
      </c>
      <c r="M1760" s="2" t="n">
        <f aca="false">IF(G1760&lt;0,1,0)</f>
        <v>1</v>
      </c>
      <c r="N1760" s="2" t="str">
        <f aca="false">_xlfn.IFS(B1760&lt;30,"Under 30",B1760&lt;40,"30-39",B1760&lt;50,"40-49",B1760&lt;60,"50-59",TRUE(),"60+")</f>
        <v>30-39</v>
      </c>
      <c r="O1760" s="2" t="str">
        <f aca="false">_xlfn.IFS(G1760&lt;0,"1 Negative",G1760=0,"2 Zero",G1760&lt;=500,"3 1-500",G1760&lt;=2000,"4 501-2000",TRUE(),"5 Above 2000")</f>
        <v>1 Negative</v>
      </c>
      <c r="P1760" s="2" t="n">
        <f aca="false">Lookups!$B$2*M1760+Lookups!$B$3*L1760</f>
        <v>2</v>
      </c>
      <c r="Q1760" s="2" t="str">
        <f aca="false">INDEX(Lookups!$E$2:$E$5,MATCH(P1760,Lookups!$D$2:$D$5,0))</f>
        <v>High</v>
      </c>
    </row>
    <row r="1761" customFormat="false" ht="15" hidden="false" customHeight="false" outlineLevel="0" collapsed="false">
      <c r="A1761" s="3" t="n">
        <v>1760</v>
      </c>
      <c r="B1761" s="3" t="n">
        <f aca="false">Raw_Data!A1761</f>
        <v>26</v>
      </c>
      <c r="C1761" s="3" t="str">
        <f aca="false">SUBSTITUTE(Raw_Data!B1761,".","")</f>
        <v>admin</v>
      </c>
      <c r="D1761" s="3" t="str">
        <f aca="false">Raw_Data!C1761</f>
        <v>single</v>
      </c>
      <c r="E1761" s="3" t="str">
        <f aca="false">Raw_Data!D1761</f>
        <v>tertiary</v>
      </c>
      <c r="F1761" s="3" t="str">
        <f aca="false">Raw_Data!E1761</f>
        <v>no</v>
      </c>
      <c r="G1761" s="3" t="n">
        <f aca="false">Raw_Data!F1761</f>
        <v>3672</v>
      </c>
      <c r="H1761" s="3" t="str">
        <f aca="false">Raw_Data!G1761</f>
        <v>yes</v>
      </c>
      <c r="I1761" s="3" t="str">
        <f aca="false">Raw_Data!H1761</f>
        <v>no</v>
      </c>
      <c r="J1761" s="2" t="n">
        <f aca="false">IF(F1761="yes",1,0)</f>
        <v>0</v>
      </c>
      <c r="K1761" s="2" t="n">
        <f aca="false">IF(H1761="yes",1,0)</f>
        <v>1</v>
      </c>
      <c r="L1761" s="2" t="n">
        <f aca="false">IF(I1761="yes",1,0)</f>
        <v>0</v>
      </c>
      <c r="M1761" s="2" t="n">
        <f aca="false">IF(G1761&lt;0,1,0)</f>
        <v>0</v>
      </c>
      <c r="N1761" s="2" t="str">
        <f aca="false">_xlfn.IFS(B1761&lt;30,"Under 30",B1761&lt;40,"30-39",B1761&lt;50,"40-49",B1761&lt;60,"50-59",TRUE(),"60+")</f>
        <v>Under 30</v>
      </c>
      <c r="O1761" s="2" t="str">
        <f aca="false">_xlfn.IFS(G1761&lt;0,"1 Negative",G1761=0,"2 Zero",G1761&lt;=500,"3 1-500",G1761&lt;=2000,"4 501-2000",TRUE(),"5 Above 2000")</f>
        <v>5 Above 2000</v>
      </c>
      <c r="P1761" s="2" t="n">
        <f aca="false">Lookups!$B$2*M1761+Lookups!$B$3*L1761</f>
        <v>0</v>
      </c>
      <c r="Q1761" s="2" t="str">
        <f aca="false">INDEX(Lookups!$E$2:$E$5,MATCH(P1761,Lookups!$D$2:$D$5,0))</f>
        <v>Low</v>
      </c>
    </row>
    <row r="1762" customFormat="false" ht="15" hidden="false" customHeight="false" outlineLevel="0" collapsed="false">
      <c r="A1762" s="3" t="n">
        <v>1761</v>
      </c>
      <c r="B1762" s="3" t="n">
        <f aca="false">Raw_Data!A1762</f>
        <v>35</v>
      </c>
      <c r="C1762" s="3" t="str">
        <f aca="false">SUBSTITUTE(Raw_Data!B1762,".","")</f>
        <v>technician</v>
      </c>
      <c r="D1762" s="3" t="str">
        <f aca="false">Raw_Data!C1762</f>
        <v>married</v>
      </c>
      <c r="E1762" s="3" t="str">
        <f aca="false">Raw_Data!D1762</f>
        <v>secondary</v>
      </c>
      <c r="F1762" s="3" t="str">
        <f aca="false">Raw_Data!E1762</f>
        <v>no</v>
      </c>
      <c r="G1762" s="3" t="n">
        <f aca="false">Raw_Data!F1762</f>
        <v>0</v>
      </c>
      <c r="H1762" s="3" t="str">
        <f aca="false">Raw_Data!G1762</f>
        <v>yes</v>
      </c>
      <c r="I1762" s="3" t="str">
        <f aca="false">Raw_Data!H1762</f>
        <v>no</v>
      </c>
      <c r="J1762" s="2" t="n">
        <f aca="false">IF(F1762="yes",1,0)</f>
        <v>0</v>
      </c>
      <c r="K1762" s="2" t="n">
        <f aca="false">IF(H1762="yes",1,0)</f>
        <v>1</v>
      </c>
      <c r="L1762" s="2" t="n">
        <f aca="false">IF(I1762="yes",1,0)</f>
        <v>0</v>
      </c>
      <c r="M1762" s="2" t="n">
        <f aca="false">IF(G1762&lt;0,1,0)</f>
        <v>0</v>
      </c>
      <c r="N1762" s="2" t="str">
        <f aca="false">_xlfn.IFS(B1762&lt;30,"Under 30",B1762&lt;40,"30-39",B1762&lt;50,"40-49",B1762&lt;60,"50-59",TRUE(),"60+")</f>
        <v>30-39</v>
      </c>
      <c r="O1762" s="2" t="str">
        <f aca="false">_xlfn.IFS(G1762&lt;0,"1 Negative",G1762=0,"2 Zero",G1762&lt;=500,"3 1-500",G1762&lt;=2000,"4 501-2000",TRUE(),"5 Above 2000")</f>
        <v>2 Zero</v>
      </c>
      <c r="P1762" s="2" t="n">
        <f aca="false">Lookups!$B$2*M1762+Lookups!$B$3*L1762</f>
        <v>0</v>
      </c>
      <c r="Q1762" s="2" t="str">
        <f aca="false">INDEX(Lookups!$E$2:$E$5,MATCH(P1762,Lookups!$D$2:$D$5,0))</f>
        <v>Low</v>
      </c>
    </row>
    <row r="1763" customFormat="false" ht="15" hidden="false" customHeight="false" outlineLevel="0" collapsed="false">
      <c r="A1763" s="3" t="n">
        <v>1762</v>
      </c>
      <c r="B1763" s="3" t="n">
        <f aca="false">Raw_Data!A1763</f>
        <v>35</v>
      </c>
      <c r="C1763" s="3" t="str">
        <f aca="false">SUBSTITUTE(Raw_Data!B1763,".","")</f>
        <v>technician</v>
      </c>
      <c r="D1763" s="3" t="str">
        <f aca="false">Raw_Data!C1763</f>
        <v>married</v>
      </c>
      <c r="E1763" s="3" t="str">
        <f aca="false">Raw_Data!D1763</f>
        <v>secondary</v>
      </c>
      <c r="F1763" s="3" t="str">
        <f aca="false">Raw_Data!E1763</f>
        <v>no</v>
      </c>
      <c r="G1763" s="3" t="n">
        <f aca="false">Raw_Data!F1763</f>
        <v>251</v>
      </c>
      <c r="H1763" s="3" t="str">
        <f aca="false">Raw_Data!G1763</f>
        <v>yes</v>
      </c>
      <c r="I1763" s="3" t="str">
        <f aca="false">Raw_Data!H1763</f>
        <v>yes</v>
      </c>
      <c r="J1763" s="2" t="n">
        <f aca="false">IF(F1763="yes",1,0)</f>
        <v>0</v>
      </c>
      <c r="K1763" s="2" t="n">
        <f aca="false">IF(H1763="yes",1,0)</f>
        <v>1</v>
      </c>
      <c r="L1763" s="2" t="n">
        <f aca="false">IF(I1763="yes",1,0)</f>
        <v>1</v>
      </c>
      <c r="M1763" s="2" t="n">
        <f aca="false">IF(G1763&lt;0,1,0)</f>
        <v>0</v>
      </c>
      <c r="N1763" s="2" t="str">
        <f aca="false">_xlfn.IFS(B1763&lt;30,"Under 30",B1763&lt;40,"30-39",B1763&lt;50,"40-49",B1763&lt;60,"50-59",TRUE(),"60+")</f>
        <v>30-39</v>
      </c>
      <c r="O1763" s="2" t="str">
        <f aca="false">_xlfn.IFS(G1763&lt;0,"1 Negative",G1763=0,"2 Zero",G1763&lt;=500,"3 1-500",G1763&lt;=2000,"4 501-2000",TRUE(),"5 Above 2000")</f>
        <v>3 1-500</v>
      </c>
      <c r="P1763" s="2" t="n">
        <f aca="false">Lookups!$B$2*M1763+Lookups!$B$3*L1763</f>
        <v>1</v>
      </c>
      <c r="Q1763" s="2" t="str">
        <f aca="false">INDEX(Lookups!$E$2:$E$5,MATCH(P1763,Lookups!$D$2:$D$5,0))</f>
        <v>Medium</v>
      </c>
    </row>
    <row r="1764" customFormat="false" ht="15" hidden="false" customHeight="false" outlineLevel="0" collapsed="false">
      <c r="A1764" s="3" t="n">
        <v>1763</v>
      </c>
      <c r="B1764" s="3" t="n">
        <f aca="false">Raw_Data!A1764</f>
        <v>35</v>
      </c>
      <c r="C1764" s="3" t="str">
        <f aca="false">SUBSTITUTE(Raw_Data!B1764,".","")</f>
        <v>self-employed</v>
      </c>
      <c r="D1764" s="3" t="str">
        <f aca="false">Raw_Data!C1764</f>
        <v>single</v>
      </c>
      <c r="E1764" s="3" t="str">
        <f aca="false">Raw_Data!D1764</f>
        <v>tertiary</v>
      </c>
      <c r="F1764" s="3" t="str">
        <f aca="false">Raw_Data!E1764</f>
        <v>no</v>
      </c>
      <c r="G1764" s="3" t="n">
        <f aca="false">Raw_Data!F1764</f>
        <v>44</v>
      </c>
      <c r="H1764" s="3" t="str">
        <f aca="false">Raw_Data!G1764</f>
        <v>no</v>
      </c>
      <c r="I1764" s="3" t="str">
        <f aca="false">Raw_Data!H1764</f>
        <v>no</v>
      </c>
      <c r="J1764" s="2" t="n">
        <f aca="false">IF(F1764="yes",1,0)</f>
        <v>0</v>
      </c>
      <c r="K1764" s="2" t="n">
        <f aca="false">IF(H1764="yes",1,0)</f>
        <v>0</v>
      </c>
      <c r="L1764" s="2" t="n">
        <f aca="false">IF(I1764="yes",1,0)</f>
        <v>0</v>
      </c>
      <c r="M1764" s="2" t="n">
        <f aca="false">IF(G1764&lt;0,1,0)</f>
        <v>0</v>
      </c>
      <c r="N1764" s="2" t="str">
        <f aca="false">_xlfn.IFS(B1764&lt;30,"Under 30",B1764&lt;40,"30-39",B1764&lt;50,"40-49",B1764&lt;60,"50-59",TRUE(),"60+")</f>
        <v>30-39</v>
      </c>
      <c r="O1764" s="2" t="str">
        <f aca="false">_xlfn.IFS(G1764&lt;0,"1 Negative",G1764=0,"2 Zero",G1764&lt;=500,"3 1-500",G1764&lt;=2000,"4 501-2000",TRUE(),"5 Above 2000")</f>
        <v>3 1-500</v>
      </c>
      <c r="P1764" s="2" t="n">
        <f aca="false">Lookups!$B$2*M1764+Lookups!$B$3*L1764</f>
        <v>0</v>
      </c>
      <c r="Q1764" s="2" t="str">
        <f aca="false">INDEX(Lookups!$E$2:$E$5,MATCH(P1764,Lookups!$D$2:$D$5,0))</f>
        <v>Low</v>
      </c>
    </row>
    <row r="1765" customFormat="false" ht="15" hidden="false" customHeight="false" outlineLevel="0" collapsed="false">
      <c r="A1765" s="3" t="n">
        <v>1764</v>
      </c>
      <c r="B1765" s="3" t="n">
        <f aca="false">Raw_Data!A1765</f>
        <v>57</v>
      </c>
      <c r="C1765" s="3" t="str">
        <f aca="false">SUBSTITUTE(Raw_Data!B1765,".","")</f>
        <v>blue-collar</v>
      </c>
      <c r="D1765" s="3" t="str">
        <f aca="false">Raw_Data!C1765</f>
        <v>married</v>
      </c>
      <c r="E1765" s="3" t="str">
        <f aca="false">Raw_Data!D1765</f>
        <v>secondary</v>
      </c>
      <c r="F1765" s="3" t="str">
        <f aca="false">Raw_Data!E1765</f>
        <v>no</v>
      </c>
      <c r="G1765" s="3" t="n">
        <f aca="false">Raw_Data!F1765</f>
        <v>2887</v>
      </c>
      <c r="H1765" s="3" t="str">
        <f aca="false">Raw_Data!G1765</f>
        <v>no</v>
      </c>
      <c r="I1765" s="3" t="str">
        <f aca="false">Raw_Data!H1765</f>
        <v>no</v>
      </c>
      <c r="J1765" s="2" t="n">
        <f aca="false">IF(F1765="yes",1,0)</f>
        <v>0</v>
      </c>
      <c r="K1765" s="2" t="n">
        <f aca="false">IF(H1765="yes",1,0)</f>
        <v>0</v>
      </c>
      <c r="L1765" s="2" t="n">
        <f aca="false">IF(I1765="yes",1,0)</f>
        <v>0</v>
      </c>
      <c r="M1765" s="2" t="n">
        <f aca="false">IF(G1765&lt;0,1,0)</f>
        <v>0</v>
      </c>
      <c r="N1765" s="2" t="str">
        <f aca="false">_xlfn.IFS(B1765&lt;30,"Under 30",B1765&lt;40,"30-39",B1765&lt;50,"40-49",B1765&lt;60,"50-59",TRUE(),"60+")</f>
        <v>50-59</v>
      </c>
      <c r="O1765" s="2" t="str">
        <f aca="false">_xlfn.IFS(G1765&lt;0,"1 Negative",G1765=0,"2 Zero",G1765&lt;=500,"3 1-500",G1765&lt;=2000,"4 501-2000",TRUE(),"5 Above 2000")</f>
        <v>5 Above 2000</v>
      </c>
      <c r="P1765" s="2" t="n">
        <f aca="false">Lookups!$B$2*M1765+Lookups!$B$3*L1765</f>
        <v>0</v>
      </c>
      <c r="Q1765" s="2" t="str">
        <f aca="false">INDEX(Lookups!$E$2:$E$5,MATCH(P1765,Lookups!$D$2:$D$5,0))</f>
        <v>Low</v>
      </c>
    </row>
    <row r="1766" customFormat="false" ht="15" hidden="false" customHeight="false" outlineLevel="0" collapsed="false">
      <c r="A1766" s="3" t="n">
        <v>1765</v>
      </c>
      <c r="B1766" s="3" t="n">
        <f aca="false">Raw_Data!A1766</f>
        <v>29</v>
      </c>
      <c r="C1766" s="3" t="str">
        <f aca="false">SUBSTITUTE(Raw_Data!B1766,".","")</f>
        <v>admin</v>
      </c>
      <c r="D1766" s="3" t="str">
        <f aca="false">Raw_Data!C1766</f>
        <v>single</v>
      </c>
      <c r="E1766" s="3" t="str">
        <f aca="false">Raw_Data!D1766</f>
        <v>secondary</v>
      </c>
      <c r="F1766" s="3" t="str">
        <f aca="false">Raw_Data!E1766</f>
        <v>no</v>
      </c>
      <c r="G1766" s="3" t="n">
        <f aca="false">Raw_Data!F1766</f>
        <v>1992</v>
      </c>
      <c r="H1766" s="3" t="str">
        <f aca="false">Raw_Data!G1766</f>
        <v>no</v>
      </c>
      <c r="I1766" s="3" t="str">
        <f aca="false">Raw_Data!H1766</f>
        <v>no</v>
      </c>
      <c r="J1766" s="2" t="n">
        <f aca="false">IF(F1766="yes",1,0)</f>
        <v>0</v>
      </c>
      <c r="K1766" s="2" t="n">
        <f aca="false">IF(H1766="yes",1,0)</f>
        <v>0</v>
      </c>
      <c r="L1766" s="2" t="n">
        <f aca="false">IF(I1766="yes",1,0)</f>
        <v>0</v>
      </c>
      <c r="M1766" s="2" t="n">
        <f aca="false">IF(G1766&lt;0,1,0)</f>
        <v>0</v>
      </c>
      <c r="N1766" s="2" t="str">
        <f aca="false">_xlfn.IFS(B1766&lt;30,"Under 30",B1766&lt;40,"30-39",B1766&lt;50,"40-49",B1766&lt;60,"50-59",TRUE(),"60+")</f>
        <v>Under 30</v>
      </c>
      <c r="O1766" s="2" t="str">
        <f aca="false">_xlfn.IFS(G1766&lt;0,"1 Negative",G1766=0,"2 Zero",G1766&lt;=500,"3 1-500",G1766&lt;=2000,"4 501-2000",TRUE(),"5 Above 2000")</f>
        <v>4 501-2000</v>
      </c>
      <c r="P1766" s="2" t="n">
        <f aca="false">Lookups!$B$2*M1766+Lookups!$B$3*L1766</f>
        <v>0</v>
      </c>
      <c r="Q1766" s="2" t="str">
        <f aca="false">INDEX(Lookups!$E$2:$E$5,MATCH(P1766,Lookups!$D$2:$D$5,0))</f>
        <v>Low</v>
      </c>
    </row>
    <row r="1767" customFormat="false" ht="15" hidden="false" customHeight="false" outlineLevel="0" collapsed="false">
      <c r="A1767" s="3" t="n">
        <v>1766</v>
      </c>
      <c r="B1767" s="3" t="n">
        <f aca="false">Raw_Data!A1767</f>
        <v>32</v>
      </c>
      <c r="C1767" s="3" t="str">
        <f aca="false">SUBSTITUTE(Raw_Data!B1767,".","")</f>
        <v>blue-collar</v>
      </c>
      <c r="D1767" s="3" t="str">
        <f aca="false">Raw_Data!C1767</f>
        <v>single</v>
      </c>
      <c r="E1767" s="3" t="str">
        <f aca="false">Raw_Data!D1767</f>
        <v>secondary</v>
      </c>
      <c r="F1767" s="3" t="str">
        <f aca="false">Raw_Data!E1767</f>
        <v>no</v>
      </c>
      <c r="G1767" s="3" t="n">
        <f aca="false">Raw_Data!F1767</f>
        <v>2</v>
      </c>
      <c r="H1767" s="3" t="str">
        <f aca="false">Raw_Data!G1767</f>
        <v>no</v>
      </c>
      <c r="I1767" s="3" t="str">
        <f aca="false">Raw_Data!H1767</f>
        <v>no</v>
      </c>
      <c r="J1767" s="2" t="n">
        <f aca="false">IF(F1767="yes",1,0)</f>
        <v>0</v>
      </c>
      <c r="K1767" s="2" t="n">
        <f aca="false">IF(H1767="yes",1,0)</f>
        <v>0</v>
      </c>
      <c r="L1767" s="2" t="n">
        <f aca="false">IF(I1767="yes",1,0)</f>
        <v>0</v>
      </c>
      <c r="M1767" s="2" t="n">
        <f aca="false">IF(G1767&lt;0,1,0)</f>
        <v>0</v>
      </c>
      <c r="N1767" s="2" t="str">
        <f aca="false">_xlfn.IFS(B1767&lt;30,"Under 30",B1767&lt;40,"30-39",B1767&lt;50,"40-49",B1767&lt;60,"50-59",TRUE(),"60+")</f>
        <v>30-39</v>
      </c>
      <c r="O1767" s="2" t="str">
        <f aca="false">_xlfn.IFS(G1767&lt;0,"1 Negative",G1767=0,"2 Zero",G1767&lt;=500,"3 1-500",G1767&lt;=2000,"4 501-2000",TRUE(),"5 Above 2000")</f>
        <v>3 1-500</v>
      </c>
      <c r="P1767" s="2" t="n">
        <f aca="false">Lookups!$B$2*M1767+Lookups!$B$3*L1767</f>
        <v>0</v>
      </c>
      <c r="Q1767" s="2" t="str">
        <f aca="false">INDEX(Lookups!$E$2:$E$5,MATCH(P1767,Lookups!$D$2:$D$5,0))</f>
        <v>Low</v>
      </c>
    </row>
    <row r="1768" customFormat="false" ht="15" hidden="false" customHeight="false" outlineLevel="0" collapsed="false">
      <c r="A1768" s="3" t="n">
        <v>1767</v>
      </c>
      <c r="B1768" s="3" t="n">
        <f aca="false">Raw_Data!A1768</f>
        <v>45</v>
      </c>
      <c r="C1768" s="3" t="str">
        <f aca="false">SUBSTITUTE(Raw_Data!B1768,".","")</f>
        <v>technician</v>
      </c>
      <c r="D1768" s="3" t="str">
        <f aca="false">Raw_Data!C1768</f>
        <v>married</v>
      </c>
      <c r="E1768" s="3" t="str">
        <f aca="false">Raw_Data!D1768</f>
        <v>secondary</v>
      </c>
      <c r="F1768" s="3" t="str">
        <f aca="false">Raw_Data!E1768</f>
        <v>no</v>
      </c>
      <c r="G1768" s="3" t="n">
        <f aca="false">Raw_Data!F1768</f>
        <v>1415</v>
      </c>
      <c r="H1768" s="3" t="str">
        <f aca="false">Raw_Data!G1768</f>
        <v>yes</v>
      </c>
      <c r="I1768" s="3" t="str">
        <f aca="false">Raw_Data!H1768</f>
        <v>no</v>
      </c>
      <c r="J1768" s="2" t="n">
        <f aca="false">IF(F1768="yes",1,0)</f>
        <v>0</v>
      </c>
      <c r="K1768" s="2" t="n">
        <f aca="false">IF(H1768="yes",1,0)</f>
        <v>1</v>
      </c>
      <c r="L1768" s="2" t="n">
        <f aca="false">IF(I1768="yes",1,0)</f>
        <v>0</v>
      </c>
      <c r="M1768" s="2" t="n">
        <f aca="false">IF(G1768&lt;0,1,0)</f>
        <v>0</v>
      </c>
      <c r="N1768" s="2" t="str">
        <f aca="false">_xlfn.IFS(B1768&lt;30,"Under 30",B1768&lt;40,"30-39",B1768&lt;50,"40-49",B1768&lt;60,"50-59",TRUE(),"60+")</f>
        <v>40-49</v>
      </c>
      <c r="O1768" s="2" t="str">
        <f aca="false">_xlfn.IFS(G1768&lt;0,"1 Negative",G1768=0,"2 Zero",G1768&lt;=500,"3 1-500",G1768&lt;=2000,"4 501-2000",TRUE(),"5 Above 2000")</f>
        <v>4 501-2000</v>
      </c>
      <c r="P1768" s="2" t="n">
        <f aca="false">Lookups!$B$2*M1768+Lookups!$B$3*L1768</f>
        <v>0</v>
      </c>
      <c r="Q1768" s="2" t="str">
        <f aca="false">INDEX(Lookups!$E$2:$E$5,MATCH(P1768,Lookups!$D$2:$D$5,0))</f>
        <v>Low</v>
      </c>
    </row>
    <row r="1769" customFormat="false" ht="15" hidden="false" customHeight="false" outlineLevel="0" collapsed="false">
      <c r="A1769" s="3" t="n">
        <v>1768</v>
      </c>
      <c r="B1769" s="3" t="n">
        <f aca="false">Raw_Data!A1769</f>
        <v>51</v>
      </c>
      <c r="C1769" s="3" t="str">
        <f aca="false">SUBSTITUTE(Raw_Data!B1769,".","")</f>
        <v>management</v>
      </c>
      <c r="D1769" s="3" t="str">
        <f aca="false">Raw_Data!C1769</f>
        <v>single</v>
      </c>
      <c r="E1769" s="3" t="str">
        <f aca="false">Raw_Data!D1769</f>
        <v>tertiary</v>
      </c>
      <c r="F1769" s="3" t="str">
        <f aca="false">Raw_Data!E1769</f>
        <v>no</v>
      </c>
      <c r="G1769" s="3" t="n">
        <f aca="false">Raw_Data!F1769</f>
        <v>297</v>
      </c>
      <c r="H1769" s="3" t="str">
        <f aca="false">Raw_Data!G1769</f>
        <v>yes</v>
      </c>
      <c r="I1769" s="3" t="str">
        <f aca="false">Raw_Data!H1769</f>
        <v>no</v>
      </c>
      <c r="J1769" s="2" t="n">
        <f aca="false">IF(F1769="yes",1,0)</f>
        <v>0</v>
      </c>
      <c r="K1769" s="2" t="n">
        <f aca="false">IF(H1769="yes",1,0)</f>
        <v>1</v>
      </c>
      <c r="L1769" s="2" t="n">
        <f aca="false">IF(I1769="yes",1,0)</f>
        <v>0</v>
      </c>
      <c r="M1769" s="2" t="n">
        <f aca="false">IF(G1769&lt;0,1,0)</f>
        <v>0</v>
      </c>
      <c r="N1769" s="2" t="str">
        <f aca="false">_xlfn.IFS(B1769&lt;30,"Under 30",B1769&lt;40,"30-39",B1769&lt;50,"40-49",B1769&lt;60,"50-59",TRUE(),"60+")</f>
        <v>50-59</v>
      </c>
      <c r="O1769" s="2" t="str">
        <f aca="false">_xlfn.IFS(G1769&lt;0,"1 Negative",G1769=0,"2 Zero",G1769&lt;=500,"3 1-500",G1769&lt;=2000,"4 501-2000",TRUE(),"5 Above 2000")</f>
        <v>3 1-500</v>
      </c>
      <c r="P1769" s="2" t="n">
        <f aca="false">Lookups!$B$2*M1769+Lookups!$B$3*L1769</f>
        <v>0</v>
      </c>
      <c r="Q1769" s="2" t="str">
        <f aca="false">INDEX(Lookups!$E$2:$E$5,MATCH(P1769,Lookups!$D$2:$D$5,0))</f>
        <v>Low</v>
      </c>
    </row>
    <row r="1770" customFormat="false" ht="15" hidden="false" customHeight="false" outlineLevel="0" collapsed="false">
      <c r="A1770" s="3" t="n">
        <v>1769</v>
      </c>
      <c r="B1770" s="3" t="n">
        <f aca="false">Raw_Data!A1770</f>
        <v>31</v>
      </c>
      <c r="C1770" s="3" t="str">
        <f aca="false">SUBSTITUTE(Raw_Data!B1770,".","")</f>
        <v>technician</v>
      </c>
      <c r="D1770" s="3" t="str">
        <f aca="false">Raw_Data!C1770</f>
        <v>single</v>
      </c>
      <c r="E1770" s="3" t="str">
        <f aca="false">Raw_Data!D1770</f>
        <v>secondary</v>
      </c>
      <c r="F1770" s="3" t="str">
        <f aca="false">Raw_Data!E1770</f>
        <v>no</v>
      </c>
      <c r="G1770" s="3" t="n">
        <f aca="false">Raw_Data!F1770</f>
        <v>1094</v>
      </c>
      <c r="H1770" s="3" t="str">
        <f aca="false">Raw_Data!G1770</f>
        <v>yes</v>
      </c>
      <c r="I1770" s="3" t="str">
        <f aca="false">Raw_Data!H1770</f>
        <v>no</v>
      </c>
      <c r="J1770" s="2" t="n">
        <f aca="false">IF(F1770="yes",1,0)</f>
        <v>0</v>
      </c>
      <c r="K1770" s="2" t="n">
        <f aca="false">IF(H1770="yes",1,0)</f>
        <v>1</v>
      </c>
      <c r="L1770" s="2" t="n">
        <f aca="false">IF(I1770="yes",1,0)</f>
        <v>0</v>
      </c>
      <c r="M1770" s="2" t="n">
        <f aca="false">IF(G1770&lt;0,1,0)</f>
        <v>0</v>
      </c>
      <c r="N1770" s="2" t="str">
        <f aca="false">_xlfn.IFS(B1770&lt;30,"Under 30",B1770&lt;40,"30-39",B1770&lt;50,"40-49",B1770&lt;60,"50-59",TRUE(),"60+")</f>
        <v>30-39</v>
      </c>
      <c r="O1770" s="2" t="str">
        <f aca="false">_xlfn.IFS(G1770&lt;0,"1 Negative",G1770=0,"2 Zero",G1770&lt;=500,"3 1-500",G1770&lt;=2000,"4 501-2000",TRUE(),"5 Above 2000")</f>
        <v>4 501-2000</v>
      </c>
      <c r="P1770" s="2" t="n">
        <f aca="false">Lookups!$B$2*M1770+Lookups!$B$3*L1770</f>
        <v>0</v>
      </c>
      <c r="Q1770" s="2" t="str">
        <f aca="false">INDEX(Lookups!$E$2:$E$5,MATCH(P1770,Lookups!$D$2:$D$5,0))</f>
        <v>Low</v>
      </c>
    </row>
    <row r="1771" customFormat="false" ht="15" hidden="false" customHeight="false" outlineLevel="0" collapsed="false">
      <c r="A1771" s="3" t="n">
        <v>1770</v>
      </c>
      <c r="B1771" s="3" t="n">
        <f aca="false">Raw_Data!A1771</f>
        <v>50</v>
      </c>
      <c r="C1771" s="3" t="str">
        <f aca="false">SUBSTITUTE(Raw_Data!B1771,".","")</f>
        <v>self-employed</v>
      </c>
      <c r="D1771" s="3" t="str">
        <f aca="false">Raw_Data!C1771</f>
        <v>married</v>
      </c>
      <c r="E1771" s="3" t="str">
        <f aca="false">Raw_Data!D1771</f>
        <v>unknown</v>
      </c>
      <c r="F1771" s="3" t="str">
        <f aca="false">Raw_Data!E1771</f>
        <v>no</v>
      </c>
      <c r="G1771" s="3" t="n">
        <f aca="false">Raw_Data!F1771</f>
        <v>-84</v>
      </c>
      <c r="H1771" s="3" t="str">
        <f aca="false">Raw_Data!G1771</f>
        <v>yes</v>
      </c>
      <c r="I1771" s="3" t="str">
        <f aca="false">Raw_Data!H1771</f>
        <v>no</v>
      </c>
      <c r="J1771" s="2" t="n">
        <f aca="false">IF(F1771="yes",1,0)</f>
        <v>0</v>
      </c>
      <c r="K1771" s="2" t="n">
        <f aca="false">IF(H1771="yes",1,0)</f>
        <v>1</v>
      </c>
      <c r="L1771" s="2" t="n">
        <f aca="false">IF(I1771="yes",1,0)</f>
        <v>0</v>
      </c>
      <c r="M1771" s="2" t="n">
        <f aca="false">IF(G1771&lt;0,1,0)</f>
        <v>1</v>
      </c>
      <c r="N1771" s="2" t="str">
        <f aca="false">_xlfn.IFS(B1771&lt;30,"Under 30",B1771&lt;40,"30-39",B1771&lt;50,"40-49",B1771&lt;60,"50-59",TRUE(),"60+")</f>
        <v>50-59</v>
      </c>
      <c r="O1771" s="2" t="str">
        <f aca="false">_xlfn.IFS(G1771&lt;0,"1 Negative",G1771=0,"2 Zero",G1771&lt;=500,"3 1-500",G1771&lt;=2000,"4 501-2000",TRUE(),"5 Above 2000")</f>
        <v>1 Negative</v>
      </c>
      <c r="P1771" s="2" t="n">
        <f aca="false">Lookups!$B$2*M1771+Lookups!$B$3*L1771</f>
        <v>2</v>
      </c>
      <c r="Q1771" s="2" t="str">
        <f aca="false">INDEX(Lookups!$E$2:$E$5,MATCH(P1771,Lookups!$D$2:$D$5,0))</f>
        <v>High</v>
      </c>
    </row>
    <row r="1772" customFormat="false" ht="15" hidden="false" customHeight="false" outlineLevel="0" collapsed="false">
      <c r="A1772" s="3" t="n">
        <v>1771</v>
      </c>
      <c r="B1772" s="3" t="n">
        <f aca="false">Raw_Data!A1772</f>
        <v>38</v>
      </c>
      <c r="C1772" s="3" t="str">
        <f aca="false">SUBSTITUTE(Raw_Data!B1772,".","")</f>
        <v>blue-collar</v>
      </c>
      <c r="D1772" s="3" t="str">
        <f aca="false">Raw_Data!C1772</f>
        <v>single</v>
      </c>
      <c r="E1772" s="3" t="str">
        <f aca="false">Raw_Data!D1772</f>
        <v>secondary</v>
      </c>
      <c r="F1772" s="3" t="str">
        <f aca="false">Raw_Data!E1772</f>
        <v>no</v>
      </c>
      <c r="G1772" s="3" t="n">
        <f aca="false">Raw_Data!F1772</f>
        <v>-1</v>
      </c>
      <c r="H1772" s="3" t="str">
        <f aca="false">Raw_Data!G1772</f>
        <v>yes</v>
      </c>
      <c r="I1772" s="3" t="str">
        <f aca="false">Raw_Data!H1772</f>
        <v>no</v>
      </c>
      <c r="J1772" s="2" t="n">
        <f aca="false">IF(F1772="yes",1,0)</f>
        <v>0</v>
      </c>
      <c r="K1772" s="2" t="n">
        <f aca="false">IF(H1772="yes",1,0)</f>
        <v>1</v>
      </c>
      <c r="L1772" s="2" t="n">
        <f aca="false">IF(I1772="yes",1,0)</f>
        <v>0</v>
      </c>
      <c r="M1772" s="2" t="n">
        <f aca="false">IF(G1772&lt;0,1,0)</f>
        <v>1</v>
      </c>
      <c r="N1772" s="2" t="str">
        <f aca="false">_xlfn.IFS(B1772&lt;30,"Under 30",B1772&lt;40,"30-39",B1772&lt;50,"40-49",B1772&lt;60,"50-59",TRUE(),"60+")</f>
        <v>30-39</v>
      </c>
      <c r="O1772" s="2" t="str">
        <f aca="false">_xlfn.IFS(G1772&lt;0,"1 Negative",G1772=0,"2 Zero",G1772&lt;=500,"3 1-500",G1772&lt;=2000,"4 501-2000",TRUE(),"5 Above 2000")</f>
        <v>1 Negative</v>
      </c>
      <c r="P1772" s="2" t="n">
        <f aca="false">Lookups!$B$2*M1772+Lookups!$B$3*L1772</f>
        <v>2</v>
      </c>
      <c r="Q1772" s="2" t="str">
        <f aca="false">INDEX(Lookups!$E$2:$E$5,MATCH(P1772,Lookups!$D$2:$D$5,0))</f>
        <v>High</v>
      </c>
    </row>
    <row r="1773" customFormat="false" ht="15" hidden="false" customHeight="false" outlineLevel="0" collapsed="false">
      <c r="A1773" s="3" t="n">
        <v>1772</v>
      </c>
      <c r="B1773" s="3" t="n">
        <f aca="false">Raw_Data!A1773</f>
        <v>37</v>
      </c>
      <c r="C1773" s="3" t="str">
        <f aca="false">SUBSTITUTE(Raw_Data!B1773,".","")</f>
        <v>management</v>
      </c>
      <c r="D1773" s="3" t="str">
        <f aca="false">Raw_Data!C1773</f>
        <v>married</v>
      </c>
      <c r="E1773" s="3" t="str">
        <f aca="false">Raw_Data!D1773</f>
        <v>tertiary</v>
      </c>
      <c r="F1773" s="3" t="str">
        <f aca="false">Raw_Data!E1773</f>
        <v>no</v>
      </c>
      <c r="G1773" s="3" t="n">
        <f aca="false">Raw_Data!F1773</f>
        <v>347</v>
      </c>
      <c r="H1773" s="3" t="str">
        <f aca="false">Raw_Data!G1773</f>
        <v>yes</v>
      </c>
      <c r="I1773" s="3" t="str">
        <f aca="false">Raw_Data!H1773</f>
        <v>no</v>
      </c>
      <c r="J1773" s="2" t="n">
        <f aca="false">IF(F1773="yes",1,0)</f>
        <v>0</v>
      </c>
      <c r="K1773" s="2" t="n">
        <f aca="false">IF(H1773="yes",1,0)</f>
        <v>1</v>
      </c>
      <c r="L1773" s="2" t="n">
        <f aca="false">IF(I1773="yes",1,0)</f>
        <v>0</v>
      </c>
      <c r="M1773" s="2" t="n">
        <f aca="false">IF(G1773&lt;0,1,0)</f>
        <v>0</v>
      </c>
      <c r="N1773" s="2" t="str">
        <f aca="false">_xlfn.IFS(B1773&lt;30,"Under 30",B1773&lt;40,"30-39",B1773&lt;50,"40-49",B1773&lt;60,"50-59",TRUE(),"60+")</f>
        <v>30-39</v>
      </c>
      <c r="O1773" s="2" t="str">
        <f aca="false">_xlfn.IFS(G1773&lt;0,"1 Negative",G1773=0,"2 Zero",G1773&lt;=500,"3 1-500",G1773&lt;=2000,"4 501-2000",TRUE(),"5 Above 2000")</f>
        <v>3 1-500</v>
      </c>
      <c r="P1773" s="2" t="n">
        <f aca="false">Lookups!$B$2*M1773+Lookups!$B$3*L1773</f>
        <v>0</v>
      </c>
      <c r="Q1773" s="2" t="str">
        <f aca="false">INDEX(Lookups!$E$2:$E$5,MATCH(P1773,Lookups!$D$2:$D$5,0))</f>
        <v>Low</v>
      </c>
    </row>
    <row r="1774" customFormat="false" ht="15" hidden="false" customHeight="false" outlineLevel="0" collapsed="false">
      <c r="A1774" s="3" t="n">
        <v>1773</v>
      </c>
      <c r="B1774" s="3" t="n">
        <f aca="false">Raw_Data!A1774</f>
        <v>35</v>
      </c>
      <c r="C1774" s="3" t="str">
        <f aca="false">SUBSTITUTE(Raw_Data!B1774,".","")</f>
        <v>management</v>
      </c>
      <c r="D1774" s="3" t="str">
        <f aca="false">Raw_Data!C1774</f>
        <v>married</v>
      </c>
      <c r="E1774" s="3" t="str">
        <f aca="false">Raw_Data!D1774</f>
        <v>tertiary</v>
      </c>
      <c r="F1774" s="3" t="str">
        <f aca="false">Raw_Data!E1774</f>
        <v>no</v>
      </c>
      <c r="G1774" s="3" t="n">
        <f aca="false">Raw_Data!F1774</f>
        <v>1253</v>
      </c>
      <c r="H1774" s="3" t="str">
        <f aca="false">Raw_Data!G1774</f>
        <v>yes</v>
      </c>
      <c r="I1774" s="3" t="str">
        <f aca="false">Raw_Data!H1774</f>
        <v>no</v>
      </c>
      <c r="J1774" s="2" t="n">
        <f aca="false">IF(F1774="yes",1,0)</f>
        <v>0</v>
      </c>
      <c r="K1774" s="2" t="n">
        <f aca="false">IF(H1774="yes",1,0)</f>
        <v>1</v>
      </c>
      <c r="L1774" s="2" t="n">
        <f aca="false">IF(I1774="yes",1,0)</f>
        <v>0</v>
      </c>
      <c r="M1774" s="2" t="n">
        <f aca="false">IF(G1774&lt;0,1,0)</f>
        <v>0</v>
      </c>
      <c r="N1774" s="2" t="str">
        <f aca="false">_xlfn.IFS(B1774&lt;30,"Under 30",B1774&lt;40,"30-39",B1774&lt;50,"40-49",B1774&lt;60,"50-59",TRUE(),"60+")</f>
        <v>30-39</v>
      </c>
      <c r="O1774" s="2" t="str">
        <f aca="false">_xlfn.IFS(G1774&lt;0,"1 Negative",G1774=0,"2 Zero",G1774&lt;=500,"3 1-500",G1774&lt;=2000,"4 501-2000",TRUE(),"5 Above 2000")</f>
        <v>4 501-2000</v>
      </c>
      <c r="P1774" s="2" t="n">
        <f aca="false">Lookups!$B$2*M1774+Lookups!$B$3*L1774</f>
        <v>0</v>
      </c>
      <c r="Q1774" s="2" t="str">
        <f aca="false">INDEX(Lookups!$E$2:$E$5,MATCH(P1774,Lookups!$D$2:$D$5,0))</f>
        <v>Low</v>
      </c>
    </row>
    <row r="1775" customFormat="false" ht="15" hidden="false" customHeight="false" outlineLevel="0" collapsed="false">
      <c r="A1775" s="3" t="n">
        <v>1774</v>
      </c>
      <c r="B1775" s="3" t="n">
        <f aca="false">Raw_Data!A1775</f>
        <v>37</v>
      </c>
      <c r="C1775" s="3" t="str">
        <f aca="false">SUBSTITUTE(Raw_Data!B1775,".","")</f>
        <v>unemployed</v>
      </c>
      <c r="D1775" s="3" t="str">
        <f aca="false">Raw_Data!C1775</f>
        <v>married</v>
      </c>
      <c r="E1775" s="3" t="str">
        <f aca="false">Raw_Data!D1775</f>
        <v>unknown</v>
      </c>
      <c r="F1775" s="3" t="str">
        <f aca="false">Raw_Data!E1775</f>
        <v>no</v>
      </c>
      <c r="G1775" s="3" t="n">
        <f aca="false">Raw_Data!F1775</f>
        <v>4565</v>
      </c>
      <c r="H1775" s="3" t="str">
        <f aca="false">Raw_Data!G1775</f>
        <v>no</v>
      </c>
      <c r="I1775" s="3" t="str">
        <f aca="false">Raw_Data!H1775</f>
        <v>no</v>
      </c>
      <c r="J1775" s="2" t="n">
        <f aca="false">IF(F1775="yes",1,0)</f>
        <v>0</v>
      </c>
      <c r="K1775" s="2" t="n">
        <f aca="false">IF(H1775="yes",1,0)</f>
        <v>0</v>
      </c>
      <c r="L1775" s="2" t="n">
        <f aca="false">IF(I1775="yes",1,0)</f>
        <v>0</v>
      </c>
      <c r="M1775" s="2" t="n">
        <f aca="false">IF(G1775&lt;0,1,0)</f>
        <v>0</v>
      </c>
      <c r="N1775" s="2" t="str">
        <f aca="false">_xlfn.IFS(B1775&lt;30,"Under 30",B1775&lt;40,"30-39",B1775&lt;50,"40-49",B1775&lt;60,"50-59",TRUE(),"60+")</f>
        <v>30-39</v>
      </c>
      <c r="O1775" s="2" t="str">
        <f aca="false">_xlfn.IFS(G1775&lt;0,"1 Negative",G1775=0,"2 Zero",G1775&lt;=500,"3 1-500",G1775&lt;=2000,"4 501-2000",TRUE(),"5 Above 2000")</f>
        <v>5 Above 2000</v>
      </c>
      <c r="P1775" s="2" t="n">
        <f aca="false">Lookups!$B$2*M1775+Lookups!$B$3*L1775</f>
        <v>0</v>
      </c>
      <c r="Q1775" s="2" t="str">
        <f aca="false">INDEX(Lookups!$E$2:$E$5,MATCH(P1775,Lookups!$D$2:$D$5,0))</f>
        <v>Low</v>
      </c>
    </row>
    <row r="1776" customFormat="false" ht="15" hidden="false" customHeight="false" outlineLevel="0" collapsed="false">
      <c r="A1776" s="3" t="n">
        <v>1775</v>
      </c>
      <c r="B1776" s="3" t="n">
        <f aca="false">Raw_Data!A1776</f>
        <v>28</v>
      </c>
      <c r="C1776" s="3" t="str">
        <f aca="false">SUBSTITUTE(Raw_Data!B1776,".","")</f>
        <v>management</v>
      </c>
      <c r="D1776" s="3" t="str">
        <f aca="false">Raw_Data!C1776</f>
        <v>single</v>
      </c>
      <c r="E1776" s="3" t="str">
        <f aca="false">Raw_Data!D1776</f>
        <v>tertiary</v>
      </c>
      <c r="F1776" s="3" t="str">
        <f aca="false">Raw_Data!E1776</f>
        <v>no</v>
      </c>
      <c r="G1776" s="3" t="n">
        <f aca="false">Raw_Data!F1776</f>
        <v>781</v>
      </c>
      <c r="H1776" s="3" t="str">
        <f aca="false">Raw_Data!G1776</f>
        <v>no</v>
      </c>
      <c r="I1776" s="3" t="str">
        <f aca="false">Raw_Data!H1776</f>
        <v>no</v>
      </c>
      <c r="J1776" s="2" t="n">
        <f aca="false">IF(F1776="yes",1,0)</f>
        <v>0</v>
      </c>
      <c r="K1776" s="2" t="n">
        <f aca="false">IF(H1776="yes",1,0)</f>
        <v>0</v>
      </c>
      <c r="L1776" s="2" t="n">
        <f aca="false">IF(I1776="yes",1,0)</f>
        <v>0</v>
      </c>
      <c r="M1776" s="2" t="n">
        <f aca="false">IF(G1776&lt;0,1,0)</f>
        <v>0</v>
      </c>
      <c r="N1776" s="2" t="str">
        <f aca="false">_xlfn.IFS(B1776&lt;30,"Under 30",B1776&lt;40,"30-39",B1776&lt;50,"40-49",B1776&lt;60,"50-59",TRUE(),"60+")</f>
        <v>Under 30</v>
      </c>
      <c r="O1776" s="2" t="str">
        <f aca="false">_xlfn.IFS(G1776&lt;0,"1 Negative",G1776=0,"2 Zero",G1776&lt;=500,"3 1-500",G1776&lt;=2000,"4 501-2000",TRUE(),"5 Above 2000")</f>
        <v>4 501-2000</v>
      </c>
      <c r="P1776" s="2" t="n">
        <f aca="false">Lookups!$B$2*M1776+Lookups!$B$3*L1776</f>
        <v>0</v>
      </c>
      <c r="Q1776" s="2" t="str">
        <f aca="false">INDEX(Lookups!$E$2:$E$5,MATCH(P1776,Lookups!$D$2:$D$5,0))</f>
        <v>Low</v>
      </c>
    </row>
    <row r="1777" customFormat="false" ht="15" hidden="false" customHeight="false" outlineLevel="0" collapsed="false">
      <c r="A1777" s="3" t="n">
        <v>1776</v>
      </c>
      <c r="B1777" s="3" t="n">
        <f aca="false">Raw_Data!A1777</f>
        <v>38</v>
      </c>
      <c r="C1777" s="3" t="str">
        <f aca="false">SUBSTITUTE(Raw_Data!B1777,".","")</f>
        <v>management</v>
      </c>
      <c r="D1777" s="3" t="str">
        <f aca="false">Raw_Data!C1777</f>
        <v>married</v>
      </c>
      <c r="E1777" s="3" t="str">
        <f aca="false">Raw_Data!D1777</f>
        <v>tertiary</v>
      </c>
      <c r="F1777" s="3" t="str">
        <f aca="false">Raw_Data!E1777</f>
        <v>no</v>
      </c>
      <c r="G1777" s="3" t="n">
        <f aca="false">Raw_Data!F1777</f>
        <v>7124</v>
      </c>
      <c r="H1777" s="3" t="str">
        <f aca="false">Raw_Data!G1777</f>
        <v>no</v>
      </c>
      <c r="I1777" s="3" t="str">
        <f aca="false">Raw_Data!H1777</f>
        <v>no</v>
      </c>
      <c r="J1777" s="2" t="n">
        <f aca="false">IF(F1777="yes",1,0)</f>
        <v>0</v>
      </c>
      <c r="K1777" s="2" t="n">
        <f aca="false">IF(H1777="yes",1,0)</f>
        <v>0</v>
      </c>
      <c r="L1777" s="2" t="n">
        <f aca="false">IF(I1777="yes",1,0)</f>
        <v>0</v>
      </c>
      <c r="M1777" s="2" t="n">
        <f aca="false">IF(G1777&lt;0,1,0)</f>
        <v>0</v>
      </c>
      <c r="N1777" s="2" t="str">
        <f aca="false">_xlfn.IFS(B1777&lt;30,"Under 30",B1777&lt;40,"30-39",B1777&lt;50,"40-49",B1777&lt;60,"50-59",TRUE(),"60+")</f>
        <v>30-39</v>
      </c>
      <c r="O1777" s="2" t="str">
        <f aca="false">_xlfn.IFS(G1777&lt;0,"1 Negative",G1777=0,"2 Zero",G1777&lt;=500,"3 1-500",G1777&lt;=2000,"4 501-2000",TRUE(),"5 Above 2000")</f>
        <v>5 Above 2000</v>
      </c>
      <c r="P1777" s="2" t="n">
        <f aca="false">Lookups!$B$2*M1777+Lookups!$B$3*L1777</f>
        <v>0</v>
      </c>
      <c r="Q1777" s="2" t="str">
        <f aca="false">INDEX(Lookups!$E$2:$E$5,MATCH(P1777,Lookups!$D$2:$D$5,0))</f>
        <v>Low</v>
      </c>
    </row>
    <row r="1778" customFormat="false" ht="15" hidden="false" customHeight="false" outlineLevel="0" collapsed="false">
      <c r="A1778" s="3" t="n">
        <v>1777</v>
      </c>
      <c r="B1778" s="3" t="n">
        <f aca="false">Raw_Data!A1778</f>
        <v>43</v>
      </c>
      <c r="C1778" s="3" t="str">
        <f aca="false">SUBSTITUTE(Raw_Data!B1778,".","")</f>
        <v>management</v>
      </c>
      <c r="D1778" s="3" t="str">
        <f aca="false">Raw_Data!C1778</f>
        <v>married</v>
      </c>
      <c r="E1778" s="3" t="str">
        <f aca="false">Raw_Data!D1778</f>
        <v>secondary</v>
      </c>
      <c r="F1778" s="3" t="str">
        <f aca="false">Raw_Data!E1778</f>
        <v>no</v>
      </c>
      <c r="G1778" s="3" t="n">
        <f aca="false">Raw_Data!F1778</f>
        <v>17555</v>
      </c>
      <c r="H1778" s="3" t="str">
        <f aca="false">Raw_Data!G1778</f>
        <v>no</v>
      </c>
      <c r="I1778" s="3" t="str">
        <f aca="false">Raw_Data!H1778</f>
        <v>no</v>
      </c>
      <c r="J1778" s="2" t="n">
        <f aca="false">IF(F1778="yes",1,0)</f>
        <v>0</v>
      </c>
      <c r="K1778" s="2" t="n">
        <f aca="false">IF(H1778="yes",1,0)</f>
        <v>0</v>
      </c>
      <c r="L1778" s="2" t="n">
        <f aca="false">IF(I1778="yes",1,0)</f>
        <v>0</v>
      </c>
      <c r="M1778" s="2" t="n">
        <f aca="false">IF(G1778&lt;0,1,0)</f>
        <v>0</v>
      </c>
      <c r="N1778" s="2" t="str">
        <f aca="false">_xlfn.IFS(B1778&lt;30,"Under 30",B1778&lt;40,"30-39",B1778&lt;50,"40-49",B1778&lt;60,"50-59",TRUE(),"60+")</f>
        <v>40-49</v>
      </c>
      <c r="O1778" s="2" t="str">
        <f aca="false">_xlfn.IFS(G1778&lt;0,"1 Negative",G1778=0,"2 Zero",G1778&lt;=500,"3 1-500",G1778&lt;=2000,"4 501-2000",TRUE(),"5 Above 2000")</f>
        <v>5 Above 2000</v>
      </c>
      <c r="P1778" s="2" t="n">
        <f aca="false">Lookups!$B$2*M1778+Lookups!$B$3*L1778</f>
        <v>0</v>
      </c>
      <c r="Q1778" s="2" t="str">
        <f aca="false">INDEX(Lookups!$E$2:$E$5,MATCH(P1778,Lookups!$D$2:$D$5,0))</f>
        <v>Low</v>
      </c>
    </row>
    <row r="1779" customFormat="false" ht="15" hidden="false" customHeight="false" outlineLevel="0" collapsed="false">
      <c r="A1779" s="3" t="n">
        <v>1778</v>
      </c>
      <c r="B1779" s="3" t="n">
        <f aca="false">Raw_Data!A1779</f>
        <v>43</v>
      </c>
      <c r="C1779" s="3" t="str">
        <f aca="false">SUBSTITUTE(Raw_Data!B1779,".","")</f>
        <v>management</v>
      </c>
      <c r="D1779" s="3" t="str">
        <f aca="false">Raw_Data!C1779</f>
        <v>married</v>
      </c>
      <c r="E1779" s="3" t="str">
        <f aca="false">Raw_Data!D1779</f>
        <v>unknown</v>
      </c>
      <c r="F1779" s="3" t="str">
        <f aca="false">Raw_Data!E1779</f>
        <v>no</v>
      </c>
      <c r="G1779" s="3" t="n">
        <f aca="false">Raw_Data!F1779</f>
        <v>5172</v>
      </c>
      <c r="H1779" s="3" t="str">
        <f aca="false">Raw_Data!G1779</f>
        <v>yes</v>
      </c>
      <c r="I1779" s="3" t="str">
        <f aca="false">Raw_Data!H1779</f>
        <v>no</v>
      </c>
      <c r="J1779" s="2" t="n">
        <f aca="false">IF(F1779="yes",1,0)</f>
        <v>0</v>
      </c>
      <c r="K1779" s="2" t="n">
        <f aca="false">IF(H1779="yes",1,0)</f>
        <v>1</v>
      </c>
      <c r="L1779" s="2" t="n">
        <f aca="false">IF(I1779="yes",1,0)</f>
        <v>0</v>
      </c>
      <c r="M1779" s="2" t="n">
        <f aca="false">IF(G1779&lt;0,1,0)</f>
        <v>0</v>
      </c>
      <c r="N1779" s="2" t="str">
        <f aca="false">_xlfn.IFS(B1779&lt;30,"Under 30",B1779&lt;40,"30-39",B1779&lt;50,"40-49",B1779&lt;60,"50-59",TRUE(),"60+")</f>
        <v>40-49</v>
      </c>
      <c r="O1779" s="2" t="str">
        <f aca="false">_xlfn.IFS(G1779&lt;0,"1 Negative",G1779=0,"2 Zero",G1779&lt;=500,"3 1-500",G1779&lt;=2000,"4 501-2000",TRUE(),"5 Above 2000")</f>
        <v>5 Above 2000</v>
      </c>
      <c r="P1779" s="2" t="n">
        <f aca="false">Lookups!$B$2*M1779+Lookups!$B$3*L1779</f>
        <v>0</v>
      </c>
      <c r="Q1779" s="2" t="str">
        <f aca="false">INDEX(Lookups!$E$2:$E$5,MATCH(P1779,Lookups!$D$2:$D$5,0))</f>
        <v>Low</v>
      </c>
    </row>
    <row r="1780" customFormat="false" ht="15" hidden="false" customHeight="false" outlineLevel="0" collapsed="false">
      <c r="A1780" s="3" t="n">
        <v>1779</v>
      </c>
      <c r="B1780" s="3" t="n">
        <f aca="false">Raw_Data!A1780</f>
        <v>56</v>
      </c>
      <c r="C1780" s="3" t="str">
        <f aca="false">SUBSTITUTE(Raw_Data!B1780,".","")</f>
        <v>management</v>
      </c>
      <c r="D1780" s="3" t="str">
        <f aca="false">Raw_Data!C1780</f>
        <v>married</v>
      </c>
      <c r="E1780" s="3" t="str">
        <f aca="false">Raw_Data!D1780</f>
        <v>tertiary</v>
      </c>
      <c r="F1780" s="3" t="str">
        <f aca="false">Raw_Data!E1780</f>
        <v>no</v>
      </c>
      <c r="G1780" s="3" t="n">
        <f aca="false">Raw_Data!F1780</f>
        <v>15520</v>
      </c>
      <c r="H1780" s="3" t="str">
        <f aca="false">Raw_Data!G1780</f>
        <v>no</v>
      </c>
      <c r="I1780" s="3" t="str">
        <f aca="false">Raw_Data!H1780</f>
        <v>no</v>
      </c>
      <c r="J1780" s="2" t="n">
        <f aca="false">IF(F1780="yes",1,0)</f>
        <v>0</v>
      </c>
      <c r="K1780" s="2" t="n">
        <f aca="false">IF(H1780="yes",1,0)</f>
        <v>0</v>
      </c>
      <c r="L1780" s="2" t="n">
        <f aca="false">IF(I1780="yes",1,0)</f>
        <v>0</v>
      </c>
      <c r="M1780" s="2" t="n">
        <f aca="false">IF(G1780&lt;0,1,0)</f>
        <v>0</v>
      </c>
      <c r="N1780" s="2" t="str">
        <f aca="false">_xlfn.IFS(B1780&lt;30,"Under 30",B1780&lt;40,"30-39",B1780&lt;50,"40-49",B1780&lt;60,"50-59",TRUE(),"60+")</f>
        <v>50-59</v>
      </c>
      <c r="O1780" s="2" t="str">
        <f aca="false">_xlfn.IFS(G1780&lt;0,"1 Negative",G1780=0,"2 Zero",G1780&lt;=500,"3 1-500",G1780&lt;=2000,"4 501-2000",TRUE(),"5 Above 2000")</f>
        <v>5 Above 2000</v>
      </c>
      <c r="P1780" s="2" t="n">
        <f aca="false">Lookups!$B$2*M1780+Lookups!$B$3*L1780</f>
        <v>0</v>
      </c>
      <c r="Q1780" s="2" t="str">
        <f aca="false">INDEX(Lookups!$E$2:$E$5,MATCH(P1780,Lookups!$D$2:$D$5,0))</f>
        <v>Low</v>
      </c>
    </row>
    <row r="1781" customFormat="false" ht="15" hidden="false" customHeight="false" outlineLevel="0" collapsed="false">
      <c r="A1781" s="3" t="n">
        <v>1780</v>
      </c>
      <c r="B1781" s="3" t="n">
        <f aca="false">Raw_Data!A1781</f>
        <v>32</v>
      </c>
      <c r="C1781" s="3" t="str">
        <f aca="false">SUBSTITUTE(Raw_Data!B1781,".","")</f>
        <v>technician</v>
      </c>
      <c r="D1781" s="3" t="str">
        <f aca="false">Raw_Data!C1781</f>
        <v>single</v>
      </c>
      <c r="E1781" s="3" t="str">
        <f aca="false">Raw_Data!D1781</f>
        <v>tertiary</v>
      </c>
      <c r="F1781" s="3" t="str">
        <f aca="false">Raw_Data!E1781</f>
        <v>no</v>
      </c>
      <c r="G1781" s="3" t="n">
        <f aca="false">Raw_Data!F1781</f>
        <v>13711</v>
      </c>
      <c r="H1781" s="3" t="str">
        <f aca="false">Raw_Data!G1781</f>
        <v>yes</v>
      </c>
      <c r="I1781" s="3" t="str">
        <f aca="false">Raw_Data!H1781</f>
        <v>no</v>
      </c>
      <c r="J1781" s="2" t="n">
        <f aca="false">IF(F1781="yes",1,0)</f>
        <v>0</v>
      </c>
      <c r="K1781" s="2" t="n">
        <f aca="false">IF(H1781="yes",1,0)</f>
        <v>1</v>
      </c>
      <c r="L1781" s="2" t="n">
        <f aca="false">IF(I1781="yes",1,0)</f>
        <v>0</v>
      </c>
      <c r="M1781" s="2" t="n">
        <f aca="false">IF(G1781&lt;0,1,0)</f>
        <v>0</v>
      </c>
      <c r="N1781" s="2" t="str">
        <f aca="false">_xlfn.IFS(B1781&lt;30,"Under 30",B1781&lt;40,"30-39",B1781&lt;50,"40-49",B1781&lt;60,"50-59",TRUE(),"60+")</f>
        <v>30-39</v>
      </c>
      <c r="O1781" s="2" t="str">
        <f aca="false">_xlfn.IFS(G1781&lt;0,"1 Negative",G1781=0,"2 Zero",G1781&lt;=500,"3 1-500",G1781&lt;=2000,"4 501-2000",TRUE(),"5 Above 2000")</f>
        <v>5 Above 2000</v>
      </c>
      <c r="P1781" s="2" t="n">
        <f aca="false">Lookups!$B$2*M1781+Lookups!$B$3*L1781</f>
        <v>0</v>
      </c>
      <c r="Q1781" s="2" t="str">
        <f aca="false">INDEX(Lookups!$E$2:$E$5,MATCH(P1781,Lookups!$D$2:$D$5,0))</f>
        <v>Low</v>
      </c>
    </row>
    <row r="1782" customFormat="false" ht="15" hidden="false" customHeight="false" outlineLevel="0" collapsed="false">
      <c r="A1782" s="3" t="n">
        <v>1781</v>
      </c>
      <c r="B1782" s="3" t="n">
        <f aca="false">Raw_Data!A1782</f>
        <v>58</v>
      </c>
      <c r="C1782" s="3" t="str">
        <f aca="false">SUBSTITUTE(Raw_Data!B1782,".","")</f>
        <v>management</v>
      </c>
      <c r="D1782" s="3" t="str">
        <f aca="false">Raw_Data!C1782</f>
        <v>divorced</v>
      </c>
      <c r="E1782" s="3" t="str">
        <f aca="false">Raw_Data!D1782</f>
        <v>tertiary</v>
      </c>
      <c r="F1782" s="3" t="str">
        <f aca="false">Raw_Data!E1782</f>
        <v>no</v>
      </c>
      <c r="G1782" s="3" t="n">
        <f aca="false">Raw_Data!F1782</f>
        <v>1533</v>
      </c>
      <c r="H1782" s="3" t="str">
        <f aca="false">Raw_Data!G1782</f>
        <v>no</v>
      </c>
      <c r="I1782" s="3" t="str">
        <f aca="false">Raw_Data!H1782</f>
        <v>no</v>
      </c>
      <c r="J1782" s="2" t="n">
        <f aca="false">IF(F1782="yes",1,0)</f>
        <v>0</v>
      </c>
      <c r="K1782" s="2" t="n">
        <f aca="false">IF(H1782="yes",1,0)</f>
        <v>0</v>
      </c>
      <c r="L1782" s="2" t="n">
        <f aca="false">IF(I1782="yes",1,0)</f>
        <v>0</v>
      </c>
      <c r="M1782" s="2" t="n">
        <f aca="false">IF(G1782&lt;0,1,0)</f>
        <v>0</v>
      </c>
      <c r="N1782" s="2" t="str">
        <f aca="false">_xlfn.IFS(B1782&lt;30,"Under 30",B1782&lt;40,"30-39",B1782&lt;50,"40-49",B1782&lt;60,"50-59",TRUE(),"60+")</f>
        <v>50-59</v>
      </c>
      <c r="O1782" s="2" t="str">
        <f aca="false">_xlfn.IFS(G1782&lt;0,"1 Negative",G1782=0,"2 Zero",G1782&lt;=500,"3 1-500",G1782&lt;=2000,"4 501-2000",TRUE(),"5 Above 2000")</f>
        <v>4 501-2000</v>
      </c>
      <c r="P1782" s="2" t="n">
        <f aca="false">Lookups!$B$2*M1782+Lookups!$B$3*L1782</f>
        <v>0</v>
      </c>
      <c r="Q1782" s="2" t="str">
        <f aca="false">INDEX(Lookups!$E$2:$E$5,MATCH(P1782,Lookups!$D$2:$D$5,0))</f>
        <v>Low</v>
      </c>
    </row>
    <row r="1783" customFormat="false" ht="15" hidden="false" customHeight="false" outlineLevel="0" collapsed="false">
      <c r="A1783" s="3" t="n">
        <v>1782</v>
      </c>
      <c r="B1783" s="3" t="n">
        <f aca="false">Raw_Data!A1783</f>
        <v>47</v>
      </c>
      <c r="C1783" s="3" t="str">
        <f aca="false">SUBSTITUTE(Raw_Data!B1783,".","")</f>
        <v>management</v>
      </c>
      <c r="D1783" s="3" t="str">
        <f aca="false">Raw_Data!C1783</f>
        <v>married</v>
      </c>
      <c r="E1783" s="3" t="str">
        <f aca="false">Raw_Data!D1783</f>
        <v>tertiary</v>
      </c>
      <c r="F1783" s="3" t="str">
        <f aca="false">Raw_Data!E1783</f>
        <v>no</v>
      </c>
      <c r="G1783" s="3" t="n">
        <f aca="false">Raw_Data!F1783</f>
        <v>286</v>
      </c>
      <c r="H1783" s="3" t="str">
        <f aca="false">Raw_Data!G1783</f>
        <v>no</v>
      </c>
      <c r="I1783" s="3" t="str">
        <f aca="false">Raw_Data!H1783</f>
        <v>no</v>
      </c>
      <c r="J1783" s="2" t="n">
        <f aca="false">IF(F1783="yes",1,0)</f>
        <v>0</v>
      </c>
      <c r="K1783" s="2" t="n">
        <f aca="false">IF(H1783="yes",1,0)</f>
        <v>0</v>
      </c>
      <c r="L1783" s="2" t="n">
        <f aca="false">IF(I1783="yes",1,0)</f>
        <v>0</v>
      </c>
      <c r="M1783" s="2" t="n">
        <f aca="false">IF(G1783&lt;0,1,0)</f>
        <v>0</v>
      </c>
      <c r="N1783" s="2" t="str">
        <f aca="false">_xlfn.IFS(B1783&lt;30,"Under 30",B1783&lt;40,"30-39",B1783&lt;50,"40-49",B1783&lt;60,"50-59",TRUE(),"60+")</f>
        <v>40-49</v>
      </c>
      <c r="O1783" s="2" t="str">
        <f aca="false">_xlfn.IFS(G1783&lt;0,"1 Negative",G1783=0,"2 Zero",G1783&lt;=500,"3 1-500",G1783&lt;=2000,"4 501-2000",TRUE(),"5 Above 2000")</f>
        <v>3 1-500</v>
      </c>
      <c r="P1783" s="2" t="n">
        <f aca="false">Lookups!$B$2*M1783+Lookups!$B$3*L1783</f>
        <v>0</v>
      </c>
      <c r="Q1783" s="2" t="str">
        <f aca="false">INDEX(Lookups!$E$2:$E$5,MATCH(P1783,Lookups!$D$2:$D$5,0))</f>
        <v>Low</v>
      </c>
    </row>
    <row r="1784" customFormat="false" ht="15" hidden="false" customHeight="false" outlineLevel="0" collapsed="false">
      <c r="A1784" s="3" t="n">
        <v>1783</v>
      </c>
      <c r="B1784" s="3" t="n">
        <f aca="false">Raw_Data!A1784</f>
        <v>31</v>
      </c>
      <c r="C1784" s="3" t="str">
        <f aca="false">SUBSTITUTE(Raw_Data!B1784,".","")</f>
        <v>blue-collar</v>
      </c>
      <c r="D1784" s="3" t="str">
        <f aca="false">Raw_Data!C1784</f>
        <v>single</v>
      </c>
      <c r="E1784" s="3" t="str">
        <f aca="false">Raw_Data!D1784</f>
        <v>secondary</v>
      </c>
      <c r="F1784" s="3" t="str">
        <f aca="false">Raw_Data!E1784</f>
        <v>no</v>
      </c>
      <c r="G1784" s="3" t="n">
        <f aca="false">Raw_Data!F1784</f>
        <v>-219</v>
      </c>
      <c r="H1784" s="3" t="str">
        <f aca="false">Raw_Data!G1784</f>
        <v>yes</v>
      </c>
      <c r="I1784" s="3" t="str">
        <f aca="false">Raw_Data!H1784</f>
        <v>no</v>
      </c>
      <c r="J1784" s="2" t="n">
        <f aca="false">IF(F1784="yes",1,0)</f>
        <v>0</v>
      </c>
      <c r="K1784" s="2" t="n">
        <f aca="false">IF(H1784="yes",1,0)</f>
        <v>1</v>
      </c>
      <c r="L1784" s="2" t="n">
        <f aca="false">IF(I1784="yes",1,0)</f>
        <v>0</v>
      </c>
      <c r="M1784" s="2" t="n">
        <f aca="false">IF(G1784&lt;0,1,0)</f>
        <v>1</v>
      </c>
      <c r="N1784" s="2" t="str">
        <f aca="false">_xlfn.IFS(B1784&lt;30,"Under 30",B1784&lt;40,"30-39",B1784&lt;50,"40-49",B1784&lt;60,"50-59",TRUE(),"60+")</f>
        <v>30-39</v>
      </c>
      <c r="O1784" s="2" t="str">
        <f aca="false">_xlfn.IFS(G1784&lt;0,"1 Negative",G1784=0,"2 Zero",G1784&lt;=500,"3 1-500",G1784&lt;=2000,"4 501-2000",TRUE(),"5 Above 2000")</f>
        <v>1 Negative</v>
      </c>
      <c r="P1784" s="2" t="n">
        <f aca="false">Lookups!$B$2*M1784+Lookups!$B$3*L1784</f>
        <v>2</v>
      </c>
      <c r="Q1784" s="2" t="str">
        <f aca="false">INDEX(Lookups!$E$2:$E$5,MATCH(P1784,Lookups!$D$2:$D$5,0))</f>
        <v>High</v>
      </c>
    </row>
    <row r="1785" customFormat="false" ht="15" hidden="false" customHeight="false" outlineLevel="0" collapsed="false">
      <c r="A1785" s="3" t="n">
        <v>1784</v>
      </c>
      <c r="B1785" s="3" t="n">
        <f aca="false">Raw_Data!A1785</f>
        <v>38</v>
      </c>
      <c r="C1785" s="3" t="str">
        <f aca="false">SUBSTITUTE(Raw_Data!B1785,".","")</f>
        <v>management</v>
      </c>
      <c r="D1785" s="3" t="str">
        <f aca="false">Raw_Data!C1785</f>
        <v>married</v>
      </c>
      <c r="E1785" s="3" t="str">
        <f aca="false">Raw_Data!D1785</f>
        <v>tertiary</v>
      </c>
      <c r="F1785" s="3" t="str">
        <f aca="false">Raw_Data!E1785</f>
        <v>no</v>
      </c>
      <c r="G1785" s="3" t="n">
        <f aca="false">Raw_Data!F1785</f>
        <v>0</v>
      </c>
      <c r="H1785" s="3" t="str">
        <f aca="false">Raw_Data!G1785</f>
        <v>yes</v>
      </c>
      <c r="I1785" s="3" t="str">
        <f aca="false">Raw_Data!H1785</f>
        <v>no</v>
      </c>
      <c r="J1785" s="2" t="n">
        <f aca="false">IF(F1785="yes",1,0)</f>
        <v>0</v>
      </c>
      <c r="K1785" s="2" t="n">
        <f aca="false">IF(H1785="yes",1,0)</f>
        <v>1</v>
      </c>
      <c r="L1785" s="2" t="n">
        <f aca="false">IF(I1785="yes",1,0)</f>
        <v>0</v>
      </c>
      <c r="M1785" s="2" t="n">
        <f aca="false">IF(G1785&lt;0,1,0)</f>
        <v>0</v>
      </c>
      <c r="N1785" s="2" t="str">
        <f aca="false">_xlfn.IFS(B1785&lt;30,"Under 30",B1785&lt;40,"30-39",B1785&lt;50,"40-49",B1785&lt;60,"50-59",TRUE(),"60+")</f>
        <v>30-39</v>
      </c>
      <c r="O1785" s="2" t="str">
        <f aca="false">_xlfn.IFS(G1785&lt;0,"1 Negative",G1785=0,"2 Zero",G1785&lt;=500,"3 1-500",G1785&lt;=2000,"4 501-2000",TRUE(),"5 Above 2000")</f>
        <v>2 Zero</v>
      </c>
      <c r="P1785" s="2" t="n">
        <f aca="false">Lookups!$B$2*M1785+Lookups!$B$3*L1785</f>
        <v>0</v>
      </c>
      <c r="Q1785" s="2" t="str">
        <f aca="false">INDEX(Lookups!$E$2:$E$5,MATCH(P1785,Lookups!$D$2:$D$5,0))</f>
        <v>Low</v>
      </c>
    </row>
    <row r="1786" customFormat="false" ht="15" hidden="false" customHeight="false" outlineLevel="0" collapsed="false">
      <c r="A1786" s="3" t="n">
        <v>1785</v>
      </c>
      <c r="B1786" s="3" t="n">
        <f aca="false">Raw_Data!A1786</f>
        <v>50</v>
      </c>
      <c r="C1786" s="3" t="str">
        <f aca="false">SUBSTITUTE(Raw_Data!B1786,".","")</f>
        <v>blue-collar</v>
      </c>
      <c r="D1786" s="3" t="str">
        <f aca="false">Raw_Data!C1786</f>
        <v>married</v>
      </c>
      <c r="E1786" s="3" t="str">
        <f aca="false">Raw_Data!D1786</f>
        <v>secondary</v>
      </c>
      <c r="F1786" s="3" t="str">
        <f aca="false">Raw_Data!E1786</f>
        <v>no</v>
      </c>
      <c r="G1786" s="3" t="n">
        <f aca="false">Raw_Data!F1786</f>
        <v>810</v>
      </c>
      <c r="H1786" s="3" t="str">
        <f aca="false">Raw_Data!G1786</f>
        <v>yes</v>
      </c>
      <c r="I1786" s="3" t="str">
        <f aca="false">Raw_Data!H1786</f>
        <v>no</v>
      </c>
      <c r="J1786" s="2" t="n">
        <f aca="false">IF(F1786="yes",1,0)</f>
        <v>0</v>
      </c>
      <c r="K1786" s="2" t="n">
        <f aca="false">IF(H1786="yes",1,0)</f>
        <v>1</v>
      </c>
      <c r="L1786" s="2" t="n">
        <f aca="false">IF(I1786="yes",1,0)</f>
        <v>0</v>
      </c>
      <c r="M1786" s="2" t="n">
        <f aca="false">IF(G1786&lt;0,1,0)</f>
        <v>0</v>
      </c>
      <c r="N1786" s="2" t="str">
        <f aca="false">_xlfn.IFS(B1786&lt;30,"Under 30",B1786&lt;40,"30-39",B1786&lt;50,"40-49",B1786&lt;60,"50-59",TRUE(),"60+")</f>
        <v>50-59</v>
      </c>
      <c r="O1786" s="2" t="str">
        <f aca="false">_xlfn.IFS(G1786&lt;0,"1 Negative",G1786=0,"2 Zero",G1786&lt;=500,"3 1-500",G1786&lt;=2000,"4 501-2000",TRUE(),"5 Above 2000")</f>
        <v>4 501-2000</v>
      </c>
      <c r="P1786" s="2" t="n">
        <f aca="false">Lookups!$B$2*M1786+Lookups!$B$3*L1786</f>
        <v>0</v>
      </c>
      <c r="Q1786" s="2" t="str">
        <f aca="false">INDEX(Lookups!$E$2:$E$5,MATCH(P1786,Lookups!$D$2:$D$5,0))</f>
        <v>Low</v>
      </c>
    </row>
    <row r="1787" customFormat="false" ht="15" hidden="false" customHeight="false" outlineLevel="0" collapsed="false">
      <c r="A1787" s="3" t="n">
        <v>1786</v>
      </c>
      <c r="B1787" s="3" t="n">
        <f aca="false">Raw_Data!A1787</f>
        <v>32</v>
      </c>
      <c r="C1787" s="3" t="str">
        <f aca="false">SUBSTITUTE(Raw_Data!B1787,".","")</f>
        <v>blue-collar</v>
      </c>
      <c r="D1787" s="3" t="str">
        <f aca="false">Raw_Data!C1787</f>
        <v>married</v>
      </c>
      <c r="E1787" s="3" t="str">
        <f aca="false">Raw_Data!D1787</f>
        <v>secondary</v>
      </c>
      <c r="F1787" s="3" t="str">
        <f aca="false">Raw_Data!E1787</f>
        <v>no</v>
      </c>
      <c r="G1787" s="3" t="n">
        <f aca="false">Raw_Data!F1787</f>
        <v>300</v>
      </c>
      <c r="H1787" s="3" t="str">
        <f aca="false">Raw_Data!G1787</f>
        <v>no</v>
      </c>
      <c r="I1787" s="3" t="str">
        <f aca="false">Raw_Data!H1787</f>
        <v>no</v>
      </c>
      <c r="J1787" s="2" t="n">
        <f aca="false">IF(F1787="yes",1,0)</f>
        <v>0</v>
      </c>
      <c r="K1787" s="2" t="n">
        <f aca="false">IF(H1787="yes",1,0)</f>
        <v>0</v>
      </c>
      <c r="L1787" s="2" t="n">
        <f aca="false">IF(I1787="yes",1,0)</f>
        <v>0</v>
      </c>
      <c r="M1787" s="2" t="n">
        <f aca="false">IF(G1787&lt;0,1,0)</f>
        <v>0</v>
      </c>
      <c r="N1787" s="2" t="str">
        <f aca="false">_xlfn.IFS(B1787&lt;30,"Under 30",B1787&lt;40,"30-39",B1787&lt;50,"40-49",B1787&lt;60,"50-59",TRUE(),"60+")</f>
        <v>30-39</v>
      </c>
      <c r="O1787" s="2" t="str">
        <f aca="false">_xlfn.IFS(G1787&lt;0,"1 Negative",G1787=0,"2 Zero",G1787&lt;=500,"3 1-500",G1787&lt;=2000,"4 501-2000",TRUE(),"5 Above 2000")</f>
        <v>3 1-500</v>
      </c>
      <c r="P1787" s="2" t="n">
        <f aca="false">Lookups!$B$2*M1787+Lookups!$B$3*L1787</f>
        <v>0</v>
      </c>
      <c r="Q1787" s="2" t="str">
        <f aca="false">INDEX(Lookups!$E$2:$E$5,MATCH(P1787,Lookups!$D$2:$D$5,0))</f>
        <v>Low</v>
      </c>
    </row>
    <row r="1788" customFormat="false" ht="15" hidden="false" customHeight="false" outlineLevel="0" collapsed="false">
      <c r="A1788" s="3" t="n">
        <v>1787</v>
      </c>
      <c r="B1788" s="3" t="n">
        <f aca="false">Raw_Data!A1788</f>
        <v>37</v>
      </c>
      <c r="C1788" s="3" t="str">
        <f aca="false">SUBSTITUTE(Raw_Data!B1788,".","")</f>
        <v>services</v>
      </c>
      <c r="D1788" s="3" t="str">
        <f aca="false">Raw_Data!C1788</f>
        <v>single</v>
      </c>
      <c r="E1788" s="3" t="str">
        <f aca="false">Raw_Data!D1788</f>
        <v>secondary</v>
      </c>
      <c r="F1788" s="3" t="str">
        <f aca="false">Raw_Data!E1788</f>
        <v>no</v>
      </c>
      <c r="G1788" s="3" t="n">
        <f aca="false">Raw_Data!F1788</f>
        <v>1175</v>
      </c>
      <c r="H1788" s="3" t="str">
        <f aca="false">Raw_Data!G1788</f>
        <v>yes</v>
      </c>
      <c r="I1788" s="3" t="str">
        <f aca="false">Raw_Data!H1788</f>
        <v>no</v>
      </c>
      <c r="J1788" s="2" t="n">
        <f aca="false">IF(F1788="yes",1,0)</f>
        <v>0</v>
      </c>
      <c r="K1788" s="2" t="n">
        <f aca="false">IF(H1788="yes",1,0)</f>
        <v>1</v>
      </c>
      <c r="L1788" s="2" t="n">
        <f aca="false">IF(I1788="yes",1,0)</f>
        <v>0</v>
      </c>
      <c r="M1788" s="2" t="n">
        <f aca="false">IF(G1788&lt;0,1,0)</f>
        <v>0</v>
      </c>
      <c r="N1788" s="2" t="str">
        <f aca="false">_xlfn.IFS(B1788&lt;30,"Under 30",B1788&lt;40,"30-39",B1788&lt;50,"40-49",B1788&lt;60,"50-59",TRUE(),"60+")</f>
        <v>30-39</v>
      </c>
      <c r="O1788" s="2" t="str">
        <f aca="false">_xlfn.IFS(G1788&lt;0,"1 Negative",G1788=0,"2 Zero",G1788&lt;=500,"3 1-500",G1788&lt;=2000,"4 501-2000",TRUE(),"5 Above 2000")</f>
        <v>4 501-2000</v>
      </c>
      <c r="P1788" s="2" t="n">
        <f aca="false">Lookups!$B$2*M1788+Lookups!$B$3*L1788</f>
        <v>0</v>
      </c>
      <c r="Q1788" s="2" t="str">
        <f aca="false">INDEX(Lookups!$E$2:$E$5,MATCH(P1788,Lookups!$D$2:$D$5,0))</f>
        <v>Low</v>
      </c>
    </row>
    <row r="1789" customFormat="false" ht="15" hidden="false" customHeight="false" outlineLevel="0" collapsed="false">
      <c r="A1789" s="3" t="n">
        <v>1788</v>
      </c>
      <c r="B1789" s="3" t="n">
        <f aca="false">Raw_Data!A1789</f>
        <v>39</v>
      </c>
      <c r="C1789" s="3" t="str">
        <f aca="false">SUBSTITUTE(Raw_Data!B1789,".","")</f>
        <v>management</v>
      </c>
      <c r="D1789" s="3" t="str">
        <f aca="false">Raw_Data!C1789</f>
        <v>married</v>
      </c>
      <c r="E1789" s="3" t="str">
        <f aca="false">Raw_Data!D1789</f>
        <v>tertiary</v>
      </c>
      <c r="F1789" s="3" t="str">
        <f aca="false">Raw_Data!E1789</f>
        <v>no</v>
      </c>
      <c r="G1789" s="3" t="n">
        <f aca="false">Raw_Data!F1789</f>
        <v>0</v>
      </c>
      <c r="H1789" s="3" t="str">
        <f aca="false">Raw_Data!G1789</f>
        <v>yes</v>
      </c>
      <c r="I1789" s="3" t="str">
        <f aca="false">Raw_Data!H1789</f>
        <v>no</v>
      </c>
      <c r="J1789" s="2" t="n">
        <f aca="false">IF(F1789="yes",1,0)</f>
        <v>0</v>
      </c>
      <c r="K1789" s="2" t="n">
        <f aca="false">IF(H1789="yes",1,0)</f>
        <v>1</v>
      </c>
      <c r="L1789" s="2" t="n">
        <f aca="false">IF(I1789="yes",1,0)</f>
        <v>0</v>
      </c>
      <c r="M1789" s="2" t="n">
        <f aca="false">IF(G1789&lt;0,1,0)</f>
        <v>0</v>
      </c>
      <c r="N1789" s="2" t="str">
        <f aca="false">_xlfn.IFS(B1789&lt;30,"Under 30",B1789&lt;40,"30-39",B1789&lt;50,"40-49",B1789&lt;60,"50-59",TRUE(),"60+")</f>
        <v>30-39</v>
      </c>
      <c r="O1789" s="2" t="str">
        <f aca="false">_xlfn.IFS(G1789&lt;0,"1 Negative",G1789=0,"2 Zero",G1789&lt;=500,"3 1-500",G1789&lt;=2000,"4 501-2000",TRUE(),"5 Above 2000")</f>
        <v>2 Zero</v>
      </c>
      <c r="P1789" s="2" t="n">
        <f aca="false">Lookups!$B$2*M1789+Lookups!$B$3*L1789</f>
        <v>0</v>
      </c>
      <c r="Q1789" s="2" t="str">
        <f aca="false">INDEX(Lookups!$E$2:$E$5,MATCH(P1789,Lookups!$D$2:$D$5,0))</f>
        <v>Low</v>
      </c>
    </row>
    <row r="1790" customFormat="false" ht="15" hidden="false" customHeight="false" outlineLevel="0" collapsed="false">
      <c r="A1790" s="3" t="n">
        <v>1789</v>
      </c>
      <c r="B1790" s="3" t="n">
        <f aca="false">Raw_Data!A1790</f>
        <v>40</v>
      </c>
      <c r="C1790" s="3" t="str">
        <f aca="false">SUBSTITUTE(Raw_Data!B1790,".","")</f>
        <v>services</v>
      </c>
      <c r="D1790" s="3" t="str">
        <f aca="false">Raw_Data!C1790</f>
        <v>married</v>
      </c>
      <c r="E1790" s="3" t="str">
        <f aca="false">Raw_Data!D1790</f>
        <v>secondary</v>
      </c>
      <c r="F1790" s="3" t="str">
        <f aca="false">Raw_Data!E1790</f>
        <v>no</v>
      </c>
      <c r="G1790" s="3" t="n">
        <f aca="false">Raw_Data!F1790</f>
        <v>113</v>
      </c>
      <c r="H1790" s="3" t="str">
        <f aca="false">Raw_Data!G1790</f>
        <v>yes</v>
      </c>
      <c r="I1790" s="3" t="str">
        <f aca="false">Raw_Data!H1790</f>
        <v>no</v>
      </c>
      <c r="J1790" s="2" t="n">
        <f aca="false">IF(F1790="yes",1,0)</f>
        <v>0</v>
      </c>
      <c r="K1790" s="2" t="n">
        <f aca="false">IF(H1790="yes",1,0)</f>
        <v>1</v>
      </c>
      <c r="L1790" s="2" t="n">
        <f aca="false">IF(I1790="yes",1,0)</f>
        <v>0</v>
      </c>
      <c r="M1790" s="2" t="n">
        <f aca="false">IF(G1790&lt;0,1,0)</f>
        <v>0</v>
      </c>
      <c r="N1790" s="2" t="str">
        <f aca="false">_xlfn.IFS(B1790&lt;30,"Under 30",B1790&lt;40,"30-39",B1790&lt;50,"40-49",B1790&lt;60,"50-59",TRUE(),"60+")</f>
        <v>40-49</v>
      </c>
      <c r="O1790" s="2" t="str">
        <f aca="false">_xlfn.IFS(G1790&lt;0,"1 Negative",G1790=0,"2 Zero",G1790&lt;=500,"3 1-500",G1790&lt;=2000,"4 501-2000",TRUE(),"5 Above 2000")</f>
        <v>3 1-500</v>
      </c>
      <c r="P1790" s="2" t="n">
        <f aca="false">Lookups!$B$2*M1790+Lookups!$B$3*L1790</f>
        <v>0</v>
      </c>
      <c r="Q1790" s="2" t="str">
        <f aca="false">INDEX(Lookups!$E$2:$E$5,MATCH(P1790,Lookups!$D$2:$D$5,0))</f>
        <v>Low</v>
      </c>
    </row>
    <row r="1791" customFormat="false" ht="15" hidden="false" customHeight="false" outlineLevel="0" collapsed="false">
      <c r="A1791" s="3" t="n">
        <v>1790</v>
      </c>
      <c r="B1791" s="3" t="n">
        <f aca="false">Raw_Data!A1791</f>
        <v>41</v>
      </c>
      <c r="C1791" s="3" t="str">
        <f aca="false">SUBSTITUTE(Raw_Data!B1791,".","")</f>
        <v>blue-collar</v>
      </c>
      <c r="D1791" s="3" t="str">
        <f aca="false">Raw_Data!C1791</f>
        <v>married</v>
      </c>
      <c r="E1791" s="3" t="str">
        <f aca="false">Raw_Data!D1791</f>
        <v>secondary</v>
      </c>
      <c r="F1791" s="3" t="str">
        <f aca="false">Raw_Data!E1791</f>
        <v>no</v>
      </c>
      <c r="G1791" s="3" t="n">
        <f aca="false">Raw_Data!F1791</f>
        <v>641</v>
      </c>
      <c r="H1791" s="3" t="str">
        <f aca="false">Raw_Data!G1791</f>
        <v>yes</v>
      </c>
      <c r="I1791" s="3" t="str">
        <f aca="false">Raw_Data!H1791</f>
        <v>no</v>
      </c>
      <c r="J1791" s="2" t="n">
        <f aca="false">IF(F1791="yes",1,0)</f>
        <v>0</v>
      </c>
      <c r="K1791" s="2" t="n">
        <f aca="false">IF(H1791="yes",1,0)</f>
        <v>1</v>
      </c>
      <c r="L1791" s="2" t="n">
        <f aca="false">IF(I1791="yes",1,0)</f>
        <v>0</v>
      </c>
      <c r="M1791" s="2" t="n">
        <f aca="false">IF(G1791&lt;0,1,0)</f>
        <v>0</v>
      </c>
      <c r="N1791" s="2" t="str">
        <f aca="false">_xlfn.IFS(B1791&lt;30,"Under 30",B1791&lt;40,"30-39",B1791&lt;50,"40-49",B1791&lt;60,"50-59",TRUE(),"60+")</f>
        <v>40-49</v>
      </c>
      <c r="O1791" s="2" t="str">
        <f aca="false">_xlfn.IFS(G1791&lt;0,"1 Negative",G1791=0,"2 Zero",G1791&lt;=500,"3 1-500",G1791&lt;=2000,"4 501-2000",TRUE(),"5 Above 2000")</f>
        <v>4 501-2000</v>
      </c>
      <c r="P1791" s="2" t="n">
        <f aca="false">Lookups!$B$2*M1791+Lookups!$B$3*L1791</f>
        <v>0</v>
      </c>
      <c r="Q1791" s="2" t="str">
        <f aca="false">INDEX(Lookups!$E$2:$E$5,MATCH(P1791,Lookups!$D$2:$D$5,0))</f>
        <v>Low</v>
      </c>
    </row>
    <row r="1792" customFormat="false" ht="15" hidden="false" customHeight="false" outlineLevel="0" collapsed="false">
      <c r="A1792" s="3" t="n">
        <v>1791</v>
      </c>
      <c r="B1792" s="3" t="n">
        <f aca="false">Raw_Data!A1792</f>
        <v>45</v>
      </c>
      <c r="C1792" s="3" t="str">
        <f aca="false">SUBSTITUTE(Raw_Data!B1792,".","")</f>
        <v>technician</v>
      </c>
      <c r="D1792" s="3" t="str">
        <f aca="false">Raw_Data!C1792</f>
        <v>married</v>
      </c>
      <c r="E1792" s="3" t="str">
        <f aca="false">Raw_Data!D1792</f>
        <v>secondary</v>
      </c>
      <c r="F1792" s="3" t="str">
        <f aca="false">Raw_Data!E1792</f>
        <v>no</v>
      </c>
      <c r="G1792" s="3" t="n">
        <f aca="false">Raw_Data!F1792</f>
        <v>1477</v>
      </c>
      <c r="H1792" s="3" t="str">
        <f aca="false">Raw_Data!G1792</f>
        <v>yes</v>
      </c>
      <c r="I1792" s="3" t="str">
        <f aca="false">Raw_Data!H1792</f>
        <v>no</v>
      </c>
      <c r="J1792" s="2" t="n">
        <f aca="false">IF(F1792="yes",1,0)</f>
        <v>0</v>
      </c>
      <c r="K1792" s="2" t="n">
        <f aca="false">IF(H1792="yes",1,0)</f>
        <v>1</v>
      </c>
      <c r="L1792" s="2" t="n">
        <f aca="false">IF(I1792="yes",1,0)</f>
        <v>0</v>
      </c>
      <c r="M1792" s="2" t="n">
        <f aca="false">IF(G1792&lt;0,1,0)</f>
        <v>0</v>
      </c>
      <c r="N1792" s="2" t="str">
        <f aca="false">_xlfn.IFS(B1792&lt;30,"Under 30",B1792&lt;40,"30-39",B1792&lt;50,"40-49",B1792&lt;60,"50-59",TRUE(),"60+")</f>
        <v>40-49</v>
      </c>
      <c r="O1792" s="2" t="str">
        <f aca="false">_xlfn.IFS(G1792&lt;0,"1 Negative",G1792=0,"2 Zero",G1792&lt;=500,"3 1-500",G1792&lt;=2000,"4 501-2000",TRUE(),"5 Above 2000")</f>
        <v>4 501-2000</v>
      </c>
      <c r="P1792" s="2" t="n">
        <f aca="false">Lookups!$B$2*M1792+Lookups!$B$3*L1792</f>
        <v>0</v>
      </c>
      <c r="Q1792" s="2" t="str">
        <f aca="false">INDEX(Lookups!$E$2:$E$5,MATCH(P1792,Lookups!$D$2:$D$5,0))</f>
        <v>Low</v>
      </c>
    </row>
    <row r="1793" customFormat="false" ht="15" hidden="false" customHeight="false" outlineLevel="0" collapsed="false">
      <c r="A1793" s="3" t="n">
        <v>1792</v>
      </c>
      <c r="B1793" s="3" t="n">
        <f aca="false">Raw_Data!A1793</f>
        <v>31</v>
      </c>
      <c r="C1793" s="3" t="str">
        <f aca="false">SUBSTITUTE(Raw_Data!B1793,".","")</f>
        <v>admin</v>
      </c>
      <c r="D1793" s="3" t="str">
        <f aca="false">Raw_Data!C1793</f>
        <v>married</v>
      </c>
      <c r="E1793" s="3" t="str">
        <f aca="false">Raw_Data!D1793</f>
        <v>secondary</v>
      </c>
      <c r="F1793" s="3" t="str">
        <f aca="false">Raw_Data!E1793</f>
        <v>no</v>
      </c>
      <c r="G1793" s="3" t="n">
        <f aca="false">Raw_Data!F1793</f>
        <v>0</v>
      </c>
      <c r="H1793" s="3" t="str">
        <f aca="false">Raw_Data!G1793</f>
        <v>yes</v>
      </c>
      <c r="I1793" s="3" t="str">
        <f aca="false">Raw_Data!H1793</f>
        <v>no</v>
      </c>
      <c r="J1793" s="2" t="n">
        <f aca="false">IF(F1793="yes",1,0)</f>
        <v>0</v>
      </c>
      <c r="K1793" s="2" t="n">
        <f aca="false">IF(H1793="yes",1,0)</f>
        <v>1</v>
      </c>
      <c r="L1793" s="2" t="n">
        <f aca="false">IF(I1793="yes",1,0)</f>
        <v>0</v>
      </c>
      <c r="M1793" s="2" t="n">
        <f aca="false">IF(G1793&lt;0,1,0)</f>
        <v>0</v>
      </c>
      <c r="N1793" s="2" t="str">
        <f aca="false">_xlfn.IFS(B1793&lt;30,"Under 30",B1793&lt;40,"30-39",B1793&lt;50,"40-49",B1793&lt;60,"50-59",TRUE(),"60+")</f>
        <v>30-39</v>
      </c>
      <c r="O1793" s="2" t="str">
        <f aca="false">_xlfn.IFS(G1793&lt;0,"1 Negative",G1793=0,"2 Zero",G1793&lt;=500,"3 1-500",G1793&lt;=2000,"4 501-2000",TRUE(),"5 Above 2000")</f>
        <v>2 Zero</v>
      </c>
      <c r="P1793" s="2" t="n">
        <f aca="false">Lookups!$B$2*M1793+Lookups!$B$3*L1793</f>
        <v>0</v>
      </c>
      <c r="Q1793" s="2" t="str">
        <f aca="false">INDEX(Lookups!$E$2:$E$5,MATCH(P1793,Lookups!$D$2:$D$5,0))</f>
        <v>Low</v>
      </c>
    </row>
    <row r="1794" customFormat="false" ht="15" hidden="false" customHeight="false" outlineLevel="0" collapsed="false">
      <c r="A1794" s="3" t="n">
        <v>1793</v>
      </c>
      <c r="B1794" s="3" t="n">
        <f aca="false">Raw_Data!A1794</f>
        <v>54</v>
      </c>
      <c r="C1794" s="3" t="str">
        <f aca="false">SUBSTITUTE(Raw_Data!B1794,".","")</f>
        <v>services</v>
      </c>
      <c r="D1794" s="3" t="str">
        <f aca="false">Raw_Data!C1794</f>
        <v>married</v>
      </c>
      <c r="E1794" s="3" t="str">
        <f aca="false">Raw_Data!D1794</f>
        <v>primary</v>
      </c>
      <c r="F1794" s="3" t="str">
        <f aca="false">Raw_Data!E1794</f>
        <v>no</v>
      </c>
      <c r="G1794" s="3" t="n">
        <f aca="false">Raw_Data!F1794</f>
        <v>8</v>
      </c>
      <c r="H1794" s="3" t="str">
        <f aca="false">Raw_Data!G1794</f>
        <v>yes</v>
      </c>
      <c r="I1794" s="3" t="str">
        <f aca="false">Raw_Data!H1794</f>
        <v>no</v>
      </c>
      <c r="J1794" s="2" t="n">
        <f aca="false">IF(F1794="yes",1,0)</f>
        <v>0</v>
      </c>
      <c r="K1794" s="2" t="n">
        <f aca="false">IF(H1794="yes",1,0)</f>
        <v>1</v>
      </c>
      <c r="L1794" s="2" t="n">
        <f aca="false">IF(I1794="yes",1,0)</f>
        <v>0</v>
      </c>
      <c r="M1794" s="2" t="n">
        <f aca="false">IF(G1794&lt;0,1,0)</f>
        <v>0</v>
      </c>
      <c r="N1794" s="2" t="str">
        <f aca="false">_xlfn.IFS(B1794&lt;30,"Under 30",B1794&lt;40,"30-39",B1794&lt;50,"40-49",B1794&lt;60,"50-59",TRUE(),"60+")</f>
        <v>50-59</v>
      </c>
      <c r="O1794" s="2" t="str">
        <f aca="false">_xlfn.IFS(G1794&lt;0,"1 Negative",G1794=0,"2 Zero",G1794&lt;=500,"3 1-500",G1794&lt;=2000,"4 501-2000",TRUE(),"5 Above 2000")</f>
        <v>3 1-500</v>
      </c>
      <c r="P1794" s="2" t="n">
        <f aca="false">Lookups!$B$2*M1794+Lookups!$B$3*L1794</f>
        <v>0</v>
      </c>
      <c r="Q1794" s="2" t="str">
        <f aca="false">INDEX(Lookups!$E$2:$E$5,MATCH(P1794,Lookups!$D$2:$D$5,0))</f>
        <v>Low</v>
      </c>
    </row>
    <row r="1795" customFormat="false" ht="15" hidden="false" customHeight="false" outlineLevel="0" collapsed="false">
      <c r="A1795" s="3" t="n">
        <v>1794</v>
      </c>
      <c r="B1795" s="3" t="n">
        <f aca="false">Raw_Data!A1795</f>
        <v>39</v>
      </c>
      <c r="C1795" s="3" t="str">
        <f aca="false">SUBSTITUTE(Raw_Data!B1795,".","")</f>
        <v>admin</v>
      </c>
      <c r="D1795" s="3" t="str">
        <f aca="false">Raw_Data!C1795</f>
        <v>divorced</v>
      </c>
      <c r="E1795" s="3" t="str">
        <f aca="false">Raw_Data!D1795</f>
        <v>secondary</v>
      </c>
      <c r="F1795" s="3" t="str">
        <f aca="false">Raw_Data!E1795</f>
        <v>no</v>
      </c>
      <c r="G1795" s="3" t="n">
        <f aca="false">Raw_Data!F1795</f>
        <v>399</v>
      </c>
      <c r="H1795" s="3" t="str">
        <f aca="false">Raw_Data!G1795</f>
        <v>yes</v>
      </c>
      <c r="I1795" s="3" t="str">
        <f aca="false">Raw_Data!H1795</f>
        <v>yes</v>
      </c>
      <c r="J1795" s="2" t="n">
        <f aca="false">IF(F1795="yes",1,0)</f>
        <v>0</v>
      </c>
      <c r="K1795" s="2" t="n">
        <f aca="false">IF(H1795="yes",1,0)</f>
        <v>1</v>
      </c>
      <c r="L1795" s="2" t="n">
        <f aca="false">IF(I1795="yes",1,0)</f>
        <v>1</v>
      </c>
      <c r="M1795" s="2" t="n">
        <f aca="false">IF(G1795&lt;0,1,0)</f>
        <v>0</v>
      </c>
      <c r="N1795" s="2" t="str">
        <f aca="false">_xlfn.IFS(B1795&lt;30,"Under 30",B1795&lt;40,"30-39",B1795&lt;50,"40-49",B1795&lt;60,"50-59",TRUE(),"60+")</f>
        <v>30-39</v>
      </c>
      <c r="O1795" s="2" t="str">
        <f aca="false">_xlfn.IFS(G1795&lt;0,"1 Negative",G1795=0,"2 Zero",G1795&lt;=500,"3 1-500",G1795&lt;=2000,"4 501-2000",TRUE(),"5 Above 2000")</f>
        <v>3 1-500</v>
      </c>
      <c r="P1795" s="2" t="n">
        <f aca="false">Lookups!$B$2*M1795+Lookups!$B$3*L1795</f>
        <v>1</v>
      </c>
      <c r="Q1795" s="2" t="str">
        <f aca="false">INDEX(Lookups!$E$2:$E$5,MATCH(P1795,Lookups!$D$2:$D$5,0))</f>
        <v>Medium</v>
      </c>
    </row>
    <row r="1796" customFormat="false" ht="15" hidden="false" customHeight="false" outlineLevel="0" collapsed="false">
      <c r="A1796" s="3" t="n">
        <v>1795</v>
      </c>
      <c r="B1796" s="3" t="n">
        <f aca="false">Raw_Data!A1796</f>
        <v>56</v>
      </c>
      <c r="C1796" s="3" t="str">
        <f aca="false">SUBSTITUTE(Raw_Data!B1796,".","")</f>
        <v>admin</v>
      </c>
      <c r="D1796" s="3" t="str">
        <f aca="false">Raw_Data!C1796</f>
        <v>divorced</v>
      </c>
      <c r="E1796" s="3" t="str">
        <f aca="false">Raw_Data!D1796</f>
        <v>secondary</v>
      </c>
      <c r="F1796" s="3" t="str">
        <f aca="false">Raw_Data!E1796</f>
        <v>yes</v>
      </c>
      <c r="G1796" s="3" t="n">
        <f aca="false">Raw_Data!F1796</f>
        <v>-435</v>
      </c>
      <c r="H1796" s="3" t="str">
        <f aca="false">Raw_Data!G1796</f>
        <v>yes</v>
      </c>
      <c r="I1796" s="3" t="str">
        <f aca="false">Raw_Data!H1796</f>
        <v>yes</v>
      </c>
      <c r="J1796" s="2" t="n">
        <f aca="false">IF(F1796="yes",1,0)</f>
        <v>1</v>
      </c>
      <c r="K1796" s="2" t="n">
        <f aca="false">IF(H1796="yes",1,0)</f>
        <v>1</v>
      </c>
      <c r="L1796" s="2" t="n">
        <f aca="false">IF(I1796="yes",1,0)</f>
        <v>1</v>
      </c>
      <c r="M1796" s="2" t="n">
        <f aca="false">IF(G1796&lt;0,1,0)</f>
        <v>1</v>
      </c>
      <c r="N1796" s="2" t="str">
        <f aca="false">_xlfn.IFS(B1796&lt;30,"Under 30",B1796&lt;40,"30-39",B1796&lt;50,"40-49",B1796&lt;60,"50-59",TRUE(),"60+")</f>
        <v>50-59</v>
      </c>
      <c r="O1796" s="2" t="str">
        <f aca="false">_xlfn.IFS(G1796&lt;0,"1 Negative",G1796=0,"2 Zero",G1796&lt;=500,"3 1-500",G1796&lt;=2000,"4 501-2000",TRUE(),"5 Above 2000")</f>
        <v>1 Negative</v>
      </c>
      <c r="P1796" s="2" t="n">
        <f aca="false">Lookups!$B$2*M1796+Lookups!$B$3*L1796</f>
        <v>3</v>
      </c>
      <c r="Q1796" s="2" t="str">
        <f aca="false">INDEX(Lookups!$E$2:$E$5,MATCH(P1796,Lookups!$D$2:$D$5,0))</f>
        <v>High</v>
      </c>
    </row>
    <row r="1797" customFormat="false" ht="15" hidden="false" customHeight="false" outlineLevel="0" collapsed="false">
      <c r="A1797" s="3" t="n">
        <v>1796</v>
      </c>
      <c r="B1797" s="3" t="n">
        <f aca="false">Raw_Data!A1797</f>
        <v>35</v>
      </c>
      <c r="C1797" s="3" t="str">
        <f aca="false">SUBSTITUTE(Raw_Data!B1797,".","")</f>
        <v>admin</v>
      </c>
      <c r="D1797" s="3" t="str">
        <f aca="false">Raw_Data!C1797</f>
        <v>single</v>
      </c>
      <c r="E1797" s="3" t="str">
        <f aca="false">Raw_Data!D1797</f>
        <v>secondary</v>
      </c>
      <c r="F1797" s="3" t="str">
        <f aca="false">Raw_Data!E1797</f>
        <v>no</v>
      </c>
      <c r="G1797" s="3" t="n">
        <f aca="false">Raw_Data!F1797</f>
        <v>2830</v>
      </c>
      <c r="H1797" s="3" t="str">
        <f aca="false">Raw_Data!G1797</f>
        <v>no</v>
      </c>
      <c r="I1797" s="3" t="str">
        <f aca="false">Raw_Data!H1797</f>
        <v>no</v>
      </c>
      <c r="J1797" s="2" t="n">
        <f aca="false">IF(F1797="yes",1,0)</f>
        <v>0</v>
      </c>
      <c r="K1797" s="2" t="n">
        <f aca="false">IF(H1797="yes",1,0)</f>
        <v>0</v>
      </c>
      <c r="L1797" s="2" t="n">
        <f aca="false">IF(I1797="yes",1,0)</f>
        <v>0</v>
      </c>
      <c r="M1797" s="2" t="n">
        <f aca="false">IF(G1797&lt;0,1,0)</f>
        <v>0</v>
      </c>
      <c r="N1797" s="2" t="str">
        <f aca="false">_xlfn.IFS(B1797&lt;30,"Under 30",B1797&lt;40,"30-39",B1797&lt;50,"40-49",B1797&lt;60,"50-59",TRUE(),"60+")</f>
        <v>30-39</v>
      </c>
      <c r="O1797" s="2" t="str">
        <f aca="false">_xlfn.IFS(G1797&lt;0,"1 Negative",G1797=0,"2 Zero",G1797&lt;=500,"3 1-500",G1797&lt;=2000,"4 501-2000",TRUE(),"5 Above 2000")</f>
        <v>5 Above 2000</v>
      </c>
      <c r="P1797" s="2" t="n">
        <f aca="false">Lookups!$B$2*M1797+Lookups!$B$3*L1797</f>
        <v>0</v>
      </c>
      <c r="Q1797" s="2" t="str">
        <f aca="false">INDEX(Lookups!$E$2:$E$5,MATCH(P1797,Lookups!$D$2:$D$5,0))</f>
        <v>Low</v>
      </c>
    </row>
    <row r="1798" customFormat="false" ht="15" hidden="false" customHeight="false" outlineLevel="0" collapsed="false">
      <c r="A1798" s="3" t="n">
        <v>1797</v>
      </c>
      <c r="B1798" s="3" t="n">
        <f aca="false">Raw_Data!A1798</f>
        <v>34</v>
      </c>
      <c r="C1798" s="3" t="str">
        <f aca="false">SUBSTITUTE(Raw_Data!B1798,".","")</f>
        <v>management</v>
      </c>
      <c r="D1798" s="3" t="str">
        <f aca="false">Raw_Data!C1798</f>
        <v>married</v>
      </c>
      <c r="E1798" s="3" t="str">
        <f aca="false">Raw_Data!D1798</f>
        <v>secondary</v>
      </c>
      <c r="F1798" s="3" t="str">
        <f aca="false">Raw_Data!E1798</f>
        <v>no</v>
      </c>
      <c r="G1798" s="3" t="n">
        <f aca="false">Raw_Data!F1798</f>
        <v>15</v>
      </c>
      <c r="H1798" s="3" t="str">
        <f aca="false">Raw_Data!G1798</f>
        <v>no</v>
      </c>
      <c r="I1798" s="3" t="str">
        <f aca="false">Raw_Data!H1798</f>
        <v>no</v>
      </c>
      <c r="J1798" s="2" t="n">
        <f aca="false">IF(F1798="yes",1,0)</f>
        <v>0</v>
      </c>
      <c r="K1798" s="2" t="n">
        <f aca="false">IF(H1798="yes",1,0)</f>
        <v>0</v>
      </c>
      <c r="L1798" s="2" t="n">
        <f aca="false">IF(I1798="yes",1,0)</f>
        <v>0</v>
      </c>
      <c r="M1798" s="2" t="n">
        <f aca="false">IF(G1798&lt;0,1,0)</f>
        <v>0</v>
      </c>
      <c r="N1798" s="2" t="str">
        <f aca="false">_xlfn.IFS(B1798&lt;30,"Under 30",B1798&lt;40,"30-39",B1798&lt;50,"40-49",B1798&lt;60,"50-59",TRUE(),"60+")</f>
        <v>30-39</v>
      </c>
      <c r="O1798" s="2" t="str">
        <f aca="false">_xlfn.IFS(G1798&lt;0,"1 Negative",G1798=0,"2 Zero",G1798&lt;=500,"3 1-500",G1798&lt;=2000,"4 501-2000",TRUE(),"5 Above 2000")</f>
        <v>3 1-500</v>
      </c>
      <c r="P1798" s="2" t="n">
        <f aca="false">Lookups!$B$2*M1798+Lookups!$B$3*L1798</f>
        <v>0</v>
      </c>
      <c r="Q1798" s="2" t="str">
        <f aca="false">INDEX(Lookups!$E$2:$E$5,MATCH(P1798,Lookups!$D$2:$D$5,0))</f>
        <v>Low</v>
      </c>
    </row>
    <row r="1799" customFormat="false" ht="15" hidden="false" customHeight="false" outlineLevel="0" collapsed="false">
      <c r="A1799" s="3" t="n">
        <v>1798</v>
      </c>
      <c r="B1799" s="3" t="n">
        <f aca="false">Raw_Data!A1799</f>
        <v>31</v>
      </c>
      <c r="C1799" s="3" t="str">
        <f aca="false">SUBSTITUTE(Raw_Data!B1799,".","")</f>
        <v>technician</v>
      </c>
      <c r="D1799" s="3" t="str">
        <f aca="false">Raw_Data!C1799</f>
        <v>single</v>
      </c>
      <c r="E1799" s="3" t="str">
        <f aca="false">Raw_Data!D1799</f>
        <v>secondary</v>
      </c>
      <c r="F1799" s="3" t="str">
        <f aca="false">Raw_Data!E1799</f>
        <v>no</v>
      </c>
      <c r="G1799" s="3" t="n">
        <f aca="false">Raw_Data!F1799</f>
        <v>125</v>
      </c>
      <c r="H1799" s="3" t="str">
        <f aca="false">Raw_Data!G1799</f>
        <v>no</v>
      </c>
      <c r="I1799" s="3" t="str">
        <f aca="false">Raw_Data!H1799</f>
        <v>no</v>
      </c>
      <c r="J1799" s="2" t="n">
        <f aca="false">IF(F1799="yes",1,0)</f>
        <v>0</v>
      </c>
      <c r="K1799" s="2" t="n">
        <f aca="false">IF(H1799="yes",1,0)</f>
        <v>0</v>
      </c>
      <c r="L1799" s="2" t="n">
        <f aca="false">IF(I1799="yes",1,0)</f>
        <v>0</v>
      </c>
      <c r="M1799" s="2" t="n">
        <f aca="false">IF(G1799&lt;0,1,0)</f>
        <v>0</v>
      </c>
      <c r="N1799" s="2" t="str">
        <f aca="false">_xlfn.IFS(B1799&lt;30,"Under 30",B1799&lt;40,"30-39",B1799&lt;50,"40-49",B1799&lt;60,"50-59",TRUE(),"60+")</f>
        <v>30-39</v>
      </c>
      <c r="O1799" s="2" t="str">
        <f aca="false">_xlfn.IFS(G1799&lt;0,"1 Negative",G1799=0,"2 Zero",G1799&lt;=500,"3 1-500",G1799&lt;=2000,"4 501-2000",TRUE(),"5 Above 2000")</f>
        <v>3 1-500</v>
      </c>
      <c r="P1799" s="2" t="n">
        <f aca="false">Lookups!$B$2*M1799+Lookups!$B$3*L1799</f>
        <v>0</v>
      </c>
      <c r="Q1799" s="2" t="str">
        <f aca="false">INDEX(Lookups!$E$2:$E$5,MATCH(P1799,Lookups!$D$2:$D$5,0))</f>
        <v>Low</v>
      </c>
    </row>
    <row r="1800" customFormat="false" ht="15" hidden="false" customHeight="false" outlineLevel="0" collapsed="false">
      <c r="A1800" s="3" t="n">
        <v>1799</v>
      </c>
      <c r="B1800" s="3" t="n">
        <f aca="false">Raw_Data!A1800</f>
        <v>38</v>
      </c>
      <c r="C1800" s="3" t="str">
        <f aca="false">SUBSTITUTE(Raw_Data!B1800,".","")</f>
        <v>technician</v>
      </c>
      <c r="D1800" s="3" t="str">
        <f aca="false">Raw_Data!C1800</f>
        <v>married</v>
      </c>
      <c r="E1800" s="3" t="str">
        <f aca="false">Raw_Data!D1800</f>
        <v>tertiary</v>
      </c>
      <c r="F1800" s="3" t="str">
        <f aca="false">Raw_Data!E1800</f>
        <v>no</v>
      </c>
      <c r="G1800" s="3" t="n">
        <f aca="false">Raw_Data!F1800</f>
        <v>45</v>
      </c>
      <c r="H1800" s="3" t="str">
        <f aca="false">Raw_Data!G1800</f>
        <v>no</v>
      </c>
      <c r="I1800" s="3" t="str">
        <f aca="false">Raw_Data!H1800</f>
        <v>no</v>
      </c>
      <c r="J1800" s="2" t="n">
        <f aca="false">IF(F1800="yes",1,0)</f>
        <v>0</v>
      </c>
      <c r="K1800" s="2" t="n">
        <f aca="false">IF(H1800="yes",1,0)</f>
        <v>0</v>
      </c>
      <c r="L1800" s="2" t="n">
        <f aca="false">IF(I1800="yes",1,0)</f>
        <v>0</v>
      </c>
      <c r="M1800" s="2" t="n">
        <f aca="false">IF(G1800&lt;0,1,0)</f>
        <v>0</v>
      </c>
      <c r="N1800" s="2" t="str">
        <f aca="false">_xlfn.IFS(B1800&lt;30,"Under 30",B1800&lt;40,"30-39",B1800&lt;50,"40-49",B1800&lt;60,"50-59",TRUE(),"60+")</f>
        <v>30-39</v>
      </c>
      <c r="O1800" s="2" t="str">
        <f aca="false">_xlfn.IFS(G1800&lt;0,"1 Negative",G1800=0,"2 Zero",G1800&lt;=500,"3 1-500",G1800&lt;=2000,"4 501-2000",TRUE(),"5 Above 2000")</f>
        <v>3 1-500</v>
      </c>
      <c r="P1800" s="2" t="n">
        <f aca="false">Lookups!$B$2*M1800+Lookups!$B$3*L1800</f>
        <v>0</v>
      </c>
      <c r="Q1800" s="2" t="str">
        <f aca="false">INDEX(Lookups!$E$2:$E$5,MATCH(P1800,Lookups!$D$2:$D$5,0))</f>
        <v>Low</v>
      </c>
    </row>
    <row r="1801" customFormat="false" ht="15" hidden="false" customHeight="false" outlineLevel="0" collapsed="false">
      <c r="A1801" s="3" t="n">
        <v>1800</v>
      </c>
      <c r="B1801" s="3" t="n">
        <f aca="false">Raw_Data!A1801</f>
        <v>41</v>
      </c>
      <c r="C1801" s="3" t="str">
        <f aca="false">SUBSTITUTE(Raw_Data!B1801,".","")</f>
        <v>technician</v>
      </c>
      <c r="D1801" s="3" t="str">
        <f aca="false">Raw_Data!C1801</f>
        <v>married</v>
      </c>
      <c r="E1801" s="3" t="str">
        <f aca="false">Raw_Data!D1801</f>
        <v>tertiary</v>
      </c>
      <c r="F1801" s="3" t="str">
        <f aca="false">Raw_Data!E1801</f>
        <v>no</v>
      </c>
      <c r="G1801" s="3" t="n">
        <f aca="false">Raw_Data!F1801</f>
        <v>13</v>
      </c>
      <c r="H1801" s="3" t="str">
        <f aca="false">Raw_Data!G1801</f>
        <v>no</v>
      </c>
      <c r="I1801" s="3" t="str">
        <f aca="false">Raw_Data!H1801</f>
        <v>no</v>
      </c>
      <c r="J1801" s="2" t="n">
        <f aca="false">IF(F1801="yes",1,0)</f>
        <v>0</v>
      </c>
      <c r="K1801" s="2" t="n">
        <f aca="false">IF(H1801="yes",1,0)</f>
        <v>0</v>
      </c>
      <c r="L1801" s="2" t="n">
        <f aca="false">IF(I1801="yes",1,0)</f>
        <v>0</v>
      </c>
      <c r="M1801" s="2" t="n">
        <f aca="false">IF(G1801&lt;0,1,0)</f>
        <v>0</v>
      </c>
      <c r="N1801" s="2" t="str">
        <f aca="false">_xlfn.IFS(B1801&lt;30,"Under 30",B1801&lt;40,"30-39",B1801&lt;50,"40-49",B1801&lt;60,"50-59",TRUE(),"60+")</f>
        <v>40-49</v>
      </c>
      <c r="O1801" s="2" t="str">
        <f aca="false">_xlfn.IFS(G1801&lt;0,"1 Negative",G1801=0,"2 Zero",G1801&lt;=500,"3 1-500",G1801&lt;=2000,"4 501-2000",TRUE(),"5 Above 2000")</f>
        <v>3 1-500</v>
      </c>
      <c r="P1801" s="2" t="n">
        <f aca="false">Lookups!$B$2*M1801+Lookups!$B$3*L1801</f>
        <v>0</v>
      </c>
      <c r="Q1801" s="2" t="str">
        <f aca="false">INDEX(Lookups!$E$2:$E$5,MATCH(P1801,Lookups!$D$2:$D$5,0))</f>
        <v>Low</v>
      </c>
    </row>
    <row r="1802" customFormat="false" ht="15" hidden="false" customHeight="false" outlineLevel="0" collapsed="false">
      <c r="A1802" s="3" t="n">
        <v>1801</v>
      </c>
      <c r="B1802" s="3" t="n">
        <f aca="false">Raw_Data!A1802</f>
        <v>44</v>
      </c>
      <c r="C1802" s="3" t="str">
        <f aca="false">SUBSTITUTE(Raw_Data!B1802,".","")</f>
        <v>entrepreneur</v>
      </c>
      <c r="D1802" s="3" t="str">
        <f aca="false">Raw_Data!C1802</f>
        <v>married</v>
      </c>
      <c r="E1802" s="3" t="str">
        <f aca="false">Raw_Data!D1802</f>
        <v>tertiary</v>
      </c>
      <c r="F1802" s="3" t="str">
        <f aca="false">Raw_Data!E1802</f>
        <v>no</v>
      </c>
      <c r="G1802" s="3" t="n">
        <f aca="false">Raw_Data!F1802</f>
        <v>0</v>
      </c>
      <c r="H1802" s="3" t="str">
        <f aca="false">Raw_Data!G1802</f>
        <v>yes</v>
      </c>
      <c r="I1802" s="3" t="str">
        <f aca="false">Raw_Data!H1802</f>
        <v>no</v>
      </c>
      <c r="J1802" s="2" t="n">
        <f aca="false">IF(F1802="yes",1,0)</f>
        <v>0</v>
      </c>
      <c r="K1802" s="2" t="n">
        <f aca="false">IF(H1802="yes",1,0)</f>
        <v>1</v>
      </c>
      <c r="L1802" s="2" t="n">
        <f aca="false">IF(I1802="yes",1,0)</f>
        <v>0</v>
      </c>
      <c r="M1802" s="2" t="n">
        <f aca="false">IF(G1802&lt;0,1,0)</f>
        <v>0</v>
      </c>
      <c r="N1802" s="2" t="str">
        <f aca="false">_xlfn.IFS(B1802&lt;30,"Under 30",B1802&lt;40,"30-39",B1802&lt;50,"40-49",B1802&lt;60,"50-59",TRUE(),"60+")</f>
        <v>40-49</v>
      </c>
      <c r="O1802" s="2" t="str">
        <f aca="false">_xlfn.IFS(G1802&lt;0,"1 Negative",G1802=0,"2 Zero",G1802&lt;=500,"3 1-500",G1802&lt;=2000,"4 501-2000",TRUE(),"5 Above 2000")</f>
        <v>2 Zero</v>
      </c>
      <c r="P1802" s="2" t="n">
        <f aca="false">Lookups!$B$2*M1802+Lookups!$B$3*L1802</f>
        <v>0</v>
      </c>
      <c r="Q1802" s="2" t="str">
        <f aca="false">INDEX(Lookups!$E$2:$E$5,MATCH(P1802,Lookups!$D$2:$D$5,0))</f>
        <v>Low</v>
      </c>
    </row>
    <row r="1803" customFormat="false" ht="15" hidden="false" customHeight="false" outlineLevel="0" collapsed="false">
      <c r="A1803" s="3" t="n">
        <v>1802</v>
      </c>
      <c r="B1803" s="3" t="n">
        <f aca="false">Raw_Data!A1803</f>
        <v>49</v>
      </c>
      <c r="C1803" s="3" t="str">
        <f aca="false">SUBSTITUTE(Raw_Data!B1803,".","")</f>
        <v>blue-collar</v>
      </c>
      <c r="D1803" s="3" t="str">
        <f aca="false">Raw_Data!C1803</f>
        <v>married</v>
      </c>
      <c r="E1803" s="3" t="str">
        <f aca="false">Raw_Data!D1803</f>
        <v>secondary</v>
      </c>
      <c r="F1803" s="3" t="str">
        <f aca="false">Raw_Data!E1803</f>
        <v>no</v>
      </c>
      <c r="G1803" s="3" t="n">
        <f aca="false">Raw_Data!F1803</f>
        <v>579</v>
      </c>
      <c r="H1803" s="3" t="str">
        <f aca="false">Raw_Data!G1803</f>
        <v>yes</v>
      </c>
      <c r="I1803" s="3" t="str">
        <f aca="false">Raw_Data!H1803</f>
        <v>no</v>
      </c>
      <c r="J1803" s="2" t="n">
        <f aca="false">IF(F1803="yes",1,0)</f>
        <v>0</v>
      </c>
      <c r="K1803" s="2" t="n">
        <f aca="false">IF(H1803="yes",1,0)</f>
        <v>1</v>
      </c>
      <c r="L1803" s="2" t="n">
        <f aca="false">IF(I1803="yes",1,0)</f>
        <v>0</v>
      </c>
      <c r="M1803" s="2" t="n">
        <f aca="false">IF(G1803&lt;0,1,0)</f>
        <v>0</v>
      </c>
      <c r="N1803" s="2" t="str">
        <f aca="false">_xlfn.IFS(B1803&lt;30,"Under 30",B1803&lt;40,"30-39",B1803&lt;50,"40-49",B1803&lt;60,"50-59",TRUE(),"60+")</f>
        <v>40-49</v>
      </c>
      <c r="O1803" s="2" t="str">
        <f aca="false">_xlfn.IFS(G1803&lt;0,"1 Negative",G1803=0,"2 Zero",G1803&lt;=500,"3 1-500",G1803&lt;=2000,"4 501-2000",TRUE(),"5 Above 2000")</f>
        <v>4 501-2000</v>
      </c>
      <c r="P1803" s="2" t="n">
        <f aca="false">Lookups!$B$2*M1803+Lookups!$B$3*L1803</f>
        <v>0</v>
      </c>
      <c r="Q1803" s="2" t="str">
        <f aca="false">INDEX(Lookups!$E$2:$E$5,MATCH(P1803,Lookups!$D$2:$D$5,0))</f>
        <v>Low</v>
      </c>
    </row>
    <row r="1804" customFormat="false" ht="15" hidden="false" customHeight="false" outlineLevel="0" collapsed="false">
      <c r="A1804" s="3" t="n">
        <v>1803</v>
      </c>
      <c r="B1804" s="3" t="n">
        <f aca="false">Raw_Data!A1804</f>
        <v>30</v>
      </c>
      <c r="C1804" s="3" t="str">
        <f aca="false">SUBSTITUTE(Raw_Data!B1804,".","")</f>
        <v>services</v>
      </c>
      <c r="D1804" s="3" t="str">
        <f aca="false">Raw_Data!C1804</f>
        <v>single</v>
      </c>
      <c r="E1804" s="3" t="str">
        <f aca="false">Raw_Data!D1804</f>
        <v>secondary</v>
      </c>
      <c r="F1804" s="3" t="str">
        <f aca="false">Raw_Data!E1804</f>
        <v>no</v>
      </c>
      <c r="G1804" s="3" t="n">
        <f aca="false">Raw_Data!F1804</f>
        <v>432</v>
      </c>
      <c r="H1804" s="3" t="str">
        <f aca="false">Raw_Data!G1804</f>
        <v>yes</v>
      </c>
      <c r="I1804" s="3" t="str">
        <f aca="false">Raw_Data!H1804</f>
        <v>no</v>
      </c>
      <c r="J1804" s="2" t="n">
        <f aca="false">IF(F1804="yes",1,0)</f>
        <v>0</v>
      </c>
      <c r="K1804" s="2" t="n">
        <f aca="false">IF(H1804="yes",1,0)</f>
        <v>1</v>
      </c>
      <c r="L1804" s="2" t="n">
        <f aca="false">IF(I1804="yes",1,0)</f>
        <v>0</v>
      </c>
      <c r="M1804" s="2" t="n">
        <f aca="false">IF(G1804&lt;0,1,0)</f>
        <v>0</v>
      </c>
      <c r="N1804" s="2" t="str">
        <f aca="false">_xlfn.IFS(B1804&lt;30,"Under 30",B1804&lt;40,"30-39",B1804&lt;50,"40-49",B1804&lt;60,"50-59",TRUE(),"60+")</f>
        <v>30-39</v>
      </c>
      <c r="O1804" s="2" t="str">
        <f aca="false">_xlfn.IFS(G1804&lt;0,"1 Negative",G1804=0,"2 Zero",G1804&lt;=500,"3 1-500",G1804&lt;=2000,"4 501-2000",TRUE(),"5 Above 2000")</f>
        <v>3 1-500</v>
      </c>
      <c r="P1804" s="2" t="n">
        <f aca="false">Lookups!$B$2*M1804+Lookups!$B$3*L1804</f>
        <v>0</v>
      </c>
      <c r="Q1804" s="2" t="str">
        <f aca="false">INDEX(Lookups!$E$2:$E$5,MATCH(P1804,Lookups!$D$2:$D$5,0))</f>
        <v>Low</v>
      </c>
    </row>
    <row r="1805" customFormat="false" ht="15" hidden="false" customHeight="false" outlineLevel="0" collapsed="false">
      <c r="A1805" s="3" t="n">
        <v>1804</v>
      </c>
      <c r="B1805" s="3" t="n">
        <f aca="false">Raw_Data!A1805</f>
        <v>31</v>
      </c>
      <c r="C1805" s="3" t="str">
        <f aca="false">SUBSTITUTE(Raw_Data!B1805,".","")</f>
        <v>services</v>
      </c>
      <c r="D1805" s="3" t="str">
        <f aca="false">Raw_Data!C1805</f>
        <v>single</v>
      </c>
      <c r="E1805" s="3" t="str">
        <f aca="false">Raw_Data!D1805</f>
        <v>secondary</v>
      </c>
      <c r="F1805" s="3" t="str">
        <f aca="false">Raw_Data!E1805</f>
        <v>no</v>
      </c>
      <c r="G1805" s="3" t="n">
        <f aca="false">Raw_Data!F1805</f>
        <v>1987</v>
      </c>
      <c r="H1805" s="3" t="str">
        <f aca="false">Raw_Data!G1805</f>
        <v>yes</v>
      </c>
      <c r="I1805" s="3" t="str">
        <f aca="false">Raw_Data!H1805</f>
        <v>no</v>
      </c>
      <c r="J1805" s="2" t="n">
        <f aca="false">IF(F1805="yes",1,0)</f>
        <v>0</v>
      </c>
      <c r="K1805" s="2" t="n">
        <f aca="false">IF(H1805="yes",1,0)</f>
        <v>1</v>
      </c>
      <c r="L1805" s="2" t="n">
        <f aca="false">IF(I1805="yes",1,0)</f>
        <v>0</v>
      </c>
      <c r="M1805" s="2" t="n">
        <f aca="false">IF(G1805&lt;0,1,0)</f>
        <v>0</v>
      </c>
      <c r="N1805" s="2" t="str">
        <f aca="false">_xlfn.IFS(B1805&lt;30,"Under 30",B1805&lt;40,"30-39",B1805&lt;50,"40-49",B1805&lt;60,"50-59",TRUE(),"60+")</f>
        <v>30-39</v>
      </c>
      <c r="O1805" s="2" t="str">
        <f aca="false">_xlfn.IFS(G1805&lt;0,"1 Negative",G1805=0,"2 Zero",G1805&lt;=500,"3 1-500",G1805&lt;=2000,"4 501-2000",TRUE(),"5 Above 2000")</f>
        <v>4 501-2000</v>
      </c>
      <c r="P1805" s="2" t="n">
        <f aca="false">Lookups!$B$2*M1805+Lookups!$B$3*L1805</f>
        <v>0</v>
      </c>
      <c r="Q1805" s="2" t="str">
        <f aca="false">INDEX(Lookups!$E$2:$E$5,MATCH(P1805,Lookups!$D$2:$D$5,0))</f>
        <v>Low</v>
      </c>
    </row>
    <row r="1806" customFormat="false" ht="15" hidden="false" customHeight="false" outlineLevel="0" collapsed="false">
      <c r="A1806" s="3" t="n">
        <v>1805</v>
      </c>
      <c r="B1806" s="3" t="n">
        <f aca="false">Raw_Data!A1806</f>
        <v>34</v>
      </c>
      <c r="C1806" s="3" t="str">
        <f aca="false">SUBSTITUTE(Raw_Data!B1806,".","")</f>
        <v>management</v>
      </c>
      <c r="D1806" s="3" t="str">
        <f aca="false">Raw_Data!C1806</f>
        <v>married</v>
      </c>
      <c r="E1806" s="3" t="str">
        <f aca="false">Raw_Data!D1806</f>
        <v>secondary</v>
      </c>
      <c r="F1806" s="3" t="str">
        <f aca="false">Raw_Data!E1806</f>
        <v>no</v>
      </c>
      <c r="G1806" s="3" t="n">
        <f aca="false">Raw_Data!F1806</f>
        <v>857</v>
      </c>
      <c r="H1806" s="3" t="str">
        <f aca="false">Raw_Data!G1806</f>
        <v>yes</v>
      </c>
      <c r="I1806" s="3" t="str">
        <f aca="false">Raw_Data!H1806</f>
        <v>no</v>
      </c>
      <c r="J1806" s="2" t="n">
        <f aca="false">IF(F1806="yes",1,0)</f>
        <v>0</v>
      </c>
      <c r="K1806" s="2" t="n">
        <f aca="false">IF(H1806="yes",1,0)</f>
        <v>1</v>
      </c>
      <c r="L1806" s="2" t="n">
        <f aca="false">IF(I1806="yes",1,0)</f>
        <v>0</v>
      </c>
      <c r="M1806" s="2" t="n">
        <f aca="false">IF(G1806&lt;0,1,0)</f>
        <v>0</v>
      </c>
      <c r="N1806" s="2" t="str">
        <f aca="false">_xlfn.IFS(B1806&lt;30,"Under 30",B1806&lt;40,"30-39",B1806&lt;50,"40-49",B1806&lt;60,"50-59",TRUE(),"60+")</f>
        <v>30-39</v>
      </c>
      <c r="O1806" s="2" t="str">
        <f aca="false">_xlfn.IFS(G1806&lt;0,"1 Negative",G1806=0,"2 Zero",G1806&lt;=500,"3 1-500",G1806&lt;=2000,"4 501-2000",TRUE(),"5 Above 2000")</f>
        <v>4 501-2000</v>
      </c>
      <c r="P1806" s="2" t="n">
        <f aca="false">Lookups!$B$2*M1806+Lookups!$B$3*L1806</f>
        <v>0</v>
      </c>
      <c r="Q1806" s="2" t="str">
        <f aca="false">INDEX(Lookups!$E$2:$E$5,MATCH(P1806,Lookups!$D$2:$D$5,0))</f>
        <v>Low</v>
      </c>
    </row>
    <row r="1807" customFormat="false" ht="15" hidden="false" customHeight="false" outlineLevel="0" collapsed="false">
      <c r="A1807" s="3" t="n">
        <v>1806</v>
      </c>
      <c r="B1807" s="3" t="n">
        <f aca="false">Raw_Data!A1807</f>
        <v>70</v>
      </c>
      <c r="C1807" s="3" t="str">
        <f aca="false">SUBSTITUTE(Raw_Data!B1807,".","")</f>
        <v>retired</v>
      </c>
      <c r="D1807" s="3" t="str">
        <f aca="false">Raw_Data!C1807</f>
        <v>married</v>
      </c>
      <c r="E1807" s="3" t="str">
        <f aca="false">Raw_Data!D1807</f>
        <v>tertiary</v>
      </c>
      <c r="F1807" s="3" t="str">
        <f aca="false">Raw_Data!E1807</f>
        <v>no</v>
      </c>
      <c r="G1807" s="3" t="n">
        <f aca="false">Raw_Data!F1807</f>
        <v>15834</v>
      </c>
      <c r="H1807" s="3" t="str">
        <f aca="false">Raw_Data!G1807</f>
        <v>no</v>
      </c>
      <c r="I1807" s="3" t="str">
        <f aca="false">Raw_Data!H1807</f>
        <v>no</v>
      </c>
      <c r="J1807" s="2" t="n">
        <f aca="false">IF(F1807="yes",1,0)</f>
        <v>0</v>
      </c>
      <c r="K1807" s="2" t="n">
        <f aca="false">IF(H1807="yes",1,0)</f>
        <v>0</v>
      </c>
      <c r="L1807" s="2" t="n">
        <f aca="false">IF(I1807="yes",1,0)</f>
        <v>0</v>
      </c>
      <c r="M1807" s="2" t="n">
        <f aca="false">IF(G1807&lt;0,1,0)</f>
        <v>0</v>
      </c>
      <c r="N1807" s="2" t="str">
        <f aca="false">_xlfn.IFS(B1807&lt;30,"Under 30",B1807&lt;40,"30-39",B1807&lt;50,"40-49",B1807&lt;60,"50-59",TRUE(),"60+")</f>
        <v>60+</v>
      </c>
      <c r="O1807" s="2" t="str">
        <f aca="false">_xlfn.IFS(G1807&lt;0,"1 Negative",G1807=0,"2 Zero",G1807&lt;=500,"3 1-500",G1807&lt;=2000,"4 501-2000",TRUE(),"5 Above 2000")</f>
        <v>5 Above 2000</v>
      </c>
      <c r="P1807" s="2" t="n">
        <f aca="false">Lookups!$B$2*M1807+Lookups!$B$3*L1807</f>
        <v>0</v>
      </c>
      <c r="Q1807" s="2" t="str">
        <f aca="false">INDEX(Lookups!$E$2:$E$5,MATCH(P1807,Lookups!$D$2:$D$5,0))</f>
        <v>Low</v>
      </c>
    </row>
    <row r="1808" customFormat="false" ht="15" hidden="false" customHeight="false" outlineLevel="0" collapsed="false">
      <c r="A1808" s="3" t="n">
        <v>1807</v>
      </c>
      <c r="B1808" s="3" t="n">
        <f aca="false">Raw_Data!A1808</f>
        <v>45</v>
      </c>
      <c r="C1808" s="3" t="str">
        <f aca="false">SUBSTITUTE(Raw_Data!B1808,".","")</f>
        <v>management</v>
      </c>
      <c r="D1808" s="3" t="str">
        <f aca="false">Raw_Data!C1808</f>
        <v>married</v>
      </c>
      <c r="E1808" s="3" t="str">
        <f aca="false">Raw_Data!D1808</f>
        <v>tertiary</v>
      </c>
      <c r="F1808" s="3" t="str">
        <f aca="false">Raw_Data!E1808</f>
        <v>no</v>
      </c>
      <c r="G1808" s="3" t="n">
        <f aca="false">Raw_Data!F1808</f>
        <v>3370</v>
      </c>
      <c r="H1808" s="3" t="str">
        <f aca="false">Raw_Data!G1808</f>
        <v>no</v>
      </c>
      <c r="I1808" s="3" t="str">
        <f aca="false">Raw_Data!H1808</f>
        <v>no</v>
      </c>
      <c r="J1808" s="2" t="n">
        <f aca="false">IF(F1808="yes",1,0)</f>
        <v>0</v>
      </c>
      <c r="K1808" s="2" t="n">
        <f aca="false">IF(H1808="yes",1,0)</f>
        <v>0</v>
      </c>
      <c r="L1808" s="2" t="n">
        <f aca="false">IF(I1808="yes",1,0)</f>
        <v>0</v>
      </c>
      <c r="M1808" s="2" t="n">
        <f aca="false">IF(G1808&lt;0,1,0)</f>
        <v>0</v>
      </c>
      <c r="N1808" s="2" t="str">
        <f aca="false">_xlfn.IFS(B1808&lt;30,"Under 30",B1808&lt;40,"30-39",B1808&lt;50,"40-49",B1808&lt;60,"50-59",TRUE(),"60+")</f>
        <v>40-49</v>
      </c>
      <c r="O1808" s="2" t="str">
        <f aca="false">_xlfn.IFS(G1808&lt;0,"1 Negative",G1808=0,"2 Zero",G1808&lt;=500,"3 1-500",G1808&lt;=2000,"4 501-2000",TRUE(),"5 Above 2000")</f>
        <v>5 Above 2000</v>
      </c>
      <c r="P1808" s="2" t="n">
        <f aca="false">Lookups!$B$2*M1808+Lookups!$B$3*L1808</f>
        <v>0</v>
      </c>
      <c r="Q1808" s="2" t="str">
        <f aca="false">INDEX(Lookups!$E$2:$E$5,MATCH(P1808,Lookups!$D$2:$D$5,0))</f>
        <v>Low</v>
      </c>
    </row>
    <row r="1809" customFormat="false" ht="15" hidden="false" customHeight="false" outlineLevel="0" collapsed="false">
      <c r="A1809" s="3" t="n">
        <v>1808</v>
      </c>
      <c r="B1809" s="3" t="n">
        <f aca="false">Raw_Data!A1809</f>
        <v>31</v>
      </c>
      <c r="C1809" s="3" t="str">
        <f aca="false">SUBSTITUTE(Raw_Data!B1809,".","")</f>
        <v>management</v>
      </c>
      <c r="D1809" s="3" t="str">
        <f aca="false">Raw_Data!C1809</f>
        <v>married</v>
      </c>
      <c r="E1809" s="3" t="str">
        <f aca="false">Raw_Data!D1809</f>
        <v>tertiary</v>
      </c>
      <c r="F1809" s="3" t="str">
        <f aca="false">Raw_Data!E1809</f>
        <v>no</v>
      </c>
      <c r="G1809" s="3" t="n">
        <f aca="false">Raw_Data!F1809</f>
        <v>6290</v>
      </c>
      <c r="H1809" s="3" t="str">
        <f aca="false">Raw_Data!G1809</f>
        <v>no</v>
      </c>
      <c r="I1809" s="3" t="str">
        <f aca="false">Raw_Data!H1809</f>
        <v>no</v>
      </c>
      <c r="J1809" s="2" t="n">
        <f aca="false">IF(F1809="yes",1,0)</f>
        <v>0</v>
      </c>
      <c r="K1809" s="2" t="n">
        <f aca="false">IF(H1809="yes",1,0)</f>
        <v>0</v>
      </c>
      <c r="L1809" s="2" t="n">
        <f aca="false">IF(I1809="yes",1,0)</f>
        <v>0</v>
      </c>
      <c r="M1809" s="2" t="n">
        <f aca="false">IF(G1809&lt;0,1,0)</f>
        <v>0</v>
      </c>
      <c r="N1809" s="2" t="str">
        <f aca="false">_xlfn.IFS(B1809&lt;30,"Under 30",B1809&lt;40,"30-39",B1809&lt;50,"40-49",B1809&lt;60,"50-59",TRUE(),"60+")</f>
        <v>30-39</v>
      </c>
      <c r="O1809" s="2" t="str">
        <f aca="false">_xlfn.IFS(G1809&lt;0,"1 Negative",G1809=0,"2 Zero",G1809&lt;=500,"3 1-500",G1809&lt;=2000,"4 501-2000",TRUE(),"5 Above 2000")</f>
        <v>5 Above 2000</v>
      </c>
      <c r="P1809" s="2" t="n">
        <f aca="false">Lookups!$B$2*M1809+Lookups!$B$3*L1809</f>
        <v>0</v>
      </c>
      <c r="Q1809" s="2" t="str">
        <f aca="false">INDEX(Lookups!$E$2:$E$5,MATCH(P1809,Lookups!$D$2:$D$5,0))</f>
        <v>Low</v>
      </c>
    </row>
    <row r="1810" customFormat="false" ht="15" hidden="false" customHeight="false" outlineLevel="0" collapsed="false">
      <c r="A1810" s="3" t="n">
        <v>1809</v>
      </c>
      <c r="B1810" s="3" t="n">
        <f aca="false">Raw_Data!A1810</f>
        <v>57</v>
      </c>
      <c r="C1810" s="3" t="str">
        <f aca="false">SUBSTITUTE(Raw_Data!B1810,".","")</f>
        <v>admin</v>
      </c>
      <c r="D1810" s="3" t="str">
        <f aca="false">Raw_Data!C1810</f>
        <v>married</v>
      </c>
      <c r="E1810" s="3" t="str">
        <f aca="false">Raw_Data!D1810</f>
        <v>secondary</v>
      </c>
      <c r="F1810" s="3" t="str">
        <f aca="false">Raw_Data!E1810</f>
        <v>no</v>
      </c>
      <c r="G1810" s="3" t="n">
        <f aca="false">Raw_Data!F1810</f>
        <v>808</v>
      </c>
      <c r="H1810" s="3" t="str">
        <f aca="false">Raw_Data!G1810</f>
        <v>no</v>
      </c>
      <c r="I1810" s="3" t="str">
        <f aca="false">Raw_Data!H1810</f>
        <v>no</v>
      </c>
      <c r="J1810" s="2" t="n">
        <f aca="false">IF(F1810="yes",1,0)</f>
        <v>0</v>
      </c>
      <c r="K1810" s="2" t="n">
        <f aca="false">IF(H1810="yes",1,0)</f>
        <v>0</v>
      </c>
      <c r="L1810" s="2" t="n">
        <f aca="false">IF(I1810="yes",1,0)</f>
        <v>0</v>
      </c>
      <c r="M1810" s="2" t="n">
        <f aca="false">IF(G1810&lt;0,1,0)</f>
        <v>0</v>
      </c>
      <c r="N1810" s="2" t="str">
        <f aca="false">_xlfn.IFS(B1810&lt;30,"Under 30",B1810&lt;40,"30-39",B1810&lt;50,"40-49",B1810&lt;60,"50-59",TRUE(),"60+")</f>
        <v>50-59</v>
      </c>
      <c r="O1810" s="2" t="str">
        <f aca="false">_xlfn.IFS(G1810&lt;0,"1 Negative",G1810=0,"2 Zero",G1810&lt;=500,"3 1-500",G1810&lt;=2000,"4 501-2000",TRUE(),"5 Above 2000")</f>
        <v>4 501-2000</v>
      </c>
      <c r="P1810" s="2" t="n">
        <f aca="false">Lookups!$B$2*M1810+Lookups!$B$3*L1810</f>
        <v>0</v>
      </c>
      <c r="Q1810" s="2" t="str">
        <f aca="false">INDEX(Lookups!$E$2:$E$5,MATCH(P1810,Lookups!$D$2:$D$5,0))</f>
        <v>Low</v>
      </c>
    </row>
    <row r="1811" customFormat="false" ht="15" hidden="false" customHeight="false" outlineLevel="0" collapsed="false">
      <c r="A1811" s="3" t="n">
        <v>1810</v>
      </c>
      <c r="B1811" s="3" t="n">
        <f aca="false">Raw_Data!A1811</f>
        <v>40</v>
      </c>
      <c r="C1811" s="3" t="str">
        <f aca="false">SUBSTITUTE(Raw_Data!B1811,".","")</f>
        <v>services</v>
      </c>
      <c r="D1811" s="3" t="str">
        <f aca="false">Raw_Data!C1811</f>
        <v>married</v>
      </c>
      <c r="E1811" s="3" t="str">
        <f aca="false">Raw_Data!D1811</f>
        <v>unknown</v>
      </c>
      <c r="F1811" s="3" t="str">
        <f aca="false">Raw_Data!E1811</f>
        <v>no</v>
      </c>
      <c r="G1811" s="3" t="n">
        <f aca="false">Raw_Data!F1811</f>
        <v>4075</v>
      </c>
      <c r="H1811" s="3" t="str">
        <f aca="false">Raw_Data!G1811</f>
        <v>yes</v>
      </c>
      <c r="I1811" s="3" t="str">
        <f aca="false">Raw_Data!H1811</f>
        <v>no</v>
      </c>
      <c r="J1811" s="2" t="n">
        <f aca="false">IF(F1811="yes",1,0)</f>
        <v>0</v>
      </c>
      <c r="K1811" s="2" t="n">
        <f aca="false">IF(H1811="yes",1,0)</f>
        <v>1</v>
      </c>
      <c r="L1811" s="2" t="n">
        <f aca="false">IF(I1811="yes",1,0)</f>
        <v>0</v>
      </c>
      <c r="M1811" s="2" t="n">
        <f aca="false">IF(G1811&lt;0,1,0)</f>
        <v>0</v>
      </c>
      <c r="N1811" s="2" t="str">
        <f aca="false">_xlfn.IFS(B1811&lt;30,"Under 30",B1811&lt;40,"30-39",B1811&lt;50,"40-49",B1811&lt;60,"50-59",TRUE(),"60+")</f>
        <v>40-49</v>
      </c>
      <c r="O1811" s="2" t="str">
        <f aca="false">_xlfn.IFS(G1811&lt;0,"1 Negative",G1811=0,"2 Zero",G1811&lt;=500,"3 1-500",G1811&lt;=2000,"4 501-2000",TRUE(),"5 Above 2000")</f>
        <v>5 Above 2000</v>
      </c>
      <c r="P1811" s="2" t="n">
        <f aca="false">Lookups!$B$2*M1811+Lookups!$B$3*L1811</f>
        <v>0</v>
      </c>
      <c r="Q1811" s="2" t="str">
        <f aca="false">INDEX(Lookups!$E$2:$E$5,MATCH(P1811,Lookups!$D$2:$D$5,0))</f>
        <v>Low</v>
      </c>
    </row>
    <row r="1812" customFormat="false" ht="15" hidden="false" customHeight="false" outlineLevel="0" collapsed="false">
      <c r="A1812" s="3" t="n">
        <v>1811</v>
      </c>
      <c r="B1812" s="3" t="n">
        <f aca="false">Raw_Data!A1812</f>
        <v>28</v>
      </c>
      <c r="C1812" s="3" t="str">
        <f aca="false">SUBSTITUTE(Raw_Data!B1812,".","")</f>
        <v>blue-collar</v>
      </c>
      <c r="D1812" s="3" t="str">
        <f aca="false">Raw_Data!C1812</f>
        <v>married</v>
      </c>
      <c r="E1812" s="3" t="str">
        <f aca="false">Raw_Data!D1812</f>
        <v>secondary</v>
      </c>
      <c r="F1812" s="3" t="str">
        <f aca="false">Raw_Data!E1812</f>
        <v>no</v>
      </c>
      <c r="G1812" s="3" t="n">
        <f aca="false">Raw_Data!F1812</f>
        <v>373</v>
      </c>
      <c r="H1812" s="3" t="str">
        <f aca="false">Raw_Data!G1812</f>
        <v>yes</v>
      </c>
      <c r="I1812" s="3" t="str">
        <f aca="false">Raw_Data!H1812</f>
        <v>no</v>
      </c>
      <c r="J1812" s="2" t="n">
        <f aca="false">IF(F1812="yes",1,0)</f>
        <v>0</v>
      </c>
      <c r="K1812" s="2" t="n">
        <f aca="false">IF(H1812="yes",1,0)</f>
        <v>1</v>
      </c>
      <c r="L1812" s="2" t="n">
        <f aca="false">IF(I1812="yes",1,0)</f>
        <v>0</v>
      </c>
      <c r="M1812" s="2" t="n">
        <f aca="false">IF(G1812&lt;0,1,0)</f>
        <v>0</v>
      </c>
      <c r="N1812" s="2" t="str">
        <f aca="false">_xlfn.IFS(B1812&lt;30,"Under 30",B1812&lt;40,"30-39",B1812&lt;50,"40-49",B1812&lt;60,"50-59",TRUE(),"60+")</f>
        <v>Under 30</v>
      </c>
      <c r="O1812" s="2" t="str">
        <f aca="false">_xlfn.IFS(G1812&lt;0,"1 Negative",G1812=0,"2 Zero",G1812&lt;=500,"3 1-500",G1812&lt;=2000,"4 501-2000",TRUE(),"5 Above 2000")</f>
        <v>3 1-500</v>
      </c>
      <c r="P1812" s="2" t="n">
        <f aca="false">Lookups!$B$2*M1812+Lookups!$B$3*L1812</f>
        <v>0</v>
      </c>
      <c r="Q1812" s="2" t="str">
        <f aca="false">INDEX(Lookups!$E$2:$E$5,MATCH(P1812,Lookups!$D$2:$D$5,0))</f>
        <v>Low</v>
      </c>
    </row>
    <row r="1813" customFormat="false" ht="15" hidden="false" customHeight="false" outlineLevel="0" collapsed="false">
      <c r="A1813" s="3" t="n">
        <v>1812</v>
      </c>
      <c r="B1813" s="3" t="n">
        <f aca="false">Raw_Data!A1813</f>
        <v>44</v>
      </c>
      <c r="C1813" s="3" t="str">
        <f aca="false">SUBSTITUTE(Raw_Data!B1813,".","")</f>
        <v>admin</v>
      </c>
      <c r="D1813" s="3" t="str">
        <f aca="false">Raw_Data!C1813</f>
        <v>single</v>
      </c>
      <c r="E1813" s="3" t="str">
        <f aca="false">Raw_Data!D1813</f>
        <v>secondary</v>
      </c>
      <c r="F1813" s="3" t="str">
        <f aca="false">Raw_Data!E1813</f>
        <v>no</v>
      </c>
      <c r="G1813" s="3" t="n">
        <f aca="false">Raw_Data!F1813</f>
        <v>-101</v>
      </c>
      <c r="H1813" s="3" t="str">
        <f aca="false">Raw_Data!G1813</f>
        <v>yes</v>
      </c>
      <c r="I1813" s="3" t="str">
        <f aca="false">Raw_Data!H1813</f>
        <v>no</v>
      </c>
      <c r="J1813" s="2" t="n">
        <f aca="false">IF(F1813="yes",1,0)</f>
        <v>0</v>
      </c>
      <c r="K1813" s="2" t="n">
        <f aca="false">IF(H1813="yes",1,0)</f>
        <v>1</v>
      </c>
      <c r="L1813" s="2" t="n">
        <f aca="false">IF(I1813="yes",1,0)</f>
        <v>0</v>
      </c>
      <c r="M1813" s="2" t="n">
        <f aca="false">IF(G1813&lt;0,1,0)</f>
        <v>1</v>
      </c>
      <c r="N1813" s="2" t="str">
        <f aca="false">_xlfn.IFS(B1813&lt;30,"Under 30",B1813&lt;40,"30-39",B1813&lt;50,"40-49",B1813&lt;60,"50-59",TRUE(),"60+")</f>
        <v>40-49</v>
      </c>
      <c r="O1813" s="2" t="str">
        <f aca="false">_xlfn.IFS(G1813&lt;0,"1 Negative",G1813=0,"2 Zero",G1813&lt;=500,"3 1-500",G1813&lt;=2000,"4 501-2000",TRUE(),"5 Above 2000")</f>
        <v>1 Negative</v>
      </c>
      <c r="P1813" s="2" t="n">
        <f aca="false">Lookups!$B$2*M1813+Lookups!$B$3*L1813</f>
        <v>2</v>
      </c>
      <c r="Q1813" s="2" t="str">
        <f aca="false">INDEX(Lookups!$E$2:$E$5,MATCH(P1813,Lookups!$D$2:$D$5,0))</f>
        <v>High</v>
      </c>
    </row>
    <row r="1814" customFormat="false" ht="15" hidden="false" customHeight="false" outlineLevel="0" collapsed="false">
      <c r="A1814" s="3" t="n">
        <v>1813</v>
      </c>
      <c r="B1814" s="3" t="n">
        <f aca="false">Raw_Data!A1814</f>
        <v>49</v>
      </c>
      <c r="C1814" s="3" t="str">
        <f aca="false">SUBSTITUTE(Raw_Data!B1814,".","")</f>
        <v>services</v>
      </c>
      <c r="D1814" s="3" t="str">
        <f aca="false">Raw_Data!C1814</f>
        <v>divorced</v>
      </c>
      <c r="E1814" s="3" t="str">
        <f aca="false">Raw_Data!D1814</f>
        <v>secondary</v>
      </c>
      <c r="F1814" s="3" t="str">
        <f aca="false">Raw_Data!E1814</f>
        <v>no</v>
      </c>
      <c r="G1814" s="3" t="n">
        <f aca="false">Raw_Data!F1814</f>
        <v>3250</v>
      </c>
      <c r="H1814" s="3" t="str">
        <f aca="false">Raw_Data!G1814</f>
        <v>no</v>
      </c>
      <c r="I1814" s="3" t="str">
        <f aca="false">Raw_Data!H1814</f>
        <v>no</v>
      </c>
      <c r="J1814" s="2" t="n">
        <f aca="false">IF(F1814="yes",1,0)</f>
        <v>0</v>
      </c>
      <c r="K1814" s="2" t="n">
        <f aca="false">IF(H1814="yes",1,0)</f>
        <v>0</v>
      </c>
      <c r="L1814" s="2" t="n">
        <f aca="false">IF(I1814="yes",1,0)</f>
        <v>0</v>
      </c>
      <c r="M1814" s="2" t="n">
        <f aca="false">IF(G1814&lt;0,1,0)</f>
        <v>0</v>
      </c>
      <c r="N1814" s="2" t="str">
        <f aca="false">_xlfn.IFS(B1814&lt;30,"Under 30",B1814&lt;40,"30-39",B1814&lt;50,"40-49",B1814&lt;60,"50-59",TRUE(),"60+")</f>
        <v>40-49</v>
      </c>
      <c r="O1814" s="2" t="str">
        <f aca="false">_xlfn.IFS(G1814&lt;0,"1 Negative",G1814=0,"2 Zero",G1814&lt;=500,"3 1-500",G1814&lt;=2000,"4 501-2000",TRUE(),"5 Above 2000")</f>
        <v>5 Above 2000</v>
      </c>
      <c r="P1814" s="2" t="n">
        <f aca="false">Lookups!$B$2*M1814+Lookups!$B$3*L1814</f>
        <v>0</v>
      </c>
      <c r="Q1814" s="2" t="str">
        <f aca="false">INDEX(Lookups!$E$2:$E$5,MATCH(P1814,Lookups!$D$2:$D$5,0))</f>
        <v>Low</v>
      </c>
    </row>
    <row r="1815" customFormat="false" ht="15" hidden="false" customHeight="false" outlineLevel="0" collapsed="false">
      <c r="A1815" s="3" t="n">
        <v>1814</v>
      </c>
      <c r="B1815" s="3" t="n">
        <f aca="false">Raw_Data!A1815</f>
        <v>46</v>
      </c>
      <c r="C1815" s="3" t="str">
        <f aca="false">SUBSTITUTE(Raw_Data!B1815,".","")</f>
        <v>management</v>
      </c>
      <c r="D1815" s="3" t="str">
        <f aca="false">Raw_Data!C1815</f>
        <v>married</v>
      </c>
      <c r="E1815" s="3" t="str">
        <f aca="false">Raw_Data!D1815</f>
        <v>tertiary</v>
      </c>
      <c r="F1815" s="3" t="str">
        <f aca="false">Raw_Data!E1815</f>
        <v>no</v>
      </c>
      <c r="G1815" s="3" t="n">
        <f aca="false">Raw_Data!F1815</f>
        <v>1375</v>
      </c>
      <c r="H1815" s="3" t="str">
        <f aca="false">Raw_Data!G1815</f>
        <v>yes</v>
      </c>
      <c r="I1815" s="3" t="str">
        <f aca="false">Raw_Data!H1815</f>
        <v>no</v>
      </c>
      <c r="J1815" s="2" t="n">
        <f aca="false">IF(F1815="yes",1,0)</f>
        <v>0</v>
      </c>
      <c r="K1815" s="2" t="n">
        <f aca="false">IF(H1815="yes",1,0)</f>
        <v>1</v>
      </c>
      <c r="L1815" s="2" t="n">
        <f aca="false">IF(I1815="yes",1,0)</f>
        <v>0</v>
      </c>
      <c r="M1815" s="2" t="n">
        <f aca="false">IF(G1815&lt;0,1,0)</f>
        <v>0</v>
      </c>
      <c r="N1815" s="2" t="str">
        <f aca="false">_xlfn.IFS(B1815&lt;30,"Under 30",B1815&lt;40,"30-39",B1815&lt;50,"40-49",B1815&lt;60,"50-59",TRUE(),"60+")</f>
        <v>40-49</v>
      </c>
      <c r="O1815" s="2" t="str">
        <f aca="false">_xlfn.IFS(G1815&lt;0,"1 Negative",G1815=0,"2 Zero",G1815&lt;=500,"3 1-500",G1815&lt;=2000,"4 501-2000",TRUE(),"5 Above 2000")</f>
        <v>4 501-2000</v>
      </c>
      <c r="P1815" s="2" t="n">
        <f aca="false">Lookups!$B$2*M1815+Lookups!$B$3*L1815</f>
        <v>0</v>
      </c>
      <c r="Q1815" s="2" t="str">
        <f aca="false">INDEX(Lookups!$E$2:$E$5,MATCH(P1815,Lookups!$D$2:$D$5,0))</f>
        <v>Low</v>
      </c>
    </row>
    <row r="1816" customFormat="false" ht="15" hidden="false" customHeight="false" outlineLevel="0" collapsed="false">
      <c r="A1816" s="3" t="n">
        <v>1815</v>
      </c>
      <c r="B1816" s="3" t="n">
        <f aca="false">Raw_Data!A1816</f>
        <v>34</v>
      </c>
      <c r="C1816" s="3" t="str">
        <f aca="false">SUBSTITUTE(Raw_Data!B1816,".","")</f>
        <v>management</v>
      </c>
      <c r="D1816" s="3" t="str">
        <f aca="false">Raw_Data!C1816</f>
        <v>married</v>
      </c>
      <c r="E1816" s="3" t="str">
        <f aca="false">Raw_Data!D1816</f>
        <v>tertiary</v>
      </c>
      <c r="F1816" s="3" t="str">
        <f aca="false">Raw_Data!E1816</f>
        <v>no</v>
      </c>
      <c r="G1816" s="3" t="n">
        <f aca="false">Raw_Data!F1816</f>
        <v>180</v>
      </c>
      <c r="H1816" s="3" t="str">
        <f aca="false">Raw_Data!G1816</f>
        <v>no</v>
      </c>
      <c r="I1816" s="3" t="str">
        <f aca="false">Raw_Data!H1816</f>
        <v>no</v>
      </c>
      <c r="J1816" s="2" t="n">
        <f aca="false">IF(F1816="yes",1,0)</f>
        <v>0</v>
      </c>
      <c r="K1816" s="2" t="n">
        <f aca="false">IF(H1816="yes",1,0)</f>
        <v>0</v>
      </c>
      <c r="L1816" s="2" t="n">
        <f aca="false">IF(I1816="yes",1,0)</f>
        <v>0</v>
      </c>
      <c r="M1816" s="2" t="n">
        <f aca="false">IF(G1816&lt;0,1,0)</f>
        <v>0</v>
      </c>
      <c r="N1816" s="2" t="str">
        <f aca="false">_xlfn.IFS(B1816&lt;30,"Under 30",B1816&lt;40,"30-39",B1816&lt;50,"40-49",B1816&lt;60,"50-59",TRUE(),"60+")</f>
        <v>30-39</v>
      </c>
      <c r="O1816" s="2" t="str">
        <f aca="false">_xlfn.IFS(G1816&lt;0,"1 Negative",G1816=0,"2 Zero",G1816&lt;=500,"3 1-500",G1816&lt;=2000,"4 501-2000",TRUE(),"5 Above 2000")</f>
        <v>3 1-500</v>
      </c>
      <c r="P1816" s="2" t="n">
        <f aca="false">Lookups!$B$2*M1816+Lookups!$B$3*L1816</f>
        <v>0</v>
      </c>
      <c r="Q1816" s="2" t="str">
        <f aca="false">INDEX(Lookups!$E$2:$E$5,MATCH(P1816,Lookups!$D$2:$D$5,0))</f>
        <v>Low</v>
      </c>
    </row>
    <row r="1817" customFormat="false" ht="15" hidden="false" customHeight="false" outlineLevel="0" collapsed="false">
      <c r="A1817" s="3" t="n">
        <v>1816</v>
      </c>
      <c r="B1817" s="3" t="n">
        <f aca="false">Raw_Data!A1817</f>
        <v>58</v>
      </c>
      <c r="C1817" s="3" t="str">
        <f aca="false">SUBSTITUTE(Raw_Data!B1817,".","")</f>
        <v>technician</v>
      </c>
      <c r="D1817" s="3" t="str">
        <f aca="false">Raw_Data!C1817</f>
        <v>married</v>
      </c>
      <c r="E1817" s="3" t="str">
        <f aca="false">Raw_Data!D1817</f>
        <v>secondary</v>
      </c>
      <c r="F1817" s="3" t="str">
        <f aca="false">Raw_Data!E1817</f>
        <v>no</v>
      </c>
      <c r="G1817" s="3" t="n">
        <f aca="false">Raw_Data!F1817</f>
        <v>175</v>
      </c>
      <c r="H1817" s="3" t="str">
        <f aca="false">Raw_Data!G1817</f>
        <v>no</v>
      </c>
      <c r="I1817" s="3" t="str">
        <f aca="false">Raw_Data!H1817</f>
        <v>no</v>
      </c>
      <c r="J1817" s="2" t="n">
        <f aca="false">IF(F1817="yes",1,0)</f>
        <v>0</v>
      </c>
      <c r="K1817" s="2" t="n">
        <f aca="false">IF(H1817="yes",1,0)</f>
        <v>0</v>
      </c>
      <c r="L1817" s="2" t="n">
        <f aca="false">IF(I1817="yes",1,0)</f>
        <v>0</v>
      </c>
      <c r="M1817" s="2" t="n">
        <f aca="false">IF(G1817&lt;0,1,0)</f>
        <v>0</v>
      </c>
      <c r="N1817" s="2" t="str">
        <f aca="false">_xlfn.IFS(B1817&lt;30,"Under 30",B1817&lt;40,"30-39",B1817&lt;50,"40-49",B1817&lt;60,"50-59",TRUE(),"60+")</f>
        <v>50-59</v>
      </c>
      <c r="O1817" s="2" t="str">
        <f aca="false">_xlfn.IFS(G1817&lt;0,"1 Negative",G1817=0,"2 Zero",G1817&lt;=500,"3 1-500",G1817&lt;=2000,"4 501-2000",TRUE(),"5 Above 2000")</f>
        <v>3 1-500</v>
      </c>
      <c r="P1817" s="2" t="n">
        <f aca="false">Lookups!$B$2*M1817+Lookups!$B$3*L1817</f>
        <v>0</v>
      </c>
      <c r="Q1817" s="2" t="str">
        <f aca="false">INDEX(Lookups!$E$2:$E$5,MATCH(P1817,Lookups!$D$2:$D$5,0))</f>
        <v>Low</v>
      </c>
    </row>
    <row r="1818" customFormat="false" ht="15" hidden="false" customHeight="false" outlineLevel="0" collapsed="false">
      <c r="A1818" s="3" t="n">
        <v>1817</v>
      </c>
      <c r="B1818" s="3" t="n">
        <f aca="false">Raw_Data!A1818</f>
        <v>52</v>
      </c>
      <c r="C1818" s="3" t="str">
        <f aca="false">SUBSTITUTE(Raw_Data!B1818,".","")</f>
        <v>services</v>
      </c>
      <c r="D1818" s="3" t="str">
        <f aca="false">Raw_Data!C1818</f>
        <v>married</v>
      </c>
      <c r="E1818" s="3" t="str">
        <f aca="false">Raw_Data!D1818</f>
        <v>secondary</v>
      </c>
      <c r="F1818" s="3" t="str">
        <f aca="false">Raw_Data!E1818</f>
        <v>no</v>
      </c>
      <c r="G1818" s="3" t="n">
        <f aca="false">Raw_Data!F1818</f>
        <v>381</v>
      </c>
      <c r="H1818" s="3" t="str">
        <f aca="false">Raw_Data!G1818</f>
        <v>no</v>
      </c>
      <c r="I1818" s="3" t="str">
        <f aca="false">Raw_Data!H1818</f>
        <v>yes</v>
      </c>
      <c r="J1818" s="2" t="n">
        <f aca="false">IF(F1818="yes",1,0)</f>
        <v>0</v>
      </c>
      <c r="K1818" s="2" t="n">
        <f aca="false">IF(H1818="yes",1,0)</f>
        <v>0</v>
      </c>
      <c r="L1818" s="2" t="n">
        <f aca="false">IF(I1818="yes",1,0)</f>
        <v>1</v>
      </c>
      <c r="M1818" s="2" t="n">
        <f aca="false">IF(G1818&lt;0,1,0)</f>
        <v>0</v>
      </c>
      <c r="N1818" s="2" t="str">
        <f aca="false">_xlfn.IFS(B1818&lt;30,"Under 30",B1818&lt;40,"30-39",B1818&lt;50,"40-49",B1818&lt;60,"50-59",TRUE(),"60+")</f>
        <v>50-59</v>
      </c>
      <c r="O1818" s="2" t="str">
        <f aca="false">_xlfn.IFS(G1818&lt;0,"1 Negative",G1818=0,"2 Zero",G1818&lt;=500,"3 1-500",G1818&lt;=2000,"4 501-2000",TRUE(),"5 Above 2000")</f>
        <v>3 1-500</v>
      </c>
      <c r="P1818" s="2" t="n">
        <f aca="false">Lookups!$B$2*M1818+Lookups!$B$3*L1818</f>
        <v>1</v>
      </c>
      <c r="Q1818" s="2" t="str">
        <f aca="false">INDEX(Lookups!$E$2:$E$5,MATCH(P1818,Lookups!$D$2:$D$5,0))</f>
        <v>Medium</v>
      </c>
    </row>
    <row r="1819" customFormat="false" ht="15" hidden="false" customHeight="false" outlineLevel="0" collapsed="false">
      <c r="A1819" s="3" t="n">
        <v>1818</v>
      </c>
      <c r="B1819" s="3" t="n">
        <f aca="false">Raw_Data!A1819</f>
        <v>27</v>
      </c>
      <c r="C1819" s="3" t="str">
        <f aca="false">SUBSTITUTE(Raw_Data!B1819,".","")</f>
        <v>blue-collar</v>
      </c>
      <c r="D1819" s="3" t="str">
        <f aca="false">Raw_Data!C1819</f>
        <v>married</v>
      </c>
      <c r="E1819" s="3" t="str">
        <f aca="false">Raw_Data!D1819</f>
        <v>secondary</v>
      </c>
      <c r="F1819" s="3" t="str">
        <f aca="false">Raw_Data!E1819</f>
        <v>no</v>
      </c>
      <c r="G1819" s="3" t="n">
        <f aca="false">Raw_Data!F1819</f>
        <v>2171</v>
      </c>
      <c r="H1819" s="3" t="str">
        <f aca="false">Raw_Data!G1819</f>
        <v>yes</v>
      </c>
      <c r="I1819" s="3" t="str">
        <f aca="false">Raw_Data!H1819</f>
        <v>no</v>
      </c>
      <c r="J1819" s="2" t="n">
        <f aca="false">IF(F1819="yes",1,0)</f>
        <v>0</v>
      </c>
      <c r="K1819" s="2" t="n">
        <f aca="false">IF(H1819="yes",1,0)</f>
        <v>1</v>
      </c>
      <c r="L1819" s="2" t="n">
        <f aca="false">IF(I1819="yes",1,0)</f>
        <v>0</v>
      </c>
      <c r="M1819" s="2" t="n">
        <f aca="false">IF(G1819&lt;0,1,0)</f>
        <v>0</v>
      </c>
      <c r="N1819" s="2" t="str">
        <f aca="false">_xlfn.IFS(B1819&lt;30,"Under 30",B1819&lt;40,"30-39",B1819&lt;50,"40-49",B1819&lt;60,"50-59",TRUE(),"60+")</f>
        <v>Under 30</v>
      </c>
      <c r="O1819" s="2" t="str">
        <f aca="false">_xlfn.IFS(G1819&lt;0,"1 Negative",G1819=0,"2 Zero",G1819&lt;=500,"3 1-500",G1819&lt;=2000,"4 501-2000",TRUE(),"5 Above 2000")</f>
        <v>5 Above 2000</v>
      </c>
      <c r="P1819" s="2" t="n">
        <f aca="false">Lookups!$B$2*M1819+Lookups!$B$3*L1819</f>
        <v>0</v>
      </c>
      <c r="Q1819" s="2" t="str">
        <f aca="false">INDEX(Lookups!$E$2:$E$5,MATCH(P1819,Lookups!$D$2:$D$5,0))</f>
        <v>Low</v>
      </c>
    </row>
    <row r="1820" customFormat="false" ht="15" hidden="false" customHeight="false" outlineLevel="0" collapsed="false">
      <c r="A1820" s="3" t="n">
        <v>1819</v>
      </c>
      <c r="B1820" s="3" t="n">
        <f aca="false">Raw_Data!A1820</f>
        <v>48</v>
      </c>
      <c r="C1820" s="3" t="str">
        <f aca="false">SUBSTITUTE(Raw_Data!B1820,".","")</f>
        <v>technician</v>
      </c>
      <c r="D1820" s="3" t="str">
        <f aca="false">Raw_Data!C1820</f>
        <v>married</v>
      </c>
      <c r="E1820" s="3" t="str">
        <f aca="false">Raw_Data!D1820</f>
        <v>secondary</v>
      </c>
      <c r="F1820" s="3" t="str">
        <f aca="false">Raw_Data!E1820</f>
        <v>no</v>
      </c>
      <c r="G1820" s="3" t="n">
        <f aca="false">Raw_Data!F1820</f>
        <v>340</v>
      </c>
      <c r="H1820" s="3" t="str">
        <f aca="false">Raw_Data!G1820</f>
        <v>yes</v>
      </c>
      <c r="I1820" s="3" t="str">
        <f aca="false">Raw_Data!H1820</f>
        <v>no</v>
      </c>
      <c r="J1820" s="2" t="n">
        <f aca="false">IF(F1820="yes",1,0)</f>
        <v>0</v>
      </c>
      <c r="K1820" s="2" t="n">
        <f aca="false">IF(H1820="yes",1,0)</f>
        <v>1</v>
      </c>
      <c r="L1820" s="2" t="n">
        <f aca="false">IF(I1820="yes",1,0)</f>
        <v>0</v>
      </c>
      <c r="M1820" s="2" t="n">
        <f aca="false">IF(G1820&lt;0,1,0)</f>
        <v>0</v>
      </c>
      <c r="N1820" s="2" t="str">
        <f aca="false">_xlfn.IFS(B1820&lt;30,"Under 30",B1820&lt;40,"30-39",B1820&lt;50,"40-49",B1820&lt;60,"50-59",TRUE(),"60+")</f>
        <v>40-49</v>
      </c>
      <c r="O1820" s="2" t="str">
        <f aca="false">_xlfn.IFS(G1820&lt;0,"1 Negative",G1820=0,"2 Zero",G1820&lt;=500,"3 1-500",G1820&lt;=2000,"4 501-2000",TRUE(),"5 Above 2000")</f>
        <v>3 1-500</v>
      </c>
      <c r="P1820" s="2" t="n">
        <f aca="false">Lookups!$B$2*M1820+Lookups!$B$3*L1820</f>
        <v>0</v>
      </c>
      <c r="Q1820" s="2" t="str">
        <f aca="false">INDEX(Lookups!$E$2:$E$5,MATCH(P1820,Lookups!$D$2:$D$5,0))</f>
        <v>Low</v>
      </c>
    </row>
    <row r="1821" customFormat="false" ht="15" hidden="false" customHeight="false" outlineLevel="0" collapsed="false">
      <c r="A1821" s="3" t="n">
        <v>1820</v>
      </c>
      <c r="B1821" s="3" t="n">
        <f aca="false">Raw_Data!A1821</f>
        <v>33</v>
      </c>
      <c r="C1821" s="3" t="str">
        <f aca="false">SUBSTITUTE(Raw_Data!B1821,".","")</f>
        <v>technician</v>
      </c>
      <c r="D1821" s="3" t="str">
        <f aca="false">Raw_Data!C1821</f>
        <v>divorced</v>
      </c>
      <c r="E1821" s="3" t="str">
        <f aca="false">Raw_Data!D1821</f>
        <v>secondary</v>
      </c>
      <c r="F1821" s="3" t="str">
        <f aca="false">Raw_Data!E1821</f>
        <v>yes</v>
      </c>
      <c r="G1821" s="3" t="n">
        <f aca="false">Raw_Data!F1821</f>
        <v>10</v>
      </c>
      <c r="H1821" s="3" t="str">
        <f aca="false">Raw_Data!G1821</f>
        <v>yes</v>
      </c>
      <c r="I1821" s="3" t="str">
        <f aca="false">Raw_Data!H1821</f>
        <v>yes</v>
      </c>
      <c r="J1821" s="2" t="n">
        <f aca="false">IF(F1821="yes",1,0)</f>
        <v>1</v>
      </c>
      <c r="K1821" s="2" t="n">
        <f aca="false">IF(H1821="yes",1,0)</f>
        <v>1</v>
      </c>
      <c r="L1821" s="2" t="n">
        <f aca="false">IF(I1821="yes",1,0)</f>
        <v>1</v>
      </c>
      <c r="M1821" s="2" t="n">
        <f aca="false">IF(G1821&lt;0,1,0)</f>
        <v>0</v>
      </c>
      <c r="N1821" s="2" t="str">
        <f aca="false">_xlfn.IFS(B1821&lt;30,"Under 30",B1821&lt;40,"30-39",B1821&lt;50,"40-49",B1821&lt;60,"50-59",TRUE(),"60+")</f>
        <v>30-39</v>
      </c>
      <c r="O1821" s="2" t="str">
        <f aca="false">_xlfn.IFS(G1821&lt;0,"1 Negative",G1821=0,"2 Zero",G1821&lt;=500,"3 1-500",G1821&lt;=2000,"4 501-2000",TRUE(),"5 Above 2000")</f>
        <v>3 1-500</v>
      </c>
      <c r="P1821" s="2" t="n">
        <f aca="false">Lookups!$B$2*M1821+Lookups!$B$3*L1821</f>
        <v>1</v>
      </c>
      <c r="Q1821" s="2" t="str">
        <f aca="false">INDEX(Lookups!$E$2:$E$5,MATCH(P1821,Lookups!$D$2:$D$5,0))</f>
        <v>Medium</v>
      </c>
    </row>
    <row r="1822" customFormat="false" ht="15" hidden="false" customHeight="false" outlineLevel="0" collapsed="false">
      <c r="A1822" s="3" t="n">
        <v>1821</v>
      </c>
      <c r="B1822" s="3" t="n">
        <f aca="false">Raw_Data!A1822</f>
        <v>46</v>
      </c>
      <c r="C1822" s="3" t="str">
        <f aca="false">SUBSTITUTE(Raw_Data!B1822,".","")</f>
        <v>admin</v>
      </c>
      <c r="D1822" s="3" t="str">
        <f aca="false">Raw_Data!C1822</f>
        <v>married</v>
      </c>
      <c r="E1822" s="3" t="str">
        <f aca="false">Raw_Data!D1822</f>
        <v>secondary</v>
      </c>
      <c r="F1822" s="3" t="str">
        <f aca="false">Raw_Data!E1822</f>
        <v>no</v>
      </c>
      <c r="G1822" s="3" t="n">
        <f aca="false">Raw_Data!F1822</f>
        <v>4958</v>
      </c>
      <c r="H1822" s="3" t="str">
        <f aca="false">Raw_Data!G1822</f>
        <v>yes</v>
      </c>
      <c r="I1822" s="3" t="str">
        <f aca="false">Raw_Data!H1822</f>
        <v>no</v>
      </c>
      <c r="J1822" s="2" t="n">
        <f aca="false">IF(F1822="yes",1,0)</f>
        <v>0</v>
      </c>
      <c r="K1822" s="2" t="n">
        <f aca="false">IF(H1822="yes",1,0)</f>
        <v>1</v>
      </c>
      <c r="L1822" s="2" t="n">
        <f aca="false">IF(I1822="yes",1,0)</f>
        <v>0</v>
      </c>
      <c r="M1822" s="2" t="n">
        <f aca="false">IF(G1822&lt;0,1,0)</f>
        <v>0</v>
      </c>
      <c r="N1822" s="2" t="str">
        <f aca="false">_xlfn.IFS(B1822&lt;30,"Under 30",B1822&lt;40,"30-39",B1822&lt;50,"40-49",B1822&lt;60,"50-59",TRUE(),"60+")</f>
        <v>40-49</v>
      </c>
      <c r="O1822" s="2" t="str">
        <f aca="false">_xlfn.IFS(G1822&lt;0,"1 Negative",G1822=0,"2 Zero",G1822&lt;=500,"3 1-500",G1822&lt;=2000,"4 501-2000",TRUE(),"5 Above 2000")</f>
        <v>5 Above 2000</v>
      </c>
      <c r="P1822" s="2" t="n">
        <f aca="false">Lookups!$B$2*M1822+Lookups!$B$3*L1822</f>
        <v>0</v>
      </c>
      <c r="Q1822" s="2" t="str">
        <f aca="false">INDEX(Lookups!$E$2:$E$5,MATCH(P1822,Lookups!$D$2:$D$5,0))</f>
        <v>Low</v>
      </c>
    </row>
    <row r="1823" customFormat="false" ht="15" hidden="false" customHeight="false" outlineLevel="0" collapsed="false">
      <c r="A1823" s="3" t="n">
        <v>1822</v>
      </c>
      <c r="B1823" s="3" t="n">
        <f aca="false">Raw_Data!A1823</f>
        <v>51</v>
      </c>
      <c r="C1823" s="3" t="str">
        <f aca="false">SUBSTITUTE(Raw_Data!B1823,".","")</f>
        <v>housemaid</v>
      </c>
      <c r="D1823" s="3" t="str">
        <f aca="false">Raw_Data!C1823</f>
        <v>married</v>
      </c>
      <c r="E1823" s="3" t="str">
        <f aca="false">Raw_Data!D1823</f>
        <v>unknown</v>
      </c>
      <c r="F1823" s="3" t="str">
        <f aca="false">Raw_Data!E1823</f>
        <v>no</v>
      </c>
      <c r="G1823" s="3" t="n">
        <f aca="false">Raw_Data!F1823</f>
        <v>21244</v>
      </c>
      <c r="H1823" s="3" t="str">
        <f aca="false">Raw_Data!G1823</f>
        <v>no</v>
      </c>
      <c r="I1823" s="3" t="str">
        <f aca="false">Raw_Data!H1823</f>
        <v>yes</v>
      </c>
      <c r="J1823" s="2" t="n">
        <f aca="false">IF(F1823="yes",1,0)</f>
        <v>0</v>
      </c>
      <c r="K1823" s="2" t="n">
        <f aca="false">IF(H1823="yes",1,0)</f>
        <v>0</v>
      </c>
      <c r="L1823" s="2" t="n">
        <f aca="false">IF(I1823="yes",1,0)</f>
        <v>1</v>
      </c>
      <c r="M1823" s="2" t="n">
        <f aca="false">IF(G1823&lt;0,1,0)</f>
        <v>0</v>
      </c>
      <c r="N1823" s="2" t="str">
        <f aca="false">_xlfn.IFS(B1823&lt;30,"Under 30",B1823&lt;40,"30-39",B1823&lt;50,"40-49",B1823&lt;60,"50-59",TRUE(),"60+")</f>
        <v>50-59</v>
      </c>
      <c r="O1823" s="2" t="str">
        <f aca="false">_xlfn.IFS(G1823&lt;0,"1 Negative",G1823=0,"2 Zero",G1823&lt;=500,"3 1-500",G1823&lt;=2000,"4 501-2000",TRUE(),"5 Above 2000")</f>
        <v>5 Above 2000</v>
      </c>
      <c r="P1823" s="2" t="n">
        <f aca="false">Lookups!$B$2*M1823+Lookups!$B$3*L1823</f>
        <v>1</v>
      </c>
      <c r="Q1823" s="2" t="str">
        <f aca="false">INDEX(Lookups!$E$2:$E$5,MATCH(P1823,Lookups!$D$2:$D$5,0))</f>
        <v>Medium</v>
      </c>
    </row>
    <row r="1824" customFormat="false" ht="15" hidden="false" customHeight="false" outlineLevel="0" collapsed="false">
      <c r="A1824" s="3" t="n">
        <v>1823</v>
      </c>
      <c r="B1824" s="3" t="n">
        <f aca="false">Raw_Data!A1824</f>
        <v>31</v>
      </c>
      <c r="C1824" s="3" t="str">
        <f aca="false">SUBSTITUTE(Raw_Data!B1824,".","")</f>
        <v>management</v>
      </c>
      <c r="D1824" s="3" t="str">
        <f aca="false">Raw_Data!C1824</f>
        <v>married</v>
      </c>
      <c r="E1824" s="3" t="str">
        <f aca="false">Raw_Data!D1824</f>
        <v>tertiary</v>
      </c>
      <c r="F1824" s="3" t="str">
        <f aca="false">Raw_Data!E1824</f>
        <v>no</v>
      </c>
      <c r="G1824" s="3" t="n">
        <f aca="false">Raw_Data!F1824</f>
        <v>156</v>
      </c>
      <c r="H1824" s="3" t="str">
        <f aca="false">Raw_Data!G1824</f>
        <v>no</v>
      </c>
      <c r="I1824" s="3" t="str">
        <f aca="false">Raw_Data!H1824</f>
        <v>no</v>
      </c>
      <c r="J1824" s="2" t="n">
        <f aca="false">IF(F1824="yes",1,0)</f>
        <v>0</v>
      </c>
      <c r="K1824" s="2" t="n">
        <f aca="false">IF(H1824="yes",1,0)</f>
        <v>0</v>
      </c>
      <c r="L1824" s="2" t="n">
        <f aca="false">IF(I1824="yes",1,0)</f>
        <v>0</v>
      </c>
      <c r="M1824" s="2" t="n">
        <f aca="false">IF(G1824&lt;0,1,0)</f>
        <v>0</v>
      </c>
      <c r="N1824" s="2" t="str">
        <f aca="false">_xlfn.IFS(B1824&lt;30,"Under 30",B1824&lt;40,"30-39",B1824&lt;50,"40-49",B1824&lt;60,"50-59",TRUE(),"60+")</f>
        <v>30-39</v>
      </c>
      <c r="O1824" s="2" t="str">
        <f aca="false">_xlfn.IFS(G1824&lt;0,"1 Negative",G1824=0,"2 Zero",G1824&lt;=500,"3 1-500",G1824&lt;=2000,"4 501-2000",TRUE(),"5 Above 2000")</f>
        <v>3 1-500</v>
      </c>
      <c r="P1824" s="2" t="n">
        <f aca="false">Lookups!$B$2*M1824+Lookups!$B$3*L1824</f>
        <v>0</v>
      </c>
      <c r="Q1824" s="2" t="str">
        <f aca="false">INDEX(Lookups!$E$2:$E$5,MATCH(P1824,Lookups!$D$2:$D$5,0))</f>
        <v>Low</v>
      </c>
    </row>
    <row r="1825" customFormat="false" ht="15" hidden="false" customHeight="false" outlineLevel="0" collapsed="false">
      <c r="A1825" s="3" t="n">
        <v>1824</v>
      </c>
      <c r="B1825" s="3" t="n">
        <f aca="false">Raw_Data!A1825</f>
        <v>35</v>
      </c>
      <c r="C1825" s="3" t="str">
        <f aca="false">SUBSTITUTE(Raw_Data!B1825,".","")</f>
        <v>technician</v>
      </c>
      <c r="D1825" s="3" t="str">
        <f aca="false">Raw_Data!C1825</f>
        <v>divorced</v>
      </c>
      <c r="E1825" s="3" t="str">
        <f aca="false">Raw_Data!D1825</f>
        <v>secondary</v>
      </c>
      <c r="F1825" s="3" t="str">
        <f aca="false">Raw_Data!E1825</f>
        <v>no</v>
      </c>
      <c r="G1825" s="3" t="n">
        <f aca="false">Raw_Data!F1825</f>
        <v>473</v>
      </c>
      <c r="H1825" s="3" t="str">
        <f aca="false">Raw_Data!G1825</f>
        <v>yes</v>
      </c>
      <c r="I1825" s="3" t="str">
        <f aca="false">Raw_Data!H1825</f>
        <v>yes</v>
      </c>
      <c r="J1825" s="2" t="n">
        <f aca="false">IF(F1825="yes",1,0)</f>
        <v>0</v>
      </c>
      <c r="K1825" s="2" t="n">
        <f aca="false">IF(H1825="yes",1,0)</f>
        <v>1</v>
      </c>
      <c r="L1825" s="2" t="n">
        <f aca="false">IF(I1825="yes",1,0)</f>
        <v>1</v>
      </c>
      <c r="M1825" s="2" t="n">
        <f aca="false">IF(G1825&lt;0,1,0)</f>
        <v>0</v>
      </c>
      <c r="N1825" s="2" t="str">
        <f aca="false">_xlfn.IFS(B1825&lt;30,"Under 30",B1825&lt;40,"30-39",B1825&lt;50,"40-49",B1825&lt;60,"50-59",TRUE(),"60+")</f>
        <v>30-39</v>
      </c>
      <c r="O1825" s="2" t="str">
        <f aca="false">_xlfn.IFS(G1825&lt;0,"1 Negative",G1825=0,"2 Zero",G1825&lt;=500,"3 1-500",G1825&lt;=2000,"4 501-2000",TRUE(),"5 Above 2000")</f>
        <v>3 1-500</v>
      </c>
      <c r="P1825" s="2" t="n">
        <f aca="false">Lookups!$B$2*M1825+Lookups!$B$3*L1825</f>
        <v>1</v>
      </c>
      <c r="Q1825" s="2" t="str">
        <f aca="false">INDEX(Lookups!$E$2:$E$5,MATCH(P1825,Lookups!$D$2:$D$5,0))</f>
        <v>Medium</v>
      </c>
    </row>
    <row r="1826" customFormat="false" ht="15" hidden="false" customHeight="false" outlineLevel="0" collapsed="false">
      <c r="A1826" s="3" t="n">
        <v>1825</v>
      </c>
      <c r="B1826" s="3" t="n">
        <f aca="false">Raw_Data!A1826</f>
        <v>37</v>
      </c>
      <c r="C1826" s="3" t="str">
        <f aca="false">SUBSTITUTE(Raw_Data!B1826,".","")</f>
        <v>admin</v>
      </c>
      <c r="D1826" s="3" t="str">
        <f aca="false">Raw_Data!C1826</f>
        <v>single</v>
      </c>
      <c r="E1826" s="3" t="str">
        <f aca="false">Raw_Data!D1826</f>
        <v>secondary</v>
      </c>
      <c r="F1826" s="3" t="str">
        <f aca="false">Raw_Data!E1826</f>
        <v>no</v>
      </c>
      <c r="G1826" s="3" t="n">
        <f aca="false">Raw_Data!F1826</f>
        <v>781</v>
      </c>
      <c r="H1826" s="3" t="str">
        <f aca="false">Raw_Data!G1826</f>
        <v>no</v>
      </c>
      <c r="I1826" s="3" t="str">
        <f aca="false">Raw_Data!H1826</f>
        <v>no</v>
      </c>
      <c r="J1826" s="2" t="n">
        <f aca="false">IF(F1826="yes",1,0)</f>
        <v>0</v>
      </c>
      <c r="K1826" s="2" t="n">
        <f aca="false">IF(H1826="yes",1,0)</f>
        <v>0</v>
      </c>
      <c r="L1826" s="2" t="n">
        <f aca="false">IF(I1826="yes",1,0)</f>
        <v>0</v>
      </c>
      <c r="M1826" s="2" t="n">
        <f aca="false">IF(G1826&lt;0,1,0)</f>
        <v>0</v>
      </c>
      <c r="N1826" s="2" t="str">
        <f aca="false">_xlfn.IFS(B1826&lt;30,"Under 30",B1826&lt;40,"30-39",B1826&lt;50,"40-49",B1826&lt;60,"50-59",TRUE(),"60+")</f>
        <v>30-39</v>
      </c>
      <c r="O1826" s="2" t="str">
        <f aca="false">_xlfn.IFS(G1826&lt;0,"1 Negative",G1826=0,"2 Zero",G1826&lt;=500,"3 1-500",G1826&lt;=2000,"4 501-2000",TRUE(),"5 Above 2000")</f>
        <v>4 501-2000</v>
      </c>
      <c r="P1826" s="2" t="n">
        <f aca="false">Lookups!$B$2*M1826+Lookups!$B$3*L1826</f>
        <v>0</v>
      </c>
      <c r="Q1826" s="2" t="str">
        <f aca="false">INDEX(Lookups!$E$2:$E$5,MATCH(P1826,Lookups!$D$2:$D$5,0))</f>
        <v>Low</v>
      </c>
    </row>
    <row r="1827" customFormat="false" ht="15" hidden="false" customHeight="false" outlineLevel="0" collapsed="false">
      <c r="A1827" s="3" t="n">
        <v>1826</v>
      </c>
      <c r="B1827" s="3" t="n">
        <f aca="false">Raw_Data!A1827</f>
        <v>60</v>
      </c>
      <c r="C1827" s="3" t="str">
        <f aca="false">SUBSTITUTE(Raw_Data!B1827,".","")</f>
        <v>entrepreneur</v>
      </c>
      <c r="D1827" s="3" t="str">
        <f aca="false">Raw_Data!C1827</f>
        <v>married</v>
      </c>
      <c r="E1827" s="3" t="str">
        <f aca="false">Raw_Data!D1827</f>
        <v>primary</v>
      </c>
      <c r="F1827" s="3" t="str">
        <f aca="false">Raw_Data!E1827</f>
        <v>no</v>
      </c>
      <c r="G1827" s="3" t="n">
        <f aca="false">Raw_Data!F1827</f>
        <v>0</v>
      </c>
      <c r="H1827" s="3" t="str">
        <f aca="false">Raw_Data!G1827</f>
        <v>no</v>
      </c>
      <c r="I1827" s="3" t="str">
        <f aca="false">Raw_Data!H1827</f>
        <v>no</v>
      </c>
      <c r="J1827" s="2" t="n">
        <f aca="false">IF(F1827="yes",1,0)</f>
        <v>0</v>
      </c>
      <c r="K1827" s="2" t="n">
        <f aca="false">IF(H1827="yes",1,0)</f>
        <v>0</v>
      </c>
      <c r="L1827" s="2" t="n">
        <f aca="false">IF(I1827="yes",1,0)</f>
        <v>0</v>
      </c>
      <c r="M1827" s="2" t="n">
        <f aca="false">IF(G1827&lt;0,1,0)</f>
        <v>0</v>
      </c>
      <c r="N1827" s="2" t="str">
        <f aca="false">_xlfn.IFS(B1827&lt;30,"Under 30",B1827&lt;40,"30-39",B1827&lt;50,"40-49",B1827&lt;60,"50-59",TRUE(),"60+")</f>
        <v>60+</v>
      </c>
      <c r="O1827" s="2" t="str">
        <f aca="false">_xlfn.IFS(G1827&lt;0,"1 Negative",G1827=0,"2 Zero",G1827&lt;=500,"3 1-500",G1827&lt;=2000,"4 501-2000",TRUE(),"5 Above 2000")</f>
        <v>2 Zero</v>
      </c>
      <c r="P1827" s="2" t="n">
        <f aca="false">Lookups!$B$2*M1827+Lookups!$B$3*L1827</f>
        <v>0</v>
      </c>
      <c r="Q1827" s="2" t="str">
        <f aca="false">INDEX(Lookups!$E$2:$E$5,MATCH(P1827,Lookups!$D$2:$D$5,0))</f>
        <v>Low</v>
      </c>
    </row>
    <row r="1828" customFormat="false" ht="15" hidden="false" customHeight="false" outlineLevel="0" collapsed="false">
      <c r="A1828" s="3" t="n">
        <v>1827</v>
      </c>
      <c r="B1828" s="3" t="n">
        <f aca="false">Raw_Data!A1828</f>
        <v>40</v>
      </c>
      <c r="C1828" s="3" t="str">
        <f aca="false">SUBSTITUTE(Raw_Data!B1828,".","")</f>
        <v>technician</v>
      </c>
      <c r="D1828" s="3" t="str">
        <f aca="false">Raw_Data!C1828</f>
        <v>married</v>
      </c>
      <c r="E1828" s="3" t="str">
        <f aca="false">Raw_Data!D1828</f>
        <v>secondary</v>
      </c>
      <c r="F1828" s="3" t="str">
        <f aca="false">Raw_Data!E1828</f>
        <v>no</v>
      </c>
      <c r="G1828" s="3" t="n">
        <f aca="false">Raw_Data!F1828</f>
        <v>1819</v>
      </c>
      <c r="H1828" s="3" t="str">
        <f aca="false">Raw_Data!G1828</f>
        <v>no</v>
      </c>
      <c r="I1828" s="3" t="str">
        <f aca="false">Raw_Data!H1828</f>
        <v>no</v>
      </c>
      <c r="J1828" s="2" t="n">
        <f aca="false">IF(F1828="yes",1,0)</f>
        <v>0</v>
      </c>
      <c r="K1828" s="2" t="n">
        <f aca="false">IF(H1828="yes",1,0)</f>
        <v>0</v>
      </c>
      <c r="L1828" s="2" t="n">
        <f aca="false">IF(I1828="yes",1,0)</f>
        <v>0</v>
      </c>
      <c r="M1828" s="2" t="n">
        <f aca="false">IF(G1828&lt;0,1,0)</f>
        <v>0</v>
      </c>
      <c r="N1828" s="2" t="str">
        <f aca="false">_xlfn.IFS(B1828&lt;30,"Under 30",B1828&lt;40,"30-39",B1828&lt;50,"40-49",B1828&lt;60,"50-59",TRUE(),"60+")</f>
        <v>40-49</v>
      </c>
      <c r="O1828" s="2" t="str">
        <f aca="false">_xlfn.IFS(G1828&lt;0,"1 Negative",G1828=0,"2 Zero",G1828&lt;=500,"3 1-500",G1828&lt;=2000,"4 501-2000",TRUE(),"5 Above 2000")</f>
        <v>4 501-2000</v>
      </c>
      <c r="P1828" s="2" t="n">
        <f aca="false">Lookups!$B$2*M1828+Lookups!$B$3*L1828</f>
        <v>0</v>
      </c>
      <c r="Q1828" s="2" t="str">
        <f aca="false">INDEX(Lookups!$E$2:$E$5,MATCH(P1828,Lookups!$D$2:$D$5,0))</f>
        <v>Low</v>
      </c>
    </row>
    <row r="1829" customFormat="false" ht="15" hidden="false" customHeight="false" outlineLevel="0" collapsed="false">
      <c r="A1829" s="3" t="n">
        <v>1828</v>
      </c>
      <c r="B1829" s="3" t="n">
        <f aca="false">Raw_Data!A1829</f>
        <v>50</v>
      </c>
      <c r="C1829" s="3" t="str">
        <f aca="false">SUBSTITUTE(Raw_Data!B1829,".","")</f>
        <v>management</v>
      </c>
      <c r="D1829" s="3" t="str">
        <f aca="false">Raw_Data!C1829</f>
        <v>married</v>
      </c>
      <c r="E1829" s="3" t="str">
        <f aca="false">Raw_Data!D1829</f>
        <v>tertiary</v>
      </c>
      <c r="F1829" s="3" t="str">
        <f aca="false">Raw_Data!E1829</f>
        <v>no</v>
      </c>
      <c r="G1829" s="3" t="n">
        <f aca="false">Raw_Data!F1829</f>
        <v>4374</v>
      </c>
      <c r="H1829" s="3" t="str">
        <f aca="false">Raw_Data!G1829</f>
        <v>yes</v>
      </c>
      <c r="I1829" s="3" t="str">
        <f aca="false">Raw_Data!H1829</f>
        <v>no</v>
      </c>
      <c r="J1829" s="2" t="n">
        <f aca="false">IF(F1829="yes",1,0)</f>
        <v>0</v>
      </c>
      <c r="K1829" s="2" t="n">
        <f aca="false">IF(H1829="yes",1,0)</f>
        <v>1</v>
      </c>
      <c r="L1829" s="2" t="n">
        <f aca="false">IF(I1829="yes",1,0)</f>
        <v>0</v>
      </c>
      <c r="M1829" s="2" t="n">
        <f aca="false">IF(G1829&lt;0,1,0)</f>
        <v>0</v>
      </c>
      <c r="N1829" s="2" t="str">
        <f aca="false">_xlfn.IFS(B1829&lt;30,"Under 30",B1829&lt;40,"30-39",B1829&lt;50,"40-49",B1829&lt;60,"50-59",TRUE(),"60+")</f>
        <v>50-59</v>
      </c>
      <c r="O1829" s="2" t="str">
        <f aca="false">_xlfn.IFS(G1829&lt;0,"1 Negative",G1829=0,"2 Zero",G1829&lt;=500,"3 1-500",G1829&lt;=2000,"4 501-2000",TRUE(),"5 Above 2000")</f>
        <v>5 Above 2000</v>
      </c>
      <c r="P1829" s="2" t="n">
        <f aca="false">Lookups!$B$2*M1829+Lookups!$B$3*L1829</f>
        <v>0</v>
      </c>
      <c r="Q1829" s="2" t="str">
        <f aca="false">INDEX(Lookups!$E$2:$E$5,MATCH(P1829,Lookups!$D$2:$D$5,0))</f>
        <v>Low</v>
      </c>
    </row>
    <row r="1830" customFormat="false" ht="15" hidden="false" customHeight="false" outlineLevel="0" collapsed="false">
      <c r="A1830" s="3" t="n">
        <v>1829</v>
      </c>
      <c r="B1830" s="3" t="n">
        <f aca="false">Raw_Data!A1830</f>
        <v>34</v>
      </c>
      <c r="C1830" s="3" t="str">
        <f aca="false">SUBSTITUTE(Raw_Data!B1830,".","")</f>
        <v>entrepreneur</v>
      </c>
      <c r="D1830" s="3" t="str">
        <f aca="false">Raw_Data!C1830</f>
        <v>married</v>
      </c>
      <c r="E1830" s="3" t="str">
        <f aca="false">Raw_Data!D1830</f>
        <v>secondary</v>
      </c>
      <c r="F1830" s="3" t="str">
        <f aca="false">Raw_Data!E1830</f>
        <v>no</v>
      </c>
      <c r="G1830" s="3" t="n">
        <f aca="false">Raw_Data!F1830</f>
        <v>456</v>
      </c>
      <c r="H1830" s="3" t="str">
        <f aca="false">Raw_Data!G1830</f>
        <v>yes</v>
      </c>
      <c r="I1830" s="3" t="str">
        <f aca="false">Raw_Data!H1830</f>
        <v>yes</v>
      </c>
      <c r="J1830" s="2" t="n">
        <f aca="false">IF(F1830="yes",1,0)</f>
        <v>0</v>
      </c>
      <c r="K1830" s="2" t="n">
        <f aca="false">IF(H1830="yes",1,0)</f>
        <v>1</v>
      </c>
      <c r="L1830" s="2" t="n">
        <f aca="false">IF(I1830="yes",1,0)</f>
        <v>1</v>
      </c>
      <c r="M1830" s="2" t="n">
        <f aca="false">IF(G1830&lt;0,1,0)</f>
        <v>0</v>
      </c>
      <c r="N1830" s="2" t="str">
        <f aca="false">_xlfn.IFS(B1830&lt;30,"Under 30",B1830&lt;40,"30-39",B1830&lt;50,"40-49",B1830&lt;60,"50-59",TRUE(),"60+")</f>
        <v>30-39</v>
      </c>
      <c r="O1830" s="2" t="str">
        <f aca="false">_xlfn.IFS(G1830&lt;0,"1 Negative",G1830=0,"2 Zero",G1830&lt;=500,"3 1-500",G1830&lt;=2000,"4 501-2000",TRUE(),"5 Above 2000")</f>
        <v>3 1-500</v>
      </c>
      <c r="P1830" s="2" t="n">
        <f aca="false">Lookups!$B$2*M1830+Lookups!$B$3*L1830</f>
        <v>1</v>
      </c>
      <c r="Q1830" s="2" t="str">
        <f aca="false">INDEX(Lookups!$E$2:$E$5,MATCH(P1830,Lookups!$D$2:$D$5,0))</f>
        <v>Medium</v>
      </c>
    </row>
    <row r="1831" customFormat="false" ht="15" hidden="false" customHeight="false" outlineLevel="0" collapsed="false">
      <c r="A1831" s="3" t="n">
        <v>1830</v>
      </c>
      <c r="B1831" s="3" t="n">
        <f aca="false">Raw_Data!A1831</f>
        <v>32</v>
      </c>
      <c r="C1831" s="3" t="str">
        <f aca="false">SUBSTITUTE(Raw_Data!B1831,".","")</f>
        <v>technician</v>
      </c>
      <c r="D1831" s="3" t="str">
        <f aca="false">Raw_Data!C1831</f>
        <v>married</v>
      </c>
      <c r="E1831" s="3" t="str">
        <f aca="false">Raw_Data!D1831</f>
        <v>secondary</v>
      </c>
      <c r="F1831" s="3" t="str">
        <f aca="false">Raw_Data!E1831</f>
        <v>no</v>
      </c>
      <c r="G1831" s="3" t="n">
        <f aca="false">Raw_Data!F1831</f>
        <v>253</v>
      </c>
      <c r="H1831" s="3" t="str">
        <f aca="false">Raw_Data!G1831</f>
        <v>yes</v>
      </c>
      <c r="I1831" s="3" t="str">
        <f aca="false">Raw_Data!H1831</f>
        <v>no</v>
      </c>
      <c r="J1831" s="2" t="n">
        <f aca="false">IF(F1831="yes",1,0)</f>
        <v>0</v>
      </c>
      <c r="K1831" s="2" t="n">
        <f aca="false">IF(H1831="yes",1,0)</f>
        <v>1</v>
      </c>
      <c r="L1831" s="2" t="n">
        <f aca="false">IF(I1831="yes",1,0)</f>
        <v>0</v>
      </c>
      <c r="M1831" s="2" t="n">
        <f aca="false">IF(G1831&lt;0,1,0)</f>
        <v>0</v>
      </c>
      <c r="N1831" s="2" t="str">
        <f aca="false">_xlfn.IFS(B1831&lt;30,"Under 30",B1831&lt;40,"30-39",B1831&lt;50,"40-49",B1831&lt;60,"50-59",TRUE(),"60+")</f>
        <v>30-39</v>
      </c>
      <c r="O1831" s="2" t="str">
        <f aca="false">_xlfn.IFS(G1831&lt;0,"1 Negative",G1831=0,"2 Zero",G1831&lt;=500,"3 1-500",G1831&lt;=2000,"4 501-2000",TRUE(),"5 Above 2000")</f>
        <v>3 1-500</v>
      </c>
      <c r="P1831" s="2" t="n">
        <f aca="false">Lookups!$B$2*M1831+Lookups!$B$3*L1831</f>
        <v>0</v>
      </c>
      <c r="Q1831" s="2" t="str">
        <f aca="false">INDEX(Lookups!$E$2:$E$5,MATCH(P1831,Lookups!$D$2:$D$5,0))</f>
        <v>Low</v>
      </c>
    </row>
    <row r="1832" customFormat="false" ht="15" hidden="false" customHeight="false" outlineLevel="0" collapsed="false">
      <c r="A1832" s="3" t="n">
        <v>1831</v>
      </c>
      <c r="B1832" s="3" t="n">
        <f aca="false">Raw_Data!A1832</f>
        <v>36</v>
      </c>
      <c r="C1832" s="3" t="str">
        <f aca="false">SUBSTITUTE(Raw_Data!B1832,".","")</f>
        <v>services</v>
      </c>
      <c r="D1832" s="3" t="str">
        <f aca="false">Raw_Data!C1832</f>
        <v>single</v>
      </c>
      <c r="E1832" s="3" t="str">
        <f aca="false">Raw_Data!D1832</f>
        <v>secondary</v>
      </c>
      <c r="F1832" s="3" t="str">
        <f aca="false">Raw_Data!E1832</f>
        <v>no</v>
      </c>
      <c r="G1832" s="3" t="n">
        <f aca="false">Raw_Data!F1832</f>
        <v>774</v>
      </c>
      <c r="H1832" s="3" t="str">
        <f aca="false">Raw_Data!G1832</f>
        <v>yes</v>
      </c>
      <c r="I1832" s="3" t="str">
        <f aca="false">Raw_Data!H1832</f>
        <v>no</v>
      </c>
      <c r="J1832" s="2" t="n">
        <f aca="false">IF(F1832="yes",1,0)</f>
        <v>0</v>
      </c>
      <c r="K1832" s="2" t="n">
        <f aca="false">IF(H1832="yes",1,0)</f>
        <v>1</v>
      </c>
      <c r="L1832" s="2" t="n">
        <f aca="false">IF(I1832="yes",1,0)</f>
        <v>0</v>
      </c>
      <c r="M1832" s="2" t="n">
        <f aca="false">IF(G1832&lt;0,1,0)</f>
        <v>0</v>
      </c>
      <c r="N1832" s="2" t="str">
        <f aca="false">_xlfn.IFS(B1832&lt;30,"Under 30",B1832&lt;40,"30-39",B1832&lt;50,"40-49",B1832&lt;60,"50-59",TRUE(),"60+")</f>
        <v>30-39</v>
      </c>
      <c r="O1832" s="2" t="str">
        <f aca="false">_xlfn.IFS(G1832&lt;0,"1 Negative",G1832=0,"2 Zero",G1832&lt;=500,"3 1-500",G1832&lt;=2000,"4 501-2000",TRUE(),"5 Above 2000")</f>
        <v>4 501-2000</v>
      </c>
      <c r="P1832" s="2" t="n">
        <f aca="false">Lookups!$B$2*M1832+Lookups!$B$3*L1832</f>
        <v>0</v>
      </c>
      <c r="Q1832" s="2" t="str">
        <f aca="false">INDEX(Lookups!$E$2:$E$5,MATCH(P1832,Lookups!$D$2:$D$5,0))</f>
        <v>Low</v>
      </c>
    </row>
    <row r="1833" customFormat="false" ht="15" hidden="false" customHeight="false" outlineLevel="0" collapsed="false">
      <c r="A1833" s="3" t="n">
        <v>1832</v>
      </c>
      <c r="B1833" s="3" t="n">
        <f aca="false">Raw_Data!A1833</f>
        <v>32</v>
      </c>
      <c r="C1833" s="3" t="str">
        <f aca="false">SUBSTITUTE(Raw_Data!B1833,".","")</f>
        <v>admin</v>
      </c>
      <c r="D1833" s="3" t="str">
        <f aca="false">Raw_Data!C1833</f>
        <v>single</v>
      </c>
      <c r="E1833" s="3" t="str">
        <f aca="false">Raw_Data!D1833</f>
        <v>tertiary</v>
      </c>
      <c r="F1833" s="3" t="str">
        <f aca="false">Raw_Data!E1833</f>
        <v>no</v>
      </c>
      <c r="G1833" s="3" t="n">
        <f aca="false">Raw_Data!F1833</f>
        <v>-59</v>
      </c>
      <c r="H1833" s="3" t="str">
        <f aca="false">Raw_Data!G1833</f>
        <v>no</v>
      </c>
      <c r="I1833" s="3" t="str">
        <f aca="false">Raw_Data!H1833</f>
        <v>yes</v>
      </c>
      <c r="J1833" s="2" t="n">
        <f aca="false">IF(F1833="yes",1,0)</f>
        <v>0</v>
      </c>
      <c r="K1833" s="2" t="n">
        <f aca="false">IF(H1833="yes",1,0)</f>
        <v>0</v>
      </c>
      <c r="L1833" s="2" t="n">
        <f aca="false">IF(I1833="yes",1,0)</f>
        <v>1</v>
      </c>
      <c r="M1833" s="2" t="n">
        <f aca="false">IF(G1833&lt;0,1,0)</f>
        <v>1</v>
      </c>
      <c r="N1833" s="2" t="str">
        <f aca="false">_xlfn.IFS(B1833&lt;30,"Under 30",B1833&lt;40,"30-39",B1833&lt;50,"40-49",B1833&lt;60,"50-59",TRUE(),"60+")</f>
        <v>30-39</v>
      </c>
      <c r="O1833" s="2" t="str">
        <f aca="false">_xlfn.IFS(G1833&lt;0,"1 Negative",G1833=0,"2 Zero",G1833&lt;=500,"3 1-500",G1833&lt;=2000,"4 501-2000",TRUE(),"5 Above 2000")</f>
        <v>1 Negative</v>
      </c>
      <c r="P1833" s="2" t="n">
        <f aca="false">Lookups!$B$2*M1833+Lookups!$B$3*L1833</f>
        <v>3</v>
      </c>
      <c r="Q1833" s="2" t="str">
        <f aca="false">INDEX(Lookups!$E$2:$E$5,MATCH(P1833,Lookups!$D$2:$D$5,0))</f>
        <v>High</v>
      </c>
    </row>
    <row r="1834" customFormat="false" ht="15" hidden="false" customHeight="false" outlineLevel="0" collapsed="false">
      <c r="A1834" s="3" t="n">
        <v>1833</v>
      </c>
      <c r="B1834" s="3" t="n">
        <f aca="false">Raw_Data!A1834</f>
        <v>40</v>
      </c>
      <c r="C1834" s="3" t="str">
        <f aca="false">SUBSTITUTE(Raw_Data!B1834,".","")</f>
        <v>services</v>
      </c>
      <c r="D1834" s="3" t="str">
        <f aca="false">Raw_Data!C1834</f>
        <v>divorced</v>
      </c>
      <c r="E1834" s="3" t="str">
        <f aca="false">Raw_Data!D1834</f>
        <v>secondary</v>
      </c>
      <c r="F1834" s="3" t="str">
        <f aca="false">Raw_Data!E1834</f>
        <v>no</v>
      </c>
      <c r="G1834" s="3" t="n">
        <f aca="false">Raw_Data!F1834</f>
        <v>-81</v>
      </c>
      <c r="H1834" s="3" t="str">
        <f aca="false">Raw_Data!G1834</f>
        <v>no</v>
      </c>
      <c r="I1834" s="3" t="str">
        <f aca="false">Raw_Data!H1834</f>
        <v>yes</v>
      </c>
      <c r="J1834" s="2" t="n">
        <f aca="false">IF(F1834="yes",1,0)</f>
        <v>0</v>
      </c>
      <c r="K1834" s="2" t="n">
        <f aca="false">IF(H1834="yes",1,0)</f>
        <v>0</v>
      </c>
      <c r="L1834" s="2" t="n">
        <f aca="false">IF(I1834="yes",1,0)</f>
        <v>1</v>
      </c>
      <c r="M1834" s="2" t="n">
        <f aca="false">IF(G1834&lt;0,1,0)</f>
        <v>1</v>
      </c>
      <c r="N1834" s="2" t="str">
        <f aca="false">_xlfn.IFS(B1834&lt;30,"Under 30",B1834&lt;40,"30-39",B1834&lt;50,"40-49",B1834&lt;60,"50-59",TRUE(),"60+")</f>
        <v>40-49</v>
      </c>
      <c r="O1834" s="2" t="str">
        <f aca="false">_xlfn.IFS(G1834&lt;0,"1 Negative",G1834=0,"2 Zero",G1834&lt;=500,"3 1-500",G1834&lt;=2000,"4 501-2000",TRUE(),"5 Above 2000")</f>
        <v>1 Negative</v>
      </c>
      <c r="P1834" s="2" t="n">
        <f aca="false">Lookups!$B$2*M1834+Lookups!$B$3*L1834</f>
        <v>3</v>
      </c>
      <c r="Q1834" s="2" t="str">
        <f aca="false">INDEX(Lookups!$E$2:$E$5,MATCH(P1834,Lookups!$D$2:$D$5,0))</f>
        <v>High</v>
      </c>
    </row>
    <row r="1835" customFormat="false" ht="15" hidden="false" customHeight="false" outlineLevel="0" collapsed="false">
      <c r="A1835" s="3" t="n">
        <v>1834</v>
      </c>
      <c r="B1835" s="3" t="n">
        <f aca="false">Raw_Data!A1835</f>
        <v>37</v>
      </c>
      <c r="C1835" s="3" t="str">
        <f aca="false">SUBSTITUTE(Raw_Data!B1835,".","")</f>
        <v>blue-collar</v>
      </c>
      <c r="D1835" s="3" t="str">
        <f aca="false">Raw_Data!C1835</f>
        <v>married</v>
      </c>
      <c r="E1835" s="3" t="str">
        <f aca="false">Raw_Data!D1835</f>
        <v>primary</v>
      </c>
      <c r="F1835" s="3" t="str">
        <f aca="false">Raw_Data!E1835</f>
        <v>no</v>
      </c>
      <c r="G1835" s="3" t="n">
        <f aca="false">Raw_Data!F1835</f>
        <v>0</v>
      </c>
      <c r="H1835" s="3" t="str">
        <f aca="false">Raw_Data!G1835</f>
        <v>yes</v>
      </c>
      <c r="I1835" s="3" t="str">
        <f aca="false">Raw_Data!H1835</f>
        <v>no</v>
      </c>
      <c r="J1835" s="2" t="n">
        <f aca="false">IF(F1835="yes",1,0)</f>
        <v>0</v>
      </c>
      <c r="K1835" s="2" t="n">
        <f aca="false">IF(H1835="yes",1,0)</f>
        <v>1</v>
      </c>
      <c r="L1835" s="2" t="n">
        <f aca="false">IF(I1835="yes",1,0)</f>
        <v>0</v>
      </c>
      <c r="M1835" s="2" t="n">
        <f aca="false">IF(G1835&lt;0,1,0)</f>
        <v>0</v>
      </c>
      <c r="N1835" s="2" t="str">
        <f aca="false">_xlfn.IFS(B1835&lt;30,"Under 30",B1835&lt;40,"30-39",B1835&lt;50,"40-49",B1835&lt;60,"50-59",TRUE(),"60+")</f>
        <v>30-39</v>
      </c>
      <c r="O1835" s="2" t="str">
        <f aca="false">_xlfn.IFS(G1835&lt;0,"1 Negative",G1835=0,"2 Zero",G1835&lt;=500,"3 1-500",G1835&lt;=2000,"4 501-2000",TRUE(),"5 Above 2000")</f>
        <v>2 Zero</v>
      </c>
      <c r="P1835" s="2" t="n">
        <f aca="false">Lookups!$B$2*M1835+Lookups!$B$3*L1835</f>
        <v>0</v>
      </c>
      <c r="Q1835" s="2" t="str">
        <f aca="false">INDEX(Lookups!$E$2:$E$5,MATCH(P1835,Lookups!$D$2:$D$5,0))</f>
        <v>Low</v>
      </c>
    </row>
    <row r="1836" customFormat="false" ht="15" hidden="false" customHeight="false" outlineLevel="0" collapsed="false">
      <c r="A1836" s="3" t="n">
        <v>1835</v>
      </c>
      <c r="B1836" s="3" t="n">
        <f aca="false">Raw_Data!A1836</f>
        <v>57</v>
      </c>
      <c r="C1836" s="3" t="str">
        <f aca="false">SUBSTITUTE(Raw_Data!B1836,".","")</f>
        <v>management</v>
      </c>
      <c r="D1836" s="3" t="str">
        <f aca="false">Raw_Data!C1836</f>
        <v>married</v>
      </c>
      <c r="E1836" s="3" t="str">
        <f aca="false">Raw_Data!D1836</f>
        <v>tertiary</v>
      </c>
      <c r="F1836" s="3" t="str">
        <f aca="false">Raw_Data!E1836</f>
        <v>no</v>
      </c>
      <c r="G1836" s="3" t="n">
        <f aca="false">Raw_Data!F1836</f>
        <v>0</v>
      </c>
      <c r="H1836" s="3" t="str">
        <f aca="false">Raw_Data!G1836</f>
        <v>yes</v>
      </c>
      <c r="I1836" s="3" t="str">
        <f aca="false">Raw_Data!H1836</f>
        <v>no</v>
      </c>
      <c r="J1836" s="2" t="n">
        <f aca="false">IF(F1836="yes",1,0)</f>
        <v>0</v>
      </c>
      <c r="K1836" s="2" t="n">
        <f aca="false">IF(H1836="yes",1,0)</f>
        <v>1</v>
      </c>
      <c r="L1836" s="2" t="n">
        <f aca="false">IF(I1836="yes",1,0)</f>
        <v>0</v>
      </c>
      <c r="M1836" s="2" t="n">
        <f aca="false">IF(G1836&lt;0,1,0)</f>
        <v>0</v>
      </c>
      <c r="N1836" s="2" t="str">
        <f aca="false">_xlfn.IFS(B1836&lt;30,"Under 30",B1836&lt;40,"30-39",B1836&lt;50,"40-49",B1836&lt;60,"50-59",TRUE(),"60+")</f>
        <v>50-59</v>
      </c>
      <c r="O1836" s="2" t="str">
        <f aca="false">_xlfn.IFS(G1836&lt;0,"1 Negative",G1836=0,"2 Zero",G1836&lt;=500,"3 1-500",G1836&lt;=2000,"4 501-2000",TRUE(),"5 Above 2000")</f>
        <v>2 Zero</v>
      </c>
      <c r="P1836" s="2" t="n">
        <f aca="false">Lookups!$B$2*M1836+Lookups!$B$3*L1836</f>
        <v>0</v>
      </c>
      <c r="Q1836" s="2" t="str">
        <f aca="false">INDEX(Lookups!$E$2:$E$5,MATCH(P1836,Lookups!$D$2:$D$5,0))</f>
        <v>Low</v>
      </c>
    </row>
    <row r="1837" customFormat="false" ht="15" hidden="false" customHeight="false" outlineLevel="0" collapsed="false">
      <c r="A1837" s="3" t="n">
        <v>1836</v>
      </c>
      <c r="B1837" s="3" t="n">
        <f aca="false">Raw_Data!A1837</f>
        <v>46</v>
      </c>
      <c r="C1837" s="3" t="str">
        <f aca="false">SUBSTITUTE(Raw_Data!B1837,".","")</f>
        <v>management</v>
      </c>
      <c r="D1837" s="3" t="str">
        <f aca="false">Raw_Data!C1837</f>
        <v>married</v>
      </c>
      <c r="E1837" s="3" t="str">
        <f aca="false">Raw_Data!D1837</f>
        <v>tertiary</v>
      </c>
      <c r="F1837" s="3" t="str">
        <f aca="false">Raw_Data!E1837</f>
        <v>no</v>
      </c>
      <c r="G1837" s="3" t="n">
        <f aca="false">Raw_Data!F1837</f>
        <v>-3</v>
      </c>
      <c r="H1837" s="3" t="str">
        <f aca="false">Raw_Data!G1837</f>
        <v>no</v>
      </c>
      <c r="I1837" s="3" t="str">
        <f aca="false">Raw_Data!H1837</f>
        <v>no</v>
      </c>
      <c r="J1837" s="2" t="n">
        <f aca="false">IF(F1837="yes",1,0)</f>
        <v>0</v>
      </c>
      <c r="K1837" s="2" t="n">
        <f aca="false">IF(H1837="yes",1,0)</f>
        <v>0</v>
      </c>
      <c r="L1837" s="2" t="n">
        <f aca="false">IF(I1837="yes",1,0)</f>
        <v>0</v>
      </c>
      <c r="M1837" s="2" t="n">
        <f aca="false">IF(G1837&lt;0,1,0)</f>
        <v>1</v>
      </c>
      <c r="N1837" s="2" t="str">
        <f aca="false">_xlfn.IFS(B1837&lt;30,"Under 30",B1837&lt;40,"30-39",B1837&lt;50,"40-49",B1837&lt;60,"50-59",TRUE(),"60+")</f>
        <v>40-49</v>
      </c>
      <c r="O1837" s="2" t="str">
        <f aca="false">_xlfn.IFS(G1837&lt;0,"1 Negative",G1837=0,"2 Zero",G1837&lt;=500,"3 1-500",G1837&lt;=2000,"4 501-2000",TRUE(),"5 Above 2000")</f>
        <v>1 Negative</v>
      </c>
      <c r="P1837" s="2" t="n">
        <f aca="false">Lookups!$B$2*M1837+Lookups!$B$3*L1837</f>
        <v>2</v>
      </c>
      <c r="Q1837" s="2" t="str">
        <f aca="false">INDEX(Lookups!$E$2:$E$5,MATCH(P1837,Lookups!$D$2:$D$5,0))</f>
        <v>High</v>
      </c>
    </row>
    <row r="1838" customFormat="false" ht="15" hidden="false" customHeight="false" outlineLevel="0" collapsed="false">
      <c r="A1838" s="3" t="n">
        <v>1837</v>
      </c>
      <c r="B1838" s="3" t="n">
        <f aca="false">Raw_Data!A1838</f>
        <v>31</v>
      </c>
      <c r="C1838" s="3" t="str">
        <f aca="false">SUBSTITUTE(Raw_Data!B1838,".","")</f>
        <v>blue-collar</v>
      </c>
      <c r="D1838" s="3" t="str">
        <f aca="false">Raw_Data!C1838</f>
        <v>single</v>
      </c>
      <c r="E1838" s="3" t="str">
        <f aca="false">Raw_Data!D1838</f>
        <v>primary</v>
      </c>
      <c r="F1838" s="3" t="str">
        <f aca="false">Raw_Data!E1838</f>
        <v>no</v>
      </c>
      <c r="G1838" s="3" t="n">
        <f aca="false">Raw_Data!F1838</f>
        <v>2488</v>
      </c>
      <c r="H1838" s="3" t="str">
        <f aca="false">Raw_Data!G1838</f>
        <v>yes</v>
      </c>
      <c r="I1838" s="3" t="str">
        <f aca="false">Raw_Data!H1838</f>
        <v>no</v>
      </c>
      <c r="J1838" s="2" t="n">
        <f aca="false">IF(F1838="yes",1,0)</f>
        <v>0</v>
      </c>
      <c r="K1838" s="2" t="n">
        <f aca="false">IF(H1838="yes",1,0)</f>
        <v>1</v>
      </c>
      <c r="L1838" s="2" t="n">
        <f aca="false">IF(I1838="yes",1,0)</f>
        <v>0</v>
      </c>
      <c r="M1838" s="2" t="n">
        <f aca="false">IF(G1838&lt;0,1,0)</f>
        <v>0</v>
      </c>
      <c r="N1838" s="2" t="str">
        <f aca="false">_xlfn.IFS(B1838&lt;30,"Under 30",B1838&lt;40,"30-39",B1838&lt;50,"40-49",B1838&lt;60,"50-59",TRUE(),"60+")</f>
        <v>30-39</v>
      </c>
      <c r="O1838" s="2" t="str">
        <f aca="false">_xlfn.IFS(G1838&lt;0,"1 Negative",G1838=0,"2 Zero",G1838&lt;=500,"3 1-500",G1838&lt;=2000,"4 501-2000",TRUE(),"5 Above 2000")</f>
        <v>5 Above 2000</v>
      </c>
      <c r="P1838" s="2" t="n">
        <f aca="false">Lookups!$B$2*M1838+Lookups!$B$3*L1838</f>
        <v>0</v>
      </c>
      <c r="Q1838" s="2" t="str">
        <f aca="false">INDEX(Lookups!$E$2:$E$5,MATCH(P1838,Lookups!$D$2:$D$5,0))</f>
        <v>Low</v>
      </c>
    </row>
    <row r="1839" customFormat="false" ht="15" hidden="false" customHeight="false" outlineLevel="0" collapsed="false">
      <c r="A1839" s="3" t="n">
        <v>1838</v>
      </c>
      <c r="B1839" s="3" t="n">
        <f aca="false">Raw_Data!A1839</f>
        <v>39</v>
      </c>
      <c r="C1839" s="3" t="str">
        <f aca="false">SUBSTITUTE(Raw_Data!B1839,".","")</f>
        <v>technician</v>
      </c>
      <c r="D1839" s="3" t="str">
        <f aca="false">Raw_Data!C1839</f>
        <v>divorced</v>
      </c>
      <c r="E1839" s="3" t="str">
        <f aca="false">Raw_Data!D1839</f>
        <v>tertiary</v>
      </c>
      <c r="F1839" s="3" t="str">
        <f aca="false">Raw_Data!E1839</f>
        <v>yes</v>
      </c>
      <c r="G1839" s="3" t="n">
        <f aca="false">Raw_Data!F1839</f>
        <v>3</v>
      </c>
      <c r="H1839" s="3" t="str">
        <f aca="false">Raw_Data!G1839</f>
        <v>no</v>
      </c>
      <c r="I1839" s="3" t="str">
        <f aca="false">Raw_Data!H1839</f>
        <v>no</v>
      </c>
      <c r="J1839" s="2" t="n">
        <f aca="false">IF(F1839="yes",1,0)</f>
        <v>1</v>
      </c>
      <c r="K1839" s="2" t="n">
        <f aca="false">IF(H1839="yes",1,0)</f>
        <v>0</v>
      </c>
      <c r="L1839" s="2" t="n">
        <f aca="false">IF(I1839="yes",1,0)</f>
        <v>0</v>
      </c>
      <c r="M1839" s="2" t="n">
        <f aca="false">IF(G1839&lt;0,1,0)</f>
        <v>0</v>
      </c>
      <c r="N1839" s="2" t="str">
        <f aca="false">_xlfn.IFS(B1839&lt;30,"Under 30",B1839&lt;40,"30-39",B1839&lt;50,"40-49",B1839&lt;60,"50-59",TRUE(),"60+")</f>
        <v>30-39</v>
      </c>
      <c r="O1839" s="2" t="str">
        <f aca="false">_xlfn.IFS(G1839&lt;0,"1 Negative",G1839=0,"2 Zero",G1839&lt;=500,"3 1-500",G1839&lt;=2000,"4 501-2000",TRUE(),"5 Above 2000")</f>
        <v>3 1-500</v>
      </c>
      <c r="P1839" s="2" t="n">
        <f aca="false">Lookups!$B$2*M1839+Lookups!$B$3*L1839</f>
        <v>0</v>
      </c>
      <c r="Q1839" s="2" t="str">
        <f aca="false">INDEX(Lookups!$E$2:$E$5,MATCH(P1839,Lookups!$D$2:$D$5,0))</f>
        <v>Low</v>
      </c>
    </row>
    <row r="1840" customFormat="false" ht="15" hidden="false" customHeight="false" outlineLevel="0" collapsed="false">
      <c r="A1840" s="3" t="n">
        <v>1839</v>
      </c>
      <c r="B1840" s="3" t="n">
        <f aca="false">Raw_Data!A1840</f>
        <v>35</v>
      </c>
      <c r="C1840" s="3" t="str">
        <f aca="false">SUBSTITUTE(Raw_Data!B1840,".","")</f>
        <v>management</v>
      </c>
      <c r="D1840" s="3" t="str">
        <f aca="false">Raw_Data!C1840</f>
        <v>married</v>
      </c>
      <c r="E1840" s="3" t="str">
        <f aca="false">Raw_Data!D1840</f>
        <v>secondary</v>
      </c>
      <c r="F1840" s="3" t="str">
        <f aca="false">Raw_Data!E1840</f>
        <v>no</v>
      </c>
      <c r="G1840" s="3" t="n">
        <f aca="false">Raw_Data!F1840</f>
        <v>839</v>
      </c>
      <c r="H1840" s="3" t="str">
        <f aca="false">Raw_Data!G1840</f>
        <v>yes</v>
      </c>
      <c r="I1840" s="3" t="str">
        <f aca="false">Raw_Data!H1840</f>
        <v>no</v>
      </c>
      <c r="J1840" s="2" t="n">
        <f aca="false">IF(F1840="yes",1,0)</f>
        <v>0</v>
      </c>
      <c r="K1840" s="2" t="n">
        <f aca="false">IF(H1840="yes",1,0)</f>
        <v>1</v>
      </c>
      <c r="L1840" s="2" t="n">
        <f aca="false">IF(I1840="yes",1,0)</f>
        <v>0</v>
      </c>
      <c r="M1840" s="2" t="n">
        <f aca="false">IF(G1840&lt;0,1,0)</f>
        <v>0</v>
      </c>
      <c r="N1840" s="2" t="str">
        <f aca="false">_xlfn.IFS(B1840&lt;30,"Under 30",B1840&lt;40,"30-39",B1840&lt;50,"40-49",B1840&lt;60,"50-59",TRUE(),"60+")</f>
        <v>30-39</v>
      </c>
      <c r="O1840" s="2" t="str">
        <f aca="false">_xlfn.IFS(G1840&lt;0,"1 Negative",G1840=0,"2 Zero",G1840&lt;=500,"3 1-500",G1840&lt;=2000,"4 501-2000",TRUE(),"5 Above 2000")</f>
        <v>4 501-2000</v>
      </c>
      <c r="P1840" s="2" t="n">
        <f aca="false">Lookups!$B$2*M1840+Lookups!$B$3*L1840</f>
        <v>0</v>
      </c>
      <c r="Q1840" s="2" t="str">
        <f aca="false">INDEX(Lookups!$E$2:$E$5,MATCH(P1840,Lookups!$D$2:$D$5,0))</f>
        <v>Low</v>
      </c>
    </row>
    <row r="1841" customFormat="false" ht="15" hidden="false" customHeight="false" outlineLevel="0" collapsed="false">
      <c r="A1841" s="3" t="n">
        <v>1840</v>
      </c>
      <c r="B1841" s="3" t="n">
        <f aca="false">Raw_Data!A1841</f>
        <v>32</v>
      </c>
      <c r="C1841" s="3" t="str">
        <f aca="false">SUBSTITUTE(Raw_Data!B1841,".","")</f>
        <v>blue-collar</v>
      </c>
      <c r="D1841" s="3" t="str">
        <f aca="false">Raw_Data!C1841</f>
        <v>married</v>
      </c>
      <c r="E1841" s="3" t="str">
        <f aca="false">Raw_Data!D1841</f>
        <v>primary</v>
      </c>
      <c r="F1841" s="3" t="str">
        <f aca="false">Raw_Data!E1841</f>
        <v>no</v>
      </c>
      <c r="G1841" s="3" t="n">
        <f aca="false">Raw_Data!F1841</f>
        <v>103</v>
      </c>
      <c r="H1841" s="3" t="str">
        <f aca="false">Raw_Data!G1841</f>
        <v>no</v>
      </c>
      <c r="I1841" s="3" t="str">
        <f aca="false">Raw_Data!H1841</f>
        <v>no</v>
      </c>
      <c r="J1841" s="2" t="n">
        <f aca="false">IF(F1841="yes",1,0)</f>
        <v>0</v>
      </c>
      <c r="K1841" s="2" t="n">
        <f aca="false">IF(H1841="yes",1,0)</f>
        <v>0</v>
      </c>
      <c r="L1841" s="2" t="n">
        <f aca="false">IF(I1841="yes",1,0)</f>
        <v>0</v>
      </c>
      <c r="M1841" s="2" t="n">
        <f aca="false">IF(G1841&lt;0,1,0)</f>
        <v>0</v>
      </c>
      <c r="N1841" s="2" t="str">
        <f aca="false">_xlfn.IFS(B1841&lt;30,"Under 30",B1841&lt;40,"30-39",B1841&lt;50,"40-49",B1841&lt;60,"50-59",TRUE(),"60+")</f>
        <v>30-39</v>
      </c>
      <c r="O1841" s="2" t="str">
        <f aca="false">_xlfn.IFS(G1841&lt;0,"1 Negative",G1841=0,"2 Zero",G1841&lt;=500,"3 1-500",G1841&lt;=2000,"4 501-2000",TRUE(),"5 Above 2000")</f>
        <v>3 1-500</v>
      </c>
      <c r="P1841" s="2" t="n">
        <f aca="false">Lookups!$B$2*M1841+Lookups!$B$3*L1841</f>
        <v>0</v>
      </c>
      <c r="Q1841" s="2" t="str">
        <f aca="false">INDEX(Lookups!$E$2:$E$5,MATCH(P1841,Lookups!$D$2:$D$5,0))</f>
        <v>Low</v>
      </c>
    </row>
    <row r="1842" customFormat="false" ht="15" hidden="false" customHeight="false" outlineLevel="0" collapsed="false">
      <c r="A1842" s="3" t="n">
        <v>1841</v>
      </c>
      <c r="B1842" s="3" t="n">
        <f aca="false">Raw_Data!A1842</f>
        <v>44</v>
      </c>
      <c r="C1842" s="3" t="str">
        <f aca="false">SUBSTITUTE(Raw_Data!B1842,".","")</f>
        <v>technician</v>
      </c>
      <c r="D1842" s="3" t="str">
        <f aca="false">Raw_Data!C1842</f>
        <v>divorced</v>
      </c>
      <c r="E1842" s="3" t="str">
        <f aca="false">Raw_Data!D1842</f>
        <v>secondary</v>
      </c>
      <c r="F1842" s="3" t="str">
        <f aca="false">Raw_Data!E1842</f>
        <v>no</v>
      </c>
      <c r="G1842" s="3" t="n">
        <f aca="false">Raw_Data!F1842</f>
        <v>316</v>
      </c>
      <c r="H1842" s="3" t="str">
        <f aca="false">Raw_Data!G1842</f>
        <v>yes</v>
      </c>
      <c r="I1842" s="3" t="str">
        <f aca="false">Raw_Data!H1842</f>
        <v>no</v>
      </c>
      <c r="J1842" s="2" t="n">
        <f aca="false">IF(F1842="yes",1,0)</f>
        <v>0</v>
      </c>
      <c r="K1842" s="2" t="n">
        <f aca="false">IF(H1842="yes",1,0)</f>
        <v>1</v>
      </c>
      <c r="L1842" s="2" t="n">
        <f aca="false">IF(I1842="yes",1,0)</f>
        <v>0</v>
      </c>
      <c r="M1842" s="2" t="n">
        <f aca="false">IF(G1842&lt;0,1,0)</f>
        <v>0</v>
      </c>
      <c r="N1842" s="2" t="str">
        <f aca="false">_xlfn.IFS(B1842&lt;30,"Under 30",B1842&lt;40,"30-39",B1842&lt;50,"40-49",B1842&lt;60,"50-59",TRUE(),"60+")</f>
        <v>40-49</v>
      </c>
      <c r="O1842" s="2" t="str">
        <f aca="false">_xlfn.IFS(G1842&lt;0,"1 Negative",G1842=0,"2 Zero",G1842&lt;=500,"3 1-500",G1842&lt;=2000,"4 501-2000",TRUE(),"5 Above 2000")</f>
        <v>3 1-500</v>
      </c>
      <c r="P1842" s="2" t="n">
        <f aca="false">Lookups!$B$2*M1842+Lookups!$B$3*L1842</f>
        <v>0</v>
      </c>
      <c r="Q1842" s="2" t="str">
        <f aca="false">INDEX(Lookups!$E$2:$E$5,MATCH(P1842,Lookups!$D$2:$D$5,0))</f>
        <v>Low</v>
      </c>
    </row>
    <row r="1843" customFormat="false" ht="15" hidden="false" customHeight="false" outlineLevel="0" collapsed="false">
      <c r="A1843" s="3" t="n">
        <v>1842</v>
      </c>
      <c r="B1843" s="3" t="n">
        <f aca="false">Raw_Data!A1843</f>
        <v>41</v>
      </c>
      <c r="C1843" s="3" t="str">
        <f aca="false">SUBSTITUTE(Raw_Data!B1843,".","")</f>
        <v>technician</v>
      </c>
      <c r="D1843" s="3" t="str">
        <f aca="false">Raw_Data!C1843</f>
        <v>single</v>
      </c>
      <c r="E1843" s="3" t="str">
        <f aca="false">Raw_Data!D1843</f>
        <v>secondary</v>
      </c>
      <c r="F1843" s="3" t="str">
        <f aca="false">Raw_Data!E1843</f>
        <v>no</v>
      </c>
      <c r="G1843" s="3" t="n">
        <f aca="false">Raw_Data!F1843</f>
        <v>1680</v>
      </c>
      <c r="H1843" s="3" t="str">
        <f aca="false">Raw_Data!G1843</f>
        <v>yes</v>
      </c>
      <c r="I1843" s="3" t="str">
        <f aca="false">Raw_Data!H1843</f>
        <v>no</v>
      </c>
      <c r="J1843" s="2" t="n">
        <f aca="false">IF(F1843="yes",1,0)</f>
        <v>0</v>
      </c>
      <c r="K1843" s="2" t="n">
        <f aca="false">IF(H1843="yes",1,0)</f>
        <v>1</v>
      </c>
      <c r="L1843" s="2" t="n">
        <f aca="false">IF(I1843="yes",1,0)</f>
        <v>0</v>
      </c>
      <c r="M1843" s="2" t="n">
        <f aca="false">IF(G1843&lt;0,1,0)</f>
        <v>0</v>
      </c>
      <c r="N1843" s="2" t="str">
        <f aca="false">_xlfn.IFS(B1843&lt;30,"Under 30",B1843&lt;40,"30-39",B1843&lt;50,"40-49",B1843&lt;60,"50-59",TRUE(),"60+")</f>
        <v>40-49</v>
      </c>
      <c r="O1843" s="2" t="str">
        <f aca="false">_xlfn.IFS(G1843&lt;0,"1 Negative",G1843=0,"2 Zero",G1843&lt;=500,"3 1-500",G1843&lt;=2000,"4 501-2000",TRUE(),"5 Above 2000")</f>
        <v>4 501-2000</v>
      </c>
      <c r="P1843" s="2" t="n">
        <f aca="false">Lookups!$B$2*M1843+Lookups!$B$3*L1843</f>
        <v>0</v>
      </c>
      <c r="Q1843" s="2" t="str">
        <f aca="false">INDEX(Lookups!$E$2:$E$5,MATCH(P1843,Lookups!$D$2:$D$5,0))</f>
        <v>Low</v>
      </c>
    </row>
    <row r="1844" customFormat="false" ht="15" hidden="false" customHeight="false" outlineLevel="0" collapsed="false">
      <c r="A1844" s="3" t="n">
        <v>1843</v>
      </c>
      <c r="B1844" s="3" t="n">
        <f aca="false">Raw_Data!A1844</f>
        <v>59</v>
      </c>
      <c r="C1844" s="3" t="str">
        <f aca="false">SUBSTITUTE(Raw_Data!B1844,".","")</f>
        <v>retired</v>
      </c>
      <c r="D1844" s="3" t="str">
        <f aca="false">Raw_Data!C1844</f>
        <v>divorced</v>
      </c>
      <c r="E1844" s="3" t="str">
        <f aca="false">Raw_Data!D1844</f>
        <v>primary</v>
      </c>
      <c r="F1844" s="3" t="str">
        <f aca="false">Raw_Data!E1844</f>
        <v>no</v>
      </c>
      <c r="G1844" s="3" t="n">
        <f aca="false">Raw_Data!F1844</f>
        <v>7179</v>
      </c>
      <c r="H1844" s="3" t="str">
        <f aca="false">Raw_Data!G1844</f>
        <v>no</v>
      </c>
      <c r="I1844" s="3" t="str">
        <f aca="false">Raw_Data!H1844</f>
        <v>no</v>
      </c>
      <c r="J1844" s="2" t="n">
        <f aca="false">IF(F1844="yes",1,0)</f>
        <v>0</v>
      </c>
      <c r="K1844" s="2" t="n">
        <f aca="false">IF(H1844="yes",1,0)</f>
        <v>0</v>
      </c>
      <c r="L1844" s="2" t="n">
        <f aca="false">IF(I1844="yes",1,0)</f>
        <v>0</v>
      </c>
      <c r="M1844" s="2" t="n">
        <f aca="false">IF(G1844&lt;0,1,0)</f>
        <v>0</v>
      </c>
      <c r="N1844" s="2" t="str">
        <f aca="false">_xlfn.IFS(B1844&lt;30,"Under 30",B1844&lt;40,"30-39",B1844&lt;50,"40-49",B1844&lt;60,"50-59",TRUE(),"60+")</f>
        <v>50-59</v>
      </c>
      <c r="O1844" s="2" t="str">
        <f aca="false">_xlfn.IFS(G1844&lt;0,"1 Negative",G1844=0,"2 Zero",G1844&lt;=500,"3 1-500",G1844&lt;=2000,"4 501-2000",TRUE(),"5 Above 2000")</f>
        <v>5 Above 2000</v>
      </c>
      <c r="P1844" s="2" t="n">
        <f aca="false">Lookups!$B$2*M1844+Lookups!$B$3*L1844</f>
        <v>0</v>
      </c>
      <c r="Q1844" s="2" t="str">
        <f aca="false">INDEX(Lookups!$E$2:$E$5,MATCH(P1844,Lookups!$D$2:$D$5,0))</f>
        <v>Low</v>
      </c>
    </row>
    <row r="1845" customFormat="false" ht="15" hidden="false" customHeight="false" outlineLevel="0" collapsed="false">
      <c r="A1845" s="3" t="n">
        <v>1844</v>
      </c>
      <c r="B1845" s="3" t="n">
        <f aca="false">Raw_Data!A1845</f>
        <v>39</v>
      </c>
      <c r="C1845" s="3" t="str">
        <f aca="false">SUBSTITUTE(Raw_Data!B1845,".","")</f>
        <v>services</v>
      </c>
      <c r="D1845" s="3" t="str">
        <f aca="false">Raw_Data!C1845</f>
        <v>married</v>
      </c>
      <c r="E1845" s="3" t="str">
        <f aca="false">Raw_Data!D1845</f>
        <v>secondary</v>
      </c>
      <c r="F1845" s="3" t="str">
        <f aca="false">Raw_Data!E1845</f>
        <v>no</v>
      </c>
      <c r="G1845" s="3" t="n">
        <f aca="false">Raw_Data!F1845</f>
        <v>247</v>
      </c>
      <c r="H1845" s="3" t="str">
        <f aca="false">Raw_Data!G1845</f>
        <v>yes</v>
      </c>
      <c r="I1845" s="3" t="str">
        <f aca="false">Raw_Data!H1845</f>
        <v>no</v>
      </c>
      <c r="J1845" s="2" t="n">
        <f aca="false">IF(F1845="yes",1,0)</f>
        <v>0</v>
      </c>
      <c r="K1845" s="2" t="n">
        <f aca="false">IF(H1845="yes",1,0)</f>
        <v>1</v>
      </c>
      <c r="L1845" s="2" t="n">
        <f aca="false">IF(I1845="yes",1,0)</f>
        <v>0</v>
      </c>
      <c r="M1845" s="2" t="n">
        <f aca="false">IF(G1845&lt;0,1,0)</f>
        <v>0</v>
      </c>
      <c r="N1845" s="2" t="str">
        <f aca="false">_xlfn.IFS(B1845&lt;30,"Under 30",B1845&lt;40,"30-39",B1845&lt;50,"40-49",B1845&lt;60,"50-59",TRUE(),"60+")</f>
        <v>30-39</v>
      </c>
      <c r="O1845" s="2" t="str">
        <f aca="false">_xlfn.IFS(G1845&lt;0,"1 Negative",G1845=0,"2 Zero",G1845&lt;=500,"3 1-500",G1845&lt;=2000,"4 501-2000",TRUE(),"5 Above 2000")</f>
        <v>3 1-500</v>
      </c>
      <c r="P1845" s="2" t="n">
        <f aca="false">Lookups!$B$2*M1845+Lookups!$B$3*L1845</f>
        <v>0</v>
      </c>
      <c r="Q1845" s="2" t="str">
        <f aca="false">INDEX(Lookups!$E$2:$E$5,MATCH(P1845,Lookups!$D$2:$D$5,0))</f>
        <v>Low</v>
      </c>
    </row>
    <row r="1846" customFormat="false" ht="15" hidden="false" customHeight="false" outlineLevel="0" collapsed="false">
      <c r="A1846" s="3" t="n">
        <v>1845</v>
      </c>
      <c r="B1846" s="3" t="n">
        <f aca="false">Raw_Data!A1846</f>
        <v>54</v>
      </c>
      <c r="C1846" s="3" t="str">
        <f aca="false">SUBSTITUTE(Raw_Data!B1846,".","")</f>
        <v>management</v>
      </c>
      <c r="D1846" s="3" t="str">
        <f aca="false">Raw_Data!C1846</f>
        <v>married</v>
      </c>
      <c r="E1846" s="3" t="str">
        <f aca="false">Raw_Data!D1846</f>
        <v>tertiary</v>
      </c>
      <c r="F1846" s="3" t="str">
        <f aca="false">Raw_Data!E1846</f>
        <v>no</v>
      </c>
      <c r="G1846" s="3" t="n">
        <f aca="false">Raw_Data!F1846</f>
        <v>8295</v>
      </c>
      <c r="H1846" s="3" t="str">
        <f aca="false">Raw_Data!G1846</f>
        <v>no</v>
      </c>
      <c r="I1846" s="3" t="str">
        <f aca="false">Raw_Data!H1846</f>
        <v>no</v>
      </c>
      <c r="J1846" s="2" t="n">
        <f aca="false">IF(F1846="yes",1,0)</f>
        <v>0</v>
      </c>
      <c r="K1846" s="2" t="n">
        <f aca="false">IF(H1846="yes",1,0)</f>
        <v>0</v>
      </c>
      <c r="L1846" s="2" t="n">
        <f aca="false">IF(I1846="yes",1,0)</f>
        <v>0</v>
      </c>
      <c r="M1846" s="2" t="n">
        <f aca="false">IF(G1846&lt;0,1,0)</f>
        <v>0</v>
      </c>
      <c r="N1846" s="2" t="str">
        <f aca="false">_xlfn.IFS(B1846&lt;30,"Under 30",B1846&lt;40,"30-39",B1846&lt;50,"40-49",B1846&lt;60,"50-59",TRUE(),"60+")</f>
        <v>50-59</v>
      </c>
      <c r="O1846" s="2" t="str">
        <f aca="false">_xlfn.IFS(G1846&lt;0,"1 Negative",G1846=0,"2 Zero",G1846&lt;=500,"3 1-500",G1846&lt;=2000,"4 501-2000",TRUE(),"5 Above 2000")</f>
        <v>5 Above 2000</v>
      </c>
      <c r="P1846" s="2" t="n">
        <f aca="false">Lookups!$B$2*M1846+Lookups!$B$3*L1846</f>
        <v>0</v>
      </c>
      <c r="Q1846" s="2" t="str">
        <f aca="false">INDEX(Lookups!$E$2:$E$5,MATCH(P1846,Lookups!$D$2:$D$5,0))</f>
        <v>Low</v>
      </c>
    </row>
    <row r="1847" customFormat="false" ht="15" hidden="false" customHeight="false" outlineLevel="0" collapsed="false">
      <c r="A1847" s="3" t="n">
        <v>1846</v>
      </c>
      <c r="B1847" s="3" t="n">
        <f aca="false">Raw_Data!A1847</f>
        <v>27</v>
      </c>
      <c r="C1847" s="3" t="str">
        <f aca="false">SUBSTITUTE(Raw_Data!B1847,".","")</f>
        <v>services</v>
      </c>
      <c r="D1847" s="3" t="str">
        <f aca="false">Raw_Data!C1847</f>
        <v>single</v>
      </c>
      <c r="E1847" s="3" t="str">
        <f aca="false">Raw_Data!D1847</f>
        <v>secondary</v>
      </c>
      <c r="F1847" s="3" t="str">
        <f aca="false">Raw_Data!E1847</f>
        <v>no</v>
      </c>
      <c r="G1847" s="3" t="n">
        <f aca="false">Raw_Data!F1847</f>
        <v>261</v>
      </c>
      <c r="H1847" s="3" t="str">
        <f aca="false">Raw_Data!G1847</f>
        <v>yes</v>
      </c>
      <c r="I1847" s="3" t="str">
        <f aca="false">Raw_Data!H1847</f>
        <v>yes</v>
      </c>
      <c r="J1847" s="2" t="n">
        <f aca="false">IF(F1847="yes",1,0)</f>
        <v>0</v>
      </c>
      <c r="K1847" s="2" t="n">
        <f aca="false">IF(H1847="yes",1,0)</f>
        <v>1</v>
      </c>
      <c r="L1847" s="2" t="n">
        <f aca="false">IF(I1847="yes",1,0)</f>
        <v>1</v>
      </c>
      <c r="M1847" s="2" t="n">
        <f aca="false">IF(G1847&lt;0,1,0)</f>
        <v>0</v>
      </c>
      <c r="N1847" s="2" t="str">
        <f aca="false">_xlfn.IFS(B1847&lt;30,"Under 30",B1847&lt;40,"30-39",B1847&lt;50,"40-49",B1847&lt;60,"50-59",TRUE(),"60+")</f>
        <v>Under 30</v>
      </c>
      <c r="O1847" s="2" t="str">
        <f aca="false">_xlfn.IFS(G1847&lt;0,"1 Negative",G1847=0,"2 Zero",G1847&lt;=500,"3 1-500",G1847&lt;=2000,"4 501-2000",TRUE(),"5 Above 2000")</f>
        <v>3 1-500</v>
      </c>
      <c r="P1847" s="2" t="n">
        <f aca="false">Lookups!$B$2*M1847+Lookups!$B$3*L1847</f>
        <v>1</v>
      </c>
      <c r="Q1847" s="2" t="str">
        <f aca="false">INDEX(Lookups!$E$2:$E$5,MATCH(P1847,Lookups!$D$2:$D$5,0))</f>
        <v>Medium</v>
      </c>
    </row>
    <row r="1848" customFormat="false" ht="15" hidden="false" customHeight="false" outlineLevel="0" collapsed="false">
      <c r="A1848" s="3" t="n">
        <v>1847</v>
      </c>
      <c r="B1848" s="3" t="n">
        <f aca="false">Raw_Data!A1848</f>
        <v>51</v>
      </c>
      <c r="C1848" s="3" t="str">
        <f aca="false">SUBSTITUTE(Raw_Data!B1848,".","")</f>
        <v>self-employed</v>
      </c>
      <c r="D1848" s="3" t="str">
        <f aca="false">Raw_Data!C1848</f>
        <v>married</v>
      </c>
      <c r="E1848" s="3" t="str">
        <f aca="false">Raw_Data!D1848</f>
        <v>secondary</v>
      </c>
      <c r="F1848" s="3" t="str">
        <f aca="false">Raw_Data!E1848</f>
        <v>no</v>
      </c>
      <c r="G1848" s="3" t="n">
        <f aca="false">Raw_Data!F1848</f>
        <v>95</v>
      </c>
      <c r="H1848" s="3" t="str">
        <f aca="false">Raw_Data!G1848</f>
        <v>yes</v>
      </c>
      <c r="I1848" s="3" t="str">
        <f aca="false">Raw_Data!H1848</f>
        <v>no</v>
      </c>
      <c r="J1848" s="2" t="n">
        <f aca="false">IF(F1848="yes",1,0)</f>
        <v>0</v>
      </c>
      <c r="K1848" s="2" t="n">
        <f aca="false">IF(H1848="yes",1,0)</f>
        <v>1</v>
      </c>
      <c r="L1848" s="2" t="n">
        <f aca="false">IF(I1848="yes",1,0)</f>
        <v>0</v>
      </c>
      <c r="M1848" s="2" t="n">
        <f aca="false">IF(G1848&lt;0,1,0)</f>
        <v>0</v>
      </c>
      <c r="N1848" s="2" t="str">
        <f aca="false">_xlfn.IFS(B1848&lt;30,"Under 30",B1848&lt;40,"30-39",B1848&lt;50,"40-49",B1848&lt;60,"50-59",TRUE(),"60+")</f>
        <v>50-59</v>
      </c>
      <c r="O1848" s="2" t="str">
        <f aca="false">_xlfn.IFS(G1848&lt;0,"1 Negative",G1848=0,"2 Zero",G1848&lt;=500,"3 1-500",G1848&lt;=2000,"4 501-2000",TRUE(),"5 Above 2000")</f>
        <v>3 1-500</v>
      </c>
      <c r="P1848" s="2" t="n">
        <f aca="false">Lookups!$B$2*M1848+Lookups!$B$3*L1848</f>
        <v>0</v>
      </c>
      <c r="Q1848" s="2" t="str">
        <f aca="false">INDEX(Lookups!$E$2:$E$5,MATCH(P1848,Lookups!$D$2:$D$5,0))</f>
        <v>Low</v>
      </c>
    </row>
    <row r="1849" customFormat="false" ht="15" hidden="false" customHeight="false" outlineLevel="0" collapsed="false">
      <c r="A1849" s="3" t="n">
        <v>1848</v>
      </c>
      <c r="B1849" s="3" t="n">
        <f aca="false">Raw_Data!A1849</f>
        <v>33</v>
      </c>
      <c r="C1849" s="3" t="str">
        <f aca="false">SUBSTITUTE(Raw_Data!B1849,".","")</f>
        <v>technician</v>
      </c>
      <c r="D1849" s="3" t="str">
        <f aca="false">Raw_Data!C1849</f>
        <v>single</v>
      </c>
      <c r="E1849" s="3" t="str">
        <f aca="false">Raw_Data!D1849</f>
        <v>secondary</v>
      </c>
      <c r="F1849" s="3" t="str">
        <f aca="false">Raw_Data!E1849</f>
        <v>no</v>
      </c>
      <c r="G1849" s="3" t="n">
        <f aca="false">Raw_Data!F1849</f>
        <v>291</v>
      </c>
      <c r="H1849" s="3" t="str">
        <f aca="false">Raw_Data!G1849</f>
        <v>no</v>
      </c>
      <c r="I1849" s="3" t="str">
        <f aca="false">Raw_Data!H1849</f>
        <v>no</v>
      </c>
      <c r="J1849" s="2" t="n">
        <f aca="false">IF(F1849="yes",1,0)</f>
        <v>0</v>
      </c>
      <c r="K1849" s="2" t="n">
        <f aca="false">IF(H1849="yes",1,0)</f>
        <v>0</v>
      </c>
      <c r="L1849" s="2" t="n">
        <f aca="false">IF(I1849="yes",1,0)</f>
        <v>0</v>
      </c>
      <c r="M1849" s="2" t="n">
        <f aca="false">IF(G1849&lt;0,1,0)</f>
        <v>0</v>
      </c>
      <c r="N1849" s="2" t="str">
        <f aca="false">_xlfn.IFS(B1849&lt;30,"Under 30",B1849&lt;40,"30-39",B1849&lt;50,"40-49",B1849&lt;60,"50-59",TRUE(),"60+")</f>
        <v>30-39</v>
      </c>
      <c r="O1849" s="2" t="str">
        <f aca="false">_xlfn.IFS(G1849&lt;0,"1 Negative",G1849=0,"2 Zero",G1849&lt;=500,"3 1-500",G1849&lt;=2000,"4 501-2000",TRUE(),"5 Above 2000")</f>
        <v>3 1-500</v>
      </c>
      <c r="P1849" s="2" t="n">
        <f aca="false">Lookups!$B$2*M1849+Lookups!$B$3*L1849</f>
        <v>0</v>
      </c>
      <c r="Q1849" s="2" t="str">
        <f aca="false">INDEX(Lookups!$E$2:$E$5,MATCH(P1849,Lookups!$D$2:$D$5,0))</f>
        <v>Low</v>
      </c>
    </row>
    <row r="1850" customFormat="false" ht="15" hidden="false" customHeight="false" outlineLevel="0" collapsed="false">
      <c r="A1850" s="3" t="n">
        <v>1849</v>
      </c>
      <c r="B1850" s="3" t="n">
        <f aca="false">Raw_Data!A1850</f>
        <v>38</v>
      </c>
      <c r="C1850" s="3" t="str">
        <f aca="false">SUBSTITUTE(Raw_Data!B1850,".","")</f>
        <v>blue-collar</v>
      </c>
      <c r="D1850" s="3" t="str">
        <f aca="false">Raw_Data!C1850</f>
        <v>married</v>
      </c>
      <c r="E1850" s="3" t="str">
        <f aca="false">Raw_Data!D1850</f>
        <v>primary</v>
      </c>
      <c r="F1850" s="3" t="str">
        <f aca="false">Raw_Data!E1850</f>
        <v>no</v>
      </c>
      <c r="G1850" s="3" t="n">
        <f aca="false">Raw_Data!F1850</f>
        <v>2240</v>
      </c>
      <c r="H1850" s="3" t="str">
        <f aca="false">Raw_Data!G1850</f>
        <v>yes</v>
      </c>
      <c r="I1850" s="3" t="str">
        <f aca="false">Raw_Data!H1850</f>
        <v>no</v>
      </c>
      <c r="J1850" s="2" t="n">
        <f aca="false">IF(F1850="yes",1,0)</f>
        <v>0</v>
      </c>
      <c r="K1850" s="2" t="n">
        <f aca="false">IF(H1850="yes",1,0)</f>
        <v>1</v>
      </c>
      <c r="L1850" s="2" t="n">
        <f aca="false">IF(I1850="yes",1,0)</f>
        <v>0</v>
      </c>
      <c r="M1850" s="2" t="n">
        <f aca="false">IF(G1850&lt;0,1,0)</f>
        <v>0</v>
      </c>
      <c r="N1850" s="2" t="str">
        <f aca="false">_xlfn.IFS(B1850&lt;30,"Under 30",B1850&lt;40,"30-39",B1850&lt;50,"40-49",B1850&lt;60,"50-59",TRUE(),"60+")</f>
        <v>30-39</v>
      </c>
      <c r="O1850" s="2" t="str">
        <f aca="false">_xlfn.IFS(G1850&lt;0,"1 Negative",G1850=0,"2 Zero",G1850&lt;=500,"3 1-500",G1850&lt;=2000,"4 501-2000",TRUE(),"5 Above 2000")</f>
        <v>5 Above 2000</v>
      </c>
      <c r="P1850" s="2" t="n">
        <f aca="false">Lookups!$B$2*M1850+Lookups!$B$3*L1850</f>
        <v>0</v>
      </c>
      <c r="Q1850" s="2" t="str">
        <f aca="false">INDEX(Lookups!$E$2:$E$5,MATCH(P1850,Lookups!$D$2:$D$5,0))</f>
        <v>Low</v>
      </c>
    </row>
    <row r="1851" customFormat="false" ht="15" hidden="false" customHeight="false" outlineLevel="0" collapsed="false">
      <c r="A1851" s="3" t="n">
        <v>1850</v>
      </c>
      <c r="B1851" s="3" t="n">
        <f aca="false">Raw_Data!A1851</f>
        <v>52</v>
      </c>
      <c r="C1851" s="3" t="str">
        <f aca="false">SUBSTITUTE(Raw_Data!B1851,".","")</f>
        <v>entrepreneur</v>
      </c>
      <c r="D1851" s="3" t="str">
        <f aca="false">Raw_Data!C1851</f>
        <v>married</v>
      </c>
      <c r="E1851" s="3" t="str">
        <f aca="false">Raw_Data!D1851</f>
        <v>tertiary</v>
      </c>
      <c r="F1851" s="3" t="str">
        <f aca="false">Raw_Data!E1851</f>
        <v>no</v>
      </c>
      <c r="G1851" s="3" t="n">
        <f aca="false">Raw_Data!F1851</f>
        <v>0</v>
      </c>
      <c r="H1851" s="3" t="str">
        <f aca="false">Raw_Data!G1851</f>
        <v>no</v>
      </c>
      <c r="I1851" s="3" t="str">
        <f aca="false">Raw_Data!H1851</f>
        <v>no</v>
      </c>
      <c r="J1851" s="2" t="n">
        <f aca="false">IF(F1851="yes",1,0)</f>
        <v>0</v>
      </c>
      <c r="K1851" s="2" t="n">
        <f aca="false">IF(H1851="yes",1,0)</f>
        <v>0</v>
      </c>
      <c r="L1851" s="2" t="n">
        <f aca="false">IF(I1851="yes",1,0)</f>
        <v>0</v>
      </c>
      <c r="M1851" s="2" t="n">
        <f aca="false">IF(G1851&lt;0,1,0)</f>
        <v>0</v>
      </c>
      <c r="N1851" s="2" t="str">
        <f aca="false">_xlfn.IFS(B1851&lt;30,"Under 30",B1851&lt;40,"30-39",B1851&lt;50,"40-49",B1851&lt;60,"50-59",TRUE(),"60+")</f>
        <v>50-59</v>
      </c>
      <c r="O1851" s="2" t="str">
        <f aca="false">_xlfn.IFS(G1851&lt;0,"1 Negative",G1851=0,"2 Zero",G1851&lt;=500,"3 1-500",G1851&lt;=2000,"4 501-2000",TRUE(),"5 Above 2000")</f>
        <v>2 Zero</v>
      </c>
      <c r="P1851" s="2" t="n">
        <f aca="false">Lookups!$B$2*M1851+Lookups!$B$3*L1851</f>
        <v>0</v>
      </c>
      <c r="Q1851" s="2" t="str">
        <f aca="false">INDEX(Lookups!$E$2:$E$5,MATCH(P1851,Lookups!$D$2:$D$5,0))</f>
        <v>Low</v>
      </c>
    </row>
    <row r="1852" customFormat="false" ht="15" hidden="false" customHeight="false" outlineLevel="0" collapsed="false">
      <c r="A1852" s="3" t="n">
        <v>1851</v>
      </c>
      <c r="B1852" s="3" t="n">
        <f aca="false">Raw_Data!A1852</f>
        <v>54</v>
      </c>
      <c r="C1852" s="3" t="str">
        <f aca="false">SUBSTITUTE(Raw_Data!B1852,".","")</f>
        <v>management</v>
      </c>
      <c r="D1852" s="3" t="str">
        <f aca="false">Raw_Data!C1852</f>
        <v>divorced</v>
      </c>
      <c r="E1852" s="3" t="str">
        <f aca="false">Raw_Data!D1852</f>
        <v>tertiary</v>
      </c>
      <c r="F1852" s="3" t="str">
        <f aca="false">Raw_Data!E1852</f>
        <v>no</v>
      </c>
      <c r="G1852" s="3" t="n">
        <f aca="false">Raw_Data!F1852</f>
        <v>1295</v>
      </c>
      <c r="H1852" s="3" t="str">
        <f aca="false">Raw_Data!G1852</f>
        <v>yes</v>
      </c>
      <c r="I1852" s="3" t="str">
        <f aca="false">Raw_Data!H1852</f>
        <v>no</v>
      </c>
      <c r="J1852" s="2" t="n">
        <f aca="false">IF(F1852="yes",1,0)</f>
        <v>0</v>
      </c>
      <c r="K1852" s="2" t="n">
        <f aca="false">IF(H1852="yes",1,0)</f>
        <v>1</v>
      </c>
      <c r="L1852" s="2" t="n">
        <f aca="false">IF(I1852="yes",1,0)</f>
        <v>0</v>
      </c>
      <c r="M1852" s="2" t="n">
        <f aca="false">IF(G1852&lt;0,1,0)</f>
        <v>0</v>
      </c>
      <c r="N1852" s="2" t="str">
        <f aca="false">_xlfn.IFS(B1852&lt;30,"Under 30",B1852&lt;40,"30-39",B1852&lt;50,"40-49",B1852&lt;60,"50-59",TRUE(),"60+")</f>
        <v>50-59</v>
      </c>
      <c r="O1852" s="2" t="str">
        <f aca="false">_xlfn.IFS(G1852&lt;0,"1 Negative",G1852=0,"2 Zero",G1852&lt;=500,"3 1-500",G1852&lt;=2000,"4 501-2000",TRUE(),"5 Above 2000")</f>
        <v>4 501-2000</v>
      </c>
      <c r="P1852" s="2" t="n">
        <f aca="false">Lookups!$B$2*M1852+Lookups!$B$3*L1852</f>
        <v>0</v>
      </c>
      <c r="Q1852" s="2" t="str">
        <f aca="false">INDEX(Lookups!$E$2:$E$5,MATCH(P1852,Lookups!$D$2:$D$5,0))</f>
        <v>Low</v>
      </c>
    </row>
    <row r="1853" customFormat="false" ht="15" hidden="false" customHeight="false" outlineLevel="0" collapsed="false">
      <c r="A1853" s="3" t="n">
        <v>1852</v>
      </c>
      <c r="B1853" s="3" t="n">
        <f aca="false">Raw_Data!A1853</f>
        <v>33</v>
      </c>
      <c r="C1853" s="3" t="str">
        <f aca="false">SUBSTITUTE(Raw_Data!B1853,".","")</f>
        <v>blue-collar</v>
      </c>
      <c r="D1853" s="3" t="str">
        <f aca="false">Raw_Data!C1853</f>
        <v>married</v>
      </c>
      <c r="E1853" s="3" t="str">
        <f aca="false">Raw_Data!D1853</f>
        <v>primary</v>
      </c>
      <c r="F1853" s="3" t="str">
        <f aca="false">Raw_Data!E1853</f>
        <v>no</v>
      </c>
      <c r="G1853" s="3" t="n">
        <f aca="false">Raw_Data!F1853</f>
        <v>324</v>
      </c>
      <c r="H1853" s="3" t="str">
        <f aca="false">Raw_Data!G1853</f>
        <v>yes</v>
      </c>
      <c r="I1853" s="3" t="str">
        <f aca="false">Raw_Data!H1853</f>
        <v>no</v>
      </c>
      <c r="J1853" s="2" t="n">
        <f aca="false">IF(F1853="yes",1,0)</f>
        <v>0</v>
      </c>
      <c r="K1853" s="2" t="n">
        <f aca="false">IF(H1853="yes",1,0)</f>
        <v>1</v>
      </c>
      <c r="L1853" s="2" t="n">
        <f aca="false">IF(I1853="yes",1,0)</f>
        <v>0</v>
      </c>
      <c r="M1853" s="2" t="n">
        <f aca="false">IF(G1853&lt;0,1,0)</f>
        <v>0</v>
      </c>
      <c r="N1853" s="2" t="str">
        <f aca="false">_xlfn.IFS(B1853&lt;30,"Under 30",B1853&lt;40,"30-39",B1853&lt;50,"40-49",B1853&lt;60,"50-59",TRUE(),"60+")</f>
        <v>30-39</v>
      </c>
      <c r="O1853" s="2" t="str">
        <f aca="false">_xlfn.IFS(G1853&lt;0,"1 Negative",G1853=0,"2 Zero",G1853&lt;=500,"3 1-500",G1853&lt;=2000,"4 501-2000",TRUE(),"5 Above 2000")</f>
        <v>3 1-500</v>
      </c>
      <c r="P1853" s="2" t="n">
        <f aca="false">Lookups!$B$2*M1853+Lookups!$B$3*L1853</f>
        <v>0</v>
      </c>
      <c r="Q1853" s="2" t="str">
        <f aca="false">INDEX(Lookups!$E$2:$E$5,MATCH(P1853,Lookups!$D$2:$D$5,0))</f>
        <v>Low</v>
      </c>
    </row>
    <row r="1854" customFormat="false" ht="15" hidden="false" customHeight="false" outlineLevel="0" collapsed="false">
      <c r="A1854" s="3" t="n">
        <v>1853</v>
      </c>
      <c r="B1854" s="3" t="n">
        <f aca="false">Raw_Data!A1854</f>
        <v>50</v>
      </c>
      <c r="C1854" s="3" t="str">
        <f aca="false">SUBSTITUTE(Raw_Data!B1854,".","")</f>
        <v>technician</v>
      </c>
      <c r="D1854" s="3" t="str">
        <f aca="false">Raw_Data!C1854</f>
        <v>married</v>
      </c>
      <c r="E1854" s="3" t="str">
        <f aca="false">Raw_Data!D1854</f>
        <v>secondary</v>
      </c>
      <c r="F1854" s="3" t="str">
        <f aca="false">Raw_Data!E1854</f>
        <v>no</v>
      </c>
      <c r="G1854" s="3" t="n">
        <f aca="false">Raw_Data!F1854</f>
        <v>669</v>
      </c>
      <c r="H1854" s="3" t="str">
        <f aca="false">Raw_Data!G1854</f>
        <v>yes</v>
      </c>
      <c r="I1854" s="3" t="str">
        <f aca="false">Raw_Data!H1854</f>
        <v>no</v>
      </c>
      <c r="J1854" s="2" t="n">
        <f aca="false">IF(F1854="yes",1,0)</f>
        <v>0</v>
      </c>
      <c r="K1854" s="2" t="n">
        <f aca="false">IF(H1854="yes",1,0)</f>
        <v>1</v>
      </c>
      <c r="L1854" s="2" t="n">
        <f aca="false">IF(I1854="yes",1,0)</f>
        <v>0</v>
      </c>
      <c r="M1854" s="2" t="n">
        <f aca="false">IF(G1854&lt;0,1,0)</f>
        <v>0</v>
      </c>
      <c r="N1854" s="2" t="str">
        <f aca="false">_xlfn.IFS(B1854&lt;30,"Under 30",B1854&lt;40,"30-39",B1854&lt;50,"40-49",B1854&lt;60,"50-59",TRUE(),"60+")</f>
        <v>50-59</v>
      </c>
      <c r="O1854" s="2" t="str">
        <f aca="false">_xlfn.IFS(G1854&lt;0,"1 Negative",G1854=0,"2 Zero",G1854&lt;=500,"3 1-500",G1854&lt;=2000,"4 501-2000",TRUE(),"5 Above 2000")</f>
        <v>4 501-2000</v>
      </c>
      <c r="P1854" s="2" t="n">
        <f aca="false">Lookups!$B$2*M1854+Lookups!$B$3*L1854</f>
        <v>0</v>
      </c>
      <c r="Q1854" s="2" t="str">
        <f aca="false">INDEX(Lookups!$E$2:$E$5,MATCH(P1854,Lookups!$D$2:$D$5,0))</f>
        <v>Low</v>
      </c>
    </row>
    <row r="1855" customFormat="false" ht="15" hidden="false" customHeight="false" outlineLevel="0" collapsed="false">
      <c r="A1855" s="3" t="n">
        <v>1854</v>
      </c>
      <c r="B1855" s="3" t="n">
        <f aca="false">Raw_Data!A1855</f>
        <v>39</v>
      </c>
      <c r="C1855" s="3" t="str">
        <f aca="false">SUBSTITUTE(Raw_Data!B1855,".","")</f>
        <v>blue-collar</v>
      </c>
      <c r="D1855" s="3" t="str">
        <f aca="false">Raw_Data!C1855</f>
        <v>single</v>
      </c>
      <c r="E1855" s="3" t="str">
        <f aca="false">Raw_Data!D1855</f>
        <v>secondary</v>
      </c>
      <c r="F1855" s="3" t="str">
        <f aca="false">Raw_Data!E1855</f>
        <v>no</v>
      </c>
      <c r="G1855" s="3" t="n">
        <f aca="false">Raw_Data!F1855</f>
        <v>4143</v>
      </c>
      <c r="H1855" s="3" t="str">
        <f aca="false">Raw_Data!G1855</f>
        <v>yes</v>
      </c>
      <c r="I1855" s="3" t="str">
        <f aca="false">Raw_Data!H1855</f>
        <v>yes</v>
      </c>
      <c r="J1855" s="2" t="n">
        <f aca="false">IF(F1855="yes",1,0)</f>
        <v>0</v>
      </c>
      <c r="K1855" s="2" t="n">
        <f aca="false">IF(H1855="yes",1,0)</f>
        <v>1</v>
      </c>
      <c r="L1855" s="2" t="n">
        <f aca="false">IF(I1855="yes",1,0)</f>
        <v>1</v>
      </c>
      <c r="M1855" s="2" t="n">
        <f aca="false">IF(G1855&lt;0,1,0)</f>
        <v>0</v>
      </c>
      <c r="N1855" s="2" t="str">
        <f aca="false">_xlfn.IFS(B1855&lt;30,"Under 30",B1855&lt;40,"30-39",B1855&lt;50,"40-49",B1855&lt;60,"50-59",TRUE(),"60+")</f>
        <v>30-39</v>
      </c>
      <c r="O1855" s="2" t="str">
        <f aca="false">_xlfn.IFS(G1855&lt;0,"1 Negative",G1855=0,"2 Zero",G1855&lt;=500,"3 1-500",G1855&lt;=2000,"4 501-2000",TRUE(),"5 Above 2000")</f>
        <v>5 Above 2000</v>
      </c>
      <c r="P1855" s="2" t="n">
        <f aca="false">Lookups!$B$2*M1855+Lookups!$B$3*L1855</f>
        <v>1</v>
      </c>
      <c r="Q1855" s="2" t="str">
        <f aca="false">INDEX(Lookups!$E$2:$E$5,MATCH(P1855,Lookups!$D$2:$D$5,0))</f>
        <v>Medium</v>
      </c>
    </row>
    <row r="1856" customFormat="false" ht="15" hidden="false" customHeight="false" outlineLevel="0" collapsed="false">
      <c r="A1856" s="3" t="n">
        <v>1855</v>
      </c>
      <c r="B1856" s="3" t="n">
        <f aca="false">Raw_Data!A1856</f>
        <v>34</v>
      </c>
      <c r="C1856" s="3" t="str">
        <f aca="false">SUBSTITUTE(Raw_Data!B1856,".","")</f>
        <v>management</v>
      </c>
      <c r="D1856" s="3" t="str">
        <f aca="false">Raw_Data!C1856</f>
        <v>single</v>
      </c>
      <c r="E1856" s="3" t="str">
        <f aca="false">Raw_Data!D1856</f>
        <v>tertiary</v>
      </c>
      <c r="F1856" s="3" t="str">
        <f aca="false">Raw_Data!E1856</f>
        <v>no</v>
      </c>
      <c r="G1856" s="3" t="n">
        <f aca="false">Raw_Data!F1856</f>
        <v>2646</v>
      </c>
      <c r="H1856" s="3" t="str">
        <f aca="false">Raw_Data!G1856</f>
        <v>no</v>
      </c>
      <c r="I1856" s="3" t="str">
        <f aca="false">Raw_Data!H1856</f>
        <v>no</v>
      </c>
      <c r="J1856" s="2" t="n">
        <f aca="false">IF(F1856="yes",1,0)</f>
        <v>0</v>
      </c>
      <c r="K1856" s="2" t="n">
        <f aca="false">IF(H1856="yes",1,0)</f>
        <v>0</v>
      </c>
      <c r="L1856" s="2" t="n">
        <f aca="false">IF(I1856="yes",1,0)</f>
        <v>0</v>
      </c>
      <c r="M1856" s="2" t="n">
        <f aca="false">IF(G1856&lt;0,1,0)</f>
        <v>0</v>
      </c>
      <c r="N1856" s="2" t="str">
        <f aca="false">_xlfn.IFS(B1856&lt;30,"Under 30",B1856&lt;40,"30-39",B1856&lt;50,"40-49",B1856&lt;60,"50-59",TRUE(),"60+")</f>
        <v>30-39</v>
      </c>
      <c r="O1856" s="2" t="str">
        <f aca="false">_xlfn.IFS(G1856&lt;0,"1 Negative",G1856=0,"2 Zero",G1856&lt;=500,"3 1-500",G1856&lt;=2000,"4 501-2000",TRUE(),"5 Above 2000")</f>
        <v>5 Above 2000</v>
      </c>
      <c r="P1856" s="2" t="n">
        <f aca="false">Lookups!$B$2*M1856+Lookups!$B$3*L1856</f>
        <v>0</v>
      </c>
      <c r="Q1856" s="2" t="str">
        <f aca="false">INDEX(Lookups!$E$2:$E$5,MATCH(P1856,Lookups!$D$2:$D$5,0))</f>
        <v>Low</v>
      </c>
    </row>
    <row r="1857" customFormat="false" ht="15" hidden="false" customHeight="false" outlineLevel="0" collapsed="false">
      <c r="A1857" s="3" t="n">
        <v>1856</v>
      </c>
      <c r="B1857" s="3" t="n">
        <f aca="false">Raw_Data!A1857</f>
        <v>41</v>
      </c>
      <c r="C1857" s="3" t="str">
        <f aca="false">SUBSTITUTE(Raw_Data!B1857,".","")</f>
        <v>technician</v>
      </c>
      <c r="D1857" s="3" t="str">
        <f aca="false">Raw_Data!C1857</f>
        <v>single</v>
      </c>
      <c r="E1857" s="3" t="str">
        <f aca="false">Raw_Data!D1857</f>
        <v>secondary</v>
      </c>
      <c r="F1857" s="3" t="str">
        <f aca="false">Raw_Data!E1857</f>
        <v>no</v>
      </c>
      <c r="G1857" s="3" t="n">
        <f aca="false">Raw_Data!F1857</f>
        <v>618</v>
      </c>
      <c r="H1857" s="3" t="str">
        <f aca="false">Raw_Data!G1857</f>
        <v>no</v>
      </c>
      <c r="I1857" s="3" t="str">
        <f aca="false">Raw_Data!H1857</f>
        <v>no</v>
      </c>
      <c r="J1857" s="2" t="n">
        <f aca="false">IF(F1857="yes",1,0)</f>
        <v>0</v>
      </c>
      <c r="K1857" s="2" t="n">
        <f aca="false">IF(H1857="yes",1,0)</f>
        <v>0</v>
      </c>
      <c r="L1857" s="2" t="n">
        <f aca="false">IF(I1857="yes",1,0)</f>
        <v>0</v>
      </c>
      <c r="M1857" s="2" t="n">
        <f aca="false">IF(G1857&lt;0,1,0)</f>
        <v>0</v>
      </c>
      <c r="N1857" s="2" t="str">
        <f aca="false">_xlfn.IFS(B1857&lt;30,"Under 30",B1857&lt;40,"30-39",B1857&lt;50,"40-49",B1857&lt;60,"50-59",TRUE(),"60+")</f>
        <v>40-49</v>
      </c>
      <c r="O1857" s="2" t="str">
        <f aca="false">_xlfn.IFS(G1857&lt;0,"1 Negative",G1857=0,"2 Zero",G1857&lt;=500,"3 1-500",G1857&lt;=2000,"4 501-2000",TRUE(),"5 Above 2000")</f>
        <v>4 501-2000</v>
      </c>
      <c r="P1857" s="2" t="n">
        <f aca="false">Lookups!$B$2*M1857+Lookups!$B$3*L1857</f>
        <v>0</v>
      </c>
      <c r="Q1857" s="2" t="str">
        <f aca="false">INDEX(Lookups!$E$2:$E$5,MATCH(P1857,Lookups!$D$2:$D$5,0))</f>
        <v>Low</v>
      </c>
    </row>
    <row r="1858" customFormat="false" ht="15" hidden="false" customHeight="false" outlineLevel="0" collapsed="false">
      <c r="A1858" s="3" t="n">
        <v>1857</v>
      </c>
      <c r="B1858" s="3" t="n">
        <f aca="false">Raw_Data!A1858</f>
        <v>48</v>
      </c>
      <c r="C1858" s="3" t="str">
        <f aca="false">SUBSTITUTE(Raw_Data!B1858,".","")</f>
        <v>management</v>
      </c>
      <c r="D1858" s="3" t="str">
        <f aca="false">Raw_Data!C1858</f>
        <v>divorced</v>
      </c>
      <c r="E1858" s="3" t="str">
        <f aca="false">Raw_Data!D1858</f>
        <v>tertiary</v>
      </c>
      <c r="F1858" s="3" t="str">
        <f aca="false">Raw_Data!E1858</f>
        <v>no</v>
      </c>
      <c r="G1858" s="3" t="n">
        <f aca="false">Raw_Data!F1858</f>
        <v>541</v>
      </c>
      <c r="H1858" s="3" t="str">
        <f aca="false">Raw_Data!G1858</f>
        <v>yes</v>
      </c>
      <c r="I1858" s="3" t="str">
        <f aca="false">Raw_Data!H1858</f>
        <v>no</v>
      </c>
      <c r="J1858" s="2" t="n">
        <f aca="false">IF(F1858="yes",1,0)</f>
        <v>0</v>
      </c>
      <c r="K1858" s="2" t="n">
        <f aca="false">IF(H1858="yes",1,0)</f>
        <v>1</v>
      </c>
      <c r="L1858" s="2" t="n">
        <f aca="false">IF(I1858="yes",1,0)</f>
        <v>0</v>
      </c>
      <c r="M1858" s="2" t="n">
        <f aca="false">IF(G1858&lt;0,1,0)</f>
        <v>0</v>
      </c>
      <c r="N1858" s="2" t="str">
        <f aca="false">_xlfn.IFS(B1858&lt;30,"Under 30",B1858&lt;40,"30-39",B1858&lt;50,"40-49",B1858&lt;60,"50-59",TRUE(),"60+")</f>
        <v>40-49</v>
      </c>
      <c r="O1858" s="2" t="str">
        <f aca="false">_xlfn.IFS(G1858&lt;0,"1 Negative",G1858=0,"2 Zero",G1858&lt;=500,"3 1-500",G1858&lt;=2000,"4 501-2000",TRUE(),"5 Above 2000")</f>
        <v>4 501-2000</v>
      </c>
      <c r="P1858" s="2" t="n">
        <f aca="false">Lookups!$B$2*M1858+Lookups!$B$3*L1858</f>
        <v>0</v>
      </c>
      <c r="Q1858" s="2" t="str">
        <f aca="false">INDEX(Lookups!$E$2:$E$5,MATCH(P1858,Lookups!$D$2:$D$5,0))</f>
        <v>Low</v>
      </c>
    </row>
    <row r="1859" customFormat="false" ht="15" hidden="false" customHeight="false" outlineLevel="0" collapsed="false">
      <c r="A1859" s="3" t="n">
        <v>1858</v>
      </c>
      <c r="B1859" s="3" t="n">
        <f aca="false">Raw_Data!A1859</f>
        <v>38</v>
      </c>
      <c r="C1859" s="3" t="str">
        <f aca="false">SUBSTITUTE(Raw_Data!B1859,".","")</f>
        <v>services</v>
      </c>
      <c r="D1859" s="3" t="str">
        <f aca="false">Raw_Data!C1859</f>
        <v>married</v>
      </c>
      <c r="E1859" s="3" t="str">
        <f aca="false">Raw_Data!D1859</f>
        <v>secondary</v>
      </c>
      <c r="F1859" s="3" t="str">
        <f aca="false">Raw_Data!E1859</f>
        <v>no</v>
      </c>
      <c r="G1859" s="3" t="n">
        <f aca="false">Raw_Data!F1859</f>
        <v>434</v>
      </c>
      <c r="H1859" s="3" t="str">
        <f aca="false">Raw_Data!G1859</f>
        <v>yes</v>
      </c>
      <c r="I1859" s="3" t="str">
        <f aca="false">Raw_Data!H1859</f>
        <v>no</v>
      </c>
      <c r="J1859" s="2" t="n">
        <f aca="false">IF(F1859="yes",1,0)</f>
        <v>0</v>
      </c>
      <c r="K1859" s="2" t="n">
        <f aca="false">IF(H1859="yes",1,0)</f>
        <v>1</v>
      </c>
      <c r="L1859" s="2" t="n">
        <f aca="false">IF(I1859="yes",1,0)</f>
        <v>0</v>
      </c>
      <c r="M1859" s="2" t="n">
        <f aca="false">IF(G1859&lt;0,1,0)</f>
        <v>0</v>
      </c>
      <c r="N1859" s="2" t="str">
        <f aca="false">_xlfn.IFS(B1859&lt;30,"Under 30",B1859&lt;40,"30-39",B1859&lt;50,"40-49",B1859&lt;60,"50-59",TRUE(),"60+")</f>
        <v>30-39</v>
      </c>
      <c r="O1859" s="2" t="str">
        <f aca="false">_xlfn.IFS(G1859&lt;0,"1 Negative",G1859=0,"2 Zero",G1859&lt;=500,"3 1-500",G1859&lt;=2000,"4 501-2000",TRUE(),"5 Above 2000")</f>
        <v>3 1-500</v>
      </c>
      <c r="P1859" s="2" t="n">
        <f aca="false">Lookups!$B$2*M1859+Lookups!$B$3*L1859</f>
        <v>0</v>
      </c>
      <c r="Q1859" s="2" t="str">
        <f aca="false">INDEX(Lookups!$E$2:$E$5,MATCH(P1859,Lookups!$D$2:$D$5,0))</f>
        <v>Low</v>
      </c>
    </row>
    <row r="1860" customFormat="false" ht="15" hidden="false" customHeight="false" outlineLevel="0" collapsed="false">
      <c r="A1860" s="3" t="n">
        <v>1859</v>
      </c>
      <c r="B1860" s="3" t="n">
        <f aca="false">Raw_Data!A1860</f>
        <v>34</v>
      </c>
      <c r="C1860" s="3" t="str">
        <f aca="false">SUBSTITUTE(Raw_Data!B1860,".","")</f>
        <v>blue-collar</v>
      </c>
      <c r="D1860" s="3" t="str">
        <f aca="false">Raw_Data!C1860</f>
        <v>married</v>
      </c>
      <c r="E1860" s="3" t="str">
        <f aca="false">Raw_Data!D1860</f>
        <v>secondary</v>
      </c>
      <c r="F1860" s="3" t="str">
        <f aca="false">Raw_Data!E1860</f>
        <v>no</v>
      </c>
      <c r="G1860" s="3" t="n">
        <f aca="false">Raw_Data!F1860</f>
        <v>622</v>
      </c>
      <c r="H1860" s="3" t="str">
        <f aca="false">Raw_Data!G1860</f>
        <v>yes</v>
      </c>
      <c r="I1860" s="3" t="str">
        <f aca="false">Raw_Data!H1860</f>
        <v>no</v>
      </c>
      <c r="J1860" s="2" t="n">
        <f aca="false">IF(F1860="yes",1,0)</f>
        <v>0</v>
      </c>
      <c r="K1860" s="2" t="n">
        <f aca="false">IF(H1860="yes",1,0)</f>
        <v>1</v>
      </c>
      <c r="L1860" s="2" t="n">
        <f aca="false">IF(I1860="yes",1,0)</f>
        <v>0</v>
      </c>
      <c r="M1860" s="2" t="n">
        <f aca="false">IF(G1860&lt;0,1,0)</f>
        <v>0</v>
      </c>
      <c r="N1860" s="2" t="str">
        <f aca="false">_xlfn.IFS(B1860&lt;30,"Under 30",B1860&lt;40,"30-39",B1860&lt;50,"40-49",B1860&lt;60,"50-59",TRUE(),"60+")</f>
        <v>30-39</v>
      </c>
      <c r="O1860" s="2" t="str">
        <f aca="false">_xlfn.IFS(G1860&lt;0,"1 Negative",G1860=0,"2 Zero",G1860&lt;=500,"3 1-500",G1860&lt;=2000,"4 501-2000",TRUE(),"5 Above 2000")</f>
        <v>4 501-2000</v>
      </c>
      <c r="P1860" s="2" t="n">
        <f aca="false">Lookups!$B$2*M1860+Lookups!$B$3*L1860</f>
        <v>0</v>
      </c>
      <c r="Q1860" s="2" t="str">
        <f aca="false">INDEX(Lookups!$E$2:$E$5,MATCH(P1860,Lookups!$D$2:$D$5,0))</f>
        <v>Low</v>
      </c>
    </row>
    <row r="1861" customFormat="false" ht="15" hidden="false" customHeight="false" outlineLevel="0" collapsed="false">
      <c r="A1861" s="3" t="n">
        <v>1860</v>
      </c>
      <c r="B1861" s="3" t="n">
        <f aca="false">Raw_Data!A1861</f>
        <v>32</v>
      </c>
      <c r="C1861" s="3" t="str">
        <f aca="false">SUBSTITUTE(Raw_Data!B1861,".","")</f>
        <v>blue-collar</v>
      </c>
      <c r="D1861" s="3" t="str">
        <f aca="false">Raw_Data!C1861</f>
        <v>married</v>
      </c>
      <c r="E1861" s="3" t="str">
        <f aca="false">Raw_Data!D1861</f>
        <v>secondary</v>
      </c>
      <c r="F1861" s="3" t="str">
        <f aca="false">Raw_Data!E1861</f>
        <v>no</v>
      </c>
      <c r="G1861" s="3" t="n">
        <f aca="false">Raw_Data!F1861</f>
        <v>0</v>
      </c>
      <c r="H1861" s="3" t="str">
        <f aca="false">Raw_Data!G1861</f>
        <v>yes</v>
      </c>
      <c r="I1861" s="3" t="str">
        <f aca="false">Raw_Data!H1861</f>
        <v>no</v>
      </c>
      <c r="J1861" s="2" t="n">
        <f aca="false">IF(F1861="yes",1,0)</f>
        <v>0</v>
      </c>
      <c r="K1861" s="2" t="n">
        <f aca="false">IF(H1861="yes",1,0)</f>
        <v>1</v>
      </c>
      <c r="L1861" s="2" t="n">
        <f aca="false">IF(I1861="yes",1,0)</f>
        <v>0</v>
      </c>
      <c r="M1861" s="2" t="n">
        <f aca="false">IF(G1861&lt;0,1,0)</f>
        <v>0</v>
      </c>
      <c r="N1861" s="2" t="str">
        <f aca="false">_xlfn.IFS(B1861&lt;30,"Under 30",B1861&lt;40,"30-39",B1861&lt;50,"40-49",B1861&lt;60,"50-59",TRUE(),"60+")</f>
        <v>30-39</v>
      </c>
      <c r="O1861" s="2" t="str">
        <f aca="false">_xlfn.IFS(G1861&lt;0,"1 Negative",G1861=0,"2 Zero",G1861&lt;=500,"3 1-500",G1861&lt;=2000,"4 501-2000",TRUE(),"5 Above 2000")</f>
        <v>2 Zero</v>
      </c>
      <c r="P1861" s="2" t="n">
        <f aca="false">Lookups!$B$2*M1861+Lookups!$B$3*L1861</f>
        <v>0</v>
      </c>
      <c r="Q1861" s="2" t="str">
        <f aca="false">INDEX(Lookups!$E$2:$E$5,MATCH(P1861,Lookups!$D$2:$D$5,0))</f>
        <v>Low</v>
      </c>
    </row>
    <row r="1862" customFormat="false" ht="15" hidden="false" customHeight="false" outlineLevel="0" collapsed="false">
      <c r="A1862" s="3" t="n">
        <v>1861</v>
      </c>
      <c r="B1862" s="3" t="n">
        <f aca="false">Raw_Data!A1862</f>
        <v>48</v>
      </c>
      <c r="C1862" s="3" t="str">
        <f aca="false">SUBSTITUTE(Raw_Data!B1862,".","")</f>
        <v>management</v>
      </c>
      <c r="D1862" s="3" t="str">
        <f aca="false">Raw_Data!C1862</f>
        <v>married</v>
      </c>
      <c r="E1862" s="3" t="str">
        <f aca="false">Raw_Data!D1862</f>
        <v>secondary</v>
      </c>
      <c r="F1862" s="3" t="str">
        <f aca="false">Raw_Data!E1862</f>
        <v>no</v>
      </c>
      <c r="G1862" s="3" t="n">
        <f aca="false">Raw_Data!F1862</f>
        <v>99</v>
      </c>
      <c r="H1862" s="3" t="str">
        <f aca="false">Raw_Data!G1862</f>
        <v>yes</v>
      </c>
      <c r="I1862" s="3" t="str">
        <f aca="false">Raw_Data!H1862</f>
        <v>no</v>
      </c>
      <c r="J1862" s="2" t="n">
        <f aca="false">IF(F1862="yes",1,0)</f>
        <v>0</v>
      </c>
      <c r="K1862" s="2" t="n">
        <f aca="false">IF(H1862="yes",1,0)</f>
        <v>1</v>
      </c>
      <c r="L1862" s="2" t="n">
        <f aca="false">IF(I1862="yes",1,0)</f>
        <v>0</v>
      </c>
      <c r="M1862" s="2" t="n">
        <f aca="false">IF(G1862&lt;0,1,0)</f>
        <v>0</v>
      </c>
      <c r="N1862" s="2" t="str">
        <f aca="false">_xlfn.IFS(B1862&lt;30,"Under 30",B1862&lt;40,"30-39",B1862&lt;50,"40-49",B1862&lt;60,"50-59",TRUE(),"60+")</f>
        <v>40-49</v>
      </c>
      <c r="O1862" s="2" t="str">
        <f aca="false">_xlfn.IFS(G1862&lt;0,"1 Negative",G1862=0,"2 Zero",G1862&lt;=500,"3 1-500",G1862&lt;=2000,"4 501-2000",TRUE(),"5 Above 2000")</f>
        <v>3 1-500</v>
      </c>
      <c r="P1862" s="2" t="n">
        <f aca="false">Lookups!$B$2*M1862+Lookups!$B$3*L1862</f>
        <v>0</v>
      </c>
      <c r="Q1862" s="2" t="str">
        <f aca="false">INDEX(Lookups!$E$2:$E$5,MATCH(P1862,Lookups!$D$2:$D$5,0))</f>
        <v>Low</v>
      </c>
    </row>
    <row r="1863" customFormat="false" ht="15" hidden="false" customHeight="false" outlineLevel="0" collapsed="false">
      <c r="A1863" s="3" t="n">
        <v>1862</v>
      </c>
      <c r="B1863" s="3" t="n">
        <f aca="false">Raw_Data!A1863</f>
        <v>28</v>
      </c>
      <c r="C1863" s="3" t="str">
        <f aca="false">SUBSTITUTE(Raw_Data!B1863,".","")</f>
        <v>services</v>
      </c>
      <c r="D1863" s="3" t="str">
        <f aca="false">Raw_Data!C1863</f>
        <v>single</v>
      </c>
      <c r="E1863" s="3" t="str">
        <f aca="false">Raw_Data!D1863</f>
        <v>secondary</v>
      </c>
      <c r="F1863" s="3" t="str">
        <f aca="false">Raw_Data!E1863</f>
        <v>no</v>
      </c>
      <c r="G1863" s="3" t="n">
        <f aca="false">Raw_Data!F1863</f>
        <v>290</v>
      </c>
      <c r="H1863" s="3" t="str">
        <f aca="false">Raw_Data!G1863</f>
        <v>yes</v>
      </c>
      <c r="I1863" s="3" t="str">
        <f aca="false">Raw_Data!H1863</f>
        <v>no</v>
      </c>
      <c r="J1863" s="2" t="n">
        <f aca="false">IF(F1863="yes",1,0)</f>
        <v>0</v>
      </c>
      <c r="K1863" s="2" t="n">
        <f aca="false">IF(H1863="yes",1,0)</f>
        <v>1</v>
      </c>
      <c r="L1863" s="2" t="n">
        <f aca="false">IF(I1863="yes",1,0)</f>
        <v>0</v>
      </c>
      <c r="M1863" s="2" t="n">
        <f aca="false">IF(G1863&lt;0,1,0)</f>
        <v>0</v>
      </c>
      <c r="N1863" s="2" t="str">
        <f aca="false">_xlfn.IFS(B1863&lt;30,"Under 30",B1863&lt;40,"30-39",B1863&lt;50,"40-49",B1863&lt;60,"50-59",TRUE(),"60+")</f>
        <v>Under 30</v>
      </c>
      <c r="O1863" s="2" t="str">
        <f aca="false">_xlfn.IFS(G1863&lt;0,"1 Negative",G1863=0,"2 Zero",G1863&lt;=500,"3 1-500",G1863&lt;=2000,"4 501-2000",TRUE(),"5 Above 2000")</f>
        <v>3 1-500</v>
      </c>
      <c r="P1863" s="2" t="n">
        <f aca="false">Lookups!$B$2*M1863+Lookups!$B$3*L1863</f>
        <v>0</v>
      </c>
      <c r="Q1863" s="2" t="str">
        <f aca="false">INDEX(Lookups!$E$2:$E$5,MATCH(P1863,Lookups!$D$2:$D$5,0))</f>
        <v>Low</v>
      </c>
    </row>
    <row r="1864" customFormat="false" ht="15" hidden="false" customHeight="false" outlineLevel="0" collapsed="false">
      <c r="A1864" s="3" t="n">
        <v>1863</v>
      </c>
      <c r="B1864" s="3" t="n">
        <f aca="false">Raw_Data!A1864</f>
        <v>47</v>
      </c>
      <c r="C1864" s="3" t="str">
        <f aca="false">SUBSTITUTE(Raw_Data!B1864,".","")</f>
        <v>blue-collar</v>
      </c>
      <c r="D1864" s="3" t="str">
        <f aca="false">Raw_Data!C1864</f>
        <v>married</v>
      </c>
      <c r="E1864" s="3" t="str">
        <f aca="false">Raw_Data!D1864</f>
        <v>secondary</v>
      </c>
      <c r="F1864" s="3" t="str">
        <f aca="false">Raw_Data!E1864</f>
        <v>no</v>
      </c>
      <c r="G1864" s="3" t="n">
        <f aca="false">Raw_Data!F1864</f>
        <v>1230</v>
      </c>
      <c r="H1864" s="3" t="str">
        <f aca="false">Raw_Data!G1864</f>
        <v>yes</v>
      </c>
      <c r="I1864" s="3" t="str">
        <f aca="false">Raw_Data!H1864</f>
        <v>no</v>
      </c>
      <c r="J1864" s="2" t="n">
        <f aca="false">IF(F1864="yes",1,0)</f>
        <v>0</v>
      </c>
      <c r="K1864" s="2" t="n">
        <f aca="false">IF(H1864="yes",1,0)</f>
        <v>1</v>
      </c>
      <c r="L1864" s="2" t="n">
        <f aca="false">IF(I1864="yes",1,0)</f>
        <v>0</v>
      </c>
      <c r="M1864" s="2" t="n">
        <f aca="false">IF(G1864&lt;0,1,0)</f>
        <v>0</v>
      </c>
      <c r="N1864" s="2" t="str">
        <f aca="false">_xlfn.IFS(B1864&lt;30,"Under 30",B1864&lt;40,"30-39",B1864&lt;50,"40-49",B1864&lt;60,"50-59",TRUE(),"60+")</f>
        <v>40-49</v>
      </c>
      <c r="O1864" s="2" t="str">
        <f aca="false">_xlfn.IFS(G1864&lt;0,"1 Negative",G1864=0,"2 Zero",G1864&lt;=500,"3 1-500",G1864&lt;=2000,"4 501-2000",TRUE(),"5 Above 2000")</f>
        <v>4 501-2000</v>
      </c>
      <c r="P1864" s="2" t="n">
        <f aca="false">Lookups!$B$2*M1864+Lookups!$B$3*L1864</f>
        <v>0</v>
      </c>
      <c r="Q1864" s="2" t="str">
        <f aca="false">INDEX(Lookups!$E$2:$E$5,MATCH(P1864,Lookups!$D$2:$D$5,0))</f>
        <v>Low</v>
      </c>
    </row>
    <row r="1865" customFormat="false" ht="15" hidden="false" customHeight="false" outlineLevel="0" collapsed="false">
      <c r="A1865" s="3" t="n">
        <v>1864</v>
      </c>
      <c r="B1865" s="3" t="n">
        <f aca="false">Raw_Data!A1865</f>
        <v>32</v>
      </c>
      <c r="C1865" s="3" t="str">
        <f aca="false">SUBSTITUTE(Raw_Data!B1865,".","")</f>
        <v>admin</v>
      </c>
      <c r="D1865" s="3" t="str">
        <f aca="false">Raw_Data!C1865</f>
        <v>single</v>
      </c>
      <c r="E1865" s="3" t="str">
        <f aca="false">Raw_Data!D1865</f>
        <v>secondary</v>
      </c>
      <c r="F1865" s="3" t="str">
        <f aca="false">Raw_Data!E1865</f>
        <v>no</v>
      </c>
      <c r="G1865" s="3" t="n">
        <f aca="false">Raw_Data!F1865</f>
        <v>45</v>
      </c>
      <c r="H1865" s="3" t="str">
        <f aca="false">Raw_Data!G1865</f>
        <v>yes</v>
      </c>
      <c r="I1865" s="3" t="str">
        <f aca="false">Raw_Data!H1865</f>
        <v>yes</v>
      </c>
      <c r="J1865" s="2" t="n">
        <f aca="false">IF(F1865="yes",1,0)</f>
        <v>0</v>
      </c>
      <c r="K1865" s="2" t="n">
        <f aca="false">IF(H1865="yes",1,0)</f>
        <v>1</v>
      </c>
      <c r="L1865" s="2" t="n">
        <f aca="false">IF(I1865="yes",1,0)</f>
        <v>1</v>
      </c>
      <c r="M1865" s="2" t="n">
        <f aca="false">IF(G1865&lt;0,1,0)</f>
        <v>0</v>
      </c>
      <c r="N1865" s="2" t="str">
        <f aca="false">_xlfn.IFS(B1865&lt;30,"Under 30",B1865&lt;40,"30-39",B1865&lt;50,"40-49",B1865&lt;60,"50-59",TRUE(),"60+")</f>
        <v>30-39</v>
      </c>
      <c r="O1865" s="2" t="str">
        <f aca="false">_xlfn.IFS(G1865&lt;0,"1 Negative",G1865=0,"2 Zero",G1865&lt;=500,"3 1-500",G1865&lt;=2000,"4 501-2000",TRUE(),"5 Above 2000")</f>
        <v>3 1-500</v>
      </c>
      <c r="P1865" s="2" t="n">
        <f aca="false">Lookups!$B$2*M1865+Lookups!$B$3*L1865</f>
        <v>1</v>
      </c>
      <c r="Q1865" s="2" t="str">
        <f aca="false">INDEX(Lookups!$E$2:$E$5,MATCH(P1865,Lookups!$D$2:$D$5,0))</f>
        <v>Medium</v>
      </c>
    </row>
    <row r="1866" customFormat="false" ht="15" hidden="false" customHeight="false" outlineLevel="0" collapsed="false">
      <c r="A1866" s="3" t="n">
        <v>1865</v>
      </c>
      <c r="B1866" s="3" t="n">
        <f aca="false">Raw_Data!A1866</f>
        <v>32</v>
      </c>
      <c r="C1866" s="3" t="str">
        <f aca="false">SUBSTITUTE(Raw_Data!B1866,".","")</f>
        <v>admin</v>
      </c>
      <c r="D1866" s="3" t="str">
        <f aca="false">Raw_Data!C1866</f>
        <v>married</v>
      </c>
      <c r="E1866" s="3" t="str">
        <f aca="false">Raw_Data!D1866</f>
        <v>secondary</v>
      </c>
      <c r="F1866" s="3" t="str">
        <f aca="false">Raw_Data!E1866</f>
        <v>no</v>
      </c>
      <c r="G1866" s="3" t="n">
        <f aca="false">Raw_Data!F1866</f>
        <v>923</v>
      </c>
      <c r="H1866" s="3" t="str">
        <f aca="false">Raw_Data!G1866</f>
        <v>yes</v>
      </c>
      <c r="I1866" s="3" t="str">
        <f aca="false">Raw_Data!H1866</f>
        <v>no</v>
      </c>
      <c r="J1866" s="2" t="n">
        <f aca="false">IF(F1866="yes",1,0)</f>
        <v>0</v>
      </c>
      <c r="K1866" s="2" t="n">
        <f aca="false">IF(H1866="yes",1,0)</f>
        <v>1</v>
      </c>
      <c r="L1866" s="2" t="n">
        <f aca="false">IF(I1866="yes",1,0)</f>
        <v>0</v>
      </c>
      <c r="M1866" s="2" t="n">
        <f aca="false">IF(G1866&lt;0,1,0)</f>
        <v>0</v>
      </c>
      <c r="N1866" s="2" t="str">
        <f aca="false">_xlfn.IFS(B1866&lt;30,"Under 30",B1866&lt;40,"30-39",B1866&lt;50,"40-49",B1866&lt;60,"50-59",TRUE(),"60+")</f>
        <v>30-39</v>
      </c>
      <c r="O1866" s="2" t="str">
        <f aca="false">_xlfn.IFS(G1866&lt;0,"1 Negative",G1866=0,"2 Zero",G1866&lt;=500,"3 1-500",G1866&lt;=2000,"4 501-2000",TRUE(),"5 Above 2000")</f>
        <v>4 501-2000</v>
      </c>
      <c r="P1866" s="2" t="n">
        <f aca="false">Lookups!$B$2*M1866+Lookups!$B$3*L1866</f>
        <v>0</v>
      </c>
      <c r="Q1866" s="2" t="str">
        <f aca="false">INDEX(Lookups!$E$2:$E$5,MATCH(P1866,Lookups!$D$2:$D$5,0))</f>
        <v>Low</v>
      </c>
    </row>
    <row r="1867" customFormat="false" ht="15" hidden="false" customHeight="false" outlineLevel="0" collapsed="false">
      <c r="A1867" s="3" t="n">
        <v>1866</v>
      </c>
      <c r="B1867" s="3" t="n">
        <f aca="false">Raw_Data!A1867</f>
        <v>38</v>
      </c>
      <c r="C1867" s="3" t="str">
        <f aca="false">SUBSTITUTE(Raw_Data!B1867,".","")</f>
        <v>management</v>
      </c>
      <c r="D1867" s="3" t="str">
        <f aca="false">Raw_Data!C1867</f>
        <v>married</v>
      </c>
      <c r="E1867" s="3" t="str">
        <f aca="false">Raw_Data!D1867</f>
        <v>tertiary</v>
      </c>
      <c r="F1867" s="3" t="str">
        <f aca="false">Raw_Data!E1867</f>
        <v>no</v>
      </c>
      <c r="G1867" s="3" t="n">
        <f aca="false">Raw_Data!F1867</f>
        <v>950</v>
      </c>
      <c r="H1867" s="3" t="str">
        <f aca="false">Raw_Data!G1867</f>
        <v>no</v>
      </c>
      <c r="I1867" s="3" t="str">
        <f aca="false">Raw_Data!H1867</f>
        <v>no</v>
      </c>
      <c r="J1867" s="2" t="n">
        <f aca="false">IF(F1867="yes",1,0)</f>
        <v>0</v>
      </c>
      <c r="K1867" s="2" t="n">
        <f aca="false">IF(H1867="yes",1,0)</f>
        <v>0</v>
      </c>
      <c r="L1867" s="2" t="n">
        <f aca="false">IF(I1867="yes",1,0)</f>
        <v>0</v>
      </c>
      <c r="M1867" s="2" t="n">
        <f aca="false">IF(G1867&lt;0,1,0)</f>
        <v>0</v>
      </c>
      <c r="N1867" s="2" t="str">
        <f aca="false">_xlfn.IFS(B1867&lt;30,"Under 30",B1867&lt;40,"30-39",B1867&lt;50,"40-49",B1867&lt;60,"50-59",TRUE(),"60+")</f>
        <v>30-39</v>
      </c>
      <c r="O1867" s="2" t="str">
        <f aca="false">_xlfn.IFS(G1867&lt;0,"1 Negative",G1867=0,"2 Zero",G1867&lt;=500,"3 1-500",G1867&lt;=2000,"4 501-2000",TRUE(),"5 Above 2000")</f>
        <v>4 501-2000</v>
      </c>
      <c r="P1867" s="2" t="n">
        <f aca="false">Lookups!$B$2*M1867+Lookups!$B$3*L1867</f>
        <v>0</v>
      </c>
      <c r="Q1867" s="2" t="str">
        <f aca="false">INDEX(Lookups!$E$2:$E$5,MATCH(P1867,Lookups!$D$2:$D$5,0))</f>
        <v>Low</v>
      </c>
    </row>
    <row r="1868" customFormat="false" ht="15" hidden="false" customHeight="false" outlineLevel="0" collapsed="false">
      <c r="A1868" s="3" t="n">
        <v>1867</v>
      </c>
      <c r="B1868" s="3" t="n">
        <f aca="false">Raw_Data!A1868</f>
        <v>86</v>
      </c>
      <c r="C1868" s="3" t="str">
        <f aca="false">SUBSTITUTE(Raw_Data!B1868,".","")</f>
        <v>retired</v>
      </c>
      <c r="D1868" s="3" t="str">
        <f aca="false">Raw_Data!C1868</f>
        <v>married</v>
      </c>
      <c r="E1868" s="3" t="str">
        <f aca="false">Raw_Data!D1868</f>
        <v>secondary</v>
      </c>
      <c r="F1868" s="3" t="str">
        <f aca="false">Raw_Data!E1868</f>
        <v>no</v>
      </c>
      <c r="G1868" s="3" t="n">
        <f aca="false">Raw_Data!F1868</f>
        <v>1503</v>
      </c>
      <c r="H1868" s="3" t="str">
        <f aca="false">Raw_Data!G1868</f>
        <v>no</v>
      </c>
      <c r="I1868" s="3" t="str">
        <f aca="false">Raw_Data!H1868</f>
        <v>no</v>
      </c>
      <c r="J1868" s="2" t="n">
        <f aca="false">IF(F1868="yes",1,0)</f>
        <v>0</v>
      </c>
      <c r="K1868" s="2" t="n">
        <f aca="false">IF(H1868="yes",1,0)</f>
        <v>0</v>
      </c>
      <c r="L1868" s="2" t="n">
        <f aca="false">IF(I1868="yes",1,0)</f>
        <v>0</v>
      </c>
      <c r="M1868" s="2" t="n">
        <f aca="false">IF(G1868&lt;0,1,0)</f>
        <v>0</v>
      </c>
      <c r="N1868" s="2" t="str">
        <f aca="false">_xlfn.IFS(B1868&lt;30,"Under 30",B1868&lt;40,"30-39",B1868&lt;50,"40-49",B1868&lt;60,"50-59",TRUE(),"60+")</f>
        <v>60+</v>
      </c>
      <c r="O1868" s="2" t="str">
        <f aca="false">_xlfn.IFS(G1868&lt;0,"1 Negative",G1868=0,"2 Zero",G1868&lt;=500,"3 1-500",G1868&lt;=2000,"4 501-2000",TRUE(),"5 Above 2000")</f>
        <v>4 501-2000</v>
      </c>
      <c r="P1868" s="2" t="n">
        <f aca="false">Lookups!$B$2*M1868+Lookups!$B$3*L1868</f>
        <v>0</v>
      </c>
      <c r="Q1868" s="2" t="str">
        <f aca="false">INDEX(Lookups!$E$2:$E$5,MATCH(P1868,Lookups!$D$2:$D$5,0))</f>
        <v>Low</v>
      </c>
    </row>
    <row r="1869" customFormat="false" ht="15" hidden="false" customHeight="false" outlineLevel="0" collapsed="false">
      <c r="A1869" s="3" t="n">
        <v>1868</v>
      </c>
      <c r="B1869" s="3" t="n">
        <f aca="false">Raw_Data!A1869</f>
        <v>47</v>
      </c>
      <c r="C1869" s="3" t="str">
        <f aca="false">SUBSTITUTE(Raw_Data!B1869,".","")</f>
        <v>technician</v>
      </c>
      <c r="D1869" s="3" t="str">
        <f aca="false">Raw_Data!C1869</f>
        <v>married</v>
      </c>
      <c r="E1869" s="3" t="str">
        <f aca="false">Raw_Data!D1869</f>
        <v>secondary</v>
      </c>
      <c r="F1869" s="3" t="str">
        <f aca="false">Raw_Data!E1869</f>
        <v>no</v>
      </c>
      <c r="G1869" s="3" t="n">
        <f aca="false">Raw_Data!F1869</f>
        <v>65</v>
      </c>
      <c r="H1869" s="3" t="str">
        <f aca="false">Raw_Data!G1869</f>
        <v>no</v>
      </c>
      <c r="I1869" s="3" t="str">
        <f aca="false">Raw_Data!H1869</f>
        <v>no</v>
      </c>
      <c r="J1869" s="2" t="n">
        <f aca="false">IF(F1869="yes",1,0)</f>
        <v>0</v>
      </c>
      <c r="K1869" s="2" t="n">
        <f aca="false">IF(H1869="yes",1,0)</f>
        <v>0</v>
      </c>
      <c r="L1869" s="2" t="n">
        <f aca="false">IF(I1869="yes",1,0)</f>
        <v>0</v>
      </c>
      <c r="M1869" s="2" t="n">
        <f aca="false">IF(G1869&lt;0,1,0)</f>
        <v>0</v>
      </c>
      <c r="N1869" s="2" t="str">
        <f aca="false">_xlfn.IFS(B1869&lt;30,"Under 30",B1869&lt;40,"30-39",B1869&lt;50,"40-49",B1869&lt;60,"50-59",TRUE(),"60+")</f>
        <v>40-49</v>
      </c>
      <c r="O1869" s="2" t="str">
        <f aca="false">_xlfn.IFS(G1869&lt;0,"1 Negative",G1869=0,"2 Zero",G1869&lt;=500,"3 1-500",G1869&lt;=2000,"4 501-2000",TRUE(),"5 Above 2000")</f>
        <v>3 1-500</v>
      </c>
      <c r="P1869" s="2" t="n">
        <f aca="false">Lookups!$B$2*M1869+Lookups!$B$3*L1869</f>
        <v>0</v>
      </c>
      <c r="Q1869" s="2" t="str">
        <f aca="false">INDEX(Lookups!$E$2:$E$5,MATCH(P1869,Lookups!$D$2:$D$5,0))</f>
        <v>Low</v>
      </c>
    </row>
    <row r="1870" customFormat="false" ht="15" hidden="false" customHeight="false" outlineLevel="0" collapsed="false">
      <c r="A1870" s="3" t="n">
        <v>1869</v>
      </c>
      <c r="B1870" s="3" t="n">
        <f aca="false">Raw_Data!A1870</f>
        <v>42</v>
      </c>
      <c r="C1870" s="3" t="str">
        <f aca="false">SUBSTITUTE(Raw_Data!B1870,".","")</f>
        <v>management</v>
      </c>
      <c r="D1870" s="3" t="str">
        <f aca="false">Raw_Data!C1870</f>
        <v>married</v>
      </c>
      <c r="E1870" s="3" t="str">
        <f aca="false">Raw_Data!D1870</f>
        <v>primary</v>
      </c>
      <c r="F1870" s="3" t="str">
        <f aca="false">Raw_Data!E1870</f>
        <v>no</v>
      </c>
      <c r="G1870" s="3" t="n">
        <f aca="false">Raw_Data!F1870</f>
        <v>-679</v>
      </c>
      <c r="H1870" s="3" t="str">
        <f aca="false">Raw_Data!G1870</f>
        <v>yes</v>
      </c>
      <c r="I1870" s="3" t="str">
        <f aca="false">Raw_Data!H1870</f>
        <v>yes</v>
      </c>
      <c r="J1870" s="2" t="n">
        <f aca="false">IF(F1870="yes",1,0)</f>
        <v>0</v>
      </c>
      <c r="K1870" s="2" t="n">
        <f aca="false">IF(H1870="yes",1,0)</f>
        <v>1</v>
      </c>
      <c r="L1870" s="2" t="n">
        <f aca="false">IF(I1870="yes",1,0)</f>
        <v>1</v>
      </c>
      <c r="M1870" s="2" t="n">
        <f aca="false">IF(G1870&lt;0,1,0)</f>
        <v>1</v>
      </c>
      <c r="N1870" s="2" t="str">
        <f aca="false">_xlfn.IFS(B1870&lt;30,"Under 30",B1870&lt;40,"30-39",B1870&lt;50,"40-49",B1870&lt;60,"50-59",TRUE(),"60+")</f>
        <v>40-49</v>
      </c>
      <c r="O1870" s="2" t="str">
        <f aca="false">_xlfn.IFS(G1870&lt;0,"1 Negative",G1870=0,"2 Zero",G1870&lt;=500,"3 1-500",G1870&lt;=2000,"4 501-2000",TRUE(),"5 Above 2000")</f>
        <v>1 Negative</v>
      </c>
      <c r="P1870" s="2" t="n">
        <f aca="false">Lookups!$B$2*M1870+Lookups!$B$3*L1870</f>
        <v>3</v>
      </c>
      <c r="Q1870" s="2" t="str">
        <f aca="false">INDEX(Lookups!$E$2:$E$5,MATCH(P1870,Lookups!$D$2:$D$5,0))</f>
        <v>High</v>
      </c>
    </row>
    <row r="1871" customFormat="false" ht="15" hidden="false" customHeight="false" outlineLevel="0" collapsed="false">
      <c r="A1871" s="3" t="n">
        <v>1870</v>
      </c>
      <c r="B1871" s="3" t="n">
        <f aca="false">Raw_Data!A1871</f>
        <v>44</v>
      </c>
      <c r="C1871" s="3" t="str">
        <f aca="false">SUBSTITUTE(Raw_Data!B1871,".","")</f>
        <v>management</v>
      </c>
      <c r="D1871" s="3" t="str">
        <f aca="false">Raw_Data!C1871</f>
        <v>married</v>
      </c>
      <c r="E1871" s="3" t="str">
        <f aca="false">Raw_Data!D1871</f>
        <v>tertiary</v>
      </c>
      <c r="F1871" s="3" t="str">
        <f aca="false">Raw_Data!E1871</f>
        <v>no</v>
      </c>
      <c r="G1871" s="3" t="n">
        <f aca="false">Raw_Data!F1871</f>
        <v>773</v>
      </c>
      <c r="H1871" s="3" t="str">
        <f aca="false">Raw_Data!G1871</f>
        <v>no</v>
      </c>
      <c r="I1871" s="3" t="str">
        <f aca="false">Raw_Data!H1871</f>
        <v>yes</v>
      </c>
      <c r="J1871" s="2" t="n">
        <f aca="false">IF(F1871="yes",1,0)</f>
        <v>0</v>
      </c>
      <c r="K1871" s="2" t="n">
        <f aca="false">IF(H1871="yes",1,0)</f>
        <v>0</v>
      </c>
      <c r="L1871" s="2" t="n">
        <f aca="false">IF(I1871="yes",1,0)</f>
        <v>1</v>
      </c>
      <c r="M1871" s="2" t="n">
        <f aca="false">IF(G1871&lt;0,1,0)</f>
        <v>0</v>
      </c>
      <c r="N1871" s="2" t="str">
        <f aca="false">_xlfn.IFS(B1871&lt;30,"Under 30",B1871&lt;40,"30-39",B1871&lt;50,"40-49",B1871&lt;60,"50-59",TRUE(),"60+")</f>
        <v>40-49</v>
      </c>
      <c r="O1871" s="2" t="str">
        <f aca="false">_xlfn.IFS(G1871&lt;0,"1 Negative",G1871=0,"2 Zero",G1871&lt;=500,"3 1-500",G1871&lt;=2000,"4 501-2000",TRUE(),"5 Above 2000")</f>
        <v>4 501-2000</v>
      </c>
      <c r="P1871" s="2" t="n">
        <f aca="false">Lookups!$B$2*M1871+Lookups!$B$3*L1871</f>
        <v>1</v>
      </c>
      <c r="Q1871" s="2" t="str">
        <f aca="false">INDEX(Lookups!$E$2:$E$5,MATCH(P1871,Lookups!$D$2:$D$5,0))</f>
        <v>Medium</v>
      </c>
    </row>
    <row r="1872" customFormat="false" ht="15" hidden="false" customHeight="false" outlineLevel="0" collapsed="false">
      <c r="A1872" s="3" t="n">
        <v>1871</v>
      </c>
      <c r="B1872" s="3" t="n">
        <f aca="false">Raw_Data!A1872</f>
        <v>25</v>
      </c>
      <c r="C1872" s="3" t="str">
        <f aca="false">SUBSTITUTE(Raw_Data!B1872,".","")</f>
        <v>student</v>
      </c>
      <c r="D1872" s="3" t="str">
        <f aca="false">Raw_Data!C1872</f>
        <v>single</v>
      </c>
      <c r="E1872" s="3" t="str">
        <f aca="false">Raw_Data!D1872</f>
        <v>unknown</v>
      </c>
      <c r="F1872" s="3" t="str">
        <f aca="false">Raw_Data!E1872</f>
        <v>no</v>
      </c>
      <c r="G1872" s="3" t="n">
        <f aca="false">Raw_Data!F1872</f>
        <v>10788</v>
      </c>
      <c r="H1872" s="3" t="str">
        <f aca="false">Raw_Data!G1872</f>
        <v>no</v>
      </c>
      <c r="I1872" s="3" t="str">
        <f aca="false">Raw_Data!H1872</f>
        <v>no</v>
      </c>
      <c r="J1872" s="2" t="n">
        <f aca="false">IF(F1872="yes",1,0)</f>
        <v>0</v>
      </c>
      <c r="K1872" s="2" t="n">
        <f aca="false">IF(H1872="yes",1,0)</f>
        <v>0</v>
      </c>
      <c r="L1872" s="2" t="n">
        <f aca="false">IF(I1872="yes",1,0)</f>
        <v>0</v>
      </c>
      <c r="M1872" s="2" t="n">
        <f aca="false">IF(G1872&lt;0,1,0)</f>
        <v>0</v>
      </c>
      <c r="N1872" s="2" t="str">
        <f aca="false">_xlfn.IFS(B1872&lt;30,"Under 30",B1872&lt;40,"30-39",B1872&lt;50,"40-49",B1872&lt;60,"50-59",TRUE(),"60+")</f>
        <v>Under 30</v>
      </c>
      <c r="O1872" s="2" t="str">
        <f aca="false">_xlfn.IFS(G1872&lt;0,"1 Negative",G1872=0,"2 Zero",G1872&lt;=500,"3 1-500",G1872&lt;=2000,"4 501-2000",TRUE(),"5 Above 2000")</f>
        <v>5 Above 2000</v>
      </c>
      <c r="P1872" s="2" t="n">
        <f aca="false">Lookups!$B$2*M1872+Lookups!$B$3*L1872</f>
        <v>0</v>
      </c>
      <c r="Q1872" s="2" t="str">
        <f aca="false">INDEX(Lookups!$E$2:$E$5,MATCH(P1872,Lookups!$D$2:$D$5,0))</f>
        <v>Low</v>
      </c>
    </row>
    <row r="1873" customFormat="false" ht="15" hidden="false" customHeight="false" outlineLevel="0" collapsed="false">
      <c r="A1873" s="3" t="n">
        <v>1872</v>
      </c>
      <c r="B1873" s="3" t="n">
        <f aca="false">Raw_Data!A1873</f>
        <v>34</v>
      </c>
      <c r="C1873" s="3" t="str">
        <f aca="false">SUBSTITUTE(Raw_Data!B1873,".","")</f>
        <v>services</v>
      </c>
      <c r="D1873" s="3" t="str">
        <f aca="false">Raw_Data!C1873</f>
        <v>divorced</v>
      </c>
      <c r="E1873" s="3" t="str">
        <f aca="false">Raw_Data!D1873</f>
        <v>secondary</v>
      </c>
      <c r="F1873" s="3" t="str">
        <f aca="false">Raw_Data!E1873</f>
        <v>no</v>
      </c>
      <c r="G1873" s="3" t="n">
        <f aca="false">Raw_Data!F1873</f>
        <v>991</v>
      </c>
      <c r="H1873" s="3" t="str">
        <f aca="false">Raw_Data!G1873</f>
        <v>yes</v>
      </c>
      <c r="I1873" s="3" t="str">
        <f aca="false">Raw_Data!H1873</f>
        <v>no</v>
      </c>
      <c r="J1873" s="2" t="n">
        <f aca="false">IF(F1873="yes",1,0)</f>
        <v>0</v>
      </c>
      <c r="K1873" s="2" t="n">
        <f aca="false">IF(H1873="yes",1,0)</f>
        <v>1</v>
      </c>
      <c r="L1873" s="2" t="n">
        <f aca="false">IF(I1873="yes",1,0)</f>
        <v>0</v>
      </c>
      <c r="M1873" s="2" t="n">
        <f aca="false">IF(G1873&lt;0,1,0)</f>
        <v>0</v>
      </c>
      <c r="N1873" s="2" t="str">
        <f aca="false">_xlfn.IFS(B1873&lt;30,"Under 30",B1873&lt;40,"30-39",B1873&lt;50,"40-49",B1873&lt;60,"50-59",TRUE(),"60+")</f>
        <v>30-39</v>
      </c>
      <c r="O1873" s="2" t="str">
        <f aca="false">_xlfn.IFS(G1873&lt;0,"1 Negative",G1873=0,"2 Zero",G1873&lt;=500,"3 1-500",G1873&lt;=2000,"4 501-2000",TRUE(),"5 Above 2000")</f>
        <v>4 501-2000</v>
      </c>
      <c r="P1873" s="2" t="n">
        <f aca="false">Lookups!$B$2*M1873+Lookups!$B$3*L1873</f>
        <v>0</v>
      </c>
      <c r="Q1873" s="2" t="str">
        <f aca="false">INDEX(Lookups!$E$2:$E$5,MATCH(P1873,Lookups!$D$2:$D$5,0))</f>
        <v>Low</v>
      </c>
    </row>
    <row r="1874" customFormat="false" ht="15" hidden="false" customHeight="false" outlineLevel="0" collapsed="false">
      <c r="A1874" s="3" t="n">
        <v>1873</v>
      </c>
      <c r="B1874" s="3" t="n">
        <f aca="false">Raw_Data!A1874</f>
        <v>34</v>
      </c>
      <c r="C1874" s="3" t="str">
        <f aca="false">SUBSTITUTE(Raw_Data!B1874,".","")</f>
        <v>admin</v>
      </c>
      <c r="D1874" s="3" t="str">
        <f aca="false">Raw_Data!C1874</f>
        <v>married</v>
      </c>
      <c r="E1874" s="3" t="str">
        <f aca="false">Raw_Data!D1874</f>
        <v>secondary</v>
      </c>
      <c r="F1874" s="3" t="str">
        <f aca="false">Raw_Data!E1874</f>
        <v>no</v>
      </c>
      <c r="G1874" s="3" t="n">
        <f aca="false">Raw_Data!F1874</f>
        <v>247</v>
      </c>
      <c r="H1874" s="3" t="str">
        <f aca="false">Raw_Data!G1874</f>
        <v>no</v>
      </c>
      <c r="I1874" s="3" t="str">
        <f aca="false">Raw_Data!H1874</f>
        <v>no</v>
      </c>
      <c r="J1874" s="2" t="n">
        <f aca="false">IF(F1874="yes",1,0)</f>
        <v>0</v>
      </c>
      <c r="K1874" s="2" t="n">
        <f aca="false">IF(H1874="yes",1,0)</f>
        <v>0</v>
      </c>
      <c r="L1874" s="2" t="n">
        <f aca="false">IF(I1874="yes",1,0)</f>
        <v>0</v>
      </c>
      <c r="M1874" s="2" t="n">
        <f aca="false">IF(G1874&lt;0,1,0)</f>
        <v>0</v>
      </c>
      <c r="N1874" s="2" t="str">
        <f aca="false">_xlfn.IFS(B1874&lt;30,"Under 30",B1874&lt;40,"30-39",B1874&lt;50,"40-49",B1874&lt;60,"50-59",TRUE(),"60+")</f>
        <v>30-39</v>
      </c>
      <c r="O1874" s="2" t="str">
        <f aca="false">_xlfn.IFS(G1874&lt;0,"1 Negative",G1874=0,"2 Zero",G1874&lt;=500,"3 1-500",G1874&lt;=2000,"4 501-2000",TRUE(),"5 Above 2000")</f>
        <v>3 1-500</v>
      </c>
      <c r="P1874" s="2" t="n">
        <f aca="false">Lookups!$B$2*M1874+Lookups!$B$3*L1874</f>
        <v>0</v>
      </c>
      <c r="Q1874" s="2" t="str">
        <f aca="false">INDEX(Lookups!$E$2:$E$5,MATCH(P1874,Lookups!$D$2:$D$5,0))</f>
        <v>Low</v>
      </c>
    </row>
    <row r="1875" customFormat="false" ht="15" hidden="false" customHeight="false" outlineLevel="0" collapsed="false">
      <c r="A1875" s="3" t="n">
        <v>1874</v>
      </c>
      <c r="B1875" s="3" t="n">
        <f aca="false">Raw_Data!A1875</f>
        <v>53</v>
      </c>
      <c r="C1875" s="3" t="str">
        <f aca="false">SUBSTITUTE(Raw_Data!B1875,".","")</f>
        <v>blue-collar</v>
      </c>
      <c r="D1875" s="3" t="str">
        <f aca="false">Raw_Data!C1875</f>
        <v>married</v>
      </c>
      <c r="E1875" s="3" t="str">
        <f aca="false">Raw_Data!D1875</f>
        <v>primary</v>
      </c>
      <c r="F1875" s="3" t="str">
        <f aca="false">Raw_Data!E1875</f>
        <v>no</v>
      </c>
      <c r="G1875" s="3" t="n">
        <f aca="false">Raw_Data!F1875</f>
        <v>4143</v>
      </c>
      <c r="H1875" s="3" t="str">
        <f aca="false">Raw_Data!G1875</f>
        <v>no</v>
      </c>
      <c r="I1875" s="3" t="str">
        <f aca="false">Raw_Data!H1875</f>
        <v>no</v>
      </c>
      <c r="J1875" s="2" t="n">
        <f aca="false">IF(F1875="yes",1,0)</f>
        <v>0</v>
      </c>
      <c r="K1875" s="2" t="n">
        <f aca="false">IF(H1875="yes",1,0)</f>
        <v>0</v>
      </c>
      <c r="L1875" s="2" t="n">
        <f aca="false">IF(I1875="yes",1,0)</f>
        <v>0</v>
      </c>
      <c r="M1875" s="2" t="n">
        <f aca="false">IF(G1875&lt;0,1,0)</f>
        <v>0</v>
      </c>
      <c r="N1875" s="2" t="str">
        <f aca="false">_xlfn.IFS(B1875&lt;30,"Under 30",B1875&lt;40,"30-39",B1875&lt;50,"40-49",B1875&lt;60,"50-59",TRUE(),"60+")</f>
        <v>50-59</v>
      </c>
      <c r="O1875" s="2" t="str">
        <f aca="false">_xlfn.IFS(G1875&lt;0,"1 Negative",G1875=0,"2 Zero",G1875&lt;=500,"3 1-500",G1875&lt;=2000,"4 501-2000",TRUE(),"5 Above 2000")</f>
        <v>5 Above 2000</v>
      </c>
      <c r="P1875" s="2" t="n">
        <f aca="false">Lookups!$B$2*M1875+Lookups!$B$3*L1875</f>
        <v>0</v>
      </c>
      <c r="Q1875" s="2" t="str">
        <f aca="false">INDEX(Lookups!$E$2:$E$5,MATCH(P1875,Lookups!$D$2:$D$5,0))</f>
        <v>Low</v>
      </c>
    </row>
    <row r="1876" customFormat="false" ht="15" hidden="false" customHeight="false" outlineLevel="0" collapsed="false">
      <c r="A1876" s="3" t="n">
        <v>1875</v>
      </c>
      <c r="B1876" s="3" t="n">
        <f aca="false">Raw_Data!A1876</f>
        <v>42</v>
      </c>
      <c r="C1876" s="3" t="str">
        <f aca="false">SUBSTITUTE(Raw_Data!B1876,".","")</f>
        <v>blue-collar</v>
      </c>
      <c r="D1876" s="3" t="str">
        <f aca="false">Raw_Data!C1876</f>
        <v>married</v>
      </c>
      <c r="E1876" s="3" t="str">
        <f aca="false">Raw_Data!D1876</f>
        <v>unknown</v>
      </c>
      <c r="F1876" s="3" t="str">
        <f aca="false">Raw_Data!E1876</f>
        <v>no</v>
      </c>
      <c r="G1876" s="3" t="n">
        <f aca="false">Raw_Data!F1876</f>
        <v>-406</v>
      </c>
      <c r="H1876" s="3" t="str">
        <f aca="false">Raw_Data!G1876</f>
        <v>yes</v>
      </c>
      <c r="I1876" s="3" t="str">
        <f aca="false">Raw_Data!H1876</f>
        <v>no</v>
      </c>
      <c r="J1876" s="2" t="n">
        <f aca="false">IF(F1876="yes",1,0)</f>
        <v>0</v>
      </c>
      <c r="K1876" s="2" t="n">
        <f aca="false">IF(H1876="yes",1,0)</f>
        <v>1</v>
      </c>
      <c r="L1876" s="2" t="n">
        <f aca="false">IF(I1876="yes",1,0)</f>
        <v>0</v>
      </c>
      <c r="M1876" s="2" t="n">
        <f aca="false">IF(G1876&lt;0,1,0)</f>
        <v>1</v>
      </c>
      <c r="N1876" s="2" t="str">
        <f aca="false">_xlfn.IFS(B1876&lt;30,"Under 30",B1876&lt;40,"30-39",B1876&lt;50,"40-49",B1876&lt;60,"50-59",TRUE(),"60+")</f>
        <v>40-49</v>
      </c>
      <c r="O1876" s="2" t="str">
        <f aca="false">_xlfn.IFS(G1876&lt;0,"1 Negative",G1876=0,"2 Zero",G1876&lt;=500,"3 1-500",G1876&lt;=2000,"4 501-2000",TRUE(),"5 Above 2000")</f>
        <v>1 Negative</v>
      </c>
      <c r="P1876" s="2" t="n">
        <f aca="false">Lookups!$B$2*M1876+Lookups!$B$3*L1876</f>
        <v>2</v>
      </c>
      <c r="Q1876" s="2" t="str">
        <f aca="false">INDEX(Lookups!$E$2:$E$5,MATCH(P1876,Lookups!$D$2:$D$5,0))</f>
        <v>High</v>
      </c>
    </row>
    <row r="1877" customFormat="false" ht="15" hidden="false" customHeight="false" outlineLevel="0" collapsed="false">
      <c r="A1877" s="3" t="n">
        <v>1876</v>
      </c>
      <c r="B1877" s="3" t="n">
        <f aca="false">Raw_Data!A1877</f>
        <v>30</v>
      </c>
      <c r="C1877" s="3" t="str">
        <f aca="false">SUBSTITUTE(Raw_Data!B1877,".","")</f>
        <v>blue-collar</v>
      </c>
      <c r="D1877" s="3" t="str">
        <f aca="false">Raw_Data!C1877</f>
        <v>single</v>
      </c>
      <c r="E1877" s="3" t="str">
        <f aca="false">Raw_Data!D1877</f>
        <v>secondary</v>
      </c>
      <c r="F1877" s="3" t="str">
        <f aca="false">Raw_Data!E1877</f>
        <v>no</v>
      </c>
      <c r="G1877" s="3" t="n">
        <f aca="false">Raw_Data!F1877</f>
        <v>180</v>
      </c>
      <c r="H1877" s="3" t="str">
        <f aca="false">Raw_Data!G1877</f>
        <v>no</v>
      </c>
      <c r="I1877" s="3" t="str">
        <f aca="false">Raw_Data!H1877</f>
        <v>no</v>
      </c>
      <c r="J1877" s="2" t="n">
        <f aca="false">IF(F1877="yes",1,0)</f>
        <v>0</v>
      </c>
      <c r="K1877" s="2" t="n">
        <f aca="false">IF(H1877="yes",1,0)</f>
        <v>0</v>
      </c>
      <c r="L1877" s="2" t="n">
        <f aca="false">IF(I1877="yes",1,0)</f>
        <v>0</v>
      </c>
      <c r="M1877" s="2" t="n">
        <f aca="false">IF(G1877&lt;0,1,0)</f>
        <v>0</v>
      </c>
      <c r="N1877" s="2" t="str">
        <f aca="false">_xlfn.IFS(B1877&lt;30,"Under 30",B1877&lt;40,"30-39",B1877&lt;50,"40-49",B1877&lt;60,"50-59",TRUE(),"60+")</f>
        <v>30-39</v>
      </c>
      <c r="O1877" s="2" t="str">
        <f aca="false">_xlfn.IFS(G1877&lt;0,"1 Negative",G1877=0,"2 Zero",G1877&lt;=500,"3 1-500",G1877&lt;=2000,"4 501-2000",TRUE(),"5 Above 2000")</f>
        <v>3 1-500</v>
      </c>
      <c r="P1877" s="2" t="n">
        <f aca="false">Lookups!$B$2*M1877+Lookups!$B$3*L1877</f>
        <v>0</v>
      </c>
      <c r="Q1877" s="2" t="str">
        <f aca="false">INDEX(Lookups!$E$2:$E$5,MATCH(P1877,Lookups!$D$2:$D$5,0))</f>
        <v>Low</v>
      </c>
    </row>
    <row r="1878" customFormat="false" ht="15" hidden="false" customHeight="false" outlineLevel="0" collapsed="false">
      <c r="A1878" s="3" t="n">
        <v>1877</v>
      </c>
      <c r="B1878" s="3" t="n">
        <f aca="false">Raw_Data!A1878</f>
        <v>26</v>
      </c>
      <c r="C1878" s="3" t="str">
        <f aca="false">SUBSTITUTE(Raw_Data!B1878,".","")</f>
        <v>blue-collar</v>
      </c>
      <c r="D1878" s="3" t="str">
        <f aca="false">Raw_Data!C1878</f>
        <v>single</v>
      </c>
      <c r="E1878" s="3" t="str">
        <f aca="false">Raw_Data!D1878</f>
        <v>primary</v>
      </c>
      <c r="F1878" s="3" t="str">
        <f aca="false">Raw_Data!E1878</f>
        <v>no</v>
      </c>
      <c r="G1878" s="3" t="n">
        <f aca="false">Raw_Data!F1878</f>
        <v>-887</v>
      </c>
      <c r="H1878" s="3" t="str">
        <f aca="false">Raw_Data!G1878</f>
        <v>yes</v>
      </c>
      <c r="I1878" s="3" t="str">
        <f aca="false">Raw_Data!H1878</f>
        <v>no</v>
      </c>
      <c r="J1878" s="2" t="n">
        <f aca="false">IF(F1878="yes",1,0)</f>
        <v>0</v>
      </c>
      <c r="K1878" s="2" t="n">
        <f aca="false">IF(H1878="yes",1,0)</f>
        <v>1</v>
      </c>
      <c r="L1878" s="2" t="n">
        <f aca="false">IF(I1878="yes",1,0)</f>
        <v>0</v>
      </c>
      <c r="M1878" s="2" t="n">
        <f aca="false">IF(G1878&lt;0,1,0)</f>
        <v>1</v>
      </c>
      <c r="N1878" s="2" t="str">
        <f aca="false">_xlfn.IFS(B1878&lt;30,"Under 30",B1878&lt;40,"30-39",B1878&lt;50,"40-49",B1878&lt;60,"50-59",TRUE(),"60+")</f>
        <v>Under 30</v>
      </c>
      <c r="O1878" s="2" t="str">
        <f aca="false">_xlfn.IFS(G1878&lt;0,"1 Negative",G1878=0,"2 Zero",G1878&lt;=500,"3 1-500",G1878&lt;=2000,"4 501-2000",TRUE(),"5 Above 2000")</f>
        <v>1 Negative</v>
      </c>
      <c r="P1878" s="2" t="n">
        <f aca="false">Lookups!$B$2*M1878+Lookups!$B$3*L1878</f>
        <v>2</v>
      </c>
      <c r="Q1878" s="2" t="str">
        <f aca="false">INDEX(Lookups!$E$2:$E$5,MATCH(P1878,Lookups!$D$2:$D$5,0))</f>
        <v>High</v>
      </c>
    </row>
    <row r="1879" customFormat="false" ht="15" hidden="false" customHeight="false" outlineLevel="0" collapsed="false">
      <c r="A1879" s="3" t="n">
        <v>1878</v>
      </c>
      <c r="B1879" s="3" t="n">
        <f aca="false">Raw_Data!A1879</f>
        <v>40</v>
      </c>
      <c r="C1879" s="3" t="str">
        <f aca="false">SUBSTITUTE(Raw_Data!B1879,".","")</f>
        <v>services</v>
      </c>
      <c r="D1879" s="3" t="str">
        <f aca="false">Raw_Data!C1879</f>
        <v>married</v>
      </c>
      <c r="E1879" s="3" t="str">
        <f aca="false">Raw_Data!D1879</f>
        <v>secondary</v>
      </c>
      <c r="F1879" s="3" t="str">
        <f aca="false">Raw_Data!E1879</f>
        <v>no</v>
      </c>
      <c r="G1879" s="3" t="n">
        <f aca="false">Raw_Data!F1879</f>
        <v>4157</v>
      </c>
      <c r="H1879" s="3" t="str">
        <f aca="false">Raw_Data!G1879</f>
        <v>yes</v>
      </c>
      <c r="I1879" s="3" t="str">
        <f aca="false">Raw_Data!H1879</f>
        <v>no</v>
      </c>
      <c r="J1879" s="2" t="n">
        <f aca="false">IF(F1879="yes",1,0)</f>
        <v>0</v>
      </c>
      <c r="K1879" s="2" t="n">
        <f aca="false">IF(H1879="yes",1,0)</f>
        <v>1</v>
      </c>
      <c r="L1879" s="2" t="n">
        <f aca="false">IF(I1879="yes",1,0)</f>
        <v>0</v>
      </c>
      <c r="M1879" s="2" t="n">
        <f aca="false">IF(G1879&lt;0,1,0)</f>
        <v>0</v>
      </c>
      <c r="N1879" s="2" t="str">
        <f aca="false">_xlfn.IFS(B1879&lt;30,"Under 30",B1879&lt;40,"30-39",B1879&lt;50,"40-49",B1879&lt;60,"50-59",TRUE(),"60+")</f>
        <v>40-49</v>
      </c>
      <c r="O1879" s="2" t="str">
        <f aca="false">_xlfn.IFS(G1879&lt;0,"1 Negative",G1879=0,"2 Zero",G1879&lt;=500,"3 1-500",G1879&lt;=2000,"4 501-2000",TRUE(),"5 Above 2000")</f>
        <v>5 Above 2000</v>
      </c>
      <c r="P1879" s="2" t="n">
        <f aca="false">Lookups!$B$2*M1879+Lookups!$B$3*L1879</f>
        <v>0</v>
      </c>
      <c r="Q1879" s="2" t="str">
        <f aca="false">INDEX(Lookups!$E$2:$E$5,MATCH(P1879,Lookups!$D$2:$D$5,0))</f>
        <v>Low</v>
      </c>
    </row>
    <row r="1880" customFormat="false" ht="15" hidden="false" customHeight="false" outlineLevel="0" collapsed="false">
      <c r="A1880" s="3" t="n">
        <v>1879</v>
      </c>
      <c r="B1880" s="3" t="n">
        <f aca="false">Raw_Data!A1880</f>
        <v>34</v>
      </c>
      <c r="C1880" s="3" t="str">
        <f aca="false">SUBSTITUTE(Raw_Data!B1880,".","")</f>
        <v>technician</v>
      </c>
      <c r="D1880" s="3" t="str">
        <f aca="false">Raw_Data!C1880</f>
        <v>single</v>
      </c>
      <c r="E1880" s="3" t="str">
        <f aca="false">Raw_Data!D1880</f>
        <v>secondary</v>
      </c>
      <c r="F1880" s="3" t="str">
        <f aca="false">Raw_Data!E1880</f>
        <v>no</v>
      </c>
      <c r="G1880" s="3" t="n">
        <f aca="false">Raw_Data!F1880</f>
        <v>1386</v>
      </c>
      <c r="H1880" s="3" t="str">
        <f aca="false">Raw_Data!G1880</f>
        <v>yes</v>
      </c>
      <c r="I1880" s="3" t="str">
        <f aca="false">Raw_Data!H1880</f>
        <v>yes</v>
      </c>
      <c r="J1880" s="2" t="n">
        <f aca="false">IF(F1880="yes",1,0)</f>
        <v>0</v>
      </c>
      <c r="K1880" s="2" t="n">
        <f aca="false">IF(H1880="yes",1,0)</f>
        <v>1</v>
      </c>
      <c r="L1880" s="2" t="n">
        <f aca="false">IF(I1880="yes",1,0)</f>
        <v>1</v>
      </c>
      <c r="M1880" s="2" t="n">
        <f aca="false">IF(G1880&lt;0,1,0)</f>
        <v>0</v>
      </c>
      <c r="N1880" s="2" t="str">
        <f aca="false">_xlfn.IFS(B1880&lt;30,"Under 30",B1880&lt;40,"30-39",B1880&lt;50,"40-49",B1880&lt;60,"50-59",TRUE(),"60+")</f>
        <v>30-39</v>
      </c>
      <c r="O1880" s="2" t="str">
        <f aca="false">_xlfn.IFS(G1880&lt;0,"1 Negative",G1880=0,"2 Zero",G1880&lt;=500,"3 1-500",G1880&lt;=2000,"4 501-2000",TRUE(),"5 Above 2000")</f>
        <v>4 501-2000</v>
      </c>
      <c r="P1880" s="2" t="n">
        <f aca="false">Lookups!$B$2*M1880+Lookups!$B$3*L1880</f>
        <v>1</v>
      </c>
      <c r="Q1880" s="2" t="str">
        <f aca="false">INDEX(Lookups!$E$2:$E$5,MATCH(P1880,Lookups!$D$2:$D$5,0))</f>
        <v>Medium</v>
      </c>
    </row>
    <row r="1881" customFormat="false" ht="15" hidden="false" customHeight="false" outlineLevel="0" collapsed="false">
      <c r="A1881" s="3" t="n">
        <v>1880</v>
      </c>
      <c r="B1881" s="3" t="n">
        <f aca="false">Raw_Data!A1881</f>
        <v>34</v>
      </c>
      <c r="C1881" s="3" t="str">
        <f aca="false">SUBSTITUTE(Raw_Data!B1881,".","")</f>
        <v>services</v>
      </c>
      <c r="D1881" s="3" t="str">
        <f aca="false">Raw_Data!C1881</f>
        <v>married</v>
      </c>
      <c r="E1881" s="3" t="str">
        <f aca="false">Raw_Data!D1881</f>
        <v>secondary</v>
      </c>
      <c r="F1881" s="3" t="str">
        <f aca="false">Raw_Data!E1881</f>
        <v>no</v>
      </c>
      <c r="G1881" s="3" t="n">
        <f aca="false">Raw_Data!F1881</f>
        <v>2211</v>
      </c>
      <c r="H1881" s="3" t="str">
        <f aca="false">Raw_Data!G1881</f>
        <v>no</v>
      </c>
      <c r="I1881" s="3" t="str">
        <f aca="false">Raw_Data!H1881</f>
        <v>no</v>
      </c>
      <c r="J1881" s="2" t="n">
        <f aca="false">IF(F1881="yes",1,0)</f>
        <v>0</v>
      </c>
      <c r="K1881" s="2" t="n">
        <f aca="false">IF(H1881="yes",1,0)</f>
        <v>0</v>
      </c>
      <c r="L1881" s="2" t="n">
        <f aca="false">IF(I1881="yes",1,0)</f>
        <v>0</v>
      </c>
      <c r="M1881" s="2" t="n">
        <f aca="false">IF(G1881&lt;0,1,0)</f>
        <v>0</v>
      </c>
      <c r="N1881" s="2" t="str">
        <f aca="false">_xlfn.IFS(B1881&lt;30,"Under 30",B1881&lt;40,"30-39",B1881&lt;50,"40-49",B1881&lt;60,"50-59",TRUE(),"60+")</f>
        <v>30-39</v>
      </c>
      <c r="O1881" s="2" t="str">
        <f aca="false">_xlfn.IFS(G1881&lt;0,"1 Negative",G1881=0,"2 Zero",G1881&lt;=500,"3 1-500",G1881&lt;=2000,"4 501-2000",TRUE(),"5 Above 2000")</f>
        <v>5 Above 2000</v>
      </c>
      <c r="P1881" s="2" t="n">
        <f aca="false">Lookups!$B$2*M1881+Lookups!$B$3*L1881</f>
        <v>0</v>
      </c>
      <c r="Q1881" s="2" t="str">
        <f aca="false">INDEX(Lookups!$E$2:$E$5,MATCH(P1881,Lookups!$D$2:$D$5,0))</f>
        <v>Low</v>
      </c>
    </row>
    <row r="1882" customFormat="false" ht="15" hidden="false" customHeight="false" outlineLevel="0" collapsed="false">
      <c r="A1882" s="3" t="n">
        <v>1881</v>
      </c>
      <c r="B1882" s="3" t="n">
        <f aca="false">Raw_Data!A1882</f>
        <v>40</v>
      </c>
      <c r="C1882" s="3" t="str">
        <f aca="false">SUBSTITUTE(Raw_Data!B1882,".","")</f>
        <v>management</v>
      </c>
      <c r="D1882" s="3" t="str">
        <f aca="false">Raw_Data!C1882</f>
        <v>married</v>
      </c>
      <c r="E1882" s="3" t="str">
        <f aca="false">Raw_Data!D1882</f>
        <v>tertiary</v>
      </c>
      <c r="F1882" s="3" t="str">
        <f aca="false">Raw_Data!E1882</f>
        <v>no</v>
      </c>
      <c r="G1882" s="3" t="n">
        <f aca="false">Raw_Data!F1882</f>
        <v>-495</v>
      </c>
      <c r="H1882" s="3" t="str">
        <f aca="false">Raw_Data!G1882</f>
        <v>no</v>
      </c>
      <c r="I1882" s="3" t="str">
        <f aca="false">Raw_Data!H1882</f>
        <v>yes</v>
      </c>
      <c r="J1882" s="2" t="n">
        <f aca="false">IF(F1882="yes",1,0)</f>
        <v>0</v>
      </c>
      <c r="K1882" s="2" t="n">
        <f aca="false">IF(H1882="yes",1,0)</f>
        <v>0</v>
      </c>
      <c r="L1882" s="2" t="n">
        <f aca="false">IF(I1882="yes",1,0)</f>
        <v>1</v>
      </c>
      <c r="M1882" s="2" t="n">
        <f aca="false">IF(G1882&lt;0,1,0)</f>
        <v>1</v>
      </c>
      <c r="N1882" s="2" t="str">
        <f aca="false">_xlfn.IFS(B1882&lt;30,"Under 30",B1882&lt;40,"30-39",B1882&lt;50,"40-49",B1882&lt;60,"50-59",TRUE(),"60+")</f>
        <v>40-49</v>
      </c>
      <c r="O1882" s="2" t="str">
        <f aca="false">_xlfn.IFS(G1882&lt;0,"1 Negative",G1882=0,"2 Zero",G1882&lt;=500,"3 1-500",G1882&lt;=2000,"4 501-2000",TRUE(),"5 Above 2000")</f>
        <v>1 Negative</v>
      </c>
      <c r="P1882" s="2" t="n">
        <f aca="false">Lookups!$B$2*M1882+Lookups!$B$3*L1882</f>
        <v>3</v>
      </c>
      <c r="Q1882" s="2" t="str">
        <f aca="false">INDEX(Lookups!$E$2:$E$5,MATCH(P1882,Lookups!$D$2:$D$5,0))</f>
        <v>High</v>
      </c>
    </row>
    <row r="1883" customFormat="false" ht="15" hidden="false" customHeight="false" outlineLevel="0" collapsed="false">
      <c r="A1883" s="3" t="n">
        <v>1882</v>
      </c>
      <c r="B1883" s="3" t="n">
        <f aca="false">Raw_Data!A1883</f>
        <v>36</v>
      </c>
      <c r="C1883" s="3" t="str">
        <f aca="false">SUBSTITUTE(Raw_Data!B1883,".","")</f>
        <v>management</v>
      </c>
      <c r="D1883" s="3" t="str">
        <f aca="false">Raw_Data!C1883</f>
        <v>married</v>
      </c>
      <c r="E1883" s="3" t="str">
        <f aca="false">Raw_Data!D1883</f>
        <v>tertiary</v>
      </c>
      <c r="F1883" s="3" t="str">
        <f aca="false">Raw_Data!E1883</f>
        <v>no</v>
      </c>
      <c r="G1883" s="3" t="n">
        <f aca="false">Raw_Data!F1883</f>
        <v>27359</v>
      </c>
      <c r="H1883" s="3" t="str">
        <f aca="false">Raw_Data!G1883</f>
        <v>yes</v>
      </c>
      <c r="I1883" s="3" t="str">
        <f aca="false">Raw_Data!H1883</f>
        <v>no</v>
      </c>
      <c r="J1883" s="2" t="n">
        <f aca="false">IF(F1883="yes",1,0)</f>
        <v>0</v>
      </c>
      <c r="K1883" s="2" t="n">
        <f aca="false">IF(H1883="yes",1,0)</f>
        <v>1</v>
      </c>
      <c r="L1883" s="2" t="n">
        <f aca="false">IF(I1883="yes",1,0)</f>
        <v>0</v>
      </c>
      <c r="M1883" s="2" t="n">
        <f aca="false">IF(G1883&lt;0,1,0)</f>
        <v>0</v>
      </c>
      <c r="N1883" s="2" t="str">
        <f aca="false">_xlfn.IFS(B1883&lt;30,"Under 30",B1883&lt;40,"30-39",B1883&lt;50,"40-49",B1883&lt;60,"50-59",TRUE(),"60+")</f>
        <v>30-39</v>
      </c>
      <c r="O1883" s="2" t="str">
        <f aca="false">_xlfn.IFS(G1883&lt;0,"1 Negative",G1883=0,"2 Zero",G1883&lt;=500,"3 1-500",G1883&lt;=2000,"4 501-2000",TRUE(),"5 Above 2000")</f>
        <v>5 Above 2000</v>
      </c>
      <c r="P1883" s="2" t="n">
        <f aca="false">Lookups!$B$2*M1883+Lookups!$B$3*L1883</f>
        <v>0</v>
      </c>
      <c r="Q1883" s="2" t="str">
        <f aca="false">INDEX(Lookups!$E$2:$E$5,MATCH(P1883,Lookups!$D$2:$D$5,0))</f>
        <v>Low</v>
      </c>
    </row>
    <row r="1884" customFormat="false" ht="15" hidden="false" customHeight="false" outlineLevel="0" collapsed="false">
      <c r="A1884" s="3" t="n">
        <v>1883</v>
      </c>
      <c r="B1884" s="3" t="n">
        <f aca="false">Raw_Data!A1884</f>
        <v>34</v>
      </c>
      <c r="C1884" s="3" t="str">
        <f aca="false">SUBSTITUTE(Raw_Data!B1884,".","")</f>
        <v>technician</v>
      </c>
      <c r="D1884" s="3" t="str">
        <f aca="false">Raw_Data!C1884</f>
        <v>single</v>
      </c>
      <c r="E1884" s="3" t="str">
        <f aca="false">Raw_Data!D1884</f>
        <v>secondary</v>
      </c>
      <c r="F1884" s="3" t="str">
        <f aca="false">Raw_Data!E1884</f>
        <v>no</v>
      </c>
      <c r="G1884" s="3" t="n">
        <f aca="false">Raw_Data!F1884</f>
        <v>440</v>
      </c>
      <c r="H1884" s="3" t="str">
        <f aca="false">Raw_Data!G1884</f>
        <v>yes</v>
      </c>
      <c r="I1884" s="3" t="str">
        <f aca="false">Raw_Data!H1884</f>
        <v>no</v>
      </c>
      <c r="J1884" s="2" t="n">
        <f aca="false">IF(F1884="yes",1,0)</f>
        <v>0</v>
      </c>
      <c r="K1884" s="2" t="n">
        <f aca="false">IF(H1884="yes",1,0)</f>
        <v>1</v>
      </c>
      <c r="L1884" s="2" t="n">
        <f aca="false">IF(I1884="yes",1,0)</f>
        <v>0</v>
      </c>
      <c r="M1884" s="2" t="n">
        <f aca="false">IF(G1884&lt;0,1,0)</f>
        <v>0</v>
      </c>
      <c r="N1884" s="2" t="str">
        <f aca="false">_xlfn.IFS(B1884&lt;30,"Under 30",B1884&lt;40,"30-39",B1884&lt;50,"40-49",B1884&lt;60,"50-59",TRUE(),"60+")</f>
        <v>30-39</v>
      </c>
      <c r="O1884" s="2" t="str">
        <f aca="false">_xlfn.IFS(G1884&lt;0,"1 Negative",G1884=0,"2 Zero",G1884&lt;=500,"3 1-500",G1884&lt;=2000,"4 501-2000",TRUE(),"5 Above 2000")</f>
        <v>3 1-500</v>
      </c>
      <c r="P1884" s="2" t="n">
        <f aca="false">Lookups!$B$2*M1884+Lookups!$B$3*L1884</f>
        <v>0</v>
      </c>
      <c r="Q1884" s="2" t="str">
        <f aca="false">INDEX(Lookups!$E$2:$E$5,MATCH(P1884,Lookups!$D$2:$D$5,0))</f>
        <v>Low</v>
      </c>
    </row>
    <row r="1885" customFormat="false" ht="15" hidden="false" customHeight="false" outlineLevel="0" collapsed="false">
      <c r="A1885" s="3" t="n">
        <v>1884</v>
      </c>
      <c r="B1885" s="3" t="n">
        <f aca="false">Raw_Data!A1885</f>
        <v>32</v>
      </c>
      <c r="C1885" s="3" t="str">
        <f aca="false">SUBSTITUTE(Raw_Data!B1885,".","")</f>
        <v>blue-collar</v>
      </c>
      <c r="D1885" s="3" t="str">
        <f aca="false">Raw_Data!C1885</f>
        <v>single</v>
      </c>
      <c r="E1885" s="3" t="str">
        <f aca="false">Raw_Data!D1885</f>
        <v>secondary</v>
      </c>
      <c r="F1885" s="3" t="str">
        <f aca="false">Raw_Data!E1885</f>
        <v>no</v>
      </c>
      <c r="G1885" s="3" t="n">
        <f aca="false">Raw_Data!F1885</f>
        <v>135</v>
      </c>
      <c r="H1885" s="3" t="str">
        <f aca="false">Raw_Data!G1885</f>
        <v>yes</v>
      </c>
      <c r="I1885" s="3" t="str">
        <f aca="false">Raw_Data!H1885</f>
        <v>no</v>
      </c>
      <c r="J1885" s="2" t="n">
        <f aca="false">IF(F1885="yes",1,0)</f>
        <v>0</v>
      </c>
      <c r="K1885" s="2" t="n">
        <f aca="false">IF(H1885="yes",1,0)</f>
        <v>1</v>
      </c>
      <c r="L1885" s="2" t="n">
        <f aca="false">IF(I1885="yes",1,0)</f>
        <v>0</v>
      </c>
      <c r="M1885" s="2" t="n">
        <f aca="false">IF(G1885&lt;0,1,0)</f>
        <v>0</v>
      </c>
      <c r="N1885" s="2" t="str">
        <f aca="false">_xlfn.IFS(B1885&lt;30,"Under 30",B1885&lt;40,"30-39",B1885&lt;50,"40-49",B1885&lt;60,"50-59",TRUE(),"60+")</f>
        <v>30-39</v>
      </c>
      <c r="O1885" s="2" t="str">
        <f aca="false">_xlfn.IFS(G1885&lt;0,"1 Negative",G1885=0,"2 Zero",G1885&lt;=500,"3 1-500",G1885&lt;=2000,"4 501-2000",TRUE(),"5 Above 2000")</f>
        <v>3 1-500</v>
      </c>
      <c r="P1885" s="2" t="n">
        <f aca="false">Lookups!$B$2*M1885+Lookups!$B$3*L1885</f>
        <v>0</v>
      </c>
      <c r="Q1885" s="2" t="str">
        <f aca="false">INDEX(Lookups!$E$2:$E$5,MATCH(P1885,Lookups!$D$2:$D$5,0))</f>
        <v>Low</v>
      </c>
    </row>
    <row r="1886" customFormat="false" ht="15" hidden="false" customHeight="false" outlineLevel="0" collapsed="false">
      <c r="A1886" s="3" t="n">
        <v>1885</v>
      </c>
      <c r="B1886" s="3" t="n">
        <f aca="false">Raw_Data!A1886</f>
        <v>39</v>
      </c>
      <c r="C1886" s="3" t="str">
        <f aca="false">SUBSTITUTE(Raw_Data!B1886,".","")</f>
        <v>technician</v>
      </c>
      <c r="D1886" s="3" t="str">
        <f aca="false">Raw_Data!C1886</f>
        <v>married</v>
      </c>
      <c r="E1886" s="3" t="str">
        <f aca="false">Raw_Data!D1886</f>
        <v>secondary</v>
      </c>
      <c r="F1886" s="3" t="str">
        <f aca="false">Raw_Data!E1886</f>
        <v>no</v>
      </c>
      <c r="G1886" s="3" t="n">
        <f aca="false">Raw_Data!F1886</f>
        <v>-735</v>
      </c>
      <c r="H1886" s="3" t="str">
        <f aca="false">Raw_Data!G1886</f>
        <v>yes</v>
      </c>
      <c r="I1886" s="3" t="str">
        <f aca="false">Raw_Data!H1886</f>
        <v>no</v>
      </c>
      <c r="J1886" s="2" t="n">
        <f aca="false">IF(F1886="yes",1,0)</f>
        <v>0</v>
      </c>
      <c r="K1886" s="2" t="n">
        <f aca="false">IF(H1886="yes",1,0)</f>
        <v>1</v>
      </c>
      <c r="L1886" s="2" t="n">
        <f aca="false">IF(I1886="yes",1,0)</f>
        <v>0</v>
      </c>
      <c r="M1886" s="2" t="n">
        <f aca="false">IF(G1886&lt;0,1,0)</f>
        <v>1</v>
      </c>
      <c r="N1886" s="2" t="str">
        <f aca="false">_xlfn.IFS(B1886&lt;30,"Under 30",B1886&lt;40,"30-39",B1886&lt;50,"40-49",B1886&lt;60,"50-59",TRUE(),"60+")</f>
        <v>30-39</v>
      </c>
      <c r="O1886" s="2" t="str">
        <f aca="false">_xlfn.IFS(G1886&lt;0,"1 Negative",G1886=0,"2 Zero",G1886&lt;=500,"3 1-500",G1886&lt;=2000,"4 501-2000",TRUE(),"5 Above 2000")</f>
        <v>1 Negative</v>
      </c>
      <c r="P1886" s="2" t="n">
        <f aca="false">Lookups!$B$2*M1886+Lookups!$B$3*L1886</f>
        <v>2</v>
      </c>
      <c r="Q1886" s="2" t="str">
        <f aca="false">INDEX(Lookups!$E$2:$E$5,MATCH(P1886,Lookups!$D$2:$D$5,0))</f>
        <v>High</v>
      </c>
    </row>
    <row r="1887" customFormat="false" ht="15" hidden="false" customHeight="false" outlineLevel="0" collapsed="false">
      <c r="A1887" s="3" t="n">
        <v>1886</v>
      </c>
      <c r="B1887" s="3" t="n">
        <f aca="false">Raw_Data!A1887</f>
        <v>36</v>
      </c>
      <c r="C1887" s="3" t="str">
        <f aca="false">SUBSTITUTE(Raw_Data!B1887,".","")</f>
        <v>technician</v>
      </c>
      <c r="D1887" s="3" t="str">
        <f aca="false">Raw_Data!C1887</f>
        <v>married</v>
      </c>
      <c r="E1887" s="3" t="str">
        <f aca="false">Raw_Data!D1887</f>
        <v>tertiary</v>
      </c>
      <c r="F1887" s="3" t="str">
        <f aca="false">Raw_Data!E1887</f>
        <v>no</v>
      </c>
      <c r="G1887" s="3" t="n">
        <f aca="false">Raw_Data!F1887</f>
        <v>60</v>
      </c>
      <c r="H1887" s="3" t="str">
        <f aca="false">Raw_Data!G1887</f>
        <v>no</v>
      </c>
      <c r="I1887" s="3" t="str">
        <f aca="false">Raw_Data!H1887</f>
        <v>no</v>
      </c>
      <c r="J1887" s="2" t="n">
        <f aca="false">IF(F1887="yes",1,0)</f>
        <v>0</v>
      </c>
      <c r="K1887" s="2" t="n">
        <f aca="false">IF(H1887="yes",1,0)</f>
        <v>0</v>
      </c>
      <c r="L1887" s="2" t="n">
        <f aca="false">IF(I1887="yes",1,0)</f>
        <v>0</v>
      </c>
      <c r="M1887" s="2" t="n">
        <f aca="false">IF(G1887&lt;0,1,0)</f>
        <v>0</v>
      </c>
      <c r="N1887" s="2" t="str">
        <f aca="false">_xlfn.IFS(B1887&lt;30,"Under 30",B1887&lt;40,"30-39",B1887&lt;50,"40-49",B1887&lt;60,"50-59",TRUE(),"60+")</f>
        <v>30-39</v>
      </c>
      <c r="O1887" s="2" t="str">
        <f aca="false">_xlfn.IFS(G1887&lt;0,"1 Negative",G1887=0,"2 Zero",G1887&lt;=500,"3 1-500",G1887&lt;=2000,"4 501-2000",TRUE(),"5 Above 2000")</f>
        <v>3 1-500</v>
      </c>
      <c r="P1887" s="2" t="n">
        <f aca="false">Lookups!$B$2*M1887+Lookups!$B$3*L1887</f>
        <v>0</v>
      </c>
      <c r="Q1887" s="2" t="str">
        <f aca="false">INDEX(Lookups!$E$2:$E$5,MATCH(P1887,Lookups!$D$2:$D$5,0))</f>
        <v>Low</v>
      </c>
    </row>
    <row r="1888" customFormat="false" ht="15" hidden="false" customHeight="false" outlineLevel="0" collapsed="false">
      <c r="A1888" s="3" t="n">
        <v>1887</v>
      </c>
      <c r="B1888" s="3" t="n">
        <f aca="false">Raw_Data!A1888</f>
        <v>39</v>
      </c>
      <c r="C1888" s="3" t="str">
        <f aca="false">SUBSTITUTE(Raw_Data!B1888,".","")</f>
        <v>technician</v>
      </c>
      <c r="D1888" s="3" t="str">
        <f aca="false">Raw_Data!C1888</f>
        <v>divorced</v>
      </c>
      <c r="E1888" s="3" t="str">
        <f aca="false">Raw_Data!D1888</f>
        <v>secondary</v>
      </c>
      <c r="F1888" s="3" t="str">
        <f aca="false">Raw_Data!E1888</f>
        <v>no</v>
      </c>
      <c r="G1888" s="3" t="n">
        <f aca="false">Raw_Data!F1888</f>
        <v>902</v>
      </c>
      <c r="H1888" s="3" t="str">
        <f aca="false">Raw_Data!G1888</f>
        <v>yes</v>
      </c>
      <c r="I1888" s="3" t="str">
        <f aca="false">Raw_Data!H1888</f>
        <v>no</v>
      </c>
      <c r="J1888" s="2" t="n">
        <f aca="false">IF(F1888="yes",1,0)</f>
        <v>0</v>
      </c>
      <c r="K1888" s="2" t="n">
        <f aca="false">IF(H1888="yes",1,0)</f>
        <v>1</v>
      </c>
      <c r="L1888" s="2" t="n">
        <f aca="false">IF(I1888="yes",1,0)</f>
        <v>0</v>
      </c>
      <c r="M1888" s="2" t="n">
        <f aca="false">IF(G1888&lt;0,1,0)</f>
        <v>0</v>
      </c>
      <c r="N1888" s="2" t="str">
        <f aca="false">_xlfn.IFS(B1888&lt;30,"Under 30",B1888&lt;40,"30-39",B1888&lt;50,"40-49",B1888&lt;60,"50-59",TRUE(),"60+")</f>
        <v>30-39</v>
      </c>
      <c r="O1888" s="2" t="str">
        <f aca="false">_xlfn.IFS(G1888&lt;0,"1 Negative",G1888=0,"2 Zero",G1888&lt;=500,"3 1-500",G1888&lt;=2000,"4 501-2000",TRUE(),"5 Above 2000")</f>
        <v>4 501-2000</v>
      </c>
      <c r="P1888" s="2" t="n">
        <f aca="false">Lookups!$B$2*M1888+Lookups!$B$3*L1888</f>
        <v>0</v>
      </c>
      <c r="Q1888" s="2" t="str">
        <f aca="false">INDEX(Lookups!$E$2:$E$5,MATCH(P1888,Lookups!$D$2:$D$5,0))</f>
        <v>Low</v>
      </c>
    </row>
    <row r="1889" customFormat="false" ht="15" hidden="false" customHeight="false" outlineLevel="0" collapsed="false">
      <c r="A1889" s="3" t="n">
        <v>1888</v>
      </c>
      <c r="B1889" s="3" t="n">
        <f aca="false">Raw_Data!A1889</f>
        <v>33</v>
      </c>
      <c r="C1889" s="3" t="str">
        <f aca="false">SUBSTITUTE(Raw_Data!B1889,".","")</f>
        <v>management</v>
      </c>
      <c r="D1889" s="3" t="str">
        <f aca="false">Raw_Data!C1889</f>
        <v>married</v>
      </c>
      <c r="E1889" s="3" t="str">
        <f aca="false">Raw_Data!D1889</f>
        <v>unknown</v>
      </c>
      <c r="F1889" s="3" t="str">
        <f aca="false">Raw_Data!E1889</f>
        <v>no</v>
      </c>
      <c r="G1889" s="3" t="n">
        <f aca="false">Raw_Data!F1889</f>
        <v>18347</v>
      </c>
      <c r="H1889" s="3" t="str">
        <f aca="false">Raw_Data!G1889</f>
        <v>yes</v>
      </c>
      <c r="I1889" s="3" t="str">
        <f aca="false">Raw_Data!H1889</f>
        <v>no</v>
      </c>
      <c r="J1889" s="2" t="n">
        <f aca="false">IF(F1889="yes",1,0)</f>
        <v>0</v>
      </c>
      <c r="K1889" s="2" t="n">
        <f aca="false">IF(H1889="yes",1,0)</f>
        <v>1</v>
      </c>
      <c r="L1889" s="2" t="n">
        <f aca="false">IF(I1889="yes",1,0)</f>
        <v>0</v>
      </c>
      <c r="M1889" s="2" t="n">
        <f aca="false">IF(G1889&lt;0,1,0)</f>
        <v>0</v>
      </c>
      <c r="N1889" s="2" t="str">
        <f aca="false">_xlfn.IFS(B1889&lt;30,"Under 30",B1889&lt;40,"30-39",B1889&lt;50,"40-49",B1889&lt;60,"50-59",TRUE(),"60+")</f>
        <v>30-39</v>
      </c>
      <c r="O1889" s="2" t="str">
        <f aca="false">_xlfn.IFS(G1889&lt;0,"1 Negative",G1889=0,"2 Zero",G1889&lt;=500,"3 1-500",G1889&lt;=2000,"4 501-2000",TRUE(),"5 Above 2000")</f>
        <v>5 Above 2000</v>
      </c>
      <c r="P1889" s="2" t="n">
        <f aca="false">Lookups!$B$2*M1889+Lookups!$B$3*L1889</f>
        <v>0</v>
      </c>
      <c r="Q1889" s="2" t="str">
        <f aca="false">INDEX(Lookups!$E$2:$E$5,MATCH(P1889,Lookups!$D$2:$D$5,0))</f>
        <v>Low</v>
      </c>
    </row>
    <row r="1890" customFormat="false" ht="15" hidden="false" customHeight="false" outlineLevel="0" collapsed="false">
      <c r="A1890" s="3" t="n">
        <v>1889</v>
      </c>
      <c r="B1890" s="3" t="n">
        <f aca="false">Raw_Data!A1890</f>
        <v>34</v>
      </c>
      <c r="C1890" s="3" t="str">
        <f aca="false">SUBSTITUTE(Raw_Data!B1890,".","")</f>
        <v>blue-collar</v>
      </c>
      <c r="D1890" s="3" t="str">
        <f aca="false">Raw_Data!C1890</f>
        <v>single</v>
      </c>
      <c r="E1890" s="3" t="str">
        <f aca="false">Raw_Data!D1890</f>
        <v>secondary</v>
      </c>
      <c r="F1890" s="3" t="str">
        <f aca="false">Raw_Data!E1890</f>
        <v>no</v>
      </c>
      <c r="G1890" s="3" t="n">
        <f aca="false">Raw_Data!F1890</f>
        <v>-72</v>
      </c>
      <c r="H1890" s="3" t="str">
        <f aca="false">Raw_Data!G1890</f>
        <v>yes</v>
      </c>
      <c r="I1890" s="3" t="str">
        <f aca="false">Raw_Data!H1890</f>
        <v>no</v>
      </c>
      <c r="J1890" s="2" t="n">
        <f aca="false">IF(F1890="yes",1,0)</f>
        <v>0</v>
      </c>
      <c r="K1890" s="2" t="n">
        <f aca="false">IF(H1890="yes",1,0)</f>
        <v>1</v>
      </c>
      <c r="L1890" s="2" t="n">
        <f aca="false">IF(I1890="yes",1,0)</f>
        <v>0</v>
      </c>
      <c r="M1890" s="2" t="n">
        <f aca="false">IF(G1890&lt;0,1,0)</f>
        <v>1</v>
      </c>
      <c r="N1890" s="2" t="str">
        <f aca="false">_xlfn.IFS(B1890&lt;30,"Under 30",B1890&lt;40,"30-39",B1890&lt;50,"40-49",B1890&lt;60,"50-59",TRUE(),"60+")</f>
        <v>30-39</v>
      </c>
      <c r="O1890" s="2" t="str">
        <f aca="false">_xlfn.IFS(G1890&lt;0,"1 Negative",G1890=0,"2 Zero",G1890&lt;=500,"3 1-500",G1890&lt;=2000,"4 501-2000",TRUE(),"5 Above 2000")</f>
        <v>1 Negative</v>
      </c>
      <c r="P1890" s="2" t="n">
        <f aca="false">Lookups!$B$2*M1890+Lookups!$B$3*L1890</f>
        <v>2</v>
      </c>
      <c r="Q1890" s="2" t="str">
        <f aca="false">INDEX(Lookups!$E$2:$E$5,MATCH(P1890,Lookups!$D$2:$D$5,0))</f>
        <v>High</v>
      </c>
    </row>
    <row r="1891" customFormat="false" ht="15" hidden="false" customHeight="false" outlineLevel="0" collapsed="false">
      <c r="A1891" s="3" t="n">
        <v>1890</v>
      </c>
      <c r="B1891" s="3" t="n">
        <f aca="false">Raw_Data!A1891</f>
        <v>42</v>
      </c>
      <c r="C1891" s="3" t="str">
        <f aca="false">SUBSTITUTE(Raw_Data!B1891,".","")</f>
        <v>management</v>
      </c>
      <c r="D1891" s="3" t="str">
        <f aca="false">Raw_Data!C1891</f>
        <v>married</v>
      </c>
      <c r="E1891" s="3" t="str">
        <f aca="false">Raw_Data!D1891</f>
        <v>tertiary</v>
      </c>
      <c r="F1891" s="3" t="str">
        <f aca="false">Raw_Data!E1891</f>
        <v>no</v>
      </c>
      <c r="G1891" s="3" t="n">
        <f aca="false">Raw_Data!F1891</f>
        <v>1205</v>
      </c>
      <c r="H1891" s="3" t="str">
        <f aca="false">Raw_Data!G1891</f>
        <v>no</v>
      </c>
      <c r="I1891" s="3" t="str">
        <f aca="false">Raw_Data!H1891</f>
        <v>no</v>
      </c>
      <c r="J1891" s="2" t="n">
        <f aca="false">IF(F1891="yes",1,0)</f>
        <v>0</v>
      </c>
      <c r="K1891" s="2" t="n">
        <f aca="false">IF(H1891="yes",1,0)</f>
        <v>0</v>
      </c>
      <c r="L1891" s="2" t="n">
        <f aca="false">IF(I1891="yes",1,0)</f>
        <v>0</v>
      </c>
      <c r="M1891" s="2" t="n">
        <f aca="false">IF(G1891&lt;0,1,0)</f>
        <v>0</v>
      </c>
      <c r="N1891" s="2" t="str">
        <f aca="false">_xlfn.IFS(B1891&lt;30,"Under 30",B1891&lt;40,"30-39",B1891&lt;50,"40-49",B1891&lt;60,"50-59",TRUE(),"60+")</f>
        <v>40-49</v>
      </c>
      <c r="O1891" s="2" t="str">
        <f aca="false">_xlfn.IFS(G1891&lt;0,"1 Negative",G1891=0,"2 Zero",G1891&lt;=500,"3 1-500",G1891&lt;=2000,"4 501-2000",TRUE(),"5 Above 2000")</f>
        <v>4 501-2000</v>
      </c>
      <c r="P1891" s="2" t="n">
        <f aca="false">Lookups!$B$2*M1891+Lookups!$B$3*L1891</f>
        <v>0</v>
      </c>
      <c r="Q1891" s="2" t="str">
        <f aca="false">INDEX(Lookups!$E$2:$E$5,MATCH(P1891,Lookups!$D$2:$D$5,0))</f>
        <v>Low</v>
      </c>
    </row>
    <row r="1892" customFormat="false" ht="15" hidden="false" customHeight="false" outlineLevel="0" collapsed="false">
      <c r="A1892" s="3" t="n">
        <v>1891</v>
      </c>
      <c r="B1892" s="3" t="n">
        <f aca="false">Raw_Data!A1892</f>
        <v>46</v>
      </c>
      <c r="C1892" s="3" t="str">
        <f aca="false">SUBSTITUTE(Raw_Data!B1892,".","")</f>
        <v>technician</v>
      </c>
      <c r="D1892" s="3" t="str">
        <f aca="false">Raw_Data!C1892</f>
        <v>married</v>
      </c>
      <c r="E1892" s="3" t="str">
        <f aca="false">Raw_Data!D1892</f>
        <v>secondary</v>
      </c>
      <c r="F1892" s="3" t="str">
        <f aca="false">Raw_Data!E1892</f>
        <v>no</v>
      </c>
      <c r="G1892" s="3" t="n">
        <f aca="false">Raw_Data!F1892</f>
        <v>499</v>
      </c>
      <c r="H1892" s="3" t="str">
        <f aca="false">Raw_Data!G1892</f>
        <v>yes</v>
      </c>
      <c r="I1892" s="3" t="str">
        <f aca="false">Raw_Data!H1892</f>
        <v>no</v>
      </c>
      <c r="J1892" s="2" t="n">
        <f aca="false">IF(F1892="yes",1,0)</f>
        <v>0</v>
      </c>
      <c r="K1892" s="2" t="n">
        <f aca="false">IF(H1892="yes",1,0)</f>
        <v>1</v>
      </c>
      <c r="L1892" s="2" t="n">
        <f aca="false">IF(I1892="yes",1,0)</f>
        <v>0</v>
      </c>
      <c r="M1892" s="2" t="n">
        <f aca="false">IF(G1892&lt;0,1,0)</f>
        <v>0</v>
      </c>
      <c r="N1892" s="2" t="str">
        <f aca="false">_xlfn.IFS(B1892&lt;30,"Under 30",B1892&lt;40,"30-39",B1892&lt;50,"40-49",B1892&lt;60,"50-59",TRUE(),"60+")</f>
        <v>40-49</v>
      </c>
      <c r="O1892" s="2" t="str">
        <f aca="false">_xlfn.IFS(G1892&lt;0,"1 Negative",G1892=0,"2 Zero",G1892&lt;=500,"3 1-500",G1892&lt;=2000,"4 501-2000",TRUE(),"5 Above 2000")</f>
        <v>3 1-500</v>
      </c>
      <c r="P1892" s="2" t="n">
        <f aca="false">Lookups!$B$2*M1892+Lookups!$B$3*L1892</f>
        <v>0</v>
      </c>
      <c r="Q1892" s="2" t="str">
        <f aca="false">INDEX(Lookups!$E$2:$E$5,MATCH(P1892,Lookups!$D$2:$D$5,0))</f>
        <v>Low</v>
      </c>
    </row>
    <row r="1893" customFormat="false" ht="15" hidden="false" customHeight="false" outlineLevel="0" collapsed="false">
      <c r="A1893" s="3" t="n">
        <v>1892</v>
      </c>
      <c r="B1893" s="3" t="n">
        <f aca="false">Raw_Data!A1893</f>
        <v>32</v>
      </c>
      <c r="C1893" s="3" t="str">
        <f aca="false">SUBSTITUTE(Raw_Data!B1893,".","")</f>
        <v>management</v>
      </c>
      <c r="D1893" s="3" t="str">
        <f aca="false">Raw_Data!C1893</f>
        <v>single</v>
      </c>
      <c r="E1893" s="3" t="str">
        <f aca="false">Raw_Data!D1893</f>
        <v>tertiary</v>
      </c>
      <c r="F1893" s="3" t="str">
        <f aca="false">Raw_Data!E1893</f>
        <v>no</v>
      </c>
      <c r="G1893" s="3" t="n">
        <f aca="false">Raw_Data!F1893</f>
        <v>656</v>
      </c>
      <c r="H1893" s="3" t="str">
        <f aca="false">Raw_Data!G1893</f>
        <v>yes</v>
      </c>
      <c r="I1893" s="3" t="str">
        <f aca="false">Raw_Data!H1893</f>
        <v>yes</v>
      </c>
      <c r="J1893" s="2" t="n">
        <f aca="false">IF(F1893="yes",1,0)</f>
        <v>0</v>
      </c>
      <c r="K1893" s="2" t="n">
        <f aca="false">IF(H1893="yes",1,0)</f>
        <v>1</v>
      </c>
      <c r="L1893" s="2" t="n">
        <f aca="false">IF(I1893="yes",1,0)</f>
        <v>1</v>
      </c>
      <c r="M1893" s="2" t="n">
        <f aca="false">IF(G1893&lt;0,1,0)</f>
        <v>0</v>
      </c>
      <c r="N1893" s="2" t="str">
        <f aca="false">_xlfn.IFS(B1893&lt;30,"Under 30",B1893&lt;40,"30-39",B1893&lt;50,"40-49",B1893&lt;60,"50-59",TRUE(),"60+")</f>
        <v>30-39</v>
      </c>
      <c r="O1893" s="2" t="str">
        <f aca="false">_xlfn.IFS(G1893&lt;0,"1 Negative",G1893=0,"2 Zero",G1893&lt;=500,"3 1-500",G1893&lt;=2000,"4 501-2000",TRUE(),"5 Above 2000")</f>
        <v>4 501-2000</v>
      </c>
      <c r="P1893" s="2" t="n">
        <f aca="false">Lookups!$B$2*M1893+Lookups!$B$3*L1893</f>
        <v>1</v>
      </c>
      <c r="Q1893" s="2" t="str">
        <f aca="false">INDEX(Lookups!$E$2:$E$5,MATCH(P1893,Lookups!$D$2:$D$5,0))</f>
        <v>Medium</v>
      </c>
    </row>
    <row r="1894" customFormat="false" ht="15" hidden="false" customHeight="false" outlineLevel="0" collapsed="false">
      <c r="A1894" s="3" t="n">
        <v>1893</v>
      </c>
      <c r="B1894" s="3" t="n">
        <f aca="false">Raw_Data!A1894</f>
        <v>27</v>
      </c>
      <c r="C1894" s="3" t="str">
        <f aca="false">SUBSTITUTE(Raw_Data!B1894,".","")</f>
        <v>services</v>
      </c>
      <c r="D1894" s="3" t="str">
        <f aca="false">Raw_Data!C1894</f>
        <v>married</v>
      </c>
      <c r="E1894" s="3" t="str">
        <f aca="false">Raw_Data!D1894</f>
        <v>secondary</v>
      </c>
      <c r="F1894" s="3" t="str">
        <f aca="false">Raw_Data!E1894</f>
        <v>no</v>
      </c>
      <c r="G1894" s="3" t="n">
        <f aca="false">Raw_Data!F1894</f>
        <v>100</v>
      </c>
      <c r="H1894" s="3" t="str">
        <f aca="false">Raw_Data!G1894</f>
        <v>no</v>
      </c>
      <c r="I1894" s="3" t="str">
        <f aca="false">Raw_Data!H1894</f>
        <v>no</v>
      </c>
      <c r="J1894" s="2" t="n">
        <f aca="false">IF(F1894="yes",1,0)</f>
        <v>0</v>
      </c>
      <c r="K1894" s="2" t="n">
        <f aca="false">IF(H1894="yes",1,0)</f>
        <v>0</v>
      </c>
      <c r="L1894" s="2" t="n">
        <f aca="false">IF(I1894="yes",1,0)</f>
        <v>0</v>
      </c>
      <c r="M1894" s="2" t="n">
        <f aca="false">IF(G1894&lt;0,1,0)</f>
        <v>0</v>
      </c>
      <c r="N1894" s="2" t="str">
        <f aca="false">_xlfn.IFS(B1894&lt;30,"Under 30",B1894&lt;40,"30-39",B1894&lt;50,"40-49",B1894&lt;60,"50-59",TRUE(),"60+")</f>
        <v>Under 30</v>
      </c>
      <c r="O1894" s="2" t="str">
        <f aca="false">_xlfn.IFS(G1894&lt;0,"1 Negative",G1894=0,"2 Zero",G1894&lt;=500,"3 1-500",G1894&lt;=2000,"4 501-2000",TRUE(),"5 Above 2000")</f>
        <v>3 1-500</v>
      </c>
      <c r="P1894" s="2" t="n">
        <f aca="false">Lookups!$B$2*M1894+Lookups!$B$3*L1894</f>
        <v>0</v>
      </c>
      <c r="Q1894" s="2" t="str">
        <f aca="false">INDEX(Lookups!$E$2:$E$5,MATCH(P1894,Lookups!$D$2:$D$5,0))</f>
        <v>Low</v>
      </c>
    </row>
    <row r="1895" customFormat="false" ht="15" hidden="false" customHeight="false" outlineLevel="0" collapsed="false">
      <c r="A1895" s="3" t="n">
        <v>1894</v>
      </c>
      <c r="B1895" s="3" t="n">
        <f aca="false">Raw_Data!A1895</f>
        <v>35</v>
      </c>
      <c r="C1895" s="3" t="str">
        <f aca="false">SUBSTITUTE(Raw_Data!B1895,".","")</f>
        <v>technician</v>
      </c>
      <c r="D1895" s="3" t="str">
        <f aca="false">Raw_Data!C1895</f>
        <v>divorced</v>
      </c>
      <c r="E1895" s="3" t="str">
        <f aca="false">Raw_Data!D1895</f>
        <v>secondary</v>
      </c>
      <c r="F1895" s="3" t="str">
        <f aca="false">Raw_Data!E1895</f>
        <v>no</v>
      </c>
      <c r="G1895" s="3" t="n">
        <f aca="false">Raw_Data!F1895</f>
        <v>69</v>
      </c>
      <c r="H1895" s="3" t="str">
        <f aca="false">Raw_Data!G1895</f>
        <v>yes</v>
      </c>
      <c r="I1895" s="3" t="str">
        <f aca="false">Raw_Data!H1895</f>
        <v>no</v>
      </c>
      <c r="J1895" s="2" t="n">
        <f aca="false">IF(F1895="yes",1,0)</f>
        <v>0</v>
      </c>
      <c r="K1895" s="2" t="n">
        <f aca="false">IF(H1895="yes",1,0)</f>
        <v>1</v>
      </c>
      <c r="L1895" s="2" t="n">
        <f aca="false">IF(I1895="yes",1,0)</f>
        <v>0</v>
      </c>
      <c r="M1895" s="2" t="n">
        <f aca="false">IF(G1895&lt;0,1,0)</f>
        <v>0</v>
      </c>
      <c r="N1895" s="2" t="str">
        <f aca="false">_xlfn.IFS(B1895&lt;30,"Under 30",B1895&lt;40,"30-39",B1895&lt;50,"40-49",B1895&lt;60,"50-59",TRUE(),"60+")</f>
        <v>30-39</v>
      </c>
      <c r="O1895" s="2" t="str">
        <f aca="false">_xlfn.IFS(G1895&lt;0,"1 Negative",G1895=0,"2 Zero",G1895&lt;=500,"3 1-500",G1895&lt;=2000,"4 501-2000",TRUE(),"5 Above 2000")</f>
        <v>3 1-500</v>
      </c>
      <c r="P1895" s="2" t="n">
        <f aca="false">Lookups!$B$2*M1895+Lookups!$B$3*L1895</f>
        <v>0</v>
      </c>
      <c r="Q1895" s="2" t="str">
        <f aca="false">INDEX(Lookups!$E$2:$E$5,MATCH(P1895,Lookups!$D$2:$D$5,0))</f>
        <v>Low</v>
      </c>
    </row>
    <row r="1896" customFormat="false" ht="15" hidden="false" customHeight="false" outlineLevel="0" collapsed="false">
      <c r="A1896" s="3" t="n">
        <v>1895</v>
      </c>
      <c r="B1896" s="3" t="n">
        <f aca="false">Raw_Data!A1896</f>
        <v>53</v>
      </c>
      <c r="C1896" s="3" t="str">
        <f aca="false">SUBSTITUTE(Raw_Data!B1896,".","")</f>
        <v>technician</v>
      </c>
      <c r="D1896" s="3" t="str">
        <f aca="false">Raw_Data!C1896</f>
        <v>married</v>
      </c>
      <c r="E1896" s="3" t="str">
        <f aca="false">Raw_Data!D1896</f>
        <v>unknown</v>
      </c>
      <c r="F1896" s="3" t="str">
        <f aca="false">Raw_Data!E1896</f>
        <v>no</v>
      </c>
      <c r="G1896" s="3" t="n">
        <f aca="false">Raw_Data!F1896</f>
        <v>619</v>
      </c>
      <c r="H1896" s="3" t="str">
        <f aca="false">Raw_Data!G1896</f>
        <v>no</v>
      </c>
      <c r="I1896" s="3" t="str">
        <f aca="false">Raw_Data!H1896</f>
        <v>no</v>
      </c>
      <c r="J1896" s="2" t="n">
        <f aca="false">IF(F1896="yes",1,0)</f>
        <v>0</v>
      </c>
      <c r="K1896" s="2" t="n">
        <f aca="false">IF(H1896="yes",1,0)</f>
        <v>0</v>
      </c>
      <c r="L1896" s="2" t="n">
        <f aca="false">IF(I1896="yes",1,0)</f>
        <v>0</v>
      </c>
      <c r="M1896" s="2" t="n">
        <f aca="false">IF(G1896&lt;0,1,0)</f>
        <v>0</v>
      </c>
      <c r="N1896" s="2" t="str">
        <f aca="false">_xlfn.IFS(B1896&lt;30,"Under 30",B1896&lt;40,"30-39",B1896&lt;50,"40-49",B1896&lt;60,"50-59",TRUE(),"60+")</f>
        <v>50-59</v>
      </c>
      <c r="O1896" s="2" t="str">
        <f aca="false">_xlfn.IFS(G1896&lt;0,"1 Negative",G1896=0,"2 Zero",G1896&lt;=500,"3 1-500",G1896&lt;=2000,"4 501-2000",TRUE(),"5 Above 2000")</f>
        <v>4 501-2000</v>
      </c>
      <c r="P1896" s="2" t="n">
        <f aca="false">Lookups!$B$2*M1896+Lookups!$B$3*L1896</f>
        <v>0</v>
      </c>
      <c r="Q1896" s="2" t="str">
        <f aca="false">INDEX(Lookups!$E$2:$E$5,MATCH(P1896,Lookups!$D$2:$D$5,0))</f>
        <v>Low</v>
      </c>
    </row>
    <row r="1897" customFormat="false" ht="15" hidden="false" customHeight="false" outlineLevel="0" collapsed="false">
      <c r="A1897" s="3" t="n">
        <v>1896</v>
      </c>
      <c r="B1897" s="3" t="n">
        <f aca="false">Raw_Data!A1897</f>
        <v>29</v>
      </c>
      <c r="C1897" s="3" t="str">
        <f aca="false">SUBSTITUTE(Raw_Data!B1897,".","")</f>
        <v>services</v>
      </c>
      <c r="D1897" s="3" t="str">
        <f aca="false">Raw_Data!C1897</f>
        <v>single</v>
      </c>
      <c r="E1897" s="3" t="str">
        <f aca="false">Raw_Data!D1897</f>
        <v>secondary</v>
      </c>
      <c r="F1897" s="3" t="str">
        <f aca="false">Raw_Data!E1897</f>
        <v>no</v>
      </c>
      <c r="G1897" s="3" t="n">
        <f aca="false">Raw_Data!F1897</f>
        <v>192</v>
      </c>
      <c r="H1897" s="3" t="str">
        <f aca="false">Raw_Data!G1897</f>
        <v>no</v>
      </c>
      <c r="I1897" s="3" t="str">
        <f aca="false">Raw_Data!H1897</f>
        <v>no</v>
      </c>
      <c r="J1897" s="2" t="n">
        <f aca="false">IF(F1897="yes",1,0)</f>
        <v>0</v>
      </c>
      <c r="K1897" s="2" t="n">
        <f aca="false">IF(H1897="yes",1,0)</f>
        <v>0</v>
      </c>
      <c r="L1897" s="2" t="n">
        <f aca="false">IF(I1897="yes",1,0)</f>
        <v>0</v>
      </c>
      <c r="M1897" s="2" t="n">
        <f aca="false">IF(G1897&lt;0,1,0)</f>
        <v>0</v>
      </c>
      <c r="N1897" s="2" t="str">
        <f aca="false">_xlfn.IFS(B1897&lt;30,"Under 30",B1897&lt;40,"30-39",B1897&lt;50,"40-49",B1897&lt;60,"50-59",TRUE(),"60+")</f>
        <v>Under 30</v>
      </c>
      <c r="O1897" s="2" t="str">
        <f aca="false">_xlfn.IFS(G1897&lt;0,"1 Negative",G1897=0,"2 Zero",G1897&lt;=500,"3 1-500",G1897&lt;=2000,"4 501-2000",TRUE(),"5 Above 2000")</f>
        <v>3 1-500</v>
      </c>
      <c r="P1897" s="2" t="n">
        <f aca="false">Lookups!$B$2*M1897+Lookups!$B$3*L1897</f>
        <v>0</v>
      </c>
      <c r="Q1897" s="2" t="str">
        <f aca="false">INDEX(Lookups!$E$2:$E$5,MATCH(P1897,Lookups!$D$2:$D$5,0))</f>
        <v>Low</v>
      </c>
    </row>
    <row r="1898" customFormat="false" ht="15" hidden="false" customHeight="false" outlineLevel="0" collapsed="false">
      <c r="A1898" s="3" t="n">
        <v>1897</v>
      </c>
      <c r="B1898" s="3" t="n">
        <f aca="false">Raw_Data!A1898</f>
        <v>35</v>
      </c>
      <c r="C1898" s="3" t="str">
        <f aca="false">SUBSTITUTE(Raw_Data!B1898,".","")</f>
        <v>management</v>
      </c>
      <c r="D1898" s="3" t="str">
        <f aca="false">Raw_Data!C1898</f>
        <v>single</v>
      </c>
      <c r="E1898" s="3" t="str">
        <f aca="false">Raw_Data!D1898</f>
        <v>tertiary</v>
      </c>
      <c r="F1898" s="3" t="str">
        <f aca="false">Raw_Data!E1898</f>
        <v>no</v>
      </c>
      <c r="G1898" s="3" t="n">
        <f aca="false">Raw_Data!F1898</f>
        <v>0</v>
      </c>
      <c r="H1898" s="3" t="str">
        <f aca="false">Raw_Data!G1898</f>
        <v>no</v>
      </c>
      <c r="I1898" s="3" t="str">
        <f aca="false">Raw_Data!H1898</f>
        <v>no</v>
      </c>
      <c r="J1898" s="2" t="n">
        <f aca="false">IF(F1898="yes",1,0)</f>
        <v>0</v>
      </c>
      <c r="K1898" s="2" t="n">
        <f aca="false">IF(H1898="yes",1,0)</f>
        <v>0</v>
      </c>
      <c r="L1898" s="2" t="n">
        <f aca="false">IF(I1898="yes",1,0)</f>
        <v>0</v>
      </c>
      <c r="M1898" s="2" t="n">
        <f aca="false">IF(G1898&lt;0,1,0)</f>
        <v>0</v>
      </c>
      <c r="N1898" s="2" t="str">
        <f aca="false">_xlfn.IFS(B1898&lt;30,"Under 30",B1898&lt;40,"30-39",B1898&lt;50,"40-49",B1898&lt;60,"50-59",TRUE(),"60+")</f>
        <v>30-39</v>
      </c>
      <c r="O1898" s="2" t="str">
        <f aca="false">_xlfn.IFS(G1898&lt;0,"1 Negative",G1898=0,"2 Zero",G1898&lt;=500,"3 1-500",G1898&lt;=2000,"4 501-2000",TRUE(),"5 Above 2000")</f>
        <v>2 Zero</v>
      </c>
      <c r="P1898" s="2" t="n">
        <f aca="false">Lookups!$B$2*M1898+Lookups!$B$3*L1898</f>
        <v>0</v>
      </c>
      <c r="Q1898" s="2" t="str">
        <f aca="false">INDEX(Lookups!$E$2:$E$5,MATCH(P1898,Lookups!$D$2:$D$5,0))</f>
        <v>Low</v>
      </c>
    </row>
    <row r="1899" customFormat="false" ht="15" hidden="false" customHeight="false" outlineLevel="0" collapsed="false">
      <c r="A1899" s="3" t="n">
        <v>1898</v>
      </c>
      <c r="B1899" s="3" t="n">
        <f aca="false">Raw_Data!A1899</f>
        <v>49</v>
      </c>
      <c r="C1899" s="3" t="str">
        <f aca="false">SUBSTITUTE(Raw_Data!B1899,".","")</f>
        <v>management</v>
      </c>
      <c r="D1899" s="3" t="str">
        <f aca="false">Raw_Data!C1899</f>
        <v>married</v>
      </c>
      <c r="E1899" s="3" t="str">
        <f aca="false">Raw_Data!D1899</f>
        <v>tertiary</v>
      </c>
      <c r="F1899" s="3" t="str">
        <f aca="false">Raw_Data!E1899</f>
        <v>no</v>
      </c>
      <c r="G1899" s="3" t="n">
        <f aca="false">Raw_Data!F1899</f>
        <v>87</v>
      </c>
      <c r="H1899" s="3" t="str">
        <f aca="false">Raw_Data!G1899</f>
        <v>no</v>
      </c>
      <c r="I1899" s="3" t="str">
        <f aca="false">Raw_Data!H1899</f>
        <v>no</v>
      </c>
      <c r="J1899" s="2" t="n">
        <f aca="false">IF(F1899="yes",1,0)</f>
        <v>0</v>
      </c>
      <c r="K1899" s="2" t="n">
        <f aca="false">IF(H1899="yes",1,0)</f>
        <v>0</v>
      </c>
      <c r="L1899" s="2" t="n">
        <f aca="false">IF(I1899="yes",1,0)</f>
        <v>0</v>
      </c>
      <c r="M1899" s="2" t="n">
        <f aca="false">IF(G1899&lt;0,1,0)</f>
        <v>0</v>
      </c>
      <c r="N1899" s="2" t="str">
        <f aca="false">_xlfn.IFS(B1899&lt;30,"Under 30",B1899&lt;40,"30-39",B1899&lt;50,"40-49",B1899&lt;60,"50-59",TRUE(),"60+")</f>
        <v>40-49</v>
      </c>
      <c r="O1899" s="2" t="str">
        <f aca="false">_xlfn.IFS(G1899&lt;0,"1 Negative",G1899=0,"2 Zero",G1899&lt;=500,"3 1-500",G1899&lt;=2000,"4 501-2000",TRUE(),"5 Above 2000")</f>
        <v>3 1-500</v>
      </c>
      <c r="P1899" s="2" t="n">
        <f aca="false">Lookups!$B$2*M1899+Lookups!$B$3*L1899</f>
        <v>0</v>
      </c>
      <c r="Q1899" s="2" t="str">
        <f aca="false">INDEX(Lookups!$E$2:$E$5,MATCH(P1899,Lookups!$D$2:$D$5,0))</f>
        <v>Low</v>
      </c>
    </row>
    <row r="1900" customFormat="false" ht="15" hidden="false" customHeight="false" outlineLevel="0" collapsed="false">
      <c r="A1900" s="3" t="n">
        <v>1899</v>
      </c>
      <c r="B1900" s="3" t="n">
        <f aca="false">Raw_Data!A1900</f>
        <v>58</v>
      </c>
      <c r="C1900" s="3" t="str">
        <f aca="false">SUBSTITUTE(Raw_Data!B1900,".","")</f>
        <v>management</v>
      </c>
      <c r="D1900" s="3" t="str">
        <f aca="false">Raw_Data!C1900</f>
        <v>married</v>
      </c>
      <c r="E1900" s="3" t="str">
        <f aca="false">Raw_Data!D1900</f>
        <v>tertiary</v>
      </c>
      <c r="F1900" s="3" t="str">
        <f aca="false">Raw_Data!E1900</f>
        <v>no</v>
      </c>
      <c r="G1900" s="3" t="n">
        <f aca="false">Raw_Data!F1900</f>
        <v>3228</v>
      </c>
      <c r="H1900" s="3" t="str">
        <f aca="false">Raw_Data!G1900</f>
        <v>no</v>
      </c>
      <c r="I1900" s="3" t="str">
        <f aca="false">Raw_Data!H1900</f>
        <v>no</v>
      </c>
      <c r="J1900" s="2" t="n">
        <f aca="false">IF(F1900="yes",1,0)</f>
        <v>0</v>
      </c>
      <c r="K1900" s="2" t="n">
        <f aca="false">IF(H1900="yes",1,0)</f>
        <v>0</v>
      </c>
      <c r="L1900" s="2" t="n">
        <f aca="false">IF(I1900="yes",1,0)</f>
        <v>0</v>
      </c>
      <c r="M1900" s="2" t="n">
        <f aca="false">IF(G1900&lt;0,1,0)</f>
        <v>0</v>
      </c>
      <c r="N1900" s="2" t="str">
        <f aca="false">_xlfn.IFS(B1900&lt;30,"Under 30",B1900&lt;40,"30-39",B1900&lt;50,"40-49",B1900&lt;60,"50-59",TRUE(),"60+")</f>
        <v>50-59</v>
      </c>
      <c r="O1900" s="2" t="str">
        <f aca="false">_xlfn.IFS(G1900&lt;0,"1 Negative",G1900=0,"2 Zero",G1900&lt;=500,"3 1-500",G1900&lt;=2000,"4 501-2000",TRUE(),"5 Above 2000")</f>
        <v>5 Above 2000</v>
      </c>
      <c r="P1900" s="2" t="n">
        <f aca="false">Lookups!$B$2*M1900+Lookups!$B$3*L1900</f>
        <v>0</v>
      </c>
      <c r="Q1900" s="2" t="str">
        <f aca="false">INDEX(Lookups!$E$2:$E$5,MATCH(P1900,Lookups!$D$2:$D$5,0))</f>
        <v>Low</v>
      </c>
    </row>
    <row r="1901" customFormat="false" ht="15" hidden="false" customHeight="false" outlineLevel="0" collapsed="false">
      <c r="A1901" s="3" t="n">
        <v>1900</v>
      </c>
      <c r="B1901" s="3" t="n">
        <f aca="false">Raw_Data!A1901</f>
        <v>40</v>
      </c>
      <c r="C1901" s="3" t="str">
        <f aca="false">SUBSTITUTE(Raw_Data!B1901,".","")</f>
        <v>management</v>
      </c>
      <c r="D1901" s="3" t="str">
        <f aca="false">Raw_Data!C1901</f>
        <v>single</v>
      </c>
      <c r="E1901" s="3" t="str">
        <f aca="false">Raw_Data!D1901</f>
        <v>tertiary</v>
      </c>
      <c r="F1901" s="3" t="str">
        <f aca="false">Raw_Data!E1901</f>
        <v>no</v>
      </c>
      <c r="G1901" s="3" t="n">
        <f aca="false">Raw_Data!F1901</f>
        <v>1361</v>
      </c>
      <c r="H1901" s="3" t="str">
        <f aca="false">Raw_Data!G1901</f>
        <v>no</v>
      </c>
      <c r="I1901" s="3" t="str">
        <f aca="false">Raw_Data!H1901</f>
        <v>no</v>
      </c>
      <c r="J1901" s="2" t="n">
        <f aca="false">IF(F1901="yes",1,0)</f>
        <v>0</v>
      </c>
      <c r="K1901" s="2" t="n">
        <f aca="false">IF(H1901="yes",1,0)</f>
        <v>0</v>
      </c>
      <c r="L1901" s="2" t="n">
        <f aca="false">IF(I1901="yes",1,0)</f>
        <v>0</v>
      </c>
      <c r="M1901" s="2" t="n">
        <f aca="false">IF(G1901&lt;0,1,0)</f>
        <v>0</v>
      </c>
      <c r="N1901" s="2" t="str">
        <f aca="false">_xlfn.IFS(B1901&lt;30,"Under 30",B1901&lt;40,"30-39",B1901&lt;50,"40-49",B1901&lt;60,"50-59",TRUE(),"60+")</f>
        <v>40-49</v>
      </c>
      <c r="O1901" s="2" t="str">
        <f aca="false">_xlfn.IFS(G1901&lt;0,"1 Negative",G1901=0,"2 Zero",G1901&lt;=500,"3 1-500",G1901&lt;=2000,"4 501-2000",TRUE(),"5 Above 2000")</f>
        <v>4 501-2000</v>
      </c>
      <c r="P1901" s="2" t="n">
        <f aca="false">Lookups!$B$2*M1901+Lookups!$B$3*L1901</f>
        <v>0</v>
      </c>
      <c r="Q1901" s="2" t="str">
        <f aca="false">INDEX(Lookups!$E$2:$E$5,MATCH(P1901,Lookups!$D$2:$D$5,0))</f>
        <v>Low</v>
      </c>
    </row>
    <row r="1902" customFormat="false" ht="15" hidden="false" customHeight="false" outlineLevel="0" collapsed="false">
      <c r="A1902" s="3" t="n">
        <v>1901</v>
      </c>
      <c r="B1902" s="3" t="n">
        <f aca="false">Raw_Data!A1902</f>
        <v>19</v>
      </c>
      <c r="C1902" s="3" t="str">
        <f aca="false">SUBSTITUTE(Raw_Data!B1902,".","")</f>
        <v>student</v>
      </c>
      <c r="D1902" s="3" t="str">
        <f aca="false">Raw_Data!C1902</f>
        <v>single</v>
      </c>
      <c r="E1902" s="3" t="str">
        <f aca="false">Raw_Data!D1902</f>
        <v>unknown</v>
      </c>
      <c r="F1902" s="3" t="str">
        <f aca="false">Raw_Data!E1902</f>
        <v>no</v>
      </c>
      <c r="G1902" s="3" t="n">
        <f aca="false">Raw_Data!F1902</f>
        <v>0</v>
      </c>
      <c r="H1902" s="3" t="str">
        <f aca="false">Raw_Data!G1902</f>
        <v>no</v>
      </c>
      <c r="I1902" s="3" t="str">
        <f aca="false">Raw_Data!H1902</f>
        <v>no</v>
      </c>
      <c r="J1902" s="2" t="n">
        <f aca="false">IF(F1902="yes",1,0)</f>
        <v>0</v>
      </c>
      <c r="K1902" s="2" t="n">
        <f aca="false">IF(H1902="yes",1,0)</f>
        <v>0</v>
      </c>
      <c r="L1902" s="2" t="n">
        <f aca="false">IF(I1902="yes",1,0)</f>
        <v>0</v>
      </c>
      <c r="M1902" s="2" t="n">
        <f aca="false">IF(G1902&lt;0,1,0)</f>
        <v>0</v>
      </c>
      <c r="N1902" s="2" t="str">
        <f aca="false">_xlfn.IFS(B1902&lt;30,"Under 30",B1902&lt;40,"30-39",B1902&lt;50,"40-49",B1902&lt;60,"50-59",TRUE(),"60+")</f>
        <v>Under 30</v>
      </c>
      <c r="O1902" s="2" t="str">
        <f aca="false">_xlfn.IFS(G1902&lt;0,"1 Negative",G1902=0,"2 Zero",G1902&lt;=500,"3 1-500",G1902&lt;=2000,"4 501-2000",TRUE(),"5 Above 2000")</f>
        <v>2 Zero</v>
      </c>
      <c r="P1902" s="2" t="n">
        <f aca="false">Lookups!$B$2*M1902+Lookups!$B$3*L1902</f>
        <v>0</v>
      </c>
      <c r="Q1902" s="2" t="str">
        <f aca="false">INDEX(Lookups!$E$2:$E$5,MATCH(P1902,Lookups!$D$2:$D$5,0))</f>
        <v>Low</v>
      </c>
    </row>
    <row r="1903" customFormat="false" ht="15" hidden="false" customHeight="false" outlineLevel="0" collapsed="false">
      <c r="A1903" s="3" t="n">
        <v>1902</v>
      </c>
      <c r="B1903" s="3" t="n">
        <f aca="false">Raw_Data!A1903</f>
        <v>30</v>
      </c>
      <c r="C1903" s="3" t="str">
        <f aca="false">SUBSTITUTE(Raw_Data!B1903,".","")</f>
        <v>student</v>
      </c>
      <c r="D1903" s="3" t="str">
        <f aca="false">Raw_Data!C1903</f>
        <v>single</v>
      </c>
      <c r="E1903" s="3" t="str">
        <f aca="false">Raw_Data!D1903</f>
        <v>tertiary</v>
      </c>
      <c r="F1903" s="3" t="str">
        <f aca="false">Raw_Data!E1903</f>
        <v>no</v>
      </c>
      <c r="G1903" s="3" t="n">
        <f aca="false">Raw_Data!F1903</f>
        <v>34</v>
      </c>
      <c r="H1903" s="3" t="str">
        <f aca="false">Raw_Data!G1903</f>
        <v>yes</v>
      </c>
      <c r="I1903" s="3" t="str">
        <f aca="false">Raw_Data!H1903</f>
        <v>no</v>
      </c>
      <c r="J1903" s="2" t="n">
        <f aca="false">IF(F1903="yes",1,0)</f>
        <v>0</v>
      </c>
      <c r="K1903" s="2" t="n">
        <f aca="false">IF(H1903="yes",1,0)</f>
        <v>1</v>
      </c>
      <c r="L1903" s="2" t="n">
        <f aca="false">IF(I1903="yes",1,0)</f>
        <v>0</v>
      </c>
      <c r="M1903" s="2" t="n">
        <f aca="false">IF(G1903&lt;0,1,0)</f>
        <v>0</v>
      </c>
      <c r="N1903" s="2" t="str">
        <f aca="false">_xlfn.IFS(B1903&lt;30,"Under 30",B1903&lt;40,"30-39",B1903&lt;50,"40-49",B1903&lt;60,"50-59",TRUE(),"60+")</f>
        <v>30-39</v>
      </c>
      <c r="O1903" s="2" t="str">
        <f aca="false">_xlfn.IFS(G1903&lt;0,"1 Negative",G1903=0,"2 Zero",G1903&lt;=500,"3 1-500",G1903&lt;=2000,"4 501-2000",TRUE(),"5 Above 2000")</f>
        <v>3 1-500</v>
      </c>
      <c r="P1903" s="2" t="n">
        <f aca="false">Lookups!$B$2*M1903+Lookups!$B$3*L1903</f>
        <v>0</v>
      </c>
      <c r="Q1903" s="2" t="str">
        <f aca="false">INDEX(Lookups!$E$2:$E$5,MATCH(P1903,Lookups!$D$2:$D$5,0))</f>
        <v>Low</v>
      </c>
    </row>
    <row r="1904" customFormat="false" ht="15" hidden="false" customHeight="false" outlineLevel="0" collapsed="false">
      <c r="A1904" s="3" t="n">
        <v>1903</v>
      </c>
      <c r="B1904" s="3" t="n">
        <f aca="false">Raw_Data!A1904</f>
        <v>34</v>
      </c>
      <c r="C1904" s="3" t="str">
        <f aca="false">SUBSTITUTE(Raw_Data!B1904,".","")</f>
        <v>technician</v>
      </c>
      <c r="D1904" s="3" t="str">
        <f aca="false">Raw_Data!C1904</f>
        <v>single</v>
      </c>
      <c r="E1904" s="3" t="str">
        <f aca="false">Raw_Data!D1904</f>
        <v>secondary</v>
      </c>
      <c r="F1904" s="3" t="str">
        <f aca="false">Raw_Data!E1904</f>
        <v>no</v>
      </c>
      <c r="G1904" s="3" t="n">
        <f aca="false">Raw_Data!F1904</f>
        <v>318</v>
      </c>
      <c r="H1904" s="3" t="str">
        <f aca="false">Raw_Data!G1904</f>
        <v>no</v>
      </c>
      <c r="I1904" s="3" t="str">
        <f aca="false">Raw_Data!H1904</f>
        <v>yes</v>
      </c>
      <c r="J1904" s="2" t="n">
        <f aca="false">IF(F1904="yes",1,0)</f>
        <v>0</v>
      </c>
      <c r="K1904" s="2" t="n">
        <f aca="false">IF(H1904="yes",1,0)</f>
        <v>0</v>
      </c>
      <c r="L1904" s="2" t="n">
        <f aca="false">IF(I1904="yes",1,0)</f>
        <v>1</v>
      </c>
      <c r="M1904" s="2" t="n">
        <f aca="false">IF(G1904&lt;0,1,0)</f>
        <v>0</v>
      </c>
      <c r="N1904" s="2" t="str">
        <f aca="false">_xlfn.IFS(B1904&lt;30,"Under 30",B1904&lt;40,"30-39",B1904&lt;50,"40-49",B1904&lt;60,"50-59",TRUE(),"60+")</f>
        <v>30-39</v>
      </c>
      <c r="O1904" s="2" t="str">
        <f aca="false">_xlfn.IFS(G1904&lt;0,"1 Negative",G1904=0,"2 Zero",G1904&lt;=500,"3 1-500",G1904&lt;=2000,"4 501-2000",TRUE(),"5 Above 2000")</f>
        <v>3 1-500</v>
      </c>
      <c r="P1904" s="2" t="n">
        <f aca="false">Lookups!$B$2*M1904+Lookups!$B$3*L1904</f>
        <v>1</v>
      </c>
      <c r="Q1904" s="2" t="str">
        <f aca="false">INDEX(Lookups!$E$2:$E$5,MATCH(P1904,Lookups!$D$2:$D$5,0))</f>
        <v>Medium</v>
      </c>
    </row>
    <row r="1905" customFormat="false" ht="15" hidden="false" customHeight="false" outlineLevel="0" collapsed="false">
      <c r="A1905" s="3" t="n">
        <v>1904</v>
      </c>
      <c r="B1905" s="3" t="n">
        <f aca="false">Raw_Data!A1905</f>
        <v>60</v>
      </c>
      <c r="C1905" s="3" t="str">
        <f aca="false">SUBSTITUTE(Raw_Data!B1905,".","")</f>
        <v>retired</v>
      </c>
      <c r="D1905" s="3" t="str">
        <f aca="false">Raw_Data!C1905</f>
        <v>married</v>
      </c>
      <c r="E1905" s="3" t="str">
        <f aca="false">Raw_Data!D1905</f>
        <v>secondary</v>
      </c>
      <c r="F1905" s="3" t="str">
        <f aca="false">Raw_Data!E1905</f>
        <v>no</v>
      </c>
      <c r="G1905" s="3" t="n">
        <f aca="false">Raw_Data!F1905</f>
        <v>197</v>
      </c>
      <c r="H1905" s="3" t="str">
        <f aca="false">Raw_Data!G1905</f>
        <v>no</v>
      </c>
      <c r="I1905" s="3" t="str">
        <f aca="false">Raw_Data!H1905</f>
        <v>no</v>
      </c>
      <c r="J1905" s="2" t="n">
        <f aca="false">IF(F1905="yes",1,0)</f>
        <v>0</v>
      </c>
      <c r="K1905" s="2" t="n">
        <f aca="false">IF(H1905="yes",1,0)</f>
        <v>0</v>
      </c>
      <c r="L1905" s="2" t="n">
        <f aca="false">IF(I1905="yes",1,0)</f>
        <v>0</v>
      </c>
      <c r="M1905" s="2" t="n">
        <f aca="false">IF(G1905&lt;0,1,0)</f>
        <v>0</v>
      </c>
      <c r="N1905" s="2" t="str">
        <f aca="false">_xlfn.IFS(B1905&lt;30,"Under 30",B1905&lt;40,"30-39",B1905&lt;50,"40-49",B1905&lt;60,"50-59",TRUE(),"60+")</f>
        <v>60+</v>
      </c>
      <c r="O1905" s="2" t="str">
        <f aca="false">_xlfn.IFS(G1905&lt;0,"1 Negative",G1905=0,"2 Zero",G1905&lt;=500,"3 1-500",G1905&lt;=2000,"4 501-2000",TRUE(),"5 Above 2000")</f>
        <v>3 1-500</v>
      </c>
      <c r="P1905" s="2" t="n">
        <f aca="false">Lookups!$B$2*M1905+Lookups!$B$3*L1905</f>
        <v>0</v>
      </c>
      <c r="Q1905" s="2" t="str">
        <f aca="false">INDEX(Lookups!$E$2:$E$5,MATCH(P1905,Lookups!$D$2:$D$5,0))</f>
        <v>Low</v>
      </c>
    </row>
    <row r="1906" customFormat="false" ht="15" hidden="false" customHeight="false" outlineLevel="0" collapsed="false">
      <c r="A1906" s="3" t="n">
        <v>1905</v>
      </c>
      <c r="B1906" s="3" t="n">
        <f aca="false">Raw_Data!A1906</f>
        <v>28</v>
      </c>
      <c r="C1906" s="3" t="str">
        <f aca="false">SUBSTITUTE(Raw_Data!B1906,".","")</f>
        <v>student</v>
      </c>
      <c r="D1906" s="3" t="str">
        <f aca="false">Raw_Data!C1906</f>
        <v>single</v>
      </c>
      <c r="E1906" s="3" t="str">
        <f aca="false">Raw_Data!D1906</f>
        <v>tertiary</v>
      </c>
      <c r="F1906" s="3" t="str">
        <f aca="false">Raw_Data!E1906</f>
        <v>no</v>
      </c>
      <c r="G1906" s="3" t="n">
        <f aca="false">Raw_Data!F1906</f>
        <v>0</v>
      </c>
      <c r="H1906" s="3" t="str">
        <f aca="false">Raw_Data!G1906</f>
        <v>no</v>
      </c>
      <c r="I1906" s="3" t="str">
        <f aca="false">Raw_Data!H1906</f>
        <v>no</v>
      </c>
      <c r="J1906" s="2" t="n">
        <f aca="false">IF(F1906="yes",1,0)</f>
        <v>0</v>
      </c>
      <c r="K1906" s="2" t="n">
        <f aca="false">IF(H1906="yes",1,0)</f>
        <v>0</v>
      </c>
      <c r="L1906" s="2" t="n">
        <f aca="false">IF(I1906="yes",1,0)</f>
        <v>0</v>
      </c>
      <c r="M1906" s="2" t="n">
        <f aca="false">IF(G1906&lt;0,1,0)</f>
        <v>0</v>
      </c>
      <c r="N1906" s="2" t="str">
        <f aca="false">_xlfn.IFS(B1906&lt;30,"Under 30",B1906&lt;40,"30-39",B1906&lt;50,"40-49",B1906&lt;60,"50-59",TRUE(),"60+")</f>
        <v>Under 30</v>
      </c>
      <c r="O1906" s="2" t="str">
        <f aca="false">_xlfn.IFS(G1906&lt;0,"1 Negative",G1906=0,"2 Zero",G1906&lt;=500,"3 1-500",G1906&lt;=2000,"4 501-2000",TRUE(),"5 Above 2000")</f>
        <v>2 Zero</v>
      </c>
      <c r="P1906" s="2" t="n">
        <f aca="false">Lookups!$B$2*M1906+Lookups!$B$3*L1906</f>
        <v>0</v>
      </c>
      <c r="Q1906" s="2" t="str">
        <f aca="false">INDEX(Lookups!$E$2:$E$5,MATCH(P1906,Lookups!$D$2:$D$5,0))</f>
        <v>Low</v>
      </c>
    </row>
    <row r="1907" customFormat="false" ht="15" hidden="false" customHeight="false" outlineLevel="0" collapsed="false">
      <c r="A1907" s="3" t="n">
        <v>1906</v>
      </c>
      <c r="B1907" s="3" t="n">
        <f aca="false">Raw_Data!A1907</f>
        <v>46</v>
      </c>
      <c r="C1907" s="3" t="str">
        <f aca="false">SUBSTITUTE(Raw_Data!B1907,".","")</f>
        <v>management</v>
      </c>
      <c r="D1907" s="3" t="str">
        <f aca="false">Raw_Data!C1907</f>
        <v>married</v>
      </c>
      <c r="E1907" s="3" t="str">
        <f aca="false">Raw_Data!D1907</f>
        <v>tertiary</v>
      </c>
      <c r="F1907" s="3" t="str">
        <f aca="false">Raw_Data!E1907</f>
        <v>no</v>
      </c>
      <c r="G1907" s="3" t="n">
        <f aca="false">Raw_Data!F1907</f>
        <v>273</v>
      </c>
      <c r="H1907" s="3" t="str">
        <f aca="false">Raw_Data!G1907</f>
        <v>yes</v>
      </c>
      <c r="I1907" s="3" t="str">
        <f aca="false">Raw_Data!H1907</f>
        <v>no</v>
      </c>
      <c r="J1907" s="2" t="n">
        <f aca="false">IF(F1907="yes",1,0)</f>
        <v>0</v>
      </c>
      <c r="K1907" s="2" t="n">
        <f aca="false">IF(H1907="yes",1,0)</f>
        <v>1</v>
      </c>
      <c r="L1907" s="2" t="n">
        <f aca="false">IF(I1907="yes",1,0)</f>
        <v>0</v>
      </c>
      <c r="M1907" s="2" t="n">
        <f aca="false">IF(G1907&lt;0,1,0)</f>
        <v>0</v>
      </c>
      <c r="N1907" s="2" t="str">
        <f aca="false">_xlfn.IFS(B1907&lt;30,"Under 30",B1907&lt;40,"30-39",B1907&lt;50,"40-49",B1907&lt;60,"50-59",TRUE(),"60+")</f>
        <v>40-49</v>
      </c>
      <c r="O1907" s="2" t="str">
        <f aca="false">_xlfn.IFS(G1907&lt;0,"1 Negative",G1907=0,"2 Zero",G1907&lt;=500,"3 1-500",G1907&lt;=2000,"4 501-2000",TRUE(),"5 Above 2000")</f>
        <v>3 1-500</v>
      </c>
      <c r="P1907" s="2" t="n">
        <f aca="false">Lookups!$B$2*M1907+Lookups!$B$3*L1907</f>
        <v>0</v>
      </c>
      <c r="Q1907" s="2" t="str">
        <f aca="false">INDEX(Lookups!$E$2:$E$5,MATCH(P1907,Lookups!$D$2:$D$5,0))</f>
        <v>Low</v>
      </c>
    </row>
    <row r="1908" customFormat="false" ht="15" hidden="false" customHeight="false" outlineLevel="0" collapsed="false">
      <c r="A1908" s="3" t="n">
        <v>1907</v>
      </c>
      <c r="B1908" s="3" t="n">
        <f aca="false">Raw_Data!A1908</f>
        <v>49</v>
      </c>
      <c r="C1908" s="3" t="str">
        <f aca="false">SUBSTITUTE(Raw_Data!B1908,".","")</f>
        <v>blue-collar</v>
      </c>
      <c r="D1908" s="3" t="str">
        <f aca="false">Raw_Data!C1908</f>
        <v>divorced</v>
      </c>
      <c r="E1908" s="3" t="str">
        <f aca="false">Raw_Data!D1908</f>
        <v>primary</v>
      </c>
      <c r="F1908" s="3" t="str">
        <f aca="false">Raw_Data!E1908</f>
        <v>no</v>
      </c>
      <c r="G1908" s="3" t="n">
        <f aca="false">Raw_Data!F1908</f>
        <v>15</v>
      </c>
      <c r="H1908" s="3" t="str">
        <f aca="false">Raw_Data!G1908</f>
        <v>yes</v>
      </c>
      <c r="I1908" s="3" t="str">
        <f aca="false">Raw_Data!H1908</f>
        <v>no</v>
      </c>
      <c r="J1908" s="2" t="n">
        <f aca="false">IF(F1908="yes",1,0)</f>
        <v>0</v>
      </c>
      <c r="K1908" s="2" t="n">
        <f aca="false">IF(H1908="yes",1,0)</f>
        <v>1</v>
      </c>
      <c r="L1908" s="2" t="n">
        <f aca="false">IF(I1908="yes",1,0)</f>
        <v>0</v>
      </c>
      <c r="M1908" s="2" t="n">
        <f aca="false">IF(G1908&lt;0,1,0)</f>
        <v>0</v>
      </c>
      <c r="N1908" s="2" t="str">
        <f aca="false">_xlfn.IFS(B1908&lt;30,"Under 30",B1908&lt;40,"30-39",B1908&lt;50,"40-49",B1908&lt;60,"50-59",TRUE(),"60+")</f>
        <v>40-49</v>
      </c>
      <c r="O1908" s="2" t="str">
        <f aca="false">_xlfn.IFS(G1908&lt;0,"1 Negative",G1908=0,"2 Zero",G1908&lt;=500,"3 1-500",G1908&lt;=2000,"4 501-2000",TRUE(),"5 Above 2000")</f>
        <v>3 1-500</v>
      </c>
      <c r="P1908" s="2" t="n">
        <f aca="false">Lookups!$B$2*M1908+Lookups!$B$3*L1908</f>
        <v>0</v>
      </c>
      <c r="Q1908" s="2" t="str">
        <f aca="false">INDEX(Lookups!$E$2:$E$5,MATCH(P1908,Lookups!$D$2:$D$5,0))</f>
        <v>Low</v>
      </c>
    </row>
    <row r="1909" customFormat="false" ht="15" hidden="false" customHeight="false" outlineLevel="0" collapsed="false">
      <c r="A1909" s="3" t="n">
        <v>1908</v>
      </c>
      <c r="B1909" s="3" t="n">
        <f aca="false">Raw_Data!A1909</f>
        <v>59</v>
      </c>
      <c r="C1909" s="3" t="str">
        <f aca="false">SUBSTITUTE(Raw_Data!B1909,".","")</f>
        <v>management</v>
      </c>
      <c r="D1909" s="3" t="str">
        <f aca="false">Raw_Data!C1909</f>
        <v>divorced</v>
      </c>
      <c r="E1909" s="3" t="str">
        <f aca="false">Raw_Data!D1909</f>
        <v>tertiary</v>
      </c>
      <c r="F1909" s="3" t="str">
        <f aca="false">Raw_Data!E1909</f>
        <v>no</v>
      </c>
      <c r="G1909" s="3" t="n">
        <f aca="false">Raw_Data!F1909</f>
        <v>7813</v>
      </c>
      <c r="H1909" s="3" t="str">
        <f aca="false">Raw_Data!G1909</f>
        <v>yes</v>
      </c>
      <c r="I1909" s="3" t="str">
        <f aca="false">Raw_Data!H1909</f>
        <v>no</v>
      </c>
      <c r="J1909" s="2" t="n">
        <f aca="false">IF(F1909="yes",1,0)</f>
        <v>0</v>
      </c>
      <c r="K1909" s="2" t="n">
        <f aca="false">IF(H1909="yes",1,0)</f>
        <v>1</v>
      </c>
      <c r="L1909" s="2" t="n">
        <f aca="false">IF(I1909="yes",1,0)</f>
        <v>0</v>
      </c>
      <c r="M1909" s="2" t="n">
        <f aca="false">IF(G1909&lt;0,1,0)</f>
        <v>0</v>
      </c>
      <c r="N1909" s="2" t="str">
        <f aca="false">_xlfn.IFS(B1909&lt;30,"Under 30",B1909&lt;40,"30-39",B1909&lt;50,"40-49",B1909&lt;60,"50-59",TRUE(),"60+")</f>
        <v>50-59</v>
      </c>
      <c r="O1909" s="2" t="str">
        <f aca="false">_xlfn.IFS(G1909&lt;0,"1 Negative",G1909=0,"2 Zero",G1909&lt;=500,"3 1-500",G1909&lt;=2000,"4 501-2000",TRUE(),"5 Above 2000")</f>
        <v>5 Above 2000</v>
      </c>
      <c r="P1909" s="2" t="n">
        <f aca="false">Lookups!$B$2*M1909+Lookups!$B$3*L1909</f>
        <v>0</v>
      </c>
      <c r="Q1909" s="2" t="str">
        <f aca="false">INDEX(Lookups!$E$2:$E$5,MATCH(P1909,Lookups!$D$2:$D$5,0))</f>
        <v>Low</v>
      </c>
    </row>
    <row r="1910" customFormat="false" ht="15" hidden="false" customHeight="false" outlineLevel="0" collapsed="false">
      <c r="A1910" s="3" t="n">
        <v>1909</v>
      </c>
      <c r="B1910" s="3" t="n">
        <f aca="false">Raw_Data!A1910</f>
        <v>44</v>
      </c>
      <c r="C1910" s="3" t="str">
        <f aca="false">SUBSTITUTE(Raw_Data!B1910,".","")</f>
        <v>technician</v>
      </c>
      <c r="D1910" s="3" t="str">
        <f aca="false">Raw_Data!C1910</f>
        <v>single</v>
      </c>
      <c r="E1910" s="3" t="str">
        <f aca="false">Raw_Data!D1910</f>
        <v>secondary</v>
      </c>
      <c r="F1910" s="3" t="str">
        <f aca="false">Raw_Data!E1910</f>
        <v>no</v>
      </c>
      <c r="G1910" s="3" t="n">
        <f aca="false">Raw_Data!F1910</f>
        <v>-27</v>
      </c>
      <c r="H1910" s="3" t="str">
        <f aca="false">Raw_Data!G1910</f>
        <v>yes</v>
      </c>
      <c r="I1910" s="3" t="str">
        <f aca="false">Raw_Data!H1910</f>
        <v>yes</v>
      </c>
      <c r="J1910" s="2" t="n">
        <f aca="false">IF(F1910="yes",1,0)</f>
        <v>0</v>
      </c>
      <c r="K1910" s="2" t="n">
        <f aca="false">IF(H1910="yes",1,0)</f>
        <v>1</v>
      </c>
      <c r="L1910" s="2" t="n">
        <f aca="false">IF(I1910="yes",1,0)</f>
        <v>1</v>
      </c>
      <c r="M1910" s="2" t="n">
        <f aca="false">IF(G1910&lt;0,1,0)</f>
        <v>1</v>
      </c>
      <c r="N1910" s="2" t="str">
        <f aca="false">_xlfn.IFS(B1910&lt;30,"Under 30",B1910&lt;40,"30-39",B1910&lt;50,"40-49",B1910&lt;60,"50-59",TRUE(),"60+")</f>
        <v>40-49</v>
      </c>
      <c r="O1910" s="2" t="str">
        <f aca="false">_xlfn.IFS(G1910&lt;0,"1 Negative",G1910=0,"2 Zero",G1910&lt;=500,"3 1-500",G1910&lt;=2000,"4 501-2000",TRUE(),"5 Above 2000")</f>
        <v>1 Negative</v>
      </c>
      <c r="P1910" s="2" t="n">
        <f aca="false">Lookups!$B$2*M1910+Lookups!$B$3*L1910</f>
        <v>3</v>
      </c>
      <c r="Q1910" s="2" t="str">
        <f aca="false">INDEX(Lookups!$E$2:$E$5,MATCH(P1910,Lookups!$D$2:$D$5,0))</f>
        <v>High</v>
      </c>
    </row>
    <row r="1911" customFormat="false" ht="15" hidden="false" customHeight="false" outlineLevel="0" collapsed="false">
      <c r="A1911" s="3" t="n">
        <v>1910</v>
      </c>
      <c r="B1911" s="3" t="n">
        <f aca="false">Raw_Data!A1911</f>
        <v>33</v>
      </c>
      <c r="C1911" s="3" t="str">
        <f aca="false">SUBSTITUTE(Raw_Data!B1911,".","")</f>
        <v>technician</v>
      </c>
      <c r="D1911" s="3" t="str">
        <f aca="false">Raw_Data!C1911</f>
        <v>married</v>
      </c>
      <c r="E1911" s="3" t="str">
        <f aca="false">Raw_Data!D1911</f>
        <v>tertiary</v>
      </c>
      <c r="F1911" s="3" t="str">
        <f aca="false">Raw_Data!E1911</f>
        <v>no</v>
      </c>
      <c r="G1911" s="3" t="n">
        <f aca="false">Raw_Data!F1911</f>
        <v>75</v>
      </c>
      <c r="H1911" s="3" t="str">
        <f aca="false">Raw_Data!G1911</f>
        <v>no</v>
      </c>
      <c r="I1911" s="3" t="str">
        <f aca="false">Raw_Data!H1911</f>
        <v>no</v>
      </c>
      <c r="J1911" s="2" t="n">
        <f aca="false">IF(F1911="yes",1,0)</f>
        <v>0</v>
      </c>
      <c r="K1911" s="2" t="n">
        <f aca="false">IF(H1911="yes",1,0)</f>
        <v>0</v>
      </c>
      <c r="L1911" s="2" t="n">
        <f aca="false">IF(I1911="yes",1,0)</f>
        <v>0</v>
      </c>
      <c r="M1911" s="2" t="n">
        <f aca="false">IF(G1911&lt;0,1,0)</f>
        <v>0</v>
      </c>
      <c r="N1911" s="2" t="str">
        <f aca="false">_xlfn.IFS(B1911&lt;30,"Under 30",B1911&lt;40,"30-39",B1911&lt;50,"40-49",B1911&lt;60,"50-59",TRUE(),"60+")</f>
        <v>30-39</v>
      </c>
      <c r="O1911" s="2" t="str">
        <f aca="false">_xlfn.IFS(G1911&lt;0,"1 Negative",G1911=0,"2 Zero",G1911&lt;=500,"3 1-500",G1911&lt;=2000,"4 501-2000",TRUE(),"5 Above 2000")</f>
        <v>3 1-500</v>
      </c>
      <c r="P1911" s="2" t="n">
        <f aca="false">Lookups!$B$2*M1911+Lookups!$B$3*L1911</f>
        <v>0</v>
      </c>
      <c r="Q1911" s="2" t="str">
        <f aca="false">INDEX(Lookups!$E$2:$E$5,MATCH(P1911,Lookups!$D$2:$D$5,0))</f>
        <v>Low</v>
      </c>
    </row>
    <row r="1912" customFormat="false" ht="15" hidden="false" customHeight="false" outlineLevel="0" collapsed="false">
      <c r="A1912" s="3" t="n">
        <v>1911</v>
      </c>
      <c r="B1912" s="3" t="n">
        <f aca="false">Raw_Data!A1912</f>
        <v>54</v>
      </c>
      <c r="C1912" s="3" t="str">
        <f aca="false">SUBSTITUTE(Raw_Data!B1912,".","")</f>
        <v>retired</v>
      </c>
      <c r="D1912" s="3" t="str">
        <f aca="false">Raw_Data!C1912</f>
        <v>married</v>
      </c>
      <c r="E1912" s="3" t="str">
        <f aca="false">Raw_Data!D1912</f>
        <v>secondary</v>
      </c>
      <c r="F1912" s="3" t="str">
        <f aca="false">Raw_Data!E1912</f>
        <v>no</v>
      </c>
      <c r="G1912" s="3" t="n">
        <f aca="false">Raw_Data!F1912</f>
        <v>1139</v>
      </c>
      <c r="H1912" s="3" t="str">
        <f aca="false">Raw_Data!G1912</f>
        <v>yes</v>
      </c>
      <c r="I1912" s="3" t="str">
        <f aca="false">Raw_Data!H1912</f>
        <v>no</v>
      </c>
      <c r="J1912" s="2" t="n">
        <f aca="false">IF(F1912="yes",1,0)</f>
        <v>0</v>
      </c>
      <c r="K1912" s="2" t="n">
        <f aca="false">IF(H1912="yes",1,0)</f>
        <v>1</v>
      </c>
      <c r="L1912" s="2" t="n">
        <f aca="false">IF(I1912="yes",1,0)</f>
        <v>0</v>
      </c>
      <c r="M1912" s="2" t="n">
        <f aca="false">IF(G1912&lt;0,1,0)</f>
        <v>0</v>
      </c>
      <c r="N1912" s="2" t="str">
        <f aca="false">_xlfn.IFS(B1912&lt;30,"Under 30",B1912&lt;40,"30-39",B1912&lt;50,"40-49",B1912&lt;60,"50-59",TRUE(),"60+")</f>
        <v>50-59</v>
      </c>
      <c r="O1912" s="2" t="str">
        <f aca="false">_xlfn.IFS(G1912&lt;0,"1 Negative",G1912=0,"2 Zero",G1912&lt;=500,"3 1-500",G1912&lt;=2000,"4 501-2000",TRUE(),"5 Above 2000")</f>
        <v>4 501-2000</v>
      </c>
      <c r="P1912" s="2" t="n">
        <f aca="false">Lookups!$B$2*M1912+Lookups!$B$3*L1912</f>
        <v>0</v>
      </c>
      <c r="Q1912" s="2" t="str">
        <f aca="false">INDEX(Lookups!$E$2:$E$5,MATCH(P1912,Lookups!$D$2:$D$5,0))</f>
        <v>Low</v>
      </c>
    </row>
    <row r="1913" customFormat="false" ht="15" hidden="false" customHeight="false" outlineLevel="0" collapsed="false">
      <c r="A1913" s="3" t="n">
        <v>1912</v>
      </c>
      <c r="B1913" s="3" t="n">
        <f aca="false">Raw_Data!A1913</f>
        <v>26</v>
      </c>
      <c r="C1913" s="3" t="str">
        <f aca="false">SUBSTITUTE(Raw_Data!B1913,".","")</f>
        <v>blue-collar</v>
      </c>
      <c r="D1913" s="3" t="str">
        <f aca="false">Raw_Data!C1913</f>
        <v>married</v>
      </c>
      <c r="E1913" s="3" t="str">
        <f aca="false">Raw_Data!D1913</f>
        <v>secondary</v>
      </c>
      <c r="F1913" s="3" t="str">
        <f aca="false">Raw_Data!E1913</f>
        <v>no</v>
      </c>
      <c r="G1913" s="3" t="n">
        <f aca="false">Raw_Data!F1913</f>
        <v>115</v>
      </c>
      <c r="H1913" s="3" t="str">
        <f aca="false">Raw_Data!G1913</f>
        <v>yes</v>
      </c>
      <c r="I1913" s="3" t="str">
        <f aca="false">Raw_Data!H1913</f>
        <v>no</v>
      </c>
      <c r="J1913" s="2" t="n">
        <f aca="false">IF(F1913="yes",1,0)</f>
        <v>0</v>
      </c>
      <c r="K1913" s="2" t="n">
        <f aca="false">IF(H1913="yes",1,0)</f>
        <v>1</v>
      </c>
      <c r="L1913" s="2" t="n">
        <f aca="false">IF(I1913="yes",1,0)</f>
        <v>0</v>
      </c>
      <c r="M1913" s="2" t="n">
        <f aca="false">IF(G1913&lt;0,1,0)</f>
        <v>0</v>
      </c>
      <c r="N1913" s="2" t="str">
        <f aca="false">_xlfn.IFS(B1913&lt;30,"Under 30",B1913&lt;40,"30-39",B1913&lt;50,"40-49",B1913&lt;60,"50-59",TRUE(),"60+")</f>
        <v>Under 30</v>
      </c>
      <c r="O1913" s="2" t="str">
        <f aca="false">_xlfn.IFS(G1913&lt;0,"1 Negative",G1913=0,"2 Zero",G1913&lt;=500,"3 1-500",G1913&lt;=2000,"4 501-2000",TRUE(),"5 Above 2000")</f>
        <v>3 1-500</v>
      </c>
      <c r="P1913" s="2" t="n">
        <f aca="false">Lookups!$B$2*M1913+Lookups!$B$3*L1913</f>
        <v>0</v>
      </c>
      <c r="Q1913" s="2" t="str">
        <f aca="false">INDEX(Lookups!$E$2:$E$5,MATCH(P1913,Lookups!$D$2:$D$5,0))</f>
        <v>Low</v>
      </c>
    </row>
    <row r="1914" customFormat="false" ht="15" hidden="false" customHeight="false" outlineLevel="0" collapsed="false">
      <c r="A1914" s="3" t="n">
        <v>1913</v>
      </c>
      <c r="B1914" s="3" t="n">
        <f aca="false">Raw_Data!A1914</f>
        <v>54</v>
      </c>
      <c r="C1914" s="3" t="str">
        <f aca="false">SUBSTITUTE(Raw_Data!B1914,".","")</f>
        <v>blue-collar</v>
      </c>
      <c r="D1914" s="3" t="str">
        <f aca="false">Raw_Data!C1914</f>
        <v>married</v>
      </c>
      <c r="E1914" s="3" t="str">
        <f aca="false">Raw_Data!D1914</f>
        <v>secondary</v>
      </c>
      <c r="F1914" s="3" t="str">
        <f aca="false">Raw_Data!E1914</f>
        <v>no</v>
      </c>
      <c r="G1914" s="3" t="n">
        <f aca="false">Raw_Data!F1914</f>
        <v>0</v>
      </c>
      <c r="H1914" s="3" t="str">
        <f aca="false">Raw_Data!G1914</f>
        <v>no</v>
      </c>
      <c r="I1914" s="3" t="str">
        <f aca="false">Raw_Data!H1914</f>
        <v>no</v>
      </c>
      <c r="J1914" s="2" t="n">
        <f aca="false">IF(F1914="yes",1,0)</f>
        <v>0</v>
      </c>
      <c r="K1914" s="2" t="n">
        <f aca="false">IF(H1914="yes",1,0)</f>
        <v>0</v>
      </c>
      <c r="L1914" s="2" t="n">
        <f aca="false">IF(I1914="yes",1,0)</f>
        <v>0</v>
      </c>
      <c r="M1914" s="2" t="n">
        <f aca="false">IF(G1914&lt;0,1,0)</f>
        <v>0</v>
      </c>
      <c r="N1914" s="2" t="str">
        <f aca="false">_xlfn.IFS(B1914&lt;30,"Under 30",B1914&lt;40,"30-39",B1914&lt;50,"40-49",B1914&lt;60,"50-59",TRUE(),"60+")</f>
        <v>50-59</v>
      </c>
      <c r="O1914" s="2" t="str">
        <f aca="false">_xlfn.IFS(G1914&lt;0,"1 Negative",G1914=0,"2 Zero",G1914&lt;=500,"3 1-500",G1914&lt;=2000,"4 501-2000",TRUE(),"5 Above 2000")</f>
        <v>2 Zero</v>
      </c>
      <c r="P1914" s="2" t="n">
        <f aca="false">Lookups!$B$2*M1914+Lookups!$B$3*L1914</f>
        <v>0</v>
      </c>
      <c r="Q1914" s="2" t="str">
        <f aca="false">INDEX(Lookups!$E$2:$E$5,MATCH(P1914,Lookups!$D$2:$D$5,0))</f>
        <v>Low</v>
      </c>
    </row>
    <row r="1915" customFormat="false" ht="15" hidden="false" customHeight="false" outlineLevel="0" collapsed="false">
      <c r="A1915" s="3" t="n">
        <v>1914</v>
      </c>
      <c r="B1915" s="3" t="n">
        <f aca="false">Raw_Data!A1915</f>
        <v>48</v>
      </c>
      <c r="C1915" s="3" t="str">
        <f aca="false">SUBSTITUTE(Raw_Data!B1915,".","")</f>
        <v>housemaid</v>
      </c>
      <c r="D1915" s="3" t="str">
        <f aca="false">Raw_Data!C1915</f>
        <v>married</v>
      </c>
      <c r="E1915" s="3" t="str">
        <f aca="false">Raw_Data!D1915</f>
        <v>primary</v>
      </c>
      <c r="F1915" s="3" t="str">
        <f aca="false">Raw_Data!E1915</f>
        <v>no</v>
      </c>
      <c r="G1915" s="3" t="n">
        <f aca="false">Raw_Data!F1915</f>
        <v>7195</v>
      </c>
      <c r="H1915" s="3" t="str">
        <f aca="false">Raw_Data!G1915</f>
        <v>no</v>
      </c>
      <c r="I1915" s="3" t="str">
        <f aca="false">Raw_Data!H1915</f>
        <v>no</v>
      </c>
      <c r="J1915" s="2" t="n">
        <f aca="false">IF(F1915="yes",1,0)</f>
        <v>0</v>
      </c>
      <c r="K1915" s="2" t="n">
        <f aca="false">IF(H1915="yes",1,0)</f>
        <v>0</v>
      </c>
      <c r="L1915" s="2" t="n">
        <f aca="false">IF(I1915="yes",1,0)</f>
        <v>0</v>
      </c>
      <c r="M1915" s="2" t="n">
        <f aca="false">IF(G1915&lt;0,1,0)</f>
        <v>0</v>
      </c>
      <c r="N1915" s="2" t="str">
        <f aca="false">_xlfn.IFS(B1915&lt;30,"Under 30",B1915&lt;40,"30-39",B1915&lt;50,"40-49",B1915&lt;60,"50-59",TRUE(),"60+")</f>
        <v>40-49</v>
      </c>
      <c r="O1915" s="2" t="str">
        <f aca="false">_xlfn.IFS(G1915&lt;0,"1 Negative",G1915=0,"2 Zero",G1915&lt;=500,"3 1-500",G1915&lt;=2000,"4 501-2000",TRUE(),"5 Above 2000")</f>
        <v>5 Above 2000</v>
      </c>
      <c r="P1915" s="2" t="n">
        <f aca="false">Lookups!$B$2*M1915+Lookups!$B$3*L1915</f>
        <v>0</v>
      </c>
      <c r="Q1915" s="2" t="str">
        <f aca="false">INDEX(Lookups!$E$2:$E$5,MATCH(P1915,Lookups!$D$2:$D$5,0))</f>
        <v>Low</v>
      </c>
    </row>
    <row r="1916" customFormat="false" ht="15" hidden="false" customHeight="false" outlineLevel="0" collapsed="false">
      <c r="A1916" s="3" t="n">
        <v>1915</v>
      </c>
      <c r="B1916" s="3" t="n">
        <f aca="false">Raw_Data!A1916</f>
        <v>30</v>
      </c>
      <c r="C1916" s="3" t="str">
        <f aca="false">SUBSTITUTE(Raw_Data!B1916,".","")</f>
        <v>services</v>
      </c>
      <c r="D1916" s="3" t="str">
        <f aca="false">Raw_Data!C1916</f>
        <v>single</v>
      </c>
      <c r="E1916" s="3" t="str">
        <f aca="false">Raw_Data!D1916</f>
        <v>tertiary</v>
      </c>
      <c r="F1916" s="3" t="str">
        <f aca="false">Raw_Data!E1916</f>
        <v>no</v>
      </c>
      <c r="G1916" s="3" t="n">
        <f aca="false">Raw_Data!F1916</f>
        <v>-477</v>
      </c>
      <c r="H1916" s="3" t="str">
        <f aca="false">Raw_Data!G1916</f>
        <v>no</v>
      </c>
      <c r="I1916" s="3" t="str">
        <f aca="false">Raw_Data!H1916</f>
        <v>yes</v>
      </c>
      <c r="J1916" s="2" t="n">
        <f aca="false">IF(F1916="yes",1,0)</f>
        <v>0</v>
      </c>
      <c r="K1916" s="2" t="n">
        <f aca="false">IF(H1916="yes",1,0)</f>
        <v>0</v>
      </c>
      <c r="L1916" s="2" t="n">
        <f aca="false">IF(I1916="yes",1,0)</f>
        <v>1</v>
      </c>
      <c r="M1916" s="2" t="n">
        <f aca="false">IF(G1916&lt;0,1,0)</f>
        <v>1</v>
      </c>
      <c r="N1916" s="2" t="str">
        <f aca="false">_xlfn.IFS(B1916&lt;30,"Under 30",B1916&lt;40,"30-39",B1916&lt;50,"40-49",B1916&lt;60,"50-59",TRUE(),"60+")</f>
        <v>30-39</v>
      </c>
      <c r="O1916" s="2" t="str">
        <f aca="false">_xlfn.IFS(G1916&lt;0,"1 Negative",G1916=0,"2 Zero",G1916&lt;=500,"3 1-500",G1916&lt;=2000,"4 501-2000",TRUE(),"5 Above 2000")</f>
        <v>1 Negative</v>
      </c>
      <c r="P1916" s="2" t="n">
        <f aca="false">Lookups!$B$2*M1916+Lookups!$B$3*L1916</f>
        <v>3</v>
      </c>
      <c r="Q1916" s="2" t="str">
        <f aca="false">INDEX(Lookups!$E$2:$E$5,MATCH(P1916,Lookups!$D$2:$D$5,0))</f>
        <v>High</v>
      </c>
    </row>
    <row r="1917" customFormat="false" ht="15" hidden="false" customHeight="false" outlineLevel="0" collapsed="false">
      <c r="A1917" s="3" t="n">
        <v>1916</v>
      </c>
      <c r="B1917" s="3" t="n">
        <f aca="false">Raw_Data!A1917</f>
        <v>29</v>
      </c>
      <c r="C1917" s="3" t="str">
        <f aca="false">SUBSTITUTE(Raw_Data!B1917,".","")</f>
        <v>management</v>
      </c>
      <c r="D1917" s="3" t="str">
        <f aca="false">Raw_Data!C1917</f>
        <v>single</v>
      </c>
      <c r="E1917" s="3" t="str">
        <f aca="false">Raw_Data!D1917</f>
        <v>tertiary</v>
      </c>
      <c r="F1917" s="3" t="str">
        <f aca="false">Raw_Data!E1917</f>
        <v>no</v>
      </c>
      <c r="G1917" s="3" t="n">
        <f aca="false">Raw_Data!F1917</f>
        <v>1026</v>
      </c>
      <c r="H1917" s="3" t="str">
        <f aca="false">Raw_Data!G1917</f>
        <v>no</v>
      </c>
      <c r="I1917" s="3" t="str">
        <f aca="false">Raw_Data!H1917</f>
        <v>no</v>
      </c>
      <c r="J1917" s="2" t="n">
        <f aca="false">IF(F1917="yes",1,0)</f>
        <v>0</v>
      </c>
      <c r="K1917" s="2" t="n">
        <f aca="false">IF(H1917="yes",1,0)</f>
        <v>0</v>
      </c>
      <c r="L1917" s="2" t="n">
        <f aca="false">IF(I1917="yes",1,0)</f>
        <v>0</v>
      </c>
      <c r="M1917" s="2" t="n">
        <f aca="false">IF(G1917&lt;0,1,0)</f>
        <v>0</v>
      </c>
      <c r="N1917" s="2" t="str">
        <f aca="false">_xlfn.IFS(B1917&lt;30,"Under 30",B1917&lt;40,"30-39",B1917&lt;50,"40-49",B1917&lt;60,"50-59",TRUE(),"60+")</f>
        <v>Under 30</v>
      </c>
      <c r="O1917" s="2" t="str">
        <f aca="false">_xlfn.IFS(G1917&lt;0,"1 Negative",G1917=0,"2 Zero",G1917&lt;=500,"3 1-500",G1917&lt;=2000,"4 501-2000",TRUE(),"5 Above 2000")</f>
        <v>4 501-2000</v>
      </c>
      <c r="P1917" s="2" t="n">
        <f aca="false">Lookups!$B$2*M1917+Lookups!$B$3*L1917</f>
        <v>0</v>
      </c>
      <c r="Q1917" s="2" t="str">
        <f aca="false">INDEX(Lookups!$E$2:$E$5,MATCH(P1917,Lookups!$D$2:$D$5,0))</f>
        <v>Low</v>
      </c>
    </row>
    <row r="1918" customFormat="false" ht="15" hidden="false" customHeight="false" outlineLevel="0" collapsed="false">
      <c r="A1918" s="3" t="n">
        <v>1917</v>
      </c>
      <c r="B1918" s="3" t="n">
        <f aca="false">Raw_Data!A1918</f>
        <v>51</v>
      </c>
      <c r="C1918" s="3" t="str">
        <f aca="false">SUBSTITUTE(Raw_Data!B1918,".","")</f>
        <v>entrepreneur</v>
      </c>
      <c r="D1918" s="3" t="str">
        <f aca="false">Raw_Data!C1918</f>
        <v>married</v>
      </c>
      <c r="E1918" s="3" t="str">
        <f aca="false">Raw_Data!D1918</f>
        <v>tertiary</v>
      </c>
      <c r="F1918" s="3" t="str">
        <f aca="false">Raw_Data!E1918</f>
        <v>no</v>
      </c>
      <c r="G1918" s="3" t="n">
        <f aca="false">Raw_Data!F1918</f>
        <v>3921</v>
      </c>
      <c r="H1918" s="3" t="str">
        <f aca="false">Raw_Data!G1918</f>
        <v>yes</v>
      </c>
      <c r="I1918" s="3" t="str">
        <f aca="false">Raw_Data!H1918</f>
        <v>no</v>
      </c>
      <c r="J1918" s="2" t="n">
        <f aca="false">IF(F1918="yes",1,0)</f>
        <v>0</v>
      </c>
      <c r="K1918" s="2" t="n">
        <f aca="false">IF(H1918="yes",1,0)</f>
        <v>1</v>
      </c>
      <c r="L1918" s="2" t="n">
        <f aca="false">IF(I1918="yes",1,0)</f>
        <v>0</v>
      </c>
      <c r="M1918" s="2" t="n">
        <f aca="false">IF(G1918&lt;0,1,0)</f>
        <v>0</v>
      </c>
      <c r="N1918" s="2" t="str">
        <f aca="false">_xlfn.IFS(B1918&lt;30,"Under 30",B1918&lt;40,"30-39",B1918&lt;50,"40-49",B1918&lt;60,"50-59",TRUE(),"60+")</f>
        <v>50-59</v>
      </c>
      <c r="O1918" s="2" t="str">
        <f aca="false">_xlfn.IFS(G1918&lt;0,"1 Negative",G1918=0,"2 Zero",G1918&lt;=500,"3 1-500",G1918&lt;=2000,"4 501-2000",TRUE(),"5 Above 2000")</f>
        <v>5 Above 2000</v>
      </c>
      <c r="P1918" s="2" t="n">
        <f aca="false">Lookups!$B$2*M1918+Lookups!$B$3*L1918</f>
        <v>0</v>
      </c>
      <c r="Q1918" s="2" t="str">
        <f aca="false">INDEX(Lookups!$E$2:$E$5,MATCH(P1918,Lookups!$D$2:$D$5,0))</f>
        <v>Low</v>
      </c>
    </row>
    <row r="1919" customFormat="false" ht="15" hidden="false" customHeight="false" outlineLevel="0" collapsed="false">
      <c r="A1919" s="3" t="n">
        <v>1918</v>
      </c>
      <c r="B1919" s="3" t="n">
        <f aca="false">Raw_Data!A1919</f>
        <v>53</v>
      </c>
      <c r="C1919" s="3" t="str">
        <f aca="false">SUBSTITUTE(Raw_Data!B1919,".","")</f>
        <v>unemployed</v>
      </c>
      <c r="D1919" s="3" t="str">
        <f aca="false">Raw_Data!C1919</f>
        <v>married</v>
      </c>
      <c r="E1919" s="3" t="str">
        <f aca="false">Raw_Data!D1919</f>
        <v>primary</v>
      </c>
      <c r="F1919" s="3" t="str">
        <f aca="false">Raw_Data!E1919</f>
        <v>no</v>
      </c>
      <c r="G1919" s="3" t="n">
        <f aca="false">Raw_Data!F1919</f>
        <v>980</v>
      </c>
      <c r="H1919" s="3" t="str">
        <f aca="false">Raw_Data!G1919</f>
        <v>yes</v>
      </c>
      <c r="I1919" s="3" t="str">
        <f aca="false">Raw_Data!H1919</f>
        <v>no</v>
      </c>
      <c r="J1919" s="2" t="n">
        <f aca="false">IF(F1919="yes",1,0)</f>
        <v>0</v>
      </c>
      <c r="K1919" s="2" t="n">
        <f aca="false">IF(H1919="yes",1,0)</f>
        <v>1</v>
      </c>
      <c r="L1919" s="2" t="n">
        <f aca="false">IF(I1919="yes",1,0)</f>
        <v>0</v>
      </c>
      <c r="M1919" s="2" t="n">
        <f aca="false">IF(G1919&lt;0,1,0)</f>
        <v>0</v>
      </c>
      <c r="N1919" s="2" t="str">
        <f aca="false">_xlfn.IFS(B1919&lt;30,"Under 30",B1919&lt;40,"30-39",B1919&lt;50,"40-49",B1919&lt;60,"50-59",TRUE(),"60+")</f>
        <v>50-59</v>
      </c>
      <c r="O1919" s="2" t="str">
        <f aca="false">_xlfn.IFS(G1919&lt;0,"1 Negative",G1919=0,"2 Zero",G1919&lt;=500,"3 1-500",G1919&lt;=2000,"4 501-2000",TRUE(),"5 Above 2000")</f>
        <v>4 501-2000</v>
      </c>
      <c r="P1919" s="2" t="n">
        <f aca="false">Lookups!$B$2*M1919+Lookups!$B$3*L1919</f>
        <v>0</v>
      </c>
      <c r="Q1919" s="2" t="str">
        <f aca="false">INDEX(Lookups!$E$2:$E$5,MATCH(P1919,Lookups!$D$2:$D$5,0))</f>
        <v>Low</v>
      </c>
    </row>
    <row r="1920" customFormat="false" ht="15" hidden="false" customHeight="false" outlineLevel="0" collapsed="false">
      <c r="A1920" s="3" t="n">
        <v>1919</v>
      </c>
      <c r="B1920" s="3" t="n">
        <f aca="false">Raw_Data!A1920</f>
        <v>43</v>
      </c>
      <c r="C1920" s="3" t="str">
        <f aca="false">SUBSTITUTE(Raw_Data!B1920,".","")</f>
        <v>blue-collar</v>
      </c>
      <c r="D1920" s="3" t="str">
        <f aca="false">Raw_Data!C1920</f>
        <v>married</v>
      </c>
      <c r="E1920" s="3" t="str">
        <f aca="false">Raw_Data!D1920</f>
        <v>secondary</v>
      </c>
      <c r="F1920" s="3" t="str">
        <f aca="false">Raw_Data!E1920</f>
        <v>no</v>
      </c>
      <c r="G1920" s="3" t="n">
        <f aca="false">Raw_Data!F1920</f>
        <v>-179</v>
      </c>
      <c r="H1920" s="3" t="str">
        <f aca="false">Raw_Data!G1920</f>
        <v>yes</v>
      </c>
      <c r="I1920" s="3" t="str">
        <f aca="false">Raw_Data!H1920</f>
        <v>no</v>
      </c>
      <c r="J1920" s="2" t="n">
        <f aca="false">IF(F1920="yes",1,0)</f>
        <v>0</v>
      </c>
      <c r="K1920" s="2" t="n">
        <f aca="false">IF(H1920="yes",1,0)</f>
        <v>1</v>
      </c>
      <c r="L1920" s="2" t="n">
        <f aca="false">IF(I1920="yes",1,0)</f>
        <v>0</v>
      </c>
      <c r="M1920" s="2" t="n">
        <f aca="false">IF(G1920&lt;0,1,0)</f>
        <v>1</v>
      </c>
      <c r="N1920" s="2" t="str">
        <f aca="false">_xlfn.IFS(B1920&lt;30,"Under 30",B1920&lt;40,"30-39",B1920&lt;50,"40-49",B1920&lt;60,"50-59",TRUE(),"60+")</f>
        <v>40-49</v>
      </c>
      <c r="O1920" s="2" t="str">
        <f aca="false">_xlfn.IFS(G1920&lt;0,"1 Negative",G1920=0,"2 Zero",G1920&lt;=500,"3 1-500",G1920&lt;=2000,"4 501-2000",TRUE(),"5 Above 2000")</f>
        <v>1 Negative</v>
      </c>
      <c r="P1920" s="2" t="n">
        <f aca="false">Lookups!$B$2*M1920+Lookups!$B$3*L1920</f>
        <v>2</v>
      </c>
      <c r="Q1920" s="2" t="str">
        <f aca="false">INDEX(Lookups!$E$2:$E$5,MATCH(P1920,Lookups!$D$2:$D$5,0))</f>
        <v>High</v>
      </c>
    </row>
    <row r="1921" customFormat="false" ht="15" hidden="false" customHeight="false" outlineLevel="0" collapsed="false">
      <c r="A1921" s="3" t="n">
        <v>1920</v>
      </c>
      <c r="B1921" s="3" t="n">
        <f aca="false">Raw_Data!A1921</f>
        <v>34</v>
      </c>
      <c r="C1921" s="3" t="str">
        <f aca="false">SUBSTITUTE(Raw_Data!B1921,".","")</f>
        <v>admin</v>
      </c>
      <c r="D1921" s="3" t="str">
        <f aca="false">Raw_Data!C1921</f>
        <v>married</v>
      </c>
      <c r="E1921" s="3" t="str">
        <f aca="false">Raw_Data!D1921</f>
        <v>tertiary</v>
      </c>
      <c r="F1921" s="3" t="str">
        <f aca="false">Raw_Data!E1921</f>
        <v>no</v>
      </c>
      <c r="G1921" s="3" t="n">
        <f aca="false">Raw_Data!F1921</f>
        <v>2552</v>
      </c>
      <c r="H1921" s="3" t="str">
        <f aca="false">Raw_Data!G1921</f>
        <v>yes</v>
      </c>
      <c r="I1921" s="3" t="str">
        <f aca="false">Raw_Data!H1921</f>
        <v>yes</v>
      </c>
      <c r="J1921" s="2" t="n">
        <f aca="false">IF(F1921="yes",1,0)</f>
        <v>0</v>
      </c>
      <c r="K1921" s="2" t="n">
        <f aca="false">IF(H1921="yes",1,0)</f>
        <v>1</v>
      </c>
      <c r="L1921" s="2" t="n">
        <f aca="false">IF(I1921="yes",1,0)</f>
        <v>1</v>
      </c>
      <c r="M1921" s="2" t="n">
        <f aca="false">IF(G1921&lt;0,1,0)</f>
        <v>0</v>
      </c>
      <c r="N1921" s="2" t="str">
        <f aca="false">_xlfn.IFS(B1921&lt;30,"Under 30",B1921&lt;40,"30-39",B1921&lt;50,"40-49",B1921&lt;60,"50-59",TRUE(),"60+")</f>
        <v>30-39</v>
      </c>
      <c r="O1921" s="2" t="str">
        <f aca="false">_xlfn.IFS(G1921&lt;0,"1 Negative",G1921=0,"2 Zero",G1921&lt;=500,"3 1-500",G1921&lt;=2000,"4 501-2000",TRUE(),"5 Above 2000")</f>
        <v>5 Above 2000</v>
      </c>
      <c r="P1921" s="2" t="n">
        <f aca="false">Lookups!$B$2*M1921+Lookups!$B$3*L1921</f>
        <v>1</v>
      </c>
      <c r="Q1921" s="2" t="str">
        <f aca="false">INDEX(Lookups!$E$2:$E$5,MATCH(P1921,Lookups!$D$2:$D$5,0))</f>
        <v>Medium</v>
      </c>
    </row>
    <row r="1922" customFormat="false" ht="15" hidden="false" customHeight="false" outlineLevel="0" collapsed="false">
      <c r="A1922" s="3" t="n">
        <v>1921</v>
      </c>
      <c r="B1922" s="3" t="n">
        <f aca="false">Raw_Data!A1922</f>
        <v>40</v>
      </c>
      <c r="C1922" s="3" t="str">
        <f aca="false">SUBSTITUTE(Raw_Data!B1922,".","")</f>
        <v>entrepreneur</v>
      </c>
      <c r="D1922" s="3" t="str">
        <f aca="false">Raw_Data!C1922</f>
        <v>married</v>
      </c>
      <c r="E1922" s="3" t="str">
        <f aca="false">Raw_Data!D1922</f>
        <v>tertiary</v>
      </c>
      <c r="F1922" s="3" t="str">
        <f aca="false">Raw_Data!E1922</f>
        <v>no</v>
      </c>
      <c r="G1922" s="3" t="n">
        <f aca="false">Raw_Data!F1922</f>
        <v>1729</v>
      </c>
      <c r="H1922" s="3" t="str">
        <f aca="false">Raw_Data!G1922</f>
        <v>yes</v>
      </c>
      <c r="I1922" s="3" t="str">
        <f aca="false">Raw_Data!H1922</f>
        <v>no</v>
      </c>
      <c r="J1922" s="2" t="n">
        <f aca="false">IF(F1922="yes",1,0)</f>
        <v>0</v>
      </c>
      <c r="K1922" s="2" t="n">
        <f aca="false">IF(H1922="yes",1,0)</f>
        <v>1</v>
      </c>
      <c r="L1922" s="2" t="n">
        <f aca="false">IF(I1922="yes",1,0)</f>
        <v>0</v>
      </c>
      <c r="M1922" s="2" t="n">
        <f aca="false">IF(G1922&lt;0,1,0)</f>
        <v>0</v>
      </c>
      <c r="N1922" s="2" t="str">
        <f aca="false">_xlfn.IFS(B1922&lt;30,"Under 30",B1922&lt;40,"30-39",B1922&lt;50,"40-49",B1922&lt;60,"50-59",TRUE(),"60+")</f>
        <v>40-49</v>
      </c>
      <c r="O1922" s="2" t="str">
        <f aca="false">_xlfn.IFS(G1922&lt;0,"1 Negative",G1922=0,"2 Zero",G1922&lt;=500,"3 1-500",G1922&lt;=2000,"4 501-2000",TRUE(),"5 Above 2000")</f>
        <v>4 501-2000</v>
      </c>
      <c r="P1922" s="2" t="n">
        <f aca="false">Lookups!$B$2*M1922+Lookups!$B$3*L1922</f>
        <v>0</v>
      </c>
      <c r="Q1922" s="2" t="str">
        <f aca="false">INDEX(Lookups!$E$2:$E$5,MATCH(P1922,Lookups!$D$2:$D$5,0))</f>
        <v>Low</v>
      </c>
    </row>
    <row r="1923" customFormat="false" ht="15" hidden="false" customHeight="false" outlineLevel="0" collapsed="false">
      <c r="A1923" s="3" t="n">
        <v>1922</v>
      </c>
      <c r="B1923" s="3" t="n">
        <f aca="false">Raw_Data!A1923</f>
        <v>43</v>
      </c>
      <c r="C1923" s="3" t="str">
        <f aca="false">SUBSTITUTE(Raw_Data!B1923,".","")</f>
        <v>technician</v>
      </c>
      <c r="D1923" s="3" t="str">
        <f aca="false">Raw_Data!C1923</f>
        <v>married</v>
      </c>
      <c r="E1923" s="3" t="str">
        <f aca="false">Raw_Data!D1923</f>
        <v>secondary</v>
      </c>
      <c r="F1923" s="3" t="str">
        <f aca="false">Raw_Data!E1923</f>
        <v>no</v>
      </c>
      <c r="G1923" s="3" t="n">
        <f aca="false">Raw_Data!F1923</f>
        <v>434</v>
      </c>
      <c r="H1923" s="3" t="str">
        <f aca="false">Raw_Data!G1923</f>
        <v>yes</v>
      </c>
      <c r="I1923" s="3" t="str">
        <f aca="false">Raw_Data!H1923</f>
        <v>no</v>
      </c>
      <c r="J1923" s="2" t="n">
        <f aca="false">IF(F1923="yes",1,0)</f>
        <v>0</v>
      </c>
      <c r="K1923" s="2" t="n">
        <f aca="false">IF(H1923="yes",1,0)</f>
        <v>1</v>
      </c>
      <c r="L1923" s="2" t="n">
        <f aca="false">IF(I1923="yes",1,0)</f>
        <v>0</v>
      </c>
      <c r="M1923" s="2" t="n">
        <f aca="false">IF(G1923&lt;0,1,0)</f>
        <v>0</v>
      </c>
      <c r="N1923" s="2" t="str">
        <f aca="false">_xlfn.IFS(B1923&lt;30,"Under 30",B1923&lt;40,"30-39",B1923&lt;50,"40-49",B1923&lt;60,"50-59",TRUE(),"60+")</f>
        <v>40-49</v>
      </c>
      <c r="O1923" s="2" t="str">
        <f aca="false">_xlfn.IFS(G1923&lt;0,"1 Negative",G1923=0,"2 Zero",G1923&lt;=500,"3 1-500",G1923&lt;=2000,"4 501-2000",TRUE(),"5 Above 2000")</f>
        <v>3 1-500</v>
      </c>
      <c r="P1923" s="2" t="n">
        <f aca="false">Lookups!$B$2*M1923+Lookups!$B$3*L1923</f>
        <v>0</v>
      </c>
      <c r="Q1923" s="2" t="str">
        <f aca="false">INDEX(Lookups!$E$2:$E$5,MATCH(P1923,Lookups!$D$2:$D$5,0))</f>
        <v>Low</v>
      </c>
    </row>
    <row r="1924" customFormat="false" ht="15" hidden="false" customHeight="false" outlineLevel="0" collapsed="false">
      <c r="A1924" s="3" t="n">
        <v>1923</v>
      </c>
      <c r="B1924" s="3" t="n">
        <f aca="false">Raw_Data!A1924</f>
        <v>33</v>
      </c>
      <c r="C1924" s="3" t="str">
        <f aca="false">SUBSTITUTE(Raw_Data!B1924,".","")</f>
        <v>admin</v>
      </c>
      <c r="D1924" s="3" t="str">
        <f aca="false">Raw_Data!C1924</f>
        <v>single</v>
      </c>
      <c r="E1924" s="3" t="str">
        <f aca="false">Raw_Data!D1924</f>
        <v>secondary</v>
      </c>
      <c r="F1924" s="3" t="str">
        <f aca="false">Raw_Data!E1924</f>
        <v>no</v>
      </c>
      <c r="G1924" s="3" t="n">
        <f aca="false">Raw_Data!F1924</f>
        <v>-300</v>
      </c>
      <c r="H1924" s="3" t="str">
        <f aca="false">Raw_Data!G1924</f>
        <v>yes</v>
      </c>
      <c r="I1924" s="3" t="str">
        <f aca="false">Raw_Data!H1924</f>
        <v>yes</v>
      </c>
      <c r="J1924" s="2" t="n">
        <f aca="false">IF(F1924="yes",1,0)</f>
        <v>0</v>
      </c>
      <c r="K1924" s="2" t="n">
        <f aca="false">IF(H1924="yes",1,0)</f>
        <v>1</v>
      </c>
      <c r="L1924" s="2" t="n">
        <f aca="false">IF(I1924="yes",1,0)</f>
        <v>1</v>
      </c>
      <c r="M1924" s="2" t="n">
        <f aca="false">IF(G1924&lt;0,1,0)</f>
        <v>1</v>
      </c>
      <c r="N1924" s="2" t="str">
        <f aca="false">_xlfn.IFS(B1924&lt;30,"Under 30",B1924&lt;40,"30-39",B1924&lt;50,"40-49",B1924&lt;60,"50-59",TRUE(),"60+")</f>
        <v>30-39</v>
      </c>
      <c r="O1924" s="2" t="str">
        <f aca="false">_xlfn.IFS(G1924&lt;0,"1 Negative",G1924=0,"2 Zero",G1924&lt;=500,"3 1-500",G1924&lt;=2000,"4 501-2000",TRUE(),"5 Above 2000")</f>
        <v>1 Negative</v>
      </c>
      <c r="P1924" s="2" t="n">
        <f aca="false">Lookups!$B$2*M1924+Lookups!$B$3*L1924</f>
        <v>3</v>
      </c>
      <c r="Q1924" s="2" t="str">
        <f aca="false">INDEX(Lookups!$E$2:$E$5,MATCH(P1924,Lookups!$D$2:$D$5,0))</f>
        <v>High</v>
      </c>
    </row>
    <row r="1925" customFormat="false" ht="15" hidden="false" customHeight="false" outlineLevel="0" collapsed="false">
      <c r="A1925" s="3" t="n">
        <v>1924</v>
      </c>
      <c r="B1925" s="3" t="n">
        <f aca="false">Raw_Data!A1925</f>
        <v>66</v>
      </c>
      <c r="C1925" s="3" t="str">
        <f aca="false">SUBSTITUTE(Raw_Data!B1925,".","")</f>
        <v>retired</v>
      </c>
      <c r="D1925" s="3" t="str">
        <f aca="false">Raw_Data!C1925</f>
        <v>married</v>
      </c>
      <c r="E1925" s="3" t="str">
        <f aca="false">Raw_Data!D1925</f>
        <v>secondary</v>
      </c>
      <c r="F1925" s="3" t="str">
        <f aca="false">Raw_Data!E1925</f>
        <v>no</v>
      </c>
      <c r="G1925" s="3" t="n">
        <f aca="false">Raw_Data!F1925</f>
        <v>4785</v>
      </c>
      <c r="H1925" s="3" t="str">
        <f aca="false">Raw_Data!G1925</f>
        <v>no</v>
      </c>
      <c r="I1925" s="3" t="str">
        <f aca="false">Raw_Data!H1925</f>
        <v>no</v>
      </c>
      <c r="J1925" s="2" t="n">
        <f aca="false">IF(F1925="yes",1,0)</f>
        <v>0</v>
      </c>
      <c r="K1925" s="2" t="n">
        <f aca="false">IF(H1925="yes",1,0)</f>
        <v>0</v>
      </c>
      <c r="L1925" s="2" t="n">
        <f aca="false">IF(I1925="yes",1,0)</f>
        <v>0</v>
      </c>
      <c r="M1925" s="2" t="n">
        <f aca="false">IF(G1925&lt;0,1,0)</f>
        <v>0</v>
      </c>
      <c r="N1925" s="2" t="str">
        <f aca="false">_xlfn.IFS(B1925&lt;30,"Under 30",B1925&lt;40,"30-39",B1925&lt;50,"40-49",B1925&lt;60,"50-59",TRUE(),"60+")</f>
        <v>60+</v>
      </c>
      <c r="O1925" s="2" t="str">
        <f aca="false">_xlfn.IFS(G1925&lt;0,"1 Negative",G1925=0,"2 Zero",G1925&lt;=500,"3 1-500",G1925&lt;=2000,"4 501-2000",TRUE(),"5 Above 2000")</f>
        <v>5 Above 2000</v>
      </c>
      <c r="P1925" s="2" t="n">
        <f aca="false">Lookups!$B$2*M1925+Lookups!$B$3*L1925</f>
        <v>0</v>
      </c>
      <c r="Q1925" s="2" t="str">
        <f aca="false">INDEX(Lookups!$E$2:$E$5,MATCH(P1925,Lookups!$D$2:$D$5,0))</f>
        <v>Low</v>
      </c>
    </row>
    <row r="1926" customFormat="false" ht="15" hidden="false" customHeight="false" outlineLevel="0" collapsed="false">
      <c r="A1926" s="3" t="n">
        <v>1925</v>
      </c>
      <c r="B1926" s="3" t="n">
        <f aca="false">Raw_Data!A1926</f>
        <v>44</v>
      </c>
      <c r="C1926" s="3" t="str">
        <f aca="false">SUBSTITUTE(Raw_Data!B1926,".","")</f>
        <v>technician</v>
      </c>
      <c r="D1926" s="3" t="str">
        <f aca="false">Raw_Data!C1926</f>
        <v>divorced</v>
      </c>
      <c r="E1926" s="3" t="str">
        <f aca="false">Raw_Data!D1926</f>
        <v>secondary</v>
      </c>
      <c r="F1926" s="3" t="str">
        <f aca="false">Raw_Data!E1926</f>
        <v>no</v>
      </c>
      <c r="G1926" s="3" t="n">
        <f aca="false">Raw_Data!F1926</f>
        <v>-329</v>
      </c>
      <c r="H1926" s="3" t="str">
        <f aca="false">Raw_Data!G1926</f>
        <v>yes</v>
      </c>
      <c r="I1926" s="3" t="str">
        <f aca="false">Raw_Data!H1926</f>
        <v>no</v>
      </c>
      <c r="J1926" s="2" t="n">
        <f aca="false">IF(F1926="yes",1,0)</f>
        <v>0</v>
      </c>
      <c r="K1926" s="2" t="n">
        <f aca="false">IF(H1926="yes",1,0)</f>
        <v>1</v>
      </c>
      <c r="L1926" s="2" t="n">
        <f aca="false">IF(I1926="yes",1,0)</f>
        <v>0</v>
      </c>
      <c r="M1926" s="2" t="n">
        <f aca="false">IF(G1926&lt;0,1,0)</f>
        <v>1</v>
      </c>
      <c r="N1926" s="2" t="str">
        <f aca="false">_xlfn.IFS(B1926&lt;30,"Under 30",B1926&lt;40,"30-39",B1926&lt;50,"40-49",B1926&lt;60,"50-59",TRUE(),"60+")</f>
        <v>40-49</v>
      </c>
      <c r="O1926" s="2" t="str">
        <f aca="false">_xlfn.IFS(G1926&lt;0,"1 Negative",G1926=0,"2 Zero",G1926&lt;=500,"3 1-500",G1926&lt;=2000,"4 501-2000",TRUE(),"5 Above 2000")</f>
        <v>1 Negative</v>
      </c>
      <c r="P1926" s="2" t="n">
        <f aca="false">Lookups!$B$2*M1926+Lookups!$B$3*L1926</f>
        <v>2</v>
      </c>
      <c r="Q1926" s="2" t="str">
        <f aca="false">INDEX(Lookups!$E$2:$E$5,MATCH(P1926,Lookups!$D$2:$D$5,0))</f>
        <v>High</v>
      </c>
    </row>
    <row r="1927" customFormat="false" ht="15" hidden="false" customHeight="false" outlineLevel="0" collapsed="false">
      <c r="A1927" s="3" t="n">
        <v>1926</v>
      </c>
      <c r="B1927" s="3" t="n">
        <f aca="false">Raw_Data!A1927</f>
        <v>33</v>
      </c>
      <c r="C1927" s="3" t="str">
        <f aca="false">SUBSTITUTE(Raw_Data!B1927,".","")</f>
        <v>services</v>
      </c>
      <c r="D1927" s="3" t="str">
        <f aca="false">Raw_Data!C1927</f>
        <v>married</v>
      </c>
      <c r="E1927" s="3" t="str">
        <f aca="false">Raw_Data!D1927</f>
        <v>secondary</v>
      </c>
      <c r="F1927" s="3" t="str">
        <f aca="false">Raw_Data!E1927</f>
        <v>no</v>
      </c>
      <c r="G1927" s="3" t="n">
        <f aca="false">Raw_Data!F1927</f>
        <v>0</v>
      </c>
      <c r="H1927" s="3" t="str">
        <f aca="false">Raw_Data!G1927</f>
        <v>yes</v>
      </c>
      <c r="I1927" s="3" t="str">
        <f aca="false">Raw_Data!H1927</f>
        <v>no</v>
      </c>
      <c r="J1927" s="2" t="n">
        <f aca="false">IF(F1927="yes",1,0)</f>
        <v>0</v>
      </c>
      <c r="K1927" s="2" t="n">
        <f aca="false">IF(H1927="yes",1,0)</f>
        <v>1</v>
      </c>
      <c r="L1927" s="2" t="n">
        <f aca="false">IF(I1927="yes",1,0)</f>
        <v>0</v>
      </c>
      <c r="M1927" s="2" t="n">
        <f aca="false">IF(G1927&lt;0,1,0)</f>
        <v>0</v>
      </c>
      <c r="N1927" s="2" t="str">
        <f aca="false">_xlfn.IFS(B1927&lt;30,"Under 30",B1927&lt;40,"30-39",B1927&lt;50,"40-49",B1927&lt;60,"50-59",TRUE(),"60+")</f>
        <v>30-39</v>
      </c>
      <c r="O1927" s="2" t="str">
        <f aca="false">_xlfn.IFS(G1927&lt;0,"1 Negative",G1927=0,"2 Zero",G1927&lt;=500,"3 1-500",G1927&lt;=2000,"4 501-2000",TRUE(),"5 Above 2000")</f>
        <v>2 Zero</v>
      </c>
      <c r="P1927" s="2" t="n">
        <f aca="false">Lookups!$B$2*M1927+Lookups!$B$3*L1927</f>
        <v>0</v>
      </c>
      <c r="Q1927" s="2" t="str">
        <f aca="false">INDEX(Lookups!$E$2:$E$5,MATCH(P1927,Lookups!$D$2:$D$5,0))</f>
        <v>Low</v>
      </c>
    </row>
    <row r="1928" customFormat="false" ht="15" hidden="false" customHeight="false" outlineLevel="0" collapsed="false">
      <c r="A1928" s="3" t="n">
        <v>1927</v>
      </c>
      <c r="B1928" s="3" t="n">
        <f aca="false">Raw_Data!A1928</f>
        <v>31</v>
      </c>
      <c r="C1928" s="3" t="str">
        <f aca="false">SUBSTITUTE(Raw_Data!B1928,".","")</f>
        <v>technician</v>
      </c>
      <c r="D1928" s="3" t="str">
        <f aca="false">Raw_Data!C1928</f>
        <v>single</v>
      </c>
      <c r="E1928" s="3" t="str">
        <f aca="false">Raw_Data!D1928</f>
        <v>secondary</v>
      </c>
      <c r="F1928" s="3" t="str">
        <f aca="false">Raw_Data!E1928</f>
        <v>no</v>
      </c>
      <c r="G1928" s="3" t="n">
        <f aca="false">Raw_Data!F1928</f>
        <v>391</v>
      </c>
      <c r="H1928" s="3" t="str">
        <f aca="false">Raw_Data!G1928</f>
        <v>no</v>
      </c>
      <c r="I1928" s="3" t="str">
        <f aca="false">Raw_Data!H1928</f>
        <v>no</v>
      </c>
      <c r="J1928" s="2" t="n">
        <f aca="false">IF(F1928="yes",1,0)</f>
        <v>0</v>
      </c>
      <c r="K1928" s="2" t="n">
        <f aca="false">IF(H1928="yes",1,0)</f>
        <v>0</v>
      </c>
      <c r="L1928" s="2" t="n">
        <f aca="false">IF(I1928="yes",1,0)</f>
        <v>0</v>
      </c>
      <c r="M1928" s="2" t="n">
        <f aca="false">IF(G1928&lt;0,1,0)</f>
        <v>0</v>
      </c>
      <c r="N1928" s="2" t="str">
        <f aca="false">_xlfn.IFS(B1928&lt;30,"Under 30",B1928&lt;40,"30-39",B1928&lt;50,"40-49",B1928&lt;60,"50-59",TRUE(),"60+")</f>
        <v>30-39</v>
      </c>
      <c r="O1928" s="2" t="str">
        <f aca="false">_xlfn.IFS(G1928&lt;0,"1 Negative",G1928=0,"2 Zero",G1928&lt;=500,"3 1-500",G1928&lt;=2000,"4 501-2000",TRUE(),"5 Above 2000")</f>
        <v>3 1-500</v>
      </c>
      <c r="P1928" s="2" t="n">
        <f aca="false">Lookups!$B$2*M1928+Lookups!$B$3*L1928</f>
        <v>0</v>
      </c>
      <c r="Q1928" s="2" t="str">
        <f aca="false">INDEX(Lookups!$E$2:$E$5,MATCH(P1928,Lookups!$D$2:$D$5,0))</f>
        <v>Low</v>
      </c>
    </row>
    <row r="1929" customFormat="false" ht="15" hidden="false" customHeight="false" outlineLevel="0" collapsed="false">
      <c r="A1929" s="3" t="n">
        <v>1928</v>
      </c>
      <c r="B1929" s="3" t="n">
        <f aca="false">Raw_Data!A1929</f>
        <v>71</v>
      </c>
      <c r="C1929" s="3" t="str">
        <f aca="false">SUBSTITUTE(Raw_Data!B1929,".","")</f>
        <v>retired</v>
      </c>
      <c r="D1929" s="3" t="str">
        <f aca="false">Raw_Data!C1929</f>
        <v>married</v>
      </c>
      <c r="E1929" s="3" t="str">
        <f aca="false">Raw_Data!D1929</f>
        <v>primary</v>
      </c>
      <c r="F1929" s="3" t="str">
        <f aca="false">Raw_Data!E1929</f>
        <v>no</v>
      </c>
      <c r="G1929" s="3" t="n">
        <f aca="false">Raw_Data!F1929</f>
        <v>4657</v>
      </c>
      <c r="H1929" s="3" t="str">
        <f aca="false">Raw_Data!G1929</f>
        <v>no</v>
      </c>
      <c r="I1929" s="3" t="str">
        <f aca="false">Raw_Data!H1929</f>
        <v>no</v>
      </c>
      <c r="J1929" s="2" t="n">
        <f aca="false">IF(F1929="yes",1,0)</f>
        <v>0</v>
      </c>
      <c r="K1929" s="2" t="n">
        <f aca="false">IF(H1929="yes",1,0)</f>
        <v>0</v>
      </c>
      <c r="L1929" s="2" t="n">
        <f aca="false">IF(I1929="yes",1,0)</f>
        <v>0</v>
      </c>
      <c r="M1929" s="2" t="n">
        <f aca="false">IF(G1929&lt;0,1,0)</f>
        <v>0</v>
      </c>
      <c r="N1929" s="2" t="str">
        <f aca="false">_xlfn.IFS(B1929&lt;30,"Under 30",B1929&lt;40,"30-39",B1929&lt;50,"40-49",B1929&lt;60,"50-59",TRUE(),"60+")</f>
        <v>60+</v>
      </c>
      <c r="O1929" s="2" t="str">
        <f aca="false">_xlfn.IFS(G1929&lt;0,"1 Negative",G1929=0,"2 Zero",G1929&lt;=500,"3 1-500",G1929&lt;=2000,"4 501-2000",TRUE(),"5 Above 2000")</f>
        <v>5 Above 2000</v>
      </c>
      <c r="P1929" s="2" t="n">
        <f aca="false">Lookups!$B$2*M1929+Lookups!$B$3*L1929</f>
        <v>0</v>
      </c>
      <c r="Q1929" s="2" t="str">
        <f aca="false">INDEX(Lookups!$E$2:$E$5,MATCH(P1929,Lookups!$D$2:$D$5,0))</f>
        <v>Low</v>
      </c>
    </row>
    <row r="1930" customFormat="false" ht="15" hidden="false" customHeight="false" outlineLevel="0" collapsed="false">
      <c r="A1930" s="3" t="n">
        <v>1929</v>
      </c>
      <c r="B1930" s="3" t="n">
        <f aca="false">Raw_Data!A1930</f>
        <v>22</v>
      </c>
      <c r="C1930" s="3" t="str">
        <f aca="false">SUBSTITUTE(Raw_Data!B1930,".","")</f>
        <v>student</v>
      </c>
      <c r="D1930" s="3" t="str">
        <f aca="false">Raw_Data!C1930</f>
        <v>single</v>
      </c>
      <c r="E1930" s="3" t="str">
        <f aca="false">Raw_Data!D1930</f>
        <v>primary</v>
      </c>
      <c r="F1930" s="3" t="str">
        <f aca="false">Raw_Data!E1930</f>
        <v>no</v>
      </c>
      <c r="G1930" s="3" t="n">
        <f aca="false">Raw_Data!F1930</f>
        <v>3472</v>
      </c>
      <c r="H1930" s="3" t="str">
        <f aca="false">Raw_Data!G1930</f>
        <v>no</v>
      </c>
      <c r="I1930" s="3" t="str">
        <f aca="false">Raw_Data!H1930</f>
        <v>no</v>
      </c>
      <c r="J1930" s="2" t="n">
        <f aca="false">IF(F1930="yes",1,0)</f>
        <v>0</v>
      </c>
      <c r="K1930" s="2" t="n">
        <f aca="false">IF(H1930="yes",1,0)</f>
        <v>0</v>
      </c>
      <c r="L1930" s="2" t="n">
        <f aca="false">IF(I1930="yes",1,0)</f>
        <v>0</v>
      </c>
      <c r="M1930" s="2" t="n">
        <f aca="false">IF(G1930&lt;0,1,0)</f>
        <v>0</v>
      </c>
      <c r="N1930" s="2" t="str">
        <f aca="false">_xlfn.IFS(B1930&lt;30,"Under 30",B1930&lt;40,"30-39",B1930&lt;50,"40-49",B1930&lt;60,"50-59",TRUE(),"60+")</f>
        <v>Under 30</v>
      </c>
      <c r="O1930" s="2" t="str">
        <f aca="false">_xlfn.IFS(G1930&lt;0,"1 Negative",G1930=0,"2 Zero",G1930&lt;=500,"3 1-500",G1930&lt;=2000,"4 501-2000",TRUE(),"5 Above 2000")</f>
        <v>5 Above 2000</v>
      </c>
      <c r="P1930" s="2" t="n">
        <f aca="false">Lookups!$B$2*M1930+Lookups!$B$3*L1930</f>
        <v>0</v>
      </c>
      <c r="Q1930" s="2" t="str">
        <f aca="false">INDEX(Lookups!$E$2:$E$5,MATCH(P1930,Lookups!$D$2:$D$5,0))</f>
        <v>Low</v>
      </c>
    </row>
    <row r="1931" customFormat="false" ht="15" hidden="false" customHeight="false" outlineLevel="0" collapsed="false">
      <c r="A1931" s="3" t="n">
        <v>1930</v>
      </c>
      <c r="B1931" s="3" t="n">
        <f aca="false">Raw_Data!A1931</f>
        <v>46</v>
      </c>
      <c r="C1931" s="3" t="str">
        <f aca="false">SUBSTITUTE(Raw_Data!B1931,".","")</f>
        <v>unemployed</v>
      </c>
      <c r="D1931" s="3" t="str">
        <f aca="false">Raw_Data!C1931</f>
        <v>single</v>
      </c>
      <c r="E1931" s="3" t="str">
        <f aca="false">Raw_Data!D1931</f>
        <v>tertiary</v>
      </c>
      <c r="F1931" s="3" t="str">
        <f aca="false">Raw_Data!E1931</f>
        <v>no</v>
      </c>
      <c r="G1931" s="3" t="n">
        <f aca="false">Raw_Data!F1931</f>
        <v>705</v>
      </c>
      <c r="H1931" s="3" t="str">
        <f aca="false">Raw_Data!G1931</f>
        <v>no</v>
      </c>
      <c r="I1931" s="3" t="str">
        <f aca="false">Raw_Data!H1931</f>
        <v>no</v>
      </c>
      <c r="J1931" s="2" t="n">
        <f aca="false">IF(F1931="yes",1,0)</f>
        <v>0</v>
      </c>
      <c r="K1931" s="2" t="n">
        <f aca="false">IF(H1931="yes",1,0)</f>
        <v>0</v>
      </c>
      <c r="L1931" s="2" t="n">
        <f aca="false">IF(I1931="yes",1,0)</f>
        <v>0</v>
      </c>
      <c r="M1931" s="2" t="n">
        <f aca="false">IF(G1931&lt;0,1,0)</f>
        <v>0</v>
      </c>
      <c r="N1931" s="2" t="str">
        <f aca="false">_xlfn.IFS(B1931&lt;30,"Under 30",B1931&lt;40,"30-39",B1931&lt;50,"40-49",B1931&lt;60,"50-59",TRUE(),"60+")</f>
        <v>40-49</v>
      </c>
      <c r="O1931" s="2" t="str">
        <f aca="false">_xlfn.IFS(G1931&lt;0,"1 Negative",G1931=0,"2 Zero",G1931&lt;=500,"3 1-500",G1931&lt;=2000,"4 501-2000",TRUE(),"5 Above 2000")</f>
        <v>4 501-2000</v>
      </c>
      <c r="P1931" s="2" t="n">
        <f aca="false">Lookups!$B$2*M1931+Lookups!$B$3*L1931</f>
        <v>0</v>
      </c>
      <c r="Q1931" s="2" t="str">
        <f aca="false">INDEX(Lookups!$E$2:$E$5,MATCH(P1931,Lookups!$D$2:$D$5,0))</f>
        <v>Low</v>
      </c>
    </row>
    <row r="1932" customFormat="false" ht="15" hidden="false" customHeight="false" outlineLevel="0" collapsed="false">
      <c r="A1932" s="3" t="n">
        <v>1931</v>
      </c>
      <c r="B1932" s="3" t="n">
        <f aca="false">Raw_Data!A1932</f>
        <v>32</v>
      </c>
      <c r="C1932" s="3" t="str">
        <f aca="false">SUBSTITUTE(Raw_Data!B1932,".","")</f>
        <v>services</v>
      </c>
      <c r="D1932" s="3" t="str">
        <f aca="false">Raw_Data!C1932</f>
        <v>married</v>
      </c>
      <c r="E1932" s="3" t="str">
        <f aca="false">Raw_Data!D1932</f>
        <v>secondary</v>
      </c>
      <c r="F1932" s="3" t="str">
        <f aca="false">Raw_Data!E1932</f>
        <v>no</v>
      </c>
      <c r="G1932" s="3" t="n">
        <f aca="false">Raw_Data!F1932</f>
        <v>255</v>
      </c>
      <c r="H1932" s="3" t="str">
        <f aca="false">Raw_Data!G1932</f>
        <v>yes</v>
      </c>
      <c r="I1932" s="3" t="str">
        <f aca="false">Raw_Data!H1932</f>
        <v>yes</v>
      </c>
      <c r="J1932" s="2" t="n">
        <f aca="false">IF(F1932="yes",1,0)</f>
        <v>0</v>
      </c>
      <c r="K1932" s="2" t="n">
        <f aca="false">IF(H1932="yes",1,0)</f>
        <v>1</v>
      </c>
      <c r="L1932" s="2" t="n">
        <f aca="false">IF(I1932="yes",1,0)</f>
        <v>1</v>
      </c>
      <c r="M1932" s="2" t="n">
        <f aca="false">IF(G1932&lt;0,1,0)</f>
        <v>0</v>
      </c>
      <c r="N1932" s="2" t="str">
        <f aca="false">_xlfn.IFS(B1932&lt;30,"Under 30",B1932&lt;40,"30-39",B1932&lt;50,"40-49",B1932&lt;60,"50-59",TRUE(),"60+")</f>
        <v>30-39</v>
      </c>
      <c r="O1932" s="2" t="str">
        <f aca="false">_xlfn.IFS(G1932&lt;0,"1 Negative",G1932=0,"2 Zero",G1932&lt;=500,"3 1-500",G1932&lt;=2000,"4 501-2000",TRUE(),"5 Above 2000")</f>
        <v>3 1-500</v>
      </c>
      <c r="P1932" s="2" t="n">
        <f aca="false">Lookups!$B$2*M1932+Lookups!$B$3*L1932</f>
        <v>1</v>
      </c>
      <c r="Q1932" s="2" t="str">
        <f aca="false">INDEX(Lookups!$E$2:$E$5,MATCH(P1932,Lookups!$D$2:$D$5,0))</f>
        <v>Medium</v>
      </c>
    </row>
    <row r="1933" customFormat="false" ht="15" hidden="false" customHeight="false" outlineLevel="0" collapsed="false">
      <c r="A1933" s="3" t="n">
        <v>1932</v>
      </c>
      <c r="B1933" s="3" t="n">
        <f aca="false">Raw_Data!A1933</f>
        <v>45</v>
      </c>
      <c r="C1933" s="3" t="str">
        <f aca="false">SUBSTITUTE(Raw_Data!B1933,".","")</f>
        <v>blue-collar</v>
      </c>
      <c r="D1933" s="3" t="str">
        <f aca="false">Raw_Data!C1933</f>
        <v>married</v>
      </c>
      <c r="E1933" s="3" t="str">
        <f aca="false">Raw_Data!D1933</f>
        <v>secondary</v>
      </c>
      <c r="F1933" s="3" t="str">
        <f aca="false">Raw_Data!E1933</f>
        <v>no</v>
      </c>
      <c r="G1933" s="3" t="n">
        <f aca="false">Raw_Data!F1933</f>
        <v>4365</v>
      </c>
      <c r="H1933" s="3" t="str">
        <f aca="false">Raw_Data!G1933</f>
        <v>no</v>
      </c>
      <c r="I1933" s="3" t="str">
        <f aca="false">Raw_Data!H1933</f>
        <v>yes</v>
      </c>
      <c r="J1933" s="2" t="n">
        <f aca="false">IF(F1933="yes",1,0)</f>
        <v>0</v>
      </c>
      <c r="K1933" s="2" t="n">
        <f aca="false">IF(H1933="yes",1,0)</f>
        <v>0</v>
      </c>
      <c r="L1933" s="2" t="n">
        <f aca="false">IF(I1933="yes",1,0)</f>
        <v>1</v>
      </c>
      <c r="M1933" s="2" t="n">
        <f aca="false">IF(G1933&lt;0,1,0)</f>
        <v>0</v>
      </c>
      <c r="N1933" s="2" t="str">
        <f aca="false">_xlfn.IFS(B1933&lt;30,"Under 30",B1933&lt;40,"30-39",B1933&lt;50,"40-49",B1933&lt;60,"50-59",TRUE(),"60+")</f>
        <v>40-49</v>
      </c>
      <c r="O1933" s="2" t="str">
        <f aca="false">_xlfn.IFS(G1933&lt;0,"1 Negative",G1933=0,"2 Zero",G1933&lt;=500,"3 1-500",G1933&lt;=2000,"4 501-2000",TRUE(),"5 Above 2000")</f>
        <v>5 Above 2000</v>
      </c>
      <c r="P1933" s="2" t="n">
        <f aca="false">Lookups!$B$2*M1933+Lookups!$B$3*L1933</f>
        <v>1</v>
      </c>
      <c r="Q1933" s="2" t="str">
        <f aca="false">INDEX(Lookups!$E$2:$E$5,MATCH(P1933,Lookups!$D$2:$D$5,0))</f>
        <v>Medium</v>
      </c>
    </row>
    <row r="1934" customFormat="false" ht="15" hidden="false" customHeight="false" outlineLevel="0" collapsed="false">
      <c r="A1934" s="3" t="n">
        <v>1933</v>
      </c>
      <c r="B1934" s="3" t="n">
        <f aca="false">Raw_Data!A1934</f>
        <v>32</v>
      </c>
      <c r="C1934" s="3" t="str">
        <f aca="false">SUBSTITUTE(Raw_Data!B1934,".","")</f>
        <v>management</v>
      </c>
      <c r="D1934" s="3" t="str">
        <f aca="false">Raw_Data!C1934</f>
        <v>married</v>
      </c>
      <c r="E1934" s="3" t="str">
        <f aca="false">Raw_Data!D1934</f>
        <v>secondary</v>
      </c>
      <c r="F1934" s="3" t="str">
        <f aca="false">Raw_Data!E1934</f>
        <v>no</v>
      </c>
      <c r="G1934" s="3" t="n">
        <f aca="false">Raw_Data!F1934</f>
        <v>350</v>
      </c>
      <c r="H1934" s="3" t="str">
        <f aca="false">Raw_Data!G1934</f>
        <v>yes</v>
      </c>
      <c r="I1934" s="3" t="str">
        <f aca="false">Raw_Data!H1934</f>
        <v>no</v>
      </c>
      <c r="J1934" s="2" t="n">
        <f aca="false">IF(F1934="yes",1,0)</f>
        <v>0</v>
      </c>
      <c r="K1934" s="2" t="n">
        <f aca="false">IF(H1934="yes",1,0)</f>
        <v>1</v>
      </c>
      <c r="L1934" s="2" t="n">
        <f aca="false">IF(I1934="yes",1,0)</f>
        <v>0</v>
      </c>
      <c r="M1934" s="2" t="n">
        <f aca="false">IF(G1934&lt;0,1,0)</f>
        <v>0</v>
      </c>
      <c r="N1934" s="2" t="str">
        <f aca="false">_xlfn.IFS(B1934&lt;30,"Under 30",B1934&lt;40,"30-39",B1934&lt;50,"40-49",B1934&lt;60,"50-59",TRUE(),"60+")</f>
        <v>30-39</v>
      </c>
      <c r="O1934" s="2" t="str">
        <f aca="false">_xlfn.IFS(G1934&lt;0,"1 Negative",G1934=0,"2 Zero",G1934&lt;=500,"3 1-500",G1934&lt;=2000,"4 501-2000",TRUE(),"5 Above 2000")</f>
        <v>3 1-500</v>
      </c>
      <c r="P1934" s="2" t="n">
        <f aca="false">Lookups!$B$2*M1934+Lookups!$B$3*L1934</f>
        <v>0</v>
      </c>
      <c r="Q1934" s="2" t="str">
        <f aca="false">INDEX(Lookups!$E$2:$E$5,MATCH(P1934,Lookups!$D$2:$D$5,0))</f>
        <v>Low</v>
      </c>
    </row>
    <row r="1935" customFormat="false" ht="15" hidden="false" customHeight="false" outlineLevel="0" collapsed="false">
      <c r="A1935" s="3" t="n">
        <v>1934</v>
      </c>
      <c r="B1935" s="3" t="n">
        <f aca="false">Raw_Data!A1935</f>
        <v>49</v>
      </c>
      <c r="C1935" s="3" t="str">
        <f aca="false">SUBSTITUTE(Raw_Data!B1935,".","")</f>
        <v>blue-collar</v>
      </c>
      <c r="D1935" s="3" t="str">
        <f aca="false">Raw_Data!C1935</f>
        <v>married</v>
      </c>
      <c r="E1935" s="3" t="str">
        <f aca="false">Raw_Data!D1935</f>
        <v>primary</v>
      </c>
      <c r="F1935" s="3" t="str">
        <f aca="false">Raw_Data!E1935</f>
        <v>no</v>
      </c>
      <c r="G1935" s="3" t="n">
        <f aca="false">Raw_Data!F1935</f>
        <v>474</v>
      </c>
      <c r="H1935" s="3" t="str">
        <f aca="false">Raw_Data!G1935</f>
        <v>yes</v>
      </c>
      <c r="I1935" s="3" t="str">
        <f aca="false">Raw_Data!H1935</f>
        <v>yes</v>
      </c>
      <c r="J1935" s="2" t="n">
        <f aca="false">IF(F1935="yes",1,0)</f>
        <v>0</v>
      </c>
      <c r="K1935" s="2" t="n">
        <f aca="false">IF(H1935="yes",1,0)</f>
        <v>1</v>
      </c>
      <c r="L1935" s="2" t="n">
        <f aca="false">IF(I1935="yes",1,0)</f>
        <v>1</v>
      </c>
      <c r="M1935" s="2" t="n">
        <f aca="false">IF(G1935&lt;0,1,0)</f>
        <v>0</v>
      </c>
      <c r="N1935" s="2" t="str">
        <f aca="false">_xlfn.IFS(B1935&lt;30,"Under 30",B1935&lt;40,"30-39",B1935&lt;50,"40-49",B1935&lt;60,"50-59",TRUE(),"60+")</f>
        <v>40-49</v>
      </c>
      <c r="O1935" s="2" t="str">
        <f aca="false">_xlfn.IFS(G1935&lt;0,"1 Negative",G1935=0,"2 Zero",G1935&lt;=500,"3 1-500",G1935&lt;=2000,"4 501-2000",TRUE(),"5 Above 2000")</f>
        <v>3 1-500</v>
      </c>
      <c r="P1935" s="2" t="n">
        <f aca="false">Lookups!$B$2*M1935+Lookups!$B$3*L1935</f>
        <v>1</v>
      </c>
      <c r="Q1935" s="2" t="str">
        <f aca="false">INDEX(Lookups!$E$2:$E$5,MATCH(P1935,Lookups!$D$2:$D$5,0))</f>
        <v>Medium</v>
      </c>
    </row>
    <row r="1936" customFormat="false" ht="15" hidden="false" customHeight="false" outlineLevel="0" collapsed="false">
      <c r="A1936" s="3" t="n">
        <v>1935</v>
      </c>
      <c r="B1936" s="3" t="n">
        <f aca="false">Raw_Data!A1936</f>
        <v>27</v>
      </c>
      <c r="C1936" s="3" t="str">
        <f aca="false">SUBSTITUTE(Raw_Data!B1936,".","")</f>
        <v>technician</v>
      </c>
      <c r="D1936" s="3" t="str">
        <f aca="false">Raw_Data!C1936</f>
        <v>single</v>
      </c>
      <c r="E1936" s="3" t="str">
        <f aca="false">Raw_Data!D1936</f>
        <v>secondary</v>
      </c>
      <c r="F1936" s="3" t="str">
        <f aca="false">Raw_Data!E1936</f>
        <v>no</v>
      </c>
      <c r="G1936" s="3" t="n">
        <f aca="false">Raw_Data!F1936</f>
        <v>489</v>
      </c>
      <c r="H1936" s="3" t="str">
        <f aca="false">Raw_Data!G1936</f>
        <v>yes</v>
      </c>
      <c r="I1936" s="3" t="str">
        <f aca="false">Raw_Data!H1936</f>
        <v>no</v>
      </c>
      <c r="J1936" s="2" t="n">
        <f aca="false">IF(F1936="yes",1,0)</f>
        <v>0</v>
      </c>
      <c r="K1936" s="2" t="n">
        <f aca="false">IF(H1936="yes",1,0)</f>
        <v>1</v>
      </c>
      <c r="L1936" s="2" t="n">
        <f aca="false">IF(I1936="yes",1,0)</f>
        <v>0</v>
      </c>
      <c r="M1936" s="2" t="n">
        <f aca="false">IF(G1936&lt;0,1,0)</f>
        <v>0</v>
      </c>
      <c r="N1936" s="2" t="str">
        <f aca="false">_xlfn.IFS(B1936&lt;30,"Under 30",B1936&lt;40,"30-39",B1936&lt;50,"40-49",B1936&lt;60,"50-59",TRUE(),"60+")</f>
        <v>Under 30</v>
      </c>
      <c r="O1936" s="2" t="str">
        <f aca="false">_xlfn.IFS(G1936&lt;0,"1 Negative",G1936=0,"2 Zero",G1936&lt;=500,"3 1-500",G1936&lt;=2000,"4 501-2000",TRUE(),"5 Above 2000")</f>
        <v>3 1-500</v>
      </c>
      <c r="P1936" s="2" t="n">
        <f aca="false">Lookups!$B$2*M1936+Lookups!$B$3*L1936</f>
        <v>0</v>
      </c>
      <c r="Q1936" s="2" t="str">
        <f aca="false">INDEX(Lookups!$E$2:$E$5,MATCH(P1936,Lookups!$D$2:$D$5,0))</f>
        <v>Low</v>
      </c>
    </row>
    <row r="1937" customFormat="false" ht="15" hidden="false" customHeight="false" outlineLevel="0" collapsed="false">
      <c r="A1937" s="3" t="n">
        <v>1936</v>
      </c>
      <c r="B1937" s="3" t="n">
        <f aca="false">Raw_Data!A1937</f>
        <v>46</v>
      </c>
      <c r="C1937" s="3" t="str">
        <f aca="false">SUBSTITUTE(Raw_Data!B1937,".","")</f>
        <v>entrepreneur</v>
      </c>
      <c r="D1937" s="3" t="str">
        <f aca="false">Raw_Data!C1937</f>
        <v>married</v>
      </c>
      <c r="E1937" s="3" t="str">
        <f aca="false">Raw_Data!D1937</f>
        <v>secondary</v>
      </c>
      <c r="F1937" s="3" t="str">
        <f aca="false">Raw_Data!E1937</f>
        <v>no</v>
      </c>
      <c r="G1937" s="3" t="n">
        <f aca="false">Raw_Data!F1937</f>
        <v>757</v>
      </c>
      <c r="H1937" s="3" t="str">
        <f aca="false">Raw_Data!G1937</f>
        <v>no</v>
      </c>
      <c r="I1937" s="3" t="str">
        <f aca="false">Raw_Data!H1937</f>
        <v>no</v>
      </c>
      <c r="J1937" s="2" t="n">
        <f aca="false">IF(F1937="yes",1,0)</f>
        <v>0</v>
      </c>
      <c r="K1937" s="2" t="n">
        <f aca="false">IF(H1937="yes",1,0)</f>
        <v>0</v>
      </c>
      <c r="L1937" s="2" t="n">
        <f aca="false">IF(I1937="yes",1,0)</f>
        <v>0</v>
      </c>
      <c r="M1937" s="2" t="n">
        <f aca="false">IF(G1937&lt;0,1,0)</f>
        <v>0</v>
      </c>
      <c r="N1937" s="2" t="str">
        <f aca="false">_xlfn.IFS(B1937&lt;30,"Under 30",B1937&lt;40,"30-39",B1937&lt;50,"40-49",B1937&lt;60,"50-59",TRUE(),"60+")</f>
        <v>40-49</v>
      </c>
      <c r="O1937" s="2" t="str">
        <f aca="false">_xlfn.IFS(G1937&lt;0,"1 Negative",G1937=0,"2 Zero",G1937&lt;=500,"3 1-500",G1937&lt;=2000,"4 501-2000",TRUE(),"5 Above 2000")</f>
        <v>4 501-2000</v>
      </c>
      <c r="P1937" s="2" t="n">
        <f aca="false">Lookups!$B$2*M1937+Lookups!$B$3*L1937</f>
        <v>0</v>
      </c>
      <c r="Q1937" s="2" t="str">
        <f aca="false">INDEX(Lookups!$E$2:$E$5,MATCH(P1937,Lookups!$D$2:$D$5,0))</f>
        <v>Low</v>
      </c>
    </row>
    <row r="1938" customFormat="false" ht="15" hidden="false" customHeight="false" outlineLevel="0" collapsed="false">
      <c r="A1938" s="3" t="n">
        <v>1937</v>
      </c>
      <c r="B1938" s="3" t="n">
        <f aca="false">Raw_Data!A1938</f>
        <v>37</v>
      </c>
      <c r="C1938" s="3" t="str">
        <f aca="false">SUBSTITUTE(Raw_Data!B1938,".","")</f>
        <v>management</v>
      </c>
      <c r="D1938" s="3" t="str">
        <f aca="false">Raw_Data!C1938</f>
        <v>single</v>
      </c>
      <c r="E1938" s="3" t="str">
        <f aca="false">Raw_Data!D1938</f>
        <v>tertiary</v>
      </c>
      <c r="F1938" s="3" t="str">
        <f aca="false">Raw_Data!E1938</f>
        <v>no</v>
      </c>
      <c r="G1938" s="3" t="n">
        <f aca="false">Raw_Data!F1938</f>
        <v>695</v>
      </c>
      <c r="H1938" s="3" t="str">
        <f aca="false">Raw_Data!G1938</f>
        <v>no</v>
      </c>
      <c r="I1938" s="3" t="str">
        <f aca="false">Raw_Data!H1938</f>
        <v>no</v>
      </c>
      <c r="J1938" s="2" t="n">
        <f aca="false">IF(F1938="yes",1,0)</f>
        <v>0</v>
      </c>
      <c r="K1938" s="2" t="n">
        <f aca="false">IF(H1938="yes",1,0)</f>
        <v>0</v>
      </c>
      <c r="L1938" s="2" t="n">
        <f aca="false">IF(I1938="yes",1,0)</f>
        <v>0</v>
      </c>
      <c r="M1938" s="2" t="n">
        <f aca="false">IF(G1938&lt;0,1,0)</f>
        <v>0</v>
      </c>
      <c r="N1938" s="2" t="str">
        <f aca="false">_xlfn.IFS(B1938&lt;30,"Under 30",B1938&lt;40,"30-39",B1938&lt;50,"40-49",B1938&lt;60,"50-59",TRUE(),"60+")</f>
        <v>30-39</v>
      </c>
      <c r="O1938" s="2" t="str">
        <f aca="false">_xlfn.IFS(G1938&lt;0,"1 Negative",G1938=0,"2 Zero",G1938&lt;=500,"3 1-500",G1938&lt;=2000,"4 501-2000",TRUE(),"5 Above 2000")</f>
        <v>4 501-2000</v>
      </c>
      <c r="P1938" s="2" t="n">
        <f aca="false">Lookups!$B$2*M1938+Lookups!$B$3*L1938</f>
        <v>0</v>
      </c>
      <c r="Q1938" s="2" t="str">
        <f aca="false">INDEX(Lookups!$E$2:$E$5,MATCH(P1938,Lookups!$D$2:$D$5,0))</f>
        <v>Low</v>
      </c>
    </row>
    <row r="1939" customFormat="false" ht="15" hidden="false" customHeight="false" outlineLevel="0" collapsed="false">
      <c r="A1939" s="3" t="n">
        <v>1938</v>
      </c>
      <c r="B1939" s="3" t="n">
        <f aca="false">Raw_Data!A1939</f>
        <v>30</v>
      </c>
      <c r="C1939" s="3" t="str">
        <f aca="false">SUBSTITUTE(Raw_Data!B1939,".","")</f>
        <v>unemployed</v>
      </c>
      <c r="D1939" s="3" t="str">
        <f aca="false">Raw_Data!C1939</f>
        <v>single</v>
      </c>
      <c r="E1939" s="3" t="str">
        <f aca="false">Raw_Data!D1939</f>
        <v>secondary</v>
      </c>
      <c r="F1939" s="3" t="str">
        <f aca="false">Raw_Data!E1939</f>
        <v>yes</v>
      </c>
      <c r="G1939" s="3" t="n">
        <f aca="false">Raw_Data!F1939</f>
        <v>-770</v>
      </c>
      <c r="H1939" s="3" t="str">
        <f aca="false">Raw_Data!G1939</f>
        <v>yes</v>
      </c>
      <c r="I1939" s="3" t="str">
        <f aca="false">Raw_Data!H1939</f>
        <v>no</v>
      </c>
      <c r="J1939" s="2" t="n">
        <f aca="false">IF(F1939="yes",1,0)</f>
        <v>1</v>
      </c>
      <c r="K1939" s="2" t="n">
        <f aca="false">IF(H1939="yes",1,0)</f>
        <v>1</v>
      </c>
      <c r="L1939" s="2" t="n">
        <f aca="false">IF(I1939="yes",1,0)</f>
        <v>0</v>
      </c>
      <c r="M1939" s="2" t="n">
        <f aca="false">IF(G1939&lt;0,1,0)</f>
        <v>1</v>
      </c>
      <c r="N1939" s="2" t="str">
        <f aca="false">_xlfn.IFS(B1939&lt;30,"Under 30",B1939&lt;40,"30-39",B1939&lt;50,"40-49",B1939&lt;60,"50-59",TRUE(),"60+")</f>
        <v>30-39</v>
      </c>
      <c r="O1939" s="2" t="str">
        <f aca="false">_xlfn.IFS(G1939&lt;0,"1 Negative",G1939=0,"2 Zero",G1939&lt;=500,"3 1-500",G1939&lt;=2000,"4 501-2000",TRUE(),"5 Above 2000")</f>
        <v>1 Negative</v>
      </c>
      <c r="P1939" s="2" t="n">
        <f aca="false">Lookups!$B$2*M1939+Lookups!$B$3*L1939</f>
        <v>2</v>
      </c>
      <c r="Q1939" s="2" t="str">
        <f aca="false">INDEX(Lookups!$E$2:$E$5,MATCH(P1939,Lookups!$D$2:$D$5,0))</f>
        <v>High</v>
      </c>
    </row>
    <row r="1940" customFormat="false" ht="15" hidden="false" customHeight="false" outlineLevel="0" collapsed="false">
      <c r="A1940" s="3" t="n">
        <v>1939</v>
      </c>
      <c r="B1940" s="3" t="n">
        <f aca="false">Raw_Data!A1940</f>
        <v>44</v>
      </c>
      <c r="C1940" s="3" t="str">
        <f aca="false">SUBSTITUTE(Raw_Data!B1940,".","")</f>
        <v>self-employed</v>
      </c>
      <c r="D1940" s="3" t="str">
        <f aca="false">Raw_Data!C1940</f>
        <v>divorced</v>
      </c>
      <c r="E1940" s="3" t="str">
        <f aca="false">Raw_Data!D1940</f>
        <v>secondary</v>
      </c>
      <c r="F1940" s="3" t="str">
        <f aca="false">Raw_Data!E1940</f>
        <v>no</v>
      </c>
      <c r="G1940" s="3" t="n">
        <f aca="false">Raw_Data!F1940</f>
        <v>80</v>
      </c>
      <c r="H1940" s="3" t="str">
        <f aca="false">Raw_Data!G1940</f>
        <v>yes</v>
      </c>
      <c r="I1940" s="3" t="str">
        <f aca="false">Raw_Data!H1940</f>
        <v>yes</v>
      </c>
      <c r="J1940" s="2" t="n">
        <f aca="false">IF(F1940="yes",1,0)</f>
        <v>0</v>
      </c>
      <c r="K1940" s="2" t="n">
        <f aca="false">IF(H1940="yes",1,0)</f>
        <v>1</v>
      </c>
      <c r="L1940" s="2" t="n">
        <f aca="false">IF(I1940="yes",1,0)</f>
        <v>1</v>
      </c>
      <c r="M1940" s="2" t="n">
        <f aca="false">IF(G1940&lt;0,1,0)</f>
        <v>0</v>
      </c>
      <c r="N1940" s="2" t="str">
        <f aca="false">_xlfn.IFS(B1940&lt;30,"Under 30",B1940&lt;40,"30-39",B1940&lt;50,"40-49",B1940&lt;60,"50-59",TRUE(),"60+")</f>
        <v>40-49</v>
      </c>
      <c r="O1940" s="2" t="str">
        <f aca="false">_xlfn.IFS(G1940&lt;0,"1 Negative",G1940=0,"2 Zero",G1940&lt;=500,"3 1-500",G1940&lt;=2000,"4 501-2000",TRUE(),"5 Above 2000")</f>
        <v>3 1-500</v>
      </c>
      <c r="P1940" s="2" t="n">
        <f aca="false">Lookups!$B$2*M1940+Lookups!$B$3*L1940</f>
        <v>1</v>
      </c>
      <c r="Q1940" s="2" t="str">
        <f aca="false">INDEX(Lookups!$E$2:$E$5,MATCH(P1940,Lookups!$D$2:$D$5,0))</f>
        <v>Medium</v>
      </c>
    </row>
    <row r="1941" customFormat="false" ht="15" hidden="false" customHeight="false" outlineLevel="0" collapsed="false">
      <c r="A1941" s="3" t="n">
        <v>1940</v>
      </c>
      <c r="B1941" s="3" t="n">
        <f aca="false">Raw_Data!A1941</f>
        <v>45</v>
      </c>
      <c r="C1941" s="3" t="str">
        <f aca="false">SUBSTITUTE(Raw_Data!B1941,".","")</f>
        <v>technician</v>
      </c>
      <c r="D1941" s="3" t="str">
        <f aca="false">Raw_Data!C1941</f>
        <v>married</v>
      </c>
      <c r="E1941" s="3" t="str">
        <f aca="false">Raw_Data!D1941</f>
        <v>secondary</v>
      </c>
      <c r="F1941" s="3" t="str">
        <f aca="false">Raw_Data!E1941</f>
        <v>no</v>
      </c>
      <c r="G1941" s="3" t="n">
        <f aca="false">Raw_Data!F1941</f>
        <v>315</v>
      </c>
      <c r="H1941" s="3" t="str">
        <f aca="false">Raw_Data!G1941</f>
        <v>yes</v>
      </c>
      <c r="I1941" s="3" t="str">
        <f aca="false">Raw_Data!H1941</f>
        <v>no</v>
      </c>
      <c r="J1941" s="2" t="n">
        <f aca="false">IF(F1941="yes",1,0)</f>
        <v>0</v>
      </c>
      <c r="K1941" s="2" t="n">
        <f aca="false">IF(H1941="yes",1,0)</f>
        <v>1</v>
      </c>
      <c r="L1941" s="2" t="n">
        <f aca="false">IF(I1941="yes",1,0)</f>
        <v>0</v>
      </c>
      <c r="M1941" s="2" t="n">
        <f aca="false">IF(G1941&lt;0,1,0)</f>
        <v>0</v>
      </c>
      <c r="N1941" s="2" t="str">
        <f aca="false">_xlfn.IFS(B1941&lt;30,"Under 30",B1941&lt;40,"30-39",B1941&lt;50,"40-49",B1941&lt;60,"50-59",TRUE(),"60+")</f>
        <v>40-49</v>
      </c>
      <c r="O1941" s="2" t="str">
        <f aca="false">_xlfn.IFS(G1941&lt;0,"1 Negative",G1941=0,"2 Zero",G1941&lt;=500,"3 1-500",G1941&lt;=2000,"4 501-2000",TRUE(),"5 Above 2000")</f>
        <v>3 1-500</v>
      </c>
      <c r="P1941" s="2" t="n">
        <f aca="false">Lookups!$B$2*M1941+Lookups!$B$3*L1941</f>
        <v>0</v>
      </c>
      <c r="Q1941" s="2" t="str">
        <f aca="false">INDEX(Lookups!$E$2:$E$5,MATCH(P1941,Lookups!$D$2:$D$5,0))</f>
        <v>Low</v>
      </c>
    </row>
    <row r="1942" customFormat="false" ht="15" hidden="false" customHeight="false" outlineLevel="0" collapsed="false">
      <c r="A1942" s="3" t="n">
        <v>1941</v>
      </c>
      <c r="B1942" s="3" t="n">
        <f aca="false">Raw_Data!A1942</f>
        <v>27</v>
      </c>
      <c r="C1942" s="3" t="str">
        <f aca="false">SUBSTITUTE(Raw_Data!B1942,".","")</f>
        <v>student</v>
      </c>
      <c r="D1942" s="3" t="str">
        <f aca="false">Raw_Data!C1942</f>
        <v>single</v>
      </c>
      <c r="E1942" s="3" t="str">
        <f aca="false">Raw_Data!D1942</f>
        <v>secondary</v>
      </c>
      <c r="F1942" s="3" t="str">
        <f aca="false">Raw_Data!E1942</f>
        <v>no</v>
      </c>
      <c r="G1942" s="3" t="n">
        <f aca="false">Raw_Data!F1942</f>
        <v>213</v>
      </c>
      <c r="H1942" s="3" t="str">
        <f aca="false">Raw_Data!G1942</f>
        <v>no</v>
      </c>
      <c r="I1942" s="3" t="str">
        <f aca="false">Raw_Data!H1942</f>
        <v>no</v>
      </c>
      <c r="J1942" s="2" t="n">
        <f aca="false">IF(F1942="yes",1,0)</f>
        <v>0</v>
      </c>
      <c r="K1942" s="2" t="n">
        <f aca="false">IF(H1942="yes",1,0)</f>
        <v>0</v>
      </c>
      <c r="L1942" s="2" t="n">
        <f aca="false">IF(I1942="yes",1,0)</f>
        <v>0</v>
      </c>
      <c r="M1942" s="2" t="n">
        <f aca="false">IF(G1942&lt;0,1,0)</f>
        <v>0</v>
      </c>
      <c r="N1942" s="2" t="str">
        <f aca="false">_xlfn.IFS(B1942&lt;30,"Under 30",B1942&lt;40,"30-39",B1942&lt;50,"40-49",B1942&lt;60,"50-59",TRUE(),"60+")</f>
        <v>Under 30</v>
      </c>
      <c r="O1942" s="2" t="str">
        <f aca="false">_xlfn.IFS(G1942&lt;0,"1 Negative",G1942=0,"2 Zero",G1942&lt;=500,"3 1-500",G1942&lt;=2000,"4 501-2000",TRUE(),"5 Above 2000")</f>
        <v>3 1-500</v>
      </c>
      <c r="P1942" s="2" t="n">
        <f aca="false">Lookups!$B$2*M1942+Lookups!$B$3*L1942</f>
        <v>0</v>
      </c>
      <c r="Q1942" s="2" t="str">
        <f aca="false">INDEX(Lookups!$E$2:$E$5,MATCH(P1942,Lookups!$D$2:$D$5,0))</f>
        <v>Low</v>
      </c>
    </row>
    <row r="1943" customFormat="false" ht="15" hidden="false" customHeight="false" outlineLevel="0" collapsed="false">
      <c r="A1943" s="3" t="n">
        <v>1942</v>
      </c>
      <c r="B1943" s="3" t="n">
        <f aca="false">Raw_Data!A1943</f>
        <v>57</v>
      </c>
      <c r="C1943" s="3" t="str">
        <f aca="false">SUBSTITUTE(Raw_Data!B1943,".","")</f>
        <v>housemaid</v>
      </c>
      <c r="D1943" s="3" t="str">
        <f aca="false">Raw_Data!C1943</f>
        <v>married</v>
      </c>
      <c r="E1943" s="3" t="str">
        <f aca="false">Raw_Data!D1943</f>
        <v>primary</v>
      </c>
      <c r="F1943" s="3" t="str">
        <f aca="false">Raw_Data!E1943</f>
        <v>no</v>
      </c>
      <c r="G1943" s="3" t="n">
        <f aca="false">Raw_Data!F1943</f>
        <v>0</v>
      </c>
      <c r="H1943" s="3" t="str">
        <f aca="false">Raw_Data!G1943</f>
        <v>no</v>
      </c>
      <c r="I1943" s="3" t="str">
        <f aca="false">Raw_Data!H1943</f>
        <v>no</v>
      </c>
      <c r="J1943" s="2" t="n">
        <f aca="false">IF(F1943="yes",1,0)</f>
        <v>0</v>
      </c>
      <c r="K1943" s="2" t="n">
        <f aca="false">IF(H1943="yes",1,0)</f>
        <v>0</v>
      </c>
      <c r="L1943" s="2" t="n">
        <f aca="false">IF(I1943="yes",1,0)</f>
        <v>0</v>
      </c>
      <c r="M1943" s="2" t="n">
        <f aca="false">IF(G1943&lt;0,1,0)</f>
        <v>0</v>
      </c>
      <c r="N1943" s="2" t="str">
        <f aca="false">_xlfn.IFS(B1943&lt;30,"Under 30",B1943&lt;40,"30-39",B1943&lt;50,"40-49",B1943&lt;60,"50-59",TRUE(),"60+")</f>
        <v>50-59</v>
      </c>
      <c r="O1943" s="2" t="str">
        <f aca="false">_xlfn.IFS(G1943&lt;0,"1 Negative",G1943=0,"2 Zero",G1943&lt;=500,"3 1-500",G1943&lt;=2000,"4 501-2000",TRUE(),"5 Above 2000")</f>
        <v>2 Zero</v>
      </c>
      <c r="P1943" s="2" t="n">
        <f aca="false">Lookups!$B$2*M1943+Lookups!$B$3*L1943</f>
        <v>0</v>
      </c>
      <c r="Q1943" s="2" t="str">
        <f aca="false">INDEX(Lookups!$E$2:$E$5,MATCH(P1943,Lookups!$D$2:$D$5,0))</f>
        <v>Low</v>
      </c>
    </row>
    <row r="1944" customFormat="false" ht="15" hidden="false" customHeight="false" outlineLevel="0" collapsed="false">
      <c r="A1944" s="3" t="n">
        <v>1943</v>
      </c>
      <c r="B1944" s="3" t="n">
        <f aca="false">Raw_Data!A1944</f>
        <v>66</v>
      </c>
      <c r="C1944" s="3" t="str">
        <f aca="false">SUBSTITUTE(Raw_Data!B1944,".","")</f>
        <v>management</v>
      </c>
      <c r="D1944" s="3" t="str">
        <f aca="false">Raw_Data!C1944</f>
        <v>married</v>
      </c>
      <c r="E1944" s="3" t="str">
        <f aca="false">Raw_Data!D1944</f>
        <v>tertiary</v>
      </c>
      <c r="F1944" s="3" t="str">
        <f aca="false">Raw_Data!E1944</f>
        <v>no</v>
      </c>
      <c r="G1944" s="3" t="n">
        <f aca="false">Raw_Data!F1944</f>
        <v>2169</v>
      </c>
      <c r="H1944" s="3" t="str">
        <f aca="false">Raw_Data!G1944</f>
        <v>no</v>
      </c>
      <c r="I1944" s="3" t="str">
        <f aca="false">Raw_Data!H1944</f>
        <v>no</v>
      </c>
      <c r="J1944" s="2" t="n">
        <f aca="false">IF(F1944="yes",1,0)</f>
        <v>0</v>
      </c>
      <c r="K1944" s="2" t="n">
        <f aca="false">IF(H1944="yes",1,0)</f>
        <v>0</v>
      </c>
      <c r="L1944" s="2" t="n">
        <f aca="false">IF(I1944="yes",1,0)</f>
        <v>0</v>
      </c>
      <c r="M1944" s="2" t="n">
        <f aca="false">IF(G1944&lt;0,1,0)</f>
        <v>0</v>
      </c>
      <c r="N1944" s="2" t="str">
        <f aca="false">_xlfn.IFS(B1944&lt;30,"Under 30",B1944&lt;40,"30-39",B1944&lt;50,"40-49",B1944&lt;60,"50-59",TRUE(),"60+")</f>
        <v>60+</v>
      </c>
      <c r="O1944" s="2" t="str">
        <f aca="false">_xlfn.IFS(G1944&lt;0,"1 Negative",G1944=0,"2 Zero",G1944&lt;=500,"3 1-500",G1944&lt;=2000,"4 501-2000",TRUE(),"5 Above 2000")</f>
        <v>5 Above 2000</v>
      </c>
      <c r="P1944" s="2" t="n">
        <f aca="false">Lookups!$B$2*M1944+Lookups!$B$3*L1944</f>
        <v>0</v>
      </c>
      <c r="Q1944" s="2" t="str">
        <f aca="false">INDEX(Lookups!$E$2:$E$5,MATCH(P1944,Lookups!$D$2:$D$5,0))</f>
        <v>Low</v>
      </c>
    </row>
    <row r="1945" customFormat="false" ht="15" hidden="false" customHeight="false" outlineLevel="0" collapsed="false">
      <c r="A1945" s="3" t="n">
        <v>1944</v>
      </c>
      <c r="B1945" s="3" t="n">
        <f aca="false">Raw_Data!A1945</f>
        <v>40</v>
      </c>
      <c r="C1945" s="3" t="str">
        <f aca="false">SUBSTITUTE(Raw_Data!B1945,".","")</f>
        <v>admin</v>
      </c>
      <c r="D1945" s="3" t="str">
        <f aca="false">Raw_Data!C1945</f>
        <v>divorced</v>
      </c>
      <c r="E1945" s="3" t="str">
        <f aca="false">Raw_Data!D1945</f>
        <v>secondary</v>
      </c>
      <c r="F1945" s="3" t="str">
        <f aca="false">Raw_Data!E1945</f>
        <v>no</v>
      </c>
      <c r="G1945" s="3" t="n">
        <f aca="false">Raw_Data!F1945</f>
        <v>212</v>
      </c>
      <c r="H1945" s="3" t="str">
        <f aca="false">Raw_Data!G1945</f>
        <v>no</v>
      </c>
      <c r="I1945" s="3" t="str">
        <f aca="false">Raw_Data!H1945</f>
        <v>no</v>
      </c>
      <c r="J1945" s="2" t="n">
        <f aca="false">IF(F1945="yes",1,0)</f>
        <v>0</v>
      </c>
      <c r="K1945" s="2" t="n">
        <f aca="false">IF(H1945="yes",1,0)</f>
        <v>0</v>
      </c>
      <c r="L1945" s="2" t="n">
        <f aca="false">IF(I1945="yes",1,0)</f>
        <v>0</v>
      </c>
      <c r="M1945" s="2" t="n">
        <f aca="false">IF(G1945&lt;0,1,0)</f>
        <v>0</v>
      </c>
      <c r="N1945" s="2" t="str">
        <f aca="false">_xlfn.IFS(B1945&lt;30,"Under 30",B1945&lt;40,"30-39",B1945&lt;50,"40-49",B1945&lt;60,"50-59",TRUE(),"60+")</f>
        <v>40-49</v>
      </c>
      <c r="O1945" s="2" t="str">
        <f aca="false">_xlfn.IFS(G1945&lt;0,"1 Negative",G1945=0,"2 Zero",G1945&lt;=500,"3 1-500",G1945&lt;=2000,"4 501-2000",TRUE(),"5 Above 2000")</f>
        <v>3 1-500</v>
      </c>
      <c r="P1945" s="2" t="n">
        <f aca="false">Lookups!$B$2*M1945+Lookups!$B$3*L1945</f>
        <v>0</v>
      </c>
      <c r="Q1945" s="2" t="str">
        <f aca="false">INDEX(Lookups!$E$2:$E$5,MATCH(P1945,Lookups!$D$2:$D$5,0))</f>
        <v>Low</v>
      </c>
    </row>
    <row r="1946" customFormat="false" ht="15" hidden="false" customHeight="false" outlineLevel="0" collapsed="false">
      <c r="A1946" s="3" t="n">
        <v>1945</v>
      </c>
      <c r="B1946" s="3" t="n">
        <f aca="false">Raw_Data!A1946</f>
        <v>48</v>
      </c>
      <c r="C1946" s="3" t="str">
        <f aca="false">SUBSTITUTE(Raw_Data!B1946,".","")</f>
        <v>blue-collar</v>
      </c>
      <c r="D1946" s="3" t="str">
        <f aca="false">Raw_Data!C1946</f>
        <v>married</v>
      </c>
      <c r="E1946" s="3" t="str">
        <f aca="false">Raw_Data!D1946</f>
        <v>secondary</v>
      </c>
      <c r="F1946" s="3" t="str">
        <f aca="false">Raw_Data!E1946</f>
        <v>no</v>
      </c>
      <c r="G1946" s="3" t="n">
        <f aca="false">Raw_Data!F1946</f>
        <v>333</v>
      </c>
      <c r="H1946" s="3" t="str">
        <f aca="false">Raw_Data!G1946</f>
        <v>yes</v>
      </c>
      <c r="I1946" s="3" t="str">
        <f aca="false">Raw_Data!H1946</f>
        <v>no</v>
      </c>
      <c r="J1946" s="2" t="n">
        <f aca="false">IF(F1946="yes",1,0)</f>
        <v>0</v>
      </c>
      <c r="K1946" s="2" t="n">
        <f aca="false">IF(H1946="yes",1,0)</f>
        <v>1</v>
      </c>
      <c r="L1946" s="2" t="n">
        <f aca="false">IF(I1946="yes",1,0)</f>
        <v>0</v>
      </c>
      <c r="M1946" s="2" t="n">
        <f aca="false">IF(G1946&lt;0,1,0)</f>
        <v>0</v>
      </c>
      <c r="N1946" s="2" t="str">
        <f aca="false">_xlfn.IFS(B1946&lt;30,"Under 30",B1946&lt;40,"30-39",B1946&lt;50,"40-49",B1946&lt;60,"50-59",TRUE(),"60+")</f>
        <v>40-49</v>
      </c>
      <c r="O1946" s="2" t="str">
        <f aca="false">_xlfn.IFS(G1946&lt;0,"1 Negative",G1946=0,"2 Zero",G1946&lt;=500,"3 1-500",G1946&lt;=2000,"4 501-2000",TRUE(),"5 Above 2000")</f>
        <v>3 1-500</v>
      </c>
      <c r="P1946" s="2" t="n">
        <f aca="false">Lookups!$B$2*M1946+Lookups!$B$3*L1946</f>
        <v>0</v>
      </c>
      <c r="Q1946" s="2" t="str">
        <f aca="false">INDEX(Lookups!$E$2:$E$5,MATCH(P1946,Lookups!$D$2:$D$5,0))</f>
        <v>Low</v>
      </c>
    </row>
    <row r="1947" customFormat="false" ht="15" hidden="false" customHeight="false" outlineLevel="0" collapsed="false">
      <c r="A1947" s="3" t="n">
        <v>1946</v>
      </c>
      <c r="B1947" s="3" t="n">
        <f aca="false">Raw_Data!A1947</f>
        <v>33</v>
      </c>
      <c r="C1947" s="3" t="str">
        <f aca="false">SUBSTITUTE(Raw_Data!B1947,".","")</f>
        <v>blue-collar</v>
      </c>
      <c r="D1947" s="3" t="str">
        <f aca="false">Raw_Data!C1947</f>
        <v>single</v>
      </c>
      <c r="E1947" s="3" t="str">
        <f aca="false">Raw_Data!D1947</f>
        <v>secondary</v>
      </c>
      <c r="F1947" s="3" t="str">
        <f aca="false">Raw_Data!E1947</f>
        <v>no</v>
      </c>
      <c r="G1947" s="3" t="n">
        <f aca="false">Raw_Data!F1947</f>
        <v>4404</v>
      </c>
      <c r="H1947" s="3" t="str">
        <f aca="false">Raw_Data!G1947</f>
        <v>yes</v>
      </c>
      <c r="I1947" s="3" t="str">
        <f aca="false">Raw_Data!H1947</f>
        <v>no</v>
      </c>
      <c r="J1947" s="2" t="n">
        <f aca="false">IF(F1947="yes",1,0)</f>
        <v>0</v>
      </c>
      <c r="K1947" s="2" t="n">
        <f aca="false">IF(H1947="yes",1,0)</f>
        <v>1</v>
      </c>
      <c r="L1947" s="2" t="n">
        <f aca="false">IF(I1947="yes",1,0)</f>
        <v>0</v>
      </c>
      <c r="M1947" s="2" t="n">
        <f aca="false">IF(G1947&lt;0,1,0)</f>
        <v>0</v>
      </c>
      <c r="N1947" s="2" t="str">
        <f aca="false">_xlfn.IFS(B1947&lt;30,"Under 30",B1947&lt;40,"30-39",B1947&lt;50,"40-49",B1947&lt;60,"50-59",TRUE(),"60+")</f>
        <v>30-39</v>
      </c>
      <c r="O1947" s="2" t="str">
        <f aca="false">_xlfn.IFS(G1947&lt;0,"1 Negative",G1947=0,"2 Zero",G1947&lt;=500,"3 1-500",G1947&lt;=2000,"4 501-2000",TRUE(),"5 Above 2000")</f>
        <v>5 Above 2000</v>
      </c>
      <c r="P1947" s="2" t="n">
        <f aca="false">Lookups!$B$2*M1947+Lookups!$B$3*L1947</f>
        <v>0</v>
      </c>
      <c r="Q1947" s="2" t="str">
        <f aca="false">INDEX(Lookups!$E$2:$E$5,MATCH(P1947,Lookups!$D$2:$D$5,0))</f>
        <v>Low</v>
      </c>
    </row>
    <row r="1948" customFormat="false" ht="15" hidden="false" customHeight="false" outlineLevel="0" collapsed="false">
      <c r="A1948" s="3" t="n">
        <v>1947</v>
      </c>
      <c r="B1948" s="3" t="n">
        <f aca="false">Raw_Data!A1948</f>
        <v>42</v>
      </c>
      <c r="C1948" s="3" t="str">
        <f aca="false">SUBSTITUTE(Raw_Data!B1948,".","")</f>
        <v>services</v>
      </c>
      <c r="D1948" s="3" t="str">
        <f aca="false">Raw_Data!C1948</f>
        <v>divorced</v>
      </c>
      <c r="E1948" s="3" t="str">
        <f aca="false">Raw_Data!D1948</f>
        <v>secondary</v>
      </c>
      <c r="F1948" s="3" t="str">
        <f aca="false">Raw_Data!E1948</f>
        <v>no</v>
      </c>
      <c r="G1948" s="3" t="n">
        <f aca="false">Raw_Data!F1948</f>
        <v>257</v>
      </c>
      <c r="H1948" s="3" t="str">
        <f aca="false">Raw_Data!G1948</f>
        <v>yes</v>
      </c>
      <c r="I1948" s="3" t="str">
        <f aca="false">Raw_Data!H1948</f>
        <v>no</v>
      </c>
      <c r="J1948" s="2" t="n">
        <f aca="false">IF(F1948="yes",1,0)</f>
        <v>0</v>
      </c>
      <c r="K1948" s="2" t="n">
        <f aca="false">IF(H1948="yes",1,0)</f>
        <v>1</v>
      </c>
      <c r="L1948" s="2" t="n">
        <f aca="false">IF(I1948="yes",1,0)</f>
        <v>0</v>
      </c>
      <c r="M1948" s="2" t="n">
        <f aca="false">IF(G1948&lt;0,1,0)</f>
        <v>0</v>
      </c>
      <c r="N1948" s="2" t="str">
        <f aca="false">_xlfn.IFS(B1948&lt;30,"Under 30",B1948&lt;40,"30-39",B1948&lt;50,"40-49",B1948&lt;60,"50-59",TRUE(),"60+")</f>
        <v>40-49</v>
      </c>
      <c r="O1948" s="2" t="str">
        <f aca="false">_xlfn.IFS(G1948&lt;0,"1 Negative",G1948=0,"2 Zero",G1948&lt;=500,"3 1-500",G1948&lt;=2000,"4 501-2000",TRUE(),"5 Above 2000")</f>
        <v>3 1-500</v>
      </c>
      <c r="P1948" s="2" t="n">
        <f aca="false">Lookups!$B$2*M1948+Lookups!$B$3*L1948</f>
        <v>0</v>
      </c>
      <c r="Q1948" s="2" t="str">
        <f aca="false">INDEX(Lookups!$E$2:$E$5,MATCH(P1948,Lookups!$D$2:$D$5,0))</f>
        <v>Low</v>
      </c>
    </row>
    <row r="1949" customFormat="false" ht="15" hidden="false" customHeight="false" outlineLevel="0" collapsed="false">
      <c r="A1949" s="3" t="n">
        <v>1948</v>
      </c>
      <c r="B1949" s="3" t="n">
        <f aca="false">Raw_Data!A1949</f>
        <v>47</v>
      </c>
      <c r="C1949" s="3" t="str">
        <f aca="false">SUBSTITUTE(Raw_Data!B1949,".","")</f>
        <v>unemployed</v>
      </c>
      <c r="D1949" s="3" t="str">
        <f aca="false">Raw_Data!C1949</f>
        <v>married</v>
      </c>
      <c r="E1949" s="3" t="str">
        <f aca="false">Raw_Data!D1949</f>
        <v>secondary</v>
      </c>
      <c r="F1949" s="3" t="str">
        <f aca="false">Raw_Data!E1949</f>
        <v>no</v>
      </c>
      <c r="G1949" s="3" t="n">
        <f aca="false">Raw_Data!F1949</f>
        <v>3188</v>
      </c>
      <c r="H1949" s="3" t="str">
        <f aca="false">Raw_Data!G1949</f>
        <v>yes</v>
      </c>
      <c r="I1949" s="3" t="str">
        <f aca="false">Raw_Data!H1949</f>
        <v>no</v>
      </c>
      <c r="J1949" s="2" t="n">
        <f aca="false">IF(F1949="yes",1,0)</f>
        <v>0</v>
      </c>
      <c r="K1949" s="2" t="n">
        <f aca="false">IF(H1949="yes",1,0)</f>
        <v>1</v>
      </c>
      <c r="L1949" s="2" t="n">
        <f aca="false">IF(I1949="yes",1,0)</f>
        <v>0</v>
      </c>
      <c r="M1949" s="2" t="n">
        <f aca="false">IF(G1949&lt;0,1,0)</f>
        <v>0</v>
      </c>
      <c r="N1949" s="2" t="str">
        <f aca="false">_xlfn.IFS(B1949&lt;30,"Under 30",B1949&lt;40,"30-39",B1949&lt;50,"40-49",B1949&lt;60,"50-59",TRUE(),"60+")</f>
        <v>40-49</v>
      </c>
      <c r="O1949" s="2" t="str">
        <f aca="false">_xlfn.IFS(G1949&lt;0,"1 Negative",G1949=0,"2 Zero",G1949&lt;=500,"3 1-500",G1949&lt;=2000,"4 501-2000",TRUE(),"5 Above 2000")</f>
        <v>5 Above 2000</v>
      </c>
      <c r="P1949" s="2" t="n">
        <f aca="false">Lookups!$B$2*M1949+Lookups!$B$3*L1949</f>
        <v>0</v>
      </c>
      <c r="Q1949" s="2" t="str">
        <f aca="false">INDEX(Lookups!$E$2:$E$5,MATCH(P1949,Lookups!$D$2:$D$5,0))</f>
        <v>Low</v>
      </c>
    </row>
    <row r="1950" customFormat="false" ht="15" hidden="false" customHeight="false" outlineLevel="0" collapsed="false">
      <c r="A1950" s="3" t="n">
        <v>1949</v>
      </c>
      <c r="B1950" s="3" t="n">
        <f aca="false">Raw_Data!A1950</f>
        <v>27</v>
      </c>
      <c r="C1950" s="3" t="str">
        <f aca="false">SUBSTITUTE(Raw_Data!B1950,".","")</f>
        <v>technician</v>
      </c>
      <c r="D1950" s="3" t="str">
        <f aca="false">Raw_Data!C1950</f>
        <v>single</v>
      </c>
      <c r="E1950" s="3" t="str">
        <f aca="false">Raw_Data!D1950</f>
        <v>tertiary</v>
      </c>
      <c r="F1950" s="3" t="str">
        <f aca="false">Raw_Data!E1950</f>
        <v>no</v>
      </c>
      <c r="G1950" s="3" t="n">
        <f aca="false">Raw_Data!F1950</f>
        <v>3083</v>
      </c>
      <c r="H1950" s="3" t="str">
        <f aca="false">Raw_Data!G1950</f>
        <v>yes</v>
      </c>
      <c r="I1950" s="3" t="str">
        <f aca="false">Raw_Data!H1950</f>
        <v>no</v>
      </c>
      <c r="J1950" s="2" t="n">
        <f aca="false">IF(F1950="yes",1,0)</f>
        <v>0</v>
      </c>
      <c r="K1950" s="2" t="n">
        <f aca="false">IF(H1950="yes",1,0)</f>
        <v>1</v>
      </c>
      <c r="L1950" s="2" t="n">
        <f aca="false">IF(I1950="yes",1,0)</f>
        <v>0</v>
      </c>
      <c r="M1950" s="2" t="n">
        <f aca="false">IF(G1950&lt;0,1,0)</f>
        <v>0</v>
      </c>
      <c r="N1950" s="2" t="str">
        <f aca="false">_xlfn.IFS(B1950&lt;30,"Under 30",B1950&lt;40,"30-39",B1950&lt;50,"40-49",B1950&lt;60,"50-59",TRUE(),"60+")</f>
        <v>Under 30</v>
      </c>
      <c r="O1950" s="2" t="str">
        <f aca="false">_xlfn.IFS(G1950&lt;0,"1 Negative",G1950=0,"2 Zero",G1950&lt;=500,"3 1-500",G1950&lt;=2000,"4 501-2000",TRUE(),"5 Above 2000")</f>
        <v>5 Above 2000</v>
      </c>
      <c r="P1950" s="2" t="n">
        <f aca="false">Lookups!$B$2*M1950+Lookups!$B$3*L1950</f>
        <v>0</v>
      </c>
      <c r="Q1950" s="2" t="str">
        <f aca="false">INDEX(Lookups!$E$2:$E$5,MATCH(P1950,Lookups!$D$2:$D$5,0))</f>
        <v>Low</v>
      </c>
    </row>
    <row r="1951" customFormat="false" ht="15" hidden="false" customHeight="false" outlineLevel="0" collapsed="false">
      <c r="A1951" s="3" t="n">
        <v>1950</v>
      </c>
      <c r="B1951" s="3" t="n">
        <f aca="false">Raw_Data!A1951</f>
        <v>78</v>
      </c>
      <c r="C1951" s="3" t="str">
        <f aca="false">SUBSTITUTE(Raw_Data!B1951,".","")</f>
        <v>retired</v>
      </c>
      <c r="D1951" s="3" t="str">
        <f aca="false">Raw_Data!C1951</f>
        <v>married</v>
      </c>
      <c r="E1951" s="3" t="str">
        <f aca="false">Raw_Data!D1951</f>
        <v>tertiary</v>
      </c>
      <c r="F1951" s="3" t="str">
        <f aca="false">Raw_Data!E1951</f>
        <v>no</v>
      </c>
      <c r="G1951" s="3" t="n">
        <f aca="false">Raw_Data!F1951</f>
        <v>226</v>
      </c>
      <c r="H1951" s="3" t="str">
        <f aca="false">Raw_Data!G1951</f>
        <v>no</v>
      </c>
      <c r="I1951" s="3" t="str">
        <f aca="false">Raw_Data!H1951</f>
        <v>no</v>
      </c>
      <c r="J1951" s="2" t="n">
        <f aca="false">IF(F1951="yes",1,0)</f>
        <v>0</v>
      </c>
      <c r="K1951" s="2" t="n">
        <f aca="false">IF(H1951="yes",1,0)</f>
        <v>0</v>
      </c>
      <c r="L1951" s="2" t="n">
        <f aca="false">IF(I1951="yes",1,0)</f>
        <v>0</v>
      </c>
      <c r="M1951" s="2" t="n">
        <f aca="false">IF(G1951&lt;0,1,0)</f>
        <v>0</v>
      </c>
      <c r="N1951" s="2" t="str">
        <f aca="false">_xlfn.IFS(B1951&lt;30,"Under 30",B1951&lt;40,"30-39",B1951&lt;50,"40-49",B1951&lt;60,"50-59",TRUE(),"60+")</f>
        <v>60+</v>
      </c>
      <c r="O1951" s="2" t="str">
        <f aca="false">_xlfn.IFS(G1951&lt;0,"1 Negative",G1951=0,"2 Zero",G1951&lt;=500,"3 1-500",G1951&lt;=2000,"4 501-2000",TRUE(),"5 Above 2000")</f>
        <v>3 1-500</v>
      </c>
      <c r="P1951" s="2" t="n">
        <f aca="false">Lookups!$B$2*M1951+Lookups!$B$3*L1951</f>
        <v>0</v>
      </c>
      <c r="Q1951" s="2" t="str">
        <f aca="false">INDEX(Lookups!$E$2:$E$5,MATCH(P1951,Lookups!$D$2:$D$5,0))</f>
        <v>Low</v>
      </c>
    </row>
    <row r="1952" customFormat="false" ht="15" hidden="false" customHeight="false" outlineLevel="0" collapsed="false">
      <c r="A1952" s="3" t="n">
        <v>1951</v>
      </c>
      <c r="B1952" s="3" t="n">
        <f aca="false">Raw_Data!A1952</f>
        <v>50</v>
      </c>
      <c r="C1952" s="3" t="str">
        <f aca="false">SUBSTITUTE(Raw_Data!B1952,".","")</f>
        <v>services</v>
      </c>
      <c r="D1952" s="3" t="str">
        <f aca="false">Raw_Data!C1952</f>
        <v>married</v>
      </c>
      <c r="E1952" s="3" t="str">
        <f aca="false">Raw_Data!D1952</f>
        <v>primary</v>
      </c>
      <c r="F1952" s="3" t="str">
        <f aca="false">Raw_Data!E1952</f>
        <v>no</v>
      </c>
      <c r="G1952" s="3" t="n">
        <f aca="false">Raw_Data!F1952</f>
        <v>1260</v>
      </c>
      <c r="H1952" s="3" t="str">
        <f aca="false">Raw_Data!G1952</f>
        <v>no</v>
      </c>
      <c r="I1952" s="3" t="str">
        <f aca="false">Raw_Data!H1952</f>
        <v>no</v>
      </c>
      <c r="J1952" s="2" t="n">
        <f aca="false">IF(F1952="yes",1,0)</f>
        <v>0</v>
      </c>
      <c r="K1952" s="2" t="n">
        <f aca="false">IF(H1952="yes",1,0)</f>
        <v>0</v>
      </c>
      <c r="L1952" s="2" t="n">
        <f aca="false">IF(I1952="yes",1,0)</f>
        <v>0</v>
      </c>
      <c r="M1952" s="2" t="n">
        <f aca="false">IF(G1952&lt;0,1,0)</f>
        <v>0</v>
      </c>
      <c r="N1952" s="2" t="str">
        <f aca="false">_xlfn.IFS(B1952&lt;30,"Under 30",B1952&lt;40,"30-39",B1952&lt;50,"40-49",B1952&lt;60,"50-59",TRUE(),"60+")</f>
        <v>50-59</v>
      </c>
      <c r="O1952" s="2" t="str">
        <f aca="false">_xlfn.IFS(G1952&lt;0,"1 Negative",G1952=0,"2 Zero",G1952&lt;=500,"3 1-500",G1952&lt;=2000,"4 501-2000",TRUE(),"5 Above 2000")</f>
        <v>4 501-2000</v>
      </c>
      <c r="P1952" s="2" t="n">
        <f aca="false">Lookups!$B$2*M1952+Lookups!$B$3*L1952</f>
        <v>0</v>
      </c>
      <c r="Q1952" s="2" t="str">
        <f aca="false">INDEX(Lookups!$E$2:$E$5,MATCH(P1952,Lookups!$D$2:$D$5,0))</f>
        <v>Low</v>
      </c>
    </row>
    <row r="1953" customFormat="false" ht="15" hidden="false" customHeight="false" outlineLevel="0" collapsed="false">
      <c r="A1953" s="3" t="n">
        <v>1952</v>
      </c>
      <c r="B1953" s="3" t="n">
        <f aca="false">Raw_Data!A1953</f>
        <v>46</v>
      </c>
      <c r="C1953" s="3" t="str">
        <f aca="false">SUBSTITUTE(Raw_Data!B1953,".","")</f>
        <v>entrepreneur</v>
      </c>
      <c r="D1953" s="3" t="str">
        <f aca="false">Raw_Data!C1953</f>
        <v>single</v>
      </c>
      <c r="E1953" s="3" t="str">
        <f aca="false">Raw_Data!D1953</f>
        <v>tertiary</v>
      </c>
      <c r="F1953" s="3" t="str">
        <f aca="false">Raw_Data!E1953</f>
        <v>no</v>
      </c>
      <c r="G1953" s="3" t="n">
        <f aca="false">Raw_Data!F1953</f>
        <v>1410</v>
      </c>
      <c r="H1953" s="3" t="str">
        <f aca="false">Raw_Data!G1953</f>
        <v>yes</v>
      </c>
      <c r="I1953" s="3" t="str">
        <f aca="false">Raw_Data!H1953</f>
        <v>no</v>
      </c>
      <c r="J1953" s="2" t="n">
        <f aca="false">IF(F1953="yes",1,0)</f>
        <v>0</v>
      </c>
      <c r="K1953" s="2" t="n">
        <f aca="false">IF(H1953="yes",1,0)</f>
        <v>1</v>
      </c>
      <c r="L1953" s="2" t="n">
        <f aca="false">IF(I1953="yes",1,0)</f>
        <v>0</v>
      </c>
      <c r="M1953" s="2" t="n">
        <f aca="false">IF(G1953&lt;0,1,0)</f>
        <v>0</v>
      </c>
      <c r="N1953" s="2" t="str">
        <f aca="false">_xlfn.IFS(B1953&lt;30,"Under 30",B1953&lt;40,"30-39",B1953&lt;50,"40-49",B1953&lt;60,"50-59",TRUE(),"60+")</f>
        <v>40-49</v>
      </c>
      <c r="O1953" s="2" t="str">
        <f aca="false">_xlfn.IFS(G1953&lt;0,"1 Negative",G1953=0,"2 Zero",G1953&lt;=500,"3 1-500",G1953&lt;=2000,"4 501-2000",TRUE(),"5 Above 2000")</f>
        <v>4 501-2000</v>
      </c>
      <c r="P1953" s="2" t="n">
        <f aca="false">Lookups!$B$2*M1953+Lookups!$B$3*L1953</f>
        <v>0</v>
      </c>
      <c r="Q1953" s="2" t="str">
        <f aca="false">INDEX(Lookups!$E$2:$E$5,MATCH(P1953,Lookups!$D$2:$D$5,0))</f>
        <v>Low</v>
      </c>
    </row>
    <row r="1954" customFormat="false" ht="15" hidden="false" customHeight="false" outlineLevel="0" collapsed="false">
      <c r="A1954" s="3" t="n">
        <v>1953</v>
      </c>
      <c r="B1954" s="3" t="n">
        <f aca="false">Raw_Data!A1954</f>
        <v>41</v>
      </c>
      <c r="C1954" s="3" t="str">
        <f aca="false">SUBSTITUTE(Raw_Data!B1954,".","")</f>
        <v>admin</v>
      </c>
      <c r="D1954" s="3" t="str">
        <f aca="false">Raw_Data!C1954</f>
        <v>divorced</v>
      </c>
      <c r="E1954" s="3" t="str">
        <f aca="false">Raw_Data!D1954</f>
        <v>secondary</v>
      </c>
      <c r="F1954" s="3" t="str">
        <f aca="false">Raw_Data!E1954</f>
        <v>no</v>
      </c>
      <c r="G1954" s="3" t="n">
        <f aca="false">Raw_Data!F1954</f>
        <v>6046</v>
      </c>
      <c r="H1954" s="3" t="str">
        <f aca="false">Raw_Data!G1954</f>
        <v>yes</v>
      </c>
      <c r="I1954" s="3" t="str">
        <f aca="false">Raw_Data!H1954</f>
        <v>yes</v>
      </c>
      <c r="J1954" s="2" t="n">
        <f aca="false">IF(F1954="yes",1,0)</f>
        <v>0</v>
      </c>
      <c r="K1954" s="2" t="n">
        <f aca="false">IF(H1954="yes",1,0)</f>
        <v>1</v>
      </c>
      <c r="L1954" s="2" t="n">
        <f aca="false">IF(I1954="yes",1,0)</f>
        <v>1</v>
      </c>
      <c r="M1954" s="2" t="n">
        <f aca="false">IF(G1954&lt;0,1,0)</f>
        <v>0</v>
      </c>
      <c r="N1954" s="2" t="str">
        <f aca="false">_xlfn.IFS(B1954&lt;30,"Under 30",B1954&lt;40,"30-39",B1954&lt;50,"40-49",B1954&lt;60,"50-59",TRUE(),"60+")</f>
        <v>40-49</v>
      </c>
      <c r="O1954" s="2" t="str">
        <f aca="false">_xlfn.IFS(G1954&lt;0,"1 Negative",G1954=0,"2 Zero",G1954&lt;=500,"3 1-500",G1954&lt;=2000,"4 501-2000",TRUE(),"5 Above 2000")</f>
        <v>5 Above 2000</v>
      </c>
      <c r="P1954" s="2" t="n">
        <f aca="false">Lookups!$B$2*M1954+Lookups!$B$3*L1954</f>
        <v>1</v>
      </c>
      <c r="Q1954" s="2" t="str">
        <f aca="false">INDEX(Lookups!$E$2:$E$5,MATCH(P1954,Lookups!$D$2:$D$5,0))</f>
        <v>Medium</v>
      </c>
    </row>
    <row r="1955" customFormat="false" ht="15" hidden="false" customHeight="false" outlineLevel="0" collapsed="false">
      <c r="A1955" s="3" t="n">
        <v>1954</v>
      </c>
      <c r="B1955" s="3" t="n">
        <f aca="false">Raw_Data!A1955</f>
        <v>36</v>
      </c>
      <c r="C1955" s="3" t="str">
        <f aca="false">SUBSTITUTE(Raw_Data!B1955,".","")</f>
        <v>admin</v>
      </c>
      <c r="D1955" s="3" t="str">
        <f aca="false">Raw_Data!C1955</f>
        <v>single</v>
      </c>
      <c r="E1955" s="3" t="str">
        <f aca="false">Raw_Data!D1955</f>
        <v>tertiary</v>
      </c>
      <c r="F1955" s="3" t="str">
        <f aca="false">Raw_Data!E1955</f>
        <v>no</v>
      </c>
      <c r="G1955" s="3" t="n">
        <f aca="false">Raw_Data!F1955</f>
        <v>980</v>
      </c>
      <c r="H1955" s="3" t="str">
        <f aca="false">Raw_Data!G1955</f>
        <v>no</v>
      </c>
      <c r="I1955" s="3" t="str">
        <f aca="false">Raw_Data!H1955</f>
        <v>no</v>
      </c>
      <c r="J1955" s="2" t="n">
        <f aca="false">IF(F1955="yes",1,0)</f>
        <v>0</v>
      </c>
      <c r="K1955" s="2" t="n">
        <f aca="false">IF(H1955="yes",1,0)</f>
        <v>0</v>
      </c>
      <c r="L1955" s="2" t="n">
        <f aca="false">IF(I1955="yes",1,0)</f>
        <v>0</v>
      </c>
      <c r="M1955" s="2" t="n">
        <f aca="false">IF(G1955&lt;0,1,0)</f>
        <v>0</v>
      </c>
      <c r="N1955" s="2" t="str">
        <f aca="false">_xlfn.IFS(B1955&lt;30,"Under 30",B1955&lt;40,"30-39",B1955&lt;50,"40-49",B1955&lt;60,"50-59",TRUE(),"60+")</f>
        <v>30-39</v>
      </c>
      <c r="O1955" s="2" t="str">
        <f aca="false">_xlfn.IFS(G1955&lt;0,"1 Negative",G1955=0,"2 Zero",G1955&lt;=500,"3 1-500",G1955&lt;=2000,"4 501-2000",TRUE(),"5 Above 2000")</f>
        <v>4 501-2000</v>
      </c>
      <c r="P1955" s="2" t="n">
        <f aca="false">Lookups!$B$2*M1955+Lookups!$B$3*L1955</f>
        <v>0</v>
      </c>
      <c r="Q1955" s="2" t="str">
        <f aca="false">INDEX(Lookups!$E$2:$E$5,MATCH(P1955,Lookups!$D$2:$D$5,0))</f>
        <v>Low</v>
      </c>
    </row>
    <row r="1956" customFormat="false" ht="15" hidden="false" customHeight="false" outlineLevel="0" collapsed="false">
      <c r="A1956" s="3" t="n">
        <v>1955</v>
      </c>
      <c r="B1956" s="3" t="n">
        <f aca="false">Raw_Data!A1956</f>
        <v>49</v>
      </c>
      <c r="C1956" s="3" t="str">
        <f aca="false">SUBSTITUTE(Raw_Data!B1956,".","")</f>
        <v>retired</v>
      </c>
      <c r="D1956" s="3" t="str">
        <f aca="false">Raw_Data!C1956</f>
        <v>married</v>
      </c>
      <c r="E1956" s="3" t="str">
        <f aca="false">Raw_Data!D1956</f>
        <v>primary</v>
      </c>
      <c r="F1956" s="3" t="str">
        <f aca="false">Raw_Data!E1956</f>
        <v>no</v>
      </c>
      <c r="G1956" s="3" t="n">
        <f aca="false">Raw_Data!F1956</f>
        <v>-37</v>
      </c>
      <c r="H1956" s="3" t="str">
        <f aca="false">Raw_Data!G1956</f>
        <v>no</v>
      </c>
      <c r="I1956" s="3" t="str">
        <f aca="false">Raw_Data!H1956</f>
        <v>no</v>
      </c>
      <c r="J1956" s="2" t="n">
        <f aca="false">IF(F1956="yes",1,0)</f>
        <v>0</v>
      </c>
      <c r="K1956" s="2" t="n">
        <f aca="false">IF(H1956="yes",1,0)</f>
        <v>0</v>
      </c>
      <c r="L1956" s="2" t="n">
        <f aca="false">IF(I1956="yes",1,0)</f>
        <v>0</v>
      </c>
      <c r="M1956" s="2" t="n">
        <f aca="false">IF(G1956&lt;0,1,0)</f>
        <v>1</v>
      </c>
      <c r="N1956" s="2" t="str">
        <f aca="false">_xlfn.IFS(B1956&lt;30,"Under 30",B1956&lt;40,"30-39",B1956&lt;50,"40-49",B1956&lt;60,"50-59",TRUE(),"60+")</f>
        <v>40-49</v>
      </c>
      <c r="O1956" s="2" t="str">
        <f aca="false">_xlfn.IFS(G1956&lt;0,"1 Negative",G1956=0,"2 Zero",G1956&lt;=500,"3 1-500",G1956&lt;=2000,"4 501-2000",TRUE(),"5 Above 2000")</f>
        <v>1 Negative</v>
      </c>
      <c r="P1956" s="2" t="n">
        <f aca="false">Lookups!$B$2*M1956+Lookups!$B$3*L1956</f>
        <v>2</v>
      </c>
      <c r="Q1956" s="2" t="str">
        <f aca="false">INDEX(Lookups!$E$2:$E$5,MATCH(P1956,Lookups!$D$2:$D$5,0))</f>
        <v>High</v>
      </c>
    </row>
    <row r="1957" customFormat="false" ht="15" hidden="false" customHeight="false" outlineLevel="0" collapsed="false">
      <c r="A1957" s="3" t="n">
        <v>1956</v>
      </c>
      <c r="B1957" s="3" t="n">
        <f aca="false">Raw_Data!A1957</f>
        <v>46</v>
      </c>
      <c r="C1957" s="3" t="str">
        <f aca="false">SUBSTITUTE(Raw_Data!B1957,".","")</f>
        <v>management</v>
      </c>
      <c r="D1957" s="3" t="str">
        <f aca="false">Raw_Data!C1957</f>
        <v>divorced</v>
      </c>
      <c r="E1957" s="3" t="str">
        <f aca="false">Raw_Data!D1957</f>
        <v>tertiary</v>
      </c>
      <c r="F1957" s="3" t="str">
        <f aca="false">Raw_Data!E1957</f>
        <v>no</v>
      </c>
      <c r="G1957" s="3" t="n">
        <f aca="false">Raw_Data!F1957</f>
        <v>-154</v>
      </c>
      <c r="H1957" s="3" t="str">
        <f aca="false">Raw_Data!G1957</f>
        <v>yes</v>
      </c>
      <c r="I1957" s="3" t="str">
        <f aca="false">Raw_Data!H1957</f>
        <v>yes</v>
      </c>
      <c r="J1957" s="2" t="n">
        <f aca="false">IF(F1957="yes",1,0)</f>
        <v>0</v>
      </c>
      <c r="K1957" s="2" t="n">
        <f aca="false">IF(H1957="yes",1,0)</f>
        <v>1</v>
      </c>
      <c r="L1957" s="2" t="n">
        <f aca="false">IF(I1957="yes",1,0)</f>
        <v>1</v>
      </c>
      <c r="M1957" s="2" t="n">
        <f aca="false">IF(G1957&lt;0,1,0)</f>
        <v>1</v>
      </c>
      <c r="N1957" s="2" t="str">
        <f aca="false">_xlfn.IFS(B1957&lt;30,"Under 30",B1957&lt;40,"30-39",B1957&lt;50,"40-49",B1957&lt;60,"50-59",TRUE(),"60+")</f>
        <v>40-49</v>
      </c>
      <c r="O1957" s="2" t="str">
        <f aca="false">_xlfn.IFS(G1957&lt;0,"1 Negative",G1957=0,"2 Zero",G1957&lt;=500,"3 1-500",G1957&lt;=2000,"4 501-2000",TRUE(),"5 Above 2000")</f>
        <v>1 Negative</v>
      </c>
      <c r="P1957" s="2" t="n">
        <f aca="false">Lookups!$B$2*M1957+Lookups!$B$3*L1957</f>
        <v>3</v>
      </c>
      <c r="Q1957" s="2" t="str">
        <f aca="false">INDEX(Lookups!$E$2:$E$5,MATCH(P1957,Lookups!$D$2:$D$5,0))</f>
        <v>High</v>
      </c>
    </row>
    <row r="1958" customFormat="false" ht="15" hidden="false" customHeight="false" outlineLevel="0" collapsed="false">
      <c r="A1958" s="3" t="n">
        <v>1957</v>
      </c>
      <c r="B1958" s="3" t="n">
        <f aca="false">Raw_Data!A1958</f>
        <v>77</v>
      </c>
      <c r="C1958" s="3" t="str">
        <f aca="false">SUBSTITUTE(Raw_Data!B1958,".","")</f>
        <v>retired</v>
      </c>
      <c r="D1958" s="3" t="str">
        <f aca="false">Raw_Data!C1958</f>
        <v>married</v>
      </c>
      <c r="E1958" s="3" t="str">
        <f aca="false">Raw_Data!D1958</f>
        <v>primary</v>
      </c>
      <c r="F1958" s="3" t="str">
        <f aca="false">Raw_Data!E1958</f>
        <v>no</v>
      </c>
      <c r="G1958" s="3" t="n">
        <f aca="false">Raw_Data!F1958</f>
        <v>680</v>
      </c>
      <c r="H1958" s="3" t="str">
        <f aca="false">Raw_Data!G1958</f>
        <v>no</v>
      </c>
      <c r="I1958" s="3" t="str">
        <f aca="false">Raw_Data!H1958</f>
        <v>no</v>
      </c>
      <c r="J1958" s="2" t="n">
        <f aca="false">IF(F1958="yes",1,0)</f>
        <v>0</v>
      </c>
      <c r="K1958" s="2" t="n">
        <f aca="false">IF(H1958="yes",1,0)</f>
        <v>0</v>
      </c>
      <c r="L1958" s="2" t="n">
        <f aca="false">IF(I1958="yes",1,0)</f>
        <v>0</v>
      </c>
      <c r="M1958" s="2" t="n">
        <f aca="false">IF(G1958&lt;0,1,0)</f>
        <v>0</v>
      </c>
      <c r="N1958" s="2" t="str">
        <f aca="false">_xlfn.IFS(B1958&lt;30,"Under 30",B1958&lt;40,"30-39",B1958&lt;50,"40-49",B1958&lt;60,"50-59",TRUE(),"60+")</f>
        <v>60+</v>
      </c>
      <c r="O1958" s="2" t="str">
        <f aca="false">_xlfn.IFS(G1958&lt;0,"1 Negative",G1958=0,"2 Zero",G1958&lt;=500,"3 1-500",G1958&lt;=2000,"4 501-2000",TRUE(),"5 Above 2000")</f>
        <v>4 501-2000</v>
      </c>
      <c r="P1958" s="2" t="n">
        <f aca="false">Lookups!$B$2*M1958+Lookups!$B$3*L1958</f>
        <v>0</v>
      </c>
      <c r="Q1958" s="2" t="str">
        <f aca="false">INDEX(Lookups!$E$2:$E$5,MATCH(P1958,Lookups!$D$2:$D$5,0))</f>
        <v>Low</v>
      </c>
    </row>
    <row r="1959" customFormat="false" ht="15" hidden="false" customHeight="false" outlineLevel="0" collapsed="false">
      <c r="A1959" s="3" t="n">
        <v>1958</v>
      </c>
      <c r="B1959" s="3" t="n">
        <f aca="false">Raw_Data!A1959</f>
        <v>30</v>
      </c>
      <c r="C1959" s="3" t="str">
        <f aca="false">SUBSTITUTE(Raw_Data!B1959,".","")</f>
        <v>technician</v>
      </c>
      <c r="D1959" s="3" t="str">
        <f aca="false">Raw_Data!C1959</f>
        <v>single</v>
      </c>
      <c r="E1959" s="3" t="str">
        <f aca="false">Raw_Data!D1959</f>
        <v>tertiary</v>
      </c>
      <c r="F1959" s="3" t="str">
        <f aca="false">Raw_Data!E1959</f>
        <v>no</v>
      </c>
      <c r="G1959" s="3" t="n">
        <f aca="false">Raw_Data!F1959</f>
        <v>799</v>
      </c>
      <c r="H1959" s="3" t="str">
        <f aca="false">Raw_Data!G1959</f>
        <v>yes</v>
      </c>
      <c r="I1959" s="3" t="str">
        <f aca="false">Raw_Data!H1959</f>
        <v>yes</v>
      </c>
      <c r="J1959" s="2" t="n">
        <f aca="false">IF(F1959="yes",1,0)</f>
        <v>0</v>
      </c>
      <c r="K1959" s="2" t="n">
        <f aca="false">IF(H1959="yes",1,0)</f>
        <v>1</v>
      </c>
      <c r="L1959" s="2" t="n">
        <f aca="false">IF(I1959="yes",1,0)</f>
        <v>1</v>
      </c>
      <c r="M1959" s="2" t="n">
        <f aca="false">IF(G1959&lt;0,1,0)</f>
        <v>0</v>
      </c>
      <c r="N1959" s="2" t="str">
        <f aca="false">_xlfn.IFS(B1959&lt;30,"Under 30",B1959&lt;40,"30-39",B1959&lt;50,"40-49",B1959&lt;60,"50-59",TRUE(),"60+")</f>
        <v>30-39</v>
      </c>
      <c r="O1959" s="2" t="str">
        <f aca="false">_xlfn.IFS(G1959&lt;0,"1 Negative",G1959=0,"2 Zero",G1959&lt;=500,"3 1-500",G1959&lt;=2000,"4 501-2000",TRUE(),"5 Above 2000")</f>
        <v>4 501-2000</v>
      </c>
      <c r="P1959" s="2" t="n">
        <f aca="false">Lookups!$B$2*M1959+Lookups!$B$3*L1959</f>
        <v>1</v>
      </c>
      <c r="Q1959" s="2" t="str">
        <f aca="false">INDEX(Lookups!$E$2:$E$5,MATCH(P1959,Lookups!$D$2:$D$5,0))</f>
        <v>Medium</v>
      </c>
    </row>
    <row r="1960" customFormat="false" ht="15" hidden="false" customHeight="false" outlineLevel="0" collapsed="false">
      <c r="A1960" s="3" t="n">
        <v>1959</v>
      </c>
      <c r="B1960" s="3" t="n">
        <f aca="false">Raw_Data!A1960</f>
        <v>43</v>
      </c>
      <c r="C1960" s="3" t="str">
        <f aca="false">SUBSTITUTE(Raw_Data!B1960,".","")</f>
        <v>management</v>
      </c>
      <c r="D1960" s="3" t="str">
        <f aca="false">Raw_Data!C1960</f>
        <v>single</v>
      </c>
      <c r="E1960" s="3" t="str">
        <f aca="false">Raw_Data!D1960</f>
        <v>secondary</v>
      </c>
      <c r="F1960" s="3" t="str">
        <f aca="false">Raw_Data!E1960</f>
        <v>yes</v>
      </c>
      <c r="G1960" s="3" t="n">
        <f aca="false">Raw_Data!F1960</f>
        <v>-1164</v>
      </c>
      <c r="H1960" s="3" t="str">
        <f aca="false">Raw_Data!G1960</f>
        <v>yes</v>
      </c>
      <c r="I1960" s="3" t="str">
        <f aca="false">Raw_Data!H1960</f>
        <v>yes</v>
      </c>
      <c r="J1960" s="2" t="n">
        <f aca="false">IF(F1960="yes",1,0)</f>
        <v>1</v>
      </c>
      <c r="K1960" s="2" t="n">
        <f aca="false">IF(H1960="yes",1,0)</f>
        <v>1</v>
      </c>
      <c r="L1960" s="2" t="n">
        <f aca="false">IF(I1960="yes",1,0)</f>
        <v>1</v>
      </c>
      <c r="M1960" s="2" t="n">
        <f aca="false">IF(G1960&lt;0,1,0)</f>
        <v>1</v>
      </c>
      <c r="N1960" s="2" t="str">
        <f aca="false">_xlfn.IFS(B1960&lt;30,"Under 30",B1960&lt;40,"30-39",B1960&lt;50,"40-49",B1960&lt;60,"50-59",TRUE(),"60+")</f>
        <v>40-49</v>
      </c>
      <c r="O1960" s="2" t="str">
        <f aca="false">_xlfn.IFS(G1960&lt;0,"1 Negative",G1960=0,"2 Zero",G1960&lt;=500,"3 1-500",G1960&lt;=2000,"4 501-2000",TRUE(),"5 Above 2000")</f>
        <v>1 Negative</v>
      </c>
      <c r="P1960" s="2" t="n">
        <f aca="false">Lookups!$B$2*M1960+Lookups!$B$3*L1960</f>
        <v>3</v>
      </c>
      <c r="Q1960" s="2" t="str">
        <f aca="false">INDEX(Lookups!$E$2:$E$5,MATCH(P1960,Lookups!$D$2:$D$5,0))</f>
        <v>High</v>
      </c>
    </row>
    <row r="1961" customFormat="false" ht="15" hidden="false" customHeight="false" outlineLevel="0" collapsed="false">
      <c r="A1961" s="3" t="n">
        <v>1960</v>
      </c>
      <c r="B1961" s="3" t="n">
        <f aca="false">Raw_Data!A1961</f>
        <v>44</v>
      </c>
      <c r="C1961" s="3" t="str">
        <f aca="false">SUBSTITUTE(Raw_Data!B1961,".","")</f>
        <v>blue-collar</v>
      </c>
      <c r="D1961" s="3" t="str">
        <f aca="false">Raw_Data!C1961</f>
        <v>married</v>
      </c>
      <c r="E1961" s="3" t="str">
        <f aca="false">Raw_Data!D1961</f>
        <v>secondary</v>
      </c>
      <c r="F1961" s="3" t="str">
        <f aca="false">Raw_Data!E1961</f>
        <v>no</v>
      </c>
      <c r="G1961" s="3" t="n">
        <f aca="false">Raw_Data!F1961</f>
        <v>2523</v>
      </c>
      <c r="H1961" s="3" t="str">
        <f aca="false">Raw_Data!G1961</f>
        <v>yes</v>
      </c>
      <c r="I1961" s="3" t="str">
        <f aca="false">Raw_Data!H1961</f>
        <v>no</v>
      </c>
      <c r="J1961" s="2" t="n">
        <f aca="false">IF(F1961="yes",1,0)</f>
        <v>0</v>
      </c>
      <c r="K1961" s="2" t="n">
        <f aca="false">IF(H1961="yes",1,0)</f>
        <v>1</v>
      </c>
      <c r="L1961" s="2" t="n">
        <f aca="false">IF(I1961="yes",1,0)</f>
        <v>0</v>
      </c>
      <c r="M1961" s="2" t="n">
        <f aca="false">IF(G1961&lt;0,1,0)</f>
        <v>0</v>
      </c>
      <c r="N1961" s="2" t="str">
        <f aca="false">_xlfn.IFS(B1961&lt;30,"Under 30",B1961&lt;40,"30-39",B1961&lt;50,"40-49",B1961&lt;60,"50-59",TRUE(),"60+")</f>
        <v>40-49</v>
      </c>
      <c r="O1961" s="2" t="str">
        <f aca="false">_xlfn.IFS(G1961&lt;0,"1 Negative",G1961=0,"2 Zero",G1961&lt;=500,"3 1-500",G1961&lt;=2000,"4 501-2000",TRUE(),"5 Above 2000")</f>
        <v>5 Above 2000</v>
      </c>
      <c r="P1961" s="2" t="n">
        <f aca="false">Lookups!$B$2*M1961+Lookups!$B$3*L1961</f>
        <v>0</v>
      </c>
      <c r="Q1961" s="2" t="str">
        <f aca="false">INDEX(Lookups!$E$2:$E$5,MATCH(P1961,Lookups!$D$2:$D$5,0))</f>
        <v>Low</v>
      </c>
    </row>
    <row r="1962" customFormat="false" ht="15" hidden="false" customHeight="false" outlineLevel="0" collapsed="false">
      <c r="A1962" s="3" t="n">
        <v>1961</v>
      </c>
      <c r="B1962" s="3" t="n">
        <f aca="false">Raw_Data!A1962</f>
        <v>40</v>
      </c>
      <c r="C1962" s="3" t="str">
        <f aca="false">SUBSTITUTE(Raw_Data!B1962,".","")</f>
        <v>blue-collar</v>
      </c>
      <c r="D1962" s="3" t="str">
        <f aca="false">Raw_Data!C1962</f>
        <v>married</v>
      </c>
      <c r="E1962" s="3" t="str">
        <f aca="false">Raw_Data!D1962</f>
        <v>primary</v>
      </c>
      <c r="F1962" s="3" t="str">
        <f aca="false">Raw_Data!E1962</f>
        <v>no</v>
      </c>
      <c r="G1962" s="3" t="n">
        <f aca="false">Raw_Data!F1962</f>
        <v>98</v>
      </c>
      <c r="H1962" s="3" t="str">
        <f aca="false">Raw_Data!G1962</f>
        <v>yes</v>
      </c>
      <c r="I1962" s="3" t="str">
        <f aca="false">Raw_Data!H1962</f>
        <v>no</v>
      </c>
      <c r="J1962" s="2" t="n">
        <f aca="false">IF(F1962="yes",1,0)</f>
        <v>0</v>
      </c>
      <c r="K1962" s="2" t="n">
        <f aca="false">IF(H1962="yes",1,0)</f>
        <v>1</v>
      </c>
      <c r="L1962" s="2" t="n">
        <f aca="false">IF(I1962="yes",1,0)</f>
        <v>0</v>
      </c>
      <c r="M1962" s="2" t="n">
        <f aca="false">IF(G1962&lt;0,1,0)</f>
        <v>0</v>
      </c>
      <c r="N1962" s="2" t="str">
        <f aca="false">_xlfn.IFS(B1962&lt;30,"Under 30",B1962&lt;40,"30-39",B1962&lt;50,"40-49",B1962&lt;60,"50-59",TRUE(),"60+")</f>
        <v>40-49</v>
      </c>
      <c r="O1962" s="2" t="str">
        <f aca="false">_xlfn.IFS(G1962&lt;0,"1 Negative",G1962=0,"2 Zero",G1962&lt;=500,"3 1-500",G1962&lt;=2000,"4 501-2000",TRUE(),"5 Above 2000")</f>
        <v>3 1-500</v>
      </c>
      <c r="P1962" s="2" t="n">
        <f aca="false">Lookups!$B$2*M1962+Lookups!$B$3*L1962</f>
        <v>0</v>
      </c>
      <c r="Q1962" s="2" t="str">
        <f aca="false">INDEX(Lookups!$E$2:$E$5,MATCH(P1962,Lookups!$D$2:$D$5,0))</f>
        <v>Low</v>
      </c>
    </row>
    <row r="1963" customFormat="false" ht="15" hidden="false" customHeight="false" outlineLevel="0" collapsed="false">
      <c r="A1963" s="3" t="n">
        <v>1962</v>
      </c>
      <c r="B1963" s="3" t="n">
        <f aca="false">Raw_Data!A1963</f>
        <v>38</v>
      </c>
      <c r="C1963" s="3" t="str">
        <f aca="false">SUBSTITUTE(Raw_Data!B1963,".","")</f>
        <v>blue-collar</v>
      </c>
      <c r="D1963" s="3" t="str">
        <f aca="false">Raw_Data!C1963</f>
        <v>married</v>
      </c>
      <c r="E1963" s="3" t="str">
        <f aca="false">Raw_Data!D1963</f>
        <v>primary</v>
      </c>
      <c r="F1963" s="3" t="str">
        <f aca="false">Raw_Data!E1963</f>
        <v>no</v>
      </c>
      <c r="G1963" s="3" t="n">
        <f aca="false">Raw_Data!F1963</f>
        <v>3419</v>
      </c>
      <c r="H1963" s="3" t="str">
        <f aca="false">Raw_Data!G1963</f>
        <v>yes</v>
      </c>
      <c r="I1963" s="3" t="str">
        <f aca="false">Raw_Data!H1963</f>
        <v>no</v>
      </c>
      <c r="J1963" s="2" t="n">
        <f aca="false">IF(F1963="yes",1,0)</f>
        <v>0</v>
      </c>
      <c r="K1963" s="2" t="n">
        <f aca="false">IF(H1963="yes",1,0)</f>
        <v>1</v>
      </c>
      <c r="L1963" s="2" t="n">
        <f aca="false">IF(I1963="yes",1,0)</f>
        <v>0</v>
      </c>
      <c r="M1963" s="2" t="n">
        <f aca="false">IF(G1963&lt;0,1,0)</f>
        <v>0</v>
      </c>
      <c r="N1963" s="2" t="str">
        <f aca="false">_xlfn.IFS(B1963&lt;30,"Under 30",B1963&lt;40,"30-39",B1963&lt;50,"40-49",B1963&lt;60,"50-59",TRUE(),"60+")</f>
        <v>30-39</v>
      </c>
      <c r="O1963" s="2" t="str">
        <f aca="false">_xlfn.IFS(G1963&lt;0,"1 Negative",G1963=0,"2 Zero",G1963&lt;=500,"3 1-500",G1963&lt;=2000,"4 501-2000",TRUE(),"5 Above 2000")</f>
        <v>5 Above 2000</v>
      </c>
      <c r="P1963" s="2" t="n">
        <f aca="false">Lookups!$B$2*M1963+Lookups!$B$3*L1963</f>
        <v>0</v>
      </c>
      <c r="Q1963" s="2" t="str">
        <f aca="false">INDEX(Lookups!$E$2:$E$5,MATCH(P1963,Lookups!$D$2:$D$5,0))</f>
        <v>Low</v>
      </c>
    </row>
    <row r="1964" customFormat="false" ht="15" hidden="false" customHeight="false" outlineLevel="0" collapsed="false">
      <c r="A1964" s="3" t="n">
        <v>1963</v>
      </c>
      <c r="B1964" s="3" t="n">
        <f aca="false">Raw_Data!A1964</f>
        <v>25</v>
      </c>
      <c r="C1964" s="3" t="str">
        <f aca="false">SUBSTITUTE(Raw_Data!B1964,".","")</f>
        <v>unemployed</v>
      </c>
      <c r="D1964" s="3" t="str">
        <f aca="false">Raw_Data!C1964</f>
        <v>single</v>
      </c>
      <c r="E1964" s="3" t="str">
        <f aca="false">Raw_Data!D1964</f>
        <v>tertiary</v>
      </c>
      <c r="F1964" s="3" t="str">
        <f aca="false">Raw_Data!E1964</f>
        <v>no</v>
      </c>
      <c r="G1964" s="3" t="n">
        <f aca="false">Raw_Data!F1964</f>
        <v>343</v>
      </c>
      <c r="H1964" s="3" t="str">
        <f aca="false">Raw_Data!G1964</f>
        <v>no</v>
      </c>
      <c r="I1964" s="3" t="str">
        <f aca="false">Raw_Data!H1964</f>
        <v>no</v>
      </c>
      <c r="J1964" s="2" t="n">
        <f aca="false">IF(F1964="yes",1,0)</f>
        <v>0</v>
      </c>
      <c r="K1964" s="2" t="n">
        <f aca="false">IF(H1964="yes",1,0)</f>
        <v>0</v>
      </c>
      <c r="L1964" s="2" t="n">
        <f aca="false">IF(I1964="yes",1,0)</f>
        <v>0</v>
      </c>
      <c r="M1964" s="2" t="n">
        <f aca="false">IF(G1964&lt;0,1,0)</f>
        <v>0</v>
      </c>
      <c r="N1964" s="2" t="str">
        <f aca="false">_xlfn.IFS(B1964&lt;30,"Under 30",B1964&lt;40,"30-39",B1964&lt;50,"40-49",B1964&lt;60,"50-59",TRUE(),"60+")</f>
        <v>Under 30</v>
      </c>
      <c r="O1964" s="2" t="str">
        <f aca="false">_xlfn.IFS(G1964&lt;0,"1 Negative",G1964=0,"2 Zero",G1964&lt;=500,"3 1-500",G1964&lt;=2000,"4 501-2000",TRUE(),"5 Above 2000")</f>
        <v>3 1-500</v>
      </c>
      <c r="P1964" s="2" t="n">
        <f aca="false">Lookups!$B$2*M1964+Lookups!$B$3*L1964</f>
        <v>0</v>
      </c>
      <c r="Q1964" s="2" t="str">
        <f aca="false">INDEX(Lookups!$E$2:$E$5,MATCH(P1964,Lookups!$D$2:$D$5,0))</f>
        <v>Low</v>
      </c>
    </row>
    <row r="1965" customFormat="false" ht="15" hidden="false" customHeight="false" outlineLevel="0" collapsed="false">
      <c r="A1965" s="3" t="n">
        <v>1964</v>
      </c>
      <c r="B1965" s="3" t="n">
        <f aca="false">Raw_Data!A1965</f>
        <v>49</v>
      </c>
      <c r="C1965" s="3" t="str">
        <f aca="false">SUBSTITUTE(Raw_Data!B1965,".","")</f>
        <v>management</v>
      </c>
      <c r="D1965" s="3" t="str">
        <f aca="false">Raw_Data!C1965</f>
        <v>married</v>
      </c>
      <c r="E1965" s="3" t="str">
        <f aca="false">Raw_Data!D1965</f>
        <v>tertiary</v>
      </c>
      <c r="F1965" s="3" t="str">
        <f aca="false">Raw_Data!E1965</f>
        <v>no</v>
      </c>
      <c r="G1965" s="3" t="n">
        <f aca="false">Raw_Data!F1965</f>
        <v>852</v>
      </c>
      <c r="H1965" s="3" t="str">
        <f aca="false">Raw_Data!G1965</f>
        <v>yes</v>
      </c>
      <c r="I1965" s="3" t="str">
        <f aca="false">Raw_Data!H1965</f>
        <v>no</v>
      </c>
      <c r="J1965" s="2" t="n">
        <f aca="false">IF(F1965="yes",1,0)</f>
        <v>0</v>
      </c>
      <c r="K1965" s="2" t="n">
        <f aca="false">IF(H1965="yes",1,0)</f>
        <v>1</v>
      </c>
      <c r="L1965" s="2" t="n">
        <f aca="false">IF(I1965="yes",1,0)</f>
        <v>0</v>
      </c>
      <c r="M1965" s="2" t="n">
        <f aca="false">IF(G1965&lt;0,1,0)</f>
        <v>0</v>
      </c>
      <c r="N1965" s="2" t="str">
        <f aca="false">_xlfn.IFS(B1965&lt;30,"Under 30",B1965&lt;40,"30-39",B1965&lt;50,"40-49",B1965&lt;60,"50-59",TRUE(),"60+")</f>
        <v>40-49</v>
      </c>
      <c r="O1965" s="2" t="str">
        <f aca="false">_xlfn.IFS(G1965&lt;0,"1 Negative",G1965=0,"2 Zero",G1965&lt;=500,"3 1-500",G1965&lt;=2000,"4 501-2000",TRUE(),"5 Above 2000")</f>
        <v>4 501-2000</v>
      </c>
      <c r="P1965" s="2" t="n">
        <f aca="false">Lookups!$B$2*M1965+Lookups!$B$3*L1965</f>
        <v>0</v>
      </c>
      <c r="Q1965" s="2" t="str">
        <f aca="false">INDEX(Lookups!$E$2:$E$5,MATCH(P1965,Lookups!$D$2:$D$5,0))</f>
        <v>Low</v>
      </c>
    </row>
    <row r="1966" customFormat="false" ht="15" hidden="false" customHeight="false" outlineLevel="0" collapsed="false">
      <c r="A1966" s="3" t="n">
        <v>1965</v>
      </c>
      <c r="B1966" s="3" t="n">
        <f aca="false">Raw_Data!A1966</f>
        <v>33</v>
      </c>
      <c r="C1966" s="3" t="str">
        <f aca="false">SUBSTITUTE(Raw_Data!B1966,".","")</f>
        <v>blue-collar</v>
      </c>
      <c r="D1966" s="3" t="str">
        <f aca="false">Raw_Data!C1966</f>
        <v>married</v>
      </c>
      <c r="E1966" s="3" t="str">
        <f aca="false">Raw_Data!D1966</f>
        <v>primary</v>
      </c>
      <c r="F1966" s="3" t="str">
        <f aca="false">Raw_Data!E1966</f>
        <v>no</v>
      </c>
      <c r="G1966" s="3" t="n">
        <f aca="false">Raw_Data!F1966</f>
        <v>50</v>
      </c>
      <c r="H1966" s="3" t="str">
        <f aca="false">Raw_Data!G1966</f>
        <v>yes</v>
      </c>
      <c r="I1966" s="3" t="str">
        <f aca="false">Raw_Data!H1966</f>
        <v>no</v>
      </c>
      <c r="J1966" s="2" t="n">
        <f aca="false">IF(F1966="yes",1,0)</f>
        <v>0</v>
      </c>
      <c r="K1966" s="2" t="n">
        <f aca="false">IF(H1966="yes",1,0)</f>
        <v>1</v>
      </c>
      <c r="L1966" s="2" t="n">
        <f aca="false">IF(I1966="yes",1,0)</f>
        <v>0</v>
      </c>
      <c r="M1966" s="2" t="n">
        <f aca="false">IF(G1966&lt;0,1,0)</f>
        <v>0</v>
      </c>
      <c r="N1966" s="2" t="str">
        <f aca="false">_xlfn.IFS(B1966&lt;30,"Under 30",B1966&lt;40,"30-39",B1966&lt;50,"40-49",B1966&lt;60,"50-59",TRUE(),"60+")</f>
        <v>30-39</v>
      </c>
      <c r="O1966" s="2" t="str">
        <f aca="false">_xlfn.IFS(G1966&lt;0,"1 Negative",G1966=0,"2 Zero",G1966&lt;=500,"3 1-500",G1966&lt;=2000,"4 501-2000",TRUE(),"5 Above 2000")</f>
        <v>3 1-500</v>
      </c>
      <c r="P1966" s="2" t="n">
        <f aca="false">Lookups!$B$2*M1966+Lookups!$B$3*L1966</f>
        <v>0</v>
      </c>
      <c r="Q1966" s="2" t="str">
        <f aca="false">INDEX(Lookups!$E$2:$E$5,MATCH(P1966,Lookups!$D$2:$D$5,0))</f>
        <v>Low</v>
      </c>
    </row>
    <row r="1967" customFormat="false" ht="15" hidden="false" customHeight="false" outlineLevel="0" collapsed="false">
      <c r="A1967" s="3" t="n">
        <v>1966</v>
      </c>
      <c r="B1967" s="3" t="n">
        <f aca="false">Raw_Data!A1967</f>
        <v>40</v>
      </c>
      <c r="C1967" s="3" t="str">
        <f aca="false">SUBSTITUTE(Raw_Data!B1967,".","")</f>
        <v>management</v>
      </c>
      <c r="D1967" s="3" t="str">
        <f aca="false">Raw_Data!C1967</f>
        <v>single</v>
      </c>
      <c r="E1967" s="3" t="str">
        <f aca="false">Raw_Data!D1967</f>
        <v>tertiary</v>
      </c>
      <c r="F1967" s="3" t="str">
        <f aca="false">Raw_Data!E1967</f>
        <v>no</v>
      </c>
      <c r="G1967" s="3" t="n">
        <f aca="false">Raw_Data!F1967</f>
        <v>0</v>
      </c>
      <c r="H1967" s="3" t="str">
        <f aca="false">Raw_Data!G1967</f>
        <v>no</v>
      </c>
      <c r="I1967" s="3" t="str">
        <f aca="false">Raw_Data!H1967</f>
        <v>no</v>
      </c>
      <c r="J1967" s="2" t="n">
        <f aca="false">IF(F1967="yes",1,0)</f>
        <v>0</v>
      </c>
      <c r="K1967" s="2" t="n">
        <f aca="false">IF(H1967="yes",1,0)</f>
        <v>0</v>
      </c>
      <c r="L1967" s="2" t="n">
        <f aca="false">IF(I1967="yes",1,0)</f>
        <v>0</v>
      </c>
      <c r="M1967" s="2" t="n">
        <f aca="false">IF(G1967&lt;0,1,0)</f>
        <v>0</v>
      </c>
      <c r="N1967" s="2" t="str">
        <f aca="false">_xlfn.IFS(B1967&lt;30,"Under 30",B1967&lt;40,"30-39",B1967&lt;50,"40-49",B1967&lt;60,"50-59",TRUE(),"60+")</f>
        <v>40-49</v>
      </c>
      <c r="O1967" s="2" t="str">
        <f aca="false">_xlfn.IFS(G1967&lt;0,"1 Negative",G1967=0,"2 Zero",G1967&lt;=500,"3 1-500",G1967&lt;=2000,"4 501-2000",TRUE(),"5 Above 2000")</f>
        <v>2 Zero</v>
      </c>
      <c r="P1967" s="2" t="n">
        <f aca="false">Lookups!$B$2*M1967+Lookups!$B$3*L1967</f>
        <v>0</v>
      </c>
      <c r="Q1967" s="2" t="str">
        <f aca="false">INDEX(Lookups!$E$2:$E$5,MATCH(P1967,Lookups!$D$2:$D$5,0))</f>
        <v>Low</v>
      </c>
    </row>
    <row r="1968" customFormat="false" ht="15" hidden="false" customHeight="false" outlineLevel="0" collapsed="false">
      <c r="A1968" s="3" t="n">
        <v>1967</v>
      </c>
      <c r="B1968" s="3" t="n">
        <f aca="false">Raw_Data!A1968</f>
        <v>44</v>
      </c>
      <c r="C1968" s="3" t="str">
        <f aca="false">SUBSTITUTE(Raw_Data!B1968,".","")</f>
        <v>blue-collar</v>
      </c>
      <c r="D1968" s="3" t="str">
        <f aca="false">Raw_Data!C1968</f>
        <v>married</v>
      </c>
      <c r="E1968" s="3" t="str">
        <f aca="false">Raw_Data!D1968</f>
        <v>primary</v>
      </c>
      <c r="F1968" s="3" t="str">
        <f aca="false">Raw_Data!E1968</f>
        <v>no</v>
      </c>
      <c r="G1968" s="3" t="n">
        <f aca="false">Raw_Data!F1968</f>
        <v>10</v>
      </c>
      <c r="H1968" s="3" t="str">
        <f aca="false">Raw_Data!G1968</f>
        <v>yes</v>
      </c>
      <c r="I1968" s="3" t="str">
        <f aca="false">Raw_Data!H1968</f>
        <v>no</v>
      </c>
      <c r="J1968" s="2" t="n">
        <f aca="false">IF(F1968="yes",1,0)</f>
        <v>0</v>
      </c>
      <c r="K1968" s="2" t="n">
        <f aca="false">IF(H1968="yes",1,0)</f>
        <v>1</v>
      </c>
      <c r="L1968" s="2" t="n">
        <f aca="false">IF(I1968="yes",1,0)</f>
        <v>0</v>
      </c>
      <c r="M1968" s="2" t="n">
        <f aca="false">IF(G1968&lt;0,1,0)</f>
        <v>0</v>
      </c>
      <c r="N1968" s="2" t="str">
        <f aca="false">_xlfn.IFS(B1968&lt;30,"Under 30",B1968&lt;40,"30-39",B1968&lt;50,"40-49",B1968&lt;60,"50-59",TRUE(),"60+")</f>
        <v>40-49</v>
      </c>
      <c r="O1968" s="2" t="str">
        <f aca="false">_xlfn.IFS(G1968&lt;0,"1 Negative",G1968=0,"2 Zero",G1968&lt;=500,"3 1-500",G1968&lt;=2000,"4 501-2000",TRUE(),"5 Above 2000")</f>
        <v>3 1-500</v>
      </c>
      <c r="P1968" s="2" t="n">
        <f aca="false">Lookups!$B$2*M1968+Lookups!$B$3*L1968</f>
        <v>0</v>
      </c>
      <c r="Q1968" s="2" t="str">
        <f aca="false">INDEX(Lookups!$E$2:$E$5,MATCH(P1968,Lookups!$D$2:$D$5,0))</f>
        <v>Low</v>
      </c>
    </row>
    <row r="1969" customFormat="false" ht="15" hidden="false" customHeight="false" outlineLevel="0" collapsed="false">
      <c r="A1969" s="3" t="n">
        <v>1968</v>
      </c>
      <c r="B1969" s="3" t="n">
        <f aca="false">Raw_Data!A1969</f>
        <v>32</v>
      </c>
      <c r="C1969" s="3" t="str">
        <f aca="false">SUBSTITUTE(Raw_Data!B1969,".","")</f>
        <v>blue-collar</v>
      </c>
      <c r="D1969" s="3" t="str">
        <f aca="false">Raw_Data!C1969</f>
        <v>married</v>
      </c>
      <c r="E1969" s="3" t="str">
        <f aca="false">Raw_Data!D1969</f>
        <v>secondary</v>
      </c>
      <c r="F1969" s="3" t="str">
        <f aca="false">Raw_Data!E1969</f>
        <v>no</v>
      </c>
      <c r="G1969" s="3" t="n">
        <f aca="false">Raw_Data!F1969</f>
        <v>950</v>
      </c>
      <c r="H1969" s="3" t="str">
        <f aca="false">Raw_Data!G1969</f>
        <v>yes</v>
      </c>
      <c r="I1969" s="3" t="str">
        <f aca="false">Raw_Data!H1969</f>
        <v>yes</v>
      </c>
      <c r="J1969" s="2" t="n">
        <f aca="false">IF(F1969="yes",1,0)</f>
        <v>0</v>
      </c>
      <c r="K1969" s="2" t="n">
        <f aca="false">IF(H1969="yes",1,0)</f>
        <v>1</v>
      </c>
      <c r="L1969" s="2" t="n">
        <f aca="false">IF(I1969="yes",1,0)</f>
        <v>1</v>
      </c>
      <c r="M1969" s="2" t="n">
        <f aca="false">IF(G1969&lt;0,1,0)</f>
        <v>0</v>
      </c>
      <c r="N1969" s="2" t="str">
        <f aca="false">_xlfn.IFS(B1969&lt;30,"Under 30",B1969&lt;40,"30-39",B1969&lt;50,"40-49",B1969&lt;60,"50-59",TRUE(),"60+")</f>
        <v>30-39</v>
      </c>
      <c r="O1969" s="2" t="str">
        <f aca="false">_xlfn.IFS(G1969&lt;0,"1 Negative",G1969=0,"2 Zero",G1969&lt;=500,"3 1-500",G1969&lt;=2000,"4 501-2000",TRUE(),"5 Above 2000")</f>
        <v>4 501-2000</v>
      </c>
      <c r="P1969" s="2" t="n">
        <f aca="false">Lookups!$B$2*M1969+Lookups!$B$3*L1969</f>
        <v>1</v>
      </c>
      <c r="Q1969" s="2" t="str">
        <f aca="false">INDEX(Lookups!$E$2:$E$5,MATCH(P1969,Lookups!$D$2:$D$5,0))</f>
        <v>Medium</v>
      </c>
    </row>
    <row r="1970" customFormat="false" ht="15" hidden="false" customHeight="false" outlineLevel="0" collapsed="false">
      <c r="A1970" s="3" t="n">
        <v>1969</v>
      </c>
      <c r="B1970" s="3" t="n">
        <f aca="false">Raw_Data!A1970</f>
        <v>52</v>
      </c>
      <c r="C1970" s="3" t="str">
        <f aca="false">SUBSTITUTE(Raw_Data!B1970,".","")</f>
        <v>management</v>
      </c>
      <c r="D1970" s="3" t="str">
        <f aca="false">Raw_Data!C1970</f>
        <v>married</v>
      </c>
      <c r="E1970" s="3" t="str">
        <f aca="false">Raw_Data!D1970</f>
        <v>tertiary</v>
      </c>
      <c r="F1970" s="3" t="str">
        <f aca="false">Raw_Data!E1970</f>
        <v>no</v>
      </c>
      <c r="G1970" s="3" t="n">
        <f aca="false">Raw_Data!F1970</f>
        <v>0</v>
      </c>
      <c r="H1970" s="3" t="str">
        <f aca="false">Raw_Data!G1970</f>
        <v>yes</v>
      </c>
      <c r="I1970" s="3" t="str">
        <f aca="false">Raw_Data!H1970</f>
        <v>no</v>
      </c>
      <c r="J1970" s="2" t="n">
        <f aca="false">IF(F1970="yes",1,0)</f>
        <v>0</v>
      </c>
      <c r="K1970" s="2" t="n">
        <f aca="false">IF(H1970="yes",1,0)</f>
        <v>1</v>
      </c>
      <c r="L1970" s="2" t="n">
        <f aca="false">IF(I1970="yes",1,0)</f>
        <v>0</v>
      </c>
      <c r="M1970" s="2" t="n">
        <f aca="false">IF(G1970&lt;0,1,0)</f>
        <v>0</v>
      </c>
      <c r="N1970" s="2" t="str">
        <f aca="false">_xlfn.IFS(B1970&lt;30,"Under 30",B1970&lt;40,"30-39",B1970&lt;50,"40-49",B1970&lt;60,"50-59",TRUE(),"60+")</f>
        <v>50-59</v>
      </c>
      <c r="O1970" s="2" t="str">
        <f aca="false">_xlfn.IFS(G1970&lt;0,"1 Negative",G1970=0,"2 Zero",G1970&lt;=500,"3 1-500",G1970&lt;=2000,"4 501-2000",TRUE(),"5 Above 2000")</f>
        <v>2 Zero</v>
      </c>
      <c r="P1970" s="2" t="n">
        <f aca="false">Lookups!$B$2*M1970+Lookups!$B$3*L1970</f>
        <v>0</v>
      </c>
      <c r="Q1970" s="2" t="str">
        <f aca="false">INDEX(Lookups!$E$2:$E$5,MATCH(P1970,Lookups!$D$2:$D$5,0))</f>
        <v>Low</v>
      </c>
    </row>
    <row r="1971" customFormat="false" ht="15" hidden="false" customHeight="false" outlineLevel="0" collapsed="false">
      <c r="A1971" s="3" t="n">
        <v>1970</v>
      </c>
      <c r="B1971" s="3" t="n">
        <f aca="false">Raw_Data!A1971</f>
        <v>35</v>
      </c>
      <c r="C1971" s="3" t="str">
        <f aca="false">SUBSTITUTE(Raw_Data!B1971,".","")</f>
        <v>management</v>
      </c>
      <c r="D1971" s="3" t="str">
        <f aca="false">Raw_Data!C1971</f>
        <v>married</v>
      </c>
      <c r="E1971" s="3" t="str">
        <f aca="false">Raw_Data!D1971</f>
        <v>tertiary</v>
      </c>
      <c r="F1971" s="3" t="str">
        <f aca="false">Raw_Data!E1971</f>
        <v>no</v>
      </c>
      <c r="G1971" s="3" t="n">
        <f aca="false">Raw_Data!F1971</f>
        <v>175</v>
      </c>
      <c r="H1971" s="3" t="str">
        <f aca="false">Raw_Data!G1971</f>
        <v>yes</v>
      </c>
      <c r="I1971" s="3" t="str">
        <f aca="false">Raw_Data!H1971</f>
        <v>no</v>
      </c>
      <c r="J1971" s="2" t="n">
        <f aca="false">IF(F1971="yes",1,0)</f>
        <v>0</v>
      </c>
      <c r="K1971" s="2" t="n">
        <f aca="false">IF(H1971="yes",1,0)</f>
        <v>1</v>
      </c>
      <c r="L1971" s="2" t="n">
        <f aca="false">IF(I1971="yes",1,0)</f>
        <v>0</v>
      </c>
      <c r="M1971" s="2" t="n">
        <f aca="false">IF(G1971&lt;0,1,0)</f>
        <v>0</v>
      </c>
      <c r="N1971" s="2" t="str">
        <f aca="false">_xlfn.IFS(B1971&lt;30,"Under 30",B1971&lt;40,"30-39",B1971&lt;50,"40-49",B1971&lt;60,"50-59",TRUE(),"60+")</f>
        <v>30-39</v>
      </c>
      <c r="O1971" s="2" t="str">
        <f aca="false">_xlfn.IFS(G1971&lt;0,"1 Negative",G1971=0,"2 Zero",G1971&lt;=500,"3 1-500",G1971&lt;=2000,"4 501-2000",TRUE(),"5 Above 2000")</f>
        <v>3 1-500</v>
      </c>
      <c r="P1971" s="2" t="n">
        <f aca="false">Lookups!$B$2*M1971+Lookups!$B$3*L1971</f>
        <v>0</v>
      </c>
      <c r="Q1971" s="2" t="str">
        <f aca="false">INDEX(Lookups!$E$2:$E$5,MATCH(P1971,Lookups!$D$2:$D$5,0))</f>
        <v>Low</v>
      </c>
    </row>
    <row r="1972" customFormat="false" ht="15" hidden="false" customHeight="false" outlineLevel="0" collapsed="false">
      <c r="A1972" s="3" t="n">
        <v>1971</v>
      </c>
      <c r="B1972" s="3" t="n">
        <f aca="false">Raw_Data!A1972</f>
        <v>35</v>
      </c>
      <c r="C1972" s="3" t="str">
        <f aca="false">SUBSTITUTE(Raw_Data!B1972,".","")</f>
        <v>technician</v>
      </c>
      <c r="D1972" s="3" t="str">
        <f aca="false">Raw_Data!C1972</f>
        <v>married</v>
      </c>
      <c r="E1972" s="3" t="str">
        <f aca="false">Raw_Data!D1972</f>
        <v>secondary</v>
      </c>
      <c r="F1972" s="3" t="str">
        <f aca="false">Raw_Data!E1972</f>
        <v>no</v>
      </c>
      <c r="G1972" s="3" t="n">
        <f aca="false">Raw_Data!F1972</f>
        <v>-259</v>
      </c>
      <c r="H1972" s="3" t="str">
        <f aca="false">Raw_Data!G1972</f>
        <v>yes</v>
      </c>
      <c r="I1972" s="3" t="str">
        <f aca="false">Raw_Data!H1972</f>
        <v>no</v>
      </c>
      <c r="J1972" s="2" t="n">
        <f aca="false">IF(F1972="yes",1,0)</f>
        <v>0</v>
      </c>
      <c r="K1972" s="2" t="n">
        <f aca="false">IF(H1972="yes",1,0)</f>
        <v>1</v>
      </c>
      <c r="L1972" s="2" t="n">
        <f aca="false">IF(I1972="yes",1,0)</f>
        <v>0</v>
      </c>
      <c r="M1972" s="2" t="n">
        <f aca="false">IF(G1972&lt;0,1,0)</f>
        <v>1</v>
      </c>
      <c r="N1972" s="2" t="str">
        <f aca="false">_xlfn.IFS(B1972&lt;30,"Under 30",B1972&lt;40,"30-39",B1972&lt;50,"40-49",B1972&lt;60,"50-59",TRUE(),"60+")</f>
        <v>30-39</v>
      </c>
      <c r="O1972" s="2" t="str">
        <f aca="false">_xlfn.IFS(G1972&lt;0,"1 Negative",G1972=0,"2 Zero",G1972&lt;=500,"3 1-500",G1972&lt;=2000,"4 501-2000",TRUE(),"5 Above 2000")</f>
        <v>1 Negative</v>
      </c>
      <c r="P1972" s="2" t="n">
        <f aca="false">Lookups!$B$2*M1972+Lookups!$B$3*L1972</f>
        <v>2</v>
      </c>
      <c r="Q1972" s="2" t="str">
        <f aca="false">INDEX(Lookups!$E$2:$E$5,MATCH(P1972,Lookups!$D$2:$D$5,0))</f>
        <v>High</v>
      </c>
    </row>
    <row r="1973" customFormat="false" ht="15" hidden="false" customHeight="false" outlineLevel="0" collapsed="false">
      <c r="A1973" s="3" t="n">
        <v>1972</v>
      </c>
      <c r="B1973" s="3" t="n">
        <f aca="false">Raw_Data!A1973</f>
        <v>32</v>
      </c>
      <c r="C1973" s="3" t="str">
        <f aca="false">SUBSTITUTE(Raw_Data!B1973,".","")</f>
        <v>management</v>
      </c>
      <c r="D1973" s="3" t="str">
        <f aca="false">Raw_Data!C1973</f>
        <v>married</v>
      </c>
      <c r="E1973" s="3" t="str">
        <f aca="false">Raw_Data!D1973</f>
        <v>secondary</v>
      </c>
      <c r="F1973" s="3" t="str">
        <f aca="false">Raw_Data!E1973</f>
        <v>no</v>
      </c>
      <c r="G1973" s="3" t="n">
        <f aca="false">Raw_Data!F1973</f>
        <v>6217</v>
      </c>
      <c r="H1973" s="3" t="str">
        <f aca="false">Raw_Data!G1973</f>
        <v>yes</v>
      </c>
      <c r="I1973" s="3" t="str">
        <f aca="false">Raw_Data!H1973</f>
        <v>yes</v>
      </c>
      <c r="J1973" s="2" t="n">
        <f aca="false">IF(F1973="yes",1,0)</f>
        <v>0</v>
      </c>
      <c r="K1973" s="2" t="n">
        <f aca="false">IF(H1973="yes",1,0)</f>
        <v>1</v>
      </c>
      <c r="L1973" s="2" t="n">
        <f aca="false">IF(I1973="yes",1,0)</f>
        <v>1</v>
      </c>
      <c r="M1973" s="2" t="n">
        <f aca="false">IF(G1973&lt;0,1,0)</f>
        <v>0</v>
      </c>
      <c r="N1973" s="2" t="str">
        <f aca="false">_xlfn.IFS(B1973&lt;30,"Under 30",B1973&lt;40,"30-39",B1973&lt;50,"40-49",B1973&lt;60,"50-59",TRUE(),"60+")</f>
        <v>30-39</v>
      </c>
      <c r="O1973" s="2" t="str">
        <f aca="false">_xlfn.IFS(G1973&lt;0,"1 Negative",G1973=0,"2 Zero",G1973&lt;=500,"3 1-500",G1973&lt;=2000,"4 501-2000",TRUE(),"5 Above 2000")</f>
        <v>5 Above 2000</v>
      </c>
      <c r="P1973" s="2" t="n">
        <f aca="false">Lookups!$B$2*M1973+Lookups!$B$3*L1973</f>
        <v>1</v>
      </c>
      <c r="Q1973" s="2" t="str">
        <f aca="false">INDEX(Lookups!$E$2:$E$5,MATCH(P1973,Lookups!$D$2:$D$5,0))</f>
        <v>Medium</v>
      </c>
    </row>
    <row r="1974" customFormat="false" ht="15" hidden="false" customHeight="false" outlineLevel="0" collapsed="false">
      <c r="A1974" s="3" t="n">
        <v>1973</v>
      </c>
      <c r="B1974" s="3" t="n">
        <f aca="false">Raw_Data!A1974</f>
        <v>42</v>
      </c>
      <c r="C1974" s="3" t="str">
        <f aca="false">SUBSTITUTE(Raw_Data!B1974,".","")</f>
        <v>technician</v>
      </c>
      <c r="D1974" s="3" t="str">
        <f aca="false">Raw_Data!C1974</f>
        <v>married</v>
      </c>
      <c r="E1974" s="3" t="str">
        <f aca="false">Raw_Data!D1974</f>
        <v>secondary</v>
      </c>
      <c r="F1974" s="3" t="str">
        <f aca="false">Raw_Data!E1974</f>
        <v>no</v>
      </c>
      <c r="G1974" s="3" t="n">
        <f aca="false">Raw_Data!F1974</f>
        <v>-1310</v>
      </c>
      <c r="H1974" s="3" t="str">
        <f aca="false">Raw_Data!G1974</f>
        <v>yes</v>
      </c>
      <c r="I1974" s="3" t="str">
        <f aca="false">Raw_Data!H1974</f>
        <v>yes</v>
      </c>
      <c r="J1974" s="2" t="n">
        <f aca="false">IF(F1974="yes",1,0)</f>
        <v>0</v>
      </c>
      <c r="K1974" s="2" t="n">
        <f aca="false">IF(H1974="yes",1,0)</f>
        <v>1</v>
      </c>
      <c r="L1974" s="2" t="n">
        <f aca="false">IF(I1974="yes",1,0)</f>
        <v>1</v>
      </c>
      <c r="M1974" s="2" t="n">
        <f aca="false">IF(G1974&lt;0,1,0)</f>
        <v>1</v>
      </c>
      <c r="N1974" s="2" t="str">
        <f aca="false">_xlfn.IFS(B1974&lt;30,"Under 30",B1974&lt;40,"30-39",B1974&lt;50,"40-49",B1974&lt;60,"50-59",TRUE(),"60+")</f>
        <v>40-49</v>
      </c>
      <c r="O1974" s="2" t="str">
        <f aca="false">_xlfn.IFS(G1974&lt;0,"1 Negative",G1974=0,"2 Zero",G1974&lt;=500,"3 1-500",G1974&lt;=2000,"4 501-2000",TRUE(),"5 Above 2000")</f>
        <v>1 Negative</v>
      </c>
      <c r="P1974" s="2" t="n">
        <f aca="false">Lookups!$B$2*M1974+Lookups!$B$3*L1974</f>
        <v>3</v>
      </c>
      <c r="Q1974" s="2" t="str">
        <f aca="false">INDEX(Lookups!$E$2:$E$5,MATCH(P1974,Lookups!$D$2:$D$5,0))</f>
        <v>High</v>
      </c>
    </row>
    <row r="1975" customFormat="false" ht="15" hidden="false" customHeight="false" outlineLevel="0" collapsed="false">
      <c r="A1975" s="3" t="n">
        <v>1974</v>
      </c>
      <c r="B1975" s="3" t="n">
        <f aca="false">Raw_Data!A1975</f>
        <v>59</v>
      </c>
      <c r="C1975" s="3" t="str">
        <f aca="false">SUBSTITUTE(Raw_Data!B1975,".","")</f>
        <v>blue-collar</v>
      </c>
      <c r="D1975" s="3" t="str">
        <f aca="false">Raw_Data!C1975</f>
        <v>married</v>
      </c>
      <c r="E1975" s="3" t="str">
        <f aca="false">Raw_Data!D1975</f>
        <v>unknown</v>
      </c>
      <c r="F1975" s="3" t="str">
        <f aca="false">Raw_Data!E1975</f>
        <v>no</v>
      </c>
      <c r="G1975" s="3" t="n">
        <f aca="false">Raw_Data!F1975</f>
        <v>139</v>
      </c>
      <c r="H1975" s="3" t="str">
        <f aca="false">Raw_Data!G1975</f>
        <v>no</v>
      </c>
      <c r="I1975" s="3" t="str">
        <f aca="false">Raw_Data!H1975</f>
        <v>no</v>
      </c>
      <c r="J1975" s="2" t="n">
        <f aca="false">IF(F1975="yes",1,0)</f>
        <v>0</v>
      </c>
      <c r="K1975" s="2" t="n">
        <f aca="false">IF(H1975="yes",1,0)</f>
        <v>0</v>
      </c>
      <c r="L1975" s="2" t="n">
        <f aca="false">IF(I1975="yes",1,0)</f>
        <v>0</v>
      </c>
      <c r="M1975" s="2" t="n">
        <f aca="false">IF(G1975&lt;0,1,0)</f>
        <v>0</v>
      </c>
      <c r="N1975" s="2" t="str">
        <f aca="false">_xlfn.IFS(B1975&lt;30,"Under 30",B1975&lt;40,"30-39",B1975&lt;50,"40-49",B1975&lt;60,"50-59",TRUE(),"60+")</f>
        <v>50-59</v>
      </c>
      <c r="O1975" s="2" t="str">
        <f aca="false">_xlfn.IFS(G1975&lt;0,"1 Negative",G1975=0,"2 Zero",G1975&lt;=500,"3 1-500",G1975&lt;=2000,"4 501-2000",TRUE(),"5 Above 2000")</f>
        <v>3 1-500</v>
      </c>
      <c r="P1975" s="2" t="n">
        <f aca="false">Lookups!$B$2*M1975+Lookups!$B$3*L1975</f>
        <v>0</v>
      </c>
      <c r="Q1975" s="2" t="str">
        <f aca="false">INDEX(Lookups!$E$2:$E$5,MATCH(P1975,Lookups!$D$2:$D$5,0))</f>
        <v>Low</v>
      </c>
    </row>
    <row r="1976" customFormat="false" ht="15" hidden="false" customHeight="false" outlineLevel="0" collapsed="false">
      <c r="A1976" s="3" t="n">
        <v>1975</v>
      </c>
      <c r="B1976" s="3" t="n">
        <f aca="false">Raw_Data!A1976</f>
        <v>44</v>
      </c>
      <c r="C1976" s="3" t="str">
        <f aca="false">SUBSTITUTE(Raw_Data!B1976,".","")</f>
        <v>technician</v>
      </c>
      <c r="D1976" s="3" t="str">
        <f aca="false">Raw_Data!C1976</f>
        <v>single</v>
      </c>
      <c r="E1976" s="3" t="str">
        <f aca="false">Raw_Data!D1976</f>
        <v>secondary</v>
      </c>
      <c r="F1976" s="3" t="str">
        <f aca="false">Raw_Data!E1976</f>
        <v>no</v>
      </c>
      <c r="G1976" s="3" t="n">
        <f aca="false">Raw_Data!F1976</f>
        <v>7138</v>
      </c>
      <c r="H1976" s="3" t="str">
        <f aca="false">Raw_Data!G1976</f>
        <v>no</v>
      </c>
      <c r="I1976" s="3" t="str">
        <f aca="false">Raw_Data!H1976</f>
        <v>no</v>
      </c>
      <c r="J1976" s="2" t="n">
        <f aca="false">IF(F1976="yes",1,0)</f>
        <v>0</v>
      </c>
      <c r="K1976" s="2" t="n">
        <f aca="false">IF(H1976="yes",1,0)</f>
        <v>0</v>
      </c>
      <c r="L1976" s="2" t="n">
        <f aca="false">IF(I1976="yes",1,0)</f>
        <v>0</v>
      </c>
      <c r="M1976" s="2" t="n">
        <f aca="false">IF(G1976&lt;0,1,0)</f>
        <v>0</v>
      </c>
      <c r="N1976" s="2" t="str">
        <f aca="false">_xlfn.IFS(B1976&lt;30,"Under 30",B1976&lt;40,"30-39",B1976&lt;50,"40-49",B1976&lt;60,"50-59",TRUE(),"60+")</f>
        <v>40-49</v>
      </c>
      <c r="O1976" s="2" t="str">
        <f aca="false">_xlfn.IFS(G1976&lt;0,"1 Negative",G1976=0,"2 Zero",G1976&lt;=500,"3 1-500",G1976&lt;=2000,"4 501-2000",TRUE(),"5 Above 2000")</f>
        <v>5 Above 2000</v>
      </c>
      <c r="P1976" s="2" t="n">
        <f aca="false">Lookups!$B$2*M1976+Lookups!$B$3*L1976</f>
        <v>0</v>
      </c>
      <c r="Q1976" s="2" t="str">
        <f aca="false">INDEX(Lookups!$E$2:$E$5,MATCH(P1976,Lookups!$D$2:$D$5,0))</f>
        <v>Low</v>
      </c>
    </row>
    <row r="1977" customFormat="false" ht="15" hidden="false" customHeight="false" outlineLevel="0" collapsed="false">
      <c r="A1977" s="3" t="n">
        <v>1976</v>
      </c>
      <c r="B1977" s="3" t="n">
        <f aca="false">Raw_Data!A1977</f>
        <v>50</v>
      </c>
      <c r="C1977" s="3" t="str">
        <f aca="false">SUBSTITUTE(Raw_Data!B1977,".","")</f>
        <v>admin</v>
      </c>
      <c r="D1977" s="3" t="str">
        <f aca="false">Raw_Data!C1977</f>
        <v>divorced</v>
      </c>
      <c r="E1977" s="3" t="str">
        <f aca="false">Raw_Data!D1977</f>
        <v>secondary</v>
      </c>
      <c r="F1977" s="3" t="str">
        <f aca="false">Raw_Data!E1977</f>
        <v>no</v>
      </c>
      <c r="G1977" s="3" t="n">
        <f aca="false">Raw_Data!F1977</f>
        <v>1111</v>
      </c>
      <c r="H1977" s="3" t="str">
        <f aca="false">Raw_Data!G1977</f>
        <v>yes</v>
      </c>
      <c r="I1977" s="3" t="str">
        <f aca="false">Raw_Data!H1977</f>
        <v>no</v>
      </c>
      <c r="J1977" s="2" t="n">
        <f aca="false">IF(F1977="yes",1,0)</f>
        <v>0</v>
      </c>
      <c r="K1977" s="2" t="n">
        <f aca="false">IF(H1977="yes",1,0)</f>
        <v>1</v>
      </c>
      <c r="L1977" s="2" t="n">
        <f aca="false">IF(I1977="yes",1,0)</f>
        <v>0</v>
      </c>
      <c r="M1977" s="2" t="n">
        <f aca="false">IF(G1977&lt;0,1,0)</f>
        <v>0</v>
      </c>
      <c r="N1977" s="2" t="str">
        <f aca="false">_xlfn.IFS(B1977&lt;30,"Under 30",B1977&lt;40,"30-39",B1977&lt;50,"40-49",B1977&lt;60,"50-59",TRUE(),"60+")</f>
        <v>50-59</v>
      </c>
      <c r="O1977" s="2" t="str">
        <f aca="false">_xlfn.IFS(G1977&lt;0,"1 Negative",G1977=0,"2 Zero",G1977&lt;=500,"3 1-500",G1977&lt;=2000,"4 501-2000",TRUE(),"5 Above 2000")</f>
        <v>4 501-2000</v>
      </c>
      <c r="P1977" s="2" t="n">
        <f aca="false">Lookups!$B$2*M1977+Lookups!$B$3*L1977</f>
        <v>0</v>
      </c>
      <c r="Q1977" s="2" t="str">
        <f aca="false">INDEX(Lookups!$E$2:$E$5,MATCH(P1977,Lookups!$D$2:$D$5,0))</f>
        <v>Low</v>
      </c>
    </row>
    <row r="1978" customFormat="false" ht="15" hidden="false" customHeight="false" outlineLevel="0" collapsed="false">
      <c r="A1978" s="3" t="n">
        <v>1977</v>
      </c>
      <c r="B1978" s="3" t="n">
        <f aca="false">Raw_Data!A1978</f>
        <v>27</v>
      </c>
      <c r="C1978" s="3" t="str">
        <f aca="false">SUBSTITUTE(Raw_Data!B1978,".","")</f>
        <v>blue-collar</v>
      </c>
      <c r="D1978" s="3" t="str">
        <f aca="false">Raw_Data!C1978</f>
        <v>single</v>
      </c>
      <c r="E1978" s="3" t="str">
        <f aca="false">Raw_Data!D1978</f>
        <v>secondary</v>
      </c>
      <c r="F1978" s="3" t="str">
        <f aca="false">Raw_Data!E1978</f>
        <v>no</v>
      </c>
      <c r="G1978" s="3" t="n">
        <f aca="false">Raw_Data!F1978</f>
        <v>113</v>
      </c>
      <c r="H1978" s="3" t="str">
        <f aca="false">Raw_Data!G1978</f>
        <v>no</v>
      </c>
      <c r="I1978" s="3" t="str">
        <f aca="false">Raw_Data!H1978</f>
        <v>no</v>
      </c>
      <c r="J1978" s="2" t="n">
        <f aca="false">IF(F1978="yes",1,0)</f>
        <v>0</v>
      </c>
      <c r="K1978" s="2" t="n">
        <f aca="false">IF(H1978="yes",1,0)</f>
        <v>0</v>
      </c>
      <c r="L1978" s="2" t="n">
        <f aca="false">IF(I1978="yes",1,0)</f>
        <v>0</v>
      </c>
      <c r="M1978" s="2" t="n">
        <f aca="false">IF(G1978&lt;0,1,0)</f>
        <v>0</v>
      </c>
      <c r="N1978" s="2" t="str">
        <f aca="false">_xlfn.IFS(B1978&lt;30,"Under 30",B1978&lt;40,"30-39",B1978&lt;50,"40-49",B1978&lt;60,"50-59",TRUE(),"60+")</f>
        <v>Under 30</v>
      </c>
      <c r="O1978" s="2" t="str">
        <f aca="false">_xlfn.IFS(G1978&lt;0,"1 Negative",G1978=0,"2 Zero",G1978&lt;=500,"3 1-500",G1978&lt;=2000,"4 501-2000",TRUE(),"5 Above 2000")</f>
        <v>3 1-500</v>
      </c>
      <c r="P1978" s="2" t="n">
        <f aca="false">Lookups!$B$2*M1978+Lookups!$B$3*L1978</f>
        <v>0</v>
      </c>
      <c r="Q1978" s="2" t="str">
        <f aca="false">INDEX(Lookups!$E$2:$E$5,MATCH(P1978,Lookups!$D$2:$D$5,0))</f>
        <v>Low</v>
      </c>
    </row>
    <row r="1979" customFormat="false" ht="15" hidden="false" customHeight="false" outlineLevel="0" collapsed="false">
      <c r="A1979" s="3" t="n">
        <v>1978</v>
      </c>
      <c r="B1979" s="3" t="n">
        <f aca="false">Raw_Data!A1979</f>
        <v>55</v>
      </c>
      <c r="C1979" s="3" t="str">
        <f aca="false">SUBSTITUTE(Raw_Data!B1979,".","")</f>
        <v>management</v>
      </c>
      <c r="D1979" s="3" t="str">
        <f aca="false">Raw_Data!C1979</f>
        <v>divorced</v>
      </c>
      <c r="E1979" s="3" t="str">
        <f aca="false">Raw_Data!D1979</f>
        <v>tertiary</v>
      </c>
      <c r="F1979" s="3" t="str">
        <f aca="false">Raw_Data!E1979</f>
        <v>no</v>
      </c>
      <c r="G1979" s="3" t="n">
        <f aca="false">Raw_Data!F1979</f>
        <v>-612</v>
      </c>
      <c r="H1979" s="3" t="str">
        <f aca="false">Raw_Data!G1979</f>
        <v>no</v>
      </c>
      <c r="I1979" s="3" t="str">
        <f aca="false">Raw_Data!H1979</f>
        <v>no</v>
      </c>
      <c r="J1979" s="2" t="n">
        <f aca="false">IF(F1979="yes",1,0)</f>
        <v>0</v>
      </c>
      <c r="K1979" s="2" t="n">
        <f aca="false">IF(H1979="yes",1,0)</f>
        <v>0</v>
      </c>
      <c r="L1979" s="2" t="n">
        <f aca="false">IF(I1979="yes",1,0)</f>
        <v>0</v>
      </c>
      <c r="M1979" s="2" t="n">
        <f aca="false">IF(G1979&lt;0,1,0)</f>
        <v>1</v>
      </c>
      <c r="N1979" s="2" t="str">
        <f aca="false">_xlfn.IFS(B1979&lt;30,"Under 30",B1979&lt;40,"30-39",B1979&lt;50,"40-49",B1979&lt;60,"50-59",TRUE(),"60+")</f>
        <v>50-59</v>
      </c>
      <c r="O1979" s="2" t="str">
        <f aca="false">_xlfn.IFS(G1979&lt;0,"1 Negative",G1979=0,"2 Zero",G1979&lt;=500,"3 1-500",G1979&lt;=2000,"4 501-2000",TRUE(),"5 Above 2000")</f>
        <v>1 Negative</v>
      </c>
      <c r="P1979" s="2" t="n">
        <f aca="false">Lookups!$B$2*M1979+Lookups!$B$3*L1979</f>
        <v>2</v>
      </c>
      <c r="Q1979" s="2" t="str">
        <f aca="false">INDEX(Lookups!$E$2:$E$5,MATCH(P1979,Lookups!$D$2:$D$5,0))</f>
        <v>High</v>
      </c>
    </row>
    <row r="1980" customFormat="false" ht="15" hidden="false" customHeight="false" outlineLevel="0" collapsed="false">
      <c r="A1980" s="3" t="n">
        <v>1979</v>
      </c>
      <c r="B1980" s="3" t="n">
        <f aca="false">Raw_Data!A1980</f>
        <v>54</v>
      </c>
      <c r="C1980" s="3" t="str">
        <f aca="false">SUBSTITUTE(Raw_Data!B1980,".","")</f>
        <v>blue-collar</v>
      </c>
      <c r="D1980" s="3" t="str">
        <f aca="false">Raw_Data!C1980</f>
        <v>married</v>
      </c>
      <c r="E1980" s="3" t="str">
        <f aca="false">Raw_Data!D1980</f>
        <v>unknown</v>
      </c>
      <c r="F1980" s="3" t="str">
        <f aca="false">Raw_Data!E1980</f>
        <v>no</v>
      </c>
      <c r="G1980" s="3" t="n">
        <f aca="false">Raw_Data!F1980</f>
        <v>310</v>
      </c>
      <c r="H1980" s="3" t="str">
        <f aca="false">Raw_Data!G1980</f>
        <v>yes</v>
      </c>
      <c r="I1980" s="3" t="str">
        <f aca="false">Raw_Data!H1980</f>
        <v>no</v>
      </c>
      <c r="J1980" s="2" t="n">
        <f aca="false">IF(F1980="yes",1,0)</f>
        <v>0</v>
      </c>
      <c r="K1980" s="2" t="n">
        <f aca="false">IF(H1980="yes",1,0)</f>
        <v>1</v>
      </c>
      <c r="L1980" s="2" t="n">
        <f aca="false">IF(I1980="yes",1,0)</f>
        <v>0</v>
      </c>
      <c r="M1980" s="2" t="n">
        <f aca="false">IF(G1980&lt;0,1,0)</f>
        <v>0</v>
      </c>
      <c r="N1980" s="2" t="str">
        <f aca="false">_xlfn.IFS(B1980&lt;30,"Under 30",B1980&lt;40,"30-39",B1980&lt;50,"40-49",B1980&lt;60,"50-59",TRUE(),"60+")</f>
        <v>50-59</v>
      </c>
      <c r="O1980" s="2" t="str">
        <f aca="false">_xlfn.IFS(G1980&lt;0,"1 Negative",G1980=0,"2 Zero",G1980&lt;=500,"3 1-500",G1980&lt;=2000,"4 501-2000",TRUE(),"5 Above 2000")</f>
        <v>3 1-500</v>
      </c>
      <c r="P1980" s="2" t="n">
        <f aca="false">Lookups!$B$2*M1980+Lookups!$B$3*L1980</f>
        <v>0</v>
      </c>
      <c r="Q1980" s="2" t="str">
        <f aca="false">INDEX(Lookups!$E$2:$E$5,MATCH(P1980,Lookups!$D$2:$D$5,0))</f>
        <v>Low</v>
      </c>
    </row>
    <row r="1981" customFormat="false" ht="15" hidden="false" customHeight="false" outlineLevel="0" collapsed="false">
      <c r="A1981" s="3" t="n">
        <v>1980</v>
      </c>
      <c r="B1981" s="3" t="n">
        <f aca="false">Raw_Data!A1981</f>
        <v>31</v>
      </c>
      <c r="C1981" s="3" t="str">
        <f aca="false">SUBSTITUTE(Raw_Data!B1981,".","")</f>
        <v>unemployed</v>
      </c>
      <c r="D1981" s="3" t="str">
        <f aca="false">Raw_Data!C1981</f>
        <v>single</v>
      </c>
      <c r="E1981" s="3" t="str">
        <f aca="false">Raw_Data!D1981</f>
        <v>secondary</v>
      </c>
      <c r="F1981" s="3" t="str">
        <f aca="false">Raw_Data!E1981</f>
        <v>no</v>
      </c>
      <c r="G1981" s="3" t="n">
        <f aca="false">Raw_Data!F1981</f>
        <v>-186</v>
      </c>
      <c r="H1981" s="3" t="str">
        <f aca="false">Raw_Data!G1981</f>
        <v>yes</v>
      </c>
      <c r="I1981" s="3" t="str">
        <f aca="false">Raw_Data!H1981</f>
        <v>no</v>
      </c>
      <c r="J1981" s="2" t="n">
        <f aca="false">IF(F1981="yes",1,0)</f>
        <v>0</v>
      </c>
      <c r="K1981" s="2" t="n">
        <f aca="false">IF(H1981="yes",1,0)</f>
        <v>1</v>
      </c>
      <c r="L1981" s="2" t="n">
        <f aca="false">IF(I1981="yes",1,0)</f>
        <v>0</v>
      </c>
      <c r="M1981" s="2" t="n">
        <f aca="false">IF(G1981&lt;0,1,0)</f>
        <v>1</v>
      </c>
      <c r="N1981" s="2" t="str">
        <f aca="false">_xlfn.IFS(B1981&lt;30,"Under 30",B1981&lt;40,"30-39",B1981&lt;50,"40-49",B1981&lt;60,"50-59",TRUE(),"60+")</f>
        <v>30-39</v>
      </c>
      <c r="O1981" s="2" t="str">
        <f aca="false">_xlfn.IFS(G1981&lt;0,"1 Negative",G1981=0,"2 Zero",G1981&lt;=500,"3 1-500",G1981&lt;=2000,"4 501-2000",TRUE(),"5 Above 2000")</f>
        <v>1 Negative</v>
      </c>
      <c r="P1981" s="2" t="n">
        <f aca="false">Lookups!$B$2*M1981+Lookups!$B$3*L1981</f>
        <v>2</v>
      </c>
      <c r="Q1981" s="2" t="str">
        <f aca="false">INDEX(Lookups!$E$2:$E$5,MATCH(P1981,Lookups!$D$2:$D$5,0))</f>
        <v>High</v>
      </c>
    </row>
    <row r="1982" customFormat="false" ht="15" hidden="false" customHeight="false" outlineLevel="0" collapsed="false">
      <c r="A1982" s="3" t="n">
        <v>1981</v>
      </c>
      <c r="B1982" s="3" t="n">
        <f aca="false">Raw_Data!A1982</f>
        <v>56</v>
      </c>
      <c r="C1982" s="3" t="str">
        <f aca="false">SUBSTITUTE(Raw_Data!B1982,".","")</f>
        <v>admin</v>
      </c>
      <c r="D1982" s="3" t="str">
        <f aca="false">Raw_Data!C1982</f>
        <v>married</v>
      </c>
      <c r="E1982" s="3" t="str">
        <f aca="false">Raw_Data!D1982</f>
        <v>unknown</v>
      </c>
      <c r="F1982" s="3" t="str">
        <f aca="false">Raw_Data!E1982</f>
        <v>no</v>
      </c>
      <c r="G1982" s="3" t="n">
        <f aca="false">Raw_Data!F1982</f>
        <v>2038</v>
      </c>
      <c r="H1982" s="3" t="str">
        <f aca="false">Raw_Data!G1982</f>
        <v>no</v>
      </c>
      <c r="I1982" s="3" t="str">
        <f aca="false">Raw_Data!H1982</f>
        <v>no</v>
      </c>
      <c r="J1982" s="2" t="n">
        <f aca="false">IF(F1982="yes",1,0)</f>
        <v>0</v>
      </c>
      <c r="K1982" s="2" t="n">
        <f aca="false">IF(H1982="yes",1,0)</f>
        <v>0</v>
      </c>
      <c r="L1982" s="2" t="n">
        <f aca="false">IF(I1982="yes",1,0)</f>
        <v>0</v>
      </c>
      <c r="M1982" s="2" t="n">
        <f aca="false">IF(G1982&lt;0,1,0)</f>
        <v>0</v>
      </c>
      <c r="N1982" s="2" t="str">
        <f aca="false">_xlfn.IFS(B1982&lt;30,"Under 30",B1982&lt;40,"30-39",B1982&lt;50,"40-49",B1982&lt;60,"50-59",TRUE(),"60+")</f>
        <v>50-59</v>
      </c>
      <c r="O1982" s="2" t="str">
        <f aca="false">_xlfn.IFS(G1982&lt;0,"1 Negative",G1982=0,"2 Zero",G1982&lt;=500,"3 1-500",G1982&lt;=2000,"4 501-2000",TRUE(),"5 Above 2000")</f>
        <v>5 Above 2000</v>
      </c>
      <c r="P1982" s="2" t="n">
        <f aca="false">Lookups!$B$2*M1982+Lookups!$B$3*L1982</f>
        <v>0</v>
      </c>
      <c r="Q1982" s="2" t="str">
        <f aca="false">INDEX(Lookups!$E$2:$E$5,MATCH(P1982,Lookups!$D$2:$D$5,0))</f>
        <v>Low</v>
      </c>
    </row>
    <row r="1983" customFormat="false" ht="15" hidden="false" customHeight="false" outlineLevel="0" collapsed="false">
      <c r="A1983" s="3" t="n">
        <v>1982</v>
      </c>
      <c r="B1983" s="3" t="n">
        <f aca="false">Raw_Data!A1983</f>
        <v>51</v>
      </c>
      <c r="C1983" s="3" t="str">
        <f aca="false">SUBSTITUTE(Raw_Data!B1983,".","")</f>
        <v>self-employed</v>
      </c>
      <c r="D1983" s="3" t="str">
        <f aca="false">Raw_Data!C1983</f>
        <v>married</v>
      </c>
      <c r="E1983" s="3" t="str">
        <f aca="false">Raw_Data!D1983</f>
        <v>tertiary</v>
      </c>
      <c r="F1983" s="3" t="str">
        <f aca="false">Raw_Data!E1983</f>
        <v>no</v>
      </c>
      <c r="G1983" s="3" t="n">
        <f aca="false">Raw_Data!F1983</f>
        <v>833</v>
      </c>
      <c r="H1983" s="3" t="str">
        <f aca="false">Raw_Data!G1983</f>
        <v>no</v>
      </c>
      <c r="I1983" s="3" t="str">
        <f aca="false">Raw_Data!H1983</f>
        <v>no</v>
      </c>
      <c r="J1983" s="2" t="n">
        <f aca="false">IF(F1983="yes",1,0)</f>
        <v>0</v>
      </c>
      <c r="K1983" s="2" t="n">
        <f aca="false">IF(H1983="yes",1,0)</f>
        <v>0</v>
      </c>
      <c r="L1983" s="2" t="n">
        <f aca="false">IF(I1983="yes",1,0)</f>
        <v>0</v>
      </c>
      <c r="M1983" s="2" t="n">
        <f aca="false">IF(G1983&lt;0,1,0)</f>
        <v>0</v>
      </c>
      <c r="N1983" s="2" t="str">
        <f aca="false">_xlfn.IFS(B1983&lt;30,"Under 30",B1983&lt;40,"30-39",B1983&lt;50,"40-49",B1983&lt;60,"50-59",TRUE(),"60+")</f>
        <v>50-59</v>
      </c>
      <c r="O1983" s="2" t="str">
        <f aca="false">_xlfn.IFS(G1983&lt;0,"1 Negative",G1983=0,"2 Zero",G1983&lt;=500,"3 1-500",G1983&lt;=2000,"4 501-2000",TRUE(),"5 Above 2000")</f>
        <v>4 501-2000</v>
      </c>
      <c r="P1983" s="2" t="n">
        <f aca="false">Lookups!$B$2*M1983+Lookups!$B$3*L1983</f>
        <v>0</v>
      </c>
      <c r="Q1983" s="2" t="str">
        <f aca="false">INDEX(Lookups!$E$2:$E$5,MATCH(P1983,Lookups!$D$2:$D$5,0))</f>
        <v>Low</v>
      </c>
    </row>
    <row r="1984" customFormat="false" ht="15" hidden="false" customHeight="false" outlineLevel="0" collapsed="false">
      <c r="A1984" s="3" t="n">
        <v>1983</v>
      </c>
      <c r="B1984" s="3" t="n">
        <f aca="false">Raw_Data!A1984</f>
        <v>61</v>
      </c>
      <c r="C1984" s="3" t="str">
        <f aca="false">SUBSTITUTE(Raw_Data!B1984,".","")</f>
        <v>blue-collar</v>
      </c>
      <c r="D1984" s="3" t="str">
        <f aca="false">Raw_Data!C1984</f>
        <v>married</v>
      </c>
      <c r="E1984" s="3" t="str">
        <f aca="false">Raw_Data!D1984</f>
        <v>primary</v>
      </c>
      <c r="F1984" s="3" t="str">
        <f aca="false">Raw_Data!E1984</f>
        <v>no</v>
      </c>
      <c r="G1984" s="3" t="n">
        <f aca="false">Raw_Data!F1984</f>
        <v>625</v>
      </c>
      <c r="H1984" s="3" t="str">
        <f aca="false">Raw_Data!G1984</f>
        <v>yes</v>
      </c>
      <c r="I1984" s="3" t="str">
        <f aca="false">Raw_Data!H1984</f>
        <v>no</v>
      </c>
      <c r="J1984" s="2" t="n">
        <f aca="false">IF(F1984="yes",1,0)</f>
        <v>0</v>
      </c>
      <c r="K1984" s="2" t="n">
        <f aca="false">IF(H1984="yes",1,0)</f>
        <v>1</v>
      </c>
      <c r="L1984" s="2" t="n">
        <f aca="false">IF(I1984="yes",1,0)</f>
        <v>0</v>
      </c>
      <c r="M1984" s="2" t="n">
        <f aca="false">IF(G1984&lt;0,1,0)</f>
        <v>0</v>
      </c>
      <c r="N1984" s="2" t="str">
        <f aca="false">_xlfn.IFS(B1984&lt;30,"Under 30",B1984&lt;40,"30-39",B1984&lt;50,"40-49",B1984&lt;60,"50-59",TRUE(),"60+")</f>
        <v>60+</v>
      </c>
      <c r="O1984" s="2" t="str">
        <f aca="false">_xlfn.IFS(G1984&lt;0,"1 Negative",G1984=0,"2 Zero",G1984&lt;=500,"3 1-500",G1984&lt;=2000,"4 501-2000",TRUE(),"5 Above 2000")</f>
        <v>4 501-2000</v>
      </c>
      <c r="P1984" s="2" t="n">
        <f aca="false">Lookups!$B$2*M1984+Lookups!$B$3*L1984</f>
        <v>0</v>
      </c>
      <c r="Q1984" s="2" t="str">
        <f aca="false">INDEX(Lookups!$E$2:$E$5,MATCH(P1984,Lookups!$D$2:$D$5,0))</f>
        <v>Low</v>
      </c>
    </row>
    <row r="1985" customFormat="false" ht="15" hidden="false" customHeight="false" outlineLevel="0" collapsed="false">
      <c r="A1985" s="3" t="n">
        <v>1984</v>
      </c>
      <c r="B1985" s="3" t="n">
        <f aca="false">Raw_Data!A1985</f>
        <v>34</v>
      </c>
      <c r="C1985" s="3" t="str">
        <f aca="false">SUBSTITUTE(Raw_Data!B1985,".","")</f>
        <v>technician</v>
      </c>
      <c r="D1985" s="3" t="str">
        <f aca="false">Raw_Data!C1985</f>
        <v>single</v>
      </c>
      <c r="E1985" s="3" t="str">
        <f aca="false">Raw_Data!D1985</f>
        <v>secondary</v>
      </c>
      <c r="F1985" s="3" t="str">
        <f aca="false">Raw_Data!E1985</f>
        <v>no</v>
      </c>
      <c r="G1985" s="3" t="n">
        <f aca="false">Raw_Data!F1985</f>
        <v>105</v>
      </c>
      <c r="H1985" s="3" t="str">
        <f aca="false">Raw_Data!G1985</f>
        <v>yes</v>
      </c>
      <c r="I1985" s="3" t="str">
        <f aca="false">Raw_Data!H1985</f>
        <v>no</v>
      </c>
      <c r="J1985" s="2" t="n">
        <f aca="false">IF(F1985="yes",1,0)</f>
        <v>0</v>
      </c>
      <c r="K1985" s="2" t="n">
        <f aca="false">IF(H1985="yes",1,0)</f>
        <v>1</v>
      </c>
      <c r="L1985" s="2" t="n">
        <f aca="false">IF(I1985="yes",1,0)</f>
        <v>0</v>
      </c>
      <c r="M1985" s="2" t="n">
        <f aca="false">IF(G1985&lt;0,1,0)</f>
        <v>0</v>
      </c>
      <c r="N1985" s="2" t="str">
        <f aca="false">_xlfn.IFS(B1985&lt;30,"Under 30",B1985&lt;40,"30-39",B1985&lt;50,"40-49",B1985&lt;60,"50-59",TRUE(),"60+")</f>
        <v>30-39</v>
      </c>
      <c r="O1985" s="2" t="str">
        <f aca="false">_xlfn.IFS(G1985&lt;0,"1 Negative",G1985=0,"2 Zero",G1985&lt;=500,"3 1-500",G1985&lt;=2000,"4 501-2000",TRUE(),"5 Above 2000")</f>
        <v>3 1-500</v>
      </c>
      <c r="P1985" s="2" t="n">
        <f aca="false">Lookups!$B$2*M1985+Lookups!$B$3*L1985</f>
        <v>0</v>
      </c>
      <c r="Q1985" s="2" t="str">
        <f aca="false">INDEX(Lookups!$E$2:$E$5,MATCH(P1985,Lookups!$D$2:$D$5,0))</f>
        <v>Low</v>
      </c>
    </row>
    <row r="1986" customFormat="false" ht="15" hidden="false" customHeight="false" outlineLevel="0" collapsed="false">
      <c r="A1986" s="3" t="n">
        <v>1985</v>
      </c>
      <c r="B1986" s="3" t="n">
        <f aca="false">Raw_Data!A1986</f>
        <v>56</v>
      </c>
      <c r="C1986" s="3" t="str">
        <f aca="false">SUBSTITUTE(Raw_Data!B1986,".","")</f>
        <v>blue-collar</v>
      </c>
      <c r="D1986" s="3" t="str">
        <f aca="false">Raw_Data!C1986</f>
        <v>married</v>
      </c>
      <c r="E1986" s="3" t="str">
        <f aca="false">Raw_Data!D1986</f>
        <v>primary</v>
      </c>
      <c r="F1986" s="3" t="str">
        <f aca="false">Raw_Data!E1986</f>
        <v>no</v>
      </c>
      <c r="G1986" s="3" t="n">
        <f aca="false">Raw_Data!F1986</f>
        <v>551</v>
      </c>
      <c r="H1986" s="3" t="str">
        <f aca="false">Raw_Data!G1986</f>
        <v>no</v>
      </c>
      <c r="I1986" s="3" t="str">
        <f aca="false">Raw_Data!H1986</f>
        <v>no</v>
      </c>
      <c r="J1986" s="2" t="n">
        <f aca="false">IF(F1986="yes",1,0)</f>
        <v>0</v>
      </c>
      <c r="K1986" s="2" t="n">
        <f aca="false">IF(H1986="yes",1,0)</f>
        <v>0</v>
      </c>
      <c r="L1986" s="2" t="n">
        <f aca="false">IF(I1986="yes",1,0)</f>
        <v>0</v>
      </c>
      <c r="M1986" s="2" t="n">
        <f aca="false">IF(G1986&lt;0,1,0)</f>
        <v>0</v>
      </c>
      <c r="N1986" s="2" t="str">
        <f aca="false">_xlfn.IFS(B1986&lt;30,"Under 30",B1986&lt;40,"30-39",B1986&lt;50,"40-49",B1986&lt;60,"50-59",TRUE(),"60+")</f>
        <v>50-59</v>
      </c>
      <c r="O1986" s="2" t="str">
        <f aca="false">_xlfn.IFS(G1986&lt;0,"1 Negative",G1986=0,"2 Zero",G1986&lt;=500,"3 1-500",G1986&lt;=2000,"4 501-2000",TRUE(),"5 Above 2000")</f>
        <v>4 501-2000</v>
      </c>
      <c r="P1986" s="2" t="n">
        <f aca="false">Lookups!$B$2*M1986+Lookups!$B$3*L1986</f>
        <v>0</v>
      </c>
      <c r="Q1986" s="2" t="str">
        <f aca="false">INDEX(Lookups!$E$2:$E$5,MATCH(P1986,Lookups!$D$2:$D$5,0))</f>
        <v>Low</v>
      </c>
    </row>
    <row r="1987" customFormat="false" ht="15" hidden="false" customHeight="false" outlineLevel="0" collapsed="false">
      <c r="A1987" s="3" t="n">
        <v>1986</v>
      </c>
      <c r="B1987" s="3" t="n">
        <f aca="false">Raw_Data!A1987</f>
        <v>29</v>
      </c>
      <c r="C1987" s="3" t="str">
        <f aca="false">SUBSTITUTE(Raw_Data!B1987,".","")</f>
        <v>student</v>
      </c>
      <c r="D1987" s="3" t="str">
        <f aca="false">Raw_Data!C1987</f>
        <v>single</v>
      </c>
      <c r="E1987" s="3" t="str">
        <f aca="false">Raw_Data!D1987</f>
        <v>unknown</v>
      </c>
      <c r="F1987" s="3" t="str">
        <f aca="false">Raw_Data!E1987</f>
        <v>no</v>
      </c>
      <c r="G1987" s="3" t="n">
        <f aca="false">Raw_Data!F1987</f>
        <v>145</v>
      </c>
      <c r="H1987" s="3" t="str">
        <f aca="false">Raw_Data!G1987</f>
        <v>no</v>
      </c>
      <c r="I1987" s="3" t="str">
        <f aca="false">Raw_Data!H1987</f>
        <v>no</v>
      </c>
      <c r="J1987" s="2" t="n">
        <f aca="false">IF(F1987="yes",1,0)</f>
        <v>0</v>
      </c>
      <c r="K1987" s="2" t="n">
        <f aca="false">IF(H1987="yes",1,0)</f>
        <v>0</v>
      </c>
      <c r="L1987" s="2" t="n">
        <f aca="false">IF(I1987="yes",1,0)</f>
        <v>0</v>
      </c>
      <c r="M1987" s="2" t="n">
        <f aca="false">IF(G1987&lt;0,1,0)</f>
        <v>0</v>
      </c>
      <c r="N1987" s="2" t="str">
        <f aca="false">_xlfn.IFS(B1987&lt;30,"Under 30",B1987&lt;40,"30-39",B1987&lt;50,"40-49",B1987&lt;60,"50-59",TRUE(),"60+")</f>
        <v>Under 30</v>
      </c>
      <c r="O1987" s="2" t="str">
        <f aca="false">_xlfn.IFS(G1987&lt;0,"1 Negative",G1987=0,"2 Zero",G1987&lt;=500,"3 1-500",G1987&lt;=2000,"4 501-2000",TRUE(),"5 Above 2000")</f>
        <v>3 1-500</v>
      </c>
      <c r="P1987" s="2" t="n">
        <f aca="false">Lookups!$B$2*M1987+Lookups!$B$3*L1987</f>
        <v>0</v>
      </c>
      <c r="Q1987" s="2" t="str">
        <f aca="false">INDEX(Lookups!$E$2:$E$5,MATCH(P1987,Lookups!$D$2:$D$5,0))</f>
        <v>Low</v>
      </c>
    </row>
    <row r="1988" customFormat="false" ht="15" hidden="false" customHeight="false" outlineLevel="0" collapsed="false">
      <c r="A1988" s="3" t="n">
        <v>1987</v>
      </c>
      <c r="B1988" s="3" t="n">
        <f aca="false">Raw_Data!A1988</f>
        <v>34</v>
      </c>
      <c r="C1988" s="3" t="str">
        <f aca="false">SUBSTITUTE(Raw_Data!B1988,".","")</f>
        <v>management</v>
      </c>
      <c r="D1988" s="3" t="str">
        <f aca="false">Raw_Data!C1988</f>
        <v>single</v>
      </c>
      <c r="E1988" s="3" t="str">
        <f aca="false">Raw_Data!D1988</f>
        <v>tertiary</v>
      </c>
      <c r="F1988" s="3" t="str">
        <f aca="false">Raw_Data!E1988</f>
        <v>no</v>
      </c>
      <c r="G1988" s="3" t="n">
        <f aca="false">Raw_Data!F1988</f>
        <v>618</v>
      </c>
      <c r="H1988" s="3" t="str">
        <f aca="false">Raw_Data!G1988</f>
        <v>yes</v>
      </c>
      <c r="I1988" s="3" t="str">
        <f aca="false">Raw_Data!H1988</f>
        <v>no</v>
      </c>
      <c r="J1988" s="2" t="n">
        <f aca="false">IF(F1988="yes",1,0)</f>
        <v>0</v>
      </c>
      <c r="K1988" s="2" t="n">
        <f aca="false">IF(H1988="yes",1,0)</f>
        <v>1</v>
      </c>
      <c r="L1988" s="2" t="n">
        <f aca="false">IF(I1988="yes",1,0)</f>
        <v>0</v>
      </c>
      <c r="M1988" s="2" t="n">
        <f aca="false">IF(G1988&lt;0,1,0)</f>
        <v>0</v>
      </c>
      <c r="N1988" s="2" t="str">
        <f aca="false">_xlfn.IFS(B1988&lt;30,"Under 30",B1988&lt;40,"30-39",B1988&lt;50,"40-49",B1988&lt;60,"50-59",TRUE(),"60+")</f>
        <v>30-39</v>
      </c>
      <c r="O1988" s="2" t="str">
        <f aca="false">_xlfn.IFS(G1988&lt;0,"1 Negative",G1988=0,"2 Zero",G1988&lt;=500,"3 1-500",G1988&lt;=2000,"4 501-2000",TRUE(),"5 Above 2000")</f>
        <v>4 501-2000</v>
      </c>
      <c r="P1988" s="2" t="n">
        <f aca="false">Lookups!$B$2*M1988+Lookups!$B$3*L1988</f>
        <v>0</v>
      </c>
      <c r="Q1988" s="2" t="str">
        <f aca="false">INDEX(Lookups!$E$2:$E$5,MATCH(P1988,Lookups!$D$2:$D$5,0))</f>
        <v>Low</v>
      </c>
    </row>
    <row r="1989" customFormat="false" ht="15" hidden="false" customHeight="false" outlineLevel="0" collapsed="false">
      <c r="A1989" s="3" t="n">
        <v>1988</v>
      </c>
      <c r="B1989" s="3" t="n">
        <f aca="false">Raw_Data!A1989</f>
        <v>35</v>
      </c>
      <c r="C1989" s="3" t="str">
        <f aca="false">SUBSTITUTE(Raw_Data!B1989,".","")</f>
        <v>services</v>
      </c>
      <c r="D1989" s="3" t="str">
        <f aca="false">Raw_Data!C1989</f>
        <v>single</v>
      </c>
      <c r="E1989" s="3" t="str">
        <f aca="false">Raw_Data!D1989</f>
        <v>secondary</v>
      </c>
      <c r="F1989" s="3" t="str">
        <f aca="false">Raw_Data!E1989</f>
        <v>no</v>
      </c>
      <c r="G1989" s="3" t="n">
        <f aca="false">Raw_Data!F1989</f>
        <v>1063</v>
      </c>
      <c r="H1989" s="3" t="str">
        <f aca="false">Raw_Data!G1989</f>
        <v>yes</v>
      </c>
      <c r="I1989" s="3" t="str">
        <f aca="false">Raw_Data!H1989</f>
        <v>yes</v>
      </c>
      <c r="J1989" s="2" t="n">
        <f aca="false">IF(F1989="yes",1,0)</f>
        <v>0</v>
      </c>
      <c r="K1989" s="2" t="n">
        <f aca="false">IF(H1989="yes",1,0)</f>
        <v>1</v>
      </c>
      <c r="L1989" s="2" t="n">
        <f aca="false">IF(I1989="yes",1,0)</f>
        <v>1</v>
      </c>
      <c r="M1989" s="2" t="n">
        <f aca="false">IF(G1989&lt;0,1,0)</f>
        <v>0</v>
      </c>
      <c r="N1989" s="2" t="str">
        <f aca="false">_xlfn.IFS(B1989&lt;30,"Under 30",B1989&lt;40,"30-39",B1989&lt;50,"40-49",B1989&lt;60,"50-59",TRUE(),"60+")</f>
        <v>30-39</v>
      </c>
      <c r="O1989" s="2" t="str">
        <f aca="false">_xlfn.IFS(G1989&lt;0,"1 Negative",G1989=0,"2 Zero",G1989&lt;=500,"3 1-500",G1989&lt;=2000,"4 501-2000",TRUE(),"5 Above 2000")</f>
        <v>4 501-2000</v>
      </c>
      <c r="P1989" s="2" t="n">
        <f aca="false">Lookups!$B$2*M1989+Lookups!$B$3*L1989</f>
        <v>1</v>
      </c>
      <c r="Q1989" s="2" t="str">
        <f aca="false">INDEX(Lookups!$E$2:$E$5,MATCH(P1989,Lookups!$D$2:$D$5,0))</f>
        <v>Medium</v>
      </c>
    </row>
    <row r="1990" customFormat="false" ht="15" hidden="false" customHeight="false" outlineLevel="0" collapsed="false">
      <c r="A1990" s="3" t="n">
        <v>1989</v>
      </c>
      <c r="B1990" s="3" t="n">
        <f aca="false">Raw_Data!A1990</f>
        <v>56</v>
      </c>
      <c r="C1990" s="3" t="str">
        <f aca="false">SUBSTITUTE(Raw_Data!B1990,".","")</f>
        <v>admin</v>
      </c>
      <c r="D1990" s="3" t="str">
        <f aca="false">Raw_Data!C1990</f>
        <v>divorced</v>
      </c>
      <c r="E1990" s="3" t="str">
        <f aca="false">Raw_Data!D1990</f>
        <v>secondary</v>
      </c>
      <c r="F1990" s="3" t="str">
        <f aca="false">Raw_Data!E1990</f>
        <v>no</v>
      </c>
      <c r="G1990" s="3" t="n">
        <f aca="false">Raw_Data!F1990</f>
        <v>985</v>
      </c>
      <c r="H1990" s="3" t="str">
        <f aca="false">Raw_Data!G1990</f>
        <v>no</v>
      </c>
      <c r="I1990" s="3" t="str">
        <f aca="false">Raw_Data!H1990</f>
        <v>yes</v>
      </c>
      <c r="J1990" s="2" t="n">
        <f aca="false">IF(F1990="yes",1,0)</f>
        <v>0</v>
      </c>
      <c r="K1990" s="2" t="n">
        <f aca="false">IF(H1990="yes",1,0)</f>
        <v>0</v>
      </c>
      <c r="L1990" s="2" t="n">
        <f aca="false">IF(I1990="yes",1,0)</f>
        <v>1</v>
      </c>
      <c r="M1990" s="2" t="n">
        <f aca="false">IF(G1990&lt;0,1,0)</f>
        <v>0</v>
      </c>
      <c r="N1990" s="2" t="str">
        <f aca="false">_xlfn.IFS(B1990&lt;30,"Under 30",B1990&lt;40,"30-39",B1990&lt;50,"40-49",B1990&lt;60,"50-59",TRUE(),"60+")</f>
        <v>50-59</v>
      </c>
      <c r="O1990" s="2" t="str">
        <f aca="false">_xlfn.IFS(G1990&lt;0,"1 Negative",G1990=0,"2 Zero",G1990&lt;=500,"3 1-500",G1990&lt;=2000,"4 501-2000",TRUE(),"5 Above 2000")</f>
        <v>4 501-2000</v>
      </c>
      <c r="P1990" s="2" t="n">
        <f aca="false">Lookups!$B$2*M1990+Lookups!$B$3*L1990</f>
        <v>1</v>
      </c>
      <c r="Q1990" s="2" t="str">
        <f aca="false">INDEX(Lookups!$E$2:$E$5,MATCH(P1990,Lookups!$D$2:$D$5,0))</f>
        <v>Medium</v>
      </c>
    </row>
    <row r="1991" customFormat="false" ht="15" hidden="false" customHeight="false" outlineLevel="0" collapsed="false">
      <c r="A1991" s="3" t="n">
        <v>1990</v>
      </c>
      <c r="B1991" s="3" t="n">
        <f aca="false">Raw_Data!A1991</f>
        <v>45</v>
      </c>
      <c r="C1991" s="3" t="str">
        <f aca="false">SUBSTITUTE(Raw_Data!B1991,".","")</f>
        <v>blue-collar</v>
      </c>
      <c r="D1991" s="3" t="str">
        <f aca="false">Raw_Data!C1991</f>
        <v>married</v>
      </c>
      <c r="E1991" s="3" t="str">
        <f aca="false">Raw_Data!D1991</f>
        <v>secondary</v>
      </c>
      <c r="F1991" s="3" t="str">
        <f aca="false">Raw_Data!E1991</f>
        <v>no</v>
      </c>
      <c r="G1991" s="3" t="n">
        <f aca="false">Raw_Data!F1991</f>
        <v>2926</v>
      </c>
      <c r="H1991" s="3" t="str">
        <f aca="false">Raw_Data!G1991</f>
        <v>yes</v>
      </c>
      <c r="I1991" s="3" t="str">
        <f aca="false">Raw_Data!H1991</f>
        <v>yes</v>
      </c>
      <c r="J1991" s="2" t="n">
        <f aca="false">IF(F1991="yes",1,0)</f>
        <v>0</v>
      </c>
      <c r="K1991" s="2" t="n">
        <f aca="false">IF(H1991="yes",1,0)</f>
        <v>1</v>
      </c>
      <c r="L1991" s="2" t="n">
        <f aca="false">IF(I1991="yes",1,0)</f>
        <v>1</v>
      </c>
      <c r="M1991" s="2" t="n">
        <f aca="false">IF(G1991&lt;0,1,0)</f>
        <v>0</v>
      </c>
      <c r="N1991" s="2" t="str">
        <f aca="false">_xlfn.IFS(B1991&lt;30,"Under 30",B1991&lt;40,"30-39",B1991&lt;50,"40-49",B1991&lt;60,"50-59",TRUE(),"60+")</f>
        <v>40-49</v>
      </c>
      <c r="O1991" s="2" t="str">
        <f aca="false">_xlfn.IFS(G1991&lt;0,"1 Negative",G1991=0,"2 Zero",G1991&lt;=500,"3 1-500",G1991&lt;=2000,"4 501-2000",TRUE(),"5 Above 2000")</f>
        <v>5 Above 2000</v>
      </c>
      <c r="P1991" s="2" t="n">
        <f aca="false">Lookups!$B$2*M1991+Lookups!$B$3*L1991</f>
        <v>1</v>
      </c>
      <c r="Q1991" s="2" t="str">
        <f aca="false">INDEX(Lookups!$E$2:$E$5,MATCH(P1991,Lookups!$D$2:$D$5,0))</f>
        <v>Medium</v>
      </c>
    </row>
    <row r="1992" customFormat="false" ht="15" hidden="false" customHeight="false" outlineLevel="0" collapsed="false">
      <c r="A1992" s="3" t="n">
        <v>1991</v>
      </c>
      <c r="B1992" s="3" t="n">
        <f aca="false">Raw_Data!A1992</f>
        <v>31</v>
      </c>
      <c r="C1992" s="3" t="str">
        <f aca="false">SUBSTITUTE(Raw_Data!B1992,".","")</f>
        <v>admin</v>
      </c>
      <c r="D1992" s="3" t="str">
        <f aca="false">Raw_Data!C1992</f>
        <v>single</v>
      </c>
      <c r="E1992" s="3" t="str">
        <f aca="false">Raw_Data!D1992</f>
        <v>secondary</v>
      </c>
      <c r="F1992" s="3" t="str">
        <f aca="false">Raw_Data!E1992</f>
        <v>no</v>
      </c>
      <c r="G1992" s="3" t="n">
        <f aca="false">Raw_Data!F1992</f>
        <v>-449</v>
      </c>
      <c r="H1992" s="3" t="str">
        <f aca="false">Raw_Data!G1992</f>
        <v>yes</v>
      </c>
      <c r="I1992" s="3" t="str">
        <f aca="false">Raw_Data!H1992</f>
        <v>no</v>
      </c>
      <c r="J1992" s="2" t="n">
        <f aca="false">IF(F1992="yes",1,0)</f>
        <v>0</v>
      </c>
      <c r="K1992" s="2" t="n">
        <f aca="false">IF(H1992="yes",1,0)</f>
        <v>1</v>
      </c>
      <c r="L1992" s="2" t="n">
        <f aca="false">IF(I1992="yes",1,0)</f>
        <v>0</v>
      </c>
      <c r="M1992" s="2" t="n">
        <f aca="false">IF(G1992&lt;0,1,0)</f>
        <v>1</v>
      </c>
      <c r="N1992" s="2" t="str">
        <f aca="false">_xlfn.IFS(B1992&lt;30,"Under 30",B1992&lt;40,"30-39",B1992&lt;50,"40-49",B1992&lt;60,"50-59",TRUE(),"60+")</f>
        <v>30-39</v>
      </c>
      <c r="O1992" s="2" t="str">
        <f aca="false">_xlfn.IFS(G1992&lt;0,"1 Negative",G1992=0,"2 Zero",G1992&lt;=500,"3 1-500",G1992&lt;=2000,"4 501-2000",TRUE(),"5 Above 2000")</f>
        <v>1 Negative</v>
      </c>
      <c r="P1992" s="2" t="n">
        <f aca="false">Lookups!$B$2*M1992+Lookups!$B$3*L1992</f>
        <v>2</v>
      </c>
      <c r="Q1992" s="2" t="str">
        <f aca="false">INDEX(Lookups!$E$2:$E$5,MATCH(P1992,Lookups!$D$2:$D$5,0))</f>
        <v>High</v>
      </c>
    </row>
    <row r="1993" customFormat="false" ht="15" hidden="false" customHeight="false" outlineLevel="0" collapsed="false">
      <c r="A1993" s="3" t="n">
        <v>1992</v>
      </c>
      <c r="B1993" s="3" t="n">
        <f aca="false">Raw_Data!A1993</f>
        <v>37</v>
      </c>
      <c r="C1993" s="3" t="str">
        <f aca="false">SUBSTITUTE(Raw_Data!B1993,".","")</f>
        <v>entrepreneur</v>
      </c>
      <c r="D1993" s="3" t="str">
        <f aca="false">Raw_Data!C1993</f>
        <v>divorced</v>
      </c>
      <c r="E1993" s="3" t="str">
        <f aca="false">Raw_Data!D1993</f>
        <v>tertiary</v>
      </c>
      <c r="F1993" s="3" t="str">
        <f aca="false">Raw_Data!E1993</f>
        <v>no</v>
      </c>
      <c r="G1993" s="3" t="n">
        <f aca="false">Raw_Data!F1993</f>
        <v>66</v>
      </c>
      <c r="H1993" s="3" t="str">
        <f aca="false">Raw_Data!G1993</f>
        <v>no</v>
      </c>
      <c r="I1993" s="3" t="str">
        <f aca="false">Raw_Data!H1993</f>
        <v>no</v>
      </c>
      <c r="J1993" s="2" t="n">
        <f aca="false">IF(F1993="yes",1,0)</f>
        <v>0</v>
      </c>
      <c r="K1993" s="2" t="n">
        <f aca="false">IF(H1993="yes",1,0)</f>
        <v>0</v>
      </c>
      <c r="L1993" s="2" t="n">
        <f aca="false">IF(I1993="yes",1,0)</f>
        <v>0</v>
      </c>
      <c r="M1993" s="2" t="n">
        <f aca="false">IF(G1993&lt;0,1,0)</f>
        <v>0</v>
      </c>
      <c r="N1993" s="2" t="str">
        <f aca="false">_xlfn.IFS(B1993&lt;30,"Under 30",B1993&lt;40,"30-39",B1993&lt;50,"40-49",B1993&lt;60,"50-59",TRUE(),"60+")</f>
        <v>30-39</v>
      </c>
      <c r="O1993" s="2" t="str">
        <f aca="false">_xlfn.IFS(G1993&lt;0,"1 Negative",G1993=0,"2 Zero",G1993&lt;=500,"3 1-500",G1993&lt;=2000,"4 501-2000",TRUE(),"5 Above 2000")</f>
        <v>3 1-500</v>
      </c>
      <c r="P1993" s="2" t="n">
        <f aca="false">Lookups!$B$2*M1993+Lookups!$B$3*L1993</f>
        <v>0</v>
      </c>
      <c r="Q1993" s="2" t="str">
        <f aca="false">INDEX(Lookups!$E$2:$E$5,MATCH(P1993,Lookups!$D$2:$D$5,0))</f>
        <v>Low</v>
      </c>
    </row>
    <row r="1994" customFormat="false" ht="15" hidden="false" customHeight="false" outlineLevel="0" collapsed="false">
      <c r="A1994" s="3" t="n">
        <v>1993</v>
      </c>
      <c r="B1994" s="3" t="n">
        <f aca="false">Raw_Data!A1994</f>
        <v>43</v>
      </c>
      <c r="C1994" s="3" t="str">
        <f aca="false">SUBSTITUTE(Raw_Data!B1994,".","")</f>
        <v>admin</v>
      </c>
      <c r="D1994" s="3" t="str">
        <f aca="false">Raw_Data!C1994</f>
        <v>married</v>
      </c>
      <c r="E1994" s="3" t="str">
        <f aca="false">Raw_Data!D1994</f>
        <v>secondary</v>
      </c>
      <c r="F1994" s="3" t="str">
        <f aca="false">Raw_Data!E1994</f>
        <v>no</v>
      </c>
      <c r="G1994" s="3" t="n">
        <f aca="false">Raw_Data!F1994</f>
        <v>0</v>
      </c>
      <c r="H1994" s="3" t="str">
        <f aca="false">Raw_Data!G1994</f>
        <v>yes</v>
      </c>
      <c r="I1994" s="3" t="str">
        <f aca="false">Raw_Data!H1994</f>
        <v>no</v>
      </c>
      <c r="J1994" s="2" t="n">
        <f aca="false">IF(F1994="yes",1,0)</f>
        <v>0</v>
      </c>
      <c r="K1994" s="2" t="n">
        <f aca="false">IF(H1994="yes",1,0)</f>
        <v>1</v>
      </c>
      <c r="L1994" s="2" t="n">
        <f aca="false">IF(I1994="yes",1,0)</f>
        <v>0</v>
      </c>
      <c r="M1994" s="2" t="n">
        <f aca="false">IF(G1994&lt;0,1,0)</f>
        <v>0</v>
      </c>
      <c r="N1994" s="2" t="str">
        <f aca="false">_xlfn.IFS(B1994&lt;30,"Under 30",B1994&lt;40,"30-39",B1994&lt;50,"40-49",B1994&lt;60,"50-59",TRUE(),"60+")</f>
        <v>40-49</v>
      </c>
      <c r="O1994" s="2" t="str">
        <f aca="false">_xlfn.IFS(G1994&lt;0,"1 Negative",G1994=0,"2 Zero",G1994&lt;=500,"3 1-500",G1994&lt;=2000,"4 501-2000",TRUE(),"5 Above 2000")</f>
        <v>2 Zero</v>
      </c>
      <c r="P1994" s="2" t="n">
        <f aca="false">Lookups!$B$2*M1994+Lookups!$B$3*L1994</f>
        <v>0</v>
      </c>
      <c r="Q1994" s="2" t="str">
        <f aca="false">INDEX(Lookups!$E$2:$E$5,MATCH(P1994,Lookups!$D$2:$D$5,0))</f>
        <v>Low</v>
      </c>
    </row>
    <row r="1995" customFormat="false" ht="15" hidden="false" customHeight="false" outlineLevel="0" collapsed="false">
      <c r="A1995" s="3" t="n">
        <v>1994</v>
      </c>
      <c r="B1995" s="3" t="n">
        <f aca="false">Raw_Data!A1995</f>
        <v>40</v>
      </c>
      <c r="C1995" s="3" t="str">
        <f aca="false">SUBSTITUTE(Raw_Data!B1995,".","")</f>
        <v>management</v>
      </c>
      <c r="D1995" s="3" t="str">
        <f aca="false">Raw_Data!C1995</f>
        <v>married</v>
      </c>
      <c r="E1995" s="3" t="str">
        <f aca="false">Raw_Data!D1995</f>
        <v>unknown</v>
      </c>
      <c r="F1995" s="3" t="str">
        <f aca="false">Raw_Data!E1995</f>
        <v>no</v>
      </c>
      <c r="G1995" s="3" t="n">
        <f aca="false">Raw_Data!F1995</f>
        <v>419</v>
      </c>
      <c r="H1995" s="3" t="str">
        <f aca="false">Raw_Data!G1995</f>
        <v>yes</v>
      </c>
      <c r="I1995" s="3" t="str">
        <f aca="false">Raw_Data!H1995</f>
        <v>no</v>
      </c>
      <c r="J1995" s="2" t="n">
        <f aca="false">IF(F1995="yes",1,0)</f>
        <v>0</v>
      </c>
      <c r="K1995" s="2" t="n">
        <f aca="false">IF(H1995="yes",1,0)</f>
        <v>1</v>
      </c>
      <c r="L1995" s="2" t="n">
        <f aca="false">IF(I1995="yes",1,0)</f>
        <v>0</v>
      </c>
      <c r="M1995" s="2" t="n">
        <f aca="false">IF(G1995&lt;0,1,0)</f>
        <v>0</v>
      </c>
      <c r="N1995" s="2" t="str">
        <f aca="false">_xlfn.IFS(B1995&lt;30,"Under 30",B1995&lt;40,"30-39",B1995&lt;50,"40-49",B1995&lt;60,"50-59",TRUE(),"60+")</f>
        <v>40-49</v>
      </c>
      <c r="O1995" s="2" t="str">
        <f aca="false">_xlfn.IFS(G1995&lt;0,"1 Negative",G1995=0,"2 Zero",G1995&lt;=500,"3 1-500",G1995&lt;=2000,"4 501-2000",TRUE(),"5 Above 2000")</f>
        <v>3 1-500</v>
      </c>
      <c r="P1995" s="2" t="n">
        <f aca="false">Lookups!$B$2*M1995+Lookups!$B$3*L1995</f>
        <v>0</v>
      </c>
      <c r="Q1995" s="2" t="str">
        <f aca="false">INDEX(Lookups!$E$2:$E$5,MATCH(P1995,Lookups!$D$2:$D$5,0))</f>
        <v>Low</v>
      </c>
    </row>
    <row r="1996" customFormat="false" ht="15" hidden="false" customHeight="false" outlineLevel="0" collapsed="false">
      <c r="A1996" s="3" t="n">
        <v>1995</v>
      </c>
      <c r="B1996" s="3" t="n">
        <f aca="false">Raw_Data!A1996</f>
        <v>44</v>
      </c>
      <c r="C1996" s="3" t="str">
        <f aca="false">SUBSTITUTE(Raw_Data!B1996,".","")</f>
        <v>management</v>
      </c>
      <c r="D1996" s="3" t="str">
        <f aca="false">Raw_Data!C1996</f>
        <v>married</v>
      </c>
      <c r="E1996" s="3" t="str">
        <f aca="false">Raw_Data!D1996</f>
        <v>primary</v>
      </c>
      <c r="F1996" s="3" t="str">
        <f aca="false">Raw_Data!E1996</f>
        <v>no</v>
      </c>
      <c r="G1996" s="3" t="n">
        <f aca="false">Raw_Data!F1996</f>
        <v>4758</v>
      </c>
      <c r="H1996" s="3" t="str">
        <f aca="false">Raw_Data!G1996</f>
        <v>yes</v>
      </c>
      <c r="I1996" s="3" t="str">
        <f aca="false">Raw_Data!H1996</f>
        <v>no</v>
      </c>
      <c r="J1996" s="2" t="n">
        <f aca="false">IF(F1996="yes",1,0)</f>
        <v>0</v>
      </c>
      <c r="K1996" s="2" t="n">
        <f aca="false">IF(H1996="yes",1,0)</f>
        <v>1</v>
      </c>
      <c r="L1996" s="2" t="n">
        <f aca="false">IF(I1996="yes",1,0)</f>
        <v>0</v>
      </c>
      <c r="M1996" s="2" t="n">
        <f aca="false">IF(G1996&lt;0,1,0)</f>
        <v>0</v>
      </c>
      <c r="N1996" s="2" t="str">
        <f aca="false">_xlfn.IFS(B1996&lt;30,"Under 30",B1996&lt;40,"30-39",B1996&lt;50,"40-49",B1996&lt;60,"50-59",TRUE(),"60+")</f>
        <v>40-49</v>
      </c>
      <c r="O1996" s="2" t="str">
        <f aca="false">_xlfn.IFS(G1996&lt;0,"1 Negative",G1996=0,"2 Zero",G1996&lt;=500,"3 1-500",G1996&lt;=2000,"4 501-2000",TRUE(),"5 Above 2000")</f>
        <v>5 Above 2000</v>
      </c>
      <c r="P1996" s="2" t="n">
        <f aca="false">Lookups!$B$2*M1996+Lookups!$B$3*L1996</f>
        <v>0</v>
      </c>
      <c r="Q1996" s="2" t="str">
        <f aca="false">INDEX(Lookups!$E$2:$E$5,MATCH(P1996,Lookups!$D$2:$D$5,0))</f>
        <v>Low</v>
      </c>
    </row>
    <row r="1997" customFormat="false" ht="15" hidden="false" customHeight="false" outlineLevel="0" collapsed="false">
      <c r="A1997" s="3" t="n">
        <v>1996</v>
      </c>
      <c r="B1997" s="3" t="n">
        <f aca="false">Raw_Data!A1997</f>
        <v>38</v>
      </c>
      <c r="C1997" s="3" t="str">
        <f aca="false">SUBSTITUTE(Raw_Data!B1997,".","")</f>
        <v>admin</v>
      </c>
      <c r="D1997" s="3" t="str">
        <f aca="false">Raw_Data!C1997</f>
        <v>single</v>
      </c>
      <c r="E1997" s="3" t="str">
        <f aca="false">Raw_Data!D1997</f>
        <v>secondary</v>
      </c>
      <c r="F1997" s="3" t="str">
        <f aca="false">Raw_Data!E1997</f>
        <v>no</v>
      </c>
      <c r="G1997" s="3" t="n">
        <f aca="false">Raw_Data!F1997</f>
        <v>-23</v>
      </c>
      <c r="H1997" s="3" t="str">
        <f aca="false">Raw_Data!G1997</f>
        <v>no</v>
      </c>
      <c r="I1997" s="3" t="str">
        <f aca="false">Raw_Data!H1997</f>
        <v>no</v>
      </c>
      <c r="J1997" s="2" t="n">
        <f aca="false">IF(F1997="yes",1,0)</f>
        <v>0</v>
      </c>
      <c r="K1997" s="2" t="n">
        <f aca="false">IF(H1997="yes",1,0)</f>
        <v>0</v>
      </c>
      <c r="L1997" s="2" t="n">
        <f aca="false">IF(I1997="yes",1,0)</f>
        <v>0</v>
      </c>
      <c r="M1997" s="2" t="n">
        <f aca="false">IF(G1997&lt;0,1,0)</f>
        <v>1</v>
      </c>
      <c r="N1997" s="2" t="str">
        <f aca="false">_xlfn.IFS(B1997&lt;30,"Under 30",B1997&lt;40,"30-39",B1997&lt;50,"40-49",B1997&lt;60,"50-59",TRUE(),"60+")</f>
        <v>30-39</v>
      </c>
      <c r="O1997" s="2" t="str">
        <f aca="false">_xlfn.IFS(G1997&lt;0,"1 Negative",G1997=0,"2 Zero",G1997&lt;=500,"3 1-500",G1997&lt;=2000,"4 501-2000",TRUE(),"5 Above 2000")</f>
        <v>1 Negative</v>
      </c>
      <c r="P1997" s="2" t="n">
        <f aca="false">Lookups!$B$2*M1997+Lookups!$B$3*L1997</f>
        <v>2</v>
      </c>
      <c r="Q1997" s="2" t="str">
        <f aca="false">INDEX(Lookups!$E$2:$E$5,MATCH(P1997,Lookups!$D$2:$D$5,0))</f>
        <v>High</v>
      </c>
    </row>
    <row r="1998" customFormat="false" ht="15" hidden="false" customHeight="false" outlineLevel="0" collapsed="false">
      <c r="A1998" s="3" t="n">
        <v>1997</v>
      </c>
      <c r="B1998" s="3" t="n">
        <f aca="false">Raw_Data!A1998</f>
        <v>58</v>
      </c>
      <c r="C1998" s="3" t="str">
        <f aca="false">SUBSTITUTE(Raw_Data!B1998,".","")</f>
        <v>management</v>
      </c>
      <c r="D1998" s="3" t="str">
        <f aca="false">Raw_Data!C1998</f>
        <v>divorced</v>
      </c>
      <c r="E1998" s="3" t="str">
        <f aca="false">Raw_Data!D1998</f>
        <v>tertiary</v>
      </c>
      <c r="F1998" s="3" t="str">
        <f aca="false">Raw_Data!E1998</f>
        <v>no</v>
      </c>
      <c r="G1998" s="3" t="n">
        <f aca="false">Raw_Data!F1998</f>
        <v>1573</v>
      </c>
      <c r="H1998" s="3" t="str">
        <f aca="false">Raw_Data!G1998</f>
        <v>yes</v>
      </c>
      <c r="I1998" s="3" t="str">
        <f aca="false">Raw_Data!H1998</f>
        <v>yes</v>
      </c>
      <c r="J1998" s="2" t="n">
        <f aca="false">IF(F1998="yes",1,0)</f>
        <v>0</v>
      </c>
      <c r="K1998" s="2" t="n">
        <f aca="false">IF(H1998="yes",1,0)</f>
        <v>1</v>
      </c>
      <c r="L1998" s="2" t="n">
        <f aca="false">IF(I1998="yes",1,0)</f>
        <v>1</v>
      </c>
      <c r="M1998" s="2" t="n">
        <f aca="false">IF(G1998&lt;0,1,0)</f>
        <v>0</v>
      </c>
      <c r="N1998" s="2" t="str">
        <f aca="false">_xlfn.IFS(B1998&lt;30,"Under 30",B1998&lt;40,"30-39",B1998&lt;50,"40-49",B1998&lt;60,"50-59",TRUE(),"60+")</f>
        <v>50-59</v>
      </c>
      <c r="O1998" s="2" t="str">
        <f aca="false">_xlfn.IFS(G1998&lt;0,"1 Negative",G1998=0,"2 Zero",G1998&lt;=500,"3 1-500",G1998&lt;=2000,"4 501-2000",TRUE(),"5 Above 2000")</f>
        <v>4 501-2000</v>
      </c>
      <c r="P1998" s="2" t="n">
        <f aca="false">Lookups!$B$2*M1998+Lookups!$B$3*L1998</f>
        <v>1</v>
      </c>
      <c r="Q1998" s="2" t="str">
        <f aca="false">INDEX(Lookups!$E$2:$E$5,MATCH(P1998,Lookups!$D$2:$D$5,0))</f>
        <v>Medium</v>
      </c>
    </row>
    <row r="1999" customFormat="false" ht="15" hidden="false" customHeight="false" outlineLevel="0" collapsed="false">
      <c r="A1999" s="3" t="n">
        <v>1998</v>
      </c>
      <c r="B1999" s="3" t="n">
        <f aca="false">Raw_Data!A1999</f>
        <v>24</v>
      </c>
      <c r="C1999" s="3" t="str">
        <f aca="false">SUBSTITUTE(Raw_Data!B1999,".","")</f>
        <v>blue-collar</v>
      </c>
      <c r="D1999" s="3" t="str">
        <f aca="false">Raw_Data!C1999</f>
        <v>single</v>
      </c>
      <c r="E1999" s="3" t="str">
        <f aca="false">Raw_Data!D1999</f>
        <v>secondary</v>
      </c>
      <c r="F1999" s="3" t="str">
        <f aca="false">Raw_Data!E1999</f>
        <v>no</v>
      </c>
      <c r="G1999" s="3" t="n">
        <f aca="false">Raw_Data!F1999</f>
        <v>77</v>
      </c>
      <c r="H1999" s="3" t="str">
        <f aca="false">Raw_Data!G1999</f>
        <v>yes</v>
      </c>
      <c r="I1999" s="3" t="str">
        <f aca="false">Raw_Data!H1999</f>
        <v>no</v>
      </c>
      <c r="J1999" s="2" t="n">
        <f aca="false">IF(F1999="yes",1,0)</f>
        <v>0</v>
      </c>
      <c r="K1999" s="2" t="n">
        <f aca="false">IF(H1999="yes",1,0)</f>
        <v>1</v>
      </c>
      <c r="L1999" s="2" t="n">
        <f aca="false">IF(I1999="yes",1,0)</f>
        <v>0</v>
      </c>
      <c r="M1999" s="2" t="n">
        <f aca="false">IF(G1999&lt;0,1,0)</f>
        <v>0</v>
      </c>
      <c r="N1999" s="2" t="str">
        <f aca="false">_xlfn.IFS(B1999&lt;30,"Under 30",B1999&lt;40,"30-39",B1999&lt;50,"40-49",B1999&lt;60,"50-59",TRUE(),"60+")</f>
        <v>Under 30</v>
      </c>
      <c r="O1999" s="2" t="str">
        <f aca="false">_xlfn.IFS(G1999&lt;0,"1 Negative",G1999=0,"2 Zero",G1999&lt;=500,"3 1-500",G1999&lt;=2000,"4 501-2000",TRUE(),"5 Above 2000")</f>
        <v>3 1-500</v>
      </c>
      <c r="P1999" s="2" t="n">
        <f aca="false">Lookups!$B$2*M1999+Lookups!$B$3*L1999</f>
        <v>0</v>
      </c>
      <c r="Q1999" s="2" t="str">
        <f aca="false">INDEX(Lookups!$E$2:$E$5,MATCH(P1999,Lookups!$D$2:$D$5,0))</f>
        <v>Low</v>
      </c>
    </row>
    <row r="2000" customFormat="false" ht="15" hidden="false" customHeight="false" outlineLevel="0" collapsed="false">
      <c r="A2000" s="3" t="n">
        <v>1999</v>
      </c>
      <c r="B2000" s="3" t="n">
        <f aca="false">Raw_Data!A2000</f>
        <v>53</v>
      </c>
      <c r="C2000" s="3" t="str">
        <f aca="false">SUBSTITUTE(Raw_Data!B2000,".","")</f>
        <v>services</v>
      </c>
      <c r="D2000" s="3" t="str">
        <f aca="false">Raw_Data!C2000</f>
        <v>married</v>
      </c>
      <c r="E2000" s="3" t="str">
        <f aca="false">Raw_Data!D2000</f>
        <v>secondary</v>
      </c>
      <c r="F2000" s="3" t="str">
        <f aca="false">Raw_Data!E2000</f>
        <v>no</v>
      </c>
      <c r="G2000" s="3" t="n">
        <f aca="false">Raw_Data!F2000</f>
        <v>1378</v>
      </c>
      <c r="H2000" s="3" t="str">
        <f aca="false">Raw_Data!G2000</f>
        <v>yes</v>
      </c>
      <c r="I2000" s="3" t="str">
        <f aca="false">Raw_Data!H2000</f>
        <v>no</v>
      </c>
      <c r="J2000" s="2" t="n">
        <f aca="false">IF(F2000="yes",1,0)</f>
        <v>0</v>
      </c>
      <c r="K2000" s="2" t="n">
        <f aca="false">IF(H2000="yes",1,0)</f>
        <v>1</v>
      </c>
      <c r="L2000" s="2" t="n">
        <f aca="false">IF(I2000="yes",1,0)</f>
        <v>0</v>
      </c>
      <c r="M2000" s="2" t="n">
        <f aca="false">IF(G2000&lt;0,1,0)</f>
        <v>0</v>
      </c>
      <c r="N2000" s="2" t="str">
        <f aca="false">_xlfn.IFS(B2000&lt;30,"Under 30",B2000&lt;40,"30-39",B2000&lt;50,"40-49",B2000&lt;60,"50-59",TRUE(),"60+")</f>
        <v>50-59</v>
      </c>
      <c r="O2000" s="2" t="str">
        <f aca="false">_xlfn.IFS(G2000&lt;0,"1 Negative",G2000=0,"2 Zero",G2000&lt;=500,"3 1-500",G2000&lt;=2000,"4 501-2000",TRUE(),"5 Above 2000")</f>
        <v>4 501-2000</v>
      </c>
      <c r="P2000" s="2" t="n">
        <f aca="false">Lookups!$B$2*M2000+Lookups!$B$3*L2000</f>
        <v>0</v>
      </c>
      <c r="Q2000" s="2" t="str">
        <f aca="false">INDEX(Lookups!$E$2:$E$5,MATCH(P2000,Lookups!$D$2:$D$5,0))</f>
        <v>Low</v>
      </c>
    </row>
    <row r="2001" customFormat="false" ht="15" hidden="false" customHeight="false" outlineLevel="0" collapsed="false">
      <c r="A2001" s="3" t="n">
        <v>2000</v>
      </c>
      <c r="B2001" s="3" t="n">
        <f aca="false">Raw_Data!A2001</f>
        <v>36</v>
      </c>
      <c r="C2001" s="3" t="str">
        <f aca="false">SUBSTITUTE(Raw_Data!B2001,".","")</f>
        <v>blue-collar</v>
      </c>
      <c r="D2001" s="3" t="str">
        <f aca="false">Raw_Data!C2001</f>
        <v>married</v>
      </c>
      <c r="E2001" s="3" t="str">
        <f aca="false">Raw_Data!D2001</f>
        <v>secondary</v>
      </c>
      <c r="F2001" s="3" t="str">
        <f aca="false">Raw_Data!E2001</f>
        <v>no</v>
      </c>
      <c r="G2001" s="3" t="n">
        <f aca="false">Raw_Data!F2001</f>
        <v>-73</v>
      </c>
      <c r="H2001" s="3" t="str">
        <f aca="false">Raw_Data!G2001</f>
        <v>yes</v>
      </c>
      <c r="I2001" s="3" t="str">
        <f aca="false">Raw_Data!H2001</f>
        <v>yes</v>
      </c>
      <c r="J2001" s="2" t="n">
        <f aca="false">IF(F2001="yes",1,0)</f>
        <v>0</v>
      </c>
      <c r="K2001" s="2" t="n">
        <f aca="false">IF(H2001="yes",1,0)</f>
        <v>1</v>
      </c>
      <c r="L2001" s="2" t="n">
        <f aca="false">IF(I2001="yes",1,0)</f>
        <v>1</v>
      </c>
      <c r="M2001" s="2" t="n">
        <f aca="false">IF(G2001&lt;0,1,0)</f>
        <v>1</v>
      </c>
      <c r="N2001" s="2" t="str">
        <f aca="false">_xlfn.IFS(B2001&lt;30,"Under 30",B2001&lt;40,"30-39",B2001&lt;50,"40-49",B2001&lt;60,"50-59",TRUE(),"60+")</f>
        <v>30-39</v>
      </c>
      <c r="O2001" s="2" t="str">
        <f aca="false">_xlfn.IFS(G2001&lt;0,"1 Negative",G2001=0,"2 Zero",G2001&lt;=500,"3 1-500",G2001&lt;=2000,"4 501-2000",TRUE(),"5 Above 2000")</f>
        <v>1 Negative</v>
      </c>
      <c r="P2001" s="2" t="n">
        <f aca="false">Lookups!$B$2*M2001+Lookups!$B$3*L2001</f>
        <v>3</v>
      </c>
      <c r="Q2001" s="2" t="str">
        <f aca="false">INDEX(Lookups!$E$2:$E$5,MATCH(P2001,Lookups!$D$2:$D$5,0))</f>
        <v>High</v>
      </c>
    </row>
    <row r="2002" customFormat="false" ht="15" hidden="false" customHeight="false" outlineLevel="0" collapsed="false">
      <c r="A2002" s="3" t="n">
        <v>2001</v>
      </c>
      <c r="B2002" s="3" t="n">
        <f aca="false">Raw_Data!A2002</f>
        <v>28</v>
      </c>
      <c r="C2002" s="3" t="str">
        <f aca="false">SUBSTITUTE(Raw_Data!B2002,".","")</f>
        <v>blue-collar</v>
      </c>
      <c r="D2002" s="3" t="str">
        <f aca="false">Raw_Data!C2002</f>
        <v>married</v>
      </c>
      <c r="E2002" s="3" t="str">
        <f aca="false">Raw_Data!D2002</f>
        <v>primary</v>
      </c>
      <c r="F2002" s="3" t="str">
        <f aca="false">Raw_Data!E2002</f>
        <v>no</v>
      </c>
      <c r="G2002" s="3" t="n">
        <f aca="false">Raw_Data!F2002</f>
        <v>60</v>
      </c>
      <c r="H2002" s="3" t="str">
        <f aca="false">Raw_Data!G2002</f>
        <v>yes</v>
      </c>
      <c r="I2002" s="3" t="str">
        <f aca="false">Raw_Data!H2002</f>
        <v>no</v>
      </c>
      <c r="J2002" s="2" t="n">
        <f aca="false">IF(F2002="yes",1,0)</f>
        <v>0</v>
      </c>
      <c r="K2002" s="2" t="n">
        <f aca="false">IF(H2002="yes",1,0)</f>
        <v>1</v>
      </c>
      <c r="L2002" s="2" t="n">
        <f aca="false">IF(I2002="yes",1,0)</f>
        <v>0</v>
      </c>
      <c r="M2002" s="2" t="n">
        <f aca="false">IF(G2002&lt;0,1,0)</f>
        <v>0</v>
      </c>
      <c r="N2002" s="2" t="str">
        <f aca="false">_xlfn.IFS(B2002&lt;30,"Under 30",B2002&lt;40,"30-39",B2002&lt;50,"40-49",B2002&lt;60,"50-59",TRUE(),"60+")</f>
        <v>Under 30</v>
      </c>
      <c r="O2002" s="2" t="str">
        <f aca="false">_xlfn.IFS(G2002&lt;0,"1 Negative",G2002=0,"2 Zero",G2002&lt;=500,"3 1-500",G2002&lt;=2000,"4 501-2000",TRUE(),"5 Above 2000")</f>
        <v>3 1-500</v>
      </c>
      <c r="P2002" s="2" t="n">
        <f aca="false">Lookups!$B$2*M2002+Lookups!$B$3*L2002</f>
        <v>0</v>
      </c>
      <c r="Q2002" s="2" t="str">
        <f aca="false">INDEX(Lookups!$E$2:$E$5,MATCH(P2002,Lookups!$D$2:$D$5,0))</f>
        <v>Low</v>
      </c>
    </row>
    <row r="2003" customFormat="false" ht="15" hidden="false" customHeight="false" outlineLevel="0" collapsed="false">
      <c r="A2003" s="3" t="n">
        <v>2002</v>
      </c>
      <c r="B2003" s="3" t="n">
        <f aca="false">Raw_Data!A2003</f>
        <v>45</v>
      </c>
      <c r="C2003" s="3" t="str">
        <f aca="false">SUBSTITUTE(Raw_Data!B2003,".","")</f>
        <v>blue-collar</v>
      </c>
      <c r="D2003" s="3" t="str">
        <f aca="false">Raw_Data!C2003</f>
        <v>married</v>
      </c>
      <c r="E2003" s="3" t="str">
        <f aca="false">Raw_Data!D2003</f>
        <v>primary</v>
      </c>
      <c r="F2003" s="3" t="str">
        <f aca="false">Raw_Data!E2003</f>
        <v>no</v>
      </c>
      <c r="G2003" s="3" t="n">
        <f aca="false">Raw_Data!F2003</f>
        <v>137</v>
      </c>
      <c r="H2003" s="3" t="str">
        <f aca="false">Raw_Data!G2003</f>
        <v>yes</v>
      </c>
      <c r="I2003" s="3" t="str">
        <f aca="false">Raw_Data!H2003</f>
        <v>yes</v>
      </c>
      <c r="J2003" s="2" t="n">
        <f aca="false">IF(F2003="yes",1,0)</f>
        <v>0</v>
      </c>
      <c r="K2003" s="2" t="n">
        <f aca="false">IF(H2003="yes",1,0)</f>
        <v>1</v>
      </c>
      <c r="L2003" s="2" t="n">
        <f aca="false">IF(I2003="yes",1,0)</f>
        <v>1</v>
      </c>
      <c r="M2003" s="2" t="n">
        <f aca="false">IF(G2003&lt;0,1,0)</f>
        <v>0</v>
      </c>
      <c r="N2003" s="2" t="str">
        <f aca="false">_xlfn.IFS(B2003&lt;30,"Under 30",B2003&lt;40,"30-39",B2003&lt;50,"40-49",B2003&lt;60,"50-59",TRUE(),"60+")</f>
        <v>40-49</v>
      </c>
      <c r="O2003" s="2" t="str">
        <f aca="false">_xlfn.IFS(G2003&lt;0,"1 Negative",G2003=0,"2 Zero",G2003&lt;=500,"3 1-500",G2003&lt;=2000,"4 501-2000",TRUE(),"5 Above 2000")</f>
        <v>3 1-500</v>
      </c>
      <c r="P2003" s="2" t="n">
        <f aca="false">Lookups!$B$2*M2003+Lookups!$B$3*L2003</f>
        <v>1</v>
      </c>
      <c r="Q2003" s="2" t="str">
        <f aca="false">INDEX(Lookups!$E$2:$E$5,MATCH(P2003,Lookups!$D$2:$D$5,0))</f>
        <v>Medium</v>
      </c>
    </row>
    <row r="2004" customFormat="false" ht="15" hidden="false" customHeight="false" outlineLevel="0" collapsed="false">
      <c r="A2004" s="3" t="n">
        <v>2003</v>
      </c>
      <c r="B2004" s="3" t="n">
        <f aca="false">Raw_Data!A2004</f>
        <v>32</v>
      </c>
      <c r="C2004" s="3" t="str">
        <f aca="false">SUBSTITUTE(Raw_Data!B2004,".","")</f>
        <v>admin</v>
      </c>
      <c r="D2004" s="3" t="str">
        <f aca="false">Raw_Data!C2004</f>
        <v>single</v>
      </c>
      <c r="E2004" s="3" t="str">
        <f aca="false">Raw_Data!D2004</f>
        <v>tertiary</v>
      </c>
      <c r="F2004" s="3" t="str">
        <f aca="false">Raw_Data!E2004</f>
        <v>no</v>
      </c>
      <c r="G2004" s="3" t="n">
        <f aca="false">Raw_Data!F2004</f>
        <v>1583</v>
      </c>
      <c r="H2004" s="3" t="str">
        <f aca="false">Raw_Data!G2004</f>
        <v>yes</v>
      </c>
      <c r="I2004" s="3" t="str">
        <f aca="false">Raw_Data!H2004</f>
        <v>no</v>
      </c>
      <c r="J2004" s="2" t="n">
        <f aca="false">IF(F2004="yes",1,0)</f>
        <v>0</v>
      </c>
      <c r="K2004" s="2" t="n">
        <f aca="false">IF(H2004="yes",1,0)</f>
        <v>1</v>
      </c>
      <c r="L2004" s="2" t="n">
        <f aca="false">IF(I2004="yes",1,0)</f>
        <v>0</v>
      </c>
      <c r="M2004" s="2" t="n">
        <f aca="false">IF(G2004&lt;0,1,0)</f>
        <v>0</v>
      </c>
      <c r="N2004" s="2" t="str">
        <f aca="false">_xlfn.IFS(B2004&lt;30,"Under 30",B2004&lt;40,"30-39",B2004&lt;50,"40-49",B2004&lt;60,"50-59",TRUE(),"60+")</f>
        <v>30-39</v>
      </c>
      <c r="O2004" s="2" t="str">
        <f aca="false">_xlfn.IFS(G2004&lt;0,"1 Negative",G2004=0,"2 Zero",G2004&lt;=500,"3 1-500",G2004&lt;=2000,"4 501-2000",TRUE(),"5 Above 2000")</f>
        <v>4 501-2000</v>
      </c>
      <c r="P2004" s="2" t="n">
        <f aca="false">Lookups!$B$2*M2004+Lookups!$B$3*L2004</f>
        <v>0</v>
      </c>
      <c r="Q2004" s="2" t="str">
        <f aca="false">INDEX(Lookups!$E$2:$E$5,MATCH(P2004,Lookups!$D$2:$D$5,0))</f>
        <v>Low</v>
      </c>
    </row>
    <row r="2005" customFormat="false" ht="15" hidden="false" customHeight="false" outlineLevel="0" collapsed="false">
      <c r="A2005" s="3" t="n">
        <v>2004</v>
      </c>
      <c r="B2005" s="3" t="n">
        <f aca="false">Raw_Data!A2005</f>
        <v>46</v>
      </c>
      <c r="C2005" s="3" t="str">
        <f aca="false">SUBSTITUTE(Raw_Data!B2005,".","")</f>
        <v>admin</v>
      </c>
      <c r="D2005" s="3" t="str">
        <f aca="false">Raw_Data!C2005</f>
        <v>married</v>
      </c>
      <c r="E2005" s="3" t="str">
        <f aca="false">Raw_Data!D2005</f>
        <v>secondary</v>
      </c>
      <c r="F2005" s="3" t="str">
        <f aca="false">Raw_Data!E2005</f>
        <v>no</v>
      </c>
      <c r="G2005" s="3" t="n">
        <f aca="false">Raw_Data!F2005</f>
        <v>-121</v>
      </c>
      <c r="H2005" s="3" t="str">
        <f aca="false">Raw_Data!G2005</f>
        <v>yes</v>
      </c>
      <c r="I2005" s="3" t="str">
        <f aca="false">Raw_Data!H2005</f>
        <v>yes</v>
      </c>
      <c r="J2005" s="2" t="n">
        <f aca="false">IF(F2005="yes",1,0)</f>
        <v>0</v>
      </c>
      <c r="K2005" s="2" t="n">
        <f aca="false">IF(H2005="yes",1,0)</f>
        <v>1</v>
      </c>
      <c r="L2005" s="2" t="n">
        <f aca="false">IF(I2005="yes",1,0)</f>
        <v>1</v>
      </c>
      <c r="M2005" s="2" t="n">
        <f aca="false">IF(G2005&lt;0,1,0)</f>
        <v>1</v>
      </c>
      <c r="N2005" s="2" t="str">
        <f aca="false">_xlfn.IFS(B2005&lt;30,"Under 30",B2005&lt;40,"30-39",B2005&lt;50,"40-49",B2005&lt;60,"50-59",TRUE(),"60+")</f>
        <v>40-49</v>
      </c>
      <c r="O2005" s="2" t="str">
        <f aca="false">_xlfn.IFS(G2005&lt;0,"1 Negative",G2005=0,"2 Zero",G2005&lt;=500,"3 1-500",G2005&lt;=2000,"4 501-2000",TRUE(),"5 Above 2000")</f>
        <v>1 Negative</v>
      </c>
      <c r="P2005" s="2" t="n">
        <f aca="false">Lookups!$B$2*M2005+Lookups!$B$3*L2005</f>
        <v>3</v>
      </c>
      <c r="Q2005" s="2" t="str">
        <f aca="false">INDEX(Lookups!$E$2:$E$5,MATCH(P2005,Lookups!$D$2:$D$5,0))</f>
        <v>High</v>
      </c>
    </row>
    <row r="2006" customFormat="false" ht="15" hidden="false" customHeight="false" outlineLevel="0" collapsed="false">
      <c r="A2006" s="3" t="n">
        <v>2005</v>
      </c>
      <c r="B2006" s="3" t="n">
        <f aca="false">Raw_Data!A2006</f>
        <v>28</v>
      </c>
      <c r="C2006" s="3" t="str">
        <f aca="false">SUBSTITUTE(Raw_Data!B2006,".","")</f>
        <v>blue-collar</v>
      </c>
      <c r="D2006" s="3" t="str">
        <f aca="false">Raw_Data!C2006</f>
        <v>single</v>
      </c>
      <c r="E2006" s="3" t="str">
        <f aca="false">Raw_Data!D2006</f>
        <v>secondary</v>
      </c>
      <c r="F2006" s="3" t="str">
        <f aca="false">Raw_Data!E2006</f>
        <v>no</v>
      </c>
      <c r="G2006" s="3" t="n">
        <f aca="false">Raw_Data!F2006</f>
        <v>1065</v>
      </c>
      <c r="H2006" s="3" t="str">
        <f aca="false">Raw_Data!G2006</f>
        <v>yes</v>
      </c>
      <c r="I2006" s="3" t="str">
        <f aca="false">Raw_Data!H2006</f>
        <v>yes</v>
      </c>
      <c r="J2006" s="2" t="n">
        <f aca="false">IF(F2006="yes",1,0)</f>
        <v>0</v>
      </c>
      <c r="K2006" s="2" t="n">
        <f aca="false">IF(H2006="yes",1,0)</f>
        <v>1</v>
      </c>
      <c r="L2006" s="2" t="n">
        <f aca="false">IF(I2006="yes",1,0)</f>
        <v>1</v>
      </c>
      <c r="M2006" s="2" t="n">
        <f aca="false">IF(G2006&lt;0,1,0)</f>
        <v>0</v>
      </c>
      <c r="N2006" s="2" t="str">
        <f aca="false">_xlfn.IFS(B2006&lt;30,"Under 30",B2006&lt;40,"30-39",B2006&lt;50,"40-49",B2006&lt;60,"50-59",TRUE(),"60+")</f>
        <v>Under 30</v>
      </c>
      <c r="O2006" s="2" t="str">
        <f aca="false">_xlfn.IFS(G2006&lt;0,"1 Negative",G2006=0,"2 Zero",G2006&lt;=500,"3 1-500",G2006&lt;=2000,"4 501-2000",TRUE(),"5 Above 2000")</f>
        <v>4 501-2000</v>
      </c>
      <c r="P2006" s="2" t="n">
        <f aca="false">Lookups!$B$2*M2006+Lookups!$B$3*L2006</f>
        <v>1</v>
      </c>
      <c r="Q2006" s="2" t="str">
        <f aca="false">INDEX(Lookups!$E$2:$E$5,MATCH(P2006,Lookups!$D$2:$D$5,0))</f>
        <v>Medium</v>
      </c>
    </row>
    <row r="2007" customFormat="false" ht="15" hidden="false" customHeight="false" outlineLevel="0" collapsed="false">
      <c r="A2007" s="3" t="n">
        <v>2006</v>
      </c>
      <c r="B2007" s="3" t="n">
        <f aca="false">Raw_Data!A2007</f>
        <v>51</v>
      </c>
      <c r="C2007" s="3" t="str">
        <f aca="false">SUBSTITUTE(Raw_Data!B2007,".","")</f>
        <v>unemployed</v>
      </c>
      <c r="D2007" s="3" t="str">
        <f aca="false">Raw_Data!C2007</f>
        <v>married</v>
      </c>
      <c r="E2007" s="3" t="str">
        <f aca="false">Raw_Data!D2007</f>
        <v>secondary</v>
      </c>
      <c r="F2007" s="3" t="str">
        <f aca="false">Raw_Data!E2007</f>
        <v>no</v>
      </c>
      <c r="G2007" s="3" t="n">
        <f aca="false">Raw_Data!F2007</f>
        <v>-13</v>
      </c>
      <c r="H2007" s="3" t="str">
        <f aca="false">Raw_Data!G2007</f>
        <v>yes</v>
      </c>
      <c r="I2007" s="3" t="str">
        <f aca="false">Raw_Data!H2007</f>
        <v>no</v>
      </c>
      <c r="J2007" s="2" t="n">
        <f aca="false">IF(F2007="yes",1,0)</f>
        <v>0</v>
      </c>
      <c r="K2007" s="2" t="n">
        <f aca="false">IF(H2007="yes",1,0)</f>
        <v>1</v>
      </c>
      <c r="L2007" s="2" t="n">
        <f aca="false">IF(I2007="yes",1,0)</f>
        <v>0</v>
      </c>
      <c r="M2007" s="2" t="n">
        <f aca="false">IF(G2007&lt;0,1,0)</f>
        <v>1</v>
      </c>
      <c r="N2007" s="2" t="str">
        <f aca="false">_xlfn.IFS(B2007&lt;30,"Under 30",B2007&lt;40,"30-39",B2007&lt;50,"40-49",B2007&lt;60,"50-59",TRUE(),"60+")</f>
        <v>50-59</v>
      </c>
      <c r="O2007" s="2" t="str">
        <f aca="false">_xlfn.IFS(G2007&lt;0,"1 Negative",G2007=0,"2 Zero",G2007&lt;=500,"3 1-500",G2007&lt;=2000,"4 501-2000",TRUE(),"5 Above 2000")</f>
        <v>1 Negative</v>
      </c>
      <c r="P2007" s="2" t="n">
        <f aca="false">Lookups!$B$2*M2007+Lookups!$B$3*L2007</f>
        <v>2</v>
      </c>
      <c r="Q2007" s="2" t="str">
        <f aca="false">INDEX(Lookups!$E$2:$E$5,MATCH(P2007,Lookups!$D$2:$D$5,0))</f>
        <v>High</v>
      </c>
    </row>
    <row r="2008" customFormat="false" ht="15" hidden="false" customHeight="false" outlineLevel="0" collapsed="false">
      <c r="A2008" s="3" t="n">
        <v>2007</v>
      </c>
      <c r="B2008" s="3" t="n">
        <f aca="false">Raw_Data!A2008</f>
        <v>51</v>
      </c>
      <c r="C2008" s="3" t="str">
        <f aca="false">SUBSTITUTE(Raw_Data!B2008,".","")</f>
        <v>blue-collar</v>
      </c>
      <c r="D2008" s="3" t="str">
        <f aca="false">Raw_Data!C2008</f>
        <v>married</v>
      </c>
      <c r="E2008" s="3" t="str">
        <f aca="false">Raw_Data!D2008</f>
        <v>primary</v>
      </c>
      <c r="F2008" s="3" t="str">
        <f aca="false">Raw_Data!E2008</f>
        <v>no</v>
      </c>
      <c r="G2008" s="3" t="n">
        <f aca="false">Raw_Data!F2008</f>
        <v>1869</v>
      </c>
      <c r="H2008" s="3" t="str">
        <f aca="false">Raw_Data!G2008</f>
        <v>no</v>
      </c>
      <c r="I2008" s="3" t="str">
        <f aca="false">Raw_Data!H2008</f>
        <v>no</v>
      </c>
      <c r="J2008" s="2" t="n">
        <f aca="false">IF(F2008="yes",1,0)</f>
        <v>0</v>
      </c>
      <c r="K2008" s="2" t="n">
        <f aca="false">IF(H2008="yes",1,0)</f>
        <v>0</v>
      </c>
      <c r="L2008" s="2" t="n">
        <f aca="false">IF(I2008="yes",1,0)</f>
        <v>0</v>
      </c>
      <c r="M2008" s="2" t="n">
        <f aca="false">IF(G2008&lt;0,1,0)</f>
        <v>0</v>
      </c>
      <c r="N2008" s="2" t="str">
        <f aca="false">_xlfn.IFS(B2008&lt;30,"Under 30",B2008&lt;40,"30-39",B2008&lt;50,"40-49",B2008&lt;60,"50-59",TRUE(),"60+")</f>
        <v>50-59</v>
      </c>
      <c r="O2008" s="2" t="str">
        <f aca="false">_xlfn.IFS(G2008&lt;0,"1 Negative",G2008=0,"2 Zero",G2008&lt;=500,"3 1-500",G2008&lt;=2000,"4 501-2000",TRUE(),"5 Above 2000")</f>
        <v>4 501-2000</v>
      </c>
      <c r="P2008" s="2" t="n">
        <f aca="false">Lookups!$B$2*M2008+Lookups!$B$3*L2008</f>
        <v>0</v>
      </c>
      <c r="Q2008" s="2" t="str">
        <f aca="false">INDEX(Lookups!$E$2:$E$5,MATCH(P2008,Lookups!$D$2:$D$5,0))</f>
        <v>Low</v>
      </c>
    </row>
    <row r="2009" customFormat="false" ht="15" hidden="false" customHeight="false" outlineLevel="0" collapsed="false">
      <c r="A2009" s="3" t="n">
        <v>2008</v>
      </c>
      <c r="B2009" s="3" t="n">
        <f aca="false">Raw_Data!A2009</f>
        <v>30</v>
      </c>
      <c r="C2009" s="3" t="str">
        <f aca="false">SUBSTITUTE(Raw_Data!B2009,".","")</f>
        <v>technician</v>
      </c>
      <c r="D2009" s="3" t="str">
        <f aca="false">Raw_Data!C2009</f>
        <v>single</v>
      </c>
      <c r="E2009" s="3" t="str">
        <f aca="false">Raw_Data!D2009</f>
        <v>secondary</v>
      </c>
      <c r="F2009" s="3" t="str">
        <f aca="false">Raw_Data!E2009</f>
        <v>no</v>
      </c>
      <c r="G2009" s="3" t="n">
        <f aca="false">Raw_Data!F2009</f>
        <v>4787</v>
      </c>
      <c r="H2009" s="3" t="str">
        <f aca="false">Raw_Data!G2009</f>
        <v>yes</v>
      </c>
      <c r="I2009" s="3" t="str">
        <f aca="false">Raw_Data!H2009</f>
        <v>no</v>
      </c>
      <c r="J2009" s="2" t="n">
        <f aca="false">IF(F2009="yes",1,0)</f>
        <v>0</v>
      </c>
      <c r="K2009" s="2" t="n">
        <f aca="false">IF(H2009="yes",1,0)</f>
        <v>1</v>
      </c>
      <c r="L2009" s="2" t="n">
        <f aca="false">IF(I2009="yes",1,0)</f>
        <v>0</v>
      </c>
      <c r="M2009" s="2" t="n">
        <f aca="false">IF(G2009&lt;0,1,0)</f>
        <v>0</v>
      </c>
      <c r="N2009" s="2" t="str">
        <f aca="false">_xlfn.IFS(B2009&lt;30,"Under 30",B2009&lt;40,"30-39",B2009&lt;50,"40-49",B2009&lt;60,"50-59",TRUE(),"60+")</f>
        <v>30-39</v>
      </c>
      <c r="O2009" s="2" t="str">
        <f aca="false">_xlfn.IFS(G2009&lt;0,"1 Negative",G2009=0,"2 Zero",G2009&lt;=500,"3 1-500",G2009&lt;=2000,"4 501-2000",TRUE(),"5 Above 2000")</f>
        <v>5 Above 2000</v>
      </c>
      <c r="P2009" s="2" t="n">
        <f aca="false">Lookups!$B$2*M2009+Lookups!$B$3*L2009</f>
        <v>0</v>
      </c>
      <c r="Q2009" s="2" t="str">
        <f aca="false">INDEX(Lookups!$E$2:$E$5,MATCH(P2009,Lookups!$D$2:$D$5,0))</f>
        <v>Low</v>
      </c>
    </row>
    <row r="2010" customFormat="false" ht="15" hidden="false" customHeight="false" outlineLevel="0" collapsed="false">
      <c r="A2010" s="3" t="n">
        <v>2009</v>
      </c>
      <c r="B2010" s="3" t="n">
        <f aca="false">Raw_Data!A2010</f>
        <v>39</v>
      </c>
      <c r="C2010" s="3" t="str">
        <f aca="false">SUBSTITUTE(Raw_Data!B2010,".","")</f>
        <v>technician</v>
      </c>
      <c r="D2010" s="3" t="str">
        <f aca="false">Raw_Data!C2010</f>
        <v>married</v>
      </c>
      <c r="E2010" s="3" t="str">
        <f aca="false">Raw_Data!D2010</f>
        <v>secondary</v>
      </c>
      <c r="F2010" s="3" t="str">
        <f aca="false">Raw_Data!E2010</f>
        <v>yes</v>
      </c>
      <c r="G2010" s="3" t="n">
        <f aca="false">Raw_Data!F2010</f>
        <v>-183</v>
      </c>
      <c r="H2010" s="3" t="str">
        <f aca="false">Raw_Data!G2010</f>
        <v>yes</v>
      </c>
      <c r="I2010" s="3" t="str">
        <f aca="false">Raw_Data!H2010</f>
        <v>no</v>
      </c>
      <c r="J2010" s="2" t="n">
        <f aca="false">IF(F2010="yes",1,0)</f>
        <v>1</v>
      </c>
      <c r="K2010" s="2" t="n">
        <f aca="false">IF(H2010="yes",1,0)</f>
        <v>1</v>
      </c>
      <c r="L2010" s="2" t="n">
        <f aca="false">IF(I2010="yes",1,0)</f>
        <v>0</v>
      </c>
      <c r="M2010" s="2" t="n">
        <f aca="false">IF(G2010&lt;0,1,0)</f>
        <v>1</v>
      </c>
      <c r="N2010" s="2" t="str">
        <f aca="false">_xlfn.IFS(B2010&lt;30,"Under 30",B2010&lt;40,"30-39",B2010&lt;50,"40-49",B2010&lt;60,"50-59",TRUE(),"60+")</f>
        <v>30-39</v>
      </c>
      <c r="O2010" s="2" t="str">
        <f aca="false">_xlfn.IFS(G2010&lt;0,"1 Negative",G2010=0,"2 Zero",G2010&lt;=500,"3 1-500",G2010&lt;=2000,"4 501-2000",TRUE(),"5 Above 2000")</f>
        <v>1 Negative</v>
      </c>
      <c r="P2010" s="2" t="n">
        <f aca="false">Lookups!$B$2*M2010+Lookups!$B$3*L2010</f>
        <v>2</v>
      </c>
      <c r="Q2010" s="2" t="str">
        <f aca="false">INDEX(Lookups!$E$2:$E$5,MATCH(P2010,Lookups!$D$2:$D$5,0))</f>
        <v>High</v>
      </c>
    </row>
    <row r="2011" customFormat="false" ht="15" hidden="false" customHeight="false" outlineLevel="0" collapsed="false">
      <c r="A2011" s="3" t="n">
        <v>2010</v>
      </c>
      <c r="B2011" s="3" t="n">
        <f aca="false">Raw_Data!A2011</f>
        <v>28</v>
      </c>
      <c r="C2011" s="3" t="str">
        <f aca="false">SUBSTITUTE(Raw_Data!B2011,".","")</f>
        <v>blue-collar</v>
      </c>
      <c r="D2011" s="3" t="str">
        <f aca="false">Raw_Data!C2011</f>
        <v>married</v>
      </c>
      <c r="E2011" s="3" t="str">
        <f aca="false">Raw_Data!D2011</f>
        <v>primary</v>
      </c>
      <c r="F2011" s="3" t="str">
        <f aca="false">Raw_Data!E2011</f>
        <v>no</v>
      </c>
      <c r="G2011" s="3" t="n">
        <f aca="false">Raw_Data!F2011</f>
        <v>702</v>
      </c>
      <c r="H2011" s="3" t="str">
        <f aca="false">Raw_Data!G2011</f>
        <v>yes</v>
      </c>
      <c r="I2011" s="3" t="str">
        <f aca="false">Raw_Data!H2011</f>
        <v>no</v>
      </c>
      <c r="J2011" s="2" t="n">
        <f aca="false">IF(F2011="yes",1,0)</f>
        <v>0</v>
      </c>
      <c r="K2011" s="2" t="n">
        <f aca="false">IF(H2011="yes",1,0)</f>
        <v>1</v>
      </c>
      <c r="L2011" s="2" t="n">
        <f aca="false">IF(I2011="yes",1,0)</f>
        <v>0</v>
      </c>
      <c r="M2011" s="2" t="n">
        <f aca="false">IF(G2011&lt;0,1,0)</f>
        <v>0</v>
      </c>
      <c r="N2011" s="2" t="str">
        <f aca="false">_xlfn.IFS(B2011&lt;30,"Under 30",B2011&lt;40,"30-39",B2011&lt;50,"40-49",B2011&lt;60,"50-59",TRUE(),"60+")</f>
        <v>Under 30</v>
      </c>
      <c r="O2011" s="2" t="str">
        <f aca="false">_xlfn.IFS(G2011&lt;0,"1 Negative",G2011=0,"2 Zero",G2011&lt;=500,"3 1-500",G2011&lt;=2000,"4 501-2000",TRUE(),"5 Above 2000")</f>
        <v>4 501-2000</v>
      </c>
      <c r="P2011" s="2" t="n">
        <f aca="false">Lookups!$B$2*M2011+Lookups!$B$3*L2011</f>
        <v>0</v>
      </c>
      <c r="Q2011" s="2" t="str">
        <f aca="false">INDEX(Lookups!$E$2:$E$5,MATCH(P2011,Lookups!$D$2:$D$5,0))</f>
        <v>Low</v>
      </c>
    </row>
    <row r="2012" customFormat="false" ht="15" hidden="false" customHeight="false" outlineLevel="0" collapsed="false">
      <c r="A2012" s="3" t="n">
        <v>2011</v>
      </c>
      <c r="B2012" s="3" t="n">
        <f aca="false">Raw_Data!A2012</f>
        <v>31</v>
      </c>
      <c r="C2012" s="3" t="str">
        <f aca="false">SUBSTITUTE(Raw_Data!B2012,".","")</f>
        <v>management</v>
      </c>
      <c r="D2012" s="3" t="str">
        <f aca="false">Raw_Data!C2012</f>
        <v>single</v>
      </c>
      <c r="E2012" s="3" t="str">
        <f aca="false">Raw_Data!D2012</f>
        <v>tertiary</v>
      </c>
      <c r="F2012" s="3" t="str">
        <f aca="false">Raw_Data!E2012</f>
        <v>no</v>
      </c>
      <c r="G2012" s="3" t="n">
        <f aca="false">Raw_Data!F2012</f>
        <v>1494</v>
      </c>
      <c r="H2012" s="3" t="str">
        <f aca="false">Raw_Data!G2012</f>
        <v>no</v>
      </c>
      <c r="I2012" s="3" t="str">
        <f aca="false">Raw_Data!H2012</f>
        <v>no</v>
      </c>
      <c r="J2012" s="2" t="n">
        <f aca="false">IF(F2012="yes",1,0)</f>
        <v>0</v>
      </c>
      <c r="K2012" s="2" t="n">
        <f aca="false">IF(H2012="yes",1,0)</f>
        <v>0</v>
      </c>
      <c r="L2012" s="2" t="n">
        <f aca="false">IF(I2012="yes",1,0)</f>
        <v>0</v>
      </c>
      <c r="M2012" s="2" t="n">
        <f aca="false">IF(G2012&lt;0,1,0)</f>
        <v>0</v>
      </c>
      <c r="N2012" s="2" t="str">
        <f aca="false">_xlfn.IFS(B2012&lt;30,"Under 30",B2012&lt;40,"30-39",B2012&lt;50,"40-49",B2012&lt;60,"50-59",TRUE(),"60+")</f>
        <v>30-39</v>
      </c>
      <c r="O2012" s="2" t="str">
        <f aca="false">_xlfn.IFS(G2012&lt;0,"1 Negative",G2012=0,"2 Zero",G2012&lt;=500,"3 1-500",G2012&lt;=2000,"4 501-2000",TRUE(),"5 Above 2000")</f>
        <v>4 501-2000</v>
      </c>
      <c r="P2012" s="2" t="n">
        <f aca="false">Lookups!$B$2*M2012+Lookups!$B$3*L2012</f>
        <v>0</v>
      </c>
      <c r="Q2012" s="2" t="str">
        <f aca="false">INDEX(Lookups!$E$2:$E$5,MATCH(P2012,Lookups!$D$2:$D$5,0))</f>
        <v>Low</v>
      </c>
    </row>
    <row r="2013" customFormat="false" ht="15" hidden="false" customHeight="false" outlineLevel="0" collapsed="false">
      <c r="A2013" s="3" t="n">
        <v>2012</v>
      </c>
      <c r="B2013" s="3" t="n">
        <f aca="false">Raw_Data!A2013</f>
        <v>31</v>
      </c>
      <c r="C2013" s="3" t="str">
        <f aca="false">SUBSTITUTE(Raw_Data!B2013,".","")</f>
        <v>blue-collar</v>
      </c>
      <c r="D2013" s="3" t="str">
        <f aca="false">Raw_Data!C2013</f>
        <v>married</v>
      </c>
      <c r="E2013" s="3" t="str">
        <f aca="false">Raw_Data!D2013</f>
        <v>primary</v>
      </c>
      <c r="F2013" s="3" t="str">
        <f aca="false">Raw_Data!E2013</f>
        <v>no</v>
      </c>
      <c r="G2013" s="3" t="n">
        <f aca="false">Raw_Data!F2013</f>
        <v>0</v>
      </c>
      <c r="H2013" s="3" t="str">
        <f aca="false">Raw_Data!G2013</f>
        <v>yes</v>
      </c>
      <c r="I2013" s="3" t="str">
        <f aca="false">Raw_Data!H2013</f>
        <v>yes</v>
      </c>
      <c r="J2013" s="2" t="n">
        <f aca="false">IF(F2013="yes",1,0)</f>
        <v>0</v>
      </c>
      <c r="K2013" s="2" t="n">
        <f aca="false">IF(H2013="yes",1,0)</f>
        <v>1</v>
      </c>
      <c r="L2013" s="2" t="n">
        <f aca="false">IF(I2013="yes",1,0)</f>
        <v>1</v>
      </c>
      <c r="M2013" s="2" t="n">
        <f aca="false">IF(G2013&lt;0,1,0)</f>
        <v>0</v>
      </c>
      <c r="N2013" s="2" t="str">
        <f aca="false">_xlfn.IFS(B2013&lt;30,"Under 30",B2013&lt;40,"30-39",B2013&lt;50,"40-49",B2013&lt;60,"50-59",TRUE(),"60+")</f>
        <v>30-39</v>
      </c>
      <c r="O2013" s="2" t="str">
        <f aca="false">_xlfn.IFS(G2013&lt;0,"1 Negative",G2013=0,"2 Zero",G2013&lt;=500,"3 1-500",G2013&lt;=2000,"4 501-2000",TRUE(),"5 Above 2000")</f>
        <v>2 Zero</v>
      </c>
      <c r="P2013" s="2" t="n">
        <f aca="false">Lookups!$B$2*M2013+Lookups!$B$3*L2013</f>
        <v>1</v>
      </c>
      <c r="Q2013" s="2" t="str">
        <f aca="false">INDEX(Lookups!$E$2:$E$5,MATCH(P2013,Lookups!$D$2:$D$5,0))</f>
        <v>Medium</v>
      </c>
    </row>
    <row r="2014" customFormat="false" ht="15" hidden="false" customHeight="false" outlineLevel="0" collapsed="false">
      <c r="A2014" s="3" t="n">
        <v>2013</v>
      </c>
      <c r="B2014" s="3" t="n">
        <f aca="false">Raw_Data!A2014</f>
        <v>38</v>
      </c>
      <c r="C2014" s="3" t="str">
        <f aca="false">SUBSTITUTE(Raw_Data!B2014,".","")</f>
        <v>management</v>
      </c>
      <c r="D2014" s="3" t="str">
        <f aca="false">Raw_Data!C2014</f>
        <v>married</v>
      </c>
      <c r="E2014" s="3" t="str">
        <f aca="false">Raw_Data!D2014</f>
        <v>tertiary</v>
      </c>
      <c r="F2014" s="3" t="str">
        <f aca="false">Raw_Data!E2014</f>
        <v>no</v>
      </c>
      <c r="G2014" s="3" t="n">
        <f aca="false">Raw_Data!F2014</f>
        <v>46</v>
      </c>
      <c r="H2014" s="3" t="str">
        <f aca="false">Raw_Data!G2014</f>
        <v>no</v>
      </c>
      <c r="I2014" s="3" t="str">
        <f aca="false">Raw_Data!H2014</f>
        <v>no</v>
      </c>
      <c r="J2014" s="2" t="n">
        <f aca="false">IF(F2014="yes",1,0)</f>
        <v>0</v>
      </c>
      <c r="K2014" s="2" t="n">
        <f aca="false">IF(H2014="yes",1,0)</f>
        <v>0</v>
      </c>
      <c r="L2014" s="2" t="n">
        <f aca="false">IF(I2014="yes",1,0)</f>
        <v>0</v>
      </c>
      <c r="M2014" s="2" t="n">
        <f aca="false">IF(G2014&lt;0,1,0)</f>
        <v>0</v>
      </c>
      <c r="N2014" s="2" t="str">
        <f aca="false">_xlfn.IFS(B2014&lt;30,"Under 30",B2014&lt;40,"30-39",B2014&lt;50,"40-49",B2014&lt;60,"50-59",TRUE(),"60+")</f>
        <v>30-39</v>
      </c>
      <c r="O2014" s="2" t="str">
        <f aca="false">_xlfn.IFS(G2014&lt;0,"1 Negative",G2014=0,"2 Zero",G2014&lt;=500,"3 1-500",G2014&lt;=2000,"4 501-2000",TRUE(),"5 Above 2000")</f>
        <v>3 1-500</v>
      </c>
      <c r="P2014" s="2" t="n">
        <f aca="false">Lookups!$B$2*M2014+Lookups!$B$3*L2014</f>
        <v>0</v>
      </c>
      <c r="Q2014" s="2" t="str">
        <f aca="false">INDEX(Lookups!$E$2:$E$5,MATCH(P2014,Lookups!$D$2:$D$5,0))</f>
        <v>Low</v>
      </c>
    </row>
    <row r="2015" customFormat="false" ht="15" hidden="false" customHeight="false" outlineLevel="0" collapsed="false">
      <c r="A2015" s="3" t="n">
        <v>2014</v>
      </c>
      <c r="B2015" s="3" t="n">
        <f aca="false">Raw_Data!A2015</f>
        <v>31</v>
      </c>
      <c r="C2015" s="3" t="str">
        <f aca="false">SUBSTITUTE(Raw_Data!B2015,".","")</f>
        <v>blue-collar</v>
      </c>
      <c r="D2015" s="3" t="str">
        <f aca="false">Raw_Data!C2015</f>
        <v>single</v>
      </c>
      <c r="E2015" s="3" t="str">
        <f aca="false">Raw_Data!D2015</f>
        <v>secondary</v>
      </c>
      <c r="F2015" s="3" t="str">
        <f aca="false">Raw_Data!E2015</f>
        <v>no</v>
      </c>
      <c r="G2015" s="3" t="n">
        <f aca="false">Raw_Data!F2015</f>
        <v>609</v>
      </c>
      <c r="H2015" s="3" t="str">
        <f aca="false">Raw_Data!G2015</f>
        <v>yes</v>
      </c>
      <c r="I2015" s="3" t="str">
        <f aca="false">Raw_Data!H2015</f>
        <v>no</v>
      </c>
      <c r="J2015" s="2" t="n">
        <f aca="false">IF(F2015="yes",1,0)</f>
        <v>0</v>
      </c>
      <c r="K2015" s="2" t="n">
        <f aca="false">IF(H2015="yes",1,0)</f>
        <v>1</v>
      </c>
      <c r="L2015" s="2" t="n">
        <f aca="false">IF(I2015="yes",1,0)</f>
        <v>0</v>
      </c>
      <c r="M2015" s="2" t="n">
        <f aca="false">IF(G2015&lt;0,1,0)</f>
        <v>0</v>
      </c>
      <c r="N2015" s="2" t="str">
        <f aca="false">_xlfn.IFS(B2015&lt;30,"Under 30",B2015&lt;40,"30-39",B2015&lt;50,"40-49",B2015&lt;60,"50-59",TRUE(),"60+")</f>
        <v>30-39</v>
      </c>
      <c r="O2015" s="2" t="str">
        <f aca="false">_xlfn.IFS(G2015&lt;0,"1 Negative",G2015=0,"2 Zero",G2015&lt;=500,"3 1-500",G2015&lt;=2000,"4 501-2000",TRUE(),"5 Above 2000")</f>
        <v>4 501-2000</v>
      </c>
      <c r="P2015" s="2" t="n">
        <f aca="false">Lookups!$B$2*M2015+Lookups!$B$3*L2015</f>
        <v>0</v>
      </c>
      <c r="Q2015" s="2" t="str">
        <f aca="false">INDEX(Lookups!$E$2:$E$5,MATCH(P2015,Lookups!$D$2:$D$5,0))</f>
        <v>Low</v>
      </c>
    </row>
    <row r="2016" customFormat="false" ht="15" hidden="false" customHeight="false" outlineLevel="0" collapsed="false">
      <c r="A2016" s="3" t="n">
        <v>2015</v>
      </c>
      <c r="B2016" s="3" t="n">
        <f aca="false">Raw_Data!A2016</f>
        <v>74</v>
      </c>
      <c r="C2016" s="3" t="str">
        <f aca="false">SUBSTITUTE(Raw_Data!B2016,".","")</f>
        <v>retired</v>
      </c>
      <c r="D2016" s="3" t="str">
        <f aca="false">Raw_Data!C2016</f>
        <v>divorced</v>
      </c>
      <c r="E2016" s="3" t="str">
        <f aca="false">Raw_Data!D2016</f>
        <v>secondary</v>
      </c>
      <c r="F2016" s="3" t="str">
        <f aca="false">Raw_Data!E2016</f>
        <v>no</v>
      </c>
      <c r="G2016" s="3" t="n">
        <f aca="false">Raw_Data!F2016</f>
        <v>4079</v>
      </c>
      <c r="H2016" s="3" t="str">
        <f aca="false">Raw_Data!G2016</f>
        <v>no</v>
      </c>
      <c r="I2016" s="3" t="str">
        <f aca="false">Raw_Data!H2016</f>
        <v>no</v>
      </c>
      <c r="J2016" s="2" t="n">
        <f aca="false">IF(F2016="yes",1,0)</f>
        <v>0</v>
      </c>
      <c r="K2016" s="2" t="n">
        <f aca="false">IF(H2016="yes",1,0)</f>
        <v>0</v>
      </c>
      <c r="L2016" s="2" t="n">
        <f aca="false">IF(I2016="yes",1,0)</f>
        <v>0</v>
      </c>
      <c r="M2016" s="2" t="n">
        <f aca="false">IF(G2016&lt;0,1,0)</f>
        <v>0</v>
      </c>
      <c r="N2016" s="2" t="str">
        <f aca="false">_xlfn.IFS(B2016&lt;30,"Under 30",B2016&lt;40,"30-39",B2016&lt;50,"40-49",B2016&lt;60,"50-59",TRUE(),"60+")</f>
        <v>60+</v>
      </c>
      <c r="O2016" s="2" t="str">
        <f aca="false">_xlfn.IFS(G2016&lt;0,"1 Negative",G2016=0,"2 Zero",G2016&lt;=500,"3 1-500",G2016&lt;=2000,"4 501-2000",TRUE(),"5 Above 2000")</f>
        <v>5 Above 2000</v>
      </c>
      <c r="P2016" s="2" t="n">
        <f aca="false">Lookups!$B$2*M2016+Lookups!$B$3*L2016</f>
        <v>0</v>
      </c>
      <c r="Q2016" s="2" t="str">
        <f aca="false">INDEX(Lookups!$E$2:$E$5,MATCH(P2016,Lookups!$D$2:$D$5,0))</f>
        <v>Low</v>
      </c>
    </row>
    <row r="2017" customFormat="false" ht="15" hidden="false" customHeight="false" outlineLevel="0" collapsed="false">
      <c r="A2017" s="3" t="n">
        <v>2016</v>
      </c>
      <c r="B2017" s="3" t="n">
        <f aca="false">Raw_Data!A2017</f>
        <v>40</v>
      </c>
      <c r="C2017" s="3" t="str">
        <f aca="false">SUBSTITUTE(Raw_Data!B2017,".","")</f>
        <v>management</v>
      </c>
      <c r="D2017" s="3" t="str">
        <f aca="false">Raw_Data!C2017</f>
        <v>single</v>
      </c>
      <c r="E2017" s="3" t="str">
        <f aca="false">Raw_Data!D2017</f>
        <v>tertiary</v>
      </c>
      <c r="F2017" s="3" t="str">
        <f aca="false">Raw_Data!E2017</f>
        <v>no</v>
      </c>
      <c r="G2017" s="3" t="n">
        <f aca="false">Raw_Data!F2017</f>
        <v>0</v>
      </c>
      <c r="H2017" s="3" t="str">
        <f aca="false">Raw_Data!G2017</f>
        <v>yes</v>
      </c>
      <c r="I2017" s="3" t="str">
        <f aca="false">Raw_Data!H2017</f>
        <v>no</v>
      </c>
      <c r="J2017" s="2" t="n">
        <f aca="false">IF(F2017="yes",1,0)</f>
        <v>0</v>
      </c>
      <c r="K2017" s="2" t="n">
        <f aca="false">IF(H2017="yes",1,0)</f>
        <v>1</v>
      </c>
      <c r="L2017" s="2" t="n">
        <f aca="false">IF(I2017="yes",1,0)</f>
        <v>0</v>
      </c>
      <c r="M2017" s="2" t="n">
        <f aca="false">IF(G2017&lt;0,1,0)</f>
        <v>0</v>
      </c>
      <c r="N2017" s="2" t="str">
        <f aca="false">_xlfn.IFS(B2017&lt;30,"Under 30",B2017&lt;40,"30-39",B2017&lt;50,"40-49",B2017&lt;60,"50-59",TRUE(),"60+")</f>
        <v>40-49</v>
      </c>
      <c r="O2017" s="2" t="str">
        <f aca="false">_xlfn.IFS(G2017&lt;0,"1 Negative",G2017=0,"2 Zero",G2017&lt;=500,"3 1-500",G2017&lt;=2000,"4 501-2000",TRUE(),"5 Above 2000")</f>
        <v>2 Zero</v>
      </c>
      <c r="P2017" s="2" t="n">
        <f aca="false">Lookups!$B$2*M2017+Lookups!$B$3*L2017</f>
        <v>0</v>
      </c>
      <c r="Q2017" s="2" t="str">
        <f aca="false">INDEX(Lookups!$E$2:$E$5,MATCH(P2017,Lookups!$D$2:$D$5,0))</f>
        <v>Low</v>
      </c>
    </row>
    <row r="2018" customFormat="false" ht="15" hidden="false" customHeight="false" outlineLevel="0" collapsed="false">
      <c r="A2018" s="3" t="n">
        <v>2017</v>
      </c>
      <c r="B2018" s="3" t="n">
        <f aca="false">Raw_Data!A2018</f>
        <v>43</v>
      </c>
      <c r="C2018" s="3" t="str">
        <f aca="false">SUBSTITUTE(Raw_Data!B2018,".","")</f>
        <v>technician</v>
      </c>
      <c r="D2018" s="3" t="str">
        <f aca="false">Raw_Data!C2018</f>
        <v>married</v>
      </c>
      <c r="E2018" s="3" t="str">
        <f aca="false">Raw_Data!D2018</f>
        <v>secondary</v>
      </c>
      <c r="F2018" s="3" t="str">
        <f aca="false">Raw_Data!E2018</f>
        <v>no</v>
      </c>
      <c r="G2018" s="3" t="n">
        <f aca="false">Raw_Data!F2018</f>
        <v>7876</v>
      </c>
      <c r="H2018" s="3" t="str">
        <f aca="false">Raw_Data!G2018</f>
        <v>yes</v>
      </c>
      <c r="I2018" s="3" t="str">
        <f aca="false">Raw_Data!H2018</f>
        <v>no</v>
      </c>
      <c r="J2018" s="2" t="n">
        <f aca="false">IF(F2018="yes",1,0)</f>
        <v>0</v>
      </c>
      <c r="K2018" s="2" t="n">
        <f aca="false">IF(H2018="yes",1,0)</f>
        <v>1</v>
      </c>
      <c r="L2018" s="2" t="n">
        <f aca="false">IF(I2018="yes",1,0)</f>
        <v>0</v>
      </c>
      <c r="M2018" s="2" t="n">
        <f aca="false">IF(G2018&lt;0,1,0)</f>
        <v>0</v>
      </c>
      <c r="N2018" s="2" t="str">
        <f aca="false">_xlfn.IFS(B2018&lt;30,"Under 30",B2018&lt;40,"30-39",B2018&lt;50,"40-49",B2018&lt;60,"50-59",TRUE(),"60+")</f>
        <v>40-49</v>
      </c>
      <c r="O2018" s="2" t="str">
        <f aca="false">_xlfn.IFS(G2018&lt;0,"1 Negative",G2018=0,"2 Zero",G2018&lt;=500,"3 1-500",G2018&lt;=2000,"4 501-2000",TRUE(),"5 Above 2000")</f>
        <v>5 Above 2000</v>
      </c>
      <c r="P2018" s="2" t="n">
        <f aca="false">Lookups!$B$2*M2018+Lookups!$B$3*L2018</f>
        <v>0</v>
      </c>
      <c r="Q2018" s="2" t="str">
        <f aca="false">INDEX(Lookups!$E$2:$E$5,MATCH(P2018,Lookups!$D$2:$D$5,0))</f>
        <v>Low</v>
      </c>
    </row>
    <row r="2019" customFormat="false" ht="15" hidden="false" customHeight="false" outlineLevel="0" collapsed="false">
      <c r="A2019" s="3" t="n">
        <v>2018</v>
      </c>
      <c r="B2019" s="3" t="n">
        <f aca="false">Raw_Data!A2019</f>
        <v>34</v>
      </c>
      <c r="C2019" s="3" t="str">
        <f aca="false">SUBSTITUTE(Raw_Data!B2019,".","")</f>
        <v>technician</v>
      </c>
      <c r="D2019" s="3" t="str">
        <f aca="false">Raw_Data!C2019</f>
        <v>single</v>
      </c>
      <c r="E2019" s="3" t="str">
        <f aca="false">Raw_Data!D2019</f>
        <v>tertiary</v>
      </c>
      <c r="F2019" s="3" t="str">
        <f aca="false">Raw_Data!E2019</f>
        <v>no</v>
      </c>
      <c r="G2019" s="3" t="n">
        <f aca="false">Raw_Data!F2019</f>
        <v>925</v>
      </c>
      <c r="H2019" s="3" t="str">
        <f aca="false">Raw_Data!G2019</f>
        <v>yes</v>
      </c>
      <c r="I2019" s="3" t="str">
        <f aca="false">Raw_Data!H2019</f>
        <v>no</v>
      </c>
      <c r="J2019" s="2" t="n">
        <f aca="false">IF(F2019="yes",1,0)</f>
        <v>0</v>
      </c>
      <c r="K2019" s="2" t="n">
        <f aca="false">IF(H2019="yes",1,0)</f>
        <v>1</v>
      </c>
      <c r="L2019" s="2" t="n">
        <f aca="false">IF(I2019="yes",1,0)</f>
        <v>0</v>
      </c>
      <c r="M2019" s="2" t="n">
        <f aca="false">IF(G2019&lt;0,1,0)</f>
        <v>0</v>
      </c>
      <c r="N2019" s="2" t="str">
        <f aca="false">_xlfn.IFS(B2019&lt;30,"Under 30",B2019&lt;40,"30-39",B2019&lt;50,"40-49",B2019&lt;60,"50-59",TRUE(),"60+")</f>
        <v>30-39</v>
      </c>
      <c r="O2019" s="2" t="str">
        <f aca="false">_xlfn.IFS(G2019&lt;0,"1 Negative",G2019=0,"2 Zero",G2019&lt;=500,"3 1-500",G2019&lt;=2000,"4 501-2000",TRUE(),"5 Above 2000")</f>
        <v>4 501-2000</v>
      </c>
      <c r="P2019" s="2" t="n">
        <f aca="false">Lookups!$B$2*M2019+Lookups!$B$3*L2019</f>
        <v>0</v>
      </c>
      <c r="Q2019" s="2" t="str">
        <f aca="false">INDEX(Lookups!$E$2:$E$5,MATCH(P2019,Lookups!$D$2:$D$5,0))</f>
        <v>Low</v>
      </c>
    </row>
    <row r="2020" customFormat="false" ht="15" hidden="false" customHeight="false" outlineLevel="0" collapsed="false">
      <c r="A2020" s="3" t="n">
        <v>2019</v>
      </c>
      <c r="B2020" s="3" t="n">
        <f aca="false">Raw_Data!A2020</f>
        <v>54</v>
      </c>
      <c r="C2020" s="3" t="str">
        <f aca="false">SUBSTITUTE(Raw_Data!B2020,".","")</f>
        <v>management</v>
      </c>
      <c r="D2020" s="3" t="str">
        <f aca="false">Raw_Data!C2020</f>
        <v>divorced</v>
      </c>
      <c r="E2020" s="3" t="str">
        <f aca="false">Raw_Data!D2020</f>
        <v>tertiary</v>
      </c>
      <c r="F2020" s="3" t="str">
        <f aca="false">Raw_Data!E2020</f>
        <v>no</v>
      </c>
      <c r="G2020" s="3" t="n">
        <f aca="false">Raw_Data!F2020</f>
        <v>7010</v>
      </c>
      <c r="H2020" s="3" t="str">
        <f aca="false">Raw_Data!G2020</f>
        <v>no</v>
      </c>
      <c r="I2020" s="3" t="str">
        <f aca="false">Raw_Data!H2020</f>
        <v>no</v>
      </c>
      <c r="J2020" s="2" t="n">
        <f aca="false">IF(F2020="yes",1,0)</f>
        <v>0</v>
      </c>
      <c r="K2020" s="2" t="n">
        <f aca="false">IF(H2020="yes",1,0)</f>
        <v>0</v>
      </c>
      <c r="L2020" s="2" t="n">
        <f aca="false">IF(I2020="yes",1,0)</f>
        <v>0</v>
      </c>
      <c r="M2020" s="2" t="n">
        <f aca="false">IF(G2020&lt;0,1,0)</f>
        <v>0</v>
      </c>
      <c r="N2020" s="2" t="str">
        <f aca="false">_xlfn.IFS(B2020&lt;30,"Under 30",B2020&lt;40,"30-39",B2020&lt;50,"40-49",B2020&lt;60,"50-59",TRUE(),"60+")</f>
        <v>50-59</v>
      </c>
      <c r="O2020" s="2" t="str">
        <f aca="false">_xlfn.IFS(G2020&lt;0,"1 Negative",G2020=0,"2 Zero",G2020&lt;=500,"3 1-500",G2020&lt;=2000,"4 501-2000",TRUE(),"5 Above 2000")</f>
        <v>5 Above 2000</v>
      </c>
      <c r="P2020" s="2" t="n">
        <f aca="false">Lookups!$B$2*M2020+Lookups!$B$3*L2020</f>
        <v>0</v>
      </c>
      <c r="Q2020" s="2" t="str">
        <f aca="false">INDEX(Lookups!$E$2:$E$5,MATCH(P2020,Lookups!$D$2:$D$5,0))</f>
        <v>Low</v>
      </c>
    </row>
    <row r="2021" customFormat="false" ht="15" hidden="false" customHeight="false" outlineLevel="0" collapsed="false">
      <c r="A2021" s="3" t="n">
        <v>2020</v>
      </c>
      <c r="B2021" s="3" t="n">
        <f aca="false">Raw_Data!A2021</f>
        <v>51</v>
      </c>
      <c r="C2021" s="3" t="str">
        <f aca="false">SUBSTITUTE(Raw_Data!B2021,".","")</f>
        <v>blue-collar</v>
      </c>
      <c r="D2021" s="3" t="str">
        <f aca="false">Raw_Data!C2021</f>
        <v>married</v>
      </c>
      <c r="E2021" s="3" t="str">
        <f aca="false">Raw_Data!D2021</f>
        <v>primary</v>
      </c>
      <c r="F2021" s="3" t="str">
        <f aca="false">Raw_Data!E2021</f>
        <v>no</v>
      </c>
      <c r="G2021" s="3" t="n">
        <f aca="false">Raw_Data!F2021</f>
        <v>42</v>
      </c>
      <c r="H2021" s="3" t="str">
        <f aca="false">Raw_Data!G2021</f>
        <v>yes</v>
      </c>
      <c r="I2021" s="3" t="str">
        <f aca="false">Raw_Data!H2021</f>
        <v>no</v>
      </c>
      <c r="J2021" s="2" t="n">
        <f aca="false">IF(F2021="yes",1,0)</f>
        <v>0</v>
      </c>
      <c r="K2021" s="2" t="n">
        <f aca="false">IF(H2021="yes",1,0)</f>
        <v>1</v>
      </c>
      <c r="L2021" s="2" t="n">
        <f aca="false">IF(I2021="yes",1,0)</f>
        <v>0</v>
      </c>
      <c r="M2021" s="2" t="n">
        <f aca="false">IF(G2021&lt;0,1,0)</f>
        <v>0</v>
      </c>
      <c r="N2021" s="2" t="str">
        <f aca="false">_xlfn.IFS(B2021&lt;30,"Under 30",B2021&lt;40,"30-39",B2021&lt;50,"40-49",B2021&lt;60,"50-59",TRUE(),"60+")</f>
        <v>50-59</v>
      </c>
      <c r="O2021" s="2" t="str">
        <f aca="false">_xlfn.IFS(G2021&lt;0,"1 Negative",G2021=0,"2 Zero",G2021&lt;=500,"3 1-500",G2021&lt;=2000,"4 501-2000",TRUE(),"5 Above 2000")</f>
        <v>3 1-500</v>
      </c>
      <c r="P2021" s="2" t="n">
        <f aca="false">Lookups!$B$2*M2021+Lookups!$B$3*L2021</f>
        <v>0</v>
      </c>
      <c r="Q2021" s="2" t="str">
        <f aca="false">INDEX(Lookups!$E$2:$E$5,MATCH(P2021,Lookups!$D$2:$D$5,0))</f>
        <v>Low</v>
      </c>
    </row>
    <row r="2022" customFormat="false" ht="15" hidden="false" customHeight="false" outlineLevel="0" collapsed="false">
      <c r="A2022" s="3" t="n">
        <v>2021</v>
      </c>
      <c r="B2022" s="3" t="n">
        <f aca="false">Raw_Data!A2022</f>
        <v>33</v>
      </c>
      <c r="C2022" s="3" t="str">
        <f aca="false">SUBSTITUTE(Raw_Data!B2022,".","")</f>
        <v>blue-collar</v>
      </c>
      <c r="D2022" s="3" t="str">
        <f aca="false">Raw_Data!C2022</f>
        <v>married</v>
      </c>
      <c r="E2022" s="3" t="str">
        <f aca="false">Raw_Data!D2022</f>
        <v>secondary</v>
      </c>
      <c r="F2022" s="3" t="str">
        <f aca="false">Raw_Data!E2022</f>
        <v>no</v>
      </c>
      <c r="G2022" s="3" t="n">
        <f aca="false">Raw_Data!F2022</f>
        <v>285</v>
      </c>
      <c r="H2022" s="3" t="str">
        <f aca="false">Raw_Data!G2022</f>
        <v>no</v>
      </c>
      <c r="I2022" s="3" t="str">
        <f aca="false">Raw_Data!H2022</f>
        <v>yes</v>
      </c>
      <c r="J2022" s="2" t="n">
        <f aca="false">IF(F2022="yes",1,0)</f>
        <v>0</v>
      </c>
      <c r="K2022" s="2" t="n">
        <f aca="false">IF(H2022="yes",1,0)</f>
        <v>0</v>
      </c>
      <c r="L2022" s="2" t="n">
        <f aca="false">IF(I2022="yes",1,0)</f>
        <v>1</v>
      </c>
      <c r="M2022" s="2" t="n">
        <f aca="false">IF(G2022&lt;0,1,0)</f>
        <v>0</v>
      </c>
      <c r="N2022" s="2" t="str">
        <f aca="false">_xlfn.IFS(B2022&lt;30,"Under 30",B2022&lt;40,"30-39",B2022&lt;50,"40-49",B2022&lt;60,"50-59",TRUE(),"60+")</f>
        <v>30-39</v>
      </c>
      <c r="O2022" s="2" t="str">
        <f aca="false">_xlfn.IFS(G2022&lt;0,"1 Negative",G2022=0,"2 Zero",G2022&lt;=500,"3 1-500",G2022&lt;=2000,"4 501-2000",TRUE(),"5 Above 2000")</f>
        <v>3 1-500</v>
      </c>
      <c r="P2022" s="2" t="n">
        <f aca="false">Lookups!$B$2*M2022+Lookups!$B$3*L2022</f>
        <v>1</v>
      </c>
      <c r="Q2022" s="2" t="str">
        <f aca="false">INDEX(Lookups!$E$2:$E$5,MATCH(P2022,Lookups!$D$2:$D$5,0))</f>
        <v>Medium</v>
      </c>
    </row>
    <row r="2023" customFormat="false" ht="15" hidden="false" customHeight="false" outlineLevel="0" collapsed="false">
      <c r="A2023" s="3" t="n">
        <v>2022</v>
      </c>
      <c r="B2023" s="3" t="n">
        <f aca="false">Raw_Data!A2023</f>
        <v>41</v>
      </c>
      <c r="C2023" s="3" t="str">
        <f aca="false">SUBSTITUTE(Raw_Data!B2023,".","")</f>
        <v>technician</v>
      </c>
      <c r="D2023" s="3" t="str">
        <f aca="false">Raw_Data!C2023</f>
        <v>married</v>
      </c>
      <c r="E2023" s="3" t="str">
        <f aca="false">Raw_Data!D2023</f>
        <v>tertiary</v>
      </c>
      <c r="F2023" s="3" t="str">
        <f aca="false">Raw_Data!E2023</f>
        <v>no</v>
      </c>
      <c r="G2023" s="3" t="n">
        <f aca="false">Raw_Data!F2023</f>
        <v>0</v>
      </c>
      <c r="H2023" s="3" t="str">
        <f aca="false">Raw_Data!G2023</f>
        <v>no</v>
      </c>
      <c r="I2023" s="3" t="str">
        <f aca="false">Raw_Data!H2023</f>
        <v>no</v>
      </c>
      <c r="J2023" s="2" t="n">
        <f aca="false">IF(F2023="yes",1,0)</f>
        <v>0</v>
      </c>
      <c r="K2023" s="2" t="n">
        <f aca="false">IF(H2023="yes",1,0)</f>
        <v>0</v>
      </c>
      <c r="L2023" s="2" t="n">
        <f aca="false">IF(I2023="yes",1,0)</f>
        <v>0</v>
      </c>
      <c r="M2023" s="2" t="n">
        <f aca="false">IF(G2023&lt;0,1,0)</f>
        <v>0</v>
      </c>
      <c r="N2023" s="2" t="str">
        <f aca="false">_xlfn.IFS(B2023&lt;30,"Under 30",B2023&lt;40,"30-39",B2023&lt;50,"40-49",B2023&lt;60,"50-59",TRUE(),"60+")</f>
        <v>40-49</v>
      </c>
      <c r="O2023" s="2" t="str">
        <f aca="false">_xlfn.IFS(G2023&lt;0,"1 Negative",G2023=0,"2 Zero",G2023&lt;=500,"3 1-500",G2023&lt;=2000,"4 501-2000",TRUE(),"5 Above 2000")</f>
        <v>2 Zero</v>
      </c>
      <c r="P2023" s="2" t="n">
        <f aca="false">Lookups!$B$2*M2023+Lookups!$B$3*L2023</f>
        <v>0</v>
      </c>
      <c r="Q2023" s="2" t="str">
        <f aca="false">INDEX(Lookups!$E$2:$E$5,MATCH(P2023,Lookups!$D$2:$D$5,0))</f>
        <v>Low</v>
      </c>
    </row>
    <row r="2024" customFormat="false" ht="15" hidden="false" customHeight="false" outlineLevel="0" collapsed="false">
      <c r="A2024" s="3" t="n">
        <v>2023</v>
      </c>
      <c r="B2024" s="3" t="n">
        <f aca="false">Raw_Data!A2024</f>
        <v>33</v>
      </c>
      <c r="C2024" s="3" t="str">
        <f aca="false">SUBSTITUTE(Raw_Data!B2024,".","")</f>
        <v>management</v>
      </c>
      <c r="D2024" s="3" t="str">
        <f aca="false">Raw_Data!C2024</f>
        <v>single</v>
      </c>
      <c r="E2024" s="3" t="str">
        <f aca="false">Raw_Data!D2024</f>
        <v>tertiary</v>
      </c>
      <c r="F2024" s="3" t="str">
        <f aca="false">Raw_Data!E2024</f>
        <v>no</v>
      </c>
      <c r="G2024" s="3" t="n">
        <f aca="false">Raw_Data!F2024</f>
        <v>3170</v>
      </c>
      <c r="H2024" s="3" t="str">
        <f aca="false">Raw_Data!G2024</f>
        <v>no</v>
      </c>
      <c r="I2024" s="3" t="str">
        <f aca="false">Raw_Data!H2024</f>
        <v>no</v>
      </c>
      <c r="J2024" s="2" t="n">
        <f aca="false">IF(F2024="yes",1,0)</f>
        <v>0</v>
      </c>
      <c r="K2024" s="2" t="n">
        <f aca="false">IF(H2024="yes",1,0)</f>
        <v>0</v>
      </c>
      <c r="L2024" s="2" t="n">
        <f aca="false">IF(I2024="yes",1,0)</f>
        <v>0</v>
      </c>
      <c r="M2024" s="2" t="n">
        <f aca="false">IF(G2024&lt;0,1,0)</f>
        <v>0</v>
      </c>
      <c r="N2024" s="2" t="str">
        <f aca="false">_xlfn.IFS(B2024&lt;30,"Under 30",B2024&lt;40,"30-39",B2024&lt;50,"40-49",B2024&lt;60,"50-59",TRUE(),"60+")</f>
        <v>30-39</v>
      </c>
      <c r="O2024" s="2" t="str">
        <f aca="false">_xlfn.IFS(G2024&lt;0,"1 Negative",G2024=0,"2 Zero",G2024&lt;=500,"3 1-500",G2024&lt;=2000,"4 501-2000",TRUE(),"5 Above 2000")</f>
        <v>5 Above 2000</v>
      </c>
      <c r="P2024" s="2" t="n">
        <f aca="false">Lookups!$B$2*M2024+Lookups!$B$3*L2024</f>
        <v>0</v>
      </c>
      <c r="Q2024" s="2" t="str">
        <f aca="false">INDEX(Lookups!$E$2:$E$5,MATCH(P2024,Lookups!$D$2:$D$5,0))</f>
        <v>Low</v>
      </c>
    </row>
    <row r="2025" customFormat="false" ht="15" hidden="false" customHeight="false" outlineLevel="0" collapsed="false">
      <c r="A2025" s="3" t="n">
        <v>2024</v>
      </c>
      <c r="B2025" s="3" t="n">
        <f aca="false">Raw_Data!A2025</f>
        <v>48</v>
      </c>
      <c r="C2025" s="3" t="str">
        <f aca="false">SUBSTITUTE(Raw_Data!B2025,".","")</f>
        <v>admin</v>
      </c>
      <c r="D2025" s="3" t="str">
        <f aca="false">Raw_Data!C2025</f>
        <v>married</v>
      </c>
      <c r="E2025" s="3" t="str">
        <f aca="false">Raw_Data!D2025</f>
        <v>secondary</v>
      </c>
      <c r="F2025" s="3" t="str">
        <f aca="false">Raw_Data!E2025</f>
        <v>no</v>
      </c>
      <c r="G2025" s="3" t="n">
        <f aca="false">Raw_Data!F2025</f>
        <v>8</v>
      </c>
      <c r="H2025" s="3" t="str">
        <f aca="false">Raw_Data!G2025</f>
        <v>no</v>
      </c>
      <c r="I2025" s="3" t="str">
        <f aca="false">Raw_Data!H2025</f>
        <v>yes</v>
      </c>
      <c r="J2025" s="2" t="n">
        <f aca="false">IF(F2025="yes",1,0)</f>
        <v>0</v>
      </c>
      <c r="K2025" s="2" t="n">
        <f aca="false">IF(H2025="yes",1,0)</f>
        <v>0</v>
      </c>
      <c r="L2025" s="2" t="n">
        <f aca="false">IF(I2025="yes",1,0)</f>
        <v>1</v>
      </c>
      <c r="M2025" s="2" t="n">
        <f aca="false">IF(G2025&lt;0,1,0)</f>
        <v>0</v>
      </c>
      <c r="N2025" s="2" t="str">
        <f aca="false">_xlfn.IFS(B2025&lt;30,"Under 30",B2025&lt;40,"30-39",B2025&lt;50,"40-49",B2025&lt;60,"50-59",TRUE(),"60+")</f>
        <v>40-49</v>
      </c>
      <c r="O2025" s="2" t="str">
        <f aca="false">_xlfn.IFS(G2025&lt;0,"1 Negative",G2025=0,"2 Zero",G2025&lt;=500,"3 1-500",G2025&lt;=2000,"4 501-2000",TRUE(),"5 Above 2000")</f>
        <v>3 1-500</v>
      </c>
      <c r="P2025" s="2" t="n">
        <f aca="false">Lookups!$B$2*M2025+Lookups!$B$3*L2025</f>
        <v>1</v>
      </c>
      <c r="Q2025" s="2" t="str">
        <f aca="false">INDEX(Lookups!$E$2:$E$5,MATCH(P2025,Lookups!$D$2:$D$5,0))</f>
        <v>Medium</v>
      </c>
    </row>
    <row r="2026" customFormat="false" ht="15" hidden="false" customHeight="false" outlineLevel="0" collapsed="false">
      <c r="A2026" s="3" t="n">
        <v>2025</v>
      </c>
      <c r="B2026" s="3" t="n">
        <f aca="false">Raw_Data!A2026</f>
        <v>42</v>
      </c>
      <c r="C2026" s="3" t="str">
        <f aca="false">SUBSTITUTE(Raw_Data!B2026,".","")</f>
        <v>self-employed</v>
      </c>
      <c r="D2026" s="3" t="str">
        <f aca="false">Raw_Data!C2026</f>
        <v>divorced</v>
      </c>
      <c r="E2026" s="3" t="str">
        <f aca="false">Raw_Data!D2026</f>
        <v>tertiary</v>
      </c>
      <c r="F2026" s="3" t="str">
        <f aca="false">Raw_Data!E2026</f>
        <v>no</v>
      </c>
      <c r="G2026" s="3" t="n">
        <f aca="false">Raw_Data!F2026</f>
        <v>216</v>
      </c>
      <c r="H2026" s="3" t="str">
        <f aca="false">Raw_Data!G2026</f>
        <v>yes</v>
      </c>
      <c r="I2026" s="3" t="str">
        <f aca="false">Raw_Data!H2026</f>
        <v>no</v>
      </c>
      <c r="J2026" s="2" t="n">
        <f aca="false">IF(F2026="yes",1,0)</f>
        <v>0</v>
      </c>
      <c r="K2026" s="2" t="n">
        <f aca="false">IF(H2026="yes",1,0)</f>
        <v>1</v>
      </c>
      <c r="L2026" s="2" t="n">
        <f aca="false">IF(I2026="yes",1,0)</f>
        <v>0</v>
      </c>
      <c r="M2026" s="2" t="n">
        <f aca="false">IF(G2026&lt;0,1,0)</f>
        <v>0</v>
      </c>
      <c r="N2026" s="2" t="str">
        <f aca="false">_xlfn.IFS(B2026&lt;30,"Under 30",B2026&lt;40,"30-39",B2026&lt;50,"40-49",B2026&lt;60,"50-59",TRUE(),"60+")</f>
        <v>40-49</v>
      </c>
      <c r="O2026" s="2" t="str">
        <f aca="false">_xlfn.IFS(G2026&lt;0,"1 Negative",G2026=0,"2 Zero",G2026&lt;=500,"3 1-500",G2026&lt;=2000,"4 501-2000",TRUE(),"5 Above 2000")</f>
        <v>3 1-500</v>
      </c>
      <c r="P2026" s="2" t="n">
        <f aca="false">Lookups!$B$2*M2026+Lookups!$B$3*L2026</f>
        <v>0</v>
      </c>
      <c r="Q2026" s="2" t="str">
        <f aca="false">INDEX(Lookups!$E$2:$E$5,MATCH(P2026,Lookups!$D$2:$D$5,0))</f>
        <v>Low</v>
      </c>
    </row>
    <row r="2027" customFormat="false" ht="15" hidden="false" customHeight="false" outlineLevel="0" collapsed="false">
      <c r="A2027" s="3" t="n">
        <v>2026</v>
      </c>
      <c r="B2027" s="3" t="n">
        <f aca="false">Raw_Data!A2027</f>
        <v>35</v>
      </c>
      <c r="C2027" s="3" t="str">
        <f aca="false">SUBSTITUTE(Raw_Data!B2027,".","")</f>
        <v>management</v>
      </c>
      <c r="D2027" s="3" t="str">
        <f aca="false">Raw_Data!C2027</f>
        <v>single</v>
      </c>
      <c r="E2027" s="3" t="str">
        <f aca="false">Raw_Data!D2027</f>
        <v>tertiary</v>
      </c>
      <c r="F2027" s="3" t="str">
        <f aca="false">Raw_Data!E2027</f>
        <v>no</v>
      </c>
      <c r="G2027" s="3" t="n">
        <f aca="false">Raw_Data!F2027</f>
        <v>2975</v>
      </c>
      <c r="H2027" s="3" t="str">
        <f aca="false">Raw_Data!G2027</f>
        <v>no</v>
      </c>
      <c r="I2027" s="3" t="str">
        <f aca="false">Raw_Data!H2027</f>
        <v>no</v>
      </c>
      <c r="J2027" s="2" t="n">
        <f aca="false">IF(F2027="yes",1,0)</f>
        <v>0</v>
      </c>
      <c r="K2027" s="2" t="n">
        <f aca="false">IF(H2027="yes",1,0)</f>
        <v>0</v>
      </c>
      <c r="L2027" s="2" t="n">
        <f aca="false">IF(I2027="yes",1,0)</f>
        <v>0</v>
      </c>
      <c r="M2027" s="2" t="n">
        <f aca="false">IF(G2027&lt;0,1,0)</f>
        <v>0</v>
      </c>
      <c r="N2027" s="2" t="str">
        <f aca="false">_xlfn.IFS(B2027&lt;30,"Under 30",B2027&lt;40,"30-39",B2027&lt;50,"40-49",B2027&lt;60,"50-59",TRUE(),"60+")</f>
        <v>30-39</v>
      </c>
      <c r="O2027" s="2" t="str">
        <f aca="false">_xlfn.IFS(G2027&lt;0,"1 Negative",G2027=0,"2 Zero",G2027&lt;=500,"3 1-500",G2027&lt;=2000,"4 501-2000",TRUE(),"5 Above 2000")</f>
        <v>5 Above 2000</v>
      </c>
      <c r="P2027" s="2" t="n">
        <f aca="false">Lookups!$B$2*M2027+Lookups!$B$3*L2027</f>
        <v>0</v>
      </c>
      <c r="Q2027" s="2" t="str">
        <f aca="false">INDEX(Lookups!$E$2:$E$5,MATCH(P2027,Lookups!$D$2:$D$5,0))</f>
        <v>Low</v>
      </c>
    </row>
    <row r="2028" customFormat="false" ht="15" hidden="false" customHeight="false" outlineLevel="0" collapsed="false">
      <c r="A2028" s="3" t="n">
        <v>2027</v>
      </c>
      <c r="B2028" s="3" t="n">
        <f aca="false">Raw_Data!A2028</f>
        <v>25</v>
      </c>
      <c r="C2028" s="3" t="str">
        <f aca="false">SUBSTITUTE(Raw_Data!B2028,".","")</f>
        <v>admin</v>
      </c>
      <c r="D2028" s="3" t="str">
        <f aca="false">Raw_Data!C2028</f>
        <v>married</v>
      </c>
      <c r="E2028" s="3" t="str">
        <f aca="false">Raw_Data!D2028</f>
        <v>secondary</v>
      </c>
      <c r="F2028" s="3" t="str">
        <f aca="false">Raw_Data!E2028</f>
        <v>no</v>
      </c>
      <c r="G2028" s="3" t="n">
        <f aca="false">Raw_Data!F2028</f>
        <v>894</v>
      </c>
      <c r="H2028" s="3" t="str">
        <f aca="false">Raw_Data!G2028</f>
        <v>yes</v>
      </c>
      <c r="I2028" s="3" t="str">
        <f aca="false">Raw_Data!H2028</f>
        <v>no</v>
      </c>
      <c r="J2028" s="2" t="n">
        <f aca="false">IF(F2028="yes",1,0)</f>
        <v>0</v>
      </c>
      <c r="K2028" s="2" t="n">
        <f aca="false">IF(H2028="yes",1,0)</f>
        <v>1</v>
      </c>
      <c r="L2028" s="2" t="n">
        <f aca="false">IF(I2028="yes",1,0)</f>
        <v>0</v>
      </c>
      <c r="M2028" s="2" t="n">
        <f aca="false">IF(G2028&lt;0,1,0)</f>
        <v>0</v>
      </c>
      <c r="N2028" s="2" t="str">
        <f aca="false">_xlfn.IFS(B2028&lt;30,"Under 30",B2028&lt;40,"30-39",B2028&lt;50,"40-49",B2028&lt;60,"50-59",TRUE(),"60+")</f>
        <v>Under 30</v>
      </c>
      <c r="O2028" s="2" t="str">
        <f aca="false">_xlfn.IFS(G2028&lt;0,"1 Negative",G2028=0,"2 Zero",G2028&lt;=500,"3 1-500",G2028&lt;=2000,"4 501-2000",TRUE(),"5 Above 2000")</f>
        <v>4 501-2000</v>
      </c>
      <c r="P2028" s="2" t="n">
        <f aca="false">Lookups!$B$2*M2028+Lookups!$B$3*L2028</f>
        <v>0</v>
      </c>
      <c r="Q2028" s="2" t="str">
        <f aca="false">INDEX(Lookups!$E$2:$E$5,MATCH(P2028,Lookups!$D$2:$D$5,0))</f>
        <v>Low</v>
      </c>
    </row>
    <row r="2029" customFormat="false" ht="15" hidden="false" customHeight="false" outlineLevel="0" collapsed="false">
      <c r="A2029" s="3" t="n">
        <v>2028</v>
      </c>
      <c r="B2029" s="3" t="n">
        <f aca="false">Raw_Data!A2029</f>
        <v>38</v>
      </c>
      <c r="C2029" s="3" t="str">
        <f aca="false">SUBSTITUTE(Raw_Data!B2029,".","")</f>
        <v>blue-collar</v>
      </c>
      <c r="D2029" s="3" t="str">
        <f aca="false">Raw_Data!C2029</f>
        <v>single</v>
      </c>
      <c r="E2029" s="3" t="str">
        <f aca="false">Raw_Data!D2029</f>
        <v>primary</v>
      </c>
      <c r="F2029" s="3" t="str">
        <f aca="false">Raw_Data!E2029</f>
        <v>no</v>
      </c>
      <c r="G2029" s="3" t="n">
        <f aca="false">Raw_Data!F2029</f>
        <v>490</v>
      </c>
      <c r="H2029" s="3" t="str">
        <f aca="false">Raw_Data!G2029</f>
        <v>yes</v>
      </c>
      <c r="I2029" s="3" t="str">
        <f aca="false">Raw_Data!H2029</f>
        <v>yes</v>
      </c>
      <c r="J2029" s="2" t="n">
        <f aca="false">IF(F2029="yes",1,0)</f>
        <v>0</v>
      </c>
      <c r="K2029" s="2" t="n">
        <f aca="false">IF(H2029="yes",1,0)</f>
        <v>1</v>
      </c>
      <c r="L2029" s="2" t="n">
        <f aca="false">IF(I2029="yes",1,0)</f>
        <v>1</v>
      </c>
      <c r="M2029" s="2" t="n">
        <f aca="false">IF(G2029&lt;0,1,0)</f>
        <v>0</v>
      </c>
      <c r="N2029" s="2" t="str">
        <f aca="false">_xlfn.IFS(B2029&lt;30,"Under 30",B2029&lt;40,"30-39",B2029&lt;50,"40-49",B2029&lt;60,"50-59",TRUE(),"60+")</f>
        <v>30-39</v>
      </c>
      <c r="O2029" s="2" t="str">
        <f aca="false">_xlfn.IFS(G2029&lt;0,"1 Negative",G2029=0,"2 Zero",G2029&lt;=500,"3 1-500",G2029&lt;=2000,"4 501-2000",TRUE(),"5 Above 2000")</f>
        <v>3 1-500</v>
      </c>
      <c r="P2029" s="2" t="n">
        <f aca="false">Lookups!$B$2*M2029+Lookups!$B$3*L2029</f>
        <v>1</v>
      </c>
      <c r="Q2029" s="2" t="str">
        <f aca="false">INDEX(Lookups!$E$2:$E$5,MATCH(P2029,Lookups!$D$2:$D$5,0))</f>
        <v>Medium</v>
      </c>
    </row>
    <row r="2030" customFormat="false" ht="15" hidden="false" customHeight="false" outlineLevel="0" collapsed="false">
      <c r="A2030" s="3" t="n">
        <v>2029</v>
      </c>
      <c r="B2030" s="3" t="n">
        <f aca="false">Raw_Data!A2030</f>
        <v>45</v>
      </c>
      <c r="C2030" s="3" t="str">
        <f aca="false">SUBSTITUTE(Raw_Data!B2030,".","")</f>
        <v>entrepreneur</v>
      </c>
      <c r="D2030" s="3" t="str">
        <f aca="false">Raw_Data!C2030</f>
        <v>married</v>
      </c>
      <c r="E2030" s="3" t="str">
        <f aca="false">Raw_Data!D2030</f>
        <v>secondary</v>
      </c>
      <c r="F2030" s="3" t="str">
        <f aca="false">Raw_Data!E2030</f>
        <v>no</v>
      </c>
      <c r="G2030" s="3" t="n">
        <f aca="false">Raw_Data!F2030</f>
        <v>245</v>
      </c>
      <c r="H2030" s="3" t="str">
        <f aca="false">Raw_Data!G2030</f>
        <v>yes</v>
      </c>
      <c r="I2030" s="3" t="str">
        <f aca="false">Raw_Data!H2030</f>
        <v>no</v>
      </c>
      <c r="J2030" s="2" t="n">
        <f aca="false">IF(F2030="yes",1,0)</f>
        <v>0</v>
      </c>
      <c r="K2030" s="2" t="n">
        <f aca="false">IF(H2030="yes",1,0)</f>
        <v>1</v>
      </c>
      <c r="L2030" s="2" t="n">
        <f aca="false">IF(I2030="yes",1,0)</f>
        <v>0</v>
      </c>
      <c r="M2030" s="2" t="n">
        <f aca="false">IF(G2030&lt;0,1,0)</f>
        <v>0</v>
      </c>
      <c r="N2030" s="2" t="str">
        <f aca="false">_xlfn.IFS(B2030&lt;30,"Under 30",B2030&lt;40,"30-39",B2030&lt;50,"40-49",B2030&lt;60,"50-59",TRUE(),"60+")</f>
        <v>40-49</v>
      </c>
      <c r="O2030" s="2" t="str">
        <f aca="false">_xlfn.IFS(G2030&lt;0,"1 Negative",G2030=0,"2 Zero",G2030&lt;=500,"3 1-500",G2030&lt;=2000,"4 501-2000",TRUE(),"5 Above 2000")</f>
        <v>3 1-500</v>
      </c>
      <c r="P2030" s="2" t="n">
        <f aca="false">Lookups!$B$2*M2030+Lookups!$B$3*L2030</f>
        <v>0</v>
      </c>
      <c r="Q2030" s="2" t="str">
        <f aca="false">INDEX(Lookups!$E$2:$E$5,MATCH(P2030,Lookups!$D$2:$D$5,0))</f>
        <v>Low</v>
      </c>
    </row>
    <row r="2031" customFormat="false" ht="15" hidden="false" customHeight="false" outlineLevel="0" collapsed="false">
      <c r="A2031" s="3" t="n">
        <v>2030</v>
      </c>
      <c r="B2031" s="3" t="n">
        <f aca="false">Raw_Data!A2031</f>
        <v>59</v>
      </c>
      <c r="C2031" s="3" t="str">
        <f aca="false">SUBSTITUTE(Raw_Data!B2031,".","")</f>
        <v>management</v>
      </c>
      <c r="D2031" s="3" t="str">
        <f aca="false">Raw_Data!C2031</f>
        <v>divorced</v>
      </c>
      <c r="E2031" s="3" t="str">
        <f aca="false">Raw_Data!D2031</f>
        <v>tertiary</v>
      </c>
      <c r="F2031" s="3" t="str">
        <f aca="false">Raw_Data!E2031</f>
        <v>no</v>
      </c>
      <c r="G2031" s="3" t="n">
        <f aca="false">Raw_Data!F2031</f>
        <v>0</v>
      </c>
      <c r="H2031" s="3" t="str">
        <f aca="false">Raw_Data!G2031</f>
        <v>yes</v>
      </c>
      <c r="I2031" s="3" t="str">
        <f aca="false">Raw_Data!H2031</f>
        <v>no</v>
      </c>
      <c r="J2031" s="2" t="n">
        <f aca="false">IF(F2031="yes",1,0)</f>
        <v>0</v>
      </c>
      <c r="K2031" s="2" t="n">
        <f aca="false">IF(H2031="yes",1,0)</f>
        <v>1</v>
      </c>
      <c r="L2031" s="2" t="n">
        <f aca="false">IF(I2031="yes",1,0)</f>
        <v>0</v>
      </c>
      <c r="M2031" s="2" t="n">
        <f aca="false">IF(G2031&lt;0,1,0)</f>
        <v>0</v>
      </c>
      <c r="N2031" s="2" t="str">
        <f aca="false">_xlfn.IFS(B2031&lt;30,"Under 30",B2031&lt;40,"30-39",B2031&lt;50,"40-49",B2031&lt;60,"50-59",TRUE(),"60+")</f>
        <v>50-59</v>
      </c>
      <c r="O2031" s="2" t="str">
        <f aca="false">_xlfn.IFS(G2031&lt;0,"1 Negative",G2031=0,"2 Zero",G2031&lt;=500,"3 1-500",G2031&lt;=2000,"4 501-2000",TRUE(),"5 Above 2000")</f>
        <v>2 Zero</v>
      </c>
      <c r="P2031" s="2" t="n">
        <f aca="false">Lookups!$B$2*M2031+Lookups!$B$3*L2031</f>
        <v>0</v>
      </c>
      <c r="Q2031" s="2" t="str">
        <f aca="false">INDEX(Lookups!$E$2:$E$5,MATCH(P2031,Lookups!$D$2:$D$5,0))</f>
        <v>Low</v>
      </c>
    </row>
    <row r="2032" customFormat="false" ht="15" hidden="false" customHeight="false" outlineLevel="0" collapsed="false">
      <c r="A2032" s="3" t="n">
        <v>2031</v>
      </c>
      <c r="B2032" s="3" t="n">
        <f aca="false">Raw_Data!A2032</f>
        <v>47</v>
      </c>
      <c r="C2032" s="3" t="str">
        <f aca="false">SUBSTITUTE(Raw_Data!B2032,".","")</f>
        <v>management</v>
      </c>
      <c r="D2032" s="3" t="str">
        <f aca="false">Raw_Data!C2032</f>
        <v>married</v>
      </c>
      <c r="E2032" s="3" t="str">
        <f aca="false">Raw_Data!D2032</f>
        <v>unknown</v>
      </c>
      <c r="F2032" s="3" t="str">
        <f aca="false">Raw_Data!E2032</f>
        <v>no</v>
      </c>
      <c r="G2032" s="3" t="n">
        <f aca="false">Raw_Data!F2032</f>
        <v>150</v>
      </c>
      <c r="H2032" s="3" t="str">
        <f aca="false">Raw_Data!G2032</f>
        <v>no</v>
      </c>
      <c r="I2032" s="3" t="str">
        <f aca="false">Raw_Data!H2032</f>
        <v>no</v>
      </c>
      <c r="J2032" s="2" t="n">
        <f aca="false">IF(F2032="yes",1,0)</f>
        <v>0</v>
      </c>
      <c r="K2032" s="2" t="n">
        <f aca="false">IF(H2032="yes",1,0)</f>
        <v>0</v>
      </c>
      <c r="L2032" s="2" t="n">
        <f aca="false">IF(I2032="yes",1,0)</f>
        <v>0</v>
      </c>
      <c r="M2032" s="2" t="n">
        <f aca="false">IF(G2032&lt;0,1,0)</f>
        <v>0</v>
      </c>
      <c r="N2032" s="2" t="str">
        <f aca="false">_xlfn.IFS(B2032&lt;30,"Under 30",B2032&lt;40,"30-39",B2032&lt;50,"40-49",B2032&lt;60,"50-59",TRUE(),"60+")</f>
        <v>40-49</v>
      </c>
      <c r="O2032" s="2" t="str">
        <f aca="false">_xlfn.IFS(G2032&lt;0,"1 Negative",G2032=0,"2 Zero",G2032&lt;=500,"3 1-500",G2032&lt;=2000,"4 501-2000",TRUE(),"5 Above 2000")</f>
        <v>3 1-500</v>
      </c>
      <c r="P2032" s="2" t="n">
        <f aca="false">Lookups!$B$2*M2032+Lookups!$B$3*L2032</f>
        <v>0</v>
      </c>
      <c r="Q2032" s="2" t="str">
        <f aca="false">INDEX(Lookups!$E$2:$E$5,MATCH(P2032,Lookups!$D$2:$D$5,0))</f>
        <v>Low</v>
      </c>
    </row>
    <row r="2033" customFormat="false" ht="15" hidden="false" customHeight="false" outlineLevel="0" collapsed="false">
      <c r="A2033" s="3" t="n">
        <v>2032</v>
      </c>
      <c r="B2033" s="3" t="n">
        <f aca="false">Raw_Data!A2033</f>
        <v>33</v>
      </c>
      <c r="C2033" s="3" t="str">
        <f aca="false">SUBSTITUTE(Raw_Data!B2033,".","")</f>
        <v>management</v>
      </c>
      <c r="D2033" s="3" t="str">
        <f aca="false">Raw_Data!C2033</f>
        <v>married</v>
      </c>
      <c r="E2033" s="3" t="str">
        <f aca="false">Raw_Data!D2033</f>
        <v>tertiary</v>
      </c>
      <c r="F2033" s="3" t="str">
        <f aca="false">Raw_Data!E2033</f>
        <v>no</v>
      </c>
      <c r="G2033" s="3" t="n">
        <f aca="false">Raw_Data!F2033</f>
        <v>4</v>
      </c>
      <c r="H2033" s="3" t="str">
        <f aca="false">Raw_Data!G2033</f>
        <v>yes</v>
      </c>
      <c r="I2033" s="3" t="str">
        <f aca="false">Raw_Data!H2033</f>
        <v>no</v>
      </c>
      <c r="J2033" s="2" t="n">
        <f aca="false">IF(F2033="yes",1,0)</f>
        <v>0</v>
      </c>
      <c r="K2033" s="2" t="n">
        <f aca="false">IF(H2033="yes",1,0)</f>
        <v>1</v>
      </c>
      <c r="L2033" s="2" t="n">
        <f aca="false">IF(I2033="yes",1,0)</f>
        <v>0</v>
      </c>
      <c r="M2033" s="2" t="n">
        <f aca="false">IF(G2033&lt;0,1,0)</f>
        <v>0</v>
      </c>
      <c r="N2033" s="2" t="str">
        <f aca="false">_xlfn.IFS(B2033&lt;30,"Under 30",B2033&lt;40,"30-39",B2033&lt;50,"40-49",B2033&lt;60,"50-59",TRUE(),"60+")</f>
        <v>30-39</v>
      </c>
      <c r="O2033" s="2" t="str">
        <f aca="false">_xlfn.IFS(G2033&lt;0,"1 Negative",G2033=0,"2 Zero",G2033&lt;=500,"3 1-500",G2033&lt;=2000,"4 501-2000",TRUE(),"5 Above 2000")</f>
        <v>3 1-500</v>
      </c>
      <c r="P2033" s="2" t="n">
        <f aca="false">Lookups!$B$2*M2033+Lookups!$B$3*L2033</f>
        <v>0</v>
      </c>
      <c r="Q2033" s="2" t="str">
        <f aca="false">INDEX(Lookups!$E$2:$E$5,MATCH(P2033,Lookups!$D$2:$D$5,0))</f>
        <v>Low</v>
      </c>
    </row>
    <row r="2034" customFormat="false" ht="15" hidden="false" customHeight="false" outlineLevel="0" collapsed="false">
      <c r="A2034" s="3" t="n">
        <v>2033</v>
      </c>
      <c r="B2034" s="3" t="n">
        <f aca="false">Raw_Data!A2034</f>
        <v>59</v>
      </c>
      <c r="C2034" s="3" t="str">
        <f aca="false">SUBSTITUTE(Raw_Data!B2034,".","")</f>
        <v>management</v>
      </c>
      <c r="D2034" s="3" t="str">
        <f aca="false">Raw_Data!C2034</f>
        <v>married</v>
      </c>
      <c r="E2034" s="3" t="str">
        <f aca="false">Raw_Data!D2034</f>
        <v>primary</v>
      </c>
      <c r="F2034" s="3" t="str">
        <f aca="false">Raw_Data!E2034</f>
        <v>no</v>
      </c>
      <c r="G2034" s="3" t="n">
        <f aca="false">Raw_Data!F2034</f>
        <v>1727</v>
      </c>
      <c r="H2034" s="3" t="str">
        <f aca="false">Raw_Data!G2034</f>
        <v>no</v>
      </c>
      <c r="I2034" s="3" t="str">
        <f aca="false">Raw_Data!H2034</f>
        <v>no</v>
      </c>
      <c r="J2034" s="2" t="n">
        <f aca="false">IF(F2034="yes",1,0)</f>
        <v>0</v>
      </c>
      <c r="K2034" s="2" t="n">
        <f aca="false">IF(H2034="yes",1,0)</f>
        <v>0</v>
      </c>
      <c r="L2034" s="2" t="n">
        <f aca="false">IF(I2034="yes",1,0)</f>
        <v>0</v>
      </c>
      <c r="M2034" s="2" t="n">
        <f aca="false">IF(G2034&lt;0,1,0)</f>
        <v>0</v>
      </c>
      <c r="N2034" s="2" t="str">
        <f aca="false">_xlfn.IFS(B2034&lt;30,"Under 30",B2034&lt;40,"30-39",B2034&lt;50,"40-49",B2034&lt;60,"50-59",TRUE(),"60+")</f>
        <v>50-59</v>
      </c>
      <c r="O2034" s="2" t="str">
        <f aca="false">_xlfn.IFS(G2034&lt;0,"1 Negative",G2034=0,"2 Zero",G2034&lt;=500,"3 1-500",G2034&lt;=2000,"4 501-2000",TRUE(),"5 Above 2000")</f>
        <v>4 501-2000</v>
      </c>
      <c r="P2034" s="2" t="n">
        <f aca="false">Lookups!$B$2*M2034+Lookups!$B$3*L2034</f>
        <v>0</v>
      </c>
      <c r="Q2034" s="2" t="str">
        <f aca="false">INDEX(Lookups!$E$2:$E$5,MATCH(P2034,Lookups!$D$2:$D$5,0))</f>
        <v>Low</v>
      </c>
    </row>
    <row r="2035" customFormat="false" ht="15" hidden="false" customHeight="false" outlineLevel="0" collapsed="false">
      <c r="A2035" s="3" t="n">
        <v>2034</v>
      </c>
      <c r="B2035" s="3" t="n">
        <f aca="false">Raw_Data!A2035</f>
        <v>41</v>
      </c>
      <c r="C2035" s="3" t="str">
        <f aca="false">SUBSTITUTE(Raw_Data!B2035,".","")</f>
        <v>blue-collar</v>
      </c>
      <c r="D2035" s="3" t="str">
        <f aca="false">Raw_Data!C2035</f>
        <v>divorced</v>
      </c>
      <c r="E2035" s="3" t="str">
        <f aca="false">Raw_Data!D2035</f>
        <v>primary</v>
      </c>
      <c r="F2035" s="3" t="str">
        <f aca="false">Raw_Data!E2035</f>
        <v>no</v>
      </c>
      <c r="G2035" s="3" t="n">
        <f aca="false">Raw_Data!F2035</f>
        <v>664</v>
      </c>
      <c r="H2035" s="3" t="str">
        <f aca="false">Raw_Data!G2035</f>
        <v>no</v>
      </c>
      <c r="I2035" s="3" t="str">
        <f aca="false">Raw_Data!H2035</f>
        <v>yes</v>
      </c>
      <c r="J2035" s="2" t="n">
        <f aca="false">IF(F2035="yes",1,0)</f>
        <v>0</v>
      </c>
      <c r="K2035" s="2" t="n">
        <f aca="false">IF(H2035="yes",1,0)</f>
        <v>0</v>
      </c>
      <c r="L2035" s="2" t="n">
        <f aca="false">IF(I2035="yes",1,0)</f>
        <v>1</v>
      </c>
      <c r="M2035" s="2" t="n">
        <f aca="false">IF(G2035&lt;0,1,0)</f>
        <v>0</v>
      </c>
      <c r="N2035" s="2" t="str">
        <f aca="false">_xlfn.IFS(B2035&lt;30,"Under 30",B2035&lt;40,"30-39",B2035&lt;50,"40-49",B2035&lt;60,"50-59",TRUE(),"60+")</f>
        <v>40-49</v>
      </c>
      <c r="O2035" s="2" t="str">
        <f aca="false">_xlfn.IFS(G2035&lt;0,"1 Negative",G2035=0,"2 Zero",G2035&lt;=500,"3 1-500",G2035&lt;=2000,"4 501-2000",TRUE(),"5 Above 2000")</f>
        <v>4 501-2000</v>
      </c>
      <c r="P2035" s="2" t="n">
        <f aca="false">Lookups!$B$2*M2035+Lookups!$B$3*L2035</f>
        <v>1</v>
      </c>
      <c r="Q2035" s="2" t="str">
        <f aca="false">INDEX(Lookups!$E$2:$E$5,MATCH(P2035,Lookups!$D$2:$D$5,0))</f>
        <v>Medium</v>
      </c>
    </row>
    <row r="2036" customFormat="false" ht="15" hidden="false" customHeight="false" outlineLevel="0" collapsed="false">
      <c r="A2036" s="3" t="n">
        <v>2035</v>
      </c>
      <c r="B2036" s="3" t="n">
        <f aca="false">Raw_Data!A2036</f>
        <v>42</v>
      </c>
      <c r="C2036" s="3" t="str">
        <f aca="false">SUBSTITUTE(Raw_Data!B2036,".","")</f>
        <v>technician</v>
      </c>
      <c r="D2036" s="3" t="str">
        <f aca="false">Raw_Data!C2036</f>
        <v>married</v>
      </c>
      <c r="E2036" s="3" t="str">
        <f aca="false">Raw_Data!D2036</f>
        <v>secondary</v>
      </c>
      <c r="F2036" s="3" t="str">
        <f aca="false">Raw_Data!E2036</f>
        <v>no</v>
      </c>
      <c r="G2036" s="3" t="n">
        <f aca="false">Raw_Data!F2036</f>
        <v>473</v>
      </c>
      <c r="H2036" s="3" t="str">
        <f aca="false">Raw_Data!G2036</f>
        <v>yes</v>
      </c>
      <c r="I2036" s="3" t="str">
        <f aca="false">Raw_Data!H2036</f>
        <v>no</v>
      </c>
      <c r="J2036" s="2" t="n">
        <f aca="false">IF(F2036="yes",1,0)</f>
        <v>0</v>
      </c>
      <c r="K2036" s="2" t="n">
        <f aca="false">IF(H2036="yes",1,0)</f>
        <v>1</v>
      </c>
      <c r="L2036" s="2" t="n">
        <f aca="false">IF(I2036="yes",1,0)</f>
        <v>0</v>
      </c>
      <c r="M2036" s="2" t="n">
        <f aca="false">IF(G2036&lt;0,1,0)</f>
        <v>0</v>
      </c>
      <c r="N2036" s="2" t="str">
        <f aca="false">_xlfn.IFS(B2036&lt;30,"Under 30",B2036&lt;40,"30-39",B2036&lt;50,"40-49",B2036&lt;60,"50-59",TRUE(),"60+")</f>
        <v>40-49</v>
      </c>
      <c r="O2036" s="2" t="str">
        <f aca="false">_xlfn.IFS(G2036&lt;0,"1 Negative",G2036=0,"2 Zero",G2036&lt;=500,"3 1-500",G2036&lt;=2000,"4 501-2000",TRUE(),"5 Above 2000")</f>
        <v>3 1-500</v>
      </c>
      <c r="P2036" s="2" t="n">
        <f aca="false">Lookups!$B$2*M2036+Lookups!$B$3*L2036</f>
        <v>0</v>
      </c>
      <c r="Q2036" s="2" t="str">
        <f aca="false">INDEX(Lookups!$E$2:$E$5,MATCH(P2036,Lookups!$D$2:$D$5,0))</f>
        <v>Low</v>
      </c>
    </row>
    <row r="2037" customFormat="false" ht="15" hidden="false" customHeight="false" outlineLevel="0" collapsed="false">
      <c r="A2037" s="3" t="n">
        <v>2036</v>
      </c>
      <c r="B2037" s="3" t="n">
        <f aca="false">Raw_Data!A2037</f>
        <v>51</v>
      </c>
      <c r="C2037" s="3" t="str">
        <f aca="false">SUBSTITUTE(Raw_Data!B2037,".","")</f>
        <v>technician</v>
      </c>
      <c r="D2037" s="3" t="str">
        <f aca="false">Raw_Data!C2037</f>
        <v>divorced</v>
      </c>
      <c r="E2037" s="3" t="str">
        <f aca="false">Raw_Data!D2037</f>
        <v>tertiary</v>
      </c>
      <c r="F2037" s="3" t="str">
        <f aca="false">Raw_Data!E2037</f>
        <v>no</v>
      </c>
      <c r="G2037" s="3" t="n">
        <f aca="false">Raw_Data!F2037</f>
        <v>0</v>
      </c>
      <c r="H2037" s="3" t="str">
        <f aca="false">Raw_Data!G2037</f>
        <v>no</v>
      </c>
      <c r="I2037" s="3" t="str">
        <f aca="false">Raw_Data!H2037</f>
        <v>no</v>
      </c>
      <c r="J2037" s="2" t="n">
        <f aca="false">IF(F2037="yes",1,0)</f>
        <v>0</v>
      </c>
      <c r="K2037" s="2" t="n">
        <f aca="false">IF(H2037="yes",1,0)</f>
        <v>0</v>
      </c>
      <c r="L2037" s="2" t="n">
        <f aca="false">IF(I2037="yes",1,0)</f>
        <v>0</v>
      </c>
      <c r="M2037" s="2" t="n">
        <f aca="false">IF(G2037&lt;0,1,0)</f>
        <v>0</v>
      </c>
      <c r="N2037" s="2" t="str">
        <f aca="false">_xlfn.IFS(B2037&lt;30,"Under 30",B2037&lt;40,"30-39",B2037&lt;50,"40-49",B2037&lt;60,"50-59",TRUE(),"60+")</f>
        <v>50-59</v>
      </c>
      <c r="O2037" s="2" t="str">
        <f aca="false">_xlfn.IFS(G2037&lt;0,"1 Negative",G2037=0,"2 Zero",G2037&lt;=500,"3 1-500",G2037&lt;=2000,"4 501-2000",TRUE(),"5 Above 2000")</f>
        <v>2 Zero</v>
      </c>
      <c r="P2037" s="2" t="n">
        <f aca="false">Lookups!$B$2*M2037+Lookups!$B$3*L2037</f>
        <v>0</v>
      </c>
      <c r="Q2037" s="2" t="str">
        <f aca="false">INDEX(Lookups!$E$2:$E$5,MATCH(P2037,Lookups!$D$2:$D$5,0))</f>
        <v>Low</v>
      </c>
    </row>
    <row r="2038" customFormat="false" ht="15" hidden="false" customHeight="false" outlineLevel="0" collapsed="false">
      <c r="A2038" s="3" t="n">
        <v>2037</v>
      </c>
      <c r="B2038" s="3" t="n">
        <f aca="false">Raw_Data!A2038</f>
        <v>45</v>
      </c>
      <c r="C2038" s="3" t="str">
        <f aca="false">SUBSTITUTE(Raw_Data!B2038,".","")</f>
        <v>management</v>
      </c>
      <c r="D2038" s="3" t="str">
        <f aca="false">Raw_Data!C2038</f>
        <v>married</v>
      </c>
      <c r="E2038" s="3" t="str">
        <f aca="false">Raw_Data!D2038</f>
        <v>tertiary</v>
      </c>
      <c r="F2038" s="3" t="str">
        <f aca="false">Raw_Data!E2038</f>
        <v>no</v>
      </c>
      <c r="G2038" s="3" t="n">
        <f aca="false">Raw_Data!F2038</f>
        <v>-192</v>
      </c>
      <c r="H2038" s="3" t="str">
        <f aca="false">Raw_Data!G2038</f>
        <v>yes</v>
      </c>
      <c r="I2038" s="3" t="str">
        <f aca="false">Raw_Data!H2038</f>
        <v>no</v>
      </c>
      <c r="J2038" s="2" t="n">
        <f aca="false">IF(F2038="yes",1,0)</f>
        <v>0</v>
      </c>
      <c r="K2038" s="2" t="n">
        <f aca="false">IF(H2038="yes",1,0)</f>
        <v>1</v>
      </c>
      <c r="L2038" s="2" t="n">
        <f aca="false">IF(I2038="yes",1,0)</f>
        <v>0</v>
      </c>
      <c r="M2038" s="2" t="n">
        <f aca="false">IF(G2038&lt;0,1,0)</f>
        <v>1</v>
      </c>
      <c r="N2038" s="2" t="str">
        <f aca="false">_xlfn.IFS(B2038&lt;30,"Under 30",B2038&lt;40,"30-39",B2038&lt;50,"40-49",B2038&lt;60,"50-59",TRUE(),"60+")</f>
        <v>40-49</v>
      </c>
      <c r="O2038" s="2" t="str">
        <f aca="false">_xlfn.IFS(G2038&lt;0,"1 Negative",G2038=0,"2 Zero",G2038&lt;=500,"3 1-500",G2038&lt;=2000,"4 501-2000",TRUE(),"5 Above 2000")</f>
        <v>1 Negative</v>
      </c>
      <c r="P2038" s="2" t="n">
        <f aca="false">Lookups!$B$2*M2038+Lookups!$B$3*L2038</f>
        <v>2</v>
      </c>
      <c r="Q2038" s="2" t="str">
        <f aca="false">INDEX(Lookups!$E$2:$E$5,MATCH(P2038,Lookups!$D$2:$D$5,0))</f>
        <v>High</v>
      </c>
    </row>
    <row r="2039" customFormat="false" ht="15" hidden="false" customHeight="false" outlineLevel="0" collapsed="false">
      <c r="A2039" s="3" t="n">
        <v>2038</v>
      </c>
      <c r="B2039" s="3" t="n">
        <f aca="false">Raw_Data!A2039</f>
        <v>30</v>
      </c>
      <c r="C2039" s="3" t="str">
        <f aca="false">SUBSTITUTE(Raw_Data!B2039,".","")</f>
        <v>management</v>
      </c>
      <c r="D2039" s="3" t="str">
        <f aca="false">Raw_Data!C2039</f>
        <v>married</v>
      </c>
      <c r="E2039" s="3" t="str">
        <f aca="false">Raw_Data!D2039</f>
        <v>tertiary</v>
      </c>
      <c r="F2039" s="3" t="str">
        <f aca="false">Raw_Data!E2039</f>
        <v>no</v>
      </c>
      <c r="G2039" s="3" t="n">
        <f aca="false">Raw_Data!F2039</f>
        <v>1942</v>
      </c>
      <c r="H2039" s="3" t="str">
        <f aca="false">Raw_Data!G2039</f>
        <v>yes</v>
      </c>
      <c r="I2039" s="3" t="str">
        <f aca="false">Raw_Data!H2039</f>
        <v>yes</v>
      </c>
      <c r="J2039" s="2" t="n">
        <f aca="false">IF(F2039="yes",1,0)</f>
        <v>0</v>
      </c>
      <c r="K2039" s="2" t="n">
        <f aca="false">IF(H2039="yes",1,0)</f>
        <v>1</v>
      </c>
      <c r="L2039" s="2" t="n">
        <f aca="false">IF(I2039="yes",1,0)</f>
        <v>1</v>
      </c>
      <c r="M2039" s="2" t="n">
        <f aca="false">IF(G2039&lt;0,1,0)</f>
        <v>0</v>
      </c>
      <c r="N2039" s="2" t="str">
        <f aca="false">_xlfn.IFS(B2039&lt;30,"Under 30",B2039&lt;40,"30-39",B2039&lt;50,"40-49",B2039&lt;60,"50-59",TRUE(),"60+")</f>
        <v>30-39</v>
      </c>
      <c r="O2039" s="2" t="str">
        <f aca="false">_xlfn.IFS(G2039&lt;0,"1 Negative",G2039=0,"2 Zero",G2039&lt;=500,"3 1-500",G2039&lt;=2000,"4 501-2000",TRUE(),"5 Above 2000")</f>
        <v>4 501-2000</v>
      </c>
      <c r="P2039" s="2" t="n">
        <f aca="false">Lookups!$B$2*M2039+Lookups!$B$3*L2039</f>
        <v>1</v>
      </c>
      <c r="Q2039" s="2" t="str">
        <f aca="false">INDEX(Lookups!$E$2:$E$5,MATCH(P2039,Lookups!$D$2:$D$5,0))</f>
        <v>Medium</v>
      </c>
    </row>
    <row r="2040" customFormat="false" ht="15" hidden="false" customHeight="false" outlineLevel="0" collapsed="false">
      <c r="A2040" s="3" t="n">
        <v>2039</v>
      </c>
      <c r="B2040" s="3" t="n">
        <f aca="false">Raw_Data!A2040</f>
        <v>33</v>
      </c>
      <c r="C2040" s="3" t="str">
        <f aca="false">SUBSTITUTE(Raw_Data!B2040,".","")</f>
        <v>blue-collar</v>
      </c>
      <c r="D2040" s="3" t="str">
        <f aca="false">Raw_Data!C2040</f>
        <v>single</v>
      </c>
      <c r="E2040" s="3" t="str">
        <f aca="false">Raw_Data!D2040</f>
        <v>secondary</v>
      </c>
      <c r="F2040" s="3" t="str">
        <f aca="false">Raw_Data!E2040</f>
        <v>no</v>
      </c>
      <c r="G2040" s="3" t="n">
        <f aca="false">Raw_Data!F2040</f>
        <v>5137</v>
      </c>
      <c r="H2040" s="3" t="str">
        <f aca="false">Raw_Data!G2040</f>
        <v>yes</v>
      </c>
      <c r="I2040" s="3" t="str">
        <f aca="false">Raw_Data!H2040</f>
        <v>no</v>
      </c>
      <c r="J2040" s="2" t="n">
        <f aca="false">IF(F2040="yes",1,0)</f>
        <v>0</v>
      </c>
      <c r="K2040" s="2" t="n">
        <f aca="false">IF(H2040="yes",1,0)</f>
        <v>1</v>
      </c>
      <c r="L2040" s="2" t="n">
        <f aca="false">IF(I2040="yes",1,0)</f>
        <v>0</v>
      </c>
      <c r="M2040" s="2" t="n">
        <f aca="false">IF(G2040&lt;0,1,0)</f>
        <v>0</v>
      </c>
      <c r="N2040" s="2" t="str">
        <f aca="false">_xlfn.IFS(B2040&lt;30,"Under 30",B2040&lt;40,"30-39",B2040&lt;50,"40-49",B2040&lt;60,"50-59",TRUE(),"60+")</f>
        <v>30-39</v>
      </c>
      <c r="O2040" s="2" t="str">
        <f aca="false">_xlfn.IFS(G2040&lt;0,"1 Negative",G2040=0,"2 Zero",G2040&lt;=500,"3 1-500",G2040&lt;=2000,"4 501-2000",TRUE(),"5 Above 2000")</f>
        <v>5 Above 2000</v>
      </c>
      <c r="P2040" s="2" t="n">
        <f aca="false">Lookups!$B$2*M2040+Lookups!$B$3*L2040</f>
        <v>0</v>
      </c>
      <c r="Q2040" s="2" t="str">
        <f aca="false">INDEX(Lookups!$E$2:$E$5,MATCH(P2040,Lookups!$D$2:$D$5,0))</f>
        <v>Low</v>
      </c>
    </row>
    <row r="2041" customFormat="false" ht="15" hidden="false" customHeight="false" outlineLevel="0" collapsed="false">
      <c r="A2041" s="3" t="n">
        <v>2040</v>
      </c>
      <c r="B2041" s="3" t="n">
        <f aca="false">Raw_Data!A2041</f>
        <v>43</v>
      </c>
      <c r="C2041" s="3" t="str">
        <f aca="false">SUBSTITUTE(Raw_Data!B2041,".","")</f>
        <v>management</v>
      </c>
      <c r="D2041" s="3" t="str">
        <f aca="false">Raw_Data!C2041</f>
        <v>married</v>
      </c>
      <c r="E2041" s="3" t="str">
        <f aca="false">Raw_Data!D2041</f>
        <v>tertiary</v>
      </c>
      <c r="F2041" s="3" t="str">
        <f aca="false">Raw_Data!E2041</f>
        <v>no</v>
      </c>
      <c r="G2041" s="3" t="n">
        <f aca="false">Raw_Data!F2041</f>
        <v>13044</v>
      </c>
      <c r="H2041" s="3" t="str">
        <f aca="false">Raw_Data!G2041</f>
        <v>no</v>
      </c>
      <c r="I2041" s="3" t="str">
        <f aca="false">Raw_Data!H2041</f>
        <v>no</v>
      </c>
      <c r="J2041" s="2" t="n">
        <f aca="false">IF(F2041="yes",1,0)</f>
        <v>0</v>
      </c>
      <c r="K2041" s="2" t="n">
        <f aca="false">IF(H2041="yes",1,0)</f>
        <v>0</v>
      </c>
      <c r="L2041" s="2" t="n">
        <f aca="false">IF(I2041="yes",1,0)</f>
        <v>0</v>
      </c>
      <c r="M2041" s="2" t="n">
        <f aca="false">IF(G2041&lt;0,1,0)</f>
        <v>0</v>
      </c>
      <c r="N2041" s="2" t="str">
        <f aca="false">_xlfn.IFS(B2041&lt;30,"Under 30",B2041&lt;40,"30-39",B2041&lt;50,"40-49",B2041&lt;60,"50-59",TRUE(),"60+")</f>
        <v>40-49</v>
      </c>
      <c r="O2041" s="2" t="str">
        <f aca="false">_xlfn.IFS(G2041&lt;0,"1 Negative",G2041=0,"2 Zero",G2041&lt;=500,"3 1-500",G2041&lt;=2000,"4 501-2000",TRUE(),"5 Above 2000")</f>
        <v>5 Above 2000</v>
      </c>
      <c r="P2041" s="2" t="n">
        <f aca="false">Lookups!$B$2*M2041+Lookups!$B$3*L2041</f>
        <v>0</v>
      </c>
      <c r="Q2041" s="2" t="str">
        <f aca="false">INDEX(Lookups!$E$2:$E$5,MATCH(P2041,Lookups!$D$2:$D$5,0))</f>
        <v>Low</v>
      </c>
    </row>
    <row r="2042" customFormat="false" ht="15" hidden="false" customHeight="false" outlineLevel="0" collapsed="false">
      <c r="A2042" s="3" t="n">
        <v>2041</v>
      </c>
      <c r="B2042" s="3" t="n">
        <f aca="false">Raw_Data!A2042</f>
        <v>37</v>
      </c>
      <c r="C2042" s="3" t="str">
        <f aca="false">SUBSTITUTE(Raw_Data!B2042,".","")</f>
        <v>blue-collar</v>
      </c>
      <c r="D2042" s="3" t="str">
        <f aca="false">Raw_Data!C2042</f>
        <v>married</v>
      </c>
      <c r="E2042" s="3" t="str">
        <f aca="false">Raw_Data!D2042</f>
        <v>secondary</v>
      </c>
      <c r="F2042" s="3" t="str">
        <f aca="false">Raw_Data!E2042</f>
        <v>no</v>
      </c>
      <c r="G2042" s="3" t="n">
        <f aca="false">Raw_Data!F2042</f>
        <v>1053</v>
      </c>
      <c r="H2042" s="3" t="str">
        <f aca="false">Raw_Data!G2042</f>
        <v>no</v>
      </c>
      <c r="I2042" s="3" t="str">
        <f aca="false">Raw_Data!H2042</f>
        <v>no</v>
      </c>
      <c r="J2042" s="2" t="n">
        <f aca="false">IF(F2042="yes",1,0)</f>
        <v>0</v>
      </c>
      <c r="K2042" s="2" t="n">
        <f aca="false">IF(H2042="yes",1,0)</f>
        <v>0</v>
      </c>
      <c r="L2042" s="2" t="n">
        <f aca="false">IF(I2042="yes",1,0)</f>
        <v>0</v>
      </c>
      <c r="M2042" s="2" t="n">
        <f aca="false">IF(G2042&lt;0,1,0)</f>
        <v>0</v>
      </c>
      <c r="N2042" s="2" t="str">
        <f aca="false">_xlfn.IFS(B2042&lt;30,"Under 30",B2042&lt;40,"30-39",B2042&lt;50,"40-49",B2042&lt;60,"50-59",TRUE(),"60+")</f>
        <v>30-39</v>
      </c>
      <c r="O2042" s="2" t="str">
        <f aca="false">_xlfn.IFS(G2042&lt;0,"1 Negative",G2042=0,"2 Zero",G2042&lt;=500,"3 1-500",G2042&lt;=2000,"4 501-2000",TRUE(),"5 Above 2000")</f>
        <v>4 501-2000</v>
      </c>
      <c r="P2042" s="2" t="n">
        <f aca="false">Lookups!$B$2*M2042+Lookups!$B$3*L2042</f>
        <v>0</v>
      </c>
      <c r="Q2042" s="2" t="str">
        <f aca="false">INDEX(Lookups!$E$2:$E$5,MATCH(P2042,Lookups!$D$2:$D$5,0))</f>
        <v>Low</v>
      </c>
    </row>
    <row r="2043" customFormat="false" ht="15" hidden="false" customHeight="false" outlineLevel="0" collapsed="false">
      <c r="A2043" s="3" t="n">
        <v>2042</v>
      </c>
      <c r="B2043" s="3" t="n">
        <f aca="false">Raw_Data!A2043</f>
        <v>73</v>
      </c>
      <c r="C2043" s="3" t="str">
        <f aca="false">SUBSTITUTE(Raw_Data!B2043,".","")</f>
        <v>retired</v>
      </c>
      <c r="D2043" s="3" t="str">
        <f aca="false">Raw_Data!C2043</f>
        <v>married</v>
      </c>
      <c r="E2043" s="3" t="str">
        <f aca="false">Raw_Data!D2043</f>
        <v>primary</v>
      </c>
      <c r="F2043" s="3" t="str">
        <f aca="false">Raw_Data!E2043</f>
        <v>no</v>
      </c>
      <c r="G2043" s="3" t="n">
        <f aca="false">Raw_Data!F2043</f>
        <v>154</v>
      </c>
      <c r="H2043" s="3" t="str">
        <f aca="false">Raw_Data!G2043</f>
        <v>no</v>
      </c>
      <c r="I2043" s="3" t="str">
        <f aca="false">Raw_Data!H2043</f>
        <v>no</v>
      </c>
      <c r="J2043" s="2" t="n">
        <f aca="false">IF(F2043="yes",1,0)</f>
        <v>0</v>
      </c>
      <c r="K2043" s="2" t="n">
        <f aca="false">IF(H2043="yes",1,0)</f>
        <v>0</v>
      </c>
      <c r="L2043" s="2" t="n">
        <f aca="false">IF(I2043="yes",1,0)</f>
        <v>0</v>
      </c>
      <c r="M2043" s="2" t="n">
        <f aca="false">IF(G2043&lt;0,1,0)</f>
        <v>0</v>
      </c>
      <c r="N2043" s="2" t="str">
        <f aca="false">_xlfn.IFS(B2043&lt;30,"Under 30",B2043&lt;40,"30-39",B2043&lt;50,"40-49",B2043&lt;60,"50-59",TRUE(),"60+")</f>
        <v>60+</v>
      </c>
      <c r="O2043" s="2" t="str">
        <f aca="false">_xlfn.IFS(G2043&lt;0,"1 Negative",G2043=0,"2 Zero",G2043&lt;=500,"3 1-500",G2043&lt;=2000,"4 501-2000",TRUE(),"5 Above 2000")</f>
        <v>3 1-500</v>
      </c>
      <c r="P2043" s="2" t="n">
        <f aca="false">Lookups!$B$2*M2043+Lookups!$B$3*L2043</f>
        <v>0</v>
      </c>
      <c r="Q2043" s="2" t="str">
        <f aca="false">INDEX(Lookups!$E$2:$E$5,MATCH(P2043,Lookups!$D$2:$D$5,0))</f>
        <v>Low</v>
      </c>
    </row>
    <row r="2044" customFormat="false" ht="15" hidden="false" customHeight="false" outlineLevel="0" collapsed="false">
      <c r="A2044" s="3" t="n">
        <v>2043</v>
      </c>
      <c r="B2044" s="3" t="n">
        <f aca="false">Raw_Data!A2044</f>
        <v>43</v>
      </c>
      <c r="C2044" s="3" t="str">
        <f aca="false">SUBSTITUTE(Raw_Data!B2044,".","")</f>
        <v>blue-collar</v>
      </c>
      <c r="D2044" s="3" t="str">
        <f aca="false">Raw_Data!C2044</f>
        <v>married</v>
      </c>
      <c r="E2044" s="3" t="str">
        <f aca="false">Raw_Data!D2044</f>
        <v>secondary</v>
      </c>
      <c r="F2044" s="3" t="str">
        <f aca="false">Raw_Data!E2044</f>
        <v>no</v>
      </c>
      <c r="G2044" s="3" t="n">
        <f aca="false">Raw_Data!F2044</f>
        <v>625</v>
      </c>
      <c r="H2044" s="3" t="str">
        <f aca="false">Raw_Data!G2044</f>
        <v>yes</v>
      </c>
      <c r="I2044" s="3" t="str">
        <f aca="false">Raw_Data!H2044</f>
        <v>no</v>
      </c>
      <c r="J2044" s="2" t="n">
        <f aca="false">IF(F2044="yes",1,0)</f>
        <v>0</v>
      </c>
      <c r="K2044" s="2" t="n">
        <f aca="false">IF(H2044="yes",1,0)</f>
        <v>1</v>
      </c>
      <c r="L2044" s="2" t="n">
        <f aca="false">IF(I2044="yes",1,0)</f>
        <v>0</v>
      </c>
      <c r="M2044" s="2" t="n">
        <f aca="false">IF(G2044&lt;0,1,0)</f>
        <v>0</v>
      </c>
      <c r="N2044" s="2" t="str">
        <f aca="false">_xlfn.IFS(B2044&lt;30,"Under 30",B2044&lt;40,"30-39",B2044&lt;50,"40-49",B2044&lt;60,"50-59",TRUE(),"60+")</f>
        <v>40-49</v>
      </c>
      <c r="O2044" s="2" t="str">
        <f aca="false">_xlfn.IFS(G2044&lt;0,"1 Negative",G2044=0,"2 Zero",G2044&lt;=500,"3 1-500",G2044&lt;=2000,"4 501-2000",TRUE(),"5 Above 2000")</f>
        <v>4 501-2000</v>
      </c>
      <c r="P2044" s="2" t="n">
        <f aca="false">Lookups!$B$2*M2044+Lookups!$B$3*L2044</f>
        <v>0</v>
      </c>
      <c r="Q2044" s="2" t="str">
        <f aca="false">INDEX(Lookups!$E$2:$E$5,MATCH(P2044,Lookups!$D$2:$D$5,0))</f>
        <v>Low</v>
      </c>
    </row>
    <row r="2045" customFormat="false" ht="15" hidden="false" customHeight="false" outlineLevel="0" collapsed="false">
      <c r="A2045" s="3" t="n">
        <v>2044</v>
      </c>
      <c r="B2045" s="3" t="n">
        <f aca="false">Raw_Data!A2045</f>
        <v>52</v>
      </c>
      <c r="C2045" s="3" t="str">
        <f aca="false">SUBSTITUTE(Raw_Data!B2045,".","")</f>
        <v>unemployed</v>
      </c>
      <c r="D2045" s="3" t="str">
        <f aca="false">Raw_Data!C2045</f>
        <v>married</v>
      </c>
      <c r="E2045" s="3" t="str">
        <f aca="false">Raw_Data!D2045</f>
        <v>primary</v>
      </c>
      <c r="F2045" s="3" t="str">
        <f aca="false">Raw_Data!E2045</f>
        <v>no</v>
      </c>
      <c r="G2045" s="3" t="n">
        <f aca="false">Raw_Data!F2045</f>
        <v>255</v>
      </c>
      <c r="H2045" s="3" t="str">
        <f aca="false">Raw_Data!G2045</f>
        <v>no</v>
      </c>
      <c r="I2045" s="3" t="str">
        <f aca="false">Raw_Data!H2045</f>
        <v>yes</v>
      </c>
      <c r="J2045" s="2" t="n">
        <f aca="false">IF(F2045="yes",1,0)</f>
        <v>0</v>
      </c>
      <c r="K2045" s="2" t="n">
        <f aca="false">IF(H2045="yes",1,0)</f>
        <v>0</v>
      </c>
      <c r="L2045" s="2" t="n">
        <f aca="false">IF(I2045="yes",1,0)</f>
        <v>1</v>
      </c>
      <c r="M2045" s="2" t="n">
        <f aca="false">IF(G2045&lt;0,1,0)</f>
        <v>0</v>
      </c>
      <c r="N2045" s="2" t="str">
        <f aca="false">_xlfn.IFS(B2045&lt;30,"Under 30",B2045&lt;40,"30-39",B2045&lt;50,"40-49",B2045&lt;60,"50-59",TRUE(),"60+")</f>
        <v>50-59</v>
      </c>
      <c r="O2045" s="2" t="str">
        <f aca="false">_xlfn.IFS(G2045&lt;0,"1 Negative",G2045=0,"2 Zero",G2045&lt;=500,"3 1-500",G2045&lt;=2000,"4 501-2000",TRUE(),"5 Above 2000")</f>
        <v>3 1-500</v>
      </c>
      <c r="P2045" s="2" t="n">
        <f aca="false">Lookups!$B$2*M2045+Lookups!$B$3*L2045</f>
        <v>1</v>
      </c>
      <c r="Q2045" s="2" t="str">
        <f aca="false">INDEX(Lookups!$E$2:$E$5,MATCH(P2045,Lookups!$D$2:$D$5,0))</f>
        <v>Medium</v>
      </c>
    </row>
    <row r="2046" customFormat="false" ht="15" hidden="false" customHeight="false" outlineLevel="0" collapsed="false">
      <c r="A2046" s="3" t="n">
        <v>2045</v>
      </c>
      <c r="B2046" s="3" t="n">
        <f aca="false">Raw_Data!A2046</f>
        <v>44</v>
      </c>
      <c r="C2046" s="3" t="str">
        <f aca="false">SUBSTITUTE(Raw_Data!B2046,".","")</f>
        <v>management</v>
      </c>
      <c r="D2046" s="3" t="str">
        <f aca="false">Raw_Data!C2046</f>
        <v>married</v>
      </c>
      <c r="E2046" s="3" t="str">
        <f aca="false">Raw_Data!D2046</f>
        <v>tertiary</v>
      </c>
      <c r="F2046" s="3" t="str">
        <f aca="false">Raw_Data!E2046</f>
        <v>no</v>
      </c>
      <c r="G2046" s="3" t="n">
        <f aca="false">Raw_Data!F2046</f>
        <v>529</v>
      </c>
      <c r="H2046" s="3" t="str">
        <f aca="false">Raw_Data!G2046</f>
        <v>yes</v>
      </c>
      <c r="I2046" s="3" t="str">
        <f aca="false">Raw_Data!H2046</f>
        <v>no</v>
      </c>
      <c r="J2046" s="2" t="n">
        <f aca="false">IF(F2046="yes",1,0)</f>
        <v>0</v>
      </c>
      <c r="K2046" s="2" t="n">
        <f aca="false">IF(H2046="yes",1,0)</f>
        <v>1</v>
      </c>
      <c r="L2046" s="2" t="n">
        <f aca="false">IF(I2046="yes",1,0)</f>
        <v>0</v>
      </c>
      <c r="M2046" s="2" t="n">
        <f aca="false">IF(G2046&lt;0,1,0)</f>
        <v>0</v>
      </c>
      <c r="N2046" s="2" t="str">
        <f aca="false">_xlfn.IFS(B2046&lt;30,"Under 30",B2046&lt;40,"30-39",B2046&lt;50,"40-49",B2046&lt;60,"50-59",TRUE(),"60+")</f>
        <v>40-49</v>
      </c>
      <c r="O2046" s="2" t="str">
        <f aca="false">_xlfn.IFS(G2046&lt;0,"1 Negative",G2046=0,"2 Zero",G2046&lt;=500,"3 1-500",G2046&lt;=2000,"4 501-2000",TRUE(),"5 Above 2000")</f>
        <v>4 501-2000</v>
      </c>
      <c r="P2046" s="2" t="n">
        <f aca="false">Lookups!$B$2*M2046+Lookups!$B$3*L2046</f>
        <v>0</v>
      </c>
      <c r="Q2046" s="2" t="str">
        <f aca="false">INDEX(Lookups!$E$2:$E$5,MATCH(P2046,Lookups!$D$2:$D$5,0))</f>
        <v>Low</v>
      </c>
    </row>
    <row r="2047" customFormat="false" ht="15" hidden="false" customHeight="false" outlineLevel="0" collapsed="false">
      <c r="A2047" s="3" t="n">
        <v>2046</v>
      </c>
      <c r="B2047" s="3" t="n">
        <f aca="false">Raw_Data!A2047</f>
        <v>56</v>
      </c>
      <c r="C2047" s="3" t="str">
        <f aca="false">SUBSTITUTE(Raw_Data!B2047,".","")</f>
        <v>management</v>
      </c>
      <c r="D2047" s="3" t="str">
        <f aca="false">Raw_Data!C2047</f>
        <v>married</v>
      </c>
      <c r="E2047" s="3" t="str">
        <f aca="false">Raw_Data!D2047</f>
        <v>tertiary</v>
      </c>
      <c r="F2047" s="3" t="str">
        <f aca="false">Raw_Data!E2047</f>
        <v>no</v>
      </c>
      <c r="G2047" s="3" t="n">
        <f aca="false">Raw_Data!F2047</f>
        <v>318</v>
      </c>
      <c r="H2047" s="3" t="str">
        <f aca="false">Raw_Data!G2047</f>
        <v>no</v>
      </c>
      <c r="I2047" s="3" t="str">
        <f aca="false">Raw_Data!H2047</f>
        <v>yes</v>
      </c>
      <c r="J2047" s="2" t="n">
        <f aca="false">IF(F2047="yes",1,0)</f>
        <v>0</v>
      </c>
      <c r="K2047" s="2" t="n">
        <f aca="false">IF(H2047="yes",1,0)</f>
        <v>0</v>
      </c>
      <c r="L2047" s="2" t="n">
        <f aca="false">IF(I2047="yes",1,0)</f>
        <v>1</v>
      </c>
      <c r="M2047" s="2" t="n">
        <f aca="false">IF(G2047&lt;0,1,0)</f>
        <v>0</v>
      </c>
      <c r="N2047" s="2" t="str">
        <f aca="false">_xlfn.IFS(B2047&lt;30,"Under 30",B2047&lt;40,"30-39",B2047&lt;50,"40-49",B2047&lt;60,"50-59",TRUE(),"60+")</f>
        <v>50-59</v>
      </c>
      <c r="O2047" s="2" t="str">
        <f aca="false">_xlfn.IFS(G2047&lt;0,"1 Negative",G2047=0,"2 Zero",G2047&lt;=500,"3 1-500",G2047&lt;=2000,"4 501-2000",TRUE(),"5 Above 2000")</f>
        <v>3 1-500</v>
      </c>
      <c r="P2047" s="2" t="n">
        <f aca="false">Lookups!$B$2*M2047+Lookups!$B$3*L2047</f>
        <v>1</v>
      </c>
      <c r="Q2047" s="2" t="str">
        <f aca="false">INDEX(Lookups!$E$2:$E$5,MATCH(P2047,Lookups!$D$2:$D$5,0))</f>
        <v>Medium</v>
      </c>
    </row>
    <row r="2048" customFormat="false" ht="15" hidden="false" customHeight="false" outlineLevel="0" collapsed="false">
      <c r="A2048" s="3" t="n">
        <v>2047</v>
      </c>
      <c r="B2048" s="3" t="n">
        <f aca="false">Raw_Data!A2048</f>
        <v>21</v>
      </c>
      <c r="C2048" s="3" t="str">
        <f aca="false">SUBSTITUTE(Raw_Data!B2048,".","")</f>
        <v>services</v>
      </c>
      <c r="D2048" s="3" t="str">
        <f aca="false">Raw_Data!C2048</f>
        <v>single</v>
      </c>
      <c r="E2048" s="3" t="str">
        <f aca="false">Raw_Data!D2048</f>
        <v>secondary</v>
      </c>
      <c r="F2048" s="3" t="str">
        <f aca="false">Raw_Data!E2048</f>
        <v>no</v>
      </c>
      <c r="G2048" s="3" t="n">
        <f aca="false">Raw_Data!F2048</f>
        <v>1903</v>
      </c>
      <c r="H2048" s="3" t="str">
        <f aca="false">Raw_Data!G2048</f>
        <v>yes</v>
      </c>
      <c r="I2048" s="3" t="str">
        <f aca="false">Raw_Data!H2048</f>
        <v>no</v>
      </c>
      <c r="J2048" s="2" t="n">
        <f aca="false">IF(F2048="yes",1,0)</f>
        <v>0</v>
      </c>
      <c r="K2048" s="2" t="n">
        <f aca="false">IF(H2048="yes",1,0)</f>
        <v>1</v>
      </c>
      <c r="L2048" s="2" t="n">
        <f aca="false">IF(I2048="yes",1,0)</f>
        <v>0</v>
      </c>
      <c r="M2048" s="2" t="n">
        <f aca="false">IF(G2048&lt;0,1,0)</f>
        <v>0</v>
      </c>
      <c r="N2048" s="2" t="str">
        <f aca="false">_xlfn.IFS(B2048&lt;30,"Under 30",B2048&lt;40,"30-39",B2048&lt;50,"40-49",B2048&lt;60,"50-59",TRUE(),"60+")</f>
        <v>Under 30</v>
      </c>
      <c r="O2048" s="2" t="str">
        <f aca="false">_xlfn.IFS(G2048&lt;0,"1 Negative",G2048=0,"2 Zero",G2048&lt;=500,"3 1-500",G2048&lt;=2000,"4 501-2000",TRUE(),"5 Above 2000")</f>
        <v>4 501-2000</v>
      </c>
      <c r="P2048" s="2" t="n">
        <f aca="false">Lookups!$B$2*M2048+Lookups!$B$3*L2048</f>
        <v>0</v>
      </c>
      <c r="Q2048" s="2" t="str">
        <f aca="false">INDEX(Lookups!$E$2:$E$5,MATCH(P2048,Lookups!$D$2:$D$5,0))</f>
        <v>Low</v>
      </c>
    </row>
    <row r="2049" customFormat="false" ht="15" hidden="false" customHeight="false" outlineLevel="0" collapsed="false">
      <c r="A2049" s="3" t="n">
        <v>2048</v>
      </c>
      <c r="B2049" s="3" t="n">
        <f aca="false">Raw_Data!A2049</f>
        <v>43</v>
      </c>
      <c r="C2049" s="3" t="str">
        <f aca="false">SUBSTITUTE(Raw_Data!B2049,".","")</f>
        <v>unknown</v>
      </c>
      <c r="D2049" s="3" t="str">
        <f aca="false">Raw_Data!C2049</f>
        <v>married</v>
      </c>
      <c r="E2049" s="3" t="str">
        <f aca="false">Raw_Data!D2049</f>
        <v>tertiary</v>
      </c>
      <c r="F2049" s="3" t="str">
        <f aca="false">Raw_Data!E2049</f>
        <v>no</v>
      </c>
      <c r="G2049" s="3" t="n">
        <f aca="false">Raw_Data!F2049</f>
        <v>1937</v>
      </c>
      <c r="H2049" s="3" t="str">
        <f aca="false">Raw_Data!G2049</f>
        <v>no</v>
      </c>
      <c r="I2049" s="3" t="str">
        <f aca="false">Raw_Data!H2049</f>
        <v>no</v>
      </c>
      <c r="J2049" s="2" t="n">
        <f aca="false">IF(F2049="yes",1,0)</f>
        <v>0</v>
      </c>
      <c r="K2049" s="2" t="n">
        <f aca="false">IF(H2049="yes",1,0)</f>
        <v>0</v>
      </c>
      <c r="L2049" s="2" t="n">
        <f aca="false">IF(I2049="yes",1,0)</f>
        <v>0</v>
      </c>
      <c r="M2049" s="2" t="n">
        <f aca="false">IF(G2049&lt;0,1,0)</f>
        <v>0</v>
      </c>
      <c r="N2049" s="2" t="str">
        <f aca="false">_xlfn.IFS(B2049&lt;30,"Under 30",B2049&lt;40,"30-39",B2049&lt;50,"40-49",B2049&lt;60,"50-59",TRUE(),"60+")</f>
        <v>40-49</v>
      </c>
      <c r="O2049" s="2" t="str">
        <f aca="false">_xlfn.IFS(G2049&lt;0,"1 Negative",G2049=0,"2 Zero",G2049&lt;=500,"3 1-500",G2049&lt;=2000,"4 501-2000",TRUE(),"5 Above 2000")</f>
        <v>4 501-2000</v>
      </c>
      <c r="P2049" s="2" t="n">
        <f aca="false">Lookups!$B$2*M2049+Lookups!$B$3*L2049</f>
        <v>0</v>
      </c>
      <c r="Q2049" s="2" t="str">
        <f aca="false">INDEX(Lookups!$E$2:$E$5,MATCH(P2049,Lookups!$D$2:$D$5,0))</f>
        <v>Low</v>
      </c>
    </row>
    <row r="2050" customFormat="false" ht="15" hidden="false" customHeight="false" outlineLevel="0" collapsed="false">
      <c r="A2050" s="3" t="n">
        <v>2049</v>
      </c>
      <c r="B2050" s="3" t="n">
        <f aca="false">Raw_Data!A2050</f>
        <v>54</v>
      </c>
      <c r="C2050" s="3" t="str">
        <f aca="false">SUBSTITUTE(Raw_Data!B2050,".","")</f>
        <v>management</v>
      </c>
      <c r="D2050" s="3" t="str">
        <f aca="false">Raw_Data!C2050</f>
        <v>married</v>
      </c>
      <c r="E2050" s="3" t="str">
        <f aca="false">Raw_Data!D2050</f>
        <v>primary</v>
      </c>
      <c r="F2050" s="3" t="str">
        <f aca="false">Raw_Data!E2050</f>
        <v>no</v>
      </c>
      <c r="G2050" s="3" t="n">
        <f aca="false">Raw_Data!F2050</f>
        <v>3859</v>
      </c>
      <c r="H2050" s="3" t="str">
        <f aca="false">Raw_Data!G2050</f>
        <v>no</v>
      </c>
      <c r="I2050" s="3" t="str">
        <f aca="false">Raw_Data!H2050</f>
        <v>yes</v>
      </c>
      <c r="J2050" s="2" t="n">
        <f aca="false">IF(F2050="yes",1,0)</f>
        <v>0</v>
      </c>
      <c r="K2050" s="2" t="n">
        <f aca="false">IF(H2050="yes",1,0)</f>
        <v>0</v>
      </c>
      <c r="L2050" s="2" t="n">
        <f aca="false">IF(I2050="yes",1,0)</f>
        <v>1</v>
      </c>
      <c r="M2050" s="2" t="n">
        <f aca="false">IF(G2050&lt;0,1,0)</f>
        <v>0</v>
      </c>
      <c r="N2050" s="2" t="str">
        <f aca="false">_xlfn.IFS(B2050&lt;30,"Under 30",B2050&lt;40,"30-39",B2050&lt;50,"40-49",B2050&lt;60,"50-59",TRUE(),"60+")</f>
        <v>50-59</v>
      </c>
      <c r="O2050" s="2" t="str">
        <f aca="false">_xlfn.IFS(G2050&lt;0,"1 Negative",G2050=0,"2 Zero",G2050&lt;=500,"3 1-500",G2050&lt;=2000,"4 501-2000",TRUE(),"5 Above 2000")</f>
        <v>5 Above 2000</v>
      </c>
      <c r="P2050" s="2" t="n">
        <f aca="false">Lookups!$B$2*M2050+Lookups!$B$3*L2050</f>
        <v>1</v>
      </c>
      <c r="Q2050" s="2" t="str">
        <f aca="false">INDEX(Lookups!$E$2:$E$5,MATCH(P2050,Lookups!$D$2:$D$5,0))</f>
        <v>Medium</v>
      </c>
    </row>
    <row r="2051" customFormat="false" ht="15" hidden="false" customHeight="false" outlineLevel="0" collapsed="false">
      <c r="A2051" s="3" t="n">
        <v>2050</v>
      </c>
      <c r="B2051" s="3" t="n">
        <f aca="false">Raw_Data!A2051</f>
        <v>59</v>
      </c>
      <c r="C2051" s="3" t="str">
        <f aca="false">SUBSTITUTE(Raw_Data!B2051,".","")</f>
        <v>technician</v>
      </c>
      <c r="D2051" s="3" t="str">
        <f aca="false">Raw_Data!C2051</f>
        <v>married</v>
      </c>
      <c r="E2051" s="3" t="str">
        <f aca="false">Raw_Data!D2051</f>
        <v>primary</v>
      </c>
      <c r="F2051" s="3" t="str">
        <f aca="false">Raw_Data!E2051</f>
        <v>no</v>
      </c>
      <c r="G2051" s="3" t="n">
        <f aca="false">Raw_Data!F2051</f>
        <v>4198</v>
      </c>
      <c r="H2051" s="3" t="str">
        <f aca="false">Raw_Data!G2051</f>
        <v>no</v>
      </c>
      <c r="I2051" s="3" t="str">
        <f aca="false">Raw_Data!H2051</f>
        <v>no</v>
      </c>
      <c r="J2051" s="2" t="n">
        <f aca="false">IF(F2051="yes",1,0)</f>
        <v>0</v>
      </c>
      <c r="K2051" s="2" t="n">
        <f aca="false">IF(H2051="yes",1,0)</f>
        <v>0</v>
      </c>
      <c r="L2051" s="2" t="n">
        <f aca="false">IF(I2051="yes",1,0)</f>
        <v>0</v>
      </c>
      <c r="M2051" s="2" t="n">
        <f aca="false">IF(G2051&lt;0,1,0)</f>
        <v>0</v>
      </c>
      <c r="N2051" s="2" t="str">
        <f aca="false">_xlfn.IFS(B2051&lt;30,"Under 30",B2051&lt;40,"30-39",B2051&lt;50,"40-49",B2051&lt;60,"50-59",TRUE(),"60+")</f>
        <v>50-59</v>
      </c>
      <c r="O2051" s="2" t="str">
        <f aca="false">_xlfn.IFS(G2051&lt;0,"1 Negative",G2051=0,"2 Zero",G2051&lt;=500,"3 1-500",G2051&lt;=2000,"4 501-2000",TRUE(),"5 Above 2000")</f>
        <v>5 Above 2000</v>
      </c>
      <c r="P2051" s="2" t="n">
        <f aca="false">Lookups!$B$2*M2051+Lookups!$B$3*L2051</f>
        <v>0</v>
      </c>
      <c r="Q2051" s="2" t="str">
        <f aca="false">INDEX(Lookups!$E$2:$E$5,MATCH(P2051,Lookups!$D$2:$D$5,0))</f>
        <v>Low</v>
      </c>
    </row>
    <row r="2052" customFormat="false" ht="15" hidden="false" customHeight="false" outlineLevel="0" collapsed="false">
      <c r="A2052" s="3" t="n">
        <v>2051</v>
      </c>
      <c r="B2052" s="3" t="n">
        <f aca="false">Raw_Data!A2052</f>
        <v>52</v>
      </c>
      <c r="C2052" s="3" t="str">
        <f aca="false">SUBSTITUTE(Raw_Data!B2052,".","")</f>
        <v>blue-collar</v>
      </c>
      <c r="D2052" s="3" t="str">
        <f aca="false">Raw_Data!C2052</f>
        <v>married</v>
      </c>
      <c r="E2052" s="3" t="str">
        <f aca="false">Raw_Data!D2052</f>
        <v>primary</v>
      </c>
      <c r="F2052" s="3" t="str">
        <f aca="false">Raw_Data!E2052</f>
        <v>no</v>
      </c>
      <c r="G2052" s="3" t="n">
        <f aca="false">Raw_Data!F2052</f>
        <v>230</v>
      </c>
      <c r="H2052" s="3" t="str">
        <f aca="false">Raw_Data!G2052</f>
        <v>yes</v>
      </c>
      <c r="I2052" s="3" t="str">
        <f aca="false">Raw_Data!H2052</f>
        <v>no</v>
      </c>
      <c r="J2052" s="2" t="n">
        <f aca="false">IF(F2052="yes",1,0)</f>
        <v>0</v>
      </c>
      <c r="K2052" s="2" t="n">
        <f aca="false">IF(H2052="yes",1,0)</f>
        <v>1</v>
      </c>
      <c r="L2052" s="2" t="n">
        <f aca="false">IF(I2052="yes",1,0)</f>
        <v>0</v>
      </c>
      <c r="M2052" s="2" t="n">
        <f aca="false">IF(G2052&lt;0,1,0)</f>
        <v>0</v>
      </c>
      <c r="N2052" s="2" t="str">
        <f aca="false">_xlfn.IFS(B2052&lt;30,"Under 30",B2052&lt;40,"30-39",B2052&lt;50,"40-49",B2052&lt;60,"50-59",TRUE(),"60+")</f>
        <v>50-59</v>
      </c>
      <c r="O2052" s="2" t="str">
        <f aca="false">_xlfn.IFS(G2052&lt;0,"1 Negative",G2052=0,"2 Zero",G2052&lt;=500,"3 1-500",G2052&lt;=2000,"4 501-2000",TRUE(),"5 Above 2000")</f>
        <v>3 1-500</v>
      </c>
      <c r="P2052" s="2" t="n">
        <f aca="false">Lookups!$B$2*M2052+Lookups!$B$3*L2052</f>
        <v>0</v>
      </c>
      <c r="Q2052" s="2" t="str">
        <f aca="false">INDEX(Lookups!$E$2:$E$5,MATCH(P2052,Lookups!$D$2:$D$5,0))</f>
        <v>Low</v>
      </c>
    </row>
    <row r="2053" customFormat="false" ht="15" hidden="false" customHeight="false" outlineLevel="0" collapsed="false">
      <c r="A2053" s="3" t="n">
        <v>2052</v>
      </c>
      <c r="B2053" s="3" t="n">
        <f aca="false">Raw_Data!A2053</f>
        <v>31</v>
      </c>
      <c r="C2053" s="3" t="str">
        <f aca="false">SUBSTITUTE(Raw_Data!B2053,".","")</f>
        <v>admin</v>
      </c>
      <c r="D2053" s="3" t="str">
        <f aca="false">Raw_Data!C2053</f>
        <v>single</v>
      </c>
      <c r="E2053" s="3" t="str">
        <f aca="false">Raw_Data!D2053</f>
        <v>secondary</v>
      </c>
      <c r="F2053" s="3" t="str">
        <f aca="false">Raw_Data!E2053</f>
        <v>no</v>
      </c>
      <c r="G2053" s="3" t="n">
        <f aca="false">Raw_Data!F2053</f>
        <v>747</v>
      </c>
      <c r="H2053" s="3" t="str">
        <f aca="false">Raw_Data!G2053</f>
        <v>yes</v>
      </c>
      <c r="I2053" s="3" t="str">
        <f aca="false">Raw_Data!H2053</f>
        <v>no</v>
      </c>
      <c r="J2053" s="2" t="n">
        <f aca="false">IF(F2053="yes",1,0)</f>
        <v>0</v>
      </c>
      <c r="K2053" s="2" t="n">
        <f aca="false">IF(H2053="yes",1,0)</f>
        <v>1</v>
      </c>
      <c r="L2053" s="2" t="n">
        <f aca="false">IF(I2053="yes",1,0)</f>
        <v>0</v>
      </c>
      <c r="M2053" s="2" t="n">
        <f aca="false">IF(G2053&lt;0,1,0)</f>
        <v>0</v>
      </c>
      <c r="N2053" s="2" t="str">
        <f aca="false">_xlfn.IFS(B2053&lt;30,"Under 30",B2053&lt;40,"30-39",B2053&lt;50,"40-49",B2053&lt;60,"50-59",TRUE(),"60+")</f>
        <v>30-39</v>
      </c>
      <c r="O2053" s="2" t="str">
        <f aca="false">_xlfn.IFS(G2053&lt;0,"1 Negative",G2053=0,"2 Zero",G2053&lt;=500,"3 1-500",G2053&lt;=2000,"4 501-2000",TRUE(),"5 Above 2000")</f>
        <v>4 501-2000</v>
      </c>
      <c r="P2053" s="2" t="n">
        <f aca="false">Lookups!$B$2*M2053+Lookups!$B$3*L2053</f>
        <v>0</v>
      </c>
      <c r="Q2053" s="2" t="str">
        <f aca="false">INDEX(Lookups!$E$2:$E$5,MATCH(P2053,Lookups!$D$2:$D$5,0))</f>
        <v>Low</v>
      </c>
    </row>
    <row r="2054" customFormat="false" ht="15" hidden="false" customHeight="false" outlineLevel="0" collapsed="false">
      <c r="A2054" s="3" t="n">
        <v>2053</v>
      </c>
      <c r="B2054" s="3" t="n">
        <f aca="false">Raw_Data!A2054</f>
        <v>53</v>
      </c>
      <c r="C2054" s="3" t="str">
        <f aca="false">SUBSTITUTE(Raw_Data!B2054,".","")</f>
        <v>admin</v>
      </c>
      <c r="D2054" s="3" t="str">
        <f aca="false">Raw_Data!C2054</f>
        <v>married</v>
      </c>
      <c r="E2054" s="3" t="str">
        <f aca="false">Raw_Data!D2054</f>
        <v>secondary</v>
      </c>
      <c r="F2054" s="3" t="str">
        <f aca="false">Raw_Data!E2054</f>
        <v>no</v>
      </c>
      <c r="G2054" s="3" t="n">
        <f aca="false">Raw_Data!F2054</f>
        <v>263</v>
      </c>
      <c r="H2054" s="3" t="str">
        <f aca="false">Raw_Data!G2054</f>
        <v>no</v>
      </c>
      <c r="I2054" s="3" t="str">
        <f aca="false">Raw_Data!H2054</f>
        <v>yes</v>
      </c>
      <c r="J2054" s="2" t="n">
        <f aca="false">IF(F2054="yes",1,0)</f>
        <v>0</v>
      </c>
      <c r="K2054" s="2" t="n">
        <f aca="false">IF(H2054="yes",1,0)</f>
        <v>0</v>
      </c>
      <c r="L2054" s="2" t="n">
        <f aca="false">IF(I2054="yes",1,0)</f>
        <v>1</v>
      </c>
      <c r="M2054" s="2" t="n">
        <f aca="false">IF(G2054&lt;0,1,0)</f>
        <v>0</v>
      </c>
      <c r="N2054" s="2" t="str">
        <f aca="false">_xlfn.IFS(B2054&lt;30,"Under 30",B2054&lt;40,"30-39",B2054&lt;50,"40-49",B2054&lt;60,"50-59",TRUE(),"60+")</f>
        <v>50-59</v>
      </c>
      <c r="O2054" s="2" t="str">
        <f aca="false">_xlfn.IFS(G2054&lt;0,"1 Negative",G2054=0,"2 Zero",G2054&lt;=500,"3 1-500",G2054&lt;=2000,"4 501-2000",TRUE(),"5 Above 2000")</f>
        <v>3 1-500</v>
      </c>
      <c r="P2054" s="2" t="n">
        <f aca="false">Lookups!$B$2*M2054+Lookups!$B$3*L2054</f>
        <v>1</v>
      </c>
      <c r="Q2054" s="2" t="str">
        <f aca="false">INDEX(Lookups!$E$2:$E$5,MATCH(P2054,Lookups!$D$2:$D$5,0))</f>
        <v>Medium</v>
      </c>
    </row>
    <row r="2055" customFormat="false" ht="15" hidden="false" customHeight="false" outlineLevel="0" collapsed="false">
      <c r="A2055" s="3" t="n">
        <v>2054</v>
      </c>
      <c r="B2055" s="3" t="n">
        <f aca="false">Raw_Data!A2055</f>
        <v>24</v>
      </c>
      <c r="C2055" s="3" t="str">
        <f aca="false">SUBSTITUTE(Raw_Data!B2055,".","")</f>
        <v>technician</v>
      </c>
      <c r="D2055" s="3" t="str">
        <f aca="false">Raw_Data!C2055</f>
        <v>single</v>
      </c>
      <c r="E2055" s="3" t="str">
        <f aca="false">Raw_Data!D2055</f>
        <v>secondary</v>
      </c>
      <c r="F2055" s="3" t="str">
        <f aca="false">Raw_Data!E2055</f>
        <v>no</v>
      </c>
      <c r="G2055" s="3" t="n">
        <f aca="false">Raw_Data!F2055</f>
        <v>-46</v>
      </c>
      <c r="H2055" s="3" t="str">
        <f aca="false">Raw_Data!G2055</f>
        <v>yes</v>
      </c>
      <c r="I2055" s="3" t="str">
        <f aca="false">Raw_Data!H2055</f>
        <v>no</v>
      </c>
      <c r="J2055" s="2" t="n">
        <f aca="false">IF(F2055="yes",1,0)</f>
        <v>0</v>
      </c>
      <c r="K2055" s="2" t="n">
        <f aca="false">IF(H2055="yes",1,0)</f>
        <v>1</v>
      </c>
      <c r="L2055" s="2" t="n">
        <f aca="false">IF(I2055="yes",1,0)</f>
        <v>0</v>
      </c>
      <c r="M2055" s="2" t="n">
        <f aca="false">IF(G2055&lt;0,1,0)</f>
        <v>1</v>
      </c>
      <c r="N2055" s="2" t="str">
        <f aca="false">_xlfn.IFS(B2055&lt;30,"Under 30",B2055&lt;40,"30-39",B2055&lt;50,"40-49",B2055&lt;60,"50-59",TRUE(),"60+")</f>
        <v>Under 30</v>
      </c>
      <c r="O2055" s="2" t="str">
        <f aca="false">_xlfn.IFS(G2055&lt;0,"1 Negative",G2055=0,"2 Zero",G2055&lt;=500,"3 1-500",G2055&lt;=2000,"4 501-2000",TRUE(),"5 Above 2000")</f>
        <v>1 Negative</v>
      </c>
      <c r="P2055" s="2" t="n">
        <f aca="false">Lookups!$B$2*M2055+Lookups!$B$3*L2055</f>
        <v>2</v>
      </c>
      <c r="Q2055" s="2" t="str">
        <f aca="false">INDEX(Lookups!$E$2:$E$5,MATCH(P2055,Lookups!$D$2:$D$5,0))</f>
        <v>High</v>
      </c>
    </row>
    <row r="2056" customFormat="false" ht="15" hidden="false" customHeight="false" outlineLevel="0" collapsed="false">
      <c r="A2056" s="3" t="n">
        <v>2055</v>
      </c>
      <c r="B2056" s="3" t="n">
        <f aca="false">Raw_Data!A2056</f>
        <v>57</v>
      </c>
      <c r="C2056" s="3" t="str">
        <f aca="false">SUBSTITUTE(Raw_Data!B2056,".","")</f>
        <v>retired</v>
      </c>
      <c r="D2056" s="3" t="str">
        <f aca="false">Raw_Data!C2056</f>
        <v>married</v>
      </c>
      <c r="E2056" s="3" t="str">
        <f aca="false">Raw_Data!D2056</f>
        <v>secondary</v>
      </c>
      <c r="F2056" s="3" t="str">
        <f aca="false">Raw_Data!E2056</f>
        <v>no</v>
      </c>
      <c r="G2056" s="3" t="n">
        <f aca="false">Raw_Data!F2056</f>
        <v>0</v>
      </c>
      <c r="H2056" s="3" t="str">
        <f aca="false">Raw_Data!G2056</f>
        <v>no</v>
      </c>
      <c r="I2056" s="3" t="str">
        <f aca="false">Raw_Data!H2056</f>
        <v>yes</v>
      </c>
      <c r="J2056" s="2" t="n">
        <f aca="false">IF(F2056="yes",1,0)</f>
        <v>0</v>
      </c>
      <c r="K2056" s="2" t="n">
        <f aca="false">IF(H2056="yes",1,0)</f>
        <v>0</v>
      </c>
      <c r="L2056" s="2" t="n">
        <f aca="false">IF(I2056="yes",1,0)</f>
        <v>1</v>
      </c>
      <c r="M2056" s="2" t="n">
        <f aca="false">IF(G2056&lt;0,1,0)</f>
        <v>0</v>
      </c>
      <c r="N2056" s="2" t="str">
        <f aca="false">_xlfn.IFS(B2056&lt;30,"Under 30",B2056&lt;40,"30-39",B2056&lt;50,"40-49",B2056&lt;60,"50-59",TRUE(),"60+")</f>
        <v>50-59</v>
      </c>
      <c r="O2056" s="2" t="str">
        <f aca="false">_xlfn.IFS(G2056&lt;0,"1 Negative",G2056=0,"2 Zero",G2056&lt;=500,"3 1-500",G2056&lt;=2000,"4 501-2000",TRUE(),"5 Above 2000")</f>
        <v>2 Zero</v>
      </c>
      <c r="P2056" s="2" t="n">
        <f aca="false">Lookups!$B$2*M2056+Lookups!$B$3*L2056</f>
        <v>1</v>
      </c>
      <c r="Q2056" s="2" t="str">
        <f aca="false">INDEX(Lookups!$E$2:$E$5,MATCH(P2056,Lookups!$D$2:$D$5,0))</f>
        <v>Medium</v>
      </c>
    </row>
    <row r="2057" customFormat="false" ht="15" hidden="false" customHeight="false" outlineLevel="0" collapsed="false">
      <c r="A2057" s="3" t="n">
        <v>2056</v>
      </c>
      <c r="B2057" s="3" t="n">
        <f aca="false">Raw_Data!A2057</f>
        <v>48</v>
      </c>
      <c r="C2057" s="3" t="str">
        <f aca="false">SUBSTITUTE(Raw_Data!B2057,".","")</f>
        <v>technician</v>
      </c>
      <c r="D2057" s="3" t="str">
        <f aca="false">Raw_Data!C2057</f>
        <v>married</v>
      </c>
      <c r="E2057" s="3" t="str">
        <f aca="false">Raw_Data!D2057</f>
        <v>secondary</v>
      </c>
      <c r="F2057" s="3" t="str">
        <f aca="false">Raw_Data!E2057</f>
        <v>no</v>
      </c>
      <c r="G2057" s="3" t="n">
        <f aca="false">Raw_Data!F2057</f>
        <v>568</v>
      </c>
      <c r="H2057" s="3" t="str">
        <f aca="false">Raw_Data!G2057</f>
        <v>yes</v>
      </c>
      <c r="I2057" s="3" t="str">
        <f aca="false">Raw_Data!H2057</f>
        <v>no</v>
      </c>
      <c r="J2057" s="2" t="n">
        <f aca="false">IF(F2057="yes",1,0)</f>
        <v>0</v>
      </c>
      <c r="K2057" s="2" t="n">
        <f aca="false">IF(H2057="yes",1,0)</f>
        <v>1</v>
      </c>
      <c r="L2057" s="2" t="n">
        <f aca="false">IF(I2057="yes",1,0)</f>
        <v>0</v>
      </c>
      <c r="M2057" s="2" t="n">
        <f aca="false">IF(G2057&lt;0,1,0)</f>
        <v>0</v>
      </c>
      <c r="N2057" s="2" t="str">
        <f aca="false">_xlfn.IFS(B2057&lt;30,"Under 30",B2057&lt;40,"30-39",B2057&lt;50,"40-49",B2057&lt;60,"50-59",TRUE(),"60+")</f>
        <v>40-49</v>
      </c>
      <c r="O2057" s="2" t="str">
        <f aca="false">_xlfn.IFS(G2057&lt;0,"1 Negative",G2057=0,"2 Zero",G2057&lt;=500,"3 1-500",G2057&lt;=2000,"4 501-2000",TRUE(),"5 Above 2000")</f>
        <v>4 501-2000</v>
      </c>
      <c r="P2057" s="2" t="n">
        <f aca="false">Lookups!$B$2*M2057+Lookups!$B$3*L2057</f>
        <v>0</v>
      </c>
      <c r="Q2057" s="2" t="str">
        <f aca="false">INDEX(Lookups!$E$2:$E$5,MATCH(P2057,Lookups!$D$2:$D$5,0))</f>
        <v>Low</v>
      </c>
    </row>
    <row r="2058" customFormat="false" ht="15" hidden="false" customHeight="false" outlineLevel="0" collapsed="false">
      <c r="A2058" s="3" t="n">
        <v>2057</v>
      </c>
      <c r="B2058" s="3" t="n">
        <f aca="false">Raw_Data!A2058</f>
        <v>57</v>
      </c>
      <c r="C2058" s="3" t="str">
        <f aca="false">SUBSTITUTE(Raw_Data!B2058,".","")</f>
        <v>technician</v>
      </c>
      <c r="D2058" s="3" t="str">
        <f aca="false">Raw_Data!C2058</f>
        <v>married</v>
      </c>
      <c r="E2058" s="3" t="str">
        <f aca="false">Raw_Data!D2058</f>
        <v>secondary</v>
      </c>
      <c r="F2058" s="3" t="str">
        <f aca="false">Raw_Data!E2058</f>
        <v>no</v>
      </c>
      <c r="G2058" s="3" t="n">
        <f aca="false">Raw_Data!F2058</f>
        <v>1469</v>
      </c>
      <c r="H2058" s="3" t="str">
        <f aca="false">Raw_Data!G2058</f>
        <v>yes</v>
      </c>
      <c r="I2058" s="3" t="str">
        <f aca="false">Raw_Data!H2058</f>
        <v>no</v>
      </c>
      <c r="J2058" s="2" t="n">
        <f aca="false">IF(F2058="yes",1,0)</f>
        <v>0</v>
      </c>
      <c r="K2058" s="2" t="n">
        <f aca="false">IF(H2058="yes",1,0)</f>
        <v>1</v>
      </c>
      <c r="L2058" s="2" t="n">
        <f aca="false">IF(I2058="yes",1,0)</f>
        <v>0</v>
      </c>
      <c r="M2058" s="2" t="n">
        <f aca="false">IF(G2058&lt;0,1,0)</f>
        <v>0</v>
      </c>
      <c r="N2058" s="2" t="str">
        <f aca="false">_xlfn.IFS(B2058&lt;30,"Under 30",B2058&lt;40,"30-39",B2058&lt;50,"40-49",B2058&lt;60,"50-59",TRUE(),"60+")</f>
        <v>50-59</v>
      </c>
      <c r="O2058" s="2" t="str">
        <f aca="false">_xlfn.IFS(G2058&lt;0,"1 Negative",G2058=0,"2 Zero",G2058&lt;=500,"3 1-500",G2058&lt;=2000,"4 501-2000",TRUE(),"5 Above 2000")</f>
        <v>4 501-2000</v>
      </c>
      <c r="P2058" s="2" t="n">
        <f aca="false">Lookups!$B$2*M2058+Lookups!$B$3*L2058</f>
        <v>0</v>
      </c>
      <c r="Q2058" s="2" t="str">
        <f aca="false">INDEX(Lookups!$E$2:$E$5,MATCH(P2058,Lookups!$D$2:$D$5,0))</f>
        <v>Low</v>
      </c>
    </row>
    <row r="2059" customFormat="false" ht="15" hidden="false" customHeight="false" outlineLevel="0" collapsed="false">
      <c r="A2059" s="3" t="n">
        <v>2058</v>
      </c>
      <c r="B2059" s="3" t="n">
        <f aca="false">Raw_Data!A2059</f>
        <v>51</v>
      </c>
      <c r="C2059" s="3" t="str">
        <f aca="false">SUBSTITUTE(Raw_Data!B2059,".","")</f>
        <v>technician</v>
      </c>
      <c r="D2059" s="3" t="str">
        <f aca="false">Raw_Data!C2059</f>
        <v>married</v>
      </c>
      <c r="E2059" s="3" t="str">
        <f aca="false">Raw_Data!D2059</f>
        <v>secondary</v>
      </c>
      <c r="F2059" s="3" t="str">
        <f aca="false">Raw_Data!E2059</f>
        <v>no</v>
      </c>
      <c r="G2059" s="3" t="n">
        <f aca="false">Raw_Data!F2059</f>
        <v>18</v>
      </c>
      <c r="H2059" s="3" t="str">
        <f aca="false">Raw_Data!G2059</f>
        <v>no</v>
      </c>
      <c r="I2059" s="3" t="str">
        <f aca="false">Raw_Data!H2059</f>
        <v>yes</v>
      </c>
      <c r="J2059" s="2" t="n">
        <f aca="false">IF(F2059="yes",1,0)</f>
        <v>0</v>
      </c>
      <c r="K2059" s="2" t="n">
        <f aca="false">IF(H2059="yes",1,0)</f>
        <v>0</v>
      </c>
      <c r="L2059" s="2" t="n">
        <f aca="false">IF(I2059="yes",1,0)</f>
        <v>1</v>
      </c>
      <c r="M2059" s="2" t="n">
        <f aca="false">IF(G2059&lt;0,1,0)</f>
        <v>0</v>
      </c>
      <c r="N2059" s="2" t="str">
        <f aca="false">_xlfn.IFS(B2059&lt;30,"Under 30",B2059&lt;40,"30-39",B2059&lt;50,"40-49",B2059&lt;60,"50-59",TRUE(),"60+")</f>
        <v>50-59</v>
      </c>
      <c r="O2059" s="2" t="str">
        <f aca="false">_xlfn.IFS(G2059&lt;0,"1 Negative",G2059=0,"2 Zero",G2059&lt;=500,"3 1-500",G2059&lt;=2000,"4 501-2000",TRUE(),"5 Above 2000")</f>
        <v>3 1-500</v>
      </c>
      <c r="P2059" s="2" t="n">
        <f aca="false">Lookups!$B$2*M2059+Lookups!$B$3*L2059</f>
        <v>1</v>
      </c>
      <c r="Q2059" s="2" t="str">
        <f aca="false">INDEX(Lookups!$E$2:$E$5,MATCH(P2059,Lookups!$D$2:$D$5,0))</f>
        <v>Medium</v>
      </c>
    </row>
    <row r="2060" customFormat="false" ht="15" hidden="false" customHeight="false" outlineLevel="0" collapsed="false">
      <c r="A2060" s="3" t="n">
        <v>2059</v>
      </c>
      <c r="B2060" s="3" t="n">
        <f aca="false">Raw_Data!A2060</f>
        <v>50</v>
      </c>
      <c r="C2060" s="3" t="str">
        <f aca="false">SUBSTITUTE(Raw_Data!B2060,".","")</f>
        <v>management</v>
      </c>
      <c r="D2060" s="3" t="str">
        <f aca="false">Raw_Data!C2060</f>
        <v>divorced</v>
      </c>
      <c r="E2060" s="3" t="str">
        <f aca="false">Raw_Data!D2060</f>
        <v>tertiary</v>
      </c>
      <c r="F2060" s="3" t="str">
        <f aca="false">Raw_Data!E2060</f>
        <v>no</v>
      </c>
      <c r="G2060" s="3" t="n">
        <f aca="false">Raw_Data!F2060</f>
        <v>201</v>
      </c>
      <c r="H2060" s="3" t="str">
        <f aca="false">Raw_Data!G2060</f>
        <v>yes</v>
      </c>
      <c r="I2060" s="3" t="str">
        <f aca="false">Raw_Data!H2060</f>
        <v>no</v>
      </c>
      <c r="J2060" s="2" t="n">
        <f aca="false">IF(F2060="yes",1,0)</f>
        <v>0</v>
      </c>
      <c r="K2060" s="2" t="n">
        <f aca="false">IF(H2060="yes",1,0)</f>
        <v>1</v>
      </c>
      <c r="L2060" s="2" t="n">
        <f aca="false">IF(I2060="yes",1,0)</f>
        <v>0</v>
      </c>
      <c r="M2060" s="2" t="n">
        <f aca="false">IF(G2060&lt;0,1,0)</f>
        <v>0</v>
      </c>
      <c r="N2060" s="2" t="str">
        <f aca="false">_xlfn.IFS(B2060&lt;30,"Under 30",B2060&lt;40,"30-39",B2060&lt;50,"40-49",B2060&lt;60,"50-59",TRUE(),"60+")</f>
        <v>50-59</v>
      </c>
      <c r="O2060" s="2" t="str">
        <f aca="false">_xlfn.IFS(G2060&lt;0,"1 Negative",G2060=0,"2 Zero",G2060&lt;=500,"3 1-500",G2060&lt;=2000,"4 501-2000",TRUE(),"5 Above 2000")</f>
        <v>3 1-500</v>
      </c>
      <c r="P2060" s="2" t="n">
        <f aca="false">Lookups!$B$2*M2060+Lookups!$B$3*L2060</f>
        <v>0</v>
      </c>
      <c r="Q2060" s="2" t="str">
        <f aca="false">INDEX(Lookups!$E$2:$E$5,MATCH(P2060,Lookups!$D$2:$D$5,0))</f>
        <v>Low</v>
      </c>
    </row>
    <row r="2061" customFormat="false" ht="15" hidden="false" customHeight="false" outlineLevel="0" collapsed="false">
      <c r="A2061" s="3" t="n">
        <v>2060</v>
      </c>
      <c r="B2061" s="3" t="n">
        <f aca="false">Raw_Data!A2061</f>
        <v>34</v>
      </c>
      <c r="C2061" s="3" t="str">
        <f aca="false">SUBSTITUTE(Raw_Data!B2061,".","")</f>
        <v>blue-collar</v>
      </c>
      <c r="D2061" s="3" t="str">
        <f aca="false">Raw_Data!C2061</f>
        <v>married</v>
      </c>
      <c r="E2061" s="3" t="str">
        <f aca="false">Raw_Data!D2061</f>
        <v>secondary</v>
      </c>
      <c r="F2061" s="3" t="str">
        <f aca="false">Raw_Data!E2061</f>
        <v>no</v>
      </c>
      <c r="G2061" s="3" t="n">
        <f aca="false">Raw_Data!F2061</f>
        <v>1412</v>
      </c>
      <c r="H2061" s="3" t="str">
        <f aca="false">Raw_Data!G2061</f>
        <v>yes</v>
      </c>
      <c r="I2061" s="3" t="str">
        <f aca="false">Raw_Data!H2061</f>
        <v>yes</v>
      </c>
      <c r="J2061" s="2" t="n">
        <f aca="false">IF(F2061="yes",1,0)</f>
        <v>0</v>
      </c>
      <c r="K2061" s="2" t="n">
        <f aca="false">IF(H2061="yes",1,0)</f>
        <v>1</v>
      </c>
      <c r="L2061" s="2" t="n">
        <f aca="false">IF(I2061="yes",1,0)</f>
        <v>1</v>
      </c>
      <c r="M2061" s="2" t="n">
        <f aca="false">IF(G2061&lt;0,1,0)</f>
        <v>0</v>
      </c>
      <c r="N2061" s="2" t="str">
        <f aca="false">_xlfn.IFS(B2061&lt;30,"Under 30",B2061&lt;40,"30-39",B2061&lt;50,"40-49",B2061&lt;60,"50-59",TRUE(),"60+")</f>
        <v>30-39</v>
      </c>
      <c r="O2061" s="2" t="str">
        <f aca="false">_xlfn.IFS(G2061&lt;0,"1 Negative",G2061=0,"2 Zero",G2061&lt;=500,"3 1-500",G2061&lt;=2000,"4 501-2000",TRUE(),"5 Above 2000")</f>
        <v>4 501-2000</v>
      </c>
      <c r="P2061" s="2" t="n">
        <f aca="false">Lookups!$B$2*M2061+Lookups!$B$3*L2061</f>
        <v>1</v>
      </c>
      <c r="Q2061" s="2" t="str">
        <f aca="false">INDEX(Lookups!$E$2:$E$5,MATCH(P2061,Lookups!$D$2:$D$5,0))</f>
        <v>Medium</v>
      </c>
    </row>
    <row r="2062" customFormat="false" ht="15" hidden="false" customHeight="false" outlineLevel="0" collapsed="false">
      <c r="A2062" s="3" t="n">
        <v>2061</v>
      </c>
      <c r="B2062" s="3" t="n">
        <f aca="false">Raw_Data!A2062</f>
        <v>43</v>
      </c>
      <c r="C2062" s="3" t="str">
        <f aca="false">SUBSTITUTE(Raw_Data!B2062,".","")</f>
        <v>blue-collar</v>
      </c>
      <c r="D2062" s="3" t="str">
        <f aca="false">Raw_Data!C2062</f>
        <v>married</v>
      </c>
      <c r="E2062" s="3" t="str">
        <f aca="false">Raw_Data!D2062</f>
        <v>primary</v>
      </c>
      <c r="F2062" s="3" t="str">
        <f aca="false">Raw_Data!E2062</f>
        <v>no</v>
      </c>
      <c r="G2062" s="3" t="n">
        <f aca="false">Raw_Data!F2062</f>
        <v>-93</v>
      </c>
      <c r="H2062" s="3" t="str">
        <f aca="false">Raw_Data!G2062</f>
        <v>yes</v>
      </c>
      <c r="I2062" s="3" t="str">
        <f aca="false">Raw_Data!H2062</f>
        <v>no</v>
      </c>
      <c r="J2062" s="2" t="n">
        <f aca="false">IF(F2062="yes",1,0)</f>
        <v>0</v>
      </c>
      <c r="K2062" s="2" t="n">
        <f aca="false">IF(H2062="yes",1,0)</f>
        <v>1</v>
      </c>
      <c r="L2062" s="2" t="n">
        <f aca="false">IF(I2062="yes",1,0)</f>
        <v>0</v>
      </c>
      <c r="M2062" s="2" t="n">
        <f aca="false">IF(G2062&lt;0,1,0)</f>
        <v>1</v>
      </c>
      <c r="N2062" s="2" t="str">
        <f aca="false">_xlfn.IFS(B2062&lt;30,"Under 30",B2062&lt;40,"30-39",B2062&lt;50,"40-49",B2062&lt;60,"50-59",TRUE(),"60+")</f>
        <v>40-49</v>
      </c>
      <c r="O2062" s="2" t="str">
        <f aca="false">_xlfn.IFS(G2062&lt;0,"1 Negative",G2062=0,"2 Zero",G2062&lt;=500,"3 1-500",G2062&lt;=2000,"4 501-2000",TRUE(),"5 Above 2000")</f>
        <v>1 Negative</v>
      </c>
      <c r="P2062" s="2" t="n">
        <f aca="false">Lookups!$B$2*M2062+Lookups!$B$3*L2062</f>
        <v>2</v>
      </c>
      <c r="Q2062" s="2" t="str">
        <f aca="false">INDEX(Lookups!$E$2:$E$5,MATCH(P2062,Lookups!$D$2:$D$5,0))</f>
        <v>High</v>
      </c>
    </row>
    <row r="2063" customFormat="false" ht="15" hidden="false" customHeight="false" outlineLevel="0" collapsed="false">
      <c r="A2063" s="3" t="n">
        <v>2062</v>
      </c>
      <c r="B2063" s="3" t="n">
        <f aca="false">Raw_Data!A2063</f>
        <v>31</v>
      </c>
      <c r="C2063" s="3" t="str">
        <f aca="false">SUBSTITUTE(Raw_Data!B2063,".","")</f>
        <v>services</v>
      </c>
      <c r="D2063" s="3" t="str">
        <f aca="false">Raw_Data!C2063</f>
        <v>married</v>
      </c>
      <c r="E2063" s="3" t="str">
        <f aca="false">Raw_Data!D2063</f>
        <v>secondary</v>
      </c>
      <c r="F2063" s="3" t="str">
        <f aca="false">Raw_Data!E2063</f>
        <v>no</v>
      </c>
      <c r="G2063" s="3" t="n">
        <f aca="false">Raw_Data!F2063</f>
        <v>-331</v>
      </c>
      <c r="H2063" s="3" t="str">
        <f aca="false">Raw_Data!G2063</f>
        <v>yes</v>
      </c>
      <c r="I2063" s="3" t="str">
        <f aca="false">Raw_Data!H2063</f>
        <v>no</v>
      </c>
      <c r="J2063" s="2" t="n">
        <f aca="false">IF(F2063="yes",1,0)</f>
        <v>0</v>
      </c>
      <c r="K2063" s="2" t="n">
        <f aca="false">IF(H2063="yes",1,0)</f>
        <v>1</v>
      </c>
      <c r="L2063" s="2" t="n">
        <f aca="false">IF(I2063="yes",1,0)</f>
        <v>0</v>
      </c>
      <c r="M2063" s="2" t="n">
        <f aca="false">IF(G2063&lt;0,1,0)</f>
        <v>1</v>
      </c>
      <c r="N2063" s="2" t="str">
        <f aca="false">_xlfn.IFS(B2063&lt;30,"Under 30",B2063&lt;40,"30-39",B2063&lt;50,"40-49",B2063&lt;60,"50-59",TRUE(),"60+")</f>
        <v>30-39</v>
      </c>
      <c r="O2063" s="2" t="str">
        <f aca="false">_xlfn.IFS(G2063&lt;0,"1 Negative",G2063=0,"2 Zero",G2063&lt;=500,"3 1-500",G2063&lt;=2000,"4 501-2000",TRUE(),"5 Above 2000")</f>
        <v>1 Negative</v>
      </c>
      <c r="P2063" s="2" t="n">
        <f aca="false">Lookups!$B$2*M2063+Lookups!$B$3*L2063</f>
        <v>2</v>
      </c>
      <c r="Q2063" s="2" t="str">
        <f aca="false">INDEX(Lookups!$E$2:$E$5,MATCH(P2063,Lookups!$D$2:$D$5,0))</f>
        <v>High</v>
      </c>
    </row>
    <row r="2064" customFormat="false" ht="15" hidden="false" customHeight="false" outlineLevel="0" collapsed="false">
      <c r="A2064" s="3" t="n">
        <v>2063</v>
      </c>
      <c r="B2064" s="3" t="n">
        <f aca="false">Raw_Data!A2064</f>
        <v>29</v>
      </c>
      <c r="C2064" s="3" t="str">
        <f aca="false">SUBSTITUTE(Raw_Data!B2064,".","")</f>
        <v>blue-collar</v>
      </c>
      <c r="D2064" s="3" t="str">
        <f aca="false">Raw_Data!C2064</f>
        <v>married</v>
      </c>
      <c r="E2064" s="3" t="str">
        <f aca="false">Raw_Data!D2064</f>
        <v>unknown</v>
      </c>
      <c r="F2064" s="3" t="str">
        <f aca="false">Raw_Data!E2064</f>
        <v>no</v>
      </c>
      <c r="G2064" s="3" t="n">
        <f aca="false">Raw_Data!F2064</f>
        <v>486</v>
      </c>
      <c r="H2064" s="3" t="str">
        <f aca="false">Raw_Data!G2064</f>
        <v>yes</v>
      </c>
      <c r="I2064" s="3" t="str">
        <f aca="false">Raw_Data!H2064</f>
        <v>no</v>
      </c>
      <c r="J2064" s="2" t="n">
        <f aca="false">IF(F2064="yes",1,0)</f>
        <v>0</v>
      </c>
      <c r="K2064" s="2" t="n">
        <f aca="false">IF(H2064="yes",1,0)</f>
        <v>1</v>
      </c>
      <c r="L2064" s="2" t="n">
        <f aca="false">IF(I2064="yes",1,0)</f>
        <v>0</v>
      </c>
      <c r="M2064" s="2" t="n">
        <f aca="false">IF(G2064&lt;0,1,0)</f>
        <v>0</v>
      </c>
      <c r="N2064" s="2" t="str">
        <f aca="false">_xlfn.IFS(B2064&lt;30,"Under 30",B2064&lt;40,"30-39",B2064&lt;50,"40-49",B2064&lt;60,"50-59",TRUE(),"60+")</f>
        <v>Under 30</v>
      </c>
      <c r="O2064" s="2" t="str">
        <f aca="false">_xlfn.IFS(G2064&lt;0,"1 Negative",G2064=0,"2 Zero",G2064&lt;=500,"3 1-500",G2064&lt;=2000,"4 501-2000",TRUE(),"5 Above 2000")</f>
        <v>3 1-500</v>
      </c>
      <c r="P2064" s="2" t="n">
        <f aca="false">Lookups!$B$2*M2064+Lookups!$B$3*L2064</f>
        <v>0</v>
      </c>
      <c r="Q2064" s="2" t="str">
        <f aca="false">INDEX(Lookups!$E$2:$E$5,MATCH(P2064,Lookups!$D$2:$D$5,0))</f>
        <v>Low</v>
      </c>
    </row>
    <row r="2065" customFormat="false" ht="15" hidden="false" customHeight="false" outlineLevel="0" collapsed="false">
      <c r="A2065" s="3" t="n">
        <v>2064</v>
      </c>
      <c r="B2065" s="3" t="n">
        <f aca="false">Raw_Data!A2065</f>
        <v>39</v>
      </c>
      <c r="C2065" s="3" t="str">
        <f aca="false">SUBSTITUTE(Raw_Data!B2065,".","")</f>
        <v>blue-collar</v>
      </c>
      <c r="D2065" s="3" t="str">
        <f aca="false">Raw_Data!C2065</f>
        <v>married</v>
      </c>
      <c r="E2065" s="3" t="str">
        <f aca="false">Raw_Data!D2065</f>
        <v>primary</v>
      </c>
      <c r="F2065" s="3" t="str">
        <f aca="false">Raw_Data!E2065</f>
        <v>no</v>
      </c>
      <c r="G2065" s="3" t="n">
        <f aca="false">Raw_Data!F2065</f>
        <v>694</v>
      </c>
      <c r="H2065" s="3" t="str">
        <f aca="false">Raw_Data!G2065</f>
        <v>yes</v>
      </c>
      <c r="I2065" s="3" t="str">
        <f aca="false">Raw_Data!H2065</f>
        <v>no</v>
      </c>
      <c r="J2065" s="2" t="n">
        <f aca="false">IF(F2065="yes",1,0)</f>
        <v>0</v>
      </c>
      <c r="K2065" s="2" t="n">
        <f aca="false">IF(H2065="yes",1,0)</f>
        <v>1</v>
      </c>
      <c r="L2065" s="2" t="n">
        <f aca="false">IF(I2065="yes",1,0)</f>
        <v>0</v>
      </c>
      <c r="M2065" s="2" t="n">
        <f aca="false">IF(G2065&lt;0,1,0)</f>
        <v>0</v>
      </c>
      <c r="N2065" s="2" t="str">
        <f aca="false">_xlfn.IFS(B2065&lt;30,"Under 30",B2065&lt;40,"30-39",B2065&lt;50,"40-49",B2065&lt;60,"50-59",TRUE(),"60+")</f>
        <v>30-39</v>
      </c>
      <c r="O2065" s="2" t="str">
        <f aca="false">_xlfn.IFS(G2065&lt;0,"1 Negative",G2065=0,"2 Zero",G2065&lt;=500,"3 1-500",G2065&lt;=2000,"4 501-2000",TRUE(),"5 Above 2000")</f>
        <v>4 501-2000</v>
      </c>
      <c r="P2065" s="2" t="n">
        <f aca="false">Lookups!$B$2*M2065+Lookups!$B$3*L2065</f>
        <v>0</v>
      </c>
      <c r="Q2065" s="2" t="str">
        <f aca="false">INDEX(Lookups!$E$2:$E$5,MATCH(P2065,Lookups!$D$2:$D$5,0))</f>
        <v>Low</v>
      </c>
    </row>
    <row r="2066" customFormat="false" ht="15" hidden="false" customHeight="false" outlineLevel="0" collapsed="false">
      <c r="A2066" s="3" t="n">
        <v>2065</v>
      </c>
      <c r="B2066" s="3" t="n">
        <f aca="false">Raw_Data!A2066</f>
        <v>36</v>
      </c>
      <c r="C2066" s="3" t="str">
        <f aca="false">SUBSTITUTE(Raw_Data!B2066,".","")</f>
        <v>management</v>
      </c>
      <c r="D2066" s="3" t="str">
        <f aca="false">Raw_Data!C2066</f>
        <v>single</v>
      </c>
      <c r="E2066" s="3" t="str">
        <f aca="false">Raw_Data!D2066</f>
        <v>tertiary</v>
      </c>
      <c r="F2066" s="3" t="str">
        <f aca="false">Raw_Data!E2066</f>
        <v>no</v>
      </c>
      <c r="G2066" s="3" t="n">
        <f aca="false">Raw_Data!F2066</f>
        <v>2806</v>
      </c>
      <c r="H2066" s="3" t="str">
        <f aca="false">Raw_Data!G2066</f>
        <v>yes</v>
      </c>
      <c r="I2066" s="3" t="str">
        <f aca="false">Raw_Data!H2066</f>
        <v>no</v>
      </c>
      <c r="J2066" s="2" t="n">
        <f aca="false">IF(F2066="yes",1,0)</f>
        <v>0</v>
      </c>
      <c r="K2066" s="2" t="n">
        <f aca="false">IF(H2066="yes",1,0)</f>
        <v>1</v>
      </c>
      <c r="L2066" s="2" t="n">
        <f aca="false">IF(I2066="yes",1,0)</f>
        <v>0</v>
      </c>
      <c r="M2066" s="2" t="n">
        <f aca="false">IF(G2066&lt;0,1,0)</f>
        <v>0</v>
      </c>
      <c r="N2066" s="2" t="str">
        <f aca="false">_xlfn.IFS(B2066&lt;30,"Under 30",B2066&lt;40,"30-39",B2066&lt;50,"40-49",B2066&lt;60,"50-59",TRUE(),"60+")</f>
        <v>30-39</v>
      </c>
      <c r="O2066" s="2" t="str">
        <f aca="false">_xlfn.IFS(G2066&lt;0,"1 Negative",G2066=0,"2 Zero",G2066&lt;=500,"3 1-500",G2066&lt;=2000,"4 501-2000",TRUE(),"5 Above 2000")</f>
        <v>5 Above 2000</v>
      </c>
      <c r="P2066" s="2" t="n">
        <f aca="false">Lookups!$B$2*M2066+Lookups!$B$3*L2066</f>
        <v>0</v>
      </c>
      <c r="Q2066" s="2" t="str">
        <f aca="false">INDEX(Lookups!$E$2:$E$5,MATCH(P2066,Lookups!$D$2:$D$5,0))</f>
        <v>Low</v>
      </c>
    </row>
    <row r="2067" customFormat="false" ht="15" hidden="false" customHeight="false" outlineLevel="0" collapsed="false">
      <c r="A2067" s="3" t="n">
        <v>2066</v>
      </c>
      <c r="B2067" s="3" t="n">
        <f aca="false">Raw_Data!A2067</f>
        <v>38</v>
      </c>
      <c r="C2067" s="3" t="str">
        <f aca="false">SUBSTITUTE(Raw_Data!B2067,".","")</f>
        <v>unemployed</v>
      </c>
      <c r="D2067" s="3" t="str">
        <f aca="false">Raw_Data!C2067</f>
        <v>single</v>
      </c>
      <c r="E2067" s="3" t="str">
        <f aca="false">Raw_Data!D2067</f>
        <v>tertiary</v>
      </c>
      <c r="F2067" s="3" t="str">
        <f aca="false">Raw_Data!E2067</f>
        <v>no</v>
      </c>
      <c r="G2067" s="3" t="n">
        <f aca="false">Raw_Data!F2067</f>
        <v>0</v>
      </c>
      <c r="H2067" s="3" t="str">
        <f aca="false">Raw_Data!G2067</f>
        <v>no</v>
      </c>
      <c r="I2067" s="3" t="str">
        <f aca="false">Raw_Data!H2067</f>
        <v>no</v>
      </c>
      <c r="J2067" s="2" t="n">
        <f aca="false">IF(F2067="yes",1,0)</f>
        <v>0</v>
      </c>
      <c r="K2067" s="2" t="n">
        <f aca="false">IF(H2067="yes",1,0)</f>
        <v>0</v>
      </c>
      <c r="L2067" s="2" t="n">
        <f aca="false">IF(I2067="yes",1,0)</f>
        <v>0</v>
      </c>
      <c r="M2067" s="2" t="n">
        <f aca="false">IF(G2067&lt;0,1,0)</f>
        <v>0</v>
      </c>
      <c r="N2067" s="2" t="str">
        <f aca="false">_xlfn.IFS(B2067&lt;30,"Under 30",B2067&lt;40,"30-39",B2067&lt;50,"40-49",B2067&lt;60,"50-59",TRUE(),"60+")</f>
        <v>30-39</v>
      </c>
      <c r="O2067" s="2" t="str">
        <f aca="false">_xlfn.IFS(G2067&lt;0,"1 Negative",G2067=0,"2 Zero",G2067&lt;=500,"3 1-500",G2067&lt;=2000,"4 501-2000",TRUE(),"5 Above 2000")</f>
        <v>2 Zero</v>
      </c>
      <c r="P2067" s="2" t="n">
        <f aca="false">Lookups!$B$2*M2067+Lookups!$B$3*L2067</f>
        <v>0</v>
      </c>
      <c r="Q2067" s="2" t="str">
        <f aca="false">INDEX(Lookups!$E$2:$E$5,MATCH(P2067,Lookups!$D$2:$D$5,0))</f>
        <v>Low</v>
      </c>
    </row>
    <row r="2068" customFormat="false" ht="15" hidden="false" customHeight="false" outlineLevel="0" collapsed="false">
      <c r="A2068" s="3" t="n">
        <v>2067</v>
      </c>
      <c r="B2068" s="3" t="n">
        <f aca="false">Raw_Data!A2068</f>
        <v>56</v>
      </c>
      <c r="C2068" s="3" t="str">
        <f aca="false">SUBSTITUTE(Raw_Data!B2068,".","")</f>
        <v>management</v>
      </c>
      <c r="D2068" s="3" t="str">
        <f aca="false">Raw_Data!C2068</f>
        <v>divorced</v>
      </c>
      <c r="E2068" s="3" t="str">
        <f aca="false">Raw_Data!D2068</f>
        <v>tertiary</v>
      </c>
      <c r="F2068" s="3" t="str">
        <f aca="false">Raw_Data!E2068</f>
        <v>no</v>
      </c>
      <c r="G2068" s="3" t="n">
        <f aca="false">Raw_Data!F2068</f>
        <v>2959</v>
      </c>
      <c r="H2068" s="3" t="str">
        <f aca="false">Raw_Data!G2068</f>
        <v>yes</v>
      </c>
      <c r="I2068" s="3" t="str">
        <f aca="false">Raw_Data!H2068</f>
        <v>no</v>
      </c>
      <c r="J2068" s="2" t="n">
        <f aca="false">IF(F2068="yes",1,0)</f>
        <v>0</v>
      </c>
      <c r="K2068" s="2" t="n">
        <f aca="false">IF(H2068="yes",1,0)</f>
        <v>1</v>
      </c>
      <c r="L2068" s="2" t="n">
        <f aca="false">IF(I2068="yes",1,0)</f>
        <v>0</v>
      </c>
      <c r="M2068" s="2" t="n">
        <f aca="false">IF(G2068&lt;0,1,0)</f>
        <v>0</v>
      </c>
      <c r="N2068" s="2" t="str">
        <f aca="false">_xlfn.IFS(B2068&lt;30,"Under 30",B2068&lt;40,"30-39",B2068&lt;50,"40-49",B2068&lt;60,"50-59",TRUE(),"60+")</f>
        <v>50-59</v>
      </c>
      <c r="O2068" s="2" t="str">
        <f aca="false">_xlfn.IFS(G2068&lt;0,"1 Negative",G2068=0,"2 Zero",G2068&lt;=500,"3 1-500",G2068&lt;=2000,"4 501-2000",TRUE(),"5 Above 2000")</f>
        <v>5 Above 2000</v>
      </c>
      <c r="P2068" s="2" t="n">
        <f aca="false">Lookups!$B$2*M2068+Lookups!$B$3*L2068</f>
        <v>0</v>
      </c>
      <c r="Q2068" s="2" t="str">
        <f aca="false">INDEX(Lookups!$E$2:$E$5,MATCH(P2068,Lookups!$D$2:$D$5,0))</f>
        <v>Low</v>
      </c>
    </row>
    <row r="2069" customFormat="false" ht="15" hidden="false" customHeight="false" outlineLevel="0" collapsed="false">
      <c r="A2069" s="3" t="n">
        <v>2068</v>
      </c>
      <c r="B2069" s="3" t="n">
        <f aca="false">Raw_Data!A2069</f>
        <v>41</v>
      </c>
      <c r="C2069" s="3" t="str">
        <f aca="false">SUBSTITUTE(Raw_Data!B2069,".","")</f>
        <v>housemaid</v>
      </c>
      <c r="D2069" s="3" t="str">
        <f aca="false">Raw_Data!C2069</f>
        <v>divorced</v>
      </c>
      <c r="E2069" s="3" t="str">
        <f aca="false">Raw_Data!D2069</f>
        <v>primary</v>
      </c>
      <c r="F2069" s="3" t="str">
        <f aca="false">Raw_Data!E2069</f>
        <v>no</v>
      </c>
      <c r="G2069" s="3" t="n">
        <f aca="false">Raw_Data!F2069</f>
        <v>22</v>
      </c>
      <c r="H2069" s="3" t="str">
        <f aca="false">Raw_Data!G2069</f>
        <v>yes</v>
      </c>
      <c r="I2069" s="3" t="str">
        <f aca="false">Raw_Data!H2069</f>
        <v>no</v>
      </c>
      <c r="J2069" s="2" t="n">
        <f aca="false">IF(F2069="yes",1,0)</f>
        <v>0</v>
      </c>
      <c r="K2069" s="2" t="n">
        <f aca="false">IF(H2069="yes",1,0)</f>
        <v>1</v>
      </c>
      <c r="L2069" s="2" t="n">
        <f aca="false">IF(I2069="yes",1,0)</f>
        <v>0</v>
      </c>
      <c r="M2069" s="2" t="n">
        <f aca="false">IF(G2069&lt;0,1,0)</f>
        <v>0</v>
      </c>
      <c r="N2069" s="2" t="str">
        <f aca="false">_xlfn.IFS(B2069&lt;30,"Under 30",B2069&lt;40,"30-39",B2069&lt;50,"40-49",B2069&lt;60,"50-59",TRUE(),"60+")</f>
        <v>40-49</v>
      </c>
      <c r="O2069" s="2" t="str">
        <f aca="false">_xlfn.IFS(G2069&lt;0,"1 Negative",G2069=0,"2 Zero",G2069&lt;=500,"3 1-500",G2069&lt;=2000,"4 501-2000",TRUE(),"5 Above 2000")</f>
        <v>3 1-500</v>
      </c>
      <c r="P2069" s="2" t="n">
        <f aca="false">Lookups!$B$2*M2069+Lookups!$B$3*L2069</f>
        <v>0</v>
      </c>
      <c r="Q2069" s="2" t="str">
        <f aca="false">INDEX(Lookups!$E$2:$E$5,MATCH(P2069,Lookups!$D$2:$D$5,0))</f>
        <v>Low</v>
      </c>
    </row>
    <row r="2070" customFormat="false" ht="15" hidden="false" customHeight="false" outlineLevel="0" collapsed="false">
      <c r="A2070" s="3" t="n">
        <v>2069</v>
      </c>
      <c r="B2070" s="3" t="n">
        <f aca="false">Raw_Data!A2070</f>
        <v>47</v>
      </c>
      <c r="C2070" s="3" t="str">
        <f aca="false">SUBSTITUTE(Raw_Data!B2070,".","")</f>
        <v>technician</v>
      </c>
      <c r="D2070" s="3" t="str">
        <f aca="false">Raw_Data!C2070</f>
        <v>married</v>
      </c>
      <c r="E2070" s="3" t="str">
        <f aca="false">Raw_Data!D2070</f>
        <v>secondary</v>
      </c>
      <c r="F2070" s="3" t="str">
        <f aca="false">Raw_Data!E2070</f>
        <v>no</v>
      </c>
      <c r="G2070" s="3" t="n">
        <f aca="false">Raw_Data!F2070</f>
        <v>1167</v>
      </c>
      <c r="H2070" s="3" t="str">
        <f aca="false">Raw_Data!G2070</f>
        <v>yes</v>
      </c>
      <c r="I2070" s="3" t="str">
        <f aca="false">Raw_Data!H2070</f>
        <v>no</v>
      </c>
      <c r="J2070" s="2" t="n">
        <f aca="false">IF(F2070="yes",1,0)</f>
        <v>0</v>
      </c>
      <c r="K2070" s="2" t="n">
        <f aca="false">IF(H2070="yes",1,0)</f>
        <v>1</v>
      </c>
      <c r="L2070" s="2" t="n">
        <f aca="false">IF(I2070="yes",1,0)</f>
        <v>0</v>
      </c>
      <c r="M2070" s="2" t="n">
        <f aca="false">IF(G2070&lt;0,1,0)</f>
        <v>0</v>
      </c>
      <c r="N2070" s="2" t="str">
        <f aca="false">_xlfn.IFS(B2070&lt;30,"Under 30",B2070&lt;40,"30-39",B2070&lt;50,"40-49",B2070&lt;60,"50-59",TRUE(),"60+")</f>
        <v>40-49</v>
      </c>
      <c r="O2070" s="2" t="str">
        <f aca="false">_xlfn.IFS(G2070&lt;0,"1 Negative",G2070=0,"2 Zero",G2070&lt;=500,"3 1-500",G2070&lt;=2000,"4 501-2000",TRUE(),"5 Above 2000")</f>
        <v>4 501-2000</v>
      </c>
      <c r="P2070" s="2" t="n">
        <f aca="false">Lookups!$B$2*M2070+Lookups!$B$3*L2070</f>
        <v>0</v>
      </c>
      <c r="Q2070" s="2" t="str">
        <f aca="false">INDEX(Lookups!$E$2:$E$5,MATCH(P2070,Lookups!$D$2:$D$5,0))</f>
        <v>Low</v>
      </c>
    </row>
    <row r="2071" customFormat="false" ht="15" hidden="false" customHeight="false" outlineLevel="0" collapsed="false">
      <c r="A2071" s="3" t="n">
        <v>2070</v>
      </c>
      <c r="B2071" s="3" t="n">
        <f aca="false">Raw_Data!A2071</f>
        <v>38</v>
      </c>
      <c r="C2071" s="3" t="str">
        <f aca="false">SUBSTITUTE(Raw_Data!B2071,".","")</f>
        <v>management</v>
      </c>
      <c r="D2071" s="3" t="str">
        <f aca="false">Raw_Data!C2071</f>
        <v>single</v>
      </c>
      <c r="E2071" s="3" t="str">
        <f aca="false">Raw_Data!D2071</f>
        <v>tertiary</v>
      </c>
      <c r="F2071" s="3" t="str">
        <f aca="false">Raw_Data!E2071</f>
        <v>no</v>
      </c>
      <c r="G2071" s="3" t="n">
        <f aca="false">Raw_Data!F2071</f>
        <v>35</v>
      </c>
      <c r="H2071" s="3" t="str">
        <f aca="false">Raw_Data!G2071</f>
        <v>yes</v>
      </c>
      <c r="I2071" s="3" t="str">
        <f aca="false">Raw_Data!H2071</f>
        <v>no</v>
      </c>
      <c r="J2071" s="2" t="n">
        <f aca="false">IF(F2071="yes",1,0)</f>
        <v>0</v>
      </c>
      <c r="K2071" s="2" t="n">
        <f aca="false">IF(H2071="yes",1,0)</f>
        <v>1</v>
      </c>
      <c r="L2071" s="2" t="n">
        <f aca="false">IF(I2071="yes",1,0)</f>
        <v>0</v>
      </c>
      <c r="M2071" s="2" t="n">
        <f aca="false">IF(G2071&lt;0,1,0)</f>
        <v>0</v>
      </c>
      <c r="N2071" s="2" t="str">
        <f aca="false">_xlfn.IFS(B2071&lt;30,"Under 30",B2071&lt;40,"30-39",B2071&lt;50,"40-49",B2071&lt;60,"50-59",TRUE(),"60+")</f>
        <v>30-39</v>
      </c>
      <c r="O2071" s="2" t="str">
        <f aca="false">_xlfn.IFS(G2071&lt;0,"1 Negative",G2071=0,"2 Zero",G2071&lt;=500,"3 1-500",G2071&lt;=2000,"4 501-2000",TRUE(),"5 Above 2000")</f>
        <v>3 1-500</v>
      </c>
      <c r="P2071" s="2" t="n">
        <f aca="false">Lookups!$B$2*M2071+Lookups!$B$3*L2071</f>
        <v>0</v>
      </c>
      <c r="Q2071" s="2" t="str">
        <f aca="false">INDEX(Lookups!$E$2:$E$5,MATCH(P2071,Lookups!$D$2:$D$5,0))</f>
        <v>Low</v>
      </c>
    </row>
    <row r="2072" customFormat="false" ht="15" hidden="false" customHeight="false" outlineLevel="0" collapsed="false">
      <c r="A2072" s="3" t="n">
        <v>2071</v>
      </c>
      <c r="B2072" s="3" t="n">
        <f aca="false">Raw_Data!A2072</f>
        <v>80</v>
      </c>
      <c r="C2072" s="3" t="str">
        <f aca="false">SUBSTITUTE(Raw_Data!B2072,".","")</f>
        <v>retired</v>
      </c>
      <c r="D2072" s="3" t="str">
        <f aca="false">Raw_Data!C2072</f>
        <v>married</v>
      </c>
      <c r="E2072" s="3" t="str">
        <f aca="false">Raw_Data!D2072</f>
        <v>secondary</v>
      </c>
      <c r="F2072" s="3" t="str">
        <f aca="false">Raw_Data!E2072</f>
        <v>no</v>
      </c>
      <c r="G2072" s="3" t="n">
        <f aca="false">Raw_Data!F2072</f>
        <v>8304</v>
      </c>
      <c r="H2072" s="3" t="str">
        <f aca="false">Raw_Data!G2072</f>
        <v>no</v>
      </c>
      <c r="I2072" s="3" t="str">
        <f aca="false">Raw_Data!H2072</f>
        <v>no</v>
      </c>
      <c r="J2072" s="2" t="n">
        <f aca="false">IF(F2072="yes",1,0)</f>
        <v>0</v>
      </c>
      <c r="K2072" s="2" t="n">
        <f aca="false">IF(H2072="yes",1,0)</f>
        <v>0</v>
      </c>
      <c r="L2072" s="2" t="n">
        <f aca="false">IF(I2072="yes",1,0)</f>
        <v>0</v>
      </c>
      <c r="M2072" s="2" t="n">
        <f aca="false">IF(G2072&lt;0,1,0)</f>
        <v>0</v>
      </c>
      <c r="N2072" s="2" t="str">
        <f aca="false">_xlfn.IFS(B2072&lt;30,"Under 30",B2072&lt;40,"30-39",B2072&lt;50,"40-49",B2072&lt;60,"50-59",TRUE(),"60+")</f>
        <v>60+</v>
      </c>
      <c r="O2072" s="2" t="str">
        <f aca="false">_xlfn.IFS(G2072&lt;0,"1 Negative",G2072=0,"2 Zero",G2072&lt;=500,"3 1-500",G2072&lt;=2000,"4 501-2000",TRUE(),"5 Above 2000")</f>
        <v>5 Above 2000</v>
      </c>
      <c r="P2072" s="2" t="n">
        <f aca="false">Lookups!$B$2*M2072+Lookups!$B$3*L2072</f>
        <v>0</v>
      </c>
      <c r="Q2072" s="2" t="str">
        <f aca="false">INDEX(Lookups!$E$2:$E$5,MATCH(P2072,Lookups!$D$2:$D$5,0))</f>
        <v>Low</v>
      </c>
    </row>
    <row r="2073" customFormat="false" ht="15" hidden="false" customHeight="false" outlineLevel="0" collapsed="false">
      <c r="A2073" s="3" t="n">
        <v>2072</v>
      </c>
      <c r="B2073" s="3" t="n">
        <f aca="false">Raw_Data!A2073</f>
        <v>37</v>
      </c>
      <c r="C2073" s="3" t="str">
        <f aca="false">SUBSTITUTE(Raw_Data!B2073,".","")</f>
        <v>services</v>
      </c>
      <c r="D2073" s="3" t="str">
        <f aca="false">Raw_Data!C2073</f>
        <v>married</v>
      </c>
      <c r="E2073" s="3" t="str">
        <f aca="false">Raw_Data!D2073</f>
        <v>secondary</v>
      </c>
      <c r="F2073" s="3" t="str">
        <f aca="false">Raw_Data!E2073</f>
        <v>no</v>
      </c>
      <c r="G2073" s="3" t="n">
        <f aca="false">Raw_Data!F2073</f>
        <v>4760</v>
      </c>
      <c r="H2073" s="3" t="str">
        <f aca="false">Raw_Data!G2073</f>
        <v>yes</v>
      </c>
      <c r="I2073" s="3" t="str">
        <f aca="false">Raw_Data!H2073</f>
        <v>no</v>
      </c>
      <c r="J2073" s="2" t="n">
        <f aca="false">IF(F2073="yes",1,0)</f>
        <v>0</v>
      </c>
      <c r="K2073" s="2" t="n">
        <f aca="false">IF(H2073="yes",1,0)</f>
        <v>1</v>
      </c>
      <c r="L2073" s="2" t="n">
        <f aca="false">IF(I2073="yes",1,0)</f>
        <v>0</v>
      </c>
      <c r="M2073" s="2" t="n">
        <f aca="false">IF(G2073&lt;0,1,0)</f>
        <v>0</v>
      </c>
      <c r="N2073" s="2" t="str">
        <f aca="false">_xlfn.IFS(B2073&lt;30,"Under 30",B2073&lt;40,"30-39",B2073&lt;50,"40-49",B2073&lt;60,"50-59",TRUE(),"60+")</f>
        <v>30-39</v>
      </c>
      <c r="O2073" s="2" t="str">
        <f aca="false">_xlfn.IFS(G2073&lt;0,"1 Negative",G2073=0,"2 Zero",G2073&lt;=500,"3 1-500",G2073&lt;=2000,"4 501-2000",TRUE(),"5 Above 2000")</f>
        <v>5 Above 2000</v>
      </c>
      <c r="P2073" s="2" t="n">
        <f aca="false">Lookups!$B$2*M2073+Lookups!$B$3*L2073</f>
        <v>0</v>
      </c>
      <c r="Q2073" s="2" t="str">
        <f aca="false">INDEX(Lookups!$E$2:$E$5,MATCH(P2073,Lookups!$D$2:$D$5,0))</f>
        <v>Low</v>
      </c>
    </row>
    <row r="2074" customFormat="false" ht="15" hidden="false" customHeight="false" outlineLevel="0" collapsed="false">
      <c r="A2074" s="3" t="n">
        <v>2073</v>
      </c>
      <c r="B2074" s="3" t="n">
        <f aca="false">Raw_Data!A2074</f>
        <v>44</v>
      </c>
      <c r="C2074" s="3" t="str">
        <f aca="false">SUBSTITUTE(Raw_Data!B2074,".","")</f>
        <v>management</v>
      </c>
      <c r="D2074" s="3" t="str">
        <f aca="false">Raw_Data!C2074</f>
        <v>single</v>
      </c>
      <c r="E2074" s="3" t="str">
        <f aca="false">Raw_Data!D2074</f>
        <v>tertiary</v>
      </c>
      <c r="F2074" s="3" t="str">
        <f aca="false">Raw_Data!E2074</f>
        <v>no</v>
      </c>
      <c r="G2074" s="3" t="n">
        <f aca="false">Raw_Data!F2074</f>
        <v>-1313</v>
      </c>
      <c r="H2074" s="3" t="str">
        <f aca="false">Raw_Data!G2074</f>
        <v>yes</v>
      </c>
      <c r="I2074" s="3" t="str">
        <f aca="false">Raw_Data!H2074</f>
        <v>yes</v>
      </c>
      <c r="J2074" s="2" t="n">
        <f aca="false">IF(F2074="yes",1,0)</f>
        <v>0</v>
      </c>
      <c r="K2074" s="2" t="n">
        <f aca="false">IF(H2074="yes",1,0)</f>
        <v>1</v>
      </c>
      <c r="L2074" s="2" t="n">
        <f aca="false">IF(I2074="yes",1,0)</f>
        <v>1</v>
      </c>
      <c r="M2074" s="2" t="n">
        <f aca="false">IF(G2074&lt;0,1,0)</f>
        <v>1</v>
      </c>
      <c r="N2074" s="2" t="str">
        <f aca="false">_xlfn.IFS(B2074&lt;30,"Under 30",B2074&lt;40,"30-39",B2074&lt;50,"40-49",B2074&lt;60,"50-59",TRUE(),"60+")</f>
        <v>40-49</v>
      </c>
      <c r="O2074" s="2" t="str">
        <f aca="false">_xlfn.IFS(G2074&lt;0,"1 Negative",G2074=0,"2 Zero",G2074&lt;=500,"3 1-500",G2074&lt;=2000,"4 501-2000",TRUE(),"5 Above 2000")</f>
        <v>1 Negative</v>
      </c>
      <c r="P2074" s="2" t="n">
        <f aca="false">Lookups!$B$2*M2074+Lookups!$B$3*L2074</f>
        <v>3</v>
      </c>
      <c r="Q2074" s="2" t="str">
        <f aca="false">INDEX(Lookups!$E$2:$E$5,MATCH(P2074,Lookups!$D$2:$D$5,0))</f>
        <v>High</v>
      </c>
    </row>
    <row r="2075" customFormat="false" ht="15" hidden="false" customHeight="false" outlineLevel="0" collapsed="false">
      <c r="A2075" s="3" t="n">
        <v>2074</v>
      </c>
      <c r="B2075" s="3" t="n">
        <f aca="false">Raw_Data!A2075</f>
        <v>33</v>
      </c>
      <c r="C2075" s="3" t="str">
        <f aca="false">SUBSTITUTE(Raw_Data!B2075,".","")</f>
        <v>blue-collar</v>
      </c>
      <c r="D2075" s="3" t="str">
        <f aca="false">Raw_Data!C2075</f>
        <v>single</v>
      </c>
      <c r="E2075" s="3" t="str">
        <f aca="false">Raw_Data!D2075</f>
        <v>secondary</v>
      </c>
      <c r="F2075" s="3" t="str">
        <f aca="false">Raw_Data!E2075</f>
        <v>no</v>
      </c>
      <c r="G2075" s="3" t="n">
        <f aca="false">Raw_Data!F2075</f>
        <v>697</v>
      </c>
      <c r="H2075" s="3" t="str">
        <f aca="false">Raw_Data!G2075</f>
        <v>no</v>
      </c>
      <c r="I2075" s="3" t="str">
        <f aca="false">Raw_Data!H2075</f>
        <v>no</v>
      </c>
      <c r="J2075" s="2" t="n">
        <f aca="false">IF(F2075="yes",1,0)</f>
        <v>0</v>
      </c>
      <c r="K2075" s="2" t="n">
        <f aca="false">IF(H2075="yes",1,0)</f>
        <v>0</v>
      </c>
      <c r="L2075" s="2" t="n">
        <f aca="false">IF(I2075="yes",1,0)</f>
        <v>0</v>
      </c>
      <c r="M2075" s="2" t="n">
        <f aca="false">IF(G2075&lt;0,1,0)</f>
        <v>0</v>
      </c>
      <c r="N2075" s="2" t="str">
        <f aca="false">_xlfn.IFS(B2075&lt;30,"Under 30",B2075&lt;40,"30-39",B2075&lt;50,"40-49",B2075&lt;60,"50-59",TRUE(),"60+")</f>
        <v>30-39</v>
      </c>
      <c r="O2075" s="2" t="str">
        <f aca="false">_xlfn.IFS(G2075&lt;0,"1 Negative",G2075=0,"2 Zero",G2075&lt;=500,"3 1-500",G2075&lt;=2000,"4 501-2000",TRUE(),"5 Above 2000")</f>
        <v>4 501-2000</v>
      </c>
      <c r="P2075" s="2" t="n">
        <f aca="false">Lookups!$B$2*M2075+Lookups!$B$3*L2075</f>
        <v>0</v>
      </c>
      <c r="Q2075" s="2" t="str">
        <f aca="false">INDEX(Lookups!$E$2:$E$5,MATCH(P2075,Lookups!$D$2:$D$5,0))</f>
        <v>Low</v>
      </c>
    </row>
    <row r="2076" customFormat="false" ht="15" hidden="false" customHeight="false" outlineLevel="0" collapsed="false">
      <c r="A2076" s="3" t="n">
        <v>2075</v>
      </c>
      <c r="B2076" s="3" t="n">
        <f aca="false">Raw_Data!A2076</f>
        <v>53</v>
      </c>
      <c r="C2076" s="3" t="str">
        <f aca="false">SUBSTITUTE(Raw_Data!B2076,".","")</f>
        <v>technician</v>
      </c>
      <c r="D2076" s="3" t="str">
        <f aca="false">Raw_Data!C2076</f>
        <v>married</v>
      </c>
      <c r="E2076" s="3" t="str">
        <f aca="false">Raw_Data!D2076</f>
        <v>secondary</v>
      </c>
      <c r="F2076" s="3" t="str">
        <f aca="false">Raw_Data!E2076</f>
        <v>no</v>
      </c>
      <c r="G2076" s="3" t="n">
        <f aca="false">Raw_Data!F2076</f>
        <v>230</v>
      </c>
      <c r="H2076" s="3" t="str">
        <f aca="false">Raw_Data!G2076</f>
        <v>no</v>
      </c>
      <c r="I2076" s="3" t="str">
        <f aca="false">Raw_Data!H2076</f>
        <v>yes</v>
      </c>
      <c r="J2076" s="2" t="n">
        <f aca="false">IF(F2076="yes",1,0)</f>
        <v>0</v>
      </c>
      <c r="K2076" s="2" t="n">
        <f aca="false">IF(H2076="yes",1,0)</f>
        <v>0</v>
      </c>
      <c r="L2076" s="2" t="n">
        <f aca="false">IF(I2076="yes",1,0)</f>
        <v>1</v>
      </c>
      <c r="M2076" s="2" t="n">
        <f aca="false">IF(G2076&lt;0,1,0)</f>
        <v>0</v>
      </c>
      <c r="N2076" s="2" t="str">
        <f aca="false">_xlfn.IFS(B2076&lt;30,"Under 30",B2076&lt;40,"30-39",B2076&lt;50,"40-49",B2076&lt;60,"50-59",TRUE(),"60+")</f>
        <v>50-59</v>
      </c>
      <c r="O2076" s="2" t="str">
        <f aca="false">_xlfn.IFS(G2076&lt;0,"1 Negative",G2076=0,"2 Zero",G2076&lt;=500,"3 1-500",G2076&lt;=2000,"4 501-2000",TRUE(),"5 Above 2000")</f>
        <v>3 1-500</v>
      </c>
      <c r="P2076" s="2" t="n">
        <f aca="false">Lookups!$B$2*M2076+Lookups!$B$3*L2076</f>
        <v>1</v>
      </c>
      <c r="Q2076" s="2" t="str">
        <f aca="false">INDEX(Lookups!$E$2:$E$5,MATCH(P2076,Lookups!$D$2:$D$5,0))</f>
        <v>Medium</v>
      </c>
    </row>
    <row r="2077" customFormat="false" ht="15" hidden="false" customHeight="false" outlineLevel="0" collapsed="false">
      <c r="A2077" s="3" t="n">
        <v>2076</v>
      </c>
      <c r="B2077" s="3" t="n">
        <f aca="false">Raw_Data!A2077</f>
        <v>69</v>
      </c>
      <c r="C2077" s="3" t="str">
        <f aca="false">SUBSTITUTE(Raw_Data!B2077,".","")</f>
        <v>retired</v>
      </c>
      <c r="D2077" s="3" t="str">
        <f aca="false">Raw_Data!C2077</f>
        <v>married</v>
      </c>
      <c r="E2077" s="3" t="str">
        <f aca="false">Raw_Data!D2077</f>
        <v>tertiary</v>
      </c>
      <c r="F2077" s="3" t="str">
        <f aca="false">Raw_Data!E2077</f>
        <v>no</v>
      </c>
      <c r="G2077" s="3" t="n">
        <f aca="false">Raw_Data!F2077</f>
        <v>473</v>
      </c>
      <c r="H2077" s="3" t="str">
        <f aca="false">Raw_Data!G2077</f>
        <v>no</v>
      </c>
      <c r="I2077" s="3" t="str">
        <f aca="false">Raw_Data!H2077</f>
        <v>no</v>
      </c>
      <c r="J2077" s="2" t="n">
        <f aca="false">IF(F2077="yes",1,0)</f>
        <v>0</v>
      </c>
      <c r="K2077" s="2" t="n">
        <f aca="false">IF(H2077="yes",1,0)</f>
        <v>0</v>
      </c>
      <c r="L2077" s="2" t="n">
        <f aca="false">IF(I2077="yes",1,0)</f>
        <v>0</v>
      </c>
      <c r="M2077" s="2" t="n">
        <f aca="false">IF(G2077&lt;0,1,0)</f>
        <v>0</v>
      </c>
      <c r="N2077" s="2" t="str">
        <f aca="false">_xlfn.IFS(B2077&lt;30,"Under 30",B2077&lt;40,"30-39",B2077&lt;50,"40-49",B2077&lt;60,"50-59",TRUE(),"60+")</f>
        <v>60+</v>
      </c>
      <c r="O2077" s="2" t="str">
        <f aca="false">_xlfn.IFS(G2077&lt;0,"1 Negative",G2077=0,"2 Zero",G2077&lt;=500,"3 1-500",G2077&lt;=2000,"4 501-2000",TRUE(),"5 Above 2000")</f>
        <v>3 1-500</v>
      </c>
      <c r="P2077" s="2" t="n">
        <f aca="false">Lookups!$B$2*M2077+Lookups!$B$3*L2077</f>
        <v>0</v>
      </c>
      <c r="Q2077" s="2" t="str">
        <f aca="false">INDEX(Lookups!$E$2:$E$5,MATCH(P2077,Lookups!$D$2:$D$5,0))</f>
        <v>Low</v>
      </c>
    </row>
    <row r="2078" customFormat="false" ht="15" hidden="false" customHeight="false" outlineLevel="0" collapsed="false">
      <c r="A2078" s="3" t="n">
        <v>2077</v>
      </c>
      <c r="B2078" s="3" t="n">
        <f aca="false">Raw_Data!A2078</f>
        <v>46</v>
      </c>
      <c r="C2078" s="3" t="str">
        <f aca="false">SUBSTITUTE(Raw_Data!B2078,".","")</f>
        <v>technician</v>
      </c>
      <c r="D2078" s="3" t="str">
        <f aca="false">Raw_Data!C2078</f>
        <v>married</v>
      </c>
      <c r="E2078" s="3" t="str">
        <f aca="false">Raw_Data!D2078</f>
        <v>secondary</v>
      </c>
      <c r="F2078" s="3" t="str">
        <f aca="false">Raw_Data!E2078</f>
        <v>no</v>
      </c>
      <c r="G2078" s="3" t="n">
        <f aca="false">Raw_Data!F2078</f>
        <v>1427</v>
      </c>
      <c r="H2078" s="3" t="str">
        <f aca="false">Raw_Data!G2078</f>
        <v>yes</v>
      </c>
      <c r="I2078" s="3" t="str">
        <f aca="false">Raw_Data!H2078</f>
        <v>no</v>
      </c>
      <c r="J2078" s="2" t="n">
        <f aca="false">IF(F2078="yes",1,0)</f>
        <v>0</v>
      </c>
      <c r="K2078" s="2" t="n">
        <f aca="false">IF(H2078="yes",1,0)</f>
        <v>1</v>
      </c>
      <c r="L2078" s="2" t="n">
        <f aca="false">IF(I2078="yes",1,0)</f>
        <v>0</v>
      </c>
      <c r="M2078" s="2" t="n">
        <f aca="false">IF(G2078&lt;0,1,0)</f>
        <v>0</v>
      </c>
      <c r="N2078" s="2" t="str">
        <f aca="false">_xlfn.IFS(B2078&lt;30,"Under 30",B2078&lt;40,"30-39",B2078&lt;50,"40-49",B2078&lt;60,"50-59",TRUE(),"60+")</f>
        <v>40-49</v>
      </c>
      <c r="O2078" s="2" t="str">
        <f aca="false">_xlfn.IFS(G2078&lt;0,"1 Negative",G2078=0,"2 Zero",G2078&lt;=500,"3 1-500",G2078&lt;=2000,"4 501-2000",TRUE(),"5 Above 2000")</f>
        <v>4 501-2000</v>
      </c>
      <c r="P2078" s="2" t="n">
        <f aca="false">Lookups!$B$2*M2078+Lookups!$B$3*L2078</f>
        <v>0</v>
      </c>
      <c r="Q2078" s="2" t="str">
        <f aca="false">INDEX(Lookups!$E$2:$E$5,MATCH(P2078,Lookups!$D$2:$D$5,0))</f>
        <v>Low</v>
      </c>
    </row>
    <row r="2079" customFormat="false" ht="15" hidden="false" customHeight="false" outlineLevel="0" collapsed="false">
      <c r="A2079" s="3" t="n">
        <v>2078</v>
      </c>
      <c r="B2079" s="3" t="n">
        <f aca="false">Raw_Data!A2079</f>
        <v>30</v>
      </c>
      <c r="C2079" s="3" t="str">
        <f aca="false">SUBSTITUTE(Raw_Data!B2079,".","")</f>
        <v>management</v>
      </c>
      <c r="D2079" s="3" t="str">
        <f aca="false">Raw_Data!C2079</f>
        <v>single</v>
      </c>
      <c r="E2079" s="3" t="str">
        <f aca="false">Raw_Data!D2079</f>
        <v>tertiary</v>
      </c>
      <c r="F2079" s="3" t="str">
        <f aca="false">Raw_Data!E2079</f>
        <v>no</v>
      </c>
      <c r="G2079" s="3" t="n">
        <f aca="false">Raw_Data!F2079</f>
        <v>201</v>
      </c>
      <c r="H2079" s="3" t="str">
        <f aca="false">Raw_Data!G2079</f>
        <v>yes</v>
      </c>
      <c r="I2079" s="3" t="str">
        <f aca="false">Raw_Data!H2079</f>
        <v>no</v>
      </c>
      <c r="J2079" s="2" t="n">
        <f aca="false">IF(F2079="yes",1,0)</f>
        <v>0</v>
      </c>
      <c r="K2079" s="2" t="n">
        <f aca="false">IF(H2079="yes",1,0)</f>
        <v>1</v>
      </c>
      <c r="L2079" s="2" t="n">
        <f aca="false">IF(I2079="yes",1,0)</f>
        <v>0</v>
      </c>
      <c r="M2079" s="2" t="n">
        <f aca="false">IF(G2079&lt;0,1,0)</f>
        <v>0</v>
      </c>
      <c r="N2079" s="2" t="str">
        <f aca="false">_xlfn.IFS(B2079&lt;30,"Under 30",B2079&lt;40,"30-39",B2079&lt;50,"40-49",B2079&lt;60,"50-59",TRUE(),"60+")</f>
        <v>30-39</v>
      </c>
      <c r="O2079" s="2" t="str">
        <f aca="false">_xlfn.IFS(G2079&lt;0,"1 Negative",G2079=0,"2 Zero",G2079&lt;=500,"3 1-500",G2079&lt;=2000,"4 501-2000",TRUE(),"5 Above 2000")</f>
        <v>3 1-500</v>
      </c>
      <c r="P2079" s="2" t="n">
        <f aca="false">Lookups!$B$2*M2079+Lookups!$B$3*L2079</f>
        <v>0</v>
      </c>
      <c r="Q2079" s="2" t="str">
        <f aca="false">INDEX(Lookups!$E$2:$E$5,MATCH(P2079,Lookups!$D$2:$D$5,0))</f>
        <v>Low</v>
      </c>
    </row>
    <row r="2080" customFormat="false" ht="15" hidden="false" customHeight="false" outlineLevel="0" collapsed="false">
      <c r="A2080" s="3" t="n">
        <v>2079</v>
      </c>
      <c r="B2080" s="3" t="n">
        <f aca="false">Raw_Data!A2080</f>
        <v>31</v>
      </c>
      <c r="C2080" s="3" t="str">
        <f aca="false">SUBSTITUTE(Raw_Data!B2080,".","")</f>
        <v>self-employed</v>
      </c>
      <c r="D2080" s="3" t="str">
        <f aca="false">Raw_Data!C2080</f>
        <v>single</v>
      </c>
      <c r="E2080" s="3" t="str">
        <f aca="false">Raw_Data!D2080</f>
        <v>secondary</v>
      </c>
      <c r="F2080" s="3" t="str">
        <f aca="false">Raw_Data!E2080</f>
        <v>no</v>
      </c>
      <c r="G2080" s="3" t="n">
        <f aca="false">Raw_Data!F2080</f>
        <v>1086</v>
      </c>
      <c r="H2080" s="3" t="str">
        <f aca="false">Raw_Data!G2080</f>
        <v>no</v>
      </c>
      <c r="I2080" s="3" t="str">
        <f aca="false">Raw_Data!H2080</f>
        <v>no</v>
      </c>
      <c r="J2080" s="2" t="n">
        <f aca="false">IF(F2080="yes",1,0)</f>
        <v>0</v>
      </c>
      <c r="K2080" s="2" t="n">
        <f aca="false">IF(H2080="yes",1,0)</f>
        <v>0</v>
      </c>
      <c r="L2080" s="2" t="n">
        <f aca="false">IF(I2080="yes",1,0)</f>
        <v>0</v>
      </c>
      <c r="M2080" s="2" t="n">
        <f aca="false">IF(G2080&lt;0,1,0)</f>
        <v>0</v>
      </c>
      <c r="N2080" s="2" t="str">
        <f aca="false">_xlfn.IFS(B2080&lt;30,"Under 30",B2080&lt;40,"30-39",B2080&lt;50,"40-49",B2080&lt;60,"50-59",TRUE(),"60+")</f>
        <v>30-39</v>
      </c>
      <c r="O2080" s="2" t="str">
        <f aca="false">_xlfn.IFS(G2080&lt;0,"1 Negative",G2080=0,"2 Zero",G2080&lt;=500,"3 1-500",G2080&lt;=2000,"4 501-2000",TRUE(),"5 Above 2000")</f>
        <v>4 501-2000</v>
      </c>
      <c r="P2080" s="2" t="n">
        <f aca="false">Lookups!$B$2*M2080+Lookups!$B$3*L2080</f>
        <v>0</v>
      </c>
      <c r="Q2080" s="2" t="str">
        <f aca="false">INDEX(Lookups!$E$2:$E$5,MATCH(P2080,Lookups!$D$2:$D$5,0))</f>
        <v>Low</v>
      </c>
    </row>
    <row r="2081" customFormat="false" ht="15" hidden="false" customHeight="false" outlineLevel="0" collapsed="false">
      <c r="A2081" s="3" t="n">
        <v>2080</v>
      </c>
      <c r="B2081" s="3" t="n">
        <f aca="false">Raw_Data!A2081</f>
        <v>38</v>
      </c>
      <c r="C2081" s="3" t="str">
        <f aca="false">SUBSTITUTE(Raw_Data!B2081,".","")</f>
        <v>management</v>
      </c>
      <c r="D2081" s="3" t="str">
        <f aca="false">Raw_Data!C2081</f>
        <v>divorced</v>
      </c>
      <c r="E2081" s="3" t="str">
        <f aca="false">Raw_Data!D2081</f>
        <v>tertiary</v>
      </c>
      <c r="F2081" s="3" t="str">
        <f aca="false">Raw_Data!E2081</f>
        <v>no</v>
      </c>
      <c r="G2081" s="3" t="n">
        <f aca="false">Raw_Data!F2081</f>
        <v>4335</v>
      </c>
      <c r="H2081" s="3" t="str">
        <f aca="false">Raw_Data!G2081</f>
        <v>yes</v>
      </c>
      <c r="I2081" s="3" t="str">
        <f aca="false">Raw_Data!H2081</f>
        <v>no</v>
      </c>
      <c r="J2081" s="2" t="n">
        <f aca="false">IF(F2081="yes",1,0)</f>
        <v>0</v>
      </c>
      <c r="K2081" s="2" t="n">
        <f aca="false">IF(H2081="yes",1,0)</f>
        <v>1</v>
      </c>
      <c r="L2081" s="2" t="n">
        <f aca="false">IF(I2081="yes",1,0)</f>
        <v>0</v>
      </c>
      <c r="M2081" s="2" t="n">
        <f aca="false">IF(G2081&lt;0,1,0)</f>
        <v>0</v>
      </c>
      <c r="N2081" s="2" t="str">
        <f aca="false">_xlfn.IFS(B2081&lt;30,"Under 30",B2081&lt;40,"30-39",B2081&lt;50,"40-49",B2081&lt;60,"50-59",TRUE(),"60+")</f>
        <v>30-39</v>
      </c>
      <c r="O2081" s="2" t="str">
        <f aca="false">_xlfn.IFS(G2081&lt;0,"1 Negative",G2081=0,"2 Zero",G2081&lt;=500,"3 1-500",G2081&lt;=2000,"4 501-2000",TRUE(),"5 Above 2000")</f>
        <v>5 Above 2000</v>
      </c>
      <c r="P2081" s="2" t="n">
        <f aca="false">Lookups!$B$2*M2081+Lookups!$B$3*L2081</f>
        <v>0</v>
      </c>
      <c r="Q2081" s="2" t="str">
        <f aca="false">INDEX(Lookups!$E$2:$E$5,MATCH(P2081,Lookups!$D$2:$D$5,0))</f>
        <v>Low</v>
      </c>
    </row>
    <row r="2082" customFormat="false" ht="15" hidden="false" customHeight="false" outlineLevel="0" collapsed="false">
      <c r="A2082" s="3" t="n">
        <v>2081</v>
      </c>
      <c r="B2082" s="3" t="n">
        <f aca="false">Raw_Data!A2082</f>
        <v>34</v>
      </c>
      <c r="C2082" s="3" t="str">
        <f aca="false">SUBSTITUTE(Raw_Data!B2082,".","")</f>
        <v>services</v>
      </c>
      <c r="D2082" s="3" t="str">
        <f aca="false">Raw_Data!C2082</f>
        <v>divorced</v>
      </c>
      <c r="E2082" s="3" t="str">
        <f aca="false">Raw_Data!D2082</f>
        <v>secondary</v>
      </c>
      <c r="F2082" s="3" t="str">
        <f aca="false">Raw_Data!E2082</f>
        <v>no</v>
      </c>
      <c r="G2082" s="3" t="n">
        <f aca="false">Raw_Data!F2082</f>
        <v>44</v>
      </c>
      <c r="H2082" s="3" t="str">
        <f aca="false">Raw_Data!G2082</f>
        <v>no</v>
      </c>
      <c r="I2082" s="3" t="str">
        <f aca="false">Raw_Data!H2082</f>
        <v>no</v>
      </c>
      <c r="J2082" s="2" t="n">
        <f aca="false">IF(F2082="yes",1,0)</f>
        <v>0</v>
      </c>
      <c r="K2082" s="2" t="n">
        <f aca="false">IF(H2082="yes",1,0)</f>
        <v>0</v>
      </c>
      <c r="L2082" s="2" t="n">
        <f aca="false">IF(I2082="yes",1,0)</f>
        <v>0</v>
      </c>
      <c r="M2082" s="2" t="n">
        <f aca="false">IF(G2082&lt;0,1,0)</f>
        <v>0</v>
      </c>
      <c r="N2082" s="2" t="str">
        <f aca="false">_xlfn.IFS(B2082&lt;30,"Under 30",B2082&lt;40,"30-39",B2082&lt;50,"40-49",B2082&lt;60,"50-59",TRUE(),"60+")</f>
        <v>30-39</v>
      </c>
      <c r="O2082" s="2" t="str">
        <f aca="false">_xlfn.IFS(G2082&lt;0,"1 Negative",G2082=0,"2 Zero",G2082&lt;=500,"3 1-500",G2082&lt;=2000,"4 501-2000",TRUE(),"5 Above 2000")</f>
        <v>3 1-500</v>
      </c>
      <c r="P2082" s="2" t="n">
        <f aca="false">Lookups!$B$2*M2082+Lookups!$B$3*L2082</f>
        <v>0</v>
      </c>
      <c r="Q2082" s="2" t="str">
        <f aca="false">INDEX(Lookups!$E$2:$E$5,MATCH(P2082,Lookups!$D$2:$D$5,0))</f>
        <v>Low</v>
      </c>
    </row>
    <row r="2083" customFormat="false" ht="15" hidden="false" customHeight="false" outlineLevel="0" collapsed="false">
      <c r="A2083" s="3" t="n">
        <v>2082</v>
      </c>
      <c r="B2083" s="3" t="n">
        <f aca="false">Raw_Data!A2083</f>
        <v>48</v>
      </c>
      <c r="C2083" s="3" t="str">
        <f aca="false">SUBSTITUTE(Raw_Data!B2083,".","")</f>
        <v>unknown</v>
      </c>
      <c r="D2083" s="3" t="str">
        <f aca="false">Raw_Data!C2083</f>
        <v>married</v>
      </c>
      <c r="E2083" s="3" t="str">
        <f aca="false">Raw_Data!D2083</f>
        <v>unknown</v>
      </c>
      <c r="F2083" s="3" t="str">
        <f aca="false">Raw_Data!E2083</f>
        <v>no</v>
      </c>
      <c r="G2083" s="3" t="n">
        <f aca="false">Raw_Data!F2083</f>
        <v>286</v>
      </c>
      <c r="H2083" s="3" t="str">
        <f aca="false">Raw_Data!G2083</f>
        <v>no</v>
      </c>
      <c r="I2083" s="3" t="str">
        <f aca="false">Raw_Data!H2083</f>
        <v>no</v>
      </c>
      <c r="J2083" s="2" t="n">
        <f aca="false">IF(F2083="yes",1,0)</f>
        <v>0</v>
      </c>
      <c r="K2083" s="2" t="n">
        <f aca="false">IF(H2083="yes",1,0)</f>
        <v>0</v>
      </c>
      <c r="L2083" s="2" t="n">
        <f aca="false">IF(I2083="yes",1,0)</f>
        <v>0</v>
      </c>
      <c r="M2083" s="2" t="n">
        <f aca="false">IF(G2083&lt;0,1,0)</f>
        <v>0</v>
      </c>
      <c r="N2083" s="2" t="str">
        <f aca="false">_xlfn.IFS(B2083&lt;30,"Under 30",B2083&lt;40,"30-39",B2083&lt;50,"40-49",B2083&lt;60,"50-59",TRUE(),"60+")</f>
        <v>40-49</v>
      </c>
      <c r="O2083" s="2" t="str">
        <f aca="false">_xlfn.IFS(G2083&lt;0,"1 Negative",G2083=0,"2 Zero",G2083&lt;=500,"3 1-500",G2083&lt;=2000,"4 501-2000",TRUE(),"5 Above 2000")</f>
        <v>3 1-500</v>
      </c>
      <c r="P2083" s="2" t="n">
        <f aca="false">Lookups!$B$2*M2083+Lookups!$B$3*L2083</f>
        <v>0</v>
      </c>
      <c r="Q2083" s="2" t="str">
        <f aca="false">INDEX(Lookups!$E$2:$E$5,MATCH(P2083,Lookups!$D$2:$D$5,0))</f>
        <v>Low</v>
      </c>
    </row>
    <row r="2084" customFormat="false" ht="15" hidden="false" customHeight="false" outlineLevel="0" collapsed="false">
      <c r="A2084" s="3" t="n">
        <v>2083</v>
      </c>
      <c r="B2084" s="3" t="n">
        <f aca="false">Raw_Data!A2084</f>
        <v>46</v>
      </c>
      <c r="C2084" s="3" t="str">
        <f aca="false">SUBSTITUTE(Raw_Data!B2084,".","")</f>
        <v>blue-collar</v>
      </c>
      <c r="D2084" s="3" t="str">
        <f aca="false">Raw_Data!C2084</f>
        <v>divorced</v>
      </c>
      <c r="E2084" s="3" t="str">
        <f aca="false">Raw_Data!D2084</f>
        <v>primary</v>
      </c>
      <c r="F2084" s="3" t="str">
        <f aca="false">Raw_Data!E2084</f>
        <v>no</v>
      </c>
      <c r="G2084" s="3" t="n">
        <f aca="false">Raw_Data!F2084</f>
        <v>216</v>
      </c>
      <c r="H2084" s="3" t="str">
        <f aca="false">Raw_Data!G2084</f>
        <v>no</v>
      </c>
      <c r="I2084" s="3" t="str">
        <f aca="false">Raw_Data!H2084</f>
        <v>no</v>
      </c>
      <c r="J2084" s="2" t="n">
        <f aca="false">IF(F2084="yes",1,0)</f>
        <v>0</v>
      </c>
      <c r="K2084" s="2" t="n">
        <f aca="false">IF(H2084="yes",1,0)</f>
        <v>0</v>
      </c>
      <c r="L2084" s="2" t="n">
        <f aca="false">IF(I2084="yes",1,0)</f>
        <v>0</v>
      </c>
      <c r="M2084" s="2" t="n">
        <f aca="false">IF(G2084&lt;0,1,0)</f>
        <v>0</v>
      </c>
      <c r="N2084" s="2" t="str">
        <f aca="false">_xlfn.IFS(B2084&lt;30,"Under 30",B2084&lt;40,"30-39",B2084&lt;50,"40-49",B2084&lt;60,"50-59",TRUE(),"60+")</f>
        <v>40-49</v>
      </c>
      <c r="O2084" s="2" t="str">
        <f aca="false">_xlfn.IFS(G2084&lt;0,"1 Negative",G2084=0,"2 Zero",G2084&lt;=500,"3 1-500",G2084&lt;=2000,"4 501-2000",TRUE(),"5 Above 2000")</f>
        <v>3 1-500</v>
      </c>
      <c r="P2084" s="2" t="n">
        <f aca="false">Lookups!$B$2*M2084+Lookups!$B$3*L2084</f>
        <v>0</v>
      </c>
      <c r="Q2084" s="2" t="str">
        <f aca="false">INDEX(Lookups!$E$2:$E$5,MATCH(P2084,Lookups!$D$2:$D$5,0))</f>
        <v>Low</v>
      </c>
    </row>
    <row r="2085" customFormat="false" ht="15" hidden="false" customHeight="false" outlineLevel="0" collapsed="false">
      <c r="A2085" s="3" t="n">
        <v>2084</v>
      </c>
      <c r="B2085" s="3" t="n">
        <f aca="false">Raw_Data!A2085</f>
        <v>42</v>
      </c>
      <c r="C2085" s="3" t="str">
        <f aca="false">SUBSTITUTE(Raw_Data!B2085,".","")</f>
        <v>admin</v>
      </c>
      <c r="D2085" s="3" t="str">
        <f aca="false">Raw_Data!C2085</f>
        <v>married</v>
      </c>
      <c r="E2085" s="3" t="str">
        <f aca="false">Raw_Data!D2085</f>
        <v>secondary</v>
      </c>
      <c r="F2085" s="3" t="str">
        <f aca="false">Raw_Data!E2085</f>
        <v>no</v>
      </c>
      <c r="G2085" s="3" t="n">
        <f aca="false">Raw_Data!F2085</f>
        <v>214</v>
      </c>
      <c r="H2085" s="3" t="str">
        <f aca="false">Raw_Data!G2085</f>
        <v>yes</v>
      </c>
      <c r="I2085" s="3" t="str">
        <f aca="false">Raw_Data!H2085</f>
        <v>no</v>
      </c>
      <c r="J2085" s="2" t="n">
        <f aca="false">IF(F2085="yes",1,0)</f>
        <v>0</v>
      </c>
      <c r="K2085" s="2" t="n">
        <f aca="false">IF(H2085="yes",1,0)</f>
        <v>1</v>
      </c>
      <c r="L2085" s="2" t="n">
        <f aca="false">IF(I2085="yes",1,0)</f>
        <v>0</v>
      </c>
      <c r="M2085" s="2" t="n">
        <f aca="false">IF(G2085&lt;0,1,0)</f>
        <v>0</v>
      </c>
      <c r="N2085" s="2" t="str">
        <f aca="false">_xlfn.IFS(B2085&lt;30,"Under 30",B2085&lt;40,"30-39",B2085&lt;50,"40-49",B2085&lt;60,"50-59",TRUE(),"60+")</f>
        <v>40-49</v>
      </c>
      <c r="O2085" s="2" t="str">
        <f aca="false">_xlfn.IFS(G2085&lt;0,"1 Negative",G2085=0,"2 Zero",G2085&lt;=500,"3 1-500",G2085&lt;=2000,"4 501-2000",TRUE(),"5 Above 2000")</f>
        <v>3 1-500</v>
      </c>
      <c r="P2085" s="2" t="n">
        <f aca="false">Lookups!$B$2*M2085+Lookups!$B$3*L2085</f>
        <v>0</v>
      </c>
      <c r="Q2085" s="2" t="str">
        <f aca="false">INDEX(Lookups!$E$2:$E$5,MATCH(P2085,Lookups!$D$2:$D$5,0))</f>
        <v>Low</v>
      </c>
    </row>
    <row r="2086" customFormat="false" ht="15" hidden="false" customHeight="false" outlineLevel="0" collapsed="false">
      <c r="A2086" s="3" t="n">
        <v>2085</v>
      </c>
      <c r="B2086" s="3" t="n">
        <f aca="false">Raw_Data!A2086</f>
        <v>41</v>
      </c>
      <c r="C2086" s="3" t="str">
        <f aca="false">SUBSTITUTE(Raw_Data!B2086,".","")</f>
        <v>blue-collar</v>
      </c>
      <c r="D2086" s="3" t="str">
        <f aca="false">Raw_Data!C2086</f>
        <v>married</v>
      </c>
      <c r="E2086" s="3" t="str">
        <f aca="false">Raw_Data!D2086</f>
        <v>secondary</v>
      </c>
      <c r="F2086" s="3" t="str">
        <f aca="false">Raw_Data!E2086</f>
        <v>no</v>
      </c>
      <c r="G2086" s="3" t="n">
        <f aca="false">Raw_Data!F2086</f>
        <v>343</v>
      </c>
      <c r="H2086" s="3" t="str">
        <f aca="false">Raw_Data!G2086</f>
        <v>yes</v>
      </c>
      <c r="I2086" s="3" t="str">
        <f aca="false">Raw_Data!H2086</f>
        <v>no</v>
      </c>
      <c r="J2086" s="2" t="n">
        <f aca="false">IF(F2086="yes",1,0)</f>
        <v>0</v>
      </c>
      <c r="K2086" s="2" t="n">
        <f aca="false">IF(H2086="yes",1,0)</f>
        <v>1</v>
      </c>
      <c r="L2086" s="2" t="n">
        <f aca="false">IF(I2086="yes",1,0)</f>
        <v>0</v>
      </c>
      <c r="M2086" s="2" t="n">
        <f aca="false">IF(G2086&lt;0,1,0)</f>
        <v>0</v>
      </c>
      <c r="N2086" s="2" t="str">
        <f aca="false">_xlfn.IFS(B2086&lt;30,"Under 30",B2086&lt;40,"30-39",B2086&lt;50,"40-49",B2086&lt;60,"50-59",TRUE(),"60+")</f>
        <v>40-49</v>
      </c>
      <c r="O2086" s="2" t="str">
        <f aca="false">_xlfn.IFS(G2086&lt;0,"1 Negative",G2086=0,"2 Zero",G2086&lt;=500,"3 1-500",G2086&lt;=2000,"4 501-2000",TRUE(),"5 Above 2000")</f>
        <v>3 1-500</v>
      </c>
      <c r="P2086" s="2" t="n">
        <f aca="false">Lookups!$B$2*M2086+Lookups!$B$3*L2086</f>
        <v>0</v>
      </c>
      <c r="Q2086" s="2" t="str">
        <f aca="false">INDEX(Lookups!$E$2:$E$5,MATCH(P2086,Lookups!$D$2:$D$5,0))</f>
        <v>Low</v>
      </c>
    </row>
    <row r="2087" customFormat="false" ht="15" hidden="false" customHeight="false" outlineLevel="0" collapsed="false">
      <c r="A2087" s="3" t="n">
        <v>2086</v>
      </c>
      <c r="B2087" s="3" t="n">
        <f aca="false">Raw_Data!A2087</f>
        <v>33</v>
      </c>
      <c r="C2087" s="3" t="str">
        <f aca="false">SUBSTITUTE(Raw_Data!B2087,".","")</f>
        <v>blue-collar</v>
      </c>
      <c r="D2087" s="3" t="str">
        <f aca="false">Raw_Data!C2087</f>
        <v>married</v>
      </c>
      <c r="E2087" s="3" t="str">
        <f aca="false">Raw_Data!D2087</f>
        <v>secondary</v>
      </c>
      <c r="F2087" s="3" t="str">
        <f aca="false">Raw_Data!E2087</f>
        <v>no</v>
      </c>
      <c r="G2087" s="3" t="n">
        <f aca="false">Raw_Data!F2087</f>
        <v>-77</v>
      </c>
      <c r="H2087" s="3" t="str">
        <f aca="false">Raw_Data!G2087</f>
        <v>yes</v>
      </c>
      <c r="I2087" s="3" t="str">
        <f aca="false">Raw_Data!H2087</f>
        <v>no</v>
      </c>
      <c r="J2087" s="2" t="n">
        <f aca="false">IF(F2087="yes",1,0)</f>
        <v>0</v>
      </c>
      <c r="K2087" s="2" t="n">
        <f aca="false">IF(H2087="yes",1,0)</f>
        <v>1</v>
      </c>
      <c r="L2087" s="2" t="n">
        <f aca="false">IF(I2087="yes",1,0)</f>
        <v>0</v>
      </c>
      <c r="M2087" s="2" t="n">
        <f aca="false">IF(G2087&lt;0,1,0)</f>
        <v>1</v>
      </c>
      <c r="N2087" s="2" t="str">
        <f aca="false">_xlfn.IFS(B2087&lt;30,"Under 30",B2087&lt;40,"30-39",B2087&lt;50,"40-49",B2087&lt;60,"50-59",TRUE(),"60+")</f>
        <v>30-39</v>
      </c>
      <c r="O2087" s="2" t="str">
        <f aca="false">_xlfn.IFS(G2087&lt;0,"1 Negative",G2087=0,"2 Zero",G2087&lt;=500,"3 1-500",G2087&lt;=2000,"4 501-2000",TRUE(),"5 Above 2000")</f>
        <v>1 Negative</v>
      </c>
      <c r="P2087" s="2" t="n">
        <f aca="false">Lookups!$B$2*M2087+Lookups!$B$3*L2087</f>
        <v>2</v>
      </c>
      <c r="Q2087" s="2" t="str">
        <f aca="false">INDEX(Lookups!$E$2:$E$5,MATCH(P2087,Lookups!$D$2:$D$5,0))</f>
        <v>High</v>
      </c>
    </row>
    <row r="2088" customFormat="false" ht="15" hidden="false" customHeight="false" outlineLevel="0" collapsed="false">
      <c r="A2088" s="3" t="n">
        <v>2087</v>
      </c>
      <c r="B2088" s="3" t="n">
        <f aca="false">Raw_Data!A2088</f>
        <v>39</v>
      </c>
      <c r="C2088" s="3" t="str">
        <f aca="false">SUBSTITUTE(Raw_Data!B2088,".","")</f>
        <v>blue-collar</v>
      </c>
      <c r="D2088" s="3" t="str">
        <f aca="false">Raw_Data!C2088</f>
        <v>married</v>
      </c>
      <c r="E2088" s="3" t="str">
        <f aca="false">Raw_Data!D2088</f>
        <v>primary</v>
      </c>
      <c r="F2088" s="3" t="str">
        <f aca="false">Raw_Data!E2088</f>
        <v>no</v>
      </c>
      <c r="G2088" s="3" t="n">
        <f aca="false">Raw_Data!F2088</f>
        <v>1046</v>
      </c>
      <c r="H2088" s="3" t="str">
        <f aca="false">Raw_Data!G2088</f>
        <v>no</v>
      </c>
      <c r="I2088" s="3" t="str">
        <f aca="false">Raw_Data!H2088</f>
        <v>no</v>
      </c>
      <c r="J2088" s="2" t="n">
        <f aca="false">IF(F2088="yes",1,0)</f>
        <v>0</v>
      </c>
      <c r="K2088" s="2" t="n">
        <f aca="false">IF(H2088="yes",1,0)</f>
        <v>0</v>
      </c>
      <c r="L2088" s="2" t="n">
        <f aca="false">IF(I2088="yes",1,0)</f>
        <v>0</v>
      </c>
      <c r="M2088" s="2" t="n">
        <f aca="false">IF(G2088&lt;0,1,0)</f>
        <v>0</v>
      </c>
      <c r="N2088" s="2" t="str">
        <f aca="false">_xlfn.IFS(B2088&lt;30,"Under 30",B2088&lt;40,"30-39",B2088&lt;50,"40-49",B2088&lt;60,"50-59",TRUE(),"60+")</f>
        <v>30-39</v>
      </c>
      <c r="O2088" s="2" t="str">
        <f aca="false">_xlfn.IFS(G2088&lt;0,"1 Negative",G2088=0,"2 Zero",G2088&lt;=500,"3 1-500",G2088&lt;=2000,"4 501-2000",TRUE(),"5 Above 2000")</f>
        <v>4 501-2000</v>
      </c>
      <c r="P2088" s="2" t="n">
        <f aca="false">Lookups!$B$2*M2088+Lookups!$B$3*L2088</f>
        <v>0</v>
      </c>
      <c r="Q2088" s="2" t="str">
        <f aca="false">INDEX(Lookups!$E$2:$E$5,MATCH(P2088,Lookups!$D$2:$D$5,0))</f>
        <v>Low</v>
      </c>
    </row>
    <row r="2089" customFormat="false" ht="15" hidden="false" customHeight="false" outlineLevel="0" collapsed="false">
      <c r="A2089" s="3" t="n">
        <v>2088</v>
      </c>
      <c r="B2089" s="3" t="n">
        <f aca="false">Raw_Data!A2089</f>
        <v>27</v>
      </c>
      <c r="C2089" s="3" t="str">
        <f aca="false">SUBSTITUTE(Raw_Data!B2089,".","")</f>
        <v>student</v>
      </c>
      <c r="D2089" s="3" t="str">
        <f aca="false">Raw_Data!C2089</f>
        <v>single</v>
      </c>
      <c r="E2089" s="3" t="str">
        <f aca="false">Raw_Data!D2089</f>
        <v>secondary</v>
      </c>
      <c r="F2089" s="3" t="str">
        <f aca="false">Raw_Data!E2089</f>
        <v>no</v>
      </c>
      <c r="G2089" s="3" t="n">
        <f aca="false">Raw_Data!F2089</f>
        <v>1566</v>
      </c>
      <c r="H2089" s="3" t="str">
        <f aca="false">Raw_Data!G2089</f>
        <v>no</v>
      </c>
      <c r="I2089" s="3" t="str">
        <f aca="false">Raw_Data!H2089</f>
        <v>no</v>
      </c>
      <c r="J2089" s="2" t="n">
        <f aca="false">IF(F2089="yes",1,0)</f>
        <v>0</v>
      </c>
      <c r="K2089" s="2" t="n">
        <f aca="false">IF(H2089="yes",1,0)</f>
        <v>0</v>
      </c>
      <c r="L2089" s="2" t="n">
        <f aca="false">IF(I2089="yes",1,0)</f>
        <v>0</v>
      </c>
      <c r="M2089" s="2" t="n">
        <f aca="false">IF(G2089&lt;0,1,0)</f>
        <v>0</v>
      </c>
      <c r="N2089" s="2" t="str">
        <f aca="false">_xlfn.IFS(B2089&lt;30,"Under 30",B2089&lt;40,"30-39",B2089&lt;50,"40-49",B2089&lt;60,"50-59",TRUE(),"60+")</f>
        <v>Under 30</v>
      </c>
      <c r="O2089" s="2" t="str">
        <f aca="false">_xlfn.IFS(G2089&lt;0,"1 Negative",G2089=0,"2 Zero",G2089&lt;=500,"3 1-500",G2089&lt;=2000,"4 501-2000",TRUE(),"5 Above 2000")</f>
        <v>4 501-2000</v>
      </c>
      <c r="P2089" s="2" t="n">
        <f aca="false">Lookups!$B$2*M2089+Lookups!$B$3*L2089</f>
        <v>0</v>
      </c>
      <c r="Q2089" s="2" t="str">
        <f aca="false">INDEX(Lookups!$E$2:$E$5,MATCH(P2089,Lookups!$D$2:$D$5,0))</f>
        <v>Low</v>
      </c>
    </row>
    <row r="2090" customFormat="false" ht="15" hidden="false" customHeight="false" outlineLevel="0" collapsed="false">
      <c r="A2090" s="3" t="n">
        <v>2089</v>
      </c>
      <c r="B2090" s="3" t="n">
        <f aca="false">Raw_Data!A2090</f>
        <v>26</v>
      </c>
      <c r="C2090" s="3" t="str">
        <f aca="false">SUBSTITUTE(Raw_Data!B2090,".","")</f>
        <v>management</v>
      </c>
      <c r="D2090" s="3" t="str">
        <f aca="false">Raw_Data!C2090</f>
        <v>single</v>
      </c>
      <c r="E2090" s="3" t="str">
        <f aca="false">Raw_Data!D2090</f>
        <v>tertiary</v>
      </c>
      <c r="F2090" s="3" t="str">
        <f aca="false">Raw_Data!E2090</f>
        <v>no</v>
      </c>
      <c r="G2090" s="3" t="n">
        <f aca="false">Raw_Data!F2090</f>
        <v>592</v>
      </c>
      <c r="H2090" s="3" t="str">
        <f aca="false">Raw_Data!G2090</f>
        <v>no</v>
      </c>
      <c r="I2090" s="3" t="str">
        <f aca="false">Raw_Data!H2090</f>
        <v>no</v>
      </c>
      <c r="J2090" s="2" t="n">
        <f aca="false">IF(F2090="yes",1,0)</f>
        <v>0</v>
      </c>
      <c r="K2090" s="2" t="n">
        <f aca="false">IF(H2090="yes",1,0)</f>
        <v>0</v>
      </c>
      <c r="L2090" s="2" t="n">
        <f aca="false">IF(I2090="yes",1,0)</f>
        <v>0</v>
      </c>
      <c r="M2090" s="2" t="n">
        <f aca="false">IF(G2090&lt;0,1,0)</f>
        <v>0</v>
      </c>
      <c r="N2090" s="2" t="str">
        <f aca="false">_xlfn.IFS(B2090&lt;30,"Under 30",B2090&lt;40,"30-39",B2090&lt;50,"40-49",B2090&lt;60,"50-59",TRUE(),"60+")</f>
        <v>Under 30</v>
      </c>
      <c r="O2090" s="2" t="str">
        <f aca="false">_xlfn.IFS(G2090&lt;0,"1 Negative",G2090=0,"2 Zero",G2090&lt;=500,"3 1-500",G2090&lt;=2000,"4 501-2000",TRUE(),"5 Above 2000")</f>
        <v>4 501-2000</v>
      </c>
      <c r="P2090" s="2" t="n">
        <f aca="false">Lookups!$B$2*M2090+Lookups!$B$3*L2090</f>
        <v>0</v>
      </c>
      <c r="Q2090" s="2" t="str">
        <f aca="false">INDEX(Lookups!$E$2:$E$5,MATCH(P2090,Lookups!$D$2:$D$5,0))</f>
        <v>Low</v>
      </c>
    </row>
    <row r="2091" customFormat="false" ht="15" hidden="false" customHeight="false" outlineLevel="0" collapsed="false">
      <c r="A2091" s="3" t="n">
        <v>2090</v>
      </c>
      <c r="B2091" s="3" t="n">
        <f aca="false">Raw_Data!A2091</f>
        <v>38</v>
      </c>
      <c r="C2091" s="3" t="str">
        <f aca="false">SUBSTITUTE(Raw_Data!B2091,".","")</f>
        <v>management</v>
      </c>
      <c r="D2091" s="3" t="str">
        <f aca="false">Raw_Data!C2091</f>
        <v>single</v>
      </c>
      <c r="E2091" s="3" t="str">
        <f aca="false">Raw_Data!D2091</f>
        <v>tertiary</v>
      </c>
      <c r="F2091" s="3" t="str">
        <f aca="false">Raw_Data!E2091</f>
        <v>no</v>
      </c>
      <c r="G2091" s="3" t="n">
        <f aca="false">Raw_Data!F2091</f>
        <v>104</v>
      </c>
      <c r="H2091" s="3" t="str">
        <f aca="false">Raw_Data!G2091</f>
        <v>yes</v>
      </c>
      <c r="I2091" s="3" t="str">
        <f aca="false">Raw_Data!H2091</f>
        <v>no</v>
      </c>
      <c r="J2091" s="2" t="n">
        <f aca="false">IF(F2091="yes",1,0)</f>
        <v>0</v>
      </c>
      <c r="K2091" s="2" t="n">
        <f aca="false">IF(H2091="yes",1,0)</f>
        <v>1</v>
      </c>
      <c r="L2091" s="2" t="n">
        <f aca="false">IF(I2091="yes",1,0)</f>
        <v>0</v>
      </c>
      <c r="M2091" s="2" t="n">
        <f aca="false">IF(G2091&lt;0,1,0)</f>
        <v>0</v>
      </c>
      <c r="N2091" s="2" t="str">
        <f aca="false">_xlfn.IFS(B2091&lt;30,"Under 30",B2091&lt;40,"30-39",B2091&lt;50,"40-49",B2091&lt;60,"50-59",TRUE(),"60+")</f>
        <v>30-39</v>
      </c>
      <c r="O2091" s="2" t="str">
        <f aca="false">_xlfn.IFS(G2091&lt;0,"1 Negative",G2091=0,"2 Zero",G2091&lt;=500,"3 1-500",G2091&lt;=2000,"4 501-2000",TRUE(),"5 Above 2000")</f>
        <v>3 1-500</v>
      </c>
      <c r="P2091" s="2" t="n">
        <f aca="false">Lookups!$B$2*M2091+Lookups!$B$3*L2091</f>
        <v>0</v>
      </c>
      <c r="Q2091" s="2" t="str">
        <f aca="false">INDEX(Lookups!$E$2:$E$5,MATCH(P2091,Lookups!$D$2:$D$5,0))</f>
        <v>Low</v>
      </c>
    </row>
    <row r="2092" customFormat="false" ht="15" hidden="false" customHeight="false" outlineLevel="0" collapsed="false">
      <c r="A2092" s="3" t="n">
        <v>2091</v>
      </c>
      <c r="B2092" s="3" t="n">
        <f aca="false">Raw_Data!A2092</f>
        <v>48</v>
      </c>
      <c r="C2092" s="3" t="str">
        <f aca="false">SUBSTITUTE(Raw_Data!B2092,".","")</f>
        <v>blue-collar</v>
      </c>
      <c r="D2092" s="3" t="str">
        <f aca="false">Raw_Data!C2092</f>
        <v>married</v>
      </c>
      <c r="E2092" s="3" t="str">
        <f aca="false">Raw_Data!D2092</f>
        <v>secondary</v>
      </c>
      <c r="F2092" s="3" t="str">
        <f aca="false">Raw_Data!E2092</f>
        <v>no</v>
      </c>
      <c r="G2092" s="3" t="n">
        <f aca="false">Raw_Data!F2092</f>
        <v>0</v>
      </c>
      <c r="H2092" s="3" t="str">
        <f aca="false">Raw_Data!G2092</f>
        <v>yes</v>
      </c>
      <c r="I2092" s="3" t="str">
        <f aca="false">Raw_Data!H2092</f>
        <v>no</v>
      </c>
      <c r="J2092" s="2" t="n">
        <f aca="false">IF(F2092="yes",1,0)</f>
        <v>0</v>
      </c>
      <c r="K2092" s="2" t="n">
        <f aca="false">IF(H2092="yes",1,0)</f>
        <v>1</v>
      </c>
      <c r="L2092" s="2" t="n">
        <f aca="false">IF(I2092="yes",1,0)</f>
        <v>0</v>
      </c>
      <c r="M2092" s="2" t="n">
        <f aca="false">IF(G2092&lt;0,1,0)</f>
        <v>0</v>
      </c>
      <c r="N2092" s="2" t="str">
        <f aca="false">_xlfn.IFS(B2092&lt;30,"Under 30",B2092&lt;40,"30-39",B2092&lt;50,"40-49",B2092&lt;60,"50-59",TRUE(),"60+")</f>
        <v>40-49</v>
      </c>
      <c r="O2092" s="2" t="str">
        <f aca="false">_xlfn.IFS(G2092&lt;0,"1 Negative",G2092=0,"2 Zero",G2092&lt;=500,"3 1-500",G2092&lt;=2000,"4 501-2000",TRUE(),"5 Above 2000")</f>
        <v>2 Zero</v>
      </c>
      <c r="P2092" s="2" t="n">
        <f aca="false">Lookups!$B$2*M2092+Lookups!$B$3*L2092</f>
        <v>0</v>
      </c>
      <c r="Q2092" s="2" t="str">
        <f aca="false">INDEX(Lookups!$E$2:$E$5,MATCH(P2092,Lookups!$D$2:$D$5,0))</f>
        <v>Low</v>
      </c>
    </row>
    <row r="2093" customFormat="false" ht="15" hidden="false" customHeight="false" outlineLevel="0" collapsed="false">
      <c r="A2093" s="3" t="n">
        <v>2092</v>
      </c>
      <c r="B2093" s="3" t="n">
        <f aca="false">Raw_Data!A2093</f>
        <v>54</v>
      </c>
      <c r="C2093" s="3" t="str">
        <f aca="false">SUBSTITUTE(Raw_Data!B2093,".","")</f>
        <v>services</v>
      </c>
      <c r="D2093" s="3" t="str">
        <f aca="false">Raw_Data!C2093</f>
        <v>married</v>
      </c>
      <c r="E2093" s="3" t="str">
        <f aca="false">Raw_Data!D2093</f>
        <v>secondary</v>
      </c>
      <c r="F2093" s="3" t="str">
        <f aca="false">Raw_Data!E2093</f>
        <v>no</v>
      </c>
      <c r="G2093" s="3" t="n">
        <f aca="false">Raw_Data!F2093</f>
        <v>-22</v>
      </c>
      <c r="H2093" s="3" t="str">
        <f aca="false">Raw_Data!G2093</f>
        <v>no</v>
      </c>
      <c r="I2093" s="3" t="str">
        <f aca="false">Raw_Data!H2093</f>
        <v>yes</v>
      </c>
      <c r="J2093" s="2" t="n">
        <f aca="false">IF(F2093="yes",1,0)</f>
        <v>0</v>
      </c>
      <c r="K2093" s="2" t="n">
        <f aca="false">IF(H2093="yes",1,0)</f>
        <v>0</v>
      </c>
      <c r="L2093" s="2" t="n">
        <f aca="false">IF(I2093="yes",1,0)</f>
        <v>1</v>
      </c>
      <c r="M2093" s="2" t="n">
        <f aca="false">IF(G2093&lt;0,1,0)</f>
        <v>1</v>
      </c>
      <c r="N2093" s="2" t="str">
        <f aca="false">_xlfn.IFS(B2093&lt;30,"Under 30",B2093&lt;40,"30-39",B2093&lt;50,"40-49",B2093&lt;60,"50-59",TRUE(),"60+")</f>
        <v>50-59</v>
      </c>
      <c r="O2093" s="2" t="str">
        <f aca="false">_xlfn.IFS(G2093&lt;0,"1 Negative",G2093=0,"2 Zero",G2093&lt;=500,"3 1-500",G2093&lt;=2000,"4 501-2000",TRUE(),"5 Above 2000")</f>
        <v>1 Negative</v>
      </c>
      <c r="P2093" s="2" t="n">
        <f aca="false">Lookups!$B$2*M2093+Lookups!$B$3*L2093</f>
        <v>3</v>
      </c>
      <c r="Q2093" s="2" t="str">
        <f aca="false">INDEX(Lookups!$E$2:$E$5,MATCH(P2093,Lookups!$D$2:$D$5,0))</f>
        <v>High</v>
      </c>
    </row>
    <row r="2094" customFormat="false" ht="15" hidden="false" customHeight="false" outlineLevel="0" collapsed="false">
      <c r="A2094" s="3" t="n">
        <v>2093</v>
      </c>
      <c r="B2094" s="3" t="n">
        <f aca="false">Raw_Data!A2094</f>
        <v>51</v>
      </c>
      <c r="C2094" s="3" t="str">
        <f aca="false">SUBSTITUTE(Raw_Data!B2094,".","")</f>
        <v>services</v>
      </c>
      <c r="D2094" s="3" t="str">
        <f aca="false">Raw_Data!C2094</f>
        <v>married</v>
      </c>
      <c r="E2094" s="3" t="str">
        <f aca="false">Raw_Data!D2094</f>
        <v>secondary</v>
      </c>
      <c r="F2094" s="3" t="str">
        <f aca="false">Raw_Data!E2094</f>
        <v>no</v>
      </c>
      <c r="G2094" s="3" t="n">
        <f aca="false">Raw_Data!F2094</f>
        <v>0</v>
      </c>
      <c r="H2094" s="3" t="str">
        <f aca="false">Raw_Data!G2094</f>
        <v>no</v>
      </c>
      <c r="I2094" s="3" t="str">
        <f aca="false">Raw_Data!H2094</f>
        <v>no</v>
      </c>
      <c r="J2094" s="2" t="n">
        <f aca="false">IF(F2094="yes",1,0)</f>
        <v>0</v>
      </c>
      <c r="K2094" s="2" t="n">
        <f aca="false">IF(H2094="yes",1,0)</f>
        <v>0</v>
      </c>
      <c r="L2094" s="2" t="n">
        <f aca="false">IF(I2094="yes",1,0)</f>
        <v>0</v>
      </c>
      <c r="M2094" s="2" t="n">
        <f aca="false">IF(G2094&lt;0,1,0)</f>
        <v>0</v>
      </c>
      <c r="N2094" s="2" t="str">
        <f aca="false">_xlfn.IFS(B2094&lt;30,"Under 30",B2094&lt;40,"30-39",B2094&lt;50,"40-49",B2094&lt;60,"50-59",TRUE(),"60+")</f>
        <v>50-59</v>
      </c>
      <c r="O2094" s="2" t="str">
        <f aca="false">_xlfn.IFS(G2094&lt;0,"1 Negative",G2094=0,"2 Zero",G2094&lt;=500,"3 1-500",G2094&lt;=2000,"4 501-2000",TRUE(),"5 Above 2000")</f>
        <v>2 Zero</v>
      </c>
      <c r="P2094" s="2" t="n">
        <f aca="false">Lookups!$B$2*M2094+Lookups!$B$3*L2094</f>
        <v>0</v>
      </c>
      <c r="Q2094" s="2" t="str">
        <f aca="false">INDEX(Lookups!$E$2:$E$5,MATCH(P2094,Lookups!$D$2:$D$5,0))</f>
        <v>Low</v>
      </c>
    </row>
    <row r="2095" customFormat="false" ht="15" hidden="false" customHeight="false" outlineLevel="0" collapsed="false">
      <c r="A2095" s="3" t="n">
        <v>2094</v>
      </c>
      <c r="B2095" s="3" t="n">
        <f aca="false">Raw_Data!A2095</f>
        <v>47</v>
      </c>
      <c r="C2095" s="3" t="str">
        <f aca="false">SUBSTITUTE(Raw_Data!B2095,".","")</f>
        <v>technician</v>
      </c>
      <c r="D2095" s="3" t="str">
        <f aca="false">Raw_Data!C2095</f>
        <v>married</v>
      </c>
      <c r="E2095" s="3" t="str">
        <f aca="false">Raw_Data!D2095</f>
        <v>secondary</v>
      </c>
      <c r="F2095" s="3" t="str">
        <f aca="false">Raw_Data!E2095</f>
        <v>no</v>
      </c>
      <c r="G2095" s="3" t="n">
        <f aca="false">Raw_Data!F2095</f>
        <v>72</v>
      </c>
      <c r="H2095" s="3" t="str">
        <f aca="false">Raw_Data!G2095</f>
        <v>no</v>
      </c>
      <c r="I2095" s="3" t="str">
        <f aca="false">Raw_Data!H2095</f>
        <v>no</v>
      </c>
      <c r="J2095" s="2" t="n">
        <f aca="false">IF(F2095="yes",1,0)</f>
        <v>0</v>
      </c>
      <c r="K2095" s="2" t="n">
        <f aca="false">IF(H2095="yes",1,0)</f>
        <v>0</v>
      </c>
      <c r="L2095" s="2" t="n">
        <f aca="false">IF(I2095="yes",1,0)</f>
        <v>0</v>
      </c>
      <c r="M2095" s="2" t="n">
        <f aca="false">IF(G2095&lt;0,1,0)</f>
        <v>0</v>
      </c>
      <c r="N2095" s="2" t="str">
        <f aca="false">_xlfn.IFS(B2095&lt;30,"Under 30",B2095&lt;40,"30-39",B2095&lt;50,"40-49",B2095&lt;60,"50-59",TRUE(),"60+")</f>
        <v>40-49</v>
      </c>
      <c r="O2095" s="2" t="str">
        <f aca="false">_xlfn.IFS(G2095&lt;0,"1 Negative",G2095=0,"2 Zero",G2095&lt;=500,"3 1-500",G2095&lt;=2000,"4 501-2000",TRUE(),"5 Above 2000")</f>
        <v>3 1-500</v>
      </c>
      <c r="P2095" s="2" t="n">
        <f aca="false">Lookups!$B$2*M2095+Lookups!$B$3*L2095</f>
        <v>0</v>
      </c>
      <c r="Q2095" s="2" t="str">
        <f aca="false">INDEX(Lookups!$E$2:$E$5,MATCH(P2095,Lookups!$D$2:$D$5,0))</f>
        <v>Low</v>
      </c>
    </row>
    <row r="2096" customFormat="false" ht="15" hidden="false" customHeight="false" outlineLevel="0" collapsed="false">
      <c r="A2096" s="3" t="n">
        <v>2095</v>
      </c>
      <c r="B2096" s="3" t="n">
        <f aca="false">Raw_Data!A2096</f>
        <v>53</v>
      </c>
      <c r="C2096" s="3" t="str">
        <f aca="false">SUBSTITUTE(Raw_Data!B2096,".","")</f>
        <v>technician</v>
      </c>
      <c r="D2096" s="3" t="str">
        <f aca="false">Raw_Data!C2096</f>
        <v>married</v>
      </c>
      <c r="E2096" s="3" t="str">
        <f aca="false">Raw_Data!D2096</f>
        <v>secondary</v>
      </c>
      <c r="F2096" s="3" t="str">
        <f aca="false">Raw_Data!E2096</f>
        <v>no</v>
      </c>
      <c r="G2096" s="3" t="n">
        <f aca="false">Raw_Data!F2096</f>
        <v>100</v>
      </c>
      <c r="H2096" s="3" t="str">
        <f aca="false">Raw_Data!G2096</f>
        <v>no</v>
      </c>
      <c r="I2096" s="3" t="str">
        <f aca="false">Raw_Data!H2096</f>
        <v>no</v>
      </c>
      <c r="J2096" s="2" t="n">
        <f aca="false">IF(F2096="yes",1,0)</f>
        <v>0</v>
      </c>
      <c r="K2096" s="2" t="n">
        <f aca="false">IF(H2096="yes",1,0)</f>
        <v>0</v>
      </c>
      <c r="L2096" s="2" t="n">
        <f aca="false">IF(I2096="yes",1,0)</f>
        <v>0</v>
      </c>
      <c r="M2096" s="2" t="n">
        <f aca="false">IF(G2096&lt;0,1,0)</f>
        <v>0</v>
      </c>
      <c r="N2096" s="2" t="str">
        <f aca="false">_xlfn.IFS(B2096&lt;30,"Under 30",B2096&lt;40,"30-39",B2096&lt;50,"40-49",B2096&lt;60,"50-59",TRUE(),"60+")</f>
        <v>50-59</v>
      </c>
      <c r="O2096" s="2" t="str">
        <f aca="false">_xlfn.IFS(G2096&lt;0,"1 Negative",G2096=0,"2 Zero",G2096&lt;=500,"3 1-500",G2096&lt;=2000,"4 501-2000",TRUE(),"5 Above 2000")</f>
        <v>3 1-500</v>
      </c>
      <c r="P2096" s="2" t="n">
        <f aca="false">Lookups!$B$2*M2096+Lookups!$B$3*L2096</f>
        <v>0</v>
      </c>
      <c r="Q2096" s="2" t="str">
        <f aca="false">INDEX(Lookups!$E$2:$E$5,MATCH(P2096,Lookups!$D$2:$D$5,0))</f>
        <v>Low</v>
      </c>
    </row>
    <row r="2097" customFormat="false" ht="15" hidden="false" customHeight="false" outlineLevel="0" collapsed="false">
      <c r="A2097" s="3" t="n">
        <v>2096</v>
      </c>
      <c r="B2097" s="3" t="n">
        <f aca="false">Raw_Data!A2097</f>
        <v>35</v>
      </c>
      <c r="C2097" s="3" t="str">
        <f aca="false">SUBSTITUTE(Raw_Data!B2097,".","")</f>
        <v>blue-collar</v>
      </c>
      <c r="D2097" s="3" t="str">
        <f aca="false">Raw_Data!C2097</f>
        <v>married</v>
      </c>
      <c r="E2097" s="3" t="str">
        <f aca="false">Raw_Data!D2097</f>
        <v>primary</v>
      </c>
      <c r="F2097" s="3" t="str">
        <f aca="false">Raw_Data!E2097</f>
        <v>no</v>
      </c>
      <c r="G2097" s="3" t="n">
        <f aca="false">Raw_Data!F2097</f>
        <v>319</v>
      </c>
      <c r="H2097" s="3" t="str">
        <f aca="false">Raw_Data!G2097</f>
        <v>yes</v>
      </c>
      <c r="I2097" s="3" t="str">
        <f aca="false">Raw_Data!H2097</f>
        <v>no</v>
      </c>
      <c r="J2097" s="2" t="n">
        <f aca="false">IF(F2097="yes",1,0)</f>
        <v>0</v>
      </c>
      <c r="K2097" s="2" t="n">
        <f aca="false">IF(H2097="yes",1,0)</f>
        <v>1</v>
      </c>
      <c r="L2097" s="2" t="n">
        <f aca="false">IF(I2097="yes",1,0)</f>
        <v>0</v>
      </c>
      <c r="M2097" s="2" t="n">
        <f aca="false">IF(G2097&lt;0,1,0)</f>
        <v>0</v>
      </c>
      <c r="N2097" s="2" t="str">
        <f aca="false">_xlfn.IFS(B2097&lt;30,"Under 30",B2097&lt;40,"30-39",B2097&lt;50,"40-49",B2097&lt;60,"50-59",TRUE(),"60+")</f>
        <v>30-39</v>
      </c>
      <c r="O2097" s="2" t="str">
        <f aca="false">_xlfn.IFS(G2097&lt;0,"1 Negative",G2097=0,"2 Zero",G2097&lt;=500,"3 1-500",G2097&lt;=2000,"4 501-2000",TRUE(),"5 Above 2000")</f>
        <v>3 1-500</v>
      </c>
      <c r="P2097" s="2" t="n">
        <f aca="false">Lookups!$B$2*M2097+Lookups!$B$3*L2097</f>
        <v>0</v>
      </c>
      <c r="Q2097" s="2" t="str">
        <f aca="false">INDEX(Lookups!$E$2:$E$5,MATCH(P2097,Lookups!$D$2:$D$5,0))</f>
        <v>Low</v>
      </c>
    </row>
    <row r="2098" customFormat="false" ht="15" hidden="false" customHeight="false" outlineLevel="0" collapsed="false">
      <c r="A2098" s="3" t="n">
        <v>2097</v>
      </c>
      <c r="B2098" s="3" t="n">
        <f aca="false">Raw_Data!A2098</f>
        <v>58</v>
      </c>
      <c r="C2098" s="3" t="str">
        <f aca="false">SUBSTITUTE(Raw_Data!B2098,".","")</f>
        <v>management</v>
      </c>
      <c r="D2098" s="3" t="str">
        <f aca="false">Raw_Data!C2098</f>
        <v>married</v>
      </c>
      <c r="E2098" s="3" t="str">
        <f aca="false">Raw_Data!D2098</f>
        <v>tertiary</v>
      </c>
      <c r="F2098" s="3" t="str">
        <f aca="false">Raw_Data!E2098</f>
        <v>no</v>
      </c>
      <c r="G2098" s="3" t="n">
        <f aca="false">Raw_Data!F2098</f>
        <v>9339</v>
      </c>
      <c r="H2098" s="3" t="str">
        <f aca="false">Raw_Data!G2098</f>
        <v>yes</v>
      </c>
      <c r="I2098" s="3" t="str">
        <f aca="false">Raw_Data!H2098</f>
        <v>no</v>
      </c>
      <c r="J2098" s="2" t="n">
        <f aca="false">IF(F2098="yes",1,0)</f>
        <v>0</v>
      </c>
      <c r="K2098" s="2" t="n">
        <f aca="false">IF(H2098="yes",1,0)</f>
        <v>1</v>
      </c>
      <c r="L2098" s="2" t="n">
        <f aca="false">IF(I2098="yes",1,0)</f>
        <v>0</v>
      </c>
      <c r="M2098" s="2" t="n">
        <f aca="false">IF(G2098&lt;0,1,0)</f>
        <v>0</v>
      </c>
      <c r="N2098" s="2" t="str">
        <f aca="false">_xlfn.IFS(B2098&lt;30,"Under 30",B2098&lt;40,"30-39",B2098&lt;50,"40-49",B2098&lt;60,"50-59",TRUE(),"60+")</f>
        <v>50-59</v>
      </c>
      <c r="O2098" s="2" t="str">
        <f aca="false">_xlfn.IFS(G2098&lt;0,"1 Negative",G2098=0,"2 Zero",G2098&lt;=500,"3 1-500",G2098&lt;=2000,"4 501-2000",TRUE(),"5 Above 2000")</f>
        <v>5 Above 2000</v>
      </c>
      <c r="P2098" s="2" t="n">
        <f aca="false">Lookups!$B$2*M2098+Lookups!$B$3*L2098</f>
        <v>0</v>
      </c>
      <c r="Q2098" s="2" t="str">
        <f aca="false">INDEX(Lookups!$E$2:$E$5,MATCH(P2098,Lookups!$D$2:$D$5,0))</f>
        <v>Low</v>
      </c>
    </row>
    <row r="2099" customFormat="false" ht="15" hidden="false" customHeight="false" outlineLevel="0" collapsed="false">
      <c r="A2099" s="3" t="n">
        <v>2098</v>
      </c>
      <c r="B2099" s="3" t="n">
        <f aca="false">Raw_Data!A2099</f>
        <v>52</v>
      </c>
      <c r="C2099" s="3" t="str">
        <f aca="false">SUBSTITUTE(Raw_Data!B2099,".","")</f>
        <v>management</v>
      </c>
      <c r="D2099" s="3" t="str">
        <f aca="false">Raw_Data!C2099</f>
        <v>divorced</v>
      </c>
      <c r="E2099" s="3" t="str">
        <f aca="false">Raw_Data!D2099</f>
        <v>tertiary</v>
      </c>
      <c r="F2099" s="3" t="str">
        <f aca="false">Raw_Data!E2099</f>
        <v>no</v>
      </c>
      <c r="G2099" s="3" t="n">
        <f aca="false">Raw_Data!F2099</f>
        <v>50</v>
      </c>
      <c r="H2099" s="3" t="str">
        <f aca="false">Raw_Data!G2099</f>
        <v>yes</v>
      </c>
      <c r="I2099" s="3" t="str">
        <f aca="false">Raw_Data!H2099</f>
        <v>no</v>
      </c>
      <c r="J2099" s="2" t="n">
        <f aca="false">IF(F2099="yes",1,0)</f>
        <v>0</v>
      </c>
      <c r="K2099" s="2" t="n">
        <f aca="false">IF(H2099="yes",1,0)</f>
        <v>1</v>
      </c>
      <c r="L2099" s="2" t="n">
        <f aca="false">IF(I2099="yes",1,0)</f>
        <v>0</v>
      </c>
      <c r="M2099" s="2" t="n">
        <f aca="false">IF(G2099&lt;0,1,0)</f>
        <v>0</v>
      </c>
      <c r="N2099" s="2" t="str">
        <f aca="false">_xlfn.IFS(B2099&lt;30,"Under 30",B2099&lt;40,"30-39",B2099&lt;50,"40-49",B2099&lt;60,"50-59",TRUE(),"60+")</f>
        <v>50-59</v>
      </c>
      <c r="O2099" s="2" t="str">
        <f aca="false">_xlfn.IFS(G2099&lt;0,"1 Negative",G2099=0,"2 Zero",G2099&lt;=500,"3 1-500",G2099&lt;=2000,"4 501-2000",TRUE(),"5 Above 2000")</f>
        <v>3 1-500</v>
      </c>
      <c r="P2099" s="2" t="n">
        <f aca="false">Lookups!$B$2*M2099+Lookups!$B$3*L2099</f>
        <v>0</v>
      </c>
      <c r="Q2099" s="2" t="str">
        <f aca="false">INDEX(Lookups!$E$2:$E$5,MATCH(P2099,Lookups!$D$2:$D$5,0))</f>
        <v>Low</v>
      </c>
    </row>
    <row r="2100" customFormat="false" ht="15" hidden="false" customHeight="false" outlineLevel="0" collapsed="false">
      <c r="A2100" s="3" t="n">
        <v>2099</v>
      </c>
      <c r="B2100" s="3" t="n">
        <f aca="false">Raw_Data!A2100</f>
        <v>57</v>
      </c>
      <c r="C2100" s="3" t="str">
        <f aca="false">SUBSTITUTE(Raw_Data!B2100,".","")</f>
        <v>retired</v>
      </c>
      <c r="D2100" s="3" t="str">
        <f aca="false">Raw_Data!C2100</f>
        <v>married</v>
      </c>
      <c r="E2100" s="3" t="str">
        <f aca="false">Raw_Data!D2100</f>
        <v>secondary</v>
      </c>
      <c r="F2100" s="3" t="str">
        <f aca="false">Raw_Data!E2100</f>
        <v>yes</v>
      </c>
      <c r="G2100" s="3" t="n">
        <f aca="false">Raw_Data!F2100</f>
        <v>32</v>
      </c>
      <c r="H2100" s="3" t="str">
        <f aca="false">Raw_Data!G2100</f>
        <v>yes</v>
      </c>
      <c r="I2100" s="3" t="str">
        <f aca="false">Raw_Data!H2100</f>
        <v>no</v>
      </c>
      <c r="J2100" s="2" t="n">
        <f aca="false">IF(F2100="yes",1,0)</f>
        <v>1</v>
      </c>
      <c r="K2100" s="2" t="n">
        <f aca="false">IF(H2100="yes",1,0)</f>
        <v>1</v>
      </c>
      <c r="L2100" s="2" t="n">
        <f aca="false">IF(I2100="yes",1,0)</f>
        <v>0</v>
      </c>
      <c r="M2100" s="2" t="n">
        <f aca="false">IF(G2100&lt;0,1,0)</f>
        <v>0</v>
      </c>
      <c r="N2100" s="2" t="str">
        <f aca="false">_xlfn.IFS(B2100&lt;30,"Under 30",B2100&lt;40,"30-39",B2100&lt;50,"40-49",B2100&lt;60,"50-59",TRUE(),"60+")</f>
        <v>50-59</v>
      </c>
      <c r="O2100" s="2" t="str">
        <f aca="false">_xlfn.IFS(G2100&lt;0,"1 Negative",G2100=0,"2 Zero",G2100&lt;=500,"3 1-500",G2100&lt;=2000,"4 501-2000",TRUE(),"5 Above 2000")</f>
        <v>3 1-500</v>
      </c>
      <c r="P2100" s="2" t="n">
        <f aca="false">Lookups!$B$2*M2100+Lookups!$B$3*L2100</f>
        <v>0</v>
      </c>
      <c r="Q2100" s="2" t="str">
        <f aca="false">INDEX(Lookups!$E$2:$E$5,MATCH(P2100,Lookups!$D$2:$D$5,0))</f>
        <v>Low</v>
      </c>
    </row>
    <row r="2101" customFormat="false" ht="15" hidden="false" customHeight="false" outlineLevel="0" collapsed="false">
      <c r="A2101" s="3" t="n">
        <v>2100</v>
      </c>
      <c r="B2101" s="3" t="n">
        <f aca="false">Raw_Data!A2101</f>
        <v>52</v>
      </c>
      <c r="C2101" s="3" t="str">
        <f aca="false">SUBSTITUTE(Raw_Data!B2101,".","")</f>
        <v>management</v>
      </c>
      <c r="D2101" s="3" t="str">
        <f aca="false">Raw_Data!C2101</f>
        <v>married</v>
      </c>
      <c r="E2101" s="3" t="str">
        <f aca="false">Raw_Data!D2101</f>
        <v>tertiary</v>
      </c>
      <c r="F2101" s="3" t="str">
        <f aca="false">Raw_Data!E2101</f>
        <v>no</v>
      </c>
      <c r="G2101" s="3" t="n">
        <f aca="false">Raw_Data!F2101</f>
        <v>6922</v>
      </c>
      <c r="H2101" s="3" t="str">
        <f aca="false">Raw_Data!G2101</f>
        <v>no</v>
      </c>
      <c r="I2101" s="3" t="str">
        <f aca="false">Raw_Data!H2101</f>
        <v>no</v>
      </c>
      <c r="J2101" s="2" t="n">
        <f aca="false">IF(F2101="yes",1,0)</f>
        <v>0</v>
      </c>
      <c r="K2101" s="2" t="n">
        <f aca="false">IF(H2101="yes",1,0)</f>
        <v>0</v>
      </c>
      <c r="L2101" s="2" t="n">
        <f aca="false">IF(I2101="yes",1,0)</f>
        <v>0</v>
      </c>
      <c r="M2101" s="2" t="n">
        <f aca="false">IF(G2101&lt;0,1,0)</f>
        <v>0</v>
      </c>
      <c r="N2101" s="2" t="str">
        <f aca="false">_xlfn.IFS(B2101&lt;30,"Under 30",B2101&lt;40,"30-39",B2101&lt;50,"40-49",B2101&lt;60,"50-59",TRUE(),"60+")</f>
        <v>50-59</v>
      </c>
      <c r="O2101" s="2" t="str">
        <f aca="false">_xlfn.IFS(G2101&lt;0,"1 Negative",G2101=0,"2 Zero",G2101&lt;=500,"3 1-500",G2101&lt;=2000,"4 501-2000",TRUE(),"5 Above 2000")</f>
        <v>5 Above 2000</v>
      </c>
      <c r="P2101" s="2" t="n">
        <f aca="false">Lookups!$B$2*M2101+Lookups!$B$3*L2101</f>
        <v>0</v>
      </c>
      <c r="Q2101" s="2" t="str">
        <f aca="false">INDEX(Lookups!$E$2:$E$5,MATCH(P2101,Lookups!$D$2:$D$5,0))</f>
        <v>Low</v>
      </c>
    </row>
    <row r="2102" customFormat="false" ht="15" hidden="false" customHeight="false" outlineLevel="0" collapsed="false">
      <c r="A2102" s="3" t="n">
        <v>2101</v>
      </c>
      <c r="B2102" s="3" t="n">
        <f aca="false">Raw_Data!A2102</f>
        <v>35</v>
      </c>
      <c r="C2102" s="3" t="str">
        <f aca="false">SUBSTITUTE(Raw_Data!B2102,".","")</f>
        <v>management</v>
      </c>
      <c r="D2102" s="3" t="str">
        <f aca="false">Raw_Data!C2102</f>
        <v>single</v>
      </c>
      <c r="E2102" s="3" t="str">
        <f aca="false">Raw_Data!D2102</f>
        <v>tertiary</v>
      </c>
      <c r="F2102" s="3" t="str">
        <f aca="false">Raw_Data!E2102</f>
        <v>no</v>
      </c>
      <c r="G2102" s="3" t="n">
        <f aca="false">Raw_Data!F2102</f>
        <v>633</v>
      </c>
      <c r="H2102" s="3" t="str">
        <f aca="false">Raw_Data!G2102</f>
        <v>yes</v>
      </c>
      <c r="I2102" s="3" t="str">
        <f aca="false">Raw_Data!H2102</f>
        <v>no</v>
      </c>
      <c r="J2102" s="2" t="n">
        <f aca="false">IF(F2102="yes",1,0)</f>
        <v>0</v>
      </c>
      <c r="K2102" s="2" t="n">
        <f aca="false">IF(H2102="yes",1,0)</f>
        <v>1</v>
      </c>
      <c r="L2102" s="2" t="n">
        <f aca="false">IF(I2102="yes",1,0)</f>
        <v>0</v>
      </c>
      <c r="M2102" s="2" t="n">
        <f aca="false">IF(G2102&lt;0,1,0)</f>
        <v>0</v>
      </c>
      <c r="N2102" s="2" t="str">
        <f aca="false">_xlfn.IFS(B2102&lt;30,"Under 30",B2102&lt;40,"30-39",B2102&lt;50,"40-49",B2102&lt;60,"50-59",TRUE(),"60+")</f>
        <v>30-39</v>
      </c>
      <c r="O2102" s="2" t="str">
        <f aca="false">_xlfn.IFS(G2102&lt;0,"1 Negative",G2102=0,"2 Zero",G2102&lt;=500,"3 1-500",G2102&lt;=2000,"4 501-2000",TRUE(),"5 Above 2000")</f>
        <v>4 501-2000</v>
      </c>
      <c r="P2102" s="2" t="n">
        <f aca="false">Lookups!$B$2*M2102+Lookups!$B$3*L2102</f>
        <v>0</v>
      </c>
      <c r="Q2102" s="2" t="str">
        <f aca="false">INDEX(Lookups!$E$2:$E$5,MATCH(P2102,Lookups!$D$2:$D$5,0))</f>
        <v>Low</v>
      </c>
    </row>
    <row r="2103" customFormat="false" ht="15" hidden="false" customHeight="false" outlineLevel="0" collapsed="false">
      <c r="A2103" s="3" t="n">
        <v>2102</v>
      </c>
      <c r="B2103" s="3" t="n">
        <f aca="false">Raw_Data!A2103</f>
        <v>48</v>
      </c>
      <c r="C2103" s="3" t="str">
        <f aca="false">SUBSTITUTE(Raw_Data!B2103,".","")</f>
        <v>technician</v>
      </c>
      <c r="D2103" s="3" t="str">
        <f aca="false">Raw_Data!C2103</f>
        <v>married</v>
      </c>
      <c r="E2103" s="3" t="str">
        <f aca="false">Raw_Data!D2103</f>
        <v>secondary</v>
      </c>
      <c r="F2103" s="3" t="str">
        <f aca="false">Raw_Data!E2103</f>
        <v>no</v>
      </c>
      <c r="G2103" s="3" t="n">
        <f aca="false">Raw_Data!F2103</f>
        <v>4265</v>
      </c>
      <c r="H2103" s="3" t="str">
        <f aca="false">Raw_Data!G2103</f>
        <v>yes</v>
      </c>
      <c r="I2103" s="3" t="str">
        <f aca="false">Raw_Data!H2103</f>
        <v>no</v>
      </c>
      <c r="J2103" s="2" t="n">
        <f aca="false">IF(F2103="yes",1,0)</f>
        <v>0</v>
      </c>
      <c r="K2103" s="2" t="n">
        <f aca="false">IF(H2103="yes",1,0)</f>
        <v>1</v>
      </c>
      <c r="L2103" s="2" t="n">
        <f aca="false">IF(I2103="yes",1,0)</f>
        <v>0</v>
      </c>
      <c r="M2103" s="2" t="n">
        <f aca="false">IF(G2103&lt;0,1,0)</f>
        <v>0</v>
      </c>
      <c r="N2103" s="2" t="str">
        <f aca="false">_xlfn.IFS(B2103&lt;30,"Under 30",B2103&lt;40,"30-39",B2103&lt;50,"40-49",B2103&lt;60,"50-59",TRUE(),"60+")</f>
        <v>40-49</v>
      </c>
      <c r="O2103" s="2" t="str">
        <f aca="false">_xlfn.IFS(G2103&lt;0,"1 Negative",G2103=0,"2 Zero",G2103&lt;=500,"3 1-500",G2103&lt;=2000,"4 501-2000",TRUE(),"5 Above 2000")</f>
        <v>5 Above 2000</v>
      </c>
      <c r="P2103" s="2" t="n">
        <f aca="false">Lookups!$B$2*M2103+Lookups!$B$3*L2103</f>
        <v>0</v>
      </c>
      <c r="Q2103" s="2" t="str">
        <f aca="false">INDEX(Lookups!$E$2:$E$5,MATCH(P2103,Lookups!$D$2:$D$5,0))</f>
        <v>Low</v>
      </c>
    </row>
    <row r="2104" customFormat="false" ht="15" hidden="false" customHeight="false" outlineLevel="0" collapsed="false">
      <c r="A2104" s="3" t="n">
        <v>2103</v>
      </c>
      <c r="B2104" s="3" t="n">
        <f aca="false">Raw_Data!A2104</f>
        <v>46</v>
      </c>
      <c r="C2104" s="3" t="str">
        <f aca="false">SUBSTITUTE(Raw_Data!B2104,".","")</f>
        <v>entrepreneur</v>
      </c>
      <c r="D2104" s="3" t="str">
        <f aca="false">Raw_Data!C2104</f>
        <v>married</v>
      </c>
      <c r="E2104" s="3" t="str">
        <f aca="false">Raw_Data!D2104</f>
        <v>tertiary</v>
      </c>
      <c r="F2104" s="3" t="str">
        <f aca="false">Raw_Data!E2104</f>
        <v>no</v>
      </c>
      <c r="G2104" s="3" t="n">
        <f aca="false">Raw_Data!F2104</f>
        <v>2262</v>
      </c>
      <c r="H2104" s="3" t="str">
        <f aca="false">Raw_Data!G2104</f>
        <v>no</v>
      </c>
      <c r="I2104" s="3" t="str">
        <f aca="false">Raw_Data!H2104</f>
        <v>no</v>
      </c>
      <c r="J2104" s="2" t="n">
        <f aca="false">IF(F2104="yes",1,0)</f>
        <v>0</v>
      </c>
      <c r="K2104" s="2" t="n">
        <f aca="false">IF(H2104="yes",1,0)</f>
        <v>0</v>
      </c>
      <c r="L2104" s="2" t="n">
        <f aca="false">IF(I2104="yes",1,0)</f>
        <v>0</v>
      </c>
      <c r="M2104" s="2" t="n">
        <f aca="false">IF(G2104&lt;0,1,0)</f>
        <v>0</v>
      </c>
      <c r="N2104" s="2" t="str">
        <f aca="false">_xlfn.IFS(B2104&lt;30,"Under 30",B2104&lt;40,"30-39",B2104&lt;50,"40-49",B2104&lt;60,"50-59",TRUE(),"60+")</f>
        <v>40-49</v>
      </c>
      <c r="O2104" s="2" t="str">
        <f aca="false">_xlfn.IFS(G2104&lt;0,"1 Negative",G2104=0,"2 Zero",G2104&lt;=500,"3 1-500",G2104&lt;=2000,"4 501-2000",TRUE(),"5 Above 2000")</f>
        <v>5 Above 2000</v>
      </c>
      <c r="P2104" s="2" t="n">
        <f aca="false">Lookups!$B$2*M2104+Lookups!$B$3*L2104</f>
        <v>0</v>
      </c>
      <c r="Q2104" s="2" t="str">
        <f aca="false">INDEX(Lookups!$E$2:$E$5,MATCH(P2104,Lookups!$D$2:$D$5,0))</f>
        <v>Low</v>
      </c>
    </row>
    <row r="2105" customFormat="false" ht="15" hidden="false" customHeight="false" outlineLevel="0" collapsed="false">
      <c r="A2105" s="3" t="n">
        <v>2104</v>
      </c>
      <c r="B2105" s="3" t="n">
        <f aca="false">Raw_Data!A2105</f>
        <v>39</v>
      </c>
      <c r="C2105" s="3" t="str">
        <f aca="false">SUBSTITUTE(Raw_Data!B2105,".","")</f>
        <v>services</v>
      </c>
      <c r="D2105" s="3" t="str">
        <f aca="false">Raw_Data!C2105</f>
        <v>married</v>
      </c>
      <c r="E2105" s="3" t="str">
        <f aca="false">Raw_Data!D2105</f>
        <v>secondary</v>
      </c>
      <c r="F2105" s="3" t="str">
        <f aca="false">Raw_Data!E2105</f>
        <v>no</v>
      </c>
      <c r="G2105" s="3" t="n">
        <f aca="false">Raw_Data!F2105</f>
        <v>1970</v>
      </c>
      <c r="H2105" s="3" t="str">
        <f aca="false">Raw_Data!G2105</f>
        <v>yes</v>
      </c>
      <c r="I2105" s="3" t="str">
        <f aca="false">Raw_Data!H2105</f>
        <v>no</v>
      </c>
      <c r="J2105" s="2" t="n">
        <f aca="false">IF(F2105="yes",1,0)</f>
        <v>0</v>
      </c>
      <c r="K2105" s="2" t="n">
        <f aca="false">IF(H2105="yes",1,0)</f>
        <v>1</v>
      </c>
      <c r="L2105" s="2" t="n">
        <f aca="false">IF(I2105="yes",1,0)</f>
        <v>0</v>
      </c>
      <c r="M2105" s="2" t="n">
        <f aca="false">IF(G2105&lt;0,1,0)</f>
        <v>0</v>
      </c>
      <c r="N2105" s="2" t="str">
        <f aca="false">_xlfn.IFS(B2105&lt;30,"Under 30",B2105&lt;40,"30-39",B2105&lt;50,"40-49",B2105&lt;60,"50-59",TRUE(),"60+")</f>
        <v>30-39</v>
      </c>
      <c r="O2105" s="2" t="str">
        <f aca="false">_xlfn.IFS(G2105&lt;0,"1 Negative",G2105=0,"2 Zero",G2105&lt;=500,"3 1-500",G2105&lt;=2000,"4 501-2000",TRUE(),"5 Above 2000")</f>
        <v>4 501-2000</v>
      </c>
      <c r="P2105" s="2" t="n">
        <f aca="false">Lookups!$B$2*M2105+Lookups!$B$3*L2105</f>
        <v>0</v>
      </c>
      <c r="Q2105" s="2" t="str">
        <f aca="false">INDEX(Lookups!$E$2:$E$5,MATCH(P2105,Lookups!$D$2:$D$5,0))</f>
        <v>Low</v>
      </c>
    </row>
    <row r="2106" customFormat="false" ht="15" hidden="false" customHeight="false" outlineLevel="0" collapsed="false">
      <c r="A2106" s="3" t="n">
        <v>2105</v>
      </c>
      <c r="B2106" s="3" t="n">
        <f aca="false">Raw_Data!A2106</f>
        <v>38</v>
      </c>
      <c r="C2106" s="3" t="str">
        <f aca="false">SUBSTITUTE(Raw_Data!B2106,".","")</f>
        <v>self-employed</v>
      </c>
      <c r="D2106" s="3" t="str">
        <f aca="false">Raw_Data!C2106</f>
        <v>divorced</v>
      </c>
      <c r="E2106" s="3" t="str">
        <f aca="false">Raw_Data!D2106</f>
        <v>tertiary</v>
      </c>
      <c r="F2106" s="3" t="str">
        <f aca="false">Raw_Data!E2106</f>
        <v>no</v>
      </c>
      <c r="G2106" s="3" t="n">
        <f aca="false">Raw_Data!F2106</f>
        <v>1513</v>
      </c>
      <c r="H2106" s="3" t="str">
        <f aca="false">Raw_Data!G2106</f>
        <v>no</v>
      </c>
      <c r="I2106" s="3" t="str">
        <f aca="false">Raw_Data!H2106</f>
        <v>no</v>
      </c>
      <c r="J2106" s="2" t="n">
        <f aca="false">IF(F2106="yes",1,0)</f>
        <v>0</v>
      </c>
      <c r="K2106" s="2" t="n">
        <f aca="false">IF(H2106="yes",1,0)</f>
        <v>0</v>
      </c>
      <c r="L2106" s="2" t="n">
        <f aca="false">IF(I2106="yes",1,0)</f>
        <v>0</v>
      </c>
      <c r="M2106" s="2" t="n">
        <f aca="false">IF(G2106&lt;0,1,0)</f>
        <v>0</v>
      </c>
      <c r="N2106" s="2" t="str">
        <f aca="false">_xlfn.IFS(B2106&lt;30,"Under 30",B2106&lt;40,"30-39",B2106&lt;50,"40-49",B2106&lt;60,"50-59",TRUE(),"60+")</f>
        <v>30-39</v>
      </c>
      <c r="O2106" s="2" t="str">
        <f aca="false">_xlfn.IFS(G2106&lt;0,"1 Negative",G2106=0,"2 Zero",G2106&lt;=500,"3 1-500",G2106&lt;=2000,"4 501-2000",TRUE(),"5 Above 2000")</f>
        <v>4 501-2000</v>
      </c>
      <c r="P2106" s="2" t="n">
        <f aca="false">Lookups!$B$2*M2106+Lookups!$B$3*L2106</f>
        <v>0</v>
      </c>
      <c r="Q2106" s="2" t="str">
        <f aca="false">INDEX(Lookups!$E$2:$E$5,MATCH(P2106,Lookups!$D$2:$D$5,0))</f>
        <v>Low</v>
      </c>
    </row>
    <row r="2107" customFormat="false" ht="15" hidden="false" customHeight="false" outlineLevel="0" collapsed="false">
      <c r="A2107" s="3" t="n">
        <v>2106</v>
      </c>
      <c r="B2107" s="3" t="n">
        <f aca="false">Raw_Data!A2107</f>
        <v>34</v>
      </c>
      <c r="C2107" s="3" t="str">
        <f aca="false">SUBSTITUTE(Raw_Data!B2107,".","")</f>
        <v>entrepreneur</v>
      </c>
      <c r="D2107" s="3" t="str">
        <f aca="false">Raw_Data!C2107</f>
        <v>married</v>
      </c>
      <c r="E2107" s="3" t="str">
        <f aca="false">Raw_Data!D2107</f>
        <v>secondary</v>
      </c>
      <c r="F2107" s="3" t="str">
        <f aca="false">Raw_Data!E2107</f>
        <v>no</v>
      </c>
      <c r="G2107" s="3" t="n">
        <f aca="false">Raw_Data!F2107</f>
        <v>4659</v>
      </c>
      <c r="H2107" s="3" t="str">
        <f aca="false">Raw_Data!G2107</f>
        <v>yes</v>
      </c>
      <c r="I2107" s="3" t="str">
        <f aca="false">Raw_Data!H2107</f>
        <v>no</v>
      </c>
      <c r="J2107" s="2" t="n">
        <f aca="false">IF(F2107="yes",1,0)</f>
        <v>0</v>
      </c>
      <c r="K2107" s="2" t="n">
        <f aca="false">IF(H2107="yes",1,0)</f>
        <v>1</v>
      </c>
      <c r="L2107" s="2" t="n">
        <f aca="false">IF(I2107="yes",1,0)</f>
        <v>0</v>
      </c>
      <c r="M2107" s="2" t="n">
        <f aca="false">IF(G2107&lt;0,1,0)</f>
        <v>0</v>
      </c>
      <c r="N2107" s="2" t="str">
        <f aca="false">_xlfn.IFS(B2107&lt;30,"Under 30",B2107&lt;40,"30-39",B2107&lt;50,"40-49",B2107&lt;60,"50-59",TRUE(),"60+")</f>
        <v>30-39</v>
      </c>
      <c r="O2107" s="2" t="str">
        <f aca="false">_xlfn.IFS(G2107&lt;0,"1 Negative",G2107=0,"2 Zero",G2107&lt;=500,"3 1-500",G2107&lt;=2000,"4 501-2000",TRUE(),"5 Above 2000")</f>
        <v>5 Above 2000</v>
      </c>
      <c r="P2107" s="2" t="n">
        <f aca="false">Lookups!$B$2*M2107+Lookups!$B$3*L2107</f>
        <v>0</v>
      </c>
      <c r="Q2107" s="2" t="str">
        <f aca="false">INDEX(Lookups!$E$2:$E$5,MATCH(P2107,Lookups!$D$2:$D$5,0))</f>
        <v>Low</v>
      </c>
    </row>
    <row r="2108" customFormat="false" ht="15" hidden="false" customHeight="false" outlineLevel="0" collapsed="false">
      <c r="A2108" s="3" t="n">
        <v>2107</v>
      </c>
      <c r="B2108" s="3" t="n">
        <f aca="false">Raw_Data!A2108</f>
        <v>47</v>
      </c>
      <c r="C2108" s="3" t="str">
        <f aca="false">SUBSTITUTE(Raw_Data!B2108,".","")</f>
        <v>entrepreneur</v>
      </c>
      <c r="D2108" s="3" t="str">
        <f aca="false">Raw_Data!C2108</f>
        <v>married</v>
      </c>
      <c r="E2108" s="3" t="str">
        <f aca="false">Raw_Data!D2108</f>
        <v>primary</v>
      </c>
      <c r="F2108" s="3" t="str">
        <f aca="false">Raw_Data!E2108</f>
        <v>no</v>
      </c>
      <c r="G2108" s="3" t="n">
        <f aca="false">Raw_Data!F2108</f>
        <v>668</v>
      </c>
      <c r="H2108" s="3" t="str">
        <f aca="false">Raw_Data!G2108</f>
        <v>no</v>
      </c>
      <c r="I2108" s="3" t="str">
        <f aca="false">Raw_Data!H2108</f>
        <v>no</v>
      </c>
      <c r="J2108" s="2" t="n">
        <f aca="false">IF(F2108="yes",1,0)</f>
        <v>0</v>
      </c>
      <c r="K2108" s="2" t="n">
        <f aca="false">IF(H2108="yes",1,0)</f>
        <v>0</v>
      </c>
      <c r="L2108" s="2" t="n">
        <f aca="false">IF(I2108="yes",1,0)</f>
        <v>0</v>
      </c>
      <c r="M2108" s="2" t="n">
        <f aca="false">IF(G2108&lt;0,1,0)</f>
        <v>0</v>
      </c>
      <c r="N2108" s="2" t="str">
        <f aca="false">_xlfn.IFS(B2108&lt;30,"Under 30",B2108&lt;40,"30-39",B2108&lt;50,"40-49",B2108&lt;60,"50-59",TRUE(),"60+")</f>
        <v>40-49</v>
      </c>
      <c r="O2108" s="2" t="str">
        <f aca="false">_xlfn.IFS(G2108&lt;0,"1 Negative",G2108=0,"2 Zero",G2108&lt;=500,"3 1-500",G2108&lt;=2000,"4 501-2000",TRUE(),"5 Above 2000")</f>
        <v>4 501-2000</v>
      </c>
      <c r="P2108" s="2" t="n">
        <f aca="false">Lookups!$B$2*M2108+Lookups!$B$3*L2108</f>
        <v>0</v>
      </c>
      <c r="Q2108" s="2" t="str">
        <f aca="false">INDEX(Lookups!$E$2:$E$5,MATCH(P2108,Lookups!$D$2:$D$5,0))</f>
        <v>Low</v>
      </c>
    </row>
    <row r="2109" customFormat="false" ht="15" hidden="false" customHeight="false" outlineLevel="0" collapsed="false">
      <c r="A2109" s="3" t="n">
        <v>2108</v>
      </c>
      <c r="B2109" s="3" t="n">
        <f aca="false">Raw_Data!A2109</f>
        <v>35</v>
      </c>
      <c r="C2109" s="3" t="str">
        <f aca="false">SUBSTITUTE(Raw_Data!B2109,".","")</f>
        <v>management</v>
      </c>
      <c r="D2109" s="3" t="str">
        <f aca="false">Raw_Data!C2109</f>
        <v>divorced</v>
      </c>
      <c r="E2109" s="3" t="str">
        <f aca="false">Raw_Data!D2109</f>
        <v>tertiary</v>
      </c>
      <c r="F2109" s="3" t="str">
        <f aca="false">Raw_Data!E2109</f>
        <v>no</v>
      </c>
      <c r="G2109" s="3" t="n">
        <f aca="false">Raw_Data!F2109</f>
        <v>649</v>
      </c>
      <c r="H2109" s="3" t="str">
        <f aca="false">Raw_Data!G2109</f>
        <v>no</v>
      </c>
      <c r="I2109" s="3" t="str">
        <f aca="false">Raw_Data!H2109</f>
        <v>no</v>
      </c>
      <c r="J2109" s="2" t="n">
        <f aca="false">IF(F2109="yes",1,0)</f>
        <v>0</v>
      </c>
      <c r="K2109" s="2" t="n">
        <f aca="false">IF(H2109="yes",1,0)</f>
        <v>0</v>
      </c>
      <c r="L2109" s="2" t="n">
        <f aca="false">IF(I2109="yes",1,0)</f>
        <v>0</v>
      </c>
      <c r="M2109" s="2" t="n">
        <f aca="false">IF(G2109&lt;0,1,0)</f>
        <v>0</v>
      </c>
      <c r="N2109" s="2" t="str">
        <f aca="false">_xlfn.IFS(B2109&lt;30,"Under 30",B2109&lt;40,"30-39",B2109&lt;50,"40-49",B2109&lt;60,"50-59",TRUE(),"60+")</f>
        <v>30-39</v>
      </c>
      <c r="O2109" s="2" t="str">
        <f aca="false">_xlfn.IFS(G2109&lt;0,"1 Negative",G2109=0,"2 Zero",G2109&lt;=500,"3 1-500",G2109&lt;=2000,"4 501-2000",TRUE(),"5 Above 2000")</f>
        <v>4 501-2000</v>
      </c>
      <c r="P2109" s="2" t="n">
        <f aca="false">Lookups!$B$2*M2109+Lookups!$B$3*L2109</f>
        <v>0</v>
      </c>
      <c r="Q2109" s="2" t="str">
        <f aca="false">INDEX(Lookups!$E$2:$E$5,MATCH(P2109,Lookups!$D$2:$D$5,0))</f>
        <v>Low</v>
      </c>
    </row>
    <row r="2110" customFormat="false" ht="15" hidden="false" customHeight="false" outlineLevel="0" collapsed="false">
      <c r="A2110" s="3" t="n">
        <v>2109</v>
      </c>
      <c r="B2110" s="3" t="n">
        <f aca="false">Raw_Data!A2110</f>
        <v>46</v>
      </c>
      <c r="C2110" s="3" t="str">
        <f aca="false">SUBSTITUTE(Raw_Data!B2110,".","")</f>
        <v>blue-collar</v>
      </c>
      <c r="D2110" s="3" t="str">
        <f aca="false">Raw_Data!C2110</f>
        <v>divorced</v>
      </c>
      <c r="E2110" s="3" t="str">
        <f aca="false">Raw_Data!D2110</f>
        <v>primary</v>
      </c>
      <c r="F2110" s="3" t="str">
        <f aca="false">Raw_Data!E2110</f>
        <v>no</v>
      </c>
      <c r="G2110" s="3" t="n">
        <f aca="false">Raw_Data!F2110</f>
        <v>452</v>
      </c>
      <c r="H2110" s="3" t="str">
        <f aca="false">Raw_Data!G2110</f>
        <v>yes</v>
      </c>
      <c r="I2110" s="3" t="str">
        <f aca="false">Raw_Data!H2110</f>
        <v>no</v>
      </c>
      <c r="J2110" s="2" t="n">
        <f aca="false">IF(F2110="yes",1,0)</f>
        <v>0</v>
      </c>
      <c r="K2110" s="2" t="n">
        <f aca="false">IF(H2110="yes",1,0)</f>
        <v>1</v>
      </c>
      <c r="L2110" s="2" t="n">
        <f aca="false">IF(I2110="yes",1,0)</f>
        <v>0</v>
      </c>
      <c r="M2110" s="2" t="n">
        <f aca="false">IF(G2110&lt;0,1,0)</f>
        <v>0</v>
      </c>
      <c r="N2110" s="2" t="str">
        <f aca="false">_xlfn.IFS(B2110&lt;30,"Under 30",B2110&lt;40,"30-39",B2110&lt;50,"40-49",B2110&lt;60,"50-59",TRUE(),"60+")</f>
        <v>40-49</v>
      </c>
      <c r="O2110" s="2" t="str">
        <f aca="false">_xlfn.IFS(G2110&lt;0,"1 Negative",G2110=0,"2 Zero",G2110&lt;=500,"3 1-500",G2110&lt;=2000,"4 501-2000",TRUE(),"5 Above 2000")</f>
        <v>3 1-500</v>
      </c>
      <c r="P2110" s="2" t="n">
        <f aca="false">Lookups!$B$2*M2110+Lookups!$B$3*L2110</f>
        <v>0</v>
      </c>
      <c r="Q2110" s="2" t="str">
        <f aca="false">INDEX(Lookups!$E$2:$E$5,MATCH(P2110,Lookups!$D$2:$D$5,0))</f>
        <v>Low</v>
      </c>
    </row>
    <row r="2111" customFormat="false" ht="15" hidden="false" customHeight="false" outlineLevel="0" collapsed="false">
      <c r="A2111" s="3" t="n">
        <v>2110</v>
      </c>
      <c r="B2111" s="3" t="n">
        <f aca="false">Raw_Data!A2111</f>
        <v>27</v>
      </c>
      <c r="C2111" s="3" t="str">
        <f aca="false">SUBSTITUTE(Raw_Data!B2111,".","")</f>
        <v>admin</v>
      </c>
      <c r="D2111" s="3" t="str">
        <f aca="false">Raw_Data!C2111</f>
        <v>single</v>
      </c>
      <c r="E2111" s="3" t="str">
        <f aca="false">Raw_Data!D2111</f>
        <v>secondary</v>
      </c>
      <c r="F2111" s="3" t="str">
        <f aca="false">Raw_Data!E2111</f>
        <v>no</v>
      </c>
      <c r="G2111" s="3" t="n">
        <f aca="false">Raw_Data!F2111</f>
        <v>-145</v>
      </c>
      <c r="H2111" s="3" t="str">
        <f aca="false">Raw_Data!G2111</f>
        <v>yes</v>
      </c>
      <c r="I2111" s="3" t="str">
        <f aca="false">Raw_Data!H2111</f>
        <v>no</v>
      </c>
      <c r="J2111" s="2" t="n">
        <f aca="false">IF(F2111="yes",1,0)</f>
        <v>0</v>
      </c>
      <c r="K2111" s="2" t="n">
        <f aca="false">IF(H2111="yes",1,0)</f>
        <v>1</v>
      </c>
      <c r="L2111" s="2" t="n">
        <f aca="false">IF(I2111="yes",1,0)</f>
        <v>0</v>
      </c>
      <c r="M2111" s="2" t="n">
        <f aca="false">IF(G2111&lt;0,1,0)</f>
        <v>1</v>
      </c>
      <c r="N2111" s="2" t="str">
        <f aca="false">_xlfn.IFS(B2111&lt;30,"Under 30",B2111&lt;40,"30-39",B2111&lt;50,"40-49",B2111&lt;60,"50-59",TRUE(),"60+")</f>
        <v>Under 30</v>
      </c>
      <c r="O2111" s="2" t="str">
        <f aca="false">_xlfn.IFS(G2111&lt;0,"1 Negative",G2111=0,"2 Zero",G2111&lt;=500,"3 1-500",G2111&lt;=2000,"4 501-2000",TRUE(),"5 Above 2000")</f>
        <v>1 Negative</v>
      </c>
      <c r="P2111" s="2" t="n">
        <f aca="false">Lookups!$B$2*M2111+Lookups!$B$3*L2111</f>
        <v>2</v>
      </c>
      <c r="Q2111" s="2" t="str">
        <f aca="false">INDEX(Lookups!$E$2:$E$5,MATCH(P2111,Lookups!$D$2:$D$5,0))</f>
        <v>High</v>
      </c>
    </row>
    <row r="2112" customFormat="false" ht="15" hidden="false" customHeight="false" outlineLevel="0" collapsed="false">
      <c r="A2112" s="3" t="n">
        <v>2111</v>
      </c>
      <c r="B2112" s="3" t="n">
        <f aca="false">Raw_Data!A2112</f>
        <v>31</v>
      </c>
      <c r="C2112" s="3" t="str">
        <f aca="false">SUBSTITUTE(Raw_Data!B2112,".","")</f>
        <v>blue-collar</v>
      </c>
      <c r="D2112" s="3" t="str">
        <f aca="false">Raw_Data!C2112</f>
        <v>married</v>
      </c>
      <c r="E2112" s="3" t="str">
        <f aca="false">Raw_Data!D2112</f>
        <v>secondary</v>
      </c>
      <c r="F2112" s="3" t="str">
        <f aca="false">Raw_Data!E2112</f>
        <v>no</v>
      </c>
      <c r="G2112" s="3" t="n">
        <f aca="false">Raw_Data!F2112</f>
        <v>-498</v>
      </c>
      <c r="H2112" s="3" t="str">
        <f aca="false">Raw_Data!G2112</f>
        <v>yes</v>
      </c>
      <c r="I2112" s="3" t="str">
        <f aca="false">Raw_Data!H2112</f>
        <v>no</v>
      </c>
      <c r="J2112" s="2" t="n">
        <f aca="false">IF(F2112="yes",1,0)</f>
        <v>0</v>
      </c>
      <c r="K2112" s="2" t="n">
        <f aca="false">IF(H2112="yes",1,0)</f>
        <v>1</v>
      </c>
      <c r="L2112" s="2" t="n">
        <f aca="false">IF(I2112="yes",1,0)</f>
        <v>0</v>
      </c>
      <c r="M2112" s="2" t="n">
        <f aca="false">IF(G2112&lt;0,1,0)</f>
        <v>1</v>
      </c>
      <c r="N2112" s="2" t="str">
        <f aca="false">_xlfn.IFS(B2112&lt;30,"Under 30",B2112&lt;40,"30-39",B2112&lt;50,"40-49",B2112&lt;60,"50-59",TRUE(),"60+")</f>
        <v>30-39</v>
      </c>
      <c r="O2112" s="2" t="str">
        <f aca="false">_xlfn.IFS(G2112&lt;0,"1 Negative",G2112=0,"2 Zero",G2112&lt;=500,"3 1-500",G2112&lt;=2000,"4 501-2000",TRUE(),"5 Above 2000")</f>
        <v>1 Negative</v>
      </c>
      <c r="P2112" s="2" t="n">
        <f aca="false">Lookups!$B$2*M2112+Lookups!$B$3*L2112</f>
        <v>2</v>
      </c>
      <c r="Q2112" s="2" t="str">
        <f aca="false">INDEX(Lookups!$E$2:$E$5,MATCH(P2112,Lookups!$D$2:$D$5,0))</f>
        <v>High</v>
      </c>
    </row>
    <row r="2113" customFormat="false" ht="15" hidden="false" customHeight="false" outlineLevel="0" collapsed="false">
      <c r="A2113" s="3" t="n">
        <v>2112</v>
      </c>
      <c r="B2113" s="3" t="n">
        <f aca="false">Raw_Data!A2113</f>
        <v>31</v>
      </c>
      <c r="C2113" s="3" t="str">
        <f aca="false">SUBSTITUTE(Raw_Data!B2113,".","")</f>
        <v>management</v>
      </c>
      <c r="D2113" s="3" t="str">
        <f aca="false">Raw_Data!C2113</f>
        <v>single</v>
      </c>
      <c r="E2113" s="3" t="str">
        <f aca="false">Raw_Data!D2113</f>
        <v>tertiary</v>
      </c>
      <c r="F2113" s="3" t="str">
        <f aca="false">Raw_Data!E2113</f>
        <v>no</v>
      </c>
      <c r="G2113" s="3" t="n">
        <f aca="false">Raw_Data!F2113</f>
        <v>0</v>
      </c>
      <c r="H2113" s="3" t="str">
        <f aca="false">Raw_Data!G2113</f>
        <v>no</v>
      </c>
      <c r="I2113" s="3" t="str">
        <f aca="false">Raw_Data!H2113</f>
        <v>no</v>
      </c>
      <c r="J2113" s="2" t="n">
        <f aca="false">IF(F2113="yes",1,0)</f>
        <v>0</v>
      </c>
      <c r="K2113" s="2" t="n">
        <f aca="false">IF(H2113="yes",1,0)</f>
        <v>0</v>
      </c>
      <c r="L2113" s="2" t="n">
        <f aca="false">IF(I2113="yes",1,0)</f>
        <v>0</v>
      </c>
      <c r="M2113" s="2" t="n">
        <f aca="false">IF(G2113&lt;0,1,0)</f>
        <v>0</v>
      </c>
      <c r="N2113" s="2" t="str">
        <f aca="false">_xlfn.IFS(B2113&lt;30,"Under 30",B2113&lt;40,"30-39",B2113&lt;50,"40-49",B2113&lt;60,"50-59",TRUE(),"60+")</f>
        <v>30-39</v>
      </c>
      <c r="O2113" s="2" t="str">
        <f aca="false">_xlfn.IFS(G2113&lt;0,"1 Negative",G2113=0,"2 Zero",G2113&lt;=500,"3 1-500",G2113&lt;=2000,"4 501-2000",TRUE(),"5 Above 2000")</f>
        <v>2 Zero</v>
      </c>
      <c r="P2113" s="2" t="n">
        <f aca="false">Lookups!$B$2*M2113+Lookups!$B$3*L2113</f>
        <v>0</v>
      </c>
      <c r="Q2113" s="2" t="str">
        <f aca="false">INDEX(Lookups!$E$2:$E$5,MATCH(P2113,Lookups!$D$2:$D$5,0))</f>
        <v>Low</v>
      </c>
    </row>
    <row r="2114" customFormat="false" ht="15" hidden="false" customHeight="false" outlineLevel="0" collapsed="false">
      <c r="A2114" s="3" t="n">
        <v>2113</v>
      </c>
      <c r="B2114" s="3" t="n">
        <f aca="false">Raw_Data!A2114</f>
        <v>46</v>
      </c>
      <c r="C2114" s="3" t="str">
        <f aca="false">SUBSTITUTE(Raw_Data!B2114,".","")</f>
        <v>admin</v>
      </c>
      <c r="D2114" s="3" t="str">
        <f aca="false">Raw_Data!C2114</f>
        <v>married</v>
      </c>
      <c r="E2114" s="3" t="str">
        <f aca="false">Raw_Data!D2114</f>
        <v>secondary</v>
      </c>
      <c r="F2114" s="3" t="str">
        <f aca="false">Raw_Data!E2114</f>
        <v>no</v>
      </c>
      <c r="G2114" s="3" t="n">
        <f aca="false">Raw_Data!F2114</f>
        <v>22</v>
      </c>
      <c r="H2114" s="3" t="str">
        <f aca="false">Raw_Data!G2114</f>
        <v>yes</v>
      </c>
      <c r="I2114" s="3" t="str">
        <f aca="false">Raw_Data!H2114</f>
        <v>no</v>
      </c>
      <c r="J2114" s="2" t="n">
        <f aca="false">IF(F2114="yes",1,0)</f>
        <v>0</v>
      </c>
      <c r="K2114" s="2" t="n">
        <f aca="false">IF(H2114="yes",1,0)</f>
        <v>1</v>
      </c>
      <c r="L2114" s="2" t="n">
        <f aca="false">IF(I2114="yes",1,0)</f>
        <v>0</v>
      </c>
      <c r="M2114" s="2" t="n">
        <f aca="false">IF(G2114&lt;0,1,0)</f>
        <v>0</v>
      </c>
      <c r="N2114" s="2" t="str">
        <f aca="false">_xlfn.IFS(B2114&lt;30,"Under 30",B2114&lt;40,"30-39",B2114&lt;50,"40-49",B2114&lt;60,"50-59",TRUE(),"60+")</f>
        <v>40-49</v>
      </c>
      <c r="O2114" s="2" t="str">
        <f aca="false">_xlfn.IFS(G2114&lt;0,"1 Negative",G2114=0,"2 Zero",G2114&lt;=500,"3 1-500",G2114&lt;=2000,"4 501-2000",TRUE(),"5 Above 2000")</f>
        <v>3 1-500</v>
      </c>
      <c r="P2114" s="2" t="n">
        <f aca="false">Lookups!$B$2*M2114+Lookups!$B$3*L2114</f>
        <v>0</v>
      </c>
      <c r="Q2114" s="2" t="str">
        <f aca="false">INDEX(Lookups!$E$2:$E$5,MATCH(P2114,Lookups!$D$2:$D$5,0))</f>
        <v>Low</v>
      </c>
    </row>
    <row r="2115" customFormat="false" ht="15" hidden="false" customHeight="false" outlineLevel="0" collapsed="false">
      <c r="A2115" s="3" t="n">
        <v>2114</v>
      </c>
      <c r="B2115" s="3" t="n">
        <f aca="false">Raw_Data!A2115</f>
        <v>31</v>
      </c>
      <c r="C2115" s="3" t="str">
        <f aca="false">SUBSTITUTE(Raw_Data!B2115,".","")</f>
        <v>admin</v>
      </c>
      <c r="D2115" s="3" t="str">
        <f aca="false">Raw_Data!C2115</f>
        <v>married</v>
      </c>
      <c r="E2115" s="3" t="str">
        <f aca="false">Raw_Data!D2115</f>
        <v>secondary</v>
      </c>
      <c r="F2115" s="3" t="str">
        <f aca="false">Raw_Data!E2115</f>
        <v>no</v>
      </c>
      <c r="G2115" s="3" t="n">
        <f aca="false">Raw_Data!F2115</f>
        <v>2304</v>
      </c>
      <c r="H2115" s="3" t="str">
        <f aca="false">Raw_Data!G2115</f>
        <v>yes</v>
      </c>
      <c r="I2115" s="3" t="str">
        <f aca="false">Raw_Data!H2115</f>
        <v>no</v>
      </c>
      <c r="J2115" s="2" t="n">
        <f aca="false">IF(F2115="yes",1,0)</f>
        <v>0</v>
      </c>
      <c r="K2115" s="2" t="n">
        <f aca="false">IF(H2115="yes",1,0)</f>
        <v>1</v>
      </c>
      <c r="L2115" s="2" t="n">
        <f aca="false">IF(I2115="yes",1,0)</f>
        <v>0</v>
      </c>
      <c r="M2115" s="2" t="n">
        <f aca="false">IF(G2115&lt;0,1,0)</f>
        <v>0</v>
      </c>
      <c r="N2115" s="2" t="str">
        <f aca="false">_xlfn.IFS(B2115&lt;30,"Under 30",B2115&lt;40,"30-39",B2115&lt;50,"40-49",B2115&lt;60,"50-59",TRUE(),"60+")</f>
        <v>30-39</v>
      </c>
      <c r="O2115" s="2" t="str">
        <f aca="false">_xlfn.IFS(G2115&lt;0,"1 Negative",G2115=0,"2 Zero",G2115&lt;=500,"3 1-500",G2115&lt;=2000,"4 501-2000",TRUE(),"5 Above 2000")</f>
        <v>5 Above 2000</v>
      </c>
      <c r="P2115" s="2" t="n">
        <f aca="false">Lookups!$B$2*M2115+Lookups!$B$3*L2115</f>
        <v>0</v>
      </c>
      <c r="Q2115" s="2" t="str">
        <f aca="false">INDEX(Lookups!$E$2:$E$5,MATCH(P2115,Lookups!$D$2:$D$5,0))</f>
        <v>Low</v>
      </c>
    </row>
    <row r="2116" customFormat="false" ht="15" hidden="false" customHeight="false" outlineLevel="0" collapsed="false">
      <c r="A2116" s="3" t="n">
        <v>2115</v>
      </c>
      <c r="B2116" s="3" t="n">
        <f aca="false">Raw_Data!A2116</f>
        <v>33</v>
      </c>
      <c r="C2116" s="3" t="str">
        <f aca="false">SUBSTITUTE(Raw_Data!B2116,".","")</f>
        <v>management</v>
      </c>
      <c r="D2116" s="3" t="str">
        <f aca="false">Raw_Data!C2116</f>
        <v>married</v>
      </c>
      <c r="E2116" s="3" t="str">
        <f aca="false">Raw_Data!D2116</f>
        <v>tertiary</v>
      </c>
      <c r="F2116" s="3" t="str">
        <f aca="false">Raw_Data!E2116</f>
        <v>no</v>
      </c>
      <c r="G2116" s="3" t="n">
        <f aca="false">Raw_Data!F2116</f>
        <v>1412</v>
      </c>
      <c r="H2116" s="3" t="str">
        <f aca="false">Raw_Data!G2116</f>
        <v>yes</v>
      </c>
      <c r="I2116" s="3" t="str">
        <f aca="false">Raw_Data!H2116</f>
        <v>no</v>
      </c>
      <c r="J2116" s="2" t="n">
        <f aca="false">IF(F2116="yes",1,0)</f>
        <v>0</v>
      </c>
      <c r="K2116" s="2" t="n">
        <f aca="false">IF(H2116="yes",1,0)</f>
        <v>1</v>
      </c>
      <c r="L2116" s="2" t="n">
        <f aca="false">IF(I2116="yes",1,0)</f>
        <v>0</v>
      </c>
      <c r="M2116" s="2" t="n">
        <f aca="false">IF(G2116&lt;0,1,0)</f>
        <v>0</v>
      </c>
      <c r="N2116" s="2" t="str">
        <f aca="false">_xlfn.IFS(B2116&lt;30,"Under 30",B2116&lt;40,"30-39",B2116&lt;50,"40-49",B2116&lt;60,"50-59",TRUE(),"60+")</f>
        <v>30-39</v>
      </c>
      <c r="O2116" s="2" t="str">
        <f aca="false">_xlfn.IFS(G2116&lt;0,"1 Negative",G2116=0,"2 Zero",G2116&lt;=500,"3 1-500",G2116&lt;=2000,"4 501-2000",TRUE(),"5 Above 2000")</f>
        <v>4 501-2000</v>
      </c>
      <c r="P2116" s="2" t="n">
        <f aca="false">Lookups!$B$2*M2116+Lookups!$B$3*L2116</f>
        <v>0</v>
      </c>
      <c r="Q2116" s="2" t="str">
        <f aca="false">INDEX(Lookups!$E$2:$E$5,MATCH(P2116,Lookups!$D$2:$D$5,0))</f>
        <v>Low</v>
      </c>
    </row>
    <row r="2117" customFormat="false" ht="15" hidden="false" customHeight="false" outlineLevel="0" collapsed="false">
      <c r="A2117" s="3" t="n">
        <v>2116</v>
      </c>
      <c r="B2117" s="3" t="n">
        <f aca="false">Raw_Data!A2117</f>
        <v>42</v>
      </c>
      <c r="C2117" s="3" t="str">
        <f aca="false">SUBSTITUTE(Raw_Data!B2117,".","")</f>
        <v>housemaid</v>
      </c>
      <c r="D2117" s="3" t="str">
        <f aca="false">Raw_Data!C2117</f>
        <v>married</v>
      </c>
      <c r="E2117" s="3" t="str">
        <f aca="false">Raw_Data!D2117</f>
        <v>primary</v>
      </c>
      <c r="F2117" s="3" t="str">
        <f aca="false">Raw_Data!E2117</f>
        <v>no</v>
      </c>
      <c r="G2117" s="3" t="n">
        <f aca="false">Raw_Data!F2117</f>
        <v>145</v>
      </c>
      <c r="H2117" s="3" t="str">
        <f aca="false">Raw_Data!G2117</f>
        <v>no</v>
      </c>
      <c r="I2117" s="3" t="str">
        <f aca="false">Raw_Data!H2117</f>
        <v>no</v>
      </c>
      <c r="J2117" s="2" t="n">
        <f aca="false">IF(F2117="yes",1,0)</f>
        <v>0</v>
      </c>
      <c r="K2117" s="2" t="n">
        <f aca="false">IF(H2117="yes",1,0)</f>
        <v>0</v>
      </c>
      <c r="L2117" s="2" t="n">
        <f aca="false">IF(I2117="yes",1,0)</f>
        <v>0</v>
      </c>
      <c r="M2117" s="2" t="n">
        <f aca="false">IF(G2117&lt;0,1,0)</f>
        <v>0</v>
      </c>
      <c r="N2117" s="2" t="str">
        <f aca="false">_xlfn.IFS(B2117&lt;30,"Under 30",B2117&lt;40,"30-39",B2117&lt;50,"40-49",B2117&lt;60,"50-59",TRUE(),"60+")</f>
        <v>40-49</v>
      </c>
      <c r="O2117" s="2" t="str">
        <f aca="false">_xlfn.IFS(G2117&lt;0,"1 Negative",G2117=0,"2 Zero",G2117&lt;=500,"3 1-500",G2117&lt;=2000,"4 501-2000",TRUE(),"5 Above 2000")</f>
        <v>3 1-500</v>
      </c>
      <c r="P2117" s="2" t="n">
        <f aca="false">Lookups!$B$2*M2117+Lookups!$B$3*L2117</f>
        <v>0</v>
      </c>
      <c r="Q2117" s="2" t="str">
        <f aca="false">INDEX(Lookups!$E$2:$E$5,MATCH(P2117,Lookups!$D$2:$D$5,0))</f>
        <v>Low</v>
      </c>
    </row>
    <row r="2118" customFormat="false" ht="15" hidden="false" customHeight="false" outlineLevel="0" collapsed="false">
      <c r="A2118" s="3" t="n">
        <v>2117</v>
      </c>
      <c r="B2118" s="3" t="n">
        <f aca="false">Raw_Data!A2118</f>
        <v>33</v>
      </c>
      <c r="C2118" s="3" t="str">
        <f aca="false">SUBSTITUTE(Raw_Data!B2118,".","")</f>
        <v>management</v>
      </c>
      <c r="D2118" s="3" t="str">
        <f aca="false">Raw_Data!C2118</f>
        <v>single</v>
      </c>
      <c r="E2118" s="3" t="str">
        <f aca="false">Raw_Data!D2118</f>
        <v>primary</v>
      </c>
      <c r="F2118" s="3" t="str">
        <f aca="false">Raw_Data!E2118</f>
        <v>no</v>
      </c>
      <c r="G2118" s="3" t="n">
        <f aca="false">Raw_Data!F2118</f>
        <v>4897</v>
      </c>
      <c r="H2118" s="3" t="str">
        <f aca="false">Raw_Data!G2118</f>
        <v>yes</v>
      </c>
      <c r="I2118" s="3" t="str">
        <f aca="false">Raw_Data!H2118</f>
        <v>no</v>
      </c>
      <c r="J2118" s="2" t="n">
        <f aca="false">IF(F2118="yes",1,0)</f>
        <v>0</v>
      </c>
      <c r="K2118" s="2" t="n">
        <f aca="false">IF(H2118="yes",1,0)</f>
        <v>1</v>
      </c>
      <c r="L2118" s="2" t="n">
        <f aca="false">IF(I2118="yes",1,0)</f>
        <v>0</v>
      </c>
      <c r="M2118" s="2" t="n">
        <f aca="false">IF(G2118&lt;0,1,0)</f>
        <v>0</v>
      </c>
      <c r="N2118" s="2" t="str">
        <f aca="false">_xlfn.IFS(B2118&lt;30,"Under 30",B2118&lt;40,"30-39",B2118&lt;50,"40-49",B2118&lt;60,"50-59",TRUE(),"60+")</f>
        <v>30-39</v>
      </c>
      <c r="O2118" s="2" t="str">
        <f aca="false">_xlfn.IFS(G2118&lt;0,"1 Negative",G2118=0,"2 Zero",G2118&lt;=500,"3 1-500",G2118&lt;=2000,"4 501-2000",TRUE(),"5 Above 2000")</f>
        <v>5 Above 2000</v>
      </c>
      <c r="P2118" s="2" t="n">
        <f aca="false">Lookups!$B$2*M2118+Lookups!$B$3*L2118</f>
        <v>0</v>
      </c>
      <c r="Q2118" s="2" t="str">
        <f aca="false">INDEX(Lookups!$E$2:$E$5,MATCH(P2118,Lookups!$D$2:$D$5,0))</f>
        <v>Low</v>
      </c>
    </row>
    <row r="2119" customFormat="false" ht="15" hidden="false" customHeight="false" outlineLevel="0" collapsed="false">
      <c r="A2119" s="3" t="n">
        <v>2118</v>
      </c>
      <c r="B2119" s="3" t="n">
        <f aca="false">Raw_Data!A2119</f>
        <v>40</v>
      </c>
      <c r="C2119" s="3" t="str">
        <f aca="false">SUBSTITUTE(Raw_Data!B2119,".","")</f>
        <v>housemaid</v>
      </c>
      <c r="D2119" s="3" t="str">
        <f aca="false">Raw_Data!C2119</f>
        <v>married</v>
      </c>
      <c r="E2119" s="3" t="str">
        <f aca="false">Raw_Data!D2119</f>
        <v>primary</v>
      </c>
      <c r="F2119" s="3" t="str">
        <f aca="false">Raw_Data!E2119</f>
        <v>no</v>
      </c>
      <c r="G2119" s="3" t="n">
        <f aca="false">Raw_Data!F2119</f>
        <v>1832</v>
      </c>
      <c r="H2119" s="3" t="str">
        <f aca="false">Raw_Data!G2119</f>
        <v>no</v>
      </c>
      <c r="I2119" s="3" t="str">
        <f aca="false">Raw_Data!H2119</f>
        <v>no</v>
      </c>
      <c r="J2119" s="2" t="n">
        <f aca="false">IF(F2119="yes",1,0)</f>
        <v>0</v>
      </c>
      <c r="K2119" s="2" t="n">
        <f aca="false">IF(H2119="yes",1,0)</f>
        <v>0</v>
      </c>
      <c r="L2119" s="2" t="n">
        <f aca="false">IF(I2119="yes",1,0)</f>
        <v>0</v>
      </c>
      <c r="M2119" s="2" t="n">
        <f aca="false">IF(G2119&lt;0,1,0)</f>
        <v>0</v>
      </c>
      <c r="N2119" s="2" t="str">
        <f aca="false">_xlfn.IFS(B2119&lt;30,"Under 30",B2119&lt;40,"30-39",B2119&lt;50,"40-49",B2119&lt;60,"50-59",TRUE(),"60+")</f>
        <v>40-49</v>
      </c>
      <c r="O2119" s="2" t="str">
        <f aca="false">_xlfn.IFS(G2119&lt;0,"1 Negative",G2119=0,"2 Zero",G2119&lt;=500,"3 1-500",G2119&lt;=2000,"4 501-2000",TRUE(),"5 Above 2000")</f>
        <v>4 501-2000</v>
      </c>
      <c r="P2119" s="2" t="n">
        <f aca="false">Lookups!$B$2*M2119+Lookups!$B$3*L2119</f>
        <v>0</v>
      </c>
      <c r="Q2119" s="2" t="str">
        <f aca="false">INDEX(Lookups!$E$2:$E$5,MATCH(P2119,Lookups!$D$2:$D$5,0))</f>
        <v>Low</v>
      </c>
    </row>
    <row r="2120" customFormat="false" ht="15" hidden="false" customHeight="false" outlineLevel="0" collapsed="false">
      <c r="A2120" s="3" t="n">
        <v>2119</v>
      </c>
      <c r="B2120" s="3" t="n">
        <f aca="false">Raw_Data!A2120</f>
        <v>51</v>
      </c>
      <c r="C2120" s="3" t="str">
        <f aca="false">SUBSTITUTE(Raw_Data!B2120,".","")</f>
        <v>blue-collar</v>
      </c>
      <c r="D2120" s="3" t="str">
        <f aca="false">Raw_Data!C2120</f>
        <v>married</v>
      </c>
      <c r="E2120" s="3" t="str">
        <f aca="false">Raw_Data!D2120</f>
        <v>primary</v>
      </c>
      <c r="F2120" s="3" t="str">
        <f aca="false">Raw_Data!E2120</f>
        <v>no</v>
      </c>
      <c r="G2120" s="3" t="n">
        <f aca="false">Raw_Data!F2120</f>
        <v>3726</v>
      </c>
      <c r="H2120" s="3" t="str">
        <f aca="false">Raw_Data!G2120</f>
        <v>no</v>
      </c>
      <c r="I2120" s="3" t="str">
        <f aca="false">Raw_Data!H2120</f>
        <v>yes</v>
      </c>
      <c r="J2120" s="2" t="n">
        <f aca="false">IF(F2120="yes",1,0)</f>
        <v>0</v>
      </c>
      <c r="K2120" s="2" t="n">
        <f aca="false">IF(H2120="yes",1,0)</f>
        <v>0</v>
      </c>
      <c r="L2120" s="2" t="n">
        <f aca="false">IF(I2120="yes",1,0)</f>
        <v>1</v>
      </c>
      <c r="M2120" s="2" t="n">
        <f aca="false">IF(G2120&lt;0,1,0)</f>
        <v>0</v>
      </c>
      <c r="N2120" s="2" t="str">
        <f aca="false">_xlfn.IFS(B2120&lt;30,"Under 30",B2120&lt;40,"30-39",B2120&lt;50,"40-49",B2120&lt;60,"50-59",TRUE(),"60+")</f>
        <v>50-59</v>
      </c>
      <c r="O2120" s="2" t="str">
        <f aca="false">_xlfn.IFS(G2120&lt;0,"1 Negative",G2120=0,"2 Zero",G2120&lt;=500,"3 1-500",G2120&lt;=2000,"4 501-2000",TRUE(),"5 Above 2000")</f>
        <v>5 Above 2000</v>
      </c>
      <c r="P2120" s="2" t="n">
        <f aca="false">Lookups!$B$2*M2120+Lookups!$B$3*L2120</f>
        <v>1</v>
      </c>
      <c r="Q2120" s="2" t="str">
        <f aca="false">INDEX(Lookups!$E$2:$E$5,MATCH(P2120,Lookups!$D$2:$D$5,0))</f>
        <v>Medium</v>
      </c>
    </row>
    <row r="2121" customFormat="false" ht="15" hidden="false" customHeight="false" outlineLevel="0" collapsed="false">
      <c r="A2121" s="3" t="n">
        <v>2120</v>
      </c>
      <c r="B2121" s="3" t="n">
        <f aca="false">Raw_Data!A2121</f>
        <v>31</v>
      </c>
      <c r="C2121" s="3" t="str">
        <f aca="false">SUBSTITUTE(Raw_Data!B2121,".","")</f>
        <v>unemployed</v>
      </c>
      <c r="D2121" s="3" t="str">
        <f aca="false">Raw_Data!C2121</f>
        <v>married</v>
      </c>
      <c r="E2121" s="3" t="str">
        <f aca="false">Raw_Data!D2121</f>
        <v>tertiary</v>
      </c>
      <c r="F2121" s="3" t="str">
        <f aca="false">Raw_Data!E2121</f>
        <v>no</v>
      </c>
      <c r="G2121" s="3" t="n">
        <f aca="false">Raw_Data!F2121</f>
        <v>591</v>
      </c>
      <c r="H2121" s="3" t="str">
        <f aca="false">Raw_Data!G2121</f>
        <v>no</v>
      </c>
      <c r="I2121" s="3" t="str">
        <f aca="false">Raw_Data!H2121</f>
        <v>no</v>
      </c>
      <c r="J2121" s="2" t="n">
        <f aca="false">IF(F2121="yes",1,0)</f>
        <v>0</v>
      </c>
      <c r="K2121" s="2" t="n">
        <f aca="false">IF(H2121="yes",1,0)</f>
        <v>0</v>
      </c>
      <c r="L2121" s="2" t="n">
        <f aca="false">IF(I2121="yes",1,0)</f>
        <v>0</v>
      </c>
      <c r="M2121" s="2" t="n">
        <f aca="false">IF(G2121&lt;0,1,0)</f>
        <v>0</v>
      </c>
      <c r="N2121" s="2" t="str">
        <f aca="false">_xlfn.IFS(B2121&lt;30,"Under 30",B2121&lt;40,"30-39",B2121&lt;50,"40-49",B2121&lt;60,"50-59",TRUE(),"60+")</f>
        <v>30-39</v>
      </c>
      <c r="O2121" s="2" t="str">
        <f aca="false">_xlfn.IFS(G2121&lt;0,"1 Negative",G2121=0,"2 Zero",G2121&lt;=500,"3 1-500",G2121&lt;=2000,"4 501-2000",TRUE(),"5 Above 2000")</f>
        <v>4 501-2000</v>
      </c>
      <c r="P2121" s="2" t="n">
        <f aca="false">Lookups!$B$2*M2121+Lookups!$B$3*L2121</f>
        <v>0</v>
      </c>
      <c r="Q2121" s="2" t="str">
        <f aca="false">INDEX(Lookups!$E$2:$E$5,MATCH(P2121,Lookups!$D$2:$D$5,0))</f>
        <v>Low</v>
      </c>
    </row>
    <row r="2122" customFormat="false" ht="15" hidden="false" customHeight="false" outlineLevel="0" collapsed="false">
      <c r="A2122" s="3" t="n">
        <v>2121</v>
      </c>
      <c r="B2122" s="3" t="n">
        <f aca="false">Raw_Data!A2122</f>
        <v>62</v>
      </c>
      <c r="C2122" s="3" t="str">
        <f aca="false">SUBSTITUTE(Raw_Data!B2122,".","")</f>
        <v>retired</v>
      </c>
      <c r="D2122" s="3" t="str">
        <f aca="false">Raw_Data!C2122</f>
        <v>divorced</v>
      </c>
      <c r="E2122" s="3" t="str">
        <f aca="false">Raw_Data!D2122</f>
        <v>tertiary</v>
      </c>
      <c r="F2122" s="3" t="str">
        <f aca="false">Raw_Data!E2122</f>
        <v>no</v>
      </c>
      <c r="G2122" s="3" t="n">
        <f aca="false">Raw_Data!F2122</f>
        <v>0</v>
      </c>
      <c r="H2122" s="3" t="str">
        <f aca="false">Raw_Data!G2122</f>
        <v>no</v>
      </c>
      <c r="I2122" s="3" t="str">
        <f aca="false">Raw_Data!H2122</f>
        <v>no</v>
      </c>
      <c r="J2122" s="2" t="n">
        <f aca="false">IF(F2122="yes",1,0)</f>
        <v>0</v>
      </c>
      <c r="K2122" s="2" t="n">
        <f aca="false">IF(H2122="yes",1,0)</f>
        <v>0</v>
      </c>
      <c r="L2122" s="2" t="n">
        <f aca="false">IF(I2122="yes",1,0)</f>
        <v>0</v>
      </c>
      <c r="M2122" s="2" t="n">
        <f aca="false">IF(G2122&lt;0,1,0)</f>
        <v>0</v>
      </c>
      <c r="N2122" s="2" t="str">
        <f aca="false">_xlfn.IFS(B2122&lt;30,"Under 30",B2122&lt;40,"30-39",B2122&lt;50,"40-49",B2122&lt;60,"50-59",TRUE(),"60+")</f>
        <v>60+</v>
      </c>
      <c r="O2122" s="2" t="str">
        <f aca="false">_xlfn.IFS(G2122&lt;0,"1 Negative",G2122=0,"2 Zero",G2122&lt;=500,"3 1-500",G2122&lt;=2000,"4 501-2000",TRUE(),"5 Above 2000")</f>
        <v>2 Zero</v>
      </c>
      <c r="P2122" s="2" t="n">
        <f aca="false">Lookups!$B$2*M2122+Lookups!$B$3*L2122</f>
        <v>0</v>
      </c>
      <c r="Q2122" s="2" t="str">
        <f aca="false">INDEX(Lookups!$E$2:$E$5,MATCH(P2122,Lookups!$D$2:$D$5,0))</f>
        <v>Low</v>
      </c>
    </row>
    <row r="2123" customFormat="false" ht="15" hidden="false" customHeight="false" outlineLevel="0" collapsed="false">
      <c r="A2123" s="3" t="n">
        <v>2122</v>
      </c>
      <c r="B2123" s="3" t="n">
        <f aca="false">Raw_Data!A2123</f>
        <v>24</v>
      </c>
      <c r="C2123" s="3" t="str">
        <f aca="false">SUBSTITUTE(Raw_Data!B2123,".","")</f>
        <v>student</v>
      </c>
      <c r="D2123" s="3" t="str">
        <f aca="false">Raw_Data!C2123</f>
        <v>single</v>
      </c>
      <c r="E2123" s="3" t="str">
        <f aca="false">Raw_Data!D2123</f>
        <v>secondary</v>
      </c>
      <c r="F2123" s="3" t="str">
        <f aca="false">Raw_Data!E2123</f>
        <v>no</v>
      </c>
      <c r="G2123" s="3" t="n">
        <f aca="false">Raw_Data!F2123</f>
        <v>508</v>
      </c>
      <c r="H2123" s="3" t="str">
        <f aca="false">Raw_Data!G2123</f>
        <v>yes</v>
      </c>
      <c r="I2123" s="3" t="str">
        <f aca="false">Raw_Data!H2123</f>
        <v>no</v>
      </c>
      <c r="J2123" s="2" t="n">
        <f aca="false">IF(F2123="yes",1,0)</f>
        <v>0</v>
      </c>
      <c r="K2123" s="2" t="n">
        <f aca="false">IF(H2123="yes",1,0)</f>
        <v>1</v>
      </c>
      <c r="L2123" s="2" t="n">
        <f aca="false">IF(I2123="yes",1,0)</f>
        <v>0</v>
      </c>
      <c r="M2123" s="2" t="n">
        <f aca="false">IF(G2123&lt;0,1,0)</f>
        <v>0</v>
      </c>
      <c r="N2123" s="2" t="str">
        <f aca="false">_xlfn.IFS(B2123&lt;30,"Under 30",B2123&lt;40,"30-39",B2123&lt;50,"40-49",B2123&lt;60,"50-59",TRUE(),"60+")</f>
        <v>Under 30</v>
      </c>
      <c r="O2123" s="2" t="str">
        <f aca="false">_xlfn.IFS(G2123&lt;0,"1 Negative",G2123=0,"2 Zero",G2123&lt;=500,"3 1-500",G2123&lt;=2000,"4 501-2000",TRUE(),"5 Above 2000")</f>
        <v>4 501-2000</v>
      </c>
      <c r="P2123" s="2" t="n">
        <f aca="false">Lookups!$B$2*M2123+Lookups!$B$3*L2123</f>
        <v>0</v>
      </c>
      <c r="Q2123" s="2" t="str">
        <f aca="false">INDEX(Lookups!$E$2:$E$5,MATCH(P2123,Lookups!$D$2:$D$5,0))</f>
        <v>Low</v>
      </c>
    </row>
    <row r="2124" customFormat="false" ht="15" hidden="false" customHeight="false" outlineLevel="0" collapsed="false">
      <c r="A2124" s="3" t="n">
        <v>2123</v>
      </c>
      <c r="B2124" s="3" t="n">
        <f aca="false">Raw_Data!A2124</f>
        <v>48</v>
      </c>
      <c r="C2124" s="3" t="str">
        <f aca="false">SUBSTITUTE(Raw_Data!B2124,".","")</f>
        <v>unemployed</v>
      </c>
      <c r="D2124" s="3" t="str">
        <f aca="false">Raw_Data!C2124</f>
        <v>married</v>
      </c>
      <c r="E2124" s="3" t="str">
        <f aca="false">Raw_Data!D2124</f>
        <v>secondary</v>
      </c>
      <c r="F2124" s="3" t="str">
        <f aca="false">Raw_Data!E2124</f>
        <v>no</v>
      </c>
      <c r="G2124" s="3" t="n">
        <f aca="false">Raw_Data!F2124</f>
        <v>817</v>
      </c>
      <c r="H2124" s="3" t="str">
        <f aca="false">Raw_Data!G2124</f>
        <v>no</v>
      </c>
      <c r="I2124" s="3" t="str">
        <f aca="false">Raw_Data!H2124</f>
        <v>no</v>
      </c>
      <c r="J2124" s="2" t="n">
        <f aca="false">IF(F2124="yes",1,0)</f>
        <v>0</v>
      </c>
      <c r="K2124" s="2" t="n">
        <f aca="false">IF(H2124="yes",1,0)</f>
        <v>0</v>
      </c>
      <c r="L2124" s="2" t="n">
        <f aca="false">IF(I2124="yes",1,0)</f>
        <v>0</v>
      </c>
      <c r="M2124" s="2" t="n">
        <f aca="false">IF(G2124&lt;0,1,0)</f>
        <v>0</v>
      </c>
      <c r="N2124" s="2" t="str">
        <f aca="false">_xlfn.IFS(B2124&lt;30,"Under 30",B2124&lt;40,"30-39",B2124&lt;50,"40-49",B2124&lt;60,"50-59",TRUE(),"60+")</f>
        <v>40-49</v>
      </c>
      <c r="O2124" s="2" t="str">
        <f aca="false">_xlfn.IFS(G2124&lt;0,"1 Negative",G2124=0,"2 Zero",G2124&lt;=500,"3 1-500",G2124&lt;=2000,"4 501-2000",TRUE(),"5 Above 2000")</f>
        <v>4 501-2000</v>
      </c>
      <c r="P2124" s="2" t="n">
        <f aca="false">Lookups!$B$2*M2124+Lookups!$B$3*L2124</f>
        <v>0</v>
      </c>
      <c r="Q2124" s="2" t="str">
        <f aca="false">INDEX(Lookups!$E$2:$E$5,MATCH(P2124,Lookups!$D$2:$D$5,0))</f>
        <v>Low</v>
      </c>
    </row>
    <row r="2125" customFormat="false" ht="15" hidden="false" customHeight="false" outlineLevel="0" collapsed="false">
      <c r="A2125" s="3" t="n">
        <v>2124</v>
      </c>
      <c r="B2125" s="3" t="n">
        <f aca="false">Raw_Data!A2125</f>
        <v>41</v>
      </c>
      <c r="C2125" s="3" t="str">
        <f aca="false">SUBSTITUTE(Raw_Data!B2125,".","")</f>
        <v>technician</v>
      </c>
      <c r="D2125" s="3" t="str">
        <f aca="false">Raw_Data!C2125</f>
        <v>divorced</v>
      </c>
      <c r="E2125" s="3" t="str">
        <f aca="false">Raw_Data!D2125</f>
        <v>secondary</v>
      </c>
      <c r="F2125" s="3" t="str">
        <f aca="false">Raw_Data!E2125</f>
        <v>no</v>
      </c>
      <c r="G2125" s="3" t="n">
        <f aca="false">Raw_Data!F2125</f>
        <v>348</v>
      </c>
      <c r="H2125" s="3" t="str">
        <f aca="false">Raw_Data!G2125</f>
        <v>yes</v>
      </c>
      <c r="I2125" s="3" t="str">
        <f aca="false">Raw_Data!H2125</f>
        <v>no</v>
      </c>
      <c r="J2125" s="2" t="n">
        <f aca="false">IF(F2125="yes",1,0)</f>
        <v>0</v>
      </c>
      <c r="K2125" s="2" t="n">
        <f aca="false">IF(H2125="yes",1,0)</f>
        <v>1</v>
      </c>
      <c r="L2125" s="2" t="n">
        <f aca="false">IF(I2125="yes",1,0)</f>
        <v>0</v>
      </c>
      <c r="M2125" s="2" t="n">
        <f aca="false">IF(G2125&lt;0,1,0)</f>
        <v>0</v>
      </c>
      <c r="N2125" s="2" t="str">
        <f aca="false">_xlfn.IFS(B2125&lt;30,"Under 30",B2125&lt;40,"30-39",B2125&lt;50,"40-49",B2125&lt;60,"50-59",TRUE(),"60+")</f>
        <v>40-49</v>
      </c>
      <c r="O2125" s="2" t="str">
        <f aca="false">_xlfn.IFS(G2125&lt;0,"1 Negative",G2125=0,"2 Zero",G2125&lt;=500,"3 1-500",G2125&lt;=2000,"4 501-2000",TRUE(),"5 Above 2000")</f>
        <v>3 1-500</v>
      </c>
      <c r="P2125" s="2" t="n">
        <f aca="false">Lookups!$B$2*M2125+Lookups!$B$3*L2125</f>
        <v>0</v>
      </c>
      <c r="Q2125" s="2" t="str">
        <f aca="false">INDEX(Lookups!$E$2:$E$5,MATCH(P2125,Lookups!$D$2:$D$5,0))</f>
        <v>Low</v>
      </c>
    </row>
    <row r="2126" customFormat="false" ht="15" hidden="false" customHeight="false" outlineLevel="0" collapsed="false">
      <c r="A2126" s="3" t="n">
        <v>2125</v>
      </c>
      <c r="B2126" s="3" t="n">
        <f aca="false">Raw_Data!A2126</f>
        <v>43</v>
      </c>
      <c r="C2126" s="3" t="str">
        <f aca="false">SUBSTITUTE(Raw_Data!B2126,".","")</f>
        <v>management</v>
      </c>
      <c r="D2126" s="3" t="str">
        <f aca="false">Raw_Data!C2126</f>
        <v>married</v>
      </c>
      <c r="E2126" s="3" t="str">
        <f aca="false">Raw_Data!D2126</f>
        <v>tertiary</v>
      </c>
      <c r="F2126" s="3" t="str">
        <f aca="false">Raw_Data!E2126</f>
        <v>no</v>
      </c>
      <c r="G2126" s="3" t="n">
        <f aca="false">Raw_Data!F2126</f>
        <v>291</v>
      </c>
      <c r="H2126" s="3" t="str">
        <f aca="false">Raw_Data!G2126</f>
        <v>yes</v>
      </c>
      <c r="I2126" s="3" t="str">
        <f aca="false">Raw_Data!H2126</f>
        <v>no</v>
      </c>
      <c r="J2126" s="2" t="n">
        <f aca="false">IF(F2126="yes",1,0)</f>
        <v>0</v>
      </c>
      <c r="K2126" s="2" t="n">
        <f aca="false">IF(H2126="yes",1,0)</f>
        <v>1</v>
      </c>
      <c r="L2126" s="2" t="n">
        <f aca="false">IF(I2126="yes",1,0)</f>
        <v>0</v>
      </c>
      <c r="M2126" s="2" t="n">
        <f aca="false">IF(G2126&lt;0,1,0)</f>
        <v>0</v>
      </c>
      <c r="N2126" s="2" t="str">
        <f aca="false">_xlfn.IFS(B2126&lt;30,"Under 30",B2126&lt;40,"30-39",B2126&lt;50,"40-49",B2126&lt;60,"50-59",TRUE(),"60+")</f>
        <v>40-49</v>
      </c>
      <c r="O2126" s="2" t="str">
        <f aca="false">_xlfn.IFS(G2126&lt;0,"1 Negative",G2126=0,"2 Zero",G2126&lt;=500,"3 1-500",G2126&lt;=2000,"4 501-2000",TRUE(),"5 Above 2000")</f>
        <v>3 1-500</v>
      </c>
      <c r="P2126" s="2" t="n">
        <f aca="false">Lookups!$B$2*M2126+Lookups!$B$3*L2126</f>
        <v>0</v>
      </c>
      <c r="Q2126" s="2" t="str">
        <f aca="false">INDEX(Lookups!$E$2:$E$5,MATCH(P2126,Lookups!$D$2:$D$5,0))</f>
        <v>Low</v>
      </c>
    </row>
    <row r="2127" customFormat="false" ht="15" hidden="false" customHeight="false" outlineLevel="0" collapsed="false">
      <c r="A2127" s="3" t="n">
        <v>2126</v>
      </c>
      <c r="B2127" s="3" t="n">
        <f aca="false">Raw_Data!A2127</f>
        <v>52</v>
      </c>
      <c r="C2127" s="3" t="str">
        <f aca="false">SUBSTITUTE(Raw_Data!B2127,".","")</f>
        <v>technician</v>
      </c>
      <c r="D2127" s="3" t="str">
        <f aca="false">Raw_Data!C2127</f>
        <v>married</v>
      </c>
      <c r="E2127" s="3" t="str">
        <f aca="false">Raw_Data!D2127</f>
        <v>secondary</v>
      </c>
      <c r="F2127" s="3" t="str">
        <f aca="false">Raw_Data!E2127</f>
        <v>no</v>
      </c>
      <c r="G2127" s="3" t="n">
        <f aca="false">Raw_Data!F2127</f>
        <v>3554</v>
      </c>
      <c r="H2127" s="3" t="str">
        <f aca="false">Raw_Data!G2127</f>
        <v>no</v>
      </c>
      <c r="I2127" s="3" t="str">
        <f aca="false">Raw_Data!H2127</f>
        <v>yes</v>
      </c>
      <c r="J2127" s="2" t="n">
        <f aca="false">IF(F2127="yes",1,0)</f>
        <v>0</v>
      </c>
      <c r="K2127" s="2" t="n">
        <f aca="false">IF(H2127="yes",1,0)</f>
        <v>0</v>
      </c>
      <c r="L2127" s="2" t="n">
        <f aca="false">IF(I2127="yes",1,0)</f>
        <v>1</v>
      </c>
      <c r="M2127" s="2" t="n">
        <f aca="false">IF(G2127&lt;0,1,0)</f>
        <v>0</v>
      </c>
      <c r="N2127" s="2" t="str">
        <f aca="false">_xlfn.IFS(B2127&lt;30,"Under 30",B2127&lt;40,"30-39",B2127&lt;50,"40-49",B2127&lt;60,"50-59",TRUE(),"60+")</f>
        <v>50-59</v>
      </c>
      <c r="O2127" s="2" t="str">
        <f aca="false">_xlfn.IFS(G2127&lt;0,"1 Negative",G2127=0,"2 Zero",G2127&lt;=500,"3 1-500",G2127&lt;=2000,"4 501-2000",TRUE(),"5 Above 2000")</f>
        <v>5 Above 2000</v>
      </c>
      <c r="P2127" s="2" t="n">
        <f aca="false">Lookups!$B$2*M2127+Lookups!$B$3*L2127</f>
        <v>1</v>
      </c>
      <c r="Q2127" s="2" t="str">
        <f aca="false">INDEX(Lookups!$E$2:$E$5,MATCH(P2127,Lookups!$D$2:$D$5,0))</f>
        <v>Medium</v>
      </c>
    </row>
    <row r="2128" customFormat="false" ht="15" hidden="false" customHeight="false" outlineLevel="0" collapsed="false">
      <c r="A2128" s="3" t="n">
        <v>2127</v>
      </c>
      <c r="B2128" s="3" t="n">
        <f aca="false">Raw_Data!A2128</f>
        <v>54</v>
      </c>
      <c r="C2128" s="3" t="str">
        <f aca="false">SUBSTITUTE(Raw_Data!B2128,".","")</f>
        <v>blue-collar</v>
      </c>
      <c r="D2128" s="3" t="str">
        <f aca="false">Raw_Data!C2128</f>
        <v>married</v>
      </c>
      <c r="E2128" s="3" t="str">
        <f aca="false">Raw_Data!D2128</f>
        <v>primary</v>
      </c>
      <c r="F2128" s="3" t="str">
        <f aca="false">Raw_Data!E2128</f>
        <v>no</v>
      </c>
      <c r="G2128" s="3" t="n">
        <f aca="false">Raw_Data!F2128</f>
        <v>781</v>
      </c>
      <c r="H2128" s="3" t="str">
        <f aca="false">Raw_Data!G2128</f>
        <v>yes</v>
      </c>
      <c r="I2128" s="3" t="str">
        <f aca="false">Raw_Data!H2128</f>
        <v>no</v>
      </c>
      <c r="J2128" s="2" t="n">
        <f aca="false">IF(F2128="yes",1,0)</f>
        <v>0</v>
      </c>
      <c r="K2128" s="2" t="n">
        <f aca="false">IF(H2128="yes",1,0)</f>
        <v>1</v>
      </c>
      <c r="L2128" s="2" t="n">
        <f aca="false">IF(I2128="yes",1,0)</f>
        <v>0</v>
      </c>
      <c r="M2128" s="2" t="n">
        <f aca="false">IF(G2128&lt;0,1,0)</f>
        <v>0</v>
      </c>
      <c r="N2128" s="2" t="str">
        <f aca="false">_xlfn.IFS(B2128&lt;30,"Under 30",B2128&lt;40,"30-39",B2128&lt;50,"40-49",B2128&lt;60,"50-59",TRUE(),"60+")</f>
        <v>50-59</v>
      </c>
      <c r="O2128" s="2" t="str">
        <f aca="false">_xlfn.IFS(G2128&lt;0,"1 Negative",G2128=0,"2 Zero",G2128&lt;=500,"3 1-500",G2128&lt;=2000,"4 501-2000",TRUE(),"5 Above 2000")</f>
        <v>4 501-2000</v>
      </c>
      <c r="P2128" s="2" t="n">
        <f aca="false">Lookups!$B$2*M2128+Lookups!$B$3*L2128</f>
        <v>0</v>
      </c>
      <c r="Q2128" s="2" t="str">
        <f aca="false">INDEX(Lookups!$E$2:$E$5,MATCH(P2128,Lookups!$D$2:$D$5,0))</f>
        <v>Low</v>
      </c>
    </row>
    <row r="2129" customFormat="false" ht="15" hidden="false" customHeight="false" outlineLevel="0" collapsed="false">
      <c r="A2129" s="3" t="n">
        <v>2128</v>
      </c>
      <c r="B2129" s="3" t="n">
        <f aca="false">Raw_Data!A2129</f>
        <v>32</v>
      </c>
      <c r="C2129" s="3" t="str">
        <f aca="false">SUBSTITUTE(Raw_Data!B2129,".","")</f>
        <v>technician</v>
      </c>
      <c r="D2129" s="3" t="str">
        <f aca="false">Raw_Data!C2129</f>
        <v>divorced</v>
      </c>
      <c r="E2129" s="3" t="str">
        <f aca="false">Raw_Data!D2129</f>
        <v>tertiary</v>
      </c>
      <c r="F2129" s="3" t="str">
        <f aca="false">Raw_Data!E2129</f>
        <v>no</v>
      </c>
      <c r="G2129" s="3" t="n">
        <f aca="false">Raw_Data!F2129</f>
        <v>267</v>
      </c>
      <c r="H2129" s="3" t="str">
        <f aca="false">Raw_Data!G2129</f>
        <v>no</v>
      </c>
      <c r="I2129" s="3" t="str">
        <f aca="false">Raw_Data!H2129</f>
        <v>no</v>
      </c>
      <c r="J2129" s="2" t="n">
        <f aca="false">IF(F2129="yes",1,0)</f>
        <v>0</v>
      </c>
      <c r="K2129" s="2" t="n">
        <f aca="false">IF(H2129="yes",1,0)</f>
        <v>0</v>
      </c>
      <c r="L2129" s="2" t="n">
        <f aca="false">IF(I2129="yes",1,0)</f>
        <v>0</v>
      </c>
      <c r="M2129" s="2" t="n">
        <f aca="false">IF(G2129&lt;0,1,0)</f>
        <v>0</v>
      </c>
      <c r="N2129" s="2" t="str">
        <f aca="false">_xlfn.IFS(B2129&lt;30,"Under 30",B2129&lt;40,"30-39",B2129&lt;50,"40-49",B2129&lt;60,"50-59",TRUE(),"60+")</f>
        <v>30-39</v>
      </c>
      <c r="O2129" s="2" t="str">
        <f aca="false">_xlfn.IFS(G2129&lt;0,"1 Negative",G2129=0,"2 Zero",G2129&lt;=500,"3 1-500",G2129&lt;=2000,"4 501-2000",TRUE(),"5 Above 2000")</f>
        <v>3 1-500</v>
      </c>
      <c r="P2129" s="2" t="n">
        <f aca="false">Lookups!$B$2*M2129+Lookups!$B$3*L2129</f>
        <v>0</v>
      </c>
      <c r="Q2129" s="2" t="str">
        <f aca="false">INDEX(Lookups!$E$2:$E$5,MATCH(P2129,Lookups!$D$2:$D$5,0))</f>
        <v>Low</v>
      </c>
    </row>
    <row r="2130" customFormat="false" ht="15" hidden="false" customHeight="false" outlineLevel="0" collapsed="false">
      <c r="A2130" s="3" t="n">
        <v>2129</v>
      </c>
      <c r="B2130" s="3" t="n">
        <f aca="false">Raw_Data!A2130</f>
        <v>38</v>
      </c>
      <c r="C2130" s="3" t="str">
        <f aca="false">SUBSTITUTE(Raw_Data!B2130,".","")</f>
        <v>blue-collar</v>
      </c>
      <c r="D2130" s="3" t="str">
        <f aca="false">Raw_Data!C2130</f>
        <v>married</v>
      </c>
      <c r="E2130" s="3" t="str">
        <f aca="false">Raw_Data!D2130</f>
        <v>primary</v>
      </c>
      <c r="F2130" s="3" t="str">
        <f aca="false">Raw_Data!E2130</f>
        <v>no</v>
      </c>
      <c r="G2130" s="3" t="n">
        <f aca="false">Raw_Data!F2130</f>
        <v>1327</v>
      </c>
      <c r="H2130" s="3" t="str">
        <f aca="false">Raw_Data!G2130</f>
        <v>yes</v>
      </c>
      <c r="I2130" s="3" t="str">
        <f aca="false">Raw_Data!H2130</f>
        <v>no</v>
      </c>
      <c r="J2130" s="2" t="n">
        <f aca="false">IF(F2130="yes",1,0)</f>
        <v>0</v>
      </c>
      <c r="K2130" s="2" t="n">
        <f aca="false">IF(H2130="yes",1,0)</f>
        <v>1</v>
      </c>
      <c r="L2130" s="2" t="n">
        <f aca="false">IF(I2130="yes",1,0)</f>
        <v>0</v>
      </c>
      <c r="M2130" s="2" t="n">
        <f aca="false">IF(G2130&lt;0,1,0)</f>
        <v>0</v>
      </c>
      <c r="N2130" s="2" t="str">
        <f aca="false">_xlfn.IFS(B2130&lt;30,"Under 30",B2130&lt;40,"30-39",B2130&lt;50,"40-49",B2130&lt;60,"50-59",TRUE(),"60+")</f>
        <v>30-39</v>
      </c>
      <c r="O2130" s="2" t="str">
        <f aca="false">_xlfn.IFS(G2130&lt;0,"1 Negative",G2130=0,"2 Zero",G2130&lt;=500,"3 1-500",G2130&lt;=2000,"4 501-2000",TRUE(),"5 Above 2000")</f>
        <v>4 501-2000</v>
      </c>
      <c r="P2130" s="2" t="n">
        <f aca="false">Lookups!$B$2*M2130+Lookups!$B$3*L2130</f>
        <v>0</v>
      </c>
      <c r="Q2130" s="2" t="str">
        <f aca="false">INDEX(Lookups!$E$2:$E$5,MATCH(P2130,Lookups!$D$2:$D$5,0))</f>
        <v>Low</v>
      </c>
    </row>
    <row r="2131" customFormat="false" ht="15" hidden="false" customHeight="false" outlineLevel="0" collapsed="false">
      <c r="A2131" s="3" t="n">
        <v>2130</v>
      </c>
      <c r="B2131" s="3" t="n">
        <f aca="false">Raw_Data!A2131</f>
        <v>41</v>
      </c>
      <c r="C2131" s="3" t="str">
        <f aca="false">SUBSTITUTE(Raw_Data!B2131,".","")</f>
        <v>admin</v>
      </c>
      <c r="D2131" s="3" t="str">
        <f aca="false">Raw_Data!C2131</f>
        <v>married</v>
      </c>
      <c r="E2131" s="3" t="str">
        <f aca="false">Raw_Data!D2131</f>
        <v>primary</v>
      </c>
      <c r="F2131" s="3" t="str">
        <f aca="false">Raw_Data!E2131</f>
        <v>no</v>
      </c>
      <c r="G2131" s="3" t="n">
        <f aca="false">Raw_Data!F2131</f>
        <v>-306</v>
      </c>
      <c r="H2131" s="3" t="str">
        <f aca="false">Raw_Data!G2131</f>
        <v>yes</v>
      </c>
      <c r="I2131" s="3" t="str">
        <f aca="false">Raw_Data!H2131</f>
        <v>no</v>
      </c>
      <c r="J2131" s="2" t="n">
        <f aca="false">IF(F2131="yes",1,0)</f>
        <v>0</v>
      </c>
      <c r="K2131" s="2" t="n">
        <f aca="false">IF(H2131="yes",1,0)</f>
        <v>1</v>
      </c>
      <c r="L2131" s="2" t="n">
        <f aca="false">IF(I2131="yes",1,0)</f>
        <v>0</v>
      </c>
      <c r="M2131" s="2" t="n">
        <f aca="false">IF(G2131&lt;0,1,0)</f>
        <v>1</v>
      </c>
      <c r="N2131" s="2" t="str">
        <f aca="false">_xlfn.IFS(B2131&lt;30,"Under 30",B2131&lt;40,"30-39",B2131&lt;50,"40-49",B2131&lt;60,"50-59",TRUE(),"60+")</f>
        <v>40-49</v>
      </c>
      <c r="O2131" s="2" t="str">
        <f aca="false">_xlfn.IFS(G2131&lt;0,"1 Negative",G2131=0,"2 Zero",G2131&lt;=500,"3 1-500",G2131&lt;=2000,"4 501-2000",TRUE(),"5 Above 2000")</f>
        <v>1 Negative</v>
      </c>
      <c r="P2131" s="2" t="n">
        <f aca="false">Lookups!$B$2*M2131+Lookups!$B$3*L2131</f>
        <v>2</v>
      </c>
      <c r="Q2131" s="2" t="str">
        <f aca="false">INDEX(Lookups!$E$2:$E$5,MATCH(P2131,Lookups!$D$2:$D$5,0))</f>
        <v>High</v>
      </c>
    </row>
    <row r="2132" customFormat="false" ht="15" hidden="false" customHeight="false" outlineLevel="0" collapsed="false">
      <c r="A2132" s="3" t="n">
        <v>2131</v>
      </c>
      <c r="B2132" s="3" t="n">
        <f aca="false">Raw_Data!A2132</f>
        <v>31</v>
      </c>
      <c r="C2132" s="3" t="str">
        <f aca="false">SUBSTITUTE(Raw_Data!B2132,".","")</f>
        <v>blue-collar</v>
      </c>
      <c r="D2132" s="3" t="str">
        <f aca="false">Raw_Data!C2132</f>
        <v>single</v>
      </c>
      <c r="E2132" s="3" t="str">
        <f aca="false">Raw_Data!D2132</f>
        <v>primary</v>
      </c>
      <c r="F2132" s="3" t="str">
        <f aca="false">Raw_Data!E2132</f>
        <v>no</v>
      </c>
      <c r="G2132" s="3" t="n">
        <f aca="false">Raw_Data!F2132</f>
        <v>864</v>
      </c>
      <c r="H2132" s="3" t="str">
        <f aca="false">Raw_Data!G2132</f>
        <v>yes</v>
      </c>
      <c r="I2132" s="3" t="str">
        <f aca="false">Raw_Data!H2132</f>
        <v>no</v>
      </c>
      <c r="J2132" s="2" t="n">
        <f aca="false">IF(F2132="yes",1,0)</f>
        <v>0</v>
      </c>
      <c r="K2132" s="2" t="n">
        <f aca="false">IF(H2132="yes",1,0)</f>
        <v>1</v>
      </c>
      <c r="L2132" s="2" t="n">
        <f aca="false">IF(I2132="yes",1,0)</f>
        <v>0</v>
      </c>
      <c r="M2132" s="2" t="n">
        <f aca="false">IF(G2132&lt;0,1,0)</f>
        <v>0</v>
      </c>
      <c r="N2132" s="2" t="str">
        <f aca="false">_xlfn.IFS(B2132&lt;30,"Under 30",B2132&lt;40,"30-39",B2132&lt;50,"40-49",B2132&lt;60,"50-59",TRUE(),"60+")</f>
        <v>30-39</v>
      </c>
      <c r="O2132" s="2" t="str">
        <f aca="false">_xlfn.IFS(G2132&lt;0,"1 Negative",G2132=0,"2 Zero",G2132&lt;=500,"3 1-500",G2132&lt;=2000,"4 501-2000",TRUE(),"5 Above 2000")</f>
        <v>4 501-2000</v>
      </c>
      <c r="P2132" s="2" t="n">
        <f aca="false">Lookups!$B$2*M2132+Lookups!$B$3*L2132</f>
        <v>0</v>
      </c>
      <c r="Q2132" s="2" t="str">
        <f aca="false">INDEX(Lookups!$E$2:$E$5,MATCH(P2132,Lookups!$D$2:$D$5,0))</f>
        <v>Low</v>
      </c>
    </row>
    <row r="2133" customFormat="false" ht="15" hidden="false" customHeight="false" outlineLevel="0" collapsed="false">
      <c r="A2133" s="3" t="n">
        <v>2132</v>
      </c>
      <c r="B2133" s="3" t="n">
        <f aca="false">Raw_Data!A2133</f>
        <v>35</v>
      </c>
      <c r="C2133" s="3" t="str">
        <f aca="false">SUBSTITUTE(Raw_Data!B2133,".","")</f>
        <v>housemaid</v>
      </c>
      <c r="D2133" s="3" t="str">
        <f aca="false">Raw_Data!C2133</f>
        <v>married</v>
      </c>
      <c r="E2133" s="3" t="str">
        <f aca="false">Raw_Data!D2133</f>
        <v>tertiary</v>
      </c>
      <c r="F2133" s="3" t="str">
        <f aca="false">Raw_Data!E2133</f>
        <v>no</v>
      </c>
      <c r="G2133" s="3" t="n">
        <f aca="false">Raw_Data!F2133</f>
        <v>1265</v>
      </c>
      <c r="H2133" s="3" t="str">
        <f aca="false">Raw_Data!G2133</f>
        <v>yes</v>
      </c>
      <c r="I2133" s="3" t="str">
        <f aca="false">Raw_Data!H2133</f>
        <v>no</v>
      </c>
      <c r="J2133" s="2" t="n">
        <f aca="false">IF(F2133="yes",1,0)</f>
        <v>0</v>
      </c>
      <c r="K2133" s="2" t="n">
        <f aca="false">IF(H2133="yes",1,0)</f>
        <v>1</v>
      </c>
      <c r="L2133" s="2" t="n">
        <f aca="false">IF(I2133="yes",1,0)</f>
        <v>0</v>
      </c>
      <c r="M2133" s="2" t="n">
        <f aca="false">IF(G2133&lt;0,1,0)</f>
        <v>0</v>
      </c>
      <c r="N2133" s="2" t="str">
        <f aca="false">_xlfn.IFS(B2133&lt;30,"Under 30",B2133&lt;40,"30-39",B2133&lt;50,"40-49",B2133&lt;60,"50-59",TRUE(),"60+")</f>
        <v>30-39</v>
      </c>
      <c r="O2133" s="2" t="str">
        <f aca="false">_xlfn.IFS(G2133&lt;0,"1 Negative",G2133=0,"2 Zero",G2133&lt;=500,"3 1-500",G2133&lt;=2000,"4 501-2000",TRUE(),"5 Above 2000")</f>
        <v>4 501-2000</v>
      </c>
      <c r="P2133" s="2" t="n">
        <f aca="false">Lookups!$B$2*M2133+Lookups!$B$3*L2133</f>
        <v>0</v>
      </c>
      <c r="Q2133" s="2" t="str">
        <f aca="false">INDEX(Lookups!$E$2:$E$5,MATCH(P2133,Lookups!$D$2:$D$5,0))</f>
        <v>Low</v>
      </c>
    </row>
    <row r="2134" customFormat="false" ht="15" hidden="false" customHeight="false" outlineLevel="0" collapsed="false">
      <c r="A2134" s="3" t="n">
        <v>2133</v>
      </c>
      <c r="B2134" s="3" t="n">
        <f aca="false">Raw_Data!A2134</f>
        <v>26</v>
      </c>
      <c r="C2134" s="3" t="str">
        <f aca="false">SUBSTITUTE(Raw_Data!B2134,".","")</f>
        <v>admin</v>
      </c>
      <c r="D2134" s="3" t="str">
        <f aca="false">Raw_Data!C2134</f>
        <v>married</v>
      </c>
      <c r="E2134" s="3" t="str">
        <f aca="false">Raw_Data!D2134</f>
        <v>secondary</v>
      </c>
      <c r="F2134" s="3" t="str">
        <f aca="false">Raw_Data!E2134</f>
        <v>no</v>
      </c>
      <c r="G2134" s="3" t="n">
        <f aca="false">Raw_Data!F2134</f>
        <v>0</v>
      </c>
      <c r="H2134" s="3" t="str">
        <f aca="false">Raw_Data!G2134</f>
        <v>no</v>
      </c>
      <c r="I2134" s="3" t="str">
        <f aca="false">Raw_Data!H2134</f>
        <v>no</v>
      </c>
      <c r="J2134" s="2" t="n">
        <f aca="false">IF(F2134="yes",1,0)</f>
        <v>0</v>
      </c>
      <c r="K2134" s="2" t="n">
        <f aca="false">IF(H2134="yes",1,0)</f>
        <v>0</v>
      </c>
      <c r="L2134" s="2" t="n">
        <f aca="false">IF(I2134="yes",1,0)</f>
        <v>0</v>
      </c>
      <c r="M2134" s="2" t="n">
        <f aca="false">IF(G2134&lt;0,1,0)</f>
        <v>0</v>
      </c>
      <c r="N2134" s="2" t="str">
        <f aca="false">_xlfn.IFS(B2134&lt;30,"Under 30",B2134&lt;40,"30-39",B2134&lt;50,"40-49",B2134&lt;60,"50-59",TRUE(),"60+")</f>
        <v>Under 30</v>
      </c>
      <c r="O2134" s="2" t="str">
        <f aca="false">_xlfn.IFS(G2134&lt;0,"1 Negative",G2134=0,"2 Zero",G2134&lt;=500,"3 1-500",G2134&lt;=2000,"4 501-2000",TRUE(),"5 Above 2000")</f>
        <v>2 Zero</v>
      </c>
      <c r="P2134" s="2" t="n">
        <f aca="false">Lookups!$B$2*M2134+Lookups!$B$3*L2134</f>
        <v>0</v>
      </c>
      <c r="Q2134" s="2" t="str">
        <f aca="false">INDEX(Lookups!$E$2:$E$5,MATCH(P2134,Lookups!$D$2:$D$5,0))</f>
        <v>Low</v>
      </c>
    </row>
    <row r="2135" customFormat="false" ht="15" hidden="false" customHeight="false" outlineLevel="0" collapsed="false">
      <c r="A2135" s="3" t="n">
        <v>2134</v>
      </c>
      <c r="B2135" s="3" t="n">
        <f aca="false">Raw_Data!A2135</f>
        <v>52</v>
      </c>
      <c r="C2135" s="3" t="str">
        <f aca="false">SUBSTITUTE(Raw_Data!B2135,".","")</f>
        <v>technician</v>
      </c>
      <c r="D2135" s="3" t="str">
        <f aca="false">Raw_Data!C2135</f>
        <v>married</v>
      </c>
      <c r="E2135" s="3" t="str">
        <f aca="false">Raw_Data!D2135</f>
        <v>tertiary</v>
      </c>
      <c r="F2135" s="3" t="str">
        <f aca="false">Raw_Data!E2135</f>
        <v>no</v>
      </c>
      <c r="G2135" s="3" t="n">
        <f aca="false">Raw_Data!F2135</f>
        <v>214</v>
      </c>
      <c r="H2135" s="3" t="str">
        <f aca="false">Raw_Data!G2135</f>
        <v>no</v>
      </c>
      <c r="I2135" s="3" t="str">
        <f aca="false">Raw_Data!H2135</f>
        <v>no</v>
      </c>
      <c r="J2135" s="2" t="n">
        <f aca="false">IF(F2135="yes",1,0)</f>
        <v>0</v>
      </c>
      <c r="K2135" s="2" t="n">
        <f aca="false">IF(H2135="yes",1,0)</f>
        <v>0</v>
      </c>
      <c r="L2135" s="2" t="n">
        <f aca="false">IF(I2135="yes",1,0)</f>
        <v>0</v>
      </c>
      <c r="M2135" s="2" t="n">
        <f aca="false">IF(G2135&lt;0,1,0)</f>
        <v>0</v>
      </c>
      <c r="N2135" s="2" t="str">
        <f aca="false">_xlfn.IFS(B2135&lt;30,"Under 30",B2135&lt;40,"30-39",B2135&lt;50,"40-49",B2135&lt;60,"50-59",TRUE(),"60+")</f>
        <v>50-59</v>
      </c>
      <c r="O2135" s="2" t="str">
        <f aca="false">_xlfn.IFS(G2135&lt;0,"1 Negative",G2135=0,"2 Zero",G2135&lt;=500,"3 1-500",G2135&lt;=2000,"4 501-2000",TRUE(),"5 Above 2000")</f>
        <v>3 1-500</v>
      </c>
      <c r="P2135" s="2" t="n">
        <f aca="false">Lookups!$B$2*M2135+Lookups!$B$3*L2135</f>
        <v>0</v>
      </c>
      <c r="Q2135" s="2" t="str">
        <f aca="false">INDEX(Lookups!$E$2:$E$5,MATCH(P2135,Lookups!$D$2:$D$5,0))</f>
        <v>Low</v>
      </c>
    </row>
    <row r="2136" customFormat="false" ht="15" hidden="false" customHeight="false" outlineLevel="0" collapsed="false">
      <c r="A2136" s="3" t="n">
        <v>2135</v>
      </c>
      <c r="B2136" s="3" t="n">
        <f aca="false">Raw_Data!A2136</f>
        <v>58</v>
      </c>
      <c r="C2136" s="3" t="str">
        <f aca="false">SUBSTITUTE(Raw_Data!B2136,".","")</f>
        <v>retired</v>
      </c>
      <c r="D2136" s="3" t="str">
        <f aca="false">Raw_Data!C2136</f>
        <v>married</v>
      </c>
      <c r="E2136" s="3" t="str">
        <f aca="false">Raw_Data!D2136</f>
        <v>secondary</v>
      </c>
      <c r="F2136" s="3" t="str">
        <f aca="false">Raw_Data!E2136</f>
        <v>no</v>
      </c>
      <c r="G2136" s="3" t="n">
        <f aca="false">Raw_Data!F2136</f>
        <v>425</v>
      </c>
      <c r="H2136" s="3" t="str">
        <f aca="false">Raw_Data!G2136</f>
        <v>yes</v>
      </c>
      <c r="I2136" s="3" t="str">
        <f aca="false">Raw_Data!H2136</f>
        <v>yes</v>
      </c>
      <c r="J2136" s="2" t="n">
        <f aca="false">IF(F2136="yes",1,0)</f>
        <v>0</v>
      </c>
      <c r="K2136" s="2" t="n">
        <f aca="false">IF(H2136="yes",1,0)</f>
        <v>1</v>
      </c>
      <c r="L2136" s="2" t="n">
        <f aca="false">IF(I2136="yes",1,0)</f>
        <v>1</v>
      </c>
      <c r="M2136" s="2" t="n">
        <f aca="false">IF(G2136&lt;0,1,0)</f>
        <v>0</v>
      </c>
      <c r="N2136" s="2" t="str">
        <f aca="false">_xlfn.IFS(B2136&lt;30,"Under 30",B2136&lt;40,"30-39",B2136&lt;50,"40-49",B2136&lt;60,"50-59",TRUE(),"60+")</f>
        <v>50-59</v>
      </c>
      <c r="O2136" s="2" t="str">
        <f aca="false">_xlfn.IFS(G2136&lt;0,"1 Negative",G2136=0,"2 Zero",G2136&lt;=500,"3 1-500",G2136&lt;=2000,"4 501-2000",TRUE(),"5 Above 2000")</f>
        <v>3 1-500</v>
      </c>
      <c r="P2136" s="2" t="n">
        <f aca="false">Lookups!$B$2*M2136+Lookups!$B$3*L2136</f>
        <v>1</v>
      </c>
      <c r="Q2136" s="2" t="str">
        <f aca="false">INDEX(Lookups!$E$2:$E$5,MATCH(P2136,Lookups!$D$2:$D$5,0))</f>
        <v>Medium</v>
      </c>
    </row>
    <row r="2137" customFormat="false" ht="15" hidden="false" customHeight="false" outlineLevel="0" collapsed="false">
      <c r="A2137" s="3" t="n">
        <v>2136</v>
      </c>
      <c r="B2137" s="3" t="n">
        <f aca="false">Raw_Data!A2137</f>
        <v>57</v>
      </c>
      <c r="C2137" s="3" t="str">
        <f aca="false">SUBSTITUTE(Raw_Data!B2137,".","")</f>
        <v>housemaid</v>
      </c>
      <c r="D2137" s="3" t="str">
        <f aca="false">Raw_Data!C2137</f>
        <v>married</v>
      </c>
      <c r="E2137" s="3" t="str">
        <f aca="false">Raw_Data!D2137</f>
        <v>tertiary</v>
      </c>
      <c r="F2137" s="3" t="str">
        <f aca="false">Raw_Data!E2137</f>
        <v>no</v>
      </c>
      <c r="G2137" s="3" t="n">
        <f aca="false">Raw_Data!F2137</f>
        <v>3</v>
      </c>
      <c r="H2137" s="3" t="str">
        <f aca="false">Raw_Data!G2137</f>
        <v>no</v>
      </c>
      <c r="I2137" s="3" t="str">
        <f aca="false">Raw_Data!H2137</f>
        <v>no</v>
      </c>
      <c r="J2137" s="2" t="n">
        <f aca="false">IF(F2137="yes",1,0)</f>
        <v>0</v>
      </c>
      <c r="K2137" s="2" t="n">
        <f aca="false">IF(H2137="yes",1,0)</f>
        <v>0</v>
      </c>
      <c r="L2137" s="2" t="n">
        <f aca="false">IF(I2137="yes",1,0)</f>
        <v>0</v>
      </c>
      <c r="M2137" s="2" t="n">
        <f aca="false">IF(G2137&lt;0,1,0)</f>
        <v>0</v>
      </c>
      <c r="N2137" s="2" t="str">
        <f aca="false">_xlfn.IFS(B2137&lt;30,"Under 30",B2137&lt;40,"30-39",B2137&lt;50,"40-49",B2137&lt;60,"50-59",TRUE(),"60+")</f>
        <v>50-59</v>
      </c>
      <c r="O2137" s="2" t="str">
        <f aca="false">_xlfn.IFS(G2137&lt;0,"1 Negative",G2137=0,"2 Zero",G2137&lt;=500,"3 1-500",G2137&lt;=2000,"4 501-2000",TRUE(),"5 Above 2000")</f>
        <v>3 1-500</v>
      </c>
      <c r="P2137" s="2" t="n">
        <f aca="false">Lookups!$B$2*M2137+Lookups!$B$3*L2137</f>
        <v>0</v>
      </c>
      <c r="Q2137" s="2" t="str">
        <f aca="false">INDEX(Lookups!$E$2:$E$5,MATCH(P2137,Lookups!$D$2:$D$5,0))</f>
        <v>Low</v>
      </c>
    </row>
    <row r="2138" customFormat="false" ht="15" hidden="false" customHeight="false" outlineLevel="0" collapsed="false">
      <c r="A2138" s="3" t="n">
        <v>2137</v>
      </c>
      <c r="B2138" s="3" t="n">
        <f aca="false">Raw_Data!A2138</f>
        <v>34</v>
      </c>
      <c r="C2138" s="3" t="str">
        <f aca="false">SUBSTITUTE(Raw_Data!B2138,".","")</f>
        <v>management</v>
      </c>
      <c r="D2138" s="3" t="str">
        <f aca="false">Raw_Data!C2138</f>
        <v>married</v>
      </c>
      <c r="E2138" s="3" t="str">
        <f aca="false">Raw_Data!D2138</f>
        <v>tertiary</v>
      </c>
      <c r="F2138" s="3" t="str">
        <f aca="false">Raw_Data!E2138</f>
        <v>no</v>
      </c>
      <c r="G2138" s="3" t="n">
        <f aca="false">Raw_Data!F2138</f>
        <v>0</v>
      </c>
      <c r="H2138" s="3" t="str">
        <f aca="false">Raw_Data!G2138</f>
        <v>yes</v>
      </c>
      <c r="I2138" s="3" t="str">
        <f aca="false">Raw_Data!H2138</f>
        <v>no</v>
      </c>
      <c r="J2138" s="2" t="n">
        <f aca="false">IF(F2138="yes",1,0)</f>
        <v>0</v>
      </c>
      <c r="K2138" s="2" t="n">
        <f aca="false">IF(H2138="yes",1,0)</f>
        <v>1</v>
      </c>
      <c r="L2138" s="2" t="n">
        <f aca="false">IF(I2138="yes",1,0)</f>
        <v>0</v>
      </c>
      <c r="M2138" s="2" t="n">
        <f aca="false">IF(G2138&lt;0,1,0)</f>
        <v>0</v>
      </c>
      <c r="N2138" s="2" t="str">
        <f aca="false">_xlfn.IFS(B2138&lt;30,"Under 30",B2138&lt;40,"30-39",B2138&lt;50,"40-49",B2138&lt;60,"50-59",TRUE(),"60+")</f>
        <v>30-39</v>
      </c>
      <c r="O2138" s="2" t="str">
        <f aca="false">_xlfn.IFS(G2138&lt;0,"1 Negative",G2138=0,"2 Zero",G2138&lt;=500,"3 1-500",G2138&lt;=2000,"4 501-2000",TRUE(),"5 Above 2000")</f>
        <v>2 Zero</v>
      </c>
      <c r="P2138" s="2" t="n">
        <f aca="false">Lookups!$B$2*M2138+Lookups!$B$3*L2138</f>
        <v>0</v>
      </c>
      <c r="Q2138" s="2" t="str">
        <f aca="false">INDEX(Lookups!$E$2:$E$5,MATCH(P2138,Lookups!$D$2:$D$5,0))</f>
        <v>Low</v>
      </c>
    </row>
    <row r="2139" customFormat="false" ht="15" hidden="false" customHeight="false" outlineLevel="0" collapsed="false">
      <c r="A2139" s="3" t="n">
        <v>2138</v>
      </c>
      <c r="B2139" s="3" t="n">
        <f aca="false">Raw_Data!A2139</f>
        <v>59</v>
      </c>
      <c r="C2139" s="3" t="str">
        <f aca="false">SUBSTITUTE(Raw_Data!B2139,".","")</f>
        <v>blue-collar</v>
      </c>
      <c r="D2139" s="3" t="str">
        <f aca="false">Raw_Data!C2139</f>
        <v>married</v>
      </c>
      <c r="E2139" s="3" t="str">
        <f aca="false">Raw_Data!D2139</f>
        <v>primary</v>
      </c>
      <c r="F2139" s="3" t="str">
        <f aca="false">Raw_Data!E2139</f>
        <v>no</v>
      </c>
      <c r="G2139" s="3" t="n">
        <f aca="false">Raw_Data!F2139</f>
        <v>0</v>
      </c>
      <c r="H2139" s="3" t="str">
        <f aca="false">Raw_Data!G2139</f>
        <v>no</v>
      </c>
      <c r="I2139" s="3" t="str">
        <f aca="false">Raw_Data!H2139</f>
        <v>no</v>
      </c>
      <c r="J2139" s="2" t="n">
        <f aca="false">IF(F2139="yes",1,0)</f>
        <v>0</v>
      </c>
      <c r="K2139" s="2" t="n">
        <f aca="false">IF(H2139="yes",1,0)</f>
        <v>0</v>
      </c>
      <c r="L2139" s="2" t="n">
        <f aca="false">IF(I2139="yes",1,0)</f>
        <v>0</v>
      </c>
      <c r="M2139" s="2" t="n">
        <f aca="false">IF(G2139&lt;0,1,0)</f>
        <v>0</v>
      </c>
      <c r="N2139" s="2" t="str">
        <f aca="false">_xlfn.IFS(B2139&lt;30,"Under 30",B2139&lt;40,"30-39",B2139&lt;50,"40-49",B2139&lt;60,"50-59",TRUE(),"60+")</f>
        <v>50-59</v>
      </c>
      <c r="O2139" s="2" t="str">
        <f aca="false">_xlfn.IFS(G2139&lt;0,"1 Negative",G2139=0,"2 Zero",G2139&lt;=500,"3 1-500",G2139&lt;=2000,"4 501-2000",TRUE(),"5 Above 2000")</f>
        <v>2 Zero</v>
      </c>
      <c r="P2139" s="2" t="n">
        <f aca="false">Lookups!$B$2*M2139+Lookups!$B$3*L2139</f>
        <v>0</v>
      </c>
      <c r="Q2139" s="2" t="str">
        <f aca="false">INDEX(Lookups!$E$2:$E$5,MATCH(P2139,Lookups!$D$2:$D$5,0))</f>
        <v>Low</v>
      </c>
    </row>
    <row r="2140" customFormat="false" ht="15" hidden="false" customHeight="false" outlineLevel="0" collapsed="false">
      <c r="A2140" s="3" t="n">
        <v>2139</v>
      </c>
      <c r="B2140" s="3" t="n">
        <f aca="false">Raw_Data!A2140</f>
        <v>27</v>
      </c>
      <c r="C2140" s="3" t="str">
        <f aca="false">SUBSTITUTE(Raw_Data!B2140,".","")</f>
        <v>technician</v>
      </c>
      <c r="D2140" s="3" t="str">
        <f aca="false">Raw_Data!C2140</f>
        <v>single</v>
      </c>
      <c r="E2140" s="3" t="str">
        <f aca="false">Raw_Data!D2140</f>
        <v>secondary</v>
      </c>
      <c r="F2140" s="3" t="str">
        <f aca="false">Raw_Data!E2140</f>
        <v>no</v>
      </c>
      <c r="G2140" s="3" t="n">
        <f aca="false">Raw_Data!F2140</f>
        <v>282</v>
      </c>
      <c r="H2140" s="3" t="str">
        <f aca="false">Raw_Data!G2140</f>
        <v>no</v>
      </c>
      <c r="I2140" s="3" t="str">
        <f aca="false">Raw_Data!H2140</f>
        <v>yes</v>
      </c>
      <c r="J2140" s="2" t="n">
        <f aca="false">IF(F2140="yes",1,0)</f>
        <v>0</v>
      </c>
      <c r="K2140" s="2" t="n">
        <f aca="false">IF(H2140="yes",1,0)</f>
        <v>0</v>
      </c>
      <c r="L2140" s="2" t="n">
        <f aca="false">IF(I2140="yes",1,0)</f>
        <v>1</v>
      </c>
      <c r="M2140" s="2" t="n">
        <f aca="false">IF(G2140&lt;0,1,0)</f>
        <v>0</v>
      </c>
      <c r="N2140" s="2" t="str">
        <f aca="false">_xlfn.IFS(B2140&lt;30,"Under 30",B2140&lt;40,"30-39",B2140&lt;50,"40-49",B2140&lt;60,"50-59",TRUE(),"60+")</f>
        <v>Under 30</v>
      </c>
      <c r="O2140" s="2" t="str">
        <f aca="false">_xlfn.IFS(G2140&lt;0,"1 Negative",G2140=0,"2 Zero",G2140&lt;=500,"3 1-500",G2140&lt;=2000,"4 501-2000",TRUE(),"5 Above 2000")</f>
        <v>3 1-500</v>
      </c>
      <c r="P2140" s="2" t="n">
        <f aca="false">Lookups!$B$2*M2140+Lookups!$B$3*L2140</f>
        <v>1</v>
      </c>
      <c r="Q2140" s="2" t="str">
        <f aca="false">INDEX(Lookups!$E$2:$E$5,MATCH(P2140,Lookups!$D$2:$D$5,0))</f>
        <v>Medium</v>
      </c>
    </row>
    <row r="2141" customFormat="false" ht="15" hidden="false" customHeight="false" outlineLevel="0" collapsed="false">
      <c r="A2141" s="3" t="n">
        <v>2140</v>
      </c>
      <c r="B2141" s="3" t="n">
        <f aca="false">Raw_Data!A2141</f>
        <v>42</v>
      </c>
      <c r="C2141" s="3" t="str">
        <f aca="false">SUBSTITUTE(Raw_Data!B2141,".","")</f>
        <v>entrepreneur</v>
      </c>
      <c r="D2141" s="3" t="str">
        <f aca="false">Raw_Data!C2141</f>
        <v>married</v>
      </c>
      <c r="E2141" s="3" t="str">
        <f aca="false">Raw_Data!D2141</f>
        <v>tertiary</v>
      </c>
      <c r="F2141" s="3" t="str">
        <f aca="false">Raw_Data!E2141</f>
        <v>no</v>
      </c>
      <c r="G2141" s="3" t="n">
        <f aca="false">Raw_Data!F2141</f>
        <v>0</v>
      </c>
      <c r="H2141" s="3" t="str">
        <f aca="false">Raw_Data!G2141</f>
        <v>no</v>
      </c>
      <c r="I2141" s="3" t="str">
        <f aca="false">Raw_Data!H2141</f>
        <v>no</v>
      </c>
      <c r="J2141" s="2" t="n">
        <f aca="false">IF(F2141="yes",1,0)</f>
        <v>0</v>
      </c>
      <c r="K2141" s="2" t="n">
        <f aca="false">IF(H2141="yes",1,0)</f>
        <v>0</v>
      </c>
      <c r="L2141" s="2" t="n">
        <f aca="false">IF(I2141="yes",1,0)</f>
        <v>0</v>
      </c>
      <c r="M2141" s="2" t="n">
        <f aca="false">IF(G2141&lt;0,1,0)</f>
        <v>0</v>
      </c>
      <c r="N2141" s="2" t="str">
        <f aca="false">_xlfn.IFS(B2141&lt;30,"Under 30",B2141&lt;40,"30-39",B2141&lt;50,"40-49",B2141&lt;60,"50-59",TRUE(),"60+")</f>
        <v>40-49</v>
      </c>
      <c r="O2141" s="2" t="str">
        <f aca="false">_xlfn.IFS(G2141&lt;0,"1 Negative",G2141=0,"2 Zero",G2141&lt;=500,"3 1-500",G2141&lt;=2000,"4 501-2000",TRUE(),"5 Above 2000")</f>
        <v>2 Zero</v>
      </c>
      <c r="P2141" s="2" t="n">
        <f aca="false">Lookups!$B$2*M2141+Lookups!$B$3*L2141</f>
        <v>0</v>
      </c>
      <c r="Q2141" s="2" t="str">
        <f aca="false">INDEX(Lookups!$E$2:$E$5,MATCH(P2141,Lookups!$D$2:$D$5,0))</f>
        <v>Low</v>
      </c>
    </row>
    <row r="2142" customFormat="false" ht="15" hidden="false" customHeight="false" outlineLevel="0" collapsed="false">
      <c r="A2142" s="3" t="n">
        <v>2141</v>
      </c>
      <c r="B2142" s="3" t="n">
        <f aca="false">Raw_Data!A2142</f>
        <v>47</v>
      </c>
      <c r="C2142" s="3" t="str">
        <f aca="false">SUBSTITUTE(Raw_Data!B2142,".","")</f>
        <v>housemaid</v>
      </c>
      <c r="D2142" s="3" t="str">
        <f aca="false">Raw_Data!C2142</f>
        <v>single</v>
      </c>
      <c r="E2142" s="3" t="str">
        <f aca="false">Raw_Data!D2142</f>
        <v>tertiary</v>
      </c>
      <c r="F2142" s="3" t="str">
        <f aca="false">Raw_Data!E2142</f>
        <v>no</v>
      </c>
      <c r="G2142" s="3" t="n">
        <f aca="false">Raw_Data!F2142</f>
        <v>3727</v>
      </c>
      <c r="H2142" s="3" t="str">
        <f aca="false">Raw_Data!G2142</f>
        <v>no</v>
      </c>
      <c r="I2142" s="3" t="str">
        <f aca="false">Raw_Data!H2142</f>
        <v>no</v>
      </c>
      <c r="J2142" s="2" t="n">
        <f aca="false">IF(F2142="yes",1,0)</f>
        <v>0</v>
      </c>
      <c r="K2142" s="2" t="n">
        <f aca="false">IF(H2142="yes",1,0)</f>
        <v>0</v>
      </c>
      <c r="L2142" s="2" t="n">
        <f aca="false">IF(I2142="yes",1,0)</f>
        <v>0</v>
      </c>
      <c r="M2142" s="2" t="n">
        <f aca="false">IF(G2142&lt;0,1,0)</f>
        <v>0</v>
      </c>
      <c r="N2142" s="2" t="str">
        <f aca="false">_xlfn.IFS(B2142&lt;30,"Under 30",B2142&lt;40,"30-39",B2142&lt;50,"40-49",B2142&lt;60,"50-59",TRUE(),"60+")</f>
        <v>40-49</v>
      </c>
      <c r="O2142" s="2" t="str">
        <f aca="false">_xlfn.IFS(G2142&lt;0,"1 Negative",G2142=0,"2 Zero",G2142&lt;=500,"3 1-500",G2142&lt;=2000,"4 501-2000",TRUE(),"5 Above 2000")</f>
        <v>5 Above 2000</v>
      </c>
      <c r="P2142" s="2" t="n">
        <f aca="false">Lookups!$B$2*M2142+Lookups!$B$3*L2142</f>
        <v>0</v>
      </c>
      <c r="Q2142" s="2" t="str">
        <f aca="false">INDEX(Lookups!$E$2:$E$5,MATCH(P2142,Lookups!$D$2:$D$5,0))</f>
        <v>Low</v>
      </c>
    </row>
    <row r="2143" customFormat="false" ht="15" hidden="false" customHeight="false" outlineLevel="0" collapsed="false">
      <c r="A2143" s="3" t="n">
        <v>2142</v>
      </c>
      <c r="B2143" s="3" t="n">
        <f aca="false">Raw_Data!A2143</f>
        <v>33</v>
      </c>
      <c r="C2143" s="3" t="str">
        <f aca="false">SUBSTITUTE(Raw_Data!B2143,".","")</f>
        <v>blue-collar</v>
      </c>
      <c r="D2143" s="3" t="str">
        <f aca="false">Raw_Data!C2143</f>
        <v>married</v>
      </c>
      <c r="E2143" s="3" t="str">
        <f aca="false">Raw_Data!D2143</f>
        <v>secondary</v>
      </c>
      <c r="F2143" s="3" t="str">
        <f aca="false">Raw_Data!E2143</f>
        <v>no</v>
      </c>
      <c r="G2143" s="3" t="n">
        <f aca="false">Raw_Data!F2143</f>
        <v>0</v>
      </c>
      <c r="H2143" s="3" t="str">
        <f aca="false">Raw_Data!G2143</f>
        <v>yes</v>
      </c>
      <c r="I2143" s="3" t="str">
        <f aca="false">Raw_Data!H2143</f>
        <v>yes</v>
      </c>
      <c r="J2143" s="2" t="n">
        <f aca="false">IF(F2143="yes",1,0)</f>
        <v>0</v>
      </c>
      <c r="K2143" s="2" t="n">
        <f aca="false">IF(H2143="yes",1,0)</f>
        <v>1</v>
      </c>
      <c r="L2143" s="2" t="n">
        <f aca="false">IF(I2143="yes",1,0)</f>
        <v>1</v>
      </c>
      <c r="M2143" s="2" t="n">
        <f aca="false">IF(G2143&lt;0,1,0)</f>
        <v>0</v>
      </c>
      <c r="N2143" s="2" t="str">
        <f aca="false">_xlfn.IFS(B2143&lt;30,"Under 30",B2143&lt;40,"30-39",B2143&lt;50,"40-49",B2143&lt;60,"50-59",TRUE(),"60+")</f>
        <v>30-39</v>
      </c>
      <c r="O2143" s="2" t="str">
        <f aca="false">_xlfn.IFS(G2143&lt;0,"1 Negative",G2143=0,"2 Zero",G2143&lt;=500,"3 1-500",G2143&lt;=2000,"4 501-2000",TRUE(),"5 Above 2000")</f>
        <v>2 Zero</v>
      </c>
      <c r="P2143" s="2" t="n">
        <f aca="false">Lookups!$B$2*M2143+Lookups!$B$3*L2143</f>
        <v>1</v>
      </c>
      <c r="Q2143" s="2" t="str">
        <f aca="false">INDEX(Lookups!$E$2:$E$5,MATCH(P2143,Lookups!$D$2:$D$5,0))</f>
        <v>Medium</v>
      </c>
    </row>
    <row r="2144" customFormat="false" ht="15" hidden="false" customHeight="false" outlineLevel="0" collapsed="false">
      <c r="A2144" s="3" t="n">
        <v>2143</v>
      </c>
      <c r="B2144" s="3" t="n">
        <f aca="false">Raw_Data!A2144</f>
        <v>31</v>
      </c>
      <c r="C2144" s="3" t="str">
        <f aca="false">SUBSTITUTE(Raw_Data!B2144,".","")</f>
        <v>services</v>
      </c>
      <c r="D2144" s="3" t="str">
        <f aca="false">Raw_Data!C2144</f>
        <v>single</v>
      </c>
      <c r="E2144" s="3" t="str">
        <f aca="false">Raw_Data!D2144</f>
        <v>secondary</v>
      </c>
      <c r="F2144" s="3" t="str">
        <f aca="false">Raw_Data!E2144</f>
        <v>no</v>
      </c>
      <c r="G2144" s="3" t="n">
        <f aca="false">Raw_Data!F2144</f>
        <v>864</v>
      </c>
      <c r="H2144" s="3" t="str">
        <f aca="false">Raw_Data!G2144</f>
        <v>yes</v>
      </c>
      <c r="I2144" s="3" t="str">
        <f aca="false">Raw_Data!H2144</f>
        <v>no</v>
      </c>
      <c r="J2144" s="2" t="n">
        <f aca="false">IF(F2144="yes",1,0)</f>
        <v>0</v>
      </c>
      <c r="K2144" s="2" t="n">
        <f aca="false">IF(H2144="yes",1,0)</f>
        <v>1</v>
      </c>
      <c r="L2144" s="2" t="n">
        <f aca="false">IF(I2144="yes",1,0)</f>
        <v>0</v>
      </c>
      <c r="M2144" s="2" t="n">
        <f aca="false">IF(G2144&lt;0,1,0)</f>
        <v>0</v>
      </c>
      <c r="N2144" s="2" t="str">
        <f aca="false">_xlfn.IFS(B2144&lt;30,"Under 30",B2144&lt;40,"30-39",B2144&lt;50,"40-49",B2144&lt;60,"50-59",TRUE(),"60+")</f>
        <v>30-39</v>
      </c>
      <c r="O2144" s="2" t="str">
        <f aca="false">_xlfn.IFS(G2144&lt;0,"1 Negative",G2144=0,"2 Zero",G2144&lt;=500,"3 1-500",G2144&lt;=2000,"4 501-2000",TRUE(),"5 Above 2000")</f>
        <v>4 501-2000</v>
      </c>
      <c r="P2144" s="2" t="n">
        <f aca="false">Lookups!$B$2*M2144+Lookups!$B$3*L2144</f>
        <v>0</v>
      </c>
      <c r="Q2144" s="2" t="str">
        <f aca="false">INDEX(Lookups!$E$2:$E$5,MATCH(P2144,Lookups!$D$2:$D$5,0))</f>
        <v>Low</v>
      </c>
    </row>
    <row r="2145" customFormat="false" ht="15" hidden="false" customHeight="false" outlineLevel="0" collapsed="false">
      <c r="A2145" s="3" t="n">
        <v>2144</v>
      </c>
      <c r="B2145" s="3" t="n">
        <f aca="false">Raw_Data!A2145</f>
        <v>37</v>
      </c>
      <c r="C2145" s="3" t="str">
        <f aca="false">SUBSTITUTE(Raw_Data!B2145,".","")</f>
        <v>management</v>
      </c>
      <c r="D2145" s="3" t="str">
        <f aca="false">Raw_Data!C2145</f>
        <v>married</v>
      </c>
      <c r="E2145" s="3" t="str">
        <f aca="false">Raw_Data!D2145</f>
        <v>tertiary</v>
      </c>
      <c r="F2145" s="3" t="str">
        <f aca="false">Raw_Data!E2145</f>
        <v>no</v>
      </c>
      <c r="G2145" s="3" t="n">
        <f aca="false">Raw_Data!F2145</f>
        <v>4089</v>
      </c>
      <c r="H2145" s="3" t="str">
        <f aca="false">Raw_Data!G2145</f>
        <v>yes</v>
      </c>
      <c r="I2145" s="3" t="str">
        <f aca="false">Raw_Data!H2145</f>
        <v>no</v>
      </c>
      <c r="J2145" s="2" t="n">
        <f aca="false">IF(F2145="yes",1,0)</f>
        <v>0</v>
      </c>
      <c r="K2145" s="2" t="n">
        <f aca="false">IF(H2145="yes",1,0)</f>
        <v>1</v>
      </c>
      <c r="L2145" s="2" t="n">
        <f aca="false">IF(I2145="yes",1,0)</f>
        <v>0</v>
      </c>
      <c r="M2145" s="2" t="n">
        <f aca="false">IF(G2145&lt;0,1,0)</f>
        <v>0</v>
      </c>
      <c r="N2145" s="2" t="str">
        <f aca="false">_xlfn.IFS(B2145&lt;30,"Under 30",B2145&lt;40,"30-39",B2145&lt;50,"40-49",B2145&lt;60,"50-59",TRUE(),"60+")</f>
        <v>30-39</v>
      </c>
      <c r="O2145" s="2" t="str">
        <f aca="false">_xlfn.IFS(G2145&lt;0,"1 Negative",G2145=0,"2 Zero",G2145&lt;=500,"3 1-500",G2145&lt;=2000,"4 501-2000",TRUE(),"5 Above 2000")</f>
        <v>5 Above 2000</v>
      </c>
      <c r="P2145" s="2" t="n">
        <f aca="false">Lookups!$B$2*M2145+Lookups!$B$3*L2145</f>
        <v>0</v>
      </c>
      <c r="Q2145" s="2" t="str">
        <f aca="false">INDEX(Lookups!$E$2:$E$5,MATCH(P2145,Lookups!$D$2:$D$5,0))</f>
        <v>Low</v>
      </c>
    </row>
    <row r="2146" customFormat="false" ht="15" hidden="false" customHeight="false" outlineLevel="0" collapsed="false">
      <c r="A2146" s="3" t="n">
        <v>2145</v>
      </c>
      <c r="B2146" s="3" t="n">
        <f aca="false">Raw_Data!A2146</f>
        <v>29</v>
      </c>
      <c r="C2146" s="3" t="str">
        <f aca="false">SUBSTITUTE(Raw_Data!B2146,".","")</f>
        <v>blue-collar</v>
      </c>
      <c r="D2146" s="3" t="str">
        <f aca="false">Raw_Data!C2146</f>
        <v>married</v>
      </c>
      <c r="E2146" s="3" t="str">
        <f aca="false">Raw_Data!D2146</f>
        <v>secondary</v>
      </c>
      <c r="F2146" s="3" t="str">
        <f aca="false">Raw_Data!E2146</f>
        <v>no</v>
      </c>
      <c r="G2146" s="3" t="n">
        <f aca="false">Raw_Data!F2146</f>
        <v>-478</v>
      </c>
      <c r="H2146" s="3" t="str">
        <f aca="false">Raw_Data!G2146</f>
        <v>no</v>
      </c>
      <c r="I2146" s="3" t="str">
        <f aca="false">Raw_Data!H2146</f>
        <v>yes</v>
      </c>
      <c r="J2146" s="2" t="n">
        <f aca="false">IF(F2146="yes",1,0)</f>
        <v>0</v>
      </c>
      <c r="K2146" s="2" t="n">
        <f aca="false">IF(H2146="yes",1,0)</f>
        <v>0</v>
      </c>
      <c r="L2146" s="2" t="n">
        <f aca="false">IF(I2146="yes",1,0)</f>
        <v>1</v>
      </c>
      <c r="M2146" s="2" t="n">
        <f aca="false">IF(G2146&lt;0,1,0)</f>
        <v>1</v>
      </c>
      <c r="N2146" s="2" t="str">
        <f aca="false">_xlfn.IFS(B2146&lt;30,"Under 30",B2146&lt;40,"30-39",B2146&lt;50,"40-49",B2146&lt;60,"50-59",TRUE(),"60+")</f>
        <v>Under 30</v>
      </c>
      <c r="O2146" s="2" t="str">
        <f aca="false">_xlfn.IFS(G2146&lt;0,"1 Negative",G2146=0,"2 Zero",G2146&lt;=500,"3 1-500",G2146&lt;=2000,"4 501-2000",TRUE(),"5 Above 2000")</f>
        <v>1 Negative</v>
      </c>
      <c r="P2146" s="2" t="n">
        <f aca="false">Lookups!$B$2*M2146+Lookups!$B$3*L2146</f>
        <v>3</v>
      </c>
      <c r="Q2146" s="2" t="str">
        <f aca="false">INDEX(Lookups!$E$2:$E$5,MATCH(P2146,Lookups!$D$2:$D$5,0))</f>
        <v>High</v>
      </c>
    </row>
    <row r="2147" customFormat="false" ht="15" hidden="false" customHeight="false" outlineLevel="0" collapsed="false">
      <c r="A2147" s="3" t="n">
        <v>2146</v>
      </c>
      <c r="B2147" s="3" t="n">
        <f aca="false">Raw_Data!A2147</f>
        <v>38</v>
      </c>
      <c r="C2147" s="3" t="str">
        <f aca="false">SUBSTITUTE(Raw_Data!B2147,".","")</f>
        <v>unemployed</v>
      </c>
      <c r="D2147" s="3" t="str">
        <f aca="false">Raw_Data!C2147</f>
        <v>married</v>
      </c>
      <c r="E2147" s="3" t="str">
        <f aca="false">Raw_Data!D2147</f>
        <v>primary</v>
      </c>
      <c r="F2147" s="3" t="str">
        <f aca="false">Raw_Data!E2147</f>
        <v>no</v>
      </c>
      <c r="G2147" s="3" t="n">
        <f aca="false">Raw_Data!F2147</f>
        <v>-363</v>
      </c>
      <c r="H2147" s="3" t="str">
        <f aca="false">Raw_Data!G2147</f>
        <v>no</v>
      </c>
      <c r="I2147" s="3" t="str">
        <f aca="false">Raw_Data!H2147</f>
        <v>no</v>
      </c>
      <c r="J2147" s="2" t="n">
        <f aca="false">IF(F2147="yes",1,0)</f>
        <v>0</v>
      </c>
      <c r="K2147" s="2" t="n">
        <f aca="false">IF(H2147="yes",1,0)</f>
        <v>0</v>
      </c>
      <c r="L2147" s="2" t="n">
        <f aca="false">IF(I2147="yes",1,0)</f>
        <v>0</v>
      </c>
      <c r="M2147" s="2" t="n">
        <f aca="false">IF(G2147&lt;0,1,0)</f>
        <v>1</v>
      </c>
      <c r="N2147" s="2" t="str">
        <f aca="false">_xlfn.IFS(B2147&lt;30,"Under 30",B2147&lt;40,"30-39",B2147&lt;50,"40-49",B2147&lt;60,"50-59",TRUE(),"60+")</f>
        <v>30-39</v>
      </c>
      <c r="O2147" s="2" t="str">
        <f aca="false">_xlfn.IFS(G2147&lt;0,"1 Negative",G2147=0,"2 Zero",G2147&lt;=500,"3 1-500",G2147&lt;=2000,"4 501-2000",TRUE(),"5 Above 2000")</f>
        <v>1 Negative</v>
      </c>
      <c r="P2147" s="2" t="n">
        <f aca="false">Lookups!$B$2*M2147+Lookups!$B$3*L2147</f>
        <v>2</v>
      </c>
      <c r="Q2147" s="2" t="str">
        <f aca="false">INDEX(Lookups!$E$2:$E$5,MATCH(P2147,Lookups!$D$2:$D$5,0))</f>
        <v>High</v>
      </c>
    </row>
    <row r="2148" customFormat="false" ht="15" hidden="false" customHeight="false" outlineLevel="0" collapsed="false">
      <c r="A2148" s="3" t="n">
        <v>2147</v>
      </c>
      <c r="B2148" s="3" t="n">
        <f aca="false">Raw_Data!A2148</f>
        <v>35</v>
      </c>
      <c r="C2148" s="3" t="str">
        <f aca="false">SUBSTITUTE(Raw_Data!B2148,".","")</f>
        <v>self-employed</v>
      </c>
      <c r="D2148" s="3" t="str">
        <f aca="false">Raw_Data!C2148</f>
        <v>married</v>
      </c>
      <c r="E2148" s="3" t="str">
        <f aca="false">Raw_Data!D2148</f>
        <v>secondary</v>
      </c>
      <c r="F2148" s="3" t="str">
        <f aca="false">Raw_Data!E2148</f>
        <v>no</v>
      </c>
      <c r="G2148" s="3" t="n">
        <f aca="false">Raw_Data!F2148</f>
        <v>8883</v>
      </c>
      <c r="H2148" s="3" t="str">
        <f aca="false">Raw_Data!G2148</f>
        <v>no</v>
      </c>
      <c r="I2148" s="3" t="str">
        <f aca="false">Raw_Data!H2148</f>
        <v>no</v>
      </c>
      <c r="J2148" s="2" t="n">
        <f aca="false">IF(F2148="yes",1,0)</f>
        <v>0</v>
      </c>
      <c r="K2148" s="2" t="n">
        <f aca="false">IF(H2148="yes",1,0)</f>
        <v>0</v>
      </c>
      <c r="L2148" s="2" t="n">
        <f aca="false">IF(I2148="yes",1,0)</f>
        <v>0</v>
      </c>
      <c r="M2148" s="2" t="n">
        <f aca="false">IF(G2148&lt;0,1,0)</f>
        <v>0</v>
      </c>
      <c r="N2148" s="2" t="str">
        <f aca="false">_xlfn.IFS(B2148&lt;30,"Under 30",B2148&lt;40,"30-39",B2148&lt;50,"40-49",B2148&lt;60,"50-59",TRUE(),"60+")</f>
        <v>30-39</v>
      </c>
      <c r="O2148" s="2" t="str">
        <f aca="false">_xlfn.IFS(G2148&lt;0,"1 Negative",G2148=0,"2 Zero",G2148&lt;=500,"3 1-500",G2148&lt;=2000,"4 501-2000",TRUE(),"5 Above 2000")</f>
        <v>5 Above 2000</v>
      </c>
      <c r="P2148" s="2" t="n">
        <f aca="false">Lookups!$B$2*M2148+Lookups!$B$3*L2148</f>
        <v>0</v>
      </c>
      <c r="Q2148" s="2" t="str">
        <f aca="false">INDEX(Lookups!$E$2:$E$5,MATCH(P2148,Lookups!$D$2:$D$5,0))</f>
        <v>Low</v>
      </c>
    </row>
    <row r="2149" customFormat="false" ht="15" hidden="false" customHeight="false" outlineLevel="0" collapsed="false">
      <c r="A2149" s="3" t="n">
        <v>2148</v>
      </c>
      <c r="B2149" s="3" t="n">
        <f aca="false">Raw_Data!A2149</f>
        <v>31</v>
      </c>
      <c r="C2149" s="3" t="str">
        <f aca="false">SUBSTITUTE(Raw_Data!B2149,".","")</f>
        <v>technician</v>
      </c>
      <c r="D2149" s="3" t="str">
        <f aca="false">Raw_Data!C2149</f>
        <v>single</v>
      </c>
      <c r="E2149" s="3" t="str">
        <f aca="false">Raw_Data!D2149</f>
        <v>secondary</v>
      </c>
      <c r="F2149" s="3" t="str">
        <f aca="false">Raw_Data!E2149</f>
        <v>no</v>
      </c>
      <c r="G2149" s="3" t="n">
        <f aca="false">Raw_Data!F2149</f>
        <v>1970</v>
      </c>
      <c r="H2149" s="3" t="str">
        <f aca="false">Raw_Data!G2149</f>
        <v>no</v>
      </c>
      <c r="I2149" s="3" t="str">
        <f aca="false">Raw_Data!H2149</f>
        <v>no</v>
      </c>
      <c r="J2149" s="2" t="n">
        <f aca="false">IF(F2149="yes",1,0)</f>
        <v>0</v>
      </c>
      <c r="K2149" s="2" t="n">
        <f aca="false">IF(H2149="yes",1,0)</f>
        <v>0</v>
      </c>
      <c r="L2149" s="2" t="n">
        <f aca="false">IF(I2149="yes",1,0)</f>
        <v>0</v>
      </c>
      <c r="M2149" s="2" t="n">
        <f aca="false">IF(G2149&lt;0,1,0)</f>
        <v>0</v>
      </c>
      <c r="N2149" s="2" t="str">
        <f aca="false">_xlfn.IFS(B2149&lt;30,"Under 30",B2149&lt;40,"30-39",B2149&lt;50,"40-49",B2149&lt;60,"50-59",TRUE(),"60+")</f>
        <v>30-39</v>
      </c>
      <c r="O2149" s="2" t="str">
        <f aca="false">_xlfn.IFS(G2149&lt;0,"1 Negative",G2149=0,"2 Zero",G2149&lt;=500,"3 1-500",G2149&lt;=2000,"4 501-2000",TRUE(),"5 Above 2000")</f>
        <v>4 501-2000</v>
      </c>
      <c r="P2149" s="2" t="n">
        <f aca="false">Lookups!$B$2*M2149+Lookups!$B$3*L2149</f>
        <v>0</v>
      </c>
      <c r="Q2149" s="2" t="str">
        <f aca="false">INDEX(Lookups!$E$2:$E$5,MATCH(P2149,Lookups!$D$2:$D$5,0))</f>
        <v>Low</v>
      </c>
    </row>
    <row r="2150" customFormat="false" ht="15" hidden="false" customHeight="false" outlineLevel="0" collapsed="false">
      <c r="A2150" s="3" t="n">
        <v>2149</v>
      </c>
      <c r="B2150" s="3" t="n">
        <f aca="false">Raw_Data!A2150</f>
        <v>62</v>
      </c>
      <c r="C2150" s="3" t="str">
        <f aca="false">SUBSTITUTE(Raw_Data!B2150,".","")</f>
        <v>management</v>
      </c>
      <c r="D2150" s="3" t="str">
        <f aca="false">Raw_Data!C2150</f>
        <v>married</v>
      </c>
      <c r="E2150" s="3" t="str">
        <f aca="false">Raw_Data!D2150</f>
        <v>tertiary</v>
      </c>
      <c r="F2150" s="3" t="str">
        <f aca="false">Raw_Data!E2150</f>
        <v>no</v>
      </c>
      <c r="G2150" s="3" t="n">
        <f aca="false">Raw_Data!F2150</f>
        <v>1859</v>
      </c>
      <c r="H2150" s="3" t="str">
        <f aca="false">Raw_Data!G2150</f>
        <v>no</v>
      </c>
      <c r="I2150" s="3" t="str">
        <f aca="false">Raw_Data!H2150</f>
        <v>no</v>
      </c>
      <c r="J2150" s="2" t="n">
        <f aca="false">IF(F2150="yes",1,0)</f>
        <v>0</v>
      </c>
      <c r="K2150" s="2" t="n">
        <f aca="false">IF(H2150="yes",1,0)</f>
        <v>0</v>
      </c>
      <c r="L2150" s="2" t="n">
        <f aca="false">IF(I2150="yes",1,0)</f>
        <v>0</v>
      </c>
      <c r="M2150" s="2" t="n">
        <f aca="false">IF(G2150&lt;0,1,0)</f>
        <v>0</v>
      </c>
      <c r="N2150" s="2" t="str">
        <f aca="false">_xlfn.IFS(B2150&lt;30,"Under 30",B2150&lt;40,"30-39",B2150&lt;50,"40-49",B2150&lt;60,"50-59",TRUE(),"60+")</f>
        <v>60+</v>
      </c>
      <c r="O2150" s="2" t="str">
        <f aca="false">_xlfn.IFS(G2150&lt;0,"1 Negative",G2150=0,"2 Zero",G2150&lt;=500,"3 1-500",G2150&lt;=2000,"4 501-2000",TRUE(),"5 Above 2000")</f>
        <v>4 501-2000</v>
      </c>
      <c r="P2150" s="2" t="n">
        <f aca="false">Lookups!$B$2*M2150+Lookups!$B$3*L2150</f>
        <v>0</v>
      </c>
      <c r="Q2150" s="2" t="str">
        <f aca="false">INDEX(Lookups!$E$2:$E$5,MATCH(P2150,Lookups!$D$2:$D$5,0))</f>
        <v>Low</v>
      </c>
    </row>
    <row r="2151" customFormat="false" ht="15" hidden="false" customHeight="false" outlineLevel="0" collapsed="false">
      <c r="A2151" s="3" t="n">
        <v>2150</v>
      </c>
      <c r="B2151" s="3" t="n">
        <f aca="false">Raw_Data!A2151</f>
        <v>32</v>
      </c>
      <c r="C2151" s="3" t="str">
        <f aca="false">SUBSTITUTE(Raw_Data!B2151,".","")</f>
        <v>technician</v>
      </c>
      <c r="D2151" s="3" t="str">
        <f aca="false">Raw_Data!C2151</f>
        <v>single</v>
      </c>
      <c r="E2151" s="3" t="str">
        <f aca="false">Raw_Data!D2151</f>
        <v>tertiary</v>
      </c>
      <c r="F2151" s="3" t="str">
        <f aca="false">Raw_Data!E2151</f>
        <v>no</v>
      </c>
      <c r="G2151" s="3" t="n">
        <f aca="false">Raw_Data!F2151</f>
        <v>1059</v>
      </c>
      <c r="H2151" s="3" t="str">
        <f aca="false">Raw_Data!G2151</f>
        <v>yes</v>
      </c>
      <c r="I2151" s="3" t="str">
        <f aca="false">Raw_Data!H2151</f>
        <v>no</v>
      </c>
      <c r="J2151" s="2" t="n">
        <f aca="false">IF(F2151="yes",1,0)</f>
        <v>0</v>
      </c>
      <c r="K2151" s="2" t="n">
        <f aca="false">IF(H2151="yes",1,0)</f>
        <v>1</v>
      </c>
      <c r="L2151" s="2" t="n">
        <f aca="false">IF(I2151="yes",1,0)</f>
        <v>0</v>
      </c>
      <c r="M2151" s="2" t="n">
        <f aca="false">IF(G2151&lt;0,1,0)</f>
        <v>0</v>
      </c>
      <c r="N2151" s="2" t="str">
        <f aca="false">_xlfn.IFS(B2151&lt;30,"Under 30",B2151&lt;40,"30-39",B2151&lt;50,"40-49",B2151&lt;60,"50-59",TRUE(),"60+")</f>
        <v>30-39</v>
      </c>
      <c r="O2151" s="2" t="str">
        <f aca="false">_xlfn.IFS(G2151&lt;0,"1 Negative",G2151=0,"2 Zero",G2151&lt;=500,"3 1-500",G2151&lt;=2000,"4 501-2000",TRUE(),"5 Above 2000")</f>
        <v>4 501-2000</v>
      </c>
      <c r="P2151" s="2" t="n">
        <f aca="false">Lookups!$B$2*M2151+Lookups!$B$3*L2151</f>
        <v>0</v>
      </c>
      <c r="Q2151" s="2" t="str">
        <f aca="false">INDEX(Lookups!$E$2:$E$5,MATCH(P2151,Lookups!$D$2:$D$5,0))</f>
        <v>Low</v>
      </c>
    </row>
    <row r="2152" customFormat="false" ht="15" hidden="false" customHeight="false" outlineLevel="0" collapsed="false">
      <c r="A2152" s="3" t="n">
        <v>2151</v>
      </c>
      <c r="B2152" s="3" t="n">
        <f aca="false">Raw_Data!A2152</f>
        <v>31</v>
      </c>
      <c r="C2152" s="3" t="str">
        <f aca="false">SUBSTITUTE(Raw_Data!B2152,".","")</f>
        <v>services</v>
      </c>
      <c r="D2152" s="3" t="str">
        <f aca="false">Raw_Data!C2152</f>
        <v>married</v>
      </c>
      <c r="E2152" s="3" t="str">
        <f aca="false">Raw_Data!D2152</f>
        <v>secondary</v>
      </c>
      <c r="F2152" s="3" t="str">
        <f aca="false">Raw_Data!E2152</f>
        <v>no</v>
      </c>
      <c r="G2152" s="3" t="n">
        <f aca="false">Raw_Data!F2152</f>
        <v>388</v>
      </c>
      <c r="H2152" s="3" t="str">
        <f aca="false">Raw_Data!G2152</f>
        <v>yes</v>
      </c>
      <c r="I2152" s="3" t="str">
        <f aca="false">Raw_Data!H2152</f>
        <v>no</v>
      </c>
      <c r="J2152" s="2" t="n">
        <f aca="false">IF(F2152="yes",1,0)</f>
        <v>0</v>
      </c>
      <c r="K2152" s="2" t="n">
        <f aca="false">IF(H2152="yes",1,0)</f>
        <v>1</v>
      </c>
      <c r="L2152" s="2" t="n">
        <f aca="false">IF(I2152="yes",1,0)</f>
        <v>0</v>
      </c>
      <c r="M2152" s="2" t="n">
        <f aca="false">IF(G2152&lt;0,1,0)</f>
        <v>0</v>
      </c>
      <c r="N2152" s="2" t="str">
        <f aca="false">_xlfn.IFS(B2152&lt;30,"Under 30",B2152&lt;40,"30-39",B2152&lt;50,"40-49",B2152&lt;60,"50-59",TRUE(),"60+")</f>
        <v>30-39</v>
      </c>
      <c r="O2152" s="2" t="str">
        <f aca="false">_xlfn.IFS(G2152&lt;0,"1 Negative",G2152=0,"2 Zero",G2152&lt;=500,"3 1-500",G2152&lt;=2000,"4 501-2000",TRUE(),"5 Above 2000")</f>
        <v>3 1-500</v>
      </c>
      <c r="P2152" s="2" t="n">
        <f aca="false">Lookups!$B$2*M2152+Lookups!$B$3*L2152</f>
        <v>0</v>
      </c>
      <c r="Q2152" s="2" t="str">
        <f aca="false">INDEX(Lookups!$E$2:$E$5,MATCH(P2152,Lookups!$D$2:$D$5,0))</f>
        <v>Low</v>
      </c>
    </row>
    <row r="2153" customFormat="false" ht="15" hidden="false" customHeight="false" outlineLevel="0" collapsed="false">
      <c r="A2153" s="3" t="n">
        <v>2152</v>
      </c>
      <c r="B2153" s="3" t="n">
        <f aca="false">Raw_Data!A2153</f>
        <v>51</v>
      </c>
      <c r="C2153" s="3" t="str">
        <f aca="false">SUBSTITUTE(Raw_Data!B2153,".","")</f>
        <v>blue-collar</v>
      </c>
      <c r="D2153" s="3" t="str">
        <f aca="false">Raw_Data!C2153</f>
        <v>divorced</v>
      </c>
      <c r="E2153" s="3" t="str">
        <f aca="false">Raw_Data!D2153</f>
        <v>primary</v>
      </c>
      <c r="F2153" s="3" t="str">
        <f aca="false">Raw_Data!E2153</f>
        <v>no</v>
      </c>
      <c r="G2153" s="3" t="n">
        <f aca="false">Raw_Data!F2153</f>
        <v>602</v>
      </c>
      <c r="H2153" s="3" t="str">
        <f aca="false">Raw_Data!G2153</f>
        <v>yes</v>
      </c>
      <c r="I2153" s="3" t="str">
        <f aca="false">Raw_Data!H2153</f>
        <v>no</v>
      </c>
      <c r="J2153" s="2" t="n">
        <f aca="false">IF(F2153="yes",1,0)</f>
        <v>0</v>
      </c>
      <c r="K2153" s="2" t="n">
        <f aca="false">IF(H2153="yes",1,0)</f>
        <v>1</v>
      </c>
      <c r="L2153" s="2" t="n">
        <f aca="false">IF(I2153="yes",1,0)</f>
        <v>0</v>
      </c>
      <c r="M2153" s="2" t="n">
        <f aca="false">IF(G2153&lt;0,1,0)</f>
        <v>0</v>
      </c>
      <c r="N2153" s="2" t="str">
        <f aca="false">_xlfn.IFS(B2153&lt;30,"Under 30",B2153&lt;40,"30-39",B2153&lt;50,"40-49",B2153&lt;60,"50-59",TRUE(),"60+")</f>
        <v>50-59</v>
      </c>
      <c r="O2153" s="2" t="str">
        <f aca="false">_xlfn.IFS(G2153&lt;0,"1 Negative",G2153=0,"2 Zero",G2153&lt;=500,"3 1-500",G2153&lt;=2000,"4 501-2000",TRUE(),"5 Above 2000")</f>
        <v>4 501-2000</v>
      </c>
      <c r="P2153" s="2" t="n">
        <f aca="false">Lookups!$B$2*M2153+Lookups!$B$3*L2153</f>
        <v>0</v>
      </c>
      <c r="Q2153" s="2" t="str">
        <f aca="false">INDEX(Lookups!$E$2:$E$5,MATCH(P2153,Lookups!$D$2:$D$5,0))</f>
        <v>Low</v>
      </c>
    </row>
    <row r="2154" customFormat="false" ht="15" hidden="false" customHeight="false" outlineLevel="0" collapsed="false">
      <c r="A2154" s="3" t="n">
        <v>2153</v>
      </c>
      <c r="B2154" s="3" t="n">
        <f aca="false">Raw_Data!A2154</f>
        <v>29</v>
      </c>
      <c r="C2154" s="3" t="str">
        <f aca="false">SUBSTITUTE(Raw_Data!B2154,".","")</f>
        <v>services</v>
      </c>
      <c r="D2154" s="3" t="str">
        <f aca="false">Raw_Data!C2154</f>
        <v>single</v>
      </c>
      <c r="E2154" s="3" t="str">
        <f aca="false">Raw_Data!D2154</f>
        <v>secondary</v>
      </c>
      <c r="F2154" s="3" t="str">
        <f aca="false">Raw_Data!E2154</f>
        <v>no</v>
      </c>
      <c r="G2154" s="3" t="n">
        <f aca="false">Raw_Data!F2154</f>
        <v>0</v>
      </c>
      <c r="H2154" s="3" t="str">
        <f aca="false">Raw_Data!G2154</f>
        <v>no</v>
      </c>
      <c r="I2154" s="3" t="str">
        <f aca="false">Raw_Data!H2154</f>
        <v>no</v>
      </c>
      <c r="J2154" s="2" t="n">
        <f aca="false">IF(F2154="yes",1,0)</f>
        <v>0</v>
      </c>
      <c r="K2154" s="2" t="n">
        <f aca="false">IF(H2154="yes",1,0)</f>
        <v>0</v>
      </c>
      <c r="L2154" s="2" t="n">
        <f aca="false">IF(I2154="yes",1,0)</f>
        <v>0</v>
      </c>
      <c r="M2154" s="2" t="n">
        <f aca="false">IF(G2154&lt;0,1,0)</f>
        <v>0</v>
      </c>
      <c r="N2154" s="2" t="str">
        <f aca="false">_xlfn.IFS(B2154&lt;30,"Under 30",B2154&lt;40,"30-39",B2154&lt;50,"40-49",B2154&lt;60,"50-59",TRUE(),"60+")</f>
        <v>Under 30</v>
      </c>
      <c r="O2154" s="2" t="str">
        <f aca="false">_xlfn.IFS(G2154&lt;0,"1 Negative",G2154=0,"2 Zero",G2154&lt;=500,"3 1-500",G2154&lt;=2000,"4 501-2000",TRUE(),"5 Above 2000")</f>
        <v>2 Zero</v>
      </c>
      <c r="P2154" s="2" t="n">
        <f aca="false">Lookups!$B$2*M2154+Lookups!$B$3*L2154</f>
        <v>0</v>
      </c>
      <c r="Q2154" s="2" t="str">
        <f aca="false">INDEX(Lookups!$E$2:$E$5,MATCH(P2154,Lookups!$D$2:$D$5,0))</f>
        <v>Low</v>
      </c>
    </row>
    <row r="2155" customFormat="false" ht="15" hidden="false" customHeight="false" outlineLevel="0" collapsed="false">
      <c r="A2155" s="3" t="n">
        <v>2154</v>
      </c>
      <c r="B2155" s="3" t="n">
        <f aca="false">Raw_Data!A2155</f>
        <v>43</v>
      </c>
      <c r="C2155" s="3" t="str">
        <f aca="false">SUBSTITUTE(Raw_Data!B2155,".","")</f>
        <v>blue-collar</v>
      </c>
      <c r="D2155" s="3" t="str">
        <f aca="false">Raw_Data!C2155</f>
        <v>married</v>
      </c>
      <c r="E2155" s="3" t="str">
        <f aca="false">Raw_Data!D2155</f>
        <v>primary</v>
      </c>
      <c r="F2155" s="3" t="str">
        <f aca="false">Raw_Data!E2155</f>
        <v>no</v>
      </c>
      <c r="G2155" s="3" t="n">
        <f aca="false">Raw_Data!F2155</f>
        <v>255</v>
      </c>
      <c r="H2155" s="3" t="str">
        <f aca="false">Raw_Data!G2155</f>
        <v>yes</v>
      </c>
      <c r="I2155" s="3" t="str">
        <f aca="false">Raw_Data!H2155</f>
        <v>no</v>
      </c>
      <c r="J2155" s="2" t="n">
        <f aca="false">IF(F2155="yes",1,0)</f>
        <v>0</v>
      </c>
      <c r="K2155" s="2" t="n">
        <f aca="false">IF(H2155="yes",1,0)</f>
        <v>1</v>
      </c>
      <c r="L2155" s="2" t="n">
        <f aca="false">IF(I2155="yes",1,0)</f>
        <v>0</v>
      </c>
      <c r="M2155" s="2" t="n">
        <f aca="false">IF(G2155&lt;0,1,0)</f>
        <v>0</v>
      </c>
      <c r="N2155" s="2" t="str">
        <f aca="false">_xlfn.IFS(B2155&lt;30,"Under 30",B2155&lt;40,"30-39",B2155&lt;50,"40-49",B2155&lt;60,"50-59",TRUE(),"60+")</f>
        <v>40-49</v>
      </c>
      <c r="O2155" s="2" t="str">
        <f aca="false">_xlfn.IFS(G2155&lt;0,"1 Negative",G2155=0,"2 Zero",G2155&lt;=500,"3 1-500",G2155&lt;=2000,"4 501-2000",TRUE(),"5 Above 2000")</f>
        <v>3 1-500</v>
      </c>
      <c r="P2155" s="2" t="n">
        <f aca="false">Lookups!$B$2*M2155+Lookups!$B$3*L2155</f>
        <v>0</v>
      </c>
      <c r="Q2155" s="2" t="str">
        <f aca="false">INDEX(Lookups!$E$2:$E$5,MATCH(P2155,Lookups!$D$2:$D$5,0))</f>
        <v>Low</v>
      </c>
    </row>
    <row r="2156" customFormat="false" ht="15" hidden="false" customHeight="false" outlineLevel="0" collapsed="false">
      <c r="A2156" s="3" t="n">
        <v>2155</v>
      </c>
      <c r="B2156" s="3" t="n">
        <f aca="false">Raw_Data!A2156</f>
        <v>36</v>
      </c>
      <c r="C2156" s="3" t="str">
        <f aca="false">SUBSTITUTE(Raw_Data!B2156,".","")</f>
        <v>blue-collar</v>
      </c>
      <c r="D2156" s="3" t="str">
        <f aca="false">Raw_Data!C2156</f>
        <v>married</v>
      </c>
      <c r="E2156" s="3" t="str">
        <f aca="false">Raw_Data!D2156</f>
        <v>secondary</v>
      </c>
      <c r="F2156" s="3" t="str">
        <f aca="false">Raw_Data!E2156</f>
        <v>no</v>
      </c>
      <c r="G2156" s="3" t="n">
        <f aca="false">Raw_Data!F2156</f>
        <v>63</v>
      </c>
      <c r="H2156" s="3" t="str">
        <f aca="false">Raw_Data!G2156</f>
        <v>yes</v>
      </c>
      <c r="I2156" s="3" t="str">
        <f aca="false">Raw_Data!H2156</f>
        <v>no</v>
      </c>
      <c r="J2156" s="2" t="n">
        <f aca="false">IF(F2156="yes",1,0)</f>
        <v>0</v>
      </c>
      <c r="K2156" s="2" t="n">
        <f aca="false">IF(H2156="yes",1,0)</f>
        <v>1</v>
      </c>
      <c r="L2156" s="2" t="n">
        <f aca="false">IF(I2156="yes",1,0)</f>
        <v>0</v>
      </c>
      <c r="M2156" s="2" t="n">
        <f aca="false">IF(G2156&lt;0,1,0)</f>
        <v>0</v>
      </c>
      <c r="N2156" s="2" t="str">
        <f aca="false">_xlfn.IFS(B2156&lt;30,"Under 30",B2156&lt;40,"30-39",B2156&lt;50,"40-49",B2156&lt;60,"50-59",TRUE(),"60+")</f>
        <v>30-39</v>
      </c>
      <c r="O2156" s="2" t="str">
        <f aca="false">_xlfn.IFS(G2156&lt;0,"1 Negative",G2156=0,"2 Zero",G2156&lt;=500,"3 1-500",G2156&lt;=2000,"4 501-2000",TRUE(),"5 Above 2000")</f>
        <v>3 1-500</v>
      </c>
      <c r="P2156" s="2" t="n">
        <f aca="false">Lookups!$B$2*M2156+Lookups!$B$3*L2156</f>
        <v>0</v>
      </c>
      <c r="Q2156" s="2" t="str">
        <f aca="false">INDEX(Lookups!$E$2:$E$5,MATCH(P2156,Lookups!$D$2:$D$5,0))</f>
        <v>Low</v>
      </c>
    </row>
    <row r="2157" customFormat="false" ht="15" hidden="false" customHeight="false" outlineLevel="0" collapsed="false">
      <c r="A2157" s="3" t="n">
        <v>2156</v>
      </c>
      <c r="B2157" s="3" t="n">
        <f aca="false">Raw_Data!A2157</f>
        <v>34</v>
      </c>
      <c r="C2157" s="3" t="str">
        <f aca="false">SUBSTITUTE(Raw_Data!B2157,".","")</f>
        <v>self-employed</v>
      </c>
      <c r="D2157" s="3" t="str">
        <f aca="false">Raw_Data!C2157</f>
        <v>married</v>
      </c>
      <c r="E2157" s="3" t="str">
        <f aca="false">Raw_Data!D2157</f>
        <v>primary</v>
      </c>
      <c r="F2157" s="3" t="str">
        <f aca="false">Raw_Data!E2157</f>
        <v>no</v>
      </c>
      <c r="G2157" s="3" t="n">
        <f aca="false">Raw_Data!F2157</f>
        <v>712</v>
      </c>
      <c r="H2157" s="3" t="str">
        <f aca="false">Raw_Data!G2157</f>
        <v>yes</v>
      </c>
      <c r="I2157" s="3" t="str">
        <f aca="false">Raw_Data!H2157</f>
        <v>no</v>
      </c>
      <c r="J2157" s="2" t="n">
        <f aca="false">IF(F2157="yes",1,0)</f>
        <v>0</v>
      </c>
      <c r="K2157" s="2" t="n">
        <f aca="false">IF(H2157="yes",1,0)</f>
        <v>1</v>
      </c>
      <c r="L2157" s="2" t="n">
        <f aca="false">IF(I2157="yes",1,0)</f>
        <v>0</v>
      </c>
      <c r="M2157" s="2" t="n">
        <f aca="false">IF(G2157&lt;0,1,0)</f>
        <v>0</v>
      </c>
      <c r="N2157" s="2" t="str">
        <f aca="false">_xlfn.IFS(B2157&lt;30,"Under 30",B2157&lt;40,"30-39",B2157&lt;50,"40-49",B2157&lt;60,"50-59",TRUE(),"60+")</f>
        <v>30-39</v>
      </c>
      <c r="O2157" s="2" t="str">
        <f aca="false">_xlfn.IFS(G2157&lt;0,"1 Negative",G2157=0,"2 Zero",G2157&lt;=500,"3 1-500",G2157&lt;=2000,"4 501-2000",TRUE(),"5 Above 2000")</f>
        <v>4 501-2000</v>
      </c>
      <c r="P2157" s="2" t="n">
        <f aca="false">Lookups!$B$2*M2157+Lookups!$B$3*L2157</f>
        <v>0</v>
      </c>
      <c r="Q2157" s="2" t="str">
        <f aca="false">INDEX(Lookups!$E$2:$E$5,MATCH(P2157,Lookups!$D$2:$D$5,0))</f>
        <v>Low</v>
      </c>
    </row>
    <row r="2158" customFormat="false" ht="15" hidden="false" customHeight="false" outlineLevel="0" collapsed="false">
      <c r="A2158" s="3" t="n">
        <v>2157</v>
      </c>
      <c r="B2158" s="3" t="n">
        <f aca="false">Raw_Data!A2158</f>
        <v>29</v>
      </c>
      <c r="C2158" s="3" t="str">
        <f aca="false">SUBSTITUTE(Raw_Data!B2158,".","")</f>
        <v>services</v>
      </c>
      <c r="D2158" s="3" t="str">
        <f aca="false">Raw_Data!C2158</f>
        <v>married</v>
      </c>
      <c r="E2158" s="3" t="str">
        <f aca="false">Raw_Data!D2158</f>
        <v>secondary</v>
      </c>
      <c r="F2158" s="3" t="str">
        <f aca="false">Raw_Data!E2158</f>
        <v>no</v>
      </c>
      <c r="G2158" s="3" t="n">
        <f aca="false">Raw_Data!F2158</f>
        <v>57</v>
      </c>
      <c r="H2158" s="3" t="str">
        <f aca="false">Raw_Data!G2158</f>
        <v>yes</v>
      </c>
      <c r="I2158" s="3" t="str">
        <f aca="false">Raw_Data!H2158</f>
        <v>no</v>
      </c>
      <c r="J2158" s="2" t="n">
        <f aca="false">IF(F2158="yes",1,0)</f>
        <v>0</v>
      </c>
      <c r="K2158" s="2" t="n">
        <f aca="false">IF(H2158="yes",1,0)</f>
        <v>1</v>
      </c>
      <c r="L2158" s="2" t="n">
        <f aca="false">IF(I2158="yes",1,0)</f>
        <v>0</v>
      </c>
      <c r="M2158" s="2" t="n">
        <f aca="false">IF(G2158&lt;0,1,0)</f>
        <v>0</v>
      </c>
      <c r="N2158" s="2" t="str">
        <f aca="false">_xlfn.IFS(B2158&lt;30,"Under 30",B2158&lt;40,"30-39",B2158&lt;50,"40-49",B2158&lt;60,"50-59",TRUE(),"60+")</f>
        <v>Under 30</v>
      </c>
      <c r="O2158" s="2" t="str">
        <f aca="false">_xlfn.IFS(G2158&lt;0,"1 Negative",G2158=0,"2 Zero",G2158&lt;=500,"3 1-500",G2158&lt;=2000,"4 501-2000",TRUE(),"5 Above 2000")</f>
        <v>3 1-500</v>
      </c>
      <c r="P2158" s="2" t="n">
        <f aca="false">Lookups!$B$2*M2158+Lookups!$B$3*L2158</f>
        <v>0</v>
      </c>
      <c r="Q2158" s="2" t="str">
        <f aca="false">INDEX(Lookups!$E$2:$E$5,MATCH(P2158,Lookups!$D$2:$D$5,0))</f>
        <v>Low</v>
      </c>
    </row>
    <row r="2159" customFormat="false" ht="15" hidden="false" customHeight="false" outlineLevel="0" collapsed="false">
      <c r="A2159" s="3" t="n">
        <v>2158</v>
      </c>
      <c r="B2159" s="3" t="n">
        <f aca="false">Raw_Data!A2159</f>
        <v>57</v>
      </c>
      <c r="C2159" s="3" t="str">
        <f aca="false">SUBSTITUTE(Raw_Data!B2159,".","")</f>
        <v>retired</v>
      </c>
      <c r="D2159" s="3" t="str">
        <f aca="false">Raw_Data!C2159</f>
        <v>married</v>
      </c>
      <c r="E2159" s="3" t="str">
        <f aca="false">Raw_Data!D2159</f>
        <v>secondary</v>
      </c>
      <c r="F2159" s="3" t="str">
        <f aca="false">Raw_Data!E2159</f>
        <v>no</v>
      </c>
      <c r="G2159" s="3" t="n">
        <f aca="false">Raw_Data!F2159</f>
        <v>523</v>
      </c>
      <c r="H2159" s="3" t="str">
        <f aca="false">Raw_Data!G2159</f>
        <v>no</v>
      </c>
      <c r="I2159" s="3" t="str">
        <f aca="false">Raw_Data!H2159</f>
        <v>yes</v>
      </c>
      <c r="J2159" s="2" t="n">
        <f aca="false">IF(F2159="yes",1,0)</f>
        <v>0</v>
      </c>
      <c r="K2159" s="2" t="n">
        <f aca="false">IF(H2159="yes",1,0)</f>
        <v>0</v>
      </c>
      <c r="L2159" s="2" t="n">
        <f aca="false">IF(I2159="yes",1,0)</f>
        <v>1</v>
      </c>
      <c r="M2159" s="2" t="n">
        <f aca="false">IF(G2159&lt;0,1,0)</f>
        <v>0</v>
      </c>
      <c r="N2159" s="2" t="str">
        <f aca="false">_xlfn.IFS(B2159&lt;30,"Under 30",B2159&lt;40,"30-39",B2159&lt;50,"40-49",B2159&lt;60,"50-59",TRUE(),"60+")</f>
        <v>50-59</v>
      </c>
      <c r="O2159" s="2" t="str">
        <f aca="false">_xlfn.IFS(G2159&lt;0,"1 Negative",G2159=0,"2 Zero",G2159&lt;=500,"3 1-500",G2159&lt;=2000,"4 501-2000",TRUE(),"5 Above 2000")</f>
        <v>4 501-2000</v>
      </c>
      <c r="P2159" s="2" t="n">
        <f aca="false">Lookups!$B$2*M2159+Lookups!$B$3*L2159</f>
        <v>1</v>
      </c>
      <c r="Q2159" s="2" t="str">
        <f aca="false">INDEX(Lookups!$E$2:$E$5,MATCH(P2159,Lookups!$D$2:$D$5,0))</f>
        <v>Medium</v>
      </c>
    </row>
    <row r="2160" customFormat="false" ht="15" hidden="false" customHeight="false" outlineLevel="0" collapsed="false">
      <c r="A2160" s="3" t="n">
        <v>2159</v>
      </c>
      <c r="B2160" s="3" t="n">
        <f aca="false">Raw_Data!A2160</f>
        <v>43</v>
      </c>
      <c r="C2160" s="3" t="str">
        <f aca="false">SUBSTITUTE(Raw_Data!B2160,".","")</f>
        <v>management</v>
      </c>
      <c r="D2160" s="3" t="str">
        <f aca="false">Raw_Data!C2160</f>
        <v>married</v>
      </c>
      <c r="E2160" s="3" t="str">
        <f aca="false">Raw_Data!D2160</f>
        <v>tertiary</v>
      </c>
      <c r="F2160" s="3" t="str">
        <f aca="false">Raw_Data!E2160</f>
        <v>no</v>
      </c>
      <c r="G2160" s="3" t="n">
        <f aca="false">Raw_Data!F2160</f>
        <v>422</v>
      </c>
      <c r="H2160" s="3" t="str">
        <f aca="false">Raw_Data!G2160</f>
        <v>no</v>
      </c>
      <c r="I2160" s="3" t="str">
        <f aca="false">Raw_Data!H2160</f>
        <v>no</v>
      </c>
      <c r="J2160" s="2" t="n">
        <f aca="false">IF(F2160="yes",1,0)</f>
        <v>0</v>
      </c>
      <c r="K2160" s="2" t="n">
        <f aca="false">IF(H2160="yes",1,0)</f>
        <v>0</v>
      </c>
      <c r="L2160" s="2" t="n">
        <f aca="false">IF(I2160="yes",1,0)</f>
        <v>0</v>
      </c>
      <c r="M2160" s="2" t="n">
        <f aca="false">IF(G2160&lt;0,1,0)</f>
        <v>0</v>
      </c>
      <c r="N2160" s="2" t="str">
        <f aca="false">_xlfn.IFS(B2160&lt;30,"Under 30",B2160&lt;40,"30-39",B2160&lt;50,"40-49",B2160&lt;60,"50-59",TRUE(),"60+")</f>
        <v>40-49</v>
      </c>
      <c r="O2160" s="2" t="str">
        <f aca="false">_xlfn.IFS(G2160&lt;0,"1 Negative",G2160=0,"2 Zero",G2160&lt;=500,"3 1-500",G2160&lt;=2000,"4 501-2000",TRUE(),"5 Above 2000")</f>
        <v>3 1-500</v>
      </c>
      <c r="P2160" s="2" t="n">
        <f aca="false">Lookups!$B$2*M2160+Lookups!$B$3*L2160</f>
        <v>0</v>
      </c>
      <c r="Q2160" s="2" t="str">
        <f aca="false">INDEX(Lookups!$E$2:$E$5,MATCH(P2160,Lookups!$D$2:$D$5,0))</f>
        <v>Low</v>
      </c>
    </row>
    <row r="2161" customFormat="false" ht="15" hidden="false" customHeight="false" outlineLevel="0" collapsed="false">
      <c r="A2161" s="3" t="n">
        <v>2160</v>
      </c>
      <c r="B2161" s="3" t="n">
        <f aca="false">Raw_Data!A2161</f>
        <v>33</v>
      </c>
      <c r="C2161" s="3" t="str">
        <f aca="false">SUBSTITUTE(Raw_Data!B2161,".","")</f>
        <v>services</v>
      </c>
      <c r="D2161" s="3" t="str">
        <f aca="false">Raw_Data!C2161</f>
        <v>married</v>
      </c>
      <c r="E2161" s="3" t="str">
        <f aca="false">Raw_Data!D2161</f>
        <v>secondary</v>
      </c>
      <c r="F2161" s="3" t="str">
        <f aca="false">Raw_Data!E2161</f>
        <v>no</v>
      </c>
      <c r="G2161" s="3" t="n">
        <f aca="false">Raw_Data!F2161</f>
        <v>386</v>
      </c>
      <c r="H2161" s="3" t="str">
        <f aca="false">Raw_Data!G2161</f>
        <v>no</v>
      </c>
      <c r="I2161" s="3" t="str">
        <f aca="false">Raw_Data!H2161</f>
        <v>no</v>
      </c>
      <c r="J2161" s="2" t="n">
        <f aca="false">IF(F2161="yes",1,0)</f>
        <v>0</v>
      </c>
      <c r="K2161" s="2" t="n">
        <f aca="false">IF(H2161="yes",1,0)</f>
        <v>0</v>
      </c>
      <c r="L2161" s="2" t="n">
        <f aca="false">IF(I2161="yes",1,0)</f>
        <v>0</v>
      </c>
      <c r="M2161" s="2" t="n">
        <f aca="false">IF(G2161&lt;0,1,0)</f>
        <v>0</v>
      </c>
      <c r="N2161" s="2" t="str">
        <f aca="false">_xlfn.IFS(B2161&lt;30,"Under 30",B2161&lt;40,"30-39",B2161&lt;50,"40-49",B2161&lt;60,"50-59",TRUE(),"60+")</f>
        <v>30-39</v>
      </c>
      <c r="O2161" s="2" t="str">
        <f aca="false">_xlfn.IFS(G2161&lt;0,"1 Negative",G2161=0,"2 Zero",G2161&lt;=500,"3 1-500",G2161&lt;=2000,"4 501-2000",TRUE(),"5 Above 2000")</f>
        <v>3 1-500</v>
      </c>
      <c r="P2161" s="2" t="n">
        <f aca="false">Lookups!$B$2*M2161+Lookups!$B$3*L2161</f>
        <v>0</v>
      </c>
      <c r="Q2161" s="2" t="str">
        <f aca="false">INDEX(Lookups!$E$2:$E$5,MATCH(P2161,Lookups!$D$2:$D$5,0))</f>
        <v>Low</v>
      </c>
    </row>
    <row r="2162" customFormat="false" ht="15" hidden="false" customHeight="false" outlineLevel="0" collapsed="false">
      <c r="A2162" s="3" t="n">
        <v>2161</v>
      </c>
      <c r="B2162" s="3" t="n">
        <f aca="false">Raw_Data!A2162</f>
        <v>60</v>
      </c>
      <c r="C2162" s="3" t="str">
        <f aca="false">SUBSTITUTE(Raw_Data!B2162,".","")</f>
        <v>management</v>
      </c>
      <c r="D2162" s="3" t="str">
        <f aca="false">Raw_Data!C2162</f>
        <v>married</v>
      </c>
      <c r="E2162" s="3" t="str">
        <f aca="false">Raw_Data!D2162</f>
        <v>tertiary</v>
      </c>
      <c r="F2162" s="3" t="str">
        <f aca="false">Raw_Data!E2162</f>
        <v>no</v>
      </c>
      <c r="G2162" s="3" t="n">
        <f aca="false">Raw_Data!F2162</f>
        <v>3387</v>
      </c>
      <c r="H2162" s="3" t="str">
        <f aca="false">Raw_Data!G2162</f>
        <v>no</v>
      </c>
      <c r="I2162" s="3" t="str">
        <f aca="false">Raw_Data!H2162</f>
        <v>no</v>
      </c>
      <c r="J2162" s="2" t="n">
        <f aca="false">IF(F2162="yes",1,0)</f>
        <v>0</v>
      </c>
      <c r="K2162" s="2" t="n">
        <f aca="false">IF(H2162="yes",1,0)</f>
        <v>0</v>
      </c>
      <c r="L2162" s="2" t="n">
        <f aca="false">IF(I2162="yes",1,0)</f>
        <v>0</v>
      </c>
      <c r="M2162" s="2" t="n">
        <f aca="false">IF(G2162&lt;0,1,0)</f>
        <v>0</v>
      </c>
      <c r="N2162" s="2" t="str">
        <f aca="false">_xlfn.IFS(B2162&lt;30,"Under 30",B2162&lt;40,"30-39",B2162&lt;50,"40-49",B2162&lt;60,"50-59",TRUE(),"60+")</f>
        <v>60+</v>
      </c>
      <c r="O2162" s="2" t="str">
        <f aca="false">_xlfn.IFS(G2162&lt;0,"1 Negative",G2162=0,"2 Zero",G2162&lt;=500,"3 1-500",G2162&lt;=2000,"4 501-2000",TRUE(),"5 Above 2000")</f>
        <v>5 Above 2000</v>
      </c>
      <c r="P2162" s="2" t="n">
        <f aca="false">Lookups!$B$2*M2162+Lookups!$B$3*L2162</f>
        <v>0</v>
      </c>
      <c r="Q2162" s="2" t="str">
        <f aca="false">INDEX(Lookups!$E$2:$E$5,MATCH(P2162,Lookups!$D$2:$D$5,0))</f>
        <v>Low</v>
      </c>
    </row>
    <row r="2163" customFormat="false" ht="15" hidden="false" customHeight="false" outlineLevel="0" collapsed="false">
      <c r="A2163" s="3" t="n">
        <v>2162</v>
      </c>
      <c r="B2163" s="3" t="n">
        <f aca="false">Raw_Data!A2163</f>
        <v>51</v>
      </c>
      <c r="C2163" s="3" t="str">
        <f aca="false">SUBSTITUTE(Raw_Data!B2163,".","")</f>
        <v>technician</v>
      </c>
      <c r="D2163" s="3" t="str">
        <f aca="false">Raw_Data!C2163</f>
        <v>married</v>
      </c>
      <c r="E2163" s="3" t="str">
        <f aca="false">Raw_Data!D2163</f>
        <v>primary</v>
      </c>
      <c r="F2163" s="3" t="str">
        <f aca="false">Raw_Data!E2163</f>
        <v>no</v>
      </c>
      <c r="G2163" s="3" t="n">
        <f aca="false">Raw_Data!F2163</f>
        <v>260</v>
      </c>
      <c r="H2163" s="3" t="str">
        <f aca="false">Raw_Data!G2163</f>
        <v>no</v>
      </c>
      <c r="I2163" s="3" t="str">
        <f aca="false">Raw_Data!H2163</f>
        <v>no</v>
      </c>
      <c r="J2163" s="2" t="n">
        <f aca="false">IF(F2163="yes",1,0)</f>
        <v>0</v>
      </c>
      <c r="K2163" s="2" t="n">
        <f aca="false">IF(H2163="yes",1,0)</f>
        <v>0</v>
      </c>
      <c r="L2163" s="2" t="n">
        <f aca="false">IF(I2163="yes",1,0)</f>
        <v>0</v>
      </c>
      <c r="M2163" s="2" t="n">
        <f aca="false">IF(G2163&lt;0,1,0)</f>
        <v>0</v>
      </c>
      <c r="N2163" s="2" t="str">
        <f aca="false">_xlfn.IFS(B2163&lt;30,"Under 30",B2163&lt;40,"30-39",B2163&lt;50,"40-49",B2163&lt;60,"50-59",TRUE(),"60+")</f>
        <v>50-59</v>
      </c>
      <c r="O2163" s="2" t="str">
        <f aca="false">_xlfn.IFS(G2163&lt;0,"1 Negative",G2163=0,"2 Zero",G2163&lt;=500,"3 1-500",G2163&lt;=2000,"4 501-2000",TRUE(),"5 Above 2000")</f>
        <v>3 1-500</v>
      </c>
      <c r="P2163" s="2" t="n">
        <f aca="false">Lookups!$B$2*M2163+Lookups!$B$3*L2163</f>
        <v>0</v>
      </c>
      <c r="Q2163" s="2" t="str">
        <f aca="false">INDEX(Lookups!$E$2:$E$5,MATCH(P2163,Lookups!$D$2:$D$5,0))</f>
        <v>Low</v>
      </c>
    </row>
    <row r="2164" customFormat="false" ht="15" hidden="false" customHeight="false" outlineLevel="0" collapsed="false">
      <c r="A2164" s="3" t="n">
        <v>2163</v>
      </c>
      <c r="B2164" s="3" t="n">
        <f aca="false">Raw_Data!A2164</f>
        <v>40</v>
      </c>
      <c r="C2164" s="3" t="str">
        <f aca="false">SUBSTITUTE(Raw_Data!B2164,".","")</f>
        <v>admin</v>
      </c>
      <c r="D2164" s="3" t="str">
        <f aca="false">Raw_Data!C2164</f>
        <v>single</v>
      </c>
      <c r="E2164" s="3" t="str">
        <f aca="false">Raw_Data!D2164</f>
        <v>secondary</v>
      </c>
      <c r="F2164" s="3" t="str">
        <f aca="false">Raw_Data!E2164</f>
        <v>no</v>
      </c>
      <c r="G2164" s="3" t="n">
        <f aca="false">Raw_Data!F2164</f>
        <v>-1</v>
      </c>
      <c r="H2164" s="3" t="str">
        <f aca="false">Raw_Data!G2164</f>
        <v>no</v>
      </c>
      <c r="I2164" s="3" t="str">
        <f aca="false">Raw_Data!H2164</f>
        <v>no</v>
      </c>
      <c r="J2164" s="2" t="n">
        <f aca="false">IF(F2164="yes",1,0)</f>
        <v>0</v>
      </c>
      <c r="K2164" s="2" t="n">
        <f aca="false">IF(H2164="yes",1,0)</f>
        <v>0</v>
      </c>
      <c r="L2164" s="2" t="n">
        <f aca="false">IF(I2164="yes",1,0)</f>
        <v>0</v>
      </c>
      <c r="M2164" s="2" t="n">
        <f aca="false">IF(G2164&lt;0,1,0)</f>
        <v>1</v>
      </c>
      <c r="N2164" s="2" t="str">
        <f aca="false">_xlfn.IFS(B2164&lt;30,"Under 30",B2164&lt;40,"30-39",B2164&lt;50,"40-49",B2164&lt;60,"50-59",TRUE(),"60+")</f>
        <v>40-49</v>
      </c>
      <c r="O2164" s="2" t="str">
        <f aca="false">_xlfn.IFS(G2164&lt;0,"1 Negative",G2164=0,"2 Zero",G2164&lt;=500,"3 1-500",G2164&lt;=2000,"4 501-2000",TRUE(),"5 Above 2000")</f>
        <v>1 Negative</v>
      </c>
      <c r="P2164" s="2" t="n">
        <f aca="false">Lookups!$B$2*M2164+Lookups!$B$3*L2164</f>
        <v>2</v>
      </c>
      <c r="Q2164" s="2" t="str">
        <f aca="false">INDEX(Lookups!$E$2:$E$5,MATCH(P2164,Lookups!$D$2:$D$5,0))</f>
        <v>High</v>
      </c>
    </row>
    <row r="2165" customFormat="false" ht="15" hidden="false" customHeight="false" outlineLevel="0" collapsed="false">
      <c r="A2165" s="3" t="n">
        <v>2164</v>
      </c>
      <c r="B2165" s="3" t="n">
        <f aca="false">Raw_Data!A2165</f>
        <v>51</v>
      </c>
      <c r="C2165" s="3" t="str">
        <f aca="false">SUBSTITUTE(Raw_Data!B2165,".","")</f>
        <v>technician</v>
      </c>
      <c r="D2165" s="3" t="str">
        <f aca="false">Raw_Data!C2165</f>
        <v>married</v>
      </c>
      <c r="E2165" s="3" t="str">
        <f aca="false">Raw_Data!D2165</f>
        <v>secondary</v>
      </c>
      <c r="F2165" s="3" t="str">
        <f aca="false">Raw_Data!E2165</f>
        <v>no</v>
      </c>
      <c r="G2165" s="3" t="n">
        <f aca="false">Raw_Data!F2165</f>
        <v>1490</v>
      </c>
      <c r="H2165" s="3" t="str">
        <f aca="false">Raw_Data!G2165</f>
        <v>yes</v>
      </c>
      <c r="I2165" s="3" t="str">
        <f aca="false">Raw_Data!H2165</f>
        <v>no</v>
      </c>
      <c r="J2165" s="2" t="n">
        <f aca="false">IF(F2165="yes",1,0)</f>
        <v>0</v>
      </c>
      <c r="K2165" s="2" t="n">
        <f aca="false">IF(H2165="yes",1,0)</f>
        <v>1</v>
      </c>
      <c r="L2165" s="2" t="n">
        <f aca="false">IF(I2165="yes",1,0)</f>
        <v>0</v>
      </c>
      <c r="M2165" s="2" t="n">
        <f aca="false">IF(G2165&lt;0,1,0)</f>
        <v>0</v>
      </c>
      <c r="N2165" s="2" t="str">
        <f aca="false">_xlfn.IFS(B2165&lt;30,"Under 30",B2165&lt;40,"30-39",B2165&lt;50,"40-49",B2165&lt;60,"50-59",TRUE(),"60+")</f>
        <v>50-59</v>
      </c>
      <c r="O2165" s="2" t="str">
        <f aca="false">_xlfn.IFS(G2165&lt;0,"1 Negative",G2165=0,"2 Zero",G2165&lt;=500,"3 1-500",G2165&lt;=2000,"4 501-2000",TRUE(),"5 Above 2000")</f>
        <v>4 501-2000</v>
      </c>
      <c r="P2165" s="2" t="n">
        <f aca="false">Lookups!$B$2*M2165+Lookups!$B$3*L2165</f>
        <v>0</v>
      </c>
      <c r="Q2165" s="2" t="str">
        <f aca="false">INDEX(Lookups!$E$2:$E$5,MATCH(P2165,Lookups!$D$2:$D$5,0))</f>
        <v>Low</v>
      </c>
    </row>
    <row r="2166" customFormat="false" ht="15" hidden="false" customHeight="false" outlineLevel="0" collapsed="false">
      <c r="A2166" s="3" t="n">
        <v>2165</v>
      </c>
      <c r="B2166" s="3" t="n">
        <f aca="false">Raw_Data!A2166</f>
        <v>38</v>
      </c>
      <c r="C2166" s="3" t="str">
        <f aca="false">SUBSTITUTE(Raw_Data!B2166,".","")</f>
        <v>services</v>
      </c>
      <c r="D2166" s="3" t="str">
        <f aca="false">Raw_Data!C2166</f>
        <v>married</v>
      </c>
      <c r="E2166" s="3" t="str">
        <f aca="false">Raw_Data!D2166</f>
        <v>secondary</v>
      </c>
      <c r="F2166" s="3" t="str">
        <f aca="false">Raw_Data!E2166</f>
        <v>no</v>
      </c>
      <c r="G2166" s="3" t="n">
        <f aca="false">Raw_Data!F2166</f>
        <v>497</v>
      </c>
      <c r="H2166" s="3" t="str">
        <f aca="false">Raw_Data!G2166</f>
        <v>yes</v>
      </c>
      <c r="I2166" s="3" t="str">
        <f aca="false">Raw_Data!H2166</f>
        <v>yes</v>
      </c>
      <c r="J2166" s="2" t="n">
        <f aca="false">IF(F2166="yes",1,0)</f>
        <v>0</v>
      </c>
      <c r="K2166" s="2" t="n">
        <f aca="false">IF(H2166="yes",1,0)</f>
        <v>1</v>
      </c>
      <c r="L2166" s="2" t="n">
        <f aca="false">IF(I2166="yes",1,0)</f>
        <v>1</v>
      </c>
      <c r="M2166" s="2" t="n">
        <f aca="false">IF(G2166&lt;0,1,0)</f>
        <v>0</v>
      </c>
      <c r="N2166" s="2" t="str">
        <f aca="false">_xlfn.IFS(B2166&lt;30,"Under 30",B2166&lt;40,"30-39",B2166&lt;50,"40-49",B2166&lt;60,"50-59",TRUE(),"60+")</f>
        <v>30-39</v>
      </c>
      <c r="O2166" s="2" t="str">
        <f aca="false">_xlfn.IFS(G2166&lt;0,"1 Negative",G2166=0,"2 Zero",G2166&lt;=500,"3 1-500",G2166&lt;=2000,"4 501-2000",TRUE(),"5 Above 2000")</f>
        <v>3 1-500</v>
      </c>
      <c r="P2166" s="2" t="n">
        <f aca="false">Lookups!$B$2*M2166+Lookups!$B$3*L2166</f>
        <v>1</v>
      </c>
      <c r="Q2166" s="2" t="str">
        <f aca="false">INDEX(Lookups!$E$2:$E$5,MATCH(P2166,Lookups!$D$2:$D$5,0))</f>
        <v>Medium</v>
      </c>
    </row>
    <row r="2167" customFormat="false" ht="15" hidden="false" customHeight="false" outlineLevel="0" collapsed="false">
      <c r="A2167" s="3" t="n">
        <v>2166</v>
      </c>
      <c r="B2167" s="3" t="n">
        <f aca="false">Raw_Data!A2167</f>
        <v>35</v>
      </c>
      <c r="C2167" s="3" t="str">
        <f aca="false">SUBSTITUTE(Raw_Data!B2167,".","")</f>
        <v>technician</v>
      </c>
      <c r="D2167" s="3" t="str">
        <f aca="false">Raw_Data!C2167</f>
        <v>married</v>
      </c>
      <c r="E2167" s="3" t="str">
        <f aca="false">Raw_Data!D2167</f>
        <v>secondary</v>
      </c>
      <c r="F2167" s="3" t="str">
        <f aca="false">Raw_Data!E2167</f>
        <v>no</v>
      </c>
      <c r="G2167" s="3" t="n">
        <f aca="false">Raw_Data!F2167</f>
        <v>1707</v>
      </c>
      <c r="H2167" s="3" t="str">
        <f aca="false">Raw_Data!G2167</f>
        <v>yes</v>
      </c>
      <c r="I2167" s="3" t="str">
        <f aca="false">Raw_Data!H2167</f>
        <v>no</v>
      </c>
      <c r="J2167" s="2" t="n">
        <f aca="false">IF(F2167="yes",1,0)</f>
        <v>0</v>
      </c>
      <c r="K2167" s="2" t="n">
        <f aca="false">IF(H2167="yes",1,0)</f>
        <v>1</v>
      </c>
      <c r="L2167" s="2" t="n">
        <f aca="false">IF(I2167="yes",1,0)</f>
        <v>0</v>
      </c>
      <c r="M2167" s="2" t="n">
        <f aca="false">IF(G2167&lt;0,1,0)</f>
        <v>0</v>
      </c>
      <c r="N2167" s="2" t="str">
        <f aca="false">_xlfn.IFS(B2167&lt;30,"Under 30",B2167&lt;40,"30-39",B2167&lt;50,"40-49",B2167&lt;60,"50-59",TRUE(),"60+")</f>
        <v>30-39</v>
      </c>
      <c r="O2167" s="2" t="str">
        <f aca="false">_xlfn.IFS(G2167&lt;0,"1 Negative",G2167=0,"2 Zero",G2167&lt;=500,"3 1-500",G2167&lt;=2000,"4 501-2000",TRUE(),"5 Above 2000")</f>
        <v>4 501-2000</v>
      </c>
      <c r="P2167" s="2" t="n">
        <f aca="false">Lookups!$B$2*M2167+Lookups!$B$3*L2167</f>
        <v>0</v>
      </c>
      <c r="Q2167" s="2" t="str">
        <f aca="false">INDEX(Lookups!$E$2:$E$5,MATCH(P2167,Lookups!$D$2:$D$5,0))</f>
        <v>Low</v>
      </c>
    </row>
    <row r="2168" customFormat="false" ht="15" hidden="false" customHeight="false" outlineLevel="0" collapsed="false">
      <c r="A2168" s="3" t="n">
        <v>2167</v>
      </c>
      <c r="B2168" s="3" t="n">
        <f aca="false">Raw_Data!A2168</f>
        <v>47</v>
      </c>
      <c r="C2168" s="3" t="str">
        <f aca="false">SUBSTITUTE(Raw_Data!B2168,".","")</f>
        <v>technician</v>
      </c>
      <c r="D2168" s="3" t="str">
        <f aca="false">Raw_Data!C2168</f>
        <v>married</v>
      </c>
      <c r="E2168" s="3" t="str">
        <f aca="false">Raw_Data!D2168</f>
        <v>secondary</v>
      </c>
      <c r="F2168" s="3" t="str">
        <f aca="false">Raw_Data!E2168</f>
        <v>no</v>
      </c>
      <c r="G2168" s="3" t="n">
        <f aca="false">Raw_Data!F2168</f>
        <v>826</v>
      </c>
      <c r="H2168" s="3" t="str">
        <f aca="false">Raw_Data!G2168</f>
        <v>yes</v>
      </c>
      <c r="I2168" s="3" t="str">
        <f aca="false">Raw_Data!H2168</f>
        <v>no</v>
      </c>
      <c r="J2168" s="2" t="n">
        <f aca="false">IF(F2168="yes",1,0)</f>
        <v>0</v>
      </c>
      <c r="K2168" s="2" t="n">
        <f aca="false">IF(H2168="yes",1,0)</f>
        <v>1</v>
      </c>
      <c r="L2168" s="2" t="n">
        <f aca="false">IF(I2168="yes",1,0)</f>
        <v>0</v>
      </c>
      <c r="M2168" s="2" t="n">
        <f aca="false">IF(G2168&lt;0,1,0)</f>
        <v>0</v>
      </c>
      <c r="N2168" s="2" t="str">
        <f aca="false">_xlfn.IFS(B2168&lt;30,"Under 30",B2168&lt;40,"30-39",B2168&lt;50,"40-49",B2168&lt;60,"50-59",TRUE(),"60+")</f>
        <v>40-49</v>
      </c>
      <c r="O2168" s="2" t="str">
        <f aca="false">_xlfn.IFS(G2168&lt;0,"1 Negative",G2168=0,"2 Zero",G2168&lt;=500,"3 1-500",G2168&lt;=2000,"4 501-2000",TRUE(),"5 Above 2000")</f>
        <v>4 501-2000</v>
      </c>
      <c r="P2168" s="2" t="n">
        <f aca="false">Lookups!$B$2*M2168+Lookups!$B$3*L2168</f>
        <v>0</v>
      </c>
      <c r="Q2168" s="2" t="str">
        <f aca="false">INDEX(Lookups!$E$2:$E$5,MATCH(P2168,Lookups!$D$2:$D$5,0))</f>
        <v>Low</v>
      </c>
    </row>
    <row r="2169" customFormat="false" ht="15" hidden="false" customHeight="false" outlineLevel="0" collapsed="false">
      <c r="A2169" s="3" t="n">
        <v>2168</v>
      </c>
      <c r="B2169" s="3" t="n">
        <f aca="false">Raw_Data!A2169</f>
        <v>45</v>
      </c>
      <c r="C2169" s="3" t="str">
        <f aca="false">SUBSTITUTE(Raw_Data!B2169,".","")</f>
        <v>blue-collar</v>
      </c>
      <c r="D2169" s="3" t="str">
        <f aca="false">Raw_Data!C2169</f>
        <v>married</v>
      </c>
      <c r="E2169" s="3" t="str">
        <f aca="false">Raw_Data!D2169</f>
        <v>primary</v>
      </c>
      <c r="F2169" s="3" t="str">
        <f aca="false">Raw_Data!E2169</f>
        <v>no</v>
      </c>
      <c r="G2169" s="3" t="n">
        <f aca="false">Raw_Data!F2169</f>
        <v>907</v>
      </c>
      <c r="H2169" s="3" t="str">
        <f aca="false">Raw_Data!G2169</f>
        <v>no</v>
      </c>
      <c r="I2169" s="3" t="str">
        <f aca="false">Raw_Data!H2169</f>
        <v>no</v>
      </c>
      <c r="J2169" s="2" t="n">
        <f aca="false">IF(F2169="yes",1,0)</f>
        <v>0</v>
      </c>
      <c r="K2169" s="2" t="n">
        <f aca="false">IF(H2169="yes",1,0)</f>
        <v>0</v>
      </c>
      <c r="L2169" s="2" t="n">
        <f aca="false">IF(I2169="yes",1,0)</f>
        <v>0</v>
      </c>
      <c r="M2169" s="2" t="n">
        <f aca="false">IF(G2169&lt;0,1,0)</f>
        <v>0</v>
      </c>
      <c r="N2169" s="2" t="str">
        <f aca="false">_xlfn.IFS(B2169&lt;30,"Under 30",B2169&lt;40,"30-39",B2169&lt;50,"40-49",B2169&lt;60,"50-59",TRUE(),"60+")</f>
        <v>40-49</v>
      </c>
      <c r="O2169" s="2" t="str">
        <f aca="false">_xlfn.IFS(G2169&lt;0,"1 Negative",G2169=0,"2 Zero",G2169&lt;=500,"3 1-500",G2169&lt;=2000,"4 501-2000",TRUE(),"5 Above 2000")</f>
        <v>4 501-2000</v>
      </c>
      <c r="P2169" s="2" t="n">
        <f aca="false">Lookups!$B$2*M2169+Lookups!$B$3*L2169</f>
        <v>0</v>
      </c>
      <c r="Q2169" s="2" t="str">
        <f aca="false">INDEX(Lookups!$E$2:$E$5,MATCH(P2169,Lookups!$D$2:$D$5,0))</f>
        <v>Low</v>
      </c>
    </row>
    <row r="2170" customFormat="false" ht="15" hidden="false" customHeight="false" outlineLevel="0" collapsed="false">
      <c r="A2170" s="3" t="n">
        <v>2169</v>
      </c>
      <c r="B2170" s="3" t="n">
        <f aca="false">Raw_Data!A2170</f>
        <v>40</v>
      </c>
      <c r="C2170" s="3" t="str">
        <f aca="false">SUBSTITUTE(Raw_Data!B2170,".","")</f>
        <v>services</v>
      </c>
      <c r="D2170" s="3" t="str">
        <f aca="false">Raw_Data!C2170</f>
        <v>married</v>
      </c>
      <c r="E2170" s="3" t="str">
        <f aca="false">Raw_Data!D2170</f>
        <v>secondary</v>
      </c>
      <c r="F2170" s="3" t="str">
        <f aca="false">Raw_Data!E2170</f>
        <v>no</v>
      </c>
      <c r="G2170" s="3" t="n">
        <f aca="false">Raw_Data!F2170</f>
        <v>1836</v>
      </c>
      <c r="H2170" s="3" t="str">
        <f aca="false">Raw_Data!G2170</f>
        <v>yes</v>
      </c>
      <c r="I2170" s="3" t="str">
        <f aca="false">Raw_Data!H2170</f>
        <v>no</v>
      </c>
      <c r="J2170" s="2" t="n">
        <f aca="false">IF(F2170="yes",1,0)</f>
        <v>0</v>
      </c>
      <c r="K2170" s="2" t="n">
        <f aca="false">IF(H2170="yes",1,0)</f>
        <v>1</v>
      </c>
      <c r="L2170" s="2" t="n">
        <f aca="false">IF(I2170="yes",1,0)</f>
        <v>0</v>
      </c>
      <c r="M2170" s="2" t="n">
        <f aca="false">IF(G2170&lt;0,1,0)</f>
        <v>0</v>
      </c>
      <c r="N2170" s="2" t="str">
        <f aca="false">_xlfn.IFS(B2170&lt;30,"Under 30",B2170&lt;40,"30-39",B2170&lt;50,"40-49",B2170&lt;60,"50-59",TRUE(),"60+")</f>
        <v>40-49</v>
      </c>
      <c r="O2170" s="2" t="str">
        <f aca="false">_xlfn.IFS(G2170&lt;0,"1 Negative",G2170=0,"2 Zero",G2170&lt;=500,"3 1-500",G2170&lt;=2000,"4 501-2000",TRUE(),"5 Above 2000")</f>
        <v>4 501-2000</v>
      </c>
      <c r="P2170" s="2" t="n">
        <f aca="false">Lookups!$B$2*M2170+Lookups!$B$3*L2170</f>
        <v>0</v>
      </c>
      <c r="Q2170" s="2" t="str">
        <f aca="false">INDEX(Lookups!$E$2:$E$5,MATCH(P2170,Lookups!$D$2:$D$5,0))</f>
        <v>Low</v>
      </c>
    </row>
    <row r="2171" customFormat="false" ht="15" hidden="false" customHeight="false" outlineLevel="0" collapsed="false">
      <c r="A2171" s="3" t="n">
        <v>2170</v>
      </c>
      <c r="B2171" s="3" t="n">
        <f aca="false">Raw_Data!A2171</f>
        <v>29</v>
      </c>
      <c r="C2171" s="3" t="str">
        <f aca="false">SUBSTITUTE(Raw_Data!B2171,".","")</f>
        <v>entrepreneur</v>
      </c>
      <c r="D2171" s="3" t="str">
        <f aca="false">Raw_Data!C2171</f>
        <v>single</v>
      </c>
      <c r="E2171" s="3" t="str">
        <f aca="false">Raw_Data!D2171</f>
        <v>secondary</v>
      </c>
      <c r="F2171" s="3" t="str">
        <f aca="false">Raw_Data!E2171</f>
        <v>no</v>
      </c>
      <c r="G2171" s="3" t="n">
        <f aca="false">Raw_Data!F2171</f>
        <v>404</v>
      </c>
      <c r="H2171" s="3" t="str">
        <f aca="false">Raw_Data!G2171</f>
        <v>no</v>
      </c>
      <c r="I2171" s="3" t="str">
        <f aca="false">Raw_Data!H2171</f>
        <v>no</v>
      </c>
      <c r="J2171" s="2" t="n">
        <f aca="false">IF(F2171="yes",1,0)</f>
        <v>0</v>
      </c>
      <c r="K2171" s="2" t="n">
        <f aca="false">IF(H2171="yes",1,0)</f>
        <v>0</v>
      </c>
      <c r="L2171" s="2" t="n">
        <f aca="false">IF(I2171="yes",1,0)</f>
        <v>0</v>
      </c>
      <c r="M2171" s="2" t="n">
        <f aca="false">IF(G2171&lt;0,1,0)</f>
        <v>0</v>
      </c>
      <c r="N2171" s="2" t="str">
        <f aca="false">_xlfn.IFS(B2171&lt;30,"Under 30",B2171&lt;40,"30-39",B2171&lt;50,"40-49",B2171&lt;60,"50-59",TRUE(),"60+")</f>
        <v>Under 30</v>
      </c>
      <c r="O2171" s="2" t="str">
        <f aca="false">_xlfn.IFS(G2171&lt;0,"1 Negative",G2171=0,"2 Zero",G2171&lt;=500,"3 1-500",G2171&lt;=2000,"4 501-2000",TRUE(),"5 Above 2000")</f>
        <v>3 1-500</v>
      </c>
      <c r="P2171" s="2" t="n">
        <f aca="false">Lookups!$B$2*M2171+Lookups!$B$3*L2171</f>
        <v>0</v>
      </c>
      <c r="Q2171" s="2" t="str">
        <f aca="false">INDEX(Lookups!$E$2:$E$5,MATCH(P2171,Lookups!$D$2:$D$5,0))</f>
        <v>Low</v>
      </c>
    </row>
    <row r="2172" customFormat="false" ht="15" hidden="false" customHeight="false" outlineLevel="0" collapsed="false">
      <c r="A2172" s="3" t="n">
        <v>2171</v>
      </c>
      <c r="B2172" s="3" t="n">
        <f aca="false">Raw_Data!A2172</f>
        <v>52</v>
      </c>
      <c r="C2172" s="3" t="str">
        <f aca="false">SUBSTITUTE(Raw_Data!B2172,".","")</f>
        <v>management</v>
      </c>
      <c r="D2172" s="3" t="str">
        <f aca="false">Raw_Data!C2172</f>
        <v>divorced</v>
      </c>
      <c r="E2172" s="3" t="str">
        <f aca="false">Raw_Data!D2172</f>
        <v>tertiary</v>
      </c>
      <c r="F2172" s="3" t="str">
        <f aca="false">Raw_Data!E2172</f>
        <v>no</v>
      </c>
      <c r="G2172" s="3" t="n">
        <f aca="false">Raw_Data!F2172</f>
        <v>907</v>
      </c>
      <c r="H2172" s="3" t="str">
        <f aca="false">Raw_Data!G2172</f>
        <v>yes</v>
      </c>
      <c r="I2172" s="3" t="str">
        <f aca="false">Raw_Data!H2172</f>
        <v>no</v>
      </c>
      <c r="J2172" s="2" t="n">
        <f aca="false">IF(F2172="yes",1,0)</f>
        <v>0</v>
      </c>
      <c r="K2172" s="2" t="n">
        <f aca="false">IF(H2172="yes",1,0)</f>
        <v>1</v>
      </c>
      <c r="L2172" s="2" t="n">
        <f aca="false">IF(I2172="yes",1,0)</f>
        <v>0</v>
      </c>
      <c r="M2172" s="2" t="n">
        <f aca="false">IF(G2172&lt;0,1,0)</f>
        <v>0</v>
      </c>
      <c r="N2172" s="2" t="str">
        <f aca="false">_xlfn.IFS(B2172&lt;30,"Under 30",B2172&lt;40,"30-39",B2172&lt;50,"40-49",B2172&lt;60,"50-59",TRUE(),"60+")</f>
        <v>50-59</v>
      </c>
      <c r="O2172" s="2" t="str">
        <f aca="false">_xlfn.IFS(G2172&lt;0,"1 Negative",G2172=0,"2 Zero",G2172&lt;=500,"3 1-500",G2172&lt;=2000,"4 501-2000",TRUE(),"5 Above 2000")</f>
        <v>4 501-2000</v>
      </c>
      <c r="P2172" s="2" t="n">
        <f aca="false">Lookups!$B$2*M2172+Lookups!$B$3*L2172</f>
        <v>0</v>
      </c>
      <c r="Q2172" s="2" t="str">
        <f aca="false">INDEX(Lookups!$E$2:$E$5,MATCH(P2172,Lookups!$D$2:$D$5,0))</f>
        <v>Low</v>
      </c>
    </row>
    <row r="2173" customFormat="false" ht="15" hidden="false" customHeight="false" outlineLevel="0" collapsed="false">
      <c r="A2173" s="3" t="n">
        <v>2172</v>
      </c>
      <c r="B2173" s="3" t="n">
        <f aca="false">Raw_Data!A2173</f>
        <v>26</v>
      </c>
      <c r="C2173" s="3" t="str">
        <f aca="false">SUBSTITUTE(Raw_Data!B2173,".","")</f>
        <v>technician</v>
      </c>
      <c r="D2173" s="3" t="str">
        <f aca="false">Raw_Data!C2173</f>
        <v>married</v>
      </c>
      <c r="E2173" s="3" t="str">
        <f aca="false">Raw_Data!D2173</f>
        <v>secondary</v>
      </c>
      <c r="F2173" s="3" t="str">
        <f aca="false">Raw_Data!E2173</f>
        <v>no</v>
      </c>
      <c r="G2173" s="3" t="n">
        <f aca="false">Raw_Data!F2173</f>
        <v>18</v>
      </c>
      <c r="H2173" s="3" t="str">
        <f aca="false">Raw_Data!G2173</f>
        <v>yes</v>
      </c>
      <c r="I2173" s="3" t="str">
        <f aca="false">Raw_Data!H2173</f>
        <v>yes</v>
      </c>
      <c r="J2173" s="2" t="n">
        <f aca="false">IF(F2173="yes",1,0)</f>
        <v>0</v>
      </c>
      <c r="K2173" s="2" t="n">
        <f aca="false">IF(H2173="yes",1,0)</f>
        <v>1</v>
      </c>
      <c r="L2173" s="2" t="n">
        <f aca="false">IF(I2173="yes",1,0)</f>
        <v>1</v>
      </c>
      <c r="M2173" s="2" t="n">
        <f aca="false">IF(G2173&lt;0,1,0)</f>
        <v>0</v>
      </c>
      <c r="N2173" s="2" t="str">
        <f aca="false">_xlfn.IFS(B2173&lt;30,"Under 30",B2173&lt;40,"30-39",B2173&lt;50,"40-49",B2173&lt;60,"50-59",TRUE(),"60+")</f>
        <v>Under 30</v>
      </c>
      <c r="O2173" s="2" t="str">
        <f aca="false">_xlfn.IFS(G2173&lt;0,"1 Negative",G2173=0,"2 Zero",G2173&lt;=500,"3 1-500",G2173&lt;=2000,"4 501-2000",TRUE(),"5 Above 2000")</f>
        <v>3 1-500</v>
      </c>
      <c r="P2173" s="2" t="n">
        <f aca="false">Lookups!$B$2*M2173+Lookups!$B$3*L2173</f>
        <v>1</v>
      </c>
      <c r="Q2173" s="2" t="str">
        <f aca="false">INDEX(Lookups!$E$2:$E$5,MATCH(P2173,Lookups!$D$2:$D$5,0))</f>
        <v>Medium</v>
      </c>
    </row>
    <row r="2174" customFormat="false" ht="15" hidden="false" customHeight="false" outlineLevel="0" collapsed="false">
      <c r="A2174" s="3" t="n">
        <v>2173</v>
      </c>
      <c r="B2174" s="3" t="n">
        <f aca="false">Raw_Data!A2174</f>
        <v>31</v>
      </c>
      <c r="C2174" s="3" t="str">
        <f aca="false">SUBSTITUTE(Raw_Data!B2174,".","")</f>
        <v>blue-collar</v>
      </c>
      <c r="D2174" s="3" t="str">
        <f aca="false">Raw_Data!C2174</f>
        <v>single</v>
      </c>
      <c r="E2174" s="3" t="str">
        <f aca="false">Raw_Data!D2174</f>
        <v>primary</v>
      </c>
      <c r="F2174" s="3" t="str">
        <f aca="false">Raw_Data!E2174</f>
        <v>no</v>
      </c>
      <c r="G2174" s="3" t="n">
        <f aca="false">Raw_Data!F2174</f>
        <v>-495</v>
      </c>
      <c r="H2174" s="3" t="str">
        <f aca="false">Raw_Data!G2174</f>
        <v>yes</v>
      </c>
      <c r="I2174" s="3" t="str">
        <f aca="false">Raw_Data!H2174</f>
        <v>no</v>
      </c>
      <c r="J2174" s="2" t="n">
        <f aca="false">IF(F2174="yes",1,0)</f>
        <v>0</v>
      </c>
      <c r="K2174" s="2" t="n">
        <f aca="false">IF(H2174="yes",1,0)</f>
        <v>1</v>
      </c>
      <c r="L2174" s="2" t="n">
        <f aca="false">IF(I2174="yes",1,0)</f>
        <v>0</v>
      </c>
      <c r="M2174" s="2" t="n">
        <f aca="false">IF(G2174&lt;0,1,0)</f>
        <v>1</v>
      </c>
      <c r="N2174" s="2" t="str">
        <f aca="false">_xlfn.IFS(B2174&lt;30,"Under 30",B2174&lt;40,"30-39",B2174&lt;50,"40-49",B2174&lt;60,"50-59",TRUE(),"60+")</f>
        <v>30-39</v>
      </c>
      <c r="O2174" s="2" t="str">
        <f aca="false">_xlfn.IFS(G2174&lt;0,"1 Negative",G2174=0,"2 Zero",G2174&lt;=500,"3 1-500",G2174&lt;=2000,"4 501-2000",TRUE(),"5 Above 2000")</f>
        <v>1 Negative</v>
      </c>
      <c r="P2174" s="2" t="n">
        <f aca="false">Lookups!$B$2*M2174+Lookups!$B$3*L2174</f>
        <v>2</v>
      </c>
      <c r="Q2174" s="2" t="str">
        <f aca="false">INDEX(Lookups!$E$2:$E$5,MATCH(P2174,Lookups!$D$2:$D$5,0))</f>
        <v>High</v>
      </c>
    </row>
    <row r="2175" customFormat="false" ht="15" hidden="false" customHeight="false" outlineLevel="0" collapsed="false">
      <c r="A2175" s="3" t="n">
        <v>2174</v>
      </c>
      <c r="B2175" s="3" t="n">
        <f aca="false">Raw_Data!A2175</f>
        <v>55</v>
      </c>
      <c r="C2175" s="3" t="str">
        <f aca="false">SUBSTITUTE(Raw_Data!B2175,".","")</f>
        <v>services</v>
      </c>
      <c r="D2175" s="3" t="str">
        <f aca="false">Raw_Data!C2175</f>
        <v>married</v>
      </c>
      <c r="E2175" s="3" t="str">
        <f aca="false">Raw_Data!D2175</f>
        <v>unknown</v>
      </c>
      <c r="F2175" s="3" t="str">
        <f aca="false">Raw_Data!E2175</f>
        <v>no</v>
      </c>
      <c r="G2175" s="3" t="n">
        <f aca="false">Raw_Data!F2175</f>
        <v>1210</v>
      </c>
      <c r="H2175" s="3" t="str">
        <f aca="false">Raw_Data!G2175</f>
        <v>yes</v>
      </c>
      <c r="I2175" s="3" t="str">
        <f aca="false">Raw_Data!H2175</f>
        <v>no</v>
      </c>
      <c r="J2175" s="2" t="n">
        <f aca="false">IF(F2175="yes",1,0)</f>
        <v>0</v>
      </c>
      <c r="K2175" s="2" t="n">
        <f aca="false">IF(H2175="yes",1,0)</f>
        <v>1</v>
      </c>
      <c r="L2175" s="2" t="n">
        <f aca="false">IF(I2175="yes",1,0)</f>
        <v>0</v>
      </c>
      <c r="M2175" s="2" t="n">
        <f aca="false">IF(G2175&lt;0,1,0)</f>
        <v>0</v>
      </c>
      <c r="N2175" s="2" t="str">
        <f aca="false">_xlfn.IFS(B2175&lt;30,"Under 30",B2175&lt;40,"30-39",B2175&lt;50,"40-49",B2175&lt;60,"50-59",TRUE(),"60+")</f>
        <v>50-59</v>
      </c>
      <c r="O2175" s="2" t="str">
        <f aca="false">_xlfn.IFS(G2175&lt;0,"1 Negative",G2175=0,"2 Zero",G2175&lt;=500,"3 1-500",G2175&lt;=2000,"4 501-2000",TRUE(),"5 Above 2000")</f>
        <v>4 501-2000</v>
      </c>
      <c r="P2175" s="2" t="n">
        <f aca="false">Lookups!$B$2*M2175+Lookups!$B$3*L2175</f>
        <v>0</v>
      </c>
      <c r="Q2175" s="2" t="str">
        <f aca="false">INDEX(Lookups!$E$2:$E$5,MATCH(P2175,Lookups!$D$2:$D$5,0))</f>
        <v>Low</v>
      </c>
    </row>
    <row r="2176" customFormat="false" ht="15" hidden="false" customHeight="false" outlineLevel="0" collapsed="false">
      <c r="A2176" s="3" t="n">
        <v>2175</v>
      </c>
      <c r="B2176" s="3" t="n">
        <f aca="false">Raw_Data!A2176</f>
        <v>35</v>
      </c>
      <c r="C2176" s="3" t="str">
        <f aca="false">SUBSTITUTE(Raw_Data!B2176,".","")</f>
        <v>services</v>
      </c>
      <c r="D2176" s="3" t="str">
        <f aca="false">Raw_Data!C2176</f>
        <v>married</v>
      </c>
      <c r="E2176" s="3" t="str">
        <f aca="false">Raw_Data!D2176</f>
        <v>secondary</v>
      </c>
      <c r="F2176" s="3" t="str">
        <f aca="false">Raw_Data!E2176</f>
        <v>no</v>
      </c>
      <c r="G2176" s="3" t="n">
        <f aca="false">Raw_Data!F2176</f>
        <v>819</v>
      </c>
      <c r="H2176" s="3" t="str">
        <f aca="false">Raw_Data!G2176</f>
        <v>yes</v>
      </c>
      <c r="I2176" s="3" t="str">
        <f aca="false">Raw_Data!H2176</f>
        <v>no</v>
      </c>
      <c r="J2176" s="2" t="n">
        <f aca="false">IF(F2176="yes",1,0)</f>
        <v>0</v>
      </c>
      <c r="K2176" s="2" t="n">
        <f aca="false">IF(H2176="yes",1,0)</f>
        <v>1</v>
      </c>
      <c r="L2176" s="2" t="n">
        <f aca="false">IF(I2176="yes",1,0)</f>
        <v>0</v>
      </c>
      <c r="M2176" s="2" t="n">
        <f aca="false">IF(G2176&lt;0,1,0)</f>
        <v>0</v>
      </c>
      <c r="N2176" s="2" t="str">
        <f aca="false">_xlfn.IFS(B2176&lt;30,"Under 30",B2176&lt;40,"30-39",B2176&lt;50,"40-49",B2176&lt;60,"50-59",TRUE(),"60+")</f>
        <v>30-39</v>
      </c>
      <c r="O2176" s="2" t="str">
        <f aca="false">_xlfn.IFS(G2176&lt;0,"1 Negative",G2176=0,"2 Zero",G2176&lt;=500,"3 1-500",G2176&lt;=2000,"4 501-2000",TRUE(),"5 Above 2000")</f>
        <v>4 501-2000</v>
      </c>
      <c r="P2176" s="2" t="n">
        <f aca="false">Lookups!$B$2*M2176+Lookups!$B$3*L2176</f>
        <v>0</v>
      </c>
      <c r="Q2176" s="2" t="str">
        <f aca="false">INDEX(Lookups!$E$2:$E$5,MATCH(P2176,Lookups!$D$2:$D$5,0))</f>
        <v>Low</v>
      </c>
    </row>
    <row r="2177" customFormat="false" ht="15" hidden="false" customHeight="false" outlineLevel="0" collapsed="false">
      <c r="A2177" s="3" t="n">
        <v>2176</v>
      </c>
      <c r="B2177" s="3" t="n">
        <f aca="false">Raw_Data!A2177</f>
        <v>56</v>
      </c>
      <c r="C2177" s="3" t="str">
        <f aca="false">SUBSTITUTE(Raw_Data!B2177,".","")</f>
        <v>management</v>
      </c>
      <c r="D2177" s="3" t="str">
        <f aca="false">Raw_Data!C2177</f>
        <v>divorced</v>
      </c>
      <c r="E2177" s="3" t="str">
        <f aca="false">Raw_Data!D2177</f>
        <v>tertiary</v>
      </c>
      <c r="F2177" s="3" t="str">
        <f aca="false">Raw_Data!E2177</f>
        <v>no</v>
      </c>
      <c r="G2177" s="3" t="n">
        <f aca="false">Raw_Data!F2177</f>
        <v>442</v>
      </c>
      <c r="H2177" s="3" t="str">
        <f aca="false">Raw_Data!G2177</f>
        <v>no</v>
      </c>
      <c r="I2177" s="3" t="str">
        <f aca="false">Raw_Data!H2177</f>
        <v>no</v>
      </c>
      <c r="J2177" s="2" t="n">
        <f aca="false">IF(F2177="yes",1,0)</f>
        <v>0</v>
      </c>
      <c r="K2177" s="2" t="n">
        <f aca="false">IF(H2177="yes",1,0)</f>
        <v>0</v>
      </c>
      <c r="L2177" s="2" t="n">
        <f aca="false">IF(I2177="yes",1,0)</f>
        <v>0</v>
      </c>
      <c r="M2177" s="2" t="n">
        <f aca="false">IF(G2177&lt;0,1,0)</f>
        <v>0</v>
      </c>
      <c r="N2177" s="2" t="str">
        <f aca="false">_xlfn.IFS(B2177&lt;30,"Under 30",B2177&lt;40,"30-39",B2177&lt;50,"40-49",B2177&lt;60,"50-59",TRUE(),"60+")</f>
        <v>50-59</v>
      </c>
      <c r="O2177" s="2" t="str">
        <f aca="false">_xlfn.IFS(G2177&lt;0,"1 Negative",G2177=0,"2 Zero",G2177&lt;=500,"3 1-500",G2177&lt;=2000,"4 501-2000",TRUE(),"5 Above 2000")</f>
        <v>3 1-500</v>
      </c>
      <c r="P2177" s="2" t="n">
        <f aca="false">Lookups!$B$2*M2177+Lookups!$B$3*L2177</f>
        <v>0</v>
      </c>
      <c r="Q2177" s="2" t="str">
        <f aca="false">INDEX(Lookups!$E$2:$E$5,MATCH(P2177,Lookups!$D$2:$D$5,0))</f>
        <v>Low</v>
      </c>
    </row>
    <row r="2178" customFormat="false" ht="15" hidden="false" customHeight="false" outlineLevel="0" collapsed="false">
      <c r="A2178" s="3" t="n">
        <v>2177</v>
      </c>
      <c r="B2178" s="3" t="n">
        <f aca="false">Raw_Data!A2178</f>
        <v>28</v>
      </c>
      <c r="C2178" s="3" t="str">
        <f aca="false">SUBSTITUTE(Raw_Data!B2178,".","")</f>
        <v>blue-collar</v>
      </c>
      <c r="D2178" s="3" t="str">
        <f aca="false">Raw_Data!C2178</f>
        <v>single</v>
      </c>
      <c r="E2178" s="3" t="str">
        <f aca="false">Raw_Data!D2178</f>
        <v>secondary</v>
      </c>
      <c r="F2178" s="3" t="str">
        <f aca="false">Raw_Data!E2178</f>
        <v>no</v>
      </c>
      <c r="G2178" s="3" t="n">
        <f aca="false">Raw_Data!F2178</f>
        <v>-46</v>
      </c>
      <c r="H2178" s="3" t="str">
        <f aca="false">Raw_Data!G2178</f>
        <v>yes</v>
      </c>
      <c r="I2178" s="3" t="str">
        <f aca="false">Raw_Data!H2178</f>
        <v>no</v>
      </c>
      <c r="J2178" s="2" t="n">
        <f aca="false">IF(F2178="yes",1,0)</f>
        <v>0</v>
      </c>
      <c r="K2178" s="2" t="n">
        <f aca="false">IF(H2178="yes",1,0)</f>
        <v>1</v>
      </c>
      <c r="L2178" s="2" t="n">
        <f aca="false">IF(I2178="yes",1,0)</f>
        <v>0</v>
      </c>
      <c r="M2178" s="2" t="n">
        <f aca="false">IF(G2178&lt;0,1,0)</f>
        <v>1</v>
      </c>
      <c r="N2178" s="2" t="str">
        <f aca="false">_xlfn.IFS(B2178&lt;30,"Under 30",B2178&lt;40,"30-39",B2178&lt;50,"40-49",B2178&lt;60,"50-59",TRUE(),"60+")</f>
        <v>Under 30</v>
      </c>
      <c r="O2178" s="2" t="str">
        <f aca="false">_xlfn.IFS(G2178&lt;0,"1 Negative",G2178=0,"2 Zero",G2178&lt;=500,"3 1-500",G2178&lt;=2000,"4 501-2000",TRUE(),"5 Above 2000")</f>
        <v>1 Negative</v>
      </c>
      <c r="P2178" s="2" t="n">
        <f aca="false">Lookups!$B$2*M2178+Lookups!$B$3*L2178</f>
        <v>2</v>
      </c>
      <c r="Q2178" s="2" t="str">
        <f aca="false">INDEX(Lookups!$E$2:$E$5,MATCH(P2178,Lookups!$D$2:$D$5,0))</f>
        <v>High</v>
      </c>
    </row>
    <row r="2179" customFormat="false" ht="15" hidden="false" customHeight="false" outlineLevel="0" collapsed="false">
      <c r="A2179" s="3" t="n">
        <v>2178</v>
      </c>
      <c r="B2179" s="3" t="n">
        <f aca="false">Raw_Data!A2179</f>
        <v>27</v>
      </c>
      <c r="C2179" s="3" t="str">
        <f aca="false">SUBSTITUTE(Raw_Data!B2179,".","")</f>
        <v>student</v>
      </c>
      <c r="D2179" s="3" t="str">
        <f aca="false">Raw_Data!C2179</f>
        <v>single</v>
      </c>
      <c r="E2179" s="3" t="str">
        <f aca="false">Raw_Data!D2179</f>
        <v>secondary</v>
      </c>
      <c r="F2179" s="3" t="str">
        <f aca="false">Raw_Data!E2179</f>
        <v>no</v>
      </c>
      <c r="G2179" s="3" t="n">
        <f aca="false">Raw_Data!F2179</f>
        <v>671</v>
      </c>
      <c r="H2179" s="3" t="str">
        <f aca="false">Raw_Data!G2179</f>
        <v>yes</v>
      </c>
      <c r="I2179" s="3" t="str">
        <f aca="false">Raw_Data!H2179</f>
        <v>no</v>
      </c>
      <c r="J2179" s="2" t="n">
        <f aca="false">IF(F2179="yes",1,0)</f>
        <v>0</v>
      </c>
      <c r="K2179" s="2" t="n">
        <f aca="false">IF(H2179="yes",1,0)</f>
        <v>1</v>
      </c>
      <c r="L2179" s="2" t="n">
        <f aca="false">IF(I2179="yes",1,0)</f>
        <v>0</v>
      </c>
      <c r="M2179" s="2" t="n">
        <f aca="false">IF(G2179&lt;0,1,0)</f>
        <v>0</v>
      </c>
      <c r="N2179" s="2" t="str">
        <f aca="false">_xlfn.IFS(B2179&lt;30,"Under 30",B2179&lt;40,"30-39",B2179&lt;50,"40-49",B2179&lt;60,"50-59",TRUE(),"60+")</f>
        <v>Under 30</v>
      </c>
      <c r="O2179" s="2" t="str">
        <f aca="false">_xlfn.IFS(G2179&lt;0,"1 Negative",G2179=0,"2 Zero",G2179&lt;=500,"3 1-500",G2179&lt;=2000,"4 501-2000",TRUE(),"5 Above 2000")</f>
        <v>4 501-2000</v>
      </c>
      <c r="P2179" s="2" t="n">
        <f aca="false">Lookups!$B$2*M2179+Lookups!$B$3*L2179</f>
        <v>0</v>
      </c>
      <c r="Q2179" s="2" t="str">
        <f aca="false">INDEX(Lookups!$E$2:$E$5,MATCH(P2179,Lookups!$D$2:$D$5,0))</f>
        <v>Low</v>
      </c>
    </row>
    <row r="2180" customFormat="false" ht="15" hidden="false" customHeight="false" outlineLevel="0" collapsed="false">
      <c r="A2180" s="3" t="n">
        <v>2179</v>
      </c>
      <c r="B2180" s="3" t="n">
        <f aca="false">Raw_Data!A2180</f>
        <v>30</v>
      </c>
      <c r="C2180" s="3" t="str">
        <f aca="false">SUBSTITUTE(Raw_Data!B2180,".","")</f>
        <v>technician</v>
      </c>
      <c r="D2180" s="3" t="str">
        <f aca="false">Raw_Data!C2180</f>
        <v>married</v>
      </c>
      <c r="E2180" s="3" t="str">
        <f aca="false">Raw_Data!D2180</f>
        <v>secondary</v>
      </c>
      <c r="F2180" s="3" t="str">
        <f aca="false">Raw_Data!E2180</f>
        <v>no</v>
      </c>
      <c r="G2180" s="3" t="n">
        <f aca="false">Raw_Data!F2180</f>
        <v>371</v>
      </c>
      <c r="H2180" s="3" t="str">
        <f aca="false">Raw_Data!G2180</f>
        <v>no</v>
      </c>
      <c r="I2180" s="3" t="str">
        <f aca="false">Raw_Data!H2180</f>
        <v>no</v>
      </c>
      <c r="J2180" s="2" t="n">
        <f aca="false">IF(F2180="yes",1,0)</f>
        <v>0</v>
      </c>
      <c r="K2180" s="2" t="n">
        <f aca="false">IF(H2180="yes",1,0)</f>
        <v>0</v>
      </c>
      <c r="L2180" s="2" t="n">
        <f aca="false">IF(I2180="yes",1,0)</f>
        <v>0</v>
      </c>
      <c r="M2180" s="2" t="n">
        <f aca="false">IF(G2180&lt;0,1,0)</f>
        <v>0</v>
      </c>
      <c r="N2180" s="2" t="str">
        <f aca="false">_xlfn.IFS(B2180&lt;30,"Under 30",B2180&lt;40,"30-39",B2180&lt;50,"40-49",B2180&lt;60,"50-59",TRUE(),"60+")</f>
        <v>30-39</v>
      </c>
      <c r="O2180" s="2" t="str">
        <f aca="false">_xlfn.IFS(G2180&lt;0,"1 Negative",G2180=0,"2 Zero",G2180&lt;=500,"3 1-500",G2180&lt;=2000,"4 501-2000",TRUE(),"5 Above 2000")</f>
        <v>3 1-500</v>
      </c>
      <c r="P2180" s="2" t="n">
        <f aca="false">Lookups!$B$2*M2180+Lookups!$B$3*L2180</f>
        <v>0</v>
      </c>
      <c r="Q2180" s="2" t="str">
        <f aca="false">INDEX(Lookups!$E$2:$E$5,MATCH(P2180,Lookups!$D$2:$D$5,0))</f>
        <v>Low</v>
      </c>
    </row>
    <row r="2181" customFormat="false" ht="15" hidden="false" customHeight="false" outlineLevel="0" collapsed="false">
      <c r="A2181" s="3" t="n">
        <v>2180</v>
      </c>
      <c r="B2181" s="3" t="n">
        <f aca="false">Raw_Data!A2181</f>
        <v>51</v>
      </c>
      <c r="C2181" s="3" t="str">
        <f aca="false">SUBSTITUTE(Raw_Data!B2181,".","")</f>
        <v>technician</v>
      </c>
      <c r="D2181" s="3" t="str">
        <f aca="false">Raw_Data!C2181</f>
        <v>married</v>
      </c>
      <c r="E2181" s="3" t="str">
        <f aca="false">Raw_Data!D2181</f>
        <v>tertiary</v>
      </c>
      <c r="F2181" s="3" t="str">
        <f aca="false">Raw_Data!E2181</f>
        <v>no</v>
      </c>
      <c r="G2181" s="3" t="n">
        <f aca="false">Raw_Data!F2181</f>
        <v>-3</v>
      </c>
      <c r="H2181" s="3" t="str">
        <f aca="false">Raw_Data!G2181</f>
        <v>no</v>
      </c>
      <c r="I2181" s="3" t="str">
        <f aca="false">Raw_Data!H2181</f>
        <v>no</v>
      </c>
      <c r="J2181" s="2" t="n">
        <f aca="false">IF(F2181="yes",1,0)</f>
        <v>0</v>
      </c>
      <c r="K2181" s="2" t="n">
        <f aca="false">IF(H2181="yes",1,0)</f>
        <v>0</v>
      </c>
      <c r="L2181" s="2" t="n">
        <f aca="false">IF(I2181="yes",1,0)</f>
        <v>0</v>
      </c>
      <c r="M2181" s="2" t="n">
        <f aca="false">IF(G2181&lt;0,1,0)</f>
        <v>1</v>
      </c>
      <c r="N2181" s="2" t="str">
        <f aca="false">_xlfn.IFS(B2181&lt;30,"Under 30",B2181&lt;40,"30-39",B2181&lt;50,"40-49",B2181&lt;60,"50-59",TRUE(),"60+")</f>
        <v>50-59</v>
      </c>
      <c r="O2181" s="2" t="str">
        <f aca="false">_xlfn.IFS(G2181&lt;0,"1 Negative",G2181=0,"2 Zero",G2181&lt;=500,"3 1-500",G2181&lt;=2000,"4 501-2000",TRUE(),"5 Above 2000")</f>
        <v>1 Negative</v>
      </c>
      <c r="P2181" s="2" t="n">
        <f aca="false">Lookups!$B$2*M2181+Lookups!$B$3*L2181</f>
        <v>2</v>
      </c>
      <c r="Q2181" s="2" t="str">
        <f aca="false">INDEX(Lookups!$E$2:$E$5,MATCH(P2181,Lookups!$D$2:$D$5,0))</f>
        <v>High</v>
      </c>
    </row>
    <row r="2182" customFormat="false" ht="15" hidden="false" customHeight="false" outlineLevel="0" collapsed="false">
      <c r="A2182" s="3" t="n">
        <v>2181</v>
      </c>
      <c r="B2182" s="3" t="n">
        <f aca="false">Raw_Data!A2182</f>
        <v>33</v>
      </c>
      <c r="C2182" s="3" t="str">
        <f aca="false">SUBSTITUTE(Raw_Data!B2182,".","")</f>
        <v>management</v>
      </c>
      <c r="D2182" s="3" t="str">
        <f aca="false">Raw_Data!C2182</f>
        <v>married</v>
      </c>
      <c r="E2182" s="3" t="str">
        <f aca="false">Raw_Data!D2182</f>
        <v>secondary</v>
      </c>
      <c r="F2182" s="3" t="str">
        <f aca="false">Raw_Data!E2182</f>
        <v>no</v>
      </c>
      <c r="G2182" s="3" t="n">
        <f aca="false">Raw_Data!F2182</f>
        <v>11</v>
      </c>
      <c r="H2182" s="3" t="str">
        <f aca="false">Raw_Data!G2182</f>
        <v>yes</v>
      </c>
      <c r="I2182" s="3" t="str">
        <f aca="false">Raw_Data!H2182</f>
        <v>no</v>
      </c>
      <c r="J2182" s="2" t="n">
        <f aca="false">IF(F2182="yes",1,0)</f>
        <v>0</v>
      </c>
      <c r="K2182" s="2" t="n">
        <f aca="false">IF(H2182="yes",1,0)</f>
        <v>1</v>
      </c>
      <c r="L2182" s="2" t="n">
        <f aca="false">IF(I2182="yes",1,0)</f>
        <v>0</v>
      </c>
      <c r="M2182" s="2" t="n">
        <f aca="false">IF(G2182&lt;0,1,0)</f>
        <v>0</v>
      </c>
      <c r="N2182" s="2" t="str">
        <f aca="false">_xlfn.IFS(B2182&lt;30,"Under 30",B2182&lt;40,"30-39",B2182&lt;50,"40-49",B2182&lt;60,"50-59",TRUE(),"60+")</f>
        <v>30-39</v>
      </c>
      <c r="O2182" s="2" t="str">
        <f aca="false">_xlfn.IFS(G2182&lt;0,"1 Negative",G2182=0,"2 Zero",G2182&lt;=500,"3 1-500",G2182&lt;=2000,"4 501-2000",TRUE(),"5 Above 2000")</f>
        <v>3 1-500</v>
      </c>
      <c r="P2182" s="2" t="n">
        <f aca="false">Lookups!$B$2*M2182+Lookups!$B$3*L2182</f>
        <v>0</v>
      </c>
      <c r="Q2182" s="2" t="str">
        <f aca="false">INDEX(Lookups!$E$2:$E$5,MATCH(P2182,Lookups!$D$2:$D$5,0))</f>
        <v>Low</v>
      </c>
    </row>
    <row r="2183" customFormat="false" ht="15" hidden="false" customHeight="false" outlineLevel="0" collapsed="false">
      <c r="A2183" s="3" t="n">
        <v>2182</v>
      </c>
      <c r="B2183" s="3" t="n">
        <f aca="false">Raw_Data!A2183</f>
        <v>32</v>
      </c>
      <c r="C2183" s="3" t="str">
        <f aca="false">SUBSTITUTE(Raw_Data!B2183,".","")</f>
        <v>blue-collar</v>
      </c>
      <c r="D2183" s="3" t="str">
        <f aca="false">Raw_Data!C2183</f>
        <v>single</v>
      </c>
      <c r="E2183" s="3" t="str">
        <f aca="false">Raw_Data!D2183</f>
        <v>secondary</v>
      </c>
      <c r="F2183" s="3" t="str">
        <f aca="false">Raw_Data!E2183</f>
        <v>no</v>
      </c>
      <c r="G2183" s="3" t="n">
        <f aca="false">Raw_Data!F2183</f>
        <v>33</v>
      </c>
      <c r="H2183" s="3" t="str">
        <f aca="false">Raw_Data!G2183</f>
        <v>yes</v>
      </c>
      <c r="I2183" s="3" t="str">
        <f aca="false">Raw_Data!H2183</f>
        <v>no</v>
      </c>
      <c r="J2183" s="2" t="n">
        <f aca="false">IF(F2183="yes",1,0)</f>
        <v>0</v>
      </c>
      <c r="K2183" s="2" t="n">
        <f aca="false">IF(H2183="yes",1,0)</f>
        <v>1</v>
      </c>
      <c r="L2183" s="2" t="n">
        <f aca="false">IF(I2183="yes",1,0)</f>
        <v>0</v>
      </c>
      <c r="M2183" s="2" t="n">
        <f aca="false">IF(G2183&lt;0,1,0)</f>
        <v>0</v>
      </c>
      <c r="N2183" s="2" t="str">
        <f aca="false">_xlfn.IFS(B2183&lt;30,"Under 30",B2183&lt;40,"30-39",B2183&lt;50,"40-49",B2183&lt;60,"50-59",TRUE(),"60+")</f>
        <v>30-39</v>
      </c>
      <c r="O2183" s="2" t="str">
        <f aca="false">_xlfn.IFS(G2183&lt;0,"1 Negative",G2183=0,"2 Zero",G2183&lt;=500,"3 1-500",G2183&lt;=2000,"4 501-2000",TRUE(),"5 Above 2000")</f>
        <v>3 1-500</v>
      </c>
      <c r="P2183" s="2" t="n">
        <f aca="false">Lookups!$B$2*M2183+Lookups!$B$3*L2183</f>
        <v>0</v>
      </c>
      <c r="Q2183" s="2" t="str">
        <f aca="false">INDEX(Lookups!$E$2:$E$5,MATCH(P2183,Lookups!$D$2:$D$5,0))</f>
        <v>Low</v>
      </c>
    </row>
    <row r="2184" customFormat="false" ht="15" hidden="false" customHeight="false" outlineLevel="0" collapsed="false">
      <c r="A2184" s="3" t="n">
        <v>2183</v>
      </c>
      <c r="B2184" s="3" t="n">
        <f aca="false">Raw_Data!A2184</f>
        <v>43</v>
      </c>
      <c r="C2184" s="3" t="str">
        <f aca="false">SUBSTITUTE(Raw_Data!B2184,".","")</f>
        <v>entrepreneur</v>
      </c>
      <c r="D2184" s="3" t="str">
        <f aca="false">Raw_Data!C2184</f>
        <v>married</v>
      </c>
      <c r="E2184" s="3" t="str">
        <f aca="false">Raw_Data!D2184</f>
        <v>secondary</v>
      </c>
      <c r="F2184" s="3" t="str">
        <f aca="false">Raw_Data!E2184</f>
        <v>no</v>
      </c>
      <c r="G2184" s="3" t="n">
        <f aca="false">Raw_Data!F2184</f>
        <v>104</v>
      </c>
      <c r="H2184" s="3" t="str">
        <f aca="false">Raw_Data!G2184</f>
        <v>yes</v>
      </c>
      <c r="I2184" s="3" t="str">
        <f aca="false">Raw_Data!H2184</f>
        <v>no</v>
      </c>
      <c r="J2184" s="2" t="n">
        <f aca="false">IF(F2184="yes",1,0)</f>
        <v>0</v>
      </c>
      <c r="K2184" s="2" t="n">
        <f aca="false">IF(H2184="yes",1,0)</f>
        <v>1</v>
      </c>
      <c r="L2184" s="2" t="n">
        <f aca="false">IF(I2184="yes",1,0)</f>
        <v>0</v>
      </c>
      <c r="M2184" s="2" t="n">
        <f aca="false">IF(G2184&lt;0,1,0)</f>
        <v>0</v>
      </c>
      <c r="N2184" s="2" t="str">
        <f aca="false">_xlfn.IFS(B2184&lt;30,"Under 30",B2184&lt;40,"30-39",B2184&lt;50,"40-49",B2184&lt;60,"50-59",TRUE(),"60+")</f>
        <v>40-49</v>
      </c>
      <c r="O2184" s="2" t="str">
        <f aca="false">_xlfn.IFS(G2184&lt;0,"1 Negative",G2184=0,"2 Zero",G2184&lt;=500,"3 1-500",G2184&lt;=2000,"4 501-2000",TRUE(),"5 Above 2000")</f>
        <v>3 1-500</v>
      </c>
      <c r="P2184" s="2" t="n">
        <f aca="false">Lookups!$B$2*M2184+Lookups!$B$3*L2184</f>
        <v>0</v>
      </c>
      <c r="Q2184" s="2" t="str">
        <f aca="false">INDEX(Lookups!$E$2:$E$5,MATCH(P2184,Lookups!$D$2:$D$5,0))</f>
        <v>Low</v>
      </c>
    </row>
    <row r="2185" customFormat="false" ht="15" hidden="false" customHeight="false" outlineLevel="0" collapsed="false">
      <c r="A2185" s="3" t="n">
        <v>2184</v>
      </c>
      <c r="B2185" s="3" t="n">
        <f aca="false">Raw_Data!A2185</f>
        <v>46</v>
      </c>
      <c r="C2185" s="3" t="str">
        <f aca="false">SUBSTITUTE(Raw_Data!B2185,".","")</f>
        <v>blue-collar</v>
      </c>
      <c r="D2185" s="3" t="str">
        <f aca="false">Raw_Data!C2185</f>
        <v>married</v>
      </c>
      <c r="E2185" s="3" t="str">
        <f aca="false">Raw_Data!D2185</f>
        <v>primary</v>
      </c>
      <c r="F2185" s="3" t="str">
        <f aca="false">Raw_Data!E2185</f>
        <v>no</v>
      </c>
      <c r="G2185" s="3" t="n">
        <f aca="false">Raw_Data!F2185</f>
        <v>174</v>
      </c>
      <c r="H2185" s="3" t="str">
        <f aca="false">Raw_Data!G2185</f>
        <v>no</v>
      </c>
      <c r="I2185" s="3" t="str">
        <f aca="false">Raw_Data!H2185</f>
        <v>yes</v>
      </c>
      <c r="J2185" s="2" t="n">
        <f aca="false">IF(F2185="yes",1,0)</f>
        <v>0</v>
      </c>
      <c r="K2185" s="2" t="n">
        <f aca="false">IF(H2185="yes",1,0)</f>
        <v>0</v>
      </c>
      <c r="L2185" s="2" t="n">
        <f aca="false">IF(I2185="yes",1,0)</f>
        <v>1</v>
      </c>
      <c r="M2185" s="2" t="n">
        <f aca="false">IF(G2185&lt;0,1,0)</f>
        <v>0</v>
      </c>
      <c r="N2185" s="2" t="str">
        <f aca="false">_xlfn.IFS(B2185&lt;30,"Under 30",B2185&lt;40,"30-39",B2185&lt;50,"40-49",B2185&lt;60,"50-59",TRUE(),"60+")</f>
        <v>40-49</v>
      </c>
      <c r="O2185" s="2" t="str">
        <f aca="false">_xlfn.IFS(G2185&lt;0,"1 Negative",G2185=0,"2 Zero",G2185&lt;=500,"3 1-500",G2185&lt;=2000,"4 501-2000",TRUE(),"5 Above 2000")</f>
        <v>3 1-500</v>
      </c>
      <c r="P2185" s="2" t="n">
        <f aca="false">Lookups!$B$2*M2185+Lookups!$B$3*L2185</f>
        <v>1</v>
      </c>
      <c r="Q2185" s="2" t="str">
        <f aca="false">INDEX(Lookups!$E$2:$E$5,MATCH(P2185,Lookups!$D$2:$D$5,0))</f>
        <v>Medium</v>
      </c>
    </row>
    <row r="2186" customFormat="false" ht="15" hidden="false" customHeight="false" outlineLevel="0" collapsed="false">
      <c r="A2186" s="3" t="n">
        <v>2185</v>
      </c>
      <c r="B2186" s="3" t="n">
        <f aca="false">Raw_Data!A2186</f>
        <v>32</v>
      </c>
      <c r="C2186" s="3" t="str">
        <f aca="false">SUBSTITUTE(Raw_Data!B2186,".","")</f>
        <v>management</v>
      </c>
      <c r="D2186" s="3" t="str">
        <f aca="false">Raw_Data!C2186</f>
        <v>married</v>
      </c>
      <c r="E2186" s="3" t="str">
        <f aca="false">Raw_Data!D2186</f>
        <v>tertiary</v>
      </c>
      <c r="F2186" s="3" t="str">
        <f aca="false">Raw_Data!E2186</f>
        <v>no</v>
      </c>
      <c r="G2186" s="3" t="n">
        <f aca="false">Raw_Data!F2186</f>
        <v>3107</v>
      </c>
      <c r="H2186" s="3" t="str">
        <f aca="false">Raw_Data!G2186</f>
        <v>yes</v>
      </c>
      <c r="I2186" s="3" t="str">
        <f aca="false">Raw_Data!H2186</f>
        <v>yes</v>
      </c>
      <c r="J2186" s="2" t="n">
        <f aca="false">IF(F2186="yes",1,0)</f>
        <v>0</v>
      </c>
      <c r="K2186" s="2" t="n">
        <f aca="false">IF(H2186="yes",1,0)</f>
        <v>1</v>
      </c>
      <c r="L2186" s="2" t="n">
        <f aca="false">IF(I2186="yes",1,0)</f>
        <v>1</v>
      </c>
      <c r="M2186" s="2" t="n">
        <f aca="false">IF(G2186&lt;0,1,0)</f>
        <v>0</v>
      </c>
      <c r="N2186" s="2" t="str">
        <f aca="false">_xlfn.IFS(B2186&lt;30,"Under 30",B2186&lt;40,"30-39",B2186&lt;50,"40-49",B2186&lt;60,"50-59",TRUE(),"60+")</f>
        <v>30-39</v>
      </c>
      <c r="O2186" s="2" t="str">
        <f aca="false">_xlfn.IFS(G2186&lt;0,"1 Negative",G2186=0,"2 Zero",G2186&lt;=500,"3 1-500",G2186&lt;=2000,"4 501-2000",TRUE(),"5 Above 2000")</f>
        <v>5 Above 2000</v>
      </c>
      <c r="P2186" s="2" t="n">
        <f aca="false">Lookups!$B$2*M2186+Lookups!$B$3*L2186</f>
        <v>1</v>
      </c>
      <c r="Q2186" s="2" t="str">
        <f aca="false">INDEX(Lookups!$E$2:$E$5,MATCH(P2186,Lookups!$D$2:$D$5,0))</f>
        <v>Medium</v>
      </c>
    </row>
    <row r="2187" customFormat="false" ht="15" hidden="false" customHeight="false" outlineLevel="0" collapsed="false">
      <c r="A2187" s="3" t="n">
        <v>2186</v>
      </c>
      <c r="B2187" s="3" t="n">
        <f aca="false">Raw_Data!A2187</f>
        <v>40</v>
      </c>
      <c r="C2187" s="3" t="str">
        <f aca="false">SUBSTITUTE(Raw_Data!B2187,".","")</f>
        <v>services</v>
      </c>
      <c r="D2187" s="3" t="str">
        <f aca="false">Raw_Data!C2187</f>
        <v>married</v>
      </c>
      <c r="E2187" s="3" t="str">
        <f aca="false">Raw_Data!D2187</f>
        <v>secondary</v>
      </c>
      <c r="F2187" s="3" t="str">
        <f aca="false">Raw_Data!E2187</f>
        <v>no</v>
      </c>
      <c r="G2187" s="3" t="n">
        <f aca="false">Raw_Data!F2187</f>
        <v>1438</v>
      </c>
      <c r="H2187" s="3" t="str">
        <f aca="false">Raw_Data!G2187</f>
        <v>yes</v>
      </c>
      <c r="I2187" s="3" t="str">
        <f aca="false">Raw_Data!H2187</f>
        <v>no</v>
      </c>
      <c r="J2187" s="2" t="n">
        <f aca="false">IF(F2187="yes",1,0)</f>
        <v>0</v>
      </c>
      <c r="K2187" s="2" t="n">
        <f aca="false">IF(H2187="yes",1,0)</f>
        <v>1</v>
      </c>
      <c r="L2187" s="2" t="n">
        <f aca="false">IF(I2187="yes",1,0)</f>
        <v>0</v>
      </c>
      <c r="M2187" s="2" t="n">
        <f aca="false">IF(G2187&lt;0,1,0)</f>
        <v>0</v>
      </c>
      <c r="N2187" s="2" t="str">
        <f aca="false">_xlfn.IFS(B2187&lt;30,"Under 30",B2187&lt;40,"30-39",B2187&lt;50,"40-49",B2187&lt;60,"50-59",TRUE(),"60+")</f>
        <v>40-49</v>
      </c>
      <c r="O2187" s="2" t="str">
        <f aca="false">_xlfn.IFS(G2187&lt;0,"1 Negative",G2187=0,"2 Zero",G2187&lt;=500,"3 1-500",G2187&lt;=2000,"4 501-2000",TRUE(),"5 Above 2000")</f>
        <v>4 501-2000</v>
      </c>
      <c r="P2187" s="2" t="n">
        <f aca="false">Lookups!$B$2*M2187+Lookups!$B$3*L2187</f>
        <v>0</v>
      </c>
      <c r="Q2187" s="2" t="str">
        <f aca="false">INDEX(Lookups!$E$2:$E$5,MATCH(P2187,Lookups!$D$2:$D$5,0))</f>
        <v>Low</v>
      </c>
    </row>
    <row r="2188" customFormat="false" ht="15" hidden="false" customHeight="false" outlineLevel="0" collapsed="false">
      <c r="A2188" s="3" t="n">
        <v>2187</v>
      </c>
      <c r="B2188" s="3" t="n">
        <f aca="false">Raw_Data!A2188</f>
        <v>39</v>
      </c>
      <c r="C2188" s="3" t="str">
        <f aca="false">SUBSTITUTE(Raw_Data!B2188,".","")</f>
        <v>blue-collar</v>
      </c>
      <c r="D2188" s="3" t="str">
        <f aca="false">Raw_Data!C2188</f>
        <v>married</v>
      </c>
      <c r="E2188" s="3" t="str">
        <f aca="false">Raw_Data!D2188</f>
        <v>secondary</v>
      </c>
      <c r="F2188" s="3" t="str">
        <f aca="false">Raw_Data!E2188</f>
        <v>no</v>
      </c>
      <c r="G2188" s="3" t="n">
        <f aca="false">Raw_Data!F2188</f>
        <v>1367</v>
      </c>
      <c r="H2188" s="3" t="str">
        <f aca="false">Raw_Data!G2188</f>
        <v>no</v>
      </c>
      <c r="I2188" s="3" t="str">
        <f aca="false">Raw_Data!H2188</f>
        <v>no</v>
      </c>
      <c r="J2188" s="2" t="n">
        <f aca="false">IF(F2188="yes",1,0)</f>
        <v>0</v>
      </c>
      <c r="K2188" s="2" t="n">
        <f aca="false">IF(H2188="yes",1,0)</f>
        <v>0</v>
      </c>
      <c r="L2188" s="2" t="n">
        <f aca="false">IF(I2188="yes",1,0)</f>
        <v>0</v>
      </c>
      <c r="M2188" s="2" t="n">
        <f aca="false">IF(G2188&lt;0,1,0)</f>
        <v>0</v>
      </c>
      <c r="N2188" s="2" t="str">
        <f aca="false">_xlfn.IFS(B2188&lt;30,"Under 30",B2188&lt;40,"30-39",B2188&lt;50,"40-49",B2188&lt;60,"50-59",TRUE(),"60+")</f>
        <v>30-39</v>
      </c>
      <c r="O2188" s="2" t="str">
        <f aca="false">_xlfn.IFS(G2188&lt;0,"1 Negative",G2188=0,"2 Zero",G2188&lt;=500,"3 1-500",G2188&lt;=2000,"4 501-2000",TRUE(),"5 Above 2000")</f>
        <v>4 501-2000</v>
      </c>
      <c r="P2188" s="2" t="n">
        <f aca="false">Lookups!$B$2*M2188+Lookups!$B$3*L2188</f>
        <v>0</v>
      </c>
      <c r="Q2188" s="2" t="str">
        <f aca="false">INDEX(Lookups!$E$2:$E$5,MATCH(P2188,Lookups!$D$2:$D$5,0))</f>
        <v>Low</v>
      </c>
    </row>
    <row r="2189" customFormat="false" ht="15" hidden="false" customHeight="false" outlineLevel="0" collapsed="false">
      <c r="A2189" s="3" t="n">
        <v>2188</v>
      </c>
      <c r="B2189" s="3" t="n">
        <f aca="false">Raw_Data!A2189</f>
        <v>51</v>
      </c>
      <c r="C2189" s="3" t="str">
        <f aca="false">SUBSTITUTE(Raw_Data!B2189,".","")</f>
        <v>blue-collar</v>
      </c>
      <c r="D2189" s="3" t="str">
        <f aca="false">Raw_Data!C2189</f>
        <v>married</v>
      </c>
      <c r="E2189" s="3" t="str">
        <f aca="false">Raw_Data!D2189</f>
        <v>primary</v>
      </c>
      <c r="F2189" s="3" t="str">
        <f aca="false">Raw_Data!E2189</f>
        <v>no</v>
      </c>
      <c r="G2189" s="3" t="n">
        <f aca="false">Raw_Data!F2189</f>
        <v>-11</v>
      </c>
      <c r="H2189" s="3" t="str">
        <f aca="false">Raw_Data!G2189</f>
        <v>no</v>
      </c>
      <c r="I2189" s="3" t="str">
        <f aca="false">Raw_Data!H2189</f>
        <v>no</v>
      </c>
      <c r="J2189" s="2" t="n">
        <f aca="false">IF(F2189="yes",1,0)</f>
        <v>0</v>
      </c>
      <c r="K2189" s="2" t="n">
        <f aca="false">IF(H2189="yes",1,0)</f>
        <v>0</v>
      </c>
      <c r="L2189" s="2" t="n">
        <f aca="false">IF(I2189="yes",1,0)</f>
        <v>0</v>
      </c>
      <c r="M2189" s="2" t="n">
        <f aca="false">IF(G2189&lt;0,1,0)</f>
        <v>1</v>
      </c>
      <c r="N2189" s="2" t="str">
        <f aca="false">_xlfn.IFS(B2189&lt;30,"Under 30",B2189&lt;40,"30-39",B2189&lt;50,"40-49",B2189&lt;60,"50-59",TRUE(),"60+")</f>
        <v>50-59</v>
      </c>
      <c r="O2189" s="2" t="str">
        <f aca="false">_xlfn.IFS(G2189&lt;0,"1 Negative",G2189=0,"2 Zero",G2189&lt;=500,"3 1-500",G2189&lt;=2000,"4 501-2000",TRUE(),"5 Above 2000")</f>
        <v>1 Negative</v>
      </c>
      <c r="P2189" s="2" t="n">
        <f aca="false">Lookups!$B$2*M2189+Lookups!$B$3*L2189</f>
        <v>2</v>
      </c>
      <c r="Q2189" s="2" t="str">
        <f aca="false">INDEX(Lookups!$E$2:$E$5,MATCH(P2189,Lookups!$D$2:$D$5,0))</f>
        <v>High</v>
      </c>
    </row>
    <row r="2190" customFormat="false" ht="15" hidden="false" customHeight="false" outlineLevel="0" collapsed="false">
      <c r="A2190" s="3" t="n">
        <v>2189</v>
      </c>
      <c r="B2190" s="3" t="n">
        <f aca="false">Raw_Data!A2190</f>
        <v>46</v>
      </c>
      <c r="C2190" s="3" t="str">
        <f aca="false">SUBSTITUTE(Raw_Data!B2190,".","")</f>
        <v>admin</v>
      </c>
      <c r="D2190" s="3" t="str">
        <f aca="false">Raw_Data!C2190</f>
        <v>single</v>
      </c>
      <c r="E2190" s="3" t="str">
        <f aca="false">Raw_Data!D2190</f>
        <v>secondary</v>
      </c>
      <c r="F2190" s="3" t="str">
        <f aca="false">Raw_Data!E2190</f>
        <v>no</v>
      </c>
      <c r="G2190" s="3" t="n">
        <f aca="false">Raw_Data!F2190</f>
        <v>1693</v>
      </c>
      <c r="H2190" s="3" t="str">
        <f aca="false">Raw_Data!G2190</f>
        <v>yes</v>
      </c>
      <c r="I2190" s="3" t="str">
        <f aca="false">Raw_Data!H2190</f>
        <v>no</v>
      </c>
      <c r="J2190" s="2" t="n">
        <f aca="false">IF(F2190="yes",1,0)</f>
        <v>0</v>
      </c>
      <c r="K2190" s="2" t="n">
        <f aca="false">IF(H2190="yes",1,0)</f>
        <v>1</v>
      </c>
      <c r="L2190" s="2" t="n">
        <f aca="false">IF(I2190="yes",1,0)</f>
        <v>0</v>
      </c>
      <c r="M2190" s="2" t="n">
        <f aca="false">IF(G2190&lt;0,1,0)</f>
        <v>0</v>
      </c>
      <c r="N2190" s="2" t="str">
        <f aca="false">_xlfn.IFS(B2190&lt;30,"Under 30",B2190&lt;40,"30-39",B2190&lt;50,"40-49",B2190&lt;60,"50-59",TRUE(),"60+")</f>
        <v>40-49</v>
      </c>
      <c r="O2190" s="2" t="str">
        <f aca="false">_xlfn.IFS(G2190&lt;0,"1 Negative",G2190=0,"2 Zero",G2190&lt;=500,"3 1-500",G2190&lt;=2000,"4 501-2000",TRUE(),"5 Above 2000")</f>
        <v>4 501-2000</v>
      </c>
      <c r="P2190" s="2" t="n">
        <f aca="false">Lookups!$B$2*M2190+Lookups!$B$3*L2190</f>
        <v>0</v>
      </c>
      <c r="Q2190" s="2" t="str">
        <f aca="false">INDEX(Lookups!$E$2:$E$5,MATCH(P2190,Lookups!$D$2:$D$5,0))</f>
        <v>Low</v>
      </c>
    </row>
    <row r="2191" customFormat="false" ht="15" hidden="false" customHeight="false" outlineLevel="0" collapsed="false">
      <c r="A2191" s="3" t="n">
        <v>2190</v>
      </c>
      <c r="B2191" s="3" t="n">
        <f aca="false">Raw_Data!A2191</f>
        <v>43</v>
      </c>
      <c r="C2191" s="3" t="str">
        <f aca="false">SUBSTITUTE(Raw_Data!B2191,".","")</f>
        <v>blue-collar</v>
      </c>
      <c r="D2191" s="3" t="str">
        <f aca="false">Raw_Data!C2191</f>
        <v>married</v>
      </c>
      <c r="E2191" s="3" t="str">
        <f aca="false">Raw_Data!D2191</f>
        <v>primary</v>
      </c>
      <c r="F2191" s="3" t="str">
        <f aca="false">Raw_Data!E2191</f>
        <v>no</v>
      </c>
      <c r="G2191" s="3" t="n">
        <f aca="false">Raw_Data!F2191</f>
        <v>778</v>
      </c>
      <c r="H2191" s="3" t="str">
        <f aca="false">Raw_Data!G2191</f>
        <v>yes</v>
      </c>
      <c r="I2191" s="3" t="str">
        <f aca="false">Raw_Data!H2191</f>
        <v>yes</v>
      </c>
      <c r="J2191" s="2" t="n">
        <f aca="false">IF(F2191="yes",1,0)</f>
        <v>0</v>
      </c>
      <c r="K2191" s="2" t="n">
        <f aca="false">IF(H2191="yes",1,0)</f>
        <v>1</v>
      </c>
      <c r="L2191" s="2" t="n">
        <f aca="false">IF(I2191="yes",1,0)</f>
        <v>1</v>
      </c>
      <c r="M2191" s="2" t="n">
        <f aca="false">IF(G2191&lt;0,1,0)</f>
        <v>0</v>
      </c>
      <c r="N2191" s="2" t="str">
        <f aca="false">_xlfn.IFS(B2191&lt;30,"Under 30",B2191&lt;40,"30-39",B2191&lt;50,"40-49",B2191&lt;60,"50-59",TRUE(),"60+")</f>
        <v>40-49</v>
      </c>
      <c r="O2191" s="2" t="str">
        <f aca="false">_xlfn.IFS(G2191&lt;0,"1 Negative",G2191=0,"2 Zero",G2191&lt;=500,"3 1-500",G2191&lt;=2000,"4 501-2000",TRUE(),"5 Above 2000")</f>
        <v>4 501-2000</v>
      </c>
      <c r="P2191" s="2" t="n">
        <f aca="false">Lookups!$B$2*M2191+Lookups!$B$3*L2191</f>
        <v>1</v>
      </c>
      <c r="Q2191" s="2" t="str">
        <f aca="false">INDEX(Lookups!$E$2:$E$5,MATCH(P2191,Lookups!$D$2:$D$5,0))</f>
        <v>Medium</v>
      </c>
    </row>
    <row r="2192" customFormat="false" ht="15" hidden="false" customHeight="false" outlineLevel="0" collapsed="false">
      <c r="A2192" s="3" t="n">
        <v>2191</v>
      </c>
      <c r="B2192" s="3" t="n">
        <f aca="false">Raw_Data!A2192</f>
        <v>36</v>
      </c>
      <c r="C2192" s="3" t="str">
        <f aca="false">SUBSTITUTE(Raw_Data!B2192,".","")</f>
        <v>technician</v>
      </c>
      <c r="D2192" s="3" t="str">
        <f aca="false">Raw_Data!C2192</f>
        <v>married</v>
      </c>
      <c r="E2192" s="3" t="str">
        <f aca="false">Raw_Data!D2192</f>
        <v>tertiary</v>
      </c>
      <c r="F2192" s="3" t="str">
        <f aca="false">Raw_Data!E2192</f>
        <v>no</v>
      </c>
      <c r="G2192" s="3" t="n">
        <f aca="false">Raw_Data!F2192</f>
        <v>837</v>
      </c>
      <c r="H2192" s="3" t="str">
        <f aca="false">Raw_Data!G2192</f>
        <v>no</v>
      </c>
      <c r="I2192" s="3" t="str">
        <f aca="false">Raw_Data!H2192</f>
        <v>no</v>
      </c>
      <c r="J2192" s="2" t="n">
        <f aca="false">IF(F2192="yes",1,0)</f>
        <v>0</v>
      </c>
      <c r="K2192" s="2" t="n">
        <f aca="false">IF(H2192="yes",1,0)</f>
        <v>0</v>
      </c>
      <c r="L2192" s="2" t="n">
        <f aca="false">IF(I2192="yes",1,0)</f>
        <v>0</v>
      </c>
      <c r="M2192" s="2" t="n">
        <f aca="false">IF(G2192&lt;0,1,0)</f>
        <v>0</v>
      </c>
      <c r="N2192" s="2" t="str">
        <f aca="false">_xlfn.IFS(B2192&lt;30,"Under 30",B2192&lt;40,"30-39",B2192&lt;50,"40-49",B2192&lt;60,"50-59",TRUE(),"60+")</f>
        <v>30-39</v>
      </c>
      <c r="O2192" s="2" t="str">
        <f aca="false">_xlfn.IFS(G2192&lt;0,"1 Negative",G2192=0,"2 Zero",G2192&lt;=500,"3 1-500",G2192&lt;=2000,"4 501-2000",TRUE(),"5 Above 2000")</f>
        <v>4 501-2000</v>
      </c>
      <c r="P2192" s="2" t="n">
        <f aca="false">Lookups!$B$2*M2192+Lookups!$B$3*L2192</f>
        <v>0</v>
      </c>
      <c r="Q2192" s="2" t="str">
        <f aca="false">INDEX(Lookups!$E$2:$E$5,MATCH(P2192,Lookups!$D$2:$D$5,0))</f>
        <v>Low</v>
      </c>
    </row>
    <row r="2193" customFormat="false" ht="15" hidden="false" customHeight="false" outlineLevel="0" collapsed="false">
      <c r="A2193" s="3" t="n">
        <v>2192</v>
      </c>
      <c r="B2193" s="3" t="n">
        <f aca="false">Raw_Data!A2193</f>
        <v>48</v>
      </c>
      <c r="C2193" s="3" t="str">
        <f aca="false">SUBSTITUTE(Raw_Data!B2193,".","")</f>
        <v>management</v>
      </c>
      <c r="D2193" s="3" t="str">
        <f aca="false">Raw_Data!C2193</f>
        <v>married</v>
      </c>
      <c r="E2193" s="3" t="str">
        <f aca="false">Raw_Data!D2193</f>
        <v>tertiary</v>
      </c>
      <c r="F2193" s="3" t="str">
        <f aca="false">Raw_Data!E2193</f>
        <v>no</v>
      </c>
      <c r="G2193" s="3" t="n">
        <f aca="false">Raw_Data!F2193</f>
        <v>363</v>
      </c>
      <c r="H2193" s="3" t="str">
        <f aca="false">Raw_Data!G2193</f>
        <v>no</v>
      </c>
      <c r="I2193" s="3" t="str">
        <f aca="false">Raw_Data!H2193</f>
        <v>no</v>
      </c>
      <c r="J2193" s="2" t="n">
        <f aca="false">IF(F2193="yes",1,0)</f>
        <v>0</v>
      </c>
      <c r="K2193" s="2" t="n">
        <f aca="false">IF(H2193="yes",1,0)</f>
        <v>0</v>
      </c>
      <c r="L2193" s="2" t="n">
        <f aca="false">IF(I2193="yes",1,0)</f>
        <v>0</v>
      </c>
      <c r="M2193" s="2" t="n">
        <f aca="false">IF(G2193&lt;0,1,0)</f>
        <v>0</v>
      </c>
      <c r="N2193" s="2" t="str">
        <f aca="false">_xlfn.IFS(B2193&lt;30,"Under 30",B2193&lt;40,"30-39",B2193&lt;50,"40-49",B2193&lt;60,"50-59",TRUE(),"60+")</f>
        <v>40-49</v>
      </c>
      <c r="O2193" s="2" t="str">
        <f aca="false">_xlfn.IFS(G2193&lt;0,"1 Negative",G2193=0,"2 Zero",G2193&lt;=500,"3 1-500",G2193&lt;=2000,"4 501-2000",TRUE(),"5 Above 2000")</f>
        <v>3 1-500</v>
      </c>
      <c r="P2193" s="2" t="n">
        <f aca="false">Lookups!$B$2*M2193+Lookups!$B$3*L2193</f>
        <v>0</v>
      </c>
      <c r="Q2193" s="2" t="str">
        <f aca="false">INDEX(Lookups!$E$2:$E$5,MATCH(P2193,Lookups!$D$2:$D$5,0))</f>
        <v>Low</v>
      </c>
    </row>
    <row r="2194" customFormat="false" ht="15" hidden="false" customHeight="false" outlineLevel="0" collapsed="false">
      <c r="A2194" s="3" t="n">
        <v>2193</v>
      </c>
      <c r="B2194" s="3" t="n">
        <f aca="false">Raw_Data!A2194</f>
        <v>26</v>
      </c>
      <c r="C2194" s="3" t="str">
        <f aca="false">SUBSTITUTE(Raw_Data!B2194,".","")</f>
        <v>admin</v>
      </c>
      <c r="D2194" s="3" t="str">
        <f aca="false">Raw_Data!C2194</f>
        <v>single</v>
      </c>
      <c r="E2194" s="3" t="str">
        <f aca="false">Raw_Data!D2194</f>
        <v>secondary</v>
      </c>
      <c r="F2194" s="3" t="str">
        <f aca="false">Raw_Data!E2194</f>
        <v>no</v>
      </c>
      <c r="G2194" s="3" t="n">
        <f aca="false">Raw_Data!F2194</f>
        <v>236</v>
      </c>
      <c r="H2194" s="3" t="str">
        <f aca="false">Raw_Data!G2194</f>
        <v>yes</v>
      </c>
      <c r="I2194" s="3" t="str">
        <f aca="false">Raw_Data!H2194</f>
        <v>yes</v>
      </c>
      <c r="J2194" s="2" t="n">
        <f aca="false">IF(F2194="yes",1,0)</f>
        <v>0</v>
      </c>
      <c r="K2194" s="2" t="n">
        <f aca="false">IF(H2194="yes",1,0)</f>
        <v>1</v>
      </c>
      <c r="L2194" s="2" t="n">
        <f aca="false">IF(I2194="yes",1,0)</f>
        <v>1</v>
      </c>
      <c r="M2194" s="2" t="n">
        <f aca="false">IF(G2194&lt;0,1,0)</f>
        <v>0</v>
      </c>
      <c r="N2194" s="2" t="str">
        <f aca="false">_xlfn.IFS(B2194&lt;30,"Under 30",B2194&lt;40,"30-39",B2194&lt;50,"40-49",B2194&lt;60,"50-59",TRUE(),"60+")</f>
        <v>Under 30</v>
      </c>
      <c r="O2194" s="2" t="str">
        <f aca="false">_xlfn.IFS(G2194&lt;0,"1 Negative",G2194=0,"2 Zero",G2194&lt;=500,"3 1-500",G2194&lt;=2000,"4 501-2000",TRUE(),"5 Above 2000")</f>
        <v>3 1-500</v>
      </c>
      <c r="P2194" s="2" t="n">
        <f aca="false">Lookups!$B$2*M2194+Lookups!$B$3*L2194</f>
        <v>1</v>
      </c>
      <c r="Q2194" s="2" t="str">
        <f aca="false">INDEX(Lookups!$E$2:$E$5,MATCH(P2194,Lookups!$D$2:$D$5,0))</f>
        <v>Medium</v>
      </c>
    </row>
    <row r="2195" customFormat="false" ht="15" hidden="false" customHeight="false" outlineLevel="0" collapsed="false">
      <c r="A2195" s="3" t="n">
        <v>2194</v>
      </c>
      <c r="B2195" s="3" t="n">
        <f aca="false">Raw_Data!A2195</f>
        <v>39</v>
      </c>
      <c r="C2195" s="3" t="str">
        <f aca="false">SUBSTITUTE(Raw_Data!B2195,".","")</f>
        <v>admin</v>
      </c>
      <c r="D2195" s="3" t="str">
        <f aca="false">Raw_Data!C2195</f>
        <v>single</v>
      </c>
      <c r="E2195" s="3" t="str">
        <f aca="false">Raw_Data!D2195</f>
        <v>unknown</v>
      </c>
      <c r="F2195" s="3" t="str">
        <f aca="false">Raw_Data!E2195</f>
        <v>no</v>
      </c>
      <c r="G2195" s="3" t="n">
        <f aca="false">Raw_Data!F2195</f>
        <v>0</v>
      </c>
      <c r="H2195" s="3" t="str">
        <f aca="false">Raw_Data!G2195</f>
        <v>yes</v>
      </c>
      <c r="I2195" s="3" t="str">
        <f aca="false">Raw_Data!H2195</f>
        <v>no</v>
      </c>
      <c r="J2195" s="2" t="n">
        <f aca="false">IF(F2195="yes",1,0)</f>
        <v>0</v>
      </c>
      <c r="K2195" s="2" t="n">
        <f aca="false">IF(H2195="yes",1,0)</f>
        <v>1</v>
      </c>
      <c r="L2195" s="2" t="n">
        <f aca="false">IF(I2195="yes",1,0)</f>
        <v>0</v>
      </c>
      <c r="M2195" s="2" t="n">
        <f aca="false">IF(G2195&lt;0,1,0)</f>
        <v>0</v>
      </c>
      <c r="N2195" s="2" t="str">
        <f aca="false">_xlfn.IFS(B2195&lt;30,"Under 30",B2195&lt;40,"30-39",B2195&lt;50,"40-49",B2195&lt;60,"50-59",TRUE(),"60+")</f>
        <v>30-39</v>
      </c>
      <c r="O2195" s="2" t="str">
        <f aca="false">_xlfn.IFS(G2195&lt;0,"1 Negative",G2195=0,"2 Zero",G2195&lt;=500,"3 1-500",G2195&lt;=2000,"4 501-2000",TRUE(),"5 Above 2000")</f>
        <v>2 Zero</v>
      </c>
      <c r="P2195" s="2" t="n">
        <f aca="false">Lookups!$B$2*M2195+Lookups!$B$3*L2195</f>
        <v>0</v>
      </c>
      <c r="Q2195" s="2" t="str">
        <f aca="false">INDEX(Lookups!$E$2:$E$5,MATCH(P2195,Lookups!$D$2:$D$5,0))</f>
        <v>Low</v>
      </c>
    </row>
    <row r="2196" customFormat="false" ht="15" hidden="false" customHeight="false" outlineLevel="0" collapsed="false">
      <c r="A2196" s="3" t="n">
        <v>2195</v>
      </c>
      <c r="B2196" s="3" t="n">
        <f aca="false">Raw_Data!A2196</f>
        <v>47</v>
      </c>
      <c r="C2196" s="3" t="str">
        <f aca="false">SUBSTITUTE(Raw_Data!B2196,".","")</f>
        <v>management</v>
      </c>
      <c r="D2196" s="3" t="str">
        <f aca="false">Raw_Data!C2196</f>
        <v>married</v>
      </c>
      <c r="E2196" s="3" t="str">
        <f aca="false">Raw_Data!D2196</f>
        <v>tertiary</v>
      </c>
      <c r="F2196" s="3" t="str">
        <f aca="false">Raw_Data!E2196</f>
        <v>no</v>
      </c>
      <c r="G2196" s="3" t="n">
        <f aca="false">Raw_Data!F2196</f>
        <v>-50</v>
      </c>
      <c r="H2196" s="3" t="str">
        <f aca="false">Raw_Data!G2196</f>
        <v>no</v>
      </c>
      <c r="I2196" s="3" t="str">
        <f aca="false">Raw_Data!H2196</f>
        <v>yes</v>
      </c>
      <c r="J2196" s="2" t="n">
        <f aca="false">IF(F2196="yes",1,0)</f>
        <v>0</v>
      </c>
      <c r="K2196" s="2" t="n">
        <f aca="false">IF(H2196="yes",1,0)</f>
        <v>0</v>
      </c>
      <c r="L2196" s="2" t="n">
        <f aca="false">IF(I2196="yes",1,0)</f>
        <v>1</v>
      </c>
      <c r="M2196" s="2" t="n">
        <f aca="false">IF(G2196&lt;0,1,0)</f>
        <v>1</v>
      </c>
      <c r="N2196" s="2" t="str">
        <f aca="false">_xlfn.IFS(B2196&lt;30,"Under 30",B2196&lt;40,"30-39",B2196&lt;50,"40-49",B2196&lt;60,"50-59",TRUE(),"60+")</f>
        <v>40-49</v>
      </c>
      <c r="O2196" s="2" t="str">
        <f aca="false">_xlfn.IFS(G2196&lt;0,"1 Negative",G2196=0,"2 Zero",G2196&lt;=500,"3 1-500",G2196&lt;=2000,"4 501-2000",TRUE(),"5 Above 2000")</f>
        <v>1 Negative</v>
      </c>
      <c r="P2196" s="2" t="n">
        <f aca="false">Lookups!$B$2*M2196+Lookups!$B$3*L2196</f>
        <v>3</v>
      </c>
      <c r="Q2196" s="2" t="str">
        <f aca="false">INDEX(Lookups!$E$2:$E$5,MATCH(P2196,Lookups!$D$2:$D$5,0))</f>
        <v>High</v>
      </c>
    </row>
    <row r="2197" customFormat="false" ht="15" hidden="false" customHeight="false" outlineLevel="0" collapsed="false">
      <c r="A2197" s="3" t="n">
        <v>2196</v>
      </c>
      <c r="B2197" s="3" t="n">
        <f aca="false">Raw_Data!A2197</f>
        <v>23</v>
      </c>
      <c r="C2197" s="3" t="str">
        <f aca="false">SUBSTITUTE(Raw_Data!B2197,".","")</f>
        <v>entrepreneur</v>
      </c>
      <c r="D2197" s="3" t="str">
        <f aca="false">Raw_Data!C2197</f>
        <v>single</v>
      </c>
      <c r="E2197" s="3" t="str">
        <f aca="false">Raw_Data!D2197</f>
        <v>primary</v>
      </c>
      <c r="F2197" s="3" t="str">
        <f aca="false">Raw_Data!E2197</f>
        <v>no</v>
      </c>
      <c r="G2197" s="3" t="n">
        <f aca="false">Raw_Data!F2197</f>
        <v>4</v>
      </c>
      <c r="H2197" s="3" t="str">
        <f aca="false">Raw_Data!G2197</f>
        <v>yes</v>
      </c>
      <c r="I2197" s="3" t="str">
        <f aca="false">Raw_Data!H2197</f>
        <v>no</v>
      </c>
      <c r="J2197" s="2" t="n">
        <f aca="false">IF(F2197="yes",1,0)</f>
        <v>0</v>
      </c>
      <c r="K2197" s="2" t="n">
        <f aca="false">IF(H2197="yes",1,0)</f>
        <v>1</v>
      </c>
      <c r="L2197" s="2" t="n">
        <f aca="false">IF(I2197="yes",1,0)</f>
        <v>0</v>
      </c>
      <c r="M2197" s="2" t="n">
        <f aca="false">IF(G2197&lt;0,1,0)</f>
        <v>0</v>
      </c>
      <c r="N2197" s="2" t="str">
        <f aca="false">_xlfn.IFS(B2197&lt;30,"Under 30",B2197&lt;40,"30-39",B2197&lt;50,"40-49",B2197&lt;60,"50-59",TRUE(),"60+")</f>
        <v>Under 30</v>
      </c>
      <c r="O2197" s="2" t="str">
        <f aca="false">_xlfn.IFS(G2197&lt;0,"1 Negative",G2197=0,"2 Zero",G2197&lt;=500,"3 1-500",G2197&lt;=2000,"4 501-2000",TRUE(),"5 Above 2000")</f>
        <v>3 1-500</v>
      </c>
      <c r="P2197" s="2" t="n">
        <f aca="false">Lookups!$B$2*M2197+Lookups!$B$3*L2197</f>
        <v>0</v>
      </c>
      <c r="Q2197" s="2" t="str">
        <f aca="false">INDEX(Lookups!$E$2:$E$5,MATCH(P2197,Lookups!$D$2:$D$5,0))</f>
        <v>Low</v>
      </c>
    </row>
    <row r="2198" customFormat="false" ht="15" hidden="false" customHeight="false" outlineLevel="0" collapsed="false">
      <c r="A2198" s="3" t="n">
        <v>2197</v>
      </c>
      <c r="B2198" s="3" t="n">
        <f aca="false">Raw_Data!A2198</f>
        <v>54</v>
      </c>
      <c r="C2198" s="3" t="str">
        <f aca="false">SUBSTITUTE(Raw_Data!B2198,".","")</f>
        <v>management</v>
      </c>
      <c r="D2198" s="3" t="str">
        <f aca="false">Raw_Data!C2198</f>
        <v>divorced</v>
      </c>
      <c r="E2198" s="3" t="str">
        <f aca="false">Raw_Data!D2198</f>
        <v>tertiary</v>
      </c>
      <c r="F2198" s="3" t="str">
        <f aca="false">Raw_Data!E2198</f>
        <v>no</v>
      </c>
      <c r="G2198" s="3" t="n">
        <f aca="false">Raw_Data!F2198</f>
        <v>26306</v>
      </c>
      <c r="H2198" s="3" t="str">
        <f aca="false">Raw_Data!G2198</f>
        <v>yes</v>
      </c>
      <c r="I2198" s="3" t="str">
        <f aca="false">Raw_Data!H2198</f>
        <v>no</v>
      </c>
      <c r="J2198" s="2" t="n">
        <f aca="false">IF(F2198="yes",1,0)</f>
        <v>0</v>
      </c>
      <c r="K2198" s="2" t="n">
        <f aca="false">IF(H2198="yes",1,0)</f>
        <v>1</v>
      </c>
      <c r="L2198" s="2" t="n">
        <f aca="false">IF(I2198="yes",1,0)</f>
        <v>0</v>
      </c>
      <c r="M2198" s="2" t="n">
        <f aca="false">IF(G2198&lt;0,1,0)</f>
        <v>0</v>
      </c>
      <c r="N2198" s="2" t="str">
        <f aca="false">_xlfn.IFS(B2198&lt;30,"Under 30",B2198&lt;40,"30-39",B2198&lt;50,"40-49",B2198&lt;60,"50-59",TRUE(),"60+")</f>
        <v>50-59</v>
      </c>
      <c r="O2198" s="2" t="str">
        <f aca="false">_xlfn.IFS(G2198&lt;0,"1 Negative",G2198=0,"2 Zero",G2198&lt;=500,"3 1-500",G2198&lt;=2000,"4 501-2000",TRUE(),"5 Above 2000")</f>
        <v>5 Above 2000</v>
      </c>
      <c r="P2198" s="2" t="n">
        <f aca="false">Lookups!$B$2*M2198+Lookups!$B$3*L2198</f>
        <v>0</v>
      </c>
      <c r="Q2198" s="2" t="str">
        <f aca="false">INDEX(Lookups!$E$2:$E$5,MATCH(P2198,Lookups!$D$2:$D$5,0))</f>
        <v>Low</v>
      </c>
    </row>
    <row r="2199" customFormat="false" ht="15" hidden="false" customHeight="false" outlineLevel="0" collapsed="false">
      <c r="A2199" s="3" t="n">
        <v>2198</v>
      </c>
      <c r="B2199" s="3" t="n">
        <f aca="false">Raw_Data!A2199</f>
        <v>38</v>
      </c>
      <c r="C2199" s="3" t="str">
        <f aca="false">SUBSTITUTE(Raw_Data!B2199,".","")</f>
        <v>admin</v>
      </c>
      <c r="D2199" s="3" t="str">
        <f aca="false">Raw_Data!C2199</f>
        <v>married</v>
      </c>
      <c r="E2199" s="3" t="str">
        <f aca="false">Raw_Data!D2199</f>
        <v>secondary</v>
      </c>
      <c r="F2199" s="3" t="str">
        <f aca="false">Raw_Data!E2199</f>
        <v>no</v>
      </c>
      <c r="G2199" s="3" t="n">
        <f aca="false">Raw_Data!F2199</f>
        <v>46</v>
      </c>
      <c r="H2199" s="3" t="str">
        <f aca="false">Raw_Data!G2199</f>
        <v>yes</v>
      </c>
      <c r="I2199" s="3" t="str">
        <f aca="false">Raw_Data!H2199</f>
        <v>yes</v>
      </c>
      <c r="J2199" s="2" t="n">
        <f aca="false">IF(F2199="yes",1,0)</f>
        <v>0</v>
      </c>
      <c r="K2199" s="2" t="n">
        <f aca="false">IF(H2199="yes",1,0)</f>
        <v>1</v>
      </c>
      <c r="L2199" s="2" t="n">
        <f aca="false">IF(I2199="yes",1,0)</f>
        <v>1</v>
      </c>
      <c r="M2199" s="2" t="n">
        <f aca="false">IF(G2199&lt;0,1,0)</f>
        <v>0</v>
      </c>
      <c r="N2199" s="2" t="str">
        <f aca="false">_xlfn.IFS(B2199&lt;30,"Under 30",B2199&lt;40,"30-39",B2199&lt;50,"40-49",B2199&lt;60,"50-59",TRUE(),"60+")</f>
        <v>30-39</v>
      </c>
      <c r="O2199" s="2" t="str">
        <f aca="false">_xlfn.IFS(G2199&lt;0,"1 Negative",G2199=0,"2 Zero",G2199&lt;=500,"3 1-500",G2199&lt;=2000,"4 501-2000",TRUE(),"5 Above 2000")</f>
        <v>3 1-500</v>
      </c>
      <c r="P2199" s="2" t="n">
        <f aca="false">Lookups!$B$2*M2199+Lookups!$B$3*L2199</f>
        <v>1</v>
      </c>
      <c r="Q2199" s="2" t="str">
        <f aca="false">INDEX(Lookups!$E$2:$E$5,MATCH(P2199,Lookups!$D$2:$D$5,0))</f>
        <v>Medium</v>
      </c>
    </row>
    <row r="2200" customFormat="false" ht="15" hidden="false" customHeight="false" outlineLevel="0" collapsed="false">
      <c r="A2200" s="3" t="n">
        <v>2199</v>
      </c>
      <c r="B2200" s="3" t="n">
        <f aca="false">Raw_Data!A2200</f>
        <v>33</v>
      </c>
      <c r="C2200" s="3" t="str">
        <f aca="false">SUBSTITUTE(Raw_Data!B2200,".","")</f>
        <v>technician</v>
      </c>
      <c r="D2200" s="3" t="str">
        <f aca="false">Raw_Data!C2200</f>
        <v>married</v>
      </c>
      <c r="E2200" s="3" t="str">
        <f aca="false">Raw_Data!D2200</f>
        <v>secondary</v>
      </c>
      <c r="F2200" s="3" t="str">
        <f aca="false">Raw_Data!E2200</f>
        <v>no</v>
      </c>
      <c r="G2200" s="3" t="n">
        <f aca="false">Raw_Data!F2200</f>
        <v>575</v>
      </c>
      <c r="H2200" s="3" t="str">
        <f aca="false">Raw_Data!G2200</f>
        <v>no</v>
      </c>
      <c r="I2200" s="3" t="str">
        <f aca="false">Raw_Data!H2200</f>
        <v>yes</v>
      </c>
      <c r="J2200" s="2" t="n">
        <f aca="false">IF(F2200="yes",1,0)</f>
        <v>0</v>
      </c>
      <c r="K2200" s="2" t="n">
        <f aca="false">IF(H2200="yes",1,0)</f>
        <v>0</v>
      </c>
      <c r="L2200" s="2" t="n">
        <f aca="false">IF(I2200="yes",1,0)</f>
        <v>1</v>
      </c>
      <c r="M2200" s="2" t="n">
        <f aca="false">IF(G2200&lt;0,1,0)</f>
        <v>0</v>
      </c>
      <c r="N2200" s="2" t="str">
        <f aca="false">_xlfn.IFS(B2200&lt;30,"Under 30",B2200&lt;40,"30-39",B2200&lt;50,"40-49",B2200&lt;60,"50-59",TRUE(),"60+")</f>
        <v>30-39</v>
      </c>
      <c r="O2200" s="2" t="str">
        <f aca="false">_xlfn.IFS(G2200&lt;0,"1 Negative",G2200=0,"2 Zero",G2200&lt;=500,"3 1-500",G2200&lt;=2000,"4 501-2000",TRUE(),"5 Above 2000")</f>
        <v>4 501-2000</v>
      </c>
      <c r="P2200" s="2" t="n">
        <f aca="false">Lookups!$B$2*M2200+Lookups!$B$3*L2200</f>
        <v>1</v>
      </c>
      <c r="Q2200" s="2" t="str">
        <f aca="false">INDEX(Lookups!$E$2:$E$5,MATCH(P2200,Lookups!$D$2:$D$5,0))</f>
        <v>Medium</v>
      </c>
    </row>
    <row r="2201" customFormat="false" ht="15" hidden="false" customHeight="false" outlineLevel="0" collapsed="false">
      <c r="A2201" s="3" t="n">
        <v>2200</v>
      </c>
      <c r="B2201" s="3" t="n">
        <f aca="false">Raw_Data!A2201</f>
        <v>35</v>
      </c>
      <c r="C2201" s="3" t="str">
        <f aca="false">SUBSTITUTE(Raw_Data!B2201,".","")</f>
        <v>admin</v>
      </c>
      <c r="D2201" s="3" t="str">
        <f aca="false">Raw_Data!C2201</f>
        <v>divorced</v>
      </c>
      <c r="E2201" s="3" t="str">
        <f aca="false">Raw_Data!D2201</f>
        <v>secondary</v>
      </c>
      <c r="F2201" s="3" t="str">
        <f aca="false">Raw_Data!E2201</f>
        <v>no</v>
      </c>
      <c r="G2201" s="3" t="n">
        <f aca="false">Raw_Data!F2201</f>
        <v>148</v>
      </c>
      <c r="H2201" s="3" t="str">
        <f aca="false">Raw_Data!G2201</f>
        <v>no</v>
      </c>
      <c r="I2201" s="3" t="str">
        <f aca="false">Raw_Data!H2201</f>
        <v>yes</v>
      </c>
      <c r="J2201" s="2" t="n">
        <f aca="false">IF(F2201="yes",1,0)</f>
        <v>0</v>
      </c>
      <c r="K2201" s="2" t="n">
        <f aca="false">IF(H2201="yes",1,0)</f>
        <v>0</v>
      </c>
      <c r="L2201" s="2" t="n">
        <f aca="false">IF(I2201="yes",1,0)</f>
        <v>1</v>
      </c>
      <c r="M2201" s="2" t="n">
        <f aca="false">IF(G2201&lt;0,1,0)</f>
        <v>0</v>
      </c>
      <c r="N2201" s="2" t="str">
        <f aca="false">_xlfn.IFS(B2201&lt;30,"Under 30",B2201&lt;40,"30-39",B2201&lt;50,"40-49",B2201&lt;60,"50-59",TRUE(),"60+")</f>
        <v>30-39</v>
      </c>
      <c r="O2201" s="2" t="str">
        <f aca="false">_xlfn.IFS(G2201&lt;0,"1 Negative",G2201=0,"2 Zero",G2201&lt;=500,"3 1-500",G2201&lt;=2000,"4 501-2000",TRUE(),"5 Above 2000")</f>
        <v>3 1-500</v>
      </c>
      <c r="P2201" s="2" t="n">
        <f aca="false">Lookups!$B$2*M2201+Lookups!$B$3*L2201</f>
        <v>1</v>
      </c>
      <c r="Q2201" s="2" t="str">
        <f aca="false">INDEX(Lookups!$E$2:$E$5,MATCH(P2201,Lookups!$D$2:$D$5,0))</f>
        <v>Medium</v>
      </c>
    </row>
    <row r="2202" customFormat="false" ht="15" hidden="false" customHeight="false" outlineLevel="0" collapsed="false">
      <c r="A2202" s="3" t="n">
        <v>2201</v>
      </c>
      <c r="B2202" s="3" t="n">
        <f aca="false">Raw_Data!A2202</f>
        <v>52</v>
      </c>
      <c r="C2202" s="3" t="str">
        <f aca="false">SUBSTITUTE(Raw_Data!B2202,".","")</f>
        <v>services</v>
      </c>
      <c r="D2202" s="3" t="str">
        <f aca="false">Raw_Data!C2202</f>
        <v>married</v>
      </c>
      <c r="E2202" s="3" t="str">
        <f aca="false">Raw_Data!D2202</f>
        <v>secondary</v>
      </c>
      <c r="F2202" s="3" t="str">
        <f aca="false">Raw_Data!E2202</f>
        <v>no</v>
      </c>
      <c r="G2202" s="3" t="n">
        <f aca="false">Raw_Data!F2202</f>
        <v>431</v>
      </c>
      <c r="H2202" s="3" t="str">
        <f aca="false">Raw_Data!G2202</f>
        <v>no</v>
      </c>
      <c r="I2202" s="3" t="str">
        <f aca="false">Raw_Data!H2202</f>
        <v>no</v>
      </c>
      <c r="J2202" s="2" t="n">
        <f aca="false">IF(F2202="yes",1,0)</f>
        <v>0</v>
      </c>
      <c r="K2202" s="2" t="n">
        <f aca="false">IF(H2202="yes",1,0)</f>
        <v>0</v>
      </c>
      <c r="L2202" s="2" t="n">
        <f aca="false">IF(I2202="yes",1,0)</f>
        <v>0</v>
      </c>
      <c r="M2202" s="2" t="n">
        <f aca="false">IF(G2202&lt;0,1,0)</f>
        <v>0</v>
      </c>
      <c r="N2202" s="2" t="str">
        <f aca="false">_xlfn.IFS(B2202&lt;30,"Under 30",B2202&lt;40,"30-39",B2202&lt;50,"40-49",B2202&lt;60,"50-59",TRUE(),"60+")</f>
        <v>50-59</v>
      </c>
      <c r="O2202" s="2" t="str">
        <f aca="false">_xlfn.IFS(G2202&lt;0,"1 Negative",G2202=0,"2 Zero",G2202&lt;=500,"3 1-500",G2202&lt;=2000,"4 501-2000",TRUE(),"5 Above 2000")</f>
        <v>3 1-500</v>
      </c>
      <c r="P2202" s="2" t="n">
        <f aca="false">Lookups!$B$2*M2202+Lookups!$B$3*L2202</f>
        <v>0</v>
      </c>
      <c r="Q2202" s="2" t="str">
        <f aca="false">INDEX(Lookups!$E$2:$E$5,MATCH(P2202,Lookups!$D$2:$D$5,0))</f>
        <v>Low</v>
      </c>
    </row>
    <row r="2203" customFormat="false" ht="15" hidden="false" customHeight="false" outlineLevel="0" collapsed="false">
      <c r="A2203" s="3" t="n">
        <v>2202</v>
      </c>
      <c r="B2203" s="3" t="n">
        <f aca="false">Raw_Data!A2203</f>
        <v>25</v>
      </c>
      <c r="C2203" s="3" t="str">
        <f aca="false">SUBSTITUTE(Raw_Data!B2203,".","")</f>
        <v>technician</v>
      </c>
      <c r="D2203" s="3" t="str">
        <f aca="false">Raw_Data!C2203</f>
        <v>single</v>
      </c>
      <c r="E2203" s="3" t="str">
        <f aca="false">Raw_Data!D2203</f>
        <v>tertiary</v>
      </c>
      <c r="F2203" s="3" t="str">
        <f aca="false">Raw_Data!E2203</f>
        <v>no</v>
      </c>
      <c r="G2203" s="3" t="n">
        <f aca="false">Raw_Data!F2203</f>
        <v>777</v>
      </c>
      <c r="H2203" s="3" t="str">
        <f aca="false">Raw_Data!G2203</f>
        <v>yes</v>
      </c>
      <c r="I2203" s="3" t="str">
        <f aca="false">Raw_Data!H2203</f>
        <v>no</v>
      </c>
      <c r="J2203" s="2" t="n">
        <f aca="false">IF(F2203="yes",1,0)</f>
        <v>0</v>
      </c>
      <c r="K2203" s="2" t="n">
        <f aca="false">IF(H2203="yes",1,0)</f>
        <v>1</v>
      </c>
      <c r="L2203" s="2" t="n">
        <f aca="false">IF(I2203="yes",1,0)</f>
        <v>0</v>
      </c>
      <c r="M2203" s="2" t="n">
        <f aca="false">IF(G2203&lt;0,1,0)</f>
        <v>0</v>
      </c>
      <c r="N2203" s="2" t="str">
        <f aca="false">_xlfn.IFS(B2203&lt;30,"Under 30",B2203&lt;40,"30-39",B2203&lt;50,"40-49",B2203&lt;60,"50-59",TRUE(),"60+")</f>
        <v>Under 30</v>
      </c>
      <c r="O2203" s="2" t="str">
        <f aca="false">_xlfn.IFS(G2203&lt;0,"1 Negative",G2203=0,"2 Zero",G2203&lt;=500,"3 1-500",G2203&lt;=2000,"4 501-2000",TRUE(),"5 Above 2000")</f>
        <v>4 501-2000</v>
      </c>
      <c r="P2203" s="2" t="n">
        <f aca="false">Lookups!$B$2*M2203+Lookups!$B$3*L2203</f>
        <v>0</v>
      </c>
      <c r="Q2203" s="2" t="str">
        <f aca="false">INDEX(Lookups!$E$2:$E$5,MATCH(P2203,Lookups!$D$2:$D$5,0))</f>
        <v>Low</v>
      </c>
    </row>
    <row r="2204" customFormat="false" ht="15" hidden="false" customHeight="false" outlineLevel="0" collapsed="false">
      <c r="A2204" s="3" t="n">
        <v>2203</v>
      </c>
      <c r="B2204" s="3" t="n">
        <f aca="false">Raw_Data!A2204</f>
        <v>29</v>
      </c>
      <c r="C2204" s="3" t="str">
        <f aca="false">SUBSTITUTE(Raw_Data!B2204,".","")</f>
        <v>management</v>
      </c>
      <c r="D2204" s="3" t="str">
        <f aca="false">Raw_Data!C2204</f>
        <v>married</v>
      </c>
      <c r="E2204" s="3" t="str">
        <f aca="false">Raw_Data!D2204</f>
        <v>tertiary</v>
      </c>
      <c r="F2204" s="3" t="str">
        <f aca="false">Raw_Data!E2204</f>
        <v>no</v>
      </c>
      <c r="G2204" s="3" t="n">
        <f aca="false">Raw_Data!F2204</f>
        <v>199</v>
      </c>
      <c r="H2204" s="3" t="str">
        <f aca="false">Raw_Data!G2204</f>
        <v>yes</v>
      </c>
      <c r="I2204" s="3" t="str">
        <f aca="false">Raw_Data!H2204</f>
        <v>yes</v>
      </c>
      <c r="J2204" s="2" t="n">
        <f aca="false">IF(F2204="yes",1,0)</f>
        <v>0</v>
      </c>
      <c r="K2204" s="2" t="n">
        <f aca="false">IF(H2204="yes",1,0)</f>
        <v>1</v>
      </c>
      <c r="L2204" s="2" t="n">
        <f aca="false">IF(I2204="yes",1,0)</f>
        <v>1</v>
      </c>
      <c r="M2204" s="2" t="n">
        <f aca="false">IF(G2204&lt;0,1,0)</f>
        <v>0</v>
      </c>
      <c r="N2204" s="2" t="str">
        <f aca="false">_xlfn.IFS(B2204&lt;30,"Under 30",B2204&lt;40,"30-39",B2204&lt;50,"40-49",B2204&lt;60,"50-59",TRUE(),"60+")</f>
        <v>Under 30</v>
      </c>
      <c r="O2204" s="2" t="str">
        <f aca="false">_xlfn.IFS(G2204&lt;0,"1 Negative",G2204=0,"2 Zero",G2204&lt;=500,"3 1-500",G2204&lt;=2000,"4 501-2000",TRUE(),"5 Above 2000")</f>
        <v>3 1-500</v>
      </c>
      <c r="P2204" s="2" t="n">
        <f aca="false">Lookups!$B$2*M2204+Lookups!$B$3*L2204</f>
        <v>1</v>
      </c>
      <c r="Q2204" s="2" t="str">
        <f aca="false">INDEX(Lookups!$E$2:$E$5,MATCH(P2204,Lookups!$D$2:$D$5,0))</f>
        <v>Medium</v>
      </c>
    </row>
    <row r="2205" customFormat="false" ht="15" hidden="false" customHeight="false" outlineLevel="0" collapsed="false">
      <c r="A2205" s="3" t="n">
        <v>2204</v>
      </c>
      <c r="B2205" s="3" t="n">
        <f aca="false">Raw_Data!A2205</f>
        <v>35</v>
      </c>
      <c r="C2205" s="3" t="str">
        <f aca="false">SUBSTITUTE(Raw_Data!B2205,".","")</f>
        <v>technician</v>
      </c>
      <c r="D2205" s="3" t="str">
        <f aca="false">Raw_Data!C2205</f>
        <v>single</v>
      </c>
      <c r="E2205" s="3" t="str">
        <f aca="false">Raw_Data!D2205</f>
        <v>tertiary</v>
      </c>
      <c r="F2205" s="3" t="str">
        <f aca="false">Raw_Data!E2205</f>
        <v>no</v>
      </c>
      <c r="G2205" s="3" t="n">
        <f aca="false">Raw_Data!F2205</f>
        <v>3552</v>
      </c>
      <c r="H2205" s="3" t="str">
        <f aca="false">Raw_Data!G2205</f>
        <v>no</v>
      </c>
      <c r="I2205" s="3" t="str">
        <f aca="false">Raw_Data!H2205</f>
        <v>no</v>
      </c>
      <c r="J2205" s="2" t="n">
        <f aca="false">IF(F2205="yes",1,0)</f>
        <v>0</v>
      </c>
      <c r="K2205" s="2" t="n">
        <f aca="false">IF(H2205="yes",1,0)</f>
        <v>0</v>
      </c>
      <c r="L2205" s="2" t="n">
        <f aca="false">IF(I2205="yes",1,0)</f>
        <v>0</v>
      </c>
      <c r="M2205" s="2" t="n">
        <f aca="false">IF(G2205&lt;0,1,0)</f>
        <v>0</v>
      </c>
      <c r="N2205" s="2" t="str">
        <f aca="false">_xlfn.IFS(B2205&lt;30,"Under 30",B2205&lt;40,"30-39",B2205&lt;50,"40-49",B2205&lt;60,"50-59",TRUE(),"60+")</f>
        <v>30-39</v>
      </c>
      <c r="O2205" s="2" t="str">
        <f aca="false">_xlfn.IFS(G2205&lt;0,"1 Negative",G2205=0,"2 Zero",G2205&lt;=500,"3 1-500",G2205&lt;=2000,"4 501-2000",TRUE(),"5 Above 2000")</f>
        <v>5 Above 2000</v>
      </c>
      <c r="P2205" s="2" t="n">
        <f aca="false">Lookups!$B$2*M2205+Lookups!$B$3*L2205</f>
        <v>0</v>
      </c>
      <c r="Q2205" s="2" t="str">
        <f aca="false">INDEX(Lookups!$E$2:$E$5,MATCH(P2205,Lookups!$D$2:$D$5,0))</f>
        <v>Low</v>
      </c>
    </row>
    <row r="2206" customFormat="false" ht="15" hidden="false" customHeight="false" outlineLevel="0" collapsed="false">
      <c r="A2206" s="3" t="n">
        <v>2205</v>
      </c>
      <c r="B2206" s="3" t="n">
        <f aca="false">Raw_Data!A2206</f>
        <v>49</v>
      </c>
      <c r="C2206" s="3" t="str">
        <f aca="false">SUBSTITUTE(Raw_Data!B2206,".","")</f>
        <v>services</v>
      </c>
      <c r="D2206" s="3" t="str">
        <f aca="false">Raw_Data!C2206</f>
        <v>married</v>
      </c>
      <c r="E2206" s="3" t="str">
        <f aca="false">Raw_Data!D2206</f>
        <v>secondary</v>
      </c>
      <c r="F2206" s="3" t="str">
        <f aca="false">Raw_Data!E2206</f>
        <v>no</v>
      </c>
      <c r="G2206" s="3" t="n">
        <f aca="false">Raw_Data!F2206</f>
        <v>47</v>
      </c>
      <c r="H2206" s="3" t="str">
        <f aca="false">Raw_Data!G2206</f>
        <v>no</v>
      </c>
      <c r="I2206" s="3" t="str">
        <f aca="false">Raw_Data!H2206</f>
        <v>no</v>
      </c>
      <c r="J2206" s="2" t="n">
        <f aca="false">IF(F2206="yes",1,0)</f>
        <v>0</v>
      </c>
      <c r="K2206" s="2" t="n">
        <f aca="false">IF(H2206="yes",1,0)</f>
        <v>0</v>
      </c>
      <c r="L2206" s="2" t="n">
        <f aca="false">IF(I2206="yes",1,0)</f>
        <v>0</v>
      </c>
      <c r="M2206" s="2" t="n">
        <f aca="false">IF(G2206&lt;0,1,0)</f>
        <v>0</v>
      </c>
      <c r="N2206" s="2" t="str">
        <f aca="false">_xlfn.IFS(B2206&lt;30,"Under 30",B2206&lt;40,"30-39",B2206&lt;50,"40-49",B2206&lt;60,"50-59",TRUE(),"60+")</f>
        <v>40-49</v>
      </c>
      <c r="O2206" s="2" t="str">
        <f aca="false">_xlfn.IFS(G2206&lt;0,"1 Negative",G2206=0,"2 Zero",G2206&lt;=500,"3 1-500",G2206&lt;=2000,"4 501-2000",TRUE(),"5 Above 2000")</f>
        <v>3 1-500</v>
      </c>
      <c r="P2206" s="2" t="n">
        <f aca="false">Lookups!$B$2*M2206+Lookups!$B$3*L2206</f>
        <v>0</v>
      </c>
      <c r="Q2206" s="2" t="str">
        <f aca="false">INDEX(Lookups!$E$2:$E$5,MATCH(P2206,Lookups!$D$2:$D$5,0))</f>
        <v>Low</v>
      </c>
    </row>
    <row r="2207" customFormat="false" ht="15" hidden="false" customHeight="false" outlineLevel="0" collapsed="false">
      <c r="A2207" s="3" t="n">
        <v>2206</v>
      </c>
      <c r="B2207" s="3" t="n">
        <f aca="false">Raw_Data!A2207</f>
        <v>41</v>
      </c>
      <c r="C2207" s="3" t="str">
        <f aca="false">SUBSTITUTE(Raw_Data!B2207,".","")</f>
        <v>admin</v>
      </c>
      <c r="D2207" s="3" t="str">
        <f aca="false">Raw_Data!C2207</f>
        <v>divorced</v>
      </c>
      <c r="E2207" s="3" t="str">
        <f aca="false">Raw_Data!D2207</f>
        <v>secondary</v>
      </c>
      <c r="F2207" s="3" t="str">
        <f aca="false">Raw_Data!E2207</f>
        <v>no</v>
      </c>
      <c r="G2207" s="3" t="n">
        <f aca="false">Raw_Data!F2207</f>
        <v>3823</v>
      </c>
      <c r="H2207" s="3" t="str">
        <f aca="false">Raw_Data!G2207</f>
        <v>no</v>
      </c>
      <c r="I2207" s="3" t="str">
        <f aca="false">Raw_Data!H2207</f>
        <v>no</v>
      </c>
      <c r="J2207" s="2" t="n">
        <f aca="false">IF(F2207="yes",1,0)</f>
        <v>0</v>
      </c>
      <c r="K2207" s="2" t="n">
        <f aca="false">IF(H2207="yes",1,0)</f>
        <v>0</v>
      </c>
      <c r="L2207" s="2" t="n">
        <f aca="false">IF(I2207="yes",1,0)</f>
        <v>0</v>
      </c>
      <c r="M2207" s="2" t="n">
        <f aca="false">IF(G2207&lt;0,1,0)</f>
        <v>0</v>
      </c>
      <c r="N2207" s="2" t="str">
        <f aca="false">_xlfn.IFS(B2207&lt;30,"Under 30",B2207&lt;40,"30-39",B2207&lt;50,"40-49",B2207&lt;60,"50-59",TRUE(),"60+")</f>
        <v>40-49</v>
      </c>
      <c r="O2207" s="2" t="str">
        <f aca="false">_xlfn.IFS(G2207&lt;0,"1 Negative",G2207=0,"2 Zero",G2207&lt;=500,"3 1-500",G2207&lt;=2000,"4 501-2000",TRUE(),"5 Above 2000")</f>
        <v>5 Above 2000</v>
      </c>
      <c r="P2207" s="2" t="n">
        <f aca="false">Lookups!$B$2*M2207+Lookups!$B$3*L2207</f>
        <v>0</v>
      </c>
      <c r="Q2207" s="2" t="str">
        <f aca="false">INDEX(Lookups!$E$2:$E$5,MATCH(P2207,Lookups!$D$2:$D$5,0))</f>
        <v>Low</v>
      </c>
    </row>
    <row r="2208" customFormat="false" ht="15" hidden="false" customHeight="false" outlineLevel="0" collapsed="false">
      <c r="A2208" s="3" t="n">
        <v>2207</v>
      </c>
      <c r="B2208" s="3" t="n">
        <f aca="false">Raw_Data!A2208</f>
        <v>32</v>
      </c>
      <c r="C2208" s="3" t="str">
        <f aca="false">SUBSTITUTE(Raw_Data!B2208,".","")</f>
        <v>management</v>
      </c>
      <c r="D2208" s="3" t="str">
        <f aca="false">Raw_Data!C2208</f>
        <v>married</v>
      </c>
      <c r="E2208" s="3" t="str">
        <f aca="false">Raw_Data!D2208</f>
        <v>tertiary</v>
      </c>
      <c r="F2208" s="3" t="str">
        <f aca="false">Raw_Data!E2208</f>
        <v>no</v>
      </c>
      <c r="G2208" s="3" t="n">
        <f aca="false">Raw_Data!F2208</f>
        <v>138</v>
      </c>
      <c r="H2208" s="3" t="str">
        <f aca="false">Raw_Data!G2208</f>
        <v>no</v>
      </c>
      <c r="I2208" s="3" t="str">
        <f aca="false">Raw_Data!H2208</f>
        <v>no</v>
      </c>
      <c r="J2208" s="2" t="n">
        <f aca="false">IF(F2208="yes",1,0)</f>
        <v>0</v>
      </c>
      <c r="K2208" s="2" t="n">
        <f aca="false">IF(H2208="yes",1,0)</f>
        <v>0</v>
      </c>
      <c r="L2208" s="2" t="n">
        <f aca="false">IF(I2208="yes",1,0)</f>
        <v>0</v>
      </c>
      <c r="M2208" s="2" t="n">
        <f aca="false">IF(G2208&lt;0,1,0)</f>
        <v>0</v>
      </c>
      <c r="N2208" s="2" t="str">
        <f aca="false">_xlfn.IFS(B2208&lt;30,"Under 30",B2208&lt;40,"30-39",B2208&lt;50,"40-49",B2208&lt;60,"50-59",TRUE(),"60+")</f>
        <v>30-39</v>
      </c>
      <c r="O2208" s="2" t="str">
        <f aca="false">_xlfn.IFS(G2208&lt;0,"1 Negative",G2208=0,"2 Zero",G2208&lt;=500,"3 1-500",G2208&lt;=2000,"4 501-2000",TRUE(),"5 Above 2000")</f>
        <v>3 1-500</v>
      </c>
      <c r="P2208" s="2" t="n">
        <f aca="false">Lookups!$B$2*M2208+Lookups!$B$3*L2208</f>
        <v>0</v>
      </c>
      <c r="Q2208" s="2" t="str">
        <f aca="false">INDEX(Lookups!$E$2:$E$5,MATCH(P2208,Lookups!$D$2:$D$5,0))</f>
        <v>Low</v>
      </c>
    </row>
    <row r="2209" customFormat="false" ht="15" hidden="false" customHeight="false" outlineLevel="0" collapsed="false">
      <c r="A2209" s="3" t="n">
        <v>2208</v>
      </c>
      <c r="B2209" s="3" t="n">
        <f aca="false">Raw_Data!A2209</f>
        <v>29</v>
      </c>
      <c r="C2209" s="3" t="str">
        <f aca="false">SUBSTITUTE(Raw_Data!B2209,".","")</f>
        <v>admin</v>
      </c>
      <c r="D2209" s="3" t="str">
        <f aca="false">Raw_Data!C2209</f>
        <v>single</v>
      </c>
      <c r="E2209" s="3" t="str">
        <f aca="false">Raw_Data!D2209</f>
        <v>secondary</v>
      </c>
      <c r="F2209" s="3" t="str">
        <f aca="false">Raw_Data!E2209</f>
        <v>no</v>
      </c>
      <c r="G2209" s="3" t="n">
        <f aca="false">Raw_Data!F2209</f>
        <v>1117</v>
      </c>
      <c r="H2209" s="3" t="str">
        <f aca="false">Raw_Data!G2209</f>
        <v>yes</v>
      </c>
      <c r="I2209" s="3" t="str">
        <f aca="false">Raw_Data!H2209</f>
        <v>no</v>
      </c>
      <c r="J2209" s="2" t="n">
        <f aca="false">IF(F2209="yes",1,0)</f>
        <v>0</v>
      </c>
      <c r="K2209" s="2" t="n">
        <f aca="false">IF(H2209="yes",1,0)</f>
        <v>1</v>
      </c>
      <c r="L2209" s="2" t="n">
        <f aca="false">IF(I2209="yes",1,0)</f>
        <v>0</v>
      </c>
      <c r="M2209" s="2" t="n">
        <f aca="false">IF(G2209&lt;0,1,0)</f>
        <v>0</v>
      </c>
      <c r="N2209" s="2" t="str">
        <f aca="false">_xlfn.IFS(B2209&lt;30,"Under 30",B2209&lt;40,"30-39",B2209&lt;50,"40-49",B2209&lt;60,"50-59",TRUE(),"60+")</f>
        <v>Under 30</v>
      </c>
      <c r="O2209" s="2" t="str">
        <f aca="false">_xlfn.IFS(G2209&lt;0,"1 Negative",G2209=0,"2 Zero",G2209&lt;=500,"3 1-500",G2209&lt;=2000,"4 501-2000",TRUE(),"5 Above 2000")</f>
        <v>4 501-2000</v>
      </c>
      <c r="P2209" s="2" t="n">
        <f aca="false">Lookups!$B$2*M2209+Lookups!$B$3*L2209</f>
        <v>0</v>
      </c>
      <c r="Q2209" s="2" t="str">
        <f aca="false">INDEX(Lookups!$E$2:$E$5,MATCH(P2209,Lookups!$D$2:$D$5,0))</f>
        <v>Low</v>
      </c>
    </row>
    <row r="2210" customFormat="false" ht="15" hidden="false" customHeight="false" outlineLevel="0" collapsed="false">
      <c r="A2210" s="3" t="n">
        <v>2209</v>
      </c>
      <c r="B2210" s="3" t="n">
        <f aca="false">Raw_Data!A2210</f>
        <v>28</v>
      </c>
      <c r="C2210" s="3" t="str">
        <f aca="false">SUBSTITUTE(Raw_Data!B2210,".","")</f>
        <v>blue-collar</v>
      </c>
      <c r="D2210" s="3" t="str">
        <f aca="false">Raw_Data!C2210</f>
        <v>married</v>
      </c>
      <c r="E2210" s="3" t="str">
        <f aca="false">Raw_Data!D2210</f>
        <v>secondary</v>
      </c>
      <c r="F2210" s="3" t="str">
        <f aca="false">Raw_Data!E2210</f>
        <v>no</v>
      </c>
      <c r="G2210" s="3" t="n">
        <f aca="false">Raw_Data!F2210</f>
        <v>1325</v>
      </c>
      <c r="H2210" s="3" t="str">
        <f aca="false">Raw_Data!G2210</f>
        <v>yes</v>
      </c>
      <c r="I2210" s="3" t="str">
        <f aca="false">Raw_Data!H2210</f>
        <v>no</v>
      </c>
      <c r="J2210" s="2" t="n">
        <f aca="false">IF(F2210="yes",1,0)</f>
        <v>0</v>
      </c>
      <c r="K2210" s="2" t="n">
        <f aca="false">IF(H2210="yes",1,0)</f>
        <v>1</v>
      </c>
      <c r="L2210" s="2" t="n">
        <f aca="false">IF(I2210="yes",1,0)</f>
        <v>0</v>
      </c>
      <c r="M2210" s="2" t="n">
        <f aca="false">IF(G2210&lt;0,1,0)</f>
        <v>0</v>
      </c>
      <c r="N2210" s="2" t="str">
        <f aca="false">_xlfn.IFS(B2210&lt;30,"Under 30",B2210&lt;40,"30-39",B2210&lt;50,"40-49",B2210&lt;60,"50-59",TRUE(),"60+")</f>
        <v>Under 30</v>
      </c>
      <c r="O2210" s="2" t="str">
        <f aca="false">_xlfn.IFS(G2210&lt;0,"1 Negative",G2210=0,"2 Zero",G2210&lt;=500,"3 1-500",G2210&lt;=2000,"4 501-2000",TRUE(),"5 Above 2000")</f>
        <v>4 501-2000</v>
      </c>
      <c r="P2210" s="2" t="n">
        <f aca="false">Lookups!$B$2*M2210+Lookups!$B$3*L2210</f>
        <v>0</v>
      </c>
      <c r="Q2210" s="2" t="str">
        <f aca="false">INDEX(Lookups!$E$2:$E$5,MATCH(P2210,Lookups!$D$2:$D$5,0))</f>
        <v>Low</v>
      </c>
    </row>
    <row r="2211" customFormat="false" ht="15" hidden="false" customHeight="false" outlineLevel="0" collapsed="false">
      <c r="A2211" s="3" t="n">
        <v>2210</v>
      </c>
      <c r="B2211" s="3" t="n">
        <f aca="false">Raw_Data!A2211</f>
        <v>59</v>
      </c>
      <c r="C2211" s="3" t="str">
        <f aca="false">SUBSTITUTE(Raw_Data!B2211,".","")</f>
        <v>retired</v>
      </c>
      <c r="D2211" s="3" t="str">
        <f aca="false">Raw_Data!C2211</f>
        <v>married</v>
      </c>
      <c r="E2211" s="3" t="str">
        <f aca="false">Raw_Data!D2211</f>
        <v>secondary</v>
      </c>
      <c r="F2211" s="3" t="str">
        <f aca="false">Raw_Data!E2211</f>
        <v>no</v>
      </c>
      <c r="G2211" s="3" t="n">
        <f aca="false">Raw_Data!F2211</f>
        <v>0</v>
      </c>
      <c r="H2211" s="3" t="str">
        <f aca="false">Raw_Data!G2211</f>
        <v>no</v>
      </c>
      <c r="I2211" s="3" t="str">
        <f aca="false">Raw_Data!H2211</f>
        <v>no</v>
      </c>
      <c r="J2211" s="2" t="n">
        <f aca="false">IF(F2211="yes",1,0)</f>
        <v>0</v>
      </c>
      <c r="K2211" s="2" t="n">
        <f aca="false">IF(H2211="yes",1,0)</f>
        <v>0</v>
      </c>
      <c r="L2211" s="2" t="n">
        <f aca="false">IF(I2211="yes",1,0)</f>
        <v>0</v>
      </c>
      <c r="M2211" s="2" t="n">
        <f aca="false">IF(G2211&lt;0,1,0)</f>
        <v>0</v>
      </c>
      <c r="N2211" s="2" t="str">
        <f aca="false">_xlfn.IFS(B2211&lt;30,"Under 30",B2211&lt;40,"30-39",B2211&lt;50,"40-49",B2211&lt;60,"50-59",TRUE(),"60+")</f>
        <v>50-59</v>
      </c>
      <c r="O2211" s="2" t="str">
        <f aca="false">_xlfn.IFS(G2211&lt;0,"1 Negative",G2211=0,"2 Zero",G2211&lt;=500,"3 1-500",G2211&lt;=2000,"4 501-2000",TRUE(),"5 Above 2000")</f>
        <v>2 Zero</v>
      </c>
      <c r="P2211" s="2" t="n">
        <f aca="false">Lookups!$B$2*M2211+Lookups!$B$3*L2211</f>
        <v>0</v>
      </c>
      <c r="Q2211" s="2" t="str">
        <f aca="false">INDEX(Lookups!$E$2:$E$5,MATCH(P2211,Lookups!$D$2:$D$5,0))</f>
        <v>Low</v>
      </c>
    </row>
    <row r="2212" customFormat="false" ht="15" hidden="false" customHeight="false" outlineLevel="0" collapsed="false">
      <c r="A2212" s="3" t="n">
        <v>2211</v>
      </c>
      <c r="B2212" s="3" t="n">
        <f aca="false">Raw_Data!A2212</f>
        <v>34</v>
      </c>
      <c r="C2212" s="3" t="str">
        <f aca="false">SUBSTITUTE(Raw_Data!B2212,".","")</f>
        <v>entrepreneur</v>
      </c>
      <c r="D2212" s="3" t="str">
        <f aca="false">Raw_Data!C2212</f>
        <v>married</v>
      </c>
      <c r="E2212" s="3" t="str">
        <f aca="false">Raw_Data!D2212</f>
        <v>tertiary</v>
      </c>
      <c r="F2212" s="3" t="str">
        <f aca="false">Raw_Data!E2212</f>
        <v>no</v>
      </c>
      <c r="G2212" s="3" t="n">
        <f aca="false">Raw_Data!F2212</f>
        <v>4343</v>
      </c>
      <c r="H2212" s="3" t="str">
        <f aca="false">Raw_Data!G2212</f>
        <v>no</v>
      </c>
      <c r="I2212" s="3" t="str">
        <f aca="false">Raw_Data!H2212</f>
        <v>no</v>
      </c>
      <c r="J2212" s="2" t="n">
        <f aca="false">IF(F2212="yes",1,0)</f>
        <v>0</v>
      </c>
      <c r="K2212" s="2" t="n">
        <f aca="false">IF(H2212="yes",1,0)</f>
        <v>0</v>
      </c>
      <c r="L2212" s="2" t="n">
        <f aca="false">IF(I2212="yes",1,0)</f>
        <v>0</v>
      </c>
      <c r="M2212" s="2" t="n">
        <f aca="false">IF(G2212&lt;0,1,0)</f>
        <v>0</v>
      </c>
      <c r="N2212" s="2" t="str">
        <f aca="false">_xlfn.IFS(B2212&lt;30,"Under 30",B2212&lt;40,"30-39",B2212&lt;50,"40-49",B2212&lt;60,"50-59",TRUE(),"60+")</f>
        <v>30-39</v>
      </c>
      <c r="O2212" s="2" t="str">
        <f aca="false">_xlfn.IFS(G2212&lt;0,"1 Negative",G2212=0,"2 Zero",G2212&lt;=500,"3 1-500",G2212&lt;=2000,"4 501-2000",TRUE(),"5 Above 2000")</f>
        <v>5 Above 2000</v>
      </c>
      <c r="P2212" s="2" t="n">
        <f aca="false">Lookups!$B$2*M2212+Lookups!$B$3*L2212</f>
        <v>0</v>
      </c>
      <c r="Q2212" s="2" t="str">
        <f aca="false">INDEX(Lookups!$E$2:$E$5,MATCH(P2212,Lookups!$D$2:$D$5,0))</f>
        <v>Low</v>
      </c>
    </row>
    <row r="2213" customFormat="false" ht="15" hidden="false" customHeight="false" outlineLevel="0" collapsed="false">
      <c r="A2213" s="3" t="n">
        <v>2212</v>
      </c>
      <c r="B2213" s="3" t="n">
        <f aca="false">Raw_Data!A2213</f>
        <v>55</v>
      </c>
      <c r="C2213" s="3" t="str">
        <f aca="false">SUBSTITUTE(Raw_Data!B2213,".","")</f>
        <v>management</v>
      </c>
      <c r="D2213" s="3" t="str">
        <f aca="false">Raw_Data!C2213</f>
        <v>divorced</v>
      </c>
      <c r="E2213" s="3" t="str">
        <f aca="false">Raw_Data!D2213</f>
        <v>tertiary</v>
      </c>
      <c r="F2213" s="3" t="str">
        <f aca="false">Raw_Data!E2213</f>
        <v>no</v>
      </c>
      <c r="G2213" s="3" t="n">
        <f aca="false">Raw_Data!F2213</f>
        <v>1598</v>
      </c>
      <c r="H2213" s="3" t="str">
        <f aca="false">Raw_Data!G2213</f>
        <v>no</v>
      </c>
      <c r="I2213" s="3" t="str">
        <f aca="false">Raw_Data!H2213</f>
        <v>no</v>
      </c>
      <c r="J2213" s="2" t="n">
        <f aca="false">IF(F2213="yes",1,0)</f>
        <v>0</v>
      </c>
      <c r="K2213" s="2" t="n">
        <f aca="false">IF(H2213="yes",1,0)</f>
        <v>0</v>
      </c>
      <c r="L2213" s="2" t="n">
        <f aca="false">IF(I2213="yes",1,0)</f>
        <v>0</v>
      </c>
      <c r="M2213" s="2" t="n">
        <f aca="false">IF(G2213&lt;0,1,0)</f>
        <v>0</v>
      </c>
      <c r="N2213" s="2" t="str">
        <f aca="false">_xlfn.IFS(B2213&lt;30,"Under 30",B2213&lt;40,"30-39",B2213&lt;50,"40-49",B2213&lt;60,"50-59",TRUE(),"60+")</f>
        <v>50-59</v>
      </c>
      <c r="O2213" s="2" t="str">
        <f aca="false">_xlfn.IFS(G2213&lt;0,"1 Negative",G2213=0,"2 Zero",G2213&lt;=500,"3 1-500",G2213&lt;=2000,"4 501-2000",TRUE(),"5 Above 2000")</f>
        <v>4 501-2000</v>
      </c>
      <c r="P2213" s="2" t="n">
        <f aca="false">Lookups!$B$2*M2213+Lookups!$B$3*L2213</f>
        <v>0</v>
      </c>
      <c r="Q2213" s="2" t="str">
        <f aca="false">INDEX(Lookups!$E$2:$E$5,MATCH(P2213,Lookups!$D$2:$D$5,0))</f>
        <v>Low</v>
      </c>
    </row>
    <row r="2214" customFormat="false" ht="15" hidden="false" customHeight="false" outlineLevel="0" collapsed="false">
      <c r="A2214" s="3" t="n">
        <v>2213</v>
      </c>
      <c r="B2214" s="3" t="n">
        <f aca="false">Raw_Data!A2214</f>
        <v>34</v>
      </c>
      <c r="C2214" s="3" t="str">
        <f aca="false">SUBSTITUTE(Raw_Data!B2214,".","")</f>
        <v>management</v>
      </c>
      <c r="D2214" s="3" t="str">
        <f aca="false">Raw_Data!C2214</f>
        <v>married</v>
      </c>
      <c r="E2214" s="3" t="str">
        <f aca="false">Raw_Data!D2214</f>
        <v>tertiary</v>
      </c>
      <c r="F2214" s="3" t="str">
        <f aca="false">Raw_Data!E2214</f>
        <v>no</v>
      </c>
      <c r="G2214" s="3" t="n">
        <f aca="false">Raw_Data!F2214</f>
        <v>3301</v>
      </c>
      <c r="H2214" s="3" t="str">
        <f aca="false">Raw_Data!G2214</f>
        <v>yes</v>
      </c>
      <c r="I2214" s="3" t="str">
        <f aca="false">Raw_Data!H2214</f>
        <v>no</v>
      </c>
      <c r="J2214" s="2" t="n">
        <f aca="false">IF(F2214="yes",1,0)</f>
        <v>0</v>
      </c>
      <c r="K2214" s="2" t="n">
        <f aca="false">IF(H2214="yes",1,0)</f>
        <v>1</v>
      </c>
      <c r="L2214" s="2" t="n">
        <f aca="false">IF(I2214="yes",1,0)</f>
        <v>0</v>
      </c>
      <c r="M2214" s="2" t="n">
        <f aca="false">IF(G2214&lt;0,1,0)</f>
        <v>0</v>
      </c>
      <c r="N2214" s="2" t="str">
        <f aca="false">_xlfn.IFS(B2214&lt;30,"Under 30",B2214&lt;40,"30-39",B2214&lt;50,"40-49",B2214&lt;60,"50-59",TRUE(),"60+")</f>
        <v>30-39</v>
      </c>
      <c r="O2214" s="2" t="str">
        <f aca="false">_xlfn.IFS(G2214&lt;0,"1 Negative",G2214=0,"2 Zero",G2214&lt;=500,"3 1-500",G2214&lt;=2000,"4 501-2000",TRUE(),"5 Above 2000")</f>
        <v>5 Above 2000</v>
      </c>
      <c r="P2214" s="2" t="n">
        <f aca="false">Lookups!$B$2*M2214+Lookups!$B$3*L2214</f>
        <v>0</v>
      </c>
      <c r="Q2214" s="2" t="str">
        <f aca="false">INDEX(Lookups!$E$2:$E$5,MATCH(P2214,Lookups!$D$2:$D$5,0))</f>
        <v>Low</v>
      </c>
    </row>
    <row r="2215" customFormat="false" ht="15" hidden="false" customHeight="false" outlineLevel="0" collapsed="false">
      <c r="A2215" s="3" t="n">
        <v>2214</v>
      </c>
      <c r="B2215" s="3" t="n">
        <f aca="false">Raw_Data!A2215</f>
        <v>24</v>
      </c>
      <c r="C2215" s="3" t="str">
        <f aca="false">SUBSTITUTE(Raw_Data!B2215,".","")</f>
        <v>student</v>
      </c>
      <c r="D2215" s="3" t="str">
        <f aca="false">Raw_Data!C2215</f>
        <v>single</v>
      </c>
      <c r="E2215" s="3" t="str">
        <f aca="false">Raw_Data!D2215</f>
        <v>secondary</v>
      </c>
      <c r="F2215" s="3" t="str">
        <f aca="false">Raw_Data!E2215</f>
        <v>no</v>
      </c>
      <c r="G2215" s="3" t="n">
        <f aca="false">Raw_Data!F2215</f>
        <v>822</v>
      </c>
      <c r="H2215" s="3" t="str">
        <f aca="false">Raw_Data!G2215</f>
        <v>no</v>
      </c>
      <c r="I2215" s="3" t="str">
        <f aca="false">Raw_Data!H2215</f>
        <v>no</v>
      </c>
      <c r="J2215" s="2" t="n">
        <f aca="false">IF(F2215="yes",1,0)</f>
        <v>0</v>
      </c>
      <c r="K2215" s="2" t="n">
        <f aca="false">IF(H2215="yes",1,0)</f>
        <v>0</v>
      </c>
      <c r="L2215" s="2" t="n">
        <f aca="false">IF(I2215="yes",1,0)</f>
        <v>0</v>
      </c>
      <c r="M2215" s="2" t="n">
        <f aca="false">IF(G2215&lt;0,1,0)</f>
        <v>0</v>
      </c>
      <c r="N2215" s="2" t="str">
        <f aca="false">_xlfn.IFS(B2215&lt;30,"Under 30",B2215&lt;40,"30-39",B2215&lt;50,"40-49",B2215&lt;60,"50-59",TRUE(),"60+")</f>
        <v>Under 30</v>
      </c>
      <c r="O2215" s="2" t="str">
        <f aca="false">_xlfn.IFS(G2215&lt;0,"1 Negative",G2215=0,"2 Zero",G2215&lt;=500,"3 1-500",G2215&lt;=2000,"4 501-2000",TRUE(),"5 Above 2000")</f>
        <v>4 501-2000</v>
      </c>
      <c r="P2215" s="2" t="n">
        <f aca="false">Lookups!$B$2*M2215+Lookups!$B$3*L2215</f>
        <v>0</v>
      </c>
      <c r="Q2215" s="2" t="str">
        <f aca="false">INDEX(Lookups!$E$2:$E$5,MATCH(P2215,Lookups!$D$2:$D$5,0))</f>
        <v>Low</v>
      </c>
    </row>
    <row r="2216" customFormat="false" ht="15" hidden="false" customHeight="false" outlineLevel="0" collapsed="false">
      <c r="A2216" s="3" t="n">
        <v>2215</v>
      </c>
      <c r="B2216" s="3" t="n">
        <f aca="false">Raw_Data!A2216</f>
        <v>42</v>
      </c>
      <c r="C2216" s="3" t="str">
        <f aca="false">SUBSTITUTE(Raw_Data!B2216,".","")</f>
        <v>technician</v>
      </c>
      <c r="D2216" s="3" t="str">
        <f aca="false">Raw_Data!C2216</f>
        <v>divorced</v>
      </c>
      <c r="E2216" s="3" t="str">
        <f aca="false">Raw_Data!D2216</f>
        <v>secondary</v>
      </c>
      <c r="F2216" s="3" t="str">
        <f aca="false">Raw_Data!E2216</f>
        <v>no</v>
      </c>
      <c r="G2216" s="3" t="n">
        <f aca="false">Raw_Data!F2216</f>
        <v>-280</v>
      </c>
      <c r="H2216" s="3" t="str">
        <f aca="false">Raw_Data!G2216</f>
        <v>yes</v>
      </c>
      <c r="I2216" s="3" t="str">
        <f aca="false">Raw_Data!H2216</f>
        <v>no</v>
      </c>
      <c r="J2216" s="2" t="n">
        <f aca="false">IF(F2216="yes",1,0)</f>
        <v>0</v>
      </c>
      <c r="K2216" s="2" t="n">
        <f aca="false">IF(H2216="yes",1,0)</f>
        <v>1</v>
      </c>
      <c r="L2216" s="2" t="n">
        <f aca="false">IF(I2216="yes",1,0)</f>
        <v>0</v>
      </c>
      <c r="M2216" s="2" t="n">
        <f aca="false">IF(G2216&lt;0,1,0)</f>
        <v>1</v>
      </c>
      <c r="N2216" s="2" t="str">
        <f aca="false">_xlfn.IFS(B2216&lt;30,"Under 30",B2216&lt;40,"30-39",B2216&lt;50,"40-49",B2216&lt;60,"50-59",TRUE(),"60+")</f>
        <v>40-49</v>
      </c>
      <c r="O2216" s="2" t="str">
        <f aca="false">_xlfn.IFS(G2216&lt;0,"1 Negative",G2216=0,"2 Zero",G2216&lt;=500,"3 1-500",G2216&lt;=2000,"4 501-2000",TRUE(),"5 Above 2000")</f>
        <v>1 Negative</v>
      </c>
      <c r="P2216" s="2" t="n">
        <f aca="false">Lookups!$B$2*M2216+Lookups!$B$3*L2216</f>
        <v>2</v>
      </c>
      <c r="Q2216" s="2" t="str">
        <f aca="false">INDEX(Lookups!$E$2:$E$5,MATCH(P2216,Lookups!$D$2:$D$5,0))</f>
        <v>High</v>
      </c>
    </row>
    <row r="2217" customFormat="false" ht="15" hidden="false" customHeight="false" outlineLevel="0" collapsed="false">
      <c r="A2217" s="3" t="n">
        <v>2216</v>
      </c>
      <c r="B2217" s="3" t="n">
        <f aca="false">Raw_Data!A2217</f>
        <v>34</v>
      </c>
      <c r="C2217" s="3" t="str">
        <f aca="false">SUBSTITUTE(Raw_Data!B2217,".","")</f>
        <v>management</v>
      </c>
      <c r="D2217" s="3" t="str">
        <f aca="false">Raw_Data!C2217</f>
        <v>single</v>
      </c>
      <c r="E2217" s="3" t="str">
        <f aca="false">Raw_Data!D2217</f>
        <v>unknown</v>
      </c>
      <c r="F2217" s="3" t="str">
        <f aca="false">Raw_Data!E2217</f>
        <v>no</v>
      </c>
      <c r="G2217" s="3" t="n">
        <f aca="false">Raw_Data!F2217</f>
        <v>1534</v>
      </c>
      <c r="H2217" s="3" t="str">
        <f aca="false">Raw_Data!G2217</f>
        <v>yes</v>
      </c>
      <c r="I2217" s="3" t="str">
        <f aca="false">Raw_Data!H2217</f>
        <v>no</v>
      </c>
      <c r="J2217" s="2" t="n">
        <f aca="false">IF(F2217="yes",1,0)</f>
        <v>0</v>
      </c>
      <c r="K2217" s="2" t="n">
        <f aca="false">IF(H2217="yes",1,0)</f>
        <v>1</v>
      </c>
      <c r="L2217" s="2" t="n">
        <f aca="false">IF(I2217="yes",1,0)</f>
        <v>0</v>
      </c>
      <c r="M2217" s="2" t="n">
        <f aca="false">IF(G2217&lt;0,1,0)</f>
        <v>0</v>
      </c>
      <c r="N2217" s="2" t="str">
        <f aca="false">_xlfn.IFS(B2217&lt;30,"Under 30",B2217&lt;40,"30-39",B2217&lt;50,"40-49",B2217&lt;60,"50-59",TRUE(),"60+")</f>
        <v>30-39</v>
      </c>
      <c r="O2217" s="2" t="str">
        <f aca="false">_xlfn.IFS(G2217&lt;0,"1 Negative",G2217=0,"2 Zero",G2217&lt;=500,"3 1-500",G2217&lt;=2000,"4 501-2000",TRUE(),"5 Above 2000")</f>
        <v>4 501-2000</v>
      </c>
      <c r="P2217" s="2" t="n">
        <f aca="false">Lookups!$B$2*M2217+Lookups!$B$3*L2217</f>
        <v>0</v>
      </c>
      <c r="Q2217" s="2" t="str">
        <f aca="false">INDEX(Lookups!$E$2:$E$5,MATCH(P2217,Lookups!$D$2:$D$5,0))</f>
        <v>Low</v>
      </c>
    </row>
    <row r="2218" customFormat="false" ht="15" hidden="false" customHeight="false" outlineLevel="0" collapsed="false">
      <c r="A2218" s="3" t="n">
        <v>2217</v>
      </c>
      <c r="B2218" s="3" t="n">
        <f aca="false">Raw_Data!A2218</f>
        <v>34</v>
      </c>
      <c r="C2218" s="3" t="str">
        <f aca="false">SUBSTITUTE(Raw_Data!B2218,".","")</f>
        <v>admin</v>
      </c>
      <c r="D2218" s="3" t="str">
        <f aca="false">Raw_Data!C2218</f>
        <v>married</v>
      </c>
      <c r="E2218" s="3" t="str">
        <f aca="false">Raw_Data!D2218</f>
        <v>secondary</v>
      </c>
      <c r="F2218" s="3" t="str">
        <f aca="false">Raw_Data!E2218</f>
        <v>no</v>
      </c>
      <c r="G2218" s="3" t="n">
        <f aca="false">Raw_Data!F2218</f>
        <v>1671</v>
      </c>
      <c r="H2218" s="3" t="str">
        <f aca="false">Raw_Data!G2218</f>
        <v>no</v>
      </c>
      <c r="I2218" s="3" t="str">
        <f aca="false">Raw_Data!H2218</f>
        <v>no</v>
      </c>
      <c r="J2218" s="2" t="n">
        <f aca="false">IF(F2218="yes",1,0)</f>
        <v>0</v>
      </c>
      <c r="K2218" s="2" t="n">
        <f aca="false">IF(H2218="yes",1,0)</f>
        <v>0</v>
      </c>
      <c r="L2218" s="2" t="n">
        <f aca="false">IF(I2218="yes",1,0)</f>
        <v>0</v>
      </c>
      <c r="M2218" s="2" t="n">
        <f aca="false">IF(G2218&lt;0,1,0)</f>
        <v>0</v>
      </c>
      <c r="N2218" s="2" t="str">
        <f aca="false">_xlfn.IFS(B2218&lt;30,"Under 30",B2218&lt;40,"30-39",B2218&lt;50,"40-49",B2218&lt;60,"50-59",TRUE(),"60+")</f>
        <v>30-39</v>
      </c>
      <c r="O2218" s="2" t="str">
        <f aca="false">_xlfn.IFS(G2218&lt;0,"1 Negative",G2218=0,"2 Zero",G2218&lt;=500,"3 1-500",G2218&lt;=2000,"4 501-2000",TRUE(),"5 Above 2000")</f>
        <v>4 501-2000</v>
      </c>
      <c r="P2218" s="2" t="n">
        <f aca="false">Lookups!$B$2*M2218+Lookups!$B$3*L2218</f>
        <v>0</v>
      </c>
      <c r="Q2218" s="2" t="str">
        <f aca="false">INDEX(Lookups!$E$2:$E$5,MATCH(P2218,Lookups!$D$2:$D$5,0))</f>
        <v>Low</v>
      </c>
    </row>
    <row r="2219" customFormat="false" ht="15" hidden="false" customHeight="false" outlineLevel="0" collapsed="false">
      <c r="A2219" s="3" t="n">
        <v>2218</v>
      </c>
      <c r="B2219" s="3" t="n">
        <f aca="false">Raw_Data!A2219</f>
        <v>51</v>
      </c>
      <c r="C2219" s="3" t="str">
        <f aca="false">SUBSTITUTE(Raw_Data!B2219,".","")</f>
        <v>self-employed</v>
      </c>
      <c r="D2219" s="3" t="str">
        <f aca="false">Raw_Data!C2219</f>
        <v>married</v>
      </c>
      <c r="E2219" s="3" t="str">
        <f aca="false">Raw_Data!D2219</f>
        <v>tertiary</v>
      </c>
      <c r="F2219" s="3" t="str">
        <f aca="false">Raw_Data!E2219</f>
        <v>no</v>
      </c>
      <c r="G2219" s="3" t="n">
        <f aca="false">Raw_Data!F2219</f>
        <v>2007</v>
      </c>
      <c r="H2219" s="3" t="str">
        <f aca="false">Raw_Data!G2219</f>
        <v>no</v>
      </c>
      <c r="I2219" s="3" t="str">
        <f aca="false">Raw_Data!H2219</f>
        <v>no</v>
      </c>
      <c r="J2219" s="2" t="n">
        <f aca="false">IF(F2219="yes",1,0)</f>
        <v>0</v>
      </c>
      <c r="K2219" s="2" t="n">
        <f aca="false">IF(H2219="yes",1,0)</f>
        <v>0</v>
      </c>
      <c r="L2219" s="2" t="n">
        <f aca="false">IF(I2219="yes",1,0)</f>
        <v>0</v>
      </c>
      <c r="M2219" s="2" t="n">
        <f aca="false">IF(G2219&lt;0,1,0)</f>
        <v>0</v>
      </c>
      <c r="N2219" s="2" t="str">
        <f aca="false">_xlfn.IFS(B2219&lt;30,"Under 30",B2219&lt;40,"30-39",B2219&lt;50,"40-49",B2219&lt;60,"50-59",TRUE(),"60+")</f>
        <v>50-59</v>
      </c>
      <c r="O2219" s="2" t="str">
        <f aca="false">_xlfn.IFS(G2219&lt;0,"1 Negative",G2219=0,"2 Zero",G2219&lt;=500,"3 1-500",G2219&lt;=2000,"4 501-2000",TRUE(),"5 Above 2000")</f>
        <v>5 Above 2000</v>
      </c>
      <c r="P2219" s="2" t="n">
        <f aca="false">Lookups!$B$2*M2219+Lookups!$B$3*L2219</f>
        <v>0</v>
      </c>
      <c r="Q2219" s="2" t="str">
        <f aca="false">INDEX(Lookups!$E$2:$E$5,MATCH(P2219,Lookups!$D$2:$D$5,0))</f>
        <v>Low</v>
      </c>
    </row>
    <row r="2220" customFormat="false" ht="15" hidden="false" customHeight="false" outlineLevel="0" collapsed="false">
      <c r="A2220" s="3" t="n">
        <v>2219</v>
      </c>
      <c r="B2220" s="3" t="n">
        <f aca="false">Raw_Data!A2220</f>
        <v>58</v>
      </c>
      <c r="C2220" s="3" t="str">
        <f aca="false">SUBSTITUTE(Raw_Data!B2220,".","")</f>
        <v>blue-collar</v>
      </c>
      <c r="D2220" s="3" t="str">
        <f aca="false">Raw_Data!C2220</f>
        <v>married</v>
      </c>
      <c r="E2220" s="3" t="str">
        <f aca="false">Raw_Data!D2220</f>
        <v>primary</v>
      </c>
      <c r="F2220" s="3" t="str">
        <f aca="false">Raw_Data!E2220</f>
        <v>no</v>
      </c>
      <c r="G2220" s="3" t="n">
        <f aca="false">Raw_Data!F2220</f>
        <v>0</v>
      </c>
      <c r="H2220" s="3" t="str">
        <f aca="false">Raw_Data!G2220</f>
        <v>yes</v>
      </c>
      <c r="I2220" s="3" t="str">
        <f aca="false">Raw_Data!H2220</f>
        <v>no</v>
      </c>
      <c r="J2220" s="2" t="n">
        <f aca="false">IF(F2220="yes",1,0)</f>
        <v>0</v>
      </c>
      <c r="K2220" s="2" t="n">
        <f aca="false">IF(H2220="yes",1,0)</f>
        <v>1</v>
      </c>
      <c r="L2220" s="2" t="n">
        <f aca="false">IF(I2220="yes",1,0)</f>
        <v>0</v>
      </c>
      <c r="M2220" s="2" t="n">
        <f aca="false">IF(G2220&lt;0,1,0)</f>
        <v>0</v>
      </c>
      <c r="N2220" s="2" t="str">
        <f aca="false">_xlfn.IFS(B2220&lt;30,"Under 30",B2220&lt;40,"30-39",B2220&lt;50,"40-49",B2220&lt;60,"50-59",TRUE(),"60+")</f>
        <v>50-59</v>
      </c>
      <c r="O2220" s="2" t="str">
        <f aca="false">_xlfn.IFS(G2220&lt;0,"1 Negative",G2220=0,"2 Zero",G2220&lt;=500,"3 1-500",G2220&lt;=2000,"4 501-2000",TRUE(),"5 Above 2000")</f>
        <v>2 Zero</v>
      </c>
      <c r="P2220" s="2" t="n">
        <f aca="false">Lookups!$B$2*M2220+Lookups!$B$3*L2220</f>
        <v>0</v>
      </c>
      <c r="Q2220" s="2" t="str">
        <f aca="false">INDEX(Lookups!$E$2:$E$5,MATCH(P2220,Lookups!$D$2:$D$5,0))</f>
        <v>Low</v>
      </c>
    </row>
    <row r="2221" customFormat="false" ht="15" hidden="false" customHeight="false" outlineLevel="0" collapsed="false">
      <c r="A2221" s="3" t="n">
        <v>2220</v>
      </c>
      <c r="B2221" s="3" t="n">
        <f aca="false">Raw_Data!A2221</f>
        <v>44</v>
      </c>
      <c r="C2221" s="3" t="str">
        <f aca="false">SUBSTITUTE(Raw_Data!B2221,".","")</f>
        <v>technician</v>
      </c>
      <c r="D2221" s="3" t="str">
        <f aca="false">Raw_Data!C2221</f>
        <v>married</v>
      </c>
      <c r="E2221" s="3" t="str">
        <f aca="false">Raw_Data!D2221</f>
        <v>secondary</v>
      </c>
      <c r="F2221" s="3" t="str">
        <f aca="false">Raw_Data!E2221</f>
        <v>no</v>
      </c>
      <c r="G2221" s="3" t="n">
        <f aca="false">Raw_Data!F2221</f>
        <v>2776</v>
      </c>
      <c r="H2221" s="3" t="str">
        <f aca="false">Raw_Data!G2221</f>
        <v>yes</v>
      </c>
      <c r="I2221" s="3" t="str">
        <f aca="false">Raw_Data!H2221</f>
        <v>no</v>
      </c>
      <c r="J2221" s="2" t="n">
        <f aca="false">IF(F2221="yes",1,0)</f>
        <v>0</v>
      </c>
      <c r="K2221" s="2" t="n">
        <f aca="false">IF(H2221="yes",1,0)</f>
        <v>1</v>
      </c>
      <c r="L2221" s="2" t="n">
        <f aca="false">IF(I2221="yes",1,0)</f>
        <v>0</v>
      </c>
      <c r="M2221" s="2" t="n">
        <f aca="false">IF(G2221&lt;0,1,0)</f>
        <v>0</v>
      </c>
      <c r="N2221" s="2" t="str">
        <f aca="false">_xlfn.IFS(B2221&lt;30,"Under 30",B2221&lt;40,"30-39",B2221&lt;50,"40-49",B2221&lt;60,"50-59",TRUE(),"60+")</f>
        <v>40-49</v>
      </c>
      <c r="O2221" s="2" t="str">
        <f aca="false">_xlfn.IFS(G2221&lt;0,"1 Negative",G2221=0,"2 Zero",G2221&lt;=500,"3 1-500",G2221&lt;=2000,"4 501-2000",TRUE(),"5 Above 2000")</f>
        <v>5 Above 2000</v>
      </c>
      <c r="P2221" s="2" t="n">
        <f aca="false">Lookups!$B$2*M2221+Lookups!$B$3*L2221</f>
        <v>0</v>
      </c>
      <c r="Q2221" s="2" t="str">
        <f aca="false">INDEX(Lookups!$E$2:$E$5,MATCH(P2221,Lookups!$D$2:$D$5,0))</f>
        <v>Low</v>
      </c>
    </row>
    <row r="2222" customFormat="false" ht="15" hidden="false" customHeight="false" outlineLevel="0" collapsed="false">
      <c r="A2222" s="3" t="n">
        <v>2221</v>
      </c>
      <c r="B2222" s="3" t="n">
        <f aca="false">Raw_Data!A2222</f>
        <v>33</v>
      </c>
      <c r="C2222" s="3" t="str">
        <f aca="false">SUBSTITUTE(Raw_Data!B2222,".","")</f>
        <v>blue-collar</v>
      </c>
      <c r="D2222" s="3" t="str">
        <f aca="false">Raw_Data!C2222</f>
        <v>married</v>
      </c>
      <c r="E2222" s="3" t="str">
        <f aca="false">Raw_Data!D2222</f>
        <v>secondary</v>
      </c>
      <c r="F2222" s="3" t="str">
        <f aca="false">Raw_Data!E2222</f>
        <v>no</v>
      </c>
      <c r="G2222" s="3" t="n">
        <f aca="false">Raw_Data!F2222</f>
        <v>139</v>
      </c>
      <c r="H2222" s="3" t="str">
        <f aca="false">Raw_Data!G2222</f>
        <v>yes</v>
      </c>
      <c r="I2222" s="3" t="str">
        <f aca="false">Raw_Data!H2222</f>
        <v>yes</v>
      </c>
      <c r="J2222" s="2" t="n">
        <f aca="false">IF(F2222="yes",1,0)</f>
        <v>0</v>
      </c>
      <c r="K2222" s="2" t="n">
        <f aca="false">IF(H2222="yes",1,0)</f>
        <v>1</v>
      </c>
      <c r="L2222" s="2" t="n">
        <f aca="false">IF(I2222="yes",1,0)</f>
        <v>1</v>
      </c>
      <c r="M2222" s="2" t="n">
        <f aca="false">IF(G2222&lt;0,1,0)</f>
        <v>0</v>
      </c>
      <c r="N2222" s="2" t="str">
        <f aca="false">_xlfn.IFS(B2222&lt;30,"Under 30",B2222&lt;40,"30-39",B2222&lt;50,"40-49",B2222&lt;60,"50-59",TRUE(),"60+")</f>
        <v>30-39</v>
      </c>
      <c r="O2222" s="2" t="str">
        <f aca="false">_xlfn.IFS(G2222&lt;0,"1 Negative",G2222=0,"2 Zero",G2222&lt;=500,"3 1-500",G2222&lt;=2000,"4 501-2000",TRUE(),"5 Above 2000")</f>
        <v>3 1-500</v>
      </c>
      <c r="P2222" s="2" t="n">
        <f aca="false">Lookups!$B$2*M2222+Lookups!$B$3*L2222</f>
        <v>1</v>
      </c>
      <c r="Q2222" s="2" t="str">
        <f aca="false">INDEX(Lookups!$E$2:$E$5,MATCH(P2222,Lookups!$D$2:$D$5,0))</f>
        <v>Medium</v>
      </c>
    </row>
    <row r="2223" customFormat="false" ht="15" hidden="false" customHeight="false" outlineLevel="0" collapsed="false">
      <c r="A2223" s="3" t="n">
        <v>2222</v>
      </c>
      <c r="B2223" s="3" t="n">
        <f aca="false">Raw_Data!A2223</f>
        <v>34</v>
      </c>
      <c r="C2223" s="3" t="str">
        <f aca="false">SUBSTITUTE(Raw_Data!B2223,".","")</f>
        <v>management</v>
      </c>
      <c r="D2223" s="3" t="str">
        <f aca="false">Raw_Data!C2223</f>
        <v>married</v>
      </c>
      <c r="E2223" s="3" t="str">
        <f aca="false">Raw_Data!D2223</f>
        <v>tertiary</v>
      </c>
      <c r="F2223" s="3" t="str">
        <f aca="false">Raw_Data!E2223</f>
        <v>no</v>
      </c>
      <c r="G2223" s="3" t="n">
        <f aca="false">Raw_Data!F2223</f>
        <v>573</v>
      </c>
      <c r="H2223" s="3" t="str">
        <f aca="false">Raw_Data!G2223</f>
        <v>no</v>
      </c>
      <c r="I2223" s="3" t="str">
        <f aca="false">Raw_Data!H2223</f>
        <v>no</v>
      </c>
      <c r="J2223" s="2" t="n">
        <f aca="false">IF(F2223="yes",1,0)</f>
        <v>0</v>
      </c>
      <c r="K2223" s="2" t="n">
        <f aca="false">IF(H2223="yes",1,0)</f>
        <v>0</v>
      </c>
      <c r="L2223" s="2" t="n">
        <f aca="false">IF(I2223="yes",1,0)</f>
        <v>0</v>
      </c>
      <c r="M2223" s="2" t="n">
        <f aca="false">IF(G2223&lt;0,1,0)</f>
        <v>0</v>
      </c>
      <c r="N2223" s="2" t="str">
        <f aca="false">_xlfn.IFS(B2223&lt;30,"Under 30",B2223&lt;40,"30-39",B2223&lt;50,"40-49",B2223&lt;60,"50-59",TRUE(),"60+")</f>
        <v>30-39</v>
      </c>
      <c r="O2223" s="2" t="str">
        <f aca="false">_xlfn.IFS(G2223&lt;0,"1 Negative",G2223=0,"2 Zero",G2223&lt;=500,"3 1-500",G2223&lt;=2000,"4 501-2000",TRUE(),"5 Above 2000")</f>
        <v>4 501-2000</v>
      </c>
      <c r="P2223" s="2" t="n">
        <f aca="false">Lookups!$B$2*M2223+Lookups!$B$3*L2223</f>
        <v>0</v>
      </c>
      <c r="Q2223" s="2" t="str">
        <f aca="false">INDEX(Lookups!$E$2:$E$5,MATCH(P2223,Lookups!$D$2:$D$5,0))</f>
        <v>Low</v>
      </c>
    </row>
    <row r="2224" customFormat="false" ht="15" hidden="false" customHeight="false" outlineLevel="0" collapsed="false">
      <c r="A2224" s="3" t="n">
        <v>2223</v>
      </c>
      <c r="B2224" s="3" t="n">
        <f aca="false">Raw_Data!A2224</f>
        <v>34</v>
      </c>
      <c r="C2224" s="3" t="str">
        <f aca="false">SUBSTITUTE(Raw_Data!B2224,".","")</f>
        <v>admin</v>
      </c>
      <c r="D2224" s="3" t="str">
        <f aca="false">Raw_Data!C2224</f>
        <v>married</v>
      </c>
      <c r="E2224" s="3" t="str">
        <f aca="false">Raw_Data!D2224</f>
        <v>secondary</v>
      </c>
      <c r="F2224" s="3" t="str">
        <f aca="false">Raw_Data!E2224</f>
        <v>no</v>
      </c>
      <c r="G2224" s="3" t="n">
        <f aca="false">Raw_Data!F2224</f>
        <v>475</v>
      </c>
      <c r="H2224" s="3" t="str">
        <f aca="false">Raw_Data!G2224</f>
        <v>yes</v>
      </c>
      <c r="I2224" s="3" t="str">
        <f aca="false">Raw_Data!H2224</f>
        <v>no</v>
      </c>
      <c r="J2224" s="2" t="n">
        <f aca="false">IF(F2224="yes",1,0)</f>
        <v>0</v>
      </c>
      <c r="K2224" s="2" t="n">
        <f aca="false">IF(H2224="yes",1,0)</f>
        <v>1</v>
      </c>
      <c r="L2224" s="2" t="n">
        <f aca="false">IF(I2224="yes",1,0)</f>
        <v>0</v>
      </c>
      <c r="M2224" s="2" t="n">
        <f aca="false">IF(G2224&lt;0,1,0)</f>
        <v>0</v>
      </c>
      <c r="N2224" s="2" t="str">
        <f aca="false">_xlfn.IFS(B2224&lt;30,"Under 30",B2224&lt;40,"30-39",B2224&lt;50,"40-49",B2224&lt;60,"50-59",TRUE(),"60+")</f>
        <v>30-39</v>
      </c>
      <c r="O2224" s="2" t="str">
        <f aca="false">_xlfn.IFS(G2224&lt;0,"1 Negative",G2224=0,"2 Zero",G2224&lt;=500,"3 1-500",G2224&lt;=2000,"4 501-2000",TRUE(),"5 Above 2000")</f>
        <v>3 1-500</v>
      </c>
      <c r="P2224" s="2" t="n">
        <f aca="false">Lookups!$B$2*M2224+Lookups!$B$3*L2224</f>
        <v>0</v>
      </c>
      <c r="Q2224" s="2" t="str">
        <f aca="false">INDEX(Lookups!$E$2:$E$5,MATCH(P2224,Lookups!$D$2:$D$5,0))</f>
        <v>Low</v>
      </c>
    </row>
    <row r="2225" customFormat="false" ht="15" hidden="false" customHeight="false" outlineLevel="0" collapsed="false">
      <c r="A2225" s="3" t="n">
        <v>2224</v>
      </c>
      <c r="B2225" s="3" t="n">
        <f aca="false">Raw_Data!A2225</f>
        <v>42</v>
      </c>
      <c r="C2225" s="3" t="str">
        <f aca="false">SUBSTITUTE(Raw_Data!B2225,".","")</f>
        <v>blue-collar</v>
      </c>
      <c r="D2225" s="3" t="str">
        <f aca="false">Raw_Data!C2225</f>
        <v>divorced</v>
      </c>
      <c r="E2225" s="3" t="str">
        <f aca="false">Raw_Data!D2225</f>
        <v>secondary</v>
      </c>
      <c r="F2225" s="3" t="str">
        <f aca="false">Raw_Data!E2225</f>
        <v>no</v>
      </c>
      <c r="G2225" s="3" t="n">
        <f aca="false">Raw_Data!F2225</f>
        <v>47</v>
      </c>
      <c r="H2225" s="3" t="str">
        <f aca="false">Raw_Data!G2225</f>
        <v>yes</v>
      </c>
      <c r="I2225" s="3" t="str">
        <f aca="false">Raw_Data!H2225</f>
        <v>yes</v>
      </c>
      <c r="J2225" s="2" t="n">
        <f aca="false">IF(F2225="yes",1,0)</f>
        <v>0</v>
      </c>
      <c r="K2225" s="2" t="n">
        <f aca="false">IF(H2225="yes",1,0)</f>
        <v>1</v>
      </c>
      <c r="L2225" s="2" t="n">
        <f aca="false">IF(I2225="yes",1,0)</f>
        <v>1</v>
      </c>
      <c r="M2225" s="2" t="n">
        <f aca="false">IF(G2225&lt;0,1,0)</f>
        <v>0</v>
      </c>
      <c r="N2225" s="2" t="str">
        <f aca="false">_xlfn.IFS(B2225&lt;30,"Under 30",B2225&lt;40,"30-39",B2225&lt;50,"40-49",B2225&lt;60,"50-59",TRUE(),"60+")</f>
        <v>40-49</v>
      </c>
      <c r="O2225" s="2" t="str">
        <f aca="false">_xlfn.IFS(G2225&lt;0,"1 Negative",G2225=0,"2 Zero",G2225&lt;=500,"3 1-500",G2225&lt;=2000,"4 501-2000",TRUE(),"5 Above 2000")</f>
        <v>3 1-500</v>
      </c>
      <c r="P2225" s="2" t="n">
        <f aca="false">Lookups!$B$2*M2225+Lookups!$B$3*L2225</f>
        <v>1</v>
      </c>
      <c r="Q2225" s="2" t="str">
        <f aca="false">INDEX(Lookups!$E$2:$E$5,MATCH(P2225,Lookups!$D$2:$D$5,0))</f>
        <v>Medium</v>
      </c>
    </row>
    <row r="2226" customFormat="false" ht="15" hidden="false" customHeight="false" outlineLevel="0" collapsed="false">
      <c r="A2226" s="3" t="n">
        <v>2225</v>
      </c>
      <c r="B2226" s="3" t="n">
        <f aca="false">Raw_Data!A2226</f>
        <v>46</v>
      </c>
      <c r="C2226" s="3" t="str">
        <f aca="false">SUBSTITUTE(Raw_Data!B2226,".","")</f>
        <v>management</v>
      </c>
      <c r="D2226" s="3" t="str">
        <f aca="false">Raw_Data!C2226</f>
        <v>single</v>
      </c>
      <c r="E2226" s="3" t="str">
        <f aca="false">Raw_Data!D2226</f>
        <v>tertiary</v>
      </c>
      <c r="F2226" s="3" t="str">
        <f aca="false">Raw_Data!E2226</f>
        <v>no</v>
      </c>
      <c r="G2226" s="3" t="n">
        <f aca="false">Raw_Data!F2226</f>
        <v>2154</v>
      </c>
      <c r="H2226" s="3" t="str">
        <f aca="false">Raw_Data!G2226</f>
        <v>yes</v>
      </c>
      <c r="I2226" s="3" t="str">
        <f aca="false">Raw_Data!H2226</f>
        <v>no</v>
      </c>
      <c r="J2226" s="2" t="n">
        <f aca="false">IF(F2226="yes",1,0)</f>
        <v>0</v>
      </c>
      <c r="K2226" s="2" t="n">
        <f aca="false">IF(H2226="yes",1,0)</f>
        <v>1</v>
      </c>
      <c r="L2226" s="2" t="n">
        <f aca="false">IF(I2226="yes",1,0)</f>
        <v>0</v>
      </c>
      <c r="M2226" s="2" t="n">
        <f aca="false">IF(G2226&lt;0,1,0)</f>
        <v>0</v>
      </c>
      <c r="N2226" s="2" t="str">
        <f aca="false">_xlfn.IFS(B2226&lt;30,"Under 30",B2226&lt;40,"30-39",B2226&lt;50,"40-49",B2226&lt;60,"50-59",TRUE(),"60+")</f>
        <v>40-49</v>
      </c>
      <c r="O2226" s="2" t="str">
        <f aca="false">_xlfn.IFS(G2226&lt;0,"1 Negative",G2226=0,"2 Zero",G2226&lt;=500,"3 1-500",G2226&lt;=2000,"4 501-2000",TRUE(),"5 Above 2000")</f>
        <v>5 Above 2000</v>
      </c>
      <c r="P2226" s="2" t="n">
        <f aca="false">Lookups!$B$2*M2226+Lookups!$B$3*L2226</f>
        <v>0</v>
      </c>
      <c r="Q2226" s="2" t="str">
        <f aca="false">INDEX(Lookups!$E$2:$E$5,MATCH(P2226,Lookups!$D$2:$D$5,0))</f>
        <v>Low</v>
      </c>
    </row>
    <row r="2227" customFormat="false" ht="15" hidden="false" customHeight="false" outlineLevel="0" collapsed="false">
      <c r="A2227" s="3" t="n">
        <v>2226</v>
      </c>
      <c r="B2227" s="3" t="n">
        <f aca="false">Raw_Data!A2227</f>
        <v>31</v>
      </c>
      <c r="C2227" s="3" t="str">
        <f aca="false">SUBSTITUTE(Raw_Data!B2227,".","")</f>
        <v>self-employed</v>
      </c>
      <c r="D2227" s="3" t="str">
        <f aca="false">Raw_Data!C2227</f>
        <v>single</v>
      </c>
      <c r="E2227" s="3" t="str">
        <f aca="false">Raw_Data!D2227</f>
        <v>tertiary</v>
      </c>
      <c r="F2227" s="3" t="str">
        <f aca="false">Raw_Data!E2227</f>
        <v>no</v>
      </c>
      <c r="G2227" s="3" t="n">
        <f aca="false">Raw_Data!F2227</f>
        <v>96</v>
      </c>
      <c r="H2227" s="3" t="str">
        <f aca="false">Raw_Data!G2227</f>
        <v>no</v>
      </c>
      <c r="I2227" s="3" t="str">
        <f aca="false">Raw_Data!H2227</f>
        <v>no</v>
      </c>
      <c r="J2227" s="2" t="n">
        <f aca="false">IF(F2227="yes",1,0)</f>
        <v>0</v>
      </c>
      <c r="K2227" s="2" t="n">
        <f aca="false">IF(H2227="yes",1,0)</f>
        <v>0</v>
      </c>
      <c r="L2227" s="2" t="n">
        <f aca="false">IF(I2227="yes",1,0)</f>
        <v>0</v>
      </c>
      <c r="M2227" s="2" t="n">
        <f aca="false">IF(G2227&lt;0,1,0)</f>
        <v>0</v>
      </c>
      <c r="N2227" s="2" t="str">
        <f aca="false">_xlfn.IFS(B2227&lt;30,"Under 30",B2227&lt;40,"30-39",B2227&lt;50,"40-49",B2227&lt;60,"50-59",TRUE(),"60+")</f>
        <v>30-39</v>
      </c>
      <c r="O2227" s="2" t="str">
        <f aca="false">_xlfn.IFS(G2227&lt;0,"1 Negative",G2227=0,"2 Zero",G2227&lt;=500,"3 1-500",G2227&lt;=2000,"4 501-2000",TRUE(),"5 Above 2000")</f>
        <v>3 1-500</v>
      </c>
      <c r="P2227" s="2" t="n">
        <f aca="false">Lookups!$B$2*M2227+Lookups!$B$3*L2227</f>
        <v>0</v>
      </c>
      <c r="Q2227" s="2" t="str">
        <f aca="false">INDEX(Lookups!$E$2:$E$5,MATCH(P2227,Lookups!$D$2:$D$5,0))</f>
        <v>Low</v>
      </c>
    </row>
    <row r="2228" customFormat="false" ht="15" hidden="false" customHeight="false" outlineLevel="0" collapsed="false">
      <c r="A2228" s="3" t="n">
        <v>2227</v>
      </c>
      <c r="B2228" s="3" t="n">
        <f aca="false">Raw_Data!A2228</f>
        <v>39</v>
      </c>
      <c r="C2228" s="3" t="str">
        <f aca="false">SUBSTITUTE(Raw_Data!B2228,".","")</f>
        <v>entrepreneur</v>
      </c>
      <c r="D2228" s="3" t="str">
        <f aca="false">Raw_Data!C2228</f>
        <v>married</v>
      </c>
      <c r="E2228" s="3" t="str">
        <f aca="false">Raw_Data!D2228</f>
        <v>tertiary</v>
      </c>
      <c r="F2228" s="3" t="str">
        <f aca="false">Raw_Data!E2228</f>
        <v>no</v>
      </c>
      <c r="G2228" s="3" t="n">
        <f aca="false">Raw_Data!F2228</f>
        <v>83</v>
      </c>
      <c r="H2228" s="3" t="str">
        <f aca="false">Raw_Data!G2228</f>
        <v>yes</v>
      </c>
      <c r="I2228" s="3" t="str">
        <f aca="false">Raw_Data!H2228</f>
        <v>no</v>
      </c>
      <c r="J2228" s="2" t="n">
        <f aca="false">IF(F2228="yes",1,0)</f>
        <v>0</v>
      </c>
      <c r="K2228" s="2" t="n">
        <f aca="false">IF(H2228="yes",1,0)</f>
        <v>1</v>
      </c>
      <c r="L2228" s="2" t="n">
        <f aca="false">IF(I2228="yes",1,0)</f>
        <v>0</v>
      </c>
      <c r="M2228" s="2" t="n">
        <f aca="false">IF(G2228&lt;0,1,0)</f>
        <v>0</v>
      </c>
      <c r="N2228" s="2" t="str">
        <f aca="false">_xlfn.IFS(B2228&lt;30,"Under 30",B2228&lt;40,"30-39",B2228&lt;50,"40-49",B2228&lt;60,"50-59",TRUE(),"60+")</f>
        <v>30-39</v>
      </c>
      <c r="O2228" s="2" t="str">
        <f aca="false">_xlfn.IFS(G2228&lt;0,"1 Negative",G2228=0,"2 Zero",G2228&lt;=500,"3 1-500",G2228&lt;=2000,"4 501-2000",TRUE(),"5 Above 2000")</f>
        <v>3 1-500</v>
      </c>
      <c r="P2228" s="2" t="n">
        <f aca="false">Lookups!$B$2*M2228+Lookups!$B$3*L2228</f>
        <v>0</v>
      </c>
      <c r="Q2228" s="2" t="str">
        <f aca="false">INDEX(Lookups!$E$2:$E$5,MATCH(P2228,Lookups!$D$2:$D$5,0))</f>
        <v>Low</v>
      </c>
    </row>
    <row r="2229" customFormat="false" ht="15" hidden="false" customHeight="false" outlineLevel="0" collapsed="false">
      <c r="A2229" s="3" t="n">
        <v>2228</v>
      </c>
      <c r="B2229" s="3" t="n">
        <f aca="false">Raw_Data!A2229</f>
        <v>34</v>
      </c>
      <c r="C2229" s="3" t="str">
        <f aca="false">SUBSTITUTE(Raw_Data!B2229,".","")</f>
        <v>management</v>
      </c>
      <c r="D2229" s="3" t="str">
        <f aca="false">Raw_Data!C2229</f>
        <v>single</v>
      </c>
      <c r="E2229" s="3" t="str">
        <f aca="false">Raw_Data!D2229</f>
        <v>tertiary</v>
      </c>
      <c r="F2229" s="3" t="str">
        <f aca="false">Raw_Data!E2229</f>
        <v>no</v>
      </c>
      <c r="G2229" s="3" t="n">
        <f aca="false">Raw_Data!F2229</f>
        <v>6766</v>
      </c>
      <c r="H2229" s="3" t="str">
        <f aca="false">Raw_Data!G2229</f>
        <v>no</v>
      </c>
      <c r="I2229" s="3" t="str">
        <f aca="false">Raw_Data!H2229</f>
        <v>no</v>
      </c>
      <c r="J2229" s="2" t="n">
        <f aca="false">IF(F2229="yes",1,0)</f>
        <v>0</v>
      </c>
      <c r="K2229" s="2" t="n">
        <f aca="false">IF(H2229="yes",1,0)</f>
        <v>0</v>
      </c>
      <c r="L2229" s="2" t="n">
        <f aca="false">IF(I2229="yes",1,0)</f>
        <v>0</v>
      </c>
      <c r="M2229" s="2" t="n">
        <f aca="false">IF(G2229&lt;0,1,0)</f>
        <v>0</v>
      </c>
      <c r="N2229" s="2" t="str">
        <f aca="false">_xlfn.IFS(B2229&lt;30,"Under 30",B2229&lt;40,"30-39",B2229&lt;50,"40-49",B2229&lt;60,"50-59",TRUE(),"60+")</f>
        <v>30-39</v>
      </c>
      <c r="O2229" s="2" t="str">
        <f aca="false">_xlfn.IFS(G2229&lt;0,"1 Negative",G2229=0,"2 Zero",G2229&lt;=500,"3 1-500",G2229&lt;=2000,"4 501-2000",TRUE(),"5 Above 2000")</f>
        <v>5 Above 2000</v>
      </c>
      <c r="P2229" s="2" t="n">
        <f aca="false">Lookups!$B$2*M2229+Lookups!$B$3*L2229</f>
        <v>0</v>
      </c>
      <c r="Q2229" s="2" t="str">
        <f aca="false">INDEX(Lookups!$E$2:$E$5,MATCH(P2229,Lookups!$D$2:$D$5,0))</f>
        <v>Low</v>
      </c>
    </row>
    <row r="2230" customFormat="false" ht="15" hidden="false" customHeight="false" outlineLevel="0" collapsed="false">
      <c r="A2230" s="3" t="n">
        <v>2229</v>
      </c>
      <c r="B2230" s="3" t="n">
        <f aca="false">Raw_Data!A2230</f>
        <v>47</v>
      </c>
      <c r="C2230" s="3" t="str">
        <f aca="false">SUBSTITUTE(Raw_Data!B2230,".","")</f>
        <v>technician</v>
      </c>
      <c r="D2230" s="3" t="str">
        <f aca="false">Raw_Data!C2230</f>
        <v>married</v>
      </c>
      <c r="E2230" s="3" t="str">
        <f aca="false">Raw_Data!D2230</f>
        <v>secondary</v>
      </c>
      <c r="F2230" s="3" t="str">
        <f aca="false">Raw_Data!E2230</f>
        <v>no</v>
      </c>
      <c r="G2230" s="3" t="n">
        <f aca="false">Raw_Data!F2230</f>
        <v>3973</v>
      </c>
      <c r="H2230" s="3" t="str">
        <f aca="false">Raw_Data!G2230</f>
        <v>no</v>
      </c>
      <c r="I2230" s="3" t="str">
        <f aca="false">Raw_Data!H2230</f>
        <v>no</v>
      </c>
      <c r="J2230" s="2" t="n">
        <f aca="false">IF(F2230="yes",1,0)</f>
        <v>0</v>
      </c>
      <c r="K2230" s="2" t="n">
        <f aca="false">IF(H2230="yes",1,0)</f>
        <v>0</v>
      </c>
      <c r="L2230" s="2" t="n">
        <f aca="false">IF(I2230="yes",1,0)</f>
        <v>0</v>
      </c>
      <c r="M2230" s="2" t="n">
        <f aca="false">IF(G2230&lt;0,1,0)</f>
        <v>0</v>
      </c>
      <c r="N2230" s="2" t="str">
        <f aca="false">_xlfn.IFS(B2230&lt;30,"Under 30",B2230&lt;40,"30-39",B2230&lt;50,"40-49",B2230&lt;60,"50-59",TRUE(),"60+")</f>
        <v>40-49</v>
      </c>
      <c r="O2230" s="2" t="str">
        <f aca="false">_xlfn.IFS(G2230&lt;0,"1 Negative",G2230=0,"2 Zero",G2230&lt;=500,"3 1-500",G2230&lt;=2000,"4 501-2000",TRUE(),"5 Above 2000")</f>
        <v>5 Above 2000</v>
      </c>
      <c r="P2230" s="2" t="n">
        <f aca="false">Lookups!$B$2*M2230+Lookups!$B$3*L2230</f>
        <v>0</v>
      </c>
      <c r="Q2230" s="2" t="str">
        <f aca="false">INDEX(Lookups!$E$2:$E$5,MATCH(P2230,Lookups!$D$2:$D$5,0))</f>
        <v>Low</v>
      </c>
    </row>
    <row r="2231" customFormat="false" ht="15" hidden="false" customHeight="false" outlineLevel="0" collapsed="false">
      <c r="A2231" s="3" t="n">
        <v>2230</v>
      </c>
      <c r="B2231" s="3" t="n">
        <f aca="false">Raw_Data!A2231</f>
        <v>42</v>
      </c>
      <c r="C2231" s="3" t="str">
        <f aca="false">SUBSTITUTE(Raw_Data!B2231,".","")</f>
        <v>services</v>
      </c>
      <c r="D2231" s="3" t="str">
        <f aca="false">Raw_Data!C2231</f>
        <v>divorced</v>
      </c>
      <c r="E2231" s="3" t="str">
        <f aca="false">Raw_Data!D2231</f>
        <v>secondary</v>
      </c>
      <c r="F2231" s="3" t="str">
        <f aca="false">Raw_Data!E2231</f>
        <v>no</v>
      </c>
      <c r="G2231" s="3" t="n">
        <f aca="false">Raw_Data!F2231</f>
        <v>372</v>
      </c>
      <c r="H2231" s="3" t="str">
        <f aca="false">Raw_Data!G2231</f>
        <v>yes</v>
      </c>
      <c r="I2231" s="3" t="str">
        <f aca="false">Raw_Data!H2231</f>
        <v>yes</v>
      </c>
      <c r="J2231" s="2" t="n">
        <f aca="false">IF(F2231="yes",1,0)</f>
        <v>0</v>
      </c>
      <c r="K2231" s="2" t="n">
        <f aca="false">IF(H2231="yes",1,0)</f>
        <v>1</v>
      </c>
      <c r="L2231" s="2" t="n">
        <f aca="false">IF(I2231="yes",1,0)</f>
        <v>1</v>
      </c>
      <c r="M2231" s="2" t="n">
        <f aca="false">IF(G2231&lt;0,1,0)</f>
        <v>0</v>
      </c>
      <c r="N2231" s="2" t="str">
        <f aca="false">_xlfn.IFS(B2231&lt;30,"Under 30",B2231&lt;40,"30-39",B2231&lt;50,"40-49",B2231&lt;60,"50-59",TRUE(),"60+")</f>
        <v>40-49</v>
      </c>
      <c r="O2231" s="2" t="str">
        <f aca="false">_xlfn.IFS(G2231&lt;0,"1 Negative",G2231=0,"2 Zero",G2231&lt;=500,"3 1-500",G2231&lt;=2000,"4 501-2000",TRUE(),"5 Above 2000")</f>
        <v>3 1-500</v>
      </c>
      <c r="P2231" s="2" t="n">
        <f aca="false">Lookups!$B$2*M2231+Lookups!$B$3*L2231</f>
        <v>1</v>
      </c>
      <c r="Q2231" s="2" t="str">
        <f aca="false">INDEX(Lookups!$E$2:$E$5,MATCH(P2231,Lookups!$D$2:$D$5,0))</f>
        <v>Medium</v>
      </c>
    </row>
    <row r="2232" customFormat="false" ht="15" hidden="false" customHeight="false" outlineLevel="0" collapsed="false">
      <c r="A2232" s="3" t="n">
        <v>2231</v>
      </c>
      <c r="B2232" s="3" t="n">
        <f aca="false">Raw_Data!A2232</f>
        <v>48</v>
      </c>
      <c r="C2232" s="3" t="str">
        <f aca="false">SUBSTITUTE(Raw_Data!B2232,".","")</f>
        <v>blue-collar</v>
      </c>
      <c r="D2232" s="3" t="str">
        <f aca="false">Raw_Data!C2232</f>
        <v>single</v>
      </c>
      <c r="E2232" s="3" t="str">
        <f aca="false">Raw_Data!D2232</f>
        <v>secondary</v>
      </c>
      <c r="F2232" s="3" t="str">
        <f aca="false">Raw_Data!E2232</f>
        <v>no</v>
      </c>
      <c r="G2232" s="3" t="n">
        <f aca="false">Raw_Data!F2232</f>
        <v>-552</v>
      </c>
      <c r="H2232" s="3" t="str">
        <f aca="false">Raw_Data!G2232</f>
        <v>no</v>
      </c>
      <c r="I2232" s="3" t="str">
        <f aca="false">Raw_Data!H2232</f>
        <v>yes</v>
      </c>
      <c r="J2232" s="2" t="n">
        <f aca="false">IF(F2232="yes",1,0)</f>
        <v>0</v>
      </c>
      <c r="K2232" s="2" t="n">
        <f aca="false">IF(H2232="yes",1,0)</f>
        <v>0</v>
      </c>
      <c r="L2232" s="2" t="n">
        <f aca="false">IF(I2232="yes",1,0)</f>
        <v>1</v>
      </c>
      <c r="M2232" s="2" t="n">
        <f aca="false">IF(G2232&lt;0,1,0)</f>
        <v>1</v>
      </c>
      <c r="N2232" s="2" t="str">
        <f aca="false">_xlfn.IFS(B2232&lt;30,"Under 30",B2232&lt;40,"30-39",B2232&lt;50,"40-49",B2232&lt;60,"50-59",TRUE(),"60+")</f>
        <v>40-49</v>
      </c>
      <c r="O2232" s="2" t="str">
        <f aca="false">_xlfn.IFS(G2232&lt;0,"1 Negative",G2232=0,"2 Zero",G2232&lt;=500,"3 1-500",G2232&lt;=2000,"4 501-2000",TRUE(),"5 Above 2000")</f>
        <v>1 Negative</v>
      </c>
      <c r="P2232" s="2" t="n">
        <f aca="false">Lookups!$B$2*M2232+Lookups!$B$3*L2232</f>
        <v>3</v>
      </c>
      <c r="Q2232" s="2" t="str">
        <f aca="false">INDEX(Lookups!$E$2:$E$5,MATCH(P2232,Lookups!$D$2:$D$5,0))</f>
        <v>High</v>
      </c>
    </row>
    <row r="2233" customFormat="false" ht="15" hidden="false" customHeight="false" outlineLevel="0" collapsed="false">
      <c r="A2233" s="3" t="n">
        <v>2232</v>
      </c>
      <c r="B2233" s="3" t="n">
        <f aca="false">Raw_Data!A2233</f>
        <v>30</v>
      </c>
      <c r="C2233" s="3" t="str">
        <f aca="false">SUBSTITUTE(Raw_Data!B2233,".","")</f>
        <v>self-employed</v>
      </c>
      <c r="D2233" s="3" t="str">
        <f aca="false">Raw_Data!C2233</f>
        <v>single</v>
      </c>
      <c r="E2233" s="3" t="str">
        <f aca="false">Raw_Data!D2233</f>
        <v>tertiary</v>
      </c>
      <c r="F2233" s="3" t="str">
        <f aca="false">Raw_Data!E2233</f>
        <v>no</v>
      </c>
      <c r="G2233" s="3" t="n">
        <f aca="false">Raw_Data!F2233</f>
        <v>48</v>
      </c>
      <c r="H2233" s="3" t="str">
        <f aca="false">Raw_Data!G2233</f>
        <v>no</v>
      </c>
      <c r="I2233" s="3" t="str">
        <f aca="false">Raw_Data!H2233</f>
        <v>no</v>
      </c>
      <c r="J2233" s="2" t="n">
        <f aca="false">IF(F2233="yes",1,0)</f>
        <v>0</v>
      </c>
      <c r="K2233" s="2" t="n">
        <f aca="false">IF(H2233="yes",1,0)</f>
        <v>0</v>
      </c>
      <c r="L2233" s="2" t="n">
        <f aca="false">IF(I2233="yes",1,0)</f>
        <v>0</v>
      </c>
      <c r="M2233" s="2" t="n">
        <f aca="false">IF(G2233&lt;0,1,0)</f>
        <v>0</v>
      </c>
      <c r="N2233" s="2" t="str">
        <f aca="false">_xlfn.IFS(B2233&lt;30,"Under 30",B2233&lt;40,"30-39",B2233&lt;50,"40-49",B2233&lt;60,"50-59",TRUE(),"60+")</f>
        <v>30-39</v>
      </c>
      <c r="O2233" s="2" t="str">
        <f aca="false">_xlfn.IFS(G2233&lt;0,"1 Negative",G2233=0,"2 Zero",G2233&lt;=500,"3 1-500",G2233&lt;=2000,"4 501-2000",TRUE(),"5 Above 2000")</f>
        <v>3 1-500</v>
      </c>
      <c r="P2233" s="2" t="n">
        <f aca="false">Lookups!$B$2*M2233+Lookups!$B$3*L2233</f>
        <v>0</v>
      </c>
      <c r="Q2233" s="2" t="str">
        <f aca="false">INDEX(Lookups!$E$2:$E$5,MATCH(P2233,Lookups!$D$2:$D$5,0))</f>
        <v>Low</v>
      </c>
    </row>
    <row r="2234" customFormat="false" ht="15" hidden="false" customHeight="false" outlineLevel="0" collapsed="false">
      <c r="A2234" s="3" t="n">
        <v>2233</v>
      </c>
      <c r="B2234" s="3" t="n">
        <f aca="false">Raw_Data!A2234</f>
        <v>38</v>
      </c>
      <c r="C2234" s="3" t="str">
        <f aca="false">SUBSTITUTE(Raw_Data!B2234,".","")</f>
        <v>technician</v>
      </c>
      <c r="D2234" s="3" t="str">
        <f aca="false">Raw_Data!C2234</f>
        <v>married</v>
      </c>
      <c r="E2234" s="3" t="str">
        <f aca="false">Raw_Data!D2234</f>
        <v>secondary</v>
      </c>
      <c r="F2234" s="3" t="str">
        <f aca="false">Raw_Data!E2234</f>
        <v>no</v>
      </c>
      <c r="G2234" s="3" t="n">
        <f aca="false">Raw_Data!F2234</f>
        <v>7696</v>
      </c>
      <c r="H2234" s="3" t="str">
        <f aca="false">Raw_Data!G2234</f>
        <v>yes</v>
      </c>
      <c r="I2234" s="3" t="str">
        <f aca="false">Raw_Data!H2234</f>
        <v>no</v>
      </c>
      <c r="J2234" s="2" t="n">
        <f aca="false">IF(F2234="yes",1,0)</f>
        <v>0</v>
      </c>
      <c r="K2234" s="2" t="n">
        <f aca="false">IF(H2234="yes",1,0)</f>
        <v>1</v>
      </c>
      <c r="L2234" s="2" t="n">
        <f aca="false">IF(I2234="yes",1,0)</f>
        <v>0</v>
      </c>
      <c r="M2234" s="2" t="n">
        <f aca="false">IF(G2234&lt;0,1,0)</f>
        <v>0</v>
      </c>
      <c r="N2234" s="2" t="str">
        <f aca="false">_xlfn.IFS(B2234&lt;30,"Under 30",B2234&lt;40,"30-39",B2234&lt;50,"40-49",B2234&lt;60,"50-59",TRUE(),"60+")</f>
        <v>30-39</v>
      </c>
      <c r="O2234" s="2" t="str">
        <f aca="false">_xlfn.IFS(G2234&lt;0,"1 Negative",G2234=0,"2 Zero",G2234&lt;=500,"3 1-500",G2234&lt;=2000,"4 501-2000",TRUE(),"5 Above 2000")</f>
        <v>5 Above 2000</v>
      </c>
      <c r="P2234" s="2" t="n">
        <f aca="false">Lookups!$B$2*M2234+Lookups!$B$3*L2234</f>
        <v>0</v>
      </c>
      <c r="Q2234" s="2" t="str">
        <f aca="false">INDEX(Lookups!$E$2:$E$5,MATCH(P2234,Lookups!$D$2:$D$5,0))</f>
        <v>Low</v>
      </c>
    </row>
    <row r="2235" customFormat="false" ht="15" hidden="false" customHeight="false" outlineLevel="0" collapsed="false">
      <c r="A2235" s="3" t="n">
        <v>2234</v>
      </c>
      <c r="B2235" s="3" t="n">
        <f aca="false">Raw_Data!A2235</f>
        <v>24</v>
      </c>
      <c r="C2235" s="3" t="str">
        <f aca="false">SUBSTITUTE(Raw_Data!B2235,".","")</f>
        <v>services</v>
      </c>
      <c r="D2235" s="3" t="str">
        <f aca="false">Raw_Data!C2235</f>
        <v>married</v>
      </c>
      <c r="E2235" s="3" t="str">
        <f aca="false">Raw_Data!D2235</f>
        <v>secondary</v>
      </c>
      <c r="F2235" s="3" t="str">
        <f aca="false">Raw_Data!E2235</f>
        <v>no</v>
      </c>
      <c r="G2235" s="3" t="n">
        <f aca="false">Raw_Data!F2235</f>
        <v>4500</v>
      </c>
      <c r="H2235" s="3" t="str">
        <f aca="false">Raw_Data!G2235</f>
        <v>yes</v>
      </c>
      <c r="I2235" s="3" t="str">
        <f aca="false">Raw_Data!H2235</f>
        <v>no</v>
      </c>
      <c r="J2235" s="2" t="n">
        <f aca="false">IF(F2235="yes",1,0)</f>
        <v>0</v>
      </c>
      <c r="K2235" s="2" t="n">
        <f aca="false">IF(H2235="yes",1,0)</f>
        <v>1</v>
      </c>
      <c r="L2235" s="2" t="n">
        <f aca="false">IF(I2235="yes",1,0)</f>
        <v>0</v>
      </c>
      <c r="M2235" s="2" t="n">
        <f aca="false">IF(G2235&lt;0,1,0)</f>
        <v>0</v>
      </c>
      <c r="N2235" s="2" t="str">
        <f aca="false">_xlfn.IFS(B2235&lt;30,"Under 30",B2235&lt;40,"30-39",B2235&lt;50,"40-49",B2235&lt;60,"50-59",TRUE(),"60+")</f>
        <v>Under 30</v>
      </c>
      <c r="O2235" s="2" t="str">
        <f aca="false">_xlfn.IFS(G2235&lt;0,"1 Negative",G2235=0,"2 Zero",G2235&lt;=500,"3 1-500",G2235&lt;=2000,"4 501-2000",TRUE(),"5 Above 2000")</f>
        <v>5 Above 2000</v>
      </c>
      <c r="P2235" s="2" t="n">
        <f aca="false">Lookups!$B$2*M2235+Lookups!$B$3*L2235</f>
        <v>0</v>
      </c>
      <c r="Q2235" s="2" t="str">
        <f aca="false">INDEX(Lookups!$E$2:$E$5,MATCH(P2235,Lookups!$D$2:$D$5,0))</f>
        <v>Low</v>
      </c>
    </row>
    <row r="2236" customFormat="false" ht="15" hidden="false" customHeight="false" outlineLevel="0" collapsed="false">
      <c r="A2236" s="3" t="n">
        <v>2235</v>
      </c>
      <c r="B2236" s="3" t="n">
        <f aca="false">Raw_Data!A2236</f>
        <v>34</v>
      </c>
      <c r="C2236" s="3" t="str">
        <f aca="false">SUBSTITUTE(Raw_Data!B2236,".","")</f>
        <v>technician</v>
      </c>
      <c r="D2236" s="3" t="str">
        <f aca="false">Raw_Data!C2236</f>
        <v>married</v>
      </c>
      <c r="E2236" s="3" t="str">
        <f aca="false">Raw_Data!D2236</f>
        <v>secondary</v>
      </c>
      <c r="F2236" s="3" t="str">
        <f aca="false">Raw_Data!E2236</f>
        <v>no</v>
      </c>
      <c r="G2236" s="3" t="n">
        <f aca="false">Raw_Data!F2236</f>
        <v>1</v>
      </c>
      <c r="H2236" s="3" t="str">
        <f aca="false">Raw_Data!G2236</f>
        <v>yes</v>
      </c>
      <c r="I2236" s="3" t="str">
        <f aca="false">Raw_Data!H2236</f>
        <v>no</v>
      </c>
      <c r="J2236" s="2" t="n">
        <f aca="false">IF(F2236="yes",1,0)</f>
        <v>0</v>
      </c>
      <c r="K2236" s="2" t="n">
        <f aca="false">IF(H2236="yes",1,0)</f>
        <v>1</v>
      </c>
      <c r="L2236" s="2" t="n">
        <f aca="false">IF(I2236="yes",1,0)</f>
        <v>0</v>
      </c>
      <c r="M2236" s="2" t="n">
        <f aca="false">IF(G2236&lt;0,1,0)</f>
        <v>0</v>
      </c>
      <c r="N2236" s="2" t="str">
        <f aca="false">_xlfn.IFS(B2236&lt;30,"Under 30",B2236&lt;40,"30-39",B2236&lt;50,"40-49",B2236&lt;60,"50-59",TRUE(),"60+")</f>
        <v>30-39</v>
      </c>
      <c r="O2236" s="2" t="str">
        <f aca="false">_xlfn.IFS(G2236&lt;0,"1 Negative",G2236=0,"2 Zero",G2236&lt;=500,"3 1-500",G2236&lt;=2000,"4 501-2000",TRUE(),"5 Above 2000")</f>
        <v>3 1-500</v>
      </c>
      <c r="P2236" s="2" t="n">
        <f aca="false">Lookups!$B$2*M2236+Lookups!$B$3*L2236</f>
        <v>0</v>
      </c>
      <c r="Q2236" s="2" t="str">
        <f aca="false">INDEX(Lookups!$E$2:$E$5,MATCH(P2236,Lookups!$D$2:$D$5,0))</f>
        <v>Low</v>
      </c>
    </row>
    <row r="2237" customFormat="false" ht="15" hidden="false" customHeight="false" outlineLevel="0" collapsed="false">
      <c r="A2237" s="3" t="n">
        <v>2236</v>
      </c>
      <c r="B2237" s="3" t="n">
        <f aca="false">Raw_Data!A2237</f>
        <v>46</v>
      </c>
      <c r="C2237" s="3" t="str">
        <f aca="false">SUBSTITUTE(Raw_Data!B2237,".","")</f>
        <v>management</v>
      </c>
      <c r="D2237" s="3" t="str">
        <f aca="false">Raw_Data!C2237</f>
        <v>single</v>
      </c>
      <c r="E2237" s="3" t="str">
        <f aca="false">Raw_Data!D2237</f>
        <v>tertiary</v>
      </c>
      <c r="F2237" s="3" t="str">
        <f aca="false">Raw_Data!E2237</f>
        <v>no</v>
      </c>
      <c r="G2237" s="3" t="n">
        <f aca="false">Raw_Data!F2237</f>
        <v>46</v>
      </c>
      <c r="H2237" s="3" t="str">
        <f aca="false">Raw_Data!G2237</f>
        <v>no</v>
      </c>
      <c r="I2237" s="3" t="str">
        <f aca="false">Raw_Data!H2237</f>
        <v>yes</v>
      </c>
      <c r="J2237" s="2" t="n">
        <f aca="false">IF(F2237="yes",1,0)</f>
        <v>0</v>
      </c>
      <c r="K2237" s="2" t="n">
        <f aca="false">IF(H2237="yes",1,0)</f>
        <v>0</v>
      </c>
      <c r="L2237" s="2" t="n">
        <f aca="false">IF(I2237="yes",1,0)</f>
        <v>1</v>
      </c>
      <c r="M2237" s="2" t="n">
        <f aca="false">IF(G2237&lt;0,1,0)</f>
        <v>0</v>
      </c>
      <c r="N2237" s="2" t="str">
        <f aca="false">_xlfn.IFS(B2237&lt;30,"Under 30",B2237&lt;40,"30-39",B2237&lt;50,"40-49",B2237&lt;60,"50-59",TRUE(),"60+")</f>
        <v>40-49</v>
      </c>
      <c r="O2237" s="2" t="str">
        <f aca="false">_xlfn.IFS(G2237&lt;0,"1 Negative",G2237=0,"2 Zero",G2237&lt;=500,"3 1-500",G2237&lt;=2000,"4 501-2000",TRUE(),"5 Above 2000")</f>
        <v>3 1-500</v>
      </c>
      <c r="P2237" s="2" t="n">
        <f aca="false">Lookups!$B$2*M2237+Lookups!$B$3*L2237</f>
        <v>1</v>
      </c>
      <c r="Q2237" s="2" t="str">
        <f aca="false">INDEX(Lookups!$E$2:$E$5,MATCH(P2237,Lookups!$D$2:$D$5,0))</f>
        <v>Medium</v>
      </c>
    </row>
    <row r="2238" customFormat="false" ht="15" hidden="false" customHeight="false" outlineLevel="0" collapsed="false">
      <c r="A2238" s="3" t="n">
        <v>2237</v>
      </c>
      <c r="B2238" s="3" t="n">
        <f aca="false">Raw_Data!A2238</f>
        <v>32</v>
      </c>
      <c r="C2238" s="3" t="str">
        <f aca="false">SUBSTITUTE(Raw_Data!B2238,".","")</f>
        <v>admin</v>
      </c>
      <c r="D2238" s="3" t="str">
        <f aca="false">Raw_Data!C2238</f>
        <v>divorced</v>
      </c>
      <c r="E2238" s="3" t="str">
        <f aca="false">Raw_Data!D2238</f>
        <v>secondary</v>
      </c>
      <c r="F2238" s="3" t="str">
        <f aca="false">Raw_Data!E2238</f>
        <v>yes</v>
      </c>
      <c r="G2238" s="3" t="n">
        <f aca="false">Raw_Data!F2238</f>
        <v>-18</v>
      </c>
      <c r="H2238" s="3" t="str">
        <f aca="false">Raw_Data!G2238</f>
        <v>yes</v>
      </c>
      <c r="I2238" s="3" t="str">
        <f aca="false">Raw_Data!H2238</f>
        <v>no</v>
      </c>
      <c r="J2238" s="2" t="n">
        <f aca="false">IF(F2238="yes",1,0)</f>
        <v>1</v>
      </c>
      <c r="K2238" s="2" t="n">
        <f aca="false">IF(H2238="yes",1,0)</f>
        <v>1</v>
      </c>
      <c r="L2238" s="2" t="n">
        <f aca="false">IF(I2238="yes",1,0)</f>
        <v>0</v>
      </c>
      <c r="M2238" s="2" t="n">
        <f aca="false">IF(G2238&lt;0,1,0)</f>
        <v>1</v>
      </c>
      <c r="N2238" s="2" t="str">
        <f aca="false">_xlfn.IFS(B2238&lt;30,"Under 30",B2238&lt;40,"30-39",B2238&lt;50,"40-49",B2238&lt;60,"50-59",TRUE(),"60+")</f>
        <v>30-39</v>
      </c>
      <c r="O2238" s="2" t="str">
        <f aca="false">_xlfn.IFS(G2238&lt;0,"1 Negative",G2238=0,"2 Zero",G2238&lt;=500,"3 1-500",G2238&lt;=2000,"4 501-2000",TRUE(),"5 Above 2000")</f>
        <v>1 Negative</v>
      </c>
      <c r="P2238" s="2" t="n">
        <f aca="false">Lookups!$B$2*M2238+Lookups!$B$3*L2238</f>
        <v>2</v>
      </c>
      <c r="Q2238" s="2" t="str">
        <f aca="false">INDEX(Lookups!$E$2:$E$5,MATCH(P2238,Lookups!$D$2:$D$5,0))</f>
        <v>High</v>
      </c>
    </row>
    <row r="2239" customFormat="false" ht="15" hidden="false" customHeight="false" outlineLevel="0" collapsed="false">
      <c r="A2239" s="3" t="n">
        <v>2238</v>
      </c>
      <c r="B2239" s="3" t="n">
        <f aca="false">Raw_Data!A2239</f>
        <v>46</v>
      </c>
      <c r="C2239" s="3" t="str">
        <f aca="false">SUBSTITUTE(Raw_Data!B2239,".","")</f>
        <v>services</v>
      </c>
      <c r="D2239" s="3" t="str">
        <f aca="false">Raw_Data!C2239</f>
        <v>married</v>
      </c>
      <c r="E2239" s="3" t="str">
        <f aca="false">Raw_Data!D2239</f>
        <v>secondary</v>
      </c>
      <c r="F2239" s="3" t="str">
        <f aca="false">Raw_Data!E2239</f>
        <v>no</v>
      </c>
      <c r="G2239" s="3" t="n">
        <f aca="false">Raw_Data!F2239</f>
        <v>451</v>
      </c>
      <c r="H2239" s="3" t="str">
        <f aca="false">Raw_Data!G2239</f>
        <v>yes</v>
      </c>
      <c r="I2239" s="3" t="str">
        <f aca="false">Raw_Data!H2239</f>
        <v>yes</v>
      </c>
      <c r="J2239" s="2" t="n">
        <f aca="false">IF(F2239="yes",1,0)</f>
        <v>0</v>
      </c>
      <c r="K2239" s="2" t="n">
        <f aca="false">IF(H2239="yes",1,0)</f>
        <v>1</v>
      </c>
      <c r="L2239" s="2" t="n">
        <f aca="false">IF(I2239="yes",1,0)</f>
        <v>1</v>
      </c>
      <c r="M2239" s="2" t="n">
        <f aca="false">IF(G2239&lt;0,1,0)</f>
        <v>0</v>
      </c>
      <c r="N2239" s="2" t="str">
        <f aca="false">_xlfn.IFS(B2239&lt;30,"Under 30",B2239&lt;40,"30-39",B2239&lt;50,"40-49",B2239&lt;60,"50-59",TRUE(),"60+")</f>
        <v>40-49</v>
      </c>
      <c r="O2239" s="2" t="str">
        <f aca="false">_xlfn.IFS(G2239&lt;0,"1 Negative",G2239=0,"2 Zero",G2239&lt;=500,"3 1-500",G2239&lt;=2000,"4 501-2000",TRUE(),"5 Above 2000")</f>
        <v>3 1-500</v>
      </c>
      <c r="P2239" s="2" t="n">
        <f aca="false">Lookups!$B$2*M2239+Lookups!$B$3*L2239</f>
        <v>1</v>
      </c>
      <c r="Q2239" s="2" t="str">
        <f aca="false">INDEX(Lookups!$E$2:$E$5,MATCH(P2239,Lookups!$D$2:$D$5,0))</f>
        <v>Medium</v>
      </c>
    </row>
    <row r="2240" customFormat="false" ht="15" hidden="false" customHeight="false" outlineLevel="0" collapsed="false">
      <c r="A2240" s="3" t="n">
        <v>2239</v>
      </c>
      <c r="B2240" s="3" t="n">
        <f aca="false">Raw_Data!A2240</f>
        <v>26</v>
      </c>
      <c r="C2240" s="3" t="str">
        <f aca="false">SUBSTITUTE(Raw_Data!B2240,".","")</f>
        <v>self-employed</v>
      </c>
      <c r="D2240" s="3" t="str">
        <f aca="false">Raw_Data!C2240</f>
        <v>married</v>
      </c>
      <c r="E2240" s="3" t="str">
        <f aca="false">Raw_Data!D2240</f>
        <v>tertiary</v>
      </c>
      <c r="F2240" s="3" t="str">
        <f aca="false">Raw_Data!E2240</f>
        <v>no</v>
      </c>
      <c r="G2240" s="3" t="n">
        <f aca="false">Raw_Data!F2240</f>
        <v>479</v>
      </c>
      <c r="H2240" s="3" t="str">
        <f aca="false">Raw_Data!G2240</f>
        <v>yes</v>
      </c>
      <c r="I2240" s="3" t="str">
        <f aca="false">Raw_Data!H2240</f>
        <v>no</v>
      </c>
      <c r="J2240" s="2" t="n">
        <f aca="false">IF(F2240="yes",1,0)</f>
        <v>0</v>
      </c>
      <c r="K2240" s="2" t="n">
        <f aca="false">IF(H2240="yes",1,0)</f>
        <v>1</v>
      </c>
      <c r="L2240" s="2" t="n">
        <f aca="false">IF(I2240="yes",1,0)</f>
        <v>0</v>
      </c>
      <c r="M2240" s="2" t="n">
        <f aca="false">IF(G2240&lt;0,1,0)</f>
        <v>0</v>
      </c>
      <c r="N2240" s="2" t="str">
        <f aca="false">_xlfn.IFS(B2240&lt;30,"Under 30",B2240&lt;40,"30-39",B2240&lt;50,"40-49",B2240&lt;60,"50-59",TRUE(),"60+")</f>
        <v>Under 30</v>
      </c>
      <c r="O2240" s="2" t="str">
        <f aca="false">_xlfn.IFS(G2240&lt;0,"1 Negative",G2240=0,"2 Zero",G2240&lt;=500,"3 1-500",G2240&lt;=2000,"4 501-2000",TRUE(),"5 Above 2000")</f>
        <v>3 1-500</v>
      </c>
      <c r="P2240" s="2" t="n">
        <f aca="false">Lookups!$B$2*M2240+Lookups!$B$3*L2240</f>
        <v>0</v>
      </c>
      <c r="Q2240" s="2" t="str">
        <f aca="false">INDEX(Lookups!$E$2:$E$5,MATCH(P2240,Lookups!$D$2:$D$5,0))</f>
        <v>Low</v>
      </c>
    </row>
    <row r="2241" customFormat="false" ht="15" hidden="false" customHeight="false" outlineLevel="0" collapsed="false">
      <c r="A2241" s="3" t="n">
        <v>2240</v>
      </c>
      <c r="B2241" s="3" t="n">
        <f aca="false">Raw_Data!A2241</f>
        <v>42</v>
      </c>
      <c r="C2241" s="3" t="str">
        <f aca="false">SUBSTITUTE(Raw_Data!B2241,".","")</f>
        <v>blue-collar</v>
      </c>
      <c r="D2241" s="3" t="str">
        <f aca="false">Raw_Data!C2241</f>
        <v>married</v>
      </c>
      <c r="E2241" s="3" t="str">
        <f aca="false">Raw_Data!D2241</f>
        <v>secondary</v>
      </c>
      <c r="F2241" s="3" t="str">
        <f aca="false">Raw_Data!E2241</f>
        <v>no</v>
      </c>
      <c r="G2241" s="3" t="n">
        <f aca="false">Raw_Data!F2241</f>
        <v>0</v>
      </c>
      <c r="H2241" s="3" t="str">
        <f aca="false">Raw_Data!G2241</f>
        <v>yes</v>
      </c>
      <c r="I2241" s="3" t="str">
        <f aca="false">Raw_Data!H2241</f>
        <v>no</v>
      </c>
      <c r="J2241" s="2" t="n">
        <f aca="false">IF(F2241="yes",1,0)</f>
        <v>0</v>
      </c>
      <c r="K2241" s="2" t="n">
        <f aca="false">IF(H2241="yes",1,0)</f>
        <v>1</v>
      </c>
      <c r="L2241" s="2" t="n">
        <f aca="false">IF(I2241="yes",1,0)</f>
        <v>0</v>
      </c>
      <c r="M2241" s="2" t="n">
        <f aca="false">IF(G2241&lt;0,1,0)</f>
        <v>0</v>
      </c>
      <c r="N2241" s="2" t="str">
        <f aca="false">_xlfn.IFS(B2241&lt;30,"Under 30",B2241&lt;40,"30-39",B2241&lt;50,"40-49",B2241&lt;60,"50-59",TRUE(),"60+")</f>
        <v>40-49</v>
      </c>
      <c r="O2241" s="2" t="str">
        <f aca="false">_xlfn.IFS(G2241&lt;0,"1 Negative",G2241=0,"2 Zero",G2241&lt;=500,"3 1-500",G2241&lt;=2000,"4 501-2000",TRUE(),"5 Above 2000")</f>
        <v>2 Zero</v>
      </c>
      <c r="P2241" s="2" t="n">
        <f aca="false">Lookups!$B$2*M2241+Lookups!$B$3*L2241</f>
        <v>0</v>
      </c>
      <c r="Q2241" s="2" t="str">
        <f aca="false">INDEX(Lookups!$E$2:$E$5,MATCH(P2241,Lookups!$D$2:$D$5,0))</f>
        <v>Low</v>
      </c>
    </row>
    <row r="2242" customFormat="false" ht="15" hidden="false" customHeight="false" outlineLevel="0" collapsed="false">
      <c r="A2242" s="3" t="n">
        <v>2241</v>
      </c>
      <c r="B2242" s="3" t="n">
        <f aca="false">Raw_Data!A2242</f>
        <v>50</v>
      </c>
      <c r="C2242" s="3" t="str">
        <f aca="false">SUBSTITUTE(Raw_Data!B2242,".","")</f>
        <v>technician</v>
      </c>
      <c r="D2242" s="3" t="str">
        <f aca="false">Raw_Data!C2242</f>
        <v>married</v>
      </c>
      <c r="E2242" s="3" t="str">
        <f aca="false">Raw_Data!D2242</f>
        <v>secondary</v>
      </c>
      <c r="F2242" s="3" t="str">
        <f aca="false">Raw_Data!E2242</f>
        <v>no</v>
      </c>
      <c r="G2242" s="3" t="n">
        <f aca="false">Raw_Data!F2242</f>
        <v>1130</v>
      </c>
      <c r="H2242" s="3" t="str">
        <f aca="false">Raw_Data!G2242</f>
        <v>yes</v>
      </c>
      <c r="I2242" s="3" t="str">
        <f aca="false">Raw_Data!H2242</f>
        <v>no</v>
      </c>
      <c r="J2242" s="2" t="n">
        <f aca="false">IF(F2242="yes",1,0)</f>
        <v>0</v>
      </c>
      <c r="K2242" s="2" t="n">
        <f aca="false">IF(H2242="yes",1,0)</f>
        <v>1</v>
      </c>
      <c r="L2242" s="2" t="n">
        <f aca="false">IF(I2242="yes",1,0)</f>
        <v>0</v>
      </c>
      <c r="M2242" s="2" t="n">
        <f aca="false">IF(G2242&lt;0,1,0)</f>
        <v>0</v>
      </c>
      <c r="N2242" s="2" t="str">
        <f aca="false">_xlfn.IFS(B2242&lt;30,"Under 30",B2242&lt;40,"30-39",B2242&lt;50,"40-49",B2242&lt;60,"50-59",TRUE(),"60+")</f>
        <v>50-59</v>
      </c>
      <c r="O2242" s="2" t="str">
        <f aca="false">_xlfn.IFS(G2242&lt;0,"1 Negative",G2242=0,"2 Zero",G2242&lt;=500,"3 1-500",G2242&lt;=2000,"4 501-2000",TRUE(),"5 Above 2000")</f>
        <v>4 501-2000</v>
      </c>
      <c r="P2242" s="2" t="n">
        <f aca="false">Lookups!$B$2*M2242+Lookups!$B$3*L2242</f>
        <v>0</v>
      </c>
      <c r="Q2242" s="2" t="str">
        <f aca="false">INDEX(Lookups!$E$2:$E$5,MATCH(P2242,Lookups!$D$2:$D$5,0))</f>
        <v>Low</v>
      </c>
    </row>
    <row r="2243" customFormat="false" ht="15" hidden="false" customHeight="false" outlineLevel="0" collapsed="false">
      <c r="A2243" s="3" t="n">
        <v>2242</v>
      </c>
      <c r="B2243" s="3" t="n">
        <f aca="false">Raw_Data!A2243</f>
        <v>41</v>
      </c>
      <c r="C2243" s="3" t="str">
        <f aca="false">SUBSTITUTE(Raw_Data!B2243,".","")</f>
        <v>blue-collar</v>
      </c>
      <c r="D2243" s="3" t="str">
        <f aca="false">Raw_Data!C2243</f>
        <v>married</v>
      </c>
      <c r="E2243" s="3" t="str">
        <f aca="false">Raw_Data!D2243</f>
        <v>primary</v>
      </c>
      <c r="F2243" s="3" t="str">
        <f aca="false">Raw_Data!E2243</f>
        <v>no</v>
      </c>
      <c r="G2243" s="3" t="n">
        <f aca="false">Raw_Data!F2243</f>
        <v>389</v>
      </c>
      <c r="H2243" s="3" t="str">
        <f aca="false">Raw_Data!G2243</f>
        <v>yes</v>
      </c>
      <c r="I2243" s="3" t="str">
        <f aca="false">Raw_Data!H2243</f>
        <v>no</v>
      </c>
      <c r="J2243" s="2" t="n">
        <f aca="false">IF(F2243="yes",1,0)</f>
        <v>0</v>
      </c>
      <c r="K2243" s="2" t="n">
        <f aca="false">IF(H2243="yes",1,0)</f>
        <v>1</v>
      </c>
      <c r="L2243" s="2" t="n">
        <f aca="false">IF(I2243="yes",1,0)</f>
        <v>0</v>
      </c>
      <c r="M2243" s="2" t="n">
        <f aca="false">IF(G2243&lt;0,1,0)</f>
        <v>0</v>
      </c>
      <c r="N2243" s="2" t="str">
        <f aca="false">_xlfn.IFS(B2243&lt;30,"Under 30",B2243&lt;40,"30-39",B2243&lt;50,"40-49",B2243&lt;60,"50-59",TRUE(),"60+")</f>
        <v>40-49</v>
      </c>
      <c r="O2243" s="2" t="str">
        <f aca="false">_xlfn.IFS(G2243&lt;0,"1 Negative",G2243=0,"2 Zero",G2243&lt;=500,"3 1-500",G2243&lt;=2000,"4 501-2000",TRUE(),"5 Above 2000")</f>
        <v>3 1-500</v>
      </c>
      <c r="P2243" s="2" t="n">
        <f aca="false">Lookups!$B$2*M2243+Lookups!$B$3*L2243</f>
        <v>0</v>
      </c>
      <c r="Q2243" s="2" t="str">
        <f aca="false">INDEX(Lookups!$E$2:$E$5,MATCH(P2243,Lookups!$D$2:$D$5,0))</f>
        <v>Low</v>
      </c>
    </row>
    <row r="2244" customFormat="false" ht="15" hidden="false" customHeight="false" outlineLevel="0" collapsed="false">
      <c r="A2244" s="3" t="n">
        <v>2243</v>
      </c>
      <c r="B2244" s="3" t="n">
        <f aca="false">Raw_Data!A2244</f>
        <v>34</v>
      </c>
      <c r="C2244" s="3" t="str">
        <f aca="false">SUBSTITUTE(Raw_Data!B2244,".","")</f>
        <v>admin</v>
      </c>
      <c r="D2244" s="3" t="str">
        <f aca="false">Raw_Data!C2244</f>
        <v>single</v>
      </c>
      <c r="E2244" s="3" t="str">
        <f aca="false">Raw_Data!D2244</f>
        <v>secondary</v>
      </c>
      <c r="F2244" s="3" t="str">
        <f aca="false">Raw_Data!E2244</f>
        <v>no</v>
      </c>
      <c r="G2244" s="3" t="n">
        <f aca="false">Raw_Data!F2244</f>
        <v>10</v>
      </c>
      <c r="H2244" s="3" t="str">
        <f aca="false">Raw_Data!G2244</f>
        <v>no</v>
      </c>
      <c r="I2244" s="3" t="str">
        <f aca="false">Raw_Data!H2244</f>
        <v>yes</v>
      </c>
      <c r="J2244" s="2" t="n">
        <f aca="false">IF(F2244="yes",1,0)</f>
        <v>0</v>
      </c>
      <c r="K2244" s="2" t="n">
        <f aca="false">IF(H2244="yes",1,0)</f>
        <v>0</v>
      </c>
      <c r="L2244" s="2" t="n">
        <f aca="false">IF(I2244="yes",1,0)</f>
        <v>1</v>
      </c>
      <c r="M2244" s="2" t="n">
        <f aca="false">IF(G2244&lt;0,1,0)</f>
        <v>0</v>
      </c>
      <c r="N2244" s="2" t="str">
        <f aca="false">_xlfn.IFS(B2244&lt;30,"Under 30",B2244&lt;40,"30-39",B2244&lt;50,"40-49",B2244&lt;60,"50-59",TRUE(),"60+")</f>
        <v>30-39</v>
      </c>
      <c r="O2244" s="2" t="str">
        <f aca="false">_xlfn.IFS(G2244&lt;0,"1 Negative",G2244=0,"2 Zero",G2244&lt;=500,"3 1-500",G2244&lt;=2000,"4 501-2000",TRUE(),"5 Above 2000")</f>
        <v>3 1-500</v>
      </c>
      <c r="P2244" s="2" t="n">
        <f aca="false">Lookups!$B$2*M2244+Lookups!$B$3*L2244</f>
        <v>1</v>
      </c>
      <c r="Q2244" s="2" t="str">
        <f aca="false">INDEX(Lookups!$E$2:$E$5,MATCH(P2244,Lookups!$D$2:$D$5,0))</f>
        <v>Medium</v>
      </c>
    </row>
    <row r="2245" customFormat="false" ht="15" hidden="false" customHeight="false" outlineLevel="0" collapsed="false">
      <c r="A2245" s="3" t="n">
        <v>2244</v>
      </c>
      <c r="B2245" s="3" t="n">
        <f aca="false">Raw_Data!A2245</f>
        <v>32</v>
      </c>
      <c r="C2245" s="3" t="str">
        <f aca="false">SUBSTITUTE(Raw_Data!B2245,".","")</f>
        <v>services</v>
      </c>
      <c r="D2245" s="3" t="str">
        <f aca="false">Raw_Data!C2245</f>
        <v>married</v>
      </c>
      <c r="E2245" s="3" t="str">
        <f aca="false">Raw_Data!D2245</f>
        <v>secondary</v>
      </c>
      <c r="F2245" s="3" t="str">
        <f aca="false">Raw_Data!E2245</f>
        <v>no</v>
      </c>
      <c r="G2245" s="3" t="n">
        <f aca="false">Raw_Data!F2245</f>
        <v>401</v>
      </c>
      <c r="H2245" s="3" t="str">
        <f aca="false">Raw_Data!G2245</f>
        <v>yes</v>
      </c>
      <c r="I2245" s="3" t="str">
        <f aca="false">Raw_Data!H2245</f>
        <v>no</v>
      </c>
      <c r="J2245" s="2" t="n">
        <f aca="false">IF(F2245="yes",1,0)</f>
        <v>0</v>
      </c>
      <c r="K2245" s="2" t="n">
        <f aca="false">IF(H2245="yes",1,0)</f>
        <v>1</v>
      </c>
      <c r="L2245" s="2" t="n">
        <f aca="false">IF(I2245="yes",1,0)</f>
        <v>0</v>
      </c>
      <c r="M2245" s="2" t="n">
        <f aca="false">IF(G2245&lt;0,1,0)</f>
        <v>0</v>
      </c>
      <c r="N2245" s="2" t="str">
        <f aca="false">_xlfn.IFS(B2245&lt;30,"Under 30",B2245&lt;40,"30-39",B2245&lt;50,"40-49",B2245&lt;60,"50-59",TRUE(),"60+")</f>
        <v>30-39</v>
      </c>
      <c r="O2245" s="2" t="str">
        <f aca="false">_xlfn.IFS(G2245&lt;0,"1 Negative",G2245=0,"2 Zero",G2245&lt;=500,"3 1-500",G2245&lt;=2000,"4 501-2000",TRUE(),"5 Above 2000")</f>
        <v>3 1-500</v>
      </c>
      <c r="P2245" s="2" t="n">
        <f aca="false">Lookups!$B$2*M2245+Lookups!$B$3*L2245</f>
        <v>0</v>
      </c>
      <c r="Q2245" s="2" t="str">
        <f aca="false">INDEX(Lookups!$E$2:$E$5,MATCH(P2245,Lookups!$D$2:$D$5,0))</f>
        <v>Low</v>
      </c>
    </row>
    <row r="2246" customFormat="false" ht="15" hidden="false" customHeight="false" outlineLevel="0" collapsed="false">
      <c r="A2246" s="3" t="n">
        <v>2245</v>
      </c>
      <c r="B2246" s="3" t="n">
        <f aca="false">Raw_Data!A2246</f>
        <v>58</v>
      </c>
      <c r="C2246" s="3" t="str">
        <f aca="false">SUBSTITUTE(Raw_Data!B2246,".","")</f>
        <v>housemaid</v>
      </c>
      <c r="D2246" s="3" t="str">
        <f aca="false">Raw_Data!C2246</f>
        <v>single</v>
      </c>
      <c r="E2246" s="3" t="str">
        <f aca="false">Raw_Data!D2246</f>
        <v>tertiary</v>
      </c>
      <c r="F2246" s="3" t="str">
        <f aca="false">Raw_Data!E2246</f>
        <v>no</v>
      </c>
      <c r="G2246" s="3" t="n">
        <f aca="false">Raw_Data!F2246</f>
        <v>145</v>
      </c>
      <c r="H2246" s="3" t="str">
        <f aca="false">Raw_Data!G2246</f>
        <v>yes</v>
      </c>
      <c r="I2246" s="3" t="str">
        <f aca="false">Raw_Data!H2246</f>
        <v>yes</v>
      </c>
      <c r="J2246" s="2" t="n">
        <f aca="false">IF(F2246="yes",1,0)</f>
        <v>0</v>
      </c>
      <c r="K2246" s="2" t="n">
        <f aca="false">IF(H2246="yes",1,0)</f>
        <v>1</v>
      </c>
      <c r="L2246" s="2" t="n">
        <f aca="false">IF(I2246="yes",1,0)</f>
        <v>1</v>
      </c>
      <c r="M2246" s="2" t="n">
        <f aca="false">IF(G2246&lt;0,1,0)</f>
        <v>0</v>
      </c>
      <c r="N2246" s="2" t="str">
        <f aca="false">_xlfn.IFS(B2246&lt;30,"Under 30",B2246&lt;40,"30-39",B2246&lt;50,"40-49",B2246&lt;60,"50-59",TRUE(),"60+")</f>
        <v>50-59</v>
      </c>
      <c r="O2246" s="2" t="str">
        <f aca="false">_xlfn.IFS(G2246&lt;0,"1 Negative",G2246=0,"2 Zero",G2246&lt;=500,"3 1-500",G2246&lt;=2000,"4 501-2000",TRUE(),"5 Above 2000")</f>
        <v>3 1-500</v>
      </c>
      <c r="P2246" s="2" t="n">
        <f aca="false">Lookups!$B$2*M2246+Lookups!$B$3*L2246</f>
        <v>1</v>
      </c>
      <c r="Q2246" s="2" t="str">
        <f aca="false">INDEX(Lookups!$E$2:$E$5,MATCH(P2246,Lookups!$D$2:$D$5,0))</f>
        <v>Medium</v>
      </c>
    </row>
    <row r="2247" customFormat="false" ht="15" hidden="false" customHeight="false" outlineLevel="0" collapsed="false">
      <c r="A2247" s="3" t="n">
        <v>2246</v>
      </c>
      <c r="B2247" s="3" t="n">
        <f aca="false">Raw_Data!A2247</f>
        <v>45</v>
      </c>
      <c r="C2247" s="3" t="str">
        <f aca="false">SUBSTITUTE(Raw_Data!B2247,".","")</f>
        <v>technician</v>
      </c>
      <c r="D2247" s="3" t="str">
        <f aca="false">Raw_Data!C2247</f>
        <v>married</v>
      </c>
      <c r="E2247" s="3" t="str">
        <f aca="false">Raw_Data!D2247</f>
        <v>secondary</v>
      </c>
      <c r="F2247" s="3" t="str">
        <f aca="false">Raw_Data!E2247</f>
        <v>no</v>
      </c>
      <c r="G2247" s="3" t="n">
        <f aca="false">Raw_Data!F2247</f>
        <v>115</v>
      </c>
      <c r="H2247" s="3" t="str">
        <f aca="false">Raw_Data!G2247</f>
        <v>yes</v>
      </c>
      <c r="I2247" s="3" t="str">
        <f aca="false">Raw_Data!H2247</f>
        <v>no</v>
      </c>
      <c r="J2247" s="2" t="n">
        <f aca="false">IF(F2247="yes",1,0)</f>
        <v>0</v>
      </c>
      <c r="K2247" s="2" t="n">
        <f aca="false">IF(H2247="yes",1,0)</f>
        <v>1</v>
      </c>
      <c r="L2247" s="2" t="n">
        <f aca="false">IF(I2247="yes",1,0)</f>
        <v>0</v>
      </c>
      <c r="M2247" s="2" t="n">
        <f aca="false">IF(G2247&lt;0,1,0)</f>
        <v>0</v>
      </c>
      <c r="N2247" s="2" t="str">
        <f aca="false">_xlfn.IFS(B2247&lt;30,"Under 30",B2247&lt;40,"30-39",B2247&lt;50,"40-49",B2247&lt;60,"50-59",TRUE(),"60+")</f>
        <v>40-49</v>
      </c>
      <c r="O2247" s="2" t="str">
        <f aca="false">_xlfn.IFS(G2247&lt;0,"1 Negative",G2247=0,"2 Zero",G2247&lt;=500,"3 1-500",G2247&lt;=2000,"4 501-2000",TRUE(),"5 Above 2000")</f>
        <v>3 1-500</v>
      </c>
      <c r="P2247" s="2" t="n">
        <f aca="false">Lookups!$B$2*M2247+Lookups!$B$3*L2247</f>
        <v>0</v>
      </c>
      <c r="Q2247" s="2" t="str">
        <f aca="false">INDEX(Lookups!$E$2:$E$5,MATCH(P2247,Lookups!$D$2:$D$5,0))</f>
        <v>Low</v>
      </c>
    </row>
    <row r="2248" customFormat="false" ht="15" hidden="false" customHeight="false" outlineLevel="0" collapsed="false">
      <c r="A2248" s="3" t="n">
        <v>2247</v>
      </c>
      <c r="B2248" s="3" t="n">
        <f aca="false">Raw_Data!A2248</f>
        <v>28</v>
      </c>
      <c r="C2248" s="3" t="str">
        <f aca="false">SUBSTITUTE(Raw_Data!B2248,".","")</f>
        <v>admin</v>
      </c>
      <c r="D2248" s="3" t="str">
        <f aca="false">Raw_Data!C2248</f>
        <v>single</v>
      </c>
      <c r="E2248" s="3" t="str">
        <f aca="false">Raw_Data!D2248</f>
        <v>secondary</v>
      </c>
      <c r="F2248" s="3" t="str">
        <f aca="false">Raw_Data!E2248</f>
        <v>no</v>
      </c>
      <c r="G2248" s="3" t="n">
        <f aca="false">Raw_Data!F2248</f>
        <v>89</v>
      </c>
      <c r="H2248" s="3" t="str">
        <f aca="false">Raw_Data!G2248</f>
        <v>yes</v>
      </c>
      <c r="I2248" s="3" t="str">
        <f aca="false">Raw_Data!H2248</f>
        <v>yes</v>
      </c>
      <c r="J2248" s="2" t="n">
        <f aca="false">IF(F2248="yes",1,0)</f>
        <v>0</v>
      </c>
      <c r="K2248" s="2" t="n">
        <f aca="false">IF(H2248="yes",1,0)</f>
        <v>1</v>
      </c>
      <c r="L2248" s="2" t="n">
        <f aca="false">IF(I2248="yes",1,0)</f>
        <v>1</v>
      </c>
      <c r="M2248" s="2" t="n">
        <f aca="false">IF(G2248&lt;0,1,0)</f>
        <v>0</v>
      </c>
      <c r="N2248" s="2" t="str">
        <f aca="false">_xlfn.IFS(B2248&lt;30,"Under 30",B2248&lt;40,"30-39",B2248&lt;50,"40-49",B2248&lt;60,"50-59",TRUE(),"60+")</f>
        <v>Under 30</v>
      </c>
      <c r="O2248" s="2" t="str">
        <f aca="false">_xlfn.IFS(G2248&lt;0,"1 Negative",G2248=0,"2 Zero",G2248&lt;=500,"3 1-500",G2248&lt;=2000,"4 501-2000",TRUE(),"5 Above 2000")</f>
        <v>3 1-500</v>
      </c>
      <c r="P2248" s="2" t="n">
        <f aca="false">Lookups!$B$2*M2248+Lookups!$B$3*L2248</f>
        <v>1</v>
      </c>
      <c r="Q2248" s="2" t="str">
        <f aca="false">INDEX(Lookups!$E$2:$E$5,MATCH(P2248,Lookups!$D$2:$D$5,0))</f>
        <v>Medium</v>
      </c>
    </row>
    <row r="2249" customFormat="false" ht="15" hidden="false" customHeight="false" outlineLevel="0" collapsed="false">
      <c r="A2249" s="3" t="n">
        <v>2248</v>
      </c>
      <c r="B2249" s="3" t="n">
        <f aca="false">Raw_Data!A2249</f>
        <v>35</v>
      </c>
      <c r="C2249" s="3" t="str">
        <f aca="false">SUBSTITUTE(Raw_Data!B2249,".","")</f>
        <v>technician</v>
      </c>
      <c r="D2249" s="3" t="str">
        <f aca="false">Raw_Data!C2249</f>
        <v>married</v>
      </c>
      <c r="E2249" s="3" t="str">
        <f aca="false">Raw_Data!D2249</f>
        <v>secondary</v>
      </c>
      <c r="F2249" s="3" t="str">
        <f aca="false">Raw_Data!E2249</f>
        <v>no</v>
      </c>
      <c r="G2249" s="3" t="n">
        <f aca="false">Raw_Data!F2249</f>
        <v>94</v>
      </c>
      <c r="H2249" s="3" t="str">
        <f aca="false">Raw_Data!G2249</f>
        <v>yes</v>
      </c>
      <c r="I2249" s="3" t="str">
        <f aca="false">Raw_Data!H2249</f>
        <v>yes</v>
      </c>
      <c r="J2249" s="2" t="n">
        <f aca="false">IF(F2249="yes",1,0)</f>
        <v>0</v>
      </c>
      <c r="K2249" s="2" t="n">
        <f aca="false">IF(H2249="yes",1,0)</f>
        <v>1</v>
      </c>
      <c r="L2249" s="2" t="n">
        <f aca="false">IF(I2249="yes",1,0)</f>
        <v>1</v>
      </c>
      <c r="M2249" s="2" t="n">
        <f aca="false">IF(G2249&lt;0,1,0)</f>
        <v>0</v>
      </c>
      <c r="N2249" s="2" t="str">
        <f aca="false">_xlfn.IFS(B2249&lt;30,"Under 30",B2249&lt;40,"30-39",B2249&lt;50,"40-49",B2249&lt;60,"50-59",TRUE(),"60+")</f>
        <v>30-39</v>
      </c>
      <c r="O2249" s="2" t="str">
        <f aca="false">_xlfn.IFS(G2249&lt;0,"1 Negative",G2249=0,"2 Zero",G2249&lt;=500,"3 1-500",G2249&lt;=2000,"4 501-2000",TRUE(),"5 Above 2000")</f>
        <v>3 1-500</v>
      </c>
      <c r="P2249" s="2" t="n">
        <f aca="false">Lookups!$B$2*M2249+Lookups!$B$3*L2249</f>
        <v>1</v>
      </c>
      <c r="Q2249" s="2" t="str">
        <f aca="false">INDEX(Lookups!$E$2:$E$5,MATCH(P2249,Lookups!$D$2:$D$5,0))</f>
        <v>Medium</v>
      </c>
    </row>
    <row r="2250" customFormat="false" ht="15" hidden="false" customHeight="false" outlineLevel="0" collapsed="false">
      <c r="A2250" s="3" t="n">
        <v>2249</v>
      </c>
      <c r="B2250" s="3" t="n">
        <f aca="false">Raw_Data!A2250</f>
        <v>39</v>
      </c>
      <c r="C2250" s="3" t="str">
        <f aca="false">SUBSTITUTE(Raw_Data!B2250,".","")</f>
        <v>services</v>
      </c>
      <c r="D2250" s="3" t="str">
        <f aca="false">Raw_Data!C2250</f>
        <v>married</v>
      </c>
      <c r="E2250" s="3" t="str">
        <f aca="false">Raw_Data!D2250</f>
        <v>secondary</v>
      </c>
      <c r="F2250" s="3" t="str">
        <f aca="false">Raw_Data!E2250</f>
        <v>no</v>
      </c>
      <c r="G2250" s="3" t="n">
        <f aca="false">Raw_Data!F2250</f>
        <v>1438</v>
      </c>
      <c r="H2250" s="3" t="str">
        <f aca="false">Raw_Data!G2250</f>
        <v>yes</v>
      </c>
      <c r="I2250" s="3" t="str">
        <f aca="false">Raw_Data!H2250</f>
        <v>no</v>
      </c>
      <c r="J2250" s="2" t="n">
        <f aca="false">IF(F2250="yes",1,0)</f>
        <v>0</v>
      </c>
      <c r="K2250" s="2" t="n">
        <f aca="false">IF(H2250="yes",1,0)</f>
        <v>1</v>
      </c>
      <c r="L2250" s="2" t="n">
        <f aca="false">IF(I2250="yes",1,0)</f>
        <v>0</v>
      </c>
      <c r="M2250" s="2" t="n">
        <f aca="false">IF(G2250&lt;0,1,0)</f>
        <v>0</v>
      </c>
      <c r="N2250" s="2" t="str">
        <f aca="false">_xlfn.IFS(B2250&lt;30,"Under 30",B2250&lt;40,"30-39",B2250&lt;50,"40-49",B2250&lt;60,"50-59",TRUE(),"60+")</f>
        <v>30-39</v>
      </c>
      <c r="O2250" s="2" t="str">
        <f aca="false">_xlfn.IFS(G2250&lt;0,"1 Negative",G2250=0,"2 Zero",G2250&lt;=500,"3 1-500",G2250&lt;=2000,"4 501-2000",TRUE(),"5 Above 2000")</f>
        <v>4 501-2000</v>
      </c>
      <c r="P2250" s="2" t="n">
        <f aca="false">Lookups!$B$2*M2250+Lookups!$B$3*L2250</f>
        <v>0</v>
      </c>
      <c r="Q2250" s="2" t="str">
        <f aca="false">INDEX(Lookups!$E$2:$E$5,MATCH(P2250,Lookups!$D$2:$D$5,0))</f>
        <v>Low</v>
      </c>
    </row>
    <row r="2251" customFormat="false" ht="15" hidden="false" customHeight="false" outlineLevel="0" collapsed="false">
      <c r="A2251" s="3" t="n">
        <v>2250</v>
      </c>
      <c r="B2251" s="3" t="n">
        <f aca="false">Raw_Data!A2251</f>
        <v>49</v>
      </c>
      <c r="C2251" s="3" t="str">
        <f aca="false">SUBSTITUTE(Raw_Data!B2251,".","")</f>
        <v>unemployed</v>
      </c>
      <c r="D2251" s="3" t="str">
        <f aca="false">Raw_Data!C2251</f>
        <v>divorced</v>
      </c>
      <c r="E2251" s="3" t="str">
        <f aca="false">Raw_Data!D2251</f>
        <v>tertiary</v>
      </c>
      <c r="F2251" s="3" t="str">
        <f aca="false">Raw_Data!E2251</f>
        <v>no</v>
      </c>
      <c r="G2251" s="3" t="n">
        <f aca="false">Raw_Data!F2251</f>
        <v>780</v>
      </c>
      <c r="H2251" s="3" t="str">
        <f aca="false">Raw_Data!G2251</f>
        <v>no</v>
      </c>
      <c r="I2251" s="3" t="str">
        <f aca="false">Raw_Data!H2251</f>
        <v>no</v>
      </c>
      <c r="J2251" s="2" t="n">
        <f aca="false">IF(F2251="yes",1,0)</f>
        <v>0</v>
      </c>
      <c r="K2251" s="2" t="n">
        <f aca="false">IF(H2251="yes",1,0)</f>
        <v>0</v>
      </c>
      <c r="L2251" s="2" t="n">
        <f aca="false">IF(I2251="yes",1,0)</f>
        <v>0</v>
      </c>
      <c r="M2251" s="2" t="n">
        <f aca="false">IF(G2251&lt;0,1,0)</f>
        <v>0</v>
      </c>
      <c r="N2251" s="2" t="str">
        <f aca="false">_xlfn.IFS(B2251&lt;30,"Under 30",B2251&lt;40,"30-39",B2251&lt;50,"40-49",B2251&lt;60,"50-59",TRUE(),"60+")</f>
        <v>40-49</v>
      </c>
      <c r="O2251" s="2" t="str">
        <f aca="false">_xlfn.IFS(G2251&lt;0,"1 Negative",G2251=0,"2 Zero",G2251&lt;=500,"3 1-500",G2251&lt;=2000,"4 501-2000",TRUE(),"5 Above 2000")</f>
        <v>4 501-2000</v>
      </c>
      <c r="P2251" s="2" t="n">
        <f aca="false">Lookups!$B$2*M2251+Lookups!$B$3*L2251</f>
        <v>0</v>
      </c>
      <c r="Q2251" s="2" t="str">
        <f aca="false">INDEX(Lookups!$E$2:$E$5,MATCH(P2251,Lookups!$D$2:$D$5,0))</f>
        <v>Low</v>
      </c>
    </row>
    <row r="2252" customFormat="false" ht="15" hidden="false" customHeight="false" outlineLevel="0" collapsed="false">
      <c r="A2252" s="3" t="n">
        <v>2251</v>
      </c>
      <c r="B2252" s="3" t="n">
        <f aca="false">Raw_Data!A2252</f>
        <v>50</v>
      </c>
      <c r="C2252" s="3" t="str">
        <f aca="false">SUBSTITUTE(Raw_Data!B2252,".","")</f>
        <v>management</v>
      </c>
      <c r="D2252" s="3" t="str">
        <f aca="false">Raw_Data!C2252</f>
        <v>married</v>
      </c>
      <c r="E2252" s="3" t="str">
        <f aca="false">Raw_Data!D2252</f>
        <v>tertiary</v>
      </c>
      <c r="F2252" s="3" t="str">
        <f aca="false">Raw_Data!E2252</f>
        <v>no</v>
      </c>
      <c r="G2252" s="3" t="n">
        <f aca="false">Raw_Data!F2252</f>
        <v>207</v>
      </c>
      <c r="H2252" s="3" t="str">
        <f aca="false">Raw_Data!G2252</f>
        <v>yes</v>
      </c>
      <c r="I2252" s="3" t="str">
        <f aca="false">Raw_Data!H2252</f>
        <v>no</v>
      </c>
      <c r="J2252" s="2" t="n">
        <f aca="false">IF(F2252="yes",1,0)</f>
        <v>0</v>
      </c>
      <c r="K2252" s="2" t="n">
        <f aca="false">IF(H2252="yes",1,0)</f>
        <v>1</v>
      </c>
      <c r="L2252" s="2" t="n">
        <f aca="false">IF(I2252="yes",1,0)</f>
        <v>0</v>
      </c>
      <c r="M2252" s="2" t="n">
        <f aca="false">IF(G2252&lt;0,1,0)</f>
        <v>0</v>
      </c>
      <c r="N2252" s="2" t="str">
        <f aca="false">_xlfn.IFS(B2252&lt;30,"Under 30",B2252&lt;40,"30-39",B2252&lt;50,"40-49",B2252&lt;60,"50-59",TRUE(),"60+")</f>
        <v>50-59</v>
      </c>
      <c r="O2252" s="2" t="str">
        <f aca="false">_xlfn.IFS(G2252&lt;0,"1 Negative",G2252=0,"2 Zero",G2252&lt;=500,"3 1-500",G2252&lt;=2000,"4 501-2000",TRUE(),"5 Above 2000")</f>
        <v>3 1-500</v>
      </c>
      <c r="P2252" s="2" t="n">
        <f aca="false">Lookups!$B$2*M2252+Lookups!$B$3*L2252</f>
        <v>0</v>
      </c>
      <c r="Q2252" s="2" t="str">
        <f aca="false">INDEX(Lookups!$E$2:$E$5,MATCH(P2252,Lookups!$D$2:$D$5,0))</f>
        <v>Low</v>
      </c>
    </row>
    <row r="2253" customFormat="false" ht="15" hidden="false" customHeight="false" outlineLevel="0" collapsed="false">
      <c r="A2253" s="3" t="n">
        <v>2252</v>
      </c>
      <c r="B2253" s="3" t="n">
        <f aca="false">Raw_Data!A2253</f>
        <v>37</v>
      </c>
      <c r="C2253" s="3" t="str">
        <f aca="false">SUBSTITUTE(Raw_Data!B2253,".","")</f>
        <v>management</v>
      </c>
      <c r="D2253" s="3" t="str">
        <f aca="false">Raw_Data!C2253</f>
        <v>married</v>
      </c>
      <c r="E2253" s="3" t="str">
        <f aca="false">Raw_Data!D2253</f>
        <v>tertiary</v>
      </c>
      <c r="F2253" s="3" t="str">
        <f aca="false">Raw_Data!E2253</f>
        <v>no</v>
      </c>
      <c r="G2253" s="3" t="n">
        <f aca="false">Raw_Data!F2253</f>
        <v>238</v>
      </c>
      <c r="H2253" s="3" t="str">
        <f aca="false">Raw_Data!G2253</f>
        <v>no</v>
      </c>
      <c r="I2253" s="3" t="str">
        <f aca="false">Raw_Data!H2253</f>
        <v>no</v>
      </c>
      <c r="J2253" s="2" t="n">
        <f aca="false">IF(F2253="yes",1,0)</f>
        <v>0</v>
      </c>
      <c r="K2253" s="2" t="n">
        <f aca="false">IF(H2253="yes",1,0)</f>
        <v>0</v>
      </c>
      <c r="L2253" s="2" t="n">
        <f aca="false">IF(I2253="yes",1,0)</f>
        <v>0</v>
      </c>
      <c r="M2253" s="2" t="n">
        <f aca="false">IF(G2253&lt;0,1,0)</f>
        <v>0</v>
      </c>
      <c r="N2253" s="2" t="str">
        <f aca="false">_xlfn.IFS(B2253&lt;30,"Under 30",B2253&lt;40,"30-39",B2253&lt;50,"40-49",B2253&lt;60,"50-59",TRUE(),"60+")</f>
        <v>30-39</v>
      </c>
      <c r="O2253" s="2" t="str">
        <f aca="false">_xlfn.IFS(G2253&lt;0,"1 Negative",G2253=0,"2 Zero",G2253&lt;=500,"3 1-500",G2253&lt;=2000,"4 501-2000",TRUE(),"5 Above 2000")</f>
        <v>3 1-500</v>
      </c>
      <c r="P2253" s="2" t="n">
        <f aca="false">Lookups!$B$2*M2253+Lookups!$B$3*L2253</f>
        <v>0</v>
      </c>
      <c r="Q2253" s="2" t="str">
        <f aca="false">INDEX(Lookups!$E$2:$E$5,MATCH(P2253,Lookups!$D$2:$D$5,0))</f>
        <v>Low</v>
      </c>
    </row>
    <row r="2254" customFormat="false" ht="15" hidden="false" customHeight="false" outlineLevel="0" collapsed="false">
      <c r="A2254" s="3" t="n">
        <v>2253</v>
      </c>
      <c r="B2254" s="3" t="n">
        <f aca="false">Raw_Data!A2254</f>
        <v>45</v>
      </c>
      <c r="C2254" s="3" t="str">
        <f aca="false">SUBSTITUTE(Raw_Data!B2254,".","")</f>
        <v>blue-collar</v>
      </c>
      <c r="D2254" s="3" t="str">
        <f aca="false">Raw_Data!C2254</f>
        <v>married</v>
      </c>
      <c r="E2254" s="3" t="str">
        <f aca="false">Raw_Data!D2254</f>
        <v>primary</v>
      </c>
      <c r="F2254" s="3" t="str">
        <f aca="false">Raw_Data!E2254</f>
        <v>no</v>
      </c>
      <c r="G2254" s="3" t="n">
        <f aca="false">Raw_Data!F2254</f>
        <v>2433</v>
      </c>
      <c r="H2254" s="3" t="str">
        <f aca="false">Raw_Data!G2254</f>
        <v>no</v>
      </c>
      <c r="I2254" s="3" t="str">
        <f aca="false">Raw_Data!H2254</f>
        <v>no</v>
      </c>
      <c r="J2254" s="2" t="n">
        <f aca="false">IF(F2254="yes",1,0)</f>
        <v>0</v>
      </c>
      <c r="K2254" s="2" t="n">
        <f aca="false">IF(H2254="yes",1,0)</f>
        <v>0</v>
      </c>
      <c r="L2254" s="2" t="n">
        <f aca="false">IF(I2254="yes",1,0)</f>
        <v>0</v>
      </c>
      <c r="M2254" s="2" t="n">
        <f aca="false">IF(G2254&lt;0,1,0)</f>
        <v>0</v>
      </c>
      <c r="N2254" s="2" t="str">
        <f aca="false">_xlfn.IFS(B2254&lt;30,"Under 30",B2254&lt;40,"30-39",B2254&lt;50,"40-49",B2254&lt;60,"50-59",TRUE(),"60+")</f>
        <v>40-49</v>
      </c>
      <c r="O2254" s="2" t="str">
        <f aca="false">_xlfn.IFS(G2254&lt;0,"1 Negative",G2254=0,"2 Zero",G2254&lt;=500,"3 1-500",G2254&lt;=2000,"4 501-2000",TRUE(),"5 Above 2000")</f>
        <v>5 Above 2000</v>
      </c>
      <c r="P2254" s="2" t="n">
        <f aca="false">Lookups!$B$2*M2254+Lookups!$B$3*L2254</f>
        <v>0</v>
      </c>
      <c r="Q2254" s="2" t="str">
        <f aca="false">INDEX(Lookups!$E$2:$E$5,MATCH(P2254,Lookups!$D$2:$D$5,0))</f>
        <v>Low</v>
      </c>
    </row>
    <row r="2255" customFormat="false" ht="15" hidden="false" customHeight="false" outlineLevel="0" collapsed="false">
      <c r="A2255" s="3" t="n">
        <v>2254</v>
      </c>
      <c r="B2255" s="3" t="n">
        <f aca="false">Raw_Data!A2255</f>
        <v>30</v>
      </c>
      <c r="C2255" s="3" t="str">
        <f aca="false">SUBSTITUTE(Raw_Data!B2255,".","")</f>
        <v>housemaid</v>
      </c>
      <c r="D2255" s="3" t="str">
        <f aca="false">Raw_Data!C2255</f>
        <v>single</v>
      </c>
      <c r="E2255" s="3" t="str">
        <f aca="false">Raw_Data!D2255</f>
        <v>secondary</v>
      </c>
      <c r="F2255" s="3" t="str">
        <f aca="false">Raw_Data!E2255</f>
        <v>no</v>
      </c>
      <c r="G2255" s="3" t="n">
        <f aca="false">Raw_Data!F2255</f>
        <v>1924</v>
      </c>
      <c r="H2255" s="3" t="str">
        <f aca="false">Raw_Data!G2255</f>
        <v>no</v>
      </c>
      <c r="I2255" s="3" t="str">
        <f aca="false">Raw_Data!H2255</f>
        <v>no</v>
      </c>
      <c r="J2255" s="2" t="n">
        <f aca="false">IF(F2255="yes",1,0)</f>
        <v>0</v>
      </c>
      <c r="K2255" s="2" t="n">
        <f aca="false">IF(H2255="yes",1,0)</f>
        <v>0</v>
      </c>
      <c r="L2255" s="2" t="n">
        <f aca="false">IF(I2255="yes",1,0)</f>
        <v>0</v>
      </c>
      <c r="M2255" s="2" t="n">
        <f aca="false">IF(G2255&lt;0,1,0)</f>
        <v>0</v>
      </c>
      <c r="N2255" s="2" t="str">
        <f aca="false">_xlfn.IFS(B2255&lt;30,"Under 30",B2255&lt;40,"30-39",B2255&lt;50,"40-49",B2255&lt;60,"50-59",TRUE(),"60+")</f>
        <v>30-39</v>
      </c>
      <c r="O2255" s="2" t="str">
        <f aca="false">_xlfn.IFS(G2255&lt;0,"1 Negative",G2255=0,"2 Zero",G2255&lt;=500,"3 1-500",G2255&lt;=2000,"4 501-2000",TRUE(),"5 Above 2000")</f>
        <v>4 501-2000</v>
      </c>
      <c r="P2255" s="2" t="n">
        <f aca="false">Lookups!$B$2*M2255+Lookups!$B$3*L2255</f>
        <v>0</v>
      </c>
      <c r="Q2255" s="2" t="str">
        <f aca="false">INDEX(Lookups!$E$2:$E$5,MATCH(P2255,Lookups!$D$2:$D$5,0))</f>
        <v>Low</v>
      </c>
    </row>
    <row r="2256" customFormat="false" ht="15" hidden="false" customHeight="false" outlineLevel="0" collapsed="false">
      <c r="A2256" s="3" t="n">
        <v>2255</v>
      </c>
      <c r="B2256" s="3" t="n">
        <f aca="false">Raw_Data!A2256</f>
        <v>48</v>
      </c>
      <c r="C2256" s="3" t="str">
        <f aca="false">SUBSTITUTE(Raw_Data!B2256,".","")</f>
        <v>unemployed</v>
      </c>
      <c r="D2256" s="3" t="str">
        <f aca="false">Raw_Data!C2256</f>
        <v>married</v>
      </c>
      <c r="E2256" s="3" t="str">
        <f aca="false">Raw_Data!D2256</f>
        <v>tertiary</v>
      </c>
      <c r="F2256" s="3" t="str">
        <f aca="false">Raw_Data!E2256</f>
        <v>no</v>
      </c>
      <c r="G2256" s="3" t="n">
        <f aca="false">Raw_Data!F2256</f>
        <v>-471</v>
      </c>
      <c r="H2256" s="3" t="str">
        <f aca="false">Raw_Data!G2256</f>
        <v>yes</v>
      </c>
      <c r="I2256" s="3" t="str">
        <f aca="false">Raw_Data!H2256</f>
        <v>no</v>
      </c>
      <c r="J2256" s="2" t="n">
        <f aca="false">IF(F2256="yes",1,0)</f>
        <v>0</v>
      </c>
      <c r="K2256" s="2" t="n">
        <f aca="false">IF(H2256="yes",1,0)</f>
        <v>1</v>
      </c>
      <c r="L2256" s="2" t="n">
        <f aca="false">IF(I2256="yes",1,0)</f>
        <v>0</v>
      </c>
      <c r="M2256" s="2" t="n">
        <f aca="false">IF(G2256&lt;0,1,0)</f>
        <v>1</v>
      </c>
      <c r="N2256" s="2" t="str">
        <f aca="false">_xlfn.IFS(B2256&lt;30,"Under 30",B2256&lt;40,"30-39",B2256&lt;50,"40-49",B2256&lt;60,"50-59",TRUE(),"60+")</f>
        <v>40-49</v>
      </c>
      <c r="O2256" s="2" t="str">
        <f aca="false">_xlfn.IFS(G2256&lt;0,"1 Negative",G2256=0,"2 Zero",G2256&lt;=500,"3 1-500",G2256&lt;=2000,"4 501-2000",TRUE(),"5 Above 2000")</f>
        <v>1 Negative</v>
      </c>
      <c r="P2256" s="2" t="n">
        <f aca="false">Lookups!$B$2*M2256+Lookups!$B$3*L2256</f>
        <v>2</v>
      </c>
      <c r="Q2256" s="2" t="str">
        <f aca="false">INDEX(Lookups!$E$2:$E$5,MATCH(P2256,Lookups!$D$2:$D$5,0))</f>
        <v>High</v>
      </c>
    </row>
    <row r="2257" customFormat="false" ht="15" hidden="false" customHeight="false" outlineLevel="0" collapsed="false">
      <c r="A2257" s="3" t="n">
        <v>2256</v>
      </c>
      <c r="B2257" s="3" t="n">
        <f aca="false">Raw_Data!A2257</f>
        <v>36</v>
      </c>
      <c r="C2257" s="3" t="str">
        <f aca="false">SUBSTITUTE(Raw_Data!B2257,".","")</f>
        <v>management</v>
      </c>
      <c r="D2257" s="3" t="str">
        <f aca="false">Raw_Data!C2257</f>
        <v>single</v>
      </c>
      <c r="E2257" s="3" t="str">
        <f aca="false">Raw_Data!D2257</f>
        <v>tertiary</v>
      </c>
      <c r="F2257" s="3" t="str">
        <f aca="false">Raw_Data!E2257</f>
        <v>no</v>
      </c>
      <c r="G2257" s="3" t="n">
        <f aca="false">Raw_Data!F2257</f>
        <v>1531</v>
      </c>
      <c r="H2257" s="3" t="str">
        <f aca="false">Raw_Data!G2257</f>
        <v>yes</v>
      </c>
      <c r="I2257" s="3" t="str">
        <f aca="false">Raw_Data!H2257</f>
        <v>no</v>
      </c>
      <c r="J2257" s="2" t="n">
        <f aca="false">IF(F2257="yes",1,0)</f>
        <v>0</v>
      </c>
      <c r="K2257" s="2" t="n">
        <f aca="false">IF(H2257="yes",1,0)</f>
        <v>1</v>
      </c>
      <c r="L2257" s="2" t="n">
        <f aca="false">IF(I2257="yes",1,0)</f>
        <v>0</v>
      </c>
      <c r="M2257" s="2" t="n">
        <f aca="false">IF(G2257&lt;0,1,0)</f>
        <v>0</v>
      </c>
      <c r="N2257" s="2" t="str">
        <f aca="false">_xlfn.IFS(B2257&lt;30,"Under 30",B2257&lt;40,"30-39",B2257&lt;50,"40-49",B2257&lt;60,"50-59",TRUE(),"60+")</f>
        <v>30-39</v>
      </c>
      <c r="O2257" s="2" t="str">
        <f aca="false">_xlfn.IFS(G2257&lt;0,"1 Negative",G2257=0,"2 Zero",G2257&lt;=500,"3 1-500",G2257&lt;=2000,"4 501-2000",TRUE(),"5 Above 2000")</f>
        <v>4 501-2000</v>
      </c>
      <c r="P2257" s="2" t="n">
        <f aca="false">Lookups!$B$2*M2257+Lookups!$B$3*L2257</f>
        <v>0</v>
      </c>
      <c r="Q2257" s="2" t="str">
        <f aca="false">INDEX(Lookups!$E$2:$E$5,MATCH(P2257,Lookups!$D$2:$D$5,0))</f>
        <v>Low</v>
      </c>
    </row>
    <row r="2258" customFormat="false" ht="15" hidden="false" customHeight="false" outlineLevel="0" collapsed="false">
      <c r="A2258" s="3" t="n">
        <v>2257</v>
      </c>
      <c r="B2258" s="3" t="n">
        <f aca="false">Raw_Data!A2258</f>
        <v>41</v>
      </c>
      <c r="C2258" s="3" t="str">
        <f aca="false">SUBSTITUTE(Raw_Data!B2258,".","")</f>
        <v>management</v>
      </c>
      <c r="D2258" s="3" t="str">
        <f aca="false">Raw_Data!C2258</f>
        <v>single</v>
      </c>
      <c r="E2258" s="3" t="str">
        <f aca="false">Raw_Data!D2258</f>
        <v>secondary</v>
      </c>
      <c r="F2258" s="3" t="str">
        <f aca="false">Raw_Data!E2258</f>
        <v>no</v>
      </c>
      <c r="G2258" s="3" t="n">
        <f aca="false">Raw_Data!F2258</f>
        <v>764</v>
      </c>
      <c r="H2258" s="3" t="str">
        <f aca="false">Raw_Data!G2258</f>
        <v>no</v>
      </c>
      <c r="I2258" s="3" t="str">
        <f aca="false">Raw_Data!H2258</f>
        <v>no</v>
      </c>
      <c r="J2258" s="2" t="n">
        <f aca="false">IF(F2258="yes",1,0)</f>
        <v>0</v>
      </c>
      <c r="K2258" s="2" t="n">
        <f aca="false">IF(H2258="yes",1,0)</f>
        <v>0</v>
      </c>
      <c r="L2258" s="2" t="n">
        <f aca="false">IF(I2258="yes",1,0)</f>
        <v>0</v>
      </c>
      <c r="M2258" s="2" t="n">
        <f aca="false">IF(G2258&lt;0,1,0)</f>
        <v>0</v>
      </c>
      <c r="N2258" s="2" t="str">
        <f aca="false">_xlfn.IFS(B2258&lt;30,"Under 30",B2258&lt;40,"30-39",B2258&lt;50,"40-49",B2258&lt;60,"50-59",TRUE(),"60+")</f>
        <v>40-49</v>
      </c>
      <c r="O2258" s="2" t="str">
        <f aca="false">_xlfn.IFS(G2258&lt;0,"1 Negative",G2258=0,"2 Zero",G2258&lt;=500,"3 1-500",G2258&lt;=2000,"4 501-2000",TRUE(),"5 Above 2000")</f>
        <v>4 501-2000</v>
      </c>
      <c r="P2258" s="2" t="n">
        <f aca="false">Lookups!$B$2*M2258+Lookups!$B$3*L2258</f>
        <v>0</v>
      </c>
      <c r="Q2258" s="2" t="str">
        <f aca="false">INDEX(Lookups!$E$2:$E$5,MATCH(P2258,Lookups!$D$2:$D$5,0))</f>
        <v>Low</v>
      </c>
    </row>
    <row r="2259" customFormat="false" ht="15" hidden="false" customHeight="false" outlineLevel="0" collapsed="false">
      <c r="A2259" s="3" t="n">
        <v>2258</v>
      </c>
      <c r="B2259" s="3" t="n">
        <f aca="false">Raw_Data!A2259</f>
        <v>55</v>
      </c>
      <c r="C2259" s="3" t="str">
        <f aca="false">SUBSTITUTE(Raw_Data!B2259,".","")</f>
        <v>blue-collar</v>
      </c>
      <c r="D2259" s="3" t="str">
        <f aca="false">Raw_Data!C2259</f>
        <v>married</v>
      </c>
      <c r="E2259" s="3" t="str">
        <f aca="false">Raw_Data!D2259</f>
        <v>secondary</v>
      </c>
      <c r="F2259" s="3" t="str">
        <f aca="false">Raw_Data!E2259</f>
        <v>no</v>
      </c>
      <c r="G2259" s="3" t="n">
        <f aca="false">Raw_Data!F2259</f>
        <v>383</v>
      </c>
      <c r="H2259" s="3" t="str">
        <f aca="false">Raw_Data!G2259</f>
        <v>no</v>
      </c>
      <c r="I2259" s="3" t="str">
        <f aca="false">Raw_Data!H2259</f>
        <v>no</v>
      </c>
      <c r="J2259" s="2" t="n">
        <f aca="false">IF(F2259="yes",1,0)</f>
        <v>0</v>
      </c>
      <c r="K2259" s="2" t="n">
        <f aca="false">IF(H2259="yes",1,0)</f>
        <v>0</v>
      </c>
      <c r="L2259" s="2" t="n">
        <f aca="false">IF(I2259="yes",1,0)</f>
        <v>0</v>
      </c>
      <c r="M2259" s="2" t="n">
        <f aca="false">IF(G2259&lt;0,1,0)</f>
        <v>0</v>
      </c>
      <c r="N2259" s="2" t="str">
        <f aca="false">_xlfn.IFS(B2259&lt;30,"Under 30",B2259&lt;40,"30-39",B2259&lt;50,"40-49",B2259&lt;60,"50-59",TRUE(),"60+")</f>
        <v>50-59</v>
      </c>
      <c r="O2259" s="2" t="str">
        <f aca="false">_xlfn.IFS(G2259&lt;0,"1 Negative",G2259=0,"2 Zero",G2259&lt;=500,"3 1-500",G2259&lt;=2000,"4 501-2000",TRUE(),"5 Above 2000")</f>
        <v>3 1-500</v>
      </c>
      <c r="P2259" s="2" t="n">
        <f aca="false">Lookups!$B$2*M2259+Lookups!$B$3*L2259</f>
        <v>0</v>
      </c>
      <c r="Q2259" s="2" t="str">
        <f aca="false">INDEX(Lookups!$E$2:$E$5,MATCH(P2259,Lookups!$D$2:$D$5,0))</f>
        <v>Low</v>
      </c>
    </row>
    <row r="2260" customFormat="false" ht="15" hidden="false" customHeight="false" outlineLevel="0" collapsed="false">
      <c r="A2260" s="3" t="n">
        <v>2259</v>
      </c>
      <c r="B2260" s="3" t="n">
        <f aca="false">Raw_Data!A2260</f>
        <v>70</v>
      </c>
      <c r="C2260" s="3" t="str">
        <f aca="false">SUBSTITUTE(Raw_Data!B2260,".","")</f>
        <v>retired</v>
      </c>
      <c r="D2260" s="3" t="str">
        <f aca="false">Raw_Data!C2260</f>
        <v>married</v>
      </c>
      <c r="E2260" s="3" t="str">
        <f aca="false">Raw_Data!D2260</f>
        <v>primary</v>
      </c>
      <c r="F2260" s="3" t="str">
        <f aca="false">Raw_Data!E2260</f>
        <v>no</v>
      </c>
      <c r="G2260" s="3" t="n">
        <f aca="false">Raw_Data!F2260</f>
        <v>3782</v>
      </c>
      <c r="H2260" s="3" t="str">
        <f aca="false">Raw_Data!G2260</f>
        <v>no</v>
      </c>
      <c r="I2260" s="3" t="str">
        <f aca="false">Raw_Data!H2260</f>
        <v>no</v>
      </c>
      <c r="J2260" s="2" t="n">
        <f aca="false">IF(F2260="yes",1,0)</f>
        <v>0</v>
      </c>
      <c r="K2260" s="2" t="n">
        <f aca="false">IF(H2260="yes",1,0)</f>
        <v>0</v>
      </c>
      <c r="L2260" s="2" t="n">
        <f aca="false">IF(I2260="yes",1,0)</f>
        <v>0</v>
      </c>
      <c r="M2260" s="2" t="n">
        <f aca="false">IF(G2260&lt;0,1,0)</f>
        <v>0</v>
      </c>
      <c r="N2260" s="2" t="str">
        <f aca="false">_xlfn.IFS(B2260&lt;30,"Under 30",B2260&lt;40,"30-39",B2260&lt;50,"40-49",B2260&lt;60,"50-59",TRUE(),"60+")</f>
        <v>60+</v>
      </c>
      <c r="O2260" s="2" t="str">
        <f aca="false">_xlfn.IFS(G2260&lt;0,"1 Negative",G2260=0,"2 Zero",G2260&lt;=500,"3 1-500",G2260&lt;=2000,"4 501-2000",TRUE(),"5 Above 2000")</f>
        <v>5 Above 2000</v>
      </c>
      <c r="P2260" s="2" t="n">
        <f aca="false">Lookups!$B$2*M2260+Lookups!$B$3*L2260</f>
        <v>0</v>
      </c>
      <c r="Q2260" s="2" t="str">
        <f aca="false">INDEX(Lookups!$E$2:$E$5,MATCH(P2260,Lookups!$D$2:$D$5,0))</f>
        <v>Low</v>
      </c>
    </row>
    <row r="2261" customFormat="false" ht="15" hidden="false" customHeight="false" outlineLevel="0" collapsed="false">
      <c r="A2261" s="3" t="n">
        <v>2260</v>
      </c>
      <c r="B2261" s="3" t="n">
        <f aca="false">Raw_Data!A2261</f>
        <v>41</v>
      </c>
      <c r="C2261" s="3" t="str">
        <f aca="false">SUBSTITUTE(Raw_Data!B2261,".","")</f>
        <v>management</v>
      </c>
      <c r="D2261" s="3" t="str">
        <f aca="false">Raw_Data!C2261</f>
        <v>married</v>
      </c>
      <c r="E2261" s="3" t="str">
        <f aca="false">Raw_Data!D2261</f>
        <v>tertiary</v>
      </c>
      <c r="F2261" s="3" t="str">
        <f aca="false">Raw_Data!E2261</f>
        <v>no</v>
      </c>
      <c r="G2261" s="3" t="n">
        <f aca="false">Raw_Data!F2261</f>
        <v>326</v>
      </c>
      <c r="H2261" s="3" t="str">
        <f aca="false">Raw_Data!G2261</f>
        <v>yes</v>
      </c>
      <c r="I2261" s="3" t="str">
        <f aca="false">Raw_Data!H2261</f>
        <v>no</v>
      </c>
      <c r="J2261" s="2" t="n">
        <f aca="false">IF(F2261="yes",1,0)</f>
        <v>0</v>
      </c>
      <c r="K2261" s="2" t="n">
        <f aca="false">IF(H2261="yes",1,0)</f>
        <v>1</v>
      </c>
      <c r="L2261" s="2" t="n">
        <f aca="false">IF(I2261="yes",1,0)</f>
        <v>0</v>
      </c>
      <c r="M2261" s="2" t="n">
        <f aca="false">IF(G2261&lt;0,1,0)</f>
        <v>0</v>
      </c>
      <c r="N2261" s="2" t="str">
        <f aca="false">_xlfn.IFS(B2261&lt;30,"Under 30",B2261&lt;40,"30-39",B2261&lt;50,"40-49",B2261&lt;60,"50-59",TRUE(),"60+")</f>
        <v>40-49</v>
      </c>
      <c r="O2261" s="2" t="str">
        <f aca="false">_xlfn.IFS(G2261&lt;0,"1 Negative",G2261=0,"2 Zero",G2261&lt;=500,"3 1-500",G2261&lt;=2000,"4 501-2000",TRUE(),"5 Above 2000")</f>
        <v>3 1-500</v>
      </c>
      <c r="P2261" s="2" t="n">
        <f aca="false">Lookups!$B$2*M2261+Lookups!$B$3*L2261</f>
        <v>0</v>
      </c>
      <c r="Q2261" s="2" t="str">
        <f aca="false">INDEX(Lookups!$E$2:$E$5,MATCH(P2261,Lookups!$D$2:$D$5,0))</f>
        <v>Low</v>
      </c>
    </row>
    <row r="2262" customFormat="false" ht="15" hidden="false" customHeight="false" outlineLevel="0" collapsed="false">
      <c r="A2262" s="3" t="n">
        <v>2261</v>
      </c>
      <c r="B2262" s="3" t="n">
        <f aca="false">Raw_Data!A2262</f>
        <v>47</v>
      </c>
      <c r="C2262" s="3" t="str">
        <f aca="false">SUBSTITUTE(Raw_Data!B2262,".","")</f>
        <v>services</v>
      </c>
      <c r="D2262" s="3" t="str">
        <f aca="false">Raw_Data!C2262</f>
        <v>divorced</v>
      </c>
      <c r="E2262" s="3" t="str">
        <f aca="false">Raw_Data!D2262</f>
        <v>secondary</v>
      </c>
      <c r="F2262" s="3" t="str">
        <f aca="false">Raw_Data!E2262</f>
        <v>no</v>
      </c>
      <c r="G2262" s="3" t="n">
        <f aca="false">Raw_Data!F2262</f>
        <v>691</v>
      </c>
      <c r="H2262" s="3" t="str">
        <f aca="false">Raw_Data!G2262</f>
        <v>no</v>
      </c>
      <c r="I2262" s="3" t="str">
        <f aca="false">Raw_Data!H2262</f>
        <v>no</v>
      </c>
      <c r="J2262" s="2" t="n">
        <f aca="false">IF(F2262="yes",1,0)</f>
        <v>0</v>
      </c>
      <c r="K2262" s="2" t="n">
        <f aca="false">IF(H2262="yes",1,0)</f>
        <v>0</v>
      </c>
      <c r="L2262" s="2" t="n">
        <f aca="false">IF(I2262="yes",1,0)</f>
        <v>0</v>
      </c>
      <c r="M2262" s="2" t="n">
        <f aca="false">IF(G2262&lt;0,1,0)</f>
        <v>0</v>
      </c>
      <c r="N2262" s="2" t="str">
        <f aca="false">_xlfn.IFS(B2262&lt;30,"Under 30",B2262&lt;40,"30-39",B2262&lt;50,"40-49",B2262&lt;60,"50-59",TRUE(),"60+")</f>
        <v>40-49</v>
      </c>
      <c r="O2262" s="2" t="str">
        <f aca="false">_xlfn.IFS(G2262&lt;0,"1 Negative",G2262=0,"2 Zero",G2262&lt;=500,"3 1-500",G2262&lt;=2000,"4 501-2000",TRUE(),"5 Above 2000")</f>
        <v>4 501-2000</v>
      </c>
      <c r="P2262" s="2" t="n">
        <f aca="false">Lookups!$B$2*M2262+Lookups!$B$3*L2262</f>
        <v>0</v>
      </c>
      <c r="Q2262" s="2" t="str">
        <f aca="false">INDEX(Lookups!$E$2:$E$5,MATCH(P2262,Lookups!$D$2:$D$5,0))</f>
        <v>Low</v>
      </c>
    </row>
    <row r="2263" customFormat="false" ht="15" hidden="false" customHeight="false" outlineLevel="0" collapsed="false">
      <c r="A2263" s="3" t="n">
        <v>2262</v>
      </c>
      <c r="B2263" s="3" t="n">
        <f aca="false">Raw_Data!A2263</f>
        <v>34</v>
      </c>
      <c r="C2263" s="3" t="str">
        <f aca="false">SUBSTITUTE(Raw_Data!B2263,".","")</f>
        <v>technician</v>
      </c>
      <c r="D2263" s="3" t="str">
        <f aca="false">Raw_Data!C2263</f>
        <v>single</v>
      </c>
      <c r="E2263" s="3" t="str">
        <f aca="false">Raw_Data!D2263</f>
        <v>secondary</v>
      </c>
      <c r="F2263" s="3" t="str">
        <f aca="false">Raw_Data!E2263</f>
        <v>no</v>
      </c>
      <c r="G2263" s="3" t="n">
        <f aca="false">Raw_Data!F2263</f>
        <v>0</v>
      </c>
      <c r="H2263" s="3" t="str">
        <f aca="false">Raw_Data!G2263</f>
        <v>no</v>
      </c>
      <c r="I2263" s="3" t="str">
        <f aca="false">Raw_Data!H2263</f>
        <v>no</v>
      </c>
      <c r="J2263" s="2" t="n">
        <f aca="false">IF(F2263="yes",1,0)</f>
        <v>0</v>
      </c>
      <c r="K2263" s="2" t="n">
        <f aca="false">IF(H2263="yes",1,0)</f>
        <v>0</v>
      </c>
      <c r="L2263" s="2" t="n">
        <f aca="false">IF(I2263="yes",1,0)</f>
        <v>0</v>
      </c>
      <c r="M2263" s="2" t="n">
        <f aca="false">IF(G2263&lt;0,1,0)</f>
        <v>0</v>
      </c>
      <c r="N2263" s="2" t="str">
        <f aca="false">_xlfn.IFS(B2263&lt;30,"Under 30",B2263&lt;40,"30-39",B2263&lt;50,"40-49",B2263&lt;60,"50-59",TRUE(),"60+")</f>
        <v>30-39</v>
      </c>
      <c r="O2263" s="2" t="str">
        <f aca="false">_xlfn.IFS(G2263&lt;0,"1 Negative",G2263=0,"2 Zero",G2263&lt;=500,"3 1-500",G2263&lt;=2000,"4 501-2000",TRUE(),"5 Above 2000")</f>
        <v>2 Zero</v>
      </c>
      <c r="P2263" s="2" t="n">
        <f aca="false">Lookups!$B$2*M2263+Lookups!$B$3*L2263</f>
        <v>0</v>
      </c>
      <c r="Q2263" s="2" t="str">
        <f aca="false">INDEX(Lookups!$E$2:$E$5,MATCH(P2263,Lookups!$D$2:$D$5,0))</f>
        <v>Low</v>
      </c>
    </row>
    <row r="2264" customFormat="false" ht="15" hidden="false" customHeight="false" outlineLevel="0" collapsed="false">
      <c r="A2264" s="3" t="n">
        <v>2263</v>
      </c>
      <c r="B2264" s="3" t="n">
        <f aca="false">Raw_Data!A2264</f>
        <v>33</v>
      </c>
      <c r="C2264" s="3" t="str">
        <f aca="false">SUBSTITUTE(Raw_Data!B2264,".","")</f>
        <v>management</v>
      </c>
      <c r="D2264" s="3" t="str">
        <f aca="false">Raw_Data!C2264</f>
        <v>single</v>
      </c>
      <c r="E2264" s="3" t="str">
        <f aca="false">Raw_Data!D2264</f>
        <v>tertiary</v>
      </c>
      <c r="F2264" s="3" t="str">
        <f aca="false">Raw_Data!E2264</f>
        <v>no</v>
      </c>
      <c r="G2264" s="3" t="n">
        <f aca="false">Raw_Data!F2264</f>
        <v>99</v>
      </c>
      <c r="H2264" s="3" t="str">
        <f aca="false">Raw_Data!G2264</f>
        <v>no</v>
      </c>
      <c r="I2264" s="3" t="str">
        <f aca="false">Raw_Data!H2264</f>
        <v>no</v>
      </c>
      <c r="J2264" s="2" t="n">
        <f aca="false">IF(F2264="yes",1,0)</f>
        <v>0</v>
      </c>
      <c r="K2264" s="2" t="n">
        <f aca="false">IF(H2264="yes",1,0)</f>
        <v>0</v>
      </c>
      <c r="L2264" s="2" t="n">
        <f aca="false">IF(I2264="yes",1,0)</f>
        <v>0</v>
      </c>
      <c r="M2264" s="2" t="n">
        <f aca="false">IF(G2264&lt;0,1,0)</f>
        <v>0</v>
      </c>
      <c r="N2264" s="2" t="str">
        <f aca="false">_xlfn.IFS(B2264&lt;30,"Under 30",B2264&lt;40,"30-39",B2264&lt;50,"40-49",B2264&lt;60,"50-59",TRUE(),"60+")</f>
        <v>30-39</v>
      </c>
      <c r="O2264" s="2" t="str">
        <f aca="false">_xlfn.IFS(G2264&lt;0,"1 Negative",G2264=0,"2 Zero",G2264&lt;=500,"3 1-500",G2264&lt;=2000,"4 501-2000",TRUE(),"5 Above 2000")</f>
        <v>3 1-500</v>
      </c>
      <c r="P2264" s="2" t="n">
        <f aca="false">Lookups!$B$2*M2264+Lookups!$B$3*L2264</f>
        <v>0</v>
      </c>
      <c r="Q2264" s="2" t="str">
        <f aca="false">INDEX(Lookups!$E$2:$E$5,MATCH(P2264,Lookups!$D$2:$D$5,0))</f>
        <v>Low</v>
      </c>
    </row>
    <row r="2265" customFormat="false" ht="15" hidden="false" customHeight="false" outlineLevel="0" collapsed="false">
      <c r="A2265" s="3" t="n">
        <v>2264</v>
      </c>
      <c r="B2265" s="3" t="n">
        <f aca="false">Raw_Data!A2265</f>
        <v>58</v>
      </c>
      <c r="C2265" s="3" t="str">
        <f aca="false">SUBSTITUTE(Raw_Data!B2265,".","")</f>
        <v>retired</v>
      </c>
      <c r="D2265" s="3" t="str">
        <f aca="false">Raw_Data!C2265</f>
        <v>married</v>
      </c>
      <c r="E2265" s="3" t="str">
        <f aca="false">Raw_Data!D2265</f>
        <v>secondary</v>
      </c>
      <c r="F2265" s="3" t="str">
        <f aca="false">Raw_Data!E2265</f>
        <v>no</v>
      </c>
      <c r="G2265" s="3" t="n">
        <f aca="false">Raw_Data!F2265</f>
        <v>502</v>
      </c>
      <c r="H2265" s="3" t="str">
        <f aca="false">Raw_Data!G2265</f>
        <v>yes</v>
      </c>
      <c r="I2265" s="3" t="str">
        <f aca="false">Raw_Data!H2265</f>
        <v>no</v>
      </c>
      <c r="J2265" s="2" t="n">
        <f aca="false">IF(F2265="yes",1,0)</f>
        <v>0</v>
      </c>
      <c r="K2265" s="2" t="n">
        <f aca="false">IF(H2265="yes",1,0)</f>
        <v>1</v>
      </c>
      <c r="L2265" s="2" t="n">
        <f aca="false">IF(I2265="yes",1,0)</f>
        <v>0</v>
      </c>
      <c r="M2265" s="2" t="n">
        <f aca="false">IF(G2265&lt;0,1,0)</f>
        <v>0</v>
      </c>
      <c r="N2265" s="2" t="str">
        <f aca="false">_xlfn.IFS(B2265&lt;30,"Under 30",B2265&lt;40,"30-39",B2265&lt;50,"40-49",B2265&lt;60,"50-59",TRUE(),"60+")</f>
        <v>50-59</v>
      </c>
      <c r="O2265" s="2" t="str">
        <f aca="false">_xlfn.IFS(G2265&lt;0,"1 Negative",G2265=0,"2 Zero",G2265&lt;=500,"3 1-500",G2265&lt;=2000,"4 501-2000",TRUE(),"5 Above 2000")</f>
        <v>4 501-2000</v>
      </c>
      <c r="P2265" s="2" t="n">
        <f aca="false">Lookups!$B$2*M2265+Lookups!$B$3*L2265</f>
        <v>0</v>
      </c>
      <c r="Q2265" s="2" t="str">
        <f aca="false">INDEX(Lookups!$E$2:$E$5,MATCH(P2265,Lookups!$D$2:$D$5,0))</f>
        <v>Low</v>
      </c>
    </row>
    <row r="2266" customFormat="false" ht="15" hidden="false" customHeight="false" outlineLevel="0" collapsed="false">
      <c r="A2266" s="3" t="n">
        <v>2265</v>
      </c>
      <c r="B2266" s="3" t="n">
        <f aca="false">Raw_Data!A2266</f>
        <v>51</v>
      </c>
      <c r="C2266" s="3" t="str">
        <f aca="false">SUBSTITUTE(Raw_Data!B2266,".","")</f>
        <v>management</v>
      </c>
      <c r="D2266" s="3" t="str">
        <f aca="false">Raw_Data!C2266</f>
        <v>married</v>
      </c>
      <c r="E2266" s="3" t="str">
        <f aca="false">Raw_Data!D2266</f>
        <v>tertiary</v>
      </c>
      <c r="F2266" s="3" t="str">
        <f aca="false">Raw_Data!E2266</f>
        <v>no</v>
      </c>
      <c r="G2266" s="3" t="n">
        <f aca="false">Raw_Data!F2266</f>
        <v>-15</v>
      </c>
      <c r="H2266" s="3" t="str">
        <f aca="false">Raw_Data!G2266</f>
        <v>no</v>
      </c>
      <c r="I2266" s="3" t="str">
        <f aca="false">Raw_Data!H2266</f>
        <v>no</v>
      </c>
      <c r="J2266" s="2" t="n">
        <f aca="false">IF(F2266="yes",1,0)</f>
        <v>0</v>
      </c>
      <c r="K2266" s="2" t="n">
        <f aca="false">IF(H2266="yes",1,0)</f>
        <v>0</v>
      </c>
      <c r="L2266" s="2" t="n">
        <f aca="false">IF(I2266="yes",1,0)</f>
        <v>0</v>
      </c>
      <c r="M2266" s="2" t="n">
        <f aca="false">IF(G2266&lt;0,1,0)</f>
        <v>1</v>
      </c>
      <c r="N2266" s="2" t="str">
        <f aca="false">_xlfn.IFS(B2266&lt;30,"Under 30",B2266&lt;40,"30-39",B2266&lt;50,"40-49",B2266&lt;60,"50-59",TRUE(),"60+")</f>
        <v>50-59</v>
      </c>
      <c r="O2266" s="2" t="str">
        <f aca="false">_xlfn.IFS(G2266&lt;0,"1 Negative",G2266=0,"2 Zero",G2266&lt;=500,"3 1-500",G2266&lt;=2000,"4 501-2000",TRUE(),"5 Above 2000")</f>
        <v>1 Negative</v>
      </c>
      <c r="P2266" s="2" t="n">
        <f aca="false">Lookups!$B$2*M2266+Lookups!$B$3*L2266</f>
        <v>2</v>
      </c>
      <c r="Q2266" s="2" t="str">
        <f aca="false">INDEX(Lookups!$E$2:$E$5,MATCH(P2266,Lookups!$D$2:$D$5,0))</f>
        <v>High</v>
      </c>
    </row>
    <row r="2267" customFormat="false" ht="15" hidden="false" customHeight="false" outlineLevel="0" collapsed="false">
      <c r="A2267" s="3" t="n">
        <v>2266</v>
      </c>
      <c r="B2267" s="3" t="n">
        <f aca="false">Raw_Data!A2267</f>
        <v>45</v>
      </c>
      <c r="C2267" s="3" t="str">
        <f aca="false">SUBSTITUTE(Raw_Data!B2267,".","")</f>
        <v>management</v>
      </c>
      <c r="D2267" s="3" t="str">
        <f aca="false">Raw_Data!C2267</f>
        <v>married</v>
      </c>
      <c r="E2267" s="3" t="str">
        <f aca="false">Raw_Data!D2267</f>
        <v>tertiary</v>
      </c>
      <c r="F2267" s="3" t="str">
        <f aca="false">Raw_Data!E2267</f>
        <v>no</v>
      </c>
      <c r="G2267" s="3" t="n">
        <f aca="false">Raw_Data!F2267</f>
        <v>1929</v>
      </c>
      <c r="H2267" s="3" t="str">
        <f aca="false">Raw_Data!G2267</f>
        <v>yes</v>
      </c>
      <c r="I2267" s="3" t="str">
        <f aca="false">Raw_Data!H2267</f>
        <v>no</v>
      </c>
      <c r="J2267" s="2" t="n">
        <f aca="false">IF(F2267="yes",1,0)</f>
        <v>0</v>
      </c>
      <c r="K2267" s="2" t="n">
        <f aca="false">IF(H2267="yes",1,0)</f>
        <v>1</v>
      </c>
      <c r="L2267" s="2" t="n">
        <f aca="false">IF(I2267="yes",1,0)</f>
        <v>0</v>
      </c>
      <c r="M2267" s="2" t="n">
        <f aca="false">IF(G2267&lt;0,1,0)</f>
        <v>0</v>
      </c>
      <c r="N2267" s="2" t="str">
        <f aca="false">_xlfn.IFS(B2267&lt;30,"Under 30",B2267&lt;40,"30-39",B2267&lt;50,"40-49",B2267&lt;60,"50-59",TRUE(),"60+")</f>
        <v>40-49</v>
      </c>
      <c r="O2267" s="2" t="str">
        <f aca="false">_xlfn.IFS(G2267&lt;0,"1 Negative",G2267=0,"2 Zero",G2267&lt;=500,"3 1-500",G2267&lt;=2000,"4 501-2000",TRUE(),"5 Above 2000")</f>
        <v>4 501-2000</v>
      </c>
      <c r="P2267" s="2" t="n">
        <f aca="false">Lookups!$B$2*M2267+Lookups!$B$3*L2267</f>
        <v>0</v>
      </c>
      <c r="Q2267" s="2" t="str">
        <f aca="false">INDEX(Lookups!$E$2:$E$5,MATCH(P2267,Lookups!$D$2:$D$5,0))</f>
        <v>Low</v>
      </c>
    </row>
    <row r="2268" customFormat="false" ht="15" hidden="false" customHeight="false" outlineLevel="0" collapsed="false">
      <c r="A2268" s="3" t="n">
        <v>2267</v>
      </c>
      <c r="B2268" s="3" t="n">
        <f aca="false">Raw_Data!A2268</f>
        <v>55</v>
      </c>
      <c r="C2268" s="3" t="str">
        <f aca="false">SUBSTITUTE(Raw_Data!B2268,".","")</f>
        <v>admin</v>
      </c>
      <c r="D2268" s="3" t="str">
        <f aca="false">Raw_Data!C2268</f>
        <v>married</v>
      </c>
      <c r="E2268" s="3" t="str">
        <f aca="false">Raw_Data!D2268</f>
        <v>secondary</v>
      </c>
      <c r="F2268" s="3" t="str">
        <f aca="false">Raw_Data!E2268</f>
        <v>no</v>
      </c>
      <c r="G2268" s="3" t="n">
        <f aca="false">Raw_Data!F2268</f>
        <v>0</v>
      </c>
      <c r="H2268" s="3" t="str">
        <f aca="false">Raw_Data!G2268</f>
        <v>no</v>
      </c>
      <c r="I2268" s="3" t="str">
        <f aca="false">Raw_Data!H2268</f>
        <v>no</v>
      </c>
      <c r="J2268" s="2" t="n">
        <f aca="false">IF(F2268="yes",1,0)</f>
        <v>0</v>
      </c>
      <c r="K2268" s="2" t="n">
        <f aca="false">IF(H2268="yes",1,0)</f>
        <v>0</v>
      </c>
      <c r="L2268" s="2" t="n">
        <f aca="false">IF(I2268="yes",1,0)</f>
        <v>0</v>
      </c>
      <c r="M2268" s="2" t="n">
        <f aca="false">IF(G2268&lt;0,1,0)</f>
        <v>0</v>
      </c>
      <c r="N2268" s="2" t="str">
        <f aca="false">_xlfn.IFS(B2268&lt;30,"Under 30",B2268&lt;40,"30-39",B2268&lt;50,"40-49",B2268&lt;60,"50-59",TRUE(),"60+")</f>
        <v>50-59</v>
      </c>
      <c r="O2268" s="2" t="str">
        <f aca="false">_xlfn.IFS(G2268&lt;0,"1 Negative",G2268=0,"2 Zero",G2268&lt;=500,"3 1-500",G2268&lt;=2000,"4 501-2000",TRUE(),"5 Above 2000")</f>
        <v>2 Zero</v>
      </c>
      <c r="P2268" s="2" t="n">
        <f aca="false">Lookups!$B$2*M2268+Lookups!$B$3*L2268</f>
        <v>0</v>
      </c>
      <c r="Q2268" s="2" t="str">
        <f aca="false">INDEX(Lookups!$E$2:$E$5,MATCH(P2268,Lookups!$D$2:$D$5,0))</f>
        <v>Low</v>
      </c>
    </row>
    <row r="2269" customFormat="false" ht="15" hidden="false" customHeight="false" outlineLevel="0" collapsed="false">
      <c r="A2269" s="3" t="n">
        <v>2268</v>
      </c>
      <c r="B2269" s="3" t="n">
        <f aca="false">Raw_Data!A2269</f>
        <v>30</v>
      </c>
      <c r="C2269" s="3" t="str">
        <f aca="false">SUBSTITUTE(Raw_Data!B2269,".","")</f>
        <v>blue-collar</v>
      </c>
      <c r="D2269" s="3" t="str">
        <f aca="false">Raw_Data!C2269</f>
        <v>single</v>
      </c>
      <c r="E2269" s="3" t="str">
        <f aca="false">Raw_Data!D2269</f>
        <v>primary</v>
      </c>
      <c r="F2269" s="3" t="str">
        <f aca="false">Raw_Data!E2269</f>
        <v>no</v>
      </c>
      <c r="G2269" s="3" t="n">
        <f aca="false">Raw_Data!F2269</f>
        <v>185</v>
      </c>
      <c r="H2269" s="3" t="str">
        <f aca="false">Raw_Data!G2269</f>
        <v>no</v>
      </c>
      <c r="I2269" s="3" t="str">
        <f aca="false">Raw_Data!H2269</f>
        <v>no</v>
      </c>
      <c r="J2269" s="2" t="n">
        <f aca="false">IF(F2269="yes",1,0)</f>
        <v>0</v>
      </c>
      <c r="K2269" s="2" t="n">
        <f aca="false">IF(H2269="yes",1,0)</f>
        <v>0</v>
      </c>
      <c r="L2269" s="2" t="n">
        <f aca="false">IF(I2269="yes",1,0)</f>
        <v>0</v>
      </c>
      <c r="M2269" s="2" t="n">
        <f aca="false">IF(G2269&lt;0,1,0)</f>
        <v>0</v>
      </c>
      <c r="N2269" s="2" t="str">
        <f aca="false">_xlfn.IFS(B2269&lt;30,"Under 30",B2269&lt;40,"30-39",B2269&lt;50,"40-49",B2269&lt;60,"50-59",TRUE(),"60+")</f>
        <v>30-39</v>
      </c>
      <c r="O2269" s="2" t="str">
        <f aca="false">_xlfn.IFS(G2269&lt;0,"1 Negative",G2269=0,"2 Zero",G2269&lt;=500,"3 1-500",G2269&lt;=2000,"4 501-2000",TRUE(),"5 Above 2000")</f>
        <v>3 1-500</v>
      </c>
      <c r="P2269" s="2" t="n">
        <f aca="false">Lookups!$B$2*M2269+Lookups!$B$3*L2269</f>
        <v>0</v>
      </c>
      <c r="Q2269" s="2" t="str">
        <f aca="false">INDEX(Lookups!$E$2:$E$5,MATCH(P2269,Lookups!$D$2:$D$5,0))</f>
        <v>Low</v>
      </c>
    </row>
    <row r="2270" customFormat="false" ht="15" hidden="false" customHeight="false" outlineLevel="0" collapsed="false">
      <c r="A2270" s="3" t="n">
        <v>2269</v>
      </c>
      <c r="B2270" s="3" t="n">
        <f aca="false">Raw_Data!A2270</f>
        <v>33</v>
      </c>
      <c r="C2270" s="3" t="str">
        <f aca="false">SUBSTITUTE(Raw_Data!B2270,".","")</f>
        <v>management</v>
      </c>
      <c r="D2270" s="3" t="str">
        <f aca="false">Raw_Data!C2270</f>
        <v>single</v>
      </c>
      <c r="E2270" s="3" t="str">
        <f aca="false">Raw_Data!D2270</f>
        <v>secondary</v>
      </c>
      <c r="F2270" s="3" t="str">
        <f aca="false">Raw_Data!E2270</f>
        <v>no</v>
      </c>
      <c r="G2270" s="3" t="n">
        <f aca="false">Raw_Data!F2270</f>
        <v>-424</v>
      </c>
      <c r="H2270" s="3" t="str">
        <f aca="false">Raw_Data!G2270</f>
        <v>yes</v>
      </c>
      <c r="I2270" s="3" t="str">
        <f aca="false">Raw_Data!H2270</f>
        <v>no</v>
      </c>
      <c r="J2270" s="2" t="n">
        <f aca="false">IF(F2270="yes",1,0)</f>
        <v>0</v>
      </c>
      <c r="K2270" s="2" t="n">
        <f aca="false">IF(H2270="yes",1,0)</f>
        <v>1</v>
      </c>
      <c r="L2270" s="2" t="n">
        <f aca="false">IF(I2270="yes",1,0)</f>
        <v>0</v>
      </c>
      <c r="M2270" s="2" t="n">
        <f aca="false">IF(G2270&lt;0,1,0)</f>
        <v>1</v>
      </c>
      <c r="N2270" s="2" t="str">
        <f aca="false">_xlfn.IFS(B2270&lt;30,"Under 30",B2270&lt;40,"30-39",B2270&lt;50,"40-49",B2270&lt;60,"50-59",TRUE(),"60+")</f>
        <v>30-39</v>
      </c>
      <c r="O2270" s="2" t="str">
        <f aca="false">_xlfn.IFS(G2270&lt;0,"1 Negative",G2270=0,"2 Zero",G2270&lt;=500,"3 1-500",G2270&lt;=2000,"4 501-2000",TRUE(),"5 Above 2000")</f>
        <v>1 Negative</v>
      </c>
      <c r="P2270" s="2" t="n">
        <f aca="false">Lookups!$B$2*M2270+Lookups!$B$3*L2270</f>
        <v>2</v>
      </c>
      <c r="Q2270" s="2" t="str">
        <f aca="false">INDEX(Lookups!$E$2:$E$5,MATCH(P2270,Lookups!$D$2:$D$5,0))</f>
        <v>High</v>
      </c>
    </row>
    <row r="2271" customFormat="false" ht="15" hidden="false" customHeight="false" outlineLevel="0" collapsed="false">
      <c r="A2271" s="3" t="n">
        <v>2270</v>
      </c>
      <c r="B2271" s="3" t="n">
        <f aca="false">Raw_Data!A2271</f>
        <v>27</v>
      </c>
      <c r="C2271" s="3" t="str">
        <f aca="false">SUBSTITUTE(Raw_Data!B2271,".","")</f>
        <v>services</v>
      </c>
      <c r="D2271" s="3" t="str">
        <f aca="false">Raw_Data!C2271</f>
        <v>single</v>
      </c>
      <c r="E2271" s="3" t="str">
        <f aca="false">Raw_Data!D2271</f>
        <v>secondary</v>
      </c>
      <c r="F2271" s="3" t="str">
        <f aca="false">Raw_Data!E2271</f>
        <v>no</v>
      </c>
      <c r="G2271" s="3" t="n">
        <f aca="false">Raw_Data!F2271</f>
        <v>0</v>
      </c>
      <c r="H2271" s="3" t="str">
        <f aca="false">Raw_Data!G2271</f>
        <v>yes</v>
      </c>
      <c r="I2271" s="3" t="str">
        <f aca="false">Raw_Data!H2271</f>
        <v>no</v>
      </c>
      <c r="J2271" s="2" t="n">
        <f aca="false">IF(F2271="yes",1,0)</f>
        <v>0</v>
      </c>
      <c r="K2271" s="2" t="n">
        <f aca="false">IF(H2271="yes",1,0)</f>
        <v>1</v>
      </c>
      <c r="L2271" s="2" t="n">
        <f aca="false">IF(I2271="yes",1,0)</f>
        <v>0</v>
      </c>
      <c r="M2271" s="2" t="n">
        <f aca="false">IF(G2271&lt;0,1,0)</f>
        <v>0</v>
      </c>
      <c r="N2271" s="2" t="str">
        <f aca="false">_xlfn.IFS(B2271&lt;30,"Under 30",B2271&lt;40,"30-39",B2271&lt;50,"40-49",B2271&lt;60,"50-59",TRUE(),"60+")</f>
        <v>Under 30</v>
      </c>
      <c r="O2271" s="2" t="str">
        <f aca="false">_xlfn.IFS(G2271&lt;0,"1 Negative",G2271=0,"2 Zero",G2271&lt;=500,"3 1-500",G2271&lt;=2000,"4 501-2000",TRUE(),"5 Above 2000")</f>
        <v>2 Zero</v>
      </c>
      <c r="P2271" s="2" t="n">
        <f aca="false">Lookups!$B$2*M2271+Lookups!$B$3*L2271</f>
        <v>0</v>
      </c>
      <c r="Q2271" s="2" t="str">
        <f aca="false">INDEX(Lookups!$E$2:$E$5,MATCH(P2271,Lookups!$D$2:$D$5,0))</f>
        <v>Low</v>
      </c>
    </row>
    <row r="2272" customFormat="false" ht="15" hidden="false" customHeight="false" outlineLevel="0" collapsed="false">
      <c r="A2272" s="3" t="n">
        <v>2271</v>
      </c>
      <c r="B2272" s="3" t="n">
        <f aca="false">Raw_Data!A2272</f>
        <v>59</v>
      </c>
      <c r="C2272" s="3" t="str">
        <f aca="false">SUBSTITUTE(Raw_Data!B2272,".","")</f>
        <v>retired</v>
      </c>
      <c r="D2272" s="3" t="str">
        <f aca="false">Raw_Data!C2272</f>
        <v>married</v>
      </c>
      <c r="E2272" s="3" t="str">
        <f aca="false">Raw_Data!D2272</f>
        <v>secondary</v>
      </c>
      <c r="F2272" s="3" t="str">
        <f aca="false">Raw_Data!E2272</f>
        <v>no</v>
      </c>
      <c r="G2272" s="3" t="n">
        <f aca="false">Raw_Data!F2272</f>
        <v>319</v>
      </c>
      <c r="H2272" s="3" t="str">
        <f aca="false">Raw_Data!G2272</f>
        <v>yes</v>
      </c>
      <c r="I2272" s="3" t="str">
        <f aca="false">Raw_Data!H2272</f>
        <v>no</v>
      </c>
      <c r="J2272" s="2" t="n">
        <f aca="false">IF(F2272="yes",1,0)</f>
        <v>0</v>
      </c>
      <c r="K2272" s="2" t="n">
        <f aca="false">IF(H2272="yes",1,0)</f>
        <v>1</v>
      </c>
      <c r="L2272" s="2" t="n">
        <f aca="false">IF(I2272="yes",1,0)</f>
        <v>0</v>
      </c>
      <c r="M2272" s="2" t="n">
        <f aca="false">IF(G2272&lt;0,1,0)</f>
        <v>0</v>
      </c>
      <c r="N2272" s="2" t="str">
        <f aca="false">_xlfn.IFS(B2272&lt;30,"Under 30",B2272&lt;40,"30-39",B2272&lt;50,"40-49",B2272&lt;60,"50-59",TRUE(),"60+")</f>
        <v>50-59</v>
      </c>
      <c r="O2272" s="2" t="str">
        <f aca="false">_xlfn.IFS(G2272&lt;0,"1 Negative",G2272=0,"2 Zero",G2272&lt;=500,"3 1-500",G2272&lt;=2000,"4 501-2000",TRUE(),"5 Above 2000")</f>
        <v>3 1-500</v>
      </c>
      <c r="P2272" s="2" t="n">
        <f aca="false">Lookups!$B$2*M2272+Lookups!$B$3*L2272</f>
        <v>0</v>
      </c>
      <c r="Q2272" s="2" t="str">
        <f aca="false">INDEX(Lookups!$E$2:$E$5,MATCH(P2272,Lookups!$D$2:$D$5,0))</f>
        <v>Low</v>
      </c>
    </row>
    <row r="2273" customFormat="false" ht="15" hidden="false" customHeight="false" outlineLevel="0" collapsed="false">
      <c r="A2273" s="3" t="n">
        <v>2272</v>
      </c>
      <c r="B2273" s="3" t="n">
        <f aca="false">Raw_Data!A2273</f>
        <v>34</v>
      </c>
      <c r="C2273" s="3" t="str">
        <f aca="false">SUBSTITUTE(Raw_Data!B2273,".","")</f>
        <v>management</v>
      </c>
      <c r="D2273" s="3" t="str">
        <f aca="false">Raw_Data!C2273</f>
        <v>single</v>
      </c>
      <c r="E2273" s="3" t="str">
        <f aca="false">Raw_Data!D2273</f>
        <v>tertiary</v>
      </c>
      <c r="F2273" s="3" t="str">
        <f aca="false">Raw_Data!E2273</f>
        <v>no</v>
      </c>
      <c r="G2273" s="3" t="n">
        <f aca="false">Raw_Data!F2273</f>
        <v>171</v>
      </c>
      <c r="H2273" s="3" t="str">
        <f aca="false">Raw_Data!G2273</f>
        <v>yes</v>
      </c>
      <c r="I2273" s="3" t="str">
        <f aca="false">Raw_Data!H2273</f>
        <v>no</v>
      </c>
      <c r="J2273" s="2" t="n">
        <f aca="false">IF(F2273="yes",1,0)</f>
        <v>0</v>
      </c>
      <c r="K2273" s="2" t="n">
        <f aca="false">IF(H2273="yes",1,0)</f>
        <v>1</v>
      </c>
      <c r="L2273" s="2" t="n">
        <f aca="false">IF(I2273="yes",1,0)</f>
        <v>0</v>
      </c>
      <c r="M2273" s="2" t="n">
        <f aca="false">IF(G2273&lt;0,1,0)</f>
        <v>0</v>
      </c>
      <c r="N2273" s="2" t="str">
        <f aca="false">_xlfn.IFS(B2273&lt;30,"Under 30",B2273&lt;40,"30-39",B2273&lt;50,"40-49",B2273&lt;60,"50-59",TRUE(),"60+")</f>
        <v>30-39</v>
      </c>
      <c r="O2273" s="2" t="str">
        <f aca="false">_xlfn.IFS(G2273&lt;0,"1 Negative",G2273=0,"2 Zero",G2273&lt;=500,"3 1-500",G2273&lt;=2000,"4 501-2000",TRUE(),"5 Above 2000")</f>
        <v>3 1-500</v>
      </c>
      <c r="P2273" s="2" t="n">
        <f aca="false">Lookups!$B$2*M2273+Lookups!$B$3*L2273</f>
        <v>0</v>
      </c>
      <c r="Q2273" s="2" t="str">
        <f aca="false">INDEX(Lookups!$E$2:$E$5,MATCH(P2273,Lookups!$D$2:$D$5,0))</f>
        <v>Low</v>
      </c>
    </row>
    <row r="2274" customFormat="false" ht="15" hidden="false" customHeight="false" outlineLevel="0" collapsed="false">
      <c r="A2274" s="3" t="n">
        <v>2273</v>
      </c>
      <c r="B2274" s="3" t="n">
        <f aca="false">Raw_Data!A2274</f>
        <v>47</v>
      </c>
      <c r="C2274" s="3" t="str">
        <f aca="false">SUBSTITUTE(Raw_Data!B2274,".","")</f>
        <v>technician</v>
      </c>
      <c r="D2274" s="3" t="str">
        <f aca="false">Raw_Data!C2274</f>
        <v>divorced</v>
      </c>
      <c r="E2274" s="3" t="str">
        <f aca="false">Raw_Data!D2274</f>
        <v>tertiary</v>
      </c>
      <c r="F2274" s="3" t="str">
        <f aca="false">Raw_Data!E2274</f>
        <v>no</v>
      </c>
      <c r="G2274" s="3" t="n">
        <f aca="false">Raw_Data!F2274</f>
        <v>-1148</v>
      </c>
      <c r="H2274" s="3" t="str">
        <f aca="false">Raw_Data!G2274</f>
        <v>yes</v>
      </c>
      <c r="I2274" s="3" t="str">
        <f aca="false">Raw_Data!H2274</f>
        <v>yes</v>
      </c>
      <c r="J2274" s="2" t="n">
        <f aca="false">IF(F2274="yes",1,0)</f>
        <v>0</v>
      </c>
      <c r="K2274" s="2" t="n">
        <f aca="false">IF(H2274="yes",1,0)</f>
        <v>1</v>
      </c>
      <c r="L2274" s="2" t="n">
        <f aca="false">IF(I2274="yes",1,0)</f>
        <v>1</v>
      </c>
      <c r="M2274" s="2" t="n">
        <f aca="false">IF(G2274&lt;0,1,0)</f>
        <v>1</v>
      </c>
      <c r="N2274" s="2" t="str">
        <f aca="false">_xlfn.IFS(B2274&lt;30,"Under 30",B2274&lt;40,"30-39",B2274&lt;50,"40-49",B2274&lt;60,"50-59",TRUE(),"60+")</f>
        <v>40-49</v>
      </c>
      <c r="O2274" s="2" t="str">
        <f aca="false">_xlfn.IFS(G2274&lt;0,"1 Negative",G2274=0,"2 Zero",G2274&lt;=500,"3 1-500",G2274&lt;=2000,"4 501-2000",TRUE(),"5 Above 2000")</f>
        <v>1 Negative</v>
      </c>
      <c r="P2274" s="2" t="n">
        <f aca="false">Lookups!$B$2*M2274+Lookups!$B$3*L2274</f>
        <v>3</v>
      </c>
      <c r="Q2274" s="2" t="str">
        <f aca="false">INDEX(Lookups!$E$2:$E$5,MATCH(P2274,Lookups!$D$2:$D$5,0))</f>
        <v>High</v>
      </c>
    </row>
    <row r="2275" customFormat="false" ht="15" hidden="false" customHeight="false" outlineLevel="0" collapsed="false">
      <c r="A2275" s="3" t="n">
        <v>2274</v>
      </c>
      <c r="B2275" s="3" t="n">
        <f aca="false">Raw_Data!A2275</f>
        <v>44</v>
      </c>
      <c r="C2275" s="3" t="str">
        <f aca="false">SUBSTITUTE(Raw_Data!B2275,".","")</f>
        <v>blue-collar</v>
      </c>
      <c r="D2275" s="3" t="str">
        <f aca="false">Raw_Data!C2275</f>
        <v>married</v>
      </c>
      <c r="E2275" s="3" t="str">
        <f aca="false">Raw_Data!D2275</f>
        <v>primary</v>
      </c>
      <c r="F2275" s="3" t="str">
        <f aca="false">Raw_Data!E2275</f>
        <v>no</v>
      </c>
      <c r="G2275" s="3" t="n">
        <f aca="false">Raw_Data!F2275</f>
        <v>-11</v>
      </c>
      <c r="H2275" s="3" t="str">
        <f aca="false">Raw_Data!G2275</f>
        <v>yes</v>
      </c>
      <c r="I2275" s="3" t="str">
        <f aca="false">Raw_Data!H2275</f>
        <v>no</v>
      </c>
      <c r="J2275" s="2" t="n">
        <f aca="false">IF(F2275="yes",1,0)</f>
        <v>0</v>
      </c>
      <c r="K2275" s="2" t="n">
        <f aca="false">IF(H2275="yes",1,0)</f>
        <v>1</v>
      </c>
      <c r="L2275" s="2" t="n">
        <f aca="false">IF(I2275="yes",1,0)</f>
        <v>0</v>
      </c>
      <c r="M2275" s="2" t="n">
        <f aca="false">IF(G2275&lt;0,1,0)</f>
        <v>1</v>
      </c>
      <c r="N2275" s="2" t="str">
        <f aca="false">_xlfn.IFS(B2275&lt;30,"Under 30",B2275&lt;40,"30-39",B2275&lt;50,"40-49",B2275&lt;60,"50-59",TRUE(),"60+")</f>
        <v>40-49</v>
      </c>
      <c r="O2275" s="2" t="str">
        <f aca="false">_xlfn.IFS(G2275&lt;0,"1 Negative",G2275=0,"2 Zero",G2275&lt;=500,"3 1-500",G2275&lt;=2000,"4 501-2000",TRUE(),"5 Above 2000")</f>
        <v>1 Negative</v>
      </c>
      <c r="P2275" s="2" t="n">
        <f aca="false">Lookups!$B$2*M2275+Lookups!$B$3*L2275</f>
        <v>2</v>
      </c>
      <c r="Q2275" s="2" t="str">
        <f aca="false">INDEX(Lookups!$E$2:$E$5,MATCH(P2275,Lookups!$D$2:$D$5,0))</f>
        <v>High</v>
      </c>
    </row>
    <row r="2276" customFormat="false" ht="15" hidden="false" customHeight="false" outlineLevel="0" collapsed="false">
      <c r="A2276" s="3" t="n">
        <v>2275</v>
      </c>
      <c r="B2276" s="3" t="n">
        <f aca="false">Raw_Data!A2276</f>
        <v>35</v>
      </c>
      <c r="C2276" s="3" t="str">
        <f aca="false">SUBSTITUTE(Raw_Data!B2276,".","")</f>
        <v>admin</v>
      </c>
      <c r="D2276" s="3" t="str">
        <f aca="false">Raw_Data!C2276</f>
        <v>single</v>
      </c>
      <c r="E2276" s="3" t="str">
        <f aca="false">Raw_Data!D2276</f>
        <v>secondary</v>
      </c>
      <c r="F2276" s="3" t="str">
        <f aca="false">Raw_Data!E2276</f>
        <v>no</v>
      </c>
      <c r="G2276" s="3" t="n">
        <f aca="false">Raw_Data!F2276</f>
        <v>0</v>
      </c>
      <c r="H2276" s="3" t="str">
        <f aca="false">Raw_Data!G2276</f>
        <v>yes</v>
      </c>
      <c r="I2276" s="3" t="str">
        <f aca="false">Raw_Data!H2276</f>
        <v>no</v>
      </c>
      <c r="J2276" s="2" t="n">
        <f aca="false">IF(F2276="yes",1,0)</f>
        <v>0</v>
      </c>
      <c r="K2276" s="2" t="n">
        <f aca="false">IF(H2276="yes",1,0)</f>
        <v>1</v>
      </c>
      <c r="L2276" s="2" t="n">
        <f aca="false">IF(I2276="yes",1,0)</f>
        <v>0</v>
      </c>
      <c r="M2276" s="2" t="n">
        <f aca="false">IF(G2276&lt;0,1,0)</f>
        <v>0</v>
      </c>
      <c r="N2276" s="2" t="str">
        <f aca="false">_xlfn.IFS(B2276&lt;30,"Under 30",B2276&lt;40,"30-39",B2276&lt;50,"40-49",B2276&lt;60,"50-59",TRUE(),"60+")</f>
        <v>30-39</v>
      </c>
      <c r="O2276" s="2" t="str">
        <f aca="false">_xlfn.IFS(G2276&lt;0,"1 Negative",G2276=0,"2 Zero",G2276&lt;=500,"3 1-500",G2276&lt;=2000,"4 501-2000",TRUE(),"5 Above 2000")</f>
        <v>2 Zero</v>
      </c>
      <c r="P2276" s="2" t="n">
        <f aca="false">Lookups!$B$2*M2276+Lookups!$B$3*L2276</f>
        <v>0</v>
      </c>
      <c r="Q2276" s="2" t="str">
        <f aca="false">INDEX(Lookups!$E$2:$E$5,MATCH(P2276,Lookups!$D$2:$D$5,0))</f>
        <v>Low</v>
      </c>
    </row>
    <row r="2277" customFormat="false" ht="15" hidden="false" customHeight="false" outlineLevel="0" collapsed="false">
      <c r="A2277" s="3" t="n">
        <v>2276</v>
      </c>
      <c r="B2277" s="3" t="n">
        <f aca="false">Raw_Data!A2277</f>
        <v>45</v>
      </c>
      <c r="C2277" s="3" t="str">
        <f aca="false">SUBSTITUTE(Raw_Data!B2277,".","")</f>
        <v>management</v>
      </c>
      <c r="D2277" s="3" t="str">
        <f aca="false">Raw_Data!C2277</f>
        <v>married</v>
      </c>
      <c r="E2277" s="3" t="str">
        <f aca="false">Raw_Data!D2277</f>
        <v>tertiary</v>
      </c>
      <c r="F2277" s="3" t="str">
        <f aca="false">Raw_Data!E2277</f>
        <v>no</v>
      </c>
      <c r="G2277" s="3" t="n">
        <f aca="false">Raw_Data!F2277</f>
        <v>-206</v>
      </c>
      <c r="H2277" s="3" t="str">
        <f aca="false">Raw_Data!G2277</f>
        <v>yes</v>
      </c>
      <c r="I2277" s="3" t="str">
        <f aca="false">Raw_Data!H2277</f>
        <v>no</v>
      </c>
      <c r="J2277" s="2" t="n">
        <f aca="false">IF(F2277="yes",1,0)</f>
        <v>0</v>
      </c>
      <c r="K2277" s="2" t="n">
        <f aca="false">IF(H2277="yes",1,0)</f>
        <v>1</v>
      </c>
      <c r="L2277" s="2" t="n">
        <f aca="false">IF(I2277="yes",1,0)</f>
        <v>0</v>
      </c>
      <c r="M2277" s="2" t="n">
        <f aca="false">IF(G2277&lt;0,1,0)</f>
        <v>1</v>
      </c>
      <c r="N2277" s="2" t="str">
        <f aca="false">_xlfn.IFS(B2277&lt;30,"Under 30",B2277&lt;40,"30-39",B2277&lt;50,"40-49",B2277&lt;60,"50-59",TRUE(),"60+")</f>
        <v>40-49</v>
      </c>
      <c r="O2277" s="2" t="str">
        <f aca="false">_xlfn.IFS(G2277&lt;0,"1 Negative",G2277=0,"2 Zero",G2277&lt;=500,"3 1-500",G2277&lt;=2000,"4 501-2000",TRUE(),"5 Above 2000")</f>
        <v>1 Negative</v>
      </c>
      <c r="P2277" s="2" t="n">
        <f aca="false">Lookups!$B$2*M2277+Lookups!$B$3*L2277</f>
        <v>2</v>
      </c>
      <c r="Q2277" s="2" t="str">
        <f aca="false">INDEX(Lookups!$E$2:$E$5,MATCH(P2277,Lookups!$D$2:$D$5,0))</f>
        <v>High</v>
      </c>
    </row>
    <row r="2278" customFormat="false" ht="15" hidden="false" customHeight="false" outlineLevel="0" collapsed="false">
      <c r="A2278" s="3" t="n">
        <v>2277</v>
      </c>
      <c r="B2278" s="3" t="n">
        <f aca="false">Raw_Data!A2278</f>
        <v>42</v>
      </c>
      <c r="C2278" s="3" t="str">
        <f aca="false">SUBSTITUTE(Raw_Data!B2278,".","")</f>
        <v>blue-collar</v>
      </c>
      <c r="D2278" s="3" t="str">
        <f aca="false">Raw_Data!C2278</f>
        <v>married</v>
      </c>
      <c r="E2278" s="3" t="str">
        <f aca="false">Raw_Data!D2278</f>
        <v>primary</v>
      </c>
      <c r="F2278" s="3" t="str">
        <f aca="false">Raw_Data!E2278</f>
        <v>no</v>
      </c>
      <c r="G2278" s="3" t="n">
        <f aca="false">Raw_Data!F2278</f>
        <v>704</v>
      </c>
      <c r="H2278" s="3" t="str">
        <f aca="false">Raw_Data!G2278</f>
        <v>yes</v>
      </c>
      <c r="I2278" s="3" t="str">
        <f aca="false">Raw_Data!H2278</f>
        <v>yes</v>
      </c>
      <c r="J2278" s="2" t="n">
        <f aca="false">IF(F2278="yes",1,0)</f>
        <v>0</v>
      </c>
      <c r="K2278" s="2" t="n">
        <f aca="false">IF(H2278="yes",1,0)</f>
        <v>1</v>
      </c>
      <c r="L2278" s="2" t="n">
        <f aca="false">IF(I2278="yes",1,0)</f>
        <v>1</v>
      </c>
      <c r="M2278" s="2" t="n">
        <f aca="false">IF(G2278&lt;0,1,0)</f>
        <v>0</v>
      </c>
      <c r="N2278" s="2" t="str">
        <f aca="false">_xlfn.IFS(B2278&lt;30,"Under 30",B2278&lt;40,"30-39",B2278&lt;50,"40-49",B2278&lt;60,"50-59",TRUE(),"60+")</f>
        <v>40-49</v>
      </c>
      <c r="O2278" s="2" t="str">
        <f aca="false">_xlfn.IFS(G2278&lt;0,"1 Negative",G2278=0,"2 Zero",G2278&lt;=500,"3 1-500",G2278&lt;=2000,"4 501-2000",TRUE(),"5 Above 2000")</f>
        <v>4 501-2000</v>
      </c>
      <c r="P2278" s="2" t="n">
        <f aca="false">Lookups!$B$2*M2278+Lookups!$B$3*L2278</f>
        <v>1</v>
      </c>
      <c r="Q2278" s="2" t="str">
        <f aca="false">INDEX(Lookups!$E$2:$E$5,MATCH(P2278,Lookups!$D$2:$D$5,0))</f>
        <v>Medium</v>
      </c>
    </row>
    <row r="2279" customFormat="false" ht="15" hidden="false" customHeight="false" outlineLevel="0" collapsed="false">
      <c r="A2279" s="3" t="n">
        <v>2278</v>
      </c>
      <c r="B2279" s="3" t="n">
        <f aca="false">Raw_Data!A2279</f>
        <v>38</v>
      </c>
      <c r="C2279" s="3" t="str">
        <f aca="false">SUBSTITUTE(Raw_Data!B2279,".","")</f>
        <v>technician</v>
      </c>
      <c r="D2279" s="3" t="str">
        <f aca="false">Raw_Data!C2279</f>
        <v>married</v>
      </c>
      <c r="E2279" s="3" t="str">
        <f aca="false">Raw_Data!D2279</f>
        <v>secondary</v>
      </c>
      <c r="F2279" s="3" t="str">
        <f aca="false">Raw_Data!E2279</f>
        <v>no</v>
      </c>
      <c r="G2279" s="3" t="n">
        <f aca="false">Raw_Data!F2279</f>
        <v>1931</v>
      </c>
      <c r="H2279" s="3" t="str">
        <f aca="false">Raw_Data!G2279</f>
        <v>no</v>
      </c>
      <c r="I2279" s="3" t="str">
        <f aca="false">Raw_Data!H2279</f>
        <v>no</v>
      </c>
      <c r="J2279" s="2" t="n">
        <f aca="false">IF(F2279="yes",1,0)</f>
        <v>0</v>
      </c>
      <c r="K2279" s="2" t="n">
        <f aca="false">IF(H2279="yes",1,0)</f>
        <v>0</v>
      </c>
      <c r="L2279" s="2" t="n">
        <f aca="false">IF(I2279="yes",1,0)</f>
        <v>0</v>
      </c>
      <c r="M2279" s="2" t="n">
        <f aca="false">IF(G2279&lt;0,1,0)</f>
        <v>0</v>
      </c>
      <c r="N2279" s="2" t="str">
        <f aca="false">_xlfn.IFS(B2279&lt;30,"Under 30",B2279&lt;40,"30-39",B2279&lt;50,"40-49",B2279&lt;60,"50-59",TRUE(),"60+")</f>
        <v>30-39</v>
      </c>
      <c r="O2279" s="2" t="str">
        <f aca="false">_xlfn.IFS(G2279&lt;0,"1 Negative",G2279=0,"2 Zero",G2279&lt;=500,"3 1-500",G2279&lt;=2000,"4 501-2000",TRUE(),"5 Above 2000")</f>
        <v>4 501-2000</v>
      </c>
      <c r="P2279" s="2" t="n">
        <f aca="false">Lookups!$B$2*M2279+Lookups!$B$3*L2279</f>
        <v>0</v>
      </c>
      <c r="Q2279" s="2" t="str">
        <f aca="false">INDEX(Lookups!$E$2:$E$5,MATCH(P2279,Lookups!$D$2:$D$5,0))</f>
        <v>Low</v>
      </c>
    </row>
    <row r="2280" customFormat="false" ht="15" hidden="false" customHeight="false" outlineLevel="0" collapsed="false">
      <c r="A2280" s="3" t="n">
        <v>2279</v>
      </c>
      <c r="B2280" s="3" t="n">
        <f aca="false">Raw_Data!A2280</f>
        <v>34</v>
      </c>
      <c r="C2280" s="3" t="str">
        <f aca="false">SUBSTITUTE(Raw_Data!B2280,".","")</f>
        <v>technician</v>
      </c>
      <c r="D2280" s="3" t="str">
        <f aca="false">Raw_Data!C2280</f>
        <v>single</v>
      </c>
      <c r="E2280" s="3" t="str">
        <f aca="false">Raw_Data!D2280</f>
        <v>secondary</v>
      </c>
      <c r="F2280" s="3" t="str">
        <f aca="false">Raw_Data!E2280</f>
        <v>no</v>
      </c>
      <c r="G2280" s="3" t="n">
        <f aca="false">Raw_Data!F2280</f>
        <v>943</v>
      </c>
      <c r="H2280" s="3" t="str">
        <f aca="false">Raw_Data!G2280</f>
        <v>no</v>
      </c>
      <c r="I2280" s="3" t="str">
        <f aca="false">Raw_Data!H2280</f>
        <v>no</v>
      </c>
      <c r="J2280" s="2" t="n">
        <f aca="false">IF(F2280="yes",1,0)</f>
        <v>0</v>
      </c>
      <c r="K2280" s="2" t="n">
        <f aca="false">IF(H2280="yes",1,0)</f>
        <v>0</v>
      </c>
      <c r="L2280" s="2" t="n">
        <f aca="false">IF(I2280="yes",1,0)</f>
        <v>0</v>
      </c>
      <c r="M2280" s="2" t="n">
        <f aca="false">IF(G2280&lt;0,1,0)</f>
        <v>0</v>
      </c>
      <c r="N2280" s="2" t="str">
        <f aca="false">_xlfn.IFS(B2280&lt;30,"Under 30",B2280&lt;40,"30-39",B2280&lt;50,"40-49",B2280&lt;60,"50-59",TRUE(),"60+")</f>
        <v>30-39</v>
      </c>
      <c r="O2280" s="2" t="str">
        <f aca="false">_xlfn.IFS(G2280&lt;0,"1 Negative",G2280=0,"2 Zero",G2280&lt;=500,"3 1-500",G2280&lt;=2000,"4 501-2000",TRUE(),"5 Above 2000")</f>
        <v>4 501-2000</v>
      </c>
      <c r="P2280" s="2" t="n">
        <f aca="false">Lookups!$B$2*M2280+Lookups!$B$3*L2280</f>
        <v>0</v>
      </c>
      <c r="Q2280" s="2" t="str">
        <f aca="false">INDEX(Lookups!$E$2:$E$5,MATCH(P2280,Lookups!$D$2:$D$5,0))</f>
        <v>Low</v>
      </c>
    </row>
    <row r="2281" customFormat="false" ht="15" hidden="false" customHeight="false" outlineLevel="0" collapsed="false">
      <c r="A2281" s="3" t="n">
        <v>2280</v>
      </c>
      <c r="B2281" s="3" t="n">
        <f aca="false">Raw_Data!A2281</f>
        <v>35</v>
      </c>
      <c r="C2281" s="3" t="str">
        <f aca="false">SUBSTITUTE(Raw_Data!B2281,".","")</f>
        <v>technician</v>
      </c>
      <c r="D2281" s="3" t="str">
        <f aca="false">Raw_Data!C2281</f>
        <v>married</v>
      </c>
      <c r="E2281" s="3" t="str">
        <f aca="false">Raw_Data!D2281</f>
        <v>secondary</v>
      </c>
      <c r="F2281" s="3" t="str">
        <f aca="false">Raw_Data!E2281</f>
        <v>no</v>
      </c>
      <c r="G2281" s="3" t="n">
        <f aca="false">Raw_Data!F2281</f>
        <v>327</v>
      </c>
      <c r="H2281" s="3" t="str">
        <f aca="false">Raw_Data!G2281</f>
        <v>yes</v>
      </c>
      <c r="I2281" s="3" t="str">
        <f aca="false">Raw_Data!H2281</f>
        <v>no</v>
      </c>
      <c r="J2281" s="2" t="n">
        <f aca="false">IF(F2281="yes",1,0)</f>
        <v>0</v>
      </c>
      <c r="K2281" s="2" t="n">
        <f aca="false">IF(H2281="yes",1,0)</f>
        <v>1</v>
      </c>
      <c r="L2281" s="2" t="n">
        <f aca="false">IF(I2281="yes",1,0)</f>
        <v>0</v>
      </c>
      <c r="M2281" s="2" t="n">
        <f aca="false">IF(G2281&lt;0,1,0)</f>
        <v>0</v>
      </c>
      <c r="N2281" s="2" t="str">
        <f aca="false">_xlfn.IFS(B2281&lt;30,"Under 30",B2281&lt;40,"30-39",B2281&lt;50,"40-49",B2281&lt;60,"50-59",TRUE(),"60+")</f>
        <v>30-39</v>
      </c>
      <c r="O2281" s="2" t="str">
        <f aca="false">_xlfn.IFS(G2281&lt;0,"1 Negative",G2281=0,"2 Zero",G2281&lt;=500,"3 1-500",G2281&lt;=2000,"4 501-2000",TRUE(),"5 Above 2000")</f>
        <v>3 1-500</v>
      </c>
      <c r="P2281" s="2" t="n">
        <f aca="false">Lookups!$B$2*M2281+Lookups!$B$3*L2281</f>
        <v>0</v>
      </c>
      <c r="Q2281" s="2" t="str">
        <f aca="false">INDEX(Lookups!$E$2:$E$5,MATCH(P2281,Lookups!$D$2:$D$5,0))</f>
        <v>Low</v>
      </c>
    </row>
    <row r="2282" customFormat="false" ht="15" hidden="false" customHeight="false" outlineLevel="0" collapsed="false">
      <c r="A2282" s="3" t="n">
        <v>2281</v>
      </c>
      <c r="B2282" s="3" t="n">
        <f aca="false">Raw_Data!A2282</f>
        <v>29</v>
      </c>
      <c r="C2282" s="3" t="str">
        <f aca="false">SUBSTITUTE(Raw_Data!B2282,".","")</f>
        <v>management</v>
      </c>
      <c r="D2282" s="3" t="str">
        <f aca="false">Raw_Data!C2282</f>
        <v>single</v>
      </c>
      <c r="E2282" s="3" t="str">
        <f aca="false">Raw_Data!D2282</f>
        <v>secondary</v>
      </c>
      <c r="F2282" s="3" t="str">
        <f aca="false">Raw_Data!E2282</f>
        <v>no</v>
      </c>
      <c r="G2282" s="3" t="n">
        <f aca="false">Raw_Data!F2282</f>
        <v>-105</v>
      </c>
      <c r="H2282" s="3" t="str">
        <f aca="false">Raw_Data!G2282</f>
        <v>yes</v>
      </c>
      <c r="I2282" s="3" t="str">
        <f aca="false">Raw_Data!H2282</f>
        <v>no</v>
      </c>
      <c r="J2282" s="2" t="n">
        <f aca="false">IF(F2282="yes",1,0)</f>
        <v>0</v>
      </c>
      <c r="K2282" s="2" t="n">
        <f aca="false">IF(H2282="yes",1,0)</f>
        <v>1</v>
      </c>
      <c r="L2282" s="2" t="n">
        <f aca="false">IF(I2282="yes",1,0)</f>
        <v>0</v>
      </c>
      <c r="M2282" s="2" t="n">
        <f aca="false">IF(G2282&lt;0,1,0)</f>
        <v>1</v>
      </c>
      <c r="N2282" s="2" t="str">
        <f aca="false">_xlfn.IFS(B2282&lt;30,"Under 30",B2282&lt;40,"30-39",B2282&lt;50,"40-49",B2282&lt;60,"50-59",TRUE(),"60+")</f>
        <v>Under 30</v>
      </c>
      <c r="O2282" s="2" t="str">
        <f aca="false">_xlfn.IFS(G2282&lt;0,"1 Negative",G2282=0,"2 Zero",G2282&lt;=500,"3 1-500",G2282&lt;=2000,"4 501-2000",TRUE(),"5 Above 2000")</f>
        <v>1 Negative</v>
      </c>
      <c r="P2282" s="2" t="n">
        <f aca="false">Lookups!$B$2*M2282+Lookups!$B$3*L2282</f>
        <v>2</v>
      </c>
      <c r="Q2282" s="2" t="str">
        <f aca="false">INDEX(Lookups!$E$2:$E$5,MATCH(P2282,Lookups!$D$2:$D$5,0))</f>
        <v>High</v>
      </c>
    </row>
    <row r="2283" customFormat="false" ht="15" hidden="false" customHeight="false" outlineLevel="0" collapsed="false">
      <c r="A2283" s="3" t="n">
        <v>2282</v>
      </c>
      <c r="B2283" s="3" t="n">
        <f aca="false">Raw_Data!A2283</f>
        <v>58</v>
      </c>
      <c r="C2283" s="3" t="str">
        <f aca="false">SUBSTITUTE(Raw_Data!B2283,".","")</f>
        <v>retired</v>
      </c>
      <c r="D2283" s="3" t="str">
        <f aca="false">Raw_Data!C2283</f>
        <v>married</v>
      </c>
      <c r="E2283" s="3" t="str">
        <f aca="false">Raw_Data!D2283</f>
        <v>secondary</v>
      </c>
      <c r="F2283" s="3" t="str">
        <f aca="false">Raw_Data!E2283</f>
        <v>no</v>
      </c>
      <c r="G2283" s="3" t="n">
        <f aca="false">Raw_Data!F2283</f>
        <v>983</v>
      </c>
      <c r="H2283" s="3" t="str">
        <f aca="false">Raw_Data!G2283</f>
        <v>no</v>
      </c>
      <c r="I2283" s="3" t="str">
        <f aca="false">Raw_Data!H2283</f>
        <v>no</v>
      </c>
      <c r="J2283" s="2" t="n">
        <f aca="false">IF(F2283="yes",1,0)</f>
        <v>0</v>
      </c>
      <c r="K2283" s="2" t="n">
        <f aca="false">IF(H2283="yes",1,0)</f>
        <v>0</v>
      </c>
      <c r="L2283" s="2" t="n">
        <f aca="false">IF(I2283="yes",1,0)</f>
        <v>0</v>
      </c>
      <c r="M2283" s="2" t="n">
        <f aca="false">IF(G2283&lt;0,1,0)</f>
        <v>0</v>
      </c>
      <c r="N2283" s="2" t="str">
        <f aca="false">_xlfn.IFS(B2283&lt;30,"Under 30",B2283&lt;40,"30-39",B2283&lt;50,"40-49",B2283&lt;60,"50-59",TRUE(),"60+")</f>
        <v>50-59</v>
      </c>
      <c r="O2283" s="2" t="str">
        <f aca="false">_xlfn.IFS(G2283&lt;0,"1 Negative",G2283=0,"2 Zero",G2283&lt;=500,"3 1-500",G2283&lt;=2000,"4 501-2000",TRUE(),"5 Above 2000")</f>
        <v>4 501-2000</v>
      </c>
      <c r="P2283" s="2" t="n">
        <f aca="false">Lookups!$B$2*M2283+Lookups!$B$3*L2283</f>
        <v>0</v>
      </c>
      <c r="Q2283" s="2" t="str">
        <f aca="false">INDEX(Lookups!$E$2:$E$5,MATCH(P2283,Lookups!$D$2:$D$5,0))</f>
        <v>Low</v>
      </c>
    </row>
    <row r="2284" customFormat="false" ht="15" hidden="false" customHeight="false" outlineLevel="0" collapsed="false">
      <c r="A2284" s="3" t="n">
        <v>2283</v>
      </c>
      <c r="B2284" s="3" t="n">
        <f aca="false">Raw_Data!A2284</f>
        <v>44</v>
      </c>
      <c r="C2284" s="3" t="str">
        <f aca="false">SUBSTITUTE(Raw_Data!B2284,".","")</f>
        <v>blue-collar</v>
      </c>
      <c r="D2284" s="3" t="str">
        <f aca="false">Raw_Data!C2284</f>
        <v>single</v>
      </c>
      <c r="E2284" s="3" t="str">
        <f aca="false">Raw_Data!D2284</f>
        <v>primary</v>
      </c>
      <c r="F2284" s="3" t="str">
        <f aca="false">Raw_Data!E2284</f>
        <v>no</v>
      </c>
      <c r="G2284" s="3" t="n">
        <f aca="false">Raw_Data!F2284</f>
        <v>787</v>
      </c>
      <c r="H2284" s="3" t="str">
        <f aca="false">Raw_Data!G2284</f>
        <v>yes</v>
      </c>
      <c r="I2284" s="3" t="str">
        <f aca="false">Raw_Data!H2284</f>
        <v>no</v>
      </c>
      <c r="J2284" s="2" t="n">
        <f aca="false">IF(F2284="yes",1,0)</f>
        <v>0</v>
      </c>
      <c r="K2284" s="2" t="n">
        <f aca="false">IF(H2284="yes",1,0)</f>
        <v>1</v>
      </c>
      <c r="L2284" s="2" t="n">
        <f aca="false">IF(I2284="yes",1,0)</f>
        <v>0</v>
      </c>
      <c r="M2284" s="2" t="n">
        <f aca="false">IF(G2284&lt;0,1,0)</f>
        <v>0</v>
      </c>
      <c r="N2284" s="2" t="str">
        <f aca="false">_xlfn.IFS(B2284&lt;30,"Under 30",B2284&lt;40,"30-39",B2284&lt;50,"40-49",B2284&lt;60,"50-59",TRUE(),"60+")</f>
        <v>40-49</v>
      </c>
      <c r="O2284" s="2" t="str">
        <f aca="false">_xlfn.IFS(G2284&lt;0,"1 Negative",G2284=0,"2 Zero",G2284&lt;=500,"3 1-500",G2284&lt;=2000,"4 501-2000",TRUE(),"5 Above 2000")</f>
        <v>4 501-2000</v>
      </c>
      <c r="P2284" s="2" t="n">
        <f aca="false">Lookups!$B$2*M2284+Lookups!$B$3*L2284</f>
        <v>0</v>
      </c>
      <c r="Q2284" s="2" t="str">
        <f aca="false">INDEX(Lookups!$E$2:$E$5,MATCH(P2284,Lookups!$D$2:$D$5,0))</f>
        <v>Low</v>
      </c>
    </row>
    <row r="2285" customFormat="false" ht="15" hidden="false" customHeight="false" outlineLevel="0" collapsed="false">
      <c r="A2285" s="3" t="n">
        <v>2284</v>
      </c>
      <c r="B2285" s="3" t="n">
        <f aca="false">Raw_Data!A2285</f>
        <v>45</v>
      </c>
      <c r="C2285" s="3" t="str">
        <f aca="false">SUBSTITUTE(Raw_Data!B2285,".","")</f>
        <v>entrepreneur</v>
      </c>
      <c r="D2285" s="3" t="str">
        <f aca="false">Raw_Data!C2285</f>
        <v>married</v>
      </c>
      <c r="E2285" s="3" t="str">
        <f aca="false">Raw_Data!D2285</f>
        <v>tertiary</v>
      </c>
      <c r="F2285" s="3" t="str">
        <f aca="false">Raw_Data!E2285</f>
        <v>no</v>
      </c>
      <c r="G2285" s="3" t="n">
        <f aca="false">Raw_Data!F2285</f>
        <v>0</v>
      </c>
      <c r="H2285" s="3" t="str">
        <f aca="false">Raw_Data!G2285</f>
        <v>yes</v>
      </c>
      <c r="I2285" s="3" t="str">
        <f aca="false">Raw_Data!H2285</f>
        <v>no</v>
      </c>
      <c r="J2285" s="2" t="n">
        <f aca="false">IF(F2285="yes",1,0)</f>
        <v>0</v>
      </c>
      <c r="K2285" s="2" t="n">
        <f aca="false">IF(H2285="yes",1,0)</f>
        <v>1</v>
      </c>
      <c r="L2285" s="2" t="n">
        <f aca="false">IF(I2285="yes",1,0)</f>
        <v>0</v>
      </c>
      <c r="M2285" s="2" t="n">
        <f aca="false">IF(G2285&lt;0,1,0)</f>
        <v>0</v>
      </c>
      <c r="N2285" s="2" t="str">
        <f aca="false">_xlfn.IFS(B2285&lt;30,"Under 30",B2285&lt;40,"30-39",B2285&lt;50,"40-49",B2285&lt;60,"50-59",TRUE(),"60+")</f>
        <v>40-49</v>
      </c>
      <c r="O2285" s="2" t="str">
        <f aca="false">_xlfn.IFS(G2285&lt;0,"1 Negative",G2285=0,"2 Zero",G2285&lt;=500,"3 1-500",G2285&lt;=2000,"4 501-2000",TRUE(),"5 Above 2000")</f>
        <v>2 Zero</v>
      </c>
      <c r="P2285" s="2" t="n">
        <f aca="false">Lookups!$B$2*M2285+Lookups!$B$3*L2285</f>
        <v>0</v>
      </c>
      <c r="Q2285" s="2" t="str">
        <f aca="false">INDEX(Lookups!$E$2:$E$5,MATCH(P2285,Lookups!$D$2:$D$5,0))</f>
        <v>Low</v>
      </c>
    </row>
    <row r="2286" customFormat="false" ht="15" hidden="false" customHeight="false" outlineLevel="0" collapsed="false">
      <c r="A2286" s="3" t="n">
        <v>2285</v>
      </c>
      <c r="B2286" s="3" t="n">
        <f aca="false">Raw_Data!A2286</f>
        <v>43</v>
      </c>
      <c r="C2286" s="3" t="str">
        <f aca="false">SUBSTITUTE(Raw_Data!B2286,".","")</f>
        <v>blue-collar</v>
      </c>
      <c r="D2286" s="3" t="str">
        <f aca="false">Raw_Data!C2286</f>
        <v>married</v>
      </c>
      <c r="E2286" s="3" t="str">
        <f aca="false">Raw_Data!D2286</f>
        <v>secondary</v>
      </c>
      <c r="F2286" s="3" t="str">
        <f aca="false">Raw_Data!E2286</f>
        <v>no</v>
      </c>
      <c r="G2286" s="3" t="n">
        <f aca="false">Raw_Data!F2286</f>
        <v>3060</v>
      </c>
      <c r="H2286" s="3" t="str">
        <f aca="false">Raw_Data!G2286</f>
        <v>yes</v>
      </c>
      <c r="I2286" s="3" t="str">
        <f aca="false">Raw_Data!H2286</f>
        <v>no</v>
      </c>
      <c r="J2286" s="2" t="n">
        <f aca="false">IF(F2286="yes",1,0)</f>
        <v>0</v>
      </c>
      <c r="K2286" s="2" t="n">
        <f aca="false">IF(H2286="yes",1,0)</f>
        <v>1</v>
      </c>
      <c r="L2286" s="2" t="n">
        <f aca="false">IF(I2286="yes",1,0)</f>
        <v>0</v>
      </c>
      <c r="M2286" s="2" t="n">
        <f aca="false">IF(G2286&lt;0,1,0)</f>
        <v>0</v>
      </c>
      <c r="N2286" s="2" t="str">
        <f aca="false">_xlfn.IFS(B2286&lt;30,"Under 30",B2286&lt;40,"30-39",B2286&lt;50,"40-49",B2286&lt;60,"50-59",TRUE(),"60+")</f>
        <v>40-49</v>
      </c>
      <c r="O2286" s="2" t="str">
        <f aca="false">_xlfn.IFS(G2286&lt;0,"1 Negative",G2286=0,"2 Zero",G2286&lt;=500,"3 1-500",G2286&lt;=2000,"4 501-2000",TRUE(),"5 Above 2000")</f>
        <v>5 Above 2000</v>
      </c>
      <c r="P2286" s="2" t="n">
        <f aca="false">Lookups!$B$2*M2286+Lookups!$B$3*L2286</f>
        <v>0</v>
      </c>
      <c r="Q2286" s="2" t="str">
        <f aca="false">INDEX(Lookups!$E$2:$E$5,MATCH(P2286,Lookups!$D$2:$D$5,0))</f>
        <v>Low</v>
      </c>
    </row>
    <row r="2287" customFormat="false" ht="15" hidden="false" customHeight="false" outlineLevel="0" collapsed="false">
      <c r="A2287" s="3" t="n">
        <v>2286</v>
      </c>
      <c r="B2287" s="3" t="n">
        <f aca="false">Raw_Data!A2287</f>
        <v>44</v>
      </c>
      <c r="C2287" s="3" t="str">
        <f aca="false">SUBSTITUTE(Raw_Data!B2287,".","")</f>
        <v>services</v>
      </c>
      <c r="D2287" s="3" t="str">
        <f aca="false">Raw_Data!C2287</f>
        <v>married</v>
      </c>
      <c r="E2287" s="3" t="str">
        <f aca="false">Raw_Data!D2287</f>
        <v>secondary</v>
      </c>
      <c r="F2287" s="3" t="str">
        <f aca="false">Raw_Data!E2287</f>
        <v>no</v>
      </c>
      <c r="G2287" s="3" t="n">
        <f aca="false">Raw_Data!F2287</f>
        <v>5780</v>
      </c>
      <c r="H2287" s="3" t="str">
        <f aca="false">Raw_Data!G2287</f>
        <v>yes</v>
      </c>
      <c r="I2287" s="3" t="str">
        <f aca="false">Raw_Data!H2287</f>
        <v>no</v>
      </c>
      <c r="J2287" s="2" t="n">
        <f aca="false">IF(F2287="yes",1,0)</f>
        <v>0</v>
      </c>
      <c r="K2287" s="2" t="n">
        <f aca="false">IF(H2287="yes",1,0)</f>
        <v>1</v>
      </c>
      <c r="L2287" s="2" t="n">
        <f aca="false">IF(I2287="yes",1,0)</f>
        <v>0</v>
      </c>
      <c r="M2287" s="2" t="n">
        <f aca="false">IF(G2287&lt;0,1,0)</f>
        <v>0</v>
      </c>
      <c r="N2287" s="2" t="str">
        <f aca="false">_xlfn.IFS(B2287&lt;30,"Under 30",B2287&lt;40,"30-39",B2287&lt;50,"40-49",B2287&lt;60,"50-59",TRUE(),"60+")</f>
        <v>40-49</v>
      </c>
      <c r="O2287" s="2" t="str">
        <f aca="false">_xlfn.IFS(G2287&lt;0,"1 Negative",G2287=0,"2 Zero",G2287&lt;=500,"3 1-500",G2287&lt;=2000,"4 501-2000",TRUE(),"5 Above 2000")</f>
        <v>5 Above 2000</v>
      </c>
      <c r="P2287" s="2" t="n">
        <f aca="false">Lookups!$B$2*M2287+Lookups!$B$3*L2287</f>
        <v>0</v>
      </c>
      <c r="Q2287" s="2" t="str">
        <f aca="false">INDEX(Lookups!$E$2:$E$5,MATCH(P2287,Lookups!$D$2:$D$5,0))</f>
        <v>Low</v>
      </c>
    </row>
    <row r="2288" customFormat="false" ht="15" hidden="false" customHeight="false" outlineLevel="0" collapsed="false">
      <c r="A2288" s="3" t="n">
        <v>2287</v>
      </c>
      <c r="B2288" s="3" t="n">
        <f aca="false">Raw_Data!A2288</f>
        <v>30</v>
      </c>
      <c r="C2288" s="3" t="str">
        <f aca="false">SUBSTITUTE(Raw_Data!B2288,".","")</f>
        <v>technician</v>
      </c>
      <c r="D2288" s="3" t="str">
        <f aca="false">Raw_Data!C2288</f>
        <v>single</v>
      </c>
      <c r="E2288" s="3" t="str">
        <f aca="false">Raw_Data!D2288</f>
        <v>secondary</v>
      </c>
      <c r="F2288" s="3" t="str">
        <f aca="false">Raw_Data!E2288</f>
        <v>no</v>
      </c>
      <c r="G2288" s="3" t="n">
        <f aca="false">Raw_Data!F2288</f>
        <v>790</v>
      </c>
      <c r="H2288" s="3" t="str">
        <f aca="false">Raw_Data!G2288</f>
        <v>no</v>
      </c>
      <c r="I2288" s="3" t="str">
        <f aca="false">Raw_Data!H2288</f>
        <v>no</v>
      </c>
      <c r="J2288" s="2" t="n">
        <f aca="false">IF(F2288="yes",1,0)</f>
        <v>0</v>
      </c>
      <c r="K2288" s="2" t="n">
        <f aca="false">IF(H2288="yes",1,0)</f>
        <v>0</v>
      </c>
      <c r="L2288" s="2" t="n">
        <f aca="false">IF(I2288="yes",1,0)</f>
        <v>0</v>
      </c>
      <c r="M2288" s="2" t="n">
        <f aca="false">IF(G2288&lt;0,1,0)</f>
        <v>0</v>
      </c>
      <c r="N2288" s="2" t="str">
        <f aca="false">_xlfn.IFS(B2288&lt;30,"Under 30",B2288&lt;40,"30-39",B2288&lt;50,"40-49",B2288&lt;60,"50-59",TRUE(),"60+")</f>
        <v>30-39</v>
      </c>
      <c r="O2288" s="2" t="str">
        <f aca="false">_xlfn.IFS(G2288&lt;0,"1 Negative",G2288=0,"2 Zero",G2288&lt;=500,"3 1-500",G2288&lt;=2000,"4 501-2000",TRUE(),"5 Above 2000")</f>
        <v>4 501-2000</v>
      </c>
      <c r="P2288" s="2" t="n">
        <f aca="false">Lookups!$B$2*M2288+Lookups!$B$3*L2288</f>
        <v>0</v>
      </c>
      <c r="Q2288" s="2" t="str">
        <f aca="false">INDEX(Lookups!$E$2:$E$5,MATCH(P2288,Lookups!$D$2:$D$5,0))</f>
        <v>Low</v>
      </c>
    </row>
    <row r="2289" customFormat="false" ht="15" hidden="false" customHeight="false" outlineLevel="0" collapsed="false">
      <c r="A2289" s="3" t="n">
        <v>2288</v>
      </c>
      <c r="B2289" s="3" t="n">
        <f aca="false">Raw_Data!A2289</f>
        <v>38</v>
      </c>
      <c r="C2289" s="3" t="str">
        <f aca="false">SUBSTITUTE(Raw_Data!B2289,".","")</f>
        <v>unemployed</v>
      </c>
      <c r="D2289" s="3" t="str">
        <f aca="false">Raw_Data!C2289</f>
        <v>married</v>
      </c>
      <c r="E2289" s="3" t="str">
        <f aca="false">Raw_Data!D2289</f>
        <v>tertiary</v>
      </c>
      <c r="F2289" s="3" t="str">
        <f aca="false">Raw_Data!E2289</f>
        <v>no</v>
      </c>
      <c r="G2289" s="3" t="n">
        <f aca="false">Raw_Data!F2289</f>
        <v>1449</v>
      </c>
      <c r="H2289" s="3" t="str">
        <f aca="false">Raw_Data!G2289</f>
        <v>no</v>
      </c>
      <c r="I2289" s="3" t="str">
        <f aca="false">Raw_Data!H2289</f>
        <v>no</v>
      </c>
      <c r="J2289" s="2" t="n">
        <f aca="false">IF(F2289="yes",1,0)</f>
        <v>0</v>
      </c>
      <c r="K2289" s="2" t="n">
        <f aca="false">IF(H2289="yes",1,0)</f>
        <v>0</v>
      </c>
      <c r="L2289" s="2" t="n">
        <f aca="false">IF(I2289="yes",1,0)</f>
        <v>0</v>
      </c>
      <c r="M2289" s="2" t="n">
        <f aca="false">IF(G2289&lt;0,1,0)</f>
        <v>0</v>
      </c>
      <c r="N2289" s="2" t="str">
        <f aca="false">_xlfn.IFS(B2289&lt;30,"Under 30",B2289&lt;40,"30-39",B2289&lt;50,"40-49",B2289&lt;60,"50-59",TRUE(),"60+")</f>
        <v>30-39</v>
      </c>
      <c r="O2289" s="2" t="str">
        <f aca="false">_xlfn.IFS(G2289&lt;0,"1 Negative",G2289=0,"2 Zero",G2289&lt;=500,"3 1-500",G2289&lt;=2000,"4 501-2000",TRUE(),"5 Above 2000")</f>
        <v>4 501-2000</v>
      </c>
      <c r="P2289" s="2" t="n">
        <f aca="false">Lookups!$B$2*M2289+Lookups!$B$3*L2289</f>
        <v>0</v>
      </c>
      <c r="Q2289" s="2" t="str">
        <f aca="false">INDEX(Lookups!$E$2:$E$5,MATCH(P2289,Lookups!$D$2:$D$5,0))</f>
        <v>Low</v>
      </c>
    </row>
    <row r="2290" customFormat="false" ht="15" hidden="false" customHeight="false" outlineLevel="0" collapsed="false">
      <c r="A2290" s="3" t="n">
        <v>2289</v>
      </c>
      <c r="B2290" s="3" t="n">
        <f aca="false">Raw_Data!A2290</f>
        <v>50</v>
      </c>
      <c r="C2290" s="3" t="str">
        <f aca="false">SUBSTITUTE(Raw_Data!B2290,".","")</f>
        <v>technician</v>
      </c>
      <c r="D2290" s="3" t="str">
        <f aca="false">Raw_Data!C2290</f>
        <v>married</v>
      </c>
      <c r="E2290" s="3" t="str">
        <f aca="false">Raw_Data!D2290</f>
        <v>secondary</v>
      </c>
      <c r="F2290" s="3" t="str">
        <f aca="false">Raw_Data!E2290</f>
        <v>no</v>
      </c>
      <c r="G2290" s="3" t="n">
        <f aca="false">Raw_Data!F2290</f>
        <v>1412</v>
      </c>
      <c r="H2290" s="3" t="str">
        <f aca="false">Raw_Data!G2290</f>
        <v>no</v>
      </c>
      <c r="I2290" s="3" t="str">
        <f aca="false">Raw_Data!H2290</f>
        <v>no</v>
      </c>
      <c r="J2290" s="2" t="n">
        <f aca="false">IF(F2290="yes",1,0)</f>
        <v>0</v>
      </c>
      <c r="K2290" s="2" t="n">
        <f aca="false">IF(H2290="yes",1,0)</f>
        <v>0</v>
      </c>
      <c r="L2290" s="2" t="n">
        <f aca="false">IF(I2290="yes",1,0)</f>
        <v>0</v>
      </c>
      <c r="M2290" s="2" t="n">
        <f aca="false">IF(G2290&lt;0,1,0)</f>
        <v>0</v>
      </c>
      <c r="N2290" s="2" t="str">
        <f aca="false">_xlfn.IFS(B2290&lt;30,"Under 30",B2290&lt;40,"30-39",B2290&lt;50,"40-49",B2290&lt;60,"50-59",TRUE(),"60+")</f>
        <v>50-59</v>
      </c>
      <c r="O2290" s="2" t="str">
        <f aca="false">_xlfn.IFS(G2290&lt;0,"1 Negative",G2290=0,"2 Zero",G2290&lt;=500,"3 1-500",G2290&lt;=2000,"4 501-2000",TRUE(),"5 Above 2000")</f>
        <v>4 501-2000</v>
      </c>
      <c r="P2290" s="2" t="n">
        <f aca="false">Lookups!$B$2*M2290+Lookups!$B$3*L2290</f>
        <v>0</v>
      </c>
      <c r="Q2290" s="2" t="str">
        <f aca="false">INDEX(Lookups!$E$2:$E$5,MATCH(P2290,Lookups!$D$2:$D$5,0))</f>
        <v>Low</v>
      </c>
    </row>
    <row r="2291" customFormat="false" ht="15" hidden="false" customHeight="false" outlineLevel="0" collapsed="false">
      <c r="A2291" s="3" t="n">
        <v>2290</v>
      </c>
      <c r="B2291" s="3" t="n">
        <f aca="false">Raw_Data!A2291</f>
        <v>21</v>
      </c>
      <c r="C2291" s="3" t="str">
        <f aca="false">SUBSTITUTE(Raw_Data!B2291,".","")</f>
        <v>student</v>
      </c>
      <c r="D2291" s="3" t="str">
        <f aca="false">Raw_Data!C2291</f>
        <v>single</v>
      </c>
      <c r="E2291" s="3" t="str">
        <f aca="false">Raw_Data!D2291</f>
        <v>secondary</v>
      </c>
      <c r="F2291" s="3" t="str">
        <f aca="false">Raw_Data!E2291</f>
        <v>no</v>
      </c>
      <c r="G2291" s="3" t="n">
        <f aca="false">Raw_Data!F2291</f>
        <v>681</v>
      </c>
      <c r="H2291" s="3" t="str">
        <f aca="false">Raw_Data!G2291</f>
        <v>no</v>
      </c>
      <c r="I2291" s="3" t="str">
        <f aca="false">Raw_Data!H2291</f>
        <v>no</v>
      </c>
      <c r="J2291" s="2" t="n">
        <f aca="false">IF(F2291="yes",1,0)</f>
        <v>0</v>
      </c>
      <c r="K2291" s="2" t="n">
        <f aca="false">IF(H2291="yes",1,0)</f>
        <v>0</v>
      </c>
      <c r="L2291" s="2" t="n">
        <f aca="false">IF(I2291="yes",1,0)</f>
        <v>0</v>
      </c>
      <c r="M2291" s="2" t="n">
        <f aca="false">IF(G2291&lt;0,1,0)</f>
        <v>0</v>
      </c>
      <c r="N2291" s="2" t="str">
        <f aca="false">_xlfn.IFS(B2291&lt;30,"Under 30",B2291&lt;40,"30-39",B2291&lt;50,"40-49",B2291&lt;60,"50-59",TRUE(),"60+")</f>
        <v>Under 30</v>
      </c>
      <c r="O2291" s="2" t="str">
        <f aca="false">_xlfn.IFS(G2291&lt;0,"1 Negative",G2291=0,"2 Zero",G2291&lt;=500,"3 1-500",G2291&lt;=2000,"4 501-2000",TRUE(),"5 Above 2000")</f>
        <v>4 501-2000</v>
      </c>
      <c r="P2291" s="2" t="n">
        <f aca="false">Lookups!$B$2*M2291+Lookups!$B$3*L2291</f>
        <v>0</v>
      </c>
      <c r="Q2291" s="2" t="str">
        <f aca="false">INDEX(Lookups!$E$2:$E$5,MATCH(P2291,Lookups!$D$2:$D$5,0))</f>
        <v>Low</v>
      </c>
    </row>
    <row r="2292" customFormat="false" ht="15" hidden="false" customHeight="false" outlineLevel="0" collapsed="false">
      <c r="A2292" s="3" t="n">
        <v>2291</v>
      </c>
      <c r="B2292" s="3" t="n">
        <f aca="false">Raw_Data!A2292</f>
        <v>38</v>
      </c>
      <c r="C2292" s="3" t="str">
        <f aca="false">SUBSTITUTE(Raw_Data!B2292,".","")</f>
        <v>entrepreneur</v>
      </c>
      <c r="D2292" s="3" t="str">
        <f aca="false">Raw_Data!C2292</f>
        <v>married</v>
      </c>
      <c r="E2292" s="3" t="str">
        <f aca="false">Raw_Data!D2292</f>
        <v>tertiary</v>
      </c>
      <c r="F2292" s="3" t="str">
        <f aca="false">Raw_Data!E2292</f>
        <v>no</v>
      </c>
      <c r="G2292" s="3" t="n">
        <f aca="false">Raw_Data!F2292</f>
        <v>228</v>
      </c>
      <c r="H2292" s="3" t="str">
        <f aca="false">Raw_Data!G2292</f>
        <v>yes</v>
      </c>
      <c r="I2292" s="3" t="str">
        <f aca="false">Raw_Data!H2292</f>
        <v>no</v>
      </c>
      <c r="J2292" s="2" t="n">
        <f aca="false">IF(F2292="yes",1,0)</f>
        <v>0</v>
      </c>
      <c r="K2292" s="2" t="n">
        <f aca="false">IF(H2292="yes",1,0)</f>
        <v>1</v>
      </c>
      <c r="L2292" s="2" t="n">
        <f aca="false">IF(I2292="yes",1,0)</f>
        <v>0</v>
      </c>
      <c r="M2292" s="2" t="n">
        <f aca="false">IF(G2292&lt;0,1,0)</f>
        <v>0</v>
      </c>
      <c r="N2292" s="2" t="str">
        <f aca="false">_xlfn.IFS(B2292&lt;30,"Under 30",B2292&lt;40,"30-39",B2292&lt;50,"40-49",B2292&lt;60,"50-59",TRUE(),"60+")</f>
        <v>30-39</v>
      </c>
      <c r="O2292" s="2" t="str">
        <f aca="false">_xlfn.IFS(G2292&lt;0,"1 Negative",G2292=0,"2 Zero",G2292&lt;=500,"3 1-500",G2292&lt;=2000,"4 501-2000",TRUE(),"5 Above 2000")</f>
        <v>3 1-500</v>
      </c>
      <c r="P2292" s="2" t="n">
        <f aca="false">Lookups!$B$2*M2292+Lookups!$B$3*L2292</f>
        <v>0</v>
      </c>
      <c r="Q2292" s="2" t="str">
        <f aca="false">INDEX(Lookups!$E$2:$E$5,MATCH(P2292,Lookups!$D$2:$D$5,0))</f>
        <v>Low</v>
      </c>
    </row>
    <row r="2293" customFormat="false" ht="15" hidden="false" customHeight="false" outlineLevel="0" collapsed="false">
      <c r="A2293" s="3" t="n">
        <v>2292</v>
      </c>
      <c r="B2293" s="3" t="n">
        <f aca="false">Raw_Data!A2293</f>
        <v>42</v>
      </c>
      <c r="C2293" s="3" t="str">
        <f aca="false">SUBSTITUTE(Raw_Data!B2293,".","")</f>
        <v>admin</v>
      </c>
      <c r="D2293" s="3" t="str">
        <f aca="false">Raw_Data!C2293</f>
        <v>married</v>
      </c>
      <c r="E2293" s="3" t="str">
        <f aca="false">Raw_Data!D2293</f>
        <v>secondary</v>
      </c>
      <c r="F2293" s="3" t="str">
        <f aca="false">Raw_Data!E2293</f>
        <v>no</v>
      </c>
      <c r="G2293" s="3" t="n">
        <f aca="false">Raw_Data!F2293</f>
        <v>0</v>
      </c>
      <c r="H2293" s="3" t="str">
        <f aca="false">Raw_Data!G2293</f>
        <v>no</v>
      </c>
      <c r="I2293" s="3" t="str">
        <f aca="false">Raw_Data!H2293</f>
        <v>no</v>
      </c>
      <c r="J2293" s="2" t="n">
        <f aca="false">IF(F2293="yes",1,0)</f>
        <v>0</v>
      </c>
      <c r="K2293" s="2" t="n">
        <f aca="false">IF(H2293="yes",1,0)</f>
        <v>0</v>
      </c>
      <c r="L2293" s="2" t="n">
        <f aca="false">IF(I2293="yes",1,0)</f>
        <v>0</v>
      </c>
      <c r="M2293" s="2" t="n">
        <f aca="false">IF(G2293&lt;0,1,0)</f>
        <v>0</v>
      </c>
      <c r="N2293" s="2" t="str">
        <f aca="false">_xlfn.IFS(B2293&lt;30,"Under 30",B2293&lt;40,"30-39",B2293&lt;50,"40-49",B2293&lt;60,"50-59",TRUE(),"60+")</f>
        <v>40-49</v>
      </c>
      <c r="O2293" s="2" t="str">
        <f aca="false">_xlfn.IFS(G2293&lt;0,"1 Negative",G2293=0,"2 Zero",G2293&lt;=500,"3 1-500",G2293&lt;=2000,"4 501-2000",TRUE(),"5 Above 2000")</f>
        <v>2 Zero</v>
      </c>
      <c r="P2293" s="2" t="n">
        <f aca="false">Lookups!$B$2*M2293+Lookups!$B$3*L2293</f>
        <v>0</v>
      </c>
      <c r="Q2293" s="2" t="str">
        <f aca="false">INDEX(Lookups!$E$2:$E$5,MATCH(P2293,Lookups!$D$2:$D$5,0))</f>
        <v>Low</v>
      </c>
    </row>
    <row r="2294" customFormat="false" ht="15" hidden="false" customHeight="false" outlineLevel="0" collapsed="false">
      <c r="A2294" s="3" t="n">
        <v>2293</v>
      </c>
      <c r="B2294" s="3" t="n">
        <f aca="false">Raw_Data!A2294</f>
        <v>45</v>
      </c>
      <c r="C2294" s="3" t="str">
        <f aca="false">SUBSTITUTE(Raw_Data!B2294,".","")</f>
        <v>technician</v>
      </c>
      <c r="D2294" s="3" t="str">
        <f aca="false">Raw_Data!C2294</f>
        <v>single</v>
      </c>
      <c r="E2294" s="3" t="str">
        <f aca="false">Raw_Data!D2294</f>
        <v>tertiary</v>
      </c>
      <c r="F2294" s="3" t="str">
        <f aca="false">Raw_Data!E2294</f>
        <v>no</v>
      </c>
      <c r="G2294" s="3" t="n">
        <f aca="false">Raw_Data!F2294</f>
        <v>2087</v>
      </c>
      <c r="H2294" s="3" t="str">
        <f aca="false">Raw_Data!G2294</f>
        <v>no</v>
      </c>
      <c r="I2294" s="3" t="str">
        <f aca="false">Raw_Data!H2294</f>
        <v>no</v>
      </c>
      <c r="J2294" s="2" t="n">
        <f aca="false">IF(F2294="yes",1,0)</f>
        <v>0</v>
      </c>
      <c r="K2294" s="2" t="n">
        <f aca="false">IF(H2294="yes",1,0)</f>
        <v>0</v>
      </c>
      <c r="L2294" s="2" t="n">
        <f aca="false">IF(I2294="yes",1,0)</f>
        <v>0</v>
      </c>
      <c r="M2294" s="2" t="n">
        <f aca="false">IF(G2294&lt;0,1,0)</f>
        <v>0</v>
      </c>
      <c r="N2294" s="2" t="str">
        <f aca="false">_xlfn.IFS(B2294&lt;30,"Under 30",B2294&lt;40,"30-39",B2294&lt;50,"40-49",B2294&lt;60,"50-59",TRUE(),"60+")</f>
        <v>40-49</v>
      </c>
      <c r="O2294" s="2" t="str">
        <f aca="false">_xlfn.IFS(G2294&lt;0,"1 Negative",G2294=0,"2 Zero",G2294&lt;=500,"3 1-500",G2294&lt;=2000,"4 501-2000",TRUE(),"5 Above 2000")</f>
        <v>5 Above 2000</v>
      </c>
      <c r="P2294" s="2" t="n">
        <f aca="false">Lookups!$B$2*M2294+Lookups!$B$3*L2294</f>
        <v>0</v>
      </c>
      <c r="Q2294" s="2" t="str">
        <f aca="false">INDEX(Lookups!$E$2:$E$5,MATCH(P2294,Lookups!$D$2:$D$5,0))</f>
        <v>Low</v>
      </c>
    </row>
    <row r="2295" customFormat="false" ht="15" hidden="false" customHeight="false" outlineLevel="0" collapsed="false">
      <c r="A2295" s="3" t="n">
        <v>2294</v>
      </c>
      <c r="B2295" s="3" t="n">
        <f aca="false">Raw_Data!A2295</f>
        <v>34</v>
      </c>
      <c r="C2295" s="3" t="str">
        <f aca="false">SUBSTITUTE(Raw_Data!B2295,".","")</f>
        <v>entrepreneur</v>
      </c>
      <c r="D2295" s="3" t="str">
        <f aca="false">Raw_Data!C2295</f>
        <v>married</v>
      </c>
      <c r="E2295" s="3" t="str">
        <f aca="false">Raw_Data!D2295</f>
        <v>secondary</v>
      </c>
      <c r="F2295" s="3" t="str">
        <f aca="false">Raw_Data!E2295</f>
        <v>no</v>
      </c>
      <c r="G2295" s="3" t="n">
        <f aca="false">Raw_Data!F2295</f>
        <v>2</v>
      </c>
      <c r="H2295" s="3" t="str">
        <f aca="false">Raw_Data!G2295</f>
        <v>yes</v>
      </c>
      <c r="I2295" s="3" t="str">
        <f aca="false">Raw_Data!H2295</f>
        <v>yes</v>
      </c>
      <c r="J2295" s="2" t="n">
        <f aca="false">IF(F2295="yes",1,0)</f>
        <v>0</v>
      </c>
      <c r="K2295" s="2" t="n">
        <f aca="false">IF(H2295="yes",1,0)</f>
        <v>1</v>
      </c>
      <c r="L2295" s="2" t="n">
        <f aca="false">IF(I2295="yes",1,0)</f>
        <v>1</v>
      </c>
      <c r="M2295" s="2" t="n">
        <f aca="false">IF(G2295&lt;0,1,0)</f>
        <v>0</v>
      </c>
      <c r="N2295" s="2" t="str">
        <f aca="false">_xlfn.IFS(B2295&lt;30,"Under 30",B2295&lt;40,"30-39",B2295&lt;50,"40-49",B2295&lt;60,"50-59",TRUE(),"60+")</f>
        <v>30-39</v>
      </c>
      <c r="O2295" s="2" t="str">
        <f aca="false">_xlfn.IFS(G2295&lt;0,"1 Negative",G2295=0,"2 Zero",G2295&lt;=500,"3 1-500",G2295&lt;=2000,"4 501-2000",TRUE(),"5 Above 2000")</f>
        <v>3 1-500</v>
      </c>
      <c r="P2295" s="2" t="n">
        <f aca="false">Lookups!$B$2*M2295+Lookups!$B$3*L2295</f>
        <v>1</v>
      </c>
      <c r="Q2295" s="2" t="str">
        <f aca="false">INDEX(Lookups!$E$2:$E$5,MATCH(P2295,Lookups!$D$2:$D$5,0))</f>
        <v>Medium</v>
      </c>
    </row>
    <row r="2296" customFormat="false" ht="15" hidden="false" customHeight="false" outlineLevel="0" collapsed="false">
      <c r="A2296" s="3" t="n">
        <v>2295</v>
      </c>
      <c r="B2296" s="3" t="n">
        <f aca="false">Raw_Data!A2296</f>
        <v>48</v>
      </c>
      <c r="C2296" s="3" t="str">
        <f aca="false">SUBSTITUTE(Raw_Data!B2296,".","")</f>
        <v>technician</v>
      </c>
      <c r="D2296" s="3" t="str">
        <f aca="false">Raw_Data!C2296</f>
        <v>married</v>
      </c>
      <c r="E2296" s="3" t="str">
        <f aca="false">Raw_Data!D2296</f>
        <v>secondary</v>
      </c>
      <c r="F2296" s="3" t="str">
        <f aca="false">Raw_Data!E2296</f>
        <v>no</v>
      </c>
      <c r="G2296" s="3" t="n">
        <f aca="false">Raw_Data!F2296</f>
        <v>197</v>
      </c>
      <c r="H2296" s="3" t="str">
        <f aca="false">Raw_Data!G2296</f>
        <v>no</v>
      </c>
      <c r="I2296" s="3" t="str">
        <f aca="false">Raw_Data!H2296</f>
        <v>yes</v>
      </c>
      <c r="J2296" s="2" t="n">
        <f aca="false">IF(F2296="yes",1,0)</f>
        <v>0</v>
      </c>
      <c r="K2296" s="2" t="n">
        <f aca="false">IF(H2296="yes",1,0)</f>
        <v>0</v>
      </c>
      <c r="L2296" s="2" t="n">
        <f aca="false">IF(I2296="yes",1,0)</f>
        <v>1</v>
      </c>
      <c r="M2296" s="2" t="n">
        <f aca="false">IF(G2296&lt;0,1,0)</f>
        <v>0</v>
      </c>
      <c r="N2296" s="2" t="str">
        <f aca="false">_xlfn.IFS(B2296&lt;30,"Under 30",B2296&lt;40,"30-39",B2296&lt;50,"40-49",B2296&lt;60,"50-59",TRUE(),"60+")</f>
        <v>40-49</v>
      </c>
      <c r="O2296" s="2" t="str">
        <f aca="false">_xlfn.IFS(G2296&lt;0,"1 Negative",G2296=0,"2 Zero",G2296&lt;=500,"3 1-500",G2296&lt;=2000,"4 501-2000",TRUE(),"5 Above 2000")</f>
        <v>3 1-500</v>
      </c>
      <c r="P2296" s="2" t="n">
        <f aca="false">Lookups!$B$2*M2296+Lookups!$B$3*L2296</f>
        <v>1</v>
      </c>
      <c r="Q2296" s="2" t="str">
        <f aca="false">INDEX(Lookups!$E$2:$E$5,MATCH(P2296,Lookups!$D$2:$D$5,0))</f>
        <v>Medium</v>
      </c>
    </row>
    <row r="2297" customFormat="false" ht="15" hidden="false" customHeight="false" outlineLevel="0" collapsed="false">
      <c r="A2297" s="3" t="n">
        <v>2296</v>
      </c>
      <c r="B2297" s="3" t="n">
        <f aca="false">Raw_Data!A2297</f>
        <v>34</v>
      </c>
      <c r="C2297" s="3" t="str">
        <f aca="false">SUBSTITUTE(Raw_Data!B2297,".","")</f>
        <v>services</v>
      </c>
      <c r="D2297" s="3" t="str">
        <f aca="false">Raw_Data!C2297</f>
        <v>married</v>
      </c>
      <c r="E2297" s="3" t="str">
        <f aca="false">Raw_Data!D2297</f>
        <v>secondary</v>
      </c>
      <c r="F2297" s="3" t="str">
        <f aca="false">Raw_Data!E2297</f>
        <v>no</v>
      </c>
      <c r="G2297" s="3" t="n">
        <f aca="false">Raw_Data!F2297</f>
        <v>0</v>
      </c>
      <c r="H2297" s="3" t="str">
        <f aca="false">Raw_Data!G2297</f>
        <v>no</v>
      </c>
      <c r="I2297" s="3" t="str">
        <f aca="false">Raw_Data!H2297</f>
        <v>yes</v>
      </c>
      <c r="J2297" s="2" t="n">
        <f aca="false">IF(F2297="yes",1,0)</f>
        <v>0</v>
      </c>
      <c r="K2297" s="2" t="n">
        <f aca="false">IF(H2297="yes",1,0)</f>
        <v>0</v>
      </c>
      <c r="L2297" s="2" t="n">
        <f aca="false">IF(I2297="yes",1,0)</f>
        <v>1</v>
      </c>
      <c r="M2297" s="2" t="n">
        <f aca="false">IF(G2297&lt;0,1,0)</f>
        <v>0</v>
      </c>
      <c r="N2297" s="2" t="str">
        <f aca="false">_xlfn.IFS(B2297&lt;30,"Under 30",B2297&lt;40,"30-39",B2297&lt;50,"40-49",B2297&lt;60,"50-59",TRUE(),"60+")</f>
        <v>30-39</v>
      </c>
      <c r="O2297" s="2" t="str">
        <f aca="false">_xlfn.IFS(G2297&lt;0,"1 Negative",G2297=0,"2 Zero",G2297&lt;=500,"3 1-500",G2297&lt;=2000,"4 501-2000",TRUE(),"5 Above 2000")</f>
        <v>2 Zero</v>
      </c>
      <c r="P2297" s="2" t="n">
        <f aca="false">Lookups!$B$2*M2297+Lookups!$B$3*L2297</f>
        <v>1</v>
      </c>
      <c r="Q2297" s="2" t="str">
        <f aca="false">INDEX(Lookups!$E$2:$E$5,MATCH(P2297,Lookups!$D$2:$D$5,0))</f>
        <v>Medium</v>
      </c>
    </row>
    <row r="2298" customFormat="false" ht="15" hidden="false" customHeight="false" outlineLevel="0" collapsed="false">
      <c r="A2298" s="3" t="n">
        <v>2297</v>
      </c>
      <c r="B2298" s="3" t="n">
        <f aca="false">Raw_Data!A2298</f>
        <v>32</v>
      </c>
      <c r="C2298" s="3" t="str">
        <f aca="false">SUBSTITUTE(Raw_Data!B2298,".","")</f>
        <v>blue-collar</v>
      </c>
      <c r="D2298" s="3" t="str">
        <f aca="false">Raw_Data!C2298</f>
        <v>married</v>
      </c>
      <c r="E2298" s="3" t="str">
        <f aca="false">Raw_Data!D2298</f>
        <v>secondary</v>
      </c>
      <c r="F2298" s="3" t="str">
        <f aca="false">Raw_Data!E2298</f>
        <v>no</v>
      </c>
      <c r="G2298" s="3" t="n">
        <f aca="false">Raw_Data!F2298</f>
        <v>1905</v>
      </c>
      <c r="H2298" s="3" t="str">
        <f aca="false">Raw_Data!G2298</f>
        <v>yes</v>
      </c>
      <c r="I2298" s="3" t="str">
        <f aca="false">Raw_Data!H2298</f>
        <v>no</v>
      </c>
      <c r="J2298" s="2" t="n">
        <f aca="false">IF(F2298="yes",1,0)</f>
        <v>0</v>
      </c>
      <c r="K2298" s="2" t="n">
        <f aca="false">IF(H2298="yes",1,0)</f>
        <v>1</v>
      </c>
      <c r="L2298" s="2" t="n">
        <f aca="false">IF(I2298="yes",1,0)</f>
        <v>0</v>
      </c>
      <c r="M2298" s="2" t="n">
        <f aca="false">IF(G2298&lt;0,1,0)</f>
        <v>0</v>
      </c>
      <c r="N2298" s="2" t="str">
        <f aca="false">_xlfn.IFS(B2298&lt;30,"Under 30",B2298&lt;40,"30-39",B2298&lt;50,"40-49",B2298&lt;60,"50-59",TRUE(),"60+")</f>
        <v>30-39</v>
      </c>
      <c r="O2298" s="2" t="str">
        <f aca="false">_xlfn.IFS(G2298&lt;0,"1 Negative",G2298=0,"2 Zero",G2298&lt;=500,"3 1-500",G2298&lt;=2000,"4 501-2000",TRUE(),"5 Above 2000")</f>
        <v>4 501-2000</v>
      </c>
      <c r="P2298" s="2" t="n">
        <f aca="false">Lookups!$B$2*M2298+Lookups!$B$3*L2298</f>
        <v>0</v>
      </c>
      <c r="Q2298" s="2" t="str">
        <f aca="false">INDEX(Lookups!$E$2:$E$5,MATCH(P2298,Lookups!$D$2:$D$5,0))</f>
        <v>Low</v>
      </c>
    </row>
    <row r="2299" customFormat="false" ht="15" hidden="false" customHeight="false" outlineLevel="0" collapsed="false">
      <c r="A2299" s="3" t="n">
        <v>2298</v>
      </c>
      <c r="B2299" s="3" t="n">
        <f aca="false">Raw_Data!A2299</f>
        <v>35</v>
      </c>
      <c r="C2299" s="3" t="str">
        <f aca="false">SUBSTITUTE(Raw_Data!B2299,".","")</f>
        <v>technician</v>
      </c>
      <c r="D2299" s="3" t="str">
        <f aca="false">Raw_Data!C2299</f>
        <v>married</v>
      </c>
      <c r="E2299" s="3" t="str">
        <f aca="false">Raw_Data!D2299</f>
        <v>tertiary</v>
      </c>
      <c r="F2299" s="3" t="str">
        <f aca="false">Raw_Data!E2299</f>
        <v>no</v>
      </c>
      <c r="G2299" s="3" t="n">
        <f aca="false">Raw_Data!F2299</f>
        <v>118</v>
      </c>
      <c r="H2299" s="3" t="str">
        <f aca="false">Raw_Data!G2299</f>
        <v>no</v>
      </c>
      <c r="I2299" s="3" t="str">
        <f aca="false">Raw_Data!H2299</f>
        <v>no</v>
      </c>
      <c r="J2299" s="2" t="n">
        <f aca="false">IF(F2299="yes",1,0)</f>
        <v>0</v>
      </c>
      <c r="K2299" s="2" t="n">
        <f aca="false">IF(H2299="yes",1,0)</f>
        <v>0</v>
      </c>
      <c r="L2299" s="2" t="n">
        <f aca="false">IF(I2299="yes",1,0)</f>
        <v>0</v>
      </c>
      <c r="M2299" s="2" t="n">
        <f aca="false">IF(G2299&lt;0,1,0)</f>
        <v>0</v>
      </c>
      <c r="N2299" s="2" t="str">
        <f aca="false">_xlfn.IFS(B2299&lt;30,"Under 30",B2299&lt;40,"30-39",B2299&lt;50,"40-49",B2299&lt;60,"50-59",TRUE(),"60+")</f>
        <v>30-39</v>
      </c>
      <c r="O2299" s="2" t="str">
        <f aca="false">_xlfn.IFS(G2299&lt;0,"1 Negative",G2299=0,"2 Zero",G2299&lt;=500,"3 1-500",G2299&lt;=2000,"4 501-2000",TRUE(),"5 Above 2000")</f>
        <v>3 1-500</v>
      </c>
      <c r="P2299" s="2" t="n">
        <f aca="false">Lookups!$B$2*M2299+Lookups!$B$3*L2299</f>
        <v>0</v>
      </c>
      <c r="Q2299" s="2" t="str">
        <f aca="false">INDEX(Lookups!$E$2:$E$5,MATCH(P2299,Lookups!$D$2:$D$5,0))</f>
        <v>Low</v>
      </c>
    </row>
    <row r="2300" customFormat="false" ht="15" hidden="false" customHeight="false" outlineLevel="0" collapsed="false">
      <c r="A2300" s="3" t="n">
        <v>2299</v>
      </c>
      <c r="B2300" s="3" t="n">
        <f aca="false">Raw_Data!A2300</f>
        <v>39</v>
      </c>
      <c r="C2300" s="3" t="str">
        <f aca="false">SUBSTITUTE(Raw_Data!B2300,".","")</f>
        <v>entrepreneur</v>
      </c>
      <c r="D2300" s="3" t="str">
        <f aca="false">Raw_Data!C2300</f>
        <v>married</v>
      </c>
      <c r="E2300" s="3" t="str">
        <f aca="false">Raw_Data!D2300</f>
        <v>tertiary</v>
      </c>
      <c r="F2300" s="3" t="str">
        <f aca="false">Raw_Data!E2300</f>
        <v>no</v>
      </c>
      <c r="G2300" s="3" t="n">
        <f aca="false">Raw_Data!F2300</f>
        <v>2644</v>
      </c>
      <c r="H2300" s="3" t="str">
        <f aca="false">Raw_Data!G2300</f>
        <v>yes</v>
      </c>
      <c r="I2300" s="3" t="str">
        <f aca="false">Raw_Data!H2300</f>
        <v>no</v>
      </c>
      <c r="J2300" s="2" t="n">
        <f aca="false">IF(F2300="yes",1,0)</f>
        <v>0</v>
      </c>
      <c r="K2300" s="2" t="n">
        <f aca="false">IF(H2300="yes",1,0)</f>
        <v>1</v>
      </c>
      <c r="L2300" s="2" t="n">
        <f aca="false">IF(I2300="yes",1,0)</f>
        <v>0</v>
      </c>
      <c r="M2300" s="2" t="n">
        <f aca="false">IF(G2300&lt;0,1,0)</f>
        <v>0</v>
      </c>
      <c r="N2300" s="2" t="str">
        <f aca="false">_xlfn.IFS(B2300&lt;30,"Under 30",B2300&lt;40,"30-39",B2300&lt;50,"40-49",B2300&lt;60,"50-59",TRUE(),"60+")</f>
        <v>30-39</v>
      </c>
      <c r="O2300" s="2" t="str">
        <f aca="false">_xlfn.IFS(G2300&lt;0,"1 Negative",G2300=0,"2 Zero",G2300&lt;=500,"3 1-500",G2300&lt;=2000,"4 501-2000",TRUE(),"5 Above 2000")</f>
        <v>5 Above 2000</v>
      </c>
      <c r="P2300" s="2" t="n">
        <f aca="false">Lookups!$B$2*M2300+Lookups!$B$3*L2300</f>
        <v>0</v>
      </c>
      <c r="Q2300" s="2" t="str">
        <f aca="false">INDEX(Lookups!$E$2:$E$5,MATCH(P2300,Lookups!$D$2:$D$5,0))</f>
        <v>Low</v>
      </c>
    </row>
    <row r="2301" customFormat="false" ht="15" hidden="false" customHeight="false" outlineLevel="0" collapsed="false">
      <c r="A2301" s="3" t="n">
        <v>2300</v>
      </c>
      <c r="B2301" s="3" t="n">
        <f aca="false">Raw_Data!A2301</f>
        <v>36</v>
      </c>
      <c r="C2301" s="3" t="str">
        <f aca="false">SUBSTITUTE(Raw_Data!B2301,".","")</f>
        <v>self-employed</v>
      </c>
      <c r="D2301" s="3" t="str">
        <f aca="false">Raw_Data!C2301</f>
        <v>married</v>
      </c>
      <c r="E2301" s="3" t="str">
        <f aca="false">Raw_Data!D2301</f>
        <v>tertiary</v>
      </c>
      <c r="F2301" s="3" t="str">
        <f aca="false">Raw_Data!E2301</f>
        <v>no</v>
      </c>
      <c r="G2301" s="3" t="n">
        <f aca="false">Raw_Data!F2301</f>
        <v>16430</v>
      </c>
      <c r="H2301" s="3" t="str">
        <f aca="false">Raw_Data!G2301</f>
        <v>yes</v>
      </c>
      <c r="I2301" s="3" t="str">
        <f aca="false">Raw_Data!H2301</f>
        <v>no</v>
      </c>
      <c r="J2301" s="2" t="n">
        <f aca="false">IF(F2301="yes",1,0)</f>
        <v>0</v>
      </c>
      <c r="K2301" s="2" t="n">
        <f aca="false">IF(H2301="yes",1,0)</f>
        <v>1</v>
      </c>
      <c r="L2301" s="2" t="n">
        <f aca="false">IF(I2301="yes",1,0)</f>
        <v>0</v>
      </c>
      <c r="M2301" s="2" t="n">
        <f aca="false">IF(G2301&lt;0,1,0)</f>
        <v>0</v>
      </c>
      <c r="N2301" s="2" t="str">
        <f aca="false">_xlfn.IFS(B2301&lt;30,"Under 30",B2301&lt;40,"30-39",B2301&lt;50,"40-49",B2301&lt;60,"50-59",TRUE(),"60+")</f>
        <v>30-39</v>
      </c>
      <c r="O2301" s="2" t="str">
        <f aca="false">_xlfn.IFS(G2301&lt;0,"1 Negative",G2301=0,"2 Zero",G2301&lt;=500,"3 1-500",G2301&lt;=2000,"4 501-2000",TRUE(),"5 Above 2000")</f>
        <v>5 Above 2000</v>
      </c>
      <c r="P2301" s="2" t="n">
        <f aca="false">Lookups!$B$2*M2301+Lookups!$B$3*L2301</f>
        <v>0</v>
      </c>
      <c r="Q2301" s="2" t="str">
        <f aca="false">INDEX(Lookups!$E$2:$E$5,MATCH(P2301,Lookups!$D$2:$D$5,0))</f>
        <v>Low</v>
      </c>
    </row>
    <row r="2302" customFormat="false" ht="15" hidden="false" customHeight="false" outlineLevel="0" collapsed="false">
      <c r="A2302" s="3" t="n">
        <v>2301</v>
      </c>
      <c r="B2302" s="3" t="n">
        <f aca="false">Raw_Data!A2302</f>
        <v>35</v>
      </c>
      <c r="C2302" s="3" t="str">
        <f aca="false">SUBSTITUTE(Raw_Data!B2302,".","")</f>
        <v>technician</v>
      </c>
      <c r="D2302" s="3" t="str">
        <f aca="false">Raw_Data!C2302</f>
        <v>married</v>
      </c>
      <c r="E2302" s="3" t="str">
        <f aca="false">Raw_Data!D2302</f>
        <v>secondary</v>
      </c>
      <c r="F2302" s="3" t="str">
        <f aca="false">Raw_Data!E2302</f>
        <v>no</v>
      </c>
      <c r="G2302" s="3" t="n">
        <f aca="false">Raw_Data!F2302</f>
        <v>13</v>
      </c>
      <c r="H2302" s="3" t="str">
        <f aca="false">Raw_Data!G2302</f>
        <v>no</v>
      </c>
      <c r="I2302" s="3" t="str">
        <f aca="false">Raw_Data!H2302</f>
        <v>no</v>
      </c>
      <c r="J2302" s="2" t="n">
        <f aca="false">IF(F2302="yes",1,0)</f>
        <v>0</v>
      </c>
      <c r="K2302" s="2" t="n">
        <f aca="false">IF(H2302="yes",1,0)</f>
        <v>0</v>
      </c>
      <c r="L2302" s="2" t="n">
        <f aca="false">IF(I2302="yes",1,0)</f>
        <v>0</v>
      </c>
      <c r="M2302" s="2" t="n">
        <f aca="false">IF(G2302&lt;0,1,0)</f>
        <v>0</v>
      </c>
      <c r="N2302" s="2" t="str">
        <f aca="false">_xlfn.IFS(B2302&lt;30,"Under 30",B2302&lt;40,"30-39",B2302&lt;50,"40-49",B2302&lt;60,"50-59",TRUE(),"60+")</f>
        <v>30-39</v>
      </c>
      <c r="O2302" s="2" t="str">
        <f aca="false">_xlfn.IFS(G2302&lt;0,"1 Negative",G2302=0,"2 Zero",G2302&lt;=500,"3 1-500",G2302&lt;=2000,"4 501-2000",TRUE(),"5 Above 2000")</f>
        <v>3 1-500</v>
      </c>
      <c r="P2302" s="2" t="n">
        <f aca="false">Lookups!$B$2*M2302+Lookups!$B$3*L2302</f>
        <v>0</v>
      </c>
      <c r="Q2302" s="2" t="str">
        <f aca="false">INDEX(Lookups!$E$2:$E$5,MATCH(P2302,Lookups!$D$2:$D$5,0))</f>
        <v>Low</v>
      </c>
    </row>
    <row r="2303" customFormat="false" ht="15" hidden="false" customHeight="false" outlineLevel="0" collapsed="false">
      <c r="A2303" s="3" t="n">
        <v>2302</v>
      </c>
      <c r="B2303" s="3" t="n">
        <f aca="false">Raw_Data!A2303</f>
        <v>57</v>
      </c>
      <c r="C2303" s="3" t="str">
        <f aca="false">SUBSTITUTE(Raw_Data!B2303,".","")</f>
        <v>services</v>
      </c>
      <c r="D2303" s="3" t="str">
        <f aca="false">Raw_Data!C2303</f>
        <v>divorced</v>
      </c>
      <c r="E2303" s="3" t="str">
        <f aca="false">Raw_Data!D2303</f>
        <v>secondary</v>
      </c>
      <c r="F2303" s="3" t="str">
        <f aca="false">Raw_Data!E2303</f>
        <v>no</v>
      </c>
      <c r="G2303" s="3" t="n">
        <f aca="false">Raw_Data!F2303</f>
        <v>14</v>
      </c>
      <c r="H2303" s="3" t="str">
        <f aca="false">Raw_Data!G2303</f>
        <v>no</v>
      </c>
      <c r="I2303" s="3" t="str">
        <f aca="false">Raw_Data!H2303</f>
        <v>yes</v>
      </c>
      <c r="J2303" s="2" t="n">
        <f aca="false">IF(F2303="yes",1,0)</f>
        <v>0</v>
      </c>
      <c r="K2303" s="2" t="n">
        <f aca="false">IF(H2303="yes",1,0)</f>
        <v>0</v>
      </c>
      <c r="L2303" s="2" t="n">
        <f aca="false">IF(I2303="yes",1,0)</f>
        <v>1</v>
      </c>
      <c r="M2303" s="2" t="n">
        <f aca="false">IF(G2303&lt;0,1,0)</f>
        <v>0</v>
      </c>
      <c r="N2303" s="2" t="str">
        <f aca="false">_xlfn.IFS(B2303&lt;30,"Under 30",B2303&lt;40,"30-39",B2303&lt;50,"40-49",B2303&lt;60,"50-59",TRUE(),"60+")</f>
        <v>50-59</v>
      </c>
      <c r="O2303" s="2" t="str">
        <f aca="false">_xlfn.IFS(G2303&lt;0,"1 Negative",G2303=0,"2 Zero",G2303&lt;=500,"3 1-500",G2303&lt;=2000,"4 501-2000",TRUE(),"5 Above 2000")</f>
        <v>3 1-500</v>
      </c>
      <c r="P2303" s="2" t="n">
        <f aca="false">Lookups!$B$2*M2303+Lookups!$B$3*L2303</f>
        <v>1</v>
      </c>
      <c r="Q2303" s="2" t="str">
        <f aca="false">INDEX(Lookups!$E$2:$E$5,MATCH(P2303,Lookups!$D$2:$D$5,0))</f>
        <v>Medium</v>
      </c>
    </row>
    <row r="2304" customFormat="false" ht="15" hidden="false" customHeight="false" outlineLevel="0" collapsed="false">
      <c r="A2304" s="3" t="n">
        <v>2303</v>
      </c>
      <c r="B2304" s="3" t="n">
        <f aca="false">Raw_Data!A2304</f>
        <v>28</v>
      </c>
      <c r="C2304" s="3" t="str">
        <f aca="false">SUBSTITUTE(Raw_Data!B2304,".","")</f>
        <v>technician</v>
      </c>
      <c r="D2304" s="3" t="str">
        <f aca="false">Raw_Data!C2304</f>
        <v>single</v>
      </c>
      <c r="E2304" s="3" t="str">
        <f aca="false">Raw_Data!D2304</f>
        <v>secondary</v>
      </c>
      <c r="F2304" s="3" t="str">
        <f aca="false">Raw_Data!E2304</f>
        <v>no</v>
      </c>
      <c r="G2304" s="3" t="n">
        <f aca="false">Raw_Data!F2304</f>
        <v>769</v>
      </c>
      <c r="H2304" s="3" t="str">
        <f aca="false">Raw_Data!G2304</f>
        <v>yes</v>
      </c>
      <c r="I2304" s="3" t="str">
        <f aca="false">Raw_Data!H2304</f>
        <v>no</v>
      </c>
      <c r="J2304" s="2" t="n">
        <f aca="false">IF(F2304="yes",1,0)</f>
        <v>0</v>
      </c>
      <c r="K2304" s="2" t="n">
        <f aca="false">IF(H2304="yes",1,0)</f>
        <v>1</v>
      </c>
      <c r="L2304" s="2" t="n">
        <f aca="false">IF(I2304="yes",1,0)</f>
        <v>0</v>
      </c>
      <c r="M2304" s="2" t="n">
        <f aca="false">IF(G2304&lt;0,1,0)</f>
        <v>0</v>
      </c>
      <c r="N2304" s="2" t="str">
        <f aca="false">_xlfn.IFS(B2304&lt;30,"Under 30",B2304&lt;40,"30-39",B2304&lt;50,"40-49",B2304&lt;60,"50-59",TRUE(),"60+")</f>
        <v>Under 30</v>
      </c>
      <c r="O2304" s="2" t="str">
        <f aca="false">_xlfn.IFS(G2304&lt;0,"1 Negative",G2304=0,"2 Zero",G2304&lt;=500,"3 1-500",G2304&lt;=2000,"4 501-2000",TRUE(),"5 Above 2000")</f>
        <v>4 501-2000</v>
      </c>
      <c r="P2304" s="2" t="n">
        <f aca="false">Lookups!$B$2*M2304+Lookups!$B$3*L2304</f>
        <v>0</v>
      </c>
      <c r="Q2304" s="2" t="str">
        <f aca="false">INDEX(Lookups!$E$2:$E$5,MATCH(P2304,Lookups!$D$2:$D$5,0))</f>
        <v>Low</v>
      </c>
    </row>
    <row r="2305" customFormat="false" ht="15" hidden="false" customHeight="false" outlineLevel="0" collapsed="false">
      <c r="A2305" s="3" t="n">
        <v>2304</v>
      </c>
      <c r="B2305" s="3" t="n">
        <f aca="false">Raw_Data!A2305</f>
        <v>43</v>
      </c>
      <c r="C2305" s="3" t="str">
        <f aca="false">SUBSTITUTE(Raw_Data!B2305,".","")</f>
        <v>admin</v>
      </c>
      <c r="D2305" s="3" t="str">
        <f aca="false">Raw_Data!C2305</f>
        <v>married</v>
      </c>
      <c r="E2305" s="3" t="str">
        <f aca="false">Raw_Data!D2305</f>
        <v>unknown</v>
      </c>
      <c r="F2305" s="3" t="str">
        <f aca="false">Raw_Data!E2305</f>
        <v>no</v>
      </c>
      <c r="G2305" s="3" t="n">
        <f aca="false">Raw_Data!F2305</f>
        <v>3485</v>
      </c>
      <c r="H2305" s="3" t="str">
        <f aca="false">Raw_Data!G2305</f>
        <v>no</v>
      </c>
      <c r="I2305" s="3" t="str">
        <f aca="false">Raw_Data!H2305</f>
        <v>no</v>
      </c>
      <c r="J2305" s="2" t="n">
        <f aca="false">IF(F2305="yes",1,0)</f>
        <v>0</v>
      </c>
      <c r="K2305" s="2" t="n">
        <f aca="false">IF(H2305="yes",1,0)</f>
        <v>0</v>
      </c>
      <c r="L2305" s="2" t="n">
        <f aca="false">IF(I2305="yes",1,0)</f>
        <v>0</v>
      </c>
      <c r="M2305" s="2" t="n">
        <f aca="false">IF(G2305&lt;0,1,0)</f>
        <v>0</v>
      </c>
      <c r="N2305" s="2" t="str">
        <f aca="false">_xlfn.IFS(B2305&lt;30,"Under 30",B2305&lt;40,"30-39",B2305&lt;50,"40-49",B2305&lt;60,"50-59",TRUE(),"60+")</f>
        <v>40-49</v>
      </c>
      <c r="O2305" s="2" t="str">
        <f aca="false">_xlfn.IFS(G2305&lt;0,"1 Negative",G2305=0,"2 Zero",G2305&lt;=500,"3 1-500",G2305&lt;=2000,"4 501-2000",TRUE(),"5 Above 2000")</f>
        <v>5 Above 2000</v>
      </c>
      <c r="P2305" s="2" t="n">
        <f aca="false">Lookups!$B$2*M2305+Lookups!$B$3*L2305</f>
        <v>0</v>
      </c>
      <c r="Q2305" s="2" t="str">
        <f aca="false">INDEX(Lookups!$E$2:$E$5,MATCH(P2305,Lookups!$D$2:$D$5,0))</f>
        <v>Low</v>
      </c>
    </row>
    <row r="2306" customFormat="false" ht="15" hidden="false" customHeight="false" outlineLevel="0" collapsed="false">
      <c r="A2306" s="3" t="n">
        <v>2305</v>
      </c>
      <c r="B2306" s="3" t="n">
        <f aca="false">Raw_Data!A2306</f>
        <v>57</v>
      </c>
      <c r="C2306" s="3" t="str">
        <f aca="false">SUBSTITUTE(Raw_Data!B2306,".","")</f>
        <v>management</v>
      </c>
      <c r="D2306" s="3" t="str">
        <f aca="false">Raw_Data!C2306</f>
        <v>married</v>
      </c>
      <c r="E2306" s="3" t="str">
        <f aca="false">Raw_Data!D2306</f>
        <v>secondary</v>
      </c>
      <c r="F2306" s="3" t="str">
        <f aca="false">Raw_Data!E2306</f>
        <v>no</v>
      </c>
      <c r="G2306" s="3" t="n">
        <f aca="false">Raw_Data!F2306</f>
        <v>139</v>
      </c>
      <c r="H2306" s="3" t="str">
        <f aca="false">Raw_Data!G2306</f>
        <v>no</v>
      </c>
      <c r="I2306" s="3" t="str">
        <f aca="false">Raw_Data!H2306</f>
        <v>no</v>
      </c>
      <c r="J2306" s="2" t="n">
        <f aca="false">IF(F2306="yes",1,0)</f>
        <v>0</v>
      </c>
      <c r="K2306" s="2" t="n">
        <f aca="false">IF(H2306="yes",1,0)</f>
        <v>0</v>
      </c>
      <c r="L2306" s="2" t="n">
        <f aca="false">IF(I2306="yes",1,0)</f>
        <v>0</v>
      </c>
      <c r="M2306" s="2" t="n">
        <f aca="false">IF(G2306&lt;0,1,0)</f>
        <v>0</v>
      </c>
      <c r="N2306" s="2" t="str">
        <f aca="false">_xlfn.IFS(B2306&lt;30,"Under 30",B2306&lt;40,"30-39",B2306&lt;50,"40-49",B2306&lt;60,"50-59",TRUE(),"60+")</f>
        <v>50-59</v>
      </c>
      <c r="O2306" s="2" t="str">
        <f aca="false">_xlfn.IFS(G2306&lt;0,"1 Negative",G2306=0,"2 Zero",G2306&lt;=500,"3 1-500",G2306&lt;=2000,"4 501-2000",TRUE(),"5 Above 2000")</f>
        <v>3 1-500</v>
      </c>
      <c r="P2306" s="2" t="n">
        <f aca="false">Lookups!$B$2*M2306+Lookups!$B$3*L2306</f>
        <v>0</v>
      </c>
      <c r="Q2306" s="2" t="str">
        <f aca="false">INDEX(Lookups!$E$2:$E$5,MATCH(P2306,Lookups!$D$2:$D$5,0))</f>
        <v>Low</v>
      </c>
    </row>
    <row r="2307" customFormat="false" ht="15" hidden="false" customHeight="false" outlineLevel="0" collapsed="false">
      <c r="A2307" s="3" t="n">
        <v>2306</v>
      </c>
      <c r="B2307" s="3" t="n">
        <f aca="false">Raw_Data!A2307</f>
        <v>34</v>
      </c>
      <c r="C2307" s="3" t="str">
        <f aca="false">SUBSTITUTE(Raw_Data!B2307,".","")</f>
        <v>services</v>
      </c>
      <c r="D2307" s="3" t="str">
        <f aca="false">Raw_Data!C2307</f>
        <v>divorced</v>
      </c>
      <c r="E2307" s="3" t="str">
        <f aca="false">Raw_Data!D2307</f>
        <v>secondary</v>
      </c>
      <c r="F2307" s="3" t="str">
        <f aca="false">Raw_Data!E2307</f>
        <v>no</v>
      </c>
      <c r="G2307" s="3" t="n">
        <f aca="false">Raw_Data!F2307</f>
        <v>202</v>
      </c>
      <c r="H2307" s="3" t="str">
        <f aca="false">Raw_Data!G2307</f>
        <v>yes</v>
      </c>
      <c r="I2307" s="3" t="str">
        <f aca="false">Raw_Data!H2307</f>
        <v>no</v>
      </c>
      <c r="J2307" s="2" t="n">
        <f aca="false">IF(F2307="yes",1,0)</f>
        <v>0</v>
      </c>
      <c r="K2307" s="2" t="n">
        <f aca="false">IF(H2307="yes",1,0)</f>
        <v>1</v>
      </c>
      <c r="L2307" s="2" t="n">
        <f aca="false">IF(I2307="yes",1,0)</f>
        <v>0</v>
      </c>
      <c r="M2307" s="2" t="n">
        <f aca="false">IF(G2307&lt;0,1,0)</f>
        <v>0</v>
      </c>
      <c r="N2307" s="2" t="str">
        <f aca="false">_xlfn.IFS(B2307&lt;30,"Under 30",B2307&lt;40,"30-39",B2307&lt;50,"40-49",B2307&lt;60,"50-59",TRUE(),"60+")</f>
        <v>30-39</v>
      </c>
      <c r="O2307" s="2" t="str">
        <f aca="false">_xlfn.IFS(G2307&lt;0,"1 Negative",G2307=0,"2 Zero",G2307&lt;=500,"3 1-500",G2307&lt;=2000,"4 501-2000",TRUE(),"5 Above 2000")</f>
        <v>3 1-500</v>
      </c>
      <c r="P2307" s="2" t="n">
        <f aca="false">Lookups!$B$2*M2307+Lookups!$B$3*L2307</f>
        <v>0</v>
      </c>
      <c r="Q2307" s="2" t="str">
        <f aca="false">INDEX(Lookups!$E$2:$E$5,MATCH(P2307,Lookups!$D$2:$D$5,0))</f>
        <v>Low</v>
      </c>
    </row>
    <row r="2308" customFormat="false" ht="15" hidden="false" customHeight="false" outlineLevel="0" collapsed="false">
      <c r="A2308" s="3" t="n">
        <v>2307</v>
      </c>
      <c r="B2308" s="3" t="n">
        <f aca="false">Raw_Data!A2308</f>
        <v>36</v>
      </c>
      <c r="C2308" s="3" t="str">
        <f aca="false">SUBSTITUTE(Raw_Data!B2308,".","")</f>
        <v>technician</v>
      </c>
      <c r="D2308" s="3" t="str">
        <f aca="false">Raw_Data!C2308</f>
        <v>married</v>
      </c>
      <c r="E2308" s="3" t="str">
        <f aca="false">Raw_Data!D2308</f>
        <v>tertiary</v>
      </c>
      <c r="F2308" s="3" t="str">
        <f aca="false">Raw_Data!E2308</f>
        <v>no</v>
      </c>
      <c r="G2308" s="3" t="n">
        <f aca="false">Raw_Data!F2308</f>
        <v>6</v>
      </c>
      <c r="H2308" s="3" t="str">
        <f aca="false">Raw_Data!G2308</f>
        <v>yes</v>
      </c>
      <c r="I2308" s="3" t="str">
        <f aca="false">Raw_Data!H2308</f>
        <v>no</v>
      </c>
      <c r="J2308" s="2" t="n">
        <f aca="false">IF(F2308="yes",1,0)</f>
        <v>0</v>
      </c>
      <c r="K2308" s="2" t="n">
        <f aca="false">IF(H2308="yes",1,0)</f>
        <v>1</v>
      </c>
      <c r="L2308" s="2" t="n">
        <f aca="false">IF(I2308="yes",1,0)</f>
        <v>0</v>
      </c>
      <c r="M2308" s="2" t="n">
        <f aca="false">IF(G2308&lt;0,1,0)</f>
        <v>0</v>
      </c>
      <c r="N2308" s="2" t="str">
        <f aca="false">_xlfn.IFS(B2308&lt;30,"Under 30",B2308&lt;40,"30-39",B2308&lt;50,"40-49",B2308&lt;60,"50-59",TRUE(),"60+")</f>
        <v>30-39</v>
      </c>
      <c r="O2308" s="2" t="str">
        <f aca="false">_xlfn.IFS(G2308&lt;0,"1 Negative",G2308=0,"2 Zero",G2308&lt;=500,"3 1-500",G2308&lt;=2000,"4 501-2000",TRUE(),"5 Above 2000")</f>
        <v>3 1-500</v>
      </c>
      <c r="P2308" s="2" t="n">
        <f aca="false">Lookups!$B$2*M2308+Lookups!$B$3*L2308</f>
        <v>0</v>
      </c>
      <c r="Q2308" s="2" t="str">
        <f aca="false">INDEX(Lookups!$E$2:$E$5,MATCH(P2308,Lookups!$D$2:$D$5,0))</f>
        <v>Low</v>
      </c>
    </row>
    <row r="2309" customFormat="false" ht="15" hidden="false" customHeight="false" outlineLevel="0" collapsed="false">
      <c r="A2309" s="3" t="n">
        <v>2308</v>
      </c>
      <c r="B2309" s="3" t="n">
        <f aca="false">Raw_Data!A2309</f>
        <v>47</v>
      </c>
      <c r="C2309" s="3" t="str">
        <f aca="false">SUBSTITUTE(Raw_Data!B2309,".","")</f>
        <v>management</v>
      </c>
      <c r="D2309" s="3" t="str">
        <f aca="false">Raw_Data!C2309</f>
        <v>divorced</v>
      </c>
      <c r="E2309" s="3" t="str">
        <f aca="false">Raw_Data!D2309</f>
        <v>tertiary</v>
      </c>
      <c r="F2309" s="3" t="str">
        <f aca="false">Raw_Data!E2309</f>
        <v>no</v>
      </c>
      <c r="G2309" s="3" t="n">
        <f aca="false">Raw_Data!F2309</f>
        <v>2515</v>
      </c>
      <c r="H2309" s="3" t="str">
        <f aca="false">Raw_Data!G2309</f>
        <v>no</v>
      </c>
      <c r="I2309" s="3" t="str">
        <f aca="false">Raw_Data!H2309</f>
        <v>no</v>
      </c>
      <c r="J2309" s="2" t="n">
        <f aca="false">IF(F2309="yes",1,0)</f>
        <v>0</v>
      </c>
      <c r="K2309" s="2" t="n">
        <f aca="false">IF(H2309="yes",1,0)</f>
        <v>0</v>
      </c>
      <c r="L2309" s="2" t="n">
        <f aca="false">IF(I2309="yes",1,0)</f>
        <v>0</v>
      </c>
      <c r="M2309" s="2" t="n">
        <f aca="false">IF(G2309&lt;0,1,0)</f>
        <v>0</v>
      </c>
      <c r="N2309" s="2" t="str">
        <f aca="false">_xlfn.IFS(B2309&lt;30,"Under 30",B2309&lt;40,"30-39",B2309&lt;50,"40-49",B2309&lt;60,"50-59",TRUE(),"60+")</f>
        <v>40-49</v>
      </c>
      <c r="O2309" s="2" t="str">
        <f aca="false">_xlfn.IFS(G2309&lt;0,"1 Negative",G2309=0,"2 Zero",G2309&lt;=500,"3 1-500",G2309&lt;=2000,"4 501-2000",TRUE(),"5 Above 2000")</f>
        <v>5 Above 2000</v>
      </c>
      <c r="P2309" s="2" t="n">
        <f aca="false">Lookups!$B$2*M2309+Lookups!$B$3*L2309</f>
        <v>0</v>
      </c>
      <c r="Q2309" s="2" t="str">
        <f aca="false">INDEX(Lookups!$E$2:$E$5,MATCH(P2309,Lookups!$D$2:$D$5,0))</f>
        <v>Low</v>
      </c>
    </row>
    <row r="2310" customFormat="false" ht="15" hidden="false" customHeight="false" outlineLevel="0" collapsed="false">
      <c r="A2310" s="3" t="n">
        <v>2309</v>
      </c>
      <c r="B2310" s="3" t="n">
        <f aca="false">Raw_Data!A2310</f>
        <v>36</v>
      </c>
      <c r="C2310" s="3" t="str">
        <f aca="false">SUBSTITUTE(Raw_Data!B2310,".","")</f>
        <v>management</v>
      </c>
      <c r="D2310" s="3" t="str">
        <f aca="false">Raw_Data!C2310</f>
        <v>divorced</v>
      </c>
      <c r="E2310" s="3" t="str">
        <f aca="false">Raw_Data!D2310</f>
        <v>tertiary</v>
      </c>
      <c r="F2310" s="3" t="str">
        <f aca="false">Raw_Data!E2310</f>
        <v>no</v>
      </c>
      <c r="G2310" s="3" t="n">
        <f aca="false">Raw_Data!F2310</f>
        <v>5195</v>
      </c>
      <c r="H2310" s="3" t="str">
        <f aca="false">Raw_Data!G2310</f>
        <v>yes</v>
      </c>
      <c r="I2310" s="3" t="str">
        <f aca="false">Raw_Data!H2310</f>
        <v>no</v>
      </c>
      <c r="J2310" s="2" t="n">
        <f aca="false">IF(F2310="yes",1,0)</f>
        <v>0</v>
      </c>
      <c r="K2310" s="2" t="n">
        <f aca="false">IF(H2310="yes",1,0)</f>
        <v>1</v>
      </c>
      <c r="L2310" s="2" t="n">
        <f aca="false">IF(I2310="yes",1,0)</f>
        <v>0</v>
      </c>
      <c r="M2310" s="2" t="n">
        <f aca="false">IF(G2310&lt;0,1,0)</f>
        <v>0</v>
      </c>
      <c r="N2310" s="2" t="str">
        <f aca="false">_xlfn.IFS(B2310&lt;30,"Under 30",B2310&lt;40,"30-39",B2310&lt;50,"40-49",B2310&lt;60,"50-59",TRUE(),"60+")</f>
        <v>30-39</v>
      </c>
      <c r="O2310" s="2" t="str">
        <f aca="false">_xlfn.IFS(G2310&lt;0,"1 Negative",G2310=0,"2 Zero",G2310&lt;=500,"3 1-500",G2310&lt;=2000,"4 501-2000",TRUE(),"5 Above 2000")</f>
        <v>5 Above 2000</v>
      </c>
      <c r="P2310" s="2" t="n">
        <f aca="false">Lookups!$B$2*M2310+Lookups!$B$3*L2310</f>
        <v>0</v>
      </c>
      <c r="Q2310" s="2" t="str">
        <f aca="false">INDEX(Lookups!$E$2:$E$5,MATCH(P2310,Lookups!$D$2:$D$5,0))</f>
        <v>Low</v>
      </c>
    </row>
    <row r="2311" customFormat="false" ht="15" hidden="false" customHeight="false" outlineLevel="0" collapsed="false">
      <c r="A2311" s="3" t="n">
        <v>2310</v>
      </c>
      <c r="B2311" s="3" t="n">
        <f aca="false">Raw_Data!A2311</f>
        <v>33</v>
      </c>
      <c r="C2311" s="3" t="str">
        <f aca="false">SUBSTITUTE(Raw_Data!B2311,".","")</f>
        <v>management</v>
      </c>
      <c r="D2311" s="3" t="str">
        <f aca="false">Raw_Data!C2311</f>
        <v>married</v>
      </c>
      <c r="E2311" s="3" t="str">
        <f aca="false">Raw_Data!D2311</f>
        <v>tertiary</v>
      </c>
      <c r="F2311" s="3" t="str">
        <f aca="false">Raw_Data!E2311</f>
        <v>no</v>
      </c>
      <c r="G2311" s="3" t="n">
        <f aca="false">Raw_Data!F2311</f>
        <v>2098</v>
      </c>
      <c r="H2311" s="3" t="str">
        <f aca="false">Raw_Data!G2311</f>
        <v>no</v>
      </c>
      <c r="I2311" s="3" t="str">
        <f aca="false">Raw_Data!H2311</f>
        <v>no</v>
      </c>
      <c r="J2311" s="2" t="n">
        <f aca="false">IF(F2311="yes",1,0)</f>
        <v>0</v>
      </c>
      <c r="K2311" s="2" t="n">
        <f aca="false">IF(H2311="yes",1,0)</f>
        <v>0</v>
      </c>
      <c r="L2311" s="2" t="n">
        <f aca="false">IF(I2311="yes",1,0)</f>
        <v>0</v>
      </c>
      <c r="M2311" s="2" t="n">
        <f aca="false">IF(G2311&lt;0,1,0)</f>
        <v>0</v>
      </c>
      <c r="N2311" s="2" t="str">
        <f aca="false">_xlfn.IFS(B2311&lt;30,"Under 30",B2311&lt;40,"30-39",B2311&lt;50,"40-49",B2311&lt;60,"50-59",TRUE(),"60+")</f>
        <v>30-39</v>
      </c>
      <c r="O2311" s="2" t="str">
        <f aca="false">_xlfn.IFS(G2311&lt;0,"1 Negative",G2311=0,"2 Zero",G2311&lt;=500,"3 1-500",G2311&lt;=2000,"4 501-2000",TRUE(),"5 Above 2000")</f>
        <v>5 Above 2000</v>
      </c>
      <c r="P2311" s="2" t="n">
        <f aca="false">Lookups!$B$2*M2311+Lookups!$B$3*L2311</f>
        <v>0</v>
      </c>
      <c r="Q2311" s="2" t="str">
        <f aca="false">INDEX(Lookups!$E$2:$E$5,MATCH(P2311,Lookups!$D$2:$D$5,0))</f>
        <v>Low</v>
      </c>
    </row>
    <row r="2312" customFormat="false" ht="15" hidden="false" customHeight="false" outlineLevel="0" collapsed="false">
      <c r="A2312" s="3" t="n">
        <v>2311</v>
      </c>
      <c r="B2312" s="3" t="n">
        <f aca="false">Raw_Data!A2312</f>
        <v>57</v>
      </c>
      <c r="C2312" s="3" t="str">
        <f aca="false">SUBSTITUTE(Raw_Data!B2312,".","")</f>
        <v>management</v>
      </c>
      <c r="D2312" s="3" t="str">
        <f aca="false">Raw_Data!C2312</f>
        <v>married</v>
      </c>
      <c r="E2312" s="3" t="str">
        <f aca="false">Raw_Data!D2312</f>
        <v>tertiary</v>
      </c>
      <c r="F2312" s="3" t="str">
        <f aca="false">Raw_Data!E2312</f>
        <v>no</v>
      </c>
      <c r="G2312" s="3" t="n">
        <f aca="false">Raw_Data!F2312</f>
        <v>320</v>
      </c>
      <c r="H2312" s="3" t="str">
        <f aca="false">Raw_Data!G2312</f>
        <v>no</v>
      </c>
      <c r="I2312" s="3" t="str">
        <f aca="false">Raw_Data!H2312</f>
        <v>no</v>
      </c>
      <c r="J2312" s="2" t="n">
        <f aca="false">IF(F2312="yes",1,0)</f>
        <v>0</v>
      </c>
      <c r="K2312" s="2" t="n">
        <f aca="false">IF(H2312="yes",1,0)</f>
        <v>0</v>
      </c>
      <c r="L2312" s="2" t="n">
        <f aca="false">IF(I2312="yes",1,0)</f>
        <v>0</v>
      </c>
      <c r="M2312" s="2" t="n">
        <f aca="false">IF(G2312&lt;0,1,0)</f>
        <v>0</v>
      </c>
      <c r="N2312" s="2" t="str">
        <f aca="false">_xlfn.IFS(B2312&lt;30,"Under 30",B2312&lt;40,"30-39",B2312&lt;50,"40-49",B2312&lt;60,"50-59",TRUE(),"60+")</f>
        <v>50-59</v>
      </c>
      <c r="O2312" s="2" t="str">
        <f aca="false">_xlfn.IFS(G2312&lt;0,"1 Negative",G2312=0,"2 Zero",G2312&lt;=500,"3 1-500",G2312&lt;=2000,"4 501-2000",TRUE(),"5 Above 2000")</f>
        <v>3 1-500</v>
      </c>
      <c r="P2312" s="2" t="n">
        <f aca="false">Lookups!$B$2*M2312+Lookups!$B$3*L2312</f>
        <v>0</v>
      </c>
      <c r="Q2312" s="2" t="str">
        <f aca="false">INDEX(Lookups!$E$2:$E$5,MATCH(P2312,Lookups!$D$2:$D$5,0))</f>
        <v>Low</v>
      </c>
    </row>
    <row r="2313" customFormat="false" ht="15" hidden="false" customHeight="false" outlineLevel="0" collapsed="false">
      <c r="A2313" s="3" t="n">
        <v>2312</v>
      </c>
      <c r="B2313" s="3" t="n">
        <f aca="false">Raw_Data!A2313</f>
        <v>57</v>
      </c>
      <c r="C2313" s="3" t="str">
        <f aca="false">SUBSTITUTE(Raw_Data!B2313,".","")</f>
        <v>management</v>
      </c>
      <c r="D2313" s="3" t="str">
        <f aca="false">Raw_Data!C2313</f>
        <v>married</v>
      </c>
      <c r="E2313" s="3" t="str">
        <f aca="false">Raw_Data!D2313</f>
        <v>tertiary</v>
      </c>
      <c r="F2313" s="3" t="str">
        <f aca="false">Raw_Data!E2313</f>
        <v>no</v>
      </c>
      <c r="G2313" s="3" t="n">
        <f aca="false">Raw_Data!F2313</f>
        <v>3431</v>
      </c>
      <c r="H2313" s="3" t="str">
        <f aca="false">Raw_Data!G2313</f>
        <v>yes</v>
      </c>
      <c r="I2313" s="3" t="str">
        <f aca="false">Raw_Data!H2313</f>
        <v>no</v>
      </c>
      <c r="J2313" s="2" t="n">
        <f aca="false">IF(F2313="yes",1,0)</f>
        <v>0</v>
      </c>
      <c r="K2313" s="2" t="n">
        <f aca="false">IF(H2313="yes",1,0)</f>
        <v>1</v>
      </c>
      <c r="L2313" s="2" t="n">
        <f aca="false">IF(I2313="yes",1,0)</f>
        <v>0</v>
      </c>
      <c r="M2313" s="2" t="n">
        <f aca="false">IF(G2313&lt;0,1,0)</f>
        <v>0</v>
      </c>
      <c r="N2313" s="2" t="str">
        <f aca="false">_xlfn.IFS(B2313&lt;30,"Under 30",B2313&lt;40,"30-39",B2313&lt;50,"40-49",B2313&lt;60,"50-59",TRUE(),"60+")</f>
        <v>50-59</v>
      </c>
      <c r="O2313" s="2" t="str">
        <f aca="false">_xlfn.IFS(G2313&lt;0,"1 Negative",G2313=0,"2 Zero",G2313&lt;=500,"3 1-500",G2313&lt;=2000,"4 501-2000",TRUE(),"5 Above 2000")</f>
        <v>5 Above 2000</v>
      </c>
      <c r="P2313" s="2" t="n">
        <f aca="false">Lookups!$B$2*M2313+Lookups!$B$3*L2313</f>
        <v>0</v>
      </c>
      <c r="Q2313" s="2" t="str">
        <f aca="false">INDEX(Lookups!$E$2:$E$5,MATCH(P2313,Lookups!$D$2:$D$5,0))</f>
        <v>Low</v>
      </c>
    </row>
    <row r="2314" customFormat="false" ht="15" hidden="false" customHeight="false" outlineLevel="0" collapsed="false">
      <c r="A2314" s="3" t="n">
        <v>2313</v>
      </c>
      <c r="B2314" s="3" t="n">
        <f aca="false">Raw_Data!A2314</f>
        <v>34</v>
      </c>
      <c r="C2314" s="3" t="str">
        <f aca="false">SUBSTITUTE(Raw_Data!B2314,".","")</f>
        <v>admin</v>
      </c>
      <c r="D2314" s="3" t="str">
        <f aca="false">Raw_Data!C2314</f>
        <v>married</v>
      </c>
      <c r="E2314" s="3" t="str">
        <f aca="false">Raw_Data!D2314</f>
        <v>secondary</v>
      </c>
      <c r="F2314" s="3" t="str">
        <f aca="false">Raw_Data!E2314</f>
        <v>no</v>
      </c>
      <c r="G2314" s="3" t="n">
        <f aca="false">Raw_Data!F2314</f>
        <v>50</v>
      </c>
      <c r="H2314" s="3" t="str">
        <f aca="false">Raw_Data!G2314</f>
        <v>yes</v>
      </c>
      <c r="I2314" s="3" t="str">
        <f aca="false">Raw_Data!H2314</f>
        <v>no</v>
      </c>
      <c r="J2314" s="2" t="n">
        <f aca="false">IF(F2314="yes",1,0)</f>
        <v>0</v>
      </c>
      <c r="K2314" s="2" t="n">
        <f aca="false">IF(H2314="yes",1,0)</f>
        <v>1</v>
      </c>
      <c r="L2314" s="2" t="n">
        <f aca="false">IF(I2314="yes",1,0)</f>
        <v>0</v>
      </c>
      <c r="M2314" s="2" t="n">
        <f aca="false">IF(G2314&lt;0,1,0)</f>
        <v>0</v>
      </c>
      <c r="N2314" s="2" t="str">
        <f aca="false">_xlfn.IFS(B2314&lt;30,"Under 30",B2314&lt;40,"30-39",B2314&lt;50,"40-49",B2314&lt;60,"50-59",TRUE(),"60+")</f>
        <v>30-39</v>
      </c>
      <c r="O2314" s="2" t="str">
        <f aca="false">_xlfn.IFS(G2314&lt;0,"1 Negative",G2314=0,"2 Zero",G2314&lt;=500,"3 1-500",G2314&lt;=2000,"4 501-2000",TRUE(),"5 Above 2000")</f>
        <v>3 1-500</v>
      </c>
      <c r="P2314" s="2" t="n">
        <f aca="false">Lookups!$B$2*M2314+Lookups!$B$3*L2314</f>
        <v>0</v>
      </c>
      <c r="Q2314" s="2" t="str">
        <f aca="false">INDEX(Lookups!$E$2:$E$5,MATCH(P2314,Lookups!$D$2:$D$5,0))</f>
        <v>Low</v>
      </c>
    </row>
    <row r="2315" customFormat="false" ht="15" hidden="false" customHeight="false" outlineLevel="0" collapsed="false">
      <c r="A2315" s="3" t="n">
        <v>2314</v>
      </c>
      <c r="B2315" s="3" t="n">
        <f aca="false">Raw_Data!A2315</f>
        <v>51</v>
      </c>
      <c r="C2315" s="3" t="str">
        <f aca="false">SUBSTITUTE(Raw_Data!B2315,".","")</f>
        <v>housemaid</v>
      </c>
      <c r="D2315" s="3" t="str">
        <f aca="false">Raw_Data!C2315</f>
        <v>divorced</v>
      </c>
      <c r="E2315" s="3" t="str">
        <f aca="false">Raw_Data!D2315</f>
        <v>tertiary</v>
      </c>
      <c r="F2315" s="3" t="str">
        <f aca="false">Raw_Data!E2315</f>
        <v>no</v>
      </c>
      <c r="G2315" s="3" t="n">
        <f aca="false">Raw_Data!F2315</f>
        <v>370</v>
      </c>
      <c r="H2315" s="3" t="str">
        <f aca="false">Raw_Data!G2315</f>
        <v>yes</v>
      </c>
      <c r="I2315" s="3" t="str">
        <f aca="false">Raw_Data!H2315</f>
        <v>no</v>
      </c>
      <c r="J2315" s="2" t="n">
        <f aca="false">IF(F2315="yes",1,0)</f>
        <v>0</v>
      </c>
      <c r="K2315" s="2" t="n">
        <f aca="false">IF(H2315="yes",1,0)</f>
        <v>1</v>
      </c>
      <c r="L2315" s="2" t="n">
        <f aca="false">IF(I2315="yes",1,0)</f>
        <v>0</v>
      </c>
      <c r="M2315" s="2" t="n">
        <f aca="false">IF(G2315&lt;0,1,0)</f>
        <v>0</v>
      </c>
      <c r="N2315" s="2" t="str">
        <f aca="false">_xlfn.IFS(B2315&lt;30,"Under 30",B2315&lt;40,"30-39",B2315&lt;50,"40-49",B2315&lt;60,"50-59",TRUE(),"60+")</f>
        <v>50-59</v>
      </c>
      <c r="O2315" s="2" t="str">
        <f aca="false">_xlfn.IFS(G2315&lt;0,"1 Negative",G2315=0,"2 Zero",G2315&lt;=500,"3 1-500",G2315&lt;=2000,"4 501-2000",TRUE(),"5 Above 2000")</f>
        <v>3 1-500</v>
      </c>
      <c r="P2315" s="2" t="n">
        <f aca="false">Lookups!$B$2*M2315+Lookups!$B$3*L2315</f>
        <v>0</v>
      </c>
      <c r="Q2315" s="2" t="str">
        <f aca="false">INDEX(Lookups!$E$2:$E$5,MATCH(P2315,Lookups!$D$2:$D$5,0))</f>
        <v>Low</v>
      </c>
    </row>
    <row r="2316" customFormat="false" ht="15" hidden="false" customHeight="false" outlineLevel="0" collapsed="false">
      <c r="A2316" s="3" t="n">
        <v>2315</v>
      </c>
      <c r="B2316" s="3" t="n">
        <f aca="false">Raw_Data!A2316</f>
        <v>54</v>
      </c>
      <c r="C2316" s="3" t="str">
        <f aca="false">SUBSTITUTE(Raw_Data!B2316,".","")</f>
        <v>blue-collar</v>
      </c>
      <c r="D2316" s="3" t="str">
        <f aca="false">Raw_Data!C2316</f>
        <v>divorced</v>
      </c>
      <c r="E2316" s="3" t="str">
        <f aca="false">Raw_Data!D2316</f>
        <v>primary</v>
      </c>
      <c r="F2316" s="3" t="str">
        <f aca="false">Raw_Data!E2316</f>
        <v>no</v>
      </c>
      <c r="G2316" s="3" t="n">
        <f aca="false">Raw_Data!F2316</f>
        <v>-182</v>
      </c>
      <c r="H2316" s="3" t="str">
        <f aca="false">Raw_Data!G2316</f>
        <v>no</v>
      </c>
      <c r="I2316" s="3" t="str">
        <f aca="false">Raw_Data!H2316</f>
        <v>no</v>
      </c>
      <c r="J2316" s="2" t="n">
        <f aca="false">IF(F2316="yes",1,0)</f>
        <v>0</v>
      </c>
      <c r="K2316" s="2" t="n">
        <f aca="false">IF(H2316="yes",1,0)</f>
        <v>0</v>
      </c>
      <c r="L2316" s="2" t="n">
        <f aca="false">IF(I2316="yes",1,0)</f>
        <v>0</v>
      </c>
      <c r="M2316" s="2" t="n">
        <f aca="false">IF(G2316&lt;0,1,0)</f>
        <v>1</v>
      </c>
      <c r="N2316" s="2" t="str">
        <f aca="false">_xlfn.IFS(B2316&lt;30,"Under 30",B2316&lt;40,"30-39",B2316&lt;50,"40-49",B2316&lt;60,"50-59",TRUE(),"60+")</f>
        <v>50-59</v>
      </c>
      <c r="O2316" s="2" t="str">
        <f aca="false">_xlfn.IFS(G2316&lt;0,"1 Negative",G2316=0,"2 Zero",G2316&lt;=500,"3 1-500",G2316&lt;=2000,"4 501-2000",TRUE(),"5 Above 2000")</f>
        <v>1 Negative</v>
      </c>
      <c r="P2316" s="2" t="n">
        <f aca="false">Lookups!$B$2*M2316+Lookups!$B$3*L2316</f>
        <v>2</v>
      </c>
      <c r="Q2316" s="2" t="str">
        <f aca="false">INDEX(Lookups!$E$2:$E$5,MATCH(P2316,Lookups!$D$2:$D$5,0))</f>
        <v>High</v>
      </c>
    </row>
    <row r="2317" customFormat="false" ht="15" hidden="false" customHeight="false" outlineLevel="0" collapsed="false">
      <c r="A2317" s="3" t="n">
        <v>2316</v>
      </c>
      <c r="B2317" s="3" t="n">
        <f aca="false">Raw_Data!A2317</f>
        <v>52</v>
      </c>
      <c r="C2317" s="3" t="str">
        <f aca="false">SUBSTITUTE(Raw_Data!B2317,".","")</f>
        <v>self-employed</v>
      </c>
      <c r="D2317" s="3" t="str">
        <f aca="false">Raw_Data!C2317</f>
        <v>single</v>
      </c>
      <c r="E2317" s="3" t="str">
        <f aca="false">Raw_Data!D2317</f>
        <v>tertiary</v>
      </c>
      <c r="F2317" s="3" t="str">
        <f aca="false">Raw_Data!E2317</f>
        <v>no</v>
      </c>
      <c r="G2317" s="3" t="n">
        <f aca="false">Raw_Data!F2317</f>
        <v>1623</v>
      </c>
      <c r="H2317" s="3" t="str">
        <f aca="false">Raw_Data!G2317</f>
        <v>yes</v>
      </c>
      <c r="I2317" s="3" t="str">
        <f aca="false">Raw_Data!H2317</f>
        <v>no</v>
      </c>
      <c r="J2317" s="2" t="n">
        <f aca="false">IF(F2317="yes",1,0)</f>
        <v>0</v>
      </c>
      <c r="K2317" s="2" t="n">
        <f aca="false">IF(H2317="yes",1,0)</f>
        <v>1</v>
      </c>
      <c r="L2317" s="2" t="n">
        <f aca="false">IF(I2317="yes",1,0)</f>
        <v>0</v>
      </c>
      <c r="M2317" s="2" t="n">
        <f aca="false">IF(G2317&lt;0,1,0)</f>
        <v>0</v>
      </c>
      <c r="N2317" s="2" t="str">
        <f aca="false">_xlfn.IFS(B2317&lt;30,"Under 30",B2317&lt;40,"30-39",B2317&lt;50,"40-49",B2317&lt;60,"50-59",TRUE(),"60+")</f>
        <v>50-59</v>
      </c>
      <c r="O2317" s="2" t="str">
        <f aca="false">_xlfn.IFS(G2317&lt;0,"1 Negative",G2317=0,"2 Zero",G2317&lt;=500,"3 1-500",G2317&lt;=2000,"4 501-2000",TRUE(),"5 Above 2000")</f>
        <v>4 501-2000</v>
      </c>
      <c r="P2317" s="2" t="n">
        <f aca="false">Lookups!$B$2*M2317+Lookups!$B$3*L2317</f>
        <v>0</v>
      </c>
      <c r="Q2317" s="2" t="str">
        <f aca="false">INDEX(Lookups!$E$2:$E$5,MATCH(P2317,Lookups!$D$2:$D$5,0))</f>
        <v>Low</v>
      </c>
    </row>
    <row r="2318" customFormat="false" ht="15" hidden="false" customHeight="false" outlineLevel="0" collapsed="false">
      <c r="A2318" s="3" t="n">
        <v>2317</v>
      </c>
      <c r="B2318" s="3" t="n">
        <f aca="false">Raw_Data!A2318</f>
        <v>43</v>
      </c>
      <c r="C2318" s="3" t="str">
        <f aca="false">SUBSTITUTE(Raw_Data!B2318,".","")</f>
        <v>entrepreneur</v>
      </c>
      <c r="D2318" s="3" t="str">
        <f aca="false">Raw_Data!C2318</f>
        <v>married</v>
      </c>
      <c r="E2318" s="3" t="str">
        <f aca="false">Raw_Data!D2318</f>
        <v>tertiary</v>
      </c>
      <c r="F2318" s="3" t="str">
        <f aca="false">Raw_Data!E2318</f>
        <v>no</v>
      </c>
      <c r="G2318" s="3" t="n">
        <f aca="false">Raw_Data!F2318</f>
        <v>13342</v>
      </c>
      <c r="H2318" s="3" t="str">
        <f aca="false">Raw_Data!G2318</f>
        <v>yes</v>
      </c>
      <c r="I2318" s="3" t="str">
        <f aca="false">Raw_Data!H2318</f>
        <v>no</v>
      </c>
      <c r="J2318" s="2" t="n">
        <f aca="false">IF(F2318="yes",1,0)</f>
        <v>0</v>
      </c>
      <c r="K2318" s="2" t="n">
        <f aca="false">IF(H2318="yes",1,0)</f>
        <v>1</v>
      </c>
      <c r="L2318" s="2" t="n">
        <f aca="false">IF(I2318="yes",1,0)</f>
        <v>0</v>
      </c>
      <c r="M2318" s="2" t="n">
        <f aca="false">IF(G2318&lt;0,1,0)</f>
        <v>0</v>
      </c>
      <c r="N2318" s="2" t="str">
        <f aca="false">_xlfn.IFS(B2318&lt;30,"Under 30",B2318&lt;40,"30-39",B2318&lt;50,"40-49",B2318&lt;60,"50-59",TRUE(),"60+")</f>
        <v>40-49</v>
      </c>
      <c r="O2318" s="2" t="str">
        <f aca="false">_xlfn.IFS(G2318&lt;0,"1 Negative",G2318=0,"2 Zero",G2318&lt;=500,"3 1-500",G2318&lt;=2000,"4 501-2000",TRUE(),"5 Above 2000")</f>
        <v>5 Above 2000</v>
      </c>
      <c r="P2318" s="2" t="n">
        <f aca="false">Lookups!$B$2*M2318+Lookups!$B$3*L2318</f>
        <v>0</v>
      </c>
      <c r="Q2318" s="2" t="str">
        <f aca="false">INDEX(Lookups!$E$2:$E$5,MATCH(P2318,Lookups!$D$2:$D$5,0))</f>
        <v>Low</v>
      </c>
    </row>
    <row r="2319" customFormat="false" ht="15" hidden="false" customHeight="false" outlineLevel="0" collapsed="false">
      <c r="A2319" s="3" t="n">
        <v>2318</v>
      </c>
      <c r="B2319" s="3" t="n">
        <f aca="false">Raw_Data!A2319</f>
        <v>58</v>
      </c>
      <c r="C2319" s="3" t="str">
        <f aca="false">SUBSTITUTE(Raw_Data!B2319,".","")</f>
        <v>retired</v>
      </c>
      <c r="D2319" s="3" t="str">
        <f aca="false">Raw_Data!C2319</f>
        <v>single</v>
      </c>
      <c r="E2319" s="3" t="str">
        <f aca="false">Raw_Data!D2319</f>
        <v>primary</v>
      </c>
      <c r="F2319" s="3" t="str">
        <f aca="false">Raw_Data!E2319</f>
        <v>no</v>
      </c>
      <c r="G2319" s="3" t="n">
        <f aca="false">Raw_Data!F2319</f>
        <v>6570</v>
      </c>
      <c r="H2319" s="3" t="str">
        <f aca="false">Raw_Data!G2319</f>
        <v>no</v>
      </c>
      <c r="I2319" s="3" t="str">
        <f aca="false">Raw_Data!H2319</f>
        <v>no</v>
      </c>
      <c r="J2319" s="2" t="n">
        <f aca="false">IF(F2319="yes",1,0)</f>
        <v>0</v>
      </c>
      <c r="K2319" s="2" t="n">
        <f aca="false">IF(H2319="yes",1,0)</f>
        <v>0</v>
      </c>
      <c r="L2319" s="2" t="n">
        <f aca="false">IF(I2319="yes",1,0)</f>
        <v>0</v>
      </c>
      <c r="M2319" s="2" t="n">
        <f aca="false">IF(G2319&lt;0,1,0)</f>
        <v>0</v>
      </c>
      <c r="N2319" s="2" t="str">
        <f aca="false">_xlfn.IFS(B2319&lt;30,"Under 30",B2319&lt;40,"30-39",B2319&lt;50,"40-49",B2319&lt;60,"50-59",TRUE(),"60+")</f>
        <v>50-59</v>
      </c>
      <c r="O2319" s="2" t="str">
        <f aca="false">_xlfn.IFS(G2319&lt;0,"1 Negative",G2319=0,"2 Zero",G2319&lt;=500,"3 1-500",G2319&lt;=2000,"4 501-2000",TRUE(),"5 Above 2000")</f>
        <v>5 Above 2000</v>
      </c>
      <c r="P2319" s="2" t="n">
        <f aca="false">Lookups!$B$2*M2319+Lookups!$B$3*L2319</f>
        <v>0</v>
      </c>
      <c r="Q2319" s="2" t="str">
        <f aca="false">INDEX(Lookups!$E$2:$E$5,MATCH(P2319,Lookups!$D$2:$D$5,0))</f>
        <v>Low</v>
      </c>
    </row>
    <row r="2320" customFormat="false" ht="15" hidden="false" customHeight="false" outlineLevel="0" collapsed="false">
      <c r="A2320" s="3" t="n">
        <v>2319</v>
      </c>
      <c r="B2320" s="3" t="n">
        <f aca="false">Raw_Data!A2320</f>
        <v>53</v>
      </c>
      <c r="C2320" s="3" t="str">
        <f aca="false">SUBSTITUTE(Raw_Data!B2320,".","")</f>
        <v>admin</v>
      </c>
      <c r="D2320" s="3" t="str">
        <f aca="false">Raw_Data!C2320</f>
        <v>married</v>
      </c>
      <c r="E2320" s="3" t="str">
        <f aca="false">Raw_Data!D2320</f>
        <v>secondary</v>
      </c>
      <c r="F2320" s="3" t="str">
        <f aca="false">Raw_Data!E2320</f>
        <v>no</v>
      </c>
      <c r="G2320" s="3" t="n">
        <f aca="false">Raw_Data!F2320</f>
        <v>225</v>
      </c>
      <c r="H2320" s="3" t="str">
        <f aca="false">Raw_Data!G2320</f>
        <v>yes</v>
      </c>
      <c r="I2320" s="3" t="str">
        <f aca="false">Raw_Data!H2320</f>
        <v>no</v>
      </c>
      <c r="J2320" s="2" t="n">
        <f aca="false">IF(F2320="yes",1,0)</f>
        <v>0</v>
      </c>
      <c r="K2320" s="2" t="n">
        <f aca="false">IF(H2320="yes",1,0)</f>
        <v>1</v>
      </c>
      <c r="L2320" s="2" t="n">
        <f aca="false">IF(I2320="yes",1,0)</f>
        <v>0</v>
      </c>
      <c r="M2320" s="2" t="n">
        <f aca="false">IF(G2320&lt;0,1,0)</f>
        <v>0</v>
      </c>
      <c r="N2320" s="2" t="str">
        <f aca="false">_xlfn.IFS(B2320&lt;30,"Under 30",B2320&lt;40,"30-39",B2320&lt;50,"40-49",B2320&lt;60,"50-59",TRUE(),"60+")</f>
        <v>50-59</v>
      </c>
      <c r="O2320" s="2" t="str">
        <f aca="false">_xlfn.IFS(G2320&lt;0,"1 Negative",G2320=0,"2 Zero",G2320&lt;=500,"3 1-500",G2320&lt;=2000,"4 501-2000",TRUE(),"5 Above 2000")</f>
        <v>3 1-500</v>
      </c>
      <c r="P2320" s="2" t="n">
        <f aca="false">Lookups!$B$2*M2320+Lookups!$B$3*L2320</f>
        <v>0</v>
      </c>
      <c r="Q2320" s="2" t="str">
        <f aca="false">INDEX(Lookups!$E$2:$E$5,MATCH(P2320,Lookups!$D$2:$D$5,0))</f>
        <v>Low</v>
      </c>
    </row>
    <row r="2321" customFormat="false" ht="15" hidden="false" customHeight="false" outlineLevel="0" collapsed="false">
      <c r="A2321" s="3" t="n">
        <v>2320</v>
      </c>
      <c r="B2321" s="3" t="n">
        <f aca="false">Raw_Data!A2321</f>
        <v>44</v>
      </c>
      <c r="C2321" s="3" t="str">
        <f aca="false">SUBSTITUTE(Raw_Data!B2321,".","")</f>
        <v>management</v>
      </c>
      <c r="D2321" s="3" t="str">
        <f aca="false">Raw_Data!C2321</f>
        <v>married</v>
      </c>
      <c r="E2321" s="3" t="str">
        <f aca="false">Raw_Data!D2321</f>
        <v>secondary</v>
      </c>
      <c r="F2321" s="3" t="str">
        <f aca="false">Raw_Data!E2321</f>
        <v>no</v>
      </c>
      <c r="G2321" s="3" t="n">
        <f aca="false">Raw_Data!F2321</f>
        <v>-665</v>
      </c>
      <c r="H2321" s="3" t="str">
        <f aca="false">Raw_Data!G2321</f>
        <v>no</v>
      </c>
      <c r="I2321" s="3" t="str">
        <f aca="false">Raw_Data!H2321</f>
        <v>no</v>
      </c>
      <c r="J2321" s="2" t="n">
        <f aca="false">IF(F2321="yes",1,0)</f>
        <v>0</v>
      </c>
      <c r="K2321" s="2" t="n">
        <f aca="false">IF(H2321="yes",1,0)</f>
        <v>0</v>
      </c>
      <c r="L2321" s="2" t="n">
        <f aca="false">IF(I2321="yes",1,0)</f>
        <v>0</v>
      </c>
      <c r="M2321" s="2" t="n">
        <f aca="false">IF(G2321&lt;0,1,0)</f>
        <v>1</v>
      </c>
      <c r="N2321" s="2" t="str">
        <f aca="false">_xlfn.IFS(B2321&lt;30,"Under 30",B2321&lt;40,"30-39",B2321&lt;50,"40-49",B2321&lt;60,"50-59",TRUE(),"60+")</f>
        <v>40-49</v>
      </c>
      <c r="O2321" s="2" t="str">
        <f aca="false">_xlfn.IFS(G2321&lt;0,"1 Negative",G2321=0,"2 Zero",G2321&lt;=500,"3 1-500",G2321&lt;=2000,"4 501-2000",TRUE(),"5 Above 2000")</f>
        <v>1 Negative</v>
      </c>
      <c r="P2321" s="2" t="n">
        <f aca="false">Lookups!$B$2*M2321+Lookups!$B$3*L2321</f>
        <v>2</v>
      </c>
      <c r="Q2321" s="2" t="str">
        <f aca="false">INDEX(Lookups!$E$2:$E$5,MATCH(P2321,Lookups!$D$2:$D$5,0))</f>
        <v>High</v>
      </c>
    </row>
    <row r="2322" customFormat="false" ht="15" hidden="false" customHeight="false" outlineLevel="0" collapsed="false">
      <c r="A2322" s="3" t="n">
        <v>2321</v>
      </c>
      <c r="B2322" s="3" t="n">
        <f aca="false">Raw_Data!A2322</f>
        <v>29</v>
      </c>
      <c r="C2322" s="3" t="str">
        <f aca="false">SUBSTITUTE(Raw_Data!B2322,".","")</f>
        <v>management</v>
      </c>
      <c r="D2322" s="3" t="str">
        <f aca="false">Raw_Data!C2322</f>
        <v>single</v>
      </c>
      <c r="E2322" s="3" t="str">
        <f aca="false">Raw_Data!D2322</f>
        <v>tertiary</v>
      </c>
      <c r="F2322" s="3" t="str">
        <f aca="false">Raw_Data!E2322</f>
        <v>no</v>
      </c>
      <c r="G2322" s="3" t="n">
        <f aca="false">Raw_Data!F2322</f>
        <v>0</v>
      </c>
      <c r="H2322" s="3" t="str">
        <f aca="false">Raw_Data!G2322</f>
        <v>no</v>
      </c>
      <c r="I2322" s="3" t="str">
        <f aca="false">Raw_Data!H2322</f>
        <v>no</v>
      </c>
      <c r="J2322" s="2" t="n">
        <f aca="false">IF(F2322="yes",1,0)</f>
        <v>0</v>
      </c>
      <c r="K2322" s="2" t="n">
        <f aca="false">IF(H2322="yes",1,0)</f>
        <v>0</v>
      </c>
      <c r="L2322" s="2" t="n">
        <f aca="false">IF(I2322="yes",1,0)</f>
        <v>0</v>
      </c>
      <c r="M2322" s="2" t="n">
        <f aca="false">IF(G2322&lt;0,1,0)</f>
        <v>0</v>
      </c>
      <c r="N2322" s="2" t="str">
        <f aca="false">_xlfn.IFS(B2322&lt;30,"Under 30",B2322&lt;40,"30-39",B2322&lt;50,"40-49",B2322&lt;60,"50-59",TRUE(),"60+")</f>
        <v>Under 30</v>
      </c>
      <c r="O2322" s="2" t="str">
        <f aca="false">_xlfn.IFS(G2322&lt;0,"1 Negative",G2322=0,"2 Zero",G2322&lt;=500,"3 1-500",G2322&lt;=2000,"4 501-2000",TRUE(),"5 Above 2000")</f>
        <v>2 Zero</v>
      </c>
      <c r="P2322" s="2" t="n">
        <f aca="false">Lookups!$B$2*M2322+Lookups!$B$3*L2322</f>
        <v>0</v>
      </c>
      <c r="Q2322" s="2" t="str">
        <f aca="false">INDEX(Lookups!$E$2:$E$5,MATCH(P2322,Lookups!$D$2:$D$5,0))</f>
        <v>Low</v>
      </c>
    </row>
    <row r="2323" customFormat="false" ht="15" hidden="false" customHeight="false" outlineLevel="0" collapsed="false">
      <c r="A2323" s="3" t="n">
        <v>2322</v>
      </c>
      <c r="B2323" s="3" t="n">
        <f aca="false">Raw_Data!A2323</f>
        <v>27</v>
      </c>
      <c r="C2323" s="3" t="str">
        <f aca="false">SUBSTITUTE(Raw_Data!B2323,".","")</f>
        <v>services</v>
      </c>
      <c r="D2323" s="3" t="str">
        <f aca="false">Raw_Data!C2323</f>
        <v>single</v>
      </c>
      <c r="E2323" s="3" t="str">
        <f aca="false">Raw_Data!D2323</f>
        <v>secondary</v>
      </c>
      <c r="F2323" s="3" t="str">
        <f aca="false">Raw_Data!E2323</f>
        <v>no</v>
      </c>
      <c r="G2323" s="3" t="n">
        <f aca="false">Raw_Data!F2323</f>
        <v>54</v>
      </c>
      <c r="H2323" s="3" t="str">
        <f aca="false">Raw_Data!G2323</f>
        <v>yes</v>
      </c>
      <c r="I2323" s="3" t="str">
        <f aca="false">Raw_Data!H2323</f>
        <v>no</v>
      </c>
      <c r="J2323" s="2" t="n">
        <f aca="false">IF(F2323="yes",1,0)</f>
        <v>0</v>
      </c>
      <c r="K2323" s="2" t="n">
        <f aca="false">IF(H2323="yes",1,0)</f>
        <v>1</v>
      </c>
      <c r="L2323" s="2" t="n">
        <f aca="false">IF(I2323="yes",1,0)</f>
        <v>0</v>
      </c>
      <c r="M2323" s="2" t="n">
        <f aca="false">IF(G2323&lt;0,1,0)</f>
        <v>0</v>
      </c>
      <c r="N2323" s="2" t="str">
        <f aca="false">_xlfn.IFS(B2323&lt;30,"Under 30",B2323&lt;40,"30-39",B2323&lt;50,"40-49",B2323&lt;60,"50-59",TRUE(),"60+")</f>
        <v>Under 30</v>
      </c>
      <c r="O2323" s="2" t="str">
        <f aca="false">_xlfn.IFS(G2323&lt;0,"1 Negative",G2323=0,"2 Zero",G2323&lt;=500,"3 1-500",G2323&lt;=2000,"4 501-2000",TRUE(),"5 Above 2000")</f>
        <v>3 1-500</v>
      </c>
      <c r="P2323" s="2" t="n">
        <f aca="false">Lookups!$B$2*M2323+Lookups!$B$3*L2323</f>
        <v>0</v>
      </c>
      <c r="Q2323" s="2" t="str">
        <f aca="false">INDEX(Lookups!$E$2:$E$5,MATCH(P2323,Lookups!$D$2:$D$5,0))</f>
        <v>Low</v>
      </c>
    </row>
    <row r="2324" customFormat="false" ht="15" hidden="false" customHeight="false" outlineLevel="0" collapsed="false">
      <c r="A2324" s="3" t="n">
        <v>2323</v>
      </c>
      <c r="B2324" s="3" t="n">
        <f aca="false">Raw_Data!A2324</f>
        <v>35</v>
      </c>
      <c r="C2324" s="3" t="str">
        <f aca="false">SUBSTITUTE(Raw_Data!B2324,".","")</f>
        <v>blue-collar</v>
      </c>
      <c r="D2324" s="3" t="str">
        <f aca="false">Raw_Data!C2324</f>
        <v>married</v>
      </c>
      <c r="E2324" s="3" t="str">
        <f aca="false">Raw_Data!D2324</f>
        <v>primary</v>
      </c>
      <c r="F2324" s="3" t="str">
        <f aca="false">Raw_Data!E2324</f>
        <v>no</v>
      </c>
      <c r="G2324" s="3" t="n">
        <f aca="false">Raw_Data!F2324</f>
        <v>46</v>
      </c>
      <c r="H2324" s="3" t="str">
        <f aca="false">Raw_Data!G2324</f>
        <v>no</v>
      </c>
      <c r="I2324" s="3" t="str">
        <f aca="false">Raw_Data!H2324</f>
        <v>no</v>
      </c>
      <c r="J2324" s="2" t="n">
        <f aca="false">IF(F2324="yes",1,0)</f>
        <v>0</v>
      </c>
      <c r="K2324" s="2" t="n">
        <f aca="false">IF(H2324="yes",1,0)</f>
        <v>0</v>
      </c>
      <c r="L2324" s="2" t="n">
        <f aca="false">IF(I2324="yes",1,0)</f>
        <v>0</v>
      </c>
      <c r="M2324" s="2" t="n">
        <f aca="false">IF(G2324&lt;0,1,0)</f>
        <v>0</v>
      </c>
      <c r="N2324" s="2" t="str">
        <f aca="false">_xlfn.IFS(B2324&lt;30,"Under 30",B2324&lt;40,"30-39",B2324&lt;50,"40-49",B2324&lt;60,"50-59",TRUE(),"60+")</f>
        <v>30-39</v>
      </c>
      <c r="O2324" s="2" t="str">
        <f aca="false">_xlfn.IFS(G2324&lt;0,"1 Negative",G2324=0,"2 Zero",G2324&lt;=500,"3 1-500",G2324&lt;=2000,"4 501-2000",TRUE(),"5 Above 2000")</f>
        <v>3 1-500</v>
      </c>
      <c r="P2324" s="2" t="n">
        <f aca="false">Lookups!$B$2*M2324+Lookups!$B$3*L2324</f>
        <v>0</v>
      </c>
      <c r="Q2324" s="2" t="str">
        <f aca="false">INDEX(Lookups!$E$2:$E$5,MATCH(P2324,Lookups!$D$2:$D$5,0))</f>
        <v>Low</v>
      </c>
    </row>
    <row r="2325" customFormat="false" ht="15" hidden="false" customHeight="false" outlineLevel="0" collapsed="false">
      <c r="A2325" s="3" t="n">
        <v>2324</v>
      </c>
      <c r="B2325" s="3" t="n">
        <f aca="false">Raw_Data!A2325</f>
        <v>40</v>
      </c>
      <c r="C2325" s="3" t="str">
        <f aca="false">SUBSTITUTE(Raw_Data!B2325,".","")</f>
        <v>self-employed</v>
      </c>
      <c r="D2325" s="3" t="str">
        <f aca="false">Raw_Data!C2325</f>
        <v>married</v>
      </c>
      <c r="E2325" s="3" t="str">
        <f aca="false">Raw_Data!D2325</f>
        <v>secondary</v>
      </c>
      <c r="F2325" s="3" t="str">
        <f aca="false">Raw_Data!E2325</f>
        <v>no</v>
      </c>
      <c r="G2325" s="3" t="n">
        <f aca="false">Raw_Data!F2325</f>
        <v>2</v>
      </c>
      <c r="H2325" s="3" t="str">
        <f aca="false">Raw_Data!G2325</f>
        <v>no</v>
      </c>
      <c r="I2325" s="3" t="str">
        <f aca="false">Raw_Data!H2325</f>
        <v>no</v>
      </c>
      <c r="J2325" s="2" t="n">
        <f aca="false">IF(F2325="yes",1,0)</f>
        <v>0</v>
      </c>
      <c r="K2325" s="2" t="n">
        <f aca="false">IF(H2325="yes",1,0)</f>
        <v>0</v>
      </c>
      <c r="L2325" s="2" t="n">
        <f aca="false">IF(I2325="yes",1,0)</f>
        <v>0</v>
      </c>
      <c r="M2325" s="2" t="n">
        <f aca="false">IF(G2325&lt;0,1,0)</f>
        <v>0</v>
      </c>
      <c r="N2325" s="2" t="str">
        <f aca="false">_xlfn.IFS(B2325&lt;30,"Under 30",B2325&lt;40,"30-39",B2325&lt;50,"40-49",B2325&lt;60,"50-59",TRUE(),"60+")</f>
        <v>40-49</v>
      </c>
      <c r="O2325" s="2" t="str">
        <f aca="false">_xlfn.IFS(G2325&lt;0,"1 Negative",G2325=0,"2 Zero",G2325&lt;=500,"3 1-500",G2325&lt;=2000,"4 501-2000",TRUE(),"5 Above 2000")</f>
        <v>3 1-500</v>
      </c>
      <c r="P2325" s="2" t="n">
        <f aca="false">Lookups!$B$2*M2325+Lookups!$B$3*L2325</f>
        <v>0</v>
      </c>
      <c r="Q2325" s="2" t="str">
        <f aca="false">INDEX(Lookups!$E$2:$E$5,MATCH(P2325,Lookups!$D$2:$D$5,0))</f>
        <v>Low</v>
      </c>
    </row>
    <row r="2326" customFormat="false" ht="15" hidden="false" customHeight="false" outlineLevel="0" collapsed="false">
      <c r="A2326" s="3" t="n">
        <v>2325</v>
      </c>
      <c r="B2326" s="3" t="n">
        <f aca="false">Raw_Data!A2326</f>
        <v>34</v>
      </c>
      <c r="C2326" s="3" t="str">
        <f aca="false">SUBSTITUTE(Raw_Data!B2326,".","")</f>
        <v>blue-collar</v>
      </c>
      <c r="D2326" s="3" t="str">
        <f aca="false">Raw_Data!C2326</f>
        <v>married</v>
      </c>
      <c r="E2326" s="3" t="str">
        <f aca="false">Raw_Data!D2326</f>
        <v>secondary</v>
      </c>
      <c r="F2326" s="3" t="str">
        <f aca="false">Raw_Data!E2326</f>
        <v>no</v>
      </c>
      <c r="G2326" s="3" t="n">
        <f aca="false">Raw_Data!F2326</f>
        <v>103</v>
      </c>
      <c r="H2326" s="3" t="str">
        <f aca="false">Raw_Data!G2326</f>
        <v>yes</v>
      </c>
      <c r="I2326" s="3" t="str">
        <f aca="false">Raw_Data!H2326</f>
        <v>yes</v>
      </c>
      <c r="J2326" s="2" t="n">
        <f aca="false">IF(F2326="yes",1,0)</f>
        <v>0</v>
      </c>
      <c r="K2326" s="2" t="n">
        <f aca="false">IF(H2326="yes",1,0)</f>
        <v>1</v>
      </c>
      <c r="L2326" s="2" t="n">
        <f aca="false">IF(I2326="yes",1,0)</f>
        <v>1</v>
      </c>
      <c r="M2326" s="2" t="n">
        <f aca="false">IF(G2326&lt;0,1,0)</f>
        <v>0</v>
      </c>
      <c r="N2326" s="2" t="str">
        <f aca="false">_xlfn.IFS(B2326&lt;30,"Under 30",B2326&lt;40,"30-39",B2326&lt;50,"40-49",B2326&lt;60,"50-59",TRUE(),"60+")</f>
        <v>30-39</v>
      </c>
      <c r="O2326" s="2" t="str">
        <f aca="false">_xlfn.IFS(G2326&lt;0,"1 Negative",G2326=0,"2 Zero",G2326&lt;=500,"3 1-500",G2326&lt;=2000,"4 501-2000",TRUE(),"5 Above 2000")</f>
        <v>3 1-500</v>
      </c>
      <c r="P2326" s="2" t="n">
        <f aca="false">Lookups!$B$2*M2326+Lookups!$B$3*L2326</f>
        <v>1</v>
      </c>
      <c r="Q2326" s="2" t="str">
        <f aca="false">INDEX(Lookups!$E$2:$E$5,MATCH(P2326,Lookups!$D$2:$D$5,0))</f>
        <v>Medium</v>
      </c>
    </row>
    <row r="2327" customFormat="false" ht="15" hidden="false" customHeight="false" outlineLevel="0" collapsed="false">
      <c r="A2327" s="3" t="n">
        <v>2326</v>
      </c>
      <c r="B2327" s="3" t="n">
        <f aca="false">Raw_Data!A2327</f>
        <v>38</v>
      </c>
      <c r="C2327" s="3" t="str">
        <f aca="false">SUBSTITUTE(Raw_Data!B2327,".","")</f>
        <v>admin</v>
      </c>
      <c r="D2327" s="3" t="str">
        <f aca="false">Raw_Data!C2327</f>
        <v>single</v>
      </c>
      <c r="E2327" s="3" t="str">
        <f aca="false">Raw_Data!D2327</f>
        <v>secondary</v>
      </c>
      <c r="F2327" s="3" t="str">
        <f aca="false">Raw_Data!E2327</f>
        <v>no</v>
      </c>
      <c r="G2327" s="3" t="n">
        <f aca="false">Raw_Data!F2327</f>
        <v>883</v>
      </c>
      <c r="H2327" s="3" t="str">
        <f aca="false">Raw_Data!G2327</f>
        <v>yes</v>
      </c>
      <c r="I2327" s="3" t="str">
        <f aca="false">Raw_Data!H2327</f>
        <v>no</v>
      </c>
      <c r="J2327" s="2" t="n">
        <f aca="false">IF(F2327="yes",1,0)</f>
        <v>0</v>
      </c>
      <c r="K2327" s="2" t="n">
        <f aca="false">IF(H2327="yes",1,0)</f>
        <v>1</v>
      </c>
      <c r="L2327" s="2" t="n">
        <f aca="false">IF(I2327="yes",1,0)</f>
        <v>0</v>
      </c>
      <c r="M2327" s="2" t="n">
        <f aca="false">IF(G2327&lt;0,1,0)</f>
        <v>0</v>
      </c>
      <c r="N2327" s="2" t="str">
        <f aca="false">_xlfn.IFS(B2327&lt;30,"Under 30",B2327&lt;40,"30-39",B2327&lt;50,"40-49",B2327&lt;60,"50-59",TRUE(),"60+")</f>
        <v>30-39</v>
      </c>
      <c r="O2327" s="2" t="str">
        <f aca="false">_xlfn.IFS(G2327&lt;0,"1 Negative",G2327=0,"2 Zero",G2327&lt;=500,"3 1-500",G2327&lt;=2000,"4 501-2000",TRUE(),"5 Above 2000")</f>
        <v>4 501-2000</v>
      </c>
      <c r="P2327" s="2" t="n">
        <f aca="false">Lookups!$B$2*M2327+Lookups!$B$3*L2327</f>
        <v>0</v>
      </c>
      <c r="Q2327" s="2" t="str">
        <f aca="false">INDEX(Lookups!$E$2:$E$5,MATCH(P2327,Lookups!$D$2:$D$5,0))</f>
        <v>Low</v>
      </c>
    </row>
    <row r="2328" customFormat="false" ht="15" hidden="false" customHeight="false" outlineLevel="0" collapsed="false">
      <c r="A2328" s="3" t="n">
        <v>2327</v>
      </c>
      <c r="B2328" s="3" t="n">
        <f aca="false">Raw_Data!A2328</f>
        <v>32</v>
      </c>
      <c r="C2328" s="3" t="str">
        <f aca="false">SUBSTITUTE(Raw_Data!B2328,".","")</f>
        <v>services</v>
      </c>
      <c r="D2328" s="3" t="str">
        <f aca="false">Raw_Data!C2328</f>
        <v>married</v>
      </c>
      <c r="E2328" s="3" t="str">
        <f aca="false">Raw_Data!D2328</f>
        <v>secondary</v>
      </c>
      <c r="F2328" s="3" t="str">
        <f aca="false">Raw_Data!E2328</f>
        <v>no</v>
      </c>
      <c r="G2328" s="3" t="n">
        <f aca="false">Raw_Data!F2328</f>
        <v>55</v>
      </c>
      <c r="H2328" s="3" t="str">
        <f aca="false">Raw_Data!G2328</f>
        <v>yes</v>
      </c>
      <c r="I2328" s="3" t="str">
        <f aca="false">Raw_Data!H2328</f>
        <v>no</v>
      </c>
      <c r="J2328" s="2" t="n">
        <f aca="false">IF(F2328="yes",1,0)</f>
        <v>0</v>
      </c>
      <c r="K2328" s="2" t="n">
        <f aca="false">IF(H2328="yes",1,0)</f>
        <v>1</v>
      </c>
      <c r="L2328" s="2" t="n">
        <f aca="false">IF(I2328="yes",1,0)</f>
        <v>0</v>
      </c>
      <c r="M2328" s="2" t="n">
        <f aca="false">IF(G2328&lt;0,1,0)</f>
        <v>0</v>
      </c>
      <c r="N2328" s="2" t="str">
        <f aca="false">_xlfn.IFS(B2328&lt;30,"Under 30",B2328&lt;40,"30-39",B2328&lt;50,"40-49",B2328&lt;60,"50-59",TRUE(),"60+")</f>
        <v>30-39</v>
      </c>
      <c r="O2328" s="2" t="str">
        <f aca="false">_xlfn.IFS(G2328&lt;0,"1 Negative",G2328=0,"2 Zero",G2328&lt;=500,"3 1-500",G2328&lt;=2000,"4 501-2000",TRUE(),"5 Above 2000")</f>
        <v>3 1-500</v>
      </c>
      <c r="P2328" s="2" t="n">
        <f aca="false">Lookups!$B$2*M2328+Lookups!$B$3*L2328</f>
        <v>0</v>
      </c>
      <c r="Q2328" s="2" t="str">
        <f aca="false">INDEX(Lookups!$E$2:$E$5,MATCH(P2328,Lookups!$D$2:$D$5,0))</f>
        <v>Low</v>
      </c>
    </row>
    <row r="2329" customFormat="false" ht="15" hidden="false" customHeight="false" outlineLevel="0" collapsed="false">
      <c r="A2329" s="3" t="n">
        <v>2328</v>
      </c>
      <c r="B2329" s="3" t="n">
        <f aca="false">Raw_Data!A2329</f>
        <v>41</v>
      </c>
      <c r="C2329" s="3" t="str">
        <f aca="false">SUBSTITUTE(Raw_Data!B2329,".","")</f>
        <v>admin</v>
      </c>
      <c r="D2329" s="3" t="str">
        <f aca="false">Raw_Data!C2329</f>
        <v>married</v>
      </c>
      <c r="E2329" s="3" t="str">
        <f aca="false">Raw_Data!D2329</f>
        <v>secondary</v>
      </c>
      <c r="F2329" s="3" t="str">
        <f aca="false">Raw_Data!E2329</f>
        <v>no</v>
      </c>
      <c r="G2329" s="3" t="n">
        <f aca="false">Raw_Data!F2329</f>
        <v>8238</v>
      </c>
      <c r="H2329" s="3" t="str">
        <f aca="false">Raw_Data!G2329</f>
        <v>yes</v>
      </c>
      <c r="I2329" s="3" t="str">
        <f aca="false">Raw_Data!H2329</f>
        <v>yes</v>
      </c>
      <c r="J2329" s="2" t="n">
        <f aca="false">IF(F2329="yes",1,0)</f>
        <v>0</v>
      </c>
      <c r="K2329" s="2" t="n">
        <f aca="false">IF(H2329="yes",1,0)</f>
        <v>1</v>
      </c>
      <c r="L2329" s="2" t="n">
        <f aca="false">IF(I2329="yes",1,0)</f>
        <v>1</v>
      </c>
      <c r="M2329" s="2" t="n">
        <f aca="false">IF(G2329&lt;0,1,0)</f>
        <v>0</v>
      </c>
      <c r="N2329" s="2" t="str">
        <f aca="false">_xlfn.IFS(B2329&lt;30,"Under 30",B2329&lt;40,"30-39",B2329&lt;50,"40-49",B2329&lt;60,"50-59",TRUE(),"60+")</f>
        <v>40-49</v>
      </c>
      <c r="O2329" s="2" t="str">
        <f aca="false">_xlfn.IFS(G2329&lt;0,"1 Negative",G2329=0,"2 Zero",G2329&lt;=500,"3 1-500",G2329&lt;=2000,"4 501-2000",TRUE(),"5 Above 2000")</f>
        <v>5 Above 2000</v>
      </c>
      <c r="P2329" s="2" t="n">
        <f aca="false">Lookups!$B$2*M2329+Lookups!$B$3*L2329</f>
        <v>1</v>
      </c>
      <c r="Q2329" s="2" t="str">
        <f aca="false">INDEX(Lookups!$E$2:$E$5,MATCH(P2329,Lookups!$D$2:$D$5,0))</f>
        <v>Medium</v>
      </c>
    </row>
    <row r="2330" customFormat="false" ht="15" hidden="false" customHeight="false" outlineLevel="0" collapsed="false">
      <c r="A2330" s="3" t="n">
        <v>2329</v>
      </c>
      <c r="B2330" s="3" t="n">
        <f aca="false">Raw_Data!A2330</f>
        <v>25</v>
      </c>
      <c r="C2330" s="3" t="str">
        <f aca="false">SUBSTITUTE(Raw_Data!B2330,".","")</f>
        <v>blue-collar</v>
      </c>
      <c r="D2330" s="3" t="str">
        <f aca="false">Raw_Data!C2330</f>
        <v>single</v>
      </c>
      <c r="E2330" s="3" t="str">
        <f aca="false">Raw_Data!D2330</f>
        <v>secondary</v>
      </c>
      <c r="F2330" s="3" t="str">
        <f aca="false">Raw_Data!E2330</f>
        <v>no</v>
      </c>
      <c r="G2330" s="3" t="n">
        <f aca="false">Raw_Data!F2330</f>
        <v>913</v>
      </c>
      <c r="H2330" s="3" t="str">
        <f aca="false">Raw_Data!G2330</f>
        <v>yes</v>
      </c>
      <c r="I2330" s="3" t="str">
        <f aca="false">Raw_Data!H2330</f>
        <v>no</v>
      </c>
      <c r="J2330" s="2" t="n">
        <f aca="false">IF(F2330="yes",1,0)</f>
        <v>0</v>
      </c>
      <c r="K2330" s="2" t="n">
        <f aca="false">IF(H2330="yes",1,0)</f>
        <v>1</v>
      </c>
      <c r="L2330" s="2" t="n">
        <f aca="false">IF(I2330="yes",1,0)</f>
        <v>0</v>
      </c>
      <c r="M2330" s="2" t="n">
        <f aca="false">IF(G2330&lt;0,1,0)</f>
        <v>0</v>
      </c>
      <c r="N2330" s="2" t="str">
        <f aca="false">_xlfn.IFS(B2330&lt;30,"Under 30",B2330&lt;40,"30-39",B2330&lt;50,"40-49",B2330&lt;60,"50-59",TRUE(),"60+")</f>
        <v>Under 30</v>
      </c>
      <c r="O2330" s="2" t="str">
        <f aca="false">_xlfn.IFS(G2330&lt;0,"1 Negative",G2330=0,"2 Zero",G2330&lt;=500,"3 1-500",G2330&lt;=2000,"4 501-2000",TRUE(),"5 Above 2000")</f>
        <v>4 501-2000</v>
      </c>
      <c r="P2330" s="2" t="n">
        <f aca="false">Lookups!$B$2*M2330+Lookups!$B$3*L2330</f>
        <v>0</v>
      </c>
      <c r="Q2330" s="2" t="str">
        <f aca="false">INDEX(Lookups!$E$2:$E$5,MATCH(P2330,Lookups!$D$2:$D$5,0))</f>
        <v>Low</v>
      </c>
    </row>
    <row r="2331" customFormat="false" ht="15" hidden="false" customHeight="false" outlineLevel="0" collapsed="false">
      <c r="A2331" s="3" t="n">
        <v>2330</v>
      </c>
      <c r="B2331" s="3" t="n">
        <f aca="false">Raw_Data!A2331</f>
        <v>38</v>
      </c>
      <c r="C2331" s="3" t="str">
        <f aca="false">SUBSTITUTE(Raw_Data!B2331,".","")</f>
        <v>blue-collar</v>
      </c>
      <c r="D2331" s="3" t="str">
        <f aca="false">Raw_Data!C2331</f>
        <v>divorced</v>
      </c>
      <c r="E2331" s="3" t="str">
        <f aca="false">Raw_Data!D2331</f>
        <v>secondary</v>
      </c>
      <c r="F2331" s="3" t="str">
        <f aca="false">Raw_Data!E2331</f>
        <v>no</v>
      </c>
      <c r="G2331" s="3" t="n">
        <f aca="false">Raw_Data!F2331</f>
        <v>595</v>
      </c>
      <c r="H2331" s="3" t="str">
        <f aca="false">Raw_Data!G2331</f>
        <v>yes</v>
      </c>
      <c r="I2331" s="3" t="str">
        <f aca="false">Raw_Data!H2331</f>
        <v>no</v>
      </c>
      <c r="J2331" s="2" t="n">
        <f aca="false">IF(F2331="yes",1,0)</f>
        <v>0</v>
      </c>
      <c r="K2331" s="2" t="n">
        <f aca="false">IF(H2331="yes",1,0)</f>
        <v>1</v>
      </c>
      <c r="L2331" s="2" t="n">
        <f aca="false">IF(I2331="yes",1,0)</f>
        <v>0</v>
      </c>
      <c r="M2331" s="2" t="n">
        <f aca="false">IF(G2331&lt;0,1,0)</f>
        <v>0</v>
      </c>
      <c r="N2331" s="2" t="str">
        <f aca="false">_xlfn.IFS(B2331&lt;30,"Under 30",B2331&lt;40,"30-39",B2331&lt;50,"40-49",B2331&lt;60,"50-59",TRUE(),"60+")</f>
        <v>30-39</v>
      </c>
      <c r="O2331" s="2" t="str">
        <f aca="false">_xlfn.IFS(G2331&lt;0,"1 Negative",G2331=0,"2 Zero",G2331&lt;=500,"3 1-500",G2331&lt;=2000,"4 501-2000",TRUE(),"5 Above 2000")</f>
        <v>4 501-2000</v>
      </c>
      <c r="P2331" s="2" t="n">
        <f aca="false">Lookups!$B$2*M2331+Lookups!$B$3*L2331</f>
        <v>0</v>
      </c>
      <c r="Q2331" s="2" t="str">
        <f aca="false">INDEX(Lookups!$E$2:$E$5,MATCH(P2331,Lookups!$D$2:$D$5,0))</f>
        <v>Low</v>
      </c>
    </row>
    <row r="2332" customFormat="false" ht="15" hidden="false" customHeight="false" outlineLevel="0" collapsed="false">
      <c r="A2332" s="3" t="n">
        <v>2331</v>
      </c>
      <c r="B2332" s="3" t="n">
        <f aca="false">Raw_Data!A2332</f>
        <v>26</v>
      </c>
      <c r="C2332" s="3" t="str">
        <f aca="false">SUBSTITUTE(Raw_Data!B2332,".","")</f>
        <v>technician</v>
      </c>
      <c r="D2332" s="3" t="str">
        <f aca="false">Raw_Data!C2332</f>
        <v>single</v>
      </c>
      <c r="E2332" s="3" t="str">
        <f aca="false">Raw_Data!D2332</f>
        <v>secondary</v>
      </c>
      <c r="F2332" s="3" t="str">
        <f aca="false">Raw_Data!E2332</f>
        <v>no</v>
      </c>
      <c r="G2332" s="3" t="n">
        <f aca="false">Raw_Data!F2332</f>
        <v>7</v>
      </c>
      <c r="H2332" s="3" t="str">
        <f aca="false">Raw_Data!G2332</f>
        <v>yes</v>
      </c>
      <c r="I2332" s="3" t="str">
        <f aca="false">Raw_Data!H2332</f>
        <v>no</v>
      </c>
      <c r="J2332" s="2" t="n">
        <f aca="false">IF(F2332="yes",1,0)</f>
        <v>0</v>
      </c>
      <c r="K2332" s="2" t="n">
        <f aca="false">IF(H2332="yes",1,0)</f>
        <v>1</v>
      </c>
      <c r="L2332" s="2" t="n">
        <f aca="false">IF(I2332="yes",1,0)</f>
        <v>0</v>
      </c>
      <c r="M2332" s="2" t="n">
        <f aca="false">IF(G2332&lt;0,1,0)</f>
        <v>0</v>
      </c>
      <c r="N2332" s="2" t="str">
        <f aca="false">_xlfn.IFS(B2332&lt;30,"Under 30",B2332&lt;40,"30-39",B2332&lt;50,"40-49",B2332&lt;60,"50-59",TRUE(),"60+")</f>
        <v>Under 30</v>
      </c>
      <c r="O2332" s="2" t="str">
        <f aca="false">_xlfn.IFS(G2332&lt;0,"1 Negative",G2332=0,"2 Zero",G2332&lt;=500,"3 1-500",G2332&lt;=2000,"4 501-2000",TRUE(),"5 Above 2000")</f>
        <v>3 1-500</v>
      </c>
      <c r="P2332" s="2" t="n">
        <f aca="false">Lookups!$B$2*M2332+Lookups!$B$3*L2332</f>
        <v>0</v>
      </c>
      <c r="Q2332" s="2" t="str">
        <f aca="false">INDEX(Lookups!$E$2:$E$5,MATCH(P2332,Lookups!$D$2:$D$5,0))</f>
        <v>Low</v>
      </c>
    </row>
    <row r="2333" customFormat="false" ht="15" hidden="false" customHeight="false" outlineLevel="0" collapsed="false">
      <c r="A2333" s="3" t="n">
        <v>2332</v>
      </c>
      <c r="B2333" s="3" t="n">
        <f aca="false">Raw_Data!A2333</f>
        <v>37</v>
      </c>
      <c r="C2333" s="3" t="str">
        <f aca="false">SUBSTITUTE(Raw_Data!B2333,".","")</f>
        <v>technician</v>
      </c>
      <c r="D2333" s="3" t="str">
        <f aca="false">Raw_Data!C2333</f>
        <v>single</v>
      </c>
      <c r="E2333" s="3" t="str">
        <f aca="false">Raw_Data!D2333</f>
        <v>tertiary</v>
      </c>
      <c r="F2333" s="3" t="str">
        <f aca="false">Raw_Data!E2333</f>
        <v>no</v>
      </c>
      <c r="G2333" s="3" t="n">
        <f aca="false">Raw_Data!F2333</f>
        <v>1661</v>
      </c>
      <c r="H2333" s="3" t="str">
        <f aca="false">Raw_Data!G2333</f>
        <v>no</v>
      </c>
      <c r="I2333" s="3" t="str">
        <f aca="false">Raw_Data!H2333</f>
        <v>no</v>
      </c>
      <c r="J2333" s="2" t="n">
        <f aca="false">IF(F2333="yes",1,0)</f>
        <v>0</v>
      </c>
      <c r="K2333" s="2" t="n">
        <f aca="false">IF(H2333="yes",1,0)</f>
        <v>0</v>
      </c>
      <c r="L2333" s="2" t="n">
        <f aca="false">IF(I2333="yes",1,0)</f>
        <v>0</v>
      </c>
      <c r="M2333" s="2" t="n">
        <f aca="false">IF(G2333&lt;0,1,0)</f>
        <v>0</v>
      </c>
      <c r="N2333" s="2" t="str">
        <f aca="false">_xlfn.IFS(B2333&lt;30,"Under 30",B2333&lt;40,"30-39",B2333&lt;50,"40-49",B2333&lt;60,"50-59",TRUE(),"60+")</f>
        <v>30-39</v>
      </c>
      <c r="O2333" s="2" t="str">
        <f aca="false">_xlfn.IFS(G2333&lt;0,"1 Negative",G2333=0,"2 Zero",G2333&lt;=500,"3 1-500",G2333&lt;=2000,"4 501-2000",TRUE(),"5 Above 2000")</f>
        <v>4 501-2000</v>
      </c>
      <c r="P2333" s="2" t="n">
        <f aca="false">Lookups!$B$2*M2333+Lookups!$B$3*L2333</f>
        <v>0</v>
      </c>
      <c r="Q2333" s="2" t="str">
        <f aca="false">INDEX(Lookups!$E$2:$E$5,MATCH(P2333,Lookups!$D$2:$D$5,0))</f>
        <v>Low</v>
      </c>
    </row>
    <row r="2334" customFormat="false" ht="15" hidden="false" customHeight="false" outlineLevel="0" collapsed="false">
      <c r="A2334" s="3" t="n">
        <v>2333</v>
      </c>
      <c r="B2334" s="3" t="n">
        <f aca="false">Raw_Data!A2334</f>
        <v>30</v>
      </c>
      <c r="C2334" s="3" t="str">
        <f aca="false">SUBSTITUTE(Raw_Data!B2334,".","")</f>
        <v>management</v>
      </c>
      <c r="D2334" s="3" t="str">
        <f aca="false">Raw_Data!C2334</f>
        <v>married</v>
      </c>
      <c r="E2334" s="3" t="str">
        <f aca="false">Raw_Data!D2334</f>
        <v>tertiary</v>
      </c>
      <c r="F2334" s="3" t="str">
        <f aca="false">Raw_Data!E2334</f>
        <v>no</v>
      </c>
      <c r="G2334" s="3" t="n">
        <f aca="false">Raw_Data!F2334</f>
        <v>102</v>
      </c>
      <c r="H2334" s="3" t="str">
        <f aca="false">Raw_Data!G2334</f>
        <v>yes</v>
      </c>
      <c r="I2334" s="3" t="str">
        <f aca="false">Raw_Data!H2334</f>
        <v>no</v>
      </c>
      <c r="J2334" s="2" t="n">
        <f aca="false">IF(F2334="yes",1,0)</f>
        <v>0</v>
      </c>
      <c r="K2334" s="2" t="n">
        <f aca="false">IF(H2334="yes",1,0)</f>
        <v>1</v>
      </c>
      <c r="L2334" s="2" t="n">
        <f aca="false">IF(I2334="yes",1,0)</f>
        <v>0</v>
      </c>
      <c r="M2334" s="2" t="n">
        <f aca="false">IF(G2334&lt;0,1,0)</f>
        <v>0</v>
      </c>
      <c r="N2334" s="2" t="str">
        <f aca="false">_xlfn.IFS(B2334&lt;30,"Under 30",B2334&lt;40,"30-39",B2334&lt;50,"40-49",B2334&lt;60,"50-59",TRUE(),"60+")</f>
        <v>30-39</v>
      </c>
      <c r="O2334" s="2" t="str">
        <f aca="false">_xlfn.IFS(G2334&lt;0,"1 Negative",G2334=0,"2 Zero",G2334&lt;=500,"3 1-500",G2334&lt;=2000,"4 501-2000",TRUE(),"5 Above 2000")</f>
        <v>3 1-500</v>
      </c>
      <c r="P2334" s="2" t="n">
        <f aca="false">Lookups!$B$2*M2334+Lookups!$B$3*L2334</f>
        <v>0</v>
      </c>
      <c r="Q2334" s="2" t="str">
        <f aca="false">INDEX(Lookups!$E$2:$E$5,MATCH(P2334,Lookups!$D$2:$D$5,0))</f>
        <v>Low</v>
      </c>
    </row>
    <row r="2335" customFormat="false" ht="15" hidden="false" customHeight="false" outlineLevel="0" collapsed="false">
      <c r="A2335" s="3" t="n">
        <v>2334</v>
      </c>
      <c r="B2335" s="3" t="n">
        <f aca="false">Raw_Data!A2335</f>
        <v>36</v>
      </c>
      <c r="C2335" s="3" t="str">
        <f aca="false">SUBSTITUTE(Raw_Data!B2335,".","")</f>
        <v>services</v>
      </c>
      <c r="D2335" s="3" t="str">
        <f aca="false">Raw_Data!C2335</f>
        <v>married</v>
      </c>
      <c r="E2335" s="3" t="str">
        <f aca="false">Raw_Data!D2335</f>
        <v>secondary</v>
      </c>
      <c r="F2335" s="3" t="str">
        <f aca="false">Raw_Data!E2335</f>
        <v>no</v>
      </c>
      <c r="G2335" s="3" t="n">
        <f aca="false">Raw_Data!F2335</f>
        <v>338</v>
      </c>
      <c r="H2335" s="3" t="str">
        <f aca="false">Raw_Data!G2335</f>
        <v>no</v>
      </c>
      <c r="I2335" s="3" t="str">
        <f aca="false">Raw_Data!H2335</f>
        <v>no</v>
      </c>
      <c r="J2335" s="2" t="n">
        <f aca="false">IF(F2335="yes",1,0)</f>
        <v>0</v>
      </c>
      <c r="K2335" s="2" t="n">
        <f aca="false">IF(H2335="yes",1,0)</f>
        <v>0</v>
      </c>
      <c r="L2335" s="2" t="n">
        <f aca="false">IF(I2335="yes",1,0)</f>
        <v>0</v>
      </c>
      <c r="M2335" s="2" t="n">
        <f aca="false">IF(G2335&lt;0,1,0)</f>
        <v>0</v>
      </c>
      <c r="N2335" s="2" t="str">
        <f aca="false">_xlfn.IFS(B2335&lt;30,"Under 30",B2335&lt;40,"30-39",B2335&lt;50,"40-49",B2335&lt;60,"50-59",TRUE(),"60+")</f>
        <v>30-39</v>
      </c>
      <c r="O2335" s="2" t="str">
        <f aca="false">_xlfn.IFS(G2335&lt;0,"1 Negative",G2335=0,"2 Zero",G2335&lt;=500,"3 1-500",G2335&lt;=2000,"4 501-2000",TRUE(),"5 Above 2000")</f>
        <v>3 1-500</v>
      </c>
      <c r="P2335" s="2" t="n">
        <f aca="false">Lookups!$B$2*M2335+Lookups!$B$3*L2335</f>
        <v>0</v>
      </c>
      <c r="Q2335" s="2" t="str">
        <f aca="false">INDEX(Lookups!$E$2:$E$5,MATCH(P2335,Lookups!$D$2:$D$5,0))</f>
        <v>Low</v>
      </c>
    </row>
    <row r="2336" customFormat="false" ht="15" hidden="false" customHeight="false" outlineLevel="0" collapsed="false">
      <c r="A2336" s="3" t="n">
        <v>2335</v>
      </c>
      <c r="B2336" s="3" t="n">
        <f aca="false">Raw_Data!A2336</f>
        <v>33</v>
      </c>
      <c r="C2336" s="3" t="str">
        <f aca="false">SUBSTITUTE(Raw_Data!B2336,".","")</f>
        <v>management</v>
      </c>
      <c r="D2336" s="3" t="str">
        <f aca="false">Raw_Data!C2336</f>
        <v>married</v>
      </c>
      <c r="E2336" s="3" t="str">
        <f aca="false">Raw_Data!D2336</f>
        <v>secondary</v>
      </c>
      <c r="F2336" s="3" t="str">
        <f aca="false">Raw_Data!E2336</f>
        <v>no</v>
      </c>
      <c r="G2336" s="3" t="n">
        <f aca="false">Raw_Data!F2336</f>
        <v>3132</v>
      </c>
      <c r="H2336" s="3" t="str">
        <f aca="false">Raw_Data!G2336</f>
        <v>yes</v>
      </c>
      <c r="I2336" s="3" t="str">
        <f aca="false">Raw_Data!H2336</f>
        <v>no</v>
      </c>
      <c r="J2336" s="2" t="n">
        <f aca="false">IF(F2336="yes",1,0)</f>
        <v>0</v>
      </c>
      <c r="K2336" s="2" t="n">
        <f aca="false">IF(H2336="yes",1,0)</f>
        <v>1</v>
      </c>
      <c r="L2336" s="2" t="n">
        <f aca="false">IF(I2336="yes",1,0)</f>
        <v>0</v>
      </c>
      <c r="M2336" s="2" t="n">
        <f aca="false">IF(G2336&lt;0,1,0)</f>
        <v>0</v>
      </c>
      <c r="N2336" s="2" t="str">
        <f aca="false">_xlfn.IFS(B2336&lt;30,"Under 30",B2336&lt;40,"30-39",B2336&lt;50,"40-49",B2336&lt;60,"50-59",TRUE(),"60+")</f>
        <v>30-39</v>
      </c>
      <c r="O2336" s="2" t="str">
        <f aca="false">_xlfn.IFS(G2336&lt;0,"1 Negative",G2336=0,"2 Zero",G2336&lt;=500,"3 1-500",G2336&lt;=2000,"4 501-2000",TRUE(),"5 Above 2000")</f>
        <v>5 Above 2000</v>
      </c>
      <c r="P2336" s="2" t="n">
        <f aca="false">Lookups!$B$2*M2336+Lookups!$B$3*L2336</f>
        <v>0</v>
      </c>
      <c r="Q2336" s="2" t="str">
        <f aca="false">INDEX(Lookups!$E$2:$E$5,MATCH(P2336,Lookups!$D$2:$D$5,0))</f>
        <v>Low</v>
      </c>
    </row>
    <row r="2337" customFormat="false" ht="15" hidden="false" customHeight="false" outlineLevel="0" collapsed="false">
      <c r="A2337" s="3" t="n">
        <v>2336</v>
      </c>
      <c r="B2337" s="3" t="n">
        <f aca="false">Raw_Data!A2337</f>
        <v>33</v>
      </c>
      <c r="C2337" s="3" t="str">
        <f aca="false">SUBSTITUTE(Raw_Data!B2337,".","")</f>
        <v>admin</v>
      </c>
      <c r="D2337" s="3" t="str">
        <f aca="false">Raw_Data!C2337</f>
        <v>single</v>
      </c>
      <c r="E2337" s="3" t="str">
        <f aca="false">Raw_Data!D2337</f>
        <v>tertiary</v>
      </c>
      <c r="F2337" s="3" t="str">
        <f aca="false">Raw_Data!E2337</f>
        <v>no</v>
      </c>
      <c r="G2337" s="3" t="n">
        <f aca="false">Raw_Data!F2337</f>
        <v>490</v>
      </c>
      <c r="H2337" s="3" t="str">
        <f aca="false">Raw_Data!G2337</f>
        <v>yes</v>
      </c>
      <c r="I2337" s="3" t="str">
        <f aca="false">Raw_Data!H2337</f>
        <v>no</v>
      </c>
      <c r="J2337" s="2" t="n">
        <f aca="false">IF(F2337="yes",1,0)</f>
        <v>0</v>
      </c>
      <c r="K2337" s="2" t="n">
        <f aca="false">IF(H2337="yes",1,0)</f>
        <v>1</v>
      </c>
      <c r="L2337" s="2" t="n">
        <f aca="false">IF(I2337="yes",1,0)</f>
        <v>0</v>
      </c>
      <c r="M2337" s="2" t="n">
        <f aca="false">IF(G2337&lt;0,1,0)</f>
        <v>0</v>
      </c>
      <c r="N2337" s="2" t="str">
        <f aca="false">_xlfn.IFS(B2337&lt;30,"Under 30",B2337&lt;40,"30-39",B2337&lt;50,"40-49",B2337&lt;60,"50-59",TRUE(),"60+")</f>
        <v>30-39</v>
      </c>
      <c r="O2337" s="2" t="str">
        <f aca="false">_xlfn.IFS(G2337&lt;0,"1 Negative",G2337=0,"2 Zero",G2337&lt;=500,"3 1-500",G2337&lt;=2000,"4 501-2000",TRUE(),"5 Above 2000")</f>
        <v>3 1-500</v>
      </c>
      <c r="P2337" s="2" t="n">
        <f aca="false">Lookups!$B$2*M2337+Lookups!$B$3*L2337</f>
        <v>0</v>
      </c>
      <c r="Q2337" s="2" t="str">
        <f aca="false">INDEX(Lookups!$E$2:$E$5,MATCH(P2337,Lookups!$D$2:$D$5,0))</f>
        <v>Low</v>
      </c>
    </row>
    <row r="2338" customFormat="false" ht="15" hidden="false" customHeight="false" outlineLevel="0" collapsed="false">
      <c r="A2338" s="3" t="n">
        <v>2337</v>
      </c>
      <c r="B2338" s="3" t="n">
        <f aca="false">Raw_Data!A2338</f>
        <v>35</v>
      </c>
      <c r="C2338" s="3" t="str">
        <f aca="false">SUBSTITUTE(Raw_Data!B2338,".","")</f>
        <v>management</v>
      </c>
      <c r="D2338" s="3" t="str">
        <f aca="false">Raw_Data!C2338</f>
        <v>married</v>
      </c>
      <c r="E2338" s="3" t="str">
        <f aca="false">Raw_Data!D2338</f>
        <v>tertiary</v>
      </c>
      <c r="F2338" s="3" t="str">
        <f aca="false">Raw_Data!E2338</f>
        <v>no</v>
      </c>
      <c r="G2338" s="3" t="n">
        <f aca="false">Raw_Data!F2338</f>
        <v>2682</v>
      </c>
      <c r="H2338" s="3" t="str">
        <f aca="false">Raw_Data!G2338</f>
        <v>yes</v>
      </c>
      <c r="I2338" s="3" t="str">
        <f aca="false">Raw_Data!H2338</f>
        <v>no</v>
      </c>
      <c r="J2338" s="2" t="n">
        <f aca="false">IF(F2338="yes",1,0)</f>
        <v>0</v>
      </c>
      <c r="K2338" s="2" t="n">
        <f aca="false">IF(H2338="yes",1,0)</f>
        <v>1</v>
      </c>
      <c r="L2338" s="2" t="n">
        <f aca="false">IF(I2338="yes",1,0)</f>
        <v>0</v>
      </c>
      <c r="M2338" s="2" t="n">
        <f aca="false">IF(G2338&lt;0,1,0)</f>
        <v>0</v>
      </c>
      <c r="N2338" s="2" t="str">
        <f aca="false">_xlfn.IFS(B2338&lt;30,"Under 30",B2338&lt;40,"30-39",B2338&lt;50,"40-49",B2338&lt;60,"50-59",TRUE(),"60+")</f>
        <v>30-39</v>
      </c>
      <c r="O2338" s="2" t="str">
        <f aca="false">_xlfn.IFS(G2338&lt;0,"1 Negative",G2338=0,"2 Zero",G2338&lt;=500,"3 1-500",G2338&lt;=2000,"4 501-2000",TRUE(),"5 Above 2000")</f>
        <v>5 Above 2000</v>
      </c>
      <c r="P2338" s="2" t="n">
        <f aca="false">Lookups!$B$2*M2338+Lookups!$B$3*L2338</f>
        <v>0</v>
      </c>
      <c r="Q2338" s="2" t="str">
        <f aca="false">INDEX(Lookups!$E$2:$E$5,MATCH(P2338,Lookups!$D$2:$D$5,0))</f>
        <v>Low</v>
      </c>
    </row>
    <row r="2339" customFormat="false" ht="15" hidden="false" customHeight="false" outlineLevel="0" collapsed="false">
      <c r="A2339" s="3" t="n">
        <v>2338</v>
      </c>
      <c r="B2339" s="3" t="n">
        <f aca="false">Raw_Data!A2339</f>
        <v>24</v>
      </c>
      <c r="C2339" s="3" t="str">
        <f aca="false">SUBSTITUTE(Raw_Data!B2339,".","")</f>
        <v>services</v>
      </c>
      <c r="D2339" s="3" t="str">
        <f aca="false">Raw_Data!C2339</f>
        <v>married</v>
      </c>
      <c r="E2339" s="3" t="str">
        <f aca="false">Raw_Data!D2339</f>
        <v>tertiary</v>
      </c>
      <c r="F2339" s="3" t="str">
        <f aca="false">Raw_Data!E2339</f>
        <v>no</v>
      </c>
      <c r="G2339" s="3" t="n">
        <f aca="false">Raw_Data!F2339</f>
        <v>0</v>
      </c>
      <c r="H2339" s="3" t="str">
        <f aca="false">Raw_Data!G2339</f>
        <v>yes</v>
      </c>
      <c r="I2339" s="3" t="str">
        <f aca="false">Raw_Data!H2339</f>
        <v>no</v>
      </c>
      <c r="J2339" s="2" t="n">
        <f aca="false">IF(F2339="yes",1,0)</f>
        <v>0</v>
      </c>
      <c r="K2339" s="2" t="n">
        <f aca="false">IF(H2339="yes",1,0)</f>
        <v>1</v>
      </c>
      <c r="L2339" s="2" t="n">
        <f aca="false">IF(I2339="yes",1,0)</f>
        <v>0</v>
      </c>
      <c r="M2339" s="2" t="n">
        <f aca="false">IF(G2339&lt;0,1,0)</f>
        <v>0</v>
      </c>
      <c r="N2339" s="2" t="str">
        <f aca="false">_xlfn.IFS(B2339&lt;30,"Under 30",B2339&lt;40,"30-39",B2339&lt;50,"40-49",B2339&lt;60,"50-59",TRUE(),"60+")</f>
        <v>Under 30</v>
      </c>
      <c r="O2339" s="2" t="str">
        <f aca="false">_xlfn.IFS(G2339&lt;0,"1 Negative",G2339=0,"2 Zero",G2339&lt;=500,"3 1-500",G2339&lt;=2000,"4 501-2000",TRUE(),"5 Above 2000")</f>
        <v>2 Zero</v>
      </c>
      <c r="P2339" s="2" t="n">
        <f aca="false">Lookups!$B$2*M2339+Lookups!$B$3*L2339</f>
        <v>0</v>
      </c>
      <c r="Q2339" s="2" t="str">
        <f aca="false">INDEX(Lookups!$E$2:$E$5,MATCH(P2339,Lookups!$D$2:$D$5,0))</f>
        <v>Low</v>
      </c>
    </row>
    <row r="2340" customFormat="false" ht="15" hidden="false" customHeight="false" outlineLevel="0" collapsed="false">
      <c r="A2340" s="3" t="n">
        <v>2339</v>
      </c>
      <c r="B2340" s="3" t="n">
        <f aca="false">Raw_Data!A2340</f>
        <v>29</v>
      </c>
      <c r="C2340" s="3" t="str">
        <f aca="false">SUBSTITUTE(Raw_Data!B2340,".","")</f>
        <v>unemployed</v>
      </c>
      <c r="D2340" s="3" t="str">
        <f aca="false">Raw_Data!C2340</f>
        <v>married</v>
      </c>
      <c r="E2340" s="3" t="str">
        <f aca="false">Raw_Data!D2340</f>
        <v>secondary</v>
      </c>
      <c r="F2340" s="3" t="str">
        <f aca="false">Raw_Data!E2340</f>
        <v>no</v>
      </c>
      <c r="G2340" s="3" t="n">
        <f aca="false">Raw_Data!F2340</f>
        <v>596</v>
      </c>
      <c r="H2340" s="3" t="str">
        <f aca="false">Raw_Data!G2340</f>
        <v>no</v>
      </c>
      <c r="I2340" s="3" t="str">
        <f aca="false">Raw_Data!H2340</f>
        <v>no</v>
      </c>
      <c r="J2340" s="2" t="n">
        <f aca="false">IF(F2340="yes",1,0)</f>
        <v>0</v>
      </c>
      <c r="K2340" s="2" t="n">
        <f aca="false">IF(H2340="yes",1,0)</f>
        <v>0</v>
      </c>
      <c r="L2340" s="2" t="n">
        <f aca="false">IF(I2340="yes",1,0)</f>
        <v>0</v>
      </c>
      <c r="M2340" s="2" t="n">
        <f aca="false">IF(G2340&lt;0,1,0)</f>
        <v>0</v>
      </c>
      <c r="N2340" s="2" t="str">
        <f aca="false">_xlfn.IFS(B2340&lt;30,"Under 30",B2340&lt;40,"30-39",B2340&lt;50,"40-49",B2340&lt;60,"50-59",TRUE(),"60+")</f>
        <v>Under 30</v>
      </c>
      <c r="O2340" s="2" t="str">
        <f aca="false">_xlfn.IFS(G2340&lt;0,"1 Negative",G2340=0,"2 Zero",G2340&lt;=500,"3 1-500",G2340&lt;=2000,"4 501-2000",TRUE(),"5 Above 2000")</f>
        <v>4 501-2000</v>
      </c>
      <c r="P2340" s="2" t="n">
        <f aca="false">Lookups!$B$2*M2340+Lookups!$B$3*L2340</f>
        <v>0</v>
      </c>
      <c r="Q2340" s="2" t="str">
        <f aca="false">INDEX(Lookups!$E$2:$E$5,MATCH(P2340,Lookups!$D$2:$D$5,0))</f>
        <v>Low</v>
      </c>
    </row>
    <row r="2341" customFormat="false" ht="15" hidden="false" customHeight="false" outlineLevel="0" collapsed="false">
      <c r="A2341" s="3" t="n">
        <v>2340</v>
      </c>
      <c r="B2341" s="3" t="n">
        <f aca="false">Raw_Data!A2341</f>
        <v>54</v>
      </c>
      <c r="C2341" s="3" t="str">
        <f aca="false">SUBSTITUTE(Raw_Data!B2341,".","")</f>
        <v>blue-collar</v>
      </c>
      <c r="D2341" s="3" t="str">
        <f aca="false">Raw_Data!C2341</f>
        <v>married</v>
      </c>
      <c r="E2341" s="3" t="str">
        <f aca="false">Raw_Data!D2341</f>
        <v>secondary</v>
      </c>
      <c r="F2341" s="3" t="str">
        <f aca="false">Raw_Data!E2341</f>
        <v>no</v>
      </c>
      <c r="G2341" s="3" t="n">
        <f aca="false">Raw_Data!F2341</f>
        <v>2059</v>
      </c>
      <c r="H2341" s="3" t="str">
        <f aca="false">Raw_Data!G2341</f>
        <v>yes</v>
      </c>
      <c r="I2341" s="3" t="str">
        <f aca="false">Raw_Data!H2341</f>
        <v>no</v>
      </c>
      <c r="J2341" s="2" t="n">
        <f aca="false">IF(F2341="yes",1,0)</f>
        <v>0</v>
      </c>
      <c r="K2341" s="2" t="n">
        <f aca="false">IF(H2341="yes",1,0)</f>
        <v>1</v>
      </c>
      <c r="L2341" s="2" t="n">
        <f aca="false">IF(I2341="yes",1,0)</f>
        <v>0</v>
      </c>
      <c r="M2341" s="2" t="n">
        <f aca="false">IF(G2341&lt;0,1,0)</f>
        <v>0</v>
      </c>
      <c r="N2341" s="2" t="str">
        <f aca="false">_xlfn.IFS(B2341&lt;30,"Under 30",B2341&lt;40,"30-39",B2341&lt;50,"40-49",B2341&lt;60,"50-59",TRUE(),"60+")</f>
        <v>50-59</v>
      </c>
      <c r="O2341" s="2" t="str">
        <f aca="false">_xlfn.IFS(G2341&lt;0,"1 Negative",G2341=0,"2 Zero",G2341&lt;=500,"3 1-500",G2341&lt;=2000,"4 501-2000",TRUE(),"5 Above 2000")</f>
        <v>5 Above 2000</v>
      </c>
      <c r="P2341" s="2" t="n">
        <f aca="false">Lookups!$B$2*M2341+Lookups!$B$3*L2341</f>
        <v>0</v>
      </c>
      <c r="Q2341" s="2" t="str">
        <f aca="false">INDEX(Lookups!$E$2:$E$5,MATCH(P2341,Lookups!$D$2:$D$5,0))</f>
        <v>Low</v>
      </c>
    </row>
    <row r="2342" customFormat="false" ht="15" hidden="false" customHeight="false" outlineLevel="0" collapsed="false">
      <c r="A2342" s="3" t="n">
        <v>2341</v>
      </c>
      <c r="B2342" s="3" t="n">
        <f aca="false">Raw_Data!A2342</f>
        <v>27</v>
      </c>
      <c r="C2342" s="3" t="str">
        <f aca="false">SUBSTITUTE(Raw_Data!B2342,".","")</f>
        <v>admin</v>
      </c>
      <c r="D2342" s="3" t="str">
        <f aca="false">Raw_Data!C2342</f>
        <v>married</v>
      </c>
      <c r="E2342" s="3" t="str">
        <f aca="false">Raw_Data!D2342</f>
        <v>secondary</v>
      </c>
      <c r="F2342" s="3" t="str">
        <f aca="false">Raw_Data!E2342</f>
        <v>no</v>
      </c>
      <c r="G2342" s="3" t="n">
        <f aca="false">Raw_Data!F2342</f>
        <v>132</v>
      </c>
      <c r="H2342" s="3" t="str">
        <f aca="false">Raw_Data!G2342</f>
        <v>no</v>
      </c>
      <c r="I2342" s="3" t="str">
        <f aca="false">Raw_Data!H2342</f>
        <v>no</v>
      </c>
      <c r="J2342" s="2" t="n">
        <f aca="false">IF(F2342="yes",1,0)</f>
        <v>0</v>
      </c>
      <c r="K2342" s="2" t="n">
        <f aca="false">IF(H2342="yes",1,0)</f>
        <v>0</v>
      </c>
      <c r="L2342" s="2" t="n">
        <f aca="false">IF(I2342="yes",1,0)</f>
        <v>0</v>
      </c>
      <c r="M2342" s="2" t="n">
        <f aca="false">IF(G2342&lt;0,1,0)</f>
        <v>0</v>
      </c>
      <c r="N2342" s="2" t="str">
        <f aca="false">_xlfn.IFS(B2342&lt;30,"Under 30",B2342&lt;40,"30-39",B2342&lt;50,"40-49",B2342&lt;60,"50-59",TRUE(),"60+")</f>
        <v>Under 30</v>
      </c>
      <c r="O2342" s="2" t="str">
        <f aca="false">_xlfn.IFS(G2342&lt;0,"1 Negative",G2342=0,"2 Zero",G2342&lt;=500,"3 1-500",G2342&lt;=2000,"4 501-2000",TRUE(),"5 Above 2000")</f>
        <v>3 1-500</v>
      </c>
      <c r="P2342" s="2" t="n">
        <f aca="false">Lookups!$B$2*M2342+Lookups!$B$3*L2342</f>
        <v>0</v>
      </c>
      <c r="Q2342" s="2" t="str">
        <f aca="false">INDEX(Lookups!$E$2:$E$5,MATCH(P2342,Lookups!$D$2:$D$5,0))</f>
        <v>Low</v>
      </c>
    </row>
    <row r="2343" customFormat="false" ht="15" hidden="false" customHeight="false" outlineLevel="0" collapsed="false">
      <c r="A2343" s="3" t="n">
        <v>2342</v>
      </c>
      <c r="B2343" s="3" t="n">
        <f aca="false">Raw_Data!A2343</f>
        <v>34</v>
      </c>
      <c r="C2343" s="3" t="str">
        <f aca="false">SUBSTITUTE(Raw_Data!B2343,".","")</f>
        <v>management</v>
      </c>
      <c r="D2343" s="3" t="str">
        <f aca="false">Raw_Data!C2343</f>
        <v>married</v>
      </c>
      <c r="E2343" s="3" t="str">
        <f aca="false">Raw_Data!D2343</f>
        <v>secondary</v>
      </c>
      <c r="F2343" s="3" t="str">
        <f aca="false">Raw_Data!E2343</f>
        <v>no</v>
      </c>
      <c r="G2343" s="3" t="n">
        <f aca="false">Raw_Data!F2343</f>
        <v>0</v>
      </c>
      <c r="H2343" s="3" t="str">
        <f aca="false">Raw_Data!G2343</f>
        <v>no</v>
      </c>
      <c r="I2343" s="3" t="str">
        <f aca="false">Raw_Data!H2343</f>
        <v>no</v>
      </c>
      <c r="J2343" s="2" t="n">
        <f aca="false">IF(F2343="yes",1,0)</f>
        <v>0</v>
      </c>
      <c r="K2343" s="2" t="n">
        <f aca="false">IF(H2343="yes",1,0)</f>
        <v>0</v>
      </c>
      <c r="L2343" s="2" t="n">
        <f aca="false">IF(I2343="yes",1,0)</f>
        <v>0</v>
      </c>
      <c r="M2343" s="2" t="n">
        <f aca="false">IF(G2343&lt;0,1,0)</f>
        <v>0</v>
      </c>
      <c r="N2343" s="2" t="str">
        <f aca="false">_xlfn.IFS(B2343&lt;30,"Under 30",B2343&lt;40,"30-39",B2343&lt;50,"40-49",B2343&lt;60,"50-59",TRUE(),"60+")</f>
        <v>30-39</v>
      </c>
      <c r="O2343" s="2" t="str">
        <f aca="false">_xlfn.IFS(G2343&lt;0,"1 Negative",G2343=0,"2 Zero",G2343&lt;=500,"3 1-500",G2343&lt;=2000,"4 501-2000",TRUE(),"5 Above 2000")</f>
        <v>2 Zero</v>
      </c>
      <c r="P2343" s="2" t="n">
        <f aca="false">Lookups!$B$2*M2343+Lookups!$B$3*L2343</f>
        <v>0</v>
      </c>
      <c r="Q2343" s="2" t="str">
        <f aca="false">INDEX(Lookups!$E$2:$E$5,MATCH(P2343,Lookups!$D$2:$D$5,0))</f>
        <v>Low</v>
      </c>
    </row>
    <row r="2344" customFormat="false" ht="15" hidden="false" customHeight="false" outlineLevel="0" collapsed="false">
      <c r="A2344" s="3" t="n">
        <v>2343</v>
      </c>
      <c r="B2344" s="3" t="n">
        <f aca="false">Raw_Data!A2344</f>
        <v>39</v>
      </c>
      <c r="C2344" s="3" t="str">
        <f aca="false">SUBSTITUTE(Raw_Data!B2344,".","")</f>
        <v>blue-collar</v>
      </c>
      <c r="D2344" s="3" t="str">
        <f aca="false">Raw_Data!C2344</f>
        <v>married</v>
      </c>
      <c r="E2344" s="3" t="str">
        <f aca="false">Raw_Data!D2344</f>
        <v>primary</v>
      </c>
      <c r="F2344" s="3" t="str">
        <f aca="false">Raw_Data!E2344</f>
        <v>no</v>
      </c>
      <c r="G2344" s="3" t="n">
        <f aca="false">Raw_Data!F2344</f>
        <v>385</v>
      </c>
      <c r="H2344" s="3" t="str">
        <f aca="false">Raw_Data!G2344</f>
        <v>yes</v>
      </c>
      <c r="I2344" s="3" t="str">
        <f aca="false">Raw_Data!H2344</f>
        <v>no</v>
      </c>
      <c r="J2344" s="2" t="n">
        <f aca="false">IF(F2344="yes",1,0)</f>
        <v>0</v>
      </c>
      <c r="K2344" s="2" t="n">
        <f aca="false">IF(H2344="yes",1,0)</f>
        <v>1</v>
      </c>
      <c r="L2344" s="2" t="n">
        <f aca="false">IF(I2344="yes",1,0)</f>
        <v>0</v>
      </c>
      <c r="M2344" s="2" t="n">
        <f aca="false">IF(G2344&lt;0,1,0)</f>
        <v>0</v>
      </c>
      <c r="N2344" s="2" t="str">
        <f aca="false">_xlfn.IFS(B2344&lt;30,"Under 30",B2344&lt;40,"30-39",B2344&lt;50,"40-49",B2344&lt;60,"50-59",TRUE(),"60+")</f>
        <v>30-39</v>
      </c>
      <c r="O2344" s="2" t="str">
        <f aca="false">_xlfn.IFS(G2344&lt;0,"1 Negative",G2344=0,"2 Zero",G2344&lt;=500,"3 1-500",G2344&lt;=2000,"4 501-2000",TRUE(),"5 Above 2000")</f>
        <v>3 1-500</v>
      </c>
      <c r="P2344" s="2" t="n">
        <f aca="false">Lookups!$B$2*M2344+Lookups!$B$3*L2344</f>
        <v>0</v>
      </c>
      <c r="Q2344" s="2" t="str">
        <f aca="false">INDEX(Lookups!$E$2:$E$5,MATCH(P2344,Lookups!$D$2:$D$5,0))</f>
        <v>Low</v>
      </c>
    </row>
    <row r="2345" customFormat="false" ht="15" hidden="false" customHeight="false" outlineLevel="0" collapsed="false">
      <c r="A2345" s="3" t="n">
        <v>2344</v>
      </c>
      <c r="B2345" s="3" t="n">
        <f aca="false">Raw_Data!A2345</f>
        <v>38</v>
      </c>
      <c r="C2345" s="3" t="str">
        <f aca="false">SUBSTITUTE(Raw_Data!B2345,".","")</f>
        <v>management</v>
      </c>
      <c r="D2345" s="3" t="str">
        <f aca="false">Raw_Data!C2345</f>
        <v>married</v>
      </c>
      <c r="E2345" s="3" t="str">
        <f aca="false">Raw_Data!D2345</f>
        <v>tertiary</v>
      </c>
      <c r="F2345" s="3" t="str">
        <f aca="false">Raw_Data!E2345</f>
        <v>no</v>
      </c>
      <c r="G2345" s="3" t="n">
        <f aca="false">Raw_Data!F2345</f>
        <v>223</v>
      </c>
      <c r="H2345" s="3" t="str">
        <f aca="false">Raw_Data!G2345</f>
        <v>no</v>
      </c>
      <c r="I2345" s="3" t="str">
        <f aca="false">Raw_Data!H2345</f>
        <v>no</v>
      </c>
      <c r="J2345" s="2" t="n">
        <f aca="false">IF(F2345="yes",1,0)</f>
        <v>0</v>
      </c>
      <c r="K2345" s="2" t="n">
        <f aca="false">IF(H2345="yes",1,0)</f>
        <v>0</v>
      </c>
      <c r="L2345" s="2" t="n">
        <f aca="false">IF(I2345="yes",1,0)</f>
        <v>0</v>
      </c>
      <c r="M2345" s="2" t="n">
        <f aca="false">IF(G2345&lt;0,1,0)</f>
        <v>0</v>
      </c>
      <c r="N2345" s="2" t="str">
        <f aca="false">_xlfn.IFS(B2345&lt;30,"Under 30",B2345&lt;40,"30-39",B2345&lt;50,"40-49",B2345&lt;60,"50-59",TRUE(),"60+")</f>
        <v>30-39</v>
      </c>
      <c r="O2345" s="2" t="str">
        <f aca="false">_xlfn.IFS(G2345&lt;0,"1 Negative",G2345=0,"2 Zero",G2345&lt;=500,"3 1-500",G2345&lt;=2000,"4 501-2000",TRUE(),"5 Above 2000")</f>
        <v>3 1-500</v>
      </c>
      <c r="P2345" s="2" t="n">
        <f aca="false">Lookups!$B$2*M2345+Lookups!$B$3*L2345</f>
        <v>0</v>
      </c>
      <c r="Q2345" s="2" t="str">
        <f aca="false">INDEX(Lookups!$E$2:$E$5,MATCH(P2345,Lookups!$D$2:$D$5,0))</f>
        <v>Low</v>
      </c>
    </row>
    <row r="2346" customFormat="false" ht="15" hidden="false" customHeight="false" outlineLevel="0" collapsed="false">
      <c r="A2346" s="3" t="n">
        <v>2345</v>
      </c>
      <c r="B2346" s="3" t="n">
        <f aca="false">Raw_Data!A2346</f>
        <v>37</v>
      </c>
      <c r="C2346" s="3" t="str">
        <f aca="false">SUBSTITUTE(Raw_Data!B2346,".","")</f>
        <v>management</v>
      </c>
      <c r="D2346" s="3" t="str">
        <f aca="false">Raw_Data!C2346</f>
        <v>married</v>
      </c>
      <c r="E2346" s="3" t="str">
        <f aca="false">Raw_Data!D2346</f>
        <v>tertiary</v>
      </c>
      <c r="F2346" s="3" t="str">
        <f aca="false">Raw_Data!E2346</f>
        <v>no</v>
      </c>
      <c r="G2346" s="3" t="n">
        <f aca="false">Raw_Data!F2346</f>
        <v>0</v>
      </c>
      <c r="H2346" s="3" t="str">
        <f aca="false">Raw_Data!G2346</f>
        <v>yes</v>
      </c>
      <c r="I2346" s="3" t="str">
        <f aca="false">Raw_Data!H2346</f>
        <v>no</v>
      </c>
      <c r="J2346" s="2" t="n">
        <f aca="false">IF(F2346="yes",1,0)</f>
        <v>0</v>
      </c>
      <c r="K2346" s="2" t="n">
        <f aca="false">IF(H2346="yes",1,0)</f>
        <v>1</v>
      </c>
      <c r="L2346" s="2" t="n">
        <f aca="false">IF(I2346="yes",1,0)</f>
        <v>0</v>
      </c>
      <c r="M2346" s="2" t="n">
        <f aca="false">IF(G2346&lt;0,1,0)</f>
        <v>0</v>
      </c>
      <c r="N2346" s="2" t="str">
        <f aca="false">_xlfn.IFS(B2346&lt;30,"Under 30",B2346&lt;40,"30-39",B2346&lt;50,"40-49",B2346&lt;60,"50-59",TRUE(),"60+")</f>
        <v>30-39</v>
      </c>
      <c r="O2346" s="2" t="str">
        <f aca="false">_xlfn.IFS(G2346&lt;0,"1 Negative",G2346=0,"2 Zero",G2346&lt;=500,"3 1-500",G2346&lt;=2000,"4 501-2000",TRUE(),"5 Above 2000")</f>
        <v>2 Zero</v>
      </c>
      <c r="P2346" s="2" t="n">
        <f aca="false">Lookups!$B$2*M2346+Lookups!$B$3*L2346</f>
        <v>0</v>
      </c>
      <c r="Q2346" s="2" t="str">
        <f aca="false">INDEX(Lookups!$E$2:$E$5,MATCH(P2346,Lookups!$D$2:$D$5,0))</f>
        <v>Low</v>
      </c>
    </row>
    <row r="2347" customFormat="false" ht="15" hidden="false" customHeight="false" outlineLevel="0" collapsed="false">
      <c r="A2347" s="3" t="n">
        <v>2346</v>
      </c>
      <c r="B2347" s="3" t="n">
        <f aca="false">Raw_Data!A2347</f>
        <v>26</v>
      </c>
      <c r="C2347" s="3" t="str">
        <f aca="false">SUBSTITUTE(Raw_Data!B2347,".","")</f>
        <v>services</v>
      </c>
      <c r="D2347" s="3" t="str">
        <f aca="false">Raw_Data!C2347</f>
        <v>single</v>
      </c>
      <c r="E2347" s="3" t="str">
        <f aca="false">Raw_Data!D2347</f>
        <v>secondary</v>
      </c>
      <c r="F2347" s="3" t="str">
        <f aca="false">Raw_Data!E2347</f>
        <v>no</v>
      </c>
      <c r="G2347" s="3" t="n">
        <f aca="false">Raw_Data!F2347</f>
        <v>512</v>
      </c>
      <c r="H2347" s="3" t="str">
        <f aca="false">Raw_Data!G2347</f>
        <v>yes</v>
      </c>
      <c r="I2347" s="3" t="str">
        <f aca="false">Raw_Data!H2347</f>
        <v>yes</v>
      </c>
      <c r="J2347" s="2" t="n">
        <f aca="false">IF(F2347="yes",1,0)</f>
        <v>0</v>
      </c>
      <c r="K2347" s="2" t="n">
        <f aca="false">IF(H2347="yes",1,0)</f>
        <v>1</v>
      </c>
      <c r="L2347" s="2" t="n">
        <f aca="false">IF(I2347="yes",1,0)</f>
        <v>1</v>
      </c>
      <c r="M2347" s="2" t="n">
        <f aca="false">IF(G2347&lt;0,1,0)</f>
        <v>0</v>
      </c>
      <c r="N2347" s="2" t="str">
        <f aca="false">_xlfn.IFS(B2347&lt;30,"Under 30",B2347&lt;40,"30-39",B2347&lt;50,"40-49",B2347&lt;60,"50-59",TRUE(),"60+")</f>
        <v>Under 30</v>
      </c>
      <c r="O2347" s="2" t="str">
        <f aca="false">_xlfn.IFS(G2347&lt;0,"1 Negative",G2347=0,"2 Zero",G2347&lt;=500,"3 1-500",G2347&lt;=2000,"4 501-2000",TRUE(),"5 Above 2000")</f>
        <v>4 501-2000</v>
      </c>
      <c r="P2347" s="2" t="n">
        <f aca="false">Lookups!$B$2*M2347+Lookups!$B$3*L2347</f>
        <v>1</v>
      </c>
      <c r="Q2347" s="2" t="str">
        <f aca="false">INDEX(Lookups!$E$2:$E$5,MATCH(P2347,Lookups!$D$2:$D$5,0))</f>
        <v>Medium</v>
      </c>
    </row>
    <row r="2348" customFormat="false" ht="15" hidden="false" customHeight="false" outlineLevel="0" collapsed="false">
      <c r="A2348" s="3" t="n">
        <v>2347</v>
      </c>
      <c r="B2348" s="3" t="n">
        <f aca="false">Raw_Data!A2348</f>
        <v>36</v>
      </c>
      <c r="C2348" s="3" t="str">
        <f aca="false">SUBSTITUTE(Raw_Data!B2348,".","")</f>
        <v>entrepreneur</v>
      </c>
      <c r="D2348" s="3" t="str">
        <f aca="false">Raw_Data!C2348</f>
        <v>married</v>
      </c>
      <c r="E2348" s="3" t="str">
        <f aca="false">Raw_Data!D2348</f>
        <v>tertiary</v>
      </c>
      <c r="F2348" s="3" t="str">
        <f aca="false">Raw_Data!E2348</f>
        <v>no</v>
      </c>
      <c r="G2348" s="3" t="n">
        <f aca="false">Raw_Data!F2348</f>
        <v>1169</v>
      </c>
      <c r="H2348" s="3" t="str">
        <f aca="false">Raw_Data!G2348</f>
        <v>yes</v>
      </c>
      <c r="I2348" s="3" t="str">
        <f aca="false">Raw_Data!H2348</f>
        <v>no</v>
      </c>
      <c r="J2348" s="2" t="n">
        <f aca="false">IF(F2348="yes",1,0)</f>
        <v>0</v>
      </c>
      <c r="K2348" s="2" t="n">
        <f aca="false">IF(H2348="yes",1,0)</f>
        <v>1</v>
      </c>
      <c r="L2348" s="2" t="n">
        <f aca="false">IF(I2348="yes",1,0)</f>
        <v>0</v>
      </c>
      <c r="M2348" s="2" t="n">
        <f aca="false">IF(G2348&lt;0,1,0)</f>
        <v>0</v>
      </c>
      <c r="N2348" s="2" t="str">
        <f aca="false">_xlfn.IFS(B2348&lt;30,"Under 30",B2348&lt;40,"30-39",B2348&lt;50,"40-49",B2348&lt;60,"50-59",TRUE(),"60+")</f>
        <v>30-39</v>
      </c>
      <c r="O2348" s="2" t="str">
        <f aca="false">_xlfn.IFS(G2348&lt;0,"1 Negative",G2348=0,"2 Zero",G2348&lt;=500,"3 1-500",G2348&lt;=2000,"4 501-2000",TRUE(),"5 Above 2000")</f>
        <v>4 501-2000</v>
      </c>
      <c r="P2348" s="2" t="n">
        <f aca="false">Lookups!$B$2*M2348+Lookups!$B$3*L2348</f>
        <v>0</v>
      </c>
      <c r="Q2348" s="2" t="str">
        <f aca="false">INDEX(Lookups!$E$2:$E$5,MATCH(P2348,Lookups!$D$2:$D$5,0))</f>
        <v>Low</v>
      </c>
    </row>
    <row r="2349" customFormat="false" ht="15" hidden="false" customHeight="false" outlineLevel="0" collapsed="false">
      <c r="A2349" s="3" t="n">
        <v>2348</v>
      </c>
      <c r="B2349" s="3" t="n">
        <f aca="false">Raw_Data!A2349</f>
        <v>35</v>
      </c>
      <c r="C2349" s="3" t="str">
        <f aca="false">SUBSTITUTE(Raw_Data!B2349,".","")</f>
        <v>management</v>
      </c>
      <c r="D2349" s="3" t="str">
        <f aca="false">Raw_Data!C2349</f>
        <v>single</v>
      </c>
      <c r="E2349" s="3" t="str">
        <f aca="false">Raw_Data!D2349</f>
        <v>tertiary</v>
      </c>
      <c r="F2349" s="3" t="str">
        <f aca="false">Raw_Data!E2349</f>
        <v>no</v>
      </c>
      <c r="G2349" s="3" t="n">
        <f aca="false">Raw_Data!F2349</f>
        <v>71</v>
      </c>
      <c r="H2349" s="3" t="str">
        <f aca="false">Raw_Data!G2349</f>
        <v>yes</v>
      </c>
      <c r="I2349" s="3" t="str">
        <f aca="false">Raw_Data!H2349</f>
        <v>no</v>
      </c>
      <c r="J2349" s="2" t="n">
        <f aca="false">IF(F2349="yes",1,0)</f>
        <v>0</v>
      </c>
      <c r="K2349" s="2" t="n">
        <f aca="false">IF(H2349="yes",1,0)</f>
        <v>1</v>
      </c>
      <c r="L2349" s="2" t="n">
        <f aca="false">IF(I2349="yes",1,0)</f>
        <v>0</v>
      </c>
      <c r="M2349" s="2" t="n">
        <f aca="false">IF(G2349&lt;0,1,0)</f>
        <v>0</v>
      </c>
      <c r="N2349" s="2" t="str">
        <f aca="false">_xlfn.IFS(B2349&lt;30,"Under 30",B2349&lt;40,"30-39",B2349&lt;50,"40-49",B2349&lt;60,"50-59",TRUE(),"60+")</f>
        <v>30-39</v>
      </c>
      <c r="O2349" s="2" t="str">
        <f aca="false">_xlfn.IFS(G2349&lt;0,"1 Negative",G2349=0,"2 Zero",G2349&lt;=500,"3 1-500",G2349&lt;=2000,"4 501-2000",TRUE(),"5 Above 2000")</f>
        <v>3 1-500</v>
      </c>
      <c r="P2349" s="2" t="n">
        <f aca="false">Lookups!$B$2*M2349+Lookups!$B$3*L2349</f>
        <v>0</v>
      </c>
      <c r="Q2349" s="2" t="str">
        <f aca="false">INDEX(Lookups!$E$2:$E$5,MATCH(P2349,Lookups!$D$2:$D$5,0))</f>
        <v>Low</v>
      </c>
    </row>
    <row r="2350" customFormat="false" ht="15" hidden="false" customHeight="false" outlineLevel="0" collapsed="false">
      <c r="A2350" s="3" t="n">
        <v>2349</v>
      </c>
      <c r="B2350" s="3" t="n">
        <f aca="false">Raw_Data!A2350</f>
        <v>30</v>
      </c>
      <c r="C2350" s="3" t="str">
        <f aca="false">SUBSTITUTE(Raw_Data!B2350,".","")</f>
        <v>management</v>
      </c>
      <c r="D2350" s="3" t="str">
        <f aca="false">Raw_Data!C2350</f>
        <v>single</v>
      </c>
      <c r="E2350" s="3" t="str">
        <f aca="false">Raw_Data!D2350</f>
        <v>tertiary</v>
      </c>
      <c r="F2350" s="3" t="str">
        <f aca="false">Raw_Data!E2350</f>
        <v>no</v>
      </c>
      <c r="G2350" s="3" t="n">
        <f aca="false">Raw_Data!F2350</f>
        <v>940</v>
      </c>
      <c r="H2350" s="3" t="str">
        <f aca="false">Raw_Data!G2350</f>
        <v>no</v>
      </c>
      <c r="I2350" s="3" t="str">
        <f aca="false">Raw_Data!H2350</f>
        <v>no</v>
      </c>
      <c r="J2350" s="2" t="n">
        <f aca="false">IF(F2350="yes",1,0)</f>
        <v>0</v>
      </c>
      <c r="K2350" s="2" t="n">
        <f aca="false">IF(H2350="yes",1,0)</f>
        <v>0</v>
      </c>
      <c r="L2350" s="2" t="n">
        <f aca="false">IF(I2350="yes",1,0)</f>
        <v>0</v>
      </c>
      <c r="M2350" s="2" t="n">
        <f aca="false">IF(G2350&lt;0,1,0)</f>
        <v>0</v>
      </c>
      <c r="N2350" s="2" t="str">
        <f aca="false">_xlfn.IFS(B2350&lt;30,"Under 30",B2350&lt;40,"30-39",B2350&lt;50,"40-49",B2350&lt;60,"50-59",TRUE(),"60+")</f>
        <v>30-39</v>
      </c>
      <c r="O2350" s="2" t="str">
        <f aca="false">_xlfn.IFS(G2350&lt;0,"1 Negative",G2350=0,"2 Zero",G2350&lt;=500,"3 1-500",G2350&lt;=2000,"4 501-2000",TRUE(),"5 Above 2000")</f>
        <v>4 501-2000</v>
      </c>
      <c r="P2350" s="2" t="n">
        <f aca="false">Lookups!$B$2*M2350+Lookups!$B$3*L2350</f>
        <v>0</v>
      </c>
      <c r="Q2350" s="2" t="str">
        <f aca="false">INDEX(Lookups!$E$2:$E$5,MATCH(P2350,Lookups!$D$2:$D$5,0))</f>
        <v>Low</v>
      </c>
    </row>
    <row r="2351" customFormat="false" ht="15" hidden="false" customHeight="false" outlineLevel="0" collapsed="false">
      <c r="A2351" s="3" t="n">
        <v>2350</v>
      </c>
      <c r="B2351" s="3" t="n">
        <f aca="false">Raw_Data!A2351</f>
        <v>25</v>
      </c>
      <c r="C2351" s="3" t="str">
        <f aca="false">SUBSTITUTE(Raw_Data!B2351,".","")</f>
        <v>technician</v>
      </c>
      <c r="D2351" s="3" t="str">
        <f aca="false">Raw_Data!C2351</f>
        <v>single</v>
      </c>
      <c r="E2351" s="3" t="str">
        <f aca="false">Raw_Data!D2351</f>
        <v>secondary</v>
      </c>
      <c r="F2351" s="3" t="str">
        <f aca="false">Raw_Data!E2351</f>
        <v>no</v>
      </c>
      <c r="G2351" s="3" t="n">
        <f aca="false">Raw_Data!F2351</f>
        <v>-80</v>
      </c>
      <c r="H2351" s="3" t="str">
        <f aca="false">Raw_Data!G2351</f>
        <v>yes</v>
      </c>
      <c r="I2351" s="3" t="str">
        <f aca="false">Raw_Data!H2351</f>
        <v>yes</v>
      </c>
      <c r="J2351" s="2" t="n">
        <f aca="false">IF(F2351="yes",1,0)</f>
        <v>0</v>
      </c>
      <c r="K2351" s="2" t="n">
        <f aca="false">IF(H2351="yes",1,0)</f>
        <v>1</v>
      </c>
      <c r="L2351" s="2" t="n">
        <f aca="false">IF(I2351="yes",1,0)</f>
        <v>1</v>
      </c>
      <c r="M2351" s="2" t="n">
        <f aca="false">IF(G2351&lt;0,1,0)</f>
        <v>1</v>
      </c>
      <c r="N2351" s="2" t="str">
        <f aca="false">_xlfn.IFS(B2351&lt;30,"Under 30",B2351&lt;40,"30-39",B2351&lt;50,"40-49",B2351&lt;60,"50-59",TRUE(),"60+")</f>
        <v>Under 30</v>
      </c>
      <c r="O2351" s="2" t="str">
        <f aca="false">_xlfn.IFS(G2351&lt;0,"1 Negative",G2351=0,"2 Zero",G2351&lt;=500,"3 1-500",G2351&lt;=2000,"4 501-2000",TRUE(),"5 Above 2000")</f>
        <v>1 Negative</v>
      </c>
      <c r="P2351" s="2" t="n">
        <f aca="false">Lookups!$B$2*M2351+Lookups!$B$3*L2351</f>
        <v>3</v>
      </c>
      <c r="Q2351" s="2" t="str">
        <f aca="false">INDEX(Lookups!$E$2:$E$5,MATCH(P2351,Lookups!$D$2:$D$5,0))</f>
        <v>High</v>
      </c>
    </row>
    <row r="2352" customFormat="false" ht="15" hidden="false" customHeight="false" outlineLevel="0" collapsed="false">
      <c r="A2352" s="3" t="n">
        <v>2351</v>
      </c>
      <c r="B2352" s="3" t="n">
        <f aca="false">Raw_Data!A2352</f>
        <v>34</v>
      </c>
      <c r="C2352" s="3" t="str">
        <f aca="false">SUBSTITUTE(Raw_Data!B2352,".","")</f>
        <v>technician</v>
      </c>
      <c r="D2352" s="3" t="str">
        <f aca="false">Raw_Data!C2352</f>
        <v>married</v>
      </c>
      <c r="E2352" s="3" t="str">
        <f aca="false">Raw_Data!D2352</f>
        <v>secondary</v>
      </c>
      <c r="F2352" s="3" t="str">
        <f aca="false">Raw_Data!E2352</f>
        <v>no</v>
      </c>
      <c r="G2352" s="3" t="n">
        <f aca="false">Raw_Data!F2352</f>
        <v>0</v>
      </c>
      <c r="H2352" s="3" t="str">
        <f aca="false">Raw_Data!G2352</f>
        <v>yes</v>
      </c>
      <c r="I2352" s="3" t="str">
        <f aca="false">Raw_Data!H2352</f>
        <v>no</v>
      </c>
      <c r="J2352" s="2" t="n">
        <f aca="false">IF(F2352="yes",1,0)</f>
        <v>0</v>
      </c>
      <c r="K2352" s="2" t="n">
        <f aca="false">IF(H2352="yes",1,0)</f>
        <v>1</v>
      </c>
      <c r="L2352" s="2" t="n">
        <f aca="false">IF(I2352="yes",1,0)</f>
        <v>0</v>
      </c>
      <c r="M2352" s="2" t="n">
        <f aca="false">IF(G2352&lt;0,1,0)</f>
        <v>0</v>
      </c>
      <c r="N2352" s="2" t="str">
        <f aca="false">_xlfn.IFS(B2352&lt;30,"Under 30",B2352&lt;40,"30-39",B2352&lt;50,"40-49",B2352&lt;60,"50-59",TRUE(),"60+")</f>
        <v>30-39</v>
      </c>
      <c r="O2352" s="2" t="str">
        <f aca="false">_xlfn.IFS(G2352&lt;0,"1 Negative",G2352=0,"2 Zero",G2352&lt;=500,"3 1-500",G2352&lt;=2000,"4 501-2000",TRUE(),"5 Above 2000")</f>
        <v>2 Zero</v>
      </c>
      <c r="P2352" s="2" t="n">
        <f aca="false">Lookups!$B$2*M2352+Lookups!$B$3*L2352</f>
        <v>0</v>
      </c>
      <c r="Q2352" s="2" t="str">
        <f aca="false">INDEX(Lookups!$E$2:$E$5,MATCH(P2352,Lookups!$D$2:$D$5,0))</f>
        <v>Low</v>
      </c>
    </row>
    <row r="2353" customFormat="false" ht="15" hidden="false" customHeight="false" outlineLevel="0" collapsed="false">
      <c r="A2353" s="3" t="n">
        <v>2352</v>
      </c>
      <c r="B2353" s="3" t="n">
        <f aca="false">Raw_Data!A2353</f>
        <v>52</v>
      </c>
      <c r="C2353" s="3" t="str">
        <f aca="false">SUBSTITUTE(Raw_Data!B2353,".","")</f>
        <v>unknown</v>
      </c>
      <c r="D2353" s="3" t="str">
        <f aca="false">Raw_Data!C2353</f>
        <v>married</v>
      </c>
      <c r="E2353" s="3" t="str">
        <f aca="false">Raw_Data!D2353</f>
        <v>unknown</v>
      </c>
      <c r="F2353" s="3" t="str">
        <f aca="false">Raw_Data!E2353</f>
        <v>no</v>
      </c>
      <c r="G2353" s="3" t="n">
        <f aca="false">Raw_Data!F2353</f>
        <v>1317</v>
      </c>
      <c r="H2353" s="3" t="str">
        <f aca="false">Raw_Data!G2353</f>
        <v>no</v>
      </c>
      <c r="I2353" s="3" t="str">
        <f aca="false">Raw_Data!H2353</f>
        <v>no</v>
      </c>
      <c r="J2353" s="2" t="n">
        <f aca="false">IF(F2353="yes",1,0)</f>
        <v>0</v>
      </c>
      <c r="K2353" s="2" t="n">
        <f aca="false">IF(H2353="yes",1,0)</f>
        <v>0</v>
      </c>
      <c r="L2353" s="2" t="n">
        <f aca="false">IF(I2353="yes",1,0)</f>
        <v>0</v>
      </c>
      <c r="M2353" s="2" t="n">
        <f aca="false">IF(G2353&lt;0,1,0)</f>
        <v>0</v>
      </c>
      <c r="N2353" s="2" t="str">
        <f aca="false">_xlfn.IFS(B2353&lt;30,"Under 30",B2353&lt;40,"30-39",B2353&lt;50,"40-49",B2353&lt;60,"50-59",TRUE(),"60+")</f>
        <v>50-59</v>
      </c>
      <c r="O2353" s="2" t="str">
        <f aca="false">_xlfn.IFS(G2353&lt;0,"1 Negative",G2353=0,"2 Zero",G2353&lt;=500,"3 1-500",G2353&lt;=2000,"4 501-2000",TRUE(),"5 Above 2000")</f>
        <v>4 501-2000</v>
      </c>
      <c r="P2353" s="2" t="n">
        <f aca="false">Lookups!$B$2*M2353+Lookups!$B$3*L2353</f>
        <v>0</v>
      </c>
      <c r="Q2353" s="2" t="str">
        <f aca="false">INDEX(Lookups!$E$2:$E$5,MATCH(P2353,Lookups!$D$2:$D$5,0))</f>
        <v>Low</v>
      </c>
    </row>
    <row r="2354" customFormat="false" ht="15" hidden="false" customHeight="false" outlineLevel="0" collapsed="false">
      <c r="A2354" s="3" t="n">
        <v>2353</v>
      </c>
      <c r="B2354" s="3" t="n">
        <f aca="false">Raw_Data!A2354</f>
        <v>39</v>
      </c>
      <c r="C2354" s="3" t="str">
        <f aca="false">SUBSTITUTE(Raw_Data!B2354,".","")</f>
        <v>admin</v>
      </c>
      <c r="D2354" s="3" t="str">
        <f aca="false">Raw_Data!C2354</f>
        <v>married</v>
      </c>
      <c r="E2354" s="3" t="str">
        <f aca="false">Raw_Data!D2354</f>
        <v>secondary</v>
      </c>
      <c r="F2354" s="3" t="str">
        <f aca="false">Raw_Data!E2354</f>
        <v>no</v>
      </c>
      <c r="G2354" s="3" t="n">
        <f aca="false">Raw_Data!F2354</f>
        <v>179</v>
      </c>
      <c r="H2354" s="3" t="str">
        <f aca="false">Raw_Data!G2354</f>
        <v>no</v>
      </c>
      <c r="I2354" s="3" t="str">
        <f aca="false">Raw_Data!H2354</f>
        <v>no</v>
      </c>
      <c r="J2354" s="2" t="n">
        <f aca="false">IF(F2354="yes",1,0)</f>
        <v>0</v>
      </c>
      <c r="K2354" s="2" t="n">
        <f aca="false">IF(H2354="yes",1,0)</f>
        <v>0</v>
      </c>
      <c r="L2354" s="2" t="n">
        <f aca="false">IF(I2354="yes",1,0)</f>
        <v>0</v>
      </c>
      <c r="M2354" s="2" t="n">
        <f aca="false">IF(G2354&lt;0,1,0)</f>
        <v>0</v>
      </c>
      <c r="N2354" s="2" t="str">
        <f aca="false">_xlfn.IFS(B2354&lt;30,"Under 30",B2354&lt;40,"30-39",B2354&lt;50,"40-49",B2354&lt;60,"50-59",TRUE(),"60+")</f>
        <v>30-39</v>
      </c>
      <c r="O2354" s="2" t="str">
        <f aca="false">_xlfn.IFS(G2354&lt;0,"1 Negative",G2354=0,"2 Zero",G2354&lt;=500,"3 1-500",G2354&lt;=2000,"4 501-2000",TRUE(),"5 Above 2000")</f>
        <v>3 1-500</v>
      </c>
      <c r="P2354" s="2" t="n">
        <f aca="false">Lookups!$B$2*M2354+Lookups!$B$3*L2354</f>
        <v>0</v>
      </c>
      <c r="Q2354" s="2" t="str">
        <f aca="false">INDEX(Lookups!$E$2:$E$5,MATCH(P2354,Lookups!$D$2:$D$5,0))</f>
        <v>Low</v>
      </c>
    </row>
    <row r="2355" customFormat="false" ht="15" hidden="false" customHeight="false" outlineLevel="0" collapsed="false">
      <c r="A2355" s="3" t="n">
        <v>2354</v>
      </c>
      <c r="B2355" s="3" t="n">
        <f aca="false">Raw_Data!A2355</f>
        <v>34</v>
      </c>
      <c r="C2355" s="3" t="str">
        <f aca="false">SUBSTITUTE(Raw_Data!B2355,".","")</f>
        <v>management</v>
      </c>
      <c r="D2355" s="3" t="str">
        <f aca="false">Raw_Data!C2355</f>
        <v>married</v>
      </c>
      <c r="E2355" s="3" t="str">
        <f aca="false">Raw_Data!D2355</f>
        <v>secondary</v>
      </c>
      <c r="F2355" s="3" t="str">
        <f aca="false">Raw_Data!E2355</f>
        <v>no</v>
      </c>
      <c r="G2355" s="3" t="n">
        <f aca="false">Raw_Data!F2355</f>
        <v>1007</v>
      </c>
      <c r="H2355" s="3" t="str">
        <f aca="false">Raw_Data!G2355</f>
        <v>yes</v>
      </c>
      <c r="I2355" s="3" t="str">
        <f aca="false">Raw_Data!H2355</f>
        <v>no</v>
      </c>
      <c r="J2355" s="2" t="n">
        <f aca="false">IF(F2355="yes",1,0)</f>
        <v>0</v>
      </c>
      <c r="K2355" s="2" t="n">
        <f aca="false">IF(H2355="yes",1,0)</f>
        <v>1</v>
      </c>
      <c r="L2355" s="2" t="n">
        <f aca="false">IF(I2355="yes",1,0)</f>
        <v>0</v>
      </c>
      <c r="M2355" s="2" t="n">
        <f aca="false">IF(G2355&lt;0,1,0)</f>
        <v>0</v>
      </c>
      <c r="N2355" s="2" t="str">
        <f aca="false">_xlfn.IFS(B2355&lt;30,"Under 30",B2355&lt;40,"30-39",B2355&lt;50,"40-49",B2355&lt;60,"50-59",TRUE(),"60+")</f>
        <v>30-39</v>
      </c>
      <c r="O2355" s="2" t="str">
        <f aca="false">_xlfn.IFS(G2355&lt;0,"1 Negative",G2355=0,"2 Zero",G2355&lt;=500,"3 1-500",G2355&lt;=2000,"4 501-2000",TRUE(),"5 Above 2000")</f>
        <v>4 501-2000</v>
      </c>
      <c r="P2355" s="2" t="n">
        <f aca="false">Lookups!$B$2*M2355+Lookups!$B$3*L2355</f>
        <v>0</v>
      </c>
      <c r="Q2355" s="2" t="str">
        <f aca="false">INDEX(Lookups!$E$2:$E$5,MATCH(P2355,Lookups!$D$2:$D$5,0))</f>
        <v>Low</v>
      </c>
    </row>
    <row r="2356" customFormat="false" ht="15" hidden="false" customHeight="false" outlineLevel="0" collapsed="false">
      <c r="A2356" s="3" t="n">
        <v>2355</v>
      </c>
      <c r="B2356" s="3" t="n">
        <f aca="false">Raw_Data!A2356</f>
        <v>34</v>
      </c>
      <c r="C2356" s="3" t="str">
        <f aca="false">SUBSTITUTE(Raw_Data!B2356,".","")</f>
        <v>management</v>
      </c>
      <c r="D2356" s="3" t="str">
        <f aca="false">Raw_Data!C2356</f>
        <v>single</v>
      </c>
      <c r="E2356" s="3" t="str">
        <f aca="false">Raw_Data!D2356</f>
        <v>secondary</v>
      </c>
      <c r="F2356" s="3" t="str">
        <f aca="false">Raw_Data!E2356</f>
        <v>no</v>
      </c>
      <c r="G2356" s="3" t="n">
        <f aca="false">Raw_Data!F2356</f>
        <v>0</v>
      </c>
      <c r="H2356" s="3" t="str">
        <f aca="false">Raw_Data!G2356</f>
        <v>no</v>
      </c>
      <c r="I2356" s="3" t="str">
        <f aca="false">Raw_Data!H2356</f>
        <v>no</v>
      </c>
      <c r="J2356" s="2" t="n">
        <f aca="false">IF(F2356="yes",1,0)</f>
        <v>0</v>
      </c>
      <c r="K2356" s="2" t="n">
        <f aca="false">IF(H2356="yes",1,0)</f>
        <v>0</v>
      </c>
      <c r="L2356" s="2" t="n">
        <f aca="false">IF(I2356="yes",1,0)</f>
        <v>0</v>
      </c>
      <c r="M2356" s="2" t="n">
        <f aca="false">IF(G2356&lt;0,1,0)</f>
        <v>0</v>
      </c>
      <c r="N2356" s="2" t="str">
        <f aca="false">_xlfn.IFS(B2356&lt;30,"Under 30",B2356&lt;40,"30-39",B2356&lt;50,"40-49",B2356&lt;60,"50-59",TRUE(),"60+")</f>
        <v>30-39</v>
      </c>
      <c r="O2356" s="2" t="str">
        <f aca="false">_xlfn.IFS(G2356&lt;0,"1 Negative",G2356=0,"2 Zero",G2356&lt;=500,"3 1-500",G2356&lt;=2000,"4 501-2000",TRUE(),"5 Above 2000")</f>
        <v>2 Zero</v>
      </c>
      <c r="P2356" s="2" t="n">
        <f aca="false">Lookups!$B$2*M2356+Lookups!$B$3*L2356</f>
        <v>0</v>
      </c>
      <c r="Q2356" s="2" t="str">
        <f aca="false">INDEX(Lookups!$E$2:$E$5,MATCH(P2356,Lookups!$D$2:$D$5,0))</f>
        <v>Low</v>
      </c>
    </row>
    <row r="2357" customFormat="false" ht="15" hidden="false" customHeight="false" outlineLevel="0" collapsed="false">
      <c r="A2357" s="3" t="n">
        <v>2356</v>
      </c>
      <c r="B2357" s="3" t="n">
        <f aca="false">Raw_Data!A2357</f>
        <v>30</v>
      </c>
      <c r="C2357" s="3" t="str">
        <f aca="false">SUBSTITUTE(Raw_Data!B2357,".","")</f>
        <v>services</v>
      </c>
      <c r="D2357" s="3" t="str">
        <f aca="false">Raw_Data!C2357</f>
        <v>married</v>
      </c>
      <c r="E2357" s="3" t="str">
        <f aca="false">Raw_Data!D2357</f>
        <v>secondary</v>
      </c>
      <c r="F2357" s="3" t="str">
        <f aca="false">Raw_Data!E2357</f>
        <v>no</v>
      </c>
      <c r="G2357" s="3" t="n">
        <f aca="false">Raw_Data!F2357</f>
        <v>1286</v>
      </c>
      <c r="H2357" s="3" t="str">
        <f aca="false">Raw_Data!G2357</f>
        <v>yes</v>
      </c>
      <c r="I2357" s="3" t="str">
        <f aca="false">Raw_Data!H2357</f>
        <v>yes</v>
      </c>
      <c r="J2357" s="2" t="n">
        <f aca="false">IF(F2357="yes",1,0)</f>
        <v>0</v>
      </c>
      <c r="K2357" s="2" t="n">
        <f aca="false">IF(H2357="yes",1,0)</f>
        <v>1</v>
      </c>
      <c r="L2357" s="2" t="n">
        <f aca="false">IF(I2357="yes",1,0)</f>
        <v>1</v>
      </c>
      <c r="M2357" s="2" t="n">
        <f aca="false">IF(G2357&lt;0,1,0)</f>
        <v>0</v>
      </c>
      <c r="N2357" s="2" t="str">
        <f aca="false">_xlfn.IFS(B2357&lt;30,"Under 30",B2357&lt;40,"30-39",B2357&lt;50,"40-49",B2357&lt;60,"50-59",TRUE(),"60+")</f>
        <v>30-39</v>
      </c>
      <c r="O2357" s="2" t="str">
        <f aca="false">_xlfn.IFS(G2357&lt;0,"1 Negative",G2357=0,"2 Zero",G2357&lt;=500,"3 1-500",G2357&lt;=2000,"4 501-2000",TRUE(),"5 Above 2000")</f>
        <v>4 501-2000</v>
      </c>
      <c r="P2357" s="2" t="n">
        <f aca="false">Lookups!$B$2*M2357+Lookups!$B$3*L2357</f>
        <v>1</v>
      </c>
      <c r="Q2357" s="2" t="str">
        <f aca="false">INDEX(Lookups!$E$2:$E$5,MATCH(P2357,Lookups!$D$2:$D$5,0))</f>
        <v>Medium</v>
      </c>
    </row>
    <row r="2358" customFormat="false" ht="15" hidden="false" customHeight="false" outlineLevel="0" collapsed="false">
      <c r="A2358" s="3" t="n">
        <v>2357</v>
      </c>
      <c r="B2358" s="3" t="n">
        <f aca="false">Raw_Data!A2358</f>
        <v>33</v>
      </c>
      <c r="C2358" s="3" t="str">
        <f aca="false">SUBSTITUTE(Raw_Data!B2358,".","")</f>
        <v>services</v>
      </c>
      <c r="D2358" s="3" t="str">
        <f aca="false">Raw_Data!C2358</f>
        <v>married</v>
      </c>
      <c r="E2358" s="3" t="str">
        <f aca="false">Raw_Data!D2358</f>
        <v>secondary</v>
      </c>
      <c r="F2358" s="3" t="str">
        <f aca="false">Raw_Data!E2358</f>
        <v>no</v>
      </c>
      <c r="G2358" s="3" t="n">
        <f aca="false">Raw_Data!F2358</f>
        <v>804</v>
      </c>
      <c r="H2358" s="3" t="str">
        <f aca="false">Raw_Data!G2358</f>
        <v>yes</v>
      </c>
      <c r="I2358" s="3" t="str">
        <f aca="false">Raw_Data!H2358</f>
        <v>yes</v>
      </c>
      <c r="J2358" s="2" t="n">
        <f aca="false">IF(F2358="yes",1,0)</f>
        <v>0</v>
      </c>
      <c r="K2358" s="2" t="n">
        <f aca="false">IF(H2358="yes",1,0)</f>
        <v>1</v>
      </c>
      <c r="L2358" s="2" t="n">
        <f aca="false">IF(I2358="yes",1,0)</f>
        <v>1</v>
      </c>
      <c r="M2358" s="2" t="n">
        <f aca="false">IF(G2358&lt;0,1,0)</f>
        <v>0</v>
      </c>
      <c r="N2358" s="2" t="str">
        <f aca="false">_xlfn.IFS(B2358&lt;30,"Under 30",B2358&lt;40,"30-39",B2358&lt;50,"40-49",B2358&lt;60,"50-59",TRUE(),"60+")</f>
        <v>30-39</v>
      </c>
      <c r="O2358" s="2" t="str">
        <f aca="false">_xlfn.IFS(G2358&lt;0,"1 Negative",G2358=0,"2 Zero",G2358&lt;=500,"3 1-500",G2358&lt;=2000,"4 501-2000",TRUE(),"5 Above 2000")</f>
        <v>4 501-2000</v>
      </c>
      <c r="P2358" s="2" t="n">
        <f aca="false">Lookups!$B$2*M2358+Lookups!$B$3*L2358</f>
        <v>1</v>
      </c>
      <c r="Q2358" s="2" t="str">
        <f aca="false">INDEX(Lookups!$E$2:$E$5,MATCH(P2358,Lookups!$D$2:$D$5,0))</f>
        <v>Medium</v>
      </c>
    </row>
    <row r="2359" customFormat="false" ht="15" hidden="false" customHeight="false" outlineLevel="0" collapsed="false">
      <c r="A2359" s="3" t="n">
        <v>2358</v>
      </c>
      <c r="B2359" s="3" t="n">
        <f aca="false">Raw_Data!A2359</f>
        <v>30</v>
      </c>
      <c r="C2359" s="3" t="str">
        <f aca="false">SUBSTITUTE(Raw_Data!B2359,".","")</f>
        <v>student</v>
      </c>
      <c r="D2359" s="3" t="str">
        <f aca="false">Raw_Data!C2359</f>
        <v>single</v>
      </c>
      <c r="E2359" s="3" t="str">
        <f aca="false">Raw_Data!D2359</f>
        <v>secondary</v>
      </c>
      <c r="F2359" s="3" t="str">
        <f aca="false">Raw_Data!E2359</f>
        <v>no</v>
      </c>
      <c r="G2359" s="3" t="n">
        <f aca="false">Raw_Data!F2359</f>
        <v>4</v>
      </c>
      <c r="H2359" s="3" t="str">
        <f aca="false">Raw_Data!G2359</f>
        <v>no</v>
      </c>
      <c r="I2359" s="3" t="str">
        <f aca="false">Raw_Data!H2359</f>
        <v>no</v>
      </c>
      <c r="J2359" s="2" t="n">
        <f aca="false">IF(F2359="yes",1,0)</f>
        <v>0</v>
      </c>
      <c r="K2359" s="2" t="n">
        <f aca="false">IF(H2359="yes",1,0)</f>
        <v>0</v>
      </c>
      <c r="L2359" s="2" t="n">
        <f aca="false">IF(I2359="yes",1,0)</f>
        <v>0</v>
      </c>
      <c r="M2359" s="2" t="n">
        <f aca="false">IF(G2359&lt;0,1,0)</f>
        <v>0</v>
      </c>
      <c r="N2359" s="2" t="str">
        <f aca="false">_xlfn.IFS(B2359&lt;30,"Under 30",B2359&lt;40,"30-39",B2359&lt;50,"40-49",B2359&lt;60,"50-59",TRUE(),"60+")</f>
        <v>30-39</v>
      </c>
      <c r="O2359" s="2" t="str">
        <f aca="false">_xlfn.IFS(G2359&lt;0,"1 Negative",G2359=0,"2 Zero",G2359&lt;=500,"3 1-500",G2359&lt;=2000,"4 501-2000",TRUE(),"5 Above 2000")</f>
        <v>3 1-500</v>
      </c>
      <c r="P2359" s="2" t="n">
        <f aca="false">Lookups!$B$2*M2359+Lookups!$B$3*L2359</f>
        <v>0</v>
      </c>
      <c r="Q2359" s="2" t="str">
        <f aca="false">INDEX(Lookups!$E$2:$E$5,MATCH(P2359,Lookups!$D$2:$D$5,0))</f>
        <v>Low</v>
      </c>
    </row>
    <row r="2360" customFormat="false" ht="15" hidden="false" customHeight="false" outlineLevel="0" collapsed="false">
      <c r="A2360" s="3" t="n">
        <v>2359</v>
      </c>
      <c r="B2360" s="3" t="n">
        <f aca="false">Raw_Data!A2360</f>
        <v>51</v>
      </c>
      <c r="C2360" s="3" t="str">
        <f aca="false">SUBSTITUTE(Raw_Data!B2360,".","")</f>
        <v>blue-collar</v>
      </c>
      <c r="D2360" s="3" t="str">
        <f aca="false">Raw_Data!C2360</f>
        <v>married</v>
      </c>
      <c r="E2360" s="3" t="str">
        <f aca="false">Raw_Data!D2360</f>
        <v>primary</v>
      </c>
      <c r="F2360" s="3" t="str">
        <f aca="false">Raw_Data!E2360</f>
        <v>no</v>
      </c>
      <c r="G2360" s="3" t="n">
        <f aca="false">Raw_Data!F2360</f>
        <v>0</v>
      </c>
      <c r="H2360" s="3" t="str">
        <f aca="false">Raw_Data!G2360</f>
        <v>yes</v>
      </c>
      <c r="I2360" s="3" t="str">
        <f aca="false">Raw_Data!H2360</f>
        <v>no</v>
      </c>
      <c r="J2360" s="2" t="n">
        <f aca="false">IF(F2360="yes",1,0)</f>
        <v>0</v>
      </c>
      <c r="K2360" s="2" t="n">
        <f aca="false">IF(H2360="yes",1,0)</f>
        <v>1</v>
      </c>
      <c r="L2360" s="2" t="n">
        <f aca="false">IF(I2360="yes",1,0)</f>
        <v>0</v>
      </c>
      <c r="M2360" s="2" t="n">
        <f aca="false">IF(G2360&lt;0,1,0)</f>
        <v>0</v>
      </c>
      <c r="N2360" s="2" t="str">
        <f aca="false">_xlfn.IFS(B2360&lt;30,"Under 30",B2360&lt;40,"30-39",B2360&lt;50,"40-49",B2360&lt;60,"50-59",TRUE(),"60+")</f>
        <v>50-59</v>
      </c>
      <c r="O2360" s="2" t="str">
        <f aca="false">_xlfn.IFS(G2360&lt;0,"1 Negative",G2360=0,"2 Zero",G2360&lt;=500,"3 1-500",G2360&lt;=2000,"4 501-2000",TRUE(),"5 Above 2000")</f>
        <v>2 Zero</v>
      </c>
      <c r="P2360" s="2" t="n">
        <f aca="false">Lookups!$B$2*M2360+Lookups!$B$3*L2360</f>
        <v>0</v>
      </c>
      <c r="Q2360" s="2" t="str">
        <f aca="false">INDEX(Lookups!$E$2:$E$5,MATCH(P2360,Lookups!$D$2:$D$5,0))</f>
        <v>Low</v>
      </c>
    </row>
    <row r="2361" customFormat="false" ht="15" hidden="false" customHeight="false" outlineLevel="0" collapsed="false">
      <c r="A2361" s="3" t="n">
        <v>2360</v>
      </c>
      <c r="B2361" s="3" t="n">
        <f aca="false">Raw_Data!A2361</f>
        <v>36</v>
      </c>
      <c r="C2361" s="3" t="str">
        <f aca="false">SUBSTITUTE(Raw_Data!B2361,".","")</f>
        <v>services</v>
      </c>
      <c r="D2361" s="3" t="str">
        <f aca="false">Raw_Data!C2361</f>
        <v>single</v>
      </c>
      <c r="E2361" s="3" t="str">
        <f aca="false">Raw_Data!D2361</f>
        <v>secondary</v>
      </c>
      <c r="F2361" s="3" t="str">
        <f aca="false">Raw_Data!E2361</f>
        <v>no</v>
      </c>
      <c r="G2361" s="3" t="n">
        <f aca="false">Raw_Data!F2361</f>
        <v>417</v>
      </c>
      <c r="H2361" s="3" t="str">
        <f aca="false">Raw_Data!G2361</f>
        <v>yes</v>
      </c>
      <c r="I2361" s="3" t="str">
        <f aca="false">Raw_Data!H2361</f>
        <v>no</v>
      </c>
      <c r="J2361" s="2" t="n">
        <f aca="false">IF(F2361="yes",1,0)</f>
        <v>0</v>
      </c>
      <c r="K2361" s="2" t="n">
        <f aca="false">IF(H2361="yes",1,0)</f>
        <v>1</v>
      </c>
      <c r="L2361" s="2" t="n">
        <f aca="false">IF(I2361="yes",1,0)</f>
        <v>0</v>
      </c>
      <c r="M2361" s="2" t="n">
        <f aca="false">IF(G2361&lt;0,1,0)</f>
        <v>0</v>
      </c>
      <c r="N2361" s="2" t="str">
        <f aca="false">_xlfn.IFS(B2361&lt;30,"Under 30",B2361&lt;40,"30-39",B2361&lt;50,"40-49",B2361&lt;60,"50-59",TRUE(),"60+")</f>
        <v>30-39</v>
      </c>
      <c r="O2361" s="2" t="str">
        <f aca="false">_xlfn.IFS(G2361&lt;0,"1 Negative",G2361=0,"2 Zero",G2361&lt;=500,"3 1-500",G2361&lt;=2000,"4 501-2000",TRUE(),"5 Above 2000")</f>
        <v>3 1-500</v>
      </c>
      <c r="P2361" s="2" t="n">
        <f aca="false">Lookups!$B$2*M2361+Lookups!$B$3*L2361</f>
        <v>0</v>
      </c>
      <c r="Q2361" s="2" t="str">
        <f aca="false">INDEX(Lookups!$E$2:$E$5,MATCH(P2361,Lookups!$D$2:$D$5,0))</f>
        <v>Low</v>
      </c>
    </row>
    <row r="2362" customFormat="false" ht="15" hidden="false" customHeight="false" outlineLevel="0" collapsed="false">
      <c r="A2362" s="3" t="n">
        <v>2361</v>
      </c>
      <c r="B2362" s="3" t="n">
        <f aca="false">Raw_Data!A2362</f>
        <v>48</v>
      </c>
      <c r="C2362" s="3" t="str">
        <f aca="false">SUBSTITUTE(Raw_Data!B2362,".","")</f>
        <v>blue-collar</v>
      </c>
      <c r="D2362" s="3" t="str">
        <f aca="false">Raw_Data!C2362</f>
        <v>married</v>
      </c>
      <c r="E2362" s="3" t="str">
        <f aca="false">Raw_Data!D2362</f>
        <v>primary</v>
      </c>
      <c r="F2362" s="3" t="str">
        <f aca="false">Raw_Data!E2362</f>
        <v>no</v>
      </c>
      <c r="G2362" s="3" t="n">
        <f aca="false">Raw_Data!F2362</f>
        <v>1678</v>
      </c>
      <c r="H2362" s="3" t="str">
        <f aca="false">Raw_Data!G2362</f>
        <v>no</v>
      </c>
      <c r="I2362" s="3" t="str">
        <f aca="false">Raw_Data!H2362</f>
        <v>no</v>
      </c>
      <c r="J2362" s="2" t="n">
        <f aca="false">IF(F2362="yes",1,0)</f>
        <v>0</v>
      </c>
      <c r="K2362" s="2" t="n">
        <f aca="false">IF(H2362="yes",1,0)</f>
        <v>0</v>
      </c>
      <c r="L2362" s="2" t="n">
        <f aca="false">IF(I2362="yes",1,0)</f>
        <v>0</v>
      </c>
      <c r="M2362" s="2" t="n">
        <f aca="false">IF(G2362&lt;0,1,0)</f>
        <v>0</v>
      </c>
      <c r="N2362" s="2" t="str">
        <f aca="false">_xlfn.IFS(B2362&lt;30,"Under 30",B2362&lt;40,"30-39",B2362&lt;50,"40-49",B2362&lt;60,"50-59",TRUE(),"60+")</f>
        <v>40-49</v>
      </c>
      <c r="O2362" s="2" t="str">
        <f aca="false">_xlfn.IFS(G2362&lt;0,"1 Negative",G2362=0,"2 Zero",G2362&lt;=500,"3 1-500",G2362&lt;=2000,"4 501-2000",TRUE(),"5 Above 2000")</f>
        <v>4 501-2000</v>
      </c>
      <c r="P2362" s="2" t="n">
        <f aca="false">Lookups!$B$2*M2362+Lookups!$B$3*L2362</f>
        <v>0</v>
      </c>
      <c r="Q2362" s="2" t="str">
        <f aca="false">INDEX(Lookups!$E$2:$E$5,MATCH(P2362,Lookups!$D$2:$D$5,0))</f>
        <v>Low</v>
      </c>
    </row>
    <row r="2363" customFormat="false" ht="15" hidden="false" customHeight="false" outlineLevel="0" collapsed="false">
      <c r="A2363" s="3" t="n">
        <v>2362</v>
      </c>
      <c r="B2363" s="3" t="n">
        <f aca="false">Raw_Data!A2363</f>
        <v>37</v>
      </c>
      <c r="C2363" s="3" t="str">
        <f aca="false">SUBSTITUTE(Raw_Data!B2363,".","")</f>
        <v>services</v>
      </c>
      <c r="D2363" s="3" t="str">
        <f aca="false">Raw_Data!C2363</f>
        <v>divorced</v>
      </c>
      <c r="E2363" s="3" t="str">
        <f aca="false">Raw_Data!D2363</f>
        <v>secondary</v>
      </c>
      <c r="F2363" s="3" t="str">
        <f aca="false">Raw_Data!E2363</f>
        <v>no</v>
      </c>
      <c r="G2363" s="3" t="n">
        <f aca="false">Raw_Data!F2363</f>
        <v>532</v>
      </c>
      <c r="H2363" s="3" t="str">
        <f aca="false">Raw_Data!G2363</f>
        <v>yes</v>
      </c>
      <c r="I2363" s="3" t="str">
        <f aca="false">Raw_Data!H2363</f>
        <v>no</v>
      </c>
      <c r="J2363" s="2" t="n">
        <f aca="false">IF(F2363="yes",1,0)</f>
        <v>0</v>
      </c>
      <c r="K2363" s="2" t="n">
        <f aca="false">IF(H2363="yes",1,0)</f>
        <v>1</v>
      </c>
      <c r="L2363" s="2" t="n">
        <f aca="false">IF(I2363="yes",1,0)</f>
        <v>0</v>
      </c>
      <c r="M2363" s="2" t="n">
        <f aca="false">IF(G2363&lt;0,1,0)</f>
        <v>0</v>
      </c>
      <c r="N2363" s="2" t="str">
        <f aca="false">_xlfn.IFS(B2363&lt;30,"Under 30",B2363&lt;40,"30-39",B2363&lt;50,"40-49",B2363&lt;60,"50-59",TRUE(),"60+")</f>
        <v>30-39</v>
      </c>
      <c r="O2363" s="2" t="str">
        <f aca="false">_xlfn.IFS(G2363&lt;0,"1 Negative",G2363=0,"2 Zero",G2363&lt;=500,"3 1-500",G2363&lt;=2000,"4 501-2000",TRUE(),"5 Above 2000")</f>
        <v>4 501-2000</v>
      </c>
      <c r="P2363" s="2" t="n">
        <f aca="false">Lookups!$B$2*M2363+Lookups!$B$3*L2363</f>
        <v>0</v>
      </c>
      <c r="Q2363" s="2" t="str">
        <f aca="false">INDEX(Lookups!$E$2:$E$5,MATCH(P2363,Lookups!$D$2:$D$5,0))</f>
        <v>Low</v>
      </c>
    </row>
    <row r="2364" customFormat="false" ht="15" hidden="false" customHeight="false" outlineLevel="0" collapsed="false">
      <c r="A2364" s="3" t="n">
        <v>2363</v>
      </c>
      <c r="B2364" s="3" t="n">
        <f aca="false">Raw_Data!A2364</f>
        <v>58</v>
      </c>
      <c r="C2364" s="3" t="str">
        <f aca="false">SUBSTITUTE(Raw_Data!B2364,".","")</f>
        <v>management</v>
      </c>
      <c r="D2364" s="3" t="str">
        <f aca="false">Raw_Data!C2364</f>
        <v>married</v>
      </c>
      <c r="E2364" s="3" t="str">
        <f aca="false">Raw_Data!D2364</f>
        <v>secondary</v>
      </c>
      <c r="F2364" s="3" t="str">
        <f aca="false">Raw_Data!E2364</f>
        <v>no</v>
      </c>
      <c r="G2364" s="3" t="n">
        <f aca="false">Raw_Data!F2364</f>
        <v>407</v>
      </c>
      <c r="H2364" s="3" t="str">
        <f aca="false">Raw_Data!G2364</f>
        <v>yes</v>
      </c>
      <c r="I2364" s="3" t="str">
        <f aca="false">Raw_Data!H2364</f>
        <v>no</v>
      </c>
      <c r="J2364" s="2" t="n">
        <f aca="false">IF(F2364="yes",1,0)</f>
        <v>0</v>
      </c>
      <c r="K2364" s="2" t="n">
        <f aca="false">IF(H2364="yes",1,0)</f>
        <v>1</v>
      </c>
      <c r="L2364" s="2" t="n">
        <f aca="false">IF(I2364="yes",1,0)</f>
        <v>0</v>
      </c>
      <c r="M2364" s="2" t="n">
        <f aca="false">IF(G2364&lt;0,1,0)</f>
        <v>0</v>
      </c>
      <c r="N2364" s="2" t="str">
        <f aca="false">_xlfn.IFS(B2364&lt;30,"Under 30",B2364&lt;40,"30-39",B2364&lt;50,"40-49",B2364&lt;60,"50-59",TRUE(),"60+")</f>
        <v>50-59</v>
      </c>
      <c r="O2364" s="2" t="str">
        <f aca="false">_xlfn.IFS(G2364&lt;0,"1 Negative",G2364=0,"2 Zero",G2364&lt;=500,"3 1-500",G2364&lt;=2000,"4 501-2000",TRUE(),"5 Above 2000")</f>
        <v>3 1-500</v>
      </c>
      <c r="P2364" s="2" t="n">
        <f aca="false">Lookups!$B$2*M2364+Lookups!$B$3*L2364</f>
        <v>0</v>
      </c>
      <c r="Q2364" s="2" t="str">
        <f aca="false">INDEX(Lookups!$E$2:$E$5,MATCH(P2364,Lookups!$D$2:$D$5,0))</f>
        <v>Low</v>
      </c>
    </row>
    <row r="2365" customFormat="false" ht="15" hidden="false" customHeight="false" outlineLevel="0" collapsed="false">
      <c r="A2365" s="3" t="n">
        <v>2364</v>
      </c>
      <c r="B2365" s="3" t="n">
        <f aca="false">Raw_Data!A2365</f>
        <v>56</v>
      </c>
      <c r="C2365" s="3" t="str">
        <f aca="false">SUBSTITUTE(Raw_Data!B2365,".","")</f>
        <v>management</v>
      </c>
      <c r="D2365" s="3" t="str">
        <f aca="false">Raw_Data!C2365</f>
        <v>divorced</v>
      </c>
      <c r="E2365" s="3" t="str">
        <f aca="false">Raw_Data!D2365</f>
        <v>tertiary</v>
      </c>
      <c r="F2365" s="3" t="str">
        <f aca="false">Raw_Data!E2365</f>
        <v>no</v>
      </c>
      <c r="G2365" s="3" t="n">
        <f aca="false">Raw_Data!F2365</f>
        <v>659</v>
      </c>
      <c r="H2365" s="3" t="str">
        <f aca="false">Raw_Data!G2365</f>
        <v>no</v>
      </c>
      <c r="I2365" s="3" t="str">
        <f aca="false">Raw_Data!H2365</f>
        <v>yes</v>
      </c>
      <c r="J2365" s="2" t="n">
        <f aca="false">IF(F2365="yes",1,0)</f>
        <v>0</v>
      </c>
      <c r="K2365" s="2" t="n">
        <f aca="false">IF(H2365="yes",1,0)</f>
        <v>0</v>
      </c>
      <c r="L2365" s="2" t="n">
        <f aca="false">IF(I2365="yes",1,0)</f>
        <v>1</v>
      </c>
      <c r="M2365" s="2" t="n">
        <f aca="false">IF(G2365&lt;0,1,0)</f>
        <v>0</v>
      </c>
      <c r="N2365" s="2" t="str">
        <f aca="false">_xlfn.IFS(B2365&lt;30,"Under 30",B2365&lt;40,"30-39",B2365&lt;50,"40-49",B2365&lt;60,"50-59",TRUE(),"60+")</f>
        <v>50-59</v>
      </c>
      <c r="O2365" s="2" t="str">
        <f aca="false">_xlfn.IFS(G2365&lt;0,"1 Negative",G2365=0,"2 Zero",G2365&lt;=500,"3 1-500",G2365&lt;=2000,"4 501-2000",TRUE(),"5 Above 2000")</f>
        <v>4 501-2000</v>
      </c>
      <c r="P2365" s="2" t="n">
        <f aca="false">Lookups!$B$2*M2365+Lookups!$B$3*L2365</f>
        <v>1</v>
      </c>
      <c r="Q2365" s="2" t="str">
        <f aca="false">INDEX(Lookups!$E$2:$E$5,MATCH(P2365,Lookups!$D$2:$D$5,0))</f>
        <v>Medium</v>
      </c>
    </row>
    <row r="2366" customFormat="false" ht="15" hidden="false" customHeight="false" outlineLevel="0" collapsed="false">
      <c r="A2366" s="3" t="n">
        <v>2365</v>
      </c>
      <c r="B2366" s="3" t="n">
        <f aca="false">Raw_Data!A2366</f>
        <v>34</v>
      </c>
      <c r="C2366" s="3" t="str">
        <f aca="false">SUBSTITUTE(Raw_Data!B2366,".","")</f>
        <v>blue-collar</v>
      </c>
      <c r="D2366" s="3" t="str">
        <f aca="false">Raw_Data!C2366</f>
        <v>married</v>
      </c>
      <c r="E2366" s="3" t="str">
        <f aca="false">Raw_Data!D2366</f>
        <v>secondary</v>
      </c>
      <c r="F2366" s="3" t="str">
        <f aca="false">Raw_Data!E2366</f>
        <v>no</v>
      </c>
      <c r="G2366" s="3" t="n">
        <f aca="false">Raw_Data!F2366</f>
        <v>393</v>
      </c>
      <c r="H2366" s="3" t="str">
        <f aca="false">Raw_Data!G2366</f>
        <v>yes</v>
      </c>
      <c r="I2366" s="3" t="str">
        <f aca="false">Raw_Data!H2366</f>
        <v>no</v>
      </c>
      <c r="J2366" s="2" t="n">
        <f aca="false">IF(F2366="yes",1,0)</f>
        <v>0</v>
      </c>
      <c r="K2366" s="2" t="n">
        <f aca="false">IF(H2366="yes",1,0)</f>
        <v>1</v>
      </c>
      <c r="L2366" s="2" t="n">
        <f aca="false">IF(I2366="yes",1,0)</f>
        <v>0</v>
      </c>
      <c r="M2366" s="2" t="n">
        <f aca="false">IF(G2366&lt;0,1,0)</f>
        <v>0</v>
      </c>
      <c r="N2366" s="2" t="str">
        <f aca="false">_xlfn.IFS(B2366&lt;30,"Under 30",B2366&lt;40,"30-39",B2366&lt;50,"40-49",B2366&lt;60,"50-59",TRUE(),"60+")</f>
        <v>30-39</v>
      </c>
      <c r="O2366" s="2" t="str">
        <f aca="false">_xlfn.IFS(G2366&lt;0,"1 Negative",G2366=0,"2 Zero",G2366&lt;=500,"3 1-500",G2366&lt;=2000,"4 501-2000",TRUE(),"5 Above 2000")</f>
        <v>3 1-500</v>
      </c>
      <c r="P2366" s="2" t="n">
        <f aca="false">Lookups!$B$2*M2366+Lookups!$B$3*L2366</f>
        <v>0</v>
      </c>
      <c r="Q2366" s="2" t="str">
        <f aca="false">INDEX(Lookups!$E$2:$E$5,MATCH(P2366,Lookups!$D$2:$D$5,0))</f>
        <v>Low</v>
      </c>
    </row>
    <row r="2367" customFormat="false" ht="15" hidden="false" customHeight="false" outlineLevel="0" collapsed="false">
      <c r="A2367" s="3" t="n">
        <v>2366</v>
      </c>
      <c r="B2367" s="3" t="n">
        <f aca="false">Raw_Data!A2367</f>
        <v>33</v>
      </c>
      <c r="C2367" s="3" t="str">
        <f aca="false">SUBSTITUTE(Raw_Data!B2367,".","")</f>
        <v>admin</v>
      </c>
      <c r="D2367" s="3" t="str">
        <f aca="false">Raw_Data!C2367</f>
        <v>divorced</v>
      </c>
      <c r="E2367" s="3" t="str">
        <f aca="false">Raw_Data!D2367</f>
        <v>secondary</v>
      </c>
      <c r="F2367" s="3" t="str">
        <f aca="false">Raw_Data!E2367</f>
        <v>no</v>
      </c>
      <c r="G2367" s="3" t="n">
        <f aca="false">Raw_Data!F2367</f>
        <v>661</v>
      </c>
      <c r="H2367" s="3" t="str">
        <f aca="false">Raw_Data!G2367</f>
        <v>yes</v>
      </c>
      <c r="I2367" s="3" t="str">
        <f aca="false">Raw_Data!H2367</f>
        <v>no</v>
      </c>
      <c r="J2367" s="2" t="n">
        <f aca="false">IF(F2367="yes",1,0)</f>
        <v>0</v>
      </c>
      <c r="K2367" s="2" t="n">
        <f aca="false">IF(H2367="yes",1,0)</f>
        <v>1</v>
      </c>
      <c r="L2367" s="2" t="n">
        <f aca="false">IF(I2367="yes",1,0)</f>
        <v>0</v>
      </c>
      <c r="M2367" s="2" t="n">
        <f aca="false">IF(G2367&lt;0,1,0)</f>
        <v>0</v>
      </c>
      <c r="N2367" s="2" t="str">
        <f aca="false">_xlfn.IFS(B2367&lt;30,"Under 30",B2367&lt;40,"30-39",B2367&lt;50,"40-49",B2367&lt;60,"50-59",TRUE(),"60+")</f>
        <v>30-39</v>
      </c>
      <c r="O2367" s="2" t="str">
        <f aca="false">_xlfn.IFS(G2367&lt;0,"1 Negative",G2367=0,"2 Zero",G2367&lt;=500,"3 1-500",G2367&lt;=2000,"4 501-2000",TRUE(),"5 Above 2000")</f>
        <v>4 501-2000</v>
      </c>
      <c r="P2367" s="2" t="n">
        <f aca="false">Lookups!$B$2*M2367+Lookups!$B$3*L2367</f>
        <v>0</v>
      </c>
      <c r="Q2367" s="2" t="str">
        <f aca="false">INDEX(Lookups!$E$2:$E$5,MATCH(P2367,Lookups!$D$2:$D$5,0))</f>
        <v>Low</v>
      </c>
    </row>
    <row r="2368" customFormat="false" ht="15" hidden="false" customHeight="false" outlineLevel="0" collapsed="false">
      <c r="A2368" s="3" t="n">
        <v>2367</v>
      </c>
      <c r="B2368" s="3" t="n">
        <f aca="false">Raw_Data!A2368</f>
        <v>26</v>
      </c>
      <c r="C2368" s="3" t="str">
        <f aca="false">SUBSTITUTE(Raw_Data!B2368,".","")</f>
        <v>services</v>
      </c>
      <c r="D2368" s="3" t="str">
        <f aca="false">Raw_Data!C2368</f>
        <v>single</v>
      </c>
      <c r="E2368" s="3" t="str">
        <f aca="false">Raw_Data!D2368</f>
        <v>secondary</v>
      </c>
      <c r="F2368" s="3" t="str">
        <f aca="false">Raw_Data!E2368</f>
        <v>no</v>
      </c>
      <c r="G2368" s="3" t="n">
        <f aca="false">Raw_Data!F2368</f>
        <v>0</v>
      </c>
      <c r="H2368" s="3" t="str">
        <f aca="false">Raw_Data!G2368</f>
        <v>no</v>
      </c>
      <c r="I2368" s="3" t="str">
        <f aca="false">Raw_Data!H2368</f>
        <v>no</v>
      </c>
      <c r="J2368" s="2" t="n">
        <f aca="false">IF(F2368="yes",1,0)</f>
        <v>0</v>
      </c>
      <c r="K2368" s="2" t="n">
        <f aca="false">IF(H2368="yes",1,0)</f>
        <v>0</v>
      </c>
      <c r="L2368" s="2" t="n">
        <f aca="false">IF(I2368="yes",1,0)</f>
        <v>0</v>
      </c>
      <c r="M2368" s="2" t="n">
        <f aca="false">IF(G2368&lt;0,1,0)</f>
        <v>0</v>
      </c>
      <c r="N2368" s="2" t="str">
        <f aca="false">_xlfn.IFS(B2368&lt;30,"Under 30",B2368&lt;40,"30-39",B2368&lt;50,"40-49",B2368&lt;60,"50-59",TRUE(),"60+")</f>
        <v>Under 30</v>
      </c>
      <c r="O2368" s="2" t="str">
        <f aca="false">_xlfn.IFS(G2368&lt;0,"1 Negative",G2368=0,"2 Zero",G2368&lt;=500,"3 1-500",G2368&lt;=2000,"4 501-2000",TRUE(),"5 Above 2000")</f>
        <v>2 Zero</v>
      </c>
      <c r="P2368" s="2" t="n">
        <f aca="false">Lookups!$B$2*M2368+Lookups!$B$3*L2368</f>
        <v>0</v>
      </c>
      <c r="Q2368" s="2" t="str">
        <f aca="false">INDEX(Lookups!$E$2:$E$5,MATCH(P2368,Lookups!$D$2:$D$5,0))</f>
        <v>Low</v>
      </c>
    </row>
    <row r="2369" customFormat="false" ht="15" hidden="false" customHeight="false" outlineLevel="0" collapsed="false">
      <c r="A2369" s="3" t="n">
        <v>2368</v>
      </c>
      <c r="B2369" s="3" t="n">
        <f aca="false">Raw_Data!A2369</f>
        <v>40</v>
      </c>
      <c r="C2369" s="3" t="str">
        <f aca="false">SUBSTITUTE(Raw_Data!B2369,".","")</f>
        <v>management</v>
      </c>
      <c r="D2369" s="3" t="str">
        <f aca="false">Raw_Data!C2369</f>
        <v>single</v>
      </c>
      <c r="E2369" s="3" t="str">
        <f aca="false">Raw_Data!D2369</f>
        <v>unknown</v>
      </c>
      <c r="F2369" s="3" t="str">
        <f aca="false">Raw_Data!E2369</f>
        <v>no</v>
      </c>
      <c r="G2369" s="3" t="n">
        <f aca="false">Raw_Data!F2369</f>
        <v>838</v>
      </c>
      <c r="H2369" s="3" t="str">
        <f aca="false">Raw_Data!G2369</f>
        <v>yes</v>
      </c>
      <c r="I2369" s="3" t="str">
        <f aca="false">Raw_Data!H2369</f>
        <v>no</v>
      </c>
      <c r="J2369" s="2" t="n">
        <f aca="false">IF(F2369="yes",1,0)</f>
        <v>0</v>
      </c>
      <c r="K2369" s="2" t="n">
        <f aca="false">IF(H2369="yes",1,0)</f>
        <v>1</v>
      </c>
      <c r="L2369" s="2" t="n">
        <f aca="false">IF(I2369="yes",1,0)</f>
        <v>0</v>
      </c>
      <c r="M2369" s="2" t="n">
        <f aca="false">IF(G2369&lt;0,1,0)</f>
        <v>0</v>
      </c>
      <c r="N2369" s="2" t="str">
        <f aca="false">_xlfn.IFS(B2369&lt;30,"Under 30",B2369&lt;40,"30-39",B2369&lt;50,"40-49",B2369&lt;60,"50-59",TRUE(),"60+")</f>
        <v>40-49</v>
      </c>
      <c r="O2369" s="2" t="str">
        <f aca="false">_xlfn.IFS(G2369&lt;0,"1 Negative",G2369=0,"2 Zero",G2369&lt;=500,"3 1-500",G2369&lt;=2000,"4 501-2000",TRUE(),"5 Above 2000")</f>
        <v>4 501-2000</v>
      </c>
      <c r="P2369" s="2" t="n">
        <f aca="false">Lookups!$B$2*M2369+Lookups!$B$3*L2369</f>
        <v>0</v>
      </c>
      <c r="Q2369" s="2" t="str">
        <f aca="false">INDEX(Lookups!$E$2:$E$5,MATCH(P2369,Lookups!$D$2:$D$5,0))</f>
        <v>Low</v>
      </c>
    </row>
    <row r="2370" customFormat="false" ht="15" hidden="false" customHeight="false" outlineLevel="0" collapsed="false">
      <c r="A2370" s="3" t="n">
        <v>2369</v>
      </c>
      <c r="B2370" s="3" t="n">
        <f aca="false">Raw_Data!A2370</f>
        <v>35</v>
      </c>
      <c r="C2370" s="3" t="str">
        <f aca="false">SUBSTITUTE(Raw_Data!B2370,".","")</f>
        <v>services</v>
      </c>
      <c r="D2370" s="3" t="str">
        <f aca="false">Raw_Data!C2370</f>
        <v>married</v>
      </c>
      <c r="E2370" s="3" t="str">
        <f aca="false">Raw_Data!D2370</f>
        <v>secondary</v>
      </c>
      <c r="F2370" s="3" t="str">
        <f aca="false">Raw_Data!E2370</f>
        <v>no</v>
      </c>
      <c r="G2370" s="3" t="n">
        <f aca="false">Raw_Data!F2370</f>
        <v>195</v>
      </c>
      <c r="H2370" s="3" t="str">
        <f aca="false">Raw_Data!G2370</f>
        <v>yes</v>
      </c>
      <c r="I2370" s="3" t="str">
        <f aca="false">Raw_Data!H2370</f>
        <v>no</v>
      </c>
      <c r="J2370" s="2" t="n">
        <f aca="false">IF(F2370="yes",1,0)</f>
        <v>0</v>
      </c>
      <c r="K2370" s="2" t="n">
        <f aca="false">IF(H2370="yes",1,0)</f>
        <v>1</v>
      </c>
      <c r="L2370" s="2" t="n">
        <f aca="false">IF(I2370="yes",1,0)</f>
        <v>0</v>
      </c>
      <c r="M2370" s="2" t="n">
        <f aca="false">IF(G2370&lt;0,1,0)</f>
        <v>0</v>
      </c>
      <c r="N2370" s="2" t="str">
        <f aca="false">_xlfn.IFS(B2370&lt;30,"Under 30",B2370&lt;40,"30-39",B2370&lt;50,"40-49",B2370&lt;60,"50-59",TRUE(),"60+")</f>
        <v>30-39</v>
      </c>
      <c r="O2370" s="2" t="str">
        <f aca="false">_xlfn.IFS(G2370&lt;0,"1 Negative",G2370=0,"2 Zero",G2370&lt;=500,"3 1-500",G2370&lt;=2000,"4 501-2000",TRUE(),"5 Above 2000")</f>
        <v>3 1-500</v>
      </c>
      <c r="P2370" s="2" t="n">
        <f aca="false">Lookups!$B$2*M2370+Lookups!$B$3*L2370</f>
        <v>0</v>
      </c>
      <c r="Q2370" s="2" t="str">
        <f aca="false">INDEX(Lookups!$E$2:$E$5,MATCH(P2370,Lookups!$D$2:$D$5,0))</f>
        <v>Low</v>
      </c>
    </row>
    <row r="2371" customFormat="false" ht="15" hidden="false" customHeight="false" outlineLevel="0" collapsed="false">
      <c r="A2371" s="3" t="n">
        <v>2370</v>
      </c>
      <c r="B2371" s="3" t="n">
        <f aca="false">Raw_Data!A2371</f>
        <v>45</v>
      </c>
      <c r="C2371" s="3" t="str">
        <f aca="false">SUBSTITUTE(Raw_Data!B2371,".","")</f>
        <v>entrepreneur</v>
      </c>
      <c r="D2371" s="3" t="str">
        <f aca="false">Raw_Data!C2371</f>
        <v>married</v>
      </c>
      <c r="E2371" s="3" t="str">
        <f aca="false">Raw_Data!D2371</f>
        <v>secondary</v>
      </c>
      <c r="F2371" s="3" t="str">
        <f aca="false">Raw_Data!E2371</f>
        <v>no</v>
      </c>
      <c r="G2371" s="3" t="n">
        <f aca="false">Raw_Data!F2371</f>
        <v>68</v>
      </c>
      <c r="H2371" s="3" t="str">
        <f aca="false">Raw_Data!G2371</f>
        <v>yes</v>
      </c>
      <c r="I2371" s="3" t="str">
        <f aca="false">Raw_Data!H2371</f>
        <v>no</v>
      </c>
      <c r="J2371" s="2" t="n">
        <f aca="false">IF(F2371="yes",1,0)</f>
        <v>0</v>
      </c>
      <c r="K2371" s="2" t="n">
        <f aca="false">IF(H2371="yes",1,0)</f>
        <v>1</v>
      </c>
      <c r="L2371" s="2" t="n">
        <f aca="false">IF(I2371="yes",1,0)</f>
        <v>0</v>
      </c>
      <c r="M2371" s="2" t="n">
        <f aca="false">IF(G2371&lt;0,1,0)</f>
        <v>0</v>
      </c>
      <c r="N2371" s="2" t="str">
        <f aca="false">_xlfn.IFS(B2371&lt;30,"Under 30",B2371&lt;40,"30-39",B2371&lt;50,"40-49",B2371&lt;60,"50-59",TRUE(),"60+")</f>
        <v>40-49</v>
      </c>
      <c r="O2371" s="2" t="str">
        <f aca="false">_xlfn.IFS(G2371&lt;0,"1 Negative",G2371=0,"2 Zero",G2371&lt;=500,"3 1-500",G2371&lt;=2000,"4 501-2000",TRUE(),"5 Above 2000")</f>
        <v>3 1-500</v>
      </c>
      <c r="P2371" s="2" t="n">
        <f aca="false">Lookups!$B$2*M2371+Lookups!$B$3*L2371</f>
        <v>0</v>
      </c>
      <c r="Q2371" s="2" t="str">
        <f aca="false">INDEX(Lookups!$E$2:$E$5,MATCH(P2371,Lookups!$D$2:$D$5,0))</f>
        <v>Low</v>
      </c>
    </row>
    <row r="2372" customFormat="false" ht="15" hidden="false" customHeight="false" outlineLevel="0" collapsed="false">
      <c r="A2372" s="3" t="n">
        <v>2371</v>
      </c>
      <c r="B2372" s="3" t="n">
        <f aca="false">Raw_Data!A2372</f>
        <v>37</v>
      </c>
      <c r="C2372" s="3" t="str">
        <f aca="false">SUBSTITUTE(Raw_Data!B2372,".","")</f>
        <v>technician</v>
      </c>
      <c r="D2372" s="3" t="str">
        <f aca="false">Raw_Data!C2372</f>
        <v>single</v>
      </c>
      <c r="E2372" s="3" t="str">
        <f aca="false">Raw_Data!D2372</f>
        <v>secondary</v>
      </c>
      <c r="F2372" s="3" t="str">
        <f aca="false">Raw_Data!E2372</f>
        <v>no</v>
      </c>
      <c r="G2372" s="3" t="n">
        <f aca="false">Raw_Data!F2372</f>
        <v>-242</v>
      </c>
      <c r="H2372" s="3" t="str">
        <f aca="false">Raw_Data!G2372</f>
        <v>yes</v>
      </c>
      <c r="I2372" s="3" t="str">
        <f aca="false">Raw_Data!H2372</f>
        <v>no</v>
      </c>
      <c r="J2372" s="2" t="n">
        <f aca="false">IF(F2372="yes",1,0)</f>
        <v>0</v>
      </c>
      <c r="K2372" s="2" t="n">
        <f aca="false">IF(H2372="yes",1,0)</f>
        <v>1</v>
      </c>
      <c r="L2372" s="2" t="n">
        <f aca="false">IF(I2372="yes",1,0)</f>
        <v>0</v>
      </c>
      <c r="M2372" s="2" t="n">
        <f aca="false">IF(G2372&lt;0,1,0)</f>
        <v>1</v>
      </c>
      <c r="N2372" s="2" t="str">
        <f aca="false">_xlfn.IFS(B2372&lt;30,"Under 30",B2372&lt;40,"30-39",B2372&lt;50,"40-49",B2372&lt;60,"50-59",TRUE(),"60+")</f>
        <v>30-39</v>
      </c>
      <c r="O2372" s="2" t="str">
        <f aca="false">_xlfn.IFS(G2372&lt;0,"1 Negative",G2372=0,"2 Zero",G2372&lt;=500,"3 1-500",G2372&lt;=2000,"4 501-2000",TRUE(),"5 Above 2000")</f>
        <v>1 Negative</v>
      </c>
      <c r="P2372" s="2" t="n">
        <f aca="false">Lookups!$B$2*M2372+Lookups!$B$3*L2372</f>
        <v>2</v>
      </c>
      <c r="Q2372" s="2" t="str">
        <f aca="false">INDEX(Lookups!$E$2:$E$5,MATCH(P2372,Lookups!$D$2:$D$5,0))</f>
        <v>High</v>
      </c>
    </row>
    <row r="2373" customFormat="false" ht="15" hidden="false" customHeight="false" outlineLevel="0" collapsed="false">
      <c r="A2373" s="3" t="n">
        <v>2372</v>
      </c>
      <c r="B2373" s="3" t="n">
        <f aca="false">Raw_Data!A2373</f>
        <v>35</v>
      </c>
      <c r="C2373" s="3" t="str">
        <f aca="false">SUBSTITUTE(Raw_Data!B2373,".","")</f>
        <v>management</v>
      </c>
      <c r="D2373" s="3" t="str">
        <f aca="false">Raw_Data!C2373</f>
        <v>divorced</v>
      </c>
      <c r="E2373" s="3" t="str">
        <f aca="false">Raw_Data!D2373</f>
        <v>tertiary</v>
      </c>
      <c r="F2373" s="3" t="str">
        <f aca="false">Raw_Data!E2373</f>
        <v>no</v>
      </c>
      <c r="G2373" s="3" t="n">
        <f aca="false">Raw_Data!F2373</f>
        <v>321</v>
      </c>
      <c r="H2373" s="3" t="str">
        <f aca="false">Raw_Data!G2373</f>
        <v>yes</v>
      </c>
      <c r="I2373" s="3" t="str">
        <f aca="false">Raw_Data!H2373</f>
        <v>no</v>
      </c>
      <c r="J2373" s="2" t="n">
        <f aca="false">IF(F2373="yes",1,0)</f>
        <v>0</v>
      </c>
      <c r="K2373" s="2" t="n">
        <f aca="false">IF(H2373="yes",1,0)</f>
        <v>1</v>
      </c>
      <c r="L2373" s="2" t="n">
        <f aca="false">IF(I2373="yes",1,0)</f>
        <v>0</v>
      </c>
      <c r="M2373" s="2" t="n">
        <f aca="false">IF(G2373&lt;0,1,0)</f>
        <v>0</v>
      </c>
      <c r="N2373" s="2" t="str">
        <f aca="false">_xlfn.IFS(B2373&lt;30,"Under 30",B2373&lt;40,"30-39",B2373&lt;50,"40-49",B2373&lt;60,"50-59",TRUE(),"60+")</f>
        <v>30-39</v>
      </c>
      <c r="O2373" s="2" t="str">
        <f aca="false">_xlfn.IFS(G2373&lt;0,"1 Negative",G2373=0,"2 Zero",G2373&lt;=500,"3 1-500",G2373&lt;=2000,"4 501-2000",TRUE(),"5 Above 2000")</f>
        <v>3 1-500</v>
      </c>
      <c r="P2373" s="2" t="n">
        <f aca="false">Lookups!$B$2*M2373+Lookups!$B$3*L2373</f>
        <v>0</v>
      </c>
      <c r="Q2373" s="2" t="str">
        <f aca="false">INDEX(Lookups!$E$2:$E$5,MATCH(P2373,Lookups!$D$2:$D$5,0))</f>
        <v>Low</v>
      </c>
    </row>
    <row r="2374" customFormat="false" ht="15" hidden="false" customHeight="false" outlineLevel="0" collapsed="false">
      <c r="A2374" s="3" t="n">
        <v>2373</v>
      </c>
      <c r="B2374" s="3" t="n">
        <f aca="false">Raw_Data!A2374</f>
        <v>43</v>
      </c>
      <c r="C2374" s="3" t="str">
        <f aca="false">SUBSTITUTE(Raw_Data!B2374,".","")</f>
        <v>services</v>
      </c>
      <c r="D2374" s="3" t="str">
        <f aca="false">Raw_Data!C2374</f>
        <v>single</v>
      </c>
      <c r="E2374" s="3" t="str">
        <f aca="false">Raw_Data!D2374</f>
        <v>secondary</v>
      </c>
      <c r="F2374" s="3" t="str">
        <f aca="false">Raw_Data!E2374</f>
        <v>no</v>
      </c>
      <c r="G2374" s="3" t="n">
        <f aca="false">Raw_Data!F2374</f>
        <v>3403</v>
      </c>
      <c r="H2374" s="3" t="str">
        <f aca="false">Raw_Data!G2374</f>
        <v>yes</v>
      </c>
      <c r="I2374" s="3" t="str">
        <f aca="false">Raw_Data!H2374</f>
        <v>no</v>
      </c>
      <c r="J2374" s="2" t="n">
        <f aca="false">IF(F2374="yes",1,0)</f>
        <v>0</v>
      </c>
      <c r="K2374" s="2" t="n">
        <f aca="false">IF(H2374="yes",1,0)</f>
        <v>1</v>
      </c>
      <c r="L2374" s="2" t="n">
        <f aca="false">IF(I2374="yes",1,0)</f>
        <v>0</v>
      </c>
      <c r="M2374" s="2" t="n">
        <f aca="false">IF(G2374&lt;0,1,0)</f>
        <v>0</v>
      </c>
      <c r="N2374" s="2" t="str">
        <f aca="false">_xlfn.IFS(B2374&lt;30,"Under 30",B2374&lt;40,"30-39",B2374&lt;50,"40-49",B2374&lt;60,"50-59",TRUE(),"60+")</f>
        <v>40-49</v>
      </c>
      <c r="O2374" s="2" t="str">
        <f aca="false">_xlfn.IFS(G2374&lt;0,"1 Negative",G2374=0,"2 Zero",G2374&lt;=500,"3 1-500",G2374&lt;=2000,"4 501-2000",TRUE(),"5 Above 2000")</f>
        <v>5 Above 2000</v>
      </c>
      <c r="P2374" s="2" t="n">
        <f aca="false">Lookups!$B$2*M2374+Lookups!$B$3*L2374</f>
        <v>0</v>
      </c>
      <c r="Q2374" s="2" t="str">
        <f aca="false">INDEX(Lookups!$E$2:$E$5,MATCH(P2374,Lookups!$D$2:$D$5,0))</f>
        <v>Low</v>
      </c>
    </row>
    <row r="2375" customFormat="false" ht="15" hidden="false" customHeight="false" outlineLevel="0" collapsed="false">
      <c r="A2375" s="3" t="n">
        <v>2374</v>
      </c>
      <c r="B2375" s="3" t="n">
        <f aca="false">Raw_Data!A2375</f>
        <v>28</v>
      </c>
      <c r="C2375" s="3" t="str">
        <f aca="false">SUBSTITUTE(Raw_Data!B2375,".","")</f>
        <v>blue-collar</v>
      </c>
      <c r="D2375" s="3" t="str">
        <f aca="false">Raw_Data!C2375</f>
        <v>married</v>
      </c>
      <c r="E2375" s="3" t="str">
        <f aca="false">Raw_Data!D2375</f>
        <v>secondary</v>
      </c>
      <c r="F2375" s="3" t="str">
        <f aca="false">Raw_Data!E2375</f>
        <v>no</v>
      </c>
      <c r="G2375" s="3" t="n">
        <f aca="false">Raw_Data!F2375</f>
        <v>8</v>
      </c>
      <c r="H2375" s="3" t="str">
        <f aca="false">Raw_Data!G2375</f>
        <v>yes</v>
      </c>
      <c r="I2375" s="3" t="str">
        <f aca="false">Raw_Data!H2375</f>
        <v>no</v>
      </c>
      <c r="J2375" s="2" t="n">
        <f aca="false">IF(F2375="yes",1,0)</f>
        <v>0</v>
      </c>
      <c r="K2375" s="2" t="n">
        <f aca="false">IF(H2375="yes",1,0)</f>
        <v>1</v>
      </c>
      <c r="L2375" s="2" t="n">
        <f aca="false">IF(I2375="yes",1,0)</f>
        <v>0</v>
      </c>
      <c r="M2375" s="2" t="n">
        <f aca="false">IF(G2375&lt;0,1,0)</f>
        <v>0</v>
      </c>
      <c r="N2375" s="2" t="str">
        <f aca="false">_xlfn.IFS(B2375&lt;30,"Under 30",B2375&lt;40,"30-39",B2375&lt;50,"40-49",B2375&lt;60,"50-59",TRUE(),"60+")</f>
        <v>Under 30</v>
      </c>
      <c r="O2375" s="2" t="str">
        <f aca="false">_xlfn.IFS(G2375&lt;0,"1 Negative",G2375=0,"2 Zero",G2375&lt;=500,"3 1-500",G2375&lt;=2000,"4 501-2000",TRUE(),"5 Above 2000")</f>
        <v>3 1-500</v>
      </c>
      <c r="P2375" s="2" t="n">
        <f aca="false">Lookups!$B$2*M2375+Lookups!$B$3*L2375</f>
        <v>0</v>
      </c>
      <c r="Q2375" s="2" t="str">
        <f aca="false">INDEX(Lookups!$E$2:$E$5,MATCH(P2375,Lookups!$D$2:$D$5,0))</f>
        <v>Low</v>
      </c>
    </row>
    <row r="2376" customFormat="false" ht="15" hidden="false" customHeight="false" outlineLevel="0" collapsed="false">
      <c r="A2376" s="3" t="n">
        <v>2375</v>
      </c>
      <c r="B2376" s="3" t="n">
        <f aca="false">Raw_Data!A2376</f>
        <v>32</v>
      </c>
      <c r="C2376" s="3" t="str">
        <f aca="false">SUBSTITUTE(Raw_Data!B2376,".","")</f>
        <v>blue-collar</v>
      </c>
      <c r="D2376" s="3" t="str">
        <f aca="false">Raw_Data!C2376</f>
        <v>divorced</v>
      </c>
      <c r="E2376" s="3" t="str">
        <f aca="false">Raw_Data!D2376</f>
        <v>secondary</v>
      </c>
      <c r="F2376" s="3" t="str">
        <f aca="false">Raw_Data!E2376</f>
        <v>no</v>
      </c>
      <c r="G2376" s="3" t="n">
        <f aca="false">Raw_Data!F2376</f>
        <v>739</v>
      </c>
      <c r="H2376" s="3" t="str">
        <f aca="false">Raw_Data!G2376</f>
        <v>yes</v>
      </c>
      <c r="I2376" s="3" t="str">
        <f aca="false">Raw_Data!H2376</f>
        <v>no</v>
      </c>
      <c r="J2376" s="2" t="n">
        <f aca="false">IF(F2376="yes",1,0)</f>
        <v>0</v>
      </c>
      <c r="K2376" s="2" t="n">
        <f aca="false">IF(H2376="yes",1,0)</f>
        <v>1</v>
      </c>
      <c r="L2376" s="2" t="n">
        <f aca="false">IF(I2376="yes",1,0)</f>
        <v>0</v>
      </c>
      <c r="M2376" s="2" t="n">
        <f aca="false">IF(G2376&lt;0,1,0)</f>
        <v>0</v>
      </c>
      <c r="N2376" s="2" t="str">
        <f aca="false">_xlfn.IFS(B2376&lt;30,"Under 30",B2376&lt;40,"30-39",B2376&lt;50,"40-49",B2376&lt;60,"50-59",TRUE(),"60+")</f>
        <v>30-39</v>
      </c>
      <c r="O2376" s="2" t="str">
        <f aca="false">_xlfn.IFS(G2376&lt;0,"1 Negative",G2376=0,"2 Zero",G2376&lt;=500,"3 1-500",G2376&lt;=2000,"4 501-2000",TRUE(),"5 Above 2000")</f>
        <v>4 501-2000</v>
      </c>
      <c r="P2376" s="2" t="n">
        <f aca="false">Lookups!$B$2*M2376+Lookups!$B$3*L2376</f>
        <v>0</v>
      </c>
      <c r="Q2376" s="2" t="str">
        <f aca="false">INDEX(Lookups!$E$2:$E$5,MATCH(P2376,Lookups!$D$2:$D$5,0))</f>
        <v>Low</v>
      </c>
    </row>
    <row r="2377" customFormat="false" ht="15" hidden="false" customHeight="false" outlineLevel="0" collapsed="false">
      <c r="A2377" s="3" t="n">
        <v>2376</v>
      </c>
      <c r="B2377" s="3" t="n">
        <f aca="false">Raw_Data!A2377</f>
        <v>26</v>
      </c>
      <c r="C2377" s="3" t="str">
        <f aca="false">SUBSTITUTE(Raw_Data!B2377,".","")</f>
        <v>unemployed</v>
      </c>
      <c r="D2377" s="3" t="str">
        <f aca="false">Raw_Data!C2377</f>
        <v>single</v>
      </c>
      <c r="E2377" s="3" t="str">
        <f aca="false">Raw_Data!D2377</f>
        <v>secondary</v>
      </c>
      <c r="F2377" s="3" t="str">
        <f aca="false">Raw_Data!E2377</f>
        <v>no</v>
      </c>
      <c r="G2377" s="3" t="n">
        <f aca="false">Raw_Data!F2377</f>
        <v>622</v>
      </c>
      <c r="H2377" s="3" t="str">
        <f aca="false">Raw_Data!G2377</f>
        <v>no</v>
      </c>
      <c r="I2377" s="3" t="str">
        <f aca="false">Raw_Data!H2377</f>
        <v>no</v>
      </c>
      <c r="J2377" s="2" t="n">
        <f aca="false">IF(F2377="yes",1,0)</f>
        <v>0</v>
      </c>
      <c r="K2377" s="2" t="n">
        <f aca="false">IF(H2377="yes",1,0)</f>
        <v>0</v>
      </c>
      <c r="L2377" s="2" t="n">
        <f aca="false">IF(I2377="yes",1,0)</f>
        <v>0</v>
      </c>
      <c r="M2377" s="2" t="n">
        <f aca="false">IF(G2377&lt;0,1,0)</f>
        <v>0</v>
      </c>
      <c r="N2377" s="2" t="str">
        <f aca="false">_xlfn.IFS(B2377&lt;30,"Under 30",B2377&lt;40,"30-39",B2377&lt;50,"40-49",B2377&lt;60,"50-59",TRUE(),"60+")</f>
        <v>Under 30</v>
      </c>
      <c r="O2377" s="2" t="str">
        <f aca="false">_xlfn.IFS(G2377&lt;0,"1 Negative",G2377=0,"2 Zero",G2377&lt;=500,"3 1-500",G2377&lt;=2000,"4 501-2000",TRUE(),"5 Above 2000")</f>
        <v>4 501-2000</v>
      </c>
      <c r="P2377" s="2" t="n">
        <f aca="false">Lookups!$B$2*M2377+Lookups!$B$3*L2377</f>
        <v>0</v>
      </c>
      <c r="Q2377" s="2" t="str">
        <f aca="false">INDEX(Lookups!$E$2:$E$5,MATCH(P2377,Lookups!$D$2:$D$5,0))</f>
        <v>Low</v>
      </c>
    </row>
    <row r="2378" customFormat="false" ht="15" hidden="false" customHeight="false" outlineLevel="0" collapsed="false">
      <c r="A2378" s="3" t="n">
        <v>2377</v>
      </c>
      <c r="B2378" s="3" t="n">
        <f aca="false">Raw_Data!A2378</f>
        <v>35</v>
      </c>
      <c r="C2378" s="3" t="str">
        <f aca="false">SUBSTITUTE(Raw_Data!B2378,".","")</f>
        <v>services</v>
      </c>
      <c r="D2378" s="3" t="str">
        <f aca="false">Raw_Data!C2378</f>
        <v>married</v>
      </c>
      <c r="E2378" s="3" t="str">
        <f aca="false">Raw_Data!D2378</f>
        <v>secondary</v>
      </c>
      <c r="F2378" s="3" t="str">
        <f aca="false">Raw_Data!E2378</f>
        <v>no</v>
      </c>
      <c r="G2378" s="3" t="n">
        <f aca="false">Raw_Data!F2378</f>
        <v>152</v>
      </c>
      <c r="H2378" s="3" t="str">
        <f aca="false">Raw_Data!G2378</f>
        <v>yes</v>
      </c>
      <c r="I2378" s="3" t="str">
        <f aca="false">Raw_Data!H2378</f>
        <v>no</v>
      </c>
      <c r="J2378" s="2" t="n">
        <f aca="false">IF(F2378="yes",1,0)</f>
        <v>0</v>
      </c>
      <c r="K2378" s="2" t="n">
        <f aca="false">IF(H2378="yes",1,0)</f>
        <v>1</v>
      </c>
      <c r="L2378" s="2" t="n">
        <f aca="false">IF(I2378="yes",1,0)</f>
        <v>0</v>
      </c>
      <c r="M2378" s="2" t="n">
        <f aca="false">IF(G2378&lt;0,1,0)</f>
        <v>0</v>
      </c>
      <c r="N2378" s="2" t="str">
        <f aca="false">_xlfn.IFS(B2378&lt;30,"Under 30",B2378&lt;40,"30-39",B2378&lt;50,"40-49",B2378&lt;60,"50-59",TRUE(),"60+")</f>
        <v>30-39</v>
      </c>
      <c r="O2378" s="2" t="str">
        <f aca="false">_xlfn.IFS(G2378&lt;0,"1 Negative",G2378=0,"2 Zero",G2378&lt;=500,"3 1-500",G2378&lt;=2000,"4 501-2000",TRUE(),"5 Above 2000")</f>
        <v>3 1-500</v>
      </c>
      <c r="P2378" s="2" t="n">
        <f aca="false">Lookups!$B$2*M2378+Lookups!$B$3*L2378</f>
        <v>0</v>
      </c>
      <c r="Q2378" s="2" t="str">
        <f aca="false">INDEX(Lookups!$E$2:$E$5,MATCH(P2378,Lookups!$D$2:$D$5,0))</f>
        <v>Low</v>
      </c>
    </row>
    <row r="2379" customFormat="false" ht="15" hidden="false" customHeight="false" outlineLevel="0" collapsed="false">
      <c r="A2379" s="3" t="n">
        <v>2378</v>
      </c>
      <c r="B2379" s="3" t="n">
        <f aca="false">Raw_Data!A2379</f>
        <v>35</v>
      </c>
      <c r="C2379" s="3" t="str">
        <f aca="false">SUBSTITUTE(Raw_Data!B2379,".","")</f>
        <v>technician</v>
      </c>
      <c r="D2379" s="3" t="str">
        <f aca="false">Raw_Data!C2379</f>
        <v>single</v>
      </c>
      <c r="E2379" s="3" t="str">
        <f aca="false">Raw_Data!D2379</f>
        <v>secondary</v>
      </c>
      <c r="F2379" s="3" t="str">
        <f aca="false">Raw_Data!E2379</f>
        <v>no</v>
      </c>
      <c r="G2379" s="3" t="n">
        <f aca="false">Raw_Data!F2379</f>
        <v>2</v>
      </c>
      <c r="H2379" s="3" t="str">
        <f aca="false">Raw_Data!G2379</f>
        <v>no</v>
      </c>
      <c r="I2379" s="3" t="str">
        <f aca="false">Raw_Data!H2379</f>
        <v>no</v>
      </c>
      <c r="J2379" s="2" t="n">
        <f aca="false">IF(F2379="yes",1,0)</f>
        <v>0</v>
      </c>
      <c r="K2379" s="2" t="n">
        <f aca="false">IF(H2379="yes",1,0)</f>
        <v>0</v>
      </c>
      <c r="L2379" s="2" t="n">
        <f aca="false">IF(I2379="yes",1,0)</f>
        <v>0</v>
      </c>
      <c r="M2379" s="2" t="n">
        <f aca="false">IF(G2379&lt;0,1,0)</f>
        <v>0</v>
      </c>
      <c r="N2379" s="2" t="str">
        <f aca="false">_xlfn.IFS(B2379&lt;30,"Under 30",B2379&lt;40,"30-39",B2379&lt;50,"40-49",B2379&lt;60,"50-59",TRUE(),"60+")</f>
        <v>30-39</v>
      </c>
      <c r="O2379" s="2" t="str">
        <f aca="false">_xlfn.IFS(G2379&lt;0,"1 Negative",G2379=0,"2 Zero",G2379&lt;=500,"3 1-500",G2379&lt;=2000,"4 501-2000",TRUE(),"5 Above 2000")</f>
        <v>3 1-500</v>
      </c>
      <c r="P2379" s="2" t="n">
        <f aca="false">Lookups!$B$2*M2379+Lookups!$B$3*L2379</f>
        <v>0</v>
      </c>
      <c r="Q2379" s="2" t="str">
        <f aca="false">INDEX(Lookups!$E$2:$E$5,MATCH(P2379,Lookups!$D$2:$D$5,0))</f>
        <v>Low</v>
      </c>
    </row>
    <row r="2380" customFormat="false" ht="15" hidden="false" customHeight="false" outlineLevel="0" collapsed="false">
      <c r="A2380" s="3" t="n">
        <v>2379</v>
      </c>
      <c r="B2380" s="3" t="n">
        <f aca="false">Raw_Data!A2380</f>
        <v>39</v>
      </c>
      <c r="C2380" s="3" t="str">
        <f aca="false">SUBSTITUTE(Raw_Data!B2380,".","")</f>
        <v>blue-collar</v>
      </c>
      <c r="D2380" s="3" t="str">
        <f aca="false">Raw_Data!C2380</f>
        <v>married</v>
      </c>
      <c r="E2380" s="3" t="str">
        <f aca="false">Raw_Data!D2380</f>
        <v>secondary</v>
      </c>
      <c r="F2380" s="3" t="str">
        <f aca="false">Raw_Data!E2380</f>
        <v>no</v>
      </c>
      <c r="G2380" s="3" t="n">
        <f aca="false">Raw_Data!F2380</f>
        <v>1439</v>
      </c>
      <c r="H2380" s="3" t="str">
        <f aca="false">Raw_Data!G2380</f>
        <v>yes</v>
      </c>
      <c r="I2380" s="3" t="str">
        <f aca="false">Raw_Data!H2380</f>
        <v>no</v>
      </c>
      <c r="J2380" s="2" t="n">
        <f aca="false">IF(F2380="yes",1,0)</f>
        <v>0</v>
      </c>
      <c r="K2380" s="2" t="n">
        <f aca="false">IF(H2380="yes",1,0)</f>
        <v>1</v>
      </c>
      <c r="L2380" s="2" t="n">
        <f aca="false">IF(I2380="yes",1,0)</f>
        <v>0</v>
      </c>
      <c r="M2380" s="2" t="n">
        <f aca="false">IF(G2380&lt;0,1,0)</f>
        <v>0</v>
      </c>
      <c r="N2380" s="2" t="str">
        <f aca="false">_xlfn.IFS(B2380&lt;30,"Under 30",B2380&lt;40,"30-39",B2380&lt;50,"40-49",B2380&lt;60,"50-59",TRUE(),"60+")</f>
        <v>30-39</v>
      </c>
      <c r="O2380" s="2" t="str">
        <f aca="false">_xlfn.IFS(G2380&lt;0,"1 Negative",G2380=0,"2 Zero",G2380&lt;=500,"3 1-500",G2380&lt;=2000,"4 501-2000",TRUE(),"5 Above 2000")</f>
        <v>4 501-2000</v>
      </c>
      <c r="P2380" s="2" t="n">
        <f aca="false">Lookups!$B$2*M2380+Lookups!$B$3*L2380</f>
        <v>0</v>
      </c>
      <c r="Q2380" s="2" t="str">
        <f aca="false">INDEX(Lookups!$E$2:$E$5,MATCH(P2380,Lookups!$D$2:$D$5,0))</f>
        <v>Low</v>
      </c>
    </row>
    <row r="2381" customFormat="false" ht="15" hidden="false" customHeight="false" outlineLevel="0" collapsed="false">
      <c r="A2381" s="3" t="n">
        <v>2380</v>
      </c>
      <c r="B2381" s="3" t="n">
        <f aca="false">Raw_Data!A2381</f>
        <v>42</v>
      </c>
      <c r="C2381" s="3" t="str">
        <f aca="false">SUBSTITUTE(Raw_Data!B2381,".","")</f>
        <v>blue-collar</v>
      </c>
      <c r="D2381" s="3" t="str">
        <f aca="false">Raw_Data!C2381</f>
        <v>divorced</v>
      </c>
      <c r="E2381" s="3" t="str">
        <f aca="false">Raw_Data!D2381</f>
        <v>secondary</v>
      </c>
      <c r="F2381" s="3" t="str">
        <f aca="false">Raw_Data!E2381</f>
        <v>no</v>
      </c>
      <c r="G2381" s="3" t="n">
        <f aca="false">Raw_Data!F2381</f>
        <v>1491</v>
      </c>
      <c r="H2381" s="3" t="str">
        <f aca="false">Raw_Data!G2381</f>
        <v>yes</v>
      </c>
      <c r="I2381" s="3" t="str">
        <f aca="false">Raw_Data!H2381</f>
        <v>no</v>
      </c>
      <c r="J2381" s="2" t="n">
        <f aca="false">IF(F2381="yes",1,0)</f>
        <v>0</v>
      </c>
      <c r="K2381" s="2" t="n">
        <f aca="false">IF(H2381="yes",1,0)</f>
        <v>1</v>
      </c>
      <c r="L2381" s="2" t="n">
        <f aca="false">IF(I2381="yes",1,0)</f>
        <v>0</v>
      </c>
      <c r="M2381" s="2" t="n">
        <f aca="false">IF(G2381&lt;0,1,0)</f>
        <v>0</v>
      </c>
      <c r="N2381" s="2" t="str">
        <f aca="false">_xlfn.IFS(B2381&lt;30,"Under 30",B2381&lt;40,"30-39",B2381&lt;50,"40-49",B2381&lt;60,"50-59",TRUE(),"60+")</f>
        <v>40-49</v>
      </c>
      <c r="O2381" s="2" t="str">
        <f aca="false">_xlfn.IFS(G2381&lt;0,"1 Negative",G2381=0,"2 Zero",G2381&lt;=500,"3 1-500",G2381&lt;=2000,"4 501-2000",TRUE(),"5 Above 2000")</f>
        <v>4 501-2000</v>
      </c>
      <c r="P2381" s="2" t="n">
        <f aca="false">Lookups!$B$2*M2381+Lookups!$B$3*L2381</f>
        <v>0</v>
      </c>
      <c r="Q2381" s="2" t="str">
        <f aca="false">INDEX(Lookups!$E$2:$E$5,MATCH(P2381,Lookups!$D$2:$D$5,0))</f>
        <v>Low</v>
      </c>
    </row>
    <row r="2382" customFormat="false" ht="15" hidden="false" customHeight="false" outlineLevel="0" collapsed="false">
      <c r="A2382" s="3" t="n">
        <v>2381</v>
      </c>
      <c r="B2382" s="3" t="n">
        <f aca="false">Raw_Data!A2382</f>
        <v>32</v>
      </c>
      <c r="C2382" s="3" t="str">
        <f aca="false">SUBSTITUTE(Raw_Data!B2382,".","")</f>
        <v>technician</v>
      </c>
      <c r="D2382" s="3" t="str">
        <f aca="false">Raw_Data!C2382</f>
        <v>single</v>
      </c>
      <c r="E2382" s="3" t="str">
        <f aca="false">Raw_Data!D2382</f>
        <v>secondary</v>
      </c>
      <c r="F2382" s="3" t="str">
        <f aca="false">Raw_Data!E2382</f>
        <v>no</v>
      </c>
      <c r="G2382" s="3" t="n">
        <f aca="false">Raw_Data!F2382</f>
        <v>6402</v>
      </c>
      <c r="H2382" s="3" t="str">
        <f aca="false">Raw_Data!G2382</f>
        <v>yes</v>
      </c>
      <c r="I2382" s="3" t="str">
        <f aca="false">Raw_Data!H2382</f>
        <v>no</v>
      </c>
      <c r="J2382" s="2" t="n">
        <f aca="false">IF(F2382="yes",1,0)</f>
        <v>0</v>
      </c>
      <c r="K2382" s="2" t="n">
        <f aca="false">IF(H2382="yes",1,0)</f>
        <v>1</v>
      </c>
      <c r="L2382" s="2" t="n">
        <f aca="false">IF(I2382="yes",1,0)</f>
        <v>0</v>
      </c>
      <c r="M2382" s="2" t="n">
        <f aca="false">IF(G2382&lt;0,1,0)</f>
        <v>0</v>
      </c>
      <c r="N2382" s="2" t="str">
        <f aca="false">_xlfn.IFS(B2382&lt;30,"Under 30",B2382&lt;40,"30-39",B2382&lt;50,"40-49",B2382&lt;60,"50-59",TRUE(),"60+")</f>
        <v>30-39</v>
      </c>
      <c r="O2382" s="2" t="str">
        <f aca="false">_xlfn.IFS(G2382&lt;0,"1 Negative",G2382=0,"2 Zero",G2382&lt;=500,"3 1-500",G2382&lt;=2000,"4 501-2000",TRUE(),"5 Above 2000")</f>
        <v>5 Above 2000</v>
      </c>
      <c r="P2382" s="2" t="n">
        <f aca="false">Lookups!$B$2*M2382+Lookups!$B$3*L2382</f>
        <v>0</v>
      </c>
      <c r="Q2382" s="2" t="str">
        <f aca="false">INDEX(Lookups!$E$2:$E$5,MATCH(P2382,Lookups!$D$2:$D$5,0))</f>
        <v>Low</v>
      </c>
    </row>
    <row r="2383" customFormat="false" ht="15" hidden="false" customHeight="false" outlineLevel="0" collapsed="false">
      <c r="A2383" s="3" t="n">
        <v>2382</v>
      </c>
      <c r="B2383" s="3" t="n">
        <f aca="false">Raw_Data!A2383</f>
        <v>30</v>
      </c>
      <c r="C2383" s="3" t="str">
        <f aca="false">SUBSTITUTE(Raw_Data!B2383,".","")</f>
        <v>unemployed</v>
      </c>
      <c r="D2383" s="3" t="str">
        <f aca="false">Raw_Data!C2383</f>
        <v>married</v>
      </c>
      <c r="E2383" s="3" t="str">
        <f aca="false">Raw_Data!D2383</f>
        <v>secondary</v>
      </c>
      <c r="F2383" s="3" t="str">
        <f aca="false">Raw_Data!E2383</f>
        <v>no</v>
      </c>
      <c r="G2383" s="3" t="n">
        <f aca="false">Raw_Data!F2383</f>
        <v>1210</v>
      </c>
      <c r="H2383" s="3" t="str">
        <f aca="false">Raw_Data!G2383</f>
        <v>no</v>
      </c>
      <c r="I2383" s="3" t="str">
        <f aca="false">Raw_Data!H2383</f>
        <v>no</v>
      </c>
      <c r="J2383" s="2" t="n">
        <f aca="false">IF(F2383="yes",1,0)</f>
        <v>0</v>
      </c>
      <c r="K2383" s="2" t="n">
        <f aca="false">IF(H2383="yes",1,0)</f>
        <v>0</v>
      </c>
      <c r="L2383" s="2" t="n">
        <f aca="false">IF(I2383="yes",1,0)</f>
        <v>0</v>
      </c>
      <c r="M2383" s="2" t="n">
        <f aca="false">IF(G2383&lt;0,1,0)</f>
        <v>0</v>
      </c>
      <c r="N2383" s="2" t="str">
        <f aca="false">_xlfn.IFS(B2383&lt;30,"Under 30",B2383&lt;40,"30-39",B2383&lt;50,"40-49",B2383&lt;60,"50-59",TRUE(),"60+")</f>
        <v>30-39</v>
      </c>
      <c r="O2383" s="2" t="str">
        <f aca="false">_xlfn.IFS(G2383&lt;0,"1 Negative",G2383=0,"2 Zero",G2383&lt;=500,"3 1-500",G2383&lt;=2000,"4 501-2000",TRUE(),"5 Above 2000")</f>
        <v>4 501-2000</v>
      </c>
      <c r="P2383" s="2" t="n">
        <f aca="false">Lookups!$B$2*M2383+Lookups!$B$3*L2383</f>
        <v>0</v>
      </c>
      <c r="Q2383" s="2" t="str">
        <f aca="false">INDEX(Lookups!$E$2:$E$5,MATCH(P2383,Lookups!$D$2:$D$5,0))</f>
        <v>Low</v>
      </c>
    </row>
    <row r="2384" customFormat="false" ht="15" hidden="false" customHeight="false" outlineLevel="0" collapsed="false">
      <c r="A2384" s="3" t="n">
        <v>2383</v>
      </c>
      <c r="B2384" s="3" t="n">
        <f aca="false">Raw_Data!A2384</f>
        <v>26</v>
      </c>
      <c r="C2384" s="3" t="str">
        <f aca="false">SUBSTITUTE(Raw_Data!B2384,".","")</f>
        <v>management</v>
      </c>
      <c r="D2384" s="3" t="str">
        <f aca="false">Raw_Data!C2384</f>
        <v>single</v>
      </c>
      <c r="E2384" s="3" t="str">
        <f aca="false">Raw_Data!D2384</f>
        <v>tertiary</v>
      </c>
      <c r="F2384" s="3" t="str">
        <f aca="false">Raw_Data!E2384</f>
        <v>no</v>
      </c>
      <c r="G2384" s="3" t="n">
        <f aca="false">Raw_Data!F2384</f>
        <v>122</v>
      </c>
      <c r="H2384" s="3" t="str">
        <f aca="false">Raw_Data!G2384</f>
        <v>no</v>
      </c>
      <c r="I2384" s="3" t="str">
        <f aca="false">Raw_Data!H2384</f>
        <v>yes</v>
      </c>
      <c r="J2384" s="2" t="n">
        <f aca="false">IF(F2384="yes",1,0)</f>
        <v>0</v>
      </c>
      <c r="K2384" s="2" t="n">
        <f aca="false">IF(H2384="yes",1,0)</f>
        <v>0</v>
      </c>
      <c r="L2384" s="2" t="n">
        <f aca="false">IF(I2384="yes",1,0)</f>
        <v>1</v>
      </c>
      <c r="M2384" s="2" t="n">
        <f aca="false">IF(G2384&lt;0,1,0)</f>
        <v>0</v>
      </c>
      <c r="N2384" s="2" t="str">
        <f aca="false">_xlfn.IFS(B2384&lt;30,"Under 30",B2384&lt;40,"30-39",B2384&lt;50,"40-49",B2384&lt;60,"50-59",TRUE(),"60+")</f>
        <v>Under 30</v>
      </c>
      <c r="O2384" s="2" t="str">
        <f aca="false">_xlfn.IFS(G2384&lt;0,"1 Negative",G2384=0,"2 Zero",G2384&lt;=500,"3 1-500",G2384&lt;=2000,"4 501-2000",TRUE(),"5 Above 2000")</f>
        <v>3 1-500</v>
      </c>
      <c r="P2384" s="2" t="n">
        <f aca="false">Lookups!$B$2*M2384+Lookups!$B$3*L2384</f>
        <v>1</v>
      </c>
      <c r="Q2384" s="2" t="str">
        <f aca="false">INDEX(Lookups!$E$2:$E$5,MATCH(P2384,Lookups!$D$2:$D$5,0))</f>
        <v>Medium</v>
      </c>
    </row>
    <row r="2385" customFormat="false" ht="15" hidden="false" customHeight="false" outlineLevel="0" collapsed="false">
      <c r="A2385" s="3" t="n">
        <v>2384</v>
      </c>
      <c r="B2385" s="3" t="n">
        <f aca="false">Raw_Data!A2385</f>
        <v>30</v>
      </c>
      <c r="C2385" s="3" t="str">
        <f aca="false">SUBSTITUTE(Raw_Data!B2385,".","")</f>
        <v>student</v>
      </c>
      <c r="D2385" s="3" t="str">
        <f aca="false">Raw_Data!C2385</f>
        <v>single</v>
      </c>
      <c r="E2385" s="3" t="str">
        <f aca="false">Raw_Data!D2385</f>
        <v>secondary</v>
      </c>
      <c r="F2385" s="3" t="str">
        <f aca="false">Raw_Data!E2385</f>
        <v>no</v>
      </c>
      <c r="G2385" s="3" t="n">
        <f aca="false">Raw_Data!F2385</f>
        <v>0</v>
      </c>
      <c r="H2385" s="3" t="str">
        <f aca="false">Raw_Data!G2385</f>
        <v>yes</v>
      </c>
      <c r="I2385" s="3" t="str">
        <f aca="false">Raw_Data!H2385</f>
        <v>no</v>
      </c>
      <c r="J2385" s="2" t="n">
        <f aca="false">IF(F2385="yes",1,0)</f>
        <v>0</v>
      </c>
      <c r="K2385" s="2" t="n">
        <f aca="false">IF(H2385="yes",1,0)</f>
        <v>1</v>
      </c>
      <c r="L2385" s="2" t="n">
        <f aca="false">IF(I2385="yes",1,0)</f>
        <v>0</v>
      </c>
      <c r="M2385" s="2" t="n">
        <f aca="false">IF(G2385&lt;0,1,0)</f>
        <v>0</v>
      </c>
      <c r="N2385" s="2" t="str">
        <f aca="false">_xlfn.IFS(B2385&lt;30,"Under 30",B2385&lt;40,"30-39",B2385&lt;50,"40-49",B2385&lt;60,"50-59",TRUE(),"60+")</f>
        <v>30-39</v>
      </c>
      <c r="O2385" s="2" t="str">
        <f aca="false">_xlfn.IFS(G2385&lt;0,"1 Negative",G2385=0,"2 Zero",G2385&lt;=500,"3 1-500",G2385&lt;=2000,"4 501-2000",TRUE(),"5 Above 2000")</f>
        <v>2 Zero</v>
      </c>
      <c r="P2385" s="2" t="n">
        <f aca="false">Lookups!$B$2*M2385+Lookups!$B$3*L2385</f>
        <v>0</v>
      </c>
      <c r="Q2385" s="2" t="str">
        <f aca="false">INDEX(Lookups!$E$2:$E$5,MATCH(P2385,Lookups!$D$2:$D$5,0))</f>
        <v>Low</v>
      </c>
    </row>
    <row r="2386" customFormat="false" ht="15" hidden="false" customHeight="false" outlineLevel="0" collapsed="false">
      <c r="A2386" s="3" t="n">
        <v>2385</v>
      </c>
      <c r="B2386" s="3" t="n">
        <f aca="false">Raw_Data!A2386</f>
        <v>32</v>
      </c>
      <c r="C2386" s="3" t="str">
        <f aca="false">SUBSTITUTE(Raw_Data!B2386,".","")</f>
        <v>management</v>
      </c>
      <c r="D2386" s="3" t="str">
        <f aca="false">Raw_Data!C2386</f>
        <v>married</v>
      </c>
      <c r="E2386" s="3" t="str">
        <f aca="false">Raw_Data!D2386</f>
        <v>tertiary</v>
      </c>
      <c r="F2386" s="3" t="str">
        <f aca="false">Raw_Data!E2386</f>
        <v>no</v>
      </c>
      <c r="G2386" s="3" t="n">
        <f aca="false">Raw_Data!F2386</f>
        <v>62</v>
      </c>
      <c r="H2386" s="3" t="str">
        <f aca="false">Raw_Data!G2386</f>
        <v>yes</v>
      </c>
      <c r="I2386" s="3" t="str">
        <f aca="false">Raw_Data!H2386</f>
        <v>no</v>
      </c>
      <c r="J2386" s="2" t="n">
        <f aca="false">IF(F2386="yes",1,0)</f>
        <v>0</v>
      </c>
      <c r="K2386" s="2" t="n">
        <f aca="false">IF(H2386="yes",1,0)</f>
        <v>1</v>
      </c>
      <c r="L2386" s="2" t="n">
        <f aca="false">IF(I2386="yes",1,0)</f>
        <v>0</v>
      </c>
      <c r="M2386" s="2" t="n">
        <f aca="false">IF(G2386&lt;0,1,0)</f>
        <v>0</v>
      </c>
      <c r="N2386" s="2" t="str">
        <f aca="false">_xlfn.IFS(B2386&lt;30,"Under 30",B2386&lt;40,"30-39",B2386&lt;50,"40-49",B2386&lt;60,"50-59",TRUE(),"60+")</f>
        <v>30-39</v>
      </c>
      <c r="O2386" s="2" t="str">
        <f aca="false">_xlfn.IFS(G2386&lt;0,"1 Negative",G2386=0,"2 Zero",G2386&lt;=500,"3 1-500",G2386&lt;=2000,"4 501-2000",TRUE(),"5 Above 2000")</f>
        <v>3 1-500</v>
      </c>
      <c r="P2386" s="2" t="n">
        <f aca="false">Lookups!$B$2*M2386+Lookups!$B$3*L2386</f>
        <v>0</v>
      </c>
      <c r="Q2386" s="2" t="str">
        <f aca="false">INDEX(Lookups!$E$2:$E$5,MATCH(P2386,Lookups!$D$2:$D$5,0))</f>
        <v>Low</v>
      </c>
    </row>
    <row r="2387" customFormat="false" ht="15" hidden="false" customHeight="false" outlineLevel="0" collapsed="false">
      <c r="A2387" s="3" t="n">
        <v>2386</v>
      </c>
      <c r="B2387" s="3" t="n">
        <f aca="false">Raw_Data!A2387</f>
        <v>47</v>
      </c>
      <c r="C2387" s="3" t="str">
        <f aca="false">SUBSTITUTE(Raw_Data!B2387,".","")</f>
        <v>services</v>
      </c>
      <c r="D2387" s="3" t="str">
        <f aca="false">Raw_Data!C2387</f>
        <v>married</v>
      </c>
      <c r="E2387" s="3" t="str">
        <f aca="false">Raw_Data!D2387</f>
        <v>secondary</v>
      </c>
      <c r="F2387" s="3" t="str">
        <f aca="false">Raw_Data!E2387</f>
        <v>no</v>
      </c>
      <c r="G2387" s="3" t="n">
        <f aca="false">Raw_Data!F2387</f>
        <v>3333</v>
      </c>
      <c r="H2387" s="3" t="str">
        <f aca="false">Raw_Data!G2387</f>
        <v>yes</v>
      </c>
      <c r="I2387" s="3" t="str">
        <f aca="false">Raw_Data!H2387</f>
        <v>yes</v>
      </c>
      <c r="J2387" s="2" t="n">
        <f aca="false">IF(F2387="yes",1,0)</f>
        <v>0</v>
      </c>
      <c r="K2387" s="2" t="n">
        <f aca="false">IF(H2387="yes",1,0)</f>
        <v>1</v>
      </c>
      <c r="L2387" s="2" t="n">
        <f aca="false">IF(I2387="yes",1,0)</f>
        <v>1</v>
      </c>
      <c r="M2387" s="2" t="n">
        <f aca="false">IF(G2387&lt;0,1,0)</f>
        <v>0</v>
      </c>
      <c r="N2387" s="2" t="str">
        <f aca="false">_xlfn.IFS(B2387&lt;30,"Under 30",B2387&lt;40,"30-39",B2387&lt;50,"40-49",B2387&lt;60,"50-59",TRUE(),"60+")</f>
        <v>40-49</v>
      </c>
      <c r="O2387" s="2" t="str">
        <f aca="false">_xlfn.IFS(G2387&lt;0,"1 Negative",G2387=0,"2 Zero",G2387&lt;=500,"3 1-500",G2387&lt;=2000,"4 501-2000",TRUE(),"5 Above 2000")</f>
        <v>5 Above 2000</v>
      </c>
      <c r="P2387" s="2" t="n">
        <f aca="false">Lookups!$B$2*M2387+Lookups!$B$3*L2387</f>
        <v>1</v>
      </c>
      <c r="Q2387" s="2" t="str">
        <f aca="false">INDEX(Lookups!$E$2:$E$5,MATCH(P2387,Lookups!$D$2:$D$5,0))</f>
        <v>Medium</v>
      </c>
    </row>
    <row r="2388" customFormat="false" ht="15" hidden="false" customHeight="false" outlineLevel="0" collapsed="false">
      <c r="A2388" s="3" t="n">
        <v>2387</v>
      </c>
      <c r="B2388" s="3" t="n">
        <f aca="false">Raw_Data!A2388</f>
        <v>33</v>
      </c>
      <c r="C2388" s="3" t="str">
        <f aca="false">SUBSTITUTE(Raw_Data!B2388,".","")</f>
        <v>technician</v>
      </c>
      <c r="D2388" s="3" t="str">
        <f aca="false">Raw_Data!C2388</f>
        <v>married</v>
      </c>
      <c r="E2388" s="3" t="str">
        <f aca="false">Raw_Data!D2388</f>
        <v>tertiary</v>
      </c>
      <c r="F2388" s="3" t="str">
        <f aca="false">Raw_Data!E2388</f>
        <v>no</v>
      </c>
      <c r="G2388" s="3" t="n">
        <f aca="false">Raw_Data!F2388</f>
        <v>16992</v>
      </c>
      <c r="H2388" s="3" t="str">
        <f aca="false">Raw_Data!G2388</f>
        <v>yes</v>
      </c>
      <c r="I2388" s="3" t="str">
        <f aca="false">Raw_Data!H2388</f>
        <v>no</v>
      </c>
      <c r="J2388" s="2" t="n">
        <f aca="false">IF(F2388="yes",1,0)</f>
        <v>0</v>
      </c>
      <c r="K2388" s="2" t="n">
        <f aca="false">IF(H2388="yes",1,0)</f>
        <v>1</v>
      </c>
      <c r="L2388" s="2" t="n">
        <f aca="false">IF(I2388="yes",1,0)</f>
        <v>0</v>
      </c>
      <c r="M2388" s="2" t="n">
        <f aca="false">IF(G2388&lt;0,1,0)</f>
        <v>0</v>
      </c>
      <c r="N2388" s="2" t="str">
        <f aca="false">_xlfn.IFS(B2388&lt;30,"Under 30",B2388&lt;40,"30-39",B2388&lt;50,"40-49",B2388&lt;60,"50-59",TRUE(),"60+")</f>
        <v>30-39</v>
      </c>
      <c r="O2388" s="2" t="str">
        <f aca="false">_xlfn.IFS(G2388&lt;0,"1 Negative",G2388=0,"2 Zero",G2388&lt;=500,"3 1-500",G2388&lt;=2000,"4 501-2000",TRUE(),"5 Above 2000")</f>
        <v>5 Above 2000</v>
      </c>
      <c r="P2388" s="2" t="n">
        <f aca="false">Lookups!$B$2*M2388+Lookups!$B$3*L2388</f>
        <v>0</v>
      </c>
      <c r="Q2388" s="2" t="str">
        <f aca="false">INDEX(Lookups!$E$2:$E$5,MATCH(P2388,Lookups!$D$2:$D$5,0))</f>
        <v>Low</v>
      </c>
    </row>
    <row r="2389" customFormat="false" ht="15" hidden="false" customHeight="false" outlineLevel="0" collapsed="false">
      <c r="A2389" s="3" t="n">
        <v>2388</v>
      </c>
      <c r="B2389" s="3" t="n">
        <f aca="false">Raw_Data!A2389</f>
        <v>57</v>
      </c>
      <c r="C2389" s="3" t="str">
        <f aca="false">SUBSTITUTE(Raw_Data!B2389,".","")</f>
        <v>blue-collar</v>
      </c>
      <c r="D2389" s="3" t="str">
        <f aca="false">Raw_Data!C2389</f>
        <v>married</v>
      </c>
      <c r="E2389" s="3" t="str">
        <f aca="false">Raw_Data!D2389</f>
        <v>primary</v>
      </c>
      <c r="F2389" s="3" t="str">
        <f aca="false">Raw_Data!E2389</f>
        <v>no</v>
      </c>
      <c r="G2389" s="3" t="n">
        <f aca="false">Raw_Data!F2389</f>
        <v>23</v>
      </c>
      <c r="H2389" s="3" t="str">
        <f aca="false">Raw_Data!G2389</f>
        <v>yes</v>
      </c>
      <c r="I2389" s="3" t="str">
        <f aca="false">Raw_Data!H2389</f>
        <v>no</v>
      </c>
      <c r="J2389" s="2" t="n">
        <f aca="false">IF(F2389="yes",1,0)</f>
        <v>0</v>
      </c>
      <c r="K2389" s="2" t="n">
        <f aca="false">IF(H2389="yes",1,0)</f>
        <v>1</v>
      </c>
      <c r="L2389" s="2" t="n">
        <f aca="false">IF(I2389="yes",1,0)</f>
        <v>0</v>
      </c>
      <c r="M2389" s="2" t="n">
        <f aca="false">IF(G2389&lt;0,1,0)</f>
        <v>0</v>
      </c>
      <c r="N2389" s="2" t="str">
        <f aca="false">_xlfn.IFS(B2389&lt;30,"Under 30",B2389&lt;40,"30-39",B2389&lt;50,"40-49",B2389&lt;60,"50-59",TRUE(),"60+")</f>
        <v>50-59</v>
      </c>
      <c r="O2389" s="2" t="str">
        <f aca="false">_xlfn.IFS(G2389&lt;0,"1 Negative",G2389=0,"2 Zero",G2389&lt;=500,"3 1-500",G2389&lt;=2000,"4 501-2000",TRUE(),"5 Above 2000")</f>
        <v>3 1-500</v>
      </c>
      <c r="P2389" s="2" t="n">
        <f aca="false">Lookups!$B$2*M2389+Lookups!$B$3*L2389</f>
        <v>0</v>
      </c>
      <c r="Q2389" s="2" t="str">
        <f aca="false">INDEX(Lookups!$E$2:$E$5,MATCH(P2389,Lookups!$D$2:$D$5,0))</f>
        <v>Low</v>
      </c>
    </row>
    <row r="2390" customFormat="false" ht="15" hidden="false" customHeight="false" outlineLevel="0" collapsed="false">
      <c r="A2390" s="3" t="n">
        <v>2389</v>
      </c>
      <c r="B2390" s="3" t="n">
        <f aca="false">Raw_Data!A2390</f>
        <v>35</v>
      </c>
      <c r="C2390" s="3" t="str">
        <f aca="false">SUBSTITUTE(Raw_Data!B2390,".","")</f>
        <v>admin</v>
      </c>
      <c r="D2390" s="3" t="str">
        <f aca="false">Raw_Data!C2390</f>
        <v>married</v>
      </c>
      <c r="E2390" s="3" t="str">
        <f aca="false">Raw_Data!D2390</f>
        <v>secondary</v>
      </c>
      <c r="F2390" s="3" t="str">
        <f aca="false">Raw_Data!E2390</f>
        <v>no</v>
      </c>
      <c r="G2390" s="3" t="n">
        <f aca="false">Raw_Data!F2390</f>
        <v>0</v>
      </c>
      <c r="H2390" s="3" t="str">
        <f aca="false">Raw_Data!G2390</f>
        <v>yes</v>
      </c>
      <c r="I2390" s="3" t="str">
        <f aca="false">Raw_Data!H2390</f>
        <v>no</v>
      </c>
      <c r="J2390" s="2" t="n">
        <f aca="false">IF(F2390="yes",1,0)</f>
        <v>0</v>
      </c>
      <c r="K2390" s="2" t="n">
        <f aca="false">IF(H2390="yes",1,0)</f>
        <v>1</v>
      </c>
      <c r="L2390" s="2" t="n">
        <f aca="false">IF(I2390="yes",1,0)</f>
        <v>0</v>
      </c>
      <c r="M2390" s="2" t="n">
        <f aca="false">IF(G2390&lt;0,1,0)</f>
        <v>0</v>
      </c>
      <c r="N2390" s="2" t="str">
        <f aca="false">_xlfn.IFS(B2390&lt;30,"Under 30",B2390&lt;40,"30-39",B2390&lt;50,"40-49",B2390&lt;60,"50-59",TRUE(),"60+")</f>
        <v>30-39</v>
      </c>
      <c r="O2390" s="2" t="str">
        <f aca="false">_xlfn.IFS(G2390&lt;0,"1 Negative",G2390=0,"2 Zero",G2390&lt;=500,"3 1-500",G2390&lt;=2000,"4 501-2000",TRUE(),"5 Above 2000")</f>
        <v>2 Zero</v>
      </c>
      <c r="P2390" s="2" t="n">
        <f aca="false">Lookups!$B$2*M2390+Lookups!$B$3*L2390</f>
        <v>0</v>
      </c>
      <c r="Q2390" s="2" t="str">
        <f aca="false">INDEX(Lookups!$E$2:$E$5,MATCH(P2390,Lookups!$D$2:$D$5,0))</f>
        <v>Low</v>
      </c>
    </row>
    <row r="2391" customFormat="false" ht="15" hidden="false" customHeight="false" outlineLevel="0" collapsed="false">
      <c r="A2391" s="3" t="n">
        <v>2390</v>
      </c>
      <c r="B2391" s="3" t="n">
        <f aca="false">Raw_Data!A2391</f>
        <v>53</v>
      </c>
      <c r="C2391" s="3" t="str">
        <f aca="false">SUBSTITUTE(Raw_Data!B2391,".","")</f>
        <v>technician</v>
      </c>
      <c r="D2391" s="3" t="str">
        <f aca="false">Raw_Data!C2391</f>
        <v>married</v>
      </c>
      <c r="E2391" s="3" t="str">
        <f aca="false">Raw_Data!D2391</f>
        <v>tertiary</v>
      </c>
      <c r="F2391" s="3" t="str">
        <f aca="false">Raw_Data!E2391</f>
        <v>no</v>
      </c>
      <c r="G2391" s="3" t="n">
        <f aca="false">Raw_Data!F2391</f>
        <v>6072</v>
      </c>
      <c r="H2391" s="3" t="str">
        <f aca="false">Raw_Data!G2391</f>
        <v>no</v>
      </c>
      <c r="I2391" s="3" t="str">
        <f aca="false">Raw_Data!H2391</f>
        <v>yes</v>
      </c>
      <c r="J2391" s="2" t="n">
        <f aca="false">IF(F2391="yes",1,0)</f>
        <v>0</v>
      </c>
      <c r="K2391" s="2" t="n">
        <f aca="false">IF(H2391="yes",1,0)</f>
        <v>0</v>
      </c>
      <c r="L2391" s="2" t="n">
        <f aca="false">IF(I2391="yes",1,0)</f>
        <v>1</v>
      </c>
      <c r="M2391" s="2" t="n">
        <f aca="false">IF(G2391&lt;0,1,0)</f>
        <v>0</v>
      </c>
      <c r="N2391" s="2" t="str">
        <f aca="false">_xlfn.IFS(B2391&lt;30,"Under 30",B2391&lt;40,"30-39",B2391&lt;50,"40-49",B2391&lt;60,"50-59",TRUE(),"60+")</f>
        <v>50-59</v>
      </c>
      <c r="O2391" s="2" t="str">
        <f aca="false">_xlfn.IFS(G2391&lt;0,"1 Negative",G2391=0,"2 Zero",G2391&lt;=500,"3 1-500",G2391&lt;=2000,"4 501-2000",TRUE(),"5 Above 2000")</f>
        <v>5 Above 2000</v>
      </c>
      <c r="P2391" s="2" t="n">
        <f aca="false">Lookups!$B$2*M2391+Lookups!$B$3*L2391</f>
        <v>1</v>
      </c>
      <c r="Q2391" s="2" t="str">
        <f aca="false">INDEX(Lookups!$E$2:$E$5,MATCH(P2391,Lookups!$D$2:$D$5,0))</f>
        <v>Medium</v>
      </c>
    </row>
    <row r="2392" customFormat="false" ht="15" hidden="false" customHeight="false" outlineLevel="0" collapsed="false">
      <c r="A2392" s="3" t="n">
        <v>2391</v>
      </c>
      <c r="B2392" s="3" t="n">
        <f aca="false">Raw_Data!A2392</f>
        <v>24</v>
      </c>
      <c r="C2392" s="3" t="str">
        <f aca="false">SUBSTITUTE(Raw_Data!B2392,".","")</f>
        <v>retired</v>
      </c>
      <c r="D2392" s="3" t="str">
        <f aca="false">Raw_Data!C2392</f>
        <v>single</v>
      </c>
      <c r="E2392" s="3" t="str">
        <f aca="false">Raw_Data!D2392</f>
        <v>secondary</v>
      </c>
      <c r="F2392" s="3" t="str">
        <f aca="false">Raw_Data!E2392</f>
        <v>no</v>
      </c>
      <c r="G2392" s="3" t="n">
        <f aca="false">Raw_Data!F2392</f>
        <v>366</v>
      </c>
      <c r="H2392" s="3" t="str">
        <f aca="false">Raw_Data!G2392</f>
        <v>no</v>
      </c>
      <c r="I2392" s="3" t="str">
        <f aca="false">Raw_Data!H2392</f>
        <v>yes</v>
      </c>
      <c r="J2392" s="2" t="n">
        <f aca="false">IF(F2392="yes",1,0)</f>
        <v>0</v>
      </c>
      <c r="K2392" s="2" t="n">
        <f aca="false">IF(H2392="yes",1,0)</f>
        <v>0</v>
      </c>
      <c r="L2392" s="2" t="n">
        <f aca="false">IF(I2392="yes",1,0)</f>
        <v>1</v>
      </c>
      <c r="M2392" s="2" t="n">
        <f aca="false">IF(G2392&lt;0,1,0)</f>
        <v>0</v>
      </c>
      <c r="N2392" s="2" t="str">
        <f aca="false">_xlfn.IFS(B2392&lt;30,"Under 30",B2392&lt;40,"30-39",B2392&lt;50,"40-49",B2392&lt;60,"50-59",TRUE(),"60+")</f>
        <v>Under 30</v>
      </c>
      <c r="O2392" s="2" t="str">
        <f aca="false">_xlfn.IFS(G2392&lt;0,"1 Negative",G2392=0,"2 Zero",G2392&lt;=500,"3 1-500",G2392&lt;=2000,"4 501-2000",TRUE(),"5 Above 2000")</f>
        <v>3 1-500</v>
      </c>
      <c r="P2392" s="2" t="n">
        <f aca="false">Lookups!$B$2*M2392+Lookups!$B$3*L2392</f>
        <v>1</v>
      </c>
      <c r="Q2392" s="2" t="str">
        <f aca="false">INDEX(Lookups!$E$2:$E$5,MATCH(P2392,Lookups!$D$2:$D$5,0))</f>
        <v>Medium</v>
      </c>
    </row>
    <row r="2393" customFormat="false" ht="15" hidden="false" customHeight="false" outlineLevel="0" collapsed="false">
      <c r="A2393" s="3" t="n">
        <v>2392</v>
      </c>
      <c r="B2393" s="3" t="n">
        <f aca="false">Raw_Data!A2393</f>
        <v>54</v>
      </c>
      <c r="C2393" s="3" t="str">
        <f aca="false">SUBSTITUTE(Raw_Data!B2393,".","")</f>
        <v>management</v>
      </c>
      <c r="D2393" s="3" t="str">
        <f aca="false">Raw_Data!C2393</f>
        <v>divorced</v>
      </c>
      <c r="E2393" s="3" t="str">
        <f aca="false">Raw_Data!D2393</f>
        <v>tertiary</v>
      </c>
      <c r="F2393" s="3" t="str">
        <f aca="false">Raw_Data!E2393</f>
        <v>no</v>
      </c>
      <c r="G2393" s="3" t="n">
        <f aca="false">Raw_Data!F2393</f>
        <v>0</v>
      </c>
      <c r="H2393" s="3" t="str">
        <f aca="false">Raw_Data!G2393</f>
        <v>no</v>
      </c>
      <c r="I2393" s="3" t="str">
        <f aca="false">Raw_Data!H2393</f>
        <v>yes</v>
      </c>
      <c r="J2393" s="2" t="n">
        <f aca="false">IF(F2393="yes",1,0)</f>
        <v>0</v>
      </c>
      <c r="K2393" s="2" t="n">
        <f aca="false">IF(H2393="yes",1,0)</f>
        <v>0</v>
      </c>
      <c r="L2393" s="2" t="n">
        <f aca="false">IF(I2393="yes",1,0)</f>
        <v>1</v>
      </c>
      <c r="M2393" s="2" t="n">
        <f aca="false">IF(G2393&lt;0,1,0)</f>
        <v>0</v>
      </c>
      <c r="N2393" s="2" t="str">
        <f aca="false">_xlfn.IFS(B2393&lt;30,"Under 30",B2393&lt;40,"30-39",B2393&lt;50,"40-49",B2393&lt;60,"50-59",TRUE(),"60+")</f>
        <v>50-59</v>
      </c>
      <c r="O2393" s="2" t="str">
        <f aca="false">_xlfn.IFS(G2393&lt;0,"1 Negative",G2393=0,"2 Zero",G2393&lt;=500,"3 1-500",G2393&lt;=2000,"4 501-2000",TRUE(),"5 Above 2000")</f>
        <v>2 Zero</v>
      </c>
      <c r="P2393" s="2" t="n">
        <f aca="false">Lookups!$B$2*M2393+Lookups!$B$3*L2393</f>
        <v>1</v>
      </c>
      <c r="Q2393" s="2" t="str">
        <f aca="false">INDEX(Lookups!$E$2:$E$5,MATCH(P2393,Lookups!$D$2:$D$5,0))</f>
        <v>Medium</v>
      </c>
    </row>
    <row r="2394" customFormat="false" ht="15" hidden="false" customHeight="false" outlineLevel="0" collapsed="false">
      <c r="A2394" s="3" t="n">
        <v>2393</v>
      </c>
      <c r="B2394" s="3" t="n">
        <f aca="false">Raw_Data!A2394</f>
        <v>31</v>
      </c>
      <c r="C2394" s="3" t="str">
        <f aca="false">SUBSTITUTE(Raw_Data!B2394,".","")</f>
        <v>management</v>
      </c>
      <c r="D2394" s="3" t="str">
        <f aca="false">Raw_Data!C2394</f>
        <v>married</v>
      </c>
      <c r="E2394" s="3" t="str">
        <f aca="false">Raw_Data!D2394</f>
        <v>tertiary</v>
      </c>
      <c r="F2394" s="3" t="str">
        <f aca="false">Raw_Data!E2394</f>
        <v>no</v>
      </c>
      <c r="G2394" s="3" t="n">
        <f aca="false">Raw_Data!F2394</f>
        <v>1343</v>
      </c>
      <c r="H2394" s="3" t="str">
        <f aca="false">Raw_Data!G2394</f>
        <v>yes</v>
      </c>
      <c r="I2394" s="3" t="str">
        <f aca="false">Raw_Data!H2394</f>
        <v>yes</v>
      </c>
      <c r="J2394" s="2" t="n">
        <f aca="false">IF(F2394="yes",1,0)</f>
        <v>0</v>
      </c>
      <c r="K2394" s="2" t="n">
        <f aca="false">IF(H2394="yes",1,0)</f>
        <v>1</v>
      </c>
      <c r="L2394" s="2" t="n">
        <f aca="false">IF(I2394="yes",1,0)</f>
        <v>1</v>
      </c>
      <c r="M2394" s="2" t="n">
        <f aca="false">IF(G2394&lt;0,1,0)</f>
        <v>0</v>
      </c>
      <c r="N2394" s="2" t="str">
        <f aca="false">_xlfn.IFS(B2394&lt;30,"Under 30",B2394&lt;40,"30-39",B2394&lt;50,"40-49",B2394&lt;60,"50-59",TRUE(),"60+")</f>
        <v>30-39</v>
      </c>
      <c r="O2394" s="2" t="str">
        <f aca="false">_xlfn.IFS(G2394&lt;0,"1 Negative",G2394=0,"2 Zero",G2394&lt;=500,"3 1-500",G2394&lt;=2000,"4 501-2000",TRUE(),"5 Above 2000")</f>
        <v>4 501-2000</v>
      </c>
      <c r="P2394" s="2" t="n">
        <f aca="false">Lookups!$B$2*M2394+Lookups!$B$3*L2394</f>
        <v>1</v>
      </c>
      <c r="Q2394" s="2" t="str">
        <f aca="false">INDEX(Lookups!$E$2:$E$5,MATCH(P2394,Lookups!$D$2:$D$5,0))</f>
        <v>Medium</v>
      </c>
    </row>
    <row r="2395" customFormat="false" ht="15" hidden="false" customHeight="false" outlineLevel="0" collapsed="false">
      <c r="A2395" s="3" t="n">
        <v>2394</v>
      </c>
      <c r="B2395" s="3" t="n">
        <f aca="false">Raw_Data!A2395</f>
        <v>41</v>
      </c>
      <c r="C2395" s="3" t="str">
        <f aca="false">SUBSTITUTE(Raw_Data!B2395,".","")</f>
        <v>entrepreneur</v>
      </c>
      <c r="D2395" s="3" t="str">
        <f aca="false">Raw_Data!C2395</f>
        <v>married</v>
      </c>
      <c r="E2395" s="3" t="str">
        <f aca="false">Raw_Data!D2395</f>
        <v>secondary</v>
      </c>
      <c r="F2395" s="3" t="str">
        <f aca="false">Raw_Data!E2395</f>
        <v>no</v>
      </c>
      <c r="G2395" s="3" t="n">
        <f aca="false">Raw_Data!F2395</f>
        <v>2105</v>
      </c>
      <c r="H2395" s="3" t="str">
        <f aca="false">Raw_Data!G2395</f>
        <v>yes</v>
      </c>
      <c r="I2395" s="3" t="str">
        <f aca="false">Raw_Data!H2395</f>
        <v>no</v>
      </c>
      <c r="J2395" s="2" t="n">
        <f aca="false">IF(F2395="yes",1,0)</f>
        <v>0</v>
      </c>
      <c r="K2395" s="2" t="n">
        <f aca="false">IF(H2395="yes",1,0)</f>
        <v>1</v>
      </c>
      <c r="L2395" s="2" t="n">
        <f aca="false">IF(I2395="yes",1,0)</f>
        <v>0</v>
      </c>
      <c r="M2395" s="2" t="n">
        <f aca="false">IF(G2395&lt;0,1,0)</f>
        <v>0</v>
      </c>
      <c r="N2395" s="2" t="str">
        <f aca="false">_xlfn.IFS(B2395&lt;30,"Under 30",B2395&lt;40,"30-39",B2395&lt;50,"40-49",B2395&lt;60,"50-59",TRUE(),"60+")</f>
        <v>40-49</v>
      </c>
      <c r="O2395" s="2" t="str">
        <f aca="false">_xlfn.IFS(G2395&lt;0,"1 Negative",G2395=0,"2 Zero",G2395&lt;=500,"3 1-500",G2395&lt;=2000,"4 501-2000",TRUE(),"5 Above 2000")</f>
        <v>5 Above 2000</v>
      </c>
      <c r="P2395" s="2" t="n">
        <f aca="false">Lookups!$B$2*M2395+Lookups!$B$3*L2395</f>
        <v>0</v>
      </c>
      <c r="Q2395" s="2" t="str">
        <f aca="false">INDEX(Lookups!$E$2:$E$5,MATCH(P2395,Lookups!$D$2:$D$5,0))</f>
        <v>Low</v>
      </c>
    </row>
    <row r="2396" customFormat="false" ht="15" hidden="false" customHeight="false" outlineLevel="0" collapsed="false">
      <c r="A2396" s="3" t="n">
        <v>2395</v>
      </c>
      <c r="B2396" s="3" t="n">
        <f aca="false">Raw_Data!A2396</f>
        <v>44</v>
      </c>
      <c r="C2396" s="3" t="str">
        <f aca="false">SUBSTITUTE(Raw_Data!B2396,".","")</f>
        <v>unknown</v>
      </c>
      <c r="D2396" s="3" t="str">
        <f aca="false">Raw_Data!C2396</f>
        <v>married</v>
      </c>
      <c r="E2396" s="3" t="str">
        <f aca="false">Raw_Data!D2396</f>
        <v>secondary</v>
      </c>
      <c r="F2396" s="3" t="str">
        <f aca="false">Raw_Data!E2396</f>
        <v>no</v>
      </c>
      <c r="G2396" s="3" t="n">
        <f aca="false">Raw_Data!F2396</f>
        <v>2319</v>
      </c>
      <c r="H2396" s="3" t="str">
        <f aca="false">Raw_Data!G2396</f>
        <v>no</v>
      </c>
      <c r="I2396" s="3" t="str">
        <f aca="false">Raw_Data!H2396</f>
        <v>no</v>
      </c>
      <c r="J2396" s="2" t="n">
        <f aca="false">IF(F2396="yes",1,0)</f>
        <v>0</v>
      </c>
      <c r="K2396" s="2" t="n">
        <f aca="false">IF(H2396="yes",1,0)</f>
        <v>0</v>
      </c>
      <c r="L2396" s="2" t="n">
        <f aca="false">IF(I2396="yes",1,0)</f>
        <v>0</v>
      </c>
      <c r="M2396" s="2" t="n">
        <f aca="false">IF(G2396&lt;0,1,0)</f>
        <v>0</v>
      </c>
      <c r="N2396" s="2" t="str">
        <f aca="false">_xlfn.IFS(B2396&lt;30,"Under 30",B2396&lt;40,"30-39",B2396&lt;50,"40-49",B2396&lt;60,"50-59",TRUE(),"60+")</f>
        <v>40-49</v>
      </c>
      <c r="O2396" s="2" t="str">
        <f aca="false">_xlfn.IFS(G2396&lt;0,"1 Negative",G2396=0,"2 Zero",G2396&lt;=500,"3 1-500",G2396&lt;=2000,"4 501-2000",TRUE(),"5 Above 2000")</f>
        <v>5 Above 2000</v>
      </c>
      <c r="P2396" s="2" t="n">
        <f aca="false">Lookups!$B$2*M2396+Lookups!$B$3*L2396</f>
        <v>0</v>
      </c>
      <c r="Q2396" s="2" t="str">
        <f aca="false">INDEX(Lookups!$E$2:$E$5,MATCH(P2396,Lookups!$D$2:$D$5,0))</f>
        <v>Low</v>
      </c>
    </row>
    <row r="2397" customFormat="false" ht="15" hidden="false" customHeight="false" outlineLevel="0" collapsed="false">
      <c r="A2397" s="3" t="n">
        <v>2396</v>
      </c>
      <c r="B2397" s="3" t="n">
        <f aca="false">Raw_Data!A2397</f>
        <v>35</v>
      </c>
      <c r="C2397" s="3" t="str">
        <f aca="false">SUBSTITUTE(Raw_Data!B2397,".","")</f>
        <v>services</v>
      </c>
      <c r="D2397" s="3" t="str">
        <f aca="false">Raw_Data!C2397</f>
        <v>single</v>
      </c>
      <c r="E2397" s="3" t="str">
        <f aca="false">Raw_Data!D2397</f>
        <v>secondary</v>
      </c>
      <c r="F2397" s="3" t="str">
        <f aca="false">Raw_Data!E2397</f>
        <v>no</v>
      </c>
      <c r="G2397" s="3" t="n">
        <f aca="false">Raw_Data!F2397</f>
        <v>35</v>
      </c>
      <c r="H2397" s="3" t="str">
        <f aca="false">Raw_Data!G2397</f>
        <v>yes</v>
      </c>
      <c r="I2397" s="3" t="str">
        <f aca="false">Raw_Data!H2397</f>
        <v>no</v>
      </c>
      <c r="J2397" s="2" t="n">
        <f aca="false">IF(F2397="yes",1,0)</f>
        <v>0</v>
      </c>
      <c r="K2397" s="2" t="n">
        <f aca="false">IF(H2397="yes",1,0)</f>
        <v>1</v>
      </c>
      <c r="L2397" s="2" t="n">
        <f aca="false">IF(I2397="yes",1,0)</f>
        <v>0</v>
      </c>
      <c r="M2397" s="2" t="n">
        <f aca="false">IF(G2397&lt;0,1,0)</f>
        <v>0</v>
      </c>
      <c r="N2397" s="2" t="str">
        <f aca="false">_xlfn.IFS(B2397&lt;30,"Under 30",B2397&lt;40,"30-39",B2397&lt;50,"40-49",B2397&lt;60,"50-59",TRUE(),"60+")</f>
        <v>30-39</v>
      </c>
      <c r="O2397" s="2" t="str">
        <f aca="false">_xlfn.IFS(G2397&lt;0,"1 Negative",G2397=0,"2 Zero",G2397&lt;=500,"3 1-500",G2397&lt;=2000,"4 501-2000",TRUE(),"5 Above 2000")</f>
        <v>3 1-500</v>
      </c>
      <c r="P2397" s="2" t="n">
        <f aca="false">Lookups!$B$2*M2397+Lookups!$B$3*L2397</f>
        <v>0</v>
      </c>
      <c r="Q2397" s="2" t="str">
        <f aca="false">INDEX(Lookups!$E$2:$E$5,MATCH(P2397,Lookups!$D$2:$D$5,0))</f>
        <v>Low</v>
      </c>
    </row>
    <row r="2398" customFormat="false" ht="15" hidden="false" customHeight="false" outlineLevel="0" collapsed="false">
      <c r="A2398" s="3" t="n">
        <v>2397</v>
      </c>
      <c r="B2398" s="3" t="n">
        <f aca="false">Raw_Data!A2398</f>
        <v>30</v>
      </c>
      <c r="C2398" s="3" t="str">
        <f aca="false">SUBSTITUTE(Raw_Data!B2398,".","")</f>
        <v>management</v>
      </c>
      <c r="D2398" s="3" t="str">
        <f aca="false">Raw_Data!C2398</f>
        <v>married</v>
      </c>
      <c r="E2398" s="3" t="str">
        <f aca="false">Raw_Data!D2398</f>
        <v>tertiary</v>
      </c>
      <c r="F2398" s="3" t="str">
        <f aca="false">Raw_Data!E2398</f>
        <v>no</v>
      </c>
      <c r="G2398" s="3" t="n">
        <f aca="false">Raw_Data!F2398</f>
        <v>877</v>
      </c>
      <c r="H2398" s="3" t="str">
        <f aca="false">Raw_Data!G2398</f>
        <v>no</v>
      </c>
      <c r="I2398" s="3" t="str">
        <f aca="false">Raw_Data!H2398</f>
        <v>no</v>
      </c>
      <c r="J2398" s="2" t="n">
        <f aca="false">IF(F2398="yes",1,0)</f>
        <v>0</v>
      </c>
      <c r="K2398" s="2" t="n">
        <f aca="false">IF(H2398="yes",1,0)</f>
        <v>0</v>
      </c>
      <c r="L2398" s="2" t="n">
        <f aca="false">IF(I2398="yes",1,0)</f>
        <v>0</v>
      </c>
      <c r="M2398" s="2" t="n">
        <f aca="false">IF(G2398&lt;0,1,0)</f>
        <v>0</v>
      </c>
      <c r="N2398" s="2" t="str">
        <f aca="false">_xlfn.IFS(B2398&lt;30,"Under 30",B2398&lt;40,"30-39",B2398&lt;50,"40-49",B2398&lt;60,"50-59",TRUE(),"60+")</f>
        <v>30-39</v>
      </c>
      <c r="O2398" s="2" t="str">
        <f aca="false">_xlfn.IFS(G2398&lt;0,"1 Negative",G2398=0,"2 Zero",G2398&lt;=500,"3 1-500",G2398&lt;=2000,"4 501-2000",TRUE(),"5 Above 2000")</f>
        <v>4 501-2000</v>
      </c>
      <c r="P2398" s="2" t="n">
        <f aca="false">Lookups!$B$2*M2398+Lookups!$B$3*L2398</f>
        <v>0</v>
      </c>
      <c r="Q2398" s="2" t="str">
        <f aca="false">INDEX(Lookups!$E$2:$E$5,MATCH(P2398,Lookups!$D$2:$D$5,0))</f>
        <v>Low</v>
      </c>
    </row>
    <row r="2399" customFormat="false" ht="15" hidden="false" customHeight="false" outlineLevel="0" collapsed="false">
      <c r="A2399" s="3" t="n">
        <v>2398</v>
      </c>
      <c r="B2399" s="3" t="n">
        <f aca="false">Raw_Data!A2399</f>
        <v>43</v>
      </c>
      <c r="C2399" s="3" t="str">
        <f aca="false">SUBSTITUTE(Raw_Data!B2399,".","")</f>
        <v>blue-collar</v>
      </c>
      <c r="D2399" s="3" t="str">
        <f aca="false">Raw_Data!C2399</f>
        <v>single</v>
      </c>
      <c r="E2399" s="3" t="str">
        <f aca="false">Raw_Data!D2399</f>
        <v>primary</v>
      </c>
      <c r="F2399" s="3" t="str">
        <f aca="false">Raw_Data!E2399</f>
        <v>no</v>
      </c>
      <c r="G2399" s="3" t="n">
        <f aca="false">Raw_Data!F2399</f>
        <v>30</v>
      </c>
      <c r="H2399" s="3" t="str">
        <f aca="false">Raw_Data!G2399</f>
        <v>yes</v>
      </c>
      <c r="I2399" s="3" t="str">
        <f aca="false">Raw_Data!H2399</f>
        <v>no</v>
      </c>
      <c r="J2399" s="2" t="n">
        <f aca="false">IF(F2399="yes",1,0)</f>
        <v>0</v>
      </c>
      <c r="K2399" s="2" t="n">
        <f aca="false">IF(H2399="yes",1,0)</f>
        <v>1</v>
      </c>
      <c r="L2399" s="2" t="n">
        <f aca="false">IF(I2399="yes",1,0)</f>
        <v>0</v>
      </c>
      <c r="M2399" s="2" t="n">
        <f aca="false">IF(G2399&lt;0,1,0)</f>
        <v>0</v>
      </c>
      <c r="N2399" s="2" t="str">
        <f aca="false">_xlfn.IFS(B2399&lt;30,"Under 30",B2399&lt;40,"30-39",B2399&lt;50,"40-49",B2399&lt;60,"50-59",TRUE(),"60+")</f>
        <v>40-49</v>
      </c>
      <c r="O2399" s="2" t="str">
        <f aca="false">_xlfn.IFS(G2399&lt;0,"1 Negative",G2399=0,"2 Zero",G2399&lt;=500,"3 1-500",G2399&lt;=2000,"4 501-2000",TRUE(),"5 Above 2000")</f>
        <v>3 1-500</v>
      </c>
      <c r="P2399" s="2" t="n">
        <f aca="false">Lookups!$B$2*M2399+Lookups!$B$3*L2399</f>
        <v>0</v>
      </c>
      <c r="Q2399" s="2" t="str">
        <f aca="false">INDEX(Lookups!$E$2:$E$5,MATCH(P2399,Lookups!$D$2:$D$5,0))</f>
        <v>Low</v>
      </c>
    </row>
    <row r="2400" customFormat="false" ht="15" hidden="false" customHeight="false" outlineLevel="0" collapsed="false">
      <c r="A2400" s="3" t="n">
        <v>2399</v>
      </c>
      <c r="B2400" s="3" t="n">
        <f aca="false">Raw_Data!A2400</f>
        <v>51</v>
      </c>
      <c r="C2400" s="3" t="str">
        <f aca="false">SUBSTITUTE(Raw_Data!B2400,".","")</f>
        <v>entrepreneur</v>
      </c>
      <c r="D2400" s="3" t="str">
        <f aca="false">Raw_Data!C2400</f>
        <v>married</v>
      </c>
      <c r="E2400" s="3" t="str">
        <f aca="false">Raw_Data!D2400</f>
        <v>secondary</v>
      </c>
      <c r="F2400" s="3" t="str">
        <f aca="false">Raw_Data!E2400</f>
        <v>yes</v>
      </c>
      <c r="G2400" s="3" t="n">
        <f aca="false">Raw_Data!F2400</f>
        <v>-2082</v>
      </c>
      <c r="H2400" s="3" t="str">
        <f aca="false">Raw_Data!G2400</f>
        <v>no</v>
      </c>
      <c r="I2400" s="3" t="str">
        <f aca="false">Raw_Data!H2400</f>
        <v>yes</v>
      </c>
      <c r="J2400" s="2" t="n">
        <f aca="false">IF(F2400="yes",1,0)</f>
        <v>1</v>
      </c>
      <c r="K2400" s="2" t="n">
        <f aca="false">IF(H2400="yes",1,0)</f>
        <v>0</v>
      </c>
      <c r="L2400" s="2" t="n">
        <f aca="false">IF(I2400="yes",1,0)</f>
        <v>1</v>
      </c>
      <c r="M2400" s="2" t="n">
        <f aca="false">IF(G2400&lt;0,1,0)</f>
        <v>1</v>
      </c>
      <c r="N2400" s="2" t="str">
        <f aca="false">_xlfn.IFS(B2400&lt;30,"Under 30",B2400&lt;40,"30-39",B2400&lt;50,"40-49",B2400&lt;60,"50-59",TRUE(),"60+")</f>
        <v>50-59</v>
      </c>
      <c r="O2400" s="2" t="str">
        <f aca="false">_xlfn.IFS(G2400&lt;0,"1 Negative",G2400=0,"2 Zero",G2400&lt;=500,"3 1-500",G2400&lt;=2000,"4 501-2000",TRUE(),"5 Above 2000")</f>
        <v>1 Negative</v>
      </c>
      <c r="P2400" s="2" t="n">
        <f aca="false">Lookups!$B$2*M2400+Lookups!$B$3*L2400</f>
        <v>3</v>
      </c>
      <c r="Q2400" s="2" t="str">
        <f aca="false">INDEX(Lookups!$E$2:$E$5,MATCH(P2400,Lookups!$D$2:$D$5,0))</f>
        <v>High</v>
      </c>
    </row>
    <row r="2401" customFormat="false" ht="15" hidden="false" customHeight="false" outlineLevel="0" collapsed="false">
      <c r="A2401" s="3" t="n">
        <v>2400</v>
      </c>
      <c r="B2401" s="3" t="n">
        <f aca="false">Raw_Data!A2401</f>
        <v>60</v>
      </c>
      <c r="C2401" s="3" t="str">
        <f aca="false">SUBSTITUTE(Raw_Data!B2401,".","")</f>
        <v>retired</v>
      </c>
      <c r="D2401" s="3" t="str">
        <f aca="false">Raw_Data!C2401</f>
        <v>married</v>
      </c>
      <c r="E2401" s="3" t="str">
        <f aca="false">Raw_Data!D2401</f>
        <v>secondary</v>
      </c>
      <c r="F2401" s="3" t="str">
        <f aca="false">Raw_Data!E2401</f>
        <v>no</v>
      </c>
      <c r="G2401" s="3" t="n">
        <f aca="false">Raw_Data!F2401</f>
        <v>89</v>
      </c>
      <c r="H2401" s="3" t="str">
        <f aca="false">Raw_Data!G2401</f>
        <v>no</v>
      </c>
      <c r="I2401" s="3" t="str">
        <f aca="false">Raw_Data!H2401</f>
        <v>no</v>
      </c>
      <c r="J2401" s="2" t="n">
        <f aca="false">IF(F2401="yes",1,0)</f>
        <v>0</v>
      </c>
      <c r="K2401" s="2" t="n">
        <f aca="false">IF(H2401="yes",1,0)</f>
        <v>0</v>
      </c>
      <c r="L2401" s="2" t="n">
        <f aca="false">IF(I2401="yes",1,0)</f>
        <v>0</v>
      </c>
      <c r="M2401" s="2" t="n">
        <f aca="false">IF(G2401&lt;0,1,0)</f>
        <v>0</v>
      </c>
      <c r="N2401" s="2" t="str">
        <f aca="false">_xlfn.IFS(B2401&lt;30,"Under 30",B2401&lt;40,"30-39",B2401&lt;50,"40-49",B2401&lt;60,"50-59",TRUE(),"60+")</f>
        <v>60+</v>
      </c>
      <c r="O2401" s="2" t="str">
        <f aca="false">_xlfn.IFS(G2401&lt;0,"1 Negative",G2401=0,"2 Zero",G2401&lt;=500,"3 1-500",G2401&lt;=2000,"4 501-2000",TRUE(),"5 Above 2000")</f>
        <v>3 1-500</v>
      </c>
      <c r="P2401" s="2" t="n">
        <f aca="false">Lookups!$B$2*M2401+Lookups!$B$3*L2401</f>
        <v>0</v>
      </c>
      <c r="Q2401" s="2" t="str">
        <f aca="false">INDEX(Lookups!$E$2:$E$5,MATCH(P2401,Lookups!$D$2:$D$5,0))</f>
        <v>Low</v>
      </c>
    </row>
    <row r="2402" customFormat="false" ht="15" hidden="false" customHeight="false" outlineLevel="0" collapsed="false">
      <c r="A2402" s="3" t="n">
        <v>2401</v>
      </c>
      <c r="B2402" s="3" t="n">
        <f aca="false">Raw_Data!A2402</f>
        <v>43</v>
      </c>
      <c r="C2402" s="3" t="str">
        <f aca="false">SUBSTITUTE(Raw_Data!B2402,".","")</f>
        <v>self-employed</v>
      </c>
      <c r="D2402" s="3" t="str">
        <f aca="false">Raw_Data!C2402</f>
        <v>married</v>
      </c>
      <c r="E2402" s="3" t="str">
        <f aca="false">Raw_Data!D2402</f>
        <v>secondary</v>
      </c>
      <c r="F2402" s="3" t="str">
        <f aca="false">Raw_Data!E2402</f>
        <v>no</v>
      </c>
      <c r="G2402" s="3" t="n">
        <f aca="false">Raw_Data!F2402</f>
        <v>104</v>
      </c>
      <c r="H2402" s="3" t="str">
        <f aca="false">Raw_Data!G2402</f>
        <v>no</v>
      </c>
      <c r="I2402" s="3" t="str">
        <f aca="false">Raw_Data!H2402</f>
        <v>no</v>
      </c>
      <c r="J2402" s="2" t="n">
        <f aca="false">IF(F2402="yes",1,0)</f>
        <v>0</v>
      </c>
      <c r="K2402" s="2" t="n">
        <f aca="false">IF(H2402="yes",1,0)</f>
        <v>0</v>
      </c>
      <c r="L2402" s="2" t="n">
        <f aca="false">IF(I2402="yes",1,0)</f>
        <v>0</v>
      </c>
      <c r="M2402" s="2" t="n">
        <f aca="false">IF(G2402&lt;0,1,0)</f>
        <v>0</v>
      </c>
      <c r="N2402" s="2" t="str">
        <f aca="false">_xlfn.IFS(B2402&lt;30,"Under 30",B2402&lt;40,"30-39",B2402&lt;50,"40-49",B2402&lt;60,"50-59",TRUE(),"60+")</f>
        <v>40-49</v>
      </c>
      <c r="O2402" s="2" t="str">
        <f aca="false">_xlfn.IFS(G2402&lt;0,"1 Negative",G2402=0,"2 Zero",G2402&lt;=500,"3 1-500",G2402&lt;=2000,"4 501-2000",TRUE(),"5 Above 2000")</f>
        <v>3 1-500</v>
      </c>
      <c r="P2402" s="2" t="n">
        <f aca="false">Lookups!$B$2*M2402+Lookups!$B$3*L2402</f>
        <v>0</v>
      </c>
      <c r="Q2402" s="2" t="str">
        <f aca="false">INDEX(Lookups!$E$2:$E$5,MATCH(P2402,Lookups!$D$2:$D$5,0))</f>
        <v>Low</v>
      </c>
    </row>
    <row r="2403" customFormat="false" ht="15" hidden="false" customHeight="false" outlineLevel="0" collapsed="false">
      <c r="A2403" s="3" t="n">
        <v>2402</v>
      </c>
      <c r="B2403" s="3" t="n">
        <f aca="false">Raw_Data!A2403</f>
        <v>31</v>
      </c>
      <c r="C2403" s="3" t="str">
        <f aca="false">SUBSTITUTE(Raw_Data!B2403,".","")</f>
        <v>management</v>
      </c>
      <c r="D2403" s="3" t="str">
        <f aca="false">Raw_Data!C2403</f>
        <v>married</v>
      </c>
      <c r="E2403" s="3" t="str">
        <f aca="false">Raw_Data!D2403</f>
        <v>tertiary</v>
      </c>
      <c r="F2403" s="3" t="str">
        <f aca="false">Raw_Data!E2403</f>
        <v>no</v>
      </c>
      <c r="G2403" s="3" t="n">
        <f aca="false">Raw_Data!F2403</f>
        <v>1750</v>
      </c>
      <c r="H2403" s="3" t="str">
        <f aca="false">Raw_Data!G2403</f>
        <v>yes</v>
      </c>
      <c r="I2403" s="3" t="str">
        <f aca="false">Raw_Data!H2403</f>
        <v>no</v>
      </c>
      <c r="J2403" s="2" t="n">
        <f aca="false">IF(F2403="yes",1,0)</f>
        <v>0</v>
      </c>
      <c r="K2403" s="2" t="n">
        <f aca="false">IF(H2403="yes",1,0)</f>
        <v>1</v>
      </c>
      <c r="L2403" s="2" t="n">
        <f aca="false">IF(I2403="yes",1,0)</f>
        <v>0</v>
      </c>
      <c r="M2403" s="2" t="n">
        <f aca="false">IF(G2403&lt;0,1,0)</f>
        <v>0</v>
      </c>
      <c r="N2403" s="2" t="str">
        <f aca="false">_xlfn.IFS(B2403&lt;30,"Under 30",B2403&lt;40,"30-39",B2403&lt;50,"40-49",B2403&lt;60,"50-59",TRUE(),"60+")</f>
        <v>30-39</v>
      </c>
      <c r="O2403" s="2" t="str">
        <f aca="false">_xlfn.IFS(G2403&lt;0,"1 Negative",G2403=0,"2 Zero",G2403&lt;=500,"3 1-500",G2403&lt;=2000,"4 501-2000",TRUE(),"5 Above 2000")</f>
        <v>4 501-2000</v>
      </c>
      <c r="P2403" s="2" t="n">
        <f aca="false">Lookups!$B$2*M2403+Lookups!$B$3*L2403</f>
        <v>0</v>
      </c>
      <c r="Q2403" s="2" t="str">
        <f aca="false">INDEX(Lookups!$E$2:$E$5,MATCH(P2403,Lookups!$D$2:$D$5,0))</f>
        <v>Low</v>
      </c>
    </row>
    <row r="2404" customFormat="false" ht="15" hidden="false" customHeight="false" outlineLevel="0" collapsed="false">
      <c r="A2404" s="3" t="n">
        <v>2403</v>
      </c>
      <c r="B2404" s="3" t="n">
        <f aca="false">Raw_Data!A2404</f>
        <v>56</v>
      </c>
      <c r="C2404" s="3" t="str">
        <f aca="false">SUBSTITUTE(Raw_Data!B2404,".","")</f>
        <v>management</v>
      </c>
      <c r="D2404" s="3" t="str">
        <f aca="false">Raw_Data!C2404</f>
        <v>married</v>
      </c>
      <c r="E2404" s="3" t="str">
        <f aca="false">Raw_Data!D2404</f>
        <v>primary</v>
      </c>
      <c r="F2404" s="3" t="str">
        <f aca="false">Raw_Data!E2404</f>
        <v>no</v>
      </c>
      <c r="G2404" s="3" t="n">
        <f aca="false">Raw_Data!F2404</f>
        <v>772</v>
      </c>
      <c r="H2404" s="3" t="str">
        <f aca="false">Raw_Data!G2404</f>
        <v>yes</v>
      </c>
      <c r="I2404" s="3" t="str">
        <f aca="false">Raw_Data!H2404</f>
        <v>no</v>
      </c>
      <c r="J2404" s="2" t="n">
        <f aca="false">IF(F2404="yes",1,0)</f>
        <v>0</v>
      </c>
      <c r="K2404" s="2" t="n">
        <f aca="false">IF(H2404="yes",1,0)</f>
        <v>1</v>
      </c>
      <c r="L2404" s="2" t="n">
        <f aca="false">IF(I2404="yes",1,0)</f>
        <v>0</v>
      </c>
      <c r="M2404" s="2" t="n">
        <f aca="false">IF(G2404&lt;0,1,0)</f>
        <v>0</v>
      </c>
      <c r="N2404" s="2" t="str">
        <f aca="false">_xlfn.IFS(B2404&lt;30,"Under 30",B2404&lt;40,"30-39",B2404&lt;50,"40-49",B2404&lt;60,"50-59",TRUE(),"60+")</f>
        <v>50-59</v>
      </c>
      <c r="O2404" s="2" t="str">
        <f aca="false">_xlfn.IFS(G2404&lt;0,"1 Negative",G2404=0,"2 Zero",G2404&lt;=500,"3 1-500",G2404&lt;=2000,"4 501-2000",TRUE(),"5 Above 2000")</f>
        <v>4 501-2000</v>
      </c>
      <c r="P2404" s="2" t="n">
        <f aca="false">Lookups!$B$2*M2404+Lookups!$B$3*L2404</f>
        <v>0</v>
      </c>
      <c r="Q2404" s="2" t="str">
        <f aca="false">INDEX(Lookups!$E$2:$E$5,MATCH(P2404,Lookups!$D$2:$D$5,0))</f>
        <v>Low</v>
      </c>
    </row>
    <row r="2405" customFormat="false" ht="15" hidden="false" customHeight="false" outlineLevel="0" collapsed="false">
      <c r="A2405" s="3" t="n">
        <v>2404</v>
      </c>
      <c r="B2405" s="3" t="n">
        <f aca="false">Raw_Data!A2405</f>
        <v>42</v>
      </c>
      <c r="C2405" s="3" t="str">
        <f aca="false">SUBSTITUTE(Raw_Data!B2405,".","")</f>
        <v>technician</v>
      </c>
      <c r="D2405" s="3" t="str">
        <f aca="false">Raw_Data!C2405</f>
        <v>married</v>
      </c>
      <c r="E2405" s="3" t="str">
        <f aca="false">Raw_Data!D2405</f>
        <v>secondary</v>
      </c>
      <c r="F2405" s="3" t="str">
        <f aca="false">Raw_Data!E2405</f>
        <v>no</v>
      </c>
      <c r="G2405" s="3" t="n">
        <f aca="false">Raw_Data!F2405</f>
        <v>1048</v>
      </c>
      <c r="H2405" s="3" t="str">
        <f aca="false">Raw_Data!G2405</f>
        <v>yes</v>
      </c>
      <c r="I2405" s="3" t="str">
        <f aca="false">Raw_Data!H2405</f>
        <v>no</v>
      </c>
      <c r="J2405" s="2" t="n">
        <f aca="false">IF(F2405="yes",1,0)</f>
        <v>0</v>
      </c>
      <c r="K2405" s="2" t="n">
        <f aca="false">IF(H2405="yes",1,0)</f>
        <v>1</v>
      </c>
      <c r="L2405" s="2" t="n">
        <f aca="false">IF(I2405="yes",1,0)</f>
        <v>0</v>
      </c>
      <c r="M2405" s="2" t="n">
        <f aca="false">IF(G2405&lt;0,1,0)</f>
        <v>0</v>
      </c>
      <c r="N2405" s="2" t="str">
        <f aca="false">_xlfn.IFS(B2405&lt;30,"Under 30",B2405&lt;40,"30-39",B2405&lt;50,"40-49",B2405&lt;60,"50-59",TRUE(),"60+")</f>
        <v>40-49</v>
      </c>
      <c r="O2405" s="2" t="str">
        <f aca="false">_xlfn.IFS(G2405&lt;0,"1 Negative",G2405=0,"2 Zero",G2405&lt;=500,"3 1-500",G2405&lt;=2000,"4 501-2000",TRUE(),"5 Above 2000")</f>
        <v>4 501-2000</v>
      </c>
      <c r="P2405" s="2" t="n">
        <f aca="false">Lookups!$B$2*M2405+Lookups!$B$3*L2405</f>
        <v>0</v>
      </c>
      <c r="Q2405" s="2" t="str">
        <f aca="false">INDEX(Lookups!$E$2:$E$5,MATCH(P2405,Lookups!$D$2:$D$5,0))</f>
        <v>Low</v>
      </c>
    </row>
    <row r="2406" customFormat="false" ht="15" hidden="false" customHeight="false" outlineLevel="0" collapsed="false">
      <c r="A2406" s="3" t="n">
        <v>2405</v>
      </c>
      <c r="B2406" s="3" t="n">
        <f aca="false">Raw_Data!A2406</f>
        <v>52</v>
      </c>
      <c r="C2406" s="3" t="str">
        <f aca="false">SUBSTITUTE(Raw_Data!B2406,".","")</f>
        <v>entrepreneur</v>
      </c>
      <c r="D2406" s="3" t="str">
        <f aca="false">Raw_Data!C2406</f>
        <v>married</v>
      </c>
      <c r="E2406" s="3" t="str">
        <f aca="false">Raw_Data!D2406</f>
        <v>primary</v>
      </c>
      <c r="F2406" s="3" t="str">
        <f aca="false">Raw_Data!E2406</f>
        <v>no</v>
      </c>
      <c r="G2406" s="3" t="n">
        <f aca="false">Raw_Data!F2406</f>
        <v>592</v>
      </c>
      <c r="H2406" s="3" t="str">
        <f aca="false">Raw_Data!G2406</f>
        <v>no</v>
      </c>
      <c r="I2406" s="3" t="str">
        <f aca="false">Raw_Data!H2406</f>
        <v>no</v>
      </c>
      <c r="J2406" s="2" t="n">
        <f aca="false">IF(F2406="yes",1,0)</f>
        <v>0</v>
      </c>
      <c r="K2406" s="2" t="n">
        <f aca="false">IF(H2406="yes",1,0)</f>
        <v>0</v>
      </c>
      <c r="L2406" s="2" t="n">
        <f aca="false">IF(I2406="yes",1,0)</f>
        <v>0</v>
      </c>
      <c r="M2406" s="2" t="n">
        <f aca="false">IF(G2406&lt;0,1,0)</f>
        <v>0</v>
      </c>
      <c r="N2406" s="2" t="str">
        <f aca="false">_xlfn.IFS(B2406&lt;30,"Under 30",B2406&lt;40,"30-39",B2406&lt;50,"40-49",B2406&lt;60,"50-59",TRUE(),"60+")</f>
        <v>50-59</v>
      </c>
      <c r="O2406" s="2" t="str">
        <f aca="false">_xlfn.IFS(G2406&lt;0,"1 Negative",G2406=0,"2 Zero",G2406&lt;=500,"3 1-500",G2406&lt;=2000,"4 501-2000",TRUE(),"5 Above 2000")</f>
        <v>4 501-2000</v>
      </c>
      <c r="P2406" s="2" t="n">
        <f aca="false">Lookups!$B$2*M2406+Lookups!$B$3*L2406</f>
        <v>0</v>
      </c>
      <c r="Q2406" s="2" t="str">
        <f aca="false">INDEX(Lookups!$E$2:$E$5,MATCH(P2406,Lookups!$D$2:$D$5,0))</f>
        <v>Low</v>
      </c>
    </row>
    <row r="2407" customFormat="false" ht="15" hidden="false" customHeight="false" outlineLevel="0" collapsed="false">
      <c r="A2407" s="3" t="n">
        <v>2406</v>
      </c>
      <c r="B2407" s="3" t="n">
        <f aca="false">Raw_Data!A2407</f>
        <v>40</v>
      </c>
      <c r="C2407" s="3" t="str">
        <f aca="false">SUBSTITUTE(Raw_Data!B2407,".","")</f>
        <v>technician</v>
      </c>
      <c r="D2407" s="3" t="str">
        <f aca="false">Raw_Data!C2407</f>
        <v>married</v>
      </c>
      <c r="E2407" s="3" t="str">
        <f aca="false">Raw_Data!D2407</f>
        <v>secondary</v>
      </c>
      <c r="F2407" s="3" t="str">
        <f aca="false">Raw_Data!E2407</f>
        <v>no</v>
      </c>
      <c r="G2407" s="3" t="n">
        <f aca="false">Raw_Data!F2407</f>
        <v>0</v>
      </c>
      <c r="H2407" s="3" t="str">
        <f aca="false">Raw_Data!G2407</f>
        <v>yes</v>
      </c>
      <c r="I2407" s="3" t="str">
        <f aca="false">Raw_Data!H2407</f>
        <v>yes</v>
      </c>
      <c r="J2407" s="2" t="n">
        <f aca="false">IF(F2407="yes",1,0)</f>
        <v>0</v>
      </c>
      <c r="K2407" s="2" t="n">
        <f aca="false">IF(H2407="yes",1,0)</f>
        <v>1</v>
      </c>
      <c r="L2407" s="2" t="n">
        <f aca="false">IF(I2407="yes",1,0)</f>
        <v>1</v>
      </c>
      <c r="M2407" s="2" t="n">
        <f aca="false">IF(G2407&lt;0,1,0)</f>
        <v>0</v>
      </c>
      <c r="N2407" s="2" t="str">
        <f aca="false">_xlfn.IFS(B2407&lt;30,"Under 30",B2407&lt;40,"30-39",B2407&lt;50,"40-49",B2407&lt;60,"50-59",TRUE(),"60+")</f>
        <v>40-49</v>
      </c>
      <c r="O2407" s="2" t="str">
        <f aca="false">_xlfn.IFS(G2407&lt;0,"1 Negative",G2407=0,"2 Zero",G2407&lt;=500,"3 1-500",G2407&lt;=2000,"4 501-2000",TRUE(),"5 Above 2000")</f>
        <v>2 Zero</v>
      </c>
      <c r="P2407" s="2" t="n">
        <f aca="false">Lookups!$B$2*M2407+Lookups!$B$3*L2407</f>
        <v>1</v>
      </c>
      <c r="Q2407" s="2" t="str">
        <f aca="false">INDEX(Lookups!$E$2:$E$5,MATCH(P2407,Lookups!$D$2:$D$5,0))</f>
        <v>Medium</v>
      </c>
    </row>
    <row r="2408" customFormat="false" ht="15" hidden="false" customHeight="false" outlineLevel="0" collapsed="false">
      <c r="A2408" s="3" t="n">
        <v>2407</v>
      </c>
      <c r="B2408" s="3" t="n">
        <f aca="false">Raw_Data!A2408</f>
        <v>36</v>
      </c>
      <c r="C2408" s="3" t="str">
        <f aca="false">SUBSTITUTE(Raw_Data!B2408,".","")</f>
        <v>services</v>
      </c>
      <c r="D2408" s="3" t="str">
        <f aca="false">Raw_Data!C2408</f>
        <v>married</v>
      </c>
      <c r="E2408" s="3" t="str">
        <f aca="false">Raw_Data!D2408</f>
        <v>secondary</v>
      </c>
      <c r="F2408" s="3" t="str">
        <f aca="false">Raw_Data!E2408</f>
        <v>no</v>
      </c>
      <c r="G2408" s="3" t="n">
        <f aca="false">Raw_Data!F2408</f>
        <v>3064</v>
      </c>
      <c r="H2408" s="3" t="str">
        <f aca="false">Raw_Data!G2408</f>
        <v>yes</v>
      </c>
      <c r="I2408" s="3" t="str">
        <f aca="false">Raw_Data!H2408</f>
        <v>no</v>
      </c>
      <c r="J2408" s="2" t="n">
        <f aca="false">IF(F2408="yes",1,0)</f>
        <v>0</v>
      </c>
      <c r="K2408" s="2" t="n">
        <f aca="false">IF(H2408="yes",1,0)</f>
        <v>1</v>
      </c>
      <c r="L2408" s="2" t="n">
        <f aca="false">IF(I2408="yes",1,0)</f>
        <v>0</v>
      </c>
      <c r="M2408" s="2" t="n">
        <f aca="false">IF(G2408&lt;0,1,0)</f>
        <v>0</v>
      </c>
      <c r="N2408" s="2" t="str">
        <f aca="false">_xlfn.IFS(B2408&lt;30,"Under 30",B2408&lt;40,"30-39",B2408&lt;50,"40-49",B2408&lt;60,"50-59",TRUE(),"60+")</f>
        <v>30-39</v>
      </c>
      <c r="O2408" s="2" t="str">
        <f aca="false">_xlfn.IFS(G2408&lt;0,"1 Negative",G2408=0,"2 Zero",G2408&lt;=500,"3 1-500",G2408&lt;=2000,"4 501-2000",TRUE(),"5 Above 2000")</f>
        <v>5 Above 2000</v>
      </c>
      <c r="P2408" s="2" t="n">
        <f aca="false">Lookups!$B$2*M2408+Lookups!$B$3*L2408</f>
        <v>0</v>
      </c>
      <c r="Q2408" s="2" t="str">
        <f aca="false">INDEX(Lookups!$E$2:$E$5,MATCH(P2408,Lookups!$D$2:$D$5,0))</f>
        <v>Low</v>
      </c>
    </row>
    <row r="2409" customFormat="false" ht="15" hidden="false" customHeight="false" outlineLevel="0" collapsed="false">
      <c r="A2409" s="3" t="n">
        <v>2408</v>
      </c>
      <c r="B2409" s="3" t="n">
        <f aca="false">Raw_Data!A2409</f>
        <v>40</v>
      </c>
      <c r="C2409" s="3" t="str">
        <f aca="false">SUBSTITUTE(Raw_Data!B2409,".","")</f>
        <v>services</v>
      </c>
      <c r="D2409" s="3" t="str">
        <f aca="false">Raw_Data!C2409</f>
        <v>married</v>
      </c>
      <c r="E2409" s="3" t="str">
        <f aca="false">Raw_Data!D2409</f>
        <v>primary</v>
      </c>
      <c r="F2409" s="3" t="str">
        <f aca="false">Raw_Data!E2409</f>
        <v>no</v>
      </c>
      <c r="G2409" s="3" t="n">
        <f aca="false">Raw_Data!F2409</f>
        <v>33</v>
      </c>
      <c r="H2409" s="3" t="str">
        <f aca="false">Raw_Data!G2409</f>
        <v>no</v>
      </c>
      <c r="I2409" s="3" t="str">
        <f aca="false">Raw_Data!H2409</f>
        <v>no</v>
      </c>
      <c r="J2409" s="2" t="n">
        <f aca="false">IF(F2409="yes",1,0)</f>
        <v>0</v>
      </c>
      <c r="K2409" s="2" t="n">
        <f aca="false">IF(H2409="yes",1,0)</f>
        <v>0</v>
      </c>
      <c r="L2409" s="2" t="n">
        <f aca="false">IF(I2409="yes",1,0)</f>
        <v>0</v>
      </c>
      <c r="M2409" s="2" t="n">
        <f aca="false">IF(G2409&lt;0,1,0)</f>
        <v>0</v>
      </c>
      <c r="N2409" s="2" t="str">
        <f aca="false">_xlfn.IFS(B2409&lt;30,"Under 30",B2409&lt;40,"30-39",B2409&lt;50,"40-49",B2409&lt;60,"50-59",TRUE(),"60+")</f>
        <v>40-49</v>
      </c>
      <c r="O2409" s="2" t="str">
        <f aca="false">_xlfn.IFS(G2409&lt;0,"1 Negative",G2409=0,"2 Zero",G2409&lt;=500,"3 1-500",G2409&lt;=2000,"4 501-2000",TRUE(),"5 Above 2000")</f>
        <v>3 1-500</v>
      </c>
      <c r="P2409" s="2" t="n">
        <f aca="false">Lookups!$B$2*M2409+Lookups!$B$3*L2409</f>
        <v>0</v>
      </c>
      <c r="Q2409" s="2" t="str">
        <f aca="false">INDEX(Lookups!$E$2:$E$5,MATCH(P2409,Lookups!$D$2:$D$5,0))</f>
        <v>Low</v>
      </c>
    </row>
    <row r="2410" customFormat="false" ht="15" hidden="false" customHeight="false" outlineLevel="0" collapsed="false">
      <c r="A2410" s="3" t="n">
        <v>2409</v>
      </c>
      <c r="B2410" s="3" t="n">
        <f aca="false">Raw_Data!A2410</f>
        <v>46</v>
      </c>
      <c r="C2410" s="3" t="str">
        <f aca="false">SUBSTITUTE(Raw_Data!B2410,".","")</f>
        <v>blue-collar</v>
      </c>
      <c r="D2410" s="3" t="str">
        <f aca="false">Raw_Data!C2410</f>
        <v>married</v>
      </c>
      <c r="E2410" s="3" t="str">
        <f aca="false">Raw_Data!D2410</f>
        <v>secondary</v>
      </c>
      <c r="F2410" s="3" t="str">
        <f aca="false">Raw_Data!E2410</f>
        <v>no</v>
      </c>
      <c r="G2410" s="3" t="n">
        <f aca="false">Raw_Data!F2410</f>
        <v>0</v>
      </c>
      <c r="H2410" s="3" t="str">
        <f aca="false">Raw_Data!G2410</f>
        <v>yes</v>
      </c>
      <c r="I2410" s="3" t="str">
        <f aca="false">Raw_Data!H2410</f>
        <v>no</v>
      </c>
      <c r="J2410" s="2" t="n">
        <f aca="false">IF(F2410="yes",1,0)</f>
        <v>0</v>
      </c>
      <c r="K2410" s="2" t="n">
        <f aca="false">IF(H2410="yes",1,0)</f>
        <v>1</v>
      </c>
      <c r="L2410" s="2" t="n">
        <f aca="false">IF(I2410="yes",1,0)</f>
        <v>0</v>
      </c>
      <c r="M2410" s="2" t="n">
        <f aca="false">IF(G2410&lt;0,1,0)</f>
        <v>0</v>
      </c>
      <c r="N2410" s="2" t="str">
        <f aca="false">_xlfn.IFS(B2410&lt;30,"Under 30",B2410&lt;40,"30-39",B2410&lt;50,"40-49",B2410&lt;60,"50-59",TRUE(),"60+")</f>
        <v>40-49</v>
      </c>
      <c r="O2410" s="2" t="str">
        <f aca="false">_xlfn.IFS(G2410&lt;0,"1 Negative",G2410=0,"2 Zero",G2410&lt;=500,"3 1-500",G2410&lt;=2000,"4 501-2000",TRUE(),"5 Above 2000")</f>
        <v>2 Zero</v>
      </c>
      <c r="P2410" s="2" t="n">
        <f aca="false">Lookups!$B$2*M2410+Lookups!$B$3*L2410</f>
        <v>0</v>
      </c>
      <c r="Q2410" s="2" t="str">
        <f aca="false">INDEX(Lookups!$E$2:$E$5,MATCH(P2410,Lookups!$D$2:$D$5,0))</f>
        <v>Low</v>
      </c>
    </row>
    <row r="2411" customFormat="false" ht="15" hidden="false" customHeight="false" outlineLevel="0" collapsed="false">
      <c r="A2411" s="3" t="n">
        <v>2410</v>
      </c>
      <c r="B2411" s="3" t="n">
        <f aca="false">Raw_Data!A2411</f>
        <v>32</v>
      </c>
      <c r="C2411" s="3" t="str">
        <f aca="false">SUBSTITUTE(Raw_Data!B2411,".","")</f>
        <v>admin</v>
      </c>
      <c r="D2411" s="3" t="str">
        <f aca="false">Raw_Data!C2411</f>
        <v>single</v>
      </c>
      <c r="E2411" s="3" t="str">
        <f aca="false">Raw_Data!D2411</f>
        <v>secondary</v>
      </c>
      <c r="F2411" s="3" t="str">
        <f aca="false">Raw_Data!E2411</f>
        <v>no</v>
      </c>
      <c r="G2411" s="3" t="n">
        <f aca="false">Raw_Data!F2411</f>
        <v>1649</v>
      </c>
      <c r="H2411" s="3" t="str">
        <f aca="false">Raw_Data!G2411</f>
        <v>no</v>
      </c>
      <c r="I2411" s="3" t="str">
        <f aca="false">Raw_Data!H2411</f>
        <v>no</v>
      </c>
      <c r="J2411" s="2" t="n">
        <f aca="false">IF(F2411="yes",1,0)</f>
        <v>0</v>
      </c>
      <c r="K2411" s="2" t="n">
        <f aca="false">IF(H2411="yes",1,0)</f>
        <v>0</v>
      </c>
      <c r="L2411" s="2" t="n">
        <f aca="false">IF(I2411="yes",1,0)</f>
        <v>0</v>
      </c>
      <c r="M2411" s="2" t="n">
        <f aca="false">IF(G2411&lt;0,1,0)</f>
        <v>0</v>
      </c>
      <c r="N2411" s="2" t="str">
        <f aca="false">_xlfn.IFS(B2411&lt;30,"Under 30",B2411&lt;40,"30-39",B2411&lt;50,"40-49",B2411&lt;60,"50-59",TRUE(),"60+")</f>
        <v>30-39</v>
      </c>
      <c r="O2411" s="2" t="str">
        <f aca="false">_xlfn.IFS(G2411&lt;0,"1 Negative",G2411=0,"2 Zero",G2411&lt;=500,"3 1-500",G2411&lt;=2000,"4 501-2000",TRUE(),"5 Above 2000")</f>
        <v>4 501-2000</v>
      </c>
      <c r="P2411" s="2" t="n">
        <f aca="false">Lookups!$B$2*M2411+Lookups!$B$3*L2411</f>
        <v>0</v>
      </c>
      <c r="Q2411" s="2" t="str">
        <f aca="false">INDEX(Lookups!$E$2:$E$5,MATCH(P2411,Lookups!$D$2:$D$5,0))</f>
        <v>Low</v>
      </c>
    </row>
    <row r="2412" customFormat="false" ht="15" hidden="false" customHeight="false" outlineLevel="0" collapsed="false">
      <c r="A2412" s="3" t="n">
        <v>2411</v>
      </c>
      <c r="B2412" s="3" t="n">
        <f aca="false">Raw_Data!A2412</f>
        <v>31</v>
      </c>
      <c r="C2412" s="3" t="str">
        <f aca="false">SUBSTITUTE(Raw_Data!B2412,".","")</f>
        <v>housemaid</v>
      </c>
      <c r="D2412" s="3" t="str">
        <f aca="false">Raw_Data!C2412</f>
        <v>single</v>
      </c>
      <c r="E2412" s="3" t="str">
        <f aca="false">Raw_Data!D2412</f>
        <v>tertiary</v>
      </c>
      <c r="F2412" s="3" t="str">
        <f aca="false">Raw_Data!E2412</f>
        <v>no</v>
      </c>
      <c r="G2412" s="3" t="n">
        <f aca="false">Raw_Data!F2412</f>
        <v>287</v>
      </c>
      <c r="H2412" s="3" t="str">
        <f aca="false">Raw_Data!G2412</f>
        <v>yes</v>
      </c>
      <c r="I2412" s="3" t="str">
        <f aca="false">Raw_Data!H2412</f>
        <v>no</v>
      </c>
      <c r="J2412" s="2" t="n">
        <f aca="false">IF(F2412="yes",1,0)</f>
        <v>0</v>
      </c>
      <c r="K2412" s="2" t="n">
        <f aca="false">IF(H2412="yes",1,0)</f>
        <v>1</v>
      </c>
      <c r="L2412" s="2" t="n">
        <f aca="false">IF(I2412="yes",1,0)</f>
        <v>0</v>
      </c>
      <c r="M2412" s="2" t="n">
        <f aca="false">IF(G2412&lt;0,1,0)</f>
        <v>0</v>
      </c>
      <c r="N2412" s="2" t="str">
        <f aca="false">_xlfn.IFS(B2412&lt;30,"Under 30",B2412&lt;40,"30-39",B2412&lt;50,"40-49",B2412&lt;60,"50-59",TRUE(),"60+")</f>
        <v>30-39</v>
      </c>
      <c r="O2412" s="2" t="str">
        <f aca="false">_xlfn.IFS(G2412&lt;0,"1 Negative",G2412=0,"2 Zero",G2412&lt;=500,"3 1-500",G2412&lt;=2000,"4 501-2000",TRUE(),"5 Above 2000")</f>
        <v>3 1-500</v>
      </c>
      <c r="P2412" s="2" t="n">
        <f aca="false">Lookups!$B$2*M2412+Lookups!$B$3*L2412</f>
        <v>0</v>
      </c>
      <c r="Q2412" s="2" t="str">
        <f aca="false">INDEX(Lookups!$E$2:$E$5,MATCH(P2412,Lookups!$D$2:$D$5,0))</f>
        <v>Low</v>
      </c>
    </row>
    <row r="2413" customFormat="false" ht="15" hidden="false" customHeight="false" outlineLevel="0" collapsed="false">
      <c r="A2413" s="3" t="n">
        <v>2412</v>
      </c>
      <c r="B2413" s="3" t="n">
        <f aca="false">Raw_Data!A2413</f>
        <v>41</v>
      </c>
      <c r="C2413" s="3" t="str">
        <f aca="false">SUBSTITUTE(Raw_Data!B2413,".","")</f>
        <v>technician</v>
      </c>
      <c r="D2413" s="3" t="str">
        <f aca="false">Raw_Data!C2413</f>
        <v>divorced</v>
      </c>
      <c r="E2413" s="3" t="str">
        <f aca="false">Raw_Data!D2413</f>
        <v>secondary</v>
      </c>
      <c r="F2413" s="3" t="str">
        <f aca="false">Raw_Data!E2413</f>
        <v>no</v>
      </c>
      <c r="G2413" s="3" t="n">
        <f aca="false">Raw_Data!F2413</f>
        <v>0</v>
      </c>
      <c r="H2413" s="3" t="str">
        <f aca="false">Raw_Data!G2413</f>
        <v>yes</v>
      </c>
      <c r="I2413" s="3" t="str">
        <f aca="false">Raw_Data!H2413</f>
        <v>no</v>
      </c>
      <c r="J2413" s="2" t="n">
        <f aca="false">IF(F2413="yes",1,0)</f>
        <v>0</v>
      </c>
      <c r="K2413" s="2" t="n">
        <f aca="false">IF(H2413="yes",1,0)</f>
        <v>1</v>
      </c>
      <c r="L2413" s="2" t="n">
        <f aca="false">IF(I2413="yes",1,0)</f>
        <v>0</v>
      </c>
      <c r="M2413" s="2" t="n">
        <f aca="false">IF(G2413&lt;0,1,0)</f>
        <v>0</v>
      </c>
      <c r="N2413" s="2" t="str">
        <f aca="false">_xlfn.IFS(B2413&lt;30,"Under 30",B2413&lt;40,"30-39",B2413&lt;50,"40-49",B2413&lt;60,"50-59",TRUE(),"60+")</f>
        <v>40-49</v>
      </c>
      <c r="O2413" s="2" t="str">
        <f aca="false">_xlfn.IFS(G2413&lt;0,"1 Negative",G2413=0,"2 Zero",G2413&lt;=500,"3 1-500",G2413&lt;=2000,"4 501-2000",TRUE(),"5 Above 2000")</f>
        <v>2 Zero</v>
      </c>
      <c r="P2413" s="2" t="n">
        <f aca="false">Lookups!$B$2*M2413+Lookups!$B$3*L2413</f>
        <v>0</v>
      </c>
      <c r="Q2413" s="2" t="str">
        <f aca="false">INDEX(Lookups!$E$2:$E$5,MATCH(P2413,Lookups!$D$2:$D$5,0))</f>
        <v>Low</v>
      </c>
    </row>
    <row r="2414" customFormat="false" ht="15" hidden="false" customHeight="false" outlineLevel="0" collapsed="false">
      <c r="A2414" s="3" t="n">
        <v>2413</v>
      </c>
      <c r="B2414" s="3" t="n">
        <f aca="false">Raw_Data!A2414</f>
        <v>58</v>
      </c>
      <c r="C2414" s="3" t="str">
        <f aca="false">SUBSTITUTE(Raw_Data!B2414,".","")</f>
        <v>housemaid</v>
      </c>
      <c r="D2414" s="3" t="str">
        <f aca="false">Raw_Data!C2414</f>
        <v>married</v>
      </c>
      <c r="E2414" s="3" t="str">
        <f aca="false">Raw_Data!D2414</f>
        <v>primary</v>
      </c>
      <c r="F2414" s="3" t="str">
        <f aca="false">Raw_Data!E2414</f>
        <v>no</v>
      </c>
      <c r="G2414" s="3" t="n">
        <f aca="false">Raw_Data!F2414</f>
        <v>419</v>
      </c>
      <c r="H2414" s="3" t="str">
        <f aca="false">Raw_Data!G2414</f>
        <v>no</v>
      </c>
      <c r="I2414" s="3" t="str">
        <f aca="false">Raw_Data!H2414</f>
        <v>yes</v>
      </c>
      <c r="J2414" s="2" t="n">
        <f aca="false">IF(F2414="yes",1,0)</f>
        <v>0</v>
      </c>
      <c r="K2414" s="2" t="n">
        <f aca="false">IF(H2414="yes",1,0)</f>
        <v>0</v>
      </c>
      <c r="L2414" s="2" t="n">
        <f aca="false">IF(I2414="yes",1,0)</f>
        <v>1</v>
      </c>
      <c r="M2414" s="2" t="n">
        <f aca="false">IF(G2414&lt;0,1,0)</f>
        <v>0</v>
      </c>
      <c r="N2414" s="2" t="str">
        <f aca="false">_xlfn.IFS(B2414&lt;30,"Under 30",B2414&lt;40,"30-39",B2414&lt;50,"40-49",B2414&lt;60,"50-59",TRUE(),"60+")</f>
        <v>50-59</v>
      </c>
      <c r="O2414" s="2" t="str">
        <f aca="false">_xlfn.IFS(G2414&lt;0,"1 Negative",G2414=0,"2 Zero",G2414&lt;=500,"3 1-500",G2414&lt;=2000,"4 501-2000",TRUE(),"5 Above 2000")</f>
        <v>3 1-500</v>
      </c>
      <c r="P2414" s="2" t="n">
        <f aca="false">Lookups!$B$2*M2414+Lookups!$B$3*L2414</f>
        <v>1</v>
      </c>
      <c r="Q2414" s="2" t="str">
        <f aca="false">INDEX(Lookups!$E$2:$E$5,MATCH(P2414,Lookups!$D$2:$D$5,0))</f>
        <v>Medium</v>
      </c>
    </row>
    <row r="2415" customFormat="false" ht="15" hidden="false" customHeight="false" outlineLevel="0" collapsed="false">
      <c r="A2415" s="3" t="n">
        <v>2414</v>
      </c>
      <c r="B2415" s="3" t="n">
        <f aca="false">Raw_Data!A2415</f>
        <v>36</v>
      </c>
      <c r="C2415" s="3" t="str">
        <f aca="false">SUBSTITUTE(Raw_Data!B2415,".","")</f>
        <v>services</v>
      </c>
      <c r="D2415" s="3" t="str">
        <f aca="false">Raw_Data!C2415</f>
        <v>married</v>
      </c>
      <c r="E2415" s="3" t="str">
        <f aca="false">Raw_Data!D2415</f>
        <v>secondary</v>
      </c>
      <c r="F2415" s="3" t="str">
        <f aca="false">Raw_Data!E2415</f>
        <v>no</v>
      </c>
      <c r="G2415" s="3" t="n">
        <f aca="false">Raw_Data!F2415</f>
        <v>257</v>
      </c>
      <c r="H2415" s="3" t="str">
        <f aca="false">Raw_Data!G2415</f>
        <v>yes</v>
      </c>
      <c r="I2415" s="3" t="str">
        <f aca="false">Raw_Data!H2415</f>
        <v>no</v>
      </c>
      <c r="J2415" s="2" t="n">
        <f aca="false">IF(F2415="yes",1,0)</f>
        <v>0</v>
      </c>
      <c r="K2415" s="2" t="n">
        <f aca="false">IF(H2415="yes",1,0)</f>
        <v>1</v>
      </c>
      <c r="L2415" s="2" t="n">
        <f aca="false">IF(I2415="yes",1,0)</f>
        <v>0</v>
      </c>
      <c r="M2415" s="2" t="n">
        <f aca="false">IF(G2415&lt;0,1,0)</f>
        <v>0</v>
      </c>
      <c r="N2415" s="2" t="str">
        <f aca="false">_xlfn.IFS(B2415&lt;30,"Under 30",B2415&lt;40,"30-39",B2415&lt;50,"40-49",B2415&lt;60,"50-59",TRUE(),"60+")</f>
        <v>30-39</v>
      </c>
      <c r="O2415" s="2" t="str">
        <f aca="false">_xlfn.IFS(G2415&lt;0,"1 Negative",G2415=0,"2 Zero",G2415&lt;=500,"3 1-500",G2415&lt;=2000,"4 501-2000",TRUE(),"5 Above 2000")</f>
        <v>3 1-500</v>
      </c>
      <c r="P2415" s="2" t="n">
        <f aca="false">Lookups!$B$2*M2415+Lookups!$B$3*L2415</f>
        <v>0</v>
      </c>
      <c r="Q2415" s="2" t="str">
        <f aca="false">INDEX(Lookups!$E$2:$E$5,MATCH(P2415,Lookups!$D$2:$D$5,0))</f>
        <v>Low</v>
      </c>
    </row>
    <row r="2416" customFormat="false" ht="15" hidden="false" customHeight="false" outlineLevel="0" collapsed="false">
      <c r="A2416" s="3" t="n">
        <v>2415</v>
      </c>
      <c r="B2416" s="3" t="n">
        <f aca="false">Raw_Data!A2416</f>
        <v>52</v>
      </c>
      <c r="C2416" s="3" t="str">
        <f aca="false">SUBSTITUTE(Raw_Data!B2416,".","")</f>
        <v>technician</v>
      </c>
      <c r="D2416" s="3" t="str">
        <f aca="false">Raw_Data!C2416</f>
        <v>married</v>
      </c>
      <c r="E2416" s="3" t="str">
        <f aca="false">Raw_Data!D2416</f>
        <v>secondary</v>
      </c>
      <c r="F2416" s="3" t="str">
        <f aca="false">Raw_Data!E2416</f>
        <v>no</v>
      </c>
      <c r="G2416" s="3" t="n">
        <f aca="false">Raw_Data!F2416</f>
        <v>118</v>
      </c>
      <c r="H2416" s="3" t="str">
        <f aca="false">Raw_Data!G2416</f>
        <v>no</v>
      </c>
      <c r="I2416" s="3" t="str">
        <f aca="false">Raw_Data!H2416</f>
        <v>no</v>
      </c>
      <c r="J2416" s="2" t="n">
        <f aca="false">IF(F2416="yes",1,0)</f>
        <v>0</v>
      </c>
      <c r="K2416" s="2" t="n">
        <f aca="false">IF(H2416="yes",1,0)</f>
        <v>0</v>
      </c>
      <c r="L2416" s="2" t="n">
        <f aca="false">IF(I2416="yes",1,0)</f>
        <v>0</v>
      </c>
      <c r="M2416" s="2" t="n">
        <f aca="false">IF(G2416&lt;0,1,0)</f>
        <v>0</v>
      </c>
      <c r="N2416" s="2" t="str">
        <f aca="false">_xlfn.IFS(B2416&lt;30,"Under 30",B2416&lt;40,"30-39",B2416&lt;50,"40-49",B2416&lt;60,"50-59",TRUE(),"60+")</f>
        <v>50-59</v>
      </c>
      <c r="O2416" s="2" t="str">
        <f aca="false">_xlfn.IFS(G2416&lt;0,"1 Negative",G2416=0,"2 Zero",G2416&lt;=500,"3 1-500",G2416&lt;=2000,"4 501-2000",TRUE(),"5 Above 2000")</f>
        <v>3 1-500</v>
      </c>
      <c r="P2416" s="2" t="n">
        <f aca="false">Lookups!$B$2*M2416+Lookups!$B$3*L2416</f>
        <v>0</v>
      </c>
      <c r="Q2416" s="2" t="str">
        <f aca="false">INDEX(Lookups!$E$2:$E$5,MATCH(P2416,Lookups!$D$2:$D$5,0))</f>
        <v>Low</v>
      </c>
    </row>
    <row r="2417" customFormat="false" ht="15" hidden="false" customHeight="false" outlineLevel="0" collapsed="false">
      <c r="A2417" s="3" t="n">
        <v>2416</v>
      </c>
      <c r="B2417" s="3" t="n">
        <f aca="false">Raw_Data!A2417</f>
        <v>42</v>
      </c>
      <c r="C2417" s="3" t="str">
        <f aca="false">SUBSTITUTE(Raw_Data!B2417,".","")</f>
        <v>management</v>
      </c>
      <c r="D2417" s="3" t="str">
        <f aca="false">Raw_Data!C2417</f>
        <v>married</v>
      </c>
      <c r="E2417" s="3" t="str">
        <f aca="false">Raw_Data!D2417</f>
        <v>tertiary</v>
      </c>
      <c r="F2417" s="3" t="str">
        <f aca="false">Raw_Data!E2417</f>
        <v>no</v>
      </c>
      <c r="G2417" s="3" t="n">
        <f aca="false">Raw_Data!F2417</f>
        <v>251</v>
      </c>
      <c r="H2417" s="3" t="str">
        <f aca="false">Raw_Data!G2417</f>
        <v>no</v>
      </c>
      <c r="I2417" s="3" t="str">
        <f aca="false">Raw_Data!H2417</f>
        <v>no</v>
      </c>
      <c r="J2417" s="2" t="n">
        <f aca="false">IF(F2417="yes",1,0)</f>
        <v>0</v>
      </c>
      <c r="K2417" s="2" t="n">
        <f aca="false">IF(H2417="yes",1,0)</f>
        <v>0</v>
      </c>
      <c r="L2417" s="2" t="n">
        <f aca="false">IF(I2417="yes",1,0)</f>
        <v>0</v>
      </c>
      <c r="M2417" s="2" t="n">
        <f aca="false">IF(G2417&lt;0,1,0)</f>
        <v>0</v>
      </c>
      <c r="N2417" s="2" t="str">
        <f aca="false">_xlfn.IFS(B2417&lt;30,"Under 30",B2417&lt;40,"30-39",B2417&lt;50,"40-49",B2417&lt;60,"50-59",TRUE(),"60+")</f>
        <v>40-49</v>
      </c>
      <c r="O2417" s="2" t="str">
        <f aca="false">_xlfn.IFS(G2417&lt;0,"1 Negative",G2417=0,"2 Zero",G2417&lt;=500,"3 1-500",G2417&lt;=2000,"4 501-2000",TRUE(),"5 Above 2000")</f>
        <v>3 1-500</v>
      </c>
      <c r="P2417" s="2" t="n">
        <f aca="false">Lookups!$B$2*M2417+Lookups!$B$3*L2417</f>
        <v>0</v>
      </c>
      <c r="Q2417" s="2" t="str">
        <f aca="false">INDEX(Lookups!$E$2:$E$5,MATCH(P2417,Lookups!$D$2:$D$5,0))</f>
        <v>Low</v>
      </c>
    </row>
    <row r="2418" customFormat="false" ht="15" hidden="false" customHeight="false" outlineLevel="0" collapsed="false">
      <c r="A2418" s="3" t="n">
        <v>2417</v>
      </c>
      <c r="B2418" s="3" t="n">
        <f aca="false">Raw_Data!A2418</f>
        <v>32</v>
      </c>
      <c r="C2418" s="3" t="str">
        <f aca="false">SUBSTITUTE(Raw_Data!B2418,".","")</f>
        <v>management</v>
      </c>
      <c r="D2418" s="3" t="str">
        <f aca="false">Raw_Data!C2418</f>
        <v>single</v>
      </c>
      <c r="E2418" s="3" t="str">
        <f aca="false">Raw_Data!D2418</f>
        <v>tertiary</v>
      </c>
      <c r="F2418" s="3" t="str">
        <f aca="false">Raw_Data!E2418</f>
        <v>no</v>
      </c>
      <c r="G2418" s="3" t="n">
        <f aca="false">Raw_Data!F2418</f>
        <v>1731</v>
      </c>
      <c r="H2418" s="3" t="str">
        <f aca="false">Raw_Data!G2418</f>
        <v>yes</v>
      </c>
      <c r="I2418" s="3" t="str">
        <f aca="false">Raw_Data!H2418</f>
        <v>yes</v>
      </c>
      <c r="J2418" s="2" t="n">
        <f aca="false">IF(F2418="yes",1,0)</f>
        <v>0</v>
      </c>
      <c r="K2418" s="2" t="n">
        <f aca="false">IF(H2418="yes",1,0)</f>
        <v>1</v>
      </c>
      <c r="L2418" s="2" t="n">
        <f aca="false">IF(I2418="yes",1,0)</f>
        <v>1</v>
      </c>
      <c r="M2418" s="2" t="n">
        <f aca="false">IF(G2418&lt;0,1,0)</f>
        <v>0</v>
      </c>
      <c r="N2418" s="2" t="str">
        <f aca="false">_xlfn.IFS(B2418&lt;30,"Under 30",B2418&lt;40,"30-39",B2418&lt;50,"40-49",B2418&lt;60,"50-59",TRUE(),"60+")</f>
        <v>30-39</v>
      </c>
      <c r="O2418" s="2" t="str">
        <f aca="false">_xlfn.IFS(G2418&lt;0,"1 Negative",G2418=0,"2 Zero",G2418&lt;=500,"3 1-500",G2418&lt;=2000,"4 501-2000",TRUE(),"5 Above 2000")</f>
        <v>4 501-2000</v>
      </c>
      <c r="P2418" s="2" t="n">
        <f aca="false">Lookups!$B$2*M2418+Lookups!$B$3*L2418</f>
        <v>1</v>
      </c>
      <c r="Q2418" s="2" t="str">
        <f aca="false">INDEX(Lookups!$E$2:$E$5,MATCH(P2418,Lookups!$D$2:$D$5,0))</f>
        <v>Medium</v>
      </c>
    </row>
    <row r="2419" customFormat="false" ht="15" hidden="false" customHeight="false" outlineLevel="0" collapsed="false">
      <c r="A2419" s="3" t="n">
        <v>2418</v>
      </c>
      <c r="B2419" s="3" t="n">
        <f aca="false">Raw_Data!A2419</f>
        <v>62</v>
      </c>
      <c r="C2419" s="3" t="str">
        <f aca="false">SUBSTITUTE(Raw_Data!B2419,".","")</f>
        <v>management</v>
      </c>
      <c r="D2419" s="3" t="str">
        <f aca="false">Raw_Data!C2419</f>
        <v>married</v>
      </c>
      <c r="E2419" s="3" t="str">
        <f aca="false">Raw_Data!D2419</f>
        <v>tertiary</v>
      </c>
      <c r="F2419" s="3" t="str">
        <f aca="false">Raw_Data!E2419</f>
        <v>no</v>
      </c>
      <c r="G2419" s="3" t="n">
        <f aca="false">Raw_Data!F2419</f>
        <v>0</v>
      </c>
      <c r="H2419" s="3" t="str">
        <f aca="false">Raw_Data!G2419</f>
        <v>no</v>
      </c>
      <c r="I2419" s="3" t="str">
        <f aca="false">Raw_Data!H2419</f>
        <v>no</v>
      </c>
      <c r="J2419" s="2" t="n">
        <f aca="false">IF(F2419="yes",1,0)</f>
        <v>0</v>
      </c>
      <c r="K2419" s="2" t="n">
        <f aca="false">IF(H2419="yes",1,0)</f>
        <v>0</v>
      </c>
      <c r="L2419" s="2" t="n">
        <f aca="false">IF(I2419="yes",1,0)</f>
        <v>0</v>
      </c>
      <c r="M2419" s="2" t="n">
        <f aca="false">IF(G2419&lt;0,1,0)</f>
        <v>0</v>
      </c>
      <c r="N2419" s="2" t="str">
        <f aca="false">_xlfn.IFS(B2419&lt;30,"Under 30",B2419&lt;40,"30-39",B2419&lt;50,"40-49",B2419&lt;60,"50-59",TRUE(),"60+")</f>
        <v>60+</v>
      </c>
      <c r="O2419" s="2" t="str">
        <f aca="false">_xlfn.IFS(G2419&lt;0,"1 Negative",G2419=0,"2 Zero",G2419&lt;=500,"3 1-500",G2419&lt;=2000,"4 501-2000",TRUE(),"5 Above 2000")</f>
        <v>2 Zero</v>
      </c>
      <c r="P2419" s="2" t="n">
        <f aca="false">Lookups!$B$2*M2419+Lookups!$B$3*L2419</f>
        <v>0</v>
      </c>
      <c r="Q2419" s="2" t="str">
        <f aca="false">INDEX(Lookups!$E$2:$E$5,MATCH(P2419,Lookups!$D$2:$D$5,0))</f>
        <v>Low</v>
      </c>
    </row>
    <row r="2420" customFormat="false" ht="15" hidden="false" customHeight="false" outlineLevel="0" collapsed="false">
      <c r="A2420" s="3" t="n">
        <v>2419</v>
      </c>
      <c r="B2420" s="3" t="n">
        <f aca="false">Raw_Data!A2420</f>
        <v>31</v>
      </c>
      <c r="C2420" s="3" t="str">
        <f aca="false">SUBSTITUTE(Raw_Data!B2420,".","")</f>
        <v>technician</v>
      </c>
      <c r="D2420" s="3" t="str">
        <f aca="false">Raw_Data!C2420</f>
        <v>single</v>
      </c>
      <c r="E2420" s="3" t="str">
        <f aca="false">Raw_Data!D2420</f>
        <v>tertiary</v>
      </c>
      <c r="F2420" s="3" t="str">
        <f aca="false">Raw_Data!E2420</f>
        <v>no</v>
      </c>
      <c r="G2420" s="3" t="n">
        <f aca="false">Raw_Data!F2420</f>
        <v>23</v>
      </c>
      <c r="H2420" s="3" t="str">
        <f aca="false">Raw_Data!G2420</f>
        <v>no</v>
      </c>
      <c r="I2420" s="3" t="str">
        <f aca="false">Raw_Data!H2420</f>
        <v>no</v>
      </c>
      <c r="J2420" s="2" t="n">
        <f aca="false">IF(F2420="yes",1,0)</f>
        <v>0</v>
      </c>
      <c r="K2420" s="2" t="n">
        <f aca="false">IF(H2420="yes",1,0)</f>
        <v>0</v>
      </c>
      <c r="L2420" s="2" t="n">
        <f aca="false">IF(I2420="yes",1,0)</f>
        <v>0</v>
      </c>
      <c r="M2420" s="2" t="n">
        <f aca="false">IF(G2420&lt;0,1,0)</f>
        <v>0</v>
      </c>
      <c r="N2420" s="2" t="str">
        <f aca="false">_xlfn.IFS(B2420&lt;30,"Under 30",B2420&lt;40,"30-39",B2420&lt;50,"40-49",B2420&lt;60,"50-59",TRUE(),"60+")</f>
        <v>30-39</v>
      </c>
      <c r="O2420" s="2" t="str">
        <f aca="false">_xlfn.IFS(G2420&lt;0,"1 Negative",G2420=0,"2 Zero",G2420&lt;=500,"3 1-500",G2420&lt;=2000,"4 501-2000",TRUE(),"5 Above 2000")</f>
        <v>3 1-500</v>
      </c>
      <c r="P2420" s="2" t="n">
        <f aca="false">Lookups!$B$2*M2420+Lookups!$B$3*L2420</f>
        <v>0</v>
      </c>
      <c r="Q2420" s="2" t="str">
        <f aca="false">INDEX(Lookups!$E$2:$E$5,MATCH(P2420,Lookups!$D$2:$D$5,0))</f>
        <v>Low</v>
      </c>
    </row>
    <row r="2421" customFormat="false" ht="15" hidden="false" customHeight="false" outlineLevel="0" collapsed="false">
      <c r="A2421" s="3" t="n">
        <v>2420</v>
      </c>
      <c r="B2421" s="3" t="n">
        <f aca="false">Raw_Data!A2421</f>
        <v>41</v>
      </c>
      <c r="C2421" s="3" t="str">
        <f aca="false">SUBSTITUTE(Raw_Data!B2421,".","")</f>
        <v>blue-collar</v>
      </c>
      <c r="D2421" s="3" t="str">
        <f aca="false">Raw_Data!C2421</f>
        <v>single</v>
      </c>
      <c r="E2421" s="3" t="str">
        <f aca="false">Raw_Data!D2421</f>
        <v>secondary</v>
      </c>
      <c r="F2421" s="3" t="str">
        <f aca="false">Raw_Data!E2421</f>
        <v>yes</v>
      </c>
      <c r="G2421" s="3" t="n">
        <f aca="false">Raw_Data!F2421</f>
        <v>-386</v>
      </c>
      <c r="H2421" s="3" t="str">
        <f aca="false">Raw_Data!G2421</f>
        <v>no</v>
      </c>
      <c r="I2421" s="3" t="str">
        <f aca="false">Raw_Data!H2421</f>
        <v>yes</v>
      </c>
      <c r="J2421" s="2" t="n">
        <f aca="false">IF(F2421="yes",1,0)</f>
        <v>1</v>
      </c>
      <c r="K2421" s="2" t="n">
        <f aca="false">IF(H2421="yes",1,0)</f>
        <v>0</v>
      </c>
      <c r="L2421" s="2" t="n">
        <f aca="false">IF(I2421="yes",1,0)</f>
        <v>1</v>
      </c>
      <c r="M2421" s="2" t="n">
        <f aca="false">IF(G2421&lt;0,1,0)</f>
        <v>1</v>
      </c>
      <c r="N2421" s="2" t="str">
        <f aca="false">_xlfn.IFS(B2421&lt;30,"Under 30",B2421&lt;40,"30-39",B2421&lt;50,"40-49",B2421&lt;60,"50-59",TRUE(),"60+")</f>
        <v>40-49</v>
      </c>
      <c r="O2421" s="2" t="str">
        <f aca="false">_xlfn.IFS(G2421&lt;0,"1 Negative",G2421=0,"2 Zero",G2421&lt;=500,"3 1-500",G2421&lt;=2000,"4 501-2000",TRUE(),"5 Above 2000")</f>
        <v>1 Negative</v>
      </c>
      <c r="P2421" s="2" t="n">
        <f aca="false">Lookups!$B$2*M2421+Lookups!$B$3*L2421</f>
        <v>3</v>
      </c>
      <c r="Q2421" s="2" t="str">
        <f aca="false">INDEX(Lookups!$E$2:$E$5,MATCH(P2421,Lookups!$D$2:$D$5,0))</f>
        <v>High</v>
      </c>
    </row>
    <row r="2422" customFormat="false" ht="15" hidden="false" customHeight="false" outlineLevel="0" collapsed="false">
      <c r="A2422" s="3" t="n">
        <v>2421</v>
      </c>
      <c r="B2422" s="3" t="n">
        <f aca="false">Raw_Data!A2422</f>
        <v>34</v>
      </c>
      <c r="C2422" s="3" t="str">
        <f aca="false">SUBSTITUTE(Raw_Data!B2422,".","")</f>
        <v>self-employed</v>
      </c>
      <c r="D2422" s="3" t="str">
        <f aca="false">Raw_Data!C2422</f>
        <v>married</v>
      </c>
      <c r="E2422" s="3" t="str">
        <f aca="false">Raw_Data!D2422</f>
        <v>tertiary</v>
      </c>
      <c r="F2422" s="3" t="str">
        <f aca="false">Raw_Data!E2422</f>
        <v>no</v>
      </c>
      <c r="G2422" s="3" t="n">
        <f aca="false">Raw_Data!F2422</f>
        <v>5498</v>
      </c>
      <c r="H2422" s="3" t="str">
        <f aca="false">Raw_Data!G2422</f>
        <v>no</v>
      </c>
      <c r="I2422" s="3" t="str">
        <f aca="false">Raw_Data!H2422</f>
        <v>no</v>
      </c>
      <c r="J2422" s="2" t="n">
        <f aca="false">IF(F2422="yes",1,0)</f>
        <v>0</v>
      </c>
      <c r="K2422" s="2" t="n">
        <f aca="false">IF(H2422="yes",1,0)</f>
        <v>0</v>
      </c>
      <c r="L2422" s="2" t="n">
        <f aca="false">IF(I2422="yes",1,0)</f>
        <v>0</v>
      </c>
      <c r="M2422" s="2" t="n">
        <f aca="false">IF(G2422&lt;0,1,0)</f>
        <v>0</v>
      </c>
      <c r="N2422" s="2" t="str">
        <f aca="false">_xlfn.IFS(B2422&lt;30,"Under 30",B2422&lt;40,"30-39",B2422&lt;50,"40-49",B2422&lt;60,"50-59",TRUE(),"60+")</f>
        <v>30-39</v>
      </c>
      <c r="O2422" s="2" t="str">
        <f aca="false">_xlfn.IFS(G2422&lt;0,"1 Negative",G2422=0,"2 Zero",G2422&lt;=500,"3 1-500",G2422&lt;=2000,"4 501-2000",TRUE(),"5 Above 2000")</f>
        <v>5 Above 2000</v>
      </c>
      <c r="P2422" s="2" t="n">
        <f aca="false">Lookups!$B$2*M2422+Lookups!$B$3*L2422</f>
        <v>0</v>
      </c>
      <c r="Q2422" s="2" t="str">
        <f aca="false">INDEX(Lookups!$E$2:$E$5,MATCH(P2422,Lookups!$D$2:$D$5,0))</f>
        <v>Low</v>
      </c>
    </row>
    <row r="2423" customFormat="false" ht="15" hidden="false" customHeight="false" outlineLevel="0" collapsed="false">
      <c r="A2423" s="3" t="n">
        <v>2422</v>
      </c>
      <c r="B2423" s="3" t="n">
        <f aca="false">Raw_Data!A2423</f>
        <v>44</v>
      </c>
      <c r="C2423" s="3" t="str">
        <f aca="false">SUBSTITUTE(Raw_Data!B2423,".","")</f>
        <v>management</v>
      </c>
      <c r="D2423" s="3" t="str">
        <f aca="false">Raw_Data!C2423</f>
        <v>single</v>
      </c>
      <c r="E2423" s="3" t="str">
        <f aca="false">Raw_Data!D2423</f>
        <v>tertiary</v>
      </c>
      <c r="F2423" s="3" t="str">
        <f aca="false">Raw_Data!E2423</f>
        <v>no</v>
      </c>
      <c r="G2423" s="3" t="n">
        <f aca="false">Raw_Data!F2423</f>
        <v>5063</v>
      </c>
      <c r="H2423" s="3" t="str">
        <f aca="false">Raw_Data!G2423</f>
        <v>no</v>
      </c>
      <c r="I2423" s="3" t="str">
        <f aca="false">Raw_Data!H2423</f>
        <v>no</v>
      </c>
      <c r="J2423" s="2" t="n">
        <f aca="false">IF(F2423="yes",1,0)</f>
        <v>0</v>
      </c>
      <c r="K2423" s="2" t="n">
        <f aca="false">IF(H2423="yes",1,0)</f>
        <v>0</v>
      </c>
      <c r="L2423" s="2" t="n">
        <f aca="false">IF(I2423="yes",1,0)</f>
        <v>0</v>
      </c>
      <c r="M2423" s="2" t="n">
        <f aca="false">IF(G2423&lt;0,1,0)</f>
        <v>0</v>
      </c>
      <c r="N2423" s="2" t="str">
        <f aca="false">_xlfn.IFS(B2423&lt;30,"Under 30",B2423&lt;40,"30-39",B2423&lt;50,"40-49",B2423&lt;60,"50-59",TRUE(),"60+")</f>
        <v>40-49</v>
      </c>
      <c r="O2423" s="2" t="str">
        <f aca="false">_xlfn.IFS(G2423&lt;0,"1 Negative",G2423=0,"2 Zero",G2423&lt;=500,"3 1-500",G2423&lt;=2000,"4 501-2000",TRUE(),"5 Above 2000")</f>
        <v>5 Above 2000</v>
      </c>
      <c r="P2423" s="2" t="n">
        <f aca="false">Lookups!$B$2*M2423+Lookups!$B$3*L2423</f>
        <v>0</v>
      </c>
      <c r="Q2423" s="2" t="str">
        <f aca="false">INDEX(Lookups!$E$2:$E$5,MATCH(P2423,Lookups!$D$2:$D$5,0))</f>
        <v>Low</v>
      </c>
    </row>
    <row r="2424" customFormat="false" ht="15" hidden="false" customHeight="false" outlineLevel="0" collapsed="false">
      <c r="A2424" s="3" t="n">
        <v>2423</v>
      </c>
      <c r="B2424" s="3" t="n">
        <f aca="false">Raw_Data!A2424</f>
        <v>42</v>
      </c>
      <c r="C2424" s="3" t="str">
        <f aca="false">SUBSTITUTE(Raw_Data!B2424,".","")</f>
        <v>blue-collar</v>
      </c>
      <c r="D2424" s="3" t="str">
        <f aca="false">Raw_Data!C2424</f>
        <v>married</v>
      </c>
      <c r="E2424" s="3" t="str">
        <f aca="false">Raw_Data!D2424</f>
        <v>primary</v>
      </c>
      <c r="F2424" s="3" t="str">
        <f aca="false">Raw_Data!E2424</f>
        <v>no</v>
      </c>
      <c r="G2424" s="3" t="n">
        <f aca="false">Raw_Data!F2424</f>
        <v>7041</v>
      </c>
      <c r="H2424" s="3" t="str">
        <f aca="false">Raw_Data!G2424</f>
        <v>yes</v>
      </c>
      <c r="I2424" s="3" t="str">
        <f aca="false">Raw_Data!H2424</f>
        <v>no</v>
      </c>
      <c r="J2424" s="2" t="n">
        <f aca="false">IF(F2424="yes",1,0)</f>
        <v>0</v>
      </c>
      <c r="K2424" s="2" t="n">
        <f aca="false">IF(H2424="yes",1,0)</f>
        <v>1</v>
      </c>
      <c r="L2424" s="2" t="n">
        <f aca="false">IF(I2424="yes",1,0)</f>
        <v>0</v>
      </c>
      <c r="M2424" s="2" t="n">
        <f aca="false">IF(G2424&lt;0,1,0)</f>
        <v>0</v>
      </c>
      <c r="N2424" s="2" t="str">
        <f aca="false">_xlfn.IFS(B2424&lt;30,"Under 30",B2424&lt;40,"30-39",B2424&lt;50,"40-49",B2424&lt;60,"50-59",TRUE(),"60+")</f>
        <v>40-49</v>
      </c>
      <c r="O2424" s="2" t="str">
        <f aca="false">_xlfn.IFS(G2424&lt;0,"1 Negative",G2424=0,"2 Zero",G2424&lt;=500,"3 1-500",G2424&lt;=2000,"4 501-2000",TRUE(),"5 Above 2000")</f>
        <v>5 Above 2000</v>
      </c>
      <c r="P2424" s="2" t="n">
        <f aca="false">Lookups!$B$2*M2424+Lookups!$B$3*L2424</f>
        <v>0</v>
      </c>
      <c r="Q2424" s="2" t="str">
        <f aca="false">INDEX(Lookups!$E$2:$E$5,MATCH(P2424,Lookups!$D$2:$D$5,0))</f>
        <v>Low</v>
      </c>
    </row>
    <row r="2425" customFormat="false" ht="15" hidden="false" customHeight="false" outlineLevel="0" collapsed="false">
      <c r="A2425" s="3" t="n">
        <v>2424</v>
      </c>
      <c r="B2425" s="3" t="n">
        <f aca="false">Raw_Data!A2425</f>
        <v>37</v>
      </c>
      <c r="C2425" s="3" t="str">
        <f aca="false">SUBSTITUTE(Raw_Data!B2425,".","")</f>
        <v>entrepreneur</v>
      </c>
      <c r="D2425" s="3" t="str">
        <f aca="false">Raw_Data!C2425</f>
        <v>single</v>
      </c>
      <c r="E2425" s="3" t="str">
        <f aca="false">Raw_Data!D2425</f>
        <v>secondary</v>
      </c>
      <c r="F2425" s="3" t="str">
        <f aca="false">Raw_Data!E2425</f>
        <v>no</v>
      </c>
      <c r="G2425" s="3" t="n">
        <f aca="false">Raw_Data!F2425</f>
        <v>654</v>
      </c>
      <c r="H2425" s="3" t="str">
        <f aca="false">Raw_Data!G2425</f>
        <v>no</v>
      </c>
      <c r="I2425" s="3" t="str">
        <f aca="false">Raw_Data!H2425</f>
        <v>no</v>
      </c>
      <c r="J2425" s="2" t="n">
        <f aca="false">IF(F2425="yes",1,0)</f>
        <v>0</v>
      </c>
      <c r="K2425" s="2" t="n">
        <f aca="false">IF(H2425="yes",1,0)</f>
        <v>0</v>
      </c>
      <c r="L2425" s="2" t="n">
        <f aca="false">IF(I2425="yes",1,0)</f>
        <v>0</v>
      </c>
      <c r="M2425" s="2" t="n">
        <f aca="false">IF(G2425&lt;0,1,0)</f>
        <v>0</v>
      </c>
      <c r="N2425" s="2" t="str">
        <f aca="false">_xlfn.IFS(B2425&lt;30,"Under 30",B2425&lt;40,"30-39",B2425&lt;50,"40-49",B2425&lt;60,"50-59",TRUE(),"60+")</f>
        <v>30-39</v>
      </c>
      <c r="O2425" s="2" t="str">
        <f aca="false">_xlfn.IFS(G2425&lt;0,"1 Negative",G2425=0,"2 Zero",G2425&lt;=500,"3 1-500",G2425&lt;=2000,"4 501-2000",TRUE(),"5 Above 2000")</f>
        <v>4 501-2000</v>
      </c>
      <c r="P2425" s="2" t="n">
        <f aca="false">Lookups!$B$2*M2425+Lookups!$B$3*L2425</f>
        <v>0</v>
      </c>
      <c r="Q2425" s="2" t="str">
        <f aca="false">INDEX(Lookups!$E$2:$E$5,MATCH(P2425,Lookups!$D$2:$D$5,0))</f>
        <v>Low</v>
      </c>
    </row>
    <row r="2426" customFormat="false" ht="15" hidden="false" customHeight="false" outlineLevel="0" collapsed="false">
      <c r="A2426" s="3" t="n">
        <v>2425</v>
      </c>
      <c r="B2426" s="3" t="n">
        <f aca="false">Raw_Data!A2426</f>
        <v>47</v>
      </c>
      <c r="C2426" s="3" t="str">
        <f aca="false">SUBSTITUTE(Raw_Data!B2426,".","")</f>
        <v>management</v>
      </c>
      <c r="D2426" s="3" t="str">
        <f aca="false">Raw_Data!C2426</f>
        <v>married</v>
      </c>
      <c r="E2426" s="3" t="str">
        <f aca="false">Raw_Data!D2426</f>
        <v>tertiary</v>
      </c>
      <c r="F2426" s="3" t="str">
        <f aca="false">Raw_Data!E2426</f>
        <v>no</v>
      </c>
      <c r="G2426" s="3" t="n">
        <f aca="false">Raw_Data!F2426</f>
        <v>1890</v>
      </c>
      <c r="H2426" s="3" t="str">
        <f aca="false">Raw_Data!G2426</f>
        <v>no</v>
      </c>
      <c r="I2426" s="3" t="str">
        <f aca="false">Raw_Data!H2426</f>
        <v>no</v>
      </c>
      <c r="J2426" s="2" t="n">
        <f aca="false">IF(F2426="yes",1,0)</f>
        <v>0</v>
      </c>
      <c r="K2426" s="2" t="n">
        <f aca="false">IF(H2426="yes",1,0)</f>
        <v>0</v>
      </c>
      <c r="L2426" s="2" t="n">
        <f aca="false">IF(I2426="yes",1,0)</f>
        <v>0</v>
      </c>
      <c r="M2426" s="2" t="n">
        <f aca="false">IF(G2426&lt;0,1,0)</f>
        <v>0</v>
      </c>
      <c r="N2426" s="2" t="str">
        <f aca="false">_xlfn.IFS(B2426&lt;30,"Under 30",B2426&lt;40,"30-39",B2426&lt;50,"40-49",B2426&lt;60,"50-59",TRUE(),"60+")</f>
        <v>40-49</v>
      </c>
      <c r="O2426" s="2" t="str">
        <f aca="false">_xlfn.IFS(G2426&lt;0,"1 Negative",G2426=0,"2 Zero",G2426&lt;=500,"3 1-500",G2426&lt;=2000,"4 501-2000",TRUE(),"5 Above 2000")</f>
        <v>4 501-2000</v>
      </c>
      <c r="P2426" s="2" t="n">
        <f aca="false">Lookups!$B$2*M2426+Lookups!$B$3*L2426</f>
        <v>0</v>
      </c>
      <c r="Q2426" s="2" t="str">
        <f aca="false">INDEX(Lookups!$E$2:$E$5,MATCH(P2426,Lookups!$D$2:$D$5,0))</f>
        <v>Low</v>
      </c>
    </row>
    <row r="2427" customFormat="false" ht="15" hidden="false" customHeight="false" outlineLevel="0" collapsed="false">
      <c r="A2427" s="3" t="n">
        <v>2426</v>
      </c>
      <c r="B2427" s="3" t="n">
        <f aca="false">Raw_Data!A2427</f>
        <v>32</v>
      </c>
      <c r="C2427" s="3" t="str">
        <f aca="false">SUBSTITUTE(Raw_Data!B2427,".","")</f>
        <v>unemployed</v>
      </c>
      <c r="D2427" s="3" t="str">
        <f aca="false">Raw_Data!C2427</f>
        <v>married</v>
      </c>
      <c r="E2427" s="3" t="str">
        <f aca="false">Raw_Data!D2427</f>
        <v>secondary</v>
      </c>
      <c r="F2427" s="3" t="str">
        <f aca="false">Raw_Data!E2427</f>
        <v>no</v>
      </c>
      <c r="G2427" s="3" t="n">
        <f aca="false">Raw_Data!F2427</f>
        <v>2400</v>
      </c>
      <c r="H2427" s="3" t="str">
        <f aca="false">Raw_Data!G2427</f>
        <v>yes</v>
      </c>
      <c r="I2427" s="3" t="str">
        <f aca="false">Raw_Data!H2427</f>
        <v>yes</v>
      </c>
      <c r="J2427" s="2" t="n">
        <f aca="false">IF(F2427="yes",1,0)</f>
        <v>0</v>
      </c>
      <c r="K2427" s="2" t="n">
        <f aca="false">IF(H2427="yes",1,0)</f>
        <v>1</v>
      </c>
      <c r="L2427" s="2" t="n">
        <f aca="false">IF(I2427="yes",1,0)</f>
        <v>1</v>
      </c>
      <c r="M2427" s="2" t="n">
        <f aca="false">IF(G2427&lt;0,1,0)</f>
        <v>0</v>
      </c>
      <c r="N2427" s="2" t="str">
        <f aca="false">_xlfn.IFS(B2427&lt;30,"Under 30",B2427&lt;40,"30-39",B2427&lt;50,"40-49",B2427&lt;60,"50-59",TRUE(),"60+")</f>
        <v>30-39</v>
      </c>
      <c r="O2427" s="2" t="str">
        <f aca="false">_xlfn.IFS(G2427&lt;0,"1 Negative",G2427=0,"2 Zero",G2427&lt;=500,"3 1-500",G2427&lt;=2000,"4 501-2000",TRUE(),"5 Above 2000")</f>
        <v>5 Above 2000</v>
      </c>
      <c r="P2427" s="2" t="n">
        <f aca="false">Lookups!$B$2*M2427+Lookups!$B$3*L2427</f>
        <v>1</v>
      </c>
      <c r="Q2427" s="2" t="str">
        <f aca="false">INDEX(Lookups!$E$2:$E$5,MATCH(P2427,Lookups!$D$2:$D$5,0))</f>
        <v>Medium</v>
      </c>
    </row>
    <row r="2428" customFormat="false" ht="15" hidden="false" customHeight="false" outlineLevel="0" collapsed="false">
      <c r="A2428" s="3" t="n">
        <v>2427</v>
      </c>
      <c r="B2428" s="3" t="n">
        <f aca="false">Raw_Data!A2428</f>
        <v>46</v>
      </c>
      <c r="C2428" s="3" t="str">
        <f aca="false">SUBSTITUTE(Raw_Data!B2428,".","")</f>
        <v>blue-collar</v>
      </c>
      <c r="D2428" s="3" t="str">
        <f aca="false">Raw_Data!C2428</f>
        <v>married</v>
      </c>
      <c r="E2428" s="3" t="str">
        <f aca="false">Raw_Data!D2428</f>
        <v>secondary</v>
      </c>
      <c r="F2428" s="3" t="str">
        <f aca="false">Raw_Data!E2428</f>
        <v>no</v>
      </c>
      <c r="G2428" s="3" t="n">
        <f aca="false">Raw_Data!F2428</f>
        <v>519</v>
      </c>
      <c r="H2428" s="3" t="str">
        <f aca="false">Raw_Data!G2428</f>
        <v>yes</v>
      </c>
      <c r="I2428" s="3" t="str">
        <f aca="false">Raw_Data!H2428</f>
        <v>no</v>
      </c>
      <c r="J2428" s="2" t="n">
        <f aca="false">IF(F2428="yes",1,0)</f>
        <v>0</v>
      </c>
      <c r="K2428" s="2" t="n">
        <f aca="false">IF(H2428="yes",1,0)</f>
        <v>1</v>
      </c>
      <c r="L2428" s="2" t="n">
        <f aca="false">IF(I2428="yes",1,0)</f>
        <v>0</v>
      </c>
      <c r="M2428" s="2" t="n">
        <f aca="false">IF(G2428&lt;0,1,0)</f>
        <v>0</v>
      </c>
      <c r="N2428" s="2" t="str">
        <f aca="false">_xlfn.IFS(B2428&lt;30,"Under 30",B2428&lt;40,"30-39",B2428&lt;50,"40-49",B2428&lt;60,"50-59",TRUE(),"60+")</f>
        <v>40-49</v>
      </c>
      <c r="O2428" s="2" t="str">
        <f aca="false">_xlfn.IFS(G2428&lt;0,"1 Negative",G2428=0,"2 Zero",G2428&lt;=500,"3 1-500",G2428&lt;=2000,"4 501-2000",TRUE(),"5 Above 2000")</f>
        <v>4 501-2000</v>
      </c>
      <c r="P2428" s="2" t="n">
        <f aca="false">Lookups!$B$2*M2428+Lookups!$B$3*L2428</f>
        <v>0</v>
      </c>
      <c r="Q2428" s="2" t="str">
        <f aca="false">INDEX(Lookups!$E$2:$E$5,MATCH(P2428,Lookups!$D$2:$D$5,0))</f>
        <v>Low</v>
      </c>
    </row>
    <row r="2429" customFormat="false" ht="15" hidden="false" customHeight="false" outlineLevel="0" collapsed="false">
      <c r="A2429" s="3" t="n">
        <v>2428</v>
      </c>
      <c r="B2429" s="3" t="n">
        <f aca="false">Raw_Data!A2429</f>
        <v>39</v>
      </c>
      <c r="C2429" s="3" t="str">
        <f aca="false">SUBSTITUTE(Raw_Data!B2429,".","")</f>
        <v>technician</v>
      </c>
      <c r="D2429" s="3" t="str">
        <f aca="false">Raw_Data!C2429</f>
        <v>single</v>
      </c>
      <c r="E2429" s="3" t="str">
        <f aca="false">Raw_Data!D2429</f>
        <v>tertiary</v>
      </c>
      <c r="F2429" s="3" t="str">
        <f aca="false">Raw_Data!E2429</f>
        <v>no</v>
      </c>
      <c r="G2429" s="3" t="n">
        <f aca="false">Raw_Data!F2429</f>
        <v>1190</v>
      </c>
      <c r="H2429" s="3" t="str">
        <f aca="false">Raw_Data!G2429</f>
        <v>no</v>
      </c>
      <c r="I2429" s="3" t="str">
        <f aca="false">Raw_Data!H2429</f>
        <v>no</v>
      </c>
      <c r="J2429" s="2" t="n">
        <f aca="false">IF(F2429="yes",1,0)</f>
        <v>0</v>
      </c>
      <c r="K2429" s="2" t="n">
        <f aca="false">IF(H2429="yes",1,0)</f>
        <v>0</v>
      </c>
      <c r="L2429" s="2" t="n">
        <f aca="false">IF(I2429="yes",1,0)</f>
        <v>0</v>
      </c>
      <c r="M2429" s="2" t="n">
        <f aca="false">IF(G2429&lt;0,1,0)</f>
        <v>0</v>
      </c>
      <c r="N2429" s="2" t="str">
        <f aca="false">_xlfn.IFS(B2429&lt;30,"Under 30",B2429&lt;40,"30-39",B2429&lt;50,"40-49",B2429&lt;60,"50-59",TRUE(),"60+")</f>
        <v>30-39</v>
      </c>
      <c r="O2429" s="2" t="str">
        <f aca="false">_xlfn.IFS(G2429&lt;0,"1 Negative",G2429=0,"2 Zero",G2429&lt;=500,"3 1-500",G2429&lt;=2000,"4 501-2000",TRUE(),"5 Above 2000")</f>
        <v>4 501-2000</v>
      </c>
      <c r="P2429" s="2" t="n">
        <f aca="false">Lookups!$B$2*M2429+Lookups!$B$3*L2429</f>
        <v>0</v>
      </c>
      <c r="Q2429" s="2" t="str">
        <f aca="false">INDEX(Lookups!$E$2:$E$5,MATCH(P2429,Lookups!$D$2:$D$5,0))</f>
        <v>Low</v>
      </c>
    </row>
    <row r="2430" customFormat="false" ht="15" hidden="false" customHeight="false" outlineLevel="0" collapsed="false">
      <c r="A2430" s="3" t="n">
        <v>2429</v>
      </c>
      <c r="B2430" s="3" t="n">
        <f aca="false">Raw_Data!A2430</f>
        <v>28</v>
      </c>
      <c r="C2430" s="3" t="str">
        <f aca="false">SUBSTITUTE(Raw_Data!B2430,".","")</f>
        <v>services</v>
      </c>
      <c r="D2430" s="3" t="str">
        <f aca="false">Raw_Data!C2430</f>
        <v>single</v>
      </c>
      <c r="E2430" s="3" t="str">
        <f aca="false">Raw_Data!D2430</f>
        <v>secondary</v>
      </c>
      <c r="F2430" s="3" t="str">
        <f aca="false">Raw_Data!E2430</f>
        <v>no</v>
      </c>
      <c r="G2430" s="3" t="n">
        <f aca="false">Raw_Data!F2430</f>
        <v>229</v>
      </c>
      <c r="H2430" s="3" t="str">
        <f aca="false">Raw_Data!G2430</f>
        <v>yes</v>
      </c>
      <c r="I2430" s="3" t="str">
        <f aca="false">Raw_Data!H2430</f>
        <v>no</v>
      </c>
      <c r="J2430" s="2" t="n">
        <f aca="false">IF(F2430="yes",1,0)</f>
        <v>0</v>
      </c>
      <c r="K2430" s="2" t="n">
        <f aca="false">IF(H2430="yes",1,0)</f>
        <v>1</v>
      </c>
      <c r="L2430" s="2" t="n">
        <f aca="false">IF(I2430="yes",1,0)</f>
        <v>0</v>
      </c>
      <c r="M2430" s="2" t="n">
        <f aca="false">IF(G2430&lt;0,1,0)</f>
        <v>0</v>
      </c>
      <c r="N2430" s="2" t="str">
        <f aca="false">_xlfn.IFS(B2430&lt;30,"Under 30",B2430&lt;40,"30-39",B2430&lt;50,"40-49",B2430&lt;60,"50-59",TRUE(),"60+")</f>
        <v>Under 30</v>
      </c>
      <c r="O2430" s="2" t="str">
        <f aca="false">_xlfn.IFS(G2430&lt;0,"1 Negative",G2430=0,"2 Zero",G2430&lt;=500,"3 1-500",G2430&lt;=2000,"4 501-2000",TRUE(),"5 Above 2000")</f>
        <v>3 1-500</v>
      </c>
      <c r="P2430" s="2" t="n">
        <f aca="false">Lookups!$B$2*M2430+Lookups!$B$3*L2430</f>
        <v>0</v>
      </c>
      <c r="Q2430" s="2" t="str">
        <f aca="false">INDEX(Lookups!$E$2:$E$5,MATCH(P2430,Lookups!$D$2:$D$5,0))</f>
        <v>Low</v>
      </c>
    </row>
    <row r="2431" customFormat="false" ht="15" hidden="false" customHeight="false" outlineLevel="0" collapsed="false">
      <c r="A2431" s="3" t="n">
        <v>2430</v>
      </c>
      <c r="B2431" s="3" t="n">
        <f aca="false">Raw_Data!A2431</f>
        <v>26</v>
      </c>
      <c r="C2431" s="3" t="str">
        <f aca="false">SUBSTITUTE(Raw_Data!B2431,".","")</f>
        <v>student</v>
      </c>
      <c r="D2431" s="3" t="str">
        <f aca="false">Raw_Data!C2431</f>
        <v>single</v>
      </c>
      <c r="E2431" s="3" t="str">
        <f aca="false">Raw_Data!D2431</f>
        <v>secondary</v>
      </c>
      <c r="F2431" s="3" t="str">
        <f aca="false">Raw_Data!E2431</f>
        <v>no</v>
      </c>
      <c r="G2431" s="3" t="n">
        <f aca="false">Raw_Data!F2431</f>
        <v>203</v>
      </c>
      <c r="H2431" s="3" t="str">
        <f aca="false">Raw_Data!G2431</f>
        <v>no</v>
      </c>
      <c r="I2431" s="3" t="str">
        <f aca="false">Raw_Data!H2431</f>
        <v>no</v>
      </c>
      <c r="J2431" s="2" t="n">
        <f aca="false">IF(F2431="yes",1,0)</f>
        <v>0</v>
      </c>
      <c r="K2431" s="2" t="n">
        <f aca="false">IF(H2431="yes",1,0)</f>
        <v>0</v>
      </c>
      <c r="L2431" s="2" t="n">
        <f aca="false">IF(I2431="yes",1,0)</f>
        <v>0</v>
      </c>
      <c r="M2431" s="2" t="n">
        <f aca="false">IF(G2431&lt;0,1,0)</f>
        <v>0</v>
      </c>
      <c r="N2431" s="2" t="str">
        <f aca="false">_xlfn.IFS(B2431&lt;30,"Under 30",B2431&lt;40,"30-39",B2431&lt;50,"40-49",B2431&lt;60,"50-59",TRUE(),"60+")</f>
        <v>Under 30</v>
      </c>
      <c r="O2431" s="2" t="str">
        <f aca="false">_xlfn.IFS(G2431&lt;0,"1 Negative",G2431=0,"2 Zero",G2431&lt;=500,"3 1-500",G2431&lt;=2000,"4 501-2000",TRUE(),"5 Above 2000")</f>
        <v>3 1-500</v>
      </c>
      <c r="P2431" s="2" t="n">
        <f aca="false">Lookups!$B$2*M2431+Lookups!$B$3*L2431</f>
        <v>0</v>
      </c>
      <c r="Q2431" s="2" t="str">
        <f aca="false">INDEX(Lookups!$E$2:$E$5,MATCH(P2431,Lookups!$D$2:$D$5,0))</f>
        <v>Low</v>
      </c>
    </row>
    <row r="2432" customFormat="false" ht="15" hidden="false" customHeight="false" outlineLevel="0" collapsed="false">
      <c r="A2432" s="3" t="n">
        <v>2431</v>
      </c>
      <c r="B2432" s="3" t="n">
        <f aca="false">Raw_Data!A2432</f>
        <v>52</v>
      </c>
      <c r="C2432" s="3" t="str">
        <f aca="false">SUBSTITUTE(Raw_Data!B2432,".","")</f>
        <v>technician</v>
      </c>
      <c r="D2432" s="3" t="str">
        <f aca="false">Raw_Data!C2432</f>
        <v>married</v>
      </c>
      <c r="E2432" s="3" t="str">
        <f aca="false">Raw_Data!D2432</f>
        <v>secondary</v>
      </c>
      <c r="F2432" s="3" t="str">
        <f aca="false">Raw_Data!E2432</f>
        <v>no</v>
      </c>
      <c r="G2432" s="3" t="n">
        <f aca="false">Raw_Data!F2432</f>
        <v>1818</v>
      </c>
      <c r="H2432" s="3" t="str">
        <f aca="false">Raw_Data!G2432</f>
        <v>no</v>
      </c>
      <c r="I2432" s="3" t="str">
        <f aca="false">Raw_Data!H2432</f>
        <v>yes</v>
      </c>
      <c r="J2432" s="2" t="n">
        <f aca="false">IF(F2432="yes",1,0)</f>
        <v>0</v>
      </c>
      <c r="K2432" s="2" t="n">
        <f aca="false">IF(H2432="yes",1,0)</f>
        <v>0</v>
      </c>
      <c r="L2432" s="2" t="n">
        <f aca="false">IF(I2432="yes",1,0)</f>
        <v>1</v>
      </c>
      <c r="M2432" s="2" t="n">
        <f aca="false">IF(G2432&lt;0,1,0)</f>
        <v>0</v>
      </c>
      <c r="N2432" s="2" t="str">
        <f aca="false">_xlfn.IFS(B2432&lt;30,"Under 30",B2432&lt;40,"30-39",B2432&lt;50,"40-49",B2432&lt;60,"50-59",TRUE(),"60+")</f>
        <v>50-59</v>
      </c>
      <c r="O2432" s="2" t="str">
        <f aca="false">_xlfn.IFS(G2432&lt;0,"1 Negative",G2432=0,"2 Zero",G2432&lt;=500,"3 1-500",G2432&lt;=2000,"4 501-2000",TRUE(),"5 Above 2000")</f>
        <v>4 501-2000</v>
      </c>
      <c r="P2432" s="2" t="n">
        <f aca="false">Lookups!$B$2*M2432+Lookups!$B$3*L2432</f>
        <v>1</v>
      </c>
      <c r="Q2432" s="2" t="str">
        <f aca="false">INDEX(Lookups!$E$2:$E$5,MATCH(P2432,Lookups!$D$2:$D$5,0))</f>
        <v>Medium</v>
      </c>
    </row>
    <row r="2433" customFormat="false" ht="15" hidden="false" customHeight="false" outlineLevel="0" collapsed="false">
      <c r="A2433" s="3" t="n">
        <v>2432</v>
      </c>
      <c r="B2433" s="3" t="n">
        <f aca="false">Raw_Data!A2433</f>
        <v>42</v>
      </c>
      <c r="C2433" s="3" t="str">
        <f aca="false">SUBSTITUTE(Raw_Data!B2433,".","")</f>
        <v>unemployed</v>
      </c>
      <c r="D2433" s="3" t="str">
        <f aca="false">Raw_Data!C2433</f>
        <v>married</v>
      </c>
      <c r="E2433" s="3" t="str">
        <f aca="false">Raw_Data!D2433</f>
        <v>secondary</v>
      </c>
      <c r="F2433" s="3" t="str">
        <f aca="false">Raw_Data!E2433</f>
        <v>no</v>
      </c>
      <c r="G2433" s="3" t="n">
        <f aca="false">Raw_Data!F2433</f>
        <v>1289</v>
      </c>
      <c r="H2433" s="3" t="str">
        <f aca="false">Raw_Data!G2433</f>
        <v>no</v>
      </c>
      <c r="I2433" s="3" t="str">
        <f aca="false">Raw_Data!H2433</f>
        <v>no</v>
      </c>
      <c r="J2433" s="2" t="n">
        <f aca="false">IF(F2433="yes",1,0)</f>
        <v>0</v>
      </c>
      <c r="K2433" s="2" t="n">
        <f aca="false">IF(H2433="yes",1,0)</f>
        <v>0</v>
      </c>
      <c r="L2433" s="2" t="n">
        <f aca="false">IF(I2433="yes",1,0)</f>
        <v>0</v>
      </c>
      <c r="M2433" s="2" t="n">
        <f aca="false">IF(G2433&lt;0,1,0)</f>
        <v>0</v>
      </c>
      <c r="N2433" s="2" t="str">
        <f aca="false">_xlfn.IFS(B2433&lt;30,"Under 30",B2433&lt;40,"30-39",B2433&lt;50,"40-49",B2433&lt;60,"50-59",TRUE(),"60+")</f>
        <v>40-49</v>
      </c>
      <c r="O2433" s="2" t="str">
        <f aca="false">_xlfn.IFS(G2433&lt;0,"1 Negative",G2433=0,"2 Zero",G2433&lt;=500,"3 1-500",G2433&lt;=2000,"4 501-2000",TRUE(),"5 Above 2000")</f>
        <v>4 501-2000</v>
      </c>
      <c r="P2433" s="2" t="n">
        <f aca="false">Lookups!$B$2*M2433+Lookups!$B$3*L2433</f>
        <v>0</v>
      </c>
      <c r="Q2433" s="2" t="str">
        <f aca="false">INDEX(Lookups!$E$2:$E$5,MATCH(P2433,Lookups!$D$2:$D$5,0))</f>
        <v>Low</v>
      </c>
    </row>
    <row r="2434" customFormat="false" ht="15" hidden="false" customHeight="false" outlineLevel="0" collapsed="false">
      <c r="A2434" s="3" t="n">
        <v>2433</v>
      </c>
      <c r="B2434" s="3" t="n">
        <f aca="false">Raw_Data!A2434</f>
        <v>33</v>
      </c>
      <c r="C2434" s="3" t="str">
        <f aca="false">SUBSTITUTE(Raw_Data!B2434,".","")</f>
        <v>technician</v>
      </c>
      <c r="D2434" s="3" t="str">
        <f aca="false">Raw_Data!C2434</f>
        <v>divorced</v>
      </c>
      <c r="E2434" s="3" t="str">
        <f aca="false">Raw_Data!D2434</f>
        <v>tertiary</v>
      </c>
      <c r="F2434" s="3" t="str">
        <f aca="false">Raw_Data!E2434</f>
        <v>no</v>
      </c>
      <c r="G2434" s="3" t="n">
        <f aca="false">Raw_Data!F2434</f>
        <v>39</v>
      </c>
      <c r="H2434" s="3" t="str">
        <f aca="false">Raw_Data!G2434</f>
        <v>no</v>
      </c>
      <c r="I2434" s="3" t="str">
        <f aca="false">Raw_Data!H2434</f>
        <v>no</v>
      </c>
      <c r="J2434" s="2" t="n">
        <f aca="false">IF(F2434="yes",1,0)</f>
        <v>0</v>
      </c>
      <c r="K2434" s="2" t="n">
        <f aca="false">IF(H2434="yes",1,0)</f>
        <v>0</v>
      </c>
      <c r="L2434" s="2" t="n">
        <f aca="false">IF(I2434="yes",1,0)</f>
        <v>0</v>
      </c>
      <c r="M2434" s="2" t="n">
        <f aca="false">IF(G2434&lt;0,1,0)</f>
        <v>0</v>
      </c>
      <c r="N2434" s="2" t="str">
        <f aca="false">_xlfn.IFS(B2434&lt;30,"Under 30",B2434&lt;40,"30-39",B2434&lt;50,"40-49",B2434&lt;60,"50-59",TRUE(),"60+")</f>
        <v>30-39</v>
      </c>
      <c r="O2434" s="2" t="str">
        <f aca="false">_xlfn.IFS(G2434&lt;0,"1 Negative",G2434=0,"2 Zero",G2434&lt;=500,"3 1-500",G2434&lt;=2000,"4 501-2000",TRUE(),"5 Above 2000")</f>
        <v>3 1-500</v>
      </c>
      <c r="P2434" s="2" t="n">
        <f aca="false">Lookups!$B$2*M2434+Lookups!$B$3*L2434</f>
        <v>0</v>
      </c>
      <c r="Q2434" s="2" t="str">
        <f aca="false">INDEX(Lookups!$E$2:$E$5,MATCH(P2434,Lookups!$D$2:$D$5,0))</f>
        <v>Low</v>
      </c>
    </row>
    <row r="2435" customFormat="false" ht="15" hidden="false" customHeight="false" outlineLevel="0" collapsed="false">
      <c r="A2435" s="3" t="n">
        <v>2434</v>
      </c>
      <c r="B2435" s="3" t="n">
        <f aca="false">Raw_Data!A2435</f>
        <v>73</v>
      </c>
      <c r="C2435" s="3" t="str">
        <f aca="false">SUBSTITUTE(Raw_Data!B2435,".","")</f>
        <v>retired</v>
      </c>
      <c r="D2435" s="3" t="str">
        <f aca="false">Raw_Data!C2435</f>
        <v>married</v>
      </c>
      <c r="E2435" s="3" t="str">
        <f aca="false">Raw_Data!D2435</f>
        <v>primary</v>
      </c>
      <c r="F2435" s="3" t="str">
        <f aca="false">Raw_Data!E2435</f>
        <v>no</v>
      </c>
      <c r="G2435" s="3" t="n">
        <f aca="false">Raw_Data!F2435</f>
        <v>796</v>
      </c>
      <c r="H2435" s="3" t="str">
        <f aca="false">Raw_Data!G2435</f>
        <v>no</v>
      </c>
      <c r="I2435" s="3" t="str">
        <f aca="false">Raw_Data!H2435</f>
        <v>no</v>
      </c>
      <c r="J2435" s="2" t="n">
        <f aca="false">IF(F2435="yes",1,0)</f>
        <v>0</v>
      </c>
      <c r="K2435" s="2" t="n">
        <f aca="false">IF(H2435="yes",1,0)</f>
        <v>0</v>
      </c>
      <c r="L2435" s="2" t="n">
        <f aca="false">IF(I2435="yes",1,0)</f>
        <v>0</v>
      </c>
      <c r="M2435" s="2" t="n">
        <f aca="false">IF(G2435&lt;0,1,0)</f>
        <v>0</v>
      </c>
      <c r="N2435" s="2" t="str">
        <f aca="false">_xlfn.IFS(B2435&lt;30,"Under 30",B2435&lt;40,"30-39",B2435&lt;50,"40-49",B2435&lt;60,"50-59",TRUE(),"60+")</f>
        <v>60+</v>
      </c>
      <c r="O2435" s="2" t="str">
        <f aca="false">_xlfn.IFS(G2435&lt;0,"1 Negative",G2435=0,"2 Zero",G2435&lt;=500,"3 1-500",G2435&lt;=2000,"4 501-2000",TRUE(),"5 Above 2000")</f>
        <v>4 501-2000</v>
      </c>
      <c r="P2435" s="2" t="n">
        <f aca="false">Lookups!$B$2*M2435+Lookups!$B$3*L2435</f>
        <v>0</v>
      </c>
      <c r="Q2435" s="2" t="str">
        <f aca="false">INDEX(Lookups!$E$2:$E$5,MATCH(P2435,Lookups!$D$2:$D$5,0))</f>
        <v>Low</v>
      </c>
    </row>
    <row r="2436" customFormat="false" ht="15" hidden="false" customHeight="false" outlineLevel="0" collapsed="false">
      <c r="A2436" s="3" t="n">
        <v>2435</v>
      </c>
      <c r="B2436" s="3" t="n">
        <f aca="false">Raw_Data!A2436</f>
        <v>35</v>
      </c>
      <c r="C2436" s="3" t="str">
        <f aca="false">SUBSTITUTE(Raw_Data!B2436,".","")</f>
        <v>admin</v>
      </c>
      <c r="D2436" s="3" t="str">
        <f aca="false">Raw_Data!C2436</f>
        <v>single</v>
      </c>
      <c r="E2436" s="3" t="str">
        <f aca="false">Raw_Data!D2436</f>
        <v>secondary</v>
      </c>
      <c r="F2436" s="3" t="str">
        <f aca="false">Raw_Data!E2436</f>
        <v>no</v>
      </c>
      <c r="G2436" s="3" t="n">
        <f aca="false">Raw_Data!F2436</f>
        <v>57</v>
      </c>
      <c r="H2436" s="3" t="str">
        <f aca="false">Raw_Data!G2436</f>
        <v>no</v>
      </c>
      <c r="I2436" s="3" t="str">
        <f aca="false">Raw_Data!H2436</f>
        <v>yes</v>
      </c>
      <c r="J2436" s="2" t="n">
        <f aca="false">IF(F2436="yes",1,0)</f>
        <v>0</v>
      </c>
      <c r="K2436" s="2" t="n">
        <f aca="false">IF(H2436="yes",1,0)</f>
        <v>0</v>
      </c>
      <c r="L2436" s="2" t="n">
        <f aca="false">IF(I2436="yes",1,0)</f>
        <v>1</v>
      </c>
      <c r="M2436" s="2" t="n">
        <f aca="false">IF(G2436&lt;0,1,0)</f>
        <v>0</v>
      </c>
      <c r="N2436" s="2" t="str">
        <f aca="false">_xlfn.IFS(B2436&lt;30,"Under 30",B2436&lt;40,"30-39",B2436&lt;50,"40-49",B2436&lt;60,"50-59",TRUE(),"60+")</f>
        <v>30-39</v>
      </c>
      <c r="O2436" s="2" t="str">
        <f aca="false">_xlfn.IFS(G2436&lt;0,"1 Negative",G2436=0,"2 Zero",G2436&lt;=500,"3 1-500",G2436&lt;=2000,"4 501-2000",TRUE(),"5 Above 2000")</f>
        <v>3 1-500</v>
      </c>
      <c r="P2436" s="2" t="n">
        <f aca="false">Lookups!$B$2*M2436+Lookups!$B$3*L2436</f>
        <v>1</v>
      </c>
      <c r="Q2436" s="2" t="str">
        <f aca="false">INDEX(Lookups!$E$2:$E$5,MATCH(P2436,Lookups!$D$2:$D$5,0))</f>
        <v>Medium</v>
      </c>
    </row>
    <row r="2437" customFormat="false" ht="15" hidden="false" customHeight="false" outlineLevel="0" collapsed="false">
      <c r="A2437" s="3" t="n">
        <v>2436</v>
      </c>
      <c r="B2437" s="3" t="n">
        <f aca="false">Raw_Data!A2437</f>
        <v>40</v>
      </c>
      <c r="C2437" s="3" t="str">
        <f aca="false">SUBSTITUTE(Raw_Data!B2437,".","")</f>
        <v>management</v>
      </c>
      <c r="D2437" s="3" t="str">
        <f aca="false">Raw_Data!C2437</f>
        <v>married</v>
      </c>
      <c r="E2437" s="3" t="str">
        <f aca="false">Raw_Data!D2437</f>
        <v>tertiary</v>
      </c>
      <c r="F2437" s="3" t="str">
        <f aca="false">Raw_Data!E2437</f>
        <v>no</v>
      </c>
      <c r="G2437" s="3" t="n">
        <f aca="false">Raw_Data!F2437</f>
        <v>1548</v>
      </c>
      <c r="H2437" s="3" t="str">
        <f aca="false">Raw_Data!G2437</f>
        <v>yes</v>
      </c>
      <c r="I2437" s="3" t="str">
        <f aca="false">Raw_Data!H2437</f>
        <v>no</v>
      </c>
      <c r="J2437" s="2" t="n">
        <f aca="false">IF(F2437="yes",1,0)</f>
        <v>0</v>
      </c>
      <c r="K2437" s="2" t="n">
        <f aca="false">IF(H2437="yes",1,0)</f>
        <v>1</v>
      </c>
      <c r="L2437" s="2" t="n">
        <f aca="false">IF(I2437="yes",1,0)</f>
        <v>0</v>
      </c>
      <c r="M2437" s="2" t="n">
        <f aca="false">IF(G2437&lt;0,1,0)</f>
        <v>0</v>
      </c>
      <c r="N2437" s="2" t="str">
        <f aca="false">_xlfn.IFS(B2437&lt;30,"Under 30",B2437&lt;40,"30-39",B2437&lt;50,"40-49",B2437&lt;60,"50-59",TRUE(),"60+")</f>
        <v>40-49</v>
      </c>
      <c r="O2437" s="2" t="str">
        <f aca="false">_xlfn.IFS(G2437&lt;0,"1 Negative",G2437=0,"2 Zero",G2437&lt;=500,"3 1-500",G2437&lt;=2000,"4 501-2000",TRUE(),"5 Above 2000")</f>
        <v>4 501-2000</v>
      </c>
      <c r="P2437" s="2" t="n">
        <f aca="false">Lookups!$B$2*M2437+Lookups!$B$3*L2437</f>
        <v>0</v>
      </c>
      <c r="Q2437" s="2" t="str">
        <f aca="false">INDEX(Lookups!$E$2:$E$5,MATCH(P2437,Lookups!$D$2:$D$5,0))</f>
        <v>Low</v>
      </c>
    </row>
    <row r="2438" customFormat="false" ht="15" hidden="false" customHeight="false" outlineLevel="0" collapsed="false">
      <c r="A2438" s="3" t="n">
        <v>2437</v>
      </c>
      <c r="B2438" s="3" t="n">
        <f aca="false">Raw_Data!A2438</f>
        <v>51</v>
      </c>
      <c r="C2438" s="3" t="str">
        <f aca="false">SUBSTITUTE(Raw_Data!B2438,".","")</f>
        <v>technician</v>
      </c>
      <c r="D2438" s="3" t="str">
        <f aca="false">Raw_Data!C2438</f>
        <v>married</v>
      </c>
      <c r="E2438" s="3" t="str">
        <f aca="false">Raw_Data!D2438</f>
        <v>secondary</v>
      </c>
      <c r="F2438" s="3" t="str">
        <f aca="false">Raw_Data!E2438</f>
        <v>no</v>
      </c>
      <c r="G2438" s="3" t="n">
        <f aca="false">Raw_Data!F2438</f>
        <v>117</v>
      </c>
      <c r="H2438" s="3" t="str">
        <f aca="false">Raw_Data!G2438</f>
        <v>no</v>
      </c>
      <c r="I2438" s="3" t="str">
        <f aca="false">Raw_Data!H2438</f>
        <v>no</v>
      </c>
      <c r="J2438" s="2" t="n">
        <f aca="false">IF(F2438="yes",1,0)</f>
        <v>0</v>
      </c>
      <c r="K2438" s="2" t="n">
        <f aca="false">IF(H2438="yes",1,0)</f>
        <v>0</v>
      </c>
      <c r="L2438" s="2" t="n">
        <f aca="false">IF(I2438="yes",1,0)</f>
        <v>0</v>
      </c>
      <c r="M2438" s="2" t="n">
        <f aca="false">IF(G2438&lt;0,1,0)</f>
        <v>0</v>
      </c>
      <c r="N2438" s="2" t="str">
        <f aca="false">_xlfn.IFS(B2438&lt;30,"Under 30",B2438&lt;40,"30-39",B2438&lt;50,"40-49",B2438&lt;60,"50-59",TRUE(),"60+")</f>
        <v>50-59</v>
      </c>
      <c r="O2438" s="2" t="str">
        <f aca="false">_xlfn.IFS(G2438&lt;0,"1 Negative",G2438=0,"2 Zero",G2438&lt;=500,"3 1-500",G2438&lt;=2000,"4 501-2000",TRUE(),"5 Above 2000")</f>
        <v>3 1-500</v>
      </c>
      <c r="P2438" s="2" t="n">
        <f aca="false">Lookups!$B$2*M2438+Lookups!$B$3*L2438</f>
        <v>0</v>
      </c>
      <c r="Q2438" s="2" t="str">
        <f aca="false">INDEX(Lookups!$E$2:$E$5,MATCH(P2438,Lookups!$D$2:$D$5,0))</f>
        <v>Low</v>
      </c>
    </row>
    <row r="2439" customFormat="false" ht="15" hidden="false" customHeight="false" outlineLevel="0" collapsed="false">
      <c r="A2439" s="3" t="n">
        <v>2438</v>
      </c>
      <c r="B2439" s="3" t="n">
        <f aca="false">Raw_Data!A2439</f>
        <v>37</v>
      </c>
      <c r="C2439" s="3" t="str">
        <f aca="false">SUBSTITUTE(Raw_Data!B2439,".","")</f>
        <v>admin</v>
      </c>
      <c r="D2439" s="3" t="str">
        <f aca="false">Raw_Data!C2439</f>
        <v>single</v>
      </c>
      <c r="E2439" s="3" t="str">
        <f aca="false">Raw_Data!D2439</f>
        <v>secondary</v>
      </c>
      <c r="F2439" s="3" t="str">
        <f aca="false">Raw_Data!E2439</f>
        <v>no</v>
      </c>
      <c r="G2439" s="3" t="n">
        <f aca="false">Raw_Data!F2439</f>
        <v>0</v>
      </c>
      <c r="H2439" s="3" t="str">
        <f aca="false">Raw_Data!G2439</f>
        <v>yes</v>
      </c>
      <c r="I2439" s="3" t="str">
        <f aca="false">Raw_Data!H2439</f>
        <v>no</v>
      </c>
      <c r="J2439" s="2" t="n">
        <f aca="false">IF(F2439="yes",1,0)</f>
        <v>0</v>
      </c>
      <c r="K2439" s="2" t="n">
        <f aca="false">IF(H2439="yes",1,0)</f>
        <v>1</v>
      </c>
      <c r="L2439" s="2" t="n">
        <f aca="false">IF(I2439="yes",1,0)</f>
        <v>0</v>
      </c>
      <c r="M2439" s="2" t="n">
        <f aca="false">IF(G2439&lt;0,1,0)</f>
        <v>0</v>
      </c>
      <c r="N2439" s="2" t="str">
        <f aca="false">_xlfn.IFS(B2439&lt;30,"Under 30",B2439&lt;40,"30-39",B2439&lt;50,"40-49",B2439&lt;60,"50-59",TRUE(),"60+")</f>
        <v>30-39</v>
      </c>
      <c r="O2439" s="2" t="str">
        <f aca="false">_xlfn.IFS(G2439&lt;0,"1 Negative",G2439=0,"2 Zero",G2439&lt;=500,"3 1-500",G2439&lt;=2000,"4 501-2000",TRUE(),"5 Above 2000")</f>
        <v>2 Zero</v>
      </c>
      <c r="P2439" s="2" t="n">
        <f aca="false">Lookups!$B$2*M2439+Lookups!$B$3*L2439</f>
        <v>0</v>
      </c>
      <c r="Q2439" s="2" t="str">
        <f aca="false">INDEX(Lookups!$E$2:$E$5,MATCH(P2439,Lookups!$D$2:$D$5,0))</f>
        <v>Low</v>
      </c>
    </row>
    <row r="2440" customFormat="false" ht="15" hidden="false" customHeight="false" outlineLevel="0" collapsed="false">
      <c r="A2440" s="3" t="n">
        <v>2439</v>
      </c>
      <c r="B2440" s="3" t="n">
        <f aca="false">Raw_Data!A2440</f>
        <v>39</v>
      </c>
      <c r="C2440" s="3" t="str">
        <f aca="false">SUBSTITUTE(Raw_Data!B2440,".","")</f>
        <v>management</v>
      </c>
      <c r="D2440" s="3" t="str">
        <f aca="false">Raw_Data!C2440</f>
        <v>married</v>
      </c>
      <c r="E2440" s="3" t="str">
        <f aca="false">Raw_Data!D2440</f>
        <v>tertiary</v>
      </c>
      <c r="F2440" s="3" t="str">
        <f aca="false">Raw_Data!E2440</f>
        <v>no</v>
      </c>
      <c r="G2440" s="3" t="n">
        <f aca="false">Raw_Data!F2440</f>
        <v>691</v>
      </c>
      <c r="H2440" s="3" t="str">
        <f aca="false">Raw_Data!G2440</f>
        <v>yes</v>
      </c>
      <c r="I2440" s="3" t="str">
        <f aca="false">Raw_Data!H2440</f>
        <v>yes</v>
      </c>
      <c r="J2440" s="2" t="n">
        <f aca="false">IF(F2440="yes",1,0)</f>
        <v>0</v>
      </c>
      <c r="K2440" s="2" t="n">
        <f aca="false">IF(H2440="yes",1,0)</f>
        <v>1</v>
      </c>
      <c r="L2440" s="2" t="n">
        <f aca="false">IF(I2440="yes",1,0)</f>
        <v>1</v>
      </c>
      <c r="M2440" s="2" t="n">
        <f aca="false">IF(G2440&lt;0,1,0)</f>
        <v>0</v>
      </c>
      <c r="N2440" s="2" t="str">
        <f aca="false">_xlfn.IFS(B2440&lt;30,"Under 30",B2440&lt;40,"30-39",B2440&lt;50,"40-49",B2440&lt;60,"50-59",TRUE(),"60+")</f>
        <v>30-39</v>
      </c>
      <c r="O2440" s="2" t="str">
        <f aca="false">_xlfn.IFS(G2440&lt;0,"1 Negative",G2440=0,"2 Zero",G2440&lt;=500,"3 1-500",G2440&lt;=2000,"4 501-2000",TRUE(),"5 Above 2000")</f>
        <v>4 501-2000</v>
      </c>
      <c r="P2440" s="2" t="n">
        <f aca="false">Lookups!$B$2*M2440+Lookups!$B$3*L2440</f>
        <v>1</v>
      </c>
      <c r="Q2440" s="2" t="str">
        <f aca="false">INDEX(Lookups!$E$2:$E$5,MATCH(P2440,Lookups!$D$2:$D$5,0))</f>
        <v>Medium</v>
      </c>
    </row>
    <row r="2441" customFormat="false" ht="15" hidden="false" customHeight="false" outlineLevel="0" collapsed="false">
      <c r="A2441" s="3" t="n">
        <v>2440</v>
      </c>
      <c r="B2441" s="3" t="n">
        <f aca="false">Raw_Data!A2441</f>
        <v>28</v>
      </c>
      <c r="C2441" s="3" t="str">
        <f aca="false">SUBSTITUTE(Raw_Data!B2441,".","")</f>
        <v>blue-collar</v>
      </c>
      <c r="D2441" s="3" t="str">
        <f aca="false">Raw_Data!C2441</f>
        <v>married</v>
      </c>
      <c r="E2441" s="3" t="str">
        <f aca="false">Raw_Data!D2441</f>
        <v>secondary</v>
      </c>
      <c r="F2441" s="3" t="str">
        <f aca="false">Raw_Data!E2441</f>
        <v>no</v>
      </c>
      <c r="G2441" s="3" t="n">
        <f aca="false">Raw_Data!F2441</f>
        <v>64</v>
      </c>
      <c r="H2441" s="3" t="str">
        <f aca="false">Raw_Data!G2441</f>
        <v>yes</v>
      </c>
      <c r="I2441" s="3" t="str">
        <f aca="false">Raw_Data!H2441</f>
        <v>no</v>
      </c>
      <c r="J2441" s="2" t="n">
        <f aca="false">IF(F2441="yes",1,0)</f>
        <v>0</v>
      </c>
      <c r="K2441" s="2" t="n">
        <f aca="false">IF(H2441="yes",1,0)</f>
        <v>1</v>
      </c>
      <c r="L2441" s="2" t="n">
        <f aca="false">IF(I2441="yes",1,0)</f>
        <v>0</v>
      </c>
      <c r="M2441" s="2" t="n">
        <f aca="false">IF(G2441&lt;0,1,0)</f>
        <v>0</v>
      </c>
      <c r="N2441" s="2" t="str">
        <f aca="false">_xlfn.IFS(B2441&lt;30,"Under 30",B2441&lt;40,"30-39",B2441&lt;50,"40-49",B2441&lt;60,"50-59",TRUE(),"60+")</f>
        <v>Under 30</v>
      </c>
      <c r="O2441" s="2" t="str">
        <f aca="false">_xlfn.IFS(G2441&lt;0,"1 Negative",G2441=0,"2 Zero",G2441&lt;=500,"3 1-500",G2441&lt;=2000,"4 501-2000",TRUE(),"5 Above 2000")</f>
        <v>3 1-500</v>
      </c>
      <c r="P2441" s="2" t="n">
        <f aca="false">Lookups!$B$2*M2441+Lookups!$B$3*L2441</f>
        <v>0</v>
      </c>
      <c r="Q2441" s="2" t="str">
        <f aca="false">INDEX(Lookups!$E$2:$E$5,MATCH(P2441,Lookups!$D$2:$D$5,0))</f>
        <v>Low</v>
      </c>
    </row>
    <row r="2442" customFormat="false" ht="15" hidden="false" customHeight="false" outlineLevel="0" collapsed="false">
      <c r="A2442" s="3" t="n">
        <v>2441</v>
      </c>
      <c r="B2442" s="3" t="n">
        <f aca="false">Raw_Data!A2442</f>
        <v>49</v>
      </c>
      <c r="C2442" s="3" t="str">
        <f aca="false">SUBSTITUTE(Raw_Data!B2442,".","")</f>
        <v>technician</v>
      </c>
      <c r="D2442" s="3" t="str">
        <f aca="false">Raw_Data!C2442</f>
        <v>divorced</v>
      </c>
      <c r="E2442" s="3" t="str">
        <f aca="false">Raw_Data!D2442</f>
        <v>tertiary</v>
      </c>
      <c r="F2442" s="3" t="str">
        <f aca="false">Raw_Data!E2442</f>
        <v>no</v>
      </c>
      <c r="G2442" s="3" t="n">
        <f aca="false">Raw_Data!F2442</f>
        <v>0</v>
      </c>
      <c r="H2442" s="3" t="str">
        <f aca="false">Raw_Data!G2442</f>
        <v>yes</v>
      </c>
      <c r="I2442" s="3" t="str">
        <f aca="false">Raw_Data!H2442</f>
        <v>no</v>
      </c>
      <c r="J2442" s="2" t="n">
        <f aca="false">IF(F2442="yes",1,0)</f>
        <v>0</v>
      </c>
      <c r="K2442" s="2" t="n">
        <f aca="false">IF(H2442="yes",1,0)</f>
        <v>1</v>
      </c>
      <c r="L2442" s="2" t="n">
        <f aca="false">IF(I2442="yes",1,0)</f>
        <v>0</v>
      </c>
      <c r="M2442" s="2" t="n">
        <f aca="false">IF(G2442&lt;0,1,0)</f>
        <v>0</v>
      </c>
      <c r="N2442" s="2" t="str">
        <f aca="false">_xlfn.IFS(B2442&lt;30,"Under 30",B2442&lt;40,"30-39",B2442&lt;50,"40-49",B2442&lt;60,"50-59",TRUE(),"60+")</f>
        <v>40-49</v>
      </c>
      <c r="O2442" s="2" t="str">
        <f aca="false">_xlfn.IFS(G2442&lt;0,"1 Negative",G2442=0,"2 Zero",G2442&lt;=500,"3 1-500",G2442&lt;=2000,"4 501-2000",TRUE(),"5 Above 2000")</f>
        <v>2 Zero</v>
      </c>
      <c r="P2442" s="2" t="n">
        <f aca="false">Lookups!$B$2*M2442+Lookups!$B$3*L2442</f>
        <v>0</v>
      </c>
      <c r="Q2442" s="2" t="str">
        <f aca="false">INDEX(Lookups!$E$2:$E$5,MATCH(P2442,Lookups!$D$2:$D$5,0))</f>
        <v>Low</v>
      </c>
    </row>
    <row r="2443" customFormat="false" ht="15" hidden="false" customHeight="false" outlineLevel="0" collapsed="false">
      <c r="A2443" s="3" t="n">
        <v>2442</v>
      </c>
      <c r="B2443" s="3" t="n">
        <f aca="false">Raw_Data!A2443</f>
        <v>36</v>
      </c>
      <c r="C2443" s="3" t="str">
        <f aca="false">SUBSTITUTE(Raw_Data!B2443,".","")</f>
        <v>admin</v>
      </c>
      <c r="D2443" s="3" t="str">
        <f aca="false">Raw_Data!C2443</f>
        <v>married</v>
      </c>
      <c r="E2443" s="3" t="str">
        <f aca="false">Raw_Data!D2443</f>
        <v>secondary</v>
      </c>
      <c r="F2443" s="3" t="str">
        <f aca="false">Raw_Data!E2443</f>
        <v>no</v>
      </c>
      <c r="G2443" s="3" t="n">
        <f aca="false">Raw_Data!F2443</f>
        <v>957</v>
      </c>
      <c r="H2443" s="3" t="str">
        <f aca="false">Raw_Data!G2443</f>
        <v>yes</v>
      </c>
      <c r="I2443" s="3" t="str">
        <f aca="false">Raw_Data!H2443</f>
        <v>no</v>
      </c>
      <c r="J2443" s="2" t="n">
        <f aca="false">IF(F2443="yes",1,0)</f>
        <v>0</v>
      </c>
      <c r="K2443" s="2" t="n">
        <f aca="false">IF(H2443="yes",1,0)</f>
        <v>1</v>
      </c>
      <c r="L2443" s="2" t="n">
        <f aca="false">IF(I2443="yes",1,0)</f>
        <v>0</v>
      </c>
      <c r="M2443" s="2" t="n">
        <f aca="false">IF(G2443&lt;0,1,0)</f>
        <v>0</v>
      </c>
      <c r="N2443" s="2" t="str">
        <f aca="false">_xlfn.IFS(B2443&lt;30,"Under 30",B2443&lt;40,"30-39",B2443&lt;50,"40-49",B2443&lt;60,"50-59",TRUE(),"60+")</f>
        <v>30-39</v>
      </c>
      <c r="O2443" s="2" t="str">
        <f aca="false">_xlfn.IFS(G2443&lt;0,"1 Negative",G2443=0,"2 Zero",G2443&lt;=500,"3 1-500",G2443&lt;=2000,"4 501-2000",TRUE(),"5 Above 2000")</f>
        <v>4 501-2000</v>
      </c>
      <c r="P2443" s="2" t="n">
        <f aca="false">Lookups!$B$2*M2443+Lookups!$B$3*L2443</f>
        <v>0</v>
      </c>
      <c r="Q2443" s="2" t="str">
        <f aca="false">INDEX(Lookups!$E$2:$E$5,MATCH(P2443,Lookups!$D$2:$D$5,0))</f>
        <v>Low</v>
      </c>
    </row>
    <row r="2444" customFormat="false" ht="15" hidden="false" customHeight="false" outlineLevel="0" collapsed="false">
      <c r="A2444" s="3" t="n">
        <v>2443</v>
      </c>
      <c r="B2444" s="3" t="n">
        <f aca="false">Raw_Data!A2444</f>
        <v>45</v>
      </c>
      <c r="C2444" s="3" t="str">
        <f aca="false">SUBSTITUTE(Raw_Data!B2444,".","")</f>
        <v>technician</v>
      </c>
      <c r="D2444" s="3" t="str">
        <f aca="false">Raw_Data!C2444</f>
        <v>married</v>
      </c>
      <c r="E2444" s="3" t="str">
        <f aca="false">Raw_Data!D2444</f>
        <v>secondary</v>
      </c>
      <c r="F2444" s="3" t="str">
        <f aca="false">Raw_Data!E2444</f>
        <v>no</v>
      </c>
      <c r="G2444" s="3" t="n">
        <f aca="false">Raw_Data!F2444</f>
        <v>118</v>
      </c>
      <c r="H2444" s="3" t="str">
        <f aca="false">Raw_Data!G2444</f>
        <v>yes</v>
      </c>
      <c r="I2444" s="3" t="str">
        <f aca="false">Raw_Data!H2444</f>
        <v>no</v>
      </c>
      <c r="J2444" s="2" t="n">
        <f aca="false">IF(F2444="yes",1,0)</f>
        <v>0</v>
      </c>
      <c r="K2444" s="2" t="n">
        <f aca="false">IF(H2444="yes",1,0)</f>
        <v>1</v>
      </c>
      <c r="L2444" s="2" t="n">
        <f aca="false">IF(I2444="yes",1,0)</f>
        <v>0</v>
      </c>
      <c r="M2444" s="2" t="n">
        <f aca="false">IF(G2444&lt;0,1,0)</f>
        <v>0</v>
      </c>
      <c r="N2444" s="2" t="str">
        <f aca="false">_xlfn.IFS(B2444&lt;30,"Under 30",B2444&lt;40,"30-39",B2444&lt;50,"40-49",B2444&lt;60,"50-59",TRUE(),"60+")</f>
        <v>40-49</v>
      </c>
      <c r="O2444" s="2" t="str">
        <f aca="false">_xlfn.IFS(G2444&lt;0,"1 Negative",G2444=0,"2 Zero",G2444&lt;=500,"3 1-500",G2444&lt;=2000,"4 501-2000",TRUE(),"5 Above 2000")</f>
        <v>3 1-500</v>
      </c>
      <c r="P2444" s="2" t="n">
        <f aca="false">Lookups!$B$2*M2444+Lookups!$B$3*L2444</f>
        <v>0</v>
      </c>
      <c r="Q2444" s="2" t="str">
        <f aca="false">INDEX(Lookups!$E$2:$E$5,MATCH(P2444,Lookups!$D$2:$D$5,0))</f>
        <v>Low</v>
      </c>
    </row>
    <row r="2445" customFormat="false" ht="15" hidden="false" customHeight="false" outlineLevel="0" collapsed="false">
      <c r="A2445" s="3" t="n">
        <v>2444</v>
      </c>
      <c r="B2445" s="3" t="n">
        <f aca="false">Raw_Data!A2445</f>
        <v>29</v>
      </c>
      <c r="C2445" s="3" t="str">
        <f aca="false">SUBSTITUTE(Raw_Data!B2445,".","")</f>
        <v>technician</v>
      </c>
      <c r="D2445" s="3" t="str">
        <f aca="false">Raw_Data!C2445</f>
        <v>single</v>
      </c>
      <c r="E2445" s="3" t="str">
        <f aca="false">Raw_Data!D2445</f>
        <v>tertiary</v>
      </c>
      <c r="F2445" s="3" t="str">
        <f aca="false">Raw_Data!E2445</f>
        <v>no</v>
      </c>
      <c r="G2445" s="3" t="n">
        <f aca="false">Raw_Data!F2445</f>
        <v>218</v>
      </c>
      <c r="H2445" s="3" t="str">
        <f aca="false">Raw_Data!G2445</f>
        <v>yes</v>
      </c>
      <c r="I2445" s="3" t="str">
        <f aca="false">Raw_Data!H2445</f>
        <v>no</v>
      </c>
      <c r="J2445" s="2" t="n">
        <f aca="false">IF(F2445="yes",1,0)</f>
        <v>0</v>
      </c>
      <c r="K2445" s="2" t="n">
        <f aca="false">IF(H2445="yes",1,0)</f>
        <v>1</v>
      </c>
      <c r="L2445" s="2" t="n">
        <f aca="false">IF(I2445="yes",1,0)</f>
        <v>0</v>
      </c>
      <c r="M2445" s="2" t="n">
        <f aca="false">IF(G2445&lt;0,1,0)</f>
        <v>0</v>
      </c>
      <c r="N2445" s="2" t="str">
        <f aca="false">_xlfn.IFS(B2445&lt;30,"Under 30",B2445&lt;40,"30-39",B2445&lt;50,"40-49",B2445&lt;60,"50-59",TRUE(),"60+")</f>
        <v>Under 30</v>
      </c>
      <c r="O2445" s="2" t="str">
        <f aca="false">_xlfn.IFS(G2445&lt;0,"1 Negative",G2445=0,"2 Zero",G2445&lt;=500,"3 1-500",G2445&lt;=2000,"4 501-2000",TRUE(),"5 Above 2000")</f>
        <v>3 1-500</v>
      </c>
      <c r="P2445" s="2" t="n">
        <f aca="false">Lookups!$B$2*M2445+Lookups!$B$3*L2445</f>
        <v>0</v>
      </c>
      <c r="Q2445" s="2" t="str">
        <f aca="false">INDEX(Lookups!$E$2:$E$5,MATCH(P2445,Lookups!$D$2:$D$5,0))</f>
        <v>Low</v>
      </c>
    </row>
    <row r="2446" customFormat="false" ht="15" hidden="false" customHeight="false" outlineLevel="0" collapsed="false">
      <c r="A2446" s="3" t="n">
        <v>2445</v>
      </c>
      <c r="B2446" s="3" t="n">
        <f aca="false">Raw_Data!A2446</f>
        <v>35</v>
      </c>
      <c r="C2446" s="3" t="str">
        <f aca="false">SUBSTITUTE(Raw_Data!B2446,".","")</f>
        <v>management</v>
      </c>
      <c r="D2446" s="3" t="str">
        <f aca="false">Raw_Data!C2446</f>
        <v>married</v>
      </c>
      <c r="E2446" s="3" t="str">
        <f aca="false">Raw_Data!D2446</f>
        <v>secondary</v>
      </c>
      <c r="F2446" s="3" t="str">
        <f aca="false">Raw_Data!E2446</f>
        <v>no</v>
      </c>
      <c r="G2446" s="3" t="n">
        <f aca="false">Raw_Data!F2446</f>
        <v>724</v>
      </c>
      <c r="H2446" s="3" t="str">
        <f aca="false">Raw_Data!G2446</f>
        <v>yes</v>
      </c>
      <c r="I2446" s="3" t="str">
        <f aca="false">Raw_Data!H2446</f>
        <v>no</v>
      </c>
      <c r="J2446" s="2" t="n">
        <f aca="false">IF(F2446="yes",1,0)</f>
        <v>0</v>
      </c>
      <c r="K2446" s="2" t="n">
        <f aca="false">IF(H2446="yes",1,0)</f>
        <v>1</v>
      </c>
      <c r="L2446" s="2" t="n">
        <f aca="false">IF(I2446="yes",1,0)</f>
        <v>0</v>
      </c>
      <c r="M2446" s="2" t="n">
        <f aca="false">IF(G2446&lt;0,1,0)</f>
        <v>0</v>
      </c>
      <c r="N2446" s="2" t="str">
        <f aca="false">_xlfn.IFS(B2446&lt;30,"Under 30",B2446&lt;40,"30-39",B2446&lt;50,"40-49",B2446&lt;60,"50-59",TRUE(),"60+")</f>
        <v>30-39</v>
      </c>
      <c r="O2446" s="2" t="str">
        <f aca="false">_xlfn.IFS(G2446&lt;0,"1 Negative",G2446=0,"2 Zero",G2446&lt;=500,"3 1-500",G2446&lt;=2000,"4 501-2000",TRUE(),"5 Above 2000")</f>
        <v>4 501-2000</v>
      </c>
      <c r="P2446" s="2" t="n">
        <f aca="false">Lookups!$B$2*M2446+Lookups!$B$3*L2446</f>
        <v>0</v>
      </c>
      <c r="Q2446" s="2" t="str">
        <f aca="false">INDEX(Lookups!$E$2:$E$5,MATCH(P2446,Lookups!$D$2:$D$5,0))</f>
        <v>Low</v>
      </c>
    </row>
    <row r="2447" customFormat="false" ht="15" hidden="false" customHeight="false" outlineLevel="0" collapsed="false">
      <c r="A2447" s="3" t="n">
        <v>2446</v>
      </c>
      <c r="B2447" s="3" t="n">
        <f aca="false">Raw_Data!A2447</f>
        <v>35</v>
      </c>
      <c r="C2447" s="3" t="str">
        <f aca="false">SUBSTITUTE(Raw_Data!B2447,".","")</f>
        <v>housemaid</v>
      </c>
      <c r="D2447" s="3" t="str">
        <f aca="false">Raw_Data!C2447</f>
        <v>married</v>
      </c>
      <c r="E2447" s="3" t="str">
        <f aca="false">Raw_Data!D2447</f>
        <v>tertiary</v>
      </c>
      <c r="F2447" s="3" t="str">
        <f aca="false">Raw_Data!E2447</f>
        <v>no</v>
      </c>
      <c r="G2447" s="3" t="n">
        <f aca="false">Raw_Data!F2447</f>
        <v>20</v>
      </c>
      <c r="H2447" s="3" t="str">
        <f aca="false">Raw_Data!G2447</f>
        <v>yes</v>
      </c>
      <c r="I2447" s="3" t="str">
        <f aca="false">Raw_Data!H2447</f>
        <v>yes</v>
      </c>
      <c r="J2447" s="2" t="n">
        <f aca="false">IF(F2447="yes",1,0)</f>
        <v>0</v>
      </c>
      <c r="K2447" s="2" t="n">
        <f aca="false">IF(H2447="yes",1,0)</f>
        <v>1</v>
      </c>
      <c r="L2447" s="2" t="n">
        <f aca="false">IF(I2447="yes",1,0)</f>
        <v>1</v>
      </c>
      <c r="M2447" s="2" t="n">
        <f aca="false">IF(G2447&lt;0,1,0)</f>
        <v>0</v>
      </c>
      <c r="N2447" s="2" t="str">
        <f aca="false">_xlfn.IFS(B2447&lt;30,"Under 30",B2447&lt;40,"30-39",B2447&lt;50,"40-49",B2447&lt;60,"50-59",TRUE(),"60+")</f>
        <v>30-39</v>
      </c>
      <c r="O2447" s="2" t="str">
        <f aca="false">_xlfn.IFS(G2447&lt;0,"1 Negative",G2447=0,"2 Zero",G2447&lt;=500,"3 1-500",G2447&lt;=2000,"4 501-2000",TRUE(),"5 Above 2000")</f>
        <v>3 1-500</v>
      </c>
      <c r="P2447" s="2" t="n">
        <f aca="false">Lookups!$B$2*M2447+Lookups!$B$3*L2447</f>
        <v>1</v>
      </c>
      <c r="Q2447" s="2" t="str">
        <f aca="false">INDEX(Lookups!$E$2:$E$5,MATCH(P2447,Lookups!$D$2:$D$5,0))</f>
        <v>Medium</v>
      </c>
    </row>
    <row r="2448" customFormat="false" ht="15" hidden="false" customHeight="false" outlineLevel="0" collapsed="false">
      <c r="A2448" s="3" t="n">
        <v>2447</v>
      </c>
      <c r="B2448" s="3" t="n">
        <f aca="false">Raw_Data!A2448</f>
        <v>30</v>
      </c>
      <c r="C2448" s="3" t="str">
        <f aca="false">SUBSTITUTE(Raw_Data!B2448,".","")</f>
        <v>blue-collar</v>
      </c>
      <c r="D2448" s="3" t="str">
        <f aca="false">Raw_Data!C2448</f>
        <v>married</v>
      </c>
      <c r="E2448" s="3" t="str">
        <f aca="false">Raw_Data!D2448</f>
        <v>secondary</v>
      </c>
      <c r="F2448" s="3" t="str">
        <f aca="false">Raw_Data!E2448</f>
        <v>no</v>
      </c>
      <c r="G2448" s="3" t="n">
        <f aca="false">Raw_Data!F2448</f>
        <v>-28</v>
      </c>
      <c r="H2448" s="3" t="str">
        <f aca="false">Raw_Data!G2448</f>
        <v>yes</v>
      </c>
      <c r="I2448" s="3" t="str">
        <f aca="false">Raw_Data!H2448</f>
        <v>no</v>
      </c>
      <c r="J2448" s="2" t="n">
        <f aca="false">IF(F2448="yes",1,0)</f>
        <v>0</v>
      </c>
      <c r="K2448" s="2" t="n">
        <f aca="false">IF(H2448="yes",1,0)</f>
        <v>1</v>
      </c>
      <c r="L2448" s="2" t="n">
        <f aca="false">IF(I2448="yes",1,0)</f>
        <v>0</v>
      </c>
      <c r="M2448" s="2" t="n">
        <f aca="false">IF(G2448&lt;0,1,0)</f>
        <v>1</v>
      </c>
      <c r="N2448" s="2" t="str">
        <f aca="false">_xlfn.IFS(B2448&lt;30,"Under 30",B2448&lt;40,"30-39",B2448&lt;50,"40-49",B2448&lt;60,"50-59",TRUE(),"60+")</f>
        <v>30-39</v>
      </c>
      <c r="O2448" s="2" t="str">
        <f aca="false">_xlfn.IFS(G2448&lt;0,"1 Negative",G2448=0,"2 Zero",G2448&lt;=500,"3 1-500",G2448&lt;=2000,"4 501-2000",TRUE(),"5 Above 2000")</f>
        <v>1 Negative</v>
      </c>
      <c r="P2448" s="2" t="n">
        <f aca="false">Lookups!$B$2*M2448+Lookups!$B$3*L2448</f>
        <v>2</v>
      </c>
      <c r="Q2448" s="2" t="str">
        <f aca="false">INDEX(Lookups!$E$2:$E$5,MATCH(P2448,Lookups!$D$2:$D$5,0))</f>
        <v>High</v>
      </c>
    </row>
    <row r="2449" customFormat="false" ht="15" hidden="false" customHeight="false" outlineLevel="0" collapsed="false">
      <c r="A2449" s="3" t="n">
        <v>2448</v>
      </c>
      <c r="B2449" s="3" t="n">
        <f aca="false">Raw_Data!A2449</f>
        <v>46</v>
      </c>
      <c r="C2449" s="3" t="str">
        <f aca="false">SUBSTITUTE(Raw_Data!B2449,".","")</f>
        <v>blue-collar</v>
      </c>
      <c r="D2449" s="3" t="str">
        <f aca="false">Raw_Data!C2449</f>
        <v>married</v>
      </c>
      <c r="E2449" s="3" t="str">
        <f aca="false">Raw_Data!D2449</f>
        <v>primary</v>
      </c>
      <c r="F2449" s="3" t="str">
        <f aca="false">Raw_Data!E2449</f>
        <v>no</v>
      </c>
      <c r="G2449" s="3" t="n">
        <f aca="false">Raw_Data!F2449</f>
        <v>665</v>
      </c>
      <c r="H2449" s="3" t="str">
        <f aca="false">Raw_Data!G2449</f>
        <v>no</v>
      </c>
      <c r="I2449" s="3" t="str">
        <f aca="false">Raw_Data!H2449</f>
        <v>no</v>
      </c>
      <c r="J2449" s="2" t="n">
        <f aca="false">IF(F2449="yes",1,0)</f>
        <v>0</v>
      </c>
      <c r="K2449" s="2" t="n">
        <f aca="false">IF(H2449="yes",1,0)</f>
        <v>0</v>
      </c>
      <c r="L2449" s="2" t="n">
        <f aca="false">IF(I2449="yes",1,0)</f>
        <v>0</v>
      </c>
      <c r="M2449" s="2" t="n">
        <f aca="false">IF(G2449&lt;0,1,0)</f>
        <v>0</v>
      </c>
      <c r="N2449" s="2" t="str">
        <f aca="false">_xlfn.IFS(B2449&lt;30,"Under 30",B2449&lt;40,"30-39",B2449&lt;50,"40-49",B2449&lt;60,"50-59",TRUE(),"60+")</f>
        <v>40-49</v>
      </c>
      <c r="O2449" s="2" t="str">
        <f aca="false">_xlfn.IFS(G2449&lt;0,"1 Negative",G2449=0,"2 Zero",G2449&lt;=500,"3 1-500",G2449&lt;=2000,"4 501-2000",TRUE(),"5 Above 2000")</f>
        <v>4 501-2000</v>
      </c>
      <c r="P2449" s="2" t="n">
        <f aca="false">Lookups!$B$2*M2449+Lookups!$B$3*L2449</f>
        <v>0</v>
      </c>
      <c r="Q2449" s="2" t="str">
        <f aca="false">INDEX(Lookups!$E$2:$E$5,MATCH(P2449,Lookups!$D$2:$D$5,0))</f>
        <v>Low</v>
      </c>
    </row>
    <row r="2450" customFormat="false" ht="15" hidden="false" customHeight="false" outlineLevel="0" collapsed="false">
      <c r="A2450" s="3" t="n">
        <v>2449</v>
      </c>
      <c r="B2450" s="3" t="n">
        <f aca="false">Raw_Data!A2450</f>
        <v>25</v>
      </c>
      <c r="C2450" s="3" t="str">
        <f aca="false">SUBSTITUTE(Raw_Data!B2450,".","")</f>
        <v>student</v>
      </c>
      <c r="D2450" s="3" t="str">
        <f aca="false">Raw_Data!C2450</f>
        <v>single</v>
      </c>
      <c r="E2450" s="3" t="str">
        <f aca="false">Raw_Data!D2450</f>
        <v>tertiary</v>
      </c>
      <c r="F2450" s="3" t="str">
        <f aca="false">Raw_Data!E2450</f>
        <v>no</v>
      </c>
      <c r="G2450" s="3" t="n">
        <f aca="false">Raw_Data!F2450</f>
        <v>5</v>
      </c>
      <c r="H2450" s="3" t="str">
        <f aca="false">Raw_Data!G2450</f>
        <v>no</v>
      </c>
      <c r="I2450" s="3" t="str">
        <f aca="false">Raw_Data!H2450</f>
        <v>no</v>
      </c>
      <c r="J2450" s="2" t="n">
        <f aca="false">IF(F2450="yes",1,0)</f>
        <v>0</v>
      </c>
      <c r="K2450" s="2" t="n">
        <f aca="false">IF(H2450="yes",1,0)</f>
        <v>0</v>
      </c>
      <c r="L2450" s="2" t="n">
        <f aca="false">IF(I2450="yes",1,0)</f>
        <v>0</v>
      </c>
      <c r="M2450" s="2" t="n">
        <f aca="false">IF(G2450&lt;0,1,0)</f>
        <v>0</v>
      </c>
      <c r="N2450" s="2" t="str">
        <f aca="false">_xlfn.IFS(B2450&lt;30,"Under 30",B2450&lt;40,"30-39",B2450&lt;50,"40-49",B2450&lt;60,"50-59",TRUE(),"60+")</f>
        <v>Under 30</v>
      </c>
      <c r="O2450" s="2" t="str">
        <f aca="false">_xlfn.IFS(G2450&lt;0,"1 Negative",G2450=0,"2 Zero",G2450&lt;=500,"3 1-500",G2450&lt;=2000,"4 501-2000",TRUE(),"5 Above 2000")</f>
        <v>3 1-500</v>
      </c>
      <c r="P2450" s="2" t="n">
        <f aca="false">Lookups!$B$2*M2450+Lookups!$B$3*L2450</f>
        <v>0</v>
      </c>
      <c r="Q2450" s="2" t="str">
        <f aca="false">INDEX(Lookups!$E$2:$E$5,MATCH(P2450,Lookups!$D$2:$D$5,0))</f>
        <v>Low</v>
      </c>
    </row>
    <row r="2451" customFormat="false" ht="15" hidden="false" customHeight="false" outlineLevel="0" collapsed="false">
      <c r="A2451" s="3" t="n">
        <v>2450</v>
      </c>
      <c r="B2451" s="3" t="n">
        <f aca="false">Raw_Data!A2451</f>
        <v>36</v>
      </c>
      <c r="C2451" s="3" t="str">
        <f aca="false">SUBSTITUTE(Raw_Data!B2451,".","")</f>
        <v>management</v>
      </c>
      <c r="D2451" s="3" t="str">
        <f aca="false">Raw_Data!C2451</f>
        <v>married</v>
      </c>
      <c r="E2451" s="3" t="str">
        <f aca="false">Raw_Data!D2451</f>
        <v>tertiary</v>
      </c>
      <c r="F2451" s="3" t="str">
        <f aca="false">Raw_Data!E2451</f>
        <v>no</v>
      </c>
      <c r="G2451" s="3" t="n">
        <f aca="false">Raw_Data!F2451</f>
        <v>925</v>
      </c>
      <c r="H2451" s="3" t="str">
        <f aca="false">Raw_Data!G2451</f>
        <v>no</v>
      </c>
      <c r="I2451" s="3" t="str">
        <f aca="false">Raw_Data!H2451</f>
        <v>no</v>
      </c>
      <c r="J2451" s="2" t="n">
        <f aca="false">IF(F2451="yes",1,0)</f>
        <v>0</v>
      </c>
      <c r="K2451" s="2" t="n">
        <f aca="false">IF(H2451="yes",1,0)</f>
        <v>0</v>
      </c>
      <c r="L2451" s="2" t="n">
        <f aca="false">IF(I2451="yes",1,0)</f>
        <v>0</v>
      </c>
      <c r="M2451" s="2" t="n">
        <f aca="false">IF(G2451&lt;0,1,0)</f>
        <v>0</v>
      </c>
      <c r="N2451" s="2" t="str">
        <f aca="false">_xlfn.IFS(B2451&lt;30,"Under 30",B2451&lt;40,"30-39",B2451&lt;50,"40-49",B2451&lt;60,"50-59",TRUE(),"60+")</f>
        <v>30-39</v>
      </c>
      <c r="O2451" s="2" t="str">
        <f aca="false">_xlfn.IFS(G2451&lt;0,"1 Negative",G2451=0,"2 Zero",G2451&lt;=500,"3 1-500",G2451&lt;=2000,"4 501-2000",TRUE(),"5 Above 2000")</f>
        <v>4 501-2000</v>
      </c>
      <c r="P2451" s="2" t="n">
        <f aca="false">Lookups!$B$2*M2451+Lookups!$B$3*L2451</f>
        <v>0</v>
      </c>
      <c r="Q2451" s="2" t="str">
        <f aca="false">INDEX(Lookups!$E$2:$E$5,MATCH(P2451,Lookups!$D$2:$D$5,0))</f>
        <v>Low</v>
      </c>
    </row>
    <row r="2452" customFormat="false" ht="15" hidden="false" customHeight="false" outlineLevel="0" collapsed="false">
      <c r="A2452" s="3" t="n">
        <v>2451</v>
      </c>
      <c r="B2452" s="3" t="n">
        <f aca="false">Raw_Data!A2452</f>
        <v>42</v>
      </c>
      <c r="C2452" s="3" t="str">
        <f aca="false">SUBSTITUTE(Raw_Data!B2452,".","")</f>
        <v>blue-collar</v>
      </c>
      <c r="D2452" s="3" t="str">
        <f aca="false">Raw_Data!C2452</f>
        <v>married</v>
      </c>
      <c r="E2452" s="3" t="str">
        <f aca="false">Raw_Data!D2452</f>
        <v>primary</v>
      </c>
      <c r="F2452" s="3" t="str">
        <f aca="false">Raw_Data!E2452</f>
        <v>no</v>
      </c>
      <c r="G2452" s="3" t="n">
        <f aca="false">Raw_Data!F2452</f>
        <v>2519</v>
      </c>
      <c r="H2452" s="3" t="str">
        <f aca="false">Raw_Data!G2452</f>
        <v>yes</v>
      </c>
      <c r="I2452" s="3" t="str">
        <f aca="false">Raw_Data!H2452</f>
        <v>no</v>
      </c>
      <c r="J2452" s="2" t="n">
        <f aca="false">IF(F2452="yes",1,0)</f>
        <v>0</v>
      </c>
      <c r="K2452" s="2" t="n">
        <f aca="false">IF(H2452="yes",1,0)</f>
        <v>1</v>
      </c>
      <c r="L2452" s="2" t="n">
        <f aca="false">IF(I2452="yes",1,0)</f>
        <v>0</v>
      </c>
      <c r="M2452" s="2" t="n">
        <f aca="false">IF(G2452&lt;0,1,0)</f>
        <v>0</v>
      </c>
      <c r="N2452" s="2" t="str">
        <f aca="false">_xlfn.IFS(B2452&lt;30,"Under 30",B2452&lt;40,"30-39",B2452&lt;50,"40-49",B2452&lt;60,"50-59",TRUE(),"60+")</f>
        <v>40-49</v>
      </c>
      <c r="O2452" s="2" t="str">
        <f aca="false">_xlfn.IFS(G2452&lt;0,"1 Negative",G2452=0,"2 Zero",G2452&lt;=500,"3 1-500",G2452&lt;=2000,"4 501-2000",TRUE(),"5 Above 2000")</f>
        <v>5 Above 2000</v>
      </c>
      <c r="P2452" s="2" t="n">
        <f aca="false">Lookups!$B$2*M2452+Lookups!$B$3*L2452</f>
        <v>0</v>
      </c>
      <c r="Q2452" s="2" t="str">
        <f aca="false">INDEX(Lookups!$E$2:$E$5,MATCH(P2452,Lookups!$D$2:$D$5,0))</f>
        <v>Low</v>
      </c>
    </row>
    <row r="2453" customFormat="false" ht="15" hidden="false" customHeight="false" outlineLevel="0" collapsed="false">
      <c r="A2453" s="3" t="n">
        <v>2452</v>
      </c>
      <c r="B2453" s="3" t="n">
        <f aca="false">Raw_Data!A2453</f>
        <v>57</v>
      </c>
      <c r="C2453" s="3" t="str">
        <f aca="false">SUBSTITUTE(Raw_Data!B2453,".","")</f>
        <v>admin</v>
      </c>
      <c r="D2453" s="3" t="str">
        <f aca="false">Raw_Data!C2453</f>
        <v>married</v>
      </c>
      <c r="E2453" s="3" t="str">
        <f aca="false">Raw_Data!D2453</f>
        <v>secondary</v>
      </c>
      <c r="F2453" s="3" t="str">
        <f aca="false">Raw_Data!E2453</f>
        <v>no</v>
      </c>
      <c r="G2453" s="3" t="n">
        <f aca="false">Raw_Data!F2453</f>
        <v>3927</v>
      </c>
      <c r="H2453" s="3" t="str">
        <f aca="false">Raw_Data!G2453</f>
        <v>no</v>
      </c>
      <c r="I2453" s="3" t="str">
        <f aca="false">Raw_Data!H2453</f>
        <v>no</v>
      </c>
      <c r="J2453" s="2" t="n">
        <f aca="false">IF(F2453="yes",1,0)</f>
        <v>0</v>
      </c>
      <c r="K2453" s="2" t="n">
        <f aca="false">IF(H2453="yes",1,0)</f>
        <v>0</v>
      </c>
      <c r="L2453" s="2" t="n">
        <f aca="false">IF(I2453="yes",1,0)</f>
        <v>0</v>
      </c>
      <c r="M2453" s="2" t="n">
        <f aca="false">IF(G2453&lt;0,1,0)</f>
        <v>0</v>
      </c>
      <c r="N2453" s="2" t="str">
        <f aca="false">_xlfn.IFS(B2453&lt;30,"Under 30",B2453&lt;40,"30-39",B2453&lt;50,"40-49",B2453&lt;60,"50-59",TRUE(),"60+")</f>
        <v>50-59</v>
      </c>
      <c r="O2453" s="2" t="str">
        <f aca="false">_xlfn.IFS(G2453&lt;0,"1 Negative",G2453=0,"2 Zero",G2453&lt;=500,"3 1-500",G2453&lt;=2000,"4 501-2000",TRUE(),"5 Above 2000")</f>
        <v>5 Above 2000</v>
      </c>
      <c r="P2453" s="2" t="n">
        <f aca="false">Lookups!$B$2*M2453+Lookups!$B$3*L2453</f>
        <v>0</v>
      </c>
      <c r="Q2453" s="2" t="str">
        <f aca="false">INDEX(Lookups!$E$2:$E$5,MATCH(P2453,Lookups!$D$2:$D$5,0))</f>
        <v>Low</v>
      </c>
    </row>
    <row r="2454" customFormat="false" ht="15" hidden="false" customHeight="false" outlineLevel="0" collapsed="false">
      <c r="A2454" s="3" t="n">
        <v>2453</v>
      </c>
      <c r="B2454" s="3" t="n">
        <f aca="false">Raw_Data!A2454</f>
        <v>42</v>
      </c>
      <c r="C2454" s="3" t="str">
        <f aca="false">SUBSTITUTE(Raw_Data!B2454,".","")</f>
        <v>management</v>
      </c>
      <c r="D2454" s="3" t="str">
        <f aca="false">Raw_Data!C2454</f>
        <v>divorced</v>
      </c>
      <c r="E2454" s="3" t="str">
        <f aca="false">Raw_Data!D2454</f>
        <v>tertiary</v>
      </c>
      <c r="F2454" s="3" t="str">
        <f aca="false">Raw_Data!E2454</f>
        <v>no</v>
      </c>
      <c r="G2454" s="3" t="n">
        <f aca="false">Raw_Data!F2454</f>
        <v>401</v>
      </c>
      <c r="H2454" s="3" t="str">
        <f aca="false">Raw_Data!G2454</f>
        <v>yes</v>
      </c>
      <c r="I2454" s="3" t="str">
        <f aca="false">Raw_Data!H2454</f>
        <v>no</v>
      </c>
      <c r="J2454" s="2" t="n">
        <f aca="false">IF(F2454="yes",1,0)</f>
        <v>0</v>
      </c>
      <c r="K2454" s="2" t="n">
        <f aca="false">IF(H2454="yes",1,0)</f>
        <v>1</v>
      </c>
      <c r="L2454" s="2" t="n">
        <f aca="false">IF(I2454="yes",1,0)</f>
        <v>0</v>
      </c>
      <c r="M2454" s="2" t="n">
        <f aca="false">IF(G2454&lt;0,1,0)</f>
        <v>0</v>
      </c>
      <c r="N2454" s="2" t="str">
        <f aca="false">_xlfn.IFS(B2454&lt;30,"Under 30",B2454&lt;40,"30-39",B2454&lt;50,"40-49",B2454&lt;60,"50-59",TRUE(),"60+")</f>
        <v>40-49</v>
      </c>
      <c r="O2454" s="2" t="str">
        <f aca="false">_xlfn.IFS(G2454&lt;0,"1 Negative",G2454=0,"2 Zero",G2454&lt;=500,"3 1-500",G2454&lt;=2000,"4 501-2000",TRUE(),"5 Above 2000")</f>
        <v>3 1-500</v>
      </c>
      <c r="P2454" s="2" t="n">
        <f aca="false">Lookups!$B$2*M2454+Lookups!$B$3*L2454</f>
        <v>0</v>
      </c>
      <c r="Q2454" s="2" t="str">
        <f aca="false">INDEX(Lookups!$E$2:$E$5,MATCH(P2454,Lookups!$D$2:$D$5,0))</f>
        <v>Low</v>
      </c>
    </row>
    <row r="2455" customFormat="false" ht="15" hidden="false" customHeight="false" outlineLevel="0" collapsed="false">
      <c r="A2455" s="3" t="n">
        <v>2454</v>
      </c>
      <c r="B2455" s="3" t="n">
        <f aca="false">Raw_Data!A2455</f>
        <v>29</v>
      </c>
      <c r="C2455" s="3" t="str">
        <f aca="false">SUBSTITUTE(Raw_Data!B2455,".","")</f>
        <v>management</v>
      </c>
      <c r="D2455" s="3" t="str">
        <f aca="false">Raw_Data!C2455</f>
        <v>married</v>
      </c>
      <c r="E2455" s="3" t="str">
        <f aca="false">Raw_Data!D2455</f>
        <v>tertiary</v>
      </c>
      <c r="F2455" s="3" t="str">
        <f aca="false">Raw_Data!E2455</f>
        <v>no</v>
      </c>
      <c r="G2455" s="3" t="n">
        <f aca="false">Raw_Data!F2455</f>
        <v>581</v>
      </c>
      <c r="H2455" s="3" t="str">
        <f aca="false">Raw_Data!G2455</f>
        <v>yes</v>
      </c>
      <c r="I2455" s="3" t="str">
        <f aca="false">Raw_Data!H2455</f>
        <v>yes</v>
      </c>
      <c r="J2455" s="2" t="n">
        <f aca="false">IF(F2455="yes",1,0)</f>
        <v>0</v>
      </c>
      <c r="K2455" s="2" t="n">
        <f aca="false">IF(H2455="yes",1,0)</f>
        <v>1</v>
      </c>
      <c r="L2455" s="2" t="n">
        <f aca="false">IF(I2455="yes",1,0)</f>
        <v>1</v>
      </c>
      <c r="M2455" s="2" t="n">
        <f aca="false">IF(G2455&lt;0,1,0)</f>
        <v>0</v>
      </c>
      <c r="N2455" s="2" t="str">
        <f aca="false">_xlfn.IFS(B2455&lt;30,"Under 30",B2455&lt;40,"30-39",B2455&lt;50,"40-49",B2455&lt;60,"50-59",TRUE(),"60+")</f>
        <v>Under 30</v>
      </c>
      <c r="O2455" s="2" t="str">
        <f aca="false">_xlfn.IFS(G2455&lt;0,"1 Negative",G2455=0,"2 Zero",G2455&lt;=500,"3 1-500",G2455&lt;=2000,"4 501-2000",TRUE(),"5 Above 2000")</f>
        <v>4 501-2000</v>
      </c>
      <c r="P2455" s="2" t="n">
        <f aca="false">Lookups!$B$2*M2455+Lookups!$B$3*L2455</f>
        <v>1</v>
      </c>
      <c r="Q2455" s="2" t="str">
        <f aca="false">INDEX(Lookups!$E$2:$E$5,MATCH(P2455,Lookups!$D$2:$D$5,0))</f>
        <v>Medium</v>
      </c>
    </row>
    <row r="2456" customFormat="false" ht="15" hidden="false" customHeight="false" outlineLevel="0" collapsed="false">
      <c r="A2456" s="3" t="n">
        <v>2455</v>
      </c>
      <c r="B2456" s="3" t="n">
        <f aca="false">Raw_Data!A2456</f>
        <v>36</v>
      </c>
      <c r="C2456" s="3" t="str">
        <f aca="false">SUBSTITUTE(Raw_Data!B2456,".","")</f>
        <v>technician</v>
      </c>
      <c r="D2456" s="3" t="str">
        <f aca="false">Raw_Data!C2456</f>
        <v>married</v>
      </c>
      <c r="E2456" s="3" t="str">
        <f aca="false">Raw_Data!D2456</f>
        <v>tertiary</v>
      </c>
      <c r="F2456" s="3" t="str">
        <f aca="false">Raw_Data!E2456</f>
        <v>no</v>
      </c>
      <c r="G2456" s="3" t="n">
        <f aca="false">Raw_Data!F2456</f>
        <v>1327</v>
      </c>
      <c r="H2456" s="3" t="str">
        <f aca="false">Raw_Data!G2456</f>
        <v>no</v>
      </c>
      <c r="I2456" s="3" t="str">
        <f aca="false">Raw_Data!H2456</f>
        <v>no</v>
      </c>
      <c r="J2456" s="2" t="n">
        <f aca="false">IF(F2456="yes",1,0)</f>
        <v>0</v>
      </c>
      <c r="K2456" s="2" t="n">
        <f aca="false">IF(H2456="yes",1,0)</f>
        <v>0</v>
      </c>
      <c r="L2456" s="2" t="n">
        <f aca="false">IF(I2456="yes",1,0)</f>
        <v>0</v>
      </c>
      <c r="M2456" s="2" t="n">
        <f aca="false">IF(G2456&lt;0,1,0)</f>
        <v>0</v>
      </c>
      <c r="N2456" s="2" t="str">
        <f aca="false">_xlfn.IFS(B2456&lt;30,"Under 30",B2456&lt;40,"30-39",B2456&lt;50,"40-49",B2456&lt;60,"50-59",TRUE(),"60+")</f>
        <v>30-39</v>
      </c>
      <c r="O2456" s="2" t="str">
        <f aca="false">_xlfn.IFS(G2456&lt;0,"1 Negative",G2456=0,"2 Zero",G2456&lt;=500,"3 1-500",G2456&lt;=2000,"4 501-2000",TRUE(),"5 Above 2000")</f>
        <v>4 501-2000</v>
      </c>
      <c r="P2456" s="2" t="n">
        <f aca="false">Lookups!$B$2*M2456+Lookups!$B$3*L2456</f>
        <v>0</v>
      </c>
      <c r="Q2456" s="2" t="str">
        <f aca="false">INDEX(Lookups!$E$2:$E$5,MATCH(P2456,Lookups!$D$2:$D$5,0))</f>
        <v>Low</v>
      </c>
    </row>
    <row r="2457" customFormat="false" ht="15" hidden="false" customHeight="false" outlineLevel="0" collapsed="false">
      <c r="A2457" s="3" t="n">
        <v>2456</v>
      </c>
      <c r="B2457" s="3" t="n">
        <f aca="false">Raw_Data!A2457</f>
        <v>31</v>
      </c>
      <c r="C2457" s="3" t="str">
        <f aca="false">SUBSTITUTE(Raw_Data!B2457,".","")</f>
        <v>unemployed</v>
      </c>
      <c r="D2457" s="3" t="str">
        <f aca="false">Raw_Data!C2457</f>
        <v>married</v>
      </c>
      <c r="E2457" s="3" t="str">
        <f aca="false">Raw_Data!D2457</f>
        <v>secondary</v>
      </c>
      <c r="F2457" s="3" t="str">
        <f aca="false">Raw_Data!E2457</f>
        <v>no</v>
      </c>
      <c r="G2457" s="3" t="n">
        <f aca="false">Raw_Data!F2457</f>
        <v>3242</v>
      </c>
      <c r="H2457" s="3" t="str">
        <f aca="false">Raw_Data!G2457</f>
        <v>no</v>
      </c>
      <c r="I2457" s="3" t="str">
        <f aca="false">Raw_Data!H2457</f>
        <v>no</v>
      </c>
      <c r="J2457" s="2" t="n">
        <f aca="false">IF(F2457="yes",1,0)</f>
        <v>0</v>
      </c>
      <c r="K2457" s="2" t="n">
        <f aca="false">IF(H2457="yes",1,0)</f>
        <v>0</v>
      </c>
      <c r="L2457" s="2" t="n">
        <f aca="false">IF(I2457="yes",1,0)</f>
        <v>0</v>
      </c>
      <c r="M2457" s="2" t="n">
        <f aca="false">IF(G2457&lt;0,1,0)</f>
        <v>0</v>
      </c>
      <c r="N2457" s="2" t="str">
        <f aca="false">_xlfn.IFS(B2457&lt;30,"Under 30",B2457&lt;40,"30-39",B2457&lt;50,"40-49",B2457&lt;60,"50-59",TRUE(),"60+")</f>
        <v>30-39</v>
      </c>
      <c r="O2457" s="2" t="str">
        <f aca="false">_xlfn.IFS(G2457&lt;0,"1 Negative",G2457=0,"2 Zero",G2457&lt;=500,"3 1-500",G2457&lt;=2000,"4 501-2000",TRUE(),"5 Above 2000")</f>
        <v>5 Above 2000</v>
      </c>
      <c r="P2457" s="2" t="n">
        <f aca="false">Lookups!$B$2*M2457+Lookups!$B$3*L2457</f>
        <v>0</v>
      </c>
      <c r="Q2457" s="2" t="str">
        <f aca="false">INDEX(Lookups!$E$2:$E$5,MATCH(P2457,Lookups!$D$2:$D$5,0))</f>
        <v>Low</v>
      </c>
    </row>
    <row r="2458" customFormat="false" ht="15" hidden="false" customHeight="false" outlineLevel="0" collapsed="false">
      <c r="A2458" s="3" t="n">
        <v>2457</v>
      </c>
      <c r="B2458" s="3" t="n">
        <f aca="false">Raw_Data!A2458</f>
        <v>59</v>
      </c>
      <c r="C2458" s="3" t="str">
        <f aca="false">SUBSTITUTE(Raw_Data!B2458,".","")</f>
        <v>technician</v>
      </c>
      <c r="D2458" s="3" t="str">
        <f aca="false">Raw_Data!C2458</f>
        <v>married</v>
      </c>
      <c r="E2458" s="3" t="str">
        <f aca="false">Raw_Data!D2458</f>
        <v>primary</v>
      </c>
      <c r="F2458" s="3" t="str">
        <f aca="false">Raw_Data!E2458</f>
        <v>no</v>
      </c>
      <c r="G2458" s="3" t="n">
        <f aca="false">Raw_Data!F2458</f>
        <v>3163</v>
      </c>
      <c r="H2458" s="3" t="str">
        <f aca="false">Raw_Data!G2458</f>
        <v>yes</v>
      </c>
      <c r="I2458" s="3" t="str">
        <f aca="false">Raw_Data!H2458</f>
        <v>no</v>
      </c>
      <c r="J2458" s="2" t="n">
        <f aca="false">IF(F2458="yes",1,0)</f>
        <v>0</v>
      </c>
      <c r="K2458" s="2" t="n">
        <f aca="false">IF(H2458="yes",1,0)</f>
        <v>1</v>
      </c>
      <c r="L2458" s="2" t="n">
        <f aca="false">IF(I2458="yes",1,0)</f>
        <v>0</v>
      </c>
      <c r="M2458" s="2" t="n">
        <f aca="false">IF(G2458&lt;0,1,0)</f>
        <v>0</v>
      </c>
      <c r="N2458" s="2" t="str">
        <f aca="false">_xlfn.IFS(B2458&lt;30,"Under 30",B2458&lt;40,"30-39",B2458&lt;50,"40-49",B2458&lt;60,"50-59",TRUE(),"60+")</f>
        <v>50-59</v>
      </c>
      <c r="O2458" s="2" t="str">
        <f aca="false">_xlfn.IFS(G2458&lt;0,"1 Negative",G2458=0,"2 Zero",G2458&lt;=500,"3 1-500",G2458&lt;=2000,"4 501-2000",TRUE(),"5 Above 2000")</f>
        <v>5 Above 2000</v>
      </c>
      <c r="P2458" s="2" t="n">
        <f aca="false">Lookups!$B$2*M2458+Lookups!$B$3*L2458</f>
        <v>0</v>
      </c>
      <c r="Q2458" s="2" t="str">
        <f aca="false">INDEX(Lookups!$E$2:$E$5,MATCH(P2458,Lookups!$D$2:$D$5,0))</f>
        <v>Low</v>
      </c>
    </row>
    <row r="2459" customFormat="false" ht="15" hidden="false" customHeight="false" outlineLevel="0" collapsed="false">
      <c r="A2459" s="3" t="n">
        <v>2458</v>
      </c>
      <c r="B2459" s="3" t="n">
        <f aca="false">Raw_Data!A2459</f>
        <v>50</v>
      </c>
      <c r="C2459" s="3" t="str">
        <f aca="false">SUBSTITUTE(Raw_Data!B2459,".","")</f>
        <v>unemployed</v>
      </c>
      <c r="D2459" s="3" t="str">
        <f aca="false">Raw_Data!C2459</f>
        <v>divorced</v>
      </c>
      <c r="E2459" s="3" t="str">
        <f aca="false">Raw_Data!D2459</f>
        <v>secondary</v>
      </c>
      <c r="F2459" s="3" t="str">
        <f aca="false">Raw_Data!E2459</f>
        <v>no</v>
      </c>
      <c r="G2459" s="3" t="n">
        <f aca="false">Raw_Data!F2459</f>
        <v>32</v>
      </c>
      <c r="H2459" s="3" t="str">
        <f aca="false">Raw_Data!G2459</f>
        <v>no</v>
      </c>
      <c r="I2459" s="3" t="str">
        <f aca="false">Raw_Data!H2459</f>
        <v>no</v>
      </c>
      <c r="J2459" s="2" t="n">
        <f aca="false">IF(F2459="yes",1,0)</f>
        <v>0</v>
      </c>
      <c r="K2459" s="2" t="n">
        <f aca="false">IF(H2459="yes",1,0)</f>
        <v>0</v>
      </c>
      <c r="L2459" s="2" t="n">
        <f aca="false">IF(I2459="yes",1,0)</f>
        <v>0</v>
      </c>
      <c r="M2459" s="2" t="n">
        <f aca="false">IF(G2459&lt;0,1,0)</f>
        <v>0</v>
      </c>
      <c r="N2459" s="2" t="str">
        <f aca="false">_xlfn.IFS(B2459&lt;30,"Under 30",B2459&lt;40,"30-39",B2459&lt;50,"40-49",B2459&lt;60,"50-59",TRUE(),"60+")</f>
        <v>50-59</v>
      </c>
      <c r="O2459" s="2" t="str">
        <f aca="false">_xlfn.IFS(G2459&lt;0,"1 Negative",G2459=0,"2 Zero",G2459&lt;=500,"3 1-500",G2459&lt;=2000,"4 501-2000",TRUE(),"5 Above 2000")</f>
        <v>3 1-500</v>
      </c>
      <c r="P2459" s="2" t="n">
        <f aca="false">Lookups!$B$2*M2459+Lookups!$B$3*L2459</f>
        <v>0</v>
      </c>
      <c r="Q2459" s="2" t="str">
        <f aca="false">INDEX(Lookups!$E$2:$E$5,MATCH(P2459,Lookups!$D$2:$D$5,0))</f>
        <v>Low</v>
      </c>
    </row>
    <row r="2460" customFormat="false" ht="15" hidden="false" customHeight="false" outlineLevel="0" collapsed="false">
      <c r="A2460" s="3" t="n">
        <v>2459</v>
      </c>
      <c r="B2460" s="3" t="n">
        <f aca="false">Raw_Data!A2460</f>
        <v>47</v>
      </c>
      <c r="C2460" s="3" t="str">
        <f aca="false">SUBSTITUTE(Raw_Data!B2460,".","")</f>
        <v>admin</v>
      </c>
      <c r="D2460" s="3" t="str">
        <f aca="false">Raw_Data!C2460</f>
        <v>married</v>
      </c>
      <c r="E2460" s="3" t="str">
        <f aca="false">Raw_Data!D2460</f>
        <v>secondary</v>
      </c>
      <c r="F2460" s="3" t="str">
        <f aca="false">Raw_Data!E2460</f>
        <v>no</v>
      </c>
      <c r="G2460" s="3" t="n">
        <f aca="false">Raw_Data!F2460</f>
        <v>310</v>
      </c>
      <c r="H2460" s="3" t="str">
        <f aca="false">Raw_Data!G2460</f>
        <v>yes</v>
      </c>
      <c r="I2460" s="3" t="str">
        <f aca="false">Raw_Data!H2460</f>
        <v>yes</v>
      </c>
      <c r="J2460" s="2" t="n">
        <f aca="false">IF(F2460="yes",1,0)</f>
        <v>0</v>
      </c>
      <c r="K2460" s="2" t="n">
        <f aca="false">IF(H2460="yes",1,0)</f>
        <v>1</v>
      </c>
      <c r="L2460" s="2" t="n">
        <f aca="false">IF(I2460="yes",1,0)</f>
        <v>1</v>
      </c>
      <c r="M2460" s="2" t="n">
        <f aca="false">IF(G2460&lt;0,1,0)</f>
        <v>0</v>
      </c>
      <c r="N2460" s="2" t="str">
        <f aca="false">_xlfn.IFS(B2460&lt;30,"Under 30",B2460&lt;40,"30-39",B2460&lt;50,"40-49",B2460&lt;60,"50-59",TRUE(),"60+")</f>
        <v>40-49</v>
      </c>
      <c r="O2460" s="2" t="str">
        <f aca="false">_xlfn.IFS(G2460&lt;0,"1 Negative",G2460=0,"2 Zero",G2460&lt;=500,"3 1-500",G2460&lt;=2000,"4 501-2000",TRUE(),"5 Above 2000")</f>
        <v>3 1-500</v>
      </c>
      <c r="P2460" s="2" t="n">
        <f aca="false">Lookups!$B$2*M2460+Lookups!$B$3*L2460</f>
        <v>1</v>
      </c>
      <c r="Q2460" s="2" t="str">
        <f aca="false">INDEX(Lookups!$E$2:$E$5,MATCH(P2460,Lookups!$D$2:$D$5,0))</f>
        <v>Medium</v>
      </c>
    </row>
    <row r="2461" customFormat="false" ht="15" hidden="false" customHeight="false" outlineLevel="0" collapsed="false">
      <c r="A2461" s="3" t="n">
        <v>2460</v>
      </c>
      <c r="B2461" s="3" t="n">
        <f aca="false">Raw_Data!A2461</f>
        <v>46</v>
      </c>
      <c r="C2461" s="3" t="str">
        <f aca="false">SUBSTITUTE(Raw_Data!B2461,".","")</f>
        <v>housemaid</v>
      </c>
      <c r="D2461" s="3" t="str">
        <f aca="false">Raw_Data!C2461</f>
        <v>married</v>
      </c>
      <c r="E2461" s="3" t="str">
        <f aca="false">Raw_Data!D2461</f>
        <v>primary</v>
      </c>
      <c r="F2461" s="3" t="str">
        <f aca="false">Raw_Data!E2461</f>
        <v>no</v>
      </c>
      <c r="G2461" s="3" t="n">
        <f aca="false">Raw_Data!F2461</f>
        <v>0</v>
      </c>
      <c r="H2461" s="3" t="str">
        <f aca="false">Raw_Data!G2461</f>
        <v>no</v>
      </c>
      <c r="I2461" s="3" t="str">
        <f aca="false">Raw_Data!H2461</f>
        <v>no</v>
      </c>
      <c r="J2461" s="2" t="n">
        <f aca="false">IF(F2461="yes",1,0)</f>
        <v>0</v>
      </c>
      <c r="K2461" s="2" t="n">
        <f aca="false">IF(H2461="yes",1,0)</f>
        <v>0</v>
      </c>
      <c r="L2461" s="2" t="n">
        <f aca="false">IF(I2461="yes",1,0)</f>
        <v>0</v>
      </c>
      <c r="M2461" s="2" t="n">
        <f aca="false">IF(G2461&lt;0,1,0)</f>
        <v>0</v>
      </c>
      <c r="N2461" s="2" t="str">
        <f aca="false">_xlfn.IFS(B2461&lt;30,"Under 30",B2461&lt;40,"30-39",B2461&lt;50,"40-49",B2461&lt;60,"50-59",TRUE(),"60+")</f>
        <v>40-49</v>
      </c>
      <c r="O2461" s="2" t="str">
        <f aca="false">_xlfn.IFS(G2461&lt;0,"1 Negative",G2461=0,"2 Zero",G2461&lt;=500,"3 1-500",G2461&lt;=2000,"4 501-2000",TRUE(),"5 Above 2000")</f>
        <v>2 Zero</v>
      </c>
      <c r="P2461" s="2" t="n">
        <f aca="false">Lookups!$B$2*M2461+Lookups!$B$3*L2461</f>
        <v>0</v>
      </c>
      <c r="Q2461" s="2" t="str">
        <f aca="false">INDEX(Lookups!$E$2:$E$5,MATCH(P2461,Lookups!$D$2:$D$5,0))</f>
        <v>Low</v>
      </c>
    </row>
    <row r="2462" customFormat="false" ht="15" hidden="false" customHeight="false" outlineLevel="0" collapsed="false">
      <c r="A2462" s="3" t="n">
        <v>2461</v>
      </c>
      <c r="B2462" s="3" t="n">
        <f aca="false">Raw_Data!A2462</f>
        <v>26</v>
      </c>
      <c r="C2462" s="3" t="str">
        <f aca="false">SUBSTITUTE(Raw_Data!B2462,".","")</f>
        <v>blue-collar</v>
      </c>
      <c r="D2462" s="3" t="str">
        <f aca="false">Raw_Data!C2462</f>
        <v>single</v>
      </c>
      <c r="E2462" s="3" t="str">
        <f aca="false">Raw_Data!D2462</f>
        <v>primary</v>
      </c>
      <c r="F2462" s="3" t="str">
        <f aca="false">Raw_Data!E2462</f>
        <v>no</v>
      </c>
      <c r="G2462" s="3" t="n">
        <f aca="false">Raw_Data!F2462</f>
        <v>155</v>
      </c>
      <c r="H2462" s="3" t="str">
        <f aca="false">Raw_Data!G2462</f>
        <v>yes</v>
      </c>
      <c r="I2462" s="3" t="str">
        <f aca="false">Raw_Data!H2462</f>
        <v>no</v>
      </c>
      <c r="J2462" s="2" t="n">
        <f aca="false">IF(F2462="yes",1,0)</f>
        <v>0</v>
      </c>
      <c r="K2462" s="2" t="n">
        <f aca="false">IF(H2462="yes",1,0)</f>
        <v>1</v>
      </c>
      <c r="L2462" s="2" t="n">
        <f aca="false">IF(I2462="yes",1,0)</f>
        <v>0</v>
      </c>
      <c r="M2462" s="2" t="n">
        <f aca="false">IF(G2462&lt;0,1,0)</f>
        <v>0</v>
      </c>
      <c r="N2462" s="2" t="str">
        <f aca="false">_xlfn.IFS(B2462&lt;30,"Under 30",B2462&lt;40,"30-39",B2462&lt;50,"40-49",B2462&lt;60,"50-59",TRUE(),"60+")</f>
        <v>Under 30</v>
      </c>
      <c r="O2462" s="2" t="str">
        <f aca="false">_xlfn.IFS(G2462&lt;0,"1 Negative",G2462=0,"2 Zero",G2462&lt;=500,"3 1-500",G2462&lt;=2000,"4 501-2000",TRUE(),"5 Above 2000")</f>
        <v>3 1-500</v>
      </c>
      <c r="P2462" s="2" t="n">
        <f aca="false">Lookups!$B$2*M2462+Lookups!$B$3*L2462</f>
        <v>0</v>
      </c>
      <c r="Q2462" s="2" t="str">
        <f aca="false">INDEX(Lookups!$E$2:$E$5,MATCH(P2462,Lookups!$D$2:$D$5,0))</f>
        <v>Low</v>
      </c>
    </row>
    <row r="2463" customFormat="false" ht="15" hidden="false" customHeight="false" outlineLevel="0" collapsed="false">
      <c r="A2463" s="3" t="n">
        <v>2462</v>
      </c>
      <c r="B2463" s="3" t="n">
        <f aca="false">Raw_Data!A2463</f>
        <v>31</v>
      </c>
      <c r="C2463" s="3" t="str">
        <f aca="false">SUBSTITUTE(Raw_Data!B2463,".","")</f>
        <v>services</v>
      </c>
      <c r="D2463" s="3" t="str">
        <f aca="false">Raw_Data!C2463</f>
        <v>single</v>
      </c>
      <c r="E2463" s="3" t="str">
        <f aca="false">Raw_Data!D2463</f>
        <v>secondary</v>
      </c>
      <c r="F2463" s="3" t="str">
        <f aca="false">Raw_Data!E2463</f>
        <v>no</v>
      </c>
      <c r="G2463" s="3" t="n">
        <f aca="false">Raw_Data!F2463</f>
        <v>11386</v>
      </c>
      <c r="H2463" s="3" t="str">
        <f aca="false">Raw_Data!G2463</f>
        <v>yes</v>
      </c>
      <c r="I2463" s="3" t="str">
        <f aca="false">Raw_Data!H2463</f>
        <v>no</v>
      </c>
      <c r="J2463" s="2" t="n">
        <f aca="false">IF(F2463="yes",1,0)</f>
        <v>0</v>
      </c>
      <c r="K2463" s="2" t="n">
        <f aca="false">IF(H2463="yes",1,0)</f>
        <v>1</v>
      </c>
      <c r="L2463" s="2" t="n">
        <f aca="false">IF(I2463="yes",1,0)</f>
        <v>0</v>
      </c>
      <c r="M2463" s="2" t="n">
        <f aca="false">IF(G2463&lt;0,1,0)</f>
        <v>0</v>
      </c>
      <c r="N2463" s="2" t="str">
        <f aca="false">_xlfn.IFS(B2463&lt;30,"Under 30",B2463&lt;40,"30-39",B2463&lt;50,"40-49",B2463&lt;60,"50-59",TRUE(),"60+")</f>
        <v>30-39</v>
      </c>
      <c r="O2463" s="2" t="str">
        <f aca="false">_xlfn.IFS(G2463&lt;0,"1 Negative",G2463=0,"2 Zero",G2463&lt;=500,"3 1-500",G2463&lt;=2000,"4 501-2000",TRUE(),"5 Above 2000")</f>
        <v>5 Above 2000</v>
      </c>
      <c r="P2463" s="2" t="n">
        <f aca="false">Lookups!$B$2*M2463+Lookups!$B$3*L2463</f>
        <v>0</v>
      </c>
      <c r="Q2463" s="2" t="str">
        <f aca="false">INDEX(Lookups!$E$2:$E$5,MATCH(P2463,Lookups!$D$2:$D$5,0))</f>
        <v>Low</v>
      </c>
    </row>
    <row r="2464" customFormat="false" ht="15" hidden="false" customHeight="false" outlineLevel="0" collapsed="false">
      <c r="A2464" s="3" t="n">
        <v>2463</v>
      </c>
      <c r="B2464" s="3" t="n">
        <f aca="false">Raw_Data!A2464</f>
        <v>30</v>
      </c>
      <c r="C2464" s="3" t="str">
        <f aca="false">SUBSTITUTE(Raw_Data!B2464,".","")</f>
        <v>services</v>
      </c>
      <c r="D2464" s="3" t="str">
        <f aca="false">Raw_Data!C2464</f>
        <v>married</v>
      </c>
      <c r="E2464" s="3" t="str">
        <f aca="false">Raw_Data!D2464</f>
        <v>tertiary</v>
      </c>
      <c r="F2464" s="3" t="str">
        <f aca="false">Raw_Data!E2464</f>
        <v>no</v>
      </c>
      <c r="G2464" s="3" t="n">
        <f aca="false">Raw_Data!F2464</f>
        <v>1380</v>
      </c>
      <c r="H2464" s="3" t="str">
        <f aca="false">Raw_Data!G2464</f>
        <v>yes</v>
      </c>
      <c r="I2464" s="3" t="str">
        <f aca="false">Raw_Data!H2464</f>
        <v>no</v>
      </c>
      <c r="J2464" s="2" t="n">
        <f aca="false">IF(F2464="yes",1,0)</f>
        <v>0</v>
      </c>
      <c r="K2464" s="2" t="n">
        <f aca="false">IF(H2464="yes",1,0)</f>
        <v>1</v>
      </c>
      <c r="L2464" s="2" t="n">
        <f aca="false">IF(I2464="yes",1,0)</f>
        <v>0</v>
      </c>
      <c r="M2464" s="2" t="n">
        <f aca="false">IF(G2464&lt;0,1,0)</f>
        <v>0</v>
      </c>
      <c r="N2464" s="2" t="str">
        <f aca="false">_xlfn.IFS(B2464&lt;30,"Under 30",B2464&lt;40,"30-39",B2464&lt;50,"40-49",B2464&lt;60,"50-59",TRUE(),"60+")</f>
        <v>30-39</v>
      </c>
      <c r="O2464" s="2" t="str">
        <f aca="false">_xlfn.IFS(G2464&lt;0,"1 Negative",G2464=0,"2 Zero",G2464&lt;=500,"3 1-500",G2464&lt;=2000,"4 501-2000",TRUE(),"5 Above 2000")</f>
        <v>4 501-2000</v>
      </c>
      <c r="P2464" s="2" t="n">
        <f aca="false">Lookups!$B$2*M2464+Lookups!$B$3*L2464</f>
        <v>0</v>
      </c>
      <c r="Q2464" s="2" t="str">
        <f aca="false">INDEX(Lookups!$E$2:$E$5,MATCH(P2464,Lookups!$D$2:$D$5,0))</f>
        <v>Low</v>
      </c>
    </row>
    <row r="2465" customFormat="false" ht="15" hidden="false" customHeight="false" outlineLevel="0" collapsed="false">
      <c r="A2465" s="3" t="n">
        <v>2464</v>
      </c>
      <c r="B2465" s="3" t="n">
        <f aca="false">Raw_Data!A2465</f>
        <v>47</v>
      </c>
      <c r="C2465" s="3" t="str">
        <f aca="false">SUBSTITUTE(Raw_Data!B2465,".","")</f>
        <v>blue-collar</v>
      </c>
      <c r="D2465" s="3" t="str">
        <f aca="false">Raw_Data!C2465</f>
        <v>single</v>
      </c>
      <c r="E2465" s="3" t="str">
        <f aca="false">Raw_Data!D2465</f>
        <v>unknown</v>
      </c>
      <c r="F2465" s="3" t="str">
        <f aca="false">Raw_Data!E2465</f>
        <v>no</v>
      </c>
      <c r="G2465" s="3" t="n">
        <f aca="false">Raw_Data!F2465</f>
        <v>2443</v>
      </c>
      <c r="H2465" s="3" t="str">
        <f aca="false">Raw_Data!G2465</f>
        <v>no</v>
      </c>
      <c r="I2465" s="3" t="str">
        <f aca="false">Raw_Data!H2465</f>
        <v>no</v>
      </c>
      <c r="J2465" s="2" t="n">
        <f aca="false">IF(F2465="yes",1,0)</f>
        <v>0</v>
      </c>
      <c r="K2465" s="2" t="n">
        <f aca="false">IF(H2465="yes",1,0)</f>
        <v>0</v>
      </c>
      <c r="L2465" s="2" t="n">
        <f aca="false">IF(I2465="yes",1,0)</f>
        <v>0</v>
      </c>
      <c r="M2465" s="2" t="n">
        <f aca="false">IF(G2465&lt;0,1,0)</f>
        <v>0</v>
      </c>
      <c r="N2465" s="2" t="str">
        <f aca="false">_xlfn.IFS(B2465&lt;30,"Under 30",B2465&lt;40,"30-39",B2465&lt;50,"40-49",B2465&lt;60,"50-59",TRUE(),"60+")</f>
        <v>40-49</v>
      </c>
      <c r="O2465" s="2" t="str">
        <f aca="false">_xlfn.IFS(G2465&lt;0,"1 Negative",G2465=0,"2 Zero",G2465&lt;=500,"3 1-500",G2465&lt;=2000,"4 501-2000",TRUE(),"5 Above 2000")</f>
        <v>5 Above 2000</v>
      </c>
      <c r="P2465" s="2" t="n">
        <f aca="false">Lookups!$B$2*M2465+Lookups!$B$3*L2465</f>
        <v>0</v>
      </c>
      <c r="Q2465" s="2" t="str">
        <f aca="false">INDEX(Lookups!$E$2:$E$5,MATCH(P2465,Lookups!$D$2:$D$5,0))</f>
        <v>Low</v>
      </c>
    </row>
    <row r="2466" customFormat="false" ht="15" hidden="false" customHeight="false" outlineLevel="0" collapsed="false">
      <c r="A2466" s="3" t="n">
        <v>2465</v>
      </c>
      <c r="B2466" s="3" t="n">
        <f aca="false">Raw_Data!A2466</f>
        <v>23</v>
      </c>
      <c r="C2466" s="3" t="str">
        <f aca="false">SUBSTITUTE(Raw_Data!B2466,".","")</f>
        <v>technician</v>
      </c>
      <c r="D2466" s="3" t="str">
        <f aca="false">Raw_Data!C2466</f>
        <v>single</v>
      </c>
      <c r="E2466" s="3" t="str">
        <f aca="false">Raw_Data!D2466</f>
        <v>tertiary</v>
      </c>
      <c r="F2466" s="3" t="str">
        <f aca="false">Raw_Data!E2466</f>
        <v>no</v>
      </c>
      <c r="G2466" s="3" t="n">
        <f aca="false">Raw_Data!F2466</f>
        <v>1129</v>
      </c>
      <c r="H2466" s="3" t="str">
        <f aca="false">Raw_Data!G2466</f>
        <v>yes</v>
      </c>
      <c r="I2466" s="3" t="str">
        <f aca="false">Raw_Data!H2466</f>
        <v>no</v>
      </c>
      <c r="J2466" s="2" t="n">
        <f aca="false">IF(F2466="yes",1,0)</f>
        <v>0</v>
      </c>
      <c r="K2466" s="2" t="n">
        <f aca="false">IF(H2466="yes",1,0)</f>
        <v>1</v>
      </c>
      <c r="L2466" s="2" t="n">
        <f aca="false">IF(I2466="yes",1,0)</f>
        <v>0</v>
      </c>
      <c r="M2466" s="2" t="n">
        <f aca="false">IF(G2466&lt;0,1,0)</f>
        <v>0</v>
      </c>
      <c r="N2466" s="2" t="str">
        <f aca="false">_xlfn.IFS(B2466&lt;30,"Under 30",B2466&lt;40,"30-39",B2466&lt;50,"40-49",B2466&lt;60,"50-59",TRUE(),"60+")</f>
        <v>Under 30</v>
      </c>
      <c r="O2466" s="2" t="str">
        <f aca="false">_xlfn.IFS(G2466&lt;0,"1 Negative",G2466=0,"2 Zero",G2466&lt;=500,"3 1-500",G2466&lt;=2000,"4 501-2000",TRUE(),"5 Above 2000")</f>
        <v>4 501-2000</v>
      </c>
      <c r="P2466" s="2" t="n">
        <f aca="false">Lookups!$B$2*M2466+Lookups!$B$3*L2466</f>
        <v>0</v>
      </c>
      <c r="Q2466" s="2" t="str">
        <f aca="false">INDEX(Lookups!$E$2:$E$5,MATCH(P2466,Lookups!$D$2:$D$5,0))</f>
        <v>Low</v>
      </c>
    </row>
    <row r="2467" customFormat="false" ht="15" hidden="false" customHeight="false" outlineLevel="0" collapsed="false">
      <c r="A2467" s="3" t="n">
        <v>2466</v>
      </c>
      <c r="B2467" s="3" t="n">
        <f aca="false">Raw_Data!A2467</f>
        <v>44</v>
      </c>
      <c r="C2467" s="3" t="str">
        <f aca="false">SUBSTITUTE(Raw_Data!B2467,".","")</f>
        <v>unemployed</v>
      </c>
      <c r="D2467" s="3" t="str">
        <f aca="false">Raw_Data!C2467</f>
        <v>single</v>
      </c>
      <c r="E2467" s="3" t="str">
        <f aca="false">Raw_Data!D2467</f>
        <v>primary</v>
      </c>
      <c r="F2467" s="3" t="str">
        <f aca="false">Raw_Data!E2467</f>
        <v>no</v>
      </c>
      <c r="G2467" s="3" t="n">
        <f aca="false">Raw_Data!F2467</f>
        <v>4232</v>
      </c>
      <c r="H2467" s="3" t="str">
        <f aca="false">Raw_Data!G2467</f>
        <v>no</v>
      </c>
      <c r="I2467" s="3" t="str">
        <f aca="false">Raw_Data!H2467</f>
        <v>no</v>
      </c>
      <c r="J2467" s="2" t="n">
        <f aca="false">IF(F2467="yes",1,0)</f>
        <v>0</v>
      </c>
      <c r="K2467" s="2" t="n">
        <f aca="false">IF(H2467="yes",1,0)</f>
        <v>0</v>
      </c>
      <c r="L2467" s="2" t="n">
        <f aca="false">IF(I2467="yes",1,0)</f>
        <v>0</v>
      </c>
      <c r="M2467" s="2" t="n">
        <f aca="false">IF(G2467&lt;0,1,0)</f>
        <v>0</v>
      </c>
      <c r="N2467" s="2" t="str">
        <f aca="false">_xlfn.IFS(B2467&lt;30,"Under 30",B2467&lt;40,"30-39",B2467&lt;50,"40-49",B2467&lt;60,"50-59",TRUE(),"60+")</f>
        <v>40-49</v>
      </c>
      <c r="O2467" s="2" t="str">
        <f aca="false">_xlfn.IFS(G2467&lt;0,"1 Negative",G2467=0,"2 Zero",G2467&lt;=500,"3 1-500",G2467&lt;=2000,"4 501-2000",TRUE(),"5 Above 2000")</f>
        <v>5 Above 2000</v>
      </c>
      <c r="P2467" s="2" t="n">
        <f aca="false">Lookups!$B$2*M2467+Lookups!$B$3*L2467</f>
        <v>0</v>
      </c>
      <c r="Q2467" s="2" t="str">
        <f aca="false">INDEX(Lookups!$E$2:$E$5,MATCH(P2467,Lookups!$D$2:$D$5,0))</f>
        <v>Low</v>
      </c>
    </row>
    <row r="2468" customFormat="false" ht="15" hidden="false" customHeight="false" outlineLevel="0" collapsed="false">
      <c r="A2468" s="3" t="n">
        <v>2467</v>
      </c>
      <c r="B2468" s="3" t="n">
        <f aca="false">Raw_Data!A2468</f>
        <v>42</v>
      </c>
      <c r="C2468" s="3" t="str">
        <f aca="false">SUBSTITUTE(Raw_Data!B2468,".","")</f>
        <v>self-employed</v>
      </c>
      <c r="D2468" s="3" t="str">
        <f aca="false">Raw_Data!C2468</f>
        <v>married</v>
      </c>
      <c r="E2468" s="3" t="str">
        <f aca="false">Raw_Data!D2468</f>
        <v>secondary</v>
      </c>
      <c r="F2468" s="3" t="str">
        <f aca="false">Raw_Data!E2468</f>
        <v>no</v>
      </c>
      <c r="G2468" s="3" t="n">
        <f aca="false">Raw_Data!F2468</f>
        <v>5564</v>
      </c>
      <c r="H2468" s="3" t="str">
        <f aca="false">Raw_Data!G2468</f>
        <v>no</v>
      </c>
      <c r="I2468" s="3" t="str">
        <f aca="false">Raw_Data!H2468</f>
        <v>no</v>
      </c>
      <c r="J2468" s="2" t="n">
        <f aca="false">IF(F2468="yes",1,0)</f>
        <v>0</v>
      </c>
      <c r="K2468" s="2" t="n">
        <f aca="false">IF(H2468="yes",1,0)</f>
        <v>0</v>
      </c>
      <c r="L2468" s="2" t="n">
        <f aca="false">IF(I2468="yes",1,0)</f>
        <v>0</v>
      </c>
      <c r="M2468" s="2" t="n">
        <f aca="false">IF(G2468&lt;0,1,0)</f>
        <v>0</v>
      </c>
      <c r="N2468" s="2" t="str">
        <f aca="false">_xlfn.IFS(B2468&lt;30,"Under 30",B2468&lt;40,"30-39",B2468&lt;50,"40-49",B2468&lt;60,"50-59",TRUE(),"60+")</f>
        <v>40-49</v>
      </c>
      <c r="O2468" s="2" t="str">
        <f aca="false">_xlfn.IFS(G2468&lt;0,"1 Negative",G2468=0,"2 Zero",G2468&lt;=500,"3 1-500",G2468&lt;=2000,"4 501-2000",TRUE(),"5 Above 2000")</f>
        <v>5 Above 2000</v>
      </c>
      <c r="P2468" s="2" t="n">
        <f aca="false">Lookups!$B$2*M2468+Lookups!$B$3*L2468</f>
        <v>0</v>
      </c>
      <c r="Q2468" s="2" t="str">
        <f aca="false">INDEX(Lookups!$E$2:$E$5,MATCH(P2468,Lookups!$D$2:$D$5,0))</f>
        <v>Low</v>
      </c>
    </row>
    <row r="2469" customFormat="false" ht="15" hidden="false" customHeight="false" outlineLevel="0" collapsed="false">
      <c r="A2469" s="3" t="n">
        <v>2468</v>
      </c>
      <c r="B2469" s="3" t="n">
        <f aca="false">Raw_Data!A2469</f>
        <v>32</v>
      </c>
      <c r="C2469" s="3" t="str">
        <f aca="false">SUBSTITUTE(Raw_Data!B2469,".","")</f>
        <v>services</v>
      </c>
      <c r="D2469" s="3" t="str">
        <f aca="false">Raw_Data!C2469</f>
        <v>single</v>
      </c>
      <c r="E2469" s="3" t="str">
        <f aca="false">Raw_Data!D2469</f>
        <v>secondary</v>
      </c>
      <c r="F2469" s="3" t="str">
        <f aca="false">Raw_Data!E2469</f>
        <v>no</v>
      </c>
      <c r="G2469" s="3" t="n">
        <f aca="false">Raw_Data!F2469</f>
        <v>-402</v>
      </c>
      <c r="H2469" s="3" t="str">
        <f aca="false">Raw_Data!G2469</f>
        <v>yes</v>
      </c>
      <c r="I2469" s="3" t="str">
        <f aca="false">Raw_Data!H2469</f>
        <v>no</v>
      </c>
      <c r="J2469" s="2" t="n">
        <f aca="false">IF(F2469="yes",1,0)</f>
        <v>0</v>
      </c>
      <c r="K2469" s="2" t="n">
        <f aca="false">IF(H2469="yes",1,0)</f>
        <v>1</v>
      </c>
      <c r="L2469" s="2" t="n">
        <f aca="false">IF(I2469="yes",1,0)</f>
        <v>0</v>
      </c>
      <c r="M2469" s="2" t="n">
        <f aca="false">IF(G2469&lt;0,1,0)</f>
        <v>1</v>
      </c>
      <c r="N2469" s="2" t="str">
        <f aca="false">_xlfn.IFS(B2469&lt;30,"Under 30",B2469&lt;40,"30-39",B2469&lt;50,"40-49",B2469&lt;60,"50-59",TRUE(),"60+")</f>
        <v>30-39</v>
      </c>
      <c r="O2469" s="2" t="str">
        <f aca="false">_xlfn.IFS(G2469&lt;0,"1 Negative",G2469=0,"2 Zero",G2469&lt;=500,"3 1-500",G2469&lt;=2000,"4 501-2000",TRUE(),"5 Above 2000")</f>
        <v>1 Negative</v>
      </c>
      <c r="P2469" s="2" t="n">
        <f aca="false">Lookups!$B$2*M2469+Lookups!$B$3*L2469</f>
        <v>2</v>
      </c>
      <c r="Q2469" s="2" t="str">
        <f aca="false">INDEX(Lookups!$E$2:$E$5,MATCH(P2469,Lookups!$D$2:$D$5,0))</f>
        <v>High</v>
      </c>
    </row>
    <row r="2470" customFormat="false" ht="15" hidden="false" customHeight="false" outlineLevel="0" collapsed="false">
      <c r="A2470" s="3" t="n">
        <v>2469</v>
      </c>
      <c r="B2470" s="3" t="n">
        <f aca="false">Raw_Data!A2470</f>
        <v>28</v>
      </c>
      <c r="C2470" s="3" t="str">
        <f aca="false">SUBSTITUTE(Raw_Data!B2470,".","")</f>
        <v>admin</v>
      </c>
      <c r="D2470" s="3" t="str">
        <f aca="false">Raw_Data!C2470</f>
        <v>single</v>
      </c>
      <c r="E2470" s="3" t="str">
        <f aca="false">Raw_Data!D2470</f>
        <v>secondary</v>
      </c>
      <c r="F2470" s="3" t="str">
        <f aca="false">Raw_Data!E2470</f>
        <v>no</v>
      </c>
      <c r="G2470" s="3" t="n">
        <f aca="false">Raw_Data!F2470</f>
        <v>1323</v>
      </c>
      <c r="H2470" s="3" t="str">
        <f aca="false">Raw_Data!G2470</f>
        <v>yes</v>
      </c>
      <c r="I2470" s="3" t="str">
        <f aca="false">Raw_Data!H2470</f>
        <v>no</v>
      </c>
      <c r="J2470" s="2" t="n">
        <f aca="false">IF(F2470="yes",1,0)</f>
        <v>0</v>
      </c>
      <c r="K2470" s="2" t="n">
        <f aca="false">IF(H2470="yes",1,0)</f>
        <v>1</v>
      </c>
      <c r="L2470" s="2" t="n">
        <f aca="false">IF(I2470="yes",1,0)</f>
        <v>0</v>
      </c>
      <c r="M2470" s="2" t="n">
        <f aca="false">IF(G2470&lt;0,1,0)</f>
        <v>0</v>
      </c>
      <c r="N2470" s="2" t="str">
        <f aca="false">_xlfn.IFS(B2470&lt;30,"Under 30",B2470&lt;40,"30-39",B2470&lt;50,"40-49",B2470&lt;60,"50-59",TRUE(),"60+")</f>
        <v>Under 30</v>
      </c>
      <c r="O2470" s="2" t="str">
        <f aca="false">_xlfn.IFS(G2470&lt;0,"1 Negative",G2470=0,"2 Zero",G2470&lt;=500,"3 1-500",G2470&lt;=2000,"4 501-2000",TRUE(),"5 Above 2000")</f>
        <v>4 501-2000</v>
      </c>
      <c r="P2470" s="2" t="n">
        <f aca="false">Lookups!$B$2*M2470+Lookups!$B$3*L2470</f>
        <v>0</v>
      </c>
      <c r="Q2470" s="2" t="str">
        <f aca="false">INDEX(Lookups!$E$2:$E$5,MATCH(P2470,Lookups!$D$2:$D$5,0))</f>
        <v>Low</v>
      </c>
    </row>
    <row r="2471" customFormat="false" ht="15" hidden="false" customHeight="false" outlineLevel="0" collapsed="false">
      <c r="A2471" s="3" t="n">
        <v>2470</v>
      </c>
      <c r="B2471" s="3" t="n">
        <f aca="false">Raw_Data!A2471</f>
        <v>57</v>
      </c>
      <c r="C2471" s="3" t="str">
        <f aca="false">SUBSTITUTE(Raw_Data!B2471,".","")</f>
        <v>retired</v>
      </c>
      <c r="D2471" s="3" t="str">
        <f aca="false">Raw_Data!C2471</f>
        <v>married</v>
      </c>
      <c r="E2471" s="3" t="str">
        <f aca="false">Raw_Data!D2471</f>
        <v>primary</v>
      </c>
      <c r="F2471" s="3" t="str">
        <f aca="false">Raw_Data!E2471</f>
        <v>no</v>
      </c>
      <c r="G2471" s="3" t="n">
        <f aca="false">Raw_Data!F2471</f>
        <v>1623</v>
      </c>
      <c r="H2471" s="3" t="str">
        <f aca="false">Raw_Data!G2471</f>
        <v>yes</v>
      </c>
      <c r="I2471" s="3" t="str">
        <f aca="false">Raw_Data!H2471</f>
        <v>yes</v>
      </c>
      <c r="J2471" s="2" t="n">
        <f aca="false">IF(F2471="yes",1,0)</f>
        <v>0</v>
      </c>
      <c r="K2471" s="2" t="n">
        <f aca="false">IF(H2471="yes",1,0)</f>
        <v>1</v>
      </c>
      <c r="L2471" s="2" t="n">
        <f aca="false">IF(I2471="yes",1,0)</f>
        <v>1</v>
      </c>
      <c r="M2471" s="2" t="n">
        <f aca="false">IF(G2471&lt;0,1,0)</f>
        <v>0</v>
      </c>
      <c r="N2471" s="2" t="str">
        <f aca="false">_xlfn.IFS(B2471&lt;30,"Under 30",B2471&lt;40,"30-39",B2471&lt;50,"40-49",B2471&lt;60,"50-59",TRUE(),"60+")</f>
        <v>50-59</v>
      </c>
      <c r="O2471" s="2" t="str">
        <f aca="false">_xlfn.IFS(G2471&lt;0,"1 Negative",G2471=0,"2 Zero",G2471&lt;=500,"3 1-500",G2471&lt;=2000,"4 501-2000",TRUE(),"5 Above 2000")</f>
        <v>4 501-2000</v>
      </c>
      <c r="P2471" s="2" t="n">
        <f aca="false">Lookups!$B$2*M2471+Lookups!$B$3*L2471</f>
        <v>1</v>
      </c>
      <c r="Q2471" s="2" t="str">
        <f aca="false">INDEX(Lookups!$E$2:$E$5,MATCH(P2471,Lookups!$D$2:$D$5,0))</f>
        <v>Medium</v>
      </c>
    </row>
    <row r="2472" customFormat="false" ht="15" hidden="false" customHeight="false" outlineLevel="0" collapsed="false">
      <c r="A2472" s="3" t="n">
        <v>2471</v>
      </c>
      <c r="B2472" s="3" t="n">
        <f aca="false">Raw_Data!A2472</f>
        <v>38</v>
      </c>
      <c r="C2472" s="3" t="str">
        <f aca="false">SUBSTITUTE(Raw_Data!B2472,".","")</f>
        <v>technician</v>
      </c>
      <c r="D2472" s="3" t="str">
        <f aca="false">Raw_Data!C2472</f>
        <v>married</v>
      </c>
      <c r="E2472" s="3" t="str">
        <f aca="false">Raw_Data!D2472</f>
        <v>tertiary</v>
      </c>
      <c r="F2472" s="3" t="str">
        <f aca="false">Raw_Data!E2472</f>
        <v>no</v>
      </c>
      <c r="G2472" s="3" t="n">
        <f aca="false">Raw_Data!F2472</f>
        <v>1042</v>
      </c>
      <c r="H2472" s="3" t="str">
        <f aca="false">Raw_Data!G2472</f>
        <v>yes</v>
      </c>
      <c r="I2472" s="3" t="str">
        <f aca="false">Raw_Data!H2472</f>
        <v>no</v>
      </c>
      <c r="J2472" s="2" t="n">
        <f aca="false">IF(F2472="yes",1,0)</f>
        <v>0</v>
      </c>
      <c r="K2472" s="2" t="n">
        <f aca="false">IF(H2472="yes",1,0)</f>
        <v>1</v>
      </c>
      <c r="L2472" s="2" t="n">
        <f aca="false">IF(I2472="yes",1,0)</f>
        <v>0</v>
      </c>
      <c r="M2472" s="2" t="n">
        <f aca="false">IF(G2472&lt;0,1,0)</f>
        <v>0</v>
      </c>
      <c r="N2472" s="2" t="str">
        <f aca="false">_xlfn.IFS(B2472&lt;30,"Under 30",B2472&lt;40,"30-39",B2472&lt;50,"40-49",B2472&lt;60,"50-59",TRUE(),"60+")</f>
        <v>30-39</v>
      </c>
      <c r="O2472" s="2" t="str">
        <f aca="false">_xlfn.IFS(G2472&lt;0,"1 Negative",G2472=0,"2 Zero",G2472&lt;=500,"3 1-500",G2472&lt;=2000,"4 501-2000",TRUE(),"5 Above 2000")</f>
        <v>4 501-2000</v>
      </c>
      <c r="P2472" s="2" t="n">
        <f aca="false">Lookups!$B$2*M2472+Lookups!$B$3*L2472</f>
        <v>0</v>
      </c>
      <c r="Q2472" s="2" t="str">
        <f aca="false">INDEX(Lookups!$E$2:$E$5,MATCH(P2472,Lookups!$D$2:$D$5,0))</f>
        <v>Low</v>
      </c>
    </row>
    <row r="2473" customFormat="false" ht="15" hidden="false" customHeight="false" outlineLevel="0" collapsed="false">
      <c r="A2473" s="3" t="n">
        <v>2472</v>
      </c>
      <c r="B2473" s="3" t="n">
        <f aca="false">Raw_Data!A2473</f>
        <v>22</v>
      </c>
      <c r="C2473" s="3" t="str">
        <f aca="false">SUBSTITUTE(Raw_Data!B2473,".","")</f>
        <v>student</v>
      </c>
      <c r="D2473" s="3" t="str">
        <f aca="false">Raw_Data!C2473</f>
        <v>single</v>
      </c>
      <c r="E2473" s="3" t="str">
        <f aca="false">Raw_Data!D2473</f>
        <v>secondary</v>
      </c>
      <c r="F2473" s="3" t="str">
        <f aca="false">Raw_Data!E2473</f>
        <v>no</v>
      </c>
      <c r="G2473" s="3" t="n">
        <f aca="false">Raw_Data!F2473</f>
        <v>2488</v>
      </c>
      <c r="H2473" s="3" t="str">
        <f aca="false">Raw_Data!G2473</f>
        <v>no</v>
      </c>
      <c r="I2473" s="3" t="str">
        <f aca="false">Raw_Data!H2473</f>
        <v>no</v>
      </c>
      <c r="J2473" s="2" t="n">
        <f aca="false">IF(F2473="yes",1,0)</f>
        <v>0</v>
      </c>
      <c r="K2473" s="2" t="n">
        <f aca="false">IF(H2473="yes",1,0)</f>
        <v>0</v>
      </c>
      <c r="L2473" s="2" t="n">
        <f aca="false">IF(I2473="yes",1,0)</f>
        <v>0</v>
      </c>
      <c r="M2473" s="2" t="n">
        <f aca="false">IF(G2473&lt;0,1,0)</f>
        <v>0</v>
      </c>
      <c r="N2473" s="2" t="str">
        <f aca="false">_xlfn.IFS(B2473&lt;30,"Under 30",B2473&lt;40,"30-39",B2473&lt;50,"40-49",B2473&lt;60,"50-59",TRUE(),"60+")</f>
        <v>Under 30</v>
      </c>
      <c r="O2473" s="2" t="str">
        <f aca="false">_xlfn.IFS(G2473&lt;0,"1 Negative",G2473=0,"2 Zero",G2473&lt;=500,"3 1-500",G2473&lt;=2000,"4 501-2000",TRUE(),"5 Above 2000")</f>
        <v>5 Above 2000</v>
      </c>
      <c r="P2473" s="2" t="n">
        <f aca="false">Lookups!$B$2*M2473+Lookups!$B$3*L2473</f>
        <v>0</v>
      </c>
      <c r="Q2473" s="2" t="str">
        <f aca="false">INDEX(Lookups!$E$2:$E$5,MATCH(P2473,Lookups!$D$2:$D$5,0))</f>
        <v>Low</v>
      </c>
    </row>
    <row r="2474" customFormat="false" ht="15" hidden="false" customHeight="false" outlineLevel="0" collapsed="false">
      <c r="A2474" s="3" t="n">
        <v>2473</v>
      </c>
      <c r="B2474" s="3" t="n">
        <f aca="false">Raw_Data!A2474</f>
        <v>54</v>
      </c>
      <c r="C2474" s="3" t="str">
        <f aca="false">SUBSTITUTE(Raw_Data!B2474,".","")</f>
        <v>admin</v>
      </c>
      <c r="D2474" s="3" t="str">
        <f aca="false">Raw_Data!C2474</f>
        <v>married</v>
      </c>
      <c r="E2474" s="3" t="str">
        <f aca="false">Raw_Data!D2474</f>
        <v>secondary</v>
      </c>
      <c r="F2474" s="3" t="str">
        <f aca="false">Raw_Data!E2474</f>
        <v>no</v>
      </c>
      <c r="G2474" s="3" t="n">
        <f aca="false">Raw_Data!F2474</f>
        <v>865</v>
      </c>
      <c r="H2474" s="3" t="str">
        <f aca="false">Raw_Data!G2474</f>
        <v>yes</v>
      </c>
      <c r="I2474" s="3" t="str">
        <f aca="false">Raw_Data!H2474</f>
        <v>no</v>
      </c>
      <c r="J2474" s="2" t="n">
        <f aca="false">IF(F2474="yes",1,0)</f>
        <v>0</v>
      </c>
      <c r="K2474" s="2" t="n">
        <f aca="false">IF(H2474="yes",1,0)</f>
        <v>1</v>
      </c>
      <c r="L2474" s="2" t="n">
        <f aca="false">IF(I2474="yes",1,0)</f>
        <v>0</v>
      </c>
      <c r="M2474" s="2" t="n">
        <f aca="false">IF(G2474&lt;0,1,0)</f>
        <v>0</v>
      </c>
      <c r="N2474" s="2" t="str">
        <f aca="false">_xlfn.IFS(B2474&lt;30,"Under 30",B2474&lt;40,"30-39",B2474&lt;50,"40-49",B2474&lt;60,"50-59",TRUE(),"60+")</f>
        <v>50-59</v>
      </c>
      <c r="O2474" s="2" t="str">
        <f aca="false">_xlfn.IFS(G2474&lt;0,"1 Negative",G2474=0,"2 Zero",G2474&lt;=500,"3 1-500",G2474&lt;=2000,"4 501-2000",TRUE(),"5 Above 2000")</f>
        <v>4 501-2000</v>
      </c>
      <c r="P2474" s="2" t="n">
        <f aca="false">Lookups!$B$2*M2474+Lookups!$B$3*L2474</f>
        <v>0</v>
      </c>
      <c r="Q2474" s="2" t="str">
        <f aca="false">INDEX(Lookups!$E$2:$E$5,MATCH(P2474,Lookups!$D$2:$D$5,0))</f>
        <v>Low</v>
      </c>
    </row>
    <row r="2475" customFormat="false" ht="15" hidden="false" customHeight="false" outlineLevel="0" collapsed="false">
      <c r="A2475" s="3" t="n">
        <v>2474</v>
      </c>
      <c r="B2475" s="3" t="n">
        <f aca="false">Raw_Data!A2475</f>
        <v>32</v>
      </c>
      <c r="C2475" s="3" t="str">
        <f aca="false">SUBSTITUTE(Raw_Data!B2475,".","")</f>
        <v>technician</v>
      </c>
      <c r="D2475" s="3" t="str">
        <f aca="false">Raw_Data!C2475</f>
        <v>married</v>
      </c>
      <c r="E2475" s="3" t="str">
        <f aca="false">Raw_Data!D2475</f>
        <v>tertiary</v>
      </c>
      <c r="F2475" s="3" t="str">
        <f aca="false">Raw_Data!E2475</f>
        <v>no</v>
      </c>
      <c r="G2475" s="3" t="n">
        <f aca="false">Raw_Data!F2475</f>
        <v>-1053</v>
      </c>
      <c r="H2475" s="3" t="str">
        <f aca="false">Raw_Data!G2475</f>
        <v>yes</v>
      </c>
      <c r="I2475" s="3" t="str">
        <f aca="false">Raw_Data!H2475</f>
        <v>no</v>
      </c>
      <c r="J2475" s="2" t="n">
        <f aca="false">IF(F2475="yes",1,0)</f>
        <v>0</v>
      </c>
      <c r="K2475" s="2" t="n">
        <f aca="false">IF(H2475="yes",1,0)</f>
        <v>1</v>
      </c>
      <c r="L2475" s="2" t="n">
        <f aca="false">IF(I2475="yes",1,0)</f>
        <v>0</v>
      </c>
      <c r="M2475" s="2" t="n">
        <f aca="false">IF(G2475&lt;0,1,0)</f>
        <v>1</v>
      </c>
      <c r="N2475" s="2" t="str">
        <f aca="false">_xlfn.IFS(B2475&lt;30,"Under 30",B2475&lt;40,"30-39",B2475&lt;50,"40-49",B2475&lt;60,"50-59",TRUE(),"60+")</f>
        <v>30-39</v>
      </c>
      <c r="O2475" s="2" t="str">
        <f aca="false">_xlfn.IFS(G2475&lt;0,"1 Negative",G2475=0,"2 Zero",G2475&lt;=500,"3 1-500",G2475&lt;=2000,"4 501-2000",TRUE(),"5 Above 2000")</f>
        <v>1 Negative</v>
      </c>
      <c r="P2475" s="2" t="n">
        <f aca="false">Lookups!$B$2*M2475+Lookups!$B$3*L2475</f>
        <v>2</v>
      </c>
      <c r="Q2475" s="2" t="str">
        <f aca="false">INDEX(Lookups!$E$2:$E$5,MATCH(P2475,Lookups!$D$2:$D$5,0))</f>
        <v>High</v>
      </c>
    </row>
    <row r="2476" customFormat="false" ht="15" hidden="false" customHeight="false" outlineLevel="0" collapsed="false">
      <c r="A2476" s="3" t="n">
        <v>2475</v>
      </c>
      <c r="B2476" s="3" t="n">
        <f aca="false">Raw_Data!A2476</f>
        <v>32</v>
      </c>
      <c r="C2476" s="3" t="str">
        <f aca="false">SUBSTITUTE(Raw_Data!B2476,".","")</f>
        <v>management</v>
      </c>
      <c r="D2476" s="3" t="str">
        <f aca="false">Raw_Data!C2476</f>
        <v>married</v>
      </c>
      <c r="E2476" s="3" t="str">
        <f aca="false">Raw_Data!D2476</f>
        <v>tertiary</v>
      </c>
      <c r="F2476" s="3" t="str">
        <f aca="false">Raw_Data!E2476</f>
        <v>no</v>
      </c>
      <c r="G2476" s="3" t="n">
        <f aca="false">Raw_Data!F2476</f>
        <v>1667</v>
      </c>
      <c r="H2476" s="3" t="str">
        <f aca="false">Raw_Data!G2476</f>
        <v>yes</v>
      </c>
      <c r="I2476" s="3" t="str">
        <f aca="false">Raw_Data!H2476</f>
        <v>no</v>
      </c>
      <c r="J2476" s="2" t="n">
        <f aca="false">IF(F2476="yes",1,0)</f>
        <v>0</v>
      </c>
      <c r="K2476" s="2" t="n">
        <f aca="false">IF(H2476="yes",1,0)</f>
        <v>1</v>
      </c>
      <c r="L2476" s="2" t="n">
        <f aca="false">IF(I2476="yes",1,0)</f>
        <v>0</v>
      </c>
      <c r="M2476" s="2" t="n">
        <f aca="false">IF(G2476&lt;0,1,0)</f>
        <v>0</v>
      </c>
      <c r="N2476" s="2" t="str">
        <f aca="false">_xlfn.IFS(B2476&lt;30,"Under 30",B2476&lt;40,"30-39",B2476&lt;50,"40-49",B2476&lt;60,"50-59",TRUE(),"60+")</f>
        <v>30-39</v>
      </c>
      <c r="O2476" s="2" t="str">
        <f aca="false">_xlfn.IFS(G2476&lt;0,"1 Negative",G2476=0,"2 Zero",G2476&lt;=500,"3 1-500",G2476&lt;=2000,"4 501-2000",TRUE(),"5 Above 2000")</f>
        <v>4 501-2000</v>
      </c>
      <c r="P2476" s="2" t="n">
        <f aca="false">Lookups!$B$2*M2476+Lookups!$B$3*L2476</f>
        <v>0</v>
      </c>
      <c r="Q2476" s="2" t="str">
        <f aca="false">INDEX(Lookups!$E$2:$E$5,MATCH(P2476,Lookups!$D$2:$D$5,0))</f>
        <v>Low</v>
      </c>
    </row>
    <row r="2477" customFormat="false" ht="15" hidden="false" customHeight="false" outlineLevel="0" collapsed="false">
      <c r="A2477" s="3" t="n">
        <v>2476</v>
      </c>
      <c r="B2477" s="3" t="n">
        <f aca="false">Raw_Data!A2477</f>
        <v>59</v>
      </c>
      <c r="C2477" s="3" t="str">
        <f aca="false">SUBSTITUTE(Raw_Data!B2477,".","")</f>
        <v>admin</v>
      </c>
      <c r="D2477" s="3" t="str">
        <f aca="false">Raw_Data!C2477</f>
        <v>divorced</v>
      </c>
      <c r="E2477" s="3" t="str">
        <f aca="false">Raw_Data!D2477</f>
        <v>secondary</v>
      </c>
      <c r="F2477" s="3" t="str">
        <f aca="false">Raw_Data!E2477</f>
        <v>no</v>
      </c>
      <c r="G2477" s="3" t="n">
        <f aca="false">Raw_Data!F2477</f>
        <v>975</v>
      </c>
      <c r="H2477" s="3" t="str">
        <f aca="false">Raw_Data!G2477</f>
        <v>yes</v>
      </c>
      <c r="I2477" s="3" t="str">
        <f aca="false">Raw_Data!H2477</f>
        <v>no</v>
      </c>
      <c r="J2477" s="2" t="n">
        <f aca="false">IF(F2477="yes",1,0)</f>
        <v>0</v>
      </c>
      <c r="K2477" s="2" t="n">
        <f aca="false">IF(H2477="yes",1,0)</f>
        <v>1</v>
      </c>
      <c r="L2477" s="2" t="n">
        <f aca="false">IF(I2477="yes",1,0)</f>
        <v>0</v>
      </c>
      <c r="M2477" s="2" t="n">
        <f aca="false">IF(G2477&lt;0,1,0)</f>
        <v>0</v>
      </c>
      <c r="N2477" s="2" t="str">
        <f aca="false">_xlfn.IFS(B2477&lt;30,"Under 30",B2477&lt;40,"30-39",B2477&lt;50,"40-49",B2477&lt;60,"50-59",TRUE(),"60+")</f>
        <v>50-59</v>
      </c>
      <c r="O2477" s="2" t="str">
        <f aca="false">_xlfn.IFS(G2477&lt;0,"1 Negative",G2477=0,"2 Zero",G2477&lt;=500,"3 1-500",G2477&lt;=2000,"4 501-2000",TRUE(),"5 Above 2000")</f>
        <v>4 501-2000</v>
      </c>
      <c r="P2477" s="2" t="n">
        <f aca="false">Lookups!$B$2*M2477+Lookups!$B$3*L2477</f>
        <v>0</v>
      </c>
      <c r="Q2477" s="2" t="str">
        <f aca="false">INDEX(Lookups!$E$2:$E$5,MATCH(P2477,Lookups!$D$2:$D$5,0))</f>
        <v>Low</v>
      </c>
    </row>
    <row r="2478" customFormat="false" ht="15" hidden="false" customHeight="false" outlineLevel="0" collapsed="false">
      <c r="A2478" s="3" t="n">
        <v>2477</v>
      </c>
      <c r="B2478" s="3" t="n">
        <f aca="false">Raw_Data!A2478</f>
        <v>45</v>
      </c>
      <c r="C2478" s="3" t="str">
        <f aca="false">SUBSTITUTE(Raw_Data!B2478,".","")</f>
        <v>technician</v>
      </c>
      <c r="D2478" s="3" t="str">
        <f aca="false">Raw_Data!C2478</f>
        <v>married</v>
      </c>
      <c r="E2478" s="3" t="str">
        <f aca="false">Raw_Data!D2478</f>
        <v>secondary</v>
      </c>
      <c r="F2478" s="3" t="str">
        <f aca="false">Raw_Data!E2478</f>
        <v>no</v>
      </c>
      <c r="G2478" s="3" t="n">
        <f aca="false">Raw_Data!F2478</f>
        <v>2571</v>
      </c>
      <c r="H2478" s="3" t="str">
        <f aca="false">Raw_Data!G2478</f>
        <v>no</v>
      </c>
      <c r="I2478" s="3" t="str">
        <f aca="false">Raw_Data!H2478</f>
        <v>no</v>
      </c>
      <c r="J2478" s="2" t="n">
        <f aca="false">IF(F2478="yes",1,0)</f>
        <v>0</v>
      </c>
      <c r="K2478" s="2" t="n">
        <f aca="false">IF(H2478="yes",1,0)</f>
        <v>0</v>
      </c>
      <c r="L2478" s="2" t="n">
        <f aca="false">IF(I2478="yes",1,0)</f>
        <v>0</v>
      </c>
      <c r="M2478" s="2" t="n">
        <f aca="false">IF(G2478&lt;0,1,0)</f>
        <v>0</v>
      </c>
      <c r="N2478" s="2" t="str">
        <f aca="false">_xlfn.IFS(B2478&lt;30,"Under 30",B2478&lt;40,"30-39",B2478&lt;50,"40-49",B2478&lt;60,"50-59",TRUE(),"60+")</f>
        <v>40-49</v>
      </c>
      <c r="O2478" s="2" t="str">
        <f aca="false">_xlfn.IFS(G2478&lt;0,"1 Negative",G2478=0,"2 Zero",G2478&lt;=500,"3 1-500",G2478&lt;=2000,"4 501-2000",TRUE(),"5 Above 2000")</f>
        <v>5 Above 2000</v>
      </c>
      <c r="P2478" s="2" t="n">
        <f aca="false">Lookups!$B$2*M2478+Lookups!$B$3*L2478</f>
        <v>0</v>
      </c>
      <c r="Q2478" s="2" t="str">
        <f aca="false">INDEX(Lookups!$E$2:$E$5,MATCH(P2478,Lookups!$D$2:$D$5,0))</f>
        <v>Low</v>
      </c>
    </row>
    <row r="2479" customFormat="false" ht="15" hidden="false" customHeight="false" outlineLevel="0" collapsed="false">
      <c r="A2479" s="3" t="n">
        <v>2478</v>
      </c>
      <c r="B2479" s="3" t="n">
        <f aca="false">Raw_Data!A2479</f>
        <v>53</v>
      </c>
      <c r="C2479" s="3" t="str">
        <f aca="false">SUBSTITUTE(Raw_Data!B2479,".","")</f>
        <v>unknown</v>
      </c>
      <c r="D2479" s="3" t="str">
        <f aca="false">Raw_Data!C2479</f>
        <v>married</v>
      </c>
      <c r="E2479" s="3" t="str">
        <f aca="false">Raw_Data!D2479</f>
        <v>primary</v>
      </c>
      <c r="F2479" s="3" t="str">
        <f aca="false">Raw_Data!E2479</f>
        <v>no</v>
      </c>
      <c r="G2479" s="3" t="n">
        <f aca="false">Raw_Data!F2479</f>
        <v>732</v>
      </c>
      <c r="H2479" s="3" t="str">
        <f aca="false">Raw_Data!G2479</f>
        <v>no</v>
      </c>
      <c r="I2479" s="3" t="str">
        <f aca="false">Raw_Data!H2479</f>
        <v>no</v>
      </c>
      <c r="J2479" s="2" t="n">
        <f aca="false">IF(F2479="yes",1,0)</f>
        <v>0</v>
      </c>
      <c r="K2479" s="2" t="n">
        <f aca="false">IF(H2479="yes",1,0)</f>
        <v>0</v>
      </c>
      <c r="L2479" s="2" t="n">
        <f aca="false">IF(I2479="yes",1,0)</f>
        <v>0</v>
      </c>
      <c r="M2479" s="2" t="n">
        <f aca="false">IF(G2479&lt;0,1,0)</f>
        <v>0</v>
      </c>
      <c r="N2479" s="2" t="str">
        <f aca="false">_xlfn.IFS(B2479&lt;30,"Under 30",B2479&lt;40,"30-39",B2479&lt;50,"40-49",B2479&lt;60,"50-59",TRUE(),"60+")</f>
        <v>50-59</v>
      </c>
      <c r="O2479" s="2" t="str">
        <f aca="false">_xlfn.IFS(G2479&lt;0,"1 Negative",G2479=0,"2 Zero",G2479&lt;=500,"3 1-500",G2479&lt;=2000,"4 501-2000",TRUE(),"5 Above 2000")</f>
        <v>4 501-2000</v>
      </c>
      <c r="P2479" s="2" t="n">
        <f aca="false">Lookups!$B$2*M2479+Lookups!$B$3*L2479</f>
        <v>0</v>
      </c>
      <c r="Q2479" s="2" t="str">
        <f aca="false">INDEX(Lookups!$E$2:$E$5,MATCH(P2479,Lookups!$D$2:$D$5,0))</f>
        <v>Low</v>
      </c>
    </row>
    <row r="2480" customFormat="false" ht="15" hidden="false" customHeight="false" outlineLevel="0" collapsed="false">
      <c r="A2480" s="3" t="n">
        <v>2479</v>
      </c>
      <c r="B2480" s="3" t="n">
        <f aca="false">Raw_Data!A2480</f>
        <v>50</v>
      </c>
      <c r="C2480" s="3" t="str">
        <f aca="false">SUBSTITUTE(Raw_Data!B2480,".","")</f>
        <v>admin</v>
      </c>
      <c r="D2480" s="3" t="str">
        <f aca="false">Raw_Data!C2480</f>
        <v>divorced</v>
      </c>
      <c r="E2480" s="3" t="str">
        <f aca="false">Raw_Data!D2480</f>
        <v>secondary</v>
      </c>
      <c r="F2480" s="3" t="str">
        <f aca="false">Raw_Data!E2480</f>
        <v>no</v>
      </c>
      <c r="G2480" s="3" t="n">
        <f aca="false">Raw_Data!F2480</f>
        <v>769</v>
      </c>
      <c r="H2480" s="3" t="str">
        <f aca="false">Raw_Data!G2480</f>
        <v>no</v>
      </c>
      <c r="I2480" s="3" t="str">
        <f aca="false">Raw_Data!H2480</f>
        <v>no</v>
      </c>
      <c r="J2480" s="2" t="n">
        <f aca="false">IF(F2480="yes",1,0)</f>
        <v>0</v>
      </c>
      <c r="K2480" s="2" t="n">
        <f aca="false">IF(H2480="yes",1,0)</f>
        <v>0</v>
      </c>
      <c r="L2480" s="2" t="n">
        <f aca="false">IF(I2480="yes",1,0)</f>
        <v>0</v>
      </c>
      <c r="M2480" s="2" t="n">
        <f aca="false">IF(G2480&lt;0,1,0)</f>
        <v>0</v>
      </c>
      <c r="N2480" s="2" t="str">
        <f aca="false">_xlfn.IFS(B2480&lt;30,"Under 30",B2480&lt;40,"30-39",B2480&lt;50,"40-49",B2480&lt;60,"50-59",TRUE(),"60+")</f>
        <v>50-59</v>
      </c>
      <c r="O2480" s="2" t="str">
        <f aca="false">_xlfn.IFS(G2480&lt;0,"1 Negative",G2480=0,"2 Zero",G2480&lt;=500,"3 1-500",G2480&lt;=2000,"4 501-2000",TRUE(),"5 Above 2000")</f>
        <v>4 501-2000</v>
      </c>
      <c r="P2480" s="2" t="n">
        <f aca="false">Lookups!$B$2*M2480+Lookups!$B$3*L2480</f>
        <v>0</v>
      </c>
      <c r="Q2480" s="2" t="str">
        <f aca="false">INDEX(Lookups!$E$2:$E$5,MATCH(P2480,Lookups!$D$2:$D$5,0))</f>
        <v>Low</v>
      </c>
    </row>
    <row r="2481" customFormat="false" ht="15" hidden="false" customHeight="false" outlineLevel="0" collapsed="false">
      <c r="A2481" s="3" t="n">
        <v>2480</v>
      </c>
      <c r="B2481" s="3" t="n">
        <f aca="false">Raw_Data!A2481</f>
        <v>34</v>
      </c>
      <c r="C2481" s="3" t="str">
        <f aca="false">SUBSTITUTE(Raw_Data!B2481,".","")</f>
        <v>technician</v>
      </c>
      <c r="D2481" s="3" t="str">
        <f aca="false">Raw_Data!C2481</f>
        <v>married</v>
      </c>
      <c r="E2481" s="3" t="str">
        <f aca="false">Raw_Data!D2481</f>
        <v>secondary</v>
      </c>
      <c r="F2481" s="3" t="str">
        <f aca="false">Raw_Data!E2481</f>
        <v>no</v>
      </c>
      <c r="G2481" s="3" t="n">
        <f aca="false">Raw_Data!F2481</f>
        <v>-136</v>
      </c>
      <c r="H2481" s="3" t="str">
        <f aca="false">Raw_Data!G2481</f>
        <v>yes</v>
      </c>
      <c r="I2481" s="3" t="str">
        <f aca="false">Raw_Data!H2481</f>
        <v>yes</v>
      </c>
      <c r="J2481" s="2" t="n">
        <f aca="false">IF(F2481="yes",1,0)</f>
        <v>0</v>
      </c>
      <c r="K2481" s="2" t="n">
        <f aca="false">IF(H2481="yes",1,0)</f>
        <v>1</v>
      </c>
      <c r="L2481" s="2" t="n">
        <f aca="false">IF(I2481="yes",1,0)</f>
        <v>1</v>
      </c>
      <c r="M2481" s="2" t="n">
        <f aca="false">IF(G2481&lt;0,1,0)</f>
        <v>1</v>
      </c>
      <c r="N2481" s="2" t="str">
        <f aca="false">_xlfn.IFS(B2481&lt;30,"Under 30",B2481&lt;40,"30-39",B2481&lt;50,"40-49",B2481&lt;60,"50-59",TRUE(),"60+")</f>
        <v>30-39</v>
      </c>
      <c r="O2481" s="2" t="str">
        <f aca="false">_xlfn.IFS(G2481&lt;0,"1 Negative",G2481=0,"2 Zero",G2481&lt;=500,"3 1-500",G2481&lt;=2000,"4 501-2000",TRUE(),"5 Above 2000")</f>
        <v>1 Negative</v>
      </c>
      <c r="P2481" s="2" t="n">
        <f aca="false">Lookups!$B$2*M2481+Lookups!$B$3*L2481</f>
        <v>3</v>
      </c>
      <c r="Q2481" s="2" t="str">
        <f aca="false">INDEX(Lookups!$E$2:$E$5,MATCH(P2481,Lookups!$D$2:$D$5,0))</f>
        <v>High</v>
      </c>
    </row>
    <row r="2482" customFormat="false" ht="15" hidden="false" customHeight="false" outlineLevel="0" collapsed="false">
      <c r="A2482" s="3" t="n">
        <v>2481</v>
      </c>
      <c r="B2482" s="3" t="n">
        <f aca="false">Raw_Data!A2482</f>
        <v>35</v>
      </c>
      <c r="C2482" s="3" t="str">
        <f aca="false">SUBSTITUTE(Raw_Data!B2482,".","")</f>
        <v>admin</v>
      </c>
      <c r="D2482" s="3" t="str">
        <f aca="false">Raw_Data!C2482</f>
        <v>divorced</v>
      </c>
      <c r="E2482" s="3" t="str">
        <f aca="false">Raw_Data!D2482</f>
        <v>secondary</v>
      </c>
      <c r="F2482" s="3" t="str">
        <f aca="false">Raw_Data!E2482</f>
        <v>no</v>
      </c>
      <c r="G2482" s="3" t="n">
        <f aca="false">Raw_Data!F2482</f>
        <v>3636</v>
      </c>
      <c r="H2482" s="3" t="str">
        <f aca="false">Raw_Data!G2482</f>
        <v>no</v>
      </c>
      <c r="I2482" s="3" t="str">
        <f aca="false">Raw_Data!H2482</f>
        <v>yes</v>
      </c>
      <c r="J2482" s="2" t="n">
        <f aca="false">IF(F2482="yes",1,0)</f>
        <v>0</v>
      </c>
      <c r="K2482" s="2" t="n">
        <f aca="false">IF(H2482="yes",1,0)</f>
        <v>0</v>
      </c>
      <c r="L2482" s="2" t="n">
        <f aca="false">IF(I2482="yes",1,0)</f>
        <v>1</v>
      </c>
      <c r="M2482" s="2" t="n">
        <f aca="false">IF(G2482&lt;0,1,0)</f>
        <v>0</v>
      </c>
      <c r="N2482" s="2" t="str">
        <f aca="false">_xlfn.IFS(B2482&lt;30,"Under 30",B2482&lt;40,"30-39",B2482&lt;50,"40-49",B2482&lt;60,"50-59",TRUE(),"60+")</f>
        <v>30-39</v>
      </c>
      <c r="O2482" s="2" t="str">
        <f aca="false">_xlfn.IFS(G2482&lt;0,"1 Negative",G2482=0,"2 Zero",G2482&lt;=500,"3 1-500",G2482&lt;=2000,"4 501-2000",TRUE(),"5 Above 2000")</f>
        <v>5 Above 2000</v>
      </c>
      <c r="P2482" s="2" t="n">
        <f aca="false">Lookups!$B$2*M2482+Lookups!$B$3*L2482</f>
        <v>1</v>
      </c>
      <c r="Q2482" s="2" t="str">
        <f aca="false">INDEX(Lookups!$E$2:$E$5,MATCH(P2482,Lookups!$D$2:$D$5,0))</f>
        <v>Medium</v>
      </c>
    </row>
    <row r="2483" customFormat="false" ht="15" hidden="false" customHeight="false" outlineLevel="0" collapsed="false">
      <c r="A2483" s="3" t="n">
        <v>2482</v>
      </c>
      <c r="B2483" s="3" t="n">
        <f aca="false">Raw_Data!A2483</f>
        <v>30</v>
      </c>
      <c r="C2483" s="3" t="str">
        <f aca="false">SUBSTITUTE(Raw_Data!B2483,".","")</f>
        <v>management</v>
      </c>
      <c r="D2483" s="3" t="str">
        <f aca="false">Raw_Data!C2483</f>
        <v>married</v>
      </c>
      <c r="E2483" s="3" t="str">
        <f aca="false">Raw_Data!D2483</f>
        <v>tertiary</v>
      </c>
      <c r="F2483" s="3" t="str">
        <f aca="false">Raw_Data!E2483</f>
        <v>no</v>
      </c>
      <c r="G2483" s="3" t="n">
        <f aca="false">Raw_Data!F2483</f>
        <v>931</v>
      </c>
      <c r="H2483" s="3" t="str">
        <f aca="false">Raw_Data!G2483</f>
        <v>no</v>
      </c>
      <c r="I2483" s="3" t="str">
        <f aca="false">Raw_Data!H2483</f>
        <v>no</v>
      </c>
      <c r="J2483" s="2" t="n">
        <f aca="false">IF(F2483="yes",1,0)</f>
        <v>0</v>
      </c>
      <c r="K2483" s="2" t="n">
        <f aca="false">IF(H2483="yes",1,0)</f>
        <v>0</v>
      </c>
      <c r="L2483" s="2" t="n">
        <f aca="false">IF(I2483="yes",1,0)</f>
        <v>0</v>
      </c>
      <c r="M2483" s="2" t="n">
        <f aca="false">IF(G2483&lt;0,1,0)</f>
        <v>0</v>
      </c>
      <c r="N2483" s="2" t="str">
        <f aca="false">_xlfn.IFS(B2483&lt;30,"Under 30",B2483&lt;40,"30-39",B2483&lt;50,"40-49",B2483&lt;60,"50-59",TRUE(),"60+")</f>
        <v>30-39</v>
      </c>
      <c r="O2483" s="2" t="str">
        <f aca="false">_xlfn.IFS(G2483&lt;0,"1 Negative",G2483=0,"2 Zero",G2483&lt;=500,"3 1-500",G2483&lt;=2000,"4 501-2000",TRUE(),"5 Above 2000")</f>
        <v>4 501-2000</v>
      </c>
      <c r="P2483" s="2" t="n">
        <f aca="false">Lookups!$B$2*M2483+Lookups!$B$3*L2483</f>
        <v>0</v>
      </c>
      <c r="Q2483" s="2" t="str">
        <f aca="false">INDEX(Lookups!$E$2:$E$5,MATCH(P2483,Lookups!$D$2:$D$5,0))</f>
        <v>Low</v>
      </c>
    </row>
    <row r="2484" customFormat="false" ht="15" hidden="false" customHeight="false" outlineLevel="0" collapsed="false">
      <c r="A2484" s="3" t="n">
        <v>2483</v>
      </c>
      <c r="B2484" s="3" t="n">
        <f aca="false">Raw_Data!A2484</f>
        <v>62</v>
      </c>
      <c r="C2484" s="3" t="str">
        <f aca="false">SUBSTITUTE(Raw_Data!B2484,".","")</f>
        <v>housemaid</v>
      </c>
      <c r="D2484" s="3" t="str">
        <f aca="false">Raw_Data!C2484</f>
        <v>married</v>
      </c>
      <c r="E2484" s="3" t="str">
        <f aca="false">Raw_Data!D2484</f>
        <v>secondary</v>
      </c>
      <c r="F2484" s="3" t="str">
        <f aca="false">Raw_Data!E2484</f>
        <v>no</v>
      </c>
      <c r="G2484" s="3" t="n">
        <f aca="false">Raw_Data!F2484</f>
        <v>565</v>
      </c>
      <c r="H2484" s="3" t="str">
        <f aca="false">Raw_Data!G2484</f>
        <v>no</v>
      </c>
      <c r="I2484" s="3" t="str">
        <f aca="false">Raw_Data!H2484</f>
        <v>no</v>
      </c>
      <c r="J2484" s="2" t="n">
        <f aca="false">IF(F2484="yes",1,0)</f>
        <v>0</v>
      </c>
      <c r="K2484" s="2" t="n">
        <f aca="false">IF(H2484="yes",1,0)</f>
        <v>0</v>
      </c>
      <c r="L2484" s="2" t="n">
        <f aca="false">IF(I2484="yes",1,0)</f>
        <v>0</v>
      </c>
      <c r="M2484" s="2" t="n">
        <f aca="false">IF(G2484&lt;0,1,0)</f>
        <v>0</v>
      </c>
      <c r="N2484" s="2" t="str">
        <f aca="false">_xlfn.IFS(B2484&lt;30,"Under 30",B2484&lt;40,"30-39",B2484&lt;50,"40-49",B2484&lt;60,"50-59",TRUE(),"60+")</f>
        <v>60+</v>
      </c>
      <c r="O2484" s="2" t="str">
        <f aca="false">_xlfn.IFS(G2484&lt;0,"1 Negative",G2484=0,"2 Zero",G2484&lt;=500,"3 1-500",G2484&lt;=2000,"4 501-2000",TRUE(),"5 Above 2000")</f>
        <v>4 501-2000</v>
      </c>
      <c r="P2484" s="2" t="n">
        <f aca="false">Lookups!$B$2*M2484+Lookups!$B$3*L2484</f>
        <v>0</v>
      </c>
      <c r="Q2484" s="2" t="str">
        <f aca="false">INDEX(Lookups!$E$2:$E$5,MATCH(P2484,Lookups!$D$2:$D$5,0))</f>
        <v>Low</v>
      </c>
    </row>
    <row r="2485" customFormat="false" ht="15" hidden="false" customHeight="false" outlineLevel="0" collapsed="false">
      <c r="A2485" s="3" t="n">
        <v>2484</v>
      </c>
      <c r="B2485" s="3" t="n">
        <f aca="false">Raw_Data!A2485</f>
        <v>40</v>
      </c>
      <c r="C2485" s="3" t="str">
        <f aca="false">SUBSTITUTE(Raw_Data!B2485,".","")</f>
        <v>blue-collar</v>
      </c>
      <c r="D2485" s="3" t="str">
        <f aca="false">Raw_Data!C2485</f>
        <v>married</v>
      </c>
      <c r="E2485" s="3" t="str">
        <f aca="false">Raw_Data!D2485</f>
        <v>secondary</v>
      </c>
      <c r="F2485" s="3" t="str">
        <f aca="false">Raw_Data!E2485</f>
        <v>no</v>
      </c>
      <c r="G2485" s="3" t="n">
        <f aca="false">Raw_Data!F2485</f>
        <v>271</v>
      </c>
      <c r="H2485" s="3" t="str">
        <f aca="false">Raw_Data!G2485</f>
        <v>yes</v>
      </c>
      <c r="I2485" s="3" t="str">
        <f aca="false">Raw_Data!H2485</f>
        <v>no</v>
      </c>
      <c r="J2485" s="2" t="n">
        <f aca="false">IF(F2485="yes",1,0)</f>
        <v>0</v>
      </c>
      <c r="K2485" s="2" t="n">
        <f aca="false">IF(H2485="yes",1,0)</f>
        <v>1</v>
      </c>
      <c r="L2485" s="2" t="n">
        <f aca="false">IF(I2485="yes",1,0)</f>
        <v>0</v>
      </c>
      <c r="M2485" s="2" t="n">
        <f aca="false">IF(G2485&lt;0,1,0)</f>
        <v>0</v>
      </c>
      <c r="N2485" s="2" t="str">
        <f aca="false">_xlfn.IFS(B2485&lt;30,"Under 30",B2485&lt;40,"30-39",B2485&lt;50,"40-49",B2485&lt;60,"50-59",TRUE(),"60+")</f>
        <v>40-49</v>
      </c>
      <c r="O2485" s="2" t="str">
        <f aca="false">_xlfn.IFS(G2485&lt;0,"1 Negative",G2485=0,"2 Zero",G2485&lt;=500,"3 1-500",G2485&lt;=2000,"4 501-2000",TRUE(),"5 Above 2000")</f>
        <v>3 1-500</v>
      </c>
      <c r="P2485" s="2" t="n">
        <f aca="false">Lookups!$B$2*M2485+Lookups!$B$3*L2485</f>
        <v>0</v>
      </c>
      <c r="Q2485" s="2" t="str">
        <f aca="false">INDEX(Lookups!$E$2:$E$5,MATCH(P2485,Lookups!$D$2:$D$5,0))</f>
        <v>Low</v>
      </c>
    </row>
    <row r="2486" customFormat="false" ht="15" hidden="false" customHeight="false" outlineLevel="0" collapsed="false">
      <c r="A2486" s="3" t="n">
        <v>2485</v>
      </c>
      <c r="B2486" s="3" t="n">
        <f aca="false">Raw_Data!A2486</f>
        <v>26</v>
      </c>
      <c r="C2486" s="3" t="str">
        <f aca="false">SUBSTITUTE(Raw_Data!B2486,".","")</f>
        <v>self-employed</v>
      </c>
      <c r="D2486" s="3" t="str">
        <f aca="false">Raw_Data!C2486</f>
        <v>single</v>
      </c>
      <c r="E2486" s="3" t="str">
        <f aca="false">Raw_Data!D2486</f>
        <v>tertiary</v>
      </c>
      <c r="F2486" s="3" t="str">
        <f aca="false">Raw_Data!E2486</f>
        <v>no</v>
      </c>
      <c r="G2486" s="3" t="n">
        <f aca="false">Raw_Data!F2486</f>
        <v>1153</v>
      </c>
      <c r="H2486" s="3" t="str">
        <f aca="false">Raw_Data!G2486</f>
        <v>no</v>
      </c>
      <c r="I2486" s="3" t="str">
        <f aca="false">Raw_Data!H2486</f>
        <v>no</v>
      </c>
      <c r="J2486" s="2" t="n">
        <f aca="false">IF(F2486="yes",1,0)</f>
        <v>0</v>
      </c>
      <c r="K2486" s="2" t="n">
        <f aca="false">IF(H2486="yes",1,0)</f>
        <v>0</v>
      </c>
      <c r="L2486" s="2" t="n">
        <f aca="false">IF(I2486="yes",1,0)</f>
        <v>0</v>
      </c>
      <c r="M2486" s="2" t="n">
        <f aca="false">IF(G2486&lt;0,1,0)</f>
        <v>0</v>
      </c>
      <c r="N2486" s="2" t="str">
        <f aca="false">_xlfn.IFS(B2486&lt;30,"Under 30",B2486&lt;40,"30-39",B2486&lt;50,"40-49",B2486&lt;60,"50-59",TRUE(),"60+")</f>
        <v>Under 30</v>
      </c>
      <c r="O2486" s="2" t="str">
        <f aca="false">_xlfn.IFS(G2486&lt;0,"1 Negative",G2486=0,"2 Zero",G2486&lt;=500,"3 1-500",G2486&lt;=2000,"4 501-2000",TRUE(),"5 Above 2000")</f>
        <v>4 501-2000</v>
      </c>
      <c r="P2486" s="2" t="n">
        <f aca="false">Lookups!$B$2*M2486+Lookups!$B$3*L2486</f>
        <v>0</v>
      </c>
      <c r="Q2486" s="2" t="str">
        <f aca="false">INDEX(Lookups!$E$2:$E$5,MATCH(P2486,Lookups!$D$2:$D$5,0))</f>
        <v>Low</v>
      </c>
    </row>
    <row r="2487" customFormat="false" ht="15" hidden="false" customHeight="false" outlineLevel="0" collapsed="false">
      <c r="A2487" s="3" t="n">
        <v>2486</v>
      </c>
      <c r="B2487" s="3" t="n">
        <f aca="false">Raw_Data!A2487</f>
        <v>34</v>
      </c>
      <c r="C2487" s="3" t="str">
        <f aca="false">SUBSTITUTE(Raw_Data!B2487,".","")</f>
        <v>management</v>
      </c>
      <c r="D2487" s="3" t="str">
        <f aca="false">Raw_Data!C2487</f>
        <v>married</v>
      </c>
      <c r="E2487" s="3" t="str">
        <f aca="false">Raw_Data!D2487</f>
        <v>tertiary</v>
      </c>
      <c r="F2487" s="3" t="str">
        <f aca="false">Raw_Data!E2487</f>
        <v>no</v>
      </c>
      <c r="G2487" s="3" t="n">
        <f aca="false">Raw_Data!F2487</f>
        <v>-73</v>
      </c>
      <c r="H2487" s="3" t="str">
        <f aca="false">Raw_Data!G2487</f>
        <v>yes</v>
      </c>
      <c r="I2487" s="3" t="str">
        <f aca="false">Raw_Data!H2487</f>
        <v>no</v>
      </c>
      <c r="J2487" s="2" t="n">
        <f aca="false">IF(F2487="yes",1,0)</f>
        <v>0</v>
      </c>
      <c r="K2487" s="2" t="n">
        <f aca="false">IF(H2487="yes",1,0)</f>
        <v>1</v>
      </c>
      <c r="L2487" s="2" t="n">
        <f aca="false">IF(I2487="yes",1,0)</f>
        <v>0</v>
      </c>
      <c r="M2487" s="2" t="n">
        <f aca="false">IF(G2487&lt;0,1,0)</f>
        <v>1</v>
      </c>
      <c r="N2487" s="2" t="str">
        <f aca="false">_xlfn.IFS(B2487&lt;30,"Under 30",B2487&lt;40,"30-39",B2487&lt;50,"40-49",B2487&lt;60,"50-59",TRUE(),"60+")</f>
        <v>30-39</v>
      </c>
      <c r="O2487" s="2" t="str">
        <f aca="false">_xlfn.IFS(G2487&lt;0,"1 Negative",G2487=0,"2 Zero",G2487&lt;=500,"3 1-500",G2487&lt;=2000,"4 501-2000",TRUE(),"5 Above 2000")</f>
        <v>1 Negative</v>
      </c>
      <c r="P2487" s="2" t="n">
        <f aca="false">Lookups!$B$2*M2487+Lookups!$B$3*L2487</f>
        <v>2</v>
      </c>
      <c r="Q2487" s="2" t="str">
        <f aca="false">INDEX(Lookups!$E$2:$E$5,MATCH(P2487,Lookups!$D$2:$D$5,0))</f>
        <v>High</v>
      </c>
    </row>
    <row r="2488" customFormat="false" ht="15" hidden="false" customHeight="false" outlineLevel="0" collapsed="false">
      <c r="A2488" s="3" t="n">
        <v>2487</v>
      </c>
      <c r="B2488" s="3" t="n">
        <f aca="false">Raw_Data!A2488</f>
        <v>50</v>
      </c>
      <c r="C2488" s="3" t="str">
        <f aca="false">SUBSTITUTE(Raw_Data!B2488,".","")</f>
        <v>unknown</v>
      </c>
      <c r="D2488" s="3" t="str">
        <f aca="false">Raw_Data!C2488</f>
        <v>married</v>
      </c>
      <c r="E2488" s="3" t="str">
        <f aca="false">Raw_Data!D2488</f>
        <v>unknown</v>
      </c>
      <c r="F2488" s="3" t="str">
        <f aca="false">Raw_Data!E2488</f>
        <v>no</v>
      </c>
      <c r="G2488" s="3" t="n">
        <f aca="false">Raw_Data!F2488</f>
        <v>558</v>
      </c>
      <c r="H2488" s="3" t="str">
        <f aca="false">Raw_Data!G2488</f>
        <v>no</v>
      </c>
      <c r="I2488" s="3" t="str">
        <f aca="false">Raw_Data!H2488</f>
        <v>no</v>
      </c>
      <c r="J2488" s="2" t="n">
        <f aca="false">IF(F2488="yes",1,0)</f>
        <v>0</v>
      </c>
      <c r="K2488" s="2" t="n">
        <f aca="false">IF(H2488="yes",1,0)</f>
        <v>0</v>
      </c>
      <c r="L2488" s="2" t="n">
        <f aca="false">IF(I2488="yes",1,0)</f>
        <v>0</v>
      </c>
      <c r="M2488" s="2" t="n">
        <f aca="false">IF(G2488&lt;0,1,0)</f>
        <v>0</v>
      </c>
      <c r="N2488" s="2" t="str">
        <f aca="false">_xlfn.IFS(B2488&lt;30,"Under 30",B2488&lt;40,"30-39",B2488&lt;50,"40-49",B2488&lt;60,"50-59",TRUE(),"60+")</f>
        <v>50-59</v>
      </c>
      <c r="O2488" s="2" t="str">
        <f aca="false">_xlfn.IFS(G2488&lt;0,"1 Negative",G2488=0,"2 Zero",G2488&lt;=500,"3 1-500",G2488&lt;=2000,"4 501-2000",TRUE(),"5 Above 2000")</f>
        <v>4 501-2000</v>
      </c>
      <c r="P2488" s="2" t="n">
        <f aca="false">Lookups!$B$2*M2488+Lookups!$B$3*L2488</f>
        <v>0</v>
      </c>
      <c r="Q2488" s="2" t="str">
        <f aca="false">INDEX(Lookups!$E$2:$E$5,MATCH(P2488,Lookups!$D$2:$D$5,0))</f>
        <v>Low</v>
      </c>
    </row>
    <row r="2489" customFormat="false" ht="15" hidden="false" customHeight="false" outlineLevel="0" collapsed="false">
      <c r="A2489" s="3" t="n">
        <v>2488</v>
      </c>
      <c r="B2489" s="3" t="n">
        <f aca="false">Raw_Data!A2489</f>
        <v>31</v>
      </c>
      <c r="C2489" s="3" t="str">
        <f aca="false">SUBSTITUTE(Raw_Data!B2489,".","")</f>
        <v>unknown</v>
      </c>
      <c r="D2489" s="3" t="str">
        <f aca="false">Raw_Data!C2489</f>
        <v>divorced</v>
      </c>
      <c r="E2489" s="3" t="str">
        <f aca="false">Raw_Data!D2489</f>
        <v>tertiary</v>
      </c>
      <c r="F2489" s="3" t="str">
        <f aca="false">Raw_Data!E2489</f>
        <v>no</v>
      </c>
      <c r="G2489" s="3" t="n">
        <f aca="false">Raw_Data!F2489</f>
        <v>137</v>
      </c>
      <c r="H2489" s="3" t="str">
        <f aca="false">Raw_Data!G2489</f>
        <v>no</v>
      </c>
      <c r="I2489" s="3" t="str">
        <f aca="false">Raw_Data!H2489</f>
        <v>no</v>
      </c>
      <c r="J2489" s="2" t="n">
        <f aca="false">IF(F2489="yes",1,0)</f>
        <v>0</v>
      </c>
      <c r="K2489" s="2" t="n">
        <f aca="false">IF(H2489="yes",1,0)</f>
        <v>0</v>
      </c>
      <c r="L2489" s="2" t="n">
        <f aca="false">IF(I2489="yes",1,0)</f>
        <v>0</v>
      </c>
      <c r="M2489" s="2" t="n">
        <f aca="false">IF(G2489&lt;0,1,0)</f>
        <v>0</v>
      </c>
      <c r="N2489" s="2" t="str">
        <f aca="false">_xlfn.IFS(B2489&lt;30,"Under 30",B2489&lt;40,"30-39",B2489&lt;50,"40-49",B2489&lt;60,"50-59",TRUE(),"60+")</f>
        <v>30-39</v>
      </c>
      <c r="O2489" s="2" t="str">
        <f aca="false">_xlfn.IFS(G2489&lt;0,"1 Negative",G2489=0,"2 Zero",G2489&lt;=500,"3 1-500",G2489&lt;=2000,"4 501-2000",TRUE(),"5 Above 2000")</f>
        <v>3 1-500</v>
      </c>
      <c r="P2489" s="2" t="n">
        <f aca="false">Lookups!$B$2*M2489+Lookups!$B$3*L2489</f>
        <v>0</v>
      </c>
      <c r="Q2489" s="2" t="str">
        <f aca="false">INDEX(Lookups!$E$2:$E$5,MATCH(P2489,Lookups!$D$2:$D$5,0))</f>
        <v>Low</v>
      </c>
    </row>
    <row r="2490" customFormat="false" ht="15" hidden="false" customHeight="false" outlineLevel="0" collapsed="false">
      <c r="A2490" s="3" t="n">
        <v>2489</v>
      </c>
      <c r="B2490" s="3" t="n">
        <f aca="false">Raw_Data!A2490</f>
        <v>35</v>
      </c>
      <c r="C2490" s="3" t="str">
        <f aca="false">SUBSTITUTE(Raw_Data!B2490,".","")</f>
        <v>technician</v>
      </c>
      <c r="D2490" s="3" t="str">
        <f aca="false">Raw_Data!C2490</f>
        <v>married</v>
      </c>
      <c r="E2490" s="3" t="str">
        <f aca="false">Raw_Data!D2490</f>
        <v>secondary</v>
      </c>
      <c r="F2490" s="3" t="str">
        <f aca="false">Raw_Data!E2490</f>
        <v>no</v>
      </c>
      <c r="G2490" s="3" t="n">
        <f aca="false">Raw_Data!F2490</f>
        <v>700</v>
      </c>
      <c r="H2490" s="3" t="str">
        <f aca="false">Raw_Data!G2490</f>
        <v>yes</v>
      </c>
      <c r="I2490" s="3" t="str">
        <f aca="false">Raw_Data!H2490</f>
        <v>no</v>
      </c>
      <c r="J2490" s="2" t="n">
        <f aca="false">IF(F2490="yes",1,0)</f>
        <v>0</v>
      </c>
      <c r="K2490" s="2" t="n">
        <f aca="false">IF(H2490="yes",1,0)</f>
        <v>1</v>
      </c>
      <c r="L2490" s="2" t="n">
        <f aca="false">IF(I2490="yes",1,0)</f>
        <v>0</v>
      </c>
      <c r="M2490" s="2" t="n">
        <f aca="false">IF(G2490&lt;0,1,0)</f>
        <v>0</v>
      </c>
      <c r="N2490" s="2" t="str">
        <f aca="false">_xlfn.IFS(B2490&lt;30,"Under 30",B2490&lt;40,"30-39",B2490&lt;50,"40-49",B2490&lt;60,"50-59",TRUE(),"60+")</f>
        <v>30-39</v>
      </c>
      <c r="O2490" s="2" t="str">
        <f aca="false">_xlfn.IFS(G2490&lt;0,"1 Negative",G2490=0,"2 Zero",G2490&lt;=500,"3 1-500",G2490&lt;=2000,"4 501-2000",TRUE(),"5 Above 2000")</f>
        <v>4 501-2000</v>
      </c>
      <c r="P2490" s="2" t="n">
        <f aca="false">Lookups!$B$2*M2490+Lookups!$B$3*L2490</f>
        <v>0</v>
      </c>
      <c r="Q2490" s="2" t="str">
        <f aca="false">INDEX(Lookups!$E$2:$E$5,MATCH(P2490,Lookups!$D$2:$D$5,0))</f>
        <v>Low</v>
      </c>
    </row>
    <row r="2491" customFormat="false" ht="15" hidden="false" customHeight="false" outlineLevel="0" collapsed="false">
      <c r="A2491" s="3" t="n">
        <v>2490</v>
      </c>
      <c r="B2491" s="3" t="n">
        <f aca="false">Raw_Data!A2491</f>
        <v>55</v>
      </c>
      <c r="C2491" s="3" t="str">
        <f aca="false">SUBSTITUTE(Raw_Data!B2491,".","")</f>
        <v>retired</v>
      </c>
      <c r="D2491" s="3" t="str">
        <f aca="false">Raw_Data!C2491</f>
        <v>married</v>
      </c>
      <c r="E2491" s="3" t="str">
        <f aca="false">Raw_Data!D2491</f>
        <v>primary</v>
      </c>
      <c r="F2491" s="3" t="str">
        <f aca="false">Raw_Data!E2491</f>
        <v>no</v>
      </c>
      <c r="G2491" s="3" t="n">
        <f aca="false">Raw_Data!F2491</f>
        <v>-966</v>
      </c>
      <c r="H2491" s="3" t="str">
        <f aca="false">Raw_Data!G2491</f>
        <v>no</v>
      </c>
      <c r="I2491" s="3" t="str">
        <f aca="false">Raw_Data!H2491</f>
        <v>yes</v>
      </c>
      <c r="J2491" s="2" t="n">
        <f aca="false">IF(F2491="yes",1,0)</f>
        <v>0</v>
      </c>
      <c r="K2491" s="2" t="n">
        <f aca="false">IF(H2491="yes",1,0)</f>
        <v>0</v>
      </c>
      <c r="L2491" s="2" t="n">
        <f aca="false">IF(I2491="yes",1,0)</f>
        <v>1</v>
      </c>
      <c r="M2491" s="2" t="n">
        <f aca="false">IF(G2491&lt;0,1,0)</f>
        <v>1</v>
      </c>
      <c r="N2491" s="2" t="str">
        <f aca="false">_xlfn.IFS(B2491&lt;30,"Under 30",B2491&lt;40,"30-39",B2491&lt;50,"40-49",B2491&lt;60,"50-59",TRUE(),"60+")</f>
        <v>50-59</v>
      </c>
      <c r="O2491" s="2" t="str">
        <f aca="false">_xlfn.IFS(G2491&lt;0,"1 Negative",G2491=0,"2 Zero",G2491&lt;=500,"3 1-500",G2491&lt;=2000,"4 501-2000",TRUE(),"5 Above 2000")</f>
        <v>1 Negative</v>
      </c>
      <c r="P2491" s="2" t="n">
        <f aca="false">Lookups!$B$2*M2491+Lookups!$B$3*L2491</f>
        <v>3</v>
      </c>
      <c r="Q2491" s="2" t="str">
        <f aca="false">INDEX(Lookups!$E$2:$E$5,MATCH(P2491,Lookups!$D$2:$D$5,0))</f>
        <v>High</v>
      </c>
    </row>
    <row r="2492" customFormat="false" ht="15" hidden="false" customHeight="false" outlineLevel="0" collapsed="false">
      <c r="A2492" s="3" t="n">
        <v>2491</v>
      </c>
      <c r="B2492" s="3" t="n">
        <f aca="false">Raw_Data!A2492</f>
        <v>34</v>
      </c>
      <c r="C2492" s="3" t="str">
        <f aca="false">SUBSTITUTE(Raw_Data!B2492,".","")</f>
        <v>admin</v>
      </c>
      <c r="D2492" s="3" t="str">
        <f aca="false">Raw_Data!C2492</f>
        <v>married</v>
      </c>
      <c r="E2492" s="3" t="str">
        <f aca="false">Raw_Data!D2492</f>
        <v>secondary</v>
      </c>
      <c r="F2492" s="3" t="str">
        <f aca="false">Raw_Data!E2492</f>
        <v>no</v>
      </c>
      <c r="G2492" s="3" t="n">
        <f aca="false">Raw_Data!F2492</f>
        <v>96</v>
      </c>
      <c r="H2492" s="3" t="str">
        <f aca="false">Raw_Data!G2492</f>
        <v>no</v>
      </c>
      <c r="I2492" s="3" t="str">
        <f aca="false">Raw_Data!H2492</f>
        <v>no</v>
      </c>
      <c r="J2492" s="2" t="n">
        <f aca="false">IF(F2492="yes",1,0)</f>
        <v>0</v>
      </c>
      <c r="K2492" s="2" t="n">
        <f aca="false">IF(H2492="yes",1,0)</f>
        <v>0</v>
      </c>
      <c r="L2492" s="2" t="n">
        <f aca="false">IF(I2492="yes",1,0)</f>
        <v>0</v>
      </c>
      <c r="M2492" s="2" t="n">
        <f aca="false">IF(G2492&lt;0,1,0)</f>
        <v>0</v>
      </c>
      <c r="N2492" s="2" t="str">
        <f aca="false">_xlfn.IFS(B2492&lt;30,"Under 30",B2492&lt;40,"30-39",B2492&lt;50,"40-49",B2492&lt;60,"50-59",TRUE(),"60+")</f>
        <v>30-39</v>
      </c>
      <c r="O2492" s="2" t="str">
        <f aca="false">_xlfn.IFS(G2492&lt;0,"1 Negative",G2492=0,"2 Zero",G2492&lt;=500,"3 1-500",G2492&lt;=2000,"4 501-2000",TRUE(),"5 Above 2000")</f>
        <v>3 1-500</v>
      </c>
      <c r="P2492" s="2" t="n">
        <f aca="false">Lookups!$B$2*M2492+Lookups!$B$3*L2492</f>
        <v>0</v>
      </c>
      <c r="Q2492" s="2" t="str">
        <f aca="false">INDEX(Lookups!$E$2:$E$5,MATCH(P2492,Lookups!$D$2:$D$5,0))</f>
        <v>Low</v>
      </c>
    </row>
    <row r="2493" customFormat="false" ht="15" hidden="false" customHeight="false" outlineLevel="0" collapsed="false">
      <c r="A2493" s="3" t="n">
        <v>2492</v>
      </c>
      <c r="B2493" s="3" t="n">
        <f aca="false">Raw_Data!A2493</f>
        <v>58</v>
      </c>
      <c r="C2493" s="3" t="str">
        <f aca="false">SUBSTITUTE(Raw_Data!B2493,".","")</f>
        <v>retired</v>
      </c>
      <c r="D2493" s="3" t="str">
        <f aca="false">Raw_Data!C2493</f>
        <v>married</v>
      </c>
      <c r="E2493" s="3" t="str">
        <f aca="false">Raw_Data!D2493</f>
        <v>primary</v>
      </c>
      <c r="F2493" s="3" t="str">
        <f aca="false">Raw_Data!E2493</f>
        <v>no</v>
      </c>
      <c r="G2493" s="3" t="n">
        <f aca="false">Raw_Data!F2493</f>
        <v>4007</v>
      </c>
      <c r="H2493" s="3" t="str">
        <f aca="false">Raw_Data!G2493</f>
        <v>no</v>
      </c>
      <c r="I2493" s="3" t="str">
        <f aca="false">Raw_Data!H2493</f>
        <v>no</v>
      </c>
      <c r="J2493" s="2" t="n">
        <f aca="false">IF(F2493="yes",1,0)</f>
        <v>0</v>
      </c>
      <c r="K2493" s="2" t="n">
        <f aca="false">IF(H2493="yes",1,0)</f>
        <v>0</v>
      </c>
      <c r="L2493" s="2" t="n">
        <f aca="false">IF(I2493="yes",1,0)</f>
        <v>0</v>
      </c>
      <c r="M2493" s="2" t="n">
        <f aca="false">IF(G2493&lt;0,1,0)</f>
        <v>0</v>
      </c>
      <c r="N2493" s="2" t="str">
        <f aca="false">_xlfn.IFS(B2493&lt;30,"Under 30",B2493&lt;40,"30-39",B2493&lt;50,"40-49",B2493&lt;60,"50-59",TRUE(),"60+")</f>
        <v>50-59</v>
      </c>
      <c r="O2493" s="2" t="str">
        <f aca="false">_xlfn.IFS(G2493&lt;0,"1 Negative",G2493=0,"2 Zero",G2493&lt;=500,"3 1-500",G2493&lt;=2000,"4 501-2000",TRUE(),"5 Above 2000")</f>
        <v>5 Above 2000</v>
      </c>
      <c r="P2493" s="2" t="n">
        <f aca="false">Lookups!$B$2*M2493+Lookups!$B$3*L2493</f>
        <v>0</v>
      </c>
      <c r="Q2493" s="2" t="str">
        <f aca="false">INDEX(Lookups!$E$2:$E$5,MATCH(P2493,Lookups!$D$2:$D$5,0))</f>
        <v>Low</v>
      </c>
    </row>
    <row r="2494" customFormat="false" ht="15" hidden="false" customHeight="false" outlineLevel="0" collapsed="false">
      <c r="A2494" s="3" t="n">
        <v>2493</v>
      </c>
      <c r="B2494" s="3" t="n">
        <f aca="false">Raw_Data!A2494</f>
        <v>50</v>
      </c>
      <c r="C2494" s="3" t="str">
        <f aca="false">SUBSTITUTE(Raw_Data!B2494,".","")</f>
        <v>management</v>
      </c>
      <c r="D2494" s="3" t="str">
        <f aca="false">Raw_Data!C2494</f>
        <v>single</v>
      </c>
      <c r="E2494" s="3" t="str">
        <f aca="false">Raw_Data!D2494</f>
        <v>tertiary</v>
      </c>
      <c r="F2494" s="3" t="str">
        <f aca="false">Raw_Data!E2494</f>
        <v>no</v>
      </c>
      <c r="G2494" s="3" t="n">
        <f aca="false">Raw_Data!F2494</f>
        <v>567</v>
      </c>
      <c r="H2494" s="3" t="str">
        <f aca="false">Raw_Data!G2494</f>
        <v>yes</v>
      </c>
      <c r="I2494" s="3" t="str">
        <f aca="false">Raw_Data!H2494</f>
        <v>no</v>
      </c>
      <c r="J2494" s="2" t="n">
        <f aca="false">IF(F2494="yes",1,0)</f>
        <v>0</v>
      </c>
      <c r="K2494" s="2" t="n">
        <f aca="false">IF(H2494="yes",1,0)</f>
        <v>1</v>
      </c>
      <c r="L2494" s="2" t="n">
        <f aca="false">IF(I2494="yes",1,0)</f>
        <v>0</v>
      </c>
      <c r="M2494" s="2" t="n">
        <f aca="false">IF(G2494&lt;0,1,0)</f>
        <v>0</v>
      </c>
      <c r="N2494" s="2" t="str">
        <f aca="false">_xlfn.IFS(B2494&lt;30,"Under 30",B2494&lt;40,"30-39",B2494&lt;50,"40-49",B2494&lt;60,"50-59",TRUE(),"60+")</f>
        <v>50-59</v>
      </c>
      <c r="O2494" s="2" t="str">
        <f aca="false">_xlfn.IFS(G2494&lt;0,"1 Negative",G2494=0,"2 Zero",G2494&lt;=500,"3 1-500",G2494&lt;=2000,"4 501-2000",TRUE(),"5 Above 2000")</f>
        <v>4 501-2000</v>
      </c>
      <c r="P2494" s="2" t="n">
        <f aca="false">Lookups!$B$2*M2494+Lookups!$B$3*L2494</f>
        <v>0</v>
      </c>
      <c r="Q2494" s="2" t="str">
        <f aca="false">INDEX(Lookups!$E$2:$E$5,MATCH(P2494,Lookups!$D$2:$D$5,0))</f>
        <v>Low</v>
      </c>
    </row>
    <row r="2495" customFormat="false" ht="15" hidden="false" customHeight="false" outlineLevel="0" collapsed="false">
      <c r="A2495" s="3" t="n">
        <v>2494</v>
      </c>
      <c r="B2495" s="3" t="n">
        <f aca="false">Raw_Data!A2495</f>
        <v>31</v>
      </c>
      <c r="C2495" s="3" t="str">
        <f aca="false">SUBSTITUTE(Raw_Data!B2495,".","")</f>
        <v>technician</v>
      </c>
      <c r="D2495" s="3" t="str">
        <f aca="false">Raw_Data!C2495</f>
        <v>single</v>
      </c>
      <c r="E2495" s="3" t="str">
        <f aca="false">Raw_Data!D2495</f>
        <v>secondary</v>
      </c>
      <c r="F2495" s="3" t="str">
        <f aca="false">Raw_Data!E2495</f>
        <v>no</v>
      </c>
      <c r="G2495" s="3" t="n">
        <f aca="false">Raw_Data!F2495</f>
        <v>40</v>
      </c>
      <c r="H2495" s="3" t="str">
        <f aca="false">Raw_Data!G2495</f>
        <v>no</v>
      </c>
      <c r="I2495" s="3" t="str">
        <f aca="false">Raw_Data!H2495</f>
        <v>no</v>
      </c>
      <c r="J2495" s="2" t="n">
        <f aca="false">IF(F2495="yes",1,0)</f>
        <v>0</v>
      </c>
      <c r="K2495" s="2" t="n">
        <f aca="false">IF(H2495="yes",1,0)</f>
        <v>0</v>
      </c>
      <c r="L2495" s="2" t="n">
        <f aca="false">IF(I2495="yes",1,0)</f>
        <v>0</v>
      </c>
      <c r="M2495" s="2" t="n">
        <f aca="false">IF(G2495&lt;0,1,0)</f>
        <v>0</v>
      </c>
      <c r="N2495" s="2" t="str">
        <f aca="false">_xlfn.IFS(B2495&lt;30,"Under 30",B2495&lt;40,"30-39",B2495&lt;50,"40-49",B2495&lt;60,"50-59",TRUE(),"60+")</f>
        <v>30-39</v>
      </c>
      <c r="O2495" s="2" t="str">
        <f aca="false">_xlfn.IFS(G2495&lt;0,"1 Negative",G2495=0,"2 Zero",G2495&lt;=500,"3 1-500",G2495&lt;=2000,"4 501-2000",TRUE(),"5 Above 2000")</f>
        <v>3 1-500</v>
      </c>
      <c r="P2495" s="2" t="n">
        <f aca="false">Lookups!$B$2*M2495+Lookups!$B$3*L2495</f>
        <v>0</v>
      </c>
      <c r="Q2495" s="2" t="str">
        <f aca="false">INDEX(Lookups!$E$2:$E$5,MATCH(P2495,Lookups!$D$2:$D$5,0))</f>
        <v>Low</v>
      </c>
    </row>
    <row r="2496" customFormat="false" ht="15" hidden="false" customHeight="false" outlineLevel="0" collapsed="false">
      <c r="A2496" s="3" t="n">
        <v>2495</v>
      </c>
      <c r="B2496" s="3" t="n">
        <f aca="false">Raw_Data!A2496</f>
        <v>47</v>
      </c>
      <c r="C2496" s="3" t="str">
        <f aca="false">SUBSTITUTE(Raw_Data!B2496,".","")</f>
        <v>admin</v>
      </c>
      <c r="D2496" s="3" t="str">
        <f aca="false">Raw_Data!C2496</f>
        <v>divorced</v>
      </c>
      <c r="E2496" s="3" t="str">
        <f aca="false">Raw_Data!D2496</f>
        <v>secondary</v>
      </c>
      <c r="F2496" s="3" t="str">
        <f aca="false">Raw_Data!E2496</f>
        <v>no</v>
      </c>
      <c r="G2496" s="3" t="n">
        <f aca="false">Raw_Data!F2496</f>
        <v>136</v>
      </c>
      <c r="H2496" s="3" t="str">
        <f aca="false">Raw_Data!G2496</f>
        <v>no</v>
      </c>
      <c r="I2496" s="3" t="str">
        <f aca="false">Raw_Data!H2496</f>
        <v>yes</v>
      </c>
      <c r="J2496" s="2" t="n">
        <f aca="false">IF(F2496="yes",1,0)</f>
        <v>0</v>
      </c>
      <c r="K2496" s="2" t="n">
        <f aca="false">IF(H2496="yes",1,0)</f>
        <v>0</v>
      </c>
      <c r="L2496" s="2" t="n">
        <f aca="false">IF(I2496="yes",1,0)</f>
        <v>1</v>
      </c>
      <c r="M2496" s="2" t="n">
        <f aca="false">IF(G2496&lt;0,1,0)</f>
        <v>0</v>
      </c>
      <c r="N2496" s="2" t="str">
        <f aca="false">_xlfn.IFS(B2496&lt;30,"Under 30",B2496&lt;40,"30-39",B2496&lt;50,"40-49",B2496&lt;60,"50-59",TRUE(),"60+")</f>
        <v>40-49</v>
      </c>
      <c r="O2496" s="2" t="str">
        <f aca="false">_xlfn.IFS(G2496&lt;0,"1 Negative",G2496=0,"2 Zero",G2496&lt;=500,"3 1-500",G2496&lt;=2000,"4 501-2000",TRUE(),"5 Above 2000")</f>
        <v>3 1-500</v>
      </c>
      <c r="P2496" s="2" t="n">
        <f aca="false">Lookups!$B$2*M2496+Lookups!$B$3*L2496</f>
        <v>1</v>
      </c>
      <c r="Q2496" s="2" t="str">
        <f aca="false">INDEX(Lookups!$E$2:$E$5,MATCH(P2496,Lookups!$D$2:$D$5,0))</f>
        <v>Medium</v>
      </c>
    </row>
    <row r="2497" customFormat="false" ht="15" hidden="false" customHeight="false" outlineLevel="0" collapsed="false">
      <c r="A2497" s="3" t="n">
        <v>2496</v>
      </c>
      <c r="B2497" s="3" t="n">
        <f aca="false">Raw_Data!A2497</f>
        <v>38</v>
      </c>
      <c r="C2497" s="3" t="str">
        <f aca="false">SUBSTITUTE(Raw_Data!B2497,".","")</f>
        <v>self-employed</v>
      </c>
      <c r="D2497" s="3" t="str">
        <f aca="false">Raw_Data!C2497</f>
        <v>single</v>
      </c>
      <c r="E2497" s="3" t="str">
        <f aca="false">Raw_Data!D2497</f>
        <v>tertiary</v>
      </c>
      <c r="F2497" s="3" t="str">
        <f aca="false">Raw_Data!E2497</f>
        <v>no</v>
      </c>
      <c r="G2497" s="3" t="n">
        <f aca="false">Raw_Data!F2497</f>
        <v>917</v>
      </c>
      <c r="H2497" s="3" t="str">
        <f aca="false">Raw_Data!G2497</f>
        <v>yes</v>
      </c>
      <c r="I2497" s="3" t="str">
        <f aca="false">Raw_Data!H2497</f>
        <v>no</v>
      </c>
      <c r="J2497" s="2" t="n">
        <f aca="false">IF(F2497="yes",1,0)</f>
        <v>0</v>
      </c>
      <c r="K2497" s="2" t="n">
        <f aca="false">IF(H2497="yes",1,0)</f>
        <v>1</v>
      </c>
      <c r="L2497" s="2" t="n">
        <f aca="false">IF(I2497="yes",1,0)</f>
        <v>0</v>
      </c>
      <c r="M2497" s="2" t="n">
        <f aca="false">IF(G2497&lt;0,1,0)</f>
        <v>0</v>
      </c>
      <c r="N2497" s="2" t="str">
        <f aca="false">_xlfn.IFS(B2497&lt;30,"Under 30",B2497&lt;40,"30-39",B2497&lt;50,"40-49",B2497&lt;60,"50-59",TRUE(),"60+")</f>
        <v>30-39</v>
      </c>
      <c r="O2497" s="2" t="str">
        <f aca="false">_xlfn.IFS(G2497&lt;0,"1 Negative",G2497=0,"2 Zero",G2497&lt;=500,"3 1-500",G2497&lt;=2000,"4 501-2000",TRUE(),"5 Above 2000")</f>
        <v>4 501-2000</v>
      </c>
      <c r="P2497" s="2" t="n">
        <f aca="false">Lookups!$B$2*M2497+Lookups!$B$3*L2497</f>
        <v>0</v>
      </c>
      <c r="Q2497" s="2" t="str">
        <f aca="false">INDEX(Lookups!$E$2:$E$5,MATCH(P2497,Lookups!$D$2:$D$5,0))</f>
        <v>Low</v>
      </c>
    </row>
    <row r="2498" customFormat="false" ht="15" hidden="false" customHeight="false" outlineLevel="0" collapsed="false">
      <c r="A2498" s="3" t="n">
        <v>2497</v>
      </c>
      <c r="B2498" s="3" t="n">
        <f aca="false">Raw_Data!A2498</f>
        <v>46</v>
      </c>
      <c r="C2498" s="3" t="str">
        <f aca="false">SUBSTITUTE(Raw_Data!B2498,".","")</f>
        <v>management</v>
      </c>
      <c r="D2498" s="3" t="str">
        <f aca="false">Raw_Data!C2498</f>
        <v>single</v>
      </c>
      <c r="E2498" s="3" t="str">
        <f aca="false">Raw_Data!D2498</f>
        <v>tertiary</v>
      </c>
      <c r="F2498" s="3" t="str">
        <f aca="false">Raw_Data!E2498</f>
        <v>no</v>
      </c>
      <c r="G2498" s="3" t="n">
        <f aca="false">Raw_Data!F2498</f>
        <v>593</v>
      </c>
      <c r="H2498" s="3" t="str">
        <f aca="false">Raw_Data!G2498</f>
        <v>yes</v>
      </c>
      <c r="I2498" s="3" t="str">
        <f aca="false">Raw_Data!H2498</f>
        <v>no</v>
      </c>
      <c r="J2498" s="2" t="n">
        <f aca="false">IF(F2498="yes",1,0)</f>
        <v>0</v>
      </c>
      <c r="K2498" s="2" t="n">
        <f aca="false">IF(H2498="yes",1,0)</f>
        <v>1</v>
      </c>
      <c r="L2498" s="2" t="n">
        <f aca="false">IF(I2498="yes",1,0)</f>
        <v>0</v>
      </c>
      <c r="M2498" s="2" t="n">
        <f aca="false">IF(G2498&lt;0,1,0)</f>
        <v>0</v>
      </c>
      <c r="N2498" s="2" t="str">
        <f aca="false">_xlfn.IFS(B2498&lt;30,"Under 30",B2498&lt;40,"30-39",B2498&lt;50,"40-49",B2498&lt;60,"50-59",TRUE(),"60+")</f>
        <v>40-49</v>
      </c>
      <c r="O2498" s="2" t="str">
        <f aca="false">_xlfn.IFS(G2498&lt;0,"1 Negative",G2498=0,"2 Zero",G2498&lt;=500,"3 1-500",G2498&lt;=2000,"4 501-2000",TRUE(),"5 Above 2000")</f>
        <v>4 501-2000</v>
      </c>
      <c r="P2498" s="2" t="n">
        <f aca="false">Lookups!$B$2*M2498+Lookups!$B$3*L2498</f>
        <v>0</v>
      </c>
      <c r="Q2498" s="2" t="str">
        <f aca="false">INDEX(Lookups!$E$2:$E$5,MATCH(P2498,Lookups!$D$2:$D$5,0))</f>
        <v>Low</v>
      </c>
    </row>
    <row r="2499" customFormat="false" ht="15" hidden="false" customHeight="false" outlineLevel="0" collapsed="false">
      <c r="A2499" s="3" t="n">
        <v>2498</v>
      </c>
      <c r="B2499" s="3" t="n">
        <f aca="false">Raw_Data!A2499</f>
        <v>42</v>
      </c>
      <c r="C2499" s="3" t="str">
        <f aca="false">SUBSTITUTE(Raw_Data!B2499,".","")</f>
        <v>blue-collar</v>
      </c>
      <c r="D2499" s="3" t="str">
        <f aca="false">Raw_Data!C2499</f>
        <v>married</v>
      </c>
      <c r="E2499" s="3" t="str">
        <f aca="false">Raw_Data!D2499</f>
        <v>primary</v>
      </c>
      <c r="F2499" s="3" t="str">
        <f aca="false">Raw_Data!E2499</f>
        <v>no</v>
      </c>
      <c r="G2499" s="3" t="n">
        <f aca="false">Raw_Data!F2499</f>
        <v>505</v>
      </c>
      <c r="H2499" s="3" t="str">
        <f aca="false">Raw_Data!G2499</f>
        <v>yes</v>
      </c>
      <c r="I2499" s="3" t="str">
        <f aca="false">Raw_Data!H2499</f>
        <v>no</v>
      </c>
      <c r="J2499" s="2" t="n">
        <f aca="false">IF(F2499="yes",1,0)</f>
        <v>0</v>
      </c>
      <c r="K2499" s="2" t="n">
        <f aca="false">IF(H2499="yes",1,0)</f>
        <v>1</v>
      </c>
      <c r="L2499" s="2" t="n">
        <f aca="false">IF(I2499="yes",1,0)</f>
        <v>0</v>
      </c>
      <c r="M2499" s="2" t="n">
        <f aca="false">IF(G2499&lt;0,1,0)</f>
        <v>0</v>
      </c>
      <c r="N2499" s="2" t="str">
        <f aca="false">_xlfn.IFS(B2499&lt;30,"Under 30",B2499&lt;40,"30-39",B2499&lt;50,"40-49",B2499&lt;60,"50-59",TRUE(),"60+")</f>
        <v>40-49</v>
      </c>
      <c r="O2499" s="2" t="str">
        <f aca="false">_xlfn.IFS(G2499&lt;0,"1 Negative",G2499=0,"2 Zero",G2499&lt;=500,"3 1-500",G2499&lt;=2000,"4 501-2000",TRUE(),"5 Above 2000")</f>
        <v>4 501-2000</v>
      </c>
      <c r="P2499" s="2" t="n">
        <f aca="false">Lookups!$B$2*M2499+Lookups!$B$3*L2499</f>
        <v>0</v>
      </c>
      <c r="Q2499" s="2" t="str">
        <f aca="false">INDEX(Lookups!$E$2:$E$5,MATCH(P2499,Lookups!$D$2:$D$5,0))</f>
        <v>Low</v>
      </c>
    </row>
    <row r="2500" customFormat="false" ht="15" hidden="false" customHeight="false" outlineLevel="0" collapsed="false">
      <c r="A2500" s="3" t="n">
        <v>2499</v>
      </c>
      <c r="B2500" s="3" t="n">
        <f aca="false">Raw_Data!A2500</f>
        <v>34</v>
      </c>
      <c r="C2500" s="3" t="str">
        <f aca="false">SUBSTITUTE(Raw_Data!B2500,".","")</f>
        <v>blue-collar</v>
      </c>
      <c r="D2500" s="3" t="str">
        <f aca="false">Raw_Data!C2500</f>
        <v>married</v>
      </c>
      <c r="E2500" s="3" t="str">
        <f aca="false">Raw_Data!D2500</f>
        <v>secondary</v>
      </c>
      <c r="F2500" s="3" t="str">
        <f aca="false">Raw_Data!E2500</f>
        <v>no</v>
      </c>
      <c r="G2500" s="3" t="n">
        <f aca="false">Raw_Data!F2500</f>
        <v>2542</v>
      </c>
      <c r="H2500" s="3" t="str">
        <f aca="false">Raw_Data!G2500</f>
        <v>yes</v>
      </c>
      <c r="I2500" s="3" t="str">
        <f aca="false">Raw_Data!H2500</f>
        <v>no</v>
      </c>
      <c r="J2500" s="2" t="n">
        <f aca="false">IF(F2500="yes",1,0)</f>
        <v>0</v>
      </c>
      <c r="K2500" s="2" t="n">
        <f aca="false">IF(H2500="yes",1,0)</f>
        <v>1</v>
      </c>
      <c r="L2500" s="2" t="n">
        <f aca="false">IF(I2500="yes",1,0)</f>
        <v>0</v>
      </c>
      <c r="M2500" s="2" t="n">
        <f aca="false">IF(G2500&lt;0,1,0)</f>
        <v>0</v>
      </c>
      <c r="N2500" s="2" t="str">
        <f aca="false">_xlfn.IFS(B2500&lt;30,"Under 30",B2500&lt;40,"30-39",B2500&lt;50,"40-49",B2500&lt;60,"50-59",TRUE(),"60+")</f>
        <v>30-39</v>
      </c>
      <c r="O2500" s="2" t="str">
        <f aca="false">_xlfn.IFS(G2500&lt;0,"1 Negative",G2500=0,"2 Zero",G2500&lt;=500,"3 1-500",G2500&lt;=2000,"4 501-2000",TRUE(),"5 Above 2000")</f>
        <v>5 Above 2000</v>
      </c>
      <c r="P2500" s="2" t="n">
        <f aca="false">Lookups!$B$2*M2500+Lookups!$B$3*L2500</f>
        <v>0</v>
      </c>
      <c r="Q2500" s="2" t="str">
        <f aca="false">INDEX(Lookups!$E$2:$E$5,MATCH(P2500,Lookups!$D$2:$D$5,0))</f>
        <v>Low</v>
      </c>
    </row>
    <row r="2501" customFormat="false" ht="15" hidden="false" customHeight="false" outlineLevel="0" collapsed="false">
      <c r="A2501" s="3" t="n">
        <v>2500</v>
      </c>
      <c r="B2501" s="3" t="n">
        <f aca="false">Raw_Data!A2501</f>
        <v>37</v>
      </c>
      <c r="C2501" s="3" t="str">
        <f aca="false">SUBSTITUTE(Raw_Data!B2501,".","")</f>
        <v>management</v>
      </c>
      <c r="D2501" s="3" t="str">
        <f aca="false">Raw_Data!C2501</f>
        <v>married</v>
      </c>
      <c r="E2501" s="3" t="str">
        <f aca="false">Raw_Data!D2501</f>
        <v>tertiary</v>
      </c>
      <c r="F2501" s="3" t="str">
        <f aca="false">Raw_Data!E2501</f>
        <v>no</v>
      </c>
      <c r="G2501" s="3" t="n">
        <f aca="false">Raw_Data!F2501</f>
        <v>5355</v>
      </c>
      <c r="H2501" s="3" t="str">
        <f aca="false">Raw_Data!G2501</f>
        <v>no</v>
      </c>
      <c r="I2501" s="3" t="str">
        <f aca="false">Raw_Data!H2501</f>
        <v>no</v>
      </c>
      <c r="J2501" s="2" t="n">
        <f aca="false">IF(F2501="yes",1,0)</f>
        <v>0</v>
      </c>
      <c r="K2501" s="2" t="n">
        <f aca="false">IF(H2501="yes",1,0)</f>
        <v>0</v>
      </c>
      <c r="L2501" s="2" t="n">
        <f aca="false">IF(I2501="yes",1,0)</f>
        <v>0</v>
      </c>
      <c r="M2501" s="2" t="n">
        <f aca="false">IF(G2501&lt;0,1,0)</f>
        <v>0</v>
      </c>
      <c r="N2501" s="2" t="str">
        <f aca="false">_xlfn.IFS(B2501&lt;30,"Under 30",B2501&lt;40,"30-39",B2501&lt;50,"40-49",B2501&lt;60,"50-59",TRUE(),"60+")</f>
        <v>30-39</v>
      </c>
      <c r="O2501" s="2" t="str">
        <f aca="false">_xlfn.IFS(G2501&lt;0,"1 Negative",G2501=0,"2 Zero",G2501&lt;=500,"3 1-500",G2501&lt;=2000,"4 501-2000",TRUE(),"5 Above 2000")</f>
        <v>5 Above 2000</v>
      </c>
      <c r="P2501" s="2" t="n">
        <f aca="false">Lookups!$B$2*M2501+Lookups!$B$3*L2501</f>
        <v>0</v>
      </c>
      <c r="Q2501" s="2" t="str">
        <f aca="false">INDEX(Lookups!$E$2:$E$5,MATCH(P2501,Lookups!$D$2:$D$5,0))</f>
        <v>Low</v>
      </c>
    </row>
    <row r="2502" customFormat="false" ht="15" hidden="false" customHeight="false" outlineLevel="0" collapsed="false">
      <c r="A2502" s="3" t="n">
        <v>2501</v>
      </c>
      <c r="B2502" s="3" t="n">
        <f aca="false">Raw_Data!A2502</f>
        <v>38</v>
      </c>
      <c r="C2502" s="3" t="str">
        <f aca="false">SUBSTITUTE(Raw_Data!B2502,".","")</f>
        <v>student</v>
      </c>
      <c r="D2502" s="3" t="str">
        <f aca="false">Raw_Data!C2502</f>
        <v>single</v>
      </c>
      <c r="E2502" s="3" t="str">
        <f aca="false">Raw_Data!D2502</f>
        <v>tertiary</v>
      </c>
      <c r="F2502" s="3" t="str">
        <f aca="false">Raw_Data!E2502</f>
        <v>no</v>
      </c>
      <c r="G2502" s="3" t="n">
        <f aca="false">Raw_Data!F2502</f>
        <v>807</v>
      </c>
      <c r="H2502" s="3" t="str">
        <f aca="false">Raw_Data!G2502</f>
        <v>no</v>
      </c>
      <c r="I2502" s="3" t="str">
        <f aca="false">Raw_Data!H2502</f>
        <v>no</v>
      </c>
      <c r="J2502" s="2" t="n">
        <f aca="false">IF(F2502="yes",1,0)</f>
        <v>0</v>
      </c>
      <c r="K2502" s="2" t="n">
        <f aca="false">IF(H2502="yes",1,0)</f>
        <v>0</v>
      </c>
      <c r="L2502" s="2" t="n">
        <f aca="false">IF(I2502="yes",1,0)</f>
        <v>0</v>
      </c>
      <c r="M2502" s="2" t="n">
        <f aca="false">IF(G2502&lt;0,1,0)</f>
        <v>0</v>
      </c>
      <c r="N2502" s="2" t="str">
        <f aca="false">_xlfn.IFS(B2502&lt;30,"Under 30",B2502&lt;40,"30-39",B2502&lt;50,"40-49",B2502&lt;60,"50-59",TRUE(),"60+")</f>
        <v>30-39</v>
      </c>
      <c r="O2502" s="2" t="str">
        <f aca="false">_xlfn.IFS(G2502&lt;0,"1 Negative",G2502=0,"2 Zero",G2502&lt;=500,"3 1-500",G2502&lt;=2000,"4 501-2000",TRUE(),"5 Above 2000")</f>
        <v>4 501-2000</v>
      </c>
      <c r="P2502" s="2" t="n">
        <f aca="false">Lookups!$B$2*M2502+Lookups!$B$3*L2502</f>
        <v>0</v>
      </c>
      <c r="Q2502" s="2" t="str">
        <f aca="false">INDEX(Lookups!$E$2:$E$5,MATCH(P2502,Lookups!$D$2:$D$5,0))</f>
        <v>Low</v>
      </c>
    </row>
    <row r="2503" customFormat="false" ht="15" hidden="false" customHeight="false" outlineLevel="0" collapsed="false">
      <c r="A2503" s="3" t="n">
        <v>2502</v>
      </c>
      <c r="B2503" s="3" t="n">
        <f aca="false">Raw_Data!A2503</f>
        <v>59</v>
      </c>
      <c r="C2503" s="3" t="str">
        <f aca="false">SUBSTITUTE(Raw_Data!B2503,".","")</f>
        <v>retired</v>
      </c>
      <c r="D2503" s="3" t="str">
        <f aca="false">Raw_Data!C2503</f>
        <v>married</v>
      </c>
      <c r="E2503" s="3" t="str">
        <f aca="false">Raw_Data!D2503</f>
        <v>secondary</v>
      </c>
      <c r="F2503" s="3" t="str">
        <f aca="false">Raw_Data!E2503</f>
        <v>no</v>
      </c>
      <c r="G2503" s="3" t="n">
        <f aca="false">Raw_Data!F2503</f>
        <v>9976</v>
      </c>
      <c r="H2503" s="3" t="str">
        <f aca="false">Raw_Data!G2503</f>
        <v>yes</v>
      </c>
      <c r="I2503" s="3" t="str">
        <f aca="false">Raw_Data!H2503</f>
        <v>no</v>
      </c>
      <c r="J2503" s="2" t="n">
        <f aca="false">IF(F2503="yes",1,0)</f>
        <v>0</v>
      </c>
      <c r="K2503" s="2" t="n">
        <f aca="false">IF(H2503="yes",1,0)</f>
        <v>1</v>
      </c>
      <c r="L2503" s="2" t="n">
        <f aca="false">IF(I2503="yes",1,0)</f>
        <v>0</v>
      </c>
      <c r="M2503" s="2" t="n">
        <f aca="false">IF(G2503&lt;0,1,0)</f>
        <v>0</v>
      </c>
      <c r="N2503" s="2" t="str">
        <f aca="false">_xlfn.IFS(B2503&lt;30,"Under 30",B2503&lt;40,"30-39",B2503&lt;50,"40-49",B2503&lt;60,"50-59",TRUE(),"60+")</f>
        <v>50-59</v>
      </c>
      <c r="O2503" s="2" t="str">
        <f aca="false">_xlfn.IFS(G2503&lt;0,"1 Negative",G2503=0,"2 Zero",G2503&lt;=500,"3 1-500",G2503&lt;=2000,"4 501-2000",TRUE(),"5 Above 2000")</f>
        <v>5 Above 2000</v>
      </c>
      <c r="P2503" s="2" t="n">
        <f aca="false">Lookups!$B$2*M2503+Lookups!$B$3*L2503</f>
        <v>0</v>
      </c>
      <c r="Q2503" s="2" t="str">
        <f aca="false">INDEX(Lookups!$E$2:$E$5,MATCH(P2503,Lookups!$D$2:$D$5,0))</f>
        <v>Low</v>
      </c>
    </row>
    <row r="2504" customFormat="false" ht="15" hidden="false" customHeight="false" outlineLevel="0" collapsed="false">
      <c r="A2504" s="3" t="n">
        <v>2503</v>
      </c>
      <c r="B2504" s="3" t="n">
        <f aca="false">Raw_Data!A2504</f>
        <v>32</v>
      </c>
      <c r="C2504" s="3" t="str">
        <f aca="false">SUBSTITUTE(Raw_Data!B2504,".","")</f>
        <v>admin</v>
      </c>
      <c r="D2504" s="3" t="str">
        <f aca="false">Raw_Data!C2504</f>
        <v>married</v>
      </c>
      <c r="E2504" s="3" t="str">
        <f aca="false">Raw_Data!D2504</f>
        <v>secondary</v>
      </c>
      <c r="F2504" s="3" t="str">
        <f aca="false">Raw_Data!E2504</f>
        <v>no</v>
      </c>
      <c r="G2504" s="3" t="n">
        <f aca="false">Raw_Data!F2504</f>
        <v>0</v>
      </c>
      <c r="H2504" s="3" t="str">
        <f aca="false">Raw_Data!G2504</f>
        <v>no</v>
      </c>
      <c r="I2504" s="3" t="str">
        <f aca="false">Raw_Data!H2504</f>
        <v>no</v>
      </c>
      <c r="J2504" s="2" t="n">
        <f aca="false">IF(F2504="yes",1,0)</f>
        <v>0</v>
      </c>
      <c r="K2504" s="2" t="n">
        <f aca="false">IF(H2504="yes",1,0)</f>
        <v>0</v>
      </c>
      <c r="L2504" s="2" t="n">
        <f aca="false">IF(I2504="yes",1,0)</f>
        <v>0</v>
      </c>
      <c r="M2504" s="2" t="n">
        <f aca="false">IF(G2504&lt;0,1,0)</f>
        <v>0</v>
      </c>
      <c r="N2504" s="2" t="str">
        <f aca="false">_xlfn.IFS(B2504&lt;30,"Under 30",B2504&lt;40,"30-39",B2504&lt;50,"40-49",B2504&lt;60,"50-59",TRUE(),"60+")</f>
        <v>30-39</v>
      </c>
      <c r="O2504" s="2" t="str">
        <f aca="false">_xlfn.IFS(G2504&lt;0,"1 Negative",G2504=0,"2 Zero",G2504&lt;=500,"3 1-500",G2504&lt;=2000,"4 501-2000",TRUE(),"5 Above 2000")</f>
        <v>2 Zero</v>
      </c>
      <c r="P2504" s="2" t="n">
        <f aca="false">Lookups!$B$2*M2504+Lookups!$B$3*L2504</f>
        <v>0</v>
      </c>
      <c r="Q2504" s="2" t="str">
        <f aca="false">INDEX(Lookups!$E$2:$E$5,MATCH(P2504,Lookups!$D$2:$D$5,0))</f>
        <v>Low</v>
      </c>
    </row>
    <row r="2505" customFormat="false" ht="15" hidden="false" customHeight="false" outlineLevel="0" collapsed="false">
      <c r="A2505" s="3" t="n">
        <v>2504</v>
      </c>
      <c r="B2505" s="3" t="n">
        <f aca="false">Raw_Data!A2505</f>
        <v>55</v>
      </c>
      <c r="C2505" s="3" t="str">
        <f aca="false">SUBSTITUTE(Raw_Data!B2505,".","")</f>
        <v>management</v>
      </c>
      <c r="D2505" s="3" t="str">
        <f aca="false">Raw_Data!C2505</f>
        <v>married</v>
      </c>
      <c r="E2505" s="3" t="str">
        <f aca="false">Raw_Data!D2505</f>
        <v>tertiary</v>
      </c>
      <c r="F2505" s="3" t="str">
        <f aca="false">Raw_Data!E2505</f>
        <v>no</v>
      </c>
      <c r="G2505" s="3" t="n">
        <f aca="false">Raw_Data!F2505</f>
        <v>540</v>
      </c>
      <c r="H2505" s="3" t="str">
        <f aca="false">Raw_Data!G2505</f>
        <v>no</v>
      </c>
      <c r="I2505" s="3" t="str">
        <f aca="false">Raw_Data!H2505</f>
        <v>no</v>
      </c>
      <c r="J2505" s="2" t="n">
        <f aca="false">IF(F2505="yes",1,0)</f>
        <v>0</v>
      </c>
      <c r="K2505" s="2" t="n">
        <f aca="false">IF(H2505="yes",1,0)</f>
        <v>0</v>
      </c>
      <c r="L2505" s="2" t="n">
        <f aca="false">IF(I2505="yes",1,0)</f>
        <v>0</v>
      </c>
      <c r="M2505" s="2" t="n">
        <f aca="false">IF(G2505&lt;0,1,0)</f>
        <v>0</v>
      </c>
      <c r="N2505" s="2" t="str">
        <f aca="false">_xlfn.IFS(B2505&lt;30,"Under 30",B2505&lt;40,"30-39",B2505&lt;50,"40-49",B2505&lt;60,"50-59",TRUE(),"60+")</f>
        <v>50-59</v>
      </c>
      <c r="O2505" s="2" t="str">
        <f aca="false">_xlfn.IFS(G2505&lt;0,"1 Negative",G2505=0,"2 Zero",G2505&lt;=500,"3 1-500",G2505&lt;=2000,"4 501-2000",TRUE(),"5 Above 2000")</f>
        <v>4 501-2000</v>
      </c>
      <c r="P2505" s="2" t="n">
        <f aca="false">Lookups!$B$2*M2505+Lookups!$B$3*L2505</f>
        <v>0</v>
      </c>
      <c r="Q2505" s="2" t="str">
        <f aca="false">INDEX(Lookups!$E$2:$E$5,MATCH(P2505,Lookups!$D$2:$D$5,0))</f>
        <v>Low</v>
      </c>
    </row>
    <row r="2506" customFormat="false" ht="15" hidden="false" customHeight="false" outlineLevel="0" collapsed="false">
      <c r="A2506" s="3" t="n">
        <v>2505</v>
      </c>
      <c r="B2506" s="3" t="n">
        <f aca="false">Raw_Data!A2506</f>
        <v>35</v>
      </c>
      <c r="C2506" s="3" t="str">
        <f aca="false">SUBSTITUTE(Raw_Data!B2506,".","")</f>
        <v>blue-collar</v>
      </c>
      <c r="D2506" s="3" t="str">
        <f aca="false">Raw_Data!C2506</f>
        <v>married</v>
      </c>
      <c r="E2506" s="3" t="str">
        <f aca="false">Raw_Data!D2506</f>
        <v>secondary</v>
      </c>
      <c r="F2506" s="3" t="str">
        <f aca="false">Raw_Data!E2506</f>
        <v>no</v>
      </c>
      <c r="G2506" s="3" t="n">
        <f aca="false">Raw_Data!F2506</f>
        <v>280</v>
      </c>
      <c r="H2506" s="3" t="str">
        <f aca="false">Raw_Data!G2506</f>
        <v>yes</v>
      </c>
      <c r="I2506" s="3" t="str">
        <f aca="false">Raw_Data!H2506</f>
        <v>yes</v>
      </c>
      <c r="J2506" s="2" t="n">
        <f aca="false">IF(F2506="yes",1,0)</f>
        <v>0</v>
      </c>
      <c r="K2506" s="2" t="n">
        <f aca="false">IF(H2506="yes",1,0)</f>
        <v>1</v>
      </c>
      <c r="L2506" s="2" t="n">
        <f aca="false">IF(I2506="yes",1,0)</f>
        <v>1</v>
      </c>
      <c r="M2506" s="2" t="n">
        <f aca="false">IF(G2506&lt;0,1,0)</f>
        <v>0</v>
      </c>
      <c r="N2506" s="2" t="str">
        <f aca="false">_xlfn.IFS(B2506&lt;30,"Under 30",B2506&lt;40,"30-39",B2506&lt;50,"40-49",B2506&lt;60,"50-59",TRUE(),"60+")</f>
        <v>30-39</v>
      </c>
      <c r="O2506" s="2" t="str">
        <f aca="false">_xlfn.IFS(G2506&lt;0,"1 Negative",G2506=0,"2 Zero",G2506&lt;=500,"3 1-500",G2506&lt;=2000,"4 501-2000",TRUE(),"5 Above 2000")</f>
        <v>3 1-500</v>
      </c>
      <c r="P2506" s="2" t="n">
        <f aca="false">Lookups!$B$2*M2506+Lookups!$B$3*L2506</f>
        <v>1</v>
      </c>
      <c r="Q2506" s="2" t="str">
        <f aca="false">INDEX(Lookups!$E$2:$E$5,MATCH(P2506,Lookups!$D$2:$D$5,0))</f>
        <v>Medium</v>
      </c>
    </row>
    <row r="2507" customFormat="false" ht="15" hidden="false" customHeight="false" outlineLevel="0" collapsed="false">
      <c r="A2507" s="3" t="n">
        <v>2506</v>
      </c>
      <c r="B2507" s="3" t="n">
        <f aca="false">Raw_Data!A2507</f>
        <v>56</v>
      </c>
      <c r="C2507" s="3" t="str">
        <f aca="false">SUBSTITUTE(Raw_Data!B2507,".","")</f>
        <v>management</v>
      </c>
      <c r="D2507" s="3" t="str">
        <f aca="false">Raw_Data!C2507</f>
        <v>divorced</v>
      </c>
      <c r="E2507" s="3" t="str">
        <f aca="false">Raw_Data!D2507</f>
        <v>tertiary</v>
      </c>
      <c r="F2507" s="3" t="str">
        <f aca="false">Raw_Data!E2507</f>
        <v>no</v>
      </c>
      <c r="G2507" s="3" t="n">
        <f aca="false">Raw_Data!F2507</f>
        <v>-59</v>
      </c>
      <c r="H2507" s="3" t="str">
        <f aca="false">Raw_Data!G2507</f>
        <v>no</v>
      </c>
      <c r="I2507" s="3" t="str">
        <f aca="false">Raw_Data!H2507</f>
        <v>yes</v>
      </c>
      <c r="J2507" s="2" t="n">
        <f aca="false">IF(F2507="yes",1,0)</f>
        <v>0</v>
      </c>
      <c r="K2507" s="2" t="n">
        <f aca="false">IF(H2507="yes",1,0)</f>
        <v>0</v>
      </c>
      <c r="L2507" s="2" t="n">
        <f aca="false">IF(I2507="yes",1,0)</f>
        <v>1</v>
      </c>
      <c r="M2507" s="2" t="n">
        <f aca="false">IF(G2507&lt;0,1,0)</f>
        <v>1</v>
      </c>
      <c r="N2507" s="2" t="str">
        <f aca="false">_xlfn.IFS(B2507&lt;30,"Under 30",B2507&lt;40,"30-39",B2507&lt;50,"40-49",B2507&lt;60,"50-59",TRUE(),"60+")</f>
        <v>50-59</v>
      </c>
      <c r="O2507" s="2" t="str">
        <f aca="false">_xlfn.IFS(G2507&lt;0,"1 Negative",G2507=0,"2 Zero",G2507&lt;=500,"3 1-500",G2507&lt;=2000,"4 501-2000",TRUE(),"5 Above 2000")</f>
        <v>1 Negative</v>
      </c>
      <c r="P2507" s="2" t="n">
        <f aca="false">Lookups!$B$2*M2507+Lookups!$B$3*L2507</f>
        <v>3</v>
      </c>
      <c r="Q2507" s="2" t="str">
        <f aca="false">INDEX(Lookups!$E$2:$E$5,MATCH(P2507,Lookups!$D$2:$D$5,0))</f>
        <v>High</v>
      </c>
    </row>
    <row r="2508" customFormat="false" ht="15" hidden="false" customHeight="false" outlineLevel="0" collapsed="false">
      <c r="A2508" s="3" t="n">
        <v>2507</v>
      </c>
      <c r="B2508" s="3" t="n">
        <f aca="false">Raw_Data!A2508</f>
        <v>27</v>
      </c>
      <c r="C2508" s="3" t="str">
        <f aca="false">SUBSTITUTE(Raw_Data!B2508,".","")</f>
        <v>admin</v>
      </c>
      <c r="D2508" s="3" t="str">
        <f aca="false">Raw_Data!C2508</f>
        <v>married</v>
      </c>
      <c r="E2508" s="3" t="str">
        <f aca="false">Raw_Data!D2508</f>
        <v>secondary</v>
      </c>
      <c r="F2508" s="3" t="str">
        <f aca="false">Raw_Data!E2508</f>
        <v>yes</v>
      </c>
      <c r="G2508" s="3" t="n">
        <f aca="false">Raw_Data!F2508</f>
        <v>-517</v>
      </c>
      <c r="H2508" s="3" t="str">
        <f aca="false">Raw_Data!G2508</f>
        <v>yes</v>
      </c>
      <c r="I2508" s="3" t="str">
        <f aca="false">Raw_Data!H2508</f>
        <v>no</v>
      </c>
      <c r="J2508" s="2" t="n">
        <f aca="false">IF(F2508="yes",1,0)</f>
        <v>1</v>
      </c>
      <c r="K2508" s="2" t="n">
        <f aca="false">IF(H2508="yes",1,0)</f>
        <v>1</v>
      </c>
      <c r="L2508" s="2" t="n">
        <f aca="false">IF(I2508="yes",1,0)</f>
        <v>0</v>
      </c>
      <c r="M2508" s="2" t="n">
        <f aca="false">IF(G2508&lt;0,1,0)</f>
        <v>1</v>
      </c>
      <c r="N2508" s="2" t="str">
        <f aca="false">_xlfn.IFS(B2508&lt;30,"Under 30",B2508&lt;40,"30-39",B2508&lt;50,"40-49",B2508&lt;60,"50-59",TRUE(),"60+")</f>
        <v>Under 30</v>
      </c>
      <c r="O2508" s="2" t="str">
        <f aca="false">_xlfn.IFS(G2508&lt;0,"1 Negative",G2508=0,"2 Zero",G2508&lt;=500,"3 1-500",G2508&lt;=2000,"4 501-2000",TRUE(),"5 Above 2000")</f>
        <v>1 Negative</v>
      </c>
      <c r="P2508" s="2" t="n">
        <f aca="false">Lookups!$B$2*M2508+Lookups!$B$3*L2508</f>
        <v>2</v>
      </c>
      <c r="Q2508" s="2" t="str">
        <f aca="false">INDEX(Lookups!$E$2:$E$5,MATCH(P2508,Lookups!$D$2:$D$5,0))</f>
        <v>High</v>
      </c>
    </row>
    <row r="2509" customFormat="false" ht="15" hidden="false" customHeight="false" outlineLevel="0" collapsed="false">
      <c r="A2509" s="3" t="n">
        <v>2508</v>
      </c>
      <c r="B2509" s="3" t="n">
        <f aca="false">Raw_Data!A2509</f>
        <v>42</v>
      </c>
      <c r="C2509" s="3" t="str">
        <f aca="false">SUBSTITUTE(Raw_Data!B2509,".","")</f>
        <v>unemployed</v>
      </c>
      <c r="D2509" s="3" t="str">
        <f aca="false">Raw_Data!C2509</f>
        <v>single</v>
      </c>
      <c r="E2509" s="3" t="str">
        <f aca="false">Raw_Data!D2509</f>
        <v>secondary</v>
      </c>
      <c r="F2509" s="3" t="str">
        <f aca="false">Raw_Data!E2509</f>
        <v>no</v>
      </c>
      <c r="G2509" s="3" t="n">
        <f aca="false">Raw_Data!F2509</f>
        <v>2613</v>
      </c>
      <c r="H2509" s="3" t="str">
        <f aca="false">Raw_Data!G2509</f>
        <v>yes</v>
      </c>
      <c r="I2509" s="3" t="str">
        <f aca="false">Raw_Data!H2509</f>
        <v>no</v>
      </c>
      <c r="J2509" s="2" t="n">
        <f aca="false">IF(F2509="yes",1,0)</f>
        <v>0</v>
      </c>
      <c r="K2509" s="2" t="n">
        <f aca="false">IF(H2509="yes",1,0)</f>
        <v>1</v>
      </c>
      <c r="L2509" s="2" t="n">
        <f aca="false">IF(I2509="yes",1,0)</f>
        <v>0</v>
      </c>
      <c r="M2509" s="2" t="n">
        <f aca="false">IF(G2509&lt;0,1,0)</f>
        <v>0</v>
      </c>
      <c r="N2509" s="2" t="str">
        <f aca="false">_xlfn.IFS(B2509&lt;30,"Under 30",B2509&lt;40,"30-39",B2509&lt;50,"40-49",B2509&lt;60,"50-59",TRUE(),"60+")</f>
        <v>40-49</v>
      </c>
      <c r="O2509" s="2" t="str">
        <f aca="false">_xlfn.IFS(G2509&lt;0,"1 Negative",G2509=0,"2 Zero",G2509&lt;=500,"3 1-500",G2509&lt;=2000,"4 501-2000",TRUE(),"5 Above 2000")</f>
        <v>5 Above 2000</v>
      </c>
      <c r="P2509" s="2" t="n">
        <f aca="false">Lookups!$B$2*M2509+Lookups!$B$3*L2509</f>
        <v>0</v>
      </c>
      <c r="Q2509" s="2" t="str">
        <f aca="false">INDEX(Lookups!$E$2:$E$5,MATCH(P2509,Lookups!$D$2:$D$5,0))</f>
        <v>Low</v>
      </c>
    </row>
    <row r="2510" customFormat="false" ht="15" hidden="false" customHeight="false" outlineLevel="0" collapsed="false">
      <c r="A2510" s="3" t="n">
        <v>2509</v>
      </c>
      <c r="B2510" s="3" t="n">
        <f aca="false">Raw_Data!A2510</f>
        <v>42</v>
      </c>
      <c r="C2510" s="3" t="str">
        <f aca="false">SUBSTITUTE(Raw_Data!B2510,".","")</f>
        <v>student</v>
      </c>
      <c r="D2510" s="3" t="str">
        <f aca="false">Raw_Data!C2510</f>
        <v>married</v>
      </c>
      <c r="E2510" s="3" t="str">
        <f aca="false">Raw_Data!D2510</f>
        <v>unknown</v>
      </c>
      <c r="F2510" s="3" t="str">
        <f aca="false">Raw_Data!E2510</f>
        <v>no</v>
      </c>
      <c r="G2510" s="3" t="n">
        <f aca="false">Raw_Data!F2510</f>
        <v>-7</v>
      </c>
      <c r="H2510" s="3" t="str">
        <f aca="false">Raw_Data!G2510</f>
        <v>no</v>
      </c>
      <c r="I2510" s="3" t="str">
        <f aca="false">Raw_Data!H2510</f>
        <v>no</v>
      </c>
      <c r="J2510" s="2" t="n">
        <f aca="false">IF(F2510="yes",1,0)</f>
        <v>0</v>
      </c>
      <c r="K2510" s="2" t="n">
        <f aca="false">IF(H2510="yes",1,0)</f>
        <v>0</v>
      </c>
      <c r="L2510" s="2" t="n">
        <f aca="false">IF(I2510="yes",1,0)</f>
        <v>0</v>
      </c>
      <c r="M2510" s="2" t="n">
        <f aca="false">IF(G2510&lt;0,1,0)</f>
        <v>1</v>
      </c>
      <c r="N2510" s="2" t="str">
        <f aca="false">_xlfn.IFS(B2510&lt;30,"Under 30",B2510&lt;40,"30-39",B2510&lt;50,"40-49",B2510&lt;60,"50-59",TRUE(),"60+")</f>
        <v>40-49</v>
      </c>
      <c r="O2510" s="2" t="str">
        <f aca="false">_xlfn.IFS(G2510&lt;0,"1 Negative",G2510=0,"2 Zero",G2510&lt;=500,"3 1-500",G2510&lt;=2000,"4 501-2000",TRUE(),"5 Above 2000")</f>
        <v>1 Negative</v>
      </c>
      <c r="P2510" s="2" t="n">
        <f aca="false">Lookups!$B$2*M2510+Lookups!$B$3*L2510</f>
        <v>2</v>
      </c>
      <c r="Q2510" s="2" t="str">
        <f aca="false">INDEX(Lookups!$E$2:$E$5,MATCH(P2510,Lookups!$D$2:$D$5,0))</f>
        <v>High</v>
      </c>
    </row>
    <row r="2511" customFormat="false" ht="15" hidden="false" customHeight="false" outlineLevel="0" collapsed="false">
      <c r="A2511" s="3" t="n">
        <v>2510</v>
      </c>
      <c r="B2511" s="3" t="n">
        <f aca="false">Raw_Data!A2511</f>
        <v>41</v>
      </c>
      <c r="C2511" s="3" t="str">
        <f aca="false">SUBSTITUTE(Raw_Data!B2511,".","")</f>
        <v>blue-collar</v>
      </c>
      <c r="D2511" s="3" t="str">
        <f aca="false">Raw_Data!C2511</f>
        <v>married</v>
      </c>
      <c r="E2511" s="3" t="str">
        <f aca="false">Raw_Data!D2511</f>
        <v>primary</v>
      </c>
      <c r="F2511" s="3" t="str">
        <f aca="false">Raw_Data!E2511</f>
        <v>no</v>
      </c>
      <c r="G2511" s="3" t="n">
        <f aca="false">Raw_Data!F2511</f>
        <v>0</v>
      </c>
      <c r="H2511" s="3" t="str">
        <f aca="false">Raw_Data!G2511</f>
        <v>yes</v>
      </c>
      <c r="I2511" s="3" t="str">
        <f aca="false">Raw_Data!H2511</f>
        <v>no</v>
      </c>
      <c r="J2511" s="2" t="n">
        <f aca="false">IF(F2511="yes",1,0)</f>
        <v>0</v>
      </c>
      <c r="K2511" s="2" t="n">
        <f aca="false">IF(H2511="yes",1,0)</f>
        <v>1</v>
      </c>
      <c r="L2511" s="2" t="n">
        <f aca="false">IF(I2511="yes",1,0)</f>
        <v>0</v>
      </c>
      <c r="M2511" s="2" t="n">
        <f aca="false">IF(G2511&lt;0,1,0)</f>
        <v>0</v>
      </c>
      <c r="N2511" s="2" t="str">
        <f aca="false">_xlfn.IFS(B2511&lt;30,"Under 30",B2511&lt;40,"30-39",B2511&lt;50,"40-49",B2511&lt;60,"50-59",TRUE(),"60+")</f>
        <v>40-49</v>
      </c>
      <c r="O2511" s="2" t="str">
        <f aca="false">_xlfn.IFS(G2511&lt;0,"1 Negative",G2511=0,"2 Zero",G2511&lt;=500,"3 1-500",G2511&lt;=2000,"4 501-2000",TRUE(),"5 Above 2000")</f>
        <v>2 Zero</v>
      </c>
      <c r="P2511" s="2" t="n">
        <f aca="false">Lookups!$B$2*M2511+Lookups!$B$3*L2511</f>
        <v>0</v>
      </c>
      <c r="Q2511" s="2" t="str">
        <f aca="false">INDEX(Lookups!$E$2:$E$5,MATCH(P2511,Lookups!$D$2:$D$5,0))</f>
        <v>Low</v>
      </c>
    </row>
    <row r="2512" customFormat="false" ht="15" hidden="false" customHeight="false" outlineLevel="0" collapsed="false">
      <c r="A2512" s="3" t="n">
        <v>2511</v>
      </c>
      <c r="B2512" s="3" t="n">
        <f aca="false">Raw_Data!A2512</f>
        <v>53</v>
      </c>
      <c r="C2512" s="3" t="str">
        <f aca="false">SUBSTITUTE(Raw_Data!B2512,".","")</f>
        <v>retired</v>
      </c>
      <c r="D2512" s="3" t="str">
        <f aca="false">Raw_Data!C2512</f>
        <v>divorced</v>
      </c>
      <c r="E2512" s="3" t="str">
        <f aca="false">Raw_Data!D2512</f>
        <v>secondary</v>
      </c>
      <c r="F2512" s="3" t="str">
        <f aca="false">Raw_Data!E2512</f>
        <v>yes</v>
      </c>
      <c r="G2512" s="3" t="n">
        <f aca="false">Raw_Data!F2512</f>
        <v>-200</v>
      </c>
      <c r="H2512" s="3" t="str">
        <f aca="false">Raw_Data!G2512</f>
        <v>no</v>
      </c>
      <c r="I2512" s="3" t="str">
        <f aca="false">Raw_Data!H2512</f>
        <v>yes</v>
      </c>
      <c r="J2512" s="2" t="n">
        <f aca="false">IF(F2512="yes",1,0)</f>
        <v>1</v>
      </c>
      <c r="K2512" s="2" t="n">
        <f aca="false">IF(H2512="yes",1,0)</f>
        <v>0</v>
      </c>
      <c r="L2512" s="2" t="n">
        <f aca="false">IF(I2512="yes",1,0)</f>
        <v>1</v>
      </c>
      <c r="M2512" s="2" t="n">
        <f aca="false">IF(G2512&lt;0,1,0)</f>
        <v>1</v>
      </c>
      <c r="N2512" s="2" t="str">
        <f aca="false">_xlfn.IFS(B2512&lt;30,"Under 30",B2512&lt;40,"30-39",B2512&lt;50,"40-49",B2512&lt;60,"50-59",TRUE(),"60+")</f>
        <v>50-59</v>
      </c>
      <c r="O2512" s="2" t="str">
        <f aca="false">_xlfn.IFS(G2512&lt;0,"1 Negative",G2512=0,"2 Zero",G2512&lt;=500,"3 1-500",G2512&lt;=2000,"4 501-2000",TRUE(),"5 Above 2000")</f>
        <v>1 Negative</v>
      </c>
      <c r="P2512" s="2" t="n">
        <f aca="false">Lookups!$B$2*M2512+Lookups!$B$3*L2512</f>
        <v>3</v>
      </c>
      <c r="Q2512" s="2" t="str">
        <f aca="false">INDEX(Lookups!$E$2:$E$5,MATCH(P2512,Lookups!$D$2:$D$5,0))</f>
        <v>High</v>
      </c>
    </row>
    <row r="2513" customFormat="false" ht="15" hidden="false" customHeight="false" outlineLevel="0" collapsed="false">
      <c r="A2513" s="3" t="n">
        <v>2512</v>
      </c>
      <c r="B2513" s="3" t="n">
        <f aca="false">Raw_Data!A2513</f>
        <v>67</v>
      </c>
      <c r="C2513" s="3" t="str">
        <f aca="false">SUBSTITUTE(Raw_Data!B2513,".","")</f>
        <v>retired</v>
      </c>
      <c r="D2513" s="3" t="str">
        <f aca="false">Raw_Data!C2513</f>
        <v>married</v>
      </c>
      <c r="E2513" s="3" t="str">
        <f aca="false">Raw_Data!D2513</f>
        <v>primary</v>
      </c>
      <c r="F2513" s="3" t="str">
        <f aca="false">Raw_Data!E2513</f>
        <v>no</v>
      </c>
      <c r="G2513" s="3" t="n">
        <f aca="false">Raw_Data!F2513</f>
        <v>2301</v>
      </c>
      <c r="H2513" s="3" t="str">
        <f aca="false">Raw_Data!G2513</f>
        <v>no</v>
      </c>
      <c r="I2513" s="3" t="str">
        <f aca="false">Raw_Data!H2513</f>
        <v>no</v>
      </c>
      <c r="J2513" s="2" t="n">
        <f aca="false">IF(F2513="yes",1,0)</f>
        <v>0</v>
      </c>
      <c r="K2513" s="2" t="n">
        <f aca="false">IF(H2513="yes",1,0)</f>
        <v>0</v>
      </c>
      <c r="L2513" s="2" t="n">
        <f aca="false">IF(I2513="yes",1,0)</f>
        <v>0</v>
      </c>
      <c r="M2513" s="2" t="n">
        <f aca="false">IF(G2513&lt;0,1,0)</f>
        <v>0</v>
      </c>
      <c r="N2513" s="2" t="str">
        <f aca="false">_xlfn.IFS(B2513&lt;30,"Under 30",B2513&lt;40,"30-39",B2513&lt;50,"40-49",B2513&lt;60,"50-59",TRUE(),"60+")</f>
        <v>60+</v>
      </c>
      <c r="O2513" s="2" t="str">
        <f aca="false">_xlfn.IFS(G2513&lt;0,"1 Negative",G2513=0,"2 Zero",G2513&lt;=500,"3 1-500",G2513&lt;=2000,"4 501-2000",TRUE(),"5 Above 2000")</f>
        <v>5 Above 2000</v>
      </c>
      <c r="P2513" s="2" t="n">
        <f aca="false">Lookups!$B$2*M2513+Lookups!$B$3*L2513</f>
        <v>0</v>
      </c>
      <c r="Q2513" s="2" t="str">
        <f aca="false">INDEX(Lookups!$E$2:$E$5,MATCH(P2513,Lookups!$D$2:$D$5,0))</f>
        <v>Low</v>
      </c>
    </row>
    <row r="2514" customFormat="false" ht="15" hidden="false" customHeight="false" outlineLevel="0" collapsed="false">
      <c r="A2514" s="3" t="n">
        <v>2513</v>
      </c>
      <c r="B2514" s="3" t="n">
        <f aca="false">Raw_Data!A2514</f>
        <v>53</v>
      </c>
      <c r="C2514" s="3" t="str">
        <f aca="false">SUBSTITUTE(Raw_Data!B2514,".","")</f>
        <v>housemaid</v>
      </c>
      <c r="D2514" s="3" t="str">
        <f aca="false">Raw_Data!C2514</f>
        <v>married</v>
      </c>
      <c r="E2514" s="3" t="str">
        <f aca="false">Raw_Data!D2514</f>
        <v>primary</v>
      </c>
      <c r="F2514" s="3" t="str">
        <f aca="false">Raw_Data!E2514</f>
        <v>no</v>
      </c>
      <c r="G2514" s="3" t="n">
        <f aca="false">Raw_Data!F2514</f>
        <v>104</v>
      </c>
      <c r="H2514" s="3" t="str">
        <f aca="false">Raw_Data!G2514</f>
        <v>no</v>
      </c>
      <c r="I2514" s="3" t="str">
        <f aca="false">Raw_Data!H2514</f>
        <v>yes</v>
      </c>
      <c r="J2514" s="2" t="n">
        <f aca="false">IF(F2514="yes",1,0)</f>
        <v>0</v>
      </c>
      <c r="K2514" s="2" t="n">
        <f aca="false">IF(H2514="yes",1,0)</f>
        <v>0</v>
      </c>
      <c r="L2514" s="2" t="n">
        <f aca="false">IF(I2514="yes",1,0)</f>
        <v>1</v>
      </c>
      <c r="M2514" s="2" t="n">
        <f aca="false">IF(G2514&lt;0,1,0)</f>
        <v>0</v>
      </c>
      <c r="N2514" s="2" t="str">
        <f aca="false">_xlfn.IFS(B2514&lt;30,"Under 30",B2514&lt;40,"30-39",B2514&lt;50,"40-49",B2514&lt;60,"50-59",TRUE(),"60+")</f>
        <v>50-59</v>
      </c>
      <c r="O2514" s="2" t="str">
        <f aca="false">_xlfn.IFS(G2514&lt;0,"1 Negative",G2514=0,"2 Zero",G2514&lt;=500,"3 1-500",G2514&lt;=2000,"4 501-2000",TRUE(),"5 Above 2000")</f>
        <v>3 1-500</v>
      </c>
      <c r="P2514" s="2" t="n">
        <f aca="false">Lookups!$B$2*M2514+Lookups!$B$3*L2514</f>
        <v>1</v>
      </c>
      <c r="Q2514" s="2" t="str">
        <f aca="false">INDEX(Lookups!$E$2:$E$5,MATCH(P2514,Lookups!$D$2:$D$5,0))</f>
        <v>Medium</v>
      </c>
    </row>
    <row r="2515" customFormat="false" ht="15" hidden="false" customHeight="false" outlineLevel="0" collapsed="false">
      <c r="A2515" s="3" t="n">
        <v>2514</v>
      </c>
      <c r="B2515" s="3" t="n">
        <f aca="false">Raw_Data!A2515</f>
        <v>33</v>
      </c>
      <c r="C2515" s="3" t="str">
        <f aca="false">SUBSTITUTE(Raw_Data!B2515,".","")</f>
        <v>blue-collar</v>
      </c>
      <c r="D2515" s="3" t="str">
        <f aca="false">Raw_Data!C2515</f>
        <v>married</v>
      </c>
      <c r="E2515" s="3" t="str">
        <f aca="false">Raw_Data!D2515</f>
        <v>primary</v>
      </c>
      <c r="F2515" s="3" t="str">
        <f aca="false">Raw_Data!E2515</f>
        <v>no</v>
      </c>
      <c r="G2515" s="3" t="n">
        <f aca="false">Raw_Data!F2515</f>
        <v>191</v>
      </c>
      <c r="H2515" s="3" t="str">
        <f aca="false">Raw_Data!G2515</f>
        <v>yes</v>
      </c>
      <c r="I2515" s="3" t="str">
        <f aca="false">Raw_Data!H2515</f>
        <v>no</v>
      </c>
      <c r="J2515" s="2" t="n">
        <f aca="false">IF(F2515="yes",1,0)</f>
        <v>0</v>
      </c>
      <c r="K2515" s="2" t="n">
        <f aca="false">IF(H2515="yes",1,0)</f>
        <v>1</v>
      </c>
      <c r="L2515" s="2" t="n">
        <f aca="false">IF(I2515="yes",1,0)</f>
        <v>0</v>
      </c>
      <c r="M2515" s="2" t="n">
        <f aca="false">IF(G2515&lt;0,1,0)</f>
        <v>0</v>
      </c>
      <c r="N2515" s="2" t="str">
        <f aca="false">_xlfn.IFS(B2515&lt;30,"Under 30",B2515&lt;40,"30-39",B2515&lt;50,"40-49",B2515&lt;60,"50-59",TRUE(),"60+")</f>
        <v>30-39</v>
      </c>
      <c r="O2515" s="2" t="str">
        <f aca="false">_xlfn.IFS(G2515&lt;0,"1 Negative",G2515=0,"2 Zero",G2515&lt;=500,"3 1-500",G2515&lt;=2000,"4 501-2000",TRUE(),"5 Above 2000")</f>
        <v>3 1-500</v>
      </c>
      <c r="P2515" s="2" t="n">
        <f aca="false">Lookups!$B$2*M2515+Lookups!$B$3*L2515</f>
        <v>0</v>
      </c>
      <c r="Q2515" s="2" t="str">
        <f aca="false">INDEX(Lookups!$E$2:$E$5,MATCH(P2515,Lookups!$D$2:$D$5,0))</f>
        <v>Low</v>
      </c>
    </row>
    <row r="2516" customFormat="false" ht="15" hidden="false" customHeight="false" outlineLevel="0" collapsed="false">
      <c r="A2516" s="3" t="n">
        <v>2515</v>
      </c>
      <c r="B2516" s="3" t="n">
        <f aca="false">Raw_Data!A2516</f>
        <v>31</v>
      </c>
      <c r="C2516" s="3" t="str">
        <f aca="false">SUBSTITUTE(Raw_Data!B2516,".","")</f>
        <v>technician</v>
      </c>
      <c r="D2516" s="3" t="str">
        <f aca="false">Raw_Data!C2516</f>
        <v>single</v>
      </c>
      <c r="E2516" s="3" t="str">
        <f aca="false">Raw_Data!D2516</f>
        <v>unknown</v>
      </c>
      <c r="F2516" s="3" t="str">
        <f aca="false">Raw_Data!E2516</f>
        <v>no</v>
      </c>
      <c r="G2516" s="3" t="n">
        <f aca="false">Raw_Data!F2516</f>
        <v>694</v>
      </c>
      <c r="H2516" s="3" t="str">
        <f aca="false">Raw_Data!G2516</f>
        <v>yes</v>
      </c>
      <c r="I2516" s="3" t="str">
        <f aca="false">Raw_Data!H2516</f>
        <v>no</v>
      </c>
      <c r="J2516" s="2" t="n">
        <f aca="false">IF(F2516="yes",1,0)</f>
        <v>0</v>
      </c>
      <c r="K2516" s="2" t="n">
        <f aca="false">IF(H2516="yes",1,0)</f>
        <v>1</v>
      </c>
      <c r="L2516" s="2" t="n">
        <f aca="false">IF(I2516="yes",1,0)</f>
        <v>0</v>
      </c>
      <c r="M2516" s="2" t="n">
        <f aca="false">IF(G2516&lt;0,1,0)</f>
        <v>0</v>
      </c>
      <c r="N2516" s="2" t="str">
        <f aca="false">_xlfn.IFS(B2516&lt;30,"Under 30",B2516&lt;40,"30-39",B2516&lt;50,"40-49",B2516&lt;60,"50-59",TRUE(),"60+")</f>
        <v>30-39</v>
      </c>
      <c r="O2516" s="2" t="str">
        <f aca="false">_xlfn.IFS(G2516&lt;0,"1 Negative",G2516=0,"2 Zero",G2516&lt;=500,"3 1-500",G2516&lt;=2000,"4 501-2000",TRUE(),"5 Above 2000")</f>
        <v>4 501-2000</v>
      </c>
      <c r="P2516" s="2" t="n">
        <f aca="false">Lookups!$B$2*M2516+Lookups!$B$3*L2516</f>
        <v>0</v>
      </c>
      <c r="Q2516" s="2" t="str">
        <f aca="false">INDEX(Lookups!$E$2:$E$5,MATCH(P2516,Lookups!$D$2:$D$5,0))</f>
        <v>Low</v>
      </c>
    </row>
    <row r="2517" customFormat="false" ht="15" hidden="false" customHeight="false" outlineLevel="0" collapsed="false">
      <c r="A2517" s="3" t="n">
        <v>2516</v>
      </c>
      <c r="B2517" s="3" t="n">
        <f aca="false">Raw_Data!A2517</f>
        <v>31</v>
      </c>
      <c r="C2517" s="3" t="str">
        <f aca="false">SUBSTITUTE(Raw_Data!B2517,".","")</f>
        <v>admin</v>
      </c>
      <c r="D2517" s="3" t="str">
        <f aca="false">Raw_Data!C2517</f>
        <v>married</v>
      </c>
      <c r="E2517" s="3" t="str">
        <f aca="false">Raw_Data!D2517</f>
        <v>secondary</v>
      </c>
      <c r="F2517" s="3" t="str">
        <f aca="false">Raw_Data!E2517</f>
        <v>no</v>
      </c>
      <c r="G2517" s="3" t="n">
        <f aca="false">Raw_Data!F2517</f>
        <v>212</v>
      </c>
      <c r="H2517" s="3" t="str">
        <f aca="false">Raw_Data!G2517</f>
        <v>yes</v>
      </c>
      <c r="I2517" s="3" t="str">
        <f aca="false">Raw_Data!H2517</f>
        <v>no</v>
      </c>
      <c r="J2517" s="2" t="n">
        <f aca="false">IF(F2517="yes",1,0)</f>
        <v>0</v>
      </c>
      <c r="K2517" s="2" t="n">
        <f aca="false">IF(H2517="yes",1,0)</f>
        <v>1</v>
      </c>
      <c r="L2517" s="2" t="n">
        <f aca="false">IF(I2517="yes",1,0)</f>
        <v>0</v>
      </c>
      <c r="M2517" s="2" t="n">
        <f aca="false">IF(G2517&lt;0,1,0)</f>
        <v>0</v>
      </c>
      <c r="N2517" s="2" t="str">
        <f aca="false">_xlfn.IFS(B2517&lt;30,"Under 30",B2517&lt;40,"30-39",B2517&lt;50,"40-49",B2517&lt;60,"50-59",TRUE(),"60+")</f>
        <v>30-39</v>
      </c>
      <c r="O2517" s="2" t="str">
        <f aca="false">_xlfn.IFS(G2517&lt;0,"1 Negative",G2517=0,"2 Zero",G2517&lt;=500,"3 1-500",G2517&lt;=2000,"4 501-2000",TRUE(),"5 Above 2000")</f>
        <v>3 1-500</v>
      </c>
      <c r="P2517" s="2" t="n">
        <f aca="false">Lookups!$B$2*M2517+Lookups!$B$3*L2517</f>
        <v>0</v>
      </c>
      <c r="Q2517" s="2" t="str">
        <f aca="false">INDEX(Lookups!$E$2:$E$5,MATCH(P2517,Lookups!$D$2:$D$5,0))</f>
        <v>Low</v>
      </c>
    </row>
    <row r="2518" customFormat="false" ht="15" hidden="false" customHeight="false" outlineLevel="0" collapsed="false">
      <c r="A2518" s="3" t="n">
        <v>2517</v>
      </c>
      <c r="B2518" s="3" t="n">
        <f aca="false">Raw_Data!A2518</f>
        <v>30</v>
      </c>
      <c r="C2518" s="3" t="str">
        <f aca="false">SUBSTITUTE(Raw_Data!B2518,".","")</f>
        <v>management</v>
      </c>
      <c r="D2518" s="3" t="str">
        <f aca="false">Raw_Data!C2518</f>
        <v>married</v>
      </c>
      <c r="E2518" s="3" t="str">
        <f aca="false">Raw_Data!D2518</f>
        <v>tertiary</v>
      </c>
      <c r="F2518" s="3" t="str">
        <f aca="false">Raw_Data!E2518</f>
        <v>no</v>
      </c>
      <c r="G2518" s="3" t="n">
        <f aca="false">Raw_Data!F2518</f>
        <v>1882</v>
      </c>
      <c r="H2518" s="3" t="str">
        <f aca="false">Raw_Data!G2518</f>
        <v>yes</v>
      </c>
      <c r="I2518" s="3" t="str">
        <f aca="false">Raw_Data!H2518</f>
        <v>no</v>
      </c>
      <c r="J2518" s="2" t="n">
        <f aca="false">IF(F2518="yes",1,0)</f>
        <v>0</v>
      </c>
      <c r="K2518" s="2" t="n">
        <f aca="false">IF(H2518="yes",1,0)</f>
        <v>1</v>
      </c>
      <c r="L2518" s="2" t="n">
        <f aca="false">IF(I2518="yes",1,0)</f>
        <v>0</v>
      </c>
      <c r="M2518" s="2" t="n">
        <f aca="false">IF(G2518&lt;0,1,0)</f>
        <v>0</v>
      </c>
      <c r="N2518" s="2" t="str">
        <f aca="false">_xlfn.IFS(B2518&lt;30,"Under 30",B2518&lt;40,"30-39",B2518&lt;50,"40-49",B2518&lt;60,"50-59",TRUE(),"60+")</f>
        <v>30-39</v>
      </c>
      <c r="O2518" s="2" t="str">
        <f aca="false">_xlfn.IFS(G2518&lt;0,"1 Negative",G2518=0,"2 Zero",G2518&lt;=500,"3 1-500",G2518&lt;=2000,"4 501-2000",TRUE(),"5 Above 2000")</f>
        <v>4 501-2000</v>
      </c>
      <c r="P2518" s="2" t="n">
        <f aca="false">Lookups!$B$2*M2518+Lookups!$B$3*L2518</f>
        <v>0</v>
      </c>
      <c r="Q2518" s="2" t="str">
        <f aca="false">INDEX(Lookups!$E$2:$E$5,MATCH(P2518,Lookups!$D$2:$D$5,0))</f>
        <v>Low</v>
      </c>
    </row>
    <row r="2519" customFormat="false" ht="15" hidden="false" customHeight="false" outlineLevel="0" collapsed="false">
      <c r="A2519" s="3" t="n">
        <v>2518</v>
      </c>
      <c r="B2519" s="3" t="n">
        <f aca="false">Raw_Data!A2519</f>
        <v>48</v>
      </c>
      <c r="C2519" s="3" t="str">
        <f aca="false">SUBSTITUTE(Raw_Data!B2519,".","")</f>
        <v>blue-collar</v>
      </c>
      <c r="D2519" s="3" t="str">
        <f aca="false">Raw_Data!C2519</f>
        <v>married</v>
      </c>
      <c r="E2519" s="3" t="str">
        <f aca="false">Raw_Data!D2519</f>
        <v>unknown</v>
      </c>
      <c r="F2519" s="3" t="str">
        <f aca="false">Raw_Data!E2519</f>
        <v>no</v>
      </c>
      <c r="G2519" s="3" t="n">
        <f aca="false">Raw_Data!F2519</f>
        <v>131</v>
      </c>
      <c r="H2519" s="3" t="str">
        <f aca="false">Raw_Data!G2519</f>
        <v>yes</v>
      </c>
      <c r="I2519" s="3" t="str">
        <f aca="false">Raw_Data!H2519</f>
        <v>no</v>
      </c>
      <c r="J2519" s="2" t="n">
        <f aca="false">IF(F2519="yes",1,0)</f>
        <v>0</v>
      </c>
      <c r="K2519" s="2" t="n">
        <f aca="false">IF(H2519="yes",1,0)</f>
        <v>1</v>
      </c>
      <c r="L2519" s="2" t="n">
        <f aca="false">IF(I2519="yes",1,0)</f>
        <v>0</v>
      </c>
      <c r="M2519" s="2" t="n">
        <f aca="false">IF(G2519&lt;0,1,0)</f>
        <v>0</v>
      </c>
      <c r="N2519" s="2" t="str">
        <f aca="false">_xlfn.IFS(B2519&lt;30,"Under 30",B2519&lt;40,"30-39",B2519&lt;50,"40-49",B2519&lt;60,"50-59",TRUE(),"60+")</f>
        <v>40-49</v>
      </c>
      <c r="O2519" s="2" t="str">
        <f aca="false">_xlfn.IFS(G2519&lt;0,"1 Negative",G2519=0,"2 Zero",G2519&lt;=500,"3 1-500",G2519&lt;=2000,"4 501-2000",TRUE(),"5 Above 2000")</f>
        <v>3 1-500</v>
      </c>
      <c r="P2519" s="2" t="n">
        <f aca="false">Lookups!$B$2*M2519+Lookups!$B$3*L2519</f>
        <v>0</v>
      </c>
      <c r="Q2519" s="2" t="str">
        <f aca="false">INDEX(Lookups!$E$2:$E$5,MATCH(P2519,Lookups!$D$2:$D$5,0))</f>
        <v>Low</v>
      </c>
    </row>
    <row r="2520" customFormat="false" ht="15" hidden="false" customHeight="false" outlineLevel="0" collapsed="false">
      <c r="A2520" s="3" t="n">
        <v>2519</v>
      </c>
      <c r="B2520" s="3" t="n">
        <f aca="false">Raw_Data!A2520</f>
        <v>30</v>
      </c>
      <c r="C2520" s="3" t="str">
        <f aca="false">SUBSTITUTE(Raw_Data!B2520,".","")</f>
        <v>technician</v>
      </c>
      <c r="D2520" s="3" t="str">
        <f aca="false">Raw_Data!C2520</f>
        <v>single</v>
      </c>
      <c r="E2520" s="3" t="str">
        <f aca="false">Raw_Data!D2520</f>
        <v>secondary</v>
      </c>
      <c r="F2520" s="3" t="str">
        <f aca="false">Raw_Data!E2520</f>
        <v>no</v>
      </c>
      <c r="G2520" s="3" t="n">
        <f aca="false">Raw_Data!F2520</f>
        <v>175</v>
      </c>
      <c r="H2520" s="3" t="str">
        <f aca="false">Raw_Data!G2520</f>
        <v>no</v>
      </c>
      <c r="I2520" s="3" t="str">
        <f aca="false">Raw_Data!H2520</f>
        <v>no</v>
      </c>
      <c r="J2520" s="2" t="n">
        <f aca="false">IF(F2520="yes",1,0)</f>
        <v>0</v>
      </c>
      <c r="K2520" s="2" t="n">
        <f aca="false">IF(H2520="yes",1,0)</f>
        <v>0</v>
      </c>
      <c r="L2520" s="2" t="n">
        <f aca="false">IF(I2520="yes",1,0)</f>
        <v>0</v>
      </c>
      <c r="M2520" s="2" t="n">
        <f aca="false">IF(G2520&lt;0,1,0)</f>
        <v>0</v>
      </c>
      <c r="N2520" s="2" t="str">
        <f aca="false">_xlfn.IFS(B2520&lt;30,"Under 30",B2520&lt;40,"30-39",B2520&lt;50,"40-49",B2520&lt;60,"50-59",TRUE(),"60+")</f>
        <v>30-39</v>
      </c>
      <c r="O2520" s="2" t="str">
        <f aca="false">_xlfn.IFS(G2520&lt;0,"1 Negative",G2520=0,"2 Zero",G2520&lt;=500,"3 1-500",G2520&lt;=2000,"4 501-2000",TRUE(),"5 Above 2000")</f>
        <v>3 1-500</v>
      </c>
      <c r="P2520" s="2" t="n">
        <f aca="false">Lookups!$B$2*M2520+Lookups!$B$3*L2520</f>
        <v>0</v>
      </c>
      <c r="Q2520" s="2" t="str">
        <f aca="false">INDEX(Lookups!$E$2:$E$5,MATCH(P2520,Lookups!$D$2:$D$5,0))</f>
        <v>Low</v>
      </c>
    </row>
    <row r="2521" customFormat="false" ht="15" hidden="false" customHeight="false" outlineLevel="0" collapsed="false">
      <c r="A2521" s="3" t="n">
        <v>2520</v>
      </c>
      <c r="B2521" s="3" t="n">
        <f aca="false">Raw_Data!A2521</f>
        <v>43</v>
      </c>
      <c r="C2521" s="3" t="str">
        <f aca="false">SUBSTITUTE(Raw_Data!B2521,".","")</f>
        <v>technician</v>
      </c>
      <c r="D2521" s="3" t="str">
        <f aca="false">Raw_Data!C2521</f>
        <v>single</v>
      </c>
      <c r="E2521" s="3" t="str">
        <f aca="false">Raw_Data!D2521</f>
        <v>tertiary</v>
      </c>
      <c r="F2521" s="3" t="str">
        <f aca="false">Raw_Data!E2521</f>
        <v>yes</v>
      </c>
      <c r="G2521" s="3" t="n">
        <f aca="false">Raw_Data!F2521</f>
        <v>0</v>
      </c>
      <c r="H2521" s="3" t="str">
        <f aca="false">Raw_Data!G2521</f>
        <v>no</v>
      </c>
      <c r="I2521" s="3" t="str">
        <f aca="false">Raw_Data!H2521</f>
        <v>no</v>
      </c>
      <c r="J2521" s="2" t="n">
        <f aca="false">IF(F2521="yes",1,0)</f>
        <v>1</v>
      </c>
      <c r="K2521" s="2" t="n">
        <f aca="false">IF(H2521="yes",1,0)</f>
        <v>0</v>
      </c>
      <c r="L2521" s="2" t="n">
        <f aca="false">IF(I2521="yes",1,0)</f>
        <v>0</v>
      </c>
      <c r="M2521" s="2" t="n">
        <f aca="false">IF(G2521&lt;0,1,0)</f>
        <v>0</v>
      </c>
      <c r="N2521" s="2" t="str">
        <f aca="false">_xlfn.IFS(B2521&lt;30,"Under 30",B2521&lt;40,"30-39",B2521&lt;50,"40-49",B2521&lt;60,"50-59",TRUE(),"60+")</f>
        <v>40-49</v>
      </c>
      <c r="O2521" s="2" t="str">
        <f aca="false">_xlfn.IFS(G2521&lt;0,"1 Negative",G2521=0,"2 Zero",G2521&lt;=500,"3 1-500",G2521&lt;=2000,"4 501-2000",TRUE(),"5 Above 2000")</f>
        <v>2 Zero</v>
      </c>
      <c r="P2521" s="2" t="n">
        <f aca="false">Lookups!$B$2*M2521+Lookups!$B$3*L2521</f>
        <v>0</v>
      </c>
      <c r="Q2521" s="2" t="str">
        <f aca="false">INDEX(Lookups!$E$2:$E$5,MATCH(P2521,Lookups!$D$2:$D$5,0))</f>
        <v>Low</v>
      </c>
    </row>
    <row r="2522" customFormat="false" ht="15" hidden="false" customHeight="false" outlineLevel="0" collapsed="false">
      <c r="A2522" s="3" t="n">
        <v>2521</v>
      </c>
      <c r="B2522" s="3" t="n">
        <f aca="false">Raw_Data!A2522</f>
        <v>38</v>
      </c>
      <c r="C2522" s="3" t="str">
        <f aca="false">SUBSTITUTE(Raw_Data!B2522,".","")</f>
        <v>management</v>
      </c>
      <c r="D2522" s="3" t="str">
        <f aca="false">Raw_Data!C2522</f>
        <v>divorced</v>
      </c>
      <c r="E2522" s="3" t="str">
        <f aca="false">Raw_Data!D2522</f>
        <v>tertiary</v>
      </c>
      <c r="F2522" s="3" t="str">
        <f aca="false">Raw_Data!E2522</f>
        <v>no</v>
      </c>
      <c r="G2522" s="3" t="n">
        <f aca="false">Raw_Data!F2522</f>
        <v>4425</v>
      </c>
      <c r="H2522" s="3" t="str">
        <f aca="false">Raw_Data!G2522</f>
        <v>yes</v>
      </c>
      <c r="I2522" s="3" t="str">
        <f aca="false">Raw_Data!H2522</f>
        <v>no</v>
      </c>
      <c r="J2522" s="2" t="n">
        <f aca="false">IF(F2522="yes",1,0)</f>
        <v>0</v>
      </c>
      <c r="K2522" s="2" t="n">
        <f aca="false">IF(H2522="yes",1,0)</f>
        <v>1</v>
      </c>
      <c r="L2522" s="2" t="n">
        <f aca="false">IF(I2522="yes",1,0)</f>
        <v>0</v>
      </c>
      <c r="M2522" s="2" t="n">
        <f aca="false">IF(G2522&lt;0,1,0)</f>
        <v>0</v>
      </c>
      <c r="N2522" s="2" t="str">
        <f aca="false">_xlfn.IFS(B2522&lt;30,"Under 30",B2522&lt;40,"30-39",B2522&lt;50,"40-49",B2522&lt;60,"50-59",TRUE(),"60+")</f>
        <v>30-39</v>
      </c>
      <c r="O2522" s="2" t="str">
        <f aca="false">_xlfn.IFS(G2522&lt;0,"1 Negative",G2522=0,"2 Zero",G2522&lt;=500,"3 1-500",G2522&lt;=2000,"4 501-2000",TRUE(),"5 Above 2000")</f>
        <v>5 Above 2000</v>
      </c>
      <c r="P2522" s="2" t="n">
        <f aca="false">Lookups!$B$2*M2522+Lookups!$B$3*L2522</f>
        <v>0</v>
      </c>
      <c r="Q2522" s="2" t="str">
        <f aca="false">INDEX(Lookups!$E$2:$E$5,MATCH(P2522,Lookups!$D$2:$D$5,0))</f>
        <v>Low</v>
      </c>
    </row>
    <row r="2523" customFormat="false" ht="15" hidden="false" customHeight="false" outlineLevel="0" collapsed="false">
      <c r="A2523" s="3" t="n">
        <v>2522</v>
      </c>
      <c r="B2523" s="3" t="n">
        <f aca="false">Raw_Data!A2523</f>
        <v>46</v>
      </c>
      <c r="C2523" s="3" t="str">
        <f aca="false">SUBSTITUTE(Raw_Data!B2523,".","")</f>
        <v>unemployed</v>
      </c>
      <c r="D2523" s="3" t="str">
        <f aca="false">Raw_Data!C2523</f>
        <v>married</v>
      </c>
      <c r="E2523" s="3" t="str">
        <f aca="false">Raw_Data!D2523</f>
        <v>secondary</v>
      </c>
      <c r="F2523" s="3" t="str">
        <f aca="false">Raw_Data!E2523</f>
        <v>no</v>
      </c>
      <c r="G2523" s="3" t="n">
        <f aca="false">Raw_Data!F2523</f>
        <v>3533</v>
      </c>
      <c r="H2523" s="3" t="str">
        <f aca="false">Raw_Data!G2523</f>
        <v>yes</v>
      </c>
      <c r="I2523" s="3" t="str">
        <f aca="false">Raw_Data!H2523</f>
        <v>no</v>
      </c>
      <c r="J2523" s="2" t="n">
        <f aca="false">IF(F2523="yes",1,0)</f>
        <v>0</v>
      </c>
      <c r="K2523" s="2" t="n">
        <f aca="false">IF(H2523="yes",1,0)</f>
        <v>1</v>
      </c>
      <c r="L2523" s="2" t="n">
        <f aca="false">IF(I2523="yes",1,0)</f>
        <v>0</v>
      </c>
      <c r="M2523" s="2" t="n">
        <f aca="false">IF(G2523&lt;0,1,0)</f>
        <v>0</v>
      </c>
      <c r="N2523" s="2" t="str">
        <f aca="false">_xlfn.IFS(B2523&lt;30,"Under 30",B2523&lt;40,"30-39",B2523&lt;50,"40-49",B2523&lt;60,"50-59",TRUE(),"60+")</f>
        <v>40-49</v>
      </c>
      <c r="O2523" s="2" t="str">
        <f aca="false">_xlfn.IFS(G2523&lt;0,"1 Negative",G2523=0,"2 Zero",G2523&lt;=500,"3 1-500",G2523&lt;=2000,"4 501-2000",TRUE(),"5 Above 2000")</f>
        <v>5 Above 2000</v>
      </c>
      <c r="P2523" s="2" t="n">
        <f aca="false">Lookups!$B$2*M2523+Lookups!$B$3*L2523</f>
        <v>0</v>
      </c>
      <c r="Q2523" s="2" t="str">
        <f aca="false">INDEX(Lookups!$E$2:$E$5,MATCH(P2523,Lookups!$D$2:$D$5,0))</f>
        <v>Low</v>
      </c>
    </row>
    <row r="2524" customFormat="false" ht="15" hidden="false" customHeight="false" outlineLevel="0" collapsed="false">
      <c r="A2524" s="3" t="n">
        <v>2523</v>
      </c>
      <c r="B2524" s="3" t="n">
        <f aca="false">Raw_Data!A2524</f>
        <v>59</v>
      </c>
      <c r="C2524" s="3" t="str">
        <f aca="false">SUBSTITUTE(Raw_Data!B2524,".","")</f>
        <v>blue-collar</v>
      </c>
      <c r="D2524" s="3" t="str">
        <f aca="false">Raw_Data!C2524</f>
        <v>divorced</v>
      </c>
      <c r="E2524" s="3" t="str">
        <f aca="false">Raw_Data!D2524</f>
        <v>secondary</v>
      </c>
      <c r="F2524" s="3" t="str">
        <f aca="false">Raw_Data!E2524</f>
        <v>no</v>
      </c>
      <c r="G2524" s="3" t="n">
        <f aca="false">Raw_Data!F2524</f>
        <v>3573</v>
      </c>
      <c r="H2524" s="3" t="str">
        <f aca="false">Raw_Data!G2524</f>
        <v>no</v>
      </c>
      <c r="I2524" s="3" t="str">
        <f aca="false">Raw_Data!H2524</f>
        <v>no</v>
      </c>
      <c r="J2524" s="2" t="n">
        <f aca="false">IF(F2524="yes",1,0)</f>
        <v>0</v>
      </c>
      <c r="K2524" s="2" t="n">
        <f aca="false">IF(H2524="yes",1,0)</f>
        <v>0</v>
      </c>
      <c r="L2524" s="2" t="n">
        <f aca="false">IF(I2524="yes",1,0)</f>
        <v>0</v>
      </c>
      <c r="M2524" s="2" t="n">
        <f aca="false">IF(G2524&lt;0,1,0)</f>
        <v>0</v>
      </c>
      <c r="N2524" s="2" t="str">
        <f aca="false">_xlfn.IFS(B2524&lt;30,"Under 30",B2524&lt;40,"30-39",B2524&lt;50,"40-49",B2524&lt;60,"50-59",TRUE(),"60+")</f>
        <v>50-59</v>
      </c>
      <c r="O2524" s="2" t="str">
        <f aca="false">_xlfn.IFS(G2524&lt;0,"1 Negative",G2524=0,"2 Zero",G2524&lt;=500,"3 1-500",G2524&lt;=2000,"4 501-2000",TRUE(),"5 Above 2000")</f>
        <v>5 Above 2000</v>
      </c>
      <c r="P2524" s="2" t="n">
        <f aca="false">Lookups!$B$2*M2524+Lookups!$B$3*L2524</f>
        <v>0</v>
      </c>
      <c r="Q2524" s="2" t="str">
        <f aca="false">INDEX(Lookups!$E$2:$E$5,MATCH(P2524,Lookups!$D$2:$D$5,0))</f>
        <v>Low</v>
      </c>
    </row>
    <row r="2525" customFormat="false" ht="15" hidden="false" customHeight="false" outlineLevel="0" collapsed="false">
      <c r="A2525" s="3" t="n">
        <v>2524</v>
      </c>
      <c r="B2525" s="3" t="n">
        <f aca="false">Raw_Data!A2525</f>
        <v>44</v>
      </c>
      <c r="C2525" s="3" t="str">
        <f aca="false">SUBSTITUTE(Raw_Data!B2525,".","")</f>
        <v>management</v>
      </c>
      <c r="D2525" s="3" t="str">
        <f aca="false">Raw_Data!C2525</f>
        <v>divorced</v>
      </c>
      <c r="E2525" s="3" t="str">
        <f aca="false">Raw_Data!D2525</f>
        <v>tertiary</v>
      </c>
      <c r="F2525" s="3" t="str">
        <f aca="false">Raw_Data!E2525</f>
        <v>no</v>
      </c>
      <c r="G2525" s="3" t="n">
        <f aca="false">Raw_Data!F2525</f>
        <v>476</v>
      </c>
      <c r="H2525" s="3" t="str">
        <f aca="false">Raw_Data!G2525</f>
        <v>yes</v>
      </c>
      <c r="I2525" s="3" t="str">
        <f aca="false">Raw_Data!H2525</f>
        <v>yes</v>
      </c>
      <c r="J2525" s="2" t="n">
        <f aca="false">IF(F2525="yes",1,0)</f>
        <v>0</v>
      </c>
      <c r="K2525" s="2" t="n">
        <f aca="false">IF(H2525="yes",1,0)</f>
        <v>1</v>
      </c>
      <c r="L2525" s="2" t="n">
        <f aca="false">IF(I2525="yes",1,0)</f>
        <v>1</v>
      </c>
      <c r="M2525" s="2" t="n">
        <f aca="false">IF(G2525&lt;0,1,0)</f>
        <v>0</v>
      </c>
      <c r="N2525" s="2" t="str">
        <f aca="false">_xlfn.IFS(B2525&lt;30,"Under 30",B2525&lt;40,"30-39",B2525&lt;50,"40-49",B2525&lt;60,"50-59",TRUE(),"60+")</f>
        <v>40-49</v>
      </c>
      <c r="O2525" s="2" t="str">
        <f aca="false">_xlfn.IFS(G2525&lt;0,"1 Negative",G2525=0,"2 Zero",G2525&lt;=500,"3 1-500",G2525&lt;=2000,"4 501-2000",TRUE(),"5 Above 2000")</f>
        <v>3 1-500</v>
      </c>
      <c r="P2525" s="2" t="n">
        <f aca="false">Lookups!$B$2*M2525+Lookups!$B$3*L2525</f>
        <v>1</v>
      </c>
      <c r="Q2525" s="2" t="str">
        <f aca="false">INDEX(Lookups!$E$2:$E$5,MATCH(P2525,Lookups!$D$2:$D$5,0))</f>
        <v>Medium</v>
      </c>
    </row>
    <row r="2526" customFormat="false" ht="15" hidden="false" customHeight="false" outlineLevel="0" collapsed="false">
      <c r="A2526" s="3" t="n">
        <v>2525</v>
      </c>
      <c r="B2526" s="3" t="n">
        <f aca="false">Raw_Data!A2526</f>
        <v>35</v>
      </c>
      <c r="C2526" s="3" t="str">
        <f aca="false">SUBSTITUTE(Raw_Data!B2526,".","")</f>
        <v>blue-collar</v>
      </c>
      <c r="D2526" s="3" t="str">
        <f aca="false">Raw_Data!C2526</f>
        <v>married</v>
      </c>
      <c r="E2526" s="3" t="str">
        <f aca="false">Raw_Data!D2526</f>
        <v>secondary</v>
      </c>
      <c r="F2526" s="3" t="str">
        <f aca="false">Raw_Data!E2526</f>
        <v>no</v>
      </c>
      <c r="G2526" s="3" t="n">
        <f aca="false">Raw_Data!F2526</f>
        <v>1257</v>
      </c>
      <c r="H2526" s="3" t="str">
        <f aca="false">Raw_Data!G2526</f>
        <v>yes</v>
      </c>
      <c r="I2526" s="3" t="str">
        <f aca="false">Raw_Data!H2526</f>
        <v>no</v>
      </c>
      <c r="J2526" s="2" t="n">
        <f aca="false">IF(F2526="yes",1,0)</f>
        <v>0</v>
      </c>
      <c r="K2526" s="2" t="n">
        <f aca="false">IF(H2526="yes",1,0)</f>
        <v>1</v>
      </c>
      <c r="L2526" s="2" t="n">
        <f aca="false">IF(I2526="yes",1,0)</f>
        <v>0</v>
      </c>
      <c r="M2526" s="2" t="n">
        <f aca="false">IF(G2526&lt;0,1,0)</f>
        <v>0</v>
      </c>
      <c r="N2526" s="2" t="str">
        <f aca="false">_xlfn.IFS(B2526&lt;30,"Under 30",B2526&lt;40,"30-39",B2526&lt;50,"40-49",B2526&lt;60,"50-59",TRUE(),"60+")</f>
        <v>30-39</v>
      </c>
      <c r="O2526" s="2" t="str">
        <f aca="false">_xlfn.IFS(G2526&lt;0,"1 Negative",G2526=0,"2 Zero",G2526&lt;=500,"3 1-500",G2526&lt;=2000,"4 501-2000",TRUE(),"5 Above 2000")</f>
        <v>4 501-2000</v>
      </c>
      <c r="P2526" s="2" t="n">
        <f aca="false">Lookups!$B$2*M2526+Lookups!$B$3*L2526</f>
        <v>0</v>
      </c>
      <c r="Q2526" s="2" t="str">
        <f aca="false">INDEX(Lookups!$E$2:$E$5,MATCH(P2526,Lookups!$D$2:$D$5,0))</f>
        <v>Low</v>
      </c>
    </row>
    <row r="2527" customFormat="false" ht="15" hidden="false" customHeight="false" outlineLevel="0" collapsed="false">
      <c r="A2527" s="3" t="n">
        <v>2526</v>
      </c>
      <c r="B2527" s="3" t="n">
        <f aca="false">Raw_Data!A2527</f>
        <v>55</v>
      </c>
      <c r="C2527" s="3" t="str">
        <f aca="false">SUBSTITUTE(Raw_Data!B2527,".","")</f>
        <v>blue-collar</v>
      </c>
      <c r="D2527" s="3" t="str">
        <f aca="false">Raw_Data!C2527</f>
        <v>married</v>
      </c>
      <c r="E2527" s="3" t="str">
        <f aca="false">Raw_Data!D2527</f>
        <v>unknown</v>
      </c>
      <c r="F2527" s="3" t="str">
        <f aca="false">Raw_Data!E2527</f>
        <v>no</v>
      </c>
      <c r="G2527" s="3" t="n">
        <f aca="false">Raw_Data!F2527</f>
        <v>23</v>
      </c>
      <c r="H2527" s="3" t="str">
        <f aca="false">Raw_Data!G2527</f>
        <v>no</v>
      </c>
      <c r="I2527" s="3" t="str">
        <f aca="false">Raw_Data!H2527</f>
        <v>no</v>
      </c>
      <c r="J2527" s="2" t="n">
        <f aca="false">IF(F2527="yes",1,0)</f>
        <v>0</v>
      </c>
      <c r="K2527" s="2" t="n">
        <f aca="false">IF(H2527="yes",1,0)</f>
        <v>0</v>
      </c>
      <c r="L2527" s="2" t="n">
        <f aca="false">IF(I2527="yes",1,0)</f>
        <v>0</v>
      </c>
      <c r="M2527" s="2" t="n">
        <f aca="false">IF(G2527&lt;0,1,0)</f>
        <v>0</v>
      </c>
      <c r="N2527" s="2" t="str">
        <f aca="false">_xlfn.IFS(B2527&lt;30,"Under 30",B2527&lt;40,"30-39",B2527&lt;50,"40-49",B2527&lt;60,"50-59",TRUE(),"60+")</f>
        <v>50-59</v>
      </c>
      <c r="O2527" s="2" t="str">
        <f aca="false">_xlfn.IFS(G2527&lt;0,"1 Negative",G2527=0,"2 Zero",G2527&lt;=500,"3 1-500",G2527&lt;=2000,"4 501-2000",TRUE(),"5 Above 2000")</f>
        <v>3 1-500</v>
      </c>
      <c r="P2527" s="2" t="n">
        <f aca="false">Lookups!$B$2*M2527+Lookups!$B$3*L2527</f>
        <v>0</v>
      </c>
      <c r="Q2527" s="2" t="str">
        <f aca="false">INDEX(Lookups!$E$2:$E$5,MATCH(P2527,Lookups!$D$2:$D$5,0))</f>
        <v>Low</v>
      </c>
    </row>
    <row r="2528" customFormat="false" ht="15" hidden="false" customHeight="false" outlineLevel="0" collapsed="false">
      <c r="A2528" s="3" t="n">
        <v>2527</v>
      </c>
      <c r="B2528" s="3" t="n">
        <f aca="false">Raw_Data!A2528</f>
        <v>39</v>
      </c>
      <c r="C2528" s="3" t="str">
        <f aca="false">SUBSTITUTE(Raw_Data!B2528,".","")</f>
        <v>management</v>
      </c>
      <c r="D2528" s="3" t="str">
        <f aca="false">Raw_Data!C2528</f>
        <v>single</v>
      </c>
      <c r="E2528" s="3" t="str">
        <f aca="false">Raw_Data!D2528</f>
        <v>tertiary</v>
      </c>
      <c r="F2528" s="3" t="str">
        <f aca="false">Raw_Data!E2528</f>
        <v>no</v>
      </c>
      <c r="G2528" s="3" t="n">
        <f aca="false">Raw_Data!F2528</f>
        <v>0</v>
      </c>
      <c r="H2528" s="3" t="str">
        <f aca="false">Raw_Data!G2528</f>
        <v>yes</v>
      </c>
      <c r="I2528" s="3" t="str">
        <f aca="false">Raw_Data!H2528</f>
        <v>no</v>
      </c>
      <c r="J2528" s="2" t="n">
        <f aca="false">IF(F2528="yes",1,0)</f>
        <v>0</v>
      </c>
      <c r="K2528" s="2" t="n">
        <f aca="false">IF(H2528="yes",1,0)</f>
        <v>1</v>
      </c>
      <c r="L2528" s="2" t="n">
        <f aca="false">IF(I2528="yes",1,0)</f>
        <v>0</v>
      </c>
      <c r="M2528" s="2" t="n">
        <f aca="false">IF(G2528&lt;0,1,0)</f>
        <v>0</v>
      </c>
      <c r="N2528" s="2" t="str">
        <f aca="false">_xlfn.IFS(B2528&lt;30,"Under 30",B2528&lt;40,"30-39",B2528&lt;50,"40-49",B2528&lt;60,"50-59",TRUE(),"60+")</f>
        <v>30-39</v>
      </c>
      <c r="O2528" s="2" t="str">
        <f aca="false">_xlfn.IFS(G2528&lt;0,"1 Negative",G2528=0,"2 Zero",G2528&lt;=500,"3 1-500",G2528&lt;=2000,"4 501-2000",TRUE(),"5 Above 2000")</f>
        <v>2 Zero</v>
      </c>
      <c r="P2528" s="2" t="n">
        <f aca="false">Lookups!$B$2*M2528+Lookups!$B$3*L2528</f>
        <v>0</v>
      </c>
      <c r="Q2528" s="2" t="str">
        <f aca="false">INDEX(Lookups!$E$2:$E$5,MATCH(P2528,Lookups!$D$2:$D$5,0))</f>
        <v>Low</v>
      </c>
    </row>
    <row r="2529" customFormat="false" ht="15" hidden="false" customHeight="false" outlineLevel="0" collapsed="false">
      <c r="A2529" s="3" t="n">
        <v>2528</v>
      </c>
      <c r="B2529" s="3" t="n">
        <f aca="false">Raw_Data!A2529</f>
        <v>36</v>
      </c>
      <c r="C2529" s="3" t="str">
        <f aca="false">SUBSTITUTE(Raw_Data!B2529,".","")</f>
        <v>services</v>
      </c>
      <c r="D2529" s="3" t="str">
        <f aca="false">Raw_Data!C2529</f>
        <v>single</v>
      </c>
      <c r="E2529" s="3" t="str">
        <f aca="false">Raw_Data!D2529</f>
        <v>secondary</v>
      </c>
      <c r="F2529" s="3" t="str">
        <f aca="false">Raw_Data!E2529</f>
        <v>no</v>
      </c>
      <c r="G2529" s="3" t="n">
        <f aca="false">Raw_Data!F2529</f>
        <v>398</v>
      </c>
      <c r="H2529" s="3" t="str">
        <f aca="false">Raw_Data!G2529</f>
        <v>yes</v>
      </c>
      <c r="I2529" s="3" t="str">
        <f aca="false">Raw_Data!H2529</f>
        <v>yes</v>
      </c>
      <c r="J2529" s="2" t="n">
        <f aca="false">IF(F2529="yes",1,0)</f>
        <v>0</v>
      </c>
      <c r="K2529" s="2" t="n">
        <f aca="false">IF(H2529="yes",1,0)</f>
        <v>1</v>
      </c>
      <c r="L2529" s="2" t="n">
        <f aca="false">IF(I2529="yes",1,0)</f>
        <v>1</v>
      </c>
      <c r="M2529" s="2" t="n">
        <f aca="false">IF(G2529&lt;0,1,0)</f>
        <v>0</v>
      </c>
      <c r="N2529" s="2" t="str">
        <f aca="false">_xlfn.IFS(B2529&lt;30,"Under 30",B2529&lt;40,"30-39",B2529&lt;50,"40-49",B2529&lt;60,"50-59",TRUE(),"60+")</f>
        <v>30-39</v>
      </c>
      <c r="O2529" s="2" t="str">
        <f aca="false">_xlfn.IFS(G2529&lt;0,"1 Negative",G2529=0,"2 Zero",G2529&lt;=500,"3 1-500",G2529&lt;=2000,"4 501-2000",TRUE(),"5 Above 2000")</f>
        <v>3 1-500</v>
      </c>
      <c r="P2529" s="2" t="n">
        <f aca="false">Lookups!$B$2*M2529+Lookups!$B$3*L2529</f>
        <v>1</v>
      </c>
      <c r="Q2529" s="2" t="str">
        <f aca="false">INDEX(Lookups!$E$2:$E$5,MATCH(P2529,Lookups!$D$2:$D$5,0))</f>
        <v>Medium</v>
      </c>
    </row>
    <row r="2530" customFormat="false" ht="15" hidden="false" customHeight="false" outlineLevel="0" collapsed="false">
      <c r="A2530" s="3" t="n">
        <v>2529</v>
      </c>
      <c r="B2530" s="3" t="n">
        <f aca="false">Raw_Data!A2530</f>
        <v>33</v>
      </c>
      <c r="C2530" s="3" t="str">
        <f aca="false">SUBSTITUTE(Raw_Data!B2530,".","")</f>
        <v>blue-collar</v>
      </c>
      <c r="D2530" s="3" t="str">
        <f aca="false">Raw_Data!C2530</f>
        <v>married</v>
      </c>
      <c r="E2530" s="3" t="str">
        <f aca="false">Raw_Data!D2530</f>
        <v>secondary</v>
      </c>
      <c r="F2530" s="3" t="str">
        <f aca="false">Raw_Data!E2530</f>
        <v>no</v>
      </c>
      <c r="G2530" s="3" t="n">
        <f aca="false">Raw_Data!F2530</f>
        <v>745</v>
      </c>
      <c r="H2530" s="3" t="str">
        <f aca="false">Raw_Data!G2530</f>
        <v>yes</v>
      </c>
      <c r="I2530" s="3" t="str">
        <f aca="false">Raw_Data!H2530</f>
        <v>no</v>
      </c>
      <c r="J2530" s="2" t="n">
        <f aca="false">IF(F2530="yes",1,0)</f>
        <v>0</v>
      </c>
      <c r="K2530" s="2" t="n">
        <f aca="false">IF(H2530="yes",1,0)</f>
        <v>1</v>
      </c>
      <c r="L2530" s="2" t="n">
        <f aca="false">IF(I2530="yes",1,0)</f>
        <v>0</v>
      </c>
      <c r="M2530" s="2" t="n">
        <f aca="false">IF(G2530&lt;0,1,0)</f>
        <v>0</v>
      </c>
      <c r="N2530" s="2" t="str">
        <f aca="false">_xlfn.IFS(B2530&lt;30,"Under 30",B2530&lt;40,"30-39",B2530&lt;50,"40-49",B2530&lt;60,"50-59",TRUE(),"60+")</f>
        <v>30-39</v>
      </c>
      <c r="O2530" s="2" t="str">
        <f aca="false">_xlfn.IFS(G2530&lt;0,"1 Negative",G2530=0,"2 Zero",G2530&lt;=500,"3 1-500",G2530&lt;=2000,"4 501-2000",TRUE(),"5 Above 2000")</f>
        <v>4 501-2000</v>
      </c>
      <c r="P2530" s="2" t="n">
        <f aca="false">Lookups!$B$2*M2530+Lookups!$B$3*L2530</f>
        <v>0</v>
      </c>
      <c r="Q2530" s="2" t="str">
        <f aca="false">INDEX(Lookups!$E$2:$E$5,MATCH(P2530,Lookups!$D$2:$D$5,0))</f>
        <v>Low</v>
      </c>
    </row>
    <row r="2531" customFormat="false" ht="15" hidden="false" customHeight="false" outlineLevel="0" collapsed="false">
      <c r="A2531" s="3" t="n">
        <v>2530</v>
      </c>
      <c r="B2531" s="3" t="n">
        <f aca="false">Raw_Data!A2531</f>
        <v>48</v>
      </c>
      <c r="C2531" s="3" t="str">
        <f aca="false">SUBSTITUTE(Raw_Data!B2531,".","")</f>
        <v>management</v>
      </c>
      <c r="D2531" s="3" t="str">
        <f aca="false">Raw_Data!C2531</f>
        <v>single</v>
      </c>
      <c r="E2531" s="3" t="str">
        <f aca="false">Raw_Data!D2531</f>
        <v>tertiary</v>
      </c>
      <c r="F2531" s="3" t="str">
        <f aca="false">Raw_Data!E2531</f>
        <v>no</v>
      </c>
      <c r="G2531" s="3" t="n">
        <f aca="false">Raw_Data!F2531</f>
        <v>8106</v>
      </c>
      <c r="H2531" s="3" t="str">
        <f aca="false">Raw_Data!G2531</f>
        <v>no</v>
      </c>
      <c r="I2531" s="3" t="str">
        <f aca="false">Raw_Data!H2531</f>
        <v>no</v>
      </c>
      <c r="J2531" s="2" t="n">
        <f aca="false">IF(F2531="yes",1,0)</f>
        <v>0</v>
      </c>
      <c r="K2531" s="2" t="n">
        <f aca="false">IF(H2531="yes",1,0)</f>
        <v>0</v>
      </c>
      <c r="L2531" s="2" t="n">
        <f aca="false">IF(I2531="yes",1,0)</f>
        <v>0</v>
      </c>
      <c r="M2531" s="2" t="n">
        <f aca="false">IF(G2531&lt;0,1,0)</f>
        <v>0</v>
      </c>
      <c r="N2531" s="2" t="str">
        <f aca="false">_xlfn.IFS(B2531&lt;30,"Under 30",B2531&lt;40,"30-39",B2531&lt;50,"40-49",B2531&lt;60,"50-59",TRUE(),"60+")</f>
        <v>40-49</v>
      </c>
      <c r="O2531" s="2" t="str">
        <f aca="false">_xlfn.IFS(G2531&lt;0,"1 Negative",G2531=0,"2 Zero",G2531&lt;=500,"3 1-500",G2531&lt;=2000,"4 501-2000",TRUE(),"5 Above 2000")</f>
        <v>5 Above 2000</v>
      </c>
      <c r="P2531" s="2" t="n">
        <f aca="false">Lookups!$B$2*M2531+Lookups!$B$3*L2531</f>
        <v>0</v>
      </c>
      <c r="Q2531" s="2" t="str">
        <f aca="false">INDEX(Lookups!$E$2:$E$5,MATCH(P2531,Lookups!$D$2:$D$5,0))</f>
        <v>Low</v>
      </c>
    </row>
    <row r="2532" customFormat="false" ht="15" hidden="false" customHeight="false" outlineLevel="0" collapsed="false">
      <c r="A2532" s="3" t="n">
        <v>2531</v>
      </c>
      <c r="B2532" s="3" t="n">
        <f aca="false">Raw_Data!A2532</f>
        <v>33</v>
      </c>
      <c r="C2532" s="3" t="str">
        <f aca="false">SUBSTITUTE(Raw_Data!B2532,".","")</f>
        <v>management</v>
      </c>
      <c r="D2532" s="3" t="str">
        <f aca="false">Raw_Data!C2532</f>
        <v>single</v>
      </c>
      <c r="E2532" s="3" t="str">
        <f aca="false">Raw_Data!D2532</f>
        <v>tertiary</v>
      </c>
      <c r="F2532" s="3" t="str">
        <f aca="false">Raw_Data!E2532</f>
        <v>no</v>
      </c>
      <c r="G2532" s="3" t="n">
        <f aca="false">Raw_Data!F2532</f>
        <v>0</v>
      </c>
      <c r="H2532" s="3" t="str">
        <f aca="false">Raw_Data!G2532</f>
        <v>no</v>
      </c>
      <c r="I2532" s="3" t="str">
        <f aca="false">Raw_Data!H2532</f>
        <v>no</v>
      </c>
      <c r="J2532" s="2" t="n">
        <f aca="false">IF(F2532="yes",1,0)</f>
        <v>0</v>
      </c>
      <c r="K2532" s="2" t="n">
        <f aca="false">IF(H2532="yes",1,0)</f>
        <v>0</v>
      </c>
      <c r="L2532" s="2" t="n">
        <f aca="false">IF(I2532="yes",1,0)</f>
        <v>0</v>
      </c>
      <c r="M2532" s="2" t="n">
        <f aca="false">IF(G2532&lt;0,1,0)</f>
        <v>0</v>
      </c>
      <c r="N2532" s="2" t="str">
        <f aca="false">_xlfn.IFS(B2532&lt;30,"Under 30",B2532&lt;40,"30-39",B2532&lt;50,"40-49",B2532&lt;60,"50-59",TRUE(),"60+")</f>
        <v>30-39</v>
      </c>
      <c r="O2532" s="2" t="str">
        <f aca="false">_xlfn.IFS(G2532&lt;0,"1 Negative",G2532=0,"2 Zero",G2532&lt;=500,"3 1-500",G2532&lt;=2000,"4 501-2000",TRUE(),"5 Above 2000")</f>
        <v>2 Zero</v>
      </c>
      <c r="P2532" s="2" t="n">
        <f aca="false">Lookups!$B$2*M2532+Lookups!$B$3*L2532</f>
        <v>0</v>
      </c>
      <c r="Q2532" s="2" t="str">
        <f aca="false">INDEX(Lookups!$E$2:$E$5,MATCH(P2532,Lookups!$D$2:$D$5,0))</f>
        <v>Low</v>
      </c>
    </row>
    <row r="2533" customFormat="false" ht="15" hidden="false" customHeight="false" outlineLevel="0" collapsed="false">
      <c r="A2533" s="3" t="n">
        <v>2532</v>
      </c>
      <c r="B2533" s="3" t="n">
        <f aca="false">Raw_Data!A2533</f>
        <v>67</v>
      </c>
      <c r="C2533" s="3" t="str">
        <f aca="false">SUBSTITUTE(Raw_Data!B2533,".","")</f>
        <v>retired</v>
      </c>
      <c r="D2533" s="3" t="str">
        <f aca="false">Raw_Data!C2533</f>
        <v>married</v>
      </c>
      <c r="E2533" s="3" t="str">
        <f aca="false">Raw_Data!D2533</f>
        <v>unknown</v>
      </c>
      <c r="F2533" s="3" t="str">
        <f aca="false">Raw_Data!E2533</f>
        <v>no</v>
      </c>
      <c r="G2533" s="3" t="n">
        <f aca="false">Raw_Data!F2533</f>
        <v>696</v>
      </c>
      <c r="H2533" s="3" t="str">
        <f aca="false">Raw_Data!G2533</f>
        <v>no</v>
      </c>
      <c r="I2533" s="3" t="str">
        <f aca="false">Raw_Data!H2533</f>
        <v>no</v>
      </c>
      <c r="J2533" s="2" t="n">
        <f aca="false">IF(F2533="yes",1,0)</f>
        <v>0</v>
      </c>
      <c r="K2533" s="2" t="n">
        <f aca="false">IF(H2533="yes",1,0)</f>
        <v>0</v>
      </c>
      <c r="L2533" s="2" t="n">
        <f aca="false">IF(I2533="yes",1,0)</f>
        <v>0</v>
      </c>
      <c r="M2533" s="2" t="n">
        <f aca="false">IF(G2533&lt;0,1,0)</f>
        <v>0</v>
      </c>
      <c r="N2533" s="2" t="str">
        <f aca="false">_xlfn.IFS(B2533&lt;30,"Under 30",B2533&lt;40,"30-39",B2533&lt;50,"40-49",B2533&lt;60,"50-59",TRUE(),"60+")</f>
        <v>60+</v>
      </c>
      <c r="O2533" s="2" t="str">
        <f aca="false">_xlfn.IFS(G2533&lt;0,"1 Negative",G2533=0,"2 Zero",G2533&lt;=500,"3 1-500",G2533&lt;=2000,"4 501-2000",TRUE(),"5 Above 2000")</f>
        <v>4 501-2000</v>
      </c>
      <c r="P2533" s="2" t="n">
        <f aca="false">Lookups!$B$2*M2533+Lookups!$B$3*L2533</f>
        <v>0</v>
      </c>
      <c r="Q2533" s="2" t="str">
        <f aca="false">INDEX(Lookups!$E$2:$E$5,MATCH(P2533,Lookups!$D$2:$D$5,0))</f>
        <v>Low</v>
      </c>
    </row>
    <row r="2534" customFormat="false" ht="15" hidden="false" customHeight="false" outlineLevel="0" collapsed="false">
      <c r="A2534" s="3" t="n">
        <v>2533</v>
      </c>
      <c r="B2534" s="3" t="n">
        <f aca="false">Raw_Data!A2534</f>
        <v>48</v>
      </c>
      <c r="C2534" s="3" t="str">
        <f aca="false">SUBSTITUTE(Raw_Data!B2534,".","")</f>
        <v>unemployed</v>
      </c>
      <c r="D2534" s="3" t="str">
        <f aca="false">Raw_Data!C2534</f>
        <v>divorced</v>
      </c>
      <c r="E2534" s="3" t="str">
        <f aca="false">Raw_Data!D2534</f>
        <v>secondary</v>
      </c>
      <c r="F2534" s="3" t="str">
        <f aca="false">Raw_Data!E2534</f>
        <v>no</v>
      </c>
      <c r="G2534" s="3" t="n">
        <f aca="false">Raw_Data!F2534</f>
        <v>1266</v>
      </c>
      <c r="H2534" s="3" t="str">
        <f aca="false">Raw_Data!G2534</f>
        <v>yes</v>
      </c>
      <c r="I2534" s="3" t="str">
        <f aca="false">Raw_Data!H2534</f>
        <v>no</v>
      </c>
      <c r="J2534" s="2" t="n">
        <f aca="false">IF(F2534="yes",1,0)</f>
        <v>0</v>
      </c>
      <c r="K2534" s="2" t="n">
        <f aca="false">IF(H2534="yes",1,0)</f>
        <v>1</v>
      </c>
      <c r="L2534" s="2" t="n">
        <f aca="false">IF(I2534="yes",1,0)</f>
        <v>0</v>
      </c>
      <c r="M2534" s="2" t="n">
        <f aca="false">IF(G2534&lt;0,1,0)</f>
        <v>0</v>
      </c>
      <c r="N2534" s="2" t="str">
        <f aca="false">_xlfn.IFS(B2534&lt;30,"Under 30",B2534&lt;40,"30-39",B2534&lt;50,"40-49",B2534&lt;60,"50-59",TRUE(),"60+")</f>
        <v>40-49</v>
      </c>
      <c r="O2534" s="2" t="str">
        <f aca="false">_xlfn.IFS(G2534&lt;0,"1 Negative",G2534=0,"2 Zero",G2534&lt;=500,"3 1-500",G2534&lt;=2000,"4 501-2000",TRUE(),"5 Above 2000")</f>
        <v>4 501-2000</v>
      </c>
      <c r="P2534" s="2" t="n">
        <f aca="false">Lookups!$B$2*M2534+Lookups!$B$3*L2534</f>
        <v>0</v>
      </c>
      <c r="Q2534" s="2" t="str">
        <f aca="false">INDEX(Lookups!$E$2:$E$5,MATCH(P2534,Lookups!$D$2:$D$5,0))</f>
        <v>Low</v>
      </c>
    </row>
    <row r="2535" customFormat="false" ht="15" hidden="false" customHeight="false" outlineLevel="0" collapsed="false">
      <c r="A2535" s="3" t="n">
        <v>2534</v>
      </c>
      <c r="B2535" s="3" t="n">
        <f aca="false">Raw_Data!A2535</f>
        <v>57</v>
      </c>
      <c r="C2535" s="3" t="str">
        <f aca="false">SUBSTITUTE(Raw_Data!B2535,".","")</f>
        <v>management</v>
      </c>
      <c r="D2535" s="3" t="str">
        <f aca="false">Raw_Data!C2535</f>
        <v>married</v>
      </c>
      <c r="E2535" s="3" t="str">
        <f aca="false">Raw_Data!D2535</f>
        <v>tertiary</v>
      </c>
      <c r="F2535" s="3" t="str">
        <f aca="false">Raw_Data!E2535</f>
        <v>no</v>
      </c>
      <c r="G2535" s="3" t="n">
        <f aca="false">Raw_Data!F2535</f>
        <v>2416</v>
      </c>
      <c r="H2535" s="3" t="str">
        <f aca="false">Raw_Data!G2535</f>
        <v>no</v>
      </c>
      <c r="I2535" s="3" t="str">
        <f aca="false">Raw_Data!H2535</f>
        <v>no</v>
      </c>
      <c r="J2535" s="2" t="n">
        <f aca="false">IF(F2535="yes",1,0)</f>
        <v>0</v>
      </c>
      <c r="K2535" s="2" t="n">
        <f aca="false">IF(H2535="yes",1,0)</f>
        <v>0</v>
      </c>
      <c r="L2535" s="2" t="n">
        <f aca="false">IF(I2535="yes",1,0)</f>
        <v>0</v>
      </c>
      <c r="M2535" s="2" t="n">
        <f aca="false">IF(G2535&lt;0,1,0)</f>
        <v>0</v>
      </c>
      <c r="N2535" s="2" t="str">
        <f aca="false">_xlfn.IFS(B2535&lt;30,"Under 30",B2535&lt;40,"30-39",B2535&lt;50,"40-49",B2535&lt;60,"50-59",TRUE(),"60+")</f>
        <v>50-59</v>
      </c>
      <c r="O2535" s="2" t="str">
        <f aca="false">_xlfn.IFS(G2535&lt;0,"1 Negative",G2535=0,"2 Zero",G2535&lt;=500,"3 1-500",G2535&lt;=2000,"4 501-2000",TRUE(),"5 Above 2000")</f>
        <v>5 Above 2000</v>
      </c>
      <c r="P2535" s="2" t="n">
        <f aca="false">Lookups!$B$2*M2535+Lookups!$B$3*L2535</f>
        <v>0</v>
      </c>
      <c r="Q2535" s="2" t="str">
        <f aca="false">INDEX(Lookups!$E$2:$E$5,MATCH(P2535,Lookups!$D$2:$D$5,0))</f>
        <v>Low</v>
      </c>
    </row>
    <row r="2536" customFormat="false" ht="15" hidden="false" customHeight="false" outlineLevel="0" collapsed="false">
      <c r="A2536" s="3" t="n">
        <v>2535</v>
      </c>
      <c r="B2536" s="3" t="n">
        <f aca="false">Raw_Data!A2536</f>
        <v>31</v>
      </c>
      <c r="C2536" s="3" t="str">
        <f aca="false">SUBSTITUTE(Raw_Data!B2536,".","")</f>
        <v>housemaid</v>
      </c>
      <c r="D2536" s="3" t="str">
        <f aca="false">Raw_Data!C2536</f>
        <v>married</v>
      </c>
      <c r="E2536" s="3" t="str">
        <f aca="false">Raw_Data!D2536</f>
        <v>primary</v>
      </c>
      <c r="F2536" s="3" t="str">
        <f aca="false">Raw_Data!E2536</f>
        <v>no</v>
      </c>
      <c r="G2536" s="3" t="n">
        <f aca="false">Raw_Data!F2536</f>
        <v>25</v>
      </c>
      <c r="H2536" s="3" t="str">
        <f aca="false">Raw_Data!G2536</f>
        <v>no</v>
      </c>
      <c r="I2536" s="3" t="str">
        <f aca="false">Raw_Data!H2536</f>
        <v>no</v>
      </c>
      <c r="J2536" s="2" t="n">
        <f aca="false">IF(F2536="yes",1,0)</f>
        <v>0</v>
      </c>
      <c r="K2536" s="2" t="n">
        <f aca="false">IF(H2536="yes",1,0)</f>
        <v>0</v>
      </c>
      <c r="L2536" s="2" t="n">
        <f aca="false">IF(I2536="yes",1,0)</f>
        <v>0</v>
      </c>
      <c r="M2536" s="2" t="n">
        <f aca="false">IF(G2536&lt;0,1,0)</f>
        <v>0</v>
      </c>
      <c r="N2536" s="2" t="str">
        <f aca="false">_xlfn.IFS(B2536&lt;30,"Under 30",B2536&lt;40,"30-39",B2536&lt;50,"40-49",B2536&lt;60,"50-59",TRUE(),"60+")</f>
        <v>30-39</v>
      </c>
      <c r="O2536" s="2" t="str">
        <f aca="false">_xlfn.IFS(G2536&lt;0,"1 Negative",G2536=0,"2 Zero",G2536&lt;=500,"3 1-500",G2536&lt;=2000,"4 501-2000",TRUE(),"5 Above 2000")</f>
        <v>3 1-500</v>
      </c>
      <c r="P2536" s="2" t="n">
        <f aca="false">Lookups!$B$2*M2536+Lookups!$B$3*L2536</f>
        <v>0</v>
      </c>
      <c r="Q2536" s="2" t="str">
        <f aca="false">INDEX(Lookups!$E$2:$E$5,MATCH(P2536,Lookups!$D$2:$D$5,0))</f>
        <v>Low</v>
      </c>
    </row>
    <row r="2537" customFormat="false" ht="15" hidden="false" customHeight="false" outlineLevel="0" collapsed="false">
      <c r="A2537" s="3" t="n">
        <v>2536</v>
      </c>
      <c r="B2537" s="3" t="n">
        <f aca="false">Raw_Data!A2537</f>
        <v>30</v>
      </c>
      <c r="C2537" s="3" t="str">
        <f aca="false">SUBSTITUTE(Raw_Data!B2537,".","")</f>
        <v>student</v>
      </c>
      <c r="D2537" s="3" t="str">
        <f aca="false">Raw_Data!C2537</f>
        <v>single</v>
      </c>
      <c r="E2537" s="3" t="str">
        <f aca="false">Raw_Data!D2537</f>
        <v>tertiary</v>
      </c>
      <c r="F2537" s="3" t="str">
        <f aca="false">Raw_Data!E2537</f>
        <v>no</v>
      </c>
      <c r="G2537" s="3" t="n">
        <f aca="false">Raw_Data!F2537</f>
        <v>7513</v>
      </c>
      <c r="H2537" s="3" t="str">
        <f aca="false">Raw_Data!G2537</f>
        <v>no</v>
      </c>
      <c r="I2537" s="3" t="str">
        <f aca="false">Raw_Data!H2537</f>
        <v>no</v>
      </c>
      <c r="J2537" s="2" t="n">
        <f aca="false">IF(F2537="yes",1,0)</f>
        <v>0</v>
      </c>
      <c r="K2537" s="2" t="n">
        <f aca="false">IF(H2537="yes",1,0)</f>
        <v>0</v>
      </c>
      <c r="L2537" s="2" t="n">
        <f aca="false">IF(I2537="yes",1,0)</f>
        <v>0</v>
      </c>
      <c r="M2537" s="2" t="n">
        <f aca="false">IF(G2537&lt;0,1,0)</f>
        <v>0</v>
      </c>
      <c r="N2537" s="2" t="str">
        <f aca="false">_xlfn.IFS(B2537&lt;30,"Under 30",B2537&lt;40,"30-39",B2537&lt;50,"40-49",B2537&lt;60,"50-59",TRUE(),"60+")</f>
        <v>30-39</v>
      </c>
      <c r="O2537" s="2" t="str">
        <f aca="false">_xlfn.IFS(G2537&lt;0,"1 Negative",G2537=0,"2 Zero",G2537&lt;=500,"3 1-500",G2537&lt;=2000,"4 501-2000",TRUE(),"5 Above 2000")</f>
        <v>5 Above 2000</v>
      </c>
      <c r="P2537" s="2" t="n">
        <f aca="false">Lookups!$B$2*M2537+Lookups!$B$3*L2537</f>
        <v>0</v>
      </c>
      <c r="Q2537" s="2" t="str">
        <f aca="false">INDEX(Lookups!$E$2:$E$5,MATCH(P2537,Lookups!$D$2:$D$5,0))</f>
        <v>Low</v>
      </c>
    </row>
    <row r="2538" customFormat="false" ht="15" hidden="false" customHeight="false" outlineLevel="0" collapsed="false">
      <c r="A2538" s="3" t="n">
        <v>2537</v>
      </c>
      <c r="B2538" s="3" t="n">
        <f aca="false">Raw_Data!A2538</f>
        <v>56</v>
      </c>
      <c r="C2538" s="3" t="str">
        <f aca="false">SUBSTITUTE(Raw_Data!B2538,".","")</f>
        <v>entrepreneur</v>
      </c>
      <c r="D2538" s="3" t="str">
        <f aca="false">Raw_Data!C2538</f>
        <v>divorced</v>
      </c>
      <c r="E2538" s="3" t="str">
        <f aca="false">Raw_Data!D2538</f>
        <v>primary</v>
      </c>
      <c r="F2538" s="3" t="str">
        <f aca="false">Raw_Data!E2538</f>
        <v>no</v>
      </c>
      <c r="G2538" s="3" t="n">
        <f aca="false">Raw_Data!F2538</f>
        <v>29</v>
      </c>
      <c r="H2538" s="3" t="str">
        <f aca="false">Raw_Data!G2538</f>
        <v>no</v>
      </c>
      <c r="I2538" s="3" t="str">
        <f aca="false">Raw_Data!H2538</f>
        <v>no</v>
      </c>
      <c r="J2538" s="2" t="n">
        <f aca="false">IF(F2538="yes",1,0)</f>
        <v>0</v>
      </c>
      <c r="K2538" s="2" t="n">
        <f aca="false">IF(H2538="yes",1,0)</f>
        <v>0</v>
      </c>
      <c r="L2538" s="2" t="n">
        <f aca="false">IF(I2538="yes",1,0)</f>
        <v>0</v>
      </c>
      <c r="M2538" s="2" t="n">
        <f aca="false">IF(G2538&lt;0,1,0)</f>
        <v>0</v>
      </c>
      <c r="N2538" s="2" t="str">
        <f aca="false">_xlfn.IFS(B2538&lt;30,"Under 30",B2538&lt;40,"30-39",B2538&lt;50,"40-49",B2538&lt;60,"50-59",TRUE(),"60+")</f>
        <v>50-59</v>
      </c>
      <c r="O2538" s="2" t="str">
        <f aca="false">_xlfn.IFS(G2538&lt;0,"1 Negative",G2538=0,"2 Zero",G2538&lt;=500,"3 1-500",G2538&lt;=2000,"4 501-2000",TRUE(),"5 Above 2000")</f>
        <v>3 1-500</v>
      </c>
      <c r="P2538" s="2" t="n">
        <f aca="false">Lookups!$B$2*M2538+Lookups!$B$3*L2538</f>
        <v>0</v>
      </c>
      <c r="Q2538" s="2" t="str">
        <f aca="false">INDEX(Lookups!$E$2:$E$5,MATCH(P2538,Lookups!$D$2:$D$5,0))</f>
        <v>Low</v>
      </c>
    </row>
    <row r="2539" customFormat="false" ht="15" hidden="false" customHeight="false" outlineLevel="0" collapsed="false">
      <c r="A2539" s="3" t="n">
        <v>2538</v>
      </c>
      <c r="B2539" s="3" t="n">
        <f aca="false">Raw_Data!A2539</f>
        <v>26</v>
      </c>
      <c r="C2539" s="3" t="str">
        <f aca="false">SUBSTITUTE(Raw_Data!B2539,".","")</f>
        <v>blue-collar</v>
      </c>
      <c r="D2539" s="3" t="str">
        <f aca="false">Raw_Data!C2539</f>
        <v>married</v>
      </c>
      <c r="E2539" s="3" t="str">
        <f aca="false">Raw_Data!D2539</f>
        <v>primary</v>
      </c>
      <c r="F2539" s="3" t="str">
        <f aca="false">Raw_Data!E2539</f>
        <v>no</v>
      </c>
      <c r="G2539" s="3" t="n">
        <f aca="false">Raw_Data!F2539</f>
        <v>5116</v>
      </c>
      <c r="H2539" s="3" t="str">
        <f aca="false">Raw_Data!G2539</f>
        <v>yes</v>
      </c>
      <c r="I2539" s="3" t="str">
        <f aca="false">Raw_Data!H2539</f>
        <v>no</v>
      </c>
      <c r="J2539" s="2" t="n">
        <f aca="false">IF(F2539="yes",1,0)</f>
        <v>0</v>
      </c>
      <c r="K2539" s="2" t="n">
        <f aca="false">IF(H2539="yes",1,0)</f>
        <v>1</v>
      </c>
      <c r="L2539" s="2" t="n">
        <f aca="false">IF(I2539="yes",1,0)</f>
        <v>0</v>
      </c>
      <c r="M2539" s="2" t="n">
        <f aca="false">IF(G2539&lt;0,1,0)</f>
        <v>0</v>
      </c>
      <c r="N2539" s="2" t="str">
        <f aca="false">_xlfn.IFS(B2539&lt;30,"Under 30",B2539&lt;40,"30-39",B2539&lt;50,"40-49",B2539&lt;60,"50-59",TRUE(),"60+")</f>
        <v>Under 30</v>
      </c>
      <c r="O2539" s="2" t="str">
        <f aca="false">_xlfn.IFS(G2539&lt;0,"1 Negative",G2539=0,"2 Zero",G2539&lt;=500,"3 1-500",G2539&lt;=2000,"4 501-2000",TRUE(),"5 Above 2000")</f>
        <v>5 Above 2000</v>
      </c>
      <c r="P2539" s="2" t="n">
        <f aca="false">Lookups!$B$2*M2539+Lookups!$B$3*L2539</f>
        <v>0</v>
      </c>
      <c r="Q2539" s="2" t="str">
        <f aca="false">INDEX(Lookups!$E$2:$E$5,MATCH(P2539,Lookups!$D$2:$D$5,0))</f>
        <v>Low</v>
      </c>
    </row>
    <row r="2540" customFormat="false" ht="15" hidden="false" customHeight="false" outlineLevel="0" collapsed="false">
      <c r="A2540" s="3" t="n">
        <v>2539</v>
      </c>
      <c r="B2540" s="3" t="n">
        <f aca="false">Raw_Data!A2540</f>
        <v>44</v>
      </c>
      <c r="C2540" s="3" t="str">
        <f aca="false">SUBSTITUTE(Raw_Data!B2540,".","")</f>
        <v>management</v>
      </c>
      <c r="D2540" s="3" t="str">
        <f aca="false">Raw_Data!C2540</f>
        <v>married</v>
      </c>
      <c r="E2540" s="3" t="str">
        <f aca="false">Raw_Data!D2540</f>
        <v>secondary</v>
      </c>
      <c r="F2540" s="3" t="str">
        <f aca="false">Raw_Data!E2540</f>
        <v>no</v>
      </c>
      <c r="G2540" s="3" t="n">
        <f aca="false">Raw_Data!F2540</f>
        <v>-1746</v>
      </c>
      <c r="H2540" s="3" t="str">
        <f aca="false">Raw_Data!G2540</f>
        <v>yes</v>
      </c>
      <c r="I2540" s="3" t="str">
        <f aca="false">Raw_Data!H2540</f>
        <v>no</v>
      </c>
      <c r="J2540" s="2" t="n">
        <f aca="false">IF(F2540="yes",1,0)</f>
        <v>0</v>
      </c>
      <c r="K2540" s="2" t="n">
        <f aca="false">IF(H2540="yes",1,0)</f>
        <v>1</v>
      </c>
      <c r="L2540" s="2" t="n">
        <f aca="false">IF(I2540="yes",1,0)</f>
        <v>0</v>
      </c>
      <c r="M2540" s="2" t="n">
        <f aca="false">IF(G2540&lt;0,1,0)</f>
        <v>1</v>
      </c>
      <c r="N2540" s="2" t="str">
        <f aca="false">_xlfn.IFS(B2540&lt;30,"Under 30",B2540&lt;40,"30-39",B2540&lt;50,"40-49",B2540&lt;60,"50-59",TRUE(),"60+")</f>
        <v>40-49</v>
      </c>
      <c r="O2540" s="2" t="str">
        <f aca="false">_xlfn.IFS(G2540&lt;0,"1 Negative",G2540=0,"2 Zero",G2540&lt;=500,"3 1-500",G2540&lt;=2000,"4 501-2000",TRUE(),"5 Above 2000")</f>
        <v>1 Negative</v>
      </c>
      <c r="P2540" s="2" t="n">
        <f aca="false">Lookups!$B$2*M2540+Lookups!$B$3*L2540</f>
        <v>2</v>
      </c>
      <c r="Q2540" s="2" t="str">
        <f aca="false">INDEX(Lookups!$E$2:$E$5,MATCH(P2540,Lookups!$D$2:$D$5,0))</f>
        <v>High</v>
      </c>
    </row>
    <row r="2541" customFormat="false" ht="15" hidden="false" customHeight="false" outlineLevel="0" collapsed="false">
      <c r="A2541" s="3" t="n">
        <v>2540</v>
      </c>
      <c r="B2541" s="3" t="n">
        <f aca="false">Raw_Data!A2541</f>
        <v>44</v>
      </c>
      <c r="C2541" s="3" t="str">
        <f aca="false">SUBSTITUTE(Raw_Data!B2541,".","")</f>
        <v>technician</v>
      </c>
      <c r="D2541" s="3" t="str">
        <f aca="false">Raw_Data!C2541</f>
        <v>divorced</v>
      </c>
      <c r="E2541" s="3" t="str">
        <f aca="false">Raw_Data!D2541</f>
        <v>secondary</v>
      </c>
      <c r="F2541" s="3" t="str">
        <f aca="false">Raw_Data!E2541</f>
        <v>no</v>
      </c>
      <c r="G2541" s="3" t="n">
        <f aca="false">Raw_Data!F2541</f>
        <v>14</v>
      </c>
      <c r="H2541" s="3" t="str">
        <f aca="false">Raw_Data!G2541</f>
        <v>no</v>
      </c>
      <c r="I2541" s="3" t="str">
        <f aca="false">Raw_Data!H2541</f>
        <v>no</v>
      </c>
      <c r="J2541" s="2" t="n">
        <f aca="false">IF(F2541="yes",1,0)</f>
        <v>0</v>
      </c>
      <c r="K2541" s="2" t="n">
        <f aca="false">IF(H2541="yes",1,0)</f>
        <v>0</v>
      </c>
      <c r="L2541" s="2" t="n">
        <f aca="false">IF(I2541="yes",1,0)</f>
        <v>0</v>
      </c>
      <c r="M2541" s="2" t="n">
        <f aca="false">IF(G2541&lt;0,1,0)</f>
        <v>0</v>
      </c>
      <c r="N2541" s="2" t="str">
        <f aca="false">_xlfn.IFS(B2541&lt;30,"Under 30",B2541&lt;40,"30-39",B2541&lt;50,"40-49",B2541&lt;60,"50-59",TRUE(),"60+")</f>
        <v>40-49</v>
      </c>
      <c r="O2541" s="2" t="str">
        <f aca="false">_xlfn.IFS(G2541&lt;0,"1 Negative",G2541=0,"2 Zero",G2541&lt;=500,"3 1-500",G2541&lt;=2000,"4 501-2000",TRUE(),"5 Above 2000")</f>
        <v>3 1-500</v>
      </c>
      <c r="P2541" s="2" t="n">
        <f aca="false">Lookups!$B$2*M2541+Lookups!$B$3*L2541</f>
        <v>0</v>
      </c>
      <c r="Q2541" s="2" t="str">
        <f aca="false">INDEX(Lookups!$E$2:$E$5,MATCH(P2541,Lookups!$D$2:$D$5,0))</f>
        <v>Low</v>
      </c>
    </row>
    <row r="2542" customFormat="false" ht="15" hidden="false" customHeight="false" outlineLevel="0" collapsed="false">
      <c r="A2542" s="3" t="n">
        <v>2541</v>
      </c>
      <c r="B2542" s="3" t="n">
        <f aca="false">Raw_Data!A2542</f>
        <v>31</v>
      </c>
      <c r="C2542" s="3" t="str">
        <f aca="false">SUBSTITUTE(Raw_Data!B2542,".","")</f>
        <v>management</v>
      </c>
      <c r="D2542" s="3" t="str">
        <f aca="false">Raw_Data!C2542</f>
        <v>married</v>
      </c>
      <c r="E2542" s="3" t="str">
        <f aca="false">Raw_Data!D2542</f>
        <v>tertiary</v>
      </c>
      <c r="F2542" s="3" t="str">
        <f aca="false">Raw_Data!E2542</f>
        <v>no</v>
      </c>
      <c r="G2542" s="3" t="n">
        <f aca="false">Raw_Data!F2542</f>
        <v>4148</v>
      </c>
      <c r="H2542" s="3" t="str">
        <f aca="false">Raw_Data!G2542</f>
        <v>yes</v>
      </c>
      <c r="I2542" s="3" t="str">
        <f aca="false">Raw_Data!H2542</f>
        <v>no</v>
      </c>
      <c r="J2542" s="2" t="n">
        <f aca="false">IF(F2542="yes",1,0)</f>
        <v>0</v>
      </c>
      <c r="K2542" s="2" t="n">
        <f aca="false">IF(H2542="yes",1,0)</f>
        <v>1</v>
      </c>
      <c r="L2542" s="2" t="n">
        <f aca="false">IF(I2542="yes",1,0)</f>
        <v>0</v>
      </c>
      <c r="M2542" s="2" t="n">
        <f aca="false">IF(G2542&lt;0,1,0)</f>
        <v>0</v>
      </c>
      <c r="N2542" s="2" t="str">
        <f aca="false">_xlfn.IFS(B2542&lt;30,"Under 30",B2542&lt;40,"30-39",B2542&lt;50,"40-49",B2542&lt;60,"50-59",TRUE(),"60+")</f>
        <v>30-39</v>
      </c>
      <c r="O2542" s="2" t="str">
        <f aca="false">_xlfn.IFS(G2542&lt;0,"1 Negative",G2542=0,"2 Zero",G2542&lt;=500,"3 1-500",G2542&lt;=2000,"4 501-2000",TRUE(),"5 Above 2000")</f>
        <v>5 Above 2000</v>
      </c>
      <c r="P2542" s="2" t="n">
        <f aca="false">Lookups!$B$2*M2542+Lookups!$B$3*L2542</f>
        <v>0</v>
      </c>
      <c r="Q2542" s="2" t="str">
        <f aca="false">INDEX(Lookups!$E$2:$E$5,MATCH(P2542,Lookups!$D$2:$D$5,0))</f>
        <v>Low</v>
      </c>
    </row>
    <row r="2543" customFormat="false" ht="15" hidden="false" customHeight="false" outlineLevel="0" collapsed="false">
      <c r="A2543" s="3" t="n">
        <v>2542</v>
      </c>
      <c r="B2543" s="3" t="n">
        <f aca="false">Raw_Data!A2543</f>
        <v>47</v>
      </c>
      <c r="C2543" s="3" t="str">
        <f aca="false">SUBSTITUTE(Raw_Data!B2543,".","")</f>
        <v>self-employed</v>
      </c>
      <c r="D2543" s="3" t="str">
        <f aca="false">Raw_Data!C2543</f>
        <v>married</v>
      </c>
      <c r="E2543" s="3" t="str">
        <f aca="false">Raw_Data!D2543</f>
        <v>unknown</v>
      </c>
      <c r="F2543" s="3" t="str">
        <f aca="false">Raw_Data!E2543</f>
        <v>no</v>
      </c>
      <c r="G2543" s="3" t="n">
        <f aca="false">Raw_Data!F2543</f>
        <v>14</v>
      </c>
      <c r="H2543" s="3" t="str">
        <f aca="false">Raw_Data!G2543</f>
        <v>yes</v>
      </c>
      <c r="I2543" s="3" t="str">
        <f aca="false">Raw_Data!H2543</f>
        <v>no</v>
      </c>
      <c r="J2543" s="2" t="n">
        <f aca="false">IF(F2543="yes",1,0)</f>
        <v>0</v>
      </c>
      <c r="K2543" s="2" t="n">
        <f aca="false">IF(H2543="yes",1,0)</f>
        <v>1</v>
      </c>
      <c r="L2543" s="2" t="n">
        <f aca="false">IF(I2543="yes",1,0)</f>
        <v>0</v>
      </c>
      <c r="M2543" s="2" t="n">
        <f aca="false">IF(G2543&lt;0,1,0)</f>
        <v>0</v>
      </c>
      <c r="N2543" s="2" t="str">
        <f aca="false">_xlfn.IFS(B2543&lt;30,"Under 30",B2543&lt;40,"30-39",B2543&lt;50,"40-49",B2543&lt;60,"50-59",TRUE(),"60+")</f>
        <v>40-49</v>
      </c>
      <c r="O2543" s="2" t="str">
        <f aca="false">_xlfn.IFS(G2543&lt;0,"1 Negative",G2543=0,"2 Zero",G2543&lt;=500,"3 1-500",G2543&lt;=2000,"4 501-2000",TRUE(),"5 Above 2000")</f>
        <v>3 1-500</v>
      </c>
      <c r="P2543" s="2" t="n">
        <f aca="false">Lookups!$B$2*M2543+Lookups!$B$3*L2543</f>
        <v>0</v>
      </c>
      <c r="Q2543" s="2" t="str">
        <f aca="false">INDEX(Lookups!$E$2:$E$5,MATCH(P2543,Lookups!$D$2:$D$5,0))</f>
        <v>Low</v>
      </c>
    </row>
    <row r="2544" customFormat="false" ht="15" hidden="false" customHeight="false" outlineLevel="0" collapsed="false">
      <c r="A2544" s="3" t="n">
        <v>2543</v>
      </c>
      <c r="B2544" s="3" t="n">
        <f aca="false">Raw_Data!A2544</f>
        <v>30</v>
      </c>
      <c r="C2544" s="3" t="str">
        <f aca="false">SUBSTITUTE(Raw_Data!B2544,".","")</f>
        <v>admin</v>
      </c>
      <c r="D2544" s="3" t="str">
        <f aca="false">Raw_Data!C2544</f>
        <v>single</v>
      </c>
      <c r="E2544" s="3" t="str">
        <f aca="false">Raw_Data!D2544</f>
        <v>secondary</v>
      </c>
      <c r="F2544" s="3" t="str">
        <f aca="false">Raw_Data!E2544</f>
        <v>no</v>
      </c>
      <c r="G2544" s="3" t="n">
        <f aca="false">Raw_Data!F2544</f>
        <v>105</v>
      </c>
      <c r="H2544" s="3" t="str">
        <f aca="false">Raw_Data!G2544</f>
        <v>yes</v>
      </c>
      <c r="I2544" s="3" t="str">
        <f aca="false">Raw_Data!H2544</f>
        <v>no</v>
      </c>
      <c r="J2544" s="2" t="n">
        <f aca="false">IF(F2544="yes",1,0)</f>
        <v>0</v>
      </c>
      <c r="K2544" s="2" t="n">
        <f aca="false">IF(H2544="yes",1,0)</f>
        <v>1</v>
      </c>
      <c r="L2544" s="2" t="n">
        <f aca="false">IF(I2544="yes",1,0)</f>
        <v>0</v>
      </c>
      <c r="M2544" s="2" t="n">
        <f aca="false">IF(G2544&lt;0,1,0)</f>
        <v>0</v>
      </c>
      <c r="N2544" s="2" t="str">
        <f aca="false">_xlfn.IFS(B2544&lt;30,"Under 30",B2544&lt;40,"30-39",B2544&lt;50,"40-49",B2544&lt;60,"50-59",TRUE(),"60+")</f>
        <v>30-39</v>
      </c>
      <c r="O2544" s="2" t="str">
        <f aca="false">_xlfn.IFS(G2544&lt;0,"1 Negative",G2544=0,"2 Zero",G2544&lt;=500,"3 1-500",G2544&lt;=2000,"4 501-2000",TRUE(),"5 Above 2000")</f>
        <v>3 1-500</v>
      </c>
      <c r="P2544" s="2" t="n">
        <f aca="false">Lookups!$B$2*M2544+Lookups!$B$3*L2544</f>
        <v>0</v>
      </c>
      <c r="Q2544" s="2" t="str">
        <f aca="false">INDEX(Lookups!$E$2:$E$5,MATCH(P2544,Lookups!$D$2:$D$5,0))</f>
        <v>Low</v>
      </c>
    </row>
    <row r="2545" customFormat="false" ht="15" hidden="false" customHeight="false" outlineLevel="0" collapsed="false">
      <c r="A2545" s="3" t="n">
        <v>2544</v>
      </c>
      <c r="B2545" s="3" t="n">
        <f aca="false">Raw_Data!A2545</f>
        <v>37</v>
      </c>
      <c r="C2545" s="3" t="str">
        <f aca="false">SUBSTITUTE(Raw_Data!B2545,".","")</f>
        <v>management</v>
      </c>
      <c r="D2545" s="3" t="str">
        <f aca="false">Raw_Data!C2545</f>
        <v>married</v>
      </c>
      <c r="E2545" s="3" t="str">
        <f aca="false">Raw_Data!D2545</f>
        <v>tertiary</v>
      </c>
      <c r="F2545" s="3" t="str">
        <f aca="false">Raw_Data!E2545</f>
        <v>no</v>
      </c>
      <c r="G2545" s="3" t="n">
        <f aca="false">Raw_Data!F2545</f>
        <v>767</v>
      </c>
      <c r="H2545" s="3" t="str">
        <f aca="false">Raw_Data!G2545</f>
        <v>no</v>
      </c>
      <c r="I2545" s="3" t="str">
        <f aca="false">Raw_Data!H2545</f>
        <v>yes</v>
      </c>
      <c r="J2545" s="2" t="n">
        <f aca="false">IF(F2545="yes",1,0)</f>
        <v>0</v>
      </c>
      <c r="K2545" s="2" t="n">
        <f aca="false">IF(H2545="yes",1,0)</f>
        <v>0</v>
      </c>
      <c r="L2545" s="2" t="n">
        <f aca="false">IF(I2545="yes",1,0)</f>
        <v>1</v>
      </c>
      <c r="M2545" s="2" t="n">
        <f aca="false">IF(G2545&lt;0,1,0)</f>
        <v>0</v>
      </c>
      <c r="N2545" s="2" t="str">
        <f aca="false">_xlfn.IFS(B2545&lt;30,"Under 30",B2545&lt;40,"30-39",B2545&lt;50,"40-49",B2545&lt;60,"50-59",TRUE(),"60+")</f>
        <v>30-39</v>
      </c>
      <c r="O2545" s="2" t="str">
        <f aca="false">_xlfn.IFS(G2545&lt;0,"1 Negative",G2545=0,"2 Zero",G2545&lt;=500,"3 1-500",G2545&lt;=2000,"4 501-2000",TRUE(),"5 Above 2000")</f>
        <v>4 501-2000</v>
      </c>
      <c r="P2545" s="2" t="n">
        <f aca="false">Lookups!$B$2*M2545+Lookups!$B$3*L2545</f>
        <v>1</v>
      </c>
      <c r="Q2545" s="2" t="str">
        <f aca="false">INDEX(Lookups!$E$2:$E$5,MATCH(P2545,Lookups!$D$2:$D$5,0))</f>
        <v>Medium</v>
      </c>
    </row>
    <row r="2546" customFormat="false" ht="15" hidden="false" customHeight="false" outlineLevel="0" collapsed="false">
      <c r="A2546" s="3" t="n">
        <v>2545</v>
      </c>
      <c r="B2546" s="3" t="n">
        <f aca="false">Raw_Data!A2546</f>
        <v>56</v>
      </c>
      <c r="C2546" s="3" t="str">
        <f aca="false">SUBSTITUTE(Raw_Data!B2546,".","")</f>
        <v>admin</v>
      </c>
      <c r="D2546" s="3" t="str">
        <f aca="false">Raw_Data!C2546</f>
        <v>divorced</v>
      </c>
      <c r="E2546" s="3" t="str">
        <f aca="false">Raw_Data!D2546</f>
        <v>primary</v>
      </c>
      <c r="F2546" s="3" t="str">
        <f aca="false">Raw_Data!E2546</f>
        <v>no</v>
      </c>
      <c r="G2546" s="3" t="n">
        <f aca="false">Raw_Data!F2546</f>
        <v>0</v>
      </c>
      <c r="H2546" s="3" t="str">
        <f aca="false">Raw_Data!G2546</f>
        <v>no</v>
      </c>
      <c r="I2546" s="3" t="str">
        <f aca="false">Raw_Data!H2546</f>
        <v>yes</v>
      </c>
      <c r="J2546" s="2" t="n">
        <f aca="false">IF(F2546="yes",1,0)</f>
        <v>0</v>
      </c>
      <c r="K2546" s="2" t="n">
        <f aca="false">IF(H2546="yes",1,0)</f>
        <v>0</v>
      </c>
      <c r="L2546" s="2" t="n">
        <f aca="false">IF(I2546="yes",1,0)</f>
        <v>1</v>
      </c>
      <c r="M2546" s="2" t="n">
        <f aca="false">IF(G2546&lt;0,1,0)</f>
        <v>0</v>
      </c>
      <c r="N2546" s="2" t="str">
        <f aca="false">_xlfn.IFS(B2546&lt;30,"Under 30",B2546&lt;40,"30-39",B2546&lt;50,"40-49",B2546&lt;60,"50-59",TRUE(),"60+")</f>
        <v>50-59</v>
      </c>
      <c r="O2546" s="2" t="str">
        <f aca="false">_xlfn.IFS(G2546&lt;0,"1 Negative",G2546=0,"2 Zero",G2546&lt;=500,"3 1-500",G2546&lt;=2000,"4 501-2000",TRUE(),"5 Above 2000")</f>
        <v>2 Zero</v>
      </c>
      <c r="P2546" s="2" t="n">
        <f aca="false">Lookups!$B$2*M2546+Lookups!$B$3*L2546</f>
        <v>1</v>
      </c>
      <c r="Q2546" s="2" t="str">
        <f aca="false">INDEX(Lookups!$E$2:$E$5,MATCH(P2546,Lookups!$D$2:$D$5,0))</f>
        <v>Medium</v>
      </c>
    </row>
    <row r="2547" customFormat="false" ht="15" hidden="false" customHeight="false" outlineLevel="0" collapsed="false">
      <c r="A2547" s="3" t="n">
        <v>2546</v>
      </c>
      <c r="B2547" s="3" t="n">
        <f aca="false">Raw_Data!A2547</f>
        <v>43</v>
      </c>
      <c r="C2547" s="3" t="str">
        <f aca="false">SUBSTITUTE(Raw_Data!B2547,".","")</f>
        <v>management</v>
      </c>
      <c r="D2547" s="3" t="str">
        <f aca="false">Raw_Data!C2547</f>
        <v>single</v>
      </c>
      <c r="E2547" s="3" t="str">
        <f aca="false">Raw_Data!D2547</f>
        <v>secondary</v>
      </c>
      <c r="F2547" s="3" t="str">
        <f aca="false">Raw_Data!E2547</f>
        <v>no</v>
      </c>
      <c r="G2547" s="3" t="n">
        <f aca="false">Raw_Data!F2547</f>
        <v>-228</v>
      </c>
      <c r="H2547" s="3" t="str">
        <f aca="false">Raw_Data!G2547</f>
        <v>yes</v>
      </c>
      <c r="I2547" s="3" t="str">
        <f aca="false">Raw_Data!H2547</f>
        <v>yes</v>
      </c>
      <c r="J2547" s="2" t="n">
        <f aca="false">IF(F2547="yes",1,0)</f>
        <v>0</v>
      </c>
      <c r="K2547" s="2" t="n">
        <f aca="false">IF(H2547="yes",1,0)</f>
        <v>1</v>
      </c>
      <c r="L2547" s="2" t="n">
        <f aca="false">IF(I2547="yes",1,0)</f>
        <v>1</v>
      </c>
      <c r="M2547" s="2" t="n">
        <f aca="false">IF(G2547&lt;0,1,0)</f>
        <v>1</v>
      </c>
      <c r="N2547" s="2" t="str">
        <f aca="false">_xlfn.IFS(B2547&lt;30,"Under 30",B2547&lt;40,"30-39",B2547&lt;50,"40-49",B2547&lt;60,"50-59",TRUE(),"60+")</f>
        <v>40-49</v>
      </c>
      <c r="O2547" s="2" t="str">
        <f aca="false">_xlfn.IFS(G2547&lt;0,"1 Negative",G2547=0,"2 Zero",G2547&lt;=500,"3 1-500",G2547&lt;=2000,"4 501-2000",TRUE(),"5 Above 2000")</f>
        <v>1 Negative</v>
      </c>
      <c r="P2547" s="2" t="n">
        <f aca="false">Lookups!$B$2*M2547+Lookups!$B$3*L2547</f>
        <v>3</v>
      </c>
      <c r="Q2547" s="2" t="str">
        <f aca="false">INDEX(Lookups!$E$2:$E$5,MATCH(P2547,Lookups!$D$2:$D$5,0))</f>
        <v>High</v>
      </c>
    </row>
    <row r="2548" customFormat="false" ht="15" hidden="false" customHeight="false" outlineLevel="0" collapsed="false">
      <c r="A2548" s="3" t="n">
        <v>2547</v>
      </c>
      <c r="B2548" s="3" t="n">
        <f aca="false">Raw_Data!A2548</f>
        <v>42</v>
      </c>
      <c r="C2548" s="3" t="str">
        <f aca="false">SUBSTITUTE(Raw_Data!B2548,".","")</f>
        <v>services</v>
      </c>
      <c r="D2548" s="3" t="str">
        <f aca="false">Raw_Data!C2548</f>
        <v>married</v>
      </c>
      <c r="E2548" s="3" t="str">
        <f aca="false">Raw_Data!D2548</f>
        <v>secondary</v>
      </c>
      <c r="F2548" s="3" t="str">
        <f aca="false">Raw_Data!E2548</f>
        <v>no</v>
      </c>
      <c r="G2548" s="3" t="n">
        <f aca="false">Raw_Data!F2548</f>
        <v>508</v>
      </c>
      <c r="H2548" s="3" t="str">
        <f aca="false">Raw_Data!G2548</f>
        <v>yes</v>
      </c>
      <c r="I2548" s="3" t="str">
        <f aca="false">Raw_Data!H2548</f>
        <v>no</v>
      </c>
      <c r="J2548" s="2" t="n">
        <f aca="false">IF(F2548="yes",1,0)</f>
        <v>0</v>
      </c>
      <c r="K2548" s="2" t="n">
        <f aca="false">IF(H2548="yes",1,0)</f>
        <v>1</v>
      </c>
      <c r="L2548" s="2" t="n">
        <f aca="false">IF(I2548="yes",1,0)</f>
        <v>0</v>
      </c>
      <c r="M2548" s="2" t="n">
        <f aca="false">IF(G2548&lt;0,1,0)</f>
        <v>0</v>
      </c>
      <c r="N2548" s="2" t="str">
        <f aca="false">_xlfn.IFS(B2548&lt;30,"Under 30",B2548&lt;40,"30-39",B2548&lt;50,"40-49",B2548&lt;60,"50-59",TRUE(),"60+")</f>
        <v>40-49</v>
      </c>
      <c r="O2548" s="2" t="str">
        <f aca="false">_xlfn.IFS(G2548&lt;0,"1 Negative",G2548=0,"2 Zero",G2548&lt;=500,"3 1-500",G2548&lt;=2000,"4 501-2000",TRUE(),"5 Above 2000")</f>
        <v>4 501-2000</v>
      </c>
      <c r="P2548" s="2" t="n">
        <f aca="false">Lookups!$B$2*M2548+Lookups!$B$3*L2548</f>
        <v>0</v>
      </c>
      <c r="Q2548" s="2" t="str">
        <f aca="false">INDEX(Lookups!$E$2:$E$5,MATCH(P2548,Lookups!$D$2:$D$5,0))</f>
        <v>Low</v>
      </c>
    </row>
    <row r="2549" customFormat="false" ht="15" hidden="false" customHeight="false" outlineLevel="0" collapsed="false">
      <c r="A2549" s="3" t="n">
        <v>2548</v>
      </c>
      <c r="B2549" s="3" t="n">
        <f aca="false">Raw_Data!A2549</f>
        <v>60</v>
      </c>
      <c r="C2549" s="3" t="str">
        <f aca="false">SUBSTITUTE(Raw_Data!B2549,".","")</f>
        <v>management</v>
      </c>
      <c r="D2549" s="3" t="str">
        <f aca="false">Raw_Data!C2549</f>
        <v>married</v>
      </c>
      <c r="E2549" s="3" t="str">
        <f aca="false">Raw_Data!D2549</f>
        <v>secondary</v>
      </c>
      <c r="F2549" s="3" t="str">
        <f aca="false">Raw_Data!E2549</f>
        <v>no</v>
      </c>
      <c r="G2549" s="3" t="n">
        <f aca="false">Raw_Data!F2549</f>
        <v>725</v>
      </c>
      <c r="H2549" s="3" t="str">
        <f aca="false">Raw_Data!G2549</f>
        <v>yes</v>
      </c>
      <c r="I2549" s="3" t="str">
        <f aca="false">Raw_Data!H2549</f>
        <v>no</v>
      </c>
      <c r="J2549" s="2" t="n">
        <f aca="false">IF(F2549="yes",1,0)</f>
        <v>0</v>
      </c>
      <c r="K2549" s="2" t="n">
        <f aca="false">IF(H2549="yes",1,0)</f>
        <v>1</v>
      </c>
      <c r="L2549" s="2" t="n">
        <f aca="false">IF(I2549="yes",1,0)</f>
        <v>0</v>
      </c>
      <c r="M2549" s="2" t="n">
        <f aca="false">IF(G2549&lt;0,1,0)</f>
        <v>0</v>
      </c>
      <c r="N2549" s="2" t="str">
        <f aca="false">_xlfn.IFS(B2549&lt;30,"Under 30",B2549&lt;40,"30-39",B2549&lt;50,"40-49",B2549&lt;60,"50-59",TRUE(),"60+")</f>
        <v>60+</v>
      </c>
      <c r="O2549" s="2" t="str">
        <f aca="false">_xlfn.IFS(G2549&lt;0,"1 Negative",G2549=0,"2 Zero",G2549&lt;=500,"3 1-500",G2549&lt;=2000,"4 501-2000",TRUE(),"5 Above 2000")</f>
        <v>4 501-2000</v>
      </c>
      <c r="P2549" s="2" t="n">
        <f aca="false">Lookups!$B$2*M2549+Lookups!$B$3*L2549</f>
        <v>0</v>
      </c>
      <c r="Q2549" s="2" t="str">
        <f aca="false">INDEX(Lookups!$E$2:$E$5,MATCH(P2549,Lookups!$D$2:$D$5,0))</f>
        <v>Low</v>
      </c>
    </row>
    <row r="2550" customFormat="false" ht="15" hidden="false" customHeight="false" outlineLevel="0" collapsed="false">
      <c r="A2550" s="3" t="n">
        <v>2549</v>
      </c>
      <c r="B2550" s="3" t="n">
        <f aca="false">Raw_Data!A2550</f>
        <v>34</v>
      </c>
      <c r="C2550" s="3" t="str">
        <f aca="false">SUBSTITUTE(Raw_Data!B2550,".","")</f>
        <v>blue-collar</v>
      </c>
      <c r="D2550" s="3" t="str">
        <f aca="false">Raw_Data!C2550</f>
        <v>married</v>
      </c>
      <c r="E2550" s="3" t="str">
        <f aca="false">Raw_Data!D2550</f>
        <v>unknown</v>
      </c>
      <c r="F2550" s="3" t="str">
        <f aca="false">Raw_Data!E2550</f>
        <v>no</v>
      </c>
      <c r="G2550" s="3" t="n">
        <f aca="false">Raw_Data!F2550</f>
        <v>41</v>
      </c>
      <c r="H2550" s="3" t="str">
        <f aca="false">Raw_Data!G2550</f>
        <v>yes</v>
      </c>
      <c r="I2550" s="3" t="str">
        <f aca="false">Raw_Data!H2550</f>
        <v>no</v>
      </c>
      <c r="J2550" s="2" t="n">
        <f aca="false">IF(F2550="yes",1,0)</f>
        <v>0</v>
      </c>
      <c r="K2550" s="2" t="n">
        <f aca="false">IF(H2550="yes",1,0)</f>
        <v>1</v>
      </c>
      <c r="L2550" s="2" t="n">
        <f aca="false">IF(I2550="yes",1,0)</f>
        <v>0</v>
      </c>
      <c r="M2550" s="2" t="n">
        <f aca="false">IF(G2550&lt;0,1,0)</f>
        <v>0</v>
      </c>
      <c r="N2550" s="2" t="str">
        <f aca="false">_xlfn.IFS(B2550&lt;30,"Under 30",B2550&lt;40,"30-39",B2550&lt;50,"40-49",B2550&lt;60,"50-59",TRUE(),"60+")</f>
        <v>30-39</v>
      </c>
      <c r="O2550" s="2" t="str">
        <f aca="false">_xlfn.IFS(G2550&lt;0,"1 Negative",G2550=0,"2 Zero",G2550&lt;=500,"3 1-500",G2550&lt;=2000,"4 501-2000",TRUE(),"5 Above 2000")</f>
        <v>3 1-500</v>
      </c>
      <c r="P2550" s="2" t="n">
        <f aca="false">Lookups!$B$2*M2550+Lookups!$B$3*L2550</f>
        <v>0</v>
      </c>
      <c r="Q2550" s="2" t="str">
        <f aca="false">INDEX(Lookups!$E$2:$E$5,MATCH(P2550,Lookups!$D$2:$D$5,0))</f>
        <v>Low</v>
      </c>
    </row>
    <row r="2551" customFormat="false" ht="15" hidden="false" customHeight="false" outlineLevel="0" collapsed="false">
      <c r="A2551" s="3" t="n">
        <v>2550</v>
      </c>
      <c r="B2551" s="3" t="n">
        <f aca="false">Raw_Data!A2551</f>
        <v>34</v>
      </c>
      <c r="C2551" s="3" t="str">
        <f aca="false">SUBSTITUTE(Raw_Data!B2551,".","")</f>
        <v>management</v>
      </c>
      <c r="D2551" s="3" t="str">
        <f aca="false">Raw_Data!C2551</f>
        <v>single</v>
      </c>
      <c r="E2551" s="3" t="str">
        <f aca="false">Raw_Data!D2551</f>
        <v>tertiary</v>
      </c>
      <c r="F2551" s="3" t="str">
        <f aca="false">Raw_Data!E2551</f>
        <v>no</v>
      </c>
      <c r="G2551" s="3" t="n">
        <f aca="false">Raw_Data!F2551</f>
        <v>184</v>
      </c>
      <c r="H2551" s="3" t="str">
        <f aca="false">Raw_Data!G2551</f>
        <v>no</v>
      </c>
      <c r="I2551" s="3" t="str">
        <f aca="false">Raw_Data!H2551</f>
        <v>no</v>
      </c>
      <c r="J2551" s="2" t="n">
        <f aca="false">IF(F2551="yes",1,0)</f>
        <v>0</v>
      </c>
      <c r="K2551" s="2" t="n">
        <f aca="false">IF(H2551="yes",1,0)</f>
        <v>0</v>
      </c>
      <c r="L2551" s="2" t="n">
        <f aca="false">IF(I2551="yes",1,0)</f>
        <v>0</v>
      </c>
      <c r="M2551" s="2" t="n">
        <f aca="false">IF(G2551&lt;0,1,0)</f>
        <v>0</v>
      </c>
      <c r="N2551" s="2" t="str">
        <f aca="false">_xlfn.IFS(B2551&lt;30,"Under 30",B2551&lt;40,"30-39",B2551&lt;50,"40-49",B2551&lt;60,"50-59",TRUE(),"60+")</f>
        <v>30-39</v>
      </c>
      <c r="O2551" s="2" t="str">
        <f aca="false">_xlfn.IFS(G2551&lt;0,"1 Negative",G2551=0,"2 Zero",G2551&lt;=500,"3 1-500",G2551&lt;=2000,"4 501-2000",TRUE(),"5 Above 2000")</f>
        <v>3 1-500</v>
      </c>
      <c r="P2551" s="2" t="n">
        <f aca="false">Lookups!$B$2*M2551+Lookups!$B$3*L2551</f>
        <v>0</v>
      </c>
      <c r="Q2551" s="2" t="str">
        <f aca="false">INDEX(Lookups!$E$2:$E$5,MATCH(P2551,Lookups!$D$2:$D$5,0))</f>
        <v>Low</v>
      </c>
    </row>
    <row r="2552" customFormat="false" ht="15" hidden="false" customHeight="false" outlineLevel="0" collapsed="false">
      <c r="A2552" s="3" t="n">
        <v>2551</v>
      </c>
      <c r="B2552" s="3" t="n">
        <f aca="false">Raw_Data!A2552</f>
        <v>41</v>
      </c>
      <c r="C2552" s="3" t="str">
        <f aca="false">SUBSTITUTE(Raw_Data!B2552,".","")</f>
        <v>management</v>
      </c>
      <c r="D2552" s="3" t="str">
        <f aca="false">Raw_Data!C2552</f>
        <v>married</v>
      </c>
      <c r="E2552" s="3" t="str">
        <f aca="false">Raw_Data!D2552</f>
        <v>tertiary</v>
      </c>
      <c r="F2552" s="3" t="str">
        <f aca="false">Raw_Data!E2552</f>
        <v>no</v>
      </c>
      <c r="G2552" s="3" t="n">
        <f aca="false">Raw_Data!F2552</f>
        <v>251</v>
      </c>
      <c r="H2552" s="3" t="str">
        <f aca="false">Raw_Data!G2552</f>
        <v>no</v>
      </c>
      <c r="I2552" s="3" t="str">
        <f aca="false">Raw_Data!H2552</f>
        <v>yes</v>
      </c>
      <c r="J2552" s="2" t="n">
        <f aca="false">IF(F2552="yes",1,0)</f>
        <v>0</v>
      </c>
      <c r="K2552" s="2" t="n">
        <f aca="false">IF(H2552="yes",1,0)</f>
        <v>0</v>
      </c>
      <c r="L2552" s="2" t="n">
        <f aca="false">IF(I2552="yes",1,0)</f>
        <v>1</v>
      </c>
      <c r="M2552" s="2" t="n">
        <f aca="false">IF(G2552&lt;0,1,0)</f>
        <v>0</v>
      </c>
      <c r="N2552" s="2" t="str">
        <f aca="false">_xlfn.IFS(B2552&lt;30,"Under 30",B2552&lt;40,"30-39",B2552&lt;50,"40-49",B2552&lt;60,"50-59",TRUE(),"60+")</f>
        <v>40-49</v>
      </c>
      <c r="O2552" s="2" t="str">
        <f aca="false">_xlfn.IFS(G2552&lt;0,"1 Negative",G2552=0,"2 Zero",G2552&lt;=500,"3 1-500",G2552&lt;=2000,"4 501-2000",TRUE(),"5 Above 2000")</f>
        <v>3 1-500</v>
      </c>
      <c r="P2552" s="2" t="n">
        <f aca="false">Lookups!$B$2*M2552+Lookups!$B$3*L2552</f>
        <v>1</v>
      </c>
      <c r="Q2552" s="2" t="str">
        <f aca="false">INDEX(Lookups!$E$2:$E$5,MATCH(P2552,Lookups!$D$2:$D$5,0))</f>
        <v>Medium</v>
      </c>
    </row>
    <row r="2553" customFormat="false" ht="15" hidden="false" customHeight="false" outlineLevel="0" collapsed="false">
      <c r="A2553" s="3" t="n">
        <v>2552</v>
      </c>
      <c r="B2553" s="3" t="n">
        <f aca="false">Raw_Data!A2553</f>
        <v>38</v>
      </c>
      <c r="C2553" s="3" t="str">
        <f aca="false">SUBSTITUTE(Raw_Data!B2553,".","")</f>
        <v>management</v>
      </c>
      <c r="D2553" s="3" t="str">
        <f aca="false">Raw_Data!C2553</f>
        <v>divorced</v>
      </c>
      <c r="E2553" s="3" t="str">
        <f aca="false">Raw_Data!D2553</f>
        <v>secondary</v>
      </c>
      <c r="F2553" s="3" t="str">
        <f aca="false">Raw_Data!E2553</f>
        <v>no</v>
      </c>
      <c r="G2553" s="3" t="n">
        <f aca="false">Raw_Data!F2553</f>
        <v>-17</v>
      </c>
      <c r="H2553" s="3" t="str">
        <f aca="false">Raw_Data!G2553</f>
        <v>no</v>
      </c>
      <c r="I2553" s="3" t="str">
        <f aca="false">Raw_Data!H2553</f>
        <v>no</v>
      </c>
      <c r="J2553" s="2" t="n">
        <f aca="false">IF(F2553="yes",1,0)</f>
        <v>0</v>
      </c>
      <c r="K2553" s="2" t="n">
        <f aca="false">IF(H2553="yes",1,0)</f>
        <v>0</v>
      </c>
      <c r="L2553" s="2" t="n">
        <f aca="false">IF(I2553="yes",1,0)</f>
        <v>0</v>
      </c>
      <c r="M2553" s="2" t="n">
        <f aca="false">IF(G2553&lt;0,1,0)</f>
        <v>1</v>
      </c>
      <c r="N2553" s="2" t="str">
        <f aca="false">_xlfn.IFS(B2553&lt;30,"Under 30",B2553&lt;40,"30-39",B2553&lt;50,"40-49",B2553&lt;60,"50-59",TRUE(),"60+")</f>
        <v>30-39</v>
      </c>
      <c r="O2553" s="2" t="str">
        <f aca="false">_xlfn.IFS(G2553&lt;0,"1 Negative",G2553=0,"2 Zero",G2553&lt;=500,"3 1-500",G2553&lt;=2000,"4 501-2000",TRUE(),"5 Above 2000")</f>
        <v>1 Negative</v>
      </c>
      <c r="P2553" s="2" t="n">
        <f aca="false">Lookups!$B$2*M2553+Lookups!$B$3*L2553</f>
        <v>2</v>
      </c>
      <c r="Q2553" s="2" t="str">
        <f aca="false">INDEX(Lookups!$E$2:$E$5,MATCH(P2553,Lookups!$D$2:$D$5,0))</f>
        <v>High</v>
      </c>
    </row>
    <row r="2554" customFormat="false" ht="15" hidden="false" customHeight="false" outlineLevel="0" collapsed="false">
      <c r="A2554" s="3" t="n">
        <v>2553</v>
      </c>
      <c r="B2554" s="3" t="n">
        <f aca="false">Raw_Data!A2554</f>
        <v>23</v>
      </c>
      <c r="C2554" s="3" t="str">
        <f aca="false">SUBSTITUTE(Raw_Data!B2554,".","")</f>
        <v>services</v>
      </c>
      <c r="D2554" s="3" t="str">
        <f aca="false">Raw_Data!C2554</f>
        <v>married</v>
      </c>
      <c r="E2554" s="3" t="str">
        <f aca="false">Raw_Data!D2554</f>
        <v>secondary</v>
      </c>
      <c r="F2554" s="3" t="str">
        <f aca="false">Raw_Data!E2554</f>
        <v>no</v>
      </c>
      <c r="G2554" s="3" t="n">
        <f aca="false">Raw_Data!F2554</f>
        <v>-19</v>
      </c>
      <c r="H2554" s="3" t="str">
        <f aca="false">Raw_Data!G2554</f>
        <v>yes</v>
      </c>
      <c r="I2554" s="3" t="str">
        <f aca="false">Raw_Data!H2554</f>
        <v>no</v>
      </c>
      <c r="J2554" s="2" t="n">
        <f aca="false">IF(F2554="yes",1,0)</f>
        <v>0</v>
      </c>
      <c r="K2554" s="2" t="n">
        <f aca="false">IF(H2554="yes",1,0)</f>
        <v>1</v>
      </c>
      <c r="L2554" s="2" t="n">
        <f aca="false">IF(I2554="yes",1,0)</f>
        <v>0</v>
      </c>
      <c r="M2554" s="2" t="n">
        <f aca="false">IF(G2554&lt;0,1,0)</f>
        <v>1</v>
      </c>
      <c r="N2554" s="2" t="str">
        <f aca="false">_xlfn.IFS(B2554&lt;30,"Under 30",B2554&lt;40,"30-39",B2554&lt;50,"40-49",B2554&lt;60,"50-59",TRUE(),"60+")</f>
        <v>Under 30</v>
      </c>
      <c r="O2554" s="2" t="str">
        <f aca="false">_xlfn.IFS(G2554&lt;0,"1 Negative",G2554=0,"2 Zero",G2554&lt;=500,"3 1-500",G2554&lt;=2000,"4 501-2000",TRUE(),"5 Above 2000")</f>
        <v>1 Negative</v>
      </c>
      <c r="P2554" s="2" t="n">
        <f aca="false">Lookups!$B$2*M2554+Lookups!$B$3*L2554</f>
        <v>2</v>
      </c>
      <c r="Q2554" s="2" t="str">
        <f aca="false">INDEX(Lookups!$E$2:$E$5,MATCH(P2554,Lookups!$D$2:$D$5,0))</f>
        <v>High</v>
      </c>
    </row>
    <row r="2555" customFormat="false" ht="15" hidden="false" customHeight="false" outlineLevel="0" collapsed="false">
      <c r="A2555" s="3" t="n">
        <v>2554</v>
      </c>
      <c r="B2555" s="3" t="n">
        <f aca="false">Raw_Data!A2555</f>
        <v>33</v>
      </c>
      <c r="C2555" s="3" t="str">
        <f aca="false">SUBSTITUTE(Raw_Data!B2555,".","")</f>
        <v>management</v>
      </c>
      <c r="D2555" s="3" t="str">
        <f aca="false">Raw_Data!C2555</f>
        <v>married</v>
      </c>
      <c r="E2555" s="3" t="str">
        <f aca="false">Raw_Data!D2555</f>
        <v>tertiary</v>
      </c>
      <c r="F2555" s="3" t="str">
        <f aca="false">Raw_Data!E2555</f>
        <v>no</v>
      </c>
      <c r="G2555" s="3" t="n">
        <f aca="false">Raw_Data!F2555</f>
        <v>1064</v>
      </c>
      <c r="H2555" s="3" t="str">
        <f aca="false">Raw_Data!G2555</f>
        <v>yes</v>
      </c>
      <c r="I2555" s="3" t="str">
        <f aca="false">Raw_Data!H2555</f>
        <v>no</v>
      </c>
      <c r="J2555" s="2" t="n">
        <f aca="false">IF(F2555="yes",1,0)</f>
        <v>0</v>
      </c>
      <c r="K2555" s="2" t="n">
        <f aca="false">IF(H2555="yes",1,0)</f>
        <v>1</v>
      </c>
      <c r="L2555" s="2" t="n">
        <f aca="false">IF(I2555="yes",1,0)</f>
        <v>0</v>
      </c>
      <c r="M2555" s="2" t="n">
        <f aca="false">IF(G2555&lt;0,1,0)</f>
        <v>0</v>
      </c>
      <c r="N2555" s="2" t="str">
        <f aca="false">_xlfn.IFS(B2555&lt;30,"Under 30",B2555&lt;40,"30-39",B2555&lt;50,"40-49",B2555&lt;60,"50-59",TRUE(),"60+")</f>
        <v>30-39</v>
      </c>
      <c r="O2555" s="2" t="str">
        <f aca="false">_xlfn.IFS(G2555&lt;0,"1 Negative",G2555=0,"2 Zero",G2555&lt;=500,"3 1-500",G2555&lt;=2000,"4 501-2000",TRUE(),"5 Above 2000")</f>
        <v>4 501-2000</v>
      </c>
      <c r="P2555" s="2" t="n">
        <f aca="false">Lookups!$B$2*M2555+Lookups!$B$3*L2555</f>
        <v>0</v>
      </c>
      <c r="Q2555" s="2" t="str">
        <f aca="false">INDEX(Lookups!$E$2:$E$5,MATCH(P2555,Lookups!$D$2:$D$5,0))</f>
        <v>Low</v>
      </c>
    </row>
    <row r="2556" customFormat="false" ht="15" hidden="false" customHeight="false" outlineLevel="0" collapsed="false">
      <c r="A2556" s="3" t="n">
        <v>2555</v>
      </c>
      <c r="B2556" s="3" t="n">
        <f aca="false">Raw_Data!A2556</f>
        <v>36</v>
      </c>
      <c r="C2556" s="3" t="str">
        <f aca="false">SUBSTITUTE(Raw_Data!B2556,".","")</f>
        <v>blue-collar</v>
      </c>
      <c r="D2556" s="3" t="str">
        <f aca="false">Raw_Data!C2556</f>
        <v>married</v>
      </c>
      <c r="E2556" s="3" t="str">
        <f aca="false">Raw_Data!D2556</f>
        <v>secondary</v>
      </c>
      <c r="F2556" s="3" t="str">
        <f aca="false">Raw_Data!E2556</f>
        <v>no</v>
      </c>
      <c r="G2556" s="3" t="n">
        <f aca="false">Raw_Data!F2556</f>
        <v>777</v>
      </c>
      <c r="H2556" s="3" t="str">
        <f aca="false">Raw_Data!G2556</f>
        <v>yes</v>
      </c>
      <c r="I2556" s="3" t="str">
        <f aca="false">Raw_Data!H2556</f>
        <v>no</v>
      </c>
      <c r="J2556" s="2" t="n">
        <f aca="false">IF(F2556="yes",1,0)</f>
        <v>0</v>
      </c>
      <c r="K2556" s="2" t="n">
        <f aca="false">IF(H2556="yes",1,0)</f>
        <v>1</v>
      </c>
      <c r="L2556" s="2" t="n">
        <f aca="false">IF(I2556="yes",1,0)</f>
        <v>0</v>
      </c>
      <c r="M2556" s="2" t="n">
        <f aca="false">IF(G2556&lt;0,1,0)</f>
        <v>0</v>
      </c>
      <c r="N2556" s="2" t="str">
        <f aca="false">_xlfn.IFS(B2556&lt;30,"Under 30",B2556&lt;40,"30-39",B2556&lt;50,"40-49",B2556&lt;60,"50-59",TRUE(),"60+")</f>
        <v>30-39</v>
      </c>
      <c r="O2556" s="2" t="str">
        <f aca="false">_xlfn.IFS(G2556&lt;0,"1 Negative",G2556=0,"2 Zero",G2556&lt;=500,"3 1-500",G2556&lt;=2000,"4 501-2000",TRUE(),"5 Above 2000")</f>
        <v>4 501-2000</v>
      </c>
      <c r="P2556" s="2" t="n">
        <f aca="false">Lookups!$B$2*M2556+Lookups!$B$3*L2556</f>
        <v>0</v>
      </c>
      <c r="Q2556" s="2" t="str">
        <f aca="false">INDEX(Lookups!$E$2:$E$5,MATCH(P2556,Lookups!$D$2:$D$5,0))</f>
        <v>Low</v>
      </c>
    </row>
    <row r="2557" customFormat="false" ht="15" hidden="false" customHeight="false" outlineLevel="0" collapsed="false">
      <c r="A2557" s="3" t="n">
        <v>2556</v>
      </c>
      <c r="B2557" s="3" t="n">
        <f aca="false">Raw_Data!A2557</f>
        <v>49</v>
      </c>
      <c r="C2557" s="3" t="str">
        <f aca="false">SUBSTITUTE(Raw_Data!B2557,".","")</f>
        <v>unemployed</v>
      </c>
      <c r="D2557" s="3" t="str">
        <f aca="false">Raw_Data!C2557</f>
        <v>married</v>
      </c>
      <c r="E2557" s="3" t="str">
        <f aca="false">Raw_Data!D2557</f>
        <v>tertiary</v>
      </c>
      <c r="F2557" s="3" t="str">
        <f aca="false">Raw_Data!E2557</f>
        <v>no</v>
      </c>
      <c r="G2557" s="3" t="n">
        <f aca="false">Raw_Data!F2557</f>
        <v>377</v>
      </c>
      <c r="H2557" s="3" t="str">
        <f aca="false">Raw_Data!G2557</f>
        <v>no</v>
      </c>
      <c r="I2557" s="3" t="str">
        <f aca="false">Raw_Data!H2557</f>
        <v>no</v>
      </c>
      <c r="J2557" s="2" t="n">
        <f aca="false">IF(F2557="yes",1,0)</f>
        <v>0</v>
      </c>
      <c r="K2557" s="2" t="n">
        <f aca="false">IF(H2557="yes",1,0)</f>
        <v>0</v>
      </c>
      <c r="L2557" s="2" t="n">
        <f aca="false">IF(I2557="yes",1,0)</f>
        <v>0</v>
      </c>
      <c r="M2557" s="2" t="n">
        <f aca="false">IF(G2557&lt;0,1,0)</f>
        <v>0</v>
      </c>
      <c r="N2557" s="2" t="str">
        <f aca="false">_xlfn.IFS(B2557&lt;30,"Under 30",B2557&lt;40,"30-39",B2557&lt;50,"40-49",B2557&lt;60,"50-59",TRUE(),"60+")</f>
        <v>40-49</v>
      </c>
      <c r="O2557" s="2" t="str">
        <f aca="false">_xlfn.IFS(G2557&lt;0,"1 Negative",G2557=0,"2 Zero",G2557&lt;=500,"3 1-500",G2557&lt;=2000,"4 501-2000",TRUE(),"5 Above 2000")</f>
        <v>3 1-500</v>
      </c>
      <c r="P2557" s="2" t="n">
        <f aca="false">Lookups!$B$2*M2557+Lookups!$B$3*L2557</f>
        <v>0</v>
      </c>
      <c r="Q2557" s="2" t="str">
        <f aca="false">INDEX(Lookups!$E$2:$E$5,MATCH(P2557,Lookups!$D$2:$D$5,0))</f>
        <v>Low</v>
      </c>
    </row>
    <row r="2558" customFormat="false" ht="15" hidden="false" customHeight="false" outlineLevel="0" collapsed="false">
      <c r="A2558" s="3" t="n">
        <v>2557</v>
      </c>
      <c r="B2558" s="3" t="n">
        <f aca="false">Raw_Data!A2558</f>
        <v>34</v>
      </c>
      <c r="C2558" s="3" t="str">
        <f aca="false">SUBSTITUTE(Raw_Data!B2558,".","")</f>
        <v>admin</v>
      </c>
      <c r="D2558" s="3" t="str">
        <f aca="false">Raw_Data!C2558</f>
        <v>divorced</v>
      </c>
      <c r="E2558" s="3" t="str">
        <f aca="false">Raw_Data!D2558</f>
        <v>secondary</v>
      </c>
      <c r="F2558" s="3" t="str">
        <f aca="false">Raw_Data!E2558</f>
        <v>no</v>
      </c>
      <c r="G2558" s="3" t="n">
        <f aca="false">Raw_Data!F2558</f>
        <v>479</v>
      </c>
      <c r="H2558" s="3" t="str">
        <f aca="false">Raw_Data!G2558</f>
        <v>yes</v>
      </c>
      <c r="I2558" s="3" t="str">
        <f aca="false">Raw_Data!H2558</f>
        <v>no</v>
      </c>
      <c r="J2558" s="2" t="n">
        <f aca="false">IF(F2558="yes",1,0)</f>
        <v>0</v>
      </c>
      <c r="K2558" s="2" t="n">
        <f aca="false">IF(H2558="yes",1,0)</f>
        <v>1</v>
      </c>
      <c r="L2558" s="2" t="n">
        <f aca="false">IF(I2558="yes",1,0)</f>
        <v>0</v>
      </c>
      <c r="M2558" s="2" t="n">
        <f aca="false">IF(G2558&lt;0,1,0)</f>
        <v>0</v>
      </c>
      <c r="N2558" s="2" t="str">
        <f aca="false">_xlfn.IFS(B2558&lt;30,"Under 30",B2558&lt;40,"30-39",B2558&lt;50,"40-49",B2558&lt;60,"50-59",TRUE(),"60+")</f>
        <v>30-39</v>
      </c>
      <c r="O2558" s="2" t="str">
        <f aca="false">_xlfn.IFS(G2558&lt;0,"1 Negative",G2558=0,"2 Zero",G2558&lt;=500,"3 1-500",G2558&lt;=2000,"4 501-2000",TRUE(),"5 Above 2000")</f>
        <v>3 1-500</v>
      </c>
      <c r="P2558" s="2" t="n">
        <f aca="false">Lookups!$B$2*M2558+Lookups!$B$3*L2558</f>
        <v>0</v>
      </c>
      <c r="Q2558" s="2" t="str">
        <f aca="false">INDEX(Lookups!$E$2:$E$5,MATCH(P2558,Lookups!$D$2:$D$5,0))</f>
        <v>Low</v>
      </c>
    </row>
    <row r="2559" customFormat="false" ht="15" hidden="false" customHeight="false" outlineLevel="0" collapsed="false">
      <c r="A2559" s="3" t="n">
        <v>2558</v>
      </c>
      <c r="B2559" s="3" t="n">
        <f aca="false">Raw_Data!A2559</f>
        <v>40</v>
      </c>
      <c r="C2559" s="3" t="str">
        <f aca="false">SUBSTITUTE(Raw_Data!B2559,".","")</f>
        <v>technician</v>
      </c>
      <c r="D2559" s="3" t="str">
        <f aca="false">Raw_Data!C2559</f>
        <v>divorced</v>
      </c>
      <c r="E2559" s="3" t="str">
        <f aca="false">Raw_Data!D2559</f>
        <v>secondary</v>
      </c>
      <c r="F2559" s="3" t="str">
        <f aca="false">Raw_Data!E2559</f>
        <v>no</v>
      </c>
      <c r="G2559" s="3" t="n">
        <f aca="false">Raw_Data!F2559</f>
        <v>-375</v>
      </c>
      <c r="H2559" s="3" t="str">
        <f aca="false">Raw_Data!G2559</f>
        <v>yes</v>
      </c>
      <c r="I2559" s="3" t="str">
        <f aca="false">Raw_Data!H2559</f>
        <v>no</v>
      </c>
      <c r="J2559" s="2" t="n">
        <f aca="false">IF(F2559="yes",1,0)</f>
        <v>0</v>
      </c>
      <c r="K2559" s="2" t="n">
        <f aca="false">IF(H2559="yes",1,0)</f>
        <v>1</v>
      </c>
      <c r="L2559" s="2" t="n">
        <f aca="false">IF(I2559="yes",1,0)</f>
        <v>0</v>
      </c>
      <c r="M2559" s="2" t="n">
        <f aca="false">IF(G2559&lt;0,1,0)</f>
        <v>1</v>
      </c>
      <c r="N2559" s="2" t="str">
        <f aca="false">_xlfn.IFS(B2559&lt;30,"Under 30",B2559&lt;40,"30-39",B2559&lt;50,"40-49",B2559&lt;60,"50-59",TRUE(),"60+")</f>
        <v>40-49</v>
      </c>
      <c r="O2559" s="2" t="str">
        <f aca="false">_xlfn.IFS(G2559&lt;0,"1 Negative",G2559=0,"2 Zero",G2559&lt;=500,"3 1-500",G2559&lt;=2000,"4 501-2000",TRUE(),"5 Above 2000")</f>
        <v>1 Negative</v>
      </c>
      <c r="P2559" s="2" t="n">
        <f aca="false">Lookups!$B$2*M2559+Lookups!$B$3*L2559</f>
        <v>2</v>
      </c>
      <c r="Q2559" s="2" t="str">
        <f aca="false">INDEX(Lookups!$E$2:$E$5,MATCH(P2559,Lookups!$D$2:$D$5,0))</f>
        <v>High</v>
      </c>
    </row>
    <row r="2560" customFormat="false" ht="15" hidden="false" customHeight="false" outlineLevel="0" collapsed="false">
      <c r="A2560" s="3" t="n">
        <v>2559</v>
      </c>
      <c r="B2560" s="3" t="n">
        <f aca="false">Raw_Data!A2560</f>
        <v>72</v>
      </c>
      <c r="C2560" s="3" t="str">
        <f aca="false">SUBSTITUTE(Raw_Data!B2560,".","")</f>
        <v>retired</v>
      </c>
      <c r="D2560" s="3" t="str">
        <f aca="false">Raw_Data!C2560</f>
        <v>married</v>
      </c>
      <c r="E2560" s="3" t="str">
        <f aca="false">Raw_Data!D2560</f>
        <v>primary</v>
      </c>
      <c r="F2560" s="3" t="str">
        <f aca="false">Raw_Data!E2560</f>
        <v>no</v>
      </c>
      <c r="G2560" s="3" t="n">
        <f aca="false">Raw_Data!F2560</f>
        <v>796</v>
      </c>
      <c r="H2560" s="3" t="str">
        <f aca="false">Raw_Data!G2560</f>
        <v>no</v>
      </c>
      <c r="I2560" s="3" t="str">
        <f aca="false">Raw_Data!H2560</f>
        <v>no</v>
      </c>
      <c r="J2560" s="2" t="n">
        <f aca="false">IF(F2560="yes",1,0)</f>
        <v>0</v>
      </c>
      <c r="K2560" s="2" t="n">
        <f aca="false">IF(H2560="yes",1,0)</f>
        <v>0</v>
      </c>
      <c r="L2560" s="2" t="n">
        <f aca="false">IF(I2560="yes",1,0)</f>
        <v>0</v>
      </c>
      <c r="M2560" s="2" t="n">
        <f aca="false">IF(G2560&lt;0,1,0)</f>
        <v>0</v>
      </c>
      <c r="N2560" s="2" t="str">
        <f aca="false">_xlfn.IFS(B2560&lt;30,"Under 30",B2560&lt;40,"30-39",B2560&lt;50,"40-49",B2560&lt;60,"50-59",TRUE(),"60+")</f>
        <v>60+</v>
      </c>
      <c r="O2560" s="2" t="str">
        <f aca="false">_xlfn.IFS(G2560&lt;0,"1 Negative",G2560=0,"2 Zero",G2560&lt;=500,"3 1-500",G2560&lt;=2000,"4 501-2000",TRUE(),"5 Above 2000")</f>
        <v>4 501-2000</v>
      </c>
      <c r="P2560" s="2" t="n">
        <f aca="false">Lookups!$B$2*M2560+Lookups!$B$3*L2560</f>
        <v>0</v>
      </c>
      <c r="Q2560" s="2" t="str">
        <f aca="false">INDEX(Lookups!$E$2:$E$5,MATCH(P2560,Lookups!$D$2:$D$5,0))</f>
        <v>Low</v>
      </c>
    </row>
    <row r="2561" customFormat="false" ht="15" hidden="false" customHeight="false" outlineLevel="0" collapsed="false">
      <c r="A2561" s="3" t="n">
        <v>2560</v>
      </c>
      <c r="B2561" s="3" t="n">
        <f aca="false">Raw_Data!A2561</f>
        <v>43</v>
      </c>
      <c r="C2561" s="3" t="str">
        <f aca="false">SUBSTITUTE(Raw_Data!B2561,".","")</f>
        <v>technician</v>
      </c>
      <c r="D2561" s="3" t="str">
        <f aca="false">Raw_Data!C2561</f>
        <v>married</v>
      </c>
      <c r="E2561" s="3" t="str">
        <f aca="false">Raw_Data!D2561</f>
        <v>secondary</v>
      </c>
      <c r="F2561" s="3" t="str">
        <f aca="false">Raw_Data!E2561</f>
        <v>no</v>
      </c>
      <c r="G2561" s="3" t="n">
        <f aca="false">Raw_Data!F2561</f>
        <v>17</v>
      </c>
      <c r="H2561" s="3" t="str">
        <f aca="false">Raw_Data!G2561</f>
        <v>yes</v>
      </c>
      <c r="I2561" s="3" t="str">
        <f aca="false">Raw_Data!H2561</f>
        <v>no</v>
      </c>
      <c r="J2561" s="2" t="n">
        <f aca="false">IF(F2561="yes",1,0)</f>
        <v>0</v>
      </c>
      <c r="K2561" s="2" t="n">
        <f aca="false">IF(H2561="yes",1,0)</f>
        <v>1</v>
      </c>
      <c r="L2561" s="2" t="n">
        <f aca="false">IF(I2561="yes",1,0)</f>
        <v>0</v>
      </c>
      <c r="M2561" s="2" t="n">
        <f aca="false">IF(G2561&lt;0,1,0)</f>
        <v>0</v>
      </c>
      <c r="N2561" s="2" t="str">
        <f aca="false">_xlfn.IFS(B2561&lt;30,"Under 30",B2561&lt;40,"30-39",B2561&lt;50,"40-49",B2561&lt;60,"50-59",TRUE(),"60+")</f>
        <v>40-49</v>
      </c>
      <c r="O2561" s="2" t="str">
        <f aca="false">_xlfn.IFS(G2561&lt;0,"1 Negative",G2561=0,"2 Zero",G2561&lt;=500,"3 1-500",G2561&lt;=2000,"4 501-2000",TRUE(),"5 Above 2000")</f>
        <v>3 1-500</v>
      </c>
      <c r="P2561" s="2" t="n">
        <f aca="false">Lookups!$B$2*M2561+Lookups!$B$3*L2561</f>
        <v>0</v>
      </c>
      <c r="Q2561" s="2" t="str">
        <f aca="false">INDEX(Lookups!$E$2:$E$5,MATCH(P2561,Lookups!$D$2:$D$5,0))</f>
        <v>Low</v>
      </c>
    </row>
    <row r="2562" customFormat="false" ht="15" hidden="false" customHeight="false" outlineLevel="0" collapsed="false">
      <c r="A2562" s="3" t="n">
        <v>2561</v>
      </c>
      <c r="B2562" s="3" t="n">
        <f aca="false">Raw_Data!A2562</f>
        <v>44</v>
      </c>
      <c r="C2562" s="3" t="str">
        <f aca="false">SUBSTITUTE(Raw_Data!B2562,".","")</f>
        <v>blue-collar</v>
      </c>
      <c r="D2562" s="3" t="str">
        <f aca="false">Raw_Data!C2562</f>
        <v>married</v>
      </c>
      <c r="E2562" s="3" t="str">
        <f aca="false">Raw_Data!D2562</f>
        <v>secondary</v>
      </c>
      <c r="F2562" s="3" t="str">
        <f aca="false">Raw_Data!E2562</f>
        <v>no</v>
      </c>
      <c r="G2562" s="3" t="n">
        <f aca="false">Raw_Data!F2562</f>
        <v>1071</v>
      </c>
      <c r="H2562" s="3" t="str">
        <f aca="false">Raw_Data!G2562</f>
        <v>yes</v>
      </c>
      <c r="I2562" s="3" t="str">
        <f aca="false">Raw_Data!H2562</f>
        <v>no</v>
      </c>
      <c r="J2562" s="2" t="n">
        <f aca="false">IF(F2562="yes",1,0)</f>
        <v>0</v>
      </c>
      <c r="K2562" s="2" t="n">
        <f aca="false">IF(H2562="yes",1,0)</f>
        <v>1</v>
      </c>
      <c r="L2562" s="2" t="n">
        <f aca="false">IF(I2562="yes",1,0)</f>
        <v>0</v>
      </c>
      <c r="M2562" s="2" t="n">
        <f aca="false">IF(G2562&lt;0,1,0)</f>
        <v>0</v>
      </c>
      <c r="N2562" s="2" t="str">
        <f aca="false">_xlfn.IFS(B2562&lt;30,"Under 30",B2562&lt;40,"30-39",B2562&lt;50,"40-49",B2562&lt;60,"50-59",TRUE(),"60+")</f>
        <v>40-49</v>
      </c>
      <c r="O2562" s="2" t="str">
        <f aca="false">_xlfn.IFS(G2562&lt;0,"1 Negative",G2562=0,"2 Zero",G2562&lt;=500,"3 1-500",G2562&lt;=2000,"4 501-2000",TRUE(),"5 Above 2000")</f>
        <v>4 501-2000</v>
      </c>
      <c r="P2562" s="2" t="n">
        <f aca="false">Lookups!$B$2*M2562+Lookups!$B$3*L2562</f>
        <v>0</v>
      </c>
      <c r="Q2562" s="2" t="str">
        <f aca="false">INDEX(Lookups!$E$2:$E$5,MATCH(P2562,Lookups!$D$2:$D$5,0))</f>
        <v>Low</v>
      </c>
    </row>
    <row r="2563" customFormat="false" ht="15" hidden="false" customHeight="false" outlineLevel="0" collapsed="false">
      <c r="A2563" s="3" t="n">
        <v>2562</v>
      </c>
      <c r="B2563" s="3" t="n">
        <f aca="false">Raw_Data!A2563</f>
        <v>35</v>
      </c>
      <c r="C2563" s="3" t="str">
        <f aca="false">SUBSTITUTE(Raw_Data!B2563,".","")</f>
        <v>admin</v>
      </c>
      <c r="D2563" s="3" t="str">
        <f aca="false">Raw_Data!C2563</f>
        <v>married</v>
      </c>
      <c r="E2563" s="3" t="str">
        <f aca="false">Raw_Data!D2563</f>
        <v>secondary</v>
      </c>
      <c r="F2563" s="3" t="str">
        <f aca="false">Raw_Data!E2563</f>
        <v>no</v>
      </c>
      <c r="G2563" s="3" t="n">
        <f aca="false">Raw_Data!F2563</f>
        <v>0</v>
      </c>
      <c r="H2563" s="3" t="str">
        <f aca="false">Raw_Data!G2563</f>
        <v>yes</v>
      </c>
      <c r="I2563" s="3" t="str">
        <f aca="false">Raw_Data!H2563</f>
        <v>no</v>
      </c>
      <c r="J2563" s="2" t="n">
        <f aca="false">IF(F2563="yes",1,0)</f>
        <v>0</v>
      </c>
      <c r="K2563" s="2" t="n">
        <f aca="false">IF(H2563="yes",1,0)</f>
        <v>1</v>
      </c>
      <c r="L2563" s="2" t="n">
        <f aca="false">IF(I2563="yes",1,0)</f>
        <v>0</v>
      </c>
      <c r="M2563" s="2" t="n">
        <f aca="false">IF(G2563&lt;0,1,0)</f>
        <v>0</v>
      </c>
      <c r="N2563" s="2" t="str">
        <f aca="false">_xlfn.IFS(B2563&lt;30,"Under 30",B2563&lt;40,"30-39",B2563&lt;50,"40-49",B2563&lt;60,"50-59",TRUE(),"60+")</f>
        <v>30-39</v>
      </c>
      <c r="O2563" s="2" t="str">
        <f aca="false">_xlfn.IFS(G2563&lt;0,"1 Negative",G2563=0,"2 Zero",G2563&lt;=500,"3 1-500",G2563&lt;=2000,"4 501-2000",TRUE(),"5 Above 2000")</f>
        <v>2 Zero</v>
      </c>
      <c r="P2563" s="2" t="n">
        <f aca="false">Lookups!$B$2*M2563+Lookups!$B$3*L2563</f>
        <v>0</v>
      </c>
      <c r="Q2563" s="2" t="str">
        <f aca="false">INDEX(Lookups!$E$2:$E$5,MATCH(P2563,Lookups!$D$2:$D$5,0))</f>
        <v>Low</v>
      </c>
    </row>
    <row r="2564" customFormat="false" ht="15" hidden="false" customHeight="false" outlineLevel="0" collapsed="false">
      <c r="A2564" s="3" t="n">
        <v>2563</v>
      </c>
      <c r="B2564" s="3" t="n">
        <f aca="false">Raw_Data!A2564</f>
        <v>46</v>
      </c>
      <c r="C2564" s="3" t="str">
        <f aca="false">SUBSTITUTE(Raw_Data!B2564,".","")</f>
        <v>admin</v>
      </c>
      <c r="D2564" s="3" t="str">
        <f aca="false">Raw_Data!C2564</f>
        <v>divorced</v>
      </c>
      <c r="E2564" s="3" t="str">
        <f aca="false">Raw_Data!D2564</f>
        <v>secondary</v>
      </c>
      <c r="F2564" s="3" t="str">
        <f aca="false">Raw_Data!E2564</f>
        <v>no</v>
      </c>
      <c r="G2564" s="3" t="n">
        <f aca="false">Raw_Data!F2564</f>
        <v>7378</v>
      </c>
      <c r="H2564" s="3" t="str">
        <f aca="false">Raw_Data!G2564</f>
        <v>no</v>
      </c>
      <c r="I2564" s="3" t="str">
        <f aca="false">Raw_Data!H2564</f>
        <v>no</v>
      </c>
      <c r="J2564" s="2" t="n">
        <f aca="false">IF(F2564="yes",1,0)</f>
        <v>0</v>
      </c>
      <c r="K2564" s="2" t="n">
        <f aca="false">IF(H2564="yes",1,0)</f>
        <v>0</v>
      </c>
      <c r="L2564" s="2" t="n">
        <f aca="false">IF(I2564="yes",1,0)</f>
        <v>0</v>
      </c>
      <c r="M2564" s="2" t="n">
        <f aca="false">IF(G2564&lt;0,1,0)</f>
        <v>0</v>
      </c>
      <c r="N2564" s="2" t="str">
        <f aca="false">_xlfn.IFS(B2564&lt;30,"Under 30",B2564&lt;40,"30-39",B2564&lt;50,"40-49",B2564&lt;60,"50-59",TRUE(),"60+")</f>
        <v>40-49</v>
      </c>
      <c r="O2564" s="2" t="str">
        <f aca="false">_xlfn.IFS(G2564&lt;0,"1 Negative",G2564=0,"2 Zero",G2564&lt;=500,"3 1-500",G2564&lt;=2000,"4 501-2000",TRUE(),"5 Above 2000")</f>
        <v>5 Above 2000</v>
      </c>
      <c r="P2564" s="2" t="n">
        <f aca="false">Lookups!$B$2*M2564+Lookups!$B$3*L2564</f>
        <v>0</v>
      </c>
      <c r="Q2564" s="2" t="str">
        <f aca="false">INDEX(Lookups!$E$2:$E$5,MATCH(P2564,Lookups!$D$2:$D$5,0))</f>
        <v>Low</v>
      </c>
    </row>
    <row r="2565" customFormat="false" ht="15" hidden="false" customHeight="false" outlineLevel="0" collapsed="false">
      <c r="A2565" s="3" t="n">
        <v>2564</v>
      </c>
      <c r="B2565" s="3" t="n">
        <f aca="false">Raw_Data!A2565</f>
        <v>55</v>
      </c>
      <c r="C2565" s="3" t="str">
        <f aca="false">SUBSTITUTE(Raw_Data!B2565,".","")</f>
        <v>admin</v>
      </c>
      <c r="D2565" s="3" t="str">
        <f aca="false">Raw_Data!C2565</f>
        <v>married</v>
      </c>
      <c r="E2565" s="3" t="str">
        <f aca="false">Raw_Data!D2565</f>
        <v>secondary</v>
      </c>
      <c r="F2565" s="3" t="str">
        <f aca="false">Raw_Data!E2565</f>
        <v>no</v>
      </c>
      <c r="G2565" s="3" t="n">
        <f aca="false">Raw_Data!F2565</f>
        <v>865</v>
      </c>
      <c r="H2565" s="3" t="str">
        <f aca="false">Raw_Data!G2565</f>
        <v>yes</v>
      </c>
      <c r="I2565" s="3" t="str">
        <f aca="false">Raw_Data!H2565</f>
        <v>no</v>
      </c>
      <c r="J2565" s="2" t="n">
        <f aca="false">IF(F2565="yes",1,0)</f>
        <v>0</v>
      </c>
      <c r="K2565" s="2" t="n">
        <f aca="false">IF(H2565="yes",1,0)</f>
        <v>1</v>
      </c>
      <c r="L2565" s="2" t="n">
        <f aca="false">IF(I2565="yes",1,0)</f>
        <v>0</v>
      </c>
      <c r="M2565" s="2" t="n">
        <f aca="false">IF(G2565&lt;0,1,0)</f>
        <v>0</v>
      </c>
      <c r="N2565" s="2" t="str">
        <f aca="false">_xlfn.IFS(B2565&lt;30,"Under 30",B2565&lt;40,"30-39",B2565&lt;50,"40-49",B2565&lt;60,"50-59",TRUE(),"60+")</f>
        <v>50-59</v>
      </c>
      <c r="O2565" s="2" t="str">
        <f aca="false">_xlfn.IFS(G2565&lt;0,"1 Negative",G2565=0,"2 Zero",G2565&lt;=500,"3 1-500",G2565&lt;=2000,"4 501-2000",TRUE(),"5 Above 2000")</f>
        <v>4 501-2000</v>
      </c>
      <c r="P2565" s="2" t="n">
        <f aca="false">Lookups!$B$2*M2565+Lookups!$B$3*L2565</f>
        <v>0</v>
      </c>
      <c r="Q2565" s="2" t="str">
        <f aca="false">INDEX(Lookups!$E$2:$E$5,MATCH(P2565,Lookups!$D$2:$D$5,0))</f>
        <v>Low</v>
      </c>
    </row>
    <row r="2566" customFormat="false" ht="15" hidden="false" customHeight="false" outlineLevel="0" collapsed="false">
      <c r="A2566" s="3" t="n">
        <v>2565</v>
      </c>
      <c r="B2566" s="3" t="n">
        <f aca="false">Raw_Data!A2566</f>
        <v>50</v>
      </c>
      <c r="C2566" s="3" t="str">
        <f aca="false">SUBSTITUTE(Raw_Data!B2566,".","")</f>
        <v>technician</v>
      </c>
      <c r="D2566" s="3" t="str">
        <f aca="false">Raw_Data!C2566</f>
        <v>divorced</v>
      </c>
      <c r="E2566" s="3" t="str">
        <f aca="false">Raw_Data!D2566</f>
        <v>secondary</v>
      </c>
      <c r="F2566" s="3" t="str">
        <f aca="false">Raw_Data!E2566</f>
        <v>no</v>
      </c>
      <c r="G2566" s="3" t="n">
        <f aca="false">Raw_Data!F2566</f>
        <v>-701</v>
      </c>
      <c r="H2566" s="3" t="str">
        <f aca="false">Raw_Data!G2566</f>
        <v>yes</v>
      </c>
      <c r="I2566" s="3" t="str">
        <f aca="false">Raw_Data!H2566</f>
        <v>yes</v>
      </c>
      <c r="J2566" s="2" t="n">
        <f aca="false">IF(F2566="yes",1,0)</f>
        <v>0</v>
      </c>
      <c r="K2566" s="2" t="n">
        <f aca="false">IF(H2566="yes",1,0)</f>
        <v>1</v>
      </c>
      <c r="L2566" s="2" t="n">
        <f aca="false">IF(I2566="yes",1,0)</f>
        <v>1</v>
      </c>
      <c r="M2566" s="2" t="n">
        <f aca="false">IF(G2566&lt;0,1,0)</f>
        <v>1</v>
      </c>
      <c r="N2566" s="2" t="str">
        <f aca="false">_xlfn.IFS(B2566&lt;30,"Under 30",B2566&lt;40,"30-39",B2566&lt;50,"40-49",B2566&lt;60,"50-59",TRUE(),"60+")</f>
        <v>50-59</v>
      </c>
      <c r="O2566" s="2" t="str">
        <f aca="false">_xlfn.IFS(G2566&lt;0,"1 Negative",G2566=0,"2 Zero",G2566&lt;=500,"3 1-500",G2566&lt;=2000,"4 501-2000",TRUE(),"5 Above 2000")</f>
        <v>1 Negative</v>
      </c>
      <c r="P2566" s="2" t="n">
        <f aca="false">Lookups!$B$2*M2566+Lookups!$B$3*L2566</f>
        <v>3</v>
      </c>
      <c r="Q2566" s="2" t="str">
        <f aca="false">INDEX(Lookups!$E$2:$E$5,MATCH(P2566,Lookups!$D$2:$D$5,0))</f>
        <v>High</v>
      </c>
    </row>
    <row r="2567" customFormat="false" ht="15" hidden="false" customHeight="false" outlineLevel="0" collapsed="false">
      <c r="A2567" s="3" t="n">
        <v>2566</v>
      </c>
      <c r="B2567" s="3" t="n">
        <f aca="false">Raw_Data!A2567</f>
        <v>23</v>
      </c>
      <c r="C2567" s="3" t="str">
        <f aca="false">SUBSTITUTE(Raw_Data!B2567,".","")</f>
        <v>blue-collar</v>
      </c>
      <c r="D2567" s="3" t="str">
        <f aca="false">Raw_Data!C2567</f>
        <v>single</v>
      </c>
      <c r="E2567" s="3" t="str">
        <f aca="false">Raw_Data!D2567</f>
        <v>unknown</v>
      </c>
      <c r="F2567" s="3" t="str">
        <f aca="false">Raw_Data!E2567</f>
        <v>no</v>
      </c>
      <c r="G2567" s="3" t="n">
        <f aca="false">Raw_Data!F2567</f>
        <v>817</v>
      </c>
      <c r="H2567" s="3" t="str">
        <f aca="false">Raw_Data!G2567</f>
        <v>yes</v>
      </c>
      <c r="I2567" s="3" t="str">
        <f aca="false">Raw_Data!H2567</f>
        <v>no</v>
      </c>
      <c r="J2567" s="2" t="n">
        <f aca="false">IF(F2567="yes",1,0)</f>
        <v>0</v>
      </c>
      <c r="K2567" s="2" t="n">
        <f aca="false">IF(H2567="yes",1,0)</f>
        <v>1</v>
      </c>
      <c r="L2567" s="2" t="n">
        <f aca="false">IF(I2567="yes",1,0)</f>
        <v>0</v>
      </c>
      <c r="M2567" s="2" t="n">
        <f aca="false">IF(G2567&lt;0,1,0)</f>
        <v>0</v>
      </c>
      <c r="N2567" s="2" t="str">
        <f aca="false">_xlfn.IFS(B2567&lt;30,"Under 30",B2567&lt;40,"30-39",B2567&lt;50,"40-49",B2567&lt;60,"50-59",TRUE(),"60+")</f>
        <v>Under 30</v>
      </c>
      <c r="O2567" s="2" t="str">
        <f aca="false">_xlfn.IFS(G2567&lt;0,"1 Negative",G2567=0,"2 Zero",G2567&lt;=500,"3 1-500",G2567&lt;=2000,"4 501-2000",TRUE(),"5 Above 2000")</f>
        <v>4 501-2000</v>
      </c>
      <c r="P2567" s="2" t="n">
        <f aca="false">Lookups!$B$2*M2567+Lookups!$B$3*L2567</f>
        <v>0</v>
      </c>
      <c r="Q2567" s="2" t="str">
        <f aca="false">INDEX(Lookups!$E$2:$E$5,MATCH(P2567,Lookups!$D$2:$D$5,0))</f>
        <v>Low</v>
      </c>
    </row>
    <row r="2568" customFormat="false" ht="15" hidden="false" customHeight="false" outlineLevel="0" collapsed="false">
      <c r="A2568" s="3" t="n">
        <v>2567</v>
      </c>
      <c r="B2568" s="3" t="n">
        <f aca="false">Raw_Data!A2568</f>
        <v>34</v>
      </c>
      <c r="C2568" s="3" t="str">
        <f aca="false">SUBSTITUTE(Raw_Data!B2568,".","")</f>
        <v>student</v>
      </c>
      <c r="D2568" s="3" t="str">
        <f aca="false">Raw_Data!C2568</f>
        <v>married</v>
      </c>
      <c r="E2568" s="3" t="str">
        <f aca="false">Raw_Data!D2568</f>
        <v>unknown</v>
      </c>
      <c r="F2568" s="3" t="str">
        <f aca="false">Raw_Data!E2568</f>
        <v>no</v>
      </c>
      <c r="G2568" s="3" t="n">
        <f aca="false">Raw_Data!F2568</f>
        <v>1387</v>
      </c>
      <c r="H2568" s="3" t="str">
        <f aca="false">Raw_Data!G2568</f>
        <v>no</v>
      </c>
      <c r="I2568" s="3" t="str">
        <f aca="false">Raw_Data!H2568</f>
        <v>no</v>
      </c>
      <c r="J2568" s="2" t="n">
        <f aca="false">IF(F2568="yes",1,0)</f>
        <v>0</v>
      </c>
      <c r="K2568" s="2" t="n">
        <f aca="false">IF(H2568="yes",1,0)</f>
        <v>0</v>
      </c>
      <c r="L2568" s="2" t="n">
        <f aca="false">IF(I2568="yes",1,0)</f>
        <v>0</v>
      </c>
      <c r="M2568" s="2" t="n">
        <f aca="false">IF(G2568&lt;0,1,0)</f>
        <v>0</v>
      </c>
      <c r="N2568" s="2" t="str">
        <f aca="false">_xlfn.IFS(B2568&lt;30,"Under 30",B2568&lt;40,"30-39",B2568&lt;50,"40-49",B2568&lt;60,"50-59",TRUE(),"60+")</f>
        <v>30-39</v>
      </c>
      <c r="O2568" s="2" t="str">
        <f aca="false">_xlfn.IFS(G2568&lt;0,"1 Negative",G2568=0,"2 Zero",G2568&lt;=500,"3 1-500",G2568&lt;=2000,"4 501-2000",TRUE(),"5 Above 2000")</f>
        <v>4 501-2000</v>
      </c>
      <c r="P2568" s="2" t="n">
        <f aca="false">Lookups!$B$2*M2568+Lookups!$B$3*L2568</f>
        <v>0</v>
      </c>
      <c r="Q2568" s="2" t="str">
        <f aca="false">INDEX(Lookups!$E$2:$E$5,MATCH(P2568,Lookups!$D$2:$D$5,0))</f>
        <v>Low</v>
      </c>
    </row>
    <row r="2569" customFormat="false" ht="15" hidden="false" customHeight="false" outlineLevel="0" collapsed="false">
      <c r="A2569" s="3" t="n">
        <v>2568</v>
      </c>
      <c r="B2569" s="3" t="n">
        <f aca="false">Raw_Data!A2569</f>
        <v>40</v>
      </c>
      <c r="C2569" s="3" t="str">
        <f aca="false">SUBSTITUTE(Raw_Data!B2569,".","")</f>
        <v>blue-collar</v>
      </c>
      <c r="D2569" s="3" t="str">
        <f aca="false">Raw_Data!C2569</f>
        <v>married</v>
      </c>
      <c r="E2569" s="3" t="str">
        <f aca="false">Raw_Data!D2569</f>
        <v>secondary</v>
      </c>
      <c r="F2569" s="3" t="str">
        <f aca="false">Raw_Data!E2569</f>
        <v>no</v>
      </c>
      <c r="G2569" s="3" t="n">
        <f aca="false">Raw_Data!F2569</f>
        <v>0</v>
      </c>
      <c r="H2569" s="3" t="str">
        <f aca="false">Raw_Data!G2569</f>
        <v>yes</v>
      </c>
      <c r="I2569" s="3" t="str">
        <f aca="false">Raw_Data!H2569</f>
        <v>yes</v>
      </c>
      <c r="J2569" s="2" t="n">
        <f aca="false">IF(F2569="yes",1,0)</f>
        <v>0</v>
      </c>
      <c r="K2569" s="2" t="n">
        <f aca="false">IF(H2569="yes",1,0)</f>
        <v>1</v>
      </c>
      <c r="L2569" s="2" t="n">
        <f aca="false">IF(I2569="yes",1,0)</f>
        <v>1</v>
      </c>
      <c r="M2569" s="2" t="n">
        <f aca="false">IF(G2569&lt;0,1,0)</f>
        <v>0</v>
      </c>
      <c r="N2569" s="2" t="str">
        <f aca="false">_xlfn.IFS(B2569&lt;30,"Under 30",B2569&lt;40,"30-39",B2569&lt;50,"40-49",B2569&lt;60,"50-59",TRUE(),"60+")</f>
        <v>40-49</v>
      </c>
      <c r="O2569" s="2" t="str">
        <f aca="false">_xlfn.IFS(G2569&lt;0,"1 Negative",G2569=0,"2 Zero",G2569&lt;=500,"3 1-500",G2569&lt;=2000,"4 501-2000",TRUE(),"5 Above 2000")</f>
        <v>2 Zero</v>
      </c>
      <c r="P2569" s="2" t="n">
        <f aca="false">Lookups!$B$2*M2569+Lookups!$B$3*L2569</f>
        <v>1</v>
      </c>
      <c r="Q2569" s="2" t="str">
        <f aca="false">INDEX(Lookups!$E$2:$E$5,MATCH(P2569,Lookups!$D$2:$D$5,0))</f>
        <v>Medium</v>
      </c>
    </row>
    <row r="2570" customFormat="false" ht="15" hidden="false" customHeight="false" outlineLevel="0" collapsed="false">
      <c r="A2570" s="3" t="n">
        <v>2569</v>
      </c>
      <c r="B2570" s="3" t="n">
        <f aca="false">Raw_Data!A2570</f>
        <v>61</v>
      </c>
      <c r="C2570" s="3" t="str">
        <f aca="false">SUBSTITUTE(Raw_Data!B2570,".","")</f>
        <v>retired</v>
      </c>
      <c r="D2570" s="3" t="str">
        <f aca="false">Raw_Data!C2570</f>
        <v>married</v>
      </c>
      <c r="E2570" s="3" t="str">
        <f aca="false">Raw_Data!D2570</f>
        <v>secondary</v>
      </c>
      <c r="F2570" s="3" t="str">
        <f aca="false">Raw_Data!E2570</f>
        <v>no</v>
      </c>
      <c r="G2570" s="3" t="n">
        <f aca="false">Raw_Data!F2570</f>
        <v>2917</v>
      </c>
      <c r="H2570" s="3" t="str">
        <f aca="false">Raw_Data!G2570</f>
        <v>no</v>
      </c>
      <c r="I2570" s="3" t="str">
        <f aca="false">Raw_Data!H2570</f>
        <v>no</v>
      </c>
      <c r="J2570" s="2" t="n">
        <f aca="false">IF(F2570="yes",1,0)</f>
        <v>0</v>
      </c>
      <c r="K2570" s="2" t="n">
        <f aca="false">IF(H2570="yes",1,0)</f>
        <v>0</v>
      </c>
      <c r="L2570" s="2" t="n">
        <f aca="false">IF(I2570="yes",1,0)</f>
        <v>0</v>
      </c>
      <c r="M2570" s="2" t="n">
        <f aca="false">IF(G2570&lt;0,1,0)</f>
        <v>0</v>
      </c>
      <c r="N2570" s="2" t="str">
        <f aca="false">_xlfn.IFS(B2570&lt;30,"Under 30",B2570&lt;40,"30-39",B2570&lt;50,"40-49",B2570&lt;60,"50-59",TRUE(),"60+")</f>
        <v>60+</v>
      </c>
      <c r="O2570" s="2" t="str">
        <f aca="false">_xlfn.IFS(G2570&lt;0,"1 Negative",G2570=0,"2 Zero",G2570&lt;=500,"3 1-500",G2570&lt;=2000,"4 501-2000",TRUE(),"5 Above 2000")</f>
        <v>5 Above 2000</v>
      </c>
      <c r="P2570" s="2" t="n">
        <f aca="false">Lookups!$B$2*M2570+Lookups!$B$3*L2570</f>
        <v>0</v>
      </c>
      <c r="Q2570" s="2" t="str">
        <f aca="false">INDEX(Lookups!$E$2:$E$5,MATCH(P2570,Lookups!$D$2:$D$5,0))</f>
        <v>Low</v>
      </c>
    </row>
    <row r="2571" customFormat="false" ht="15" hidden="false" customHeight="false" outlineLevel="0" collapsed="false">
      <c r="A2571" s="3" t="n">
        <v>2570</v>
      </c>
      <c r="B2571" s="3" t="n">
        <f aca="false">Raw_Data!A2571</f>
        <v>53</v>
      </c>
      <c r="C2571" s="3" t="str">
        <f aca="false">SUBSTITUTE(Raw_Data!B2571,".","")</f>
        <v>technician</v>
      </c>
      <c r="D2571" s="3" t="str">
        <f aca="false">Raw_Data!C2571</f>
        <v>married</v>
      </c>
      <c r="E2571" s="3" t="str">
        <f aca="false">Raw_Data!D2571</f>
        <v>secondary</v>
      </c>
      <c r="F2571" s="3" t="str">
        <f aca="false">Raw_Data!E2571</f>
        <v>no</v>
      </c>
      <c r="G2571" s="3" t="n">
        <f aca="false">Raw_Data!F2571</f>
        <v>4541</v>
      </c>
      <c r="H2571" s="3" t="str">
        <f aca="false">Raw_Data!G2571</f>
        <v>yes</v>
      </c>
      <c r="I2571" s="3" t="str">
        <f aca="false">Raw_Data!H2571</f>
        <v>no</v>
      </c>
      <c r="J2571" s="2" t="n">
        <f aca="false">IF(F2571="yes",1,0)</f>
        <v>0</v>
      </c>
      <c r="K2571" s="2" t="n">
        <f aca="false">IF(H2571="yes",1,0)</f>
        <v>1</v>
      </c>
      <c r="L2571" s="2" t="n">
        <f aca="false">IF(I2571="yes",1,0)</f>
        <v>0</v>
      </c>
      <c r="M2571" s="2" t="n">
        <f aca="false">IF(G2571&lt;0,1,0)</f>
        <v>0</v>
      </c>
      <c r="N2571" s="2" t="str">
        <f aca="false">_xlfn.IFS(B2571&lt;30,"Under 30",B2571&lt;40,"30-39",B2571&lt;50,"40-49",B2571&lt;60,"50-59",TRUE(),"60+")</f>
        <v>50-59</v>
      </c>
      <c r="O2571" s="2" t="str">
        <f aca="false">_xlfn.IFS(G2571&lt;0,"1 Negative",G2571=0,"2 Zero",G2571&lt;=500,"3 1-500",G2571&lt;=2000,"4 501-2000",TRUE(),"5 Above 2000")</f>
        <v>5 Above 2000</v>
      </c>
      <c r="P2571" s="2" t="n">
        <f aca="false">Lookups!$B$2*M2571+Lookups!$B$3*L2571</f>
        <v>0</v>
      </c>
      <c r="Q2571" s="2" t="str">
        <f aca="false">INDEX(Lookups!$E$2:$E$5,MATCH(P2571,Lookups!$D$2:$D$5,0))</f>
        <v>Low</v>
      </c>
    </row>
    <row r="2572" customFormat="false" ht="15" hidden="false" customHeight="false" outlineLevel="0" collapsed="false">
      <c r="A2572" s="3" t="n">
        <v>2571</v>
      </c>
      <c r="B2572" s="3" t="n">
        <f aca="false">Raw_Data!A2572</f>
        <v>57</v>
      </c>
      <c r="C2572" s="3" t="str">
        <f aca="false">SUBSTITUTE(Raw_Data!B2572,".","")</f>
        <v>technician</v>
      </c>
      <c r="D2572" s="3" t="str">
        <f aca="false">Raw_Data!C2572</f>
        <v>married</v>
      </c>
      <c r="E2572" s="3" t="str">
        <f aca="false">Raw_Data!D2572</f>
        <v>secondary</v>
      </c>
      <c r="F2572" s="3" t="str">
        <f aca="false">Raw_Data!E2572</f>
        <v>no</v>
      </c>
      <c r="G2572" s="3" t="n">
        <f aca="false">Raw_Data!F2572</f>
        <v>0</v>
      </c>
      <c r="H2572" s="3" t="str">
        <f aca="false">Raw_Data!G2572</f>
        <v>no</v>
      </c>
      <c r="I2572" s="3" t="str">
        <f aca="false">Raw_Data!H2572</f>
        <v>no</v>
      </c>
      <c r="J2572" s="2" t="n">
        <f aca="false">IF(F2572="yes",1,0)</f>
        <v>0</v>
      </c>
      <c r="K2572" s="2" t="n">
        <f aca="false">IF(H2572="yes",1,0)</f>
        <v>0</v>
      </c>
      <c r="L2572" s="2" t="n">
        <f aca="false">IF(I2572="yes",1,0)</f>
        <v>0</v>
      </c>
      <c r="M2572" s="2" t="n">
        <f aca="false">IF(G2572&lt;0,1,0)</f>
        <v>0</v>
      </c>
      <c r="N2572" s="2" t="str">
        <f aca="false">_xlfn.IFS(B2572&lt;30,"Under 30",B2572&lt;40,"30-39",B2572&lt;50,"40-49",B2572&lt;60,"50-59",TRUE(),"60+")</f>
        <v>50-59</v>
      </c>
      <c r="O2572" s="2" t="str">
        <f aca="false">_xlfn.IFS(G2572&lt;0,"1 Negative",G2572=0,"2 Zero",G2572&lt;=500,"3 1-500",G2572&lt;=2000,"4 501-2000",TRUE(),"5 Above 2000")</f>
        <v>2 Zero</v>
      </c>
      <c r="P2572" s="2" t="n">
        <f aca="false">Lookups!$B$2*M2572+Lookups!$B$3*L2572</f>
        <v>0</v>
      </c>
      <c r="Q2572" s="2" t="str">
        <f aca="false">INDEX(Lookups!$E$2:$E$5,MATCH(P2572,Lookups!$D$2:$D$5,0))</f>
        <v>Low</v>
      </c>
    </row>
    <row r="2573" customFormat="false" ht="15" hidden="false" customHeight="false" outlineLevel="0" collapsed="false">
      <c r="A2573" s="3" t="n">
        <v>2572</v>
      </c>
      <c r="B2573" s="3" t="n">
        <f aca="false">Raw_Data!A2573</f>
        <v>28</v>
      </c>
      <c r="C2573" s="3" t="str">
        <f aca="false">SUBSTITUTE(Raw_Data!B2573,".","")</f>
        <v>blue-collar</v>
      </c>
      <c r="D2573" s="3" t="str">
        <f aca="false">Raw_Data!C2573</f>
        <v>married</v>
      </c>
      <c r="E2573" s="3" t="str">
        <f aca="false">Raw_Data!D2573</f>
        <v>secondary</v>
      </c>
      <c r="F2573" s="3" t="str">
        <f aca="false">Raw_Data!E2573</f>
        <v>no</v>
      </c>
      <c r="G2573" s="3" t="n">
        <f aca="false">Raw_Data!F2573</f>
        <v>4287</v>
      </c>
      <c r="H2573" s="3" t="str">
        <f aca="false">Raw_Data!G2573</f>
        <v>no</v>
      </c>
      <c r="I2573" s="3" t="str">
        <f aca="false">Raw_Data!H2573</f>
        <v>no</v>
      </c>
      <c r="J2573" s="2" t="n">
        <f aca="false">IF(F2573="yes",1,0)</f>
        <v>0</v>
      </c>
      <c r="K2573" s="2" t="n">
        <f aca="false">IF(H2573="yes",1,0)</f>
        <v>0</v>
      </c>
      <c r="L2573" s="2" t="n">
        <f aca="false">IF(I2573="yes",1,0)</f>
        <v>0</v>
      </c>
      <c r="M2573" s="2" t="n">
        <f aca="false">IF(G2573&lt;0,1,0)</f>
        <v>0</v>
      </c>
      <c r="N2573" s="2" t="str">
        <f aca="false">_xlfn.IFS(B2573&lt;30,"Under 30",B2573&lt;40,"30-39",B2573&lt;50,"40-49",B2573&lt;60,"50-59",TRUE(),"60+")</f>
        <v>Under 30</v>
      </c>
      <c r="O2573" s="2" t="str">
        <f aca="false">_xlfn.IFS(G2573&lt;0,"1 Negative",G2573=0,"2 Zero",G2573&lt;=500,"3 1-500",G2573&lt;=2000,"4 501-2000",TRUE(),"5 Above 2000")</f>
        <v>5 Above 2000</v>
      </c>
      <c r="P2573" s="2" t="n">
        <f aca="false">Lookups!$B$2*M2573+Lookups!$B$3*L2573</f>
        <v>0</v>
      </c>
      <c r="Q2573" s="2" t="str">
        <f aca="false">INDEX(Lookups!$E$2:$E$5,MATCH(P2573,Lookups!$D$2:$D$5,0))</f>
        <v>Low</v>
      </c>
    </row>
    <row r="2574" customFormat="false" ht="15" hidden="false" customHeight="false" outlineLevel="0" collapsed="false">
      <c r="A2574" s="3" t="n">
        <v>2573</v>
      </c>
      <c r="B2574" s="3" t="n">
        <f aca="false">Raw_Data!A2574</f>
        <v>25</v>
      </c>
      <c r="C2574" s="3" t="str">
        <f aca="false">SUBSTITUTE(Raw_Data!B2574,".","")</f>
        <v>admin</v>
      </c>
      <c r="D2574" s="3" t="str">
        <f aca="false">Raw_Data!C2574</f>
        <v>married</v>
      </c>
      <c r="E2574" s="3" t="str">
        <f aca="false">Raw_Data!D2574</f>
        <v>secondary</v>
      </c>
      <c r="F2574" s="3" t="str">
        <f aca="false">Raw_Data!E2574</f>
        <v>no</v>
      </c>
      <c r="G2574" s="3" t="n">
        <f aca="false">Raw_Data!F2574</f>
        <v>242</v>
      </c>
      <c r="H2574" s="3" t="str">
        <f aca="false">Raw_Data!G2574</f>
        <v>yes</v>
      </c>
      <c r="I2574" s="3" t="str">
        <f aca="false">Raw_Data!H2574</f>
        <v>no</v>
      </c>
      <c r="J2574" s="2" t="n">
        <f aca="false">IF(F2574="yes",1,0)</f>
        <v>0</v>
      </c>
      <c r="K2574" s="2" t="n">
        <f aca="false">IF(H2574="yes",1,0)</f>
        <v>1</v>
      </c>
      <c r="L2574" s="2" t="n">
        <f aca="false">IF(I2574="yes",1,0)</f>
        <v>0</v>
      </c>
      <c r="M2574" s="2" t="n">
        <f aca="false">IF(G2574&lt;0,1,0)</f>
        <v>0</v>
      </c>
      <c r="N2574" s="2" t="str">
        <f aca="false">_xlfn.IFS(B2574&lt;30,"Under 30",B2574&lt;40,"30-39",B2574&lt;50,"40-49",B2574&lt;60,"50-59",TRUE(),"60+")</f>
        <v>Under 30</v>
      </c>
      <c r="O2574" s="2" t="str">
        <f aca="false">_xlfn.IFS(G2574&lt;0,"1 Negative",G2574=0,"2 Zero",G2574&lt;=500,"3 1-500",G2574&lt;=2000,"4 501-2000",TRUE(),"5 Above 2000")</f>
        <v>3 1-500</v>
      </c>
      <c r="P2574" s="2" t="n">
        <f aca="false">Lookups!$B$2*M2574+Lookups!$B$3*L2574</f>
        <v>0</v>
      </c>
      <c r="Q2574" s="2" t="str">
        <f aca="false">INDEX(Lookups!$E$2:$E$5,MATCH(P2574,Lookups!$D$2:$D$5,0))</f>
        <v>Low</v>
      </c>
    </row>
    <row r="2575" customFormat="false" ht="15" hidden="false" customHeight="false" outlineLevel="0" collapsed="false">
      <c r="A2575" s="3" t="n">
        <v>2574</v>
      </c>
      <c r="B2575" s="3" t="n">
        <f aca="false">Raw_Data!A2575</f>
        <v>38</v>
      </c>
      <c r="C2575" s="3" t="str">
        <f aca="false">SUBSTITUTE(Raw_Data!B2575,".","")</f>
        <v>blue-collar</v>
      </c>
      <c r="D2575" s="3" t="str">
        <f aca="false">Raw_Data!C2575</f>
        <v>married</v>
      </c>
      <c r="E2575" s="3" t="str">
        <f aca="false">Raw_Data!D2575</f>
        <v>secondary</v>
      </c>
      <c r="F2575" s="3" t="str">
        <f aca="false">Raw_Data!E2575</f>
        <v>no</v>
      </c>
      <c r="G2575" s="3" t="n">
        <f aca="false">Raw_Data!F2575</f>
        <v>171</v>
      </c>
      <c r="H2575" s="3" t="str">
        <f aca="false">Raw_Data!G2575</f>
        <v>yes</v>
      </c>
      <c r="I2575" s="3" t="str">
        <f aca="false">Raw_Data!H2575</f>
        <v>yes</v>
      </c>
      <c r="J2575" s="2" t="n">
        <f aca="false">IF(F2575="yes",1,0)</f>
        <v>0</v>
      </c>
      <c r="K2575" s="2" t="n">
        <f aca="false">IF(H2575="yes",1,0)</f>
        <v>1</v>
      </c>
      <c r="L2575" s="2" t="n">
        <f aca="false">IF(I2575="yes",1,0)</f>
        <v>1</v>
      </c>
      <c r="M2575" s="2" t="n">
        <f aca="false">IF(G2575&lt;0,1,0)</f>
        <v>0</v>
      </c>
      <c r="N2575" s="2" t="str">
        <f aca="false">_xlfn.IFS(B2575&lt;30,"Under 30",B2575&lt;40,"30-39",B2575&lt;50,"40-49",B2575&lt;60,"50-59",TRUE(),"60+")</f>
        <v>30-39</v>
      </c>
      <c r="O2575" s="2" t="str">
        <f aca="false">_xlfn.IFS(G2575&lt;0,"1 Negative",G2575=0,"2 Zero",G2575&lt;=500,"3 1-500",G2575&lt;=2000,"4 501-2000",TRUE(),"5 Above 2000")</f>
        <v>3 1-500</v>
      </c>
      <c r="P2575" s="2" t="n">
        <f aca="false">Lookups!$B$2*M2575+Lookups!$B$3*L2575</f>
        <v>1</v>
      </c>
      <c r="Q2575" s="2" t="str">
        <f aca="false">INDEX(Lookups!$E$2:$E$5,MATCH(P2575,Lookups!$D$2:$D$5,0))</f>
        <v>Medium</v>
      </c>
    </row>
    <row r="2576" customFormat="false" ht="15" hidden="false" customHeight="false" outlineLevel="0" collapsed="false">
      <c r="A2576" s="3" t="n">
        <v>2575</v>
      </c>
      <c r="B2576" s="3" t="n">
        <f aca="false">Raw_Data!A2576</f>
        <v>27</v>
      </c>
      <c r="C2576" s="3" t="str">
        <f aca="false">SUBSTITUTE(Raw_Data!B2576,".","")</f>
        <v>services</v>
      </c>
      <c r="D2576" s="3" t="str">
        <f aca="false">Raw_Data!C2576</f>
        <v>single</v>
      </c>
      <c r="E2576" s="3" t="str">
        <f aca="false">Raw_Data!D2576</f>
        <v>secondary</v>
      </c>
      <c r="F2576" s="3" t="str">
        <f aca="false">Raw_Data!E2576</f>
        <v>no</v>
      </c>
      <c r="G2576" s="3" t="n">
        <f aca="false">Raw_Data!F2576</f>
        <v>259</v>
      </c>
      <c r="H2576" s="3" t="str">
        <f aca="false">Raw_Data!G2576</f>
        <v>yes</v>
      </c>
      <c r="I2576" s="3" t="str">
        <f aca="false">Raw_Data!H2576</f>
        <v>no</v>
      </c>
      <c r="J2576" s="2" t="n">
        <f aca="false">IF(F2576="yes",1,0)</f>
        <v>0</v>
      </c>
      <c r="K2576" s="2" t="n">
        <f aca="false">IF(H2576="yes",1,0)</f>
        <v>1</v>
      </c>
      <c r="L2576" s="2" t="n">
        <f aca="false">IF(I2576="yes",1,0)</f>
        <v>0</v>
      </c>
      <c r="M2576" s="2" t="n">
        <f aca="false">IF(G2576&lt;0,1,0)</f>
        <v>0</v>
      </c>
      <c r="N2576" s="2" t="str">
        <f aca="false">_xlfn.IFS(B2576&lt;30,"Under 30",B2576&lt;40,"30-39",B2576&lt;50,"40-49",B2576&lt;60,"50-59",TRUE(),"60+")</f>
        <v>Under 30</v>
      </c>
      <c r="O2576" s="2" t="str">
        <f aca="false">_xlfn.IFS(G2576&lt;0,"1 Negative",G2576=0,"2 Zero",G2576&lt;=500,"3 1-500",G2576&lt;=2000,"4 501-2000",TRUE(),"5 Above 2000")</f>
        <v>3 1-500</v>
      </c>
      <c r="P2576" s="2" t="n">
        <f aca="false">Lookups!$B$2*M2576+Lookups!$B$3*L2576</f>
        <v>0</v>
      </c>
      <c r="Q2576" s="2" t="str">
        <f aca="false">INDEX(Lookups!$E$2:$E$5,MATCH(P2576,Lookups!$D$2:$D$5,0))</f>
        <v>Low</v>
      </c>
    </row>
    <row r="2577" customFormat="false" ht="15" hidden="false" customHeight="false" outlineLevel="0" collapsed="false">
      <c r="A2577" s="3" t="n">
        <v>2576</v>
      </c>
      <c r="B2577" s="3" t="n">
        <f aca="false">Raw_Data!A2577</f>
        <v>45</v>
      </c>
      <c r="C2577" s="3" t="str">
        <f aca="false">SUBSTITUTE(Raw_Data!B2577,".","")</f>
        <v>blue-collar</v>
      </c>
      <c r="D2577" s="3" t="str">
        <f aca="false">Raw_Data!C2577</f>
        <v>married</v>
      </c>
      <c r="E2577" s="3" t="str">
        <f aca="false">Raw_Data!D2577</f>
        <v>secondary</v>
      </c>
      <c r="F2577" s="3" t="str">
        <f aca="false">Raw_Data!E2577</f>
        <v>no</v>
      </c>
      <c r="G2577" s="3" t="n">
        <f aca="false">Raw_Data!F2577</f>
        <v>827</v>
      </c>
      <c r="H2577" s="3" t="str">
        <f aca="false">Raw_Data!G2577</f>
        <v>yes</v>
      </c>
      <c r="I2577" s="3" t="str">
        <f aca="false">Raw_Data!H2577</f>
        <v>no</v>
      </c>
      <c r="J2577" s="2" t="n">
        <f aca="false">IF(F2577="yes",1,0)</f>
        <v>0</v>
      </c>
      <c r="K2577" s="2" t="n">
        <f aca="false">IF(H2577="yes",1,0)</f>
        <v>1</v>
      </c>
      <c r="L2577" s="2" t="n">
        <f aca="false">IF(I2577="yes",1,0)</f>
        <v>0</v>
      </c>
      <c r="M2577" s="2" t="n">
        <f aca="false">IF(G2577&lt;0,1,0)</f>
        <v>0</v>
      </c>
      <c r="N2577" s="2" t="str">
        <f aca="false">_xlfn.IFS(B2577&lt;30,"Under 30",B2577&lt;40,"30-39",B2577&lt;50,"40-49",B2577&lt;60,"50-59",TRUE(),"60+")</f>
        <v>40-49</v>
      </c>
      <c r="O2577" s="2" t="str">
        <f aca="false">_xlfn.IFS(G2577&lt;0,"1 Negative",G2577=0,"2 Zero",G2577&lt;=500,"3 1-500",G2577&lt;=2000,"4 501-2000",TRUE(),"5 Above 2000")</f>
        <v>4 501-2000</v>
      </c>
      <c r="P2577" s="2" t="n">
        <f aca="false">Lookups!$B$2*M2577+Lookups!$B$3*L2577</f>
        <v>0</v>
      </c>
      <c r="Q2577" s="2" t="str">
        <f aca="false">INDEX(Lookups!$E$2:$E$5,MATCH(P2577,Lookups!$D$2:$D$5,0))</f>
        <v>Low</v>
      </c>
    </row>
    <row r="2578" customFormat="false" ht="15" hidden="false" customHeight="false" outlineLevel="0" collapsed="false">
      <c r="A2578" s="3" t="n">
        <v>2577</v>
      </c>
      <c r="B2578" s="3" t="n">
        <f aca="false">Raw_Data!A2578</f>
        <v>31</v>
      </c>
      <c r="C2578" s="3" t="str">
        <f aca="false">SUBSTITUTE(Raw_Data!B2578,".","")</f>
        <v>services</v>
      </c>
      <c r="D2578" s="3" t="str">
        <f aca="false">Raw_Data!C2578</f>
        <v>single</v>
      </c>
      <c r="E2578" s="3" t="str">
        <f aca="false">Raw_Data!D2578</f>
        <v>secondary</v>
      </c>
      <c r="F2578" s="3" t="str">
        <f aca="false">Raw_Data!E2578</f>
        <v>no</v>
      </c>
      <c r="G2578" s="3" t="n">
        <f aca="false">Raw_Data!F2578</f>
        <v>469</v>
      </c>
      <c r="H2578" s="3" t="str">
        <f aca="false">Raw_Data!G2578</f>
        <v>no</v>
      </c>
      <c r="I2578" s="3" t="str">
        <f aca="false">Raw_Data!H2578</f>
        <v>yes</v>
      </c>
      <c r="J2578" s="2" t="n">
        <f aca="false">IF(F2578="yes",1,0)</f>
        <v>0</v>
      </c>
      <c r="K2578" s="2" t="n">
        <f aca="false">IF(H2578="yes",1,0)</f>
        <v>0</v>
      </c>
      <c r="L2578" s="2" t="n">
        <f aca="false">IF(I2578="yes",1,0)</f>
        <v>1</v>
      </c>
      <c r="M2578" s="2" t="n">
        <f aca="false">IF(G2578&lt;0,1,0)</f>
        <v>0</v>
      </c>
      <c r="N2578" s="2" t="str">
        <f aca="false">_xlfn.IFS(B2578&lt;30,"Under 30",B2578&lt;40,"30-39",B2578&lt;50,"40-49",B2578&lt;60,"50-59",TRUE(),"60+")</f>
        <v>30-39</v>
      </c>
      <c r="O2578" s="2" t="str">
        <f aca="false">_xlfn.IFS(G2578&lt;0,"1 Negative",G2578=0,"2 Zero",G2578&lt;=500,"3 1-500",G2578&lt;=2000,"4 501-2000",TRUE(),"5 Above 2000")</f>
        <v>3 1-500</v>
      </c>
      <c r="P2578" s="2" t="n">
        <f aca="false">Lookups!$B$2*M2578+Lookups!$B$3*L2578</f>
        <v>1</v>
      </c>
      <c r="Q2578" s="2" t="str">
        <f aca="false">INDEX(Lookups!$E$2:$E$5,MATCH(P2578,Lookups!$D$2:$D$5,0))</f>
        <v>Medium</v>
      </c>
    </row>
    <row r="2579" customFormat="false" ht="15" hidden="false" customHeight="false" outlineLevel="0" collapsed="false">
      <c r="A2579" s="3" t="n">
        <v>2578</v>
      </c>
      <c r="B2579" s="3" t="n">
        <f aca="false">Raw_Data!A2579</f>
        <v>39</v>
      </c>
      <c r="C2579" s="3" t="str">
        <f aca="false">SUBSTITUTE(Raw_Data!B2579,".","")</f>
        <v>blue-collar</v>
      </c>
      <c r="D2579" s="3" t="str">
        <f aca="false">Raw_Data!C2579</f>
        <v>married</v>
      </c>
      <c r="E2579" s="3" t="str">
        <f aca="false">Raw_Data!D2579</f>
        <v>primary</v>
      </c>
      <c r="F2579" s="3" t="str">
        <f aca="false">Raw_Data!E2579</f>
        <v>no</v>
      </c>
      <c r="G2579" s="3" t="n">
        <f aca="false">Raw_Data!F2579</f>
        <v>2226</v>
      </c>
      <c r="H2579" s="3" t="str">
        <f aca="false">Raw_Data!G2579</f>
        <v>yes</v>
      </c>
      <c r="I2579" s="3" t="str">
        <f aca="false">Raw_Data!H2579</f>
        <v>no</v>
      </c>
      <c r="J2579" s="2" t="n">
        <f aca="false">IF(F2579="yes",1,0)</f>
        <v>0</v>
      </c>
      <c r="K2579" s="2" t="n">
        <f aca="false">IF(H2579="yes",1,0)</f>
        <v>1</v>
      </c>
      <c r="L2579" s="2" t="n">
        <f aca="false">IF(I2579="yes",1,0)</f>
        <v>0</v>
      </c>
      <c r="M2579" s="2" t="n">
        <f aca="false">IF(G2579&lt;0,1,0)</f>
        <v>0</v>
      </c>
      <c r="N2579" s="2" t="str">
        <f aca="false">_xlfn.IFS(B2579&lt;30,"Under 30",B2579&lt;40,"30-39",B2579&lt;50,"40-49",B2579&lt;60,"50-59",TRUE(),"60+")</f>
        <v>30-39</v>
      </c>
      <c r="O2579" s="2" t="str">
        <f aca="false">_xlfn.IFS(G2579&lt;0,"1 Negative",G2579=0,"2 Zero",G2579&lt;=500,"3 1-500",G2579&lt;=2000,"4 501-2000",TRUE(),"5 Above 2000")</f>
        <v>5 Above 2000</v>
      </c>
      <c r="P2579" s="2" t="n">
        <f aca="false">Lookups!$B$2*M2579+Lookups!$B$3*L2579</f>
        <v>0</v>
      </c>
      <c r="Q2579" s="2" t="str">
        <f aca="false">INDEX(Lookups!$E$2:$E$5,MATCH(P2579,Lookups!$D$2:$D$5,0))</f>
        <v>Low</v>
      </c>
    </row>
    <row r="2580" customFormat="false" ht="15" hidden="false" customHeight="false" outlineLevel="0" collapsed="false">
      <c r="A2580" s="3" t="n">
        <v>2579</v>
      </c>
      <c r="B2580" s="3" t="n">
        <f aca="false">Raw_Data!A2580</f>
        <v>42</v>
      </c>
      <c r="C2580" s="3" t="str">
        <f aca="false">SUBSTITUTE(Raw_Data!B2580,".","")</f>
        <v>technician</v>
      </c>
      <c r="D2580" s="3" t="str">
        <f aca="false">Raw_Data!C2580</f>
        <v>married</v>
      </c>
      <c r="E2580" s="3" t="str">
        <f aca="false">Raw_Data!D2580</f>
        <v>secondary</v>
      </c>
      <c r="F2580" s="3" t="str">
        <f aca="false">Raw_Data!E2580</f>
        <v>no</v>
      </c>
      <c r="G2580" s="3" t="n">
        <f aca="false">Raw_Data!F2580</f>
        <v>0</v>
      </c>
      <c r="H2580" s="3" t="str">
        <f aca="false">Raw_Data!G2580</f>
        <v>no</v>
      </c>
      <c r="I2580" s="3" t="str">
        <f aca="false">Raw_Data!H2580</f>
        <v>no</v>
      </c>
      <c r="J2580" s="2" t="n">
        <f aca="false">IF(F2580="yes",1,0)</f>
        <v>0</v>
      </c>
      <c r="K2580" s="2" t="n">
        <f aca="false">IF(H2580="yes",1,0)</f>
        <v>0</v>
      </c>
      <c r="L2580" s="2" t="n">
        <f aca="false">IF(I2580="yes",1,0)</f>
        <v>0</v>
      </c>
      <c r="M2580" s="2" t="n">
        <f aca="false">IF(G2580&lt;0,1,0)</f>
        <v>0</v>
      </c>
      <c r="N2580" s="2" t="str">
        <f aca="false">_xlfn.IFS(B2580&lt;30,"Under 30",B2580&lt;40,"30-39",B2580&lt;50,"40-49",B2580&lt;60,"50-59",TRUE(),"60+")</f>
        <v>40-49</v>
      </c>
      <c r="O2580" s="2" t="str">
        <f aca="false">_xlfn.IFS(G2580&lt;0,"1 Negative",G2580=0,"2 Zero",G2580&lt;=500,"3 1-500",G2580&lt;=2000,"4 501-2000",TRUE(),"5 Above 2000")</f>
        <v>2 Zero</v>
      </c>
      <c r="P2580" s="2" t="n">
        <f aca="false">Lookups!$B$2*M2580+Lookups!$B$3*L2580</f>
        <v>0</v>
      </c>
      <c r="Q2580" s="2" t="str">
        <f aca="false">INDEX(Lookups!$E$2:$E$5,MATCH(P2580,Lookups!$D$2:$D$5,0))</f>
        <v>Low</v>
      </c>
    </row>
    <row r="2581" customFormat="false" ht="15" hidden="false" customHeight="false" outlineLevel="0" collapsed="false">
      <c r="A2581" s="3" t="n">
        <v>2580</v>
      </c>
      <c r="B2581" s="3" t="n">
        <f aca="false">Raw_Data!A2581</f>
        <v>46</v>
      </c>
      <c r="C2581" s="3" t="str">
        <f aca="false">SUBSTITUTE(Raw_Data!B2581,".","")</f>
        <v>management</v>
      </c>
      <c r="D2581" s="3" t="str">
        <f aca="false">Raw_Data!C2581</f>
        <v>married</v>
      </c>
      <c r="E2581" s="3" t="str">
        <f aca="false">Raw_Data!D2581</f>
        <v>tertiary</v>
      </c>
      <c r="F2581" s="3" t="str">
        <f aca="false">Raw_Data!E2581</f>
        <v>no</v>
      </c>
      <c r="G2581" s="3" t="n">
        <f aca="false">Raw_Data!F2581</f>
        <v>477</v>
      </c>
      <c r="H2581" s="3" t="str">
        <f aca="false">Raw_Data!G2581</f>
        <v>yes</v>
      </c>
      <c r="I2581" s="3" t="str">
        <f aca="false">Raw_Data!H2581</f>
        <v>no</v>
      </c>
      <c r="J2581" s="2" t="n">
        <f aca="false">IF(F2581="yes",1,0)</f>
        <v>0</v>
      </c>
      <c r="K2581" s="2" t="n">
        <f aca="false">IF(H2581="yes",1,0)</f>
        <v>1</v>
      </c>
      <c r="L2581" s="2" t="n">
        <f aca="false">IF(I2581="yes",1,0)</f>
        <v>0</v>
      </c>
      <c r="M2581" s="2" t="n">
        <f aca="false">IF(G2581&lt;0,1,0)</f>
        <v>0</v>
      </c>
      <c r="N2581" s="2" t="str">
        <f aca="false">_xlfn.IFS(B2581&lt;30,"Under 30",B2581&lt;40,"30-39",B2581&lt;50,"40-49",B2581&lt;60,"50-59",TRUE(),"60+")</f>
        <v>40-49</v>
      </c>
      <c r="O2581" s="2" t="str">
        <f aca="false">_xlfn.IFS(G2581&lt;0,"1 Negative",G2581=0,"2 Zero",G2581&lt;=500,"3 1-500",G2581&lt;=2000,"4 501-2000",TRUE(),"5 Above 2000")</f>
        <v>3 1-500</v>
      </c>
      <c r="P2581" s="2" t="n">
        <f aca="false">Lookups!$B$2*M2581+Lookups!$B$3*L2581</f>
        <v>0</v>
      </c>
      <c r="Q2581" s="2" t="str">
        <f aca="false">INDEX(Lookups!$E$2:$E$5,MATCH(P2581,Lookups!$D$2:$D$5,0))</f>
        <v>Low</v>
      </c>
    </row>
    <row r="2582" customFormat="false" ht="15" hidden="false" customHeight="false" outlineLevel="0" collapsed="false">
      <c r="A2582" s="3" t="n">
        <v>2581</v>
      </c>
      <c r="B2582" s="3" t="n">
        <f aca="false">Raw_Data!A2582</f>
        <v>36</v>
      </c>
      <c r="C2582" s="3" t="str">
        <f aca="false">SUBSTITUTE(Raw_Data!B2582,".","")</f>
        <v>services</v>
      </c>
      <c r="D2582" s="3" t="str">
        <f aca="false">Raw_Data!C2582</f>
        <v>married</v>
      </c>
      <c r="E2582" s="3" t="str">
        <f aca="false">Raw_Data!D2582</f>
        <v>secondary</v>
      </c>
      <c r="F2582" s="3" t="str">
        <f aca="false">Raw_Data!E2582</f>
        <v>no</v>
      </c>
      <c r="G2582" s="3" t="n">
        <f aca="false">Raw_Data!F2582</f>
        <v>42</v>
      </c>
      <c r="H2582" s="3" t="str">
        <f aca="false">Raw_Data!G2582</f>
        <v>yes</v>
      </c>
      <c r="I2582" s="3" t="str">
        <f aca="false">Raw_Data!H2582</f>
        <v>no</v>
      </c>
      <c r="J2582" s="2" t="n">
        <f aca="false">IF(F2582="yes",1,0)</f>
        <v>0</v>
      </c>
      <c r="K2582" s="2" t="n">
        <f aca="false">IF(H2582="yes",1,0)</f>
        <v>1</v>
      </c>
      <c r="L2582" s="2" t="n">
        <f aca="false">IF(I2582="yes",1,0)</f>
        <v>0</v>
      </c>
      <c r="M2582" s="2" t="n">
        <f aca="false">IF(G2582&lt;0,1,0)</f>
        <v>0</v>
      </c>
      <c r="N2582" s="2" t="str">
        <f aca="false">_xlfn.IFS(B2582&lt;30,"Under 30",B2582&lt;40,"30-39",B2582&lt;50,"40-49",B2582&lt;60,"50-59",TRUE(),"60+")</f>
        <v>30-39</v>
      </c>
      <c r="O2582" s="2" t="str">
        <f aca="false">_xlfn.IFS(G2582&lt;0,"1 Negative",G2582=0,"2 Zero",G2582&lt;=500,"3 1-500",G2582&lt;=2000,"4 501-2000",TRUE(),"5 Above 2000")</f>
        <v>3 1-500</v>
      </c>
      <c r="P2582" s="2" t="n">
        <f aca="false">Lookups!$B$2*M2582+Lookups!$B$3*L2582</f>
        <v>0</v>
      </c>
      <c r="Q2582" s="2" t="str">
        <f aca="false">INDEX(Lookups!$E$2:$E$5,MATCH(P2582,Lookups!$D$2:$D$5,0))</f>
        <v>Low</v>
      </c>
    </row>
    <row r="2583" customFormat="false" ht="15" hidden="false" customHeight="false" outlineLevel="0" collapsed="false">
      <c r="A2583" s="3" t="n">
        <v>2582</v>
      </c>
      <c r="B2583" s="3" t="n">
        <f aca="false">Raw_Data!A2583</f>
        <v>30</v>
      </c>
      <c r="C2583" s="3" t="str">
        <f aca="false">SUBSTITUTE(Raw_Data!B2583,".","")</f>
        <v>management</v>
      </c>
      <c r="D2583" s="3" t="str">
        <f aca="false">Raw_Data!C2583</f>
        <v>single</v>
      </c>
      <c r="E2583" s="3" t="str">
        <f aca="false">Raw_Data!D2583</f>
        <v>tertiary</v>
      </c>
      <c r="F2583" s="3" t="str">
        <f aca="false">Raw_Data!E2583</f>
        <v>no</v>
      </c>
      <c r="G2583" s="3" t="n">
        <f aca="false">Raw_Data!F2583</f>
        <v>775</v>
      </c>
      <c r="H2583" s="3" t="str">
        <f aca="false">Raw_Data!G2583</f>
        <v>yes</v>
      </c>
      <c r="I2583" s="3" t="str">
        <f aca="false">Raw_Data!H2583</f>
        <v>no</v>
      </c>
      <c r="J2583" s="2" t="n">
        <f aca="false">IF(F2583="yes",1,0)</f>
        <v>0</v>
      </c>
      <c r="K2583" s="2" t="n">
        <f aca="false">IF(H2583="yes",1,0)</f>
        <v>1</v>
      </c>
      <c r="L2583" s="2" t="n">
        <f aca="false">IF(I2583="yes",1,0)</f>
        <v>0</v>
      </c>
      <c r="M2583" s="2" t="n">
        <f aca="false">IF(G2583&lt;0,1,0)</f>
        <v>0</v>
      </c>
      <c r="N2583" s="2" t="str">
        <f aca="false">_xlfn.IFS(B2583&lt;30,"Under 30",B2583&lt;40,"30-39",B2583&lt;50,"40-49",B2583&lt;60,"50-59",TRUE(),"60+")</f>
        <v>30-39</v>
      </c>
      <c r="O2583" s="2" t="str">
        <f aca="false">_xlfn.IFS(G2583&lt;0,"1 Negative",G2583=0,"2 Zero",G2583&lt;=500,"3 1-500",G2583&lt;=2000,"4 501-2000",TRUE(),"5 Above 2000")</f>
        <v>4 501-2000</v>
      </c>
      <c r="P2583" s="2" t="n">
        <f aca="false">Lookups!$B$2*M2583+Lookups!$B$3*L2583</f>
        <v>0</v>
      </c>
      <c r="Q2583" s="2" t="str">
        <f aca="false">INDEX(Lookups!$E$2:$E$5,MATCH(P2583,Lookups!$D$2:$D$5,0))</f>
        <v>Low</v>
      </c>
    </row>
    <row r="2584" customFormat="false" ht="15" hidden="false" customHeight="false" outlineLevel="0" collapsed="false">
      <c r="A2584" s="3" t="n">
        <v>2583</v>
      </c>
      <c r="B2584" s="3" t="n">
        <f aca="false">Raw_Data!A2584</f>
        <v>32</v>
      </c>
      <c r="C2584" s="3" t="str">
        <f aca="false">SUBSTITUTE(Raw_Data!B2584,".","")</f>
        <v>blue-collar</v>
      </c>
      <c r="D2584" s="3" t="str">
        <f aca="false">Raw_Data!C2584</f>
        <v>married</v>
      </c>
      <c r="E2584" s="3" t="str">
        <f aca="false">Raw_Data!D2584</f>
        <v>secondary</v>
      </c>
      <c r="F2584" s="3" t="str">
        <f aca="false">Raw_Data!E2584</f>
        <v>no</v>
      </c>
      <c r="G2584" s="3" t="n">
        <f aca="false">Raw_Data!F2584</f>
        <v>9</v>
      </c>
      <c r="H2584" s="3" t="str">
        <f aca="false">Raw_Data!G2584</f>
        <v>yes</v>
      </c>
      <c r="I2584" s="3" t="str">
        <f aca="false">Raw_Data!H2584</f>
        <v>no</v>
      </c>
      <c r="J2584" s="2" t="n">
        <f aca="false">IF(F2584="yes",1,0)</f>
        <v>0</v>
      </c>
      <c r="K2584" s="2" t="n">
        <f aca="false">IF(H2584="yes",1,0)</f>
        <v>1</v>
      </c>
      <c r="L2584" s="2" t="n">
        <f aca="false">IF(I2584="yes",1,0)</f>
        <v>0</v>
      </c>
      <c r="M2584" s="2" t="n">
        <f aca="false">IF(G2584&lt;0,1,0)</f>
        <v>0</v>
      </c>
      <c r="N2584" s="2" t="str">
        <f aca="false">_xlfn.IFS(B2584&lt;30,"Under 30",B2584&lt;40,"30-39",B2584&lt;50,"40-49",B2584&lt;60,"50-59",TRUE(),"60+")</f>
        <v>30-39</v>
      </c>
      <c r="O2584" s="2" t="str">
        <f aca="false">_xlfn.IFS(G2584&lt;0,"1 Negative",G2584=0,"2 Zero",G2584&lt;=500,"3 1-500",G2584&lt;=2000,"4 501-2000",TRUE(),"5 Above 2000")</f>
        <v>3 1-500</v>
      </c>
      <c r="P2584" s="2" t="n">
        <f aca="false">Lookups!$B$2*M2584+Lookups!$B$3*L2584</f>
        <v>0</v>
      </c>
      <c r="Q2584" s="2" t="str">
        <f aca="false">INDEX(Lookups!$E$2:$E$5,MATCH(P2584,Lookups!$D$2:$D$5,0))</f>
        <v>Low</v>
      </c>
    </row>
    <row r="2585" customFormat="false" ht="15" hidden="false" customHeight="false" outlineLevel="0" collapsed="false">
      <c r="A2585" s="3" t="n">
        <v>2584</v>
      </c>
      <c r="B2585" s="3" t="n">
        <f aca="false">Raw_Data!A2585</f>
        <v>52</v>
      </c>
      <c r="C2585" s="3" t="str">
        <f aca="false">SUBSTITUTE(Raw_Data!B2585,".","")</f>
        <v>technician</v>
      </c>
      <c r="D2585" s="3" t="str">
        <f aca="false">Raw_Data!C2585</f>
        <v>married</v>
      </c>
      <c r="E2585" s="3" t="str">
        <f aca="false">Raw_Data!D2585</f>
        <v>tertiary</v>
      </c>
      <c r="F2585" s="3" t="str">
        <f aca="false">Raw_Data!E2585</f>
        <v>no</v>
      </c>
      <c r="G2585" s="3" t="n">
        <f aca="false">Raw_Data!F2585</f>
        <v>2557</v>
      </c>
      <c r="H2585" s="3" t="str">
        <f aca="false">Raw_Data!G2585</f>
        <v>no</v>
      </c>
      <c r="I2585" s="3" t="str">
        <f aca="false">Raw_Data!H2585</f>
        <v>no</v>
      </c>
      <c r="J2585" s="2" t="n">
        <f aca="false">IF(F2585="yes",1,0)</f>
        <v>0</v>
      </c>
      <c r="K2585" s="2" t="n">
        <f aca="false">IF(H2585="yes",1,0)</f>
        <v>0</v>
      </c>
      <c r="L2585" s="2" t="n">
        <f aca="false">IF(I2585="yes",1,0)</f>
        <v>0</v>
      </c>
      <c r="M2585" s="2" t="n">
        <f aca="false">IF(G2585&lt;0,1,0)</f>
        <v>0</v>
      </c>
      <c r="N2585" s="2" t="str">
        <f aca="false">_xlfn.IFS(B2585&lt;30,"Under 30",B2585&lt;40,"30-39",B2585&lt;50,"40-49",B2585&lt;60,"50-59",TRUE(),"60+")</f>
        <v>50-59</v>
      </c>
      <c r="O2585" s="2" t="str">
        <f aca="false">_xlfn.IFS(G2585&lt;0,"1 Negative",G2585=0,"2 Zero",G2585&lt;=500,"3 1-500",G2585&lt;=2000,"4 501-2000",TRUE(),"5 Above 2000")</f>
        <v>5 Above 2000</v>
      </c>
      <c r="P2585" s="2" t="n">
        <f aca="false">Lookups!$B$2*M2585+Lookups!$B$3*L2585</f>
        <v>0</v>
      </c>
      <c r="Q2585" s="2" t="str">
        <f aca="false">INDEX(Lookups!$E$2:$E$5,MATCH(P2585,Lookups!$D$2:$D$5,0))</f>
        <v>Low</v>
      </c>
    </row>
    <row r="2586" customFormat="false" ht="15" hidden="false" customHeight="false" outlineLevel="0" collapsed="false">
      <c r="A2586" s="3" t="n">
        <v>2585</v>
      </c>
      <c r="B2586" s="3" t="n">
        <f aca="false">Raw_Data!A2586</f>
        <v>31</v>
      </c>
      <c r="C2586" s="3" t="str">
        <f aca="false">SUBSTITUTE(Raw_Data!B2586,".","")</f>
        <v>management</v>
      </c>
      <c r="D2586" s="3" t="str">
        <f aca="false">Raw_Data!C2586</f>
        <v>married</v>
      </c>
      <c r="E2586" s="3" t="str">
        <f aca="false">Raw_Data!D2586</f>
        <v>tertiary</v>
      </c>
      <c r="F2586" s="3" t="str">
        <f aca="false">Raw_Data!E2586</f>
        <v>no</v>
      </c>
      <c r="G2586" s="3" t="n">
        <f aca="false">Raw_Data!F2586</f>
        <v>2395</v>
      </c>
      <c r="H2586" s="3" t="str">
        <f aca="false">Raw_Data!G2586</f>
        <v>no</v>
      </c>
      <c r="I2586" s="3" t="str">
        <f aca="false">Raw_Data!H2586</f>
        <v>no</v>
      </c>
      <c r="J2586" s="2" t="n">
        <f aca="false">IF(F2586="yes",1,0)</f>
        <v>0</v>
      </c>
      <c r="K2586" s="2" t="n">
        <f aca="false">IF(H2586="yes",1,0)</f>
        <v>0</v>
      </c>
      <c r="L2586" s="2" t="n">
        <f aca="false">IF(I2586="yes",1,0)</f>
        <v>0</v>
      </c>
      <c r="M2586" s="2" t="n">
        <f aca="false">IF(G2586&lt;0,1,0)</f>
        <v>0</v>
      </c>
      <c r="N2586" s="2" t="str">
        <f aca="false">_xlfn.IFS(B2586&lt;30,"Under 30",B2586&lt;40,"30-39",B2586&lt;50,"40-49",B2586&lt;60,"50-59",TRUE(),"60+")</f>
        <v>30-39</v>
      </c>
      <c r="O2586" s="2" t="str">
        <f aca="false">_xlfn.IFS(G2586&lt;0,"1 Negative",G2586=0,"2 Zero",G2586&lt;=500,"3 1-500",G2586&lt;=2000,"4 501-2000",TRUE(),"5 Above 2000")</f>
        <v>5 Above 2000</v>
      </c>
      <c r="P2586" s="2" t="n">
        <f aca="false">Lookups!$B$2*M2586+Lookups!$B$3*L2586</f>
        <v>0</v>
      </c>
      <c r="Q2586" s="2" t="str">
        <f aca="false">INDEX(Lookups!$E$2:$E$5,MATCH(P2586,Lookups!$D$2:$D$5,0))</f>
        <v>Low</v>
      </c>
    </row>
    <row r="2587" customFormat="false" ht="15" hidden="false" customHeight="false" outlineLevel="0" collapsed="false">
      <c r="A2587" s="3" t="n">
        <v>2586</v>
      </c>
      <c r="B2587" s="3" t="n">
        <f aca="false">Raw_Data!A2587</f>
        <v>60</v>
      </c>
      <c r="C2587" s="3" t="str">
        <f aca="false">SUBSTITUTE(Raw_Data!B2587,".","")</f>
        <v>management</v>
      </c>
      <c r="D2587" s="3" t="str">
        <f aca="false">Raw_Data!C2587</f>
        <v>married</v>
      </c>
      <c r="E2587" s="3" t="str">
        <f aca="false">Raw_Data!D2587</f>
        <v>primary</v>
      </c>
      <c r="F2587" s="3" t="str">
        <f aca="false">Raw_Data!E2587</f>
        <v>no</v>
      </c>
      <c r="G2587" s="3" t="n">
        <f aca="false">Raw_Data!F2587</f>
        <v>4895</v>
      </c>
      <c r="H2587" s="3" t="str">
        <f aca="false">Raw_Data!G2587</f>
        <v>no</v>
      </c>
      <c r="I2587" s="3" t="str">
        <f aca="false">Raw_Data!H2587</f>
        <v>no</v>
      </c>
      <c r="J2587" s="2" t="n">
        <f aca="false">IF(F2587="yes",1,0)</f>
        <v>0</v>
      </c>
      <c r="K2587" s="2" t="n">
        <f aca="false">IF(H2587="yes",1,0)</f>
        <v>0</v>
      </c>
      <c r="L2587" s="2" t="n">
        <f aca="false">IF(I2587="yes",1,0)</f>
        <v>0</v>
      </c>
      <c r="M2587" s="2" t="n">
        <f aca="false">IF(G2587&lt;0,1,0)</f>
        <v>0</v>
      </c>
      <c r="N2587" s="2" t="str">
        <f aca="false">_xlfn.IFS(B2587&lt;30,"Under 30",B2587&lt;40,"30-39",B2587&lt;50,"40-49",B2587&lt;60,"50-59",TRUE(),"60+")</f>
        <v>60+</v>
      </c>
      <c r="O2587" s="2" t="str">
        <f aca="false">_xlfn.IFS(G2587&lt;0,"1 Negative",G2587=0,"2 Zero",G2587&lt;=500,"3 1-500",G2587&lt;=2000,"4 501-2000",TRUE(),"5 Above 2000")</f>
        <v>5 Above 2000</v>
      </c>
      <c r="P2587" s="2" t="n">
        <f aca="false">Lookups!$B$2*M2587+Lookups!$B$3*L2587</f>
        <v>0</v>
      </c>
      <c r="Q2587" s="2" t="str">
        <f aca="false">INDEX(Lookups!$E$2:$E$5,MATCH(P2587,Lookups!$D$2:$D$5,0))</f>
        <v>Low</v>
      </c>
    </row>
    <row r="2588" customFormat="false" ht="15" hidden="false" customHeight="false" outlineLevel="0" collapsed="false">
      <c r="A2588" s="3" t="n">
        <v>2587</v>
      </c>
      <c r="B2588" s="3" t="n">
        <f aca="false">Raw_Data!A2588</f>
        <v>35</v>
      </c>
      <c r="C2588" s="3" t="str">
        <f aca="false">SUBSTITUTE(Raw_Data!B2588,".","")</f>
        <v>blue-collar</v>
      </c>
      <c r="D2588" s="3" t="str">
        <f aca="false">Raw_Data!C2588</f>
        <v>single</v>
      </c>
      <c r="E2588" s="3" t="str">
        <f aca="false">Raw_Data!D2588</f>
        <v>secondary</v>
      </c>
      <c r="F2588" s="3" t="str">
        <f aca="false">Raw_Data!E2588</f>
        <v>no</v>
      </c>
      <c r="G2588" s="3" t="n">
        <f aca="false">Raw_Data!F2588</f>
        <v>376</v>
      </c>
      <c r="H2588" s="3" t="str">
        <f aca="false">Raw_Data!G2588</f>
        <v>yes</v>
      </c>
      <c r="I2588" s="3" t="str">
        <f aca="false">Raw_Data!H2588</f>
        <v>yes</v>
      </c>
      <c r="J2588" s="2" t="n">
        <f aca="false">IF(F2588="yes",1,0)</f>
        <v>0</v>
      </c>
      <c r="K2588" s="2" t="n">
        <f aca="false">IF(H2588="yes",1,0)</f>
        <v>1</v>
      </c>
      <c r="L2588" s="2" t="n">
        <f aca="false">IF(I2588="yes",1,0)</f>
        <v>1</v>
      </c>
      <c r="M2588" s="2" t="n">
        <f aca="false">IF(G2588&lt;0,1,0)</f>
        <v>0</v>
      </c>
      <c r="N2588" s="2" t="str">
        <f aca="false">_xlfn.IFS(B2588&lt;30,"Under 30",B2588&lt;40,"30-39",B2588&lt;50,"40-49",B2588&lt;60,"50-59",TRUE(),"60+")</f>
        <v>30-39</v>
      </c>
      <c r="O2588" s="2" t="str">
        <f aca="false">_xlfn.IFS(G2588&lt;0,"1 Negative",G2588=0,"2 Zero",G2588&lt;=500,"3 1-500",G2588&lt;=2000,"4 501-2000",TRUE(),"5 Above 2000")</f>
        <v>3 1-500</v>
      </c>
      <c r="P2588" s="2" t="n">
        <f aca="false">Lookups!$B$2*M2588+Lookups!$B$3*L2588</f>
        <v>1</v>
      </c>
      <c r="Q2588" s="2" t="str">
        <f aca="false">INDEX(Lookups!$E$2:$E$5,MATCH(P2588,Lookups!$D$2:$D$5,0))</f>
        <v>Medium</v>
      </c>
    </row>
    <row r="2589" customFormat="false" ht="15" hidden="false" customHeight="false" outlineLevel="0" collapsed="false">
      <c r="A2589" s="3" t="n">
        <v>2588</v>
      </c>
      <c r="B2589" s="3" t="n">
        <f aca="false">Raw_Data!A2589</f>
        <v>38</v>
      </c>
      <c r="C2589" s="3" t="str">
        <f aca="false">SUBSTITUTE(Raw_Data!B2589,".","")</f>
        <v>management</v>
      </c>
      <c r="D2589" s="3" t="str">
        <f aca="false">Raw_Data!C2589</f>
        <v>married</v>
      </c>
      <c r="E2589" s="3" t="str">
        <f aca="false">Raw_Data!D2589</f>
        <v>tertiary</v>
      </c>
      <c r="F2589" s="3" t="str">
        <f aca="false">Raw_Data!E2589</f>
        <v>no</v>
      </c>
      <c r="G2589" s="3" t="n">
        <f aca="false">Raw_Data!F2589</f>
        <v>389</v>
      </c>
      <c r="H2589" s="3" t="str">
        <f aca="false">Raw_Data!G2589</f>
        <v>yes</v>
      </c>
      <c r="I2589" s="3" t="str">
        <f aca="false">Raw_Data!H2589</f>
        <v>no</v>
      </c>
      <c r="J2589" s="2" t="n">
        <f aca="false">IF(F2589="yes",1,0)</f>
        <v>0</v>
      </c>
      <c r="K2589" s="2" t="n">
        <f aca="false">IF(H2589="yes",1,0)</f>
        <v>1</v>
      </c>
      <c r="L2589" s="2" t="n">
        <f aca="false">IF(I2589="yes",1,0)</f>
        <v>0</v>
      </c>
      <c r="M2589" s="2" t="n">
        <f aca="false">IF(G2589&lt;0,1,0)</f>
        <v>0</v>
      </c>
      <c r="N2589" s="2" t="str">
        <f aca="false">_xlfn.IFS(B2589&lt;30,"Under 30",B2589&lt;40,"30-39",B2589&lt;50,"40-49",B2589&lt;60,"50-59",TRUE(),"60+")</f>
        <v>30-39</v>
      </c>
      <c r="O2589" s="2" t="str">
        <f aca="false">_xlfn.IFS(G2589&lt;0,"1 Negative",G2589=0,"2 Zero",G2589&lt;=500,"3 1-500",G2589&lt;=2000,"4 501-2000",TRUE(),"5 Above 2000")</f>
        <v>3 1-500</v>
      </c>
      <c r="P2589" s="2" t="n">
        <f aca="false">Lookups!$B$2*M2589+Lookups!$B$3*L2589</f>
        <v>0</v>
      </c>
      <c r="Q2589" s="2" t="str">
        <f aca="false">INDEX(Lookups!$E$2:$E$5,MATCH(P2589,Lookups!$D$2:$D$5,0))</f>
        <v>Low</v>
      </c>
    </row>
    <row r="2590" customFormat="false" ht="15" hidden="false" customHeight="false" outlineLevel="0" collapsed="false">
      <c r="A2590" s="3" t="n">
        <v>2589</v>
      </c>
      <c r="B2590" s="3" t="n">
        <f aca="false">Raw_Data!A2590</f>
        <v>46</v>
      </c>
      <c r="C2590" s="3" t="str">
        <f aca="false">SUBSTITUTE(Raw_Data!B2590,".","")</f>
        <v>management</v>
      </c>
      <c r="D2590" s="3" t="str">
        <f aca="false">Raw_Data!C2590</f>
        <v>divorced</v>
      </c>
      <c r="E2590" s="3" t="str">
        <f aca="false">Raw_Data!D2590</f>
        <v>tertiary</v>
      </c>
      <c r="F2590" s="3" t="str">
        <f aca="false">Raw_Data!E2590</f>
        <v>no</v>
      </c>
      <c r="G2590" s="3" t="n">
        <f aca="false">Raw_Data!F2590</f>
        <v>134</v>
      </c>
      <c r="H2590" s="3" t="str">
        <f aca="false">Raw_Data!G2590</f>
        <v>no</v>
      </c>
      <c r="I2590" s="3" t="str">
        <f aca="false">Raw_Data!H2590</f>
        <v>no</v>
      </c>
      <c r="J2590" s="2" t="n">
        <f aca="false">IF(F2590="yes",1,0)</f>
        <v>0</v>
      </c>
      <c r="K2590" s="2" t="n">
        <f aca="false">IF(H2590="yes",1,0)</f>
        <v>0</v>
      </c>
      <c r="L2590" s="2" t="n">
        <f aca="false">IF(I2590="yes",1,0)</f>
        <v>0</v>
      </c>
      <c r="M2590" s="2" t="n">
        <f aca="false">IF(G2590&lt;0,1,0)</f>
        <v>0</v>
      </c>
      <c r="N2590" s="2" t="str">
        <f aca="false">_xlfn.IFS(B2590&lt;30,"Under 30",B2590&lt;40,"30-39",B2590&lt;50,"40-49",B2590&lt;60,"50-59",TRUE(),"60+")</f>
        <v>40-49</v>
      </c>
      <c r="O2590" s="2" t="str">
        <f aca="false">_xlfn.IFS(G2590&lt;0,"1 Negative",G2590=0,"2 Zero",G2590&lt;=500,"3 1-500",G2590&lt;=2000,"4 501-2000",TRUE(),"5 Above 2000")</f>
        <v>3 1-500</v>
      </c>
      <c r="P2590" s="2" t="n">
        <f aca="false">Lookups!$B$2*M2590+Lookups!$B$3*L2590</f>
        <v>0</v>
      </c>
      <c r="Q2590" s="2" t="str">
        <f aca="false">INDEX(Lookups!$E$2:$E$5,MATCH(P2590,Lookups!$D$2:$D$5,0))</f>
        <v>Low</v>
      </c>
    </row>
    <row r="2591" customFormat="false" ht="15" hidden="false" customHeight="false" outlineLevel="0" collapsed="false">
      <c r="A2591" s="3" t="n">
        <v>2590</v>
      </c>
      <c r="B2591" s="3" t="n">
        <f aca="false">Raw_Data!A2591</f>
        <v>45</v>
      </c>
      <c r="C2591" s="3" t="str">
        <f aca="false">SUBSTITUTE(Raw_Data!B2591,".","")</f>
        <v>entrepreneur</v>
      </c>
      <c r="D2591" s="3" t="str">
        <f aca="false">Raw_Data!C2591</f>
        <v>divorced</v>
      </c>
      <c r="E2591" s="3" t="str">
        <f aca="false">Raw_Data!D2591</f>
        <v>tertiary</v>
      </c>
      <c r="F2591" s="3" t="str">
        <f aca="false">Raw_Data!E2591</f>
        <v>no</v>
      </c>
      <c r="G2591" s="3" t="n">
        <f aca="false">Raw_Data!F2591</f>
        <v>1273</v>
      </c>
      <c r="H2591" s="3" t="str">
        <f aca="false">Raw_Data!G2591</f>
        <v>yes</v>
      </c>
      <c r="I2591" s="3" t="str">
        <f aca="false">Raw_Data!H2591</f>
        <v>yes</v>
      </c>
      <c r="J2591" s="2" t="n">
        <f aca="false">IF(F2591="yes",1,0)</f>
        <v>0</v>
      </c>
      <c r="K2591" s="2" t="n">
        <f aca="false">IF(H2591="yes",1,0)</f>
        <v>1</v>
      </c>
      <c r="L2591" s="2" t="n">
        <f aca="false">IF(I2591="yes",1,0)</f>
        <v>1</v>
      </c>
      <c r="M2591" s="2" t="n">
        <f aca="false">IF(G2591&lt;0,1,0)</f>
        <v>0</v>
      </c>
      <c r="N2591" s="2" t="str">
        <f aca="false">_xlfn.IFS(B2591&lt;30,"Under 30",B2591&lt;40,"30-39",B2591&lt;50,"40-49",B2591&lt;60,"50-59",TRUE(),"60+")</f>
        <v>40-49</v>
      </c>
      <c r="O2591" s="2" t="str">
        <f aca="false">_xlfn.IFS(G2591&lt;0,"1 Negative",G2591=0,"2 Zero",G2591&lt;=500,"3 1-500",G2591&lt;=2000,"4 501-2000",TRUE(),"5 Above 2000")</f>
        <v>4 501-2000</v>
      </c>
      <c r="P2591" s="2" t="n">
        <f aca="false">Lookups!$B$2*M2591+Lookups!$B$3*L2591</f>
        <v>1</v>
      </c>
      <c r="Q2591" s="2" t="str">
        <f aca="false">INDEX(Lookups!$E$2:$E$5,MATCH(P2591,Lookups!$D$2:$D$5,0))</f>
        <v>Medium</v>
      </c>
    </row>
    <row r="2592" customFormat="false" ht="15" hidden="false" customHeight="false" outlineLevel="0" collapsed="false">
      <c r="A2592" s="3" t="n">
        <v>2591</v>
      </c>
      <c r="B2592" s="3" t="n">
        <f aca="false">Raw_Data!A2592</f>
        <v>59</v>
      </c>
      <c r="C2592" s="3" t="str">
        <f aca="false">SUBSTITUTE(Raw_Data!B2592,".","")</f>
        <v>services</v>
      </c>
      <c r="D2592" s="3" t="str">
        <f aca="false">Raw_Data!C2592</f>
        <v>married</v>
      </c>
      <c r="E2592" s="3" t="str">
        <f aca="false">Raw_Data!D2592</f>
        <v>secondary</v>
      </c>
      <c r="F2592" s="3" t="str">
        <f aca="false">Raw_Data!E2592</f>
        <v>no</v>
      </c>
      <c r="G2592" s="3" t="n">
        <f aca="false">Raw_Data!F2592</f>
        <v>0</v>
      </c>
      <c r="H2592" s="3" t="str">
        <f aca="false">Raw_Data!G2592</f>
        <v>yes</v>
      </c>
      <c r="I2592" s="3" t="str">
        <f aca="false">Raw_Data!H2592</f>
        <v>no</v>
      </c>
      <c r="J2592" s="2" t="n">
        <f aca="false">IF(F2592="yes",1,0)</f>
        <v>0</v>
      </c>
      <c r="K2592" s="2" t="n">
        <f aca="false">IF(H2592="yes",1,0)</f>
        <v>1</v>
      </c>
      <c r="L2592" s="2" t="n">
        <f aca="false">IF(I2592="yes",1,0)</f>
        <v>0</v>
      </c>
      <c r="M2592" s="2" t="n">
        <f aca="false">IF(G2592&lt;0,1,0)</f>
        <v>0</v>
      </c>
      <c r="N2592" s="2" t="str">
        <f aca="false">_xlfn.IFS(B2592&lt;30,"Under 30",B2592&lt;40,"30-39",B2592&lt;50,"40-49",B2592&lt;60,"50-59",TRUE(),"60+")</f>
        <v>50-59</v>
      </c>
      <c r="O2592" s="2" t="str">
        <f aca="false">_xlfn.IFS(G2592&lt;0,"1 Negative",G2592=0,"2 Zero",G2592&lt;=500,"3 1-500",G2592&lt;=2000,"4 501-2000",TRUE(),"5 Above 2000")</f>
        <v>2 Zero</v>
      </c>
      <c r="P2592" s="2" t="n">
        <f aca="false">Lookups!$B$2*M2592+Lookups!$B$3*L2592</f>
        <v>0</v>
      </c>
      <c r="Q2592" s="2" t="str">
        <f aca="false">INDEX(Lookups!$E$2:$E$5,MATCH(P2592,Lookups!$D$2:$D$5,0))</f>
        <v>Low</v>
      </c>
    </row>
    <row r="2593" customFormat="false" ht="15" hidden="false" customHeight="false" outlineLevel="0" collapsed="false">
      <c r="A2593" s="3" t="n">
        <v>2592</v>
      </c>
      <c r="B2593" s="3" t="n">
        <f aca="false">Raw_Data!A2593</f>
        <v>34</v>
      </c>
      <c r="C2593" s="3" t="str">
        <f aca="false">SUBSTITUTE(Raw_Data!B2593,".","")</f>
        <v>management</v>
      </c>
      <c r="D2593" s="3" t="str">
        <f aca="false">Raw_Data!C2593</f>
        <v>married</v>
      </c>
      <c r="E2593" s="3" t="str">
        <f aca="false">Raw_Data!D2593</f>
        <v>tertiary</v>
      </c>
      <c r="F2593" s="3" t="str">
        <f aca="false">Raw_Data!E2593</f>
        <v>no</v>
      </c>
      <c r="G2593" s="3" t="n">
        <f aca="false">Raw_Data!F2593</f>
        <v>2892</v>
      </c>
      <c r="H2593" s="3" t="str">
        <f aca="false">Raw_Data!G2593</f>
        <v>yes</v>
      </c>
      <c r="I2593" s="3" t="str">
        <f aca="false">Raw_Data!H2593</f>
        <v>yes</v>
      </c>
      <c r="J2593" s="2" t="n">
        <f aca="false">IF(F2593="yes",1,0)</f>
        <v>0</v>
      </c>
      <c r="K2593" s="2" t="n">
        <f aca="false">IF(H2593="yes",1,0)</f>
        <v>1</v>
      </c>
      <c r="L2593" s="2" t="n">
        <f aca="false">IF(I2593="yes",1,0)</f>
        <v>1</v>
      </c>
      <c r="M2593" s="2" t="n">
        <f aca="false">IF(G2593&lt;0,1,0)</f>
        <v>0</v>
      </c>
      <c r="N2593" s="2" t="str">
        <f aca="false">_xlfn.IFS(B2593&lt;30,"Under 30",B2593&lt;40,"30-39",B2593&lt;50,"40-49",B2593&lt;60,"50-59",TRUE(),"60+")</f>
        <v>30-39</v>
      </c>
      <c r="O2593" s="2" t="str">
        <f aca="false">_xlfn.IFS(G2593&lt;0,"1 Negative",G2593=0,"2 Zero",G2593&lt;=500,"3 1-500",G2593&lt;=2000,"4 501-2000",TRUE(),"5 Above 2000")</f>
        <v>5 Above 2000</v>
      </c>
      <c r="P2593" s="2" t="n">
        <f aca="false">Lookups!$B$2*M2593+Lookups!$B$3*L2593</f>
        <v>1</v>
      </c>
      <c r="Q2593" s="2" t="str">
        <f aca="false">INDEX(Lookups!$E$2:$E$5,MATCH(P2593,Lookups!$D$2:$D$5,0))</f>
        <v>Medium</v>
      </c>
    </row>
    <row r="2594" customFormat="false" ht="15" hidden="false" customHeight="false" outlineLevel="0" collapsed="false">
      <c r="A2594" s="3" t="n">
        <v>2593</v>
      </c>
      <c r="B2594" s="3" t="n">
        <f aca="false">Raw_Data!A2594</f>
        <v>33</v>
      </c>
      <c r="C2594" s="3" t="str">
        <f aca="false">SUBSTITUTE(Raw_Data!B2594,".","")</f>
        <v>technician</v>
      </c>
      <c r="D2594" s="3" t="str">
        <f aca="false">Raw_Data!C2594</f>
        <v>divorced</v>
      </c>
      <c r="E2594" s="3" t="str">
        <f aca="false">Raw_Data!D2594</f>
        <v>secondary</v>
      </c>
      <c r="F2594" s="3" t="str">
        <f aca="false">Raw_Data!E2594</f>
        <v>no</v>
      </c>
      <c r="G2594" s="3" t="n">
        <f aca="false">Raw_Data!F2594</f>
        <v>0</v>
      </c>
      <c r="H2594" s="3" t="str">
        <f aca="false">Raw_Data!G2594</f>
        <v>yes</v>
      </c>
      <c r="I2594" s="3" t="str">
        <f aca="false">Raw_Data!H2594</f>
        <v>no</v>
      </c>
      <c r="J2594" s="2" t="n">
        <f aca="false">IF(F2594="yes",1,0)</f>
        <v>0</v>
      </c>
      <c r="K2594" s="2" t="n">
        <f aca="false">IF(H2594="yes",1,0)</f>
        <v>1</v>
      </c>
      <c r="L2594" s="2" t="n">
        <f aca="false">IF(I2594="yes",1,0)</f>
        <v>0</v>
      </c>
      <c r="M2594" s="2" t="n">
        <f aca="false">IF(G2594&lt;0,1,0)</f>
        <v>0</v>
      </c>
      <c r="N2594" s="2" t="str">
        <f aca="false">_xlfn.IFS(B2594&lt;30,"Under 30",B2594&lt;40,"30-39",B2594&lt;50,"40-49",B2594&lt;60,"50-59",TRUE(),"60+")</f>
        <v>30-39</v>
      </c>
      <c r="O2594" s="2" t="str">
        <f aca="false">_xlfn.IFS(G2594&lt;0,"1 Negative",G2594=0,"2 Zero",G2594&lt;=500,"3 1-500",G2594&lt;=2000,"4 501-2000",TRUE(),"5 Above 2000")</f>
        <v>2 Zero</v>
      </c>
      <c r="P2594" s="2" t="n">
        <f aca="false">Lookups!$B$2*M2594+Lookups!$B$3*L2594</f>
        <v>0</v>
      </c>
      <c r="Q2594" s="2" t="str">
        <f aca="false">INDEX(Lookups!$E$2:$E$5,MATCH(P2594,Lookups!$D$2:$D$5,0))</f>
        <v>Low</v>
      </c>
    </row>
    <row r="2595" customFormat="false" ht="15" hidden="false" customHeight="false" outlineLevel="0" collapsed="false">
      <c r="A2595" s="3" t="n">
        <v>2594</v>
      </c>
      <c r="B2595" s="3" t="n">
        <f aca="false">Raw_Data!A2595</f>
        <v>46</v>
      </c>
      <c r="C2595" s="3" t="str">
        <f aca="false">SUBSTITUTE(Raw_Data!B2595,".","")</f>
        <v>management</v>
      </c>
      <c r="D2595" s="3" t="str">
        <f aca="false">Raw_Data!C2595</f>
        <v>single</v>
      </c>
      <c r="E2595" s="3" t="str">
        <f aca="false">Raw_Data!D2595</f>
        <v>secondary</v>
      </c>
      <c r="F2595" s="3" t="str">
        <f aca="false">Raw_Data!E2595</f>
        <v>no</v>
      </c>
      <c r="G2595" s="3" t="n">
        <f aca="false">Raw_Data!F2595</f>
        <v>295</v>
      </c>
      <c r="H2595" s="3" t="str">
        <f aca="false">Raw_Data!G2595</f>
        <v>yes</v>
      </c>
      <c r="I2595" s="3" t="str">
        <f aca="false">Raw_Data!H2595</f>
        <v>no</v>
      </c>
      <c r="J2595" s="2" t="n">
        <f aca="false">IF(F2595="yes",1,0)</f>
        <v>0</v>
      </c>
      <c r="K2595" s="2" t="n">
        <f aca="false">IF(H2595="yes",1,0)</f>
        <v>1</v>
      </c>
      <c r="L2595" s="2" t="n">
        <f aca="false">IF(I2595="yes",1,0)</f>
        <v>0</v>
      </c>
      <c r="M2595" s="2" t="n">
        <f aca="false">IF(G2595&lt;0,1,0)</f>
        <v>0</v>
      </c>
      <c r="N2595" s="2" t="str">
        <f aca="false">_xlfn.IFS(B2595&lt;30,"Under 30",B2595&lt;40,"30-39",B2595&lt;50,"40-49",B2595&lt;60,"50-59",TRUE(),"60+")</f>
        <v>40-49</v>
      </c>
      <c r="O2595" s="2" t="str">
        <f aca="false">_xlfn.IFS(G2595&lt;0,"1 Negative",G2595=0,"2 Zero",G2595&lt;=500,"3 1-500",G2595&lt;=2000,"4 501-2000",TRUE(),"5 Above 2000")</f>
        <v>3 1-500</v>
      </c>
      <c r="P2595" s="2" t="n">
        <f aca="false">Lookups!$B$2*M2595+Lookups!$B$3*L2595</f>
        <v>0</v>
      </c>
      <c r="Q2595" s="2" t="str">
        <f aca="false">INDEX(Lookups!$E$2:$E$5,MATCH(P2595,Lookups!$D$2:$D$5,0))</f>
        <v>Low</v>
      </c>
    </row>
    <row r="2596" customFormat="false" ht="15" hidden="false" customHeight="false" outlineLevel="0" collapsed="false">
      <c r="A2596" s="3" t="n">
        <v>2595</v>
      </c>
      <c r="B2596" s="3" t="n">
        <f aca="false">Raw_Data!A2596</f>
        <v>48</v>
      </c>
      <c r="C2596" s="3" t="str">
        <f aca="false">SUBSTITUTE(Raw_Data!B2596,".","")</f>
        <v>admin</v>
      </c>
      <c r="D2596" s="3" t="str">
        <f aca="false">Raw_Data!C2596</f>
        <v>married</v>
      </c>
      <c r="E2596" s="3" t="str">
        <f aca="false">Raw_Data!D2596</f>
        <v>secondary</v>
      </c>
      <c r="F2596" s="3" t="str">
        <f aca="false">Raw_Data!E2596</f>
        <v>no</v>
      </c>
      <c r="G2596" s="3" t="n">
        <f aca="false">Raw_Data!F2596</f>
        <v>292</v>
      </c>
      <c r="H2596" s="3" t="str">
        <f aca="false">Raw_Data!G2596</f>
        <v>yes</v>
      </c>
      <c r="I2596" s="3" t="str">
        <f aca="false">Raw_Data!H2596</f>
        <v>yes</v>
      </c>
      <c r="J2596" s="2" t="n">
        <f aca="false">IF(F2596="yes",1,0)</f>
        <v>0</v>
      </c>
      <c r="K2596" s="2" t="n">
        <f aca="false">IF(H2596="yes",1,0)</f>
        <v>1</v>
      </c>
      <c r="L2596" s="2" t="n">
        <f aca="false">IF(I2596="yes",1,0)</f>
        <v>1</v>
      </c>
      <c r="M2596" s="2" t="n">
        <f aca="false">IF(G2596&lt;0,1,0)</f>
        <v>0</v>
      </c>
      <c r="N2596" s="2" t="str">
        <f aca="false">_xlfn.IFS(B2596&lt;30,"Under 30",B2596&lt;40,"30-39",B2596&lt;50,"40-49",B2596&lt;60,"50-59",TRUE(),"60+")</f>
        <v>40-49</v>
      </c>
      <c r="O2596" s="2" t="str">
        <f aca="false">_xlfn.IFS(G2596&lt;0,"1 Negative",G2596=0,"2 Zero",G2596&lt;=500,"3 1-500",G2596&lt;=2000,"4 501-2000",TRUE(),"5 Above 2000")</f>
        <v>3 1-500</v>
      </c>
      <c r="P2596" s="2" t="n">
        <f aca="false">Lookups!$B$2*M2596+Lookups!$B$3*L2596</f>
        <v>1</v>
      </c>
      <c r="Q2596" s="2" t="str">
        <f aca="false">INDEX(Lookups!$E$2:$E$5,MATCH(P2596,Lookups!$D$2:$D$5,0))</f>
        <v>Medium</v>
      </c>
    </row>
    <row r="2597" customFormat="false" ht="15" hidden="false" customHeight="false" outlineLevel="0" collapsed="false">
      <c r="A2597" s="3" t="n">
        <v>2596</v>
      </c>
      <c r="B2597" s="3" t="n">
        <f aca="false">Raw_Data!A2597</f>
        <v>31</v>
      </c>
      <c r="C2597" s="3" t="str">
        <f aca="false">SUBSTITUTE(Raw_Data!B2597,".","")</f>
        <v>services</v>
      </c>
      <c r="D2597" s="3" t="str">
        <f aca="false">Raw_Data!C2597</f>
        <v>single</v>
      </c>
      <c r="E2597" s="3" t="str">
        <f aca="false">Raw_Data!D2597</f>
        <v>secondary</v>
      </c>
      <c r="F2597" s="3" t="str">
        <f aca="false">Raw_Data!E2597</f>
        <v>no</v>
      </c>
      <c r="G2597" s="3" t="n">
        <f aca="false">Raw_Data!F2597</f>
        <v>85</v>
      </c>
      <c r="H2597" s="3" t="str">
        <f aca="false">Raw_Data!G2597</f>
        <v>no</v>
      </c>
      <c r="I2597" s="3" t="str">
        <f aca="false">Raw_Data!H2597</f>
        <v>no</v>
      </c>
      <c r="J2597" s="2" t="n">
        <f aca="false">IF(F2597="yes",1,0)</f>
        <v>0</v>
      </c>
      <c r="K2597" s="2" t="n">
        <f aca="false">IF(H2597="yes",1,0)</f>
        <v>0</v>
      </c>
      <c r="L2597" s="2" t="n">
        <f aca="false">IF(I2597="yes",1,0)</f>
        <v>0</v>
      </c>
      <c r="M2597" s="2" t="n">
        <f aca="false">IF(G2597&lt;0,1,0)</f>
        <v>0</v>
      </c>
      <c r="N2597" s="2" t="str">
        <f aca="false">_xlfn.IFS(B2597&lt;30,"Under 30",B2597&lt;40,"30-39",B2597&lt;50,"40-49",B2597&lt;60,"50-59",TRUE(),"60+")</f>
        <v>30-39</v>
      </c>
      <c r="O2597" s="2" t="str">
        <f aca="false">_xlfn.IFS(G2597&lt;0,"1 Negative",G2597=0,"2 Zero",G2597&lt;=500,"3 1-500",G2597&lt;=2000,"4 501-2000",TRUE(),"5 Above 2000")</f>
        <v>3 1-500</v>
      </c>
      <c r="P2597" s="2" t="n">
        <f aca="false">Lookups!$B$2*M2597+Lookups!$B$3*L2597</f>
        <v>0</v>
      </c>
      <c r="Q2597" s="2" t="str">
        <f aca="false">INDEX(Lookups!$E$2:$E$5,MATCH(P2597,Lookups!$D$2:$D$5,0))</f>
        <v>Low</v>
      </c>
    </row>
    <row r="2598" customFormat="false" ht="15" hidden="false" customHeight="false" outlineLevel="0" collapsed="false">
      <c r="A2598" s="3" t="n">
        <v>2597</v>
      </c>
      <c r="B2598" s="3" t="n">
        <f aca="false">Raw_Data!A2598</f>
        <v>32</v>
      </c>
      <c r="C2598" s="3" t="str">
        <f aca="false">SUBSTITUTE(Raw_Data!B2598,".","")</f>
        <v>technician</v>
      </c>
      <c r="D2598" s="3" t="str">
        <f aca="false">Raw_Data!C2598</f>
        <v>married</v>
      </c>
      <c r="E2598" s="3" t="str">
        <f aca="false">Raw_Data!D2598</f>
        <v>secondary</v>
      </c>
      <c r="F2598" s="3" t="str">
        <f aca="false">Raw_Data!E2598</f>
        <v>no</v>
      </c>
      <c r="G2598" s="3" t="n">
        <f aca="false">Raw_Data!F2598</f>
        <v>4</v>
      </c>
      <c r="H2598" s="3" t="str">
        <f aca="false">Raw_Data!G2598</f>
        <v>no</v>
      </c>
      <c r="I2598" s="3" t="str">
        <f aca="false">Raw_Data!H2598</f>
        <v>no</v>
      </c>
      <c r="J2598" s="2" t="n">
        <f aca="false">IF(F2598="yes",1,0)</f>
        <v>0</v>
      </c>
      <c r="K2598" s="2" t="n">
        <f aca="false">IF(H2598="yes",1,0)</f>
        <v>0</v>
      </c>
      <c r="L2598" s="2" t="n">
        <f aca="false">IF(I2598="yes",1,0)</f>
        <v>0</v>
      </c>
      <c r="M2598" s="2" t="n">
        <f aca="false">IF(G2598&lt;0,1,0)</f>
        <v>0</v>
      </c>
      <c r="N2598" s="2" t="str">
        <f aca="false">_xlfn.IFS(B2598&lt;30,"Under 30",B2598&lt;40,"30-39",B2598&lt;50,"40-49",B2598&lt;60,"50-59",TRUE(),"60+")</f>
        <v>30-39</v>
      </c>
      <c r="O2598" s="2" t="str">
        <f aca="false">_xlfn.IFS(G2598&lt;0,"1 Negative",G2598=0,"2 Zero",G2598&lt;=500,"3 1-500",G2598&lt;=2000,"4 501-2000",TRUE(),"5 Above 2000")</f>
        <v>3 1-500</v>
      </c>
      <c r="P2598" s="2" t="n">
        <f aca="false">Lookups!$B$2*M2598+Lookups!$B$3*L2598</f>
        <v>0</v>
      </c>
      <c r="Q2598" s="2" t="str">
        <f aca="false">INDEX(Lookups!$E$2:$E$5,MATCH(P2598,Lookups!$D$2:$D$5,0))</f>
        <v>Low</v>
      </c>
    </row>
    <row r="2599" customFormat="false" ht="15" hidden="false" customHeight="false" outlineLevel="0" collapsed="false">
      <c r="A2599" s="3" t="n">
        <v>2598</v>
      </c>
      <c r="B2599" s="3" t="n">
        <f aca="false">Raw_Data!A2599</f>
        <v>35</v>
      </c>
      <c r="C2599" s="3" t="str">
        <f aca="false">SUBSTITUTE(Raw_Data!B2599,".","")</f>
        <v>blue-collar</v>
      </c>
      <c r="D2599" s="3" t="str">
        <f aca="false">Raw_Data!C2599</f>
        <v>divorced</v>
      </c>
      <c r="E2599" s="3" t="str">
        <f aca="false">Raw_Data!D2599</f>
        <v>primary</v>
      </c>
      <c r="F2599" s="3" t="str">
        <f aca="false">Raw_Data!E2599</f>
        <v>no</v>
      </c>
      <c r="G2599" s="3" t="n">
        <f aca="false">Raw_Data!F2599</f>
        <v>-587</v>
      </c>
      <c r="H2599" s="3" t="str">
        <f aca="false">Raw_Data!G2599</f>
        <v>yes</v>
      </c>
      <c r="I2599" s="3" t="str">
        <f aca="false">Raw_Data!H2599</f>
        <v>no</v>
      </c>
      <c r="J2599" s="2" t="n">
        <f aca="false">IF(F2599="yes",1,0)</f>
        <v>0</v>
      </c>
      <c r="K2599" s="2" t="n">
        <f aca="false">IF(H2599="yes",1,0)</f>
        <v>1</v>
      </c>
      <c r="L2599" s="2" t="n">
        <f aca="false">IF(I2599="yes",1,0)</f>
        <v>0</v>
      </c>
      <c r="M2599" s="2" t="n">
        <f aca="false">IF(G2599&lt;0,1,0)</f>
        <v>1</v>
      </c>
      <c r="N2599" s="2" t="str">
        <f aca="false">_xlfn.IFS(B2599&lt;30,"Under 30",B2599&lt;40,"30-39",B2599&lt;50,"40-49",B2599&lt;60,"50-59",TRUE(),"60+")</f>
        <v>30-39</v>
      </c>
      <c r="O2599" s="2" t="str">
        <f aca="false">_xlfn.IFS(G2599&lt;0,"1 Negative",G2599=0,"2 Zero",G2599&lt;=500,"3 1-500",G2599&lt;=2000,"4 501-2000",TRUE(),"5 Above 2000")</f>
        <v>1 Negative</v>
      </c>
      <c r="P2599" s="2" t="n">
        <f aca="false">Lookups!$B$2*M2599+Lookups!$B$3*L2599</f>
        <v>2</v>
      </c>
      <c r="Q2599" s="2" t="str">
        <f aca="false">INDEX(Lookups!$E$2:$E$5,MATCH(P2599,Lookups!$D$2:$D$5,0))</f>
        <v>High</v>
      </c>
    </row>
    <row r="2600" customFormat="false" ht="15" hidden="false" customHeight="false" outlineLevel="0" collapsed="false">
      <c r="A2600" s="3" t="n">
        <v>2599</v>
      </c>
      <c r="B2600" s="3" t="n">
        <f aca="false">Raw_Data!A2600</f>
        <v>36</v>
      </c>
      <c r="C2600" s="3" t="str">
        <f aca="false">SUBSTITUTE(Raw_Data!B2600,".","")</f>
        <v>blue-collar</v>
      </c>
      <c r="D2600" s="3" t="str">
        <f aca="false">Raw_Data!C2600</f>
        <v>single</v>
      </c>
      <c r="E2600" s="3" t="str">
        <f aca="false">Raw_Data!D2600</f>
        <v>primary</v>
      </c>
      <c r="F2600" s="3" t="str">
        <f aca="false">Raw_Data!E2600</f>
        <v>no</v>
      </c>
      <c r="G2600" s="3" t="n">
        <f aca="false">Raw_Data!F2600</f>
        <v>367</v>
      </c>
      <c r="H2600" s="3" t="str">
        <f aca="false">Raw_Data!G2600</f>
        <v>no</v>
      </c>
      <c r="I2600" s="3" t="str">
        <f aca="false">Raw_Data!H2600</f>
        <v>no</v>
      </c>
      <c r="J2600" s="2" t="n">
        <f aca="false">IF(F2600="yes",1,0)</f>
        <v>0</v>
      </c>
      <c r="K2600" s="2" t="n">
        <f aca="false">IF(H2600="yes",1,0)</f>
        <v>0</v>
      </c>
      <c r="L2600" s="2" t="n">
        <f aca="false">IF(I2600="yes",1,0)</f>
        <v>0</v>
      </c>
      <c r="M2600" s="2" t="n">
        <f aca="false">IF(G2600&lt;0,1,0)</f>
        <v>0</v>
      </c>
      <c r="N2600" s="2" t="str">
        <f aca="false">_xlfn.IFS(B2600&lt;30,"Under 30",B2600&lt;40,"30-39",B2600&lt;50,"40-49",B2600&lt;60,"50-59",TRUE(),"60+")</f>
        <v>30-39</v>
      </c>
      <c r="O2600" s="2" t="str">
        <f aca="false">_xlfn.IFS(G2600&lt;0,"1 Negative",G2600=0,"2 Zero",G2600&lt;=500,"3 1-500",G2600&lt;=2000,"4 501-2000",TRUE(),"5 Above 2000")</f>
        <v>3 1-500</v>
      </c>
      <c r="P2600" s="2" t="n">
        <f aca="false">Lookups!$B$2*M2600+Lookups!$B$3*L2600</f>
        <v>0</v>
      </c>
      <c r="Q2600" s="2" t="str">
        <f aca="false">INDEX(Lookups!$E$2:$E$5,MATCH(P2600,Lookups!$D$2:$D$5,0))</f>
        <v>Low</v>
      </c>
    </row>
    <row r="2601" customFormat="false" ht="15" hidden="false" customHeight="false" outlineLevel="0" collapsed="false">
      <c r="A2601" s="3" t="n">
        <v>2600</v>
      </c>
      <c r="B2601" s="3" t="n">
        <f aca="false">Raw_Data!A2601</f>
        <v>52</v>
      </c>
      <c r="C2601" s="3" t="str">
        <f aca="false">SUBSTITUTE(Raw_Data!B2601,".","")</f>
        <v>management</v>
      </c>
      <c r="D2601" s="3" t="str">
        <f aca="false">Raw_Data!C2601</f>
        <v>married</v>
      </c>
      <c r="E2601" s="3" t="str">
        <f aca="false">Raw_Data!D2601</f>
        <v>tertiary</v>
      </c>
      <c r="F2601" s="3" t="str">
        <f aca="false">Raw_Data!E2601</f>
        <v>no</v>
      </c>
      <c r="G2601" s="3" t="n">
        <f aca="false">Raw_Data!F2601</f>
        <v>-1224</v>
      </c>
      <c r="H2601" s="3" t="str">
        <f aca="false">Raw_Data!G2601</f>
        <v>yes</v>
      </c>
      <c r="I2601" s="3" t="str">
        <f aca="false">Raw_Data!H2601</f>
        <v>no</v>
      </c>
      <c r="J2601" s="2" t="n">
        <f aca="false">IF(F2601="yes",1,0)</f>
        <v>0</v>
      </c>
      <c r="K2601" s="2" t="n">
        <f aca="false">IF(H2601="yes",1,0)</f>
        <v>1</v>
      </c>
      <c r="L2601" s="2" t="n">
        <f aca="false">IF(I2601="yes",1,0)</f>
        <v>0</v>
      </c>
      <c r="M2601" s="2" t="n">
        <f aca="false">IF(G2601&lt;0,1,0)</f>
        <v>1</v>
      </c>
      <c r="N2601" s="2" t="str">
        <f aca="false">_xlfn.IFS(B2601&lt;30,"Under 30",B2601&lt;40,"30-39",B2601&lt;50,"40-49",B2601&lt;60,"50-59",TRUE(),"60+")</f>
        <v>50-59</v>
      </c>
      <c r="O2601" s="2" t="str">
        <f aca="false">_xlfn.IFS(G2601&lt;0,"1 Negative",G2601=0,"2 Zero",G2601&lt;=500,"3 1-500",G2601&lt;=2000,"4 501-2000",TRUE(),"5 Above 2000")</f>
        <v>1 Negative</v>
      </c>
      <c r="P2601" s="2" t="n">
        <f aca="false">Lookups!$B$2*M2601+Lookups!$B$3*L2601</f>
        <v>2</v>
      </c>
      <c r="Q2601" s="2" t="str">
        <f aca="false">INDEX(Lookups!$E$2:$E$5,MATCH(P2601,Lookups!$D$2:$D$5,0))</f>
        <v>High</v>
      </c>
    </row>
    <row r="2602" customFormat="false" ht="15" hidden="false" customHeight="false" outlineLevel="0" collapsed="false">
      <c r="A2602" s="3" t="n">
        <v>2601</v>
      </c>
      <c r="B2602" s="3" t="n">
        <f aca="false">Raw_Data!A2602</f>
        <v>45</v>
      </c>
      <c r="C2602" s="3" t="str">
        <f aca="false">SUBSTITUTE(Raw_Data!B2602,".","")</f>
        <v>management</v>
      </c>
      <c r="D2602" s="3" t="str">
        <f aca="false">Raw_Data!C2602</f>
        <v>divorced</v>
      </c>
      <c r="E2602" s="3" t="str">
        <f aca="false">Raw_Data!D2602</f>
        <v>tertiary</v>
      </c>
      <c r="F2602" s="3" t="str">
        <f aca="false">Raw_Data!E2602</f>
        <v>no</v>
      </c>
      <c r="G2602" s="3" t="n">
        <f aca="false">Raw_Data!F2602</f>
        <v>959</v>
      </c>
      <c r="H2602" s="3" t="str">
        <f aca="false">Raw_Data!G2602</f>
        <v>no</v>
      </c>
      <c r="I2602" s="3" t="str">
        <f aca="false">Raw_Data!H2602</f>
        <v>no</v>
      </c>
      <c r="J2602" s="2" t="n">
        <f aca="false">IF(F2602="yes",1,0)</f>
        <v>0</v>
      </c>
      <c r="K2602" s="2" t="n">
        <f aca="false">IF(H2602="yes",1,0)</f>
        <v>0</v>
      </c>
      <c r="L2602" s="2" t="n">
        <f aca="false">IF(I2602="yes",1,0)</f>
        <v>0</v>
      </c>
      <c r="M2602" s="2" t="n">
        <f aca="false">IF(G2602&lt;0,1,0)</f>
        <v>0</v>
      </c>
      <c r="N2602" s="2" t="str">
        <f aca="false">_xlfn.IFS(B2602&lt;30,"Under 30",B2602&lt;40,"30-39",B2602&lt;50,"40-49",B2602&lt;60,"50-59",TRUE(),"60+")</f>
        <v>40-49</v>
      </c>
      <c r="O2602" s="2" t="str">
        <f aca="false">_xlfn.IFS(G2602&lt;0,"1 Negative",G2602=0,"2 Zero",G2602&lt;=500,"3 1-500",G2602&lt;=2000,"4 501-2000",TRUE(),"5 Above 2000")</f>
        <v>4 501-2000</v>
      </c>
      <c r="P2602" s="2" t="n">
        <f aca="false">Lookups!$B$2*M2602+Lookups!$B$3*L2602</f>
        <v>0</v>
      </c>
      <c r="Q2602" s="2" t="str">
        <f aca="false">INDEX(Lookups!$E$2:$E$5,MATCH(P2602,Lookups!$D$2:$D$5,0))</f>
        <v>Low</v>
      </c>
    </row>
    <row r="2603" customFormat="false" ht="15" hidden="false" customHeight="false" outlineLevel="0" collapsed="false">
      <c r="A2603" s="3" t="n">
        <v>2602</v>
      </c>
      <c r="B2603" s="3" t="n">
        <f aca="false">Raw_Data!A2603</f>
        <v>34</v>
      </c>
      <c r="C2603" s="3" t="str">
        <f aca="false">SUBSTITUTE(Raw_Data!B2603,".","")</f>
        <v>management</v>
      </c>
      <c r="D2603" s="3" t="str">
        <f aca="false">Raw_Data!C2603</f>
        <v>married</v>
      </c>
      <c r="E2603" s="3" t="str">
        <f aca="false">Raw_Data!D2603</f>
        <v>tertiary</v>
      </c>
      <c r="F2603" s="3" t="str">
        <f aca="false">Raw_Data!E2603</f>
        <v>no</v>
      </c>
      <c r="G2603" s="3" t="n">
        <f aca="false">Raw_Data!F2603</f>
        <v>0</v>
      </c>
      <c r="H2603" s="3" t="str">
        <f aca="false">Raw_Data!G2603</f>
        <v>no</v>
      </c>
      <c r="I2603" s="3" t="str">
        <f aca="false">Raw_Data!H2603</f>
        <v>no</v>
      </c>
      <c r="J2603" s="2" t="n">
        <f aca="false">IF(F2603="yes",1,0)</f>
        <v>0</v>
      </c>
      <c r="K2603" s="2" t="n">
        <f aca="false">IF(H2603="yes",1,0)</f>
        <v>0</v>
      </c>
      <c r="L2603" s="2" t="n">
        <f aca="false">IF(I2603="yes",1,0)</f>
        <v>0</v>
      </c>
      <c r="M2603" s="2" t="n">
        <f aca="false">IF(G2603&lt;0,1,0)</f>
        <v>0</v>
      </c>
      <c r="N2603" s="2" t="str">
        <f aca="false">_xlfn.IFS(B2603&lt;30,"Under 30",B2603&lt;40,"30-39",B2603&lt;50,"40-49",B2603&lt;60,"50-59",TRUE(),"60+")</f>
        <v>30-39</v>
      </c>
      <c r="O2603" s="2" t="str">
        <f aca="false">_xlfn.IFS(G2603&lt;0,"1 Negative",G2603=0,"2 Zero",G2603&lt;=500,"3 1-500",G2603&lt;=2000,"4 501-2000",TRUE(),"5 Above 2000")</f>
        <v>2 Zero</v>
      </c>
      <c r="P2603" s="2" t="n">
        <f aca="false">Lookups!$B$2*M2603+Lookups!$B$3*L2603</f>
        <v>0</v>
      </c>
      <c r="Q2603" s="2" t="str">
        <f aca="false">INDEX(Lookups!$E$2:$E$5,MATCH(P2603,Lookups!$D$2:$D$5,0))</f>
        <v>Low</v>
      </c>
    </row>
    <row r="2604" customFormat="false" ht="15" hidden="false" customHeight="false" outlineLevel="0" collapsed="false">
      <c r="A2604" s="3" t="n">
        <v>2603</v>
      </c>
      <c r="B2604" s="3" t="n">
        <f aca="false">Raw_Data!A2604</f>
        <v>25</v>
      </c>
      <c r="C2604" s="3" t="str">
        <f aca="false">SUBSTITUTE(Raw_Data!B2604,".","")</f>
        <v>blue-collar</v>
      </c>
      <c r="D2604" s="3" t="str">
        <f aca="false">Raw_Data!C2604</f>
        <v>married</v>
      </c>
      <c r="E2604" s="3" t="str">
        <f aca="false">Raw_Data!D2604</f>
        <v>primary</v>
      </c>
      <c r="F2604" s="3" t="str">
        <f aca="false">Raw_Data!E2604</f>
        <v>yes</v>
      </c>
      <c r="G2604" s="3" t="n">
        <f aca="false">Raw_Data!F2604</f>
        <v>-589</v>
      </c>
      <c r="H2604" s="3" t="str">
        <f aca="false">Raw_Data!G2604</f>
        <v>yes</v>
      </c>
      <c r="I2604" s="3" t="str">
        <f aca="false">Raw_Data!H2604</f>
        <v>no</v>
      </c>
      <c r="J2604" s="2" t="n">
        <f aca="false">IF(F2604="yes",1,0)</f>
        <v>1</v>
      </c>
      <c r="K2604" s="2" t="n">
        <f aca="false">IF(H2604="yes",1,0)</f>
        <v>1</v>
      </c>
      <c r="L2604" s="2" t="n">
        <f aca="false">IF(I2604="yes",1,0)</f>
        <v>0</v>
      </c>
      <c r="M2604" s="2" t="n">
        <f aca="false">IF(G2604&lt;0,1,0)</f>
        <v>1</v>
      </c>
      <c r="N2604" s="2" t="str">
        <f aca="false">_xlfn.IFS(B2604&lt;30,"Under 30",B2604&lt;40,"30-39",B2604&lt;50,"40-49",B2604&lt;60,"50-59",TRUE(),"60+")</f>
        <v>Under 30</v>
      </c>
      <c r="O2604" s="2" t="str">
        <f aca="false">_xlfn.IFS(G2604&lt;0,"1 Negative",G2604=0,"2 Zero",G2604&lt;=500,"3 1-500",G2604&lt;=2000,"4 501-2000",TRUE(),"5 Above 2000")</f>
        <v>1 Negative</v>
      </c>
      <c r="P2604" s="2" t="n">
        <f aca="false">Lookups!$B$2*M2604+Lookups!$B$3*L2604</f>
        <v>2</v>
      </c>
      <c r="Q2604" s="2" t="str">
        <f aca="false">INDEX(Lookups!$E$2:$E$5,MATCH(P2604,Lookups!$D$2:$D$5,0))</f>
        <v>High</v>
      </c>
    </row>
    <row r="2605" customFormat="false" ht="15" hidden="false" customHeight="false" outlineLevel="0" collapsed="false">
      <c r="A2605" s="3" t="n">
        <v>2604</v>
      </c>
      <c r="B2605" s="3" t="n">
        <f aca="false">Raw_Data!A2605</f>
        <v>26</v>
      </c>
      <c r="C2605" s="3" t="str">
        <f aca="false">SUBSTITUTE(Raw_Data!B2605,".","")</f>
        <v>management</v>
      </c>
      <c r="D2605" s="3" t="str">
        <f aca="false">Raw_Data!C2605</f>
        <v>single</v>
      </c>
      <c r="E2605" s="3" t="str">
        <f aca="false">Raw_Data!D2605</f>
        <v>tertiary</v>
      </c>
      <c r="F2605" s="3" t="str">
        <f aca="false">Raw_Data!E2605</f>
        <v>no</v>
      </c>
      <c r="G2605" s="3" t="n">
        <f aca="false">Raw_Data!F2605</f>
        <v>-8</v>
      </c>
      <c r="H2605" s="3" t="str">
        <f aca="false">Raw_Data!G2605</f>
        <v>no</v>
      </c>
      <c r="I2605" s="3" t="str">
        <f aca="false">Raw_Data!H2605</f>
        <v>no</v>
      </c>
      <c r="J2605" s="2" t="n">
        <f aca="false">IF(F2605="yes",1,0)</f>
        <v>0</v>
      </c>
      <c r="K2605" s="2" t="n">
        <f aca="false">IF(H2605="yes",1,0)</f>
        <v>0</v>
      </c>
      <c r="L2605" s="2" t="n">
        <f aca="false">IF(I2605="yes",1,0)</f>
        <v>0</v>
      </c>
      <c r="M2605" s="2" t="n">
        <f aca="false">IF(G2605&lt;0,1,0)</f>
        <v>1</v>
      </c>
      <c r="N2605" s="2" t="str">
        <f aca="false">_xlfn.IFS(B2605&lt;30,"Under 30",B2605&lt;40,"30-39",B2605&lt;50,"40-49",B2605&lt;60,"50-59",TRUE(),"60+")</f>
        <v>Under 30</v>
      </c>
      <c r="O2605" s="2" t="str">
        <f aca="false">_xlfn.IFS(G2605&lt;0,"1 Negative",G2605=0,"2 Zero",G2605&lt;=500,"3 1-500",G2605&lt;=2000,"4 501-2000",TRUE(),"5 Above 2000")</f>
        <v>1 Negative</v>
      </c>
      <c r="P2605" s="2" t="n">
        <f aca="false">Lookups!$B$2*M2605+Lookups!$B$3*L2605</f>
        <v>2</v>
      </c>
      <c r="Q2605" s="2" t="str">
        <f aca="false">INDEX(Lookups!$E$2:$E$5,MATCH(P2605,Lookups!$D$2:$D$5,0))</f>
        <v>High</v>
      </c>
    </row>
    <row r="2606" customFormat="false" ht="15" hidden="false" customHeight="false" outlineLevel="0" collapsed="false">
      <c r="A2606" s="3" t="n">
        <v>2605</v>
      </c>
      <c r="B2606" s="3" t="n">
        <f aca="false">Raw_Data!A2606</f>
        <v>57</v>
      </c>
      <c r="C2606" s="3" t="str">
        <f aca="false">SUBSTITUTE(Raw_Data!B2606,".","")</f>
        <v>management</v>
      </c>
      <c r="D2606" s="3" t="str">
        <f aca="false">Raw_Data!C2606</f>
        <v>married</v>
      </c>
      <c r="E2606" s="3" t="str">
        <f aca="false">Raw_Data!D2606</f>
        <v>unknown</v>
      </c>
      <c r="F2606" s="3" t="str">
        <f aca="false">Raw_Data!E2606</f>
        <v>no</v>
      </c>
      <c r="G2606" s="3" t="n">
        <f aca="false">Raw_Data!F2606</f>
        <v>0</v>
      </c>
      <c r="H2606" s="3" t="str">
        <f aca="false">Raw_Data!G2606</f>
        <v>no</v>
      </c>
      <c r="I2606" s="3" t="str">
        <f aca="false">Raw_Data!H2606</f>
        <v>no</v>
      </c>
      <c r="J2606" s="2" t="n">
        <f aca="false">IF(F2606="yes",1,0)</f>
        <v>0</v>
      </c>
      <c r="K2606" s="2" t="n">
        <f aca="false">IF(H2606="yes",1,0)</f>
        <v>0</v>
      </c>
      <c r="L2606" s="2" t="n">
        <f aca="false">IF(I2606="yes",1,0)</f>
        <v>0</v>
      </c>
      <c r="M2606" s="2" t="n">
        <f aca="false">IF(G2606&lt;0,1,0)</f>
        <v>0</v>
      </c>
      <c r="N2606" s="2" t="str">
        <f aca="false">_xlfn.IFS(B2606&lt;30,"Under 30",B2606&lt;40,"30-39",B2606&lt;50,"40-49",B2606&lt;60,"50-59",TRUE(),"60+")</f>
        <v>50-59</v>
      </c>
      <c r="O2606" s="2" t="str">
        <f aca="false">_xlfn.IFS(G2606&lt;0,"1 Negative",G2606=0,"2 Zero",G2606&lt;=500,"3 1-500",G2606&lt;=2000,"4 501-2000",TRUE(),"5 Above 2000")</f>
        <v>2 Zero</v>
      </c>
      <c r="P2606" s="2" t="n">
        <f aca="false">Lookups!$B$2*M2606+Lookups!$B$3*L2606</f>
        <v>0</v>
      </c>
      <c r="Q2606" s="2" t="str">
        <f aca="false">INDEX(Lookups!$E$2:$E$5,MATCH(P2606,Lookups!$D$2:$D$5,0))</f>
        <v>Low</v>
      </c>
    </row>
    <row r="2607" customFormat="false" ht="15" hidden="false" customHeight="false" outlineLevel="0" collapsed="false">
      <c r="A2607" s="3" t="n">
        <v>2606</v>
      </c>
      <c r="B2607" s="3" t="n">
        <f aca="false">Raw_Data!A2607</f>
        <v>48</v>
      </c>
      <c r="C2607" s="3" t="str">
        <f aca="false">SUBSTITUTE(Raw_Data!B2607,".","")</f>
        <v>management</v>
      </c>
      <c r="D2607" s="3" t="str">
        <f aca="false">Raw_Data!C2607</f>
        <v>married</v>
      </c>
      <c r="E2607" s="3" t="str">
        <f aca="false">Raw_Data!D2607</f>
        <v>primary</v>
      </c>
      <c r="F2607" s="3" t="str">
        <f aca="false">Raw_Data!E2607</f>
        <v>no</v>
      </c>
      <c r="G2607" s="3" t="n">
        <f aca="false">Raw_Data!F2607</f>
        <v>247</v>
      </c>
      <c r="H2607" s="3" t="str">
        <f aca="false">Raw_Data!G2607</f>
        <v>yes</v>
      </c>
      <c r="I2607" s="3" t="str">
        <f aca="false">Raw_Data!H2607</f>
        <v>yes</v>
      </c>
      <c r="J2607" s="2" t="n">
        <f aca="false">IF(F2607="yes",1,0)</f>
        <v>0</v>
      </c>
      <c r="K2607" s="2" t="n">
        <f aca="false">IF(H2607="yes",1,0)</f>
        <v>1</v>
      </c>
      <c r="L2607" s="2" t="n">
        <f aca="false">IF(I2607="yes",1,0)</f>
        <v>1</v>
      </c>
      <c r="M2607" s="2" t="n">
        <f aca="false">IF(G2607&lt;0,1,0)</f>
        <v>0</v>
      </c>
      <c r="N2607" s="2" t="str">
        <f aca="false">_xlfn.IFS(B2607&lt;30,"Under 30",B2607&lt;40,"30-39",B2607&lt;50,"40-49",B2607&lt;60,"50-59",TRUE(),"60+")</f>
        <v>40-49</v>
      </c>
      <c r="O2607" s="2" t="str">
        <f aca="false">_xlfn.IFS(G2607&lt;0,"1 Negative",G2607=0,"2 Zero",G2607&lt;=500,"3 1-500",G2607&lt;=2000,"4 501-2000",TRUE(),"5 Above 2000")</f>
        <v>3 1-500</v>
      </c>
      <c r="P2607" s="2" t="n">
        <f aca="false">Lookups!$B$2*M2607+Lookups!$B$3*L2607</f>
        <v>1</v>
      </c>
      <c r="Q2607" s="2" t="str">
        <f aca="false">INDEX(Lookups!$E$2:$E$5,MATCH(P2607,Lookups!$D$2:$D$5,0))</f>
        <v>Medium</v>
      </c>
    </row>
    <row r="2608" customFormat="false" ht="15" hidden="false" customHeight="false" outlineLevel="0" collapsed="false">
      <c r="A2608" s="3" t="n">
        <v>2607</v>
      </c>
      <c r="B2608" s="3" t="n">
        <f aca="false">Raw_Data!A2608</f>
        <v>48</v>
      </c>
      <c r="C2608" s="3" t="str">
        <f aca="false">SUBSTITUTE(Raw_Data!B2608,".","")</f>
        <v>technician</v>
      </c>
      <c r="D2608" s="3" t="str">
        <f aca="false">Raw_Data!C2608</f>
        <v>married</v>
      </c>
      <c r="E2608" s="3" t="str">
        <f aca="false">Raw_Data!D2608</f>
        <v>unknown</v>
      </c>
      <c r="F2608" s="3" t="str">
        <f aca="false">Raw_Data!E2608</f>
        <v>no</v>
      </c>
      <c r="G2608" s="3" t="n">
        <f aca="false">Raw_Data!F2608</f>
        <v>5543</v>
      </c>
      <c r="H2608" s="3" t="str">
        <f aca="false">Raw_Data!G2608</f>
        <v>no</v>
      </c>
      <c r="I2608" s="3" t="str">
        <f aca="false">Raw_Data!H2608</f>
        <v>no</v>
      </c>
      <c r="J2608" s="2" t="n">
        <f aca="false">IF(F2608="yes",1,0)</f>
        <v>0</v>
      </c>
      <c r="K2608" s="2" t="n">
        <f aca="false">IF(H2608="yes",1,0)</f>
        <v>0</v>
      </c>
      <c r="L2608" s="2" t="n">
        <f aca="false">IF(I2608="yes",1,0)</f>
        <v>0</v>
      </c>
      <c r="M2608" s="2" t="n">
        <f aca="false">IF(G2608&lt;0,1,0)</f>
        <v>0</v>
      </c>
      <c r="N2608" s="2" t="str">
        <f aca="false">_xlfn.IFS(B2608&lt;30,"Under 30",B2608&lt;40,"30-39",B2608&lt;50,"40-49",B2608&lt;60,"50-59",TRUE(),"60+")</f>
        <v>40-49</v>
      </c>
      <c r="O2608" s="2" t="str">
        <f aca="false">_xlfn.IFS(G2608&lt;0,"1 Negative",G2608=0,"2 Zero",G2608&lt;=500,"3 1-500",G2608&lt;=2000,"4 501-2000",TRUE(),"5 Above 2000")</f>
        <v>5 Above 2000</v>
      </c>
      <c r="P2608" s="2" t="n">
        <f aca="false">Lookups!$B$2*M2608+Lookups!$B$3*L2608</f>
        <v>0</v>
      </c>
      <c r="Q2608" s="2" t="str">
        <f aca="false">INDEX(Lookups!$E$2:$E$5,MATCH(P2608,Lookups!$D$2:$D$5,0))</f>
        <v>Low</v>
      </c>
    </row>
    <row r="2609" customFormat="false" ht="15" hidden="false" customHeight="false" outlineLevel="0" collapsed="false">
      <c r="A2609" s="3" t="n">
        <v>2608</v>
      </c>
      <c r="B2609" s="3" t="n">
        <f aca="false">Raw_Data!A2609</f>
        <v>32</v>
      </c>
      <c r="C2609" s="3" t="str">
        <f aca="false">SUBSTITUTE(Raw_Data!B2609,".","")</f>
        <v>blue-collar</v>
      </c>
      <c r="D2609" s="3" t="str">
        <f aca="false">Raw_Data!C2609</f>
        <v>married</v>
      </c>
      <c r="E2609" s="3" t="str">
        <f aca="false">Raw_Data!D2609</f>
        <v>primary</v>
      </c>
      <c r="F2609" s="3" t="str">
        <f aca="false">Raw_Data!E2609</f>
        <v>no</v>
      </c>
      <c r="G2609" s="3" t="n">
        <f aca="false">Raw_Data!F2609</f>
        <v>642</v>
      </c>
      <c r="H2609" s="3" t="str">
        <f aca="false">Raw_Data!G2609</f>
        <v>no</v>
      </c>
      <c r="I2609" s="3" t="str">
        <f aca="false">Raw_Data!H2609</f>
        <v>yes</v>
      </c>
      <c r="J2609" s="2" t="n">
        <f aca="false">IF(F2609="yes",1,0)</f>
        <v>0</v>
      </c>
      <c r="K2609" s="2" t="n">
        <f aca="false">IF(H2609="yes",1,0)</f>
        <v>0</v>
      </c>
      <c r="L2609" s="2" t="n">
        <f aca="false">IF(I2609="yes",1,0)</f>
        <v>1</v>
      </c>
      <c r="M2609" s="2" t="n">
        <f aca="false">IF(G2609&lt;0,1,0)</f>
        <v>0</v>
      </c>
      <c r="N2609" s="2" t="str">
        <f aca="false">_xlfn.IFS(B2609&lt;30,"Under 30",B2609&lt;40,"30-39",B2609&lt;50,"40-49",B2609&lt;60,"50-59",TRUE(),"60+")</f>
        <v>30-39</v>
      </c>
      <c r="O2609" s="2" t="str">
        <f aca="false">_xlfn.IFS(G2609&lt;0,"1 Negative",G2609=0,"2 Zero",G2609&lt;=500,"3 1-500",G2609&lt;=2000,"4 501-2000",TRUE(),"5 Above 2000")</f>
        <v>4 501-2000</v>
      </c>
      <c r="P2609" s="2" t="n">
        <f aca="false">Lookups!$B$2*M2609+Lookups!$B$3*L2609</f>
        <v>1</v>
      </c>
      <c r="Q2609" s="2" t="str">
        <f aca="false">INDEX(Lookups!$E$2:$E$5,MATCH(P2609,Lookups!$D$2:$D$5,0))</f>
        <v>Medium</v>
      </c>
    </row>
    <row r="2610" customFormat="false" ht="15" hidden="false" customHeight="false" outlineLevel="0" collapsed="false">
      <c r="A2610" s="3" t="n">
        <v>2609</v>
      </c>
      <c r="B2610" s="3" t="n">
        <f aca="false">Raw_Data!A2610</f>
        <v>58</v>
      </c>
      <c r="C2610" s="3" t="str">
        <f aca="false">SUBSTITUTE(Raw_Data!B2610,".","")</f>
        <v>retired</v>
      </c>
      <c r="D2610" s="3" t="str">
        <f aca="false">Raw_Data!C2610</f>
        <v>married</v>
      </c>
      <c r="E2610" s="3" t="str">
        <f aca="false">Raw_Data!D2610</f>
        <v>secondary</v>
      </c>
      <c r="F2610" s="3" t="str">
        <f aca="false">Raw_Data!E2610</f>
        <v>no</v>
      </c>
      <c r="G2610" s="3" t="n">
        <f aca="false">Raw_Data!F2610</f>
        <v>11</v>
      </c>
      <c r="H2610" s="3" t="str">
        <f aca="false">Raw_Data!G2610</f>
        <v>no</v>
      </c>
      <c r="I2610" s="3" t="str">
        <f aca="false">Raw_Data!H2610</f>
        <v>no</v>
      </c>
      <c r="J2610" s="2" t="n">
        <f aca="false">IF(F2610="yes",1,0)</f>
        <v>0</v>
      </c>
      <c r="K2610" s="2" t="n">
        <f aca="false">IF(H2610="yes",1,0)</f>
        <v>0</v>
      </c>
      <c r="L2610" s="2" t="n">
        <f aca="false">IF(I2610="yes",1,0)</f>
        <v>0</v>
      </c>
      <c r="M2610" s="2" t="n">
        <f aca="false">IF(G2610&lt;0,1,0)</f>
        <v>0</v>
      </c>
      <c r="N2610" s="2" t="str">
        <f aca="false">_xlfn.IFS(B2610&lt;30,"Under 30",B2610&lt;40,"30-39",B2610&lt;50,"40-49",B2610&lt;60,"50-59",TRUE(),"60+")</f>
        <v>50-59</v>
      </c>
      <c r="O2610" s="2" t="str">
        <f aca="false">_xlfn.IFS(G2610&lt;0,"1 Negative",G2610=0,"2 Zero",G2610&lt;=500,"3 1-500",G2610&lt;=2000,"4 501-2000",TRUE(),"5 Above 2000")</f>
        <v>3 1-500</v>
      </c>
      <c r="P2610" s="2" t="n">
        <f aca="false">Lookups!$B$2*M2610+Lookups!$B$3*L2610</f>
        <v>0</v>
      </c>
      <c r="Q2610" s="2" t="str">
        <f aca="false">INDEX(Lookups!$E$2:$E$5,MATCH(P2610,Lookups!$D$2:$D$5,0))</f>
        <v>Low</v>
      </c>
    </row>
    <row r="2611" customFormat="false" ht="15" hidden="false" customHeight="false" outlineLevel="0" collapsed="false">
      <c r="A2611" s="3" t="n">
        <v>2610</v>
      </c>
      <c r="B2611" s="3" t="n">
        <f aca="false">Raw_Data!A2611</f>
        <v>57</v>
      </c>
      <c r="C2611" s="3" t="str">
        <f aca="false">SUBSTITUTE(Raw_Data!B2611,".","")</f>
        <v>management</v>
      </c>
      <c r="D2611" s="3" t="str">
        <f aca="false">Raw_Data!C2611</f>
        <v>married</v>
      </c>
      <c r="E2611" s="3" t="str">
        <f aca="false">Raw_Data!D2611</f>
        <v>primary</v>
      </c>
      <c r="F2611" s="3" t="str">
        <f aca="false">Raw_Data!E2611</f>
        <v>no</v>
      </c>
      <c r="G2611" s="3" t="n">
        <f aca="false">Raw_Data!F2611</f>
        <v>-226</v>
      </c>
      <c r="H2611" s="3" t="str">
        <f aca="false">Raw_Data!G2611</f>
        <v>yes</v>
      </c>
      <c r="I2611" s="3" t="str">
        <f aca="false">Raw_Data!H2611</f>
        <v>no</v>
      </c>
      <c r="J2611" s="2" t="n">
        <f aca="false">IF(F2611="yes",1,0)</f>
        <v>0</v>
      </c>
      <c r="K2611" s="2" t="n">
        <f aca="false">IF(H2611="yes",1,0)</f>
        <v>1</v>
      </c>
      <c r="L2611" s="2" t="n">
        <f aca="false">IF(I2611="yes",1,0)</f>
        <v>0</v>
      </c>
      <c r="M2611" s="2" t="n">
        <f aca="false">IF(G2611&lt;0,1,0)</f>
        <v>1</v>
      </c>
      <c r="N2611" s="2" t="str">
        <f aca="false">_xlfn.IFS(B2611&lt;30,"Under 30",B2611&lt;40,"30-39",B2611&lt;50,"40-49",B2611&lt;60,"50-59",TRUE(),"60+")</f>
        <v>50-59</v>
      </c>
      <c r="O2611" s="2" t="str">
        <f aca="false">_xlfn.IFS(G2611&lt;0,"1 Negative",G2611=0,"2 Zero",G2611&lt;=500,"3 1-500",G2611&lt;=2000,"4 501-2000",TRUE(),"5 Above 2000")</f>
        <v>1 Negative</v>
      </c>
      <c r="P2611" s="2" t="n">
        <f aca="false">Lookups!$B$2*M2611+Lookups!$B$3*L2611</f>
        <v>2</v>
      </c>
      <c r="Q2611" s="2" t="str">
        <f aca="false">INDEX(Lookups!$E$2:$E$5,MATCH(P2611,Lookups!$D$2:$D$5,0))</f>
        <v>High</v>
      </c>
    </row>
    <row r="2612" customFormat="false" ht="15" hidden="false" customHeight="false" outlineLevel="0" collapsed="false">
      <c r="A2612" s="3" t="n">
        <v>2611</v>
      </c>
      <c r="B2612" s="3" t="n">
        <f aca="false">Raw_Data!A2612</f>
        <v>31</v>
      </c>
      <c r="C2612" s="3" t="str">
        <f aca="false">SUBSTITUTE(Raw_Data!B2612,".","")</f>
        <v>entrepreneur</v>
      </c>
      <c r="D2612" s="3" t="str">
        <f aca="false">Raw_Data!C2612</f>
        <v>married</v>
      </c>
      <c r="E2612" s="3" t="str">
        <f aca="false">Raw_Data!D2612</f>
        <v>tertiary</v>
      </c>
      <c r="F2612" s="3" t="str">
        <f aca="false">Raw_Data!E2612</f>
        <v>no</v>
      </c>
      <c r="G2612" s="3" t="n">
        <f aca="false">Raw_Data!F2612</f>
        <v>5191</v>
      </c>
      <c r="H2612" s="3" t="str">
        <f aca="false">Raw_Data!G2612</f>
        <v>no</v>
      </c>
      <c r="I2612" s="3" t="str">
        <f aca="false">Raw_Data!H2612</f>
        <v>no</v>
      </c>
      <c r="J2612" s="2" t="n">
        <f aca="false">IF(F2612="yes",1,0)</f>
        <v>0</v>
      </c>
      <c r="K2612" s="2" t="n">
        <f aca="false">IF(H2612="yes",1,0)</f>
        <v>0</v>
      </c>
      <c r="L2612" s="2" t="n">
        <f aca="false">IF(I2612="yes",1,0)</f>
        <v>0</v>
      </c>
      <c r="M2612" s="2" t="n">
        <f aca="false">IF(G2612&lt;0,1,0)</f>
        <v>0</v>
      </c>
      <c r="N2612" s="2" t="str">
        <f aca="false">_xlfn.IFS(B2612&lt;30,"Under 30",B2612&lt;40,"30-39",B2612&lt;50,"40-49",B2612&lt;60,"50-59",TRUE(),"60+")</f>
        <v>30-39</v>
      </c>
      <c r="O2612" s="2" t="str">
        <f aca="false">_xlfn.IFS(G2612&lt;0,"1 Negative",G2612=0,"2 Zero",G2612&lt;=500,"3 1-500",G2612&lt;=2000,"4 501-2000",TRUE(),"5 Above 2000")</f>
        <v>5 Above 2000</v>
      </c>
      <c r="P2612" s="2" t="n">
        <f aca="false">Lookups!$B$2*M2612+Lookups!$B$3*L2612</f>
        <v>0</v>
      </c>
      <c r="Q2612" s="2" t="str">
        <f aca="false">INDEX(Lookups!$E$2:$E$5,MATCH(P2612,Lookups!$D$2:$D$5,0))</f>
        <v>Low</v>
      </c>
    </row>
    <row r="2613" customFormat="false" ht="15" hidden="false" customHeight="false" outlineLevel="0" collapsed="false">
      <c r="A2613" s="3" t="n">
        <v>2612</v>
      </c>
      <c r="B2613" s="3" t="n">
        <f aca="false">Raw_Data!A2613</f>
        <v>33</v>
      </c>
      <c r="C2613" s="3" t="str">
        <f aca="false">SUBSTITUTE(Raw_Data!B2613,".","")</f>
        <v>blue-collar</v>
      </c>
      <c r="D2613" s="3" t="str">
        <f aca="false">Raw_Data!C2613</f>
        <v>single</v>
      </c>
      <c r="E2613" s="3" t="str">
        <f aca="false">Raw_Data!D2613</f>
        <v>secondary</v>
      </c>
      <c r="F2613" s="3" t="str">
        <f aca="false">Raw_Data!E2613</f>
        <v>no</v>
      </c>
      <c r="G2613" s="3" t="n">
        <f aca="false">Raw_Data!F2613</f>
        <v>-320</v>
      </c>
      <c r="H2613" s="3" t="str">
        <f aca="false">Raw_Data!G2613</f>
        <v>no</v>
      </c>
      <c r="I2613" s="3" t="str">
        <f aca="false">Raw_Data!H2613</f>
        <v>no</v>
      </c>
      <c r="J2613" s="2" t="n">
        <f aca="false">IF(F2613="yes",1,0)</f>
        <v>0</v>
      </c>
      <c r="K2613" s="2" t="n">
        <f aca="false">IF(H2613="yes",1,0)</f>
        <v>0</v>
      </c>
      <c r="L2613" s="2" t="n">
        <f aca="false">IF(I2613="yes",1,0)</f>
        <v>0</v>
      </c>
      <c r="M2613" s="2" t="n">
        <f aca="false">IF(G2613&lt;0,1,0)</f>
        <v>1</v>
      </c>
      <c r="N2613" s="2" t="str">
        <f aca="false">_xlfn.IFS(B2613&lt;30,"Under 30",B2613&lt;40,"30-39",B2613&lt;50,"40-49",B2613&lt;60,"50-59",TRUE(),"60+")</f>
        <v>30-39</v>
      </c>
      <c r="O2613" s="2" t="str">
        <f aca="false">_xlfn.IFS(G2613&lt;0,"1 Negative",G2613=0,"2 Zero",G2613&lt;=500,"3 1-500",G2613&lt;=2000,"4 501-2000",TRUE(),"5 Above 2000")</f>
        <v>1 Negative</v>
      </c>
      <c r="P2613" s="2" t="n">
        <f aca="false">Lookups!$B$2*M2613+Lookups!$B$3*L2613</f>
        <v>2</v>
      </c>
      <c r="Q2613" s="2" t="str">
        <f aca="false">INDEX(Lookups!$E$2:$E$5,MATCH(P2613,Lookups!$D$2:$D$5,0))</f>
        <v>High</v>
      </c>
    </row>
    <row r="2614" customFormat="false" ht="15" hidden="false" customHeight="false" outlineLevel="0" collapsed="false">
      <c r="A2614" s="3" t="n">
        <v>2613</v>
      </c>
      <c r="B2614" s="3" t="n">
        <f aca="false">Raw_Data!A2614</f>
        <v>53</v>
      </c>
      <c r="C2614" s="3" t="str">
        <f aca="false">SUBSTITUTE(Raw_Data!B2614,".","")</f>
        <v>entrepreneur</v>
      </c>
      <c r="D2614" s="3" t="str">
        <f aca="false">Raw_Data!C2614</f>
        <v>married</v>
      </c>
      <c r="E2614" s="3" t="str">
        <f aca="false">Raw_Data!D2614</f>
        <v>tertiary</v>
      </c>
      <c r="F2614" s="3" t="str">
        <f aca="false">Raw_Data!E2614</f>
        <v>no</v>
      </c>
      <c r="G2614" s="3" t="n">
        <f aca="false">Raw_Data!F2614</f>
        <v>2289</v>
      </c>
      <c r="H2614" s="3" t="str">
        <f aca="false">Raw_Data!G2614</f>
        <v>yes</v>
      </c>
      <c r="I2614" s="3" t="str">
        <f aca="false">Raw_Data!H2614</f>
        <v>yes</v>
      </c>
      <c r="J2614" s="2" t="n">
        <f aca="false">IF(F2614="yes",1,0)</f>
        <v>0</v>
      </c>
      <c r="K2614" s="2" t="n">
        <f aca="false">IF(H2614="yes",1,0)</f>
        <v>1</v>
      </c>
      <c r="L2614" s="2" t="n">
        <f aca="false">IF(I2614="yes",1,0)</f>
        <v>1</v>
      </c>
      <c r="M2614" s="2" t="n">
        <f aca="false">IF(G2614&lt;0,1,0)</f>
        <v>0</v>
      </c>
      <c r="N2614" s="2" t="str">
        <f aca="false">_xlfn.IFS(B2614&lt;30,"Under 30",B2614&lt;40,"30-39",B2614&lt;50,"40-49",B2614&lt;60,"50-59",TRUE(),"60+")</f>
        <v>50-59</v>
      </c>
      <c r="O2614" s="2" t="str">
        <f aca="false">_xlfn.IFS(G2614&lt;0,"1 Negative",G2614=0,"2 Zero",G2614&lt;=500,"3 1-500",G2614&lt;=2000,"4 501-2000",TRUE(),"5 Above 2000")</f>
        <v>5 Above 2000</v>
      </c>
      <c r="P2614" s="2" t="n">
        <f aca="false">Lookups!$B$2*M2614+Lookups!$B$3*L2614</f>
        <v>1</v>
      </c>
      <c r="Q2614" s="2" t="str">
        <f aca="false">INDEX(Lookups!$E$2:$E$5,MATCH(P2614,Lookups!$D$2:$D$5,0))</f>
        <v>Medium</v>
      </c>
    </row>
    <row r="2615" customFormat="false" ht="15" hidden="false" customHeight="false" outlineLevel="0" collapsed="false">
      <c r="A2615" s="3" t="n">
        <v>2614</v>
      </c>
      <c r="B2615" s="3" t="n">
        <f aca="false">Raw_Data!A2615</f>
        <v>36</v>
      </c>
      <c r="C2615" s="3" t="str">
        <f aca="false">SUBSTITUTE(Raw_Data!B2615,".","")</f>
        <v>admin</v>
      </c>
      <c r="D2615" s="3" t="str">
        <f aca="false">Raw_Data!C2615</f>
        <v>married</v>
      </c>
      <c r="E2615" s="3" t="str">
        <f aca="false">Raw_Data!D2615</f>
        <v>secondary</v>
      </c>
      <c r="F2615" s="3" t="str">
        <f aca="false">Raw_Data!E2615</f>
        <v>no</v>
      </c>
      <c r="G2615" s="3" t="n">
        <f aca="false">Raw_Data!F2615</f>
        <v>725</v>
      </c>
      <c r="H2615" s="3" t="str">
        <f aca="false">Raw_Data!G2615</f>
        <v>yes</v>
      </c>
      <c r="I2615" s="3" t="str">
        <f aca="false">Raw_Data!H2615</f>
        <v>no</v>
      </c>
      <c r="J2615" s="2" t="n">
        <f aca="false">IF(F2615="yes",1,0)</f>
        <v>0</v>
      </c>
      <c r="K2615" s="2" t="n">
        <f aca="false">IF(H2615="yes",1,0)</f>
        <v>1</v>
      </c>
      <c r="L2615" s="2" t="n">
        <f aca="false">IF(I2615="yes",1,0)</f>
        <v>0</v>
      </c>
      <c r="M2615" s="2" t="n">
        <f aca="false">IF(G2615&lt;0,1,0)</f>
        <v>0</v>
      </c>
      <c r="N2615" s="2" t="str">
        <f aca="false">_xlfn.IFS(B2615&lt;30,"Under 30",B2615&lt;40,"30-39",B2615&lt;50,"40-49",B2615&lt;60,"50-59",TRUE(),"60+")</f>
        <v>30-39</v>
      </c>
      <c r="O2615" s="2" t="str">
        <f aca="false">_xlfn.IFS(G2615&lt;0,"1 Negative",G2615=0,"2 Zero",G2615&lt;=500,"3 1-500",G2615&lt;=2000,"4 501-2000",TRUE(),"5 Above 2000")</f>
        <v>4 501-2000</v>
      </c>
      <c r="P2615" s="2" t="n">
        <f aca="false">Lookups!$B$2*M2615+Lookups!$B$3*L2615</f>
        <v>0</v>
      </c>
      <c r="Q2615" s="2" t="str">
        <f aca="false">INDEX(Lookups!$E$2:$E$5,MATCH(P2615,Lookups!$D$2:$D$5,0))</f>
        <v>Low</v>
      </c>
    </row>
    <row r="2616" customFormat="false" ht="15" hidden="false" customHeight="false" outlineLevel="0" collapsed="false">
      <c r="A2616" s="3" t="n">
        <v>2615</v>
      </c>
      <c r="B2616" s="3" t="n">
        <f aca="false">Raw_Data!A2616</f>
        <v>32</v>
      </c>
      <c r="C2616" s="3" t="str">
        <f aca="false">SUBSTITUTE(Raw_Data!B2616,".","")</f>
        <v>technician</v>
      </c>
      <c r="D2616" s="3" t="str">
        <f aca="false">Raw_Data!C2616</f>
        <v>single</v>
      </c>
      <c r="E2616" s="3" t="str">
        <f aca="false">Raw_Data!D2616</f>
        <v>tertiary</v>
      </c>
      <c r="F2616" s="3" t="str">
        <f aca="false">Raw_Data!E2616</f>
        <v>no</v>
      </c>
      <c r="G2616" s="3" t="n">
        <f aca="false">Raw_Data!F2616</f>
        <v>705</v>
      </c>
      <c r="H2616" s="3" t="str">
        <f aca="false">Raw_Data!G2616</f>
        <v>yes</v>
      </c>
      <c r="I2616" s="3" t="str">
        <f aca="false">Raw_Data!H2616</f>
        <v>no</v>
      </c>
      <c r="J2616" s="2" t="n">
        <f aca="false">IF(F2616="yes",1,0)</f>
        <v>0</v>
      </c>
      <c r="K2616" s="2" t="n">
        <f aca="false">IF(H2616="yes",1,0)</f>
        <v>1</v>
      </c>
      <c r="L2616" s="2" t="n">
        <f aca="false">IF(I2616="yes",1,0)</f>
        <v>0</v>
      </c>
      <c r="M2616" s="2" t="n">
        <f aca="false">IF(G2616&lt;0,1,0)</f>
        <v>0</v>
      </c>
      <c r="N2616" s="2" t="str">
        <f aca="false">_xlfn.IFS(B2616&lt;30,"Under 30",B2616&lt;40,"30-39",B2616&lt;50,"40-49",B2616&lt;60,"50-59",TRUE(),"60+")</f>
        <v>30-39</v>
      </c>
      <c r="O2616" s="2" t="str">
        <f aca="false">_xlfn.IFS(G2616&lt;0,"1 Negative",G2616=0,"2 Zero",G2616&lt;=500,"3 1-500",G2616&lt;=2000,"4 501-2000",TRUE(),"5 Above 2000")</f>
        <v>4 501-2000</v>
      </c>
      <c r="P2616" s="2" t="n">
        <f aca="false">Lookups!$B$2*M2616+Lookups!$B$3*L2616</f>
        <v>0</v>
      </c>
      <c r="Q2616" s="2" t="str">
        <f aca="false">INDEX(Lookups!$E$2:$E$5,MATCH(P2616,Lookups!$D$2:$D$5,0))</f>
        <v>Low</v>
      </c>
    </row>
    <row r="2617" customFormat="false" ht="15" hidden="false" customHeight="false" outlineLevel="0" collapsed="false">
      <c r="A2617" s="3" t="n">
        <v>2616</v>
      </c>
      <c r="B2617" s="3" t="n">
        <f aca="false">Raw_Data!A2617</f>
        <v>45</v>
      </c>
      <c r="C2617" s="3" t="str">
        <f aca="false">SUBSTITUTE(Raw_Data!B2617,".","")</f>
        <v>blue-collar</v>
      </c>
      <c r="D2617" s="3" t="str">
        <f aca="false">Raw_Data!C2617</f>
        <v>married</v>
      </c>
      <c r="E2617" s="3" t="str">
        <f aca="false">Raw_Data!D2617</f>
        <v>secondary</v>
      </c>
      <c r="F2617" s="3" t="str">
        <f aca="false">Raw_Data!E2617</f>
        <v>no</v>
      </c>
      <c r="G2617" s="3" t="n">
        <f aca="false">Raw_Data!F2617</f>
        <v>776</v>
      </c>
      <c r="H2617" s="3" t="str">
        <f aca="false">Raw_Data!G2617</f>
        <v>yes</v>
      </c>
      <c r="I2617" s="3" t="str">
        <f aca="false">Raw_Data!H2617</f>
        <v>no</v>
      </c>
      <c r="J2617" s="2" t="n">
        <f aca="false">IF(F2617="yes",1,0)</f>
        <v>0</v>
      </c>
      <c r="K2617" s="2" t="n">
        <f aca="false">IF(H2617="yes",1,0)</f>
        <v>1</v>
      </c>
      <c r="L2617" s="2" t="n">
        <f aca="false">IF(I2617="yes",1,0)</f>
        <v>0</v>
      </c>
      <c r="M2617" s="2" t="n">
        <f aca="false">IF(G2617&lt;0,1,0)</f>
        <v>0</v>
      </c>
      <c r="N2617" s="2" t="str">
        <f aca="false">_xlfn.IFS(B2617&lt;30,"Under 30",B2617&lt;40,"30-39",B2617&lt;50,"40-49",B2617&lt;60,"50-59",TRUE(),"60+")</f>
        <v>40-49</v>
      </c>
      <c r="O2617" s="2" t="str">
        <f aca="false">_xlfn.IFS(G2617&lt;0,"1 Negative",G2617=0,"2 Zero",G2617&lt;=500,"3 1-500",G2617&lt;=2000,"4 501-2000",TRUE(),"5 Above 2000")</f>
        <v>4 501-2000</v>
      </c>
      <c r="P2617" s="2" t="n">
        <f aca="false">Lookups!$B$2*M2617+Lookups!$B$3*L2617</f>
        <v>0</v>
      </c>
      <c r="Q2617" s="2" t="str">
        <f aca="false">INDEX(Lookups!$E$2:$E$5,MATCH(P2617,Lookups!$D$2:$D$5,0))</f>
        <v>Low</v>
      </c>
    </row>
    <row r="2618" customFormat="false" ht="15" hidden="false" customHeight="false" outlineLevel="0" collapsed="false">
      <c r="A2618" s="3" t="n">
        <v>2617</v>
      </c>
      <c r="B2618" s="3" t="n">
        <f aca="false">Raw_Data!A2618</f>
        <v>35</v>
      </c>
      <c r="C2618" s="3" t="str">
        <f aca="false">SUBSTITUTE(Raw_Data!B2618,".","")</f>
        <v>unemployed</v>
      </c>
      <c r="D2618" s="3" t="str">
        <f aca="false">Raw_Data!C2618</f>
        <v>married</v>
      </c>
      <c r="E2618" s="3" t="str">
        <f aca="false">Raw_Data!D2618</f>
        <v>tertiary</v>
      </c>
      <c r="F2618" s="3" t="str">
        <f aca="false">Raw_Data!E2618</f>
        <v>no</v>
      </c>
      <c r="G2618" s="3" t="n">
        <f aca="false">Raw_Data!F2618</f>
        <v>816</v>
      </c>
      <c r="H2618" s="3" t="str">
        <f aca="false">Raw_Data!G2618</f>
        <v>yes</v>
      </c>
      <c r="I2618" s="3" t="str">
        <f aca="false">Raw_Data!H2618</f>
        <v>no</v>
      </c>
      <c r="J2618" s="2" t="n">
        <f aca="false">IF(F2618="yes",1,0)</f>
        <v>0</v>
      </c>
      <c r="K2618" s="2" t="n">
        <f aca="false">IF(H2618="yes",1,0)</f>
        <v>1</v>
      </c>
      <c r="L2618" s="2" t="n">
        <f aca="false">IF(I2618="yes",1,0)</f>
        <v>0</v>
      </c>
      <c r="M2618" s="2" t="n">
        <f aca="false">IF(G2618&lt;0,1,0)</f>
        <v>0</v>
      </c>
      <c r="N2618" s="2" t="str">
        <f aca="false">_xlfn.IFS(B2618&lt;30,"Under 30",B2618&lt;40,"30-39",B2618&lt;50,"40-49",B2618&lt;60,"50-59",TRUE(),"60+")</f>
        <v>30-39</v>
      </c>
      <c r="O2618" s="2" t="str">
        <f aca="false">_xlfn.IFS(G2618&lt;0,"1 Negative",G2618=0,"2 Zero",G2618&lt;=500,"3 1-500",G2618&lt;=2000,"4 501-2000",TRUE(),"5 Above 2000")</f>
        <v>4 501-2000</v>
      </c>
      <c r="P2618" s="2" t="n">
        <f aca="false">Lookups!$B$2*M2618+Lookups!$B$3*L2618</f>
        <v>0</v>
      </c>
      <c r="Q2618" s="2" t="str">
        <f aca="false">INDEX(Lookups!$E$2:$E$5,MATCH(P2618,Lookups!$D$2:$D$5,0))</f>
        <v>Low</v>
      </c>
    </row>
    <row r="2619" customFormat="false" ht="15" hidden="false" customHeight="false" outlineLevel="0" collapsed="false">
      <c r="A2619" s="3" t="n">
        <v>2618</v>
      </c>
      <c r="B2619" s="3" t="n">
        <f aca="false">Raw_Data!A2619</f>
        <v>41</v>
      </c>
      <c r="C2619" s="3" t="str">
        <f aca="false">SUBSTITUTE(Raw_Data!B2619,".","")</f>
        <v>services</v>
      </c>
      <c r="D2619" s="3" t="str">
        <f aca="false">Raw_Data!C2619</f>
        <v>married</v>
      </c>
      <c r="E2619" s="3" t="str">
        <f aca="false">Raw_Data!D2619</f>
        <v>secondary</v>
      </c>
      <c r="F2619" s="3" t="str">
        <f aca="false">Raw_Data!E2619</f>
        <v>no</v>
      </c>
      <c r="G2619" s="3" t="n">
        <f aca="false">Raw_Data!F2619</f>
        <v>171</v>
      </c>
      <c r="H2619" s="3" t="str">
        <f aca="false">Raw_Data!G2619</f>
        <v>no</v>
      </c>
      <c r="I2619" s="3" t="str">
        <f aca="false">Raw_Data!H2619</f>
        <v>no</v>
      </c>
      <c r="J2619" s="2" t="n">
        <f aca="false">IF(F2619="yes",1,0)</f>
        <v>0</v>
      </c>
      <c r="K2619" s="2" t="n">
        <f aca="false">IF(H2619="yes",1,0)</f>
        <v>0</v>
      </c>
      <c r="L2619" s="2" t="n">
        <f aca="false">IF(I2619="yes",1,0)</f>
        <v>0</v>
      </c>
      <c r="M2619" s="2" t="n">
        <f aca="false">IF(G2619&lt;0,1,0)</f>
        <v>0</v>
      </c>
      <c r="N2619" s="2" t="str">
        <f aca="false">_xlfn.IFS(B2619&lt;30,"Under 30",B2619&lt;40,"30-39",B2619&lt;50,"40-49",B2619&lt;60,"50-59",TRUE(),"60+")</f>
        <v>40-49</v>
      </c>
      <c r="O2619" s="2" t="str">
        <f aca="false">_xlfn.IFS(G2619&lt;0,"1 Negative",G2619=0,"2 Zero",G2619&lt;=500,"3 1-500",G2619&lt;=2000,"4 501-2000",TRUE(),"5 Above 2000")</f>
        <v>3 1-500</v>
      </c>
      <c r="P2619" s="2" t="n">
        <f aca="false">Lookups!$B$2*M2619+Lookups!$B$3*L2619</f>
        <v>0</v>
      </c>
      <c r="Q2619" s="2" t="str">
        <f aca="false">INDEX(Lookups!$E$2:$E$5,MATCH(P2619,Lookups!$D$2:$D$5,0))</f>
        <v>Low</v>
      </c>
    </row>
    <row r="2620" customFormat="false" ht="15" hidden="false" customHeight="false" outlineLevel="0" collapsed="false">
      <c r="A2620" s="3" t="n">
        <v>2619</v>
      </c>
      <c r="B2620" s="3" t="n">
        <f aca="false">Raw_Data!A2620</f>
        <v>54</v>
      </c>
      <c r="C2620" s="3" t="str">
        <f aca="false">SUBSTITUTE(Raw_Data!B2620,".","")</f>
        <v>services</v>
      </c>
      <c r="D2620" s="3" t="str">
        <f aca="false">Raw_Data!C2620</f>
        <v>married</v>
      </c>
      <c r="E2620" s="3" t="str">
        <f aca="false">Raw_Data!D2620</f>
        <v>secondary</v>
      </c>
      <c r="F2620" s="3" t="str">
        <f aca="false">Raw_Data!E2620</f>
        <v>no</v>
      </c>
      <c r="G2620" s="3" t="n">
        <f aca="false">Raw_Data!F2620</f>
        <v>812</v>
      </c>
      <c r="H2620" s="3" t="str">
        <f aca="false">Raw_Data!G2620</f>
        <v>no</v>
      </c>
      <c r="I2620" s="3" t="str">
        <f aca="false">Raw_Data!H2620</f>
        <v>no</v>
      </c>
      <c r="J2620" s="2" t="n">
        <f aca="false">IF(F2620="yes",1,0)</f>
        <v>0</v>
      </c>
      <c r="K2620" s="2" t="n">
        <f aca="false">IF(H2620="yes",1,0)</f>
        <v>0</v>
      </c>
      <c r="L2620" s="2" t="n">
        <f aca="false">IF(I2620="yes",1,0)</f>
        <v>0</v>
      </c>
      <c r="M2620" s="2" t="n">
        <f aca="false">IF(G2620&lt;0,1,0)</f>
        <v>0</v>
      </c>
      <c r="N2620" s="2" t="str">
        <f aca="false">_xlfn.IFS(B2620&lt;30,"Under 30",B2620&lt;40,"30-39",B2620&lt;50,"40-49",B2620&lt;60,"50-59",TRUE(),"60+")</f>
        <v>50-59</v>
      </c>
      <c r="O2620" s="2" t="str">
        <f aca="false">_xlfn.IFS(G2620&lt;0,"1 Negative",G2620=0,"2 Zero",G2620&lt;=500,"3 1-500",G2620&lt;=2000,"4 501-2000",TRUE(),"5 Above 2000")</f>
        <v>4 501-2000</v>
      </c>
      <c r="P2620" s="2" t="n">
        <f aca="false">Lookups!$B$2*M2620+Lookups!$B$3*L2620</f>
        <v>0</v>
      </c>
      <c r="Q2620" s="2" t="str">
        <f aca="false">INDEX(Lookups!$E$2:$E$5,MATCH(P2620,Lookups!$D$2:$D$5,0))</f>
        <v>Low</v>
      </c>
    </row>
    <row r="2621" customFormat="false" ht="15" hidden="false" customHeight="false" outlineLevel="0" collapsed="false">
      <c r="A2621" s="3" t="n">
        <v>2620</v>
      </c>
      <c r="B2621" s="3" t="n">
        <f aca="false">Raw_Data!A2621</f>
        <v>49</v>
      </c>
      <c r="C2621" s="3" t="str">
        <f aca="false">SUBSTITUTE(Raw_Data!B2621,".","")</f>
        <v>services</v>
      </c>
      <c r="D2621" s="3" t="str">
        <f aca="false">Raw_Data!C2621</f>
        <v>married</v>
      </c>
      <c r="E2621" s="3" t="str">
        <f aca="false">Raw_Data!D2621</f>
        <v>secondary</v>
      </c>
      <c r="F2621" s="3" t="str">
        <f aca="false">Raw_Data!E2621</f>
        <v>no</v>
      </c>
      <c r="G2621" s="3" t="n">
        <f aca="false">Raw_Data!F2621</f>
        <v>823</v>
      </c>
      <c r="H2621" s="3" t="str">
        <f aca="false">Raw_Data!G2621</f>
        <v>no</v>
      </c>
      <c r="I2621" s="3" t="str">
        <f aca="false">Raw_Data!H2621</f>
        <v>no</v>
      </c>
      <c r="J2621" s="2" t="n">
        <f aca="false">IF(F2621="yes",1,0)</f>
        <v>0</v>
      </c>
      <c r="K2621" s="2" t="n">
        <f aca="false">IF(H2621="yes",1,0)</f>
        <v>0</v>
      </c>
      <c r="L2621" s="2" t="n">
        <f aca="false">IF(I2621="yes",1,0)</f>
        <v>0</v>
      </c>
      <c r="M2621" s="2" t="n">
        <f aca="false">IF(G2621&lt;0,1,0)</f>
        <v>0</v>
      </c>
      <c r="N2621" s="2" t="str">
        <f aca="false">_xlfn.IFS(B2621&lt;30,"Under 30",B2621&lt;40,"30-39",B2621&lt;50,"40-49",B2621&lt;60,"50-59",TRUE(),"60+")</f>
        <v>40-49</v>
      </c>
      <c r="O2621" s="2" t="str">
        <f aca="false">_xlfn.IFS(G2621&lt;0,"1 Negative",G2621=0,"2 Zero",G2621&lt;=500,"3 1-500",G2621&lt;=2000,"4 501-2000",TRUE(),"5 Above 2000")</f>
        <v>4 501-2000</v>
      </c>
      <c r="P2621" s="2" t="n">
        <f aca="false">Lookups!$B$2*M2621+Lookups!$B$3*L2621</f>
        <v>0</v>
      </c>
      <c r="Q2621" s="2" t="str">
        <f aca="false">INDEX(Lookups!$E$2:$E$5,MATCH(P2621,Lookups!$D$2:$D$5,0))</f>
        <v>Low</v>
      </c>
    </row>
    <row r="2622" customFormat="false" ht="15" hidden="false" customHeight="false" outlineLevel="0" collapsed="false">
      <c r="A2622" s="3" t="n">
        <v>2621</v>
      </c>
      <c r="B2622" s="3" t="n">
        <f aca="false">Raw_Data!A2622</f>
        <v>28</v>
      </c>
      <c r="C2622" s="3" t="str">
        <f aca="false">SUBSTITUTE(Raw_Data!B2622,".","")</f>
        <v>technician</v>
      </c>
      <c r="D2622" s="3" t="str">
        <f aca="false">Raw_Data!C2622</f>
        <v>single</v>
      </c>
      <c r="E2622" s="3" t="str">
        <f aca="false">Raw_Data!D2622</f>
        <v>secondary</v>
      </c>
      <c r="F2622" s="3" t="str">
        <f aca="false">Raw_Data!E2622</f>
        <v>no</v>
      </c>
      <c r="G2622" s="3" t="n">
        <f aca="false">Raw_Data!F2622</f>
        <v>1453</v>
      </c>
      <c r="H2622" s="3" t="str">
        <f aca="false">Raw_Data!G2622</f>
        <v>yes</v>
      </c>
      <c r="I2622" s="3" t="str">
        <f aca="false">Raw_Data!H2622</f>
        <v>no</v>
      </c>
      <c r="J2622" s="2" t="n">
        <f aca="false">IF(F2622="yes",1,0)</f>
        <v>0</v>
      </c>
      <c r="K2622" s="2" t="n">
        <f aca="false">IF(H2622="yes",1,0)</f>
        <v>1</v>
      </c>
      <c r="L2622" s="2" t="n">
        <f aca="false">IF(I2622="yes",1,0)</f>
        <v>0</v>
      </c>
      <c r="M2622" s="2" t="n">
        <f aca="false">IF(G2622&lt;0,1,0)</f>
        <v>0</v>
      </c>
      <c r="N2622" s="2" t="str">
        <f aca="false">_xlfn.IFS(B2622&lt;30,"Under 30",B2622&lt;40,"30-39",B2622&lt;50,"40-49",B2622&lt;60,"50-59",TRUE(),"60+")</f>
        <v>Under 30</v>
      </c>
      <c r="O2622" s="2" t="str">
        <f aca="false">_xlfn.IFS(G2622&lt;0,"1 Negative",G2622=0,"2 Zero",G2622&lt;=500,"3 1-500",G2622&lt;=2000,"4 501-2000",TRUE(),"5 Above 2000")</f>
        <v>4 501-2000</v>
      </c>
      <c r="P2622" s="2" t="n">
        <f aca="false">Lookups!$B$2*M2622+Lookups!$B$3*L2622</f>
        <v>0</v>
      </c>
      <c r="Q2622" s="2" t="str">
        <f aca="false">INDEX(Lookups!$E$2:$E$5,MATCH(P2622,Lookups!$D$2:$D$5,0))</f>
        <v>Low</v>
      </c>
    </row>
    <row r="2623" customFormat="false" ht="15" hidden="false" customHeight="false" outlineLevel="0" collapsed="false">
      <c r="A2623" s="3" t="n">
        <v>2622</v>
      </c>
      <c r="B2623" s="3" t="n">
        <f aca="false">Raw_Data!A2623</f>
        <v>24</v>
      </c>
      <c r="C2623" s="3" t="str">
        <f aca="false">SUBSTITUTE(Raw_Data!B2623,".","")</f>
        <v>blue-collar</v>
      </c>
      <c r="D2623" s="3" t="str">
        <f aca="false">Raw_Data!C2623</f>
        <v>single</v>
      </c>
      <c r="E2623" s="3" t="str">
        <f aca="false">Raw_Data!D2623</f>
        <v>unknown</v>
      </c>
      <c r="F2623" s="3" t="str">
        <f aca="false">Raw_Data!E2623</f>
        <v>no</v>
      </c>
      <c r="G2623" s="3" t="n">
        <f aca="false">Raw_Data!F2623</f>
        <v>431</v>
      </c>
      <c r="H2623" s="3" t="str">
        <f aca="false">Raw_Data!G2623</f>
        <v>yes</v>
      </c>
      <c r="I2623" s="3" t="str">
        <f aca="false">Raw_Data!H2623</f>
        <v>no</v>
      </c>
      <c r="J2623" s="2" t="n">
        <f aca="false">IF(F2623="yes",1,0)</f>
        <v>0</v>
      </c>
      <c r="K2623" s="2" t="n">
        <f aca="false">IF(H2623="yes",1,0)</f>
        <v>1</v>
      </c>
      <c r="L2623" s="2" t="n">
        <f aca="false">IF(I2623="yes",1,0)</f>
        <v>0</v>
      </c>
      <c r="M2623" s="2" t="n">
        <f aca="false">IF(G2623&lt;0,1,0)</f>
        <v>0</v>
      </c>
      <c r="N2623" s="2" t="str">
        <f aca="false">_xlfn.IFS(B2623&lt;30,"Under 30",B2623&lt;40,"30-39",B2623&lt;50,"40-49",B2623&lt;60,"50-59",TRUE(),"60+")</f>
        <v>Under 30</v>
      </c>
      <c r="O2623" s="2" t="str">
        <f aca="false">_xlfn.IFS(G2623&lt;0,"1 Negative",G2623=0,"2 Zero",G2623&lt;=500,"3 1-500",G2623&lt;=2000,"4 501-2000",TRUE(),"5 Above 2000")</f>
        <v>3 1-500</v>
      </c>
      <c r="P2623" s="2" t="n">
        <f aca="false">Lookups!$B$2*M2623+Lookups!$B$3*L2623</f>
        <v>0</v>
      </c>
      <c r="Q2623" s="2" t="str">
        <f aca="false">INDEX(Lookups!$E$2:$E$5,MATCH(P2623,Lookups!$D$2:$D$5,0))</f>
        <v>Low</v>
      </c>
    </row>
    <row r="2624" customFormat="false" ht="15" hidden="false" customHeight="false" outlineLevel="0" collapsed="false">
      <c r="A2624" s="3" t="n">
        <v>2623</v>
      </c>
      <c r="B2624" s="3" t="n">
        <f aca="false">Raw_Data!A2624</f>
        <v>30</v>
      </c>
      <c r="C2624" s="3" t="str">
        <f aca="false">SUBSTITUTE(Raw_Data!B2624,".","")</f>
        <v>admin</v>
      </c>
      <c r="D2624" s="3" t="str">
        <f aca="false">Raw_Data!C2624</f>
        <v>single</v>
      </c>
      <c r="E2624" s="3" t="str">
        <f aca="false">Raw_Data!D2624</f>
        <v>secondary</v>
      </c>
      <c r="F2624" s="3" t="str">
        <f aca="false">Raw_Data!E2624</f>
        <v>no</v>
      </c>
      <c r="G2624" s="3" t="n">
        <f aca="false">Raw_Data!F2624</f>
        <v>1009</v>
      </c>
      <c r="H2624" s="3" t="str">
        <f aca="false">Raw_Data!G2624</f>
        <v>yes</v>
      </c>
      <c r="I2624" s="3" t="str">
        <f aca="false">Raw_Data!H2624</f>
        <v>no</v>
      </c>
      <c r="J2624" s="2" t="n">
        <f aca="false">IF(F2624="yes",1,0)</f>
        <v>0</v>
      </c>
      <c r="K2624" s="2" t="n">
        <f aca="false">IF(H2624="yes",1,0)</f>
        <v>1</v>
      </c>
      <c r="L2624" s="2" t="n">
        <f aca="false">IF(I2624="yes",1,0)</f>
        <v>0</v>
      </c>
      <c r="M2624" s="2" t="n">
        <f aca="false">IF(G2624&lt;0,1,0)</f>
        <v>0</v>
      </c>
      <c r="N2624" s="2" t="str">
        <f aca="false">_xlfn.IFS(B2624&lt;30,"Under 30",B2624&lt;40,"30-39",B2624&lt;50,"40-49",B2624&lt;60,"50-59",TRUE(),"60+")</f>
        <v>30-39</v>
      </c>
      <c r="O2624" s="2" t="str">
        <f aca="false">_xlfn.IFS(G2624&lt;0,"1 Negative",G2624=0,"2 Zero",G2624&lt;=500,"3 1-500",G2624&lt;=2000,"4 501-2000",TRUE(),"5 Above 2000")</f>
        <v>4 501-2000</v>
      </c>
      <c r="P2624" s="2" t="n">
        <f aca="false">Lookups!$B$2*M2624+Lookups!$B$3*L2624</f>
        <v>0</v>
      </c>
      <c r="Q2624" s="2" t="str">
        <f aca="false">INDEX(Lookups!$E$2:$E$5,MATCH(P2624,Lookups!$D$2:$D$5,0))</f>
        <v>Low</v>
      </c>
    </row>
    <row r="2625" customFormat="false" ht="15" hidden="false" customHeight="false" outlineLevel="0" collapsed="false">
      <c r="A2625" s="3" t="n">
        <v>2624</v>
      </c>
      <c r="B2625" s="3" t="n">
        <f aca="false">Raw_Data!A2625</f>
        <v>32</v>
      </c>
      <c r="C2625" s="3" t="str">
        <f aca="false">SUBSTITUTE(Raw_Data!B2625,".","")</f>
        <v>self-employed</v>
      </c>
      <c r="D2625" s="3" t="str">
        <f aca="false">Raw_Data!C2625</f>
        <v>married</v>
      </c>
      <c r="E2625" s="3" t="str">
        <f aca="false">Raw_Data!D2625</f>
        <v>primary</v>
      </c>
      <c r="F2625" s="3" t="str">
        <f aca="false">Raw_Data!E2625</f>
        <v>no</v>
      </c>
      <c r="G2625" s="3" t="n">
        <f aca="false">Raw_Data!F2625</f>
        <v>286</v>
      </c>
      <c r="H2625" s="3" t="str">
        <f aca="false">Raw_Data!G2625</f>
        <v>yes</v>
      </c>
      <c r="I2625" s="3" t="str">
        <f aca="false">Raw_Data!H2625</f>
        <v>no</v>
      </c>
      <c r="J2625" s="2" t="n">
        <f aca="false">IF(F2625="yes",1,0)</f>
        <v>0</v>
      </c>
      <c r="K2625" s="2" t="n">
        <f aca="false">IF(H2625="yes",1,0)</f>
        <v>1</v>
      </c>
      <c r="L2625" s="2" t="n">
        <f aca="false">IF(I2625="yes",1,0)</f>
        <v>0</v>
      </c>
      <c r="M2625" s="2" t="n">
        <f aca="false">IF(G2625&lt;0,1,0)</f>
        <v>0</v>
      </c>
      <c r="N2625" s="2" t="str">
        <f aca="false">_xlfn.IFS(B2625&lt;30,"Under 30",B2625&lt;40,"30-39",B2625&lt;50,"40-49",B2625&lt;60,"50-59",TRUE(),"60+")</f>
        <v>30-39</v>
      </c>
      <c r="O2625" s="2" t="str">
        <f aca="false">_xlfn.IFS(G2625&lt;0,"1 Negative",G2625=0,"2 Zero",G2625&lt;=500,"3 1-500",G2625&lt;=2000,"4 501-2000",TRUE(),"5 Above 2000")</f>
        <v>3 1-500</v>
      </c>
      <c r="P2625" s="2" t="n">
        <f aca="false">Lookups!$B$2*M2625+Lookups!$B$3*L2625</f>
        <v>0</v>
      </c>
      <c r="Q2625" s="2" t="str">
        <f aca="false">INDEX(Lookups!$E$2:$E$5,MATCH(P2625,Lookups!$D$2:$D$5,0))</f>
        <v>Low</v>
      </c>
    </row>
    <row r="2626" customFormat="false" ht="15" hidden="false" customHeight="false" outlineLevel="0" collapsed="false">
      <c r="A2626" s="3" t="n">
        <v>2625</v>
      </c>
      <c r="B2626" s="3" t="n">
        <f aca="false">Raw_Data!A2626</f>
        <v>53</v>
      </c>
      <c r="C2626" s="3" t="str">
        <f aca="false">SUBSTITUTE(Raw_Data!B2626,".","")</f>
        <v>entrepreneur</v>
      </c>
      <c r="D2626" s="3" t="str">
        <f aca="false">Raw_Data!C2626</f>
        <v>married</v>
      </c>
      <c r="E2626" s="3" t="str">
        <f aca="false">Raw_Data!D2626</f>
        <v>tertiary</v>
      </c>
      <c r="F2626" s="3" t="str">
        <f aca="false">Raw_Data!E2626</f>
        <v>no</v>
      </c>
      <c r="G2626" s="3" t="n">
        <f aca="false">Raw_Data!F2626</f>
        <v>22370</v>
      </c>
      <c r="H2626" s="3" t="str">
        <f aca="false">Raw_Data!G2626</f>
        <v>yes</v>
      </c>
      <c r="I2626" s="3" t="str">
        <f aca="false">Raw_Data!H2626</f>
        <v>no</v>
      </c>
      <c r="J2626" s="2" t="n">
        <f aca="false">IF(F2626="yes",1,0)</f>
        <v>0</v>
      </c>
      <c r="K2626" s="2" t="n">
        <f aca="false">IF(H2626="yes",1,0)</f>
        <v>1</v>
      </c>
      <c r="L2626" s="2" t="n">
        <f aca="false">IF(I2626="yes",1,0)</f>
        <v>0</v>
      </c>
      <c r="M2626" s="2" t="n">
        <f aca="false">IF(G2626&lt;0,1,0)</f>
        <v>0</v>
      </c>
      <c r="N2626" s="2" t="str">
        <f aca="false">_xlfn.IFS(B2626&lt;30,"Under 30",B2626&lt;40,"30-39",B2626&lt;50,"40-49",B2626&lt;60,"50-59",TRUE(),"60+")</f>
        <v>50-59</v>
      </c>
      <c r="O2626" s="2" t="str">
        <f aca="false">_xlfn.IFS(G2626&lt;0,"1 Negative",G2626=0,"2 Zero",G2626&lt;=500,"3 1-500",G2626&lt;=2000,"4 501-2000",TRUE(),"5 Above 2000")</f>
        <v>5 Above 2000</v>
      </c>
      <c r="P2626" s="2" t="n">
        <f aca="false">Lookups!$B$2*M2626+Lookups!$B$3*L2626</f>
        <v>0</v>
      </c>
      <c r="Q2626" s="2" t="str">
        <f aca="false">INDEX(Lookups!$E$2:$E$5,MATCH(P2626,Lookups!$D$2:$D$5,0))</f>
        <v>Low</v>
      </c>
    </row>
    <row r="2627" customFormat="false" ht="15" hidden="false" customHeight="false" outlineLevel="0" collapsed="false">
      <c r="A2627" s="3" t="n">
        <v>2626</v>
      </c>
      <c r="B2627" s="3" t="n">
        <f aca="false">Raw_Data!A2627</f>
        <v>42</v>
      </c>
      <c r="C2627" s="3" t="str">
        <f aca="false">SUBSTITUTE(Raw_Data!B2627,".","")</f>
        <v>blue-collar</v>
      </c>
      <c r="D2627" s="3" t="str">
        <f aca="false">Raw_Data!C2627</f>
        <v>married</v>
      </c>
      <c r="E2627" s="3" t="str">
        <f aca="false">Raw_Data!D2627</f>
        <v>primary</v>
      </c>
      <c r="F2627" s="3" t="str">
        <f aca="false">Raw_Data!E2627</f>
        <v>no</v>
      </c>
      <c r="G2627" s="3" t="n">
        <f aca="false">Raw_Data!F2627</f>
        <v>2111</v>
      </c>
      <c r="H2627" s="3" t="str">
        <f aca="false">Raw_Data!G2627</f>
        <v>yes</v>
      </c>
      <c r="I2627" s="3" t="str">
        <f aca="false">Raw_Data!H2627</f>
        <v>no</v>
      </c>
      <c r="J2627" s="2" t="n">
        <f aca="false">IF(F2627="yes",1,0)</f>
        <v>0</v>
      </c>
      <c r="K2627" s="2" t="n">
        <f aca="false">IF(H2627="yes",1,0)</f>
        <v>1</v>
      </c>
      <c r="L2627" s="2" t="n">
        <f aca="false">IF(I2627="yes",1,0)</f>
        <v>0</v>
      </c>
      <c r="M2627" s="2" t="n">
        <f aca="false">IF(G2627&lt;0,1,0)</f>
        <v>0</v>
      </c>
      <c r="N2627" s="2" t="str">
        <f aca="false">_xlfn.IFS(B2627&lt;30,"Under 30",B2627&lt;40,"30-39",B2627&lt;50,"40-49",B2627&lt;60,"50-59",TRUE(),"60+")</f>
        <v>40-49</v>
      </c>
      <c r="O2627" s="2" t="str">
        <f aca="false">_xlfn.IFS(G2627&lt;0,"1 Negative",G2627=0,"2 Zero",G2627&lt;=500,"3 1-500",G2627&lt;=2000,"4 501-2000",TRUE(),"5 Above 2000")</f>
        <v>5 Above 2000</v>
      </c>
      <c r="P2627" s="2" t="n">
        <f aca="false">Lookups!$B$2*M2627+Lookups!$B$3*L2627</f>
        <v>0</v>
      </c>
      <c r="Q2627" s="2" t="str">
        <f aca="false">INDEX(Lookups!$E$2:$E$5,MATCH(P2627,Lookups!$D$2:$D$5,0))</f>
        <v>Low</v>
      </c>
    </row>
    <row r="2628" customFormat="false" ht="15" hidden="false" customHeight="false" outlineLevel="0" collapsed="false">
      <c r="A2628" s="3" t="n">
        <v>2627</v>
      </c>
      <c r="B2628" s="3" t="n">
        <f aca="false">Raw_Data!A2628</f>
        <v>48</v>
      </c>
      <c r="C2628" s="3" t="str">
        <f aca="false">SUBSTITUTE(Raw_Data!B2628,".","")</f>
        <v>blue-collar</v>
      </c>
      <c r="D2628" s="3" t="str">
        <f aca="false">Raw_Data!C2628</f>
        <v>married</v>
      </c>
      <c r="E2628" s="3" t="str">
        <f aca="false">Raw_Data!D2628</f>
        <v>primary</v>
      </c>
      <c r="F2628" s="3" t="str">
        <f aca="false">Raw_Data!E2628</f>
        <v>no</v>
      </c>
      <c r="G2628" s="3" t="n">
        <f aca="false">Raw_Data!F2628</f>
        <v>5366</v>
      </c>
      <c r="H2628" s="3" t="str">
        <f aca="false">Raw_Data!G2628</f>
        <v>yes</v>
      </c>
      <c r="I2628" s="3" t="str">
        <f aca="false">Raw_Data!H2628</f>
        <v>no</v>
      </c>
      <c r="J2628" s="2" t="n">
        <f aca="false">IF(F2628="yes",1,0)</f>
        <v>0</v>
      </c>
      <c r="K2628" s="2" t="n">
        <f aca="false">IF(H2628="yes",1,0)</f>
        <v>1</v>
      </c>
      <c r="L2628" s="2" t="n">
        <f aca="false">IF(I2628="yes",1,0)</f>
        <v>0</v>
      </c>
      <c r="M2628" s="2" t="n">
        <f aca="false">IF(G2628&lt;0,1,0)</f>
        <v>0</v>
      </c>
      <c r="N2628" s="2" t="str">
        <f aca="false">_xlfn.IFS(B2628&lt;30,"Under 30",B2628&lt;40,"30-39",B2628&lt;50,"40-49",B2628&lt;60,"50-59",TRUE(),"60+")</f>
        <v>40-49</v>
      </c>
      <c r="O2628" s="2" t="str">
        <f aca="false">_xlfn.IFS(G2628&lt;0,"1 Negative",G2628=0,"2 Zero",G2628&lt;=500,"3 1-500",G2628&lt;=2000,"4 501-2000",TRUE(),"5 Above 2000")</f>
        <v>5 Above 2000</v>
      </c>
      <c r="P2628" s="2" t="n">
        <f aca="false">Lookups!$B$2*M2628+Lookups!$B$3*L2628</f>
        <v>0</v>
      </c>
      <c r="Q2628" s="2" t="str">
        <f aca="false">INDEX(Lookups!$E$2:$E$5,MATCH(P2628,Lookups!$D$2:$D$5,0))</f>
        <v>Low</v>
      </c>
    </row>
    <row r="2629" customFormat="false" ht="15" hidden="false" customHeight="false" outlineLevel="0" collapsed="false">
      <c r="A2629" s="3" t="n">
        <v>2628</v>
      </c>
      <c r="B2629" s="3" t="n">
        <f aca="false">Raw_Data!A2629</f>
        <v>33</v>
      </c>
      <c r="C2629" s="3" t="str">
        <f aca="false">SUBSTITUTE(Raw_Data!B2629,".","")</f>
        <v>technician</v>
      </c>
      <c r="D2629" s="3" t="str">
        <f aca="false">Raw_Data!C2629</f>
        <v>married</v>
      </c>
      <c r="E2629" s="3" t="str">
        <f aca="false">Raw_Data!D2629</f>
        <v>secondary</v>
      </c>
      <c r="F2629" s="3" t="str">
        <f aca="false">Raw_Data!E2629</f>
        <v>no</v>
      </c>
      <c r="G2629" s="3" t="n">
        <f aca="false">Raw_Data!F2629</f>
        <v>181</v>
      </c>
      <c r="H2629" s="3" t="str">
        <f aca="false">Raw_Data!G2629</f>
        <v>yes</v>
      </c>
      <c r="I2629" s="3" t="str">
        <f aca="false">Raw_Data!H2629</f>
        <v>yes</v>
      </c>
      <c r="J2629" s="2" t="n">
        <f aca="false">IF(F2629="yes",1,0)</f>
        <v>0</v>
      </c>
      <c r="K2629" s="2" t="n">
        <f aca="false">IF(H2629="yes",1,0)</f>
        <v>1</v>
      </c>
      <c r="L2629" s="2" t="n">
        <f aca="false">IF(I2629="yes",1,0)</f>
        <v>1</v>
      </c>
      <c r="M2629" s="2" t="n">
        <f aca="false">IF(G2629&lt;0,1,0)</f>
        <v>0</v>
      </c>
      <c r="N2629" s="2" t="str">
        <f aca="false">_xlfn.IFS(B2629&lt;30,"Under 30",B2629&lt;40,"30-39",B2629&lt;50,"40-49",B2629&lt;60,"50-59",TRUE(),"60+")</f>
        <v>30-39</v>
      </c>
      <c r="O2629" s="2" t="str">
        <f aca="false">_xlfn.IFS(G2629&lt;0,"1 Negative",G2629=0,"2 Zero",G2629&lt;=500,"3 1-500",G2629&lt;=2000,"4 501-2000",TRUE(),"5 Above 2000")</f>
        <v>3 1-500</v>
      </c>
      <c r="P2629" s="2" t="n">
        <f aca="false">Lookups!$B$2*M2629+Lookups!$B$3*L2629</f>
        <v>1</v>
      </c>
      <c r="Q2629" s="2" t="str">
        <f aca="false">INDEX(Lookups!$E$2:$E$5,MATCH(P2629,Lookups!$D$2:$D$5,0))</f>
        <v>Medium</v>
      </c>
    </row>
    <row r="2630" customFormat="false" ht="15" hidden="false" customHeight="false" outlineLevel="0" collapsed="false">
      <c r="A2630" s="3" t="n">
        <v>2629</v>
      </c>
      <c r="B2630" s="3" t="n">
        <f aca="false">Raw_Data!A2630</f>
        <v>31</v>
      </c>
      <c r="C2630" s="3" t="str">
        <f aca="false">SUBSTITUTE(Raw_Data!B2630,".","")</f>
        <v>blue-collar</v>
      </c>
      <c r="D2630" s="3" t="str">
        <f aca="false">Raw_Data!C2630</f>
        <v>divorced</v>
      </c>
      <c r="E2630" s="3" t="str">
        <f aca="false">Raw_Data!D2630</f>
        <v>secondary</v>
      </c>
      <c r="F2630" s="3" t="str">
        <f aca="false">Raw_Data!E2630</f>
        <v>no</v>
      </c>
      <c r="G2630" s="3" t="n">
        <f aca="false">Raw_Data!F2630</f>
        <v>-452</v>
      </c>
      <c r="H2630" s="3" t="str">
        <f aca="false">Raw_Data!G2630</f>
        <v>yes</v>
      </c>
      <c r="I2630" s="3" t="str">
        <f aca="false">Raw_Data!H2630</f>
        <v>no</v>
      </c>
      <c r="J2630" s="2" t="n">
        <f aca="false">IF(F2630="yes",1,0)</f>
        <v>0</v>
      </c>
      <c r="K2630" s="2" t="n">
        <f aca="false">IF(H2630="yes",1,0)</f>
        <v>1</v>
      </c>
      <c r="L2630" s="2" t="n">
        <f aca="false">IF(I2630="yes",1,0)</f>
        <v>0</v>
      </c>
      <c r="M2630" s="2" t="n">
        <f aca="false">IF(G2630&lt;0,1,0)</f>
        <v>1</v>
      </c>
      <c r="N2630" s="2" t="str">
        <f aca="false">_xlfn.IFS(B2630&lt;30,"Under 30",B2630&lt;40,"30-39",B2630&lt;50,"40-49",B2630&lt;60,"50-59",TRUE(),"60+")</f>
        <v>30-39</v>
      </c>
      <c r="O2630" s="2" t="str">
        <f aca="false">_xlfn.IFS(G2630&lt;0,"1 Negative",G2630=0,"2 Zero",G2630&lt;=500,"3 1-500",G2630&lt;=2000,"4 501-2000",TRUE(),"5 Above 2000")</f>
        <v>1 Negative</v>
      </c>
      <c r="P2630" s="2" t="n">
        <f aca="false">Lookups!$B$2*M2630+Lookups!$B$3*L2630</f>
        <v>2</v>
      </c>
      <c r="Q2630" s="2" t="str">
        <f aca="false">INDEX(Lookups!$E$2:$E$5,MATCH(P2630,Lookups!$D$2:$D$5,0))</f>
        <v>High</v>
      </c>
    </row>
    <row r="2631" customFormat="false" ht="15" hidden="false" customHeight="false" outlineLevel="0" collapsed="false">
      <c r="A2631" s="3" t="n">
        <v>2630</v>
      </c>
      <c r="B2631" s="3" t="n">
        <f aca="false">Raw_Data!A2631</f>
        <v>56</v>
      </c>
      <c r="C2631" s="3" t="str">
        <f aca="false">SUBSTITUTE(Raw_Data!B2631,".","")</f>
        <v>unemployed</v>
      </c>
      <c r="D2631" s="3" t="str">
        <f aca="false">Raw_Data!C2631</f>
        <v>divorced</v>
      </c>
      <c r="E2631" s="3" t="str">
        <f aca="false">Raw_Data!D2631</f>
        <v>primary</v>
      </c>
      <c r="F2631" s="3" t="str">
        <f aca="false">Raw_Data!E2631</f>
        <v>no</v>
      </c>
      <c r="G2631" s="3" t="n">
        <f aca="false">Raw_Data!F2631</f>
        <v>1770</v>
      </c>
      <c r="H2631" s="3" t="str">
        <f aca="false">Raw_Data!G2631</f>
        <v>no</v>
      </c>
      <c r="I2631" s="3" t="str">
        <f aca="false">Raw_Data!H2631</f>
        <v>no</v>
      </c>
      <c r="J2631" s="2" t="n">
        <f aca="false">IF(F2631="yes",1,0)</f>
        <v>0</v>
      </c>
      <c r="K2631" s="2" t="n">
        <f aca="false">IF(H2631="yes",1,0)</f>
        <v>0</v>
      </c>
      <c r="L2631" s="2" t="n">
        <f aca="false">IF(I2631="yes",1,0)</f>
        <v>0</v>
      </c>
      <c r="M2631" s="2" t="n">
        <f aca="false">IF(G2631&lt;0,1,0)</f>
        <v>0</v>
      </c>
      <c r="N2631" s="2" t="str">
        <f aca="false">_xlfn.IFS(B2631&lt;30,"Under 30",B2631&lt;40,"30-39",B2631&lt;50,"40-49",B2631&lt;60,"50-59",TRUE(),"60+")</f>
        <v>50-59</v>
      </c>
      <c r="O2631" s="2" t="str">
        <f aca="false">_xlfn.IFS(G2631&lt;0,"1 Negative",G2631=0,"2 Zero",G2631&lt;=500,"3 1-500",G2631&lt;=2000,"4 501-2000",TRUE(),"5 Above 2000")</f>
        <v>4 501-2000</v>
      </c>
      <c r="P2631" s="2" t="n">
        <f aca="false">Lookups!$B$2*M2631+Lookups!$B$3*L2631</f>
        <v>0</v>
      </c>
      <c r="Q2631" s="2" t="str">
        <f aca="false">INDEX(Lookups!$E$2:$E$5,MATCH(P2631,Lookups!$D$2:$D$5,0))</f>
        <v>Low</v>
      </c>
    </row>
    <row r="2632" customFormat="false" ht="15" hidden="false" customHeight="false" outlineLevel="0" collapsed="false">
      <c r="A2632" s="3" t="n">
        <v>2631</v>
      </c>
      <c r="B2632" s="3" t="n">
        <f aca="false">Raw_Data!A2632</f>
        <v>58</v>
      </c>
      <c r="C2632" s="3" t="str">
        <f aca="false">SUBSTITUTE(Raw_Data!B2632,".","")</f>
        <v>retired</v>
      </c>
      <c r="D2632" s="3" t="str">
        <f aca="false">Raw_Data!C2632</f>
        <v>married</v>
      </c>
      <c r="E2632" s="3" t="str">
        <f aca="false">Raw_Data!D2632</f>
        <v>primary</v>
      </c>
      <c r="F2632" s="3" t="str">
        <f aca="false">Raw_Data!E2632</f>
        <v>no</v>
      </c>
      <c r="G2632" s="3" t="n">
        <f aca="false">Raw_Data!F2632</f>
        <v>0</v>
      </c>
      <c r="H2632" s="3" t="str">
        <f aca="false">Raw_Data!G2632</f>
        <v>no</v>
      </c>
      <c r="I2632" s="3" t="str">
        <f aca="false">Raw_Data!H2632</f>
        <v>no</v>
      </c>
      <c r="J2632" s="2" t="n">
        <f aca="false">IF(F2632="yes",1,0)</f>
        <v>0</v>
      </c>
      <c r="K2632" s="2" t="n">
        <f aca="false">IF(H2632="yes",1,0)</f>
        <v>0</v>
      </c>
      <c r="L2632" s="2" t="n">
        <f aca="false">IF(I2632="yes",1,0)</f>
        <v>0</v>
      </c>
      <c r="M2632" s="2" t="n">
        <f aca="false">IF(G2632&lt;0,1,0)</f>
        <v>0</v>
      </c>
      <c r="N2632" s="2" t="str">
        <f aca="false">_xlfn.IFS(B2632&lt;30,"Under 30",B2632&lt;40,"30-39",B2632&lt;50,"40-49",B2632&lt;60,"50-59",TRUE(),"60+")</f>
        <v>50-59</v>
      </c>
      <c r="O2632" s="2" t="str">
        <f aca="false">_xlfn.IFS(G2632&lt;0,"1 Negative",G2632=0,"2 Zero",G2632&lt;=500,"3 1-500",G2632&lt;=2000,"4 501-2000",TRUE(),"5 Above 2000")</f>
        <v>2 Zero</v>
      </c>
      <c r="P2632" s="2" t="n">
        <f aca="false">Lookups!$B$2*M2632+Lookups!$B$3*L2632</f>
        <v>0</v>
      </c>
      <c r="Q2632" s="2" t="str">
        <f aca="false">INDEX(Lookups!$E$2:$E$5,MATCH(P2632,Lookups!$D$2:$D$5,0))</f>
        <v>Low</v>
      </c>
    </row>
    <row r="2633" customFormat="false" ht="15" hidden="false" customHeight="false" outlineLevel="0" collapsed="false">
      <c r="A2633" s="3" t="n">
        <v>2632</v>
      </c>
      <c r="B2633" s="3" t="n">
        <f aca="false">Raw_Data!A2633</f>
        <v>37</v>
      </c>
      <c r="C2633" s="3" t="str">
        <f aca="false">SUBSTITUTE(Raw_Data!B2633,".","")</f>
        <v>admin</v>
      </c>
      <c r="D2633" s="3" t="str">
        <f aca="false">Raw_Data!C2633</f>
        <v>single</v>
      </c>
      <c r="E2633" s="3" t="str">
        <f aca="false">Raw_Data!D2633</f>
        <v>secondary</v>
      </c>
      <c r="F2633" s="3" t="str">
        <f aca="false">Raw_Data!E2633</f>
        <v>no</v>
      </c>
      <c r="G2633" s="3" t="n">
        <f aca="false">Raw_Data!F2633</f>
        <v>-296</v>
      </c>
      <c r="H2633" s="3" t="str">
        <f aca="false">Raw_Data!G2633</f>
        <v>yes</v>
      </c>
      <c r="I2633" s="3" t="str">
        <f aca="false">Raw_Data!H2633</f>
        <v>no</v>
      </c>
      <c r="J2633" s="2" t="n">
        <f aca="false">IF(F2633="yes",1,0)</f>
        <v>0</v>
      </c>
      <c r="K2633" s="2" t="n">
        <f aca="false">IF(H2633="yes",1,0)</f>
        <v>1</v>
      </c>
      <c r="L2633" s="2" t="n">
        <f aca="false">IF(I2633="yes",1,0)</f>
        <v>0</v>
      </c>
      <c r="M2633" s="2" t="n">
        <f aca="false">IF(G2633&lt;0,1,0)</f>
        <v>1</v>
      </c>
      <c r="N2633" s="2" t="str">
        <f aca="false">_xlfn.IFS(B2633&lt;30,"Under 30",B2633&lt;40,"30-39",B2633&lt;50,"40-49",B2633&lt;60,"50-59",TRUE(),"60+")</f>
        <v>30-39</v>
      </c>
      <c r="O2633" s="2" t="str">
        <f aca="false">_xlfn.IFS(G2633&lt;0,"1 Negative",G2633=0,"2 Zero",G2633&lt;=500,"3 1-500",G2633&lt;=2000,"4 501-2000",TRUE(),"5 Above 2000")</f>
        <v>1 Negative</v>
      </c>
      <c r="P2633" s="2" t="n">
        <f aca="false">Lookups!$B$2*M2633+Lookups!$B$3*L2633</f>
        <v>2</v>
      </c>
      <c r="Q2633" s="2" t="str">
        <f aca="false">INDEX(Lookups!$E$2:$E$5,MATCH(P2633,Lookups!$D$2:$D$5,0))</f>
        <v>High</v>
      </c>
    </row>
    <row r="2634" customFormat="false" ht="15" hidden="false" customHeight="false" outlineLevel="0" collapsed="false">
      <c r="A2634" s="3" t="n">
        <v>2633</v>
      </c>
      <c r="B2634" s="3" t="n">
        <f aca="false">Raw_Data!A2634</f>
        <v>59</v>
      </c>
      <c r="C2634" s="3" t="str">
        <f aca="false">SUBSTITUTE(Raw_Data!B2634,".","")</f>
        <v>management</v>
      </c>
      <c r="D2634" s="3" t="str">
        <f aca="false">Raw_Data!C2634</f>
        <v>married</v>
      </c>
      <c r="E2634" s="3" t="str">
        <f aca="false">Raw_Data!D2634</f>
        <v>primary</v>
      </c>
      <c r="F2634" s="3" t="str">
        <f aca="false">Raw_Data!E2634</f>
        <v>no</v>
      </c>
      <c r="G2634" s="3" t="n">
        <f aca="false">Raw_Data!F2634</f>
        <v>2358</v>
      </c>
      <c r="H2634" s="3" t="str">
        <f aca="false">Raw_Data!G2634</f>
        <v>yes</v>
      </c>
      <c r="I2634" s="3" t="str">
        <f aca="false">Raw_Data!H2634</f>
        <v>no</v>
      </c>
      <c r="J2634" s="2" t="n">
        <f aca="false">IF(F2634="yes",1,0)</f>
        <v>0</v>
      </c>
      <c r="K2634" s="2" t="n">
        <f aca="false">IF(H2634="yes",1,0)</f>
        <v>1</v>
      </c>
      <c r="L2634" s="2" t="n">
        <f aca="false">IF(I2634="yes",1,0)</f>
        <v>0</v>
      </c>
      <c r="M2634" s="2" t="n">
        <f aca="false">IF(G2634&lt;0,1,0)</f>
        <v>0</v>
      </c>
      <c r="N2634" s="2" t="str">
        <f aca="false">_xlfn.IFS(B2634&lt;30,"Under 30",B2634&lt;40,"30-39",B2634&lt;50,"40-49",B2634&lt;60,"50-59",TRUE(),"60+")</f>
        <v>50-59</v>
      </c>
      <c r="O2634" s="2" t="str">
        <f aca="false">_xlfn.IFS(G2634&lt;0,"1 Negative",G2634=0,"2 Zero",G2634&lt;=500,"3 1-500",G2634&lt;=2000,"4 501-2000",TRUE(),"5 Above 2000")</f>
        <v>5 Above 2000</v>
      </c>
      <c r="P2634" s="2" t="n">
        <f aca="false">Lookups!$B$2*M2634+Lookups!$B$3*L2634</f>
        <v>0</v>
      </c>
      <c r="Q2634" s="2" t="str">
        <f aca="false">INDEX(Lookups!$E$2:$E$5,MATCH(P2634,Lookups!$D$2:$D$5,0))</f>
        <v>Low</v>
      </c>
    </row>
    <row r="2635" customFormat="false" ht="15" hidden="false" customHeight="false" outlineLevel="0" collapsed="false">
      <c r="A2635" s="3" t="n">
        <v>2634</v>
      </c>
      <c r="B2635" s="3" t="n">
        <f aca="false">Raw_Data!A2635</f>
        <v>50</v>
      </c>
      <c r="C2635" s="3" t="str">
        <f aca="false">SUBSTITUTE(Raw_Data!B2635,".","")</f>
        <v>management</v>
      </c>
      <c r="D2635" s="3" t="str">
        <f aca="false">Raw_Data!C2635</f>
        <v>single</v>
      </c>
      <c r="E2635" s="3" t="str">
        <f aca="false">Raw_Data!D2635</f>
        <v>tertiary</v>
      </c>
      <c r="F2635" s="3" t="str">
        <f aca="false">Raw_Data!E2635</f>
        <v>no</v>
      </c>
      <c r="G2635" s="3" t="n">
        <f aca="false">Raw_Data!F2635</f>
        <v>1200</v>
      </c>
      <c r="H2635" s="3" t="str">
        <f aca="false">Raw_Data!G2635</f>
        <v>no</v>
      </c>
      <c r="I2635" s="3" t="str">
        <f aca="false">Raw_Data!H2635</f>
        <v>no</v>
      </c>
      <c r="J2635" s="2" t="n">
        <f aca="false">IF(F2635="yes",1,0)</f>
        <v>0</v>
      </c>
      <c r="K2635" s="2" t="n">
        <f aca="false">IF(H2635="yes",1,0)</f>
        <v>0</v>
      </c>
      <c r="L2635" s="2" t="n">
        <f aca="false">IF(I2635="yes",1,0)</f>
        <v>0</v>
      </c>
      <c r="M2635" s="2" t="n">
        <f aca="false">IF(G2635&lt;0,1,0)</f>
        <v>0</v>
      </c>
      <c r="N2635" s="2" t="str">
        <f aca="false">_xlfn.IFS(B2635&lt;30,"Under 30",B2635&lt;40,"30-39",B2635&lt;50,"40-49",B2635&lt;60,"50-59",TRUE(),"60+")</f>
        <v>50-59</v>
      </c>
      <c r="O2635" s="2" t="str">
        <f aca="false">_xlfn.IFS(G2635&lt;0,"1 Negative",G2635=0,"2 Zero",G2635&lt;=500,"3 1-500",G2635&lt;=2000,"4 501-2000",TRUE(),"5 Above 2000")</f>
        <v>4 501-2000</v>
      </c>
      <c r="P2635" s="2" t="n">
        <f aca="false">Lookups!$B$2*M2635+Lookups!$B$3*L2635</f>
        <v>0</v>
      </c>
      <c r="Q2635" s="2" t="str">
        <f aca="false">INDEX(Lookups!$E$2:$E$5,MATCH(P2635,Lookups!$D$2:$D$5,0))</f>
        <v>Low</v>
      </c>
    </row>
    <row r="2636" customFormat="false" ht="15" hidden="false" customHeight="false" outlineLevel="0" collapsed="false">
      <c r="A2636" s="3" t="n">
        <v>2635</v>
      </c>
      <c r="B2636" s="3" t="n">
        <f aca="false">Raw_Data!A2636</f>
        <v>39</v>
      </c>
      <c r="C2636" s="3" t="str">
        <f aca="false">SUBSTITUTE(Raw_Data!B2636,".","")</f>
        <v>housemaid</v>
      </c>
      <c r="D2636" s="3" t="str">
        <f aca="false">Raw_Data!C2636</f>
        <v>single</v>
      </c>
      <c r="E2636" s="3" t="str">
        <f aca="false">Raw_Data!D2636</f>
        <v>primary</v>
      </c>
      <c r="F2636" s="3" t="str">
        <f aca="false">Raw_Data!E2636</f>
        <v>no</v>
      </c>
      <c r="G2636" s="3" t="n">
        <f aca="false">Raw_Data!F2636</f>
        <v>109</v>
      </c>
      <c r="H2636" s="3" t="str">
        <f aca="false">Raw_Data!G2636</f>
        <v>yes</v>
      </c>
      <c r="I2636" s="3" t="str">
        <f aca="false">Raw_Data!H2636</f>
        <v>no</v>
      </c>
      <c r="J2636" s="2" t="n">
        <f aca="false">IF(F2636="yes",1,0)</f>
        <v>0</v>
      </c>
      <c r="K2636" s="2" t="n">
        <f aca="false">IF(H2636="yes",1,0)</f>
        <v>1</v>
      </c>
      <c r="L2636" s="2" t="n">
        <f aca="false">IF(I2636="yes",1,0)</f>
        <v>0</v>
      </c>
      <c r="M2636" s="2" t="n">
        <f aca="false">IF(G2636&lt;0,1,0)</f>
        <v>0</v>
      </c>
      <c r="N2636" s="2" t="str">
        <f aca="false">_xlfn.IFS(B2636&lt;30,"Under 30",B2636&lt;40,"30-39",B2636&lt;50,"40-49",B2636&lt;60,"50-59",TRUE(),"60+")</f>
        <v>30-39</v>
      </c>
      <c r="O2636" s="2" t="str">
        <f aca="false">_xlfn.IFS(G2636&lt;0,"1 Negative",G2636=0,"2 Zero",G2636&lt;=500,"3 1-500",G2636&lt;=2000,"4 501-2000",TRUE(),"5 Above 2000")</f>
        <v>3 1-500</v>
      </c>
      <c r="P2636" s="2" t="n">
        <f aca="false">Lookups!$B$2*M2636+Lookups!$B$3*L2636</f>
        <v>0</v>
      </c>
      <c r="Q2636" s="2" t="str">
        <f aca="false">INDEX(Lookups!$E$2:$E$5,MATCH(P2636,Lookups!$D$2:$D$5,0))</f>
        <v>Low</v>
      </c>
    </row>
    <row r="2637" customFormat="false" ht="15" hidden="false" customHeight="false" outlineLevel="0" collapsed="false">
      <c r="A2637" s="3" t="n">
        <v>2636</v>
      </c>
      <c r="B2637" s="3" t="n">
        <f aca="false">Raw_Data!A2637</f>
        <v>30</v>
      </c>
      <c r="C2637" s="3" t="str">
        <f aca="false">SUBSTITUTE(Raw_Data!B2637,".","")</f>
        <v>technician</v>
      </c>
      <c r="D2637" s="3" t="str">
        <f aca="false">Raw_Data!C2637</f>
        <v>married</v>
      </c>
      <c r="E2637" s="3" t="str">
        <f aca="false">Raw_Data!D2637</f>
        <v>secondary</v>
      </c>
      <c r="F2637" s="3" t="str">
        <f aca="false">Raw_Data!E2637</f>
        <v>no</v>
      </c>
      <c r="G2637" s="3" t="n">
        <f aca="false">Raw_Data!F2637</f>
        <v>616</v>
      </c>
      <c r="H2637" s="3" t="str">
        <f aca="false">Raw_Data!G2637</f>
        <v>yes</v>
      </c>
      <c r="I2637" s="3" t="str">
        <f aca="false">Raw_Data!H2637</f>
        <v>no</v>
      </c>
      <c r="J2637" s="2" t="n">
        <f aca="false">IF(F2637="yes",1,0)</f>
        <v>0</v>
      </c>
      <c r="K2637" s="2" t="n">
        <f aca="false">IF(H2637="yes",1,0)</f>
        <v>1</v>
      </c>
      <c r="L2637" s="2" t="n">
        <f aca="false">IF(I2637="yes",1,0)</f>
        <v>0</v>
      </c>
      <c r="M2637" s="2" t="n">
        <f aca="false">IF(G2637&lt;0,1,0)</f>
        <v>0</v>
      </c>
      <c r="N2637" s="2" t="str">
        <f aca="false">_xlfn.IFS(B2637&lt;30,"Under 30",B2637&lt;40,"30-39",B2637&lt;50,"40-49",B2637&lt;60,"50-59",TRUE(),"60+")</f>
        <v>30-39</v>
      </c>
      <c r="O2637" s="2" t="str">
        <f aca="false">_xlfn.IFS(G2637&lt;0,"1 Negative",G2637=0,"2 Zero",G2637&lt;=500,"3 1-500",G2637&lt;=2000,"4 501-2000",TRUE(),"5 Above 2000")</f>
        <v>4 501-2000</v>
      </c>
      <c r="P2637" s="2" t="n">
        <f aca="false">Lookups!$B$2*M2637+Lookups!$B$3*L2637</f>
        <v>0</v>
      </c>
      <c r="Q2637" s="2" t="str">
        <f aca="false">INDEX(Lookups!$E$2:$E$5,MATCH(P2637,Lookups!$D$2:$D$5,0))</f>
        <v>Low</v>
      </c>
    </row>
    <row r="2638" customFormat="false" ht="15" hidden="false" customHeight="false" outlineLevel="0" collapsed="false">
      <c r="A2638" s="3" t="n">
        <v>2637</v>
      </c>
      <c r="B2638" s="3" t="n">
        <f aca="false">Raw_Data!A2638</f>
        <v>47</v>
      </c>
      <c r="C2638" s="3" t="str">
        <f aca="false">SUBSTITUTE(Raw_Data!B2638,".","")</f>
        <v>services</v>
      </c>
      <c r="D2638" s="3" t="str">
        <f aca="false">Raw_Data!C2638</f>
        <v>divorced</v>
      </c>
      <c r="E2638" s="3" t="str">
        <f aca="false">Raw_Data!D2638</f>
        <v>secondary</v>
      </c>
      <c r="F2638" s="3" t="str">
        <f aca="false">Raw_Data!E2638</f>
        <v>no</v>
      </c>
      <c r="G2638" s="3" t="n">
        <f aca="false">Raw_Data!F2638</f>
        <v>4906</v>
      </c>
      <c r="H2638" s="3" t="str">
        <f aca="false">Raw_Data!G2638</f>
        <v>yes</v>
      </c>
      <c r="I2638" s="3" t="str">
        <f aca="false">Raw_Data!H2638</f>
        <v>no</v>
      </c>
      <c r="J2638" s="2" t="n">
        <f aca="false">IF(F2638="yes",1,0)</f>
        <v>0</v>
      </c>
      <c r="K2638" s="2" t="n">
        <f aca="false">IF(H2638="yes",1,0)</f>
        <v>1</v>
      </c>
      <c r="L2638" s="2" t="n">
        <f aca="false">IF(I2638="yes",1,0)</f>
        <v>0</v>
      </c>
      <c r="M2638" s="2" t="n">
        <f aca="false">IF(G2638&lt;0,1,0)</f>
        <v>0</v>
      </c>
      <c r="N2638" s="2" t="str">
        <f aca="false">_xlfn.IFS(B2638&lt;30,"Under 30",B2638&lt;40,"30-39",B2638&lt;50,"40-49",B2638&lt;60,"50-59",TRUE(),"60+")</f>
        <v>40-49</v>
      </c>
      <c r="O2638" s="2" t="str">
        <f aca="false">_xlfn.IFS(G2638&lt;0,"1 Negative",G2638=0,"2 Zero",G2638&lt;=500,"3 1-500",G2638&lt;=2000,"4 501-2000",TRUE(),"5 Above 2000")</f>
        <v>5 Above 2000</v>
      </c>
      <c r="P2638" s="2" t="n">
        <f aca="false">Lookups!$B$2*M2638+Lookups!$B$3*L2638</f>
        <v>0</v>
      </c>
      <c r="Q2638" s="2" t="str">
        <f aca="false">INDEX(Lookups!$E$2:$E$5,MATCH(P2638,Lookups!$D$2:$D$5,0))</f>
        <v>Low</v>
      </c>
    </row>
    <row r="2639" customFormat="false" ht="15" hidden="false" customHeight="false" outlineLevel="0" collapsed="false">
      <c r="A2639" s="3" t="n">
        <v>2638</v>
      </c>
      <c r="B2639" s="3" t="n">
        <f aca="false">Raw_Data!A2639</f>
        <v>44</v>
      </c>
      <c r="C2639" s="3" t="str">
        <f aca="false">SUBSTITUTE(Raw_Data!B2639,".","")</f>
        <v>self-employed</v>
      </c>
      <c r="D2639" s="3" t="str">
        <f aca="false">Raw_Data!C2639</f>
        <v>married</v>
      </c>
      <c r="E2639" s="3" t="str">
        <f aca="false">Raw_Data!D2639</f>
        <v>secondary</v>
      </c>
      <c r="F2639" s="3" t="str">
        <f aca="false">Raw_Data!E2639</f>
        <v>no</v>
      </c>
      <c r="G2639" s="3" t="n">
        <f aca="false">Raw_Data!F2639</f>
        <v>313</v>
      </c>
      <c r="H2639" s="3" t="str">
        <f aca="false">Raw_Data!G2639</f>
        <v>no</v>
      </c>
      <c r="I2639" s="3" t="str">
        <f aca="false">Raw_Data!H2639</f>
        <v>no</v>
      </c>
      <c r="J2639" s="2" t="n">
        <f aca="false">IF(F2639="yes",1,0)</f>
        <v>0</v>
      </c>
      <c r="K2639" s="2" t="n">
        <f aca="false">IF(H2639="yes",1,0)</f>
        <v>0</v>
      </c>
      <c r="L2639" s="2" t="n">
        <f aca="false">IF(I2639="yes",1,0)</f>
        <v>0</v>
      </c>
      <c r="M2639" s="2" t="n">
        <f aca="false">IF(G2639&lt;0,1,0)</f>
        <v>0</v>
      </c>
      <c r="N2639" s="2" t="str">
        <f aca="false">_xlfn.IFS(B2639&lt;30,"Under 30",B2639&lt;40,"30-39",B2639&lt;50,"40-49",B2639&lt;60,"50-59",TRUE(),"60+")</f>
        <v>40-49</v>
      </c>
      <c r="O2639" s="2" t="str">
        <f aca="false">_xlfn.IFS(G2639&lt;0,"1 Negative",G2639=0,"2 Zero",G2639&lt;=500,"3 1-500",G2639&lt;=2000,"4 501-2000",TRUE(),"5 Above 2000")</f>
        <v>3 1-500</v>
      </c>
      <c r="P2639" s="2" t="n">
        <f aca="false">Lookups!$B$2*M2639+Lookups!$B$3*L2639</f>
        <v>0</v>
      </c>
      <c r="Q2639" s="2" t="str">
        <f aca="false">INDEX(Lookups!$E$2:$E$5,MATCH(P2639,Lookups!$D$2:$D$5,0))</f>
        <v>Low</v>
      </c>
    </row>
    <row r="2640" customFormat="false" ht="15" hidden="false" customHeight="false" outlineLevel="0" collapsed="false">
      <c r="A2640" s="3" t="n">
        <v>2639</v>
      </c>
      <c r="B2640" s="3" t="n">
        <f aca="false">Raw_Data!A2640</f>
        <v>38</v>
      </c>
      <c r="C2640" s="3" t="str">
        <f aca="false">SUBSTITUTE(Raw_Data!B2640,".","")</f>
        <v>blue-collar</v>
      </c>
      <c r="D2640" s="3" t="str">
        <f aca="false">Raw_Data!C2640</f>
        <v>married</v>
      </c>
      <c r="E2640" s="3" t="str">
        <f aca="false">Raw_Data!D2640</f>
        <v>primary</v>
      </c>
      <c r="F2640" s="3" t="str">
        <f aca="false">Raw_Data!E2640</f>
        <v>no</v>
      </c>
      <c r="G2640" s="3" t="n">
        <f aca="false">Raw_Data!F2640</f>
        <v>290</v>
      </c>
      <c r="H2640" s="3" t="str">
        <f aca="false">Raw_Data!G2640</f>
        <v>yes</v>
      </c>
      <c r="I2640" s="3" t="str">
        <f aca="false">Raw_Data!H2640</f>
        <v>no</v>
      </c>
      <c r="J2640" s="2" t="n">
        <f aca="false">IF(F2640="yes",1,0)</f>
        <v>0</v>
      </c>
      <c r="K2640" s="2" t="n">
        <f aca="false">IF(H2640="yes",1,0)</f>
        <v>1</v>
      </c>
      <c r="L2640" s="2" t="n">
        <f aca="false">IF(I2640="yes",1,0)</f>
        <v>0</v>
      </c>
      <c r="M2640" s="2" t="n">
        <f aca="false">IF(G2640&lt;0,1,0)</f>
        <v>0</v>
      </c>
      <c r="N2640" s="2" t="str">
        <f aca="false">_xlfn.IFS(B2640&lt;30,"Under 30",B2640&lt;40,"30-39",B2640&lt;50,"40-49",B2640&lt;60,"50-59",TRUE(),"60+")</f>
        <v>30-39</v>
      </c>
      <c r="O2640" s="2" t="str">
        <f aca="false">_xlfn.IFS(G2640&lt;0,"1 Negative",G2640=0,"2 Zero",G2640&lt;=500,"3 1-500",G2640&lt;=2000,"4 501-2000",TRUE(),"5 Above 2000")</f>
        <v>3 1-500</v>
      </c>
      <c r="P2640" s="2" t="n">
        <f aca="false">Lookups!$B$2*M2640+Lookups!$B$3*L2640</f>
        <v>0</v>
      </c>
      <c r="Q2640" s="2" t="str">
        <f aca="false">INDEX(Lookups!$E$2:$E$5,MATCH(P2640,Lookups!$D$2:$D$5,0))</f>
        <v>Low</v>
      </c>
    </row>
    <row r="2641" customFormat="false" ht="15" hidden="false" customHeight="false" outlineLevel="0" collapsed="false">
      <c r="A2641" s="3" t="n">
        <v>2640</v>
      </c>
      <c r="B2641" s="3" t="n">
        <f aca="false">Raw_Data!A2641</f>
        <v>50</v>
      </c>
      <c r="C2641" s="3" t="str">
        <f aca="false">SUBSTITUTE(Raw_Data!B2641,".","")</f>
        <v>management</v>
      </c>
      <c r="D2641" s="3" t="str">
        <f aca="false">Raw_Data!C2641</f>
        <v>married</v>
      </c>
      <c r="E2641" s="3" t="str">
        <f aca="false">Raw_Data!D2641</f>
        <v>tertiary</v>
      </c>
      <c r="F2641" s="3" t="str">
        <f aca="false">Raw_Data!E2641</f>
        <v>no</v>
      </c>
      <c r="G2641" s="3" t="n">
        <f aca="false">Raw_Data!F2641</f>
        <v>1240</v>
      </c>
      <c r="H2641" s="3" t="str">
        <f aca="false">Raw_Data!G2641</f>
        <v>no</v>
      </c>
      <c r="I2641" s="3" t="str">
        <f aca="false">Raw_Data!H2641</f>
        <v>no</v>
      </c>
      <c r="J2641" s="2" t="n">
        <f aca="false">IF(F2641="yes",1,0)</f>
        <v>0</v>
      </c>
      <c r="K2641" s="2" t="n">
        <f aca="false">IF(H2641="yes",1,0)</f>
        <v>0</v>
      </c>
      <c r="L2641" s="2" t="n">
        <f aca="false">IF(I2641="yes",1,0)</f>
        <v>0</v>
      </c>
      <c r="M2641" s="2" t="n">
        <f aca="false">IF(G2641&lt;0,1,0)</f>
        <v>0</v>
      </c>
      <c r="N2641" s="2" t="str">
        <f aca="false">_xlfn.IFS(B2641&lt;30,"Under 30",B2641&lt;40,"30-39",B2641&lt;50,"40-49",B2641&lt;60,"50-59",TRUE(),"60+")</f>
        <v>50-59</v>
      </c>
      <c r="O2641" s="2" t="str">
        <f aca="false">_xlfn.IFS(G2641&lt;0,"1 Negative",G2641=0,"2 Zero",G2641&lt;=500,"3 1-500",G2641&lt;=2000,"4 501-2000",TRUE(),"5 Above 2000")</f>
        <v>4 501-2000</v>
      </c>
      <c r="P2641" s="2" t="n">
        <f aca="false">Lookups!$B$2*M2641+Lookups!$B$3*L2641</f>
        <v>0</v>
      </c>
      <c r="Q2641" s="2" t="str">
        <f aca="false">INDEX(Lookups!$E$2:$E$5,MATCH(P2641,Lookups!$D$2:$D$5,0))</f>
        <v>Low</v>
      </c>
    </row>
    <row r="2642" customFormat="false" ht="15" hidden="false" customHeight="false" outlineLevel="0" collapsed="false">
      <c r="A2642" s="3" t="n">
        <v>2641</v>
      </c>
      <c r="B2642" s="3" t="n">
        <f aca="false">Raw_Data!A2642</f>
        <v>27</v>
      </c>
      <c r="C2642" s="3" t="str">
        <f aca="false">SUBSTITUTE(Raw_Data!B2642,".","")</f>
        <v>admin</v>
      </c>
      <c r="D2642" s="3" t="str">
        <f aca="false">Raw_Data!C2642</f>
        <v>single</v>
      </c>
      <c r="E2642" s="3" t="str">
        <f aca="false">Raw_Data!D2642</f>
        <v>tertiary</v>
      </c>
      <c r="F2642" s="3" t="str">
        <f aca="false">Raw_Data!E2642</f>
        <v>no</v>
      </c>
      <c r="G2642" s="3" t="n">
        <f aca="false">Raw_Data!F2642</f>
        <v>3672</v>
      </c>
      <c r="H2642" s="3" t="str">
        <f aca="false">Raw_Data!G2642</f>
        <v>yes</v>
      </c>
      <c r="I2642" s="3" t="str">
        <f aca="false">Raw_Data!H2642</f>
        <v>no</v>
      </c>
      <c r="J2642" s="2" t="n">
        <f aca="false">IF(F2642="yes",1,0)</f>
        <v>0</v>
      </c>
      <c r="K2642" s="2" t="n">
        <f aca="false">IF(H2642="yes",1,0)</f>
        <v>1</v>
      </c>
      <c r="L2642" s="2" t="n">
        <f aca="false">IF(I2642="yes",1,0)</f>
        <v>0</v>
      </c>
      <c r="M2642" s="2" t="n">
        <f aca="false">IF(G2642&lt;0,1,0)</f>
        <v>0</v>
      </c>
      <c r="N2642" s="2" t="str">
        <f aca="false">_xlfn.IFS(B2642&lt;30,"Under 30",B2642&lt;40,"30-39",B2642&lt;50,"40-49",B2642&lt;60,"50-59",TRUE(),"60+")</f>
        <v>Under 30</v>
      </c>
      <c r="O2642" s="2" t="str">
        <f aca="false">_xlfn.IFS(G2642&lt;0,"1 Negative",G2642=0,"2 Zero",G2642&lt;=500,"3 1-500",G2642&lt;=2000,"4 501-2000",TRUE(),"5 Above 2000")</f>
        <v>5 Above 2000</v>
      </c>
      <c r="P2642" s="2" t="n">
        <f aca="false">Lookups!$B$2*M2642+Lookups!$B$3*L2642</f>
        <v>0</v>
      </c>
      <c r="Q2642" s="2" t="str">
        <f aca="false">INDEX(Lookups!$E$2:$E$5,MATCH(P2642,Lookups!$D$2:$D$5,0))</f>
        <v>Low</v>
      </c>
    </row>
    <row r="2643" customFormat="false" ht="15" hidden="false" customHeight="false" outlineLevel="0" collapsed="false">
      <c r="A2643" s="3" t="n">
        <v>2642</v>
      </c>
      <c r="B2643" s="3" t="n">
        <f aca="false">Raw_Data!A2643</f>
        <v>73</v>
      </c>
      <c r="C2643" s="3" t="str">
        <f aca="false">SUBSTITUTE(Raw_Data!B2643,".","")</f>
        <v>retired</v>
      </c>
      <c r="D2643" s="3" t="str">
        <f aca="false">Raw_Data!C2643</f>
        <v>married</v>
      </c>
      <c r="E2643" s="3" t="str">
        <f aca="false">Raw_Data!D2643</f>
        <v>secondary</v>
      </c>
      <c r="F2643" s="3" t="str">
        <f aca="false">Raw_Data!E2643</f>
        <v>no</v>
      </c>
      <c r="G2643" s="3" t="n">
        <f aca="false">Raw_Data!F2643</f>
        <v>19</v>
      </c>
      <c r="H2643" s="3" t="str">
        <f aca="false">Raw_Data!G2643</f>
        <v>no</v>
      </c>
      <c r="I2643" s="3" t="str">
        <f aca="false">Raw_Data!H2643</f>
        <v>no</v>
      </c>
      <c r="J2643" s="2" t="n">
        <f aca="false">IF(F2643="yes",1,0)</f>
        <v>0</v>
      </c>
      <c r="K2643" s="2" t="n">
        <f aca="false">IF(H2643="yes",1,0)</f>
        <v>0</v>
      </c>
      <c r="L2643" s="2" t="n">
        <f aca="false">IF(I2643="yes",1,0)</f>
        <v>0</v>
      </c>
      <c r="M2643" s="2" t="n">
        <f aca="false">IF(G2643&lt;0,1,0)</f>
        <v>0</v>
      </c>
      <c r="N2643" s="2" t="str">
        <f aca="false">_xlfn.IFS(B2643&lt;30,"Under 30",B2643&lt;40,"30-39",B2643&lt;50,"40-49",B2643&lt;60,"50-59",TRUE(),"60+")</f>
        <v>60+</v>
      </c>
      <c r="O2643" s="2" t="str">
        <f aca="false">_xlfn.IFS(G2643&lt;0,"1 Negative",G2643=0,"2 Zero",G2643&lt;=500,"3 1-500",G2643&lt;=2000,"4 501-2000",TRUE(),"5 Above 2000")</f>
        <v>3 1-500</v>
      </c>
      <c r="P2643" s="2" t="n">
        <f aca="false">Lookups!$B$2*M2643+Lookups!$B$3*L2643</f>
        <v>0</v>
      </c>
      <c r="Q2643" s="2" t="str">
        <f aca="false">INDEX(Lookups!$E$2:$E$5,MATCH(P2643,Lookups!$D$2:$D$5,0))</f>
        <v>Low</v>
      </c>
    </row>
    <row r="2644" customFormat="false" ht="15" hidden="false" customHeight="false" outlineLevel="0" collapsed="false">
      <c r="A2644" s="3" t="n">
        <v>2643</v>
      </c>
      <c r="B2644" s="3" t="n">
        <f aca="false">Raw_Data!A2644</f>
        <v>46</v>
      </c>
      <c r="C2644" s="3" t="str">
        <f aca="false">SUBSTITUTE(Raw_Data!B2644,".","")</f>
        <v>blue-collar</v>
      </c>
      <c r="D2644" s="3" t="str">
        <f aca="false">Raw_Data!C2644</f>
        <v>married</v>
      </c>
      <c r="E2644" s="3" t="str">
        <f aca="false">Raw_Data!D2644</f>
        <v>primary</v>
      </c>
      <c r="F2644" s="3" t="str">
        <f aca="false">Raw_Data!E2644</f>
        <v>no</v>
      </c>
      <c r="G2644" s="3" t="n">
        <f aca="false">Raw_Data!F2644</f>
        <v>143</v>
      </c>
      <c r="H2644" s="3" t="str">
        <f aca="false">Raw_Data!G2644</f>
        <v>yes</v>
      </c>
      <c r="I2644" s="3" t="str">
        <f aca="false">Raw_Data!H2644</f>
        <v>no</v>
      </c>
      <c r="J2644" s="2" t="n">
        <f aca="false">IF(F2644="yes",1,0)</f>
        <v>0</v>
      </c>
      <c r="K2644" s="2" t="n">
        <f aca="false">IF(H2644="yes",1,0)</f>
        <v>1</v>
      </c>
      <c r="L2644" s="2" t="n">
        <f aca="false">IF(I2644="yes",1,0)</f>
        <v>0</v>
      </c>
      <c r="M2644" s="2" t="n">
        <f aca="false">IF(G2644&lt;0,1,0)</f>
        <v>0</v>
      </c>
      <c r="N2644" s="2" t="str">
        <f aca="false">_xlfn.IFS(B2644&lt;30,"Under 30",B2644&lt;40,"30-39",B2644&lt;50,"40-49",B2644&lt;60,"50-59",TRUE(),"60+")</f>
        <v>40-49</v>
      </c>
      <c r="O2644" s="2" t="str">
        <f aca="false">_xlfn.IFS(G2644&lt;0,"1 Negative",G2644=0,"2 Zero",G2644&lt;=500,"3 1-500",G2644&lt;=2000,"4 501-2000",TRUE(),"5 Above 2000")</f>
        <v>3 1-500</v>
      </c>
      <c r="P2644" s="2" t="n">
        <f aca="false">Lookups!$B$2*M2644+Lookups!$B$3*L2644</f>
        <v>0</v>
      </c>
      <c r="Q2644" s="2" t="str">
        <f aca="false">INDEX(Lookups!$E$2:$E$5,MATCH(P2644,Lookups!$D$2:$D$5,0))</f>
        <v>Low</v>
      </c>
    </row>
    <row r="2645" customFormat="false" ht="15" hidden="false" customHeight="false" outlineLevel="0" collapsed="false">
      <c r="A2645" s="3" t="n">
        <v>2644</v>
      </c>
      <c r="B2645" s="3" t="n">
        <f aca="false">Raw_Data!A2645</f>
        <v>56</v>
      </c>
      <c r="C2645" s="3" t="str">
        <f aca="false">SUBSTITUTE(Raw_Data!B2645,".","")</f>
        <v>retired</v>
      </c>
      <c r="D2645" s="3" t="str">
        <f aca="false">Raw_Data!C2645</f>
        <v>divorced</v>
      </c>
      <c r="E2645" s="3" t="str">
        <f aca="false">Raw_Data!D2645</f>
        <v>secondary</v>
      </c>
      <c r="F2645" s="3" t="str">
        <f aca="false">Raw_Data!E2645</f>
        <v>no</v>
      </c>
      <c r="G2645" s="3" t="n">
        <f aca="false">Raw_Data!F2645</f>
        <v>212</v>
      </c>
      <c r="H2645" s="3" t="str">
        <f aca="false">Raw_Data!G2645</f>
        <v>no</v>
      </c>
      <c r="I2645" s="3" t="str">
        <f aca="false">Raw_Data!H2645</f>
        <v>yes</v>
      </c>
      <c r="J2645" s="2" t="n">
        <f aca="false">IF(F2645="yes",1,0)</f>
        <v>0</v>
      </c>
      <c r="K2645" s="2" t="n">
        <f aca="false">IF(H2645="yes",1,0)</f>
        <v>0</v>
      </c>
      <c r="L2645" s="2" t="n">
        <f aca="false">IF(I2645="yes",1,0)</f>
        <v>1</v>
      </c>
      <c r="M2645" s="2" t="n">
        <f aca="false">IF(G2645&lt;0,1,0)</f>
        <v>0</v>
      </c>
      <c r="N2645" s="2" t="str">
        <f aca="false">_xlfn.IFS(B2645&lt;30,"Under 30",B2645&lt;40,"30-39",B2645&lt;50,"40-49",B2645&lt;60,"50-59",TRUE(),"60+")</f>
        <v>50-59</v>
      </c>
      <c r="O2645" s="2" t="str">
        <f aca="false">_xlfn.IFS(G2645&lt;0,"1 Negative",G2645=0,"2 Zero",G2645&lt;=500,"3 1-500",G2645&lt;=2000,"4 501-2000",TRUE(),"5 Above 2000")</f>
        <v>3 1-500</v>
      </c>
      <c r="P2645" s="2" t="n">
        <f aca="false">Lookups!$B$2*M2645+Lookups!$B$3*L2645</f>
        <v>1</v>
      </c>
      <c r="Q2645" s="2" t="str">
        <f aca="false">INDEX(Lookups!$E$2:$E$5,MATCH(P2645,Lookups!$D$2:$D$5,0))</f>
        <v>Medium</v>
      </c>
    </row>
    <row r="2646" customFormat="false" ht="15" hidden="false" customHeight="false" outlineLevel="0" collapsed="false">
      <c r="A2646" s="3" t="n">
        <v>2645</v>
      </c>
      <c r="B2646" s="3" t="n">
        <f aca="false">Raw_Data!A2646</f>
        <v>36</v>
      </c>
      <c r="C2646" s="3" t="str">
        <f aca="false">SUBSTITUTE(Raw_Data!B2646,".","")</f>
        <v>management</v>
      </c>
      <c r="D2646" s="3" t="str">
        <f aca="false">Raw_Data!C2646</f>
        <v>married</v>
      </c>
      <c r="E2646" s="3" t="str">
        <f aca="false">Raw_Data!D2646</f>
        <v>tertiary</v>
      </c>
      <c r="F2646" s="3" t="str">
        <f aca="false">Raw_Data!E2646</f>
        <v>no</v>
      </c>
      <c r="G2646" s="3" t="n">
        <f aca="false">Raw_Data!F2646</f>
        <v>9</v>
      </c>
      <c r="H2646" s="3" t="str">
        <f aca="false">Raw_Data!G2646</f>
        <v>no</v>
      </c>
      <c r="I2646" s="3" t="str">
        <f aca="false">Raw_Data!H2646</f>
        <v>no</v>
      </c>
      <c r="J2646" s="2" t="n">
        <f aca="false">IF(F2646="yes",1,0)</f>
        <v>0</v>
      </c>
      <c r="K2646" s="2" t="n">
        <f aca="false">IF(H2646="yes",1,0)</f>
        <v>0</v>
      </c>
      <c r="L2646" s="2" t="n">
        <f aca="false">IF(I2646="yes",1,0)</f>
        <v>0</v>
      </c>
      <c r="M2646" s="2" t="n">
        <f aca="false">IF(G2646&lt;0,1,0)</f>
        <v>0</v>
      </c>
      <c r="N2646" s="2" t="str">
        <f aca="false">_xlfn.IFS(B2646&lt;30,"Under 30",B2646&lt;40,"30-39",B2646&lt;50,"40-49",B2646&lt;60,"50-59",TRUE(),"60+")</f>
        <v>30-39</v>
      </c>
      <c r="O2646" s="2" t="str">
        <f aca="false">_xlfn.IFS(G2646&lt;0,"1 Negative",G2646=0,"2 Zero",G2646&lt;=500,"3 1-500",G2646&lt;=2000,"4 501-2000",TRUE(),"5 Above 2000")</f>
        <v>3 1-500</v>
      </c>
      <c r="P2646" s="2" t="n">
        <f aca="false">Lookups!$B$2*M2646+Lookups!$B$3*L2646</f>
        <v>0</v>
      </c>
      <c r="Q2646" s="2" t="str">
        <f aca="false">INDEX(Lookups!$E$2:$E$5,MATCH(P2646,Lookups!$D$2:$D$5,0))</f>
        <v>Low</v>
      </c>
    </row>
    <row r="2647" customFormat="false" ht="15" hidden="false" customHeight="false" outlineLevel="0" collapsed="false">
      <c r="A2647" s="3" t="n">
        <v>2646</v>
      </c>
      <c r="B2647" s="3" t="n">
        <f aca="false">Raw_Data!A2647</f>
        <v>33</v>
      </c>
      <c r="C2647" s="3" t="str">
        <f aca="false">SUBSTITUTE(Raw_Data!B2647,".","")</f>
        <v>blue-collar</v>
      </c>
      <c r="D2647" s="3" t="str">
        <f aca="false">Raw_Data!C2647</f>
        <v>married</v>
      </c>
      <c r="E2647" s="3" t="str">
        <f aca="false">Raw_Data!D2647</f>
        <v>primary</v>
      </c>
      <c r="F2647" s="3" t="str">
        <f aca="false">Raw_Data!E2647</f>
        <v>no</v>
      </c>
      <c r="G2647" s="3" t="n">
        <f aca="false">Raw_Data!F2647</f>
        <v>3074</v>
      </c>
      <c r="H2647" s="3" t="str">
        <f aca="false">Raw_Data!G2647</f>
        <v>no</v>
      </c>
      <c r="I2647" s="3" t="str">
        <f aca="false">Raw_Data!H2647</f>
        <v>no</v>
      </c>
      <c r="J2647" s="2" t="n">
        <f aca="false">IF(F2647="yes",1,0)</f>
        <v>0</v>
      </c>
      <c r="K2647" s="2" t="n">
        <f aca="false">IF(H2647="yes",1,0)</f>
        <v>0</v>
      </c>
      <c r="L2647" s="2" t="n">
        <f aca="false">IF(I2647="yes",1,0)</f>
        <v>0</v>
      </c>
      <c r="M2647" s="2" t="n">
        <f aca="false">IF(G2647&lt;0,1,0)</f>
        <v>0</v>
      </c>
      <c r="N2647" s="2" t="str">
        <f aca="false">_xlfn.IFS(B2647&lt;30,"Under 30",B2647&lt;40,"30-39",B2647&lt;50,"40-49",B2647&lt;60,"50-59",TRUE(),"60+")</f>
        <v>30-39</v>
      </c>
      <c r="O2647" s="2" t="str">
        <f aca="false">_xlfn.IFS(G2647&lt;0,"1 Negative",G2647=0,"2 Zero",G2647&lt;=500,"3 1-500",G2647&lt;=2000,"4 501-2000",TRUE(),"5 Above 2000")</f>
        <v>5 Above 2000</v>
      </c>
      <c r="P2647" s="2" t="n">
        <f aca="false">Lookups!$B$2*M2647+Lookups!$B$3*L2647</f>
        <v>0</v>
      </c>
      <c r="Q2647" s="2" t="str">
        <f aca="false">INDEX(Lookups!$E$2:$E$5,MATCH(P2647,Lookups!$D$2:$D$5,0))</f>
        <v>Low</v>
      </c>
    </row>
    <row r="2648" customFormat="false" ht="15" hidden="false" customHeight="false" outlineLevel="0" collapsed="false">
      <c r="A2648" s="3" t="n">
        <v>2647</v>
      </c>
      <c r="B2648" s="3" t="n">
        <f aca="false">Raw_Data!A2648</f>
        <v>40</v>
      </c>
      <c r="C2648" s="3" t="str">
        <f aca="false">SUBSTITUTE(Raw_Data!B2648,".","")</f>
        <v>management</v>
      </c>
      <c r="D2648" s="3" t="str">
        <f aca="false">Raw_Data!C2648</f>
        <v>married</v>
      </c>
      <c r="E2648" s="3" t="str">
        <f aca="false">Raw_Data!D2648</f>
        <v>tertiary</v>
      </c>
      <c r="F2648" s="3" t="str">
        <f aca="false">Raw_Data!E2648</f>
        <v>no</v>
      </c>
      <c r="G2648" s="3" t="n">
        <f aca="false">Raw_Data!F2648</f>
        <v>1734</v>
      </c>
      <c r="H2648" s="3" t="str">
        <f aca="false">Raw_Data!G2648</f>
        <v>yes</v>
      </c>
      <c r="I2648" s="3" t="str">
        <f aca="false">Raw_Data!H2648</f>
        <v>no</v>
      </c>
      <c r="J2648" s="2" t="n">
        <f aca="false">IF(F2648="yes",1,0)</f>
        <v>0</v>
      </c>
      <c r="K2648" s="2" t="n">
        <f aca="false">IF(H2648="yes",1,0)</f>
        <v>1</v>
      </c>
      <c r="L2648" s="2" t="n">
        <f aca="false">IF(I2648="yes",1,0)</f>
        <v>0</v>
      </c>
      <c r="M2648" s="2" t="n">
        <f aca="false">IF(G2648&lt;0,1,0)</f>
        <v>0</v>
      </c>
      <c r="N2648" s="2" t="str">
        <f aca="false">_xlfn.IFS(B2648&lt;30,"Under 30",B2648&lt;40,"30-39",B2648&lt;50,"40-49",B2648&lt;60,"50-59",TRUE(),"60+")</f>
        <v>40-49</v>
      </c>
      <c r="O2648" s="2" t="str">
        <f aca="false">_xlfn.IFS(G2648&lt;0,"1 Negative",G2648=0,"2 Zero",G2648&lt;=500,"3 1-500",G2648&lt;=2000,"4 501-2000",TRUE(),"5 Above 2000")</f>
        <v>4 501-2000</v>
      </c>
      <c r="P2648" s="2" t="n">
        <f aca="false">Lookups!$B$2*M2648+Lookups!$B$3*L2648</f>
        <v>0</v>
      </c>
      <c r="Q2648" s="2" t="str">
        <f aca="false">INDEX(Lookups!$E$2:$E$5,MATCH(P2648,Lookups!$D$2:$D$5,0))</f>
        <v>Low</v>
      </c>
    </row>
    <row r="2649" customFormat="false" ht="15" hidden="false" customHeight="false" outlineLevel="0" collapsed="false">
      <c r="A2649" s="3" t="n">
        <v>2648</v>
      </c>
      <c r="B2649" s="3" t="n">
        <f aca="false">Raw_Data!A2649</f>
        <v>52</v>
      </c>
      <c r="C2649" s="3" t="str">
        <f aca="false">SUBSTITUTE(Raw_Data!B2649,".","")</f>
        <v>management</v>
      </c>
      <c r="D2649" s="3" t="str">
        <f aca="false">Raw_Data!C2649</f>
        <v>married</v>
      </c>
      <c r="E2649" s="3" t="str">
        <f aca="false">Raw_Data!D2649</f>
        <v>tertiary</v>
      </c>
      <c r="F2649" s="3" t="str">
        <f aca="false">Raw_Data!E2649</f>
        <v>no</v>
      </c>
      <c r="G2649" s="3" t="n">
        <f aca="false">Raw_Data!F2649</f>
        <v>575</v>
      </c>
      <c r="H2649" s="3" t="str">
        <f aca="false">Raw_Data!G2649</f>
        <v>no</v>
      </c>
      <c r="I2649" s="3" t="str">
        <f aca="false">Raw_Data!H2649</f>
        <v>no</v>
      </c>
      <c r="J2649" s="2" t="n">
        <f aca="false">IF(F2649="yes",1,0)</f>
        <v>0</v>
      </c>
      <c r="K2649" s="2" t="n">
        <f aca="false">IF(H2649="yes",1,0)</f>
        <v>0</v>
      </c>
      <c r="L2649" s="2" t="n">
        <f aca="false">IF(I2649="yes",1,0)</f>
        <v>0</v>
      </c>
      <c r="M2649" s="2" t="n">
        <f aca="false">IF(G2649&lt;0,1,0)</f>
        <v>0</v>
      </c>
      <c r="N2649" s="2" t="str">
        <f aca="false">_xlfn.IFS(B2649&lt;30,"Under 30",B2649&lt;40,"30-39",B2649&lt;50,"40-49",B2649&lt;60,"50-59",TRUE(),"60+")</f>
        <v>50-59</v>
      </c>
      <c r="O2649" s="2" t="str">
        <f aca="false">_xlfn.IFS(G2649&lt;0,"1 Negative",G2649=0,"2 Zero",G2649&lt;=500,"3 1-500",G2649&lt;=2000,"4 501-2000",TRUE(),"5 Above 2000")</f>
        <v>4 501-2000</v>
      </c>
      <c r="P2649" s="2" t="n">
        <f aca="false">Lookups!$B$2*M2649+Lookups!$B$3*L2649</f>
        <v>0</v>
      </c>
      <c r="Q2649" s="2" t="str">
        <f aca="false">INDEX(Lookups!$E$2:$E$5,MATCH(P2649,Lookups!$D$2:$D$5,0))</f>
        <v>Low</v>
      </c>
    </row>
    <row r="2650" customFormat="false" ht="15" hidden="false" customHeight="false" outlineLevel="0" collapsed="false">
      <c r="A2650" s="3" t="n">
        <v>2649</v>
      </c>
      <c r="B2650" s="3" t="n">
        <f aca="false">Raw_Data!A2650</f>
        <v>51</v>
      </c>
      <c r="C2650" s="3" t="str">
        <f aca="false">SUBSTITUTE(Raw_Data!B2650,".","")</f>
        <v>blue-collar</v>
      </c>
      <c r="D2650" s="3" t="str">
        <f aca="false">Raw_Data!C2650</f>
        <v>married</v>
      </c>
      <c r="E2650" s="3" t="str">
        <f aca="false">Raw_Data!D2650</f>
        <v>secondary</v>
      </c>
      <c r="F2650" s="3" t="str">
        <f aca="false">Raw_Data!E2650</f>
        <v>no</v>
      </c>
      <c r="G2650" s="3" t="n">
        <f aca="false">Raw_Data!F2650</f>
        <v>397</v>
      </c>
      <c r="H2650" s="3" t="str">
        <f aca="false">Raw_Data!G2650</f>
        <v>yes</v>
      </c>
      <c r="I2650" s="3" t="str">
        <f aca="false">Raw_Data!H2650</f>
        <v>no</v>
      </c>
      <c r="J2650" s="2" t="n">
        <f aca="false">IF(F2650="yes",1,0)</f>
        <v>0</v>
      </c>
      <c r="K2650" s="2" t="n">
        <f aca="false">IF(H2650="yes",1,0)</f>
        <v>1</v>
      </c>
      <c r="L2650" s="2" t="n">
        <f aca="false">IF(I2650="yes",1,0)</f>
        <v>0</v>
      </c>
      <c r="M2650" s="2" t="n">
        <f aca="false">IF(G2650&lt;0,1,0)</f>
        <v>0</v>
      </c>
      <c r="N2650" s="2" t="str">
        <f aca="false">_xlfn.IFS(B2650&lt;30,"Under 30",B2650&lt;40,"30-39",B2650&lt;50,"40-49",B2650&lt;60,"50-59",TRUE(),"60+")</f>
        <v>50-59</v>
      </c>
      <c r="O2650" s="2" t="str">
        <f aca="false">_xlfn.IFS(G2650&lt;0,"1 Negative",G2650=0,"2 Zero",G2650&lt;=500,"3 1-500",G2650&lt;=2000,"4 501-2000",TRUE(),"5 Above 2000")</f>
        <v>3 1-500</v>
      </c>
      <c r="P2650" s="2" t="n">
        <f aca="false">Lookups!$B$2*M2650+Lookups!$B$3*L2650</f>
        <v>0</v>
      </c>
      <c r="Q2650" s="2" t="str">
        <f aca="false">INDEX(Lookups!$E$2:$E$5,MATCH(P2650,Lookups!$D$2:$D$5,0))</f>
        <v>Low</v>
      </c>
    </row>
    <row r="2651" customFormat="false" ht="15" hidden="false" customHeight="false" outlineLevel="0" collapsed="false">
      <c r="A2651" s="3" t="n">
        <v>2650</v>
      </c>
      <c r="B2651" s="3" t="n">
        <f aca="false">Raw_Data!A2651</f>
        <v>33</v>
      </c>
      <c r="C2651" s="3" t="str">
        <f aca="false">SUBSTITUTE(Raw_Data!B2651,".","")</f>
        <v>blue-collar</v>
      </c>
      <c r="D2651" s="3" t="str">
        <f aca="false">Raw_Data!C2651</f>
        <v>married</v>
      </c>
      <c r="E2651" s="3" t="str">
        <f aca="false">Raw_Data!D2651</f>
        <v>secondary</v>
      </c>
      <c r="F2651" s="3" t="str">
        <f aca="false">Raw_Data!E2651</f>
        <v>no</v>
      </c>
      <c r="G2651" s="3" t="n">
        <f aca="false">Raw_Data!F2651</f>
        <v>640</v>
      </c>
      <c r="H2651" s="3" t="str">
        <f aca="false">Raw_Data!G2651</f>
        <v>yes</v>
      </c>
      <c r="I2651" s="3" t="str">
        <f aca="false">Raw_Data!H2651</f>
        <v>no</v>
      </c>
      <c r="J2651" s="2" t="n">
        <f aca="false">IF(F2651="yes",1,0)</f>
        <v>0</v>
      </c>
      <c r="K2651" s="2" t="n">
        <f aca="false">IF(H2651="yes",1,0)</f>
        <v>1</v>
      </c>
      <c r="L2651" s="2" t="n">
        <f aca="false">IF(I2651="yes",1,0)</f>
        <v>0</v>
      </c>
      <c r="M2651" s="2" t="n">
        <f aca="false">IF(G2651&lt;0,1,0)</f>
        <v>0</v>
      </c>
      <c r="N2651" s="2" t="str">
        <f aca="false">_xlfn.IFS(B2651&lt;30,"Under 30",B2651&lt;40,"30-39",B2651&lt;50,"40-49",B2651&lt;60,"50-59",TRUE(),"60+")</f>
        <v>30-39</v>
      </c>
      <c r="O2651" s="2" t="str">
        <f aca="false">_xlfn.IFS(G2651&lt;0,"1 Negative",G2651=0,"2 Zero",G2651&lt;=500,"3 1-500",G2651&lt;=2000,"4 501-2000",TRUE(),"5 Above 2000")</f>
        <v>4 501-2000</v>
      </c>
      <c r="P2651" s="2" t="n">
        <f aca="false">Lookups!$B$2*M2651+Lookups!$B$3*L2651</f>
        <v>0</v>
      </c>
      <c r="Q2651" s="2" t="str">
        <f aca="false">INDEX(Lookups!$E$2:$E$5,MATCH(P2651,Lookups!$D$2:$D$5,0))</f>
        <v>Low</v>
      </c>
    </row>
    <row r="2652" customFormat="false" ht="15" hidden="false" customHeight="false" outlineLevel="0" collapsed="false">
      <c r="A2652" s="3" t="n">
        <v>2651</v>
      </c>
      <c r="B2652" s="3" t="n">
        <f aca="false">Raw_Data!A2652</f>
        <v>54</v>
      </c>
      <c r="C2652" s="3" t="str">
        <f aca="false">SUBSTITUTE(Raw_Data!B2652,".","")</f>
        <v>services</v>
      </c>
      <c r="D2652" s="3" t="str">
        <f aca="false">Raw_Data!C2652</f>
        <v>married</v>
      </c>
      <c r="E2652" s="3" t="str">
        <f aca="false">Raw_Data!D2652</f>
        <v>secondary</v>
      </c>
      <c r="F2652" s="3" t="str">
        <f aca="false">Raw_Data!E2652</f>
        <v>no</v>
      </c>
      <c r="G2652" s="3" t="n">
        <f aca="false">Raw_Data!F2652</f>
        <v>158</v>
      </c>
      <c r="H2652" s="3" t="str">
        <f aca="false">Raw_Data!G2652</f>
        <v>yes</v>
      </c>
      <c r="I2652" s="3" t="str">
        <f aca="false">Raw_Data!H2652</f>
        <v>no</v>
      </c>
      <c r="J2652" s="2" t="n">
        <f aca="false">IF(F2652="yes",1,0)</f>
        <v>0</v>
      </c>
      <c r="K2652" s="2" t="n">
        <f aca="false">IF(H2652="yes",1,0)</f>
        <v>1</v>
      </c>
      <c r="L2652" s="2" t="n">
        <f aca="false">IF(I2652="yes",1,0)</f>
        <v>0</v>
      </c>
      <c r="M2652" s="2" t="n">
        <f aca="false">IF(G2652&lt;0,1,0)</f>
        <v>0</v>
      </c>
      <c r="N2652" s="2" t="str">
        <f aca="false">_xlfn.IFS(B2652&lt;30,"Under 30",B2652&lt;40,"30-39",B2652&lt;50,"40-49",B2652&lt;60,"50-59",TRUE(),"60+")</f>
        <v>50-59</v>
      </c>
      <c r="O2652" s="2" t="str">
        <f aca="false">_xlfn.IFS(G2652&lt;0,"1 Negative",G2652=0,"2 Zero",G2652&lt;=500,"3 1-500",G2652&lt;=2000,"4 501-2000",TRUE(),"5 Above 2000")</f>
        <v>3 1-500</v>
      </c>
      <c r="P2652" s="2" t="n">
        <f aca="false">Lookups!$B$2*M2652+Lookups!$B$3*L2652</f>
        <v>0</v>
      </c>
      <c r="Q2652" s="2" t="str">
        <f aca="false">INDEX(Lookups!$E$2:$E$5,MATCH(P2652,Lookups!$D$2:$D$5,0))</f>
        <v>Low</v>
      </c>
    </row>
    <row r="2653" customFormat="false" ht="15" hidden="false" customHeight="false" outlineLevel="0" collapsed="false">
      <c r="A2653" s="3" t="n">
        <v>2652</v>
      </c>
      <c r="B2653" s="3" t="n">
        <f aca="false">Raw_Data!A2653</f>
        <v>44</v>
      </c>
      <c r="C2653" s="3" t="str">
        <f aca="false">SUBSTITUTE(Raw_Data!B2653,".","")</f>
        <v>management</v>
      </c>
      <c r="D2653" s="3" t="str">
        <f aca="false">Raw_Data!C2653</f>
        <v>married</v>
      </c>
      <c r="E2653" s="3" t="str">
        <f aca="false">Raw_Data!D2653</f>
        <v>secondary</v>
      </c>
      <c r="F2653" s="3" t="str">
        <f aca="false">Raw_Data!E2653</f>
        <v>no</v>
      </c>
      <c r="G2653" s="3" t="n">
        <f aca="false">Raw_Data!F2653</f>
        <v>2984</v>
      </c>
      <c r="H2653" s="3" t="str">
        <f aca="false">Raw_Data!G2653</f>
        <v>yes</v>
      </c>
      <c r="I2653" s="3" t="str">
        <f aca="false">Raw_Data!H2653</f>
        <v>no</v>
      </c>
      <c r="J2653" s="2" t="n">
        <f aca="false">IF(F2653="yes",1,0)</f>
        <v>0</v>
      </c>
      <c r="K2653" s="2" t="n">
        <f aca="false">IF(H2653="yes",1,0)</f>
        <v>1</v>
      </c>
      <c r="L2653" s="2" t="n">
        <f aca="false">IF(I2653="yes",1,0)</f>
        <v>0</v>
      </c>
      <c r="M2653" s="2" t="n">
        <f aca="false">IF(G2653&lt;0,1,0)</f>
        <v>0</v>
      </c>
      <c r="N2653" s="2" t="str">
        <f aca="false">_xlfn.IFS(B2653&lt;30,"Under 30",B2653&lt;40,"30-39",B2653&lt;50,"40-49",B2653&lt;60,"50-59",TRUE(),"60+")</f>
        <v>40-49</v>
      </c>
      <c r="O2653" s="2" t="str">
        <f aca="false">_xlfn.IFS(G2653&lt;0,"1 Negative",G2653=0,"2 Zero",G2653&lt;=500,"3 1-500",G2653&lt;=2000,"4 501-2000",TRUE(),"5 Above 2000")</f>
        <v>5 Above 2000</v>
      </c>
      <c r="P2653" s="2" t="n">
        <f aca="false">Lookups!$B$2*M2653+Lookups!$B$3*L2653</f>
        <v>0</v>
      </c>
      <c r="Q2653" s="2" t="str">
        <f aca="false">INDEX(Lookups!$E$2:$E$5,MATCH(P2653,Lookups!$D$2:$D$5,0))</f>
        <v>Low</v>
      </c>
    </row>
    <row r="2654" customFormat="false" ht="15" hidden="false" customHeight="false" outlineLevel="0" collapsed="false">
      <c r="A2654" s="3" t="n">
        <v>2653</v>
      </c>
      <c r="B2654" s="3" t="n">
        <f aca="false">Raw_Data!A2654</f>
        <v>50</v>
      </c>
      <c r="C2654" s="3" t="str">
        <f aca="false">SUBSTITUTE(Raw_Data!B2654,".","")</f>
        <v>entrepreneur</v>
      </c>
      <c r="D2654" s="3" t="str">
        <f aca="false">Raw_Data!C2654</f>
        <v>married</v>
      </c>
      <c r="E2654" s="3" t="str">
        <f aca="false">Raw_Data!D2654</f>
        <v>secondary</v>
      </c>
      <c r="F2654" s="3" t="str">
        <f aca="false">Raw_Data!E2654</f>
        <v>no</v>
      </c>
      <c r="G2654" s="3" t="n">
        <f aca="false">Raw_Data!F2654</f>
        <v>1011</v>
      </c>
      <c r="H2654" s="3" t="str">
        <f aca="false">Raw_Data!G2654</f>
        <v>yes</v>
      </c>
      <c r="I2654" s="3" t="str">
        <f aca="false">Raw_Data!H2654</f>
        <v>no</v>
      </c>
      <c r="J2654" s="2" t="n">
        <f aca="false">IF(F2654="yes",1,0)</f>
        <v>0</v>
      </c>
      <c r="K2654" s="2" t="n">
        <f aca="false">IF(H2654="yes",1,0)</f>
        <v>1</v>
      </c>
      <c r="L2654" s="2" t="n">
        <f aca="false">IF(I2654="yes",1,0)</f>
        <v>0</v>
      </c>
      <c r="M2654" s="2" t="n">
        <f aca="false">IF(G2654&lt;0,1,0)</f>
        <v>0</v>
      </c>
      <c r="N2654" s="2" t="str">
        <f aca="false">_xlfn.IFS(B2654&lt;30,"Under 30",B2654&lt;40,"30-39",B2654&lt;50,"40-49",B2654&lt;60,"50-59",TRUE(),"60+")</f>
        <v>50-59</v>
      </c>
      <c r="O2654" s="2" t="str">
        <f aca="false">_xlfn.IFS(G2654&lt;0,"1 Negative",G2654=0,"2 Zero",G2654&lt;=500,"3 1-500",G2654&lt;=2000,"4 501-2000",TRUE(),"5 Above 2000")</f>
        <v>4 501-2000</v>
      </c>
      <c r="P2654" s="2" t="n">
        <f aca="false">Lookups!$B$2*M2654+Lookups!$B$3*L2654</f>
        <v>0</v>
      </c>
      <c r="Q2654" s="2" t="str">
        <f aca="false">INDEX(Lookups!$E$2:$E$5,MATCH(P2654,Lookups!$D$2:$D$5,0))</f>
        <v>Low</v>
      </c>
    </row>
    <row r="2655" customFormat="false" ht="15" hidden="false" customHeight="false" outlineLevel="0" collapsed="false">
      <c r="A2655" s="3" t="n">
        <v>2654</v>
      </c>
      <c r="B2655" s="3" t="n">
        <f aca="false">Raw_Data!A2655</f>
        <v>45</v>
      </c>
      <c r="C2655" s="3" t="str">
        <f aca="false">SUBSTITUTE(Raw_Data!B2655,".","")</f>
        <v>blue-collar</v>
      </c>
      <c r="D2655" s="3" t="str">
        <f aca="false">Raw_Data!C2655</f>
        <v>single</v>
      </c>
      <c r="E2655" s="3" t="str">
        <f aca="false">Raw_Data!D2655</f>
        <v>secondary</v>
      </c>
      <c r="F2655" s="3" t="str">
        <f aca="false">Raw_Data!E2655</f>
        <v>no</v>
      </c>
      <c r="G2655" s="3" t="n">
        <f aca="false">Raw_Data!F2655</f>
        <v>0</v>
      </c>
      <c r="H2655" s="3" t="str">
        <f aca="false">Raw_Data!G2655</f>
        <v>yes</v>
      </c>
      <c r="I2655" s="3" t="str">
        <f aca="false">Raw_Data!H2655</f>
        <v>no</v>
      </c>
      <c r="J2655" s="2" t="n">
        <f aca="false">IF(F2655="yes",1,0)</f>
        <v>0</v>
      </c>
      <c r="K2655" s="2" t="n">
        <f aca="false">IF(H2655="yes",1,0)</f>
        <v>1</v>
      </c>
      <c r="L2655" s="2" t="n">
        <f aca="false">IF(I2655="yes",1,0)</f>
        <v>0</v>
      </c>
      <c r="M2655" s="2" t="n">
        <f aca="false">IF(G2655&lt;0,1,0)</f>
        <v>0</v>
      </c>
      <c r="N2655" s="2" t="str">
        <f aca="false">_xlfn.IFS(B2655&lt;30,"Under 30",B2655&lt;40,"30-39",B2655&lt;50,"40-49",B2655&lt;60,"50-59",TRUE(),"60+")</f>
        <v>40-49</v>
      </c>
      <c r="O2655" s="2" t="str">
        <f aca="false">_xlfn.IFS(G2655&lt;0,"1 Negative",G2655=0,"2 Zero",G2655&lt;=500,"3 1-500",G2655&lt;=2000,"4 501-2000",TRUE(),"5 Above 2000")</f>
        <v>2 Zero</v>
      </c>
      <c r="P2655" s="2" t="n">
        <f aca="false">Lookups!$B$2*M2655+Lookups!$B$3*L2655</f>
        <v>0</v>
      </c>
      <c r="Q2655" s="2" t="str">
        <f aca="false">INDEX(Lookups!$E$2:$E$5,MATCH(P2655,Lookups!$D$2:$D$5,0))</f>
        <v>Low</v>
      </c>
    </row>
    <row r="2656" customFormat="false" ht="15" hidden="false" customHeight="false" outlineLevel="0" collapsed="false">
      <c r="A2656" s="3" t="n">
        <v>2655</v>
      </c>
      <c r="B2656" s="3" t="n">
        <f aca="false">Raw_Data!A2656</f>
        <v>36</v>
      </c>
      <c r="C2656" s="3" t="str">
        <f aca="false">SUBSTITUTE(Raw_Data!B2656,".","")</f>
        <v>management</v>
      </c>
      <c r="D2656" s="3" t="str">
        <f aca="false">Raw_Data!C2656</f>
        <v>married</v>
      </c>
      <c r="E2656" s="3" t="str">
        <f aca="false">Raw_Data!D2656</f>
        <v>tertiary</v>
      </c>
      <c r="F2656" s="3" t="str">
        <f aca="false">Raw_Data!E2656</f>
        <v>no</v>
      </c>
      <c r="G2656" s="3" t="n">
        <f aca="false">Raw_Data!F2656</f>
        <v>1133</v>
      </c>
      <c r="H2656" s="3" t="str">
        <f aca="false">Raw_Data!G2656</f>
        <v>yes</v>
      </c>
      <c r="I2656" s="3" t="str">
        <f aca="false">Raw_Data!H2656</f>
        <v>no</v>
      </c>
      <c r="J2656" s="2" t="n">
        <f aca="false">IF(F2656="yes",1,0)</f>
        <v>0</v>
      </c>
      <c r="K2656" s="2" t="n">
        <f aca="false">IF(H2656="yes",1,0)</f>
        <v>1</v>
      </c>
      <c r="L2656" s="2" t="n">
        <f aca="false">IF(I2656="yes",1,0)</f>
        <v>0</v>
      </c>
      <c r="M2656" s="2" t="n">
        <f aca="false">IF(G2656&lt;0,1,0)</f>
        <v>0</v>
      </c>
      <c r="N2656" s="2" t="str">
        <f aca="false">_xlfn.IFS(B2656&lt;30,"Under 30",B2656&lt;40,"30-39",B2656&lt;50,"40-49",B2656&lt;60,"50-59",TRUE(),"60+")</f>
        <v>30-39</v>
      </c>
      <c r="O2656" s="2" t="str">
        <f aca="false">_xlfn.IFS(G2656&lt;0,"1 Negative",G2656=0,"2 Zero",G2656&lt;=500,"3 1-500",G2656&lt;=2000,"4 501-2000",TRUE(),"5 Above 2000")</f>
        <v>4 501-2000</v>
      </c>
      <c r="P2656" s="2" t="n">
        <f aca="false">Lookups!$B$2*M2656+Lookups!$B$3*L2656</f>
        <v>0</v>
      </c>
      <c r="Q2656" s="2" t="str">
        <f aca="false">INDEX(Lookups!$E$2:$E$5,MATCH(P2656,Lookups!$D$2:$D$5,0))</f>
        <v>Low</v>
      </c>
    </row>
    <row r="2657" customFormat="false" ht="15" hidden="false" customHeight="false" outlineLevel="0" collapsed="false">
      <c r="A2657" s="3" t="n">
        <v>2656</v>
      </c>
      <c r="B2657" s="3" t="n">
        <f aca="false">Raw_Data!A2657</f>
        <v>42</v>
      </c>
      <c r="C2657" s="3" t="str">
        <f aca="false">SUBSTITUTE(Raw_Data!B2657,".","")</f>
        <v>technician</v>
      </c>
      <c r="D2657" s="3" t="str">
        <f aca="false">Raw_Data!C2657</f>
        <v>married</v>
      </c>
      <c r="E2657" s="3" t="str">
        <f aca="false">Raw_Data!D2657</f>
        <v>secondary</v>
      </c>
      <c r="F2657" s="3" t="str">
        <f aca="false">Raw_Data!E2657</f>
        <v>no</v>
      </c>
      <c r="G2657" s="3" t="n">
        <f aca="false">Raw_Data!F2657</f>
        <v>4945</v>
      </c>
      <c r="H2657" s="3" t="str">
        <f aca="false">Raw_Data!G2657</f>
        <v>yes</v>
      </c>
      <c r="I2657" s="3" t="str">
        <f aca="false">Raw_Data!H2657</f>
        <v>no</v>
      </c>
      <c r="J2657" s="2" t="n">
        <f aca="false">IF(F2657="yes",1,0)</f>
        <v>0</v>
      </c>
      <c r="K2657" s="2" t="n">
        <f aca="false">IF(H2657="yes",1,0)</f>
        <v>1</v>
      </c>
      <c r="L2657" s="2" t="n">
        <f aca="false">IF(I2657="yes",1,0)</f>
        <v>0</v>
      </c>
      <c r="M2657" s="2" t="n">
        <f aca="false">IF(G2657&lt;0,1,0)</f>
        <v>0</v>
      </c>
      <c r="N2657" s="2" t="str">
        <f aca="false">_xlfn.IFS(B2657&lt;30,"Under 30",B2657&lt;40,"30-39",B2657&lt;50,"40-49",B2657&lt;60,"50-59",TRUE(),"60+")</f>
        <v>40-49</v>
      </c>
      <c r="O2657" s="2" t="str">
        <f aca="false">_xlfn.IFS(G2657&lt;0,"1 Negative",G2657=0,"2 Zero",G2657&lt;=500,"3 1-500",G2657&lt;=2000,"4 501-2000",TRUE(),"5 Above 2000")</f>
        <v>5 Above 2000</v>
      </c>
      <c r="P2657" s="2" t="n">
        <f aca="false">Lookups!$B$2*M2657+Lookups!$B$3*L2657</f>
        <v>0</v>
      </c>
      <c r="Q2657" s="2" t="str">
        <f aca="false">INDEX(Lookups!$E$2:$E$5,MATCH(P2657,Lookups!$D$2:$D$5,0))</f>
        <v>Low</v>
      </c>
    </row>
    <row r="2658" customFormat="false" ht="15" hidden="false" customHeight="false" outlineLevel="0" collapsed="false">
      <c r="A2658" s="3" t="n">
        <v>2657</v>
      </c>
      <c r="B2658" s="3" t="n">
        <f aca="false">Raw_Data!A2658</f>
        <v>37</v>
      </c>
      <c r="C2658" s="3" t="str">
        <f aca="false">SUBSTITUTE(Raw_Data!B2658,".","")</f>
        <v>technician</v>
      </c>
      <c r="D2658" s="3" t="str">
        <f aca="false">Raw_Data!C2658</f>
        <v>married</v>
      </c>
      <c r="E2658" s="3" t="str">
        <f aca="false">Raw_Data!D2658</f>
        <v>secondary</v>
      </c>
      <c r="F2658" s="3" t="str">
        <f aca="false">Raw_Data!E2658</f>
        <v>no</v>
      </c>
      <c r="G2658" s="3" t="n">
        <f aca="false">Raw_Data!F2658</f>
        <v>712</v>
      </c>
      <c r="H2658" s="3" t="str">
        <f aca="false">Raw_Data!G2658</f>
        <v>yes</v>
      </c>
      <c r="I2658" s="3" t="str">
        <f aca="false">Raw_Data!H2658</f>
        <v>no</v>
      </c>
      <c r="J2658" s="2" t="n">
        <f aca="false">IF(F2658="yes",1,0)</f>
        <v>0</v>
      </c>
      <c r="K2658" s="2" t="n">
        <f aca="false">IF(H2658="yes",1,0)</f>
        <v>1</v>
      </c>
      <c r="L2658" s="2" t="n">
        <f aca="false">IF(I2658="yes",1,0)</f>
        <v>0</v>
      </c>
      <c r="M2658" s="2" t="n">
        <f aca="false">IF(G2658&lt;0,1,0)</f>
        <v>0</v>
      </c>
      <c r="N2658" s="2" t="str">
        <f aca="false">_xlfn.IFS(B2658&lt;30,"Under 30",B2658&lt;40,"30-39",B2658&lt;50,"40-49",B2658&lt;60,"50-59",TRUE(),"60+")</f>
        <v>30-39</v>
      </c>
      <c r="O2658" s="2" t="str">
        <f aca="false">_xlfn.IFS(G2658&lt;0,"1 Negative",G2658=0,"2 Zero",G2658&lt;=500,"3 1-500",G2658&lt;=2000,"4 501-2000",TRUE(),"5 Above 2000")</f>
        <v>4 501-2000</v>
      </c>
      <c r="P2658" s="2" t="n">
        <f aca="false">Lookups!$B$2*M2658+Lookups!$B$3*L2658</f>
        <v>0</v>
      </c>
      <c r="Q2658" s="2" t="str">
        <f aca="false">INDEX(Lookups!$E$2:$E$5,MATCH(P2658,Lookups!$D$2:$D$5,0))</f>
        <v>Low</v>
      </c>
    </row>
    <row r="2659" customFormat="false" ht="15" hidden="false" customHeight="false" outlineLevel="0" collapsed="false">
      <c r="A2659" s="3" t="n">
        <v>2658</v>
      </c>
      <c r="B2659" s="3" t="n">
        <f aca="false">Raw_Data!A2659</f>
        <v>28</v>
      </c>
      <c r="C2659" s="3" t="str">
        <f aca="false">SUBSTITUTE(Raw_Data!B2659,".","")</f>
        <v>services</v>
      </c>
      <c r="D2659" s="3" t="str">
        <f aca="false">Raw_Data!C2659</f>
        <v>single</v>
      </c>
      <c r="E2659" s="3" t="str">
        <f aca="false">Raw_Data!D2659</f>
        <v>secondary</v>
      </c>
      <c r="F2659" s="3" t="str">
        <f aca="false">Raw_Data!E2659</f>
        <v>no</v>
      </c>
      <c r="G2659" s="3" t="n">
        <f aca="false">Raw_Data!F2659</f>
        <v>-427</v>
      </c>
      <c r="H2659" s="3" t="str">
        <f aca="false">Raw_Data!G2659</f>
        <v>yes</v>
      </c>
      <c r="I2659" s="3" t="str">
        <f aca="false">Raw_Data!H2659</f>
        <v>yes</v>
      </c>
      <c r="J2659" s="2" t="n">
        <f aca="false">IF(F2659="yes",1,0)</f>
        <v>0</v>
      </c>
      <c r="K2659" s="2" t="n">
        <f aca="false">IF(H2659="yes",1,0)</f>
        <v>1</v>
      </c>
      <c r="L2659" s="2" t="n">
        <f aca="false">IF(I2659="yes",1,0)</f>
        <v>1</v>
      </c>
      <c r="M2659" s="2" t="n">
        <f aca="false">IF(G2659&lt;0,1,0)</f>
        <v>1</v>
      </c>
      <c r="N2659" s="2" t="str">
        <f aca="false">_xlfn.IFS(B2659&lt;30,"Under 30",B2659&lt;40,"30-39",B2659&lt;50,"40-49",B2659&lt;60,"50-59",TRUE(),"60+")</f>
        <v>Under 30</v>
      </c>
      <c r="O2659" s="2" t="str">
        <f aca="false">_xlfn.IFS(G2659&lt;0,"1 Negative",G2659=0,"2 Zero",G2659&lt;=500,"3 1-500",G2659&lt;=2000,"4 501-2000",TRUE(),"5 Above 2000")</f>
        <v>1 Negative</v>
      </c>
      <c r="P2659" s="2" t="n">
        <f aca="false">Lookups!$B$2*M2659+Lookups!$B$3*L2659</f>
        <v>3</v>
      </c>
      <c r="Q2659" s="2" t="str">
        <f aca="false">INDEX(Lookups!$E$2:$E$5,MATCH(P2659,Lookups!$D$2:$D$5,0))</f>
        <v>High</v>
      </c>
    </row>
    <row r="2660" customFormat="false" ht="15" hidden="false" customHeight="false" outlineLevel="0" collapsed="false">
      <c r="A2660" s="3" t="n">
        <v>2659</v>
      </c>
      <c r="B2660" s="3" t="n">
        <f aca="false">Raw_Data!A2660</f>
        <v>56</v>
      </c>
      <c r="C2660" s="3" t="str">
        <f aca="false">SUBSTITUTE(Raw_Data!B2660,".","")</f>
        <v>admin</v>
      </c>
      <c r="D2660" s="3" t="str">
        <f aca="false">Raw_Data!C2660</f>
        <v>married</v>
      </c>
      <c r="E2660" s="3" t="str">
        <f aca="false">Raw_Data!D2660</f>
        <v>secondary</v>
      </c>
      <c r="F2660" s="3" t="str">
        <f aca="false">Raw_Data!E2660</f>
        <v>no</v>
      </c>
      <c r="G2660" s="3" t="n">
        <f aca="false">Raw_Data!F2660</f>
        <v>2146</v>
      </c>
      <c r="H2660" s="3" t="str">
        <f aca="false">Raw_Data!G2660</f>
        <v>no</v>
      </c>
      <c r="I2660" s="3" t="str">
        <f aca="false">Raw_Data!H2660</f>
        <v>yes</v>
      </c>
      <c r="J2660" s="2" t="n">
        <f aca="false">IF(F2660="yes",1,0)</f>
        <v>0</v>
      </c>
      <c r="K2660" s="2" t="n">
        <f aca="false">IF(H2660="yes",1,0)</f>
        <v>0</v>
      </c>
      <c r="L2660" s="2" t="n">
        <f aca="false">IF(I2660="yes",1,0)</f>
        <v>1</v>
      </c>
      <c r="M2660" s="2" t="n">
        <f aca="false">IF(G2660&lt;0,1,0)</f>
        <v>0</v>
      </c>
      <c r="N2660" s="2" t="str">
        <f aca="false">_xlfn.IFS(B2660&lt;30,"Under 30",B2660&lt;40,"30-39",B2660&lt;50,"40-49",B2660&lt;60,"50-59",TRUE(),"60+")</f>
        <v>50-59</v>
      </c>
      <c r="O2660" s="2" t="str">
        <f aca="false">_xlfn.IFS(G2660&lt;0,"1 Negative",G2660=0,"2 Zero",G2660&lt;=500,"3 1-500",G2660&lt;=2000,"4 501-2000",TRUE(),"5 Above 2000")</f>
        <v>5 Above 2000</v>
      </c>
      <c r="P2660" s="2" t="n">
        <f aca="false">Lookups!$B$2*M2660+Lookups!$B$3*L2660</f>
        <v>1</v>
      </c>
      <c r="Q2660" s="2" t="str">
        <f aca="false">INDEX(Lookups!$E$2:$E$5,MATCH(P2660,Lookups!$D$2:$D$5,0))</f>
        <v>Medium</v>
      </c>
    </row>
    <row r="2661" customFormat="false" ht="15" hidden="false" customHeight="false" outlineLevel="0" collapsed="false">
      <c r="A2661" s="3" t="n">
        <v>2660</v>
      </c>
      <c r="B2661" s="3" t="n">
        <f aca="false">Raw_Data!A2661</f>
        <v>59</v>
      </c>
      <c r="C2661" s="3" t="str">
        <f aca="false">SUBSTITUTE(Raw_Data!B2661,".","")</f>
        <v>admin</v>
      </c>
      <c r="D2661" s="3" t="str">
        <f aca="false">Raw_Data!C2661</f>
        <v>married</v>
      </c>
      <c r="E2661" s="3" t="str">
        <f aca="false">Raw_Data!D2661</f>
        <v>secondary</v>
      </c>
      <c r="F2661" s="3" t="str">
        <f aca="false">Raw_Data!E2661</f>
        <v>no</v>
      </c>
      <c r="G2661" s="3" t="n">
        <f aca="false">Raw_Data!F2661</f>
        <v>92</v>
      </c>
      <c r="H2661" s="3" t="str">
        <f aca="false">Raw_Data!G2661</f>
        <v>yes</v>
      </c>
      <c r="I2661" s="3" t="str">
        <f aca="false">Raw_Data!H2661</f>
        <v>no</v>
      </c>
      <c r="J2661" s="2" t="n">
        <f aca="false">IF(F2661="yes",1,0)</f>
        <v>0</v>
      </c>
      <c r="K2661" s="2" t="n">
        <f aca="false">IF(H2661="yes",1,0)</f>
        <v>1</v>
      </c>
      <c r="L2661" s="2" t="n">
        <f aca="false">IF(I2661="yes",1,0)</f>
        <v>0</v>
      </c>
      <c r="M2661" s="2" t="n">
        <f aca="false">IF(G2661&lt;0,1,0)</f>
        <v>0</v>
      </c>
      <c r="N2661" s="2" t="str">
        <f aca="false">_xlfn.IFS(B2661&lt;30,"Under 30",B2661&lt;40,"30-39",B2661&lt;50,"40-49",B2661&lt;60,"50-59",TRUE(),"60+")</f>
        <v>50-59</v>
      </c>
      <c r="O2661" s="2" t="str">
        <f aca="false">_xlfn.IFS(G2661&lt;0,"1 Negative",G2661=0,"2 Zero",G2661&lt;=500,"3 1-500",G2661&lt;=2000,"4 501-2000",TRUE(),"5 Above 2000")</f>
        <v>3 1-500</v>
      </c>
      <c r="P2661" s="2" t="n">
        <f aca="false">Lookups!$B$2*M2661+Lookups!$B$3*L2661</f>
        <v>0</v>
      </c>
      <c r="Q2661" s="2" t="str">
        <f aca="false">INDEX(Lookups!$E$2:$E$5,MATCH(P2661,Lookups!$D$2:$D$5,0))</f>
        <v>Low</v>
      </c>
    </row>
    <row r="2662" customFormat="false" ht="15" hidden="false" customHeight="false" outlineLevel="0" collapsed="false">
      <c r="A2662" s="3" t="n">
        <v>2661</v>
      </c>
      <c r="B2662" s="3" t="n">
        <f aca="false">Raw_Data!A2662</f>
        <v>32</v>
      </c>
      <c r="C2662" s="3" t="str">
        <f aca="false">SUBSTITUTE(Raw_Data!B2662,".","")</f>
        <v>unemployed</v>
      </c>
      <c r="D2662" s="3" t="str">
        <f aca="false">Raw_Data!C2662</f>
        <v>married</v>
      </c>
      <c r="E2662" s="3" t="str">
        <f aca="false">Raw_Data!D2662</f>
        <v>secondary</v>
      </c>
      <c r="F2662" s="3" t="str">
        <f aca="false">Raw_Data!E2662</f>
        <v>no</v>
      </c>
      <c r="G2662" s="3" t="n">
        <f aca="false">Raw_Data!F2662</f>
        <v>10</v>
      </c>
      <c r="H2662" s="3" t="str">
        <f aca="false">Raw_Data!G2662</f>
        <v>yes</v>
      </c>
      <c r="I2662" s="3" t="str">
        <f aca="false">Raw_Data!H2662</f>
        <v>no</v>
      </c>
      <c r="J2662" s="2" t="n">
        <f aca="false">IF(F2662="yes",1,0)</f>
        <v>0</v>
      </c>
      <c r="K2662" s="2" t="n">
        <f aca="false">IF(H2662="yes",1,0)</f>
        <v>1</v>
      </c>
      <c r="L2662" s="2" t="n">
        <f aca="false">IF(I2662="yes",1,0)</f>
        <v>0</v>
      </c>
      <c r="M2662" s="2" t="n">
        <f aca="false">IF(G2662&lt;0,1,0)</f>
        <v>0</v>
      </c>
      <c r="N2662" s="2" t="str">
        <f aca="false">_xlfn.IFS(B2662&lt;30,"Under 30",B2662&lt;40,"30-39",B2662&lt;50,"40-49",B2662&lt;60,"50-59",TRUE(),"60+")</f>
        <v>30-39</v>
      </c>
      <c r="O2662" s="2" t="str">
        <f aca="false">_xlfn.IFS(G2662&lt;0,"1 Negative",G2662=0,"2 Zero",G2662&lt;=500,"3 1-500",G2662&lt;=2000,"4 501-2000",TRUE(),"5 Above 2000")</f>
        <v>3 1-500</v>
      </c>
      <c r="P2662" s="2" t="n">
        <f aca="false">Lookups!$B$2*M2662+Lookups!$B$3*L2662</f>
        <v>0</v>
      </c>
      <c r="Q2662" s="2" t="str">
        <f aca="false">INDEX(Lookups!$E$2:$E$5,MATCH(P2662,Lookups!$D$2:$D$5,0))</f>
        <v>Low</v>
      </c>
    </row>
    <row r="2663" customFormat="false" ht="15" hidden="false" customHeight="false" outlineLevel="0" collapsed="false">
      <c r="A2663" s="3" t="n">
        <v>2662</v>
      </c>
      <c r="B2663" s="3" t="n">
        <f aca="false">Raw_Data!A2663</f>
        <v>57</v>
      </c>
      <c r="C2663" s="3" t="str">
        <f aca="false">SUBSTITUTE(Raw_Data!B2663,".","")</f>
        <v>retired</v>
      </c>
      <c r="D2663" s="3" t="str">
        <f aca="false">Raw_Data!C2663</f>
        <v>married</v>
      </c>
      <c r="E2663" s="3" t="str">
        <f aca="false">Raw_Data!D2663</f>
        <v>primary</v>
      </c>
      <c r="F2663" s="3" t="str">
        <f aca="false">Raw_Data!E2663</f>
        <v>no</v>
      </c>
      <c r="G2663" s="3" t="n">
        <f aca="false">Raw_Data!F2663</f>
        <v>1238</v>
      </c>
      <c r="H2663" s="3" t="str">
        <f aca="false">Raw_Data!G2663</f>
        <v>yes</v>
      </c>
      <c r="I2663" s="3" t="str">
        <f aca="false">Raw_Data!H2663</f>
        <v>no</v>
      </c>
      <c r="J2663" s="2" t="n">
        <f aca="false">IF(F2663="yes",1,0)</f>
        <v>0</v>
      </c>
      <c r="K2663" s="2" t="n">
        <f aca="false">IF(H2663="yes",1,0)</f>
        <v>1</v>
      </c>
      <c r="L2663" s="2" t="n">
        <f aca="false">IF(I2663="yes",1,0)</f>
        <v>0</v>
      </c>
      <c r="M2663" s="2" t="n">
        <f aca="false">IF(G2663&lt;0,1,0)</f>
        <v>0</v>
      </c>
      <c r="N2663" s="2" t="str">
        <f aca="false">_xlfn.IFS(B2663&lt;30,"Under 30",B2663&lt;40,"30-39",B2663&lt;50,"40-49",B2663&lt;60,"50-59",TRUE(),"60+")</f>
        <v>50-59</v>
      </c>
      <c r="O2663" s="2" t="str">
        <f aca="false">_xlfn.IFS(G2663&lt;0,"1 Negative",G2663=0,"2 Zero",G2663&lt;=500,"3 1-500",G2663&lt;=2000,"4 501-2000",TRUE(),"5 Above 2000")</f>
        <v>4 501-2000</v>
      </c>
      <c r="P2663" s="2" t="n">
        <f aca="false">Lookups!$B$2*M2663+Lookups!$B$3*L2663</f>
        <v>0</v>
      </c>
      <c r="Q2663" s="2" t="str">
        <f aca="false">INDEX(Lookups!$E$2:$E$5,MATCH(P2663,Lookups!$D$2:$D$5,0))</f>
        <v>Low</v>
      </c>
    </row>
    <row r="2664" customFormat="false" ht="15" hidden="false" customHeight="false" outlineLevel="0" collapsed="false">
      <c r="A2664" s="3" t="n">
        <v>2663</v>
      </c>
      <c r="B2664" s="3" t="n">
        <f aca="false">Raw_Data!A2664</f>
        <v>49</v>
      </c>
      <c r="C2664" s="3" t="str">
        <f aca="false">SUBSTITUTE(Raw_Data!B2664,".","")</f>
        <v>admin</v>
      </c>
      <c r="D2664" s="3" t="str">
        <f aca="false">Raw_Data!C2664</f>
        <v>single</v>
      </c>
      <c r="E2664" s="3" t="str">
        <f aca="false">Raw_Data!D2664</f>
        <v>secondary</v>
      </c>
      <c r="F2664" s="3" t="str">
        <f aca="false">Raw_Data!E2664</f>
        <v>no</v>
      </c>
      <c r="G2664" s="3" t="n">
        <f aca="false">Raw_Data!F2664</f>
        <v>981</v>
      </c>
      <c r="H2664" s="3" t="str">
        <f aca="false">Raw_Data!G2664</f>
        <v>yes</v>
      </c>
      <c r="I2664" s="3" t="str">
        <f aca="false">Raw_Data!H2664</f>
        <v>no</v>
      </c>
      <c r="J2664" s="2" t="n">
        <f aca="false">IF(F2664="yes",1,0)</f>
        <v>0</v>
      </c>
      <c r="K2664" s="2" t="n">
        <f aca="false">IF(H2664="yes",1,0)</f>
        <v>1</v>
      </c>
      <c r="L2664" s="2" t="n">
        <f aca="false">IF(I2664="yes",1,0)</f>
        <v>0</v>
      </c>
      <c r="M2664" s="2" t="n">
        <f aca="false">IF(G2664&lt;0,1,0)</f>
        <v>0</v>
      </c>
      <c r="N2664" s="2" t="str">
        <f aca="false">_xlfn.IFS(B2664&lt;30,"Under 30",B2664&lt;40,"30-39",B2664&lt;50,"40-49",B2664&lt;60,"50-59",TRUE(),"60+")</f>
        <v>40-49</v>
      </c>
      <c r="O2664" s="2" t="str">
        <f aca="false">_xlfn.IFS(G2664&lt;0,"1 Negative",G2664=0,"2 Zero",G2664&lt;=500,"3 1-500",G2664&lt;=2000,"4 501-2000",TRUE(),"5 Above 2000")</f>
        <v>4 501-2000</v>
      </c>
      <c r="P2664" s="2" t="n">
        <f aca="false">Lookups!$B$2*M2664+Lookups!$B$3*L2664</f>
        <v>0</v>
      </c>
      <c r="Q2664" s="2" t="str">
        <f aca="false">INDEX(Lookups!$E$2:$E$5,MATCH(P2664,Lookups!$D$2:$D$5,0))</f>
        <v>Low</v>
      </c>
    </row>
    <row r="2665" customFormat="false" ht="15" hidden="false" customHeight="false" outlineLevel="0" collapsed="false">
      <c r="A2665" s="3" t="n">
        <v>2664</v>
      </c>
      <c r="B2665" s="3" t="n">
        <f aca="false">Raw_Data!A2665</f>
        <v>56</v>
      </c>
      <c r="C2665" s="3" t="str">
        <f aca="false">SUBSTITUTE(Raw_Data!B2665,".","")</f>
        <v>entrepreneur</v>
      </c>
      <c r="D2665" s="3" t="str">
        <f aca="false">Raw_Data!C2665</f>
        <v>married</v>
      </c>
      <c r="E2665" s="3" t="str">
        <f aca="false">Raw_Data!D2665</f>
        <v>unknown</v>
      </c>
      <c r="F2665" s="3" t="str">
        <f aca="false">Raw_Data!E2665</f>
        <v>no</v>
      </c>
      <c r="G2665" s="3" t="n">
        <f aca="false">Raw_Data!F2665</f>
        <v>575</v>
      </c>
      <c r="H2665" s="3" t="str">
        <f aca="false">Raw_Data!G2665</f>
        <v>no</v>
      </c>
      <c r="I2665" s="3" t="str">
        <f aca="false">Raw_Data!H2665</f>
        <v>no</v>
      </c>
      <c r="J2665" s="2" t="n">
        <f aca="false">IF(F2665="yes",1,0)</f>
        <v>0</v>
      </c>
      <c r="K2665" s="2" t="n">
        <f aca="false">IF(H2665="yes",1,0)</f>
        <v>0</v>
      </c>
      <c r="L2665" s="2" t="n">
        <f aca="false">IF(I2665="yes",1,0)</f>
        <v>0</v>
      </c>
      <c r="M2665" s="2" t="n">
        <f aca="false">IF(G2665&lt;0,1,0)</f>
        <v>0</v>
      </c>
      <c r="N2665" s="2" t="str">
        <f aca="false">_xlfn.IFS(B2665&lt;30,"Under 30",B2665&lt;40,"30-39",B2665&lt;50,"40-49",B2665&lt;60,"50-59",TRUE(),"60+")</f>
        <v>50-59</v>
      </c>
      <c r="O2665" s="2" t="str">
        <f aca="false">_xlfn.IFS(G2665&lt;0,"1 Negative",G2665=0,"2 Zero",G2665&lt;=500,"3 1-500",G2665&lt;=2000,"4 501-2000",TRUE(),"5 Above 2000")</f>
        <v>4 501-2000</v>
      </c>
      <c r="P2665" s="2" t="n">
        <f aca="false">Lookups!$B$2*M2665+Lookups!$B$3*L2665</f>
        <v>0</v>
      </c>
      <c r="Q2665" s="2" t="str">
        <f aca="false">INDEX(Lookups!$E$2:$E$5,MATCH(P2665,Lookups!$D$2:$D$5,0))</f>
        <v>Low</v>
      </c>
    </row>
    <row r="2666" customFormat="false" ht="15" hidden="false" customHeight="false" outlineLevel="0" collapsed="false">
      <c r="A2666" s="3" t="n">
        <v>2665</v>
      </c>
      <c r="B2666" s="3" t="n">
        <f aca="false">Raw_Data!A2666</f>
        <v>48</v>
      </c>
      <c r="C2666" s="3" t="str">
        <f aca="false">SUBSTITUTE(Raw_Data!B2666,".","")</f>
        <v>admin</v>
      </c>
      <c r="D2666" s="3" t="str">
        <f aca="false">Raw_Data!C2666</f>
        <v>divorced</v>
      </c>
      <c r="E2666" s="3" t="str">
        <f aca="false">Raw_Data!D2666</f>
        <v>unknown</v>
      </c>
      <c r="F2666" s="3" t="str">
        <f aca="false">Raw_Data!E2666</f>
        <v>no</v>
      </c>
      <c r="G2666" s="3" t="n">
        <f aca="false">Raw_Data!F2666</f>
        <v>-70</v>
      </c>
      <c r="H2666" s="3" t="str">
        <f aca="false">Raw_Data!G2666</f>
        <v>no</v>
      </c>
      <c r="I2666" s="3" t="str">
        <f aca="false">Raw_Data!H2666</f>
        <v>no</v>
      </c>
      <c r="J2666" s="2" t="n">
        <f aca="false">IF(F2666="yes",1,0)</f>
        <v>0</v>
      </c>
      <c r="K2666" s="2" t="n">
        <f aca="false">IF(H2666="yes",1,0)</f>
        <v>0</v>
      </c>
      <c r="L2666" s="2" t="n">
        <f aca="false">IF(I2666="yes",1,0)</f>
        <v>0</v>
      </c>
      <c r="M2666" s="2" t="n">
        <f aca="false">IF(G2666&lt;0,1,0)</f>
        <v>1</v>
      </c>
      <c r="N2666" s="2" t="str">
        <f aca="false">_xlfn.IFS(B2666&lt;30,"Under 30",B2666&lt;40,"30-39",B2666&lt;50,"40-49",B2666&lt;60,"50-59",TRUE(),"60+")</f>
        <v>40-49</v>
      </c>
      <c r="O2666" s="2" t="str">
        <f aca="false">_xlfn.IFS(G2666&lt;0,"1 Negative",G2666=0,"2 Zero",G2666&lt;=500,"3 1-500",G2666&lt;=2000,"4 501-2000",TRUE(),"5 Above 2000")</f>
        <v>1 Negative</v>
      </c>
      <c r="P2666" s="2" t="n">
        <f aca="false">Lookups!$B$2*M2666+Lookups!$B$3*L2666</f>
        <v>2</v>
      </c>
      <c r="Q2666" s="2" t="str">
        <f aca="false">INDEX(Lookups!$E$2:$E$5,MATCH(P2666,Lookups!$D$2:$D$5,0))</f>
        <v>High</v>
      </c>
    </row>
    <row r="2667" customFormat="false" ht="15" hidden="false" customHeight="false" outlineLevel="0" collapsed="false">
      <c r="A2667" s="3" t="n">
        <v>2666</v>
      </c>
      <c r="B2667" s="3" t="n">
        <f aca="false">Raw_Data!A2667</f>
        <v>27</v>
      </c>
      <c r="C2667" s="3" t="str">
        <f aca="false">SUBSTITUTE(Raw_Data!B2667,".","")</f>
        <v>student</v>
      </c>
      <c r="D2667" s="3" t="str">
        <f aca="false">Raw_Data!C2667</f>
        <v>single</v>
      </c>
      <c r="E2667" s="3" t="str">
        <f aca="false">Raw_Data!D2667</f>
        <v>tertiary</v>
      </c>
      <c r="F2667" s="3" t="str">
        <f aca="false">Raw_Data!E2667</f>
        <v>no</v>
      </c>
      <c r="G2667" s="3" t="n">
        <f aca="false">Raw_Data!F2667</f>
        <v>3733</v>
      </c>
      <c r="H2667" s="3" t="str">
        <f aca="false">Raw_Data!G2667</f>
        <v>yes</v>
      </c>
      <c r="I2667" s="3" t="str">
        <f aca="false">Raw_Data!H2667</f>
        <v>no</v>
      </c>
      <c r="J2667" s="2" t="n">
        <f aca="false">IF(F2667="yes",1,0)</f>
        <v>0</v>
      </c>
      <c r="K2667" s="2" t="n">
        <f aca="false">IF(H2667="yes",1,0)</f>
        <v>1</v>
      </c>
      <c r="L2667" s="2" t="n">
        <f aca="false">IF(I2667="yes",1,0)</f>
        <v>0</v>
      </c>
      <c r="M2667" s="2" t="n">
        <f aca="false">IF(G2667&lt;0,1,0)</f>
        <v>0</v>
      </c>
      <c r="N2667" s="2" t="str">
        <f aca="false">_xlfn.IFS(B2667&lt;30,"Under 30",B2667&lt;40,"30-39",B2667&lt;50,"40-49",B2667&lt;60,"50-59",TRUE(),"60+")</f>
        <v>Under 30</v>
      </c>
      <c r="O2667" s="2" t="str">
        <f aca="false">_xlfn.IFS(G2667&lt;0,"1 Negative",G2667=0,"2 Zero",G2667&lt;=500,"3 1-500",G2667&lt;=2000,"4 501-2000",TRUE(),"5 Above 2000")</f>
        <v>5 Above 2000</v>
      </c>
      <c r="P2667" s="2" t="n">
        <f aca="false">Lookups!$B$2*M2667+Lookups!$B$3*L2667</f>
        <v>0</v>
      </c>
      <c r="Q2667" s="2" t="str">
        <f aca="false">INDEX(Lookups!$E$2:$E$5,MATCH(P2667,Lookups!$D$2:$D$5,0))</f>
        <v>Low</v>
      </c>
    </row>
    <row r="2668" customFormat="false" ht="15" hidden="false" customHeight="false" outlineLevel="0" collapsed="false">
      <c r="A2668" s="3" t="n">
        <v>2667</v>
      </c>
      <c r="B2668" s="3" t="n">
        <f aca="false">Raw_Data!A2668</f>
        <v>31</v>
      </c>
      <c r="C2668" s="3" t="str">
        <f aca="false">SUBSTITUTE(Raw_Data!B2668,".","")</f>
        <v>management</v>
      </c>
      <c r="D2668" s="3" t="str">
        <f aca="false">Raw_Data!C2668</f>
        <v>single</v>
      </c>
      <c r="E2668" s="3" t="str">
        <f aca="false">Raw_Data!D2668</f>
        <v>tertiary</v>
      </c>
      <c r="F2668" s="3" t="str">
        <f aca="false">Raw_Data!E2668</f>
        <v>no</v>
      </c>
      <c r="G2668" s="3" t="n">
        <f aca="false">Raw_Data!F2668</f>
        <v>574</v>
      </c>
      <c r="H2668" s="3" t="str">
        <f aca="false">Raw_Data!G2668</f>
        <v>yes</v>
      </c>
      <c r="I2668" s="3" t="str">
        <f aca="false">Raw_Data!H2668</f>
        <v>no</v>
      </c>
      <c r="J2668" s="2" t="n">
        <f aca="false">IF(F2668="yes",1,0)</f>
        <v>0</v>
      </c>
      <c r="K2668" s="2" t="n">
        <f aca="false">IF(H2668="yes",1,0)</f>
        <v>1</v>
      </c>
      <c r="L2668" s="2" t="n">
        <f aca="false">IF(I2668="yes",1,0)</f>
        <v>0</v>
      </c>
      <c r="M2668" s="2" t="n">
        <f aca="false">IF(G2668&lt;0,1,0)</f>
        <v>0</v>
      </c>
      <c r="N2668" s="2" t="str">
        <f aca="false">_xlfn.IFS(B2668&lt;30,"Under 30",B2668&lt;40,"30-39",B2668&lt;50,"40-49",B2668&lt;60,"50-59",TRUE(),"60+")</f>
        <v>30-39</v>
      </c>
      <c r="O2668" s="2" t="str">
        <f aca="false">_xlfn.IFS(G2668&lt;0,"1 Negative",G2668=0,"2 Zero",G2668&lt;=500,"3 1-500",G2668&lt;=2000,"4 501-2000",TRUE(),"5 Above 2000")</f>
        <v>4 501-2000</v>
      </c>
      <c r="P2668" s="2" t="n">
        <f aca="false">Lookups!$B$2*M2668+Lookups!$B$3*L2668</f>
        <v>0</v>
      </c>
      <c r="Q2668" s="2" t="str">
        <f aca="false">INDEX(Lookups!$E$2:$E$5,MATCH(P2668,Lookups!$D$2:$D$5,0))</f>
        <v>Low</v>
      </c>
    </row>
    <row r="2669" customFormat="false" ht="15" hidden="false" customHeight="false" outlineLevel="0" collapsed="false">
      <c r="A2669" s="3" t="n">
        <v>2668</v>
      </c>
      <c r="B2669" s="3" t="n">
        <f aca="false">Raw_Data!A2669</f>
        <v>28</v>
      </c>
      <c r="C2669" s="3" t="str">
        <f aca="false">SUBSTITUTE(Raw_Data!B2669,".","")</f>
        <v>blue-collar</v>
      </c>
      <c r="D2669" s="3" t="str">
        <f aca="false">Raw_Data!C2669</f>
        <v>single</v>
      </c>
      <c r="E2669" s="3" t="str">
        <f aca="false">Raw_Data!D2669</f>
        <v>secondary</v>
      </c>
      <c r="F2669" s="3" t="str">
        <f aca="false">Raw_Data!E2669</f>
        <v>no</v>
      </c>
      <c r="G2669" s="3" t="n">
        <f aca="false">Raw_Data!F2669</f>
        <v>43</v>
      </c>
      <c r="H2669" s="3" t="str">
        <f aca="false">Raw_Data!G2669</f>
        <v>no</v>
      </c>
      <c r="I2669" s="3" t="str">
        <f aca="false">Raw_Data!H2669</f>
        <v>no</v>
      </c>
      <c r="J2669" s="2" t="n">
        <f aca="false">IF(F2669="yes",1,0)</f>
        <v>0</v>
      </c>
      <c r="K2669" s="2" t="n">
        <f aca="false">IF(H2669="yes",1,0)</f>
        <v>0</v>
      </c>
      <c r="L2669" s="2" t="n">
        <f aca="false">IF(I2669="yes",1,0)</f>
        <v>0</v>
      </c>
      <c r="M2669" s="2" t="n">
        <f aca="false">IF(G2669&lt;0,1,0)</f>
        <v>0</v>
      </c>
      <c r="N2669" s="2" t="str">
        <f aca="false">_xlfn.IFS(B2669&lt;30,"Under 30",B2669&lt;40,"30-39",B2669&lt;50,"40-49",B2669&lt;60,"50-59",TRUE(),"60+")</f>
        <v>Under 30</v>
      </c>
      <c r="O2669" s="2" t="str">
        <f aca="false">_xlfn.IFS(G2669&lt;0,"1 Negative",G2669=0,"2 Zero",G2669&lt;=500,"3 1-500",G2669&lt;=2000,"4 501-2000",TRUE(),"5 Above 2000")</f>
        <v>3 1-500</v>
      </c>
      <c r="P2669" s="2" t="n">
        <f aca="false">Lookups!$B$2*M2669+Lookups!$B$3*L2669</f>
        <v>0</v>
      </c>
      <c r="Q2669" s="2" t="str">
        <f aca="false">INDEX(Lookups!$E$2:$E$5,MATCH(P2669,Lookups!$D$2:$D$5,0))</f>
        <v>Low</v>
      </c>
    </row>
    <row r="2670" customFormat="false" ht="15" hidden="false" customHeight="false" outlineLevel="0" collapsed="false">
      <c r="A2670" s="3" t="n">
        <v>2669</v>
      </c>
      <c r="B2670" s="3" t="n">
        <f aca="false">Raw_Data!A2670</f>
        <v>36</v>
      </c>
      <c r="C2670" s="3" t="str">
        <f aca="false">SUBSTITUTE(Raw_Data!B2670,".","")</f>
        <v>management</v>
      </c>
      <c r="D2670" s="3" t="str">
        <f aca="false">Raw_Data!C2670</f>
        <v>married</v>
      </c>
      <c r="E2670" s="3" t="str">
        <f aca="false">Raw_Data!D2670</f>
        <v>tertiary</v>
      </c>
      <c r="F2670" s="3" t="str">
        <f aca="false">Raw_Data!E2670</f>
        <v>no</v>
      </c>
      <c r="G2670" s="3" t="n">
        <f aca="false">Raw_Data!F2670</f>
        <v>428</v>
      </c>
      <c r="H2670" s="3" t="str">
        <f aca="false">Raw_Data!G2670</f>
        <v>no</v>
      </c>
      <c r="I2670" s="3" t="str">
        <f aca="false">Raw_Data!H2670</f>
        <v>no</v>
      </c>
      <c r="J2670" s="2" t="n">
        <f aca="false">IF(F2670="yes",1,0)</f>
        <v>0</v>
      </c>
      <c r="K2670" s="2" t="n">
        <f aca="false">IF(H2670="yes",1,0)</f>
        <v>0</v>
      </c>
      <c r="L2670" s="2" t="n">
        <f aca="false">IF(I2670="yes",1,0)</f>
        <v>0</v>
      </c>
      <c r="M2670" s="2" t="n">
        <f aca="false">IF(G2670&lt;0,1,0)</f>
        <v>0</v>
      </c>
      <c r="N2670" s="2" t="str">
        <f aca="false">_xlfn.IFS(B2670&lt;30,"Under 30",B2670&lt;40,"30-39",B2670&lt;50,"40-49",B2670&lt;60,"50-59",TRUE(),"60+")</f>
        <v>30-39</v>
      </c>
      <c r="O2670" s="2" t="str">
        <f aca="false">_xlfn.IFS(G2670&lt;0,"1 Negative",G2670=0,"2 Zero",G2670&lt;=500,"3 1-500",G2670&lt;=2000,"4 501-2000",TRUE(),"5 Above 2000")</f>
        <v>3 1-500</v>
      </c>
      <c r="P2670" s="2" t="n">
        <f aca="false">Lookups!$B$2*M2670+Lookups!$B$3*L2670</f>
        <v>0</v>
      </c>
      <c r="Q2670" s="2" t="str">
        <f aca="false">INDEX(Lookups!$E$2:$E$5,MATCH(P2670,Lookups!$D$2:$D$5,0))</f>
        <v>Low</v>
      </c>
    </row>
    <row r="2671" customFormat="false" ht="15" hidden="false" customHeight="false" outlineLevel="0" collapsed="false">
      <c r="A2671" s="3" t="n">
        <v>2670</v>
      </c>
      <c r="B2671" s="3" t="n">
        <f aca="false">Raw_Data!A2671</f>
        <v>58</v>
      </c>
      <c r="C2671" s="3" t="str">
        <f aca="false">SUBSTITUTE(Raw_Data!B2671,".","")</f>
        <v>housemaid</v>
      </c>
      <c r="D2671" s="3" t="str">
        <f aca="false">Raw_Data!C2671</f>
        <v>married</v>
      </c>
      <c r="E2671" s="3" t="str">
        <f aca="false">Raw_Data!D2671</f>
        <v>primary</v>
      </c>
      <c r="F2671" s="3" t="str">
        <f aca="false">Raw_Data!E2671</f>
        <v>no</v>
      </c>
      <c r="G2671" s="3" t="n">
        <f aca="false">Raw_Data!F2671</f>
        <v>0</v>
      </c>
      <c r="H2671" s="3" t="str">
        <f aca="false">Raw_Data!G2671</f>
        <v>yes</v>
      </c>
      <c r="I2671" s="3" t="str">
        <f aca="false">Raw_Data!H2671</f>
        <v>no</v>
      </c>
      <c r="J2671" s="2" t="n">
        <f aca="false">IF(F2671="yes",1,0)</f>
        <v>0</v>
      </c>
      <c r="K2671" s="2" t="n">
        <f aca="false">IF(H2671="yes",1,0)</f>
        <v>1</v>
      </c>
      <c r="L2671" s="2" t="n">
        <f aca="false">IF(I2671="yes",1,0)</f>
        <v>0</v>
      </c>
      <c r="M2671" s="2" t="n">
        <f aca="false">IF(G2671&lt;0,1,0)</f>
        <v>0</v>
      </c>
      <c r="N2671" s="2" t="str">
        <f aca="false">_xlfn.IFS(B2671&lt;30,"Under 30",B2671&lt;40,"30-39",B2671&lt;50,"40-49",B2671&lt;60,"50-59",TRUE(),"60+")</f>
        <v>50-59</v>
      </c>
      <c r="O2671" s="2" t="str">
        <f aca="false">_xlfn.IFS(G2671&lt;0,"1 Negative",G2671=0,"2 Zero",G2671&lt;=500,"3 1-500",G2671&lt;=2000,"4 501-2000",TRUE(),"5 Above 2000")</f>
        <v>2 Zero</v>
      </c>
      <c r="P2671" s="2" t="n">
        <f aca="false">Lookups!$B$2*M2671+Lookups!$B$3*L2671</f>
        <v>0</v>
      </c>
      <c r="Q2671" s="2" t="str">
        <f aca="false">INDEX(Lookups!$E$2:$E$5,MATCH(P2671,Lookups!$D$2:$D$5,0))</f>
        <v>Low</v>
      </c>
    </row>
    <row r="2672" customFormat="false" ht="15" hidden="false" customHeight="false" outlineLevel="0" collapsed="false">
      <c r="A2672" s="3" t="n">
        <v>2671</v>
      </c>
      <c r="B2672" s="3" t="n">
        <f aca="false">Raw_Data!A2672</f>
        <v>46</v>
      </c>
      <c r="C2672" s="3" t="str">
        <f aca="false">SUBSTITUTE(Raw_Data!B2672,".","")</f>
        <v>admin</v>
      </c>
      <c r="D2672" s="3" t="str">
        <f aca="false">Raw_Data!C2672</f>
        <v>married</v>
      </c>
      <c r="E2672" s="3" t="str">
        <f aca="false">Raw_Data!D2672</f>
        <v>secondary</v>
      </c>
      <c r="F2672" s="3" t="str">
        <f aca="false">Raw_Data!E2672</f>
        <v>no</v>
      </c>
      <c r="G2672" s="3" t="n">
        <f aca="false">Raw_Data!F2672</f>
        <v>0</v>
      </c>
      <c r="H2672" s="3" t="str">
        <f aca="false">Raw_Data!G2672</f>
        <v>yes</v>
      </c>
      <c r="I2672" s="3" t="str">
        <f aca="false">Raw_Data!H2672</f>
        <v>yes</v>
      </c>
      <c r="J2672" s="2" t="n">
        <f aca="false">IF(F2672="yes",1,0)</f>
        <v>0</v>
      </c>
      <c r="K2672" s="2" t="n">
        <f aca="false">IF(H2672="yes",1,0)</f>
        <v>1</v>
      </c>
      <c r="L2672" s="2" t="n">
        <f aca="false">IF(I2672="yes",1,0)</f>
        <v>1</v>
      </c>
      <c r="M2672" s="2" t="n">
        <f aca="false">IF(G2672&lt;0,1,0)</f>
        <v>0</v>
      </c>
      <c r="N2672" s="2" t="str">
        <f aca="false">_xlfn.IFS(B2672&lt;30,"Under 30",B2672&lt;40,"30-39",B2672&lt;50,"40-49",B2672&lt;60,"50-59",TRUE(),"60+")</f>
        <v>40-49</v>
      </c>
      <c r="O2672" s="2" t="str">
        <f aca="false">_xlfn.IFS(G2672&lt;0,"1 Negative",G2672=0,"2 Zero",G2672&lt;=500,"3 1-500",G2672&lt;=2000,"4 501-2000",TRUE(),"5 Above 2000")</f>
        <v>2 Zero</v>
      </c>
      <c r="P2672" s="2" t="n">
        <f aca="false">Lookups!$B$2*M2672+Lookups!$B$3*L2672</f>
        <v>1</v>
      </c>
      <c r="Q2672" s="2" t="str">
        <f aca="false">INDEX(Lookups!$E$2:$E$5,MATCH(P2672,Lookups!$D$2:$D$5,0))</f>
        <v>Medium</v>
      </c>
    </row>
    <row r="2673" customFormat="false" ht="15" hidden="false" customHeight="false" outlineLevel="0" collapsed="false">
      <c r="A2673" s="3" t="n">
        <v>2672</v>
      </c>
      <c r="B2673" s="3" t="n">
        <f aca="false">Raw_Data!A2673</f>
        <v>32</v>
      </c>
      <c r="C2673" s="3" t="str">
        <f aca="false">SUBSTITUTE(Raw_Data!B2673,".","")</f>
        <v>management</v>
      </c>
      <c r="D2673" s="3" t="str">
        <f aca="false">Raw_Data!C2673</f>
        <v>single</v>
      </c>
      <c r="E2673" s="3" t="str">
        <f aca="false">Raw_Data!D2673</f>
        <v>tertiary</v>
      </c>
      <c r="F2673" s="3" t="str">
        <f aca="false">Raw_Data!E2673</f>
        <v>no</v>
      </c>
      <c r="G2673" s="3" t="n">
        <f aca="false">Raw_Data!F2673</f>
        <v>474</v>
      </c>
      <c r="H2673" s="3" t="str">
        <f aca="false">Raw_Data!G2673</f>
        <v>yes</v>
      </c>
      <c r="I2673" s="3" t="str">
        <f aca="false">Raw_Data!H2673</f>
        <v>no</v>
      </c>
      <c r="J2673" s="2" t="n">
        <f aca="false">IF(F2673="yes",1,0)</f>
        <v>0</v>
      </c>
      <c r="K2673" s="2" t="n">
        <f aca="false">IF(H2673="yes",1,0)</f>
        <v>1</v>
      </c>
      <c r="L2673" s="2" t="n">
        <f aca="false">IF(I2673="yes",1,0)</f>
        <v>0</v>
      </c>
      <c r="M2673" s="2" t="n">
        <f aca="false">IF(G2673&lt;0,1,0)</f>
        <v>0</v>
      </c>
      <c r="N2673" s="2" t="str">
        <f aca="false">_xlfn.IFS(B2673&lt;30,"Under 30",B2673&lt;40,"30-39",B2673&lt;50,"40-49",B2673&lt;60,"50-59",TRUE(),"60+")</f>
        <v>30-39</v>
      </c>
      <c r="O2673" s="2" t="str">
        <f aca="false">_xlfn.IFS(G2673&lt;0,"1 Negative",G2673=0,"2 Zero",G2673&lt;=500,"3 1-500",G2673&lt;=2000,"4 501-2000",TRUE(),"5 Above 2000")</f>
        <v>3 1-500</v>
      </c>
      <c r="P2673" s="2" t="n">
        <f aca="false">Lookups!$B$2*M2673+Lookups!$B$3*L2673</f>
        <v>0</v>
      </c>
      <c r="Q2673" s="2" t="str">
        <f aca="false">INDEX(Lookups!$E$2:$E$5,MATCH(P2673,Lookups!$D$2:$D$5,0))</f>
        <v>Low</v>
      </c>
    </row>
    <row r="2674" customFormat="false" ht="15" hidden="false" customHeight="false" outlineLevel="0" collapsed="false">
      <c r="A2674" s="3" t="n">
        <v>2673</v>
      </c>
      <c r="B2674" s="3" t="n">
        <f aca="false">Raw_Data!A2674</f>
        <v>39</v>
      </c>
      <c r="C2674" s="3" t="str">
        <f aca="false">SUBSTITUTE(Raw_Data!B2674,".","")</f>
        <v>services</v>
      </c>
      <c r="D2674" s="3" t="str">
        <f aca="false">Raw_Data!C2674</f>
        <v>married</v>
      </c>
      <c r="E2674" s="3" t="str">
        <f aca="false">Raw_Data!D2674</f>
        <v>secondary</v>
      </c>
      <c r="F2674" s="3" t="str">
        <f aca="false">Raw_Data!E2674</f>
        <v>no</v>
      </c>
      <c r="G2674" s="3" t="n">
        <f aca="false">Raw_Data!F2674</f>
        <v>-540</v>
      </c>
      <c r="H2674" s="3" t="str">
        <f aca="false">Raw_Data!G2674</f>
        <v>no</v>
      </c>
      <c r="I2674" s="3" t="str">
        <f aca="false">Raw_Data!H2674</f>
        <v>no</v>
      </c>
      <c r="J2674" s="2" t="n">
        <f aca="false">IF(F2674="yes",1,0)</f>
        <v>0</v>
      </c>
      <c r="K2674" s="2" t="n">
        <f aca="false">IF(H2674="yes",1,0)</f>
        <v>0</v>
      </c>
      <c r="L2674" s="2" t="n">
        <f aca="false">IF(I2674="yes",1,0)</f>
        <v>0</v>
      </c>
      <c r="M2674" s="2" t="n">
        <f aca="false">IF(G2674&lt;0,1,0)</f>
        <v>1</v>
      </c>
      <c r="N2674" s="2" t="str">
        <f aca="false">_xlfn.IFS(B2674&lt;30,"Under 30",B2674&lt;40,"30-39",B2674&lt;50,"40-49",B2674&lt;60,"50-59",TRUE(),"60+")</f>
        <v>30-39</v>
      </c>
      <c r="O2674" s="2" t="str">
        <f aca="false">_xlfn.IFS(G2674&lt;0,"1 Negative",G2674=0,"2 Zero",G2674&lt;=500,"3 1-500",G2674&lt;=2000,"4 501-2000",TRUE(),"5 Above 2000")</f>
        <v>1 Negative</v>
      </c>
      <c r="P2674" s="2" t="n">
        <f aca="false">Lookups!$B$2*M2674+Lookups!$B$3*L2674</f>
        <v>2</v>
      </c>
      <c r="Q2674" s="2" t="str">
        <f aca="false">INDEX(Lookups!$E$2:$E$5,MATCH(P2674,Lookups!$D$2:$D$5,0))</f>
        <v>High</v>
      </c>
    </row>
    <row r="2675" customFormat="false" ht="15" hidden="false" customHeight="false" outlineLevel="0" collapsed="false">
      <c r="A2675" s="3" t="n">
        <v>2674</v>
      </c>
      <c r="B2675" s="3" t="n">
        <f aca="false">Raw_Data!A2675</f>
        <v>35</v>
      </c>
      <c r="C2675" s="3" t="str">
        <f aca="false">SUBSTITUTE(Raw_Data!B2675,".","")</f>
        <v>self-employed</v>
      </c>
      <c r="D2675" s="3" t="str">
        <f aca="false">Raw_Data!C2675</f>
        <v>married</v>
      </c>
      <c r="E2675" s="3" t="str">
        <f aca="false">Raw_Data!D2675</f>
        <v>tertiary</v>
      </c>
      <c r="F2675" s="3" t="str">
        <f aca="false">Raw_Data!E2675</f>
        <v>no</v>
      </c>
      <c r="G2675" s="3" t="n">
        <f aca="false">Raw_Data!F2675</f>
        <v>560</v>
      </c>
      <c r="H2675" s="3" t="str">
        <f aca="false">Raw_Data!G2675</f>
        <v>yes</v>
      </c>
      <c r="I2675" s="3" t="str">
        <f aca="false">Raw_Data!H2675</f>
        <v>no</v>
      </c>
      <c r="J2675" s="2" t="n">
        <f aca="false">IF(F2675="yes",1,0)</f>
        <v>0</v>
      </c>
      <c r="K2675" s="2" t="n">
        <f aca="false">IF(H2675="yes",1,0)</f>
        <v>1</v>
      </c>
      <c r="L2675" s="2" t="n">
        <f aca="false">IF(I2675="yes",1,0)</f>
        <v>0</v>
      </c>
      <c r="M2675" s="2" t="n">
        <f aca="false">IF(G2675&lt;0,1,0)</f>
        <v>0</v>
      </c>
      <c r="N2675" s="2" t="str">
        <f aca="false">_xlfn.IFS(B2675&lt;30,"Under 30",B2675&lt;40,"30-39",B2675&lt;50,"40-49",B2675&lt;60,"50-59",TRUE(),"60+")</f>
        <v>30-39</v>
      </c>
      <c r="O2675" s="2" t="str">
        <f aca="false">_xlfn.IFS(G2675&lt;0,"1 Negative",G2675=0,"2 Zero",G2675&lt;=500,"3 1-500",G2675&lt;=2000,"4 501-2000",TRUE(),"5 Above 2000")</f>
        <v>4 501-2000</v>
      </c>
      <c r="P2675" s="2" t="n">
        <f aca="false">Lookups!$B$2*M2675+Lookups!$B$3*L2675</f>
        <v>0</v>
      </c>
      <c r="Q2675" s="2" t="str">
        <f aca="false">INDEX(Lookups!$E$2:$E$5,MATCH(P2675,Lookups!$D$2:$D$5,0))</f>
        <v>Low</v>
      </c>
    </row>
    <row r="2676" customFormat="false" ht="15" hidden="false" customHeight="false" outlineLevel="0" collapsed="false">
      <c r="A2676" s="3" t="n">
        <v>2675</v>
      </c>
      <c r="B2676" s="3" t="n">
        <f aca="false">Raw_Data!A2676</f>
        <v>31</v>
      </c>
      <c r="C2676" s="3" t="str">
        <f aca="false">SUBSTITUTE(Raw_Data!B2676,".","")</f>
        <v>management</v>
      </c>
      <c r="D2676" s="3" t="str">
        <f aca="false">Raw_Data!C2676</f>
        <v>married</v>
      </c>
      <c r="E2676" s="3" t="str">
        <f aca="false">Raw_Data!D2676</f>
        <v>tertiary</v>
      </c>
      <c r="F2676" s="3" t="str">
        <f aca="false">Raw_Data!E2676</f>
        <v>no</v>
      </c>
      <c r="G2676" s="3" t="n">
        <f aca="false">Raw_Data!F2676</f>
        <v>325</v>
      </c>
      <c r="H2676" s="3" t="str">
        <f aca="false">Raw_Data!G2676</f>
        <v>yes</v>
      </c>
      <c r="I2676" s="3" t="str">
        <f aca="false">Raw_Data!H2676</f>
        <v>no</v>
      </c>
      <c r="J2676" s="2" t="n">
        <f aca="false">IF(F2676="yes",1,0)</f>
        <v>0</v>
      </c>
      <c r="K2676" s="2" t="n">
        <f aca="false">IF(H2676="yes",1,0)</f>
        <v>1</v>
      </c>
      <c r="L2676" s="2" t="n">
        <f aca="false">IF(I2676="yes",1,0)</f>
        <v>0</v>
      </c>
      <c r="M2676" s="2" t="n">
        <f aca="false">IF(G2676&lt;0,1,0)</f>
        <v>0</v>
      </c>
      <c r="N2676" s="2" t="str">
        <f aca="false">_xlfn.IFS(B2676&lt;30,"Under 30",B2676&lt;40,"30-39",B2676&lt;50,"40-49",B2676&lt;60,"50-59",TRUE(),"60+")</f>
        <v>30-39</v>
      </c>
      <c r="O2676" s="2" t="str">
        <f aca="false">_xlfn.IFS(G2676&lt;0,"1 Negative",G2676=0,"2 Zero",G2676&lt;=500,"3 1-500",G2676&lt;=2000,"4 501-2000",TRUE(),"5 Above 2000")</f>
        <v>3 1-500</v>
      </c>
      <c r="P2676" s="2" t="n">
        <f aca="false">Lookups!$B$2*M2676+Lookups!$B$3*L2676</f>
        <v>0</v>
      </c>
      <c r="Q2676" s="2" t="str">
        <f aca="false">INDEX(Lookups!$E$2:$E$5,MATCH(P2676,Lookups!$D$2:$D$5,0))</f>
        <v>Low</v>
      </c>
    </row>
    <row r="2677" customFormat="false" ht="15" hidden="false" customHeight="false" outlineLevel="0" collapsed="false">
      <c r="A2677" s="3" t="n">
        <v>2676</v>
      </c>
      <c r="B2677" s="3" t="n">
        <f aca="false">Raw_Data!A2677</f>
        <v>29</v>
      </c>
      <c r="C2677" s="3" t="str">
        <f aca="false">SUBSTITUTE(Raw_Data!B2677,".","")</f>
        <v>management</v>
      </c>
      <c r="D2677" s="3" t="str">
        <f aca="false">Raw_Data!C2677</f>
        <v>single</v>
      </c>
      <c r="E2677" s="3" t="str">
        <f aca="false">Raw_Data!D2677</f>
        <v>tertiary</v>
      </c>
      <c r="F2677" s="3" t="str">
        <f aca="false">Raw_Data!E2677</f>
        <v>no</v>
      </c>
      <c r="G2677" s="3" t="n">
        <f aca="false">Raw_Data!F2677</f>
        <v>437</v>
      </c>
      <c r="H2677" s="3" t="str">
        <f aca="false">Raw_Data!G2677</f>
        <v>no</v>
      </c>
      <c r="I2677" s="3" t="str">
        <f aca="false">Raw_Data!H2677</f>
        <v>no</v>
      </c>
      <c r="J2677" s="2" t="n">
        <f aca="false">IF(F2677="yes",1,0)</f>
        <v>0</v>
      </c>
      <c r="K2677" s="2" t="n">
        <f aca="false">IF(H2677="yes",1,0)</f>
        <v>0</v>
      </c>
      <c r="L2677" s="2" t="n">
        <f aca="false">IF(I2677="yes",1,0)</f>
        <v>0</v>
      </c>
      <c r="M2677" s="2" t="n">
        <f aca="false">IF(G2677&lt;0,1,0)</f>
        <v>0</v>
      </c>
      <c r="N2677" s="2" t="str">
        <f aca="false">_xlfn.IFS(B2677&lt;30,"Under 30",B2677&lt;40,"30-39",B2677&lt;50,"40-49",B2677&lt;60,"50-59",TRUE(),"60+")</f>
        <v>Under 30</v>
      </c>
      <c r="O2677" s="2" t="str">
        <f aca="false">_xlfn.IFS(G2677&lt;0,"1 Negative",G2677=0,"2 Zero",G2677&lt;=500,"3 1-500",G2677&lt;=2000,"4 501-2000",TRUE(),"5 Above 2000")</f>
        <v>3 1-500</v>
      </c>
      <c r="P2677" s="2" t="n">
        <f aca="false">Lookups!$B$2*M2677+Lookups!$B$3*L2677</f>
        <v>0</v>
      </c>
      <c r="Q2677" s="2" t="str">
        <f aca="false">INDEX(Lookups!$E$2:$E$5,MATCH(P2677,Lookups!$D$2:$D$5,0))</f>
        <v>Low</v>
      </c>
    </row>
    <row r="2678" customFormat="false" ht="15" hidden="false" customHeight="false" outlineLevel="0" collapsed="false">
      <c r="A2678" s="3" t="n">
        <v>2677</v>
      </c>
      <c r="B2678" s="3" t="n">
        <f aca="false">Raw_Data!A2678</f>
        <v>48</v>
      </c>
      <c r="C2678" s="3" t="str">
        <f aca="false">SUBSTITUTE(Raw_Data!B2678,".","")</f>
        <v>blue-collar</v>
      </c>
      <c r="D2678" s="3" t="str">
        <f aca="false">Raw_Data!C2678</f>
        <v>married</v>
      </c>
      <c r="E2678" s="3" t="str">
        <f aca="false">Raw_Data!D2678</f>
        <v>primary</v>
      </c>
      <c r="F2678" s="3" t="str">
        <f aca="false">Raw_Data!E2678</f>
        <v>no</v>
      </c>
      <c r="G2678" s="3" t="n">
        <f aca="false">Raw_Data!F2678</f>
        <v>574</v>
      </c>
      <c r="H2678" s="3" t="str">
        <f aca="false">Raw_Data!G2678</f>
        <v>no</v>
      </c>
      <c r="I2678" s="3" t="str">
        <f aca="false">Raw_Data!H2678</f>
        <v>no</v>
      </c>
      <c r="J2678" s="2" t="n">
        <f aca="false">IF(F2678="yes",1,0)</f>
        <v>0</v>
      </c>
      <c r="K2678" s="2" t="n">
        <f aca="false">IF(H2678="yes",1,0)</f>
        <v>0</v>
      </c>
      <c r="L2678" s="2" t="n">
        <f aca="false">IF(I2678="yes",1,0)</f>
        <v>0</v>
      </c>
      <c r="M2678" s="2" t="n">
        <f aca="false">IF(G2678&lt;0,1,0)</f>
        <v>0</v>
      </c>
      <c r="N2678" s="2" t="str">
        <f aca="false">_xlfn.IFS(B2678&lt;30,"Under 30",B2678&lt;40,"30-39",B2678&lt;50,"40-49",B2678&lt;60,"50-59",TRUE(),"60+")</f>
        <v>40-49</v>
      </c>
      <c r="O2678" s="2" t="str">
        <f aca="false">_xlfn.IFS(G2678&lt;0,"1 Negative",G2678=0,"2 Zero",G2678&lt;=500,"3 1-500",G2678&lt;=2000,"4 501-2000",TRUE(),"5 Above 2000")</f>
        <v>4 501-2000</v>
      </c>
      <c r="P2678" s="2" t="n">
        <f aca="false">Lookups!$B$2*M2678+Lookups!$B$3*L2678</f>
        <v>0</v>
      </c>
      <c r="Q2678" s="2" t="str">
        <f aca="false">INDEX(Lookups!$E$2:$E$5,MATCH(P2678,Lookups!$D$2:$D$5,0))</f>
        <v>Low</v>
      </c>
    </row>
    <row r="2679" customFormat="false" ht="15" hidden="false" customHeight="false" outlineLevel="0" collapsed="false">
      <c r="A2679" s="3" t="n">
        <v>2678</v>
      </c>
      <c r="B2679" s="3" t="n">
        <f aca="false">Raw_Data!A2679</f>
        <v>60</v>
      </c>
      <c r="C2679" s="3" t="str">
        <f aca="false">SUBSTITUTE(Raw_Data!B2679,".","")</f>
        <v>retired</v>
      </c>
      <c r="D2679" s="3" t="str">
        <f aca="false">Raw_Data!C2679</f>
        <v>married</v>
      </c>
      <c r="E2679" s="3" t="str">
        <f aca="false">Raw_Data!D2679</f>
        <v>primary</v>
      </c>
      <c r="F2679" s="3" t="str">
        <f aca="false">Raw_Data!E2679</f>
        <v>no</v>
      </c>
      <c r="G2679" s="3" t="n">
        <f aca="false">Raw_Data!F2679</f>
        <v>0</v>
      </c>
      <c r="H2679" s="3" t="str">
        <f aca="false">Raw_Data!G2679</f>
        <v>no</v>
      </c>
      <c r="I2679" s="3" t="str">
        <f aca="false">Raw_Data!H2679</f>
        <v>no</v>
      </c>
      <c r="J2679" s="2" t="n">
        <f aca="false">IF(F2679="yes",1,0)</f>
        <v>0</v>
      </c>
      <c r="K2679" s="2" t="n">
        <f aca="false">IF(H2679="yes",1,0)</f>
        <v>0</v>
      </c>
      <c r="L2679" s="2" t="n">
        <f aca="false">IF(I2679="yes",1,0)</f>
        <v>0</v>
      </c>
      <c r="M2679" s="2" t="n">
        <f aca="false">IF(G2679&lt;0,1,0)</f>
        <v>0</v>
      </c>
      <c r="N2679" s="2" t="str">
        <f aca="false">_xlfn.IFS(B2679&lt;30,"Under 30",B2679&lt;40,"30-39",B2679&lt;50,"40-49",B2679&lt;60,"50-59",TRUE(),"60+")</f>
        <v>60+</v>
      </c>
      <c r="O2679" s="2" t="str">
        <f aca="false">_xlfn.IFS(G2679&lt;0,"1 Negative",G2679=0,"2 Zero",G2679&lt;=500,"3 1-500",G2679&lt;=2000,"4 501-2000",TRUE(),"5 Above 2000")</f>
        <v>2 Zero</v>
      </c>
      <c r="P2679" s="2" t="n">
        <f aca="false">Lookups!$B$2*M2679+Lookups!$B$3*L2679</f>
        <v>0</v>
      </c>
      <c r="Q2679" s="2" t="str">
        <f aca="false">INDEX(Lookups!$E$2:$E$5,MATCH(P2679,Lookups!$D$2:$D$5,0))</f>
        <v>Low</v>
      </c>
    </row>
    <row r="2680" customFormat="false" ht="15" hidden="false" customHeight="false" outlineLevel="0" collapsed="false">
      <c r="A2680" s="3" t="n">
        <v>2679</v>
      </c>
      <c r="B2680" s="3" t="n">
        <f aca="false">Raw_Data!A2680</f>
        <v>74</v>
      </c>
      <c r="C2680" s="3" t="str">
        <f aca="false">SUBSTITUTE(Raw_Data!B2680,".","")</f>
        <v>retired</v>
      </c>
      <c r="D2680" s="3" t="str">
        <f aca="false">Raw_Data!C2680</f>
        <v>married</v>
      </c>
      <c r="E2680" s="3" t="str">
        <f aca="false">Raw_Data!D2680</f>
        <v>secondary</v>
      </c>
      <c r="F2680" s="3" t="str">
        <f aca="false">Raw_Data!E2680</f>
        <v>no</v>
      </c>
      <c r="G2680" s="3" t="n">
        <f aca="false">Raw_Data!F2680</f>
        <v>935</v>
      </c>
      <c r="H2680" s="3" t="str">
        <f aca="false">Raw_Data!G2680</f>
        <v>no</v>
      </c>
      <c r="I2680" s="3" t="str">
        <f aca="false">Raw_Data!H2680</f>
        <v>no</v>
      </c>
      <c r="J2680" s="2" t="n">
        <f aca="false">IF(F2680="yes",1,0)</f>
        <v>0</v>
      </c>
      <c r="K2680" s="2" t="n">
        <f aca="false">IF(H2680="yes",1,0)</f>
        <v>0</v>
      </c>
      <c r="L2680" s="2" t="n">
        <f aca="false">IF(I2680="yes",1,0)</f>
        <v>0</v>
      </c>
      <c r="M2680" s="2" t="n">
        <f aca="false">IF(G2680&lt;0,1,0)</f>
        <v>0</v>
      </c>
      <c r="N2680" s="2" t="str">
        <f aca="false">_xlfn.IFS(B2680&lt;30,"Under 30",B2680&lt;40,"30-39",B2680&lt;50,"40-49",B2680&lt;60,"50-59",TRUE(),"60+")</f>
        <v>60+</v>
      </c>
      <c r="O2680" s="2" t="str">
        <f aca="false">_xlfn.IFS(G2680&lt;0,"1 Negative",G2680=0,"2 Zero",G2680&lt;=500,"3 1-500",G2680&lt;=2000,"4 501-2000",TRUE(),"5 Above 2000")</f>
        <v>4 501-2000</v>
      </c>
      <c r="P2680" s="2" t="n">
        <f aca="false">Lookups!$B$2*M2680+Lookups!$B$3*L2680</f>
        <v>0</v>
      </c>
      <c r="Q2680" s="2" t="str">
        <f aca="false">INDEX(Lookups!$E$2:$E$5,MATCH(P2680,Lookups!$D$2:$D$5,0))</f>
        <v>Low</v>
      </c>
    </row>
    <row r="2681" customFormat="false" ht="15" hidden="false" customHeight="false" outlineLevel="0" collapsed="false">
      <c r="A2681" s="3" t="n">
        <v>2680</v>
      </c>
      <c r="B2681" s="3" t="n">
        <f aca="false">Raw_Data!A2681</f>
        <v>30</v>
      </c>
      <c r="C2681" s="3" t="str">
        <f aca="false">SUBSTITUTE(Raw_Data!B2681,".","")</f>
        <v>services</v>
      </c>
      <c r="D2681" s="3" t="str">
        <f aca="false">Raw_Data!C2681</f>
        <v>married</v>
      </c>
      <c r="E2681" s="3" t="str">
        <f aca="false">Raw_Data!D2681</f>
        <v>secondary</v>
      </c>
      <c r="F2681" s="3" t="str">
        <f aca="false">Raw_Data!E2681</f>
        <v>no</v>
      </c>
      <c r="G2681" s="3" t="n">
        <f aca="false">Raw_Data!F2681</f>
        <v>699</v>
      </c>
      <c r="H2681" s="3" t="str">
        <f aca="false">Raw_Data!G2681</f>
        <v>yes</v>
      </c>
      <c r="I2681" s="3" t="str">
        <f aca="false">Raw_Data!H2681</f>
        <v>no</v>
      </c>
      <c r="J2681" s="2" t="n">
        <f aca="false">IF(F2681="yes",1,0)</f>
        <v>0</v>
      </c>
      <c r="K2681" s="2" t="n">
        <f aca="false">IF(H2681="yes",1,0)</f>
        <v>1</v>
      </c>
      <c r="L2681" s="2" t="n">
        <f aca="false">IF(I2681="yes",1,0)</f>
        <v>0</v>
      </c>
      <c r="M2681" s="2" t="n">
        <f aca="false">IF(G2681&lt;0,1,0)</f>
        <v>0</v>
      </c>
      <c r="N2681" s="2" t="str">
        <f aca="false">_xlfn.IFS(B2681&lt;30,"Under 30",B2681&lt;40,"30-39",B2681&lt;50,"40-49",B2681&lt;60,"50-59",TRUE(),"60+")</f>
        <v>30-39</v>
      </c>
      <c r="O2681" s="2" t="str">
        <f aca="false">_xlfn.IFS(G2681&lt;0,"1 Negative",G2681=0,"2 Zero",G2681&lt;=500,"3 1-500",G2681&lt;=2000,"4 501-2000",TRUE(),"5 Above 2000")</f>
        <v>4 501-2000</v>
      </c>
      <c r="P2681" s="2" t="n">
        <f aca="false">Lookups!$B$2*M2681+Lookups!$B$3*L2681</f>
        <v>0</v>
      </c>
      <c r="Q2681" s="2" t="str">
        <f aca="false">INDEX(Lookups!$E$2:$E$5,MATCH(P2681,Lookups!$D$2:$D$5,0))</f>
        <v>Low</v>
      </c>
    </row>
    <row r="2682" customFormat="false" ht="15" hidden="false" customHeight="false" outlineLevel="0" collapsed="false">
      <c r="A2682" s="3" t="n">
        <v>2681</v>
      </c>
      <c r="B2682" s="3" t="n">
        <f aca="false">Raw_Data!A2682</f>
        <v>52</v>
      </c>
      <c r="C2682" s="3" t="str">
        <f aca="false">SUBSTITUTE(Raw_Data!B2682,".","")</f>
        <v>admin</v>
      </c>
      <c r="D2682" s="3" t="str">
        <f aca="false">Raw_Data!C2682</f>
        <v>single</v>
      </c>
      <c r="E2682" s="3" t="str">
        <f aca="false">Raw_Data!D2682</f>
        <v>primary</v>
      </c>
      <c r="F2682" s="3" t="str">
        <f aca="false">Raw_Data!E2682</f>
        <v>no</v>
      </c>
      <c r="G2682" s="3" t="n">
        <f aca="false">Raw_Data!F2682</f>
        <v>0</v>
      </c>
      <c r="H2682" s="3" t="str">
        <f aca="false">Raw_Data!G2682</f>
        <v>no</v>
      </c>
      <c r="I2682" s="3" t="str">
        <f aca="false">Raw_Data!H2682</f>
        <v>no</v>
      </c>
      <c r="J2682" s="2" t="n">
        <f aca="false">IF(F2682="yes",1,0)</f>
        <v>0</v>
      </c>
      <c r="K2682" s="2" t="n">
        <f aca="false">IF(H2682="yes",1,0)</f>
        <v>0</v>
      </c>
      <c r="L2682" s="2" t="n">
        <f aca="false">IF(I2682="yes",1,0)</f>
        <v>0</v>
      </c>
      <c r="M2682" s="2" t="n">
        <f aca="false">IF(G2682&lt;0,1,0)</f>
        <v>0</v>
      </c>
      <c r="N2682" s="2" t="str">
        <f aca="false">_xlfn.IFS(B2682&lt;30,"Under 30",B2682&lt;40,"30-39",B2682&lt;50,"40-49",B2682&lt;60,"50-59",TRUE(),"60+")</f>
        <v>50-59</v>
      </c>
      <c r="O2682" s="2" t="str">
        <f aca="false">_xlfn.IFS(G2682&lt;0,"1 Negative",G2682=0,"2 Zero",G2682&lt;=500,"3 1-500",G2682&lt;=2000,"4 501-2000",TRUE(),"5 Above 2000")</f>
        <v>2 Zero</v>
      </c>
      <c r="P2682" s="2" t="n">
        <f aca="false">Lookups!$B$2*M2682+Lookups!$B$3*L2682</f>
        <v>0</v>
      </c>
      <c r="Q2682" s="2" t="str">
        <f aca="false">INDEX(Lookups!$E$2:$E$5,MATCH(P2682,Lookups!$D$2:$D$5,0))</f>
        <v>Low</v>
      </c>
    </row>
    <row r="2683" customFormat="false" ht="15" hidden="false" customHeight="false" outlineLevel="0" collapsed="false">
      <c r="A2683" s="3" t="n">
        <v>2682</v>
      </c>
      <c r="B2683" s="3" t="n">
        <f aca="false">Raw_Data!A2683</f>
        <v>24</v>
      </c>
      <c r="C2683" s="3" t="str">
        <f aca="false">SUBSTITUTE(Raw_Data!B2683,".","")</f>
        <v>blue-collar</v>
      </c>
      <c r="D2683" s="3" t="str">
        <f aca="false">Raw_Data!C2683</f>
        <v>married</v>
      </c>
      <c r="E2683" s="3" t="str">
        <f aca="false">Raw_Data!D2683</f>
        <v>secondary</v>
      </c>
      <c r="F2683" s="3" t="str">
        <f aca="false">Raw_Data!E2683</f>
        <v>no</v>
      </c>
      <c r="G2683" s="3" t="n">
        <f aca="false">Raw_Data!F2683</f>
        <v>-220</v>
      </c>
      <c r="H2683" s="3" t="str">
        <f aca="false">Raw_Data!G2683</f>
        <v>yes</v>
      </c>
      <c r="I2683" s="3" t="str">
        <f aca="false">Raw_Data!H2683</f>
        <v>no</v>
      </c>
      <c r="J2683" s="2" t="n">
        <f aca="false">IF(F2683="yes",1,0)</f>
        <v>0</v>
      </c>
      <c r="K2683" s="2" t="n">
        <f aca="false">IF(H2683="yes",1,0)</f>
        <v>1</v>
      </c>
      <c r="L2683" s="2" t="n">
        <f aca="false">IF(I2683="yes",1,0)</f>
        <v>0</v>
      </c>
      <c r="M2683" s="2" t="n">
        <f aca="false">IF(G2683&lt;0,1,0)</f>
        <v>1</v>
      </c>
      <c r="N2683" s="2" t="str">
        <f aca="false">_xlfn.IFS(B2683&lt;30,"Under 30",B2683&lt;40,"30-39",B2683&lt;50,"40-49",B2683&lt;60,"50-59",TRUE(),"60+")</f>
        <v>Under 30</v>
      </c>
      <c r="O2683" s="2" t="str">
        <f aca="false">_xlfn.IFS(G2683&lt;0,"1 Negative",G2683=0,"2 Zero",G2683&lt;=500,"3 1-500",G2683&lt;=2000,"4 501-2000",TRUE(),"5 Above 2000")</f>
        <v>1 Negative</v>
      </c>
      <c r="P2683" s="2" t="n">
        <f aca="false">Lookups!$B$2*M2683+Lookups!$B$3*L2683</f>
        <v>2</v>
      </c>
      <c r="Q2683" s="2" t="str">
        <f aca="false">INDEX(Lookups!$E$2:$E$5,MATCH(P2683,Lookups!$D$2:$D$5,0))</f>
        <v>High</v>
      </c>
    </row>
    <row r="2684" customFormat="false" ht="15" hidden="false" customHeight="false" outlineLevel="0" collapsed="false">
      <c r="A2684" s="3" t="n">
        <v>2683</v>
      </c>
      <c r="B2684" s="3" t="n">
        <f aca="false">Raw_Data!A2684</f>
        <v>29</v>
      </c>
      <c r="C2684" s="3" t="str">
        <f aca="false">SUBSTITUTE(Raw_Data!B2684,".","")</f>
        <v>services</v>
      </c>
      <c r="D2684" s="3" t="str">
        <f aca="false">Raw_Data!C2684</f>
        <v>married</v>
      </c>
      <c r="E2684" s="3" t="str">
        <f aca="false">Raw_Data!D2684</f>
        <v>secondary</v>
      </c>
      <c r="F2684" s="3" t="str">
        <f aca="false">Raw_Data!E2684</f>
        <v>no</v>
      </c>
      <c r="G2684" s="3" t="n">
        <f aca="false">Raw_Data!F2684</f>
        <v>11417</v>
      </c>
      <c r="H2684" s="3" t="str">
        <f aca="false">Raw_Data!G2684</f>
        <v>yes</v>
      </c>
      <c r="I2684" s="3" t="str">
        <f aca="false">Raw_Data!H2684</f>
        <v>no</v>
      </c>
      <c r="J2684" s="2" t="n">
        <f aca="false">IF(F2684="yes",1,0)</f>
        <v>0</v>
      </c>
      <c r="K2684" s="2" t="n">
        <f aca="false">IF(H2684="yes",1,0)</f>
        <v>1</v>
      </c>
      <c r="L2684" s="2" t="n">
        <f aca="false">IF(I2684="yes",1,0)</f>
        <v>0</v>
      </c>
      <c r="M2684" s="2" t="n">
        <f aca="false">IF(G2684&lt;0,1,0)</f>
        <v>0</v>
      </c>
      <c r="N2684" s="2" t="str">
        <f aca="false">_xlfn.IFS(B2684&lt;30,"Under 30",B2684&lt;40,"30-39",B2684&lt;50,"40-49",B2684&lt;60,"50-59",TRUE(),"60+")</f>
        <v>Under 30</v>
      </c>
      <c r="O2684" s="2" t="str">
        <f aca="false">_xlfn.IFS(G2684&lt;0,"1 Negative",G2684=0,"2 Zero",G2684&lt;=500,"3 1-500",G2684&lt;=2000,"4 501-2000",TRUE(),"5 Above 2000")</f>
        <v>5 Above 2000</v>
      </c>
      <c r="P2684" s="2" t="n">
        <f aca="false">Lookups!$B$2*M2684+Lookups!$B$3*L2684</f>
        <v>0</v>
      </c>
      <c r="Q2684" s="2" t="str">
        <f aca="false">INDEX(Lookups!$E$2:$E$5,MATCH(P2684,Lookups!$D$2:$D$5,0))</f>
        <v>Low</v>
      </c>
    </row>
    <row r="2685" customFormat="false" ht="15" hidden="false" customHeight="false" outlineLevel="0" collapsed="false">
      <c r="A2685" s="3" t="n">
        <v>2684</v>
      </c>
      <c r="B2685" s="3" t="n">
        <f aca="false">Raw_Data!A2685</f>
        <v>33</v>
      </c>
      <c r="C2685" s="3" t="str">
        <f aca="false">SUBSTITUTE(Raw_Data!B2685,".","")</f>
        <v>housemaid</v>
      </c>
      <c r="D2685" s="3" t="str">
        <f aca="false">Raw_Data!C2685</f>
        <v>married</v>
      </c>
      <c r="E2685" s="3" t="str">
        <f aca="false">Raw_Data!D2685</f>
        <v>primary</v>
      </c>
      <c r="F2685" s="3" t="str">
        <f aca="false">Raw_Data!E2685</f>
        <v>no</v>
      </c>
      <c r="G2685" s="3" t="n">
        <f aca="false">Raw_Data!F2685</f>
        <v>212</v>
      </c>
      <c r="H2685" s="3" t="str">
        <f aca="false">Raw_Data!G2685</f>
        <v>yes</v>
      </c>
      <c r="I2685" s="3" t="str">
        <f aca="false">Raw_Data!H2685</f>
        <v>no</v>
      </c>
      <c r="J2685" s="2" t="n">
        <f aca="false">IF(F2685="yes",1,0)</f>
        <v>0</v>
      </c>
      <c r="K2685" s="2" t="n">
        <f aca="false">IF(H2685="yes",1,0)</f>
        <v>1</v>
      </c>
      <c r="L2685" s="2" t="n">
        <f aca="false">IF(I2685="yes",1,0)</f>
        <v>0</v>
      </c>
      <c r="M2685" s="2" t="n">
        <f aca="false">IF(G2685&lt;0,1,0)</f>
        <v>0</v>
      </c>
      <c r="N2685" s="2" t="str">
        <f aca="false">_xlfn.IFS(B2685&lt;30,"Under 30",B2685&lt;40,"30-39",B2685&lt;50,"40-49",B2685&lt;60,"50-59",TRUE(),"60+")</f>
        <v>30-39</v>
      </c>
      <c r="O2685" s="2" t="str">
        <f aca="false">_xlfn.IFS(G2685&lt;0,"1 Negative",G2685=0,"2 Zero",G2685&lt;=500,"3 1-500",G2685&lt;=2000,"4 501-2000",TRUE(),"5 Above 2000")</f>
        <v>3 1-500</v>
      </c>
      <c r="P2685" s="2" t="n">
        <f aca="false">Lookups!$B$2*M2685+Lookups!$B$3*L2685</f>
        <v>0</v>
      </c>
      <c r="Q2685" s="2" t="str">
        <f aca="false">INDEX(Lookups!$E$2:$E$5,MATCH(P2685,Lookups!$D$2:$D$5,0))</f>
        <v>Low</v>
      </c>
    </row>
    <row r="2686" customFormat="false" ht="15" hidden="false" customHeight="false" outlineLevel="0" collapsed="false">
      <c r="A2686" s="3" t="n">
        <v>2685</v>
      </c>
      <c r="B2686" s="3" t="n">
        <f aca="false">Raw_Data!A2686</f>
        <v>34</v>
      </c>
      <c r="C2686" s="3" t="str">
        <f aca="false">SUBSTITUTE(Raw_Data!B2686,".","")</f>
        <v>blue-collar</v>
      </c>
      <c r="D2686" s="3" t="str">
        <f aca="false">Raw_Data!C2686</f>
        <v>married</v>
      </c>
      <c r="E2686" s="3" t="str">
        <f aca="false">Raw_Data!D2686</f>
        <v>secondary</v>
      </c>
      <c r="F2686" s="3" t="str">
        <f aca="false">Raw_Data!E2686</f>
        <v>no</v>
      </c>
      <c r="G2686" s="3" t="n">
        <f aca="false">Raw_Data!F2686</f>
        <v>67</v>
      </c>
      <c r="H2686" s="3" t="str">
        <f aca="false">Raw_Data!G2686</f>
        <v>yes</v>
      </c>
      <c r="I2686" s="3" t="str">
        <f aca="false">Raw_Data!H2686</f>
        <v>yes</v>
      </c>
      <c r="J2686" s="2" t="n">
        <f aca="false">IF(F2686="yes",1,0)</f>
        <v>0</v>
      </c>
      <c r="K2686" s="2" t="n">
        <f aca="false">IF(H2686="yes",1,0)</f>
        <v>1</v>
      </c>
      <c r="L2686" s="2" t="n">
        <f aca="false">IF(I2686="yes",1,0)</f>
        <v>1</v>
      </c>
      <c r="M2686" s="2" t="n">
        <f aca="false">IF(G2686&lt;0,1,0)</f>
        <v>0</v>
      </c>
      <c r="N2686" s="2" t="str">
        <f aca="false">_xlfn.IFS(B2686&lt;30,"Under 30",B2686&lt;40,"30-39",B2686&lt;50,"40-49",B2686&lt;60,"50-59",TRUE(),"60+")</f>
        <v>30-39</v>
      </c>
      <c r="O2686" s="2" t="str">
        <f aca="false">_xlfn.IFS(G2686&lt;0,"1 Negative",G2686=0,"2 Zero",G2686&lt;=500,"3 1-500",G2686&lt;=2000,"4 501-2000",TRUE(),"5 Above 2000")</f>
        <v>3 1-500</v>
      </c>
      <c r="P2686" s="2" t="n">
        <f aca="false">Lookups!$B$2*M2686+Lookups!$B$3*L2686</f>
        <v>1</v>
      </c>
      <c r="Q2686" s="2" t="str">
        <f aca="false">INDEX(Lookups!$E$2:$E$5,MATCH(P2686,Lookups!$D$2:$D$5,0))</f>
        <v>Medium</v>
      </c>
    </row>
    <row r="2687" customFormat="false" ht="15" hidden="false" customHeight="false" outlineLevel="0" collapsed="false">
      <c r="A2687" s="3" t="n">
        <v>2686</v>
      </c>
      <c r="B2687" s="3" t="n">
        <f aca="false">Raw_Data!A2687</f>
        <v>45</v>
      </c>
      <c r="C2687" s="3" t="str">
        <f aca="false">SUBSTITUTE(Raw_Data!B2687,".","")</f>
        <v>admin</v>
      </c>
      <c r="D2687" s="3" t="str">
        <f aca="false">Raw_Data!C2687</f>
        <v>divorced</v>
      </c>
      <c r="E2687" s="3" t="str">
        <f aca="false">Raw_Data!D2687</f>
        <v>secondary</v>
      </c>
      <c r="F2687" s="3" t="str">
        <f aca="false">Raw_Data!E2687</f>
        <v>no</v>
      </c>
      <c r="G2687" s="3" t="n">
        <f aca="false">Raw_Data!F2687</f>
        <v>0</v>
      </c>
      <c r="H2687" s="3" t="str">
        <f aca="false">Raw_Data!G2687</f>
        <v>no</v>
      </c>
      <c r="I2687" s="3" t="str">
        <f aca="false">Raw_Data!H2687</f>
        <v>no</v>
      </c>
      <c r="J2687" s="2" t="n">
        <f aca="false">IF(F2687="yes",1,0)</f>
        <v>0</v>
      </c>
      <c r="K2687" s="2" t="n">
        <f aca="false">IF(H2687="yes",1,0)</f>
        <v>0</v>
      </c>
      <c r="L2687" s="2" t="n">
        <f aca="false">IF(I2687="yes",1,0)</f>
        <v>0</v>
      </c>
      <c r="M2687" s="2" t="n">
        <f aca="false">IF(G2687&lt;0,1,0)</f>
        <v>0</v>
      </c>
      <c r="N2687" s="2" t="str">
        <f aca="false">_xlfn.IFS(B2687&lt;30,"Under 30",B2687&lt;40,"30-39",B2687&lt;50,"40-49",B2687&lt;60,"50-59",TRUE(),"60+")</f>
        <v>40-49</v>
      </c>
      <c r="O2687" s="2" t="str">
        <f aca="false">_xlfn.IFS(G2687&lt;0,"1 Negative",G2687=0,"2 Zero",G2687&lt;=500,"3 1-500",G2687&lt;=2000,"4 501-2000",TRUE(),"5 Above 2000")</f>
        <v>2 Zero</v>
      </c>
      <c r="P2687" s="2" t="n">
        <f aca="false">Lookups!$B$2*M2687+Lookups!$B$3*L2687</f>
        <v>0</v>
      </c>
      <c r="Q2687" s="2" t="str">
        <f aca="false">INDEX(Lookups!$E$2:$E$5,MATCH(P2687,Lookups!$D$2:$D$5,0))</f>
        <v>Low</v>
      </c>
    </row>
    <row r="2688" customFormat="false" ht="15" hidden="false" customHeight="false" outlineLevel="0" collapsed="false">
      <c r="A2688" s="3" t="n">
        <v>2687</v>
      </c>
      <c r="B2688" s="3" t="n">
        <f aca="false">Raw_Data!A2688</f>
        <v>31</v>
      </c>
      <c r="C2688" s="3" t="str">
        <f aca="false">SUBSTITUTE(Raw_Data!B2688,".","")</f>
        <v>blue-collar</v>
      </c>
      <c r="D2688" s="3" t="str">
        <f aca="false">Raw_Data!C2688</f>
        <v>married</v>
      </c>
      <c r="E2688" s="3" t="str">
        <f aca="false">Raw_Data!D2688</f>
        <v>secondary</v>
      </c>
      <c r="F2688" s="3" t="str">
        <f aca="false">Raw_Data!E2688</f>
        <v>no</v>
      </c>
      <c r="G2688" s="3" t="n">
        <f aca="false">Raw_Data!F2688</f>
        <v>0</v>
      </c>
      <c r="H2688" s="3" t="str">
        <f aca="false">Raw_Data!G2688</f>
        <v>no</v>
      </c>
      <c r="I2688" s="3" t="str">
        <f aca="false">Raw_Data!H2688</f>
        <v>yes</v>
      </c>
      <c r="J2688" s="2" t="n">
        <f aca="false">IF(F2688="yes",1,0)</f>
        <v>0</v>
      </c>
      <c r="K2688" s="2" t="n">
        <f aca="false">IF(H2688="yes",1,0)</f>
        <v>0</v>
      </c>
      <c r="L2688" s="2" t="n">
        <f aca="false">IF(I2688="yes",1,0)</f>
        <v>1</v>
      </c>
      <c r="M2688" s="2" t="n">
        <f aca="false">IF(G2688&lt;0,1,0)</f>
        <v>0</v>
      </c>
      <c r="N2688" s="2" t="str">
        <f aca="false">_xlfn.IFS(B2688&lt;30,"Under 30",B2688&lt;40,"30-39",B2688&lt;50,"40-49",B2688&lt;60,"50-59",TRUE(),"60+")</f>
        <v>30-39</v>
      </c>
      <c r="O2688" s="2" t="str">
        <f aca="false">_xlfn.IFS(G2688&lt;0,"1 Negative",G2688=0,"2 Zero",G2688&lt;=500,"3 1-500",G2688&lt;=2000,"4 501-2000",TRUE(),"5 Above 2000")</f>
        <v>2 Zero</v>
      </c>
      <c r="P2688" s="2" t="n">
        <f aca="false">Lookups!$B$2*M2688+Lookups!$B$3*L2688</f>
        <v>1</v>
      </c>
      <c r="Q2688" s="2" t="str">
        <f aca="false">INDEX(Lookups!$E$2:$E$5,MATCH(P2688,Lookups!$D$2:$D$5,0))</f>
        <v>Medium</v>
      </c>
    </row>
    <row r="2689" customFormat="false" ht="15" hidden="false" customHeight="false" outlineLevel="0" collapsed="false">
      <c r="A2689" s="3" t="n">
        <v>2688</v>
      </c>
      <c r="B2689" s="3" t="n">
        <f aca="false">Raw_Data!A2689</f>
        <v>45</v>
      </c>
      <c r="C2689" s="3" t="str">
        <f aca="false">SUBSTITUTE(Raw_Data!B2689,".","")</f>
        <v>technician</v>
      </c>
      <c r="D2689" s="3" t="str">
        <f aca="false">Raw_Data!C2689</f>
        <v>married</v>
      </c>
      <c r="E2689" s="3" t="str">
        <f aca="false">Raw_Data!D2689</f>
        <v>secondary</v>
      </c>
      <c r="F2689" s="3" t="str">
        <f aca="false">Raw_Data!E2689</f>
        <v>no</v>
      </c>
      <c r="G2689" s="3" t="n">
        <f aca="false">Raw_Data!F2689</f>
        <v>1673</v>
      </c>
      <c r="H2689" s="3" t="str">
        <f aca="false">Raw_Data!G2689</f>
        <v>no</v>
      </c>
      <c r="I2689" s="3" t="str">
        <f aca="false">Raw_Data!H2689</f>
        <v>no</v>
      </c>
      <c r="J2689" s="2" t="n">
        <f aca="false">IF(F2689="yes",1,0)</f>
        <v>0</v>
      </c>
      <c r="K2689" s="2" t="n">
        <f aca="false">IF(H2689="yes",1,0)</f>
        <v>0</v>
      </c>
      <c r="L2689" s="2" t="n">
        <f aca="false">IF(I2689="yes",1,0)</f>
        <v>0</v>
      </c>
      <c r="M2689" s="2" t="n">
        <f aca="false">IF(G2689&lt;0,1,0)</f>
        <v>0</v>
      </c>
      <c r="N2689" s="2" t="str">
        <f aca="false">_xlfn.IFS(B2689&lt;30,"Under 30",B2689&lt;40,"30-39",B2689&lt;50,"40-49",B2689&lt;60,"50-59",TRUE(),"60+")</f>
        <v>40-49</v>
      </c>
      <c r="O2689" s="2" t="str">
        <f aca="false">_xlfn.IFS(G2689&lt;0,"1 Negative",G2689=0,"2 Zero",G2689&lt;=500,"3 1-500",G2689&lt;=2000,"4 501-2000",TRUE(),"5 Above 2000")</f>
        <v>4 501-2000</v>
      </c>
      <c r="P2689" s="2" t="n">
        <f aca="false">Lookups!$B$2*M2689+Lookups!$B$3*L2689</f>
        <v>0</v>
      </c>
      <c r="Q2689" s="2" t="str">
        <f aca="false">INDEX(Lookups!$E$2:$E$5,MATCH(P2689,Lookups!$D$2:$D$5,0))</f>
        <v>Low</v>
      </c>
    </row>
    <row r="2690" customFormat="false" ht="15" hidden="false" customHeight="false" outlineLevel="0" collapsed="false">
      <c r="A2690" s="3" t="n">
        <v>2689</v>
      </c>
      <c r="B2690" s="3" t="n">
        <f aca="false">Raw_Data!A2690</f>
        <v>27</v>
      </c>
      <c r="C2690" s="3" t="str">
        <f aca="false">SUBSTITUTE(Raw_Data!B2690,".","")</f>
        <v>services</v>
      </c>
      <c r="D2690" s="3" t="str">
        <f aca="false">Raw_Data!C2690</f>
        <v>married</v>
      </c>
      <c r="E2690" s="3" t="str">
        <f aca="false">Raw_Data!D2690</f>
        <v>secondary</v>
      </c>
      <c r="F2690" s="3" t="str">
        <f aca="false">Raw_Data!E2690</f>
        <v>no</v>
      </c>
      <c r="G2690" s="3" t="n">
        <f aca="false">Raw_Data!F2690</f>
        <v>-1202</v>
      </c>
      <c r="H2690" s="3" t="str">
        <f aca="false">Raw_Data!G2690</f>
        <v>yes</v>
      </c>
      <c r="I2690" s="3" t="str">
        <f aca="false">Raw_Data!H2690</f>
        <v>no</v>
      </c>
      <c r="J2690" s="2" t="n">
        <f aca="false">IF(F2690="yes",1,0)</f>
        <v>0</v>
      </c>
      <c r="K2690" s="2" t="n">
        <f aca="false">IF(H2690="yes",1,0)</f>
        <v>1</v>
      </c>
      <c r="L2690" s="2" t="n">
        <f aca="false">IF(I2690="yes",1,0)</f>
        <v>0</v>
      </c>
      <c r="M2690" s="2" t="n">
        <f aca="false">IF(G2690&lt;0,1,0)</f>
        <v>1</v>
      </c>
      <c r="N2690" s="2" t="str">
        <f aca="false">_xlfn.IFS(B2690&lt;30,"Under 30",B2690&lt;40,"30-39",B2690&lt;50,"40-49",B2690&lt;60,"50-59",TRUE(),"60+")</f>
        <v>Under 30</v>
      </c>
      <c r="O2690" s="2" t="str">
        <f aca="false">_xlfn.IFS(G2690&lt;0,"1 Negative",G2690=0,"2 Zero",G2690&lt;=500,"3 1-500",G2690&lt;=2000,"4 501-2000",TRUE(),"5 Above 2000")</f>
        <v>1 Negative</v>
      </c>
      <c r="P2690" s="2" t="n">
        <f aca="false">Lookups!$B$2*M2690+Lookups!$B$3*L2690</f>
        <v>2</v>
      </c>
      <c r="Q2690" s="2" t="str">
        <f aca="false">INDEX(Lookups!$E$2:$E$5,MATCH(P2690,Lookups!$D$2:$D$5,0))</f>
        <v>High</v>
      </c>
    </row>
    <row r="2691" customFormat="false" ht="15" hidden="false" customHeight="false" outlineLevel="0" collapsed="false">
      <c r="A2691" s="3" t="n">
        <v>2690</v>
      </c>
      <c r="B2691" s="3" t="n">
        <f aca="false">Raw_Data!A2691</f>
        <v>30</v>
      </c>
      <c r="C2691" s="3" t="str">
        <f aca="false">SUBSTITUTE(Raw_Data!B2691,".","")</f>
        <v>management</v>
      </c>
      <c r="D2691" s="3" t="str">
        <f aca="false">Raw_Data!C2691</f>
        <v>single</v>
      </c>
      <c r="E2691" s="3" t="str">
        <f aca="false">Raw_Data!D2691</f>
        <v>tertiary</v>
      </c>
      <c r="F2691" s="3" t="str">
        <f aca="false">Raw_Data!E2691</f>
        <v>no</v>
      </c>
      <c r="G2691" s="3" t="n">
        <f aca="false">Raw_Data!F2691</f>
        <v>4213</v>
      </c>
      <c r="H2691" s="3" t="str">
        <f aca="false">Raw_Data!G2691</f>
        <v>no</v>
      </c>
      <c r="I2691" s="3" t="str">
        <f aca="false">Raw_Data!H2691</f>
        <v>no</v>
      </c>
      <c r="J2691" s="2" t="n">
        <f aca="false">IF(F2691="yes",1,0)</f>
        <v>0</v>
      </c>
      <c r="K2691" s="2" t="n">
        <f aca="false">IF(H2691="yes",1,0)</f>
        <v>0</v>
      </c>
      <c r="L2691" s="2" t="n">
        <f aca="false">IF(I2691="yes",1,0)</f>
        <v>0</v>
      </c>
      <c r="M2691" s="2" t="n">
        <f aca="false">IF(G2691&lt;0,1,0)</f>
        <v>0</v>
      </c>
      <c r="N2691" s="2" t="str">
        <f aca="false">_xlfn.IFS(B2691&lt;30,"Under 30",B2691&lt;40,"30-39",B2691&lt;50,"40-49",B2691&lt;60,"50-59",TRUE(),"60+")</f>
        <v>30-39</v>
      </c>
      <c r="O2691" s="2" t="str">
        <f aca="false">_xlfn.IFS(G2691&lt;0,"1 Negative",G2691=0,"2 Zero",G2691&lt;=500,"3 1-500",G2691&lt;=2000,"4 501-2000",TRUE(),"5 Above 2000")</f>
        <v>5 Above 2000</v>
      </c>
      <c r="P2691" s="2" t="n">
        <f aca="false">Lookups!$B$2*M2691+Lookups!$B$3*L2691</f>
        <v>0</v>
      </c>
      <c r="Q2691" s="2" t="str">
        <f aca="false">INDEX(Lookups!$E$2:$E$5,MATCH(P2691,Lookups!$D$2:$D$5,0))</f>
        <v>Low</v>
      </c>
    </row>
    <row r="2692" customFormat="false" ht="15" hidden="false" customHeight="false" outlineLevel="0" collapsed="false">
      <c r="A2692" s="3" t="n">
        <v>2691</v>
      </c>
      <c r="B2692" s="3" t="n">
        <f aca="false">Raw_Data!A2692</f>
        <v>45</v>
      </c>
      <c r="C2692" s="3" t="str">
        <f aca="false">SUBSTITUTE(Raw_Data!B2692,".","")</f>
        <v>blue-collar</v>
      </c>
      <c r="D2692" s="3" t="str">
        <f aca="false">Raw_Data!C2692</f>
        <v>married</v>
      </c>
      <c r="E2692" s="3" t="str">
        <f aca="false">Raw_Data!D2692</f>
        <v>primary</v>
      </c>
      <c r="F2692" s="3" t="str">
        <f aca="false">Raw_Data!E2692</f>
        <v>no</v>
      </c>
      <c r="G2692" s="3" t="n">
        <f aca="false">Raw_Data!F2692</f>
        <v>0</v>
      </c>
      <c r="H2692" s="3" t="str">
        <f aca="false">Raw_Data!G2692</f>
        <v>no</v>
      </c>
      <c r="I2692" s="3" t="str">
        <f aca="false">Raw_Data!H2692</f>
        <v>no</v>
      </c>
      <c r="J2692" s="2" t="n">
        <f aca="false">IF(F2692="yes",1,0)</f>
        <v>0</v>
      </c>
      <c r="K2692" s="2" t="n">
        <f aca="false">IF(H2692="yes",1,0)</f>
        <v>0</v>
      </c>
      <c r="L2692" s="2" t="n">
        <f aca="false">IF(I2692="yes",1,0)</f>
        <v>0</v>
      </c>
      <c r="M2692" s="2" t="n">
        <f aca="false">IF(G2692&lt;0,1,0)</f>
        <v>0</v>
      </c>
      <c r="N2692" s="2" t="str">
        <f aca="false">_xlfn.IFS(B2692&lt;30,"Under 30",B2692&lt;40,"30-39",B2692&lt;50,"40-49",B2692&lt;60,"50-59",TRUE(),"60+")</f>
        <v>40-49</v>
      </c>
      <c r="O2692" s="2" t="str">
        <f aca="false">_xlfn.IFS(G2692&lt;0,"1 Negative",G2692=0,"2 Zero",G2692&lt;=500,"3 1-500",G2692&lt;=2000,"4 501-2000",TRUE(),"5 Above 2000")</f>
        <v>2 Zero</v>
      </c>
      <c r="P2692" s="2" t="n">
        <f aca="false">Lookups!$B$2*M2692+Lookups!$B$3*L2692</f>
        <v>0</v>
      </c>
      <c r="Q2692" s="2" t="str">
        <f aca="false">INDEX(Lookups!$E$2:$E$5,MATCH(P2692,Lookups!$D$2:$D$5,0))</f>
        <v>Low</v>
      </c>
    </row>
    <row r="2693" customFormat="false" ht="15" hidden="false" customHeight="false" outlineLevel="0" collapsed="false">
      <c r="A2693" s="3" t="n">
        <v>2692</v>
      </c>
      <c r="B2693" s="3" t="n">
        <f aca="false">Raw_Data!A2693</f>
        <v>57</v>
      </c>
      <c r="C2693" s="3" t="str">
        <f aca="false">SUBSTITUTE(Raw_Data!B2693,".","")</f>
        <v>blue-collar</v>
      </c>
      <c r="D2693" s="3" t="str">
        <f aca="false">Raw_Data!C2693</f>
        <v>married</v>
      </c>
      <c r="E2693" s="3" t="str">
        <f aca="false">Raw_Data!D2693</f>
        <v>secondary</v>
      </c>
      <c r="F2693" s="3" t="str">
        <f aca="false">Raw_Data!E2693</f>
        <v>no</v>
      </c>
      <c r="G2693" s="3" t="n">
        <f aca="false">Raw_Data!F2693</f>
        <v>1521</v>
      </c>
      <c r="H2693" s="3" t="str">
        <f aca="false">Raw_Data!G2693</f>
        <v>yes</v>
      </c>
      <c r="I2693" s="3" t="str">
        <f aca="false">Raw_Data!H2693</f>
        <v>yes</v>
      </c>
      <c r="J2693" s="2" t="n">
        <f aca="false">IF(F2693="yes",1,0)</f>
        <v>0</v>
      </c>
      <c r="K2693" s="2" t="n">
        <f aca="false">IF(H2693="yes",1,0)</f>
        <v>1</v>
      </c>
      <c r="L2693" s="2" t="n">
        <f aca="false">IF(I2693="yes",1,0)</f>
        <v>1</v>
      </c>
      <c r="M2693" s="2" t="n">
        <f aca="false">IF(G2693&lt;0,1,0)</f>
        <v>0</v>
      </c>
      <c r="N2693" s="2" t="str">
        <f aca="false">_xlfn.IFS(B2693&lt;30,"Under 30",B2693&lt;40,"30-39",B2693&lt;50,"40-49",B2693&lt;60,"50-59",TRUE(),"60+")</f>
        <v>50-59</v>
      </c>
      <c r="O2693" s="2" t="str">
        <f aca="false">_xlfn.IFS(G2693&lt;0,"1 Negative",G2693=0,"2 Zero",G2693&lt;=500,"3 1-500",G2693&lt;=2000,"4 501-2000",TRUE(),"5 Above 2000")</f>
        <v>4 501-2000</v>
      </c>
      <c r="P2693" s="2" t="n">
        <f aca="false">Lookups!$B$2*M2693+Lookups!$B$3*L2693</f>
        <v>1</v>
      </c>
      <c r="Q2693" s="2" t="str">
        <f aca="false">INDEX(Lookups!$E$2:$E$5,MATCH(P2693,Lookups!$D$2:$D$5,0))</f>
        <v>Medium</v>
      </c>
    </row>
    <row r="2694" customFormat="false" ht="15" hidden="false" customHeight="false" outlineLevel="0" collapsed="false">
      <c r="A2694" s="3" t="n">
        <v>2693</v>
      </c>
      <c r="B2694" s="3" t="n">
        <f aca="false">Raw_Data!A2694</f>
        <v>34</v>
      </c>
      <c r="C2694" s="3" t="str">
        <f aca="false">SUBSTITUTE(Raw_Data!B2694,".","")</f>
        <v>management</v>
      </c>
      <c r="D2694" s="3" t="str">
        <f aca="false">Raw_Data!C2694</f>
        <v>married</v>
      </c>
      <c r="E2694" s="3" t="str">
        <f aca="false">Raw_Data!D2694</f>
        <v>tertiary</v>
      </c>
      <c r="F2694" s="3" t="str">
        <f aca="false">Raw_Data!E2694</f>
        <v>no</v>
      </c>
      <c r="G2694" s="3" t="n">
        <f aca="false">Raw_Data!F2694</f>
        <v>1310</v>
      </c>
      <c r="H2694" s="3" t="str">
        <f aca="false">Raw_Data!G2694</f>
        <v>no</v>
      </c>
      <c r="I2694" s="3" t="str">
        <f aca="false">Raw_Data!H2694</f>
        <v>no</v>
      </c>
      <c r="J2694" s="2" t="n">
        <f aca="false">IF(F2694="yes",1,0)</f>
        <v>0</v>
      </c>
      <c r="K2694" s="2" t="n">
        <f aca="false">IF(H2694="yes",1,0)</f>
        <v>0</v>
      </c>
      <c r="L2694" s="2" t="n">
        <f aca="false">IF(I2694="yes",1,0)</f>
        <v>0</v>
      </c>
      <c r="M2694" s="2" t="n">
        <f aca="false">IF(G2694&lt;0,1,0)</f>
        <v>0</v>
      </c>
      <c r="N2694" s="2" t="str">
        <f aca="false">_xlfn.IFS(B2694&lt;30,"Under 30",B2694&lt;40,"30-39",B2694&lt;50,"40-49",B2694&lt;60,"50-59",TRUE(),"60+")</f>
        <v>30-39</v>
      </c>
      <c r="O2694" s="2" t="str">
        <f aca="false">_xlfn.IFS(G2694&lt;0,"1 Negative",G2694=0,"2 Zero",G2694&lt;=500,"3 1-500",G2694&lt;=2000,"4 501-2000",TRUE(),"5 Above 2000")</f>
        <v>4 501-2000</v>
      </c>
      <c r="P2694" s="2" t="n">
        <f aca="false">Lookups!$B$2*M2694+Lookups!$B$3*L2694</f>
        <v>0</v>
      </c>
      <c r="Q2694" s="2" t="str">
        <f aca="false">INDEX(Lookups!$E$2:$E$5,MATCH(P2694,Lookups!$D$2:$D$5,0))</f>
        <v>Low</v>
      </c>
    </row>
    <row r="2695" customFormat="false" ht="15" hidden="false" customHeight="false" outlineLevel="0" collapsed="false">
      <c r="A2695" s="3" t="n">
        <v>2694</v>
      </c>
      <c r="B2695" s="3" t="n">
        <f aca="false">Raw_Data!A2695</f>
        <v>40</v>
      </c>
      <c r="C2695" s="3" t="str">
        <f aca="false">SUBSTITUTE(Raw_Data!B2695,".","")</f>
        <v>admin</v>
      </c>
      <c r="D2695" s="3" t="str">
        <f aca="false">Raw_Data!C2695</f>
        <v>married</v>
      </c>
      <c r="E2695" s="3" t="str">
        <f aca="false">Raw_Data!D2695</f>
        <v>secondary</v>
      </c>
      <c r="F2695" s="3" t="str">
        <f aca="false">Raw_Data!E2695</f>
        <v>no</v>
      </c>
      <c r="G2695" s="3" t="n">
        <f aca="false">Raw_Data!F2695</f>
        <v>0</v>
      </c>
      <c r="H2695" s="3" t="str">
        <f aca="false">Raw_Data!G2695</f>
        <v>yes</v>
      </c>
      <c r="I2695" s="3" t="str">
        <f aca="false">Raw_Data!H2695</f>
        <v>yes</v>
      </c>
      <c r="J2695" s="2" t="n">
        <f aca="false">IF(F2695="yes",1,0)</f>
        <v>0</v>
      </c>
      <c r="K2695" s="2" t="n">
        <f aca="false">IF(H2695="yes",1,0)</f>
        <v>1</v>
      </c>
      <c r="L2695" s="2" t="n">
        <f aca="false">IF(I2695="yes",1,0)</f>
        <v>1</v>
      </c>
      <c r="M2695" s="2" t="n">
        <f aca="false">IF(G2695&lt;0,1,0)</f>
        <v>0</v>
      </c>
      <c r="N2695" s="2" t="str">
        <f aca="false">_xlfn.IFS(B2695&lt;30,"Under 30",B2695&lt;40,"30-39",B2695&lt;50,"40-49",B2695&lt;60,"50-59",TRUE(),"60+")</f>
        <v>40-49</v>
      </c>
      <c r="O2695" s="2" t="str">
        <f aca="false">_xlfn.IFS(G2695&lt;0,"1 Negative",G2695=0,"2 Zero",G2695&lt;=500,"3 1-500",G2695&lt;=2000,"4 501-2000",TRUE(),"5 Above 2000")</f>
        <v>2 Zero</v>
      </c>
      <c r="P2695" s="2" t="n">
        <f aca="false">Lookups!$B$2*M2695+Lookups!$B$3*L2695</f>
        <v>1</v>
      </c>
      <c r="Q2695" s="2" t="str">
        <f aca="false">INDEX(Lookups!$E$2:$E$5,MATCH(P2695,Lookups!$D$2:$D$5,0))</f>
        <v>Medium</v>
      </c>
    </row>
    <row r="2696" customFormat="false" ht="15" hidden="false" customHeight="false" outlineLevel="0" collapsed="false">
      <c r="A2696" s="3" t="n">
        <v>2695</v>
      </c>
      <c r="B2696" s="3" t="n">
        <f aca="false">Raw_Data!A2696</f>
        <v>39</v>
      </c>
      <c r="C2696" s="3" t="str">
        <f aca="false">SUBSTITUTE(Raw_Data!B2696,".","")</f>
        <v>management</v>
      </c>
      <c r="D2696" s="3" t="str">
        <f aca="false">Raw_Data!C2696</f>
        <v>married</v>
      </c>
      <c r="E2696" s="3" t="str">
        <f aca="false">Raw_Data!D2696</f>
        <v>tertiary</v>
      </c>
      <c r="F2696" s="3" t="str">
        <f aca="false">Raw_Data!E2696</f>
        <v>no</v>
      </c>
      <c r="G2696" s="3" t="n">
        <f aca="false">Raw_Data!F2696</f>
        <v>399</v>
      </c>
      <c r="H2696" s="3" t="str">
        <f aca="false">Raw_Data!G2696</f>
        <v>no</v>
      </c>
      <c r="I2696" s="3" t="str">
        <f aca="false">Raw_Data!H2696</f>
        <v>no</v>
      </c>
      <c r="J2696" s="2" t="n">
        <f aca="false">IF(F2696="yes",1,0)</f>
        <v>0</v>
      </c>
      <c r="K2696" s="2" t="n">
        <f aca="false">IF(H2696="yes",1,0)</f>
        <v>0</v>
      </c>
      <c r="L2696" s="2" t="n">
        <f aca="false">IF(I2696="yes",1,0)</f>
        <v>0</v>
      </c>
      <c r="M2696" s="2" t="n">
        <f aca="false">IF(G2696&lt;0,1,0)</f>
        <v>0</v>
      </c>
      <c r="N2696" s="2" t="str">
        <f aca="false">_xlfn.IFS(B2696&lt;30,"Under 30",B2696&lt;40,"30-39",B2696&lt;50,"40-49",B2696&lt;60,"50-59",TRUE(),"60+")</f>
        <v>30-39</v>
      </c>
      <c r="O2696" s="2" t="str">
        <f aca="false">_xlfn.IFS(G2696&lt;0,"1 Negative",G2696=0,"2 Zero",G2696&lt;=500,"3 1-500",G2696&lt;=2000,"4 501-2000",TRUE(),"5 Above 2000")</f>
        <v>3 1-500</v>
      </c>
      <c r="P2696" s="2" t="n">
        <f aca="false">Lookups!$B$2*M2696+Lookups!$B$3*L2696</f>
        <v>0</v>
      </c>
      <c r="Q2696" s="2" t="str">
        <f aca="false">INDEX(Lookups!$E$2:$E$5,MATCH(P2696,Lookups!$D$2:$D$5,0))</f>
        <v>Low</v>
      </c>
    </row>
    <row r="2697" customFormat="false" ht="15" hidden="false" customHeight="false" outlineLevel="0" collapsed="false">
      <c r="A2697" s="3" t="n">
        <v>2696</v>
      </c>
      <c r="B2697" s="3" t="n">
        <f aca="false">Raw_Data!A2697</f>
        <v>46</v>
      </c>
      <c r="C2697" s="3" t="str">
        <f aca="false">SUBSTITUTE(Raw_Data!B2697,".","")</f>
        <v>technician</v>
      </c>
      <c r="D2697" s="3" t="str">
        <f aca="false">Raw_Data!C2697</f>
        <v>married</v>
      </c>
      <c r="E2697" s="3" t="str">
        <f aca="false">Raw_Data!D2697</f>
        <v>tertiary</v>
      </c>
      <c r="F2697" s="3" t="str">
        <f aca="false">Raw_Data!E2697</f>
        <v>no</v>
      </c>
      <c r="G2697" s="3" t="n">
        <f aca="false">Raw_Data!F2697</f>
        <v>405</v>
      </c>
      <c r="H2697" s="3" t="str">
        <f aca="false">Raw_Data!G2697</f>
        <v>no</v>
      </c>
      <c r="I2697" s="3" t="str">
        <f aca="false">Raw_Data!H2697</f>
        <v>no</v>
      </c>
      <c r="J2697" s="2" t="n">
        <f aca="false">IF(F2697="yes",1,0)</f>
        <v>0</v>
      </c>
      <c r="K2697" s="2" t="n">
        <f aca="false">IF(H2697="yes",1,0)</f>
        <v>0</v>
      </c>
      <c r="L2697" s="2" t="n">
        <f aca="false">IF(I2697="yes",1,0)</f>
        <v>0</v>
      </c>
      <c r="M2697" s="2" t="n">
        <f aca="false">IF(G2697&lt;0,1,0)</f>
        <v>0</v>
      </c>
      <c r="N2697" s="2" t="str">
        <f aca="false">_xlfn.IFS(B2697&lt;30,"Under 30",B2697&lt;40,"30-39",B2697&lt;50,"40-49",B2697&lt;60,"50-59",TRUE(),"60+")</f>
        <v>40-49</v>
      </c>
      <c r="O2697" s="2" t="str">
        <f aca="false">_xlfn.IFS(G2697&lt;0,"1 Negative",G2697=0,"2 Zero",G2697&lt;=500,"3 1-500",G2697&lt;=2000,"4 501-2000",TRUE(),"5 Above 2000")</f>
        <v>3 1-500</v>
      </c>
      <c r="P2697" s="2" t="n">
        <f aca="false">Lookups!$B$2*M2697+Lookups!$B$3*L2697</f>
        <v>0</v>
      </c>
      <c r="Q2697" s="2" t="str">
        <f aca="false">INDEX(Lookups!$E$2:$E$5,MATCH(P2697,Lookups!$D$2:$D$5,0))</f>
        <v>Low</v>
      </c>
    </row>
    <row r="2698" customFormat="false" ht="15" hidden="false" customHeight="false" outlineLevel="0" collapsed="false">
      <c r="A2698" s="3" t="n">
        <v>2697</v>
      </c>
      <c r="B2698" s="3" t="n">
        <f aca="false">Raw_Data!A2698</f>
        <v>55</v>
      </c>
      <c r="C2698" s="3" t="str">
        <f aca="false">SUBSTITUTE(Raw_Data!B2698,".","")</f>
        <v>management</v>
      </c>
      <c r="D2698" s="3" t="str">
        <f aca="false">Raw_Data!C2698</f>
        <v>divorced</v>
      </c>
      <c r="E2698" s="3" t="str">
        <f aca="false">Raw_Data!D2698</f>
        <v>tertiary</v>
      </c>
      <c r="F2698" s="3" t="str">
        <f aca="false">Raw_Data!E2698</f>
        <v>no</v>
      </c>
      <c r="G2698" s="3" t="n">
        <f aca="false">Raw_Data!F2698</f>
        <v>9756</v>
      </c>
      <c r="H2698" s="3" t="str">
        <f aca="false">Raw_Data!G2698</f>
        <v>yes</v>
      </c>
      <c r="I2698" s="3" t="str">
        <f aca="false">Raw_Data!H2698</f>
        <v>no</v>
      </c>
      <c r="J2698" s="2" t="n">
        <f aca="false">IF(F2698="yes",1,0)</f>
        <v>0</v>
      </c>
      <c r="K2698" s="2" t="n">
        <f aca="false">IF(H2698="yes",1,0)</f>
        <v>1</v>
      </c>
      <c r="L2698" s="2" t="n">
        <f aca="false">IF(I2698="yes",1,0)</f>
        <v>0</v>
      </c>
      <c r="M2698" s="2" t="n">
        <f aca="false">IF(G2698&lt;0,1,0)</f>
        <v>0</v>
      </c>
      <c r="N2698" s="2" t="str">
        <f aca="false">_xlfn.IFS(B2698&lt;30,"Under 30",B2698&lt;40,"30-39",B2698&lt;50,"40-49",B2698&lt;60,"50-59",TRUE(),"60+")</f>
        <v>50-59</v>
      </c>
      <c r="O2698" s="2" t="str">
        <f aca="false">_xlfn.IFS(G2698&lt;0,"1 Negative",G2698=0,"2 Zero",G2698&lt;=500,"3 1-500",G2698&lt;=2000,"4 501-2000",TRUE(),"5 Above 2000")</f>
        <v>5 Above 2000</v>
      </c>
      <c r="P2698" s="2" t="n">
        <f aca="false">Lookups!$B$2*M2698+Lookups!$B$3*L2698</f>
        <v>0</v>
      </c>
      <c r="Q2698" s="2" t="str">
        <f aca="false">INDEX(Lookups!$E$2:$E$5,MATCH(P2698,Lookups!$D$2:$D$5,0))</f>
        <v>Low</v>
      </c>
    </row>
    <row r="2699" customFormat="false" ht="15" hidden="false" customHeight="false" outlineLevel="0" collapsed="false">
      <c r="A2699" s="3" t="n">
        <v>2698</v>
      </c>
      <c r="B2699" s="3" t="n">
        <f aca="false">Raw_Data!A2699</f>
        <v>25</v>
      </c>
      <c r="C2699" s="3" t="str">
        <f aca="false">SUBSTITUTE(Raw_Data!B2699,".","")</f>
        <v>management</v>
      </c>
      <c r="D2699" s="3" t="str">
        <f aca="false">Raw_Data!C2699</f>
        <v>single</v>
      </c>
      <c r="E2699" s="3" t="str">
        <f aca="false">Raw_Data!D2699</f>
        <v>tertiary</v>
      </c>
      <c r="F2699" s="3" t="str">
        <f aca="false">Raw_Data!E2699</f>
        <v>no</v>
      </c>
      <c r="G2699" s="3" t="n">
        <f aca="false">Raw_Data!F2699</f>
        <v>2506</v>
      </c>
      <c r="H2699" s="3" t="str">
        <f aca="false">Raw_Data!G2699</f>
        <v>no</v>
      </c>
      <c r="I2699" s="3" t="str">
        <f aca="false">Raw_Data!H2699</f>
        <v>no</v>
      </c>
      <c r="J2699" s="2" t="n">
        <f aca="false">IF(F2699="yes",1,0)</f>
        <v>0</v>
      </c>
      <c r="K2699" s="2" t="n">
        <f aca="false">IF(H2699="yes",1,0)</f>
        <v>0</v>
      </c>
      <c r="L2699" s="2" t="n">
        <f aca="false">IF(I2699="yes",1,0)</f>
        <v>0</v>
      </c>
      <c r="M2699" s="2" t="n">
        <f aca="false">IF(G2699&lt;0,1,0)</f>
        <v>0</v>
      </c>
      <c r="N2699" s="2" t="str">
        <f aca="false">_xlfn.IFS(B2699&lt;30,"Under 30",B2699&lt;40,"30-39",B2699&lt;50,"40-49",B2699&lt;60,"50-59",TRUE(),"60+")</f>
        <v>Under 30</v>
      </c>
      <c r="O2699" s="2" t="str">
        <f aca="false">_xlfn.IFS(G2699&lt;0,"1 Negative",G2699=0,"2 Zero",G2699&lt;=500,"3 1-500",G2699&lt;=2000,"4 501-2000",TRUE(),"5 Above 2000")</f>
        <v>5 Above 2000</v>
      </c>
      <c r="P2699" s="2" t="n">
        <f aca="false">Lookups!$B$2*M2699+Lookups!$B$3*L2699</f>
        <v>0</v>
      </c>
      <c r="Q2699" s="2" t="str">
        <f aca="false">INDEX(Lookups!$E$2:$E$5,MATCH(P2699,Lookups!$D$2:$D$5,0))</f>
        <v>Low</v>
      </c>
    </row>
    <row r="2700" customFormat="false" ht="15" hidden="false" customHeight="false" outlineLevel="0" collapsed="false">
      <c r="A2700" s="3" t="n">
        <v>2699</v>
      </c>
      <c r="B2700" s="3" t="n">
        <f aca="false">Raw_Data!A2700</f>
        <v>34</v>
      </c>
      <c r="C2700" s="3" t="str">
        <f aca="false">SUBSTITUTE(Raw_Data!B2700,".","")</f>
        <v>management</v>
      </c>
      <c r="D2700" s="3" t="str">
        <f aca="false">Raw_Data!C2700</f>
        <v>married</v>
      </c>
      <c r="E2700" s="3" t="str">
        <f aca="false">Raw_Data!D2700</f>
        <v>tertiary</v>
      </c>
      <c r="F2700" s="3" t="str">
        <f aca="false">Raw_Data!E2700</f>
        <v>no</v>
      </c>
      <c r="G2700" s="3" t="n">
        <f aca="false">Raw_Data!F2700</f>
        <v>697</v>
      </c>
      <c r="H2700" s="3" t="str">
        <f aca="false">Raw_Data!G2700</f>
        <v>no</v>
      </c>
      <c r="I2700" s="3" t="str">
        <f aca="false">Raw_Data!H2700</f>
        <v>no</v>
      </c>
      <c r="J2700" s="2" t="n">
        <f aca="false">IF(F2700="yes",1,0)</f>
        <v>0</v>
      </c>
      <c r="K2700" s="2" t="n">
        <f aca="false">IF(H2700="yes",1,0)</f>
        <v>0</v>
      </c>
      <c r="L2700" s="2" t="n">
        <f aca="false">IF(I2700="yes",1,0)</f>
        <v>0</v>
      </c>
      <c r="M2700" s="2" t="n">
        <f aca="false">IF(G2700&lt;0,1,0)</f>
        <v>0</v>
      </c>
      <c r="N2700" s="2" t="str">
        <f aca="false">_xlfn.IFS(B2700&lt;30,"Under 30",B2700&lt;40,"30-39",B2700&lt;50,"40-49",B2700&lt;60,"50-59",TRUE(),"60+")</f>
        <v>30-39</v>
      </c>
      <c r="O2700" s="2" t="str">
        <f aca="false">_xlfn.IFS(G2700&lt;0,"1 Negative",G2700=0,"2 Zero",G2700&lt;=500,"3 1-500",G2700&lt;=2000,"4 501-2000",TRUE(),"5 Above 2000")</f>
        <v>4 501-2000</v>
      </c>
      <c r="P2700" s="2" t="n">
        <f aca="false">Lookups!$B$2*M2700+Lookups!$B$3*L2700</f>
        <v>0</v>
      </c>
      <c r="Q2700" s="2" t="str">
        <f aca="false">INDEX(Lookups!$E$2:$E$5,MATCH(P2700,Lookups!$D$2:$D$5,0))</f>
        <v>Low</v>
      </c>
    </row>
    <row r="2701" customFormat="false" ht="15" hidden="false" customHeight="false" outlineLevel="0" collapsed="false">
      <c r="A2701" s="3" t="n">
        <v>2700</v>
      </c>
      <c r="B2701" s="3" t="n">
        <f aca="false">Raw_Data!A2701</f>
        <v>37</v>
      </c>
      <c r="C2701" s="3" t="str">
        <f aca="false">SUBSTITUTE(Raw_Data!B2701,".","")</f>
        <v>blue-collar</v>
      </c>
      <c r="D2701" s="3" t="str">
        <f aca="false">Raw_Data!C2701</f>
        <v>married</v>
      </c>
      <c r="E2701" s="3" t="str">
        <f aca="false">Raw_Data!D2701</f>
        <v>primary</v>
      </c>
      <c r="F2701" s="3" t="str">
        <f aca="false">Raw_Data!E2701</f>
        <v>no</v>
      </c>
      <c r="G2701" s="3" t="n">
        <f aca="false">Raw_Data!F2701</f>
        <v>403</v>
      </c>
      <c r="H2701" s="3" t="str">
        <f aca="false">Raw_Data!G2701</f>
        <v>yes</v>
      </c>
      <c r="I2701" s="3" t="str">
        <f aca="false">Raw_Data!H2701</f>
        <v>no</v>
      </c>
      <c r="J2701" s="2" t="n">
        <f aca="false">IF(F2701="yes",1,0)</f>
        <v>0</v>
      </c>
      <c r="K2701" s="2" t="n">
        <f aca="false">IF(H2701="yes",1,0)</f>
        <v>1</v>
      </c>
      <c r="L2701" s="2" t="n">
        <f aca="false">IF(I2701="yes",1,0)</f>
        <v>0</v>
      </c>
      <c r="M2701" s="2" t="n">
        <f aca="false">IF(G2701&lt;0,1,0)</f>
        <v>0</v>
      </c>
      <c r="N2701" s="2" t="str">
        <f aca="false">_xlfn.IFS(B2701&lt;30,"Under 30",B2701&lt;40,"30-39",B2701&lt;50,"40-49",B2701&lt;60,"50-59",TRUE(),"60+")</f>
        <v>30-39</v>
      </c>
      <c r="O2701" s="2" t="str">
        <f aca="false">_xlfn.IFS(G2701&lt;0,"1 Negative",G2701=0,"2 Zero",G2701&lt;=500,"3 1-500",G2701&lt;=2000,"4 501-2000",TRUE(),"5 Above 2000")</f>
        <v>3 1-500</v>
      </c>
      <c r="P2701" s="2" t="n">
        <f aca="false">Lookups!$B$2*M2701+Lookups!$B$3*L2701</f>
        <v>0</v>
      </c>
      <c r="Q2701" s="2" t="str">
        <f aca="false">INDEX(Lookups!$E$2:$E$5,MATCH(P2701,Lookups!$D$2:$D$5,0))</f>
        <v>Low</v>
      </c>
    </row>
    <row r="2702" customFormat="false" ht="15" hidden="false" customHeight="false" outlineLevel="0" collapsed="false">
      <c r="A2702" s="3" t="n">
        <v>2701</v>
      </c>
      <c r="B2702" s="3" t="n">
        <f aca="false">Raw_Data!A2702</f>
        <v>64</v>
      </c>
      <c r="C2702" s="3" t="str">
        <f aca="false">SUBSTITUTE(Raw_Data!B2702,".","")</f>
        <v>retired</v>
      </c>
      <c r="D2702" s="3" t="str">
        <f aca="false">Raw_Data!C2702</f>
        <v>divorced</v>
      </c>
      <c r="E2702" s="3" t="str">
        <f aca="false">Raw_Data!D2702</f>
        <v>tertiary</v>
      </c>
      <c r="F2702" s="3" t="str">
        <f aca="false">Raw_Data!E2702</f>
        <v>no</v>
      </c>
      <c r="G2702" s="3" t="n">
        <f aca="false">Raw_Data!F2702</f>
        <v>890</v>
      </c>
      <c r="H2702" s="3" t="str">
        <f aca="false">Raw_Data!G2702</f>
        <v>no</v>
      </c>
      <c r="I2702" s="3" t="str">
        <f aca="false">Raw_Data!H2702</f>
        <v>no</v>
      </c>
      <c r="J2702" s="2" t="n">
        <f aca="false">IF(F2702="yes",1,0)</f>
        <v>0</v>
      </c>
      <c r="K2702" s="2" t="n">
        <f aca="false">IF(H2702="yes",1,0)</f>
        <v>0</v>
      </c>
      <c r="L2702" s="2" t="n">
        <f aca="false">IF(I2702="yes",1,0)</f>
        <v>0</v>
      </c>
      <c r="M2702" s="2" t="n">
        <f aca="false">IF(G2702&lt;0,1,0)</f>
        <v>0</v>
      </c>
      <c r="N2702" s="2" t="str">
        <f aca="false">_xlfn.IFS(B2702&lt;30,"Under 30",B2702&lt;40,"30-39",B2702&lt;50,"40-49",B2702&lt;60,"50-59",TRUE(),"60+")</f>
        <v>60+</v>
      </c>
      <c r="O2702" s="2" t="str">
        <f aca="false">_xlfn.IFS(G2702&lt;0,"1 Negative",G2702=0,"2 Zero",G2702&lt;=500,"3 1-500",G2702&lt;=2000,"4 501-2000",TRUE(),"5 Above 2000")</f>
        <v>4 501-2000</v>
      </c>
      <c r="P2702" s="2" t="n">
        <f aca="false">Lookups!$B$2*M2702+Lookups!$B$3*L2702</f>
        <v>0</v>
      </c>
      <c r="Q2702" s="2" t="str">
        <f aca="false">INDEX(Lookups!$E$2:$E$5,MATCH(P2702,Lookups!$D$2:$D$5,0))</f>
        <v>Low</v>
      </c>
    </row>
    <row r="2703" customFormat="false" ht="15" hidden="false" customHeight="false" outlineLevel="0" collapsed="false">
      <c r="A2703" s="3" t="n">
        <v>2702</v>
      </c>
      <c r="B2703" s="3" t="n">
        <f aca="false">Raw_Data!A2703</f>
        <v>45</v>
      </c>
      <c r="C2703" s="3" t="str">
        <f aca="false">SUBSTITUTE(Raw_Data!B2703,".","")</f>
        <v>technician</v>
      </c>
      <c r="D2703" s="3" t="str">
        <f aca="false">Raw_Data!C2703</f>
        <v>divorced</v>
      </c>
      <c r="E2703" s="3" t="str">
        <f aca="false">Raw_Data!D2703</f>
        <v>secondary</v>
      </c>
      <c r="F2703" s="3" t="str">
        <f aca="false">Raw_Data!E2703</f>
        <v>no</v>
      </c>
      <c r="G2703" s="3" t="n">
        <f aca="false">Raw_Data!F2703</f>
        <v>809</v>
      </c>
      <c r="H2703" s="3" t="str">
        <f aca="false">Raw_Data!G2703</f>
        <v>yes</v>
      </c>
      <c r="I2703" s="3" t="str">
        <f aca="false">Raw_Data!H2703</f>
        <v>no</v>
      </c>
      <c r="J2703" s="2" t="n">
        <f aca="false">IF(F2703="yes",1,0)</f>
        <v>0</v>
      </c>
      <c r="K2703" s="2" t="n">
        <f aca="false">IF(H2703="yes",1,0)</f>
        <v>1</v>
      </c>
      <c r="L2703" s="2" t="n">
        <f aca="false">IF(I2703="yes",1,0)</f>
        <v>0</v>
      </c>
      <c r="M2703" s="2" t="n">
        <f aca="false">IF(G2703&lt;0,1,0)</f>
        <v>0</v>
      </c>
      <c r="N2703" s="2" t="str">
        <f aca="false">_xlfn.IFS(B2703&lt;30,"Under 30",B2703&lt;40,"30-39",B2703&lt;50,"40-49",B2703&lt;60,"50-59",TRUE(),"60+")</f>
        <v>40-49</v>
      </c>
      <c r="O2703" s="2" t="str">
        <f aca="false">_xlfn.IFS(G2703&lt;0,"1 Negative",G2703=0,"2 Zero",G2703&lt;=500,"3 1-500",G2703&lt;=2000,"4 501-2000",TRUE(),"5 Above 2000")</f>
        <v>4 501-2000</v>
      </c>
      <c r="P2703" s="2" t="n">
        <f aca="false">Lookups!$B$2*M2703+Lookups!$B$3*L2703</f>
        <v>0</v>
      </c>
      <c r="Q2703" s="2" t="str">
        <f aca="false">INDEX(Lookups!$E$2:$E$5,MATCH(P2703,Lookups!$D$2:$D$5,0))</f>
        <v>Low</v>
      </c>
    </row>
    <row r="2704" customFormat="false" ht="15" hidden="false" customHeight="false" outlineLevel="0" collapsed="false">
      <c r="A2704" s="3" t="n">
        <v>2703</v>
      </c>
      <c r="B2704" s="3" t="n">
        <f aca="false">Raw_Data!A2704</f>
        <v>57</v>
      </c>
      <c r="C2704" s="3" t="str">
        <f aca="false">SUBSTITUTE(Raw_Data!B2704,".","")</f>
        <v>housemaid</v>
      </c>
      <c r="D2704" s="3" t="str">
        <f aca="false">Raw_Data!C2704</f>
        <v>married</v>
      </c>
      <c r="E2704" s="3" t="str">
        <f aca="false">Raw_Data!D2704</f>
        <v>secondary</v>
      </c>
      <c r="F2704" s="3" t="str">
        <f aca="false">Raw_Data!E2704</f>
        <v>no</v>
      </c>
      <c r="G2704" s="3" t="n">
        <f aca="false">Raw_Data!F2704</f>
        <v>158</v>
      </c>
      <c r="H2704" s="3" t="str">
        <f aca="false">Raw_Data!G2704</f>
        <v>yes</v>
      </c>
      <c r="I2704" s="3" t="str">
        <f aca="false">Raw_Data!H2704</f>
        <v>no</v>
      </c>
      <c r="J2704" s="2" t="n">
        <f aca="false">IF(F2704="yes",1,0)</f>
        <v>0</v>
      </c>
      <c r="K2704" s="2" t="n">
        <f aca="false">IF(H2704="yes",1,0)</f>
        <v>1</v>
      </c>
      <c r="L2704" s="2" t="n">
        <f aca="false">IF(I2704="yes",1,0)</f>
        <v>0</v>
      </c>
      <c r="M2704" s="2" t="n">
        <f aca="false">IF(G2704&lt;0,1,0)</f>
        <v>0</v>
      </c>
      <c r="N2704" s="2" t="str">
        <f aca="false">_xlfn.IFS(B2704&lt;30,"Under 30",B2704&lt;40,"30-39",B2704&lt;50,"40-49",B2704&lt;60,"50-59",TRUE(),"60+")</f>
        <v>50-59</v>
      </c>
      <c r="O2704" s="2" t="str">
        <f aca="false">_xlfn.IFS(G2704&lt;0,"1 Negative",G2704=0,"2 Zero",G2704&lt;=500,"3 1-500",G2704&lt;=2000,"4 501-2000",TRUE(),"5 Above 2000")</f>
        <v>3 1-500</v>
      </c>
      <c r="P2704" s="2" t="n">
        <f aca="false">Lookups!$B$2*M2704+Lookups!$B$3*L2704</f>
        <v>0</v>
      </c>
      <c r="Q2704" s="2" t="str">
        <f aca="false">INDEX(Lookups!$E$2:$E$5,MATCH(P2704,Lookups!$D$2:$D$5,0))</f>
        <v>Low</v>
      </c>
    </row>
    <row r="2705" customFormat="false" ht="15" hidden="false" customHeight="false" outlineLevel="0" collapsed="false">
      <c r="A2705" s="3" t="n">
        <v>2704</v>
      </c>
      <c r="B2705" s="3" t="n">
        <f aca="false">Raw_Data!A2705</f>
        <v>21</v>
      </c>
      <c r="C2705" s="3" t="str">
        <f aca="false">SUBSTITUTE(Raw_Data!B2705,".","")</f>
        <v>student</v>
      </c>
      <c r="D2705" s="3" t="str">
        <f aca="false">Raw_Data!C2705</f>
        <v>single</v>
      </c>
      <c r="E2705" s="3" t="str">
        <f aca="false">Raw_Data!D2705</f>
        <v>unknown</v>
      </c>
      <c r="F2705" s="3" t="str">
        <f aca="false">Raw_Data!E2705</f>
        <v>no</v>
      </c>
      <c r="G2705" s="3" t="n">
        <f aca="false">Raw_Data!F2705</f>
        <v>137</v>
      </c>
      <c r="H2705" s="3" t="str">
        <f aca="false">Raw_Data!G2705</f>
        <v>yes</v>
      </c>
      <c r="I2705" s="3" t="str">
        <f aca="false">Raw_Data!H2705</f>
        <v>no</v>
      </c>
      <c r="J2705" s="2" t="n">
        <f aca="false">IF(F2705="yes",1,0)</f>
        <v>0</v>
      </c>
      <c r="K2705" s="2" t="n">
        <f aca="false">IF(H2705="yes",1,0)</f>
        <v>1</v>
      </c>
      <c r="L2705" s="2" t="n">
        <f aca="false">IF(I2705="yes",1,0)</f>
        <v>0</v>
      </c>
      <c r="M2705" s="2" t="n">
        <f aca="false">IF(G2705&lt;0,1,0)</f>
        <v>0</v>
      </c>
      <c r="N2705" s="2" t="str">
        <f aca="false">_xlfn.IFS(B2705&lt;30,"Under 30",B2705&lt;40,"30-39",B2705&lt;50,"40-49",B2705&lt;60,"50-59",TRUE(),"60+")</f>
        <v>Under 30</v>
      </c>
      <c r="O2705" s="2" t="str">
        <f aca="false">_xlfn.IFS(G2705&lt;0,"1 Negative",G2705=0,"2 Zero",G2705&lt;=500,"3 1-500",G2705&lt;=2000,"4 501-2000",TRUE(),"5 Above 2000")</f>
        <v>3 1-500</v>
      </c>
      <c r="P2705" s="2" t="n">
        <f aca="false">Lookups!$B$2*M2705+Lookups!$B$3*L2705</f>
        <v>0</v>
      </c>
      <c r="Q2705" s="2" t="str">
        <f aca="false">INDEX(Lookups!$E$2:$E$5,MATCH(P2705,Lookups!$D$2:$D$5,0))</f>
        <v>Low</v>
      </c>
    </row>
    <row r="2706" customFormat="false" ht="15" hidden="false" customHeight="false" outlineLevel="0" collapsed="false">
      <c r="A2706" s="3" t="n">
        <v>2705</v>
      </c>
      <c r="B2706" s="3" t="n">
        <f aca="false">Raw_Data!A2706</f>
        <v>58</v>
      </c>
      <c r="C2706" s="3" t="str">
        <f aca="false">SUBSTITUTE(Raw_Data!B2706,".","")</f>
        <v>housemaid</v>
      </c>
      <c r="D2706" s="3" t="str">
        <f aca="false">Raw_Data!C2706</f>
        <v>married</v>
      </c>
      <c r="E2706" s="3" t="str">
        <f aca="false">Raw_Data!D2706</f>
        <v>secondary</v>
      </c>
      <c r="F2706" s="3" t="str">
        <f aca="false">Raw_Data!E2706</f>
        <v>no</v>
      </c>
      <c r="G2706" s="3" t="n">
        <f aca="false">Raw_Data!F2706</f>
        <v>2705</v>
      </c>
      <c r="H2706" s="3" t="str">
        <f aca="false">Raw_Data!G2706</f>
        <v>no</v>
      </c>
      <c r="I2706" s="3" t="str">
        <f aca="false">Raw_Data!H2706</f>
        <v>no</v>
      </c>
      <c r="J2706" s="2" t="n">
        <f aca="false">IF(F2706="yes",1,0)</f>
        <v>0</v>
      </c>
      <c r="K2706" s="2" t="n">
        <f aca="false">IF(H2706="yes",1,0)</f>
        <v>0</v>
      </c>
      <c r="L2706" s="2" t="n">
        <f aca="false">IF(I2706="yes",1,0)</f>
        <v>0</v>
      </c>
      <c r="M2706" s="2" t="n">
        <f aca="false">IF(G2706&lt;0,1,0)</f>
        <v>0</v>
      </c>
      <c r="N2706" s="2" t="str">
        <f aca="false">_xlfn.IFS(B2706&lt;30,"Under 30",B2706&lt;40,"30-39",B2706&lt;50,"40-49",B2706&lt;60,"50-59",TRUE(),"60+")</f>
        <v>50-59</v>
      </c>
      <c r="O2706" s="2" t="str">
        <f aca="false">_xlfn.IFS(G2706&lt;0,"1 Negative",G2706=0,"2 Zero",G2706&lt;=500,"3 1-500",G2706&lt;=2000,"4 501-2000",TRUE(),"5 Above 2000")</f>
        <v>5 Above 2000</v>
      </c>
      <c r="P2706" s="2" t="n">
        <f aca="false">Lookups!$B$2*M2706+Lookups!$B$3*L2706</f>
        <v>0</v>
      </c>
      <c r="Q2706" s="2" t="str">
        <f aca="false">INDEX(Lookups!$E$2:$E$5,MATCH(P2706,Lookups!$D$2:$D$5,0))</f>
        <v>Low</v>
      </c>
    </row>
    <row r="2707" customFormat="false" ht="15" hidden="false" customHeight="false" outlineLevel="0" collapsed="false">
      <c r="A2707" s="3" t="n">
        <v>2706</v>
      </c>
      <c r="B2707" s="3" t="n">
        <f aca="false">Raw_Data!A2707</f>
        <v>41</v>
      </c>
      <c r="C2707" s="3" t="str">
        <f aca="false">SUBSTITUTE(Raw_Data!B2707,".","")</f>
        <v>blue-collar</v>
      </c>
      <c r="D2707" s="3" t="str">
        <f aca="false">Raw_Data!C2707</f>
        <v>single</v>
      </c>
      <c r="E2707" s="3" t="str">
        <f aca="false">Raw_Data!D2707</f>
        <v>secondary</v>
      </c>
      <c r="F2707" s="3" t="str">
        <f aca="false">Raw_Data!E2707</f>
        <v>no</v>
      </c>
      <c r="G2707" s="3" t="n">
        <f aca="false">Raw_Data!F2707</f>
        <v>75</v>
      </c>
      <c r="H2707" s="3" t="str">
        <f aca="false">Raw_Data!G2707</f>
        <v>yes</v>
      </c>
      <c r="I2707" s="3" t="str">
        <f aca="false">Raw_Data!H2707</f>
        <v>no</v>
      </c>
      <c r="J2707" s="2" t="n">
        <f aca="false">IF(F2707="yes",1,0)</f>
        <v>0</v>
      </c>
      <c r="K2707" s="2" t="n">
        <f aca="false">IF(H2707="yes",1,0)</f>
        <v>1</v>
      </c>
      <c r="L2707" s="2" t="n">
        <f aca="false">IF(I2707="yes",1,0)</f>
        <v>0</v>
      </c>
      <c r="M2707" s="2" t="n">
        <f aca="false">IF(G2707&lt;0,1,0)</f>
        <v>0</v>
      </c>
      <c r="N2707" s="2" t="str">
        <f aca="false">_xlfn.IFS(B2707&lt;30,"Under 30",B2707&lt;40,"30-39",B2707&lt;50,"40-49",B2707&lt;60,"50-59",TRUE(),"60+")</f>
        <v>40-49</v>
      </c>
      <c r="O2707" s="2" t="str">
        <f aca="false">_xlfn.IFS(G2707&lt;0,"1 Negative",G2707=0,"2 Zero",G2707&lt;=500,"3 1-500",G2707&lt;=2000,"4 501-2000",TRUE(),"5 Above 2000")</f>
        <v>3 1-500</v>
      </c>
      <c r="P2707" s="2" t="n">
        <f aca="false">Lookups!$B$2*M2707+Lookups!$B$3*L2707</f>
        <v>0</v>
      </c>
      <c r="Q2707" s="2" t="str">
        <f aca="false">INDEX(Lookups!$E$2:$E$5,MATCH(P2707,Lookups!$D$2:$D$5,0))</f>
        <v>Low</v>
      </c>
    </row>
    <row r="2708" customFormat="false" ht="15" hidden="false" customHeight="false" outlineLevel="0" collapsed="false">
      <c r="A2708" s="3" t="n">
        <v>2707</v>
      </c>
      <c r="B2708" s="3" t="n">
        <f aca="false">Raw_Data!A2708</f>
        <v>41</v>
      </c>
      <c r="C2708" s="3" t="str">
        <f aca="false">SUBSTITUTE(Raw_Data!B2708,".","")</f>
        <v>management</v>
      </c>
      <c r="D2708" s="3" t="str">
        <f aca="false">Raw_Data!C2708</f>
        <v>married</v>
      </c>
      <c r="E2708" s="3" t="str">
        <f aca="false">Raw_Data!D2708</f>
        <v>unknown</v>
      </c>
      <c r="F2708" s="3" t="str">
        <f aca="false">Raw_Data!E2708</f>
        <v>no</v>
      </c>
      <c r="G2708" s="3" t="n">
        <f aca="false">Raw_Data!F2708</f>
        <v>2457</v>
      </c>
      <c r="H2708" s="3" t="str">
        <f aca="false">Raw_Data!G2708</f>
        <v>yes</v>
      </c>
      <c r="I2708" s="3" t="str">
        <f aca="false">Raw_Data!H2708</f>
        <v>no</v>
      </c>
      <c r="J2708" s="2" t="n">
        <f aca="false">IF(F2708="yes",1,0)</f>
        <v>0</v>
      </c>
      <c r="K2708" s="2" t="n">
        <f aca="false">IF(H2708="yes",1,0)</f>
        <v>1</v>
      </c>
      <c r="L2708" s="2" t="n">
        <f aca="false">IF(I2708="yes",1,0)</f>
        <v>0</v>
      </c>
      <c r="M2708" s="2" t="n">
        <f aca="false">IF(G2708&lt;0,1,0)</f>
        <v>0</v>
      </c>
      <c r="N2708" s="2" t="str">
        <f aca="false">_xlfn.IFS(B2708&lt;30,"Under 30",B2708&lt;40,"30-39",B2708&lt;50,"40-49",B2708&lt;60,"50-59",TRUE(),"60+")</f>
        <v>40-49</v>
      </c>
      <c r="O2708" s="2" t="str">
        <f aca="false">_xlfn.IFS(G2708&lt;0,"1 Negative",G2708=0,"2 Zero",G2708&lt;=500,"3 1-500",G2708&lt;=2000,"4 501-2000",TRUE(),"5 Above 2000")</f>
        <v>5 Above 2000</v>
      </c>
      <c r="P2708" s="2" t="n">
        <f aca="false">Lookups!$B$2*M2708+Lookups!$B$3*L2708</f>
        <v>0</v>
      </c>
      <c r="Q2708" s="2" t="str">
        <f aca="false">INDEX(Lookups!$E$2:$E$5,MATCH(P2708,Lookups!$D$2:$D$5,0))</f>
        <v>Low</v>
      </c>
    </row>
    <row r="2709" customFormat="false" ht="15" hidden="false" customHeight="false" outlineLevel="0" collapsed="false">
      <c r="A2709" s="3" t="n">
        <v>2708</v>
      </c>
      <c r="B2709" s="3" t="n">
        <f aca="false">Raw_Data!A2709</f>
        <v>58</v>
      </c>
      <c r="C2709" s="3" t="str">
        <f aca="false">SUBSTITUTE(Raw_Data!B2709,".","")</f>
        <v>management</v>
      </c>
      <c r="D2709" s="3" t="str">
        <f aca="false">Raw_Data!C2709</f>
        <v>married</v>
      </c>
      <c r="E2709" s="3" t="str">
        <f aca="false">Raw_Data!D2709</f>
        <v>tertiary</v>
      </c>
      <c r="F2709" s="3" t="str">
        <f aca="false">Raw_Data!E2709</f>
        <v>no</v>
      </c>
      <c r="G2709" s="3" t="n">
        <f aca="false">Raw_Data!F2709</f>
        <v>541</v>
      </c>
      <c r="H2709" s="3" t="str">
        <f aca="false">Raw_Data!G2709</f>
        <v>yes</v>
      </c>
      <c r="I2709" s="3" t="str">
        <f aca="false">Raw_Data!H2709</f>
        <v>no</v>
      </c>
      <c r="J2709" s="2" t="n">
        <f aca="false">IF(F2709="yes",1,0)</f>
        <v>0</v>
      </c>
      <c r="K2709" s="2" t="n">
        <f aca="false">IF(H2709="yes",1,0)</f>
        <v>1</v>
      </c>
      <c r="L2709" s="2" t="n">
        <f aca="false">IF(I2709="yes",1,0)</f>
        <v>0</v>
      </c>
      <c r="M2709" s="2" t="n">
        <f aca="false">IF(G2709&lt;0,1,0)</f>
        <v>0</v>
      </c>
      <c r="N2709" s="2" t="str">
        <f aca="false">_xlfn.IFS(B2709&lt;30,"Under 30",B2709&lt;40,"30-39",B2709&lt;50,"40-49",B2709&lt;60,"50-59",TRUE(),"60+")</f>
        <v>50-59</v>
      </c>
      <c r="O2709" s="2" t="str">
        <f aca="false">_xlfn.IFS(G2709&lt;0,"1 Negative",G2709=0,"2 Zero",G2709&lt;=500,"3 1-500",G2709&lt;=2000,"4 501-2000",TRUE(),"5 Above 2000")</f>
        <v>4 501-2000</v>
      </c>
      <c r="P2709" s="2" t="n">
        <f aca="false">Lookups!$B$2*M2709+Lookups!$B$3*L2709</f>
        <v>0</v>
      </c>
      <c r="Q2709" s="2" t="str">
        <f aca="false">INDEX(Lookups!$E$2:$E$5,MATCH(P2709,Lookups!$D$2:$D$5,0))</f>
        <v>Low</v>
      </c>
    </row>
    <row r="2710" customFormat="false" ht="15" hidden="false" customHeight="false" outlineLevel="0" collapsed="false">
      <c r="A2710" s="3" t="n">
        <v>2709</v>
      </c>
      <c r="B2710" s="3" t="n">
        <f aca="false">Raw_Data!A2710</f>
        <v>33</v>
      </c>
      <c r="C2710" s="3" t="str">
        <f aca="false">SUBSTITUTE(Raw_Data!B2710,".","")</f>
        <v>management</v>
      </c>
      <c r="D2710" s="3" t="str">
        <f aca="false">Raw_Data!C2710</f>
        <v>married</v>
      </c>
      <c r="E2710" s="3" t="str">
        <f aca="false">Raw_Data!D2710</f>
        <v>tertiary</v>
      </c>
      <c r="F2710" s="3" t="str">
        <f aca="false">Raw_Data!E2710</f>
        <v>no</v>
      </c>
      <c r="G2710" s="3" t="n">
        <f aca="false">Raw_Data!F2710</f>
        <v>287</v>
      </c>
      <c r="H2710" s="3" t="str">
        <f aca="false">Raw_Data!G2710</f>
        <v>yes</v>
      </c>
      <c r="I2710" s="3" t="str">
        <f aca="false">Raw_Data!H2710</f>
        <v>no</v>
      </c>
      <c r="J2710" s="2" t="n">
        <f aca="false">IF(F2710="yes",1,0)</f>
        <v>0</v>
      </c>
      <c r="K2710" s="2" t="n">
        <f aca="false">IF(H2710="yes",1,0)</f>
        <v>1</v>
      </c>
      <c r="L2710" s="2" t="n">
        <f aca="false">IF(I2710="yes",1,0)</f>
        <v>0</v>
      </c>
      <c r="M2710" s="2" t="n">
        <f aca="false">IF(G2710&lt;0,1,0)</f>
        <v>0</v>
      </c>
      <c r="N2710" s="2" t="str">
        <f aca="false">_xlfn.IFS(B2710&lt;30,"Under 30",B2710&lt;40,"30-39",B2710&lt;50,"40-49",B2710&lt;60,"50-59",TRUE(),"60+")</f>
        <v>30-39</v>
      </c>
      <c r="O2710" s="2" t="str">
        <f aca="false">_xlfn.IFS(G2710&lt;0,"1 Negative",G2710=0,"2 Zero",G2710&lt;=500,"3 1-500",G2710&lt;=2000,"4 501-2000",TRUE(),"5 Above 2000")</f>
        <v>3 1-500</v>
      </c>
      <c r="P2710" s="2" t="n">
        <f aca="false">Lookups!$B$2*M2710+Lookups!$B$3*L2710</f>
        <v>0</v>
      </c>
      <c r="Q2710" s="2" t="str">
        <f aca="false">INDEX(Lookups!$E$2:$E$5,MATCH(P2710,Lookups!$D$2:$D$5,0))</f>
        <v>Low</v>
      </c>
    </row>
    <row r="2711" customFormat="false" ht="15" hidden="false" customHeight="false" outlineLevel="0" collapsed="false">
      <c r="A2711" s="3" t="n">
        <v>2710</v>
      </c>
      <c r="B2711" s="3" t="n">
        <f aca="false">Raw_Data!A2711</f>
        <v>32</v>
      </c>
      <c r="C2711" s="3" t="str">
        <f aca="false">SUBSTITUTE(Raw_Data!B2711,".","")</f>
        <v>management</v>
      </c>
      <c r="D2711" s="3" t="str">
        <f aca="false">Raw_Data!C2711</f>
        <v>married</v>
      </c>
      <c r="E2711" s="3" t="str">
        <f aca="false">Raw_Data!D2711</f>
        <v>tertiary</v>
      </c>
      <c r="F2711" s="3" t="str">
        <f aca="false">Raw_Data!E2711</f>
        <v>no</v>
      </c>
      <c r="G2711" s="3" t="n">
        <f aca="false">Raw_Data!F2711</f>
        <v>273</v>
      </c>
      <c r="H2711" s="3" t="str">
        <f aca="false">Raw_Data!G2711</f>
        <v>yes</v>
      </c>
      <c r="I2711" s="3" t="str">
        <f aca="false">Raw_Data!H2711</f>
        <v>yes</v>
      </c>
      <c r="J2711" s="2" t="n">
        <f aca="false">IF(F2711="yes",1,0)</f>
        <v>0</v>
      </c>
      <c r="K2711" s="2" t="n">
        <f aca="false">IF(H2711="yes",1,0)</f>
        <v>1</v>
      </c>
      <c r="L2711" s="2" t="n">
        <f aca="false">IF(I2711="yes",1,0)</f>
        <v>1</v>
      </c>
      <c r="M2711" s="2" t="n">
        <f aca="false">IF(G2711&lt;0,1,0)</f>
        <v>0</v>
      </c>
      <c r="N2711" s="2" t="str">
        <f aca="false">_xlfn.IFS(B2711&lt;30,"Under 30",B2711&lt;40,"30-39",B2711&lt;50,"40-49",B2711&lt;60,"50-59",TRUE(),"60+")</f>
        <v>30-39</v>
      </c>
      <c r="O2711" s="2" t="str">
        <f aca="false">_xlfn.IFS(G2711&lt;0,"1 Negative",G2711=0,"2 Zero",G2711&lt;=500,"3 1-500",G2711&lt;=2000,"4 501-2000",TRUE(),"5 Above 2000")</f>
        <v>3 1-500</v>
      </c>
      <c r="P2711" s="2" t="n">
        <f aca="false">Lookups!$B$2*M2711+Lookups!$B$3*L2711</f>
        <v>1</v>
      </c>
      <c r="Q2711" s="2" t="str">
        <f aca="false">INDEX(Lookups!$E$2:$E$5,MATCH(P2711,Lookups!$D$2:$D$5,0))</f>
        <v>Medium</v>
      </c>
    </row>
    <row r="2712" customFormat="false" ht="15" hidden="false" customHeight="false" outlineLevel="0" collapsed="false">
      <c r="A2712" s="3" t="n">
        <v>2711</v>
      </c>
      <c r="B2712" s="3" t="n">
        <f aca="false">Raw_Data!A2712</f>
        <v>44</v>
      </c>
      <c r="C2712" s="3" t="str">
        <f aca="false">SUBSTITUTE(Raw_Data!B2712,".","")</f>
        <v>services</v>
      </c>
      <c r="D2712" s="3" t="str">
        <f aca="false">Raw_Data!C2712</f>
        <v>divorced</v>
      </c>
      <c r="E2712" s="3" t="str">
        <f aca="false">Raw_Data!D2712</f>
        <v>secondary</v>
      </c>
      <c r="F2712" s="3" t="str">
        <f aca="false">Raw_Data!E2712</f>
        <v>no</v>
      </c>
      <c r="G2712" s="3" t="n">
        <f aca="false">Raw_Data!F2712</f>
        <v>0</v>
      </c>
      <c r="H2712" s="3" t="str">
        <f aca="false">Raw_Data!G2712</f>
        <v>yes</v>
      </c>
      <c r="I2712" s="3" t="str">
        <f aca="false">Raw_Data!H2712</f>
        <v>no</v>
      </c>
      <c r="J2712" s="2" t="n">
        <f aca="false">IF(F2712="yes",1,0)</f>
        <v>0</v>
      </c>
      <c r="K2712" s="2" t="n">
        <f aca="false">IF(H2712="yes",1,0)</f>
        <v>1</v>
      </c>
      <c r="L2712" s="2" t="n">
        <f aca="false">IF(I2712="yes",1,0)</f>
        <v>0</v>
      </c>
      <c r="M2712" s="2" t="n">
        <f aca="false">IF(G2712&lt;0,1,0)</f>
        <v>0</v>
      </c>
      <c r="N2712" s="2" t="str">
        <f aca="false">_xlfn.IFS(B2712&lt;30,"Under 30",B2712&lt;40,"30-39",B2712&lt;50,"40-49",B2712&lt;60,"50-59",TRUE(),"60+")</f>
        <v>40-49</v>
      </c>
      <c r="O2712" s="2" t="str">
        <f aca="false">_xlfn.IFS(G2712&lt;0,"1 Negative",G2712=0,"2 Zero",G2712&lt;=500,"3 1-500",G2712&lt;=2000,"4 501-2000",TRUE(),"5 Above 2000")</f>
        <v>2 Zero</v>
      </c>
      <c r="P2712" s="2" t="n">
        <f aca="false">Lookups!$B$2*M2712+Lookups!$B$3*L2712</f>
        <v>0</v>
      </c>
      <c r="Q2712" s="2" t="str">
        <f aca="false">INDEX(Lookups!$E$2:$E$5,MATCH(P2712,Lookups!$D$2:$D$5,0))</f>
        <v>Low</v>
      </c>
    </row>
    <row r="2713" customFormat="false" ht="15" hidden="false" customHeight="false" outlineLevel="0" collapsed="false">
      <c r="A2713" s="3" t="n">
        <v>2712</v>
      </c>
      <c r="B2713" s="3" t="n">
        <f aca="false">Raw_Data!A2713</f>
        <v>47</v>
      </c>
      <c r="C2713" s="3" t="str">
        <f aca="false">SUBSTITUTE(Raw_Data!B2713,".","")</f>
        <v>unknown</v>
      </c>
      <c r="D2713" s="3" t="str">
        <f aca="false">Raw_Data!C2713</f>
        <v>married</v>
      </c>
      <c r="E2713" s="3" t="str">
        <f aca="false">Raw_Data!D2713</f>
        <v>unknown</v>
      </c>
      <c r="F2713" s="3" t="str">
        <f aca="false">Raw_Data!E2713</f>
        <v>no</v>
      </c>
      <c r="G2713" s="3" t="n">
        <f aca="false">Raw_Data!F2713</f>
        <v>677</v>
      </c>
      <c r="H2713" s="3" t="str">
        <f aca="false">Raw_Data!G2713</f>
        <v>no</v>
      </c>
      <c r="I2713" s="3" t="str">
        <f aca="false">Raw_Data!H2713</f>
        <v>no</v>
      </c>
      <c r="J2713" s="2" t="n">
        <f aca="false">IF(F2713="yes",1,0)</f>
        <v>0</v>
      </c>
      <c r="K2713" s="2" t="n">
        <f aca="false">IF(H2713="yes",1,0)</f>
        <v>0</v>
      </c>
      <c r="L2713" s="2" t="n">
        <f aca="false">IF(I2713="yes",1,0)</f>
        <v>0</v>
      </c>
      <c r="M2713" s="2" t="n">
        <f aca="false">IF(G2713&lt;0,1,0)</f>
        <v>0</v>
      </c>
      <c r="N2713" s="2" t="str">
        <f aca="false">_xlfn.IFS(B2713&lt;30,"Under 30",B2713&lt;40,"30-39",B2713&lt;50,"40-49",B2713&lt;60,"50-59",TRUE(),"60+")</f>
        <v>40-49</v>
      </c>
      <c r="O2713" s="2" t="str">
        <f aca="false">_xlfn.IFS(G2713&lt;0,"1 Negative",G2713=0,"2 Zero",G2713&lt;=500,"3 1-500",G2713&lt;=2000,"4 501-2000",TRUE(),"5 Above 2000")</f>
        <v>4 501-2000</v>
      </c>
      <c r="P2713" s="2" t="n">
        <f aca="false">Lookups!$B$2*M2713+Lookups!$B$3*L2713</f>
        <v>0</v>
      </c>
      <c r="Q2713" s="2" t="str">
        <f aca="false">INDEX(Lookups!$E$2:$E$5,MATCH(P2713,Lookups!$D$2:$D$5,0))</f>
        <v>Low</v>
      </c>
    </row>
    <row r="2714" customFormat="false" ht="15" hidden="false" customHeight="false" outlineLevel="0" collapsed="false">
      <c r="A2714" s="3" t="n">
        <v>2713</v>
      </c>
      <c r="B2714" s="3" t="n">
        <f aca="false">Raw_Data!A2714</f>
        <v>41</v>
      </c>
      <c r="C2714" s="3" t="str">
        <f aca="false">SUBSTITUTE(Raw_Data!B2714,".","")</f>
        <v>self-employed</v>
      </c>
      <c r="D2714" s="3" t="str">
        <f aca="false">Raw_Data!C2714</f>
        <v>married</v>
      </c>
      <c r="E2714" s="3" t="str">
        <f aca="false">Raw_Data!D2714</f>
        <v>primary</v>
      </c>
      <c r="F2714" s="3" t="str">
        <f aca="false">Raw_Data!E2714</f>
        <v>no</v>
      </c>
      <c r="G2714" s="3" t="n">
        <f aca="false">Raw_Data!F2714</f>
        <v>340</v>
      </c>
      <c r="H2714" s="3" t="str">
        <f aca="false">Raw_Data!G2714</f>
        <v>no</v>
      </c>
      <c r="I2714" s="3" t="str">
        <f aca="false">Raw_Data!H2714</f>
        <v>no</v>
      </c>
      <c r="J2714" s="2" t="n">
        <f aca="false">IF(F2714="yes",1,0)</f>
        <v>0</v>
      </c>
      <c r="K2714" s="2" t="n">
        <f aca="false">IF(H2714="yes",1,0)</f>
        <v>0</v>
      </c>
      <c r="L2714" s="2" t="n">
        <f aca="false">IF(I2714="yes",1,0)</f>
        <v>0</v>
      </c>
      <c r="M2714" s="2" t="n">
        <f aca="false">IF(G2714&lt;0,1,0)</f>
        <v>0</v>
      </c>
      <c r="N2714" s="2" t="str">
        <f aca="false">_xlfn.IFS(B2714&lt;30,"Under 30",B2714&lt;40,"30-39",B2714&lt;50,"40-49",B2714&lt;60,"50-59",TRUE(),"60+")</f>
        <v>40-49</v>
      </c>
      <c r="O2714" s="2" t="str">
        <f aca="false">_xlfn.IFS(G2714&lt;0,"1 Negative",G2714=0,"2 Zero",G2714&lt;=500,"3 1-500",G2714&lt;=2000,"4 501-2000",TRUE(),"5 Above 2000")</f>
        <v>3 1-500</v>
      </c>
      <c r="P2714" s="2" t="n">
        <f aca="false">Lookups!$B$2*M2714+Lookups!$B$3*L2714</f>
        <v>0</v>
      </c>
      <c r="Q2714" s="2" t="str">
        <f aca="false">INDEX(Lookups!$E$2:$E$5,MATCH(P2714,Lookups!$D$2:$D$5,0))</f>
        <v>Low</v>
      </c>
    </row>
    <row r="2715" customFormat="false" ht="15" hidden="false" customHeight="false" outlineLevel="0" collapsed="false">
      <c r="A2715" s="3" t="n">
        <v>2714</v>
      </c>
      <c r="B2715" s="3" t="n">
        <f aca="false">Raw_Data!A2715</f>
        <v>54</v>
      </c>
      <c r="C2715" s="3" t="str">
        <f aca="false">SUBSTITUTE(Raw_Data!B2715,".","")</f>
        <v>technician</v>
      </c>
      <c r="D2715" s="3" t="str">
        <f aca="false">Raw_Data!C2715</f>
        <v>married</v>
      </c>
      <c r="E2715" s="3" t="str">
        <f aca="false">Raw_Data!D2715</f>
        <v>tertiary</v>
      </c>
      <c r="F2715" s="3" t="str">
        <f aca="false">Raw_Data!E2715</f>
        <v>no</v>
      </c>
      <c r="G2715" s="3" t="n">
        <f aca="false">Raw_Data!F2715</f>
        <v>98</v>
      </c>
      <c r="H2715" s="3" t="str">
        <f aca="false">Raw_Data!G2715</f>
        <v>no</v>
      </c>
      <c r="I2715" s="3" t="str">
        <f aca="false">Raw_Data!H2715</f>
        <v>no</v>
      </c>
      <c r="J2715" s="2" t="n">
        <f aca="false">IF(F2715="yes",1,0)</f>
        <v>0</v>
      </c>
      <c r="K2715" s="2" t="n">
        <f aca="false">IF(H2715="yes",1,0)</f>
        <v>0</v>
      </c>
      <c r="L2715" s="2" t="n">
        <f aca="false">IF(I2715="yes",1,0)</f>
        <v>0</v>
      </c>
      <c r="M2715" s="2" t="n">
        <f aca="false">IF(G2715&lt;0,1,0)</f>
        <v>0</v>
      </c>
      <c r="N2715" s="2" t="str">
        <f aca="false">_xlfn.IFS(B2715&lt;30,"Under 30",B2715&lt;40,"30-39",B2715&lt;50,"40-49",B2715&lt;60,"50-59",TRUE(),"60+")</f>
        <v>50-59</v>
      </c>
      <c r="O2715" s="2" t="str">
        <f aca="false">_xlfn.IFS(G2715&lt;0,"1 Negative",G2715=0,"2 Zero",G2715&lt;=500,"3 1-500",G2715&lt;=2000,"4 501-2000",TRUE(),"5 Above 2000")</f>
        <v>3 1-500</v>
      </c>
      <c r="P2715" s="2" t="n">
        <f aca="false">Lookups!$B$2*M2715+Lookups!$B$3*L2715</f>
        <v>0</v>
      </c>
      <c r="Q2715" s="2" t="str">
        <f aca="false">INDEX(Lookups!$E$2:$E$5,MATCH(P2715,Lookups!$D$2:$D$5,0))</f>
        <v>Low</v>
      </c>
    </row>
    <row r="2716" customFormat="false" ht="15" hidden="false" customHeight="false" outlineLevel="0" collapsed="false">
      <c r="A2716" s="3" t="n">
        <v>2715</v>
      </c>
      <c r="B2716" s="3" t="n">
        <f aca="false">Raw_Data!A2716</f>
        <v>47</v>
      </c>
      <c r="C2716" s="3" t="str">
        <f aca="false">SUBSTITUTE(Raw_Data!B2716,".","")</f>
        <v>technician</v>
      </c>
      <c r="D2716" s="3" t="str">
        <f aca="false">Raw_Data!C2716</f>
        <v>divorced</v>
      </c>
      <c r="E2716" s="3" t="str">
        <f aca="false">Raw_Data!D2716</f>
        <v>tertiary</v>
      </c>
      <c r="F2716" s="3" t="str">
        <f aca="false">Raw_Data!E2716</f>
        <v>no</v>
      </c>
      <c r="G2716" s="3" t="n">
        <f aca="false">Raw_Data!F2716</f>
        <v>477</v>
      </c>
      <c r="H2716" s="3" t="str">
        <f aca="false">Raw_Data!G2716</f>
        <v>yes</v>
      </c>
      <c r="I2716" s="3" t="str">
        <f aca="false">Raw_Data!H2716</f>
        <v>no</v>
      </c>
      <c r="J2716" s="2" t="n">
        <f aca="false">IF(F2716="yes",1,0)</f>
        <v>0</v>
      </c>
      <c r="K2716" s="2" t="n">
        <f aca="false">IF(H2716="yes",1,0)</f>
        <v>1</v>
      </c>
      <c r="L2716" s="2" t="n">
        <f aca="false">IF(I2716="yes",1,0)</f>
        <v>0</v>
      </c>
      <c r="M2716" s="2" t="n">
        <f aca="false">IF(G2716&lt;0,1,0)</f>
        <v>0</v>
      </c>
      <c r="N2716" s="2" t="str">
        <f aca="false">_xlfn.IFS(B2716&lt;30,"Under 30",B2716&lt;40,"30-39",B2716&lt;50,"40-49",B2716&lt;60,"50-59",TRUE(),"60+")</f>
        <v>40-49</v>
      </c>
      <c r="O2716" s="2" t="str">
        <f aca="false">_xlfn.IFS(G2716&lt;0,"1 Negative",G2716=0,"2 Zero",G2716&lt;=500,"3 1-500",G2716&lt;=2000,"4 501-2000",TRUE(),"5 Above 2000")</f>
        <v>3 1-500</v>
      </c>
      <c r="P2716" s="2" t="n">
        <f aca="false">Lookups!$B$2*M2716+Lookups!$B$3*L2716</f>
        <v>0</v>
      </c>
      <c r="Q2716" s="2" t="str">
        <f aca="false">INDEX(Lookups!$E$2:$E$5,MATCH(P2716,Lookups!$D$2:$D$5,0))</f>
        <v>Low</v>
      </c>
    </row>
    <row r="2717" customFormat="false" ht="15" hidden="false" customHeight="false" outlineLevel="0" collapsed="false">
      <c r="A2717" s="3" t="n">
        <v>2716</v>
      </c>
      <c r="B2717" s="3" t="n">
        <f aca="false">Raw_Data!A2717</f>
        <v>32</v>
      </c>
      <c r="C2717" s="3" t="str">
        <f aca="false">SUBSTITUTE(Raw_Data!B2717,".","")</f>
        <v>management</v>
      </c>
      <c r="D2717" s="3" t="str">
        <f aca="false">Raw_Data!C2717</f>
        <v>single</v>
      </c>
      <c r="E2717" s="3" t="str">
        <f aca="false">Raw_Data!D2717</f>
        <v>tertiary</v>
      </c>
      <c r="F2717" s="3" t="str">
        <f aca="false">Raw_Data!E2717</f>
        <v>no</v>
      </c>
      <c r="G2717" s="3" t="n">
        <f aca="false">Raw_Data!F2717</f>
        <v>2629</v>
      </c>
      <c r="H2717" s="3" t="str">
        <f aca="false">Raw_Data!G2717</f>
        <v>no</v>
      </c>
      <c r="I2717" s="3" t="str">
        <f aca="false">Raw_Data!H2717</f>
        <v>no</v>
      </c>
      <c r="J2717" s="2" t="n">
        <f aca="false">IF(F2717="yes",1,0)</f>
        <v>0</v>
      </c>
      <c r="K2717" s="2" t="n">
        <f aca="false">IF(H2717="yes",1,0)</f>
        <v>0</v>
      </c>
      <c r="L2717" s="2" t="n">
        <f aca="false">IF(I2717="yes",1,0)</f>
        <v>0</v>
      </c>
      <c r="M2717" s="2" t="n">
        <f aca="false">IF(G2717&lt;0,1,0)</f>
        <v>0</v>
      </c>
      <c r="N2717" s="2" t="str">
        <f aca="false">_xlfn.IFS(B2717&lt;30,"Under 30",B2717&lt;40,"30-39",B2717&lt;50,"40-49",B2717&lt;60,"50-59",TRUE(),"60+")</f>
        <v>30-39</v>
      </c>
      <c r="O2717" s="2" t="str">
        <f aca="false">_xlfn.IFS(G2717&lt;0,"1 Negative",G2717=0,"2 Zero",G2717&lt;=500,"3 1-500",G2717&lt;=2000,"4 501-2000",TRUE(),"5 Above 2000")</f>
        <v>5 Above 2000</v>
      </c>
      <c r="P2717" s="2" t="n">
        <f aca="false">Lookups!$B$2*M2717+Lookups!$B$3*L2717</f>
        <v>0</v>
      </c>
      <c r="Q2717" s="2" t="str">
        <f aca="false">INDEX(Lookups!$E$2:$E$5,MATCH(P2717,Lookups!$D$2:$D$5,0))</f>
        <v>Low</v>
      </c>
    </row>
    <row r="2718" customFormat="false" ht="15" hidden="false" customHeight="false" outlineLevel="0" collapsed="false">
      <c r="A2718" s="3" t="n">
        <v>2717</v>
      </c>
      <c r="B2718" s="3" t="n">
        <f aca="false">Raw_Data!A2718</f>
        <v>59</v>
      </c>
      <c r="C2718" s="3" t="str">
        <f aca="false">SUBSTITUTE(Raw_Data!B2718,".","")</f>
        <v>housemaid</v>
      </c>
      <c r="D2718" s="3" t="str">
        <f aca="false">Raw_Data!C2718</f>
        <v>married</v>
      </c>
      <c r="E2718" s="3" t="str">
        <f aca="false">Raw_Data!D2718</f>
        <v>tertiary</v>
      </c>
      <c r="F2718" s="3" t="str">
        <f aca="false">Raw_Data!E2718</f>
        <v>no</v>
      </c>
      <c r="G2718" s="3" t="n">
        <f aca="false">Raw_Data!F2718</f>
        <v>0</v>
      </c>
      <c r="H2718" s="3" t="str">
        <f aca="false">Raw_Data!G2718</f>
        <v>no</v>
      </c>
      <c r="I2718" s="3" t="str">
        <f aca="false">Raw_Data!H2718</f>
        <v>yes</v>
      </c>
      <c r="J2718" s="2" t="n">
        <f aca="false">IF(F2718="yes",1,0)</f>
        <v>0</v>
      </c>
      <c r="K2718" s="2" t="n">
        <f aca="false">IF(H2718="yes",1,0)</f>
        <v>0</v>
      </c>
      <c r="L2718" s="2" t="n">
        <f aca="false">IF(I2718="yes",1,0)</f>
        <v>1</v>
      </c>
      <c r="M2718" s="2" t="n">
        <f aca="false">IF(G2718&lt;0,1,0)</f>
        <v>0</v>
      </c>
      <c r="N2718" s="2" t="str">
        <f aca="false">_xlfn.IFS(B2718&lt;30,"Under 30",B2718&lt;40,"30-39",B2718&lt;50,"40-49",B2718&lt;60,"50-59",TRUE(),"60+")</f>
        <v>50-59</v>
      </c>
      <c r="O2718" s="2" t="str">
        <f aca="false">_xlfn.IFS(G2718&lt;0,"1 Negative",G2718=0,"2 Zero",G2718&lt;=500,"3 1-500",G2718&lt;=2000,"4 501-2000",TRUE(),"5 Above 2000")</f>
        <v>2 Zero</v>
      </c>
      <c r="P2718" s="2" t="n">
        <f aca="false">Lookups!$B$2*M2718+Lookups!$B$3*L2718</f>
        <v>1</v>
      </c>
      <c r="Q2718" s="2" t="str">
        <f aca="false">INDEX(Lookups!$E$2:$E$5,MATCH(P2718,Lookups!$D$2:$D$5,0))</f>
        <v>Medium</v>
      </c>
    </row>
    <row r="2719" customFormat="false" ht="15" hidden="false" customHeight="false" outlineLevel="0" collapsed="false">
      <c r="A2719" s="3" t="n">
        <v>2718</v>
      </c>
      <c r="B2719" s="3" t="n">
        <f aca="false">Raw_Data!A2719</f>
        <v>29</v>
      </c>
      <c r="C2719" s="3" t="str">
        <f aca="false">SUBSTITUTE(Raw_Data!B2719,".","")</f>
        <v>technician</v>
      </c>
      <c r="D2719" s="3" t="str">
        <f aca="false">Raw_Data!C2719</f>
        <v>single</v>
      </c>
      <c r="E2719" s="3" t="str">
        <f aca="false">Raw_Data!D2719</f>
        <v>tertiary</v>
      </c>
      <c r="F2719" s="3" t="str">
        <f aca="false">Raw_Data!E2719</f>
        <v>no</v>
      </c>
      <c r="G2719" s="3" t="n">
        <f aca="false">Raw_Data!F2719</f>
        <v>2325</v>
      </c>
      <c r="H2719" s="3" t="str">
        <f aca="false">Raw_Data!G2719</f>
        <v>no</v>
      </c>
      <c r="I2719" s="3" t="str">
        <f aca="false">Raw_Data!H2719</f>
        <v>no</v>
      </c>
      <c r="J2719" s="2" t="n">
        <f aca="false">IF(F2719="yes",1,0)</f>
        <v>0</v>
      </c>
      <c r="K2719" s="2" t="n">
        <f aca="false">IF(H2719="yes",1,0)</f>
        <v>0</v>
      </c>
      <c r="L2719" s="2" t="n">
        <f aca="false">IF(I2719="yes",1,0)</f>
        <v>0</v>
      </c>
      <c r="M2719" s="2" t="n">
        <f aca="false">IF(G2719&lt;0,1,0)</f>
        <v>0</v>
      </c>
      <c r="N2719" s="2" t="str">
        <f aca="false">_xlfn.IFS(B2719&lt;30,"Under 30",B2719&lt;40,"30-39",B2719&lt;50,"40-49",B2719&lt;60,"50-59",TRUE(),"60+")</f>
        <v>Under 30</v>
      </c>
      <c r="O2719" s="2" t="str">
        <f aca="false">_xlfn.IFS(G2719&lt;0,"1 Negative",G2719=0,"2 Zero",G2719&lt;=500,"3 1-500",G2719&lt;=2000,"4 501-2000",TRUE(),"5 Above 2000")</f>
        <v>5 Above 2000</v>
      </c>
      <c r="P2719" s="2" t="n">
        <f aca="false">Lookups!$B$2*M2719+Lookups!$B$3*L2719</f>
        <v>0</v>
      </c>
      <c r="Q2719" s="2" t="str">
        <f aca="false">INDEX(Lookups!$E$2:$E$5,MATCH(P2719,Lookups!$D$2:$D$5,0))</f>
        <v>Low</v>
      </c>
    </row>
    <row r="2720" customFormat="false" ht="15" hidden="false" customHeight="false" outlineLevel="0" collapsed="false">
      <c r="A2720" s="3" t="n">
        <v>2719</v>
      </c>
      <c r="B2720" s="3" t="n">
        <f aca="false">Raw_Data!A2720</f>
        <v>48</v>
      </c>
      <c r="C2720" s="3" t="str">
        <f aca="false">SUBSTITUTE(Raw_Data!B2720,".","")</f>
        <v>services</v>
      </c>
      <c r="D2720" s="3" t="str">
        <f aca="false">Raw_Data!C2720</f>
        <v>married</v>
      </c>
      <c r="E2720" s="3" t="str">
        <f aca="false">Raw_Data!D2720</f>
        <v>secondary</v>
      </c>
      <c r="F2720" s="3" t="str">
        <f aca="false">Raw_Data!E2720</f>
        <v>yes</v>
      </c>
      <c r="G2720" s="3" t="n">
        <f aca="false">Raw_Data!F2720</f>
        <v>-20</v>
      </c>
      <c r="H2720" s="3" t="str">
        <f aca="false">Raw_Data!G2720</f>
        <v>no</v>
      </c>
      <c r="I2720" s="3" t="str">
        <f aca="false">Raw_Data!H2720</f>
        <v>no</v>
      </c>
      <c r="J2720" s="2" t="n">
        <f aca="false">IF(F2720="yes",1,0)</f>
        <v>1</v>
      </c>
      <c r="K2720" s="2" t="n">
        <f aca="false">IF(H2720="yes",1,0)</f>
        <v>0</v>
      </c>
      <c r="L2720" s="2" t="n">
        <f aca="false">IF(I2720="yes",1,0)</f>
        <v>0</v>
      </c>
      <c r="M2720" s="2" t="n">
        <f aca="false">IF(G2720&lt;0,1,0)</f>
        <v>1</v>
      </c>
      <c r="N2720" s="2" t="str">
        <f aca="false">_xlfn.IFS(B2720&lt;30,"Under 30",B2720&lt;40,"30-39",B2720&lt;50,"40-49",B2720&lt;60,"50-59",TRUE(),"60+")</f>
        <v>40-49</v>
      </c>
      <c r="O2720" s="2" t="str">
        <f aca="false">_xlfn.IFS(G2720&lt;0,"1 Negative",G2720=0,"2 Zero",G2720&lt;=500,"3 1-500",G2720&lt;=2000,"4 501-2000",TRUE(),"5 Above 2000")</f>
        <v>1 Negative</v>
      </c>
      <c r="P2720" s="2" t="n">
        <f aca="false">Lookups!$B$2*M2720+Lookups!$B$3*L2720</f>
        <v>2</v>
      </c>
      <c r="Q2720" s="2" t="str">
        <f aca="false">INDEX(Lookups!$E$2:$E$5,MATCH(P2720,Lookups!$D$2:$D$5,0))</f>
        <v>High</v>
      </c>
    </row>
    <row r="2721" customFormat="false" ht="15" hidden="false" customHeight="false" outlineLevel="0" collapsed="false">
      <c r="A2721" s="3" t="n">
        <v>2720</v>
      </c>
      <c r="B2721" s="3" t="n">
        <f aca="false">Raw_Data!A2721</f>
        <v>32</v>
      </c>
      <c r="C2721" s="3" t="str">
        <f aca="false">SUBSTITUTE(Raw_Data!B2721,".","")</f>
        <v>technician</v>
      </c>
      <c r="D2721" s="3" t="str">
        <f aca="false">Raw_Data!C2721</f>
        <v>single</v>
      </c>
      <c r="E2721" s="3" t="str">
        <f aca="false">Raw_Data!D2721</f>
        <v>secondary</v>
      </c>
      <c r="F2721" s="3" t="str">
        <f aca="false">Raw_Data!E2721</f>
        <v>no</v>
      </c>
      <c r="G2721" s="3" t="n">
        <f aca="false">Raw_Data!F2721</f>
        <v>230</v>
      </c>
      <c r="H2721" s="3" t="str">
        <f aca="false">Raw_Data!G2721</f>
        <v>yes</v>
      </c>
      <c r="I2721" s="3" t="str">
        <f aca="false">Raw_Data!H2721</f>
        <v>no</v>
      </c>
      <c r="J2721" s="2" t="n">
        <f aca="false">IF(F2721="yes",1,0)</f>
        <v>0</v>
      </c>
      <c r="K2721" s="2" t="n">
        <f aca="false">IF(H2721="yes",1,0)</f>
        <v>1</v>
      </c>
      <c r="L2721" s="2" t="n">
        <f aca="false">IF(I2721="yes",1,0)</f>
        <v>0</v>
      </c>
      <c r="M2721" s="2" t="n">
        <f aca="false">IF(G2721&lt;0,1,0)</f>
        <v>0</v>
      </c>
      <c r="N2721" s="2" t="str">
        <f aca="false">_xlfn.IFS(B2721&lt;30,"Under 30",B2721&lt;40,"30-39",B2721&lt;50,"40-49",B2721&lt;60,"50-59",TRUE(),"60+")</f>
        <v>30-39</v>
      </c>
      <c r="O2721" s="2" t="str">
        <f aca="false">_xlfn.IFS(G2721&lt;0,"1 Negative",G2721=0,"2 Zero",G2721&lt;=500,"3 1-500",G2721&lt;=2000,"4 501-2000",TRUE(),"5 Above 2000")</f>
        <v>3 1-500</v>
      </c>
      <c r="P2721" s="2" t="n">
        <f aca="false">Lookups!$B$2*M2721+Lookups!$B$3*L2721</f>
        <v>0</v>
      </c>
      <c r="Q2721" s="2" t="str">
        <f aca="false">INDEX(Lookups!$E$2:$E$5,MATCH(P2721,Lookups!$D$2:$D$5,0))</f>
        <v>Low</v>
      </c>
    </row>
    <row r="2722" customFormat="false" ht="15" hidden="false" customHeight="false" outlineLevel="0" collapsed="false">
      <c r="A2722" s="3" t="n">
        <v>2721</v>
      </c>
      <c r="B2722" s="3" t="n">
        <f aca="false">Raw_Data!A2722</f>
        <v>46</v>
      </c>
      <c r="C2722" s="3" t="str">
        <f aca="false">SUBSTITUTE(Raw_Data!B2722,".","")</f>
        <v>management</v>
      </c>
      <c r="D2722" s="3" t="str">
        <f aca="false">Raw_Data!C2722</f>
        <v>divorced</v>
      </c>
      <c r="E2722" s="3" t="str">
        <f aca="false">Raw_Data!D2722</f>
        <v>secondary</v>
      </c>
      <c r="F2722" s="3" t="str">
        <f aca="false">Raw_Data!E2722</f>
        <v>no</v>
      </c>
      <c r="G2722" s="3" t="n">
        <f aca="false">Raw_Data!F2722</f>
        <v>-852</v>
      </c>
      <c r="H2722" s="3" t="str">
        <f aca="false">Raw_Data!G2722</f>
        <v>no</v>
      </c>
      <c r="I2722" s="3" t="str">
        <f aca="false">Raw_Data!H2722</f>
        <v>yes</v>
      </c>
      <c r="J2722" s="2" t="n">
        <f aca="false">IF(F2722="yes",1,0)</f>
        <v>0</v>
      </c>
      <c r="K2722" s="2" t="n">
        <f aca="false">IF(H2722="yes",1,0)</f>
        <v>0</v>
      </c>
      <c r="L2722" s="2" t="n">
        <f aca="false">IF(I2722="yes",1,0)</f>
        <v>1</v>
      </c>
      <c r="M2722" s="2" t="n">
        <f aca="false">IF(G2722&lt;0,1,0)</f>
        <v>1</v>
      </c>
      <c r="N2722" s="2" t="str">
        <f aca="false">_xlfn.IFS(B2722&lt;30,"Under 30",B2722&lt;40,"30-39",B2722&lt;50,"40-49",B2722&lt;60,"50-59",TRUE(),"60+")</f>
        <v>40-49</v>
      </c>
      <c r="O2722" s="2" t="str">
        <f aca="false">_xlfn.IFS(G2722&lt;0,"1 Negative",G2722=0,"2 Zero",G2722&lt;=500,"3 1-500",G2722&lt;=2000,"4 501-2000",TRUE(),"5 Above 2000")</f>
        <v>1 Negative</v>
      </c>
      <c r="P2722" s="2" t="n">
        <f aca="false">Lookups!$B$2*M2722+Lookups!$B$3*L2722</f>
        <v>3</v>
      </c>
      <c r="Q2722" s="2" t="str">
        <f aca="false">INDEX(Lookups!$E$2:$E$5,MATCH(P2722,Lookups!$D$2:$D$5,0))</f>
        <v>High</v>
      </c>
    </row>
    <row r="2723" customFormat="false" ht="15" hidden="false" customHeight="false" outlineLevel="0" collapsed="false">
      <c r="A2723" s="3" t="n">
        <v>2722</v>
      </c>
      <c r="B2723" s="3" t="n">
        <f aca="false">Raw_Data!A2723</f>
        <v>31</v>
      </c>
      <c r="C2723" s="3" t="str">
        <f aca="false">SUBSTITUTE(Raw_Data!B2723,".","")</f>
        <v>blue-collar</v>
      </c>
      <c r="D2723" s="3" t="str">
        <f aca="false">Raw_Data!C2723</f>
        <v>single</v>
      </c>
      <c r="E2723" s="3" t="str">
        <f aca="false">Raw_Data!D2723</f>
        <v>primary</v>
      </c>
      <c r="F2723" s="3" t="str">
        <f aca="false">Raw_Data!E2723</f>
        <v>no</v>
      </c>
      <c r="G2723" s="3" t="n">
        <f aca="false">Raw_Data!F2723</f>
        <v>-280</v>
      </c>
      <c r="H2723" s="3" t="str">
        <f aca="false">Raw_Data!G2723</f>
        <v>no</v>
      </c>
      <c r="I2723" s="3" t="str">
        <f aca="false">Raw_Data!H2723</f>
        <v>no</v>
      </c>
      <c r="J2723" s="2" t="n">
        <f aca="false">IF(F2723="yes",1,0)</f>
        <v>0</v>
      </c>
      <c r="K2723" s="2" t="n">
        <f aca="false">IF(H2723="yes",1,0)</f>
        <v>0</v>
      </c>
      <c r="L2723" s="2" t="n">
        <f aca="false">IF(I2723="yes",1,0)</f>
        <v>0</v>
      </c>
      <c r="M2723" s="2" t="n">
        <f aca="false">IF(G2723&lt;0,1,0)</f>
        <v>1</v>
      </c>
      <c r="N2723" s="2" t="str">
        <f aca="false">_xlfn.IFS(B2723&lt;30,"Under 30",B2723&lt;40,"30-39",B2723&lt;50,"40-49",B2723&lt;60,"50-59",TRUE(),"60+")</f>
        <v>30-39</v>
      </c>
      <c r="O2723" s="2" t="str">
        <f aca="false">_xlfn.IFS(G2723&lt;0,"1 Negative",G2723=0,"2 Zero",G2723&lt;=500,"3 1-500",G2723&lt;=2000,"4 501-2000",TRUE(),"5 Above 2000")</f>
        <v>1 Negative</v>
      </c>
      <c r="P2723" s="2" t="n">
        <f aca="false">Lookups!$B$2*M2723+Lookups!$B$3*L2723</f>
        <v>2</v>
      </c>
      <c r="Q2723" s="2" t="str">
        <f aca="false">INDEX(Lookups!$E$2:$E$5,MATCH(P2723,Lookups!$D$2:$D$5,0))</f>
        <v>High</v>
      </c>
    </row>
    <row r="2724" customFormat="false" ht="15" hidden="false" customHeight="false" outlineLevel="0" collapsed="false">
      <c r="A2724" s="3" t="n">
        <v>2723</v>
      </c>
      <c r="B2724" s="3" t="n">
        <f aca="false">Raw_Data!A2724</f>
        <v>53</v>
      </c>
      <c r="C2724" s="3" t="str">
        <f aca="false">SUBSTITUTE(Raw_Data!B2724,".","")</f>
        <v>blue-collar</v>
      </c>
      <c r="D2724" s="3" t="str">
        <f aca="false">Raw_Data!C2724</f>
        <v>married</v>
      </c>
      <c r="E2724" s="3" t="str">
        <f aca="false">Raw_Data!D2724</f>
        <v>secondary</v>
      </c>
      <c r="F2724" s="3" t="str">
        <f aca="false">Raw_Data!E2724</f>
        <v>no</v>
      </c>
      <c r="G2724" s="3" t="n">
        <f aca="false">Raw_Data!F2724</f>
        <v>25</v>
      </c>
      <c r="H2724" s="3" t="str">
        <f aca="false">Raw_Data!G2724</f>
        <v>no</v>
      </c>
      <c r="I2724" s="3" t="str">
        <f aca="false">Raw_Data!H2724</f>
        <v>no</v>
      </c>
      <c r="J2724" s="2" t="n">
        <f aca="false">IF(F2724="yes",1,0)</f>
        <v>0</v>
      </c>
      <c r="K2724" s="2" t="n">
        <f aca="false">IF(H2724="yes",1,0)</f>
        <v>0</v>
      </c>
      <c r="L2724" s="2" t="n">
        <f aca="false">IF(I2724="yes",1,0)</f>
        <v>0</v>
      </c>
      <c r="M2724" s="2" t="n">
        <f aca="false">IF(G2724&lt;0,1,0)</f>
        <v>0</v>
      </c>
      <c r="N2724" s="2" t="str">
        <f aca="false">_xlfn.IFS(B2724&lt;30,"Under 30",B2724&lt;40,"30-39",B2724&lt;50,"40-49",B2724&lt;60,"50-59",TRUE(),"60+")</f>
        <v>50-59</v>
      </c>
      <c r="O2724" s="2" t="str">
        <f aca="false">_xlfn.IFS(G2724&lt;0,"1 Negative",G2724=0,"2 Zero",G2724&lt;=500,"3 1-500",G2724&lt;=2000,"4 501-2000",TRUE(),"5 Above 2000")</f>
        <v>3 1-500</v>
      </c>
      <c r="P2724" s="2" t="n">
        <f aca="false">Lookups!$B$2*M2724+Lookups!$B$3*L2724</f>
        <v>0</v>
      </c>
      <c r="Q2724" s="2" t="str">
        <f aca="false">INDEX(Lookups!$E$2:$E$5,MATCH(P2724,Lookups!$D$2:$D$5,0))</f>
        <v>Low</v>
      </c>
    </row>
    <row r="2725" customFormat="false" ht="15" hidden="false" customHeight="false" outlineLevel="0" collapsed="false">
      <c r="A2725" s="3" t="n">
        <v>2724</v>
      </c>
      <c r="B2725" s="3" t="n">
        <f aca="false">Raw_Data!A2725</f>
        <v>34</v>
      </c>
      <c r="C2725" s="3" t="str">
        <f aca="false">SUBSTITUTE(Raw_Data!B2725,".","")</f>
        <v>technician</v>
      </c>
      <c r="D2725" s="3" t="str">
        <f aca="false">Raw_Data!C2725</f>
        <v>single</v>
      </c>
      <c r="E2725" s="3" t="str">
        <f aca="false">Raw_Data!D2725</f>
        <v>tertiary</v>
      </c>
      <c r="F2725" s="3" t="str">
        <f aca="false">Raw_Data!E2725</f>
        <v>no</v>
      </c>
      <c r="G2725" s="3" t="n">
        <f aca="false">Raw_Data!F2725</f>
        <v>9851</v>
      </c>
      <c r="H2725" s="3" t="str">
        <f aca="false">Raw_Data!G2725</f>
        <v>yes</v>
      </c>
      <c r="I2725" s="3" t="str">
        <f aca="false">Raw_Data!H2725</f>
        <v>no</v>
      </c>
      <c r="J2725" s="2" t="n">
        <f aca="false">IF(F2725="yes",1,0)</f>
        <v>0</v>
      </c>
      <c r="K2725" s="2" t="n">
        <f aca="false">IF(H2725="yes",1,0)</f>
        <v>1</v>
      </c>
      <c r="L2725" s="2" t="n">
        <f aca="false">IF(I2725="yes",1,0)</f>
        <v>0</v>
      </c>
      <c r="M2725" s="2" t="n">
        <f aca="false">IF(G2725&lt;0,1,0)</f>
        <v>0</v>
      </c>
      <c r="N2725" s="2" t="str">
        <f aca="false">_xlfn.IFS(B2725&lt;30,"Under 30",B2725&lt;40,"30-39",B2725&lt;50,"40-49",B2725&lt;60,"50-59",TRUE(),"60+")</f>
        <v>30-39</v>
      </c>
      <c r="O2725" s="2" t="str">
        <f aca="false">_xlfn.IFS(G2725&lt;0,"1 Negative",G2725=0,"2 Zero",G2725&lt;=500,"3 1-500",G2725&lt;=2000,"4 501-2000",TRUE(),"5 Above 2000")</f>
        <v>5 Above 2000</v>
      </c>
      <c r="P2725" s="2" t="n">
        <f aca="false">Lookups!$B$2*M2725+Lookups!$B$3*L2725</f>
        <v>0</v>
      </c>
      <c r="Q2725" s="2" t="str">
        <f aca="false">INDEX(Lookups!$E$2:$E$5,MATCH(P2725,Lookups!$D$2:$D$5,0))</f>
        <v>Low</v>
      </c>
    </row>
    <row r="2726" customFormat="false" ht="15" hidden="false" customHeight="false" outlineLevel="0" collapsed="false">
      <c r="A2726" s="3" t="n">
        <v>2725</v>
      </c>
      <c r="B2726" s="3" t="n">
        <f aca="false">Raw_Data!A2726</f>
        <v>48</v>
      </c>
      <c r="C2726" s="3" t="str">
        <f aca="false">SUBSTITUTE(Raw_Data!B2726,".","")</f>
        <v>services</v>
      </c>
      <c r="D2726" s="3" t="str">
        <f aca="false">Raw_Data!C2726</f>
        <v>single</v>
      </c>
      <c r="E2726" s="3" t="str">
        <f aca="false">Raw_Data!D2726</f>
        <v>unknown</v>
      </c>
      <c r="F2726" s="3" t="str">
        <f aca="false">Raw_Data!E2726</f>
        <v>no</v>
      </c>
      <c r="G2726" s="3" t="n">
        <f aca="false">Raw_Data!F2726</f>
        <v>5095</v>
      </c>
      <c r="H2726" s="3" t="str">
        <f aca="false">Raw_Data!G2726</f>
        <v>yes</v>
      </c>
      <c r="I2726" s="3" t="str">
        <f aca="false">Raw_Data!H2726</f>
        <v>no</v>
      </c>
      <c r="J2726" s="2" t="n">
        <f aca="false">IF(F2726="yes",1,0)</f>
        <v>0</v>
      </c>
      <c r="K2726" s="2" t="n">
        <f aca="false">IF(H2726="yes",1,0)</f>
        <v>1</v>
      </c>
      <c r="L2726" s="2" t="n">
        <f aca="false">IF(I2726="yes",1,0)</f>
        <v>0</v>
      </c>
      <c r="M2726" s="2" t="n">
        <f aca="false">IF(G2726&lt;0,1,0)</f>
        <v>0</v>
      </c>
      <c r="N2726" s="2" t="str">
        <f aca="false">_xlfn.IFS(B2726&lt;30,"Under 30",B2726&lt;40,"30-39",B2726&lt;50,"40-49",B2726&lt;60,"50-59",TRUE(),"60+")</f>
        <v>40-49</v>
      </c>
      <c r="O2726" s="2" t="str">
        <f aca="false">_xlfn.IFS(G2726&lt;0,"1 Negative",G2726=0,"2 Zero",G2726&lt;=500,"3 1-500",G2726&lt;=2000,"4 501-2000",TRUE(),"5 Above 2000")</f>
        <v>5 Above 2000</v>
      </c>
      <c r="P2726" s="2" t="n">
        <f aca="false">Lookups!$B$2*M2726+Lookups!$B$3*L2726</f>
        <v>0</v>
      </c>
      <c r="Q2726" s="2" t="str">
        <f aca="false">INDEX(Lookups!$E$2:$E$5,MATCH(P2726,Lookups!$D$2:$D$5,0))</f>
        <v>Low</v>
      </c>
    </row>
    <row r="2727" customFormat="false" ht="15" hidden="false" customHeight="false" outlineLevel="0" collapsed="false">
      <c r="A2727" s="3" t="n">
        <v>2726</v>
      </c>
      <c r="B2727" s="3" t="n">
        <f aca="false">Raw_Data!A2727</f>
        <v>32</v>
      </c>
      <c r="C2727" s="3" t="str">
        <f aca="false">SUBSTITUTE(Raw_Data!B2727,".","")</f>
        <v>technician</v>
      </c>
      <c r="D2727" s="3" t="str">
        <f aca="false">Raw_Data!C2727</f>
        <v>married</v>
      </c>
      <c r="E2727" s="3" t="str">
        <f aca="false">Raw_Data!D2727</f>
        <v>secondary</v>
      </c>
      <c r="F2727" s="3" t="str">
        <f aca="false">Raw_Data!E2727</f>
        <v>no</v>
      </c>
      <c r="G2727" s="3" t="n">
        <f aca="false">Raw_Data!F2727</f>
        <v>687</v>
      </c>
      <c r="H2727" s="3" t="str">
        <f aca="false">Raw_Data!G2727</f>
        <v>no</v>
      </c>
      <c r="I2727" s="3" t="str">
        <f aca="false">Raw_Data!H2727</f>
        <v>no</v>
      </c>
      <c r="J2727" s="2" t="n">
        <f aca="false">IF(F2727="yes",1,0)</f>
        <v>0</v>
      </c>
      <c r="K2727" s="2" t="n">
        <f aca="false">IF(H2727="yes",1,0)</f>
        <v>0</v>
      </c>
      <c r="L2727" s="2" t="n">
        <f aca="false">IF(I2727="yes",1,0)</f>
        <v>0</v>
      </c>
      <c r="M2727" s="2" t="n">
        <f aca="false">IF(G2727&lt;0,1,0)</f>
        <v>0</v>
      </c>
      <c r="N2727" s="2" t="str">
        <f aca="false">_xlfn.IFS(B2727&lt;30,"Under 30",B2727&lt;40,"30-39",B2727&lt;50,"40-49",B2727&lt;60,"50-59",TRUE(),"60+")</f>
        <v>30-39</v>
      </c>
      <c r="O2727" s="2" t="str">
        <f aca="false">_xlfn.IFS(G2727&lt;0,"1 Negative",G2727=0,"2 Zero",G2727&lt;=500,"3 1-500",G2727&lt;=2000,"4 501-2000",TRUE(),"5 Above 2000")</f>
        <v>4 501-2000</v>
      </c>
      <c r="P2727" s="2" t="n">
        <f aca="false">Lookups!$B$2*M2727+Lookups!$B$3*L2727</f>
        <v>0</v>
      </c>
      <c r="Q2727" s="2" t="str">
        <f aca="false">INDEX(Lookups!$E$2:$E$5,MATCH(P2727,Lookups!$D$2:$D$5,0))</f>
        <v>Low</v>
      </c>
    </row>
    <row r="2728" customFormat="false" ht="15" hidden="false" customHeight="false" outlineLevel="0" collapsed="false">
      <c r="A2728" s="3" t="n">
        <v>2727</v>
      </c>
      <c r="B2728" s="3" t="n">
        <f aca="false">Raw_Data!A2728</f>
        <v>31</v>
      </c>
      <c r="C2728" s="3" t="str">
        <f aca="false">SUBSTITUTE(Raw_Data!B2728,".","")</f>
        <v>management</v>
      </c>
      <c r="D2728" s="3" t="str">
        <f aca="false">Raw_Data!C2728</f>
        <v>married</v>
      </c>
      <c r="E2728" s="3" t="str">
        <f aca="false">Raw_Data!D2728</f>
        <v>secondary</v>
      </c>
      <c r="F2728" s="3" t="str">
        <f aca="false">Raw_Data!E2728</f>
        <v>no</v>
      </c>
      <c r="G2728" s="3" t="n">
        <f aca="false">Raw_Data!F2728</f>
        <v>1368</v>
      </c>
      <c r="H2728" s="3" t="str">
        <f aca="false">Raw_Data!G2728</f>
        <v>yes</v>
      </c>
      <c r="I2728" s="3" t="str">
        <f aca="false">Raw_Data!H2728</f>
        <v>no</v>
      </c>
      <c r="J2728" s="2" t="n">
        <f aca="false">IF(F2728="yes",1,0)</f>
        <v>0</v>
      </c>
      <c r="K2728" s="2" t="n">
        <f aca="false">IF(H2728="yes",1,0)</f>
        <v>1</v>
      </c>
      <c r="L2728" s="2" t="n">
        <f aca="false">IF(I2728="yes",1,0)</f>
        <v>0</v>
      </c>
      <c r="M2728" s="2" t="n">
        <f aca="false">IF(G2728&lt;0,1,0)</f>
        <v>0</v>
      </c>
      <c r="N2728" s="2" t="str">
        <f aca="false">_xlfn.IFS(B2728&lt;30,"Under 30",B2728&lt;40,"30-39",B2728&lt;50,"40-49",B2728&lt;60,"50-59",TRUE(),"60+")</f>
        <v>30-39</v>
      </c>
      <c r="O2728" s="2" t="str">
        <f aca="false">_xlfn.IFS(G2728&lt;0,"1 Negative",G2728=0,"2 Zero",G2728&lt;=500,"3 1-500",G2728&lt;=2000,"4 501-2000",TRUE(),"5 Above 2000")</f>
        <v>4 501-2000</v>
      </c>
      <c r="P2728" s="2" t="n">
        <f aca="false">Lookups!$B$2*M2728+Lookups!$B$3*L2728</f>
        <v>0</v>
      </c>
      <c r="Q2728" s="2" t="str">
        <f aca="false">INDEX(Lookups!$E$2:$E$5,MATCH(P2728,Lookups!$D$2:$D$5,0))</f>
        <v>Low</v>
      </c>
    </row>
    <row r="2729" customFormat="false" ht="15" hidden="false" customHeight="false" outlineLevel="0" collapsed="false">
      <c r="A2729" s="3" t="n">
        <v>2728</v>
      </c>
      <c r="B2729" s="3" t="n">
        <f aca="false">Raw_Data!A2729</f>
        <v>27</v>
      </c>
      <c r="C2729" s="3" t="str">
        <f aca="false">SUBSTITUTE(Raw_Data!B2729,".","")</f>
        <v>blue-collar</v>
      </c>
      <c r="D2729" s="3" t="str">
        <f aca="false">Raw_Data!C2729</f>
        <v>single</v>
      </c>
      <c r="E2729" s="3" t="str">
        <f aca="false">Raw_Data!D2729</f>
        <v>primary</v>
      </c>
      <c r="F2729" s="3" t="str">
        <f aca="false">Raw_Data!E2729</f>
        <v>no</v>
      </c>
      <c r="G2729" s="3" t="n">
        <f aca="false">Raw_Data!F2729</f>
        <v>-179</v>
      </c>
      <c r="H2729" s="3" t="str">
        <f aca="false">Raw_Data!G2729</f>
        <v>yes</v>
      </c>
      <c r="I2729" s="3" t="str">
        <f aca="false">Raw_Data!H2729</f>
        <v>no</v>
      </c>
      <c r="J2729" s="2" t="n">
        <f aca="false">IF(F2729="yes",1,0)</f>
        <v>0</v>
      </c>
      <c r="K2729" s="2" t="n">
        <f aca="false">IF(H2729="yes",1,0)</f>
        <v>1</v>
      </c>
      <c r="L2729" s="2" t="n">
        <f aca="false">IF(I2729="yes",1,0)</f>
        <v>0</v>
      </c>
      <c r="M2729" s="2" t="n">
        <f aca="false">IF(G2729&lt;0,1,0)</f>
        <v>1</v>
      </c>
      <c r="N2729" s="2" t="str">
        <f aca="false">_xlfn.IFS(B2729&lt;30,"Under 30",B2729&lt;40,"30-39",B2729&lt;50,"40-49",B2729&lt;60,"50-59",TRUE(),"60+")</f>
        <v>Under 30</v>
      </c>
      <c r="O2729" s="2" t="str">
        <f aca="false">_xlfn.IFS(G2729&lt;0,"1 Negative",G2729=0,"2 Zero",G2729&lt;=500,"3 1-500",G2729&lt;=2000,"4 501-2000",TRUE(),"5 Above 2000")</f>
        <v>1 Negative</v>
      </c>
      <c r="P2729" s="2" t="n">
        <f aca="false">Lookups!$B$2*M2729+Lookups!$B$3*L2729</f>
        <v>2</v>
      </c>
      <c r="Q2729" s="2" t="str">
        <f aca="false">INDEX(Lookups!$E$2:$E$5,MATCH(P2729,Lookups!$D$2:$D$5,0))</f>
        <v>High</v>
      </c>
    </row>
    <row r="2730" customFormat="false" ht="15" hidden="false" customHeight="false" outlineLevel="0" collapsed="false">
      <c r="A2730" s="3" t="n">
        <v>2729</v>
      </c>
      <c r="B2730" s="3" t="n">
        <f aca="false">Raw_Data!A2730</f>
        <v>60</v>
      </c>
      <c r="C2730" s="3" t="str">
        <f aca="false">SUBSTITUTE(Raw_Data!B2730,".","")</f>
        <v>admin</v>
      </c>
      <c r="D2730" s="3" t="str">
        <f aca="false">Raw_Data!C2730</f>
        <v>married</v>
      </c>
      <c r="E2730" s="3" t="str">
        <f aca="false">Raw_Data!D2730</f>
        <v>secondary</v>
      </c>
      <c r="F2730" s="3" t="str">
        <f aca="false">Raw_Data!E2730</f>
        <v>no</v>
      </c>
      <c r="G2730" s="3" t="n">
        <f aca="false">Raw_Data!F2730</f>
        <v>-396</v>
      </c>
      <c r="H2730" s="3" t="str">
        <f aca="false">Raw_Data!G2730</f>
        <v>yes</v>
      </c>
      <c r="I2730" s="3" t="str">
        <f aca="false">Raw_Data!H2730</f>
        <v>no</v>
      </c>
      <c r="J2730" s="2" t="n">
        <f aca="false">IF(F2730="yes",1,0)</f>
        <v>0</v>
      </c>
      <c r="K2730" s="2" t="n">
        <f aca="false">IF(H2730="yes",1,0)</f>
        <v>1</v>
      </c>
      <c r="L2730" s="2" t="n">
        <f aca="false">IF(I2730="yes",1,0)</f>
        <v>0</v>
      </c>
      <c r="M2730" s="2" t="n">
        <f aca="false">IF(G2730&lt;0,1,0)</f>
        <v>1</v>
      </c>
      <c r="N2730" s="2" t="str">
        <f aca="false">_xlfn.IFS(B2730&lt;30,"Under 30",B2730&lt;40,"30-39",B2730&lt;50,"40-49",B2730&lt;60,"50-59",TRUE(),"60+")</f>
        <v>60+</v>
      </c>
      <c r="O2730" s="2" t="str">
        <f aca="false">_xlfn.IFS(G2730&lt;0,"1 Negative",G2730=0,"2 Zero",G2730&lt;=500,"3 1-500",G2730&lt;=2000,"4 501-2000",TRUE(),"5 Above 2000")</f>
        <v>1 Negative</v>
      </c>
      <c r="P2730" s="2" t="n">
        <f aca="false">Lookups!$B$2*M2730+Lookups!$B$3*L2730</f>
        <v>2</v>
      </c>
      <c r="Q2730" s="2" t="str">
        <f aca="false">INDEX(Lookups!$E$2:$E$5,MATCH(P2730,Lookups!$D$2:$D$5,0))</f>
        <v>High</v>
      </c>
    </row>
    <row r="2731" customFormat="false" ht="15" hidden="false" customHeight="false" outlineLevel="0" collapsed="false">
      <c r="A2731" s="3" t="n">
        <v>2730</v>
      </c>
      <c r="B2731" s="3" t="n">
        <f aca="false">Raw_Data!A2731</f>
        <v>34</v>
      </c>
      <c r="C2731" s="3" t="str">
        <f aca="false">SUBSTITUTE(Raw_Data!B2731,".","")</f>
        <v>blue-collar</v>
      </c>
      <c r="D2731" s="3" t="str">
        <f aca="false">Raw_Data!C2731</f>
        <v>single</v>
      </c>
      <c r="E2731" s="3" t="str">
        <f aca="false">Raw_Data!D2731</f>
        <v>tertiary</v>
      </c>
      <c r="F2731" s="3" t="str">
        <f aca="false">Raw_Data!E2731</f>
        <v>no</v>
      </c>
      <c r="G2731" s="3" t="n">
        <f aca="false">Raw_Data!F2731</f>
        <v>1011</v>
      </c>
      <c r="H2731" s="3" t="str">
        <f aca="false">Raw_Data!G2731</f>
        <v>yes</v>
      </c>
      <c r="I2731" s="3" t="str">
        <f aca="false">Raw_Data!H2731</f>
        <v>no</v>
      </c>
      <c r="J2731" s="2" t="n">
        <f aca="false">IF(F2731="yes",1,0)</f>
        <v>0</v>
      </c>
      <c r="K2731" s="2" t="n">
        <f aca="false">IF(H2731="yes",1,0)</f>
        <v>1</v>
      </c>
      <c r="L2731" s="2" t="n">
        <f aca="false">IF(I2731="yes",1,0)</f>
        <v>0</v>
      </c>
      <c r="M2731" s="2" t="n">
        <f aca="false">IF(G2731&lt;0,1,0)</f>
        <v>0</v>
      </c>
      <c r="N2731" s="2" t="str">
        <f aca="false">_xlfn.IFS(B2731&lt;30,"Under 30",B2731&lt;40,"30-39",B2731&lt;50,"40-49",B2731&lt;60,"50-59",TRUE(),"60+")</f>
        <v>30-39</v>
      </c>
      <c r="O2731" s="2" t="str">
        <f aca="false">_xlfn.IFS(G2731&lt;0,"1 Negative",G2731=0,"2 Zero",G2731&lt;=500,"3 1-500",G2731&lt;=2000,"4 501-2000",TRUE(),"5 Above 2000")</f>
        <v>4 501-2000</v>
      </c>
      <c r="P2731" s="2" t="n">
        <f aca="false">Lookups!$B$2*M2731+Lookups!$B$3*L2731</f>
        <v>0</v>
      </c>
      <c r="Q2731" s="2" t="str">
        <f aca="false">INDEX(Lookups!$E$2:$E$5,MATCH(P2731,Lookups!$D$2:$D$5,0))</f>
        <v>Low</v>
      </c>
    </row>
    <row r="2732" customFormat="false" ht="15" hidden="false" customHeight="false" outlineLevel="0" collapsed="false">
      <c r="A2732" s="3" t="n">
        <v>2731</v>
      </c>
      <c r="B2732" s="3" t="n">
        <f aca="false">Raw_Data!A2732</f>
        <v>52</v>
      </c>
      <c r="C2732" s="3" t="str">
        <f aca="false">SUBSTITUTE(Raw_Data!B2732,".","")</f>
        <v>self-employed</v>
      </c>
      <c r="D2732" s="3" t="str">
        <f aca="false">Raw_Data!C2732</f>
        <v>married</v>
      </c>
      <c r="E2732" s="3" t="str">
        <f aca="false">Raw_Data!D2732</f>
        <v>secondary</v>
      </c>
      <c r="F2732" s="3" t="str">
        <f aca="false">Raw_Data!E2732</f>
        <v>no</v>
      </c>
      <c r="G2732" s="3" t="n">
        <f aca="false">Raw_Data!F2732</f>
        <v>9</v>
      </c>
      <c r="H2732" s="3" t="str">
        <f aca="false">Raw_Data!G2732</f>
        <v>no</v>
      </c>
      <c r="I2732" s="3" t="str">
        <f aca="false">Raw_Data!H2732</f>
        <v>yes</v>
      </c>
      <c r="J2732" s="2" t="n">
        <f aca="false">IF(F2732="yes",1,0)</f>
        <v>0</v>
      </c>
      <c r="K2732" s="2" t="n">
        <f aca="false">IF(H2732="yes",1,0)</f>
        <v>0</v>
      </c>
      <c r="L2732" s="2" t="n">
        <f aca="false">IF(I2732="yes",1,0)</f>
        <v>1</v>
      </c>
      <c r="M2732" s="2" t="n">
        <f aca="false">IF(G2732&lt;0,1,0)</f>
        <v>0</v>
      </c>
      <c r="N2732" s="2" t="str">
        <f aca="false">_xlfn.IFS(B2732&lt;30,"Under 30",B2732&lt;40,"30-39",B2732&lt;50,"40-49",B2732&lt;60,"50-59",TRUE(),"60+")</f>
        <v>50-59</v>
      </c>
      <c r="O2732" s="2" t="str">
        <f aca="false">_xlfn.IFS(G2732&lt;0,"1 Negative",G2732=0,"2 Zero",G2732&lt;=500,"3 1-500",G2732&lt;=2000,"4 501-2000",TRUE(),"5 Above 2000")</f>
        <v>3 1-500</v>
      </c>
      <c r="P2732" s="2" t="n">
        <f aca="false">Lookups!$B$2*M2732+Lookups!$B$3*L2732</f>
        <v>1</v>
      </c>
      <c r="Q2732" s="2" t="str">
        <f aca="false">INDEX(Lookups!$E$2:$E$5,MATCH(P2732,Lookups!$D$2:$D$5,0))</f>
        <v>Medium</v>
      </c>
    </row>
    <row r="2733" customFormat="false" ht="15" hidden="false" customHeight="false" outlineLevel="0" collapsed="false">
      <c r="A2733" s="3" t="n">
        <v>2732</v>
      </c>
      <c r="B2733" s="3" t="n">
        <f aca="false">Raw_Data!A2733</f>
        <v>48</v>
      </c>
      <c r="C2733" s="3" t="str">
        <f aca="false">SUBSTITUTE(Raw_Data!B2733,".","")</f>
        <v>blue-collar</v>
      </c>
      <c r="D2733" s="3" t="str">
        <f aca="false">Raw_Data!C2733</f>
        <v>married</v>
      </c>
      <c r="E2733" s="3" t="str">
        <f aca="false">Raw_Data!D2733</f>
        <v>secondary</v>
      </c>
      <c r="F2733" s="3" t="str">
        <f aca="false">Raw_Data!E2733</f>
        <v>no</v>
      </c>
      <c r="G2733" s="3" t="n">
        <f aca="false">Raw_Data!F2733</f>
        <v>1159</v>
      </c>
      <c r="H2733" s="3" t="str">
        <f aca="false">Raw_Data!G2733</f>
        <v>yes</v>
      </c>
      <c r="I2733" s="3" t="str">
        <f aca="false">Raw_Data!H2733</f>
        <v>yes</v>
      </c>
      <c r="J2733" s="2" t="n">
        <f aca="false">IF(F2733="yes",1,0)</f>
        <v>0</v>
      </c>
      <c r="K2733" s="2" t="n">
        <f aca="false">IF(H2733="yes",1,0)</f>
        <v>1</v>
      </c>
      <c r="L2733" s="2" t="n">
        <f aca="false">IF(I2733="yes",1,0)</f>
        <v>1</v>
      </c>
      <c r="M2733" s="2" t="n">
        <f aca="false">IF(G2733&lt;0,1,0)</f>
        <v>0</v>
      </c>
      <c r="N2733" s="2" t="str">
        <f aca="false">_xlfn.IFS(B2733&lt;30,"Under 30",B2733&lt;40,"30-39",B2733&lt;50,"40-49",B2733&lt;60,"50-59",TRUE(),"60+")</f>
        <v>40-49</v>
      </c>
      <c r="O2733" s="2" t="str">
        <f aca="false">_xlfn.IFS(G2733&lt;0,"1 Negative",G2733=0,"2 Zero",G2733&lt;=500,"3 1-500",G2733&lt;=2000,"4 501-2000",TRUE(),"5 Above 2000")</f>
        <v>4 501-2000</v>
      </c>
      <c r="P2733" s="2" t="n">
        <f aca="false">Lookups!$B$2*M2733+Lookups!$B$3*L2733</f>
        <v>1</v>
      </c>
      <c r="Q2733" s="2" t="str">
        <f aca="false">INDEX(Lookups!$E$2:$E$5,MATCH(P2733,Lookups!$D$2:$D$5,0))</f>
        <v>Medium</v>
      </c>
    </row>
    <row r="2734" customFormat="false" ht="15" hidden="false" customHeight="false" outlineLevel="0" collapsed="false">
      <c r="A2734" s="3" t="n">
        <v>2733</v>
      </c>
      <c r="B2734" s="3" t="n">
        <f aca="false">Raw_Data!A2734</f>
        <v>45</v>
      </c>
      <c r="C2734" s="3" t="str">
        <f aca="false">SUBSTITUTE(Raw_Data!B2734,".","")</f>
        <v>technician</v>
      </c>
      <c r="D2734" s="3" t="str">
        <f aca="false">Raw_Data!C2734</f>
        <v>married</v>
      </c>
      <c r="E2734" s="3" t="str">
        <f aca="false">Raw_Data!D2734</f>
        <v>primary</v>
      </c>
      <c r="F2734" s="3" t="str">
        <f aca="false">Raw_Data!E2734</f>
        <v>no</v>
      </c>
      <c r="G2734" s="3" t="n">
        <f aca="false">Raw_Data!F2734</f>
        <v>-322</v>
      </c>
      <c r="H2734" s="3" t="str">
        <f aca="false">Raw_Data!G2734</f>
        <v>no</v>
      </c>
      <c r="I2734" s="3" t="str">
        <f aca="false">Raw_Data!H2734</f>
        <v>no</v>
      </c>
      <c r="J2734" s="2" t="n">
        <f aca="false">IF(F2734="yes",1,0)</f>
        <v>0</v>
      </c>
      <c r="K2734" s="2" t="n">
        <f aca="false">IF(H2734="yes",1,0)</f>
        <v>0</v>
      </c>
      <c r="L2734" s="2" t="n">
        <f aca="false">IF(I2734="yes",1,0)</f>
        <v>0</v>
      </c>
      <c r="M2734" s="2" t="n">
        <f aca="false">IF(G2734&lt;0,1,0)</f>
        <v>1</v>
      </c>
      <c r="N2734" s="2" t="str">
        <f aca="false">_xlfn.IFS(B2734&lt;30,"Under 30",B2734&lt;40,"30-39",B2734&lt;50,"40-49",B2734&lt;60,"50-59",TRUE(),"60+")</f>
        <v>40-49</v>
      </c>
      <c r="O2734" s="2" t="str">
        <f aca="false">_xlfn.IFS(G2734&lt;0,"1 Negative",G2734=0,"2 Zero",G2734&lt;=500,"3 1-500",G2734&lt;=2000,"4 501-2000",TRUE(),"5 Above 2000")</f>
        <v>1 Negative</v>
      </c>
      <c r="P2734" s="2" t="n">
        <f aca="false">Lookups!$B$2*M2734+Lookups!$B$3*L2734</f>
        <v>2</v>
      </c>
      <c r="Q2734" s="2" t="str">
        <f aca="false">INDEX(Lookups!$E$2:$E$5,MATCH(P2734,Lookups!$D$2:$D$5,0))</f>
        <v>High</v>
      </c>
    </row>
    <row r="2735" customFormat="false" ht="15" hidden="false" customHeight="false" outlineLevel="0" collapsed="false">
      <c r="A2735" s="3" t="n">
        <v>2734</v>
      </c>
      <c r="B2735" s="3" t="n">
        <f aca="false">Raw_Data!A2735</f>
        <v>54</v>
      </c>
      <c r="C2735" s="3" t="str">
        <f aca="false">SUBSTITUTE(Raw_Data!B2735,".","")</f>
        <v>technician</v>
      </c>
      <c r="D2735" s="3" t="str">
        <f aca="false">Raw_Data!C2735</f>
        <v>divorced</v>
      </c>
      <c r="E2735" s="3" t="str">
        <f aca="false">Raw_Data!D2735</f>
        <v>secondary</v>
      </c>
      <c r="F2735" s="3" t="str">
        <f aca="false">Raw_Data!E2735</f>
        <v>no</v>
      </c>
      <c r="G2735" s="3" t="n">
        <f aca="false">Raw_Data!F2735</f>
        <v>1114</v>
      </c>
      <c r="H2735" s="3" t="str">
        <f aca="false">Raw_Data!G2735</f>
        <v>yes</v>
      </c>
      <c r="I2735" s="3" t="str">
        <f aca="false">Raw_Data!H2735</f>
        <v>no</v>
      </c>
      <c r="J2735" s="2" t="n">
        <f aca="false">IF(F2735="yes",1,0)</f>
        <v>0</v>
      </c>
      <c r="K2735" s="2" t="n">
        <f aca="false">IF(H2735="yes",1,0)</f>
        <v>1</v>
      </c>
      <c r="L2735" s="2" t="n">
        <f aca="false">IF(I2735="yes",1,0)</f>
        <v>0</v>
      </c>
      <c r="M2735" s="2" t="n">
        <f aca="false">IF(G2735&lt;0,1,0)</f>
        <v>0</v>
      </c>
      <c r="N2735" s="2" t="str">
        <f aca="false">_xlfn.IFS(B2735&lt;30,"Under 30",B2735&lt;40,"30-39",B2735&lt;50,"40-49",B2735&lt;60,"50-59",TRUE(),"60+")</f>
        <v>50-59</v>
      </c>
      <c r="O2735" s="2" t="str">
        <f aca="false">_xlfn.IFS(G2735&lt;0,"1 Negative",G2735=0,"2 Zero",G2735&lt;=500,"3 1-500",G2735&lt;=2000,"4 501-2000",TRUE(),"5 Above 2000")</f>
        <v>4 501-2000</v>
      </c>
      <c r="P2735" s="2" t="n">
        <f aca="false">Lookups!$B$2*M2735+Lookups!$B$3*L2735</f>
        <v>0</v>
      </c>
      <c r="Q2735" s="2" t="str">
        <f aca="false">INDEX(Lookups!$E$2:$E$5,MATCH(P2735,Lookups!$D$2:$D$5,0))</f>
        <v>Low</v>
      </c>
    </row>
    <row r="2736" customFormat="false" ht="15" hidden="false" customHeight="false" outlineLevel="0" collapsed="false">
      <c r="A2736" s="3" t="n">
        <v>2735</v>
      </c>
      <c r="B2736" s="3" t="n">
        <f aca="false">Raw_Data!A2736</f>
        <v>52</v>
      </c>
      <c r="C2736" s="3" t="str">
        <f aca="false">SUBSTITUTE(Raw_Data!B2736,".","")</f>
        <v>services</v>
      </c>
      <c r="D2736" s="3" t="str">
        <f aca="false">Raw_Data!C2736</f>
        <v>married</v>
      </c>
      <c r="E2736" s="3" t="str">
        <f aca="false">Raw_Data!D2736</f>
        <v>secondary</v>
      </c>
      <c r="F2736" s="3" t="str">
        <f aca="false">Raw_Data!E2736</f>
        <v>no</v>
      </c>
      <c r="G2736" s="3" t="n">
        <f aca="false">Raw_Data!F2736</f>
        <v>2072</v>
      </c>
      <c r="H2736" s="3" t="str">
        <f aca="false">Raw_Data!G2736</f>
        <v>no</v>
      </c>
      <c r="I2736" s="3" t="str">
        <f aca="false">Raw_Data!H2736</f>
        <v>no</v>
      </c>
      <c r="J2736" s="2" t="n">
        <f aca="false">IF(F2736="yes",1,0)</f>
        <v>0</v>
      </c>
      <c r="K2736" s="2" t="n">
        <f aca="false">IF(H2736="yes",1,0)</f>
        <v>0</v>
      </c>
      <c r="L2736" s="2" t="n">
        <f aca="false">IF(I2736="yes",1,0)</f>
        <v>0</v>
      </c>
      <c r="M2736" s="2" t="n">
        <f aca="false">IF(G2736&lt;0,1,0)</f>
        <v>0</v>
      </c>
      <c r="N2736" s="2" t="str">
        <f aca="false">_xlfn.IFS(B2736&lt;30,"Under 30",B2736&lt;40,"30-39",B2736&lt;50,"40-49",B2736&lt;60,"50-59",TRUE(),"60+")</f>
        <v>50-59</v>
      </c>
      <c r="O2736" s="2" t="str">
        <f aca="false">_xlfn.IFS(G2736&lt;0,"1 Negative",G2736=0,"2 Zero",G2736&lt;=500,"3 1-500",G2736&lt;=2000,"4 501-2000",TRUE(),"5 Above 2000")</f>
        <v>5 Above 2000</v>
      </c>
      <c r="P2736" s="2" t="n">
        <f aca="false">Lookups!$B$2*M2736+Lookups!$B$3*L2736</f>
        <v>0</v>
      </c>
      <c r="Q2736" s="2" t="str">
        <f aca="false">INDEX(Lookups!$E$2:$E$5,MATCH(P2736,Lookups!$D$2:$D$5,0))</f>
        <v>Low</v>
      </c>
    </row>
    <row r="2737" customFormat="false" ht="15" hidden="false" customHeight="false" outlineLevel="0" collapsed="false">
      <c r="A2737" s="3" t="n">
        <v>2736</v>
      </c>
      <c r="B2737" s="3" t="n">
        <f aca="false">Raw_Data!A2737</f>
        <v>47</v>
      </c>
      <c r="C2737" s="3" t="str">
        <f aca="false">SUBSTITUTE(Raw_Data!B2737,".","")</f>
        <v>entrepreneur</v>
      </c>
      <c r="D2737" s="3" t="str">
        <f aca="false">Raw_Data!C2737</f>
        <v>married</v>
      </c>
      <c r="E2737" s="3" t="str">
        <f aca="false">Raw_Data!D2737</f>
        <v>tertiary</v>
      </c>
      <c r="F2737" s="3" t="str">
        <f aca="false">Raw_Data!E2737</f>
        <v>no</v>
      </c>
      <c r="G2737" s="3" t="n">
        <f aca="false">Raw_Data!F2737</f>
        <v>459</v>
      </c>
      <c r="H2737" s="3" t="str">
        <f aca="false">Raw_Data!G2737</f>
        <v>yes</v>
      </c>
      <c r="I2737" s="3" t="str">
        <f aca="false">Raw_Data!H2737</f>
        <v>no</v>
      </c>
      <c r="J2737" s="2" t="n">
        <f aca="false">IF(F2737="yes",1,0)</f>
        <v>0</v>
      </c>
      <c r="K2737" s="2" t="n">
        <f aca="false">IF(H2737="yes",1,0)</f>
        <v>1</v>
      </c>
      <c r="L2737" s="2" t="n">
        <f aca="false">IF(I2737="yes",1,0)</f>
        <v>0</v>
      </c>
      <c r="M2737" s="2" t="n">
        <f aca="false">IF(G2737&lt;0,1,0)</f>
        <v>0</v>
      </c>
      <c r="N2737" s="2" t="str">
        <f aca="false">_xlfn.IFS(B2737&lt;30,"Under 30",B2737&lt;40,"30-39",B2737&lt;50,"40-49",B2737&lt;60,"50-59",TRUE(),"60+")</f>
        <v>40-49</v>
      </c>
      <c r="O2737" s="2" t="str">
        <f aca="false">_xlfn.IFS(G2737&lt;0,"1 Negative",G2737=0,"2 Zero",G2737&lt;=500,"3 1-500",G2737&lt;=2000,"4 501-2000",TRUE(),"5 Above 2000")</f>
        <v>3 1-500</v>
      </c>
      <c r="P2737" s="2" t="n">
        <f aca="false">Lookups!$B$2*M2737+Lookups!$B$3*L2737</f>
        <v>0</v>
      </c>
      <c r="Q2737" s="2" t="str">
        <f aca="false">INDEX(Lookups!$E$2:$E$5,MATCH(P2737,Lookups!$D$2:$D$5,0))</f>
        <v>Low</v>
      </c>
    </row>
    <row r="2738" customFormat="false" ht="15" hidden="false" customHeight="false" outlineLevel="0" collapsed="false">
      <c r="A2738" s="3" t="n">
        <v>2737</v>
      </c>
      <c r="B2738" s="3" t="n">
        <f aca="false">Raw_Data!A2738</f>
        <v>54</v>
      </c>
      <c r="C2738" s="3" t="str">
        <f aca="false">SUBSTITUTE(Raw_Data!B2738,".","")</f>
        <v>unknown</v>
      </c>
      <c r="D2738" s="3" t="str">
        <f aca="false">Raw_Data!C2738</f>
        <v>married</v>
      </c>
      <c r="E2738" s="3" t="str">
        <f aca="false">Raw_Data!D2738</f>
        <v>secondary</v>
      </c>
      <c r="F2738" s="3" t="str">
        <f aca="false">Raw_Data!E2738</f>
        <v>no</v>
      </c>
      <c r="G2738" s="3" t="n">
        <f aca="false">Raw_Data!F2738</f>
        <v>1157</v>
      </c>
      <c r="H2738" s="3" t="str">
        <f aca="false">Raw_Data!G2738</f>
        <v>no</v>
      </c>
      <c r="I2738" s="3" t="str">
        <f aca="false">Raw_Data!H2738</f>
        <v>no</v>
      </c>
      <c r="J2738" s="2" t="n">
        <f aca="false">IF(F2738="yes",1,0)</f>
        <v>0</v>
      </c>
      <c r="K2738" s="2" t="n">
        <f aca="false">IF(H2738="yes",1,0)</f>
        <v>0</v>
      </c>
      <c r="L2738" s="2" t="n">
        <f aca="false">IF(I2738="yes",1,0)</f>
        <v>0</v>
      </c>
      <c r="M2738" s="2" t="n">
        <f aca="false">IF(G2738&lt;0,1,0)</f>
        <v>0</v>
      </c>
      <c r="N2738" s="2" t="str">
        <f aca="false">_xlfn.IFS(B2738&lt;30,"Under 30",B2738&lt;40,"30-39",B2738&lt;50,"40-49",B2738&lt;60,"50-59",TRUE(),"60+")</f>
        <v>50-59</v>
      </c>
      <c r="O2738" s="2" t="str">
        <f aca="false">_xlfn.IFS(G2738&lt;0,"1 Negative",G2738=0,"2 Zero",G2738&lt;=500,"3 1-500",G2738&lt;=2000,"4 501-2000",TRUE(),"5 Above 2000")</f>
        <v>4 501-2000</v>
      </c>
      <c r="P2738" s="2" t="n">
        <f aca="false">Lookups!$B$2*M2738+Lookups!$B$3*L2738</f>
        <v>0</v>
      </c>
      <c r="Q2738" s="2" t="str">
        <f aca="false">INDEX(Lookups!$E$2:$E$5,MATCH(P2738,Lookups!$D$2:$D$5,0))</f>
        <v>Low</v>
      </c>
    </row>
    <row r="2739" customFormat="false" ht="15" hidden="false" customHeight="false" outlineLevel="0" collapsed="false">
      <c r="A2739" s="3" t="n">
        <v>2738</v>
      </c>
      <c r="B2739" s="3" t="n">
        <f aca="false">Raw_Data!A2739</f>
        <v>34</v>
      </c>
      <c r="C2739" s="3" t="str">
        <f aca="false">SUBSTITUTE(Raw_Data!B2739,".","")</f>
        <v>blue-collar</v>
      </c>
      <c r="D2739" s="3" t="str">
        <f aca="false">Raw_Data!C2739</f>
        <v>married</v>
      </c>
      <c r="E2739" s="3" t="str">
        <f aca="false">Raw_Data!D2739</f>
        <v>secondary</v>
      </c>
      <c r="F2739" s="3" t="str">
        <f aca="false">Raw_Data!E2739</f>
        <v>no</v>
      </c>
      <c r="G2739" s="3" t="n">
        <f aca="false">Raw_Data!F2739</f>
        <v>8309</v>
      </c>
      <c r="H2739" s="3" t="str">
        <f aca="false">Raw_Data!G2739</f>
        <v>yes</v>
      </c>
      <c r="I2739" s="3" t="str">
        <f aca="false">Raw_Data!H2739</f>
        <v>yes</v>
      </c>
      <c r="J2739" s="2" t="n">
        <f aca="false">IF(F2739="yes",1,0)</f>
        <v>0</v>
      </c>
      <c r="K2739" s="2" t="n">
        <f aca="false">IF(H2739="yes",1,0)</f>
        <v>1</v>
      </c>
      <c r="L2739" s="2" t="n">
        <f aca="false">IF(I2739="yes",1,0)</f>
        <v>1</v>
      </c>
      <c r="M2739" s="2" t="n">
        <f aca="false">IF(G2739&lt;0,1,0)</f>
        <v>0</v>
      </c>
      <c r="N2739" s="2" t="str">
        <f aca="false">_xlfn.IFS(B2739&lt;30,"Under 30",B2739&lt;40,"30-39",B2739&lt;50,"40-49",B2739&lt;60,"50-59",TRUE(),"60+")</f>
        <v>30-39</v>
      </c>
      <c r="O2739" s="2" t="str">
        <f aca="false">_xlfn.IFS(G2739&lt;0,"1 Negative",G2739=0,"2 Zero",G2739&lt;=500,"3 1-500",G2739&lt;=2000,"4 501-2000",TRUE(),"5 Above 2000")</f>
        <v>5 Above 2000</v>
      </c>
      <c r="P2739" s="2" t="n">
        <f aca="false">Lookups!$B$2*M2739+Lookups!$B$3*L2739</f>
        <v>1</v>
      </c>
      <c r="Q2739" s="2" t="str">
        <f aca="false">INDEX(Lookups!$E$2:$E$5,MATCH(P2739,Lookups!$D$2:$D$5,0))</f>
        <v>Medium</v>
      </c>
    </row>
    <row r="2740" customFormat="false" ht="15" hidden="false" customHeight="false" outlineLevel="0" collapsed="false">
      <c r="A2740" s="3" t="n">
        <v>2739</v>
      </c>
      <c r="B2740" s="3" t="n">
        <f aca="false">Raw_Data!A2740</f>
        <v>39</v>
      </c>
      <c r="C2740" s="3" t="str">
        <f aca="false">SUBSTITUTE(Raw_Data!B2740,".","")</f>
        <v>technician</v>
      </c>
      <c r="D2740" s="3" t="str">
        <f aca="false">Raw_Data!C2740</f>
        <v>single</v>
      </c>
      <c r="E2740" s="3" t="str">
        <f aca="false">Raw_Data!D2740</f>
        <v>tertiary</v>
      </c>
      <c r="F2740" s="3" t="str">
        <f aca="false">Raw_Data!E2740</f>
        <v>no</v>
      </c>
      <c r="G2740" s="3" t="n">
        <f aca="false">Raw_Data!F2740</f>
        <v>1043</v>
      </c>
      <c r="H2740" s="3" t="str">
        <f aca="false">Raw_Data!G2740</f>
        <v>no</v>
      </c>
      <c r="I2740" s="3" t="str">
        <f aca="false">Raw_Data!H2740</f>
        <v>no</v>
      </c>
      <c r="J2740" s="2" t="n">
        <f aca="false">IF(F2740="yes",1,0)</f>
        <v>0</v>
      </c>
      <c r="K2740" s="2" t="n">
        <f aca="false">IF(H2740="yes",1,0)</f>
        <v>0</v>
      </c>
      <c r="L2740" s="2" t="n">
        <f aca="false">IF(I2740="yes",1,0)</f>
        <v>0</v>
      </c>
      <c r="M2740" s="2" t="n">
        <f aca="false">IF(G2740&lt;0,1,0)</f>
        <v>0</v>
      </c>
      <c r="N2740" s="2" t="str">
        <f aca="false">_xlfn.IFS(B2740&lt;30,"Under 30",B2740&lt;40,"30-39",B2740&lt;50,"40-49",B2740&lt;60,"50-59",TRUE(),"60+")</f>
        <v>30-39</v>
      </c>
      <c r="O2740" s="2" t="str">
        <f aca="false">_xlfn.IFS(G2740&lt;0,"1 Negative",G2740=0,"2 Zero",G2740&lt;=500,"3 1-500",G2740&lt;=2000,"4 501-2000",TRUE(),"5 Above 2000")</f>
        <v>4 501-2000</v>
      </c>
      <c r="P2740" s="2" t="n">
        <f aca="false">Lookups!$B$2*M2740+Lookups!$B$3*L2740</f>
        <v>0</v>
      </c>
      <c r="Q2740" s="2" t="str">
        <f aca="false">INDEX(Lookups!$E$2:$E$5,MATCH(P2740,Lookups!$D$2:$D$5,0))</f>
        <v>Low</v>
      </c>
    </row>
    <row r="2741" customFormat="false" ht="15" hidden="false" customHeight="false" outlineLevel="0" collapsed="false">
      <c r="A2741" s="3" t="n">
        <v>2740</v>
      </c>
      <c r="B2741" s="3" t="n">
        <f aca="false">Raw_Data!A2741</f>
        <v>46</v>
      </c>
      <c r="C2741" s="3" t="str">
        <f aca="false">SUBSTITUTE(Raw_Data!B2741,".","")</f>
        <v>technician</v>
      </c>
      <c r="D2741" s="3" t="str">
        <f aca="false">Raw_Data!C2741</f>
        <v>married</v>
      </c>
      <c r="E2741" s="3" t="str">
        <f aca="false">Raw_Data!D2741</f>
        <v>secondary</v>
      </c>
      <c r="F2741" s="3" t="str">
        <f aca="false">Raw_Data!E2741</f>
        <v>no</v>
      </c>
      <c r="G2741" s="3" t="n">
        <f aca="false">Raw_Data!F2741</f>
        <v>2098</v>
      </c>
      <c r="H2741" s="3" t="str">
        <f aca="false">Raw_Data!G2741</f>
        <v>no</v>
      </c>
      <c r="I2741" s="3" t="str">
        <f aca="false">Raw_Data!H2741</f>
        <v>no</v>
      </c>
      <c r="J2741" s="2" t="n">
        <f aca="false">IF(F2741="yes",1,0)</f>
        <v>0</v>
      </c>
      <c r="K2741" s="2" t="n">
        <f aca="false">IF(H2741="yes",1,0)</f>
        <v>0</v>
      </c>
      <c r="L2741" s="2" t="n">
        <f aca="false">IF(I2741="yes",1,0)</f>
        <v>0</v>
      </c>
      <c r="M2741" s="2" t="n">
        <f aca="false">IF(G2741&lt;0,1,0)</f>
        <v>0</v>
      </c>
      <c r="N2741" s="2" t="str">
        <f aca="false">_xlfn.IFS(B2741&lt;30,"Under 30",B2741&lt;40,"30-39",B2741&lt;50,"40-49",B2741&lt;60,"50-59",TRUE(),"60+")</f>
        <v>40-49</v>
      </c>
      <c r="O2741" s="2" t="str">
        <f aca="false">_xlfn.IFS(G2741&lt;0,"1 Negative",G2741=0,"2 Zero",G2741&lt;=500,"3 1-500",G2741&lt;=2000,"4 501-2000",TRUE(),"5 Above 2000")</f>
        <v>5 Above 2000</v>
      </c>
      <c r="P2741" s="2" t="n">
        <f aca="false">Lookups!$B$2*M2741+Lookups!$B$3*L2741</f>
        <v>0</v>
      </c>
      <c r="Q2741" s="2" t="str">
        <f aca="false">INDEX(Lookups!$E$2:$E$5,MATCH(P2741,Lookups!$D$2:$D$5,0))</f>
        <v>Low</v>
      </c>
    </row>
    <row r="2742" customFormat="false" ht="15" hidden="false" customHeight="false" outlineLevel="0" collapsed="false">
      <c r="A2742" s="3" t="n">
        <v>2741</v>
      </c>
      <c r="B2742" s="3" t="n">
        <f aca="false">Raw_Data!A2742</f>
        <v>26</v>
      </c>
      <c r="C2742" s="3" t="str">
        <f aca="false">SUBSTITUTE(Raw_Data!B2742,".","")</f>
        <v>unemployed</v>
      </c>
      <c r="D2742" s="3" t="str">
        <f aca="false">Raw_Data!C2742</f>
        <v>single</v>
      </c>
      <c r="E2742" s="3" t="str">
        <f aca="false">Raw_Data!D2742</f>
        <v>secondary</v>
      </c>
      <c r="F2742" s="3" t="str">
        <f aca="false">Raw_Data!E2742</f>
        <v>no</v>
      </c>
      <c r="G2742" s="3" t="n">
        <f aca="false">Raw_Data!F2742</f>
        <v>461</v>
      </c>
      <c r="H2742" s="3" t="str">
        <f aca="false">Raw_Data!G2742</f>
        <v>no</v>
      </c>
      <c r="I2742" s="3" t="str">
        <f aca="false">Raw_Data!H2742</f>
        <v>no</v>
      </c>
      <c r="J2742" s="2" t="n">
        <f aca="false">IF(F2742="yes",1,0)</f>
        <v>0</v>
      </c>
      <c r="K2742" s="2" t="n">
        <f aca="false">IF(H2742="yes",1,0)</f>
        <v>0</v>
      </c>
      <c r="L2742" s="2" t="n">
        <f aca="false">IF(I2742="yes",1,0)</f>
        <v>0</v>
      </c>
      <c r="M2742" s="2" t="n">
        <f aca="false">IF(G2742&lt;0,1,0)</f>
        <v>0</v>
      </c>
      <c r="N2742" s="2" t="str">
        <f aca="false">_xlfn.IFS(B2742&lt;30,"Under 30",B2742&lt;40,"30-39",B2742&lt;50,"40-49",B2742&lt;60,"50-59",TRUE(),"60+")</f>
        <v>Under 30</v>
      </c>
      <c r="O2742" s="2" t="str">
        <f aca="false">_xlfn.IFS(G2742&lt;0,"1 Negative",G2742=0,"2 Zero",G2742&lt;=500,"3 1-500",G2742&lt;=2000,"4 501-2000",TRUE(),"5 Above 2000")</f>
        <v>3 1-500</v>
      </c>
      <c r="P2742" s="2" t="n">
        <f aca="false">Lookups!$B$2*M2742+Lookups!$B$3*L2742</f>
        <v>0</v>
      </c>
      <c r="Q2742" s="2" t="str">
        <f aca="false">INDEX(Lookups!$E$2:$E$5,MATCH(P2742,Lookups!$D$2:$D$5,0))</f>
        <v>Low</v>
      </c>
    </row>
    <row r="2743" customFormat="false" ht="15" hidden="false" customHeight="false" outlineLevel="0" collapsed="false">
      <c r="A2743" s="3" t="n">
        <v>2742</v>
      </c>
      <c r="B2743" s="3" t="n">
        <f aca="false">Raw_Data!A2743</f>
        <v>37</v>
      </c>
      <c r="C2743" s="3" t="str">
        <f aca="false">SUBSTITUTE(Raw_Data!B2743,".","")</f>
        <v>technician</v>
      </c>
      <c r="D2743" s="3" t="str">
        <f aca="false">Raw_Data!C2743</f>
        <v>single</v>
      </c>
      <c r="E2743" s="3" t="str">
        <f aca="false">Raw_Data!D2743</f>
        <v>secondary</v>
      </c>
      <c r="F2743" s="3" t="str">
        <f aca="false">Raw_Data!E2743</f>
        <v>no</v>
      </c>
      <c r="G2743" s="3" t="n">
        <f aca="false">Raw_Data!F2743</f>
        <v>61</v>
      </c>
      <c r="H2743" s="3" t="str">
        <f aca="false">Raw_Data!G2743</f>
        <v>yes</v>
      </c>
      <c r="I2743" s="3" t="str">
        <f aca="false">Raw_Data!H2743</f>
        <v>no</v>
      </c>
      <c r="J2743" s="2" t="n">
        <f aca="false">IF(F2743="yes",1,0)</f>
        <v>0</v>
      </c>
      <c r="K2743" s="2" t="n">
        <f aca="false">IF(H2743="yes",1,0)</f>
        <v>1</v>
      </c>
      <c r="L2743" s="2" t="n">
        <f aca="false">IF(I2743="yes",1,0)</f>
        <v>0</v>
      </c>
      <c r="M2743" s="2" t="n">
        <f aca="false">IF(G2743&lt;0,1,0)</f>
        <v>0</v>
      </c>
      <c r="N2743" s="2" t="str">
        <f aca="false">_xlfn.IFS(B2743&lt;30,"Under 30",B2743&lt;40,"30-39",B2743&lt;50,"40-49",B2743&lt;60,"50-59",TRUE(),"60+")</f>
        <v>30-39</v>
      </c>
      <c r="O2743" s="2" t="str">
        <f aca="false">_xlfn.IFS(G2743&lt;0,"1 Negative",G2743=0,"2 Zero",G2743&lt;=500,"3 1-500",G2743&lt;=2000,"4 501-2000",TRUE(),"5 Above 2000")</f>
        <v>3 1-500</v>
      </c>
      <c r="P2743" s="2" t="n">
        <f aca="false">Lookups!$B$2*M2743+Lookups!$B$3*L2743</f>
        <v>0</v>
      </c>
      <c r="Q2743" s="2" t="str">
        <f aca="false">INDEX(Lookups!$E$2:$E$5,MATCH(P2743,Lookups!$D$2:$D$5,0))</f>
        <v>Low</v>
      </c>
    </row>
    <row r="2744" customFormat="false" ht="15" hidden="false" customHeight="false" outlineLevel="0" collapsed="false">
      <c r="A2744" s="3" t="n">
        <v>2743</v>
      </c>
      <c r="B2744" s="3" t="n">
        <f aca="false">Raw_Data!A2744</f>
        <v>47</v>
      </c>
      <c r="C2744" s="3" t="str">
        <f aca="false">SUBSTITUTE(Raw_Data!B2744,".","")</f>
        <v>blue-collar</v>
      </c>
      <c r="D2744" s="3" t="str">
        <f aca="false">Raw_Data!C2744</f>
        <v>married</v>
      </c>
      <c r="E2744" s="3" t="str">
        <f aca="false">Raw_Data!D2744</f>
        <v>secondary</v>
      </c>
      <c r="F2744" s="3" t="str">
        <f aca="false">Raw_Data!E2744</f>
        <v>no</v>
      </c>
      <c r="G2744" s="3" t="n">
        <f aca="false">Raw_Data!F2744</f>
        <v>1203</v>
      </c>
      <c r="H2744" s="3" t="str">
        <f aca="false">Raw_Data!G2744</f>
        <v>yes</v>
      </c>
      <c r="I2744" s="3" t="str">
        <f aca="false">Raw_Data!H2744</f>
        <v>no</v>
      </c>
      <c r="J2744" s="2" t="n">
        <f aca="false">IF(F2744="yes",1,0)</f>
        <v>0</v>
      </c>
      <c r="K2744" s="2" t="n">
        <f aca="false">IF(H2744="yes",1,0)</f>
        <v>1</v>
      </c>
      <c r="L2744" s="2" t="n">
        <f aca="false">IF(I2744="yes",1,0)</f>
        <v>0</v>
      </c>
      <c r="M2744" s="2" t="n">
        <f aca="false">IF(G2744&lt;0,1,0)</f>
        <v>0</v>
      </c>
      <c r="N2744" s="2" t="str">
        <f aca="false">_xlfn.IFS(B2744&lt;30,"Under 30",B2744&lt;40,"30-39",B2744&lt;50,"40-49",B2744&lt;60,"50-59",TRUE(),"60+")</f>
        <v>40-49</v>
      </c>
      <c r="O2744" s="2" t="str">
        <f aca="false">_xlfn.IFS(G2744&lt;0,"1 Negative",G2744=0,"2 Zero",G2744&lt;=500,"3 1-500",G2744&lt;=2000,"4 501-2000",TRUE(),"5 Above 2000")</f>
        <v>4 501-2000</v>
      </c>
      <c r="P2744" s="2" t="n">
        <f aca="false">Lookups!$B$2*M2744+Lookups!$B$3*L2744</f>
        <v>0</v>
      </c>
      <c r="Q2744" s="2" t="str">
        <f aca="false">INDEX(Lookups!$E$2:$E$5,MATCH(P2744,Lookups!$D$2:$D$5,0))</f>
        <v>Low</v>
      </c>
    </row>
    <row r="2745" customFormat="false" ht="15" hidden="false" customHeight="false" outlineLevel="0" collapsed="false">
      <c r="A2745" s="3" t="n">
        <v>2744</v>
      </c>
      <c r="B2745" s="3" t="n">
        <f aca="false">Raw_Data!A2745</f>
        <v>35</v>
      </c>
      <c r="C2745" s="3" t="str">
        <f aca="false">SUBSTITUTE(Raw_Data!B2745,".","")</f>
        <v>technician</v>
      </c>
      <c r="D2745" s="3" t="str">
        <f aca="false">Raw_Data!C2745</f>
        <v>married</v>
      </c>
      <c r="E2745" s="3" t="str">
        <f aca="false">Raw_Data!D2745</f>
        <v>secondary</v>
      </c>
      <c r="F2745" s="3" t="str">
        <f aca="false">Raw_Data!E2745</f>
        <v>no</v>
      </c>
      <c r="G2745" s="3" t="n">
        <f aca="false">Raw_Data!F2745</f>
        <v>1067</v>
      </c>
      <c r="H2745" s="3" t="str">
        <f aca="false">Raw_Data!G2745</f>
        <v>no</v>
      </c>
      <c r="I2745" s="3" t="str">
        <f aca="false">Raw_Data!H2745</f>
        <v>yes</v>
      </c>
      <c r="J2745" s="2" t="n">
        <f aca="false">IF(F2745="yes",1,0)</f>
        <v>0</v>
      </c>
      <c r="K2745" s="2" t="n">
        <f aca="false">IF(H2745="yes",1,0)</f>
        <v>0</v>
      </c>
      <c r="L2745" s="2" t="n">
        <f aca="false">IF(I2745="yes",1,0)</f>
        <v>1</v>
      </c>
      <c r="M2745" s="2" t="n">
        <f aca="false">IF(G2745&lt;0,1,0)</f>
        <v>0</v>
      </c>
      <c r="N2745" s="2" t="str">
        <f aca="false">_xlfn.IFS(B2745&lt;30,"Under 30",B2745&lt;40,"30-39",B2745&lt;50,"40-49",B2745&lt;60,"50-59",TRUE(),"60+")</f>
        <v>30-39</v>
      </c>
      <c r="O2745" s="2" t="str">
        <f aca="false">_xlfn.IFS(G2745&lt;0,"1 Negative",G2745=0,"2 Zero",G2745&lt;=500,"3 1-500",G2745&lt;=2000,"4 501-2000",TRUE(),"5 Above 2000")</f>
        <v>4 501-2000</v>
      </c>
      <c r="P2745" s="2" t="n">
        <f aca="false">Lookups!$B$2*M2745+Lookups!$B$3*L2745</f>
        <v>1</v>
      </c>
      <c r="Q2745" s="2" t="str">
        <f aca="false">INDEX(Lookups!$E$2:$E$5,MATCH(P2745,Lookups!$D$2:$D$5,0))</f>
        <v>Medium</v>
      </c>
    </row>
    <row r="2746" customFormat="false" ht="15" hidden="false" customHeight="false" outlineLevel="0" collapsed="false">
      <c r="A2746" s="3" t="n">
        <v>2745</v>
      </c>
      <c r="B2746" s="3" t="n">
        <f aca="false">Raw_Data!A2746</f>
        <v>57</v>
      </c>
      <c r="C2746" s="3" t="str">
        <f aca="false">SUBSTITUTE(Raw_Data!B2746,".","")</f>
        <v>unemployed</v>
      </c>
      <c r="D2746" s="3" t="str">
        <f aca="false">Raw_Data!C2746</f>
        <v>married</v>
      </c>
      <c r="E2746" s="3" t="str">
        <f aca="false">Raw_Data!D2746</f>
        <v>primary</v>
      </c>
      <c r="F2746" s="3" t="str">
        <f aca="false">Raw_Data!E2746</f>
        <v>no</v>
      </c>
      <c r="G2746" s="3" t="n">
        <f aca="false">Raw_Data!F2746</f>
        <v>0</v>
      </c>
      <c r="H2746" s="3" t="str">
        <f aca="false">Raw_Data!G2746</f>
        <v>no</v>
      </c>
      <c r="I2746" s="3" t="str">
        <f aca="false">Raw_Data!H2746</f>
        <v>no</v>
      </c>
      <c r="J2746" s="2" t="n">
        <f aca="false">IF(F2746="yes",1,0)</f>
        <v>0</v>
      </c>
      <c r="K2746" s="2" t="n">
        <f aca="false">IF(H2746="yes",1,0)</f>
        <v>0</v>
      </c>
      <c r="L2746" s="2" t="n">
        <f aca="false">IF(I2746="yes",1,0)</f>
        <v>0</v>
      </c>
      <c r="M2746" s="2" t="n">
        <f aca="false">IF(G2746&lt;0,1,0)</f>
        <v>0</v>
      </c>
      <c r="N2746" s="2" t="str">
        <f aca="false">_xlfn.IFS(B2746&lt;30,"Under 30",B2746&lt;40,"30-39",B2746&lt;50,"40-49",B2746&lt;60,"50-59",TRUE(),"60+")</f>
        <v>50-59</v>
      </c>
      <c r="O2746" s="2" t="str">
        <f aca="false">_xlfn.IFS(G2746&lt;0,"1 Negative",G2746=0,"2 Zero",G2746&lt;=500,"3 1-500",G2746&lt;=2000,"4 501-2000",TRUE(),"5 Above 2000")</f>
        <v>2 Zero</v>
      </c>
      <c r="P2746" s="2" t="n">
        <f aca="false">Lookups!$B$2*M2746+Lookups!$B$3*L2746</f>
        <v>0</v>
      </c>
      <c r="Q2746" s="2" t="str">
        <f aca="false">INDEX(Lookups!$E$2:$E$5,MATCH(P2746,Lookups!$D$2:$D$5,0))</f>
        <v>Low</v>
      </c>
    </row>
    <row r="2747" customFormat="false" ht="15" hidden="false" customHeight="false" outlineLevel="0" collapsed="false">
      <c r="A2747" s="3" t="n">
        <v>2746</v>
      </c>
      <c r="B2747" s="3" t="n">
        <f aca="false">Raw_Data!A2747</f>
        <v>34</v>
      </c>
      <c r="C2747" s="3" t="str">
        <f aca="false">SUBSTITUTE(Raw_Data!B2747,".","")</f>
        <v>management</v>
      </c>
      <c r="D2747" s="3" t="str">
        <f aca="false">Raw_Data!C2747</f>
        <v>married</v>
      </c>
      <c r="E2747" s="3" t="str">
        <f aca="false">Raw_Data!D2747</f>
        <v>tertiary</v>
      </c>
      <c r="F2747" s="3" t="str">
        <f aca="false">Raw_Data!E2747</f>
        <v>no</v>
      </c>
      <c r="G2747" s="3" t="n">
        <f aca="false">Raw_Data!F2747</f>
        <v>1657</v>
      </c>
      <c r="H2747" s="3" t="str">
        <f aca="false">Raw_Data!G2747</f>
        <v>yes</v>
      </c>
      <c r="I2747" s="3" t="str">
        <f aca="false">Raw_Data!H2747</f>
        <v>no</v>
      </c>
      <c r="J2747" s="2" t="n">
        <f aca="false">IF(F2747="yes",1,0)</f>
        <v>0</v>
      </c>
      <c r="K2747" s="2" t="n">
        <f aca="false">IF(H2747="yes",1,0)</f>
        <v>1</v>
      </c>
      <c r="L2747" s="2" t="n">
        <f aca="false">IF(I2747="yes",1,0)</f>
        <v>0</v>
      </c>
      <c r="M2747" s="2" t="n">
        <f aca="false">IF(G2747&lt;0,1,0)</f>
        <v>0</v>
      </c>
      <c r="N2747" s="2" t="str">
        <f aca="false">_xlfn.IFS(B2747&lt;30,"Under 30",B2747&lt;40,"30-39",B2747&lt;50,"40-49",B2747&lt;60,"50-59",TRUE(),"60+")</f>
        <v>30-39</v>
      </c>
      <c r="O2747" s="2" t="str">
        <f aca="false">_xlfn.IFS(G2747&lt;0,"1 Negative",G2747=0,"2 Zero",G2747&lt;=500,"3 1-500",G2747&lt;=2000,"4 501-2000",TRUE(),"5 Above 2000")</f>
        <v>4 501-2000</v>
      </c>
      <c r="P2747" s="2" t="n">
        <f aca="false">Lookups!$B$2*M2747+Lookups!$B$3*L2747</f>
        <v>0</v>
      </c>
      <c r="Q2747" s="2" t="str">
        <f aca="false">INDEX(Lookups!$E$2:$E$5,MATCH(P2747,Lookups!$D$2:$D$5,0))</f>
        <v>Low</v>
      </c>
    </row>
    <row r="2748" customFormat="false" ht="15" hidden="false" customHeight="false" outlineLevel="0" collapsed="false">
      <c r="A2748" s="3" t="n">
        <v>2747</v>
      </c>
      <c r="B2748" s="3" t="n">
        <f aca="false">Raw_Data!A2748</f>
        <v>47</v>
      </c>
      <c r="C2748" s="3" t="str">
        <f aca="false">SUBSTITUTE(Raw_Data!B2748,".","")</f>
        <v>technician</v>
      </c>
      <c r="D2748" s="3" t="str">
        <f aca="false">Raw_Data!C2748</f>
        <v>married</v>
      </c>
      <c r="E2748" s="3" t="str">
        <f aca="false">Raw_Data!D2748</f>
        <v>secondary</v>
      </c>
      <c r="F2748" s="3" t="str">
        <f aca="false">Raw_Data!E2748</f>
        <v>no</v>
      </c>
      <c r="G2748" s="3" t="n">
        <f aca="false">Raw_Data!F2748</f>
        <v>1219</v>
      </c>
      <c r="H2748" s="3" t="str">
        <f aca="false">Raw_Data!G2748</f>
        <v>no</v>
      </c>
      <c r="I2748" s="3" t="str">
        <f aca="false">Raw_Data!H2748</f>
        <v>no</v>
      </c>
      <c r="J2748" s="2" t="n">
        <f aca="false">IF(F2748="yes",1,0)</f>
        <v>0</v>
      </c>
      <c r="K2748" s="2" t="n">
        <f aca="false">IF(H2748="yes",1,0)</f>
        <v>0</v>
      </c>
      <c r="L2748" s="2" t="n">
        <f aca="false">IF(I2748="yes",1,0)</f>
        <v>0</v>
      </c>
      <c r="M2748" s="2" t="n">
        <f aca="false">IF(G2748&lt;0,1,0)</f>
        <v>0</v>
      </c>
      <c r="N2748" s="2" t="str">
        <f aca="false">_xlfn.IFS(B2748&lt;30,"Under 30",B2748&lt;40,"30-39",B2748&lt;50,"40-49",B2748&lt;60,"50-59",TRUE(),"60+")</f>
        <v>40-49</v>
      </c>
      <c r="O2748" s="2" t="str">
        <f aca="false">_xlfn.IFS(G2748&lt;0,"1 Negative",G2748=0,"2 Zero",G2748&lt;=500,"3 1-500",G2748&lt;=2000,"4 501-2000",TRUE(),"5 Above 2000")</f>
        <v>4 501-2000</v>
      </c>
      <c r="P2748" s="2" t="n">
        <f aca="false">Lookups!$B$2*M2748+Lookups!$B$3*L2748</f>
        <v>0</v>
      </c>
      <c r="Q2748" s="2" t="str">
        <f aca="false">INDEX(Lookups!$E$2:$E$5,MATCH(P2748,Lookups!$D$2:$D$5,0))</f>
        <v>Low</v>
      </c>
    </row>
    <row r="2749" customFormat="false" ht="15" hidden="false" customHeight="false" outlineLevel="0" collapsed="false">
      <c r="A2749" s="3" t="n">
        <v>2748</v>
      </c>
      <c r="B2749" s="3" t="n">
        <f aca="false">Raw_Data!A2749</f>
        <v>27</v>
      </c>
      <c r="C2749" s="3" t="str">
        <f aca="false">SUBSTITUTE(Raw_Data!B2749,".","")</f>
        <v>technician</v>
      </c>
      <c r="D2749" s="3" t="str">
        <f aca="false">Raw_Data!C2749</f>
        <v>married</v>
      </c>
      <c r="E2749" s="3" t="str">
        <f aca="false">Raw_Data!D2749</f>
        <v>secondary</v>
      </c>
      <c r="F2749" s="3" t="str">
        <f aca="false">Raw_Data!E2749</f>
        <v>no</v>
      </c>
      <c r="G2749" s="3" t="n">
        <f aca="false">Raw_Data!F2749</f>
        <v>7</v>
      </c>
      <c r="H2749" s="3" t="str">
        <f aca="false">Raw_Data!G2749</f>
        <v>yes</v>
      </c>
      <c r="I2749" s="3" t="str">
        <f aca="false">Raw_Data!H2749</f>
        <v>no</v>
      </c>
      <c r="J2749" s="2" t="n">
        <f aca="false">IF(F2749="yes",1,0)</f>
        <v>0</v>
      </c>
      <c r="K2749" s="2" t="n">
        <f aca="false">IF(H2749="yes",1,0)</f>
        <v>1</v>
      </c>
      <c r="L2749" s="2" t="n">
        <f aca="false">IF(I2749="yes",1,0)</f>
        <v>0</v>
      </c>
      <c r="M2749" s="2" t="n">
        <f aca="false">IF(G2749&lt;0,1,0)</f>
        <v>0</v>
      </c>
      <c r="N2749" s="2" t="str">
        <f aca="false">_xlfn.IFS(B2749&lt;30,"Under 30",B2749&lt;40,"30-39",B2749&lt;50,"40-49",B2749&lt;60,"50-59",TRUE(),"60+")</f>
        <v>Under 30</v>
      </c>
      <c r="O2749" s="2" t="str">
        <f aca="false">_xlfn.IFS(G2749&lt;0,"1 Negative",G2749=0,"2 Zero",G2749&lt;=500,"3 1-500",G2749&lt;=2000,"4 501-2000",TRUE(),"5 Above 2000")</f>
        <v>3 1-500</v>
      </c>
      <c r="P2749" s="2" t="n">
        <f aca="false">Lookups!$B$2*M2749+Lookups!$B$3*L2749</f>
        <v>0</v>
      </c>
      <c r="Q2749" s="2" t="str">
        <f aca="false">INDEX(Lookups!$E$2:$E$5,MATCH(P2749,Lookups!$D$2:$D$5,0))</f>
        <v>Low</v>
      </c>
    </row>
    <row r="2750" customFormat="false" ht="15" hidden="false" customHeight="false" outlineLevel="0" collapsed="false">
      <c r="A2750" s="3" t="n">
        <v>2749</v>
      </c>
      <c r="B2750" s="3" t="n">
        <f aca="false">Raw_Data!A2750</f>
        <v>40</v>
      </c>
      <c r="C2750" s="3" t="str">
        <f aca="false">SUBSTITUTE(Raw_Data!B2750,".","")</f>
        <v>blue-collar</v>
      </c>
      <c r="D2750" s="3" t="str">
        <f aca="false">Raw_Data!C2750</f>
        <v>married</v>
      </c>
      <c r="E2750" s="3" t="str">
        <f aca="false">Raw_Data!D2750</f>
        <v>secondary</v>
      </c>
      <c r="F2750" s="3" t="str">
        <f aca="false">Raw_Data!E2750</f>
        <v>no</v>
      </c>
      <c r="G2750" s="3" t="n">
        <f aca="false">Raw_Data!F2750</f>
        <v>-839</v>
      </c>
      <c r="H2750" s="3" t="str">
        <f aca="false">Raw_Data!G2750</f>
        <v>yes</v>
      </c>
      <c r="I2750" s="3" t="str">
        <f aca="false">Raw_Data!H2750</f>
        <v>yes</v>
      </c>
      <c r="J2750" s="2" t="n">
        <f aca="false">IF(F2750="yes",1,0)</f>
        <v>0</v>
      </c>
      <c r="K2750" s="2" t="n">
        <f aca="false">IF(H2750="yes",1,0)</f>
        <v>1</v>
      </c>
      <c r="L2750" s="2" t="n">
        <f aca="false">IF(I2750="yes",1,0)</f>
        <v>1</v>
      </c>
      <c r="M2750" s="2" t="n">
        <f aca="false">IF(G2750&lt;0,1,0)</f>
        <v>1</v>
      </c>
      <c r="N2750" s="2" t="str">
        <f aca="false">_xlfn.IFS(B2750&lt;30,"Under 30",B2750&lt;40,"30-39",B2750&lt;50,"40-49",B2750&lt;60,"50-59",TRUE(),"60+")</f>
        <v>40-49</v>
      </c>
      <c r="O2750" s="2" t="str">
        <f aca="false">_xlfn.IFS(G2750&lt;0,"1 Negative",G2750=0,"2 Zero",G2750&lt;=500,"3 1-500",G2750&lt;=2000,"4 501-2000",TRUE(),"5 Above 2000")</f>
        <v>1 Negative</v>
      </c>
      <c r="P2750" s="2" t="n">
        <f aca="false">Lookups!$B$2*M2750+Lookups!$B$3*L2750</f>
        <v>3</v>
      </c>
      <c r="Q2750" s="2" t="str">
        <f aca="false">INDEX(Lookups!$E$2:$E$5,MATCH(P2750,Lookups!$D$2:$D$5,0))</f>
        <v>High</v>
      </c>
    </row>
    <row r="2751" customFormat="false" ht="15" hidden="false" customHeight="false" outlineLevel="0" collapsed="false">
      <c r="A2751" s="3" t="n">
        <v>2750</v>
      </c>
      <c r="B2751" s="3" t="n">
        <f aca="false">Raw_Data!A2751</f>
        <v>39</v>
      </c>
      <c r="C2751" s="3" t="str">
        <f aca="false">SUBSTITUTE(Raw_Data!B2751,".","")</f>
        <v>technician</v>
      </c>
      <c r="D2751" s="3" t="str">
        <f aca="false">Raw_Data!C2751</f>
        <v>married</v>
      </c>
      <c r="E2751" s="3" t="str">
        <f aca="false">Raw_Data!D2751</f>
        <v>secondary</v>
      </c>
      <c r="F2751" s="3" t="str">
        <f aca="false">Raw_Data!E2751</f>
        <v>no</v>
      </c>
      <c r="G2751" s="3" t="n">
        <f aca="false">Raw_Data!F2751</f>
        <v>994</v>
      </c>
      <c r="H2751" s="3" t="str">
        <f aca="false">Raw_Data!G2751</f>
        <v>no</v>
      </c>
      <c r="I2751" s="3" t="str">
        <f aca="false">Raw_Data!H2751</f>
        <v>no</v>
      </c>
      <c r="J2751" s="2" t="n">
        <f aca="false">IF(F2751="yes",1,0)</f>
        <v>0</v>
      </c>
      <c r="K2751" s="2" t="n">
        <f aca="false">IF(H2751="yes",1,0)</f>
        <v>0</v>
      </c>
      <c r="L2751" s="2" t="n">
        <f aca="false">IF(I2751="yes",1,0)</f>
        <v>0</v>
      </c>
      <c r="M2751" s="2" t="n">
        <f aca="false">IF(G2751&lt;0,1,0)</f>
        <v>0</v>
      </c>
      <c r="N2751" s="2" t="str">
        <f aca="false">_xlfn.IFS(B2751&lt;30,"Under 30",B2751&lt;40,"30-39",B2751&lt;50,"40-49",B2751&lt;60,"50-59",TRUE(),"60+")</f>
        <v>30-39</v>
      </c>
      <c r="O2751" s="2" t="str">
        <f aca="false">_xlfn.IFS(G2751&lt;0,"1 Negative",G2751=0,"2 Zero",G2751&lt;=500,"3 1-500",G2751&lt;=2000,"4 501-2000",TRUE(),"5 Above 2000")</f>
        <v>4 501-2000</v>
      </c>
      <c r="P2751" s="2" t="n">
        <f aca="false">Lookups!$B$2*M2751+Lookups!$B$3*L2751</f>
        <v>0</v>
      </c>
      <c r="Q2751" s="2" t="str">
        <f aca="false">INDEX(Lookups!$E$2:$E$5,MATCH(P2751,Lookups!$D$2:$D$5,0))</f>
        <v>Low</v>
      </c>
    </row>
    <row r="2752" customFormat="false" ht="15" hidden="false" customHeight="false" outlineLevel="0" collapsed="false">
      <c r="A2752" s="3" t="n">
        <v>2751</v>
      </c>
      <c r="B2752" s="3" t="n">
        <f aca="false">Raw_Data!A2752</f>
        <v>36</v>
      </c>
      <c r="C2752" s="3" t="str">
        <f aca="false">SUBSTITUTE(Raw_Data!B2752,".","")</f>
        <v>entrepreneur</v>
      </c>
      <c r="D2752" s="3" t="str">
        <f aca="false">Raw_Data!C2752</f>
        <v>married</v>
      </c>
      <c r="E2752" s="3" t="str">
        <f aca="false">Raw_Data!D2752</f>
        <v>tertiary</v>
      </c>
      <c r="F2752" s="3" t="str">
        <f aca="false">Raw_Data!E2752</f>
        <v>no</v>
      </c>
      <c r="G2752" s="3" t="n">
        <f aca="false">Raw_Data!F2752</f>
        <v>6</v>
      </c>
      <c r="H2752" s="3" t="str">
        <f aca="false">Raw_Data!G2752</f>
        <v>no</v>
      </c>
      <c r="I2752" s="3" t="str">
        <f aca="false">Raw_Data!H2752</f>
        <v>no</v>
      </c>
      <c r="J2752" s="2" t="n">
        <f aca="false">IF(F2752="yes",1,0)</f>
        <v>0</v>
      </c>
      <c r="K2752" s="2" t="n">
        <f aca="false">IF(H2752="yes",1,0)</f>
        <v>0</v>
      </c>
      <c r="L2752" s="2" t="n">
        <f aca="false">IF(I2752="yes",1,0)</f>
        <v>0</v>
      </c>
      <c r="M2752" s="2" t="n">
        <f aca="false">IF(G2752&lt;0,1,0)</f>
        <v>0</v>
      </c>
      <c r="N2752" s="2" t="str">
        <f aca="false">_xlfn.IFS(B2752&lt;30,"Under 30",B2752&lt;40,"30-39",B2752&lt;50,"40-49",B2752&lt;60,"50-59",TRUE(),"60+")</f>
        <v>30-39</v>
      </c>
      <c r="O2752" s="2" t="str">
        <f aca="false">_xlfn.IFS(G2752&lt;0,"1 Negative",G2752=0,"2 Zero",G2752&lt;=500,"3 1-500",G2752&lt;=2000,"4 501-2000",TRUE(),"5 Above 2000")</f>
        <v>3 1-500</v>
      </c>
      <c r="P2752" s="2" t="n">
        <f aca="false">Lookups!$B$2*M2752+Lookups!$B$3*L2752</f>
        <v>0</v>
      </c>
      <c r="Q2752" s="2" t="str">
        <f aca="false">INDEX(Lookups!$E$2:$E$5,MATCH(P2752,Lookups!$D$2:$D$5,0))</f>
        <v>Low</v>
      </c>
    </row>
    <row r="2753" customFormat="false" ht="15" hidden="false" customHeight="false" outlineLevel="0" collapsed="false">
      <c r="A2753" s="3" t="n">
        <v>2752</v>
      </c>
      <c r="B2753" s="3" t="n">
        <f aca="false">Raw_Data!A2753</f>
        <v>42</v>
      </c>
      <c r="C2753" s="3" t="str">
        <f aca="false">SUBSTITUTE(Raw_Data!B2753,".","")</f>
        <v>technician</v>
      </c>
      <c r="D2753" s="3" t="str">
        <f aca="false">Raw_Data!C2753</f>
        <v>single</v>
      </c>
      <c r="E2753" s="3" t="str">
        <f aca="false">Raw_Data!D2753</f>
        <v>secondary</v>
      </c>
      <c r="F2753" s="3" t="str">
        <f aca="false">Raw_Data!E2753</f>
        <v>no</v>
      </c>
      <c r="G2753" s="3" t="n">
        <f aca="false">Raw_Data!F2753</f>
        <v>0</v>
      </c>
      <c r="H2753" s="3" t="str">
        <f aca="false">Raw_Data!G2753</f>
        <v>no</v>
      </c>
      <c r="I2753" s="3" t="str">
        <f aca="false">Raw_Data!H2753</f>
        <v>no</v>
      </c>
      <c r="J2753" s="2" t="n">
        <f aca="false">IF(F2753="yes",1,0)</f>
        <v>0</v>
      </c>
      <c r="K2753" s="2" t="n">
        <f aca="false">IF(H2753="yes",1,0)</f>
        <v>0</v>
      </c>
      <c r="L2753" s="2" t="n">
        <f aca="false">IF(I2753="yes",1,0)</f>
        <v>0</v>
      </c>
      <c r="M2753" s="2" t="n">
        <f aca="false">IF(G2753&lt;0,1,0)</f>
        <v>0</v>
      </c>
      <c r="N2753" s="2" t="str">
        <f aca="false">_xlfn.IFS(B2753&lt;30,"Under 30",B2753&lt;40,"30-39",B2753&lt;50,"40-49",B2753&lt;60,"50-59",TRUE(),"60+")</f>
        <v>40-49</v>
      </c>
      <c r="O2753" s="2" t="str">
        <f aca="false">_xlfn.IFS(G2753&lt;0,"1 Negative",G2753=0,"2 Zero",G2753&lt;=500,"3 1-500",G2753&lt;=2000,"4 501-2000",TRUE(),"5 Above 2000")</f>
        <v>2 Zero</v>
      </c>
      <c r="P2753" s="2" t="n">
        <f aca="false">Lookups!$B$2*M2753+Lookups!$B$3*L2753</f>
        <v>0</v>
      </c>
      <c r="Q2753" s="2" t="str">
        <f aca="false">INDEX(Lookups!$E$2:$E$5,MATCH(P2753,Lookups!$D$2:$D$5,0))</f>
        <v>Low</v>
      </c>
    </row>
    <row r="2754" customFormat="false" ht="15" hidden="false" customHeight="false" outlineLevel="0" collapsed="false">
      <c r="A2754" s="3" t="n">
        <v>2753</v>
      </c>
      <c r="B2754" s="3" t="n">
        <f aca="false">Raw_Data!A2754</f>
        <v>23</v>
      </c>
      <c r="C2754" s="3" t="str">
        <f aca="false">SUBSTITUTE(Raw_Data!B2754,".","")</f>
        <v>blue-collar</v>
      </c>
      <c r="D2754" s="3" t="str">
        <f aca="false">Raw_Data!C2754</f>
        <v>single</v>
      </c>
      <c r="E2754" s="3" t="str">
        <f aca="false">Raw_Data!D2754</f>
        <v>primary</v>
      </c>
      <c r="F2754" s="3" t="str">
        <f aca="false">Raw_Data!E2754</f>
        <v>no</v>
      </c>
      <c r="G2754" s="3" t="n">
        <f aca="false">Raw_Data!F2754</f>
        <v>8627</v>
      </c>
      <c r="H2754" s="3" t="str">
        <f aca="false">Raw_Data!G2754</f>
        <v>yes</v>
      </c>
      <c r="I2754" s="3" t="str">
        <f aca="false">Raw_Data!H2754</f>
        <v>no</v>
      </c>
      <c r="J2754" s="2" t="n">
        <f aca="false">IF(F2754="yes",1,0)</f>
        <v>0</v>
      </c>
      <c r="K2754" s="2" t="n">
        <f aca="false">IF(H2754="yes",1,0)</f>
        <v>1</v>
      </c>
      <c r="L2754" s="2" t="n">
        <f aca="false">IF(I2754="yes",1,0)</f>
        <v>0</v>
      </c>
      <c r="M2754" s="2" t="n">
        <f aca="false">IF(G2754&lt;0,1,0)</f>
        <v>0</v>
      </c>
      <c r="N2754" s="2" t="str">
        <f aca="false">_xlfn.IFS(B2754&lt;30,"Under 30",B2754&lt;40,"30-39",B2754&lt;50,"40-49",B2754&lt;60,"50-59",TRUE(),"60+")</f>
        <v>Under 30</v>
      </c>
      <c r="O2754" s="2" t="str">
        <f aca="false">_xlfn.IFS(G2754&lt;0,"1 Negative",G2754=0,"2 Zero",G2754&lt;=500,"3 1-500",G2754&lt;=2000,"4 501-2000",TRUE(),"5 Above 2000")</f>
        <v>5 Above 2000</v>
      </c>
      <c r="P2754" s="2" t="n">
        <f aca="false">Lookups!$B$2*M2754+Lookups!$B$3*L2754</f>
        <v>0</v>
      </c>
      <c r="Q2754" s="2" t="str">
        <f aca="false">INDEX(Lookups!$E$2:$E$5,MATCH(P2754,Lookups!$D$2:$D$5,0))</f>
        <v>Low</v>
      </c>
    </row>
    <row r="2755" customFormat="false" ht="15" hidden="false" customHeight="false" outlineLevel="0" collapsed="false">
      <c r="A2755" s="3" t="n">
        <v>2754</v>
      </c>
      <c r="B2755" s="3" t="n">
        <f aca="false">Raw_Data!A2755</f>
        <v>34</v>
      </c>
      <c r="C2755" s="3" t="str">
        <f aca="false">SUBSTITUTE(Raw_Data!B2755,".","")</f>
        <v>management</v>
      </c>
      <c r="D2755" s="3" t="str">
        <f aca="false">Raw_Data!C2755</f>
        <v>married</v>
      </c>
      <c r="E2755" s="3" t="str">
        <f aca="false">Raw_Data!D2755</f>
        <v>tertiary</v>
      </c>
      <c r="F2755" s="3" t="str">
        <f aca="false">Raw_Data!E2755</f>
        <v>no</v>
      </c>
      <c r="G2755" s="3" t="n">
        <f aca="false">Raw_Data!F2755</f>
        <v>133</v>
      </c>
      <c r="H2755" s="3" t="str">
        <f aca="false">Raw_Data!G2755</f>
        <v>yes</v>
      </c>
      <c r="I2755" s="3" t="str">
        <f aca="false">Raw_Data!H2755</f>
        <v>no</v>
      </c>
      <c r="J2755" s="2" t="n">
        <f aca="false">IF(F2755="yes",1,0)</f>
        <v>0</v>
      </c>
      <c r="K2755" s="2" t="n">
        <f aca="false">IF(H2755="yes",1,0)</f>
        <v>1</v>
      </c>
      <c r="L2755" s="2" t="n">
        <f aca="false">IF(I2755="yes",1,0)</f>
        <v>0</v>
      </c>
      <c r="M2755" s="2" t="n">
        <f aca="false">IF(G2755&lt;0,1,0)</f>
        <v>0</v>
      </c>
      <c r="N2755" s="2" t="str">
        <f aca="false">_xlfn.IFS(B2755&lt;30,"Under 30",B2755&lt;40,"30-39",B2755&lt;50,"40-49",B2755&lt;60,"50-59",TRUE(),"60+")</f>
        <v>30-39</v>
      </c>
      <c r="O2755" s="2" t="str">
        <f aca="false">_xlfn.IFS(G2755&lt;0,"1 Negative",G2755=0,"2 Zero",G2755&lt;=500,"3 1-500",G2755&lt;=2000,"4 501-2000",TRUE(),"5 Above 2000")</f>
        <v>3 1-500</v>
      </c>
      <c r="P2755" s="2" t="n">
        <f aca="false">Lookups!$B$2*M2755+Lookups!$B$3*L2755</f>
        <v>0</v>
      </c>
      <c r="Q2755" s="2" t="str">
        <f aca="false">INDEX(Lookups!$E$2:$E$5,MATCH(P2755,Lookups!$D$2:$D$5,0))</f>
        <v>Low</v>
      </c>
    </row>
    <row r="2756" customFormat="false" ht="15" hidden="false" customHeight="false" outlineLevel="0" collapsed="false">
      <c r="A2756" s="3" t="n">
        <v>2755</v>
      </c>
      <c r="B2756" s="3" t="n">
        <f aca="false">Raw_Data!A2756</f>
        <v>34</v>
      </c>
      <c r="C2756" s="3" t="str">
        <f aca="false">SUBSTITUTE(Raw_Data!B2756,".","")</f>
        <v>blue-collar</v>
      </c>
      <c r="D2756" s="3" t="str">
        <f aca="false">Raw_Data!C2756</f>
        <v>married</v>
      </c>
      <c r="E2756" s="3" t="str">
        <f aca="false">Raw_Data!D2756</f>
        <v>secondary</v>
      </c>
      <c r="F2756" s="3" t="str">
        <f aca="false">Raw_Data!E2756</f>
        <v>no</v>
      </c>
      <c r="G2756" s="3" t="n">
        <f aca="false">Raw_Data!F2756</f>
        <v>247</v>
      </c>
      <c r="H2756" s="3" t="str">
        <f aca="false">Raw_Data!G2756</f>
        <v>yes</v>
      </c>
      <c r="I2756" s="3" t="str">
        <f aca="false">Raw_Data!H2756</f>
        <v>yes</v>
      </c>
      <c r="J2756" s="2" t="n">
        <f aca="false">IF(F2756="yes",1,0)</f>
        <v>0</v>
      </c>
      <c r="K2756" s="2" t="n">
        <f aca="false">IF(H2756="yes",1,0)</f>
        <v>1</v>
      </c>
      <c r="L2756" s="2" t="n">
        <f aca="false">IF(I2756="yes",1,0)</f>
        <v>1</v>
      </c>
      <c r="M2756" s="2" t="n">
        <f aca="false">IF(G2756&lt;0,1,0)</f>
        <v>0</v>
      </c>
      <c r="N2756" s="2" t="str">
        <f aca="false">_xlfn.IFS(B2756&lt;30,"Under 30",B2756&lt;40,"30-39",B2756&lt;50,"40-49",B2756&lt;60,"50-59",TRUE(),"60+")</f>
        <v>30-39</v>
      </c>
      <c r="O2756" s="2" t="str">
        <f aca="false">_xlfn.IFS(G2756&lt;0,"1 Negative",G2756=0,"2 Zero",G2756&lt;=500,"3 1-500",G2756&lt;=2000,"4 501-2000",TRUE(),"5 Above 2000")</f>
        <v>3 1-500</v>
      </c>
      <c r="P2756" s="2" t="n">
        <f aca="false">Lookups!$B$2*M2756+Lookups!$B$3*L2756</f>
        <v>1</v>
      </c>
      <c r="Q2756" s="2" t="str">
        <f aca="false">INDEX(Lookups!$E$2:$E$5,MATCH(P2756,Lookups!$D$2:$D$5,0))</f>
        <v>Medium</v>
      </c>
    </row>
    <row r="2757" customFormat="false" ht="15" hidden="false" customHeight="false" outlineLevel="0" collapsed="false">
      <c r="A2757" s="3" t="n">
        <v>2756</v>
      </c>
      <c r="B2757" s="3" t="n">
        <f aca="false">Raw_Data!A2757</f>
        <v>49</v>
      </c>
      <c r="C2757" s="3" t="str">
        <f aca="false">SUBSTITUTE(Raw_Data!B2757,".","")</f>
        <v>services</v>
      </c>
      <c r="D2757" s="3" t="str">
        <f aca="false">Raw_Data!C2757</f>
        <v>married</v>
      </c>
      <c r="E2757" s="3" t="str">
        <f aca="false">Raw_Data!D2757</f>
        <v>secondary</v>
      </c>
      <c r="F2757" s="3" t="str">
        <f aca="false">Raw_Data!E2757</f>
        <v>no</v>
      </c>
      <c r="G2757" s="3" t="n">
        <f aca="false">Raw_Data!F2757</f>
        <v>1114</v>
      </c>
      <c r="H2757" s="3" t="str">
        <f aca="false">Raw_Data!G2757</f>
        <v>no</v>
      </c>
      <c r="I2757" s="3" t="str">
        <f aca="false">Raw_Data!H2757</f>
        <v>no</v>
      </c>
      <c r="J2757" s="2" t="n">
        <f aca="false">IF(F2757="yes",1,0)</f>
        <v>0</v>
      </c>
      <c r="K2757" s="2" t="n">
        <f aca="false">IF(H2757="yes",1,0)</f>
        <v>0</v>
      </c>
      <c r="L2757" s="2" t="n">
        <f aca="false">IF(I2757="yes",1,0)</f>
        <v>0</v>
      </c>
      <c r="M2757" s="2" t="n">
        <f aca="false">IF(G2757&lt;0,1,0)</f>
        <v>0</v>
      </c>
      <c r="N2757" s="2" t="str">
        <f aca="false">_xlfn.IFS(B2757&lt;30,"Under 30",B2757&lt;40,"30-39",B2757&lt;50,"40-49",B2757&lt;60,"50-59",TRUE(),"60+")</f>
        <v>40-49</v>
      </c>
      <c r="O2757" s="2" t="str">
        <f aca="false">_xlfn.IFS(G2757&lt;0,"1 Negative",G2757=0,"2 Zero",G2757&lt;=500,"3 1-500",G2757&lt;=2000,"4 501-2000",TRUE(),"5 Above 2000")</f>
        <v>4 501-2000</v>
      </c>
      <c r="P2757" s="2" t="n">
        <f aca="false">Lookups!$B$2*M2757+Lookups!$B$3*L2757</f>
        <v>0</v>
      </c>
      <c r="Q2757" s="2" t="str">
        <f aca="false">INDEX(Lookups!$E$2:$E$5,MATCH(P2757,Lookups!$D$2:$D$5,0))</f>
        <v>Low</v>
      </c>
    </row>
    <row r="2758" customFormat="false" ht="15" hidden="false" customHeight="false" outlineLevel="0" collapsed="false">
      <c r="A2758" s="3" t="n">
        <v>2757</v>
      </c>
      <c r="B2758" s="3" t="n">
        <f aca="false">Raw_Data!A2758</f>
        <v>57</v>
      </c>
      <c r="C2758" s="3" t="str">
        <f aca="false">SUBSTITUTE(Raw_Data!B2758,".","")</f>
        <v>blue-collar</v>
      </c>
      <c r="D2758" s="3" t="str">
        <f aca="false">Raw_Data!C2758</f>
        <v>married</v>
      </c>
      <c r="E2758" s="3" t="str">
        <f aca="false">Raw_Data!D2758</f>
        <v>primary</v>
      </c>
      <c r="F2758" s="3" t="str">
        <f aca="false">Raw_Data!E2758</f>
        <v>no</v>
      </c>
      <c r="G2758" s="3" t="n">
        <f aca="false">Raw_Data!F2758</f>
        <v>1592</v>
      </c>
      <c r="H2758" s="3" t="str">
        <f aca="false">Raw_Data!G2758</f>
        <v>no</v>
      </c>
      <c r="I2758" s="3" t="str">
        <f aca="false">Raw_Data!H2758</f>
        <v>yes</v>
      </c>
      <c r="J2758" s="2" t="n">
        <f aca="false">IF(F2758="yes",1,0)</f>
        <v>0</v>
      </c>
      <c r="K2758" s="2" t="n">
        <f aca="false">IF(H2758="yes",1,0)</f>
        <v>0</v>
      </c>
      <c r="L2758" s="2" t="n">
        <f aca="false">IF(I2758="yes",1,0)</f>
        <v>1</v>
      </c>
      <c r="M2758" s="2" t="n">
        <f aca="false">IF(G2758&lt;0,1,0)</f>
        <v>0</v>
      </c>
      <c r="N2758" s="2" t="str">
        <f aca="false">_xlfn.IFS(B2758&lt;30,"Under 30",B2758&lt;40,"30-39",B2758&lt;50,"40-49",B2758&lt;60,"50-59",TRUE(),"60+")</f>
        <v>50-59</v>
      </c>
      <c r="O2758" s="2" t="str">
        <f aca="false">_xlfn.IFS(G2758&lt;0,"1 Negative",G2758=0,"2 Zero",G2758&lt;=500,"3 1-500",G2758&lt;=2000,"4 501-2000",TRUE(),"5 Above 2000")</f>
        <v>4 501-2000</v>
      </c>
      <c r="P2758" s="2" t="n">
        <f aca="false">Lookups!$B$2*M2758+Lookups!$B$3*L2758</f>
        <v>1</v>
      </c>
      <c r="Q2758" s="2" t="str">
        <f aca="false">INDEX(Lookups!$E$2:$E$5,MATCH(P2758,Lookups!$D$2:$D$5,0))</f>
        <v>Medium</v>
      </c>
    </row>
    <row r="2759" customFormat="false" ht="15" hidden="false" customHeight="false" outlineLevel="0" collapsed="false">
      <c r="A2759" s="3" t="n">
        <v>2758</v>
      </c>
      <c r="B2759" s="3" t="n">
        <f aca="false">Raw_Data!A2759</f>
        <v>59</v>
      </c>
      <c r="C2759" s="3" t="str">
        <f aca="false">SUBSTITUTE(Raw_Data!B2759,".","")</f>
        <v>retired</v>
      </c>
      <c r="D2759" s="3" t="str">
        <f aca="false">Raw_Data!C2759</f>
        <v>married</v>
      </c>
      <c r="E2759" s="3" t="str">
        <f aca="false">Raw_Data!D2759</f>
        <v>unknown</v>
      </c>
      <c r="F2759" s="3" t="str">
        <f aca="false">Raw_Data!E2759</f>
        <v>no</v>
      </c>
      <c r="G2759" s="3" t="n">
        <f aca="false">Raw_Data!F2759</f>
        <v>0</v>
      </c>
      <c r="H2759" s="3" t="str">
        <f aca="false">Raw_Data!G2759</f>
        <v>no</v>
      </c>
      <c r="I2759" s="3" t="str">
        <f aca="false">Raw_Data!H2759</f>
        <v>no</v>
      </c>
      <c r="J2759" s="2" t="n">
        <f aca="false">IF(F2759="yes",1,0)</f>
        <v>0</v>
      </c>
      <c r="K2759" s="2" t="n">
        <f aca="false">IF(H2759="yes",1,0)</f>
        <v>0</v>
      </c>
      <c r="L2759" s="2" t="n">
        <f aca="false">IF(I2759="yes",1,0)</f>
        <v>0</v>
      </c>
      <c r="M2759" s="2" t="n">
        <f aca="false">IF(G2759&lt;0,1,0)</f>
        <v>0</v>
      </c>
      <c r="N2759" s="2" t="str">
        <f aca="false">_xlfn.IFS(B2759&lt;30,"Under 30",B2759&lt;40,"30-39",B2759&lt;50,"40-49",B2759&lt;60,"50-59",TRUE(),"60+")</f>
        <v>50-59</v>
      </c>
      <c r="O2759" s="2" t="str">
        <f aca="false">_xlfn.IFS(G2759&lt;0,"1 Negative",G2759=0,"2 Zero",G2759&lt;=500,"3 1-500",G2759&lt;=2000,"4 501-2000",TRUE(),"5 Above 2000")</f>
        <v>2 Zero</v>
      </c>
      <c r="P2759" s="2" t="n">
        <f aca="false">Lookups!$B$2*M2759+Lookups!$B$3*L2759</f>
        <v>0</v>
      </c>
      <c r="Q2759" s="2" t="str">
        <f aca="false">INDEX(Lookups!$E$2:$E$5,MATCH(P2759,Lookups!$D$2:$D$5,0))</f>
        <v>Low</v>
      </c>
    </row>
    <row r="2760" customFormat="false" ht="15" hidden="false" customHeight="false" outlineLevel="0" collapsed="false">
      <c r="A2760" s="3" t="n">
        <v>2759</v>
      </c>
      <c r="B2760" s="3" t="n">
        <f aca="false">Raw_Data!A2760</f>
        <v>57</v>
      </c>
      <c r="C2760" s="3" t="str">
        <f aca="false">SUBSTITUTE(Raw_Data!B2760,".","")</f>
        <v>admin</v>
      </c>
      <c r="D2760" s="3" t="str">
        <f aca="false">Raw_Data!C2760</f>
        <v>married</v>
      </c>
      <c r="E2760" s="3" t="str">
        <f aca="false">Raw_Data!D2760</f>
        <v>tertiary</v>
      </c>
      <c r="F2760" s="3" t="str">
        <f aca="false">Raw_Data!E2760</f>
        <v>no</v>
      </c>
      <c r="G2760" s="3" t="n">
        <f aca="false">Raw_Data!F2760</f>
        <v>46</v>
      </c>
      <c r="H2760" s="3" t="str">
        <f aca="false">Raw_Data!G2760</f>
        <v>no</v>
      </c>
      <c r="I2760" s="3" t="str">
        <f aca="false">Raw_Data!H2760</f>
        <v>no</v>
      </c>
      <c r="J2760" s="2" t="n">
        <f aca="false">IF(F2760="yes",1,0)</f>
        <v>0</v>
      </c>
      <c r="K2760" s="2" t="n">
        <f aca="false">IF(H2760="yes",1,0)</f>
        <v>0</v>
      </c>
      <c r="L2760" s="2" t="n">
        <f aca="false">IF(I2760="yes",1,0)</f>
        <v>0</v>
      </c>
      <c r="M2760" s="2" t="n">
        <f aca="false">IF(G2760&lt;0,1,0)</f>
        <v>0</v>
      </c>
      <c r="N2760" s="2" t="str">
        <f aca="false">_xlfn.IFS(B2760&lt;30,"Under 30",B2760&lt;40,"30-39",B2760&lt;50,"40-49",B2760&lt;60,"50-59",TRUE(),"60+")</f>
        <v>50-59</v>
      </c>
      <c r="O2760" s="2" t="str">
        <f aca="false">_xlfn.IFS(G2760&lt;0,"1 Negative",G2760=0,"2 Zero",G2760&lt;=500,"3 1-500",G2760&lt;=2000,"4 501-2000",TRUE(),"5 Above 2000")</f>
        <v>3 1-500</v>
      </c>
      <c r="P2760" s="2" t="n">
        <f aca="false">Lookups!$B$2*M2760+Lookups!$B$3*L2760</f>
        <v>0</v>
      </c>
      <c r="Q2760" s="2" t="str">
        <f aca="false">INDEX(Lookups!$E$2:$E$5,MATCH(P2760,Lookups!$D$2:$D$5,0))</f>
        <v>Low</v>
      </c>
    </row>
    <row r="2761" customFormat="false" ht="15" hidden="false" customHeight="false" outlineLevel="0" collapsed="false">
      <c r="A2761" s="3" t="n">
        <v>2760</v>
      </c>
      <c r="B2761" s="3" t="n">
        <f aca="false">Raw_Data!A2761</f>
        <v>34</v>
      </c>
      <c r="C2761" s="3" t="str">
        <f aca="false">SUBSTITUTE(Raw_Data!B2761,".","")</f>
        <v>blue-collar</v>
      </c>
      <c r="D2761" s="3" t="str">
        <f aca="false">Raw_Data!C2761</f>
        <v>married</v>
      </c>
      <c r="E2761" s="3" t="str">
        <f aca="false">Raw_Data!D2761</f>
        <v>secondary</v>
      </c>
      <c r="F2761" s="3" t="str">
        <f aca="false">Raw_Data!E2761</f>
        <v>no</v>
      </c>
      <c r="G2761" s="3" t="n">
        <f aca="false">Raw_Data!F2761</f>
        <v>1221</v>
      </c>
      <c r="H2761" s="3" t="str">
        <f aca="false">Raw_Data!G2761</f>
        <v>yes</v>
      </c>
      <c r="I2761" s="3" t="str">
        <f aca="false">Raw_Data!H2761</f>
        <v>no</v>
      </c>
      <c r="J2761" s="2" t="n">
        <f aca="false">IF(F2761="yes",1,0)</f>
        <v>0</v>
      </c>
      <c r="K2761" s="2" t="n">
        <f aca="false">IF(H2761="yes",1,0)</f>
        <v>1</v>
      </c>
      <c r="L2761" s="2" t="n">
        <f aca="false">IF(I2761="yes",1,0)</f>
        <v>0</v>
      </c>
      <c r="M2761" s="2" t="n">
        <f aca="false">IF(G2761&lt;0,1,0)</f>
        <v>0</v>
      </c>
      <c r="N2761" s="2" t="str">
        <f aca="false">_xlfn.IFS(B2761&lt;30,"Under 30",B2761&lt;40,"30-39",B2761&lt;50,"40-49",B2761&lt;60,"50-59",TRUE(),"60+")</f>
        <v>30-39</v>
      </c>
      <c r="O2761" s="2" t="str">
        <f aca="false">_xlfn.IFS(G2761&lt;0,"1 Negative",G2761=0,"2 Zero",G2761&lt;=500,"3 1-500",G2761&lt;=2000,"4 501-2000",TRUE(),"5 Above 2000")</f>
        <v>4 501-2000</v>
      </c>
      <c r="P2761" s="2" t="n">
        <f aca="false">Lookups!$B$2*M2761+Lookups!$B$3*L2761</f>
        <v>0</v>
      </c>
      <c r="Q2761" s="2" t="str">
        <f aca="false">INDEX(Lookups!$E$2:$E$5,MATCH(P2761,Lookups!$D$2:$D$5,0))</f>
        <v>Low</v>
      </c>
    </row>
    <row r="2762" customFormat="false" ht="15" hidden="false" customHeight="false" outlineLevel="0" collapsed="false">
      <c r="A2762" s="3" t="n">
        <v>2761</v>
      </c>
      <c r="B2762" s="3" t="n">
        <f aca="false">Raw_Data!A2762</f>
        <v>61</v>
      </c>
      <c r="C2762" s="3" t="str">
        <f aca="false">SUBSTITUTE(Raw_Data!B2762,".","")</f>
        <v>management</v>
      </c>
      <c r="D2762" s="3" t="str">
        <f aca="false">Raw_Data!C2762</f>
        <v>married</v>
      </c>
      <c r="E2762" s="3" t="str">
        <f aca="false">Raw_Data!D2762</f>
        <v>secondary</v>
      </c>
      <c r="F2762" s="3" t="str">
        <f aca="false">Raw_Data!E2762</f>
        <v>no</v>
      </c>
      <c r="G2762" s="3" t="n">
        <f aca="false">Raw_Data!F2762</f>
        <v>985</v>
      </c>
      <c r="H2762" s="3" t="str">
        <f aca="false">Raw_Data!G2762</f>
        <v>no</v>
      </c>
      <c r="I2762" s="3" t="str">
        <f aca="false">Raw_Data!H2762</f>
        <v>no</v>
      </c>
      <c r="J2762" s="2" t="n">
        <f aca="false">IF(F2762="yes",1,0)</f>
        <v>0</v>
      </c>
      <c r="K2762" s="2" t="n">
        <f aca="false">IF(H2762="yes",1,0)</f>
        <v>0</v>
      </c>
      <c r="L2762" s="2" t="n">
        <f aca="false">IF(I2762="yes",1,0)</f>
        <v>0</v>
      </c>
      <c r="M2762" s="2" t="n">
        <f aca="false">IF(G2762&lt;0,1,0)</f>
        <v>0</v>
      </c>
      <c r="N2762" s="2" t="str">
        <f aca="false">_xlfn.IFS(B2762&lt;30,"Under 30",B2762&lt;40,"30-39",B2762&lt;50,"40-49",B2762&lt;60,"50-59",TRUE(),"60+")</f>
        <v>60+</v>
      </c>
      <c r="O2762" s="2" t="str">
        <f aca="false">_xlfn.IFS(G2762&lt;0,"1 Negative",G2762=0,"2 Zero",G2762&lt;=500,"3 1-500",G2762&lt;=2000,"4 501-2000",TRUE(),"5 Above 2000")</f>
        <v>4 501-2000</v>
      </c>
      <c r="P2762" s="2" t="n">
        <f aca="false">Lookups!$B$2*M2762+Lookups!$B$3*L2762</f>
        <v>0</v>
      </c>
      <c r="Q2762" s="2" t="str">
        <f aca="false">INDEX(Lookups!$E$2:$E$5,MATCH(P2762,Lookups!$D$2:$D$5,0))</f>
        <v>Low</v>
      </c>
    </row>
    <row r="2763" customFormat="false" ht="15" hidden="false" customHeight="false" outlineLevel="0" collapsed="false">
      <c r="A2763" s="3" t="n">
        <v>2762</v>
      </c>
      <c r="B2763" s="3" t="n">
        <f aca="false">Raw_Data!A2763</f>
        <v>35</v>
      </c>
      <c r="C2763" s="3" t="str">
        <f aca="false">SUBSTITUTE(Raw_Data!B2763,".","")</f>
        <v>blue-collar</v>
      </c>
      <c r="D2763" s="3" t="str">
        <f aca="false">Raw_Data!C2763</f>
        <v>divorced</v>
      </c>
      <c r="E2763" s="3" t="str">
        <f aca="false">Raw_Data!D2763</f>
        <v>secondary</v>
      </c>
      <c r="F2763" s="3" t="str">
        <f aca="false">Raw_Data!E2763</f>
        <v>no</v>
      </c>
      <c r="G2763" s="3" t="n">
        <f aca="false">Raw_Data!F2763</f>
        <v>0</v>
      </c>
      <c r="H2763" s="3" t="str">
        <f aca="false">Raw_Data!G2763</f>
        <v>yes</v>
      </c>
      <c r="I2763" s="3" t="str">
        <f aca="false">Raw_Data!H2763</f>
        <v>no</v>
      </c>
      <c r="J2763" s="2" t="n">
        <f aca="false">IF(F2763="yes",1,0)</f>
        <v>0</v>
      </c>
      <c r="K2763" s="2" t="n">
        <f aca="false">IF(H2763="yes",1,0)</f>
        <v>1</v>
      </c>
      <c r="L2763" s="2" t="n">
        <f aca="false">IF(I2763="yes",1,0)</f>
        <v>0</v>
      </c>
      <c r="M2763" s="2" t="n">
        <f aca="false">IF(G2763&lt;0,1,0)</f>
        <v>0</v>
      </c>
      <c r="N2763" s="2" t="str">
        <f aca="false">_xlfn.IFS(B2763&lt;30,"Under 30",B2763&lt;40,"30-39",B2763&lt;50,"40-49",B2763&lt;60,"50-59",TRUE(),"60+")</f>
        <v>30-39</v>
      </c>
      <c r="O2763" s="2" t="str">
        <f aca="false">_xlfn.IFS(G2763&lt;0,"1 Negative",G2763=0,"2 Zero",G2763&lt;=500,"3 1-500",G2763&lt;=2000,"4 501-2000",TRUE(),"5 Above 2000")</f>
        <v>2 Zero</v>
      </c>
      <c r="P2763" s="2" t="n">
        <f aca="false">Lookups!$B$2*M2763+Lookups!$B$3*L2763</f>
        <v>0</v>
      </c>
      <c r="Q2763" s="2" t="str">
        <f aca="false">INDEX(Lookups!$E$2:$E$5,MATCH(P2763,Lookups!$D$2:$D$5,0))</f>
        <v>Low</v>
      </c>
    </row>
    <row r="2764" customFormat="false" ht="15" hidden="false" customHeight="false" outlineLevel="0" collapsed="false">
      <c r="A2764" s="3" t="n">
        <v>2763</v>
      </c>
      <c r="B2764" s="3" t="n">
        <f aca="false">Raw_Data!A2764</f>
        <v>42</v>
      </c>
      <c r="C2764" s="3" t="str">
        <f aca="false">SUBSTITUTE(Raw_Data!B2764,".","")</f>
        <v>management</v>
      </c>
      <c r="D2764" s="3" t="str">
        <f aca="false">Raw_Data!C2764</f>
        <v>married</v>
      </c>
      <c r="E2764" s="3" t="str">
        <f aca="false">Raw_Data!D2764</f>
        <v>tertiary</v>
      </c>
      <c r="F2764" s="3" t="str">
        <f aca="false">Raw_Data!E2764</f>
        <v>no</v>
      </c>
      <c r="G2764" s="3" t="n">
        <f aca="false">Raw_Data!F2764</f>
        <v>520</v>
      </c>
      <c r="H2764" s="3" t="str">
        <f aca="false">Raw_Data!G2764</f>
        <v>no</v>
      </c>
      <c r="I2764" s="3" t="str">
        <f aca="false">Raw_Data!H2764</f>
        <v>no</v>
      </c>
      <c r="J2764" s="2" t="n">
        <f aca="false">IF(F2764="yes",1,0)</f>
        <v>0</v>
      </c>
      <c r="K2764" s="2" t="n">
        <f aca="false">IF(H2764="yes",1,0)</f>
        <v>0</v>
      </c>
      <c r="L2764" s="2" t="n">
        <f aca="false">IF(I2764="yes",1,0)</f>
        <v>0</v>
      </c>
      <c r="M2764" s="2" t="n">
        <f aca="false">IF(G2764&lt;0,1,0)</f>
        <v>0</v>
      </c>
      <c r="N2764" s="2" t="str">
        <f aca="false">_xlfn.IFS(B2764&lt;30,"Under 30",B2764&lt;40,"30-39",B2764&lt;50,"40-49",B2764&lt;60,"50-59",TRUE(),"60+")</f>
        <v>40-49</v>
      </c>
      <c r="O2764" s="2" t="str">
        <f aca="false">_xlfn.IFS(G2764&lt;0,"1 Negative",G2764=0,"2 Zero",G2764&lt;=500,"3 1-500",G2764&lt;=2000,"4 501-2000",TRUE(),"5 Above 2000")</f>
        <v>4 501-2000</v>
      </c>
      <c r="P2764" s="2" t="n">
        <f aca="false">Lookups!$B$2*M2764+Lookups!$B$3*L2764</f>
        <v>0</v>
      </c>
      <c r="Q2764" s="2" t="str">
        <f aca="false">INDEX(Lookups!$E$2:$E$5,MATCH(P2764,Lookups!$D$2:$D$5,0))</f>
        <v>Low</v>
      </c>
    </row>
    <row r="2765" customFormat="false" ht="15" hidden="false" customHeight="false" outlineLevel="0" collapsed="false">
      <c r="A2765" s="3" t="n">
        <v>2764</v>
      </c>
      <c r="B2765" s="3" t="n">
        <f aca="false">Raw_Data!A2765</f>
        <v>57</v>
      </c>
      <c r="C2765" s="3" t="str">
        <f aca="false">SUBSTITUTE(Raw_Data!B2765,".","")</f>
        <v>services</v>
      </c>
      <c r="D2765" s="3" t="str">
        <f aca="false">Raw_Data!C2765</f>
        <v>married</v>
      </c>
      <c r="E2765" s="3" t="str">
        <f aca="false">Raw_Data!D2765</f>
        <v>tertiary</v>
      </c>
      <c r="F2765" s="3" t="str">
        <f aca="false">Raw_Data!E2765</f>
        <v>no</v>
      </c>
      <c r="G2765" s="3" t="n">
        <f aca="false">Raw_Data!F2765</f>
        <v>10</v>
      </c>
      <c r="H2765" s="3" t="str">
        <f aca="false">Raw_Data!G2765</f>
        <v>no</v>
      </c>
      <c r="I2765" s="3" t="str">
        <f aca="false">Raw_Data!H2765</f>
        <v>no</v>
      </c>
      <c r="J2765" s="2" t="n">
        <f aca="false">IF(F2765="yes",1,0)</f>
        <v>0</v>
      </c>
      <c r="K2765" s="2" t="n">
        <f aca="false">IF(H2765="yes",1,0)</f>
        <v>0</v>
      </c>
      <c r="L2765" s="2" t="n">
        <f aca="false">IF(I2765="yes",1,0)</f>
        <v>0</v>
      </c>
      <c r="M2765" s="2" t="n">
        <f aca="false">IF(G2765&lt;0,1,0)</f>
        <v>0</v>
      </c>
      <c r="N2765" s="2" t="str">
        <f aca="false">_xlfn.IFS(B2765&lt;30,"Under 30",B2765&lt;40,"30-39",B2765&lt;50,"40-49",B2765&lt;60,"50-59",TRUE(),"60+")</f>
        <v>50-59</v>
      </c>
      <c r="O2765" s="2" t="str">
        <f aca="false">_xlfn.IFS(G2765&lt;0,"1 Negative",G2765=0,"2 Zero",G2765&lt;=500,"3 1-500",G2765&lt;=2000,"4 501-2000",TRUE(),"5 Above 2000")</f>
        <v>3 1-500</v>
      </c>
      <c r="P2765" s="2" t="n">
        <f aca="false">Lookups!$B$2*M2765+Lookups!$B$3*L2765</f>
        <v>0</v>
      </c>
      <c r="Q2765" s="2" t="str">
        <f aca="false">INDEX(Lookups!$E$2:$E$5,MATCH(P2765,Lookups!$D$2:$D$5,0))</f>
        <v>Low</v>
      </c>
    </row>
    <row r="2766" customFormat="false" ht="15" hidden="false" customHeight="false" outlineLevel="0" collapsed="false">
      <c r="A2766" s="3" t="n">
        <v>2765</v>
      </c>
      <c r="B2766" s="3" t="n">
        <f aca="false">Raw_Data!A2766</f>
        <v>42</v>
      </c>
      <c r="C2766" s="3" t="str">
        <f aca="false">SUBSTITUTE(Raw_Data!B2766,".","")</f>
        <v>blue-collar</v>
      </c>
      <c r="D2766" s="3" t="str">
        <f aca="false">Raw_Data!C2766</f>
        <v>married</v>
      </c>
      <c r="E2766" s="3" t="str">
        <f aca="false">Raw_Data!D2766</f>
        <v>secondary</v>
      </c>
      <c r="F2766" s="3" t="str">
        <f aca="false">Raw_Data!E2766</f>
        <v>no</v>
      </c>
      <c r="G2766" s="3" t="n">
        <f aca="false">Raw_Data!F2766</f>
        <v>2157</v>
      </c>
      <c r="H2766" s="3" t="str">
        <f aca="false">Raw_Data!G2766</f>
        <v>yes</v>
      </c>
      <c r="I2766" s="3" t="str">
        <f aca="false">Raw_Data!H2766</f>
        <v>no</v>
      </c>
      <c r="J2766" s="2" t="n">
        <f aca="false">IF(F2766="yes",1,0)</f>
        <v>0</v>
      </c>
      <c r="K2766" s="2" t="n">
        <f aca="false">IF(H2766="yes",1,0)</f>
        <v>1</v>
      </c>
      <c r="L2766" s="2" t="n">
        <f aca="false">IF(I2766="yes",1,0)</f>
        <v>0</v>
      </c>
      <c r="M2766" s="2" t="n">
        <f aca="false">IF(G2766&lt;0,1,0)</f>
        <v>0</v>
      </c>
      <c r="N2766" s="2" t="str">
        <f aca="false">_xlfn.IFS(B2766&lt;30,"Under 30",B2766&lt;40,"30-39",B2766&lt;50,"40-49",B2766&lt;60,"50-59",TRUE(),"60+")</f>
        <v>40-49</v>
      </c>
      <c r="O2766" s="2" t="str">
        <f aca="false">_xlfn.IFS(G2766&lt;0,"1 Negative",G2766=0,"2 Zero",G2766&lt;=500,"3 1-500",G2766&lt;=2000,"4 501-2000",TRUE(),"5 Above 2000")</f>
        <v>5 Above 2000</v>
      </c>
      <c r="P2766" s="2" t="n">
        <f aca="false">Lookups!$B$2*M2766+Lookups!$B$3*L2766</f>
        <v>0</v>
      </c>
      <c r="Q2766" s="2" t="str">
        <f aca="false">INDEX(Lookups!$E$2:$E$5,MATCH(P2766,Lookups!$D$2:$D$5,0))</f>
        <v>Low</v>
      </c>
    </row>
    <row r="2767" customFormat="false" ht="15" hidden="false" customHeight="false" outlineLevel="0" collapsed="false">
      <c r="A2767" s="3" t="n">
        <v>2766</v>
      </c>
      <c r="B2767" s="3" t="n">
        <f aca="false">Raw_Data!A2767</f>
        <v>53</v>
      </c>
      <c r="C2767" s="3" t="str">
        <f aca="false">SUBSTITUTE(Raw_Data!B2767,".","")</f>
        <v>retired</v>
      </c>
      <c r="D2767" s="3" t="str">
        <f aca="false">Raw_Data!C2767</f>
        <v>married</v>
      </c>
      <c r="E2767" s="3" t="str">
        <f aca="false">Raw_Data!D2767</f>
        <v>secondary</v>
      </c>
      <c r="F2767" s="3" t="str">
        <f aca="false">Raw_Data!E2767</f>
        <v>no</v>
      </c>
      <c r="G2767" s="3" t="n">
        <f aca="false">Raw_Data!F2767</f>
        <v>6095</v>
      </c>
      <c r="H2767" s="3" t="str">
        <f aca="false">Raw_Data!G2767</f>
        <v>yes</v>
      </c>
      <c r="I2767" s="3" t="str">
        <f aca="false">Raw_Data!H2767</f>
        <v>yes</v>
      </c>
      <c r="J2767" s="2" t="n">
        <f aca="false">IF(F2767="yes",1,0)</f>
        <v>0</v>
      </c>
      <c r="K2767" s="2" t="n">
        <f aca="false">IF(H2767="yes",1,0)</f>
        <v>1</v>
      </c>
      <c r="L2767" s="2" t="n">
        <f aca="false">IF(I2767="yes",1,0)</f>
        <v>1</v>
      </c>
      <c r="M2767" s="2" t="n">
        <f aca="false">IF(G2767&lt;0,1,0)</f>
        <v>0</v>
      </c>
      <c r="N2767" s="2" t="str">
        <f aca="false">_xlfn.IFS(B2767&lt;30,"Under 30",B2767&lt;40,"30-39",B2767&lt;50,"40-49",B2767&lt;60,"50-59",TRUE(),"60+")</f>
        <v>50-59</v>
      </c>
      <c r="O2767" s="2" t="str">
        <f aca="false">_xlfn.IFS(G2767&lt;0,"1 Negative",G2767=0,"2 Zero",G2767&lt;=500,"3 1-500",G2767&lt;=2000,"4 501-2000",TRUE(),"5 Above 2000")</f>
        <v>5 Above 2000</v>
      </c>
      <c r="P2767" s="2" t="n">
        <f aca="false">Lookups!$B$2*M2767+Lookups!$B$3*L2767</f>
        <v>1</v>
      </c>
      <c r="Q2767" s="2" t="str">
        <f aca="false">INDEX(Lookups!$E$2:$E$5,MATCH(P2767,Lookups!$D$2:$D$5,0))</f>
        <v>Medium</v>
      </c>
    </row>
    <row r="2768" customFormat="false" ht="15" hidden="false" customHeight="false" outlineLevel="0" collapsed="false">
      <c r="A2768" s="3" t="n">
        <v>2767</v>
      </c>
      <c r="B2768" s="3" t="n">
        <f aca="false">Raw_Data!A2768</f>
        <v>63</v>
      </c>
      <c r="C2768" s="3" t="str">
        <f aca="false">SUBSTITUTE(Raw_Data!B2768,".","")</f>
        <v>retired</v>
      </c>
      <c r="D2768" s="3" t="str">
        <f aca="false">Raw_Data!C2768</f>
        <v>married</v>
      </c>
      <c r="E2768" s="3" t="str">
        <f aca="false">Raw_Data!D2768</f>
        <v>tertiary</v>
      </c>
      <c r="F2768" s="3" t="str">
        <f aca="false">Raw_Data!E2768</f>
        <v>no</v>
      </c>
      <c r="G2768" s="3" t="n">
        <f aca="false">Raw_Data!F2768</f>
        <v>133</v>
      </c>
      <c r="H2768" s="3" t="str">
        <f aca="false">Raw_Data!G2768</f>
        <v>yes</v>
      </c>
      <c r="I2768" s="3" t="str">
        <f aca="false">Raw_Data!H2768</f>
        <v>no</v>
      </c>
      <c r="J2768" s="2" t="n">
        <f aca="false">IF(F2768="yes",1,0)</f>
        <v>0</v>
      </c>
      <c r="K2768" s="2" t="n">
        <f aca="false">IF(H2768="yes",1,0)</f>
        <v>1</v>
      </c>
      <c r="L2768" s="2" t="n">
        <f aca="false">IF(I2768="yes",1,0)</f>
        <v>0</v>
      </c>
      <c r="M2768" s="2" t="n">
        <f aca="false">IF(G2768&lt;0,1,0)</f>
        <v>0</v>
      </c>
      <c r="N2768" s="2" t="str">
        <f aca="false">_xlfn.IFS(B2768&lt;30,"Under 30",B2768&lt;40,"30-39",B2768&lt;50,"40-49",B2768&lt;60,"50-59",TRUE(),"60+")</f>
        <v>60+</v>
      </c>
      <c r="O2768" s="2" t="str">
        <f aca="false">_xlfn.IFS(G2768&lt;0,"1 Negative",G2768=0,"2 Zero",G2768&lt;=500,"3 1-500",G2768&lt;=2000,"4 501-2000",TRUE(),"5 Above 2000")</f>
        <v>3 1-500</v>
      </c>
      <c r="P2768" s="2" t="n">
        <f aca="false">Lookups!$B$2*M2768+Lookups!$B$3*L2768</f>
        <v>0</v>
      </c>
      <c r="Q2768" s="2" t="str">
        <f aca="false">INDEX(Lookups!$E$2:$E$5,MATCH(P2768,Lookups!$D$2:$D$5,0))</f>
        <v>Low</v>
      </c>
    </row>
    <row r="2769" customFormat="false" ht="15" hidden="false" customHeight="false" outlineLevel="0" collapsed="false">
      <c r="A2769" s="3" t="n">
        <v>2768</v>
      </c>
      <c r="B2769" s="3" t="n">
        <f aca="false">Raw_Data!A2769</f>
        <v>47</v>
      </c>
      <c r="C2769" s="3" t="str">
        <f aca="false">SUBSTITUTE(Raw_Data!B2769,".","")</f>
        <v>self-employed</v>
      </c>
      <c r="D2769" s="3" t="str">
        <f aca="false">Raw_Data!C2769</f>
        <v>married</v>
      </c>
      <c r="E2769" s="3" t="str">
        <f aca="false">Raw_Data!D2769</f>
        <v>secondary</v>
      </c>
      <c r="F2769" s="3" t="str">
        <f aca="false">Raw_Data!E2769</f>
        <v>no</v>
      </c>
      <c r="G2769" s="3" t="n">
        <f aca="false">Raw_Data!F2769</f>
        <v>1121</v>
      </c>
      <c r="H2769" s="3" t="str">
        <f aca="false">Raw_Data!G2769</f>
        <v>no</v>
      </c>
      <c r="I2769" s="3" t="str">
        <f aca="false">Raw_Data!H2769</f>
        <v>no</v>
      </c>
      <c r="J2769" s="2" t="n">
        <f aca="false">IF(F2769="yes",1,0)</f>
        <v>0</v>
      </c>
      <c r="K2769" s="2" t="n">
        <f aca="false">IF(H2769="yes",1,0)</f>
        <v>0</v>
      </c>
      <c r="L2769" s="2" t="n">
        <f aca="false">IF(I2769="yes",1,0)</f>
        <v>0</v>
      </c>
      <c r="M2769" s="2" t="n">
        <f aca="false">IF(G2769&lt;0,1,0)</f>
        <v>0</v>
      </c>
      <c r="N2769" s="2" t="str">
        <f aca="false">_xlfn.IFS(B2769&lt;30,"Under 30",B2769&lt;40,"30-39",B2769&lt;50,"40-49",B2769&lt;60,"50-59",TRUE(),"60+")</f>
        <v>40-49</v>
      </c>
      <c r="O2769" s="2" t="str">
        <f aca="false">_xlfn.IFS(G2769&lt;0,"1 Negative",G2769=0,"2 Zero",G2769&lt;=500,"3 1-500",G2769&lt;=2000,"4 501-2000",TRUE(),"5 Above 2000")</f>
        <v>4 501-2000</v>
      </c>
      <c r="P2769" s="2" t="n">
        <f aca="false">Lookups!$B$2*M2769+Lookups!$B$3*L2769</f>
        <v>0</v>
      </c>
      <c r="Q2769" s="2" t="str">
        <f aca="false">INDEX(Lookups!$E$2:$E$5,MATCH(P2769,Lookups!$D$2:$D$5,0))</f>
        <v>Low</v>
      </c>
    </row>
    <row r="2770" customFormat="false" ht="15" hidden="false" customHeight="false" outlineLevel="0" collapsed="false">
      <c r="A2770" s="3" t="n">
        <v>2769</v>
      </c>
      <c r="B2770" s="3" t="n">
        <f aca="false">Raw_Data!A2770</f>
        <v>54</v>
      </c>
      <c r="C2770" s="3" t="str">
        <f aca="false">SUBSTITUTE(Raw_Data!B2770,".","")</f>
        <v>services</v>
      </c>
      <c r="D2770" s="3" t="str">
        <f aca="false">Raw_Data!C2770</f>
        <v>married</v>
      </c>
      <c r="E2770" s="3" t="str">
        <f aca="false">Raw_Data!D2770</f>
        <v>secondary</v>
      </c>
      <c r="F2770" s="3" t="str">
        <f aca="false">Raw_Data!E2770</f>
        <v>no</v>
      </c>
      <c r="G2770" s="3" t="n">
        <f aca="false">Raw_Data!F2770</f>
        <v>88</v>
      </c>
      <c r="H2770" s="3" t="str">
        <f aca="false">Raw_Data!G2770</f>
        <v>yes</v>
      </c>
      <c r="I2770" s="3" t="str">
        <f aca="false">Raw_Data!H2770</f>
        <v>no</v>
      </c>
      <c r="J2770" s="2" t="n">
        <f aca="false">IF(F2770="yes",1,0)</f>
        <v>0</v>
      </c>
      <c r="K2770" s="2" t="n">
        <f aca="false">IF(H2770="yes",1,0)</f>
        <v>1</v>
      </c>
      <c r="L2770" s="2" t="n">
        <f aca="false">IF(I2770="yes",1,0)</f>
        <v>0</v>
      </c>
      <c r="M2770" s="2" t="n">
        <f aca="false">IF(G2770&lt;0,1,0)</f>
        <v>0</v>
      </c>
      <c r="N2770" s="2" t="str">
        <f aca="false">_xlfn.IFS(B2770&lt;30,"Under 30",B2770&lt;40,"30-39",B2770&lt;50,"40-49",B2770&lt;60,"50-59",TRUE(),"60+")</f>
        <v>50-59</v>
      </c>
      <c r="O2770" s="2" t="str">
        <f aca="false">_xlfn.IFS(G2770&lt;0,"1 Negative",G2770=0,"2 Zero",G2770&lt;=500,"3 1-500",G2770&lt;=2000,"4 501-2000",TRUE(),"5 Above 2000")</f>
        <v>3 1-500</v>
      </c>
      <c r="P2770" s="2" t="n">
        <f aca="false">Lookups!$B$2*M2770+Lookups!$B$3*L2770</f>
        <v>0</v>
      </c>
      <c r="Q2770" s="2" t="str">
        <f aca="false">INDEX(Lookups!$E$2:$E$5,MATCH(P2770,Lookups!$D$2:$D$5,0))</f>
        <v>Low</v>
      </c>
    </row>
    <row r="2771" customFormat="false" ht="15" hidden="false" customHeight="false" outlineLevel="0" collapsed="false">
      <c r="A2771" s="3" t="n">
        <v>2770</v>
      </c>
      <c r="B2771" s="3" t="n">
        <f aca="false">Raw_Data!A2771</f>
        <v>45</v>
      </c>
      <c r="C2771" s="3" t="str">
        <f aca="false">SUBSTITUTE(Raw_Data!B2771,".","")</f>
        <v>admin</v>
      </c>
      <c r="D2771" s="3" t="str">
        <f aca="false">Raw_Data!C2771</f>
        <v>married</v>
      </c>
      <c r="E2771" s="3" t="str">
        <f aca="false">Raw_Data!D2771</f>
        <v>secondary</v>
      </c>
      <c r="F2771" s="3" t="str">
        <f aca="false">Raw_Data!E2771</f>
        <v>no</v>
      </c>
      <c r="G2771" s="3" t="n">
        <f aca="false">Raw_Data!F2771</f>
        <v>0</v>
      </c>
      <c r="H2771" s="3" t="str">
        <f aca="false">Raw_Data!G2771</f>
        <v>no</v>
      </c>
      <c r="I2771" s="3" t="str">
        <f aca="false">Raw_Data!H2771</f>
        <v>no</v>
      </c>
      <c r="J2771" s="2" t="n">
        <f aca="false">IF(F2771="yes",1,0)</f>
        <v>0</v>
      </c>
      <c r="K2771" s="2" t="n">
        <f aca="false">IF(H2771="yes",1,0)</f>
        <v>0</v>
      </c>
      <c r="L2771" s="2" t="n">
        <f aca="false">IF(I2771="yes",1,0)</f>
        <v>0</v>
      </c>
      <c r="M2771" s="2" t="n">
        <f aca="false">IF(G2771&lt;0,1,0)</f>
        <v>0</v>
      </c>
      <c r="N2771" s="2" t="str">
        <f aca="false">_xlfn.IFS(B2771&lt;30,"Under 30",B2771&lt;40,"30-39",B2771&lt;50,"40-49",B2771&lt;60,"50-59",TRUE(),"60+")</f>
        <v>40-49</v>
      </c>
      <c r="O2771" s="2" t="str">
        <f aca="false">_xlfn.IFS(G2771&lt;0,"1 Negative",G2771=0,"2 Zero",G2771&lt;=500,"3 1-500",G2771&lt;=2000,"4 501-2000",TRUE(),"5 Above 2000")</f>
        <v>2 Zero</v>
      </c>
      <c r="P2771" s="2" t="n">
        <f aca="false">Lookups!$B$2*M2771+Lookups!$B$3*L2771</f>
        <v>0</v>
      </c>
      <c r="Q2771" s="2" t="str">
        <f aca="false">INDEX(Lookups!$E$2:$E$5,MATCH(P2771,Lookups!$D$2:$D$5,0))</f>
        <v>Low</v>
      </c>
    </row>
    <row r="2772" customFormat="false" ht="15" hidden="false" customHeight="false" outlineLevel="0" collapsed="false">
      <c r="A2772" s="3" t="n">
        <v>2771</v>
      </c>
      <c r="B2772" s="3" t="n">
        <f aca="false">Raw_Data!A2772</f>
        <v>28</v>
      </c>
      <c r="C2772" s="3" t="str">
        <f aca="false">SUBSTITUTE(Raw_Data!B2772,".","")</f>
        <v>management</v>
      </c>
      <c r="D2772" s="3" t="str">
        <f aca="false">Raw_Data!C2772</f>
        <v>single</v>
      </c>
      <c r="E2772" s="3" t="str">
        <f aca="false">Raw_Data!D2772</f>
        <v>tertiary</v>
      </c>
      <c r="F2772" s="3" t="str">
        <f aca="false">Raw_Data!E2772</f>
        <v>no</v>
      </c>
      <c r="G2772" s="3" t="n">
        <f aca="false">Raw_Data!F2772</f>
        <v>-328</v>
      </c>
      <c r="H2772" s="3" t="str">
        <f aca="false">Raw_Data!G2772</f>
        <v>yes</v>
      </c>
      <c r="I2772" s="3" t="str">
        <f aca="false">Raw_Data!H2772</f>
        <v>no</v>
      </c>
      <c r="J2772" s="2" t="n">
        <f aca="false">IF(F2772="yes",1,0)</f>
        <v>0</v>
      </c>
      <c r="K2772" s="2" t="n">
        <f aca="false">IF(H2772="yes",1,0)</f>
        <v>1</v>
      </c>
      <c r="L2772" s="2" t="n">
        <f aca="false">IF(I2772="yes",1,0)</f>
        <v>0</v>
      </c>
      <c r="M2772" s="2" t="n">
        <f aca="false">IF(G2772&lt;0,1,0)</f>
        <v>1</v>
      </c>
      <c r="N2772" s="2" t="str">
        <f aca="false">_xlfn.IFS(B2772&lt;30,"Under 30",B2772&lt;40,"30-39",B2772&lt;50,"40-49",B2772&lt;60,"50-59",TRUE(),"60+")</f>
        <v>Under 30</v>
      </c>
      <c r="O2772" s="2" t="str">
        <f aca="false">_xlfn.IFS(G2772&lt;0,"1 Negative",G2772=0,"2 Zero",G2772&lt;=500,"3 1-500",G2772&lt;=2000,"4 501-2000",TRUE(),"5 Above 2000")</f>
        <v>1 Negative</v>
      </c>
      <c r="P2772" s="2" t="n">
        <f aca="false">Lookups!$B$2*M2772+Lookups!$B$3*L2772</f>
        <v>2</v>
      </c>
      <c r="Q2772" s="2" t="str">
        <f aca="false">INDEX(Lookups!$E$2:$E$5,MATCH(P2772,Lookups!$D$2:$D$5,0))</f>
        <v>High</v>
      </c>
    </row>
    <row r="2773" customFormat="false" ht="15" hidden="false" customHeight="false" outlineLevel="0" collapsed="false">
      <c r="A2773" s="3" t="n">
        <v>2772</v>
      </c>
      <c r="B2773" s="3" t="n">
        <f aca="false">Raw_Data!A2773</f>
        <v>58</v>
      </c>
      <c r="C2773" s="3" t="str">
        <f aca="false">SUBSTITUTE(Raw_Data!B2773,".","")</f>
        <v>unemployed</v>
      </c>
      <c r="D2773" s="3" t="str">
        <f aca="false">Raw_Data!C2773</f>
        <v>married</v>
      </c>
      <c r="E2773" s="3" t="str">
        <f aca="false">Raw_Data!D2773</f>
        <v>secondary</v>
      </c>
      <c r="F2773" s="3" t="str">
        <f aca="false">Raw_Data!E2773</f>
        <v>no</v>
      </c>
      <c r="G2773" s="3" t="n">
        <f aca="false">Raw_Data!F2773</f>
        <v>610</v>
      </c>
      <c r="H2773" s="3" t="str">
        <f aca="false">Raw_Data!G2773</f>
        <v>yes</v>
      </c>
      <c r="I2773" s="3" t="str">
        <f aca="false">Raw_Data!H2773</f>
        <v>no</v>
      </c>
      <c r="J2773" s="2" t="n">
        <f aca="false">IF(F2773="yes",1,0)</f>
        <v>0</v>
      </c>
      <c r="K2773" s="2" t="n">
        <f aca="false">IF(H2773="yes",1,0)</f>
        <v>1</v>
      </c>
      <c r="L2773" s="2" t="n">
        <f aca="false">IF(I2773="yes",1,0)</f>
        <v>0</v>
      </c>
      <c r="M2773" s="2" t="n">
        <f aca="false">IF(G2773&lt;0,1,0)</f>
        <v>0</v>
      </c>
      <c r="N2773" s="2" t="str">
        <f aca="false">_xlfn.IFS(B2773&lt;30,"Under 30",B2773&lt;40,"30-39",B2773&lt;50,"40-49",B2773&lt;60,"50-59",TRUE(),"60+")</f>
        <v>50-59</v>
      </c>
      <c r="O2773" s="2" t="str">
        <f aca="false">_xlfn.IFS(G2773&lt;0,"1 Negative",G2773=0,"2 Zero",G2773&lt;=500,"3 1-500",G2773&lt;=2000,"4 501-2000",TRUE(),"5 Above 2000")</f>
        <v>4 501-2000</v>
      </c>
      <c r="P2773" s="2" t="n">
        <f aca="false">Lookups!$B$2*M2773+Lookups!$B$3*L2773</f>
        <v>0</v>
      </c>
      <c r="Q2773" s="2" t="str">
        <f aca="false">INDEX(Lookups!$E$2:$E$5,MATCH(P2773,Lookups!$D$2:$D$5,0))</f>
        <v>Low</v>
      </c>
    </row>
    <row r="2774" customFormat="false" ht="15" hidden="false" customHeight="false" outlineLevel="0" collapsed="false">
      <c r="A2774" s="3" t="n">
        <v>2773</v>
      </c>
      <c r="B2774" s="3" t="n">
        <f aca="false">Raw_Data!A2774</f>
        <v>48</v>
      </c>
      <c r="C2774" s="3" t="str">
        <f aca="false">SUBSTITUTE(Raw_Data!B2774,".","")</f>
        <v>management</v>
      </c>
      <c r="D2774" s="3" t="str">
        <f aca="false">Raw_Data!C2774</f>
        <v>single</v>
      </c>
      <c r="E2774" s="3" t="str">
        <f aca="false">Raw_Data!D2774</f>
        <v>tertiary</v>
      </c>
      <c r="F2774" s="3" t="str">
        <f aca="false">Raw_Data!E2774</f>
        <v>no</v>
      </c>
      <c r="G2774" s="3" t="n">
        <f aca="false">Raw_Data!F2774</f>
        <v>414</v>
      </c>
      <c r="H2774" s="3" t="str">
        <f aca="false">Raw_Data!G2774</f>
        <v>no</v>
      </c>
      <c r="I2774" s="3" t="str">
        <f aca="false">Raw_Data!H2774</f>
        <v>no</v>
      </c>
      <c r="J2774" s="2" t="n">
        <f aca="false">IF(F2774="yes",1,0)</f>
        <v>0</v>
      </c>
      <c r="K2774" s="2" t="n">
        <f aca="false">IF(H2774="yes",1,0)</f>
        <v>0</v>
      </c>
      <c r="L2774" s="2" t="n">
        <f aca="false">IF(I2774="yes",1,0)</f>
        <v>0</v>
      </c>
      <c r="M2774" s="2" t="n">
        <f aca="false">IF(G2774&lt;0,1,0)</f>
        <v>0</v>
      </c>
      <c r="N2774" s="2" t="str">
        <f aca="false">_xlfn.IFS(B2774&lt;30,"Under 30",B2774&lt;40,"30-39",B2774&lt;50,"40-49",B2774&lt;60,"50-59",TRUE(),"60+")</f>
        <v>40-49</v>
      </c>
      <c r="O2774" s="2" t="str">
        <f aca="false">_xlfn.IFS(G2774&lt;0,"1 Negative",G2774=0,"2 Zero",G2774&lt;=500,"3 1-500",G2774&lt;=2000,"4 501-2000",TRUE(),"5 Above 2000")</f>
        <v>3 1-500</v>
      </c>
      <c r="P2774" s="2" t="n">
        <f aca="false">Lookups!$B$2*M2774+Lookups!$B$3*L2774</f>
        <v>0</v>
      </c>
      <c r="Q2774" s="2" t="str">
        <f aca="false">INDEX(Lookups!$E$2:$E$5,MATCH(P2774,Lookups!$D$2:$D$5,0))</f>
        <v>Low</v>
      </c>
    </row>
    <row r="2775" customFormat="false" ht="15" hidden="false" customHeight="false" outlineLevel="0" collapsed="false">
      <c r="A2775" s="3" t="n">
        <v>2774</v>
      </c>
      <c r="B2775" s="3" t="n">
        <f aca="false">Raw_Data!A2775</f>
        <v>35</v>
      </c>
      <c r="C2775" s="3" t="str">
        <f aca="false">SUBSTITUTE(Raw_Data!B2775,".","")</f>
        <v>management</v>
      </c>
      <c r="D2775" s="3" t="str">
        <f aca="false">Raw_Data!C2775</f>
        <v>divorced</v>
      </c>
      <c r="E2775" s="3" t="str">
        <f aca="false">Raw_Data!D2775</f>
        <v>tertiary</v>
      </c>
      <c r="F2775" s="3" t="str">
        <f aca="false">Raw_Data!E2775</f>
        <v>no</v>
      </c>
      <c r="G2775" s="3" t="n">
        <f aca="false">Raw_Data!F2775</f>
        <v>0</v>
      </c>
      <c r="H2775" s="3" t="str">
        <f aca="false">Raw_Data!G2775</f>
        <v>yes</v>
      </c>
      <c r="I2775" s="3" t="str">
        <f aca="false">Raw_Data!H2775</f>
        <v>no</v>
      </c>
      <c r="J2775" s="2" t="n">
        <f aca="false">IF(F2775="yes",1,0)</f>
        <v>0</v>
      </c>
      <c r="K2775" s="2" t="n">
        <f aca="false">IF(H2775="yes",1,0)</f>
        <v>1</v>
      </c>
      <c r="L2775" s="2" t="n">
        <f aca="false">IF(I2775="yes",1,0)</f>
        <v>0</v>
      </c>
      <c r="M2775" s="2" t="n">
        <f aca="false">IF(G2775&lt;0,1,0)</f>
        <v>0</v>
      </c>
      <c r="N2775" s="2" t="str">
        <f aca="false">_xlfn.IFS(B2775&lt;30,"Under 30",B2775&lt;40,"30-39",B2775&lt;50,"40-49",B2775&lt;60,"50-59",TRUE(),"60+")</f>
        <v>30-39</v>
      </c>
      <c r="O2775" s="2" t="str">
        <f aca="false">_xlfn.IFS(G2775&lt;0,"1 Negative",G2775=0,"2 Zero",G2775&lt;=500,"3 1-500",G2775&lt;=2000,"4 501-2000",TRUE(),"5 Above 2000")</f>
        <v>2 Zero</v>
      </c>
      <c r="P2775" s="2" t="n">
        <f aca="false">Lookups!$B$2*M2775+Lookups!$B$3*L2775</f>
        <v>0</v>
      </c>
      <c r="Q2775" s="2" t="str">
        <f aca="false">INDEX(Lookups!$E$2:$E$5,MATCH(P2775,Lookups!$D$2:$D$5,0))</f>
        <v>Low</v>
      </c>
    </row>
    <row r="2776" customFormat="false" ht="15" hidden="false" customHeight="false" outlineLevel="0" collapsed="false">
      <c r="A2776" s="3" t="n">
        <v>2775</v>
      </c>
      <c r="B2776" s="3" t="n">
        <f aca="false">Raw_Data!A2776</f>
        <v>37</v>
      </c>
      <c r="C2776" s="3" t="str">
        <f aca="false">SUBSTITUTE(Raw_Data!B2776,".","")</f>
        <v>self-employed</v>
      </c>
      <c r="D2776" s="3" t="str">
        <f aca="false">Raw_Data!C2776</f>
        <v>married</v>
      </c>
      <c r="E2776" s="3" t="str">
        <f aca="false">Raw_Data!D2776</f>
        <v>tertiary</v>
      </c>
      <c r="F2776" s="3" t="str">
        <f aca="false">Raw_Data!E2776</f>
        <v>no</v>
      </c>
      <c r="G2776" s="3" t="n">
        <f aca="false">Raw_Data!F2776</f>
        <v>0</v>
      </c>
      <c r="H2776" s="3" t="str">
        <f aca="false">Raw_Data!G2776</f>
        <v>no</v>
      </c>
      <c r="I2776" s="3" t="str">
        <f aca="false">Raw_Data!H2776</f>
        <v>no</v>
      </c>
      <c r="J2776" s="2" t="n">
        <f aca="false">IF(F2776="yes",1,0)</f>
        <v>0</v>
      </c>
      <c r="K2776" s="2" t="n">
        <f aca="false">IF(H2776="yes",1,0)</f>
        <v>0</v>
      </c>
      <c r="L2776" s="2" t="n">
        <f aca="false">IF(I2776="yes",1,0)</f>
        <v>0</v>
      </c>
      <c r="M2776" s="2" t="n">
        <f aca="false">IF(G2776&lt;0,1,0)</f>
        <v>0</v>
      </c>
      <c r="N2776" s="2" t="str">
        <f aca="false">_xlfn.IFS(B2776&lt;30,"Under 30",B2776&lt;40,"30-39",B2776&lt;50,"40-49",B2776&lt;60,"50-59",TRUE(),"60+")</f>
        <v>30-39</v>
      </c>
      <c r="O2776" s="2" t="str">
        <f aca="false">_xlfn.IFS(G2776&lt;0,"1 Negative",G2776=0,"2 Zero",G2776&lt;=500,"3 1-500",G2776&lt;=2000,"4 501-2000",TRUE(),"5 Above 2000")</f>
        <v>2 Zero</v>
      </c>
      <c r="P2776" s="2" t="n">
        <f aca="false">Lookups!$B$2*M2776+Lookups!$B$3*L2776</f>
        <v>0</v>
      </c>
      <c r="Q2776" s="2" t="str">
        <f aca="false">INDEX(Lookups!$E$2:$E$5,MATCH(P2776,Lookups!$D$2:$D$5,0))</f>
        <v>Low</v>
      </c>
    </row>
    <row r="2777" customFormat="false" ht="15" hidden="false" customHeight="false" outlineLevel="0" collapsed="false">
      <c r="A2777" s="3" t="n">
        <v>2776</v>
      </c>
      <c r="B2777" s="3" t="n">
        <f aca="false">Raw_Data!A2777</f>
        <v>37</v>
      </c>
      <c r="C2777" s="3" t="str">
        <f aca="false">SUBSTITUTE(Raw_Data!B2777,".","")</f>
        <v>blue-collar</v>
      </c>
      <c r="D2777" s="3" t="str">
        <f aca="false">Raw_Data!C2777</f>
        <v>married</v>
      </c>
      <c r="E2777" s="3" t="str">
        <f aca="false">Raw_Data!D2777</f>
        <v>secondary</v>
      </c>
      <c r="F2777" s="3" t="str">
        <f aca="false">Raw_Data!E2777</f>
        <v>no</v>
      </c>
      <c r="G2777" s="3" t="n">
        <f aca="false">Raw_Data!F2777</f>
        <v>685</v>
      </c>
      <c r="H2777" s="3" t="str">
        <f aca="false">Raw_Data!G2777</f>
        <v>yes</v>
      </c>
      <c r="I2777" s="3" t="str">
        <f aca="false">Raw_Data!H2777</f>
        <v>no</v>
      </c>
      <c r="J2777" s="2" t="n">
        <f aca="false">IF(F2777="yes",1,0)</f>
        <v>0</v>
      </c>
      <c r="K2777" s="2" t="n">
        <f aca="false">IF(H2777="yes",1,0)</f>
        <v>1</v>
      </c>
      <c r="L2777" s="2" t="n">
        <f aca="false">IF(I2777="yes",1,0)</f>
        <v>0</v>
      </c>
      <c r="M2777" s="2" t="n">
        <f aca="false">IF(G2777&lt;0,1,0)</f>
        <v>0</v>
      </c>
      <c r="N2777" s="2" t="str">
        <f aca="false">_xlfn.IFS(B2777&lt;30,"Under 30",B2777&lt;40,"30-39",B2777&lt;50,"40-49",B2777&lt;60,"50-59",TRUE(),"60+")</f>
        <v>30-39</v>
      </c>
      <c r="O2777" s="2" t="str">
        <f aca="false">_xlfn.IFS(G2777&lt;0,"1 Negative",G2777=0,"2 Zero",G2777&lt;=500,"3 1-500",G2777&lt;=2000,"4 501-2000",TRUE(),"5 Above 2000")</f>
        <v>4 501-2000</v>
      </c>
      <c r="P2777" s="2" t="n">
        <f aca="false">Lookups!$B$2*M2777+Lookups!$B$3*L2777</f>
        <v>0</v>
      </c>
      <c r="Q2777" s="2" t="str">
        <f aca="false">INDEX(Lookups!$E$2:$E$5,MATCH(P2777,Lookups!$D$2:$D$5,0))</f>
        <v>Low</v>
      </c>
    </row>
    <row r="2778" customFormat="false" ht="15" hidden="false" customHeight="false" outlineLevel="0" collapsed="false">
      <c r="A2778" s="3" t="n">
        <v>2777</v>
      </c>
      <c r="B2778" s="3" t="n">
        <f aca="false">Raw_Data!A2778</f>
        <v>37</v>
      </c>
      <c r="C2778" s="3" t="str">
        <f aca="false">SUBSTITUTE(Raw_Data!B2778,".","")</f>
        <v>management</v>
      </c>
      <c r="D2778" s="3" t="str">
        <f aca="false">Raw_Data!C2778</f>
        <v>married</v>
      </c>
      <c r="E2778" s="3" t="str">
        <f aca="false">Raw_Data!D2778</f>
        <v>primary</v>
      </c>
      <c r="F2778" s="3" t="str">
        <f aca="false">Raw_Data!E2778</f>
        <v>no</v>
      </c>
      <c r="G2778" s="3" t="n">
        <f aca="false">Raw_Data!F2778</f>
        <v>22856</v>
      </c>
      <c r="H2778" s="3" t="str">
        <f aca="false">Raw_Data!G2778</f>
        <v>no</v>
      </c>
      <c r="I2778" s="3" t="str">
        <f aca="false">Raw_Data!H2778</f>
        <v>no</v>
      </c>
      <c r="J2778" s="2" t="n">
        <f aca="false">IF(F2778="yes",1,0)</f>
        <v>0</v>
      </c>
      <c r="K2778" s="2" t="n">
        <f aca="false">IF(H2778="yes",1,0)</f>
        <v>0</v>
      </c>
      <c r="L2778" s="2" t="n">
        <f aca="false">IF(I2778="yes",1,0)</f>
        <v>0</v>
      </c>
      <c r="M2778" s="2" t="n">
        <f aca="false">IF(G2778&lt;0,1,0)</f>
        <v>0</v>
      </c>
      <c r="N2778" s="2" t="str">
        <f aca="false">_xlfn.IFS(B2778&lt;30,"Under 30",B2778&lt;40,"30-39",B2778&lt;50,"40-49",B2778&lt;60,"50-59",TRUE(),"60+")</f>
        <v>30-39</v>
      </c>
      <c r="O2778" s="2" t="str">
        <f aca="false">_xlfn.IFS(G2778&lt;0,"1 Negative",G2778=0,"2 Zero",G2778&lt;=500,"3 1-500",G2778&lt;=2000,"4 501-2000",TRUE(),"5 Above 2000")</f>
        <v>5 Above 2000</v>
      </c>
      <c r="P2778" s="2" t="n">
        <f aca="false">Lookups!$B$2*M2778+Lookups!$B$3*L2778</f>
        <v>0</v>
      </c>
      <c r="Q2778" s="2" t="str">
        <f aca="false">INDEX(Lookups!$E$2:$E$5,MATCH(P2778,Lookups!$D$2:$D$5,0))</f>
        <v>Low</v>
      </c>
    </row>
    <row r="2779" customFormat="false" ht="15" hidden="false" customHeight="false" outlineLevel="0" collapsed="false">
      <c r="A2779" s="3" t="n">
        <v>2778</v>
      </c>
      <c r="B2779" s="3" t="n">
        <f aca="false">Raw_Data!A2779</f>
        <v>25</v>
      </c>
      <c r="C2779" s="3" t="str">
        <f aca="false">SUBSTITUTE(Raw_Data!B2779,".","")</f>
        <v>services</v>
      </c>
      <c r="D2779" s="3" t="str">
        <f aca="false">Raw_Data!C2779</f>
        <v>single</v>
      </c>
      <c r="E2779" s="3" t="str">
        <f aca="false">Raw_Data!D2779</f>
        <v>secondary</v>
      </c>
      <c r="F2779" s="3" t="str">
        <f aca="false">Raw_Data!E2779</f>
        <v>no</v>
      </c>
      <c r="G2779" s="3" t="n">
        <f aca="false">Raw_Data!F2779</f>
        <v>-352</v>
      </c>
      <c r="H2779" s="3" t="str">
        <f aca="false">Raw_Data!G2779</f>
        <v>no</v>
      </c>
      <c r="I2779" s="3" t="str">
        <f aca="false">Raw_Data!H2779</f>
        <v>no</v>
      </c>
      <c r="J2779" s="2" t="n">
        <f aca="false">IF(F2779="yes",1,0)</f>
        <v>0</v>
      </c>
      <c r="K2779" s="2" t="n">
        <f aca="false">IF(H2779="yes",1,0)</f>
        <v>0</v>
      </c>
      <c r="L2779" s="2" t="n">
        <f aca="false">IF(I2779="yes",1,0)</f>
        <v>0</v>
      </c>
      <c r="M2779" s="2" t="n">
        <f aca="false">IF(G2779&lt;0,1,0)</f>
        <v>1</v>
      </c>
      <c r="N2779" s="2" t="str">
        <f aca="false">_xlfn.IFS(B2779&lt;30,"Under 30",B2779&lt;40,"30-39",B2779&lt;50,"40-49",B2779&lt;60,"50-59",TRUE(),"60+")</f>
        <v>Under 30</v>
      </c>
      <c r="O2779" s="2" t="str">
        <f aca="false">_xlfn.IFS(G2779&lt;0,"1 Negative",G2779=0,"2 Zero",G2779&lt;=500,"3 1-500",G2779&lt;=2000,"4 501-2000",TRUE(),"5 Above 2000")</f>
        <v>1 Negative</v>
      </c>
      <c r="P2779" s="2" t="n">
        <f aca="false">Lookups!$B$2*M2779+Lookups!$B$3*L2779</f>
        <v>2</v>
      </c>
      <c r="Q2779" s="2" t="str">
        <f aca="false">INDEX(Lookups!$E$2:$E$5,MATCH(P2779,Lookups!$D$2:$D$5,0))</f>
        <v>High</v>
      </c>
    </row>
    <row r="2780" customFormat="false" ht="15" hidden="false" customHeight="false" outlineLevel="0" collapsed="false">
      <c r="A2780" s="3" t="n">
        <v>2779</v>
      </c>
      <c r="B2780" s="3" t="n">
        <f aca="false">Raw_Data!A2780</f>
        <v>58</v>
      </c>
      <c r="C2780" s="3" t="str">
        <f aca="false">SUBSTITUTE(Raw_Data!B2780,".","")</f>
        <v>blue-collar</v>
      </c>
      <c r="D2780" s="3" t="str">
        <f aca="false">Raw_Data!C2780</f>
        <v>married</v>
      </c>
      <c r="E2780" s="3" t="str">
        <f aca="false">Raw_Data!D2780</f>
        <v>secondary</v>
      </c>
      <c r="F2780" s="3" t="str">
        <f aca="false">Raw_Data!E2780</f>
        <v>no</v>
      </c>
      <c r="G2780" s="3" t="n">
        <f aca="false">Raw_Data!F2780</f>
        <v>602</v>
      </c>
      <c r="H2780" s="3" t="str">
        <f aca="false">Raw_Data!G2780</f>
        <v>yes</v>
      </c>
      <c r="I2780" s="3" t="str">
        <f aca="false">Raw_Data!H2780</f>
        <v>no</v>
      </c>
      <c r="J2780" s="2" t="n">
        <f aca="false">IF(F2780="yes",1,0)</f>
        <v>0</v>
      </c>
      <c r="K2780" s="2" t="n">
        <f aca="false">IF(H2780="yes",1,0)</f>
        <v>1</v>
      </c>
      <c r="L2780" s="2" t="n">
        <f aca="false">IF(I2780="yes",1,0)</f>
        <v>0</v>
      </c>
      <c r="M2780" s="2" t="n">
        <f aca="false">IF(G2780&lt;0,1,0)</f>
        <v>0</v>
      </c>
      <c r="N2780" s="2" t="str">
        <f aca="false">_xlfn.IFS(B2780&lt;30,"Under 30",B2780&lt;40,"30-39",B2780&lt;50,"40-49",B2780&lt;60,"50-59",TRUE(),"60+")</f>
        <v>50-59</v>
      </c>
      <c r="O2780" s="2" t="str">
        <f aca="false">_xlfn.IFS(G2780&lt;0,"1 Negative",G2780=0,"2 Zero",G2780&lt;=500,"3 1-500",G2780&lt;=2000,"4 501-2000",TRUE(),"5 Above 2000")</f>
        <v>4 501-2000</v>
      </c>
      <c r="P2780" s="2" t="n">
        <f aca="false">Lookups!$B$2*M2780+Lookups!$B$3*L2780</f>
        <v>0</v>
      </c>
      <c r="Q2780" s="2" t="str">
        <f aca="false">INDEX(Lookups!$E$2:$E$5,MATCH(P2780,Lookups!$D$2:$D$5,0))</f>
        <v>Low</v>
      </c>
    </row>
    <row r="2781" customFormat="false" ht="15" hidden="false" customHeight="false" outlineLevel="0" collapsed="false">
      <c r="A2781" s="3" t="n">
        <v>2780</v>
      </c>
      <c r="B2781" s="3" t="n">
        <f aca="false">Raw_Data!A2781</f>
        <v>52</v>
      </c>
      <c r="C2781" s="3" t="str">
        <f aca="false">SUBSTITUTE(Raw_Data!B2781,".","")</f>
        <v>management</v>
      </c>
      <c r="D2781" s="3" t="str">
        <f aca="false">Raw_Data!C2781</f>
        <v>married</v>
      </c>
      <c r="E2781" s="3" t="str">
        <f aca="false">Raw_Data!D2781</f>
        <v>secondary</v>
      </c>
      <c r="F2781" s="3" t="str">
        <f aca="false">Raw_Data!E2781</f>
        <v>no</v>
      </c>
      <c r="G2781" s="3" t="n">
        <f aca="false">Raw_Data!F2781</f>
        <v>-588</v>
      </c>
      <c r="H2781" s="3" t="str">
        <f aca="false">Raw_Data!G2781</f>
        <v>yes</v>
      </c>
      <c r="I2781" s="3" t="str">
        <f aca="false">Raw_Data!H2781</f>
        <v>no</v>
      </c>
      <c r="J2781" s="2" t="n">
        <f aca="false">IF(F2781="yes",1,0)</f>
        <v>0</v>
      </c>
      <c r="K2781" s="2" t="n">
        <f aca="false">IF(H2781="yes",1,0)</f>
        <v>1</v>
      </c>
      <c r="L2781" s="2" t="n">
        <f aca="false">IF(I2781="yes",1,0)</f>
        <v>0</v>
      </c>
      <c r="M2781" s="2" t="n">
        <f aca="false">IF(G2781&lt;0,1,0)</f>
        <v>1</v>
      </c>
      <c r="N2781" s="2" t="str">
        <f aca="false">_xlfn.IFS(B2781&lt;30,"Under 30",B2781&lt;40,"30-39",B2781&lt;50,"40-49",B2781&lt;60,"50-59",TRUE(),"60+")</f>
        <v>50-59</v>
      </c>
      <c r="O2781" s="2" t="str">
        <f aca="false">_xlfn.IFS(G2781&lt;0,"1 Negative",G2781=0,"2 Zero",G2781&lt;=500,"3 1-500",G2781&lt;=2000,"4 501-2000",TRUE(),"5 Above 2000")</f>
        <v>1 Negative</v>
      </c>
      <c r="P2781" s="2" t="n">
        <f aca="false">Lookups!$B$2*M2781+Lookups!$B$3*L2781</f>
        <v>2</v>
      </c>
      <c r="Q2781" s="2" t="str">
        <f aca="false">INDEX(Lookups!$E$2:$E$5,MATCH(P2781,Lookups!$D$2:$D$5,0))</f>
        <v>High</v>
      </c>
    </row>
    <row r="2782" customFormat="false" ht="15" hidden="false" customHeight="false" outlineLevel="0" collapsed="false">
      <c r="A2782" s="3" t="n">
        <v>2781</v>
      </c>
      <c r="B2782" s="3" t="n">
        <f aca="false">Raw_Data!A2782</f>
        <v>19</v>
      </c>
      <c r="C2782" s="3" t="str">
        <f aca="false">SUBSTITUTE(Raw_Data!B2782,".","")</f>
        <v>student</v>
      </c>
      <c r="D2782" s="3" t="str">
        <f aca="false">Raw_Data!C2782</f>
        <v>single</v>
      </c>
      <c r="E2782" s="3" t="str">
        <f aca="false">Raw_Data!D2782</f>
        <v>secondary</v>
      </c>
      <c r="F2782" s="3" t="str">
        <f aca="false">Raw_Data!E2782</f>
        <v>no</v>
      </c>
      <c r="G2782" s="3" t="n">
        <f aca="false">Raw_Data!F2782</f>
        <v>302</v>
      </c>
      <c r="H2782" s="3" t="str">
        <f aca="false">Raw_Data!G2782</f>
        <v>no</v>
      </c>
      <c r="I2782" s="3" t="str">
        <f aca="false">Raw_Data!H2782</f>
        <v>no</v>
      </c>
      <c r="J2782" s="2" t="n">
        <f aca="false">IF(F2782="yes",1,0)</f>
        <v>0</v>
      </c>
      <c r="K2782" s="2" t="n">
        <f aca="false">IF(H2782="yes",1,0)</f>
        <v>0</v>
      </c>
      <c r="L2782" s="2" t="n">
        <f aca="false">IF(I2782="yes",1,0)</f>
        <v>0</v>
      </c>
      <c r="M2782" s="2" t="n">
        <f aca="false">IF(G2782&lt;0,1,0)</f>
        <v>0</v>
      </c>
      <c r="N2782" s="2" t="str">
        <f aca="false">_xlfn.IFS(B2782&lt;30,"Under 30",B2782&lt;40,"30-39",B2782&lt;50,"40-49",B2782&lt;60,"50-59",TRUE(),"60+")</f>
        <v>Under 30</v>
      </c>
      <c r="O2782" s="2" t="str">
        <f aca="false">_xlfn.IFS(G2782&lt;0,"1 Negative",G2782=0,"2 Zero",G2782&lt;=500,"3 1-500",G2782&lt;=2000,"4 501-2000",TRUE(),"5 Above 2000")</f>
        <v>3 1-500</v>
      </c>
      <c r="P2782" s="2" t="n">
        <f aca="false">Lookups!$B$2*M2782+Lookups!$B$3*L2782</f>
        <v>0</v>
      </c>
      <c r="Q2782" s="2" t="str">
        <f aca="false">INDEX(Lookups!$E$2:$E$5,MATCH(P2782,Lookups!$D$2:$D$5,0))</f>
        <v>Low</v>
      </c>
    </row>
    <row r="2783" customFormat="false" ht="15" hidden="false" customHeight="false" outlineLevel="0" collapsed="false">
      <c r="A2783" s="3" t="n">
        <v>2782</v>
      </c>
      <c r="B2783" s="3" t="n">
        <f aca="false">Raw_Data!A2783</f>
        <v>59</v>
      </c>
      <c r="C2783" s="3" t="str">
        <f aca="false">SUBSTITUTE(Raw_Data!B2783,".","")</f>
        <v>blue-collar</v>
      </c>
      <c r="D2783" s="3" t="str">
        <f aca="false">Raw_Data!C2783</f>
        <v>married</v>
      </c>
      <c r="E2783" s="3" t="str">
        <f aca="false">Raw_Data!D2783</f>
        <v>secondary</v>
      </c>
      <c r="F2783" s="3" t="str">
        <f aca="false">Raw_Data!E2783</f>
        <v>no</v>
      </c>
      <c r="G2783" s="3" t="n">
        <f aca="false">Raw_Data!F2783</f>
        <v>5314</v>
      </c>
      <c r="H2783" s="3" t="str">
        <f aca="false">Raw_Data!G2783</f>
        <v>yes</v>
      </c>
      <c r="I2783" s="3" t="str">
        <f aca="false">Raw_Data!H2783</f>
        <v>no</v>
      </c>
      <c r="J2783" s="2" t="n">
        <f aca="false">IF(F2783="yes",1,0)</f>
        <v>0</v>
      </c>
      <c r="K2783" s="2" t="n">
        <f aca="false">IF(H2783="yes",1,0)</f>
        <v>1</v>
      </c>
      <c r="L2783" s="2" t="n">
        <f aca="false">IF(I2783="yes",1,0)</f>
        <v>0</v>
      </c>
      <c r="M2783" s="2" t="n">
        <f aca="false">IF(G2783&lt;0,1,0)</f>
        <v>0</v>
      </c>
      <c r="N2783" s="2" t="str">
        <f aca="false">_xlfn.IFS(B2783&lt;30,"Under 30",B2783&lt;40,"30-39",B2783&lt;50,"40-49",B2783&lt;60,"50-59",TRUE(),"60+")</f>
        <v>50-59</v>
      </c>
      <c r="O2783" s="2" t="str">
        <f aca="false">_xlfn.IFS(G2783&lt;0,"1 Negative",G2783=0,"2 Zero",G2783&lt;=500,"3 1-500",G2783&lt;=2000,"4 501-2000",TRUE(),"5 Above 2000")</f>
        <v>5 Above 2000</v>
      </c>
      <c r="P2783" s="2" t="n">
        <f aca="false">Lookups!$B$2*M2783+Lookups!$B$3*L2783</f>
        <v>0</v>
      </c>
      <c r="Q2783" s="2" t="str">
        <f aca="false">INDEX(Lookups!$E$2:$E$5,MATCH(P2783,Lookups!$D$2:$D$5,0))</f>
        <v>Low</v>
      </c>
    </row>
    <row r="2784" customFormat="false" ht="15" hidden="false" customHeight="false" outlineLevel="0" collapsed="false">
      <c r="A2784" s="3" t="n">
        <v>2783</v>
      </c>
      <c r="B2784" s="3" t="n">
        <f aca="false">Raw_Data!A2784</f>
        <v>41</v>
      </c>
      <c r="C2784" s="3" t="str">
        <f aca="false">SUBSTITUTE(Raw_Data!B2784,".","")</f>
        <v>technician</v>
      </c>
      <c r="D2784" s="3" t="str">
        <f aca="false">Raw_Data!C2784</f>
        <v>married</v>
      </c>
      <c r="E2784" s="3" t="str">
        <f aca="false">Raw_Data!D2784</f>
        <v>secondary</v>
      </c>
      <c r="F2784" s="3" t="str">
        <f aca="false">Raw_Data!E2784</f>
        <v>no</v>
      </c>
      <c r="G2784" s="3" t="n">
        <f aca="false">Raw_Data!F2784</f>
        <v>64</v>
      </c>
      <c r="H2784" s="3" t="str">
        <f aca="false">Raw_Data!G2784</f>
        <v>yes</v>
      </c>
      <c r="I2784" s="3" t="str">
        <f aca="false">Raw_Data!H2784</f>
        <v>yes</v>
      </c>
      <c r="J2784" s="2" t="n">
        <f aca="false">IF(F2784="yes",1,0)</f>
        <v>0</v>
      </c>
      <c r="K2784" s="2" t="n">
        <f aca="false">IF(H2784="yes",1,0)</f>
        <v>1</v>
      </c>
      <c r="L2784" s="2" t="n">
        <f aca="false">IF(I2784="yes",1,0)</f>
        <v>1</v>
      </c>
      <c r="M2784" s="2" t="n">
        <f aca="false">IF(G2784&lt;0,1,0)</f>
        <v>0</v>
      </c>
      <c r="N2784" s="2" t="str">
        <f aca="false">_xlfn.IFS(B2784&lt;30,"Under 30",B2784&lt;40,"30-39",B2784&lt;50,"40-49",B2784&lt;60,"50-59",TRUE(),"60+")</f>
        <v>40-49</v>
      </c>
      <c r="O2784" s="2" t="str">
        <f aca="false">_xlfn.IFS(G2784&lt;0,"1 Negative",G2784=0,"2 Zero",G2784&lt;=500,"3 1-500",G2784&lt;=2000,"4 501-2000",TRUE(),"5 Above 2000")</f>
        <v>3 1-500</v>
      </c>
      <c r="P2784" s="2" t="n">
        <f aca="false">Lookups!$B$2*M2784+Lookups!$B$3*L2784</f>
        <v>1</v>
      </c>
      <c r="Q2784" s="2" t="str">
        <f aca="false">INDEX(Lookups!$E$2:$E$5,MATCH(P2784,Lookups!$D$2:$D$5,0))</f>
        <v>Medium</v>
      </c>
    </row>
    <row r="2785" customFormat="false" ht="15" hidden="false" customHeight="false" outlineLevel="0" collapsed="false">
      <c r="A2785" s="3" t="n">
        <v>2784</v>
      </c>
      <c r="B2785" s="3" t="n">
        <f aca="false">Raw_Data!A2785</f>
        <v>34</v>
      </c>
      <c r="C2785" s="3" t="str">
        <f aca="false">SUBSTITUTE(Raw_Data!B2785,".","")</f>
        <v>technician</v>
      </c>
      <c r="D2785" s="3" t="str">
        <f aca="false">Raw_Data!C2785</f>
        <v>single</v>
      </c>
      <c r="E2785" s="3" t="str">
        <f aca="false">Raw_Data!D2785</f>
        <v>tertiary</v>
      </c>
      <c r="F2785" s="3" t="str">
        <f aca="false">Raw_Data!E2785</f>
        <v>no</v>
      </c>
      <c r="G2785" s="3" t="n">
        <f aca="false">Raw_Data!F2785</f>
        <v>632</v>
      </c>
      <c r="H2785" s="3" t="str">
        <f aca="false">Raw_Data!G2785</f>
        <v>no</v>
      </c>
      <c r="I2785" s="3" t="str">
        <f aca="false">Raw_Data!H2785</f>
        <v>no</v>
      </c>
      <c r="J2785" s="2" t="n">
        <f aca="false">IF(F2785="yes",1,0)</f>
        <v>0</v>
      </c>
      <c r="K2785" s="2" t="n">
        <f aca="false">IF(H2785="yes",1,0)</f>
        <v>0</v>
      </c>
      <c r="L2785" s="2" t="n">
        <f aca="false">IF(I2785="yes",1,0)</f>
        <v>0</v>
      </c>
      <c r="M2785" s="2" t="n">
        <f aca="false">IF(G2785&lt;0,1,0)</f>
        <v>0</v>
      </c>
      <c r="N2785" s="2" t="str">
        <f aca="false">_xlfn.IFS(B2785&lt;30,"Under 30",B2785&lt;40,"30-39",B2785&lt;50,"40-49",B2785&lt;60,"50-59",TRUE(),"60+")</f>
        <v>30-39</v>
      </c>
      <c r="O2785" s="2" t="str">
        <f aca="false">_xlfn.IFS(G2785&lt;0,"1 Negative",G2785=0,"2 Zero",G2785&lt;=500,"3 1-500",G2785&lt;=2000,"4 501-2000",TRUE(),"5 Above 2000")</f>
        <v>4 501-2000</v>
      </c>
      <c r="P2785" s="2" t="n">
        <f aca="false">Lookups!$B$2*M2785+Lookups!$B$3*L2785</f>
        <v>0</v>
      </c>
      <c r="Q2785" s="2" t="str">
        <f aca="false">INDEX(Lookups!$E$2:$E$5,MATCH(P2785,Lookups!$D$2:$D$5,0))</f>
        <v>Low</v>
      </c>
    </row>
    <row r="2786" customFormat="false" ht="15" hidden="false" customHeight="false" outlineLevel="0" collapsed="false">
      <c r="A2786" s="3" t="n">
        <v>2785</v>
      </c>
      <c r="B2786" s="3" t="n">
        <f aca="false">Raw_Data!A2786</f>
        <v>35</v>
      </c>
      <c r="C2786" s="3" t="str">
        <f aca="false">SUBSTITUTE(Raw_Data!B2786,".","")</f>
        <v>technician</v>
      </c>
      <c r="D2786" s="3" t="str">
        <f aca="false">Raw_Data!C2786</f>
        <v>single</v>
      </c>
      <c r="E2786" s="3" t="str">
        <f aca="false">Raw_Data!D2786</f>
        <v>secondary</v>
      </c>
      <c r="F2786" s="3" t="str">
        <f aca="false">Raw_Data!E2786</f>
        <v>no</v>
      </c>
      <c r="G2786" s="3" t="n">
        <f aca="false">Raw_Data!F2786</f>
        <v>5731</v>
      </c>
      <c r="H2786" s="3" t="str">
        <f aca="false">Raw_Data!G2786</f>
        <v>yes</v>
      </c>
      <c r="I2786" s="3" t="str">
        <f aca="false">Raw_Data!H2786</f>
        <v>no</v>
      </c>
      <c r="J2786" s="2" t="n">
        <f aca="false">IF(F2786="yes",1,0)</f>
        <v>0</v>
      </c>
      <c r="K2786" s="2" t="n">
        <f aca="false">IF(H2786="yes",1,0)</f>
        <v>1</v>
      </c>
      <c r="L2786" s="2" t="n">
        <f aca="false">IF(I2786="yes",1,0)</f>
        <v>0</v>
      </c>
      <c r="M2786" s="2" t="n">
        <f aca="false">IF(G2786&lt;0,1,0)</f>
        <v>0</v>
      </c>
      <c r="N2786" s="2" t="str">
        <f aca="false">_xlfn.IFS(B2786&lt;30,"Under 30",B2786&lt;40,"30-39",B2786&lt;50,"40-49",B2786&lt;60,"50-59",TRUE(),"60+")</f>
        <v>30-39</v>
      </c>
      <c r="O2786" s="2" t="str">
        <f aca="false">_xlfn.IFS(G2786&lt;0,"1 Negative",G2786=0,"2 Zero",G2786&lt;=500,"3 1-500",G2786&lt;=2000,"4 501-2000",TRUE(),"5 Above 2000")</f>
        <v>5 Above 2000</v>
      </c>
      <c r="P2786" s="2" t="n">
        <f aca="false">Lookups!$B$2*M2786+Lookups!$B$3*L2786</f>
        <v>0</v>
      </c>
      <c r="Q2786" s="2" t="str">
        <f aca="false">INDEX(Lookups!$E$2:$E$5,MATCH(P2786,Lookups!$D$2:$D$5,0))</f>
        <v>Low</v>
      </c>
    </row>
    <row r="2787" customFormat="false" ht="15" hidden="false" customHeight="false" outlineLevel="0" collapsed="false">
      <c r="A2787" s="3" t="n">
        <v>2786</v>
      </c>
      <c r="B2787" s="3" t="n">
        <f aca="false">Raw_Data!A2787</f>
        <v>41</v>
      </c>
      <c r="C2787" s="3" t="str">
        <f aca="false">SUBSTITUTE(Raw_Data!B2787,".","")</f>
        <v>technician</v>
      </c>
      <c r="D2787" s="3" t="str">
        <f aca="false">Raw_Data!C2787</f>
        <v>married</v>
      </c>
      <c r="E2787" s="3" t="str">
        <f aca="false">Raw_Data!D2787</f>
        <v>secondary</v>
      </c>
      <c r="F2787" s="3" t="str">
        <f aca="false">Raw_Data!E2787</f>
        <v>no</v>
      </c>
      <c r="G2787" s="3" t="n">
        <f aca="false">Raw_Data!F2787</f>
        <v>902</v>
      </c>
      <c r="H2787" s="3" t="str">
        <f aca="false">Raw_Data!G2787</f>
        <v>no</v>
      </c>
      <c r="I2787" s="3" t="str">
        <f aca="false">Raw_Data!H2787</f>
        <v>no</v>
      </c>
      <c r="J2787" s="2" t="n">
        <f aca="false">IF(F2787="yes",1,0)</f>
        <v>0</v>
      </c>
      <c r="K2787" s="2" t="n">
        <f aca="false">IF(H2787="yes",1,0)</f>
        <v>0</v>
      </c>
      <c r="L2787" s="2" t="n">
        <f aca="false">IF(I2787="yes",1,0)</f>
        <v>0</v>
      </c>
      <c r="M2787" s="2" t="n">
        <f aca="false">IF(G2787&lt;0,1,0)</f>
        <v>0</v>
      </c>
      <c r="N2787" s="2" t="str">
        <f aca="false">_xlfn.IFS(B2787&lt;30,"Under 30",B2787&lt;40,"30-39",B2787&lt;50,"40-49",B2787&lt;60,"50-59",TRUE(),"60+")</f>
        <v>40-49</v>
      </c>
      <c r="O2787" s="2" t="str">
        <f aca="false">_xlfn.IFS(G2787&lt;0,"1 Negative",G2787=0,"2 Zero",G2787&lt;=500,"3 1-500",G2787&lt;=2000,"4 501-2000",TRUE(),"5 Above 2000")</f>
        <v>4 501-2000</v>
      </c>
      <c r="P2787" s="2" t="n">
        <f aca="false">Lookups!$B$2*M2787+Lookups!$B$3*L2787</f>
        <v>0</v>
      </c>
      <c r="Q2787" s="2" t="str">
        <f aca="false">INDEX(Lookups!$E$2:$E$5,MATCH(P2787,Lookups!$D$2:$D$5,0))</f>
        <v>Low</v>
      </c>
    </row>
    <row r="2788" customFormat="false" ht="15" hidden="false" customHeight="false" outlineLevel="0" collapsed="false">
      <c r="A2788" s="3" t="n">
        <v>2787</v>
      </c>
      <c r="B2788" s="3" t="n">
        <f aca="false">Raw_Data!A2788</f>
        <v>28</v>
      </c>
      <c r="C2788" s="3" t="str">
        <f aca="false">SUBSTITUTE(Raw_Data!B2788,".","")</f>
        <v>blue-collar</v>
      </c>
      <c r="D2788" s="3" t="str">
        <f aca="false">Raw_Data!C2788</f>
        <v>single</v>
      </c>
      <c r="E2788" s="3" t="str">
        <f aca="false">Raw_Data!D2788</f>
        <v>secondary</v>
      </c>
      <c r="F2788" s="3" t="str">
        <f aca="false">Raw_Data!E2788</f>
        <v>no</v>
      </c>
      <c r="G2788" s="3" t="n">
        <f aca="false">Raw_Data!F2788</f>
        <v>6307</v>
      </c>
      <c r="H2788" s="3" t="str">
        <f aca="false">Raw_Data!G2788</f>
        <v>yes</v>
      </c>
      <c r="I2788" s="3" t="str">
        <f aca="false">Raw_Data!H2788</f>
        <v>no</v>
      </c>
      <c r="J2788" s="2" t="n">
        <f aca="false">IF(F2788="yes",1,0)</f>
        <v>0</v>
      </c>
      <c r="K2788" s="2" t="n">
        <f aca="false">IF(H2788="yes",1,0)</f>
        <v>1</v>
      </c>
      <c r="L2788" s="2" t="n">
        <f aca="false">IF(I2788="yes",1,0)</f>
        <v>0</v>
      </c>
      <c r="M2788" s="2" t="n">
        <f aca="false">IF(G2788&lt;0,1,0)</f>
        <v>0</v>
      </c>
      <c r="N2788" s="2" t="str">
        <f aca="false">_xlfn.IFS(B2788&lt;30,"Under 30",B2788&lt;40,"30-39",B2788&lt;50,"40-49",B2788&lt;60,"50-59",TRUE(),"60+")</f>
        <v>Under 30</v>
      </c>
      <c r="O2788" s="2" t="str">
        <f aca="false">_xlfn.IFS(G2788&lt;0,"1 Negative",G2788=0,"2 Zero",G2788&lt;=500,"3 1-500",G2788&lt;=2000,"4 501-2000",TRUE(),"5 Above 2000")</f>
        <v>5 Above 2000</v>
      </c>
      <c r="P2788" s="2" t="n">
        <f aca="false">Lookups!$B$2*M2788+Lookups!$B$3*L2788</f>
        <v>0</v>
      </c>
      <c r="Q2788" s="2" t="str">
        <f aca="false">INDEX(Lookups!$E$2:$E$5,MATCH(P2788,Lookups!$D$2:$D$5,0))</f>
        <v>Low</v>
      </c>
    </row>
    <row r="2789" customFormat="false" ht="15" hidden="false" customHeight="false" outlineLevel="0" collapsed="false">
      <c r="A2789" s="3" t="n">
        <v>2788</v>
      </c>
      <c r="B2789" s="3" t="n">
        <f aca="false">Raw_Data!A2789</f>
        <v>53</v>
      </c>
      <c r="C2789" s="3" t="str">
        <f aca="false">SUBSTITUTE(Raw_Data!B2789,".","")</f>
        <v>management</v>
      </c>
      <c r="D2789" s="3" t="str">
        <f aca="false">Raw_Data!C2789</f>
        <v>divorced</v>
      </c>
      <c r="E2789" s="3" t="str">
        <f aca="false">Raw_Data!D2789</f>
        <v>secondary</v>
      </c>
      <c r="F2789" s="3" t="str">
        <f aca="false">Raw_Data!E2789</f>
        <v>no</v>
      </c>
      <c r="G2789" s="3" t="n">
        <f aca="false">Raw_Data!F2789</f>
        <v>112</v>
      </c>
      <c r="H2789" s="3" t="str">
        <f aca="false">Raw_Data!G2789</f>
        <v>no</v>
      </c>
      <c r="I2789" s="3" t="str">
        <f aca="false">Raw_Data!H2789</f>
        <v>yes</v>
      </c>
      <c r="J2789" s="2" t="n">
        <f aca="false">IF(F2789="yes",1,0)</f>
        <v>0</v>
      </c>
      <c r="K2789" s="2" t="n">
        <f aca="false">IF(H2789="yes",1,0)</f>
        <v>0</v>
      </c>
      <c r="L2789" s="2" t="n">
        <f aca="false">IF(I2789="yes",1,0)</f>
        <v>1</v>
      </c>
      <c r="M2789" s="2" t="n">
        <f aca="false">IF(G2789&lt;0,1,0)</f>
        <v>0</v>
      </c>
      <c r="N2789" s="2" t="str">
        <f aca="false">_xlfn.IFS(B2789&lt;30,"Under 30",B2789&lt;40,"30-39",B2789&lt;50,"40-49",B2789&lt;60,"50-59",TRUE(),"60+")</f>
        <v>50-59</v>
      </c>
      <c r="O2789" s="2" t="str">
        <f aca="false">_xlfn.IFS(G2789&lt;0,"1 Negative",G2789=0,"2 Zero",G2789&lt;=500,"3 1-500",G2789&lt;=2000,"4 501-2000",TRUE(),"5 Above 2000")</f>
        <v>3 1-500</v>
      </c>
      <c r="P2789" s="2" t="n">
        <f aca="false">Lookups!$B$2*M2789+Lookups!$B$3*L2789</f>
        <v>1</v>
      </c>
      <c r="Q2789" s="2" t="str">
        <f aca="false">INDEX(Lookups!$E$2:$E$5,MATCH(P2789,Lookups!$D$2:$D$5,0))</f>
        <v>Medium</v>
      </c>
    </row>
    <row r="2790" customFormat="false" ht="15" hidden="false" customHeight="false" outlineLevel="0" collapsed="false">
      <c r="A2790" s="3" t="n">
        <v>2789</v>
      </c>
      <c r="B2790" s="3" t="n">
        <f aca="false">Raw_Data!A2790</f>
        <v>35</v>
      </c>
      <c r="C2790" s="3" t="str">
        <f aca="false">SUBSTITUTE(Raw_Data!B2790,".","")</f>
        <v>services</v>
      </c>
      <c r="D2790" s="3" t="str">
        <f aca="false">Raw_Data!C2790</f>
        <v>married</v>
      </c>
      <c r="E2790" s="3" t="str">
        <f aca="false">Raw_Data!D2790</f>
        <v>secondary</v>
      </c>
      <c r="F2790" s="3" t="str">
        <f aca="false">Raw_Data!E2790</f>
        <v>no</v>
      </c>
      <c r="G2790" s="3" t="n">
        <f aca="false">Raw_Data!F2790</f>
        <v>0</v>
      </c>
      <c r="H2790" s="3" t="str">
        <f aca="false">Raw_Data!G2790</f>
        <v>no</v>
      </c>
      <c r="I2790" s="3" t="str">
        <f aca="false">Raw_Data!H2790</f>
        <v>yes</v>
      </c>
      <c r="J2790" s="2" t="n">
        <f aca="false">IF(F2790="yes",1,0)</f>
        <v>0</v>
      </c>
      <c r="K2790" s="2" t="n">
        <f aca="false">IF(H2790="yes",1,0)</f>
        <v>0</v>
      </c>
      <c r="L2790" s="2" t="n">
        <f aca="false">IF(I2790="yes",1,0)</f>
        <v>1</v>
      </c>
      <c r="M2790" s="2" t="n">
        <f aca="false">IF(G2790&lt;0,1,0)</f>
        <v>0</v>
      </c>
      <c r="N2790" s="2" t="str">
        <f aca="false">_xlfn.IFS(B2790&lt;30,"Under 30",B2790&lt;40,"30-39",B2790&lt;50,"40-49",B2790&lt;60,"50-59",TRUE(),"60+")</f>
        <v>30-39</v>
      </c>
      <c r="O2790" s="2" t="str">
        <f aca="false">_xlfn.IFS(G2790&lt;0,"1 Negative",G2790=0,"2 Zero",G2790&lt;=500,"3 1-500",G2790&lt;=2000,"4 501-2000",TRUE(),"5 Above 2000")</f>
        <v>2 Zero</v>
      </c>
      <c r="P2790" s="2" t="n">
        <f aca="false">Lookups!$B$2*M2790+Lookups!$B$3*L2790</f>
        <v>1</v>
      </c>
      <c r="Q2790" s="2" t="str">
        <f aca="false">INDEX(Lookups!$E$2:$E$5,MATCH(P2790,Lookups!$D$2:$D$5,0))</f>
        <v>Medium</v>
      </c>
    </row>
    <row r="2791" customFormat="false" ht="15" hidden="false" customHeight="false" outlineLevel="0" collapsed="false">
      <c r="A2791" s="3" t="n">
        <v>2790</v>
      </c>
      <c r="B2791" s="3" t="n">
        <f aca="false">Raw_Data!A2791</f>
        <v>33</v>
      </c>
      <c r="C2791" s="3" t="str">
        <f aca="false">SUBSTITUTE(Raw_Data!B2791,".","")</f>
        <v>admin</v>
      </c>
      <c r="D2791" s="3" t="str">
        <f aca="false">Raw_Data!C2791</f>
        <v>single</v>
      </c>
      <c r="E2791" s="3" t="str">
        <f aca="false">Raw_Data!D2791</f>
        <v>tertiary</v>
      </c>
      <c r="F2791" s="3" t="str">
        <f aca="false">Raw_Data!E2791</f>
        <v>no</v>
      </c>
      <c r="G2791" s="3" t="n">
        <f aca="false">Raw_Data!F2791</f>
        <v>621</v>
      </c>
      <c r="H2791" s="3" t="str">
        <f aca="false">Raw_Data!G2791</f>
        <v>no</v>
      </c>
      <c r="I2791" s="3" t="str">
        <f aca="false">Raw_Data!H2791</f>
        <v>no</v>
      </c>
      <c r="J2791" s="2" t="n">
        <f aca="false">IF(F2791="yes",1,0)</f>
        <v>0</v>
      </c>
      <c r="K2791" s="2" t="n">
        <f aca="false">IF(H2791="yes",1,0)</f>
        <v>0</v>
      </c>
      <c r="L2791" s="2" t="n">
        <f aca="false">IF(I2791="yes",1,0)</f>
        <v>0</v>
      </c>
      <c r="M2791" s="2" t="n">
        <f aca="false">IF(G2791&lt;0,1,0)</f>
        <v>0</v>
      </c>
      <c r="N2791" s="2" t="str">
        <f aca="false">_xlfn.IFS(B2791&lt;30,"Under 30",B2791&lt;40,"30-39",B2791&lt;50,"40-49",B2791&lt;60,"50-59",TRUE(),"60+")</f>
        <v>30-39</v>
      </c>
      <c r="O2791" s="2" t="str">
        <f aca="false">_xlfn.IFS(G2791&lt;0,"1 Negative",G2791=0,"2 Zero",G2791&lt;=500,"3 1-500",G2791&lt;=2000,"4 501-2000",TRUE(),"5 Above 2000")</f>
        <v>4 501-2000</v>
      </c>
      <c r="P2791" s="2" t="n">
        <f aca="false">Lookups!$B$2*M2791+Lookups!$B$3*L2791</f>
        <v>0</v>
      </c>
      <c r="Q2791" s="2" t="str">
        <f aca="false">INDEX(Lookups!$E$2:$E$5,MATCH(P2791,Lookups!$D$2:$D$5,0))</f>
        <v>Low</v>
      </c>
    </row>
    <row r="2792" customFormat="false" ht="15" hidden="false" customHeight="false" outlineLevel="0" collapsed="false">
      <c r="A2792" s="3" t="n">
        <v>2791</v>
      </c>
      <c r="B2792" s="3" t="n">
        <f aca="false">Raw_Data!A2792</f>
        <v>37</v>
      </c>
      <c r="C2792" s="3" t="str">
        <f aca="false">SUBSTITUTE(Raw_Data!B2792,".","")</f>
        <v>technician</v>
      </c>
      <c r="D2792" s="3" t="str">
        <f aca="false">Raw_Data!C2792</f>
        <v>single</v>
      </c>
      <c r="E2792" s="3" t="str">
        <f aca="false">Raw_Data!D2792</f>
        <v>secondary</v>
      </c>
      <c r="F2792" s="3" t="str">
        <f aca="false">Raw_Data!E2792</f>
        <v>no</v>
      </c>
      <c r="G2792" s="3" t="n">
        <f aca="false">Raw_Data!F2792</f>
        <v>435</v>
      </c>
      <c r="H2792" s="3" t="str">
        <f aca="false">Raw_Data!G2792</f>
        <v>yes</v>
      </c>
      <c r="I2792" s="3" t="str">
        <f aca="false">Raw_Data!H2792</f>
        <v>no</v>
      </c>
      <c r="J2792" s="2" t="n">
        <f aca="false">IF(F2792="yes",1,0)</f>
        <v>0</v>
      </c>
      <c r="K2792" s="2" t="n">
        <f aca="false">IF(H2792="yes",1,0)</f>
        <v>1</v>
      </c>
      <c r="L2792" s="2" t="n">
        <f aca="false">IF(I2792="yes",1,0)</f>
        <v>0</v>
      </c>
      <c r="M2792" s="2" t="n">
        <f aca="false">IF(G2792&lt;0,1,0)</f>
        <v>0</v>
      </c>
      <c r="N2792" s="2" t="str">
        <f aca="false">_xlfn.IFS(B2792&lt;30,"Under 30",B2792&lt;40,"30-39",B2792&lt;50,"40-49",B2792&lt;60,"50-59",TRUE(),"60+")</f>
        <v>30-39</v>
      </c>
      <c r="O2792" s="2" t="str">
        <f aca="false">_xlfn.IFS(G2792&lt;0,"1 Negative",G2792=0,"2 Zero",G2792&lt;=500,"3 1-500",G2792&lt;=2000,"4 501-2000",TRUE(),"5 Above 2000")</f>
        <v>3 1-500</v>
      </c>
      <c r="P2792" s="2" t="n">
        <f aca="false">Lookups!$B$2*M2792+Lookups!$B$3*L2792</f>
        <v>0</v>
      </c>
      <c r="Q2792" s="2" t="str">
        <f aca="false">INDEX(Lookups!$E$2:$E$5,MATCH(P2792,Lookups!$D$2:$D$5,0))</f>
        <v>Low</v>
      </c>
    </row>
    <row r="2793" customFormat="false" ht="15" hidden="false" customHeight="false" outlineLevel="0" collapsed="false">
      <c r="A2793" s="3" t="n">
        <v>2792</v>
      </c>
      <c r="B2793" s="3" t="n">
        <f aca="false">Raw_Data!A2793</f>
        <v>32</v>
      </c>
      <c r="C2793" s="3" t="str">
        <f aca="false">SUBSTITUTE(Raw_Data!B2793,".","")</f>
        <v>technician</v>
      </c>
      <c r="D2793" s="3" t="str">
        <f aca="false">Raw_Data!C2793</f>
        <v>married</v>
      </c>
      <c r="E2793" s="3" t="str">
        <f aca="false">Raw_Data!D2793</f>
        <v>secondary</v>
      </c>
      <c r="F2793" s="3" t="str">
        <f aca="false">Raw_Data!E2793</f>
        <v>no</v>
      </c>
      <c r="G2793" s="3" t="n">
        <f aca="false">Raw_Data!F2793</f>
        <v>782</v>
      </c>
      <c r="H2793" s="3" t="str">
        <f aca="false">Raw_Data!G2793</f>
        <v>yes</v>
      </c>
      <c r="I2793" s="3" t="str">
        <f aca="false">Raw_Data!H2793</f>
        <v>no</v>
      </c>
      <c r="J2793" s="2" t="n">
        <f aca="false">IF(F2793="yes",1,0)</f>
        <v>0</v>
      </c>
      <c r="K2793" s="2" t="n">
        <f aca="false">IF(H2793="yes",1,0)</f>
        <v>1</v>
      </c>
      <c r="L2793" s="2" t="n">
        <f aca="false">IF(I2793="yes",1,0)</f>
        <v>0</v>
      </c>
      <c r="M2793" s="2" t="n">
        <f aca="false">IF(G2793&lt;0,1,0)</f>
        <v>0</v>
      </c>
      <c r="N2793" s="2" t="str">
        <f aca="false">_xlfn.IFS(B2793&lt;30,"Under 30",B2793&lt;40,"30-39",B2793&lt;50,"40-49",B2793&lt;60,"50-59",TRUE(),"60+")</f>
        <v>30-39</v>
      </c>
      <c r="O2793" s="2" t="str">
        <f aca="false">_xlfn.IFS(G2793&lt;0,"1 Negative",G2793=0,"2 Zero",G2793&lt;=500,"3 1-500",G2793&lt;=2000,"4 501-2000",TRUE(),"5 Above 2000")</f>
        <v>4 501-2000</v>
      </c>
      <c r="P2793" s="2" t="n">
        <f aca="false">Lookups!$B$2*M2793+Lookups!$B$3*L2793</f>
        <v>0</v>
      </c>
      <c r="Q2793" s="2" t="str">
        <f aca="false">INDEX(Lookups!$E$2:$E$5,MATCH(P2793,Lookups!$D$2:$D$5,0))</f>
        <v>Low</v>
      </c>
    </row>
    <row r="2794" customFormat="false" ht="15" hidden="false" customHeight="false" outlineLevel="0" collapsed="false">
      <c r="A2794" s="3" t="n">
        <v>2793</v>
      </c>
      <c r="B2794" s="3" t="n">
        <f aca="false">Raw_Data!A2794</f>
        <v>32</v>
      </c>
      <c r="C2794" s="3" t="str">
        <f aca="false">SUBSTITUTE(Raw_Data!B2794,".","")</f>
        <v>blue-collar</v>
      </c>
      <c r="D2794" s="3" t="str">
        <f aca="false">Raw_Data!C2794</f>
        <v>married</v>
      </c>
      <c r="E2794" s="3" t="str">
        <f aca="false">Raw_Data!D2794</f>
        <v>secondary</v>
      </c>
      <c r="F2794" s="3" t="str">
        <f aca="false">Raw_Data!E2794</f>
        <v>no</v>
      </c>
      <c r="G2794" s="3" t="n">
        <f aca="false">Raw_Data!F2794</f>
        <v>478</v>
      </c>
      <c r="H2794" s="3" t="str">
        <f aca="false">Raw_Data!G2794</f>
        <v>yes</v>
      </c>
      <c r="I2794" s="3" t="str">
        <f aca="false">Raw_Data!H2794</f>
        <v>no</v>
      </c>
      <c r="J2794" s="2" t="n">
        <f aca="false">IF(F2794="yes",1,0)</f>
        <v>0</v>
      </c>
      <c r="K2794" s="2" t="n">
        <f aca="false">IF(H2794="yes",1,0)</f>
        <v>1</v>
      </c>
      <c r="L2794" s="2" t="n">
        <f aca="false">IF(I2794="yes",1,0)</f>
        <v>0</v>
      </c>
      <c r="M2794" s="2" t="n">
        <f aca="false">IF(G2794&lt;0,1,0)</f>
        <v>0</v>
      </c>
      <c r="N2794" s="2" t="str">
        <f aca="false">_xlfn.IFS(B2794&lt;30,"Under 30",B2794&lt;40,"30-39",B2794&lt;50,"40-49",B2794&lt;60,"50-59",TRUE(),"60+")</f>
        <v>30-39</v>
      </c>
      <c r="O2794" s="2" t="str">
        <f aca="false">_xlfn.IFS(G2794&lt;0,"1 Negative",G2794=0,"2 Zero",G2794&lt;=500,"3 1-500",G2794&lt;=2000,"4 501-2000",TRUE(),"5 Above 2000")</f>
        <v>3 1-500</v>
      </c>
      <c r="P2794" s="2" t="n">
        <f aca="false">Lookups!$B$2*M2794+Lookups!$B$3*L2794</f>
        <v>0</v>
      </c>
      <c r="Q2794" s="2" t="str">
        <f aca="false">INDEX(Lookups!$E$2:$E$5,MATCH(P2794,Lookups!$D$2:$D$5,0))</f>
        <v>Low</v>
      </c>
    </row>
    <row r="2795" customFormat="false" ht="15" hidden="false" customHeight="false" outlineLevel="0" collapsed="false">
      <c r="A2795" s="3" t="n">
        <v>2794</v>
      </c>
      <c r="B2795" s="3" t="n">
        <f aca="false">Raw_Data!A2795</f>
        <v>54</v>
      </c>
      <c r="C2795" s="3" t="str">
        <f aca="false">SUBSTITUTE(Raw_Data!B2795,".","")</f>
        <v>services</v>
      </c>
      <c r="D2795" s="3" t="str">
        <f aca="false">Raw_Data!C2795</f>
        <v>married</v>
      </c>
      <c r="E2795" s="3" t="str">
        <f aca="false">Raw_Data!D2795</f>
        <v>unknown</v>
      </c>
      <c r="F2795" s="3" t="str">
        <f aca="false">Raw_Data!E2795</f>
        <v>no</v>
      </c>
      <c r="G2795" s="3" t="n">
        <f aca="false">Raw_Data!F2795</f>
        <v>7864</v>
      </c>
      <c r="H2795" s="3" t="str">
        <f aca="false">Raw_Data!G2795</f>
        <v>yes</v>
      </c>
      <c r="I2795" s="3" t="str">
        <f aca="false">Raw_Data!H2795</f>
        <v>no</v>
      </c>
      <c r="J2795" s="2" t="n">
        <f aca="false">IF(F2795="yes",1,0)</f>
        <v>0</v>
      </c>
      <c r="K2795" s="2" t="n">
        <f aca="false">IF(H2795="yes",1,0)</f>
        <v>1</v>
      </c>
      <c r="L2795" s="2" t="n">
        <f aca="false">IF(I2795="yes",1,0)</f>
        <v>0</v>
      </c>
      <c r="M2795" s="2" t="n">
        <f aca="false">IF(G2795&lt;0,1,0)</f>
        <v>0</v>
      </c>
      <c r="N2795" s="2" t="str">
        <f aca="false">_xlfn.IFS(B2795&lt;30,"Under 30",B2795&lt;40,"30-39",B2795&lt;50,"40-49",B2795&lt;60,"50-59",TRUE(),"60+")</f>
        <v>50-59</v>
      </c>
      <c r="O2795" s="2" t="str">
        <f aca="false">_xlfn.IFS(G2795&lt;0,"1 Negative",G2795=0,"2 Zero",G2795&lt;=500,"3 1-500",G2795&lt;=2000,"4 501-2000",TRUE(),"5 Above 2000")</f>
        <v>5 Above 2000</v>
      </c>
      <c r="P2795" s="2" t="n">
        <f aca="false">Lookups!$B$2*M2795+Lookups!$B$3*L2795</f>
        <v>0</v>
      </c>
      <c r="Q2795" s="2" t="str">
        <f aca="false">INDEX(Lookups!$E$2:$E$5,MATCH(P2795,Lookups!$D$2:$D$5,0))</f>
        <v>Low</v>
      </c>
    </row>
    <row r="2796" customFormat="false" ht="15" hidden="false" customHeight="false" outlineLevel="0" collapsed="false">
      <c r="A2796" s="3" t="n">
        <v>2795</v>
      </c>
      <c r="B2796" s="3" t="n">
        <f aca="false">Raw_Data!A2796</f>
        <v>44</v>
      </c>
      <c r="C2796" s="3" t="str">
        <f aca="false">SUBSTITUTE(Raw_Data!B2796,".","")</f>
        <v>blue-collar</v>
      </c>
      <c r="D2796" s="3" t="str">
        <f aca="false">Raw_Data!C2796</f>
        <v>married</v>
      </c>
      <c r="E2796" s="3" t="str">
        <f aca="false">Raw_Data!D2796</f>
        <v>secondary</v>
      </c>
      <c r="F2796" s="3" t="str">
        <f aca="false">Raw_Data!E2796</f>
        <v>no</v>
      </c>
      <c r="G2796" s="3" t="n">
        <f aca="false">Raw_Data!F2796</f>
        <v>1910</v>
      </c>
      <c r="H2796" s="3" t="str">
        <f aca="false">Raw_Data!G2796</f>
        <v>yes</v>
      </c>
      <c r="I2796" s="3" t="str">
        <f aca="false">Raw_Data!H2796</f>
        <v>no</v>
      </c>
      <c r="J2796" s="2" t="n">
        <f aca="false">IF(F2796="yes",1,0)</f>
        <v>0</v>
      </c>
      <c r="K2796" s="2" t="n">
        <f aca="false">IF(H2796="yes",1,0)</f>
        <v>1</v>
      </c>
      <c r="L2796" s="2" t="n">
        <f aca="false">IF(I2796="yes",1,0)</f>
        <v>0</v>
      </c>
      <c r="M2796" s="2" t="n">
        <f aca="false">IF(G2796&lt;0,1,0)</f>
        <v>0</v>
      </c>
      <c r="N2796" s="2" t="str">
        <f aca="false">_xlfn.IFS(B2796&lt;30,"Under 30",B2796&lt;40,"30-39",B2796&lt;50,"40-49",B2796&lt;60,"50-59",TRUE(),"60+")</f>
        <v>40-49</v>
      </c>
      <c r="O2796" s="2" t="str">
        <f aca="false">_xlfn.IFS(G2796&lt;0,"1 Negative",G2796=0,"2 Zero",G2796&lt;=500,"3 1-500",G2796&lt;=2000,"4 501-2000",TRUE(),"5 Above 2000")</f>
        <v>4 501-2000</v>
      </c>
      <c r="P2796" s="2" t="n">
        <f aca="false">Lookups!$B$2*M2796+Lookups!$B$3*L2796</f>
        <v>0</v>
      </c>
      <c r="Q2796" s="2" t="str">
        <f aca="false">INDEX(Lookups!$E$2:$E$5,MATCH(P2796,Lookups!$D$2:$D$5,0))</f>
        <v>Low</v>
      </c>
    </row>
    <row r="2797" customFormat="false" ht="15" hidden="false" customHeight="false" outlineLevel="0" collapsed="false">
      <c r="A2797" s="3" t="n">
        <v>2796</v>
      </c>
      <c r="B2797" s="3" t="n">
        <f aca="false">Raw_Data!A2797</f>
        <v>36</v>
      </c>
      <c r="C2797" s="3" t="str">
        <f aca="false">SUBSTITUTE(Raw_Data!B2797,".","")</f>
        <v>technician</v>
      </c>
      <c r="D2797" s="3" t="str">
        <f aca="false">Raw_Data!C2797</f>
        <v>divorced</v>
      </c>
      <c r="E2797" s="3" t="str">
        <f aca="false">Raw_Data!D2797</f>
        <v>tertiary</v>
      </c>
      <c r="F2797" s="3" t="str">
        <f aca="false">Raw_Data!E2797</f>
        <v>no</v>
      </c>
      <c r="G2797" s="3" t="n">
        <f aca="false">Raw_Data!F2797</f>
        <v>1174</v>
      </c>
      <c r="H2797" s="3" t="str">
        <f aca="false">Raw_Data!G2797</f>
        <v>yes</v>
      </c>
      <c r="I2797" s="3" t="str">
        <f aca="false">Raw_Data!H2797</f>
        <v>no</v>
      </c>
      <c r="J2797" s="2" t="n">
        <f aca="false">IF(F2797="yes",1,0)</f>
        <v>0</v>
      </c>
      <c r="K2797" s="2" t="n">
        <f aca="false">IF(H2797="yes",1,0)</f>
        <v>1</v>
      </c>
      <c r="L2797" s="2" t="n">
        <f aca="false">IF(I2797="yes",1,0)</f>
        <v>0</v>
      </c>
      <c r="M2797" s="2" t="n">
        <f aca="false">IF(G2797&lt;0,1,0)</f>
        <v>0</v>
      </c>
      <c r="N2797" s="2" t="str">
        <f aca="false">_xlfn.IFS(B2797&lt;30,"Under 30",B2797&lt;40,"30-39",B2797&lt;50,"40-49",B2797&lt;60,"50-59",TRUE(),"60+")</f>
        <v>30-39</v>
      </c>
      <c r="O2797" s="2" t="str">
        <f aca="false">_xlfn.IFS(G2797&lt;0,"1 Negative",G2797=0,"2 Zero",G2797&lt;=500,"3 1-500",G2797&lt;=2000,"4 501-2000",TRUE(),"5 Above 2000")</f>
        <v>4 501-2000</v>
      </c>
      <c r="P2797" s="2" t="n">
        <f aca="false">Lookups!$B$2*M2797+Lookups!$B$3*L2797</f>
        <v>0</v>
      </c>
      <c r="Q2797" s="2" t="str">
        <f aca="false">INDEX(Lookups!$E$2:$E$5,MATCH(P2797,Lookups!$D$2:$D$5,0))</f>
        <v>Low</v>
      </c>
    </row>
    <row r="2798" customFormat="false" ht="15" hidden="false" customHeight="false" outlineLevel="0" collapsed="false">
      <c r="A2798" s="3" t="n">
        <v>2797</v>
      </c>
      <c r="B2798" s="3" t="n">
        <f aca="false">Raw_Data!A2798</f>
        <v>56</v>
      </c>
      <c r="C2798" s="3" t="str">
        <f aca="false">SUBSTITUTE(Raw_Data!B2798,".","")</f>
        <v>admin</v>
      </c>
      <c r="D2798" s="3" t="str">
        <f aca="false">Raw_Data!C2798</f>
        <v>married</v>
      </c>
      <c r="E2798" s="3" t="str">
        <f aca="false">Raw_Data!D2798</f>
        <v>secondary</v>
      </c>
      <c r="F2798" s="3" t="str">
        <f aca="false">Raw_Data!E2798</f>
        <v>no</v>
      </c>
      <c r="G2798" s="3" t="n">
        <f aca="false">Raw_Data!F2798</f>
        <v>1270</v>
      </c>
      <c r="H2798" s="3" t="str">
        <f aca="false">Raw_Data!G2798</f>
        <v>yes</v>
      </c>
      <c r="I2798" s="3" t="str">
        <f aca="false">Raw_Data!H2798</f>
        <v>no</v>
      </c>
      <c r="J2798" s="2" t="n">
        <f aca="false">IF(F2798="yes",1,0)</f>
        <v>0</v>
      </c>
      <c r="K2798" s="2" t="n">
        <f aca="false">IF(H2798="yes",1,0)</f>
        <v>1</v>
      </c>
      <c r="L2798" s="2" t="n">
        <f aca="false">IF(I2798="yes",1,0)</f>
        <v>0</v>
      </c>
      <c r="M2798" s="2" t="n">
        <f aca="false">IF(G2798&lt;0,1,0)</f>
        <v>0</v>
      </c>
      <c r="N2798" s="2" t="str">
        <f aca="false">_xlfn.IFS(B2798&lt;30,"Under 30",B2798&lt;40,"30-39",B2798&lt;50,"40-49",B2798&lt;60,"50-59",TRUE(),"60+")</f>
        <v>50-59</v>
      </c>
      <c r="O2798" s="2" t="str">
        <f aca="false">_xlfn.IFS(G2798&lt;0,"1 Negative",G2798=0,"2 Zero",G2798&lt;=500,"3 1-500",G2798&lt;=2000,"4 501-2000",TRUE(),"5 Above 2000")</f>
        <v>4 501-2000</v>
      </c>
      <c r="P2798" s="2" t="n">
        <f aca="false">Lookups!$B$2*M2798+Lookups!$B$3*L2798</f>
        <v>0</v>
      </c>
      <c r="Q2798" s="2" t="str">
        <f aca="false">INDEX(Lookups!$E$2:$E$5,MATCH(P2798,Lookups!$D$2:$D$5,0))</f>
        <v>Low</v>
      </c>
    </row>
    <row r="2799" customFormat="false" ht="15" hidden="false" customHeight="false" outlineLevel="0" collapsed="false">
      <c r="A2799" s="3" t="n">
        <v>2798</v>
      </c>
      <c r="B2799" s="3" t="n">
        <f aca="false">Raw_Data!A2799</f>
        <v>30</v>
      </c>
      <c r="C2799" s="3" t="str">
        <f aca="false">SUBSTITUTE(Raw_Data!B2799,".","")</f>
        <v>management</v>
      </c>
      <c r="D2799" s="3" t="str">
        <f aca="false">Raw_Data!C2799</f>
        <v>single</v>
      </c>
      <c r="E2799" s="3" t="str">
        <f aca="false">Raw_Data!D2799</f>
        <v>tertiary</v>
      </c>
      <c r="F2799" s="3" t="str">
        <f aca="false">Raw_Data!E2799</f>
        <v>no</v>
      </c>
      <c r="G2799" s="3" t="n">
        <f aca="false">Raw_Data!F2799</f>
        <v>18</v>
      </c>
      <c r="H2799" s="3" t="str">
        <f aca="false">Raw_Data!G2799</f>
        <v>no</v>
      </c>
      <c r="I2799" s="3" t="str">
        <f aca="false">Raw_Data!H2799</f>
        <v>no</v>
      </c>
      <c r="J2799" s="2" t="n">
        <f aca="false">IF(F2799="yes",1,0)</f>
        <v>0</v>
      </c>
      <c r="K2799" s="2" t="n">
        <f aca="false">IF(H2799="yes",1,0)</f>
        <v>0</v>
      </c>
      <c r="L2799" s="2" t="n">
        <f aca="false">IF(I2799="yes",1,0)</f>
        <v>0</v>
      </c>
      <c r="M2799" s="2" t="n">
        <f aca="false">IF(G2799&lt;0,1,0)</f>
        <v>0</v>
      </c>
      <c r="N2799" s="2" t="str">
        <f aca="false">_xlfn.IFS(B2799&lt;30,"Under 30",B2799&lt;40,"30-39",B2799&lt;50,"40-49",B2799&lt;60,"50-59",TRUE(),"60+")</f>
        <v>30-39</v>
      </c>
      <c r="O2799" s="2" t="str">
        <f aca="false">_xlfn.IFS(G2799&lt;0,"1 Negative",G2799=0,"2 Zero",G2799&lt;=500,"3 1-500",G2799&lt;=2000,"4 501-2000",TRUE(),"5 Above 2000")</f>
        <v>3 1-500</v>
      </c>
      <c r="P2799" s="2" t="n">
        <f aca="false">Lookups!$B$2*M2799+Lookups!$B$3*L2799</f>
        <v>0</v>
      </c>
      <c r="Q2799" s="2" t="str">
        <f aca="false">INDEX(Lookups!$E$2:$E$5,MATCH(P2799,Lookups!$D$2:$D$5,0))</f>
        <v>Low</v>
      </c>
    </row>
    <row r="2800" customFormat="false" ht="15" hidden="false" customHeight="false" outlineLevel="0" collapsed="false">
      <c r="A2800" s="3" t="n">
        <v>2799</v>
      </c>
      <c r="B2800" s="3" t="n">
        <f aca="false">Raw_Data!A2800</f>
        <v>36</v>
      </c>
      <c r="C2800" s="3" t="str">
        <f aca="false">SUBSTITUTE(Raw_Data!B2800,".","")</f>
        <v>blue-collar</v>
      </c>
      <c r="D2800" s="3" t="str">
        <f aca="false">Raw_Data!C2800</f>
        <v>married</v>
      </c>
      <c r="E2800" s="3" t="str">
        <f aca="false">Raw_Data!D2800</f>
        <v>secondary</v>
      </c>
      <c r="F2800" s="3" t="str">
        <f aca="false">Raw_Data!E2800</f>
        <v>no</v>
      </c>
      <c r="G2800" s="3" t="n">
        <f aca="false">Raw_Data!F2800</f>
        <v>141</v>
      </c>
      <c r="H2800" s="3" t="str">
        <f aca="false">Raw_Data!G2800</f>
        <v>yes</v>
      </c>
      <c r="I2800" s="3" t="str">
        <f aca="false">Raw_Data!H2800</f>
        <v>no</v>
      </c>
      <c r="J2800" s="2" t="n">
        <f aca="false">IF(F2800="yes",1,0)</f>
        <v>0</v>
      </c>
      <c r="K2800" s="2" t="n">
        <f aca="false">IF(H2800="yes",1,0)</f>
        <v>1</v>
      </c>
      <c r="L2800" s="2" t="n">
        <f aca="false">IF(I2800="yes",1,0)</f>
        <v>0</v>
      </c>
      <c r="M2800" s="2" t="n">
        <f aca="false">IF(G2800&lt;0,1,0)</f>
        <v>0</v>
      </c>
      <c r="N2800" s="2" t="str">
        <f aca="false">_xlfn.IFS(B2800&lt;30,"Under 30",B2800&lt;40,"30-39",B2800&lt;50,"40-49",B2800&lt;60,"50-59",TRUE(),"60+")</f>
        <v>30-39</v>
      </c>
      <c r="O2800" s="2" t="str">
        <f aca="false">_xlfn.IFS(G2800&lt;0,"1 Negative",G2800=0,"2 Zero",G2800&lt;=500,"3 1-500",G2800&lt;=2000,"4 501-2000",TRUE(),"5 Above 2000")</f>
        <v>3 1-500</v>
      </c>
      <c r="P2800" s="2" t="n">
        <f aca="false">Lookups!$B$2*M2800+Lookups!$B$3*L2800</f>
        <v>0</v>
      </c>
      <c r="Q2800" s="2" t="str">
        <f aca="false">INDEX(Lookups!$E$2:$E$5,MATCH(P2800,Lookups!$D$2:$D$5,0))</f>
        <v>Low</v>
      </c>
    </row>
    <row r="2801" customFormat="false" ht="15" hidden="false" customHeight="false" outlineLevel="0" collapsed="false">
      <c r="A2801" s="3" t="n">
        <v>2800</v>
      </c>
      <c r="B2801" s="3" t="n">
        <f aca="false">Raw_Data!A2801</f>
        <v>43</v>
      </c>
      <c r="C2801" s="3" t="str">
        <f aca="false">SUBSTITUTE(Raw_Data!B2801,".","")</f>
        <v>management</v>
      </c>
      <c r="D2801" s="3" t="str">
        <f aca="false">Raw_Data!C2801</f>
        <v>married</v>
      </c>
      <c r="E2801" s="3" t="str">
        <f aca="false">Raw_Data!D2801</f>
        <v>tertiary</v>
      </c>
      <c r="F2801" s="3" t="str">
        <f aca="false">Raw_Data!E2801</f>
        <v>no</v>
      </c>
      <c r="G2801" s="3" t="n">
        <f aca="false">Raw_Data!F2801</f>
        <v>2886</v>
      </c>
      <c r="H2801" s="3" t="str">
        <f aca="false">Raw_Data!G2801</f>
        <v>no</v>
      </c>
      <c r="I2801" s="3" t="str">
        <f aca="false">Raw_Data!H2801</f>
        <v>no</v>
      </c>
      <c r="J2801" s="2" t="n">
        <f aca="false">IF(F2801="yes",1,0)</f>
        <v>0</v>
      </c>
      <c r="K2801" s="2" t="n">
        <f aca="false">IF(H2801="yes",1,0)</f>
        <v>0</v>
      </c>
      <c r="L2801" s="2" t="n">
        <f aca="false">IF(I2801="yes",1,0)</f>
        <v>0</v>
      </c>
      <c r="M2801" s="2" t="n">
        <f aca="false">IF(G2801&lt;0,1,0)</f>
        <v>0</v>
      </c>
      <c r="N2801" s="2" t="str">
        <f aca="false">_xlfn.IFS(B2801&lt;30,"Under 30",B2801&lt;40,"30-39",B2801&lt;50,"40-49",B2801&lt;60,"50-59",TRUE(),"60+")</f>
        <v>40-49</v>
      </c>
      <c r="O2801" s="2" t="str">
        <f aca="false">_xlfn.IFS(G2801&lt;0,"1 Negative",G2801=0,"2 Zero",G2801&lt;=500,"3 1-500",G2801&lt;=2000,"4 501-2000",TRUE(),"5 Above 2000")</f>
        <v>5 Above 2000</v>
      </c>
      <c r="P2801" s="2" t="n">
        <f aca="false">Lookups!$B$2*M2801+Lookups!$B$3*L2801</f>
        <v>0</v>
      </c>
      <c r="Q2801" s="2" t="str">
        <f aca="false">INDEX(Lookups!$E$2:$E$5,MATCH(P2801,Lookups!$D$2:$D$5,0))</f>
        <v>Low</v>
      </c>
    </row>
    <row r="2802" customFormat="false" ht="15" hidden="false" customHeight="false" outlineLevel="0" collapsed="false">
      <c r="A2802" s="3" t="n">
        <v>2801</v>
      </c>
      <c r="B2802" s="3" t="n">
        <f aca="false">Raw_Data!A2802</f>
        <v>40</v>
      </c>
      <c r="C2802" s="3" t="str">
        <f aca="false">SUBSTITUTE(Raw_Data!B2802,".","")</f>
        <v>technician</v>
      </c>
      <c r="D2802" s="3" t="str">
        <f aca="false">Raw_Data!C2802</f>
        <v>married</v>
      </c>
      <c r="E2802" s="3" t="str">
        <f aca="false">Raw_Data!D2802</f>
        <v>secondary</v>
      </c>
      <c r="F2802" s="3" t="str">
        <f aca="false">Raw_Data!E2802</f>
        <v>no</v>
      </c>
      <c r="G2802" s="3" t="n">
        <f aca="false">Raw_Data!F2802</f>
        <v>2715</v>
      </c>
      <c r="H2802" s="3" t="str">
        <f aca="false">Raw_Data!G2802</f>
        <v>yes</v>
      </c>
      <c r="I2802" s="3" t="str">
        <f aca="false">Raw_Data!H2802</f>
        <v>no</v>
      </c>
      <c r="J2802" s="2" t="n">
        <f aca="false">IF(F2802="yes",1,0)</f>
        <v>0</v>
      </c>
      <c r="K2802" s="2" t="n">
        <f aca="false">IF(H2802="yes",1,0)</f>
        <v>1</v>
      </c>
      <c r="L2802" s="2" t="n">
        <f aca="false">IF(I2802="yes",1,0)</f>
        <v>0</v>
      </c>
      <c r="M2802" s="2" t="n">
        <f aca="false">IF(G2802&lt;0,1,0)</f>
        <v>0</v>
      </c>
      <c r="N2802" s="2" t="str">
        <f aca="false">_xlfn.IFS(B2802&lt;30,"Under 30",B2802&lt;40,"30-39",B2802&lt;50,"40-49",B2802&lt;60,"50-59",TRUE(),"60+")</f>
        <v>40-49</v>
      </c>
      <c r="O2802" s="2" t="str">
        <f aca="false">_xlfn.IFS(G2802&lt;0,"1 Negative",G2802=0,"2 Zero",G2802&lt;=500,"3 1-500",G2802&lt;=2000,"4 501-2000",TRUE(),"5 Above 2000")</f>
        <v>5 Above 2000</v>
      </c>
      <c r="P2802" s="2" t="n">
        <f aca="false">Lookups!$B$2*M2802+Lookups!$B$3*L2802</f>
        <v>0</v>
      </c>
      <c r="Q2802" s="2" t="str">
        <f aca="false">INDEX(Lookups!$E$2:$E$5,MATCH(P2802,Lookups!$D$2:$D$5,0))</f>
        <v>Low</v>
      </c>
    </row>
    <row r="2803" customFormat="false" ht="15" hidden="false" customHeight="false" outlineLevel="0" collapsed="false">
      <c r="A2803" s="3" t="n">
        <v>2802</v>
      </c>
      <c r="B2803" s="3" t="n">
        <f aca="false">Raw_Data!A2803</f>
        <v>32</v>
      </c>
      <c r="C2803" s="3" t="str">
        <f aca="false">SUBSTITUTE(Raw_Data!B2803,".","")</f>
        <v>technician</v>
      </c>
      <c r="D2803" s="3" t="str">
        <f aca="false">Raw_Data!C2803</f>
        <v>single</v>
      </c>
      <c r="E2803" s="3" t="str">
        <f aca="false">Raw_Data!D2803</f>
        <v>tertiary</v>
      </c>
      <c r="F2803" s="3" t="str">
        <f aca="false">Raw_Data!E2803</f>
        <v>no</v>
      </c>
      <c r="G2803" s="3" t="n">
        <f aca="false">Raw_Data!F2803</f>
        <v>1100</v>
      </c>
      <c r="H2803" s="3" t="str">
        <f aca="false">Raw_Data!G2803</f>
        <v>yes</v>
      </c>
      <c r="I2803" s="3" t="str">
        <f aca="false">Raw_Data!H2803</f>
        <v>yes</v>
      </c>
      <c r="J2803" s="2" t="n">
        <f aca="false">IF(F2803="yes",1,0)</f>
        <v>0</v>
      </c>
      <c r="K2803" s="2" t="n">
        <f aca="false">IF(H2803="yes",1,0)</f>
        <v>1</v>
      </c>
      <c r="L2803" s="2" t="n">
        <f aca="false">IF(I2803="yes",1,0)</f>
        <v>1</v>
      </c>
      <c r="M2803" s="2" t="n">
        <f aca="false">IF(G2803&lt;0,1,0)</f>
        <v>0</v>
      </c>
      <c r="N2803" s="2" t="str">
        <f aca="false">_xlfn.IFS(B2803&lt;30,"Under 30",B2803&lt;40,"30-39",B2803&lt;50,"40-49",B2803&lt;60,"50-59",TRUE(),"60+")</f>
        <v>30-39</v>
      </c>
      <c r="O2803" s="2" t="str">
        <f aca="false">_xlfn.IFS(G2803&lt;0,"1 Negative",G2803=0,"2 Zero",G2803&lt;=500,"3 1-500",G2803&lt;=2000,"4 501-2000",TRUE(),"5 Above 2000")</f>
        <v>4 501-2000</v>
      </c>
      <c r="P2803" s="2" t="n">
        <f aca="false">Lookups!$B$2*M2803+Lookups!$B$3*L2803</f>
        <v>1</v>
      </c>
      <c r="Q2803" s="2" t="str">
        <f aca="false">INDEX(Lookups!$E$2:$E$5,MATCH(P2803,Lookups!$D$2:$D$5,0))</f>
        <v>Medium</v>
      </c>
    </row>
    <row r="2804" customFormat="false" ht="15" hidden="false" customHeight="false" outlineLevel="0" collapsed="false">
      <c r="A2804" s="3" t="n">
        <v>2803</v>
      </c>
      <c r="B2804" s="3" t="n">
        <f aca="false">Raw_Data!A2804</f>
        <v>34</v>
      </c>
      <c r="C2804" s="3" t="str">
        <f aca="false">SUBSTITUTE(Raw_Data!B2804,".","")</f>
        <v>blue-collar</v>
      </c>
      <c r="D2804" s="3" t="str">
        <f aca="false">Raw_Data!C2804</f>
        <v>married</v>
      </c>
      <c r="E2804" s="3" t="str">
        <f aca="false">Raw_Data!D2804</f>
        <v>secondary</v>
      </c>
      <c r="F2804" s="3" t="str">
        <f aca="false">Raw_Data!E2804</f>
        <v>no</v>
      </c>
      <c r="G2804" s="3" t="n">
        <f aca="false">Raw_Data!F2804</f>
        <v>516</v>
      </c>
      <c r="H2804" s="3" t="str">
        <f aca="false">Raw_Data!G2804</f>
        <v>yes</v>
      </c>
      <c r="I2804" s="3" t="str">
        <f aca="false">Raw_Data!H2804</f>
        <v>yes</v>
      </c>
      <c r="J2804" s="2" t="n">
        <f aca="false">IF(F2804="yes",1,0)</f>
        <v>0</v>
      </c>
      <c r="K2804" s="2" t="n">
        <f aca="false">IF(H2804="yes",1,0)</f>
        <v>1</v>
      </c>
      <c r="L2804" s="2" t="n">
        <f aca="false">IF(I2804="yes",1,0)</f>
        <v>1</v>
      </c>
      <c r="M2804" s="2" t="n">
        <f aca="false">IF(G2804&lt;0,1,0)</f>
        <v>0</v>
      </c>
      <c r="N2804" s="2" t="str">
        <f aca="false">_xlfn.IFS(B2804&lt;30,"Under 30",B2804&lt;40,"30-39",B2804&lt;50,"40-49",B2804&lt;60,"50-59",TRUE(),"60+")</f>
        <v>30-39</v>
      </c>
      <c r="O2804" s="2" t="str">
        <f aca="false">_xlfn.IFS(G2804&lt;0,"1 Negative",G2804=0,"2 Zero",G2804&lt;=500,"3 1-500",G2804&lt;=2000,"4 501-2000",TRUE(),"5 Above 2000")</f>
        <v>4 501-2000</v>
      </c>
      <c r="P2804" s="2" t="n">
        <f aca="false">Lookups!$B$2*M2804+Lookups!$B$3*L2804</f>
        <v>1</v>
      </c>
      <c r="Q2804" s="2" t="str">
        <f aca="false">INDEX(Lookups!$E$2:$E$5,MATCH(P2804,Lookups!$D$2:$D$5,0))</f>
        <v>Medium</v>
      </c>
    </row>
    <row r="2805" customFormat="false" ht="15" hidden="false" customHeight="false" outlineLevel="0" collapsed="false">
      <c r="A2805" s="3" t="n">
        <v>2804</v>
      </c>
      <c r="B2805" s="3" t="n">
        <f aca="false">Raw_Data!A2805</f>
        <v>37</v>
      </c>
      <c r="C2805" s="3" t="str">
        <f aca="false">SUBSTITUTE(Raw_Data!B2805,".","")</f>
        <v>services</v>
      </c>
      <c r="D2805" s="3" t="str">
        <f aca="false">Raw_Data!C2805</f>
        <v>married</v>
      </c>
      <c r="E2805" s="3" t="str">
        <f aca="false">Raw_Data!D2805</f>
        <v>secondary</v>
      </c>
      <c r="F2805" s="3" t="str">
        <f aca="false">Raw_Data!E2805</f>
        <v>no</v>
      </c>
      <c r="G2805" s="3" t="n">
        <f aca="false">Raw_Data!F2805</f>
        <v>1</v>
      </c>
      <c r="H2805" s="3" t="str">
        <f aca="false">Raw_Data!G2805</f>
        <v>no</v>
      </c>
      <c r="I2805" s="3" t="str">
        <f aca="false">Raw_Data!H2805</f>
        <v>no</v>
      </c>
      <c r="J2805" s="2" t="n">
        <f aca="false">IF(F2805="yes",1,0)</f>
        <v>0</v>
      </c>
      <c r="K2805" s="2" t="n">
        <f aca="false">IF(H2805="yes",1,0)</f>
        <v>0</v>
      </c>
      <c r="L2805" s="2" t="n">
        <f aca="false">IF(I2805="yes",1,0)</f>
        <v>0</v>
      </c>
      <c r="M2805" s="2" t="n">
        <f aca="false">IF(G2805&lt;0,1,0)</f>
        <v>0</v>
      </c>
      <c r="N2805" s="2" t="str">
        <f aca="false">_xlfn.IFS(B2805&lt;30,"Under 30",B2805&lt;40,"30-39",B2805&lt;50,"40-49",B2805&lt;60,"50-59",TRUE(),"60+")</f>
        <v>30-39</v>
      </c>
      <c r="O2805" s="2" t="str">
        <f aca="false">_xlfn.IFS(G2805&lt;0,"1 Negative",G2805=0,"2 Zero",G2805&lt;=500,"3 1-500",G2805&lt;=2000,"4 501-2000",TRUE(),"5 Above 2000")</f>
        <v>3 1-500</v>
      </c>
      <c r="P2805" s="2" t="n">
        <f aca="false">Lookups!$B$2*M2805+Lookups!$B$3*L2805</f>
        <v>0</v>
      </c>
      <c r="Q2805" s="2" t="str">
        <f aca="false">INDEX(Lookups!$E$2:$E$5,MATCH(P2805,Lookups!$D$2:$D$5,0))</f>
        <v>Low</v>
      </c>
    </row>
    <row r="2806" customFormat="false" ht="15" hidden="false" customHeight="false" outlineLevel="0" collapsed="false">
      <c r="A2806" s="3" t="n">
        <v>2805</v>
      </c>
      <c r="B2806" s="3" t="n">
        <f aca="false">Raw_Data!A2806</f>
        <v>28</v>
      </c>
      <c r="C2806" s="3" t="str">
        <f aca="false">SUBSTITUTE(Raw_Data!B2806,".","")</f>
        <v>admin</v>
      </c>
      <c r="D2806" s="3" t="str">
        <f aca="false">Raw_Data!C2806</f>
        <v>single</v>
      </c>
      <c r="E2806" s="3" t="str">
        <f aca="false">Raw_Data!D2806</f>
        <v>secondary</v>
      </c>
      <c r="F2806" s="3" t="str">
        <f aca="false">Raw_Data!E2806</f>
        <v>no</v>
      </c>
      <c r="G2806" s="3" t="n">
        <f aca="false">Raw_Data!F2806</f>
        <v>775</v>
      </c>
      <c r="H2806" s="3" t="str">
        <f aca="false">Raw_Data!G2806</f>
        <v>no</v>
      </c>
      <c r="I2806" s="3" t="str">
        <f aca="false">Raw_Data!H2806</f>
        <v>no</v>
      </c>
      <c r="J2806" s="2" t="n">
        <f aca="false">IF(F2806="yes",1,0)</f>
        <v>0</v>
      </c>
      <c r="K2806" s="2" t="n">
        <f aca="false">IF(H2806="yes",1,0)</f>
        <v>0</v>
      </c>
      <c r="L2806" s="2" t="n">
        <f aca="false">IF(I2806="yes",1,0)</f>
        <v>0</v>
      </c>
      <c r="M2806" s="2" t="n">
        <f aca="false">IF(G2806&lt;0,1,0)</f>
        <v>0</v>
      </c>
      <c r="N2806" s="2" t="str">
        <f aca="false">_xlfn.IFS(B2806&lt;30,"Under 30",B2806&lt;40,"30-39",B2806&lt;50,"40-49",B2806&lt;60,"50-59",TRUE(),"60+")</f>
        <v>Under 30</v>
      </c>
      <c r="O2806" s="2" t="str">
        <f aca="false">_xlfn.IFS(G2806&lt;0,"1 Negative",G2806=0,"2 Zero",G2806&lt;=500,"3 1-500",G2806&lt;=2000,"4 501-2000",TRUE(),"5 Above 2000")</f>
        <v>4 501-2000</v>
      </c>
      <c r="P2806" s="2" t="n">
        <f aca="false">Lookups!$B$2*M2806+Lookups!$B$3*L2806</f>
        <v>0</v>
      </c>
      <c r="Q2806" s="2" t="str">
        <f aca="false">INDEX(Lookups!$E$2:$E$5,MATCH(P2806,Lookups!$D$2:$D$5,0))</f>
        <v>Low</v>
      </c>
    </row>
    <row r="2807" customFormat="false" ht="15" hidden="false" customHeight="false" outlineLevel="0" collapsed="false">
      <c r="A2807" s="3" t="n">
        <v>2806</v>
      </c>
      <c r="B2807" s="3" t="n">
        <f aca="false">Raw_Data!A2807</f>
        <v>35</v>
      </c>
      <c r="C2807" s="3" t="str">
        <f aca="false">SUBSTITUTE(Raw_Data!B2807,".","")</f>
        <v>unknown</v>
      </c>
      <c r="D2807" s="3" t="str">
        <f aca="false">Raw_Data!C2807</f>
        <v>married</v>
      </c>
      <c r="E2807" s="3" t="str">
        <f aca="false">Raw_Data!D2807</f>
        <v>primary</v>
      </c>
      <c r="F2807" s="3" t="str">
        <f aca="false">Raw_Data!E2807</f>
        <v>no</v>
      </c>
      <c r="G2807" s="3" t="n">
        <f aca="false">Raw_Data!F2807</f>
        <v>634</v>
      </c>
      <c r="H2807" s="3" t="str">
        <f aca="false">Raw_Data!G2807</f>
        <v>no</v>
      </c>
      <c r="I2807" s="3" t="str">
        <f aca="false">Raw_Data!H2807</f>
        <v>no</v>
      </c>
      <c r="J2807" s="2" t="n">
        <f aca="false">IF(F2807="yes",1,0)</f>
        <v>0</v>
      </c>
      <c r="K2807" s="2" t="n">
        <f aca="false">IF(H2807="yes",1,0)</f>
        <v>0</v>
      </c>
      <c r="L2807" s="2" t="n">
        <f aca="false">IF(I2807="yes",1,0)</f>
        <v>0</v>
      </c>
      <c r="M2807" s="2" t="n">
        <f aca="false">IF(G2807&lt;0,1,0)</f>
        <v>0</v>
      </c>
      <c r="N2807" s="2" t="str">
        <f aca="false">_xlfn.IFS(B2807&lt;30,"Under 30",B2807&lt;40,"30-39",B2807&lt;50,"40-49",B2807&lt;60,"50-59",TRUE(),"60+")</f>
        <v>30-39</v>
      </c>
      <c r="O2807" s="2" t="str">
        <f aca="false">_xlfn.IFS(G2807&lt;0,"1 Negative",G2807=0,"2 Zero",G2807&lt;=500,"3 1-500",G2807&lt;=2000,"4 501-2000",TRUE(),"5 Above 2000")</f>
        <v>4 501-2000</v>
      </c>
      <c r="P2807" s="2" t="n">
        <f aca="false">Lookups!$B$2*M2807+Lookups!$B$3*L2807</f>
        <v>0</v>
      </c>
      <c r="Q2807" s="2" t="str">
        <f aca="false">INDEX(Lookups!$E$2:$E$5,MATCH(P2807,Lookups!$D$2:$D$5,0))</f>
        <v>Low</v>
      </c>
    </row>
    <row r="2808" customFormat="false" ht="15" hidden="false" customHeight="false" outlineLevel="0" collapsed="false">
      <c r="A2808" s="3" t="n">
        <v>2807</v>
      </c>
      <c r="B2808" s="3" t="n">
        <f aca="false">Raw_Data!A2808</f>
        <v>53</v>
      </c>
      <c r="C2808" s="3" t="str">
        <f aca="false">SUBSTITUTE(Raw_Data!B2808,".","")</f>
        <v>blue-collar</v>
      </c>
      <c r="D2808" s="3" t="str">
        <f aca="false">Raw_Data!C2808</f>
        <v>single</v>
      </c>
      <c r="E2808" s="3" t="str">
        <f aca="false">Raw_Data!D2808</f>
        <v>secondary</v>
      </c>
      <c r="F2808" s="3" t="str">
        <f aca="false">Raw_Data!E2808</f>
        <v>no</v>
      </c>
      <c r="G2808" s="3" t="n">
        <f aca="false">Raw_Data!F2808</f>
        <v>5715</v>
      </c>
      <c r="H2808" s="3" t="str">
        <f aca="false">Raw_Data!G2808</f>
        <v>no</v>
      </c>
      <c r="I2808" s="3" t="str">
        <f aca="false">Raw_Data!H2808</f>
        <v>no</v>
      </c>
      <c r="J2808" s="2" t="n">
        <f aca="false">IF(F2808="yes",1,0)</f>
        <v>0</v>
      </c>
      <c r="K2808" s="2" t="n">
        <f aca="false">IF(H2808="yes",1,0)</f>
        <v>0</v>
      </c>
      <c r="L2808" s="2" t="n">
        <f aca="false">IF(I2808="yes",1,0)</f>
        <v>0</v>
      </c>
      <c r="M2808" s="2" t="n">
        <f aca="false">IF(G2808&lt;0,1,0)</f>
        <v>0</v>
      </c>
      <c r="N2808" s="2" t="str">
        <f aca="false">_xlfn.IFS(B2808&lt;30,"Under 30",B2808&lt;40,"30-39",B2808&lt;50,"40-49",B2808&lt;60,"50-59",TRUE(),"60+")</f>
        <v>50-59</v>
      </c>
      <c r="O2808" s="2" t="str">
        <f aca="false">_xlfn.IFS(G2808&lt;0,"1 Negative",G2808=0,"2 Zero",G2808&lt;=500,"3 1-500",G2808&lt;=2000,"4 501-2000",TRUE(),"5 Above 2000")</f>
        <v>5 Above 2000</v>
      </c>
      <c r="P2808" s="2" t="n">
        <f aca="false">Lookups!$B$2*M2808+Lookups!$B$3*L2808</f>
        <v>0</v>
      </c>
      <c r="Q2808" s="2" t="str">
        <f aca="false">INDEX(Lookups!$E$2:$E$5,MATCH(P2808,Lookups!$D$2:$D$5,0))</f>
        <v>Low</v>
      </c>
    </row>
    <row r="2809" customFormat="false" ht="15" hidden="false" customHeight="false" outlineLevel="0" collapsed="false">
      <c r="A2809" s="3" t="n">
        <v>2808</v>
      </c>
      <c r="B2809" s="3" t="n">
        <f aca="false">Raw_Data!A2809</f>
        <v>60</v>
      </c>
      <c r="C2809" s="3" t="str">
        <f aca="false">SUBSTITUTE(Raw_Data!B2809,".","")</f>
        <v>admin</v>
      </c>
      <c r="D2809" s="3" t="str">
        <f aca="false">Raw_Data!C2809</f>
        <v>married</v>
      </c>
      <c r="E2809" s="3" t="str">
        <f aca="false">Raw_Data!D2809</f>
        <v>unknown</v>
      </c>
      <c r="F2809" s="3" t="str">
        <f aca="false">Raw_Data!E2809</f>
        <v>no</v>
      </c>
      <c r="G2809" s="3" t="n">
        <f aca="false">Raw_Data!F2809</f>
        <v>1088</v>
      </c>
      <c r="H2809" s="3" t="str">
        <f aca="false">Raw_Data!G2809</f>
        <v>yes</v>
      </c>
      <c r="I2809" s="3" t="str">
        <f aca="false">Raw_Data!H2809</f>
        <v>no</v>
      </c>
      <c r="J2809" s="2" t="n">
        <f aca="false">IF(F2809="yes",1,0)</f>
        <v>0</v>
      </c>
      <c r="K2809" s="2" t="n">
        <f aca="false">IF(H2809="yes",1,0)</f>
        <v>1</v>
      </c>
      <c r="L2809" s="2" t="n">
        <f aca="false">IF(I2809="yes",1,0)</f>
        <v>0</v>
      </c>
      <c r="M2809" s="2" t="n">
        <f aca="false">IF(G2809&lt;0,1,0)</f>
        <v>0</v>
      </c>
      <c r="N2809" s="2" t="str">
        <f aca="false">_xlfn.IFS(B2809&lt;30,"Under 30",B2809&lt;40,"30-39",B2809&lt;50,"40-49",B2809&lt;60,"50-59",TRUE(),"60+")</f>
        <v>60+</v>
      </c>
      <c r="O2809" s="2" t="str">
        <f aca="false">_xlfn.IFS(G2809&lt;0,"1 Negative",G2809=0,"2 Zero",G2809&lt;=500,"3 1-500",G2809&lt;=2000,"4 501-2000",TRUE(),"5 Above 2000")</f>
        <v>4 501-2000</v>
      </c>
      <c r="P2809" s="2" t="n">
        <f aca="false">Lookups!$B$2*M2809+Lookups!$B$3*L2809</f>
        <v>0</v>
      </c>
      <c r="Q2809" s="2" t="str">
        <f aca="false">INDEX(Lookups!$E$2:$E$5,MATCH(P2809,Lookups!$D$2:$D$5,0))</f>
        <v>Low</v>
      </c>
    </row>
    <row r="2810" customFormat="false" ht="15" hidden="false" customHeight="false" outlineLevel="0" collapsed="false">
      <c r="A2810" s="3" t="n">
        <v>2809</v>
      </c>
      <c r="B2810" s="3" t="n">
        <f aca="false">Raw_Data!A2810</f>
        <v>40</v>
      </c>
      <c r="C2810" s="3" t="str">
        <f aca="false">SUBSTITUTE(Raw_Data!B2810,".","")</f>
        <v>entrepreneur</v>
      </c>
      <c r="D2810" s="3" t="str">
        <f aca="false">Raw_Data!C2810</f>
        <v>married</v>
      </c>
      <c r="E2810" s="3" t="str">
        <f aca="false">Raw_Data!D2810</f>
        <v>secondary</v>
      </c>
      <c r="F2810" s="3" t="str">
        <f aca="false">Raw_Data!E2810</f>
        <v>no</v>
      </c>
      <c r="G2810" s="3" t="n">
        <f aca="false">Raw_Data!F2810</f>
        <v>1532</v>
      </c>
      <c r="H2810" s="3" t="str">
        <f aca="false">Raw_Data!G2810</f>
        <v>yes</v>
      </c>
      <c r="I2810" s="3" t="str">
        <f aca="false">Raw_Data!H2810</f>
        <v>yes</v>
      </c>
      <c r="J2810" s="2" t="n">
        <f aca="false">IF(F2810="yes",1,0)</f>
        <v>0</v>
      </c>
      <c r="K2810" s="2" t="n">
        <f aca="false">IF(H2810="yes",1,0)</f>
        <v>1</v>
      </c>
      <c r="L2810" s="2" t="n">
        <f aca="false">IF(I2810="yes",1,0)</f>
        <v>1</v>
      </c>
      <c r="M2810" s="2" t="n">
        <f aca="false">IF(G2810&lt;0,1,0)</f>
        <v>0</v>
      </c>
      <c r="N2810" s="2" t="str">
        <f aca="false">_xlfn.IFS(B2810&lt;30,"Under 30",B2810&lt;40,"30-39",B2810&lt;50,"40-49",B2810&lt;60,"50-59",TRUE(),"60+")</f>
        <v>40-49</v>
      </c>
      <c r="O2810" s="2" t="str">
        <f aca="false">_xlfn.IFS(G2810&lt;0,"1 Negative",G2810=0,"2 Zero",G2810&lt;=500,"3 1-500",G2810&lt;=2000,"4 501-2000",TRUE(),"5 Above 2000")</f>
        <v>4 501-2000</v>
      </c>
      <c r="P2810" s="2" t="n">
        <f aca="false">Lookups!$B$2*M2810+Lookups!$B$3*L2810</f>
        <v>1</v>
      </c>
      <c r="Q2810" s="2" t="str">
        <f aca="false">INDEX(Lookups!$E$2:$E$5,MATCH(P2810,Lookups!$D$2:$D$5,0))</f>
        <v>Medium</v>
      </c>
    </row>
    <row r="2811" customFormat="false" ht="15" hidden="false" customHeight="false" outlineLevel="0" collapsed="false">
      <c r="A2811" s="3" t="n">
        <v>2810</v>
      </c>
      <c r="B2811" s="3" t="n">
        <f aca="false">Raw_Data!A2811</f>
        <v>57</v>
      </c>
      <c r="C2811" s="3" t="str">
        <f aca="false">SUBSTITUTE(Raw_Data!B2811,".","")</f>
        <v>retired</v>
      </c>
      <c r="D2811" s="3" t="str">
        <f aca="false">Raw_Data!C2811</f>
        <v>married</v>
      </c>
      <c r="E2811" s="3" t="str">
        <f aca="false">Raw_Data!D2811</f>
        <v>primary</v>
      </c>
      <c r="F2811" s="3" t="str">
        <f aca="false">Raw_Data!E2811</f>
        <v>no</v>
      </c>
      <c r="G2811" s="3" t="n">
        <f aca="false">Raw_Data!F2811</f>
        <v>75</v>
      </c>
      <c r="H2811" s="3" t="str">
        <f aca="false">Raw_Data!G2811</f>
        <v>no</v>
      </c>
      <c r="I2811" s="3" t="str">
        <f aca="false">Raw_Data!H2811</f>
        <v>no</v>
      </c>
      <c r="J2811" s="2" t="n">
        <f aca="false">IF(F2811="yes",1,0)</f>
        <v>0</v>
      </c>
      <c r="K2811" s="2" t="n">
        <f aca="false">IF(H2811="yes",1,0)</f>
        <v>0</v>
      </c>
      <c r="L2811" s="2" t="n">
        <f aca="false">IF(I2811="yes",1,0)</f>
        <v>0</v>
      </c>
      <c r="M2811" s="2" t="n">
        <f aca="false">IF(G2811&lt;0,1,0)</f>
        <v>0</v>
      </c>
      <c r="N2811" s="2" t="str">
        <f aca="false">_xlfn.IFS(B2811&lt;30,"Under 30",B2811&lt;40,"30-39",B2811&lt;50,"40-49",B2811&lt;60,"50-59",TRUE(),"60+")</f>
        <v>50-59</v>
      </c>
      <c r="O2811" s="2" t="str">
        <f aca="false">_xlfn.IFS(G2811&lt;0,"1 Negative",G2811=0,"2 Zero",G2811&lt;=500,"3 1-500",G2811&lt;=2000,"4 501-2000",TRUE(),"5 Above 2000")</f>
        <v>3 1-500</v>
      </c>
      <c r="P2811" s="2" t="n">
        <f aca="false">Lookups!$B$2*M2811+Lookups!$B$3*L2811</f>
        <v>0</v>
      </c>
      <c r="Q2811" s="2" t="str">
        <f aca="false">INDEX(Lookups!$E$2:$E$5,MATCH(P2811,Lookups!$D$2:$D$5,0))</f>
        <v>Low</v>
      </c>
    </row>
    <row r="2812" customFormat="false" ht="15" hidden="false" customHeight="false" outlineLevel="0" collapsed="false">
      <c r="A2812" s="3" t="n">
        <v>2811</v>
      </c>
      <c r="B2812" s="3" t="n">
        <f aca="false">Raw_Data!A2812</f>
        <v>29</v>
      </c>
      <c r="C2812" s="3" t="str">
        <f aca="false">SUBSTITUTE(Raw_Data!B2812,".","")</f>
        <v>technician</v>
      </c>
      <c r="D2812" s="3" t="str">
        <f aca="false">Raw_Data!C2812</f>
        <v>single</v>
      </c>
      <c r="E2812" s="3" t="str">
        <f aca="false">Raw_Data!D2812</f>
        <v>secondary</v>
      </c>
      <c r="F2812" s="3" t="str">
        <f aca="false">Raw_Data!E2812</f>
        <v>no</v>
      </c>
      <c r="G2812" s="3" t="n">
        <f aca="false">Raw_Data!F2812</f>
        <v>103</v>
      </c>
      <c r="H2812" s="3" t="str">
        <f aca="false">Raw_Data!G2812</f>
        <v>no</v>
      </c>
      <c r="I2812" s="3" t="str">
        <f aca="false">Raw_Data!H2812</f>
        <v>no</v>
      </c>
      <c r="J2812" s="2" t="n">
        <f aca="false">IF(F2812="yes",1,0)</f>
        <v>0</v>
      </c>
      <c r="K2812" s="2" t="n">
        <f aca="false">IF(H2812="yes",1,0)</f>
        <v>0</v>
      </c>
      <c r="L2812" s="2" t="n">
        <f aca="false">IF(I2812="yes",1,0)</f>
        <v>0</v>
      </c>
      <c r="M2812" s="2" t="n">
        <f aca="false">IF(G2812&lt;0,1,0)</f>
        <v>0</v>
      </c>
      <c r="N2812" s="2" t="str">
        <f aca="false">_xlfn.IFS(B2812&lt;30,"Under 30",B2812&lt;40,"30-39",B2812&lt;50,"40-49",B2812&lt;60,"50-59",TRUE(),"60+")</f>
        <v>Under 30</v>
      </c>
      <c r="O2812" s="2" t="str">
        <f aca="false">_xlfn.IFS(G2812&lt;0,"1 Negative",G2812=0,"2 Zero",G2812&lt;=500,"3 1-500",G2812&lt;=2000,"4 501-2000",TRUE(),"5 Above 2000")</f>
        <v>3 1-500</v>
      </c>
      <c r="P2812" s="2" t="n">
        <f aca="false">Lookups!$B$2*M2812+Lookups!$B$3*L2812</f>
        <v>0</v>
      </c>
      <c r="Q2812" s="2" t="str">
        <f aca="false">INDEX(Lookups!$E$2:$E$5,MATCH(P2812,Lookups!$D$2:$D$5,0))</f>
        <v>Low</v>
      </c>
    </row>
    <row r="2813" customFormat="false" ht="15" hidden="false" customHeight="false" outlineLevel="0" collapsed="false">
      <c r="A2813" s="3" t="n">
        <v>2812</v>
      </c>
      <c r="B2813" s="3" t="n">
        <f aca="false">Raw_Data!A2813</f>
        <v>44</v>
      </c>
      <c r="C2813" s="3" t="str">
        <f aca="false">SUBSTITUTE(Raw_Data!B2813,".","")</f>
        <v>blue-collar</v>
      </c>
      <c r="D2813" s="3" t="str">
        <f aca="false">Raw_Data!C2813</f>
        <v>married</v>
      </c>
      <c r="E2813" s="3" t="str">
        <f aca="false">Raw_Data!D2813</f>
        <v>primary</v>
      </c>
      <c r="F2813" s="3" t="str">
        <f aca="false">Raw_Data!E2813</f>
        <v>no</v>
      </c>
      <c r="G2813" s="3" t="n">
        <f aca="false">Raw_Data!F2813</f>
        <v>134</v>
      </c>
      <c r="H2813" s="3" t="str">
        <f aca="false">Raw_Data!G2813</f>
        <v>yes</v>
      </c>
      <c r="I2813" s="3" t="str">
        <f aca="false">Raw_Data!H2813</f>
        <v>no</v>
      </c>
      <c r="J2813" s="2" t="n">
        <f aca="false">IF(F2813="yes",1,0)</f>
        <v>0</v>
      </c>
      <c r="K2813" s="2" t="n">
        <f aca="false">IF(H2813="yes",1,0)</f>
        <v>1</v>
      </c>
      <c r="L2813" s="2" t="n">
        <f aca="false">IF(I2813="yes",1,0)</f>
        <v>0</v>
      </c>
      <c r="M2813" s="2" t="n">
        <f aca="false">IF(G2813&lt;0,1,0)</f>
        <v>0</v>
      </c>
      <c r="N2813" s="2" t="str">
        <f aca="false">_xlfn.IFS(B2813&lt;30,"Under 30",B2813&lt;40,"30-39",B2813&lt;50,"40-49",B2813&lt;60,"50-59",TRUE(),"60+")</f>
        <v>40-49</v>
      </c>
      <c r="O2813" s="2" t="str">
        <f aca="false">_xlfn.IFS(G2813&lt;0,"1 Negative",G2813=0,"2 Zero",G2813&lt;=500,"3 1-500",G2813&lt;=2000,"4 501-2000",TRUE(),"5 Above 2000")</f>
        <v>3 1-500</v>
      </c>
      <c r="P2813" s="2" t="n">
        <f aca="false">Lookups!$B$2*M2813+Lookups!$B$3*L2813</f>
        <v>0</v>
      </c>
      <c r="Q2813" s="2" t="str">
        <f aca="false">INDEX(Lookups!$E$2:$E$5,MATCH(P2813,Lookups!$D$2:$D$5,0))</f>
        <v>Low</v>
      </c>
    </row>
    <row r="2814" customFormat="false" ht="15" hidden="false" customHeight="false" outlineLevel="0" collapsed="false">
      <c r="A2814" s="3" t="n">
        <v>2813</v>
      </c>
      <c r="B2814" s="3" t="n">
        <f aca="false">Raw_Data!A2814</f>
        <v>41</v>
      </c>
      <c r="C2814" s="3" t="str">
        <f aca="false">SUBSTITUTE(Raw_Data!B2814,".","")</f>
        <v>admin</v>
      </c>
      <c r="D2814" s="3" t="str">
        <f aca="false">Raw_Data!C2814</f>
        <v>single</v>
      </c>
      <c r="E2814" s="3" t="str">
        <f aca="false">Raw_Data!D2814</f>
        <v>secondary</v>
      </c>
      <c r="F2814" s="3" t="str">
        <f aca="false">Raw_Data!E2814</f>
        <v>no</v>
      </c>
      <c r="G2814" s="3" t="n">
        <f aca="false">Raw_Data!F2814</f>
        <v>748</v>
      </c>
      <c r="H2814" s="3" t="str">
        <f aca="false">Raw_Data!G2814</f>
        <v>no</v>
      </c>
      <c r="I2814" s="3" t="str">
        <f aca="false">Raw_Data!H2814</f>
        <v>no</v>
      </c>
      <c r="J2814" s="2" t="n">
        <f aca="false">IF(F2814="yes",1,0)</f>
        <v>0</v>
      </c>
      <c r="K2814" s="2" t="n">
        <f aca="false">IF(H2814="yes",1,0)</f>
        <v>0</v>
      </c>
      <c r="L2814" s="2" t="n">
        <f aca="false">IF(I2814="yes",1,0)</f>
        <v>0</v>
      </c>
      <c r="M2814" s="2" t="n">
        <f aca="false">IF(G2814&lt;0,1,0)</f>
        <v>0</v>
      </c>
      <c r="N2814" s="2" t="str">
        <f aca="false">_xlfn.IFS(B2814&lt;30,"Under 30",B2814&lt;40,"30-39",B2814&lt;50,"40-49",B2814&lt;60,"50-59",TRUE(),"60+")</f>
        <v>40-49</v>
      </c>
      <c r="O2814" s="2" t="str">
        <f aca="false">_xlfn.IFS(G2814&lt;0,"1 Negative",G2814=0,"2 Zero",G2814&lt;=500,"3 1-500",G2814&lt;=2000,"4 501-2000",TRUE(),"5 Above 2000")</f>
        <v>4 501-2000</v>
      </c>
      <c r="P2814" s="2" t="n">
        <f aca="false">Lookups!$B$2*M2814+Lookups!$B$3*L2814</f>
        <v>0</v>
      </c>
      <c r="Q2814" s="2" t="str">
        <f aca="false">INDEX(Lookups!$E$2:$E$5,MATCH(P2814,Lookups!$D$2:$D$5,0))</f>
        <v>Low</v>
      </c>
    </row>
    <row r="2815" customFormat="false" ht="15" hidden="false" customHeight="false" outlineLevel="0" collapsed="false">
      <c r="A2815" s="3" t="n">
        <v>2814</v>
      </c>
      <c r="B2815" s="3" t="n">
        <f aca="false">Raw_Data!A2815</f>
        <v>47</v>
      </c>
      <c r="C2815" s="3" t="str">
        <f aca="false">SUBSTITUTE(Raw_Data!B2815,".","")</f>
        <v>technician</v>
      </c>
      <c r="D2815" s="3" t="str">
        <f aca="false">Raw_Data!C2815</f>
        <v>married</v>
      </c>
      <c r="E2815" s="3" t="str">
        <f aca="false">Raw_Data!D2815</f>
        <v>secondary</v>
      </c>
      <c r="F2815" s="3" t="str">
        <f aca="false">Raw_Data!E2815</f>
        <v>no</v>
      </c>
      <c r="G2815" s="3" t="n">
        <f aca="false">Raw_Data!F2815</f>
        <v>1990</v>
      </c>
      <c r="H2815" s="3" t="str">
        <f aca="false">Raw_Data!G2815</f>
        <v>yes</v>
      </c>
      <c r="I2815" s="3" t="str">
        <f aca="false">Raw_Data!H2815</f>
        <v>yes</v>
      </c>
      <c r="J2815" s="2" t="n">
        <f aca="false">IF(F2815="yes",1,0)</f>
        <v>0</v>
      </c>
      <c r="K2815" s="2" t="n">
        <f aca="false">IF(H2815="yes",1,0)</f>
        <v>1</v>
      </c>
      <c r="L2815" s="2" t="n">
        <f aca="false">IF(I2815="yes",1,0)</f>
        <v>1</v>
      </c>
      <c r="M2815" s="2" t="n">
        <f aca="false">IF(G2815&lt;0,1,0)</f>
        <v>0</v>
      </c>
      <c r="N2815" s="2" t="str">
        <f aca="false">_xlfn.IFS(B2815&lt;30,"Under 30",B2815&lt;40,"30-39",B2815&lt;50,"40-49",B2815&lt;60,"50-59",TRUE(),"60+")</f>
        <v>40-49</v>
      </c>
      <c r="O2815" s="2" t="str">
        <f aca="false">_xlfn.IFS(G2815&lt;0,"1 Negative",G2815=0,"2 Zero",G2815&lt;=500,"3 1-500",G2815&lt;=2000,"4 501-2000",TRUE(),"5 Above 2000")</f>
        <v>4 501-2000</v>
      </c>
      <c r="P2815" s="2" t="n">
        <f aca="false">Lookups!$B$2*M2815+Lookups!$B$3*L2815</f>
        <v>1</v>
      </c>
      <c r="Q2815" s="2" t="str">
        <f aca="false">INDEX(Lookups!$E$2:$E$5,MATCH(P2815,Lookups!$D$2:$D$5,0))</f>
        <v>Medium</v>
      </c>
    </row>
    <row r="2816" customFormat="false" ht="15" hidden="false" customHeight="false" outlineLevel="0" collapsed="false">
      <c r="A2816" s="3" t="n">
        <v>2815</v>
      </c>
      <c r="B2816" s="3" t="n">
        <f aca="false">Raw_Data!A2816</f>
        <v>43</v>
      </c>
      <c r="C2816" s="3" t="str">
        <f aca="false">SUBSTITUTE(Raw_Data!B2816,".","")</f>
        <v>technician</v>
      </c>
      <c r="D2816" s="3" t="str">
        <f aca="false">Raw_Data!C2816</f>
        <v>married</v>
      </c>
      <c r="E2816" s="3" t="str">
        <f aca="false">Raw_Data!D2816</f>
        <v>tertiary</v>
      </c>
      <c r="F2816" s="3" t="str">
        <f aca="false">Raw_Data!E2816</f>
        <v>no</v>
      </c>
      <c r="G2816" s="3" t="n">
        <f aca="false">Raw_Data!F2816</f>
        <v>192</v>
      </c>
      <c r="H2816" s="3" t="str">
        <f aca="false">Raw_Data!G2816</f>
        <v>no</v>
      </c>
      <c r="I2816" s="3" t="str">
        <f aca="false">Raw_Data!H2816</f>
        <v>no</v>
      </c>
      <c r="J2816" s="2" t="n">
        <f aca="false">IF(F2816="yes",1,0)</f>
        <v>0</v>
      </c>
      <c r="K2816" s="2" t="n">
        <f aca="false">IF(H2816="yes",1,0)</f>
        <v>0</v>
      </c>
      <c r="L2816" s="2" t="n">
        <f aca="false">IF(I2816="yes",1,0)</f>
        <v>0</v>
      </c>
      <c r="M2816" s="2" t="n">
        <f aca="false">IF(G2816&lt;0,1,0)</f>
        <v>0</v>
      </c>
      <c r="N2816" s="2" t="str">
        <f aca="false">_xlfn.IFS(B2816&lt;30,"Under 30",B2816&lt;40,"30-39",B2816&lt;50,"40-49",B2816&lt;60,"50-59",TRUE(),"60+")</f>
        <v>40-49</v>
      </c>
      <c r="O2816" s="2" t="str">
        <f aca="false">_xlfn.IFS(G2816&lt;0,"1 Negative",G2816=0,"2 Zero",G2816&lt;=500,"3 1-500",G2816&lt;=2000,"4 501-2000",TRUE(),"5 Above 2000")</f>
        <v>3 1-500</v>
      </c>
      <c r="P2816" s="2" t="n">
        <f aca="false">Lookups!$B$2*M2816+Lookups!$B$3*L2816</f>
        <v>0</v>
      </c>
      <c r="Q2816" s="2" t="str">
        <f aca="false">INDEX(Lookups!$E$2:$E$5,MATCH(P2816,Lookups!$D$2:$D$5,0))</f>
        <v>Low</v>
      </c>
    </row>
    <row r="2817" customFormat="false" ht="15" hidden="false" customHeight="false" outlineLevel="0" collapsed="false">
      <c r="A2817" s="3" t="n">
        <v>2816</v>
      </c>
      <c r="B2817" s="3" t="n">
        <f aca="false">Raw_Data!A2817</f>
        <v>37</v>
      </c>
      <c r="C2817" s="3" t="str">
        <f aca="false">SUBSTITUTE(Raw_Data!B2817,".","")</f>
        <v>technician</v>
      </c>
      <c r="D2817" s="3" t="str">
        <f aca="false">Raw_Data!C2817</f>
        <v>single</v>
      </c>
      <c r="E2817" s="3" t="str">
        <f aca="false">Raw_Data!D2817</f>
        <v>secondary</v>
      </c>
      <c r="F2817" s="3" t="str">
        <f aca="false">Raw_Data!E2817</f>
        <v>no</v>
      </c>
      <c r="G2817" s="3" t="n">
        <f aca="false">Raw_Data!F2817</f>
        <v>267</v>
      </c>
      <c r="H2817" s="3" t="str">
        <f aca="false">Raw_Data!G2817</f>
        <v>no</v>
      </c>
      <c r="I2817" s="3" t="str">
        <f aca="false">Raw_Data!H2817</f>
        <v>no</v>
      </c>
      <c r="J2817" s="2" t="n">
        <f aca="false">IF(F2817="yes",1,0)</f>
        <v>0</v>
      </c>
      <c r="K2817" s="2" t="n">
        <f aca="false">IF(H2817="yes",1,0)</f>
        <v>0</v>
      </c>
      <c r="L2817" s="2" t="n">
        <f aca="false">IF(I2817="yes",1,0)</f>
        <v>0</v>
      </c>
      <c r="M2817" s="2" t="n">
        <f aca="false">IF(G2817&lt;0,1,0)</f>
        <v>0</v>
      </c>
      <c r="N2817" s="2" t="str">
        <f aca="false">_xlfn.IFS(B2817&lt;30,"Under 30",B2817&lt;40,"30-39",B2817&lt;50,"40-49",B2817&lt;60,"50-59",TRUE(),"60+")</f>
        <v>30-39</v>
      </c>
      <c r="O2817" s="2" t="str">
        <f aca="false">_xlfn.IFS(G2817&lt;0,"1 Negative",G2817=0,"2 Zero",G2817&lt;=500,"3 1-500",G2817&lt;=2000,"4 501-2000",TRUE(),"5 Above 2000")</f>
        <v>3 1-500</v>
      </c>
      <c r="P2817" s="2" t="n">
        <f aca="false">Lookups!$B$2*M2817+Lookups!$B$3*L2817</f>
        <v>0</v>
      </c>
      <c r="Q2817" s="2" t="str">
        <f aca="false">INDEX(Lookups!$E$2:$E$5,MATCH(P2817,Lookups!$D$2:$D$5,0))</f>
        <v>Low</v>
      </c>
    </row>
    <row r="2818" customFormat="false" ht="15" hidden="false" customHeight="false" outlineLevel="0" collapsed="false">
      <c r="A2818" s="3" t="n">
        <v>2817</v>
      </c>
      <c r="B2818" s="3" t="n">
        <f aca="false">Raw_Data!A2818</f>
        <v>34</v>
      </c>
      <c r="C2818" s="3" t="str">
        <f aca="false">SUBSTITUTE(Raw_Data!B2818,".","")</f>
        <v>technician</v>
      </c>
      <c r="D2818" s="3" t="str">
        <f aca="false">Raw_Data!C2818</f>
        <v>single</v>
      </c>
      <c r="E2818" s="3" t="str">
        <f aca="false">Raw_Data!D2818</f>
        <v>tertiary</v>
      </c>
      <c r="F2818" s="3" t="str">
        <f aca="false">Raw_Data!E2818</f>
        <v>no</v>
      </c>
      <c r="G2818" s="3" t="n">
        <f aca="false">Raw_Data!F2818</f>
        <v>586</v>
      </c>
      <c r="H2818" s="3" t="str">
        <f aca="false">Raw_Data!G2818</f>
        <v>yes</v>
      </c>
      <c r="I2818" s="3" t="str">
        <f aca="false">Raw_Data!H2818</f>
        <v>no</v>
      </c>
      <c r="J2818" s="2" t="n">
        <f aca="false">IF(F2818="yes",1,0)</f>
        <v>0</v>
      </c>
      <c r="K2818" s="2" t="n">
        <f aca="false">IF(H2818="yes",1,0)</f>
        <v>1</v>
      </c>
      <c r="L2818" s="2" t="n">
        <f aca="false">IF(I2818="yes",1,0)</f>
        <v>0</v>
      </c>
      <c r="M2818" s="2" t="n">
        <f aca="false">IF(G2818&lt;0,1,0)</f>
        <v>0</v>
      </c>
      <c r="N2818" s="2" t="str">
        <f aca="false">_xlfn.IFS(B2818&lt;30,"Under 30",B2818&lt;40,"30-39",B2818&lt;50,"40-49",B2818&lt;60,"50-59",TRUE(),"60+")</f>
        <v>30-39</v>
      </c>
      <c r="O2818" s="2" t="str">
        <f aca="false">_xlfn.IFS(G2818&lt;0,"1 Negative",G2818=0,"2 Zero",G2818&lt;=500,"3 1-500",G2818&lt;=2000,"4 501-2000",TRUE(),"5 Above 2000")</f>
        <v>4 501-2000</v>
      </c>
      <c r="P2818" s="2" t="n">
        <f aca="false">Lookups!$B$2*M2818+Lookups!$B$3*L2818</f>
        <v>0</v>
      </c>
      <c r="Q2818" s="2" t="str">
        <f aca="false">INDEX(Lookups!$E$2:$E$5,MATCH(P2818,Lookups!$D$2:$D$5,0))</f>
        <v>Low</v>
      </c>
    </row>
    <row r="2819" customFormat="false" ht="15" hidden="false" customHeight="false" outlineLevel="0" collapsed="false">
      <c r="A2819" s="3" t="n">
        <v>2818</v>
      </c>
      <c r="B2819" s="3" t="n">
        <f aca="false">Raw_Data!A2819</f>
        <v>30</v>
      </c>
      <c r="C2819" s="3" t="str">
        <f aca="false">SUBSTITUTE(Raw_Data!B2819,".","")</f>
        <v>blue-collar</v>
      </c>
      <c r="D2819" s="3" t="str">
        <f aca="false">Raw_Data!C2819</f>
        <v>single</v>
      </c>
      <c r="E2819" s="3" t="str">
        <f aca="false">Raw_Data!D2819</f>
        <v>secondary</v>
      </c>
      <c r="F2819" s="3" t="str">
        <f aca="false">Raw_Data!E2819</f>
        <v>no</v>
      </c>
      <c r="G2819" s="3" t="n">
        <f aca="false">Raw_Data!F2819</f>
        <v>648</v>
      </c>
      <c r="H2819" s="3" t="str">
        <f aca="false">Raw_Data!G2819</f>
        <v>yes</v>
      </c>
      <c r="I2819" s="3" t="str">
        <f aca="false">Raw_Data!H2819</f>
        <v>yes</v>
      </c>
      <c r="J2819" s="2" t="n">
        <f aca="false">IF(F2819="yes",1,0)</f>
        <v>0</v>
      </c>
      <c r="K2819" s="2" t="n">
        <f aca="false">IF(H2819="yes",1,0)</f>
        <v>1</v>
      </c>
      <c r="L2819" s="2" t="n">
        <f aca="false">IF(I2819="yes",1,0)</f>
        <v>1</v>
      </c>
      <c r="M2819" s="2" t="n">
        <f aca="false">IF(G2819&lt;0,1,0)</f>
        <v>0</v>
      </c>
      <c r="N2819" s="2" t="str">
        <f aca="false">_xlfn.IFS(B2819&lt;30,"Under 30",B2819&lt;40,"30-39",B2819&lt;50,"40-49",B2819&lt;60,"50-59",TRUE(),"60+")</f>
        <v>30-39</v>
      </c>
      <c r="O2819" s="2" t="str">
        <f aca="false">_xlfn.IFS(G2819&lt;0,"1 Negative",G2819=0,"2 Zero",G2819&lt;=500,"3 1-500",G2819&lt;=2000,"4 501-2000",TRUE(),"5 Above 2000")</f>
        <v>4 501-2000</v>
      </c>
      <c r="P2819" s="2" t="n">
        <f aca="false">Lookups!$B$2*M2819+Lookups!$B$3*L2819</f>
        <v>1</v>
      </c>
      <c r="Q2819" s="2" t="str">
        <f aca="false">INDEX(Lookups!$E$2:$E$5,MATCH(P2819,Lookups!$D$2:$D$5,0))</f>
        <v>Medium</v>
      </c>
    </row>
    <row r="2820" customFormat="false" ht="15" hidden="false" customHeight="false" outlineLevel="0" collapsed="false">
      <c r="A2820" s="3" t="n">
        <v>2819</v>
      </c>
      <c r="B2820" s="3" t="n">
        <f aca="false">Raw_Data!A2820</f>
        <v>57</v>
      </c>
      <c r="C2820" s="3" t="str">
        <f aca="false">SUBSTITUTE(Raw_Data!B2820,".","")</f>
        <v>entrepreneur</v>
      </c>
      <c r="D2820" s="3" t="str">
        <f aca="false">Raw_Data!C2820</f>
        <v>divorced</v>
      </c>
      <c r="E2820" s="3" t="str">
        <f aca="false">Raw_Data!D2820</f>
        <v>secondary</v>
      </c>
      <c r="F2820" s="3" t="str">
        <f aca="false">Raw_Data!E2820</f>
        <v>yes</v>
      </c>
      <c r="G2820" s="3" t="n">
        <f aca="false">Raw_Data!F2820</f>
        <v>25</v>
      </c>
      <c r="H2820" s="3" t="str">
        <f aca="false">Raw_Data!G2820</f>
        <v>yes</v>
      </c>
      <c r="I2820" s="3" t="str">
        <f aca="false">Raw_Data!H2820</f>
        <v>no</v>
      </c>
      <c r="J2820" s="2" t="n">
        <f aca="false">IF(F2820="yes",1,0)</f>
        <v>1</v>
      </c>
      <c r="K2820" s="2" t="n">
        <f aca="false">IF(H2820="yes",1,0)</f>
        <v>1</v>
      </c>
      <c r="L2820" s="2" t="n">
        <f aca="false">IF(I2820="yes",1,0)</f>
        <v>0</v>
      </c>
      <c r="M2820" s="2" t="n">
        <f aca="false">IF(G2820&lt;0,1,0)</f>
        <v>0</v>
      </c>
      <c r="N2820" s="2" t="str">
        <f aca="false">_xlfn.IFS(B2820&lt;30,"Under 30",B2820&lt;40,"30-39",B2820&lt;50,"40-49",B2820&lt;60,"50-59",TRUE(),"60+")</f>
        <v>50-59</v>
      </c>
      <c r="O2820" s="2" t="str">
        <f aca="false">_xlfn.IFS(G2820&lt;0,"1 Negative",G2820=0,"2 Zero",G2820&lt;=500,"3 1-500",G2820&lt;=2000,"4 501-2000",TRUE(),"5 Above 2000")</f>
        <v>3 1-500</v>
      </c>
      <c r="P2820" s="2" t="n">
        <f aca="false">Lookups!$B$2*M2820+Lookups!$B$3*L2820</f>
        <v>0</v>
      </c>
      <c r="Q2820" s="2" t="str">
        <f aca="false">INDEX(Lookups!$E$2:$E$5,MATCH(P2820,Lookups!$D$2:$D$5,0))</f>
        <v>Low</v>
      </c>
    </row>
    <row r="2821" customFormat="false" ht="15" hidden="false" customHeight="false" outlineLevel="0" collapsed="false">
      <c r="A2821" s="3" t="n">
        <v>2820</v>
      </c>
      <c r="B2821" s="3" t="n">
        <f aca="false">Raw_Data!A2821</f>
        <v>26</v>
      </c>
      <c r="C2821" s="3" t="str">
        <f aca="false">SUBSTITUTE(Raw_Data!B2821,".","")</f>
        <v>admin</v>
      </c>
      <c r="D2821" s="3" t="str">
        <f aca="false">Raw_Data!C2821</f>
        <v>single</v>
      </c>
      <c r="E2821" s="3" t="str">
        <f aca="false">Raw_Data!D2821</f>
        <v>secondary</v>
      </c>
      <c r="F2821" s="3" t="str">
        <f aca="false">Raw_Data!E2821</f>
        <v>no</v>
      </c>
      <c r="G2821" s="3" t="n">
        <f aca="false">Raw_Data!F2821</f>
        <v>96</v>
      </c>
      <c r="H2821" s="3" t="str">
        <f aca="false">Raw_Data!G2821</f>
        <v>yes</v>
      </c>
      <c r="I2821" s="3" t="str">
        <f aca="false">Raw_Data!H2821</f>
        <v>no</v>
      </c>
      <c r="J2821" s="2" t="n">
        <f aca="false">IF(F2821="yes",1,0)</f>
        <v>0</v>
      </c>
      <c r="K2821" s="2" t="n">
        <f aca="false">IF(H2821="yes",1,0)</f>
        <v>1</v>
      </c>
      <c r="L2821" s="2" t="n">
        <f aca="false">IF(I2821="yes",1,0)</f>
        <v>0</v>
      </c>
      <c r="M2821" s="2" t="n">
        <f aca="false">IF(G2821&lt;0,1,0)</f>
        <v>0</v>
      </c>
      <c r="N2821" s="2" t="str">
        <f aca="false">_xlfn.IFS(B2821&lt;30,"Under 30",B2821&lt;40,"30-39",B2821&lt;50,"40-49",B2821&lt;60,"50-59",TRUE(),"60+")</f>
        <v>Under 30</v>
      </c>
      <c r="O2821" s="2" t="str">
        <f aca="false">_xlfn.IFS(G2821&lt;0,"1 Negative",G2821=0,"2 Zero",G2821&lt;=500,"3 1-500",G2821&lt;=2000,"4 501-2000",TRUE(),"5 Above 2000")</f>
        <v>3 1-500</v>
      </c>
      <c r="P2821" s="2" t="n">
        <f aca="false">Lookups!$B$2*M2821+Lookups!$B$3*L2821</f>
        <v>0</v>
      </c>
      <c r="Q2821" s="2" t="str">
        <f aca="false">INDEX(Lookups!$E$2:$E$5,MATCH(P2821,Lookups!$D$2:$D$5,0))</f>
        <v>Low</v>
      </c>
    </row>
    <row r="2822" customFormat="false" ht="15" hidden="false" customHeight="false" outlineLevel="0" collapsed="false">
      <c r="A2822" s="3" t="n">
        <v>2821</v>
      </c>
      <c r="B2822" s="3" t="n">
        <f aca="false">Raw_Data!A2822</f>
        <v>34</v>
      </c>
      <c r="C2822" s="3" t="str">
        <f aca="false">SUBSTITUTE(Raw_Data!B2822,".","")</f>
        <v>management</v>
      </c>
      <c r="D2822" s="3" t="str">
        <f aca="false">Raw_Data!C2822</f>
        <v>married</v>
      </c>
      <c r="E2822" s="3" t="str">
        <f aca="false">Raw_Data!D2822</f>
        <v>tertiary</v>
      </c>
      <c r="F2822" s="3" t="str">
        <f aca="false">Raw_Data!E2822</f>
        <v>no</v>
      </c>
      <c r="G2822" s="3" t="n">
        <f aca="false">Raw_Data!F2822</f>
        <v>1116</v>
      </c>
      <c r="H2822" s="3" t="str">
        <f aca="false">Raw_Data!G2822</f>
        <v>yes</v>
      </c>
      <c r="I2822" s="3" t="str">
        <f aca="false">Raw_Data!H2822</f>
        <v>no</v>
      </c>
      <c r="J2822" s="2" t="n">
        <f aca="false">IF(F2822="yes",1,0)</f>
        <v>0</v>
      </c>
      <c r="K2822" s="2" t="n">
        <f aca="false">IF(H2822="yes",1,0)</f>
        <v>1</v>
      </c>
      <c r="L2822" s="2" t="n">
        <f aca="false">IF(I2822="yes",1,0)</f>
        <v>0</v>
      </c>
      <c r="M2822" s="2" t="n">
        <f aca="false">IF(G2822&lt;0,1,0)</f>
        <v>0</v>
      </c>
      <c r="N2822" s="2" t="str">
        <f aca="false">_xlfn.IFS(B2822&lt;30,"Under 30",B2822&lt;40,"30-39",B2822&lt;50,"40-49",B2822&lt;60,"50-59",TRUE(),"60+")</f>
        <v>30-39</v>
      </c>
      <c r="O2822" s="2" t="str">
        <f aca="false">_xlfn.IFS(G2822&lt;0,"1 Negative",G2822=0,"2 Zero",G2822&lt;=500,"3 1-500",G2822&lt;=2000,"4 501-2000",TRUE(),"5 Above 2000")</f>
        <v>4 501-2000</v>
      </c>
      <c r="P2822" s="2" t="n">
        <f aca="false">Lookups!$B$2*M2822+Lookups!$B$3*L2822</f>
        <v>0</v>
      </c>
      <c r="Q2822" s="2" t="str">
        <f aca="false">INDEX(Lookups!$E$2:$E$5,MATCH(P2822,Lookups!$D$2:$D$5,0))</f>
        <v>Low</v>
      </c>
    </row>
    <row r="2823" customFormat="false" ht="15" hidden="false" customHeight="false" outlineLevel="0" collapsed="false">
      <c r="A2823" s="3" t="n">
        <v>2822</v>
      </c>
      <c r="B2823" s="3" t="n">
        <f aca="false">Raw_Data!A2823</f>
        <v>46</v>
      </c>
      <c r="C2823" s="3" t="str">
        <f aca="false">SUBSTITUTE(Raw_Data!B2823,".","")</f>
        <v>technician</v>
      </c>
      <c r="D2823" s="3" t="str">
        <f aca="false">Raw_Data!C2823</f>
        <v>divorced</v>
      </c>
      <c r="E2823" s="3" t="str">
        <f aca="false">Raw_Data!D2823</f>
        <v>secondary</v>
      </c>
      <c r="F2823" s="3" t="str">
        <f aca="false">Raw_Data!E2823</f>
        <v>no</v>
      </c>
      <c r="G2823" s="3" t="n">
        <f aca="false">Raw_Data!F2823</f>
        <v>-90</v>
      </c>
      <c r="H2823" s="3" t="str">
        <f aca="false">Raw_Data!G2823</f>
        <v>no</v>
      </c>
      <c r="I2823" s="3" t="str">
        <f aca="false">Raw_Data!H2823</f>
        <v>yes</v>
      </c>
      <c r="J2823" s="2" t="n">
        <f aca="false">IF(F2823="yes",1,0)</f>
        <v>0</v>
      </c>
      <c r="K2823" s="2" t="n">
        <f aca="false">IF(H2823="yes",1,0)</f>
        <v>0</v>
      </c>
      <c r="L2823" s="2" t="n">
        <f aca="false">IF(I2823="yes",1,0)</f>
        <v>1</v>
      </c>
      <c r="M2823" s="2" t="n">
        <f aca="false">IF(G2823&lt;0,1,0)</f>
        <v>1</v>
      </c>
      <c r="N2823" s="2" t="str">
        <f aca="false">_xlfn.IFS(B2823&lt;30,"Under 30",B2823&lt;40,"30-39",B2823&lt;50,"40-49",B2823&lt;60,"50-59",TRUE(),"60+")</f>
        <v>40-49</v>
      </c>
      <c r="O2823" s="2" t="str">
        <f aca="false">_xlfn.IFS(G2823&lt;0,"1 Negative",G2823=0,"2 Zero",G2823&lt;=500,"3 1-500",G2823&lt;=2000,"4 501-2000",TRUE(),"5 Above 2000")</f>
        <v>1 Negative</v>
      </c>
      <c r="P2823" s="2" t="n">
        <f aca="false">Lookups!$B$2*M2823+Lookups!$B$3*L2823</f>
        <v>3</v>
      </c>
      <c r="Q2823" s="2" t="str">
        <f aca="false">INDEX(Lookups!$E$2:$E$5,MATCH(P2823,Lookups!$D$2:$D$5,0))</f>
        <v>High</v>
      </c>
    </row>
    <row r="2824" customFormat="false" ht="15" hidden="false" customHeight="false" outlineLevel="0" collapsed="false">
      <c r="A2824" s="3" t="n">
        <v>2823</v>
      </c>
      <c r="B2824" s="3" t="n">
        <f aca="false">Raw_Data!A2824</f>
        <v>38</v>
      </c>
      <c r="C2824" s="3" t="str">
        <f aca="false">SUBSTITUTE(Raw_Data!B2824,".","")</f>
        <v>entrepreneur</v>
      </c>
      <c r="D2824" s="3" t="str">
        <f aca="false">Raw_Data!C2824</f>
        <v>married</v>
      </c>
      <c r="E2824" s="3" t="str">
        <f aca="false">Raw_Data!D2824</f>
        <v>tertiary</v>
      </c>
      <c r="F2824" s="3" t="str">
        <f aca="false">Raw_Data!E2824</f>
        <v>no</v>
      </c>
      <c r="G2824" s="3" t="n">
        <f aca="false">Raw_Data!F2824</f>
        <v>170</v>
      </c>
      <c r="H2824" s="3" t="str">
        <f aca="false">Raw_Data!G2824</f>
        <v>yes</v>
      </c>
      <c r="I2824" s="3" t="str">
        <f aca="false">Raw_Data!H2824</f>
        <v>no</v>
      </c>
      <c r="J2824" s="2" t="n">
        <f aca="false">IF(F2824="yes",1,0)</f>
        <v>0</v>
      </c>
      <c r="K2824" s="2" t="n">
        <f aca="false">IF(H2824="yes",1,0)</f>
        <v>1</v>
      </c>
      <c r="L2824" s="2" t="n">
        <f aca="false">IF(I2824="yes",1,0)</f>
        <v>0</v>
      </c>
      <c r="M2824" s="2" t="n">
        <f aca="false">IF(G2824&lt;0,1,0)</f>
        <v>0</v>
      </c>
      <c r="N2824" s="2" t="str">
        <f aca="false">_xlfn.IFS(B2824&lt;30,"Under 30",B2824&lt;40,"30-39",B2824&lt;50,"40-49",B2824&lt;60,"50-59",TRUE(),"60+")</f>
        <v>30-39</v>
      </c>
      <c r="O2824" s="2" t="str">
        <f aca="false">_xlfn.IFS(G2824&lt;0,"1 Negative",G2824=0,"2 Zero",G2824&lt;=500,"3 1-500",G2824&lt;=2000,"4 501-2000",TRUE(),"5 Above 2000")</f>
        <v>3 1-500</v>
      </c>
      <c r="P2824" s="2" t="n">
        <f aca="false">Lookups!$B$2*M2824+Lookups!$B$3*L2824</f>
        <v>0</v>
      </c>
      <c r="Q2824" s="2" t="str">
        <f aca="false">INDEX(Lookups!$E$2:$E$5,MATCH(P2824,Lookups!$D$2:$D$5,0))</f>
        <v>Low</v>
      </c>
    </row>
    <row r="2825" customFormat="false" ht="15" hidden="false" customHeight="false" outlineLevel="0" collapsed="false">
      <c r="A2825" s="3" t="n">
        <v>2824</v>
      </c>
      <c r="B2825" s="3" t="n">
        <f aca="false">Raw_Data!A2825</f>
        <v>37</v>
      </c>
      <c r="C2825" s="3" t="str">
        <f aca="false">SUBSTITUTE(Raw_Data!B2825,".","")</f>
        <v>technician</v>
      </c>
      <c r="D2825" s="3" t="str">
        <f aca="false">Raw_Data!C2825</f>
        <v>single</v>
      </c>
      <c r="E2825" s="3" t="str">
        <f aca="false">Raw_Data!D2825</f>
        <v>secondary</v>
      </c>
      <c r="F2825" s="3" t="str">
        <f aca="false">Raw_Data!E2825</f>
        <v>no</v>
      </c>
      <c r="G2825" s="3" t="n">
        <f aca="false">Raw_Data!F2825</f>
        <v>3665</v>
      </c>
      <c r="H2825" s="3" t="str">
        <f aca="false">Raw_Data!G2825</f>
        <v>no</v>
      </c>
      <c r="I2825" s="3" t="str">
        <f aca="false">Raw_Data!H2825</f>
        <v>no</v>
      </c>
      <c r="J2825" s="2" t="n">
        <f aca="false">IF(F2825="yes",1,0)</f>
        <v>0</v>
      </c>
      <c r="K2825" s="2" t="n">
        <f aca="false">IF(H2825="yes",1,0)</f>
        <v>0</v>
      </c>
      <c r="L2825" s="2" t="n">
        <f aca="false">IF(I2825="yes",1,0)</f>
        <v>0</v>
      </c>
      <c r="M2825" s="2" t="n">
        <f aca="false">IF(G2825&lt;0,1,0)</f>
        <v>0</v>
      </c>
      <c r="N2825" s="2" t="str">
        <f aca="false">_xlfn.IFS(B2825&lt;30,"Under 30",B2825&lt;40,"30-39",B2825&lt;50,"40-49",B2825&lt;60,"50-59",TRUE(),"60+")</f>
        <v>30-39</v>
      </c>
      <c r="O2825" s="2" t="str">
        <f aca="false">_xlfn.IFS(G2825&lt;0,"1 Negative",G2825=0,"2 Zero",G2825&lt;=500,"3 1-500",G2825&lt;=2000,"4 501-2000",TRUE(),"5 Above 2000")</f>
        <v>5 Above 2000</v>
      </c>
      <c r="P2825" s="2" t="n">
        <f aca="false">Lookups!$B$2*M2825+Lookups!$B$3*L2825</f>
        <v>0</v>
      </c>
      <c r="Q2825" s="2" t="str">
        <f aca="false">INDEX(Lookups!$E$2:$E$5,MATCH(P2825,Lookups!$D$2:$D$5,0))</f>
        <v>Low</v>
      </c>
    </row>
    <row r="2826" customFormat="false" ht="15" hidden="false" customHeight="false" outlineLevel="0" collapsed="false">
      <c r="A2826" s="3" t="n">
        <v>2825</v>
      </c>
      <c r="B2826" s="3" t="n">
        <f aca="false">Raw_Data!A2826</f>
        <v>28</v>
      </c>
      <c r="C2826" s="3" t="str">
        <f aca="false">SUBSTITUTE(Raw_Data!B2826,".","")</f>
        <v>management</v>
      </c>
      <c r="D2826" s="3" t="str">
        <f aca="false">Raw_Data!C2826</f>
        <v>single</v>
      </c>
      <c r="E2826" s="3" t="str">
        <f aca="false">Raw_Data!D2826</f>
        <v>tertiary</v>
      </c>
      <c r="F2826" s="3" t="str">
        <f aca="false">Raw_Data!E2826</f>
        <v>no</v>
      </c>
      <c r="G2826" s="3" t="n">
        <f aca="false">Raw_Data!F2826</f>
        <v>2380</v>
      </c>
      <c r="H2826" s="3" t="str">
        <f aca="false">Raw_Data!G2826</f>
        <v>no</v>
      </c>
      <c r="I2826" s="3" t="str">
        <f aca="false">Raw_Data!H2826</f>
        <v>no</v>
      </c>
      <c r="J2826" s="2" t="n">
        <f aca="false">IF(F2826="yes",1,0)</f>
        <v>0</v>
      </c>
      <c r="K2826" s="2" t="n">
        <f aca="false">IF(H2826="yes",1,0)</f>
        <v>0</v>
      </c>
      <c r="L2826" s="2" t="n">
        <f aca="false">IF(I2826="yes",1,0)</f>
        <v>0</v>
      </c>
      <c r="M2826" s="2" t="n">
        <f aca="false">IF(G2826&lt;0,1,0)</f>
        <v>0</v>
      </c>
      <c r="N2826" s="2" t="str">
        <f aca="false">_xlfn.IFS(B2826&lt;30,"Under 30",B2826&lt;40,"30-39",B2826&lt;50,"40-49",B2826&lt;60,"50-59",TRUE(),"60+")</f>
        <v>Under 30</v>
      </c>
      <c r="O2826" s="2" t="str">
        <f aca="false">_xlfn.IFS(G2826&lt;0,"1 Negative",G2826=0,"2 Zero",G2826&lt;=500,"3 1-500",G2826&lt;=2000,"4 501-2000",TRUE(),"5 Above 2000")</f>
        <v>5 Above 2000</v>
      </c>
      <c r="P2826" s="2" t="n">
        <f aca="false">Lookups!$B$2*M2826+Lookups!$B$3*L2826</f>
        <v>0</v>
      </c>
      <c r="Q2826" s="2" t="str">
        <f aca="false">INDEX(Lookups!$E$2:$E$5,MATCH(P2826,Lookups!$D$2:$D$5,0))</f>
        <v>Low</v>
      </c>
    </row>
    <row r="2827" customFormat="false" ht="15" hidden="false" customHeight="false" outlineLevel="0" collapsed="false">
      <c r="A2827" s="3" t="n">
        <v>2826</v>
      </c>
      <c r="B2827" s="3" t="n">
        <f aca="false">Raw_Data!A2827</f>
        <v>57</v>
      </c>
      <c r="C2827" s="3" t="str">
        <f aca="false">SUBSTITUTE(Raw_Data!B2827,".","")</f>
        <v>blue-collar</v>
      </c>
      <c r="D2827" s="3" t="str">
        <f aca="false">Raw_Data!C2827</f>
        <v>married</v>
      </c>
      <c r="E2827" s="3" t="str">
        <f aca="false">Raw_Data!D2827</f>
        <v>primary</v>
      </c>
      <c r="F2827" s="3" t="str">
        <f aca="false">Raw_Data!E2827</f>
        <v>no</v>
      </c>
      <c r="G2827" s="3" t="n">
        <f aca="false">Raw_Data!F2827</f>
        <v>179</v>
      </c>
      <c r="H2827" s="3" t="str">
        <f aca="false">Raw_Data!G2827</f>
        <v>no</v>
      </c>
      <c r="I2827" s="3" t="str">
        <f aca="false">Raw_Data!H2827</f>
        <v>no</v>
      </c>
      <c r="J2827" s="2" t="n">
        <f aca="false">IF(F2827="yes",1,0)</f>
        <v>0</v>
      </c>
      <c r="K2827" s="2" t="n">
        <f aca="false">IF(H2827="yes",1,0)</f>
        <v>0</v>
      </c>
      <c r="L2827" s="2" t="n">
        <f aca="false">IF(I2827="yes",1,0)</f>
        <v>0</v>
      </c>
      <c r="M2827" s="2" t="n">
        <f aca="false">IF(G2827&lt;0,1,0)</f>
        <v>0</v>
      </c>
      <c r="N2827" s="2" t="str">
        <f aca="false">_xlfn.IFS(B2827&lt;30,"Under 30",B2827&lt;40,"30-39",B2827&lt;50,"40-49",B2827&lt;60,"50-59",TRUE(),"60+")</f>
        <v>50-59</v>
      </c>
      <c r="O2827" s="2" t="str">
        <f aca="false">_xlfn.IFS(G2827&lt;0,"1 Negative",G2827=0,"2 Zero",G2827&lt;=500,"3 1-500",G2827&lt;=2000,"4 501-2000",TRUE(),"5 Above 2000")</f>
        <v>3 1-500</v>
      </c>
      <c r="P2827" s="2" t="n">
        <f aca="false">Lookups!$B$2*M2827+Lookups!$B$3*L2827</f>
        <v>0</v>
      </c>
      <c r="Q2827" s="2" t="str">
        <f aca="false">INDEX(Lookups!$E$2:$E$5,MATCH(P2827,Lookups!$D$2:$D$5,0))</f>
        <v>Low</v>
      </c>
    </row>
    <row r="2828" customFormat="false" ht="15" hidden="false" customHeight="false" outlineLevel="0" collapsed="false">
      <c r="A2828" s="3" t="n">
        <v>2827</v>
      </c>
      <c r="B2828" s="3" t="n">
        <f aca="false">Raw_Data!A2828</f>
        <v>39</v>
      </c>
      <c r="C2828" s="3" t="str">
        <f aca="false">SUBSTITUTE(Raw_Data!B2828,".","")</f>
        <v>management</v>
      </c>
      <c r="D2828" s="3" t="str">
        <f aca="false">Raw_Data!C2828</f>
        <v>married</v>
      </c>
      <c r="E2828" s="3" t="str">
        <f aca="false">Raw_Data!D2828</f>
        <v>tertiary</v>
      </c>
      <c r="F2828" s="3" t="str">
        <f aca="false">Raw_Data!E2828</f>
        <v>no</v>
      </c>
      <c r="G2828" s="3" t="n">
        <f aca="false">Raw_Data!F2828</f>
        <v>763</v>
      </c>
      <c r="H2828" s="3" t="str">
        <f aca="false">Raw_Data!G2828</f>
        <v>yes</v>
      </c>
      <c r="I2828" s="3" t="str">
        <f aca="false">Raw_Data!H2828</f>
        <v>no</v>
      </c>
      <c r="J2828" s="2" t="n">
        <f aca="false">IF(F2828="yes",1,0)</f>
        <v>0</v>
      </c>
      <c r="K2828" s="2" t="n">
        <f aca="false">IF(H2828="yes",1,0)</f>
        <v>1</v>
      </c>
      <c r="L2828" s="2" t="n">
        <f aca="false">IF(I2828="yes",1,0)</f>
        <v>0</v>
      </c>
      <c r="M2828" s="2" t="n">
        <f aca="false">IF(G2828&lt;0,1,0)</f>
        <v>0</v>
      </c>
      <c r="N2828" s="2" t="str">
        <f aca="false">_xlfn.IFS(B2828&lt;30,"Under 30",B2828&lt;40,"30-39",B2828&lt;50,"40-49",B2828&lt;60,"50-59",TRUE(),"60+")</f>
        <v>30-39</v>
      </c>
      <c r="O2828" s="2" t="str">
        <f aca="false">_xlfn.IFS(G2828&lt;0,"1 Negative",G2828=0,"2 Zero",G2828&lt;=500,"3 1-500",G2828&lt;=2000,"4 501-2000",TRUE(),"5 Above 2000")</f>
        <v>4 501-2000</v>
      </c>
      <c r="P2828" s="2" t="n">
        <f aca="false">Lookups!$B$2*M2828+Lookups!$B$3*L2828</f>
        <v>0</v>
      </c>
      <c r="Q2828" s="2" t="str">
        <f aca="false">INDEX(Lookups!$E$2:$E$5,MATCH(P2828,Lookups!$D$2:$D$5,0))</f>
        <v>Low</v>
      </c>
    </row>
    <row r="2829" customFormat="false" ht="15" hidden="false" customHeight="false" outlineLevel="0" collapsed="false">
      <c r="A2829" s="3" t="n">
        <v>2828</v>
      </c>
      <c r="B2829" s="3" t="n">
        <f aca="false">Raw_Data!A2829</f>
        <v>49</v>
      </c>
      <c r="C2829" s="3" t="str">
        <f aca="false">SUBSTITUTE(Raw_Data!B2829,".","")</f>
        <v>services</v>
      </c>
      <c r="D2829" s="3" t="str">
        <f aca="false">Raw_Data!C2829</f>
        <v>married</v>
      </c>
      <c r="E2829" s="3" t="str">
        <f aca="false">Raw_Data!D2829</f>
        <v>secondary</v>
      </c>
      <c r="F2829" s="3" t="str">
        <f aca="false">Raw_Data!E2829</f>
        <v>no</v>
      </c>
      <c r="G2829" s="3" t="n">
        <f aca="false">Raw_Data!F2829</f>
        <v>320</v>
      </c>
      <c r="H2829" s="3" t="str">
        <f aca="false">Raw_Data!G2829</f>
        <v>no</v>
      </c>
      <c r="I2829" s="3" t="str">
        <f aca="false">Raw_Data!H2829</f>
        <v>no</v>
      </c>
      <c r="J2829" s="2" t="n">
        <f aca="false">IF(F2829="yes",1,0)</f>
        <v>0</v>
      </c>
      <c r="K2829" s="2" t="n">
        <f aca="false">IF(H2829="yes",1,0)</f>
        <v>0</v>
      </c>
      <c r="L2829" s="2" t="n">
        <f aca="false">IF(I2829="yes",1,0)</f>
        <v>0</v>
      </c>
      <c r="M2829" s="2" t="n">
        <f aca="false">IF(G2829&lt;0,1,0)</f>
        <v>0</v>
      </c>
      <c r="N2829" s="2" t="str">
        <f aca="false">_xlfn.IFS(B2829&lt;30,"Under 30",B2829&lt;40,"30-39",B2829&lt;50,"40-49",B2829&lt;60,"50-59",TRUE(),"60+")</f>
        <v>40-49</v>
      </c>
      <c r="O2829" s="2" t="str">
        <f aca="false">_xlfn.IFS(G2829&lt;0,"1 Negative",G2829=0,"2 Zero",G2829&lt;=500,"3 1-500",G2829&lt;=2000,"4 501-2000",TRUE(),"5 Above 2000")</f>
        <v>3 1-500</v>
      </c>
      <c r="P2829" s="2" t="n">
        <f aca="false">Lookups!$B$2*M2829+Lookups!$B$3*L2829</f>
        <v>0</v>
      </c>
      <c r="Q2829" s="2" t="str">
        <f aca="false">INDEX(Lookups!$E$2:$E$5,MATCH(P2829,Lookups!$D$2:$D$5,0))</f>
        <v>Low</v>
      </c>
    </row>
    <row r="2830" customFormat="false" ht="15" hidden="false" customHeight="false" outlineLevel="0" collapsed="false">
      <c r="A2830" s="3" t="n">
        <v>2829</v>
      </c>
      <c r="B2830" s="3" t="n">
        <f aca="false">Raw_Data!A2830</f>
        <v>38</v>
      </c>
      <c r="C2830" s="3" t="str">
        <f aca="false">SUBSTITUTE(Raw_Data!B2830,".","")</f>
        <v>technician</v>
      </c>
      <c r="D2830" s="3" t="str">
        <f aca="false">Raw_Data!C2830</f>
        <v>married</v>
      </c>
      <c r="E2830" s="3" t="str">
        <f aca="false">Raw_Data!D2830</f>
        <v>secondary</v>
      </c>
      <c r="F2830" s="3" t="str">
        <f aca="false">Raw_Data!E2830</f>
        <v>no</v>
      </c>
      <c r="G2830" s="3" t="n">
        <f aca="false">Raw_Data!F2830</f>
        <v>1960</v>
      </c>
      <c r="H2830" s="3" t="str">
        <f aca="false">Raw_Data!G2830</f>
        <v>yes</v>
      </c>
      <c r="I2830" s="3" t="str">
        <f aca="false">Raw_Data!H2830</f>
        <v>no</v>
      </c>
      <c r="J2830" s="2" t="n">
        <f aca="false">IF(F2830="yes",1,0)</f>
        <v>0</v>
      </c>
      <c r="K2830" s="2" t="n">
        <f aca="false">IF(H2830="yes",1,0)</f>
        <v>1</v>
      </c>
      <c r="L2830" s="2" t="n">
        <f aca="false">IF(I2830="yes",1,0)</f>
        <v>0</v>
      </c>
      <c r="M2830" s="2" t="n">
        <f aca="false">IF(G2830&lt;0,1,0)</f>
        <v>0</v>
      </c>
      <c r="N2830" s="2" t="str">
        <f aca="false">_xlfn.IFS(B2830&lt;30,"Under 30",B2830&lt;40,"30-39",B2830&lt;50,"40-49",B2830&lt;60,"50-59",TRUE(),"60+")</f>
        <v>30-39</v>
      </c>
      <c r="O2830" s="2" t="str">
        <f aca="false">_xlfn.IFS(G2830&lt;0,"1 Negative",G2830=0,"2 Zero",G2830&lt;=500,"3 1-500",G2830&lt;=2000,"4 501-2000",TRUE(),"5 Above 2000")</f>
        <v>4 501-2000</v>
      </c>
      <c r="P2830" s="2" t="n">
        <f aca="false">Lookups!$B$2*M2830+Lookups!$B$3*L2830</f>
        <v>0</v>
      </c>
      <c r="Q2830" s="2" t="str">
        <f aca="false">INDEX(Lookups!$E$2:$E$5,MATCH(P2830,Lookups!$D$2:$D$5,0))</f>
        <v>Low</v>
      </c>
    </row>
    <row r="2831" customFormat="false" ht="15" hidden="false" customHeight="false" outlineLevel="0" collapsed="false">
      <c r="A2831" s="3" t="n">
        <v>2830</v>
      </c>
      <c r="B2831" s="3" t="n">
        <f aca="false">Raw_Data!A2831</f>
        <v>27</v>
      </c>
      <c r="C2831" s="3" t="str">
        <f aca="false">SUBSTITUTE(Raw_Data!B2831,".","")</f>
        <v>blue-collar</v>
      </c>
      <c r="D2831" s="3" t="str">
        <f aca="false">Raw_Data!C2831</f>
        <v>married</v>
      </c>
      <c r="E2831" s="3" t="str">
        <f aca="false">Raw_Data!D2831</f>
        <v>secondary</v>
      </c>
      <c r="F2831" s="3" t="str">
        <f aca="false">Raw_Data!E2831</f>
        <v>no</v>
      </c>
      <c r="G2831" s="3" t="n">
        <f aca="false">Raw_Data!F2831</f>
        <v>818</v>
      </c>
      <c r="H2831" s="3" t="str">
        <f aca="false">Raw_Data!G2831</f>
        <v>yes</v>
      </c>
      <c r="I2831" s="3" t="str">
        <f aca="false">Raw_Data!H2831</f>
        <v>no</v>
      </c>
      <c r="J2831" s="2" t="n">
        <f aca="false">IF(F2831="yes",1,0)</f>
        <v>0</v>
      </c>
      <c r="K2831" s="2" t="n">
        <f aca="false">IF(H2831="yes",1,0)</f>
        <v>1</v>
      </c>
      <c r="L2831" s="2" t="n">
        <f aca="false">IF(I2831="yes",1,0)</f>
        <v>0</v>
      </c>
      <c r="M2831" s="2" t="n">
        <f aca="false">IF(G2831&lt;0,1,0)</f>
        <v>0</v>
      </c>
      <c r="N2831" s="2" t="str">
        <f aca="false">_xlfn.IFS(B2831&lt;30,"Under 30",B2831&lt;40,"30-39",B2831&lt;50,"40-49",B2831&lt;60,"50-59",TRUE(),"60+")</f>
        <v>Under 30</v>
      </c>
      <c r="O2831" s="2" t="str">
        <f aca="false">_xlfn.IFS(G2831&lt;0,"1 Negative",G2831=0,"2 Zero",G2831&lt;=500,"3 1-500",G2831&lt;=2000,"4 501-2000",TRUE(),"5 Above 2000")</f>
        <v>4 501-2000</v>
      </c>
      <c r="P2831" s="2" t="n">
        <f aca="false">Lookups!$B$2*M2831+Lookups!$B$3*L2831</f>
        <v>0</v>
      </c>
      <c r="Q2831" s="2" t="str">
        <f aca="false">INDEX(Lookups!$E$2:$E$5,MATCH(P2831,Lookups!$D$2:$D$5,0))</f>
        <v>Low</v>
      </c>
    </row>
    <row r="2832" customFormat="false" ht="15" hidden="false" customHeight="false" outlineLevel="0" collapsed="false">
      <c r="A2832" s="3" t="n">
        <v>2831</v>
      </c>
      <c r="B2832" s="3" t="n">
        <f aca="false">Raw_Data!A2832</f>
        <v>30</v>
      </c>
      <c r="C2832" s="3" t="str">
        <f aca="false">SUBSTITUTE(Raw_Data!B2832,".","")</f>
        <v>admin</v>
      </c>
      <c r="D2832" s="3" t="str">
        <f aca="false">Raw_Data!C2832</f>
        <v>married</v>
      </c>
      <c r="E2832" s="3" t="str">
        <f aca="false">Raw_Data!D2832</f>
        <v>secondary</v>
      </c>
      <c r="F2832" s="3" t="str">
        <f aca="false">Raw_Data!E2832</f>
        <v>no</v>
      </c>
      <c r="G2832" s="3" t="n">
        <f aca="false">Raw_Data!F2832</f>
        <v>2678</v>
      </c>
      <c r="H2832" s="3" t="str">
        <f aca="false">Raw_Data!G2832</f>
        <v>yes</v>
      </c>
      <c r="I2832" s="3" t="str">
        <f aca="false">Raw_Data!H2832</f>
        <v>no</v>
      </c>
      <c r="J2832" s="2" t="n">
        <f aca="false">IF(F2832="yes",1,0)</f>
        <v>0</v>
      </c>
      <c r="K2832" s="2" t="n">
        <f aca="false">IF(H2832="yes",1,0)</f>
        <v>1</v>
      </c>
      <c r="L2832" s="2" t="n">
        <f aca="false">IF(I2832="yes",1,0)</f>
        <v>0</v>
      </c>
      <c r="M2832" s="2" t="n">
        <f aca="false">IF(G2832&lt;0,1,0)</f>
        <v>0</v>
      </c>
      <c r="N2832" s="2" t="str">
        <f aca="false">_xlfn.IFS(B2832&lt;30,"Under 30",B2832&lt;40,"30-39",B2832&lt;50,"40-49",B2832&lt;60,"50-59",TRUE(),"60+")</f>
        <v>30-39</v>
      </c>
      <c r="O2832" s="2" t="str">
        <f aca="false">_xlfn.IFS(G2832&lt;0,"1 Negative",G2832=0,"2 Zero",G2832&lt;=500,"3 1-500",G2832&lt;=2000,"4 501-2000",TRUE(),"5 Above 2000")</f>
        <v>5 Above 2000</v>
      </c>
      <c r="P2832" s="2" t="n">
        <f aca="false">Lookups!$B$2*M2832+Lookups!$B$3*L2832</f>
        <v>0</v>
      </c>
      <c r="Q2832" s="2" t="str">
        <f aca="false">INDEX(Lookups!$E$2:$E$5,MATCH(P2832,Lookups!$D$2:$D$5,0))</f>
        <v>Low</v>
      </c>
    </row>
    <row r="2833" customFormat="false" ht="15" hidden="false" customHeight="false" outlineLevel="0" collapsed="false">
      <c r="A2833" s="3" t="n">
        <v>2832</v>
      </c>
      <c r="B2833" s="3" t="n">
        <f aca="false">Raw_Data!A2833</f>
        <v>38</v>
      </c>
      <c r="C2833" s="3" t="str">
        <f aca="false">SUBSTITUTE(Raw_Data!B2833,".","")</f>
        <v>admin</v>
      </c>
      <c r="D2833" s="3" t="str">
        <f aca="false">Raw_Data!C2833</f>
        <v>married</v>
      </c>
      <c r="E2833" s="3" t="str">
        <f aca="false">Raw_Data!D2833</f>
        <v>tertiary</v>
      </c>
      <c r="F2833" s="3" t="str">
        <f aca="false">Raw_Data!E2833</f>
        <v>no</v>
      </c>
      <c r="G2833" s="3" t="n">
        <f aca="false">Raw_Data!F2833</f>
        <v>1980</v>
      </c>
      <c r="H2833" s="3" t="str">
        <f aca="false">Raw_Data!G2833</f>
        <v>no</v>
      </c>
      <c r="I2833" s="3" t="str">
        <f aca="false">Raw_Data!H2833</f>
        <v>no</v>
      </c>
      <c r="J2833" s="2" t="n">
        <f aca="false">IF(F2833="yes",1,0)</f>
        <v>0</v>
      </c>
      <c r="K2833" s="2" t="n">
        <f aca="false">IF(H2833="yes",1,0)</f>
        <v>0</v>
      </c>
      <c r="L2833" s="2" t="n">
        <f aca="false">IF(I2833="yes",1,0)</f>
        <v>0</v>
      </c>
      <c r="M2833" s="2" t="n">
        <f aca="false">IF(G2833&lt;0,1,0)</f>
        <v>0</v>
      </c>
      <c r="N2833" s="2" t="str">
        <f aca="false">_xlfn.IFS(B2833&lt;30,"Under 30",B2833&lt;40,"30-39",B2833&lt;50,"40-49",B2833&lt;60,"50-59",TRUE(),"60+")</f>
        <v>30-39</v>
      </c>
      <c r="O2833" s="2" t="str">
        <f aca="false">_xlfn.IFS(G2833&lt;0,"1 Negative",G2833=0,"2 Zero",G2833&lt;=500,"3 1-500",G2833&lt;=2000,"4 501-2000",TRUE(),"5 Above 2000")</f>
        <v>4 501-2000</v>
      </c>
      <c r="P2833" s="2" t="n">
        <f aca="false">Lookups!$B$2*M2833+Lookups!$B$3*L2833</f>
        <v>0</v>
      </c>
      <c r="Q2833" s="2" t="str">
        <f aca="false">INDEX(Lookups!$E$2:$E$5,MATCH(P2833,Lookups!$D$2:$D$5,0))</f>
        <v>Low</v>
      </c>
    </row>
    <row r="2834" customFormat="false" ht="15" hidden="false" customHeight="false" outlineLevel="0" collapsed="false">
      <c r="A2834" s="3" t="n">
        <v>2833</v>
      </c>
      <c r="B2834" s="3" t="n">
        <f aca="false">Raw_Data!A2834</f>
        <v>36</v>
      </c>
      <c r="C2834" s="3" t="str">
        <f aca="false">SUBSTITUTE(Raw_Data!B2834,".","")</f>
        <v>management</v>
      </c>
      <c r="D2834" s="3" t="str">
        <f aca="false">Raw_Data!C2834</f>
        <v>married</v>
      </c>
      <c r="E2834" s="3" t="str">
        <f aca="false">Raw_Data!D2834</f>
        <v>tertiary</v>
      </c>
      <c r="F2834" s="3" t="str">
        <f aca="false">Raw_Data!E2834</f>
        <v>no</v>
      </c>
      <c r="G2834" s="3" t="n">
        <f aca="false">Raw_Data!F2834</f>
        <v>1582</v>
      </c>
      <c r="H2834" s="3" t="str">
        <f aca="false">Raw_Data!G2834</f>
        <v>no</v>
      </c>
      <c r="I2834" s="3" t="str">
        <f aca="false">Raw_Data!H2834</f>
        <v>no</v>
      </c>
      <c r="J2834" s="2" t="n">
        <f aca="false">IF(F2834="yes",1,0)</f>
        <v>0</v>
      </c>
      <c r="K2834" s="2" t="n">
        <f aca="false">IF(H2834="yes",1,0)</f>
        <v>0</v>
      </c>
      <c r="L2834" s="2" t="n">
        <f aca="false">IF(I2834="yes",1,0)</f>
        <v>0</v>
      </c>
      <c r="M2834" s="2" t="n">
        <f aca="false">IF(G2834&lt;0,1,0)</f>
        <v>0</v>
      </c>
      <c r="N2834" s="2" t="str">
        <f aca="false">_xlfn.IFS(B2834&lt;30,"Under 30",B2834&lt;40,"30-39",B2834&lt;50,"40-49",B2834&lt;60,"50-59",TRUE(),"60+")</f>
        <v>30-39</v>
      </c>
      <c r="O2834" s="2" t="str">
        <f aca="false">_xlfn.IFS(G2834&lt;0,"1 Negative",G2834=0,"2 Zero",G2834&lt;=500,"3 1-500",G2834&lt;=2000,"4 501-2000",TRUE(),"5 Above 2000")</f>
        <v>4 501-2000</v>
      </c>
      <c r="P2834" s="2" t="n">
        <f aca="false">Lookups!$B$2*M2834+Lookups!$B$3*L2834</f>
        <v>0</v>
      </c>
      <c r="Q2834" s="2" t="str">
        <f aca="false">INDEX(Lookups!$E$2:$E$5,MATCH(P2834,Lookups!$D$2:$D$5,0))</f>
        <v>Low</v>
      </c>
    </row>
    <row r="2835" customFormat="false" ht="15" hidden="false" customHeight="false" outlineLevel="0" collapsed="false">
      <c r="A2835" s="3" t="n">
        <v>2834</v>
      </c>
      <c r="B2835" s="3" t="n">
        <f aca="false">Raw_Data!A2835</f>
        <v>38</v>
      </c>
      <c r="C2835" s="3" t="str">
        <f aca="false">SUBSTITUTE(Raw_Data!B2835,".","")</f>
        <v>retired</v>
      </c>
      <c r="D2835" s="3" t="str">
        <f aca="false">Raw_Data!C2835</f>
        <v>single</v>
      </c>
      <c r="E2835" s="3" t="str">
        <f aca="false">Raw_Data!D2835</f>
        <v>unknown</v>
      </c>
      <c r="F2835" s="3" t="str">
        <f aca="false">Raw_Data!E2835</f>
        <v>no</v>
      </c>
      <c r="G2835" s="3" t="n">
        <f aca="false">Raw_Data!F2835</f>
        <v>62</v>
      </c>
      <c r="H2835" s="3" t="str">
        <f aca="false">Raw_Data!G2835</f>
        <v>no</v>
      </c>
      <c r="I2835" s="3" t="str">
        <f aca="false">Raw_Data!H2835</f>
        <v>no</v>
      </c>
      <c r="J2835" s="2" t="n">
        <f aca="false">IF(F2835="yes",1,0)</f>
        <v>0</v>
      </c>
      <c r="K2835" s="2" t="n">
        <f aca="false">IF(H2835="yes",1,0)</f>
        <v>0</v>
      </c>
      <c r="L2835" s="2" t="n">
        <f aca="false">IF(I2835="yes",1,0)</f>
        <v>0</v>
      </c>
      <c r="M2835" s="2" t="n">
        <f aca="false">IF(G2835&lt;0,1,0)</f>
        <v>0</v>
      </c>
      <c r="N2835" s="2" t="str">
        <f aca="false">_xlfn.IFS(B2835&lt;30,"Under 30",B2835&lt;40,"30-39",B2835&lt;50,"40-49",B2835&lt;60,"50-59",TRUE(),"60+")</f>
        <v>30-39</v>
      </c>
      <c r="O2835" s="2" t="str">
        <f aca="false">_xlfn.IFS(G2835&lt;0,"1 Negative",G2835=0,"2 Zero",G2835&lt;=500,"3 1-500",G2835&lt;=2000,"4 501-2000",TRUE(),"5 Above 2000")</f>
        <v>3 1-500</v>
      </c>
      <c r="P2835" s="2" t="n">
        <f aca="false">Lookups!$B$2*M2835+Lookups!$B$3*L2835</f>
        <v>0</v>
      </c>
      <c r="Q2835" s="2" t="str">
        <f aca="false">INDEX(Lookups!$E$2:$E$5,MATCH(P2835,Lookups!$D$2:$D$5,0))</f>
        <v>Low</v>
      </c>
    </row>
    <row r="2836" customFormat="false" ht="15" hidden="false" customHeight="false" outlineLevel="0" collapsed="false">
      <c r="A2836" s="3" t="n">
        <v>2835</v>
      </c>
      <c r="B2836" s="3" t="n">
        <f aca="false">Raw_Data!A2836</f>
        <v>59</v>
      </c>
      <c r="C2836" s="3" t="str">
        <f aca="false">SUBSTITUTE(Raw_Data!B2836,".","")</f>
        <v>housemaid</v>
      </c>
      <c r="D2836" s="3" t="str">
        <f aca="false">Raw_Data!C2836</f>
        <v>married</v>
      </c>
      <c r="E2836" s="3" t="str">
        <f aca="false">Raw_Data!D2836</f>
        <v>primary</v>
      </c>
      <c r="F2836" s="3" t="str">
        <f aca="false">Raw_Data!E2836</f>
        <v>no</v>
      </c>
      <c r="G2836" s="3" t="n">
        <f aca="false">Raw_Data!F2836</f>
        <v>235</v>
      </c>
      <c r="H2836" s="3" t="str">
        <f aca="false">Raw_Data!G2836</f>
        <v>no</v>
      </c>
      <c r="I2836" s="3" t="str">
        <f aca="false">Raw_Data!H2836</f>
        <v>no</v>
      </c>
      <c r="J2836" s="2" t="n">
        <f aca="false">IF(F2836="yes",1,0)</f>
        <v>0</v>
      </c>
      <c r="K2836" s="2" t="n">
        <f aca="false">IF(H2836="yes",1,0)</f>
        <v>0</v>
      </c>
      <c r="L2836" s="2" t="n">
        <f aca="false">IF(I2836="yes",1,0)</f>
        <v>0</v>
      </c>
      <c r="M2836" s="2" t="n">
        <f aca="false">IF(G2836&lt;0,1,0)</f>
        <v>0</v>
      </c>
      <c r="N2836" s="2" t="str">
        <f aca="false">_xlfn.IFS(B2836&lt;30,"Under 30",B2836&lt;40,"30-39",B2836&lt;50,"40-49",B2836&lt;60,"50-59",TRUE(),"60+")</f>
        <v>50-59</v>
      </c>
      <c r="O2836" s="2" t="str">
        <f aca="false">_xlfn.IFS(G2836&lt;0,"1 Negative",G2836=0,"2 Zero",G2836&lt;=500,"3 1-500",G2836&lt;=2000,"4 501-2000",TRUE(),"5 Above 2000")</f>
        <v>3 1-500</v>
      </c>
      <c r="P2836" s="2" t="n">
        <f aca="false">Lookups!$B$2*M2836+Lookups!$B$3*L2836</f>
        <v>0</v>
      </c>
      <c r="Q2836" s="2" t="str">
        <f aca="false">INDEX(Lookups!$E$2:$E$5,MATCH(P2836,Lookups!$D$2:$D$5,0))</f>
        <v>Low</v>
      </c>
    </row>
    <row r="2837" customFormat="false" ht="15" hidden="false" customHeight="false" outlineLevel="0" collapsed="false">
      <c r="A2837" s="3" t="n">
        <v>2836</v>
      </c>
      <c r="B2837" s="3" t="n">
        <f aca="false">Raw_Data!A2837</f>
        <v>37</v>
      </c>
      <c r="C2837" s="3" t="str">
        <f aca="false">SUBSTITUTE(Raw_Data!B2837,".","")</f>
        <v>management</v>
      </c>
      <c r="D2837" s="3" t="str">
        <f aca="false">Raw_Data!C2837</f>
        <v>married</v>
      </c>
      <c r="E2837" s="3" t="str">
        <f aca="false">Raw_Data!D2837</f>
        <v>tertiary</v>
      </c>
      <c r="F2837" s="3" t="str">
        <f aca="false">Raw_Data!E2837</f>
        <v>no</v>
      </c>
      <c r="G2837" s="3" t="n">
        <f aca="false">Raw_Data!F2837</f>
        <v>489</v>
      </c>
      <c r="H2837" s="3" t="str">
        <f aca="false">Raw_Data!G2837</f>
        <v>yes</v>
      </c>
      <c r="I2837" s="3" t="str">
        <f aca="false">Raw_Data!H2837</f>
        <v>no</v>
      </c>
      <c r="J2837" s="2" t="n">
        <f aca="false">IF(F2837="yes",1,0)</f>
        <v>0</v>
      </c>
      <c r="K2837" s="2" t="n">
        <f aca="false">IF(H2837="yes",1,0)</f>
        <v>1</v>
      </c>
      <c r="L2837" s="2" t="n">
        <f aca="false">IF(I2837="yes",1,0)</f>
        <v>0</v>
      </c>
      <c r="M2837" s="2" t="n">
        <f aca="false">IF(G2837&lt;0,1,0)</f>
        <v>0</v>
      </c>
      <c r="N2837" s="2" t="str">
        <f aca="false">_xlfn.IFS(B2837&lt;30,"Under 30",B2837&lt;40,"30-39",B2837&lt;50,"40-49",B2837&lt;60,"50-59",TRUE(),"60+")</f>
        <v>30-39</v>
      </c>
      <c r="O2837" s="2" t="str">
        <f aca="false">_xlfn.IFS(G2837&lt;0,"1 Negative",G2837=0,"2 Zero",G2837&lt;=500,"3 1-500",G2837&lt;=2000,"4 501-2000",TRUE(),"5 Above 2000")</f>
        <v>3 1-500</v>
      </c>
      <c r="P2837" s="2" t="n">
        <f aca="false">Lookups!$B$2*M2837+Lookups!$B$3*L2837</f>
        <v>0</v>
      </c>
      <c r="Q2837" s="2" t="str">
        <f aca="false">INDEX(Lookups!$E$2:$E$5,MATCH(P2837,Lookups!$D$2:$D$5,0))</f>
        <v>Low</v>
      </c>
    </row>
    <row r="2838" customFormat="false" ht="15" hidden="false" customHeight="false" outlineLevel="0" collapsed="false">
      <c r="A2838" s="3" t="n">
        <v>2837</v>
      </c>
      <c r="B2838" s="3" t="n">
        <f aca="false">Raw_Data!A2838</f>
        <v>29</v>
      </c>
      <c r="C2838" s="3" t="str">
        <f aca="false">SUBSTITUTE(Raw_Data!B2838,".","")</f>
        <v>self-employed</v>
      </c>
      <c r="D2838" s="3" t="str">
        <f aca="false">Raw_Data!C2838</f>
        <v>married</v>
      </c>
      <c r="E2838" s="3" t="str">
        <f aca="false">Raw_Data!D2838</f>
        <v>tertiary</v>
      </c>
      <c r="F2838" s="3" t="str">
        <f aca="false">Raw_Data!E2838</f>
        <v>no</v>
      </c>
      <c r="G2838" s="3" t="n">
        <f aca="false">Raw_Data!F2838</f>
        <v>3931</v>
      </c>
      <c r="H2838" s="3" t="str">
        <f aca="false">Raw_Data!G2838</f>
        <v>yes</v>
      </c>
      <c r="I2838" s="3" t="str">
        <f aca="false">Raw_Data!H2838</f>
        <v>no</v>
      </c>
      <c r="J2838" s="2" t="n">
        <f aca="false">IF(F2838="yes",1,0)</f>
        <v>0</v>
      </c>
      <c r="K2838" s="2" t="n">
        <f aca="false">IF(H2838="yes",1,0)</f>
        <v>1</v>
      </c>
      <c r="L2838" s="2" t="n">
        <f aca="false">IF(I2838="yes",1,0)</f>
        <v>0</v>
      </c>
      <c r="M2838" s="2" t="n">
        <f aca="false">IF(G2838&lt;0,1,0)</f>
        <v>0</v>
      </c>
      <c r="N2838" s="2" t="str">
        <f aca="false">_xlfn.IFS(B2838&lt;30,"Under 30",B2838&lt;40,"30-39",B2838&lt;50,"40-49",B2838&lt;60,"50-59",TRUE(),"60+")</f>
        <v>Under 30</v>
      </c>
      <c r="O2838" s="2" t="str">
        <f aca="false">_xlfn.IFS(G2838&lt;0,"1 Negative",G2838=0,"2 Zero",G2838&lt;=500,"3 1-500",G2838&lt;=2000,"4 501-2000",TRUE(),"5 Above 2000")</f>
        <v>5 Above 2000</v>
      </c>
      <c r="P2838" s="2" t="n">
        <f aca="false">Lookups!$B$2*M2838+Lookups!$B$3*L2838</f>
        <v>0</v>
      </c>
      <c r="Q2838" s="2" t="str">
        <f aca="false">INDEX(Lookups!$E$2:$E$5,MATCH(P2838,Lookups!$D$2:$D$5,0))</f>
        <v>Low</v>
      </c>
    </row>
    <row r="2839" customFormat="false" ht="15" hidden="false" customHeight="false" outlineLevel="0" collapsed="false">
      <c r="A2839" s="3" t="n">
        <v>2838</v>
      </c>
      <c r="B2839" s="3" t="n">
        <f aca="false">Raw_Data!A2839</f>
        <v>43</v>
      </c>
      <c r="C2839" s="3" t="str">
        <f aca="false">SUBSTITUTE(Raw_Data!B2839,".","")</f>
        <v>blue-collar</v>
      </c>
      <c r="D2839" s="3" t="str">
        <f aca="false">Raw_Data!C2839</f>
        <v>married</v>
      </c>
      <c r="E2839" s="3" t="str">
        <f aca="false">Raw_Data!D2839</f>
        <v>secondary</v>
      </c>
      <c r="F2839" s="3" t="str">
        <f aca="false">Raw_Data!E2839</f>
        <v>no</v>
      </c>
      <c r="G2839" s="3" t="n">
        <f aca="false">Raw_Data!F2839</f>
        <v>699</v>
      </c>
      <c r="H2839" s="3" t="str">
        <f aca="false">Raw_Data!G2839</f>
        <v>yes</v>
      </c>
      <c r="I2839" s="3" t="str">
        <f aca="false">Raw_Data!H2839</f>
        <v>yes</v>
      </c>
      <c r="J2839" s="2" t="n">
        <f aca="false">IF(F2839="yes",1,0)</f>
        <v>0</v>
      </c>
      <c r="K2839" s="2" t="n">
        <f aca="false">IF(H2839="yes",1,0)</f>
        <v>1</v>
      </c>
      <c r="L2839" s="2" t="n">
        <f aca="false">IF(I2839="yes",1,0)</f>
        <v>1</v>
      </c>
      <c r="M2839" s="2" t="n">
        <f aca="false">IF(G2839&lt;0,1,0)</f>
        <v>0</v>
      </c>
      <c r="N2839" s="2" t="str">
        <f aca="false">_xlfn.IFS(B2839&lt;30,"Under 30",B2839&lt;40,"30-39",B2839&lt;50,"40-49",B2839&lt;60,"50-59",TRUE(),"60+")</f>
        <v>40-49</v>
      </c>
      <c r="O2839" s="2" t="str">
        <f aca="false">_xlfn.IFS(G2839&lt;0,"1 Negative",G2839=0,"2 Zero",G2839&lt;=500,"3 1-500",G2839&lt;=2000,"4 501-2000",TRUE(),"5 Above 2000")</f>
        <v>4 501-2000</v>
      </c>
      <c r="P2839" s="2" t="n">
        <f aca="false">Lookups!$B$2*M2839+Lookups!$B$3*L2839</f>
        <v>1</v>
      </c>
      <c r="Q2839" s="2" t="str">
        <f aca="false">INDEX(Lookups!$E$2:$E$5,MATCH(P2839,Lookups!$D$2:$D$5,0))</f>
        <v>Medium</v>
      </c>
    </row>
    <row r="2840" customFormat="false" ht="15" hidden="false" customHeight="false" outlineLevel="0" collapsed="false">
      <c r="A2840" s="3" t="n">
        <v>2839</v>
      </c>
      <c r="B2840" s="3" t="n">
        <f aca="false">Raw_Data!A2840</f>
        <v>33</v>
      </c>
      <c r="C2840" s="3" t="str">
        <f aca="false">SUBSTITUTE(Raw_Data!B2840,".","")</f>
        <v>technician</v>
      </c>
      <c r="D2840" s="3" t="str">
        <f aca="false">Raw_Data!C2840</f>
        <v>married</v>
      </c>
      <c r="E2840" s="3" t="str">
        <f aca="false">Raw_Data!D2840</f>
        <v>secondary</v>
      </c>
      <c r="F2840" s="3" t="str">
        <f aca="false">Raw_Data!E2840</f>
        <v>no</v>
      </c>
      <c r="G2840" s="3" t="n">
        <f aca="false">Raw_Data!F2840</f>
        <v>58</v>
      </c>
      <c r="H2840" s="3" t="str">
        <f aca="false">Raw_Data!G2840</f>
        <v>yes</v>
      </c>
      <c r="I2840" s="3" t="str">
        <f aca="false">Raw_Data!H2840</f>
        <v>no</v>
      </c>
      <c r="J2840" s="2" t="n">
        <f aca="false">IF(F2840="yes",1,0)</f>
        <v>0</v>
      </c>
      <c r="K2840" s="2" t="n">
        <f aca="false">IF(H2840="yes",1,0)</f>
        <v>1</v>
      </c>
      <c r="L2840" s="2" t="n">
        <f aca="false">IF(I2840="yes",1,0)</f>
        <v>0</v>
      </c>
      <c r="M2840" s="2" t="n">
        <f aca="false">IF(G2840&lt;0,1,0)</f>
        <v>0</v>
      </c>
      <c r="N2840" s="2" t="str">
        <f aca="false">_xlfn.IFS(B2840&lt;30,"Under 30",B2840&lt;40,"30-39",B2840&lt;50,"40-49",B2840&lt;60,"50-59",TRUE(),"60+")</f>
        <v>30-39</v>
      </c>
      <c r="O2840" s="2" t="str">
        <f aca="false">_xlfn.IFS(G2840&lt;0,"1 Negative",G2840=0,"2 Zero",G2840&lt;=500,"3 1-500",G2840&lt;=2000,"4 501-2000",TRUE(),"5 Above 2000")</f>
        <v>3 1-500</v>
      </c>
      <c r="P2840" s="2" t="n">
        <f aca="false">Lookups!$B$2*M2840+Lookups!$B$3*L2840</f>
        <v>0</v>
      </c>
      <c r="Q2840" s="2" t="str">
        <f aca="false">INDEX(Lookups!$E$2:$E$5,MATCH(P2840,Lookups!$D$2:$D$5,0))</f>
        <v>Low</v>
      </c>
    </row>
    <row r="2841" customFormat="false" ht="15" hidden="false" customHeight="false" outlineLevel="0" collapsed="false">
      <c r="A2841" s="3" t="n">
        <v>2840</v>
      </c>
      <c r="B2841" s="3" t="n">
        <f aca="false">Raw_Data!A2841</f>
        <v>54</v>
      </c>
      <c r="C2841" s="3" t="str">
        <f aca="false">SUBSTITUTE(Raw_Data!B2841,".","")</f>
        <v>housemaid</v>
      </c>
      <c r="D2841" s="3" t="str">
        <f aca="false">Raw_Data!C2841</f>
        <v>divorced</v>
      </c>
      <c r="E2841" s="3" t="str">
        <f aca="false">Raw_Data!D2841</f>
        <v>secondary</v>
      </c>
      <c r="F2841" s="3" t="str">
        <f aca="false">Raw_Data!E2841</f>
        <v>no</v>
      </c>
      <c r="G2841" s="3" t="n">
        <f aca="false">Raw_Data!F2841</f>
        <v>1327</v>
      </c>
      <c r="H2841" s="3" t="str">
        <f aca="false">Raw_Data!G2841</f>
        <v>no</v>
      </c>
      <c r="I2841" s="3" t="str">
        <f aca="false">Raw_Data!H2841</f>
        <v>no</v>
      </c>
      <c r="J2841" s="2" t="n">
        <f aca="false">IF(F2841="yes",1,0)</f>
        <v>0</v>
      </c>
      <c r="K2841" s="2" t="n">
        <f aca="false">IF(H2841="yes",1,0)</f>
        <v>0</v>
      </c>
      <c r="L2841" s="2" t="n">
        <f aca="false">IF(I2841="yes",1,0)</f>
        <v>0</v>
      </c>
      <c r="M2841" s="2" t="n">
        <f aca="false">IF(G2841&lt;0,1,0)</f>
        <v>0</v>
      </c>
      <c r="N2841" s="2" t="str">
        <f aca="false">_xlfn.IFS(B2841&lt;30,"Under 30",B2841&lt;40,"30-39",B2841&lt;50,"40-49",B2841&lt;60,"50-59",TRUE(),"60+")</f>
        <v>50-59</v>
      </c>
      <c r="O2841" s="2" t="str">
        <f aca="false">_xlfn.IFS(G2841&lt;0,"1 Negative",G2841=0,"2 Zero",G2841&lt;=500,"3 1-500",G2841&lt;=2000,"4 501-2000",TRUE(),"5 Above 2000")</f>
        <v>4 501-2000</v>
      </c>
      <c r="P2841" s="2" t="n">
        <f aca="false">Lookups!$B$2*M2841+Lookups!$B$3*L2841</f>
        <v>0</v>
      </c>
      <c r="Q2841" s="2" t="str">
        <f aca="false">INDEX(Lookups!$E$2:$E$5,MATCH(P2841,Lookups!$D$2:$D$5,0))</f>
        <v>Low</v>
      </c>
    </row>
    <row r="2842" customFormat="false" ht="15" hidden="false" customHeight="false" outlineLevel="0" collapsed="false">
      <c r="A2842" s="3" t="n">
        <v>2841</v>
      </c>
      <c r="B2842" s="3" t="n">
        <f aca="false">Raw_Data!A2842</f>
        <v>55</v>
      </c>
      <c r="C2842" s="3" t="str">
        <f aca="false">SUBSTITUTE(Raw_Data!B2842,".","")</f>
        <v>services</v>
      </c>
      <c r="D2842" s="3" t="str">
        <f aca="false">Raw_Data!C2842</f>
        <v>married</v>
      </c>
      <c r="E2842" s="3" t="str">
        <f aca="false">Raw_Data!D2842</f>
        <v>secondary</v>
      </c>
      <c r="F2842" s="3" t="str">
        <f aca="false">Raw_Data!E2842</f>
        <v>no</v>
      </c>
      <c r="G2842" s="3" t="n">
        <f aca="false">Raw_Data!F2842</f>
        <v>557</v>
      </c>
      <c r="H2842" s="3" t="str">
        <f aca="false">Raw_Data!G2842</f>
        <v>no</v>
      </c>
      <c r="I2842" s="3" t="str">
        <f aca="false">Raw_Data!H2842</f>
        <v>no</v>
      </c>
      <c r="J2842" s="2" t="n">
        <f aca="false">IF(F2842="yes",1,0)</f>
        <v>0</v>
      </c>
      <c r="K2842" s="2" t="n">
        <f aca="false">IF(H2842="yes",1,0)</f>
        <v>0</v>
      </c>
      <c r="L2842" s="2" t="n">
        <f aca="false">IF(I2842="yes",1,0)</f>
        <v>0</v>
      </c>
      <c r="M2842" s="2" t="n">
        <f aca="false">IF(G2842&lt;0,1,0)</f>
        <v>0</v>
      </c>
      <c r="N2842" s="2" t="str">
        <f aca="false">_xlfn.IFS(B2842&lt;30,"Under 30",B2842&lt;40,"30-39",B2842&lt;50,"40-49",B2842&lt;60,"50-59",TRUE(),"60+")</f>
        <v>50-59</v>
      </c>
      <c r="O2842" s="2" t="str">
        <f aca="false">_xlfn.IFS(G2842&lt;0,"1 Negative",G2842=0,"2 Zero",G2842&lt;=500,"3 1-500",G2842&lt;=2000,"4 501-2000",TRUE(),"5 Above 2000")</f>
        <v>4 501-2000</v>
      </c>
      <c r="P2842" s="2" t="n">
        <f aca="false">Lookups!$B$2*M2842+Lookups!$B$3*L2842</f>
        <v>0</v>
      </c>
      <c r="Q2842" s="2" t="str">
        <f aca="false">INDEX(Lookups!$E$2:$E$5,MATCH(P2842,Lookups!$D$2:$D$5,0))</f>
        <v>Low</v>
      </c>
    </row>
    <row r="2843" customFormat="false" ht="15" hidden="false" customHeight="false" outlineLevel="0" collapsed="false">
      <c r="A2843" s="3" t="n">
        <v>2842</v>
      </c>
      <c r="B2843" s="3" t="n">
        <f aca="false">Raw_Data!A2843</f>
        <v>32</v>
      </c>
      <c r="C2843" s="3" t="str">
        <f aca="false">SUBSTITUTE(Raw_Data!B2843,".","")</f>
        <v>technician</v>
      </c>
      <c r="D2843" s="3" t="str">
        <f aca="false">Raw_Data!C2843</f>
        <v>single</v>
      </c>
      <c r="E2843" s="3" t="str">
        <f aca="false">Raw_Data!D2843</f>
        <v>tertiary</v>
      </c>
      <c r="F2843" s="3" t="str">
        <f aca="false">Raw_Data!E2843</f>
        <v>no</v>
      </c>
      <c r="G2843" s="3" t="n">
        <f aca="false">Raw_Data!F2843</f>
        <v>741</v>
      </c>
      <c r="H2843" s="3" t="str">
        <f aca="false">Raw_Data!G2843</f>
        <v>yes</v>
      </c>
      <c r="I2843" s="3" t="str">
        <f aca="false">Raw_Data!H2843</f>
        <v>no</v>
      </c>
      <c r="J2843" s="2" t="n">
        <f aca="false">IF(F2843="yes",1,0)</f>
        <v>0</v>
      </c>
      <c r="K2843" s="2" t="n">
        <f aca="false">IF(H2843="yes",1,0)</f>
        <v>1</v>
      </c>
      <c r="L2843" s="2" t="n">
        <f aca="false">IF(I2843="yes",1,0)</f>
        <v>0</v>
      </c>
      <c r="M2843" s="2" t="n">
        <f aca="false">IF(G2843&lt;0,1,0)</f>
        <v>0</v>
      </c>
      <c r="N2843" s="2" t="str">
        <f aca="false">_xlfn.IFS(B2843&lt;30,"Under 30",B2843&lt;40,"30-39",B2843&lt;50,"40-49",B2843&lt;60,"50-59",TRUE(),"60+")</f>
        <v>30-39</v>
      </c>
      <c r="O2843" s="2" t="str">
        <f aca="false">_xlfn.IFS(G2843&lt;0,"1 Negative",G2843=0,"2 Zero",G2843&lt;=500,"3 1-500",G2843&lt;=2000,"4 501-2000",TRUE(),"5 Above 2000")</f>
        <v>4 501-2000</v>
      </c>
      <c r="P2843" s="2" t="n">
        <f aca="false">Lookups!$B$2*M2843+Lookups!$B$3*L2843</f>
        <v>0</v>
      </c>
      <c r="Q2843" s="2" t="str">
        <f aca="false">INDEX(Lookups!$E$2:$E$5,MATCH(P2843,Lookups!$D$2:$D$5,0))</f>
        <v>Low</v>
      </c>
    </row>
    <row r="2844" customFormat="false" ht="15" hidden="false" customHeight="false" outlineLevel="0" collapsed="false">
      <c r="A2844" s="3" t="n">
        <v>2843</v>
      </c>
      <c r="B2844" s="3" t="n">
        <f aca="false">Raw_Data!A2844</f>
        <v>48</v>
      </c>
      <c r="C2844" s="3" t="str">
        <f aca="false">SUBSTITUTE(Raw_Data!B2844,".","")</f>
        <v>management</v>
      </c>
      <c r="D2844" s="3" t="str">
        <f aca="false">Raw_Data!C2844</f>
        <v>married</v>
      </c>
      <c r="E2844" s="3" t="str">
        <f aca="false">Raw_Data!D2844</f>
        <v>primary</v>
      </c>
      <c r="F2844" s="3" t="str">
        <f aca="false">Raw_Data!E2844</f>
        <v>no</v>
      </c>
      <c r="G2844" s="3" t="n">
        <f aca="false">Raw_Data!F2844</f>
        <v>3230</v>
      </c>
      <c r="H2844" s="3" t="str">
        <f aca="false">Raw_Data!G2844</f>
        <v>yes</v>
      </c>
      <c r="I2844" s="3" t="str">
        <f aca="false">Raw_Data!H2844</f>
        <v>no</v>
      </c>
      <c r="J2844" s="2" t="n">
        <f aca="false">IF(F2844="yes",1,0)</f>
        <v>0</v>
      </c>
      <c r="K2844" s="2" t="n">
        <f aca="false">IF(H2844="yes",1,0)</f>
        <v>1</v>
      </c>
      <c r="L2844" s="2" t="n">
        <f aca="false">IF(I2844="yes",1,0)</f>
        <v>0</v>
      </c>
      <c r="M2844" s="2" t="n">
        <f aca="false">IF(G2844&lt;0,1,0)</f>
        <v>0</v>
      </c>
      <c r="N2844" s="2" t="str">
        <f aca="false">_xlfn.IFS(B2844&lt;30,"Under 30",B2844&lt;40,"30-39",B2844&lt;50,"40-49",B2844&lt;60,"50-59",TRUE(),"60+")</f>
        <v>40-49</v>
      </c>
      <c r="O2844" s="2" t="str">
        <f aca="false">_xlfn.IFS(G2844&lt;0,"1 Negative",G2844=0,"2 Zero",G2844&lt;=500,"3 1-500",G2844&lt;=2000,"4 501-2000",TRUE(),"5 Above 2000")</f>
        <v>5 Above 2000</v>
      </c>
      <c r="P2844" s="2" t="n">
        <f aca="false">Lookups!$B$2*M2844+Lookups!$B$3*L2844</f>
        <v>0</v>
      </c>
      <c r="Q2844" s="2" t="str">
        <f aca="false">INDEX(Lookups!$E$2:$E$5,MATCH(P2844,Lookups!$D$2:$D$5,0))</f>
        <v>Low</v>
      </c>
    </row>
    <row r="2845" customFormat="false" ht="15" hidden="false" customHeight="false" outlineLevel="0" collapsed="false">
      <c r="A2845" s="3" t="n">
        <v>2844</v>
      </c>
      <c r="B2845" s="3" t="n">
        <f aca="false">Raw_Data!A2845</f>
        <v>33</v>
      </c>
      <c r="C2845" s="3" t="str">
        <f aca="false">SUBSTITUTE(Raw_Data!B2845,".","")</f>
        <v>management</v>
      </c>
      <c r="D2845" s="3" t="str">
        <f aca="false">Raw_Data!C2845</f>
        <v>single</v>
      </c>
      <c r="E2845" s="3" t="str">
        <f aca="false">Raw_Data!D2845</f>
        <v>tertiary</v>
      </c>
      <c r="F2845" s="3" t="str">
        <f aca="false">Raw_Data!E2845</f>
        <v>no</v>
      </c>
      <c r="G2845" s="3" t="n">
        <f aca="false">Raw_Data!F2845</f>
        <v>1439</v>
      </c>
      <c r="H2845" s="3" t="str">
        <f aca="false">Raw_Data!G2845</f>
        <v>yes</v>
      </c>
      <c r="I2845" s="3" t="str">
        <f aca="false">Raw_Data!H2845</f>
        <v>no</v>
      </c>
      <c r="J2845" s="2" t="n">
        <f aca="false">IF(F2845="yes",1,0)</f>
        <v>0</v>
      </c>
      <c r="K2845" s="2" t="n">
        <f aca="false">IF(H2845="yes",1,0)</f>
        <v>1</v>
      </c>
      <c r="L2845" s="2" t="n">
        <f aca="false">IF(I2845="yes",1,0)</f>
        <v>0</v>
      </c>
      <c r="M2845" s="2" t="n">
        <f aca="false">IF(G2845&lt;0,1,0)</f>
        <v>0</v>
      </c>
      <c r="N2845" s="2" t="str">
        <f aca="false">_xlfn.IFS(B2845&lt;30,"Under 30",B2845&lt;40,"30-39",B2845&lt;50,"40-49",B2845&lt;60,"50-59",TRUE(),"60+")</f>
        <v>30-39</v>
      </c>
      <c r="O2845" s="2" t="str">
        <f aca="false">_xlfn.IFS(G2845&lt;0,"1 Negative",G2845=0,"2 Zero",G2845&lt;=500,"3 1-500",G2845&lt;=2000,"4 501-2000",TRUE(),"5 Above 2000")</f>
        <v>4 501-2000</v>
      </c>
      <c r="P2845" s="2" t="n">
        <f aca="false">Lookups!$B$2*M2845+Lookups!$B$3*L2845</f>
        <v>0</v>
      </c>
      <c r="Q2845" s="2" t="str">
        <f aca="false">INDEX(Lookups!$E$2:$E$5,MATCH(P2845,Lookups!$D$2:$D$5,0))</f>
        <v>Low</v>
      </c>
    </row>
    <row r="2846" customFormat="false" ht="15" hidden="false" customHeight="false" outlineLevel="0" collapsed="false">
      <c r="A2846" s="3" t="n">
        <v>2845</v>
      </c>
      <c r="B2846" s="3" t="n">
        <f aca="false">Raw_Data!A2846</f>
        <v>46</v>
      </c>
      <c r="C2846" s="3" t="str">
        <f aca="false">SUBSTITUTE(Raw_Data!B2846,".","")</f>
        <v>admin</v>
      </c>
      <c r="D2846" s="3" t="str">
        <f aca="false">Raw_Data!C2846</f>
        <v>married</v>
      </c>
      <c r="E2846" s="3" t="str">
        <f aca="false">Raw_Data!D2846</f>
        <v>secondary</v>
      </c>
      <c r="F2846" s="3" t="str">
        <f aca="false">Raw_Data!E2846</f>
        <v>no</v>
      </c>
      <c r="G2846" s="3" t="n">
        <f aca="false">Raw_Data!F2846</f>
        <v>120</v>
      </c>
      <c r="H2846" s="3" t="str">
        <f aca="false">Raw_Data!G2846</f>
        <v>yes</v>
      </c>
      <c r="I2846" s="3" t="str">
        <f aca="false">Raw_Data!H2846</f>
        <v>no</v>
      </c>
      <c r="J2846" s="2" t="n">
        <f aca="false">IF(F2846="yes",1,0)</f>
        <v>0</v>
      </c>
      <c r="K2846" s="2" t="n">
        <f aca="false">IF(H2846="yes",1,0)</f>
        <v>1</v>
      </c>
      <c r="L2846" s="2" t="n">
        <f aca="false">IF(I2846="yes",1,0)</f>
        <v>0</v>
      </c>
      <c r="M2846" s="2" t="n">
        <f aca="false">IF(G2846&lt;0,1,0)</f>
        <v>0</v>
      </c>
      <c r="N2846" s="2" t="str">
        <f aca="false">_xlfn.IFS(B2846&lt;30,"Under 30",B2846&lt;40,"30-39",B2846&lt;50,"40-49",B2846&lt;60,"50-59",TRUE(),"60+")</f>
        <v>40-49</v>
      </c>
      <c r="O2846" s="2" t="str">
        <f aca="false">_xlfn.IFS(G2846&lt;0,"1 Negative",G2846=0,"2 Zero",G2846&lt;=500,"3 1-500",G2846&lt;=2000,"4 501-2000",TRUE(),"5 Above 2000")</f>
        <v>3 1-500</v>
      </c>
      <c r="P2846" s="2" t="n">
        <f aca="false">Lookups!$B$2*M2846+Lookups!$B$3*L2846</f>
        <v>0</v>
      </c>
      <c r="Q2846" s="2" t="str">
        <f aca="false">INDEX(Lookups!$E$2:$E$5,MATCH(P2846,Lookups!$D$2:$D$5,0))</f>
        <v>Low</v>
      </c>
    </row>
    <row r="2847" customFormat="false" ht="15" hidden="false" customHeight="false" outlineLevel="0" collapsed="false">
      <c r="A2847" s="3" t="n">
        <v>2846</v>
      </c>
      <c r="B2847" s="3" t="n">
        <f aca="false">Raw_Data!A2847</f>
        <v>44</v>
      </c>
      <c r="C2847" s="3" t="str">
        <f aca="false">SUBSTITUTE(Raw_Data!B2847,".","")</f>
        <v>management</v>
      </c>
      <c r="D2847" s="3" t="str">
        <f aca="false">Raw_Data!C2847</f>
        <v>married</v>
      </c>
      <c r="E2847" s="3" t="str">
        <f aca="false">Raw_Data!D2847</f>
        <v>tertiary</v>
      </c>
      <c r="F2847" s="3" t="str">
        <f aca="false">Raw_Data!E2847</f>
        <v>no</v>
      </c>
      <c r="G2847" s="3" t="n">
        <f aca="false">Raw_Data!F2847</f>
        <v>1058</v>
      </c>
      <c r="H2847" s="3" t="str">
        <f aca="false">Raw_Data!G2847</f>
        <v>no</v>
      </c>
      <c r="I2847" s="3" t="str">
        <f aca="false">Raw_Data!H2847</f>
        <v>no</v>
      </c>
      <c r="J2847" s="2" t="n">
        <f aca="false">IF(F2847="yes",1,0)</f>
        <v>0</v>
      </c>
      <c r="K2847" s="2" t="n">
        <f aca="false">IF(H2847="yes",1,0)</f>
        <v>0</v>
      </c>
      <c r="L2847" s="2" t="n">
        <f aca="false">IF(I2847="yes",1,0)</f>
        <v>0</v>
      </c>
      <c r="M2847" s="2" t="n">
        <f aca="false">IF(G2847&lt;0,1,0)</f>
        <v>0</v>
      </c>
      <c r="N2847" s="2" t="str">
        <f aca="false">_xlfn.IFS(B2847&lt;30,"Under 30",B2847&lt;40,"30-39",B2847&lt;50,"40-49",B2847&lt;60,"50-59",TRUE(),"60+")</f>
        <v>40-49</v>
      </c>
      <c r="O2847" s="2" t="str">
        <f aca="false">_xlfn.IFS(G2847&lt;0,"1 Negative",G2847=0,"2 Zero",G2847&lt;=500,"3 1-500",G2847&lt;=2000,"4 501-2000",TRUE(),"5 Above 2000")</f>
        <v>4 501-2000</v>
      </c>
      <c r="P2847" s="2" t="n">
        <f aca="false">Lookups!$B$2*M2847+Lookups!$B$3*L2847</f>
        <v>0</v>
      </c>
      <c r="Q2847" s="2" t="str">
        <f aca="false">INDEX(Lookups!$E$2:$E$5,MATCH(P2847,Lookups!$D$2:$D$5,0))</f>
        <v>Low</v>
      </c>
    </row>
    <row r="2848" customFormat="false" ht="15" hidden="false" customHeight="false" outlineLevel="0" collapsed="false">
      <c r="A2848" s="3" t="n">
        <v>2847</v>
      </c>
      <c r="B2848" s="3" t="n">
        <f aca="false">Raw_Data!A2848</f>
        <v>47</v>
      </c>
      <c r="C2848" s="3" t="str">
        <f aca="false">SUBSTITUTE(Raw_Data!B2848,".","")</f>
        <v>blue-collar</v>
      </c>
      <c r="D2848" s="3" t="str">
        <f aca="false">Raw_Data!C2848</f>
        <v>married</v>
      </c>
      <c r="E2848" s="3" t="str">
        <f aca="false">Raw_Data!D2848</f>
        <v>primary</v>
      </c>
      <c r="F2848" s="3" t="str">
        <f aca="false">Raw_Data!E2848</f>
        <v>no</v>
      </c>
      <c r="G2848" s="3" t="n">
        <f aca="false">Raw_Data!F2848</f>
        <v>881</v>
      </c>
      <c r="H2848" s="3" t="str">
        <f aca="false">Raw_Data!G2848</f>
        <v>yes</v>
      </c>
      <c r="I2848" s="3" t="str">
        <f aca="false">Raw_Data!H2848</f>
        <v>no</v>
      </c>
      <c r="J2848" s="2" t="n">
        <f aca="false">IF(F2848="yes",1,0)</f>
        <v>0</v>
      </c>
      <c r="K2848" s="2" t="n">
        <f aca="false">IF(H2848="yes",1,0)</f>
        <v>1</v>
      </c>
      <c r="L2848" s="2" t="n">
        <f aca="false">IF(I2848="yes",1,0)</f>
        <v>0</v>
      </c>
      <c r="M2848" s="2" t="n">
        <f aca="false">IF(G2848&lt;0,1,0)</f>
        <v>0</v>
      </c>
      <c r="N2848" s="2" t="str">
        <f aca="false">_xlfn.IFS(B2848&lt;30,"Under 30",B2848&lt;40,"30-39",B2848&lt;50,"40-49",B2848&lt;60,"50-59",TRUE(),"60+")</f>
        <v>40-49</v>
      </c>
      <c r="O2848" s="2" t="str">
        <f aca="false">_xlfn.IFS(G2848&lt;0,"1 Negative",G2848=0,"2 Zero",G2848&lt;=500,"3 1-500",G2848&lt;=2000,"4 501-2000",TRUE(),"5 Above 2000")</f>
        <v>4 501-2000</v>
      </c>
      <c r="P2848" s="2" t="n">
        <f aca="false">Lookups!$B$2*M2848+Lookups!$B$3*L2848</f>
        <v>0</v>
      </c>
      <c r="Q2848" s="2" t="str">
        <f aca="false">INDEX(Lookups!$E$2:$E$5,MATCH(P2848,Lookups!$D$2:$D$5,0))</f>
        <v>Low</v>
      </c>
    </row>
    <row r="2849" customFormat="false" ht="15" hidden="false" customHeight="false" outlineLevel="0" collapsed="false">
      <c r="A2849" s="3" t="n">
        <v>2848</v>
      </c>
      <c r="B2849" s="3" t="n">
        <f aca="false">Raw_Data!A2849</f>
        <v>38</v>
      </c>
      <c r="C2849" s="3" t="str">
        <f aca="false">SUBSTITUTE(Raw_Data!B2849,".","")</f>
        <v>technician</v>
      </c>
      <c r="D2849" s="3" t="str">
        <f aca="false">Raw_Data!C2849</f>
        <v>married</v>
      </c>
      <c r="E2849" s="3" t="str">
        <f aca="false">Raw_Data!D2849</f>
        <v>secondary</v>
      </c>
      <c r="F2849" s="3" t="str">
        <f aca="false">Raw_Data!E2849</f>
        <v>no</v>
      </c>
      <c r="G2849" s="3" t="n">
        <f aca="false">Raw_Data!F2849</f>
        <v>6728</v>
      </c>
      <c r="H2849" s="3" t="str">
        <f aca="false">Raw_Data!G2849</f>
        <v>no</v>
      </c>
      <c r="I2849" s="3" t="str">
        <f aca="false">Raw_Data!H2849</f>
        <v>no</v>
      </c>
      <c r="J2849" s="2" t="n">
        <f aca="false">IF(F2849="yes",1,0)</f>
        <v>0</v>
      </c>
      <c r="K2849" s="2" t="n">
        <f aca="false">IF(H2849="yes",1,0)</f>
        <v>0</v>
      </c>
      <c r="L2849" s="2" t="n">
        <f aca="false">IF(I2849="yes",1,0)</f>
        <v>0</v>
      </c>
      <c r="M2849" s="2" t="n">
        <f aca="false">IF(G2849&lt;0,1,0)</f>
        <v>0</v>
      </c>
      <c r="N2849" s="2" t="str">
        <f aca="false">_xlfn.IFS(B2849&lt;30,"Under 30",B2849&lt;40,"30-39",B2849&lt;50,"40-49",B2849&lt;60,"50-59",TRUE(),"60+")</f>
        <v>30-39</v>
      </c>
      <c r="O2849" s="2" t="str">
        <f aca="false">_xlfn.IFS(G2849&lt;0,"1 Negative",G2849=0,"2 Zero",G2849&lt;=500,"3 1-500",G2849&lt;=2000,"4 501-2000",TRUE(),"5 Above 2000")</f>
        <v>5 Above 2000</v>
      </c>
      <c r="P2849" s="2" t="n">
        <f aca="false">Lookups!$B$2*M2849+Lookups!$B$3*L2849</f>
        <v>0</v>
      </c>
      <c r="Q2849" s="2" t="str">
        <f aca="false">INDEX(Lookups!$E$2:$E$5,MATCH(P2849,Lookups!$D$2:$D$5,0))</f>
        <v>Low</v>
      </c>
    </row>
    <row r="2850" customFormat="false" ht="15" hidden="false" customHeight="false" outlineLevel="0" collapsed="false">
      <c r="A2850" s="3" t="n">
        <v>2849</v>
      </c>
      <c r="B2850" s="3" t="n">
        <f aca="false">Raw_Data!A2850</f>
        <v>80</v>
      </c>
      <c r="C2850" s="3" t="str">
        <f aca="false">SUBSTITUTE(Raw_Data!B2850,".","")</f>
        <v>retired</v>
      </c>
      <c r="D2850" s="3" t="str">
        <f aca="false">Raw_Data!C2850</f>
        <v>married</v>
      </c>
      <c r="E2850" s="3" t="str">
        <f aca="false">Raw_Data!D2850</f>
        <v>secondary</v>
      </c>
      <c r="F2850" s="3" t="str">
        <f aca="false">Raw_Data!E2850</f>
        <v>no</v>
      </c>
      <c r="G2850" s="3" t="n">
        <f aca="false">Raw_Data!F2850</f>
        <v>462</v>
      </c>
      <c r="H2850" s="3" t="str">
        <f aca="false">Raw_Data!G2850</f>
        <v>no</v>
      </c>
      <c r="I2850" s="3" t="str">
        <f aca="false">Raw_Data!H2850</f>
        <v>no</v>
      </c>
      <c r="J2850" s="2" t="n">
        <f aca="false">IF(F2850="yes",1,0)</f>
        <v>0</v>
      </c>
      <c r="K2850" s="2" t="n">
        <f aca="false">IF(H2850="yes",1,0)</f>
        <v>0</v>
      </c>
      <c r="L2850" s="2" t="n">
        <f aca="false">IF(I2850="yes",1,0)</f>
        <v>0</v>
      </c>
      <c r="M2850" s="2" t="n">
        <f aca="false">IF(G2850&lt;0,1,0)</f>
        <v>0</v>
      </c>
      <c r="N2850" s="2" t="str">
        <f aca="false">_xlfn.IFS(B2850&lt;30,"Under 30",B2850&lt;40,"30-39",B2850&lt;50,"40-49",B2850&lt;60,"50-59",TRUE(),"60+")</f>
        <v>60+</v>
      </c>
      <c r="O2850" s="2" t="str">
        <f aca="false">_xlfn.IFS(G2850&lt;0,"1 Negative",G2850=0,"2 Zero",G2850&lt;=500,"3 1-500",G2850&lt;=2000,"4 501-2000",TRUE(),"5 Above 2000")</f>
        <v>3 1-500</v>
      </c>
      <c r="P2850" s="2" t="n">
        <f aca="false">Lookups!$B$2*M2850+Lookups!$B$3*L2850</f>
        <v>0</v>
      </c>
      <c r="Q2850" s="2" t="str">
        <f aca="false">INDEX(Lookups!$E$2:$E$5,MATCH(P2850,Lookups!$D$2:$D$5,0))</f>
        <v>Low</v>
      </c>
    </row>
    <row r="2851" customFormat="false" ht="15" hidden="false" customHeight="false" outlineLevel="0" collapsed="false">
      <c r="A2851" s="3" t="n">
        <v>2850</v>
      </c>
      <c r="B2851" s="3" t="n">
        <f aca="false">Raw_Data!A2851</f>
        <v>40</v>
      </c>
      <c r="C2851" s="3" t="str">
        <f aca="false">SUBSTITUTE(Raw_Data!B2851,".","")</f>
        <v>self-employed</v>
      </c>
      <c r="D2851" s="3" t="str">
        <f aca="false">Raw_Data!C2851</f>
        <v>married</v>
      </c>
      <c r="E2851" s="3" t="str">
        <f aca="false">Raw_Data!D2851</f>
        <v>secondary</v>
      </c>
      <c r="F2851" s="3" t="str">
        <f aca="false">Raw_Data!E2851</f>
        <v>no</v>
      </c>
      <c r="G2851" s="3" t="n">
        <f aca="false">Raw_Data!F2851</f>
        <v>167</v>
      </c>
      <c r="H2851" s="3" t="str">
        <f aca="false">Raw_Data!G2851</f>
        <v>yes</v>
      </c>
      <c r="I2851" s="3" t="str">
        <f aca="false">Raw_Data!H2851</f>
        <v>yes</v>
      </c>
      <c r="J2851" s="2" t="n">
        <f aca="false">IF(F2851="yes",1,0)</f>
        <v>0</v>
      </c>
      <c r="K2851" s="2" t="n">
        <f aca="false">IF(H2851="yes",1,0)</f>
        <v>1</v>
      </c>
      <c r="L2851" s="2" t="n">
        <f aca="false">IF(I2851="yes",1,0)</f>
        <v>1</v>
      </c>
      <c r="M2851" s="2" t="n">
        <f aca="false">IF(G2851&lt;0,1,0)</f>
        <v>0</v>
      </c>
      <c r="N2851" s="2" t="str">
        <f aca="false">_xlfn.IFS(B2851&lt;30,"Under 30",B2851&lt;40,"30-39",B2851&lt;50,"40-49",B2851&lt;60,"50-59",TRUE(),"60+")</f>
        <v>40-49</v>
      </c>
      <c r="O2851" s="2" t="str">
        <f aca="false">_xlfn.IFS(G2851&lt;0,"1 Negative",G2851=0,"2 Zero",G2851&lt;=500,"3 1-500",G2851&lt;=2000,"4 501-2000",TRUE(),"5 Above 2000")</f>
        <v>3 1-500</v>
      </c>
      <c r="P2851" s="2" t="n">
        <f aca="false">Lookups!$B$2*M2851+Lookups!$B$3*L2851</f>
        <v>1</v>
      </c>
      <c r="Q2851" s="2" t="str">
        <f aca="false">INDEX(Lookups!$E$2:$E$5,MATCH(P2851,Lookups!$D$2:$D$5,0))</f>
        <v>Medium</v>
      </c>
    </row>
    <row r="2852" customFormat="false" ht="15" hidden="false" customHeight="false" outlineLevel="0" collapsed="false">
      <c r="A2852" s="3" t="n">
        <v>2851</v>
      </c>
      <c r="B2852" s="3" t="n">
        <f aca="false">Raw_Data!A2852</f>
        <v>43</v>
      </c>
      <c r="C2852" s="3" t="str">
        <f aca="false">SUBSTITUTE(Raw_Data!B2852,".","")</f>
        <v>entrepreneur</v>
      </c>
      <c r="D2852" s="3" t="str">
        <f aca="false">Raw_Data!C2852</f>
        <v>married</v>
      </c>
      <c r="E2852" s="3" t="str">
        <f aca="false">Raw_Data!D2852</f>
        <v>tertiary</v>
      </c>
      <c r="F2852" s="3" t="str">
        <f aca="false">Raw_Data!E2852</f>
        <v>no</v>
      </c>
      <c r="G2852" s="3" t="n">
        <f aca="false">Raw_Data!F2852</f>
        <v>1574</v>
      </c>
      <c r="H2852" s="3" t="str">
        <f aca="false">Raw_Data!G2852</f>
        <v>yes</v>
      </c>
      <c r="I2852" s="3" t="str">
        <f aca="false">Raw_Data!H2852</f>
        <v>no</v>
      </c>
      <c r="J2852" s="2" t="n">
        <f aca="false">IF(F2852="yes",1,0)</f>
        <v>0</v>
      </c>
      <c r="K2852" s="2" t="n">
        <f aca="false">IF(H2852="yes",1,0)</f>
        <v>1</v>
      </c>
      <c r="L2852" s="2" t="n">
        <f aca="false">IF(I2852="yes",1,0)</f>
        <v>0</v>
      </c>
      <c r="M2852" s="2" t="n">
        <f aca="false">IF(G2852&lt;0,1,0)</f>
        <v>0</v>
      </c>
      <c r="N2852" s="2" t="str">
        <f aca="false">_xlfn.IFS(B2852&lt;30,"Under 30",B2852&lt;40,"30-39",B2852&lt;50,"40-49",B2852&lt;60,"50-59",TRUE(),"60+")</f>
        <v>40-49</v>
      </c>
      <c r="O2852" s="2" t="str">
        <f aca="false">_xlfn.IFS(G2852&lt;0,"1 Negative",G2852=0,"2 Zero",G2852&lt;=500,"3 1-500",G2852&lt;=2000,"4 501-2000",TRUE(),"5 Above 2000")</f>
        <v>4 501-2000</v>
      </c>
      <c r="P2852" s="2" t="n">
        <f aca="false">Lookups!$B$2*M2852+Lookups!$B$3*L2852</f>
        <v>0</v>
      </c>
      <c r="Q2852" s="2" t="str">
        <f aca="false">INDEX(Lookups!$E$2:$E$5,MATCH(P2852,Lookups!$D$2:$D$5,0))</f>
        <v>Low</v>
      </c>
    </row>
    <row r="2853" customFormat="false" ht="15" hidden="false" customHeight="false" outlineLevel="0" collapsed="false">
      <c r="A2853" s="3" t="n">
        <v>2852</v>
      </c>
      <c r="B2853" s="3" t="n">
        <f aca="false">Raw_Data!A2853</f>
        <v>32</v>
      </c>
      <c r="C2853" s="3" t="str">
        <f aca="false">SUBSTITUTE(Raw_Data!B2853,".","")</f>
        <v>technician</v>
      </c>
      <c r="D2853" s="3" t="str">
        <f aca="false">Raw_Data!C2853</f>
        <v>single</v>
      </c>
      <c r="E2853" s="3" t="str">
        <f aca="false">Raw_Data!D2853</f>
        <v>tertiary</v>
      </c>
      <c r="F2853" s="3" t="str">
        <f aca="false">Raw_Data!E2853</f>
        <v>no</v>
      </c>
      <c r="G2853" s="3" t="n">
        <f aca="false">Raw_Data!F2853</f>
        <v>1625</v>
      </c>
      <c r="H2853" s="3" t="str">
        <f aca="false">Raw_Data!G2853</f>
        <v>no</v>
      </c>
      <c r="I2853" s="3" t="str">
        <f aca="false">Raw_Data!H2853</f>
        <v>no</v>
      </c>
      <c r="J2853" s="2" t="n">
        <f aca="false">IF(F2853="yes",1,0)</f>
        <v>0</v>
      </c>
      <c r="K2853" s="2" t="n">
        <f aca="false">IF(H2853="yes",1,0)</f>
        <v>0</v>
      </c>
      <c r="L2853" s="2" t="n">
        <f aca="false">IF(I2853="yes",1,0)</f>
        <v>0</v>
      </c>
      <c r="M2853" s="2" t="n">
        <f aca="false">IF(G2853&lt;0,1,0)</f>
        <v>0</v>
      </c>
      <c r="N2853" s="2" t="str">
        <f aca="false">_xlfn.IFS(B2853&lt;30,"Under 30",B2853&lt;40,"30-39",B2853&lt;50,"40-49",B2853&lt;60,"50-59",TRUE(),"60+")</f>
        <v>30-39</v>
      </c>
      <c r="O2853" s="2" t="str">
        <f aca="false">_xlfn.IFS(G2853&lt;0,"1 Negative",G2853=0,"2 Zero",G2853&lt;=500,"3 1-500",G2853&lt;=2000,"4 501-2000",TRUE(),"5 Above 2000")</f>
        <v>4 501-2000</v>
      </c>
      <c r="P2853" s="2" t="n">
        <f aca="false">Lookups!$B$2*M2853+Lookups!$B$3*L2853</f>
        <v>0</v>
      </c>
      <c r="Q2853" s="2" t="str">
        <f aca="false">INDEX(Lookups!$E$2:$E$5,MATCH(P2853,Lookups!$D$2:$D$5,0))</f>
        <v>Low</v>
      </c>
    </row>
    <row r="2854" customFormat="false" ht="15" hidden="false" customHeight="false" outlineLevel="0" collapsed="false">
      <c r="A2854" s="3" t="n">
        <v>2853</v>
      </c>
      <c r="B2854" s="3" t="n">
        <f aca="false">Raw_Data!A2854</f>
        <v>39</v>
      </c>
      <c r="C2854" s="3" t="str">
        <f aca="false">SUBSTITUTE(Raw_Data!B2854,".","")</f>
        <v>management</v>
      </c>
      <c r="D2854" s="3" t="str">
        <f aca="false">Raw_Data!C2854</f>
        <v>married</v>
      </c>
      <c r="E2854" s="3" t="str">
        <f aca="false">Raw_Data!D2854</f>
        <v>tertiary</v>
      </c>
      <c r="F2854" s="3" t="str">
        <f aca="false">Raw_Data!E2854</f>
        <v>no</v>
      </c>
      <c r="G2854" s="3" t="n">
        <f aca="false">Raw_Data!F2854</f>
        <v>562</v>
      </c>
      <c r="H2854" s="3" t="str">
        <f aca="false">Raw_Data!G2854</f>
        <v>no</v>
      </c>
      <c r="I2854" s="3" t="str">
        <f aca="false">Raw_Data!H2854</f>
        <v>no</v>
      </c>
      <c r="J2854" s="2" t="n">
        <f aca="false">IF(F2854="yes",1,0)</f>
        <v>0</v>
      </c>
      <c r="K2854" s="2" t="n">
        <f aca="false">IF(H2854="yes",1,0)</f>
        <v>0</v>
      </c>
      <c r="L2854" s="2" t="n">
        <f aca="false">IF(I2854="yes",1,0)</f>
        <v>0</v>
      </c>
      <c r="M2854" s="2" t="n">
        <f aca="false">IF(G2854&lt;0,1,0)</f>
        <v>0</v>
      </c>
      <c r="N2854" s="2" t="str">
        <f aca="false">_xlfn.IFS(B2854&lt;30,"Under 30",B2854&lt;40,"30-39",B2854&lt;50,"40-49",B2854&lt;60,"50-59",TRUE(),"60+")</f>
        <v>30-39</v>
      </c>
      <c r="O2854" s="2" t="str">
        <f aca="false">_xlfn.IFS(G2854&lt;0,"1 Negative",G2854=0,"2 Zero",G2854&lt;=500,"3 1-500",G2854&lt;=2000,"4 501-2000",TRUE(),"5 Above 2000")</f>
        <v>4 501-2000</v>
      </c>
      <c r="P2854" s="2" t="n">
        <f aca="false">Lookups!$B$2*M2854+Lookups!$B$3*L2854</f>
        <v>0</v>
      </c>
      <c r="Q2854" s="2" t="str">
        <f aca="false">INDEX(Lookups!$E$2:$E$5,MATCH(P2854,Lookups!$D$2:$D$5,0))</f>
        <v>Low</v>
      </c>
    </row>
    <row r="2855" customFormat="false" ht="15" hidden="false" customHeight="false" outlineLevel="0" collapsed="false">
      <c r="A2855" s="3" t="n">
        <v>2854</v>
      </c>
      <c r="B2855" s="3" t="n">
        <f aca="false">Raw_Data!A2855</f>
        <v>33</v>
      </c>
      <c r="C2855" s="3" t="str">
        <f aca="false">SUBSTITUTE(Raw_Data!B2855,".","")</f>
        <v>technician</v>
      </c>
      <c r="D2855" s="3" t="str">
        <f aca="false">Raw_Data!C2855</f>
        <v>married</v>
      </c>
      <c r="E2855" s="3" t="str">
        <f aca="false">Raw_Data!D2855</f>
        <v>secondary</v>
      </c>
      <c r="F2855" s="3" t="str">
        <f aca="false">Raw_Data!E2855</f>
        <v>no</v>
      </c>
      <c r="G2855" s="3" t="n">
        <f aca="false">Raw_Data!F2855</f>
        <v>9305</v>
      </c>
      <c r="H2855" s="3" t="str">
        <f aca="false">Raw_Data!G2855</f>
        <v>yes</v>
      </c>
      <c r="I2855" s="3" t="str">
        <f aca="false">Raw_Data!H2855</f>
        <v>no</v>
      </c>
      <c r="J2855" s="2" t="n">
        <f aca="false">IF(F2855="yes",1,0)</f>
        <v>0</v>
      </c>
      <c r="K2855" s="2" t="n">
        <f aca="false">IF(H2855="yes",1,0)</f>
        <v>1</v>
      </c>
      <c r="L2855" s="2" t="n">
        <f aca="false">IF(I2855="yes",1,0)</f>
        <v>0</v>
      </c>
      <c r="M2855" s="2" t="n">
        <f aca="false">IF(G2855&lt;0,1,0)</f>
        <v>0</v>
      </c>
      <c r="N2855" s="2" t="str">
        <f aca="false">_xlfn.IFS(B2855&lt;30,"Under 30",B2855&lt;40,"30-39",B2855&lt;50,"40-49",B2855&lt;60,"50-59",TRUE(),"60+")</f>
        <v>30-39</v>
      </c>
      <c r="O2855" s="2" t="str">
        <f aca="false">_xlfn.IFS(G2855&lt;0,"1 Negative",G2855=0,"2 Zero",G2855&lt;=500,"3 1-500",G2855&lt;=2000,"4 501-2000",TRUE(),"5 Above 2000")</f>
        <v>5 Above 2000</v>
      </c>
      <c r="P2855" s="2" t="n">
        <f aca="false">Lookups!$B$2*M2855+Lookups!$B$3*L2855</f>
        <v>0</v>
      </c>
      <c r="Q2855" s="2" t="str">
        <f aca="false">INDEX(Lookups!$E$2:$E$5,MATCH(P2855,Lookups!$D$2:$D$5,0))</f>
        <v>Low</v>
      </c>
    </row>
    <row r="2856" customFormat="false" ht="15" hidden="false" customHeight="false" outlineLevel="0" collapsed="false">
      <c r="A2856" s="3" t="n">
        <v>2855</v>
      </c>
      <c r="B2856" s="3" t="n">
        <f aca="false">Raw_Data!A2856</f>
        <v>31</v>
      </c>
      <c r="C2856" s="3" t="str">
        <f aca="false">SUBSTITUTE(Raw_Data!B2856,".","")</f>
        <v>technician</v>
      </c>
      <c r="D2856" s="3" t="str">
        <f aca="false">Raw_Data!C2856</f>
        <v>single</v>
      </c>
      <c r="E2856" s="3" t="str">
        <f aca="false">Raw_Data!D2856</f>
        <v>secondary</v>
      </c>
      <c r="F2856" s="3" t="str">
        <f aca="false">Raw_Data!E2856</f>
        <v>no</v>
      </c>
      <c r="G2856" s="3" t="n">
        <f aca="false">Raw_Data!F2856</f>
        <v>35</v>
      </c>
      <c r="H2856" s="3" t="str">
        <f aca="false">Raw_Data!G2856</f>
        <v>no</v>
      </c>
      <c r="I2856" s="3" t="str">
        <f aca="false">Raw_Data!H2856</f>
        <v>yes</v>
      </c>
      <c r="J2856" s="2" t="n">
        <f aca="false">IF(F2856="yes",1,0)</f>
        <v>0</v>
      </c>
      <c r="K2856" s="2" t="n">
        <f aca="false">IF(H2856="yes",1,0)</f>
        <v>0</v>
      </c>
      <c r="L2856" s="2" t="n">
        <f aca="false">IF(I2856="yes",1,0)</f>
        <v>1</v>
      </c>
      <c r="M2856" s="2" t="n">
        <f aca="false">IF(G2856&lt;0,1,0)</f>
        <v>0</v>
      </c>
      <c r="N2856" s="2" t="str">
        <f aca="false">_xlfn.IFS(B2856&lt;30,"Under 30",B2856&lt;40,"30-39",B2856&lt;50,"40-49",B2856&lt;60,"50-59",TRUE(),"60+")</f>
        <v>30-39</v>
      </c>
      <c r="O2856" s="2" t="str">
        <f aca="false">_xlfn.IFS(G2856&lt;0,"1 Negative",G2856=0,"2 Zero",G2856&lt;=500,"3 1-500",G2856&lt;=2000,"4 501-2000",TRUE(),"5 Above 2000")</f>
        <v>3 1-500</v>
      </c>
      <c r="P2856" s="2" t="n">
        <f aca="false">Lookups!$B$2*M2856+Lookups!$B$3*L2856</f>
        <v>1</v>
      </c>
      <c r="Q2856" s="2" t="str">
        <f aca="false">INDEX(Lookups!$E$2:$E$5,MATCH(P2856,Lookups!$D$2:$D$5,0))</f>
        <v>Medium</v>
      </c>
    </row>
    <row r="2857" customFormat="false" ht="15" hidden="false" customHeight="false" outlineLevel="0" collapsed="false">
      <c r="A2857" s="3" t="n">
        <v>2856</v>
      </c>
      <c r="B2857" s="3" t="n">
        <f aca="false">Raw_Data!A2857</f>
        <v>36</v>
      </c>
      <c r="C2857" s="3" t="str">
        <f aca="false">SUBSTITUTE(Raw_Data!B2857,".","")</f>
        <v>management</v>
      </c>
      <c r="D2857" s="3" t="str">
        <f aca="false">Raw_Data!C2857</f>
        <v>single</v>
      </c>
      <c r="E2857" s="3" t="str">
        <f aca="false">Raw_Data!D2857</f>
        <v>tertiary</v>
      </c>
      <c r="F2857" s="3" t="str">
        <f aca="false">Raw_Data!E2857</f>
        <v>no</v>
      </c>
      <c r="G2857" s="3" t="n">
        <f aca="false">Raw_Data!F2857</f>
        <v>0</v>
      </c>
      <c r="H2857" s="3" t="str">
        <f aca="false">Raw_Data!G2857</f>
        <v>no</v>
      </c>
      <c r="I2857" s="3" t="str">
        <f aca="false">Raw_Data!H2857</f>
        <v>no</v>
      </c>
      <c r="J2857" s="2" t="n">
        <f aca="false">IF(F2857="yes",1,0)</f>
        <v>0</v>
      </c>
      <c r="K2857" s="2" t="n">
        <f aca="false">IF(H2857="yes",1,0)</f>
        <v>0</v>
      </c>
      <c r="L2857" s="2" t="n">
        <f aca="false">IF(I2857="yes",1,0)</f>
        <v>0</v>
      </c>
      <c r="M2857" s="2" t="n">
        <f aca="false">IF(G2857&lt;0,1,0)</f>
        <v>0</v>
      </c>
      <c r="N2857" s="2" t="str">
        <f aca="false">_xlfn.IFS(B2857&lt;30,"Under 30",B2857&lt;40,"30-39",B2857&lt;50,"40-49",B2857&lt;60,"50-59",TRUE(),"60+")</f>
        <v>30-39</v>
      </c>
      <c r="O2857" s="2" t="str">
        <f aca="false">_xlfn.IFS(G2857&lt;0,"1 Negative",G2857=0,"2 Zero",G2857&lt;=500,"3 1-500",G2857&lt;=2000,"4 501-2000",TRUE(),"5 Above 2000")</f>
        <v>2 Zero</v>
      </c>
      <c r="P2857" s="2" t="n">
        <f aca="false">Lookups!$B$2*M2857+Lookups!$B$3*L2857</f>
        <v>0</v>
      </c>
      <c r="Q2857" s="2" t="str">
        <f aca="false">INDEX(Lookups!$E$2:$E$5,MATCH(P2857,Lookups!$D$2:$D$5,0))</f>
        <v>Low</v>
      </c>
    </row>
    <row r="2858" customFormat="false" ht="15" hidden="false" customHeight="false" outlineLevel="0" collapsed="false">
      <c r="A2858" s="3" t="n">
        <v>2857</v>
      </c>
      <c r="B2858" s="3" t="n">
        <f aca="false">Raw_Data!A2858</f>
        <v>35</v>
      </c>
      <c r="C2858" s="3" t="str">
        <f aca="false">SUBSTITUTE(Raw_Data!B2858,".","")</f>
        <v>management</v>
      </c>
      <c r="D2858" s="3" t="str">
        <f aca="false">Raw_Data!C2858</f>
        <v>single</v>
      </c>
      <c r="E2858" s="3" t="str">
        <f aca="false">Raw_Data!D2858</f>
        <v>tertiary</v>
      </c>
      <c r="F2858" s="3" t="str">
        <f aca="false">Raw_Data!E2858</f>
        <v>no</v>
      </c>
      <c r="G2858" s="3" t="n">
        <f aca="false">Raw_Data!F2858</f>
        <v>2486</v>
      </c>
      <c r="H2858" s="3" t="str">
        <f aca="false">Raw_Data!G2858</f>
        <v>yes</v>
      </c>
      <c r="I2858" s="3" t="str">
        <f aca="false">Raw_Data!H2858</f>
        <v>no</v>
      </c>
      <c r="J2858" s="2" t="n">
        <f aca="false">IF(F2858="yes",1,0)</f>
        <v>0</v>
      </c>
      <c r="K2858" s="2" t="n">
        <f aca="false">IF(H2858="yes",1,0)</f>
        <v>1</v>
      </c>
      <c r="L2858" s="2" t="n">
        <f aca="false">IF(I2858="yes",1,0)</f>
        <v>0</v>
      </c>
      <c r="M2858" s="2" t="n">
        <f aca="false">IF(G2858&lt;0,1,0)</f>
        <v>0</v>
      </c>
      <c r="N2858" s="2" t="str">
        <f aca="false">_xlfn.IFS(B2858&lt;30,"Under 30",B2858&lt;40,"30-39",B2858&lt;50,"40-49",B2858&lt;60,"50-59",TRUE(),"60+")</f>
        <v>30-39</v>
      </c>
      <c r="O2858" s="2" t="str">
        <f aca="false">_xlfn.IFS(G2858&lt;0,"1 Negative",G2858=0,"2 Zero",G2858&lt;=500,"3 1-500",G2858&lt;=2000,"4 501-2000",TRUE(),"5 Above 2000")</f>
        <v>5 Above 2000</v>
      </c>
      <c r="P2858" s="2" t="n">
        <f aca="false">Lookups!$B$2*M2858+Lookups!$B$3*L2858</f>
        <v>0</v>
      </c>
      <c r="Q2858" s="2" t="str">
        <f aca="false">INDEX(Lookups!$E$2:$E$5,MATCH(P2858,Lookups!$D$2:$D$5,0))</f>
        <v>Low</v>
      </c>
    </row>
    <row r="2859" customFormat="false" ht="15" hidden="false" customHeight="false" outlineLevel="0" collapsed="false">
      <c r="A2859" s="3" t="n">
        <v>2858</v>
      </c>
      <c r="B2859" s="3" t="n">
        <f aca="false">Raw_Data!A2859</f>
        <v>25</v>
      </c>
      <c r="C2859" s="3" t="str">
        <f aca="false">SUBSTITUTE(Raw_Data!B2859,".","")</f>
        <v>services</v>
      </c>
      <c r="D2859" s="3" t="str">
        <f aca="false">Raw_Data!C2859</f>
        <v>single</v>
      </c>
      <c r="E2859" s="3" t="str">
        <f aca="false">Raw_Data!D2859</f>
        <v>secondary</v>
      </c>
      <c r="F2859" s="3" t="str">
        <f aca="false">Raw_Data!E2859</f>
        <v>no</v>
      </c>
      <c r="G2859" s="3" t="n">
        <f aca="false">Raw_Data!F2859</f>
        <v>368</v>
      </c>
      <c r="H2859" s="3" t="str">
        <f aca="false">Raw_Data!G2859</f>
        <v>no</v>
      </c>
      <c r="I2859" s="3" t="str">
        <f aca="false">Raw_Data!H2859</f>
        <v>no</v>
      </c>
      <c r="J2859" s="2" t="n">
        <f aca="false">IF(F2859="yes",1,0)</f>
        <v>0</v>
      </c>
      <c r="K2859" s="2" t="n">
        <f aca="false">IF(H2859="yes",1,0)</f>
        <v>0</v>
      </c>
      <c r="L2859" s="2" t="n">
        <f aca="false">IF(I2859="yes",1,0)</f>
        <v>0</v>
      </c>
      <c r="M2859" s="2" t="n">
        <f aca="false">IF(G2859&lt;0,1,0)</f>
        <v>0</v>
      </c>
      <c r="N2859" s="2" t="str">
        <f aca="false">_xlfn.IFS(B2859&lt;30,"Under 30",B2859&lt;40,"30-39",B2859&lt;50,"40-49",B2859&lt;60,"50-59",TRUE(),"60+")</f>
        <v>Under 30</v>
      </c>
      <c r="O2859" s="2" t="str">
        <f aca="false">_xlfn.IFS(G2859&lt;0,"1 Negative",G2859=0,"2 Zero",G2859&lt;=500,"3 1-500",G2859&lt;=2000,"4 501-2000",TRUE(),"5 Above 2000")</f>
        <v>3 1-500</v>
      </c>
      <c r="P2859" s="2" t="n">
        <f aca="false">Lookups!$B$2*M2859+Lookups!$B$3*L2859</f>
        <v>0</v>
      </c>
      <c r="Q2859" s="2" t="str">
        <f aca="false">INDEX(Lookups!$E$2:$E$5,MATCH(P2859,Lookups!$D$2:$D$5,0))</f>
        <v>Low</v>
      </c>
    </row>
    <row r="2860" customFormat="false" ht="15" hidden="false" customHeight="false" outlineLevel="0" collapsed="false">
      <c r="A2860" s="3" t="n">
        <v>2859</v>
      </c>
      <c r="B2860" s="3" t="n">
        <f aca="false">Raw_Data!A2860</f>
        <v>33</v>
      </c>
      <c r="C2860" s="3" t="str">
        <f aca="false">SUBSTITUTE(Raw_Data!B2860,".","")</f>
        <v>management</v>
      </c>
      <c r="D2860" s="3" t="str">
        <f aca="false">Raw_Data!C2860</f>
        <v>single</v>
      </c>
      <c r="E2860" s="3" t="str">
        <f aca="false">Raw_Data!D2860</f>
        <v>secondary</v>
      </c>
      <c r="F2860" s="3" t="str">
        <f aca="false">Raw_Data!E2860</f>
        <v>no</v>
      </c>
      <c r="G2860" s="3" t="n">
        <f aca="false">Raw_Data!F2860</f>
        <v>1558</v>
      </c>
      <c r="H2860" s="3" t="str">
        <f aca="false">Raw_Data!G2860</f>
        <v>yes</v>
      </c>
      <c r="I2860" s="3" t="str">
        <f aca="false">Raw_Data!H2860</f>
        <v>no</v>
      </c>
      <c r="J2860" s="2" t="n">
        <f aca="false">IF(F2860="yes",1,0)</f>
        <v>0</v>
      </c>
      <c r="K2860" s="2" t="n">
        <f aca="false">IF(H2860="yes",1,0)</f>
        <v>1</v>
      </c>
      <c r="L2860" s="2" t="n">
        <f aca="false">IF(I2860="yes",1,0)</f>
        <v>0</v>
      </c>
      <c r="M2860" s="2" t="n">
        <f aca="false">IF(G2860&lt;0,1,0)</f>
        <v>0</v>
      </c>
      <c r="N2860" s="2" t="str">
        <f aca="false">_xlfn.IFS(B2860&lt;30,"Under 30",B2860&lt;40,"30-39",B2860&lt;50,"40-49",B2860&lt;60,"50-59",TRUE(),"60+")</f>
        <v>30-39</v>
      </c>
      <c r="O2860" s="2" t="str">
        <f aca="false">_xlfn.IFS(G2860&lt;0,"1 Negative",G2860=0,"2 Zero",G2860&lt;=500,"3 1-500",G2860&lt;=2000,"4 501-2000",TRUE(),"5 Above 2000")</f>
        <v>4 501-2000</v>
      </c>
      <c r="P2860" s="2" t="n">
        <f aca="false">Lookups!$B$2*M2860+Lookups!$B$3*L2860</f>
        <v>0</v>
      </c>
      <c r="Q2860" s="2" t="str">
        <f aca="false">INDEX(Lookups!$E$2:$E$5,MATCH(P2860,Lookups!$D$2:$D$5,0))</f>
        <v>Low</v>
      </c>
    </row>
    <row r="2861" customFormat="false" ht="15" hidden="false" customHeight="false" outlineLevel="0" collapsed="false">
      <c r="A2861" s="3" t="n">
        <v>2860</v>
      </c>
      <c r="B2861" s="3" t="n">
        <f aca="false">Raw_Data!A2861</f>
        <v>23</v>
      </c>
      <c r="C2861" s="3" t="str">
        <f aca="false">SUBSTITUTE(Raw_Data!B2861,".","")</f>
        <v>blue-collar</v>
      </c>
      <c r="D2861" s="3" t="str">
        <f aca="false">Raw_Data!C2861</f>
        <v>single</v>
      </c>
      <c r="E2861" s="3" t="str">
        <f aca="false">Raw_Data!D2861</f>
        <v>primary</v>
      </c>
      <c r="F2861" s="3" t="str">
        <f aca="false">Raw_Data!E2861</f>
        <v>no</v>
      </c>
      <c r="G2861" s="3" t="n">
        <f aca="false">Raw_Data!F2861</f>
        <v>8627</v>
      </c>
      <c r="H2861" s="3" t="str">
        <f aca="false">Raw_Data!G2861</f>
        <v>yes</v>
      </c>
      <c r="I2861" s="3" t="str">
        <f aca="false">Raw_Data!H2861</f>
        <v>no</v>
      </c>
      <c r="J2861" s="2" t="n">
        <f aca="false">IF(F2861="yes",1,0)</f>
        <v>0</v>
      </c>
      <c r="K2861" s="2" t="n">
        <f aca="false">IF(H2861="yes",1,0)</f>
        <v>1</v>
      </c>
      <c r="L2861" s="2" t="n">
        <f aca="false">IF(I2861="yes",1,0)</f>
        <v>0</v>
      </c>
      <c r="M2861" s="2" t="n">
        <f aca="false">IF(G2861&lt;0,1,0)</f>
        <v>0</v>
      </c>
      <c r="N2861" s="2" t="str">
        <f aca="false">_xlfn.IFS(B2861&lt;30,"Under 30",B2861&lt;40,"30-39",B2861&lt;50,"40-49",B2861&lt;60,"50-59",TRUE(),"60+")</f>
        <v>Under 30</v>
      </c>
      <c r="O2861" s="2" t="str">
        <f aca="false">_xlfn.IFS(G2861&lt;0,"1 Negative",G2861=0,"2 Zero",G2861&lt;=500,"3 1-500",G2861&lt;=2000,"4 501-2000",TRUE(),"5 Above 2000")</f>
        <v>5 Above 2000</v>
      </c>
      <c r="P2861" s="2" t="n">
        <f aca="false">Lookups!$B$2*M2861+Lookups!$B$3*L2861</f>
        <v>0</v>
      </c>
      <c r="Q2861" s="2" t="str">
        <f aca="false">INDEX(Lookups!$E$2:$E$5,MATCH(P2861,Lookups!$D$2:$D$5,0))</f>
        <v>Low</v>
      </c>
    </row>
    <row r="2862" customFormat="false" ht="15" hidden="false" customHeight="false" outlineLevel="0" collapsed="false">
      <c r="A2862" s="3" t="n">
        <v>2861</v>
      </c>
      <c r="B2862" s="3" t="n">
        <f aca="false">Raw_Data!A2862</f>
        <v>31</v>
      </c>
      <c r="C2862" s="3" t="str">
        <f aca="false">SUBSTITUTE(Raw_Data!B2862,".","")</f>
        <v>management</v>
      </c>
      <c r="D2862" s="3" t="str">
        <f aca="false">Raw_Data!C2862</f>
        <v>single</v>
      </c>
      <c r="E2862" s="3" t="str">
        <f aca="false">Raw_Data!D2862</f>
        <v>tertiary</v>
      </c>
      <c r="F2862" s="3" t="str">
        <f aca="false">Raw_Data!E2862</f>
        <v>no</v>
      </c>
      <c r="G2862" s="3" t="n">
        <f aca="false">Raw_Data!F2862</f>
        <v>2590</v>
      </c>
      <c r="H2862" s="3" t="str">
        <f aca="false">Raw_Data!G2862</f>
        <v>no</v>
      </c>
      <c r="I2862" s="3" t="str">
        <f aca="false">Raw_Data!H2862</f>
        <v>no</v>
      </c>
      <c r="J2862" s="2" t="n">
        <f aca="false">IF(F2862="yes",1,0)</f>
        <v>0</v>
      </c>
      <c r="K2862" s="2" t="n">
        <f aca="false">IF(H2862="yes",1,0)</f>
        <v>0</v>
      </c>
      <c r="L2862" s="2" t="n">
        <f aca="false">IF(I2862="yes",1,0)</f>
        <v>0</v>
      </c>
      <c r="M2862" s="2" t="n">
        <f aca="false">IF(G2862&lt;0,1,0)</f>
        <v>0</v>
      </c>
      <c r="N2862" s="2" t="str">
        <f aca="false">_xlfn.IFS(B2862&lt;30,"Under 30",B2862&lt;40,"30-39",B2862&lt;50,"40-49",B2862&lt;60,"50-59",TRUE(),"60+")</f>
        <v>30-39</v>
      </c>
      <c r="O2862" s="2" t="str">
        <f aca="false">_xlfn.IFS(G2862&lt;0,"1 Negative",G2862=0,"2 Zero",G2862&lt;=500,"3 1-500",G2862&lt;=2000,"4 501-2000",TRUE(),"5 Above 2000")</f>
        <v>5 Above 2000</v>
      </c>
      <c r="P2862" s="2" t="n">
        <f aca="false">Lookups!$B$2*M2862+Lookups!$B$3*L2862</f>
        <v>0</v>
      </c>
      <c r="Q2862" s="2" t="str">
        <f aca="false">INDEX(Lookups!$E$2:$E$5,MATCH(P2862,Lookups!$D$2:$D$5,0))</f>
        <v>Low</v>
      </c>
    </row>
    <row r="2863" customFormat="false" ht="15" hidden="false" customHeight="false" outlineLevel="0" collapsed="false">
      <c r="A2863" s="3" t="n">
        <v>2862</v>
      </c>
      <c r="B2863" s="3" t="n">
        <f aca="false">Raw_Data!A2863</f>
        <v>36</v>
      </c>
      <c r="C2863" s="3" t="str">
        <f aca="false">SUBSTITUTE(Raw_Data!B2863,".","")</f>
        <v>management</v>
      </c>
      <c r="D2863" s="3" t="str">
        <f aca="false">Raw_Data!C2863</f>
        <v>married</v>
      </c>
      <c r="E2863" s="3" t="str">
        <f aca="false">Raw_Data!D2863</f>
        <v>tertiary</v>
      </c>
      <c r="F2863" s="3" t="str">
        <f aca="false">Raw_Data!E2863</f>
        <v>no</v>
      </c>
      <c r="G2863" s="3" t="n">
        <f aca="false">Raw_Data!F2863</f>
        <v>0</v>
      </c>
      <c r="H2863" s="3" t="str">
        <f aca="false">Raw_Data!G2863</f>
        <v>yes</v>
      </c>
      <c r="I2863" s="3" t="str">
        <f aca="false">Raw_Data!H2863</f>
        <v>yes</v>
      </c>
      <c r="J2863" s="2" t="n">
        <f aca="false">IF(F2863="yes",1,0)</f>
        <v>0</v>
      </c>
      <c r="K2863" s="2" t="n">
        <f aca="false">IF(H2863="yes",1,0)</f>
        <v>1</v>
      </c>
      <c r="L2863" s="2" t="n">
        <f aca="false">IF(I2863="yes",1,0)</f>
        <v>1</v>
      </c>
      <c r="M2863" s="2" t="n">
        <f aca="false">IF(G2863&lt;0,1,0)</f>
        <v>0</v>
      </c>
      <c r="N2863" s="2" t="str">
        <f aca="false">_xlfn.IFS(B2863&lt;30,"Under 30",B2863&lt;40,"30-39",B2863&lt;50,"40-49",B2863&lt;60,"50-59",TRUE(),"60+")</f>
        <v>30-39</v>
      </c>
      <c r="O2863" s="2" t="str">
        <f aca="false">_xlfn.IFS(G2863&lt;0,"1 Negative",G2863=0,"2 Zero",G2863&lt;=500,"3 1-500",G2863&lt;=2000,"4 501-2000",TRUE(),"5 Above 2000")</f>
        <v>2 Zero</v>
      </c>
      <c r="P2863" s="2" t="n">
        <f aca="false">Lookups!$B$2*M2863+Lookups!$B$3*L2863</f>
        <v>1</v>
      </c>
      <c r="Q2863" s="2" t="str">
        <f aca="false">INDEX(Lookups!$E$2:$E$5,MATCH(P2863,Lookups!$D$2:$D$5,0))</f>
        <v>Medium</v>
      </c>
    </row>
    <row r="2864" customFormat="false" ht="15" hidden="false" customHeight="false" outlineLevel="0" collapsed="false">
      <c r="A2864" s="3" t="n">
        <v>2863</v>
      </c>
      <c r="B2864" s="3" t="n">
        <f aca="false">Raw_Data!A2864</f>
        <v>44</v>
      </c>
      <c r="C2864" s="3" t="str">
        <f aca="false">SUBSTITUTE(Raw_Data!B2864,".","")</f>
        <v>technician</v>
      </c>
      <c r="D2864" s="3" t="str">
        <f aca="false">Raw_Data!C2864</f>
        <v>single</v>
      </c>
      <c r="E2864" s="3" t="str">
        <f aca="false">Raw_Data!D2864</f>
        <v>tertiary</v>
      </c>
      <c r="F2864" s="3" t="str">
        <f aca="false">Raw_Data!E2864</f>
        <v>no</v>
      </c>
      <c r="G2864" s="3" t="n">
        <f aca="false">Raw_Data!F2864</f>
        <v>900</v>
      </c>
      <c r="H2864" s="3" t="str">
        <f aca="false">Raw_Data!G2864</f>
        <v>yes</v>
      </c>
      <c r="I2864" s="3" t="str">
        <f aca="false">Raw_Data!H2864</f>
        <v>no</v>
      </c>
      <c r="J2864" s="2" t="n">
        <f aca="false">IF(F2864="yes",1,0)</f>
        <v>0</v>
      </c>
      <c r="K2864" s="2" t="n">
        <f aca="false">IF(H2864="yes",1,0)</f>
        <v>1</v>
      </c>
      <c r="L2864" s="2" t="n">
        <f aca="false">IF(I2864="yes",1,0)</f>
        <v>0</v>
      </c>
      <c r="M2864" s="2" t="n">
        <f aca="false">IF(G2864&lt;0,1,0)</f>
        <v>0</v>
      </c>
      <c r="N2864" s="2" t="str">
        <f aca="false">_xlfn.IFS(B2864&lt;30,"Under 30",B2864&lt;40,"30-39",B2864&lt;50,"40-49",B2864&lt;60,"50-59",TRUE(),"60+")</f>
        <v>40-49</v>
      </c>
      <c r="O2864" s="2" t="str">
        <f aca="false">_xlfn.IFS(G2864&lt;0,"1 Negative",G2864=0,"2 Zero",G2864&lt;=500,"3 1-500",G2864&lt;=2000,"4 501-2000",TRUE(),"5 Above 2000")</f>
        <v>4 501-2000</v>
      </c>
      <c r="P2864" s="2" t="n">
        <f aca="false">Lookups!$B$2*M2864+Lookups!$B$3*L2864</f>
        <v>0</v>
      </c>
      <c r="Q2864" s="2" t="str">
        <f aca="false">INDEX(Lookups!$E$2:$E$5,MATCH(P2864,Lookups!$D$2:$D$5,0))</f>
        <v>Low</v>
      </c>
    </row>
    <row r="2865" customFormat="false" ht="15" hidden="false" customHeight="false" outlineLevel="0" collapsed="false">
      <c r="A2865" s="3" t="n">
        <v>2864</v>
      </c>
      <c r="B2865" s="3" t="n">
        <f aca="false">Raw_Data!A2865</f>
        <v>31</v>
      </c>
      <c r="C2865" s="3" t="str">
        <f aca="false">SUBSTITUTE(Raw_Data!B2865,".","")</f>
        <v>management</v>
      </c>
      <c r="D2865" s="3" t="str">
        <f aca="false">Raw_Data!C2865</f>
        <v>single</v>
      </c>
      <c r="E2865" s="3" t="str">
        <f aca="false">Raw_Data!D2865</f>
        <v>tertiary</v>
      </c>
      <c r="F2865" s="3" t="str">
        <f aca="false">Raw_Data!E2865</f>
        <v>no</v>
      </c>
      <c r="G2865" s="3" t="n">
        <f aca="false">Raw_Data!F2865</f>
        <v>385</v>
      </c>
      <c r="H2865" s="3" t="str">
        <f aca="false">Raw_Data!G2865</f>
        <v>yes</v>
      </c>
      <c r="I2865" s="3" t="str">
        <f aca="false">Raw_Data!H2865</f>
        <v>no</v>
      </c>
      <c r="J2865" s="2" t="n">
        <f aca="false">IF(F2865="yes",1,0)</f>
        <v>0</v>
      </c>
      <c r="K2865" s="2" t="n">
        <f aca="false">IF(H2865="yes",1,0)</f>
        <v>1</v>
      </c>
      <c r="L2865" s="2" t="n">
        <f aca="false">IF(I2865="yes",1,0)</f>
        <v>0</v>
      </c>
      <c r="M2865" s="2" t="n">
        <f aca="false">IF(G2865&lt;0,1,0)</f>
        <v>0</v>
      </c>
      <c r="N2865" s="2" t="str">
        <f aca="false">_xlfn.IFS(B2865&lt;30,"Under 30",B2865&lt;40,"30-39",B2865&lt;50,"40-49",B2865&lt;60,"50-59",TRUE(),"60+")</f>
        <v>30-39</v>
      </c>
      <c r="O2865" s="2" t="str">
        <f aca="false">_xlfn.IFS(G2865&lt;0,"1 Negative",G2865=0,"2 Zero",G2865&lt;=500,"3 1-500",G2865&lt;=2000,"4 501-2000",TRUE(),"5 Above 2000")</f>
        <v>3 1-500</v>
      </c>
      <c r="P2865" s="2" t="n">
        <f aca="false">Lookups!$B$2*M2865+Lookups!$B$3*L2865</f>
        <v>0</v>
      </c>
      <c r="Q2865" s="2" t="str">
        <f aca="false">INDEX(Lookups!$E$2:$E$5,MATCH(P2865,Lookups!$D$2:$D$5,0))</f>
        <v>Low</v>
      </c>
    </row>
    <row r="2866" customFormat="false" ht="15" hidden="false" customHeight="false" outlineLevel="0" collapsed="false">
      <c r="A2866" s="3" t="n">
        <v>2865</v>
      </c>
      <c r="B2866" s="3" t="n">
        <f aca="false">Raw_Data!A2866</f>
        <v>55</v>
      </c>
      <c r="C2866" s="3" t="str">
        <f aca="false">SUBSTITUTE(Raw_Data!B2866,".","")</f>
        <v>blue-collar</v>
      </c>
      <c r="D2866" s="3" t="str">
        <f aca="false">Raw_Data!C2866</f>
        <v>married</v>
      </c>
      <c r="E2866" s="3" t="str">
        <f aca="false">Raw_Data!D2866</f>
        <v>primary</v>
      </c>
      <c r="F2866" s="3" t="str">
        <f aca="false">Raw_Data!E2866</f>
        <v>no</v>
      </c>
      <c r="G2866" s="3" t="n">
        <f aca="false">Raw_Data!F2866</f>
        <v>1649</v>
      </c>
      <c r="H2866" s="3" t="str">
        <f aca="false">Raw_Data!G2866</f>
        <v>yes</v>
      </c>
      <c r="I2866" s="3" t="str">
        <f aca="false">Raw_Data!H2866</f>
        <v>no</v>
      </c>
      <c r="J2866" s="2" t="n">
        <f aca="false">IF(F2866="yes",1,0)</f>
        <v>0</v>
      </c>
      <c r="K2866" s="2" t="n">
        <f aca="false">IF(H2866="yes",1,0)</f>
        <v>1</v>
      </c>
      <c r="L2866" s="2" t="n">
        <f aca="false">IF(I2866="yes",1,0)</f>
        <v>0</v>
      </c>
      <c r="M2866" s="2" t="n">
        <f aca="false">IF(G2866&lt;0,1,0)</f>
        <v>0</v>
      </c>
      <c r="N2866" s="2" t="str">
        <f aca="false">_xlfn.IFS(B2866&lt;30,"Under 30",B2866&lt;40,"30-39",B2866&lt;50,"40-49",B2866&lt;60,"50-59",TRUE(),"60+")</f>
        <v>50-59</v>
      </c>
      <c r="O2866" s="2" t="str">
        <f aca="false">_xlfn.IFS(G2866&lt;0,"1 Negative",G2866=0,"2 Zero",G2866&lt;=500,"3 1-500",G2866&lt;=2000,"4 501-2000",TRUE(),"5 Above 2000")</f>
        <v>4 501-2000</v>
      </c>
      <c r="P2866" s="2" t="n">
        <f aca="false">Lookups!$B$2*M2866+Lookups!$B$3*L2866</f>
        <v>0</v>
      </c>
      <c r="Q2866" s="2" t="str">
        <f aca="false">INDEX(Lookups!$E$2:$E$5,MATCH(P2866,Lookups!$D$2:$D$5,0))</f>
        <v>Low</v>
      </c>
    </row>
    <row r="2867" customFormat="false" ht="15" hidden="false" customHeight="false" outlineLevel="0" collapsed="false">
      <c r="A2867" s="3" t="n">
        <v>2866</v>
      </c>
      <c r="B2867" s="3" t="n">
        <f aca="false">Raw_Data!A2867</f>
        <v>51</v>
      </c>
      <c r="C2867" s="3" t="str">
        <f aca="false">SUBSTITUTE(Raw_Data!B2867,".","")</f>
        <v>housemaid</v>
      </c>
      <c r="D2867" s="3" t="str">
        <f aca="false">Raw_Data!C2867</f>
        <v>divorced</v>
      </c>
      <c r="E2867" s="3" t="str">
        <f aca="false">Raw_Data!D2867</f>
        <v>secondary</v>
      </c>
      <c r="F2867" s="3" t="str">
        <f aca="false">Raw_Data!E2867</f>
        <v>no</v>
      </c>
      <c r="G2867" s="3" t="n">
        <f aca="false">Raw_Data!F2867</f>
        <v>9228</v>
      </c>
      <c r="H2867" s="3" t="str">
        <f aca="false">Raw_Data!G2867</f>
        <v>no</v>
      </c>
      <c r="I2867" s="3" t="str">
        <f aca="false">Raw_Data!H2867</f>
        <v>no</v>
      </c>
      <c r="J2867" s="2" t="n">
        <f aca="false">IF(F2867="yes",1,0)</f>
        <v>0</v>
      </c>
      <c r="K2867" s="2" t="n">
        <f aca="false">IF(H2867="yes",1,0)</f>
        <v>0</v>
      </c>
      <c r="L2867" s="2" t="n">
        <f aca="false">IF(I2867="yes",1,0)</f>
        <v>0</v>
      </c>
      <c r="M2867" s="2" t="n">
        <f aca="false">IF(G2867&lt;0,1,0)</f>
        <v>0</v>
      </c>
      <c r="N2867" s="2" t="str">
        <f aca="false">_xlfn.IFS(B2867&lt;30,"Under 30",B2867&lt;40,"30-39",B2867&lt;50,"40-49",B2867&lt;60,"50-59",TRUE(),"60+")</f>
        <v>50-59</v>
      </c>
      <c r="O2867" s="2" t="str">
        <f aca="false">_xlfn.IFS(G2867&lt;0,"1 Negative",G2867=0,"2 Zero",G2867&lt;=500,"3 1-500",G2867&lt;=2000,"4 501-2000",TRUE(),"5 Above 2000")</f>
        <v>5 Above 2000</v>
      </c>
      <c r="P2867" s="2" t="n">
        <f aca="false">Lookups!$B$2*M2867+Lookups!$B$3*L2867</f>
        <v>0</v>
      </c>
      <c r="Q2867" s="2" t="str">
        <f aca="false">INDEX(Lookups!$E$2:$E$5,MATCH(P2867,Lookups!$D$2:$D$5,0))</f>
        <v>Low</v>
      </c>
    </row>
    <row r="2868" customFormat="false" ht="15" hidden="false" customHeight="false" outlineLevel="0" collapsed="false">
      <c r="A2868" s="3" t="n">
        <v>2867</v>
      </c>
      <c r="B2868" s="3" t="n">
        <f aca="false">Raw_Data!A2868</f>
        <v>36</v>
      </c>
      <c r="C2868" s="3" t="str">
        <f aca="false">SUBSTITUTE(Raw_Data!B2868,".","")</f>
        <v>admin</v>
      </c>
      <c r="D2868" s="3" t="str">
        <f aca="false">Raw_Data!C2868</f>
        <v>married</v>
      </c>
      <c r="E2868" s="3" t="str">
        <f aca="false">Raw_Data!D2868</f>
        <v>secondary</v>
      </c>
      <c r="F2868" s="3" t="str">
        <f aca="false">Raw_Data!E2868</f>
        <v>no</v>
      </c>
      <c r="G2868" s="3" t="n">
        <f aca="false">Raw_Data!F2868</f>
        <v>0</v>
      </c>
      <c r="H2868" s="3" t="str">
        <f aca="false">Raw_Data!G2868</f>
        <v>yes</v>
      </c>
      <c r="I2868" s="3" t="str">
        <f aca="false">Raw_Data!H2868</f>
        <v>yes</v>
      </c>
      <c r="J2868" s="2" t="n">
        <f aca="false">IF(F2868="yes",1,0)</f>
        <v>0</v>
      </c>
      <c r="K2868" s="2" t="n">
        <f aca="false">IF(H2868="yes",1,0)</f>
        <v>1</v>
      </c>
      <c r="L2868" s="2" t="n">
        <f aca="false">IF(I2868="yes",1,0)</f>
        <v>1</v>
      </c>
      <c r="M2868" s="2" t="n">
        <f aca="false">IF(G2868&lt;0,1,0)</f>
        <v>0</v>
      </c>
      <c r="N2868" s="2" t="str">
        <f aca="false">_xlfn.IFS(B2868&lt;30,"Under 30",B2868&lt;40,"30-39",B2868&lt;50,"40-49",B2868&lt;60,"50-59",TRUE(),"60+")</f>
        <v>30-39</v>
      </c>
      <c r="O2868" s="2" t="str">
        <f aca="false">_xlfn.IFS(G2868&lt;0,"1 Negative",G2868=0,"2 Zero",G2868&lt;=500,"3 1-500",G2868&lt;=2000,"4 501-2000",TRUE(),"5 Above 2000")</f>
        <v>2 Zero</v>
      </c>
      <c r="P2868" s="2" t="n">
        <f aca="false">Lookups!$B$2*M2868+Lookups!$B$3*L2868</f>
        <v>1</v>
      </c>
      <c r="Q2868" s="2" t="str">
        <f aca="false">INDEX(Lookups!$E$2:$E$5,MATCH(P2868,Lookups!$D$2:$D$5,0))</f>
        <v>Medium</v>
      </c>
    </row>
    <row r="2869" customFormat="false" ht="15" hidden="false" customHeight="false" outlineLevel="0" collapsed="false">
      <c r="A2869" s="3" t="n">
        <v>2868</v>
      </c>
      <c r="B2869" s="3" t="n">
        <f aca="false">Raw_Data!A2869</f>
        <v>27</v>
      </c>
      <c r="C2869" s="3" t="str">
        <f aca="false">SUBSTITUTE(Raw_Data!B2869,".","")</f>
        <v>unemployed</v>
      </c>
      <c r="D2869" s="3" t="str">
        <f aca="false">Raw_Data!C2869</f>
        <v>single</v>
      </c>
      <c r="E2869" s="3" t="str">
        <f aca="false">Raw_Data!D2869</f>
        <v>tertiary</v>
      </c>
      <c r="F2869" s="3" t="str">
        <f aca="false">Raw_Data!E2869</f>
        <v>no</v>
      </c>
      <c r="G2869" s="3" t="n">
        <f aca="false">Raw_Data!F2869</f>
        <v>1</v>
      </c>
      <c r="H2869" s="3" t="str">
        <f aca="false">Raw_Data!G2869</f>
        <v>no</v>
      </c>
      <c r="I2869" s="3" t="str">
        <f aca="false">Raw_Data!H2869</f>
        <v>no</v>
      </c>
      <c r="J2869" s="2" t="n">
        <f aca="false">IF(F2869="yes",1,0)</f>
        <v>0</v>
      </c>
      <c r="K2869" s="2" t="n">
        <f aca="false">IF(H2869="yes",1,0)</f>
        <v>0</v>
      </c>
      <c r="L2869" s="2" t="n">
        <f aca="false">IF(I2869="yes",1,0)</f>
        <v>0</v>
      </c>
      <c r="M2869" s="2" t="n">
        <f aca="false">IF(G2869&lt;0,1,0)</f>
        <v>0</v>
      </c>
      <c r="N2869" s="2" t="str">
        <f aca="false">_xlfn.IFS(B2869&lt;30,"Under 30",B2869&lt;40,"30-39",B2869&lt;50,"40-49",B2869&lt;60,"50-59",TRUE(),"60+")</f>
        <v>Under 30</v>
      </c>
      <c r="O2869" s="2" t="str">
        <f aca="false">_xlfn.IFS(G2869&lt;0,"1 Negative",G2869=0,"2 Zero",G2869&lt;=500,"3 1-500",G2869&lt;=2000,"4 501-2000",TRUE(),"5 Above 2000")</f>
        <v>3 1-500</v>
      </c>
      <c r="P2869" s="2" t="n">
        <f aca="false">Lookups!$B$2*M2869+Lookups!$B$3*L2869</f>
        <v>0</v>
      </c>
      <c r="Q2869" s="2" t="str">
        <f aca="false">INDEX(Lookups!$E$2:$E$5,MATCH(P2869,Lookups!$D$2:$D$5,0))</f>
        <v>Low</v>
      </c>
    </row>
    <row r="2870" customFormat="false" ht="15" hidden="false" customHeight="false" outlineLevel="0" collapsed="false">
      <c r="A2870" s="3" t="n">
        <v>2869</v>
      </c>
      <c r="B2870" s="3" t="n">
        <f aca="false">Raw_Data!A2870</f>
        <v>40</v>
      </c>
      <c r="C2870" s="3" t="str">
        <f aca="false">SUBSTITUTE(Raw_Data!B2870,".","")</f>
        <v>services</v>
      </c>
      <c r="D2870" s="3" t="str">
        <f aca="false">Raw_Data!C2870</f>
        <v>married</v>
      </c>
      <c r="E2870" s="3" t="str">
        <f aca="false">Raw_Data!D2870</f>
        <v>secondary</v>
      </c>
      <c r="F2870" s="3" t="str">
        <f aca="false">Raw_Data!E2870</f>
        <v>no</v>
      </c>
      <c r="G2870" s="3" t="n">
        <f aca="false">Raw_Data!F2870</f>
        <v>771</v>
      </c>
      <c r="H2870" s="3" t="str">
        <f aca="false">Raw_Data!G2870</f>
        <v>yes</v>
      </c>
      <c r="I2870" s="3" t="str">
        <f aca="false">Raw_Data!H2870</f>
        <v>no</v>
      </c>
      <c r="J2870" s="2" t="n">
        <f aca="false">IF(F2870="yes",1,0)</f>
        <v>0</v>
      </c>
      <c r="K2870" s="2" t="n">
        <f aca="false">IF(H2870="yes",1,0)</f>
        <v>1</v>
      </c>
      <c r="L2870" s="2" t="n">
        <f aca="false">IF(I2870="yes",1,0)</f>
        <v>0</v>
      </c>
      <c r="M2870" s="2" t="n">
        <f aca="false">IF(G2870&lt;0,1,0)</f>
        <v>0</v>
      </c>
      <c r="N2870" s="2" t="str">
        <f aca="false">_xlfn.IFS(B2870&lt;30,"Under 30",B2870&lt;40,"30-39",B2870&lt;50,"40-49",B2870&lt;60,"50-59",TRUE(),"60+")</f>
        <v>40-49</v>
      </c>
      <c r="O2870" s="2" t="str">
        <f aca="false">_xlfn.IFS(G2870&lt;0,"1 Negative",G2870=0,"2 Zero",G2870&lt;=500,"3 1-500",G2870&lt;=2000,"4 501-2000",TRUE(),"5 Above 2000")</f>
        <v>4 501-2000</v>
      </c>
      <c r="P2870" s="2" t="n">
        <f aca="false">Lookups!$B$2*M2870+Lookups!$B$3*L2870</f>
        <v>0</v>
      </c>
      <c r="Q2870" s="2" t="str">
        <f aca="false">INDEX(Lookups!$E$2:$E$5,MATCH(P2870,Lookups!$D$2:$D$5,0))</f>
        <v>Low</v>
      </c>
    </row>
    <row r="2871" customFormat="false" ht="15" hidden="false" customHeight="false" outlineLevel="0" collapsed="false">
      <c r="A2871" s="3" t="n">
        <v>2870</v>
      </c>
      <c r="B2871" s="3" t="n">
        <f aca="false">Raw_Data!A2871</f>
        <v>49</v>
      </c>
      <c r="C2871" s="3" t="str">
        <f aca="false">SUBSTITUTE(Raw_Data!B2871,".","")</f>
        <v>services</v>
      </c>
      <c r="D2871" s="3" t="str">
        <f aca="false">Raw_Data!C2871</f>
        <v>married</v>
      </c>
      <c r="E2871" s="3" t="str">
        <f aca="false">Raw_Data!D2871</f>
        <v>secondary</v>
      </c>
      <c r="F2871" s="3" t="str">
        <f aca="false">Raw_Data!E2871</f>
        <v>no</v>
      </c>
      <c r="G2871" s="3" t="n">
        <f aca="false">Raw_Data!F2871</f>
        <v>280</v>
      </c>
      <c r="H2871" s="3" t="str">
        <f aca="false">Raw_Data!G2871</f>
        <v>yes</v>
      </c>
      <c r="I2871" s="3" t="str">
        <f aca="false">Raw_Data!H2871</f>
        <v>no</v>
      </c>
      <c r="J2871" s="2" t="n">
        <f aca="false">IF(F2871="yes",1,0)</f>
        <v>0</v>
      </c>
      <c r="K2871" s="2" t="n">
        <f aca="false">IF(H2871="yes",1,0)</f>
        <v>1</v>
      </c>
      <c r="L2871" s="2" t="n">
        <f aca="false">IF(I2871="yes",1,0)</f>
        <v>0</v>
      </c>
      <c r="M2871" s="2" t="n">
        <f aca="false">IF(G2871&lt;0,1,0)</f>
        <v>0</v>
      </c>
      <c r="N2871" s="2" t="str">
        <f aca="false">_xlfn.IFS(B2871&lt;30,"Under 30",B2871&lt;40,"30-39",B2871&lt;50,"40-49",B2871&lt;60,"50-59",TRUE(),"60+")</f>
        <v>40-49</v>
      </c>
      <c r="O2871" s="2" t="str">
        <f aca="false">_xlfn.IFS(G2871&lt;0,"1 Negative",G2871=0,"2 Zero",G2871&lt;=500,"3 1-500",G2871&lt;=2000,"4 501-2000",TRUE(),"5 Above 2000")</f>
        <v>3 1-500</v>
      </c>
      <c r="P2871" s="2" t="n">
        <f aca="false">Lookups!$B$2*M2871+Lookups!$B$3*L2871</f>
        <v>0</v>
      </c>
      <c r="Q2871" s="2" t="str">
        <f aca="false">INDEX(Lookups!$E$2:$E$5,MATCH(P2871,Lookups!$D$2:$D$5,0))</f>
        <v>Low</v>
      </c>
    </row>
    <row r="2872" customFormat="false" ht="15" hidden="false" customHeight="false" outlineLevel="0" collapsed="false">
      <c r="A2872" s="3" t="n">
        <v>2871</v>
      </c>
      <c r="B2872" s="3" t="n">
        <f aca="false">Raw_Data!A2872</f>
        <v>59</v>
      </c>
      <c r="C2872" s="3" t="str">
        <f aca="false">SUBSTITUTE(Raw_Data!B2872,".","")</f>
        <v>retired</v>
      </c>
      <c r="D2872" s="3" t="str">
        <f aca="false">Raw_Data!C2872</f>
        <v>married</v>
      </c>
      <c r="E2872" s="3" t="str">
        <f aca="false">Raw_Data!D2872</f>
        <v>primary</v>
      </c>
      <c r="F2872" s="3" t="str">
        <f aca="false">Raw_Data!E2872</f>
        <v>no</v>
      </c>
      <c r="G2872" s="3" t="n">
        <f aca="false">Raw_Data!F2872</f>
        <v>46</v>
      </c>
      <c r="H2872" s="3" t="str">
        <f aca="false">Raw_Data!G2872</f>
        <v>no</v>
      </c>
      <c r="I2872" s="3" t="str">
        <f aca="false">Raw_Data!H2872</f>
        <v>no</v>
      </c>
      <c r="J2872" s="2" t="n">
        <f aca="false">IF(F2872="yes",1,0)</f>
        <v>0</v>
      </c>
      <c r="K2872" s="2" t="n">
        <f aca="false">IF(H2872="yes",1,0)</f>
        <v>0</v>
      </c>
      <c r="L2872" s="2" t="n">
        <f aca="false">IF(I2872="yes",1,0)</f>
        <v>0</v>
      </c>
      <c r="M2872" s="2" t="n">
        <f aca="false">IF(G2872&lt;0,1,0)</f>
        <v>0</v>
      </c>
      <c r="N2872" s="2" t="str">
        <f aca="false">_xlfn.IFS(B2872&lt;30,"Under 30",B2872&lt;40,"30-39",B2872&lt;50,"40-49",B2872&lt;60,"50-59",TRUE(),"60+")</f>
        <v>50-59</v>
      </c>
      <c r="O2872" s="2" t="str">
        <f aca="false">_xlfn.IFS(G2872&lt;0,"1 Negative",G2872=0,"2 Zero",G2872&lt;=500,"3 1-500",G2872&lt;=2000,"4 501-2000",TRUE(),"5 Above 2000")</f>
        <v>3 1-500</v>
      </c>
      <c r="P2872" s="2" t="n">
        <f aca="false">Lookups!$B$2*M2872+Lookups!$B$3*L2872</f>
        <v>0</v>
      </c>
      <c r="Q2872" s="2" t="str">
        <f aca="false">INDEX(Lookups!$E$2:$E$5,MATCH(P2872,Lookups!$D$2:$D$5,0))</f>
        <v>Low</v>
      </c>
    </row>
    <row r="2873" customFormat="false" ht="15" hidden="false" customHeight="false" outlineLevel="0" collapsed="false">
      <c r="A2873" s="3" t="n">
        <v>2872</v>
      </c>
      <c r="B2873" s="3" t="n">
        <f aca="false">Raw_Data!A2873</f>
        <v>32</v>
      </c>
      <c r="C2873" s="3" t="str">
        <f aca="false">SUBSTITUTE(Raw_Data!B2873,".","")</f>
        <v>management</v>
      </c>
      <c r="D2873" s="3" t="str">
        <f aca="false">Raw_Data!C2873</f>
        <v>married</v>
      </c>
      <c r="E2873" s="3" t="str">
        <f aca="false">Raw_Data!D2873</f>
        <v>tertiary</v>
      </c>
      <c r="F2873" s="3" t="str">
        <f aca="false">Raw_Data!E2873</f>
        <v>no</v>
      </c>
      <c r="G2873" s="3" t="n">
        <f aca="false">Raw_Data!F2873</f>
        <v>2431</v>
      </c>
      <c r="H2873" s="3" t="str">
        <f aca="false">Raw_Data!G2873</f>
        <v>yes</v>
      </c>
      <c r="I2873" s="3" t="str">
        <f aca="false">Raw_Data!H2873</f>
        <v>no</v>
      </c>
      <c r="J2873" s="2" t="n">
        <f aca="false">IF(F2873="yes",1,0)</f>
        <v>0</v>
      </c>
      <c r="K2873" s="2" t="n">
        <f aca="false">IF(H2873="yes",1,0)</f>
        <v>1</v>
      </c>
      <c r="L2873" s="2" t="n">
        <f aca="false">IF(I2873="yes",1,0)</f>
        <v>0</v>
      </c>
      <c r="M2873" s="2" t="n">
        <f aca="false">IF(G2873&lt;0,1,0)</f>
        <v>0</v>
      </c>
      <c r="N2873" s="2" t="str">
        <f aca="false">_xlfn.IFS(B2873&lt;30,"Under 30",B2873&lt;40,"30-39",B2873&lt;50,"40-49",B2873&lt;60,"50-59",TRUE(),"60+")</f>
        <v>30-39</v>
      </c>
      <c r="O2873" s="2" t="str">
        <f aca="false">_xlfn.IFS(G2873&lt;0,"1 Negative",G2873=0,"2 Zero",G2873&lt;=500,"3 1-500",G2873&lt;=2000,"4 501-2000",TRUE(),"5 Above 2000")</f>
        <v>5 Above 2000</v>
      </c>
      <c r="P2873" s="2" t="n">
        <f aca="false">Lookups!$B$2*M2873+Lookups!$B$3*L2873</f>
        <v>0</v>
      </c>
      <c r="Q2873" s="2" t="str">
        <f aca="false">INDEX(Lookups!$E$2:$E$5,MATCH(P2873,Lookups!$D$2:$D$5,0))</f>
        <v>Low</v>
      </c>
    </row>
    <row r="2874" customFormat="false" ht="15" hidden="false" customHeight="false" outlineLevel="0" collapsed="false">
      <c r="A2874" s="3" t="n">
        <v>2873</v>
      </c>
      <c r="B2874" s="3" t="n">
        <f aca="false">Raw_Data!A2874</f>
        <v>42</v>
      </c>
      <c r="C2874" s="3" t="str">
        <f aca="false">SUBSTITUTE(Raw_Data!B2874,".","")</f>
        <v>retired</v>
      </c>
      <c r="D2874" s="3" t="str">
        <f aca="false">Raw_Data!C2874</f>
        <v>single</v>
      </c>
      <c r="E2874" s="3" t="str">
        <f aca="false">Raw_Data!D2874</f>
        <v>tertiary</v>
      </c>
      <c r="F2874" s="3" t="str">
        <f aca="false">Raw_Data!E2874</f>
        <v>no</v>
      </c>
      <c r="G2874" s="3" t="n">
        <f aca="false">Raw_Data!F2874</f>
        <v>308</v>
      </c>
      <c r="H2874" s="3" t="str">
        <f aca="false">Raw_Data!G2874</f>
        <v>no</v>
      </c>
      <c r="I2874" s="3" t="str">
        <f aca="false">Raw_Data!H2874</f>
        <v>no</v>
      </c>
      <c r="J2874" s="2" t="n">
        <f aca="false">IF(F2874="yes",1,0)</f>
        <v>0</v>
      </c>
      <c r="K2874" s="2" t="n">
        <f aca="false">IF(H2874="yes",1,0)</f>
        <v>0</v>
      </c>
      <c r="L2874" s="2" t="n">
        <f aca="false">IF(I2874="yes",1,0)</f>
        <v>0</v>
      </c>
      <c r="M2874" s="2" t="n">
        <f aca="false">IF(G2874&lt;0,1,0)</f>
        <v>0</v>
      </c>
      <c r="N2874" s="2" t="str">
        <f aca="false">_xlfn.IFS(B2874&lt;30,"Under 30",B2874&lt;40,"30-39",B2874&lt;50,"40-49",B2874&lt;60,"50-59",TRUE(),"60+")</f>
        <v>40-49</v>
      </c>
      <c r="O2874" s="2" t="str">
        <f aca="false">_xlfn.IFS(G2874&lt;0,"1 Negative",G2874=0,"2 Zero",G2874&lt;=500,"3 1-500",G2874&lt;=2000,"4 501-2000",TRUE(),"5 Above 2000")</f>
        <v>3 1-500</v>
      </c>
      <c r="P2874" s="2" t="n">
        <f aca="false">Lookups!$B$2*M2874+Lookups!$B$3*L2874</f>
        <v>0</v>
      </c>
      <c r="Q2874" s="2" t="str">
        <f aca="false">INDEX(Lookups!$E$2:$E$5,MATCH(P2874,Lookups!$D$2:$D$5,0))</f>
        <v>Low</v>
      </c>
    </row>
    <row r="2875" customFormat="false" ht="15" hidden="false" customHeight="false" outlineLevel="0" collapsed="false">
      <c r="A2875" s="3" t="n">
        <v>2874</v>
      </c>
      <c r="B2875" s="3" t="n">
        <f aca="false">Raw_Data!A2875</f>
        <v>35</v>
      </c>
      <c r="C2875" s="3" t="str">
        <f aca="false">SUBSTITUTE(Raw_Data!B2875,".","")</f>
        <v>management</v>
      </c>
      <c r="D2875" s="3" t="str">
        <f aca="false">Raw_Data!C2875</f>
        <v>divorced</v>
      </c>
      <c r="E2875" s="3" t="str">
        <f aca="false">Raw_Data!D2875</f>
        <v>tertiary</v>
      </c>
      <c r="F2875" s="3" t="str">
        <f aca="false">Raw_Data!E2875</f>
        <v>no</v>
      </c>
      <c r="G2875" s="3" t="n">
        <f aca="false">Raw_Data!F2875</f>
        <v>160</v>
      </c>
      <c r="H2875" s="3" t="str">
        <f aca="false">Raw_Data!G2875</f>
        <v>yes</v>
      </c>
      <c r="I2875" s="3" t="str">
        <f aca="false">Raw_Data!H2875</f>
        <v>no</v>
      </c>
      <c r="J2875" s="2" t="n">
        <f aca="false">IF(F2875="yes",1,0)</f>
        <v>0</v>
      </c>
      <c r="K2875" s="2" t="n">
        <f aca="false">IF(H2875="yes",1,0)</f>
        <v>1</v>
      </c>
      <c r="L2875" s="2" t="n">
        <f aca="false">IF(I2875="yes",1,0)</f>
        <v>0</v>
      </c>
      <c r="M2875" s="2" t="n">
        <f aca="false">IF(G2875&lt;0,1,0)</f>
        <v>0</v>
      </c>
      <c r="N2875" s="2" t="str">
        <f aca="false">_xlfn.IFS(B2875&lt;30,"Under 30",B2875&lt;40,"30-39",B2875&lt;50,"40-49",B2875&lt;60,"50-59",TRUE(),"60+")</f>
        <v>30-39</v>
      </c>
      <c r="O2875" s="2" t="str">
        <f aca="false">_xlfn.IFS(G2875&lt;0,"1 Negative",G2875=0,"2 Zero",G2875&lt;=500,"3 1-500",G2875&lt;=2000,"4 501-2000",TRUE(),"5 Above 2000")</f>
        <v>3 1-500</v>
      </c>
      <c r="P2875" s="2" t="n">
        <f aca="false">Lookups!$B$2*M2875+Lookups!$B$3*L2875</f>
        <v>0</v>
      </c>
      <c r="Q2875" s="2" t="str">
        <f aca="false">INDEX(Lookups!$E$2:$E$5,MATCH(P2875,Lookups!$D$2:$D$5,0))</f>
        <v>Low</v>
      </c>
    </row>
    <row r="2876" customFormat="false" ht="15" hidden="false" customHeight="false" outlineLevel="0" collapsed="false">
      <c r="A2876" s="3" t="n">
        <v>2875</v>
      </c>
      <c r="B2876" s="3" t="n">
        <f aca="false">Raw_Data!A2876</f>
        <v>29</v>
      </c>
      <c r="C2876" s="3" t="str">
        <f aca="false">SUBSTITUTE(Raw_Data!B2876,".","")</f>
        <v>blue-collar</v>
      </c>
      <c r="D2876" s="3" t="str">
        <f aca="false">Raw_Data!C2876</f>
        <v>single</v>
      </c>
      <c r="E2876" s="3" t="str">
        <f aca="false">Raw_Data!D2876</f>
        <v>secondary</v>
      </c>
      <c r="F2876" s="3" t="str">
        <f aca="false">Raw_Data!E2876</f>
        <v>no</v>
      </c>
      <c r="G2876" s="3" t="n">
        <f aca="false">Raw_Data!F2876</f>
        <v>555</v>
      </c>
      <c r="H2876" s="3" t="str">
        <f aca="false">Raw_Data!G2876</f>
        <v>yes</v>
      </c>
      <c r="I2876" s="3" t="str">
        <f aca="false">Raw_Data!H2876</f>
        <v>no</v>
      </c>
      <c r="J2876" s="2" t="n">
        <f aca="false">IF(F2876="yes",1,0)</f>
        <v>0</v>
      </c>
      <c r="K2876" s="2" t="n">
        <f aca="false">IF(H2876="yes",1,0)</f>
        <v>1</v>
      </c>
      <c r="L2876" s="2" t="n">
        <f aca="false">IF(I2876="yes",1,0)</f>
        <v>0</v>
      </c>
      <c r="M2876" s="2" t="n">
        <f aca="false">IF(G2876&lt;0,1,0)</f>
        <v>0</v>
      </c>
      <c r="N2876" s="2" t="str">
        <f aca="false">_xlfn.IFS(B2876&lt;30,"Under 30",B2876&lt;40,"30-39",B2876&lt;50,"40-49",B2876&lt;60,"50-59",TRUE(),"60+")</f>
        <v>Under 30</v>
      </c>
      <c r="O2876" s="2" t="str">
        <f aca="false">_xlfn.IFS(G2876&lt;0,"1 Negative",G2876=0,"2 Zero",G2876&lt;=500,"3 1-500",G2876&lt;=2000,"4 501-2000",TRUE(),"5 Above 2000")</f>
        <v>4 501-2000</v>
      </c>
      <c r="P2876" s="2" t="n">
        <f aca="false">Lookups!$B$2*M2876+Lookups!$B$3*L2876</f>
        <v>0</v>
      </c>
      <c r="Q2876" s="2" t="str">
        <f aca="false">INDEX(Lookups!$E$2:$E$5,MATCH(P2876,Lookups!$D$2:$D$5,0))</f>
        <v>Low</v>
      </c>
    </row>
    <row r="2877" customFormat="false" ht="15" hidden="false" customHeight="false" outlineLevel="0" collapsed="false">
      <c r="A2877" s="3" t="n">
        <v>2876</v>
      </c>
      <c r="B2877" s="3" t="n">
        <f aca="false">Raw_Data!A2877</f>
        <v>29</v>
      </c>
      <c r="C2877" s="3" t="str">
        <f aca="false">SUBSTITUTE(Raw_Data!B2877,".","")</f>
        <v>technician</v>
      </c>
      <c r="D2877" s="3" t="str">
        <f aca="false">Raw_Data!C2877</f>
        <v>single</v>
      </c>
      <c r="E2877" s="3" t="str">
        <f aca="false">Raw_Data!D2877</f>
        <v>secondary</v>
      </c>
      <c r="F2877" s="3" t="str">
        <f aca="false">Raw_Data!E2877</f>
        <v>no</v>
      </c>
      <c r="G2877" s="3" t="n">
        <f aca="false">Raw_Data!F2877</f>
        <v>778</v>
      </c>
      <c r="H2877" s="3" t="str">
        <f aca="false">Raw_Data!G2877</f>
        <v>yes</v>
      </c>
      <c r="I2877" s="3" t="str">
        <f aca="false">Raw_Data!H2877</f>
        <v>no</v>
      </c>
      <c r="J2877" s="2" t="n">
        <f aca="false">IF(F2877="yes",1,0)</f>
        <v>0</v>
      </c>
      <c r="K2877" s="2" t="n">
        <f aca="false">IF(H2877="yes",1,0)</f>
        <v>1</v>
      </c>
      <c r="L2877" s="2" t="n">
        <f aca="false">IF(I2877="yes",1,0)</f>
        <v>0</v>
      </c>
      <c r="M2877" s="2" t="n">
        <f aca="false">IF(G2877&lt;0,1,0)</f>
        <v>0</v>
      </c>
      <c r="N2877" s="2" t="str">
        <f aca="false">_xlfn.IFS(B2877&lt;30,"Under 30",B2877&lt;40,"30-39",B2877&lt;50,"40-49",B2877&lt;60,"50-59",TRUE(),"60+")</f>
        <v>Under 30</v>
      </c>
      <c r="O2877" s="2" t="str">
        <f aca="false">_xlfn.IFS(G2877&lt;0,"1 Negative",G2877=0,"2 Zero",G2877&lt;=500,"3 1-500",G2877&lt;=2000,"4 501-2000",TRUE(),"5 Above 2000")</f>
        <v>4 501-2000</v>
      </c>
      <c r="P2877" s="2" t="n">
        <f aca="false">Lookups!$B$2*M2877+Lookups!$B$3*L2877</f>
        <v>0</v>
      </c>
      <c r="Q2877" s="2" t="str">
        <f aca="false">INDEX(Lookups!$E$2:$E$5,MATCH(P2877,Lookups!$D$2:$D$5,0))</f>
        <v>Low</v>
      </c>
    </row>
    <row r="2878" customFormat="false" ht="15" hidden="false" customHeight="false" outlineLevel="0" collapsed="false">
      <c r="A2878" s="3" t="n">
        <v>2877</v>
      </c>
      <c r="B2878" s="3" t="n">
        <f aca="false">Raw_Data!A2878</f>
        <v>37</v>
      </c>
      <c r="C2878" s="3" t="str">
        <f aca="false">SUBSTITUTE(Raw_Data!B2878,".","")</f>
        <v>blue-collar</v>
      </c>
      <c r="D2878" s="3" t="str">
        <f aca="false">Raw_Data!C2878</f>
        <v>single</v>
      </c>
      <c r="E2878" s="3" t="str">
        <f aca="false">Raw_Data!D2878</f>
        <v>secondary</v>
      </c>
      <c r="F2878" s="3" t="str">
        <f aca="false">Raw_Data!E2878</f>
        <v>no</v>
      </c>
      <c r="G2878" s="3" t="n">
        <f aca="false">Raw_Data!F2878</f>
        <v>48</v>
      </c>
      <c r="H2878" s="3" t="str">
        <f aca="false">Raw_Data!G2878</f>
        <v>no</v>
      </c>
      <c r="I2878" s="3" t="str">
        <f aca="false">Raw_Data!H2878</f>
        <v>no</v>
      </c>
      <c r="J2878" s="2" t="n">
        <f aca="false">IF(F2878="yes",1,0)</f>
        <v>0</v>
      </c>
      <c r="K2878" s="2" t="n">
        <f aca="false">IF(H2878="yes",1,0)</f>
        <v>0</v>
      </c>
      <c r="L2878" s="2" t="n">
        <f aca="false">IF(I2878="yes",1,0)</f>
        <v>0</v>
      </c>
      <c r="M2878" s="2" t="n">
        <f aca="false">IF(G2878&lt;0,1,0)</f>
        <v>0</v>
      </c>
      <c r="N2878" s="2" t="str">
        <f aca="false">_xlfn.IFS(B2878&lt;30,"Under 30",B2878&lt;40,"30-39",B2878&lt;50,"40-49",B2878&lt;60,"50-59",TRUE(),"60+")</f>
        <v>30-39</v>
      </c>
      <c r="O2878" s="2" t="str">
        <f aca="false">_xlfn.IFS(G2878&lt;0,"1 Negative",G2878=0,"2 Zero",G2878&lt;=500,"3 1-500",G2878&lt;=2000,"4 501-2000",TRUE(),"5 Above 2000")</f>
        <v>3 1-500</v>
      </c>
      <c r="P2878" s="2" t="n">
        <f aca="false">Lookups!$B$2*M2878+Lookups!$B$3*L2878</f>
        <v>0</v>
      </c>
      <c r="Q2878" s="2" t="str">
        <f aca="false">INDEX(Lookups!$E$2:$E$5,MATCH(P2878,Lookups!$D$2:$D$5,0))</f>
        <v>Low</v>
      </c>
    </row>
    <row r="2879" customFormat="false" ht="15" hidden="false" customHeight="false" outlineLevel="0" collapsed="false">
      <c r="A2879" s="3" t="n">
        <v>2878</v>
      </c>
      <c r="B2879" s="3" t="n">
        <f aca="false">Raw_Data!A2879</f>
        <v>49</v>
      </c>
      <c r="C2879" s="3" t="str">
        <f aca="false">SUBSTITUTE(Raw_Data!B2879,".","")</f>
        <v>admin</v>
      </c>
      <c r="D2879" s="3" t="str">
        <f aca="false">Raw_Data!C2879</f>
        <v>married</v>
      </c>
      <c r="E2879" s="3" t="str">
        <f aca="false">Raw_Data!D2879</f>
        <v>primary</v>
      </c>
      <c r="F2879" s="3" t="str">
        <f aca="false">Raw_Data!E2879</f>
        <v>no</v>
      </c>
      <c r="G2879" s="3" t="n">
        <f aca="false">Raw_Data!F2879</f>
        <v>169</v>
      </c>
      <c r="H2879" s="3" t="str">
        <f aca="false">Raw_Data!G2879</f>
        <v>yes</v>
      </c>
      <c r="I2879" s="3" t="str">
        <f aca="false">Raw_Data!H2879</f>
        <v>no</v>
      </c>
      <c r="J2879" s="2" t="n">
        <f aca="false">IF(F2879="yes",1,0)</f>
        <v>0</v>
      </c>
      <c r="K2879" s="2" t="n">
        <f aca="false">IF(H2879="yes",1,0)</f>
        <v>1</v>
      </c>
      <c r="L2879" s="2" t="n">
        <f aca="false">IF(I2879="yes",1,0)</f>
        <v>0</v>
      </c>
      <c r="M2879" s="2" t="n">
        <f aca="false">IF(G2879&lt;0,1,0)</f>
        <v>0</v>
      </c>
      <c r="N2879" s="2" t="str">
        <f aca="false">_xlfn.IFS(B2879&lt;30,"Under 30",B2879&lt;40,"30-39",B2879&lt;50,"40-49",B2879&lt;60,"50-59",TRUE(),"60+")</f>
        <v>40-49</v>
      </c>
      <c r="O2879" s="2" t="str">
        <f aca="false">_xlfn.IFS(G2879&lt;0,"1 Negative",G2879=0,"2 Zero",G2879&lt;=500,"3 1-500",G2879&lt;=2000,"4 501-2000",TRUE(),"5 Above 2000")</f>
        <v>3 1-500</v>
      </c>
      <c r="P2879" s="2" t="n">
        <f aca="false">Lookups!$B$2*M2879+Lookups!$B$3*L2879</f>
        <v>0</v>
      </c>
      <c r="Q2879" s="2" t="str">
        <f aca="false">INDEX(Lookups!$E$2:$E$5,MATCH(P2879,Lookups!$D$2:$D$5,0))</f>
        <v>Low</v>
      </c>
    </row>
    <row r="2880" customFormat="false" ht="15" hidden="false" customHeight="false" outlineLevel="0" collapsed="false">
      <c r="A2880" s="3" t="n">
        <v>2879</v>
      </c>
      <c r="B2880" s="3" t="n">
        <f aca="false">Raw_Data!A2880</f>
        <v>51</v>
      </c>
      <c r="C2880" s="3" t="str">
        <f aca="false">SUBSTITUTE(Raw_Data!B2880,".","")</f>
        <v>services</v>
      </c>
      <c r="D2880" s="3" t="str">
        <f aca="false">Raw_Data!C2880</f>
        <v>divorced</v>
      </c>
      <c r="E2880" s="3" t="str">
        <f aca="false">Raw_Data!D2880</f>
        <v>secondary</v>
      </c>
      <c r="F2880" s="3" t="str">
        <f aca="false">Raw_Data!E2880</f>
        <v>no</v>
      </c>
      <c r="G2880" s="3" t="n">
        <f aca="false">Raw_Data!F2880</f>
        <v>12</v>
      </c>
      <c r="H2880" s="3" t="str">
        <f aca="false">Raw_Data!G2880</f>
        <v>yes</v>
      </c>
      <c r="I2880" s="3" t="str">
        <f aca="false">Raw_Data!H2880</f>
        <v>no</v>
      </c>
      <c r="J2880" s="2" t="n">
        <f aca="false">IF(F2880="yes",1,0)</f>
        <v>0</v>
      </c>
      <c r="K2880" s="2" t="n">
        <f aca="false">IF(H2880="yes",1,0)</f>
        <v>1</v>
      </c>
      <c r="L2880" s="2" t="n">
        <f aca="false">IF(I2880="yes",1,0)</f>
        <v>0</v>
      </c>
      <c r="M2880" s="2" t="n">
        <f aca="false">IF(G2880&lt;0,1,0)</f>
        <v>0</v>
      </c>
      <c r="N2880" s="2" t="str">
        <f aca="false">_xlfn.IFS(B2880&lt;30,"Under 30",B2880&lt;40,"30-39",B2880&lt;50,"40-49",B2880&lt;60,"50-59",TRUE(),"60+")</f>
        <v>50-59</v>
      </c>
      <c r="O2880" s="2" t="str">
        <f aca="false">_xlfn.IFS(G2880&lt;0,"1 Negative",G2880=0,"2 Zero",G2880&lt;=500,"3 1-500",G2880&lt;=2000,"4 501-2000",TRUE(),"5 Above 2000")</f>
        <v>3 1-500</v>
      </c>
      <c r="P2880" s="2" t="n">
        <f aca="false">Lookups!$B$2*M2880+Lookups!$B$3*L2880</f>
        <v>0</v>
      </c>
      <c r="Q2880" s="2" t="str">
        <f aca="false">INDEX(Lookups!$E$2:$E$5,MATCH(P2880,Lookups!$D$2:$D$5,0))</f>
        <v>Low</v>
      </c>
    </row>
    <row r="2881" customFormat="false" ht="15" hidden="false" customHeight="false" outlineLevel="0" collapsed="false">
      <c r="A2881" s="3" t="n">
        <v>2880</v>
      </c>
      <c r="B2881" s="3" t="n">
        <f aca="false">Raw_Data!A2881</f>
        <v>61</v>
      </c>
      <c r="C2881" s="3" t="str">
        <f aca="false">SUBSTITUTE(Raw_Data!B2881,".","")</f>
        <v>housemaid</v>
      </c>
      <c r="D2881" s="3" t="str">
        <f aca="false">Raw_Data!C2881</f>
        <v>married</v>
      </c>
      <c r="E2881" s="3" t="str">
        <f aca="false">Raw_Data!D2881</f>
        <v>primary</v>
      </c>
      <c r="F2881" s="3" t="str">
        <f aca="false">Raw_Data!E2881</f>
        <v>no</v>
      </c>
      <c r="G2881" s="3" t="n">
        <f aca="false">Raw_Data!F2881</f>
        <v>848</v>
      </c>
      <c r="H2881" s="3" t="str">
        <f aca="false">Raw_Data!G2881</f>
        <v>no</v>
      </c>
      <c r="I2881" s="3" t="str">
        <f aca="false">Raw_Data!H2881</f>
        <v>no</v>
      </c>
      <c r="J2881" s="2" t="n">
        <f aca="false">IF(F2881="yes",1,0)</f>
        <v>0</v>
      </c>
      <c r="K2881" s="2" t="n">
        <f aca="false">IF(H2881="yes",1,0)</f>
        <v>0</v>
      </c>
      <c r="L2881" s="2" t="n">
        <f aca="false">IF(I2881="yes",1,0)</f>
        <v>0</v>
      </c>
      <c r="M2881" s="2" t="n">
        <f aca="false">IF(G2881&lt;0,1,0)</f>
        <v>0</v>
      </c>
      <c r="N2881" s="2" t="str">
        <f aca="false">_xlfn.IFS(B2881&lt;30,"Under 30",B2881&lt;40,"30-39",B2881&lt;50,"40-49",B2881&lt;60,"50-59",TRUE(),"60+")</f>
        <v>60+</v>
      </c>
      <c r="O2881" s="2" t="str">
        <f aca="false">_xlfn.IFS(G2881&lt;0,"1 Negative",G2881=0,"2 Zero",G2881&lt;=500,"3 1-500",G2881&lt;=2000,"4 501-2000",TRUE(),"5 Above 2000")</f>
        <v>4 501-2000</v>
      </c>
      <c r="P2881" s="2" t="n">
        <f aca="false">Lookups!$B$2*M2881+Lookups!$B$3*L2881</f>
        <v>0</v>
      </c>
      <c r="Q2881" s="2" t="str">
        <f aca="false">INDEX(Lookups!$E$2:$E$5,MATCH(P2881,Lookups!$D$2:$D$5,0))</f>
        <v>Low</v>
      </c>
    </row>
    <row r="2882" customFormat="false" ht="15" hidden="false" customHeight="false" outlineLevel="0" collapsed="false">
      <c r="A2882" s="3" t="n">
        <v>2881</v>
      </c>
      <c r="B2882" s="3" t="n">
        <f aca="false">Raw_Data!A2882</f>
        <v>43</v>
      </c>
      <c r="C2882" s="3" t="str">
        <f aca="false">SUBSTITUTE(Raw_Data!B2882,".","")</f>
        <v>management</v>
      </c>
      <c r="D2882" s="3" t="str">
        <f aca="false">Raw_Data!C2882</f>
        <v>married</v>
      </c>
      <c r="E2882" s="3" t="str">
        <f aca="false">Raw_Data!D2882</f>
        <v>secondary</v>
      </c>
      <c r="F2882" s="3" t="str">
        <f aca="false">Raw_Data!E2882</f>
        <v>no</v>
      </c>
      <c r="G2882" s="3" t="n">
        <f aca="false">Raw_Data!F2882</f>
        <v>481</v>
      </c>
      <c r="H2882" s="3" t="str">
        <f aca="false">Raw_Data!G2882</f>
        <v>yes</v>
      </c>
      <c r="I2882" s="3" t="str">
        <f aca="false">Raw_Data!H2882</f>
        <v>no</v>
      </c>
      <c r="J2882" s="2" t="n">
        <f aca="false">IF(F2882="yes",1,0)</f>
        <v>0</v>
      </c>
      <c r="K2882" s="2" t="n">
        <f aca="false">IF(H2882="yes",1,0)</f>
        <v>1</v>
      </c>
      <c r="L2882" s="2" t="n">
        <f aca="false">IF(I2882="yes",1,0)</f>
        <v>0</v>
      </c>
      <c r="M2882" s="2" t="n">
        <f aca="false">IF(G2882&lt;0,1,0)</f>
        <v>0</v>
      </c>
      <c r="N2882" s="2" t="str">
        <f aca="false">_xlfn.IFS(B2882&lt;30,"Under 30",B2882&lt;40,"30-39",B2882&lt;50,"40-49",B2882&lt;60,"50-59",TRUE(),"60+")</f>
        <v>40-49</v>
      </c>
      <c r="O2882" s="2" t="str">
        <f aca="false">_xlfn.IFS(G2882&lt;0,"1 Negative",G2882=0,"2 Zero",G2882&lt;=500,"3 1-500",G2882&lt;=2000,"4 501-2000",TRUE(),"5 Above 2000")</f>
        <v>3 1-500</v>
      </c>
      <c r="P2882" s="2" t="n">
        <f aca="false">Lookups!$B$2*M2882+Lookups!$B$3*L2882</f>
        <v>0</v>
      </c>
      <c r="Q2882" s="2" t="str">
        <f aca="false">INDEX(Lookups!$E$2:$E$5,MATCH(P2882,Lookups!$D$2:$D$5,0))</f>
        <v>Low</v>
      </c>
    </row>
    <row r="2883" customFormat="false" ht="15" hidden="false" customHeight="false" outlineLevel="0" collapsed="false">
      <c r="A2883" s="3" t="n">
        <v>2882</v>
      </c>
      <c r="B2883" s="3" t="n">
        <f aca="false">Raw_Data!A2883</f>
        <v>42</v>
      </c>
      <c r="C2883" s="3" t="str">
        <f aca="false">SUBSTITUTE(Raw_Data!B2883,".","")</f>
        <v>services</v>
      </c>
      <c r="D2883" s="3" t="str">
        <f aca="false">Raw_Data!C2883</f>
        <v>married</v>
      </c>
      <c r="E2883" s="3" t="str">
        <f aca="false">Raw_Data!D2883</f>
        <v>tertiary</v>
      </c>
      <c r="F2883" s="3" t="str">
        <f aca="false">Raw_Data!E2883</f>
        <v>no</v>
      </c>
      <c r="G2883" s="3" t="n">
        <f aca="false">Raw_Data!F2883</f>
        <v>12223</v>
      </c>
      <c r="H2883" s="3" t="str">
        <f aca="false">Raw_Data!G2883</f>
        <v>yes</v>
      </c>
      <c r="I2883" s="3" t="str">
        <f aca="false">Raw_Data!H2883</f>
        <v>no</v>
      </c>
      <c r="J2883" s="2" t="n">
        <f aca="false">IF(F2883="yes",1,0)</f>
        <v>0</v>
      </c>
      <c r="K2883" s="2" t="n">
        <f aca="false">IF(H2883="yes",1,0)</f>
        <v>1</v>
      </c>
      <c r="L2883" s="2" t="n">
        <f aca="false">IF(I2883="yes",1,0)</f>
        <v>0</v>
      </c>
      <c r="M2883" s="2" t="n">
        <f aca="false">IF(G2883&lt;0,1,0)</f>
        <v>0</v>
      </c>
      <c r="N2883" s="2" t="str">
        <f aca="false">_xlfn.IFS(B2883&lt;30,"Under 30",B2883&lt;40,"30-39",B2883&lt;50,"40-49",B2883&lt;60,"50-59",TRUE(),"60+")</f>
        <v>40-49</v>
      </c>
      <c r="O2883" s="2" t="str">
        <f aca="false">_xlfn.IFS(G2883&lt;0,"1 Negative",G2883=0,"2 Zero",G2883&lt;=500,"3 1-500",G2883&lt;=2000,"4 501-2000",TRUE(),"5 Above 2000")</f>
        <v>5 Above 2000</v>
      </c>
      <c r="P2883" s="2" t="n">
        <f aca="false">Lookups!$B$2*M2883+Lookups!$B$3*L2883</f>
        <v>0</v>
      </c>
      <c r="Q2883" s="2" t="str">
        <f aca="false">INDEX(Lookups!$E$2:$E$5,MATCH(P2883,Lookups!$D$2:$D$5,0))</f>
        <v>Low</v>
      </c>
    </row>
    <row r="2884" customFormat="false" ht="15" hidden="false" customHeight="false" outlineLevel="0" collapsed="false">
      <c r="A2884" s="3" t="n">
        <v>2883</v>
      </c>
      <c r="B2884" s="3" t="n">
        <f aca="false">Raw_Data!A2884</f>
        <v>24</v>
      </c>
      <c r="C2884" s="3" t="str">
        <f aca="false">SUBSTITUTE(Raw_Data!B2884,".","")</f>
        <v>blue-collar</v>
      </c>
      <c r="D2884" s="3" t="str">
        <f aca="false">Raw_Data!C2884</f>
        <v>married</v>
      </c>
      <c r="E2884" s="3" t="str">
        <f aca="false">Raw_Data!D2884</f>
        <v>secondary</v>
      </c>
      <c r="F2884" s="3" t="str">
        <f aca="false">Raw_Data!E2884</f>
        <v>no</v>
      </c>
      <c r="G2884" s="3" t="n">
        <f aca="false">Raw_Data!F2884</f>
        <v>-254</v>
      </c>
      <c r="H2884" s="3" t="str">
        <f aca="false">Raw_Data!G2884</f>
        <v>yes</v>
      </c>
      <c r="I2884" s="3" t="str">
        <f aca="false">Raw_Data!H2884</f>
        <v>yes</v>
      </c>
      <c r="J2884" s="2" t="n">
        <f aca="false">IF(F2884="yes",1,0)</f>
        <v>0</v>
      </c>
      <c r="K2884" s="2" t="n">
        <f aca="false">IF(H2884="yes",1,0)</f>
        <v>1</v>
      </c>
      <c r="L2884" s="2" t="n">
        <f aca="false">IF(I2884="yes",1,0)</f>
        <v>1</v>
      </c>
      <c r="M2884" s="2" t="n">
        <f aca="false">IF(G2884&lt;0,1,0)</f>
        <v>1</v>
      </c>
      <c r="N2884" s="2" t="str">
        <f aca="false">_xlfn.IFS(B2884&lt;30,"Under 30",B2884&lt;40,"30-39",B2884&lt;50,"40-49",B2884&lt;60,"50-59",TRUE(),"60+")</f>
        <v>Under 30</v>
      </c>
      <c r="O2884" s="2" t="str">
        <f aca="false">_xlfn.IFS(G2884&lt;0,"1 Negative",G2884=0,"2 Zero",G2884&lt;=500,"3 1-500",G2884&lt;=2000,"4 501-2000",TRUE(),"5 Above 2000")</f>
        <v>1 Negative</v>
      </c>
      <c r="P2884" s="2" t="n">
        <f aca="false">Lookups!$B$2*M2884+Lookups!$B$3*L2884</f>
        <v>3</v>
      </c>
      <c r="Q2884" s="2" t="str">
        <f aca="false">INDEX(Lookups!$E$2:$E$5,MATCH(P2884,Lookups!$D$2:$D$5,0))</f>
        <v>High</v>
      </c>
    </row>
    <row r="2885" customFormat="false" ht="15" hidden="false" customHeight="false" outlineLevel="0" collapsed="false">
      <c r="A2885" s="3" t="n">
        <v>2884</v>
      </c>
      <c r="B2885" s="3" t="n">
        <f aca="false">Raw_Data!A2885</f>
        <v>46</v>
      </c>
      <c r="C2885" s="3" t="str">
        <f aca="false">SUBSTITUTE(Raw_Data!B2885,".","")</f>
        <v>self-employed</v>
      </c>
      <c r="D2885" s="3" t="str">
        <f aca="false">Raw_Data!C2885</f>
        <v>married</v>
      </c>
      <c r="E2885" s="3" t="str">
        <f aca="false">Raw_Data!D2885</f>
        <v>tertiary</v>
      </c>
      <c r="F2885" s="3" t="str">
        <f aca="false">Raw_Data!E2885</f>
        <v>no</v>
      </c>
      <c r="G2885" s="3" t="n">
        <f aca="false">Raw_Data!F2885</f>
        <v>1148</v>
      </c>
      <c r="H2885" s="3" t="str">
        <f aca="false">Raw_Data!G2885</f>
        <v>no</v>
      </c>
      <c r="I2885" s="3" t="str">
        <f aca="false">Raw_Data!H2885</f>
        <v>no</v>
      </c>
      <c r="J2885" s="2" t="n">
        <f aca="false">IF(F2885="yes",1,0)</f>
        <v>0</v>
      </c>
      <c r="K2885" s="2" t="n">
        <f aca="false">IF(H2885="yes",1,0)</f>
        <v>0</v>
      </c>
      <c r="L2885" s="2" t="n">
        <f aca="false">IF(I2885="yes",1,0)</f>
        <v>0</v>
      </c>
      <c r="M2885" s="2" t="n">
        <f aca="false">IF(G2885&lt;0,1,0)</f>
        <v>0</v>
      </c>
      <c r="N2885" s="2" t="str">
        <f aca="false">_xlfn.IFS(B2885&lt;30,"Under 30",B2885&lt;40,"30-39",B2885&lt;50,"40-49",B2885&lt;60,"50-59",TRUE(),"60+")</f>
        <v>40-49</v>
      </c>
      <c r="O2885" s="2" t="str">
        <f aca="false">_xlfn.IFS(G2885&lt;0,"1 Negative",G2885=0,"2 Zero",G2885&lt;=500,"3 1-500",G2885&lt;=2000,"4 501-2000",TRUE(),"5 Above 2000")</f>
        <v>4 501-2000</v>
      </c>
      <c r="P2885" s="2" t="n">
        <f aca="false">Lookups!$B$2*M2885+Lookups!$B$3*L2885</f>
        <v>0</v>
      </c>
      <c r="Q2885" s="2" t="str">
        <f aca="false">INDEX(Lookups!$E$2:$E$5,MATCH(P2885,Lookups!$D$2:$D$5,0))</f>
        <v>Low</v>
      </c>
    </row>
    <row r="2886" customFormat="false" ht="15" hidden="false" customHeight="false" outlineLevel="0" collapsed="false">
      <c r="A2886" s="3" t="n">
        <v>2885</v>
      </c>
      <c r="B2886" s="3" t="n">
        <f aca="false">Raw_Data!A2886</f>
        <v>23</v>
      </c>
      <c r="C2886" s="3" t="str">
        <f aca="false">SUBSTITUTE(Raw_Data!B2886,".","")</f>
        <v>admin</v>
      </c>
      <c r="D2886" s="3" t="str">
        <f aca="false">Raw_Data!C2886</f>
        <v>single</v>
      </c>
      <c r="E2886" s="3" t="str">
        <f aca="false">Raw_Data!D2886</f>
        <v>secondary</v>
      </c>
      <c r="F2886" s="3" t="str">
        <f aca="false">Raw_Data!E2886</f>
        <v>no</v>
      </c>
      <c r="G2886" s="3" t="n">
        <f aca="false">Raw_Data!F2886</f>
        <v>5</v>
      </c>
      <c r="H2886" s="3" t="str">
        <f aca="false">Raw_Data!G2886</f>
        <v>no</v>
      </c>
      <c r="I2886" s="3" t="str">
        <f aca="false">Raw_Data!H2886</f>
        <v>no</v>
      </c>
      <c r="J2886" s="2" t="n">
        <f aca="false">IF(F2886="yes",1,0)</f>
        <v>0</v>
      </c>
      <c r="K2886" s="2" t="n">
        <f aca="false">IF(H2886="yes",1,0)</f>
        <v>0</v>
      </c>
      <c r="L2886" s="2" t="n">
        <f aca="false">IF(I2886="yes",1,0)</f>
        <v>0</v>
      </c>
      <c r="M2886" s="2" t="n">
        <f aca="false">IF(G2886&lt;0,1,0)</f>
        <v>0</v>
      </c>
      <c r="N2886" s="2" t="str">
        <f aca="false">_xlfn.IFS(B2886&lt;30,"Under 30",B2886&lt;40,"30-39",B2886&lt;50,"40-49",B2886&lt;60,"50-59",TRUE(),"60+")</f>
        <v>Under 30</v>
      </c>
      <c r="O2886" s="2" t="str">
        <f aca="false">_xlfn.IFS(G2886&lt;0,"1 Negative",G2886=0,"2 Zero",G2886&lt;=500,"3 1-500",G2886&lt;=2000,"4 501-2000",TRUE(),"5 Above 2000")</f>
        <v>3 1-500</v>
      </c>
      <c r="P2886" s="2" t="n">
        <f aca="false">Lookups!$B$2*M2886+Lookups!$B$3*L2886</f>
        <v>0</v>
      </c>
      <c r="Q2886" s="2" t="str">
        <f aca="false">INDEX(Lookups!$E$2:$E$5,MATCH(P2886,Lookups!$D$2:$D$5,0))</f>
        <v>Low</v>
      </c>
    </row>
    <row r="2887" customFormat="false" ht="15" hidden="false" customHeight="false" outlineLevel="0" collapsed="false">
      <c r="A2887" s="3" t="n">
        <v>2886</v>
      </c>
      <c r="B2887" s="3" t="n">
        <f aca="false">Raw_Data!A2887</f>
        <v>26</v>
      </c>
      <c r="C2887" s="3" t="str">
        <f aca="false">SUBSTITUTE(Raw_Data!B2887,".","")</f>
        <v>services</v>
      </c>
      <c r="D2887" s="3" t="str">
        <f aca="false">Raw_Data!C2887</f>
        <v>single</v>
      </c>
      <c r="E2887" s="3" t="str">
        <f aca="false">Raw_Data!D2887</f>
        <v>secondary</v>
      </c>
      <c r="F2887" s="3" t="str">
        <f aca="false">Raw_Data!E2887</f>
        <v>no</v>
      </c>
      <c r="G2887" s="3" t="n">
        <f aca="false">Raw_Data!F2887</f>
        <v>50</v>
      </c>
      <c r="H2887" s="3" t="str">
        <f aca="false">Raw_Data!G2887</f>
        <v>yes</v>
      </c>
      <c r="I2887" s="3" t="str">
        <f aca="false">Raw_Data!H2887</f>
        <v>no</v>
      </c>
      <c r="J2887" s="2" t="n">
        <f aca="false">IF(F2887="yes",1,0)</f>
        <v>0</v>
      </c>
      <c r="K2887" s="2" t="n">
        <f aca="false">IF(H2887="yes",1,0)</f>
        <v>1</v>
      </c>
      <c r="L2887" s="2" t="n">
        <f aca="false">IF(I2887="yes",1,0)</f>
        <v>0</v>
      </c>
      <c r="M2887" s="2" t="n">
        <f aca="false">IF(G2887&lt;0,1,0)</f>
        <v>0</v>
      </c>
      <c r="N2887" s="2" t="str">
        <f aca="false">_xlfn.IFS(B2887&lt;30,"Under 30",B2887&lt;40,"30-39",B2887&lt;50,"40-49",B2887&lt;60,"50-59",TRUE(),"60+")</f>
        <v>Under 30</v>
      </c>
      <c r="O2887" s="2" t="str">
        <f aca="false">_xlfn.IFS(G2887&lt;0,"1 Negative",G2887=0,"2 Zero",G2887&lt;=500,"3 1-500",G2887&lt;=2000,"4 501-2000",TRUE(),"5 Above 2000")</f>
        <v>3 1-500</v>
      </c>
      <c r="P2887" s="2" t="n">
        <f aca="false">Lookups!$B$2*M2887+Lookups!$B$3*L2887</f>
        <v>0</v>
      </c>
      <c r="Q2887" s="2" t="str">
        <f aca="false">INDEX(Lookups!$E$2:$E$5,MATCH(P2887,Lookups!$D$2:$D$5,0))</f>
        <v>Low</v>
      </c>
    </row>
    <row r="2888" customFormat="false" ht="15" hidden="false" customHeight="false" outlineLevel="0" collapsed="false">
      <c r="A2888" s="3" t="n">
        <v>2887</v>
      </c>
      <c r="B2888" s="3" t="n">
        <f aca="false">Raw_Data!A2888</f>
        <v>43</v>
      </c>
      <c r="C2888" s="3" t="str">
        <f aca="false">SUBSTITUTE(Raw_Data!B2888,".","")</f>
        <v>blue-collar</v>
      </c>
      <c r="D2888" s="3" t="str">
        <f aca="false">Raw_Data!C2888</f>
        <v>divorced</v>
      </c>
      <c r="E2888" s="3" t="str">
        <f aca="false">Raw_Data!D2888</f>
        <v>primary</v>
      </c>
      <c r="F2888" s="3" t="str">
        <f aca="false">Raw_Data!E2888</f>
        <v>no</v>
      </c>
      <c r="G2888" s="3" t="n">
        <f aca="false">Raw_Data!F2888</f>
        <v>92</v>
      </c>
      <c r="H2888" s="3" t="str">
        <f aca="false">Raw_Data!G2888</f>
        <v>yes</v>
      </c>
      <c r="I2888" s="3" t="str">
        <f aca="false">Raw_Data!H2888</f>
        <v>no</v>
      </c>
      <c r="J2888" s="2" t="n">
        <f aca="false">IF(F2888="yes",1,0)</f>
        <v>0</v>
      </c>
      <c r="K2888" s="2" t="n">
        <f aca="false">IF(H2888="yes",1,0)</f>
        <v>1</v>
      </c>
      <c r="L2888" s="2" t="n">
        <f aca="false">IF(I2888="yes",1,0)</f>
        <v>0</v>
      </c>
      <c r="M2888" s="2" t="n">
        <f aca="false">IF(G2888&lt;0,1,0)</f>
        <v>0</v>
      </c>
      <c r="N2888" s="2" t="str">
        <f aca="false">_xlfn.IFS(B2888&lt;30,"Under 30",B2888&lt;40,"30-39",B2888&lt;50,"40-49",B2888&lt;60,"50-59",TRUE(),"60+")</f>
        <v>40-49</v>
      </c>
      <c r="O2888" s="2" t="str">
        <f aca="false">_xlfn.IFS(G2888&lt;0,"1 Negative",G2888=0,"2 Zero",G2888&lt;=500,"3 1-500",G2888&lt;=2000,"4 501-2000",TRUE(),"5 Above 2000")</f>
        <v>3 1-500</v>
      </c>
      <c r="P2888" s="2" t="n">
        <f aca="false">Lookups!$B$2*M2888+Lookups!$B$3*L2888</f>
        <v>0</v>
      </c>
      <c r="Q2888" s="2" t="str">
        <f aca="false">INDEX(Lookups!$E$2:$E$5,MATCH(P2888,Lookups!$D$2:$D$5,0))</f>
        <v>Low</v>
      </c>
    </row>
    <row r="2889" customFormat="false" ht="15" hidden="false" customHeight="false" outlineLevel="0" collapsed="false">
      <c r="A2889" s="3" t="n">
        <v>2888</v>
      </c>
      <c r="B2889" s="3" t="n">
        <f aca="false">Raw_Data!A2889</f>
        <v>35</v>
      </c>
      <c r="C2889" s="3" t="str">
        <f aca="false">SUBSTITUTE(Raw_Data!B2889,".","")</f>
        <v>technician</v>
      </c>
      <c r="D2889" s="3" t="str">
        <f aca="false">Raw_Data!C2889</f>
        <v>single</v>
      </c>
      <c r="E2889" s="3" t="str">
        <f aca="false">Raw_Data!D2889</f>
        <v>tertiary</v>
      </c>
      <c r="F2889" s="3" t="str">
        <f aca="false">Raw_Data!E2889</f>
        <v>no</v>
      </c>
      <c r="G2889" s="3" t="n">
        <f aca="false">Raw_Data!F2889</f>
        <v>470</v>
      </c>
      <c r="H2889" s="3" t="str">
        <f aca="false">Raw_Data!G2889</f>
        <v>yes</v>
      </c>
      <c r="I2889" s="3" t="str">
        <f aca="false">Raw_Data!H2889</f>
        <v>no</v>
      </c>
      <c r="J2889" s="2" t="n">
        <f aca="false">IF(F2889="yes",1,0)</f>
        <v>0</v>
      </c>
      <c r="K2889" s="2" t="n">
        <f aca="false">IF(H2889="yes",1,0)</f>
        <v>1</v>
      </c>
      <c r="L2889" s="2" t="n">
        <f aca="false">IF(I2889="yes",1,0)</f>
        <v>0</v>
      </c>
      <c r="M2889" s="2" t="n">
        <f aca="false">IF(G2889&lt;0,1,0)</f>
        <v>0</v>
      </c>
      <c r="N2889" s="2" t="str">
        <f aca="false">_xlfn.IFS(B2889&lt;30,"Under 30",B2889&lt;40,"30-39",B2889&lt;50,"40-49",B2889&lt;60,"50-59",TRUE(),"60+")</f>
        <v>30-39</v>
      </c>
      <c r="O2889" s="2" t="str">
        <f aca="false">_xlfn.IFS(G2889&lt;0,"1 Negative",G2889=0,"2 Zero",G2889&lt;=500,"3 1-500",G2889&lt;=2000,"4 501-2000",TRUE(),"5 Above 2000")</f>
        <v>3 1-500</v>
      </c>
      <c r="P2889" s="2" t="n">
        <f aca="false">Lookups!$B$2*M2889+Lookups!$B$3*L2889</f>
        <v>0</v>
      </c>
      <c r="Q2889" s="2" t="str">
        <f aca="false">INDEX(Lookups!$E$2:$E$5,MATCH(P2889,Lookups!$D$2:$D$5,0))</f>
        <v>Low</v>
      </c>
    </row>
    <row r="2890" customFormat="false" ht="15" hidden="false" customHeight="false" outlineLevel="0" collapsed="false">
      <c r="A2890" s="3" t="n">
        <v>2889</v>
      </c>
      <c r="B2890" s="3" t="n">
        <f aca="false">Raw_Data!A2890</f>
        <v>38</v>
      </c>
      <c r="C2890" s="3" t="str">
        <f aca="false">SUBSTITUTE(Raw_Data!B2890,".","")</f>
        <v>technician</v>
      </c>
      <c r="D2890" s="3" t="str">
        <f aca="false">Raw_Data!C2890</f>
        <v>married</v>
      </c>
      <c r="E2890" s="3" t="str">
        <f aca="false">Raw_Data!D2890</f>
        <v>secondary</v>
      </c>
      <c r="F2890" s="3" t="str">
        <f aca="false">Raw_Data!E2890</f>
        <v>no</v>
      </c>
      <c r="G2890" s="3" t="n">
        <f aca="false">Raw_Data!F2890</f>
        <v>0</v>
      </c>
      <c r="H2890" s="3" t="str">
        <f aca="false">Raw_Data!G2890</f>
        <v>no</v>
      </c>
      <c r="I2890" s="3" t="str">
        <f aca="false">Raw_Data!H2890</f>
        <v>no</v>
      </c>
      <c r="J2890" s="2" t="n">
        <f aca="false">IF(F2890="yes",1,0)</f>
        <v>0</v>
      </c>
      <c r="K2890" s="2" t="n">
        <f aca="false">IF(H2890="yes",1,0)</f>
        <v>0</v>
      </c>
      <c r="L2890" s="2" t="n">
        <f aca="false">IF(I2890="yes",1,0)</f>
        <v>0</v>
      </c>
      <c r="M2890" s="2" t="n">
        <f aca="false">IF(G2890&lt;0,1,0)</f>
        <v>0</v>
      </c>
      <c r="N2890" s="2" t="str">
        <f aca="false">_xlfn.IFS(B2890&lt;30,"Under 30",B2890&lt;40,"30-39",B2890&lt;50,"40-49",B2890&lt;60,"50-59",TRUE(),"60+")</f>
        <v>30-39</v>
      </c>
      <c r="O2890" s="2" t="str">
        <f aca="false">_xlfn.IFS(G2890&lt;0,"1 Negative",G2890=0,"2 Zero",G2890&lt;=500,"3 1-500",G2890&lt;=2000,"4 501-2000",TRUE(),"5 Above 2000")</f>
        <v>2 Zero</v>
      </c>
      <c r="P2890" s="2" t="n">
        <f aca="false">Lookups!$B$2*M2890+Lookups!$B$3*L2890</f>
        <v>0</v>
      </c>
      <c r="Q2890" s="2" t="str">
        <f aca="false">INDEX(Lookups!$E$2:$E$5,MATCH(P2890,Lookups!$D$2:$D$5,0))</f>
        <v>Low</v>
      </c>
    </row>
    <row r="2891" customFormat="false" ht="15" hidden="false" customHeight="false" outlineLevel="0" collapsed="false">
      <c r="A2891" s="3" t="n">
        <v>2890</v>
      </c>
      <c r="B2891" s="3" t="n">
        <f aca="false">Raw_Data!A2891</f>
        <v>56</v>
      </c>
      <c r="C2891" s="3" t="str">
        <f aca="false">SUBSTITUTE(Raw_Data!B2891,".","")</f>
        <v>unemployed</v>
      </c>
      <c r="D2891" s="3" t="str">
        <f aca="false">Raw_Data!C2891</f>
        <v>divorced</v>
      </c>
      <c r="E2891" s="3" t="str">
        <f aca="false">Raw_Data!D2891</f>
        <v>primary</v>
      </c>
      <c r="F2891" s="3" t="str">
        <f aca="false">Raw_Data!E2891</f>
        <v>no</v>
      </c>
      <c r="G2891" s="3" t="n">
        <f aca="false">Raw_Data!F2891</f>
        <v>109</v>
      </c>
      <c r="H2891" s="3" t="str">
        <f aca="false">Raw_Data!G2891</f>
        <v>no</v>
      </c>
      <c r="I2891" s="3" t="str">
        <f aca="false">Raw_Data!H2891</f>
        <v>no</v>
      </c>
      <c r="J2891" s="2" t="n">
        <f aca="false">IF(F2891="yes",1,0)</f>
        <v>0</v>
      </c>
      <c r="K2891" s="2" t="n">
        <f aca="false">IF(H2891="yes",1,0)</f>
        <v>0</v>
      </c>
      <c r="L2891" s="2" t="n">
        <f aca="false">IF(I2891="yes",1,0)</f>
        <v>0</v>
      </c>
      <c r="M2891" s="2" t="n">
        <f aca="false">IF(G2891&lt;0,1,0)</f>
        <v>0</v>
      </c>
      <c r="N2891" s="2" t="str">
        <f aca="false">_xlfn.IFS(B2891&lt;30,"Under 30",B2891&lt;40,"30-39",B2891&lt;50,"40-49",B2891&lt;60,"50-59",TRUE(),"60+")</f>
        <v>50-59</v>
      </c>
      <c r="O2891" s="2" t="str">
        <f aca="false">_xlfn.IFS(G2891&lt;0,"1 Negative",G2891=0,"2 Zero",G2891&lt;=500,"3 1-500",G2891&lt;=2000,"4 501-2000",TRUE(),"5 Above 2000")</f>
        <v>3 1-500</v>
      </c>
      <c r="P2891" s="2" t="n">
        <f aca="false">Lookups!$B$2*M2891+Lookups!$B$3*L2891</f>
        <v>0</v>
      </c>
      <c r="Q2891" s="2" t="str">
        <f aca="false">INDEX(Lookups!$E$2:$E$5,MATCH(P2891,Lookups!$D$2:$D$5,0))</f>
        <v>Low</v>
      </c>
    </row>
    <row r="2892" customFormat="false" ht="15" hidden="false" customHeight="false" outlineLevel="0" collapsed="false">
      <c r="A2892" s="3" t="n">
        <v>2891</v>
      </c>
      <c r="B2892" s="3" t="n">
        <f aca="false">Raw_Data!A2892</f>
        <v>31</v>
      </c>
      <c r="C2892" s="3" t="str">
        <f aca="false">SUBSTITUTE(Raw_Data!B2892,".","")</f>
        <v>services</v>
      </c>
      <c r="D2892" s="3" t="str">
        <f aca="false">Raw_Data!C2892</f>
        <v>married</v>
      </c>
      <c r="E2892" s="3" t="str">
        <f aca="false">Raw_Data!D2892</f>
        <v>secondary</v>
      </c>
      <c r="F2892" s="3" t="str">
        <f aca="false">Raw_Data!E2892</f>
        <v>no</v>
      </c>
      <c r="G2892" s="3" t="n">
        <f aca="false">Raw_Data!F2892</f>
        <v>440</v>
      </c>
      <c r="H2892" s="3" t="str">
        <f aca="false">Raw_Data!G2892</f>
        <v>yes</v>
      </c>
      <c r="I2892" s="3" t="str">
        <f aca="false">Raw_Data!H2892</f>
        <v>no</v>
      </c>
      <c r="J2892" s="2" t="n">
        <f aca="false">IF(F2892="yes",1,0)</f>
        <v>0</v>
      </c>
      <c r="K2892" s="2" t="n">
        <f aca="false">IF(H2892="yes",1,0)</f>
        <v>1</v>
      </c>
      <c r="L2892" s="2" t="n">
        <f aca="false">IF(I2892="yes",1,0)</f>
        <v>0</v>
      </c>
      <c r="M2892" s="2" t="n">
        <f aca="false">IF(G2892&lt;0,1,0)</f>
        <v>0</v>
      </c>
      <c r="N2892" s="2" t="str">
        <f aca="false">_xlfn.IFS(B2892&lt;30,"Under 30",B2892&lt;40,"30-39",B2892&lt;50,"40-49",B2892&lt;60,"50-59",TRUE(),"60+")</f>
        <v>30-39</v>
      </c>
      <c r="O2892" s="2" t="str">
        <f aca="false">_xlfn.IFS(G2892&lt;0,"1 Negative",G2892=0,"2 Zero",G2892&lt;=500,"3 1-500",G2892&lt;=2000,"4 501-2000",TRUE(),"5 Above 2000")</f>
        <v>3 1-500</v>
      </c>
      <c r="P2892" s="2" t="n">
        <f aca="false">Lookups!$B$2*M2892+Lookups!$B$3*L2892</f>
        <v>0</v>
      </c>
      <c r="Q2892" s="2" t="str">
        <f aca="false">INDEX(Lookups!$E$2:$E$5,MATCH(P2892,Lookups!$D$2:$D$5,0))</f>
        <v>Low</v>
      </c>
    </row>
    <row r="2893" customFormat="false" ht="15" hidden="false" customHeight="false" outlineLevel="0" collapsed="false">
      <c r="A2893" s="3" t="n">
        <v>2892</v>
      </c>
      <c r="B2893" s="3" t="n">
        <f aca="false">Raw_Data!A2893</f>
        <v>32</v>
      </c>
      <c r="C2893" s="3" t="str">
        <f aca="false">SUBSTITUTE(Raw_Data!B2893,".","")</f>
        <v>management</v>
      </c>
      <c r="D2893" s="3" t="str">
        <f aca="false">Raw_Data!C2893</f>
        <v>single</v>
      </c>
      <c r="E2893" s="3" t="str">
        <f aca="false">Raw_Data!D2893</f>
        <v>tertiary</v>
      </c>
      <c r="F2893" s="3" t="str">
        <f aca="false">Raw_Data!E2893</f>
        <v>no</v>
      </c>
      <c r="G2893" s="3" t="n">
        <f aca="false">Raw_Data!F2893</f>
        <v>0</v>
      </c>
      <c r="H2893" s="3" t="str">
        <f aca="false">Raw_Data!G2893</f>
        <v>no</v>
      </c>
      <c r="I2893" s="3" t="str">
        <f aca="false">Raw_Data!H2893</f>
        <v>no</v>
      </c>
      <c r="J2893" s="2" t="n">
        <f aca="false">IF(F2893="yes",1,0)</f>
        <v>0</v>
      </c>
      <c r="K2893" s="2" t="n">
        <f aca="false">IF(H2893="yes",1,0)</f>
        <v>0</v>
      </c>
      <c r="L2893" s="2" t="n">
        <f aca="false">IF(I2893="yes",1,0)</f>
        <v>0</v>
      </c>
      <c r="M2893" s="2" t="n">
        <f aca="false">IF(G2893&lt;0,1,0)</f>
        <v>0</v>
      </c>
      <c r="N2893" s="2" t="str">
        <f aca="false">_xlfn.IFS(B2893&lt;30,"Under 30",B2893&lt;40,"30-39",B2893&lt;50,"40-49",B2893&lt;60,"50-59",TRUE(),"60+")</f>
        <v>30-39</v>
      </c>
      <c r="O2893" s="2" t="str">
        <f aca="false">_xlfn.IFS(G2893&lt;0,"1 Negative",G2893=0,"2 Zero",G2893&lt;=500,"3 1-500",G2893&lt;=2000,"4 501-2000",TRUE(),"5 Above 2000")</f>
        <v>2 Zero</v>
      </c>
      <c r="P2893" s="2" t="n">
        <f aca="false">Lookups!$B$2*M2893+Lookups!$B$3*L2893</f>
        <v>0</v>
      </c>
      <c r="Q2893" s="2" t="str">
        <f aca="false">INDEX(Lookups!$E$2:$E$5,MATCH(P2893,Lookups!$D$2:$D$5,0))</f>
        <v>Low</v>
      </c>
    </row>
    <row r="2894" customFormat="false" ht="15" hidden="false" customHeight="false" outlineLevel="0" collapsed="false">
      <c r="A2894" s="3" t="n">
        <v>2893</v>
      </c>
      <c r="B2894" s="3" t="n">
        <f aca="false">Raw_Data!A2894</f>
        <v>28</v>
      </c>
      <c r="C2894" s="3" t="str">
        <f aca="false">SUBSTITUTE(Raw_Data!B2894,".","")</f>
        <v>services</v>
      </c>
      <c r="D2894" s="3" t="str">
        <f aca="false">Raw_Data!C2894</f>
        <v>single</v>
      </c>
      <c r="E2894" s="3" t="str">
        <f aca="false">Raw_Data!D2894</f>
        <v>secondary</v>
      </c>
      <c r="F2894" s="3" t="str">
        <f aca="false">Raw_Data!E2894</f>
        <v>no</v>
      </c>
      <c r="G2894" s="3" t="n">
        <f aca="false">Raw_Data!F2894</f>
        <v>2685</v>
      </c>
      <c r="H2894" s="3" t="str">
        <f aca="false">Raw_Data!G2894</f>
        <v>no</v>
      </c>
      <c r="I2894" s="3" t="str">
        <f aca="false">Raw_Data!H2894</f>
        <v>yes</v>
      </c>
      <c r="J2894" s="2" t="n">
        <f aca="false">IF(F2894="yes",1,0)</f>
        <v>0</v>
      </c>
      <c r="K2894" s="2" t="n">
        <f aca="false">IF(H2894="yes",1,0)</f>
        <v>0</v>
      </c>
      <c r="L2894" s="2" t="n">
        <f aca="false">IF(I2894="yes",1,0)</f>
        <v>1</v>
      </c>
      <c r="M2894" s="2" t="n">
        <f aca="false">IF(G2894&lt;0,1,0)</f>
        <v>0</v>
      </c>
      <c r="N2894" s="2" t="str">
        <f aca="false">_xlfn.IFS(B2894&lt;30,"Under 30",B2894&lt;40,"30-39",B2894&lt;50,"40-49",B2894&lt;60,"50-59",TRUE(),"60+")</f>
        <v>Under 30</v>
      </c>
      <c r="O2894" s="2" t="str">
        <f aca="false">_xlfn.IFS(G2894&lt;0,"1 Negative",G2894=0,"2 Zero",G2894&lt;=500,"3 1-500",G2894&lt;=2000,"4 501-2000",TRUE(),"5 Above 2000")</f>
        <v>5 Above 2000</v>
      </c>
      <c r="P2894" s="2" t="n">
        <f aca="false">Lookups!$B$2*M2894+Lookups!$B$3*L2894</f>
        <v>1</v>
      </c>
      <c r="Q2894" s="2" t="str">
        <f aca="false">INDEX(Lookups!$E$2:$E$5,MATCH(P2894,Lookups!$D$2:$D$5,0))</f>
        <v>Medium</v>
      </c>
    </row>
    <row r="2895" customFormat="false" ht="15" hidden="false" customHeight="false" outlineLevel="0" collapsed="false">
      <c r="A2895" s="3" t="n">
        <v>2894</v>
      </c>
      <c r="B2895" s="3" t="n">
        <f aca="false">Raw_Data!A2895</f>
        <v>26</v>
      </c>
      <c r="C2895" s="3" t="str">
        <f aca="false">SUBSTITUTE(Raw_Data!B2895,".","")</f>
        <v>admin</v>
      </c>
      <c r="D2895" s="3" t="str">
        <f aca="false">Raw_Data!C2895</f>
        <v>divorced</v>
      </c>
      <c r="E2895" s="3" t="str">
        <f aca="false">Raw_Data!D2895</f>
        <v>secondary</v>
      </c>
      <c r="F2895" s="3" t="str">
        <f aca="false">Raw_Data!E2895</f>
        <v>yes</v>
      </c>
      <c r="G2895" s="3" t="n">
        <f aca="false">Raw_Data!F2895</f>
        <v>-3</v>
      </c>
      <c r="H2895" s="3" t="str">
        <f aca="false">Raw_Data!G2895</f>
        <v>yes</v>
      </c>
      <c r="I2895" s="3" t="str">
        <f aca="false">Raw_Data!H2895</f>
        <v>no</v>
      </c>
      <c r="J2895" s="2" t="n">
        <f aca="false">IF(F2895="yes",1,0)</f>
        <v>1</v>
      </c>
      <c r="K2895" s="2" t="n">
        <f aca="false">IF(H2895="yes",1,0)</f>
        <v>1</v>
      </c>
      <c r="L2895" s="2" t="n">
        <f aca="false">IF(I2895="yes",1,0)</f>
        <v>0</v>
      </c>
      <c r="M2895" s="2" t="n">
        <f aca="false">IF(G2895&lt;0,1,0)</f>
        <v>1</v>
      </c>
      <c r="N2895" s="2" t="str">
        <f aca="false">_xlfn.IFS(B2895&lt;30,"Under 30",B2895&lt;40,"30-39",B2895&lt;50,"40-49",B2895&lt;60,"50-59",TRUE(),"60+")</f>
        <v>Under 30</v>
      </c>
      <c r="O2895" s="2" t="str">
        <f aca="false">_xlfn.IFS(G2895&lt;0,"1 Negative",G2895=0,"2 Zero",G2895&lt;=500,"3 1-500",G2895&lt;=2000,"4 501-2000",TRUE(),"5 Above 2000")</f>
        <v>1 Negative</v>
      </c>
      <c r="P2895" s="2" t="n">
        <f aca="false">Lookups!$B$2*M2895+Lookups!$B$3*L2895</f>
        <v>2</v>
      </c>
      <c r="Q2895" s="2" t="str">
        <f aca="false">INDEX(Lookups!$E$2:$E$5,MATCH(P2895,Lookups!$D$2:$D$5,0))</f>
        <v>High</v>
      </c>
    </row>
    <row r="2896" customFormat="false" ht="15" hidden="false" customHeight="false" outlineLevel="0" collapsed="false">
      <c r="A2896" s="3" t="n">
        <v>2895</v>
      </c>
      <c r="B2896" s="3" t="n">
        <f aca="false">Raw_Data!A2896</f>
        <v>49</v>
      </c>
      <c r="C2896" s="3" t="str">
        <f aca="false">SUBSTITUTE(Raw_Data!B2896,".","")</f>
        <v>management</v>
      </c>
      <c r="D2896" s="3" t="str">
        <f aca="false">Raw_Data!C2896</f>
        <v>married</v>
      </c>
      <c r="E2896" s="3" t="str">
        <f aca="false">Raw_Data!D2896</f>
        <v>tertiary</v>
      </c>
      <c r="F2896" s="3" t="str">
        <f aca="false">Raw_Data!E2896</f>
        <v>no</v>
      </c>
      <c r="G2896" s="3" t="n">
        <f aca="false">Raw_Data!F2896</f>
        <v>7007</v>
      </c>
      <c r="H2896" s="3" t="str">
        <f aca="false">Raw_Data!G2896</f>
        <v>no</v>
      </c>
      <c r="I2896" s="3" t="str">
        <f aca="false">Raw_Data!H2896</f>
        <v>no</v>
      </c>
      <c r="J2896" s="2" t="n">
        <f aca="false">IF(F2896="yes",1,0)</f>
        <v>0</v>
      </c>
      <c r="K2896" s="2" t="n">
        <f aca="false">IF(H2896="yes",1,0)</f>
        <v>0</v>
      </c>
      <c r="L2896" s="2" t="n">
        <f aca="false">IF(I2896="yes",1,0)</f>
        <v>0</v>
      </c>
      <c r="M2896" s="2" t="n">
        <f aca="false">IF(G2896&lt;0,1,0)</f>
        <v>0</v>
      </c>
      <c r="N2896" s="2" t="str">
        <f aca="false">_xlfn.IFS(B2896&lt;30,"Under 30",B2896&lt;40,"30-39",B2896&lt;50,"40-49",B2896&lt;60,"50-59",TRUE(),"60+")</f>
        <v>40-49</v>
      </c>
      <c r="O2896" s="2" t="str">
        <f aca="false">_xlfn.IFS(G2896&lt;0,"1 Negative",G2896=0,"2 Zero",G2896&lt;=500,"3 1-500",G2896&lt;=2000,"4 501-2000",TRUE(),"5 Above 2000")</f>
        <v>5 Above 2000</v>
      </c>
      <c r="P2896" s="2" t="n">
        <f aca="false">Lookups!$B$2*M2896+Lookups!$B$3*L2896</f>
        <v>0</v>
      </c>
      <c r="Q2896" s="2" t="str">
        <f aca="false">INDEX(Lookups!$E$2:$E$5,MATCH(P2896,Lookups!$D$2:$D$5,0))</f>
        <v>Low</v>
      </c>
    </row>
    <row r="2897" customFormat="false" ht="15" hidden="false" customHeight="false" outlineLevel="0" collapsed="false">
      <c r="A2897" s="3" t="n">
        <v>2896</v>
      </c>
      <c r="B2897" s="3" t="n">
        <f aca="false">Raw_Data!A2897</f>
        <v>33</v>
      </c>
      <c r="C2897" s="3" t="str">
        <f aca="false">SUBSTITUTE(Raw_Data!B2897,".","")</f>
        <v>admin</v>
      </c>
      <c r="D2897" s="3" t="str">
        <f aca="false">Raw_Data!C2897</f>
        <v>married</v>
      </c>
      <c r="E2897" s="3" t="str">
        <f aca="false">Raw_Data!D2897</f>
        <v>secondary</v>
      </c>
      <c r="F2897" s="3" t="str">
        <f aca="false">Raw_Data!E2897</f>
        <v>no</v>
      </c>
      <c r="G2897" s="3" t="n">
        <f aca="false">Raw_Data!F2897</f>
        <v>220</v>
      </c>
      <c r="H2897" s="3" t="str">
        <f aca="false">Raw_Data!G2897</f>
        <v>yes</v>
      </c>
      <c r="I2897" s="3" t="str">
        <f aca="false">Raw_Data!H2897</f>
        <v>no</v>
      </c>
      <c r="J2897" s="2" t="n">
        <f aca="false">IF(F2897="yes",1,0)</f>
        <v>0</v>
      </c>
      <c r="K2897" s="2" t="n">
        <f aca="false">IF(H2897="yes",1,0)</f>
        <v>1</v>
      </c>
      <c r="L2897" s="2" t="n">
        <f aca="false">IF(I2897="yes",1,0)</f>
        <v>0</v>
      </c>
      <c r="M2897" s="2" t="n">
        <f aca="false">IF(G2897&lt;0,1,0)</f>
        <v>0</v>
      </c>
      <c r="N2897" s="2" t="str">
        <f aca="false">_xlfn.IFS(B2897&lt;30,"Under 30",B2897&lt;40,"30-39",B2897&lt;50,"40-49",B2897&lt;60,"50-59",TRUE(),"60+")</f>
        <v>30-39</v>
      </c>
      <c r="O2897" s="2" t="str">
        <f aca="false">_xlfn.IFS(G2897&lt;0,"1 Negative",G2897=0,"2 Zero",G2897&lt;=500,"3 1-500",G2897&lt;=2000,"4 501-2000",TRUE(),"5 Above 2000")</f>
        <v>3 1-500</v>
      </c>
      <c r="P2897" s="2" t="n">
        <f aca="false">Lookups!$B$2*M2897+Lookups!$B$3*L2897</f>
        <v>0</v>
      </c>
      <c r="Q2897" s="2" t="str">
        <f aca="false">INDEX(Lookups!$E$2:$E$5,MATCH(P2897,Lookups!$D$2:$D$5,0))</f>
        <v>Low</v>
      </c>
    </row>
    <row r="2898" customFormat="false" ht="15" hidden="false" customHeight="false" outlineLevel="0" collapsed="false">
      <c r="A2898" s="3" t="n">
        <v>2897</v>
      </c>
      <c r="B2898" s="3" t="n">
        <f aca="false">Raw_Data!A2898</f>
        <v>80</v>
      </c>
      <c r="C2898" s="3" t="str">
        <f aca="false">SUBSTITUTE(Raw_Data!B2898,".","")</f>
        <v>retired</v>
      </c>
      <c r="D2898" s="3" t="str">
        <f aca="false">Raw_Data!C2898</f>
        <v>married</v>
      </c>
      <c r="E2898" s="3" t="str">
        <f aca="false">Raw_Data!D2898</f>
        <v>primary</v>
      </c>
      <c r="F2898" s="3" t="str">
        <f aca="false">Raw_Data!E2898</f>
        <v>no</v>
      </c>
      <c r="G2898" s="3" t="n">
        <f aca="false">Raw_Data!F2898</f>
        <v>1548</v>
      </c>
      <c r="H2898" s="3" t="str">
        <f aca="false">Raw_Data!G2898</f>
        <v>no</v>
      </c>
      <c r="I2898" s="3" t="str">
        <f aca="false">Raw_Data!H2898</f>
        <v>no</v>
      </c>
      <c r="J2898" s="2" t="n">
        <f aca="false">IF(F2898="yes",1,0)</f>
        <v>0</v>
      </c>
      <c r="K2898" s="2" t="n">
        <f aca="false">IF(H2898="yes",1,0)</f>
        <v>0</v>
      </c>
      <c r="L2898" s="2" t="n">
        <f aca="false">IF(I2898="yes",1,0)</f>
        <v>0</v>
      </c>
      <c r="M2898" s="2" t="n">
        <f aca="false">IF(G2898&lt;0,1,0)</f>
        <v>0</v>
      </c>
      <c r="N2898" s="2" t="str">
        <f aca="false">_xlfn.IFS(B2898&lt;30,"Under 30",B2898&lt;40,"30-39",B2898&lt;50,"40-49",B2898&lt;60,"50-59",TRUE(),"60+")</f>
        <v>60+</v>
      </c>
      <c r="O2898" s="2" t="str">
        <f aca="false">_xlfn.IFS(G2898&lt;0,"1 Negative",G2898=0,"2 Zero",G2898&lt;=500,"3 1-500",G2898&lt;=2000,"4 501-2000",TRUE(),"5 Above 2000")</f>
        <v>4 501-2000</v>
      </c>
      <c r="P2898" s="2" t="n">
        <f aca="false">Lookups!$B$2*M2898+Lookups!$B$3*L2898</f>
        <v>0</v>
      </c>
      <c r="Q2898" s="2" t="str">
        <f aca="false">INDEX(Lookups!$E$2:$E$5,MATCH(P2898,Lookups!$D$2:$D$5,0))</f>
        <v>Low</v>
      </c>
    </row>
    <row r="2899" customFormat="false" ht="15" hidden="false" customHeight="false" outlineLevel="0" collapsed="false">
      <c r="A2899" s="3" t="n">
        <v>2898</v>
      </c>
      <c r="B2899" s="3" t="n">
        <f aca="false">Raw_Data!A2899</f>
        <v>40</v>
      </c>
      <c r="C2899" s="3" t="str">
        <f aca="false">SUBSTITUTE(Raw_Data!B2899,".","")</f>
        <v>blue-collar</v>
      </c>
      <c r="D2899" s="3" t="str">
        <f aca="false">Raw_Data!C2899</f>
        <v>married</v>
      </c>
      <c r="E2899" s="3" t="str">
        <f aca="false">Raw_Data!D2899</f>
        <v>secondary</v>
      </c>
      <c r="F2899" s="3" t="str">
        <f aca="false">Raw_Data!E2899</f>
        <v>no</v>
      </c>
      <c r="G2899" s="3" t="n">
        <f aca="false">Raw_Data!F2899</f>
        <v>326</v>
      </c>
      <c r="H2899" s="3" t="str">
        <f aca="false">Raw_Data!G2899</f>
        <v>yes</v>
      </c>
      <c r="I2899" s="3" t="str">
        <f aca="false">Raw_Data!H2899</f>
        <v>yes</v>
      </c>
      <c r="J2899" s="2" t="n">
        <f aca="false">IF(F2899="yes",1,0)</f>
        <v>0</v>
      </c>
      <c r="K2899" s="2" t="n">
        <f aca="false">IF(H2899="yes",1,0)</f>
        <v>1</v>
      </c>
      <c r="L2899" s="2" t="n">
        <f aca="false">IF(I2899="yes",1,0)</f>
        <v>1</v>
      </c>
      <c r="M2899" s="2" t="n">
        <f aca="false">IF(G2899&lt;0,1,0)</f>
        <v>0</v>
      </c>
      <c r="N2899" s="2" t="str">
        <f aca="false">_xlfn.IFS(B2899&lt;30,"Under 30",B2899&lt;40,"30-39",B2899&lt;50,"40-49",B2899&lt;60,"50-59",TRUE(),"60+")</f>
        <v>40-49</v>
      </c>
      <c r="O2899" s="2" t="str">
        <f aca="false">_xlfn.IFS(G2899&lt;0,"1 Negative",G2899=0,"2 Zero",G2899&lt;=500,"3 1-500",G2899&lt;=2000,"4 501-2000",TRUE(),"5 Above 2000")</f>
        <v>3 1-500</v>
      </c>
      <c r="P2899" s="2" t="n">
        <f aca="false">Lookups!$B$2*M2899+Lookups!$B$3*L2899</f>
        <v>1</v>
      </c>
      <c r="Q2899" s="2" t="str">
        <f aca="false">INDEX(Lookups!$E$2:$E$5,MATCH(P2899,Lookups!$D$2:$D$5,0))</f>
        <v>Medium</v>
      </c>
    </row>
    <row r="2900" customFormat="false" ht="15" hidden="false" customHeight="false" outlineLevel="0" collapsed="false">
      <c r="A2900" s="3" t="n">
        <v>2899</v>
      </c>
      <c r="B2900" s="3" t="n">
        <f aca="false">Raw_Data!A2900</f>
        <v>42</v>
      </c>
      <c r="C2900" s="3" t="str">
        <f aca="false">SUBSTITUTE(Raw_Data!B2900,".","")</f>
        <v>technician</v>
      </c>
      <c r="D2900" s="3" t="str">
        <f aca="false">Raw_Data!C2900</f>
        <v>divorced</v>
      </c>
      <c r="E2900" s="3" t="str">
        <f aca="false">Raw_Data!D2900</f>
        <v>secondary</v>
      </c>
      <c r="F2900" s="3" t="str">
        <f aca="false">Raw_Data!E2900</f>
        <v>no</v>
      </c>
      <c r="G2900" s="3" t="n">
        <f aca="false">Raw_Data!F2900</f>
        <v>0</v>
      </c>
      <c r="H2900" s="3" t="str">
        <f aca="false">Raw_Data!G2900</f>
        <v>yes</v>
      </c>
      <c r="I2900" s="3" t="str">
        <f aca="false">Raw_Data!H2900</f>
        <v>no</v>
      </c>
      <c r="J2900" s="2" t="n">
        <f aca="false">IF(F2900="yes",1,0)</f>
        <v>0</v>
      </c>
      <c r="K2900" s="2" t="n">
        <f aca="false">IF(H2900="yes",1,0)</f>
        <v>1</v>
      </c>
      <c r="L2900" s="2" t="n">
        <f aca="false">IF(I2900="yes",1,0)</f>
        <v>0</v>
      </c>
      <c r="M2900" s="2" t="n">
        <f aca="false">IF(G2900&lt;0,1,0)</f>
        <v>0</v>
      </c>
      <c r="N2900" s="2" t="str">
        <f aca="false">_xlfn.IFS(B2900&lt;30,"Under 30",B2900&lt;40,"30-39",B2900&lt;50,"40-49",B2900&lt;60,"50-59",TRUE(),"60+")</f>
        <v>40-49</v>
      </c>
      <c r="O2900" s="2" t="str">
        <f aca="false">_xlfn.IFS(G2900&lt;0,"1 Negative",G2900=0,"2 Zero",G2900&lt;=500,"3 1-500",G2900&lt;=2000,"4 501-2000",TRUE(),"5 Above 2000")</f>
        <v>2 Zero</v>
      </c>
      <c r="P2900" s="2" t="n">
        <f aca="false">Lookups!$B$2*M2900+Lookups!$B$3*L2900</f>
        <v>0</v>
      </c>
      <c r="Q2900" s="2" t="str">
        <f aca="false">INDEX(Lookups!$E$2:$E$5,MATCH(P2900,Lookups!$D$2:$D$5,0))</f>
        <v>Low</v>
      </c>
    </row>
    <row r="2901" customFormat="false" ht="15" hidden="false" customHeight="false" outlineLevel="0" collapsed="false">
      <c r="A2901" s="3" t="n">
        <v>2900</v>
      </c>
      <c r="B2901" s="3" t="n">
        <f aca="false">Raw_Data!A2901</f>
        <v>46</v>
      </c>
      <c r="C2901" s="3" t="str">
        <f aca="false">SUBSTITUTE(Raw_Data!B2901,".","")</f>
        <v>blue-collar</v>
      </c>
      <c r="D2901" s="3" t="str">
        <f aca="false">Raw_Data!C2901</f>
        <v>married</v>
      </c>
      <c r="E2901" s="3" t="str">
        <f aca="false">Raw_Data!D2901</f>
        <v>secondary</v>
      </c>
      <c r="F2901" s="3" t="str">
        <f aca="false">Raw_Data!E2901</f>
        <v>no</v>
      </c>
      <c r="G2901" s="3" t="n">
        <f aca="false">Raw_Data!F2901</f>
        <v>123</v>
      </c>
      <c r="H2901" s="3" t="str">
        <f aca="false">Raw_Data!G2901</f>
        <v>no</v>
      </c>
      <c r="I2901" s="3" t="str">
        <f aca="false">Raw_Data!H2901</f>
        <v>no</v>
      </c>
      <c r="J2901" s="2" t="n">
        <f aca="false">IF(F2901="yes",1,0)</f>
        <v>0</v>
      </c>
      <c r="K2901" s="2" t="n">
        <f aca="false">IF(H2901="yes",1,0)</f>
        <v>0</v>
      </c>
      <c r="L2901" s="2" t="n">
        <f aca="false">IF(I2901="yes",1,0)</f>
        <v>0</v>
      </c>
      <c r="M2901" s="2" t="n">
        <f aca="false">IF(G2901&lt;0,1,0)</f>
        <v>0</v>
      </c>
      <c r="N2901" s="2" t="str">
        <f aca="false">_xlfn.IFS(B2901&lt;30,"Under 30",B2901&lt;40,"30-39",B2901&lt;50,"40-49",B2901&lt;60,"50-59",TRUE(),"60+")</f>
        <v>40-49</v>
      </c>
      <c r="O2901" s="2" t="str">
        <f aca="false">_xlfn.IFS(G2901&lt;0,"1 Negative",G2901=0,"2 Zero",G2901&lt;=500,"3 1-500",G2901&lt;=2000,"4 501-2000",TRUE(),"5 Above 2000")</f>
        <v>3 1-500</v>
      </c>
      <c r="P2901" s="2" t="n">
        <f aca="false">Lookups!$B$2*M2901+Lookups!$B$3*L2901</f>
        <v>0</v>
      </c>
      <c r="Q2901" s="2" t="str">
        <f aca="false">INDEX(Lookups!$E$2:$E$5,MATCH(P2901,Lookups!$D$2:$D$5,0))</f>
        <v>Low</v>
      </c>
    </row>
    <row r="2902" customFormat="false" ht="15" hidden="false" customHeight="false" outlineLevel="0" collapsed="false">
      <c r="A2902" s="3" t="n">
        <v>2901</v>
      </c>
      <c r="B2902" s="3" t="n">
        <f aca="false">Raw_Data!A2902</f>
        <v>32</v>
      </c>
      <c r="C2902" s="3" t="str">
        <f aca="false">SUBSTITUTE(Raw_Data!B2902,".","")</f>
        <v>management</v>
      </c>
      <c r="D2902" s="3" t="str">
        <f aca="false">Raw_Data!C2902</f>
        <v>single</v>
      </c>
      <c r="E2902" s="3" t="str">
        <f aca="false">Raw_Data!D2902</f>
        <v>tertiary</v>
      </c>
      <c r="F2902" s="3" t="str">
        <f aca="false">Raw_Data!E2902</f>
        <v>no</v>
      </c>
      <c r="G2902" s="3" t="n">
        <f aca="false">Raw_Data!F2902</f>
        <v>697</v>
      </c>
      <c r="H2902" s="3" t="str">
        <f aca="false">Raw_Data!G2902</f>
        <v>no</v>
      </c>
      <c r="I2902" s="3" t="str">
        <f aca="false">Raw_Data!H2902</f>
        <v>no</v>
      </c>
      <c r="J2902" s="2" t="n">
        <f aca="false">IF(F2902="yes",1,0)</f>
        <v>0</v>
      </c>
      <c r="K2902" s="2" t="n">
        <f aca="false">IF(H2902="yes",1,0)</f>
        <v>0</v>
      </c>
      <c r="L2902" s="2" t="n">
        <f aca="false">IF(I2902="yes",1,0)</f>
        <v>0</v>
      </c>
      <c r="M2902" s="2" t="n">
        <f aca="false">IF(G2902&lt;0,1,0)</f>
        <v>0</v>
      </c>
      <c r="N2902" s="2" t="str">
        <f aca="false">_xlfn.IFS(B2902&lt;30,"Under 30",B2902&lt;40,"30-39",B2902&lt;50,"40-49",B2902&lt;60,"50-59",TRUE(),"60+")</f>
        <v>30-39</v>
      </c>
      <c r="O2902" s="2" t="str">
        <f aca="false">_xlfn.IFS(G2902&lt;0,"1 Negative",G2902=0,"2 Zero",G2902&lt;=500,"3 1-500",G2902&lt;=2000,"4 501-2000",TRUE(),"5 Above 2000")</f>
        <v>4 501-2000</v>
      </c>
      <c r="P2902" s="2" t="n">
        <f aca="false">Lookups!$B$2*M2902+Lookups!$B$3*L2902</f>
        <v>0</v>
      </c>
      <c r="Q2902" s="2" t="str">
        <f aca="false">INDEX(Lookups!$E$2:$E$5,MATCH(P2902,Lookups!$D$2:$D$5,0))</f>
        <v>Low</v>
      </c>
    </row>
    <row r="2903" customFormat="false" ht="15" hidden="false" customHeight="false" outlineLevel="0" collapsed="false">
      <c r="A2903" s="3" t="n">
        <v>2902</v>
      </c>
      <c r="B2903" s="3" t="n">
        <f aca="false">Raw_Data!A2903</f>
        <v>37</v>
      </c>
      <c r="C2903" s="3" t="str">
        <f aca="false">SUBSTITUTE(Raw_Data!B2903,".","")</f>
        <v>services</v>
      </c>
      <c r="D2903" s="3" t="str">
        <f aca="false">Raw_Data!C2903</f>
        <v>single</v>
      </c>
      <c r="E2903" s="3" t="str">
        <f aca="false">Raw_Data!D2903</f>
        <v>tertiary</v>
      </c>
      <c r="F2903" s="3" t="str">
        <f aca="false">Raw_Data!E2903</f>
        <v>no</v>
      </c>
      <c r="G2903" s="3" t="n">
        <f aca="false">Raw_Data!F2903</f>
        <v>223</v>
      </c>
      <c r="H2903" s="3" t="str">
        <f aca="false">Raw_Data!G2903</f>
        <v>yes</v>
      </c>
      <c r="I2903" s="3" t="str">
        <f aca="false">Raw_Data!H2903</f>
        <v>no</v>
      </c>
      <c r="J2903" s="2" t="n">
        <f aca="false">IF(F2903="yes",1,0)</f>
        <v>0</v>
      </c>
      <c r="K2903" s="2" t="n">
        <f aca="false">IF(H2903="yes",1,0)</f>
        <v>1</v>
      </c>
      <c r="L2903" s="2" t="n">
        <f aca="false">IF(I2903="yes",1,0)</f>
        <v>0</v>
      </c>
      <c r="M2903" s="2" t="n">
        <f aca="false">IF(G2903&lt;0,1,0)</f>
        <v>0</v>
      </c>
      <c r="N2903" s="2" t="str">
        <f aca="false">_xlfn.IFS(B2903&lt;30,"Under 30",B2903&lt;40,"30-39",B2903&lt;50,"40-49",B2903&lt;60,"50-59",TRUE(),"60+")</f>
        <v>30-39</v>
      </c>
      <c r="O2903" s="2" t="str">
        <f aca="false">_xlfn.IFS(G2903&lt;0,"1 Negative",G2903=0,"2 Zero",G2903&lt;=500,"3 1-500",G2903&lt;=2000,"4 501-2000",TRUE(),"5 Above 2000")</f>
        <v>3 1-500</v>
      </c>
      <c r="P2903" s="2" t="n">
        <f aca="false">Lookups!$B$2*M2903+Lookups!$B$3*L2903</f>
        <v>0</v>
      </c>
      <c r="Q2903" s="2" t="str">
        <f aca="false">INDEX(Lookups!$E$2:$E$5,MATCH(P2903,Lookups!$D$2:$D$5,0))</f>
        <v>Low</v>
      </c>
    </row>
    <row r="2904" customFormat="false" ht="15" hidden="false" customHeight="false" outlineLevel="0" collapsed="false">
      <c r="A2904" s="3" t="n">
        <v>2903</v>
      </c>
      <c r="B2904" s="3" t="n">
        <f aca="false">Raw_Data!A2904</f>
        <v>32</v>
      </c>
      <c r="C2904" s="3" t="str">
        <f aca="false">SUBSTITUTE(Raw_Data!B2904,".","")</f>
        <v>student</v>
      </c>
      <c r="D2904" s="3" t="str">
        <f aca="false">Raw_Data!C2904</f>
        <v>married</v>
      </c>
      <c r="E2904" s="3" t="str">
        <f aca="false">Raw_Data!D2904</f>
        <v>secondary</v>
      </c>
      <c r="F2904" s="3" t="str">
        <f aca="false">Raw_Data!E2904</f>
        <v>no</v>
      </c>
      <c r="G2904" s="3" t="n">
        <f aca="false">Raw_Data!F2904</f>
        <v>1694</v>
      </c>
      <c r="H2904" s="3" t="str">
        <f aca="false">Raw_Data!G2904</f>
        <v>yes</v>
      </c>
      <c r="I2904" s="3" t="str">
        <f aca="false">Raw_Data!H2904</f>
        <v>no</v>
      </c>
      <c r="J2904" s="2" t="n">
        <f aca="false">IF(F2904="yes",1,0)</f>
        <v>0</v>
      </c>
      <c r="K2904" s="2" t="n">
        <f aca="false">IF(H2904="yes",1,0)</f>
        <v>1</v>
      </c>
      <c r="L2904" s="2" t="n">
        <f aca="false">IF(I2904="yes",1,0)</f>
        <v>0</v>
      </c>
      <c r="M2904" s="2" t="n">
        <f aca="false">IF(G2904&lt;0,1,0)</f>
        <v>0</v>
      </c>
      <c r="N2904" s="2" t="str">
        <f aca="false">_xlfn.IFS(B2904&lt;30,"Under 30",B2904&lt;40,"30-39",B2904&lt;50,"40-49",B2904&lt;60,"50-59",TRUE(),"60+")</f>
        <v>30-39</v>
      </c>
      <c r="O2904" s="2" t="str">
        <f aca="false">_xlfn.IFS(G2904&lt;0,"1 Negative",G2904=0,"2 Zero",G2904&lt;=500,"3 1-500",G2904&lt;=2000,"4 501-2000",TRUE(),"5 Above 2000")</f>
        <v>4 501-2000</v>
      </c>
      <c r="P2904" s="2" t="n">
        <f aca="false">Lookups!$B$2*M2904+Lookups!$B$3*L2904</f>
        <v>0</v>
      </c>
      <c r="Q2904" s="2" t="str">
        <f aca="false">INDEX(Lookups!$E$2:$E$5,MATCH(P2904,Lookups!$D$2:$D$5,0))</f>
        <v>Low</v>
      </c>
    </row>
    <row r="2905" customFormat="false" ht="15" hidden="false" customHeight="false" outlineLevel="0" collapsed="false">
      <c r="A2905" s="3" t="n">
        <v>2904</v>
      </c>
      <c r="B2905" s="3" t="n">
        <f aca="false">Raw_Data!A2905</f>
        <v>53</v>
      </c>
      <c r="C2905" s="3" t="str">
        <f aca="false">SUBSTITUTE(Raw_Data!B2905,".","")</f>
        <v>management</v>
      </c>
      <c r="D2905" s="3" t="str">
        <f aca="false">Raw_Data!C2905</f>
        <v>married</v>
      </c>
      <c r="E2905" s="3" t="str">
        <f aca="false">Raw_Data!D2905</f>
        <v>tertiary</v>
      </c>
      <c r="F2905" s="3" t="str">
        <f aca="false">Raw_Data!E2905</f>
        <v>no</v>
      </c>
      <c r="G2905" s="3" t="n">
        <f aca="false">Raw_Data!F2905</f>
        <v>4446</v>
      </c>
      <c r="H2905" s="3" t="str">
        <f aca="false">Raw_Data!G2905</f>
        <v>yes</v>
      </c>
      <c r="I2905" s="3" t="str">
        <f aca="false">Raw_Data!H2905</f>
        <v>no</v>
      </c>
      <c r="J2905" s="2" t="n">
        <f aca="false">IF(F2905="yes",1,0)</f>
        <v>0</v>
      </c>
      <c r="K2905" s="2" t="n">
        <f aca="false">IF(H2905="yes",1,0)</f>
        <v>1</v>
      </c>
      <c r="L2905" s="2" t="n">
        <f aca="false">IF(I2905="yes",1,0)</f>
        <v>0</v>
      </c>
      <c r="M2905" s="2" t="n">
        <f aca="false">IF(G2905&lt;0,1,0)</f>
        <v>0</v>
      </c>
      <c r="N2905" s="2" t="str">
        <f aca="false">_xlfn.IFS(B2905&lt;30,"Under 30",B2905&lt;40,"30-39",B2905&lt;50,"40-49",B2905&lt;60,"50-59",TRUE(),"60+")</f>
        <v>50-59</v>
      </c>
      <c r="O2905" s="2" t="str">
        <f aca="false">_xlfn.IFS(G2905&lt;0,"1 Negative",G2905=0,"2 Zero",G2905&lt;=500,"3 1-500",G2905&lt;=2000,"4 501-2000",TRUE(),"5 Above 2000")</f>
        <v>5 Above 2000</v>
      </c>
      <c r="P2905" s="2" t="n">
        <f aca="false">Lookups!$B$2*M2905+Lookups!$B$3*L2905</f>
        <v>0</v>
      </c>
      <c r="Q2905" s="2" t="str">
        <f aca="false">INDEX(Lookups!$E$2:$E$5,MATCH(P2905,Lookups!$D$2:$D$5,0))</f>
        <v>Low</v>
      </c>
    </row>
    <row r="2906" customFormat="false" ht="15" hidden="false" customHeight="false" outlineLevel="0" collapsed="false">
      <c r="A2906" s="3" t="n">
        <v>2905</v>
      </c>
      <c r="B2906" s="3" t="n">
        <f aca="false">Raw_Data!A2906</f>
        <v>39</v>
      </c>
      <c r="C2906" s="3" t="str">
        <f aca="false">SUBSTITUTE(Raw_Data!B2906,".","")</f>
        <v>management</v>
      </c>
      <c r="D2906" s="3" t="str">
        <f aca="false">Raw_Data!C2906</f>
        <v>married</v>
      </c>
      <c r="E2906" s="3" t="str">
        <f aca="false">Raw_Data!D2906</f>
        <v>tertiary</v>
      </c>
      <c r="F2906" s="3" t="str">
        <f aca="false">Raw_Data!E2906</f>
        <v>no</v>
      </c>
      <c r="G2906" s="3" t="n">
        <f aca="false">Raw_Data!F2906</f>
        <v>894</v>
      </c>
      <c r="H2906" s="3" t="str">
        <f aca="false">Raw_Data!G2906</f>
        <v>yes</v>
      </c>
      <c r="I2906" s="3" t="str">
        <f aca="false">Raw_Data!H2906</f>
        <v>no</v>
      </c>
      <c r="J2906" s="2" t="n">
        <f aca="false">IF(F2906="yes",1,0)</f>
        <v>0</v>
      </c>
      <c r="K2906" s="2" t="n">
        <f aca="false">IF(H2906="yes",1,0)</f>
        <v>1</v>
      </c>
      <c r="L2906" s="2" t="n">
        <f aca="false">IF(I2906="yes",1,0)</f>
        <v>0</v>
      </c>
      <c r="M2906" s="2" t="n">
        <f aca="false">IF(G2906&lt;0,1,0)</f>
        <v>0</v>
      </c>
      <c r="N2906" s="2" t="str">
        <f aca="false">_xlfn.IFS(B2906&lt;30,"Under 30",B2906&lt;40,"30-39",B2906&lt;50,"40-49",B2906&lt;60,"50-59",TRUE(),"60+")</f>
        <v>30-39</v>
      </c>
      <c r="O2906" s="2" t="str">
        <f aca="false">_xlfn.IFS(G2906&lt;0,"1 Negative",G2906=0,"2 Zero",G2906&lt;=500,"3 1-500",G2906&lt;=2000,"4 501-2000",TRUE(),"5 Above 2000")</f>
        <v>4 501-2000</v>
      </c>
      <c r="P2906" s="2" t="n">
        <f aca="false">Lookups!$B$2*M2906+Lookups!$B$3*L2906</f>
        <v>0</v>
      </c>
      <c r="Q2906" s="2" t="str">
        <f aca="false">INDEX(Lookups!$E$2:$E$5,MATCH(P2906,Lookups!$D$2:$D$5,0))</f>
        <v>Low</v>
      </c>
    </row>
    <row r="2907" customFormat="false" ht="15" hidden="false" customHeight="false" outlineLevel="0" collapsed="false">
      <c r="A2907" s="3" t="n">
        <v>2906</v>
      </c>
      <c r="B2907" s="3" t="n">
        <f aca="false">Raw_Data!A2907</f>
        <v>31</v>
      </c>
      <c r="C2907" s="3" t="str">
        <f aca="false">SUBSTITUTE(Raw_Data!B2907,".","")</f>
        <v>technician</v>
      </c>
      <c r="D2907" s="3" t="str">
        <f aca="false">Raw_Data!C2907</f>
        <v>divorced</v>
      </c>
      <c r="E2907" s="3" t="str">
        <f aca="false">Raw_Data!D2907</f>
        <v>secondary</v>
      </c>
      <c r="F2907" s="3" t="str">
        <f aca="false">Raw_Data!E2907</f>
        <v>no</v>
      </c>
      <c r="G2907" s="3" t="n">
        <f aca="false">Raw_Data!F2907</f>
        <v>202</v>
      </c>
      <c r="H2907" s="3" t="str">
        <f aca="false">Raw_Data!G2907</f>
        <v>yes</v>
      </c>
      <c r="I2907" s="3" t="str">
        <f aca="false">Raw_Data!H2907</f>
        <v>no</v>
      </c>
      <c r="J2907" s="2" t="n">
        <f aca="false">IF(F2907="yes",1,0)</f>
        <v>0</v>
      </c>
      <c r="K2907" s="2" t="n">
        <f aca="false">IF(H2907="yes",1,0)</f>
        <v>1</v>
      </c>
      <c r="L2907" s="2" t="n">
        <f aca="false">IF(I2907="yes",1,0)</f>
        <v>0</v>
      </c>
      <c r="M2907" s="2" t="n">
        <f aca="false">IF(G2907&lt;0,1,0)</f>
        <v>0</v>
      </c>
      <c r="N2907" s="2" t="str">
        <f aca="false">_xlfn.IFS(B2907&lt;30,"Under 30",B2907&lt;40,"30-39",B2907&lt;50,"40-49",B2907&lt;60,"50-59",TRUE(),"60+")</f>
        <v>30-39</v>
      </c>
      <c r="O2907" s="2" t="str">
        <f aca="false">_xlfn.IFS(G2907&lt;0,"1 Negative",G2907=0,"2 Zero",G2907&lt;=500,"3 1-500",G2907&lt;=2000,"4 501-2000",TRUE(),"5 Above 2000")</f>
        <v>3 1-500</v>
      </c>
      <c r="P2907" s="2" t="n">
        <f aca="false">Lookups!$B$2*M2907+Lookups!$B$3*L2907</f>
        <v>0</v>
      </c>
      <c r="Q2907" s="2" t="str">
        <f aca="false">INDEX(Lookups!$E$2:$E$5,MATCH(P2907,Lookups!$D$2:$D$5,0))</f>
        <v>Low</v>
      </c>
    </row>
    <row r="2908" customFormat="false" ht="15" hidden="false" customHeight="false" outlineLevel="0" collapsed="false">
      <c r="A2908" s="3" t="n">
        <v>2907</v>
      </c>
      <c r="B2908" s="3" t="n">
        <f aca="false">Raw_Data!A2908</f>
        <v>34</v>
      </c>
      <c r="C2908" s="3" t="str">
        <f aca="false">SUBSTITUTE(Raw_Data!B2908,".","")</f>
        <v>management</v>
      </c>
      <c r="D2908" s="3" t="str">
        <f aca="false">Raw_Data!C2908</f>
        <v>single</v>
      </c>
      <c r="E2908" s="3" t="str">
        <f aca="false">Raw_Data!D2908</f>
        <v>tertiary</v>
      </c>
      <c r="F2908" s="3" t="str">
        <f aca="false">Raw_Data!E2908</f>
        <v>no</v>
      </c>
      <c r="G2908" s="3" t="n">
        <f aca="false">Raw_Data!F2908</f>
        <v>0</v>
      </c>
      <c r="H2908" s="3" t="str">
        <f aca="false">Raw_Data!G2908</f>
        <v>no</v>
      </c>
      <c r="I2908" s="3" t="str">
        <f aca="false">Raw_Data!H2908</f>
        <v>no</v>
      </c>
      <c r="J2908" s="2" t="n">
        <f aca="false">IF(F2908="yes",1,0)</f>
        <v>0</v>
      </c>
      <c r="K2908" s="2" t="n">
        <f aca="false">IF(H2908="yes",1,0)</f>
        <v>0</v>
      </c>
      <c r="L2908" s="2" t="n">
        <f aca="false">IF(I2908="yes",1,0)</f>
        <v>0</v>
      </c>
      <c r="M2908" s="2" t="n">
        <f aca="false">IF(G2908&lt;0,1,0)</f>
        <v>0</v>
      </c>
      <c r="N2908" s="2" t="str">
        <f aca="false">_xlfn.IFS(B2908&lt;30,"Under 30",B2908&lt;40,"30-39",B2908&lt;50,"40-49",B2908&lt;60,"50-59",TRUE(),"60+")</f>
        <v>30-39</v>
      </c>
      <c r="O2908" s="2" t="str">
        <f aca="false">_xlfn.IFS(G2908&lt;0,"1 Negative",G2908=0,"2 Zero",G2908&lt;=500,"3 1-500",G2908&lt;=2000,"4 501-2000",TRUE(),"5 Above 2000")</f>
        <v>2 Zero</v>
      </c>
      <c r="P2908" s="2" t="n">
        <f aca="false">Lookups!$B$2*M2908+Lookups!$B$3*L2908</f>
        <v>0</v>
      </c>
      <c r="Q2908" s="2" t="str">
        <f aca="false">INDEX(Lookups!$E$2:$E$5,MATCH(P2908,Lookups!$D$2:$D$5,0))</f>
        <v>Low</v>
      </c>
    </row>
    <row r="2909" customFormat="false" ht="15" hidden="false" customHeight="false" outlineLevel="0" collapsed="false">
      <c r="A2909" s="3" t="n">
        <v>2908</v>
      </c>
      <c r="B2909" s="3" t="n">
        <f aca="false">Raw_Data!A2909</f>
        <v>44</v>
      </c>
      <c r="C2909" s="3" t="str">
        <f aca="false">SUBSTITUTE(Raw_Data!B2909,".","")</f>
        <v>technician</v>
      </c>
      <c r="D2909" s="3" t="str">
        <f aca="false">Raw_Data!C2909</f>
        <v>married</v>
      </c>
      <c r="E2909" s="3" t="str">
        <f aca="false">Raw_Data!D2909</f>
        <v>tertiary</v>
      </c>
      <c r="F2909" s="3" t="str">
        <f aca="false">Raw_Data!E2909</f>
        <v>no</v>
      </c>
      <c r="G2909" s="3" t="n">
        <f aca="false">Raw_Data!F2909</f>
        <v>1707</v>
      </c>
      <c r="H2909" s="3" t="str">
        <f aca="false">Raw_Data!G2909</f>
        <v>no</v>
      </c>
      <c r="I2909" s="3" t="str">
        <f aca="false">Raw_Data!H2909</f>
        <v>no</v>
      </c>
      <c r="J2909" s="2" t="n">
        <f aca="false">IF(F2909="yes",1,0)</f>
        <v>0</v>
      </c>
      <c r="K2909" s="2" t="n">
        <f aca="false">IF(H2909="yes",1,0)</f>
        <v>0</v>
      </c>
      <c r="L2909" s="2" t="n">
        <f aca="false">IF(I2909="yes",1,0)</f>
        <v>0</v>
      </c>
      <c r="M2909" s="2" t="n">
        <f aca="false">IF(G2909&lt;0,1,0)</f>
        <v>0</v>
      </c>
      <c r="N2909" s="2" t="str">
        <f aca="false">_xlfn.IFS(B2909&lt;30,"Under 30",B2909&lt;40,"30-39",B2909&lt;50,"40-49",B2909&lt;60,"50-59",TRUE(),"60+")</f>
        <v>40-49</v>
      </c>
      <c r="O2909" s="2" t="str">
        <f aca="false">_xlfn.IFS(G2909&lt;0,"1 Negative",G2909=0,"2 Zero",G2909&lt;=500,"3 1-500",G2909&lt;=2000,"4 501-2000",TRUE(),"5 Above 2000")</f>
        <v>4 501-2000</v>
      </c>
      <c r="P2909" s="2" t="n">
        <f aca="false">Lookups!$B$2*M2909+Lookups!$B$3*L2909</f>
        <v>0</v>
      </c>
      <c r="Q2909" s="2" t="str">
        <f aca="false">INDEX(Lookups!$E$2:$E$5,MATCH(P2909,Lookups!$D$2:$D$5,0))</f>
        <v>Low</v>
      </c>
    </row>
    <row r="2910" customFormat="false" ht="15" hidden="false" customHeight="false" outlineLevel="0" collapsed="false">
      <c r="A2910" s="3" t="n">
        <v>2909</v>
      </c>
      <c r="B2910" s="3" t="n">
        <f aca="false">Raw_Data!A2910</f>
        <v>35</v>
      </c>
      <c r="C2910" s="3" t="str">
        <f aca="false">SUBSTITUTE(Raw_Data!B2910,".","")</f>
        <v>technician</v>
      </c>
      <c r="D2910" s="3" t="str">
        <f aca="false">Raw_Data!C2910</f>
        <v>married</v>
      </c>
      <c r="E2910" s="3" t="str">
        <f aca="false">Raw_Data!D2910</f>
        <v>secondary</v>
      </c>
      <c r="F2910" s="3" t="str">
        <f aca="false">Raw_Data!E2910</f>
        <v>no</v>
      </c>
      <c r="G2910" s="3" t="n">
        <f aca="false">Raw_Data!F2910</f>
        <v>13658</v>
      </c>
      <c r="H2910" s="3" t="str">
        <f aca="false">Raw_Data!G2910</f>
        <v>yes</v>
      </c>
      <c r="I2910" s="3" t="str">
        <f aca="false">Raw_Data!H2910</f>
        <v>no</v>
      </c>
      <c r="J2910" s="2" t="n">
        <f aca="false">IF(F2910="yes",1,0)</f>
        <v>0</v>
      </c>
      <c r="K2910" s="2" t="n">
        <f aca="false">IF(H2910="yes",1,0)</f>
        <v>1</v>
      </c>
      <c r="L2910" s="2" t="n">
        <f aca="false">IF(I2910="yes",1,0)</f>
        <v>0</v>
      </c>
      <c r="M2910" s="2" t="n">
        <f aca="false">IF(G2910&lt;0,1,0)</f>
        <v>0</v>
      </c>
      <c r="N2910" s="2" t="str">
        <f aca="false">_xlfn.IFS(B2910&lt;30,"Under 30",B2910&lt;40,"30-39",B2910&lt;50,"40-49",B2910&lt;60,"50-59",TRUE(),"60+")</f>
        <v>30-39</v>
      </c>
      <c r="O2910" s="2" t="str">
        <f aca="false">_xlfn.IFS(G2910&lt;0,"1 Negative",G2910=0,"2 Zero",G2910&lt;=500,"3 1-500",G2910&lt;=2000,"4 501-2000",TRUE(),"5 Above 2000")</f>
        <v>5 Above 2000</v>
      </c>
      <c r="P2910" s="2" t="n">
        <f aca="false">Lookups!$B$2*M2910+Lookups!$B$3*L2910</f>
        <v>0</v>
      </c>
      <c r="Q2910" s="2" t="str">
        <f aca="false">INDEX(Lookups!$E$2:$E$5,MATCH(P2910,Lookups!$D$2:$D$5,0))</f>
        <v>Low</v>
      </c>
    </row>
    <row r="2911" customFormat="false" ht="15" hidden="false" customHeight="false" outlineLevel="0" collapsed="false">
      <c r="A2911" s="3" t="n">
        <v>2910</v>
      </c>
      <c r="B2911" s="3" t="n">
        <f aca="false">Raw_Data!A2911</f>
        <v>39</v>
      </c>
      <c r="C2911" s="3" t="str">
        <f aca="false">SUBSTITUTE(Raw_Data!B2911,".","")</f>
        <v>admin</v>
      </c>
      <c r="D2911" s="3" t="str">
        <f aca="false">Raw_Data!C2911</f>
        <v>married</v>
      </c>
      <c r="E2911" s="3" t="str">
        <f aca="false">Raw_Data!D2911</f>
        <v>secondary</v>
      </c>
      <c r="F2911" s="3" t="str">
        <f aca="false">Raw_Data!E2911</f>
        <v>no</v>
      </c>
      <c r="G2911" s="3" t="n">
        <f aca="false">Raw_Data!F2911</f>
        <v>406</v>
      </c>
      <c r="H2911" s="3" t="str">
        <f aca="false">Raw_Data!G2911</f>
        <v>no</v>
      </c>
      <c r="I2911" s="3" t="str">
        <f aca="false">Raw_Data!H2911</f>
        <v>no</v>
      </c>
      <c r="J2911" s="2" t="n">
        <f aca="false">IF(F2911="yes",1,0)</f>
        <v>0</v>
      </c>
      <c r="K2911" s="2" t="n">
        <f aca="false">IF(H2911="yes",1,0)</f>
        <v>0</v>
      </c>
      <c r="L2911" s="2" t="n">
        <f aca="false">IF(I2911="yes",1,0)</f>
        <v>0</v>
      </c>
      <c r="M2911" s="2" t="n">
        <f aca="false">IF(G2911&lt;0,1,0)</f>
        <v>0</v>
      </c>
      <c r="N2911" s="2" t="str">
        <f aca="false">_xlfn.IFS(B2911&lt;30,"Under 30",B2911&lt;40,"30-39",B2911&lt;50,"40-49",B2911&lt;60,"50-59",TRUE(),"60+")</f>
        <v>30-39</v>
      </c>
      <c r="O2911" s="2" t="str">
        <f aca="false">_xlfn.IFS(G2911&lt;0,"1 Negative",G2911=0,"2 Zero",G2911&lt;=500,"3 1-500",G2911&lt;=2000,"4 501-2000",TRUE(),"5 Above 2000")</f>
        <v>3 1-500</v>
      </c>
      <c r="P2911" s="2" t="n">
        <f aca="false">Lookups!$B$2*M2911+Lookups!$B$3*L2911</f>
        <v>0</v>
      </c>
      <c r="Q2911" s="2" t="str">
        <f aca="false">INDEX(Lookups!$E$2:$E$5,MATCH(P2911,Lookups!$D$2:$D$5,0))</f>
        <v>Low</v>
      </c>
    </row>
    <row r="2912" customFormat="false" ht="15" hidden="false" customHeight="false" outlineLevel="0" collapsed="false">
      <c r="A2912" s="3" t="n">
        <v>2911</v>
      </c>
      <c r="B2912" s="3" t="n">
        <f aca="false">Raw_Data!A2912</f>
        <v>55</v>
      </c>
      <c r="C2912" s="3" t="str">
        <f aca="false">SUBSTITUTE(Raw_Data!B2912,".","")</f>
        <v>services</v>
      </c>
      <c r="D2912" s="3" t="str">
        <f aca="false">Raw_Data!C2912</f>
        <v>married</v>
      </c>
      <c r="E2912" s="3" t="str">
        <f aca="false">Raw_Data!D2912</f>
        <v>secondary</v>
      </c>
      <c r="F2912" s="3" t="str">
        <f aca="false">Raw_Data!E2912</f>
        <v>no</v>
      </c>
      <c r="G2912" s="3" t="n">
        <f aca="false">Raw_Data!F2912</f>
        <v>96</v>
      </c>
      <c r="H2912" s="3" t="str">
        <f aca="false">Raw_Data!G2912</f>
        <v>no</v>
      </c>
      <c r="I2912" s="3" t="str">
        <f aca="false">Raw_Data!H2912</f>
        <v>no</v>
      </c>
      <c r="J2912" s="2" t="n">
        <f aca="false">IF(F2912="yes",1,0)</f>
        <v>0</v>
      </c>
      <c r="K2912" s="2" t="n">
        <f aca="false">IF(H2912="yes",1,0)</f>
        <v>0</v>
      </c>
      <c r="L2912" s="2" t="n">
        <f aca="false">IF(I2912="yes",1,0)</f>
        <v>0</v>
      </c>
      <c r="M2912" s="2" t="n">
        <f aca="false">IF(G2912&lt;0,1,0)</f>
        <v>0</v>
      </c>
      <c r="N2912" s="2" t="str">
        <f aca="false">_xlfn.IFS(B2912&lt;30,"Under 30",B2912&lt;40,"30-39",B2912&lt;50,"40-49",B2912&lt;60,"50-59",TRUE(),"60+")</f>
        <v>50-59</v>
      </c>
      <c r="O2912" s="2" t="str">
        <f aca="false">_xlfn.IFS(G2912&lt;0,"1 Negative",G2912=0,"2 Zero",G2912&lt;=500,"3 1-500",G2912&lt;=2000,"4 501-2000",TRUE(),"5 Above 2000")</f>
        <v>3 1-500</v>
      </c>
      <c r="P2912" s="2" t="n">
        <f aca="false">Lookups!$B$2*M2912+Lookups!$B$3*L2912</f>
        <v>0</v>
      </c>
      <c r="Q2912" s="2" t="str">
        <f aca="false">INDEX(Lookups!$E$2:$E$5,MATCH(P2912,Lookups!$D$2:$D$5,0))</f>
        <v>Low</v>
      </c>
    </row>
    <row r="2913" customFormat="false" ht="15" hidden="false" customHeight="false" outlineLevel="0" collapsed="false">
      <c r="A2913" s="3" t="n">
        <v>2912</v>
      </c>
      <c r="B2913" s="3" t="n">
        <f aca="false">Raw_Data!A2913</f>
        <v>34</v>
      </c>
      <c r="C2913" s="3" t="str">
        <f aca="false">SUBSTITUTE(Raw_Data!B2913,".","")</f>
        <v>housemaid</v>
      </c>
      <c r="D2913" s="3" t="str">
        <f aca="false">Raw_Data!C2913</f>
        <v>married</v>
      </c>
      <c r="E2913" s="3" t="str">
        <f aca="false">Raw_Data!D2913</f>
        <v>secondary</v>
      </c>
      <c r="F2913" s="3" t="str">
        <f aca="false">Raw_Data!E2913</f>
        <v>no</v>
      </c>
      <c r="G2913" s="3" t="n">
        <f aca="false">Raw_Data!F2913</f>
        <v>0</v>
      </c>
      <c r="H2913" s="3" t="str">
        <f aca="false">Raw_Data!G2913</f>
        <v>yes</v>
      </c>
      <c r="I2913" s="3" t="str">
        <f aca="false">Raw_Data!H2913</f>
        <v>no</v>
      </c>
      <c r="J2913" s="2" t="n">
        <f aca="false">IF(F2913="yes",1,0)</f>
        <v>0</v>
      </c>
      <c r="K2913" s="2" t="n">
        <f aca="false">IF(H2913="yes",1,0)</f>
        <v>1</v>
      </c>
      <c r="L2913" s="2" t="n">
        <f aca="false">IF(I2913="yes",1,0)</f>
        <v>0</v>
      </c>
      <c r="M2913" s="2" t="n">
        <f aca="false">IF(G2913&lt;0,1,0)</f>
        <v>0</v>
      </c>
      <c r="N2913" s="2" t="str">
        <f aca="false">_xlfn.IFS(B2913&lt;30,"Under 30",B2913&lt;40,"30-39",B2913&lt;50,"40-49",B2913&lt;60,"50-59",TRUE(),"60+")</f>
        <v>30-39</v>
      </c>
      <c r="O2913" s="2" t="str">
        <f aca="false">_xlfn.IFS(G2913&lt;0,"1 Negative",G2913=0,"2 Zero",G2913&lt;=500,"3 1-500",G2913&lt;=2000,"4 501-2000",TRUE(),"5 Above 2000")</f>
        <v>2 Zero</v>
      </c>
      <c r="P2913" s="2" t="n">
        <f aca="false">Lookups!$B$2*M2913+Lookups!$B$3*L2913</f>
        <v>0</v>
      </c>
      <c r="Q2913" s="2" t="str">
        <f aca="false">INDEX(Lookups!$E$2:$E$5,MATCH(P2913,Lookups!$D$2:$D$5,0))</f>
        <v>Low</v>
      </c>
    </row>
    <row r="2914" customFormat="false" ht="15" hidden="false" customHeight="false" outlineLevel="0" collapsed="false">
      <c r="A2914" s="3" t="n">
        <v>2913</v>
      </c>
      <c r="B2914" s="3" t="n">
        <f aca="false">Raw_Data!A2914</f>
        <v>39</v>
      </c>
      <c r="C2914" s="3" t="str">
        <f aca="false">SUBSTITUTE(Raw_Data!B2914,".","")</f>
        <v>technician</v>
      </c>
      <c r="D2914" s="3" t="str">
        <f aca="false">Raw_Data!C2914</f>
        <v>married</v>
      </c>
      <c r="E2914" s="3" t="str">
        <f aca="false">Raw_Data!D2914</f>
        <v>tertiary</v>
      </c>
      <c r="F2914" s="3" t="str">
        <f aca="false">Raw_Data!E2914</f>
        <v>no</v>
      </c>
      <c r="G2914" s="3" t="n">
        <f aca="false">Raw_Data!F2914</f>
        <v>-276</v>
      </c>
      <c r="H2914" s="3" t="str">
        <f aca="false">Raw_Data!G2914</f>
        <v>no</v>
      </c>
      <c r="I2914" s="3" t="str">
        <f aca="false">Raw_Data!H2914</f>
        <v>yes</v>
      </c>
      <c r="J2914" s="2" t="n">
        <f aca="false">IF(F2914="yes",1,0)</f>
        <v>0</v>
      </c>
      <c r="K2914" s="2" t="n">
        <f aca="false">IF(H2914="yes",1,0)</f>
        <v>0</v>
      </c>
      <c r="L2914" s="2" t="n">
        <f aca="false">IF(I2914="yes",1,0)</f>
        <v>1</v>
      </c>
      <c r="M2914" s="2" t="n">
        <f aca="false">IF(G2914&lt;0,1,0)</f>
        <v>1</v>
      </c>
      <c r="N2914" s="2" t="str">
        <f aca="false">_xlfn.IFS(B2914&lt;30,"Under 30",B2914&lt;40,"30-39",B2914&lt;50,"40-49",B2914&lt;60,"50-59",TRUE(),"60+")</f>
        <v>30-39</v>
      </c>
      <c r="O2914" s="2" t="str">
        <f aca="false">_xlfn.IFS(G2914&lt;0,"1 Negative",G2914=0,"2 Zero",G2914&lt;=500,"3 1-500",G2914&lt;=2000,"4 501-2000",TRUE(),"5 Above 2000")</f>
        <v>1 Negative</v>
      </c>
      <c r="P2914" s="2" t="n">
        <f aca="false">Lookups!$B$2*M2914+Lookups!$B$3*L2914</f>
        <v>3</v>
      </c>
      <c r="Q2914" s="2" t="str">
        <f aca="false">INDEX(Lookups!$E$2:$E$5,MATCH(P2914,Lookups!$D$2:$D$5,0))</f>
        <v>High</v>
      </c>
    </row>
    <row r="2915" customFormat="false" ht="15" hidden="false" customHeight="false" outlineLevel="0" collapsed="false">
      <c r="A2915" s="3" t="n">
        <v>2914</v>
      </c>
      <c r="B2915" s="3" t="n">
        <f aca="false">Raw_Data!A2915</f>
        <v>58</v>
      </c>
      <c r="C2915" s="3" t="str">
        <f aca="false">SUBSTITUTE(Raw_Data!B2915,".","")</f>
        <v>retired</v>
      </c>
      <c r="D2915" s="3" t="str">
        <f aca="false">Raw_Data!C2915</f>
        <v>married</v>
      </c>
      <c r="E2915" s="3" t="str">
        <f aca="false">Raw_Data!D2915</f>
        <v>secondary</v>
      </c>
      <c r="F2915" s="3" t="str">
        <f aca="false">Raw_Data!E2915</f>
        <v>no</v>
      </c>
      <c r="G2915" s="3" t="n">
        <f aca="false">Raw_Data!F2915</f>
        <v>413</v>
      </c>
      <c r="H2915" s="3" t="str">
        <f aca="false">Raw_Data!G2915</f>
        <v>no</v>
      </c>
      <c r="I2915" s="3" t="str">
        <f aca="false">Raw_Data!H2915</f>
        <v>no</v>
      </c>
      <c r="J2915" s="2" t="n">
        <f aca="false">IF(F2915="yes",1,0)</f>
        <v>0</v>
      </c>
      <c r="K2915" s="2" t="n">
        <f aca="false">IF(H2915="yes",1,0)</f>
        <v>0</v>
      </c>
      <c r="L2915" s="2" t="n">
        <f aca="false">IF(I2915="yes",1,0)</f>
        <v>0</v>
      </c>
      <c r="M2915" s="2" t="n">
        <f aca="false">IF(G2915&lt;0,1,0)</f>
        <v>0</v>
      </c>
      <c r="N2915" s="2" t="str">
        <f aca="false">_xlfn.IFS(B2915&lt;30,"Under 30",B2915&lt;40,"30-39",B2915&lt;50,"40-49",B2915&lt;60,"50-59",TRUE(),"60+")</f>
        <v>50-59</v>
      </c>
      <c r="O2915" s="2" t="str">
        <f aca="false">_xlfn.IFS(G2915&lt;0,"1 Negative",G2915=0,"2 Zero",G2915&lt;=500,"3 1-500",G2915&lt;=2000,"4 501-2000",TRUE(),"5 Above 2000")</f>
        <v>3 1-500</v>
      </c>
      <c r="P2915" s="2" t="n">
        <f aca="false">Lookups!$B$2*M2915+Lookups!$B$3*L2915</f>
        <v>0</v>
      </c>
      <c r="Q2915" s="2" t="str">
        <f aca="false">INDEX(Lookups!$E$2:$E$5,MATCH(P2915,Lookups!$D$2:$D$5,0))</f>
        <v>Low</v>
      </c>
    </row>
    <row r="2916" customFormat="false" ht="15" hidden="false" customHeight="false" outlineLevel="0" collapsed="false">
      <c r="A2916" s="3" t="n">
        <v>2915</v>
      </c>
      <c r="B2916" s="3" t="n">
        <f aca="false">Raw_Data!A2916</f>
        <v>37</v>
      </c>
      <c r="C2916" s="3" t="str">
        <f aca="false">SUBSTITUTE(Raw_Data!B2916,".","")</f>
        <v>blue-collar</v>
      </c>
      <c r="D2916" s="3" t="str">
        <f aca="false">Raw_Data!C2916</f>
        <v>married</v>
      </c>
      <c r="E2916" s="3" t="str">
        <f aca="false">Raw_Data!D2916</f>
        <v>primary</v>
      </c>
      <c r="F2916" s="3" t="str">
        <f aca="false">Raw_Data!E2916</f>
        <v>no</v>
      </c>
      <c r="G2916" s="3" t="n">
        <f aca="false">Raw_Data!F2916</f>
        <v>655</v>
      </c>
      <c r="H2916" s="3" t="str">
        <f aca="false">Raw_Data!G2916</f>
        <v>yes</v>
      </c>
      <c r="I2916" s="3" t="str">
        <f aca="false">Raw_Data!H2916</f>
        <v>no</v>
      </c>
      <c r="J2916" s="2" t="n">
        <f aca="false">IF(F2916="yes",1,0)</f>
        <v>0</v>
      </c>
      <c r="K2916" s="2" t="n">
        <f aca="false">IF(H2916="yes",1,0)</f>
        <v>1</v>
      </c>
      <c r="L2916" s="2" t="n">
        <f aca="false">IF(I2916="yes",1,0)</f>
        <v>0</v>
      </c>
      <c r="M2916" s="2" t="n">
        <f aca="false">IF(G2916&lt;0,1,0)</f>
        <v>0</v>
      </c>
      <c r="N2916" s="2" t="str">
        <f aca="false">_xlfn.IFS(B2916&lt;30,"Under 30",B2916&lt;40,"30-39",B2916&lt;50,"40-49",B2916&lt;60,"50-59",TRUE(),"60+")</f>
        <v>30-39</v>
      </c>
      <c r="O2916" s="2" t="str">
        <f aca="false">_xlfn.IFS(G2916&lt;0,"1 Negative",G2916=0,"2 Zero",G2916&lt;=500,"3 1-500",G2916&lt;=2000,"4 501-2000",TRUE(),"5 Above 2000")</f>
        <v>4 501-2000</v>
      </c>
      <c r="P2916" s="2" t="n">
        <f aca="false">Lookups!$B$2*M2916+Lookups!$B$3*L2916</f>
        <v>0</v>
      </c>
      <c r="Q2916" s="2" t="str">
        <f aca="false">INDEX(Lookups!$E$2:$E$5,MATCH(P2916,Lookups!$D$2:$D$5,0))</f>
        <v>Low</v>
      </c>
    </row>
    <row r="2917" customFormat="false" ht="15" hidden="false" customHeight="false" outlineLevel="0" collapsed="false">
      <c r="A2917" s="3" t="n">
        <v>2916</v>
      </c>
      <c r="B2917" s="3" t="n">
        <f aca="false">Raw_Data!A2917</f>
        <v>56</v>
      </c>
      <c r="C2917" s="3" t="str">
        <f aca="false">SUBSTITUTE(Raw_Data!B2917,".","")</f>
        <v>retired</v>
      </c>
      <c r="D2917" s="3" t="str">
        <f aca="false">Raw_Data!C2917</f>
        <v>divorced</v>
      </c>
      <c r="E2917" s="3" t="str">
        <f aca="false">Raw_Data!D2917</f>
        <v>primary</v>
      </c>
      <c r="F2917" s="3" t="str">
        <f aca="false">Raw_Data!E2917</f>
        <v>no</v>
      </c>
      <c r="G2917" s="3" t="n">
        <f aca="false">Raw_Data!F2917</f>
        <v>694</v>
      </c>
      <c r="H2917" s="3" t="str">
        <f aca="false">Raw_Data!G2917</f>
        <v>no</v>
      </c>
      <c r="I2917" s="3" t="str">
        <f aca="false">Raw_Data!H2917</f>
        <v>no</v>
      </c>
      <c r="J2917" s="2" t="n">
        <f aca="false">IF(F2917="yes",1,0)</f>
        <v>0</v>
      </c>
      <c r="K2917" s="2" t="n">
        <f aca="false">IF(H2917="yes",1,0)</f>
        <v>0</v>
      </c>
      <c r="L2917" s="2" t="n">
        <f aca="false">IF(I2917="yes",1,0)</f>
        <v>0</v>
      </c>
      <c r="M2917" s="2" t="n">
        <f aca="false">IF(G2917&lt;0,1,0)</f>
        <v>0</v>
      </c>
      <c r="N2917" s="2" t="str">
        <f aca="false">_xlfn.IFS(B2917&lt;30,"Under 30",B2917&lt;40,"30-39",B2917&lt;50,"40-49",B2917&lt;60,"50-59",TRUE(),"60+")</f>
        <v>50-59</v>
      </c>
      <c r="O2917" s="2" t="str">
        <f aca="false">_xlfn.IFS(G2917&lt;0,"1 Negative",G2917=0,"2 Zero",G2917&lt;=500,"3 1-500",G2917&lt;=2000,"4 501-2000",TRUE(),"5 Above 2000")</f>
        <v>4 501-2000</v>
      </c>
      <c r="P2917" s="2" t="n">
        <f aca="false">Lookups!$B$2*M2917+Lookups!$B$3*L2917</f>
        <v>0</v>
      </c>
      <c r="Q2917" s="2" t="str">
        <f aca="false">INDEX(Lookups!$E$2:$E$5,MATCH(P2917,Lookups!$D$2:$D$5,0))</f>
        <v>Low</v>
      </c>
    </row>
    <row r="2918" customFormat="false" ht="15" hidden="false" customHeight="false" outlineLevel="0" collapsed="false">
      <c r="A2918" s="3" t="n">
        <v>2917</v>
      </c>
      <c r="B2918" s="3" t="n">
        <f aca="false">Raw_Data!A2918</f>
        <v>32</v>
      </c>
      <c r="C2918" s="3" t="str">
        <f aca="false">SUBSTITUTE(Raw_Data!B2918,".","")</f>
        <v>admin</v>
      </c>
      <c r="D2918" s="3" t="str">
        <f aca="false">Raw_Data!C2918</f>
        <v>single</v>
      </c>
      <c r="E2918" s="3" t="str">
        <f aca="false">Raw_Data!D2918</f>
        <v>secondary</v>
      </c>
      <c r="F2918" s="3" t="str">
        <f aca="false">Raw_Data!E2918</f>
        <v>no</v>
      </c>
      <c r="G2918" s="3" t="n">
        <f aca="false">Raw_Data!F2918</f>
        <v>10218</v>
      </c>
      <c r="H2918" s="3" t="str">
        <f aca="false">Raw_Data!G2918</f>
        <v>yes</v>
      </c>
      <c r="I2918" s="3" t="str">
        <f aca="false">Raw_Data!H2918</f>
        <v>no</v>
      </c>
      <c r="J2918" s="2" t="n">
        <f aca="false">IF(F2918="yes",1,0)</f>
        <v>0</v>
      </c>
      <c r="K2918" s="2" t="n">
        <f aca="false">IF(H2918="yes",1,0)</f>
        <v>1</v>
      </c>
      <c r="L2918" s="2" t="n">
        <f aca="false">IF(I2918="yes",1,0)</f>
        <v>0</v>
      </c>
      <c r="M2918" s="2" t="n">
        <f aca="false">IF(G2918&lt;0,1,0)</f>
        <v>0</v>
      </c>
      <c r="N2918" s="2" t="str">
        <f aca="false">_xlfn.IFS(B2918&lt;30,"Under 30",B2918&lt;40,"30-39",B2918&lt;50,"40-49",B2918&lt;60,"50-59",TRUE(),"60+")</f>
        <v>30-39</v>
      </c>
      <c r="O2918" s="2" t="str">
        <f aca="false">_xlfn.IFS(G2918&lt;0,"1 Negative",G2918=0,"2 Zero",G2918&lt;=500,"3 1-500",G2918&lt;=2000,"4 501-2000",TRUE(),"5 Above 2000")</f>
        <v>5 Above 2000</v>
      </c>
      <c r="P2918" s="2" t="n">
        <f aca="false">Lookups!$B$2*M2918+Lookups!$B$3*L2918</f>
        <v>0</v>
      </c>
      <c r="Q2918" s="2" t="str">
        <f aca="false">INDEX(Lookups!$E$2:$E$5,MATCH(P2918,Lookups!$D$2:$D$5,0))</f>
        <v>Low</v>
      </c>
    </row>
    <row r="2919" customFormat="false" ht="15" hidden="false" customHeight="false" outlineLevel="0" collapsed="false">
      <c r="A2919" s="3" t="n">
        <v>2918</v>
      </c>
      <c r="B2919" s="3" t="n">
        <f aca="false">Raw_Data!A2919</f>
        <v>41</v>
      </c>
      <c r="C2919" s="3" t="str">
        <f aca="false">SUBSTITUTE(Raw_Data!B2919,".","")</f>
        <v>technician</v>
      </c>
      <c r="D2919" s="3" t="str">
        <f aca="false">Raw_Data!C2919</f>
        <v>single</v>
      </c>
      <c r="E2919" s="3" t="str">
        <f aca="false">Raw_Data!D2919</f>
        <v>tertiary</v>
      </c>
      <c r="F2919" s="3" t="str">
        <f aca="false">Raw_Data!E2919</f>
        <v>no</v>
      </c>
      <c r="G2919" s="3" t="n">
        <f aca="false">Raw_Data!F2919</f>
        <v>1646</v>
      </c>
      <c r="H2919" s="3" t="str">
        <f aca="false">Raw_Data!G2919</f>
        <v>yes</v>
      </c>
      <c r="I2919" s="3" t="str">
        <f aca="false">Raw_Data!H2919</f>
        <v>no</v>
      </c>
      <c r="J2919" s="2" t="n">
        <f aca="false">IF(F2919="yes",1,0)</f>
        <v>0</v>
      </c>
      <c r="K2919" s="2" t="n">
        <f aca="false">IF(H2919="yes",1,0)</f>
        <v>1</v>
      </c>
      <c r="L2919" s="2" t="n">
        <f aca="false">IF(I2919="yes",1,0)</f>
        <v>0</v>
      </c>
      <c r="M2919" s="2" t="n">
        <f aca="false">IF(G2919&lt;0,1,0)</f>
        <v>0</v>
      </c>
      <c r="N2919" s="2" t="str">
        <f aca="false">_xlfn.IFS(B2919&lt;30,"Under 30",B2919&lt;40,"30-39",B2919&lt;50,"40-49",B2919&lt;60,"50-59",TRUE(),"60+")</f>
        <v>40-49</v>
      </c>
      <c r="O2919" s="2" t="str">
        <f aca="false">_xlfn.IFS(G2919&lt;0,"1 Negative",G2919=0,"2 Zero",G2919&lt;=500,"3 1-500",G2919&lt;=2000,"4 501-2000",TRUE(),"5 Above 2000")</f>
        <v>4 501-2000</v>
      </c>
      <c r="P2919" s="2" t="n">
        <f aca="false">Lookups!$B$2*M2919+Lookups!$B$3*L2919</f>
        <v>0</v>
      </c>
      <c r="Q2919" s="2" t="str">
        <f aca="false">INDEX(Lookups!$E$2:$E$5,MATCH(P2919,Lookups!$D$2:$D$5,0))</f>
        <v>Low</v>
      </c>
    </row>
    <row r="2920" customFormat="false" ht="15" hidden="false" customHeight="false" outlineLevel="0" collapsed="false">
      <c r="A2920" s="3" t="n">
        <v>2919</v>
      </c>
      <c r="B2920" s="3" t="n">
        <f aca="false">Raw_Data!A2920</f>
        <v>29</v>
      </c>
      <c r="C2920" s="3" t="str">
        <f aca="false">SUBSTITUTE(Raw_Data!B2920,".","")</f>
        <v>admin</v>
      </c>
      <c r="D2920" s="3" t="str">
        <f aca="false">Raw_Data!C2920</f>
        <v>single</v>
      </c>
      <c r="E2920" s="3" t="str">
        <f aca="false">Raw_Data!D2920</f>
        <v>tertiary</v>
      </c>
      <c r="F2920" s="3" t="str">
        <f aca="false">Raw_Data!E2920</f>
        <v>no</v>
      </c>
      <c r="G2920" s="3" t="n">
        <f aca="false">Raw_Data!F2920</f>
        <v>14</v>
      </c>
      <c r="H2920" s="3" t="str">
        <f aca="false">Raw_Data!G2920</f>
        <v>no</v>
      </c>
      <c r="I2920" s="3" t="str">
        <f aca="false">Raw_Data!H2920</f>
        <v>no</v>
      </c>
      <c r="J2920" s="2" t="n">
        <f aca="false">IF(F2920="yes",1,0)</f>
        <v>0</v>
      </c>
      <c r="K2920" s="2" t="n">
        <f aca="false">IF(H2920="yes",1,0)</f>
        <v>0</v>
      </c>
      <c r="L2920" s="2" t="n">
        <f aca="false">IF(I2920="yes",1,0)</f>
        <v>0</v>
      </c>
      <c r="M2920" s="2" t="n">
        <f aca="false">IF(G2920&lt;0,1,0)</f>
        <v>0</v>
      </c>
      <c r="N2920" s="2" t="str">
        <f aca="false">_xlfn.IFS(B2920&lt;30,"Under 30",B2920&lt;40,"30-39",B2920&lt;50,"40-49",B2920&lt;60,"50-59",TRUE(),"60+")</f>
        <v>Under 30</v>
      </c>
      <c r="O2920" s="2" t="str">
        <f aca="false">_xlfn.IFS(G2920&lt;0,"1 Negative",G2920=0,"2 Zero",G2920&lt;=500,"3 1-500",G2920&lt;=2000,"4 501-2000",TRUE(),"5 Above 2000")</f>
        <v>3 1-500</v>
      </c>
      <c r="P2920" s="2" t="n">
        <f aca="false">Lookups!$B$2*M2920+Lookups!$B$3*L2920</f>
        <v>0</v>
      </c>
      <c r="Q2920" s="2" t="str">
        <f aca="false">INDEX(Lookups!$E$2:$E$5,MATCH(P2920,Lookups!$D$2:$D$5,0))</f>
        <v>Low</v>
      </c>
    </row>
    <row r="2921" customFormat="false" ht="15" hidden="false" customHeight="false" outlineLevel="0" collapsed="false">
      <c r="A2921" s="3" t="n">
        <v>2920</v>
      </c>
      <c r="B2921" s="3" t="n">
        <f aca="false">Raw_Data!A2921</f>
        <v>44</v>
      </c>
      <c r="C2921" s="3" t="str">
        <f aca="false">SUBSTITUTE(Raw_Data!B2921,".","")</f>
        <v>management</v>
      </c>
      <c r="D2921" s="3" t="str">
        <f aca="false">Raw_Data!C2921</f>
        <v>married</v>
      </c>
      <c r="E2921" s="3" t="str">
        <f aca="false">Raw_Data!D2921</f>
        <v>tertiary</v>
      </c>
      <c r="F2921" s="3" t="str">
        <f aca="false">Raw_Data!E2921</f>
        <v>no</v>
      </c>
      <c r="G2921" s="3" t="n">
        <f aca="false">Raw_Data!F2921</f>
        <v>7635</v>
      </c>
      <c r="H2921" s="3" t="str">
        <f aca="false">Raw_Data!G2921</f>
        <v>no</v>
      </c>
      <c r="I2921" s="3" t="str">
        <f aca="false">Raw_Data!H2921</f>
        <v>no</v>
      </c>
      <c r="J2921" s="2" t="n">
        <f aca="false">IF(F2921="yes",1,0)</f>
        <v>0</v>
      </c>
      <c r="K2921" s="2" t="n">
        <f aca="false">IF(H2921="yes",1,0)</f>
        <v>0</v>
      </c>
      <c r="L2921" s="2" t="n">
        <f aca="false">IF(I2921="yes",1,0)</f>
        <v>0</v>
      </c>
      <c r="M2921" s="2" t="n">
        <f aca="false">IF(G2921&lt;0,1,0)</f>
        <v>0</v>
      </c>
      <c r="N2921" s="2" t="str">
        <f aca="false">_xlfn.IFS(B2921&lt;30,"Under 30",B2921&lt;40,"30-39",B2921&lt;50,"40-49",B2921&lt;60,"50-59",TRUE(),"60+")</f>
        <v>40-49</v>
      </c>
      <c r="O2921" s="2" t="str">
        <f aca="false">_xlfn.IFS(G2921&lt;0,"1 Negative",G2921=0,"2 Zero",G2921&lt;=500,"3 1-500",G2921&lt;=2000,"4 501-2000",TRUE(),"5 Above 2000")</f>
        <v>5 Above 2000</v>
      </c>
      <c r="P2921" s="2" t="n">
        <f aca="false">Lookups!$B$2*M2921+Lookups!$B$3*L2921</f>
        <v>0</v>
      </c>
      <c r="Q2921" s="2" t="str">
        <f aca="false">INDEX(Lookups!$E$2:$E$5,MATCH(P2921,Lookups!$D$2:$D$5,0))</f>
        <v>Low</v>
      </c>
    </row>
    <row r="2922" customFormat="false" ht="15" hidden="false" customHeight="false" outlineLevel="0" collapsed="false">
      <c r="A2922" s="3" t="n">
        <v>2921</v>
      </c>
      <c r="B2922" s="3" t="n">
        <f aca="false">Raw_Data!A2922</f>
        <v>24</v>
      </c>
      <c r="C2922" s="3" t="str">
        <f aca="false">SUBSTITUTE(Raw_Data!B2922,".","")</f>
        <v>blue-collar</v>
      </c>
      <c r="D2922" s="3" t="str">
        <f aca="false">Raw_Data!C2922</f>
        <v>married</v>
      </c>
      <c r="E2922" s="3" t="str">
        <f aca="false">Raw_Data!D2922</f>
        <v>secondary</v>
      </c>
      <c r="F2922" s="3" t="str">
        <f aca="false">Raw_Data!E2922</f>
        <v>no</v>
      </c>
      <c r="G2922" s="3" t="n">
        <f aca="false">Raw_Data!F2922</f>
        <v>9</v>
      </c>
      <c r="H2922" s="3" t="str">
        <f aca="false">Raw_Data!G2922</f>
        <v>yes</v>
      </c>
      <c r="I2922" s="3" t="str">
        <f aca="false">Raw_Data!H2922</f>
        <v>no</v>
      </c>
      <c r="J2922" s="2" t="n">
        <f aca="false">IF(F2922="yes",1,0)</f>
        <v>0</v>
      </c>
      <c r="K2922" s="2" t="n">
        <f aca="false">IF(H2922="yes",1,0)</f>
        <v>1</v>
      </c>
      <c r="L2922" s="2" t="n">
        <f aca="false">IF(I2922="yes",1,0)</f>
        <v>0</v>
      </c>
      <c r="M2922" s="2" t="n">
        <f aca="false">IF(G2922&lt;0,1,0)</f>
        <v>0</v>
      </c>
      <c r="N2922" s="2" t="str">
        <f aca="false">_xlfn.IFS(B2922&lt;30,"Under 30",B2922&lt;40,"30-39",B2922&lt;50,"40-49",B2922&lt;60,"50-59",TRUE(),"60+")</f>
        <v>Under 30</v>
      </c>
      <c r="O2922" s="2" t="str">
        <f aca="false">_xlfn.IFS(G2922&lt;0,"1 Negative",G2922=0,"2 Zero",G2922&lt;=500,"3 1-500",G2922&lt;=2000,"4 501-2000",TRUE(),"5 Above 2000")</f>
        <v>3 1-500</v>
      </c>
      <c r="P2922" s="2" t="n">
        <f aca="false">Lookups!$B$2*M2922+Lookups!$B$3*L2922</f>
        <v>0</v>
      </c>
      <c r="Q2922" s="2" t="str">
        <f aca="false">INDEX(Lookups!$E$2:$E$5,MATCH(P2922,Lookups!$D$2:$D$5,0))</f>
        <v>Low</v>
      </c>
    </row>
    <row r="2923" customFormat="false" ht="15" hidden="false" customHeight="false" outlineLevel="0" collapsed="false">
      <c r="A2923" s="3" t="n">
        <v>2922</v>
      </c>
      <c r="B2923" s="3" t="n">
        <f aca="false">Raw_Data!A2923</f>
        <v>43</v>
      </c>
      <c r="C2923" s="3" t="str">
        <f aca="false">SUBSTITUTE(Raw_Data!B2923,".","")</f>
        <v>management</v>
      </c>
      <c r="D2923" s="3" t="str">
        <f aca="false">Raw_Data!C2923</f>
        <v>single</v>
      </c>
      <c r="E2923" s="3" t="str">
        <f aca="false">Raw_Data!D2923</f>
        <v>secondary</v>
      </c>
      <c r="F2923" s="3" t="str">
        <f aca="false">Raw_Data!E2923</f>
        <v>no</v>
      </c>
      <c r="G2923" s="3" t="n">
        <f aca="false">Raw_Data!F2923</f>
        <v>1029</v>
      </c>
      <c r="H2923" s="3" t="str">
        <f aca="false">Raw_Data!G2923</f>
        <v>yes</v>
      </c>
      <c r="I2923" s="3" t="str">
        <f aca="false">Raw_Data!H2923</f>
        <v>no</v>
      </c>
      <c r="J2923" s="2" t="n">
        <f aca="false">IF(F2923="yes",1,0)</f>
        <v>0</v>
      </c>
      <c r="K2923" s="2" t="n">
        <f aca="false">IF(H2923="yes",1,0)</f>
        <v>1</v>
      </c>
      <c r="L2923" s="2" t="n">
        <f aca="false">IF(I2923="yes",1,0)</f>
        <v>0</v>
      </c>
      <c r="M2923" s="2" t="n">
        <f aca="false">IF(G2923&lt;0,1,0)</f>
        <v>0</v>
      </c>
      <c r="N2923" s="2" t="str">
        <f aca="false">_xlfn.IFS(B2923&lt;30,"Under 30",B2923&lt;40,"30-39",B2923&lt;50,"40-49",B2923&lt;60,"50-59",TRUE(),"60+")</f>
        <v>40-49</v>
      </c>
      <c r="O2923" s="2" t="str">
        <f aca="false">_xlfn.IFS(G2923&lt;0,"1 Negative",G2923=0,"2 Zero",G2923&lt;=500,"3 1-500",G2923&lt;=2000,"4 501-2000",TRUE(),"5 Above 2000")</f>
        <v>4 501-2000</v>
      </c>
      <c r="P2923" s="2" t="n">
        <f aca="false">Lookups!$B$2*M2923+Lookups!$B$3*L2923</f>
        <v>0</v>
      </c>
      <c r="Q2923" s="2" t="str">
        <f aca="false">INDEX(Lookups!$E$2:$E$5,MATCH(P2923,Lookups!$D$2:$D$5,0))</f>
        <v>Low</v>
      </c>
    </row>
    <row r="2924" customFormat="false" ht="15" hidden="false" customHeight="false" outlineLevel="0" collapsed="false">
      <c r="A2924" s="3" t="n">
        <v>2923</v>
      </c>
      <c r="B2924" s="3" t="n">
        <f aca="false">Raw_Data!A2924</f>
        <v>26</v>
      </c>
      <c r="C2924" s="3" t="str">
        <f aca="false">SUBSTITUTE(Raw_Data!B2924,".","")</f>
        <v>admin</v>
      </c>
      <c r="D2924" s="3" t="str">
        <f aca="false">Raw_Data!C2924</f>
        <v>married</v>
      </c>
      <c r="E2924" s="3" t="str">
        <f aca="false">Raw_Data!D2924</f>
        <v>tertiary</v>
      </c>
      <c r="F2924" s="3" t="str">
        <f aca="false">Raw_Data!E2924</f>
        <v>no</v>
      </c>
      <c r="G2924" s="3" t="n">
        <f aca="false">Raw_Data!F2924</f>
        <v>2855</v>
      </c>
      <c r="H2924" s="3" t="str">
        <f aca="false">Raw_Data!G2924</f>
        <v>no</v>
      </c>
      <c r="I2924" s="3" t="str">
        <f aca="false">Raw_Data!H2924</f>
        <v>no</v>
      </c>
      <c r="J2924" s="2" t="n">
        <f aca="false">IF(F2924="yes",1,0)</f>
        <v>0</v>
      </c>
      <c r="K2924" s="2" t="n">
        <f aca="false">IF(H2924="yes",1,0)</f>
        <v>0</v>
      </c>
      <c r="L2924" s="2" t="n">
        <f aca="false">IF(I2924="yes",1,0)</f>
        <v>0</v>
      </c>
      <c r="M2924" s="2" t="n">
        <f aca="false">IF(G2924&lt;0,1,0)</f>
        <v>0</v>
      </c>
      <c r="N2924" s="2" t="str">
        <f aca="false">_xlfn.IFS(B2924&lt;30,"Under 30",B2924&lt;40,"30-39",B2924&lt;50,"40-49",B2924&lt;60,"50-59",TRUE(),"60+")</f>
        <v>Under 30</v>
      </c>
      <c r="O2924" s="2" t="str">
        <f aca="false">_xlfn.IFS(G2924&lt;0,"1 Negative",G2924=0,"2 Zero",G2924&lt;=500,"3 1-500",G2924&lt;=2000,"4 501-2000",TRUE(),"5 Above 2000")</f>
        <v>5 Above 2000</v>
      </c>
      <c r="P2924" s="2" t="n">
        <f aca="false">Lookups!$B$2*M2924+Lookups!$B$3*L2924</f>
        <v>0</v>
      </c>
      <c r="Q2924" s="2" t="str">
        <f aca="false">INDEX(Lookups!$E$2:$E$5,MATCH(P2924,Lookups!$D$2:$D$5,0))</f>
        <v>Low</v>
      </c>
    </row>
    <row r="2925" customFormat="false" ht="15" hidden="false" customHeight="false" outlineLevel="0" collapsed="false">
      <c r="A2925" s="3" t="n">
        <v>2924</v>
      </c>
      <c r="B2925" s="3" t="n">
        <f aca="false">Raw_Data!A2925</f>
        <v>39</v>
      </c>
      <c r="C2925" s="3" t="str">
        <f aca="false">SUBSTITUTE(Raw_Data!B2925,".","")</f>
        <v>admin</v>
      </c>
      <c r="D2925" s="3" t="str">
        <f aca="false">Raw_Data!C2925</f>
        <v>married</v>
      </c>
      <c r="E2925" s="3" t="str">
        <f aca="false">Raw_Data!D2925</f>
        <v>secondary</v>
      </c>
      <c r="F2925" s="3" t="str">
        <f aca="false">Raw_Data!E2925</f>
        <v>no</v>
      </c>
      <c r="G2925" s="3" t="n">
        <f aca="false">Raw_Data!F2925</f>
        <v>260</v>
      </c>
      <c r="H2925" s="3" t="str">
        <f aca="false">Raw_Data!G2925</f>
        <v>yes</v>
      </c>
      <c r="I2925" s="3" t="str">
        <f aca="false">Raw_Data!H2925</f>
        <v>no</v>
      </c>
      <c r="J2925" s="2" t="n">
        <f aca="false">IF(F2925="yes",1,0)</f>
        <v>0</v>
      </c>
      <c r="K2925" s="2" t="n">
        <f aca="false">IF(H2925="yes",1,0)</f>
        <v>1</v>
      </c>
      <c r="L2925" s="2" t="n">
        <f aca="false">IF(I2925="yes",1,0)</f>
        <v>0</v>
      </c>
      <c r="M2925" s="2" t="n">
        <f aca="false">IF(G2925&lt;0,1,0)</f>
        <v>0</v>
      </c>
      <c r="N2925" s="2" t="str">
        <f aca="false">_xlfn.IFS(B2925&lt;30,"Under 30",B2925&lt;40,"30-39",B2925&lt;50,"40-49",B2925&lt;60,"50-59",TRUE(),"60+")</f>
        <v>30-39</v>
      </c>
      <c r="O2925" s="2" t="str">
        <f aca="false">_xlfn.IFS(G2925&lt;0,"1 Negative",G2925=0,"2 Zero",G2925&lt;=500,"3 1-500",G2925&lt;=2000,"4 501-2000",TRUE(),"5 Above 2000")</f>
        <v>3 1-500</v>
      </c>
      <c r="P2925" s="2" t="n">
        <f aca="false">Lookups!$B$2*M2925+Lookups!$B$3*L2925</f>
        <v>0</v>
      </c>
      <c r="Q2925" s="2" t="str">
        <f aca="false">INDEX(Lookups!$E$2:$E$5,MATCH(P2925,Lookups!$D$2:$D$5,0))</f>
        <v>Low</v>
      </c>
    </row>
    <row r="2926" customFormat="false" ht="15" hidden="false" customHeight="false" outlineLevel="0" collapsed="false">
      <c r="A2926" s="3" t="n">
        <v>2925</v>
      </c>
      <c r="B2926" s="3" t="n">
        <f aca="false">Raw_Data!A2926</f>
        <v>49</v>
      </c>
      <c r="C2926" s="3" t="str">
        <f aca="false">SUBSTITUTE(Raw_Data!B2926,".","")</f>
        <v>blue-collar</v>
      </c>
      <c r="D2926" s="3" t="str">
        <f aca="false">Raw_Data!C2926</f>
        <v>married</v>
      </c>
      <c r="E2926" s="3" t="str">
        <f aca="false">Raw_Data!D2926</f>
        <v>secondary</v>
      </c>
      <c r="F2926" s="3" t="str">
        <f aca="false">Raw_Data!E2926</f>
        <v>no</v>
      </c>
      <c r="G2926" s="3" t="n">
        <f aca="false">Raw_Data!F2926</f>
        <v>2039</v>
      </c>
      <c r="H2926" s="3" t="str">
        <f aca="false">Raw_Data!G2926</f>
        <v>yes</v>
      </c>
      <c r="I2926" s="3" t="str">
        <f aca="false">Raw_Data!H2926</f>
        <v>no</v>
      </c>
      <c r="J2926" s="2" t="n">
        <f aca="false">IF(F2926="yes",1,0)</f>
        <v>0</v>
      </c>
      <c r="K2926" s="2" t="n">
        <f aca="false">IF(H2926="yes",1,0)</f>
        <v>1</v>
      </c>
      <c r="L2926" s="2" t="n">
        <f aca="false">IF(I2926="yes",1,0)</f>
        <v>0</v>
      </c>
      <c r="M2926" s="2" t="n">
        <f aca="false">IF(G2926&lt;0,1,0)</f>
        <v>0</v>
      </c>
      <c r="N2926" s="2" t="str">
        <f aca="false">_xlfn.IFS(B2926&lt;30,"Under 30",B2926&lt;40,"30-39",B2926&lt;50,"40-49",B2926&lt;60,"50-59",TRUE(),"60+")</f>
        <v>40-49</v>
      </c>
      <c r="O2926" s="2" t="str">
        <f aca="false">_xlfn.IFS(G2926&lt;0,"1 Negative",G2926=0,"2 Zero",G2926&lt;=500,"3 1-500",G2926&lt;=2000,"4 501-2000",TRUE(),"5 Above 2000")</f>
        <v>5 Above 2000</v>
      </c>
      <c r="P2926" s="2" t="n">
        <f aca="false">Lookups!$B$2*M2926+Lookups!$B$3*L2926</f>
        <v>0</v>
      </c>
      <c r="Q2926" s="2" t="str">
        <f aca="false">INDEX(Lookups!$E$2:$E$5,MATCH(P2926,Lookups!$D$2:$D$5,0))</f>
        <v>Low</v>
      </c>
    </row>
    <row r="2927" customFormat="false" ht="15" hidden="false" customHeight="false" outlineLevel="0" collapsed="false">
      <c r="A2927" s="3" t="n">
        <v>2926</v>
      </c>
      <c r="B2927" s="3" t="n">
        <f aca="false">Raw_Data!A2927</f>
        <v>52</v>
      </c>
      <c r="C2927" s="3" t="str">
        <f aca="false">SUBSTITUTE(Raw_Data!B2927,".","")</f>
        <v>blue-collar</v>
      </c>
      <c r="D2927" s="3" t="str">
        <f aca="false">Raw_Data!C2927</f>
        <v>divorced</v>
      </c>
      <c r="E2927" s="3" t="str">
        <f aca="false">Raw_Data!D2927</f>
        <v>primary</v>
      </c>
      <c r="F2927" s="3" t="str">
        <f aca="false">Raw_Data!E2927</f>
        <v>no</v>
      </c>
      <c r="G2927" s="3" t="n">
        <f aca="false">Raw_Data!F2927</f>
        <v>-97</v>
      </c>
      <c r="H2927" s="3" t="str">
        <f aca="false">Raw_Data!G2927</f>
        <v>yes</v>
      </c>
      <c r="I2927" s="3" t="str">
        <f aca="false">Raw_Data!H2927</f>
        <v>yes</v>
      </c>
      <c r="J2927" s="2" t="n">
        <f aca="false">IF(F2927="yes",1,0)</f>
        <v>0</v>
      </c>
      <c r="K2927" s="2" t="n">
        <f aca="false">IF(H2927="yes",1,0)</f>
        <v>1</v>
      </c>
      <c r="L2927" s="2" t="n">
        <f aca="false">IF(I2927="yes",1,0)</f>
        <v>1</v>
      </c>
      <c r="M2927" s="2" t="n">
        <f aca="false">IF(G2927&lt;0,1,0)</f>
        <v>1</v>
      </c>
      <c r="N2927" s="2" t="str">
        <f aca="false">_xlfn.IFS(B2927&lt;30,"Under 30",B2927&lt;40,"30-39",B2927&lt;50,"40-49",B2927&lt;60,"50-59",TRUE(),"60+")</f>
        <v>50-59</v>
      </c>
      <c r="O2927" s="2" t="str">
        <f aca="false">_xlfn.IFS(G2927&lt;0,"1 Negative",G2927=0,"2 Zero",G2927&lt;=500,"3 1-500",G2927&lt;=2000,"4 501-2000",TRUE(),"5 Above 2000")</f>
        <v>1 Negative</v>
      </c>
      <c r="P2927" s="2" t="n">
        <f aca="false">Lookups!$B$2*M2927+Lookups!$B$3*L2927</f>
        <v>3</v>
      </c>
      <c r="Q2927" s="2" t="str">
        <f aca="false">INDEX(Lookups!$E$2:$E$5,MATCH(P2927,Lookups!$D$2:$D$5,0))</f>
        <v>High</v>
      </c>
    </row>
    <row r="2928" customFormat="false" ht="15" hidden="false" customHeight="false" outlineLevel="0" collapsed="false">
      <c r="A2928" s="3" t="n">
        <v>2927</v>
      </c>
      <c r="B2928" s="3" t="n">
        <f aca="false">Raw_Data!A2928</f>
        <v>33</v>
      </c>
      <c r="C2928" s="3" t="str">
        <f aca="false">SUBSTITUTE(Raw_Data!B2928,".","")</f>
        <v>blue-collar</v>
      </c>
      <c r="D2928" s="3" t="str">
        <f aca="false">Raw_Data!C2928</f>
        <v>married</v>
      </c>
      <c r="E2928" s="3" t="str">
        <f aca="false">Raw_Data!D2928</f>
        <v>tertiary</v>
      </c>
      <c r="F2928" s="3" t="str">
        <f aca="false">Raw_Data!E2928</f>
        <v>no</v>
      </c>
      <c r="G2928" s="3" t="n">
        <f aca="false">Raw_Data!F2928</f>
        <v>1465</v>
      </c>
      <c r="H2928" s="3" t="str">
        <f aca="false">Raw_Data!G2928</f>
        <v>no</v>
      </c>
      <c r="I2928" s="3" t="str">
        <f aca="false">Raw_Data!H2928</f>
        <v>no</v>
      </c>
      <c r="J2928" s="2" t="n">
        <f aca="false">IF(F2928="yes",1,0)</f>
        <v>0</v>
      </c>
      <c r="K2928" s="2" t="n">
        <f aca="false">IF(H2928="yes",1,0)</f>
        <v>0</v>
      </c>
      <c r="L2928" s="2" t="n">
        <f aca="false">IF(I2928="yes",1,0)</f>
        <v>0</v>
      </c>
      <c r="M2928" s="2" t="n">
        <f aca="false">IF(G2928&lt;0,1,0)</f>
        <v>0</v>
      </c>
      <c r="N2928" s="2" t="str">
        <f aca="false">_xlfn.IFS(B2928&lt;30,"Under 30",B2928&lt;40,"30-39",B2928&lt;50,"40-49",B2928&lt;60,"50-59",TRUE(),"60+")</f>
        <v>30-39</v>
      </c>
      <c r="O2928" s="2" t="str">
        <f aca="false">_xlfn.IFS(G2928&lt;0,"1 Negative",G2928=0,"2 Zero",G2928&lt;=500,"3 1-500",G2928&lt;=2000,"4 501-2000",TRUE(),"5 Above 2000")</f>
        <v>4 501-2000</v>
      </c>
      <c r="P2928" s="2" t="n">
        <f aca="false">Lookups!$B$2*M2928+Lookups!$B$3*L2928</f>
        <v>0</v>
      </c>
      <c r="Q2928" s="2" t="str">
        <f aca="false">INDEX(Lookups!$E$2:$E$5,MATCH(P2928,Lookups!$D$2:$D$5,0))</f>
        <v>Low</v>
      </c>
    </row>
    <row r="2929" customFormat="false" ht="15" hidden="false" customHeight="false" outlineLevel="0" collapsed="false">
      <c r="A2929" s="3" t="n">
        <v>2928</v>
      </c>
      <c r="B2929" s="3" t="n">
        <f aca="false">Raw_Data!A2929</f>
        <v>30</v>
      </c>
      <c r="C2929" s="3" t="str">
        <f aca="false">SUBSTITUTE(Raw_Data!B2929,".","")</f>
        <v>blue-collar</v>
      </c>
      <c r="D2929" s="3" t="str">
        <f aca="false">Raw_Data!C2929</f>
        <v>married</v>
      </c>
      <c r="E2929" s="3" t="str">
        <f aca="false">Raw_Data!D2929</f>
        <v>secondary</v>
      </c>
      <c r="F2929" s="3" t="str">
        <f aca="false">Raw_Data!E2929</f>
        <v>no</v>
      </c>
      <c r="G2929" s="3" t="n">
        <f aca="false">Raw_Data!F2929</f>
        <v>125</v>
      </c>
      <c r="H2929" s="3" t="str">
        <f aca="false">Raw_Data!G2929</f>
        <v>yes</v>
      </c>
      <c r="I2929" s="3" t="str">
        <f aca="false">Raw_Data!H2929</f>
        <v>no</v>
      </c>
      <c r="J2929" s="2" t="n">
        <f aca="false">IF(F2929="yes",1,0)</f>
        <v>0</v>
      </c>
      <c r="K2929" s="2" t="n">
        <f aca="false">IF(H2929="yes",1,0)</f>
        <v>1</v>
      </c>
      <c r="L2929" s="2" t="n">
        <f aca="false">IF(I2929="yes",1,0)</f>
        <v>0</v>
      </c>
      <c r="M2929" s="2" t="n">
        <f aca="false">IF(G2929&lt;0,1,0)</f>
        <v>0</v>
      </c>
      <c r="N2929" s="2" t="str">
        <f aca="false">_xlfn.IFS(B2929&lt;30,"Under 30",B2929&lt;40,"30-39",B2929&lt;50,"40-49",B2929&lt;60,"50-59",TRUE(),"60+")</f>
        <v>30-39</v>
      </c>
      <c r="O2929" s="2" t="str">
        <f aca="false">_xlfn.IFS(G2929&lt;0,"1 Negative",G2929=0,"2 Zero",G2929&lt;=500,"3 1-500",G2929&lt;=2000,"4 501-2000",TRUE(),"5 Above 2000")</f>
        <v>3 1-500</v>
      </c>
      <c r="P2929" s="2" t="n">
        <f aca="false">Lookups!$B$2*M2929+Lookups!$B$3*L2929</f>
        <v>0</v>
      </c>
      <c r="Q2929" s="2" t="str">
        <f aca="false">INDEX(Lookups!$E$2:$E$5,MATCH(P2929,Lookups!$D$2:$D$5,0))</f>
        <v>Low</v>
      </c>
    </row>
    <row r="2930" customFormat="false" ht="15" hidden="false" customHeight="false" outlineLevel="0" collapsed="false">
      <c r="A2930" s="3" t="n">
        <v>2929</v>
      </c>
      <c r="B2930" s="3" t="n">
        <f aca="false">Raw_Data!A2930</f>
        <v>32</v>
      </c>
      <c r="C2930" s="3" t="str">
        <f aca="false">SUBSTITUTE(Raw_Data!B2930,".","")</f>
        <v>technician</v>
      </c>
      <c r="D2930" s="3" t="str">
        <f aca="false">Raw_Data!C2930</f>
        <v>single</v>
      </c>
      <c r="E2930" s="3" t="str">
        <f aca="false">Raw_Data!D2930</f>
        <v>tertiary</v>
      </c>
      <c r="F2930" s="3" t="str">
        <f aca="false">Raw_Data!E2930</f>
        <v>no</v>
      </c>
      <c r="G2930" s="3" t="n">
        <f aca="false">Raw_Data!F2930</f>
        <v>930</v>
      </c>
      <c r="H2930" s="3" t="str">
        <f aca="false">Raw_Data!G2930</f>
        <v>no</v>
      </c>
      <c r="I2930" s="3" t="str">
        <f aca="false">Raw_Data!H2930</f>
        <v>no</v>
      </c>
      <c r="J2930" s="2" t="n">
        <f aca="false">IF(F2930="yes",1,0)</f>
        <v>0</v>
      </c>
      <c r="K2930" s="2" t="n">
        <f aca="false">IF(H2930="yes",1,0)</f>
        <v>0</v>
      </c>
      <c r="L2930" s="2" t="n">
        <f aca="false">IF(I2930="yes",1,0)</f>
        <v>0</v>
      </c>
      <c r="M2930" s="2" t="n">
        <f aca="false">IF(G2930&lt;0,1,0)</f>
        <v>0</v>
      </c>
      <c r="N2930" s="2" t="str">
        <f aca="false">_xlfn.IFS(B2930&lt;30,"Under 30",B2930&lt;40,"30-39",B2930&lt;50,"40-49",B2930&lt;60,"50-59",TRUE(),"60+")</f>
        <v>30-39</v>
      </c>
      <c r="O2930" s="2" t="str">
        <f aca="false">_xlfn.IFS(G2930&lt;0,"1 Negative",G2930=0,"2 Zero",G2930&lt;=500,"3 1-500",G2930&lt;=2000,"4 501-2000",TRUE(),"5 Above 2000")</f>
        <v>4 501-2000</v>
      </c>
      <c r="P2930" s="2" t="n">
        <f aca="false">Lookups!$B$2*M2930+Lookups!$B$3*L2930</f>
        <v>0</v>
      </c>
      <c r="Q2930" s="2" t="str">
        <f aca="false">INDEX(Lookups!$E$2:$E$5,MATCH(P2930,Lookups!$D$2:$D$5,0))</f>
        <v>Low</v>
      </c>
    </row>
    <row r="2931" customFormat="false" ht="15" hidden="false" customHeight="false" outlineLevel="0" collapsed="false">
      <c r="A2931" s="3" t="n">
        <v>2930</v>
      </c>
      <c r="B2931" s="3" t="n">
        <f aca="false">Raw_Data!A2931</f>
        <v>27</v>
      </c>
      <c r="C2931" s="3" t="str">
        <f aca="false">SUBSTITUTE(Raw_Data!B2931,".","")</f>
        <v>management</v>
      </c>
      <c r="D2931" s="3" t="str">
        <f aca="false">Raw_Data!C2931</f>
        <v>single</v>
      </c>
      <c r="E2931" s="3" t="str">
        <f aca="false">Raw_Data!D2931</f>
        <v>tertiary</v>
      </c>
      <c r="F2931" s="3" t="str">
        <f aca="false">Raw_Data!E2931</f>
        <v>no</v>
      </c>
      <c r="G2931" s="3" t="n">
        <f aca="false">Raw_Data!F2931</f>
        <v>0</v>
      </c>
      <c r="H2931" s="3" t="str">
        <f aca="false">Raw_Data!G2931</f>
        <v>yes</v>
      </c>
      <c r="I2931" s="3" t="str">
        <f aca="false">Raw_Data!H2931</f>
        <v>no</v>
      </c>
      <c r="J2931" s="2" t="n">
        <f aca="false">IF(F2931="yes",1,0)</f>
        <v>0</v>
      </c>
      <c r="K2931" s="2" t="n">
        <f aca="false">IF(H2931="yes",1,0)</f>
        <v>1</v>
      </c>
      <c r="L2931" s="2" t="n">
        <f aca="false">IF(I2931="yes",1,0)</f>
        <v>0</v>
      </c>
      <c r="M2931" s="2" t="n">
        <f aca="false">IF(G2931&lt;0,1,0)</f>
        <v>0</v>
      </c>
      <c r="N2931" s="2" t="str">
        <f aca="false">_xlfn.IFS(B2931&lt;30,"Under 30",B2931&lt;40,"30-39",B2931&lt;50,"40-49",B2931&lt;60,"50-59",TRUE(),"60+")</f>
        <v>Under 30</v>
      </c>
      <c r="O2931" s="2" t="str">
        <f aca="false">_xlfn.IFS(G2931&lt;0,"1 Negative",G2931=0,"2 Zero",G2931&lt;=500,"3 1-500",G2931&lt;=2000,"4 501-2000",TRUE(),"5 Above 2000")</f>
        <v>2 Zero</v>
      </c>
      <c r="P2931" s="2" t="n">
        <f aca="false">Lookups!$B$2*M2931+Lookups!$B$3*L2931</f>
        <v>0</v>
      </c>
      <c r="Q2931" s="2" t="str">
        <f aca="false">INDEX(Lookups!$E$2:$E$5,MATCH(P2931,Lookups!$D$2:$D$5,0))</f>
        <v>Low</v>
      </c>
    </row>
    <row r="2932" customFormat="false" ht="15" hidden="false" customHeight="false" outlineLevel="0" collapsed="false">
      <c r="A2932" s="3" t="n">
        <v>2931</v>
      </c>
      <c r="B2932" s="3" t="n">
        <f aca="false">Raw_Data!A2932</f>
        <v>58</v>
      </c>
      <c r="C2932" s="3" t="str">
        <f aca="false">SUBSTITUTE(Raw_Data!B2932,".","")</f>
        <v>blue-collar</v>
      </c>
      <c r="D2932" s="3" t="str">
        <f aca="false">Raw_Data!C2932</f>
        <v>married</v>
      </c>
      <c r="E2932" s="3" t="str">
        <f aca="false">Raw_Data!D2932</f>
        <v>primary</v>
      </c>
      <c r="F2932" s="3" t="str">
        <f aca="false">Raw_Data!E2932</f>
        <v>no</v>
      </c>
      <c r="G2932" s="3" t="n">
        <f aca="false">Raw_Data!F2932</f>
        <v>73</v>
      </c>
      <c r="H2932" s="3" t="str">
        <f aca="false">Raw_Data!G2932</f>
        <v>no</v>
      </c>
      <c r="I2932" s="3" t="str">
        <f aca="false">Raw_Data!H2932</f>
        <v>no</v>
      </c>
      <c r="J2932" s="2" t="n">
        <f aca="false">IF(F2932="yes",1,0)</f>
        <v>0</v>
      </c>
      <c r="K2932" s="2" t="n">
        <f aca="false">IF(H2932="yes",1,0)</f>
        <v>0</v>
      </c>
      <c r="L2932" s="2" t="n">
        <f aca="false">IF(I2932="yes",1,0)</f>
        <v>0</v>
      </c>
      <c r="M2932" s="2" t="n">
        <f aca="false">IF(G2932&lt;0,1,0)</f>
        <v>0</v>
      </c>
      <c r="N2932" s="2" t="str">
        <f aca="false">_xlfn.IFS(B2932&lt;30,"Under 30",B2932&lt;40,"30-39",B2932&lt;50,"40-49",B2932&lt;60,"50-59",TRUE(),"60+")</f>
        <v>50-59</v>
      </c>
      <c r="O2932" s="2" t="str">
        <f aca="false">_xlfn.IFS(G2932&lt;0,"1 Negative",G2932=0,"2 Zero",G2932&lt;=500,"3 1-500",G2932&lt;=2000,"4 501-2000",TRUE(),"5 Above 2000")</f>
        <v>3 1-500</v>
      </c>
      <c r="P2932" s="2" t="n">
        <f aca="false">Lookups!$B$2*M2932+Lookups!$B$3*L2932</f>
        <v>0</v>
      </c>
      <c r="Q2932" s="2" t="str">
        <f aca="false">INDEX(Lookups!$E$2:$E$5,MATCH(P2932,Lookups!$D$2:$D$5,0))</f>
        <v>Low</v>
      </c>
    </row>
    <row r="2933" customFormat="false" ht="15" hidden="false" customHeight="false" outlineLevel="0" collapsed="false">
      <c r="A2933" s="3" t="n">
        <v>2932</v>
      </c>
      <c r="B2933" s="3" t="n">
        <f aca="false">Raw_Data!A2933</f>
        <v>46</v>
      </c>
      <c r="C2933" s="3" t="str">
        <f aca="false">SUBSTITUTE(Raw_Data!B2933,".","")</f>
        <v>retired</v>
      </c>
      <c r="D2933" s="3" t="str">
        <f aca="false">Raw_Data!C2933</f>
        <v>married</v>
      </c>
      <c r="E2933" s="3" t="str">
        <f aca="false">Raw_Data!D2933</f>
        <v>primary</v>
      </c>
      <c r="F2933" s="3" t="str">
        <f aca="false">Raw_Data!E2933</f>
        <v>no</v>
      </c>
      <c r="G2933" s="3" t="n">
        <f aca="false">Raw_Data!F2933</f>
        <v>-35</v>
      </c>
      <c r="H2933" s="3" t="str">
        <f aca="false">Raw_Data!G2933</f>
        <v>yes</v>
      </c>
      <c r="I2933" s="3" t="str">
        <f aca="false">Raw_Data!H2933</f>
        <v>no</v>
      </c>
      <c r="J2933" s="2" t="n">
        <f aca="false">IF(F2933="yes",1,0)</f>
        <v>0</v>
      </c>
      <c r="K2933" s="2" t="n">
        <f aca="false">IF(H2933="yes",1,0)</f>
        <v>1</v>
      </c>
      <c r="L2933" s="2" t="n">
        <f aca="false">IF(I2933="yes",1,0)</f>
        <v>0</v>
      </c>
      <c r="M2933" s="2" t="n">
        <f aca="false">IF(G2933&lt;0,1,0)</f>
        <v>1</v>
      </c>
      <c r="N2933" s="2" t="str">
        <f aca="false">_xlfn.IFS(B2933&lt;30,"Under 30",B2933&lt;40,"30-39",B2933&lt;50,"40-49",B2933&lt;60,"50-59",TRUE(),"60+")</f>
        <v>40-49</v>
      </c>
      <c r="O2933" s="2" t="str">
        <f aca="false">_xlfn.IFS(G2933&lt;0,"1 Negative",G2933=0,"2 Zero",G2933&lt;=500,"3 1-500",G2933&lt;=2000,"4 501-2000",TRUE(),"5 Above 2000")</f>
        <v>1 Negative</v>
      </c>
      <c r="P2933" s="2" t="n">
        <f aca="false">Lookups!$B$2*M2933+Lookups!$B$3*L2933</f>
        <v>2</v>
      </c>
      <c r="Q2933" s="2" t="str">
        <f aca="false">INDEX(Lookups!$E$2:$E$5,MATCH(P2933,Lookups!$D$2:$D$5,0))</f>
        <v>High</v>
      </c>
    </row>
    <row r="2934" customFormat="false" ht="15" hidden="false" customHeight="false" outlineLevel="0" collapsed="false">
      <c r="A2934" s="3" t="n">
        <v>2933</v>
      </c>
      <c r="B2934" s="3" t="n">
        <f aca="false">Raw_Data!A2934</f>
        <v>28</v>
      </c>
      <c r="C2934" s="3" t="str">
        <f aca="false">SUBSTITUTE(Raw_Data!B2934,".","")</f>
        <v>management</v>
      </c>
      <c r="D2934" s="3" t="str">
        <f aca="false">Raw_Data!C2934</f>
        <v>single</v>
      </c>
      <c r="E2934" s="3" t="str">
        <f aca="false">Raw_Data!D2934</f>
        <v>tertiary</v>
      </c>
      <c r="F2934" s="3" t="str">
        <f aca="false">Raw_Data!E2934</f>
        <v>no</v>
      </c>
      <c r="G2934" s="3" t="n">
        <f aca="false">Raw_Data!F2934</f>
        <v>1351</v>
      </c>
      <c r="H2934" s="3" t="str">
        <f aca="false">Raw_Data!G2934</f>
        <v>no</v>
      </c>
      <c r="I2934" s="3" t="str">
        <f aca="false">Raw_Data!H2934</f>
        <v>no</v>
      </c>
      <c r="J2934" s="2" t="n">
        <f aca="false">IF(F2934="yes",1,0)</f>
        <v>0</v>
      </c>
      <c r="K2934" s="2" t="n">
        <f aca="false">IF(H2934="yes",1,0)</f>
        <v>0</v>
      </c>
      <c r="L2934" s="2" t="n">
        <f aca="false">IF(I2934="yes",1,0)</f>
        <v>0</v>
      </c>
      <c r="M2934" s="2" t="n">
        <f aca="false">IF(G2934&lt;0,1,0)</f>
        <v>0</v>
      </c>
      <c r="N2934" s="2" t="str">
        <f aca="false">_xlfn.IFS(B2934&lt;30,"Under 30",B2934&lt;40,"30-39",B2934&lt;50,"40-49",B2934&lt;60,"50-59",TRUE(),"60+")</f>
        <v>Under 30</v>
      </c>
      <c r="O2934" s="2" t="str">
        <f aca="false">_xlfn.IFS(G2934&lt;0,"1 Negative",G2934=0,"2 Zero",G2934&lt;=500,"3 1-500",G2934&lt;=2000,"4 501-2000",TRUE(),"5 Above 2000")</f>
        <v>4 501-2000</v>
      </c>
      <c r="P2934" s="2" t="n">
        <f aca="false">Lookups!$B$2*M2934+Lookups!$B$3*L2934</f>
        <v>0</v>
      </c>
      <c r="Q2934" s="2" t="str">
        <f aca="false">INDEX(Lookups!$E$2:$E$5,MATCH(P2934,Lookups!$D$2:$D$5,0))</f>
        <v>Low</v>
      </c>
    </row>
    <row r="2935" customFormat="false" ht="15" hidden="false" customHeight="false" outlineLevel="0" collapsed="false">
      <c r="A2935" s="3" t="n">
        <v>2934</v>
      </c>
      <c r="B2935" s="3" t="n">
        <f aca="false">Raw_Data!A2935</f>
        <v>39</v>
      </c>
      <c r="C2935" s="3" t="str">
        <f aca="false">SUBSTITUTE(Raw_Data!B2935,".","")</f>
        <v>services</v>
      </c>
      <c r="D2935" s="3" t="str">
        <f aca="false">Raw_Data!C2935</f>
        <v>married</v>
      </c>
      <c r="E2935" s="3" t="str">
        <f aca="false">Raw_Data!D2935</f>
        <v>primary</v>
      </c>
      <c r="F2935" s="3" t="str">
        <f aca="false">Raw_Data!E2935</f>
        <v>no</v>
      </c>
      <c r="G2935" s="3" t="n">
        <f aca="false">Raw_Data!F2935</f>
        <v>1601</v>
      </c>
      <c r="H2935" s="3" t="str">
        <f aca="false">Raw_Data!G2935</f>
        <v>yes</v>
      </c>
      <c r="I2935" s="3" t="str">
        <f aca="false">Raw_Data!H2935</f>
        <v>no</v>
      </c>
      <c r="J2935" s="2" t="n">
        <f aca="false">IF(F2935="yes",1,0)</f>
        <v>0</v>
      </c>
      <c r="K2935" s="2" t="n">
        <f aca="false">IF(H2935="yes",1,0)</f>
        <v>1</v>
      </c>
      <c r="L2935" s="2" t="n">
        <f aca="false">IF(I2935="yes",1,0)</f>
        <v>0</v>
      </c>
      <c r="M2935" s="2" t="n">
        <f aca="false">IF(G2935&lt;0,1,0)</f>
        <v>0</v>
      </c>
      <c r="N2935" s="2" t="str">
        <f aca="false">_xlfn.IFS(B2935&lt;30,"Under 30",B2935&lt;40,"30-39",B2935&lt;50,"40-49",B2935&lt;60,"50-59",TRUE(),"60+")</f>
        <v>30-39</v>
      </c>
      <c r="O2935" s="2" t="str">
        <f aca="false">_xlfn.IFS(G2935&lt;0,"1 Negative",G2935=0,"2 Zero",G2935&lt;=500,"3 1-500",G2935&lt;=2000,"4 501-2000",TRUE(),"5 Above 2000")</f>
        <v>4 501-2000</v>
      </c>
      <c r="P2935" s="2" t="n">
        <f aca="false">Lookups!$B$2*M2935+Lookups!$B$3*L2935</f>
        <v>0</v>
      </c>
      <c r="Q2935" s="2" t="str">
        <f aca="false">INDEX(Lookups!$E$2:$E$5,MATCH(P2935,Lookups!$D$2:$D$5,0))</f>
        <v>Low</v>
      </c>
    </row>
    <row r="2936" customFormat="false" ht="15" hidden="false" customHeight="false" outlineLevel="0" collapsed="false">
      <c r="A2936" s="3" t="n">
        <v>2935</v>
      </c>
      <c r="B2936" s="3" t="n">
        <f aca="false">Raw_Data!A2936</f>
        <v>41</v>
      </c>
      <c r="C2936" s="3" t="str">
        <f aca="false">SUBSTITUTE(Raw_Data!B2936,".","")</f>
        <v>services</v>
      </c>
      <c r="D2936" s="3" t="str">
        <f aca="false">Raw_Data!C2936</f>
        <v>married</v>
      </c>
      <c r="E2936" s="3" t="str">
        <f aca="false">Raw_Data!D2936</f>
        <v>unknown</v>
      </c>
      <c r="F2936" s="3" t="str">
        <f aca="false">Raw_Data!E2936</f>
        <v>no</v>
      </c>
      <c r="G2936" s="3" t="n">
        <f aca="false">Raw_Data!F2936</f>
        <v>88</v>
      </c>
      <c r="H2936" s="3" t="str">
        <f aca="false">Raw_Data!G2936</f>
        <v>yes</v>
      </c>
      <c r="I2936" s="3" t="str">
        <f aca="false">Raw_Data!H2936</f>
        <v>no</v>
      </c>
      <c r="J2936" s="2" t="n">
        <f aca="false">IF(F2936="yes",1,0)</f>
        <v>0</v>
      </c>
      <c r="K2936" s="2" t="n">
        <f aca="false">IF(H2936="yes",1,0)</f>
        <v>1</v>
      </c>
      <c r="L2936" s="2" t="n">
        <f aca="false">IF(I2936="yes",1,0)</f>
        <v>0</v>
      </c>
      <c r="M2936" s="2" t="n">
        <f aca="false">IF(G2936&lt;0,1,0)</f>
        <v>0</v>
      </c>
      <c r="N2936" s="2" t="str">
        <f aca="false">_xlfn.IFS(B2936&lt;30,"Under 30",B2936&lt;40,"30-39",B2936&lt;50,"40-49",B2936&lt;60,"50-59",TRUE(),"60+")</f>
        <v>40-49</v>
      </c>
      <c r="O2936" s="2" t="str">
        <f aca="false">_xlfn.IFS(G2936&lt;0,"1 Negative",G2936=0,"2 Zero",G2936&lt;=500,"3 1-500",G2936&lt;=2000,"4 501-2000",TRUE(),"5 Above 2000")</f>
        <v>3 1-500</v>
      </c>
      <c r="P2936" s="2" t="n">
        <f aca="false">Lookups!$B$2*M2936+Lookups!$B$3*L2936</f>
        <v>0</v>
      </c>
      <c r="Q2936" s="2" t="str">
        <f aca="false">INDEX(Lookups!$E$2:$E$5,MATCH(P2936,Lookups!$D$2:$D$5,0))</f>
        <v>Low</v>
      </c>
    </row>
    <row r="2937" customFormat="false" ht="15" hidden="false" customHeight="false" outlineLevel="0" collapsed="false">
      <c r="A2937" s="3" t="n">
        <v>2936</v>
      </c>
      <c r="B2937" s="3" t="n">
        <f aca="false">Raw_Data!A2937</f>
        <v>38</v>
      </c>
      <c r="C2937" s="3" t="str">
        <f aca="false">SUBSTITUTE(Raw_Data!B2937,".","")</f>
        <v>services</v>
      </c>
      <c r="D2937" s="3" t="str">
        <f aca="false">Raw_Data!C2937</f>
        <v>married</v>
      </c>
      <c r="E2937" s="3" t="str">
        <f aca="false">Raw_Data!D2937</f>
        <v>secondary</v>
      </c>
      <c r="F2937" s="3" t="str">
        <f aca="false">Raw_Data!E2937</f>
        <v>no</v>
      </c>
      <c r="G2937" s="3" t="n">
        <f aca="false">Raw_Data!F2937</f>
        <v>435</v>
      </c>
      <c r="H2937" s="3" t="str">
        <f aca="false">Raw_Data!G2937</f>
        <v>yes</v>
      </c>
      <c r="I2937" s="3" t="str">
        <f aca="false">Raw_Data!H2937</f>
        <v>no</v>
      </c>
      <c r="J2937" s="2" t="n">
        <f aca="false">IF(F2937="yes",1,0)</f>
        <v>0</v>
      </c>
      <c r="K2937" s="2" t="n">
        <f aca="false">IF(H2937="yes",1,0)</f>
        <v>1</v>
      </c>
      <c r="L2937" s="2" t="n">
        <f aca="false">IF(I2937="yes",1,0)</f>
        <v>0</v>
      </c>
      <c r="M2937" s="2" t="n">
        <f aca="false">IF(G2937&lt;0,1,0)</f>
        <v>0</v>
      </c>
      <c r="N2937" s="2" t="str">
        <f aca="false">_xlfn.IFS(B2937&lt;30,"Under 30",B2937&lt;40,"30-39",B2937&lt;50,"40-49",B2937&lt;60,"50-59",TRUE(),"60+")</f>
        <v>30-39</v>
      </c>
      <c r="O2937" s="2" t="str">
        <f aca="false">_xlfn.IFS(G2937&lt;0,"1 Negative",G2937=0,"2 Zero",G2937&lt;=500,"3 1-500",G2937&lt;=2000,"4 501-2000",TRUE(),"5 Above 2000")</f>
        <v>3 1-500</v>
      </c>
      <c r="P2937" s="2" t="n">
        <f aca="false">Lookups!$B$2*M2937+Lookups!$B$3*L2937</f>
        <v>0</v>
      </c>
      <c r="Q2937" s="2" t="str">
        <f aca="false">INDEX(Lookups!$E$2:$E$5,MATCH(P2937,Lookups!$D$2:$D$5,0))</f>
        <v>Low</v>
      </c>
    </row>
    <row r="2938" customFormat="false" ht="15" hidden="false" customHeight="false" outlineLevel="0" collapsed="false">
      <c r="A2938" s="3" t="n">
        <v>2937</v>
      </c>
      <c r="B2938" s="3" t="n">
        <f aca="false">Raw_Data!A2938</f>
        <v>50</v>
      </c>
      <c r="C2938" s="3" t="str">
        <f aca="false">SUBSTITUTE(Raw_Data!B2938,".","")</f>
        <v>unemployed</v>
      </c>
      <c r="D2938" s="3" t="str">
        <f aca="false">Raw_Data!C2938</f>
        <v>divorced</v>
      </c>
      <c r="E2938" s="3" t="str">
        <f aca="false">Raw_Data!D2938</f>
        <v>secondary</v>
      </c>
      <c r="F2938" s="3" t="str">
        <f aca="false">Raw_Data!E2938</f>
        <v>no</v>
      </c>
      <c r="G2938" s="3" t="n">
        <f aca="false">Raw_Data!F2938</f>
        <v>717</v>
      </c>
      <c r="H2938" s="3" t="str">
        <f aca="false">Raw_Data!G2938</f>
        <v>yes</v>
      </c>
      <c r="I2938" s="3" t="str">
        <f aca="false">Raw_Data!H2938</f>
        <v>no</v>
      </c>
      <c r="J2938" s="2" t="n">
        <f aca="false">IF(F2938="yes",1,0)</f>
        <v>0</v>
      </c>
      <c r="K2938" s="2" t="n">
        <f aca="false">IF(H2938="yes",1,0)</f>
        <v>1</v>
      </c>
      <c r="L2938" s="2" t="n">
        <f aca="false">IF(I2938="yes",1,0)</f>
        <v>0</v>
      </c>
      <c r="M2938" s="2" t="n">
        <f aca="false">IF(G2938&lt;0,1,0)</f>
        <v>0</v>
      </c>
      <c r="N2938" s="2" t="str">
        <f aca="false">_xlfn.IFS(B2938&lt;30,"Under 30",B2938&lt;40,"30-39",B2938&lt;50,"40-49",B2938&lt;60,"50-59",TRUE(),"60+")</f>
        <v>50-59</v>
      </c>
      <c r="O2938" s="2" t="str">
        <f aca="false">_xlfn.IFS(G2938&lt;0,"1 Negative",G2938=0,"2 Zero",G2938&lt;=500,"3 1-500",G2938&lt;=2000,"4 501-2000",TRUE(),"5 Above 2000")</f>
        <v>4 501-2000</v>
      </c>
      <c r="P2938" s="2" t="n">
        <f aca="false">Lookups!$B$2*M2938+Lookups!$B$3*L2938</f>
        <v>0</v>
      </c>
      <c r="Q2938" s="2" t="str">
        <f aca="false">INDEX(Lookups!$E$2:$E$5,MATCH(P2938,Lookups!$D$2:$D$5,0))</f>
        <v>Low</v>
      </c>
    </row>
    <row r="2939" customFormat="false" ht="15" hidden="false" customHeight="false" outlineLevel="0" collapsed="false">
      <c r="A2939" s="3" t="n">
        <v>2938</v>
      </c>
      <c r="B2939" s="3" t="n">
        <f aca="false">Raw_Data!A2939</f>
        <v>56</v>
      </c>
      <c r="C2939" s="3" t="str">
        <f aca="false">SUBSTITUTE(Raw_Data!B2939,".","")</f>
        <v>services</v>
      </c>
      <c r="D2939" s="3" t="str">
        <f aca="false">Raw_Data!C2939</f>
        <v>married</v>
      </c>
      <c r="E2939" s="3" t="str">
        <f aca="false">Raw_Data!D2939</f>
        <v>secondary</v>
      </c>
      <c r="F2939" s="3" t="str">
        <f aca="false">Raw_Data!E2939</f>
        <v>no</v>
      </c>
      <c r="G2939" s="3" t="n">
        <f aca="false">Raw_Data!F2939</f>
        <v>705</v>
      </c>
      <c r="H2939" s="3" t="str">
        <f aca="false">Raw_Data!G2939</f>
        <v>yes</v>
      </c>
      <c r="I2939" s="3" t="str">
        <f aca="false">Raw_Data!H2939</f>
        <v>no</v>
      </c>
      <c r="J2939" s="2" t="n">
        <f aca="false">IF(F2939="yes",1,0)</f>
        <v>0</v>
      </c>
      <c r="K2939" s="2" t="n">
        <f aca="false">IF(H2939="yes",1,0)</f>
        <v>1</v>
      </c>
      <c r="L2939" s="2" t="n">
        <f aca="false">IF(I2939="yes",1,0)</f>
        <v>0</v>
      </c>
      <c r="M2939" s="2" t="n">
        <f aca="false">IF(G2939&lt;0,1,0)</f>
        <v>0</v>
      </c>
      <c r="N2939" s="2" t="str">
        <f aca="false">_xlfn.IFS(B2939&lt;30,"Under 30",B2939&lt;40,"30-39",B2939&lt;50,"40-49",B2939&lt;60,"50-59",TRUE(),"60+")</f>
        <v>50-59</v>
      </c>
      <c r="O2939" s="2" t="str">
        <f aca="false">_xlfn.IFS(G2939&lt;0,"1 Negative",G2939=0,"2 Zero",G2939&lt;=500,"3 1-500",G2939&lt;=2000,"4 501-2000",TRUE(),"5 Above 2000")</f>
        <v>4 501-2000</v>
      </c>
      <c r="P2939" s="2" t="n">
        <f aca="false">Lookups!$B$2*M2939+Lookups!$B$3*L2939</f>
        <v>0</v>
      </c>
      <c r="Q2939" s="2" t="str">
        <f aca="false">INDEX(Lookups!$E$2:$E$5,MATCH(P2939,Lookups!$D$2:$D$5,0))</f>
        <v>Low</v>
      </c>
    </row>
    <row r="2940" customFormat="false" ht="15" hidden="false" customHeight="false" outlineLevel="0" collapsed="false">
      <c r="A2940" s="3" t="n">
        <v>2939</v>
      </c>
      <c r="B2940" s="3" t="n">
        <f aca="false">Raw_Data!A2940</f>
        <v>34</v>
      </c>
      <c r="C2940" s="3" t="str">
        <f aca="false">SUBSTITUTE(Raw_Data!B2940,".","")</f>
        <v>technician</v>
      </c>
      <c r="D2940" s="3" t="str">
        <f aca="false">Raw_Data!C2940</f>
        <v>married</v>
      </c>
      <c r="E2940" s="3" t="str">
        <f aca="false">Raw_Data!D2940</f>
        <v>secondary</v>
      </c>
      <c r="F2940" s="3" t="str">
        <f aca="false">Raw_Data!E2940</f>
        <v>no</v>
      </c>
      <c r="G2940" s="3" t="n">
        <f aca="false">Raw_Data!F2940</f>
        <v>1553</v>
      </c>
      <c r="H2940" s="3" t="str">
        <f aca="false">Raw_Data!G2940</f>
        <v>no</v>
      </c>
      <c r="I2940" s="3" t="str">
        <f aca="false">Raw_Data!H2940</f>
        <v>no</v>
      </c>
      <c r="J2940" s="2" t="n">
        <f aca="false">IF(F2940="yes",1,0)</f>
        <v>0</v>
      </c>
      <c r="K2940" s="2" t="n">
        <f aca="false">IF(H2940="yes",1,0)</f>
        <v>0</v>
      </c>
      <c r="L2940" s="2" t="n">
        <f aca="false">IF(I2940="yes",1,0)</f>
        <v>0</v>
      </c>
      <c r="M2940" s="2" t="n">
        <f aca="false">IF(G2940&lt;0,1,0)</f>
        <v>0</v>
      </c>
      <c r="N2940" s="2" t="str">
        <f aca="false">_xlfn.IFS(B2940&lt;30,"Under 30",B2940&lt;40,"30-39",B2940&lt;50,"40-49",B2940&lt;60,"50-59",TRUE(),"60+")</f>
        <v>30-39</v>
      </c>
      <c r="O2940" s="2" t="str">
        <f aca="false">_xlfn.IFS(G2940&lt;0,"1 Negative",G2940=0,"2 Zero",G2940&lt;=500,"3 1-500",G2940&lt;=2000,"4 501-2000",TRUE(),"5 Above 2000")</f>
        <v>4 501-2000</v>
      </c>
      <c r="P2940" s="2" t="n">
        <f aca="false">Lookups!$B$2*M2940+Lookups!$B$3*L2940</f>
        <v>0</v>
      </c>
      <c r="Q2940" s="2" t="str">
        <f aca="false">INDEX(Lookups!$E$2:$E$5,MATCH(P2940,Lookups!$D$2:$D$5,0))</f>
        <v>Low</v>
      </c>
    </row>
    <row r="2941" customFormat="false" ht="15" hidden="false" customHeight="false" outlineLevel="0" collapsed="false">
      <c r="A2941" s="3" t="n">
        <v>2940</v>
      </c>
      <c r="B2941" s="3" t="n">
        <f aca="false">Raw_Data!A2941</f>
        <v>33</v>
      </c>
      <c r="C2941" s="3" t="str">
        <f aca="false">SUBSTITUTE(Raw_Data!B2941,".","")</f>
        <v>blue-collar</v>
      </c>
      <c r="D2941" s="3" t="str">
        <f aca="false">Raw_Data!C2941</f>
        <v>divorced</v>
      </c>
      <c r="E2941" s="3" t="str">
        <f aca="false">Raw_Data!D2941</f>
        <v>secondary</v>
      </c>
      <c r="F2941" s="3" t="str">
        <f aca="false">Raw_Data!E2941</f>
        <v>no</v>
      </c>
      <c r="G2941" s="3" t="n">
        <f aca="false">Raw_Data!F2941</f>
        <v>-131</v>
      </c>
      <c r="H2941" s="3" t="str">
        <f aca="false">Raw_Data!G2941</f>
        <v>yes</v>
      </c>
      <c r="I2941" s="3" t="str">
        <f aca="false">Raw_Data!H2941</f>
        <v>no</v>
      </c>
      <c r="J2941" s="2" t="n">
        <f aca="false">IF(F2941="yes",1,0)</f>
        <v>0</v>
      </c>
      <c r="K2941" s="2" t="n">
        <f aca="false">IF(H2941="yes",1,0)</f>
        <v>1</v>
      </c>
      <c r="L2941" s="2" t="n">
        <f aca="false">IF(I2941="yes",1,0)</f>
        <v>0</v>
      </c>
      <c r="M2941" s="2" t="n">
        <f aca="false">IF(G2941&lt;0,1,0)</f>
        <v>1</v>
      </c>
      <c r="N2941" s="2" t="str">
        <f aca="false">_xlfn.IFS(B2941&lt;30,"Under 30",B2941&lt;40,"30-39",B2941&lt;50,"40-49",B2941&lt;60,"50-59",TRUE(),"60+")</f>
        <v>30-39</v>
      </c>
      <c r="O2941" s="2" t="str">
        <f aca="false">_xlfn.IFS(G2941&lt;0,"1 Negative",G2941=0,"2 Zero",G2941&lt;=500,"3 1-500",G2941&lt;=2000,"4 501-2000",TRUE(),"5 Above 2000")</f>
        <v>1 Negative</v>
      </c>
      <c r="P2941" s="2" t="n">
        <f aca="false">Lookups!$B$2*M2941+Lookups!$B$3*L2941</f>
        <v>2</v>
      </c>
      <c r="Q2941" s="2" t="str">
        <f aca="false">INDEX(Lookups!$E$2:$E$5,MATCH(P2941,Lookups!$D$2:$D$5,0))</f>
        <v>High</v>
      </c>
    </row>
    <row r="2942" customFormat="false" ht="15" hidden="false" customHeight="false" outlineLevel="0" collapsed="false">
      <c r="A2942" s="3" t="n">
        <v>2941</v>
      </c>
      <c r="B2942" s="3" t="n">
        <f aca="false">Raw_Data!A2942</f>
        <v>61</v>
      </c>
      <c r="C2942" s="3" t="str">
        <f aca="false">SUBSTITUTE(Raw_Data!B2942,".","")</f>
        <v>technician</v>
      </c>
      <c r="D2942" s="3" t="str">
        <f aca="false">Raw_Data!C2942</f>
        <v>married</v>
      </c>
      <c r="E2942" s="3" t="str">
        <f aca="false">Raw_Data!D2942</f>
        <v>secondary</v>
      </c>
      <c r="F2942" s="3" t="str">
        <f aca="false">Raw_Data!E2942</f>
        <v>no</v>
      </c>
      <c r="G2942" s="3" t="n">
        <f aca="false">Raw_Data!F2942</f>
        <v>1191</v>
      </c>
      <c r="H2942" s="3" t="str">
        <f aca="false">Raw_Data!G2942</f>
        <v>no</v>
      </c>
      <c r="I2942" s="3" t="str">
        <f aca="false">Raw_Data!H2942</f>
        <v>no</v>
      </c>
      <c r="J2942" s="2" t="n">
        <f aca="false">IF(F2942="yes",1,0)</f>
        <v>0</v>
      </c>
      <c r="K2942" s="2" t="n">
        <f aca="false">IF(H2942="yes",1,0)</f>
        <v>0</v>
      </c>
      <c r="L2942" s="2" t="n">
        <f aca="false">IF(I2942="yes",1,0)</f>
        <v>0</v>
      </c>
      <c r="M2942" s="2" t="n">
        <f aca="false">IF(G2942&lt;0,1,0)</f>
        <v>0</v>
      </c>
      <c r="N2942" s="2" t="str">
        <f aca="false">_xlfn.IFS(B2942&lt;30,"Under 30",B2942&lt;40,"30-39",B2942&lt;50,"40-49",B2942&lt;60,"50-59",TRUE(),"60+")</f>
        <v>60+</v>
      </c>
      <c r="O2942" s="2" t="str">
        <f aca="false">_xlfn.IFS(G2942&lt;0,"1 Negative",G2942=0,"2 Zero",G2942&lt;=500,"3 1-500",G2942&lt;=2000,"4 501-2000",TRUE(),"5 Above 2000")</f>
        <v>4 501-2000</v>
      </c>
      <c r="P2942" s="2" t="n">
        <f aca="false">Lookups!$B$2*M2942+Lookups!$B$3*L2942</f>
        <v>0</v>
      </c>
      <c r="Q2942" s="2" t="str">
        <f aca="false">INDEX(Lookups!$E$2:$E$5,MATCH(P2942,Lookups!$D$2:$D$5,0))</f>
        <v>Low</v>
      </c>
    </row>
    <row r="2943" customFormat="false" ht="15" hidden="false" customHeight="false" outlineLevel="0" collapsed="false">
      <c r="A2943" s="3" t="n">
        <v>2942</v>
      </c>
      <c r="B2943" s="3" t="n">
        <f aca="false">Raw_Data!A2943</f>
        <v>36</v>
      </c>
      <c r="C2943" s="3" t="str">
        <f aca="false">SUBSTITUTE(Raw_Data!B2943,".","")</f>
        <v>admin</v>
      </c>
      <c r="D2943" s="3" t="str">
        <f aca="false">Raw_Data!C2943</f>
        <v>single</v>
      </c>
      <c r="E2943" s="3" t="str">
        <f aca="false">Raw_Data!D2943</f>
        <v>secondary</v>
      </c>
      <c r="F2943" s="3" t="str">
        <f aca="false">Raw_Data!E2943</f>
        <v>no</v>
      </c>
      <c r="G2943" s="3" t="n">
        <f aca="false">Raw_Data!F2943</f>
        <v>47</v>
      </c>
      <c r="H2943" s="3" t="str">
        <f aca="false">Raw_Data!G2943</f>
        <v>no</v>
      </c>
      <c r="I2943" s="3" t="str">
        <f aca="false">Raw_Data!H2943</f>
        <v>yes</v>
      </c>
      <c r="J2943" s="2" t="n">
        <f aca="false">IF(F2943="yes",1,0)</f>
        <v>0</v>
      </c>
      <c r="K2943" s="2" t="n">
        <f aca="false">IF(H2943="yes",1,0)</f>
        <v>0</v>
      </c>
      <c r="L2943" s="2" t="n">
        <f aca="false">IF(I2943="yes",1,0)</f>
        <v>1</v>
      </c>
      <c r="M2943" s="2" t="n">
        <f aca="false">IF(G2943&lt;0,1,0)</f>
        <v>0</v>
      </c>
      <c r="N2943" s="2" t="str">
        <f aca="false">_xlfn.IFS(B2943&lt;30,"Under 30",B2943&lt;40,"30-39",B2943&lt;50,"40-49",B2943&lt;60,"50-59",TRUE(),"60+")</f>
        <v>30-39</v>
      </c>
      <c r="O2943" s="2" t="str">
        <f aca="false">_xlfn.IFS(G2943&lt;0,"1 Negative",G2943=0,"2 Zero",G2943&lt;=500,"3 1-500",G2943&lt;=2000,"4 501-2000",TRUE(),"5 Above 2000")</f>
        <v>3 1-500</v>
      </c>
      <c r="P2943" s="2" t="n">
        <f aca="false">Lookups!$B$2*M2943+Lookups!$B$3*L2943</f>
        <v>1</v>
      </c>
      <c r="Q2943" s="2" t="str">
        <f aca="false">INDEX(Lookups!$E$2:$E$5,MATCH(P2943,Lookups!$D$2:$D$5,0))</f>
        <v>Medium</v>
      </c>
    </row>
    <row r="2944" customFormat="false" ht="15" hidden="false" customHeight="false" outlineLevel="0" collapsed="false">
      <c r="A2944" s="3" t="n">
        <v>2943</v>
      </c>
      <c r="B2944" s="3" t="n">
        <f aca="false">Raw_Data!A2944</f>
        <v>34</v>
      </c>
      <c r="C2944" s="3" t="str">
        <f aca="false">SUBSTITUTE(Raw_Data!B2944,".","")</f>
        <v>technician</v>
      </c>
      <c r="D2944" s="3" t="str">
        <f aca="false">Raw_Data!C2944</f>
        <v>married</v>
      </c>
      <c r="E2944" s="3" t="str">
        <f aca="false">Raw_Data!D2944</f>
        <v>tertiary</v>
      </c>
      <c r="F2944" s="3" t="str">
        <f aca="false">Raw_Data!E2944</f>
        <v>no</v>
      </c>
      <c r="G2944" s="3" t="n">
        <f aca="false">Raw_Data!F2944</f>
        <v>544</v>
      </c>
      <c r="H2944" s="3" t="str">
        <f aca="false">Raw_Data!G2944</f>
        <v>yes</v>
      </c>
      <c r="I2944" s="3" t="str">
        <f aca="false">Raw_Data!H2944</f>
        <v>yes</v>
      </c>
      <c r="J2944" s="2" t="n">
        <f aca="false">IF(F2944="yes",1,0)</f>
        <v>0</v>
      </c>
      <c r="K2944" s="2" t="n">
        <f aca="false">IF(H2944="yes",1,0)</f>
        <v>1</v>
      </c>
      <c r="L2944" s="2" t="n">
        <f aca="false">IF(I2944="yes",1,0)</f>
        <v>1</v>
      </c>
      <c r="M2944" s="2" t="n">
        <f aca="false">IF(G2944&lt;0,1,0)</f>
        <v>0</v>
      </c>
      <c r="N2944" s="2" t="str">
        <f aca="false">_xlfn.IFS(B2944&lt;30,"Under 30",B2944&lt;40,"30-39",B2944&lt;50,"40-49",B2944&lt;60,"50-59",TRUE(),"60+")</f>
        <v>30-39</v>
      </c>
      <c r="O2944" s="2" t="str">
        <f aca="false">_xlfn.IFS(G2944&lt;0,"1 Negative",G2944=0,"2 Zero",G2944&lt;=500,"3 1-500",G2944&lt;=2000,"4 501-2000",TRUE(),"5 Above 2000")</f>
        <v>4 501-2000</v>
      </c>
      <c r="P2944" s="2" t="n">
        <f aca="false">Lookups!$B$2*M2944+Lookups!$B$3*L2944</f>
        <v>1</v>
      </c>
      <c r="Q2944" s="2" t="str">
        <f aca="false">INDEX(Lookups!$E$2:$E$5,MATCH(P2944,Lookups!$D$2:$D$5,0))</f>
        <v>Medium</v>
      </c>
    </row>
    <row r="2945" customFormat="false" ht="15" hidden="false" customHeight="false" outlineLevel="0" collapsed="false">
      <c r="A2945" s="3" t="n">
        <v>2944</v>
      </c>
      <c r="B2945" s="3" t="n">
        <f aca="false">Raw_Data!A2945</f>
        <v>36</v>
      </c>
      <c r="C2945" s="3" t="str">
        <f aca="false">SUBSTITUTE(Raw_Data!B2945,".","")</f>
        <v>blue-collar</v>
      </c>
      <c r="D2945" s="3" t="str">
        <f aca="false">Raw_Data!C2945</f>
        <v>married</v>
      </c>
      <c r="E2945" s="3" t="str">
        <f aca="false">Raw_Data!D2945</f>
        <v>secondary</v>
      </c>
      <c r="F2945" s="3" t="str">
        <f aca="false">Raw_Data!E2945</f>
        <v>no</v>
      </c>
      <c r="G2945" s="3" t="n">
        <f aca="false">Raw_Data!F2945</f>
        <v>688</v>
      </c>
      <c r="H2945" s="3" t="str">
        <f aca="false">Raw_Data!G2945</f>
        <v>yes</v>
      </c>
      <c r="I2945" s="3" t="str">
        <f aca="false">Raw_Data!H2945</f>
        <v>no</v>
      </c>
      <c r="J2945" s="2" t="n">
        <f aca="false">IF(F2945="yes",1,0)</f>
        <v>0</v>
      </c>
      <c r="K2945" s="2" t="n">
        <f aca="false">IF(H2945="yes",1,0)</f>
        <v>1</v>
      </c>
      <c r="L2945" s="2" t="n">
        <f aca="false">IF(I2945="yes",1,0)</f>
        <v>0</v>
      </c>
      <c r="M2945" s="2" t="n">
        <f aca="false">IF(G2945&lt;0,1,0)</f>
        <v>0</v>
      </c>
      <c r="N2945" s="2" t="str">
        <f aca="false">_xlfn.IFS(B2945&lt;30,"Under 30",B2945&lt;40,"30-39",B2945&lt;50,"40-49",B2945&lt;60,"50-59",TRUE(),"60+")</f>
        <v>30-39</v>
      </c>
      <c r="O2945" s="2" t="str">
        <f aca="false">_xlfn.IFS(G2945&lt;0,"1 Negative",G2945=0,"2 Zero",G2945&lt;=500,"3 1-500",G2945&lt;=2000,"4 501-2000",TRUE(),"5 Above 2000")</f>
        <v>4 501-2000</v>
      </c>
      <c r="P2945" s="2" t="n">
        <f aca="false">Lookups!$B$2*M2945+Lookups!$B$3*L2945</f>
        <v>0</v>
      </c>
      <c r="Q2945" s="2" t="str">
        <f aca="false">INDEX(Lookups!$E$2:$E$5,MATCH(P2945,Lookups!$D$2:$D$5,0))</f>
        <v>Low</v>
      </c>
    </row>
    <row r="2946" customFormat="false" ht="15" hidden="false" customHeight="false" outlineLevel="0" collapsed="false">
      <c r="A2946" s="3" t="n">
        <v>2945</v>
      </c>
      <c r="B2946" s="3" t="n">
        <f aca="false">Raw_Data!A2946</f>
        <v>45</v>
      </c>
      <c r="C2946" s="3" t="str">
        <f aca="false">SUBSTITUTE(Raw_Data!B2946,".","")</f>
        <v>management</v>
      </c>
      <c r="D2946" s="3" t="str">
        <f aca="false">Raw_Data!C2946</f>
        <v>married</v>
      </c>
      <c r="E2946" s="3" t="str">
        <f aca="false">Raw_Data!D2946</f>
        <v>tertiary</v>
      </c>
      <c r="F2946" s="3" t="str">
        <f aca="false">Raw_Data!E2946</f>
        <v>no</v>
      </c>
      <c r="G2946" s="3" t="n">
        <f aca="false">Raw_Data!F2946</f>
        <v>242</v>
      </c>
      <c r="H2946" s="3" t="str">
        <f aca="false">Raw_Data!G2946</f>
        <v>no</v>
      </c>
      <c r="I2946" s="3" t="str">
        <f aca="false">Raw_Data!H2946</f>
        <v>no</v>
      </c>
      <c r="J2946" s="2" t="n">
        <f aca="false">IF(F2946="yes",1,0)</f>
        <v>0</v>
      </c>
      <c r="K2946" s="2" t="n">
        <f aca="false">IF(H2946="yes",1,0)</f>
        <v>0</v>
      </c>
      <c r="L2946" s="2" t="n">
        <f aca="false">IF(I2946="yes",1,0)</f>
        <v>0</v>
      </c>
      <c r="M2946" s="2" t="n">
        <f aca="false">IF(G2946&lt;0,1,0)</f>
        <v>0</v>
      </c>
      <c r="N2946" s="2" t="str">
        <f aca="false">_xlfn.IFS(B2946&lt;30,"Under 30",B2946&lt;40,"30-39",B2946&lt;50,"40-49",B2946&lt;60,"50-59",TRUE(),"60+")</f>
        <v>40-49</v>
      </c>
      <c r="O2946" s="2" t="str">
        <f aca="false">_xlfn.IFS(G2946&lt;0,"1 Negative",G2946=0,"2 Zero",G2946&lt;=500,"3 1-500",G2946&lt;=2000,"4 501-2000",TRUE(),"5 Above 2000")</f>
        <v>3 1-500</v>
      </c>
      <c r="P2946" s="2" t="n">
        <f aca="false">Lookups!$B$2*M2946+Lookups!$B$3*L2946</f>
        <v>0</v>
      </c>
      <c r="Q2946" s="2" t="str">
        <f aca="false">INDEX(Lookups!$E$2:$E$5,MATCH(P2946,Lookups!$D$2:$D$5,0))</f>
        <v>Low</v>
      </c>
    </row>
    <row r="2947" customFormat="false" ht="15" hidden="false" customHeight="false" outlineLevel="0" collapsed="false">
      <c r="A2947" s="3" t="n">
        <v>2946</v>
      </c>
      <c r="B2947" s="3" t="n">
        <f aca="false">Raw_Data!A2947</f>
        <v>27</v>
      </c>
      <c r="C2947" s="3" t="str">
        <f aca="false">SUBSTITUTE(Raw_Data!B2947,".","")</f>
        <v>student</v>
      </c>
      <c r="D2947" s="3" t="str">
        <f aca="false">Raw_Data!C2947</f>
        <v>single</v>
      </c>
      <c r="E2947" s="3" t="str">
        <f aca="false">Raw_Data!D2947</f>
        <v>tertiary</v>
      </c>
      <c r="F2947" s="3" t="str">
        <f aca="false">Raw_Data!E2947</f>
        <v>no</v>
      </c>
      <c r="G2947" s="3" t="n">
        <f aca="false">Raw_Data!F2947</f>
        <v>118</v>
      </c>
      <c r="H2947" s="3" t="str">
        <f aca="false">Raw_Data!G2947</f>
        <v>no</v>
      </c>
      <c r="I2947" s="3" t="str">
        <f aca="false">Raw_Data!H2947</f>
        <v>no</v>
      </c>
      <c r="J2947" s="2" t="n">
        <f aca="false">IF(F2947="yes",1,0)</f>
        <v>0</v>
      </c>
      <c r="K2947" s="2" t="n">
        <f aca="false">IF(H2947="yes",1,0)</f>
        <v>0</v>
      </c>
      <c r="L2947" s="2" t="n">
        <f aca="false">IF(I2947="yes",1,0)</f>
        <v>0</v>
      </c>
      <c r="M2947" s="2" t="n">
        <f aca="false">IF(G2947&lt;0,1,0)</f>
        <v>0</v>
      </c>
      <c r="N2947" s="2" t="str">
        <f aca="false">_xlfn.IFS(B2947&lt;30,"Under 30",B2947&lt;40,"30-39",B2947&lt;50,"40-49",B2947&lt;60,"50-59",TRUE(),"60+")</f>
        <v>Under 30</v>
      </c>
      <c r="O2947" s="2" t="str">
        <f aca="false">_xlfn.IFS(G2947&lt;0,"1 Negative",G2947=0,"2 Zero",G2947&lt;=500,"3 1-500",G2947&lt;=2000,"4 501-2000",TRUE(),"5 Above 2000")</f>
        <v>3 1-500</v>
      </c>
      <c r="P2947" s="2" t="n">
        <f aca="false">Lookups!$B$2*M2947+Lookups!$B$3*L2947</f>
        <v>0</v>
      </c>
      <c r="Q2947" s="2" t="str">
        <f aca="false">INDEX(Lookups!$E$2:$E$5,MATCH(P2947,Lookups!$D$2:$D$5,0))</f>
        <v>Low</v>
      </c>
    </row>
    <row r="2948" customFormat="false" ht="15" hidden="false" customHeight="false" outlineLevel="0" collapsed="false">
      <c r="A2948" s="3" t="n">
        <v>2947</v>
      </c>
      <c r="B2948" s="3" t="n">
        <f aca="false">Raw_Data!A2948</f>
        <v>45</v>
      </c>
      <c r="C2948" s="3" t="str">
        <f aca="false">SUBSTITUTE(Raw_Data!B2948,".","")</f>
        <v>admin</v>
      </c>
      <c r="D2948" s="3" t="str">
        <f aca="false">Raw_Data!C2948</f>
        <v>married</v>
      </c>
      <c r="E2948" s="3" t="str">
        <f aca="false">Raw_Data!D2948</f>
        <v>secondary</v>
      </c>
      <c r="F2948" s="3" t="str">
        <f aca="false">Raw_Data!E2948</f>
        <v>no</v>
      </c>
      <c r="G2948" s="3" t="n">
        <f aca="false">Raw_Data!F2948</f>
        <v>-388</v>
      </c>
      <c r="H2948" s="3" t="str">
        <f aca="false">Raw_Data!G2948</f>
        <v>yes</v>
      </c>
      <c r="I2948" s="3" t="str">
        <f aca="false">Raw_Data!H2948</f>
        <v>no</v>
      </c>
      <c r="J2948" s="2" t="n">
        <f aca="false">IF(F2948="yes",1,0)</f>
        <v>0</v>
      </c>
      <c r="K2948" s="2" t="n">
        <f aca="false">IF(H2948="yes",1,0)</f>
        <v>1</v>
      </c>
      <c r="L2948" s="2" t="n">
        <f aca="false">IF(I2948="yes",1,0)</f>
        <v>0</v>
      </c>
      <c r="M2948" s="2" t="n">
        <f aca="false">IF(G2948&lt;0,1,0)</f>
        <v>1</v>
      </c>
      <c r="N2948" s="2" t="str">
        <f aca="false">_xlfn.IFS(B2948&lt;30,"Under 30",B2948&lt;40,"30-39",B2948&lt;50,"40-49",B2948&lt;60,"50-59",TRUE(),"60+")</f>
        <v>40-49</v>
      </c>
      <c r="O2948" s="2" t="str">
        <f aca="false">_xlfn.IFS(G2948&lt;0,"1 Negative",G2948=0,"2 Zero",G2948&lt;=500,"3 1-500",G2948&lt;=2000,"4 501-2000",TRUE(),"5 Above 2000")</f>
        <v>1 Negative</v>
      </c>
      <c r="P2948" s="2" t="n">
        <f aca="false">Lookups!$B$2*M2948+Lookups!$B$3*L2948</f>
        <v>2</v>
      </c>
      <c r="Q2948" s="2" t="str">
        <f aca="false">INDEX(Lookups!$E$2:$E$5,MATCH(P2948,Lookups!$D$2:$D$5,0))</f>
        <v>High</v>
      </c>
    </row>
    <row r="2949" customFormat="false" ht="15" hidden="false" customHeight="false" outlineLevel="0" collapsed="false">
      <c r="A2949" s="3" t="n">
        <v>2948</v>
      </c>
      <c r="B2949" s="3" t="n">
        <f aca="false">Raw_Data!A2949</f>
        <v>40</v>
      </c>
      <c r="C2949" s="3" t="str">
        <f aca="false">SUBSTITUTE(Raw_Data!B2949,".","")</f>
        <v>self-employed</v>
      </c>
      <c r="D2949" s="3" t="str">
        <f aca="false">Raw_Data!C2949</f>
        <v>married</v>
      </c>
      <c r="E2949" s="3" t="str">
        <f aca="false">Raw_Data!D2949</f>
        <v>tertiary</v>
      </c>
      <c r="F2949" s="3" t="str">
        <f aca="false">Raw_Data!E2949</f>
        <v>no</v>
      </c>
      <c r="G2949" s="3" t="n">
        <f aca="false">Raw_Data!F2949</f>
        <v>1603</v>
      </c>
      <c r="H2949" s="3" t="str">
        <f aca="false">Raw_Data!G2949</f>
        <v>no</v>
      </c>
      <c r="I2949" s="3" t="str">
        <f aca="false">Raw_Data!H2949</f>
        <v>no</v>
      </c>
      <c r="J2949" s="2" t="n">
        <f aca="false">IF(F2949="yes",1,0)</f>
        <v>0</v>
      </c>
      <c r="K2949" s="2" t="n">
        <f aca="false">IF(H2949="yes",1,0)</f>
        <v>0</v>
      </c>
      <c r="L2949" s="2" t="n">
        <f aca="false">IF(I2949="yes",1,0)</f>
        <v>0</v>
      </c>
      <c r="M2949" s="2" t="n">
        <f aca="false">IF(G2949&lt;0,1,0)</f>
        <v>0</v>
      </c>
      <c r="N2949" s="2" t="str">
        <f aca="false">_xlfn.IFS(B2949&lt;30,"Under 30",B2949&lt;40,"30-39",B2949&lt;50,"40-49",B2949&lt;60,"50-59",TRUE(),"60+")</f>
        <v>40-49</v>
      </c>
      <c r="O2949" s="2" t="str">
        <f aca="false">_xlfn.IFS(G2949&lt;0,"1 Negative",G2949=0,"2 Zero",G2949&lt;=500,"3 1-500",G2949&lt;=2000,"4 501-2000",TRUE(),"5 Above 2000")</f>
        <v>4 501-2000</v>
      </c>
      <c r="P2949" s="2" t="n">
        <f aca="false">Lookups!$B$2*M2949+Lookups!$B$3*L2949</f>
        <v>0</v>
      </c>
      <c r="Q2949" s="2" t="str">
        <f aca="false">INDEX(Lookups!$E$2:$E$5,MATCH(P2949,Lookups!$D$2:$D$5,0))</f>
        <v>Low</v>
      </c>
    </row>
    <row r="2950" customFormat="false" ht="15" hidden="false" customHeight="false" outlineLevel="0" collapsed="false">
      <c r="A2950" s="3" t="n">
        <v>2949</v>
      </c>
      <c r="B2950" s="3" t="n">
        <f aca="false">Raw_Data!A2950</f>
        <v>36</v>
      </c>
      <c r="C2950" s="3" t="str">
        <f aca="false">SUBSTITUTE(Raw_Data!B2950,".","")</f>
        <v>management</v>
      </c>
      <c r="D2950" s="3" t="str">
        <f aca="false">Raw_Data!C2950</f>
        <v>single</v>
      </c>
      <c r="E2950" s="3" t="str">
        <f aca="false">Raw_Data!D2950</f>
        <v>secondary</v>
      </c>
      <c r="F2950" s="3" t="str">
        <f aca="false">Raw_Data!E2950</f>
        <v>no</v>
      </c>
      <c r="G2950" s="3" t="n">
        <f aca="false">Raw_Data!F2950</f>
        <v>1511</v>
      </c>
      <c r="H2950" s="3" t="str">
        <f aca="false">Raw_Data!G2950</f>
        <v>yes</v>
      </c>
      <c r="I2950" s="3" t="str">
        <f aca="false">Raw_Data!H2950</f>
        <v>no</v>
      </c>
      <c r="J2950" s="2" t="n">
        <f aca="false">IF(F2950="yes",1,0)</f>
        <v>0</v>
      </c>
      <c r="K2950" s="2" t="n">
        <f aca="false">IF(H2950="yes",1,0)</f>
        <v>1</v>
      </c>
      <c r="L2950" s="2" t="n">
        <f aca="false">IF(I2950="yes",1,0)</f>
        <v>0</v>
      </c>
      <c r="M2950" s="2" t="n">
        <f aca="false">IF(G2950&lt;0,1,0)</f>
        <v>0</v>
      </c>
      <c r="N2950" s="2" t="str">
        <f aca="false">_xlfn.IFS(B2950&lt;30,"Under 30",B2950&lt;40,"30-39",B2950&lt;50,"40-49",B2950&lt;60,"50-59",TRUE(),"60+")</f>
        <v>30-39</v>
      </c>
      <c r="O2950" s="2" t="str">
        <f aca="false">_xlfn.IFS(G2950&lt;0,"1 Negative",G2950=0,"2 Zero",G2950&lt;=500,"3 1-500",G2950&lt;=2000,"4 501-2000",TRUE(),"5 Above 2000")</f>
        <v>4 501-2000</v>
      </c>
      <c r="P2950" s="2" t="n">
        <f aca="false">Lookups!$B$2*M2950+Lookups!$B$3*L2950</f>
        <v>0</v>
      </c>
      <c r="Q2950" s="2" t="str">
        <f aca="false">INDEX(Lookups!$E$2:$E$5,MATCH(P2950,Lookups!$D$2:$D$5,0))</f>
        <v>Low</v>
      </c>
    </row>
    <row r="2951" customFormat="false" ht="15" hidden="false" customHeight="false" outlineLevel="0" collapsed="false">
      <c r="A2951" s="3" t="n">
        <v>2950</v>
      </c>
      <c r="B2951" s="3" t="n">
        <f aca="false">Raw_Data!A2951</f>
        <v>46</v>
      </c>
      <c r="C2951" s="3" t="str">
        <f aca="false">SUBSTITUTE(Raw_Data!B2951,".","")</f>
        <v>blue-collar</v>
      </c>
      <c r="D2951" s="3" t="str">
        <f aca="false">Raw_Data!C2951</f>
        <v>married</v>
      </c>
      <c r="E2951" s="3" t="str">
        <f aca="false">Raw_Data!D2951</f>
        <v>primary</v>
      </c>
      <c r="F2951" s="3" t="str">
        <f aca="false">Raw_Data!E2951</f>
        <v>no</v>
      </c>
      <c r="G2951" s="3" t="n">
        <f aca="false">Raw_Data!F2951</f>
        <v>147</v>
      </c>
      <c r="H2951" s="3" t="str">
        <f aca="false">Raw_Data!G2951</f>
        <v>yes</v>
      </c>
      <c r="I2951" s="3" t="str">
        <f aca="false">Raw_Data!H2951</f>
        <v>no</v>
      </c>
      <c r="J2951" s="2" t="n">
        <f aca="false">IF(F2951="yes",1,0)</f>
        <v>0</v>
      </c>
      <c r="K2951" s="2" t="n">
        <f aca="false">IF(H2951="yes",1,0)</f>
        <v>1</v>
      </c>
      <c r="L2951" s="2" t="n">
        <f aca="false">IF(I2951="yes",1,0)</f>
        <v>0</v>
      </c>
      <c r="M2951" s="2" t="n">
        <f aca="false">IF(G2951&lt;0,1,0)</f>
        <v>0</v>
      </c>
      <c r="N2951" s="2" t="str">
        <f aca="false">_xlfn.IFS(B2951&lt;30,"Under 30",B2951&lt;40,"30-39",B2951&lt;50,"40-49",B2951&lt;60,"50-59",TRUE(),"60+")</f>
        <v>40-49</v>
      </c>
      <c r="O2951" s="2" t="str">
        <f aca="false">_xlfn.IFS(G2951&lt;0,"1 Negative",G2951=0,"2 Zero",G2951&lt;=500,"3 1-500",G2951&lt;=2000,"4 501-2000",TRUE(),"5 Above 2000")</f>
        <v>3 1-500</v>
      </c>
      <c r="P2951" s="2" t="n">
        <f aca="false">Lookups!$B$2*M2951+Lookups!$B$3*L2951</f>
        <v>0</v>
      </c>
      <c r="Q2951" s="2" t="str">
        <f aca="false">INDEX(Lookups!$E$2:$E$5,MATCH(P2951,Lookups!$D$2:$D$5,0))</f>
        <v>Low</v>
      </c>
    </row>
    <row r="2952" customFormat="false" ht="15" hidden="false" customHeight="false" outlineLevel="0" collapsed="false">
      <c r="A2952" s="3" t="n">
        <v>2951</v>
      </c>
      <c r="B2952" s="3" t="n">
        <f aca="false">Raw_Data!A2952</f>
        <v>37</v>
      </c>
      <c r="C2952" s="3" t="str">
        <f aca="false">SUBSTITUTE(Raw_Data!B2952,".","")</f>
        <v>entrepreneur</v>
      </c>
      <c r="D2952" s="3" t="str">
        <f aca="false">Raw_Data!C2952</f>
        <v>married</v>
      </c>
      <c r="E2952" s="3" t="str">
        <f aca="false">Raw_Data!D2952</f>
        <v>tertiary</v>
      </c>
      <c r="F2952" s="3" t="str">
        <f aca="false">Raw_Data!E2952</f>
        <v>no</v>
      </c>
      <c r="G2952" s="3" t="n">
        <f aca="false">Raw_Data!F2952</f>
        <v>836</v>
      </c>
      <c r="H2952" s="3" t="str">
        <f aca="false">Raw_Data!G2952</f>
        <v>yes</v>
      </c>
      <c r="I2952" s="3" t="str">
        <f aca="false">Raw_Data!H2952</f>
        <v>no</v>
      </c>
      <c r="J2952" s="2" t="n">
        <f aca="false">IF(F2952="yes",1,0)</f>
        <v>0</v>
      </c>
      <c r="K2952" s="2" t="n">
        <f aca="false">IF(H2952="yes",1,0)</f>
        <v>1</v>
      </c>
      <c r="L2952" s="2" t="n">
        <f aca="false">IF(I2952="yes",1,0)</f>
        <v>0</v>
      </c>
      <c r="M2952" s="2" t="n">
        <f aca="false">IF(G2952&lt;0,1,0)</f>
        <v>0</v>
      </c>
      <c r="N2952" s="2" t="str">
        <f aca="false">_xlfn.IFS(B2952&lt;30,"Under 30",B2952&lt;40,"30-39",B2952&lt;50,"40-49",B2952&lt;60,"50-59",TRUE(),"60+")</f>
        <v>30-39</v>
      </c>
      <c r="O2952" s="2" t="str">
        <f aca="false">_xlfn.IFS(G2952&lt;0,"1 Negative",G2952=0,"2 Zero",G2952&lt;=500,"3 1-500",G2952&lt;=2000,"4 501-2000",TRUE(),"5 Above 2000")</f>
        <v>4 501-2000</v>
      </c>
      <c r="P2952" s="2" t="n">
        <f aca="false">Lookups!$B$2*M2952+Lookups!$B$3*L2952</f>
        <v>0</v>
      </c>
      <c r="Q2952" s="2" t="str">
        <f aca="false">INDEX(Lookups!$E$2:$E$5,MATCH(P2952,Lookups!$D$2:$D$5,0))</f>
        <v>Low</v>
      </c>
    </row>
    <row r="2953" customFormat="false" ht="15" hidden="false" customHeight="false" outlineLevel="0" collapsed="false">
      <c r="A2953" s="3" t="n">
        <v>2952</v>
      </c>
      <c r="B2953" s="3" t="n">
        <f aca="false">Raw_Data!A2953</f>
        <v>36</v>
      </c>
      <c r="C2953" s="3" t="str">
        <f aca="false">SUBSTITUTE(Raw_Data!B2953,".","")</f>
        <v>technician</v>
      </c>
      <c r="D2953" s="3" t="str">
        <f aca="false">Raw_Data!C2953</f>
        <v>married</v>
      </c>
      <c r="E2953" s="3" t="str">
        <f aca="false">Raw_Data!D2953</f>
        <v>secondary</v>
      </c>
      <c r="F2953" s="3" t="str">
        <f aca="false">Raw_Data!E2953</f>
        <v>no</v>
      </c>
      <c r="G2953" s="3" t="n">
        <f aca="false">Raw_Data!F2953</f>
        <v>55</v>
      </c>
      <c r="H2953" s="3" t="str">
        <f aca="false">Raw_Data!G2953</f>
        <v>yes</v>
      </c>
      <c r="I2953" s="3" t="str">
        <f aca="false">Raw_Data!H2953</f>
        <v>no</v>
      </c>
      <c r="J2953" s="2" t="n">
        <f aca="false">IF(F2953="yes",1,0)</f>
        <v>0</v>
      </c>
      <c r="K2953" s="2" t="n">
        <f aca="false">IF(H2953="yes",1,0)</f>
        <v>1</v>
      </c>
      <c r="L2953" s="2" t="n">
        <f aca="false">IF(I2953="yes",1,0)</f>
        <v>0</v>
      </c>
      <c r="M2953" s="2" t="n">
        <f aca="false">IF(G2953&lt;0,1,0)</f>
        <v>0</v>
      </c>
      <c r="N2953" s="2" t="str">
        <f aca="false">_xlfn.IFS(B2953&lt;30,"Under 30",B2953&lt;40,"30-39",B2953&lt;50,"40-49",B2953&lt;60,"50-59",TRUE(),"60+")</f>
        <v>30-39</v>
      </c>
      <c r="O2953" s="2" t="str">
        <f aca="false">_xlfn.IFS(G2953&lt;0,"1 Negative",G2953=0,"2 Zero",G2953&lt;=500,"3 1-500",G2953&lt;=2000,"4 501-2000",TRUE(),"5 Above 2000")</f>
        <v>3 1-500</v>
      </c>
      <c r="P2953" s="2" t="n">
        <f aca="false">Lookups!$B$2*M2953+Lookups!$B$3*L2953</f>
        <v>0</v>
      </c>
      <c r="Q2953" s="2" t="str">
        <f aca="false">INDEX(Lookups!$E$2:$E$5,MATCH(P2953,Lookups!$D$2:$D$5,0))</f>
        <v>Low</v>
      </c>
    </row>
    <row r="2954" customFormat="false" ht="15" hidden="false" customHeight="false" outlineLevel="0" collapsed="false">
      <c r="A2954" s="3" t="n">
        <v>2953</v>
      </c>
      <c r="B2954" s="3" t="n">
        <f aca="false">Raw_Data!A2954</f>
        <v>37</v>
      </c>
      <c r="C2954" s="3" t="str">
        <f aca="false">SUBSTITUTE(Raw_Data!B2954,".","")</f>
        <v>admin</v>
      </c>
      <c r="D2954" s="3" t="str">
        <f aca="false">Raw_Data!C2954</f>
        <v>married</v>
      </c>
      <c r="E2954" s="3" t="str">
        <f aca="false">Raw_Data!D2954</f>
        <v>secondary</v>
      </c>
      <c r="F2954" s="3" t="str">
        <f aca="false">Raw_Data!E2954</f>
        <v>no</v>
      </c>
      <c r="G2954" s="3" t="n">
        <f aca="false">Raw_Data!F2954</f>
        <v>1123</v>
      </c>
      <c r="H2954" s="3" t="str">
        <f aca="false">Raw_Data!G2954</f>
        <v>no</v>
      </c>
      <c r="I2954" s="3" t="str">
        <f aca="false">Raw_Data!H2954</f>
        <v>yes</v>
      </c>
      <c r="J2954" s="2" t="n">
        <f aca="false">IF(F2954="yes",1,0)</f>
        <v>0</v>
      </c>
      <c r="K2954" s="2" t="n">
        <f aca="false">IF(H2954="yes",1,0)</f>
        <v>0</v>
      </c>
      <c r="L2954" s="2" t="n">
        <f aca="false">IF(I2954="yes",1,0)</f>
        <v>1</v>
      </c>
      <c r="M2954" s="2" t="n">
        <f aca="false">IF(G2954&lt;0,1,0)</f>
        <v>0</v>
      </c>
      <c r="N2954" s="2" t="str">
        <f aca="false">_xlfn.IFS(B2954&lt;30,"Under 30",B2954&lt;40,"30-39",B2954&lt;50,"40-49",B2954&lt;60,"50-59",TRUE(),"60+")</f>
        <v>30-39</v>
      </c>
      <c r="O2954" s="2" t="str">
        <f aca="false">_xlfn.IFS(G2954&lt;0,"1 Negative",G2954=0,"2 Zero",G2954&lt;=500,"3 1-500",G2954&lt;=2000,"4 501-2000",TRUE(),"5 Above 2000")</f>
        <v>4 501-2000</v>
      </c>
      <c r="P2954" s="2" t="n">
        <f aca="false">Lookups!$B$2*M2954+Lookups!$B$3*L2954</f>
        <v>1</v>
      </c>
      <c r="Q2954" s="2" t="str">
        <f aca="false">INDEX(Lookups!$E$2:$E$5,MATCH(P2954,Lookups!$D$2:$D$5,0))</f>
        <v>Medium</v>
      </c>
    </row>
    <row r="2955" customFormat="false" ht="15" hidden="false" customHeight="false" outlineLevel="0" collapsed="false">
      <c r="A2955" s="3" t="n">
        <v>2954</v>
      </c>
      <c r="B2955" s="3" t="n">
        <f aca="false">Raw_Data!A2955</f>
        <v>22</v>
      </c>
      <c r="C2955" s="3" t="str">
        <f aca="false">SUBSTITUTE(Raw_Data!B2955,".","")</f>
        <v>student</v>
      </c>
      <c r="D2955" s="3" t="str">
        <f aca="false">Raw_Data!C2955</f>
        <v>single</v>
      </c>
      <c r="E2955" s="3" t="str">
        <f aca="false">Raw_Data!D2955</f>
        <v>tertiary</v>
      </c>
      <c r="F2955" s="3" t="str">
        <f aca="false">Raw_Data!E2955</f>
        <v>no</v>
      </c>
      <c r="G2955" s="3" t="n">
        <f aca="false">Raw_Data!F2955</f>
        <v>691</v>
      </c>
      <c r="H2955" s="3" t="str">
        <f aca="false">Raw_Data!G2955</f>
        <v>no</v>
      </c>
      <c r="I2955" s="3" t="str">
        <f aca="false">Raw_Data!H2955</f>
        <v>no</v>
      </c>
      <c r="J2955" s="2" t="n">
        <f aca="false">IF(F2955="yes",1,0)</f>
        <v>0</v>
      </c>
      <c r="K2955" s="2" t="n">
        <f aca="false">IF(H2955="yes",1,0)</f>
        <v>0</v>
      </c>
      <c r="L2955" s="2" t="n">
        <f aca="false">IF(I2955="yes",1,0)</f>
        <v>0</v>
      </c>
      <c r="M2955" s="2" t="n">
        <f aca="false">IF(G2955&lt;0,1,0)</f>
        <v>0</v>
      </c>
      <c r="N2955" s="2" t="str">
        <f aca="false">_xlfn.IFS(B2955&lt;30,"Under 30",B2955&lt;40,"30-39",B2955&lt;50,"40-49",B2955&lt;60,"50-59",TRUE(),"60+")</f>
        <v>Under 30</v>
      </c>
      <c r="O2955" s="2" t="str">
        <f aca="false">_xlfn.IFS(G2955&lt;0,"1 Negative",G2955=0,"2 Zero",G2955&lt;=500,"3 1-500",G2955&lt;=2000,"4 501-2000",TRUE(),"5 Above 2000")</f>
        <v>4 501-2000</v>
      </c>
      <c r="P2955" s="2" t="n">
        <f aca="false">Lookups!$B$2*M2955+Lookups!$B$3*L2955</f>
        <v>0</v>
      </c>
      <c r="Q2955" s="2" t="str">
        <f aca="false">INDEX(Lookups!$E$2:$E$5,MATCH(P2955,Lookups!$D$2:$D$5,0))</f>
        <v>Low</v>
      </c>
    </row>
    <row r="2956" customFormat="false" ht="15" hidden="false" customHeight="false" outlineLevel="0" collapsed="false">
      <c r="A2956" s="3" t="n">
        <v>2955</v>
      </c>
      <c r="B2956" s="3" t="n">
        <f aca="false">Raw_Data!A2956</f>
        <v>51</v>
      </c>
      <c r="C2956" s="3" t="str">
        <f aca="false">SUBSTITUTE(Raw_Data!B2956,".","")</f>
        <v>services</v>
      </c>
      <c r="D2956" s="3" t="str">
        <f aca="false">Raw_Data!C2956</f>
        <v>married</v>
      </c>
      <c r="E2956" s="3" t="str">
        <f aca="false">Raw_Data!D2956</f>
        <v>secondary</v>
      </c>
      <c r="F2956" s="3" t="str">
        <f aca="false">Raw_Data!E2956</f>
        <v>no</v>
      </c>
      <c r="G2956" s="3" t="n">
        <f aca="false">Raw_Data!F2956</f>
        <v>0</v>
      </c>
      <c r="H2956" s="3" t="str">
        <f aca="false">Raw_Data!G2956</f>
        <v>no</v>
      </c>
      <c r="I2956" s="3" t="str">
        <f aca="false">Raw_Data!H2956</f>
        <v>yes</v>
      </c>
      <c r="J2956" s="2" t="n">
        <f aca="false">IF(F2956="yes",1,0)</f>
        <v>0</v>
      </c>
      <c r="K2956" s="2" t="n">
        <f aca="false">IF(H2956="yes",1,0)</f>
        <v>0</v>
      </c>
      <c r="L2956" s="2" t="n">
        <f aca="false">IF(I2956="yes",1,0)</f>
        <v>1</v>
      </c>
      <c r="M2956" s="2" t="n">
        <f aca="false">IF(G2956&lt;0,1,0)</f>
        <v>0</v>
      </c>
      <c r="N2956" s="2" t="str">
        <f aca="false">_xlfn.IFS(B2956&lt;30,"Under 30",B2956&lt;40,"30-39",B2956&lt;50,"40-49",B2956&lt;60,"50-59",TRUE(),"60+")</f>
        <v>50-59</v>
      </c>
      <c r="O2956" s="2" t="str">
        <f aca="false">_xlfn.IFS(G2956&lt;0,"1 Negative",G2956=0,"2 Zero",G2956&lt;=500,"3 1-500",G2956&lt;=2000,"4 501-2000",TRUE(),"5 Above 2000")</f>
        <v>2 Zero</v>
      </c>
      <c r="P2956" s="2" t="n">
        <f aca="false">Lookups!$B$2*M2956+Lookups!$B$3*L2956</f>
        <v>1</v>
      </c>
      <c r="Q2956" s="2" t="str">
        <f aca="false">INDEX(Lookups!$E$2:$E$5,MATCH(P2956,Lookups!$D$2:$D$5,0))</f>
        <v>Medium</v>
      </c>
    </row>
    <row r="2957" customFormat="false" ht="15" hidden="false" customHeight="false" outlineLevel="0" collapsed="false">
      <c r="A2957" s="3" t="n">
        <v>2956</v>
      </c>
      <c r="B2957" s="3" t="n">
        <f aca="false">Raw_Data!A2957</f>
        <v>49</v>
      </c>
      <c r="C2957" s="3" t="str">
        <f aca="false">SUBSTITUTE(Raw_Data!B2957,".","")</f>
        <v>technician</v>
      </c>
      <c r="D2957" s="3" t="str">
        <f aca="false">Raw_Data!C2957</f>
        <v>married</v>
      </c>
      <c r="E2957" s="3" t="str">
        <f aca="false">Raw_Data!D2957</f>
        <v>secondary</v>
      </c>
      <c r="F2957" s="3" t="str">
        <f aca="false">Raw_Data!E2957</f>
        <v>no</v>
      </c>
      <c r="G2957" s="3" t="n">
        <f aca="false">Raw_Data!F2957</f>
        <v>12531</v>
      </c>
      <c r="H2957" s="3" t="str">
        <f aca="false">Raw_Data!G2957</f>
        <v>no</v>
      </c>
      <c r="I2957" s="3" t="str">
        <f aca="false">Raw_Data!H2957</f>
        <v>no</v>
      </c>
      <c r="J2957" s="2" t="n">
        <f aca="false">IF(F2957="yes",1,0)</f>
        <v>0</v>
      </c>
      <c r="K2957" s="2" t="n">
        <f aca="false">IF(H2957="yes",1,0)</f>
        <v>0</v>
      </c>
      <c r="L2957" s="2" t="n">
        <f aca="false">IF(I2957="yes",1,0)</f>
        <v>0</v>
      </c>
      <c r="M2957" s="2" t="n">
        <f aca="false">IF(G2957&lt;0,1,0)</f>
        <v>0</v>
      </c>
      <c r="N2957" s="2" t="str">
        <f aca="false">_xlfn.IFS(B2957&lt;30,"Under 30",B2957&lt;40,"30-39",B2957&lt;50,"40-49",B2957&lt;60,"50-59",TRUE(),"60+")</f>
        <v>40-49</v>
      </c>
      <c r="O2957" s="2" t="str">
        <f aca="false">_xlfn.IFS(G2957&lt;0,"1 Negative",G2957=0,"2 Zero",G2957&lt;=500,"3 1-500",G2957&lt;=2000,"4 501-2000",TRUE(),"5 Above 2000")</f>
        <v>5 Above 2000</v>
      </c>
      <c r="P2957" s="2" t="n">
        <f aca="false">Lookups!$B$2*M2957+Lookups!$B$3*L2957</f>
        <v>0</v>
      </c>
      <c r="Q2957" s="2" t="str">
        <f aca="false">INDEX(Lookups!$E$2:$E$5,MATCH(P2957,Lookups!$D$2:$D$5,0))</f>
        <v>Low</v>
      </c>
    </row>
    <row r="2958" customFormat="false" ht="15" hidden="false" customHeight="false" outlineLevel="0" collapsed="false">
      <c r="A2958" s="3" t="n">
        <v>2957</v>
      </c>
      <c r="B2958" s="3" t="n">
        <f aca="false">Raw_Data!A2958</f>
        <v>35</v>
      </c>
      <c r="C2958" s="3" t="str">
        <f aca="false">SUBSTITUTE(Raw_Data!B2958,".","")</f>
        <v>management</v>
      </c>
      <c r="D2958" s="3" t="str">
        <f aca="false">Raw_Data!C2958</f>
        <v>married</v>
      </c>
      <c r="E2958" s="3" t="str">
        <f aca="false">Raw_Data!D2958</f>
        <v>tertiary</v>
      </c>
      <c r="F2958" s="3" t="str">
        <f aca="false">Raw_Data!E2958</f>
        <v>no</v>
      </c>
      <c r="G2958" s="3" t="n">
        <f aca="false">Raw_Data!F2958</f>
        <v>552</v>
      </c>
      <c r="H2958" s="3" t="str">
        <f aca="false">Raw_Data!G2958</f>
        <v>yes</v>
      </c>
      <c r="I2958" s="3" t="str">
        <f aca="false">Raw_Data!H2958</f>
        <v>yes</v>
      </c>
      <c r="J2958" s="2" t="n">
        <f aca="false">IF(F2958="yes",1,0)</f>
        <v>0</v>
      </c>
      <c r="K2958" s="2" t="n">
        <f aca="false">IF(H2958="yes",1,0)</f>
        <v>1</v>
      </c>
      <c r="L2958" s="2" t="n">
        <f aca="false">IF(I2958="yes",1,0)</f>
        <v>1</v>
      </c>
      <c r="M2958" s="2" t="n">
        <f aca="false">IF(G2958&lt;0,1,0)</f>
        <v>0</v>
      </c>
      <c r="N2958" s="2" t="str">
        <f aca="false">_xlfn.IFS(B2958&lt;30,"Under 30",B2958&lt;40,"30-39",B2958&lt;50,"40-49",B2958&lt;60,"50-59",TRUE(),"60+")</f>
        <v>30-39</v>
      </c>
      <c r="O2958" s="2" t="str">
        <f aca="false">_xlfn.IFS(G2958&lt;0,"1 Negative",G2958=0,"2 Zero",G2958&lt;=500,"3 1-500",G2958&lt;=2000,"4 501-2000",TRUE(),"5 Above 2000")</f>
        <v>4 501-2000</v>
      </c>
      <c r="P2958" s="2" t="n">
        <f aca="false">Lookups!$B$2*M2958+Lookups!$B$3*L2958</f>
        <v>1</v>
      </c>
      <c r="Q2958" s="2" t="str">
        <f aca="false">INDEX(Lookups!$E$2:$E$5,MATCH(P2958,Lookups!$D$2:$D$5,0))</f>
        <v>Medium</v>
      </c>
    </row>
    <row r="2959" customFormat="false" ht="15" hidden="false" customHeight="false" outlineLevel="0" collapsed="false">
      <c r="A2959" s="3" t="n">
        <v>2958</v>
      </c>
      <c r="B2959" s="3" t="n">
        <f aca="false">Raw_Data!A2959</f>
        <v>50</v>
      </c>
      <c r="C2959" s="3" t="str">
        <f aca="false">SUBSTITUTE(Raw_Data!B2959,".","")</f>
        <v>housemaid</v>
      </c>
      <c r="D2959" s="3" t="str">
        <f aca="false">Raw_Data!C2959</f>
        <v>married</v>
      </c>
      <c r="E2959" s="3" t="str">
        <f aca="false">Raw_Data!D2959</f>
        <v>primary</v>
      </c>
      <c r="F2959" s="3" t="str">
        <f aca="false">Raw_Data!E2959</f>
        <v>no</v>
      </c>
      <c r="G2959" s="3" t="n">
        <f aca="false">Raw_Data!F2959</f>
        <v>0</v>
      </c>
      <c r="H2959" s="3" t="str">
        <f aca="false">Raw_Data!G2959</f>
        <v>no</v>
      </c>
      <c r="I2959" s="3" t="str">
        <f aca="false">Raw_Data!H2959</f>
        <v>no</v>
      </c>
      <c r="J2959" s="2" t="n">
        <f aca="false">IF(F2959="yes",1,0)</f>
        <v>0</v>
      </c>
      <c r="K2959" s="2" t="n">
        <f aca="false">IF(H2959="yes",1,0)</f>
        <v>0</v>
      </c>
      <c r="L2959" s="2" t="n">
        <f aca="false">IF(I2959="yes",1,0)</f>
        <v>0</v>
      </c>
      <c r="M2959" s="2" t="n">
        <f aca="false">IF(G2959&lt;0,1,0)</f>
        <v>0</v>
      </c>
      <c r="N2959" s="2" t="str">
        <f aca="false">_xlfn.IFS(B2959&lt;30,"Under 30",B2959&lt;40,"30-39",B2959&lt;50,"40-49",B2959&lt;60,"50-59",TRUE(),"60+")</f>
        <v>50-59</v>
      </c>
      <c r="O2959" s="2" t="str">
        <f aca="false">_xlfn.IFS(G2959&lt;0,"1 Negative",G2959=0,"2 Zero",G2959&lt;=500,"3 1-500",G2959&lt;=2000,"4 501-2000",TRUE(),"5 Above 2000")</f>
        <v>2 Zero</v>
      </c>
      <c r="P2959" s="2" t="n">
        <f aca="false">Lookups!$B$2*M2959+Lookups!$B$3*L2959</f>
        <v>0</v>
      </c>
      <c r="Q2959" s="2" t="str">
        <f aca="false">INDEX(Lookups!$E$2:$E$5,MATCH(P2959,Lookups!$D$2:$D$5,0))</f>
        <v>Low</v>
      </c>
    </row>
    <row r="2960" customFormat="false" ht="15" hidden="false" customHeight="false" outlineLevel="0" collapsed="false">
      <c r="A2960" s="3" t="n">
        <v>2959</v>
      </c>
      <c r="B2960" s="3" t="n">
        <f aca="false">Raw_Data!A2960</f>
        <v>31</v>
      </c>
      <c r="C2960" s="3" t="str">
        <f aca="false">SUBSTITUTE(Raw_Data!B2960,".","")</f>
        <v>services</v>
      </c>
      <c r="D2960" s="3" t="str">
        <f aca="false">Raw_Data!C2960</f>
        <v>married</v>
      </c>
      <c r="E2960" s="3" t="str">
        <f aca="false">Raw_Data!D2960</f>
        <v>tertiary</v>
      </c>
      <c r="F2960" s="3" t="str">
        <f aca="false">Raw_Data!E2960</f>
        <v>no</v>
      </c>
      <c r="G2960" s="3" t="n">
        <f aca="false">Raw_Data!F2960</f>
        <v>309</v>
      </c>
      <c r="H2960" s="3" t="str">
        <f aca="false">Raw_Data!G2960</f>
        <v>yes</v>
      </c>
      <c r="I2960" s="3" t="str">
        <f aca="false">Raw_Data!H2960</f>
        <v>yes</v>
      </c>
      <c r="J2960" s="2" t="n">
        <f aca="false">IF(F2960="yes",1,0)</f>
        <v>0</v>
      </c>
      <c r="K2960" s="2" t="n">
        <f aca="false">IF(H2960="yes",1,0)</f>
        <v>1</v>
      </c>
      <c r="L2960" s="2" t="n">
        <f aca="false">IF(I2960="yes",1,0)</f>
        <v>1</v>
      </c>
      <c r="M2960" s="2" t="n">
        <f aca="false">IF(G2960&lt;0,1,0)</f>
        <v>0</v>
      </c>
      <c r="N2960" s="2" t="str">
        <f aca="false">_xlfn.IFS(B2960&lt;30,"Under 30",B2960&lt;40,"30-39",B2960&lt;50,"40-49",B2960&lt;60,"50-59",TRUE(),"60+")</f>
        <v>30-39</v>
      </c>
      <c r="O2960" s="2" t="str">
        <f aca="false">_xlfn.IFS(G2960&lt;0,"1 Negative",G2960=0,"2 Zero",G2960&lt;=500,"3 1-500",G2960&lt;=2000,"4 501-2000",TRUE(),"5 Above 2000")</f>
        <v>3 1-500</v>
      </c>
      <c r="P2960" s="2" t="n">
        <f aca="false">Lookups!$B$2*M2960+Lookups!$B$3*L2960</f>
        <v>1</v>
      </c>
      <c r="Q2960" s="2" t="str">
        <f aca="false">INDEX(Lookups!$E$2:$E$5,MATCH(P2960,Lookups!$D$2:$D$5,0))</f>
        <v>Medium</v>
      </c>
    </row>
    <row r="2961" customFormat="false" ht="15" hidden="false" customHeight="false" outlineLevel="0" collapsed="false">
      <c r="A2961" s="3" t="n">
        <v>2960</v>
      </c>
      <c r="B2961" s="3" t="n">
        <f aca="false">Raw_Data!A2961</f>
        <v>47</v>
      </c>
      <c r="C2961" s="3" t="str">
        <f aca="false">SUBSTITUTE(Raw_Data!B2961,".","")</f>
        <v>services</v>
      </c>
      <c r="D2961" s="3" t="str">
        <f aca="false">Raw_Data!C2961</f>
        <v>single</v>
      </c>
      <c r="E2961" s="3" t="str">
        <f aca="false">Raw_Data!D2961</f>
        <v>secondary</v>
      </c>
      <c r="F2961" s="3" t="str">
        <f aca="false">Raw_Data!E2961</f>
        <v>no</v>
      </c>
      <c r="G2961" s="3" t="n">
        <f aca="false">Raw_Data!F2961</f>
        <v>33</v>
      </c>
      <c r="H2961" s="3" t="str">
        <f aca="false">Raw_Data!G2961</f>
        <v>yes</v>
      </c>
      <c r="I2961" s="3" t="str">
        <f aca="false">Raw_Data!H2961</f>
        <v>no</v>
      </c>
      <c r="J2961" s="2" t="n">
        <f aca="false">IF(F2961="yes",1,0)</f>
        <v>0</v>
      </c>
      <c r="K2961" s="2" t="n">
        <f aca="false">IF(H2961="yes",1,0)</f>
        <v>1</v>
      </c>
      <c r="L2961" s="2" t="n">
        <f aca="false">IF(I2961="yes",1,0)</f>
        <v>0</v>
      </c>
      <c r="M2961" s="2" t="n">
        <f aca="false">IF(G2961&lt;0,1,0)</f>
        <v>0</v>
      </c>
      <c r="N2961" s="2" t="str">
        <f aca="false">_xlfn.IFS(B2961&lt;30,"Under 30",B2961&lt;40,"30-39",B2961&lt;50,"40-49",B2961&lt;60,"50-59",TRUE(),"60+")</f>
        <v>40-49</v>
      </c>
      <c r="O2961" s="2" t="str">
        <f aca="false">_xlfn.IFS(G2961&lt;0,"1 Negative",G2961=0,"2 Zero",G2961&lt;=500,"3 1-500",G2961&lt;=2000,"4 501-2000",TRUE(),"5 Above 2000")</f>
        <v>3 1-500</v>
      </c>
      <c r="P2961" s="2" t="n">
        <f aca="false">Lookups!$B$2*M2961+Lookups!$B$3*L2961</f>
        <v>0</v>
      </c>
      <c r="Q2961" s="2" t="str">
        <f aca="false">INDEX(Lookups!$E$2:$E$5,MATCH(P2961,Lookups!$D$2:$D$5,0))</f>
        <v>Low</v>
      </c>
    </row>
    <row r="2962" customFormat="false" ht="15" hidden="false" customHeight="false" outlineLevel="0" collapsed="false">
      <c r="A2962" s="3" t="n">
        <v>2961</v>
      </c>
      <c r="B2962" s="3" t="n">
        <f aca="false">Raw_Data!A2962</f>
        <v>59</v>
      </c>
      <c r="C2962" s="3" t="str">
        <f aca="false">SUBSTITUTE(Raw_Data!B2962,".","")</f>
        <v>blue-collar</v>
      </c>
      <c r="D2962" s="3" t="str">
        <f aca="false">Raw_Data!C2962</f>
        <v>married</v>
      </c>
      <c r="E2962" s="3" t="str">
        <f aca="false">Raw_Data!D2962</f>
        <v>secondary</v>
      </c>
      <c r="F2962" s="3" t="str">
        <f aca="false">Raw_Data!E2962</f>
        <v>no</v>
      </c>
      <c r="G2962" s="3" t="n">
        <f aca="false">Raw_Data!F2962</f>
        <v>681</v>
      </c>
      <c r="H2962" s="3" t="str">
        <f aca="false">Raw_Data!G2962</f>
        <v>yes</v>
      </c>
      <c r="I2962" s="3" t="str">
        <f aca="false">Raw_Data!H2962</f>
        <v>no</v>
      </c>
      <c r="J2962" s="2" t="n">
        <f aca="false">IF(F2962="yes",1,0)</f>
        <v>0</v>
      </c>
      <c r="K2962" s="2" t="n">
        <f aca="false">IF(H2962="yes",1,0)</f>
        <v>1</v>
      </c>
      <c r="L2962" s="2" t="n">
        <f aca="false">IF(I2962="yes",1,0)</f>
        <v>0</v>
      </c>
      <c r="M2962" s="2" t="n">
        <f aca="false">IF(G2962&lt;0,1,0)</f>
        <v>0</v>
      </c>
      <c r="N2962" s="2" t="str">
        <f aca="false">_xlfn.IFS(B2962&lt;30,"Under 30",B2962&lt;40,"30-39",B2962&lt;50,"40-49",B2962&lt;60,"50-59",TRUE(),"60+")</f>
        <v>50-59</v>
      </c>
      <c r="O2962" s="2" t="str">
        <f aca="false">_xlfn.IFS(G2962&lt;0,"1 Negative",G2962=0,"2 Zero",G2962&lt;=500,"3 1-500",G2962&lt;=2000,"4 501-2000",TRUE(),"5 Above 2000")</f>
        <v>4 501-2000</v>
      </c>
      <c r="P2962" s="2" t="n">
        <f aca="false">Lookups!$B$2*M2962+Lookups!$B$3*L2962</f>
        <v>0</v>
      </c>
      <c r="Q2962" s="2" t="str">
        <f aca="false">INDEX(Lookups!$E$2:$E$5,MATCH(P2962,Lookups!$D$2:$D$5,0))</f>
        <v>Low</v>
      </c>
    </row>
    <row r="2963" customFormat="false" ht="15" hidden="false" customHeight="false" outlineLevel="0" collapsed="false">
      <c r="A2963" s="3" t="n">
        <v>2962</v>
      </c>
      <c r="B2963" s="3" t="n">
        <f aca="false">Raw_Data!A2963</f>
        <v>32</v>
      </c>
      <c r="C2963" s="3" t="str">
        <f aca="false">SUBSTITUTE(Raw_Data!B2963,".","")</f>
        <v>blue-collar</v>
      </c>
      <c r="D2963" s="3" t="str">
        <f aca="false">Raw_Data!C2963</f>
        <v>married</v>
      </c>
      <c r="E2963" s="3" t="str">
        <f aca="false">Raw_Data!D2963</f>
        <v>secondary</v>
      </c>
      <c r="F2963" s="3" t="str">
        <f aca="false">Raw_Data!E2963</f>
        <v>no</v>
      </c>
      <c r="G2963" s="3" t="n">
        <f aca="false">Raw_Data!F2963</f>
        <v>1787</v>
      </c>
      <c r="H2963" s="3" t="str">
        <f aca="false">Raw_Data!G2963</f>
        <v>yes</v>
      </c>
      <c r="I2963" s="3" t="str">
        <f aca="false">Raw_Data!H2963</f>
        <v>no</v>
      </c>
      <c r="J2963" s="2" t="n">
        <f aca="false">IF(F2963="yes",1,0)</f>
        <v>0</v>
      </c>
      <c r="K2963" s="2" t="n">
        <f aca="false">IF(H2963="yes",1,0)</f>
        <v>1</v>
      </c>
      <c r="L2963" s="2" t="n">
        <f aca="false">IF(I2963="yes",1,0)</f>
        <v>0</v>
      </c>
      <c r="M2963" s="2" t="n">
        <f aca="false">IF(G2963&lt;0,1,0)</f>
        <v>0</v>
      </c>
      <c r="N2963" s="2" t="str">
        <f aca="false">_xlfn.IFS(B2963&lt;30,"Under 30",B2963&lt;40,"30-39",B2963&lt;50,"40-49",B2963&lt;60,"50-59",TRUE(),"60+")</f>
        <v>30-39</v>
      </c>
      <c r="O2963" s="2" t="str">
        <f aca="false">_xlfn.IFS(G2963&lt;0,"1 Negative",G2963=0,"2 Zero",G2963&lt;=500,"3 1-500",G2963&lt;=2000,"4 501-2000",TRUE(),"5 Above 2000")</f>
        <v>4 501-2000</v>
      </c>
      <c r="P2963" s="2" t="n">
        <f aca="false">Lookups!$B$2*M2963+Lookups!$B$3*L2963</f>
        <v>0</v>
      </c>
      <c r="Q2963" s="2" t="str">
        <f aca="false">INDEX(Lookups!$E$2:$E$5,MATCH(P2963,Lookups!$D$2:$D$5,0))</f>
        <v>Low</v>
      </c>
    </row>
    <row r="2964" customFormat="false" ht="15" hidden="false" customHeight="false" outlineLevel="0" collapsed="false">
      <c r="A2964" s="3" t="n">
        <v>2963</v>
      </c>
      <c r="B2964" s="3" t="n">
        <f aca="false">Raw_Data!A2964</f>
        <v>71</v>
      </c>
      <c r="C2964" s="3" t="str">
        <f aca="false">SUBSTITUTE(Raw_Data!B2964,".","")</f>
        <v>retired</v>
      </c>
      <c r="D2964" s="3" t="str">
        <f aca="false">Raw_Data!C2964</f>
        <v>married</v>
      </c>
      <c r="E2964" s="3" t="str">
        <f aca="false">Raw_Data!D2964</f>
        <v>tertiary</v>
      </c>
      <c r="F2964" s="3" t="str">
        <f aca="false">Raw_Data!E2964</f>
        <v>no</v>
      </c>
      <c r="G2964" s="3" t="n">
        <f aca="false">Raw_Data!F2964</f>
        <v>14220</v>
      </c>
      <c r="H2964" s="3" t="str">
        <f aca="false">Raw_Data!G2964</f>
        <v>yes</v>
      </c>
      <c r="I2964" s="3" t="str">
        <f aca="false">Raw_Data!H2964</f>
        <v>no</v>
      </c>
      <c r="J2964" s="2" t="n">
        <f aca="false">IF(F2964="yes",1,0)</f>
        <v>0</v>
      </c>
      <c r="K2964" s="2" t="n">
        <f aca="false">IF(H2964="yes",1,0)</f>
        <v>1</v>
      </c>
      <c r="L2964" s="2" t="n">
        <f aca="false">IF(I2964="yes",1,0)</f>
        <v>0</v>
      </c>
      <c r="M2964" s="2" t="n">
        <f aca="false">IF(G2964&lt;0,1,0)</f>
        <v>0</v>
      </c>
      <c r="N2964" s="2" t="str">
        <f aca="false">_xlfn.IFS(B2964&lt;30,"Under 30",B2964&lt;40,"30-39",B2964&lt;50,"40-49",B2964&lt;60,"50-59",TRUE(),"60+")</f>
        <v>60+</v>
      </c>
      <c r="O2964" s="2" t="str">
        <f aca="false">_xlfn.IFS(G2964&lt;0,"1 Negative",G2964=0,"2 Zero",G2964&lt;=500,"3 1-500",G2964&lt;=2000,"4 501-2000",TRUE(),"5 Above 2000")</f>
        <v>5 Above 2000</v>
      </c>
      <c r="P2964" s="2" t="n">
        <f aca="false">Lookups!$B$2*M2964+Lookups!$B$3*L2964</f>
        <v>0</v>
      </c>
      <c r="Q2964" s="2" t="str">
        <f aca="false">INDEX(Lookups!$E$2:$E$5,MATCH(P2964,Lookups!$D$2:$D$5,0))</f>
        <v>Low</v>
      </c>
    </row>
    <row r="2965" customFormat="false" ht="15" hidden="false" customHeight="false" outlineLevel="0" collapsed="false">
      <c r="A2965" s="3" t="n">
        <v>2964</v>
      </c>
      <c r="B2965" s="3" t="n">
        <f aca="false">Raw_Data!A2965</f>
        <v>31</v>
      </c>
      <c r="C2965" s="3" t="str">
        <f aca="false">SUBSTITUTE(Raw_Data!B2965,".","")</f>
        <v>management</v>
      </c>
      <c r="D2965" s="3" t="str">
        <f aca="false">Raw_Data!C2965</f>
        <v>single</v>
      </c>
      <c r="E2965" s="3" t="str">
        <f aca="false">Raw_Data!D2965</f>
        <v>tertiary</v>
      </c>
      <c r="F2965" s="3" t="str">
        <f aca="false">Raw_Data!E2965</f>
        <v>no</v>
      </c>
      <c r="G2965" s="3" t="n">
        <f aca="false">Raw_Data!F2965</f>
        <v>12569</v>
      </c>
      <c r="H2965" s="3" t="str">
        <f aca="false">Raw_Data!G2965</f>
        <v>no</v>
      </c>
      <c r="I2965" s="3" t="str">
        <f aca="false">Raw_Data!H2965</f>
        <v>no</v>
      </c>
      <c r="J2965" s="2" t="n">
        <f aca="false">IF(F2965="yes",1,0)</f>
        <v>0</v>
      </c>
      <c r="K2965" s="2" t="n">
        <f aca="false">IF(H2965="yes",1,0)</f>
        <v>0</v>
      </c>
      <c r="L2965" s="2" t="n">
        <f aca="false">IF(I2965="yes",1,0)</f>
        <v>0</v>
      </c>
      <c r="M2965" s="2" t="n">
        <f aca="false">IF(G2965&lt;0,1,0)</f>
        <v>0</v>
      </c>
      <c r="N2965" s="2" t="str">
        <f aca="false">_xlfn.IFS(B2965&lt;30,"Under 30",B2965&lt;40,"30-39",B2965&lt;50,"40-49",B2965&lt;60,"50-59",TRUE(),"60+")</f>
        <v>30-39</v>
      </c>
      <c r="O2965" s="2" t="str">
        <f aca="false">_xlfn.IFS(G2965&lt;0,"1 Negative",G2965=0,"2 Zero",G2965&lt;=500,"3 1-500",G2965&lt;=2000,"4 501-2000",TRUE(),"5 Above 2000")</f>
        <v>5 Above 2000</v>
      </c>
      <c r="P2965" s="2" t="n">
        <f aca="false">Lookups!$B$2*M2965+Lookups!$B$3*L2965</f>
        <v>0</v>
      </c>
      <c r="Q2965" s="2" t="str">
        <f aca="false">INDEX(Lookups!$E$2:$E$5,MATCH(P2965,Lookups!$D$2:$D$5,0))</f>
        <v>Low</v>
      </c>
    </row>
    <row r="2966" customFormat="false" ht="15" hidden="false" customHeight="false" outlineLevel="0" collapsed="false">
      <c r="A2966" s="3" t="n">
        <v>2965</v>
      </c>
      <c r="B2966" s="3" t="n">
        <f aca="false">Raw_Data!A2966</f>
        <v>41</v>
      </c>
      <c r="C2966" s="3" t="str">
        <f aca="false">SUBSTITUTE(Raw_Data!B2966,".","")</f>
        <v>blue-collar</v>
      </c>
      <c r="D2966" s="3" t="str">
        <f aca="false">Raw_Data!C2966</f>
        <v>married</v>
      </c>
      <c r="E2966" s="3" t="str">
        <f aca="false">Raw_Data!D2966</f>
        <v>primary</v>
      </c>
      <c r="F2966" s="3" t="str">
        <f aca="false">Raw_Data!E2966</f>
        <v>no</v>
      </c>
      <c r="G2966" s="3" t="n">
        <f aca="false">Raw_Data!F2966</f>
        <v>4</v>
      </c>
      <c r="H2966" s="3" t="str">
        <f aca="false">Raw_Data!G2966</f>
        <v>no</v>
      </c>
      <c r="I2966" s="3" t="str">
        <f aca="false">Raw_Data!H2966</f>
        <v>no</v>
      </c>
      <c r="J2966" s="2" t="n">
        <f aca="false">IF(F2966="yes",1,0)</f>
        <v>0</v>
      </c>
      <c r="K2966" s="2" t="n">
        <f aca="false">IF(H2966="yes",1,0)</f>
        <v>0</v>
      </c>
      <c r="L2966" s="2" t="n">
        <f aca="false">IF(I2966="yes",1,0)</f>
        <v>0</v>
      </c>
      <c r="M2966" s="2" t="n">
        <f aca="false">IF(G2966&lt;0,1,0)</f>
        <v>0</v>
      </c>
      <c r="N2966" s="2" t="str">
        <f aca="false">_xlfn.IFS(B2966&lt;30,"Under 30",B2966&lt;40,"30-39",B2966&lt;50,"40-49",B2966&lt;60,"50-59",TRUE(),"60+")</f>
        <v>40-49</v>
      </c>
      <c r="O2966" s="2" t="str">
        <f aca="false">_xlfn.IFS(G2966&lt;0,"1 Negative",G2966=0,"2 Zero",G2966&lt;=500,"3 1-500",G2966&lt;=2000,"4 501-2000",TRUE(),"5 Above 2000")</f>
        <v>3 1-500</v>
      </c>
      <c r="P2966" s="2" t="n">
        <f aca="false">Lookups!$B$2*M2966+Lookups!$B$3*L2966</f>
        <v>0</v>
      </c>
      <c r="Q2966" s="2" t="str">
        <f aca="false">INDEX(Lookups!$E$2:$E$5,MATCH(P2966,Lookups!$D$2:$D$5,0))</f>
        <v>Low</v>
      </c>
    </row>
    <row r="2967" customFormat="false" ht="15" hidden="false" customHeight="false" outlineLevel="0" collapsed="false">
      <c r="A2967" s="3" t="n">
        <v>2966</v>
      </c>
      <c r="B2967" s="3" t="n">
        <f aca="false">Raw_Data!A2967</f>
        <v>35</v>
      </c>
      <c r="C2967" s="3" t="str">
        <f aca="false">SUBSTITUTE(Raw_Data!B2967,".","")</f>
        <v>blue-collar</v>
      </c>
      <c r="D2967" s="3" t="str">
        <f aca="false">Raw_Data!C2967</f>
        <v>married</v>
      </c>
      <c r="E2967" s="3" t="str">
        <f aca="false">Raw_Data!D2967</f>
        <v>primary</v>
      </c>
      <c r="F2967" s="3" t="str">
        <f aca="false">Raw_Data!E2967</f>
        <v>no</v>
      </c>
      <c r="G2967" s="3" t="n">
        <f aca="false">Raw_Data!F2967</f>
        <v>3587</v>
      </c>
      <c r="H2967" s="3" t="str">
        <f aca="false">Raw_Data!G2967</f>
        <v>yes</v>
      </c>
      <c r="I2967" s="3" t="str">
        <f aca="false">Raw_Data!H2967</f>
        <v>no</v>
      </c>
      <c r="J2967" s="2" t="n">
        <f aca="false">IF(F2967="yes",1,0)</f>
        <v>0</v>
      </c>
      <c r="K2967" s="2" t="n">
        <f aca="false">IF(H2967="yes",1,0)</f>
        <v>1</v>
      </c>
      <c r="L2967" s="2" t="n">
        <f aca="false">IF(I2967="yes",1,0)</f>
        <v>0</v>
      </c>
      <c r="M2967" s="2" t="n">
        <f aca="false">IF(G2967&lt;0,1,0)</f>
        <v>0</v>
      </c>
      <c r="N2967" s="2" t="str">
        <f aca="false">_xlfn.IFS(B2967&lt;30,"Under 30",B2967&lt;40,"30-39",B2967&lt;50,"40-49",B2967&lt;60,"50-59",TRUE(),"60+")</f>
        <v>30-39</v>
      </c>
      <c r="O2967" s="2" t="str">
        <f aca="false">_xlfn.IFS(G2967&lt;0,"1 Negative",G2967=0,"2 Zero",G2967&lt;=500,"3 1-500",G2967&lt;=2000,"4 501-2000",TRUE(),"5 Above 2000")</f>
        <v>5 Above 2000</v>
      </c>
      <c r="P2967" s="2" t="n">
        <f aca="false">Lookups!$B$2*M2967+Lookups!$B$3*L2967</f>
        <v>0</v>
      </c>
      <c r="Q2967" s="2" t="str">
        <f aca="false">INDEX(Lookups!$E$2:$E$5,MATCH(P2967,Lookups!$D$2:$D$5,0))</f>
        <v>Low</v>
      </c>
    </row>
    <row r="2968" customFormat="false" ht="15" hidden="false" customHeight="false" outlineLevel="0" collapsed="false">
      <c r="A2968" s="3" t="n">
        <v>2967</v>
      </c>
      <c r="B2968" s="3" t="n">
        <f aca="false">Raw_Data!A2968</f>
        <v>36</v>
      </c>
      <c r="C2968" s="3" t="str">
        <f aca="false">SUBSTITUTE(Raw_Data!B2968,".","")</f>
        <v>management</v>
      </c>
      <c r="D2968" s="3" t="str">
        <f aca="false">Raw_Data!C2968</f>
        <v>married</v>
      </c>
      <c r="E2968" s="3" t="str">
        <f aca="false">Raw_Data!D2968</f>
        <v>tertiary</v>
      </c>
      <c r="F2968" s="3" t="str">
        <f aca="false">Raw_Data!E2968</f>
        <v>no</v>
      </c>
      <c r="G2968" s="3" t="n">
        <f aca="false">Raw_Data!F2968</f>
        <v>254</v>
      </c>
      <c r="H2968" s="3" t="str">
        <f aca="false">Raw_Data!G2968</f>
        <v>no</v>
      </c>
      <c r="I2968" s="3" t="str">
        <f aca="false">Raw_Data!H2968</f>
        <v>no</v>
      </c>
      <c r="J2968" s="2" t="n">
        <f aca="false">IF(F2968="yes",1,0)</f>
        <v>0</v>
      </c>
      <c r="K2968" s="2" t="n">
        <f aca="false">IF(H2968="yes",1,0)</f>
        <v>0</v>
      </c>
      <c r="L2968" s="2" t="n">
        <f aca="false">IF(I2968="yes",1,0)</f>
        <v>0</v>
      </c>
      <c r="M2968" s="2" t="n">
        <f aca="false">IF(G2968&lt;0,1,0)</f>
        <v>0</v>
      </c>
      <c r="N2968" s="2" t="str">
        <f aca="false">_xlfn.IFS(B2968&lt;30,"Under 30",B2968&lt;40,"30-39",B2968&lt;50,"40-49",B2968&lt;60,"50-59",TRUE(),"60+")</f>
        <v>30-39</v>
      </c>
      <c r="O2968" s="2" t="str">
        <f aca="false">_xlfn.IFS(G2968&lt;0,"1 Negative",G2968=0,"2 Zero",G2968&lt;=500,"3 1-500",G2968&lt;=2000,"4 501-2000",TRUE(),"5 Above 2000")</f>
        <v>3 1-500</v>
      </c>
      <c r="P2968" s="2" t="n">
        <f aca="false">Lookups!$B$2*M2968+Lookups!$B$3*L2968</f>
        <v>0</v>
      </c>
      <c r="Q2968" s="2" t="str">
        <f aca="false">INDEX(Lookups!$E$2:$E$5,MATCH(P2968,Lookups!$D$2:$D$5,0))</f>
        <v>Low</v>
      </c>
    </row>
    <row r="2969" customFormat="false" ht="15" hidden="false" customHeight="false" outlineLevel="0" collapsed="false">
      <c r="A2969" s="3" t="n">
        <v>2968</v>
      </c>
      <c r="B2969" s="3" t="n">
        <f aca="false">Raw_Data!A2969</f>
        <v>46</v>
      </c>
      <c r="C2969" s="3" t="str">
        <f aca="false">SUBSTITUTE(Raw_Data!B2969,".","")</f>
        <v>blue-collar</v>
      </c>
      <c r="D2969" s="3" t="str">
        <f aca="false">Raw_Data!C2969</f>
        <v>divorced</v>
      </c>
      <c r="E2969" s="3" t="str">
        <f aca="false">Raw_Data!D2969</f>
        <v>primary</v>
      </c>
      <c r="F2969" s="3" t="str">
        <f aca="false">Raw_Data!E2969</f>
        <v>no</v>
      </c>
      <c r="G2969" s="3" t="n">
        <f aca="false">Raw_Data!F2969</f>
        <v>1712</v>
      </c>
      <c r="H2969" s="3" t="str">
        <f aca="false">Raw_Data!G2969</f>
        <v>no</v>
      </c>
      <c r="I2969" s="3" t="str">
        <f aca="false">Raw_Data!H2969</f>
        <v>no</v>
      </c>
      <c r="J2969" s="2" t="n">
        <f aca="false">IF(F2969="yes",1,0)</f>
        <v>0</v>
      </c>
      <c r="K2969" s="2" t="n">
        <f aca="false">IF(H2969="yes",1,0)</f>
        <v>0</v>
      </c>
      <c r="L2969" s="2" t="n">
        <f aca="false">IF(I2969="yes",1,0)</f>
        <v>0</v>
      </c>
      <c r="M2969" s="2" t="n">
        <f aca="false">IF(G2969&lt;0,1,0)</f>
        <v>0</v>
      </c>
      <c r="N2969" s="2" t="str">
        <f aca="false">_xlfn.IFS(B2969&lt;30,"Under 30",B2969&lt;40,"30-39",B2969&lt;50,"40-49",B2969&lt;60,"50-59",TRUE(),"60+")</f>
        <v>40-49</v>
      </c>
      <c r="O2969" s="2" t="str">
        <f aca="false">_xlfn.IFS(G2969&lt;0,"1 Negative",G2969=0,"2 Zero",G2969&lt;=500,"3 1-500",G2969&lt;=2000,"4 501-2000",TRUE(),"5 Above 2000")</f>
        <v>4 501-2000</v>
      </c>
      <c r="P2969" s="2" t="n">
        <f aca="false">Lookups!$B$2*M2969+Lookups!$B$3*L2969</f>
        <v>0</v>
      </c>
      <c r="Q2969" s="2" t="str">
        <f aca="false">INDEX(Lookups!$E$2:$E$5,MATCH(P2969,Lookups!$D$2:$D$5,0))</f>
        <v>Low</v>
      </c>
    </row>
    <row r="2970" customFormat="false" ht="15" hidden="false" customHeight="false" outlineLevel="0" collapsed="false">
      <c r="A2970" s="3" t="n">
        <v>2969</v>
      </c>
      <c r="B2970" s="3" t="n">
        <f aca="false">Raw_Data!A2970</f>
        <v>46</v>
      </c>
      <c r="C2970" s="3" t="str">
        <f aca="false">SUBSTITUTE(Raw_Data!B2970,".","")</f>
        <v>blue-collar</v>
      </c>
      <c r="D2970" s="3" t="str">
        <f aca="false">Raw_Data!C2970</f>
        <v>married</v>
      </c>
      <c r="E2970" s="3" t="str">
        <f aca="false">Raw_Data!D2970</f>
        <v>secondary</v>
      </c>
      <c r="F2970" s="3" t="str">
        <f aca="false">Raw_Data!E2970</f>
        <v>no</v>
      </c>
      <c r="G2970" s="3" t="n">
        <f aca="false">Raw_Data!F2970</f>
        <v>4855</v>
      </c>
      <c r="H2970" s="3" t="str">
        <f aca="false">Raw_Data!G2970</f>
        <v>yes</v>
      </c>
      <c r="I2970" s="3" t="str">
        <f aca="false">Raw_Data!H2970</f>
        <v>no</v>
      </c>
      <c r="J2970" s="2" t="n">
        <f aca="false">IF(F2970="yes",1,0)</f>
        <v>0</v>
      </c>
      <c r="K2970" s="2" t="n">
        <f aca="false">IF(H2970="yes",1,0)</f>
        <v>1</v>
      </c>
      <c r="L2970" s="2" t="n">
        <f aca="false">IF(I2970="yes",1,0)</f>
        <v>0</v>
      </c>
      <c r="M2970" s="2" t="n">
        <f aca="false">IF(G2970&lt;0,1,0)</f>
        <v>0</v>
      </c>
      <c r="N2970" s="2" t="str">
        <f aca="false">_xlfn.IFS(B2970&lt;30,"Under 30",B2970&lt;40,"30-39",B2970&lt;50,"40-49",B2970&lt;60,"50-59",TRUE(),"60+")</f>
        <v>40-49</v>
      </c>
      <c r="O2970" s="2" t="str">
        <f aca="false">_xlfn.IFS(G2970&lt;0,"1 Negative",G2970=0,"2 Zero",G2970&lt;=500,"3 1-500",G2970&lt;=2000,"4 501-2000",TRUE(),"5 Above 2000")</f>
        <v>5 Above 2000</v>
      </c>
      <c r="P2970" s="2" t="n">
        <f aca="false">Lookups!$B$2*M2970+Lookups!$B$3*L2970</f>
        <v>0</v>
      </c>
      <c r="Q2970" s="2" t="str">
        <f aca="false">INDEX(Lookups!$E$2:$E$5,MATCH(P2970,Lookups!$D$2:$D$5,0))</f>
        <v>Low</v>
      </c>
    </row>
    <row r="2971" customFormat="false" ht="15" hidden="false" customHeight="false" outlineLevel="0" collapsed="false">
      <c r="A2971" s="3" t="n">
        <v>2970</v>
      </c>
      <c r="B2971" s="3" t="n">
        <f aca="false">Raw_Data!A2971</f>
        <v>47</v>
      </c>
      <c r="C2971" s="3" t="str">
        <f aca="false">SUBSTITUTE(Raw_Data!B2971,".","")</f>
        <v>technician</v>
      </c>
      <c r="D2971" s="3" t="str">
        <f aca="false">Raw_Data!C2971</f>
        <v>married</v>
      </c>
      <c r="E2971" s="3" t="str">
        <f aca="false">Raw_Data!D2971</f>
        <v>tertiary</v>
      </c>
      <c r="F2971" s="3" t="str">
        <f aca="false">Raw_Data!E2971</f>
        <v>no</v>
      </c>
      <c r="G2971" s="3" t="n">
        <f aca="false">Raw_Data!F2971</f>
        <v>2408</v>
      </c>
      <c r="H2971" s="3" t="str">
        <f aca="false">Raw_Data!G2971</f>
        <v>no</v>
      </c>
      <c r="I2971" s="3" t="str">
        <f aca="false">Raw_Data!H2971</f>
        <v>no</v>
      </c>
      <c r="J2971" s="2" t="n">
        <f aca="false">IF(F2971="yes",1,0)</f>
        <v>0</v>
      </c>
      <c r="K2971" s="2" t="n">
        <f aca="false">IF(H2971="yes",1,0)</f>
        <v>0</v>
      </c>
      <c r="L2971" s="2" t="n">
        <f aca="false">IF(I2971="yes",1,0)</f>
        <v>0</v>
      </c>
      <c r="M2971" s="2" t="n">
        <f aca="false">IF(G2971&lt;0,1,0)</f>
        <v>0</v>
      </c>
      <c r="N2971" s="2" t="str">
        <f aca="false">_xlfn.IFS(B2971&lt;30,"Under 30",B2971&lt;40,"30-39",B2971&lt;50,"40-49",B2971&lt;60,"50-59",TRUE(),"60+")</f>
        <v>40-49</v>
      </c>
      <c r="O2971" s="2" t="str">
        <f aca="false">_xlfn.IFS(G2971&lt;0,"1 Negative",G2971=0,"2 Zero",G2971&lt;=500,"3 1-500",G2971&lt;=2000,"4 501-2000",TRUE(),"5 Above 2000")</f>
        <v>5 Above 2000</v>
      </c>
      <c r="P2971" s="2" t="n">
        <f aca="false">Lookups!$B$2*M2971+Lookups!$B$3*L2971</f>
        <v>0</v>
      </c>
      <c r="Q2971" s="2" t="str">
        <f aca="false">INDEX(Lookups!$E$2:$E$5,MATCH(P2971,Lookups!$D$2:$D$5,0))</f>
        <v>Low</v>
      </c>
    </row>
    <row r="2972" customFormat="false" ht="15" hidden="false" customHeight="false" outlineLevel="0" collapsed="false">
      <c r="A2972" s="3" t="n">
        <v>2971</v>
      </c>
      <c r="B2972" s="3" t="n">
        <f aca="false">Raw_Data!A2972</f>
        <v>35</v>
      </c>
      <c r="C2972" s="3" t="str">
        <f aca="false">SUBSTITUTE(Raw_Data!B2972,".","")</f>
        <v>management</v>
      </c>
      <c r="D2972" s="3" t="str">
        <f aca="false">Raw_Data!C2972</f>
        <v>single</v>
      </c>
      <c r="E2972" s="3" t="str">
        <f aca="false">Raw_Data!D2972</f>
        <v>tertiary</v>
      </c>
      <c r="F2972" s="3" t="str">
        <f aca="false">Raw_Data!E2972</f>
        <v>no</v>
      </c>
      <c r="G2972" s="3" t="n">
        <f aca="false">Raw_Data!F2972</f>
        <v>252</v>
      </c>
      <c r="H2972" s="3" t="str">
        <f aca="false">Raw_Data!G2972</f>
        <v>yes</v>
      </c>
      <c r="I2972" s="3" t="str">
        <f aca="false">Raw_Data!H2972</f>
        <v>no</v>
      </c>
      <c r="J2972" s="2" t="n">
        <f aca="false">IF(F2972="yes",1,0)</f>
        <v>0</v>
      </c>
      <c r="K2972" s="2" t="n">
        <f aca="false">IF(H2972="yes",1,0)</f>
        <v>1</v>
      </c>
      <c r="L2972" s="2" t="n">
        <f aca="false">IF(I2972="yes",1,0)</f>
        <v>0</v>
      </c>
      <c r="M2972" s="2" t="n">
        <f aca="false">IF(G2972&lt;0,1,0)</f>
        <v>0</v>
      </c>
      <c r="N2972" s="2" t="str">
        <f aca="false">_xlfn.IFS(B2972&lt;30,"Under 30",B2972&lt;40,"30-39",B2972&lt;50,"40-49",B2972&lt;60,"50-59",TRUE(),"60+")</f>
        <v>30-39</v>
      </c>
      <c r="O2972" s="2" t="str">
        <f aca="false">_xlfn.IFS(G2972&lt;0,"1 Negative",G2972=0,"2 Zero",G2972&lt;=500,"3 1-500",G2972&lt;=2000,"4 501-2000",TRUE(),"5 Above 2000")</f>
        <v>3 1-500</v>
      </c>
      <c r="P2972" s="2" t="n">
        <f aca="false">Lookups!$B$2*M2972+Lookups!$B$3*L2972</f>
        <v>0</v>
      </c>
      <c r="Q2972" s="2" t="str">
        <f aca="false">INDEX(Lookups!$E$2:$E$5,MATCH(P2972,Lookups!$D$2:$D$5,0))</f>
        <v>Low</v>
      </c>
    </row>
    <row r="2973" customFormat="false" ht="15" hidden="false" customHeight="false" outlineLevel="0" collapsed="false">
      <c r="A2973" s="3" t="n">
        <v>2972</v>
      </c>
      <c r="B2973" s="3" t="n">
        <f aca="false">Raw_Data!A2973</f>
        <v>37</v>
      </c>
      <c r="C2973" s="3" t="str">
        <f aca="false">SUBSTITUTE(Raw_Data!B2973,".","")</f>
        <v>blue-collar</v>
      </c>
      <c r="D2973" s="3" t="str">
        <f aca="false">Raw_Data!C2973</f>
        <v>married</v>
      </c>
      <c r="E2973" s="3" t="str">
        <f aca="false">Raw_Data!D2973</f>
        <v>secondary</v>
      </c>
      <c r="F2973" s="3" t="str">
        <f aca="false">Raw_Data!E2973</f>
        <v>no</v>
      </c>
      <c r="G2973" s="3" t="n">
        <f aca="false">Raw_Data!F2973</f>
        <v>346</v>
      </c>
      <c r="H2973" s="3" t="str">
        <f aca="false">Raw_Data!G2973</f>
        <v>yes</v>
      </c>
      <c r="I2973" s="3" t="str">
        <f aca="false">Raw_Data!H2973</f>
        <v>no</v>
      </c>
      <c r="J2973" s="2" t="n">
        <f aca="false">IF(F2973="yes",1,0)</f>
        <v>0</v>
      </c>
      <c r="K2973" s="2" t="n">
        <f aca="false">IF(H2973="yes",1,0)</f>
        <v>1</v>
      </c>
      <c r="L2973" s="2" t="n">
        <f aca="false">IF(I2973="yes",1,0)</f>
        <v>0</v>
      </c>
      <c r="M2973" s="2" t="n">
        <f aca="false">IF(G2973&lt;0,1,0)</f>
        <v>0</v>
      </c>
      <c r="N2973" s="2" t="str">
        <f aca="false">_xlfn.IFS(B2973&lt;30,"Under 30",B2973&lt;40,"30-39",B2973&lt;50,"40-49",B2973&lt;60,"50-59",TRUE(),"60+")</f>
        <v>30-39</v>
      </c>
      <c r="O2973" s="2" t="str">
        <f aca="false">_xlfn.IFS(G2973&lt;0,"1 Negative",G2973=0,"2 Zero",G2973&lt;=500,"3 1-500",G2973&lt;=2000,"4 501-2000",TRUE(),"5 Above 2000")</f>
        <v>3 1-500</v>
      </c>
      <c r="P2973" s="2" t="n">
        <f aca="false">Lookups!$B$2*M2973+Lookups!$B$3*L2973</f>
        <v>0</v>
      </c>
      <c r="Q2973" s="2" t="str">
        <f aca="false">INDEX(Lookups!$E$2:$E$5,MATCH(P2973,Lookups!$D$2:$D$5,0))</f>
        <v>Low</v>
      </c>
    </row>
    <row r="2974" customFormat="false" ht="15" hidden="false" customHeight="false" outlineLevel="0" collapsed="false">
      <c r="A2974" s="3" t="n">
        <v>2973</v>
      </c>
      <c r="B2974" s="3" t="n">
        <f aca="false">Raw_Data!A2974</f>
        <v>56</v>
      </c>
      <c r="C2974" s="3" t="str">
        <f aca="false">SUBSTITUTE(Raw_Data!B2974,".","")</f>
        <v>admin</v>
      </c>
      <c r="D2974" s="3" t="str">
        <f aca="false">Raw_Data!C2974</f>
        <v>married</v>
      </c>
      <c r="E2974" s="3" t="str">
        <f aca="false">Raw_Data!D2974</f>
        <v>secondary</v>
      </c>
      <c r="F2974" s="3" t="str">
        <f aca="false">Raw_Data!E2974</f>
        <v>no</v>
      </c>
      <c r="G2974" s="3" t="n">
        <f aca="false">Raw_Data!F2974</f>
        <v>45</v>
      </c>
      <c r="H2974" s="3" t="str">
        <f aca="false">Raw_Data!G2974</f>
        <v>no</v>
      </c>
      <c r="I2974" s="3" t="str">
        <f aca="false">Raw_Data!H2974</f>
        <v>no</v>
      </c>
      <c r="J2974" s="2" t="n">
        <f aca="false">IF(F2974="yes",1,0)</f>
        <v>0</v>
      </c>
      <c r="K2974" s="2" t="n">
        <f aca="false">IF(H2974="yes",1,0)</f>
        <v>0</v>
      </c>
      <c r="L2974" s="2" t="n">
        <f aca="false">IF(I2974="yes",1,0)</f>
        <v>0</v>
      </c>
      <c r="M2974" s="2" t="n">
        <f aca="false">IF(G2974&lt;0,1,0)</f>
        <v>0</v>
      </c>
      <c r="N2974" s="2" t="str">
        <f aca="false">_xlfn.IFS(B2974&lt;30,"Under 30",B2974&lt;40,"30-39",B2974&lt;50,"40-49",B2974&lt;60,"50-59",TRUE(),"60+")</f>
        <v>50-59</v>
      </c>
      <c r="O2974" s="2" t="str">
        <f aca="false">_xlfn.IFS(G2974&lt;0,"1 Negative",G2974=0,"2 Zero",G2974&lt;=500,"3 1-500",G2974&lt;=2000,"4 501-2000",TRUE(),"5 Above 2000")</f>
        <v>3 1-500</v>
      </c>
      <c r="P2974" s="2" t="n">
        <f aca="false">Lookups!$B$2*M2974+Lookups!$B$3*L2974</f>
        <v>0</v>
      </c>
      <c r="Q2974" s="2" t="str">
        <f aca="false">INDEX(Lookups!$E$2:$E$5,MATCH(P2974,Lookups!$D$2:$D$5,0))</f>
        <v>Low</v>
      </c>
    </row>
    <row r="2975" customFormat="false" ht="15" hidden="false" customHeight="false" outlineLevel="0" collapsed="false">
      <c r="A2975" s="3" t="n">
        <v>2974</v>
      </c>
      <c r="B2975" s="3" t="n">
        <f aca="false">Raw_Data!A2975</f>
        <v>46</v>
      </c>
      <c r="C2975" s="3" t="str">
        <f aca="false">SUBSTITUTE(Raw_Data!B2975,".","")</f>
        <v>admin</v>
      </c>
      <c r="D2975" s="3" t="str">
        <f aca="false">Raw_Data!C2975</f>
        <v>married</v>
      </c>
      <c r="E2975" s="3" t="str">
        <f aca="false">Raw_Data!D2975</f>
        <v>secondary</v>
      </c>
      <c r="F2975" s="3" t="str">
        <f aca="false">Raw_Data!E2975</f>
        <v>no</v>
      </c>
      <c r="G2975" s="3" t="n">
        <f aca="false">Raw_Data!F2975</f>
        <v>556</v>
      </c>
      <c r="H2975" s="3" t="str">
        <f aca="false">Raw_Data!G2975</f>
        <v>yes</v>
      </c>
      <c r="I2975" s="3" t="str">
        <f aca="false">Raw_Data!H2975</f>
        <v>yes</v>
      </c>
      <c r="J2975" s="2" t="n">
        <f aca="false">IF(F2975="yes",1,0)</f>
        <v>0</v>
      </c>
      <c r="K2975" s="2" t="n">
        <f aca="false">IF(H2975="yes",1,0)</f>
        <v>1</v>
      </c>
      <c r="L2975" s="2" t="n">
        <f aca="false">IF(I2975="yes",1,0)</f>
        <v>1</v>
      </c>
      <c r="M2975" s="2" t="n">
        <f aca="false">IF(G2975&lt;0,1,0)</f>
        <v>0</v>
      </c>
      <c r="N2975" s="2" t="str">
        <f aca="false">_xlfn.IFS(B2975&lt;30,"Under 30",B2975&lt;40,"30-39",B2975&lt;50,"40-49",B2975&lt;60,"50-59",TRUE(),"60+")</f>
        <v>40-49</v>
      </c>
      <c r="O2975" s="2" t="str">
        <f aca="false">_xlfn.IFS(G2975&lt;0,"1 Negative",G2975=0,"2 Zero",G2975&lt;=500,"3 1-500",G2975&lt;=2000,"4 501-2000",TRUE(),"5 Above 2000")</f>
        <v>4 501-2000</v>
      </c>
      <c r="P2975" s="2" t="n">
        <f aca="false">Lookups!$B$2*M2975+Lookups!$B$3*L2975</f>
        <v>1</v>
      </c>
      <c r="Q2975" s="2" t="str">
        <f aca="false">INDEX(Lookups!$E$2:$E$5,MATCH(P2975,Lookups!$D$2:$D$5,0))</f>
        <v>Medium</v>
      </c>
    </row>
    <row r="2976" customFormat="false" ht="15" hidden="false" customHeight="false" outlineLevel="0" collapsed="false">
      <c r="A2976" s="3" t="n">
        <v>2975</v>
      </c>
      <c r="B2976" s="3" t="n">
        <f aca="false">Raw_Data!A2976</f>
        <v>44</v>
      </c>
      <c r="C2976" s="3" t="str">
        <f aca="false">SUBSTITUTE(Raw_Data!B2976,".","")</f>
        <v>management</v>
      </c>
      <c r="D2976" s="3" t="str">
        <f aca="false">Raw_Data!C2976</f>
        <v>divorced</v>
      </c>
      <c r="E2976" s="3" t="str">
        <f aca="false">Raw_Data!D2976</f>
        <v>tertiary</v>
      </c>
      <c r="F2976" s="3" t="str">
        <f aca="false">Raw_Data!E2976</f>
        <v>no</v>
      </c>
      <c r="G2976" s="3" t="n">
        <f aca="false">Raw_Data!F2976</f>
        <v>-710</v>
      </c>
      <c r="H2976" s="3" t="str">
        <f aca="false">Raw_Data!G2976</f>
        <v>yes</v>
      </c>
      <c r="I2976" s="3" t="str">
        <f aca="false">Raw_Data!H2976</f>
        <v>no</v>
      </c>
      <c r="J2976" s="2" t="n">
        <f aca="false">IF(F2976="yes",1,0)</f>
        <v>0</v>
      </c>
      <c r="K2976" s="2" t="n">
        <f aca="false">IF(H2976="yes",1,0)</f>
        <v>1</v>
      </c>
      <c r="L2976" s="2" t="n">
        <f aca="false">IF(I2976="yes",1,0)</f>
        <v>0</v>
      </c>
      <c r="M2976" s="2" t="n">
        <f aca="false">IF(G2976&lt;0,1,0)</f>
        <v>1</v>
      </c>
      <c r="N2976" s="2" t="str">
        <f aca="false">_xlfn.IFS(B2976&lt;30,"Under 30",B2976&lt;40,"30-39",B2976&lt;50,"40-49",B2976&lt;60,"50-59",TRUE(),"60+")</f>
        <v>40-49</v>
      </c>
      <c r="O2976" s="2" t="str">
        <f aca="false">_xlfn.IFS(G2976&lt;0,"1 Negative",G2976=0,"2 Zero",G2976&lt;=500,"3 1-500",G2976&lt;=2000,"4 501-2000",TRUE(),"5 Above 2000")</f>
        <v>1 Negative</v>
      </c>
      <c r="P2976" s="2" t="n">
        <f aca="false">Lookups!$B$2*M2976+Lookups!$B$3*L2976</f>
        <v>2</v>
      </c>
      <c r="Q2976" s="2" t="str">
        <f aca="false">INDEX(Lookups!$E$2:$E$5,MATCH(P2976,Lookups!$D$2:$D$5,0))</f>
        <v>High</v>
      </c>
    </row>
    <row r="2977" customFormat="false" ht="15" hidden="false" customHeight="false" outlineLevel="0" collapsed="false">
      <c r="A2977" s="3" t="n">
        <v>2976</v>
      </c>
      <c r="B2977" s="3" t="n">
        <f aca="false">Raw_Data!A2977</f>
        <v>48</v>
      </c>
      <c r="C2977" s="3" t="str">
        <f aca="false">SUBSTITUTE(Raw_Data!B2977,".","")</f>
        <v>technician</v>
      </c>
      <c r="D2977" s="3" t="str">
        <f aca="false">Raw_Data!C2977</f>
        <v>single</v>
      </c>
      <c r="E2977" s="3" t="str">
        <f aca="false">Raw_Data!D2977</f>
        <v>tertiary</v>
      </c>
      <c r="F2977" s="3" t="str">
        <f aca="false">Raw_Data!E2977</f>
        <v>no</v>
      </c>
      <c r="G2977" s="3" t="n">
        <f aca="false">Raw_Data!F2977</f>
        <v>-551</v>
      </c>
      <c r="H2977" s="3" t="str">
        <f aca="false">Raw_Data!G2977</f>
        <v>yes</v>
      </c>
      <c r="I2977" s="3" t="str">
        <f aca="false">Raw_Data!H2977</f>
        <v>no</v>
      </c>
      <c r="J2977" s="2" t="n">
        <f aca="false">IF(F2977="yes",1,0)</f>
        <v>0</v>
      </c>
      <c r="K2977" s="2" t="n">
        <f aca="false">IF(H2977="yes",1,0)</f>
        <v>1</v>
      </c>
      <c r="L2977" s="2" t="n">
        <f aca="false">IF(I2977="yes",1,0)</f>
        <v>0</v>
      </c>
      <c r="M2977" s="2" t="n">
        <f aca="false">IF(G2977&lt;0,1,0)</f>
        <v>1</v>
      </c>
      <c r="N2977" s="2" t="str">
        <f aca="false">_xlfn.IFS(B2977&lt;30,"Under 30",B2977&lt;40,"30-39",B2977&lt;50,"40-49",B2977&lt;60,"50-59",TRUE(),"60+")</f>
        <v>40-49</v>
      </c>
      <c r="O2977" s="2" t="str">
        <f aca="false">_xlfn.IFS(G2977&lt;0,"1 Negative",G2977=0,"2 Zero",G2977&lt;=500,"3 1-500",G2977&lt;=2000,"4 501-2000",TRUE(),"5 Above 2000")</f>
        <v>1 Negative</v>
      </c>
      <c r="P2977" s="2" t="n">
        <f aca="false">Lookups!$B$2*M2977+Lookups!$B$3*L2977</f>
        <v>2</v>
      </c>
      <c r="Q2977" s="2" t="str">
        <f aca="false">INDEX(Lookups!$E$2:$E$5,MATCH(P2977,Lookups!$D$2:$D$5,0))</f>
        <v>High</v>
      </c>
    </row>
    <row r="2978" customFormat="false" ht="15" hidden="false" customHeight="false" outlineLevel="0" collapsed="false">
      <c r="A2978" s="3" t="n">
        <v>2977</v>
      </c>
      <c r="B2978" s="3" t="n">
        <f aca="false">Raw_Data!A2978</f>
        <v>28</v>
      </c>
      <c r="C2978" s="3" t="str">
        <f aca="false">SUBSTITUTE(Raw_Data!B2978,".","")</f>
        <v>blue-collar</v>
      </c>
      <c r="D2978" s="3" t="str">
        <f aca="false">Raw_Data!C2978</f>
        <v>single</v>
      </c>
      <c r="E2978" s="3" t="str">
        <f aca="false">Raw_Data!D2978</f>
        <v>secondary</v>
      </c>
      <c r="F2978" s="3" t="str">
        <f aca="false">Raw_Data!E2978</f>
        <v>no</v>
      </c>
      <c r="G2978" s="3" t="n">
        <f aca="false">Raw_Data!F2978</f>
        <v>56</v>
      </c>
      <c r="H2978" s="3" t="str">
        <f aca="false">Raw_Data!G2978</f>
        <v>yes</v>
      </c>
      <c r="I2978" s="3" t="str">
        <f aca="false">Raw_Data!H2978</f>
        <v>no</v>
      </c>
      <c r="J2978" s="2" t="n">
        <f aca="false">IF(F2978="yes",1,0)</f>
        <v>0</v>
      </c>
      <c r="K2978" s="2" t="n">
        <f aca="false">IF(H2978="yes",1,0)</f>
        <v>1</v>
      </c>
      <c r="L2978" s="2" t="n">
        <f aca="false">IF(I2978="yes",1,0)</f>
        <v>0</v>
      </c>
      <c r="M2978" s="2" t="n">
        <f aca="false">IF(G2978&lt;0,1,0)</f>
        <v>0</v>
      </c>
      <c r="N2978" s="2" t="str">
        <f aca="false">_xlfn.IFS(B2978&lt;30,"Under 30",B2978&lt;40,"30-39",B2978&lt;50,"40-49",B2978&lt;60,"50-59",TRUE(),"60+")</f>
        <v>Under 30</v>
      </c>
      <c r="O2978" s="2" t="str">
        <f aca="false">_xlfn.IFS(G2978&lt;0,"1 Negative",G2978=0,"2 Zero",G2978&lt;=500,"3 1-500",G2978&lt;=2000,"4 501-2000",TRUE(),"5 Above 2000")</f>
        <v>3 1-500</v>
      </c>
      <c r="P2978" s="2" t="n">
        <f aca="false">Lookups!$B$2*M2978+Lookups!$B$3*L2978</f>
        <v>0</v>
      </c>
      <c r="Q2978" s="2" t="str">
        <f aca="false">INDEX(Lookups!$E$2:$E$5,MATCH(P2978,Lookups!$D$2:$D$5,0))</f>
        <v>Low</v>
      </c>
    </row>
    <row r="2979" customFormat="false" ht="15" hidden="false" customHeight="false" outlineLevel="0" collapsed="false">
      <c r="A2979" s="3" t="n">
        <v>2978</v>
      </c>
      <c r="B2979" s="3" t="n">
        <f aca="false">Raw_Data!A2979</f>
        <v>38</v>
      </c>
      <c r="C2979" s="3" t="str">
        <f aca="false">SUBSTITUTE(Raw_Data!B2979,".","")</f>
        <v>entrepreneur</v>
      </c>
      <c r="D2979" s="3" t="str">
        <f aca="false">Raw_Data!C2979</f>
        <v>married</v>
      </c>
      <c r="E2979" s="3" t="str">
        <f aca="false">Raw_Data!D2979</f>
        <v>tertiary</v>
      </c>
      <c r="F2979" s="3" t="str">
        <f aca="false">Raw_Data!E2979</f>
        <v>no</v>
      </c>
      <c r="G2979" s="3" t="n">
        <f aca="false">Raw_Data!F2979</f>
        <v>1514</v>
      </c>
      <c r="H2979" s="3" t="str">
        <f aca="false">Raw_Data!G2979</f>
        <v>no</v>
      </c>
      <c r="I2979" s="3" t="str">
        <f aca="false">Raw_Data!H2979</f>
        <v>yes</v>
      </c>
      <c r="J2979" s="2" t="n">
        <f aca="false">IF(F2979="yes",1,0)</f>
        <v>0</v>
      </c>
      <c r="K2979" s="2" t="n">
        <f aca="false">IF(H2979="yes",1,0)</f>
        <v>0</v>
      </c>
      <c r="L2979" s="2" t="n">
        <f aca="false">IF(I2979="yes",1,0)</f>
        <v>1</v>
      </c>
      <c r="M2979" s="2" t="n">
        <f aca="false">IF(G2979&lt;0,1,0)</f>
        <v>0</v>
      </c>
      <c r="N2979" s="2" t="str">
        <f aca="false">_xlfn.IFS(B2979&lt;30,"Under 30",B2979&lt;40,"30-39",B2979&lt;50,"40-49",B2979&lt;60,"50-59",TRUE(),"60+")</f>
        <v>30-39</v>
      </c>
      <c r="O2979" s="2" t="str">
        <f aca="false">_xlfn.IFS(G2979&lt;0,"1 Negative",G2979=0,"2 Zero",G2979&lt;=500,"3 1-500",G2979&lt;=2000,"4 501-2000",TRUE(),"5 Above 2000")</f>
        <v>4 501-2000</v>
      </c>
      <c r="P2979" s="2" t="n">
        <f aca="false">Lookups!$B$2*M2979+Lookups!$B$3*L2979</f>
        <v>1</v>
      </c>
      <c r="Q2979" s="2" t="str">
        <f aca="false">INDEX(Lookups!$E$2:$E$5,MATCH(P2979,Lookups!$D$2:$D$5,0))</f>
        <v>Medium</v>
      </c>
    </row>
    <row r="2980" customFormat="false" ht="15" hidden="false" customHeight="false" outlineLevel="0" collapsed="false">
      <c r="A2980" s="3" t="n">
        <v>2979</v>
      </c>
      <c r="B2980" s="3" t="n">
        <f aca="false">Raw_Data!A2980</f>
        <v>34</v>
      </c>
      <c r="C2980" s="3" t="str">
        <f aca="false">SUBSTITUTE(Raw_Data!B2980,".","")</f>
        <v>management</v>
      </c>
      <c r="D2980" s="3" t="str">
        <f aca="false">Raw_Data!C2980</f>
        <v>single</v>
      </c>
      <c r="E2980" s="3" t="str">
        <f aca="false">Raw_Data!D2980</f>
        <v>tertiary</v>
      </c>
      <c r="F2980" s="3" t="str">
        <f aca="false">Raw_Data!E2980</f>
        <v>no</v>
      </c>
      <c r="G2980" s="3" t="n">
        <f aca="false">Raw_Data!F2980</f>
        <v>178</v>
      </c>
      <c r="H2980" s="3" t="str">
        <f aca="false">Raw_Data!G2980</f>
        <v>yes</v>
      </c>
      <c r="I2980" s="3" t="str">
        <f aca="false">Raw_Data!H2980</f>
        <v>no</v>
      </c>
      <c r="J2980" s="2" t="n">
        <f aca="false">IF(F2980="yes",1,0)</f>
        <v>0</v>
      </c>
      <c r="K2980" s="2" t="n">
        <f aca="false">IF(H2980="yes",1,0)</f>
        <v>1</v>
      </c>
      <c r="L2980" s="2" t="n">
        <f aca="false">IF(I2980="yes",1,0)</f>
        <v>0</v>
      </c>
      <c r="M2980" s="2" t="n">
        <f aca="false">IF(G2980&lt;0,1,0)</f>
        <v>0</v>
      </c>
      <c r="N2980" s="2" t="str">
        <f aca="false">_xlfn.IFS(B2980&lt;30,"Under 30",B2980&lt;40,"30-39",B2980&lt;50,"40-49",B2980&lt;60,"50-59",TRUE(),"60+")</f>
        <v>30-39</v>
      </c>
      <c r="O2980" s="2" t="str">
        <f aca="false">_xlfn.IFS(G2980&lt;0,"1 Negative",G2980=0,"2 Zero",G2980&lt;=500,"3 1-500",G2980&lt;=2000,"4 501-2000",TRUE(),"5 Above 2000")</f>
        <v>3 1-500</v>
      </c>
      <c r="P2980" s="2" t="n">
        <f aca="false">Lookups!$B$2*M2980+Lookups!$B$3*L2980</f>
        <v>0</v>
      </c>
      <c r="Q2980" s="2" t="str">
        <f aca="false">INDEX(Lookups!$E$2:$E$5,MATCH(P2980,Lookups!$D$2:$D$5,0))</f>
        <v>Low</v>
      </c>
    </row>
    <row r="2981" customFormat="false" ht="15" hidden="false" customHeight="false" outlineLevel="0" collapsed="false">
      <c r="A2981" s="3" t="n">
        <v>2980</v>
      </c>
      <c r="B2981" s="3" t="n">
        <f aca="false">Raw_Data!A2981</f>
        <v>56</v>
      </c>
      <c r="C2981" s="3" t="str">
        <f aca="false">SUBSTITUTE(Raw_Data!B2981,".","")</f>
        <v>technician</v>
      </c>
      <c r="D2981" s="3" t="str">
        <f aca="false">Raw_Data!C2981</f>
        <v>married</v>
      </c>
      <c r="E2981" s="3" t="str">
        <f aca="false">Raw_Data!D2981</f>
        <v>secondary</v>
      </c>
      <c r="F2981" s="3" t="str">
        <f aca="false">Raw_Data!E2981</f>
        <v>no</v>
      </c>
      <c r="G2981" s="3" t="n">
        <f aca="false">Raw_Data!F2981</f>
        <v>359</v>
      </c>
      <c r="H2981" s="3" t="str">
        <f aca="false">Raw_Data!G2981</f>
        <v>yes</v>
      </c>
      <c r="I2981" s="3" t="str">
        <f aca="false">Raw_Data!H2981</f>
        <v>no</v>
      </c>
      <c r="J2981" s="2" t="n">
        <f aca="false">IF(F2981="yes",1,0)</f>
        <v>0</v>
      </c>
      <c r="K2981" s="2" t="n">
        <f aca="false">IF(H2981="yes",1,0)</f>
        <v>1</v>
      </c>
      <c r="L2981" s="2" t="n">
        <f aca="false">IF(I2981="yes",1,0)</f>
        <v>0</v>
      </c>
      <c r="M2981" s="2" t="n">
        <f aca="false">IF(G2981&lt;0,1,0)</f>
        <v>0</v>
      </c>
      <c r="N2981" s="2" t="str">
        <f aca="false">_xlfn.IFS(B2981&lt;30,"Under 30",B2981&lt;40,"30-39",B2981&lt;50,"40-49",B2981&lt;60,"50-59",TRUE(),"60+")</f>
        <v>50-59</v>
      </c>
      <c r="O2981" s="2" t="str">
        <f aca="false">_xlfn.IFS(G2981&lt;0,"1 Negative",G2981=0,"2 Zero",G2981&lt;=500,"3 1-500",G2981&lt;=2000,"4 501-2000",TRUE(),"5 Above 2000")</f>
        <v>3 1-500</v>
      </c>
      <c r="P2981" s="2" t="n">
        <f aca="false">Lookups!$B$2*M2981+Lookups!$B$3*L2981</f>
        <v>0</v>
      </c>
      <c r="Q2981" s="2" t="str">
        <f aca="false">INDEX(Lookups!$E$2:$E$5,MATCH(P2981,Lookups!$D$2:$D$5,0))</f>
        <v>Low</v>
      </c>
    </row>
    <row r="2982" customFormat="false" ht="15" hidden="false" customHeight="false" outlineLevel="0" collapsed="false">
      <c r="A2982" s="3" t="n">
        <v>2981</v>
      </c>
      <c r="B2982" s="3" t="n">
        <f aca="false">Raw_Data!A2982</f>
        <v>55</v>
      </c>
      <c r="C2982" s="3" t="str">
        <f aca="false">SUBSTITUTE(Raw_Data!B2982,".","")</f>
        <v>retired</v>
      </c>
      <c r="D2982" s="3" t="str">
        <f aca="false">Raw_Data!C2982</f>
        <v>divorced</v>
      </c>
      <c r="E2982" s="3" t="str">
        <f aca="false">Raw_Data!D2982</f>
        <v>secondary</v>
      </c>
      <c r="F2982" s="3" t="str">
        <f aca="false">Raw_Data!E2982</f>
        <v>no</v>
      </c>
      <c r="G2982" s="3" t="n">
        <f aca="false">Raw_Data!F2982</f>
        <v>1580</v>
      </c>
      <c r="H2982" s="3" t="str">
        <f aca="false">Raw_Data!G2982</f>
        <v>no</v>
      </c>
      <c r="I2982" s="3" t="str">
        <f aca="false">Raw_Data!H2982</f>
        <v>yes</v>
      </c>
      <c r="J2982" s="2" t="n">
        <f aca="false">IF(F2982="yes",1,0)</f>
        <v>0</v>
      </c>
      <c r="K2982" s="2" t="n">
        <f aca="false">IF(H2982="yes",1,0)</f>
        <v>0</v>
      </c>
      <c r="L2982" s="2" t="n">
        <f aca="false">IF(I2982="yes",1,0)</f>
        <v>1</v>
      </c>
      <c r="M2982" s="2" t="n">
        <f aca="false">IF(G2982&lt;0,1,0)</f>
        <v>0</v>
      </c>
      <c r="N2982" s="2" t="str">
        <f aca="false">_xlfn.IFS(B2982&lt;30,"Under 30",B2982&lt;40,"30-39",B2982&lt;50,"40-49",B2982&lt;60,"50-59",TRUE(),"60+")</f>
        <v>50-59</v>
      </c>
      <c r="O2982" s="2" t="str">
        <f aca="false">_xlfn.IFS(G2982&lt;0,"1 Negative",G2982=0,"2 Zero",G2982&lt;=500,"3 1-500",G2982&lt;=2000,"4 501-2000",TRUE(),"5 Above 2000")</f>
        <v>4 501-2000</v>
      </c>
      <c r="P2982" s="2" t="n">
        <f aca="false">Lookups!$B$2*M2982+Lookups!$B$3*L2982</f>
        <v>1</v>
      </c>
      <c r="Q2982" s="2" t="str">
        <f aca="false">INDEX(Lookups!$E$2:$E$5,MATCH(P2982,Lookups!$D$2:$D$5,0))</f>
        <v>Medium</v>
      </c>
    </row>
    <row r="2983" customFormat="false" ht="15" hidden="false" customHeight="false" outlineLevel="0" collapsed="false">
      <c r="A2983" s="3" t="n">
        <v>2982</v>
      </c>
      <c r="B2983" s="3" t="n">
        <f aca="false">Raw_Data!A2983</f>
        <v>44</v>
      </c>
      <c r="C2983" s="3" t="str">
        <f aca="false">SUBSTITUTE(Raw_Data!B2983,".","")</f>
        <v>blue-collar</v>
      </c>
      <c r="D2983" s="3" t="str">
        <f aca="false">Raw_Data!C2983</f>
        <v>divorced</v>
      </c>
      <c r="E2983" s="3" t="str">
        <f aca="false">Raw_Data!D2983</f>
        <v>secondary</v>
      </c>
      <c r="F2983" s="3" t="str">
        <f aca="false">Raw_Data!E2983</f>
        <v>no</v>
      </c>
      <c r="G2983" s="3" t="n">
        <f aca="false">Raw_Data!F2983</f>
        <v>221</v>
      </c>
      <c r="H2983" s="3" t="str">
        <f aca="false">Raw_Data!G2983</f>
        <v>no</v>
      </c>
      <c r="I2983" s="3" t="str">
        <f aca="false">Raw_Data!H2983</f>
        <v>no</v>
      </c>
      <c r="J2983" s="2" t="n">
        <f aca="false">IF(F2983="yes",1,0)</f>
        <v>0</v>
      </c>
      <c r="K2983" s="2" t="n">
        <f aca="false">IF(H2983="yes",1,0)</f>
        <v>0</v>
      </c>
      <c r="L2983" s="2" t="n">
        <f aca="false">IF(I2983="yes",1,0)</f>
        <v>0</v>
      </c>
      <c r="M2983" s="2" t="n">
        <f aca="false">IF(G2983&lt;0,1,0)</f>
        <v>0</v>
      </c>
      <c r="N2983" s="2" t="str">
        <f aca="false">_xlfn.IFS(B2983&lt;30,"Under 30",B2983&lt;40,"30-39",B2983&lt;50,"40-49",B2983&lt;60,"50-59",TRUE(),"60+")</f>
        <v>40-49</v>
      </c>
      <c r="O2983" s="2" t="str">
        <f aca="false">_xlfn.IFS(G2983&lt;0,"1 Negative",G2983=0,"2 Zero",G2983&lt;=500,"3 1-500",G2983&lt;=2000,"4 501-2000",TRUE(),"5 Above 2000")</f>
        <v>3 1-500</v>
      </c>
      <c r="P2983" s="2" t="n">
        <f aca="false">Lookups!$B$2*M2983+Lookups!$B$3*L2983</f>
        <v>0</v>
      </c>
      <c r="Q2983" s="2" t="str">
        <f aca="false">INDEX(Lookups!$E$2:$E$5,MATCH(P2983,Lookups!$D$2:$D$5,0))</f>
        <v>Low</v>
      </c>
    </row>
    <row r="2984" customFormat="false" ht="15" hidden="false" customHeight="false" outlineLevel="0" collapsed="false">
      <c r="A2984" s="3" t="n">
        <v>2983</v>
      </c>
      <c r="B2984" s="3" t="n">
        <f aca="false">Raw_Data!A2984</f>
        <v>38</v>
      </c>
      <c r="C2984" s="3" t="str">
        <f aca="false">SUBSTITUTE(Raw_Data!B2984,".","")</f>
        <v>technician</v>
      </c>
      <c r="D2984" s="3" t="str">
        <f aca="false">Raw_Data!C2984</f>
        <v>married</v>
      </c>
      <c r="E2984" s="3" t="str">
        <f aca="false">Raw_Data!D2984</f>
        <v>tertiary</v>
      </c>
      <c r="F2984" s="3" t="str">
        <f aca="false">Raw_Data!E2984</f>
        <v>no</v>
      </c>
      <c r="G2984" s="3" t="n">
        <f aca="false">Raw_Data!F2984</f>
        <v>1161</v>
      </c>
      <c r="H2984" s="3" t="str">
        <f aca="false">Raw_Data!G2984</f>
        <v>yes</v>
      </c>
      <c r="I2984" s="3" t="str">
        <f aca="false">Raw_Data!H2984</f>
        <v>no</v>
      </c>
      <c r="J2984" s="2" t="n">
        <f aca="false">IF(F2984="yes",1,0)</f>
        <v>0</v>
      </c>
      <c r="K2984" s="2" t="n">
        <f aca="false">IF(H2984="yes",1,0)</f>
        <v>1</v>
      </c>
      <c r="L2984" s="2" t="n">
        <f aca="false">IF(I2984="yes",1,0)</f>
        <v>0</v>
      </c>
      <c r="M2984" s="2" t="n">
        <f aca="false">IF(G2984&lt;0,1,0)</f>
        <v>0</v>
      </c>
      <c r="N2984" s="2" t="str">
        <f aca="false">_xlfn.IFS(B2984&lt;30,"Under 30",B2984&lt;40,"30-39",B2984&lt;50,"40-49",B2984&lt;60,"50-59",TRUE(),"60+")</f>
        <v>30-39</v>
      </c>
      <c r="O2984" s="2" t="str">
        <f aca="false">_xlfn.IFS(G2984&lt;0,"1 Negative",G2984=0,"2 Zero",G2984&lt;=500,"3 1-500",G2984&lt;=2000,"4 501-2000",TRUE(),"5 Above 2000")</f>
        <v>4 501-2000</v>
      </c>
      <c r="P2984" s="2" t="n">
        <f aca="false">Lookups!$B$2*M2984+Lookups!$B$3*L2984</f>
        <v>0</v>
      </c>
      <c r="Q2984" s="2" t="str">
        <f aca="false">INDEX(Lookups!$E$2:$E$5,MATCH(P2984,Lookups!$D$2:$D$5,0))</f>
        <v>Low</v>
      </c>
    </row>
    <row r="2985" customFormat="false" ht="15" hidden="false" customHeight="false" outlineLevel="0" collapsed="false">
      <c r="A2985" s="3" t="n">
        <v>2984</v>
      </c>
      <c r="B2985" s="3" t="n">
        <f aca="false">Raw_Data!A2985</f>
        <v>53</v>
      </c>
      <c r="C2985" s="3" t="str">
        <f aca="false">SUBSTITUTE(Raw_Data!B2985,".","")</f>
        <v>retired</v>
      </c>
      <c r="D2985" s="3" t="str">
        <f aca="false">Raw_Data!C2985</f>
        <v>married</v>
      </c>
      <c r="E2985" s="3" t="str">
        <f aca="false">Raw_Data!D2985</f>
        <v>secondary</v>
      </c>
      <c r="F2985" s="3" t="str">
        <f aca="false">Raw_Data!E2985</f>
        <v>no</v>
      </c>
      <c r="G2985" s="3" t="n">
        <f aca="false">Raw_Data!F2985</f>
        <v>1278</v>
      </c>
      <c r="H2985" s="3" t="str">
        <f aca="false">Raw_Data!G2985</f>
        <v>yes</v>
      </c>
      <c r="I2985" s="3" t="str">
        <f aca="false">Raw_Data!H2985</f>
        <v>no</v>
      </c>
      <c r="J2985" s="2" t="n">
        <f aca="false">IF(F2985="yes",1,0)</f>
        <v>0</v>
      </c>
      <c r="K2985" s="2" t="n">
        <f aca="false">IF(H2985="yes",1,0)</f>
        <v>1</v>
      </c>
      <c r="L2985" s="2" t="n">
        <f aca="false">IF(I2985="yes",1,0)</f>
        <v>0</v>
      </c>
      <c r="M2985" s="2" t="n">
        <f aca="false">IF(G2985&lt;0,1,0)</f>
        <v>0</v>
      </c>
      <c r="N2985" s="2" t="str">
        <f aca="false">_xlfn.IFS(B2985&lt;30,"Under 30",B2985&lt;40,"30-39",B2985&lt;50,"40-49",B2985&lt;60,"50-59",TRUE(),"60+")</f>
        <v>50-59</v>
      </c>
      <c r="O2985" s="2" t="str">
        <f aca="false">_xlfn.IFS(G2985&lt;0,"1 Negative",G2985=0,"2 Zero",G2985&lt;=500,"3 1-500",G2985&lt;=2000,"4 501-2000",TRUE(),"5 Above 2000")</f>
        <v>4 501-2000</v>
      </c>
      <c r="P2985" s="2" t="n">
        <f aca="false">Lookups!$B$2*M2985+Lookups!$B$3*L2985</f>
        <v>0</v>
      </c>
      <c r="Q2985" s="2" t="str">
        <f aca="false">INDEX(Lookups!$E$2:$E$5,MATCH(P2985,Lookups!$D$2:$D$5,0))</f>
        <v>Low</v>
      </c>
    </row>
    <row r="2986" customFormat="false" ht="15" hidden="false" customHeight="false" outlineLevel="0" collapsed="false">
      <c r="A2986" s="3" t="n">
        <v>2985</v>
      </c>
      <c r="B2986" s="3" t="n">
        <f aca="false">Raw_Data!A2986</f>
        <v>41</v>
      </c>
      <c r="C2986" s="3" t="str">
        <f aca="false">SUBSTITUTE(Raw_Data!B2986,".","")</f>
        <v>admin</v>
      </c>
      <c r="D2986" s="3" t="str">
        <f aca="false">Raw_Data!C2986</f>
        <v>single</v>
      </c>
      <c r="E2986" s="3" t="str">
        <f aca="false">Raw_Data!D2986</f>
        <v>tertiary</v>
      </c>
      <c r="F2986" s="3" t="str">
        <f aca="false">Raw_Data!E2986</f>
        <v>no</v>
      </c>
      <c r="G2986" s="3" t="n">
        <f aca="false">Raw_Data!F2986</f>
        <v>982</v>
      </c>
      <c r="H2986" s="3" t="str">
        <f aca="false">Raw_Data!G2986</f>
        <v>no</v>
      </c>
      <c r="I2986" s="3" t="str">
        <f aca="false">Raw_Data!H2986</f>
        <v>no</v>
      </c>
      <c r="J2986" s="2" t="n">
        <f aca="false">IF(F2986="yes",1,0)</f>
        <v>0</v>
      </c>
      <c r="K2986" s="2" t="n">
        <f aca="false">IF(H2986="yes",1,0)</f>
        <v>0</v>
      </c>
      <c r="L2986" s="2" t="n">
        <f aca="false">IF(I2986="yes",1,0)</f>
        <v>0</v>
      </c>
      <c r="M2986" s="2" t="n">
        <f aca="false">IF(G2986&lt;0,1,0)</f>
        <v>0</v>
      </c>
      <c r="N2986" s="2" t="str">
        <f aca="false">_xlfn.IFS(B2986&lt;30,"Under 30",B2986&lt;40,"30-39",B2986&lt;50,"40-49",B2986&lt;60,"50-59",TRUE(),"60+")</f>
        <v>40-49</v>
      </c>
      <c r="O2986" s="2" t="str">
        <f aca="false">_xlfn.IFS(G2986&lt;0,"1 Negative",G2986=0,"2 Zero",G2986&lt;=500,"3 1-500",G2986&lt;=2000,"4 501-2000",TRUE(),"5 Above 2000")</f>
        <v>4 501-2000</v>
      </c>
      <c r="P2986" s="2" t="n">
        <f aca="false">Lookups!$B$2*M2986+Lookups!$B$3*L2986</f>
        <v>0</v>
      </c>
      <c r="Q2986" s="2" t="str">
        <f aca="false">INDEX(Lookups!$E$2:$E$5,MATCH(P2986,Lookups!$D$2:$D$5,0))</f>
        <v>Low</v>
      </c>
    </row>
    <row r="2987" customFormat="false" ht="15" hidden="false" customHeight="false" outlineLevel="0" collapsed="false">
      <c r="A2987" s="3" t="n">
        <v>2986</v>
      </c>
      <c r="B2987" s="3" t="n">
        <f aca="false">Raw_Data!A2987</f>
        <v>34</v>
      </c>
      <c r="C2987" s="3" t="str">
        <f aca="false">SUBSTITUTE(Raw_Data!B2987,".","")</f>
        <v>technician</v>
      </c>
      <c r="D2987" s="3" t="str">
        <f aca="false">Raw_Data!C2987</f>
        <v>single</v>
      </c>
      <c r="E2987" s="3" t="str">
        <f aca="false">Raw_Data!D2987</f>
        <v>secondary</v>
      </c>
      <c r="F2987" s="3" t="str">
        <f aca="false">Raw_Data!E2987</f>
        <v>no</v>
      </c>
      <c r="G2987" s="3" t="n">
        <f aca="false">Raw_Data!F2987</f>
        <v>16</v>
      </c>
      <c r="H2987" s="3" t="str">
        <f aca="false">Raw_Data!G2987</f>
        <v>no</v>
      </c>
      <c r="I2987" s="3" t="str">
        <f aca="false">Raw_Data!H2987</f>
        <v>no</v>
      </c>
      <c r="J2987" s="2" t="n">
        <f aca="false">IF(F2987="yes",1,0)</f>
        <v>0</v>
      </c>
      <c r="K2987" s="2" t="n">
        <f aca="false">IF(H2987="yes",1,0)</f>
        <v>0</v>
      </c>
      <c r="L2987" s="2" t="n">
        <f aca="false">IF(I2987="yes",1,0)</f>
        <v>0</v>
      </c>
      <c r="M2987" s="2" t="n">
        <f aca="false">IF(G2987&lt;0,1,0)</f>
        <v>0</v>
      </c>
      <c r="N2987" s="2" t="str">
        <f aca="false">_xlfn.IFS(B2987&lt;30,"Under 30",B2987&lt;40,"30-39",B2987&lt;50,"40-49",B2987&lt;60,"50-59",TRUE(),"60+")</f>
        <v>30-39</v>
      </c>
      <c r="O2987" s="2" t="str">
        <f aca="false">_xlfn.IFS(G2987&lt;0,"1 Negative",G2987=0,"2 Zero",G2987&lt;=500,"3 1-500",G2987&lt;=2000,"4 501-2000",TRUE(),"5 Above 2000")</f>
        <v>3 1-500</v>
      </c>
      <c r="P2987" s="2" t="n">
        <f aca="false">Lookups!$B$2*M2987+Lookups!$B$3*L2987</f>
        <v>0</v>
      </c>
      <c r="Q2987" s="2" t="str">
        <f aca="false">INDEX(Lookups!$E$2:$E$5,MATCH(P2987,Lookups!$D$2:$D$5,0))</f>
        <v>Low</v>
      </c>
    </row>
    <row r="2988" customFormat="false" ht="15" hidden="false" customHeight="false" outlineLevel="0" collapsed="false">
      <c r="A2988" s="3" t="n">
        <v>2987</v>
      </c>
      <c r="B2988" s="3" t="n">
        <f aca="false">Raw_Data!A2988</f>
        <v>34</v>
      </c>
      <c r="C2988" s="3" t="str">
        <f aca="false">SUBSTITUTE(Raw_Data!B2988,".","")</f>
        <v>management</v>
      </c>
      <c r="D2988" s="3" t="str">
        <f aca="false">Raw_Data!C2988</f>
        <v>single</v>
      </c>
      <c r="E2988" s="3" t="str">
        <f aca="false">Raw_Data!D2988</f>
        <v>tertiary</v>
      </c>
      <c r="F2988" s="3" t="str">
        <f aca="false">Raw_Data!E2988</f>
        <v>no</v>
      </c>
      <c r="G2988" s="3" t="n">
        <f aca="false">Raw_Data!F2988</f>
        <v>1</v>
      </c>
      <c r="H2988" s="3" t="str">
        <f aca="false">Raw_Data!G2988</f>
        <v>no</v>
      </c>
      <c r="I2988" s="3" t="str">
        <f aca="false">Raw_Data!H2988</f>
        <v>no</v>
      </c>
      <c r="J2988" s="2" t="n">
        <f aca="false">IF(F2988="yes",1,0)</f>
        <v>0</v>
      </c>
      <c r="K2988" s="2" t="n">
        <f aca="false">IF(H2988="yes",1,0)</f>
        <v>0</v>
      </c>
      <c r="L2988" s="2" t="n">
        <f aca="false">IF(I2988="yes",1,0)</f>
        <v>0</v>
      </c>
      <c r="M2988" s="2" t="n">
        <f aca="false">IF(G2988&lt;0,1,0)</f>
        <v>0</v>
      </c>
      <c r="N2988" s="2" t="str">
        <f aca="false">_xlfn.IFS(B2988&lt;30,"Under 30",B2988&lt;40,"30-39",B2988&lt;50,"40-49",B2988&lt;60,"50-59",TRUE(),"60+")</f>
        <v>30-39</v>
      </c>
      <c r="O2988" s="2" t="str">
        <f aca="false">_xlfn.IFS(G2988&lt;0,"1 Negative",G2988=0,"2 Zero",G2988&lt;=500,"3 1-500",G2988&lt;=2000,"4 501-2000",TRUE(),"5 Above 2000")</f>
        <v>3 1-500</v>
      </c>
      <c r="P2988" s="2" t="n">
        <f aca="false">Lookups!$B$2*M2988+Lookups!$B$3*L2988</f>
        <v>0</v>
      </c>
      <c r="Q2988" s="2" t="str">
        <f aca="false">INDEX(Lookups!$E$2:$E$5,MATCH(P2988,Lookups!$D$2:$D$5,0))</f>
        <v>Low</v>
      </c>
    </row>
    <row r="2989" customFormat="false" ht="15" hidden="false" customHeight="false" outlineLevel="0" collapsed="false">
      <c r="A2989" s="3" t="n">
        <v>2988</v>
      </c>
      <c r="B2989" s="3" t="n">
        <f aca="false">Raw_Data!A2989</f>
        <v>35</v>
      </c>
      <c r="C2989" s="3" t="str">
        <f aca="false">SUBSTITUTE(Raw_Data!B2989,".","")</f>
        <v>services</v>
      </c>
      <c r="D2989" s="3" t="str">
        <f aca="false">Raw_Data!C2989</f>
        <v>married</v>
      </c>
      <c r="E2989" s="3" t="str">
        <f aca="false">Raw_Data!D2989</f>
        <v>secondary</v>
      </c>
      <c r="F2989" s="3" t="str">
        <f aca="false">Raw_Data!E2989</f>
        <v>no</v>
      </c>
      <c r="G2989" s="3" t="n">
        <f aca="false">Raw_Data!F2989</f>
        <v>128</v>
      </c>
      <c r="H2989" s="3" t="str">
        <f aca="false">Raw_Data!G2989</f>
        <v>yes</v>
      </c>
      <c r="I2989" s="3" t="str">
        <f aca="false">Raw_Data!H2989</f>
        <v>no</v>
      </c>
      <c r="J2989" s="2" t="n">
        <f aca="false">IF(F2989="yes",1,0)</f>
        <v>0</v>
      </c>
      <c r="K2989" s="2" t="n">
        <f aca="false">IF(H2989="yes",1,0)</f>
        <v>1</v>
      </c>
      <c r="L2989" s="2" t="n">
        <f aca="false">IF(I2989="yes",1,0)</f>
        <v>0</v>
      </c>
      <c r="M2989" s="2" t="n">
        <f aca="false">IF(G2989&lt;0,1,0)</f>
        <v>0</v>
      </c>
      <c r="N2989" s="2" t="str">
        <f aca="false">_xlfn.IFS(B2989&lt;30,"Under 30",B2989&lt;40,"30-39",B2989&lt;50,"40-49",B2989&lt;60,"50-59",TRUE(),"60+")</f>
        <v>30-39</v>
      </c>
      <c r="O2989" s="2" t="str">
        <f aca="false">_xlfn.IFS(G2989&lt;0,"1 Negative",G2989=0,"2 Zero",G2989&lt;=500,"3 1-500",G2989&lt;=2000,"4 501-2000",TRUE(),"5 Above 2000")</f>
        <v>3 1-500</v>
      </c>
      <c r="P2989" s="2" t="n">
        <f aca="false">Lookups!$B$2*M2989+Lookups!$B$3*L2989</f>
        <v>0</v>
      </c>
      <c r="Q2989" s="2" t="str">
        <f aca="false">INDEX(Lookups!$E$2:$E$5,MATCH(P2989,Lookups!$D$2:$D$5,0))</f>
        <v>Low</v>
      </c>
    </row>
    <row r="2990" customFormat="false" ht="15" hidden="false" customHeight="false" outlineLevel="0" collapsed="false">
      <c r="A2990" s="3" t="n">
        <v>2989</v>
      </c>
      <c r="B2990" s="3" t="n">
        <f aca="false">Raw_Data!A2990</f>
        <v>38</v>
      </c>
      <c r="C2990" s="3" t="str">
        <f aca="false">SUBSTITUTE(Raw_Data!B2990,".","")</f>
        <v>entrepreneur</v>
      </c>
      <c r="D2990" s="3" t="str">
        <f aca="false">Raw_Data!C2990</f>
        <v>single</v>
      </c>
      <c r="E2990" s="3" t="str">
        <f aca="false">Raw_Data!D2990</f>
        <v>secondary</v>
      </c>
      <c r="F2990" s="3" t="str">
        <f aca="false">Raw_Data!E2990</f>
        <v>no</v>
      </c>
      <c r="G2990" s="3" t="n">
        <f aca="false">Raw_Data!F2990</f>
        <v>2543</v>
      </c>
      <c r="H2990" s="3" t="str">
        <f aca="false">Raw_Data!G2990</f>
        <v>no</v>
      </c>
      <c r="I2990" s="3" t="str">
        <f aca="false">Raw_Data!H2990</f>
        <v>no</v>
      </c>
      <c r="J2990" s="2" t="n">
        <f aca="false">IF(F2990="yes",1,0)</f>
        <v>0</v>
      </c>
      <c r="K2990" s="2" t="n">
        <f aca="false">IF(H2990="yes",1,0)</f>
        <v>0</v>
      </c>
      <c r="L2990" s="2" t="n">
        <f aca="false">IF(I2990="yes",1,0)</f>
        <v>0</v>
      </c>
      <c r="M2990" s="2" t="n">
        <f aca="false">IF(G2990&lt;0,1,0)</f>
        <v>0</v>
      </c>
      <c r="N2990" s="2" t="str">
        <f aca="false">_xlfn.IFS(B2990&lt;30,"Under 30",B2990&lt;40,"30-39",B2990&lt;50,"40-49",B2990&lt;60,"50-59",TRUE(),"60+")</f>
        <v>30-39</v>
      </c>
      <c r="O2990" s="2" t="str">
        <f aca="false">_xlfn.IFS(G2990&lt;0,"1 Negative",G2990=0,"2 Zero",G2990&lt;=500,"3 1-500",G2990&lt;=2000,"4 501-2000",TRUE(),"5 Above 2000")</f>
        <v>5 Above 2000</v>
      </c>
      <c r="P2990" s="2" t="n">
        <f aca="false">Lookups!$B$2*M2990+Lookups!$B$3*L2990</f>
        <v>0</v>
      </c>
      <c r="Q2990" s="2" t="str">
        <f aca="false">INDEX(Lookups!$E$2:$E$5,MATCH(P2990,Lookups!$D$2:$D$5,0))</f>
        <v>Low</v>
      </c>
    </row>
    <row r="2991" customFormat="false" ht="15" hidden="false" customHeight="false" outlineLevel="0" collapsed="false">
      <c r="A2991" s="3" t="n">
        <v>2990</v>
      </c>
      <c r="B2991" s="3" t="n">
        <f aca="false">Raw_Data!A2991</f>
        <v>42</v>
      </c>
      <c r="C2991" s="3" t="str">
        <f aca="false">SUBSTITUTE(Raw_Data!B2991,".","")</f>
        <v>entrepreneur</v>
      </c>
      <c r="D2991" s="3" t="str">
        <f aca="false">Raw_Data!C2991</f>
        <v>married</v>
      </c>
      <c r="E2991" s="3" t="str">
        <f aca="false">Raw_Data!D2991</f>
        <v>tertiary</v>
      </c>
      <c r="F2991" s="3" t="str">
        <f aca="false">Raw_Data!E2991</f>
        <v>no</v>
      </c>
      <c r="G2991" s="3" t="n">
        <f aca="false">Raw_Data!F2991</f>
        <v>42045</v>
      </c>
      <c r="H2991" s="3" t="str">
        <f aca="false">Raw_Data!G2991</f>
        <v>no</v>
      </c>
      <c r="I2991" s="3" t="str">
        <f aca="false">Raw_Data!H2991</f>
        <v>no</v>
      </c>
      <c r="J2991" s="2" t="n">
        <f aca="false">IF(F2991="yes",1,0)</f>
        <v>0</v>
      </c>
      <c r="K2991" s="2" t="n">
        <f aca="false">IF(H2991="yes",1,0)</f>
        <v>0</v>
      </c>
      <c r="L2991" s="2" t="n">
        <f aca="false">IF(I2991="yes",1,0)</f>
        <v>0</v>
      </c>
      <c r="M2991" s="2" t="n">
        <f aca="false">IF(G2991&lt;0,1,0)</f>
        <v>0</v>
      </c>
      <c r="N2991" s="2" t="str">
        <f aca="false">_xlfn.IFS(B2991&lt;30,"Under 30",B2991&lt;40,"30-39",B2991&lt;50,"40-49",B2991&lt;60,"50-59",TRUE(),"60+")</f>
        <v>40-49</v>
      </c>
      <c r="O2991" s="2" t="str">
        <f aca="false">_xlfn.IFS(G2991&lt;0,"1 Negative",G2991=0,"2 Zero",G2991&lt;=500,"3 1-500",G2991&lt;=2000,"4 501-2000",TRUE(),"5 Above 2000")</f>
        <v>5 Above 2000</v>
      </c>
      <c r="P2991" s="2" t="n">
        <f aca="false">Lookups!$B$2*M2991+Lookups!$B$3*L2991</f>
        <v>0</v>
      </c>
      <c r="Q2991" s="2" t="str">
        <f aca="false">INDEX(Lookups!$E$2:$E$5,MATCH(P2991,Lookups!$D$2:$D$5,0))</f>
        <v>Low</v>
      </c>
    </row>
    <row r="2992" customFormat="false" ht="15" hidden="false" customHeight="false" outlineLevel="0" collapsed="false">
      <c r="A2992" s="3" t="n">
        <v>2991</v>
      </c>
      <c r="B2992" s="3" t="n">
        <f aca="false">Raw_Data!A2992</f>
        <v>56</v>
      </c>
      <c r="C2992" s="3" t="str">
        <f aca="false">SUBSTITUTE(Raw_Data!B2992,".","")</f>
        <v>blue-collar</v>
      </c>
      <c r="D2992" s="3" t="str">
        <f aca="false">Raw_Data!C2992</f>
        <v>married</v>
      </c>
      <c r="E2992" s="3" t="str">
        <f aca="false">Raw_Data!D2992</f>
        <v>primary</v>
      </c>
      <c r="F2992" s="3" t="str">
        <f aca="false">Raw_Data!E2992</f>
        <v>no</v>
      </c>
      <c r="G2992" s="3" t="n">
        <f aca="false">Raw_Data!F2992</f>
        <v>828</v>
      </c>
      <c r="H2992" s="3" t="str">
        <f aca="false">Raw_Data!G2992</f>
        <v>yes</v>
      </c>
      <c r="I2992" s="3" t="str">
        <f aca="false">Raw_Data!H2992</f>
        <v>no</v>
      </c>
      <c r="J2992" s="2" t="n">
        <f aca="false">IF(F2992="yes",1,0)</f>
        <v>0</v>
      </c>
      <c r="K2992" s="2" t="n">
        <f aca="false">IF(H2992="yes",1,0)</f>
        <v>1</v>
      </c>
      <c r="L2992" s="2" t="n">
        <f aca="false">IF(I2992="yes",1,0)</f>
        <v>0</v>
      </c>
      <c r="M2992" s="2" t="n">
        <f aca="false">IF(G2992&lt;0,1,0)</f>
        <v>0</v>
      </c>
      <c r="N2992" s="2" t="str">
        <f aca="false">_xlfn.IFS(B2992&lt;30,"Under 30",B2992&lt;40,"30-39",B2992&lt;50,"40-49",B2992&lt;60,"50-59",TRUE(),"60+")</f>
        <v>50-59</v>
      </c>
      <c r="O2992" s="2" t="str">
        <f aca="false">_xlfn.IFS(G2992&lt;0,"1 Negative",G2992=0,"2 Zero",G2992&lt;=500,"3 1-500",G2992&lt;=2000,"4 501-2000",TRUE(),"5 Above 2000")</f>
        <v>4 501-2000</v>
      </c>
      <c r="P2992" s="2" t="n">
        <f aca="false">Lookups!$B$2*M2992+Lookups!$B$3*L2992</f>
        <v>0</v>
      </c>
      <c r="Q2992" s="2" t="str">
        <f aca="false">INDEX(Lookups!$E$2:$E$5,MATCH(P2992,Lookups!$D$2:$D$5,0))</f>
        <v>Low</v>
      </c>
    </row>
    <row r="2993" customFormat="false" ht="15" hidden="false" customHeight="false" outlineLevel="0" collapsed="false">
      <c r="A2993" s="3" t="n">
        <v>2992</v>
      </c>
      <c r="B2993" s="3" t="n">
        <f aca="false">Raw_Data!A2993</f>
        <v>37</v>
      </c>
      <c r="C2993" s="3" t="str">
        <f aca="false">SUBSTITUTE(Raw_Data!B2993,".","")</f>
        <v>management</v>
      </c>
      <c r="D2993" s="3" t="str">
        <f aca="false">Raw_Data!C2993</f>
        <v>divorced</v>
      </c>
      <c r="E2993" s="3" t="str">
        <f aca="false">Raw_Data!D2993</f>
        <v>tertiary</v>
      </c>
      <c r="F2993" s="3" t="str">
        <f aca="false">Raw_Data!E2993</f>
        <v>no</v>
      </c>
      <c r="G2993" s="3" t="n">
        <f aca="false">Raw_Data!F2993</f>
        <v>0</v>
      </c>
      <c r="H2993" s="3" t="str">
        <f aca="false">Raw_Data!G2993</f>
        <v>yes</v>
      </c>
      <c r="I2993" s="3" t="str">
        <f aca="false">Raw_Data!H2993</f>
        <v>no</v>
      </c>
      <c r="J2993" s="2" t="n">
        <f aca="false">IF(F2993="yes",1,0)</f>
        <v>0</v>
      </c>
      <c r="K2993" s="2" t="n">
        <f aca="false">IF(H2993="yes",1,0)</f>
        <v>1</v>
      </c>
      <c r="L2993" s="2" t="n">
        <f aca="false">IF(I2993="yes",1,0)</f>
        <v>0</v>
      </c>
      <c r="M2993" s="2" t="n">
        <f aca="false">IF(G2993&lt;0,1,0)</f>
        <v>0</v>
      </c>
      <c r="N2993" s="2" t="str">
        <f aca="false">_xlfn.IFS(B2993&lt;30,"Under 30",B2993&lt;40,"30-39",B2993&lt;50,"40-49",B2993&lt;60,"50-59",TRUE(),"60+")</f>
        <v>30-39</v>
      </c>
      <c r="O2993" s="2" t="str">
        <f aca="false">_xlfn.IFS(G2993&lt;0,"1 Negative",G2993=0,"2 Zero",G2993&lt;=500,"3 1-500",G2993&lt;=2000,"4 501-2000",TRUE(),"5 Above 2000")</f>
        <v>2 Zero</v>
      </c>
      <c r="P2993" s="2" t="n">
        <f aca="false">Lookups!$B$2*M2993+Lookups!$B$3*L2993</f>
        <v>0</v>
      </c>
      <c r="Q2993" s="2" t="str">
        <f aca="false">INDEX(Lookups!$E$2:$E$5,MATCH(P2993,Lookups!$D$2:$D$5,0))</f>
        <v>Low</v>
      </c>
    </row>
    <row r="2994" customFormat="false" ht="15" hidden="false" customHeight="false" outlineLevel="0" collapsed="false">
      <c r="A2994" s="3" t="n">
        <v>2993</v>
      </c>
      <c r="B2994" s="3" t="n">
        <f aca="false">Raw_Data!A2994</f>
        <v>47</v>
      </c>
      <c r="C2994" s="3" t="str">
        <f aca="false">SUBSTITUTE(Raw_Data!B2994,".","")</f>
        <v>housemaid</v>
      </c>
      <c r="D2994" s="3" t="str">
        <f aca="false">Raw_Data!C2994</f>
        <v>married</v>
      </c>
      <c r="E2994" s="3" t="str">
        <f aca="false">Raw_Data!D2994</f>
        <v>secondary</v>
      </c>
      <c r="F2994" s="3" t="str">
        <f aca="false">Raw_Data!E2994</f>
        <v>no</v>
      </c>
      <c r="G2994" s="3" t="n">
        <f aca="false">Raw_Data!F2994</f>
        <v>3940</v>
      </c>
      <c r="H2994" s="3" t="str">
        <f aca="false">Raw_Data!G2994</f>
        <v>yes</v>
      </c>
      <c r="I2994" s="3" t="str">
        <f aca="false">Raw_Data!H2994</f>
        <v>no</v>
      </c>
      <c r="J2994" s="2" t="n">
        <f aca="false">IF(F2994="yes",1,0)</f>
        <v>0</v>
      </c>
      <c r="K2994" s="2" t="n">
        <f aca="false">IF(H2994="yes",1,0)</f>
        <v>1</v>
      </c>
      <c r="L2994" s="2" t="n">
        <f aca="false">IF(I2994="yes",1,0)</f>
        <v>0</v>
      </c>
      <c r="M2994" s="2" t="n">
        <f aca="false">IF(G2994&lt;0,1,0)</f>
        <v>0</v>
      </c>
      <c r="N2994" s="2" t="str">
        <f aca="false">_xlfn.IFS(B2994&lt;30,"Under 30",B2994&lt;40,"30-39",B2994&lt;50,"40-49",B2994&lt;60,"50-59",TRUE(),"60+")</f>
        <v>40-49</v>
      </c>
      <c r="O2994" s="2" t="str">
        <f aca="false">_xlfn.IFS(G2994&lt;0,"1 Negative",G2994=0,"2 Zero",G2994&lt;=500,"3 1-500",G2994&lt;=2000,"4 501-2000",TRUE(),"5 Above 2000")</f>
        <v>5 Above 2000</v>
      </c>
      <c r="P2994" s="2" t="n">
        <f aca="false">Lookups!$B$2*M2994+Lookups!$B$3*L2994</f>
        <v>0</v>
      </c>
      <c r="Q2994" s="2" t="str">
        <f aca="false">INDEX(Lookups!$E$2:$E$5,MATCH(P2994,Lookups!$D$2:$D$5,0))</f>
        <v>Low</v>
      </c>
    </row>
    <row r="2995" customFormat="false" ht="15" hidden="false" customHeight="false" outlineLevel="0" collapsed="false">
      <c r="A2995" s="3" t="n">
        <v>2994</v>
      </c>
      <c r="B2995" s="3" t="n">
        <f aca="false">Raw_Data!A2995</f>
        <v>29</v>
      </c>
      <c r="C2995" s="3" t="str">
        <f aca="false">SUBSTITUTE(Raw_Data!B2995,".","")</f>
        <v>blue-collar</v>
      </c>
      <c r="D2995" s="3" t="str">
        <f aca="false">Raw_Data!C2995</f>
        <v>married</v>
      </c>
      <c r="E2995" s="3" t="str">
        <f aca="false">Raw_Data!D2995</f>
        <v>secondary</v>
      </c>
      <c r="F2995" s="3" t="str">
        <f aca="false">Raw_Data!E2995</f>
        <v>no</v>
      </c>
      <c r="G2995" s="3" t="n">
        <f aca="false">Raw_Data!F2995</f>
        <v>125</v>
      </c>
      <c r="H2995" s="3" t="str">
        <f aca="false">Raw_Data!G2995</f>
        <v>yes</v>
      </c>
      <c r="I2995" s="3" t="str">
        <f aca="false">Raw_Data!H2995</f>
        <v>no</v>
      </c>
      <c r="J2995" s="2" t="n">
        <f aca="false">IF(F2995="yes",1,0)</f>
        <v>0</v>
      </c>
      <c r="K2995" s="2" t="n">
        <f aca="false">IF(H2995="yes",1,0)</f>
        <v>1</v>
      </c>
      <c r="L2995" s="2" t="n">
        <f aca="false">IF(I2995="yes",1,0)</f>
        <v>0</v>
      </c>
      <c r="M2995" s="2" t="n">
        <f aca="false">IF(G2995&lt;0,1,0)</f>
        <v>0</v>
      </c>
      <c r="N2995" s="2" t="str">
        <f aca="false">_xlfn.IFS(B2995&lt;30,"Under 30",B2995&lt;40,"30-39",B2995&lt;50,"40-49",B2995&lt;60,"50-59",TRUE(),"60+")</f>
        <v>Under 30</v>
      </c>
      <c r="O2995" s="2" t="str">
        <f aca="false">_xlfn.IFS(G2995&lt;0,"1 Negative",G2995=0,"2 Zero",G2995&lt;=500,"3 1-500",G2995&lt;=2000,"4 501-2000",TRUE(),"5 Above 2000")</f>
        <v>3 1-500</v>
      </c>
      <c r="P2995" s="2" t="n">
        <f aca="false">Lookups!$B$2*M2995+Lookups!$B$3*L2995</f>
        <v>0</v>
      </c>
      <c r="Q2995" s="2" t="str">
        <f aca="false">INDEX(Lookups!$E$2:$E$5,MATCH(P2995,Lookups!$D$2:$D$5,0))</f>
        <v>Low</v>
      </c>
    </row>
    <row r="2996" customFormat="false" ht="15" hidden="false" customHeight="false" outlineLevel="0" collapsed="false">
      <c r="A2996" s="3" t="n">
        <v>2995</v>
      </c>
      <c r="B2996" s="3" t="n">
        <f aca="false">Raw_Data!A2996</f>
        <v>41</v>
      </c>
      <c r="C2996" s="3" t="str">
        <f aca="false">SUBSTITUTE(Raw_Data!B2996,".","")</f>
        <v>management</v>
      </c>
      <c r="D2996" s="3" t="str">
        <f aca="false">Raw_Data!C2996</f>
        <v>married</v>
      </c>
      <c r="E2996" s="3" t="str">
        <f aca="false">Raw_Data!D2996</f>
        <v>tertiary</v>
      </c>
      <c r="F2996" s="3" t="str">
        <f aca="false">Raw_Data!E2996</f>
        <v>no</v>
      </c>
      <c r="G2996" s="3" t="n">
        <f aca="false">Raw_Data!F2996</f>
        <v>140</v>
      </c>
      <c r="H2996" s="3" t="str">
        <f aca="false">Raw_Data!G2996</f>
        <v>yes</v>
      </c>
      <c r="I2996" s="3" t="str">
        <f aca="false">Raw_Data!H2996</f>
        <v>no</v>
      </c>
      <c r="J2996" s="2" t="n">
        <f aca="false">IF(F2996="yes",1,0)</f>
        <v>0</v>
      </c>
      <c r="K2996" s="2" t="n">
        <f aca="false">IF(H2996="yes",1,0)</f>
        <v>1</v>
      </c>
      <c r="L2996" s="2" t="n">
        <f aca="false">IF(I2996="yes",1,0)</f>
        <v>0</v>
      </c>
      <c r="M2996" s="2" t="n">
        <f aca="false">IF(G2996&lt;0,1,0)</f>
        <v>0</v>
      </c>
      <c r="N2996" s="2" t="str">
        <f aca="false">_xlfn.IFS(B2996&lt;30,"Under 30",B2996&lt;40,"30-39",B2996&lt;50,"40-49",B2996&lt;60,"50-59",TRUE(),"60+")</f>
        <v>40-49</v>
      </c>
      <c r="O2996" s="2" t="str">
        <f aca="false">_xlfn.IFS(G2996&lt;0,"1 Negative",G2996=0,"2 Zero",G2996&lt;=500,"3 1-500",G2996&lt;=2000,"4 501-2000",TRUE(),"5 Above 2000")</f>
        <v>3 1-500</v>
      </c>
      <c r="P2996" s="2" t="n">
        <f aca="false">Lookups!$B$2*M2996+Lookups!$B$3*L2996</f>
        <v>0</v>
      </c>
      <c r="Q2996" s="2" t="str">
        <f aca="false">INDEX(Lookups!$E$2:$E$5,MATCH(P2996,Lookups!$D$2:$D$5,0))</f>
        <v>Low</v>
      </c>
    </row>
    <row r="2997" customFormat="false" ht="15" hidden="false" customHeight="false" outlineLevel="0" collapsed="false">
      <c r="A2997" s="3" t="n">
        <v>2996</v>
      </c>
      <c r="B2997" s="3" t="n">
        <f aca="false">Raw_Data!A2997</f>
        <v>43</v>
      </c>
      <c r="C2997" s="3" t="str">
        <f aca="false">SUBSTITUTE(Raw_Data!B2997,".","")</f>
        <v>technician</v>
      </c>
      <c r="D2997" s="3" t="str">
        <f aca="false">Raw_Data!C2997</f>
        <v>single</v>
      </c>
      <c r="E2997" s="3" t="str">
        <f aca="false">Raw_Data!D2997</f>
        <v>secondary</v>
      </c>
      <c r="F2997" s="3" t="str">
        <f aca="false">Raw_Data!E2997</f>
        <v>no</v>
      </c>
      <c r="G2997" s="3" t="n">
        <f aca="false">Raw_Data!F2997</f>
        <v>593</v>
      </c>
      <c r="H2997" s="3" t="str">
        <f aca="false">Raw_Data!G2997</f>
        <v>yes</v>
      </c>
      <c r="I2997" s="3" t="str">
        <f aca="false">Raw_Data!H2997</f>
        <v>no</v>
      </c>
      <c r="J2997" s="2" t="n">
        <f aca="false">IF(F2997="yes",1,0)</f>
        <v>0</v>
      </c>
      <c r="K2997" s="2" t="n">
        <f aca="false">IF(H2997="yes",1,0)</f>
        <v>1</v>
      </c>
      <c r="L2997" s="2" t="n">
        <f aca="false">IF(I2997="yes",1,0)</f>
        <v>0</v>
      </c>
      <c r="M2997" s="2" t="n">
        <f aca="false">IF(G2997&lt;0,1,0)</f>
        <v>0</v>
      </c>
      <c r="N2997" s="2" t="str">
        <f aca="false">_xlfn.IFS(B2997&lt;30,"Under 30",B2997&lt;40,"30-39",B2997&lt;50,"40-49",B2997&lt;60,"50-59",TRUE(),"60+")</f>
        <v>40-49</v>
      </c>
      <c r="O2997" s="2" t="str">
        <f aca="false">_xlfn.IFS(G2997&lt;0,"1 Negative",G2997=0,"2 Zero",G2997&lt;=500,"3 1-500",G2997&lt;=2000,"4 501-2000",TRUE(),"5 Above 2000")</f>
        <v>4 501-2000</v>
      </c>
      <c r="P2997" s="2" t="n">
        <f aca="false">Lookups!$B$2*M2997+Lookups!$B$3*L2997</f>
        <v>0</v>
      </c>
      <c r="Q2997" s="2" t="str">
        <f aca="false">INDEX(Lookups!$E$2:$E$5,MATCH(P2997,Lookups!$D$2:$D$5,0))</f>
        <v>Low</v>
      </c>
    </row>
    <row r="2998" customFormat="false" ht="15" hidden="false" customHeight="false" outlineLevel="0" collapsed="false">
      <c r="A2998" s="3" t="n">
        <v>2997</v>
      </c>
      <c r="B2998" s="3" t="n">
        <f aca="false">Raw_Data!A2998</f>
        <v>38</v>
      </c>
      <c r="C2998" s="3" t="str">
        <f aca="false">SUBSTITUTE(Raw_Data!B2998,".","")</f>
        <v>self-employed</v>
      </c>
      <c r="D2998" s="3" t="str">
        <f aca="false">Raw_Data!C2998</f>
        <v>married</v>
      </c>
      <c r="E2998" s="3" t="str">
        <f aca="false">Raw_Data!D2998</f>
        <v>secondary</v>
      </c>
      <c r="F2998" s="3" t="str">
        <f aca="false">Raw_Data!E2998</f>
        <v>no</v>
      </c>
      <c r="G2998" s="3" t="n">
        <f aca="false">Raw_Data!F2998</f>
        <v>746</v>
      </c>
      <c r="H2998" s="3" t="str">
        <f aca="false">Raw_Data!G2998</f>
        <v>no</v>
      </c>
      <c r="I2998" s="3" t="str">
        <f aca="false">Raw_Data!H2998</f>
        <v>no</v>
      </c>
      <c r="J2998" s="2" t="n">
        <f aca="false">IF(F2998="yes",1,0)</f>
        <v>0</v>
      </c>
      <c r="K2998" s="2" t="n">
        <f aca="false">IF(H2998="yes",1,0)</f>
        <v>0</v>
      </c>
      <c r="L2998" s="2" t="n">
        <f aca="false">IF(I2998="yes",1,0)</f>
        <v>0</v>
      </c>
      <c r="M2998" s="2" t="n">
        <f aca="false">IF(G2998&lt;0,1,0)</f>
        <v>0</v>
      </c>
      <c r="N2998" s="2" t="str">
        <f aca="false">_xlfn.IFS(B2998&lt;30,"Under 30",B2998&lt;40,"30-39",B2998&lt;50,"40-49",B2998&lt;60,"50-59",TRUE(),"60+")</f>
        <v>30-39</v>
      </c>
      <c r="O2998" s="2" t="str">
        <f aca="false">_xlfn.IFS(G2998&lt;0,"1 Negative",G2998=0,"2 Zero",G2998&lt;=500,"3 1-500",G2998&lt;=2000,"4 501-2000",TRUE(),"5 Above 2000")</f>
        <v>4 501-2000</v>
      </c>
      <c r="P2998" s="2" t="n">
        <f aca="false">Lookups!$B$2*M2998+Lookups!$B$3*L2998</f>
        <v>0</v>
      </c>
      <c r="Q2998" s="2" t="str">
        <f aca="false">INDEX(Lookups!$E$2:$E$5,MATCH(P2998,Lookups!$D$2:$D$5,0))</f>
        <v>Low</v>
      </c>
    </row>
    <row r="2999" customFormat="false" ht="15" hidden="false" customHeight="false" outlineLevel="0" collapsed="false">
      <c r="A2999" s="3" t="n">
        <v>2998</v>
      </c>
      <c r="B2999" s="3" t="n">
        <f aca="false">Raw_Data!A2999</f>
        <v>31</v>
      </c>
      <c r="C2999" s="3" t="str">
        <f aca="false">SUBSTITUTE(Raw_Data!B2999,".","")</f>
        <v>technician</v>
      </c>
      <c r="D2999" s="3" t="str">
        <f aca="false">Raw_Data!C2999</f>
        <v>married</v>
      </c>
      <c r="E2999" s="3" t="str">
        <f aca="false">Raw_Data!D2999</f>
        <v>secondary</v>
      </c>
      <c r="F2999" s="3" t="str">
        <f aca="false">Raw_Data!E2999</f>
        <v>no</v>
      </c>
      <c r="G2999" s="3" t="n">
        <f aca="false">Raw_Data!F2999</f>
        <v>589</v>
      </c>
      <c r="H2999" s="3" t="str">
        <f aca="false">Raw_Data!G2999</f>
        <v>yes</v>
      </c>
      <c r="I2999" s="3" t="str">
        <f aca="false">Raw_Data!H2999</f>
        <v>yes</v>
      </c>
      <c r="J2999" s="2" t="n">
        <f aca="false">IF(F2999="yes",1,0)</f>
        <v>0</v>
      </c>
      <c r="K2999" s="2" t="n">
        <f aca="false">IF(H2999="yes",1,0)</f>
        <v>1</v>
      </c>
      <c r="L2999" s="2" t="n">
        <f aca="false">IF(I2999="yes",1,0)</f>
        <v>1</v>
      </c>
      <c r="M2999" s="2" t="n">
        <f aca="false">IF(G2999&lt;0,1,0)</f>
        <v>0</v>
      </c>
      <c r="N2999" s="2" t="str">
        <f aca="false">_xlfn.IFS(B2999&lt;30,"Under 30",B2999&lt;40,"30-39",B2999&lt;50,"40-49",B2999&lt;60,"50-59",TRUE(),"60+")</f>
        <v>30-39</v>
      </c>
      <c r="O2999" s="2" t="str">
        <f aca="false">_xlfn.IFS(G2999&lt;0,"1 Negative",G2999=0,"2 Zero",G2999&lt;=500,"3 1-500",G2999&lt;=2000,"4 501-2000",TRUE(),"5 Above 2000")</f>
        <v>4 501-2000</v>
      </c>
      <c r="P2999" s="2" t="n">
        <f aca="false">Lookups!$B$2*M2999+Lookups!$B$3*L2999</f>
        <v>1</v>
      </c>
      <c r="Q2999" s="2" t="str">
        <f aca="false">INDEX(Lookups!$E$2:$E$5,MATCH(P2999,Lookups!$D$2:$D$5,0))</f>
        <v>Medium</v>
      </c>
    </row>
    <row r="3000" customFormat="false" ht="15" hidden="false" customHeight="false" outlineLevel="0" collapsed="false">
      <c r="A3000" s="3" t="n">
        <v>2999</v>
      </c>
      <c r="B3000" s="3" t="n">
        <f aca="false">Raw_Data!A3000</f>
        <v>32</v>
      </c>
      <c r="C3000" s="3" t="str">
        <f aca="false">SUBSTITUTE(Raw_Data!B3000,".","")</f>
        <v>management</v>
      </c>
      <c r="D3000" s="3" t="str">
        <f aca="false">Raw_Data!C3000</f>
        <v>single</v>
      </c>
      <c r="E3000" s="3" t="str">
        <f aca="false">Raw_Data!D3000</f>
        <v>tertiary</v>
      </c>
      <c r="F3000" s="3" t="str">
        <f aca="false">Raw_Data!E3000</f>
        <v>no</v>
      </c>
      <c r="G3000" s="3" t="n">
        <f aca="false">Raw_Data!F3000</f>
        <v>2343</v>
      </c>
      <c r="H3000" s="3" t="str">
        <f aca="false">Raw_Data!G3000</f>
        <v>no</v>
      </c>
      <c r="I3000" s="3" t="str">
        <f aca="false">Raw_Data!H3000</f>
        <v>no</v>
      </c>
      <c r="J3000" s="2" t="n">
        <f aca="false">IF(F3000="yes",1,0)</f>
        <v>0</v>
      </c>
      <c r="K3000" s="2" t="n">
        <f aca="false">IF(H3000="yes",1,0)</f>
        <v>0</v>
      </c>
      <c r="L3000" s="2" t="n">
        <f aca="false">IF(I3000="yes",1,0)</f>
        <v>0</v>
      </c>
      <c r="M3000" s="2" t="n">
        <f aca="false">IF(G3000&lt;0,1,0)</f>
        <v>0</v>
      </c>
      <c r="N3000" s="2" t="str">
        <f aca="false">_xlfn.IFS(B3000&lt;30,"Under 30",B3000&lt;40,"30-39",B3000&lt;50,"40-49",B3000&lt;60,"50-59",TRUE(),"60+")</f>
        <v>30-39</v>
      </c>
      <c r="O3000" s="2" t="str">
        <f aca="false">_xlfn.IFS(G3000&lt;0,"1 Negative",G3000=0,"2 Zero",G3000&lt;=500,"3 1-500",G3000&lt;=2000,"4 501-2000",TRUE(),"5 Above 2000")</f>
        <v>5 Above 2000</v>
      </c>
      <c r="P3000" s="2" t="n">
        <f aca="false">Lookups!$B$2*M3000+Lookups!$B$3*L3000</f>
        <v>0</v>
      </c>
      <c r="Q3000" s="2" t="str">
        <f aca="false">INDEX(Lookups!$E$2:$E$5,MATCH(P3000,Lookups!$D$2:$D$5,0))</f>
        <v>Low</v>
      </c>
    </row>
    <row r="3001" customFormat="false" ht="15" hidden="false" customHeight="false" outlineLevel="0" collapsed="false">
      <c r="A3001" s="3" t="n">
        <v>3000</v>
      </c>
      <c r="B3001" s="3" t="n">
        <f aca="false">Raw_Data!A3001</f>
        <v>40</v>
      </c>
      <c r="C3001" s="3" t="str">
        <f aca="false">SUBSTITUTE(Raw_Data!B3001,".","")</f>
        <v>management</v>
      </c>
      <c r="D3001" s="3" t="str">
        <f aca="false">Raw_Data!C3001</f>
        <v>married</v>
      </c>
      <c r="E3001" s="3" t="str">
        <f aca="false">Raw_Data!D3001</f>
        <v>tertiary</v>
      </c>
      <c r="F3001" s="3" t="str">
        <f aca="false">Raw_Data!E3001</f>
        <v>no</v>
      </c>
      <c r="G3001" s="3" t="n">
        <f aca="false">Raw_Data!F3001</f>
        <v>294</v>
      </c>
      <c r="H3001" s="3" t="str">
        <f aca="false">Raw_Data!G3001</f>
        <v>yes</v>
      </c>
      <c r="I3001" s="3" t="str">
        <f aca="false">Raw_Data!H3001</f>
        <v>no</v>
      </c>
      <c r="J3001" s="2" t="n">
        <f aca="false">IF(F3001="yes",1,0)</f>
        <v>0</v>
      </c>
      <c r="K3001" s="2" t="n">
        <f aca="false">IF(H3001="yes",1,0)</f>
        <v>1</v>
      </c>
      <c r="L3001" s="2" t="n">
        <f aca="false">IF(I3001="yes",1,0)</f>
        <v>0</v>
      </c>
      <c r="M3001" s="2" t="n">
        <f aca="false">IF(G3001&lt;0,1,0)</f>
        <v>0</v>
      </c>
      <c r="N3001" s="2" t="str">
        <f aca="false">_xlfn.IFS(B3001&lt;30,"Under 30",B3001&lt;40,"30-39",B3001&lt;50,"40-49",B3001&lt;60,"50-59",TRUE(),"60+")</f>
        <v>40-49</v>
      </c>
      <c r="O3001" s="2" t="str">
        <f aca="false">_xlfn.IFS(G3001&lt;0,"1 Negative",G3001=0,"2 Zero",G3001&lt;=500,"3 1-500",G3001&lt;=2000,"4 501-2000",TRUE(),"5 Above 2000")</f>
        <v>3 1-500</v>
      </c>
      <c r="P3001" s="2" t="n">
        <f aca="false">Lookups!$B$2*M3001+Lookups!$B$3*L3001</f>
        <v>0</v>
      </c>
      <c r="Q3001" s="2" t="str">
        <f aca="false">INDEX(Lookups!$E$2:$E$5,MATCH(P3001,Lookups!$D$2:$D$5,0))</f>
        <v>Low</v>
      </c>
    </row>
    <row r="3002" customFormat="false" ht="15" hidden="false" customHeight="false" outlineLevel="0" collapsed="false">
      <c r="A3002" s="3" t="n">
        <v>3001</v>
      </c>
      <c r="B3002" s="3" t="n">
        <f aca="false">Raw_Data!A3002</f>
        <v>45</v>
      </c>
      <c r="C3002" s="3" t="str">
        <f aca="false">SUBSTITUTE(Raw_Data!B3002,".","")</f>
        <v>admin</v>
      </c>
      <c r="D3002" s="3" t="str">
        <f aca="false">Raw_Data!C3002</f>
        <v>married</v>
      </c>
      <c r="E3002" s="3" t="str">
        <f aca="false">Raw_Data!D3002</f>
        <v>secondary</v>
      </c>
      <c r="F3002" s="3" t="str">
        <f aca="false">Raw_Data!E3002</f>
        <v>no</v>
      </c>
      <c r="G3002" s="3" t="n">
        <f aca="false">Raw_Data!F3002</f>
        <v>644</v>
      </c>
      <c r="H3002" s="3" t="str">
        <f aca="false">Raw_Data!G3002</f>
        <v>no</v>
      </c>
      <c r="I3002" s="3" t="str">
        <f aca="false">Raw_Data!H3002</f>
        <v>yes</v>
      </c>
      <c r="J3002" s="2" t="n">
        <f aca="false">IF(F3002="yes",1,0)</f>
        <v>0</v>
      </c>
      <c r="K3002" s="2" t="n">
        <f aca="false">IF(H3002="yes",1,0)</f>
        <v>0</v>
      </c>
      <c r="L3002" s="2" t="n">
        <f aca="false">IF(I3002="yes",1,0)</f>
        <v>1</v>
      </c>
      <c r="M3002" s="2" t="n">
        <f aca="false">IF(G3002&lt;0,1,0)</f>
        <v>0</v>
      </c>
      <c r="N3002" s="2" t="str">
        <f aca="false">_xlfn.IFS(B3002&lt;30,"Under 30",B3002&lt;40,"30-39",B3002&lt;50,"40-49",B3002&lt;60,"50-59",TRUE(),"60+")</f>
        <v>40-49</v>
      </c>
      <c r="O3002" s="2" t="str">
        <f aca="false">_xlfn.IFS(G3002&lt;0,"1 Negative",G3002=0,"2 Zero",G3002&lt;=500,"3 1-500",G3002&lt;=2000,"4 501-2000",TRUE(),"5 Above 2000")</f>
        <v>4 501-2000</v>
      </c>
      <c r="P3002" s="2" t="n">
        <f aca="false">Lookups!$B$2*M3002+Lookups!$B$3*L3002</f>
        <v>1</v>
      </c>
      <c r="Q3002" s="2" t="str">
        <f aca="false">INDEX(Lookups!$E$2:$E$5,MATCH(P3002,Lookups!$D$2:$D$5,0))</f>
        <v>Medium</v>
      </c>
    </row>
    <row r="3003" customFormat="false" ht="15" hidden="false" customHeight="false" outlineLevel="0" collapsed="false">
      <c r="A3003" s="3" t="n">
        <v>3002</v>
      </c>
      <c r="B3003" s="3" t="n">
        <f aca="false">Raw_Data!A3003</f>
        <v>43</v>
      </c>
      <c r="C3003" s="3" t="str">
        <f aca="false">SUBSTITUTE(Raw_Data!B3003,".","")</f>
        <v>management</v>
      </c>
      <c r="D3003" s="3" t="str">
        <f aca="false">Raw_Data!C3003</f>
        <v>married</v>
      </c>
      <c r="E3003" s="3" t="str">
        <f aca="false">Raw_Data!D3003</f>
        <v>secondary</v>
      </c>
      <c r="F3003" s="3" t="str">
        <f aca="false">Raw_Data!E3003</f>
        <v>no</v>
      </c>
      <c r="G3003" s="3" t="n">
        <f aca="false">Raw_Data!F3003</f>
        <v>-26</v>
      </c>
      <c r="H3003" s="3" t="str">
        <f aca="false">Raw_Data!G3003</f>
        <v>yes</v>
      </c>
      <c r="I3003" s="3" t="str">
        <f aca="false">Raw_Data!H3003</f>
        <v>no</v>
      </c>
      <c r="J3003" s="2" t="n">
        <f aca="false">IF(F3003="yes",1,0)</f>
        <v>0</v>
      </c>
      <c r="K3003" s="2" t="n">
        <f aca="false">IF(H3003="yes",1,0)</f>
        <v>1</v>
      </c>
      <c r="L3003" s="2" t="n">
        <f aca="false">IF(I3003="yes",1,0)</f>
        <v>0</v>
      </c>
      <c r="M3003" s="2" t="n">
        <f aca="false">IF(G3003&lt;0,1,0)</f>
        <v>1</v>
      </c>
      <c r="N3003" s="2" t="str">
        <f aca="false">_xlfn.IFS(B3003&lt;30,"Under 30",B3003&lt;40,"30-39",B3003&lt;50,"40-49",B3003&lt;60,"50-59",TRUE(),"60+")</f>
        <v>40-49</v>
      </c>
      <c r="O3003" s="2" t="str">
        <f aca="false">_xlfn.IFS(G3003&lt;0,"1 Negative",G3003=0,"2 Zero",G3003&lt;=500,"3 1-500",G3003&lt;=2000,"4 501-2000",TRUE(),"5 Above 2000")</f>
        <v>1 Negative</v>
      </c>
      <c r="P3003" s="2" t="n">
        <f aca="false">Lookups!$B$2*M3003+Lookups!$B$3*L3003</f>
        <v>2</v>
      </c>
      <c r="Q3003" s="2" t="str">
        <f aca="false">INDEX(Lookups!$E$2:$E$5,MATCH(P3003,Lookups!$D$2:$D$5,0))</f>
        <v>High</v>
      </c>
    </row>
    <row r="3004" customFormat="false" ht="15" hidden="false" customHeight="false" outlineLevel="0" collapsed="false">
      <c r="A3004" s="3" t="n">
        <v>3003</v>
      </c>
      <c r="B3004" s="3" t="n">
        <f aca="false">Raw_Data!A3004</f>
        <v>27</v>
      </c>
      <c r="C3004" s="3" t="str">
        <f aca="false">SUBSTITUTE(Raw_Data!B3004,".","")</f>
        <v>services</v>
      </c>
      <c r="D3004" s="3" t="str">
        <f aca="false">Raw_Data!C3004</f>
        <v>single</v>
      </c>
      <c r="E3004" s="3" t="str">
        <f aca="false">Raw_Data!D3004</f>
        <v>secondary</v>
      </c>
      <c r="F3004" s="3" t="str">
        <f aca="false">Raw_Data!E3004</f>
        <v>no</v>
      </c>
      <c r="G3004" s="3" t="n">
        <f aca="false">Raw_Data!F3004</f>
        <v>3354</v>
      </c>
      <c r="H3004" s="3" t="str">
        <f aca="false">Raw_Data!G3004</f>
        <v>yes</v>
      </c>
      <c r="I3004" s="3" t="str">
        <f aca="false">Raw_Data!H3004</f>
        <v>no</v>
      </c>
      <c r="J3004" s="2" t="n">
        <f aca="false">IF(F3004="yes",1,0)</f>
        <v>0</v>
      </c>
      <c r="K3004" s="2" t="n">
        <f aca="false">IF(H3004="yes",1,0)</f>
        <v>1</v>
      </c>
      <c r="L3004" s="2" t="n">
        <f aca="false">IF(I3004="yes",1,0)</f>
        <v>0</v>
      </c>
      <c r="M3004" s="2" t="n">
        <f aca="false">IF(G3004&lt;0,1,0)</f>
        <v>0</v>
      </c>
      <c r="N3004" s="2" t="str">
        <f aca="false">_xlfn.IFS(B3004&lt;30,"Under 30",B3004&lt;40,"30-39",B3004&lt;50,"40-49",B3004&lt;60,"50-59",TRUE(),"60+")</f>
        <v>Under 30</v>
      </c>
      <c r="O3004" s="2" t="str">
        <f aca="false">_xlfn.IFS(G3004&lt;0,"1 Negative",G3004=0,"2 Zero",G3004&lt;=500,"3 1-500",G3004&lt;=2000,"4 501-2000",TRUE(),"5 Above 2000")</f>
        <v>5 Above 2000</v>
      </c>
      <c r="P3004" s="2" t="n">
        <f aca="false">Lookups!$B$2*M3004+Lookups!$B$3*L3004</f>
        <v>0</v>
      </c>
      <c r="Q3004" s="2" t="str">
        <f aca="false">INDEX(Lookups!$E$2:$E$5,MATCH(P3004,Lookups!$D$2:$D$5,0))</f>
        <v>Low</v>
      </c>
    </row>
    <row r="3005" customFormat="false" ht="15" hidden="false" customHeight="false" outlineLevel="0" collapsed="false">
      <c r="A3005" s="3" t="n">
        <v>3004</v>
      </c>
      <c r="B3005" s="3" t="n">
        <f aca="false">Raw_Data!A3005</f>
        <v>33</v>
      </c>
      <c r="C3005" s="3" t="str">
        <f aca="false">SUBSTITUTE(Raw_Data!B3005,".","")</f>
        <v>management</v>
      </c>
      <c r="D3005" s="3" t="str">
        <f aca="false">Raw_Data!C3005</f>
        <v>single</v>
      </c>
      <c r="E3005" s="3" t="str">
        <f aca="false">Raw_Data!D3005</f>
        <v>tertiary</v>
      </c>
      <c r="F3005" s="3" t="str">
        <f aca="false">Raw_Data!E3005</f>
        <v>no</v>
      </c>
      <c r="G3005" s="3" t="n">
        <f aca="false">Raw_Data!F3005</f>
        <v>23</v>
      </c>
      <c r="H3005" s="3" t="str">
        <f aca="false">Raw_Data!G3005</f>
        <v>no</v>
      </c>
      <c r="I3005" s="3" t="str">
        <f aca="false">Raw_Data!H3005</f>
        <v>no</v>
      </c>
      <c r="J3005" s="2" t="n">
        <f aca="false">IF(F3005="yes",1,0)</f>
        <v>0</v>
      </c>
      <c r="K3005" s="2" t="n">
        <f aca="false">IF(H3005="yes",1,0)</f>
        <v>0</v>
      </c>
      <c r="L3005" s="2" t="n">
        <f aca="false">IF(I3005="yes",1,0)</f>
        <v>0</v>
      </c>
      <c r="M3005" s="2" t="n">
        <f aca="false">IF(G3005&lt;0,1,0)</f>
        <v>0</v>
      </c>
      <c r="N3005" s="2" t="str">
        <f aca="false">_xlfn.IFS(B3005&lt;30,"Under 30",B3005&lt;40,"30-39",B3005&lt;50,"40-49",B3005&lt;60,"50-59",TRUE(),"60+")</f>
        <v>30-39</v>
      </c>
      <c r="O3005" s="2" t="str">
        <f aca="false">_xlfn.IFS(G3005&lt;0,"1 Negative",G3005=0,"2 Zero",G3005&lt;=500,"3 1-500",G3005&lt;=2000,"4 501-2000",TRUE(),"5 Above 2000")</f>
        <v>3 1-500</v>
      </c>
      <c r="P3005" s="2" t="n">
        <f aca="false">Lookups!$B$2*M3005+Lookups!$B$3*L3005</f>
        <v>0</v>
      </c>
      <c r="Q3005" s="2" t="str">
        <f aca="false">INDEX(Lookups!$E$2:$E$5,MATCH(P3005,Lookups!$D$2:$D$5,0))</f>
        <v>Low</v>
      </c>
    </row>
    <row r="3006" customFormat="false" ht="15" hidden="false" customHeight="false" outlineLevel="0" collapsed="false">
      <c r="A3006" s="3" t="n">
        <v>3005</v>
      </c>
      <c r="B3006" s="3" t="n">
        <f aca="false">Raw_Data!A3006</f>
        <v>37</v>
      </c>
      <c r="C3006" s="3" t="str">
        <f aca="false">SUBSTITUTE(Raw_Data!B3006,".","")</f>
        <v>admin</v>
      </c>
      <c r="D3006" s="3" t="str">
        <f aca="false">Raw_Data!C3006</f>
        <v>married</v>
      </c>
      <c r="E3006" s="3" t="str">
        <f aca="false">Raw_Data!D3006</f>
        <v>secondary</v>
      </c>
      <c r="F3006" s="3" t="str">
        <f aca="false">Raw_Data!E3006</f>
        <v>no</v>
      </c>
      <c r="G3006" s="3" t="n">
        <f aca="false">Raw_Data!F3006</f>
        <v>7</v>
      </c>
      <c r="H3006" s="3" t="str">
        <f aca="false">Raw_Data!G3006</f>
        <v>yes</v>
      </c>
      <c r="I3006" s="3" t="str">
        <f aca="false">Raw_Data!H3006</f>
        <v>no</v>
      </c>
      <c r="J3006" s="2" t="n">
        <f aca="false">IF(F3006="yes",1,0)</f>
        <v>0</v>
      </c>
      <c r="K3006" s="2" t="n">
        <f aca="false">IF(H3006="yes",1,0)</f>
        <v>1</v>
      </c>
      <c r="L3006" s="2" t="n">
        <f aca="false">IF(I3006="yes",1,0)</f>
        <v>0</v>
      </c>
      <c r="M3006" s="2" t="n">
        <f aca="false">IF(G3006&lt;0,1,0)</f>
        <v>0</v>
      </c>
      <c r="N3006" s="2" t="str">
        <f aca="false">_xlfn.IFS(B3006&lt;30,"Under 30",B3006&lt;40,"30-39",B3006&lt;50,"40-49",B3006&lt;60,"50-59",TRUE(),"60+")</f>
        <v>30-39</v>
      </c>
      <c r="O3006" s="2" t="str">
        <f aca="false">_xlfn.IFS(G3006&lt;0,"1 Negative",G3006=0,"2 Zero",G3006&lt;=500,"3 1-500",G3006&lt;=2000,"4 501-2000",TRUE(),"5 Above 2000")</f>
        <v>3 1-500</v>
      </c>
      <c r="P3006" s="2" t="n">
        <f aca="false">Lookups!$B$2*M3006+Lookups!$B$3*L3006</f>
        <v>0</v>
      </c>
      <c r="Q3006" s="2" t="str">
        <f aca="false">INDEX(Lookups!$E$2:$E$5,MATCH(P3006,Lookups!$D$2:$D$5,0))</f>
        <v>Low</v>
      </c>
    </row>
    <row r="3007" customFormat="false" ht="15" hidden="false" customHeight="false" outlineLevel="0" collapsed="false">
      <c r="A3007" s="3" t="n">
        <v>3006</v>
      </c>
      <c r="B3007" s="3" t="n">
        <f aca="false">Raw_Data!A3007</f>
        <v>60</v>
      </c>
      <c r="C3007" s="3" t="str">
        <f aca="false">SUBSTITUTE(Raw_Data!B3007,".","")</f>
        <v>admin</v>
      </c>
      <c r="D3007" s="3" t="str">
        <f aca="false">Raw_Data!C3007</f>
        <v>married</v>
      </c>
      <c r="E3007" s="3" t="str">
        <f aca="false">Raw_Data!D3007</f>
        <v>secondary</v>
      </c>
      <c r="F3007" s="3" t="str">
        <f aca="false">Raw_Data!E3007</f>
        <v>no</v>
      </c>
      <c r="G3007" s="3" t="n">
        <f aca="false">Raw_Data!F3007</f>
        <v>3735</v>
      </c>
      <c r="H3007" s="3" t="str">
        <f aca="false">Raw_Data!G3007</f>
        <v>no</v>
      </c>
      <c r="I3007" s="3" t="str">
        <f aca="false">Raw_Data!H3007</f>
        <v>no</v>
      </c>
      <c r="J3007" s="2" t="n">
        <f aca="false">IF(F3007="yes",1,0)</f>
        <v>0</v>
      </c>
      <c r="K3007" s="2" t="n">
        <f aca="false">IF(H3007="yes",1,0)</f>
        <v>0</v>
      </c>
      <c r="L3007" s="2" t="n">
        <f aca="false">IF(I3007="yes",1,0)</f>
        <v>0</v>
      </c>
      <c r="M3007" s="2" t="n">
        <f aca="false">IF(G3007&lt;0,1,0)</f>
        <v>0</v>
      </c>
      <c r="N3007" s="2" t="str">
        <f aca="false">_xlfn.IFS(B3007&lt;30,"Under 30",B3007&lt;40,"30-39",B3007&lt;50,"40-49",B3007&lt;60,"50-59",TRUE(),"60+")</f>
        <v>60+</v>
      </c>
      <c r="O3007" s="2" t="str">
        <f aca="false">_xlfn.IFS(G3007&lt;0,"1 Negative",G3007=0,"2 Zero",G3007&lt;=500,"3 1-500",G3007&lt;=2000,"4 501-2000",TRUE(),"5 Above 2000")</f>
        <v>5 Above 2000</v>
      </c>
      <c r="P3007" s="2" t="n">
        <f aca="false">Lookups!$B$2*M3007+Lookups!$B$3*L3007</f>
        <v>0</v>
      </c>
      <c r="Q3007" s="2" t="str">
        <f aca="false">INDEX(Lookups!$E$2:$E$5,MATCH(P3007,Lookups!$D$2:$D$5,0))</f>
        <v>Low</v>
      </c>
    </row>
    <row r="3008" customFormat="false" ht="15" hidden="false" customHeight="false" outlineLevel="0" collapsed="false">
      <c r="A3008" s="3" t="n">
        <v>3007</v>
      </c>
      <c r="B3008" s="3" t="n">
        <f aca="false">Raw_Data!A3008</f>
        <v>51</v>
      </c>
      <c r="C3008" s="3" t="str">
        <f aca="false">SUBSTITUTE(Raw_Data!B3008,".","")</f>
        <v>self-employed</v>
      </c>
      <c r="D3008" s="3" t="str">
        <f aca="false">Raw_Data!C3008</f>
        <v>married</v>
      </c>
      <c r="E3008" s="3" t="str">
        <f aca="false">Raw_Data!D3008</f>
        <v>unknown</v>
      </c>
      <c r="F3008" s="3" t="str">
        <f aca="false">Raw_Data!E3008</f>
        <v>no</v>
      </c>
      <c r="G3008" s="3" t="n">
        <f aca="false">Raw_Data!F3008</f>
        <v>2094</v>
      </c>
      <c r="H3008" s="3" t="str">
        <f aca="false">Raw_Data!G3008</f>
        <v>no</v>
      </c>
      <c r="I3008" s="3" t="str">
        <f aca="false">Raw_Data!H3008</f>
        <v>no</v>
      </c>
      <c r="J3008" s="2" t="n">
        <f aca="false">IF(F3008="yes",1,0)</f>
        <v>0</v>
      </c>
      <c r="K3008" s="2" t="n">
        <f aca="false">IF(H3008="yes",1,0)</f>
        <v>0</v>
      </c>
      <c r="L3008" s="2" t="n">
        <f aca="false">IF(I3008="yes",1,0)</f>
        <v>0</v>
      </c>
      <c r="M3008" s="2" t="n">
        <f aca="false">IF(G3008&lt;0,1,0)</f>
        <v>0</v>
      </c>
      <c r="N3008" s="2" t="str">
        <f aca="false">_xlfn.IFS(B3008&lt;30,"Under 30",B3008&lt;40,"30-39",B3008&lt;50,"40-49",B3008&lt;60,"50-59",TRUE(),"60+")</f>
        <v>50-59</v>
      </c>
      <c r="O3008" s="2" t="str">
        <f aca="false">_xlfn.IFS(G3008&lt;0,"1 Negative",G3008=0,"2 Zero",G3008&lt;=500,"3 1-500",G3008&lt;=2000,"4 501-2000",TRUE(),"5 Above 2000")</f>
        <v>5 Above 2000</v>
      </c>
      <c r="P3008" s="2" t="n">
        <f aca="false">Lookups!$B$2*M3008+Lookups!$B$3*L3008</f>
        <v>0</v>
      </c>
      <c r="Q3008" s="2" t="str">
        <f aca="false">INDEX(Lookups!$E$2:$E$5,MATCH(P3008,Lookups!$D$2:$D$5,0))</f>
        <v>Low</v>
      </c>
    </row>
    <row r="3009" customFormat="false" ht="15" hidden="false" customHeight="false" outlineLevel="0" collapsed="false">
      <c r="A3009" s="3" t="n">
        <v>3008</v>
      </c>
      <c r="B3009" s="3" t="n">
        <f aca="false">Raw_Data!A3009</f>
        <v>44</v>
      </c>
      <c r="C3009" s="3" t="str">
        <f aca="false">SUBSTITUTE(Raw_Data!B3009,".","")</f>
        <v>blue-collar</v>
      </c>
      <c r="D3009" s="3" t="str">
        <f aca="false">Raw_Data!C3009</f>
        <v>married</v>
      </c>
      <c r="E3009" s="3" t="str">
        <f aca="false">Raw_Data!D3009</f>
        <v>secondary</v>
      </c>
      <c r="F3009" s="3" t="str">
        <f aca="false">Raw_Data!E3009</f>
        <v>no</v>
      </c>
      <c r="G3009" s="3" t="n">
        <f aca="false">Raw_Data!F3009</f>
        <v>508</v>
      </c>
      <c r="H3009" s="3" t="str">
        <f aca="false">Raw_Data!G3009</f>
        <v>yes</v>
      </c>
      <c r="I3009" s="3" t="str">
        <f aca="false">Raw_Data!H3009</f>
        <v>no</v>
      </c>
      <c r="J3009" s="2" t="n">
        <f aca="false">IF(F3009="yes",1,0)</f>
        <v>0</v>
      </c>
      <c r="K3009" s="2" t="n">
        <f aca="false">IF(H3009="yes",1,0)</f>
        <v>1</v>
      </c>
      <c r="L3009" s="2" t="n">
        <f aca="false">IF(I3009="yes",1,0)</f>
        <v>0</v>
      </c>
      <c r="M3009" s="2" t="n">
        <f aca="false">IF(G3009&lt;0,1,0)</f>
        <v>0</v>
      </c>
      <c r="N3009" s="2" t="str">
        <f aca="false">_xlfn.IFS(B3009&lt;30,"Under 30",B3009&lt;40,"30-39",B3009&lt;50,"40-49",B3009&lt;60,"50-59",TRUE(),"60+")</f>
        <v>40-49</v>
      </c>
      <c r="O3009" s="2" t="str">
        <f aca="false">_xlfn.IFS(G3009&lt;0,"1 Negative",G3009=0,"2 Zero",G3009&lt;=500,"3 1-500",G3009&lt;=2000,"4 501-2000",TRUE(),"5 Above 2000")</f>
        <v>4 501-2000</v>
      </c>
      <c r="P3009" s="2" t="n">
        <f aca="false">Lookups!$B$2*M3009+Lookups!$B$3*L3009</f>
        <v>0</v>
      </c>
      <c r="Q3009" s="2" t="str">
        <f aca="false">INDEX(Lookups!$E$2:$E$5,MATCH(P3009,Lookups!$D$2:$D$5,0))</f>
        <v>Low</v>
      </c>
    </row>
    <row r="3010" customFormat="false" ht="15" hidden="false" customHeight="false" outlineLevel="0" collapsed="false">
      <c r="A3010" s="3" t="n">
        <v>3009</v>
      </c>
      <c r="B3010" s="3" t="n">
        <f aca="false">Raw_Data!A3010</f>
        <v>48</v>
      </c>
      <c r="C3010" s="3" t="str">
        <f aca="false">SUBSTITUTE(Raw_Data!B3010,".","")</f>
        <v>management</v>
      </c>
      <c r="D3010" s="3" t="str">
        <f aca="false">Raw_Data!C3010</f>
        <v>married</v>
      </c>
      <c r="E3010" s="3" t="str">
        <f aca="false">Raw_Data!D3010</f>
        <v>unknown</v>
      </c>
      <c r="F3010" s="3" t="str">
        <f aca="false">Raw_Data!E3010</f>
        <v>no</v>
      </c>
      <c r="G3010" s="3" t="n">
        <f aca="false">Raw_Data!F3010</f>
        <v>0</v>
      </c>
      <c r="H3010" s="3" t="str">
        <f aca="false">Raw_Data!G3010</f>
        <v>yes</v>
      </c>
      <c r="I3010" s="3" t="str">
        <f aca="false">Raw_Data!H3010</f>
        <v>no</v>
      </c>
      <c r="J3010" s="2" t="n">
        <f aca="false">IF(F3010="yes",1,0)</f>
        <v>0</v>
      </c>
      <c r="K3010" s="2" t="n">
        <f aca="false">IF(H3010="yes",1,0)</f>
        <v>1</v>
      </c>
      <c r="L3010" s="2" t="n">
        <f aca="false">IF(I3010="yes",1,0)</f>
        <v>0</v>
      </c>
      <c r="M3010" s="2" t="n">
        <f aca="false">IF(G3010&lt;0,1,0)</f>
        <v>0</v>
      </c>
      <c r="N3010" s="2" t="str">
        <f aca="false">_xlfn.IFS(B3010&lt;30,"Under 30",B3010&lt;40,"30-39",B3010&lt;50,"40-49",B3010&lt;60,"50-59",TRUE(),"60+")</f>
        <v>40-49</v>
      </c>
      <c r="O3010" s="2" t="str">
        <f aca="false">_xlfn.IFS(G3010&lt;0,"1 Negative",G3010=0,"2 Zero",G3010&lt;=500,"3 1-500",G3010&lt;=2000,"4 501-2000",TRUE(),"5 Above 2000")</f>
        <v>2 Zero</v>
      </c>
      <c r="P3010" s="2" t="n">
        <f aca="false">Lookups!$B$2*M3010+Lookups!$B$3*L3010</f>
        <v>0</v>
      </c>
      <c r="Q3010" s="2" t="str">
        <f aca="false">INDEX(Lookups!$E$2:$E$5,MATCH(P3010,Lookups!$D$2:$D$5,0))</f>
        <v>Low</v>
      </c>
    </row>
    <row r="3011" customFormat="false" ht="15" hidden="false" customHeight="false" outlineLevel="0" collapsed="false">
      <c r="A3011" s="3" t="n">
        <v>3010</v>
      </c>
      <c r="B3011" s="3" t="n">
        <f aca="false">Raw_Data!A3011</f>
        <v>57</v>
      </c>
      <c r="C3011" s="3" t="str">
        <f aca="false">SUBSTITUTE(Raw_Data!B3011,".","")</f>
        <v>blue-collar</v>
      </c>
      <c r="D3011" s="3" t="str">
        <f aca="false">Raw_Data!C3011</f>
        <v>married</v>
      </c>
      <c r="E3011" s="3" t="str">
        <f aca="false">Raw_Data!D3011</f>
        <v>primary</v>
      </c>
      <c r="F3011" s="3" t="str">
        <f aca="false">Raw_Data!E3011</f>
        <v>no</v>
      </c>
      <c r="G3011" s="3" t="n">
        <f aca="false">Raw_Data!F3011</f>
        <v>93</v>
      </c>
      <c r="H3011" s="3" t="str">
        <f aca="false">Raw_Data!G3011</f>
        <v>yes</v>
      </c>
      <c r="I3011" s="3" t="str">
        <f aca="false">Raw_Data!H3011</f>
        <v>no</v>
      </c>
      <c r="J3011" s="2" t="n">
        <f aca="false">IF(F3011="yes",1,0)</f>
        <v>0</v>
      </c>
      <c r="K3011" s="2" t="n">
        <f aca="false">IF(H3011="yes",1,0)</f>
        <v>1</v>
      </c>
      <c r="L3011" s="2" t="n">
        <f aca="false">IF(I3011="yes",1,0)</f>
        <v>0</v>
      </c>
      <c r="M3011" s="2" t="n">
        <f aca="false">IF(G3011&lt;0,1,0)</f>
        <v>0</v>
      </c>
      <c r="N3011" s="2" t="str">
        <f aca="false">_xlfn.IFS(B3011&lt;30,"Under 30",B3011&lt;40,"30-39",B3011&lt;50,"40-49",B3011&lt;60,"50-59",TRUE(),"60+")</f>
        <v>50-59</v>
      </c>
      <c r="O3011" s="2" t="str">
        <f aca="false">_xlfn.IFS(G3011&lt;0,"1 Negative",G3011=0,"2 Zero",G3011&lt;=500,"3 1-500",G3011&lt;=2000,"4 501-2000",TRUE(),"5 Above 2000")</f>
        <v>3 1-500</v>
      </c>
      <c r="P3011" s="2" t="n">
        <f aca="false">Lookups!$B$2*M3011+Lookups!$B$3*L3011</f>
        <v>0</v>
      </c>
      <c r="Q3011" s="2" t="str">
        <f aca="false">INDEX(Lookups!$E$2:$E$5,MATCH(P3011,Lookups!$D$2:$D$5,0))</f>
        <v>Low</v>
      </c>
    </row>
    <row r="3012" customFormat="false" ht="15" hidden="false" customHeight="false" outlineLevel="0" collapsed="false">
      <c r="A3012" s="3" t="n">
        <v>3011</v>
      </c>
      <c r="B3012" s="3" t="n">
        <f aca="false">Raw_Data!A3012</f>
        <v>29</v>
      </c>
      <c r="C3012" s="3" t="str">
        <f aca="false">SUBSTITUTE(Raw_Data!B3012,".","")</f>
        <v>technician</v>
      </c>
      <c r="D3012" s="3" t="str">
        <f aca="false">Raw_Data!C3012</f>
        <v>single</v>
      </c>
      <c r="E3012" s="3" t="str">
        <f aca="false">Raw_Data!D3012</f>
        <v>tertiary</v>
      </c>
      <c r="F3012" s="3" t="str">
        <f aca="false">Raw_Data!E3012</f>
        <v>no</v>
      </c>
      <c r="G3012" s="3" t="n">
        <f aca="false">Raw_Data!F3012</f>
        <v>0</v>
      </c>
      <c r="H3012" s="3" t="str">
        <f aca="false">Raw_Data!G3012</f>
        <v>yes</v>
      </c>
      <c r="I3012" s="3" t="str">
        <f aca="false">Raw_Data!H3012</f>
        <v>no</v>
      </c>
      <c r="J3012" s="2" t="n">
        <f aca="false">IF(F3012="yes",1,0)</f>
        <v>0</v>
      </c>
      <c r="K3012" s="2" t="n">
        <f aca="false">IF(H3012="yes",1,0)</f>
        <v>1</v>
      </c>
      <c r="L3012" s="2" t="n">
        <f aca="false">IF(I3012="yes",1,0)</f>
        <v>0</v>
      </c>
      <c r="M3012" s="2" t="n">
        <f aca="false">IF(G3012&lt;0,1,0)</f>
        <v>0</v>
      </c>
      <c r="N3012" s="2" t="str">
        <f aca="false">_xlfn.IFS(B3012&lt;30,"Under 30",B3012&lt;40,"30-39",B3012&lt;50,"40-49",B3012&lt;60,"50-59",TRUE(),"60+")</f>
        <v>Under 30</v>
      </c>
      <c r="O3012" s="2" t="str">
        <f aca="false">_xlfn.IFS(G3012&lt;0,"1 Negative",G3012=0,"2 Zero",G3012&lt;=500,"3 1-500",G3012&lt;=2000,"4 501-2000",TRUE(),"5 Above 2000")</f>
        <v>2 Zero</v>
      </c>
      <c r="P3012" s="2" t="n">
        <f aca="false">Lookups!$B$2*M3012+Lookups!$B$3*L3012</f>
        <v>0</v>
      </c>
      <c r="Q3012" s="2" t="str">
        <f aca="false">INDEX(Lookups!$E$2:$E$5,MATCH(P3012,Lookups!$D$2:$D$5,0))</f>
        <v>Low</v>
      </c>
    </row>
    <row r="3013" customFormat="false" ht="15" hidden="false" customHeight="false" outlineLevel="0" collapsed="false">
      <c r="A3013" s="3" t="n">
        <v>3012</v>
      </c>
      <c r="B3013" s="3" t="n">
        <f aca="false">Raw_Data!A3013</f>
        <v>50</v>
      </c>
      <c r="C3013" s="3" t="str">
        <f aca="false">SUBSTITUTE(Raw_Data!B3013,".","")</f>
        <v>services</v>
      </c>
      <c r="D3013" s="3" t="str">
        <f aca="false">Raw_Data!C3013</f>
        <v>married</v>
      </c>
      <c r="E3013" s="3" t="str">
        <f aca="false">Raw_Data!D3013</f>
        <v>secondary</v>
      </c>
      <c r="F3013" s="3" t="str">
        <f aca="false">Raw_Data!E3013</f>
        <v>no</v>
      </c>
      <c r="G3013" s="3" t="n">
        <f aca="false">Raw_Data!F3013</f>
        <v>26394</v>
      </c>
      <c r="H3013" s="3" t="str">
        <f aca="false">Raw_Data!G3013</f>
        <v>no</v>
      </c>
      <c r="I3013" s="3" t="str">
        <f aca="false">Raw_Data!H3013</f>
        <v>no</v>
      </c>
      <c r="J3013" s="2" t="n">
        <f aca="false">IF(F3013="yes",1,0)</f>
        <v>0</v>
      </c>
      <c r="K3013" s="2" t="n">
        <f aca="false">IF(H3013="yes",1,0)</f>
        <v>0</v>
      </c>
      <c r="L3013" s="2" t="n">
        <f aca="false">IF(I3013="yes",1,0)</f>
        <v>0</v>
      </c>
      <c r="M3013" s="2" t="n">
        <f aca="false">IF(G3013&lt;0,1,0)</f>
        <v>0</v>
      </c>
      <c r="N3013" s="2" t="str">
        <f aca="false">_xlfn.IFS(B3013&lt;30,"Under 30",B3013&lt;40,"30-39",B3013&lt;50,"40-49",B3013&lt;60,"50-59",TRUE(),"60+")</f>
        <v>50-59</v>
      </c>
      <c r="O3013" s="2" t="str">
        <f aca="false">_xlfn.IFS(G3013&lt;0,"1 Negative",G3013=0,"2 Zero",G3013&lt;=500,"3 1-500",G3013&lt;=2000,"4 501-2000",TRUE(),"5 Above 2000")</f>
        <v>5 Above 2000</v>
      </c>
      <c r="P3013" s="2" t="n">
        <f aca="false">Lookups!$B$2*M3013+Lookups!$B$3*L3013</f>
        <v>0</v>
      </c>
      <c r="Q3013" s="2" t="str">
        <f aca="false">INDEX(Lookups!$E$2:$E$5,MATCH(P3013,Lookups!$D$2:$D$5,0))</f>
        <v>Low</v>
      </c>
    </row>
    <row r="3014" customFormat="false" ht="15" hidden="false" customHeight="false" outlineLevel="0" collapsed="false">
      <c r="A3014" s="3" t="n">
        <v>3013</v>
      </c>
      <c r="B3014" s="3" t="n">
        <f aca="false">Raw_Data!A3014</f>
        <v>36</v>
      </c>
      <c r="C3014" s="3" t="str">
        <f aca="false">SUBSTITUTE(Raw_Data!B3014,".","")</f>
        <v>services</v>
      </c>
      <c r="D3014" s="3" t="str">
        <f aca="false">Raw_Data!C3014</f>
        <v>married</v>
      </c>
      <c r="E3014" s="3" t="str">
        <f aca="false">Raw_Data!D3014</f>
        <v>secondary</v>
      </c>
      <c r="F3014" s="3" t="str">
        <f aca="false">Raw_Data!E3014</f>
        <v>no</v>
      </c>
      <c r="G3014" s="3" t="n">
        <f aca="false">Raw_Data!F3014</f>
        <v>-11</v>
      </c>
      <c r="H3014" s="3" t="str">
        <f aca="false">Raw_Data!G3014</f>
        <v>yes</v>
      </c>
      <c r="I3014" s="3" t="str">
        <f aca="false">Raw_Data!H3014</f>
        <v>no</v>
      </c>
      <c r="J3014" s="2" t="n">
        <f aca="false">IF(F3014="yes",1,0)</f>
        <v>0</v>
      </c>
      <c r="K3014" s="2" t="n">
        <f aca="false">IF(H3014="yes",1,0)</f>
        <v>1</v>
      </c>
      <c r="L3014" s="2" t="n">
        <f aca="false">IF(I3014="yes",1,0)</f>
        <v>0</v>
      </c>
      <c r="M3014" s="2" t="n">
        <f aca="false">IF(G3014&lt;0,1,0)</f>
        <v>1</v>
      </c>
      <c r="N3014" s="2" t="str">
        <f aca="false">_xlfn.IFS(B3014&lt;30,"Under 30",B3014&lt;40,"30-39",B3014&lt;50,"40-49",B3014&lt;60,"50-59",TRUE(),"60+")</f>
        <v>30-39</v>
      </c>
      <c r="O3014" s="2" t="str">
        <f aca="false">_xlfn.IFS(G3014&lt;0,"1 Negative",G3014=0,"2 Zero",G3014&lt;=500,"3 1-500",G3014&lt;=2000,"4 501-2000",TRUE(),"5 Above 2000")</f>
        <v>1 Negative</v>
      </c>
      <c r="P3014" s="2" t="n">
        <f aca="false">Lookups!$B$2*M3014+Lookups!$B$3*L3014</f>
        <v>2</v>
      </c>
      <c r="Q3014" s="2" t="str">
        <f aca="false">INDEX(Lookups!$E$2:$E$5,MATCH(P3014,Lookups!$D$2:$D$5,0))</f>
        <v>High</v>
      </c>
    </row>
    <row r="3015" customFormat="false" ht="15" hidden="false" customHeight="false" outlineLevel="0" collapsed="false">
      <c r="A3015" s="3" t="n">
        <v>3014</v>
      </c>
      <c r="B3015" s="3" t="n">
        <f aca="false">Raw_Data!A3015</f>
        <v>49</v>
      </c>
      <c r="C3015" s="3" t="str">
        <f aca="false">SUBSTITUTE(Raw_Data!B3015,".","")</f>
        <v>technician</v>
      </c>
      <c r="D3015" s="3" t="str">
        <f aca="false">Raw_Data!C3015</f>
        <v>married</v>
      </c>
      <c r="E3015" s="3" t="str">
        <f aca="false">Raw_Data!D3015</f>
        <v>tertiary</v>
      </c>
      <c r="F3015" s="3" t="str">
        <f aca="false">Raw_Data!E3015</f>
        <v>no</v>
      </c>
      <c r="G3015" s="3" t="n">
        <f aca="false">Raw_Data!F3015</f>
        <v>523</v>
      </c>
      <c r="H3015" s="3" t="str">
        <f aca="false">Raw_Data!G3015</f>
        <v>yes</v>
      </c>
      <c r="I3015" s="3" t="str">
        <f aca="false">Raw_Data!H3015</f>
        <v>no</v>
      </c>
      <c r="J3015" s="2" t="n">
        <f aca="false">IF(F3015="yes",1,0)</f>
        <v>0</v>
      </c>
      <c r="K3015" s="2" t="n">
        <f aca="false">IF(H3015="yes",1,0)</f>
        <v>1</v>
      </c>
      <c r="L3015" s="2" t="n">
        <f aca="false">IF(I3015="yes",1,0)</f>
        <v>0</v>
      </c>
      <c r="M3015" s="2" t="n">
        <f aca="false">IF(G3015&lt;0,1,0)</f>
        <v>0</v>
      </c>
      <c r="N3015" s="2" t="str">
        <f aca="false">_xlfn.IFS(B3015&lt;30,"Under 30",B3015&lt;40,"30-39",B3015&lt;50,"40-49",B3015&lt;60,"50-59",TRUE(),"60+")</f>
        <v>40-49</v>
      </c>
      <c r="O3015" s="2" t="str">
        <f aca="false">_xlfn.IFS(G3015&lt;0,"1 Negative",G3015=0,"2 Zero",G3015&lt;=500,"3 1-500",G3015&lt;=2000,"4 501-2000",TRUE(),"5 Above 2000")</f>
        <v>4 501-2000</v>
      </c>
      <c r="P3015" s="2" t="n">
        <f aca="false">Lookups!$B$2*M3015+Lookups!$B$3*L3015</f>
        <v>0</v>
      </c>
      <c r="Q3015" s="2" t="str">
        <f aca="false">INDEX(Lookups!$E$2:$E$5,MATCH(P3015,Lookups!$D$2:$D$5,0))</f>
        <v>Low</v>
      </c>
    </row>
    <row r="3016" customFormat="false" ht="15" hidden="false" customHeight="false" outlineLevel="0" collapsed="false">
      <c r="A3016" s="3" t="n">
        <v>3015</v>
      </c>
      <c r="B3016" s="3" t="n">
        <f aca="false">Raw_Data!A3016</f>
        <v>49</v>
      </c>
      <c r="C3016" s="3" t="str">
        <f aca="false">SUBSTITUTE(Raw_Data!B3016,".","")</f>
        <v>technician</v>
      </c>
      <c r="D3016" s="3" t="str">
        <f aca="false">Raw_Data!C3016</f>
        <v>married</v>
      </c>
      <c r="E3016" s="3" t="str">
        <f aca="false">Raw_Data!D3016</f>
        <v>secondary</v>
      </c>
      <c r="F3016" s="3" t="str">
        <f aca="false">Raw_Data!E3016</f>
        <v>yes</v>
      </c>
      <c r="G3016" s="3" t="n">
        <f aca="false">Raw_Data!F3016</f>
        <v>-74</v>
      </c>
      <c r="H3016" s="3" t="str">
        <f aca="false">Raw_Data!G3016</f>
        <v>yes</v>
      </c>
      <c r="I3016" s="3" t="str">
        <f aca="false">Raw_Data!H3016</f>
        <v>no</v>
      </c>
      <c r="J3016" s="2" t="n">
        <f aca="false">IF(F3016="yes",1,0)</f>
        <v>1</v>
      </c>
      <c r="K3016" s="2" t="n">
        <f aca="false">IF(H3016="yes",1,0)</f>
        <v>1</v>
      </c>
      <c r="L3016" s="2" t="n">
        <f aca="false">IF(I3016="yes",1,0)</f>
        <v>0</v>
      </c>
      <c r="M3016" s="2" t="n">
        <f aca="false">IF(G3016&lt;0,1,0)</f>
        <v>1</v>
      </c>
      <c r="N3016" s="2" t="str">
        <f aca="false">_xlfn.IFS(B3016&lt;30,"Under 30",B3016&lt;40,"30-39",B3016&lt;50,"40-49",B3016&lt;60,"50-59",TRUE(),"60+")</f>
        <v>40-49</v>
      </c>
      <c r="O3016" s="2" t="str">
        <f aca="false">_xlfn.IFS(G3016&lt;0,"1 Negative",G3016=0,"2 Zero",G3016&lt;=500,"3 1-500",G3016&lt;=2000,"4 501-2000",TRUE(),"5 Above 2000")</f>
        <v>1 Negative</v>
      </c>
      <c r="P3016" s="2" t="n">
        <f aca="false">Lookups!$B$2*M3016+Lookups!$B$3*L3016</f>
        <v>2</v>
      </c>
      <c r="Q3016" s="2" t="str">
        <f aca="false">INDEX(Lookups!$E$2:$E$5,MATCH(P3016,Lookups!$D$2:$D$5,0))</f>
        <v>High</v>
      </c>
    </row>
    <row r="3017" customFormat="false" ht="15" hidden="false" customHeight="false" outlineLevel="0" collapsed="false">
      <c r="A3017" s="3" t="n">
        <v>3016</v>
      </c>
      <c r="B3017" s="3" t="n">
        <f aca="false">Raw_Data!A3017</f>
        <v>35</v>
      </c>
      <c r="C3017" s="3" t="str">
        <f aca="false">SUBSTITUTE(Raw_Data!B3017,".","")</f>
        <v>management</v>
      </c>
      <c r="D3017" s="3" t="str">
        <f aca="false">Raw_Data!C3017</f>
        <v>married</v>
      </c>
      <c r="E3017" s="3" t="str">
        <f aca="false">Raw_Data!D3017</f>
        <v>tertiary</v>
      </c>
      <c r="F3017" s="3" t="str">
        <f aca="false">Raw_Data!E3017</f>
        <v>no</v>
      </c>
      <c r="G3017" s="3" t="n">
        <f aca="false">Raw_Data!F3017</f>
        <v>0</v>
      </c>
      <c r="H3017" s="3" t="str">
        <f aca="false">Raw_Data!G3017</f>
        <v>no</v>
      </c>
      <c r="I3017" s="3" t="str">
        <f aca="false">Raw_Data!H3017</f>
        <v>no</v>
      </c>
      <c r="J3017" s="2" t="n">
        <f aca="false">IF(F3017="yes",1,0)</f>
        <v>0</v>
      </c>
      <c r="K3017" s="2" t="n">
        <f aca="false">IF(H3017="yes",1,0)</f>
        <v>0</v>
      </c>
      <c r="L3017" s="2" t="n">
        <f aca="false">IF(I3017="yes",1,0)</f>
        <v>0</v>
      </c>
      <c r="M3017" s="2" t="n">
        <f aca="false">IF(G3017&lt;0,1,0)</f>
        <v>0</v>
      </c>
      <c r="N3017" s="2" t="str">
        <f aca="false">_xlfn.IFS(B3017&lt;30,"Under 30",B3017&lt;40,"30-39",B3017&lt;50,"40-49",B3017&lt;60,"50-59",TRUE(),"60+")</f>
        <v>30-39</v>
      </c>
      <c r="O3017" s="2" t="str">
        <f aca="false">_xlfn.IFS(G3017&lt;0,"1 Negative",G3017=0,"2 Zero",G3017&lt;=500,"3 1-500",G3017&lt;=2000,"4 501-2000",TRUE(),"5 Above 2000")</f>
        <v>2 Zero</v>
      </c>
      <c r="P3017" s="2" t="n">
        <f aca="false">Lookups!$B$2*M3017+Lookups!$B$3*L3017</f>
        <v>0</v>
      </c>
      <c r="Q3017" s="2" t="str">
        <f aca="false">INDEX(Lookups!$E$2:$E$5,MATCH(P3017,Lookups!$D$2:$D$5,0))</f>
        <v>Low</v>
      </c>
    </row>
    <row r="3018" customFormat="false" ht="15" hidden="false" customHeight="false" outlineLevel="0" collapsed="false">
      <c r="A3018" s="3" t="n">
        <v>3017</v>
      </c>
      <c r="B3018" s="3" t="n">
        <f aca="false">Raw_Data!A3018</f>
        <v>39</v>
      </c>
      <c r="C3018" s="3" t="str">
        <f aca="false">SUBSTITUTE(Raw_Data!B3018,".","")</f>
        <v>technician</v>
      </c>
      <c r="D3018" s="3" t="str">
        <f aca="false">Raw_Data!C3018</f>
        <v>single</v>
      </c>
      <c r="E3018" s="3" t="str">
        <f aca="false">Raw_Data!D3018</f>
        <v>secondary</v>
      </c>
      <c r="F3018" s="3" t="str">
        <f aca="false">Raw_Data!E3018</f>
        <v>no</v>
      </c>
      <c r="G3018" s="3" t="n">
        <f aca="false">Raw_Data!F3018</f>
        <v>122</v>
      </c>
      <c r="H3018" s="3" t="str">
        <f aca="false">Raw_Data!G3018</f>
        <v>yes</v>
      </c>
      <c r="I3018" s="3" t="str">
        <f aca="false">Raw_Data!H3018</f>
        <v>no</v>
      </c>
      <c r="J3018" s="2" t="n">
        <f aca="false">IF(F3018="yes",1,0)</f>
        <v>0</v>
      </c>
      <c r="K3018" s="2" t="n">
        <f aca="false">IF(H3018="yes",1,0)</f>
        <v>1</v>
      </c>
      <c r="L3018" s="2" t="n">
        <f aca="false">IF(I3018="yes",1,0)</f>
        <v>0</v>
      </c>
      <c r="M3018" s="2" t="n">
        <f aca="false">IF(G3018&lt;0,1,0)</f>
        <v>0</v>
      </c>
      <c r="N3018" s="2" t="str">
        <f aca="false">_xlfn.IFS(B3018&lt;30,"Under 30",B3018&lt;40,"30-39",B3018&lt;50,"40-49",B3018&lt;60,"50-59",TRUE(),"60+")</f>
        <v>30-39</v>
      </c>
      <c r="O3018" s="2" t="str">
        <f aca="false">_xlfn.IFS(G3018&lt;0,"1 Negative",G3018=0,"2 Zero",G3018&lt;=500,"3 1-500",G3018&lt;=2000,"4 501-2000",TRUE(),"5 Above 2000")</f>
        <v>3 1-500</v>
      </c>
      <c r="P3018" s="2" t="n">
        <f aca="false">Lookups!$B$2*M3018+Lookups!$B$3*L3018</f>
        <v>0</v>
      </c>
      <c r="Q3018" s="2" t="str">
        <f aca="false">INDEX(Lookups!$E$2:$E$5,MATCH(P3018,Lookups!$D$2:$D$5,0))</f>
        <v>Low</v>
      </c>
    </row>
    <row r="3019" customFormat="false" ht="15" hidden="false" customHeight="false" outlineLevel="0" collapsed="false">
      <c r="A3019" s="3" t="n">
        <v>3018</v>
      </c>
      <c r="B3019" s="3" t="n">
        <f aca="false">Raw_Data!A3019</f>
        <v>34</v>
      </c>
      <c r="C3019" s="3" t="str">
        <f aca="false">SUBSTITUTE(Raw_Data!B3019,".","")</f>
        <v>blue-collar</v>
      </c>
      <c r="D3019" s="3" t="str">
        <f aca="false">Raw_Data!C3019</f>
        <v>married</v>
      </c>
      <c r="E3019" s="3" t="str">
        <f aca="false">Raw_Data!D3019</f>
        <v>primary</v>
      </c>
      <c r="F3019" s="3" t="str">
        <f aca="false">Raw_Data!E3019</f>
        <v>no</v>
      </c>
      <c r="G3019" s="3" t="n">
        <f aca="false">Raw_Data!F3019</f>
        <v>351</v>
      </c>
      <c r="H3019" s="3" t="str">
        <f aca="false">Raw_Data!G3019</f>
        <v>no</v>
      </c>
      <c r="I3019" s="3" t="str">
        <f aca="false">Raw_Data!H3019</f>
        <v>yes</v>
      </c>
      <c r="J3019" s="2" t="n">
        <f aca="false">IF(F3019="yes",1,0)</f>
        <v>0</v>
      </c>
      <c r="K3019" s="2" t="n">
        <f aca="false">IF(H3019="yes",1,0)</f>
        <v>0</v>
      </c>
      <c r="L3019" s="2" t="n">
        <f aca="false">IF(I3019="yes",1,0)</f>
        <v>1</v>
      </c>
      <c r="M3019" s="2" t="n">
        <f aca="false">IF(G3019&lt;0,1,0)</f>
        <v>0</v>
      </c>
      <c r="N3019" s="2" t="str">
        <f aca="false">_xlfn.IFS(B3019&lt;30,"Under 30",B3019&lt;40,"30-39",B3019&lt;50,"40-49",B3019&lt;60,"50-59",TRUE(),"60+")</f>
        <v>30-39</v>
      </c>
      <c r="O3019" s="2" t="str">
        <f aca="false">_xlfn.IFS(G3019&lt;0,"1 Negative",G3019=0,"2 Zero",G3019&lt;=500,"3 1-500",G3019&lt;=2000,"4 501-2000",TRUE(),"5 Above 2000")</f>
        <v>3 1-500</v>
      </c>
      <c r="P3019" s="2" t="n">
        <f aca="false">Lookups!$B$2*M3019+Lookups!$B$3*L3019</f>
        <v>1</v>
      </c>
      <c r="Q3019" s="2" t="str">
        <f aca="false">INDEX(Lookups!$E$2:$E$5,MATCH(P3019,Lookups!$D$2:$D$5,0))</f>
        <v>Medium</v>
      </c>
    </row>
    <row r="3020" customFormat="false" ht="15" hidden="false" customHeight="false" outlineLevel="0" collapsed="false">
      <c r="A3020" s="3" t="n">
        <v>3019</v>
      </c>
      <c r="B3020" s="3" t="n">
        <f aca="false">Raw_Data!A3020</f>
        <v>57</v>
      </c>
      <c r="C3020" s="3" t="str">
        <f aca="false">SUBSTITUTE(Raw_Data!B3020,".","")</f>
        <v>self-employed</v>
      </c>
      <c r="D3020" s="3" t="str">
        <f aca="false">Raw_Data!C3020</f>
        <v>married</v>
      </c>
      <c r="E3020" s="3" t="str">
        <f aca="false">Raw_Data!D3020</f>
        <v>secondary</v>
      </c>
      <c r="F3020" s="3" t="str">
        <f aca="false">Raw_Data!E3020</f>
        <v>no</v>
      </c>
      <c r="G3020" s="3" t="n">
        <f aca="false">Raw_Data!F3020</f>
        <v>35</v>
      </c>
      <c r="H3020" s="3" t="str">
        <f aca="false">Raw_Data!G3020</f>
        <v>no</v>
      </c>
      <c r="I3020" s="3" t="str">
        <f aca="false">Raw_Data!H3020</f>
        <v>yes</v>
      </c>
      <c r="J3020" s="2" t="n">
        <f aca="false">IF(F3020="yes",1,0)</f>
        <v>0</v>
      </c>
      <c r="K3020" s="2" t="n">
        <f aca="false">IF(H3020="yes",1,0)</f>
        <v>0</v>
      </c>
      <c r="L3020" s="2" t="n">
        <f aca="false">IF(I3020="yes",1,0)</f>
        <v>1</v>
      </c>
      <c r="M3020" s="2" t="n">
        <f aca="false">IF(G3020&lt;0,1,0)</f>
        <v>0</v>
      </c>
      <c r="N3020" s="2" t="str">
        <f aca="false">_xlfn.IFS(B3020&lt;30,"Under 30",B3020&lt;40,"30-39",B3020&lt;50,"40-49",B3020&lt;60,"50-59",TRUE(),"60+")</f>
        <v>50-59</v>
      </c>
      <c r="O3020" s="2" t="str">
        <f aca="false">_xlfn.IFS(G3020&lt;0,"1 Negative",G3020=0,"2 Zero",G3020&lt;=500,"3 1-500",G3020&lt;=2000,"4 501-2000",TRUE(),"5 Above 2000")</f>
        <v>3 1-500</v>
      </c>
      <c r="P3020" s="2" t="n">
        <f aca="false">Lookups!$B$2*M3020+Lookups!$B$3*L3020</f>
        <v>1</v>
      </c>
      <c r="Q3020" s="2" t="str">
        <f aca="false">INDEX(Lookups!$E$2:$E$5,MATCH(P3020,Lookups!$D$2:$D$5,0))</f>
        <v>Medium</v>
      </c>
    </row>
    <row r="3021" customFormat="false" ht="15" hidden="false" customHeight="false" outlineLevel="0" collapsed="false">
      <c r="A3021" s="3" t="n">
        <v>3020</v>
      </c>
      <c r="B3021" s="3" t="n">
        <f aca="false">Raw_Data!A3021</f>
        <v>37</v>
      </c>
      <c r="C3021" s="3" t="str">
        <f aca="false">SUBSTITUTE(Raw_Data!B3021,".","")</f>
        <v>technician</v>
      </c>
      <c r="D3021" s="3" t="str">
        <f aca="false">Raw_Data!C3021</f>
        <v>divorced</v>
      </c>
      <c r="E3021" s="3" t="str">
        <f aca="false">Raw_Data!D3021</f>
        <v>secondary</v>
      </c>
      <c r="F3021" s="3" t="str">
        <f aca="false">Raw_Data!E3021</f>
        <v>no</v>
      </c>
      <c r="G3021" s="3" t="n">
        <f aca="false">Raw_Data!F3021</f>
        <v>2610</v>
      </c>
      <c r="H3021" s="3" t="str">
        <f aca="false">Raw_Data!G3021</f>
        <v>yes</v>
      </c>
      <c r="I3021" s="3" t="str">
        <f aca="false">Raw_Data!H3021</f>
        <v>no</v>
      </c>
      <c r="J3021" s="2" t="n">
        <f aca="false">IF(F3021="yes",1,0)</f>
        <v>0</v>
      </c>
      <c r="K3021" s="2" t="n">
        <f aca="false">IF(H3021="yes",1,0)</f>
        <v>1</v>
      </c>
      <c r="L3021" s="2" t="n">
        <f aca="false">IF(I3021="yes",1,0)</f>
        <v>0</v>
      </c>
      <c r="M3021" s="2" t="n">
        <f aca="false">IF(G3021&lt;0,1,0)</f>
        <v>0</v>
      </c>
      <c r="N3021" s="2" t="str">
        <f aca="false">_xlfn.IFS(B3021&lt;30,"Under 30",B3021&lt;40,"30-39",B3021&lt;50,"40-49",B3021&lt;60,"50-59",TRUE(),"60+")</f>
        <v>30-39</v>
      </c>
      <c r="O3021" s="2" t="str">
        <f aca="false">_xlfn.IFS(G3021&lt;0,"1 Negative",G3021=0,"2 Zero",G3021&lt;=500,"3 1-500",G3021&lt;=2000,"4 501-2000",TRUE(),"5 Above 2000")</f>
        <v>5 Above 2000</v>
      </c>
      <c r="P3021" s="2" t="n">
        <f aca="false">Lookups!$B$2*M3021+Lookups!$B$3*L3021</f>
        <v>0</v>
      </c>
      <c r="Q3021" s="2" t="str">
        <f aca="false">INDEX(Lookups!$E$2:$E$5,MATCH(P3021,Lookups!$D$2:$D$5,0))</f>
        <v>Low</v>
      </c>
    </row>
    <row r="3022" customFormat="false" ht="15" hidden="false" customHeight="false" outlineLevel="0" collapsed="false">
      <c r="A3022" s="3" t="n">
        <v>3021</v>
      </c>
      <c r="B3022" s="3" t="n">
        <f aca="false">Raw_Data!A3022</f>
        <v>25</v>
      </c>
      <c r="C3022" s="3" t="str">
        <f aca="false">SUBSTITUTE(Raw_Data!B3022,".","")</f>
        <v>services</v>
      </c>
      <c r="D3022" s="3" t="str">
        <f aca="false">Raw_Data!C3022</f>
        <v>single</v>
      </c>
      <c r="E3022" s="3" t="str">
        <f aca="false">Raw_Data!D3022</f>
        <v>secondary</v>
      </c>
      <c r="F3022" s="3" t="str">
        <f aca="false">Raw_Data!E3022</f>
        <v>no</v>
      </c>
      <c r="G3022" s="3" t="n">
        <f aca="false">Raw_Data!F3022</f>
        <v>64</v>
      </c>
      <c r="H3022" s="3" t="str">
        <f aca="false">Raw_Data!G3022</f>
        <v>no</v>
      </c>
      <c r="I3022" s="3" t="str">
        <f aca="false">Raw_Data!H3022</f>
        <v>no</v>
      </c>
      <c r="J3022" s="2" t="n">
        <f aca="false">IF(F3022="yes",1,0)</f>
        <v>0</v>
      </c>
      <c r="K3022" s="2" t="n">
        <f aca="false">IF(H3022="yes",1,0)</f>
        <v>0</v>
      </c>
      <c r="L3022" s="2" t="n">
        <f aca="false">IF(I3022="yes",1,0)</f>
        <v>0</v>
      </c>
      <c r="M3022" s="2" t="n">
        <f aca="false">IF(G3022&lt;0,1,0)</f>
        <v>0</v>
      </c>
      <c r="N3022" s="2" t="str">
        <f aca="false">_xlfn.IFS(B3022&lt;30,"Under 30",B3022&lt;40,"30-39",B3022&lt;50,"40-49",B3022&lt;60,"50-59",TRUE(),"60+")</f>
        <v>Under 30</v>
      </c>
      <c r="O3022" s="2" t="str">
        <f aca="false">_xlfn.IFS(G3022&lt;0,"1 Negative",G3022=0,"2 Zero",G3022&lt;=500,"3 1-500",G3022&lt;=2000,"4 501-2000",TRUE(),"5 Above 2000")</f>
        <v>3 1-500</v>
      </c>
      <c r="P3022" s="2" t="n">
        <f aca="false">Lookups!$B$2*M3022+Lookups!$B$3*L3022</f>
        <v>0</v>
      </c>
      <c r="Q3022" s="2" t="str">
        <f aca="false">INDEX(Lookups!$E$2:$E$5,MATCH(P3022,Lookups!$D$2:$D$5,0))</f>
        <v>Low</v>
      </c>
    </row>
    <row r="3023" customFormat="false" ht="15" hidden="false" customHeight="false" outlineLevel="0" collapsed="false">
      <c r="A3023" s="3" t="n">
        <v>3022</v>
      </c>
      <c r="B3023" s="3" t="n">
        <f aca="false">Raw_Data!A3023</f>
        <v>43</v>
      </c>
      <c r="C3023" s="3" t="str">
        <f aca="false">SUBSTITUTE(Raw_Data!B3023,".","")</f>
        <v>blue-collar</v>
      </c>
      <c r="D3023" s="3" t="str">
        <f aca="false">Raw_Data!C3023</f>
        <v>married</v>
      </c>
      <c r="E3023" s="3" t="str">
        <f aca="false">Raw_Data!D3023</f>
        <v>primary</v>
      </c>
      <c r="F3023" s="3" t="str">
        <f aca="false">Raw_Data!E3023</f>
        <v>no</v>
      </c>
      <c r="G3023" s="3" t="n">
        <f aca="false">Raw_Data!F3023</f>
        <v>60</v>
      </c>
      <c r="H3023" s="3" t="str">
        <f aca="false">Raw_Data!G3023</f>
        <v>no</v>
      </c>
      <c r="I3023" s="3" t="str">
        <f aca="false">Raw_Data!H3023</f>
        <v>no</v>
      </c>
      <c r="J3023" s="2" t="n">
        <f aca="false">IF(F3023="yes",1,0)</f>
        <v>0</v>
      </c>
      <c r="K3023" s="2" t="n">
        <f aca="false">IF(H3023="yes",1,0)</f>
        <v>0</v>
      </c>
      <c r="L3023" s="2" t="n">
        <f aca="false">IF(I3023="yes",1,0)</f>
        <v>0</v>
      </c>
      <c r="M3023" s="2" t="n">
        <f aca="false">IF(G3023&lt;0,1,0)</f>
        <v>0</v>
      </c>
      <c r="N3023" s="2" t="str">
        <f aca="false">_xlfn.IFS(B3023&lt;30,"Under 30",B3023&lt;40,"30-39",B3023&lt;50,"40-49",B3023&lt;60,"50-59",TRUE(),"60+")</f>
        <v>40-49</v>
      </c>
      <c r="O3023" s="2" t="str">
        <f aca="false">_xlfn.IFS(G3023&lt;0,"1 Negative",G3023=0,"2 Zero",G3023&lt;=500,"3 1-500",G3023&lt;=2000,"4 501-2000",TRUE(),"5 Above 2000")</f>
        <v>3 1-500</v>
      </c>
      <c r="P3023" s="2" t="n">
        <f aca="false">Lookups!$B$2*M3023+Lookups!$B$3*L3023</f>
        <v>0</v>
      </c>
      <c r="Q3023" s="2" t="str">
        <f aca="false">INDEX(Lookups!$E$2:$E$5,MATCH(P3023,Lookups!$D$2:$D$5,0))</f>
        <v>Low</v>
      </c>
    </row>
    <row r="3024" customFormat="false" ht="15" hidden="false" customHeight="false" outlineLevel="0" collapsed="false">
      <c r="A3024" s="3" t="n">
        <v>3023</v>
      </c>
      <c r="B3024" s="3" t="n">
        <f aca="false">Raw_Data!A3024</f>
        <v>37</v>
      </c>
      <c r="C3024" s="3" t="str">
        <f aca="false">SUBSTITUTE(Raw_Data!B3024,".","")</f>
        <v>blue-collar</v>
      </c>
      <c r="D3024" s="3" t="str">
        <f aca="false">Raw_Data!C3024</f>
        <v>married</v>
      </c>
      <c r="E3024" s="3" t="str">
        <f aca="false">Raw_Data!D3024</f>
        <v>secondary</v>
      </c>
      <c r="F3024" s="3" t="str">
        <f aca="false">Raw_Data!E3024</f>
        <v>no</v>
      </c>
      <c r="G3024" s="3" t="n">
        <f aca="false">Raw_Data!F3024</f>
        <v>342</v>
      </c>
      <c r="H3024" s="3" t="str">
        <f aca="false">Raw_Data!G3024</f>
        <v>yes</v>
      </c>
      <c r="I3024" s="3" t="str">
        <f aca="false">Raw_Data!H3024</f>
        <v>no</v>
      </c>
      <c r="J3024" s="2" t="n">
        <f aca="false">IF(F3024="yes",1,0)</f>
        <v>0</v>
      </c>
      <c r="K3024" s="2" t="n">
        <f aca="false">IF(H3024="yes",1,0)</f>
        <v>1</v>
      </c>
      <c r="L3024" s="2" t="n">
        <f aca="false">IF(I3024="yes",1,0)</f>
        <v>0</v>
      </c>
      <c r="M3024" s="2" t="n">
        <f aca="false">IF(G3024&lt;0,1,0)</f>
        <v>0</v>
      </c>
      <c r="N3024" s="2" t="str">
        <f aca="false">_xlfn.IFS(B3024&lt;30,"Under 30",B3024&lt;40,"30-39",B3024&lt;50,"40-49",B3024&lt;60,"50-59",TRUE(),"60+")</f>
        <v>30-39</v>
      </c>
      <c r="O3024" s="2" t="str">
        <f aca="false">_xlfn.IFS(G3024&lt;0,"1 Negative",G3024=0,"2 Zero",G3024&lt;=500,"3 1-500",G3024&lt;=2000,"4 501-2000",TRUE(),"5 Above 2000")</f>
        <v>3 1-500</v>
      </c>
      <c r="P3024" s="2" t="n">
        <f aca="false">Lookups!$B$2*M3024+Lookups!$B$3*L3024</f>
        <v>0</v>
      </c>
      <c r="Q3024" s="2" t="str">
        <f aca="false">INDEX(Lookups!$E$2:$E$5,MATCH(P3024,Lookups!$D$2:$D$5,0))</f>
        <v>Low</v>
      </c>
    </row>
    <row r="3025" customFormat="false" ht="15" hidden="false" customHeight="false" outlineLevel="0" collapsed="false">
      <c r="A3025" s="3" t="n">
        <v>3024</v>
      </c>
      <c r="B3025" s="3" t="n">
        <f aca="false">Raw_Data!A3025</f>
        <v>36</v>
      </c>
      <c r="C3025" s="3" t="str">
        <f aca="false">SUBSTITUTE(Raw_Data!B3025,".","")</f>
        <v>blue-collar</v>
      </c>
      <c r="D3025" s="3" t="str">
        <f aca="false">Raw_Data!C3025</f>
        <v>single</v>
      </c>
      <c r="E3025" s="3" t="str">
        <f aca="false">Raw_Data!D3025</f>
        <v>tertiary</v>
      </c>
      <c r="F3025" s="3" t="str">
        <f aca="false">Raw_Data!E3025</f>
        <v>no</v>
      </c>
      <c r="G3025" s="3" t="n">
        <f aca="false">Raw_Data!F3025</f>
        <v>1830</v>
      </c>
      <c r="H3025" s="3" t="str">
        <f aca="false">Raw_Data!G3025</f>
        <v>no</v>
      </c>
      <c r="I3025" s="3" t="str">
        <f aca="false">Raw_Data!H3025</f>
        <v>no</v>
      </c>
      <c r="J3025" s="2" t="n">
        <f aca="false">IF(F3025="yes",1,0)</f>
        <v>0</v>
      </c>
      <c r="K3025" s="2" t="n">
        <f aca="false">IF(H3025="yes",1,0)</f>
        <v>0</v>
      </c>
      <c r="L3025" s="2" t="n">
        <f aca="false">IF(I3025="yes",1,0)</f>
        <v>0</v>
      </c>
      <c r="M3025" s="2" t="n">
        <f aca="false">IF(G3025&lt;0,1,0)</f>
        <v>0</v>
      </c>
      <c r="N3025" s="2" t="str">
        <f aca="false">_xlfn.IFS(B3025&lt;30,"Under 30",B3025&lt;40,"30-39",B3025&lt;50,"40-49",B3025&lt;60,"50-59",TRUE(),"60+")</f>
        <v>30-39</v>
      </c>
      <c r="O3025" s="2" t="str">
        <f aca="false">_xlfn.IFS(G3025&lt;0,"1 Negative",G3025=0,"2 Zero",G3025&lt;=500,"3 1-500",G3025&lt;=2000,"4 501-2000",TRUE(),"5 Above 2000")</f>
        <v>4 501-2000</v>
      </c>
      <c r="P3025" s="2" t="n">
        <f aca="false">Lookups!$B$2*M3025+Lookups!$B$3*L3025</f>
        <v>0</v>
      </c>
      <c r="Q3025" s="2" t="str">
        <f aca="false">INDEX(Lookups!$E$2:$E$5,MATCH(P3025,Lookups!$D$2:$D$5,0))</f>
        <v>Low</v>
      </c>
    </row>
    <row r="3026" customFormat="false" ht="15" hidden="false" customHeight="false" outlineLevel="0" collapsed="false">
      <c r="A3026" s="3" t="n">
        <v>3025</v>
      </c>
      <c r="B3026" s="3" t="n">
        <f aca="false">Raw_Data!A3026</f>
        <v>49</v>
      </c>
      <c r="C3026" s="3" t="str">
        <f aca="false">SUBSTITUTE(Raw_Data!B3026,".","")</f>
        <v>management</v>
      </c>
      <c r="D3026" s="3" t="str">
        <f aca="false">Raw_Data!C3026</f>
        <v>divorced</v>
      </c>
      <c r="E3026" s="3" t="str">
        <f aca="false">Raw_Data!D3026</f>
        <v>tertiary</v>
      </c>
      <c r="F3026" s="3" t="str">
        <f aca="false">Raw_Data!E3026</f>
        <v>no</v>
      </c>
      <c r="G3026" s="3" t="n">
        <f aca="false">Raw_Data!F3026</f>
        <v>1904</v>
      </c>
      <c r="H3026" s="3" t="str">
        <f aca="false">Raw_Data!G3026</f>
        <v>no</v>
      </c>
      <c r="I3026" s="3" t="str">
        <f aca="false">Raw_Data!H3026</f>
        <v>yes</v>
      </c>
      <c r="J3026" s="2" t="n">
        <f aca="false">IF(F3026="yes",1,0)</f>
        <v>0</v>
      </c>
      <c r="K3026" s="2" t="n">
        <f aca="false">IF(H3026="yes",1,0)</f>
        <v>0</v>
      </c>
      <c r="L3026" s="2" t="n">
        <f aca="false">IF(I3026="yes",1,0)</f>
        <v>1</v>
      </c>
      <c r="M3026" s="2" t="n">
        <f aca="false">IF(G3026&lt;0,1,0)</f>
        <v>0</v>
      </c>
      <c r="N3026" s="2" t="str">
        <f aca="false">_xlfn.IFS(B3026&lt;30,"Under 30",B3026&lt;40,"30-39",B3026&lt;50,"40-49",B3026&lt;60,"50-59",TRUE(),"60+")</f>
        <v>40-49</v>
      </c>
      <c r="O3026" s="2" t="str">
        <f aca="false">_xlfn.IFS(G3026&lt;0,"1 Negative",G3026=0,"2 Zero",G3026&lt;=500,"3 1-500",G3026&lt;=2000,"4 501-2000",TRUE(),"5 Above 2000")</f>
        <v>4 501-2000</v>
      </c>
      <c r="P3026" s="2" t="n">
        <f aca="false">Lookups!$B$2*M3026+Lookups!$B$3*L3026</f>
        <v>1</v>
      </c>
      <c r="Q3026" s="2" t="str">
        <f aca="false">INDEX(Lookups!$E$2:$E$5,MATCH(P3026,Lookups!$D$2:$D$5,0))</f>
        <v>Medium</v>
      </c>
    </row>
    <row r="3027" customFormat="false" ht="15" hidden="false" customHeight="false" outlineLevel="0" collapsed="false">
      <c r="A3027" s="3" t="n">
        <v>3026</v>
      </c>
      <c r="B3027" s="3" t="n">
        <f aca="false">Raw_Data!A3027</f>
        <v>38</v>
      </c>
      <c r="C3027" s="3" t="str">
        <f aca="false">SUBSTITUTE(Raw_Data!B3027,".","")</f>
        <v>management</v>
      </c>
      <c r="D3027" s="3" t="str">
        <f aca="false">Raw_Data!C3027</f>
        <v>single</v>
      </c>
      <c r="E3027" s="3" t="str">
        <f aca="false">Raw_Data!D3027</f>
        <v>tertiary</v>
      </c>
      <c r="F3027" s="3" t="str">
        <f aca="false">Raw_Data!E3027</f>
        <v>no</v>
      </c>
      <c r="G3027" s="3" t="n">
        <f aca="false">Raw_Data!F3027</f>
        <v>16957</v>
      </c>
      <c r="H3027" s="3" t="str">
        <f aca="false">Raw_Data!G3027</f>
        <v>yes</v>
      </c>
      <c r="I3027" s="3" t="str">
        <f aca="false">Raw_Data!H3027</f>
        <v>no</v>
      </c>
      <c r="J3027" s="2" t="n">
        <f aca="false">IF(F3027="yes",1,0)</f>
        <v>0</v>
      </c>
      <c r="K3027" s="2" t="n">
        <f aca="false">IF(H3027="yes",1,0)</f>
        <v>1</v>
      </c>
      <c r="L3027" s="2" t="n">
        <f aca="false">IF(I3027="yes",1,0)</f>
        <v>0</v>
      </c>
      <c r="M3027" s="2" t="n">
        <f aca="false">IF(G3027&lt;0,1,0)</f>
        <v>0</v>
      </c>
      <c r="N3027" s="2" t="str">
        <f aca="false">_xlfn.IFS(B3027&lt;30,"Under 30",B3027&lt;40,"30-39",B3027&lt;50,"40-49",B3027&lt;60,"50-59",TRUE(),"60+")</f>
        <v>30-39</v>
      </c>
      <c r="O3027" s="2" t="str">
        <f aca="false">_xlfn.IFS(G3027&lt;0,"1 Negative",G3027=0,"2 Zero",G3027&lt;=500,"3 1-500",G3027&lt;=2000,"4 501-2000",TRUE(),"5 Above 2000")</f>
        <v>5 Above 2000</v>
      </c>
      <c r="P3027" s="2" t="n">
        <f aca="false">Lookups!$B$2*M3027+Lookups!$B$3*L3027</f>
        <v>0</v>
      </c>
      <c r="Q3027" s="2" t="str">
        <f aca="false">INDEX(Lookups!$E$2:$E$5,MATCH(P3027,Lookups!$D$2:$D$5,0))</f>
        <v>Low</v>
      </c>
    </row>
    <row r="3028" customFormat="false" ht="15" hidden="false" customHeight="false" outlineLevel="0" collapsed="false">
      <c r="A3028" s="3" t="n">
        <v>3027</v>
      </c>
      <c r="B3028" s="3" t="n">
        <f aca="false">Raw_Data!A3028</f>
        <v>39</v>
      </c>
      <c r="C3028" s="3" t="str">
        <f aca="false">SUBSTITUTE(Raw_Data!B3028,".","")</f>
        <v>management</v>
      </c>
      <c r="D3028" s="3" t="str">
        <f aca="false">Raw_Data!C3028</f>
        <v>divorced</v>
      </c>
      <c r="E3028" s="3" t="str">
        <f aca="false">Raw_Data!D3028</f>
        <v>tertiary</v>
      </c>
      <c r="F3028" s="3" t="str">
        <f aca="false">Raw_Data!E3028</f>
        <v>no</v>
      </c>
      <c r="G3028" s="3" t="n">
        <f aca="false">Raw_Data!F3028</f>
        <v>26</v>
      </c>
      <c r="H3028" s="3" t="str">
        <f aca="false">Raw_Data!G3028</f>
        <v>no</v>
      </c>
      <c r="I3028" s="3" t="str">
        <f aca="false">Raw_Data!H3028</f>
        <v>no</v>
      </c>
      <c r="J3028" s="2" t="n">
        <f aca="false">IF(F3028="yes",1,0)</f>
        <v>0</v>
      </c>
      <c r="K3028" s="2" t="n">
        <f aca="false">IF(H3028="yes",1,0)</f>
        <v>0</v>
      </c>
      <c r="L3028" s="2" t="n">
        <f aca="false">IF(I3028="yes",1,0)</f>
        <v>0</v>
      </c>
      <c r="M3028" s="2" t="n">
        <f aca="false">IF(G3028&lt;0,1,0)</f>
        <v>0</v>
      </c>
      <c r="N3028" s="2" t="str">
        <f aca="false">_xlfn.IFS(B3028&lt;30,"Under 30",B3028&lt;40,"30-39",B3028&lt;50,"40-49",B3028&lt;60,"50-59",TRUE(),"60+")</f>
        <v>30-39</v>
      </c>
      <c r="O3028" s="2" t="str">
        <f aca="false">_xlfn.IFS(G3028&lt;0,"1 Negative",G3028=0,"2 Zero",G3028&lt;=500,"3 1-500",G3028&lt;=2000,"4 501-2000",TRUE(),"5 Above 2000")</f>
        <v>3 1-500</v>
      </c>
      <c r="P3028" s="2" t="n">
        <f aca="false">Lookups!$B$2*M3028+Lookups!$B$3*L3028</f>
        <v>0</v>
      </c>
      <c r="Q3028" s="2" t="str">
        <f aca="false">INDEX(Lookups!$E$2:$E$5,MATCH(P3028,Lookups!$D$2:$D$5,0))</f>
        <v>Low</v>
      </c>
    </row>
    <row r="3029" customFormat="false" ht="15" hidden="false" customHeight="false" outlineLevel="0" collapsed="false">
      <c r="A3029" s="3" t="n">
        <v>3028</v>
      </c>
      <c r="B3029" s="3" t="n">
        <f aca="false">Raw_Data!A3029</f>
        <v>40</v>
      </c>
      <c r="C3029" s="3" t="str">
        <f aca="false">SUBSTITUTE(Raw_Data!B3029,".","")</f>
        <v>management</v>
      </c>
      <c r="D3029" s="3" t="str">
        <f aca="false">Raw_Data!C3029</f>
        <v>married</v>
      </c>
      <c r="E3029" s="3" t="str">
        <f aca="false">Raw_Data!D3029</f>
        <v>tertiary</v>
      </c>
      <c r="F3029" s="3" t="str">
        <f aca="false">Raw_Data!E3029</f>
        <v>no</v>
      </c>
      <c r="G3029" s="3" t="n">
        <f aca="false">Raw_Data!F3029</f>
        <v>0</v>
      </c>
      <c r="H3029" s="3" t="str">
        <f aca="false">Raw_Data!G3029</f>
        <v>no</v>
      </c>
      <c r="I3029" s="3" t="str">
        <f aca="false">Raw_Data!H3029</f>
        <v>no</v>
      </c>
      <c r="J3029" s="2" t="n">
        <f aca="false">IF(F3029="yes",1,0)</f>
        <v>0</v>
      </c>
      <c r="K3029" s="2" t="n">
        <f aca="false">IF(H3029="yes",1,0)</f>
        <v>0</v>
      </c>
      <c r="L3029" s="2" t="n">
        <f aca="false">IF(I3029="yes",1,0)</f>
        <v>0</v>
      </c>
      <c r="M3029" s="2" t="n">
        <f aca="false">IF(G3029&lt;0,1,0)</f>
        <v>0</v>
      </c>
      <c r="N3029" s="2" t="str">
        <f aca="false">_xlfn.IFS(B3029&lt;30,"Under 30",B3029&lt;40,"30-39",B3029&lt;50,"40-49",B3029&lt;60,"50-59",TRUE(),"60+")</f>
        <v>40-49</v>
      </c>
      <c r="O3029" s="2" t="str">
        <f aca="false">_xlfn.IFS(G3029&lt;0,"1 Negative",G3029=0,"2 Zero",G3029&lt;=500,"3 1-500",G3029&lt;=2000,"4 501-2000",TRUE(),"5 Above 2000")</f>
        <v>2 Zero</v>
      </c>
      <c r="P3029" s="2" t="n">
        <f aca="false">Lookups!$B$2*M3029+Lookups!$B$3*L3029</f>
        <v>0</v>
      </c>
      <c r="Q3029" s="2" t="str">
        <f aca="false">INDEX(Lookups!$E$2:$E$5,MATCH(P3029,Lookups!$D$2:$D$5,0))</f>
        <v>Low</v>
      </c>
    </row>
    <row r="3030" customFormat="false" ht="15" hidden="false" customHeight="false" outlineLevel="0" collapsed="false">
      <c r="A3030" s="3" t="n">
        <v>3029</v>
      </c>
      <c r="B3030" s="3" t="n">
        <f aca="false">Raw_Data!A3030</f>
        <v>34</v>
      </c>
      <c r="C3030" s="3" t="str">
        <f aca="false">SUBSTITUTE(Raw_Data!B3030,".","")</f>
        <v>admin</v>
      </c>
      <c r="D3030" s="3" t="str">
        <f aca="false">Raw_Data!C3030</f>
        <v>married</v>
      </c>
      <c r="E3030" s="3" t="str">
        <f aca="false">Raw_Data!D3030</f>
        <v>secondary</v>
      </c>
      <c r="F3030" s="3" t="str">
        <f aca="false">Raw_Data!E3030</f>
        <v>no</v>
      </c>
      <c r="G3030" s="3" t="n">
        <f aca="false">Raw_Data!F3030</f>
        <v>79</v>
      </c>
      <c r="H3030" s="3" t="str">
        <f aca="false">Raw_Data!G3030</f>
        <v>yes</v>
      </c>
      <c r="I3030" s="3" t="str">
        <f aca="false">Raw_Data!H3030</f>
        <v>no</v>
      </c>
      <c r="J3030" s="2" t="n">
        <f aca="false">IF(F3030="yes",1,0)</f>
        <v>0</v>
      </c>
      <c r="K3030" s="2" t="n">
        <f aca="false">IF(H3030="yes",1,0)</f>
        <v>1</v>
      </c>
      <c r="L3030" s="2" t="n">
        <f aca="false">IF(I3030="yes",1,0)</f>
        <v>0</v>
      </c>
      <c r="M3030" s="2" t="n">
        <f aca="false">IF(G3030&lt;0,1,0)</f>
        <v>0</v>
      </c>
      <c r="N3030" s="2" t="str">
        <f aca="false">_xlfn.IFS(B3030&lt;30,"Under 30",B3030&lt;40,"30-39",B3030&lt;50,"40-49",B3030&lt;60,"50-59",TRUE(),"60+")</f>
        <v>30-39</v>
      </c>
      <c r="O3030" s="2" t="str">
        <f aca="false">_xlfn.IFS(G3030&lt;0,"1 Negative",G3030=0,"2 Zero",G3030&lt;=500,"3 1-500",G3030&lt;=2000,"4 501-2000",TRUE(),"5 Above 2000")</f>
        <v>3 1-500</v>
      </c>
      <c r="P3030" s="2" t="n">
        <f aca="false">Lookups!$B$2*M3030+Lookups!$B$3*L3030</f>
        <v>0</v>
      </c>
      <c r="Q3030" s="2" t="str">
        <f aca="false">INDEX(Lookups!$E$2:$E$5,MATCH(P3030,Lookups!$D$2:$D$5,0))</f>
        <v>Low</v>
      </c>
    </row>
    <row r="3031" customFormat="false" ht="15" hidden="false" customHeight="false" outlineLevel="0" collapsed="false">
      <c r="A3031" s="3" t="n">
        <v>3030</v>
      </c>
      <c r="B3031" s="3" t="n">
        <f aca="false">Raw_Data!A3031</f>
        <v>39</v>
      </c>
      <c r="C3031" s="3" t="str">
        <f aca="false">SUBSTITUTE(Raw_Data!B3031,".","")</f>
        <v>blue-collar</v>
      </c>
      <c r="D3031" s="3" t="str">
        <f aca="false">Raw_Data!C3031</f>
        <v>married</v>
      </c>
      <c r="E3031" s="3" t="str">
        <f aca="false">Raw_Data!D3031</f>
        <v>primary</v>
      </c>
      <c r="F3031" s="3" t="str">
        <f aca="false">Raw_Data!E3031</f>
        <v>no</v>
      </c>
      <c r="G3031" s="3" t="n">
        <f aca="false">Raw_Data!F3031</f>
        <v>2303</v>
      </c>
      <c r="H3031" s="3" t="str">
        <f aca="false">Raw_Data!G3031</f>
        <v>yes</v>
      </c>
      <c r="I3031" s="3" t="str">
        <f aca="false">Raw_Data!H3031</f>
        <v>no</v>
      </c>
      <c r="J3031" s="2" t="n">
        <f aca="false">IF(F3031="yes",1,0)</f>
        <v>0</v>
      </c>
      <c r="K3031" s="2" t="n">
        <f aca="false">IF(H3031="yes",1,0)</f>
        <v>1</v>
      </c>
      <c r="L3031" s="2" t="n">
        <f aca="false">IF(I3031="yes",1,0)</f>
        <v>0</v>
      </c>
      <c r="M3031" s="2" t="n">
        <f aca="false">IF(G3031&lt;0,1,0)</f>
        <v>0</v>
      </c>
      <c r="N3031" s="2" t="str">
        <f aca="false">_xlfn.IFS(B3031&lt;30,"Under 30",B3031&lt;40,"30-39",B3031&lt;50,"40-49",B3031&lt;60,"50-59",TRUE(),"60+")</f>
        <v>30-39</v>
      </c>
      <c r="O3031" s="2" t="str">
        <f aca="false">_xlfn.IFS(G3031&lt;0,"1 Negative",G3031=0,"2 Zero",G3031&lt;=500,"3 1-500",G3031&lt;=2000,"4 501-2000",TRUE(),"5 Above 2000")</f>
        <v>5 Above 2000</v>
      </c>
      <c r="P3031" s="2" t="n">
        <f aca="false">Lookups!$B$2*M3031+Lookups!$B$3*L3031</f>
        <v>0</v>
      </c>
      <c r="Q3031" s="2" t="str">
        <f aca="false">INDEX(Lookups!$E$2:$E$5,MATCH(P3031,Lookups!$D$2:$D$5,0))</f>
        <v>Low</v>
      </c>
    </row>
    <row r="3032" customFormat="false" ht="15" hidden="false" customHeight="false" outlineLevel="0" collapsed="false">
      <c r="A3032" s="3" t="n">
        <v>3031</v>
      </c>
      <c r="B3032" s="3" t="n">
        <f aca="false">Raw_Data!A3032</f>
        <v>53</v>
      </c>
      <c r="C3032" s="3" t="str">
        <f aca="false">SUBSTITUTE(Raw_Data!B3032,".","")</f>
        <v>blue-collar</v>
      </c>
      <c r="D3032" s="3" t="str">
        <f aca="false">Raw_Data!C3032</f>
        <v>married</v>
      </c>
      <c r="E3032" s="3" t="str">
        <f aca="false">Raw_Data!D3032</f>
        <v>secondary</v>
      </c>
      <c r="F3032" s="3" t="str">
        <f aca="false">Raw_Data!E3032</f>
        <v>no</v>
      </c>
      <c r="G3032" s="3" t="n">
        <f aca="false">Raw_Data!F3032</f>
        <v>65</v>
      </c>
      <c r="H3032" s="3" t="str">
        <f aca="false">Raw_Data!G3032</f>
        <v>no</v>
      </c>
      <c r="I3032" s="3" t="str">
        <f aca="false">Raw_Data!H3032</f>
        <v>no</v>
      </c>
      <c r="J3032" s="2" t="n">
        <f aca="false">IF(F3032="yes",1,0)</f>
        <v>0</v>
      </c>
      <c r="K3032" s="2" t="n">
        <f aca="false">IF(H3032="yes",1,0)</f>
        <v>0</v>
      </c>
      <c r="L3032" s="2" t="n">
        <f aca="false">IF(I3032="yes",1,0)</f>
        <v>0</v>
      </c>
      <c r="M3032" s="2" t="n">
        <f aca="false">IF(G3032&lt;0,1,0)</f>
        <v>0</v>
      </c>
      <c r="N3032" s="2" t="str">
        <f aca="false">_xlfn.IFS(B3032&lt;30,"Under 30",B3032&lt;40,"30-39",B3032&lt;50,"40-49",B3032&lt;60,"50-59",TRUE(),"60+")</f>
        <v>50-59</v>
      </c>
      <c r="O3032" s="2" t="str">
        <f aca="false">_xlfn.IFS(G3032&lt;0,"1 Negative",G3032=0,"2 Zero",G3032&lt;=500,"3 1-500",G3032&lt;=2000,"4 501-2000",TRUE(),"5 Above 2000")</f>
        <v>3 1-500</v>
      </c>
      <c r="P3032" s="2" t="n">
        <f aca="false">Lookups!$B$2*M3032+Lookups!$B$3*L3032</f>
        <v>0</v>
      </c>
      <c r="Q3032" s="2" t="str">
        <f aca="false">INDEX(Lookups!$E$2:$E$5,MATCH(P3032,Lookups!$D$2:$D$5,0))</f>
        <v>Low</v>
      </c>
    </row>
    <row r="3033" customFormat="false" ht="15" hidden="false" customHeight="false" outlineLevel="0" collapsed="false">
      <c r="A3033" s="3" t="n">
        <v>3032</v>
      </c>
      <c r="B3033" s="3" t="n">
        <f aca="false">Raw_Data!A3033</f>
        <v>44</v>
      </c>
      <c r="C3033" s="3" t="str">
        <f aca="false">SUBSTITUTE(Raw_Data!B3033,".","")</f>
        <v>management</v>
      </c>
      <c r="D3033" s="3" t="str">
        <f aca="false">Raw_Data!C3033</f>
        <v>married</v>
      </c>
      <c r="E3033" s="3" t="str">
        <f aca="false">Raw_Data!D3033</f>
        <v>tertiary</v>
      </c>
      <c r="F3033" s="3" t="str">
        <f aca="false">Raw_Data!E3033</f>
        <v>no</v>
      </c>
      <c r="G3033" s="3" t="n">
        <f aca="false">Raw_Data!F3033</f>
        <v>332</v>
      </c>
      <c r="H3033" s="3" t="str">
        <f aca="false">Raw_Data!G3033</f>
        <v>yes</v>
      </c>
      <c r="I3033" s="3" t="str">
        <f aca="false">Raw_Data!H3033</f>
        <v>no</v>
      </c>
      <c r="J3033" s="2" t="n">
        <f aca="false">IF(F3033="yes",1,0)</f>
        <v>0</v>
      </c>
      <c r="K3033" s="2" t="n">
        <f aca="false">IF(H3033="yes",1,0)</f>
        <v>1</v>
      </c>
      <c r="L3033" s="2" t="n">
        <f aca="false">IF(I3033="yes",1,0)</f>
        <v>0</v>
      </c>
      <c r="M3033" s="2" t="n">
        <f aca="false">IF(G3033&lt;0,1,0)</f>
        <v>0</v>
      </c>
      <c r="N3033" s="2" t="str">
        <f aca="false">_xlfn.IFS(B3033&lt;30,"Under 30",B3033&lt;40,"30-39",B3033&lt;50,"40-49",B3033&lt;60,"50-59",TRUE(),"60+")</f>
        <v>40-49</v>
      </c>
      <c r="O3033" s="2" t="str">
        <f aca="false">_xlfn.IFS(G3033&lt;0,"1 Negative",G3033=0,"2 Zero",G3033&lt;=500,"3 1-500",G3033&lt;=2000,"4 501-2000",TRUE(),"5 Above 2000")</f>
        <v>3 1-500</v>
      </c>
      <c r="P3033" s="2" t="n">
        <f aca="false">Lookups!$B$2*M3033+Lookups!$B$3*L3033</f>
        <v>0</v>
      </c>
      <c r="Q3033" s="2" t="str">
        <f aca="false">INDEX(Lookups!$E$2:$E$5,MATCH(P3033,Lookups!$D$2:$D$5,0))</f>
        <v>Low</v>
      </c>
    </row>
    <row r="3034" customFormat="false" ht="15" hidden="false" customHeight="false" outlineLevel="0" collapsed="false">
      <c r="A3034" s="3" t="n">
        <v>3033</v>
      </c>
      <c r="B3034" s="3" t="n">
        <f aca="false">Raw_Data!A3034</f>
        <v>32</v>
      </c>
      <c r="C3034" s="3" t="str">
        <f aca="false">SUBSTITUTE(Raw_Data!B3034,".","")</f>
        <v>technician</v>
      </c>
      <c r="D3034" s="3" t="str">
        <f aca="false">Raw_Data!C3034</f>
        <v>divorced</v>
      </c>
      <c r="E3034" s="3" t="str">
        <f aca="false">Raw_Data!D3034</f>
        <v>secondary</v>
      </c>
      <c r="F3034" s="3" t="str">
        <f aca="false">Raw_Data!E3034</f>
        <v>no</v>
      </c>
      <c r="G3034" s="3" t="n">
        <f aca="false">Raw_Data!F3034</f>
        <v>-399</v>
      </c>
      <c r="H3034" s="3" t="str">
        <f aca="false">Raw_Data!G3034</f>
        <v>yes</v>
      </c>
      <c r="I3034" s="3" t="str">
        <f aca="false">Raw_Data!H3034</f>
        <v>no</v>
      </c>
      <c r="J3034" s="2" t="n">
        <f aca="false">IF(F3034="yes",1,0)</f>
        <v>0</v>
      </c>
      <c r="K3034" s="2" t="n">
        <f aca="false">IF(H3034="yes",1,0)</f>
        <v>1</v>
      </c>
      <c r="L3034" s="2" t="n">
        <f aca="false">IF(I3034="yes",1,0)</f>
        <v>0</v>
      </c>
      <c r="M3034" s="2" t="n">
        <f aca="false">IF(G3034&lt;0,1,0)</f>
        <v>1</v>
      </c>
      <c r="N3034" s="2" t="str">
        <f aca="false">_xlfn.IFS(B3034&lt;30,"Under 30",B3034&lt;40,"30-39",B3034&lt;50,"40-49",B3034&lt;60,"50-59",TRUE(),"60+")</f>
        <v>30-39</v>
      </c>
      <c r="O3034" s="2" t="str">
        <f aca="false">_xlfn.IFS(G3034&lt;0,"1 Negative",G3034=0,"2 Zero",G3034&lt;=500,"3 1-500",G3034&lt;=2000,"4 501-2000",TRUE(),"5 Above 2000")</f>
        <v>1 Negative</v>
      </c>
      <c r="P3034" s="2" t="n">
        <f aca="false">Lookups!$B$2*M3034+Lookups!$B$3*L3034</f>
        <v>2</v>
      </c>
      <c r="Q3034" s="2" t="str">
        <f aca="false">INDEX(Lookups!$E$2:$E$5,MATCH(P3034,Lookups!$D$2:$D$5,0))</f>
        <v>High</v>
      </c>
    </row>
    <row r="3035" customFormat="false" ht="15" hidden="false" customHeight="false" outlineLevel="0" collapsed="false">
      <c r="A3035" s="3" t="n">
        <v>3034</v>
      </c>
      <c r="B3035" s="3" t="n">
        <f aca="false">Raw_Data!A3035</f>
        <v>50</v>
      </c>
      <c r="C3035" s="3" t="str">
        <f aca="false">SUBSTITUTE(Raw_Data!B3035,".","")</f>
        <v>technician</v>
      </c>
      <c r="D3035" s="3" t="str">
        <f aca="false">Raw_Data!C3035</f>
        <v>divorced</v>
      </c>
      <c r="E3035" s="3" t="str">
        <f aca="false">Raw_Data!D3035</f>
        <v>secondary</v>
      </c>
      <c r="F3035" s="3" t="str">
        <f aca="false">Raw_Data!E3035</f>
        <v>no</v>
      </c>
      <c r="G3035" s="3" t="n">
        <f aca="false">Raw_Data!F3035</f>
        <v>-54</v>
      </c>
      <c r="H3035" s="3" t="str">
        <f aca="false">Raw_Data!G3035</f>
        <v>yes</v>
      </c>
      <c r="I3035" s="3" t="str">
        <f aca="false">Raw_Data!H3035</f>
        <v>yes</v>
      </c>
      <c r="J3035" s="2" t="n">
        <f aca="false">IF(F3035="yes",1,0)</f>
        <v>0</v>
      </c>
      <c r="K3035" s="2" t="n">
        <f aca="false">IF(H3035="yes",1,0)</f>
        <v>1</v>
      </c>
      <c r="L3035" s="2" t="n">
        <f aca="false">IF(I3035="yes",1,0)</f>
        <v>1</v>
      </c>
      <c r="M3035" s="2" t="n">
        <f aca="false">IF(G3035&lt;0,1,0)</f>
        <v>1</v>
      </c>
      <c r="N3035" s="2" t="str">
        <f aca="false">_xlfn.IFS(B3035&lt;30,"Under 30",B3035&lt;40,"30-39",B3035&lt;50,"40-49",B3035&lt;60,"50-59",TRUE(),"60+")</f>
        <v>50-59</v>
      </c>
      <c r="O3035" s="2" t="str">
        <f aca="false">_xlfn.IFS(G3035&lt;0,"1 Negative",G3035=0,"2 Zero",G3035&lt;=500,"3 1-500",G3035&lt;=2000,"4 501-2000",TRUE(),"5 Above 2000")</f>
        <v>1 Negative</v>
      </c>
      <c r="P3035" s="2" t="n">
        <f aca="false">Lookups!$B$2*M3035+Lookups!$B$3*L3035</f>
        <v>3</v>
      </c>
      <c r="Q3035" s="2" t="str">
        <f aca="false">INDEX(Lookups!$E$2:$E$5,MATCH(P3035,Lookups!$D$2:$D$5,0))</f>
        <v>High</v>
      </c>
    </row>
    <row r="3036" customFormat="false" ht="15" hidden="false" customHeight="false" outlineLevel="0" collapsed="false">
      <c r="A3036" s="3" t="n">
        <v>3035</v>
      </c>
      <c r="B3036" s="3" t="n">
        <f aca="false">Raw_Data!A3036</f>
        <v>29</v>
      </c>
      <c r="C3036" s="3" t="str">
        <f aca="false">SUBSTITUTE(Raw_Data!B3036,".","")</f>
        <v>services</v>
      </c>
      <c r="D3036" s="3" t="str">
        <f aca="false">Raw_Data!C3036</f>
        <v>married</v>
      </c>
      <c r="E3036" s="3" t="str">
        <f aca="false">Raw_Data!D3036</f>
        <v>primary</v>
      </c>
      <c r="F3036" s="3" t="str">
        <f aca="false">Raw_Data!E3036</f>
        <v>no</v>
      </c>
      <c r="G3036" s="3" t="n">
        <f aca="false">Raw_Data!F3036</f>
        <v>-102</v>
      </c>
      <c r="H3036" s="3" t="str">
        <f aca="false">Raw_Data!G3036</f>
        <v>no</v>
      </c>
      <c r="I3036" s="3" t="str">
        <f aca="false">Raw_Data!H3036</f>
        <v>no</v>
      </c>
      <c r="J3036" s="2" t="n">
        <f aca="false">IF(F3036="yes",1,0)</f>
        <v>0</v>
      </c>
      <c r="K3036" s="2" t="n">
        <f aca="false">IF(H3036="yes",1,0)</f>
        <v>0</v>
      </c>
      <c r="L3036" s="2" t="n">
        <f aca="false">IF(I3036="yes",1,0)</f>
        <v>0</v>
      </c>
      <c r="M3036" s="2" t="n">
        <f aca="false">IF(G3036&lt;0,1,0)</f>
        <v>1</v>
      </c>
      <c r="N3036" s="2" t="str">
        <f aca="false">_xlfn.IFS(B3036&lt;30,"Under 30",B3036&lt;40,"30-39",B3036&lt;50,"40-49",B3036&lt;60,"50-59",TRUE(),"60+")</f>
        <v>Under 30</v>
      </c>
      <c r="O3036" s="2" t="str">
        <f aca="false">_xlfn.IFS(G3036&lt;0,"1 Negative",G3036=0,"2 Zero",G3036&lt;=500,"3 1-500",G3036&lt;=2000,"4 501-2000",TRUE(),"5 Above 2000")</f>
        <v>1 Negative</v>
      </c>
      <c r="P3036" s="2" t="n">
        <f aca="false">Lookups!$B$2*M3036+Lookups!$B$3*L3036</f>
        <v>2</v>
      </c>
      <c r="Q3036" s="2" t="str">
        <f aca="false">INDEX(Lookups!$E$2:$E$5,MATCH(P3036,Lookups!$D$2:$D$5,0))</f>
        <v>High</v>
      </c>
    </row>
    <row r="3037" customFormat="false" ht="15" hidden="false" customHeight="false" outlineLevel="0" collapsed="false">
      <c r="A3037" s="3" t="n">
        <v>3036</v>
      </c>
      <c r="B3037" s="3" t="n">
        <f aca="false">Raw_Data!A3037</f>
        <v>55</v>
      </c>
      <c r="C3037" s="3" t="str">
        <f aca="false">SUBSTITUTE(Raw_Data!B3037,".","")</f>
        <v>unemployed</v>
      </c>
      <c r="D3037" s="3" t="str">
        <f aca="false">Raw_Data!C3037</f>
        <v>married</v>
      </c>
      <c r="E3037" s="3" t="str">
        <f aca="false">Raw_Data!D3037</f>
        <v>tertiary</v>
      </c>
      <c r="F3037" s="3" t="str">
        <f aca="false">Raw_Data!E3037</f>
        <v>no</v>
      </c>
      <c r="G3037" s="3" t="n">
        <f aca="false">Raw_Data!F3037</f>
        <v>4809</v>
      </c>
      <c r="H3037" s="3" t="str">
        <f aca="false">Raw_Data!G3037</f>
        <v>yes</v>
      </c>
      <c r="I3037" s="3" t="str">
        <f aca="false">Raw_Data!H3037</f>
        <v>no</v>
      </c>
      <c r="J3037" s="2" t="n">
        <f aca="false">IF(F3037="yes",1,0)</f>
        <v>0</v>
      </c>
      <c r="K3037" s="2" t="n">
        <f aca="false">IF(H3037="yes",1,0)</f>
        <v>1</v>
      </c>
      <c r="L3037" s="2" t="n">
        <f aca="false">IF(I3037="yes",1,0)</f>
        <v>0</v>
      </c>
      <c r="M3037" s="2" t="n">
        <f aca="false">IF(G3037&lt;0,1,0)</f>
        <v>0</v>
      </c>
      <c r="N3037" s="2" t="str">
        <f aca="false">_xlfn.IFS(B3037&lt;30,"Under 30",B3037&lt;40,"30-39",B3037&lt;50,"40-49",B3037&lt;60,"50-59",TRUE(),"60+")</f>
        <v>50-59</v>
      </c>
      <c r="O3037" s="2" t="str">
        <f aca="false">_xlfn.IFS(G3037&lt;0,"1 Negative",G3037=0,"2 Zero",G3037&lt;=500,"3 1-500",G3037&lt;=2000,"4 501-2000",TRUE(),"5 Above 2000")</f>
        <v>5 Above 2000</v>
      </c>
      <c r="P3037" s="2" t="n">
        <f aca="false">Lookups!$B$2*M3037+Lookups!$B$3*L3037</f>
        <v>0</v>
      </c>
      <c r="Q3037" s="2" t="str">
        <f aca="false">INDEX(Lookups!$E$2:$E$5,MATCH(P3037,Lookups!$D$2:$D$5,0))</f>
        <v>Low</v>
      </c>
    </row>
    <row r="3038" customFormat="false" ht="15" hidden="false" customHeight="false" outlineLevel="0" collapsed="false">
      <c r="A3038" s="3" t="n">
        <v>3037</v>
      </c>
      <c r="B3038" s="3" t="n">
        <f aca="false">Raw_Data!A3038</f>
        <v>73</v>
      </c>
      <c r="C3038" s="3" t="str">
        <f aca="false">SUBSTITUTE(Raw_Data!B3038,".","")</f>
        <v>retired</v>
      </c>
      <c r="D3038" s="3" t="str">
        <f aca="false">Raw_Data!C3038</f>
        <v>married</v>
      </c>
      <c r="E3038" s="3" t="str">
        <f aca="false">Raw_Data!D3038</f>
        <v>primary</v>
      </c>
      <c r="F3038" s="3" t="str">
        <f aca="false">Raw_Data!E3038</f>
        <v>no</v>
      </c>
      <c r="G3038" s="3" t="n">
        <f aca="false">Raw_Data!F3038</f>
        <v>279</v>
      </c>
      <c r="H3038" s="3" t="str">
        <f aca="false">Raw_Data!G3038</f>
        <v>no</v>
      </c>
      <c r="I3038" s="3" t="str">
        <f aca="false">Raw_Data!H3038</f>
        <v>no</v>
      </c>
      <c r="J3038" s="2" t="n">
        <f aca="false">IF(F3038="yes",1,0)</f>
        <v>0</v>
      </c>
      <c r="K3038" s="2" t="n">
        <f aca="false">IF(H3038="yes",1,0)</f>
        <v>0</v>
      </c>
      <c r="L3038" s="2" t="n">
        <f aca="false">IF(I3038="yes",1,0)</f>
        <v>0</v>
      </c>
      <c r="M3038" s="2" t="n">
        <f aca="false">IF(G3038&lt;0,1,0)</f>
        <v>0</v>
      </c>
      <c r="N3038" s="2" t="str">
        <f aca="false">_xlfn.IFS(B3038&lt;30,"Under 30",B3038&lt;40,"30-39",B3038&lt;50,"40-49",B3038&lt;60,"50-59",TRUE(),"60+")</f>
        <v>60+</v>
      </c>
      <c r="O3038" s="2" t="str">
        <f aca="false">_xlfn.IFS(G3038&lt;0,"1 Negative",G3038=0,"2 Zero",G3038&lt;=500,"3 1-500",G3038&lt;=2000,"4 501-2000",TRUE(),"5 Above 2000")</f>
        <v>3 1-500</v>
      </c>
      <c r="P3038" s="2" t="n">
        <f aca="false">Lookups!$B$2*M3038+Lookups!$B$3*L3038</f>
        <v>0</v>
      </c>
      <c r="Q3038" s="2" t="str">
        <f aca="false">INDEX(Lookups!$E$2:$E$5,MATCH(P3038,Lookups!$D$2:$D$5,0))</f>
        <v>Low</v>
      </c>
    </row>
    <row r="3039" customFormat="false" ht="15" hidden="false" customHeight="false" outlineLevel="0" collapsed="false">
      <c r="A3039" s="3" t="n">
        <v>3038</v>
      </c>
      <c r="B3039" s="3" t="n">
        <f aca="false">Raw_Data!A3039</f>
        <v>52</v>
      </c>
      <c r="C3039" s="3" t="str">
        <f aca="false">SUBSTITUTE(Raw_Data!B3039,".","")</f>
        <v>technician</v>
      </c>
      <c r="D3039" s="3" t="str">
        <f aca="false">Raw_Data!C3039</f>
        <v>married</v>
      </c>
      <c r="E3039" s="3" t="str">
        <f aca="false">Raw_Data!D3039</f>
        <v>secondary</v>
      </c>
      <c r="F3039" s="3" t="str">
        <f aca="false">Raw_Data!E3039</f>
        <v>no</v>
      </c>
      <c r="G3039" s="3" t="n">
        <f aca="false">Raw_Data!F3039</f>
        <v>11</v>
      </c>
      <c r="H3039" s="3" t="str">
        <f aca="false">Raw_Data!G3039</f>
        <v>yes</v>
      </c>
      <c r="I3039" s="3" t="str">
        <f aca="false">Raw_Data!H3039</f>
        <v>no</v>
      </c>
      <c r="J3039" s="2" t="n">
        <f aca="false">IF(F3039="yes",1,0)</f>
        <v>0</v>
      </c>
      <c r="K3039" s="2" t="n">
        <f aca="false">IF(H3039="yes",1,0)</f>
        <v>1</v>
      </c>
      <c r="L3039" s="2" t="n">
        <f aca="false">IF(I3039="yes",1,0)</f>
        <v>0</v>
      </c>
      <c r="M3039" s="2" t="n">
        <f aca="false">IF(G3039&lt;0,1,0)</f>
        <v>0</v>
      </c>
      <c r="N3039" s="2" t="str">
        <f aca="false">_xlfn.IFS(B3039&lt;30,"Under 30",B3039&lt;40,"30-39",B3039&lt;50,"40-49",B3039&lt;60,"50-59",TRUE(),"60+")</f>
        <v>50-59</v>
      </c>
      <c r="O3039" s="2" t="str">
        <f aca="false">_xlfn.IFS(G3039&lt;0,"1 Negative",G3039=0,"2 Zero",G3039&lt;=500,"3 1-500",G3039&lt;=2000,"4 501-2000",TRUE(),"5 Above 2000")</f>
        <v>3 1-500</v>
      </c>
      <c r="P3039" s="2" t="n">
        <f aca="false">Lookups!$B$2*M3039+Lookups!$B$3*L3039</f>
        <v>0</v>
      </c>
      <c r="Q3039" s="2" t="str">
        <f aca="false">INDEX(Lookups!$E$2:$E$5,MATCH(P3039,Lookups!$D$2:$D$5,0))</f>
        <v>Low</v>
      </c>
    </row>
    <row r="3040" customFormat="false" ht="15" hidden="false" customHeight="false" outlineLevel="0" collapsed="false">
      <c r="A3040" s="3" t="n">
        <v>3039</v>
      </c>
      <c r="B3040" s="3" t="n">
        <f aca="false">Raw_Data!A3040</f>
        <v>49</v>
      </c>
      <c r="C3040" s="3" t="str">
        <f aca="false">SUBSTITUTE(Raw_Data!B3040,".","")</f>
        <v>services</v>
      </c>
      <c r="D3040" s="3" t="str">
        <f aca="false">Raw_Data!C3040</f>
        <v>married</v>
      </c>
      <c r="E3040" s="3" t="str">
        <f aca="false">Raw_Data!D3040</f>
        <v>secondary</v>
      </c>
      <c r="F3040" s="3" t="str">
        <f aca="false">Raw_Data!E3040</f>
        <v>no</v>
      </c>
      <c r="G3040" s="3" t="n">
        <f aca="false">Raw_Data!F3040</f>
        <v>2201</v>
      </c>
      <c r="H3040" s="3" t="str">
        <f aca="false">Raw_Data!G3040</f>
        <v>yes</v>
      </c>
      <c r="I3040" s="3" t="str">
        <f aca="false">Raw_Data!H3040</f>
        <v>no</v>
      </c>
      <c r="J3040" s="2" t="n">
        <f aca="false">IF(F3040="yes",1,0)</f>
        <v>0</v>
      </c>
      <c r="K3040" s="2" t="n">
        <f aca="false">IF(H3040="yes",1,0)</f>
        <v>1</v>
      </c>
      <c r="L3040" s="2" t="n">
        <f aca="false">IF(I3040="yes",1,0)</f>
        <v>0</v>
      </c>
      <c r="M3040" s="2" t="n">
        <f aca="false">IF(G3040&lt;0,1,0)</f>
        <v>0</v>
      </c>
      <c r="N3040" s="2" t="str">
        <f aca="false">_xlfn.IFS(B3040&lt;30,"Under 30",B3040&lt;40,"30-39",B3040&lt;50,"40-49",B3040&lt;60,"50-59",TRUE(),"60+")</f>
        <v>40-49</v>
      </c>
      <c r="O3040" s="2" t="str">
        <f aca="false">_xlfn.IFS(G3040&lt;0,"1 Negative",G3040=0,"2 Zero",G3040&lt;=500,"3 1-500",G3040&lt;=2000,"4 501-2000",TRUE(),"5 Above 2000")</f>
        <v>5 Above 2000</v>
      </c>
      <c r="P3040" s="2" t="n">
        <f aca="false">Lookups!$B$2*M3040+Lookups!$B$3*L3040</f>
        <v>0</v>
      </c>
      <c r="Q3040" s="2" t="str">
        <f aca="false">INDEX(Lookups!$E$2:$E$5,MATCH(P3040,Lookups!$D$2:$D$5,0))</f>
        <v>Low</v>
      </c>
    </row>
    <row r="3041" customFormat="false" ht="15" hidden="false" customHeight="false" outlineLevel="0" collapsed="false">
      <c r="A3041" s="3" t="n">
        <v>3040</v>
      </c>
      <c r="B3041" s="3" t="n">
        <f aca="false">Raw_Data!A3041</f>
        <v>63</v>
      </c>
      <c r="C3041" s="3" t="str">
        <f aca="false">SUBSTITUTE(Raw_Data!B3041,".","")</f>
        <v>retired</v>
      </c>
      <c r="D3041" s="3" t="str">
        <f aca="false">Raw_Data!C3041</f>
        <v>married</v>
      </c>
      <c r="E3041" s="3" t="str">
        <f aca="false">Raw_Data!D3041</f>
        <v>primary</v>
      </c>
      <c r="F3041" s="3" t="str">
        <f aca="false">Raw_Data!E3041</f>
        <v>no</v>
      </c>
      <c r="G3041" s="3" t="n">
        <f aca="false">Raw_Data!F3041</f>
        <v>8044</v>
      </c>
      <c r="H3041" s="3" t="str">
        <f aca="false">Raw_Data!G3041</f>
        <v>no</v>
      </c>
      <c r="I3041" s="3" t="str">
        <f aca="false">Raw_Data!H3041</f>
        <v>no</v>
      </c>
      <c r="J3041" s="2" t="n">
        <f aca="false">IF(F3041="yes",1,0)</f>
        <v>0</v>
      </c>
      <c r="K3041" s="2" t="n">
        <f aca="false">IF(H3041="yes",1,0)</f>
        <v>0</v>
      </c>
      <c r="L3041" s="2" t="n">
        <f aca="false">IF(I3041="yes",1,0)</f>
        <v>0</v>
      </c>
      <c r="M3041" s="2" t="n">
        <f aca="false">IF(G3041&lt;0,1,0)</f>
        <v>0</v>
      </c>
      <c r="N3041" s="2" t="str">
        <f aca="false">_xlfn.IFS(B3041&lt;30,"Under 30",B3041&lt;40,"30-39",B3041&lt;50,"40-49",B3041&lt;60,"50-59",TRUE(),"60+")</f>
        <v>60+</v>
      </c>
      <c r="O3041" s="2" t="str">
        <f aca="false">_xlfn.IFS(G3041&lt;0,"1 Negative",G3041=0,"2 Zero",G3041&lt;=500,"3 1-500",G3041&lt;=2000,"4 501-2000",TRUE(),"5 Above 2000")</f>
        <v>5 Above 2000</v>
      </c>
      <c r="P3041" s="2" t="n">
        <f aca="false">Lookups!$B$2*M3041+Lookups!$B$3*L3041</f>
        <v>0</v>
      </c>
      <c r="Q3041" s="2" t="str">
        <f aca="false">INDEX(Lookups!$E$2:$E$5,MATCH(P3041,Lookups!$D$2:$D$5,0))</f>
        <v>Low</v>
      </c>
    </row>
    <row r="3042" customFormat="false" ht="15" hidden="false" customHeight="false" outlineLevel="0" collapsed="false">
      <c r="A3042" s="3" t="n">
        <v>3041</v>
      </c>
      <c r="B3042" s="3" t="n">
        <f aca="false">Raw_Data!A3042</f>
        <v>34</v>
      </c>
      <c r="C3042" s="3" t="str">
        <f aca="false">SUBSTITUTE(Raw_Data!B3042,".","")</f>
        <v>admin</v>
      </c>
      <c r="D3042" s="3" t="str">
        <f aca="false">Raw_Data!C3042</f>
        <v>married</v>
      </c>
      <c r="E3042" s="3" t="str">
        <f aca="false">Raw_Data!D3042</f>
        <v>secondary</v>
      </c>
      <c r="F3042" s="3" t="str">
        <f aca="false">Raw_Data!E3042</f>
        <v>no</v>
      </c>
      <c r="G3042" s="3" t="n">
        <f aca="false">Raw_Data!F3042</f>
        <v>2374</v>
      </c>
      <c r="H3042" s="3" t="str">
        <f aca="false">Raw_Data!G3042</f>
        <v>yes</v>
      </c>
      <c r="I3042" s="3" t="str">
        <f aca="false">Raw_Data!H3042</f>
        <v>no</v>
      </c>
      <c r="J3042" s="2" t="n">
        <f aca="false">IF(F3042="yes",1,0)</f>
        <v>0</v>
      </c>
      <c r="K3042" s="2" t="n">
        <f aca="false">IF(H3042="yes",1,0)</f>
        <v>1</v>
      </c>
      <c r="L3042" s="2" t="n">
        <f aca="false">IF(I3042="yes",1,0)</f>
        <v>0</v>
      </c>
      <c r="M3042" s="2" t="n">
        <f aca="false">IF(G3042&lt;0,1,0)</f>
        <v>0</v>
      </c>
      <c r="N3042" s="2" t="str">
        <f aca="false">_xlfn.IFS(B3042&lt;30,"Under 30",B3042&lt;40,"30-39",B3042&lt;50,"40-49",B3042&lt;60,"50-59",TRUE(),"60+")</f>
        <v>30-39</v>
      </c>
      <c r="O3042" s="2" t="str">
        <f aca="false">_xlfn.IFS(G3042&lt;0,"1 Negative",G3042=0,"2 Zero",G3042&lt;=500,"3 1-500",G3042&lt;=2000,"4 501-2000",TRUE(),"5 Above 2000")</f>
        <v>5 Above 2000</v>
      </c>
      <c r="P3042" s="2" t="n">
        <f aca="false">Lookups!$B$2*M3042+Lookups!$B$3*L3042</f>
        <v>0</v>
      </c>
      <c r="Q3042" s="2" t="str">
        <f aca="false">INDEX(Lookups!$E$2:$E$5,MATCH(P3042,Lookups!$D$2:$D$5,0))</f>
        <v>Low</v>
      </c>
    </row>
    <row r="3043" customFormat="false" ht="15" hidden="false" customHeight="false" outlineLevel="0" collapsed="false">
      <c r="A3043" s="3" t="n">
        <v>3042</v>
      </c>
      <c r="B3043" s="3" t="n">
        <f aca="false">Raw_Data!A3043</f>
        <v>32</v>
      </c>
      <c r="C3043" s="3" t="str">
        <f aca="false">SUBSTITUTE(Raw_Data!B3043,".","")</f>
        <v>admin</v>
      </c>
      <c r="D3043" s="3" t="str">
        <f aca="false">Raw_Data!C3043</f>
        <v>single</v>
      </c>
      <c r="E3043" s="3" t="str">
        <f aca="false">Raw_Data!D3043</f>
        <v>secondary</v>
      </c>
      <c r="F3043" s="3" t="str">
        <f aca="false">Raw_Data!E3043</f>
        <v>no</v>
      </c>
      <c r="G3043" s="3" t="n">
        <f aca="false">Raw_Data!F3043</f>
        <v>92</v>
      </c>
      <c r="H3043" s="3" t="str">
        <f aca="false">Raw_Data!G3043</f>
        <v>yes</v>
      </c>
      <c r="I3043" s="3" t="str">
        <f aca="false">Raw_Data!H3043</f>
        <v>no</v>
      </c>
      <c r="J3043" s="2" t="n">
        <f aca="false">IF(F3043="yes",1,0)</f>
        <v>0</v>
      </c>
      <c r="K3043" s="2" t="n">
        <f aca="false">IF(H3043="yes",1,0)</f>
        <v>1</v>
      </c>
      <c r="L3043" s="2" t="n">
        <f aca="false">IF(I3043="yes",1,0)</f>
        <v>0</v>
      </c>
      <c r="M3043" s="2" t="n">
        <f aca="false">IF(G3043&lt;0,1,0)</f>
        <v>0</v>
      </c>
      <c r="N3043" s="2" t="str">
        <f aca="false">_xlfn.IFS(B3043&lt;30,"Under 30",B3043&lt;40,"30-39",B3043&lt;50,"40-49",B3043&lt;60,"50-59",TRUE(),"60+")</f>
        <v>30-39</v>
      </c>
      <c r="O3043" s="2" t="str">
        <f aca="false">_xlfn.IFS(G3043&lt;0,"1 Negative",G3043=0,"2 Zero",G3043&lt;=500,"3 1-500",G3043&lt;=2000,"4 501-2000",TRUE(),"5 Above 2000")</f>
        <v>3 1-500</v>
      </c>
      <c r="P3043" s="2" t="n">
        <f aca="false">Lookups!$B$2*M3043+Lookups!$B$3*L3043</f>
        <v>0</v>
      </c>
      <c r="Q3043" s="2" t="str">
        <f aca="false">INDEX(Lookups!$E$2:$E$5,MATCH(P3043,Lookups!$D$2:$D$5,0))</f>
        <v>Low</v>
      </c>
    </row>
    <row r="3044" customFormat="false" ht="15" hidden="false" customHeight="false" outlineLevel="0" collapsed="false">
      <c r="A3044" s="3" t="n">
        <v>3043</v>
      </c>
      <c r="B3044" s="3" t="n">
        <f aca="false">Raw_Data!A3044</f>
        <v>49</v>
      </c>
      <c r="C3044" s="3" t="str">
        <f aca="false">SUBSTITUTE(Raw_Data!B3044,".","")</f>
        <v>housemaid</v>
      </c>
      <c r="D3044" s="3" t="str">
        <f aca="false">Raw_Data!C3044</f>
        <v>married</v>
      </c>
      <c r="E3044" s="3" t="str">
        <f aca="false">Raw_Data!D3044</f>
        <v>tertiary</v>
      </c>
      <c r="F3044" s="3" t="str">
        <f aca="false">Raw_Data!E3044</f>
        <v>no</v>
      </c>
      <c r="G3044" s="3" t="n">
        <f aca="false">Raw_Data!F3044</f>
        <v>443</v>
      </c>
      <c r="H3044" s="3" t="str">
        <f aca="false">Raw_Data!G3044</f>
        <v>no</v>
      </c>
      <c r="I3044" s="3" t="str">
        <f aca="false">Raw_Data!H3044</f>
        <v>no</v>
      </c>
      <c r="J3044" s="2" t="n">
        <f aca="false">IF(F3044="yes",1,0)</f>
        <v>0</v>
      </c>
      <c r="K3044" s="2" t="n">
        <f aca="false">IF(H3044="yes",1,0)</f>
        <v>0</v>
      </c>
      <c r="L3044" s="2" t="n">
        <f aca="false">IF(I3044="yes",1,0)</f>
        <v>0</v>
      </c>
      <c r="M3044" s="2" t="n">
        <f aca="false">IF(G3044&lt;0,1,0)</f>
        <v>0</v>
      </c>
      <c r="N3044" s="2" t="str">
        <f aca="false">_xlfn.IFS(B3044&lt;30,"Under 30",B3044&lt;40,"30-39",B3044&lt;50,"40-49",B3044&lt;60,"50-59",TRUE(),"60+")</f>
        <v>40-49</v>
      </c>
      <c r="O3044" s="2" t="str">
        <f aca="false">_xlfn.IFS(G3044&lt;0,"1 Negative",G3044=0,"2 Zero",G3044&lt;=500,"3 1-500",G3044&lt;=2000,"4 501-2000",TRUE(),"5 Above 2000")</f>
        <v>3 1-500</v>
      </c>
      <c r="P3044" s="2" t="n">
        <f aca="false">Lookups!$B$2*M3044+Lookups!$B$3*L3044</f>
        <v>0</v>
      </c>
      <c r="Q3044" s="2" t="str">
        <f aca="false">INDEX(Lookups!$E$2:$E$5,MATCH(P3044,Lookups!$D$2:$D$5,0))</f>
        <v>Low</v>
      </c>
    </row>
    <row r="3045" customFormat="false" ht="15" hidden="false" customHeight="false" outlineLevel="0" collapsed="false">
      <c r="A3045" s="3" t="n">
        <v>3044</v>
      </c>
      <c r="B3045" s="3" t="n">
        <f aca="false">Raw_Data!A3045</f>
        <v>40</v>
      </c>
      <c r="C3045" s="3" t="str">
        <f aca="false">SUBSTITUTE(Raw_Data!B3045,".","")</f>
        <v>blue-collar</v>
      </c>
      <c r="D3045" s="3" t="str">
        <f aca="false">Raw_Data!C3045</f>
        <v>married</v>
      </c>
      <c r="E3045" s="3" t="str">
        <f aca="false">Raw_Data!D3045</f>
        <v>primary</v>
      </c>
      <c r="F3045" s="3" t="str">
        <f aca="false">Raw_Data!E3045</f>
        <v>no</v>
      </c>
      <c r="G3045" s="3" t="n">
        <f aca="false">Raw_Data!F3045</f>
        <v>1397</v>
      </c>
      <c r="H3045" s="3" t="str">
        <f aca="false">Raw_Data!G3045</f>
        <v>yes</v>
      </c>
      <c r="I3045" s="3" t="str">
        <f aca="false">Raw_Data!H3045</f>
        <v>no</v>
      </c>
      <c r="J3045" s="2" t="n">
        <f aca="false">IF(F3045="yes",1,0)</f>
        <v>0</v>
      </c>
      <c r="K3045" s="2" t="n">
        <f aca="false">IF(H3045="yes",1,0)</f>
        <v>1</v>
      </c>
      <c r="L3045" s="2" t="n">
        <f aca="false">IF(I3045="yes",1,0)</f>
        <v>0</v>
      </c>
      <c r="M3045" s="2" t="n">
        <f aca="false">IF(G3045&lt;0,1,0)</f>
        <v>0</v>
      </c>
      <c r="N3045" s="2" t="str">
        <f aca="false">_xlfn.IFS(B3045&lt;30,"Under 30",B3045&lt;40,"30-39",B3045&lt;50,"40-49",B3045&lt;60,"50-59",TRUE(),"60+")</f>
        <v>40-49</v>
      </c>
      <c r="O3045" s="2" t="str">
        <f aca="false">_xlfn.IFS(G3045&lt;0,"1 Negative",G3045=0,"2 Zero",G3045&lt;=500,"3 1-500",G3045&lt;=2000,"4 501-2000",TRUE(),"5 Above 2000")</f>
        <v>4 501-2000</v>
      </c>
      <c r="P3045" s="2" t="n">
        <f aca="false">Lookups!$B$2*M3045+Lookups!$B$3*L3045</f>
        <v>0</v>
      </c>
      <c r="Q3045" s="2" t="str">
        <f aca="false">INDEX(Lookups!$E$2:$E$5,MATCH(P3045,Lookups!$D$2:$D$5,0))</f>
        <v>Low</v>
      </c>
    </row>
    <row r="3046" customFormat="false" ht="15" hidden="false" customHeight="false" outlineLevel="0" collapsed="false">
      <c r="A3046" s="3" t="n">
        <v>3045</v>
      </c>
      <c r="B3046" s="3" t="n">
        <f aca="false">Raw_Data!A3046</f>
        <v>53</v>
      </c>
      <c r="C3046" s="3" t="str">
        <f aca="false">SUBSTITUTE(Raw_Data!B3046,".","")</f>
        <v>entrepreneur</v>
      </c>
      <c r="D3046" s="3" t="str">
        <f aca="false">Raw_Data!C3046</f>
        <v>married</v>
      </c>
      <c r="E3046" s="3" t="str">
        <f aca="false">Raw_Data!D3046</f>
        <v>unknown</v>
      </c>
      <c r="F3046" s="3" t="str">
        <f aca="false">Raw_Data!E3046</f>
        <v>no</v>
      </c>
      <c r="G3046" s="3" t="n">
        <f aca="false">Raw_Data!F3046</f>
        <v>7</v>
      </c>
      <c r="H3046" s="3" t="str">
        <f aca="false">Raw_Data!G3046</f>
        <v>no</v>
      </c>
      <c r="I3046" s="3" t="str">
        <f aca="false">Raw_Data!H3046</f>
        <v>no</v>
      </c>
      <c r="J3046" s="2" t="n">
        <f aca="false">IF(F3046="yes",1,0)</f>
        <v>0</v>
      </c>
      <c r="K3046" s="2" t="n">
        <f aca="false">IF(H3046="yes",1,0)</f>
        <v>0</v>
      </c>
      <c r="L3046" s="2" t="n">
        <f aca="false">IF(I3046="yes",1,0)</f>
        <v>0</v>
      </c>
      <c r="M3046" s="2" t="n">
        <f aca="false">IF(G3046&lt;0,1,0)</f>
        <v>0</v>
      </c>
      <c r="N3046" s="2" t="str">
        <f aca="false">_xlfn.IFS(B3046&lt;30,"Under 30",B3046&lt;40,"30-39",B3046&lt;50,"40-49",B3046&lt;60,"50-59",TRUE(),"60+")</f>
        <v>50-59</v>
      </c>
      <c r="O3046" s="2" t="str">
        <f aca="false">_xlfn.IFS(G3046&lt;0,"1 Negative",G3046=0,"2 Zero",G3046&lt;=500,"3 1-500",G3046&lt;=2000,"4 501-2000",TRUE(),"5 Above 2000")</f>
        <v>3 1-500</v>
      </c>
      <c r="P3046" s="2" t="n">
        <f aca="false">Lookups!$B$2*M3046+Lookups!$B$3*L3046</f>
        <v>0</v>
      </c>
      <c r="Q3046" s="2" t="str">
        <f aca="false">INDEX(Lookups!$E$2:$E$5,MATCH(P3046,Lookups!$D$2:$D$5,0))</f>
        <v>Low</v>
      </c>
    </row>
    <row r="3047" customFormat="false" ht="15" hidden="false" customHeight="false" outlineLevel="0" collapsed="false">
      <c r="A3047" s="3" t="n">
        <v>3046</v>
      </c>
      <c r="B3047" s="3" t="n">
        <f aca="false">Raw_Data!A3047</f>
        <v>53</v>
      </c>
      <c r="C3047" s="3" t="str">
        <f aca="false">SUBSTITUTE(Raw_Data!B3047,".","")</f>
        <v>technician</v>
      </c>
      <c r="D3047" s="3" t="str">
        <f aca="false">Raw_Data!C3047</f>
        <v>married</v>
      </c>
      <c r="E3047" s="3" t="str">
        <f aca="false">Raw_Data!D3047</f>
        <v>tertiary</v>
      </c>
      <c r="F3047" s="3" t="str">
        <f aca="false">Raw_Data!E3047</f>
        <v>no</v>
      </c>
      <c r="G3047" s="3" t="n">
        <f aca="false">Raw_Data!F3047</f>
        <v>3177</v>
      </c>
      <c r="H3047" s="3" t="str">
        <f aca="false">Raw_Data!G3047</f>
        <v>no</v>
      </c>
      <c r="I3047" s="3" t="str">
        <f aca="false">Raw_Data!H3047</f>
        <v>no</v>
      </c>
      <c r="J3047" s="2" t="n">
        <f aca="false">IF(F3047="yes",1,0)</f>
        <v>0</v>
      </c>
      <c r="K3047" s="2" t="n">
        <f aca="false">IF(H3047="yes",1,0)</f>
        <v>0</v>
      </c>
      <c r="L3047" s="2" t="n">
        <f aca="false">IF(I3047="yes",1,0)</f>
        <v>0</v>
      </c>
      <c r="M3047" s="2" t="n">
        <f aca="false">IF(G3047&lt;0,1,0)</f>
        <v>0</v>
      </c>
      <c r="N3047" s="2" t="str">
        <f aca="false">_xlfn.IFS(B3047&lt;30,"Under 30",B3047&lt;40,"30-39",B3047&lt;50,"40-49",B3047&lt;60,"50-59",TRUE(),"60+")</f>
        <v>50-59</v>
      </c>
      <c r="O3047" s="2" t="str">
        <f aca="false">_xlfn.IFS(G3047&lt;0,"1 Negative",G3047=0,"2 Zero",G3047&lt;=500,"3 1-500",G3047&lt;=2000,"4 501-2000",TRUE(),"5 Above 2000")</f>
        <v>5 Above 2000</v>
      </c>
      <c r="P3047" s="2" t="n">
        <f aca="false">Lookups!$B$2*M3047+Lookups!$B$3*L3047</f>
        <v>0</v>
      </c>
      <c r="Q3047" s="2" t="str">
        <f aca="false">INDEX(Lookups!$E$2:$E$5,MATCH(P3047,Lookups!$D$2:$D$5,0))</f>
        <v>Low</v>
      </c>
    </row>
    <row r="3048" customFormat="false" ht="15" hidden="false" customHeight="false" outlineLevel="0" collapsed="false">
      <c r="A3048" s="3" t="n">
        <v>3047</v>
      </c>
      <c r="B3048" s="3" t="n">
        <f aca="false">Raw_Data!A3048</f>
        <v>43</v>
      </c>
      <c r="C3048" s="3" t="str">
        <f aca="false">SUBSTITUTE(Raw_Data!B3048,".","")</f>
        <v>blue-collar</v>
      </c>
      <c r="D3048" s="3" t="str">
        <f aca="false">Raw_Data!C3048</f>
        <v>married</v>
      </c>
      <c r="E3048" s="3" t="str">
        <f aca="false">Raw_Data!D3048</f>
        <v>primary</v>
      </c>
      <c r="F3048" s="3" t="str">
        <f aca="false">Raw_Data!E3048</f>
        <v>no</v>
      </c>
      <c r="G3048" s="3" t="n">
        <f aca="false">Raw_Data!F3048</f>
        <v>232</v>
      </c>
      <c r="H3048" s="3" t="str">
        <f aca="false">Raw_Data!G3048</f>
        <v>no</v>
      </c>
      <c r="I3048" s="3" t="str">
        <f aca="false">Raw_Data!H3048</f>
        <v>yes</v>
      </c>
      <c r="J3048" s="2" t="n">
        <f aca="false">IF(F3048="yes",1,0)</f>
        <v>0</v>
      </c>
      <c r="K3048" s="2" t="n">
        <f aca="false">IF(H3048="yes",1,0)</f>
        <v>0</v>
      </c>
      <c r="L3048" s="2" t="n">
        <f aca="false">IF(I3048="yes",1,0)</f>
        <v>1</v>
      </c>
      <c r="M3048" s="2" t="n">
        <f aca="false">IF(G3048&lt;0,1,0)</f>
        <v>0</v>
      </c>
      <c r="N3048" s="2" t="str">
        <f aca="false">_xlfn.IFS(B3048&lt;30,"Under 30",B3048&lt;40,"30-39",B3048&lt;50,"40-49",B3048&lt;60,"50-59",TRUE(),"60+")</f>
        <v>40-49</v>
      </c>
      <c r="O3048" s="2" t="str">
        <f aca="false">_xlfn.IFS(G3048&lt;0,"1 Negative",G3048=0,"2 Zero",G3048&lt;=500,"3 1-500",G3048&lt;=2000,"4 501-2000",TRUE(),"5 Above 2000")</f>
        <v>3 1-500</v>
      </c>
      <c r="P3048" s="2" t="n">
        <f aca="false">Lookups!$B$2*M3048+Lookups!$B$3*L3048</f>
        <v>1</v>
      </c>
      <c r="Q3048" s="2" t="str">
        <f aca="false">INDEX(Lookups!$E$2:$E$5,MATCH(P3048,Lookups!$D$2:$D$5,0))</f>
        <v>Medium</v>
      </c>
    </row>
    <row r="3049" customFormat="false" ht="15" hidden="false" customHeight="false" outlineLevel="0" collapsed="false">
      <c r="A3049" s="3" t="n">
        <v>3048</v>
      </c>
      <c r="B3049" s="3" t="n">
        <f aca="false">Raw_Data!A3049</f>
        <v>35</v>
      </c>
      <c r="C3049" s="3" t="str">
        <f aca="false">SUBSTITUTE(Raw_Data!B3049,".","")</f>
        <v>management</v>
      </c>
      <c r="D3049" s="3" t="str">
        <f aca="false">Raw_Data!C3049</f>
        <v>single</v>
      </c>
      <c r="E3049" s="3" t="str">
        <f aca="false">Raw_Data!D3049</f>
        <v>secondary</v>
      </c>
      <c r="F3049" s="3" t="str">
        <f aca="false">Raw_Data!E3049</f>
        <v>no</v>
      </c>
      <c r="G3049" s="3" t="n">
        <f aca="false">Raw_Data!F3049</f>
        <v>81</v>
      </c>
      <c r="H3049" s="3" t="str">
        <f aca="false">Raw_Data!G3049</f>
        <v>yes</v>
      </c>
      <c r="I3049" s="3" t="str">
        <f aca="false">Raw_Data!H3049</f>
        <v>no</v>
      </c>
      <c r="J3049" s="2" t="n">
        <f aca="false">IF(F3049="yes",1,0)</f>
        <v>0</v>
      </c>
      <c r="K3049" s="2" t="n">
        <f aca="false">IF(H3049="yes",1,0)</f>
        <v>1</v>
      </c>
      <c r="L3049" s="2" t="n">
        <f aca="false">IF(I3049="yes",1,0)</f>
        <v>0</v>
      </c>
      <c r="M3049" s="2" t="n">
        <f aca="false">IF(G3049&lt;0,1,0)</f>
        <v>0</v>
      </c>
      <c r="N3049" s="2" t="str">
        <f aca="false">_xlfn.IFS(B3049&lt;30,"Under 30",B3049&lt;40,"30-39",B3049&lt;50,"40-49",B3049&lt;60,"50-59",TRUE(),"60+")</f>
        <v>30-39</v>
      </c>
      <c r="O3049" s="2" t="str">
        <f aca="false">_xlfn.IFS(G3049&lt;0,"1 Negative",G3049=0,"2 Zero",G3049&lt;=500,"3 1-500",G3049&lt;=2000,"4 501-2000",TRUE(),"5 Above 2000")</f>
        <v>3 1-500</v>
      </c>
      <c r="P3049" s="2" t="n">
        <f aca="false">Lookups!$B$2*M3049+Lookups!$B$3*L3049</f>
        <v>0</v>
      </c>
      <c r="Q3049" s="2" t="str">
        <f aca="false">INDEX(Lookups!$E$2:$E$5,MATCH(P3049,Lookups!$D$2:$D$5,0))</f>
        <v>Low</v>
      </c>
    </row>
    <row r="3050" customFormat="false" ht="15" hidden="false" customHeight="false" outlineLevel="0" collapsed="false">
      <c r="A3050" s="3" t="n">
        <v>3049</v>
      </c>
      <c r="B3050" s="3" t="n">
        <f aca="false">Raw_Data!A3050</f>
        <v>35</v>
      </c>
      <c r="C3050" s="3" t="str">
        <f aca="false">SUBSTITUTE(Raw_Data!B3050,".","")</f>
        <v>services</v>
      </c>
      <c r="D3050" s="3" t="str">
        <f aca="false">Raw_Data!C3050</f>
        <v>single</v>
      </c>
      <c r="E3050" s="3" t="str">
        <f aca="false">Raw_Data!D3050</f>
        <v>secondary</v>
      </c>
      <c r="F3050" s="3" t="str">
        <f aca="false">Raw_Data!E3050</f>
        <v>no</v>
      </c>
      <c r="G3050" s="3" t="n">
        <f aca="false">Raw_Data!F3050</f>
        <v>414</v>
      </c>
      <c r="H3050" s="3" t="str">
        <f aca="false">Raw_Data!G3050</f>
        <v>yes</v>
      </c>
      <c r="I3050" s="3" t="str">
        <f aca="false">Raw_Data!H3050</f>
        <v>no</v>
      </c>
      <c r="J3050" s="2" t="n">
        <f aca="false">IF(F3050="yes",1,0)</f>
        <v>0</v>
      </c>
      <c r="K3050" s="2" t="n">
        <f aca="false">IF(H3050="yes",1,0)</f>
        <v>1</v>
      </c>
      <c r="L3050" s="2" t="n">
        <f aca="false">IF(I3050="yes",1,0)</f>
        <v>0</v>
      </c>
      <c r="M3050" s="2" t="n">
        <f aca="false">IF(G3050&lt;0,1,0)</f>
        <v>0</v>
      </c>
      <c r="N3050" s="2" t="str">
        <f aca="false">_xlfn.IFS(B3050&lt;30,"Under 30",B3050&lt;40,"30-39",B3050&lt;50,"40-49",B3050&lt;60,"50-59",TRUE(),"60+")</f>
        <v>30-39</v>
      </c>
      <c r="O3050" s="2" t="str">
        <f aca="false">_xlfn.IFS(G3050&lt;0,"1 Negative",G3050=0,"2 Zero",G3050&lt;=500,"3 1-500",G3050&lt;=2000,"4 501-2000",TRUE(),"5 Above 2000")</f>
        <v>3 1-500</v>
      </c>
      <c r="P3050" s="2" t="n">
        <f aca="false">Lookups!$B$2*M3050+Lookups!$B$3*L3050</f>
        <v>0</v>
      </c>
      <c r="Q3050" s="2" t="str">
        <f aca="false">INDEX(Lookups!$E$2:$E$5,MATCH(P3050,Lookups!$D$2:$D$5,0))</f>
        <v>Low</v>
      </c>
    </row>
    <row r="3051" customFormat="false" ht="15" hidden="false" customHeight="false" outlineLevel="0" collapsed="false">
      <c r="A3051" s="3" t="n">
        <v>3050</v>
      </c>
      <c r="B3051" s="3" t="n">
        <f aca="false">Raw_Data!A3051</f>
        <v>25</v>
      </c>
      <c r="C3051" s="3" t="str">
        <f aca="false">SUBSTITUTE(Raw_Data!B3051,".","")</f>
        <v>student</v>
      </c>
      <c r="D3051" s="3" t="str">
        <f aca="false">Raw_Data!C3051</f>
        <v>single</v>
      </c>
      <c r="E3051" s="3" t="str">
        <f aca="false">Raw_Data!D3051</f>
        <v>tertiary</v>
      </c>
      <c r="F3051" s="3" t="str">
        <f aca="false">Raw_Data!E3051</f>
        <v>no</v>
      </c>
      <c r="G3051" s="3" t="n">
        <f aca="false">Raw_Data!F3051</f>
        <v>1433</v>
      </c>
      <c r="H3051" s="3" t="str">
        <f aca="false">Raw_Data!G3051</f>
        <v>yes</v>
      </c>
      <c r="I3051" s="3" t="str">
        <f aca="false">Raw_Data!H3051</f>
        <v>no</v>
      </c>
      <c r="J3051" s="2" t="n">
        <f aca="false">IF(F3051="yes",1,0)</f>
        <v>0</v>
      </c>
      <c r="K3051" s="2" t="n">
        <f aca="false">IF(H3051="yes",1,0)</f>
        <v>1</v>
      </c>
      <c r="L3051" s="2" t="n">
        <f aca="false">IF(I3051="yes",1,0)</f>
        <v>0</v>
      </c>
      <c r="M3051" s="2" t="n">
        <f aca="false">IF(G3051&lt;0,1,0)</f>
        <v>0</v>
      </c>
      <c r="N3051" s="2" t="str">
        <f aca="false">_xlfn.IFS(B3051&lt;30,"Under 30",B3051&lt;40,"30-39",B3051&lt;50,"40-49",B3051&lt;60,"50-59",TRUE(),"60+")</f>
        <v>Under 30</v>
      </c>
      <c r="O3051" s="2" t="str">
        <f aca="false">_xlfn.IFS(G3051&lt;0,"1 Negative",G3051=0,"2 Zero",G3051&lt;=500,"3 1-500",G3051&lt;=2000,"4 501-2000",TRUE(),"5 Above 2000")</f>
        <v>4 501-2000</v>
      </c>
      <c r="P3051" s="2" t="n">
        <f aca="false">Lookups!$B$2*M3051+Lookups!$B$3*L3051</f>
        <v>0</v>
      </c>
      <c r="Q3051" s="2" t="str">
        <f aca="false">INDEX(Lookups!$E$2:$E$5,MATCH(P3051,Lookups!$D$2:$D$5,0))</f>
        <v>Low</v>
      </c>
    </row>
    <row r="3052" customFormat="false" ht="15" hidden="false" customHeight="false" outlineLevel="0" collapsed="false">
      <c r="A3052" s="3" t="n">
        <v>3051</v>
      </c>
      <c r="B3052" s="3" t="n">
        <f aca="false">Raw_Data!A3052</f>
        <v>31</v>
      </c>
      <c r="C3052" s="3" t="str">
        <f aca="false">SUBSTITUTE(Raw_Data!B3052,".","")</f>
        <v>technician</v>
      </c>
      <c r="D3052" s="3" t="str">
        <f aca="false">Raw_Data!C3052</f>
        <v>single</v>
      </c>
      <c r="E3052" s="3" t="str">
        <f aca="false">Raw_Data!D3052</f>
        <v>unknown</v>
      </c>
      <c r="F3052" s="3" t="str">
        <f aca="false">Raw_Data!E3052</f>
        <v>no</v>
      </c>
      <c r="G3052" s="3" t="n">
        <f aca="false">Raw_Data!F3052</f>
        <v>187</v>
      </c>
      <c r="H3052" s="3" t="str">
        <f aca="false">Raw_Data!G3052</f>
        <v>no</v>
      </c>
      <c r="I3052" s="3" t="str">
        <f aca="false">Raw_Data!H3052</f>
        <v>no</v>
      </c>
      <c r="J3052" s="2" t="n">
        <f aca="false">IF(F3052="yes",1,0)</f>
        <v>0</v>
      </c>
      <c r="K3052" s="2" t="n">
        <f aca="false">IF(H3052="yes",1,0)</f>
        <v>0</v>
      </c>
      <c r="L3052" s="2" t="n">
        <f aca="false">IF(I3052="yes",1,0)</f>
        <v>0</v>
      </c>
      <c r="M3052" s="2" t="n">
        <f aca="false">IF(G3052&lt;0,1,0)</f>
        <v>0</v>
      </c>
      <c r="N3052" s="2" t="str">
        <f aca="false">_xlfn.IFS(B3052&lt;30,"Under 30",B3052&lt;40,"30-39",B3052&lt;50,"40-49",B3052&lt;60,"50-59",TRUE(),"60+")</f>
        <v>30-39</v>
      </c>
      <c r="O3052" s="2" t="str">
        <f aca="false">_xlfn.IFS(G3052&lt;0,"1 Negative",G3052=0,"2 Zero",G3052&lt;=500,"3 1-500",G3052&lt;=2000,"4 501-2000",TRUE(),"5 Above 2000")</f>
        <v>3 1-500</v>
      </c>
      <c r="P3052" s="2" t="n">
        <f aca="false">Lookups!$B$2*M3052+Lookups!$B$3*L3052</f>
        <v>0</v>
      </c>
      <c r="Q3052" s="2" t="str">
        <f aca="false">INDEX(Lookups!$E$2:$E$5,MATCH(P3052,Lookups!$D$2:$D$5,0))</f>
        <v>Low</v>
      </c>
    </row>
    <row r="3053" customFormat="false" ht="15" hidden="false" customHeight="false" outlineLevel="0" collapsed="false">
      <c r="A3053" s="3" t="n">
        <v>3052</v>
      </c>
      <c r="B3053" s="3" t="n">
        <f aca="false">Raw_Data!A3053</f>
        <v>48</v>
      </c>
      <c r="C3053" s="3" t="str">
        <f aca="false">SUBSTITUTE(Raw_Data!B3053,".","")</f>
        <v>management</v>
      </c>
      <c r="D3053" s="3" t="str">
        <f aca="false">Raw_Data!C3053</f>
        <v>married</v>
      </c>
      <c r="E3053" s="3" t="str">
        <f aca="false">Raw_Data!D3053</f>
        <v>tertiary</v>
      </c>
      <c r="F3053" s="3" t="str">
        <f aca="false">Raw_Data!E3053</f>
        <v>no</v>
      </c>
      <c r="G3053" s="3" t="n">
        <f aca="false">Raw_Data!F3053</f>
        <v>0</v>
      </c>
      <c r="H3053" s="3" t="str">
        <f aca="false">Raw_Data!G3053</f>
        <v>no</v>
      </c>
      <c r="I3053" s="3" t="str">
        <f aca="false">Raw_Data!H3053</f>
        <v>no</v>
      </c>
      <c r="J3053" s="2" t="n">
        <f aca="false">IF(F3053="yes",1,0)</f>
        <v>0</v>
      </c>
      <c r="K3053" s="2" t="n">
        <f aca="false">IF(H3053="yes",1,0)</f>
        <v>0</v>
      </c>
      <c r="L3053" s="2" t="n">
        <f aca="false">IF(I3053="yes",1,0)</f>
        <v>0</v>
      </c>
      <c r="M3053" s="2" t="n">
        <f aca="false">IF(G3053&lt;0,1,0)</f>
        <v>0</v>
      </c>
      <c r="N3053" s="2" t="str">
        <f aca="false">_xlfn.IFS(B3053&lt;30,"Under 30",B3053&lt;40,"30-39",B3053&lt;50,"40-49",B3053&lt;60,"50-59",TRUE(),"60+")</f>
        <v>40-49</v>
      </c>
      <c r="O3053" s="2" t="str">
        <f aca="false">_xlfn.IFS(G3053&lt;0,"1 Negative",G3053=0,"2 Zero",G3053&lt;=500,"3 1-500",G3053&lt;=2000,"4 501-2000",TRUE(),"5 Above 2000")</f>
        <v>2 Zero</v>
      </c>
      <c r="P3053" s="2" t="n">
        <f aca="false">Lookups!$B$2*M3053+Lookups!$B$3*L3053</f>
        <v>0</v>
      </c>
      <c r="Q3053" s="2" t="str">
        <f aca="false">INDEX(Lookups!$E$2:$E$5,MATCH(P3053,Lookups!$D$2:$D$5,0))</f>
        <v>Low</v>
      </c>
    </row>
    <row r="3054" customFormat="false" ht="15" hidden="false" customHeight="false" outlineLevel="0" collapsed="false">
      <c r="A3054" s="3" t="n">
        <v>3053</v>
      </c>
      <c r="B3054" s="3" t="n">
        <f aca="false">Raw_Data!A3054</f>
        <v>40</v>
      </c>
      <c r="C3054" s="3" t="str">
        <f aca="false">SUBSTITUTE(Raw_Data!B3054,".","")</f>
        <v>housemaid</v>
      </c>
      <c r="D3054" s="3" t="str">
        <f aca="false">Raw_Data!C3054</f>
        <v>married</v>
      </c>
      <c r="E3054" s="3" t="str">
        <f aca="false">Raw_Data!D3054</f>
        <v>secondary</v>
      </c>
      <c r="F3054" s="3" t="str">
        <f aca="false">Raw_Data!E3054</f>
        <v>no</v>
      </c>
      <c r="G3054" s="3" t="n">
        <f aca="false">Raw_Data!F3054</f>
        <v>4610</v>
      </c>
      <c r="H3054" s="3" t="str">
        <f aca="false">Raw_Data!G3054</f>
        <v>no</v>
      </c>
      <c r="I3054" s="3" t="str">
        <f aca="false">Raw_Data!H3054</f>
        <v>no</v>
      </c>
      <c r="J3054" s="2" t="n">
        <f aca="false">IF(F3054="yes",1,0)</f>
        <v>0</v>
      </c>
      <c r="K3054" s="2" t="n">
        <f aca="false">IF(H3054="yes",1,0)</f>
        <v>0</v>
      </c>
      <c r="L3054" s="2" t="n">
        <f aca="false">IF(I3054="yes",1,0)</f>
        <v>0</v>
      </c>
      <c r="M3054" s="2" t="n">
        <f aca="false">IF(G3054&lt;0,1,0)</f>
        <v>0</v>
      </c>
      <c r="N3054" s="2" t="str">
        <f aca="false">_xlfn.IFS(B3054&lt;30,"Under 30",B3054&lt;40,"30-39",B3054&lt;50,"40-49",B3054&lt;60,"50-59",TRUE(),"60+")</f>
        <v>40-49</v>
      </c>
      <c r="O3054" s="2" t="str">
        <f aca="false">_xlfn.IFS(G3054&lt;0,"1 Negative",G3054=0,"2 Zero",G3054&lt;=500,"3 1-500",G3054&lt;=2000,"4 501-2000",TRUE(),"5 Above 2000")</f>
        <v>5 Above 2000</v>
      </c>
      <c r="P3054" s="2" t="n">
        <f aca="false">Lookups!$B$2*M3054+Lookups!$B$3*L3054</f>
        <v>0</v>
      </c>
      <c r="Q3054" s="2" t="str">
        <f aca="false">INDEX(Lookups!$E$2:$E$5,MATCH(P3054,Lookups!$D$2:$D$5,0))</f>
        <v>Low</v>
      </c>
    </row>
    <row r="3055" customFormat="false" ht="15" hidden="false" customHeight="false" outlineLevel="0" collapsed="false">
      <c r="A3055" s="3" t="n">
        <v>3054</v>
      </c>
      <c r="B3055" s="3" t="n">
        <f aca="false">Raw_Data!A3055</f>
        <v>46</v>
      </c>
      <c r="C3055" s="3" t="str">
        <f aca="false">SUBSTITUTE(Raw_Data!B3055,".","")</f>
        <v>blue-collar</v>
      </c>
      <c r="D3055" s="3" t="str">
        <f aca="false">Raw_Data!C3055</f>
        <v>married</v>
      </c>
      <c r="E3055" s="3" t="str">
        <f aca="false">Raw_Data!D3055</f>
        <v>primary</v>
      </c>
      <c r="F3055" s="3" t="str">
        <f aca="false">Raw_Data!E3055</f>
        <v>no</v>
      </c>
      <c r="G3055" s="3" t="n">
        <f aca="false">Raw_Data!F3055</f>
        <v>1429</v>
      </c>
      <c r="H3055" s="3" t="str">
        <f aca="false">Raw_Data!G3055</f>
        <v>yes</v>
      </c>
      <c r="I3055" s="3" t="str">
        <f aca="false">Raw_Data!H3055</f>
        <v>no</v>
      </c>
      <c r="J3055" s="2" t="n">
        <f aca="false">IF(F3055="yes",1,0)</f>
        <v>0</v>
      </c>
      <c r="K3055" s="2" t="n">
        <f aca="false">IF(H3055="yes",1,0)</f>
        <v>1</v>
      </c>
      <c r="L3055" s="2" t="n">
        <f aca="false">IF(I3055="yes",1,0)</f>
        <v>0</v>
      </c>
      <c r="M3055" s="2" t="n">
        <f aca="false">IF(G3055&lt;0,1,0)</f>
        <v>0</v>
      </c>
      <c r="N3055" s="2" t="str">
        <f aca="false">_xlfn.IFS(B3055&lt;30,"Under 30",B3055&lt;40,"30-39",B3055&lt;50,"40-49",B3055&lt;60,"50-59",TRUE(),"60+")</f>
        <v>40-49</v>
      </c>
      <c r="O3055" s="2" t="str">
        <f aca="false">_xlfn.IFS(G3055&lt;0,"1 Negative",G3055=0,"2 Zero",G3055&lt;=500,"3 1-500",G3055&lt;=2000,"4 501-2000",TRUE(),"5 Above 2000")</f>
        <v>4 501-2000</v>
      </c>
      <c r="P3055" s="2" t="n">
        <f aca="false">Lookups!$B$2*M3055+Lookups!$B$3*L3055</f>
        <v>0</v>
      </c>
      <c r="Q3055" s="2" t="str">
        <f aca="false">INDEX(Lookups!$E$2:$E$5,MATCH(P3055,Lookups!$D$2:$D$5,0))</f>
        <v>Low</v>
      </c>
    </row>
    <row r="3056" customFormat="false" ht="15" hidden="false" customHeight="false" outlineLevel="0" collapsed="false">
      <c r="A3056" s="3" t="n">
        <v>3055</v>
      </c>
      <c r="B3056" s="3" t="n">
        <f aca="false">Raw_Data!A3056</f>
        <v>30</v>
      </c>
      <c r="C3056" s="3" t="str">
        <f aca="false">SUBSTITUTE(Raw_Data!B3056,".","")</f>
        <v>services</v>
      </c>
      <c r="D3056" s="3" t="str">
        <f aca="false">Raw_Data!C3056</f>
        <v>single</v>
      </c>
      <c r="E3056" s="3" t="str">
        <f aca="false">Raw_Data!D3056</f>
        <v>secondary</v>
      </c>
      <c r="F3056" s="3" t="str">
        <f aca="false">Raw_Data!E3056</f>
        <v>no</v>
      </c>
      <c r="G3056" s="3" t="n">
        <f aca="false">Raw_Data!F3056</f>
        <v>334</v>
      </c>
      <c r="H3056" s="3" t="str">
        <f aca="false">Raw_Data!G3056</f>
        <v>no</v>
      </c>
      <c r="I3056" s="3" t="str">
        <f aca="false">Raw_Data!H3056</f>
        <v>no</v>
      </c>
      <c r="J3056" s="2" t="n">
        <f aca="false">IF(F3056="yes",1,0)</f>
        <v>0</v>
      </c>
      <c r="K3056" s="2" t="n">
        <f aca="false">IF(H3056="yes",1,0)</f>
        <v>0</v>
      </c>
      <c r="L3056" s="2" t="n">
        <f aca="false">IF(I3056="yes",1,0)</f>
        <v>0</v>
      </c>
      <c r="M3056" s="2" t="n">
        <f aca="false">IF(G3056&lt;0,1,0)</f>
        <v>0</v>
      </c>
      <c r="N3056" s="2" t="str">
        <f aca="false">_xlfn.IFS(B3056&lt;30,"Under 30",B3056&lt;40,"30-39",B3056&lt;50,"40-49",B3056&lt;60,"50-59",TRUE(),"60+")</f>
        <v>30-39</v>
      </c>
      <c r="O3056" s="2" t="str">
        <f aca="false">_xlfn.IFS(G3056&lt;0,"1 Negative",G3056=0,"2 Zero",G3056&lt;=500,"3 1-500",G3056&lt;=2000,"4 501-2000",TRUE(),"5 Above 2000")</f>
        <v>3 1-500</v>
      </c>
      <c r="P3056" s="2" t="n">
        <f aca="false">Lookups!$B$2*M3056+Lookups!$B$3*L3056</f>
        <v>0</v>
      </c>
      <c r="Q3056" s="2" t="str">
        <f aca="false">INDEX(Lookups!$E$2:$E$5,MATCH(P3056,Lookups!$D$2:$D$5,0))</f>
        <v>Low</v>
      </c>
    </row>
    <row r="3057" customFormat="false" ht="15" hidden="false" customHeight="false" outlineLevel="0" collapsed="false">
      <c r="A3057" s="3" t="n">
        <v>3056</v>
      </c>
      <c r="B3057" s="3" t="n">
        <f aca="false">Raw_Data!A3057</f>
        <v>47</v>
      </c>
      <c r="C3057" s="3" t="str">
        <f aca="false">SUBSTITUTE(Raw_Data!B3057,".","")</f>
        <v>services</v>
      </c>
      <c r="D3057" s="3" t="str">
        <f aca="false">Raw_Data!C3057</f>
        <v>married</v>
      </c>
      <c r="E3057" s="3" t="str">
        <f aca="false">Raw_Data!D3057</f>
        <v>secondary</v>
      </c>
      <c r="F3057" s="3" t="str">
        <f aca="false">Raw_Data!E3057</f>
        <v>no</v>
      </c>
      <c r="G3057" s="3" t="n">
        <f aca="false">Raw_Data!F3057</f>
        <v>2</v>
      </c>
      <c r="H3057" s="3" t="str">
        <f aca="false">Raw_Data!G3057</f>
        <v>no</v>
      </c>
      <c r="I3057" s="3" t="str">
        <f aca="false">Raw_Data!H3057</f>
        <v>yes</v>
      </c>
      <c r="J3057" s="2" t="n">
        <f aca="false">IF(F3057="yes",1,0)</f>
        <v>0</v>
      </c>
      <c r="K3057" s="2" t="n">
        <f aca="false">IF(H3057="yes",1,0)</f>
        <v>0</v>
      </c>
      <c r="L3057" s="2" t="n">
        <f aca="false">IF(I3057="yes",1,0)</f>
        <v>1</v>
      </c>
      <c r="M3057" s="2" t="n">
        <f aca="false">IF(G3057&lt;0,1,0)</f>
        <v>0</v>
      </c>
      <c r="N3057" s="2" t="str">
        <f aca="false">_xlfn.IFS(B3057&lt;30,"Under 30",B3057&lt;40,"30-39",B3057&lt;50,"40-49",B3057&lt;60,"50-59",TRUE(),"60+")</f>
        <v>40-49</v>
      </c>
      <c r="O3057" s="2" t="str">
        <f aca="false">_xlfn.IFS(G3057&lt;0,"1 Negative",G3057=0,"2 Zero",G3057&lt;=500,"3 1-500",G3057&lt;=2000,"4 501-2000",TRUE(),"5 Above 2000")</f>
        <v>3 1-500</v>
      </c>
      <c r="P3057" s="2" t="n">
        <f aca="false">Lookups!$B$2*M3057+Lookups!$B$3*L3057</f>
        <v>1</v>
      </c>
      <c r="Q3057" s="2" t="str">
        <f aca="false">INDEX(Lookups!$E$2:$E$5,MATCH(P3057,Lookups!$D$2:$D$5,0))</f>
        <v>Medium</v>
      </c>
    </row>
    <row r="3058" customFormat="false" ht="15" hidden="false" customHeight="false" outlineLevel="0" collapsed="false">
      <c r="A3058" s="3" t="n">
        <v>3057</v>
      </c>
      <c r="B3058" s="3" t="n">
        <f aca="false">Raw_Data!A3058</f>
        <v>23</v>
      </c>
      <c r="C3058" s="3" t="str">
        <f aca="false">SUBSTITUTE(Raw_Data!B3058,".","")</f>
        <v>services</v>
      </c>
      <c r="D3058" s="3" t="str">
        <f aca="false">Raw_Data!C3058</f>
        <v>single</v>
      </c>
      <c r="E3058" s="3" t="str">
        <f aca="false">Raw_Data!D3058</f>
        <v>secondary</v>
      </c>
      <c r="F3058" s="3" t="str">
        <f aca="false">Raw_Data!E3058</f>
        <v>no</v>
      </c>
      <c r="G3058" s="3" t="n">
        <f aca="false">Raw_Data!F3058</f>
        <v>500</v>
      </c>
      <c r="H3058" s="3" t="str">
        <f aca="false">Raw_Data!G3058</f>
        <v>yes</v>
      </c>
      <c r="I3058" s="3" t="str">
        <f aca="false">Raw_Data!H3058</f>
        <v>no</v>
      </c>
      <c r="J3058" s="2" t="n">
        <f aca="false">IF(F3058="yes",1,0)</f>
        <v>0</v>
      </c>
      <c r="K3058" s="2" t="n">
        <f aca="false">IF(H3058="yes",1,0)</f>
        <v>1</v>
      </c>
      <c r="L3058" s="2" t="n">
        <f aca="false">IF(I3058="yes",1,0)</f>
        <v>0</v>
      </c>
      <c r="M3058" s="2" t="n">
        <f aca="false">IF(G3058&lt;0,1,0)</f>
        <v>0</v>
      </c>
      <c r="N3058" s="2" t="str">
        <f aca="false">_xlfn.IFS(B3058&lt;30,"Under 30",B3058&lt;40,"30-39",B3058&lt;50,"40-49",B3058&lt;60,"50-59",TRUE(),"60+")</f>
        <v>Under 30</v>
      </c>
      <c r="O3058" s="2" t="str">
        <f aca="false">_xlfn.IFS(G3058&lt;0,"1 Negative",G3058=0,"2 Zero",G3058&lt;=500,"3 1-500",G3058&lt;=2000,"4 501-2000",TRUE(),"5 Above 2000")</f>
        <v>3 1-500</v>
      </c>
      <c r="P3058" s="2" t="n">
        <f aca="false">Lookups!$B$2*M3058+Lookups!$B$3*L3058</f>
        <v>0</v>
      </c>
      <c r="Q3058" s="2" t="str">
        <f aca="false">INDEX(Lookups!$E$2:$E$5,MATCH(P3058,Lookups!$D$2:$D$5,0))</f>
        <v>Low</v>
      </c>
    </row>
    <row r="3059" customFormat="false" ht="15" hidden="false" customHeight="false" outlineLevel="0" collapsed="false">
      <c r="A3059" s="3" t="n">
        <v>3058</v>
      </c>
      <c r="B3059" s="3" t="n">
        <f aca="false">Raw_Data!A3059</f>
        <v>29</v>
      </c>
      <c r="C3059" s="3" t="str">
        <f aca="false">SUBSTITUTE(Raw_Data!B3059,".","")</f>
        <v>technician</v>
      </c>
      <c r="D3059" s="3" t="str">
        <f aca="false">Raw_Data!C3059</f>
        <v>married</v>
      </c>
      <c r="E3059" s="3" t="str">
        <f aca="false">Raw_Data!D3059</f>
        <v>tertiary</v>
      </c>
      <c r="F3059" s="3" t="str">
        <f aca="false">Raw_Data!E3059</f>
        <v>no</v>
      </c>
      <c r="G3059" s="3" t="n">
        <f aca="false">Raw_Data!F3059</f>
        <v>43</v>
      </c>
      <c r="H3059" s="3" t="str">
        <f aca="false">Raw_Data!G3059</f>
        <v>yes</v>
      </c>
      <c r="I3059" s="3" t="str">
        <f aca="false">Raw_Data!H3059</f>
        <v>no</v>
      </c>
      <c r="J3059" s="2" t="n">
        <f aca="false">IF(F3059="yes",1,0)</f>
        <v>0</v>
      </c>
      <c r="K3059" s="2" t="n">
        <f aca="false">IF(H3059="yes",1,0)</f>
        <v>1</v>
      </c>
      <c r="L3059" s="2" t="n">
        <f aca="false">IF(I3059="yes",1,0)</f>
        <v>0</v>
      </c>
      <c r="M3059" s="2" t="n">
        <f aca="false">IF(G3059&lt;0,1,0)</f>
        <v>0</v>
      </c>
      <c r="N3059" s="2" t="str">
        <f aca="false">_xlfn.IFS(B3059&lt;30,"Under 30",B3059&lt;40,"30-39",B3059&lt;50,"40-49",B3059&lt;60,"50-59",TRUE(),"60+")</f>
        <v>Under 30</v>
      </c>
      <c r="O3059" s="2" t="str">
        <f aca="false">_xlfn.IFS(G3059&lt;0,"1 Negative",G3059=0,"2 Zero",G3059&lt;=500,"3 1-500",G3059&lt;=2000,"4 501-2000",TRUE(),"5 Above 2000")</f>
        <v>3 1-500</v>
      </c>
      <c r="P3059" s="2" t="n">
        <f aca="false">Lookups!$B$2*M3059+Lookups!$B$3*L3059</f>
        <v>0</v>
      </c>
      <c r="Q3059" s="2" t="str">
        <f aca="false">INDEX(Lookups!$E$2:$E$5,MATCH(P3059,Lookups!$D$2:$D$5,0))</f>
        <v>Low</v>
      </c>
    </row>
    <row r="3060" customFormat="false" ht="15" hidden="false" customHeight="false" outlineLevel="0" collapsed="false">
      <c r="A3060" s="3" t="n">
        <v>3059</v>
      </c>
      <c r="B3060" s="3" t="n">
        <f aca="false">Raw_Data!A3060</f>
        <v>38</v>
      </c>
      <c r="C3060" s="3" t="str">
        <f aca="false">SUBSTITUTE(Raw_Data!B3060,".","")</f>
        <v>technician</v>
      </c>
      <c r="D3060" s="3" t="str">
        <f aca="false">Raw_Data!C3060</f>
        <v>married</v>
      </c>
      <c r="E3060" s="3" t="str">
        <f aca="false">Raw_Data!D3060</f>
        <v>secondary</v>
      </c>
      <c r="F3060" s="3" t="str">
        <f aca="false">Raw_Data!E3060</f>
        <v>no</v>
      </c>
      <c r="G3060" s="3" t="n">
        <f aca="false">Raw_Data!F3060</f>
        <v>4030</v>
      </c>
      <c r="H3060" s="3" t="str">
        <f aca="false">Raw_Data!G3060</f>
        <v>yes</v>
      </c>
      <c r="I3060" s="3" t="str">
        <f aca="false">Raw_Data!H3060</f>
        <v>no</v>
      </c>
      <c r="J3060" s="2" t="n">
        <f aca="false">IF(F3060="yes",1,0)</f>
        <v>0</v>
      </c>
      <c r="K3060" s="2" t="n">
        <f aca="false">IF(H3060="yes",1,0)</f>
        <v>1</v>
      </c>
      <c r="L3060" s="2" t="n">
        <f aca="false">IF(I3060="yes",1,0)</f>
        <v>0</v>
      </c>
      <c r="M3060" s="2" t="n">
        <f aca="false">IF(G3060&lt;0,1,0)</f>
        <v>0</v>
      </c>
      <c r="N3060" s="2" t="str">
        <f aca="false">_xlfn.IFS(B3060&lt;30,"Under 30",B3060&lt;40,"30-39",B3060&lt;50,"40-49",B3060&lt;60,"50-59",TRUE(),"60+")</f>
        <v>30-39</v>
      </c>
      <c r="O3060" s="2" t="str">
        <f aca="false">_xlfn.IFS(G3060&lt;0,"1 Negative",G3060=0,"2 Zero",G3060&lt;=500,"3 1-500",G3060&lt;=2000,"4 501-2000",TRUE(),"5 Above 2000")</f>
        <v>5 Above 2000</v>
      </c>
      <c r="P3060" s="2" t="n">
        <f aca="false">Lookups!$B$2*M3060+Lookups!$B$3*L3060</f>
        <v>0</v>
      </c>
      <c r="Q3060" s="2" t="str">
        <f aca="false">INDEX(Lookups!$E$2:$E$5,MATCH(P3060,Lookups!$D$2:$D$5,0))</f>
        <v>Low</v>
      </c>
    </row>
    <row r="3061" customFormat="false" ht="15" hidden="false" customHeight="false" outlineLevel="0" collapsed="false">
      <c r="A3061" s="3" t="n">
        <v>3060</v>
      </c>
      <c r="B3061" s="3" t="n">
        <f aca="false">Raw_Data!A3061</f>
        <v>56</v>
      </c>
      <c r="C3061" s="3" t="str">
        <f aca="false">SUBSTITUTE(Raw_Data!B3061,".","")</f>
        <v>housemaid</v>
      </c>
      <c r="D3061" s="3" t="str">
        <f aca="false">Raw_Data!C3061</f>
        <v>married</v>
      </c>
      <c r="E3061" s="3" t="str">
        <f aca="false">Raw_Data!D3061</f>
        <v>primary</v>
      </c>
      <c r="F3061" s="3" t="str">
        <f aca="false">Raw_Data!E3061</f>
        <v>no</v>
      </c>
      <c r="G3061" s="3" t="n">
        <f aca="false">Raw_Data!F3061</f>
        <v>306</v>
      </c>
      <c r="H3061" s="3" t="str">
        <f aca="false">Raw_Data!G3061</f>
        <v>no</v>
      </c>
      <c r="I3061" s="3" t="str">
        <f aca="false">Raw_Data!H3061</f>
        <v>yes</v>
      </c>
      <c r="J3061" s="2" t="n">
        <f aca="false">IF(F3061="yes",1,0)</f>
        <v>0</v>
      </c>
      <c r="K3061" s="2" t="n">
        <f aca="false">IF(H3061="yes",1,0)</f>
        <v>0</v>
      </c>
      <c r="L3061" s="2" t="n">
        <f aca="false">IF(I3061="yes",1,0)</f>
        <v>1</v>
      </c>
      <c r="M3061" s="2" t="n">
        <f aca="false">IF(G3061&lt;0,1,0)</f>
        <v>0</v>
      </c>
      <c r="N3061" s="2" t="str">
        <f aca="false">_xlfn.IFS(B3061&lt;30,"Under 30",B3061&lt;40,"30-39",B3061&lt;50,"40-49",B3061&lt;60,"50-59",TRUE(),"60+")</f>
        <v>50-59</v>
      </c>
      <c r="O3061" s="2" t="str">
        <f aca="false">_xlfn.IFS(G3061&lt;0,"1 Negative",G3061=0,"2 Zero",G3061&lt;=500,"3 1-500",G3061&lt;=2000,"4 501-2000",TRUE(),"5 Above 2000")</f>
        <v>3 1-500</v>
      </c>
      <c r="P3061" s="2" t="n">
        <f aca="false">Lookups!$B$2*M3061+Lookups!$B$3*L3061</f>
        <v>1</v>
      </c>
      <c r="Q3061" s="2" t="str">
        <f aca="false">INDEX(Lookups!$E$2:$E$5,MATCH(P3061,Lookups!$D$2:$D$5,0))</f>
        <v>Medium</v>
      </c>
    </row>
    <row r="3062" customFormat="false" ht="15" hidden="false" customHeight="false" outlineLevel="0" collapsed="false">
      <c r="A3062" s="3" t="n">
        <v>3061</v>
      </c>
      <c r="B3062" s="3" t="n">
        <f aca="false">Raw_Data!A3062</f>
        <v>52</v>
      </c>
      <c r="C3062" s="3" t="str">
        <f aca="false">SUBSTITUTE(Raw_Data!B3062,".","")</f>
        <v>admin</v>
      </c>
      <c r="D3062" s="3" t="str">
        <f aca="false">Raw_Data!C3062</f>
        <v>married</v>
      </c>
      <c r="E3062" s="3" t="str">
        <f aca="false">Raw_Data!D3062</f>
        <v>secondary</v>
      </c>
      <c r="F3062" s="3" t="str">
        <f aca="false">Raw_Data!E3062</f>
        <v>no</v>
      </c>
      <c r="G3062" s="3" t="n">
        <f aca="false">Raw_Data!F3062</f>
        <v>0</v>
      </c>
      <c r="H3062" s="3" t="str">
        <f aca="false">Raw_Data!G3062</f>
        <v>no</v>
      </c>
      <c r="I3062" s="3" t="str">
        <f aca="false">Raw_Data!H3062</f>
        <v>no</v>
      </c>
      <c r="J3062" s="2" t="n">
        <f aca="false">IF(F3062="yes",1,0)</f>
        <v>0</v>
      </c>
      <c r="K3062" s="2" t="n">
        <f aca="false">IF(H3062="yes",1,0)</f>
        <v>0</v>
      </c>
      <c r="L3062" s="2" t="n">
        <f aca="false">IF(I3062="yes",1,0)</f>
        <v>0</v>
      </c>
      <c r="M3062" s="2" t="n">
        <f aca="false">IF(G3062&lt;0,1,0)</f>
        <v>0</v>
      </c>
      <c r="N3062" s="2" t="str">
        <f aca="false">_xlfn.IFS(B3062&lt;30,"Under 30",B3062&lt;40,"30-39",B3062&lt;50,"40-49",B3062&lt;60,"50-59",TRUE(),"60+")</f>
        <v>50-59</v>
      </c>
      <c r="O3062" s="2" t="str">
        <f aca="false">_xlfn.IFS(G3062&lt;0,"1 Negative",G3062=0,"2 Zero",G3062&lt;=500,"3 1-500",G3062&lt;=2000,"4 501-2000",TRUE(),"5 Above 2000")</f>
        <v>2 Zero</v>
      </c>
      <c r="P3062" s="2" t="n">
        <f aca="false">Lookups!$B$2*M3062+Lookups!$B$3*L3062</f>
        <v>0</v>
      </c>
      <c r="Q3062" s="2" t="str">
        <f aca="false">INDEX(Lookups!$E$2:$E$5,MATCH(P3062,Lookups!$D$2:$D$5,0))</f>
        <v>Low</v>
      </c>
    </row>
    <row r="3063" customFormat="false" ht="15" hidden="false" customHeight="false" outlineLevel="0" collapsed="false">
      <c r="A3063" s="3" t="n">
        <v>3062</v>
      </c>
      <c r="B3063" s="3" t="n">
        <f aca="false">Raw_Data!A3063</f>
        <v>55</v>
      </c>
      <c r="C3063" s="3" t="str">
        <f aca="false">SUBSTITUTE(Raw_Data!B3063,".","")</f>
        <v>retired</v>
      </c>
      <c r="D3063" s="3" t="str">
        <f aca="false">Raw_Data!C3063</f>
        <v>married</v>
      </c>
      <c r="E3063" s="3" t="str">
        <f aca="false">Raw_Data!D3063</f>
        <v>secondary</v>
      </c>
      <c r="F3063" s="3" t="str">
        <f aca="false">Raw_Data!E3063</f>
        <v>no</v>
      </c>
      <c r="G3063" s="3" t="n">
        <f aca="false">Raw_Data!F3063</f>
        <v>168</v>
      </c>
      <c r="H3063" s="3" t="str">
        <f aca="false">Raw_Data!G3063</f>
        <v>no</v>
      </c>
      <c r="I3063" s="3" t="str">
        <f aca="false">Raw_Data!H3063</f>
        <v>no</v>
      </c>
      <c r="J3063" s="2" t="n">
        <f aca="false">IF(F3063="yes",1,0)</f>
        <v>0</v>
      </c>
      <c r="K3063" s="2" t="n">
        <f aca="false">IF(H3063="yes",1,0)</f>
        <v>0</v>
      </c>
      <c r="L3063" s="2" t="n">
        <f aca="false">IF(I3063="yes",1,0)</f>
        <v>0</v>
      </c>
      <c r="M3063" s="2" t="n">
        <f aca="false">IF(G3063&lt;0,1,0)</f>
        <v>0</v>
      </c>
      <c r="N3063" s="2" t="str">
        <f aca="false">_xlfn.IFS(B3063&lt;30,"Under 30",B3063&lt;40,"30-39",B3063&lt;50,"40-49",B3063&lt;60,"50-59",TRUE(),"60+")</f>
        <v>50-59</v>
      </c>
      <c r="O3063" s="2" t="str">
        <f aca="false">_xlfn.IFS(G3063&lt;0,"1 Negative",G3063=0,"2 Zero",G3063&lt;=500,"3 1-500",G3063&lt;=2000,"4 501-2000",TRUE(),"5 Above 2000")</f>
        <v>3 1-500</v>
      </c>
      <c r="P3063" s="2" t="n">
        <f aca="false">Lookups!$B$2*M3063+Lookups!$B$3*L3063</f>
        <v>0</v>
      </c>
      <c r="Q3063" s="2" t="str">
        <f aca="false">INDEX(Lookups!$E$2:$E$5,MATCH(P3063,Lookups!$D$2:$D$5,0))</f>
        <v>Low</v>
      </c>
    </row>
    <row r="3064" customFormat="false" ht="15" hidden="false" customHeight="false" outlineLevel="0" collapsed="false">
      <c r="A3064" s="3" t="n">
        <v>3063</v>
      </c>
      <c r="B3064" s="3" t="n">
        <f aca="false">Raw_Data!A3064</f>
        <v>43</v>
      </c>
      <c r="C3064" s="3" t="str">
        <f aca="false">SUBSTITUTE(Raw_Data!B3064,".","")</f>
        <v>entrepreneur</v>
      </c>
      <c r="D3064" s="3" t="str">
        <f aca="false">Raw_Data!C3064</f>
        <v>married</v>
      </c>
      <c r="E3064" s="3" t="str">
        <f aca="false">Raw_Data!D3064</f>
        <v>tertiary</v>
      </c>
      <c r="F3064" s="3" t="str">
        <f aca="false">Raw_Data!E3064</f>
        <v>no</v>
      </c>
      <c r="G3064" s="3" t="n">
        <f aca="false">Raw_Data!F3064</f>
        <v>210</v>
      </c>
      <c r="H3064" s="3" t="str">
        <f aca="false">Raw_Data!G3064</f>
        <v>no</v>
      </c>
      <c r="I3064" s="3" t="str">
        <f aca="false">Raw_Data!H3064</f>
        <v>no</v>
      </c>
      <c r="J3064" s="2" t="n">
        <f aca="false">IF(F3064="yes",1,0)</f>
        <v>0</v>
      </c>
      <c r="K3064" s="2" t="n">
        <f aca="false">IF(H3064="yes",1,0)</f>
        <v>0</v>
      </c>
      <c r="L3064" s="2" t="n">
        <f aca="false">IF(I3064="yes",1,0)</f>
        <v>0</v>
      </c>
      <c r="M3064" s="2" t="n">
        <f aca="false">IF(G3064&lt;0,1,0)</f>
        <v>0</v>
      </c>
      <c r="N3064" s="2" t="str">
        <f aca="false">_xlfn.IFS(B3064&lt;30,"Under 30",B3064&lt;40,"30-39",B3064&lt;50,"40-49",B3064&lt;60,"50-59",TRUE(),"60+")</f>
        <v>40-49</v>
      </c>
      <c r="O3064" s="2" t="str">
        <f aca="false">_xlfn.IFS(G3064&lt;0,"1 Negative",G3064=0,"2 Zero",G3064&lt;=500,"3 1-500",G3064&lt;=2000,"4 501-2000",TRUE(),"5 Above 2000")</f>
        <v>3 1-500</v>
      </c>
      <c r="P3064" s="2" t="n">
        <f aca="false">Lookups!$B$2*M3064+Lookups!$B$3*L3064</f>
        <v>0</v>
      </c>
      <c r="Q3064" s="2" t="str">
        <f aca="false">INDEX(Lookups!$E$2:$E$5,MATCH(P3064,Lookups!$D$2:$D$5,0))</f>
        <v>Low</v>
      </c>
    </row>
    <row r="3065" customFormat="false" ht="15" hidden="false" customHeight="false" outlineLevel="0" collapsed="false">
      <c r="A3065" s="3" t="n">
        <v>3064</v>
      </c>
      <c r="B3065" s="3" t="n">
        <f aca="false">Raw_Data!A3065</f>
        <v>34</v>
      </c>
      <c r="C3065" s="3" t="str">
        <f aca="false">SUBSTITUTE(Raw_Data!B3065,".","")</f>
        <v>blue-collar</v>
      </c>
      <c r="D3065" s="3" t="str">
        <f aca="false">Raw_Data!C3065</f>
        <v>married</v>
      </c>
      <c r="E3065" s="3" t="str">
        <f aca="false">Raw_Data!D3065</f>
        <v>secondary</v>
      </c>
      <c r="F3065" s="3" t="str">
        <f aca="false">Raw_Data!E3065</f>
        <v>no</v>
      </c>
      <c r="G3065" s="3" t="n">
        <f aca="false">Raw_Data!F3065</f>
        <v>518</v>
      </c>
      <c r="H3065" s="3" t="str">
        <f aca="false">Raw_Data!G3065</f>
        <v>yes</v>
      </c>
      <c r="I3065" s="3" t="str">
        <f aca="false">Raw_Data!H3065</f>
        <v>no</v>
      </c>
      <c r="J3065" s="2" t="n">
        <f aca="false">IF(F3065="yes",1,0)</f>
        <v>0</v>
      </c>
      <c r="K3065" s="2" t="n">
        <f aca="false">IF(H3065="yes",1,0)</f>
        <v>1</v>
      </c>
      <c r="L3065" s="2" t="n">
        <f aca="false">IF(I3065="yes",1,0)</f>
        <v>0</v>
      </c>
      <c r="M3065" s="2" t="n">
        <f aca="false">IF(G3065&lt;0,1,0)</f>
        <v>0</v>
      </c>
      <c r="N3065" s="2" t="str">
        <f aca="false">_xlfn.IFS(B3065&lt;30,"Under 30",B3065&lt;40,"30-39",B3065&lt;50,"40-49",B3065&lt;60,"50-59",TRUE(),"60+")</f>
        <v>30-39</v>
      </c>
      <c r="O3065" s="2" t="str">
        <f aca="false">_xlfn.IFS(G3065&lt;0,"1 Negative",G3065=0,"2 Zero",G3065&lt;=500,"3 1-500",G3065&lt;=2000,"4 501-2000",TRUE(),"5 Above 2000")</f>
        <v>4 501-2000</v>
      </c>
      <c r="P3065" s="2" t="n">
        <f aca="false">Lookups!$B$2*M3065+Lookups!$B$3*L3065</f>
        <v>0</v>
      </c>
      <c r="Q3065" s="2" t="str">
        <f aca="false">INDEX(Lookups!$E$2:$E$5,MATCH(P3065,Lookups!$D$2:$D$5,0))</f>
        <v>Low</v>
      </c>
    </row>
    <row r="3066" customFormat="false" ht="15" hidden="false" customHeight="false" outlineLevel="0" collapsed="false">
      <c r="A3066" s="3" t="n">
        <v>3065</v>
      </c>
      <c r="B3066" s="3" t="n">
        <f aca="false">Raw_Data!A3066</f>
        <v>43</v>
      </c>
      <c r="C3066" s="3" t="str">
        <f aca="false">SUBSTITUTE(Raw_Data!B3066,".","")</f>
        <v>management</v>
      </c>
      <c r="D3066" s="3" t="str">
        <f aca="false">Raw_Data!C3066</f>
        <v>single</v>
      </c>
      <c r="E3066" s="3" t="str">
        <f aca="false">Raw_Data!D3066</f>
        <v>tertiary</v>
      </c>
      <c r="F3066" s="3" t="str">
        <f aca="false">Raw_Data!E3066</f>
        <v>no</v>
      </c>
      <c r="G3066" s="3" t="n">
        <f aca="false">Raw_Data!F3066</f>
        <v>1696</v>
      </c>
      <c r="H3066" s="3" t="str">
        <f aca="false">Raw_Data!G3066</f>
        <v>yes</v>
      </c>
      <c r="I3066" s="3" t="str">
        <f aca="false">Raw_Data!H3066</f>
        <v>no</v>
      </c>
      <c r="J3066" s="2" t="n">
        <f aca="false">IF(F3066="yes",1,0)</f>
        <v>0</v>
      </c>
      <c r="K3066" s="2" t="n">
        <f aca="false">IF(H3066="yes",1,0)</f>
        <v>1</v>
      </c>
      <c r="L3066" s="2" t="n">
        <f aca="false">IF(I3066="yes",1,0)</f>
        <v>0</v>
      </c>
      <c r="M3066" s="2" t="n">
        <f aca="false">IF(G3066&lt;0,1,0)</f>
        <v>0</v>
      </c>
      <c r="N3066" s="2" t="str">
        <f aca="false">_xlfn.IFS(B3066&lt;30,"Under 30",B3066&lt;40,"30-39",B3066&lt;50,"40-49",B3066&lt;60,"50-59",TRUE(),"60+")</f>
        <v>40-49</v>
      </c>
      <c r="O3066" s="2" t="str">
        <f aca="false">_xlfn.IFS(G3066&lt;0,"1 Negative",G3066=0,"2 Zero",G3066&lt;=500,"3 1-500",G3066&lt;=2000,"4 501-2000",TRUE(),"5 Above 2000")</f>
        <v>4 501-2000</v>
      </c>
      <c r="P3066" s="2" t="n">
        <f aca="false">Lookups!$B$2*M3066+Lookups!$B$3*L3066</f>
        <v>0</v>
      </c>
      <c r="Q3066" s="2" t="str">
        <f aca="false">INDEX(Lookups!$E$2:$E$5,MATCH(P3066,Lookups!$D$2:$D$5,0))</f>
        <v>Low</v>
      </c>
    </row>
    <row r="3067" customFormat="false" ht="15" hidden="false" customHeight="false" outlineLevel="0" collapsed="false">
      <c r="A3067" s="3" t="n">
        <v>3066</v>
      </c>
      <c r="B3067" s="3" t="n">
        <f aca="false">Raw_Data!A3067</f>
        <v>55</v>
      </c>
      <c r="C3067" s="3" t="str">
        <f aca="false">SUBSTITUTE(Raw_Data!B3067,".","")</f>
        <v>services</v>
      </c>
      <c r="D3067" s="3" t="str">
        <f aca="false">Raw_Data!C3067</f>
        <v>married</v>
      </c>
      <c r="E3067" s="3" t="str">
        <f aca="false">Raw_Data!D3067</f>
        <v>secondary</v>
      </c>
      <c r="F3067" s="3" t="str">
        <f aca="false">Raw_Data!E3067</f>
        <v>no</v>
      </c>
      <c r="G3067" s="3" t="n">
        <f aca="false">Raw_Data!F3067</f>
        <v>-31</v>
      </c>
      <c r="H3067" s="3" t="str">
        <f aca="false">Raw_Data!G3067</f>
        <v>no</v>
      </c>
      <c r="I3067" s="3" t="str">
        <f aca="false">Raw_Data!H3067</f>
        <v>yes</v>
      </c>
      <c r="J3067" s="2" t="n">
        <f aca="false">IF(F3067="yes",1,0)</f>
        <v>0</v>
      </c>
      <c r="K3067" s="2" t="n">
        <f aca="false">IF(H3067="yes",1,0)</f>
        <v>0</v>
      </c>
      <c r="L3067" s="2" t="n">
        <f aca="false">IF(I3067="yes",1,0)</f>
        <v>1</v>
      </c>
      <c r="M3067" s="2" t="n">
        <f aca="false">IF(G3067&lt;0,1,0)</f>
        <v>1</v>
      </c>
      <c r="N3067" s="2" t="str">
        <f aca="false">_xlfn.IFS(B3067&lt;30,"Under 30",B3067&lt;40,"30-39",B3067&lt;50,"40-49",B3067&lt;60,"50-59",TRUE(),"60+")</f>
        <v>50-59</v>
      </c>
      <c r="O3067" s="2" t="str">
        <f aca="false">_xlfn.IFS(G3067&lt;0,"1 Negative",G3067=0,"2 Zero",G3067&lt;=500,"3 1-500",G3067&lt;=2000,"4 501-2000",TRUE(),"5 Above 2000")</f>
        <v>1 Negative</v>
      </c>
      <c r="P3067" s="2" t="n">
        <f aca="false">Lookups!$B$2*M3067+Lookups!$B$3*L3067</f>
        <v>3</v>
      </c>
      <c r="Q3067" s="2" t="str">
        <f aca="false">INDEX(Lookups!$E$2:$E$5,MATCH(P3067,Lookups!$D$2:$D$5,0))</f>
        <v>High</v>
      </c>
    </row>
    <row r="3068" customFormat="false" ht="15" hidden="false" customHeight="false" outlineLevel="0" collapsed="false">
      <c r="A3068" s="3" t="n">
        <v>3067</v>
      </c>
      <c r="B3068" s="3" t="n">
        <f aca="false">Raw_Data!A3068</f>
        <v>34</v>
      </c>
      <c r="C3068" s="3" t="str">
        <f aca="false">SUBSTITUTE(Raw_Data!B3068,".","")</f>
        <v>blue-collar</v>
      </c>
      <c r="D3068" s="3" t="str">
        <f aca="false">Raw_Data!C3068</f>
        <v>married</v>
      </c>
      <c r="E3068" s="3" t="str">
        <f aca="false">Raw_Data!D3068</f>
        <v>secondary</v>
      </c>
      <c r="F3068" s="3" t="str">
        <f aca="false">Raw_Data!E3068</f>
        <v>no</v>
      </c>
      <c r="G3068" s="3" t="n">
        <f aca="false">Raw_Data!F3068</f>
        <v>856</v>
      </c>
      <c r="H3068" s="3" t="str">
        <f aca="false">Raw_Data!G3068</f>
        <v>yes</v>
      </c>
      <c r="I3068" s="3" t="str">
        <f aca="false">Raw_Data!H3068</f>
        <v>no</v>
      </c>
      <c r="J3068" s="2" t="n">
        <f aca="false">IF(F3068="yes",1,0)</f>
        <v>0</v>
      </c>
      <c r="K3068" s="2" t="n">
        <f aca="false">IF(H3068="yes",1,0)</f>
        <v>1</v>
      </c>
      <c r="L3068" s="2" t="n">
        <f aca="false">IF(I3068="yes",1,0)</f>
        <v>0</v>
      </c>
      <c r="M3068" s="2" t="n">
        <f aca="false">IF(G3068&lt;0,1,0)</f>
        <v>0</v>
      </c>
      <c r="N3068" s="2" t="str">
        <f aca="false">_xlfn.IFS(B3068&lt;30,"Under 30",B3068&lt;40,"30-39",B3068&lt;50,"40-49",B3068&lt;60,"50-59",TRUE(),"60+")</f>
        <v>30-39</v>
      </c>
      <c r="O3068" s="2" t="str">
        <f aca="false">_xlfn.IFS(G3068&lt;0,"1 Negative",G3068=0,"2 Zero",G3068&lt;=500,"3 1-500",G3068&lt;=2000,"4 501-2000",TRUE(),"5 Above 2000")</f>
        <v>4 501-2000</v>
      </c>
      <c r="P3068" s="2" t="n">
        <f aca="false">Lookups!$B$2*M3068+Lookups!$B$3*L3068</f>
        <v>0</v>
      </c>
      <c r="Q3068" s="2" t="str">
        <f aca="false">INDEX(Lookups!$E$2:$E$5,MATCH(P3068,Lookups!$D$2:$D$5,0))</f>
        <v>Low</v>
      </c>
    </row>
    <row r="3069" customFormat="false" ht="15" hidden="false" customHeight="false" outlineLevel="0" collapsed="false">
      <c r="A3069" s="3" t="n">
        <v>3068</v>
      </c>
      <c r="B3069" s="3" t="n">
        <f aca="false">Raw_Data!A3069</f>
        <v>34</v>
      </c>
      <c r="C3069" s="3" t="str">
        <f aca="false">SUBSTITUTE(Raw_Data!B3069,".","")</f>
        <v>management</v>
      </c>
      <c r="D3069" s="3" t="str">
        <f aca="false">Raw_Data!C3069</f>
        <v>single</v>
      </c>
      <c r="E3069" s="3" t="str">
        <f aca="false">Raw_Data!D3069</f>
        <v>tertiary</v>
      </c>
      <c r="F3069" s="3" t="str">
        <f aca="false">Raw_Data!E3069</f>
        <v>no</v>
      </c>
      <c r="G3069" s="3" t="n">
        <f aca="false">Raw_Data!F3069</f>
        <v>318</v>
      </c>
      <c r="H3069" s="3" t="str">
        <f aca="false">Raw_Data!G3069</f>
        <v>yes</v>
      </c>
      <c r="I3069" s="3" t="str">
        <f aca="false">Raw_Data!H3069</f>
        <v>no</v>
      </c>
      <c r="J3069" s="2" t="n">
        <f aca="false">IF(F3069="yes",1,0)</f>
        <v>0</v>
      </c>
      <c r="K3069" s="2" t="n">
        <f aca="false">IF(H3069="yes",1,0)</f>
        <v>1</v>
      </c>
      <c r="L3069" s="2" t="n">
        <f aca="false">IF(I3069="yes",1,0)</f>
        <v>0</v>
      </c>
      <c r="M3069" s="2" t="n">
        <f aca="false">IF(G3069&lt;0,1,0)</f>
        <v>0</v>
      </c>
      <c r="N3069" s="2" t="str">
        <f aca="false">_xlfn.IFS(B3069&lt;30,"Under 30",B3069&lt;40,"30-39",B3069&lt;50,"40-49",B3069&lt;60,"50-59",TRUE(),"60+")</f>
        <v>30-39</v>
      </c>
      <c r="O3069" s="2" t="str">
        <f aca="false">_xlfn.IFS(G3069&lt;0,"1 Negative",G3069=0,"2 Zero",G3069&lt;=500,"3 1-500",G3069&lt;=2000,"4 501-2000",TRUE(),"5 Above 2000")</f>
        <v>3 1-500</v>
      </c>
      <c r="P3069" s="2" t="n">
        <f aca="false">Lookups!$B$2*M3069+Lookups!$B$3*L3069</f>
        <v>0</v>
      </c>
      <c r="Q3069" s="2" t="str">
        <f aca="false">INDEX(Lookups!$E$2:$E$5,MATCH(P3069,Lookups!$D$2:$D$5,0))</f>
        <v>Low</v>
      </c>
    </row>
    <row r="3070" customFormat="false" ht="15" hidden="false" customHeight="false" outlineLevel="0" collapsed="false">
      <c r="A3070" s="3" t="n">
        <v>3069</v>
      </c>
      <c r="B3070" s="3" t="n">
        <f aca="false">Raw_Data!A3070</f>
        <v>43</v>
      </c>
      <c r="C3070" s="3" t="str">
        <f aca="false">SUBSTITUTE(Raw_Data!B3070,".","")</f>
        <v>self-employed</v>
      </c>
      <c r="D3070" s="3" t="str">
        <f aca="false">Raw_Data!C3070</f>
        <v>married</v>
      </c>
      <c r="E3070" s="3" t="str">
        <f aca="false">Raw_Data!D3070</f>
        <v>tertiary</v>
      </c>
      <c r="F3070" s="3" t="str">
        <f aca="false">Raw_Data!E3070</f>
        <v>no</v>
      </c>
      <c r="G3070" s="3" t="n">
        <f aca="false">Raw_Data!F3070</f>
        <v>64</v>
      </c>
      <c r="H3070" s="3" t="str">
        <f aca="false">Raw_Data!G3070</f>
        <v>no</v>
      </c>
      <c r="I3070" s="3" t="str">
        <f aca="false">Raw_Data!H3070</f>
        <v>no</v>
      </c>
      <c r="J3070" s="2" t="n">
        <f aca="false">IF(F3070="yes",1,0)</f>
        <v>0</v>
      </c>
      <c r="K3070" s="2" t="n">
        <f aca="false">IF(H3070="yes",1,0)</f>
        <v>0</v>
      </c>
      <c r="L3070" s="2" t="n">
        <f aca="false">IF(I3070="yes",1,0)</f>
        <v>0</v>
      </c>
      <c r="M3070" s="2" t="n">
        <f aca="false">IF(G3070&lt;0,1,0)</f>
        <v>0</v>
      </c>
      <c r="N3070" s="2" t="str">
        <f aca="false">_xlfn.IFS(B3070&lt;30,"Under 30",B3070&lt;40,"30-39",B3070&lt;50,"40-49",B3070&lt;60,"50-59",TRUE(),"60+")</f>
        <v>40-49</v>
      </c>
      <c r="O3070" s="2" t="str">
        <f aca="false">_xlfn.IFS(G3070&lt;0,"1 Negative",G3070=0,"2 Zero",G3070&lt;=500,"3 1-500",G3070&lt;=2000,"4 501-2000",TRUE(),"5 Above 2000")</f>
        <v>3 1-500</v>
      </c>
      <c r="P3070" s="2" t="n">
        <f aca="false">Lookups!$B$2*M3070+Lookups!$B$3*L3070</f>
        <v>0</v>
      </c>
      <c r="Q3070" s="2" t="str">
        <f aca="false">INDEX(Lookups!$E$2:$E$5,MATCH(P3070,Lookups!$D$2:$D$5,0))</f>
        <v>Low</v>
      </c>
    </row>
    <row r="3071" customFormat="false" ht="15" hidden="false" customHeight="false" outlineLevel="0" collapsed="false">
      <c r="A3071" s="3" t="n">
        <v>3070</v>
      </c>
      <c r="B3071" s="3" t="n">
        <f aca="false">Raw_Data!A3071</f>
        <v>39</v>
      </c>
      <c r="C3071" s="3" t="str">
        <f aca="false">SUBSTITUTE(Raw_Data!B3071,".","")</f>
        <v>blue-collar</v>
      </c>
      <c r="D3071" s="3" t="str">
        <f aca="false">Raw_Data!C3071</f>
        <v>married</v>
      </c>
      <c r="E3071" s="3" t="str">
        <f aca="false">Raw_Data!D3071</f>
        <v>primary</v>
      </c>
      <c r="F3071" s="3" t="str">
        <f aca="false">Raw_Data!E3071</f>
        <v>no</v>
      </c>
      <c r="G3071" s="3" t="n">
        <f aca="false">Raw_Data!F3071</f>
        <v>800</v>
      </c>
      <c r="H3071" s="3" t="str">
        <f aca="false">Raw_Data!G3071</f>
        <v>yes</v>
      </c>
      <c r="I3071" s="3" t="str">
        <f aca="false">Raw_Data!H3071</f>
        <v>no</v>
      </c>
      <c r="J3071" s="2" t="n">
        <f aca="false">IF(F3071="yes",1,0)</f>
        <v>0</v>
      </c>
      <c r="K3071" s="2" t="n">
        <f aca="false">IF(H3071="yes",1,0)</f>
        <v>1</v>
      </c>
      <c r="L3071" s="2" t="n">
        <f aca="false">IF(I3071="yes",1,0)</f>
        <v>0</v>
      </c>
      <c r="M3071" s="2" t="n">
        <f aca="false">IF(G3071&lt;0,1,0)</f>
        <v>0</v>
      </c>
      <c r="N3071" s="2" t="str">
        <f aca="false">_xlfn.IFS(B3071&lt;30,"Under 30",B3071&lt;40,"30-39",B3071&lt;50,"40-49",B3071&lt;60,"50-59",TRUE(),"60+")</f>
        <v>30-39</v>
      </c>
      <c r="O3071" s="2" t="str">
        <f aca="false">_xlfn.IFS(G3071&lt;0,"1 Negative",G3071=0,"2 Zero",G3071&lt;=500,"3 1-500",G3071&lt;=2000,"4 501-2000",TRUE(),"5 Above 2000")</f>
        <v>4 501-2000</v>
      </c>
      <c r="P3071" s="2" t="n">
        <f aca="false">Lookups!$B$2*M3071+Lookups!$B$3*L3071</f>
        <v>0</v>
      </c>
      <c r="Q3071" s="2" t="str">
        <f aca="false">INDEX(Lookups!$E$2:$E$5,MATCH(P3071,Lookups!$D$2:$D$5,0))</f>
        <v>Low</v>
      </c>
    </row>
    <row r="3072" customFormat="false" ht="15" hidden="false" customHeight="false" outlineLevel="0" collapsed="false">
      <c r="A3072" s="3" t="n">
        <v>3071</v>
      </c>
      <c r="B3072" s="3" t="n">
        <f aca="false">Raw_Data!A3072</f>
        <v>39</v>
      </c>
      <c r="C3072" s="3" t="str">
        <f aca="false">SUBSTITUTE(Raw_Data!B3072,".","")</f>
        <v>technician</v>
      </c>
      <c r="D3072" s="3" t="str">
        <f aca="false">Raw_Data!C3072</f>
        <v>single</v>
      </c>
      <c r="E3072" s="3" t="str">
        <f aca="false">Raw_Data!D3072</f>
        <v>unknown</v>
      </c>
      <c r="F3072" s="3" t="str">
        <f aca="false">Raw_Data!E3072</f>
        <v>no</v>
      </c>
      <c r="G3072" s="3" t="n">
        <f aca="false">Raw_Data!F3072</f>
        <v>75</v>
      </c>
      <c r="H3072" s="3" t="str">
        <f aca="false">Raw_Data!G3072</f>
        <v>no</v>
      </c>
      <c r="I3072" s="3" t="str">
        <f aca="false">Raw_Data!H3072</f>
        <v>no</v>
      </c>
      <c r="J3072" s="2" t="n">
        <f aca="false">IF(F3072="yes",1,0)</f>
        <v>0</v>
      </c>
      <c r="K3072" s="2" t="n">
        <f aca="false">IF(H3072="yes",1,0)</f>
        <v>0</v>
      </c>
      <c r="L3072" s="2" t="n">
        <f aca="false">IF(I3072="yes",1,0)</f>
        <v>0</v>
      </c>
      <c r="M3072" s="2" t="n">
        <f aca="false">IF(G3072&lt;0,1,0)</f>
        <v>0</v>
      </c>
      <c r="N3072" s="2" t="str">
        <f aca="false">_xlfn.IFS(B3072&lt;30,"Under 30",B3072&lt;40,"30-39",B3072&lt;50,"40-49",B3072&lt;60,"50-59",TRUE(),"60+")</f>
        <v>30-39</v>
      </c>
      <c r="O3072" s="2" t="str">
        <f aca="false">_xlfn.IFS(G3072&lt;0,"1 Negative",G3072=0,"2 Zero",G3072&lt;=500,"3 1-500",G3072&lt;=2000,"4 501-2000",TRUE(),"5 Above 2000")</f>
        <v>3 1-500</v>
      </c>
      <c r="P3072" s="2" t="n">
        <f aca="false">Lookups!$B$2*M3072+Lookups!$B$3*L3072</f>
        <v>0</v>
      </c>
      <c r="Q3072" s="2" t="str">
        <f aca="false">INDEX(Lookups!$E$2:$E$5,MATCH(P3072,Lookups!$D$2:$D$5,0))</f>
        <v>Low</v>
      </c>
    </row>
    <row r="3073" customFormat="false" ht="15" hidden="false" customHeight="false" outlineLevel="0" collapsed="false">
      <c r="A3073" s="3" t="n">
        <v>3072</v>
      </c>
      <c r="B3073" s="3" t="n">
        <f aca="false">Raw_Data!A3073</f>
        <v>34</v>
      </c>
      <c r="C3073" s="3" t="str">
        <f aca="false">SUBSTITUTE(Raw_Data!B3073,".","")</f>
        <v>technician</v>
      </c>
      <c r="D3073" s="3" t="str">
        <f aca="false">Raw_Data!C3073</f>
        <v>single</v>
      </c>
      <c r="E3073" s="3" t="str">
        <f aca="false">Raw_Data!D3073</f>
        <v>secondary</v>
      </c>
      <c r="F3073" s="3" t="str">
        <f aca="false">Raw_Data!E3073</f>
        <v>no</v>
      </c>
      <c r="G3073" s="3" t="n">
        <f aca="false">Raw_Data!F3073</f>
        <v>347</v>
      </c>
      <c r="H3073" s="3" t="str">
        <f aca="false">Raw_Data!G3073</f>
        <v>yes</v>
      </c>
      <c r="I3073" s="3" t="str">
        <f aca="false">Raw_Data!H3073</f>
        <v>no</v>
      </c>
      <c r="J3073" s="2" t="n">
        <f aca="false">IF(F3073="yes",1,0)</f>
        <v>0</v>
      </c>
      <c r="K3073" s="2" t="n">
        <f aca="false">IF(H3073="yes",1,0)</f>
        <v>1</v>
      </c>
      <c r="L3073" s="2" t="n">
        <f aca="false">IF(I3073="yes",1,0)</f>
        <v>0</v>
      </c>
      <c r="M3073" s="2" t="n">
        <f aca="false">IF(G3073&lt;0,1,0)</f>
        <v>0</v>
      </c>
      <c r="N3073" s="2" t="str">
        <f aca="false">_xlfn.IFS(B3073&lt;30,"Under 30",B3073&lt;40,"30-39",B3073&lt;50,"40-49",B3073&lt;60,"50-59",TRUE(),"60+")</f>
        <v>30-39</v>
      </c>
      <c r="O3073" s="2" t="str">
        <f aca="false">_xlfn.IFS(G3073&lt;0,"1 Negative",G3073=0,"2 Zero",G3073&lt;=500,"3 1-500",G3073&lt;=2000,"4 501-2000",TRUE(),"5 Above 2000")</f>
        <v>3 1-500</v>
      </c>
      <c r="P3073" s="2" t="n">
        <f aca="false">Lookups!$B$2*M3073+Lookups!$B$3*L3073</f>
        <v>0</v>
      </c>
      <c r="Q3073" s="2" t="str">
        <f aca="false">INDEX(Lookups!$E$2:$E$5,MATCH(P3073,Lookups!$D$2:$D$5,0))</f>
        <v>Low</v>
      </c>
    </row>
    <row r="3074" customFormat="false" ht="15" hidden="false" customHeight="false" outlineLevel="0" collapsed="false">
      <c r="A3074" s="3" t="n">
        <v>3073</v>
      </c>
      <c r="B3074" s="3" t="n">
        <f aca="false">Raw_Data!A3074</f>
        <v>55</v>
      </c>
      <c r="C3074" s="3" t="str">
        <f aca="false">SUBSTITUTE(Raw_Data!B3074,".","")</f>
        <v>management</v>
      </c>
      <c r="D3074" s="3" t="str">
        <f aca="false">Raw_Data!C3074</f>
        <v>married</v>
      </c>
      <c r="E3074" s="3" t="str">
        <f aca="false">Raw_Data!D3074</f>
        <v>tertiary</v>
      </c>
      <c r="F3074" s="3" t="str">
        <f aca="false">Raw_Data!E3074</f>
        <v>no</v>
      </c>
      <c r="G3074" s="3" t="n">
        <f aca="false">Raw_Data!F3074</f>
        <v>2366</v>
      </c>
      <c r="H3074" s="3" t="str">
        <f aca="false">Raw_Data!G3074</f>
        <v>yes</v>
      </c>
      <c r="I3074" s="3" t="str">
        <f aca="false">Raw_Data!H3074</f>
        <v>yes</v>
      </c>
      <c r="J3074" s="2" t="n">
        <f aca="false">IF(F3074="yes",1,0)</f>
        <v>0</v>
      </c>
      <c r="K3074" s="2" t="n">
        <f aca="false">IF(H3074="yes",1,0)</f>
        <v>1</v>
      </c>
      <c r="L3074" s="2" t="n">
        <f aca="false">IF(I3074="yes",1,0)</f>
        <v>1</v>
      </c>
      <c r="M3074" s="2" t="n">
        <f aca="false">IF(G3074&lt;0,1,0)</f>
        <v>0</v>
      </c>
      <c r="N3074" s="2" t="str">
        <f aca="false">_xlfn.IFS(B3074&lt;30,"Under 30",B3074&lt;40,"30-39",B3074&lt;50,"40-49",B3074&lt;60,"50-59",TRUE(),"60+")</f>
        <v>50-59</v>
      </c>
      <c r="O3074" s="2" t="str">
        <f aca="false">_xlfn.IFS(G3074&lt;0,"1 Negative",G3074=0,"2 Zero",G3074&lt;=500,"3 1-500",G3074&lt;=2000,"4 501-2000",TRUE(),"5 Above 2000")</f>
        <v>5 Above 2000</v>
      </c>
      <c r="P3074" s="2" t="n">
        <f aca="false">Lookups!$B$2*M3074+Lookups!$B$3*L3074</f>
        <v>1</v>
      </c>
      <c r="Q3074" s="2" t="str">
        <f aca="false">INDEX(Lookups!$E$2:$E$5,MATCH(P3074,Lookups!$D$2:$D$5,0))</f>
        <v>Medium</v>
      </c>
    </row>
    <row r="3075" customFormat="false" ht="15" hidden="false" customHeight="false" outlineLevel="0" collapsed="false">
      <c r="A3075" s="3" t="n">
        <v>3074</v>
      </c>
      <c r="B3075" s="3" t="n">
        <f aca="false">Raw_Data!A3075</f>
        <v>67</v>
      </c>
      <c r="C3075" s="3" t="str">
        <f aca="false">SUBSTITUTE(Raw_Data!B3075,".","")</f>
        <v>retired</v>
      </c>
      <c r="D3075" s="3" t="str">
        <f aca="false">Raw_Data!C3075</f>
        <v>married</v>
      </c>
      <c r="E3075" s="3" t="str">
        <f aca="false">Raw_Data!D3075</f>
        <v>tertiary</v>
      </c>
      <c r="F3075" s="3" t="str">
        <f aca="false">Raw_Data!E3075</f>
        <v>no</v>
      </c>
      <c r="G3075" s="3" t="n">
        <f aca="false">Raw_Data!F3075</f>
        <v>701</v>
      </c>
      <c r="H3075" s="3" t="str">
        <f aca="false">Raw_Data!G3075</f>
        <v>no</v>
      </c>
      <c r="I3075" s="3" t="str">
        <f aca="false">Raw_Data!H3075</f>
        <v>no</v>
      </c>
      <c r="J3075" s="2" t="n">
        <f aca="false">IF(F3075="yes",1,0)</f>
        <v>0</v>
      </c>
      <c r="K3075" s="2" t="n">
        <f aca="false">IF(H3075="yes",1,0)</f>
        <v>0</v>
      </c>
      <c r="L3075" s="2" t="n">
        <f aca="false">IF(I3075="yes",1,0)</f>
        <v>0</v>
      </c>
      <c r="M3075" s="2" t="n">
        <f aca="false">IF(G3075&lt;0,1,0)</f>
        <v>0</v>
      </c>
      <c r="N3075" s="2" t="str">
        <f aca="false">_xlfn.IFS(B3075&lt;30,"Under 30",B3075&lt;40,"30-39",B3075&lt;50,"40-49",B3075&lt;60,"50-59",TRUE(),"60+")</f>
        <v>60+</v>
      </c>
      <c r="O3075" s="2" t="str">
        <f aca="false">_xlfn.IFS(G3075&lt;0,"1 Negative",G3075=0,"2 Zero",G3075&lt;=500,"3 1-500",G3075&lt;=2000,"4 501-2000",TRUE(),"5 Above 2000")</f>
        <v>4 501-2000</v>
      </c>
      <c r="P3075" s="2" t="n">
        <f aca="false">Lookups!$B$2*M3075+Lookups!$B$3*L3075</f>
        <v>0</v>
      </c>
      <c r="Q3075" s="2" t="str">
        <f aca="false">INDEX(Lookups!$E$2:$E$5,MATCH(P3075,Lookups!$D$2:$D$5,0))</f>
        <v>Low</v>
      </c>
    </row>
    <row r="3076" customFormat="false" ht="15" hidden="false" customHeight="false" outlineLevel="0" collapsed="false">
      <c r="A3076" s="3" t="n">
        <v>3075</v>
      </c>
      <c r="B3076" s="3" t="n">
        <f aca="false">Raw_Data!A3076</f>
        <v>34</v>
      </c>
      <c r="C3076" s="3" t="str">
        <f aca="false">SUBSTITUTE(Raw_Data!B3076,".","")</f>
        <v>entrepreneur</v>
      </c>
      <c r="D3076" s="3" t="str">
        <f aca="false">Raw_Data!C3076</f>
        <v>married</v>
      </c>
      <c r="E3076" s="3" t="str">
        <f aca="false">Raw_Data!D3076</f>
        <v>tertiary</v>
      </c>
      <c r="F3076" s="3" t="str">
        <f aca="false">Raw_Data!E3076</f>
        <v>no</v>
      </c>
      <c r="G3076" s="3" t="n">
        <f aca="false">Raw_Data!F3076</f>
        <v>475</v>
      </c>
      <c r="H3076" s="3" t="str">
        <f aca="false">Raw_Data!G3076</f>
        <v>yes</v>
      </c>
      <c r="I3076" s="3" t="str">
        <f aca="false">Raw_Data!H3076</f>
        <v>yes</v>
      </c>
      <c r="J3076" s="2" t="n">
        <f aca="false">IF(F3076="yes",1,0)</f>
        <v>0</v>
      </c>
      <c r="K3076" s="2" t="n">
        <f aca="false">IF(H3076="yes",1,0)</f>
        <v>1</v>
      </c>
      <c r="L3076" s="2" t="n">
        <f aca="false">IF(I3076="yes",1,0)</f>
        <v>1</v>
      </c>
      <c r="M3076" s="2" t="n">
        <f aca="false">IF(G3076&lt;0,1,0)</f>
        <v>0</v>
      </c>
      <c r="N3076" s="2" t="str">
        <f aca="false">_xlfn.IFS(B3076&lt;30,"Under 30",B3076&lt;40,"30-39",B3076&lt;50,"40-49",B3076&lt;60,"50-59",TRUE(),"60+")</f>
        <v>30-39</v>
      </c>
      <c r="O3076" s="2" t="str">
        <f aca="false">_xlfn.IFS(G3076&lt;0,"1 Negative",G3076=0,"2 Zero",G3076&lt;=500,"3 1-500",G3076&lt;=2000,"4 501-2000",TRUE(),"5 Above 2000")</f>
        <v>3 1-500</v>
      </c>
      <c r="P3076" s="2" t="n">
        <f aca="false">Lookups!$B$2*M3076+Lookups!$B$3*L3076</f>
        <v>1</v>
      </c>
      <c r="Q3076" s="2" t="str">
        <f aca="false">INDEX(Lookups!$E$2:$E$5,MATCH(P3076,Lookups!$D$2:$D$5,0))</f>
        <v>Medium</v>
      </c>
    </row>
    <row r="3077" customFormat="false" ht="15" hidden="false" customHeight="false" outlineLevel="0" collapsed="false">
      <c r="A3077" s="3" t="n">
        <v>3076</v>
      </c>
      <c r="B3077" s="3" t="n">
        <f aca="false">Raw_Data!A3077</f>
        <v>47</v>
      </c>
      <c r="C3077" s="3" t="str">
        <f aca="false">SUBSTITUTE(Raw_Data!B3077,".","")</f>
        <v>blue-collar</v>
      </c>
      <c r="D3077" s="3" t="str">
        <f aca="false">Raw_Data!C3077</f>
        <v>married</v>
      </c>
      <c r="E3077" s="3" t="str">
        <f aca="false">Raw_Data!D3077</f>
        <v>secondary</v>
      </c>
      <c r="F3077" s="3" t="str">
        <f aca="false">Raw_Data!E3077</f>
        <v>no</v>
      </c>
      <c r="G3077" s="3" t="n">
        <f aca="false">Raw_Data!F3077</f>
        <v>3285</v>
      </c>
      <c r="H3077" s="3" t="str">
        <f aca="false">Raw_Data!G3077</f>
        <v>no</v>
      </c>
      <c r="I3077" s="3" t="str">
        <f aca="false">Raw_Data!H3077</f>
        <v>no</v>
      </c>
      <c r="J3077" s="2" t="n">
        <f aca="false">IF(F3077="yes",1,0)</f>
        <v>0</v>
      </c>
      <c r="K3077" s="2" t="n">
        <f aca="false">IF(H3077="yes",1,0)</f>
        <v>0</v>
      </c>
      <c r="L3077" s="2" t="n">
        <f aca="false">IF(I3077="yes",1,0)</f>
        <v>0</v>
      </c>
      <c r="M3077" s="2" t="n">
        <f aca="false">IF(G3077&lt;0,1,0)</f>
        <v>0</v>
      </c>
      <c r="N3077" s="2" t="str">
        <f aca="false">_xlfn.IFS(B3077&lt;30,"Under 30",B3077&lt;40,"30-39",B3077&lt;50,"40-49",B3077&lt;60,"50-59",TRUE(),"60+")</f>
        <v>40-49</v>
      </c>
      <c r="O3077" s="2" t="str">
        <f aca="false">_xlfn.IFS(G3077&lt;0,"1 Negative",G3077=0,"2 Zero",G3077&lt;=500,"3 1-500",G3077&lt;=2000,"4 501-2000",TRUE(),"5 Above 2000")</f>
        <v>5 Above 2000</v>
      </c>
      <c r="P3077" s="2" t="n">
        <f aca="false">Lookups!$B$2*M3077+Lookups!$B$3*L3077</f>
        <v>0</v>
      </c>
      <c r="Q3077" s="2" t="str">
        <f aca="false">INDEX(Lookups!$E$2:$E$5,MATCH(P3077,Lookups!$D$2:$D$5,0))</f>
        <v>Low</v>
      </c>
    </row>
    <row r="3078" customFormat="false" ht="15" hidden="false" customHeight="false" outlineLevel="0" collapsed="false">
      <c r="A3078" s="3" t="n">
        <v>3077</v>
      </c>
      <c r="B3078" s="3" t="n">
        <f aca="false">Raw_Data!A3078</f>
        <v>33</v>
      </c>
      <c r="C3078" s="3" t="str">
        <f aca="false">SUBSTITUTE(Raw_Data!B3078,".","")</f>
        <v>blue-collar</v>
      </c>
      <c r="D3078" s="3" t="str">
        <f aca="false">Raw_Data!C3078</f>
        <v>married</v>
      </c>
      <c r="E3078" s="3" t="str">
        <f aca="false">Raw_Data!D3078</f>
        <v>primary</v>
      </c>
      <c r="F3078" s="3" t="str">
        <f aca="false">Raw_Data!E3078</f>
        <v>no</v>
      </c>
      <c r="G3078" s="3" t="n">
        <f aca="false">Raw_Data!F3078</f>
        <v>925</v>
      </c>
      <c r="H3078" s="3" t="str">
        <f aca="false">Raw_Data!G3078</f>
        <v>no</v>
      </c>
      <c r="I3078" s="3" t="str">
        <f aca="false">Raw_Data!H3078</f>
        <v>no</v>
      </c>
      <c r="J3078" s="2" t="n">
        <f aca="false">IF(F3078="yes",1,0)</f>
        <v>0</v>
      </c>
      <c r="K3078" s="2" t="n">
        <f aca="false">IF(H3078="yes",1,0)</f>
        <v>0</v>
      </c>
      <c r="L3078" s="2" t="n">
        <f aca="false">IF(I3078="yes",1,0)</f>
        <v>0</v>
      </c>
      <c r="M3078" s="2" t="n">
        <f aca="false">IF(G3078&lt;0,1,0)</f>
        <v>0</v>
      </c>
      <c r="N3078" s="2" t="str">
        <f aca="false">_xlfn.IFS(B3078&lt;30,"Under 30",B3078&lt;40,"30-39",B3078&lt;50,"40-49",B3078&lt;60,"50-59",TRUE(),"60+")</f>
        <v>30-39</v>
      </c>
      <c r="O3078" s="2" t="str">
        <f aca="false">_xlfn.IFS(G3078&lt;0,"1 Negative",G3078=0,"2 Zero",G3078&lt;=500,"3 1-500",G3078&lt;=2000,"4 501-2000",TRUE(),"5 Above 2000")</f>
        <v>4 501-2000</v>
      </c>
      <c r="P3078" s="2" t="n">
        <f aca="false">Lookups!$B$2*M3078+Lookups!$B$3*L3078</f>
        <v>0</v>
      </c>
      <c r="Q3078" s="2" t="str">
        <f aca="false">INDEX(Lookups!$E$2:$E$5,MATCH(P3078,Lookups!$D$2:$D$5,0))</f>
        <v>Low</v>
      </c>
    </row>
    <row r="3079" customFormat="false" ht="15" hidden="false" customHeight="false" outlineLevel="0" collapsed="false">
      <c r="A3079" s="3" t="n">
        <v>3078</v>
      </c>
      <c r="B3079" s="3" t="n">
        <f aca="false">Raw_Data!A3079</f>
        <v>45</v>
      </c>
      <c r="C3079" s="3" t="str">
        <f aca="false">SUBSTITUTE(Raw_Data!B3079,".","")</f>
        <v>entrepreneur</v>
      </c>
      <c r="D3079" s="3" t="str">
        <f aca="false">Raw_Data!C3079</f>
        <v>married</v>
      </c>
      <c r="E3079" s="3" t="str">
        <f aca="false">Raw_Data!D3079</f>
        <v>secondary</v>
      </c>
      <c r="F3079" s="3" t="str">
        <f aca="false">Raw_Data!E3079</f>
        <v>no</v>
      </c>
      <c r="G3079" s="3" t="n">
        <f aca="false">Raw_Data!F3079</f>
        <v>128</v>
      </c>
      <c r="H3079" s="3" t="str">
        <f aca="false">Raw_Data!G3079</f>
        <v>no</v>
      </c>
      <c r="I3079" s="3" t="str">
        <f aca="false">Raw_Data!H3079</f>
        <v>yes</v>
      </c>
      <c r="J3079" s="2" t="n">
        <f aca="false">IF(F3079="yes",1,0)</f>
        <v>0</v>
      </c>
      <c r="K3079" s="2" t="n">
        <f aca="false">IF(H3079="yes",1,0)</f>
        <v>0</v>
      </c>
      <c r="L3079" s="2" t="n">
        <f aca="false">IF(I3079="yes",1,0)</f>
        <v>1</v>
      </c>
      <c r="M3079" s="2" t="n">
        <f aca="false">IF(G3079&lt;0,1,0)</f>
        <v>0</v>
      </c>
      <c r="N3079" s="2" t="str">
        <f aca="false">_xlfn.IFS(B3079&lt;30,"Under 30",B3079&lt;40,"30-39",B3079&lt;50,"40-49",B3079&lt;60,"50-59",TRUE(),"60+")</f>
        <v>40-49</v>
      </c>
      <c r="O3079" s="2" t="str">
        <f aca="false">_xlfn.IFS(G3079&lt;0,"1 Negative",G3079=0,"2 Zero",G3079&lt;=500,"3 1-500",G3079&lt;=2000,"4 501-2000",TRUE(),"5 Above 2000")</f>
        <v>3 1-500</v>
      </c>
      <c r="P3079" s="2" t="n">
        <f aca="false">Lookups!$B$2*M3079+Lookups!$B$3*L3079</f>
        <v>1</v>
      </c>
      <c r="Q3079" s="2" t="str">
        <f aca="false">INDEX(Lookups!$E$2:$E$5,MATCH(P3079,Lookups!$D$2:$D$5,0))</f>
        <v>Medium</v>
      </c>
    </row>
    <row r="3080" customFormat="false" ht="15" hidden="false" customHeight="false" outlineLevel="0" collapsed="false">
      <c r="A3080" s="3" t="n">
        <v>3079</v>
      </c>
      <c r="B3080" s="3" t="n">
        <f aca="false">Raw_Data!A3080</f>
        <v>36</v>
      </c>
      <c r="C3080" s="3" t="str">
        <f aca="false">SUBSTITUTE(Raw_Data!B3080,".","")</f>
        <v>blue-collar</v>
      </c>
      <c r="D3080" s="3" t="str">
        <f aca="false">Raw_Data!C3080</f>
        <v>married</v>
      </c>
      <c r="E3080" s="3" t="str">
        <f aca="false">Raw_Data!D3080</f>
        <v>secondary</v>
      </c>
      <c r="F3080" s="3" t="str">
        <f aca="false">Raw_Data!E3080</f>
        <v>no</v>
      </c>
      <c r="G3080" s="3" t="n">
        <f aca="false">Raw_Data!F3080</f>
        <v>1587</v>
      </c>
      <c r="H3080" s="3" t="str">
        <f aca="false">Raw_Data!G3080</f>
        <v>yes</v>
      </c>
      <c r="I3080" s="3" t="str">
        <f aca="false">Raw_Data!H3080</f>
        <v>no</v>
      </c>
      <c r="J3080" s="2" t="n">
        <f aca="false">IF(F3080="yes",1,0)</f>
        <v>0</v>
      </c>
      <c r="K3080" s="2" t="n">
        <f aca="false">IF(H3080="yes",1,0)</f>
        <v>1</v>
      </c>
      <c r="L3080" s="2" t="n">
        <f aca="false">IF(I3080="yes",1,0)</f>
        <v>0</v>
      </c>
      <c r="M3080" s="2" t="n">
        <f aca="false">IF(G3080&lt;0,1,0)</f>
        <v>0</v>
      </c>
      <c r="N3080" s="2" t="str">
        <f aca="false">_xlfn.IFS(B3080&lt;30,"Under 30",B3080&lt;40,"30-39",B3080&lt;50,"40-49",B3080&lt;60,"50-59",TRUE(),"60+")</f>
        <v>30-39</v>
      </c>
      <c r="O3080" s="2" t="str">
        <f aca="false">_xlfn.IFS(G3080&lt;0,"1 Negative",G3080=0,"2 Zero",G3080&lt;=500,"3 1-500",G3080&lt;=2000,"4 501-2000",TRUE(),"5 Above 2000")</f>
        <v>4 501-2000</v>
      </c>
      <c r="P3080" s="2" t="n">
        <f aca="false">Lookups!$B$2*M3080+Lookups!$B$3*L3080</f>
        <v>0</v>
      </c>
      <c r="Q3080" s="2" t="str">
        <f aca="false">INDEX(Lookups!$E$2:$E$5,MATCH(P3080,Lookups!$D$2:$D$5,0))</f>
        <v>Low</v>
      </c>
    </row>
    <row r="3081" customFormat="false" ht="15" hidden="false" customHeight="false" outlineLevel="0" collapsed="false">
      <c r="A3081" s="3" t="n">
        <v>3080</v>
      </c>
      <c r="B3081" s="3" t="n">
        <f aca="false">Raw_Data!A3081</f>
        <v>59</v>
      </c>
      <c r="C3081" s="3" t="str">
        <f aca="false">SUBSTITUTE(Raw_Data!B3081,".","")</f>
        <v>technician</v>
      </c>
      <c r="D3081" s="3" t="str">
        <f aca="false">Raw_Data!C3081</f>
        <v>divorced</v>
      </c>
      <c r="E3081" s="3" t="str">
        <f aca="false">Raw_Data!D3081</f>
        <v>secondary</v>
      </c>
      <c r="F3081" s="3" t="str">
        <f aca="false">Raw_Data!E3081</f>
        <v>no</v>
      </c>
      <c r="G3081" s="3" t="n">
        <f aca="false">Raw_Data!F3081</f>
        <v>879</v>
      </c>
      <c r="H3081" s="3" t="str">
        <f aca="false">Raw_Data!G3081</f>
        <v>yes</v>
      </c>
      <c r="I3081" s="3" t="str">
        <f aca="false">Raw_Data!H3081</f>
        <v>no</v>
      </c>
      <c r="J3081" s="2" t="n">
        <f aca="false">IF(F3081="yes",1,0)</f>
        <v>0</v>
      </c>
      <c r="K3081" s="2" t="n">
        <f aca="false">IF(H3081="yes",1,0)</f>
        <v>1</v>
      </c>
      <c r="L3081" s="2" t="n">
        <f aca="false">IF(I3081="yes",1,0)</f>
        <v>0</v>
      </c>
      <c r="M3081" s="2" t="n">
        <f aca="false">IF(G3081&lt;0,1,0)</f>
        <v>0</v>
      </c>
      <c r="N3081" s="2" t="str">
        <f aca="false">_xlfn.IFS(B3081&lt;30,"Under 30",B3081&lt;40,"30-39",B3081&lt;50,"40-49",B3081&lt;60,"50-59",TRUE(),"60+")</f>
        <v>50-59</v>
      </c>
      <c r="O3081" s="2" t="str">
        <f aca="false">_xlfn.IFS(G3081&lt;0,"1 Negative",G3081=0,"2 Zero",G3081&lt;=500,"3 1-500",G3081&lt;=2000,"4 501-2000",TRUE(),"5 Above 2000")</f>
        <v>4 501-2000</v>
      </c>
      <c r="P3081" s="2" t="n">
        <f aca="false">Lookups!$B$2*M3081+Lookups!$B$3*L3081</f>
        <v>0</v>
      </c>
      <c r="Q3081" s="2" t="str">
        <f aca="false">INDEX(Lookups!$E$2:$E$5,MATCH(P3081,Lookups!$D$2:$D$5,0))</f>
        <v>Low</v>
      </c>
    </row>
    <row r="3082" customFormat="false" ht="15" hidden="false" customHeight="false" outlineLevel="0" collapsed="false">
      <c r="A3082" s="3" t="n">
        <v>3081</v>
      </c>
      <c r="B3082" s="3" t="n">
        <f aca="false">Raw_Data!A3082</f>
        <v>33</v>
      </c>
      <c r="C3082" s="3" t="str">
        <f aca="false">SUBSTITUTE(Raw_Data!B3082,".","")</f>
        <v>services</v>
      </c>
      <c r="D3082" s="3" t="str">
        <f aca="false">Raw_Data!C3082</f>
        <v>married</v>
      </c>
      <c r="E3082" s="3" t="str">
        <f aca="false">Raw_Data!D3082</f>
        <v>secondary</v>
      </c>
      <c r="F3082" s="3" t="str">
        <f aca="false">Raw_Data!E3082</f>
        <v>no</v>
      </c>
      <c r="G3082" s="3" t="n">
        <f aca="false">Raw_Data!F3082</f>
        <v>478</v>
      </c>
      <c r="H3082" s="3" t="str">
        <f aca="false">Raw_Data!G3082</f>
        <v>no</v>
      </c>
      <c r="I3082" s="3" t="str">
        <f aca="false">Raw_Data!H3082</f>
        <v>no</v>
      </c>
      <c r="J3082" s="2" t="n">
        <f aca="false">IF(F3082="yes",1,0)</f>
        <v>0</v>
      </c>
      <c r="K3082" s="2" t="n">
        <f aca="false">IF(H3082="yes",1,0)</f>
        <v>0</v>
      </c>
      <c r="L3082" s="2" t="n">
        <f aca="false">IF(I3082="yes",1,0)</f>
        <v>0</v>
      </c>
      <c r="M3082" s="2" t="n">
        <f aca="false">IF(G3082&lt;0,1,0)</f>
        <v>0</v>
      </c>
      <c r="N3082" s="2" t="str">
        <f aca="false">_xlfn.IFS(B3082&lt;30,"Under 30",B3082&lt;40,"30-39",B3082&lt;50,"40-49",B3082&lt;60,"50-59",TRUE(),"60+")</f>
        <v>30-39</v>
      </c>
      <c r="O3082" s="2" t="str">
        <f aca="false">_xlfn.IFS(G3082&lt;0,"1 Negative",G3082=0,"2 Zero",G3082&lt;=500,"3 1-500",G3082&lt;=2000,"4 501-2000",TRUE(),"5 Above 2000")</f>
        <v>3 1-500</v>
      </c>
      <c r="P3082" s="2" t="n">
        <f aca="false">Lookups!$B$2*M3082+Lookups!$B$3*L3082</f>
        <v>0</v>
      </c>
      <c r="Q3082" s="2" t="str">
        <f aca="false">INDEX(Lookups!$E$2:$E$5,MATCH(P3082,Lookups!$D$2:$D$5,0))</f>
        <v>Low</v>
      </c>
    </row>
    <row r="3083" customFormat="false" ht="15" hidden="false" customHeight="false" outlineLevel="0" collapsed="false">
      <c r="A3083" s="3" t="n">
        <v>3082</v>
      </c>
      <c r="B3083" s="3" t="n">
        <f aca="false">Raw_Data!A3083</f>
        <v>52</v>
      </c>
      <c r="C3083" s="3" t="str">
        <f aca="false">SUBSTITUTE(Raw_Data!B3083,".","")</f>
        <v>technician</v>
      </c>
      <c r="D3083" s="3" t="str">
        <f aca="false">Raw_Data!C3083</f>
        <v>divorced</v>
      </c>
      <c r="E3083" s="3" t="str">
        <f aca="false">Raw_Data!D3083</f>
        <v>secondary</v>
      </c>
      <c r="F3083" s="3" t="str">
        <f aca="false">Raw_Data!E3083</f>
        <v>no</v>
      </c>
      <c r="G3083" s="3" t="n">
        <f aca="false">Raw_Data!F3083</f>
        <v>280</v>
      </c>
      <c r="H3083" s="3" t="str">
        <f aca="false">Raw_Data!G3083</f>
        <v>no</v>
      </c>
      <c r="I3083" s="3" t="str">
        <f aca="false">Raw_Data!H3083</f>
        <v>no</v>
      </c>
      <c r="J3083" s="2" t="n">
        <f aca="false">IF(F3083="yes",1,0)</f>
        <v>0</v>
      </c>
      <c r="K3083" s="2" t="n">
        <f aca="false">IF(H3083="yes",1,0)</f>
        <v>0</v>
      </c>
      <c r="L3083" s="2" t="n">
        <f aca="false">IF(I3083="yes",1,0)</f>
        <v>0</v>
      </c>
      <c r="M3083" s="2" t="n">
        <f aca="false">IF(G3083&lt;0,1,0)</f>
        <v>0</v>
      </c>
      <c r="N3083" s="2" t="str">
        <f aca="false">_xlfn.IFS(B3083&lt;30,"Under 30",B3083&lt;40,"30-39",B3083&lt;50,"40-49",B3083&lt;60,"50-59",TRUE(),"60+")</f>
        <v>50-59</v>
      </c>
      <c r="O3083" s="2" t="str">
        <f aca="false">_xlfn.IFS(G3083&lt;0,"1 Negative",G3083=0,"2 Zero",G3083&lt;=500,"3 1-500",G3083&lt;=2000,"4 501-2000",TRUE(),"5 Above 2000")</f>
        <v>3 1-500</v>
      </c>
      <c r="P3083" s="2" t="n">
        <f aca="false">Lookups!$B$2*M3083+Lookups!$B$3*L3083</f>
        <v>0</v>
      </c>
      <c r="Q3083" s="2" t="str">
        <f aca="false">INDEX(Lookups!$E$2:$E$5,MATCH(P3083,Lookups!$D$2:$D$5,0))</f>
        <v>Low</v>
      </c>
    </row>
    <row r="3084" customFormat="false" ht="15" hidden="false" customHeight="false" outlineLevel="0" collapsed="false">
      <c r="A3084" s="3" t="n">
        <v>3083</v>
      </c>
      <c r="B3084" s="3" t="n">
        <f aca="false">Raw_Data!A3084</f>
        <v>53</v>
      </c>
      <c r="C3084" s="3" t="str">
        <f aca="false">SUBSTITUTE(Raw_Data!B3084,".","")</f>
        <v>blue-collar</v>
      </c>
      <c r="D3084" s="3" t="str">
        <f aca="false">Raw_Data!C3084</f>
        <v>married</v>
      </c>
      <c r="E3084" s="3" t="str">
        <f aca="false">Raw_Data!D3084</f>
        <v>primary</v>
      </c>
      <c r="F3084" s="3" t="str">
        <f aca="false">Raw_Data!E3084</f>
        <v>no</v>
      </c>
      <c r="G3084" s="3" t="n">
        <f aca="false">Raw_Data!F3084</f>
        <v>1868</v>
      </c>
      <c r="H3084" s="3" t="str">
        <f aca="false">Raw_Data!G3084</f>
        <v>no</v>
      </c>
      <c r="I3084" s="3" t="str">
        <f aca="false">Raw_Data!H3084</f>
        <v>no</v>
      </c>
      <c r="J3084" s="2" t="n">
        <f aca="false">IF(F3084="yes",1,0)</f>
        <v>0</v>
      </c>
      <c r="K3084" s="2" t="n">
        <f aca="false">IF(H3084="yes",1,0)</f>
        <v>0</v>
      </c>
      <c r="L3084" s="2" t="n">
        <f aca="false">IF(I3084="yes",1,0)</f>
        <v>0</v>
      </c>
      <c r="M3084" s="2" t="n">
        <f aca="false">IF(G3084&lt;0,1,0)</f>
        <v>0</v>
      </c>
      <c r="N3084" s="2" t="str">
        <f aca="false">_xlfn.IFS(B3084&lt;30,"Under 30",B3084&lt;40,"30-39",B3084&lt;50,"40-49",B3084&lt;60,"50-59",TRUE(),"60+")</f>
        <v>50-59</v>
      </c>
      <c r="O3084" s="2" t="str">
        <f aca="false">_xlfn.IFS(G3084&lt;0,"1 Negative",G3084=0,"2 Zero",G3084&lt;=500,"3 1-500",G3084&lt;=2000,"4 501-2000",TRUE(),"5 Above 2000")</f>
        <v>4 501-2000</v>
      </c>
      <c r="P3084" s="2" t="n">
        <f aca="false">Lookups!$B$2*M3084+Lookups!$B$3*L3084</f>
        <v>0</v>
      </c>
      <c r="Q3084" s="2" t="str">
        <f aca="false">INDEX(Lookups!$E$2:$E$5,MATCH(P3084,Lookups!$D$2:$D$5,0))</f>
        <v>Low</v>
      </c>
    </row>
    <row r="3085" customFormat="false" ht="15" hidden="false" customHeight="false" outlineLevel="0" collapsed="false">
      <c r="A3085" s="3" t="n">
        <v>3084</v>
      </c>
      <c r="B3085" s="3" t="n">
        <f aca="false">Raw_Data!A3085</f>
        <v>41</v>
      </c>
      <c r="C3085" s="3" t="str">
        <f aca="false">SUBSTITUTE(Raw_Data!B3085,".","")</f>
        <v>unemployed</v>
      </c>
      <c r="D3085" s="3" t="str">
        <f aca="false">Raw_Data!C3085</f>
        <v>married</v>
      </c>
      <c r="E3085" s="3" t="str">
        <f aca="false">Raw_Data!D3085</f>
        <v>primary</v>
      </c>
      <c r="F3085" s="3" t="str">
        <f aca="false">Raw_Data!E3085</f>
        <v>no</v>
      </c>
      <c r="G3085" s="3" t="n">
        <f aca="false">Raw_Data!F3085</f>
        <v>819</v>
      </c>
      <c r="H3085" s="3" t="str">
        <f aca="false">Raw_Data!G3085</f>
        <v>no</v>
      </c>
      <c r="I3085" s="3" t="str">
        <f aca="false">Raw_Data!H3085</f>
        <v>no</v>
      </c>
      <c r="J3085" s="2" t="n">
        <f aca="false">IF(F3085="yes",1,0)</f>
        <v>0</v>
      </c>
      <c r="K3085" s="2" t="n">
        <f aca="false">IF(H3085="yes",1,0)</f>
        <v>0</v>
      </c>
      <c r="L3085" s="2" t="n">
        <f aca="false">IF(I3085="yes",1,0)</f>
        <v>0</v>
      </c>
      <c r="M3085" s="2" t="n">
        <f aca="false">IF(G3085&lt;0,1,0)</f>
        <v>0</v>
      </c>
      <c r="N3085" s="2" t="str">
        <f aca="false">_xlfn.IFS(B3085&lt;30,"Under 30",B3085&lt;40,"30-39",B3085&lt;50,"40-49",B3085&lt;60,"50-59",TRUE(),"60+")</f>
        <v>40-49</v>
      </c>
      <c r="O3085" s="2" t="str">
        <f aca="false">_xlfn.IFS(G3085&lt;0,"1 Negative",G3085=0,"2 Zero",G3085&lt;=500,"3 1-500",G3085&lt;=2000,"4 501-2000",TRUE(),"5 Above 2000")</f>
        <v>4 501-2000</v>
      </c>
      <c r="P3085" s="2" t="n">
        <f aca="false">Lookups!$B$2*M3085+Lookups!$B$3*L3085</f>
        <v>0</v>
      </c>
      <c r="Q3085" s="2" t="str">
        <f aca="false">INDEX(Lookups!$E$2:$E$5,MATCH(P3085,Lookups!$D$2:$D$5,0))</f>
        <v>Low</v>
      </c>
    </row>
    <row r="3086" customFormat="false" ht="15" hidden="false" customHeight="false" outlineLevel="0" collapsed="false">
      <c r="A3086" s="3" t="n">
        <v>3085</v>
      </c>
      <c r="B3086" s="3" t="n">
        <f aca="false">Raw_Data!A3086</f>
        <v>45</v>
      </c>
      <c r="C3086" s="3" t="str">
        <f aca="false">SUBSTITUTE(Raw_Data!B3086,".","")</f>
        <v>blue-collar</v>
      </c>
      <c r="D3086" s="3" t="str">
        <f aca="false">Raw_Data!C3086</f>
        <v>married</v>
      </c>
      <c r="E3086" s="3" t="str">
        <f aca="false">Raw_Data!D3086</f>
        <v>secondary</v>
      </c>
      <c r="F3086" s="3" t="str">
        <f aca="false">Raw_Data!E3086</f>
        <v>no</v>
      </c>
      <c r="G3086" s="3" t="n">
        <f aca="false">Raw_Data!F3086</f>
        <v>4646</v>
      </c>
      <c r="H3086" s="3" t="str">
        <f aca="false">Raw_Data!G3086</f>
        <v>yes</v>
      </c>
      <c r="I3086" s="3" t="str">
        <f aca="false">Raw_Data!H3086</f>
        <v>no</v>
      </c>
      <c r="J3086" s="2" t="n">
        <f aca="false">IF(F3086="yes",1,0)</f>
        <v>0</v>
      </c>
      <c r="K3086" s="2" t="n">
        <f aca="false">IF(H3086="yes",1,0)</f>
        <v>1</v>
      </c>
      <c r="L3086" s="2" t="n">
        <f aca="false">IF(I3086="yes",1,0)</f>
        <v>0</v>
      </c>
      <c r="M3086" s="2" t="n">
        <f aca="false">IF(G3086&lt;0,1,0)</f>
        <v>0</v>
      </c>
      <c r="N3086" s="2" t="str">
        <f aca="false">_xlfn.IFS(B3086&lt;30,"Under 30",B3086&lt;40,"30-39",B3086&lt;50,"40-49",B3086&lt;60,"50-59",TRUE(),"60+")</f>
        <v>40-49</v>
      </c>
      <c r="O3086" s="2" t="str">
        <f aca="false">_xlfn.IFS(G3086&lt;0,"1 Negative",G3086=0,"2 Zero",G3086&lt;=500,"3 1-500",G3086&lt;=2000,"4 501-2000",TRUE(),"5 Above 2000")</f>
        <v>5 Above 2000</v>
      </c>
      <c r="P3086" s="2" t="n">
        <f aca="false">Lookups!$B$2*M3086+Lookups!$B$3*L3086</f>
        <v>0</v>
      </c>
      <c r="Q3086" s="2" t="str">
        <f aca="false">INDEX(Lookups!$E$2:$E$5,MATCH(P3086,Lookups!$D$2:$D$5,0))</f>
        <v>Low</v>
      </c>
    </row>
    <row r="3087" customFormat="false" ht="15" hidden="false" customHeight="false" outlineLevel="0" collapsed="false">
      <c r="A3087" s="3" t="n">
        <v>3086</v>
      </c>
      <c r="B3087" s="3" t="n">
        <f aca="false">Raw_Data!A3087</f>
        <v>60</v>
      </c>
      <c r="C3087" s="3" t="str">
        <f aca="false">SUBSTITUTE(Raw_Data!B3087,".","")</f>
        <v>self-employed</v>
      </c>
      <c r="D3087" s="3" t="str">
        <f aca="false">Raw_Data!C3087</f>
        <v>single</v>
      </c>
      <c r="E3087" s="3" t="str">
        <f aca="false">Raw_Data!D3087</f>
        <v>secondary</v>
      </c>
      <c r="F3087" s="3" t="str">
        <f aca="false">Raw_Data!E3087</f>
        <v>no</v>
      </c>
      <c r="G3087" s="3" t="n">
        <f aca="false">Raw_Data!F3087</f>
        <v>27</v>
      </c>
      <c r="H3087" s="3" t="str">
        <f aca="false">Raw_Data!G3087</f>
        <v>no</v>
      </c>
      <c r="I3087" s="3" t="str">
        <f aca="false">Raw_Data!H3087</f>
        <v>no</v>
      </c>
      <c r="J3087" s="2" t="n">
        <f aca="false">IF(F3087="yes",1,0)</f>
        <v>0</v>
      </c>
      <c r="K3087" s="2" t="n">
        <f aca="false">IF(H3087="yes",1,0)</f>
        <v>0</v>
      </c>
      <c r="L3087" s="2" t="n">
        <f aca="false">IF(I3087="yes",1,0)</f>
        <v>0</v>
      </c>
      <c r="M3087" s="2" t="n">
        <f aca="false">IF(G3087&lt;0,1,0)</f>
        <v>0</v>
      </c>
      <c r="N3087" s="2" t="str">
        <f aca="false">_xlfn.IFS(B3087&lt;30,"Under 30",B3087&lt;40,"30-39",B3087&lt;50,"40-49",B3087&lt;60,"50-59",TRUE(),"60+")</f>
        <v>60+</v>
      </c>
      <c r="O3087" s="2" t="str">
        <f aca="false">_xlfn.IFS(G3087&lt;0,"1 Negative",G3087=0,"2 Zero",G3087&lt;=500,"3 1-500",G3087&lt;=2000,"4 501-2000",TRUE(),"5 Above 2000")</f>
        <v>3 1-500</v>
      </c>
      <c r="P3087" s="2" t="n">
        <f aca="false">Lookups!$B$2*M3087+Lookups!$B$3*L3087</f>
        <v>0</v>
      </c>
      <c r="Q3087" s="2" t="str">
        <f aca="false">INDEX(Lookups!$E$2:$E$5,MATCH(P3087,Lookups!$D$2:$D$5,0))</f>
        <v>Low</v>
      </c>
    </row>
    <row r="3088" customFormat="false" ht="15" hidden="false" customHeight="false" outlineLevel="0" collapsed="false">
      <c r="A3088" s="3" t="n">
        <v>3087</v>
      </c>
      <c r="B3088" s="3" t="n">
        <f aca="false">Raw_Data!A3088</f>
        <v>32</v>
      </c>
      <c r="C3088" s="3" t="str">
        <f aca="false">SUBSTITUTE(Raw_Data!B3088,".","")</f>
        <v>blue-collar</v>
      </c>
      <c r="D3088" s="3" t="str">
        <f aca="false">Raw_Data!C3088</f>
        <v>married</v>
      </c>
      <c r="E3088" s="3" t="str">
        <f aca="false">Raw_Data!D3088</f>
        <v>secondary</v>
      </c>
      <c r="F3088" s="3" t="str">
        <f aca="false">Raw_Data!E3088</f>
        <v>no</v>
      </c>
      <c r="G3088" s="3" t="n">
        <f aca="false">Raw_Data!F3088</f>
        <v>736</v>
      </c>
      <c r="H3088" s="3" t="str">
        <f aca="false">Raw_Data!G3088</f>
        <v>yes</v>
      </c>
      <c r="I3088" s="3" t="str">
        <f aca="false">Raw_Data!H3088</f>
        <v>no</v>
      </c>
      <c r="J3088" s="2" t="n">
        <f aca="false">IF(F3088="yes",1,0)</f>
        <v>0</v>
      </c>
      <c r="K3088" s="2" t="n">
        <f aca="false">IF(H3088="yes",1,0)</f>
        <v>1</v>
      </c>
      <c r="L3088" s="2" t="n">
        <f aca="false">IF(I3088="yes",1,0)</f>
        <v>0</v>
      </c>
      <c r="M3088" s="2" t="n">
        <f aca="false">IF(G3088&lt;0,1,0)</f>
        <v>0</v>
      </c>
      <c r="N3088" s="2" t="str">
        <f aca="false">_xlfn.IFS(B3088&lt;30,"Under 30",B3088&lt;40,"30-39",B3088&lt;50,"40-49",B3088&lt;60,"50-59",TRUE(),"60+")</f>
        <v>30-39</v>
      </c>
      <c r="O3088" s="2" t="str">
        <f aca="false">_xlfn.IFS(G3088&lt;0,"1 Negative",G3088=0,"2 Zero",G3088&lt;=500,"3 1-500",G3088&lt;=2000,"4 501-2000",TRUE(),"5 Above 2000")</f>
        <v>4 501-2000</v>
      </c>
      <c r="P3088" s="2" t="n">
        <f aca="false">Lookups!$B$2*M3088+Lookups!$B$3*L3088</f>
        <v>0</v>
      </c>
      <c r="Q3088" s="2" t="str">
        <f aca="false">INDEX(Lookups!$E$2:$E$5,MATCH(P3088,Lookups!$D$2:$D$5,0))</f>
        <v>Low</v>
      </c>
    </row>
    <row r="3089" customFormat="false" ht="15" hidden="false" customHeight="false" outlineLevel="0" collapsed="false">
      <c r="A3089" s="3" t="n">
        <v>3088</v>
      </c>
      <c r="B3089" s="3" t="n">
        <f aca="false">Raw_Data!A3089</f>
        <v>28</v>
      </c>
      <c r="C3089" s="3" t="str">
        <f aca="false">SUBSTITUTE(Raw_Data!B3089,".","")</f>
        <v>management</v>
      </c>
      <c r="D3089" s="3" t="str">
        <f aca="false">Raw_Data!C3089</f>
        <v>single</v>
      </c>
      <c r="E3089" s="3" t="str">
        <f aca="false">Raw_Data!D3089</f>
        <v>tertiary</v>
      </c>
      <c r="F3089" s="3" t="str">
        <f aca="false">Raw_Data!E3089</f>
        <v>no</v>
      </c>
      <c r="G3089" s="3" t="n">
        <f aca="false">Raw_Data!F3089</f>
        <v>224</v>
      </c>
      <c r="H3089" s="3" t="str">
        <f aca="false">Raw_Data!G3089</f>
        <v>yes</v>
      </c>
      <c r="I3089" s="3" t="str">
        <f aca="false">Raw_Data!H3089</f>
        <v>no</v>
      </c>
      <c r="J3089" s="2" t="n">
        <f aca="false">IF(F3089="yes",1,0)</f>
        <v>0</v>
      </c>
      <c r="K3089" s="2" t="n">
        <f aca="false">IF(H3089="yes",1,0)</f>
        <v>1</v>
      </c>
      <c r="L3089" s="2" t="n">
        <f aca="false">IF(I3089="yes",1,0)</f>
        <v>0</v>
      </c>
      <c r="M3089" s="2" t="n">
        <f aca="false">IF(G3089&lt;0,1,0)</f>
        <v>0</v>
      </c>
      <c r="N3089" s="2" t="str">
        <f aca="false">_xlfn.IFS(B3089&lt;30,"Under 30",B3089&lt;40,"30-39",B3089&lt;50,"40-49",B3089&lt;60,"50-59",TRUE(),"60+")</f>
        <v>Under 30</v>
      </c>
      <c r="O3089" s="2" t="str">
        <f aca="false">_xlfn.IFS(G3089&lt;0,"1 Negative",G3089=0,"2 Zero",G3089&lt;=500,"3 1-500",G3089&lt;=2000,"4 501-2000",TRUE(),"5 Above 2000")</f>
        <v>3 1-500</v>
      </c>
      <c r="P3089" s="2" t="n">
        <f aca="false">Lookups!$B$2*M3089+Lookups!$B$3*L3089</f>
        <v>0</v>
      </c>
      <c r="Q3089" s="2" t="str">
        <f aca="false">INDEX(Lookups!$E$2:$E$5,MATCH(P3089,Lookups!$D$2:$D$5,0))</f>
        <v>Low</v>
      </c>
    </row>
    <row r="3090" customFormat="false" ht="15" hidden="false" customHeight="false" outlineLevel="0" collapsed="false">
      <c r="A3090" s="3" t="n">
        <v>3089</v>
      </c>
      <c r="B3090" s="3" t="n">
        <f aca="false">Raw_Data!A3090</f>
        <v>31</v>
      </c>
      <c r="C3090" s="3" t="str">
        <f aca="false">SUBSTITUTE(Raw_Data!B3090,".","")</f>
        <v>technician</v>
      </c>
      <c r="D3090" s="3" t="str">
        <f aca="false">Raw_Data!C3090</f>
        <v>single</v>
      </c>
      <c r="E3090" s="3" t="str">
        <f aca="false">Raw_Data!D3090</f>
        <v>secondary</v>
      </c>
      <c r="F3090" s="3" t="str">
        <f aca="false">Raw_Data!E3090</f>
        <v>no</v>
      </c>
      <c r="G3090" s="3" t="n">
        <f aca="false">Raw_Data!F3090</f>
        <v>2544</v>
      </c>
      <c r="H3090" s="3" t="str">
        <f aca="false">Raw_Data!G3090</f>
        <v>no</v>
      </c>
      <c r="I3090" s="3" t="str">
        <f aca="false">Raw_Data!H3090</f>
        <v>no</v>
      </c>
      <c r="J3090" s="2" t="n">
        <f aca="false">IF(F3090="yes",1,0)</f>
        <v>0</v>
      </c>
      <c r="K3090" s="2" t="n">
        <f aca="false">IF(H3090="yes",1,0)</f>
        <v>0</v>
      </c>
      <c r="L3090" s="2" t="n">
        <f aca="false">IF(I3090="yes",1,0)</f>
        <v>0</v>
      </c>
      <c r="M3090" s="2" t="n">
        <f aca="false">IF(G3090&lt;0,1,0)</f>
        <v>0</v>
      </c>
      <c r="N3090" s="2" t="str">
        <f aca="false">_xlfn.IFS(B3090&lt;30,"Under 30",B3090&lt;40,"30-39",B3090&lt;50,"40-49",B3090&lt;60,"50-59",TRUE(),"60+")</f>
        <v>30-39</v>
      </c>
      <c r="O3090" s="2" t="str">
        <f aca="false">_xlfn.IFS(G3090&lt;0,"1 Negative",G3090=0,"2 Zero",G3090&lt;=500,"3 1-500",G3090&lt;=2000,"4 501-2000",TRUE(),"5 Above 2000")</f>
        <v>5 Above 2000</v>
      </c>
      <c r="P3090" s="2" t="n">
        <f aca="false">Lookups!$B$2*M3090+Lookups!$B$3*L3090</f>
        <v>0</v>
      </c>
      <c r="Q3090" s="2" t="str">
        <f aca="false">INDEX(Lookups!$E$2:$E$5,MATCH(P3090,Lookups!$D$2:$D$5,0))</f>
        <v>Low</v>
      </c>
    </row>
    <row r="3091" customFormat="false" ht="15" hidden="false" customHeight="false" outlineLevel="0" collapsed="false">
      <c r="A3091" s="3" t="n">
        <v>3090</v>
      </c>
      <c r="B3091" s="3" t="n">
        <f aca="false">Raw_Data!A3091</f>
        <v>53</v>
      </c>
      <c r="C3091" s="3" t="str">
        <f aca="false">SUBSTITUTE(Raw_Data!B3091,".","")</f>
        <v>blue-collar</v>
      </c>
      <c r="D3091" s="3" t="str">
        <f aca="false">Raw_Data!C3091</f>
        <v>married</v>
      </c>
      <c r="E3091" s="3" t="str">
        <f aca="false">Raw_Data!D3091</f>
        <v>secondary</v>
      </c>
      <c r="F3091" s="3" t="str">
        <f aca="false">Raw_Data!E3091</f>
        <v>no</v>
      </c>
      <c r="G3091" s="3" t="n">
        <f aca="false">Raw_Data!F3091</f>
        <v>427</v>
      </c>
      <c r="H3091" s="3" t="str">
        <f aca="false">Raw_Data!G3091</f>
        <v>no</v>
      </c>
      <c r="I3091" s="3" t="str">
        <f aca="false">Raw_Data!H3091</f>
        <v>yes</v>
      </c>
      <c r="J3091" s="2" t="n">
        <f aca="false">IF(F3091="yes",1,0)</f>
        <v>0</v>
      </c>
      <c r="K3091" s="2" t="n">
        <f aca="false">IF(H3091="yes",1,0)</f>
        <v>0</v>
      </c>
      <c r="L3091" s="2" t="n">
        <f aca="false">IF(I3091="yes",1,0)</f>
        <v>1</v>
      </c>
      <c r="M3091" s="2" t="n">
        <f aca="false">IF(G3091&lt;0,1,0)</f>
        <v>0</v>
      </c>
      <c r="N3091" s="2" t="str">
        <f aca="false">_xlfn.IFS(B3091&lt;30,"Under 30",B3091&lt;40,"30-39",B3091&lt;50,"40-49",B3091&lt;60,"50-59",TRUE(),"60+")</f>
        <v>50-59</v>
      </c>
      <c r="O3091" s="2" t="str">
        <f aca="false">_xlfn.IFS(G3091&lt;0,"1 Negative",G3091=0,"2 Zero",G3091&lt;=500,"3 1-500",G3091&lt;=2000,"4 501-2000",TRUE(),"5 Above 2000")</f>
        <v>3 1-500</v>
      </c>
      <c r="P3091" s="2" t="n">
        <f aca="false">Lookups!$B$2*M3091+Lookups!$B$3*L3091</f>
        <v>1</v>
      </c>
      <c r="Q3091" s="2" t="str">
        <f aca="false">INDEX(Lookups!$E$2:$E$5,MATCH(P3091,Lookups!$D$2:$D$5,0))</f>
        <v>Medium</v>
      </c>
    </row>
    <row r="3092" customFormat="false" ht="15" hidden="false" customHeight="false" outlineLevel="0" collapsed="false">
      <c r="A3092" s="3" t="n">
        <v>3091</v>
      </c>
      <c r="B3092" s="3" t="n">
        <f aca="false">Raw_Data!A3092</f>
        <v>58</v>
      </c>
      <c r="C3092" s="3" t="str">
        <f aca="false">SUBSTITUTE(Raw_Data!B3092,".","")</f>
        <v>management</v>
      </c>
      <c r="D3092" s="3" t="str">
        <f aca="false">Raw_Data!C3092</f>
        <v>married</v>
      </c>
      <c r="E3092" s="3" t="str">
        <f aca="false">Raw_Data!D3092</f>
        <v>tertiary</v>
      </c>
      <c r="F3092" s="3" t="str">
        <f aca="false">Raw_Data!E3092</f>
        <v>no</v>
      </c>
      <c r="G3092" s="3" t="n">
        <f aca="false">Raw_Data!F3092</f>
        <v>2764</v>
      </c>
      <c r="H3092" s="3" t="str">
        <f aca="false">Raw_Data!G3092</f>
        <v>no</v>
      </c>
      <c r="I3092" s="3" t="str">
        <f aca="false">Raw_Data!H3092</f>
        <v>no</v>
      </c>
      <c r="J3092" s="2" t="n">
        <f aca="false">IF(F3092="yes",1,0)</f>
        <v>0</v>
      </c>
      <c r="K3092" s="2" t="n">
        <f aca="false">IF(H3092="yes",1,0)</f>
        <v>0</v>
      </c>
      <c r="L3092" s="2" t="n">
        <f aca="false">IF(I3092="yes",1,0)</f>
        <v>0</v>
      </c>
      <c r="M3092" s="2" t="n">
        <f aca="false">IF(G3092&lt;0,1,0)</f>
        <v>0</v>
      </c>
      <c r="N3092" s="2" t="str">
        <f aca="false">_xlfn.IFS(B3092&lt;30,"Under 30",B3092&lt;40,"30-39",B3092&lt;50,"40-49",B3092&lt;60,"50-59",TRUE(),"60+")</f>
        <v>50-59</v>
      </c>
      <c r="O3092" s="2" t="str">
        <f aca="false">_xlfn.IFS(G3092&lt;0,"1 Negative",G3092=0,"2 Zero",G3092&lt;=500,"3 1-500",G3092&lt;=2000,"4 501-2000",TRUE(),"5 Above 2000")</f>
        <v>5 Above 2000</v>
      </c>
      <c r="P3092" s="2" t="n">
        <f aca="false">Lookups!$B$2*M3092+Lookups!$B$3*L3092</f>
        <v>0</v>
      </c>
      <c r="Q3092" s="2" t="str">
        <f aca="false">INDEX(Lookups!$E$2:$E$5,MATCH(P3092,Lookups!$D$2:$D$5,0))</f>
        <v>Low</v>
      </c>
    </row>
    <row r="3093" customFormat="false" ht="15" hidden="false" customHeight="false" outlineLevel="0" collapsed="false">
      <c r="A3093" s="3" t="n">
        <v>3092</v>
      </c>
      <c r="B3093" s="3" t="n">
        <f aca="false">Raw_Data!A3093</f>
        <v>38</v>
      </c>
      <c r="C3093" s="3" t="str">
        <f aca="false">SUBSTITUTE(Raw_Data!B3093,".","")</f>
        <v>blue-collar</v>
      </c>
      <c r="D3093" s="3" t="str">
        <f aca="false">Raw_Data!C3093</f>
        <v>married</v>
      </c>
      <c r="E3093" s="3" t="str">
        <f aca="false">Raw_Data!D3093</f>
        <v>secondary</v>
      </c>
      <c r="F3093" s="3" t="str">
        <f aca="false">Raw_Data!E3093</f>
        <v>no</v>
      </c>
      <c r="G3093" s="3" t="n">
        <f aca="false">Raw_Data!F3093</f>
        <v>376</v>
      </c>
      <c r="H3093" s="3" t="str">
        <f aca="false">Raw_Data!G3093</f>
        <v>yes</v>
      </c>
      <c r="I3093" s="3" t="str">
        <f aca="false">Raw_Data!H3093</f>
        <v>no</v>
      </c>
      <c r="J3093" s="2" t="n">
        <f aca="false">IF(F3093="yes",1,0)</f>
        <v>0</v>
      </c>
      <c r="K3093" s="2" t="n">
        <f aca="false">IF(H3093="yes",1,0)</f>
        <v>1</v>
      </c>
      <c r="L3093" s="2" t="n">
        <f aca="false">IF(I3093="yes",1,0)</f>
        <v>0</v>
      </c>
      <c r="M3093" s="2" t="n">
        <f aca="false">IF(G3093&lt;0,1,0)</f>
        <v>0</v>
      </c>
      <c r="N3093" s="2" t="str">
        <f aca="false">_xlfn.IFS(B3093&lt;30,"Under 30",B3093&lt;40,"30-39",B3093&lt;50,"40-49",B3093&lt;60,"50-59",TRUE(),"60+")</f>
        <v>30-39</v>
      </c>
      <c r="O3093" s="2" t="str">
        <f aca="false">_xlfn.IFS(G3093&lt;0,"1 Negative",G3093=0,"2 Zero",G3093&lt;=500,"3 1-500",G3093&lt;=2000,"4 501-2000",TRUE(),"5 Above 2000")</f>
        <v>3 1-500</v>
      </c>
      <c r="P3093" s="2" t="n">
        <f aca="false">Lookups!$B$2*M3093+Lookups!$B$3*L3093</f>
        <v>0</v>
      </c>
      <c r="Q3093" s="2" t="str">
        <f aca="false">INDEX(Lookups!$E$2:$E$5,MATCH(P3093,Lookups!$D$2:$D$5,0))</f>
        <v>Low</v>
      </c>
    </row>
    <row r="3094" customFormat="false" ht="15" hidden="false" customHeight="false" outlineLevel="0" collapsed="false">
      <c r="A3094" s="3" t="n">
        <v>3093</v>
      </c>
      <c r="B3094" s="3" t="n">
        <f aca="false">Raw_Data!A3094</f>
        <v>46</v>
      </c>
      <c r="C3094" s="3" t="str">
        <f aca="false">SUBSTITUTE(Raw_Data!B3094,".","")</f>
        <v>management</v>
      </c>
      <c r="D3094" s="3" t="str">
        <f aca="false">Raw_Data!C3094</f>
        <v>married</v>
      </c>
      <c r="E3094" s="3" t="str">
        <f aca="false">Raw_Data!D3094</f>
        <v>tertiary</v>
      </c>
      <c r="F3094" s="3" t="str">
        <f aca="false">Raw_Data!E3094</f>
        <v>no</v>
      </c>
      <c r="G3094" s="3" t="n">
        <f aca="false">Raw_Data!F3094</f>
        <v>523</v>
      </c>
      <c r="H3094" s="3" t="str">
        <f aca="false">Raw_Data!G3094</f>
        <v>yes</v>
      </c>
      <c r="I3094" s="3" t="str">
        <f aca="false">Raw_Data!H3094</f>
        <v>no</v>
      </c>
      <c r="J3094" s="2" t="n">
        <f aca="false">IF(F3094="yes",1,0)</f>
        <v>0</v>
      </c>
      <c r="K3094" s="2" t="n">
        <f aca="false">IF(H3094="yes",1,0)</f>
        <v>1</v>
      </c>
      <c r="L3094" s="2" t="n">
        <f aca="false">IF(I3094="yes",1,0)</f>
        <v>0</v>
      </c>
      <c r="M3094" s="2" t="n">
        <f aca="false">IF(G3094&lt;0,1,0)</f>
        <v>0</v>
      </c>
      <c r="N3094" s="2" t="str">
        <f aca="false">_xlfn.IFS(B3094&lt;30,"Under 30",B3094&lt;40,"30-39",B3094&lt;50,"40-49",B3094&lt;60,"50-59",TRUE(),"60+")</f>
        <v>40-49</v>
      </c>
      <c r="O3094" s="2" t="str">
        <f aca="false">_xlfn.IFS(G3094&lt;0,"1 Negative",G3094=0,"2 Zero",G3094&lt;=500,"3 1-500",G3094&lt;=2000,"4 501-2000",TRUE(),"5 Above 2000")</f>
        <v>4 501-2000</v>
      </c>
      <c r="P3094" s="2" t="n">
        <f aca="false">Lookups!$B$2*M3094+Lookups!$B$3*L3094</f>
        <v>0</v>
      </c>
      <c r="Q3094" s="2" t="str">
        <f aca="false">INDEX(Lookups!$E$2:$E$5,MATCH(P3094,Lookups!$D$2:$D$5,0))</f>
        <v>Low</v>
      </c>
    </row>
    <row r="3095" customFormat="false" ht="15" hidden="false" customHeight="false" outlineLevel="0" collapsed="false">
      <c r="A3095" s="3" t="n">
        <v>3094</v>
      </c>
      <c r="B3095" s="3" t="n">
        <f aca="false">Raw_Data!A3095</f>
        <v>53</v>
      </c>
      <c r="C3095" s="3" t="str">
        <f aca="false">SUBSTITUTE(Raw_Data!B3095,".","")</f>
        <v>entrepreneur</v>
      </c>
      <c r="D3095" s="3" t="str">
        <f aca="false">Raw_Data!C3095</f>
        <v>married</v>
      </c>
      <c r="E3095" s="3" t="str">
        <f aca="false">Raw_Data!D3095</f>
        <v>tertiary</v>
      </c>
      <c r="F3095" s="3" t="str">
        <f aca="false">Raw_Data!E3095</f>
        <v>no</v>
      </c>
      <c r="G3095" s="3" t="n">
        <f aca="false">Raw_Data!F3095</f>
        <v>71</v>
      </c>
      <c r="H3095" s="3" t="str">
        <f aca="false">Raw_Data!G3095</f>
        <v>no</v>
      </c>
      <c r="I3095" s="3" t="str">
        <f aca="false">Raw_Data!H3095</f>
        <v>yes</v>
      </c>
      <c r="J3095" s="2" t="n">
        <f aca="false">IF(F3095="yes",1,0)</f>
        <v>0</v>
      </c>
      <c r="K3095" s="2" t="n">
        <f aca="false">IF(H3095="yes",1,0)</f>
        <v>0</v>
      </c>
      <c r="L3095" s="2" t="n">
        <f aca="false">IF(I3095="yes",1,0)</f>
        <v>1</v>
      </c>
      <c r="M3095" s="2" t="n">
        <f aca="false">IF(G3095&lt;0,1,0)</f>
        <v>0</v>
      </c>
      <c r="N3095" s="2" t="str">
        <f aca="false">_xlfn.IFS(B3095&lt;30,"Under 30",B3095&lt;40,"30-39",B3095&lt;50,"40-49",B3095&lt;60,"50-59",TRUE(),"60+")</f>
        <v>50-59</v>
      </c>
      <c r="O3095" s="2" t="str">
        <f aca="false">_xlfn.IFS(G3095&lt;0,"1 Negative",G3095=0,"2 Zero",G3095&lt;=500,"3 1-500",G3095&lt;=2000,"4 501-2000",TRUE(),"5 Above 2000")</f>
        <v>3 1-500</v>
      </c>
      <c r="P3095" s="2" t="n">
        <f aca="false">Lookups!$B$2*M3095+Lookups!$B$3*L3095</f>
        <v>1</v>
      </c>
      <c r="Q3095" s="2" t="str">
        <f aca="false">INDEX(Lookups!$E$2:$E$5,MATCH(P3095,Lookups!$D$2:$D$5,0))</f>
        <v>Medium</v>
      </c>
    </row>
    <row r="3096" customFormat="false" ht="15" hidden="false" customHeight="false" outlineLevel="0" collapsed="false">
      <c r="A3096" s="3" t="n">
        <v>3095</v>
      </c>
      <c r="B3096" s="3" t="n">
        <f aca="false">Raw_Data!A3096</f>
        <v>56</v>
      </c>
      <c r="C3096" s="3" t="str">
        <f aca="false">SUBSTITUTE(Raw_Data!B3096,".","")</f>
        <v>retired</v>
      </c>
      <c r="D3096" s="3" t="str">
        <f aca="false">Raw_Data!C3096</f>
        <v>married</v>
      </c>
      <c r="E3096" s="3" t="str">
        <f aca="false">Raw_Data!D3096</f>
        <v>secondary</v>
      </c>
      <c r="F3096" s="3" t="str">
        <f aca="false">Raw_Data!E3096</f>
        <v>no</v>
      </c>
      <c r="G3096" s="3" t="n">
        <f aca="false">Raw_Data!F3096</f>
        <v>3948</v>
      </c>
      <c r="H3096" s="3" t="str">
        <f aca="false">Raw_Data!G3096</f>
        <v>no</v>
      </c>
      <c r="I3096" s="3" t="str">
        <f aca="false">Raw_Data!H3096</f>
        <v>no</v>
      </c>
      <c r="J3096" s="2" t="n">
        <f aca="false">IF(F3096="yes",1,0)</f>
        <v>0</v>
      </c>
      <c r="K3096" s="2" t="n">
        <f aca="false">IF(H3096="yes",1,0)</f>
        <v>0</v>
      </c>
      <c r="L3096" s="2" t="n">
        <f aca="false">IF(I3096="yes",1,0)</f>
        <v>0</v>
      </c>
      <c r="M3096" s="2" t="n">
        <f aca="false">IF(G3096&lt;0,1,0)</f>
        <v>0</v>
      </c>
      <c r="N3096" s="2" t="str">
        <f aca="false">_xlfn.IFS(B3096&lt;30,"Under 30",B3096&lt;40,"30-39",B3096&lt;50,"40-49",B3096&lt;60,"50-59",TRUE(),"60+")</f>
        <v>50-59</v>
      </c>
      <c r="O3096" s="2" t="str">
        <f aca="false">_xlfn.IFS(G3096&lt;0,"1 Negative",G3096=0,"2 Zero",G3096&lt;=500,"3 1-500",G3096&lt;=2000,"4 501-2000",TRUE(),"5 Above 2000")</f>
        <v>5 Above 2000</v>
      </c>
      <c r="P3096" s="2" t="n">
        <f aca="false">Lookups!$B$2*M3096+Lookups!$B$3*L3096</f>
        <v>0</v>
      </c>
      <c r="Q3096" s="2" t="str">
        <f aca="false">INDEX(Lookups!$E$2:$E$5,MATCH(P3096,Lookups!$D$2:$D$5,0))</f>
        <v>Low</v>
      </c>
    </row>
    <row r="3097" customFormat="false" ht="15" hidden="false" customHeight="false" outlineLevel="0" collapsed="false">
      <c r="A3097" s="3" t="n">
        <v>3096</v>
      </c>
      <c r="B3097" s="3" t="n">
        <f aca="false">Raw_Data!A3097</f>
        <v>52</v>
      </c>
      <c r="C3097" s="3" t="str">
        <f aca="false">SUBSTITUTE(Raw_Data!B3097,".","")</f>
        <v>services</v>
      </c>
      <c r="D3097" s="3" t="str">
        <f aca="false">Raw_Data!C3097</f>
        <v>single</v>
      </c>
      <c r="E3097" s="3" t="str">
        <f aca="false">Raw_Data!D3097</f>
        <v>secondary</v>
      </c>
      <c r="F3097" s="3" t="str">
        <f aca="false">Raw_Data!E3097</f>
        <v>no</v>
      </c>
      <c r="G3097" s="3" t="n">
        <f aca="false">Raw_Data!F3097</f>
        <v>1810</v>
      </c>
      <c r="H3097" s="3" t="str">
        <f aca="false">Raw_Data!G3097</f>
        <v>no</v>
      </c>
      <c r="I3097" s="3" t="str">
        <f aca="false">Raw_Data!H3097</f>
        <v>no</v>
      </c>
      <c r="J3097" s="2" t="n">
        <f aca="false">IF(F3097="yes",1,0)</f>
        <v>0</v>
      </c>
      <c r="K3097" s="2" t="n">
        <f aca="false">IF(H3097="yes",1,0)</f>
        <v>0</v>
      </c>
      <c r="L3097" s="2" t="n">
        <f aca="false">IF(I3097="yes",1,0)</f>
        <v>0</v>
      </c>
      <c r="M3097" s="2" t="n">
        <f aca="false">IF(G3097&lt;0,1,0)</f>
        <v>0</v>
      </c>
      <c r="N3097" s="2" t="str">
        <f aca="false">_xlfn.IFS(B3097&lt;30,"Under 30",B3097&lt;40,"30-39",B3097&lt;50,"40-49",B3097&lt;60,"50-59",TRUE(),"60+")</f>
        <v>50-59</v>
      </c>
      <c r="O3097" s="2" t="str">
        <f aca="false">_xlfn.IFS(G3097&lt;0,"1 Negative",G3097=0,"2 Zero",G3097&lt;=500,"3 1-500",G3097&lt;=2000,"4 501-2000",TRUE(),"5 Above 2000")</f>
        <v>4 501-2000</v>
      </c>
      <c r="P3097" s="2" t="n">
        <f aca="false">Lookups!$B$2*M3097+Lookups!$B$3*L3097</f>
        <v>0</v>
      </c>
      <c r="Q3097" s="2" t="str">
        <f aca="false">INDEX(Lookups!$E$2:$E$5,MATCH(P3097,Lookups!$D$2:$D$5,0))</f>
        <v>Low</v>
      </c>
    </row>
    <row r="3098" customFormat="false" ht="15" hidden="false" customHeight="false" outlineLevel="0" collapsed="false">
      <c r="A3098" s="3" t="n">
        <v>3097</v>
      </c>
      <c r="B3098" s="3" t="n">
        <f aca="false">Raw_Data!A3098</f>
        <v>38</v>
      </c>
      <c r="C3098" s="3" t="str">
        <f aca="false">SUBSTITUTE(Raw_Data!B3098,".","")</f>
        <v>technician</v>
      </c>
      <c r="D3098" s="3" t="str">
        <f aca="false">Raw_Data!C3098</f>
        <v>married</v>
      </c>
      <c r="E3098" s="3" t="str">
        <f aca="false">Raw_Data!D3098</f>
        <v>secondary</v>
      </c>
      <c r="F3098" s="3" t="str">
        <f aca="false">Raw_Data!E3098</f>
        <v>no</v>
      </c>
      <c r="G3098" s="3" t="n">
        <f aca="false">Raw_Data!F3098</f>
        <v>994</v>
      </c>
      <c r="H3098" s="3" t="str">
        <f aca="false">Raw_Data!G3098</f>
        <v>no</v>
      </c>
      <c r="I3098" s="3" t="str">
        <f aca="false">Raw_Data!H3098</f>
        <v>no</v>
      </c>
      <c r="J3098" s="2" t="n">
        <f aca="false">IF(F3098="yes",1,0)</f>
        <v>0</v>
      </c>
      <c r="K3098" s="2" t="n">
        <f aca="false">IF(H3098="yes",1,0)</f>
        <v>0</v>
      </c>
      <c r="L3098" s="2" t="n">
        <f aca="false">IF(I3098="yes",1,0)</f>
        <v>0</v>
      </c>
      <c r="M3098" s="2" t="n">
        <f aca="false">IF(G3098&lt;0,1,0)</f>
        <v>0</v>
      </c>
      <c r="N3098" s="2" t="str">
        <f aca="false">_xlfn.IFS(B3098&lt;30,"Under 30",B3098&lt;40,"30-39",B3098&lt;50,"40-49",B3098&lt;60,"50-59",TRUE(),"60+")</f>
        <v>30-39</v>
      </c>
      <c r="O3098" s="2" t="str">
        <f aca="false">_xlfn.IFS(G3098&lt;0,"1 Negative",G3098=0,"2 Zero",G3098&lt;=500,"3 1-500",G3098&lt;=2000,"4 501-2000",TRUE(),"5 Above 2000")</f>
        <v>4 501-2000</v>
      </c>
      <c r="P3098" s="2" t="n">
        <f aca="false">Lookups!$B$2*M3098+Lookups!$B$3*L3098</f>
        <v>0</v>
      </c>
      <c r="Q3098" s="2" t="str">
        <f aca="false">INDEX(Lookups!$E$2:$E$5,MATCH(P3098,Lookups!$D$2:$D$5,0))</f>
        <v>Low</v>
      </c>
    </row>
    <row r="3099" customFormat="false" ht="15" hidden="false" customHeight="false" outlineLevel="0" collapsed="false">
      <c r="A3099" s="3" t="n">
        <v>3098</v>
      </c>
      <c r="B3099" s="3" t="n">
        <f aca="false">Raw_Data!A3099</f>
        <v>37</v>
      </c>
      <c r="C3099" s="3" t="str">
        <f aca="false">SUBSTITUTE(Raw_Data!B3099,".","")</f>
        <v>services</v>
      </c>
      <c r="D3099" s="3" t="str">
        <f aca="false">Raw_Data!C3099</f>
        <v>married</v>
      </c>
      <c r="E3099" s="3" t="str">
        <f aca="false">Raw_Data!D3099</f>
        <v>primary</v>
      </c>
      <c r="F3099" s="3" t="str">
        <f aca="false">Raw_Data!E3099</f>
        <v>no</v>
      </c>
      <c r="G3099" s="3" t="n">
        <f aca="false">Raw_Data!F3099</f>
        <v>52</v>
      </c>
      <c r="H3099" s="3" t="str">
        <f aca="false">Raw_Data!G3099</f>
        <v>yes</v>
      </c>
      <c r="I3099" s="3" t="str">
        <f aca="false">Raw_Data!H3099</f>
        <v>no</v>
      </c>
      <c r="J3099" s="2" t="n">
        <f aca="false">IF(F3099="yes",1,0)</f>
        <v>0</v>
      </c>
      <c r="K3099" s="2" t="n">
        <f aca="false">IF(H3099="yes",1,0)</f>
        <v>1</v>
      </c>
      <c r="L3099" s="2" t="n">
        <f aca="false">IF(I3099="yes",1,0)</f>
        <v>0</v>
      </c>
      <c r="M3099" s="2" t="n">
        <f aca="false">IF(G3099&lt;0,1,0)</f>
        <v>0</v>
      </c>
      <c r="N3099" s="2" t="str">
        <f aca="false">_xlfn.IFS(B3099&lt;30,"Under 30",B3099&lt;40,"30-39",B3099&lt;50,"40-49",B3099&lt;60,"50-59",TRUE(),"60+")</f>
        <v>30-39</v>
      </c>
      <c r="O3099" s="2" t="str">
        <f aca="false">_xlfn.IFS(G3099&lt;0,"1 Negative",G3099=0,"2 Zero",G3099&lt;=500,"3 1-500",G3099&lt;=2000,"4 501-2000",TRUE(),"5 Above 2000")</f>
        <v>3 1-500</v>
      </c>
      <c r="P3099" s="2" t="n">
        <f aca="false">Lookups!$B$2*M3099+Lookups!$B$3*L3099</f>
        <v>0</v>
      </c>
      <c r="Q3099" s="2" t="str">
        <f aca="false">INDEX(Lookups!$E$2:$E$5,MATCH(P3099,Lookups!$D$2:$D$5,0))</f>
        <v>Low</v>
      </c>
    </row>
    <row r="3100" customFormat="false" ht="15" hidden="false" customHeight="false" outlineLevel="0" collapsed="false">
      <c r="A3100" s="3" t="n">
        <v>3099</v>
      </c>
      <c r="B3100" s="3" t="n">
        <f aca="false">Raw_Data!A3100</f>
        <v>37</v>
      </c>
      <c r="C3100" s="3" t="str">
        <f aca="false">SUBSTITUTE(Raw_Data!B3100,".","")</f>
        <v>blue-collar</v>
      </c>
      <c r="D3100" s="3" t="str">
        <f aca="false">Raw_Data!C3100</f>
        <v>married</v>
      </c>
      <c r="E3100" s="3" t="str">
        <f aca="false">Raw_Data!D3100</f>
        <v>primary</v>
      </c>
      <c r="F3100" s="3" t="str">
        <f aca="false">Raw_Data!E3100</f>
        <v>no</v>
      </c>
      <c r="G3100" s="3" t="n">
        <f aca="false">Raw_Data!F3100</f>
        <v>11</v>
      </c>
      <c r="H3100" s="3" t="str">
        <f aca="false">Raw_Data!G3100</f>
        <v>no</v>
      </c>
      <c r="I3100" s="3" t="str">
        <f aca="false">Raw_Data!H3100</f>
        <v>no</v>
      </c>
      <c r="J3100" s="2" t="n">
        <f aca="false">IF(F3100="yes",1,0)</f>
        <v>0</v>
      </c>
      <c r="K3100" s="2" t="n">
        <f aca="false">IF(H3100="yes",1,0)</f>
        <v>0</v>
      </c>
      <c r="L3100" s="2" t="n">
        <f aca="false">IF(I3100="yes",1,0)</f>
        <v>0</v>
      </c>
      <c r="M3100" s="2" t="n">
        <f aca="false">IF(G3100&lt;0,1,0)</f>
        <v>0</v>
      </c>
      <c r="N3100" s="2" t="str">
        <f aca="false">_xlfn.IFS(B3100&lt;30,"Under 30",B3100&lt;40,"30-39",B3100&lt;50,"40-49",B3100&lt;60,"50-59",TRUE(),"60+")</f>
        <v>30-39</v>
      </c>
      <c r="O3100" s="2" t="str">
        <f aca="false">_xlfn.IFS(G3100&lt;0,"1 Negative",G3100=0,"2 Zero",G3100&lt;=500,"3 1-500",G3100&lt;=2000,"4 501-2000",TRUE(),"5 Above 2000")</f>
        <v>3 1-500</v>
      </c>
      <c r="P3100" s="2" t="n">
        <f aca="false">Lookups!$B$2*M3100+Lookups!$B$3*L3100</f>
        <v>0</v>
      </c>
      <c r="Q3100" s="2" t="str">
        <f aca="false">INDEX(Lookups!$E$2:$E$5,MATCH(P3100,Lookups!$D$2:$D$5,0))</f>
        <v>Low</v>
      </c>
    </row>
    <row r="3101" customFormat="false" ht="15" hidden="false" customHeight="false" outlineLevel="0" collapsed="false">
      <c r="A3101" s="3" t="n">
        <v>3100</v>
      </c>
      <c r="B3101" s="3" t="n">
        <f aca="false">Raw_Data!A3101</f>
        <v>37</v>
      </c>
      <c r="C3101" s="3" t="str">
        <f aca="false">SUBSTITUTE(Raw_Data!B3101,".","")</f>
        <v>technician</v>
      </c>
      <c r="D3101" s="3" t="str">
        <f aca="false">Raw_Data!C3101</f>
        <v>married</v>
      </c>
      <c r="E3101" s="3" t="str">
        <f aca="false">Raw_Data!D3101</f>
        <v>secondary</v>
      </c>
      <c r="F3101" s="3" t="str">
        <f aca="false">Raw_Data!E3101</f>
        <v>yes</v>
      </c>
      <c r="G3101" s="3" t="n">
        <f aca="false">Raw_Data!F3101</f>
        <v>0</v>
      </c>
      <c r="H3101" s="3" t="str">
        <f aca="false">Raw_Data!G3101</f>
        <v>no</v>
      </c>
      <c r="I3101" s="3" t="str">
        <f aca="false">Raw_Data!H3101</f>
        <v>no</v>
      </c>
      <c r="J3101" s="2" t="n">
        <f aca="false">IF(F3101="yes",1,0)</f>
        <v>1</v>
      </c>
      <c r="K3101" s="2" t="n">
        <f aca="false">IF(H3101="yes",1,0)</f>
        <v>0</v>
      </c>
      <c r="L3101" s="2" t="n">
        <f aca="false">IF(I3101="yes",1,0)</f>
        <v>0</v>
      </c>
      <c r="M3101" s="2" t="n">
        <f aca="false">IF(G3101&lt;0,1,0)</f>
        <v>0</v>
      </c>
      <c r="N3101" s="2" t="str">
        <f aca="false">_xlfn.IFS(B3101&lt;30,"Under 30",B3101&lt;40,"30-39",B3101&lt;50,"40-49",B3101&lt;60,"50-59",TRUE(),"60+")</f>
        <v>30-39</v>
      </c>
      <c r="O3101" s="2" t="str">
        <f aca="false">_xlfn.IFS(G3101&lt;0,"1 Negative",G3101=0,"2 Zero",G3101&lt;=500,"3 1-500",G3101&lt;=2000,"4 501-2000",TRUE(),"5 Above 2000")</f>
        <v>2 Zero</v>
      </c>
      <c r="P3101" s="2" t="n">
        <f aca="false">Lookups!$B$2*M3101+Lookups!$B$3*L3101</f>
        <v>0</v>
      </c>
      <c r="Q3101" s="2" t="str">
        <f aca="false">INDEX(Lookups!$E$2:$E$5,MATCH(P3101,Lookups!$D$2:$D$5,0))</f>
        <v>Low</v>
      </c>
    </row>
    <row r="3102" customFormat="false" ht="15" hidden="false" customHeight="false" outlineLevel="0" collapsed="false">
      <c r="A3102" s="3" t="n">
        <v>3101</v>
      </c>
      <c r="B3102" s="3" t="n">
        <f aca="false">Raw_Data!A3102</f>
        <v>66</v>
      </c>
      <c r="C3102" s="3" t="str">
        <f aca="false">SUBSTITUTE(Raw_Data!B3102,".","")</f>
        <v>retired</v>
      </c>
      <c r="D3102" s="3" t="str">
        <f aca="false">Raw_Data!C3102</f>
        <v>married</v>
      </c>
      <c r="E3102" s="3" t="str">
        <f aca="false">Raw_Data!D3102</f>
        <v>primary</v>
      </c>
      <c r="F3102" s="3" t="str">
        <f aca="false">Raw_Data!E3102</f>
        <v>no</v>
      </c>
      <c r="G3102" s="3" t="n">
        <f aca="false">Raw_Data!F3102</f>
        <v>747</v>
      </c>
      <c r="H3102" s="3" t="str">
        <f aca="false">Raw_Data!G3102</f>
        <v>no</v>
      </c>
      <c r="I3102" s="3" t="str">
        <f aca="false">Raw_Data!H3102</f>
        <v>no</v>
      </c>
      <c r="J3102" s="2" t="n">
        <f aca="false">IF(F3102="yes",1,0)</f>
        <v>0</v>
      </c>
      <c r="K3102" s="2" t="n">
        <f aca="false">IF(H3102="yes",1,0)</f>
        <v>0</v>
      </c>
      <c r="L3102" s="2" t="n">
        <f aca="false">IF(I3102="yes",1,0)</f>
        <v>0</v>
      </c>
      <c r="M3102" s="2" t="n">
        <f aca="false">IF(G3102&lt;0,1,0)</f>
        <v>0</v>
      </c>
      <c r="N3102" s="2" t="str">
        <f aca="false">_xlfn.IFS(B3102&lt;30,"Under 30",B3102&lt;40,"30-39",B3102&lt;50,"40-49",B3102&lt;60,"50-59",TRUE(),"60+")</f>
        <v>60+</v>
      </c>
      <c r="O3102" s="2" t="str">
        <f aca="false">_xlfn.IFS(G3102&lt;0,"1 Negative",G3102=0,"2 Zero",G3102&lt;=500,"3 1-500",G3102&lt;=2000,"4 501-2000",TRUE(),"5 Above 2000")</f>
        <v>4 501-2000</v>
      </c>
      <c r="P3102" s="2" t="n">
        <f aca="false">Lookups!$B$2*M3102+Lookups!$B$3*L3102</f>
        <v>0</v>
      </c>
      <c r="Q3102" s="2" t="str">
        <f aca="false">INDEX(Lookups!$E$2:$E$5,MATCH(P3102,Lookups!$D$2:$D$5,0))</f>
        <v>Low</v>
      </c>
    </row>
    <row r="3103" customFormat="false" ht="15" hidden="false" customHeight="false" outlineLevel="0" collapsed="false">
      <c r="A3103" s="3" t="n">
        <v>3102</v>
      </c>
      <c r="B3103" s="3" t="n">
        <f aca="false">Raw_Data!A3103</f>
        <v>44</v>
      </c>
      <c r="C3103" s="3" t="str">
        <f aca="false">SUBSTITUTE(Raw_Data!B3103,".","")</f>
        <v>blue-collar</v>
      </c>
      <c r="D3103" s="3" t="str">
        <f aca="false">Raw_Data!C3103</f>
        <v>married</v>
      </c>
      <c r="E3103" s="3" t="str">
        <f aca="false">Raw_Data!D3103</f>
        <v>primary</v>
      </c>
      <c r="F3103" s="3" t="str">
        <f aca="false">Raw_Data!E3103</f>
        <v>no</v>
      </c>
      <c r="G3103" s="3" t="n">
        <f aca="false">Raw_Data!F3103</f>
        <v>2657</v>
      </c>
      <c r="H3103" s="3" t="str">
        <f aca="false">Raw_Data!G3103</f>
        <v>yes</v>
      </c>
      <c r="I3103" s="3" t="str">
        <f aca="false">Raw_Data!H3103</f>
        <v>no</v>
      </c>
      <c r="J3103" s="2" t="n">
        <f aca="false">IF(F3103="yes",1,0)</f>
        <v>0</v>
      </c>
      <c r="K3103" s="2" t="n">
        <f aca="false">IF(H3103="yes",1,0)</f>
        <v>1</v>
      </c>
      <c r="L3103" s="2" t="n">
        <f aca="false">IF(I3103="yes",1,0)</f>
        <v>0</v>
      </c>
      <c r="M3103" s="2" t="n">
        <f aca="false">IF(G3103&lt;0,1,0)</f>
        <v>0</v>
      </c>
      <c r="N3103" s="2" t="str">
        <f aca="false">_xlfn.IFS(B3103&lt;30,"Under 30",B3103&lt;40,"30-39",B3103&lt;50,"40-49",B3103&lt;60,"50-59",TRUE(),"60+")</f>
        <v>40-49</v>
      </c>
      <c r="O3103" s="2" t="str">
        <f aca="false">_xlfn.IFS(G3103&lt;0,"1 Negative",G3103=0,"2 Zero",G3103&lt;=500,"3 1-500",G3103&lt;=2000,"4 501-2000",TRUE(),"5 Above 2000")</f>
        <v>5 Above 2000</v>
      </c>
      <c r="P3103" s="2" t="n">
        <f aca="false">Lookups!$B$2*M3103+Lookups!$B$3*L3103</f>
        <v>0</v>
      </c>
      <c r="Q3103" s="2" t="str">
        <f aca="false">INDEX(Lookups!$E$2:$E$5,MATCH(P3103,Lookups!$D$2:$D$5,0))</f>
        <v>Low</v>
      </c>
    </row>
    <row r="3104" customFormat="false" ht="15" hidden="false" customHeight="false" outlineLevel="0" collapsed="false">
      <c r="A3104" s="3" t="n">
        <v>3103</v>
      </c>
      <c r="B3104" s="3" t="n">
        <f aca="false">Raw_Data!A3104</f>
        <v>61</v>
      </c>
      <c r="C3104" s="3" t="str">
        <f aca="false">SUBSTITUTE(Raw_Data!B3104,".","")</f>
        <v>retired</v>
      </c>
      <c r="D3104" s="3" t="str">
        <f aca="false">Raw_Data!C3104</f>
        <v>married</v>
      </c>
      <c r="E3104" s="3" t="str">
        <f aca="false">Raw_Data!D3104</f>
        <v>secondary</v>
      </c>
      <c r="F3104" s="3" t="str">
        <f aca="false">Raw_Data!E3104</f>
        <v>no</v>
      </c>
      <c r="G3104" s="3" t="n">
        <f aca="false">Raw_Data!F3104</f>
        <v>313</v>
      </c>
      <c r="H3104" s="3" t="str">
        <f aca="false">Raw_Data!G3104</f>
        <v>no</v>
      </c>
      <c r="I3104" s="3" t="str">
        <f aca="false">Raw_Data!H3104</f>
        <v>yes</v>
      </c>
      <c r="J3104" s="2" t="n">
        <f aca="false">IF(F3104="yes",1,0)</f>
        <v>0</v>
      </c>
      <c r="K3104" s="2" t="n">
        <f aca="false">IF(H3104="yes",1,0)</f>
        <v>0</v>
      </c>
      <c r="L3104" s="2" t="n">
        <f aca="false">IF(I3104="yes",1,0)</f>
        <v>1</v>
      </c>
      <c r="M3104" s="2" t="n">
        <f aca="false">IF(G3104&lt;0,1,0)</f>
        <v>0</v>
      </c>
      <c r="N3104" s="2" t="str">
        <f aca="false">_xlfn.IFS(B3104&lt;30,"Under 30",B3104&lt;40,"30-39",B3104&lt;50,"40-49",B3104&lt;60,"50-59",TRUE(),"60+")</f>
        <v>60+</v>
      </c>
      <c r="O3104" s="2" t="str">
        <f aca="false">_xlfn.IFS(G3104&lt;0,"1 Negative",G3104=0,"2 Zero",G3104&lt;=500,"3 1-500",G3104&lt;=2000,"4 501-2000",TRUE(),"5 Above 2000")</f>
        <v>3 1-500</v>
      </c>
      <c r="P3104" s="2" t="n">
        <f aca="false">Lookups!$B$2*M3104+Lookups!$B$3*L3104</f>
        <v>1</v>
      </c>
      <c r="Q3104" s="2" t="str">
        <f aca="false">INDEX(Lookups!$E$2:$E$5,MATCH(P3104,Lookups!$D$2:$D$5,0))</f>
        <v>Medium</v>
      </c>
    </row>
    <row r="3105" customFormat="false" ht="15" hidden="false" customHeight="false" outlineLevel="0" collapsed="false">
      <c r="A3105" s="3" t="n">
        <v>3104</v>
      </c>
      <c r="B3105" s="3" t="n">
        <f aca="false">Raw_Data!A3105</f>
        <v>34</v>
      </c>
      <c r="C3105" s="3" t="str">
        <f aca="false">SUBSTITUTE(Raw_Data!B3105,".","")</f>
        <v>admin</v>
      </c>
      <c r="D3105" s="3" t="str">
        <f aca="false">Raw_Data!C3105</f>
        <v>married</v>
      </c>
      <c r="E3105" s="3" t="str">
        <f aca="false">Raw_Data!D3105</f>
        <v>secondary</v>
      </c>
      <c r="F3105" s="3" t="str">
        <f aca="false">Raw_Data!E3105</f>
        <v>no</v>
      </c>
      <c r="G3105" s="3" t="n">
        <f aca="false">Raw_Data!F3105</f>
        <v>61</v>
      </c>
      <c r="H3105" s="3" t="str">
        <f aca="false">Raw_Data!G3105</f>
        <v>no</v>
      </c>
      <c r="I3105" s="3" t="str">
        <f aca="false">Raw_Data!H3105</f>
        <v>yes</v>
      </c>
      <c r="J3105" s="2" t="n">
        <f aca="false">IF(F3105="yes",1,0)</f>
        <v>0</v>
      </c>
      <c r="K3105" s="2" t="n">
        <f aca="false">IF(H3105="yes",1,0)</f>
        <v>0</v>
      </c>
      <c r="L3105" s="2" t="n">
        <f aca="false">IF(I3105="yes",1,0)</f>
        <v>1</v>
      </c>
      <c r="M3105" s="2" t="n">
        <f aca="false">IF(G3105&lt;0,1,0)</f>
        <v>0</v>
      </c>
      <c r="N3105" s="2" t="str">
        <f aca="false">_xlfn.IFS(B3105&lt;30,"Under 30",B3105&lt;40,"30-39",B3105&lt;50,"40-49",B3105&lt;60,"50-59",TRUE(),"60+")</f>
        <v>30-39</v>
      </c>
      <c r="O3105" s="2" t="str">
        <f aca="false">_xlfn.IFS(G3105&lt;0,"1 Negative",G3105=0,"2 Zero",G3105&lt;=500,"3 1-500",G3105&lt;=2000,"4 501-2000",TRUE(),"5 Above 2000")</f>
        <v>3 1-500</v>
      </c>
      <c r="P3105" s="2" t="n">
        <f aca="false">Lookups!$B$2*M3105+Lookups!$B$3*L3105</f>
        <v>1</v>
      </c>
      <c r="Q3105" s="2" t="str">
        <f aca="false">INDEX(Lookups!$E$2:$E$5,MATCH(P3105,Lookups!$D$2:$D$5,0))</f>
        <v>Medium</v>
      </c>
    </row>
    <row r="3106" customFormat="false" ht="15" hidden="false" customHeight="false" outlineLevel="0" collapsed="false">
      <c r="A3106" s="3" t="n">
        <v>3105</v>
      </c>
      <c r="B3106" s="3" t="n">
        <f aca="false">Raw_Data!A3106</f>
        <v>33</v>
      </c>
      <c r="C3106" s="3" t="str">
        <f aca="false">SUBSTITUTE(Raw_Data!B3106,".","")</f>
        <v>admin</v>
      </c>
      <c r="D3106" s="3" t="str">
        <f aca="false">Raw_Data!C3106</f>
        <v>single</v>
      </c>
      <c r="E3106" s="3" t="str">
        <f aca="false">Raw_Data!D3106</f>
        <v>secondary</v>
      </c>
      <c r="F3106" s="3" t="str">
        <f aca="false">Raw_Data!E3106</f>
        <v>no</v>
      </c>
      <c r="G3106" s="3" t="n">
        <f aca="false">Raw_Data!F3106</f>
        <v>2557</v>
      </c>
      <c r="H3106" s="3" t="str">
        <f aca="false">Raw_Data!G3106</f>
        <v>yes</v>
      </c>
      <c r="I3106" s="3" t="str">
        <f aca="false">Raw_Data!H3106</f>
        <v>no</v>
      </c>
      <c r="J3106" s="2" t="n">
        <f aca="false">IF(F3106="yes",1,0)</f>
        <v>0</v>
      </c>
      <c r="K3106" s="2" t="n">
        <f aca="false">IF(H3106="yes",1,0)</f>
        <v>1</v>
      </c>
      <c r="L3106" s="2" t="n">
        <f aca="false">IF(I3106="yes",1,0)</f>
        <v>0</v>
      </c>
      <c r="M3106" s="2" t="n">
        <f aca="false">IF(G3106&lt;0,1,0)</f>
        <v>0</v>
      </c>
      <c r="N3106" s="2" t="str">
        <f aca="false">_xlfn.IFS(B3106&lt;30,"Under 30",B3106&lt;40,"30-39",B3106&lt;50,"40-49",B3106&lt;60,"50-59",TRUE(),"60+")</f>
        <v>30-39</v>
      </c>
      <c r="O3106" s="2" t="str">
        <f aca="false">_xlfn.IFS(G3106&lt;0,"1 Negative",G3106=0,"2 Zero",G3106&lt;=500,"3 1-500",G3106&lt;=2000,"4 501-2000",TRUE(),"5 Above 2000")</f>
        <v>5 Above 2000</v>
      </c>
      <c r="P3106" s="2" t="n">
        <f aca="false">Lookups!$B$2*M3106+Lookups!$B$3*L3106</f>
        <v>0</v>
      </c>
      <c r="Q3106" s="2" t="str">
        <f aca="false">INDEX(Lookups!$E$2:$E$5,MATCH(P3106,Lookups!$D$2:$D$5,0))</f>
        <v>Low</v>
      </c>
    </row>
    <row r="3107" customFormat="false" ht="15" hidden="false" customHeight="false" outlineLevel="0" collapsed="false">
      <c r="A3107" s="3" t="n">
        <v>3106</v>
      </c>
      <c r="B3107" s="3" t="n">
        <f aca="false">Raw_Data!A3107</f>
        <v>30</v>
      </c>
      <c r="C3107" s="3" t="str">
        <f aca="false">SUBSTITUTE(Raw_Data!B3107,".","")</f>
        <v>services</v>
      </c>
      <c r="D3107" s="3" t="str">
        <f aca="false">Raw_Data!C3107</f>
        <v>divorced</v>
      </c>
      <c r="E3107" s="3" t="str">
        <f aca="false">Raw_Data!D3107</f>
        <v>secondary</v>
      </c>
      <c r="F3107" s="3" t="str">
        <f aca="false">Raw_Data!E3107</f>
        <v>no</v>
      </c>
      <c r="G3107" s="3" t="n">
        <f aca="false">Raw_Data!F3107</f>
        <v>0</v>
      </c>
      <c r="H3107" s="3" t="str">
        <f aca="false">Raw_Data!G3107</f>
        <v>yes</v>
      </c>
      <c r="I3107" s="3" t="str">
        <f aca="false">Raw_Data!H3107</f>
        <v>no</v>
      </c>
      <c r="J3107" s="2" t="n">
        <f aca="false">IF(F3107="yes",1,0)</f>
        <v>0</v>
      </c>
      <c r="K3107" s="2" t="n">
        <f aca="false">IF(H3107="yes",1,0)</f>
        <v>1</v>
      </c>
      <c r="L3107" s="2" t="n">
        <f aca="false">IF(I3107="yes",1,0)</f>
        <v>0</v>
      </c>
      <c r="M3107" s="2" t="n">
        <f aca="false">IF(G3107&lt;0,1,0)</f>
        <v>0</v>
      </c>
      <c r="N3107" s="2" t="str">
        <f aca="false">_xlfn.IFS(B3107&lt;30,"Under 30",B3107&lt;40,"30-39",B3107&lt;50,"40-49",B3107&lt;60,"50-59",TRUE(),"60+")</f>
        <v>30-39</v>
      </c>
      <c r="O3107" s="2" t="str">
        <f aca="false">_xlfn.IFS(G3107&lt;0,"1 Negative",G3107=0,"2 Zero",G3107&lt;=500,"3 1-500",G3107&lt;=2000,"4 501-2000",TRUE(),"5 Above 2000")</f>
        <v>2 Zero</v>
      </c>
      <c r="P3107" s="2" t="n">
        <f aca="false">Lookups!$B$2*M3107+Lookups!$B$3*L3107</f>
        <v>0</v>
      </c>
      <c r="Q3107" s="2" t="str">
        <f aca="false">INDEX(Lookups!$E$2:$E$5,MATCH(P3107,Lookups!$D$2:$D$5,0))</f>
        <v>Low</v>
      </c>
    </row>
    <row r="3108" customFormat="false" ht="15" hidden="false" customHeight="false" outlineLevel="0" collapsed="false">
      <c r="A3108" s="3" t="n">
        <v>3107</v>
      </c>
      <c r="B3108" s="3" t="n">
        <f aca="false">Raw_Data!A3108</f>
        <v>27</v>
      </c>
      <c r="C3108" s="3" t="str">
        <f aca="false">SUBSTITUTE(Raw_Data!B3108,".","")</f>
        <v>services</v>
      </c>
      <c r="D3108" s="3" t="str">
        <f aca="false">Raw_Data!C3108</f>
        <v>divorced</v>
      </c>
      <c r="E3108" s="3" t="str">
        <f aca="false">Raw_Data!D3108</f>
        <v>secondary</v>
      </c>
      <c r="F3108" s="3" t="str">
        <f aca="false">Raw_Data!E3108</f>
        <v>no</v>
      </c>
      <c r="G3108" s="3" t="n">
        <f aca="false">Raw_Data!F3108</f>
        <v>10</v>
      </c>
      <c r="H3108" s="3" t="str">
        <f aca="false">Raw_Data!G3108</f>
        <v>yes</v>
      </c>
      <c r="I3108" s="3" t="str">
        <f aca="false">Raw_Data!H3108</f>
        <v>no</v>
      </c>
      <c r="J3108" s="2" t="n">
        <f aca="false">IF(F3108="yes",1,0)</f>
        <v>0</v>
      </c>
      <c r="K3108" s="2" t="n">
        <f aca="false">IF(H3108="yes",1,0)</f>
        <v>1</v>
      </c>
      <c r="L3108" s="2" t="n">
        <f aca="false">IF(I3108="yes",1,0)</f>
        <v>0</v>
      </c>
      <c r="M3108" s="2" t="n">
        <f aca="false">IF(G3108&lt;0,1,0)</f>
        <v>0</v>
      </c>
      <c r="N3108" s="2" t="str">
        <f aca="false">_xlfn.IFS(B3108&lt;30,"Under 30",B3108&lt;40,"30-39",B3108&lt;50,"40-49",B3108&lt;60,"50-59",TRUE(),"60+")</f>
        <v>Under 30</v>
      </c>
      <c r="O3108" s="2" t="str">
        <f aca="false">_xlfn.IFS(G3108&lt;0,"1 Negative",G3108=0,"2 Zero",G3108&lt;=500,"3 1-500",G3108&lt;=2000,"4 501-2000",TRUE(),"5 Above 2000")</f>
        <v>3 1-500</v>
      </c>
      <c r="P3108" s="2" t="n">
        <f aca="false">Lookups!$B$2*M3108+Lookups!$B$3*L3108</f>
        <v>0</v>
      </c>
      <c r="Q3108" s="2" t="str">
        <f aca="false">INDEX(Lookups!$E$2:$E$5,MATCH(P3108,Lookups!$D$2:$D$5,0))</f>
        <v>Low</v>
      </c>
    </row>
    <row r="3109" customFormat="false" ht="15" hidden="false" customHeight="false" outlineLevel="0" collapsed="false">
      <c r="A3109" s="3" t="n">
        <v>3108</v>
      </c>
      <c r="B3109" s="3" t="n">
        <f aca="false">Raw_Data!A3109</f>
        <v>37</v>
      </c>
      <c r="C3109" s="3" t="str">
        <f aca="false">SUBSTITUTE(Raw_Data!B3109,".","")</f>
        <v>services</v>
      </c>
      <c r="D3109" s="3" t="str">
        <f aca="false">Raw_Data!C3109</f>
        <v>married</v>
      </c>
      <c r="E3109" s="3" t="str">
        <f aca="false">Raw_Data!D3109</f>
        <v>secondary</v>
      </c>
      <c r="F3109" s="3" t="str">
        <f aca="false">Raw_Data!E3109</f>
        <v>no</v>
      </c>
      <c r="G3109" s="3" t="n">
        <f aca="false">Raw_Data!F3109</f>
        <v>658</v>
      </c>
      <c r="H3109" s="3" t="str">
        <f aca="false">Raw_Data!G3109</f>
        <v>yes</v>
      </c>
      <c r="I3109" s="3" t="str">
        <f aca="false">Raw_Data!H3109</f>
        <v>no</v>
      </c>
      <c r="J3109" s="2" t="n">
        <f aca="false">IF(F3109="yes",1,0)</f>
        <v>0</v>
      </c>
      <c r="K3109" s="2" t="n">
        <f aca="false">IF(H3109="yes",1,0)</f>
        <v>1</v>
      </c>
      <c r="L3109" s="2" t="n">
        <f aca="false">IF(I3109="yes",1,0)</f>
        <v>0</v>
      </c>
      <c r="M3109" s="2" t="n">
        <f aca="false">IF(G3109&lt;0,1,0)</f>
        <v>0</v>
      </c>
      <c r="N3109" s="2" t="str">
        <f aca="false">_xlfn.IFS(B3109&lt;30,"Under 30",B3109&lt;40,"30-39",B3109&lt;50,"40-49",B3109&lt;60,"50-59",TRUE(),"60+")</f>
        <v>30-39</v>
      </c>
      <c r="O3109" s="2" t="str">
        <f aca="false">_xlfn.IFS(G3109&lt;0,"1 Negative",G3109=0,"2 Zero",G3109&lt;=500,"3 1-500",G3109&lt;=2000,"4 501-2000",TRUE(),"5 Above 2000")</f>
        <v>4 501-2000</v>
      </c>
      <c r="P3109" s="2" t="n">
        <f aca="false">Lookups!$B$2*M3109+Lookups!$B$3*L3109</f>
        <v>0</v>
      </c>
      <c r="Q3109" s="2" t="str">
        <f aca="false">INDEX(Lookups!$E$2:$E$5,MATCH(P3109,Lookups!$D$2:$D$5,0))</f>
        <v>Low</v>
      </c>
    </row>
    <row r="3110" customFormat="false" ht="15" hidden="false" customHeight="false" outlineLevel="0" collapsed="false">
      <c r="A3110" s="3" t="n">
        <v>3109</v>
      </c>
      <c r="B3110" s="3" t="n">
        <f aca="false">Raw_Data!A3110</f>
        <v>38</v>
      </c>
      <c r="C3110" s="3" t="str">
        <f aca="false">SUBSTITUTE(Raw_Data!B3110,".","")</f>
        <v>blue-collar</v>
      </c>
      <c r="D3110" s="3" t="str">
        <f aca="false">Raw_Data!C3110</f>
        <v>married</v>
      </c>
      <c r="E3110" s="3" t="str">
        <f aca="false">Raw_Data!D3110</f>
        <v>primary</v>
      </c>
      <c r="F3110" s="3" t="str">
        <f aca="false">Raw_Data!E3110</f>
        <v>no</v>
      </c>
      <c r="G3110" s="3" t="n">
        <f aca="false">Raw_Data!F3110</f>
        <v>1679</v>
      </c>
      <c r="H3110" s="3" t="str">
        <f aca="false">Raw_Data!G3110</f>
        <v>yes</v>
      </c>
      <c r="I3110" s="3" t="str">
        <f aca="false">Raw_Data!H3110</f>
        <v>no</v>
      </c>
      <c r="J3110" s="2" t="n">
        <f aca="false">IF(F3110="yes",1,0)</f>
        <v>0</v>
      </c>
      <c r="K3110" s="2" t="n">
        <f aca="false">IF(H3110="yes",1,0)</f>
        <v>1</v>
      </c>
      <c r="L3110" s="2" t="n">
        <f aca="false">IF(I3110="yes",1,0)</f>
        <v>0</v>
      </c>
      <c r="M3110" s="2" t="n">
        <f aca="false">IF(G3110&lt;0,1,0)</f>
        <v>0</v>
      </c>
      <c r="N3110" s="2" t="str">
        <f aca="false">_xlfn.IFS(B3110&lt;30,"Under 30",B3110&lt;40,"30-39",B3110&lt;50,"40-49",B3110&lt;60,"50-59",TRUE(),"60+")</f>
        <v>30-39</v>
      </c>
      <c r="O3110" s="2" t="str">
        <f aca="false">_xlfn.IFS(G3110&lt;0,"1 Negative",G3110=0,"2 Zero",G3110&lt;=500,"3 1-500",G3110&lt;=2000,"4 501-2000",TRUE(),"5 Above 2000")</f>
        <v>4 501-2000</v>
      </c>
      <c r="P3110" s="2" t="n">
        <f aca="false">Lookups!$B$2*M3110+Lookups!$B$3*L3110</f>
        <v>0</v>
      </c>
      <c r="Q3110" s="2" t="str">
        <f aca="false">INDEX(Lookups!$E$2:$E$5,MATCH(P3110,Lookups!$D$2:$D$5,0))</f>
        <v>Low</v>
      </c>
    </row>
    <row r="3111" customFormat="false" ht="15" hidden="false" customHeight="false" outlineLevel="0" collapsed="false">
      <c r="A3111" s="3" t="n">
        <v>3110</v>
      </c>
      <c r="B3111" s="3" t="n">
        <f aca="false">Raw_Data!A3111</f>
        <v>35</v>
      </c>
      <c r="C3111" s="3" t="str">
        <f aca="false">SUBSTITUTE(Raw_Data!B3111,".","")</f>
        <v>management</v>
      </c>
      <c r="D3111" s="3" t="str">
        <f aca="false">Raw_Data!C3111</f>
        <v>single</v>
      </c>
      <c r="E3111" s="3" t="str">
        <f aca="false">Raw_Data!D3111</f>
        <v>tertiary</v>
      </c>
      <c r="F3111" s="3" t="str">
        <f aca="false">Raw_Data!E3111</f>
        <v>no</v>
      </c>
      <c r="G3111" s="3" t="n">
        <f aca="false">Raw_Data!F3111</f>
        <v>0</v>
      </c>
      <c r="H3111" s="3" t="str">
        <f aca="false">Raw_Data!G3111</f>
        <v>no</v>
      </c>
      <c r="I3111" s="3" t="str">
        <f aca="false">Raw_Data!H3111</f>
        <v>yes</v>
      </c>
      <c r="J3111" s="2" t="n">
        <f aca="false">IF(F3111="yes",1,0)</f>
        <v>0</v>
      </c>
      <c r="K3111" s="2" t="n">
        <f aca="false">IF(H3111="yes",1,0)</f>
        <v>0</v>
      </c>
      <c r="L3111" s="2" t="n">
        <f aca="false">IF(I3111="yes",1,0)</f>
        <v>1</v>
      </c>
      <c r="M3111" s="2" t="n">
        <f aca="false">IF(G3111&lt;0,1,0)</f>
        <v>0</v>
      </c>
      <c r="N3111" s="2" t="str">
        <f aca="false">_xlfn.IFS(B3111&lt;30,"Under 30",B3111&lt;40,"30-39",B3111&lt;50,"40-49",B3111&lt;60,"50-59",TRUE(),"60+")</f>
        <v>30-39</v>
      </c>
      <c r="O3111" s="2" t="str">
        <f aca="false">_xlfn.IFS(G3111&lt;0,"1 Negative",G3111=0,"2 Zero",G3111&lt;=500,"3 1-500",G3111&lt;=2000,"4 501-2000",TRUE(),"5 Above 2000")</f>
        <v>2 Zero</v>
      </c>
      <c r="P3111" s="2" t="n">
        <f aca="false">Lookups!$B$2*M3111+Lookups!$B$3*L3111</f>
        <v>1</v>
      </c>
      <c r="Q3111" s="2" t="str">
        <f aca="false">INDEX(Lookups!$E$2:$E$5,MATCH(P3111,Lookups!$D$2:$D$5,0))</f>
        <v>Medium</v>
      </c>
    </row>
    <row r="3112" customFormat="false" ht="15" hidden="false" customHeight="false" outlineLevel="0" collapsed="false">
      <c r="A3112" s="3" t="n">
        <v>3111</v>
      </c>
      <c r="B3112" s="3" t="n">
        <f aca="false">Raw_Data!A3112</f>
        <v>50</v>
      </c>
      <c r="C3112" s="3" t="str">
        <f aca="false">SUBSTITUTE(Raw_Data!B3112,".","")</f>
        <v>technician</v>
      </c>
      <c r="D3112" s="3" t="str">
        <f aca="false">Raw_Data!C3112</f>
        <v>married</v>
      </c>
      <c r="E3112" s="3" t="str">
        <f aca="false">Raw_Data!D3112</f>
        <v>secondary</v>
      </c>
      <c r="F3112" s="3" t="str">
        <f aca="false">Raw_Data!E3112</f>
        <v>no</v>
      </c>
      <c r="G3112" s="3" t="n">
        <f aca="false">Raw_Data!F3112</f>
        <v>841</v>
      </c>
      <c r="H3112" s="3" t="str">
        <f aca="false">Raw_Data!G3112</f>
        <v>yes</v>
      </c>
      <c r="I3112" s="3" t="str">
        <f aca="false">Raw_Data!H3112</f>
        <v>no</v>
      </c>
      <c r="J3112" s="2" t="n">
        <f aca="false">IF(F3112="yes",1,0)</f>
        <v>0</v>
      </c>
      <c r="K3112" s="2" t="n">
        <f aca="false">IF(H3112="yes",1,0)</f>
        <v>1</v>
      </c>
      <c r="L3112" s="2" t="n">
        <f aca="false">IF(I3112="yes",1,0)</f>
        <v>0</v>
      </c>
      <c r="M3112" s="2" t="n">
        <f aca="false">IF(G3112&lt;0,1,0)</f>
        <v>0</v>
      </c>
      <c r="N3112" s="2" t="str">
        <f aca="false">_xlfn.IFS(B3112&lt;30,"Under 30",B3112&lt;40,"30-39",B3112&lt;50,"40-49",B3112&lt;60,"50-59",TRUE(),"60+")</f>
        <v>50-59</v>
      </c>
      <c r="O3112" s="2" t="str">
        <f aca="false">_xlfn.IFS(G3112&lt;0,"1 Negative",G3112=0,"2 Zero",G3112&lt;=500,"3 1-500",G3112&lt;=2000,"4 501-2000",TRUE(),"5 Above 2000")</f>
        <v>4 501-2000</v>
      </c>
      <c r="P3112" s="2" t="n">
        <f aca="false">Lookups!$B$2*M3112+Lookups!$B$3*L3112</f>
        <v>0</v>
      </c>
      <c r="Q3112" s="2" t="str">
        <f aca="false">INDEX(Lookups!$E$2:$E$5,MATCH(P3112,Lookups!$D$2:$D$5,0))</f>
        <v>Low</v>
      </c>
    </row>
    <row r="3113" customFormat="false" ht="15" hidden="false" customHeight="false" outlineLevel="0" collapsed="false">
      <c r="A3113" s="3" t="n">
        <v>3112</v>
      </c>
      <c r="B3113" s="3" t="n">
        <f aca="false">Raw_Data!A3113</f>
        <v>39</v>
      </c>
      <c r="C3113" s="3" t="str">
        <f aca="false">SUBSTITUTE(Raw_Data!B3113,".","")</f>
        <v>management</v>
      </c>
      <c r="D3113" s="3" t="str">
        <f aca="false">Raw_Data!C3113</f>
        <v>married</v>
      </c>
      <c r="E3113" s="3" t="str">
        <f aca="false">Raw_Data!D3113</f>
        <v>secondary</v>
      </c>
      <c r="F3113" s="3" t="str">
        <f aca="false">Raw_Data!E3113</f>
        <v>no</v>
      </c>
      <c r="G3113" s="3" t="n">
        <f aca="false">Raw_Data!F3113</f>
        <v>0</v>
      </c>
      <c r="H3113" s="3" t="str">
        <f aca="false">Raw_Data!G3113</f>
        <v>yes</v>
      </c>
      <c r="I3113" s="3" t="str">
        <f aca="false">Raw_Data!H3113</f>
        <v>no</v>
      </c>
      <c r="J3113" s="2" t="n">
        <f aca="false">IF(F3113="yes",1,0)</f>
        <v>0</v>
      </c>
      <c r="K3113" s="2" t="n">
        <f aca="false">IF(H3113="yes",1,0)</f>
        <v>1</v>
      </c>
      <c r="L3113" s="2" t="n">
        <f aca="false">IF(I3113="yes",1,0)</f>
        <v>0</v>
      </c>
      <c r="M3113" s="2" t="n">
        <f aca="false">IF(G3113&lt;0,1,0)</f>
        <v>0</v>
      </c>
      <c r="N3113" s="2" t="str">
        <f aca="false">_xlfn.IFS(B3113&lt;30,"Under 30",B3113&lt;40,"30-39",B3113&lt;50,"40-49",B3113&lt;60,"50-59",TRUE(),"60+")</f>
        <v>30-39</v>
      </c>
      <c r="O3113" s="2" t="str">
        <f aca="false">_xlfn.IFS(G3113&lt;0,"1 Negative",G3113=0,"2 Zero",G3113&lt;=500,"3 1-500",G3113&lt;=2000,"4 501-2000",TRUE(),"5 Above 2000")</f>
        <v>2 Zero</v>
      </c>
      <c r="P3113" s="2" t="n">
        <f aca="false">Lookups!$B$2*M3113+Lookups!$B$3*L3113</f>
        <v>0</v>
      </c>
      <c r="Q3113" s="2" t="str">
        <f aca="false">INDEX(Lookups!$E$2:$E$5,MATCH(P3113,Lookups!$D$2:$D$5,0))</f>
        <v>Low</v>
      </c>
    </row>
    <row r="3114" customFormat="false" ht="15" hidden="false" customHeight="false" outlineLevel="0" collapsed="false">
      <c r="A3114" s="3" t="n">
        <v>3113</v>
      </c>
      <c r="B3114" s="3" t="n">
        <f aca="false">Raw_Data!A3114</f>
        <v>35</v>
      </c>
      <c r="C3114" s="3" t="str">
        <f aca="false">SUBSTITUTE(Raw_Data!B3114,".","")</f>
        <v>management</v>
      </c>
      <c r="D3114" s="3" t="str">
        <f aca="false">Raw_Data!C3114</f>
        <v>married</v>
      </c>
      <c r="E3114" s="3" t="str">
        <f aca="false">Raw_Data!D3114</f>
        <v>secondary</v>
      </c>
      <c r="F3114" s="3" t="str">
        <f aca="false">Raw_Data!E3114</f>
        <v>no</v>
      </c>
      <c r="G3114" s="3" t="n">
        <f aca="false">Raw_Data!F3114</f>
        <v>1160</v>
      </c>
      <c r="H3114" s="3" t="str">
        <f aca="false">Raw_Data!G3114</f>
        <v>yes</v>
      </c>
      <c r="I3114" s="3" t="str">
        <f aca="false">Raw_Data!H3114</f>
        <v>no</v>
      </c>
      <c r="J3114" s="2" t="n">
        <f aca="false">IF(F3114="yes",1,0)</f>
        <v>0</v>
      </c>
      <c r="K3114" s="2" t="n">
        <f aca="false">IF(H3114="yes",1,0)</f>
        <v>1</v>
      </c>
      <c r="L3114" s="2" t="n">
        <f aca="false">IF(I3114="yes",1,0)</f>
        <v>0</v>
      </c>
      <c r="M3114" s="2" t="n">
        <f aca="false">IF(G3114&lt;0,1,0)</f>
        <v>0</v>
      </c>
      <c r="N3114" s="2" t="str">
        <f aca="false">_xlfn.IFS(B3114&lt;30,"Under 30",B3114&lt;40,"30-39",B3114&lt;50,"40-49",B3114&lt;60,"50-59",TRUE(),"60+")</f>
        <v>30-39</v>
      </c>
      <c r="O3114" s="2" t="str">
        <f aca="false">_xlfn.IFS(G3114&lt;0,"1 Negative",G3114=0,"2 Zero",G3114&lt;=500,"3 1-500",G3114&lt;=2000,"4 501-2000",TRUE(),"5 Above 2000")</f>
        <v>4 501-2000</v>
      </c>
      <c r="P3114" s="2" t="n">
        <f aca="false">Lookups!$B$2*M3114+Lookups!$B$3*L3114</f>
        <v>0</v>
      </c>
      <c r="Q3114" s="2" t="str">
        <f aca="false">INDEX(Lookups!$E$2:$E$5,MATCH(P3114,Lookups!$D$2:$D$5,0))</f>
        <v>Low</v>
      </c>
    </row>
    <row r="3115" customFormat="false" ht="15" hidden="false" customHeight="false" outlineLevel="0" collapsed="false">
      <c r="A3115" s="3" t="n">
        <v>3114</v>
      </c>
      <c r="B3115" s="3" t="n">
        <f aca="false">Raw_Data!A3115</f>
        <v>36</v>
      </c>
      <c r="C3115" s="3" t="str">
        <f aca="false">SUBSTITUTE(Raw_Data!B3115,".","")</f>
        <v>admin</v>
      </c>
      <c r="D3115" s="3" t="str">
        <f aca="false">Raw_Data!C3115</f>
        <v>divorced</v>
      </c>
      <c r="E3115" s="3" t="str">
        <f aca="false">Raw_Data!D3115</f>
        <v>secondary</v>
      </c>
      <c r="F3115" s="3" t="str">
        <f aca="false">Raw_Data!E3115</f>
        <v>no</v>
      </c>
      <c r="G3115" s="3" t="n">
        <f aca="false">Raw_Data!F3115</f>
        <v>-37</v>
      </c>
      <c r="H3115" s="3" t="str">
        <f aca="false">Raw_Data!G3115</f>
        <v>yes</v>
      </c>
      <c r="I3115" s="3" t="str">
        <f aca="false">Raw_Data!H3115</f>
        <v>no</v>
      </c>
      <c r="J3115" s="2" t="n">
        <f aca="false">IF(F3115="yes",1,0)</f>
        <v>0</v>
      </c>
      <c r="K3115" s="2" t="n">
        <f aca="false">IF(H3115="yes",1,0)</f>
        <v>1</v>
      </c>
      <c r="L3115" s="2" t="n">
        <f aca="false">IF(I3115="yes",1,0)</f>
        <v>0</v>
      </c>
      <c r="M3115" s="2" t="n">
        <f aca="false">IF(G3115&lt;0,1,0)</f>
        <v>1</v>
      </c>
      <c r="N3115" s="2" t="str">
        <f aca="false">_xlfn.IFS(B3115&lt;30,"Under 30",B3115&lt;40,"30-39",B3115&lt;50,"40-49",B3115&lt;60,"50-59",TRUE(),"60+")</f>
        <v>30-39</v>
      </c>
      <c r="O3115" s="2" t="str">
        <f aca="false">_xlfn.IFS(G3115&lt;0,"1 Negative",G3115=0,"2 Zero",G3115&lt;=500,"3 1-500",G3115&lt;=2000,"4 501-2000",TRUE(),"5 Above 2000")</f>
        <v>1 Negative</v>
      </c>
      <c r="P3115" s="2" t="n">
        <f aca="false">Lookups!$B$2*M3115+Lookups!$B$3*L3115</f>
        <v>2</v>
      </c>
      <c r="Q3115" s="2" t="str">
        <f aca="false">INDEX(Lookups!$E$2:$E$5,MATCH(P3115,Lookups!$D$2:$D$5,0))</f>
        <v>High</v>
      </c>
    </row>
    <row r="3116" customFormat="false" ht="15" hidden="false" customHeight="false" outlineLevel="0" collapsed="false">
      <c r="A3116" s="3" t="n">
        <v>3115</v>
      </c>
      <c r="B3116" s="3" t="n">
        <f aca="false">Raw_Data!A3116</f>
        <v>28</v>
      </c>
      <c r="C3116" s="3" t="str">
        <f aca="false">SUBSTITUTE(Raw_Data!B3116,".","")</f>
        <v>services</v>
      </c>
      <c r="D3116" s="3" t="str">
        <f aca="false">Raw_Data!C3116</f>
        <v>single</v>
      </c>
      <c r="E3116" s="3" t="str">
        <f aca="false">Raw_Data!D3116</f>
        <v>secondary</v>
      </c>
      <c r="F3116" s="3" t="str">
        <f aca="false">Raw_Data!E3116</f>
        <v>no</v>
      </c>
      <c r="G3116" s="3" t="n">
        <f aca="false">Raw_Data!F3116</f>
        <v>94</v>
      </c>
      <c r="H3116" s="3" t="str">
        <f aca="false">Raw_Data!G3116</f>
        <v>yes</v>
      </c>
      <c r="I3116" s="3" t="str">
        <f aca="false">Raw_Data!H3116</f>
        <v>no</v>
      </c>
      <c r="J3116" s="2" t="n">
        <f aca="false">IF(F3116="yes",1,0)</f>
        <v>0</v>
      </c>
      <c r="K3116" s="2" t="n">
        <f aca="false">IF(H3116="yes",1,0)</f>
        <v>1</v>
      </c>
      <c r="L3116" s="2" t="n">
        <f aca="false">IF(I3116="yes",1,0)</f>
        <v>0</v>
      </c>
      <c r="M3116" s="2" t="n">
        <f aca="false">IF(G3116&lt;0,1,0)</f>
        <v>0</v>
      </c>
      <c r="N3116" s="2" t="str">
        <f aca="false">_xlfn.IFS(B3116&lt;30,"Under 30",B3116&lt;40,"30-39",B3116&lt;50,"40-49",B3116&lt;60,"50-59",TRUE(),"60+")</f>
        <v>Under 30</v>
      </c>
      <c r="O3116" s="2" t="str">
        <f aca="false">_xlfn.IFS(G3116&lt;0,"1 Negative",G3116=0,"2 Zero",G3116&lt;=500,"3 1-500",G3116&lt;=2000,"4 501-2000",TRUE(),"5 Above 2000")</f>
        <v>3 1-500</v>
      </c>
      <c r="P3116" s="2" t="n">
        <f aca="false">Lookups!$B$2*M3116+Lookups!$B$3*L3116</f>
        <v>0</v>
      </c>
      <c r="Q3116" s="2" t="str">
        <f aca="false">INDEX(Lookups!$E$2:$E$5,MATCH(P3116,Lookups!$D$2:$D$5,0))</f>
        <v>Low</v>
      </c>
    </row>
    <row r="3117" customFormat="false" ht="15" hidden="false" customHeight="false" outlineLevel="0" collapsed="false">
      <c r="A3117" s="3" t="n">
        <v>3116</v>
      </c>
      <c r="B3117" s="3" t="n">
        <f aca="false">Raw_Data!A3117</f>
        <v>39</v>
      </c>
      <c r="C3117" s="3" t="str">
        <f aca="false">SUBSTITUTE(Raw_Data!B3117,".","")</f>
        <v>self-employed</v>
      </c>
      <c r="D3117" s="3" t="str">
        <f aca="false">Raw_Data!C3117</f>
        <v>married</v>
      </c>
      <c r="E3117" s="3" t="str">
        <f aca="false">Raw_Data!D3117</f>
        <v>tertiary</v>
      </c>
      <c r="F3117" s="3" t="str">
        <f aca="false">Raw_Data!E3117</f>
        <v>no</v>
      </c>
      <c r="G3117" s="3" t="n">
        <f aca="false">Raw_Data!F3117</f>
        <v>585</v>
      </c>
      <c r="H3117" s="3" t="str">
        <f aca="false">Raw_Data!G3117</f>
        <v>yes</v>
      </c>
      <c r="I3117" s="3" t="str">
        <f aca="false">Raw_Data!H3117</f>
        <v>no</v>
      </c>
      <c r="J3117" s="2" t="n">
        <f aca="false">IF(F3117="yes",1,0)</f>
        <v>0</v>
      </c>
      <c r="K3117" s="2" t="n">
        <f aca="false">IF(H3117="yes",1,0)</f>
        <v>1</v>
      </c>
      <c r="L3117" s="2" t="n">
        <f aca="false">IF(I3117="yes",1,0)</f>
        <v>0</v>
      </c>
      <c r="M3117" s="2" t="n">
        <f aca="false">IF(G3117&lt;0,1,0)</f>
        <v>0</v>
      </c>
      <c r="N3117" s="2" t="str">
        <f aca="false">_xlfn.IFS(B3117&lt;30,"Under 30",B3117&lt;40,"30-39",B3117&lt;50,"40-49",B3117&lt;60,"50-59",TRUE(),"60+")</f>
        <v>30-39</v>
      </c>
      <c r="O3117" s="2" t="str">
        <f aca="false">_xlfn.IFS(G3117&lt;0,"1 Negative",G3117=0,"2 Zero",G3117&lt;=500,"3 1-500",G3117&lt;=2000,"4 501-2000",TRUE(),"5 Above 2000")</f>
        <v>4 501-2000</v>
      </c>
      <c r="P3117" s="2" t="n">
        <f aca="false">Lookups!$B$2*M3117+Lookups!$B$3*L3117</f>
        <v>0</v>
      </c>
      <c r="Q3117" s="2" t="str">
        <f aca="false">INDEX(Lookups!$E$2:$E$5,MATCH(P3117,Lookups!$D$2:$D$5,0))</f>
        <v>Low</v>
      </c>
    </row>
    <row r="3118" customFormat="false" ht="15" hidden="false" customHeight="false" outlineLevel="0" collapsed="false">
      <c r="A3118" s="3" t="n">
        <v>3117</v>
      </c>
      <c r="B3118" s="3" t="n">
        <f aca="false">Raw_Data!A3118</f>
        <v>39</v>
      </c>
      <c r="C3118" s="3" t="str">
        <f aca="false">SUBSTITUTE(Raw_Data!B3118,".","")</f>
        <v>self-employed</v>
      </c>
      <c r="D3118" s="3" t="str">
        <f aca="false">Raw_Data!C3118</f>
        <v>married</v>
      </c>
      <c r="E3118" s="3" t="str">
        <f aca="false">Raw_Data!D3118</f>
        <v>secondary</v>
      </c>
      <c r="F3118" s="3" t="str">
        <f aca="false">Raw_Data!E3118</f>
        <v>no</v>
      </c>
      <c r="G3118" s="3" t="n">
        <f aca="false">Raw_Data!F3118</f>
        <v>235</v>
      </c>
      <c r="H3118" s="3" t="str">
        <f aca="false">Raw_Data!G3118</f>
        <v>no</v>
      </c>
      <c r="I3118" s="3" t="str">
        <f aca="false">Raw_Data!H3118</f>
        <v>no</v>
      </c>
      <c r="J3118" s="2" t="n">
        <f aca="false">IF(F3118="yes",1,0)</f>
        <v>0</v>
      </c>
      <c r="K3118" s="2" t="n">
        <f aca="false">IF(H3118="yes",1,0)</f>
        <v>0</v>
      </c>
      <c r="L3118" s="2" t="n">
        <f aca="false">IF(I3118="yes",1,0)</f>
        <v>0</v>
      </c>
      <c r="M3118" s="2" t="n">
        <f aca="false">IF(G3118&lt;0,1,0)</f>
        <v>0</v>
      </c>
      <c r="N3118" s="2" t="str">
        <f aca="false">_xlfn.IFS(B3118&lt;30,"Under 30",B3118&lt;40,"30-39",B3118&lt;50,"40-49",B3118&lt;60,"50-59",TRUE(),"60+")</f>
        <v>30-39</v>
      </c>
      <c r="O3118" s="2" t="str">
        <f aca="false">_xlfn.IFS(G3118&lt;0,"1 Negative",G3118=0,"2 Zero",G3118&lt;=500,"3 1-500",G3118&lt;=2000,"4 501-2000",TRUE(),"5 Above 2000")</f>
        <v>3 1-500</v>
      </c>
      <c r="P3118" s="2" t="n">
        <f aca="false">Lookups!$B$2*M3118+Lookups!$B$3*L3118</f>
        <v>0</v>
      </c>
      <c r="Q3118" s="2" t="str">
        <f aca="false">INDEX(Lookups!$E$2:$E$5,MATCH(P3118,Lookups!$D$2:$D$5,0))</f>
        <v>Low</v>
      </c>
    </row>
    <row r="3119" customFormat="false" ht="15" hidden="false" customHeight="false" outlineLevel="0" collapsed="false">
      <c r="A3119" s="3" t="n">
        <v>3118</v>
      </c>
      <c r="B3119" s="3" t="n">
        <f aca="false">Raw_Data!A3119</f>
        <v>30</v>
      </c>
      <c r="C3119" s="3" t="str">
        <f aca="false">SUBSTITUTE(Raw_Data!B3119,".","")</f>
        <v>blue-collar</v>
      </c>
      <c r="D3119" s="3" t="str">
        <f aca="false">Raw_Data!C3119</f>
        <v>single</v>
      </c>
      <c r="E3119" s="3" t="str">
        <f aca="false">Raw_Data!D3119</f>
        <v>secondary</v>
      </c>
      <c r="F3119" s="3" t="str">
        <f aca="false">Raw_Data!E3119</f>
        <v>no</v>
      </c>
      <c r="G3119" s="3" t="n">
        <f aca="false">Raw_Data!F3119</f>
        <v>2145</v>
      </c>
      <c r="H3119" s="3" t="str">
        <f aca="false">Raw_Data!G3119</f>
        <v>yes</v>
      </c>
      <c r="I3119" s="3" t="str">
        <f aca="false">Raw_Data!H3119</f>
        <v>no</v>
      </c>
      <c r="J3119" s="2" t="n">
        <f aca="false">IF(F3119="yes",1,0)</f>
        <v>0</v>
      </c>
      <c r="K3119" s="2" t="n">
        <f aca="false">IF(H3119="yes",1,0)</f>
        <v>1</v>
      </c>
      <c r="L3119" s="2" t="n">
        <f aca="false">IF(I3119="yes",1,0)</f>
        <v>0</v>
      </c>
      <c r="M3119" s="2" t="n">
        <f aca="false">IF(G3119&lt;0,1,0)</f>
        <v>0</v>
      </c>
      <c r="N3119" s="2" t="str">
        <f aca="false">_xlfn.IFS(B3119&lt;30,"Under 30",B3119&lt;40,"30-39",B3119&lt;50,"40-49",B3119&lt;60,"50-59",TRUE(),"60+")</f>
        <v>30-39</v>
      </c>
      <c r="O3119" s="2" t="str">
        <f aca="false">_xlfn.IFS(G3119&lt;0,"1 Negative",G3119=0,"2 Zero",G3119&lt;=500,"3 1-500",G3119&lt;=2000,"4 501-2000",TRUE(),"5 Above 2000")</f>
        <v>5 Above 2000</v>
      </c>
      <c r="P3119" s="2" t="n">
        <f aca="false">Lookups!$B$2*M3119+Lookups!$B$3*L3119</f>
        <v>0</v>
      </c>
      <c r="Q3119" s="2" t="str">
        <f aca="false">INDEX(Lookups!$E$2:$E$5,MATCH(P3119,Lookups!$D$2:$D$5,0))</f>
        <v>Low</v>
      </c>
    </row>
    <row r="3120" customFormat="false" ht="15" hidden="false" customHeight="false" outlineLevel="0" collapsed="false">
      <c r="A3120" s="3" t="n">
        <v>3119</v>
      </c>
      <c r="B3120" s="3" t="n">
        <f aca="false">Raw_Data!A3120</f>
        <v>32</v>
      </c>
      <c r="C3120" s="3" t="str">
        <f aca="false">SUBSTITUTE(Raw_Data!B3120,".","")</f>
        <v>services</v>
      </c>
      <c r="D3120" s="3" t="str">
        <f aca="false">Raw_Data!C3120</f>
        <v>married</v>
      </c>
      <c r="E3120" s="3" t="str">
        <f aca="false">Raw_Data!D3120</f>
        <v>secondary</v>
      </c>
      <c r="F3120" s="3" t="str">
        <f aca="false">Raw_Data!E3120</f>
        <v>no</v>
      </c>
      <c r="G3120" s="3" t="n">
        <f aca="false">Raw_Data!F3120</f>
        <v>1464</v>
      </c>
      <c r="H3120" s="3" t="str">
        <f aca="false">Raw_Data!G3120</f>
        <v>yes</v>
      </c>
      <c r="I3120" s="3" t="str">
        <f aca="false">Raw_Data!H3120</f>
        <v>no</v>
      </c>
      <c r="J3120" s="2" t="n">
        <f aca="false">IF(F3120="yes",1,0)</f>
        <v>0</v>
      </c>
      <c r="K3120" s="2" t="n">
        <f aca="false">IF(H3120="yes",1,0)</f>
        <v>1</v>
      </c>
      <c r="L3120" s="2" t="n">
        <f aca="false">IF(I3120="yes",1,0)</f>
        <v>0</v>
      </c>
      <c r="M3120" s="2" t="n">
        <f aca="false">IF(G3120&lt;0,1,0)</f>
        <v>0</v>
      </c>
      <c r="N3120" s="2" t="str">
        <f aca="false">_xlfn.IFS(B3120&lt;30,"Under 30",B3120&lt;40,"30-39",B3120&lt;50,"40-49",B3120&lt;60,"50-59",TRUE(),"60+")</f>
        <v>30-39</v>
      </c>
      <c r="O3120" s="2" t="str">
        <f aca="false">_xlfn.IFS(G3120&lt;0,"1 Negative",G3120=0,"2 Zero",G3120&lt;=500,"3 1-500",G3120&lt;=2000,"4 501-2000",TRUE(),"5 Above 2000")</f>
        <v>4 501-2000</v>
      </c>
      <c r="P3120" s="2" t="n">
        <f aca="false">Lookups!$B$2*M3120+Lookups!$B$3*L3120</f>
        <v>0</v>
      </c>
      <c r="Q3120" s="2" t="str">
        <f aca="false">INDEX(Lookups!$E$2:$E$5,MATCH(P3120,Lookups!$D$2:$D$5,0))</f>
        <v>Low</v>
      </c>
    </row>
    <row r="3121" customFormat="false" ht="15" hidden="false" customHeight="false" outlineLevel="0" collapsed="false">
      <c r="A3121" s="3" t="n">
        <v>3120</v>
      </c>
      <c r="B3121" s="3" t="n">
        <f aca="false">Raw_Data!A3121</f>
        <v>28</v>
      </c>
      <c r="C3121" s="3" t="str">
        <f aca="false">SUBSTITUTE(Raw_Data!B3121,".","")</f>
        <v>technician</v>
      </c>
      <c r="D3121" s="3" t="str">
        <f aca="false">Raw_Data!C3121</f>
        <v>married</v>
      </c>
      <c r="E3121" s="3" t="str">
        <f aca="false">Raw_Data!D3121</f>
        <v>secondary</v>
      </c>
      <c r="F3121" s="3" t="str">
        <f aca="false">Raw_Data!E3121</f>
        <v>no</v>
      </c>
      <c r="G3121" s="3" t="n">
        <f aca="false">Raw_Data!F3121</f>
        <v>232</v>
      </c>
      <c r="H3121" s="3" t="str">
        <f aca="false">Raw_Data!G3121</f>
        <v>yes</v>
      </c>
      <c r="I3121" s="3" t="str">
        <f aca="false">Raw_Data!H3121</f>
        <v>yes</v>
      </c>
      <c r="J3121" s="2" t="n">
        <f aca="false">IF(F3121="yes",1,0)</f>
        <v>0</v>
      </c>
      <c r="K3121" s="2" t="n">
        <f aca="false">IF(H3121="yes",1,0)</f>
        <v>1</v>
      </c>
      <c r="L3121" s="2" t="n">
        <f aca="false">IF(I3121="yes",1,0)</f>
        <v>1</v>
      </c>
      <c r="M3121" s="2" t="n">
        <f aca="false">IF(G3121&lt;0,1,0)</f>
        <v>0</v>
      </c>
      <c r="N3121" s="2" t="str">
        <f aca="false">_xlfn.IFS(B3121&lt;30,"Under 30",B3121&lt;40,"30-39",B3121&lt;50,"40-49",B3121&lt;60,"50-59",TRUE(),"60+")</f>
        <v>Under 30</v>
      </c>
      <c r="O3121" s="2" t="str">
        <f aca="false">_xlfn.IFS(G3121&lt;0,"1 Negative",G3121=0,"2 Zero",G3121&lt;=500,"3 1-500",G3121&lt;=2000,"4 501-2000",TRUE(),"5 Above 2000")</f>
        <v>3 1-500</v>
      </c>
      <c r="P3121" s="2" t="n">
        <f aca="false">Lookups!$B$2*M3121+Lookups!$B$3*L3121</f>
        <v>1</v>
      </c>
      <c r="Q3121" s="2" t="str">
        <f aca="false">INDEX(Lookups!$E$2:$E$5,MATCH(P3121,Lookups!$D$2:$D$5,0))</f>
        <v>Medium</v>
      </c>
    </row>
    <row r="3122" customFormat="false" ht="15" hidden="false" customHeight="false" outlineLevel="0" collapsed="false">
      <c r="A3122" s="3" t="n">
        <v>3121</v>
      </c>
      <c r="B3122" s="3" t="n">
        <f aca="false">Raw_Data!A3122</f>
        <v>47</v>
      </c>
      <c r="C3122" s="3" t="str">
        <f aca="false">SUBSTITUTE(Raw_Data!B3122,".","")</f>
        <v>technician</v>
      </c>
      <c r="D3122" s="3" t="str">
        <f aca="false">Raw_Data!C3122</f>
        <v>married</v>
      </c>
      <c r="E3122" s="3" t="str">
        <f aca="false">Raw_Data!D3122</f>
        <v>primary</v>
      </c>
      <c r="F3122" s="3" t="str">
        <f aca="false">Raw_Data!E3122</f>
        <v>no</v>
      </c>
      <c r="G3122" s="3" t="n">
        <f aca="false">Raw_Data!F3122</f>
        <v>187</v>
      </c>
      <c r="H3122" s="3" t="str">
        <f aca="false">Raw_Data!G3122</f>
        <v>yes</v>
      </c>
      <c r="I3122" s="3" t="str">
        <f aca="false">Raw_Data!H3122</f>
        <v>no</v>
      </c>
      <c r="J3122" s="2" t="n">
        <f aca="false">IF(F3122="yes",1,0)</f>
        <v>0</v>
      </c>
      <c r="K3122" s="2" t="n">
        <f aca="false">IF(H3122="yes",1,0)</f>
        <v>1</v>
      </c>
      <c r="L3122" s="2" t="n">
        <f aca="false">IF(I3122="yes",1,0)</f>
        <v>0</v>
      </c>
      <c r="M3122" s="2" t="n">
        <f aca="false">IF(G3122&lt;0,1,0)</f>
        <v>0</v>
      </c>
      <c r="N3122" s="2" t="str">
        <f aca="false">_xlfn.IFS(B3122&lt;30,"Under 30",B3122&lt;40,"30-39",B3122&lt;50,"40-49",B3122&lt;60,"50-59",TRUE(),"60+")</f>
        <v>40-49</v>
      </c>
      <c r="O3122" s="2" t="str">
        <f aca="false">_xlfn.IFS(G3122&lt;0,"1 Negative",G3122=0,"2 Zero",G3122&lt;=500,"3 1-500",G3122&lt;=2000,"4 501-2000",TRUE(),"5 Above 2000")</f>
        <v>3 1-500</v>
      </c>
      <c r="P3122" s="2" t="n">
        <f aca="false">Lookups!$B$2*M3122+Lookups!$B$3*L3122</f>
        <v>0</v>
      </c>
      <c r="Q3122" s="2" t="str">
        <f aca="false">INDEX(Lookups!$E$2:$E$5,MATCH(P3122,Lookups!$D$2:$D$5,0))</f>
        <v>Low</v>
      </c>
    </row>
    <row r="3123" customFormat="false" ht="15" hidden="false" customHeight="false" outlineLevel="0" collapsed="false">
      <c r="A3123" s="3" t="n">
        <v>3122</v>
      </c>
      <c r="B3123" s="3" t="n">
        <f aca="false">Raw_Data!A3123</f>
        <v>53</v>
      </c>
      <c r="C3123" s="3" t="str">
        <f aca="false">SUBSTITUTE(Raw_Data!B3123,".","")</f>
        <v>management</v>
      </c>
      <c r="D3123" s="3" t="str">
        <f aca="false">Raw_Data!C3123</f>
        <v>married</v>
      </c>
      <c r="E3123" s="3" t="str">
        <f aca="false">Raw_Data!D3123</f>
        <v>tertiary</v>
      </c>
      <c r="F3123" s="3" t="str">
        <f aca="false">Raw_Data!E3123</f>
        <v>no</v>
      </c>
      <c r="G3123" s="3" t="n">
        <f aca="false">Raw_Data!F3123</f>
        <v>12</v>
      </c>
      <c r="H3123" s="3" t="str">
        <f aca="false">Raw_Data!G3123</f>
        <v>no</v>
      </c>
      <c r="I3123" s="3" t="str">
        <f aca="false">Raw_Data!H3123</f>
        <v>no</v>
      </c>
      <c r="J3123" s="2" t="n">
        <f aca="false">IF(F3123="yes",1,0)</f>
        <v>0</v>
      </c>
      <c r="K3123" s="2" t="n">
        <f aca="false">IF(H3123="yes",1,0)</f>
        <v>0</v>
      </c>
      <c r="L3123" s="2" t="n">
        <f aca="false">IF(I3123="yes",1,0)</f>
        <v>0</v>
      </c>
      <c r="M3123" s="2" t="n">
        <f aca="false">IF(G3123&lt;0,1,0)</f>
        <v>0</v>
      </c>
      <c r="N3123" s="2" t="str">
        <f aca="false">_xlfn.IFS(B3123&lt;30,"Under 30",B3123&lt;40,"30-39",B3123&lt;50,"40-49",B3123&lt;60,"50-59",TRUE(),"60+")</f>
        <v>50-59</v>
      </c>
      <c r="O3123" s="2" t="str">
        <f aca="false">_xlfn.IFS(G3123&lt;0,"1 Negative",G3123=0,"2 Zero",G3123&lt;=500,"3 1-500",G3123&lt;=2000,"4 501-2000",TRUE(),"5 Above 2000")</f>
        <v>3 1-500</v>
      </c>
      <c r="P3123" s="2" t="n">
        <f aca="false">Lookups!$B$2*M3123+Lookups!$B$3*L3123</f>
        <v>0</v>
      </c>
      <c r="Q3123" s="2" t="str">
        <f aca="false">INDEX(Lookups!$E$2:$E$5,MATCH(P3123,Lookups!$D$2:$D$5,0))</f>
        <v>Low</v>
      </c>
    </row>
    <row r="3124" customFormat="false" ht="15" hidden="false" customHeight="false" outlineLevel="0" collapsed="false">
      <c r="A3124" s="3" t="n">
        <v>3123</v>
      </c>
      <c r="B3124" s="3" t="n">
        <f aca="false">Raw_Data!A3124</f>
        <v>57</v>
      </c>
      <c r="C3124" s="3" t="str">
        <f aca="false">SUBSTITUTE(Raw_Data!B3124,".","")</f>
        <v>blue-collar</v>
      </c>
      <c r="D3124" s="3" t="str">
        <f aca="false">Raw_Data!C3124</f>
        <v>married</v>
      </c>
      <c r="E3124" s="3" t="str">
        <f aca="false">Raw_Data!D3124</f>
        <v>primary</v>
      </c>
      <c r="F3124" s="3" t="str">
        <f aca="false">Raw_Data!E3124</f>
        <v>no</v>
      </c>
      <c r="G3124" s="3" t="n">
        <f aca="false">Raw_Data!F3124</f>
        <v>318</v>
      </c>
      <c r="H3124" s="3" t="str">
        <f aca="false">Raw_Data!G3124</f>
        <v>yes</v>
      </c>
      <c r="I3124" s="3" t="str">
        <f aca="false">Raw_Data!H3124</f>
        <v>no</v>
      </c>
      <c r="J3124" s="2" t="n">
        <f aca="false">IF(F3124="yes",1,0)</f>
        <v>0</v>
      </c>
      <c r="K3124" s="2" t="n">
        <f aca="false">IF(H3124="yes",1,0)</f>
        <v>1</v>
      </c>
      <c r="L3124" s="2" t="n">
        <f aca="false">IF(I3124="yes",1,0)</f>
        <v>0</v>
      </c>
      <c r="M3124" s="2" t="n">
        <f aca="false">IF(G3124&lt;0,1,0)</f>
        <v>0</v>
      </c>
      <c r="N3124" s="2" t="str">
        <f aca="false">_xlfn.IFS(B3124&lt;30,"Under 30",B3124&lt;40,"30-39",B3124&lt;50,"40-49",B3124&lt;60,"50-59",TRUE(),"60+")</f>
        <v>50-59</v>
      </c>
      <c r="O3124" s="2" t="str">
        <f aca="false">_xlfn.IFS(G3124&lt;0,"1 Negative",G3124=0,"2 Zero",G3124&lt;=500,"3 1-500",G3124&lt;=2000,"4 501-2000",TRUE(),"5 Above 2000")</f>
        <v>3 1-500</v>
      </c>
      <c r="P3124" s="2" t="n">
        <f aca="false">Lookups!$B$2*M3124+Lookups!$B$3*L3124</f>
        <v>0</v>
      </c>
      <c r="Q3124" s="2" t="str">
        <f aca="false">INDEX(Lookups!$E$2:$E$5,MATCH(P3124,Lookups!$D$2:$D$5,0))</f>
        <v>Low</v>
      </c>
    </row>
    <row r="3125" customFormat="false" ht="15" hidden="false" customHeight="false" outlineLevel="0" collapsed="false">
      <c r="A3125" s="3" t="n">
        <v>3124</v>
      </c>
      <c r="B3125" s="3" t="n">
        <f aca="false">Raw_Data!A3125</f>
        <v>47</v>
      </c>
      <c r="C3125" s="3" t="str">
        <f aca="false">SUBSTITUTE(Raw_Data!B3125,".","")</f>
        <v>services</v>
      </c>
      <c r="D3125" s="3" t="str">
        <f aca="false">Raw_Data!C3125</f>
        <v>married</v>
      </c>
      <c r="E3125" s="3" t="str">
        <f aca="false">Raw_Data!D3125</f>
        <v>secondary</v>
      </c>
      <c r="F3125" s="3" t="str">
        <f aca="false">Raw_Data!E3125</f>
        <v>no</v>
      </c>
      <c r="G3125" s="3" t="n">
        <f aca="false">Raw_Data!F3125</f>
        <v>405</v>
      </c>
      <c r="H3125" s="3" t="str">
        <f aca="false">Raw_Data!G3125</f>
        <v>no</v>
      </c>
      <c r="I3125" s="3" t="str">
        <f aca="false">Raw_Data!H3125</f>
        <v>yes</v>
      </c>
      <c r="J3125" s="2" t="n">
        <f aca="false">IF(F3125="yes",1,0)</f>
        <v>0</v>
      </c>
      <c r="K3125" s="2" t="n">
        <f aca="false">IF(H3125="yes",1,0)</f>
        <v>0</v>
      </c>
      <c r="L3125" s="2" t="n">
        <f aca="false">IF(I3125="yes",1,0)</f>
        <v>1</v>
      </c>
      <c r="M3125" s="2" t="n">
        <f aca="false">IF(G3125&lt;0,1,0)</f>
        <v>0</v>
      </c>
      <c r="N3125" s="2" t="str">
        <f aca="false">_xlfn.IFS(B3125&lt;30,"Under 30",B3125&lt;40,"30-39",B3125&lt;50,"40-49",B3125&lt;60,"50-59",TRUE(),"60+")</f>
        <v>40-49</v>
      </c>
      <c r="O3125" s="2" t="str">
        <f aca="false">_xlfn.IFS(G3125&lt;0,"1 Negative",G3125=0,"2 Zero",G3125&lt;=500,"3 1-500",G3125&lt;=2000,"4 501-2000",TRUE(),"5 Above 2000")</f>
        <v>3 1-500</v>
      </c>
      <c r="P3125" s="2" t="n">
        <f aca="false">Lookups!$B$2*M3125+Lookups!$B$3*L3125</f>
        <v>1</v>
      </c>
      <c r="Q3125" s="2" t="str">
        <f aca="false">INDEX(Lookups!$E$2:$E$5,MATCH(P3125,Lookups!$D$2:$D$5,0))</f>
        <v>Medium</v>
      </c>
    </row>
    <row r="3126" customFormat="false" ht="15" hidden="false" customHeight="false" outlineLevel="0" collapsed="false">
      <c r="A3126" s="3" t="n">
        <v>3125</v>
      </c>
      <c r="B3126" s="3" t="n">
        <f aca="false">Raw_Data!A3126</f>
        <v>56</v>
      </c>
      <c r="C3126" s="3" t="str">
        <f aca="false">SUBSTITUTE(Raw_Data!B3126,".","")</f>
        <v>management</v>
      </c>
      <c r="D3126" s="3" t="str">
        <f aca="false">Raw_Data!C3126</f>
        <v>married</v>
      </c>
      <c r="E3126" s="3" t="str">
        <f aca="false">Raw_Data!D3126</f>
        <v>tertiary</v>
      </c>
      <c r="F3126" s="3" t="str">
        <f aca="false">Raw_Data!E3126</f>
        <v>no</v>
      </c>
      <c r="G3126" s="3" t="n">
        <f aca="false">Raw_Data!F3126</f>
        <v>334</v>
      </c>
      <c r="H3126" s="3" t="str">
        <f aca="false">Raw_Data!G3126</f>
        <v>yes</v>
      </c>
      <c r="I3126" s="3" t="str">
        <f aca="false">Raw_Data!H3126</f>
        <v>no</v>
      </c>
      <c r="J3126" s="2" t="n">
        <f aca="false">IF(F3126="yes",1,0)</f>
        <v>0</v>
      </c>
      <c r="K3126" s="2" t="n">
        <f aca="false">IF(H3126="yes",1,0)</f>
        <v>1</v>
      </c>
      <c r="L3126" s="2" t="n">
        <f aca="false">IF(I3126="yes",1,0)</f>
        <v>0</v>
      </c>
      <c r="M3126" s="2" t="n">
        <f aca="false">IF(G3126&lt;0,1,0)</f>
        <v>0</v>
      </c>
      <c r="N3126" s="2" t="str">
        <f aca="false">_xlfn.IFS(B3126&lt;30,"Under 30",B3126&lt;40,"30-39",B3126&lt;50,"40-49",B3126&lt;60,"50-59",TRUE(),"60+")</f>
        <v>50-59</v>
      </c>
      <c r="O3126" s="2" t="str">
        <f aca="false">_xlfn.IFS(G3126&lt;0,"1 Negative",G3126=0,"2 Zero",G3126&lt;=500,"3 1-500",G3126&lt;=2000,"4 501-2000",TRUE(),"5 Above 2000")</f>
        <v>3 1-500</v>
      </c>
      <c r="P3126" s="2" t="n">
        <f aca="false">Lookups!$B$2*M3126+Lookups!$B$3*L3126</f>
        <v>0</v>
      </c>
      <c r="Q3126" s="2" t="str">
        <f aca="false">INDEX(Lookups!$E$2:$E$5,MATCH(P3126,Lookups!$D$2:$D$5,0))</f>
        <v>Low</v>
      </c>
    </row>
    <row r="3127" customFormat="false" ht="15" hidden="false" customHeight="false" outlineLevel="0" collapsed="false">
      <c r="A3127" s="3" t="n">
        <v>3126</v>
      </c>
      <c r="B3127" s="3" t="n">
        <f aca="false">Raw_Data!A3127</f>
        <v>38</v>
      </c>
      <c r="C3127" s="3" t="str">
        <f aca="false">SUBSTITUTE(Raw_Data!B3127,".","")</f>
        <v>admin</v>
      </c>
      <c r="D3127" s="3" t="str">
        <f aca="false">Raw_Data!C3127</f>
        <v>married</v>
      </c>
      <c r="E3127" s="3" t="str">
        <f aca="false">Raw_Data!D3127</f>
        <v>primary</v>
      </c>
      <c r="F3127" s="3" t="str">
        <f aca="false">Raw_Data!E3127</f>
        <v>no</v>
      </c>
      <c r="G3127" s="3" t="n">
        <f aca="false">Raw_Data!F3127</f>
        <v>0</v>
      </c>
      <c r="H3127" s="3" t="str">
        <f aca="false">Raw_Data!G3127</f>
        <v>yes</v>
      </c>
      <c r="I3127" s="3" t="str">
        <f aca="false">Raw_Data!H3127</f>
        <v>no</v>
      </c>
      <c r="J3127" s="2" t="n">
        <f aca="false">IF(F3127="yes",1,0)</f>
        <v>0</v>
      </c>
      <c r="K3127" s="2" t="n">
        <f aca="false">IF(H3127="yes",1,0)</f>
        <v>1</v>
      </c>
      <c r="L3127" s="2" t="n">
        <f aca="false">IF(I3127="yes",1,0)</f>
        <v>0</v>
      </c>
      <c r="M3127" s="2" t="n">
        <f aca="false">IF(G3127&lt;0,1,0)</f>
        <v>0</v>
      </c>
      <c r="N3127" s="2" t="str">
        <f aca="false">_xlfn.IFS(B3127&lt;30,"Under 30",B3127&lt;40,"30-39",B3127&lt;50,"40-49",B3127&lt;60,"50-59",TRUE(),"60+")</f>
        <v>30-39</v>
      </c>
      <c r="O3127" s="2" t="str">
        <f aca="false">_xlfn.IFS(G3127&lt;0,"1 Negative",G3127=0,"2 Zero",G3127&lt;=500,"3 1-500",G3127&lt;=2000,"4 501-2000",TRUE(),"5 Above 2000")</f>
        <v>2 Zero</v>
      </c>
      <c r="P3127" s="2" t="n">
        <f aca="false">Lookups!$B$2*M3127+Lookups!$B$3*L3127</f>
        <v>0</v>
      </c>
      <c r="Q3127" s="2" t="str">
        <f aca="false">INDEX(Lookups!$E$2:$E$5,MATCH(P3127,Lookups!$D$2:$D$5,0))</f>
        <v>Low</v>
      </c>
    </row>
    <row r="3128" customFormat="false" ht="15" hidden="false" customHeight="false" outlineLevel="0" collapsed="false">
      <c r="A3128" s="3" t="n">
        <v>3127</v>
      </c>
      <c r="B3128" s="3" t="n">
        <f aca="false">Raw_Data!A3128</f>
        <v>52</v>
      </c>
      <c r="C3128" s="3" t="str">
        <f aca="false">SUBSTITUTE(Raw_Data!B3128,".","")</f>
        <v>blue-collar</v>
      </c>
      <c r="D3128" s="3" t="str">
        <f aca="false">Raw_Data!C3128</f>
        <v>married</v>
      </c>
      <c r="E3128" s="3" t="str">
        <f aca="false">Raw_Data!D3128</f>
        <v>primary</v>
      </c>
      <c r="F3128" s="3" t="str">
        <f aca="false">Raw_Data!E3128</f>
        <v>no</v>
      </c>
      <c r="G3128" s="3" t="n">
        <f aca="false">Raw_Data!F3128</f>
        <v>2</v>
      </c>
      <c r="H3128" s="3" t="str">
        <f aca="false">Raw_Data!G3128</f>
        <v>no</v>
      </c>
      <c r="I3128" s="3" t="str">
        <f aca="false">Raw_Data!H3128</f>
        <v>no</v>
      </c>
      <c r="J3128" s="2" t="n">
        <f aca="false">IF(F3128="yes",1,0)</f>
        <v>0</v>
      </c>
      <c r="K3128" s="2" t="n">
        <f aca="false">IF(H3128="yes",1,0)</f>
        <v>0</v>
      </c>
      <c r="L3128" s="2" t="n">
        <f aca="false">IF(I3128="yes",1,0)</f>
        <v>0</v>
      </c>
      <c r="M3128" s="2" t="n">
        <f aca="false">IF(G3128&lt;0,1,0)</f>
        <v>0</v>
      </c>
      <c r="N3128" s="2" t="str">
        <f aca="false">_xlfn.IFS(B3128&lt;30,"Under 30",B3128&lt;40,"30-39",B3128&lt;50,"40-49",B3128&lt;60,"50-59",TRUE(),"60+")</f>
        <v>50-59</v>
      </c>
      <c r="O3128" s="2" t="str">
        <f aca="false">_xlfn.IFS(G3128&lt;0,"1 Negative",G3128=0,"2 Zero",G3128&lt;=500,"3 1-500",G3128&lt;=2000,"4 501-2000",TRUE(),"5 Above 2000")</f>
        <v>3 1-500</v>
      </c>
      <c r="P3128" s="2" t="n">
        <f aca="false">Lookups!$B$2*M3128+Lookups!$B$3*L3128</f>
        <v>0</v>
      </c>
      <c r="Q3128" s="2" t="str">
        <f aca="false">INDEX(Lookups!$E$2:$E$5,MATCH(P3128,Lookups!$D$2:$D$5,0))</f>
        <v>Low</v>
      </c>
    </row>
    <row r="3129" customFormat="false" ht="15" hidden="false" customHeight="false" outlineLevel="0" collapsed="false">
      <c r="A3129" s="3" t="n">
        <v>3128</v>
      </c>
      <c r="B3129" s="3" t="n">
        <f aca="false">Raw_Data!A3129</f>
        <v>46</v>
      </c>
      <c r="C3129" s="3" t="str">
        <f aca="false">SUBSTITUTE(Raw_Data!B3129,".","")</f>
        <v>technician</v>
      </c>
      <c r="D3129" s="3" t="str">
        <f aca="false">Raw_Data!C3129</f>
        <v>married</v>
      </c>
      <c r="E3129" s="3" t="str">
        <f aca="false">Raw_Data!D3129</f>
        <v>secondary</v>
      </c>
      <c r="F3129" s="3" t="str">
        <f aca="false">Raw_Data!E3129</f>
        <v>no</v>
      </c>
      <c r="G3129" s="3" t="n">
        <f aca="false">Raw_Data!F3129</f>
        <v>966</v>
      </c>
      <c r="H3129" s="3" t="str">
        <f aca="false">Raw_Data!G3129</f>
        <v>yes</v>
      </c>
      <c r="I3129" s="3" t="str">
        <f aca="false">Raw_Data!H3129</f>
        <v>yes</v>
      </c>
      <c r="J3129" s="2" t="n">
        <f aca="false">IF(F3129="yes",1,0)</f>
        <v>0</v>
      </c>
      <c r="K3129" s="2" t="n">
        <f aca="false">IF(H3129="yes",1,0)</f>
        <v>1</v>
      </c>
      <c r="L3129" s="2" t="n">
        <f aca="false">IF(I3129="yes",1,0)</f>
        <v>1</v>
      </c>
      <c r="M3129" s="2" t="n">
        <f aca="false">IF(G3129&lt;0,1,0)</f>
        <v>0</v>
      </c>
      <c r="N3129" s="2" t="str">
        <f aca="false">_xlfn.IFS(B3129&lt;30,"Under 30",B3129&lt;40,"30-39",B3129&lt;50,"40-49",B3129&lt;60,"50-59",TRUE(),"60+")</f>
        <v>40-49</v>
      </c>
      <c r="O3129" s="2" t="str">
        <f aca="false">_xlfn.IFS(G3129&lt;0,"1 Negative",G3129=0,"2 Zero",G3129&lt;=500,"3 1-500",G3129&lt;=2000,"4 501-2000",TRUE(),"5 Above 2000")</f>
        <v>4 501-2000</v>
      </c>
      <c r="P3129" s="2" t="n">
        <f aca="false">Lookups!$B$2*M3129+Lookups!$B$3*L3129</f>
        <v>1</v>
      </c>
      <c r="Q3129" s="2" t="str">
        <f aca="false">INDEX(Lookups!$E$2:$E$5,MATCH(P3129,Lookups!$D$2:$D$5,0))</f>
        <v>Medium</v>
      </c>
    </row>
    <row r="3130" customFormat="false" ht="15" hidden="false" customHeight="false" outlineLevel="0" collapsed="false">
      <c r="A3130" s="3" t="n">
        <v>3129</v>
      </c>
      <c r="B3130" s="3" t="n">
        <f aca="false">Raw_Data!A3130</f>
        <v>57</v>
      </c>
      <c r="C3130" s="3" t="str">
        <f aca="false">SUBSTITUTE(Raw_Data!B3130,".","")</f>
        <v>blue-collar</v>
      </c>
      <c r="D3130" s="3" t="str">
        <f aca="false">Raw_Data!C3130</f>
        <v>married</v>
      </c>
      <c r="E3130" s="3" t="str">
        <f aca="false">Raw_Data!D3130</f>
        <v>primary</v>
      </c>
      <c r="F3130" s="3" t="str">
        <f aca="false">Raw_Data!E3130</f>
        <v>yes</v>
      </c>
      <c r="G3130" s="3" t="n">
        <f aca="false">Raw_Data!F3130</f>
        <v>195</v>
      </c>
      <c r="H3130" s="3" t="str">
        <f aca="false">Raw_Data!G3130</f>
        <v>no</v>
      </c>
      <c r="I3130" s="3" t="str">
        <f aca="false">Raw_Data!H3130</f>
        <v>yes</v>
      </c>
      <c r="J3130" s="2" t="n">
        <f aca="false">IF(F3130="yes",1,0)</f>
        <v>1</v>
      </c>
      <c r="K3130" s="2" t="n">
        <f aca="false">IF(H3130="yes",1,0)</f>
        <v>0</v>
      </c>
      <c r="L3130" s="2" t="n">
        <f aca="false">IF(I3130="yes",1,0)</f>
        <v>1</v>
      </c>
      <c r="M3130" s="2" t="n">
        <f aca="false">IF(G3130&lt;0,1,0)</f>
        <v>0</v>
      </c>
      <c r="N3130" s="2" t="str">
        <f aca="false">_xlfn.IFS(B3130&lt;30,"Under 30",B3130&lt;40,"30-39",B3130&lt;50,"40-49",B3130&lt;60,"50-59",TRUE(),"60+")</f>
        <v>50-59</v>
      </c>
      <c r="O3130" s="2" t="str">
        <f aca="false">_xlfn.IFS(G3130&lt;0,"1 Negative",G3130=0,"2 Zero",G3130&lt;=500,"3 1-500",G3130&lt;=2000,"4 501-2000",TRUE(),"5 Above 2000")</f>
        <v>3 1-500</v>
      </c>
      <c r="P3130" s="2" t="n">
        <f aca="false">Lookups!$B$2*M3130+Lookups!$B$3*L3130</f>
        <v>1</v>
      </c>
      <c r="Q3130" s="2" t="str">
        <f aca="false">INDEX(Lookups!$E$2:$E$5,MATCH(P3130,Lookups!$D$2:$D$5,0))</f>
        <v>Medium</v>
      </c>
    </row>
    <row r="3131" customFormat="false" ht="15" hidden="false" customHeight="false" outlineLevel="0" collapsed="false">
      <c r="A3131" s="3" t="n">
        <v>3130</v>
      </c>
      <c r="B3131" s="3" t="n">
        <f aca="false">Raw_Data!A3131</f>
        <v>42</v>
      </c>
      <c r="C3131" s="3" t="str">
        <f aca="false">SUBSTITUTE(Raw_Data!B3131,".","")</f>
        <v>blue-collar</v>
      </c>
      <c r="D3131" s="3" t="str">
        <f aca="false">Raw_Data!C3131</f>
        <v>divorced</v>
      </c>
      <c r="E3131" s="3" t="str">
        <f aca="false">Raw_Data!D3131</f>
        <v>unknown</v>
      </c>
      <c r="F3131" s="3" t="str">
        <f aca="false">Raw_Data!E3131</f>
        <v>no</v>
      </c>
      <c r="G3131" s="3" t="n">
        <f aca="false">Raw_Data!F3131</f>
        <v>0</v>
      </c>
      <c r="H3131" s="3" t="str">
        <f aca="false">Raw_Data!G3131</f>
        <v>no</v>
      </c>
      <c r="I3131" s="3" t="str">
        <f aca="false">Raw_Data!H3131</f>
        <v>no</v>
      </c>
      <c r="J3131" s="2" t="n">
        <f aca="false">IF(F3131="yes",1,0)</f>
        <v>0</v>
      </c>
      <c r="K3131" s="2" t="n">
        <f aca="false">IF(H3131="yes",1,0)</f>
        <v>0</v>
      </c>
      <c r="L3131" s="2" t="n">
        <f aca="false">IF(I3131="yes",1,0)</f>
        <v>0</v>
      </c>
      <c r="M3131" s="2" t="n">
        <f aca="false">IF(G3131&lt;0,1,0)</f>
        <v>0</v>
      </c>
      <c r="N3131" s="2" t="str">
        <f aca="false">_xlfn.IFS(B3131&lt;30,"Under 30",B3131&lt;40,"30-39",B3131&lt;50,"40-49",B3131&lt;60,"50-59",TRUE(),"60+")</f>
        <v>40-49</v>
      </c>
      <c r="O3131" s="2" t="str">
        <f aca="false">_xlfn.IFS(G3131&lt;0,"1 Negative",G3131=0,"2 Zero",G3131&lt;=500,"3 1-500",G3131&lt;=2000,"4 501-2000",TRUE(),"5 Above 2000")</f>
        <v>2 Zero</v>
      </c>
      <c r="P3131" s="2" t="n">
        <f aca="false">Lookups!$B$2*M3131+Lookups!$B$3*L3131</f>
        <v>0</v>
      </c>
      <c r="Q3131" s="2" t="str">
        <f aca="false">INDEX(Lookups!$E$2:$E$5,MATCH(P3131,Lookups!$D$2:$D$5,0))</f>
        <v>Low</v>
      </c>
    </row>
    <row r="3132" customFormat="false" ht="15" hidden="false" customHeight="false" outlineLevel="0" collapsed="false">
      <c r="A3132" s="3" t="n">
        <v>3131</v>
      </c>
      <c r="B3132" s="3" t="n">
        <f aca="false">Raw_Data!A3132</f>
        <v>57</v>
      </c>
      <c r="C3132" s="3" t="str">
        <f aca="false">SUBSTITUTE(Raw_Data!B3132,".","")</f>
        <v>unemployed</v>
      </c>
      <c r="D3132" s="3" t="str">
        <f aca="false">Raw_Data!C3132</f>
        <v>married</v>
      </c>
      <c r="E3132" s="3" t="str">
        <f aca="false">Raw_Data!D3132</f>
        <v>secondary</v>
      </c>
      <c r="F3132" s="3" t="str">
        <f aca="false">Raw_Data!E3132</f>
        <v>no</v>
      </c>
      <c r="G3132" s="3" t="n">
        <f aca="false">Raw_Data!F3132</f>
        <v>0</v>
      </c>
      <c r="H3132" s="3" t="str">
        <f aca="false">Raw_Data!G3132</f>
        <v>no</v>
      </c>
      <c r="I3132" s="3" t="str">
        <f aca="false">Raw_Data!H3132</f>
        <v>no</v>
      </c>
      <c r="J3132" s="2" t="n">
        <f aca="false">IF(F3132="yes",1,0)</f>
        <v>0</v>
      </c>
      <c r="K3132" s="2" t="n">
        <f aca="false">IF(H3132="yes",1,0)</f>
        <v>0</v>
      </c>
      <c r="L3132" s="2" t="n">
        <f aca="false">IF(I3132="yes",1,0)</f>
        <v>0</v>
      </c>
      <c r="M3132" s="2" t="n">
        <f aca="false">IF(G3132&lt;0,1,0)</f>
        <v>0</v>
      </c>
      <c r="N3132" s="2" t="str">
        <f aca="false">_xlfn.IFS(B3132&lt;30,"Under 30",B3132&lt;40,"30-39",B3132&lt;50,"40-49",B3132&lt;60,"50-59",TRUE(),"60+")</f>
        <v>50-59</v>
      </c>
      <c r="O3132" s="2" t="str">
        <f aca="false">_xlfn.IFS(G3132&lt;0,"1 Negative",G3132=0,"2 Zero",G3132&lt;=500,"3 1-500",G3132&lt;=2000,"4 501-2000",TRUE(),"5 Above 2000")</f>
        <v>2 Zero</v>
      </c>
      <c r="P3132" s="2" t="n">
        <f aca="false">Lookups!$B$2*M3132+Lookups!$B$3*L3132</f>
        <v>0</v>
      </c>
      <c r="Q3132" s="2" t="str">
        <f aca="false">INDEX(Lookups!$E$2:$E$5,MATCH(P3132,Lookups!$D$2:$D$5,0))</f>
        <v>Low</v>
      </c>
    </row>
    <row r="3133" customFormat="false" ht="15" hidden="false" customHeight="false" outlineLevel="0" collapsed="false">
      <c r="A3133" s="3" t="n">
        <v>3132</v>
      </c>
      <c r="B3133" s="3" t="n">
        <f aca="false">Raw_Data!A3133</f>
        <v>51</v>
      </c>
      <c r="C3133" s="3" t="str">
        <f aca="false">SUBSTITUTE(Raw_Data!B3133,".","")</f>
        <v>housemaid</v>
      </c>
      <c r="D3133" s="3" t="str">
        <f aca="false">Raw_Data!C3133</f>
        <v>married</v>
      </c>
      <c r="E3133" s="3" t="str">
        <f aca="false">Raw_Data!D3133</f>
        <v>secondary</v>
      </c>
      <c r="F3133" s="3" t="str">
        <f aca="false">Raw_Data!E3133</f>
        <v>no</v>
      </c>
      <c r="G3133" s="3" t="n">
        <f aca="false">Raw_Data!F3133</f>
        <v>260</v>
      </c>
      <c r="H3133" s="3" t="str">
        <f aca="false">Raw_Data!G3133</f>
        <v>no</v>
      </c>
      <c r="I3133" s="3" t="str">
        <f aca="false">Raw_Data!H3133</f>
        <v>no</v>
      </c>
      <c r="J3133" s="2" t="n">
        <f aca="false">IF(F3133="yes",1,0)</f>
        <v>0</v>
      </c>
      <c r="K3133" s="2" t="n">
        <f aca="false">IF(H3133="yes",1,0)</f>
        <v>0</v>
      </c>
      <c r="L3133" s="2" t="n">
        <f aca="false">IF(I3133="yes",1,0)</f>
        <v>0</v>
      </c>
      <c r="M3133" s="2" t="n">
        <f aca="false">IF(G3133&lt;0,1,0)</f>
        <v>0</v>
      </c>
      <c r="N3133" s="2" t="str">
        <f aca="false">_xlfn.IFS(B3133&lt;30,"Under 30",B3133&lt;40,"30-39",B3133&lt;50,"40-49",B3133&lt;60,"50-59",TRUE(),"60+")</f>
        <v>50-59</v>
      </c>
      <c r="O3133" s="2" t="str">
        <f aca="false">_xlfn.IFS(G3133&lt;0,"1 Negative",G3133=0,"2 Zero",G3133&lt;=500,"3 1-500",G3133&lt;=2000,"4 501-2000",TRUE(),"5 Above 2000")</f>
        <v>3 1-500</v>
      </c>
      <c r="P3133" s="2" t="n">
        <f aca="false">Lookups!$B$2*M3133+Lookups!$B$3*L3133</f>
        <v>0</v>
      </c>
      <c r="Q3133" s="2" t="str">
        <f aca="false">INDEX(Lookups!$E$2:$E$5,MATCH(P3133,Lookups!$D$2:$D$5,0))</f>
        <v>Low</v>
      </c>
    </row>
    <row r="3134" customFormat="false" ht="15" hidden="false" customHeight="false" outlineLevel="0" collapsed="false">
      <c r="A3134" s="3" t="n">
        <v>3133</v>
      </c>
      <c r="B3134" s="3" t="n">
        <f aca="false">Raw_Data!A3134</f>
        <v>53</v>
      </c>
      <c r="C3134" s="3" t="str">
        <f aca="false">SUBSTITUTE(Raw_Data!B3134,".","")</f>
        <v>self-employed</v>
      </c>
      <c r="D3134" s="3" t="str">
        <f aca="false">Raw_Data!C3134</f>
        <v>married</v>
      </c>
      <c r="E3134" s="3" t="str">
        <f aca="false">Raw_Data!D3134</f>
        <v>tertiary</v>
      </c>
      <c r="F3134" s="3" t="str">
        <f aca="false">Raw_Data!E3134</f>
        <v>no</v>
      </c>
      <c r="G3134" s="3" t="n">
        <f aca="false">Raw_Data!F3134</f>
        <v>451</v>
      </c>
      <c r="H3134" s="3" t="str">
        <f aca="false">Raw_Data!G3134</f>
        <v>yes</v>
      </c>
      <c r="I3134" s="3" t="str">
        <f aca="false">Raw_Data!H3134</f>
        <v>no</v>
      </c>
      <c r="J3134" s="2" t="n">
        <f aca="false">IF(F3134="yes",1,0)</f>
        <v>0</v>
      </c>
      <c r="K3134" s="2" t="n">
        <f aca="false">IF(H3134="yes",1,0)</f>
        <v>1</v>
      </c>
      <c r="L3134" s="2" t="n">
        <f aca="false">IF(I3134="yes",1,0)</f>
        <v>0</v>
      </c>
      <c r="M3134" s="2" t="n">
        <f aca="false">IF(G3134&lt;0,1,0)</f>
        <v>0</v>
      </c>
      <c r="N3134" s="2" t="str">
        <f aca="false">_xlfn.IFS(B3134&lt;30,"Under 30",B3134&lt;40,"30-39",B3134&lt;50,"40-49",B3134&lt;60,"50-59",TRUE(),"60+")</f>
        <v>50-59</v>
      </c>
      <c r="O3134" s="2" t="str">
        <f aca="false">_xlfn.IFS(G3134&lt;0,"1 Negative",G3134=0,"2 Zero",G3134&lt;=500,"3 1-500",G3134&lt;=2000,"4 501-2000",TRUE(),"5 Above 2000")</f>
        <v>3 1-500</v>
      </c>
      <c r="P3134" s="2" t="n">
        <f aca="false">Lookups!$B$2*M3134+Lookups!$B$3*L3134</f>
        <v>0</v>
      </c>
      <c r="Q3134" s="2" t="str">
        <f aca="false">INDEX(Lookups!$E$2:$E$5,MATCH(P3134,Lookups!$D$2:$D$5,0))</f>
        <v>Low</v>
      </c>
    </row>
    <row r="3135" customFormat="false" ht="15" hidden="false" customHeight="false" outlineLevel="0" collapsed="false">
      <c r="A3135" s="3" t="n">
        <v>3134</v>
      </c>
      <c r="B3135" s="3" t="n">
        <f aca="false">Raw_Data!A3135</f>
        <v>37</v>
      </c>
      <c r="C3135" s="3" t="str">
        <f aca="false">SUBSTITUTE(Raw_Data!B3135,".","")</f>
        <v>blue-collar</v>
      </c>
      <c r="D3135" s="3" t="str">
        <f aca="false">Raw_Data!C3135</f>
        <v>married</v>
      </c>
      <c r="E3135" s="3" t="str">
        <f aca="false">Raw_Data!D3135</f>
        <v>primary</v>
      </c>
      <c r="F3135" s="3" t="str">
        <f aca="false">Raw_Data!E3135</f>
        <v>no</v>
      </c>
      <c r="G3135" s="3" t="n">
        <f aca="false">Raw_Data!F3135</f>
        <v>3242</v>
      </c>
      <c r="H3135" s="3" t="str">
        <f aca="false">Raw_Data!G3135</f>
        <v>yes</v>
      </c>
      <c r="I3135" s="3" t="str">
        <f aca="false">Raw_Data!H3135</f>
        <v>no</v>
      </c>
      <c r="J3135" s="2" t="n">
        <f aca="false">IF(F3135="yes",1,0)</f>
        <v>0</v>
      </c>
      <c r="K3135" s="2" t="n">
        <f aca="false">IF(H3135="yes",1,0)</f>
        <v>1</v>
      </c>
      <c r="L3135" s="2" t="n">
        <f aca="false">IF(I3135="yes",1,0)</f>
        <v>0</v>
      </c>
      <c r="M3135" s="2" t="n">
        <f aca="false">IF(G3135&lt;0,1,0)</f>
        <v>0</v>
      </c>
      <c r="N3135" s="2" t="str">
        <f aca="false">_xlfn.IFS(B3135&lt;30,"Under 30",B3135&lt;40,"30-39",B3135&lt;50,"40-49",B3135&lt;60,"50-59",TRUE(),"60+")</f>
        <v>30-39</v>
      </c>
      <c r="O3135" s="2" t="str">
        <f aca="false">_xlfn.IFS(G3135&lt;0,"1 Negative",G3135=0,"2 Zero",G3135&lt;=500,"3 1-500",G3135&lt;=2000,"4 501-2000",TRUE(),"5 Above 2000")</f>
        <v>5 Above 2000</v>
      </c>
      <c r="P3135" s="2" t="n">
        <f aca="false">Lookups!$B$2*M3135+Lookups!$B$3*L3135</f>
        <v>0</v>
      </c>
      <c r="Q3135" s="2" t="str">
        <f aca="false">INDEX(Lookups!$E$2:$E$5,MATCH(P3135,Lookups!$D$2:$D$5,0))</f>
        <v>Low</v>
      </c>
    </row>
    <row r="3136" customFormat="false" ht="15" hidden="false" customHeight="false" outlineLevel="0" collapsed="false">
      <c r="A3136" s="3" t="n">
        <v>3135</v>
      </c>
      <c r="B3136" s="3" t="n">
        <f aca="false">Raw_Data!A3136</f>
        <v>47</v>
      </c>
      <c r="C3136" s="3" t="str">
        <f aca="false">SUBSTITUTE(Raw_Data!B3136,".","")</f>
        <v>self-employed</v>
      </c>
      <c r="D3136" s="3" t="str">
        <f aca="false">Raw_Data!C3136</f>
        <v>divorced</v>
      </c>
      <c r="E3136" s="3" t="str">
        <f aca="false">Raw_Data!D3136</f>
        <v>secondary</v>
      </c>
      <c r="F3136" s="3" t="str">
        <f aca="false">Raw_Data!E3136</f>
        <v>no</v>
      </c>
      <c r="G3136" s="3" t="n">
        <f aca="false">Raw_Data!F3136</f>
        <v>8515</v>
      </c>
      <c r="H3136" s="3" t="str">
        <f aca="false">Raw_Data!G3136</f>
        <v>yes</v>
      </c>
      <c r="I3136" s="3" t="str">
        <f aca="false">Raw_Data!H3136</f>
        <v>no</v>
      </c>
      <c r="J3136" s="2" t="n">
        <f aca="false">IF(F3136="yes",1,0)</f>
        <v>0</v>
      </c>
      <c r="K3136" s="2" t="n">
        <f aca="false">IF(H3136="yes",1,0)</f>
        <v>1</v>
      </c>
      <c r="L3136" s="2" t="n">
        <f aca="false">IF(I3136="yes",1,0)</f>
        <v>0</v>
      </c>
      <c r="M3136" s="2" t="n">
        <f aca="false">IF(G3136&lt;0,1,0)</f>
        <v>0</v>
      </c>
      <c r="N3136" s="2" t="str">
        <f aca="false">_xlfn.IFS(B3136&lt;30,"Under 30",B3136&lt;40,"30-39",B3136&lt;50,"40-49",B3136&lt;60,"50-59",TRUE(),"60+")</f>
        <v>40-49</v>
      </c>
      <c r="O3136" s="2" t="str">
        <f aca="false">_xlfn.IFS(G3136&lt;0,"1 Negative",G3136=0,"2 Zero",G3136&lt;=500,"3 1-500",G3136&lt;=2000,"4 501-2000",TRUE(),"5 Above 2000")</f>
        <v>5 Above 2000</v>
      </c>
      <c r="P3136" s="2" t="n">
        <f aca="false">Lookups!$B$2*M3136+Lookups!$B$3*L3136</f>
        <v>0</v>
      </c>
      <c r="Q3136" s="2" t="str">
        <f aca="false">INDEX(Lookups!$E$2:$E$5,MATCH(P3136,Lookups!$D$2:$D$5,0))</f>
        <v>Low</v>
      </c>
    </row>
    <row r="3137" customFormat="false" ht="15" hidden="false" customHeight="false" outlineLevel="0" collapsed="false">
      <c r="A3137" s="3" t="n">
        <v>3136</v>
      </c>
      <c r="B3137" s="3" t="n">
        <f aca="false">Raw_Data!A3137</f>
        <v>48</v>
      </c>
      <c r="C3137" s="3" t="str">
        <f aca="false">SUBSTITUTE(Raw_Data!B3137,".","")</f>
        <v>management</v>
      </c>
      <c r="D3137" s="3" t="str">
        <f aca="false">Raw_Data!C3137</f>
        <v>married</v>
      </c>
      <c r="E3137" s="3" t="str">
        <f aca="false">Raw_Data!D3137</f>
        <v>tertiary</v>
      </c>
      <c r="F3137" s="3" t="str">
        <f aca="false">Raw_Data!E3137</f>
        <v>no</v>
      </c>
      <c r="G3137" s="3" t="n">
        <f aca="false">Raw_Data!F3137</f>
        <v>1808</v>
      </c>
      <c r="H3137" s="3" t="str">
        <f aca="false">Raw_Data!G3137</f>
        <v>yes</v>
      </c>
      <c r="I3137" s="3" t="str">
        <f aca="false">Raw_Data!H3137</f>
        <v>no</v>
      </c>
      <c r="J3137" s="2" t="n">
        <f aca="false">IF(F3137="yes",1,0)</f>
        <v>0</v>
      </c>
      <c r="K3137" s="2" t="n">
        <f aca="false">IF(H3137="yes",1,0)</f>
        <v>1</v>
      </c>
      <c r="L3137" s="2" t="n">
        <f aca="false">IF(I3137="yes",1,0)</f>
        <v>0</v>
      </c>
      <c r="M3137" s="2" t="n">
        <f aca="false">IF(G3137&lt;0,1,0)</f>
        <v>0</v>
      </c>
      <c r="N3137" s="2" t="str">
        <f aca="false">_xlfn.IFS(B3137&lt;30,"Under 30",B3137&lt;40,"30-39",B3137&lt;50,"40-49",B3137&lt;60,"50-59",TRUE(),"60+")</f>
        <v>40-49</v>
      </c>
      <c r="O3137" s="2" t="str">
        <f aca="false">_xlfn.IFS(G3137&lt;0,"1 Negative",G3137=0,"2 Zero",G3137&lt;=500,"3 1-500",G3137&lt;=2000,"4 501-2000",TRUE(),"5 Above 2000")</f>
        <v>4 501-2000</v>
      </c>
      <c r="P3137" s="2" t="n">
        <f aca="false">Lookups!$B$2*M3137+Lookups!$B$3*L3137</f>
        <v>0</v>
      </c>
      <c r="Q3137" s="2" t="str">
        <f aca="false">INDEX(Lookups!$E$2:$E$5,MATCH(P3137,Lookups!$D$2:$D$5,0))</f>
        <v>Low</v>
      </c>
    </row>
    <row r="3138" customFormat="false" ht="15" hidden="false" customHeight="false" outlineLevel="0" collapsed="false">
      <c r="A3138" s="3" t="n">
        <v>3137</v>
      </c>
      <c r="B3138" s="3" t="n">
        <f aca="false">Raw_Data!A3138</f>
        <v>39</v>
      </c>
      <c r="C3138" s="3" t="str">
        <f aca="false">SUBSTITUTE(Raw_Data!B3138,".","")</f>
        <v>blue-collar</v>
      </c>
      <c r="D3138" s="3" t="str">
        <f aca="false">Raw_Data!C3138</f>
        <v>married</v>
      </c>
      <c r="E3138" s="3" t="str">
        <f aca="false">Raw_Data!D3138</f>
        <v>primary</v>
      </c>
      <c r="F3138" s="3" t="str">
        <f aca="false">Raw_Data!E3138</f>
        <v>no</v>
      </c>
      <c r="G3138" s="3" t="n">
        <f aca="false">Raw_Data!F3138</f>
        <v>20</v>
      </c>
      <c r="H3138" s="3" t="str">
        <f aca="false">Raw_Data!G3138</f>
        <v>yes</v>
      </c>
      <c r="I3138" s="3" t="str">
        <f aca="false">Raw_Data!H3138</f>
        <v>no</v>
      </c>
      <c r="J3138" s="2" t="n">
        <f aca="false">IF(F3138="yes",1,0)</f>
        <v>0</v>
      </c>
      <c r="K3138" s="2" t="n">
        <f aca="false">IF(H3138="yes",1,0)</f>
        <v>1</v>
      </c>
      <c r="L3138" s="2" t="n">
        <f aca="false">IF(I3138="yes",1,0)</f>
        <v>0</v>
      </c>
      <c r="M3138" s="2" t="n">
        <f aca="false">IF(G3138&lt;0,1,0)</f>
        <v>0</v>
      </c>
      <c r="N3138" s="2" t="str">
        <f aca="false">_xlfn.IFS(B3138&lt;30,"Under 30",B3138&lt;40,"30-39",B3138&lt;50,"40-49",B3138&lt;60,"50-59",TRUE(),"60+")</f>
        <v>30-39</v>
      </c>
      <c r="O3138" s="2" t="str">
        <f aca="false">_xlfn.IFS(G3138&lt;0,"1 Negative",G3138=0,"2 Zero",G3138&lt;=500,"3 1-500",G3138&lt;=2000,"4 501-2000",TRUE(),"5 Above 2000")</f>
        <v>3 1-500</v>
      </c>
      <c r="P3138" s="2" t="n">
        <f aca="false">Lookups!$B$2*M3138+Lookups!$B$3*L3138</f>
        <v>0</v>
      </c>
      <c r="Q3138" s="2" t="str">
        <f aca="false">INDEX(Lookups!$E$2:$E$5,MATCH(P3138,Lookups!$D$2:$D$5,0))</f>
        <v>Low</v>
      </c>
    </row>
    <row r="3139" customFormat="false" ht="15" hidden="false" customHeight="false" outlineLevel="0" collapsed="false">
      <c r="A3139" s="3" t="n">
        <v>3138</v>
      </c>
      <c r="B3139" s="3" t="n">
        <f aca="false">Raw_Data!A3139</f>
        <v>42</v>
      </c>
      <c r="C3139" s="3" t="str">
        <f aca="false">SUBSTITUTE(Raw_Data!B3139,".","")</f>
        <v>blue-collar</v>
      </c>
      <c r="D3139" s="3" t="str">
        <f aca="false">Raw_Data!C3139</f>
        <v>married</v>
      </c>
      <c r="E3139" s="3" t="str">
        <f aca="false">Raw_Data!D3139</f>
        <v>secondary</v>
      </c>
      <c r="F3139" s="3" t="str">
        <f aca="false">Raw_Data!E3139</f>
        <v>no</v>
      </c>
      <c r="G3139" s="3" t="n">
        <f aca="false">Raw_Data!F3139</f>
        <v>3068</v>
      </c>
      <c r="H3139" s="3" t="str">
        <f aca="false">Raw_Data!G3139</f>
        <v>yes</v>
      </c>
      <c r="I3139" s="3" t="str">
        <f aca="false">Raw_Data!H3139</f>
        <v>yes</v>
      </c>
      <c r="J3139" s="2" t="n">
        <f aca="false">IF(F3139="yes",1,0)</f>
        <v>0</v>
      </c>
      <c r="K3139" s="2" t="n">
        <f aca="false">IF(H3139="yes",1,0)</f>
        <v>1</v>
      </c>
      <c r="L3139" s="2" t="n">
        <f aca="false">IF(I3139="yes",1,0)</f>
        <v>1</v>
      </c>
      <c r="M3139" s="2" t="n">
        <f aca="false">IF(G3139&lt;0,1,0)</f>
        <v>0</v>
      </c>
      <c r="N3139" s="2" t="str">
        <f aca="false">_xlfn.IFS(B3139&lt;30,"Under 30",B3139&lt;40,"30-39",B3139&lt;50,"40-49",B3139&lt;60,"50-59",TRUE(),"60+")</f>
        <v>40-49</v>
      </c>
      <c r="O3139" s="2" t="str">
        <f aca="false">_xlfn.IFS(G3139&lt;0,"1 Negative",G3139=0,"2 Zero",G3139&lt;=500,"3 1-500",G3139&lt;=2000,"4 501-2000",TRUE(),"5 Above 2000")</f>
        <v>5 Above 2000</v>
      </c>
      <c r="P3139" s="2" t="n">
        <f aca="false">Lookups!$B$2*M3139+Lookups!$B$3*L3139</f>
        <v>1</v>
      </c>
      <c r="Q3139" s="2" t="str">
        <f aca="false">INDEX(Lookups!$E$2:$E$5,MATCH(P3139,Lookups!$D$2:$D$5,0))</f>
        <v>Medium</v>
      </c>
    </row>
    <row r="3140" customFormat="false" ht="15" hidden="false" customHeight="false" outlineLevel="0" collapsed="false">
      <c r="A3140" s="3" t="n">
        <v>3139</v>
      </c>
      <c r="B3140" s="3" t="n">
        <f aca="false">Raw_Data!A3140</f>
        <v>36</v>
      </c>
      <c r="C3140" s="3" t="str">
        <f aca="false">SUBSTITUTE(Raw_Data!B3140,".","")</f>
        <v>management</v>
      </c>
      <c r="D3140" s="3" t="str">
        <f aca="false">Raw_Data!C3140</f>
        <v>married</v>
      </c>
      <c r="E3140" s="3" t="str">
        <f aca="false">Raw_Data!D3140</f>
        <v>tertiary</v>
      </c>
      <c r="F3140" s="3" t="str">
        <f aca="false">Raw_Data!E3140</f>
        <v>no</v>
      </c>
      <c r="G3140" s="3" t="n">
        <f aca="false">Raw_Data!F3140</f>
        <v>23</v>
      </c>
      <c r="H3140" s="3" t="str">
        <f aca="false">Raw_Data!G3140</f>
        <v>no</v>
      </c>
      <c r="I3140" s="3" t="str">
        <f aca="false">Raw_Data!H3140</f>
        <v>no</v>
      </c>
      <c r="J3140" s="2" t="n">
        <f aca="false">IF(F3140="yes",1,0)</f>
        <v>0</v>
      </c>
      <c r="K3140" s="2" t="n">
        <f aca="false">IF(H3140="yes",1,0)</f>
        <v>0</v>
      </c>
      <c r="L3140" s="2" t="n">
        <f aca="false">IF(I3140="yes",1,0)</f>
        <v>0</v>
      </c>
      <c r="M3140" s="2" t="n">
        <f aca="false">IF(G3140&lt;0,1,0)</f>
        <v>0</v>
      </c>
      <c r="N3140" s="2" t="str">
        <f aca="false">_xlfn.IFS(B3140&lt;30,"Under 30",B3140&lt;40,"30-39",B3140&lt;50,"40-49",B3140&lt;60,"50-59",TRUE(),"60+")</f>
        <v>30-39</v>
      </c>
      <c r="O3140" s="2" t="str">
        <f aca="false">_xlfn.IFS(G3140&lt;0,"1 Negative",G3140=0,"2 Zero",G3140&lt;=500,"3 1-500",G3140&lt;=2000,"4 501-2000",TRUE(),"5 Above 2000")</f>
        <v>3 1-500</v>
      </c>
      <c r="P3140" s="2" t="n">
        <f aca="false">Lookups!$B$2*M3140+Lookups!$B$3*L3140</f>
        <v>0</v>
      </c>
      <c r="Q3140" s="2" t="str">
        <f aca="false">INDEX(Lookups!$E$2:$E$5,MATCH(P3140,Lookups!$D$2:$D$5,0))</f>
        <v>Low</v>
      </c>
    </row>
    <row r="3141" customFormat="false" ht="15" hidden="false" customHeight="false" outlineLevel="0" collapsed="false">
      <c r="A3141" s="3" t="n">
        <v>3140</v>
      </c>
      <c r="B3141" s="3" t="n">
        <f aca="false">Raw_Data!A3141</f>
        <v>34</v>
      </c>
      <c r="C3141" s="3" t="str">
        <f aca="false">SUBSTITUTE(Raw_Data!B3141,".","")</f>
        <v>technician</v>
      </c>
      <c r="D3141" s="3" t="str">
        <f aca="false">Raw_Data!C3141</f>
        <v>single</v>
      </c>
      <c r="E3141" s="3" t="str">
        <f aca="false">Raw_Data!D3141</f>
        <v>secondary</v>
      </c>
      <c r="F3141" s="3" t="str">
        <f aca="false">Raw_Data!E3141</f>
        <v>no</v>
      </c>
      <c r="G3141" s="3" t="n">
        <f aca="false">Raw_Data!F3141</f>
        <v>1076</v>
      </c>
      <c r="H3141" s="3" t="str">
        <f aca="false">Raw_Data!G3141</f>
        <v>no</v>
      </c>
      <c r="I3141" s="3" t="str">
        <f aca="false">Raw_Data!H3141</f>
        <v>no</v>
      </c>
      <c r="J3141" s="2" t="n">
        <f aca="false">IF(F3141="yes",1,0)</f>
        <v>0</v>
      </c>
      <c r="K3141" s="2" t="n">
        <f aca="false">IF(H3141="yes",1,0)</f>
        <v>0</v>
      </c>
      <c r="L3141" s="2" t="n">
        <f aca="false">IF(I3141="yes",1,0)</f>
        <v>0</v>
      </c>
      <c r="M3141" s="2" t="n">
        <f aca="false">IF(G3141&lt;0,1,0)</f>
        <v>0</v>
      </c>
      <c r="N3141" s="2" t="str">
        <f aca="false">_xlfn.IFS(B3141&lt;30,"Under 30",B3141&lt;40,"30-39",B3141&lt;50,"40-49",B3141&lt;60,"50-59",TRUE(),"60+")</f>
        <v>30-39</v>
      </c>
      <c r="O3141" s="2" t="str">
        <f aca="false">_xlfn.IFS(G3141&lt;0,"1 Negative",G3141=0,"2 Zero",G3141&lt;=500,"3 1-500",G3141&lt;=2000,"4 501-2000",TRUE(),"5 Above 2000")</f>
        <v>4 501-2000</v>
      </c>
      <c r="P3141" s="2" t="n">
        <f aca="false">Lookups!$B$2*M3141+Lookups!$B$3*L3141</f>
        <v>0</v>
      </c>
      <c r="Q3141" s="2" t="str">
        <f aca="false">INDEX(Lookups!$E$2:$E$5,MATCH(P3141,Lookups!$D$2:$D$5,0))</f>
        <v>Low</v>
      </c>
    </row>
    <row r="3142" customFormat="false" ht="15" hidden="false" customHeight="false" outlineLevel="0" collapsed="false">
      <c r="A3142" s="3" t="n">
        <v>3141</v>
      </c>
      <c r="B3142" s="3" t="n">
        <f aca="false">Raw_Data!A3142</f>
        <v>61</v>
      </c>
      <c r="C3142" s="3" t="str">
        <f aca="false">SUBSTITUTE(Raw_Data!B3142,".","")</f>
        <v>retired</v>
      </c>
      <c r="D3142" s="3" t="str">
        <f aca="false">Raw_Data!C3142</f>
        <v>married</v>
      </c>
      <c r="E3142" s="3" t="str">
        <f aca="false">Raw_Data!D3142</f>
        <v>primary</v>
      </c>
      <c r="F3142" s="3" t="str">
        <f aca="false">Raw_Data!E3142</f>
        <v>no</v>
      </c>
      <c r="G3142" s="3" t="n">
        <f aca="false">Raw_Data!F3142</f>
        <v>1060</v>
      </c>
      <c r="H3142" s="3" t="str">
        <f aca="false">Raw_Data!G3142</f>
        <v>yes</v>
      </c>
      <c r="I3142" s="3" t="str">
        <f aca="false">Raw_Data!H3142</f>
        <v>no</v>
      </c>
      <c r="J3142" s="2" t="n">
        <f aca="false">IF(F3142="yes",1,0)</f>
        <v>0</v>
      </c>
      <c r="K3142" s="2" t="n">
        <f aca="false">IF(H3142="yes",1,0)</f>
        <v>1</v>
      </c>
      <c r="L3142" s="2" t="n">
        <f aca="false">IF(I3142="yes",1,0)</f>
        <v>0</v>
      </c>
      <c r="M3142" s="2" t="n">
        <f aca="false">IF(G3142&lt;0,1,0)</f>
        <v>0</v>
      </c>
      <c r="N3142" s="2" t="str">
        <f aca="false">_xlfn.IFS(B3142&lt;30,"Under 30",B3142&lt;40,"30-39",B3142&lt;50,"40-49",B3142&lt;60,"50-59",TRUE(),"60+")</f>
        <v>60+</v>
      </c>
      <c r="O3142" s="2" t="str">
        <f aca="false">_xlfn.IFS(G3142&lt;0,"1 Negative",G3142=0,"2 Zero",G3142&lt;=500,"3 1-500",G3142&lt;=2000,"4 501-2000",TRUE(),"5 Above 2000")</f>
        <v>4 501-2000</v>
      </c>
      <c r="P3142" s="2" t="n">
        <f aca="false">Lookups!$B$2*M3142+Lookups!$B$3*L3142</f>
        <v>0</v>
      </c>
      <c r="Q3142" s="2" t="str">
        <f aca="false">INDEX(Lookups!$E$2:$E$5,MATCH(P3142,Lookups!$D$2:$D$5,0))</f>
        <v>Low</v>
      </c>
    </row>
    <row r="3143" customFormat="false" ht="15" hidden="false" customHeight="false" outlineLevel="0" collapsed="false">
      <c r="A3143" s="3" t="n">
        <v>3142</v>
      </c>
      <c r="B3143" s="3" t="n">
        <f aca="false">Raw_Data!A3143</f>
        <v>32</v>
      </c>
      <c r="C3143" s="3" t="str">
        <f aca="false">SUBSTITUTE(Raw_Data!B3143,".","")</f>
        <v>admin</v>
      </c>
      <c r="D3143" s="3" t="str">
        <f aca="false">Raw_Data!C3143</f>
        <v>single</v>
      </c>
      <c r="E3143" s="3" t="str">
        <f aca="false">Raw_Data!D3143</f>
        <v>secondary</v>
      </c>
      <c r="F3143" s="3" t="str">
        <f aca="false">Raw_Data!E3143</f>
        <v>no</v>
      </c>
      <c r="G3143" s="3" t="n">
        <f aca="false">Raw_Data!F3143</f>
        <v>678</v>
      </c>
      <c r="H3143" s="3" t="str">
        <f aca="false">Raw_Data!G3143</f>
        <v>yes</v>
      </c>
      <c r="I3143" s="3" t="str">
        <f aca="false">Raw_Data!H3143</f>
        <v>no</v>
      </c>
      <c r="J3143" s="2" t="n">
        <f aca="false">IF(F3143="yes",1,0)</f>
        <v>0</v>
      </c>
      <c r="K3143" s="2" t="n">
        <f aca="false">IF(H3143="yes",1,0)</f>
        <v>1</v>
      </c>
      <c r="L3143" s="2" t="n">
        <f aca="false">IF(I3143="yes",1,0)</f>
        <v>0</v>
      </c>
      <c r="M3143" s="2" t="n">
        <f aca="false">IF(G3143&lt;0,1,0)</f>
        <v>0</v>
      </c>
      <c r="N3143" s="2" t="str">
        <f aca="false">_xlfn.IFS(B3143&lt;30,"Under 30",B3143&lt;40,"30-39",B3143&lt;50,"40-49",B3143&lt;60,"50-59",TRUE(),"60+")</f>
        <v>30-39</v>
      </c>
      <c r="O3143" s="2" t="str">
        <f aca="false">_xlfn.IFS(G3143&lt;0,"1 Negative",G3143=0,"2 Zero",G3143&lt;=500,"3 1-500",G3143&lt;=2000,"4 501-2000",TRUE(),"5 Above 2000")</f>
        <v>4 501-2000</v>
      </c>
      <c r="P3143" s="2" t="n">
        <f aca="false">Lookups!$B$2*M3143+Lookups!$B$3*L3143</f>
        <v>0</v>
      </c>
      <c r="Q3143" s="2" t="str">
        <f aca="false">INDEX(Lookups!$E$2:$E$5,MATCH(P3143,Lookups!$D$2:$D$5,0))</f>
        <v>Low</v>
      </c>
    </row>
    <row r="3144" customFormat="false" ht="15" hidden="false" customHeight="false" outlineLevel="0" collapsed="false">
      <c r="A3144" s="3" t="n">
        <v>3143</v>
      </c>
      <c r="B3144" s="3" t="n">
        <f aca="false">Raw_Data!A3144</f>
        <v>35</v>
      </c>
      <c r="C3144" s="3" t="str">
        <f aca="false">SUBSTITUTE(Raw_Data!B3144,".","")</f>
        <v>blue-collar</v>
      </c>
      <c r="D3144" s="3" t="str">
        <f aca="false">Raw_Data!C3144</f>
        <v>single</v>
      </c>
      <c r="E3144" s="3" t="str">
        <f aca="false">Raw_Data!D3144</f>
        <v>primary</v>
      </c>
      <c r="F3144" s="3" t="str">
        <f aca="false">Raw_Data!E3144</f>
        <v>no</v>
      </c>
      <c r="G3144" s="3" t="n">
        <f aca="false">Raw_Data!F3144</f>
        <v>1147</v>
      </c>
      <c r="H3144" s="3" t="str">
        <f aca="false">Raw_Data!G3144</f>
        <v>yes</v>
      </c>
      <c r="I3144" s="3" t="str">
        <f aca="false">Raw_Data!H3144</f>
        <v>yes</v>
      </c>
      <c r="J3144" s="2" t="n">
        <f aca="false">IF(F3144="yes",1,0)</f>
        <v>0</v>
      </c>
      <c r="K3144" s="2" t="n">
        <f aca="false">IF(H3144="yes",1,0)</f>
        <v>1</v>
      </c>
      <c r="L3144" s="2" t="n">
        <f aca="false">IF(I3144="yes",1,0)</f>
        <v>1</v>
      </c>
      <c r="M3144" s="2" t="n">
        <f aca="false">IF(G3144&lt;0,1,0)</f>
        <v>0</v>
      </c>
      <c r="N3144" s="2" t="str">
        <f aca="false">_xlfn.IFS(B3144&lt;30,"Under 30",B3144&lt;40,"30-39",B3144&lt;50,"40-49",B3144&lt;60,"50-59",TRUE(),"60+")</f>
        <v>30-39</v>
      </c>
      <c r="O3144" s="2" t="str">
        <f aca="false">_xlfn.IFS(G3144&lt;0,"1 Negative",G3144=0,"2 Zero",G3144&lt;=500,"3 1-500",G3144&lt;=2000,"4 501-2000",TRUE(),"5 Above 2000")</f>
        <v>4 501-2000</v>
      </c>
      <c r="P3144" s="2" t="n">
        <f aca="false">Lookups!$B$2*M3144+Lookups!$B$3*L3144</f>
        <v>1</v>
      </c>
      <c r="Q3144" s="2" t="str">
        <f aca="false">INDEX(Lookups!$E$2:$E$5,MATCH(P3144,Lookups!$D$2:$D$5,0))</f>
        <v>Medium</v>
      </c>
    </row>
    <row r="3145" customFormat="false" ht="15" hidden="false" customHeight="false" outlineLevel="0" collapsed="false">
      <c r="A3145" s="3" t="n">
        <v>3144</v>
      </c>
      <c r="B3145" s="3" t="n">
        <f aca="false">Raw_Data!A3145</f>
        <v>54</v>
      </c>
      <c r="C3145" s="3" t="str">
        <f aca="false">SUBSTITUTE(Raw_Data!B3145,".","")</f>
        <v>blue-collar</v>
      </c>
      <c r="D3145" s="3" t="str">
        <f aca="false">Raw_Data!C3145</f>
        <v>married</v>
      </c>
      <c r="E3145" s="3" t="str">
        <f aca="false">Raw_Data!D3145</f>
        <v>secondary</v>
      </c>
      <c r="F3145" s="3" t="str">
        <f aca="false">Raw_Data!E3145</f>
        <v>no</v>
      </c>
      <c r="G3145" s="3" t="n">
        <f aca="false">Raw_Data!F3145</f>
        <v>-630</v>
      </c>
      <c r="H3145" s="3" t="str">
        <f aca="false">Raw_Data!G3145</f>
        <v>no</v>
      </c>
      <c r="I3145" s="3" t="str">
        <f aca="false">Raw_Data!H3145</f>
        <v>no</v>
      </c>
      <c r="J3145" s="2" t="n">
        <f aca="false">IF(F3145="yes",1,0)</f>
        <v>0</v>
      </c>
      <c r="K3145" s="2" t="n">
        <f aca="false">IF(H3145="yes",1,0)</f>
        <v>0</v>
      </c>
      <c r="L3145" s="2" t="n">
        <f aca="false">IF(I3145="yes",1,0)</f>
        <v>0</v>
      </c>
      <c r="M3145" s="2" t="n">
        <f aca="false">IF(G3145&lt;0,1,0)</f>
        <v>1</v>
      </c>
      <c r="N3145" s="2" t="str">
        <f aca="false">_xlfn.IFS(B3145&lt;30,"Under 30",B3145&lt;40,"30-39",B3145&lt;50,"40-49",B3145&lt;60,"50-59",TRUE(),"60+")</f>
        <v>50-59</v>
      </c>
      <c r="O3145" s="2" t="str">
        <f aca="false">_xlfn.IFS(G3145&lt;0,"1 Negative",G3145=0,"2 Zero",G3145&lt;=500,"3 1-500",G3145&lt;=2000,"4 501-2000",TRUE(),"5 Above 2000")</f>
        <v>1 Negative</v>
      </c>
      <c r="P3145" s="2" t="n">
        <f aca="false">Lookups!$B$2*M3145+Lookups!$B$3*L3145</f>
        <v>2</v>
      </c>
      <c r="Q3145" s="2" t="str">
        <f aca="false">INDEX(Lookups!$E$2:$E$5,MATCH(P3145,Lookups!$D$2:$D$5,0))</f>
        <v>High</v>
      </c>
    </row>
    <row r="3146" customFormat="false" ht="15" hidden="false" customHeight="false" outlineLevel="0" collapsed="false">
      <c r="A3146" s="3" t="n">
        <v>3145</v>
      </c>
      <c r="B3146" s="3" t="n">
        <f aca="false">Raw_Data!A3146</f>
        <v>31</v>
      </c>
      <c r="C3146" s="3" t="str">
        <f aca="false">SUBSTITUTE(Raw_Data!B3146,".","")</f>
        <v>management</v>
      </c>
      <c r="D3146" s="3" t="str">
        <f aca="false">Raw_Data!C3146</f>
        <v>married</v>
      </c>
      <c r="E3146" s="3" t="str">
        <f aca="false">Raw_Data!D3146</f>
        <v>tertiary</v>
      </c>
      <c r="F3146" s="3" t="str">
        <f aca="false">Raw_Data!E3146</f>
        <v>no</v>
      </c>
      <c r="G3146" s="3" t="n">
        <f aca="false">Raw_Data!F3146</f>
        <v>459</v>
      </c>
      <c r="H3146" s="3" t="str">
        <f aca="false">Raw_Data!G3146</f>
        <v>no</v>
      </c>
      <c r="I3146" s="3" t="str">
        <f aca="false">Raw_Data!H3146</f>
        <v>no</v>
      </c>
      <c r="J3146" s="2" t="n">
        <f aca="false">IF(F3146="yes",1,0)</f>
        <v>0</v>
      </c>
      <c r="K3146" s="2" t="n">
        <f aca="false">IF(H3146="yes",1,0)</f>
        <v>0</v>
      </c>
      <c r="L3146" s="2" t="n">
        <f aca="false">IF(I3146="yes",1,0)</f>
        <v>0</v>
      </c>
      <c r="M3146" s="2" t="n">
        <f aca="false">IF(G3146&lt;0,1,0)</f>
        <v>0</v>
      </c>
      <c r="N3146" s="2" t="str">
        <f aca="false">_xlfn.IFS(B3146&lt;30,"Under 30",B3146&lt;40,"30-39",B3146&lt;50,"40-49",B3146&lt;60,"50-59",TRUE(),"60+")</f>
        <v>30-39</v>
      </c>
      <c r="O3146" s="2" t="str">
        <f aca="false">_xlfn.IFS(G3146&lt;0,"1 Negative",G3146=0,"2 Zero",G3146&lt;=500,"3 1-500",G3146&lt;=2000,"4 501-2000",TRUE(),"5 Above 2000")</f>
        <v>3 1-500</v>
      </c>
      <c r="P3146" s="2" t="n">
        <f aca="false">Lookups!$B$2*M3146+Lookups!$B$3*L3146</f>
        <v>0</v>
      </c>
      <c r="Q3146" s="2" t="str">
        <f aca="false">INDEX(Lookups!$E$2:$E$5,MATCH(P3146,Lookups!$D$2:$D$5,0))</f>
        <v>Low</v>
      </c>
    </row>
    <row r="3147" customFormat="false" ht="15" hidden="false" customHeight="false" outlineLevel="0" collapsed="false">
      <c r="A3147" s="3" t="n">
        <v>3146</v>
      </c>
      <c r="B3147" s="3" t="n">
        <f aca="false">Raw_Data!A3147</f>
        <v>45</v>
      </c>
      <c r="C3147" s="3" t="str">
        <f aca="false">SUBSTITUTE(Raw_Data!B3147,".","")</f>
        <v>technician</v>
      </c>
      <c r="D3147" s="3" t="str">
        <f aca="false">Raw_Data!C3147</f>
        <v>divorced</v>
      </c>
      <c r="E3147" s="3" t="str">
        <f aca="false">Raw_Data!D3147</f>
        <v>secondary</v>
      </c>
      <c r="F3147" s="3" t="str">
        <f aca="false">Raw_Data!E3147</f>
        <v>no</v>
      </c>
      <c r="G3147" s="3" t="n">
        <f aca="false">Raw_Data!F3147</f>
        <v>976</v>
      </c>
      <c r="H3147" s="3" t="str">
        <f aca="false">Raw_Data!G3147</f>
        <v>yes</v>
      </c>
      <c r="I3147" s="3" t="str">
        <f aca="false">Raw_Data!H3147</f>
        <v>no</v>
      </c>
      <c r="J3147" s="2" t="n">
        <f aca="false">IF(F3147="yes",1,0)</f>
        <v>0</v>
      </c>
      <c r="K3147" s="2" t="n">
        <f aca="false">IF(H3147="yes",1,0)</f>
        <v>1</v>
      </c>
      <c r="L3147" s="2" t="n">
        <f aca="false">IF(I3147="yes",1,0)</f>
        <v>0</v>
      </c>
      <c r="M3147" s="2" t="n">
        <f aca="false">IF(G3147&lt;0,1,0)</f>
        <v>0</v>
      </c>
      <c r="N3147" s="2" t="str">
        <f aca="false">_xlfn.IFS(B3147&lt;30,"Under 30",B3147&lt;40,"30-39",B3147&lt;50,"40-49",B3147&lt;60,"50-59",TRUE(),"60+")</f>
        <v>40-49</v>
      </c>
      <c r="O3147" s="2" t="str">
        <f aca="false">_xlfn.IFS(G3147&lt;0,"1 Negative",G3147=0,"2 Zero",G3147&lt;=500,"3 1-500",G3147&lt;=2000,"4 501-2000",TRUE(),"5 Above 2000")</f>
        <v>4 501-2000</v>
      </c>
      <c r="P3147" s="2" t="n">
        <f aca="false">Lookups!$B$2*M3147+Lookups!$B$3*L3147</f>
        <v>0</v>
      </c>
      <c r="Q3147" s="2" t="str">
        <f aca="false">INDEX(Lookups!$E$2:$E$5,MATCH(P3147,Lookups!$D$2:$D$5,0))</f>
        <v>Low</v>
      </c>
    </row>
    <row r="3148" customFormat="false" ht="15" hidden="false" customHeight="false" outlineLevel="0" collapsed="false">
      <c r="A3148" s="3" t="n">
        <v>3147</v>
      </c>
      <c r="B3148" s="3" t="n">
        <f aca="false">Raw_Data!A3148</f>
        <v>32</v>
      </c>
      <c r="C3148" s="3" t="str">
        <f aca="false">SUBSTITUTE(Raw_Data!B3148,".","")</f>
        <v>housemaid</v>
      </c>
      <c r="D3148" s="3" t="str">
        <f aca="false">Raw_Data!C3148</f>
        <v>married</v>
      </c>
      <c r="E3148" s="3" t="str">
        <f aca="false">Raw_Data!D3148</f>
        <v>tertiary</v>
      </c>
      <c r="F3148" s="3" t="str">
        <f aca="false">Raw_Data!E3148</f>
        <v>no</v>
      </c>
      <c r="G3148" s="3" t="n">
        <f aca="false">Raw_Data!F3148</f>
        <v>357</v>
      </c>
      <c r="H3148" s="3" t="str">
        <f aca="false">Raw_Data!G3148</f>
        <v>yes</v>
      </c>
      <c r="I3148" s="3" t="str">
        <f aca="false">Raw_Data!H3148</f>
        <v>no</v>
      </c>
      <c r="J3148" s="2" t="n">
        <f aca="false">IF(F3148="yes",1,0)</f>
        <v>0</v>
      </c>
      <c r="K3148" s="2" t="n">
        <f aca="false">IF(H3148="yes",1,0)</f>
        <v>1</v>
      </c>
      <c r="L3148" s="2" t="n">
        <f aca="false">IF(I3148="yes",1,0)</f>
        <v>0</v>
      </c>
      <c r="M3148" s="2" t="n">
        <f aca="false">IF(G3148&lt;0,1,0)</f>
        <v>0</v>
      </c>
      <c r="N3148" s="2" t="str">
        <f aca="false">_xlfn.IFS(B3148&lt;30,"Under 30",B3148&lt;40,"30-39",B3148&lt;50,"40-49",B3148&lt;60,"50-59",TRUE(),"60+")</f>
        <v>30-39</v>
      </c>
      <c r="O3148" s="2" t="str">
        <f aca="false">_xlfn.IFS(G3148&lt;0,"1 Negative",G3148=0,"2 Zero",G3148&lt;=500,"3 1-500",G3148&lt;=2000,"4 501-2000",TRUE(),"5 Above 2000")</f>
        <v>3 1-500</v>
      </c>
      <c r="P3148" s="2" t="n">
        <f aca="false">Lookups!$B$2*M3148+Lookups!$B$3*L3148</f>
        <v>0</v>
      </c>
      <c r="Q3148" s="2" t="str">
        <f aca="false">INDEX(Lookups!$E$2:$E$5,MATCH(P3148,Lookups!$D$2:$D$5,0))</f>
        <v>Low</v>
      </c>
    </row>
    <row r="3149" customFormat="false" ht="15" hidden="false" customHeight="false" outlineLevel="0" collapsed="false">
      <c r="A3149" s="3" t="n">
        <v>3148</v>
      </c>
      <c r="B3149" s="3" t="n">
        <f aca="false">Raw_Data!A3149</f>
        <v>52</v>
      </c>
      <c r="C3149" s="3" t="str">
        <f aca="false">SUBSTITUTE(Raw_Data!B3149,".","")</f>
        <v>unemployed</v>
      </c>
      <c r="D3149" s="3" t="str">
        <f aca="false">Raw_Data!C3149</f>
        <v>married</v>
      </c>
      <c r="E3149" s="3" t="str">
        <f aca="false">Raw_Data!D3149</f>
        <v>secondary</v>
      </c>
      <c r="F3149" s="3" t="str">
        <f aca="false">Raw_Data!E3149</f>
        <v>no</v>
      </c>
      <c r="G3149" s="3" t="n">
        <f aca="false">Raw_Data!F3149</f>
        <v>-9</v>
      </c>
      <c r="H3149" s="3" t="str">
        <f aca="false">Raw_Data!G3149</f>
        <v>no</v>
      </c>
      <c r="I3149" s="3" t="str">
        <f aca="false">Raw_Data!H3149</f>
        <v>no</v>
      </c>
      <c r="J3149" s="2" t="n">
        <f aca="false">IF(F3149="yes",1,0)</f>
        <v>0</v>
      </c>
      <c r="K3149" s="2" t="n">
        <f aca="false">IF(H3149="yes",1,0)</f>
        <v>0</v>
      </c>
      <c r="L3149" s="2" t="n">
        <f aca="false">IF(I3149="yes",1,0)</f>
        <v>0</v>
      </c>
      <c r="M3149" s="2" t="n">
        <f aca="false">IF(G3149&lt;0,1,0)</f>
        <v>1</v>
      </c>
      <c r="N3149" s="2" t="str">
        <f aca="false">_xlfn.IFS(B3149&lt;30,"Under 30",B3149&lt;40,"30-39",B3149&lt;50,"40-49",B3149&lt;60,"50-59",TRUE(),"60+")</f>
        <v>50-59</v>
      </c>
      <c r="O3149" s="2" t="str">
        <f aca="false">_xlfn.IFS(G3149&lt;0,"1 Negative",G3149=0,"2 Zero",G3149&lt;=500,"3 1-500",G3149&lt;=2000,"4 501-2000",TRUE(),"5 Above 2000")</f>
        <v>1 Negative</v>
      </c>
      <c r="P3149" s="2" t="n">
        <f aca="false">Lookups!$B$2*M3149+Lookups!$B$3*L3149</f>
        <v>2</v>
      </c>
      <c r="Q3149" s="2" t="str">
        <f aca="false">INDEX(Lookups!$E$2:$E$5,MATCH(P3149,Lookups!$D$2:$D$5,0))</f>
        <v>High</v>
      </c>
    </row>
    <row r="3150" customFormat="false" ht="15" hidden="false" customHeight="false" outlineLevel="0" collapsed="false">
      <c r="A3150" s="3" t="n">
        <v>3149</v>
      </c>
      <c r="B3150" s="3" t="n">
        <f aca="false">Raw_Data!A3150</f>
        <v>36</v>
      </c>
      <c r="C3150" s="3" t="str">
        <f aca="false">SUBSTITUTE(Raw_Data!B3150,".","")</f>
        <v>admin</v>
      </c>
      <c r="D3150" s="3" t="str">
        <f aca="false">Raw_Data!C3150</f>
        <v>single</v>
      </c>
      <c r="E3150" s="3" t="str">
        <f aca="false">Raw_Data!D3150</f>
        <v>secondary</v>
      </c>
      <c r="F3150" s="3" t="str">
        <f aca="false">Raw_Data!E3150</f>
        <v>no</v>
      </c>
      <c r="G3150" s="3" t="n">
        <f aca="false">Raw_Data!F3150</f>
        <v>1927</v>
      </c>
      <c r="H3150" s="3" t="str">
        <f aca="false">Raw_Data!G3150</f>
        <v>yes</v>
      </c>
      <c r="I3150" s="3" t="str">
        <f aca="false">Raw_Data!H3150</f>
        <v>no</v>
      </c>
      <c r="J3150" s="2" t="n">
        <f aca="false">IF(F3150="yes",1,0)</f>
        <v>0</v>
      </c>
      <c r="K3150" s="2" t="n">
        <f aca="false">IF(H3150="yes",1,0)</f>
        <v>1</v>
      </c>
      <c r="L3150" s="2" t="n">
        <f aca="false">IF(I3150="yes",1,0)</f>
        <v>0</v>
      </c>
      <c r="M3150" s="2" t="n">
        <f aca="false">IF(G3150&lt;0,1,0)</f>
        <v>0</v>
      </c>
      <c r="N3150" s="2" t="str">
        <f aca="false">_xlfn.IFS(B3150&lt;30,"Under 30",B3150&lt;40,"30-39",B3150&lt;50,"40-49",B3150&lt;60,"50-59",TRUE(),"60+")</f>
        <v>30-39</v>
      </c>
      <c r="O3150" s="2" t="str">
        <f aca="false">_xlfn.IFS(G3150&lt;0,"1 Negative",G3150=0,"2 Zero",G3150&lt;=500,"3 1-500",G3150&lt;=2000,"4 501-2000",TRUE(),"5 Above 2000")</f>
        <v>4 501-2000</v>
      </c>
      <c r="P3150" s="2" t="n">
        <f aca="false">Lookups!$B$2*M3150+Lookups!$B$3*L3150</f>
        <v>0</v>
      </c>
      <c r="Q3150" s="2" t="str">
        <f aca="false">INDEX(Lookups!$E$2:$E$5,MATCH(P3150,Lookups!$D$2:$D$5,0))</f>
        <v>Low</v>
      </c>
    </row>
    <row r="3151" customFormat="false" ht="15" hidden="false" customHeight="false" outlineLevel="0" collapsed="false">
      <c r="A3151" s="3" t="n">
        <v>3150</v>
      </c>
      <c r="B3151" s="3" t="n">
        <f aca="false">Raw_Data!A3151</f>
        <v>31</v>
      </c>
      <c r="C3151" s="3" t="str">
        <f aca="false">SUBSTITUTE(Raw_Data!B3151,".","")</f>
        <v>services</v>
      </c>
      <c r="D3151" s="3" t="str">
        <f aca="false">Raw_Data!C3151</f>
        <v>married</v>
      </c>
      <c r="E3151" s="3" t="str">
        <f aca="false">Raw_Data!D3151</f>
        <v>secondary</v>
      </c>
      <c r="F3151" s="3" t="str">
        <f aca="false">Raw_Data!E3151</f>
        <v>no</v>
      </c>
      <c r="G3151" s="3" t="n">
        <f aca="false">Raw_Data!F3151</f>
        <v>500</v>
      </c>
      <c r="H3151" s="3" t="str">
        <f aca="false">Raw_Data!G3151</f>
        <v>yes</v>
      </c>
      <c r="I3151" s="3" t="str">
        <f aca="false">Raw_Data!H3151</f>
        <v>no</v>
      </c>
      <c r="J3151" s="2" t="n">
        <f aca="false">IF(F3151="yes",1,0)</f>
        <v>0</v>
      </c>
      <c r="K3151" s="2" t="n">
        <f aca="false">IF(H3151="yes",1,0)</f>
        <v>1</v>
      </c>
      <c r="L3151" s="2" t="n">
        <f aca="false">IF(I3151="yes",1,0)</f>
        <v>0</v>
      </c>
      <c r="M3151" s="2" t="n">
        <f aca="false">IF(G3151&lt;0,1,0)</f>
        <v>0</v>
      </c>
      <c r="N3151" s="2" t="str">
        <f aca="false">_xlfn.IFS(B3151&lt;30,"Under 30",B3151&lt;40,"30-39",B3151&lt;50,"40-49",B3151&lt;60,"50-59",TRUE(),"60+")</f>
        <v>30-39</v>
      </c>
      <c r="O3151" s="2" t="str">
        <f aca="false">_xlfn.IFS(G3151&lt;0,"1 Negative",G3151=0,"2 Zero",G3151&lt;=500,"3 1-500",G3151&lt;=2000,"4 501-2000",TRUE(),"5 Above 2000")</f>
        <v>3 1-500</v>
      </c>
      <c r="P3151" s="2" t="n">
        <f aca="false">Lookups!$B$2*M3151+Lookups!$B$3*L3151</f>
        <v>0</v>
      </c>
      <c r="Q3151" s="2" t="str">
        <f aca="false">INDEX(Lookups!$E$2:$E$5,MATCH(P3151,Lookups!$D$2:$D$5,0))</f>
        <v>Low</v>
      </c>
    </row>
    <row r="3152" customFormat="false" ht="15" hidden="false" customHeight="false" outlineLevel="0" collapsed="false">
      <c r="A3152" s="3" t="n">
        <v>3151</v>
      </c>
      <c r="B3152" s="3" t="n">
        <f aca="false">Raw_Data!A3152</f>
        <v>53</v>
      </c>
      <c r="C3152" s="3" t="str">
        <f aca="false">SUBSTITUTE(Raw_Data!B3152,".","")</f>
        <v>technician</v>
      </c>
      <c r="D3152" s="3" t="str">
        <f aca="false">Raw_Data!C3152</f>
        <v>married</v>
      </c>
      <c r="E3152" s="3" t="str">
        <f aca="false">Raw_Data!D3152</f>
        <v>secondary</v>
      </c>
      <c r="F3152" s="3" t="str">
        <f aca="false">Raw_Data!E3152</f>
        <v>no</v>
      </c>
      <c r="G3152" s="3" t="n">
        <f aca="false">Raw_Data!F3152</f>
        <v>9146</v>
      </c>
      <c r="H3152" s="3" t="str">
        <f aca="false">Raw_Data!G3152</f>
        <v>no</v>
      </c>
      <c r="I3152" s="3" t="str">
        <f aca="false">Raw_Data!H3152</f>
        <v>no</v>
      </c>
      <c r="J3152" s="2" t="n">
        <f aca="false">IF(F3152="yes",1,0)</f>
        <v>0</v>
      </c>
      <c r="K3152" s="2" t="n">
        <f aca="false">IF(H3152="yes",1,0)</f>
        <v>0</v>
      </c>
      <c r="L3152" s="2" t="n">
        <f aca="false">IF(I3152="yes",1,0)</f>
        <v>0</v>
      </c>
      <c r="M3152" s="2" t="n">
        <f aca="false">IF(G3152&lt;0,1,0)</f>
        <v>0</v>
      </c>
      <c r="N3152" s="2" t="str">
        <f aca="false">_xlfn.IFS(B3152&lt;30,"Under 30",B3152&lt;40,"30-39",B3152&lt;50,"40-49",B3152&lt;60,"50-59",TRUE(),"60+")</f>
        <v>50-59</v>
      </c>
      <c r="O3152" s="2" t="str">
        <f aca="false">_xlfn.IFS(G3152&lt;0,"1 Negative",G3152=0,"2 Zero",G3152&lt;=500,"3 1-500",G3152&lt;=2000,"4 501-2000",TRUE(),"5 Above 2000")</f>
        <v>5 Above 2000</v>
      </c>
      <c r="P3152" s="2" t="n">
        <f aca="false">Lookups!$B$2*M3152+Lookups!$B$3*L3152</f>
        <v>0</v>
      </c>
      <c r="Q3152" s="2" t="str">
        <f aca="false">INDEX(Lookups!$E$2:$E$5,MATCH(P3152,Lookups!$D$2:$D$5,0))</f>
        <v>Low</v>
      </c>
    </row>
    <row r="3153" customFormat="false" ht="15" hidden="false" customHeight="false" outlineLevel="0" collapsed="false">
      <c r="A3153" s="3" t="n">
        <v>3152</v>
      </c>
      <c r="B3153" s="3" t="n">
        <f aca="false">Raw_Data!A3153</f>
        <v>43</v>
      </c>
      <c r="C3153" s="3" t="str">
        <f aca="false">SUBSTITUTE(Raw_Data!B3153,".","")</f>
        <v>entrepreneur</v>
      </c>
      <c r="D3153" s="3" t="str">
        <f aca="false">Raw_Data!C3153</f>
        <v>married</v>
      </c>
      <c r="E3153" s="3" t="str">
        <f aca="false">Raw_Data!D3153</f>
        <v>secondary</v>
      </c>
      <c r="F3153" s="3" t="str">
        <f aca="false">Raw_Data!E3153</f>
        <v>no</v>
      </c>
      <c r="G3153" s="3" t="n">
        <f aca="false">Raw_Data!F3153</f>
        <v>59</v>
      </c>
      <c r="H3153" s="3" t="str">
        <f aca="false">Raw_Data!G3153</f>
        <v>no</v>
      </c>
      <c r="I3153" s="3" t="str">
        <f aca="false">Raw_Data!H3153</f>
        <v>no</v>
      </c>
      <c r="J3153" s="2" t="n">
        <f aca="false">IF(F3153="yes",1,0)</f>
        <v>0</v>
      </c>
      <c r="K3153" s="2" t="n">
        <f aca="false">IF(H3153="yes",1,0)</f>
        <v>0</v>
      </c>
      <c r="L3153" s="2" t="n">
        <f aca="false">IF(I3153="yes",1,0)</f>
        <v>0</v>
      </c>
      <c r="M3153" s="2" t="n">
        <f aca="false">IF(G3153&lt;0,1,0)</f>
        <v>0</v>
      </c>
      <c r="N3153" s="2" t="str">
        <f aca="false">_xlfn.IFS(B3153&lt;30,"Under 30",B3153&lt;40,"30-39",B3153&lt;50,"40-49",B3153&lt;60,"50-59",TRUE(),"60+")</f>
        <v>40-49</v>
      </c>
      <c r="O3153" s="2" t="str">
        <f aca="false">_xlfn.IFS(G3153&lt;0,"1 Negative",G3153=0,"2 Zero",G3153&lt;=500,"3 1-500",G3153&lt;=2000,"4 501-2000",TRUE(),"5 Above 2000")</f>
        <v>3 1-500</v>
      </c>
      <c r="P3153" s="2" t="n">
        <f aca="false">Lookups!$B$2*M3153+Lookups!$B$3*L3153</f>
        <v>0</v>
      </c>
      <c r="Q3153" s="2" t="str">
        <f aca="false">INDEX(Lookups!$E$2:$E$5,MATCH(P3153,Lookups!$D$2:$D$5,0))</f>
        <v>Low</v>
      </c>
    </row>
    <row r="3154" customFormat="false" ht="15" hidden="false" customHeight="false" outlineLevel="0" collapsed="false">
      <c r="A3154" s="3" t="n">
        <v>3153</v>
      </c>
      <c r="B3154" s="3" t="n">
        <f aca="false">Raw_Data!A3154</f>
        <v>47</v>
      </c>
      <c r="C3154" s="3" t="str">
        <f aca="false">SUBSTITUTE(Raw_Data!B3154,".","")</f>
        <v>housemaid</v>
      </c>
      <c r="D3154" s="3" t="str">
        <f aca="false">Raw_Data!C3154</f>
        <v>married</v>
      </c>
      <c r="E3154" s="3" t="str">
        <f aca="false">Raw_Data!D3154</f>
        <v>primary</v>
      </c>
      <c r="F3154" s="3" t="str">
        <f aca="false">Raw_Data!E3154</f>
        <v>no</v>
      </c>
      <c r="G3154" s="3" t="n">
        <f aca="false">Raw_Data!F3154</f>
        <v>0</v>
      </c>
      <c r="H3154" s="3" t="str">
        <f aca="false">Raw_Data!G3154</f>
        <v>no</v>
      </c>
      <c r="I3154" s="3" t="str">
        <f aca="false">Raw_Data!H3154</f>
        <v>no</v>
      </c>
      <c r="J3154" s="2" t="n">
        <f aca="false">IF(F3154="yes",1,0)</f>
        <v>0</v>
      </c>
      <c r="K3154" s="2" t="n">
        <f aca="false">IF(H3154="yes",1,0)</f>
        <v>0</v>
      </c>
      <c r="L3154" s="2" t="n">
        <f aca="false">IF(I3154="yes",1,0)</f>
        <v>0</v>
      </c>
      <c r="M3154" s="2" t="n">
        <f aca="false">IF(G3154&lt;0,1,0)</f>
        <v>0</v>
      </c>
      <c r="N3154" s="2" t="str">
        <f aca="false">_xlfn.IFS(B3154&lt;30,"Under 30",B3154&lt;40,"30-39",B3154&lt;50,"40-49",B3154&lt;60,"50-59",TRUE(),"60+")</f>
        <v>40-49</v>
      </c>
      <c r="O3154" s="2" t="str">
        <f aca="false">_xlfn.IFS(G3154&lt;0,"1 Negative",G3154=0,"2 Zero",G3154&lt;=500,"3 1-500",G3154&lt;=2000,"4 501-2000",TRUE(),"5 Above 2000")</f>
        <v>2 Zero</v>
      </c>
      <c r="P3154" s="2" t="n">
        <f aca="false">Lookups!$B$2*M3154+Lookups!$B$3*L3154</f>
        <v>0</v>
      </c>
      <c r="Q3154" s="2" t="str">
        <f aca="false">INDEX(Lookups!$E$2:$E$5,MATCH(P3154,Lookups!$D$2:$D$5,0))</f>
        <v>Low</v>
      </c>
    </row>
    <row r="3155" customFormat="false" ht="15" hidden="false" customHeight="false" outlineLevel="0" collapsed="false">
      <c r="A3155" s="3" t="n">
        <v>3154</v>
      </c>
      <c r="B3155" s="3" t="n">
        <f aca="false">Raw_Data!A3155</f>
        <v>46</v>
      </c>
      <c r="C3155" s="3" t="str">
        <f aca="false">SUBSTITUTE(Raw_Data!B3155,".","")</f>
        <v>blue-collar</v>
      </c>
      <c r="D3155" s="3" t="str">
        <f aca="false">Raw_Data!C3155</f>
        <v>married</v>
      </c>
      <c r="E3155" s="3" t="str">
        <f aca="false">Raw_Data!D3155</f>
        <v>primary</v>
      </c>
      <c r="F3155" s="3" t="str">
        <f aca="false">Raw_Data!E3155</f>
        <v>no</v>
      </c>
      <c r="G3155" s="3" t="n">
        <f aca="false">Raw_Data!F3155</f>
        <v>328</v>
      </c>
      <c r="H3155" s="3" t="str">
        <f aca="false">Raw_Data!G3155</f>
        <v>yes</v>
      </c>
      <c r="I3155" s="3" t="str">
        <f aca="false">Raw_Data!H3155</f>
        <v>no</v>
      </c>
      <c r="J3155" s="2" t="n">
        <f aca="false">IF(F3155="yes",1,0)</f>
        <v>0</v>
      </c>
      <c r="K3155" s="2" t="n">
        <f aca="false">IF(H3155="yes",1,0)</f>
        <v>1</v>
      </c>
      <c r="L3155" s="2" t="n">
        <f aca="false">IF(I3155="yes",1,0)</f>
        <v>0</v>
      </c>
      <c r="M3155" s="2" t="n">
        <f aca="false">IF(G3155&lt;0,1,0)</f>
        <v>0</v>
      </c>
      <c r="N3155" s="2" t="str">
        <f aca="false">_xlfn.IFS(B3155&lt;30,"Under 30",B3155&lt;40,"30-39",B3155&lt;50,"40-49",B3155&lt;60,"50-59",TRUE(),"60+")</f>
        <v>40-49</v>
      </c>
      <c r="O3155" s="2" t="str">
        <f aca="false">_xlfn.IFS(G3155&lt;0,"1 Negative",G3155=0,"2 Zero",G3155&lt;=500,"3 1-500",G3155&lt;=2000,"4 501-2000",TRUE(),"5 Above 2000")</f>
        <v>3 1-500</v>
      </c>
      <c r="P3155" s="2" t="n">
        <f aca="false">Lookups!$B$2*M3155+Lookups!$B$3*L3155</f>
        <v>0</v>
      </c>
      <c r="Q3155" s="2" t="str">
        <f aca="false">INDEX(Lookups!$E$2:$E$5,MATCH(P3155,Lookups!$D$2:$D$5,0))</f>
        <v>Low</v>
      </c>
    </row>
    <row r="3156" customFormat="false" ht="15" hidden="false" customHeight="false" outlineLevel="0" collapsed="false">
      <c r="A3156" s="3" t="n">
        <v>3155</v>
      </c>
      <c r="B3156" s="3" t="n">
        <f aca="false">Raw_Data!A3156</f>
        <v>34</v>
      </c>
      <c r="C3156" s="3" t="str">
        <f aca="false">SUBSTITUTE(Raw_Data!B3156,".","")</f>
        <v>management</v>
      </c>
      <c r="D3156" s="3" t="str">
        <f aca="false">Raw_Data!C3156</f>
        <v>divorced</v>
      </c>
      <c r="E3156" s="3" t="str">
        <f aca="false">Raw_Data!D3156</f>
        <v>secondary</v>
      </c>
      <c r="F3156" s="3" t="str">
        <f aca="false">Raw_Data!E3156</f>
        <v>no</v>
      </c>
      <c r="G3156" s="3" t="n">
        <f aca="false">Raw_Data!F3156</f>
        <v>291</v>
      </c>
      <c r="H3156" s="3" t="str">
        <f aca="false">Raw_Data!G3156</f>
        <v>no</v>
      </c>
      <c r="I3156" s="3" t="str">
        <f aca="false">Raw_Data!H3156</f>
        <v>no</v>
      </c>
      <c r="J3156" s="2" t="n">
        <f aca="false">IF(F3156="yes",1,0)</f>
        <v>0</v>
      </c>
      <c r="K3156" s="2" t="n">
        <f aca="false">IF(H3156="yes",1,0)</f>
        <v>0</v>
      </c>
      <c r="L3156" s="2" t="n">
        <f aca="false">IF(I3156="yes",1,0)</f>
        <v>0</v>
      </c>
      <c r="M3156" s="2" t="n">
        <f aca="false">IF(G3156&lt;0,1,0)</f>
        <v>0</v>
      </c>
      <c r="N3156" s="2" t="str">
        <f aca="false">_xlfn.IFS(B3156&lt;30,"Under 30",B3156&lt;40,"30-39",B3156&lt;50,"40-49",B3156&lt;60,"50-59",TRUE(),"60+")</f>
        <v>30-39</v>
      </c>
      <c r="O3156" s="2" t="str">
        <f aca="false">_xlfn.IFS(G3156&lt;0,"1 Negative",G3156=0,"2 Zero",G3156&lt;=500,"3 1-500",G3156&lt;=2000,"4 501-2000",TRUE(),"5 Above 2000")</f>
        <v>3 1-500</v>
      </c>
      <c r="P3156" s="2" t="n">
        <f aca="false">Lookups!$B$2*M3156+Lookups!$B$3*L3156</f>
        <v>0</v>
      </c>
      <c r="Q3156" s="2" t="str">
        <f aca="false">INDEX(Lookups!$E$2:$E$5,MATCH(P3156,Lookups!$D$2:$D$5,0))</f>
        <v>Low</v>
      </c>
    </row>
    <row r="3157" customFormat="false" ht="15" hidden="false" customHeight="false" outlineLevel="0" collapsed="false">
      <c r="A3157" s="3" t="n">
        <v>3156</v>
      </c>
      <c r="B3157" s="3" t="n">
        <f aca="false">Raw_Data!A3157</f>
        <v>55</v>
      </c>
      <c r="C3157" s="3" t="str">
        <f aca="false">SUBSTITUTE(Raw_Data!B3157,".","")</f>
        <v>technician</v>
      </c>
      <c r="D3157" s="3" t="str">
        <f aca="false">Raw_Data!C3157</f>
        <v>single</v>
      </c>
      <c r="E3157" s="3" t="str">
        <f aca="false">Raw_Data!D3157</f>
        <v>tertiary</v>
      </c>
      <c r="F3157" s="3" t="str">
        <f aca="false">Raw_Data!E3157</f>
        <v>no</v>
      </c>
      <c r="G3157" s="3" t="n">
        <f aca="false">Raw_Data!F3157</f>
        <v>-703</v>
      </c>
      <c r="H3157" s="3" t="str">
        <f aca="false">Raw_Data!G3157</f>
        <v>yes</v>
      </c>
      <c r="I3157" s="3" t="str">
        <f aca="false">Raw_Data!H3157</f>
        <v>no</v>
      </c>
      <c r="J3157" s="2" t="n">
        <f aca="false">IF(F3157="yes",1,0)</f>
        <v>0</v>
      </c>
      <c r="K3157" s="2" t="n">
        <f aca="false">IF(H3157="yes",1,0)</f>
        <v>1</v>
      </c>
      <c r="L3157" s="2" t="n">
        <f aca="false">IF(I3157="yes",1,0)</f>
        <v>0</v>
      </c>
      <c r="M3157" s="2" t="n">
        <f aca="false">IF(G3157&lt;0,1,0)</f>
        <v>1</v>
      </c>
      <c r="N3157" s="2" t="str">
        <f aca="false">_xlfn.IFS(B3157&lt;30,"Under 30",B3157&lt;40,"30-39",B3157&lt;50,"40-49",B3157&lt;60,"50-59",TRUE(),"60+")</f>
        <v>50-59</v>
      </c>
      <c r="O3157" s="2" t="str">
        <f aca="false">_xlfn.IFS(G3157&lt;0,"1 Negative",G3157=0,"2 Zero",G3157&lt;=500,"3 1-500",G3157&lt;=2000,"4 501-2000",TRUE(),"5 Above 2000")</f>
        <v>1 Negative</v>
      </c>
      <c r="P3157" s="2" t="n">
        <f aca="false">Lookups!$B$2*M3157+Lookups!$B$3*L3157</f>
        <v>2</v>
      </c>
      <c r="Q3157" s="2" t="str">
        <f aca="false">INDEX(Lookups!$E$2:$E$5,MATCH(P3157,Lookups!$D$2:$D$5,0))</f>
        <v>High</v>
      </c>
    </row>
    <row r="3158" customFormat="false" ht="15" hidden="false" customHeight="false" outlineLevel="0" collapsed="false">
      <c r="A3158" s="3" t="n">
        <v>3157</v>
      </c>
      <c r="B3158" s="3" t="n">
        <f aca="false">Raw_Data!A3158</f>
        <v>23</v>
      </c>
      <c r="C3158" s="3" t="str">
        <f aca="false">SUBSTITUTE(Raw_Data!B3158,".","")</f>
        <v>admin</v>
      </c>
      <c r="D3158" s="3" t="str">
        <f aca="false">Raw_Data!C3158</f>
        <v>single</v>
      </c>
      <c r="E3158" s="3" t="str">
        <f aca="false">Raw_Data!D3158</f>
        <v>secondary</v>
      </c>
      <c r="F3158" s="3" t="str">
        <f aca="false">Raw_Data!E3158</f>
        <v>no</v>
      </c>
      <c r="G3158" s="3" t="n">
        <f aca="false">Raw_Data!F3158</f>
        <v>589</v>
      </c>
      <c r="H3158" s="3" t="str">
        <f aca="false">Raw_Data!G3158</f>
        <v>yes</v>
      </c>
      <c r="I3158" s="3" t="str">
        <f aca="false">Raw_Data!H3158</f>
        <v>no</v>
      </c>
      <c r="J3158" s="2" t="n">
        <f aca="false">IF(F3158="yes",1,0)</f>
        <v>0</v>
      </c>
      <c r="K3158" s="2" t="n">
        <f aca="false">IF(H3158="yes",1,0)</f>
        <v>1</v>
      </c>
      <c r="L3158" s="2" t="n">
        <f aca="false">IF(I3158="yes",1,0)</f>
        <v>0</v>
      </c>
      <c r="M3158" s="2" t="n">
        <f aca="false">IF(G3158&lt;0,1,0)</f>
        <v>0</v>
      </c>
      <c r="N3158" s="2" t="str">
        <f aca="false">_xlfn.IFS(B3158&lt;30,"Under 30",B3158&lt;40,"30-39",B3158&lt;50,"40-49",B3158&lt;60,"50-59",TRUE(),"60+")</f>
        <v>Under 30</v>
      </c>
      <c r="O3158" s="2" t="str">
        <f aca="false">_xlfn.IFS(G3158&lt;0,"1 Negative",G3158=0,"2 Zero",G3158&lt;=500,"3 1-500",G3158&lt;=2000,"4 501-2000",TRUE(),"5 Above 2000")</f>
        <v>4 501-2000</v>
      </c>
      <c r="P3158" s="2" t="n">
        <f aca="false">Lookups!$B$2*M3158+Lookups!$B$3*L3158</f>
        <v>0</v>
      </c>
      <c r="Q3158" s="2" t="str">
        <f aca="false">INDEX(Lookups!$E$2:$E$5,MATCH(P3158,Lookups!$D$2:$D$5,0))</f>
        <v>Low</v>
      </c>
    </row>
    <row r="3159" customFormat="false" ht="15" hidden="false" customHeight="false" outlineLevel="0" collapsed="false">
      <c r="A3159" s="3" t="n">
        <v>3158</v>
      </c>
      <c r="B3159" s="3" t="n">
        <f aca="false">Raw_Data!A3159</f>
        <v>75</v>
      </c>
      <c r="C3159" s="3" t="str">
        <f aca="false">SUBSTITUTE(Raw_Data!B3159,".","")</f>
        <v>blue-collar</v>
      </c>
      <c r="D3159" s="3" t="str">
        <f aca="false">Raw_Data!C3159</f>
        <v>married</v>
      </c>
      <c r="E3159" s="3" t="str">
        <f aca="false">Raw_Data!D3159</f>
        <v>secondary</v>
      </c>
      <c r="F3159" s="3" t="str">
        <f aca="false">Raw_Data!E3159</f>
        <v>no</v>
      </c>
      <c r="G3159" s="3" t="n">
        <f aca="false">Raw_Data!F3159</f>
        <v>6053</v>
      </c>
      <c r="H3159" s="3" t="str">
        <f aca="false">Raw_Data!G3159</f>
        <v>no</v>
      </c>
      <c r="I3159" s="3" t="str">
        <f aca="false">Raw_Data!H3159</f>
        <v>no</v>
      </c>
      <c r="J3159" s="2" t="n">
        <f aca="false">IF(F3159="yes",1,0)</f>
        <v>0</v>
      </c>
      <c r="K3159" s="2" t="n">
        <f aca="false">IF(H3159="yes",1,0)</f>
        <v>0</v>
      </c>
      <c r="L3159" s="2" t="n">
        <f aca="false">IF(I3159="yes",1,0)</f>
        <v>0</v>
      </c>
      <c r="M3159" s="2" t="n">
        <f aca="false">IF(G3159&lt;0,1,0)</f>
        <v>0</v>
      </c>
      <c r="N3159" s="2" t="str">
        <f aca="false">_xlfn.IFS(B3159&lt;30,"Under 30",B3159&lt;40,"30-39",B3159&lt;50,"40-49",B3159&lt;60,"50-59",TRUE(),"60+")</f>
        <v>60+</v>
      </c>
      <c r="O3159" s="2" t="str">
        <f aca="false">_xlfn.IFS(G3159&lt;0,"1 Negative",G3159=0,"2 Zero",G3159&lt;=500,"3 1-500",G3159&lt;=2000,"4 501-2000",TRUE(),"5 Above 2000")</f>
        <v>5 Above 2000</v>
      </c>
      <c r="P3159" s="2" t="n">
        <f aca="false">Lookups!$B$2*M3159+Lookups!$B$3*L3159</f>
        <v>0</v>
      </c>
      <c r="Q3159" s="2" t="str">
        <f aca="false">INDEX(Lookups!$E$2:$E$5,MATCH(P3159,Lookups!$D$2:$D$5,0))</f>
        <v>Low</v>
      </c>
    </row>
    <row r="3160" customFormat="false" ht="15" hidden="false" customHeight="false" outlineLevel="0" collapsed="false">
      <c r="A3160" s="3" t="n">
        <v>3159</v>
      </c>
      <c r="B3160" s="3" t="n">
        <f aca="false">Raw_Data!A3160</f>
        <v>58</v>
      </c>
      <c r="C3160" s="3" t="str">
        <f aca="false">SUBSTITUTE(Raw_Data!B3160,".","")</f>
        <v>admin</v>
      </c>
      <c r="D3160" s="3" t="str">
        <f aca="false">Raw_Data!C3160</f>
        <v>married</v>
      </c>
      <c r="E3160" s="3" t="str">
        <f aca="false">Raw_Data!D3160</f>
        <v>secondary</v>
      </c>
      <c r="F3160" s="3" t="str">
        <f aca="false">Raw_Data!E3160</f>
        <v>no</v>
      </c>
      <c r="G3160" s="3" t="n">
        <f aca="false">Raw_Data!F3160</f>
        <v>1142</v>
      </c>
      <c r="H3160" s="3" t="str">
        <f aca="false">Raw_Data!G3160</f>
        <v>no</v>
      </c>
      <c r="I3160" s="3" t="str">
        <f aca="false">Raw_Data!H3160</f>
        <v>no</v>
      </c>
      <c r="J3160" s="2" t="n">
        <f aca="false">IF(F3160="yes",1,0)</f>
        <v>0</v>
      </c>
      <c r="K3160" s="2" t="n">
        <f aca="false">IF(H3160="yes",1,0)</f>
        <v>0</v>
      </c>
      <c r="L3160" s="2" t="n">
        <f aca="false">IF(I3160="yes",1,0)</f>
        <v>0</v>
      </c>
      <c r="M3160" s="2" t="n">
        <f aca="false">IF(G3160&lt;0,1,0)</f>
        <v>0</v>
      </c>
      <c r="N3160" s="2" t="str">
        <f aca="false">_xlfn.IFS(B3160&lt;30,"Under 30",B3160&lt;40,"30-39",B3160&lt;50,"40-49",B3160&lt;60,"50-59",TRUE(),"60+")</f>
        <v>50-59</v>
      </c>
      <c r="O3160" s="2" t="str">
        <f aca="false">_xlfn.IFS(G3160&lt;0,"1 Negative",G3160=0,"2 Zero",G3160&lt;=500,"3 1-500",G3160&lt;=2000,"4 501-2000",TRUE(),"5 Above 2000")</f>
        <v>4 501-2000</v>
      </c>
      <c r="P3160" s="2" t="n">
        <f aca="false">Lookups!$B$2*M3160+Lookups!$B$3*L3160</f>
        <v>0</v>
      </c>
      <c r="Q3160" s="2" t="str">
        <f aca="false">INDEX(Lookups!$E$2:$E$5,MATCH(P3160,Lookups!$D$2:$D$5,0))</f>
        <v>Low</v>
      </c>
    </row>
    <row r="3161" customFormat="false" ht="15" hidden="false" customHeight="false" outlineLevel="0" collapsed="false">
      <c r="A3161" s="3" t="n">
        <v>3160</v>
      </c>
      <c r="B3161" s="3" t="n">
        <f aca="false">Raw_Data!A3161</f>
        <v>35</v>
      </c>
      <c r="C3161" s="3" t="str">
        <f aca="false">SUBSTITUTE(Raw_Data!B3161,".","")</f>
        <v>admin</v>
      </c>
      <c r="D3161" s="3" t="str">
        <f aca="false">Raw_Data!C3161</f>
        <v>married</v>
      </c>
      <c r="E3161" s="3" t="str">
        <f aca="false">Raw_Data!D3161</f>
        <v>secondary</v>
      </c>
      <c r="F3161" s="3" t="str">
        <f aca="false">Raw_Data!E3161</f>
        <v>no</v>
      </c>
      <c r="G3161" s="3" t="n">
        <f aca="false">Raw_Data!F3161</f>
        <v>725</v>
      </c>
      <c r="H3161" s="3" t="str">
        <f aca="false">Raw_Data!G3161</f>
        <v>yes</v>
      </c>
      <c r="I3161" s="3" t="str">
        <f aca="false">Raw_Data!H3161</f>
        <v>no</v>
      </c>
      <c r="J3161" s="2" t="n">
        <f aca="false">IF(F3161="yes",1,0)</f>
        <v>0</v>
      </c>
      <c r="K3161" s="2" t="n">
        <f aca="false">IF(H3161="yes",1,0)</f>
        <v>1</v>
      </c>
      <c r="L3161" s="2" t="n">
        <f aca="false">IF(I3161="yes",1,0)</f>
        <v>0</v>
      </c>
      <c r="M3161" s="2" t="n">
        <f aca="false">IF(G3161&lt;0,1,0)</f>
        <v>0</v>
      </c>
      <c r="N3161" s="2" t="str">
        <f aca="false">_xlfn.IFS(B3161&lt;30,"Under 30",B3161&lt;40,"30-39",B3161&lt;50,"40-49",B3161&lt;60,"50-59",TRUE(),"60+")</f>
        <v>30-39</v>
      </c>
      <c r="O3161" s="2" t="str">
        <f aca="false">_xlfn.IFS(G3161&lt;0,"1 Negative",G3161=0,"2 Zero",G3161&lt;=500,"3 1-500",G3161&lt;=2000,"4 501-2000",TRUE(),"5 Above 2000")</f>
        <v>4 501-2000</v>
      </c>
      <c r="P3161" s="2" t="n">
        <f aca="false">Lookups!$B$2*M3161+Lookups!$B$3*L3161</f>
        <v>0</v>
      </c>
      <c r="Q3161" s="2" t="str">
        <f aca="false">INDEX(Lookups!$E$2:$E$5,MATCH(P3161,Lookups!$D$2:$D$5,0))</f>
        <v>Low</v>
      </c>
    </row>
    <row r="3162" customFormat="false" ht="15" hidden="false" customHeight="false" outlineLevel="0" collapsed="false">
      <c r="A3162" s="3" t="n">
        <v>3161</v>
      </c>
      <c r="B3162" s="3" t="n">
        <f aca="false">Raw_Data!A3162</f>
        <v>27</v>
      </c>
      <c r="C3162" s="3" t="str">
        <f aca="false">SUBSTITUTE(Raw_Data!B3162,".","")</f>
        <v>management</v>
      </c>
      <c r="D3162" s="3" t="str">
        <f aca="false">Raw_Data!C3162</f>
        <v>married</v>
      </c>
      <c r="E3162" s="3" t="str">
        <f aca="false">Raw_Data!D3162</f>
        <v>tertiary</v>
      </c>
      <c r="F3162" s="3" t="str">
        <f aca="false">Raw_Data!E3162</f>
        <v>no</v>
      </c>
      <c r="G3162" s="3" t="n">
        <f aca="false">Raw_Data!F3162</f>
        <v>802</v>
      </c>
      <c r="H3162" s="3" t="str">
        <f aca="false">Raw_Data!G3162</f>
        <v>no</v>
      </c>
      <c r="I3162" s="3" t="str">
        <f aca="false">Raw_Data!H3162</f>
        <v>no</v>
      </c>
      <c r="J3162" s="2" t="n">
        <f aca="false">IF(F3162="yes",1,0)</f>
        <v>0</v>
      </c>
      <c r="K3162" s="2" t="n">
        <f aca="false">IF(H3162="yes",1,0)</f>
        <v>0</v>
      </c>
      <c r="L3162" s="2" t="n">
        <f aca="false">IF(I3162="yes",1,0)</f>
        <v>0</v>
      </c>
      <c r="M3162" s="2" t="n">
        <f aca="false">IF(G3162&lt;0,1,0)</f>
        <v>0</v>
      </c>
      <c r="N3162" s="2" t="str">
        <f aca="false">_xlfn.IFS(B3162&lt;30,"Under 30",B3162&lt;40,"30-39",B3162&lt;50,"40-49",B3162&lt;60,"50-59",TRUE(),"60+")</f>
        <v>Under 30</v>
      </c>
      <c r="O3162" s="2" t="str">
        <f aca="false">_xlfn.IFS(G3162&lt;0,"1 Negative",G3162=0,"2 Zero",G3162&lt;=500,"3 1-500",G3162&lt;=2000,"4 501-2000",TRUE(),"5 Above 2000")</f>
        <v>4 501-2000</v>
      </c>
      <c r="P3162" s="2" t="n">
        <f aca="false">Lookups!$B$2*M3162+Lookups!$B$3*L3162</f>
        <v>0</v>
      </c>
      <c r="Q3162" s="2" t="str">
        <f aca="false">INDEX(Lookups!$E$2:$E$5,MATCH(P3162,Lookups!$D$2:$D$5,0))</f>
        <v>Low</v>
      </c>
    </row>
    <row r="3163" customFormat="false" ht="15" hidden="false" customHeight="false" outlineLevel="0" collapsed="false">
      <c r="A3163" s="3" t="n">
        <v>3162</v>
      </c>
      <c r="B3163" s="3" t="n">
        <f aca="false">Raw_Data!A3163</f>
        <v>24</v>
      </c>
      <c r="C3163" s="3" t="str">
        <f aca="false">SUBSTITUTE(Raw_Data!B3163,".","")</f>
        <v>technician</v>
      </c>
      <c r="D3163" s="3" t="str">
        <f aca="false">Raw_Data!C3163</f>
        <v>married</v>
      </c>
      <c r="E3163" s="3" t="str">
        <f aca="false">Raw_Data!D3163</f>
        <v>secondary</v>
      </c>
      <c r="F3163" s="3" t="str">
        <f aca="false">Raw_Data!E3163</f>
        <v>no</v>
      </c>
      <c r="G3163" s="3" t="n">
        <f aca="false">Raw_Data!F3163</f>
        <v>556</v>
      </c>
      <c r="H3163" s="3" t="str">
        <f aca="false">Raw_Data!G3163</f>
        <v>yes</v>
      </c>
      <c r="I3163" s="3" t="str">
        <f aca="false">Raw_Data!H3163</f>
        <v>no</v>
      </c>
      <c r="J3163" s="2" t="n">
        <f aca="false">IF(F3163="yes",1,0)</f>
        <v>0</v>
      </c>
      <c r="K3163" s="2" t="n">
        <f aca="false">IF(H3163="yes",1,0)</f>
        <v>1</v>
      </c>
      <c r="L3163" s="2" t="n">
        <f aca="false">IF(I3163="yes",1,0)</f>
        <v>0</v>
      </c>
      <c r="M3163" s="2" t="n">
        <f aca="false">IF(G3163&lt;0,1,0)</f>
        <v>0</v>
      </c>
      <c r="N3163" s="2" t="str">
        <f aca="false">_xlfn.IFS(B3163&lt;30,"Under 30",B3163&lt;40,"30-39",B3163&lt;50,"40-49",B3163&lt;60,"50-59",TRUE(),"60+")</f>
        <v>Under 30</v>
      </c>
      <c r="O3163" s="2" t="str">
        <f aca="false">_xlfn.IFS(G3163&lt;0,"1 Negative",G3163=0,"2 Zero",G3163&lt;=500,"3 1-500",G3163&lt;=2000,"4 501-2000",TRUE(),"5 Above 2000")</f>
        <v>4 501-2000</v>
      </c>
      <c r="P3163" s="2" t="n">
        <f aca="false">Lookups!$B$2*M3163+Lookups!$B$3*L3163</f>
        <v>0</v>
      </c>
      <c r="Q3163" s="2" t="str">
        <f aca="false">INDEX(Lookups!$E$2:$E$5,MATCH(P3163,Lookups!$D$2:$D$5,0))</f>
        <v>Low</v>
      </c>
    </row>
    <row r="3164" customFormat="false" ht="15" hidden="false" customHeight="false" outlineLevel="0" collapsed="false">
      <c r="A3164" s="3" t="n">
        <v>3163</v>
      </c>
      <c r="B3164" s="3" t="n">
        <f aca="false">Raw_Data!A3164</f>
        <v>48</v>
      </c>
      <c r="C3164" s="3" t="str">
        <f aca="false">SUBSTITUTE(Raw_Data!B3164,".","")</f>
        <v>admin</v>
      </c>
      <c r="D3164" s="3" t="str">
        <f aca="false">Raw_Data!C3164</f>
        <v>married</v>
      </c>
      <c r="E3164" s="3" t="str">
        <f aca="false">Raw_Data!D3164</f>
        <v>secondary</v>
      </c>
      <c r="F3164" s="3" t="str">
        <f aca="false">Raw_Data!E3164</f>
        <v>no</v>
      </c>
      <c r="G3164" s="3" t="n">
        <f aca="false">Raw_Data!F3164</f>
        <v>191</v>
      </c>
      <c r="H3164" s="3" t="str">
        <f aca="false">Raw_Data!G3164</f>
        <v>yes</v>
      </c>
      <c r="I3164" s="3" t="str">
        <f aca="false">Raw_Data!H3164</f>
        <v>no</v>
      </c>
      <c r="J3164" s="2" t="n">
        <f aca="false">IF(F3164="yes",1,0)</f>
        <v>0</v>
      </c>
      <c r="K3164" s="2" t="n">
        <f aca="false">IF(H3164="yes",1,0)</f>
        <v>1</v>
      </c>
      <c r="L3164" s="2" t="n">
        <f aca="false">IF(I3164="yes",1,0)</f>
        <v>0</v>
      </c>
      <c r="M3164" s="2" t="n">
        <f aca="false">IF(G3164&lt;0,1,0)</f>
        <v>0</v>
      </c>
      <c r="N3164" s="2" t="str">
        <f aca="false">_xlfn.IFS(B3164&lt;30,"Under 30",B3164&lt;40,"30-39",B3164&lt;50,"40-49",B3164&lt;60,"50-59",TRUE(),"60+")</f>
        <v>40-49</v>
      </c>
      <c r="O3164" s="2" t="str">
        <f aca="false">_xlfn.IFS(G3164&lt;0,"1 Negative",G3164=0,"2 Zero",G3164&lt;=500,"3 1-500",G3164&lt;=2000,"4 501-2000",TRUE(),"5 Above 2000")</f>
        <v>3 1-500</v>
      </c>
      <c r="P3164" s="2" t="n">
        <f aca="false">Lookups!$B$2*M3164+Lookups!$B$3*L3164</f>
        <v>0</v>
      </c>
      <c r="Q3164" s="2" t="str">
        <f aca="false">INDEX(Lookups!$E$2:$E$5,MATCH(P3164,Lookups!$D$2:$D$5,0))</f>
        <v>Low</v>
      </c>
    </row>
    <row r="3165" customFormat="false" ht="15" hidden="false" customHeight="false" outlineLevel="0" collapsed="false">
      <c r="A3165" s="3" t="n">
        <v>3164</v>
      </c>
      <c r="B3165" s="3" t="n">
        <f aca="false">Raw_Data!A3165</f>
        <v>31</v>
      </c>
      <c r="C3165" s="3" t="str">
        <f aca="false">SUBSTITUTE(Raw_Data!B3165,".","")</f>
        <v>technician</v>
      </c>
      <c r="D3165" s="3" t="str">
        <f aca="false">Raw_Data!C3165</f>
        <v>single</v>
      </c>
      <c r="E3165" s="3" t="str">
        <f aca="false">Raw_Data!D3165</f>
        <v>secondary</v>
      </c>
      <c r="F3165" s="3" t="str">
        <f aca="false">Raw_Data!E3165</f>
        <v>no</v>
      </c>
      <c r="G3165" s="3" t="n">
        <f aca="false">Raw_Data!F3165</f>
        <v>373</v>
      </c>
      <c r="H3165" s="3" t="str">
        <f aca="false">Raw_Data!G3165</f>
        <v>no</v>
      </c>
      <c r="I3165" s="3" t="str">
        <f aca="false">Raw_Data!H3165</f>
        <v>no</v>
      </c>
      <c r="J3165" s="2" t="n">
        <f aca="false">IF(F3165="yes",1,0)</f>
        <v>0</v>
      </c>
      <c r="K3165" s="2" t="n">
        <f aca="false">IF(H3165="yes",1,0)</f>
        <v>0</v>
      </c>
      <c r="L3165" s="2" t="n">
        <f aca="false">IF(I3165="yes",1,0)</f>
        <v>0</v>
      </c>
      <c r="M3165" s="2" t="n">
        <f aca="false">IF(G3165&lt;0,1,0)</f>
        <v>0</v>
      </c>
      <c r="N3165" s="2" t="str">
        <f aca="false">_xlfn.IFS(B3165&lt;30,"Under 30",B3165&lt;40,"30-39",B3165&lt;50,"40-49",B3165&lt;60,"50-59",TRUE(),"60+")</f>
        <v>30-39</v>
      </c>
      <c r="O3165" s="2" t="str">
        <f aca="false">_xlfn.IFS(G3165&lt;0,"1 Negative",G3165=0,"2 Zero",G3165&lt;=500,"3 1-500",G3165&lt;=2000,"4 501-2000",TRUE(),"5 Above 2000")</f>
        <v>3 1-500</v>
      </c>
      <c r="P3165" s="2" t="n">
        <f aca="false">Lookups!$B$2*M3165+Lookups!$B$3*L3165</f>
        <v>0</v>
      </c>
      <c r="Q3165" s="2" t="str">
        <f aca="false">INDEX(Lookups!$E$2:$E$5,MATCH(P3165,Lookups!$D$2:$D$5,0))</f>
        <v>Low</v>
      </c>
    </row>
    <row r="3166" customFormat="false" ht="15" hidden="false" customHeight="false" outlineLevel="0" collapsed="false">
      <c r="A3166" s="3" t="n">
        <v>3165</v>
      </c>
      <c r="B3166" s="3" t="n">
        <f aca="false">Raw_Data!A3166</f>
        <v>57</v>
      </c>
      <c r="C3166" s="3" t="str">
        <f aca="false">SUBSTITUTE(Raw_Data!B3166,".","")</f>
        <v>technician</v>
      </c>
      <c r="D3166" s="3" t="str">
        <f aca="false">Raw_Data!C3166</f>
        <v>married</v>
      </c>
      <c r="E3166" s="3" t="str">
        <f aca="false">Raw_Data!D3166</f>
        <v>secondary</v>
      </c>
      <c r="F3166" s="3" t="str">
        <f aca="false">Raw_Data!E3166</f>
        <v>no</v>
      </c>
      <c r="G3166" s="3" t="n">
        <f aca="false">Raw_Data!F3166</f>
        <v>6164</v>
      </c>
      <c r="H3166" s="3" t="str">
        <f aca="false">Raw_Data!G3166</f>
        <v>no</v>
      </c>
      <c r="I3166" s="3" t="str">
        <f aca="false">Raw_Data!H3166</f>
        <v>no</v>
      </c>
      <c r="J3166" s="2" t="n">
        <f aca="false">IF(F3166="yes",1,0)</f>
        <v>0</v>
      </c>
      <c r="K3166" s="2" t="n">
        <f aca="false">IF(H3166="yes",1,0)</f>
        <v>0</v>
      </c>
      <c r="L3166" s="2" t="n">
        <f aca="false">IF(I3166="yes",1,0)</f>
        <v>0</v>
      </c>
      <c r="M3166" s="2" t="n">
        <f aca="false">IF(G3166&lt;0,1,0)</f>
        <v>0</v>
      </c>
      <c r="N3166" s="2" t="str">
        <f aca="false">_xlfn.IFS(B3166&lt;30,"Under 30",B3166&lt;40,"30-39",B3166&lt;50,"40-49",B3166&lt;60,"50-59",TRUE(),"60+")</f>
        <v>50-59</v>
      </c>
      <c r="O3166" s="2" t="str">
        <f aca="false">_xlfn.IFS(G3166&lt;0,"1 Negative",G3166=0,"2 Zero",G3166&lt;=500,"3 1-500",G3166&lt;=2000,"4 501-2000",TRUE(),"5 Above 2000")</f>
        <v>5 Above 2000</v>
      </c>
      <c r="P3166" s="2" t="n">
        <f aca="false">Lookups!$B$2*M3166+Lookups!$B$3*L3166</f>
        <v>0</v>
      </c>
      <c r="Q3166" s="2" t="str">
        <f aca="false">INDEX(Lookups!$E$2:$E$5,MATCH(P3166,Lookups!$D$2:$D$5,0))</f>
        <v>Low</v>
      </c>
    </row>
    <row r="3167" customFormat="false" ht="15" hidden="false" customHeight="false" outlineLevel="0" collapsed="false">
      <c r="A3167" s="3" t="n">
        <v>3166</v>
      </c>
      <c r="B3167" s="3" t="n">
        <f aca="false">Raw_Data!A3167</f>
        <v>53</v>
      </c>
      <c r="C3167" s="3" t="str">
        <f aca="false">SUBSTITUTE(Raw_Data!B3167,".","")</f>
        <v>management</v>
      </c>
      <c r="D3167" s="3" t="str">
        <f aca="false">Raw_Data!C3167</f>
        <v>married</v>
      </c>
      <c r="E3167" s="3" t="str">
        <f aca="false">Raw_Data!D3167</f>
        <v>tertiary</v>
      </c>
      <c r="F3167" s="3" t="str">
        <f aca="false">Raw_Data!E3167</f>
        <v>no</v>
      </c>
      <c r="G3167" s="3" t="n">
        <f aca="false">Raw_Data!F3167</f>
        <v>37</v>
      </c>
      <c r="H3167" s="3" t="str">
        <f aca="false">Raw_Data!G3167</f>
        <v>no</v>
      </c>
      <c r="I3167" s="3" t="str">
        <f aca="false">Raw_Data!H3167</f>
        <v>no</v>
      </c>
      <c r="J3167" s="2" t="n">
        <f aca="false">IF(F3167="yes",1,0)</f>
        <v>0</v>
      </c>
      <c r="K3167" s="2" t="n">
        <f aca="false">IF(H3167="yes",1,0)</f>
        <v>0</v>
      </c>
      <c r="L3167" s="2" t="n">
        <f aca="false">IF(I3167="yes",1,0)</f>
        <v>0</v>
      </c>
      <c r="M3167" s="2" t="n">
        <f aca="false">IF(G3167&lt;0,1,0)</f>
        <v>0</v>
      </c>
      <c r="N3167" s="2" t="str">
        <f aca="false">_xlfn.IFS(B3167&lt;30,"Under 30",B3167&lt;40,"30-39",B3167&lt;50,"40-49",B3167&lt;60,"50-59",TRUE(),"60+")</f>
        <v>50-59</v>
      </c>
      <c r="O3167" s="2" t="str">
        <f aca="false">_xlfn.IFS(G3167&lt;0,"1 Negative",G3167=0,"2 Zero",G3167&lt;=500,"3 1-500",G3167&lt;=2000,"4 501-2000",TRUE(),"5 Above 2000")</f>
        <v>3 1-500</v>
      </c>
      <c r="P3167" s="2" t="n">
        <f aca="false">Lookups!$B$2*M3167+Lookups!$B$3*L3167</f>
        <v>0</v>
      </c>
      <c r="Q3167" s="2" t="str">
        <f aca="false">INDEX(Lookups!$E$2:$E$5,MATCH(P3167,Lookups!$D$2:$D$5,0))</f>
        <v>Low</v>
      </c>
    </row>
    <row r="3168" customFormat="false" ht="15" hidden="false" customHeight="false" outlineLevel="0" collapsed="false">
      <c r="A3168" s="3" t="n">
        <v>3167</v>
      </c>
      <c r="B3168" s="3" t="n">
        <f aca="false">Raw_Data!A3168</f>
        <v>42</v>
      </c>
      <c r="C3168" s="3" t="str">
        <f aca="false">SUBSTITUTE(Raw_Data!B3168,".","")</f>
        <v>blue-collar</v>
      </c>
      <c r="D3168" s="3" t="str">
        <f aca="false">Raw_Data!C3168</f>
        <v>married</v>
      </c>
      <c r="E3168" s="3" t="str">
        <f aca="false">Raw_Data!D3168</f>
        <v>primary</v>
      </c>
      <c r="F3168" s="3" t="str">
        <f aca="false">Raw_Data!E3168</f>
        <v>no</v>
      </c>
      <c r="G3168" s="3" t="n">
        <f aca="false">Raw_Data!F3168</f>
        <v>1156</v>
      </c>
      <c r="H3168" s="3" t="str">
        <f aca="false">Raw_Data!G3168</f>
        <v>yes</v>
      </c>
      <c r="I3168" s="3" t="str">
        <f aca="false">Raw_Data!H3168</f>
        <v>no</v>
      </c>
      <c r="J3168" s="2" t="n">
        <f aca="false">IF(F3168="yes",1,0)</f>
        <v>0</v>
      </c>
      <c r="K3168" s="2" t="n">
        <f aca="false">IF(H3168="yes",1,0)</f>
        <v>1</v>
      </c>
      <c r="L3168" s="2" t="n">
        <f aca="false">IF(I3168="yes",1,0)</f>
        <v>0</v>
      </c>
      <c r="M3168" s="2" t="n">
        <f aca="false">IF(G3168&lt;0,1,0)</f>
        <v>0</v>
      </c>
      <c r="N3168" s="2" t="str">
        <f aca="false">_xlfn.IFS(B3168&lt;30,"Under 30",B3168&lt;40,"30-39",B3168&lt;50,"40-49",B3168&lt;60,"50-59",TRUE(),"60+")</f>
        <v>40-49</v>
      </c>
      <c r="O3168" s="2" t="str">
        <f aca="false">_xlfn.IFS(G3168&lt;0,"1 Negative",G3168=0,"2 Zero",G3168&lt;=500,"3 1-500",G3168&lt;=2000,"4 501-2000",TRUE(),"5 Above 2000")</f>
        <v>4 501-2000</v>
      </c>
      <c r="P3168" s="2" t="n">
        <f aca="false">Lookups!$B$2*M3168+Lookups!$B$3*L3168</f>
        <v>0</v>
      </c>
      <c r="Q3168" s="2" t="str">
        <f aca="false">INDEX(Lookups!$E$2:$E$5,MATCH(P3168,Lookups!$D$2:$D$5,0))</f>
        <v>Low</v>
      </c>
    </row>
    <row r="3169" customFormat="false" ht="15" hidden="false" customHeight="false" outlineLevel="0" collapsed="false">
      <c r="A3169" s="3" t="n">
        <v>3168</v>
      </c>
      <c r="B3169" s="3" t="n">
        <f aca="false">Raw_Data!A3169</f>
        <v>50</v>
      </c>
      <c r="C3169" s="3" t="str">
        <f aca="false">SUBSTITUTE(Raw_Data!B3169,".","")</f>
        <v>entrepreneur</v>
      </c>
      <c r="D3169" s="3" t="str">
        <f aca="false">Raw_Data!C3169</f>
        <v>married</v>
      </c>
      <c r="E3169" s="3" t="str">
        <f aca="false">Raw_Data!D3169</f>
        <v>secondary</v>
      </c>
      <c r="F3169" s="3" t="str">
        <f aca="false">Raw_Data!E3169</f>
        <v>no</v>
      </c>
      <c r="G3169" s="3" t="n">
        <f aca="false">Raw_Data!F3169</f>
        <v>806</v>
      </c>
      <c r="H3169" s="3" t="str">
        <f aca="false">Raw_Data!G3169</f>
        <v>yes</v>
      </c>
      <c r="I3169" s="3" t="str">
        <f aca="false">Raw_Data!H3169</f>
        <v>yes</v>
      </c>
      <c r="J3169" s="2" t="n">
        <f aca="false">IF(F3169="yes",1,0)</f>
        <v>0</v>
      </c>
      <c r="K3169" s="2" t="n">
        <f aca="false">IF(H3169="yes",1,0)</f>
        <v>1</v>
      </c>
      <c r="L3169" s="2" t="n">
        <f aca="false">IF(I3169="yes",1,0)</f>
        <v>1</v>
      </c>
      <c r="M3169" s="2" t="n">
        <f aca="false">IF(G3169&lt;0,1,0)</f>
        <v>0</v>
      </c>
      <c r="N3169" s="2" t="str">
        <f aca="false">_xlfn.IFS(B3169&lt;30,"Under 30",B3169&lt;40,"30-39",B3169&lt;50,"40-49",B3169&lt;60,"50-59",TRUE(),"60+")</f>
        <v>50-59</v>
      </c>
      <c r="O3169" s="2" t="str">
        <f aca="false">_xlfn.IFS(G3169&lt;0,"1 Negative",G3169=0,"2 Zero",G3169&lt;=500,"3 1-500",G3169&lt;=2000,"4 501-2000",TRUE(),"5 Above 2000")</f>
        <v>4 501-2000</v>
      </c>
      <c r="P3169" s="2" t="n">
        <f aca="false">Lookups!$B$2*M3169+Lookups!$B$3*L3169</f>
        <v>1</v>
      </c>
      <c r="Q3169" s="2" t="str">
        <f aca="false">INDEX(Lookups!$E$2:$E$5,MATCH(P3169,Lookups!$D$2:$D$5,0))</f>
        <v>Medium</v>
      </c>
    </row>
    <row r="3170" customFormat="false" ht="15" hidden="false" customHeight="false" outlineLevel="0" collapsed="false">
      <c r="A3170" s="3" t="n">
        <v>3169</v>
      </c>
      <c r="B3170" s="3" t="n">
        <f aca="false">Raw_Data!A3170</f>
        <v>59</v>
      </c>
      <c r="C3170" s="3" t="str">
        <f aca="false">SUBSTITUTE(Raw_Data!B3170,".","")</f>
        <v>admin</v>
      </c>
      <c r="D3170" s="3" t="str">
        <f aca="false">Raw_Data!C3170</f>
        <v>married</v>
      </c>
      <c r="E3170" s="3" t="str">
        <f aca="false">Raw_Data!D3170</f>
        <v>secondary</v>
      </c>
      <c r="F3170" s="3" t="str">
        <f aca="false">Raw_Data!E3170</f>
        <v>no</v>
      </c>
      <c r="G3170" s="3" t="n">
        <f aca="false">Raw_Data!F3170</f>
        <v>2381</v>
      </c>
      <c r="H3170" s="3" t="str">
        <f aca="false">Raw_Data!G3170</f>
        <v>no</v>
      </c>
      <c r="I3170" s="3" t="str">
        <f aca="false">Raw_Data!H3170</f>
        <v>no</v>
      </c>
      <c r="J3170" s="2" t="n">
        <f aca="false">IF(F3170="yes",1,0)</f>
        <v>0</v>
      </c>
      <c r="K3170" s="2" t="n">
        <f aca="false">IF(H3170="yes",1,0)</f>
        <v>0</v>
      </c>
      <c r="L3170" s="2" t="n">
        <f aca="false">IF(I3170="yes",1,0)</f>
        <v>0</v>
      </c>
      <c r="M3170" s="2" t="n">
        <f aca="false">IF(G3170&lt;0,1,0)</f>
        <v>0</v>
      </c>
      <c r="N3170" s="2" t="str">
        <f aca="false">_xlfn.IFS(B3170&lt;30,"Under 30",B3170&lt;40,"30-39",B3170&lt;50,"40-49",B3170&lt;60,"50-59",TRUE(),"60+")</f>
        <v>50-59</v>
      </c>
      <c r="O3170" s="2" t="str">
        <f aca="false">_xlfn.IFS(G3170&lt;0,"1 Negative",G3170=0,"2 Zero",G3170&lt;=500,"3 1-500",G3170&lt;=2000,"4 501-2000",TRUE(),"5 Above 2000")</f>
        <v>5 Above 2000</v>
      </c>
      <c r="P3170" s="2" t="n">
        <f aca="false">Lookups!$B$2*M3170+Lookups!$B$3*L3170</f>
        <v>0</v>
      </c>
      <c r="Q3170" s="2" t="str">
        <f aca="false">INDEX(Lookups!$E$2:$E$5,MATCH(P3170,Lookups!$D$2:$D$5,0))</f>
        <v>Low</v>
      </c>
    </row>
    <row r="3171" customFormat="false" ht="15" hidden="false" customHeight="false" outlineLevel="0" collapsed="false">
      <c r="A3171" s="3" t="n">
        <v>3170</v>
      </c>
      <c r="B3171" s="3" t="n">
        <f aca="false">Raw_Data!A3171</f>
        <v>38</v>
      </c>
      <c r="C3171" s="3" t="str">
        <f aca="false">SUBSTITUTE(Raw_Data!B3171,".","")</f>
        <v>services</v>
      </c>
      <c r="D3171" s="3" t="str">
        <f aca="false">Raw_Data!C3171</f>
        <v>married</v>
      </c>
      <c r="E3171" s="3" t="str">
        <f aca="false">Raw_Data!D3171</f>
        <v>secondary</v>
      </c>
      <c r="F3171" s="3" t="str">
        <f aca="false">Raw_Data!E3171</f>
        <v>no</v>
      </c>
      <c r="G3171" s="3" t="n">
        <f aca="false">Raw_Data!F3171</f>
        <v>-314</v>
      </c>
      <c r="H3171" s="3" t="str">
        <f aca="false">Raw_Data!G3171</f>
        <v>yes</v>
      </c>
      <c r="I3171" s="3" t="str">
        <f aca="false">Raw_Data!H3171</f>
        <v>no</v>
      </c>
      <c r="J3171" s="2" t="n">
        <f aca="false">IF(F3171="yes",1,0)</f>
        <v>0</v>
      </c>
      <c r="K3171" s="2" t="n">
        <f aca="false">IF(H3171="yes",1,0)</f>
        <v>1</v>
      </c>
      <c r="L3171" s="2" t="n">
        <f aca="false">IF(I3171="yes",1,0)</f>
        <v>0</v>
      </c>
      <c r="M3171" s="2" t="n">
        <f aca="false">IF(G3171&lt;0,1,0)</f>
        <v>1</v>
      </c>
      <c r="N3171" s="2" t="str">
        <f aca="false">_xlfn.IFS(B3171&lt;30,"Under 30",B3171&lt;40,"30-39",B3171&lt;50,"40-49",B3171&lt;60,"50-59",TRUE(),"60+")</f>
        <v>30-39</v>
      </c>
      <c r="O3171" s="2" t="str">
        <f aca="false">_xlfn.IFS(G3171&lt;0,"1 Negative",G3171=0,"2 Zero",G3171&lt;=500,"3 1-500",G3171&lt;=2000,"4 501-2000",TRUE(),"5 Above 2000")</f>
        <v>1 Negative</v>
      </c>
      <c r="P3171" s="2" t="n">
        <f aca="false">Lookups!$B$2*M3171+Lookups!$B$3*L3171</f>
        <v>2</v>
      </c>
      <c r="Q3171" s="2" t="str">
        <f aca="false">INDEX(Lookups!$E$2:$E$5,MATCH(P3171,Lookups!$D$2:$D$5,0))</f>
        <v>High</v>
      </c>
    </row>
    <row r="3172" customFormat="false" ht="15" hidden="false" customHeight="false" outlineLevel="0" collapsed="false">
      <c r="A3172" s="3" t="n">
        <v>3171</v>
      </c>
      <c r="B3172" s="3" t="n">
        <f aca="false">Raw_Data!A3172</f>
        <v>39</v>
      </c>
      <c r="C3172" s="3" t="str">
        <f aca="false">SUBSTITUTE(Raw_Data!B3172,".","")</f>
        <v>blue-collar</v>
      </c>
      <c r="D3172" s="3" t="str">
        <f aca="false">Raw_Data!C3172</f>
        <v>married</v>
      </c>
      <c r="E3172" s="3" t="str">
        <f aca="false">Raw_Data!D3172</f>
        <v>secondary</v>
      </c>
      <c r="F3172" s="3" t="str">
        <f aca="false">Raw_Data!E3172</f>
        <v>no</v>
      </c>
      <c r="G3172" s="3" t="n">
        <f aca="false">Raw_Data!F3172</f>
        <v>285</v>
      </c>
      <c r="H3172" s="3" t="str">
        <f aca="false">Raw_Data!G3172</f>
        <v>yes</v>
      </c>
      <c r="I3172" s="3" t="str">
        <f aca="false">Raw_Data!H3172</f>
        <v>yes</v>
      </c>
      <c r="J3172" s="2" t="n">
        <f aca="false">IF(F3172="yes",1,0)</f>
        <v>0</v>
      </c>
      <c r="K3172" s="2" t="n">
        <f aca="false">IF(H3172="yes",1,0)</f>
        <v>1</v>
      </c>
      <c r="L3172" s="2" t="n">
        <f aca="false">IF(I3172="yes",1,0)</f>
        <v>1</v>
      </c>
      <c r="M3172" s="2" t="n">
        <f aca="false">IF(G3172&lt;0,1,0)</f>
        <v>0</v>
      </c>
      <c r="N3172" s="2" t="str">
        <f aca="false">_xlfn.IFS(B3172&lt;30,"Under 30",B3172&lt;40,"30-39",B3172&lt;50,"40-49",B3172&lt;60,"50-59",TRUE(),"60+")</f>
        <v>30-39</v>
      </c>
      <c r="O3172" s="2" t="str">
        <f aca="false">_xlfn.IFS(G3172&lt;0,"1 Negative",G3172=0,"2 Zero",G3172&lt;=500,"3 1-500",G3172&lt;=2000,"4 501-2000",TRUE(),"5 Above 2000")</f>
        <v>3 1-500</v>
      </c>
      <c r="P3172" s="2" t="n">
        <f aca="false">Lookups!$B$2*M3172+Lookups!$B$3*L3172</f>
        <v>1</v>
      </c>
      <c r="Q3172" s="2" t="str">
        <f aca="false">INDEX(Lookups!$E$2:$E$5,MATCH(P3172,Lookups!$D$2:$D$5,0))</f>
        <v>Medium</v>
      </c>
    </row>
    <row r="3173" customFormat="false" ht="15" hidden="false" customHeight="false" outlineLevel="0" collapsed="false">
      <c r="A3173" s="3" t="n">
        <v>3172</v>
      </c>
      <c r="B3173" s="3" t="n">
        <f aca="false">Raw_Data!A3173</f>
        <v>28</v>
      </c>
      <c r="C3173" s="3" t="str">
        <f aca="false">SUBSTITUTE(Raw_Data!B3173,".","")</f>
        <v>blue-collar</v>
      </c>
      <c r="D3173" s="3" t="str">
        <f aca="false">Raw_Data!C3173</f>
        <v>single</v>
      </c>
      <c r="E3173" s="3" t="str">
        <f aca="false">Raw_Data!D3173</f>
        <v>primary</v>
      </c>
      <c r="F3173" s="3" t="str">
        <f aca="false">Raw_Data!E3173</f>
        <v>no</v>
      </c>
      <c r="G3173" s="3" t="n">
        <f aca="false">Raw_Data!F3173</f>
        <v>1199</v>
      </c>
      <c r="H3173" s="3" t="str">
        <f aca="false">Raw_Data!G3173</f>
        <v>yes</v>
      </c>
      <c r="I3173" s="3" t="str">
        <f aca="false">Raw_Data!H3173</f>
        <v>no</v>
      </c>
      <c r="J3173" s="2" t="n">
        <f aca="false">IF(F3173="yes",1,0)</f>
        <v>0</v>
      </c>
      <c r="K3173" s="2" t="n">
        <f aca="false">IF(H3173="yes",1,0)</f>
        <v>1</v>
      </c>
      <c r="L3173" s="2" t="n">
        <f aca="false">IF(I3173="yes",1,0)</f>
        <v>0</v>
      </c>
      <c r="M3173" s="2" t="n">
        <f aca="false">IF(G3173&lt;0,1,0)</f>
        <v>0</v>
      </c>
      <c r="N3173" s="2" t="str">
        <f aca="false">_xlfn.IFS(B3173&lt;30,"Under 30",B3173&lt;40,"30-39",B3173&lt;50,"40-49",B3173&lt;60,"50-59",TRUE(),"60+")</f>
        <v>Under 30</v>
      </c>
      <c r="O3173" s="2" t="str">
        <f aca="false">_xlfn.IFS(G3173&lt;0,"1 Negative",G3173=0,"2 Zero",G3173&lt;=500,"3 1-500",G3173&lt;=2000,"4 501-2000",TRUE(),"5 Above 2000")</f>
        <v>4 501-2000</v>
      </c>
      <c r="P3173" s="2" t="n">
        <f aca="false">Lookups!$B$2*M3173+Lookups!$B$3*L3173</f>
        <v>0</v>
      </c>
      <c r="Q3173" s="2" t="str">
        <f aca="false">INDEX(Lookups!$E$2:$E$5,MATCH(P3173,Lookups!$D$2:$D$5,0))</f>
        <v>Low</v>
      </c>
    </row>
    <row r="3174" customFormat="false" ht="15" hidden="false" customHeight="false" outlineLevel="0" collapsed="false">
      <c r="A3174" s="3" t="n">
        <v>3173</v>
      </c>
      <c r="B3174" s="3" t="n">
        <f aca="false">Raw_Data!A3174</f>
        <v>55</v>
      </c>
      <c r="C3174" s="3" t="str">
        <f aca="false">SUBSTITUTE(Raw_Data!B3174,".","")</f>
        <v>management</v>
      </c>
      <c r="D3174" s="3" t="str">
        <f aca="false">Raw_Data!C3174</f>
        <v>divorced</v>
      </c>
      <c r="E3174" s="3" t="str">
        <f aca="false">Raw_Data!D3174</f>
        <v>tertiary</v>
      </c>
      <c r="F3174" s="3" t="str">
        <f aca="false">Raw_Data!E3174</f>
        <v>no</v>
      </c>
      <c r="G3174" s="3" t="n">
        <f aca="false">Raw_Data!F3174</f>
        <v>481</v>
      </c>
      <c r="H3174" s="3" t="str">
        <f aca="false">Raw_Data!G3174</f>
        <v>yes</v>
      </c>
      <c r="I3174" s="3" t="str">
        <f aca="false">Raw_Data!H3174</f>
        <v>no</v>
      </c>
      <c r="J3174" s="2" t="n">
        <f aca="false">IF(F3174="yes",1,0)</f>
        <v>0</v>
      </c>
      <c r="K3174" s="2" t="n">
        <f aca="false">IF(H3174="yes",1,0)</f>
        <v>1</v>
      </c>
      <c r="L3174" s="2" t="n">
        <f aca="false">IF(I3174="yes",1,0)</f>
        <v>0</v>
      </c>
      <c r="M3174" s="2" t="n">
        <f aca="false">IF(G3174&lt;0,1,0)</f>
        <v>0</v>
      </c>
      <c r="N3174" s="2" t="str">
        <f aca="false">_xlfn.IFS(B3174&lt;30,"Under 30",B3174&lt;40,"30-39",B3174&lt;50,"40-49",B3174&lt;60,"50-59",TRUE(),"60+")</f>
        <v>50-59</v>
      </c>
      <c r="O3174" s="2" t="str">
        <f aca="false">_xlfn.IFS(G3174&lt;0,"1 Negative",G3174=0,"2 Zero",G3174&lt;=500,"3 1-500",G3174&lt;=2000,"4 501-2000",TRUE(),"5 Above 2000")</f>
        <v>3 1-500</v>
      </c>
      <c r="P3174" s="2" t="n">
        <f aca="false">Lookups!$B$2*M3174+Lookups!$B$3*L3174</f>
        <v>0</v>
      </c>
      <c r="Q3174" s="2" t="str">
        <f aca="false">INDEX(Lookups!$E$2:$E$5,MATCH(P3174,Lookups!$D$2:$D$5,0))</f>
        <v>Low</v>
      </c>
    </row>
    <row r="3175" customFormat="false" ht="15" hidden="false" customHeight="false" outlineLevel="0" collapsed="false">
      <c r="A3175" s="3" t="n">
        <v>3174</v>
      </c>
      <c r="B3175" s="3" t="n">
        <f aca="false">Raw_Data!A3175</f>
        <v>33</v>
      </c>
      <c r="C3175" s="3" t="str">
        <f aca="false">SUBSTITUTE(Raw_Data!B3175,".","")</f>
        <v>technician</v>
      </c>
      <c r="D3175" s="3" t="str">
        <f aca="false">Raw_Data!C3175</f>
        <v>single</v>
      </c>
      <c r="E3175" s="3" t="str">
        <f aca="false">Raw_Data!D3175</f>
        <v>tertiary</v>
      </c>
      <c r="F3175" s="3" t="str">
        <f aca="false">Raw_Data!E3175</f>
        <v>no</v>
      </c>
      <c r="G3175" s="3" t="n">
        <f aca="false">Raw_Data!F3175</f>
        <v>137</v>
      </c>
      <c r="H3175" s="3" t="str">
        <f aca="false">Raw_Data!G3175</f>
        <v>no</v>
      </c>
      <c r="I3175" s="3" t="str">
        <f aca="false">Raw_Data!H3175</f>
        <v>no</v>
      </c>
      <c r="J3175" s="2" t="n">
        <f aca="false">IF(F3175="yes",1,0)</f>
        <v>0</v>
      </c>
      <c r="K3175" s="2" t="n">
        <f aca="false">IF(H3175="yes",1,0)</f>
        <v>0</v>
      </c>
      <c r="L3175" s="2" t="n">
        <f aca="false">IF(I3175="yes",1,0)</f>
        <v>0</v>
      </c>
      <c r="M3175" s="2" t="n">
        <f aca="false">IF(G3175&lt;0,1,0)</f>
        <v>0</v>
      </c>
      <c r="N3175" s="2" t="str">
        <f aca="false">_xlfn.IFS(B3175&lt;30,"Under 30",B3175&lt;40,"30-39",B3175&lt;50,"40-49",B3175&lt;60,"50-59",TRUE(),"60+")</f>
        <v>30-39</v>
      </c>
      <c r="O3175" s="2" t="str">
        <f aca="false">_xlfn.IFS(G3175&lt;0,"1 Negative",G3175=0,"2 Zero",G3175&lt;=500,"3 1-500",G3175&lt;=2000,"4 501-2000",TRUE(),"5 Above 2000")</f>
        <v>3 1-500</v>
      </c>
      <c r="P3175" s="2" t="n">
        <f aca="false">Lookups!$B$2*M3175+Lookups!$B$3*L3175</f>
        <v>0</v>
      </c>
      <c r="Q3175" s="2" t="str">
        <f aca="false">INDEX(Lookups!$E$2:$E$5,MATCH(P3175,Lookups!$D$2:$D$5,0))</f>
        <v>Low</v>
      </c>
    </row>
    <row r="3176" customFormat="false" ht="15" hidden="false" customHeight="false" outlineLevel="0" collapsed="false">
      <c r="A3176" s="3" t="n">
        <v>3175</v>
      </c>
      <c r="B3176" s="3" t="n">
        <f aca="false">Raw_Data!A3176</f>
        <v>36</v>
      </c>
      <c r="C3176" s="3" t="str">
        <f aca="false">SUBSTITUTE(Raw_Data!B3176,".","")</f>
        <v>blue-collar</v>
      </c>
      <c r="D3176" s="3" t="str">
        <f aca="false">Raw_Data!C3176</f>
        <v>single</v>
      </c>
      <c r="E3176" s="3" t="str">
        <f aca="false">Raw_Data!D3176</f>
        <v>secondary</v>
      </c>
      <c r="F3176" s="3" t="str">
        <f aca="false">Raw_Data!E3176</f>
        <v>no</v>
      </c>
      <c r="G3176" s="3" t="n">
        <f aca="false">Raw_Data!F3176</f>
        <v>168</v>
      </c>
      <c r="H3176" s="3" t="str">
        <f aca="false">Raw_Data!G3176</f>
        <v>yes</v>
      </c>
      <c r="I3176" s="3" t="str">
        <f aca="false">Raw_Data!H3176</f>
        <v>no</v>
      </c>
      <c r="J3176" s="2" t="n">
        <f aca="false">IF(F3176="yes",1,0)</f>
        <v>0</v>
      </c>
      <c r="K3176" s="2" t="n">
        <f aca="false">IF(H3176="yes",1,0)</f>
        <v>1</v>
      </c>
      <c r="L3176" s="2" t="n">
        <f aca="false">IF(I3176="yes",1,0)</f>
        <v>0</v>
      </c>
      <c r="M3176" s="2" t="n">
        <f aca="false">IF(G3176&lt;0,1,0)</f>
        <v>0</v>
      </c>
      <c r="N3176" s="2" t="str">
        <f aca="false">_xlfn.IFS(B3176&lt;30,"Under 30",B3176&lt;40,"30-39",B3176&lt;50,"40-49",B3176&lt;60,"50-59",TRUE(),"60+")</f>
        <v>30-39</v>
      </c>
      <c r="O3176" s="2" t="str">
        <f aca="false">_xlfn.IFS(G3176&lt;0,"1 Negative",G3176=0,"2 Zero",G3176&lt;=500,"3 1-500",G3176&lt;=2000,"4 501-2000",TRUE(),"5 Above 2000")</f>
        <v>3 1-500</v>
      </c>
      <c r="P3176" s="2" t="n">
        <f aca="false">Lookups!$B$2*M3176+Lookups!$B$3*L3176</f>
        <v>0</v>
      </c>
      <c r="Q3176" s="2" t="str">
        <f aca="false">INDEX(Lookups!$E$2:$E$5,MATCH(P3176,Lookups!$D$2:$D$5,0))</f>
        <v>Low</v>
      </c>
    </row>
    <row r="3177" customFormat="false" ht="15" hidden="false" customHeight="false" outlineLevel="0" collapsed="false">
      <c r="A3177" s="3" t="n">
        <v>3176</v>
      </c>
      <c r="B3177" s="3" t="n">
        <f aca="false">Raw_Data!A3177</f>
        <v>38</v>
      </c>
      <c r="C3177" s="3" t="str">
        <f aca="false">SUBSTITUTE(Raw_Data!B3177,".","")</f>
        <v>admin</v>
      </c>
      <c r="D3177" s="3" t="str">
        <f aca="false">Raw_Data!C3177</f>
        <v>divorced</v>
      </c>
      <c r="E3177" s="3" t="str">
        <f aca="false">Raw_Data!D3177</f>
        <v>secondary</v>
      </c>
      <c r="F3177" s="3" t="str">
        <f aca="false">Raw_Data!E3177</f>
        <v>no</v>
      </c>
      <c r="G3177" s="3" t="n">
        <f aca="false">Raw_Data!F3177</f>
        <v>156</v>
      </c>
      <c r="H3177" s="3" t="str">
        <f aca="false">Raw_Data!G3177</f>
        <v>yes</v>
      </c>
      <c r="I3177" s="3" t="str">
        <f aca="false">Raw_Data!H3177</f>
        <v>no</v>
      </c>
      <c r="J3177" s="2" t="n">
        <f aca="false">IF(F3177="yes",1,0)</f>
        <v>0</v>
      </c>
      <c r="K3177" s="2" t="n">
        <f aca="false">IF(H3177="yes",1,0)</f>
        <v>1</v>
      </c>
      <c r="L3177" s="2" t="n">
        <f aca="false">IF(I3177="yes",1,0)</f>
        <v>0</v>
      </c>
      <c r="M3177" s="2" t="n">
        <f aca="false">IF(G3177&lt;0,1,0)</f>
        <v>0</v>
      </c>
      <c r="N3177" s="2" t="str">
        <f aca="false">_xlfn.IFS(B3177&lt;30,"Under 30",B3177&lt;40,"30-39",B3177&lt;50,"40-49",B3177&lt;60,"50-59",TRUE(),"60+")</f>
        <v>30-39</v>
      </c>
      <c r="O3177" s="2" t="str">
        <f aca="false">_xlfn.IFS(G3177&lt;0,"1 Negative",G3177=0,"2 Zero",G3177&lt;=500,"3 1-500",G3177&lt;=2000,"4 501-2000",TRUE(),"5 Above 2000")</f>
        <v>3 1-500</v>
      </c>
      <c r="P3177" s="2" t="n">
        <f aca="false">Lookups!$B$2*M3177+Lookups!$B$3*L3177</f>
        <v>0</v>
      </c>
      <c r="Q3177" s="2" t="str">
        <f aca="false">INDEX(Lookups!$E$2:$E$5,MATCH(P3177,Lookups!$D$2:$D$5,0))</f>
        <v>Low</v>
      </c>
    </row>
    <row r="3178" customFormat="false" ht="15" hidden="false" customHeight="false" outlineLevel="0" collapsed="false">
      <c r="A3178" s="3" t="n">
        <v>3177</v>
      </c>
      <c r="B3178" s="3" t="n">
        <f aca="false">Raw_Data!A3178</f>
        <v>28</v>
      </c>
      <c r="C3178" s="3" t="str">
        <f aca="false">SUBSTITUTE(Raw_Data!B3178,".","")</f>
        <v>admin</v>
      </c>
      <c r="D3178" s="3" t="str">
        <f aca="false">Raw_Data!C3178</f>
        <v>single</v>
      </c>
      <c r="E3178" s="3" t="str">
        <f aca="false">Raw_Data!D3178</f>
        <v>secondary</v>
      </c>
      <c r="F3178" s="3" t="str">
        <f aca="false">Raw_Data!E3178</f>
        <v>no</v>
      </c>
      <c r="G3178" s="3" t="n">
        <f aca="false">Raw_Data!F3178</f>
        <v>4745</v>
      </c>
      <c r="H3178" s="3" t="str">
        <f aca="false">Raw_Data!G3178</f>
        <v>no</v>
      </c>
      <c r="I3178" s="3" t="str">
        <f aca="false">Raw_Data!H3178</f>
        <v>no</v>
      </c>
      <c r="J3178" s="2" t="n">
        <f aca="false">IF(F3178="yes",1,0)</f>
        <v>0</v>
      </c>
      <c r="K3178" s="2" t="n">
        <f aca="false">IF(H3178="yes",1,0)</f>
        <v>0</v>
      </c>
      <c r="L3178" s="2" t="n">
        <f aca="false">IF(I3178="yes",1,0)</f>
        <v>0</v>
      </c>
      <c r="M3178" s="2" t="n">
        <f aca="false">IF(G3178&lt;0,1,0)</f>
        <v>0</v>
      </c>
      <c r="N3178" s="2" t="str">
        <f aca="false">_xlfn.IFS(B3178&lt;30,"Under 30",B3178&lt;40,"30-39",B3178&lt;50,"40-49",B3178&lt;60,"50-59",TRUE(),"60+")</f>
        <v>Under 30</v>
      </c>
      <c r="O3178" s="2" t="str">
        <f aca="false">_xlfn.IFS(G3178&lt;0,"1 Negative",G3178=0,"2 Zero",G3178&lt;=500,"3 1-500",G3178&lt;=2000,"4 501-2000",TRUE(),"5 Above 2000")</f>
        <v>5 Above 2000</v>
      </c>
      <c r="P3178" s="2" t="n">
        <f aca="false">Lookups!$B$2*M3178+Lookups!$B$3*L3178</f>
        <v>0</v>
      </c>
      <c r="Q3178" s="2" t="str">
        <f aca="false">INDEX(Lookups!$E$2:$E$5,MATCH(P3178,Lookups!$D$2:$D$5,0))</f>
        <v>Low</v>
      </c>
    </row>
    <row r="3179" customFormat="false" ht="15" hidden="false" customHeight="false" outlineLevel="0" collapsed="false">
      <c r="A3179" s="3" t="n">
        <v>3178</v>
      </c>
      <c r="B3179" s="3" t="n">
        <f aca="false">Raw_Data!A3179</f>
        <v>32</v>
      </c>
      <c r="C3179" s="3" t="str">
        <f aca="false">SUBSTITUTE(Raw_Data!B3179,".","")</f>
        <v>management</v>
      </c>
      <c r="D3179" s="3" t="str">
        <f aca="false">Raw_Data!C3179</f>
        <v>single</v>
      </c>
      <c r="E3179" s="3" t="str">
        <f aca="false">Raw_Data!D3179</f>
        <v>tertiary</v>
      </c>
      <c r="F3179" s="3" t="str">
        <f aca="false">Raw_Data!E3179</f>
        <v>no</v>
      </c>
      <c r="G3179" s="3" t="n">
        <f aca="false">Raw_Data!F3179</f>
        <v>11797</v>
      </c>
      <c r="H3179" s="3" t="str">
        <f aca="false">Raw_Data!G3179</f>
        <v>yes</v>
      </c>
      <c r="I3179" s="3" t="str">
        <f aca="false">Raw_Data!H3179</f>
        <v>no</v>
      </c>
      <c r="J3179" s="2" t="n">
        <f aca="false">IF(F3179="yes",1,0)</f>
        <v>0</v>
      </c>
      <c r="K3179" s="2" t="n">
        <f aca="false">IF(H3179="yes",1,0)</f>
        <v>1</v>
      </c>
      <c r="L3179" s="2" t="n">
        <f aca="false">IF(I3179="yes",1,0)</f>
        <v>0</v>
      </c>
      <c r="M3179" s="2" t="n">
        <f aca="false">IF(G3179&lt;0,1,0)</f>
        <v>0</v>
      </c>
      <c r="N3179" s="2" t="str">
        <f aca="false">_xlfn.IFS(B3179&lt;30,"Under 30",B3179&lt;40,"30-39",B3179&lt;50,"40-49",B3179&lt;60,"50-59",TRUE(),"60+")</f>
        <v>30-39</v>
      </c>
      <c r="O3179" s="2" t="str">
        <f aca="false">_xlfn.IFS(G3179&lt;0,"1 Negative",G3179=0,"2 Zero",G3179&lt;=500,"3 1-500",G3179&lt;=2000,"4 501-2000",TRUE(),"5 Above 2000")</f>
        <v>5 Above 2000</v>
      </c>
      <c r="P3179" s="2" t="n">
        <f aca="false">Lookups!$B$2*M3179+Lookups!$B$3*L3179</f>
        <v>0</v>
      </c>
      <c r="Q3179" s="2" t="str">
        <f aca="false">INDEX(Lookups!$E$2:$E$5,MATCH(P3179,Lookups!$D$2:$D$5,0))</f>
        <v>Low</v>
      </c>
    </row>
    <row r="3180" customFormat="false" ht="15" hidden="false" customHeight="false" outlineLevel="0" collapsed="false">
      <c r="A3180" s="3" t="n">
        <v>3179</v>
      </c>
      <c r="B3180" s="3" t="n">
        <f aca="false">Raw_Data!A3180</f>
        <v>35</v>
      </c>
      <c r="C3180" s="3" t="str">
        <f aca="false">SUBSTITUTE(Raw_Data!B3180,".","")</f>
        <v>admin</v>
      </c>
      <c r="D3180" s="3" t="str">
        <f aca="false">Raw_Data!C3180</f>
        <v>married</v>
      </c>
      <c r="E3180" s="3" t="str">
        <f aca="false">Raw_Data!D3180</f>
        <v>secondary</v>
      </c>
      <c r="F3180" s="3" t="str">
        <f aca="false">Raw_Data!E3180</f>
        <v>no</v>
      </c>
      <c r="G3180" s="3" t="n">
        <f aca="false">Raw_Data!F3180</f>
        <v>786</v>
      </c>
      <c r="H3180" s="3" t="str">
        <f aca="false">Raw_Data!G3180</f>
        <v>no</v>
      </c>
      <c r="I3180" s="3" t="str">
        <f aca="false">Raw_Data!H3180</f>
        <v>yes</v>
      </c>
      <c r="J3180" s="2" t="n">
        <f aca="false">IF(F3180="yes",1,0)</f>
        <v>0</v>
      </c>
      <c r="K3180" s="2" t="n">
        <f aca="false">IF(H3180="yes",1,0)</f>
        <v>0</v>
      </c>
      <c r="L3180" s="2" t="n">
        <f aca="false">IF(I3180="yes",1,0)</f>
        <v>1</v>
      </c>
      <c r="M3180" s="2" t="n">
        <f aca="false">IF(G3180&lt;0,1,0)</f>
        <v>0</v>
      </c>
      <c r="N3180" s="2" t="str">
        <f aca="false">_xlfn.IFS(B3180&lt;30,"Under 30",B3180&lt;40,"30-39",B3180&lt;50,"40-49",B3180&lt;60,"50-59",TRUE(),"60+")</f>
        <v>30-39</v>
      </c>
      <c r="O3180" s="2" t="str">
        <f aca="false">_xlfn.IFS(G3180&lt;0,"1 Negative",G3180=0,"2 Zero",G3180&lt;=500,"3 1-500",G3180&lt;=2000,"4 501-2000",TRUE(),"5 Above 2000")</f>
        <v>4 501-2000</v>
      </c>
      <c r="P3180" s="2" t="n">
        <f aca="false">Lookups!$B$2*M3180+Lookups!$B$3*L3180</f>
        <v>1</v>
      </c>
      <c r="Q3180" s="2" t="str">
        <f aca="false">INDEX(Lookups!$E$2:$E$5,MATCH(P3180,Lookups!$D$2:$D$5,0))</f>
        <v>Medium</v>
      </c>
    </row>
    <row r="3181" customFormat="false" ht="15" hidden="false" customHeight="false" outlineLevel="0" collapsed="false">
      <c r="A3181" s="3" t="n">
        <v>3180</v>
      </c>
      <c r="B3181" s="3" t="n">
        <f aca="false">Raw_Data!A3181</f>
        <v>58</v>
      </c>
      <c r="C3181" s="3" t="str">
        <f aca="false">SUBSTITUTE(Raw_Data!B3181,".","")</f>
        <v>technician</v>
      </c>
      <c r="D3181" s="3" t="str">
        <f aca="false">Raw_Data!C3181</f>
        <v>married</v>
      </c>
      <c r="E3181" s="3" t="str">
        <f aca="false">Raw_Data!D3181</f>
        <v>primary</v>
      </c>
      <c r="F3181" s="3" t="str">
        <f aca="false">Raw_Data!E3181</f>
        <v>no</v>
      </c>
      <c r="G3181" s="3" t="n">
        <f aca="false">Raw_Data!F3181</f>
        <v>4015</v>
      </c>
      <c r="H3181" s="3" t="str">
        <f aca="false">Raw_Data!G3181</f>
        <v>no</v>
      </c>
      <c r="I3181" s="3" t="str">
        <f aca="false">Raw_Data!H3181</f>
        <v>no</v>
      </c>
      <c r="J3181" s="2" t="n">
        <f aca="false">IF(F3181="yes",1,0)</f>
        <v>0</v>
      </c>
      <c r="K3181" s="2" t="n">
        <f aca="false">IF(H3181="yes",1,0)</f>
        <v>0</v>
      </c>
      <c r="L3181" s="2" t="n">
        <f aca="false">IF(I3181="yes",1,0)</f>
        <v>0</v>
      </c>
      <c r="M3181" s="2" t="n">
        <f aca="false">IF(G3181&lt;0,1,0)</f>
        <v>0</v>
      </c>
      <c r="N3181" s="2" t="str">
        <f aca="false">_xlfn.IFS(B3181&lt;30,"Under 30",B3181&lt;40,"30-39",B3181&lt;50,"40-49",B3181&lt;60,"50-59",TRUE(),"60+")</f>
        <v>50-59</v>
      </c>
      <c r="O3181" s="2" t="str">
        <f aca="false">_xlfn.IFS(G3181&lt;0,"1 Negative",G3181=0,"2 Zero",G3181&lt;=500,"3 1-500",G3181&lt;=2000,"4 501-2000",TRUE(),"5 Above 2000")</f>
        <v>5 Above 2000</v>
      </c>
      <c r="P3181" s="2" t="n">
        <f aca="false">Lookups!$B$2*M3181+Lookups!$B$3*L3181</f>
        <v>0</v>
      </c>
      <c r="Q3181" s="2" t="str">
        <f aca="false">INDEX(Lookups!$E$2:$E$5,MATCH(P3181,Lookups!$D$2:$D$5,0))</f>
        <v>Low</v>
      </c>
    </row>
    <row r="3182" customFormat="false" ht="15" hidden="false" customHeight="false" outlineLevel="0" collapsed="false">
      <c r="A3182" s="3" t="n">
        <v>3181</v>
      </c>
      <c r="B3182" s="3" t="n">
        <f aca="false">Raw_Data!A3182</f>
        <v>30</v>
      </c>
      <c r="C3182" s="3" t="str">
        <f aca="false">SUBSTITUTE(Raw_Data!B3182,".","")</f>
        <v>services</v>
      </c>
      <c r="D3182" s="3" t="str">
        <f aca="false">Raw_Data!C3182</f>
        <v>married</v>
      </c>
      <c r="E3182" s="3" t="str">
        <f aca="false">Raw_Data!D3182</f>
        <v>secondary</v>
      </c>
      <c r="F3182" s="3" t="str">
        <f aca="false">Raw_Data!E3182</f>
        <v>no</v>
      </c>
      <c r="G3182" s="3" t="n">
        <f aca="false">Raw_Data!F3182</f>
        <v>0</v>
      </c>
      <c r="H3182" s="3" t="str">
        <f aca="false">Raw_Data!G3182</f>
        <v>yes</v>
      </c>
      <c r="I3182" s="3" t="str">
        <f aca="false">Raw_Data!H3182</f>
        <v>no</v>
      </c>
      <c r="J3182" s="2" t="n">
        <f aca="false">IF(F3182="yes",1,0)</f>
        <v>0</v>
      </c>
      <c r="K3182" s="2" t="n">
        <f aca="false">IF(H3182="yes",1,0)</f>
        <v>1</v>
      </c>
      <c r="L3182" s="2" t="n">
        <f aca="false">IF(I3182="yes",1,0)</f>
        <v>0</v>
      </c>
      <c r="M3182" s="2" t="n">
        <f aca="false">IF(G3182&lt;0,1,0)</f>
        <v>0</v>
      </c>
      <c r="N3182" s="2" t="str">
        <f aca="false">_xlfn.IFS(B3182&lt;30,"Under 30",B3182&lt;40,"30-39",B3182&lt;50,"40-49",B3182&lt;60,"50-59",TRUE(),"60+")</f>
        <v>30-39</v>
      </c>
      <c r="O3182" s="2" t="str">
        <f aca="false">_xlfn.IFS(G3182&lt;0,"1 Negative",G3182=0,"2 Zero",G3182&lt;=500,"3 1-500",G3182&lt;=2000,"4 501-2000",TRUE(),"5 Above 2000")</f>
        <v>2 Zero</v>
      </c>
      <c r="P3182" s="2" t="n">
        <f aca="false">Lookups!$B$2*M3182+Lookups!$B$3*L3182</f>
        <v>0</v>
      </c>
      <c r="Q3182" s="2" t="str">
        <f aca="false">INDEX(Lookups!$E$2:$E$5,MATCH(P3182,Lookups!$D$2:$D$5,0))</f>
        <v>Low</v>
      </c>
    </row>
    <row r="3183" customFormat="false" ht="15" hidden="false" customHeight="false" outlineLevel="0" collapsed="false">
      <c r="A3183" s="3" t="n">
        <v>3182</v>
      </c>
      <c r="B3183" s="3" t="n">
        <f aca="false">Raw_Data!A3183</f>
        <v>33</v>
      </c>
      <c r="C3183" s="3" t="str">
        <f aca="false">SUBSTITUTE(Raw_Data!B3183,".","")</f>
        <v>blue-collar</v>
      </c>
      <c r="D3183" s="3" t="str">
        <f aca="false">Raw_Data!C3183</f>
        <v>married</v>
      </c>
      <c r="E3183" s="3" t="str">
        <f aca="false">Raw_Data!D3183</f>
        <v>secondary</v>
      </c>
      <c r="F3183" s="3" t="str">
        <f aca="false">Raw_Data!E3183</f>
        <v>no</v>
      </c>
      <c r="G3183" s="3" t="n">
        <f aca="false">Raw_Data!F3183</f>
        <v>331</v>
      </c>
      <c r="H3183" s="3" t="str">
        <f aca="false">Raw_Data!G3183</f>
        <v>yes</v>
      </c>
      <c r="I3183" s="3" t="str">
        <f aca="false">Raw_Data!H3183</f>
        <v>no</v>
      </c>
      <c r="J3183" s="2" t="n">
        <f aca="false">IF(F3183="yes",1,0)</f>
        <v>0</v>
      </c>
      <c r="K3183" s="2" t="n">
        <f aca="false">IF(H3183="yes",1,0)</f>
        <v>1</v>
      </c>
      <c r="L3183" s="2" t="n">
        <f aca="false">IF(I3183="yes",1,0)</f>
        <v>0</v>
      </c>
      <c r="M3183" s="2" t="n">
        <f aca="false">IF(G3183&lt;0,1,0)</f>
        <v>0</v>
      </c>
      <c r="N3183" s="2" t="str">
        <f aca="false">_xlfn.IFS(B3183&lt;30,"Under 30",B3183&lt;40,"30-39",B3183&lt;50,"40-49",B3183&lt;60,"50-59",TRUE(),"60+")</f>
        <v>30-39</v>
      </c>
      <c r="O3183" s="2" t="str">
        <f aca="false">_xlfn.IFS(G3183&lt;0,"1 Negative",G3183=0,"2 Zero",G3183&lt;=500,"3 1-500",G3183&lt;=2000,"4 501-2000",TRUE(),"5 Above 2000")</f>
        <v>3 1-500</v>
      </c>
      <c r="P3183" s="2" t="n">
        <f aca="false">Lookups!$B$2*M3183+Lookups!$B$3*L3183</f>
        <v>0</v>
      </c>
      <c r="Q3183" s="2" t="str">
        <f aca="false">INDEX(Lookups!$E$2:$E$5,MATCH(P3183,Lookups!$D$2:$D$5,0))</f>
        <v>Low</v>
      </c>
    </row>
    <row r="3184" customFormat="false" ht="15" hidden="false" customHeight="false" outlineLevel="0" collapsed="false">
      <c r="A3184" s="3" t="n">
        <v>3183</v>
      </c>
      <c r="B3184" s="3" t="n">
        <f aca="false">Raw_Data!A3184</f>
        <v>36</v>
      </c>
      <c r="C3184" s="3" t="str">
        <f aca="false">SUBSTITUTE(Raw_Data!B3184,".","")</f>
        <v>blue-collar</v>
      </c>
      <c r="D3184" s="3" t="str">
        <f aca="false">Raw_Data!C3184</f>
        <v>married</v>
      </c>
      <c r="E3184" s="3" t="str">
        <f aca="false">Raw_Data!D3184</f>
        <v>secondary</v>
      </c>
      <c r="F3184" s="3" t="str">
        <f aca="false">Raw_Data!E3184</f>
        <v>no</v>
      </c>
      <c r="G3184" s="3" t="n">
        <f aca="false">Raw_Data!F3184</f>
        <v>1554</v>
      </c>
      <c r="H3184" s="3" t="str">
        <f aca="false">Raw_Data!G3184</f>
        <v>yes</v>
      </c>
      <c r="I3184" s="3" t="str">
        <f aca="false">Raw_Data!H3184</f>
        <v>no</v>
      </c>
      <c r="J3184" s="2" t="n">
        <f aca="false">IF(F3184="yes",1,0)</f>
        <v>0</v>
      </c>
      <c r="K3184" s="2" t="n">
        <f aca="false">IF(H3184="yes",1,0)</f>
        <v>1</v>
      </c>
      <c r="L3184" s="2" t="n">
        <f aca="false">IF(I3184="yes",1,0)</f>
        <v>0</v>
      </c>
      <c r="M3184" s="2" t="n">
        <f aca="false">IF(G3184&lt;0,1,0)</f>
        <v>0</v>
      </c>
      <c r="N3184" s="2" t="str">
        <f aca="false">_xlfn.IFS(B3184&lt;30,"Under 30",B3184&lt;40,"30-39",B3184&lt;50,"40-49",B3184&lt;60,"50-59",TRUE(),"60+")</f>
        <v>30-39</v>
      </c>
      <c r="O3184" s="2" t="str">
        <f aca="false">_xlfn.IFS(G3184&lt;0,"1 Negative",G3184=0,"2 Zero",G3184&lt;=500,"3 1-500",G3184&lt;=2000,"4 501-2000",TRUE(),"5 Above 2000")</f>
        <v>4 501-2000</v>
      </c>
      <c r="P3184" s="2" t="n">
        <f aca="false">Lookups!$B$2*M3184+Lookups!$B$3*L3184</f>
        <v>0</v>
      </c>
      <c r="Q3184" s="2" t="str">
        <f aca="false">INDEX(Lookups!$E$2:$E$5,MATCH(P3184,Lookups!$D$2:$D$5,0))</f>
        <v>Low</v>
      </c>
    </row>
    <row r="3185" customFormat="false" ht="15" hidden="false" customHeight="false" outlineLevel="0" collapsed="false">
      <c r="A3185" s="3" t="n">
        <v>3184</v>
      </c>
      <c r="B3185" s="3" t="n">
        <f aca="false">Raw_Data!A3185</f>
        <v>32</v>
      </c>
      <c r="C3185" s="3" t="str">
        <f aca="false">SUBSTITUTE(Raw_Data!B3185,".","")</f>
        <v>services</v>
      </c>
      <c r="D3185" s="3" t="str">
        <f aca="false">Raw_Data!C3185</f>
        <v>married</v>
      </c>
      <c r="E3185" s="3" t="str">
        <f aca="false">Raw_Data!D3185</f>
        <v>secondary</v>
      </c>
      <c r="F3185" s="3" t="str">
        <f aca="false">Raw_Data!E3185</f>
        <v>no</v>
      </c>
      <c r="G3185" s="3" t="n">
        <f aca="false">Raw_Data!F3185</f>
        <v>132</v>
      </c>
      <c r="H3185" s="3" t="str">
        <f aca="false">Raw_Data!G3185</f>
        <v>yes</v>
      </c>
      <c r="I3185" s="3" t="str">
        <f aca="false">Raw_Data!H3185</f>
        <v>yes</v>
      </c>
      <c r="J3185" s="2" t="n">
        <f aca="false">IF(F3185="yes",1,0)</f>
        <v>0</v>
      </c>
      <c r="K3185" s="2" t="n">
        <f aca="false">IF(H3185="yes",1,0)</f>
        <v>1</v>
      </c>
      <c r="L3185" s="2" t="n">
        <f aca="false">IF(I3185="yes",1,0)</f>
        <v>1</v>
      </c>
      <c r="M3185" s="2" t="n">
        <f aca="false">IF(G3185&lt;0,1,0)</f>
        <v>0</v>
      </c>
      <c r="N3185" s="2" t="str">
        <f aca="false">_xlfn.IFS(B3185&lt;30,"Under 30",B3185&lt;40,"30-39",B3185&lt;50,"40-49",B3185&lt;60,"50-59",TRUE(),"60+")</f>
        <v>30-39</v>
      </c>
      <c r="O3185" s="2" t="str">
        <f aca="false">_xlfn.IFS(G3185&lt;0,"1 Negative",G3185=0,"2 Zero",G3185&lt;=500,"3 1-500",G3185&lt;=2000,"4 501-2000",TRUE(),"5 Above 2000")</f>
        <v>3 1-500</v>
      </c>
      <c r="P3185" s="2" t="n">
        <f aca="false">Lookups!$B$2*M3185+Lookups!$B$3*L3185</f>
        <v>1</v>
      </c>
      <c r="Q3185" s="2" t="str">
        <f aca="false">INDEX(Lookups!$E$2:$E$5,MATCH(P3185,Lookups!$D$2:$D$5,0))</f>
        <v>Medium</v>
      </c>
    </row>
    <row r="3186" customFormat="false" ht="15" hidden="false" customHeight="false" outlineLevel="0" collapsed="false">
      <c r="A3186" s="3" t="n">
        <v>3185</v>
      </c>
      <c r="B3186" s="3" t="n">
        <f aca="false">Raw_Data!A3186</f>
        <v>34</v>
      </c>
      <c r="C3186" s="3" t="str">
        <f aca="false">SUBSTITUTE(Raw_Data!B3186,".","")</f>
        <v>management</v>
      </c>
      <c r="D3186" s="3" t="str">
        <f aca="false">Raw_Data!C3186</f>
        <v>single</v>
      </c>
      <c r="E3186" s="3" t="str">
        <f aca="false">Raw_Data!D3186</f>
        <v>tertiary</v>
      </c>
      <c r="F3186" s="3" t="str">
        <f aca="false">Raw_Data!E3186</f>
        <v>no</v>
      </c>
      <c r="G3186" s="3" t="n">
        <f aca="false">Raw_Data!F3186</f>
        <v>5086</v>
      </c>
      <c r="H3186" s="3" t="str">
        <f aca="false">Raw_Data!G3186</f>
        <v>no</v>
      </c>
      <c r="I3186" s="3" t="str">
        <f aca="false">Raw_Data!H3186</f>
        <v>no</v>
      </c>
      <c r="J3186" s="2" t="n">
        <f aca="false">IF(F3186="yes",1,0)</f>
        <v>0</v>
      </c>
      <c r="K3186" s="2" t="n">
        <f aca="false">IF(H3186="yes",1,0)</f>
        <v>0</v>
      </c>
      <c r="L3186" s="2" t="n">
        <f aca="false">IF(I3186="yes",1,0)</f>
        <v>0</v>
      </c>
      <c r="M3186" s="2" t="n">
        <f aca="false">IF(G3186&lt;0,1,0)</f>
        <v>0</v>
      </c>
      <c r="N3186" s="2" t="str">
        <f aca="false">_xlfn.IFS(B3186&lt;30,"Under 30",B3186&lt;40,"30-39",B3186&lt;50,"40-49",B3186&lt;60,"50-59",TRUE(),"60+")</f>
        <v>30-39</v>
      </c>
      <c r="O3186" s="2" t="str">
        <f aca="false">_xlfn.IFS(G3186&lt;0,"1 Negative",G3186=0,"2 Zero",G3186&lt;=500,"3 1-500",G3186&lt;=2000,"4 501-2000",TRUE(),"5 Above 2000")</f>
        <v>5 Above 2000</v>
      </c>
      <c r="P3186" s="2" t="n">
        <f aca="false">Lookups!$B$2*M3186+Lookups!$B$3*L3186</f>
        <v>0</v>
      </c>
      <c r="Q3186" s="2" t="str">
        <f aca="false">INDEX(Lookups!$E$2:$E$5,MATCH(P3186,Lookups!$D$2:$D$5,0))</f>
        <v>Low</v>
      </c>
    </row>
    <row r="3187" customFormat="false" ht="15" hidden="false" customHeight="false" outlineLevel="0" collapsed="false">
      <c r="A3187" s="3" t="n">
        <v>3186</v>
      </c>
      <c r="B3187" s="3" t="n">
        <f aca="false">Raw_Data!A3187</f>
        <v>42</v>
      </c>
      <c r="C3187" s="3" t="str">
        <f aca="false">SUBSTITUTE(Raw_Data!B3187,".","")</f>
        <v>admin</v>
      </c>
      <c r="D3187" s="3" t="str">
        <f aca="false">Raw_Data!C3187</f>
        <v>married</v>
      </c>
      <c r="E3187" s="3" t="str">
        <f aca="false">Raw_Data!D3187</f>
        <v>secondary</v>
      </c>
      <c r="F3187" s="3" t="str">
        <f aca="false">Raw_Data!E3187</f>
        <v>no</v>
      </c>
      <c r="G3187" s="3" t="n">
        <f aca="false">Raw_Data!F3187</f>
        <v>529</v>
      </c>
      <c r="H3187" s="3" t="str">
        <f aca="false">Raw_Data!G3187</f>
        <v>yes</v>
      </c>
      <c r="I3187" s="3" t="str">
        <f aca="false">Raw_Data!H3187</f>
        <v>yes</v>
      </c>
      <c r="J3187" s="2" t="n">
        <f aca="false">IF(F3187="yes",1,0)</f>
        <v>0</v>
      </c>
      <c r="K3187" s="2" t="n">
        <f aca="false">IF(H3187="yes",1,0)</f>
        <v>1</v>
      </c>
      <c r="L3187" s="2" t="n">
        <f aca="false">IF(I3187="yes",1,0)</f>
        <v>1</v>
      </c>
      <c r="M3187" s="2" t="n">
        <f aca="false">IF(G3187&lt;0,1,0)</f>
        <v>0</v>
      </c>
      <c r="N3187" s="2" t="str">
        <f aca="false">_xlfn.IFS(B3187&lt;30,"Under 30",B3187&lt;40,"30-39",B3187&lt;50,"40-49",B3187&lt;60,"50-59",TRUE(),"60+")</f>
        <v>40-49</v>
      </c>
      <c r="O3187" s="2" t="str">
        <f aca="false">_xlfn.IFS(G3187&lt;0,"1 Negative",G3187=0,"2 Zero",G3187&lt;=500,"3 1-500",G3187&lt;=2000,"4 501-2000",TRUE(),"5 Above 2000")</f>
        <v>4 501-2000</v>
      </c>
      <c r="P3187" s="2" t="n">
        <f aca="false">Lookups!$B$2*M3187+Lookups!$B$3*L3187</f>
        <v>1</v>
      </c>
      <c r="Q3187" s="2" t="str">
        <f aca="false">INDEX(Lookups!$E$2:$E$5,MATCH(P3187,Lookups!$D$2:$D$5,0))</f>
        <v>Medium</v>
      </c>
    </row>
    <row r="3188" customFormat="false" ht="15" hidden="false" customHeight="false" outlineLevel="0" collapsed="false">
      <c r="A3188" s="3" t="n">
        <v>3187</v>
      </c>
      <c r="B3188" s="3" t="n">
        <f aca="false">Raw_Data!A3188</f>
        <v>41</v>
      </c>
      <c r="C3188" s="3" t="str">
        <f aca="false">SUBSTITUTE(Raw_Data!B3188,".","")</f>
        <v>management</v>
      </c>
      <c r="D3188" s="3" t="str">
        <f aca="false">Raw_Data!C3188</f>
        <v>married</v>
      </c>
      <c r="E3188" s="3" t="str">
        <f aca="false">Raw_Data!D3188</f>
        <v>tertiary</v>
      </c>
      <c r="F3188" s="3" t="str">
        <f aca="false">Raw_Data!E3188</f>
        <v>no</v>
      </c>
      <c r="G3188" s="3" t="n">
        <f aca="false">Raw_Data!F3188</f>
        <v>4824</v>
      </c>
      <c r="H3188" s="3" t="str">
        <f aca="false">Raw_Data!G3188</f>
        <v>no</v>
      </c>
      <c r="I3188" s="3" t="str">
        <f aca="false">Raw_Data!H3188</f>
        <v>yes</v>
      </c>
      <c r="J3188" s="2" t="n">
        <f aca="false">IF(F3188="yes",1,0)</f>
        <v>0</v>
      </c>
      <c r="K3188" s="2" t="n">
        <f aca="false">IF(H3188="yes",1,0)</f>
        <v>0</v>
      </c>
      <c r="L3188" s="2" t="n">
        <f aca="false">IF(I3188="yes",1,0)</f>
        <v>1</v>
      </c>
      <c r="M3188" s="2" t="n">
        <f aca="false">IF(G3188&lt;0,1,0)</f>
        <v>0</v>
      </c>
      <c r="N3188" s="2" t="str">
        <f aca="false">_xlfn.IFS(B3188&lt;30,"Under 30",B3188&lt;40,"30-39",B3188&lt;50,"40-49",B3188&lt;60,"50-59",TRUE(),"60+")</f>
        <v>40-49</v>
      </c>
      <c r="O3188" s="2" t="str">
        <f aca="false">_xlfn.IFS(G3188&lt;0,"1 Negative",G3188=0,"2 Zero",G3188&lt;=500,"3 1-500",G3188&lt;=2000,"4 501-2000",TRUE(),"5 Above 2000")</f>
        <v>5 Above 2000</v>
      </c>
      <c r="P3188" s="2" t="n">
        <f aca="false">Lookups!$B$2*M3188+Lookups!$B$3*L3188</f>
        <v>1</v>
      </c>
      <c r="Q3188" s="2" t="str">
        <f aca="false">INDEX(Lookups!$E$2:$E$5,MATCH(P3188,Lookups!$D$2:$D$5,0))</f>
        <v>Medium</v>
      </c>
    </row>
    <row r="3189" customFormat="false" ht="15" hidden="false" customHeight="false" outlineLevel="0" collapsed="false">
      <c r="A3189" s="3" t="n">
        <v>3188</v>
      </c>
      <c r="B3189" s="3" t="n">
        <f aca="false">Raw_Data!A3189</f>
        <v>63</v>
      </c>
      <c r="C3189" s="3" t="str">
        <f aca="false">SUBSTITUTE(Raw_Data!B3189,".","")</f>
        <v>retired</v>
      </c>
      <c r="D3189" s="3" t="str">
        <f aca="false">Raw_Data!C3189</f>
        <v>married</v>
      </c>
      <c r="E3189" s="3" t="str">
        <f aca="false">Raw_Data!D3189</f>
        <v>secondary</v>
      </c>
      <c r="F3189" s="3" t="str">
        <f aca="false">Raw_Data!E3189</f>
        <v>no</v>
      </c>
      <c r="G3189" s="3" t="n">
        <f aca="false">Raw_Data!F3189</f>
        <v>474</v>
      </c>
      <c r="H3189" s="3" t="str">
        <f aca="false">Raw_Data!G3189</f>
        <v>no</v>
      </c>
      <c r="I3189" s="3" t="str">
        <f aca="false">Raw_Data!H3189</f>
        <v>no</v>
      </c>
      <c r="J3189" s="2" t="n">
        <f aca="false">IF(F3189="yes",1,0)</f>
        <v>0</v>
      </c>
      <c r="K3189" s="2" t="n">
        <f aca="false">IF(H3189="yes",1,0)</f>
        <v>0</v>
      </c>
      <c r="L3189" s="2" t="n">
        <f aca="false">IF(I3189="yes",1,0)</f>
        <v>0</v>
      </c>
      <c r="M3189" s="2" t="n">
        <f aca="false">IF(G3189&lt;0,1,0)</f>
        <v>0</v>
      </c>
      <c r="N3189" s="2" t="str">
        <f aca="false">_xlfn.IFS(B3189&lt;30,"Under 30",B3189&lt;40,"30-39",B3189&lt;50,"40-49",B3189&lt;60,"50-59",TRUE(),"60+")</f>
        <v>60+</v>
      </c>
      <c r="O3189" s="2" t="str">
        <f aca="false">_xlfn.IFS(G3189&lt;0,"1 Negative",G3189=0,"2 Zero",G3189&lt;=500,"3 1-500",G3189&lt;=2000,"4 501-2000",TRUE(),"5 Above 2000")</f>
        <v>3 1-500</v>
      </c>
      <c r="P3189" s="2" t="n">
        <f aca="false">Lookups!$B$2*M3189+Lookups!$B$3*L3189</f>
        <v>0</v>
      </c>
      <c r="Q3189" s="2" t="str">
        <f aca="false">INDEX(Lookups!$E$2:$E$5,MATCH(P3189,Lookups!$D$2:$D$5,0))</f>
        <v>Low</v>
      </c>
    </row>
    <row r="3190" customFormat="false" ht="15" hidden="false" customHeight="false" outlineLevel="0" collapsed="false">
      <c r="A3190" s="3" t="n">
        <v>3189</v>
      </c>
      <c r="B3190" s="3" t="n">
        <f aca="false">Raw_Data!A3190</f>
        <v>38</v>
      </c>
      <c r="C3190" s="3" t="str">
        <f aca="false">SUBSTITUTE(Raw_Data!B3190,".","")</f>
        <v>admin</v>
      </c>
      <c r="D3190" s="3" t="str">
        <f aca="false">Raw_Data!C3190</f>
        <v>divorced</v>
      </c>
      <c r="E3190" s="3" t="str">
        <f aca="false">Raw_Data!D3190</f>
        <v>tertiary</v>
      </c>
      <c r="F3190" s="3" t="str">
        <f aca="false">Raw_Data!E3190</f>
        <v>no</v>
      </c>
      <c r="G3190" s="3" t="n">
        <f aca="false">Raw_Data!F3190</f>
        <v>86</v>
      </c>
      <c r="H3190" s="3" t="str">
        <f aca="false">Raw_Data!G3190</f>
        <v>yes</v>
      </c>
      <c r="I3190" s="3" t="str">
        <f aca="false">Raw_Data!H3190</f>
        <v>no</v>
      </c>
      <c r="J3190" s="2" t="n">
        <f aca="false">IF(F3190="yes",1,0)</f>
        <v>0</v>
      </c>
      <c r="K3190" s="2" t="n">
        <f aca="false">IF(H3190="yes",1,0)</f>
        <v>1</v>
      </c>
      <c r="L3190" s="2" t="n">
        <f aca="false">IF(I3190="yes",1,0)</f>
        <v>0</v>
      </c>
      <c r="M3190" s="2" t="n">
        <f aca="false">IF(G3190&lt;0,1,0)</f>
        <v>0</v>
      </c>
      <c r="N3190" s="2" t="str">
        <f aca="false">_xlfn.IFS(B3190&lt;30,"Under 30",B3190&lt;40,"30-39",B3190&lt;50,"40-49",B3190&lt;60,"50-59",TRUE(),"60+")</f>
        <v>30-39</v>
      </c>
      <c r="O3190" s="2" t="str">
        <f aca="false">_xlfn.IFS(G3190&lt;0,"1 Negative",G3190=0,"2 Zero",G3190&lt;=500,"3 1-500",G3190&lt;=2000,"4 501-2000",TRUE(),"5 Above 2000")</f>
        <v>3 1-500</v>
      </c>
      <c r="P3190" s="2" t="n">
        <f aca="false">Lookups!$B$2*M3190+Lookups!$B$3*L3190</f>
        <v>0</v>
      </c>
      <c r="Q3190" s="2" t="str">
        <f aca="false">INDEX(Lookups!$E$2:$E$5,MATCH(P3190,Lookups!$D$2:$D$5,0))</f>
        <v>Low</v>
      </c>
    </row>
    <row r="3191" customFormat="false" ht="15" hidden="false" customHeight="false" outlineLevel="0" collapsed="false">
      <c r="A3191" s="3" t="n">
        <v>3190</v>
      </c>
      <c r="B3191" s="3" t="n">
        <f aca="false">Raw_Data!A3191</f>
        <v>54</v>
      </c>
      <c r="C3191" s="3" t="str">
        <f aca="false">SUBSTITUTE(Raw_Data!B3191,".","")</f>
        <v>blue-collar</v>
      </c>
      <c r="D3191" s="3" t="str">
        <f aca="false">Raw_Data!C3191</f>
        <v>married</v>
      </c>
      <c r="E3191" s="3" t="str">
        <f aca="false">Raw_Data!D3191</f>
        <v>primary</v>
      </c>
      <c r="F3191" s="3" t="str">
        <f aca="false">Raw_Data!E3191</f>
        <v>no</v>
      </c>
      <c r="G3191" s="3" t="n">
        <f aca="false">Raw_Data!F3191</f>
        <v>2281</v>
      </c>
      <c r="H3191" s="3" t="str">
        <f aca="false">Raw_Data!G3191</f>
        <v>yes</v>
      </c>
      <c r="I3191" s="3" t="str">
        <f aca="false">Raw_Data!H3191</f>
        <v>no</v>
      </c>
      <c r="J3191" s="2" t="n">
        <f aca="false">IF(F3191="yes",1,0)</f>
        <v>0</v>
      </c>
      <c r="K3191" s="2" t="n">
        <f aca="false">IF(H3191="yes",1,0)</f>
        <v>1</v>
      </c>
      <c r="L3191" s="2" t="n">
        <f aca="false">IF(I3191="yes",1,0)</f>
        <v>0</v>
      </c>
      <c r="M3191" s="2" t="n">
        <f aca="false">IF(G3191&lt;0,1,0)</f>
        <v>0</v>
      </c>
      <c r="N3191" s="2" t="str">
        <f aca="false">_xlfn.IFS(B3191&lt;30,"Under 30",B3191&lt;40,"30-39",B3191&lt;50,"40-49",B3191&lt;60,"50-59",TRUE(),"60+")</f>
        <v>50-59</v>
      </c>
      <c r="O3191" s="2" t="str">
        <f aca="false">_xlfn.IFS(G3191&lt;0,"1 Negative",G3191=0,"2 Zero",G3191&lt;=500,"3 1-500",G3191&lt;=2000,"4 501-2000",TRUE(),"5 Above 2000")</f>
        <v>5 Above 2000</v>
      </c>
      <c r="P3191" s="2" t="n">
        <f aca="false">Lookups!$B$2*M3191+Lookups!$B$3*L3191</f>
        <v>0</v>
      </c>
      <c r="Q3191" s="2" t="str">
        <f aca="false">INDEX(Lookups!$E$2:$E$5,MATCH(P3191,Lookups!$D$2:$D$5,0))</f>
        <v>Low</v>
      </c>
    </row>
    <row r="3192" customFormat="false" ht="15" hidden="false" customHeight="false" outlineLevel="0" collapsed="false">
      <c r="A3192" s="3" t="n">
        <v>3191</v>
      </c>
      <c r="B3192" s="3" t="n">
        <f aca="false">Raw_Data!A3192</f>
        <v>39</v>
      </c>
      <c r="C3192" s="3" t="str">
        <f aca="false">SUBSTITUTE(Raw_Data!B3192,".","")</f>
        <v>services</v>
      </c>
      <c r="D3192" s="3" t="str">
        <f aca="false">Raw_Data!C3192</f>
        <v>married</v>
      </c>
      <c r="E3192" s="3" t="str">
        <f aca="false">Raw_Data!D3192</f>
        <v>secondary</v>
      </c>
      <c r="F3192" s="3" t="str">
        <f aca="false">Raw_Data!E3192</f>
        <v>no</v>
      </c>
      <c r="G3192" s="3" t="n">
        <f aca="false">Raw_Data!F3192</f>
        <v>186</v>
      </c>
      <c r="H3192" s="3" t="str">
        <f aca="false">Raw_Data!G3192</f>
        <v>yes</v>
      </c>
      <c r="I3192" s="3" t="str">
        <f aca="false">Raw_Data!H3192</f>
        <v>no</v>
      </c>
      <c r="J3192" s="2" t="n">
        <f aca="false">IF(F3192="yes",1,0)</f>
        <v>0</v>
      </c>
      <c r="K3192" s="2" t="n">
        <f aca="false">IF(H3192="yes",1,0)</f>
        <v>1</v>
      </c>
      <c r="L3192" s="2" t="n">
        <f aca="false">IF(I3192="yes",1,0)</f>
        <v>0</v>
      </c>
      <c r="M3192" s="2" t="n">
        <f aca="false">IF(G3192&lt;0,1,0)</f>
        <v>0</v>
      </c>
      <c r="N3192" s="2" t="str">
        <f aca="false">_xlfn.IFS(B3192&lt;30,"Under 30",B3192&lt;40,"30-39",B3192&lt;50,"40-49",B3192&lt;60,"50-59",TRUE(),"60+")</f>
        <v>30-39</v>
      </c>
      <c r="O3192" s="2" t="str">
        <f aca="false">_xlfn.IFS(G3192&lt;0,"1 Negative",G3192=0,"2 Zero",G3192&lt;=500,"3 1-500",G3192&lt;=2000,"4 501-2000",TRUE(),"5 Above 2000")</f>
        <v>3 1-500</v>
      </c>
      <c r="P3192" s="2" t="n">
        <f aca="false">Lookups!$B$2*M3192+Lookups!$B$3*L3192</f>
        <v>0</v>
      </c>
      <c r="Q3192" s="2" t="str">
        <f aca="false">INDEX(Lookups!$E$2:$E$5,MATCH(P3192,Lookups!$D$2:$D$5,0))</f>
        <v>Low</v>
      </c>
    </row>
    <row r="3193" customFormat="false" ht="15" hidden="false" customHeight="false" outlineLevel="0" collapsed="false">
      <c r="A3193" s="3" t="n">
        <v>3192</v>
      </c>
      <c r="B3193" s="3" t="n">
        <f aca="false">Raw_Data!A3193</f>
        <v>46</v>
      </c>
      <c r="C3193" s="3" t="str">
        <f aca="false">SUBSTITUTE(Raw_Data!B3193,".","")</f>
        <v>blue-collar</v>
      </c>
      <c r="D3193" s="3" t="str">
        <f aca="false">Raw_Data!C3193</f>
        <v>married</v>
      </c>
      <c r="E3193" s="3" t="str">
        <f aca="false">Raw_Data!D3193</f>
        <v>secondary</v>
      </c>
      <c r="F3193" s="3" t="str">
        <f aca="false">Raw_Data!E3193</f>
        <v>no</v>
      </c>
      <c r="G3193" s="3" t="n">
        <f aca="false">Raw_Data!F3193</f>
        <v>137</v>
      </c>
      <c r="H3193" s="3" t="str">
        <f aca="false">Raw_Data!G3193</f>
        <v>no</v>
      </c>
      <c r="I3193" s="3" t="str">
        <f aca="false">Raw_Data!H3193</f>
        <v>no</v>
      </c>
      <c r="J3193" s="2" t="n">
        <f aca="false">IF(F3193="yes",1,0)</f>
        <v>0</v>
      </c>
      <c r="K3193" s="2" t="n">
        <f aca="false">IF(H3193="yes",1,0)</f>
        <v>0</v>
      </c>
      <c r="L3193" s="2" t="n">
        <f aca="false">IF(I3193="yes",1,0)</f>
        <v>0</v>
      </c>
      <c r="M3193" s="2" t="n">
        <f aca="false">IF(G3193&lt;0,1,0)</f>
        <v>0</v>
      </c>
      <c r="N3193" s="2" t="str">
        <f aca="false">_xlfn.IFS(B3193&lt;30,"Under 30",B3193&lt;40,"30-39",B3193&lt;50,"40-49",B3193&lt;60,"50-59",TRUE(),"60+")</f>
        <v>40-49</v>
      </c>
      <c r="O3193" s="2" t="str">
        <f aca="false">_xlfn.IFS(G3193&lt;0,"1 Negative",G3193=0,"2 Zero",G3193&lt;=500,"3 1-500",G3193&lt;=2000,"4 501-2000",TRUE(),"5 Above 2000")</f>
        <v>3 1-500</v>
      </c>
      <c r="P3193" s="2" t="n">
        <f aca="false">Lookups!$B$2*M3193+Lookups!$B$3*L3193</f>
        <v>0</v>
      </c>
      <c r="Q3193" s="2" t="str">
        <f aca="false">INDEX(Lookups!$E$2:$E$5,MATCH(P3193,Lookups!$D$2:$D$5,0))</f>
        <v>Low</v>
      </c>
    </row>
    <row r="3194" customFormat="false" ht="15" hidden="false" customHeight="false" outlineLevel="0" collapsed="false">
      <c r="A3194" s="3" t="n">
        <v>3193</v>
      </c>
      <c r="B3194" s="3" t="n">
        <f aca="false">Raw_Data!A3194</f>
        <v>37</v>
      </c>
      <c r="C3194" s="3" t="str">
        <f aca="false">SUBSTITUTE(Raw_Data!B3194,".","")</f>
        <v>technician</v>
      </c>
      <c r="D3194" s="3" t="str">
        <f aca="false">Raw_Data!C3194</f>
        <v>married</v>
      </c>
      <c r="E3194" s="3" t="str">
        <f aca="false">Raw_Data!D3194</f>
        <v>tertiary</v>
      </c>
      <c r="F3194" s="3" t="str">
        <f aca="false">Raw_Data!E3194</f>
        <v>no</v>
      </c>
      <c r="G3194" s="3" t="n">
        <f aca="false">Raw_Data!F3194</f>
        <v>6968</v>
      </c>
      <c r="H3194" s="3" t="str">
        <f aca="false">Raw_Data!G3194</f>
        <v>no</v>
      </c>
      <c r="I3194" s="3" t="str">
        <f aca="false">Raw_Data!H3194</f>
        <v>no</v>
      </c>
      <c r="J3194" s="2" t="n">
        <f aca="false">IF(F3194="yes",1,0)</f>
        <v>0</v>
      </c>
      <c r="K3194" s="2" t="n">
        <f aca="false">IF(H3194="yes",1,0)</f>
        <v>0</v>
      </c>
      <c r="L3194" s="2" t="n">
        <f aca="false">IF(I3194="yes",1,0)</f>
        <v>0</v>
      </c>
      <c r="M3194" s="2" t="n">
        <f aca="false">IF(G3194&lt;0,1,0)</f>
        <v>0</v>
      </c>
      <c r="N3194" s="2" t="str">
        <f aca="false">_xlfn.IFS(B3194&lt;30,"Under 30",B3194&lt;40,"30-39",B3194&lt;50,"40-49",B3194&lt;60,"50-59",TRUE(),"60+")</f>
        <v>30-39</v>
      </c>
      <c r="O3194" s="2" t="str">
        <f aca="false">_xlfn.IFS(G3194&lt;0,"1 Negative",G3194=0,"2 Zero",G3194&lt;=500,"3 1-500",G3194&lt;=2000,"4 501-2000",TRUE(),"5 Above 2000")</f>
        <v>5 Above 2000</v>
      </c>
      <c r="P3194" s="2" t="n">
        <f aca="false">Lookups!$B$2*M3194+Lookups!$B$3*L3194</f>
        <v>0</v>
      </c>
      <c r="Q3194" s="2" t="str">
        <f aca="false">INDEX(Lookups!$E$2:$E$5,MATCH(P3194,Lookups!$D$2:$D$5,0))</f>
        <v>Low</v>
      </c>
    </row>
    <row r="3195" customFormat="false" ht="15" hidden="false" customHeight="false" outlineLevel="0" collapsed="false">
      <c r="A3195" s="3" t="n">
        <v>3194</v>
      </c>
      <c r="B3195" s="3" t="n">
        <f aca="false">Raw_Data!A3195</f>
        <v>76</v>
      </c>
      <c r="C3195" s="3" t="str">
        <f aca="false">SUBSTITUTE(Raw_Data!B3195,".","")</f>
        <v>retired</v>
      </c>
      <c r="D3195" s="3" t="str">
        <f aca="false">Raw_Data!C3195</f>
        <v>divorced</v>
      </c>
      <c r="E3195" s="3" t="str">
        <f aca="false">Raw_Data!D3195</f>
        <v>primary</v>
      </c>
      <c r="F3195" s="3" t="str">
        <f aca="false">Raw_Data!E3195</f>
        <v>no</v>
      </c>
      <c r="G3195" s="3" t="n">
        <f aca="false">Raw_Data!F3195</f>
        <v>86</v>
      </c>
      <c r="H3195" s="3" t="str">
        <f aca="false">Raw_Data!G3195</f>
        <v>no</v>
      </c>
      <c r="I3195" s="3" t="str">
        <f aca="false">Raw_Data!H3195</f>
        <v>no</v>
      </c>
      <c r="J3195" s="2" t="n">
        <f aca="false">IF(F3195="yes",1,0)</f>
        <v>0</v>
      </c>
      <c r="K3195" s="2" t="n">
        <f aca="false">IF(H3195="yes",1,0)</f>
        <v>0</v>
      </c>
      <c r="L3195" s="2" t="n">
        <f aca="false">IF(I3195="yes",1,0)</f>
        <v>0</v>
      </c>
      <c r="M3195" s="2" t="n">
        <f aca="false">IF(G3195&lt;0,1,0)</f>
        <v>0</v>
      </c>
      <c r="N3195" s="2" t="str">
        <f aca="false">_xlfn.IFS(B3195&lt;30,"Under 30",B3195&lt;40,"30-39",B3195&lt;50,"40-49",B3195&lt;60,"50-59",TRUE(),"60+")</f>
        <v>60+</v>
      </c>
      <c r="O3195" s="2" t="str">
        <f aca="false">_xlfn.IFS(G3195&lt;0,"1 Negative",G3195=0,"2 Zero",G3195&lt;=500,"3 1-500",G3195&lt;=2000,"4 501-2000",TRUE(),"5 Above 2000")</f>
        <v>3 1-500</v>
      </c>
      <c r="P3195" s="2" t="n">
        <f aca="false">Lookups!$B$2*M3195+Lookups!$B$3*L3195</f>
        <v>0</v>
      </c>
      <c r="Q3195" s="2" t="str">
        <f aca="false">INDEX(Lookups!$E$2:$E$5,MATCH(P3195,Lookups!$D$2:$D$5,0))</f>
        <v>Low</v>
      </c>
    </row>
    <row r="3196" customFormat="false" ht="15" hidden="false" customHeight="false" outlineLevel="0" collapsed="false">
      <c r="A3196" s="3" t="n">
        <v>3195</v>
      </c>
      <c r="B3196" s="3" t="n">
        <f aca="false">Raw_Data!A3196</f>
        <v>28</v>
      </c>
      <c r="C3196" s="3" t="str">
        <f aca="false">SUBSTITUTE(Raw_Data!B3196,".","")</f>
        <v>management</v>
      </c>
      <c r="D3196" s="3" t="str">
        <f aca="false">Raw_Data!C3196</f>
        <v>single</v>
      </c>
      <c r="E3196" s="3" t="str">
        <f aca="false">Raw_Data!D3196</f>
        <v>unknown</v>
      </c>
      <c r="F3196" s="3" t="str">
        <f aca="false">Raw_Data!E3196</f>
        <v>no</v>
      </c>
      <c r="G3196" s="3" t="n">
        <f aca="false">Raw_Data!F3196</f>
        <v>81</v>
      </c>
      <c r="H3196" s="3" t="str">
        <f aca="false">Raw_Data!G3196</f>
        <v>no</v>
      </c>
      <c r="I3196" s="3" t="str">
        <f aca="false">Raw_Data!H3196</f>
        <v>yes</v>
      </c>
      <c r="J3196" s="2" t="n">
        <f aca="false">IF(F3196="yes",1,0)</f>
        <v>0</v>
      </c>
      <c r="K3196" s="2" t="n">
        <f aca="false">IF(H3196="yes",1,0)</f>
        <v>0</v>
      </c>
      <c r="L3196" s="2" t="n">
        <f aca="false">IF(I3196="yes",1,0)</f>
        <v>1</v>
      </c>
      <c r="M3196" s="2" t="n">
        <f aca="false">IF(G3196&lt;0,1,0)</f>
        <v>0</v>
      </c>
      <c r="N3196" s="2" t="str">
        <f aca="false">_xlfn.IFS(B3196&lt;30,"Under 30",B3196&lt;40,"30-39",B3196&lt;50,"40-49",B3196&lt;60,"50-59",TRUE(),"60+")</f>
        <v>Under 30</v>
      </c>
      <c r="O3196" s="2" t="str">
        <f aca="false">_xlfn.IFS(G3196&lt;0,"1 Negative",G3196=0,"2 Zero",G3196&lt;=500,"3 1-500",G3196&lt;=2000,"4 501-2000",TRUE(),"5 Above 2000")</f>
        <v>3 1-500</v>
      </c>
      <c r="P3196" s="2" t="n">
        <f aca="false">Lookups!$B$2*M3196+Lookups!$B$3*L3196</f>
        <v>1</v>
      </c>
      <c r="Q3196" s="2" t="str">
        <f aca="false">INDEX(Lookups!$E$2:$E$5,MATCH(P3196,Lookups!$D$2:$D$5,0))</f>
        <v>Medium</v>
      </c>
    </row>
    <row r="3197" customFormat="false" ht="15" hidden="false" customHeight="false" outlineLevel="0" collapsed="false">
      <c r="A3197" s="3" t="n">
        <v>3196</v>
      </c>
      <c r="B3197" s="3" t="n">
        <f aca="false">Raw_Data!A3197</f>
        <v>33</v>
      </c>
      <c r="C3197" s="3" t="str">
        <f aca="false">SUBSTITUTE(Raw_Data!B3197,".","")</f>
        <v>services</v>
      </c>
      <c r="D3197" s="3" t="str">
        <f aca="false">Raw_Data!C3197</f>
        <v>married</v>
      </c>
      <c r="E3197" s="3" t="str">
        <f aca="false">Raw_Data!D3197</f>
        <v>primary</v>
      </c>
      <c r="F3197" s="3" t="str">
        <f aca="false">Raw_Data!E3197</f>
        <v>no</v>
      </c>
      <c r="G3197" s="3" t="n">
        <f aca="false">Raw_Data!F3197</f>
        <v>6904</v>
      </c>
      <c r="H3197" s="3" t="str">
        <f aca="false">Raw_Data!G3197</f>
        <v>no</v>
      </c>
      <c r="I3197" s="3" t="str">
        <f aca="false">Raw_Data!H3197</f>
        <v>no</v>
      </c>
      <c r="J3197" s="2" t="n">
        <f aca="false">IF(F3197="yes",1,0)</f>
        <v>0</v>
      </c>
      <c r="K3197" s="2" t="n">
        <f aca="false">IF(H3197="yes",1,0)</f>
        <v>0</v>
      </c>
      <c r="L3197" s="2" t="n">
        <f aca="false">IF(I3197="yes",1,0)</f>
        <v>0</v>
      </c>
      <c r="M3197" s="2" t="n">
        <f aca="false">IF(G3197&lt;0,1,0)</f>
        <v>0</v>
      </c>
      <c r="N3197" s="2" t="str">
        <f aca="false">_xlfn.IFS(B3197&lt;30,"Under 30",B3197&lt;40,"30-39",B3197&lt;50,"40-49",B3197&lt;60,"50-59",TRUE(),"60+")</f>
        <v>30-39</v>
      </c>
      <c r="O3197" s="2" t="str">
        <f aca="false">_xlfn.IFS(G3197&lt;0,"1 Negative",G3197=0,"2 Zero",G3197&lt;=500,"3 1-500",G3197&lt;=2000,"4 501-2000",TRUE(),"5 Above 2000")</f>
        <v>5 Above 2000</v>
      </c>
      <c r="P3197" s="2" t="n">
        <f aca="false">Lookups!$B$2*M3197+Lookups!$B$3*L3197</f>
        <v>0</v>
      </c>
      <c r="Q3197" s="2" t="str">
        <f aca="false">INDEX(Lookups!$E$2:$E$5,MATCH(P3197,Lookups!$D$2:$D$5,0))</f>
        <v>Low</v>
      </c>
    </row>
    <row r="3198" customFormat="false" ht="15" hidden="false" customHeight="false" outlineLevel="0" collapsed="false">
      <c r="A3198" s="3" t="n">
        <v>3197</v>
      </c>
      <c r="B3198" s="3" t="n">
        <f aca="false">Raw_Data!A3198</f>
        <v>46</v>
      </c>
      <c r="C3198" s="3" t="str">
        <f aca="false">SUBSTITUTE(Raw_Data!B3198,".","")</f>
        <v>self-employed</v>
      </c>
      <c r="D3198" s="3" t="str">
        <f aca="false">Raw_Data!C3198</f>
        <v>married</v>
      </c>
      <c r="E3198" s="3" t="str">
        <f aca="false">Raw_Data!D3198</f>
        <v>tertiary</v>
      </c>
      <c r="F3198" s="3" t="str">
        <f aca="false">Raw_Data!E3198</f>
        <v>no</v>
      </c>
      <c r="G3198" s="3" t="n">
        <f aca="false">Raw_Data!F3198</f>
        <v>137</v>
      </c>
      <c r="H3198" s="3" t="str">
        <f aca="false">Raw_Data!G3198</f>
        <v>yes</v>
      </c>
      <c r="I3198" s="3" t="str">
        <f aca="false">Raw_Data!H3198</f>
        <v>yes</v>
      </c>
      <c r="J3198" s="2" t="n">
        <f aca="false">IF(F3198="yes",1,0)</f>
        <v>0</v>
      </c>
      <c r="K3198" s="2" t="n">
        <f aca="false">IF(H3198="yes",1,0)</f>
        <v>1</v>
      </c>
      <c r="L3198" s="2" t="n">
        <f aca="false">IF(I3198="yes",1,0)</f>
        <v>1</v>
      </c>
      <c r="M3198" s="2" t="n">
        <f aca="false">IF(G3198&lt;0,1,0)</f>
        <v>0</v>
      </c>
      <c r="N3198" s="2" t="str">
        <f aca="false">_xlfn.IFS(B3198&lt;30,"Under 30",B3198&lt;40,"30-39",B3198&lt;50,"40-49",B3198&lt;60,"50-59",TRUE(),"60+")</f>
        <v>40-49</v>
      </c>
      <c r="O3198" s="2" t="str">
        <f aca="false">_xlfn.IFS(G3198&lt;0,"1 Negative",G3198=0,"2 Zero",G3198&lt;=500,"3 1-500",G3198&lt;=2000,"4 501-2000",TRUE(),"5 Above 2000")</f>
        <v>3 1-500</v>
      </c>
      <c r="P3198" s="2" t="n">
        <f aca="false">Lookups!$B$2*M3198+Lookups!$B$3*L3198</f>
        <v>1</v>
      </c>
      <c r="Q3198" s="2" t="str">
        <f aca="false">INDEX(Lookups!$E$2:$E$5,MATCH(P3198,Lookups!$D$2:$D$5,0))</f>
        <v>Medium</v>
      </c>
    </row>
    <row r="3199" customFormat="false" ht="15" hidden="false" customHeight="false" outlineLevel="0" collapsed="false">
      <c r="A3199" s="3" t="n">
        <v>3198</v>
      </c>
      <c r="B3199" s="3" t="n">
        <f aca="false">Raw_Data!A3199</f>
        <v>30</v>
      </c>
      <c r="C3199" s="3" t="str">
        <f aca="false">SUBSTITUTE(Raw_Data!B3199,".","")</f>
        <v>student</v>
      </c>
      <c r="D3199" s="3" t="str">
        <f aca="false">Raw_Data!C3199</f>
        <v>single</v>
      </c>
      <c r="E3199" s="3" t="str">
        <f aca="false">Raw_Data!D3199</f>
        <v>secondary</v>
      </c>
      <c r="F3199" s="3" t="str">
        <f aca="false">Raw_Data!E3199</f>
        <v>no</v>
      </c>
      <c r="G3199" s="3" t="n">
        <f aca="false">Raw_Data!F3199</f>
        <v>25</v>
      </c>
      <c r="H3199" s="3" t="str">
        <f aca="false">Raw_Data!G3199</f>
        <v>no</v>
      </c>
      <c r="I3199" s="3" t="str">
        <f aca="false">Raw_Data!H3199</f>
        <v>no</v>
      </c>
      <c r="J3199" s="2" t="n">
        <f aca="false">IF(F3199="yes",1,0)</f>
        <v>0</v>
      </c>
      <c r="K3199" s="2" t="n">
        <f aca="false">IF(H3199="yes",1,0)</f>
        <v>0</v>
      </c>
      <c r="L3199" s="2" t="n">
        <f aca="false">IF(I3199="yes",1,0)</f>
        <v>0</v>
      </c>
      <c r="M3199" s="2" t="n">
        <f aca="false">IF(G3199&lt;0,1,0)</f>
        <v>0</v>
      </c>
      <c r="N3199" s="2" t="str">
        <f aca="false">_xlfn.IFS(B3199&lt;30,"Under 30",B3199&lt;40,"30-39",B3199&lt;50,"40-49",B3199&lt;60,"50-59",TRUE(),"60+")</f>
        <v>30-39</v>
      </c>
      <c r="O3199" s="2" t="str">
        <f aca="false">_xlfn.IFS(G3199&lt;0,"1 Negative",G3199=0,"2 Zero",G3199&lt;=500,"3 1-500",G3199&lt;=2000,"4 501-2000",TRUE(),"5 Above 2000")</f>
        <v>3 1-500</v>
      </c>
      <c r="P3199" s="2" t="n">
        <f aca="false">Lookups!$B$2*M3199+Lookups!$B$3*L3199</f>
        <v>0</v>
      </c>
      <c r="Q3199" s="2" t="str">
        <f aca="false">INDEX(Lookups!$E$2:$E$5,MATCH(P3199,Lookups!$D$2:$D$5,0))</f>
        <v>Low</v>
      </c>
    </row>
    <row r="3200" customFormat="false" ht="15" hidden="false" customHeight="false" outlineLevel="0" collapsed="false">
      <c r="A3200" s="3" t="n">
        <v>3199</v>
      </c>
      <c r="B3200" s="3" t="n">
        <f aca="false">Raw_Data!A3200</f>
        <v>60</v>
      </c>
      <c r="C3200" s="3" t="str">
        <f aca="false">SUBSTITUTE(Raw_Data!B3200,".","")</f>
        <v>management</v>
      </c>
      <c r="D3200" s="3" t="str">
        <f aca="false">Raw_Data!C3200</f>
        <v>married</v>
      </c>
      <c r="E3200" s="3" t="str">
        <f aca="false">Raw_Data!D3200</f>
        <v>tertiary</v>
      </c>
      <c r="F3200" s="3" t="str">
        <f aca="false">Raw_Data!E3200</f>
        <v>no</v>
      </c>
      <c r="G3200" s="3" t="n">
        <f aca="false">Raw_Data!F3200</f>
        <v>759</v>
      </c>
      <c r="H3200" s="3" t="str">
        <f aca="false">Raw_Data!G3200</f>
        <v>no</v>
      </c>
      <c r="I3200" s="3" t="str">
        <f aca="false">Raw_Data!H3200</f>
        <v>no</v>
      </c>
      <c r="J3200" s="2" t="n">
        <f aca="false">IF(F3200="yes",1,0)</f>
        <v>0</v>
      </c>
      <c r="K3200" s="2" t="n">
        <f aca="false">IF(H3200="yes",1,0)</f>
        <v>0</v>
      </c>
      <c r="L3200" s="2" t="n">
        <f aca="false">IF(I3200="yes",1,0)</f>
        <v>0</v>
      </c>
      <c r="M3200" s="2" t="n">
        <f aca="false">IF(G3200&lt;0,1,0)</f>
        <v>0</v>
      </c>
      <c r="N3200" s="2" t="str">
        <f aca="false">_xlfn.IFS(B3200&lt;30,"Under 30",B3200&lt;40,"30-39",B3200&lt;50,"40-49",B3200&lt;60,"50-59",TRUE(),"60+")</f>
        <v>60+</v>
      </c>
      <c r="O3200" s="2" t="str">
        <f aca="false">_xlfn.IFS(G3200&lt;0,"1 Negative",G3200=0,"2 Zero",G3200&lt;=500,"3 1-500",G3200&lt;=2000,"4 501-2000",TRUE(),"5 Above 2000")</f>
        <v>4 501-2000</v>
      </c>
      <c r="P3200" s="2" t="n">
        <f aca="false">Lookups!$B$2*M3200+Lookups!$B$3*L3200</f>
        <v>0</v>
      </c>
      <c r="Q3200" s="2" t="str">
        <f aca="false">INDEX(Lookups!$E$2:$E$5,MATCH(P3200,Lookups!$D$2:$D$5,0))</f>
        <v>Low</v>
      </c>
    </row>
    <row r="3201" customFormat="false" ht="15" hidden="false" customHeight="false" outlineLevel="0" collapsed="false">
      <c r="A3201" s="3" t="n">
        <v>3200</v>
      </c>
      <c r="B3201" s="3" t="n">
        <f aca="false">Raw_Data!A3201</f>
        <v>56</v>
      </c>
      <c r="C3201" s="3" t="str">
        <f aca="false">SUBSTITUTE(Raw_Data!B3201,".","")</f>
        <v>housemaid</v>
      </c>
      <c r="D3201" s="3" t="str">
        <f aca="false">Raw_Data!C3201</f>
        <v>married</v>
      </c>
      <c r="E3201" s="3" t="str">
        <f aca="false">Raw_Data!D3201</f>
        <v>tertiary</v>
      </c>
      <c r="F3201" s="3" t="str">
        <f aca="false">Raw_Data!E3201</f>
        <v>no</v>
      </c>
      <c r="G3201" s="3" t="n">
        <f aca="false">Raw_Data!F3201</f>
        <v>1922</v>
      </c>
      <c r="H3201" s="3" t="str">
        <f aca="false">Raw_Data!G3201</f>
        <v>yes</v>
      </c>
      <c r="I3201" s="3" t="str">
        <f aca="false">Raw_Data!H3201</f>
        <v>no</v>
      </c>
      <c r="J3201" s="2" t="n">
        <f aca="false">IF(F3201="yes",1,0)</f>
        <v>0</v>
      </c>
      <c r="K3201" s="2" t="n">
        <f aca="false">IF(H3201="yes",1,0)</f>
        <v>1</v>
      </c>
      <c r="L3201" s="2" t="n">
        <f aca="false">IF(I3201="yes",1,0)</f>
        <v>0</v>
      </c>
      <c r="M3201" s="2" t="n">
        <f aca="false">IF(G3201&lt;0,1,0)</f>
        <v>0</v>
      </c>
      <c r="N3201" s="2" t="str">
        <f aca="false">_xlfn.IFS(B3201&lt;30,"Under 30",B3201&lt;40,"30-39",B3201&lt;50,"40-49",B3201&lt;60,"50-59",TRUE(),"60+")</f>
        <v>50-59</v>
      </c>
      <c r="O3201" s="2" t="str">
        <f aca="false">_xlfn.IFS(G3201&lt;0,"1 Negative",G3201=0,"2 Zero",G3201&lt;=500,"3 1-500",G3201&lt;=2000,"4 501-2000",TRUE(),"5 Above 2000")</f>
        <v>4 501-2000</v>
      </c>
      <c r="P3201" s="2" t="n">
        <f aca="false">Lookups!$B$2*M3201+Lookups!$B$3*L3201</f>
        <v>0</v>
      </c>
      <c r="Q3201" s="2" t="str">
        <f aca="false">INDEX(Lookups!$E$2:$E$5,MATCH(P3201,Lookups!$D$2:$D$5,0))</f>
        <v>Low</v>
      </c>
    </row>
    <row r="3202" customFormat="false" ht="15" hidden="false" customHeight="false" outlineLevel="0" collapsed="false">
      <c r="A3202" s="3" t="n">
        <v>3201</v>
      </c>
      <c r="B3202" s="3" t="n">
        <f aca="false">Raw_Data!A3202</f>
        <v>24</v>
      </c>
      <c r="C3202" s="3" t="str">
        <f aca="false">SUBSTITUTE(Raw_Data!B3202,".","")</f>
        <v>student</v>
      </c>
      <c r="D3202" s="3" t="str">
        <f aca="false">Raw_Data!C3202</f>
        <v>single</v>
      </c>
      <c r="E3202" s="3" t="str">
        <f aca="false">Raw_Data!D3202</f>
        <v>unknown</v>
      </c>
      <c r="F3202" s="3" t="str">
        <f aca="false">Raw_Data!E3202</f>
        <v>no</v>
      </c>
      <c r="G3202" s="3" t="n">
        <f aca="false">Raw_Data!F3202</f>
        <v>3298</v>
      </c>
      <c r="H3202" s="3" t="str">
        <f aca="false">Raw_Data!G3202</f>
        <v>yes</v>
      </c>
      <c r="I3202" s="3" t="str">
        <f aca="false">Raw_Data!H3202</f>
        <v>no</v>
      </c>
      <c r="J3202" s="2" t="n">
        <f aca="false">IF(F3202="yes",1,0)</f>
        <v>0</v>
      </c>
      <c r="K3202" s="2" t="n">
        <f aca="false">IF(H3202="yes",1,0)</f>
        <v>1</v>
      </c>
      <c r="L3202" s="2" t="n">
        <f aca="false">IF(I3202="yes",1,0)</f>
        <v>0</v>
      </c>
      <c r="M3202" s="2" t="n">
        <f aca="false">IF(G3202&lt;0,1,0)</f>
        <v>0</v>
      </c>
      <c r="N3202" s="2" t="str">
        <f aca="false">_xlfn.IFS(B3202&lt;30,"Under 30",B3202&lt;40,"30-39",B3202&lt;50,"40-49",B3202&lt;60,"50-59",TRUE(),"60+")</f>
        <v>Under 30</v>
      </c>
      <c r="O3202" s="2" t="str">
        <f aca="false">_xlfn.IFS(G3202&lt;0,"1 Negative",G3202=0,"2 Zero",G3202&lt;=500,"3 1-500",G3202&lt;=2000,"4 501-2000",TRUE(),"5 Above 2000")</f>
        <v>5 Above 2000</v>
      </c>
      <c r="P3202" s="2" t="n">
        <f aca="false">Lookups!$B$2*M3202+Lookups!$B$3*L3202</f>
        <v>0</v>
      </c>
      <c r="Q3202" s="2" t="str">
        <f aca="false">INDEX(Lookups!$E$2:$E$5,MATCH(P3202,Lookups!$D$2:$D$5,0))</f>
        <v>Low</v>
      </c>
    </row>
    <row r="3203" customFormat="false" ht="15" hidden="false" customHeight="false" outlineLevel="0" collapsed="false">
      <c r="A3203" s="3" t="n">
        <v>3202</v>
      </c>
      <c r="B3203" s="3" t="n">
        <f aca="false">Raw_Data!A3203</f>
        <v>58</v>
      </c>
      <c r="C3203" s="3" t="str">
        <f aca="false">SUBSTITUTE(Raw_Data!B3203,".","")</f>
        <v>retired</v>
      </c>
      <c r="D3203" s="3" t="str">
        <f aca="false">Raw_Data!C3203</f>
        <v>married</v>
      </c>
      <c r="E3203" s="3" t="str">
        <f aca="false">Raw_Data!D3203</f>
        <v>secondary</v>
      </c>
      <c r="F3203" s="3" t="str">
        <f aca="false">Raw_Data!E3203</f>
        <v>no</v>
      </c>
      <c r="G3203" s="3" t="n">
        <f aca="false">Raw_Data!F3203</f>
        <v>764</v>
      </c>
      <c r="H3203" s="3" t="str">
        <f aca="false">Raw_Data!G3203</f>
        <v>no</v>
      </c>
      <c r="I3203" s="3" t="str">
        <f aca="false">Raw_Data!H3203</f>
        <v>no</v>
      </c>
      <c r="J3203" s="2" t="n">
        <f aca="false">IF(F3203="yes",1,0)</f>
        <v>0</v>
      </c>
      <c r="K3203" s="2" t="n">
        <f aca="false">IF(H3203="yes",1,0)</f>
        <v>0</v>
      </c>
      <c r="L3203" s="2" t="n">
        <f aca="false">IF(I3203="yes",1,0)</f>
        <v>0</v>
      </c>
      <c r="M3203" s="2" t="n">
        <f aca="false">IF(G3203&lt;0,1,0)</f>
        <v>0</v>
      </c>
      <c r="N3203" s="2" t="str">
        <f aca="false">_xlfn.IFS(B3203&lt;30,"Under 30",B3203&lt;40,"30-39",B3203&lt;50,"40-49",B3203&lt;60,"50-59",TRUE(),"60+")</f>
        <v>50-59</v>
      </c>
      <c r="O3203" s="2" t="str">
        <f aca="false">_xlfn.IFS(G3203&lt;0,"1 Negative",G3203=0,"2 Zero",G3203&lt;=500,"3 1-500",G3203&lt;=2000,"4 501-2000",TRUE(),"5 Above 2000")</f>
        <v>4 501-2000</v>
      </c>
      <c r="P3203" s="2" t="n">
        <f aca="false">Lookups!$B$2*M3203+Lookups!$B$3*L3203</f>
        <v>0</v>
      </c>
      <c r="Q3203" s="2" t="str">
        <f aca="false">INDEX(Lookups!$E$2:$E$5,MATCH(P3203,Lookups!$D$2:$D$5,0))</f>
        <v>Low</v>
      </c>
    </row>
    <row r="3204" customFormat="false" ht="15" hidden="false" customHeight="false" outlineLevel="0" collapsed="false">
      <c r="A3204" s="3" t="n">
        <v>3203</v>
      </c>
      <c r="B3204" s="3" t="n">
        <f aca="false">Raw_Data!A3204</f>
        <v>79</v>
      </c>
      <c r="C3204" s="3" t="str">
        <f aca="false">SUBSTITUTE(Raw_Data!B3204,".","")</f>
        <v>retired</v>
      </c>
      <c r="D3204" s="3" t="str">
        <f aca="false">Raw_Data!C3204</f>
        <v>married</v>
      </c>
      <c r="E3204" s="3" t="str">
        <f aca="false">Raw_Data!D3204</f>
        <v>primary</v>
      </c>
      <c r="F3204" s="3" t="str">
        <f aca="false">Raw_Data!E3204</f>
        <v>no</v>
      </c>
      <c r="G3204" s="3" t="n">
        <f aca="false">Raw_Data!F3204</f>
        <v>8556</v>
      </c>
      <c r="H3204" s="3" t="str">
        <f aca="false">Raw_Data!G3204</f>
        <v>no</v>
      </c>
      <c r="I3204" s="3" t="str">
        <f aca="false">Raw_Data!H3204</f>
        <v>no</v>
      </c>
      <c r="J3204" s="2" t="n">
        <f aca="false">IF(F3204="yes",1,0)</f>
        <v>0</v>
      </c>
      <c r="K3204" s="2" t="n">
        <f aca="false">IF(H3204="yes",1,0)</f>
        <v>0</v>
      </c>
      <c r="L3204" s="2" t="n">
        <f aca="false">IF(I3204="yes",1,0)</f>
        <v>0</v>
      </c>
      <c r="M3204" s="2" t="n">
        <f aca="false">IF(G3204&lt;0,1,0)</f>
        <v>0</v>
      </c>
      <c r="N3204" s="2" t="str">
        <f aca="false">_xlfn.IFS(B3204&lt;30,"Under 30",B3204&lt;40,"30-39",B3204&lt;50,"40-49",B3204&lt;60,"50-59",TRUE(),"60+")</f>
        <v>60+</v>
      </c>
      <c r="O3204" s="2" t="str">
        <f aca="false">_xlfn.IFS(G3204&lt;0,"1 Negative",G3204=0,"2 Zero",G3204&lt;=500,"3 1-500",G3204&lt;=2000,"4 501-2000",TRUE(),"5 Above 2000")</f>
        <v>5 Above 2000</v>
      </c>
      <c r="P3204" s="2" t="n">
        <f aca="false">Lookups!$B$2*M3204+Lookups!$B$3*L3204</f>
        <v>0</v>
      </c>
      <c r="Q3204" s="2" t="str">
        <f aca="false">INDEX(Lookups!$E$2:$E$5,MATCH(P3204,Lookups!$D$2:$D$5,0))</f>
        <v>Low</v>
      </c>
    </row>
    <row r="3205" customFormat="false" ht="15" hidden="false" customHeight="false" outlineLevel="0" collapsed="false">
      <c r="A3205" s="3" t="n">
        <v>3204</v>
      </c>
      <c r="B3205" s="3" t="n">
        <f aca="false">Raw_Data!A3205</f>
        <v>32</v>
      </c>
      <c r="C3205" s="3" t="str">
        <f aca="false">SUBSTITUTE(Raw_Data!B3205,".","")</f>
        <v>blue-collar</v>
      </c>
      <c r="D3205" s="3" t="str">
        <f aca="false">Raw_Data!C3205</f>
        <v>married</v>
      </c>
      <c r="E3205" s="3" t="str">
        <f aca="false">Raw_Data!D3205</f>
        <v>secondary</v>
      </c>
      <c r="F3205" s="3" t="str">
        <f aca="false">Raw_Data!E3205</f>
        <v>no</v>
      </c>
      <c r="G3205" s="3" t="n">
        <f aca="false">Raw_Data!F3205</f>
        <v>3514</v>
      </c>
      <c r="H3205" s="3" t="str">
        <f aca="false">Raw_Data!G3205</f>
        <v>yes</v>
      </c>
      <c r="I3205" s="3" t="str">
        <f aca="false">Raw_Data!H3205</f>
        <v>no</v>
      </c>
      <c r="J3205" s="2" t="n">
        <f aca="false">IF(F3205="yes",1,0)</f>
        <v>0</v>
      </c>
      <c r="K3205" s="2" t="n">
        <f aca="false">IF(H3205="yes",1,0)</f>
        <v>1</v>
      </c>
      <c r="L3205" s="2" t="n">
        <f aca="false">IF(I3205="yes",1,0)</f>
        <v>0</v>
      </c>
      <c r="M3205" s="2" t="n">
        <f aca="false">IF(G3205&lt;0,1,0)</f>
        <v>0</v>
      </c>
      <c r="N3205" s="2" t="str">
        <f aca="false">_xlfn.IFS(B3205&lt;30,"Under 30",B3205&lt;40,"30-39",B3205&lt;50,"40-49",B3205&lt;60,"50-59",TRUE(),"60+")</f>
        <v>30-39</v>
      </c>
      <c r="O3205" s="2" t="str">
        <f aca="false">_xlfn.IFS(G3205&lt;0,"1 Negative",G3205=0,"2 Zero",G3205&lt;=500,"3 1-500",G3205&lt;=2000,"4 501-2000",TRUE(),"5 Above 2000")</f>
        <v>5 Above 2000</v>
      </c>
      <c r="P3205" s="2" t="n">
        <f aca="false">Lookups!$B$2*M3205+Lookups!$B$3*L3205</f>
        <v>0</v>
      </c>
      <c r="Q3205" s="2" t="str">
        <f aca="false">INDEX(Lookups!$E$2:$E$5,MATCH(P3205,Lookups!$D$2:$D$5,0))</f>
        <v>Low</v>
      </c>
    </row>
    <row r="3206" customFormat="false" ht="15" hidden="false" customHeight="false" outlineLevel="0" collapsed="false">
      <c r="A3206" s="3" t="n">
        <v>3205</v>
      </c>
      <c r="B3206" s="3" t="n">
        <f aca="false">Raw_Data!A3206</f>
        <v>33</v>
      </c>
      <c r="C3206" s="3" t="str">
        <f aca="false">SUBSTITUTE(Raw_Data!B3206,".","")</f>
        <v>services</v>
      </c>
      <c r="D3206" s="3" t="str">
        <f aca="false">Raw_Data!C3206</f>
        <v>married</v>
      </c>
      <c r="E3206" s="3" t="str">
        <f aca="false">Raw_Data!D3206</f>
        <v>primary</v>
      </c>
      <c r="F3206" s="3" t="str">
        <f aca="false">Raw_Data!E3206</f>
        <v>no</v>
      </c>
      <c r="G3206" s="3" t="n">
        <f aca="false">Raw_Data!F3206</f>
        <v>0</v>
      </c>
      <c r="H3206" s="3" t="str">
        <f aca="false">Raw_Data!G3206</f>
        <v>yes</v>
      </c>
      <c r="I3206" s="3" t="str">
        <f aca="false">Raw_Data!H3206</f>
        <v>no</v>
      </c>
      <c r="J3206" s="2" t="n">
        <f aca="false">IF(F3206="yes",1,0)</f>
        <v>0</v>
      </c>
      <c r="K3206" s="2" t="n">
        <f aca="false">IF(H3206="yes",1,0)</f>
        <v>1</v>
      </c>
      <c r="L3206" s="2" t="n">
        <f aca="false">IF(I3206="yes",1,0)</f>
        <v>0</v>
      </c>
      <c r="M3206" s="2" t="n">
        <f aca="false">IF(G3206&lt;0,1,0)</f>
        <v>0</v>
      </c>
      <c r="N3206" s="2" t="str">
        <f aca="false">_xlfn.IFS(B3206&lt;30,"Under 30",B3206&lt;40,"30-39",B3206&lt;50,"40-49",B3206&lt;60,"50-59",TRUE(),"60+")</f>
        <v>30-39</v>
      </c>
      <c r="O3206" s="2" t="str">
        <f aca="false">_xlfn.IFS(G3206&lt;0,"1 Negative",G3206=0,"2 Zero",G3206&lt;=500,"3 1-500",G3206&lt;=2000,"4 501-2000",TRUE(),"5 Above 2000")</f>
        <v>2 Zero</v>
      </c>
      <c r="P3206" s="2" t="n">
        <f aca="false">Lookups!$B$2*M3206+Lookups!$B$3*L3206</f>
        <v>0</v>
      </c>
      <c r="Q3206" s="2" t="str">
        <f aca="false">INDEX(Lookups!$E$2:$E$5,MATCH(P3206,Lookups!$D$2:$D$5,0))</f>
        <v>Low</v>
      </c>
    </row>
    <row r="3207" customFormat="false" ht="15" hidden="false" customHeight="false" outlineLevel="0" collapsed="false">
      <c r="A3207" s="3" t="n">
        <v>3206</v>
      </c>
      <c r="B3207" s="3" t="n">
        <f aca="false">Raw_Data!A3207</f>
        <v>77</v>
      </c>
      <c r="C3207" s="3" t="str">
        <f aca="false">SUBSTITUTE(Raw_Data!B3207,".","")</f>
        <v>retired</v>
      </c>
      <c r="D3207" s="3" t="str">
        <f aca="false">Raw_Data!C3207</f>
        <v>married</v>
      </c>
      <c r="E3207" s="3" t="str">
        <f aca="false">Raw_Data!D3207</f>
        <v>primary</v>
      </c>
      <c r="F3207" s="3" t="str">
        <f aca="false">Raw_Data!E3207</f>
        <v>no</v>
      </c>
      <c r="G3207" s="3" t="n">
        <f aca="false">Raw_Data!F3207</f>
        <v>680</v>
      </c>
      <c r="H3207" s="3" t="str">
        <f aca="false">Raw_Data!G3207</f>
        <v>no</v>
      </c>
      <c r="I3207" s="3" t="str">
        <f aca="false">Raw_Data!H3207</f>
        <v>no</v>
      </c>
      <c r="J3207" s="2" t="n">
        <f aca="false">IF(F3207="yes",1,0)</f>
        <v>0</v>
      </c>
      <c r="K3207" s="2" t="n">
        <f aca="false">IF(H3207="yes",1,0)</f>
        <v>0</v>
      </c>
      <c r="L3207" s="2" t="n">
        <f aca="false">IF(I3207="yes",1,0)</f>
        <v>0</v>
      </c>
      <c r="M3207" s="2" t="n">
        <f aca="false">IF(G3207&lt;0,1,0)</f>
        <v>0</v>
      </c>
      <c r="N3207" s="2" t="str">
        <f aca="false">_xlfn.IFS(B3207&lt;30,"Under 30",B3207&lt;40,"30-39",B3207&lt;50,"40-49",B3207&lt;60,"50-59",TRUE(),"60+")</f>
        <v>60+</v>
      </c>
      <c r="O3207" s="2" t="str">
        <f aca="false">_xlfn.IFS(G3207&lt;0,"1 Negative",G3207=0,"2 Zero",G3207&lt;=500,"3 1-500",G3207&lt;=2000,"4 501-2000",TRUE(),"5 Above 2000")</f>
        <v>4 501-2000</v>
      </c>
      <c r="P3207" s="2" t="n">
        <f aca="false">Lookups!$B$2*M3207+Lookups!$B$3*L3207</f>
        <v>0</v>
      </c>
      <c r="Q3207" s="2" t="str">
        <f aca="false">INDEX(Lookups!$E$2:$E$5,MATCH(P3207,Lookups!$D$2:$D$5,0))</f>
        <v>Low</v>
      </c>
    </row>
    <row r="3208" customFormat="false" ht="15" hidden="false" customHeight="false" outlineLevel="0" collapsed="false">
      <c r="A3208" s="3" t="n">
        <v>3207</v>
      </c>
      <c r="B3208" s="3" t="n">
        <f aca="false">Raw_Data!A3208</f>
        <v>60</v>
      </c>
      <c r="C3208" s="3" t="str">
        <f aca="false">SUBSTITUTE(Raw_Data!B3208,".","")</f>
        <v>housemaid</v>
      </c>
      <c r="D3208" s="3" t="str">
        <f aca="false">Raw_Data!C3208</f>
        <v>married</v>
      </c>
      <c r="E3208" s="3" t="str">
        <f aca="false">Raw_Data!D3208</f>
        <v>primary</v>
      </c>
      <c r="F3208" s="3" t="str">
        <f aca="false">Raw_Data!E3208</f>
        <v>no</v>
      </c>
      <c r="G3208" s="3" t="n">
        <f aca="false">Raw_Data!F3208</f>
        <v>0</v>
      </c>
      <c r="H3208" s="3" t="str">
        <f aca="false">Raw_Data!G3208</f>
        <v>no</v>
      </c>
      <c r="I3208" s="3" t="str">
        <f aca="false">Raw_Data!H3208</f>
        <v>yes</v>
      </c>
      <c r="J3208" s="2" t="n">
        <f aca="false">IF(F3208="yes",1,0)</f>
        <v>0</v>
      </c>
      <c r="K3208" s="2" t="n">
        <f aca="false">IF(H3208="yes",1,0)</f>
        <v>0</v>
      </c>
      <c r="L3208" s="2" t="n">
        <f aca="false">IF(I3208="yes",1,0)</f>
        <v>1</v>
      </c>
      <c r="M3208" s="2" t="n">
        <f aca="false">IF(G3208&lt;0,1,0)</f>
        <v>0</v>
      </c>
      <c r="N3208" s="2" t="str">
        <f aca="false">_xlfn.IFS(B3208&lt;30,"Under 30",B3208&lt;40,"30-39",B3208&lt;50,"40-49",B3208&lt;60,"50-59",TRUE(),"60+")</f>
        <v>60+</v>
      </c>
      <c r="O3208" s="2" t="str">
        <f aca="false">_xlfn.IFS(G3208&lt;0,"1 Negative",G3208=0,"2 Zero",G3208&lt;=500,"3 1-500",G3208&lt;=2000,"4 501-2000",TRUE(),"5 Above 2000")</f>
        <v>2 Zero</v>
      </c>
      <c r="P3208" s="2" t="n">
        <f aca="false">Lookups!$B$2*M3208+Lookups!$B$3*L3208</f>
        <v>1</v>
      </c>
      <c r="Q3208" s="2" t="str">
        <f aca="false">INDEX(Lookups!$E$2:$E$5,MATCH(P3208,Lookups!$D$2:$D$5,0))</f>
        <v>Medium</v>
      </c>
    </row>
    <row r="3209" customFormat="false" ht="15" hidden="false" customHeight="false" outlineLevel="0" collapsed="false">
      <c r="A3209" s="3" t="n">
        <v>3208</v>
      </c>
      <c r="B3209" s="3" t="n">
        <f aca="false">Raw_Data!A3209</f>
        <v>54</v>
      </c>
      <c r="C3209" s="3" t="str">
        <f aca="false">SUBSTITUTE(Raw_Data!B3209,".","")</f>
        <v>management</v>
      </c>
      <c r="D3209" s="3" t="str">
        <f aca="false">Raw_Data!C3209</f>
        <v>married</v>
      </c>
      <c r="E3209" s="3" t="str">
        <f aca="false">Raw_Data!D3209</f>
        <v>tertiary</v>
      </c>
      <c r="F3209" s="3" t="str">
        <f aca="false">Raw_Data!E3209</f>
        <v>no</v>
      </c>
      <c r="G3209" s="3" t="n">
        <f aca="false">Raw_Data!F3209</f>
        <v>2819</v>
      </c>
      <c r="H3209" s="3" t="str">
        <f aca="false">Raw_Data!G3209</f>
        <v>no</v>
      </c>
      <c r="I3209" s="3" t="str">
        <f aca="false">Raw_Data!H3209</f>
        <v>no</v>
      </c>
      <c r="J3209" s="2" t="n">
        <f aca="false">IF(F3209="yes",1,0)</f>
        <v>0</v>
      </c>
      <c r="K3209" s="2" t="n">
        <f aca="false">IF(H3209="yes",1,0)</f>
        <v>0</v>
      </c>
      <c r="L3209" s="2" t="n">
        <f aca="false">IF(I3209="yes",1,0)</f>
        <v>0</v>
      </c>
      <c r="M3209" s="2" t="n">
        <f aca="false">IF(G3209&lt;0,1,0)</f>
        <v>0</v>
      </c>
      <c r="N3209" s="2" t="str">
        <f aca="false">_xlfn.IFS(B3209&lt;30,"Under 30",B3209&lt;40,"30-39",B3209&lt;50,"40-49",B3209&lt;60,"50-59",TRUE(),"60+")</f>
        <v>50-59</v>
      </c>
      <c r="O3209" s="2" t="str">
        <f aca="false">_xlfn.IFS(G3209&lt;0,"1 Negative",G3209=0,"2 Zero",G3209&lt;=500,"3 1-500",G3209&lt;=2000,"4 501-2000",TRUE(),"5 Above 2000")</f>
        <v>5 Above 2000</v>
      </c>
      <c r="P3209" s="2" t="n">
        <f aca="false">Lookups!$B$2*M3209+Lookups!$B$3*L3209</f>
        <v>0</v>
      </c>
      <c r="Q3209" s="2" t="str">
        <f aca="false">INDEX(Lookups!$E$2:$E$5,MATCH(P3209,Lookups!$D$2:$D$5,0))</f>
        <v>Low</v>
      </c>
    </row>
    <row r="3210" customFormat="false" ht="15" hidden="false" customHeight="false" outlineLevel="0" collapsed="false">
      <c r="A3210" s="3" t="n">
        <v>3209</v>
      </c>
      <c r="B3210" s="3" t="n">
        <f aca="false">Raw_Data!A3210</f>
        <v>30</v>
      </c>
      <c r="C3210" s="3" t="str">
        <f aca="false">SUBSTITUTE(Raw_Data!B3210,".","")</f>
        <v>blue-collar</v>
      </c>
      <c r="D3210" s="3" t="str">
        <f aca="false">Raw_Data!C3210</f>
        <v>married</v>
      </c>
      <c r="E3210" s="3" t="str">
        <f aca="false">Raw_Data!D3210</f>
        <v>primary</v>
      </c>
      <c r="F3210" s="3" t="str">
        <f aca="false">Raw_Data!E3210</f>
        <v>no</v>
      </c>
      <c r="G3210" s="3" t="n">
        <f aca="false">Raw_Data!F3210</f>
        <v>-518</v>
      </c>
      <c r="H3210" s="3" t="str">
        <f aca="false">Raw_Data!G3210</f>
        <v>yes</v>
      </c>
      <c r="I3210" s="3" t="str">
        <f aca="false">Raw_Data!H3210</f>
        <v>yes</v>
      </c>
      <c r="J3210" s="2" t="n">
        <f aca="false">IF(F3210="yes",1,0)</f>
        <v>0</v>
      </c>
      <c r="K3210" s="2" t="n">
        <f aca="false">IF(H3210="yes",1,0)</f>
        <v>1</v>
      </c>
      <c r="L3210" s="2" t="n">
        <f aca="false">IF(I3210="yes",1,0)</f>
        <v>1</v>
      </c>
      <c r="M3210" s="2" t="n">
        <f aca="false">IF(G3210&lt;0,1,0)</f>
        <v>1</v>
      </c>
      <c r="N3210" s="2" t="str">
        <f aca="false">_xlfn.IFS(B3210&lt;30,"Under 30",B3210&lt;40,"30-39",B3210&lt;50,"40-49",B3210&lt;60,"50-59",TRUE(),"60+")</f>
        <v>30-39</v>
      </c>
      <c r="O3210" s="2" t="str">
        <f aca="false">_xlfn.IFS(G3210&lt;0,"1 Negative",G3210=0,"2 Zero",G3210&lt;=500,"3 1-500",G3210&lt;=2000,"4 501-2000",TRUE(),"5 Above 2000")</f>
        <v>1 Negative</v>
      </c>
      <c r="P3210" s="2" t="n">
        <f aca="false">Lookups!$B$2*M3210+Lookups!$B$3*L3210</f>
        <v>3</v>
      </c>
      <c r="Q3210" s="2" t="str">
        <f aca="false">INDEX(Lookups!$E$2:$E$5,MATCH(P3210,Lookups!$D$2:$D$5,0))</f>
        <v>High</v>
      </c>
    </row>
    <row r="3211" customFormat="false" ht="15" hidden="false" customHeight="false" outlineLevel="0" collapsed="false">
      <c r="A3211" s="3" t="n">
        <v>3210</v>
      </c>
      <c r="B3211" s="3" t="n">
        <f aca="false">Raw_Data!A3211</f>
        <v>50</v>
      </c>
      <c r="C3211" s="3" t="str">
        <f aca="false">SUBSTITUTE(Raw_Data!B3211,".","")</f>
        <v>services</v>
      </c>
      <c r="D3211" s="3" t="str">
        <f aca="false">Raw_Data!C3211</f>
        <v>married</v>
      </c>
      <c r="E3211" s="3" t="str">
        <f aca="false">Raw_Data!D3211</f>
        <v>secondary</v>
      </c>
      <c r="F3211" s="3" t="str">
        <f aca="false">Raw_Data!E3211</f>
        <v>no</v>
      </c>
      <c r="G3211" s="3" t="n">
        <f aca="false">Raw_Data!F3211</f>
        <v>60</v>
      </c>
      <c r="H3211" s="3" t="str">
        <f aca="false">Raw_Data!G3211</f>
        <v>no</v>
      </c>
      <c r="I3211" s="3" t="str">
        <f aca="false">Raw_Data!H3211</f>
        <v>yes</v>
      </c>
      <c r="J3211" s="2" t="n">
        <f aca="false">IF(F3211="yes",1,0)</f>
        <v>0</v>
      </c>
      <c r="K3211" s="2" t="n">
        <f aca="false">IF(H3211="yes",1,0)</f>
        <v>0</v>
      </c>
      <c r="L3211" s="2" t="n">
        <f aca="false">IF(I3211="yes",1,0)</f>
        <v>1</v>
      </c>
      <c r="M3211" s="2" t="n">
        <f aca="false">IF(G3211&lt;0,1,0)</f>
        <v>0</v>
      </c>
      <c r="N3211" s="2" t="str">
        <f aca="false">_xlfn.IFS(B3211&lt;30,"Under 30",B3211&lt;40,"30-39",B3211&lt;50,"40-49",B3211&lt;60,"50-59",TRUE(),"60+")</f>
        <v>50-59</v>
      </c>
      <c r="O3211" s="2" t="str">
        <f aca="false">_xlfn.IFS(G3211&lt;0,"1 Negative",G3211=0,"2 Zero",G3211&lt;=500,"3 1-500",G3211&lt;=2000,"4 501-2000",TRUE(),"5 Above 2000")</f>
        <v>3 1-500</v>
      </c>
      <c r="P3211" s="2" t="n">
        <f aca="false">Lookups!$B$2*M3211+Lookups!$B$3*L3211</f>
        <v>1</v>
      </c>
      <c r="Q3211" s="2" t="str">
        <f aca="false">INDEX(Lookups!$E$2:$E$5,MATCH(P3211,Lookups!$D$2:$D$5,0))</f>
        <v>Medium</v>
      </c>
    </row>
    <row r="3212" customFormat="false" ht="15" hidden="false" customHeight="false" outlineLevel="0" collapsed="false">
      <c r="A3212" s="3" t="n">
        <v>3211</v>
      </c>
      <c r="B3212" s="3" t="n">
        <f aca="false">Raw_Data!A3212</f>
        <v>50</v>
      </c>
      <c r="C3212" s="3" t="str">
        <f aca="false">SUBSTITUTE(Raw_Data!B3212,".","")</f>
        <v>management</v>
      </c>
      <c r="D3212" s="3" t="str">
        <f aca="false">Raw_Data!C3212</f>
        <v>married</v>
      </c>
      <c r="E3212" s="3" t="str">
        <f aca="false">Raw_Data!D3212</f>
        <v>secondary</v>
      </c>
      <c r="F3212" s="3" t="str">
        <f aca="false">Raw_Data!E3212</f>
        <v>no</v>
      </c>
      <c r="G3212" s="3" t="n">
        <f aca="false">Raw_Data!F3212</f>
        <v>732</v>
      </c>
      <c r="H3212" s="3" t="str">
        <f aca="false">Raw_Data!G3212</f>
        <v>no</v>
      </c>
      <c r="I3212" s="3" t="str">
        <f aca="false">Raw_Data!H3212</f>
        <v>no</v>
      </c>
      <c r="J3212" s="2" t="n">
        <f aca="false">IF(F3212="yes",1,0)</f>
        <v>0</v>
      </c>
      <c r="K3212" s="2" t="n">
        <f aca="false">IF(H3212="yes",1,0)</f>
        <v>0</v>
      </c>
      <c r="L3212" s="2" t="n">
        <f aca="false">IF(I3212="yes",1,0)</f>
        <v>0</v>
      </c>
      <c r="M3212" s="2" t="n">
        <f aca="false">IF(G3212&lt;0,1,0)</f>
        <v>0</v>
      </c>
      <c r="N3212" s="2" t="str">
        <f aca="false">_xlfn.IFS(B3212&lt;30,"Under 30",B3212&lt;40,"30-39",B3212&lt;50,"40-49",B3212&lt;60,"50-59",TRUE(),"60+")</f>
        <v>50-59</v>
      </c>
      <c r="O3212" s="2" t="str">
        <f aca="false">_xlfn.IFS(G3212&lt;0,"1 Negative",G3212=0,"2 Zero",G3212&lt;=500,"3 1-500",G3212&lt;=2000,"4 501-2000",TRUE(),"5 Above 2000")</f>
        <v>4 501-2000</v>
      </c>
      <c r="P3212" s="2" t="n">
        <f aca="false">Lookups!$B$2*M3212+Lookups!$B$3*L3212</f>
        <v>0</v>
      </c>
      <c r="Q3212" s="2" t="str">
        <f aca="false">INDEX(Lookups!$E$2:$E$5,MATCH(P3212,Lookups!$D$2:$D$5,0))</f>
        <v>Low</v>
      </c>
    </row>
    <row r="3213" customFormat="false" ht="15" hidden="false" customHeight="false" outlineLevel="0" collapsed="false">
      <c r="A3213" s="3" t="n">
        <v>3212</v>
      </c>
      <c r="B3213" s="3" t="n">
        <f aca="false">Raw_Data!A3213</f>
        <v>37</v>
      </c>
      <c r="C3213" s="3" t="str">
        <f aca="false">SUBSTITUTE(Raw_Data!B3213,".","")</f>
        <v>technician</v>
      </c>
      <c r="D3213" s="3" t="str">
        <f aca="false">Raw_Data!C3213</f>
        <v>married</v>
      </c>
      <c r="E3213" s="3" t="str">
        <f aca="false">Raw_Data!D3213</f>
        <v>secondary</v>
      </c>
      <c r="F3213" s="3" t="str">
        <f aca="false">Raw_Data!E3213</f>
        <v>no</v>
      </c>
      <c r="G3213" s="3" t="n">
        <f aca="false">Raw_Data!F3213</f>
        <v>2707</v>
      </c>
      <c r="H3213" s="3" t="str">
        <f aca="false">Raw_Data!G3213</f>
        <v>yes</v>
      </c>
      <c r="I3213" s="3" t="str">
        <f aca="false">Raw_Data!H3213</f>
        <v>no</v>
      </c>
      <c r="J3213" s="2" t="n">
        <f aca="false">IF(F3213="yes",1,0)</f>
        <v>0</v>
      </c>
      <c r="K3213" s="2" t="n">
        <f aca="false">IF(H3213="yes",1,0)</f>
        <v>1</v>
      </c>
      <c r="L3213" s="2" t="n">
        <f aca="false">IF(I3213="yes",1,0)</f>
        <v>0</v>
      </c>
      <c r="M3213" s="2" t="n">
        <f aca="false">IF(G3213&lt;0,1,0)</f>
        <v>0</v>
      </c>
      <c r="N3213" s="2" t="str">
        <f aca="false">_xlfn.IFS(B3213&lt;30,"Under 30",B3213&lt;40,"30-39",B3213&lt;50,"40-49",B3213&lt;60,"50-59",TRUE(),"60+")</f>
        <v>30-39</v>
      </c>
      <c r="O3213" s="2" t="str">
        <f aca="false">_xlfn.IFS(G3213&lt;0,"1 Negative",G3213=0,"2 Zero",G3213&lt;=500,"3 1-500",G3213&lt;=2000,"4 501-2000",TRUE(),"5 Above 2000")</f>
        <v>5 Above 2000</v>
      </c>
      <c r="P3213" s="2" t="n">
        <f aca="false">Lookups!$B$2*M3213+Lookups!$B$3*L3213</f>
        <v>0</v>
      </c>
      <c r="Q3213" s="2" t="str">
        <f aca="false">INDEX(Lookups!$E$2:$E$5,MATCH(P3213,Lookups!$D$2:$D$5,0))</f>
        <v>Low</v>
      </c>
    </row>
    <row r="3214" customFormat="false" ht="15" hidden="false" customHeight="false" outlineLevel="0" collapsed="false">
      <c r="A3214" s="3" t="n">
        <v>3213</v>
      </c>
      <c r="B3214" s="3" t="n">
        <f aca="false">Raw_Data!A3214</f>
        <v>41</v>
      </c>
      <c r="C3214" s="3" t="str">
        <f aca="false">SUBSTITUTE(Raw_Data!B3214,".","")</f>
        <v>technician</v>
      </c>
      <c r="D3214" s="3" t="str">
        <f aca="false">Raw_Data!C3214</f>
        <v>married</v>
      </c>
      <c r="E3214" s="3" t="str">
        <f aca="false">Raw_Data!D3214</f>
        <v>tertiary</v>
      </c>
      <c r="F3214" s="3" t="str">
        <f aca="false">Raw_Data!E3214</f>
        <v>no</v>
      </c>
      <c r="G3214" s="3" t="n">
        <f aca="false">Raw_Data!F3214</f>
        <v>177</v>
      </c>
      <c r="H3214" s="3" t="str">
        <f aca="false">Raw_Data!G3214</f>
        <v>yes</v>
      </c>
      <c r="I3214" s="3" t="str">
        <f aca="false">Raw_Data!H3214</f>
        <v>no</v>
      </c>
      <c r="J3214" s="2" t="n">
        <f aca="false">IF(F3214="yes",1,0)</f>
        <v>0</v>
      </c>
      <c r="K3214" s="2" t="n">
        <f aca="false">IF(H3214="yes",1,0)</f>
        <v>1</v>
      </c>
      <c r="L3214" s="2" t="n">
        <f aca="false">IF(I3214="yes",1,0)</f>
        <v>0</v>
      </c>
      <c r="M3214" s="2" t="n">
        <f aca="false">IF(G3214&lt;0,1,0)</f>
        <v>0</v>
      </c>
      <c r="N3214" s="2" t="str">
        <f aca="false">_xlfn.IFS(B3214&lt;30,"Under 30",B3214&lt;40,"30-39",B3214&lt;50,"40-49",B3214&lt;60,"50-59",TRUE(),"60+")</f>
        <v>40-49</v>
      </c>
      <c r="O3214" s="2" t="str">
        <f aca="false">_xlfn.IFS(G3214&lt;0,"1 Negative",G3214=0,"2 Zero",G3214&lt;=500,"3 1-500",G3214&lt;=2000,"4 501-2000",TRUE(),"5 Above 2000")</f>
        <v>3 1-500</v>
      </c>
      <c r="P3214" s="2" t="n">
        <f aca="false">Lookups!$B$2*M3214+Lookups!$B$3*L3214</f>
        <v>0</v>
      </c>
      <c r="Q3214" s="2" t="str">
        <f aca="false">INDEX(Lookups!$E$2:$E$5,MATCH(P3214,Lookups!$D$2:$D$5,0))</f>
        <v>Low</v>
      </c>
    </row>
    <row r="3215" customFormat="false" ht="15" hidden="false" customHeight="false" outlineLevel="0" collapsed="false">
      <c r="A3215" s="3" t="n">
        <v>3214</v>
      </c>
      <c r="B3215" s="3" t="n">
        <f aca="false">Raw_Data!A3215</f>
        <v>49</v>
      </c>
      <c r="C3215" s="3" t="str">
        <f aca="false">SUBSTITUTE(Raw_Data!B3215,".","")</f>
        <v>admin</v>
      </c>
      <c r="D3215" s="3" t="str">
        <f aca="false">Raw_Data!C3215</f>
        <v>married</v>
      </c>
      <c r="E3215" s="3" t="str">
        <f aca="false">Raw_Data!D3215</f>
        <v>secondary</v>
      </c>
      <c r="F3215" s="3" t="str">
        <f aca="false">Raw_Data!E3215</f>
        <v>no</v>
      </c>
      <c r="G3215" s="3" t="n">
        <f aca="false">Raw_Data!F3215</f>
        <v>13229</v>
      </c>
      <c r="H3215" s="3" t="str">
        <f aca="false">Raw_Data!G3215</f>
        <v>no</v>
      </c>
      <c r="I3215" s="3" t="str">
        <f aca="false">Raw_Data!H3215</f>
        <v>yes</v>
      </c>
      <c r="J3215" s="2" t="n">
        <f aca="false">IF(F3215="yes",1,0)</f>
        <v>0</v>
      </c>
      <c r="K3215" s="2" t="n">
        <f aca="false">IF(H3215="yes",1,0)</f>
        <v>0</v>
      </c>
      <c r="L3215" s="2" t="n">
        <f aca="false">IF(I3215="yes",1,0)</f>
        <v>1</v>
      </c>
      <c r="M3215" s="2" t="n">
        <f aca="false">IF(G3215&lt;0,1,0)</f>
        <v>0</v>
      </c>
      <c r="N3215" s="2" t="str">
        <f aca="false">_xlfn.IFS(B3215&lt;30,"Under 30",B3215&lt;40,"30-39",B3215&lt;50,"40-49",B3215&lt;60,"50-59",TRUE(),"60+")</f>
        <v>40-49</v>
      </c>
      <c r="O3215" s="2" t="str">
        <f aca="false">_xlfn.IFS(G3215&lt;0,"1 Negative",G3215=0,"2 Zero",G3215&lt;=500,"3 1-500",G3215&lt;=2000,"4 501-2000",TRUE(),"5 Above 2000")</f>
        <v>5 Above 2000</v>
      </c>
      <c r="P3215" s="2" t="n">
        <f aca="false">Lookups!$B$2*M3215+Lookups!$B$3*L3215</f>
        <v>1</v>
      </c>
      <c r="Q3215" s="2" t="str">
        <f aca="false">INDEX(Lookups!$E$2:$E$5,MATCH(P3215,Lookups!$D$2:$D$5,0))</f>
        <v>Medium</v>
      </c>
    </row>
    <row r="3216" customFormat="false" ht="15" hidden="false" customHeight="false" outlineLevel="0" collapsed="false">
      <c r="A3216" s="3" t="n">
        <v>3215</v>
      </c>
      <c r="B3216" s="3" t="n">
        <f aca="false">Raw_Data!A3216</f>
        <v>41</v>
      </c>
      <c r="C3216" s="3" t="str">
        <f aca="false">SUBSTITUTE(Raw_Data!B3216,".","")</f>
        <v>blue-collar</v>
      </c>
      <c r="D3216" s="3" t="str">
        <f aca="false">Raw_Data!C3216</f>
        <v>married</v>
      </c>
      <c r="E3216" s="3" t="str">
        <f aca="false">Raw_Data!D3216</f>
        <v>primary</v>
      </c>
      <c r="F3216" s="3" t="str">
        <f aca="false">Raw_Data!E3216</f>
        <v>no</v>
      </c>
      <c r="G3216" s="3" t="n">
        <f aca="false">Raw_Data!F3216</f>
        <v>-204</v>
      </c>
      <c r="H3216" s="3" t="str">
        <f aca="false">Raw_Data!G3216</f>
        <v>yes</v>
      </c>
      <c r="I3216" s="3" t="str">
        <f aca="false">Raw_Data!H3216</f>
        <v>yes</v>
      </c>
      <c r="J3216" s="2" t="n">
        <f aca="false">IF(F3216="yes",1,0)</f>
        <v>0</v>
      </c>
      <c r="K3216" s="2" t="n">
        <f aca="false">IF(H3216="yes",1,0)</f>
        <v>1</v>
      </c>
      <c r="L3216" s="2" t="n">
        <f aca="false">IF(I3216="yes",1,0)</f>
        <v>1</v>
      </c>
      <c r="M3216" s="2" t="n">
        <f aca="false">IF(G3216&lt;0,1,0)</f>
        <v>1</v>
      </c>
      <c r="N3216" s="2" t="str">
        <f aca="false">_xlfn.IFS(B3216&lt;30,"Under 30",B3216&lt;40,"30-39",B3216&lt;50,"40-49",B3216&lt;60,"50-59",TRUE(),"60+")</f>
        <v>40-49</v>
      </c>
      <c r="O3216" s="2" t="str">
        <f aca="false">_xlfn.IFS(G3216&lt;0,"1 Negative",G3216=0,"2 Zero",G3216&lt;=500,"3 1-500",G3216&lt;=2000,"4 501-2000",TRUE(),"5 Above 2000")</f>
        <v>1 Negative</v>
      </c>
      <c r="P3216" s="2" t="n">
        <f aca="false">Lookups!$B$2*M3216+Lookups!$B$3*L3216</f>
        <v>3</v>
      </c>
      <c r="Q3216" s="2" t="str">
        <f aca="false">INDEX(Lookups!$E$2:$E$5,MATCH(P3216,Lookups!$D$2:$D$5,0))</f>
        <v>High</v>
      </c>
    </row>
    <row r="3217" customFormat="false" ht="15" hidden="false" customHeight="false" outlineLevel="0" collapsed="false">
      <c r="A3217" s="3" t="n">
        <v>3216</v>
      </c>
      <c r="B3217" s="3" t="n">
        <f aca="false">Raw_Data!A3217</f>
        <v>40</v>
      </c>
      <c r="C3217" s="3" t="str">
        <f aca="false">SUBSTITUTE(Raw_Data!B3217,".","")</f>
        <v>technician</v>
      </c>
      <c r="D3217" s="3" t="str">
        <f aca="false">Raw_Data!C3217</f>
        <v>married</v>
      </c>
      <c r="E3217" s="3" t="str">
        <f aca="false">Raw_Data!D3217</f>
        <v>secondary</v>
      </c>
      <c r="F3217" s="3" t="str">
        <f aca="false">Raw_Data!E3217</f>
        <v>no</v>
      </c>
      <c r="G3217" s="3" t="n">
        <f aca="false">Raw_Data!F3217</f>
        <v>990</v>
      </c>
      <c r="H3217" s="3" t="str">
        <f aca="false">Raw_Data!G3217</f>
        <v>yes</v>
      </c>
      <c r="I3217" s="3" t="str">
        <f aca="false">Raw_Data!H3217</f>
        <v>no</v>
      </c>
      <c r="J3217" s="2" t="n">
        <f aca="false">IF(F3217="yes",1,0)</f>
        <v>0</v>
      </c>
      <c r="K3217" s="2" t="n">
        <f aca="false">IF(H3217="yes",1,0)</f>
        <v>1</v>
      </c>
      <c r="L3217" s="2" t="n">
        <f aca="false">IF(I3217="yes",1,0)</f>
        <v>0</v>
      </c>
      <c r="M3217" s="2" t="n">
        <f aca="false">IF(G3217&lt;0,1,0)</f>
        <v>0</v>
      </c>
      <c r="N3217" s="2" t="str">
        <f aca="false">_xlfn.IFS(B3217&lt;30,"Under 30",B3217&lt;40,"30-39",B3217&lt;50,"40-49",B3217&lt;60,"50-59",TRUE(),"60+")</f>
        <v>40-49</v>
      </c>
      <c r="O3217" s="2" t="str">
        <f aca="false">_xlfn.IFS(G3217&lt;0,"1 Negative",G3217=0,"2 Zero",G3217&lt;=500,"3 1-500",G3217&lt;=2000,"4 501-2000",TRUE(),"5 Above 2000")</f>
        <v>4 501-2000</v>
      </c>
      <c r="P3217" s="2" t="n">
        <f aca="false">Lookups!$B$2*M3217+Lookups!$B$3*L3217</f>
        <v>0</v>
      </c>
      <c r="Q3217" s="2" t="str">
        <f aca="false">INDEX(Lookups!$E$2:$E$5,MATCH(P3217,Lookups!$D$2:$D$5,0))</f>
        <v>Low</v>
      </c>
    </row>
    <row r="3218" customFormat="false" ht="15" hidden="false" customHeight="false" outlineLevel="0" collapsed="false">
      <c r="A3218" s="3" t="n">
        <v>3217</v>
      </c>
      <c r="B3218" s="3" t="n">
        <f aca="false">Raw_Data!A3218</f>
        <v>38</v>
      </c>
      <c r="C3218" s="3" t="str">
        <f aca="false">SUBSTITUTE(Raw_Data!B3218,".","")</f>
        <v>blue-collar</v>
      </c>
      <c r="D3218" s="3" t="str">
        <f aca="false">Raw_Data!C3218</f>
        <v>married</v>
      </c>
      <c r="E3218" s="3" t="str">
        <f aca="false">Raw_Data!D3218</f>
        <v>secondary</v>
      </c>
      <c r="F3218" s="3" t="str">
        <f aca="false">Raw_Data!E3218</f>
        <v>no</v>
      </c>
      <c r="G3218" s="3" t="n">
        <f aca="false">Raw_Data!F3218</f>
        <v>648</v>
      </c>
      <c r="H3218" s="3" t="str">
        <f aca="false">Raw_Data!G3218</f>
        <v>yes</v>
      </c>
      <c r="I3218" s="3" t="str">
        <f aca="false">Raw_Data!H3218</f>
        <v>no</v>
      </c>
      <c r="J3218" s="2" t="n">
        <f aca="false">IF(F3218="yes",1,0)</f>
        <v>0</v>
      </c>
      <c r="K3218" s="2" t="n">
        <f aca="false">IF(H3218="yes",1,0)</f>
        <v>1</v>
      </c>
      <c r="L3218" s="2" t="n">
        <f aca="false">IF(I3218="yes",1,0)</f>
        <v>0</v>
      </c>
      <c r="M3218" s="2" t="n">
        <f aca="false">IF(G3218&lt;0,1,0)</f>
        <v>0</v>
      </c>
      <c r="N3218" s="2" t="str">
        <f aca="false">_xlfn.IFS(B3218&lt;30,"Under 30",B3218&lt;40,"30-39",B3218&lt;50,"40-49",B3218&lt;60,"50-59",TRUE(),"60+")</f>
        <v>30-39</v>
      </c>
      <c r="O3218" s="2" t="str">
        <f aca="false">_xlfn.IFS(G3218&lt;0,"1 Negative",G3218=0,"2 Zero",G3218&lt;=500,"3 1-500",G3218&lt;=2000,"4 501-2000",TRUE(),"5 Above 2000")</f>
        <v>4 501-2000</v>
      </c>
      <c r="P3218" s="2" t="n">
        <f aca="false">Lookups!$B$2*M3218+Lookups!$B$3*L3218</f>
        <v>0</v>
      </c>
      <c r="Q3218" s="2" t="str">
        <f aca="false">INDEX(Lookups!$E$2:$E$5,MATCH(P3218,Lookups!$D$2:$D$5,0))</f>
        <v>Low</v>
      </c>
    </row>
    <row r="3219" customFormat="false" ht="15" hidden="false" customHeight="false" outlineLevel="0" collapsed="false">
      <c r="A3219" s="3" t="n">
        <v>3218</v>
      </c>
      <c r="B3219" s="3" t="n">
        <f aca="false">Raw_Data!A3219</f>
        <v>34</v>
      </c>
      <c r="C3219" s="3" t="str">
        <f aca="false">SUBSTITUTE(Raw_Data!B3219,".","")</f>
        <v>technician</v>
      </c>
      <c r="D3219" s="3" t="str">
        <f aca="false">Raw_Data!C3219</f>
        <v>married</v>
      </c>
      <c r="E3219" s="3" t="str">
        <f aca="false">Raw_Data!D3219</f>
        <v>secondary</v>
      </c>
      <c r="F3219" s="3" t="str">
        <f aca="false">Raw_Data!E3219</f>
        <v>no</v>
      </c>
      <c r="G3219" s="3" t="n">
        <f aca="false">Raw_Data!F3219</f>
        <v>50</v>
      </c>
      <c r="H3219" s="3" t="str">
        <f aca="false">Raw_Data!G3219</f>
        <v>no</v>
      </c>
      <c r="I3219" s="3" t="str">
        <f aca="false">Raw_Data!H3219</f>
        <v>no</v>
      </c>
      <c r="J3219" s="2" t="n">
        <f aca="false">IF(F3219="yes",1,0)</f>
        <v>0</v>
      </c>
      <c r="K3219" s="2" t="n">
        <f aca="false">IF(H3219="yes",1,0)</f>
        <v>0</v>
      </c>
      <c r="L3219" s="2" t="n">
        <f aca="false">IF(I3219="yes",1,0)</f>
        <v>0</v>
      </c>
      <c r="M3219" s="2" t="n">
        <f aca="false">IF(G3219&lt;0,1,0)</f>
        <v>0</v>
      </c>
      <c r="N3219" s="2" t="str">
        <f aca="false">_xlfn.IFS(B3219&lt;30,"Under 30",B3219&lt;40,"30-39",B3219&lt;50,"40-49",B3219&lt;60,"50-59",TRUE(),"60+")</f>
        <v>30-39</v>
      </c>
      <c r="O3219" s="2" t="str">
        <f aca="false">_xlfn.IFS(G3219&lt;0,"1 Negative",G3219=0,"2 Zero",G3219&lt;=500,"3 1-500",G3219&lt;=2000,"4 501-2000",TRUE(),"5 Above 2000")</f>
        <v>3 1-500</v>
      </c>
      <c r="P3219" s="2" t="n">
        <f aca="false">Lookups!$B$2*M3219+Lookups!$B$3*L3219</f>
        <v>0</v>
      </c>
      <c r="Q3219" s="2" t="str">
        <f aca="false">INDEX(Lookups!$E$2:$E$5,MATCH(P3219,Lookups!$D$2:$D$5,0))</f>
        <v>Low</v>
      </c>
    </row>
    <row r="3220" customFormat="false" ht="15" hidden="false" customHeight="false" outlineLevel="0" collapsed="false">
      <c r="A3220" s="3" t="n">
        <v>3219</v>
      </c>
      <c r="B3220" s="3" t="n">
        <f aca="false">Raw_Data!A3220</f>
        <v>49</v>
      </c>
      <c r="C3220" s="3" t="str">
        <f aca="false">SUBSTITUTE(Raw_Data!B3220,".","")</f>
        <v>entrepreneur</v>
      </c>
      <c r="D3220" s="3" t="str">
        <f aca="false">Raw_Data!C3220</f>
        <v>married</v>
      </c>
      <c r="E3220" s="3" t="str">
        <f aca="false">Raw_Data!D3220</f>
        <v>secondary</v>
      </c>
      <c r="F3220" s="3" t="str">
        <f aca="false">Raw_Data!E3220</f>
        <v>no</v>
      </c>
      <c r="G3220" s="3" t="n">
        <f aca="false">Raw_Data!F3220</f>
        <v>1916</v>
      </c>
      <c r="H3220" s="3" t="str">
        <f aca="false">Raw_Data!G3220</f>
        <v>no</v>
      </c>
      <c r="I3220" s="3" t="str">
        <f aca="false">Raw_Data!H3220</f>
        <v>yes</v>
      </c>
      <c r="J3220" s="2" t="n">
        <f aca="false">IF(F3220="yes",1,0)</f>
        <v>0</v>
      </c>
      <c r="K3220" s="2" t="n">
        <f aca="false">IF(H3220="yes",1,0)</f>
        <v>0</v>
      </c>
      <c r="L3220" s="2" t="n">
        <f aca="false">IF(I3220="yes",1,0)</f>
        <v>1</v>
      </c>
      <c r="M3220" s="2" t="n">
        <f aca="false">IF(G3220&lt;0,1,0)</f>
        <v>0</v>
      </c>
      <c r="N3220" s="2" t="str">
        <f aca="false">_xlfn.IFS(B3220&lt;30,"Under 30",B3220&lt;40,"30-39",B3220&lt;50,"40-49",B3220&lt;60,"50-59",TRUE(),"60+")</f>
        <v>40-49</v>
      </c>
      <c r="O3220" s="2" t="str">
        <f aca="false">_xlfn.IFS(G3220&lt;0,"1 Negative",G3220=0,"2 Zero",G3220&lt;=500,"3 1-500",G3220&lt;=2000,"4 501-2000",TRUE(),"5 Above 2000")</f>
        <v>4 501-2000</v>
      </c>
      <c r="P3220" s="2" t="n">
        <f aca="false">Lookups!$B$2*M3220+Lookups!$B$3*L3220</f>
        <v>1</v>
      </c>
      <c r="Q3220" s="2" t="str">
        <f aca="false">INDEX(Lookups!$E$2:$E$5,MATCH(P3220,Lookups!$D$2:$D$5,0))</f>
        <v>Medium</v>
      </c>
    </row>
    <row r="3221" customFormat="false" ht="15" hidden="false" customHeight="false" outlineLevel="0" collapsed="false">
      <c r="A3221" s="3" t="n">
        <v>3220</v>
      </c>
      <c r="B3221" s="3" t="n">
        <f aca="false">Raw_Data!A3221</f>
        <v>72</v>
      </c>
      <c r="C3221" s="3" t="str">
        <f aca="false">SUBSTITUTE(Raw_Data!B3221,".","")</f>
        <v>retired</v>
      </c>
      <c r="D3221" s="3" t="str">
        <f aca="false">Raw_Data!C3221</f>
        <v>married</v>
      </c>
      <c r="E3221" s="3" t="str">
        <f aca="false">Raw_Data!D3221</f>
        <v>primary</v>
      </c>
      <c r="F3221" s="3" t="str">
        <f aca="false">Raw_Data!E3221</f>
        <v>no</v>
      </c>
      <c r="G3221" s="3" t="n">
        <f aca="false">Raw_Data!F3221</f>
        <v>763</v>
      </c>
      <c r="H3221" s="3" t="str">
        <f aca="false">Raw_Data!G3221</f>
        <v>no</v>
      </c>
      <c r="I3221" s="3" t="str">
        <f aca="false">Raw_Data!H3221</f>
        <v>no</v>
      </c>
      <c r="J3221" s="2" t="n">
        <f aca="false">IF(F3221="yes",1,0)</f>
        <v>0</v>
      </c>
      <c r="K3221" s="2" t="n">
        <f aca="false">IF(H3221="yes",1,0)</f>
        <v>0</v>
      </c>
      <c r="L3221" s="2" t="n">
        <f aca="false">IF(I3221="yes",1,0)</f>
        <v>0</v>
      </c>
      <c r="M3221" s="2" t="n">
        <f aca="false">IF(G3221&lt;0,1,0)</f>
        <v>0</v>
      </c>
      <c r="N3221" s="2" t="str">
        <f aca="false">_xlfn.IFS(B3221&lt;30,"Under 30",B3221&lt;40,"30-39",B3221&lt;50,"40-49",B3221&lt;60,"50-59",TRUE(),"60+")</f>
        <v>60+</v>
      </c>
      <c r="O3221" s="2" t="str">
        <f aca="false">_xlfn.IFS(G3221&lt;0,"1 Negative",G3221=0,"2 Zero",G3221&lt;=500,"3 1-500",G3221&lt;=2000,"4 501-2000",TRUE(),"5 Above 2000")</f>
        <v>4 501-2000</v>
      </c>
      <c r="P3221" s="2" t="n">
        <f aca="false">Lookups!$B$2*M3221+Lookups!$B$3*L3221</f>
        <v>0</v>
      </c>
      <c r="Q3221" s="2" t="str">
        <f aca="false">INDEX(Lookups!$E$2:$E$5,MATCH(P3221,Lookups!$D$2:$D$5,0))</f>
        <v>Low</v>
      </c>
    </row>
    <row r="3222" customFormat="false" ht="15" hidden="false" customHeight="false" outlineLevel="0" collapsed="false">
      <c r="A3222" s="3" t="n">
        <v>3221</v>
      </c>
      <c r="B3222" s="3" t="n">
        <f aca="false">Raw_Data!A3222</f>
        <v>34</v>
      </c>
      <c r="C3222" s="3" t="str">
        <f aca="false">SUBSTITUTE(Raw_Data!B3222,".","")</f>
        <v>blue-collar</v>
      </c>
      <c r="D3222" s="3" t="str">
        <f aca="false">Raw_Data!C3222</f>
        <v>married</v>
      </c>
      <c r="E3222" s="3" t="str">
        <f aca="false">Raw_Data!D3222</f>
        <v>secondary</v>
      </c>
      <c r="F3222" s="3" t="str">
        <f aca="false">Raw_Data!E3222</f>
        <v>no</v>
      </c>
      <c r="G3222" s="3" t="n">
        <f aca="false">Raw_Data!F3222</f>
        <v>470</v>
      </c>
      <c r="H3222" s="3" t="str">
        <f aca="false">Raw_Data!G3222</f>
        <v>yes</v>
      </c>
      <c r="I3222" s="3" t="str">
        <f aca="false">Raw_Data!H3222</f>
        <v>yes</v>
      </c>
      <c r="J3222" s="2" t="n">
        <f aca="false">IF(F3222="yes",1,0)</f>
        <v>0</v>
      </c>
      <c r="K3222" s="2" t="n">
        <f aca="false">IF(H3222="yes",1,0)</f>
        <v>1</v>
      </c>
      <c r="L3222" s="2" t="n">
        <f aca="false">IF(I3222="yes",1,0)</f>
        <v>1</v>
      </c>
      <c r="M3222" s="2" t="n">
        <f aca="false">IF(G3222&lt;0,1,0)</f>
        <v>0</v>
      </c>
      <c r="N3222" s="2" t="str">
        <f aca="false">_xlfn.IFS(B3222&lt;30,"Under 30",B3222&lt;40,"30-39",B3222&lt;50,"40-49",B3222&lt;60,"50-59",TRUE(),"60+")</f>
        <v>30-39</v>
      </c>
      <c r="O3222" s="2" t="str">
        <f aca="false">_xlfn.IFS(G3222&lt;0,"1 Negative",G3222=0,"2 Zero",G3222&lt;=500,"3 1-500",G3222&lt;=2000,"4 501-2000",TRUE(),"5 Above 2000")</f>
        <v>3 1-500</v>
      </c>
      <c r="P3222" s="2" t="n">
        <f aca="false">Lookups!$B$2*M3222+Lookups!$B$3*L3222</f>
        <v>1</v>
      </c>
      <c r="Q3222" s="2" t="str">
        <f aca="false">INDEX(Lookups!$E$2:$E$5,MATCH(P3222,Lookups!$D$2:$D$5,0))</f>
        <v>Medium</v>
      </c>
    </row>
    <row r="3223" customFormat="false" ht="15" hidden="false" customHeight="false" outlineLevel="0" collapsed="false">
      <c r="A3223" s="3" t="n">
        <v>3222</v>
      </c>
      <c r="B3223" s="3" t="n">
        <f aca="false">Raw_Data!A3223</f>
        <v>31</v>
      </c>
      <c r="C3223" s="3" t="str">
        <f aca="false">SUBSTITUTE(Raw_Data!B3223,".","")</f>
        <v>technician</v>
      </c>
      <c r="D3223" s="3" t="str">
        <f aca="false">Raw_Data!C3223</f>
        <v>married</v>
      </c>
      <c r="E3223" s="3" t="str">
        <f aca="false">Raw_Data!D3223</f>
        <v>secondary</v>
      </c>
      <c r="F3223" s="3" t="str">
        <f aca="false">Raw_Data!E3223</f>
        <v>no</v>
      </c>
      <c r="G3223" s="3" t="n">
        <f aca="false">Raw_Data!F3223</f>
        <v>0</v>
      </c>
      <c r="H3223" s="3" t="str">
        <f aca="false">Raw_Data!G3223</f>
        <v>no</v>
      </c>
      <c r="I3223" s="3" t="str">
        <f aca="false">Raw_Data!H3223</f>
        <v>yes</v>
      </c>
      <c r="J3223" s="2" t="n">
        <f aca="false">IF(F3223="yes",1,0)</f>
        <v>0</v>
      </c>
      <c r="K3223" s="2" t="n">
        <f aca="false">IF(H3223="yes",1,0)</f>
        <v>0</v>
      </c>
      <c r="L3223" s="2" t="n">
        <f aca="false">IF(I3223="yes",1,0)</f>
        <v>1</v>
      </c>
      <c r="M3223" s="2" t="n">
        <f aca="false">IF(G3223&lt;0,1,0)</f>
        <v>0</v>
      </c>
      <c r="N3223" s="2" t="str">
        <f aca="false">_xlfn.IFS(B3223&lt;30,"Under 30",B3223&lt;40,"30-39",B3223&lt;50,"40-49",B3223&lt;60,"50-59",TRUE(),"60+")</f>
        <v>30-39</v>
      </c>
      <c r="O3223" s="2" t="str">
        <f aca="false">_xlfn.IFS(G3223&lt;0,"1 Negative",G3223=0,"2 Zero",G3223&lt;=500,"3 1-500",G3223&lt;=2000,"4 501-2000",TRUE(),"5 Above 2000")</f>
        <v>2 Zero</v>
      </c>
      <c r="P3223" s="2" t="n">
        <f aca="false">Lookups!$B$2*M3223+Lookups!$B$3*L3223</f>
        <v>1</v>
      </c>
      <c r="Q3223" s="2" t="str">
        <f aca="false">INDEX(Lookups!$E$2:$E$5,MATCH(P3223,Lookups!$D$2:$D$5,0))</f>
        <v>Medium</v>
      </c>
    </row>
    <row r="3224" customFormat="false" ht="15" hidden="false" customHeight="false" outlineLevel="0" collapsed="false">
      <c r="A3224" s="3" t="n">
        <v>3223</v>
      </c>
      <c r="B3224" s="3" t="n">
        <f aca="false">Raw_Data!A3224</f>
        <v>33</v>
      </c>
      <c r="C3224" s="3" t="str">
        <f aca="false">SUBSTITUTE(Raw_Data!B3224,".","")</f>
        <v>blue-collar</v>
      </c>
      <c r="D3224" s="3" t="str">
        <f aca="false">Raw_Data!C3224</f>
        <v>single</v>
      </c>
      <c r="E3224" s="3" t="str">
        <f aca="false">Raw_Data!D3224</f>
        <v>secondary</v>
      </c>
      <c r="F3224" s="3" t="str">
        <f aca="false">Raw_Data!E3224</f>
        <v>no</v>
      </c>
      <c r="G3224" s="3" t="n">
        <f aca="false">Raw_Data!F3224</f>
        <v>5739</v>
      </c>
      <c r="H3224" s="3" t="str">
        <f aca="false">Raw_Data!G3224</f>
        <v>yes</v>
      </c>
      <c r="I3224" s="3" t="str">
        <f aca="false">Raw_Data!H3224</f>
        <v>yes</v>
      </c>
      <c r="J3224" s="2" t="n">
        <f aca="false">IF(F3224="yes",1,0)</f>
        <v>0</v>
      </c>
      <c r="K3224" s="2" t="n">
        <f aca="false">IF(H3224="yes",1,0)</f>
        <v>1</v>
      </c>
      <c r="L3224" s="2" t="n">
        <f aca="false">IF(I3224="yes",1,0)</f>
        <v>1</v>
      </c>
      <c r="M3224" s="2" t="n">
        <f aca="false">IF(G3224&lt;0,1,0)</f>
        <v>0</v>
      </c>
      <c r="N3224" s="2" t="str">
        <f aca="false">_xlfn.IFS(B3224&lt;30,"Under 30",B3224&lt;40,"30-39",B3224&lt;50,"40-49",B3224&lt;60,"50-59",TRUE(),"60+")</f>
        <v>30-39</v>
      </c>
      <c r="O3224" s="2" t="str">
        <f aca="false">_xlfn.IFS(G3224&lt;0,"1 Negative",G3224=0,"2 Zero",G3224&lt;=500,"3 1-500",G3224&lt;=2000,"4 501-2000",TRUE(),"5 Above 2000")</f>
        <v>5 Above 2000</v>
      </c>
      <c r="P3224" s="2" t="n">
        <f aca="false">Lookups!$B$2*M3224+Lookups!$B$3*L3224</f>
        <v>1</v>
      </c>
      <c r="Q3224" s="2" t="str">
        <f aca="false">INDEX(Lookups!$E$2:$E$5,MATCH(P3224,Lookups!$D$2:$D$5,0))</f>
        <v>Medium</v>
      </c>
    </row>
    <row r="3225" customFormat="false" ht="15" hidden="false" customHeight="false" outlineLevel="0" collapsed="false">
      <c r="A3225" s="3" t="n">
        <v>3224</v>
      </c>
      <c r="B3225" s="3" t="n">
        <f aca="false">Raw_Data!A3225</f>
        <v>31</v>
      </c>
      <c r="C3225" s="3" t="str">
        <f aca="false">SUBSTITUTE(Raw_Data!B3225,".","")</f>
        <v>management</v>
      </c>
      <c r="D3225" s="3" t="str">
        <f aca="false">Raw_Data!C3225</f>
        <v>married</v>
      </c>
      <c r="E3225" s="3" t="str">
        <f aca="false">Raw_Data!D3225</f>
        <v>tertiary</v>
      </c>
      <c r="F3225" s="3" t="str">
        <f aca="false">Raw_Data!E3225</f>
        <v>no</v>
      </c>
      <c r="G3225" s="3" t="n">
        <f aca="false">Raw_Data!F3225</f>
        <v>0</v>
      </c>
      <c r="H3225" s="3" t="str">
        <f aca="false">Raw_Data!G3225</f>
        <v>no</v>
      </c>
      <c r="I3225" s="3" t="str">
        <f aca="false">Raw_Data!H3225</f>
        <v>no</v>
      </c>
      <c r="J3225" s="2" t="n">
        <f aca="false">IF(F3225="yes",1,0)</f>
        <v>0</v>
      </c>
      <c r="K3225" s="2" t="n">
        <f aca="false">IF(H3225="yes",1,0)</f>
        <v>0</v>
      </c>
      <c r="L3225" s="2" t="n">
        <f aca="false">IF(I3225="yes",1,0)</f>
        <v>0</v>
      </c>
      <c r="M3225" s="2" t="n">
        <f aca="false">IF(G3225&lt;0,1,0)</f>
        <v>0</v>
      </c>
      <c r="N3225" s="2" t="str">
        <f aca="false">_xlfn.IFS(B3225&lt;30,"Under 30",B3225&lt;40,"30-39",B3225&lt;50,"40-49",B3225&lt;60,"50-59",TRUE(),"60+")</f>
        <v>30-39</v>
      </c>
      <c r="O3225" s="2" t="str">
        <f aca="false">_xlfn.IFS(G3225&lt;0,"1 Negative",G3225=0,"2 Zero",G3225&lt;=500,"3 1-500",G3225&lt;=2000,"4 501-2000",TRUE(),"5 Above 2000")</f>
        <v>2 Zero</v>
      </c>
      <c r="P3225" s="2" t="n">
        <f aca="false">Lookups!$B$2*M3225+Lookups!$B$3*L3225</f>
        <v>0</v>
      </c>
      <c r="Q3225" s="2" t="str">
        <f aca="false">INDEX(Lookups!$E$2:$E$5,MATCH(P3225,Lookups!$D$2:$D$5,0))</f>
        <v>Low</v>
      </c>
    </row>
    <row r="3226" customFormat="false" ht="15" hidden="false" customHeight="false" outlineLevel="0" collapsed="false">
      <c r="A3226" s="3" t="n">
        <v>3225</v>
      </c>
      <c r="B3226" s="3" t="n">
        <f aca="false">Raw_Data!A3226</f>
        <v>55</v>
      </c>
      <c r="C3226" s="3" t="str">
        <f aca="false">SUBSTITUTE(Raw_Data!B3226,".","")</f>
        <v>management</v>
      </c>
      <c r="D3226" s="3" t="str">
        <f aca="false">Raw_Data!C3226</f>
        <v>married</v>
      </c>
      <c r="E3226" s="3" t="str">
        <f aca="false">Raw_Data!D3226</f>
        <v>tertiary</v>
      </c>
      <c r="F3226" s="3" t="str">
        <f aca="false">Raw_Data!E3226</f>
        <v>no</v>
      </c>
      <c r="G3226" s="3" t="n">
        <f aca="false">Raw_Data!F3226</f>
        <v>-375</v>
      </c>
      <c r="H3226" s="3" t="str">
        <f aca="false">Raw_Data!G3226</f>
        <v>no</v>
      </c>
      <c r="I3226" s="3" t="str">
        <f aca="false">Raw_Data!H3226</f>
        <v>no</v>
      </c>
      <c r="J3226" s="2" t="n">
        <f aca="false">IF(F3226="yes",1,0)</f>
        <v>0</v>
      </c>
      <c r="K3226" s="2" t="n">
        <f aca="false">IF(H3226="yes",1,0)</f>
        <v>0</v>
      </c>
      <c r="L3226" s="2" t="n">
        <f aca="false">IF(I3226="yes",1,0)</f>
        <v>0</v>
      </c>
      <c r="M3226" s="2" t="n">
        <f aca="false">IF(G3226&lt;0,1,0)</f>
        <v>1</v>
      </c>
      <c r="N3226" s="2" t="str">
        <f aca="false">_xlfn.IFS(B3226&lt;30,"Under 30",B3226&lt;40,"30-39",B3226&lt;50,"40-49",B3226&lt;60,"50-59",TRUE(),"60+")</f>
        <v>50-59</v>
      </c>
      <c r="O3226" s="2" t="str">
        <f aca="false">_xlfn.IFS(G3226&lt;0,"1 Negative",G3226=0,"2 Zero",G3226&lt;=500,"3 1-500",G3226&lt;=2000,"4 501-2000",TRUE(),"5 Above 2000")</f>
        <v>1 Negative</v>
      </c>
      <c r="P3226" s="2" t="n">
        <f aca="false">Lookups!$B$2*M3226+Lookups!$B$3*L3226</f>
        <v>2</v>
      </c>
      <c r="Q3226" s="2" t="str">
        <f aca="false">INDEX(Lookups!$E$2:$E$5,MATCH(P3226,Lookups!$D$2:$D$5,0))</f>
        <v>High</v>
      </c>
    </row>
    <row r="3227" customFormat="false" ht="15" hidden="false" customHeight="false" outlineLevel="0" collapsed="false">
      <c r="A3227" s="3" t="n">
        <v>3226</v>
      </c>
      <c r="B3227" s="3" t="n">
        <f aca="false">Raw_Data!A3227</f>
        <v>25</v>
      </c>
      <c r="C3227" s="3" t="str">
        <f aca="false">SUBSTITUTE(Raw_Data!B3227,".","")</f>
        <v>unemployed</v>
      </c>
      <c r="D3227" s="3" t="str">
        <f aca="false">Raw_Data!C3227</f>
        <v>married</v>
      </c>
      <c r="E3227" s="3" t="str">
        <f aca="false">Raw_Data!D3227</f>
        <v>secondary</v>
      </c>
      <c r="F3227" s="3" t="str">
        <f aca="false">Raw_Data!E3227</f>
        <v>no</v>
      </c>
      <c r="G3227" s="3" t="n">
        <f aca="false">Raw_Data!F3227</f>
        <v>157</v>
      </c>
      <c r="H3227" s="3" t="str">
        <f aca="false">Raw_Data!G3227</f>
        <v>yes</v>
      </c>
      <c r="I3227" s="3" t="str">
        <f aca="false">Raw_Data!H3227</f>
        <v>no</v>
      </c>
      <c r="J3227" s="2" t="n">
        <f aca="false">IF(F3227="yes",1,0)</f>
        <v>0</v>
      </c>
      <c r="K3227" s="2" t="n">
        <f aca="false">IF(H3227="yes",1,0)</f>
        <v>1</v>
      </c>
      <c r="L3227" s="2" t="n">
        <f aca="false">IF(I3227="yes",1,0)</f>
        <v>0</v>
      </c>
      <c r="M3227" s="2" t="n">
        <f aca="false">IF(G3227&lt;0,1,0)</f>
        <v>0</v>
      </c>
      <c r="N3227" s="2" t="str">
        <f aca="false">_xlfn.IFS(B3227&lt;30,"Under 30",B3227&lt;40,"30-39",B3227&lt;50,"40-49",B3227&lt;60,"50-59",TRUE(),"60+")</f>
        <v>Under 30</v>
      </c>
      <c r="O3227" s="2" t="str">
        <f aca="false">_xlfn.IFS(G3227&lt;0,"1 Negative",G3227=0,"2 Zero",G3227&lt;=500,"3 1-500",G3227&lt;=2000,"4 501-2000",TRUE(),"5 Above 2000")</f>
        <v>3 1-500</v>
      </c>
      <c r="P3227" s="2" t="n">
        <f aca="false">Lookups!$B$2*M3227+Lookups!$B$3*L3227</f>
        <v>0</v>
      </c>
      <c r="Q3227" s="2" t="str">
        <f aca="false">INDEX(Lookups!$E$2:$E$5,MATCH(P3227,Lookups!$D$2:$D$5,0))</f>
        <v>Low</v>
      </c>
    </row>
    <row r="3228" customFormat="false" ht="15" hidden="false" customHeight="false" outlineLevel="0" collapsed="false">
      <c r="A3228" s="3" t="n">
        <v>3227</v>
      </c>
      <c r="B3228" s="3" t="n">
        <f aca="false">Raw_Data!A3228</f>
        <v>34</v>
      </c>
      <c r="C3228" s="3" t="str">
        <f aca="false">SUBSTITUTE(Raw_Data!B3228,".","")</f>
        <v>management</v>
      </c>
      <c r="D3228" s="3" t="str">
        <f aca="false">Raw_Data!C3228</f>
        <v>married</v>
      </c>
      <c r="E3228" s="3" t="str">
        <f aca="false">Raw_Data!D3228</f>
        <v>tertiary</v>
      </c>
      <c r="F3228" s="3" t="str">
        <f aca="false">Raw_Data!E3228</f>
        <v>no</v>
      </c>
      <c r="G3228" s="3" t="n">
        <f aca="false">Raw_Data!F3228</f>
        <v>1518</v>
      </c>
      <c r="H3228" s="3" t="str">
        <f aca="false">Raw_Data!G3228</f>
        <v>yes</v>
      </c>
      <c r="I3228" s="3" t="str">
        <f aca="false">Raw_Data!H3228</f>
        <v>no</v>
      </c>
      <c r="J3228" s="2" t="n">
        <f aca="false">IF(F3228="yes",1,0)</f>
        <v>0</v>
      </c>
      <c r="K3228" s="2" t="n">
        <f aca="false">IF(H3228="yes",1,0)</f>
        <v>1</v>
      </c>
      <c r="L3228" s="2" t="n">
        <f aca="false">IF(I3228="yes",1,0)</f>
        <v>0</v>
      </c>
      <c r="M3228" s="2" t="n">
        <f aca="false">IF(G3228&lt;0,1,0)</f>
        <v>0</v>
      </c>
      <c r="N3228" s="2" t="str">
        <f aca="false">_xlfn.IFS(B3228&lt;30,"Under 30",B3228&lt;40,"30-39",B3228&lt;50,"40-49",B3228&lt;60,"50-59",TRUE(),"60+")</f>
        <v>30-39</v>
      </c>
      <c r="O3228" s="2" t="str">
        <f aca="false">_xlfn.IFS(G3228&lt;0,"1 Negative",G3228=0,"2 Zero",G3228&lt;=500,"3 1-500",G3228&lt;=2000,"4 501-2000",TRUE(),"5 Above 2000")</f>
        <v>4 501-2000</v>
      </c>
      <c r="P3228" s="2" t="n">
        <f aca="false">Lookups!$B$2*M3228+Lookups!$B$3*L3228</f>
        <v>0</v>
      </c>
      <c r="Q3228" s="2" t="str">
        <f aca="false">INDEX(Lookups!$E$2:$E$5,MATCH(P3228,Lookups!$D$2:$D$5,0))</f>
        <v>Low</v>
      </c>
    </row>
    <row r="3229" customFormat="false" ht="15" hidden="false" customHeight="false" outlineLevel="0" collapsed="false">
      <c r="A3229" s="3" t="n">
        <v>3228</v>
      </c>
      <c r="B3229" s="3" t="n">
        <f aca="false">Raw_Data!A3229</f>
        <v>53</v>
      </c>
      <c r="C3229" s="3" t="str">
        <f aca="false">SUBSTITUTE(Raw_Data!B3229,".","")</f>
        <v>management</v>
      </c>
      <c r="D3229" s="3" t="str">
        <f aca="false">Raw_Data!C3229</f>
        <v>married</v>
      </c>
      <c r="E3229" s="3" t="str">
        <f aca="false">Raw_Data!D3229</f>
        <v>tertiary</v>
      </c>
      <c r="F3229" s="3" t="str">
        <f aca="false">Raw_Data!E3229</f>
        <v>no</v>
      </c>
      <c r="G3229" s="3" t="n">
        <f aca="false">Raw_Data!F3229</f>
        <v>1343</v>
      </c>
      <c r="H3229" s="3" t="str">
        <f aca="false">Raw_Data!G3229</f>
        <v>no</v>
      </c>
      <c r="I3229" s="3" t="str">
        <f aca="false">Raw_Data!H3229</f>
        <v>no</v>
      </c>
      <c r="J3229" s="2" t="n">
        <f aca="false">IF(F3229="yes",1,0)</f>
        <v>0</v>
      </c>
      <c r="K3229" s="2" t="n">
        <f aca="false">IF(H3229="yes",1,0)</f>
        <v>0</v>
      </c>
      <c r="L3229" s="2" t="n">
        <f aca="false">IF(I3229="yes",1,0)</f>
        <v>0</v>
      </c>
      <c r="M3229" s="2" t="n">
        <f aca="false">IF(G3229&lt;0,1,0)</f>
        <v>0</v>
      </c>
      <c r="N3229" s="2" t="str">
        <f aca="false">_xlfn.IFS(B3229&lt;30,"Under 30",B3229&lt;40,"30-39",B3229&lt;50,"40-49",B3229&lt;60,"50-59",TRUE(),"60+")</f>
        <v>50-59</v>
      </c>
      <c r="O3229" s="2" t="str">
        <f aca="false">_xlfn.IFS(G3229&lt;0,"1 Negative",G3229=0,"2 Zero",G3229&lt;=500,"3 1-500",G3229&lt;=2000,"4 501-2000",TRUE(),"5 Above 2000")</f>
        <v>4 501-2000</v>
      </c>
      <c r="P3229" s="2" t="n">
        <f aca="false">Lookups!$B$2*M3229+Lookups!$B$3*L3229</f>
        <v>0</v>
      </c>
      <c r="Q3229" s="2" t="str">
        <f aca="false">INDEX(Lookups!$E$2:$E$5,MATCH(P3229,Lookups!$D$2:$D$5,0))</f>
        <v>Low</v>
      </c>
    </row>
    <row r="3230" customFormat="false" ht="15" hidden="false" customHeight="false" outlineLevel="0" collapsed="false">
      <c r="A3230" s="3" t="n">
        <v>3229</v>
      </c>
      <c r="B3230" s="3" t="n">
        <f aca="false">Raw_Data!A3230</f>
        <v>39</v>
      </c>
      <c r="C3230" s="3" t="str">
        <f aca="false">SUBSTITUTE(Raw_Data!B3230,".","")</f>
        <v>management</v>
      </c>
      <c r="D3230" s="3" t="str">
        <f aca="false">Raw_Data!C3230</f>
        <v>single</v>
      </c>
      <c r="E3230" s="3" t="str">
        <f aca="false">Raw_Data!D3230</f>
        <v>tertiary</v>
      </c>
      <c r="F3230" s="3" t="str">
        <f aca="false">Raw_Data!E3230</f>
        <v>yes</v>
      </c>
      <c r="G3230" s="3" t="n">
        <f aca="false">Raw_Data!F3230</f>
        <v>-401</v>
      </c>
      <c r="H3230" s="3" t="str">
        <f aca="false">Raw_Data!G3230</f>
        <v>yes</v>
      </c>
      <c r="I3230" s="3" t="str">
        <f aca="false">Raw_Data!H3230</f>
        <v>no</v>
      </c>
      <c r="J3230" s="2" t="n">
        <f aca="false">IF(F3230="yes",1,0)</f>
        <v>1</v>
      </c>
      <c r="K3230" s="2" t="n">
        <f aca="false">IF(H3230="yes",1,0)</f>
        <v>1</v>
      </c>
      <c r="L3230" s="2" t="n">
        <f aca="false">IF(I3230="yes",1,0)</f>
        <v>0</v>
      </c>
      <c r="M3230" s="2" t="n">
        <f aca="false">IF(G3230&lt;0,1,0)</f>
        <v>1</v>
      </c>
      <c r="N3230" s="2" t="str">
        <f aca="false">_xlfn.IFS(B3230&lt;30,"Under 30",B3230&lt;40,"30-39",B3230&lt;50,"40-49",B3230&lt;60,"50-59",TRUE(),"60+")</f>
        <v>30-39</v>
      </c>
      <c r="O3230" s="2" t="str">
        <f aca="false">_xlfn.IFS(G3230&lt;0,"1 Negative",G3230=0,"2 Zero",G3230&lt;=500,"3 1-500",G3230&lt;=2000,"4 501-2000",TRUE(),"5 Above 2000")</f>
        <v>1 Negative</v>
      </c>
      <c r="P3230" s="2" t="n">
        <f aca="false">Lookups!$B$2*M3230+Lookups!$B$3*L3230</f>
        <v>2</v>
      </c>
      <c r="Q3230" s="2" t="str">
        <f aca="false">INDEX(Lookups!$E$2:$E$5,MATCH(P3230,Lookups!$D$2:$D$5,0))</f>
        <v>High</v>
      </c>
    </row>
    <row r="3231" customFormat="false" ht="15" hidden="false" customHeight="false" outlineLevel="0" collapsed="false">
      <c r="A3231" s="3" t="n">
        <v>3230</v>
      </c>
      <c r="B3231" s="3" t="n">
        <f aca="false">Raw_Data!A3231</f>
        <v>41</v>
      </c>
      <c r="C3231" s="3" t="str">
        <f aca="false">SUBSTITUTE(Raw_Data!B3231,".","")</f>
        <v>management</v>
      </c>
      <c r="D3231" s="3" t="str">
        <f aca="false">Raw_Data!C3231</f>
        <v>married</v>
      </c>
      <c r="E3231" s="3" t="str">
        <f aca="false">Raw_Data!D3231</f>
        <v>primary</v>
      </c>
      <c r="F3231" s="3" t="str">
        <f aca="false">Raw_Data!E3231</f>
        <v>no</v>
      </c>
      <c r="G3231" s="3" t="n">
        <f aca="false">Raw_Data!F3231</f>
        <v>5310</v>
      </c>
      <c r="H3231" s="3" t="str">
        <f aca="false">Raw_Data!G3231</f>
        <v>yes</v>
      </c>
      <c r="I3231" s="3" t="str">
        <f aca="false">Raw_Data!H3231</f>
        <v>no</v>
      </c>
      <c r="J3231" s="2" t="n">
        <f aca="false">IF(F3231="yes",1,0)</f>
        <v>0</v>
      </c>
      <c r="K3231" s="2" t="n">
        <f aca="false">IF(H3231="yes",1,0)</f>
        <v>1</v>
      </c>
      <c r="L3231" s="2" t="n">
        <f aca="false">IF(I3231="yes",1,0)</f>
        <v>0</v>
      </c>
      <c r="M3231" s="2" t="n">
        <f aca="false">IF(G3231&lt;0,1,0)</f>
        <v>0</v>
      </c>
      <c r="N3231" s="2" t="str">
        <f aca="false">_xlfn.IFS(B3231&lt;30,"Under 30",B3231&lt;40,"30-39",B3231&lt;50,"40-49",B3231&lt;60,"50-59",TRUE(),"60+")</f>
        <v>40-49</v>
      </c>
      <c r="O3231" s="2" t="str">
        <f aca="false">_xlfn.IFS(G3231&lt;0,"1 Negative",G3231=0,"2 Zero",G3231&lt;=500,"3 1-500",G3231&lt;=2000,"4 501-2000",TRUE(),"5 Above 2000")</f>
        <v>5 Above 2000</v>
      </c>
      <c r="P3231" s="2" t="n">
        <f aca="false">Lookups!$B$2*M3231+Lookups!$B$3*L3231</f>
        <v>0</v>
      </c>
      <c r="Q3231" s="2" t="str">
        <f aca="false">INDEX(Lookups!$E$2:$E$5,MATCH(P3231,Lookups!$D$2:$D$5,0))</f>
        <v>Low</v>
      </c>
    </row>
    <row r="3232" customFormat="false" ht="15" hidden="false" customHeight="false" outlineLevel="0" collapsed="false">
      <c r="A3232" s="3" t="n">
        <v>3231</v>
      </c>
      <c r="B3232" s="3" t="n">
        <f aca="false">Raw_Data!A3232</f>
        <v>32</v>
      </c>
      <c r="C3232" s="3" t="str">
        <f aca="false">SUBSTITUTE(Raw_Data!B3232,".","")</f>
        <v>blue-collar</v>
      </c>
      <c r="D3232" s="3" t="str">
        <f aca="false">Raw_Data!C3232</f>
        <v>single</v>
      </c>
      <c r="E3232" s="3" t="str">
        <f aca="false">Raw_Data!D3232</f>
        <v>secondary</v>
      </c>
      <c r="F3232" s="3" t="str">
        <f aca="false">Raw_Data!E3232</f>
        <v>no</v>
      </c>
      <c r="G3232" s="3" t="n">
        <f aca="false">Raw_Data!F3232</f>
        <v>2285</v>
      </c>
      <c r="H3232" s="3" t="str">
        <f aca="false">Raw_Data!G3232</f>
        <v>yes</v>
      </c>
      <c r="I3232" s="3" t="str">
        <f aca="false">Raw_Data!H3232</f>
        <v>no</v>
      </c>
      <c r="J3232" s="2" t="n">
        <f aca="false">IF(F3232="yes",1,0)</f>
        <v>0</v>
      </c>
      <c r="K3232" s="2" t="n">
        <f aca="false">IF(H3232="yes",1,0)</f>
        <v>1</v>
      </c>
      <c r="L3232" s="2" t="n">
        <f aca="false">IF(I3232="yes",1,0)</f>
        <v>0</v>
      </c>
      <c r="M3232" s="2" t="n">
        <f aca="false">IF(G3232&lt;0,1,0)</f>
        <v>0</v>
      </c>
      <c r="N3232" s="2" t="str">
        <f aca="false">_xlfn.IFS(B3232&lt;30,"Under 30",B3232&lt;40,"30-39",B3232&lt;50,"40-49",B3232&lt;60,"50-59",TRUE(),"60+")</f>
        <v>30-39</v>
      </c>
      <c r="O3232" s="2" t="str">
        <f aca="false">_xlfn.IFS(G3232&lt;0,"1 Negative",G3232=0,"2 Zero",G3232&lt;=500,"3 1-500",G3232&lt;=2000,"4 501-2000",TRUE(),"5 Above 2000")</f>
        <v>5 Above 2000</v>
      </c>
      <c r="P3232" s="2" t="n">
        <f aca="false">Lookups!$B$2*M3232+Lookups!$B$3*L3232</f>
        <v>0</v>
      </c>
      <c r="Q3232" s="2" t="str">
        <f aca="false">INDEX(Lookups!$E$2:$E$5,MATCH(P3232,Lookups!$D$2:$D$5,0))</f>
        <v>Low</v>
      </c>
    </row>
    <row r="3233" customFormat="false" ht="15" hidden="false" customHeight="false" outlineLevel="0" collapsed="false">
      <c r="A3233" s="3" t="n">
        <v>3232</v>
      </c>
      <c r="B3233" s="3" t="n">
        <f aca="false">Raw_Data!A3233</f>
        <v>29</v>
      </c>
      <c r="C3233" s="3" t="str">
        <f aca="false">SUBSTITUTE(Raw_Data!B3233,".","")</f>
        <v>admin</v>
      </c>
      <c r="D3233" s="3" t="str">
        <f aca="false">Raw_Data!C3233</f>
        <v>married</v>
      </c>
      <c r="E3233" s="3" t="str">
        <f aca="false">Raw_Data!D3233</f>
        <v>secondary</v>
      </c>
      <c r="F3233" s="3" t="str">
        <f aca="false">Raw_Data!E3233</f>
        <v>no</v>
      </c>
      <c r="G3233" s="3" t="n">
        <f aca="false">Raw_Data!F3233</f>
        <v>22171</v>
      </c>
      <c r="H3233" s="3" t="str">
        <f aca="false">Raw_Data!G3233</f>
        <v>yes</v>
      </c>
      <c r="I3233" s="3" t="str">
        <f aca="false">Raw_Data!H3233</f>
        <v>no</v>
      </c>
      <c r="J3233" s="2" t="n">
        <f aca="false">IF(F3233="yes",1,0)</f>
        <v>0</v>
      </c>
      <c r="K3233" s="2" t="n">
        <f aca="false">IF(H3233="yes",1,0)</f>
        <v>1</v>
      </c>
      <c r="L3233" s="2" t="n">
        <f aca="false">IF(I3233="yes",1,0)</f>
        <v>0</v>
      </c>
      <c r="M3233" s="2" t="n">
        <f aca="false">IF(G3233&lt;0,1,0)</f>
        <v>0</v>
      </c>
      <c r="N3233" s="2" t="str">
        <f aca="false">_xlfn.IFS(B3233&lt;30,"Under 30",B3233&lt;40,"30-39",B3233&lt;50,"40-49",B3233&lt;60,"50-59",TRUE(),"60+")</f>
        <v>Under 30</v>
      </c>
      <c r="O3233" s="2" t="str">
        <f aca="false">_xlfn.IFS(G3233&lt;0,"1 Negative",G3233=0,"2 Zero",G3233&lt;=500,"3 1-500",G3233&lt;=2000,"4 501-2000",TRUE(),"5 Above 2000")</f>
        <v>5 Above 2000</v>
      </c>
      <c r="P3233" s="2" t="n">
        <f aca="false">Lookups!$B$2*M3233+Lookups!$B$3*L3233</f>
        <v>0</v>
      </c>
      <c r="Q3233" s="2" t="str">
        <f aca="false">INDEX(Lookups!$E$2:$E$5,MATCH(P3233,Lookups!$D$2:$D$5,0))</f>
        <v>Low</v>
      </c>
    </row>
    <row r="3234" customFormat="false" ht="15" hidden="false" customHeight="false" outlineLevel="0" collapsed="false">
      <c r="A3234" s="3" t="n">
        <v>3233</v>
      </c>
      <c r="B3234" s="3" t="n">
        <f aca="false">Raw_Data!A3234</f>
        <v>56</v>
      </c>
      <c r="C3234" s="3" t="str">
        <f aca="false">SUBSTITUTE(Raw_Data!B3234,".","")</f>
        <v>management</v>
      </c>
      <c r="D3234" s="3" t="str">
        <f aca="false">Raw_Data!C3234</f>
        <v>married</v>
      </c>
      <c r="E3234" s="3" t="str">
        <f aca="false">Raw_Data!D3234</f>
        <v>tertiary</v>
      </c>
      <c r="F3234" s="3" t="str">
        <f aca="false">Raw_Data!E3234</f>
        <v>no</v>
      </c>
      <c r="G3234" s="3" t="n">
        <f aca="false">Raw_Data!F3234</f>
        <v>856</v>
      </c>
      <c r="H3234" s="3" t="str">
        <f aca="false">Raw_Data!G3234</f>
        <v>yes</v>
      </c>
      <c r="I3234" s="3" t="str">
        <f aca="false">Raw_Data!H3234</f>
        <v>yes</v>
      </c>
      <c r="J3234" s="2" t="n">
        <f aca="false">IF(F3234="yes",1,0)</f>
        <v>0</v>
      </c>
      <c r="K3234" s="2" t="n">
        <f aca="false">IF(H3234="yes",1,0)</f>
        <v>1</v>
      </c>
      <c r="L3234" s="2" t="n">
        <f aca="false">IF(I3234="yes",1,0)</f>
        <v>1</v>
      </c>
      <c r="M3234" s="2" t="n">
        <f aca="false">IF(G3234&lt;0,1,0)</f>
        <v>0</v>
      </c>
      <c r="N3234" s="2" t="str">
        <f aca="false">_xlfn.IFS(B3234&lt;30,"Under 30",B3234&lt;40,"30-39",B3234&lt;50,"40-49",B3234&lt;60,"50-59",TRUE(),"60+")</f>
        <v>50-59</v>
      </c>
      <c r="O3234" s="2" t="str">
        <f aca="false">_xlfn.IFS(G3234&lt;0,"1 Negative",G3234=0,"2 Zero",G3234&lt;=500,"3 1-500",G3234&lt;=2000,"4 501-2000",TRUE(),"5 Above 2000")</f>
        <v>4 501-2000</v>
      </c>
      <c r="P3234" s="2" t="n">
        <f aca="false">Lookups!$B$2*M3234+Lookups!$B$3*L3234</f>
        <v>1</v>
      </c>
      <c r="Q3234" s="2" t="str">
        <f aca="false">INDEX(Lookups!$E$2:$E$5,MATCH(P3234,Lookups!$D$2:$D$5,0))</f>
        <v>Medium</v>
      </c>
    </row>
    <row r="3235" customFormat="false" ht="15" hidden="false" customHeight="false" outlineLevel="0" collapsed="false">
      <c r="A3235" s="3" t="n">
        <v>3234</v>
      </c>
      <c r="B3235" s="3" t="n">
        <f aca="false">Raw_Data!A3235</f>
        <v>19</v>
      </c>
      <c r="C3235" s="3" t="str">
        <f aca="false">SUBSTITUTE(Raw_Data!B3235,".","")</f>
        <v>student</v>
      </c>
      <c r="D3235" s="3" t="str">
        <f aca="false">Raw_Data!C3235</f>
        <v>single</v>
      </c>
      <c r="E3235" s="3" t="str">
        <f aca="false">Raw_Data!D3235</f>
        <v>unknown</v>
      </c>
      <c r="F3235" s="3" t="str">
        <f aca="false">Raw_Data!E3235</f>
        <v>no</v>
      </c>
      <c r="G3235" s="3" t="n">
        <f aca="false">Raw_Data!F3235</f>
        <v>1169</v>
      </c>
      <c r="H3235" s="3" t="str">
        <f aca="false">Raw_Data!G3235</f>
        <v>no</v>
      </c>
      <c r="I3235" s="3" t="str">
        <f aca="false">Raw_Data!H3235</f>
        <v>no</v>
      </c>
      <c r="J3235" s="2" t="n">
        <f aca="false">IF(F3235="yes",1,0)</f>
        <v>0</v>
      </c>
      <c r="K3235" s="2" t="n">
        <f aca="false">IF(H3235="yes",1,0)</f>
        <v>0</v>
      </c>
      <c r="L3235" s="2" t="n">
        <f aca="false">IF(I3235="yes",1,0)</f>
        <v>0</v>
      </c>
      <c r="M3235" s="2" t="n">
        <f aca="false">IF(G3235&lt;0,1,0)</f>
        <v>0</v>
      </c>
      <c r="N3235" s="2" t="str">
        <f aca="false">_xlfn.IFS(B3235&lt;30,"Under 30",B3235&lt;40,"30-39",B3235&lt;50,"40-49",B3235&lt;60,"50-59",TRUE(),"60+")</f>
        <v>Under 30</v>
      </c>
      <c r="O3235" s="2" t="str">
        <f aca="false">_xlfn.IFS(G3235&lt;0,"1 Negative",G3235=0,"2 Zero",G3235&lt;=500,"3 1-500",G3235&lt;=2000,"4 501-2000",TRUE(),"5 Above 2000")</f>
        <v>4 501-2000</v>
      </c>
      <c r="P3235" s="2" t="n">
        <f aca="false">Lookups!$B$2*M3235+Lookups!$B$3*L3235</f>
        <v>0</v>
      </c>
      <c r="Q3235" s="2" t="str">
        <f aca="false">INDEX(Lookups!$E$2:$E$5,MATCH(P3235,Lookups!$D$2:$D$5,0))</f>
        <v>Low</v>
      </c>
    </row>
    <row r="3236" customFormat="false" ht="15" hidden="false" customHeight="false" outlineLevel="0" collapsed="false">
      <c r="A3236" s="3" t="n">
        <v>3235</v>
      </c>
      <c r="B3236" s="3" t="n">
        <f aca="false">Raw_Data!A3236</f>
        <v>39</v>
      </c>
      <c r="C3236" s="3" t="str">
        <f aca="false">SUBSTITUTE(Raw_Data!B3236,".","")</f>
        <v>management</v>
      </c>
      <c r="D3236" s="3" t="str">
        <f aca="false">Raw_Data!C3236</f>
        <v>single</v>
      </c>
      <c r="E3236" s="3" t="str">
        <f aca="false">Raw_Data!D3236</f>
        <v>tertiary</v>
      </c>
      <c r="F3236" s="3" t="str">
        <f aca="false">Raw_Data!E3236</f>
        <v>no</v>
      </c>
      <c r="G3236" s="3" t="n">
        <f aca="false">Raw_Data!F3236</f>
        <v>3797</v>
      </c>
      <c r="H3236" s="3" t="str">
        <f aca="false">Raw_Data!G3236</f>
        <v>no</v>
      </c>
      <c r="I3236" s="3" t="str">
        <f aca="false">Raw_Data!H3236</f>
        <v>no</v>
      </c>
      <c r="J3236" s="2" t="n">
        <f aca="false">IF(F3236="yes",1,0)</f>
        <v>0</v>
      </c>
      <c r="K3236" s="2" t="n">
        <f aca="false">IF(H3236="yes",1,0)</f>
        <v>0</v>
      </c>
      <c r="L3236" s="2" t="n">
        <f aca="false">IF(I3236="yes",1,0)</f>
        <v>0</v>
      </c>
      <c r="M3236" s="2" t="n">
        <f aca="false">IF(G3236&lt;0,1,0)</f>
        <v>0</v>
      </c>
      <c r="N3236" s="2" t="str">
        <f aca="false">_xlfn.IFS(B3236&lt;30,"Under 30",B3236&lt;40,"30-39",B3236&lt;50,"40-49",B3236&lt;60,"50-59",TRUE(),"60+")</f>
        <v>30-39</v>
      </c>
      <c r="O3236" s="2" t="str">
        <f aca="false">_xlfn.IFS(G3236&lt;0,"1 Negative",G3236=0,"2 Zero",G3236&lt;=500,"3 1-500",G3236&lt;=2000,"4 501-2000",TRUE(),"5 Above 2000")</f>
        <v>5 Above 2000</v>
      </c>
      <c r="P3236" s="2" t="n">
        <f aca="false">Lookups!$B$2*M3236+Lookups!$B$3*L3236</f>
        <v>0</v>
      </c>
      <c r="Q3236" s="2" t="str">
        <f aca="false">INDEX(Lookups!$E$2:$E$5,MATCH(P3236,Lookups!$D$2:$D$5,0))</f>
        <v>Low</v>
      </c>
    </row>
    <row r="3237" customFormat="false" ht="15" hidden="false" customHeight="false" outlineLevel="0" collapsed="false">
      <c r="A3237" s="3" t="n">
        <v>3236</v>
      </c>
      <c r="B3237" s="3" t="n">
        <f aca="false">Raw_Data!A3237</f>
        <v>32</v>
      </c>
      <c r="C3237" s="3" t="str">
        <f aca="false">SUBSTITUTE(Raw_Data!B3237,".","")</f>
        <v>blue-collar</v>
      </c>
      <c r="D3237" s="3" t="str">
        <f aca="false">Raw_Data!C3237</f>
        <v>single</v>
      </c>
      <c r="E3237" s="3" t="str">
        <f aca="false">Raw_Data!D3237</f>
        <v>secondary</v>
      </c>
      <c r="F3237" s="3" t="str">
        <f aca="false">Raw_Data!E3237</f>
        <v>no</v>
      </c>
      <c r="G3237" s="3" t="n">
        <f aca="false">Raw_Data!F3237</f>
        <v>53</v>
      </c>
      <c r="H3237" s="3" t="str">
        <f aca="false">Raw_Data!G3237</f>
        <v>yes</v>
      </c>
      <c r="I3237" s="3" t="str">
        <f aca="false">Raw_Data!H3237</f>
        <v>no</v>
      </c>
      <c r="J3237" s="2" t="n">
        <f aca="false">IF(F3237="yes",1,0)</f>
        <v>0</v>
      </c>
      <c r="K3237" s="2" t="n">
        <f aca="false">IF(H3237="yes",1,0)</f>
        <v>1</v>
      </c>
      <c r="L3237" s="2" t="n">
        <f aca="false">IF(I3237="yes",1,0)</f>
        <v>0</v>
      </c>
      <c r="M3237" s="2" t="n">
        <f aca="false">IF(G3237&lt;0,1,0)</f>
        <v>0</v>
      </c>
      <c r="N3237" s="2" t="str">
        <f aca="false">_xlfn.IFS(B3237&lt;30,"Under 30",B3237&lt;40,"30-39",B3237&lt;50,"40-49",B3237&lt;60,"50-59",TRUE(),"60+")</f>
        <v>30-39</v>
      </c>
      <c r="O3237" s="2" t="str">
        <f aca="false">_xlfn.IFS(G3237&lt;0,"1 Negative",G3237=0,"2 Zero",G3237&lt;=500,"3 1-500",G3237&lt;=2000,"4 501-2000",TRUE(),"5 Above 2000")</f>
        <v>3 1-500</v>
      </c>
      <c r="P3237" s="2" t="n">
        <f aca="false">Lookups!$B$2*M3237+Lookups!$B$3*L3237</f>
        <v>0</v>
      </c>
      <c r="Q3237" s="2" t="str">
        <f aca="false">INDEX(Lookups!$E$2:$E$5,MATCH(P3237,Lookups!$D$2:$D$5,0))</f>
        <v>Low</v>
      </c>
    </row>
    <row r="3238" customFormat="false" ht="15" hidden="false" customHeight="false" outlineLevel="0" collapsed="false">
      <c r="A3238" s="3" t="n">
        <v>3237</v>
      </c>
      <c r="B3238" s="3" t="n">
        <f aca="false">Raw_Data!A3238</f>
        <v>43</v>
      </c>
      <c r="C3238" s="3" t="str">
        <f aca="false">SUBSTITUTE(Raw_Data!B3238,".","")</f>
        <v>blue-collar</v>
      </c>
      <c r="D3238" s="3" t="str">
        <f aca="false">Raw_Data!C3238</f>
        <v>married</v>
      </c>
      <c r="E3238" s="3" t="str">
        <f aca="false">Raw_Data!D3238</f>
        <v>primary</v>
      </c>
      <c r="F3238" s="3" t="str">
        <f aca="false">Raw_Data!E3238</f>
        <v>no</v>
      </c>
      <c r="G3238" s="3" t="n">
        <f aca="false">Raw_Data!F3238</f>
        <v>2519</v>
      </c>
      <c r="H3238" s="3" t="str">
        <f aca="false">Raw_Data!G3238</f>
        <v>yes</v>
      </c>
      <c r="I3238" s="3" t="str">
        <f aca="false">Raw_Data!H3238</f>
        <v>no</v>
      </c>
      <c r="J3238" s="2" t="n">
        <f aca="false">IF(F3238="yes",1,0)</f>
        <v>0</v>
      </c>
      <c r="K3238" s="2" t="n">
        <f aca="false">IF(H3238="yes",1,0)</f>
        <v>1</v>
      </c>
      <c r="L3238" s="2" t="n">
        <f aca="false">IF(I3238="yes",1,0)</f>
        <v>0</v>
      </c>
      <c r="M3238" s="2" t="n">
        <f aca="false">IF(G3238&lt;0,1,0)</f>
        <v>0</v>
      </c>
      <c r="N3238" s="2" t="str">
        <f aca="false">_xlfn.IFS(B3238&lt;30,"Under 30",B3238&lt;40,"30-39",B3238&lt;50,"40-49",B3238&lt;60,"50-59",TRUE(),"60+")</f>
        <v>40-49</v>
      </c>
      <c r="O3238" s="2" t="str">
        <f aca="false">_xlfn.IFS(G3238&lt;0,"1 Negative",G3238=0,"2 Zero",G3238&lt;=500,"3 1-500",G3238&lt;=2000,"4 501-2000",TRUE(),"5 Above 2000")</f>
        <v>5 Above 2000</v>
      </c>
      <c r="P3238" s="2" t="n">
        <f aca="false">Lookups!$B$2*M3238+Lookups!$B$3*L3238</f>
        <v>0</v>
      </c>
      <c r="Q3238" s="2" t="str">
        <f aca="false">INDEX(Lookups!$E$2:$E$5,MATCH(P3238,Lookups!$D$2:$D$5,0))</f>
        <v>Low</v>
      </c>
    </row>
    <row r="3239" customFormat="false" ht="15" hidden="false" customHeight="false" outlineLevel="0" collapsed="false">
      <c r="A3239" s="3" t="n">
        <v>3238</v>
      </c>
      <c r="B3239" s="3" t="n">
        <f aca="false">Raw_Data!A3239</f>
        <v>32</v>
      </c>
      <c r="C3239" s="3" t="str">
        <f aca="false">SUBSTITUTE(Raw_Data!B3239,".","")</f>
        <v>entrepreneur</v>
      </c>
      <c r="D3239" s="3" t="str">
        <f aca="false">Raw_Data!C3239</f>
        <v>married</v>
      </c>
      <c r="E3239" s="3" t="str">
        <f aca="false">Raw_Data!D3239</f>
        <v>primary</v>
      </c>
      <c r="F3239" s="3" t="str">
        <f aca="false">Raw_Data!E3239</f>
        <v>no</v>
      </c>
      <c r="G3239" s="3" t="n">
        <f aca="false">Raw_Data!F3239</f>
        <v>795</v>
      </c>
      <c r="H3239" s="3" t="str">
        <f aca="false">Raw_Data!G3239</f>
        <v>no</v>
      </c>
      <c r="I3239" s="3" t="str">
        <f aca="false">Raw_Data!H3239</f>
        <v>no</v>
      </c>
      <c r="J3239" s="2" t="n">
        <f aca="false">IF(F3239="yes",1,0)</f>
        <v>0</v>
      </c>
      <c r="K3239" s="2" t="n">
        <f aca="false">IF(H3239="yes",1,0)</f>
        <v>0</v>
      </c>
      <c r="L3239" s="2" t="n">
        <f aca="false">IF(I3239="yes",1,0)</f>
        <v>0</v>
      </c>
      <c r="M3239" s="2" t="n">
        <f aca="false">IF(G3239&lt;0,1,0)</f>
        <v>0</v>
      </c>
      <c r="N3239" s="2" t="str">
        <f aca="false">_xlfn.IFS(B3239&lt;30,"Under 30",B3239&lt;40,"30-39",B3239&lt;50,"40-49",B3239&lt;60,"50-59",TRUE(),"60+")</f>
        <v>30-39</v>
      </c>
      <c r="O3239" s="2" t="str">
        <f aca="false">_xlfn.IFS(G3239&lt;0,"1 Negative",G3239=0,"2 Zero",G3239&lt;=500,"3 1-500",G3239&lt;=2000,"4 501-2000",TRUE(),"5 Above 2000")</f>
        <v>4 501-2000</v>
      </c>
      <c r="P3239" s="2" t="n">
        <f aca="false">Lookups!$B$2*M3239+Lookups!$B$3*L3239</f>
        <v>0</v>
      </c>
      <c r="Q3239" s="2" t="str">
        <f aca="false">INDEX(Lookups!$E$2:$E$5,MATCH(P3239,Lookups!$D$2:$D$5,0))</f>
        <v>Low</v>
      </c>
    </row>
    <row r="3240" customFormat="false" ht="15" hidden="false" customHeight="false" outlineLevel="0" collapsed="false">
      <c r="A3240" s="3" t="n">
        <v>3239</v>
      </c>
      <c r="B3240" s="3" t="n">
        <f aca="false">Raw_Data!A3240</f>
        <v>53</v>
      </c>
      <c r="C3240" s="3" t="str">
        <f aca="false">SUBSTITUTE(Raw_Data!B3240,".","")</f>
        <v>admin</v>
      </c>
      <c r="D3240" s="3" t="str">
        <f aca="false">Raw_Data!C3240</f>
        <v>divorced</v>
      </c>
      <c r="E3240" s="3" t="str">
        <f aca="false">Raw_Data!D3240</f>
        <v>secondary</v>
      </c>
      <c r="F3240" s="3" t="str">
        <f aca="false">Raw_Data!E3240</f>
        <v>no</v>
      </c>
      <c r="G3240" s="3" t="n">
        <f aca="false">Raw_Data!F3240</f>
        <v>0</v>
      </c>
      <c r="H3240" s="3" t="str">
        <f aca="false">Raw_Data!G3240</f>
        <v>yes</v>
      </c>
      <c r="I3240" s="3" t="str">
        <f aca="false">Raw_Data!H3240</f>
        <v>yes</v>
      </c>
      <c r="J3240" s="2" t="n">
        <f aca="false">IF(F3240="yes",1,0)</f>
        <v>0</v>
      </c>
      <c r="K3240" s="2" t="n">
        <f aca="false">IF(H3240="yes",1,0)</f>
        <v>1</v>
      </c>
      <c r="L3240" s="2" t="n">
        <f aca="false">IF(I3240="yes",1,0)</f>
        <v>1</v>
      </c>
      <c r="M3240" s="2" t="n">
        <f aca="false">IF(G3240&lt;0,1,0)</f>
        <v>0</v>
      </c>
      <c r="N3240" s="2" t="str">
        <f aca="false">_xlfn.IFS(B3240&lt;30,"Under 30",B3240&lt;40,"30-39",B3240&lt;50,"40-49",B3240&lt;60,"50-59",TRUE(),"60+")</f>
        <v>50-59</v>
      </c>
      <c r="O3240" s="2" t="str">
        <f aca="false">_xlfn.IFS(G3240&lt;0,"1 Negative",G3240=0,"2 Zero",G3240&lt;=500,"3 1-500",G3240&lt;=2000,"4 501-2000",TRUE(),"5 Above 2000")</f>
        <v>2 Zero</v>
      </c>
      <c r="P3240" s="2" t="n">
        <f aca="false">Lookups!$B$2*M3240+Lookups!$B$3*L3240</f>
        <v>1</v>
      </c>
      <c r="Q3240" s="2" t="str">
        <f aca="false">INDEX(Lookups!$E$2:$E$5,MATCH(P3240,Lookups!$D$2:$D$5,0))</f>
        <v>Medium</v>
      </c>
    </row>
    <row r="3241" customFormat="false" ht="15" hidden="false" customHeight="false" outlineLevel="0" collapsed="false">
      <c r="A3241" s="3" t="n">
        <v>3240</v>
      </c>
      <c r="B3241" s="3" t="n">
        <f aca="false">Raw_Data!A3241</f>
        <v>52</v>
      </c>
      <c r="C3241" s="3" t="str">
        <f aca="false">SUBSTITUTE(Raw_Data!B3241,".","")</f>
        <v>blue-collar</v>
      </c>
      <c r="D3241" s="3" t="str">
        <f aca="false">Raw_Data!C3241</f>
        <v>married</v>
      </c>
      <c r="E3241" s="3" t="str">
        <f aca="false">Raw_Data!D3241</f>
        <v>secondary</v>
      </c>
      <c r="F3241" s="3" t="str">
        <f aca="false">Raw_Data!E3241</f>
        <v>no</v>
      </c>
      <c r="G3241" s="3" t="n">
        <f aca="false">Raw_Data!F3241</f>
        <v>2087</v>
      </c>
      <c r="H3241" s="3" t="str">
        <f aca="false">Raw_Data!G3241</f>
        <v>yes</v>
      </c>
      <c r="I3241" s="3" t="str">
        <f aca="false">Raw_Data!H3241</f>
        <v>no</v>
      </c>
      <c r="J3241" s="2" t="n">
        <f aca="false">IF(F3241="yes",1,0)</f>
        <v>0</v>
      </c>
      <c r="K3241" s="2" t="n">
        <f aca="false">IF(H3241="yes",1,0)</f>
        <v>1</v>
      </c>
      <c r="L3241" s="2" t="n">
        <f aca="false">IF(I3241="yes",1,0)</f>
        <v>0</v>
      </c>
      <c r="M3241" s="2" t="n">
        <f aca="false">IF(G3241&lt;0,1,0)</f>
        <v>0</v>
      </c>
      <c r="N3241" s="2" t="str">
        <f aca="false">_xlfn.IFS(B3241&lt;30,"Under 30",B3241&lt;40,"30-39",B3241&lt;50,"40-49",B3241&lt;60,"50-59",TRUE(),"60+")</f>
        <v>50-59</v>
      </c>
      <c r="O3241" s="2" t="str">
        <f aca="false">_xlfn.IFS(G3241&lt;0,"1 Negative",G3241=0,"2 Zero",G3241&lt;=500,"3 1-500",G3241&lt;=2000,"4 501-2000",TRUE(),"5 Above 2000")</f>
        <v>5 Above 2000</v>
      </c>
      <c r="P3241" s="2" t="n">
        <f aca="false">Lookups!$B$2*M3241+Lookups!$B$3*L3241</f>
        <v>0</v>
      </c>
      <c r="Q3241" s="2" t="str">
        <f aca="false">INDEX(Lookups!$E$2:$E$5,MATCH(P3241,Lookups!$D$2:$D$5,0))</f>
        <v>Low</v>
      </c>
    </row>
    <row r="3242" customFormat="false" ht="15" hidden="false" customHeight="false" outlineLevel="0" collapsed="false">
      <c r="A3242" s="3" t="n">
        <v>3241</v>
      </c>
      <c r="B3242" s="3" t="n">
        <f aca="false">Raw_Data!A3242</f>
        <v>43</v>
      </c>
      <c r="C3242" s="3" t="str">
        <f aca="false">SUBSTITUTE(Raw_Data!B3242,".","")</f>
        <v>technician</v>
      </c>
      <c r="D3242" s="3" t="str">
        <f aca="false">Raw_Data!C3242</f>
        <v>single</v>
      </c>
      <c r="E3242" s="3" t="str">
        <f aca="false">Raw_Data!D3242</f>
        <v>secondary</v>
      </c>
      <c r="F3242" s="3" t="str">
        <f aca="false">Raw_Data!E3242</f>
        <v>no</v>
      </c>
      <c r="G3242" s="3" t="n">
        <f aca="false">Raw_Data!F3242</f>
        <v>34</v>
      </c>
      <c r="H3242" s="3" t="str">
        <f aca="false">Raw_Data!G3242</f>
        <v>no</v>
      </c>
      <c r="I3242" s="3" t="str">
        <f aca="false">Raw_Data!H3242</f>
        <v>no</v>
      </c>
      <c r="J3242" s="2" t="n">
        <f aca="false">IF(F3242="yes",1,0)</f>
        <v>0</v>
      </c>
      <c r="K3242" s="2" t="n">
        <f aca="false">IF(H3242="yes",1,0)</f>
        <v>0</v>
      </c>
      <c r="L3242" s="2" t="n">
        <f aca="false">IF(I3242="yes",1,0)</f>
        <v>0</v>
      </c>
      <c r="M3242" s="2" t="n">
        <f aca="false">IF(G3242&lt;0,1,0)</f>
        <v>0</v>
      </c>
      <c r="N3242" s="2" t="str">
        <f aca="false">_xlfn.IFS(B3242&lt;30,"Under 30",B3242&lt;40,"30-39",B3242&lt;50,"40-49",B3242&lt;60,"50-59",TRUE(),"60+")</f>
        <v>40-49</v>
      </c>
      <c r="O3242" s="2" t="str">
        <f aca="false">_xlfn.IFS(G3242&lt;0,"1 Negative",G3242=0,"2 Zero",G3242&lt;=500,"3 1-500",G3242&lt;=2000,"4 501-2000",TRUE(),"5 Above 2000")</f>
        <v>3 1-500</v>
      </c>
      <c r="P3242" s="2" t="n">
        <f aca="false">Lookups!$B$2*M3242+Lookups!$B$3*L3242</f>
        <v>0</v>
      </c>
      <c r="Q3242" s="2" t="str">
        <f aca="false">INDEX(Lookups!$E$2:$E$5,MATCH(P3242,Lookups!$D$2:$D$5,0))</f>
        <v>Low</v>
      </c>
    </row>
    <row r="3243" customFormat="false" ht="15" hidden="false" customHeight="false" outlineLevel="0" collapsed="false">
      <c r="A3243" s="3" t="n">
        <v>3242</v>
      </c>
      <c r="B3243" s="3" t="n">
        <f aca="false">Raw_Data!A3243</f>
        <v>48</v>
      </c>
      <c r="C3243" s="3" t="str">
        <f aca="false">SUBSTITUTE(Raw_Data!B3243,".","")</f>
        <v>technician</v>
      </c>
      <c r="D3243" s="3" t="str">
        <f aca="false">Raw_Data!C3243</f>
        <v>married</v>
      </c>
      <c r="E3243" s="3" t="str">
        <f aca="false">Raw_Data!D3243</f>
        <v>secondary</v>
      </c>
      <c r="F3243" s="3" t="str">
        <f aca="false">Raw_Data!E3243</f>
        <v>no</v>
      </c>
      <c r="G3243" s="3" t="n">
        <f aca="false">Raw_Data!F3243</f>
        <v>5</v>
      </c>
      <c r="H3243" s="3" t="str">
        <f aca="false">Raw_Data!G3243</f>
        <v>no</v>
      </c>
      <c r="I3243" s="3" t="str">
        <f aca="false">Raw_Data!H3243</f>
        <v>no</v>
      </c>
      <c r="J3243" s="2" t="n">
        <f aca="false">IF(F3243="yes",1,0)</f>
        <v>0</v>
      </c>
      <c r="K3243" s="2" t="n">
        <f aca="false">IF(H3243="yes",1,0)</f>
        <v>0</v>
      </c>
      <c r="L3243" s="2" t="n">
        <f aca="false">IF(I3243="yes",1,0)</f>
        <v>0</v>
      </c>
      <c r="M3243" s="2" t="n">
        <f aca="false">IF(G3243&lt;0,1,0)</f>
        <v>0</v>
      </c>
      <c r="N3243" s="2" t="str">
        <f aca="false">_xlfn.IFS(B3243&lt;30,"Under 30",B3243&lt;40,"30-39",B3243&lt;50,"40-49",B3243&lt;60,"50-59",TRUE(),"60+")</f>
        <v>40-49</v>
      </c>
      <c r="O3243" s="2" t="str">
        <f aca="false">_xlfn.IFS(G3243&lt;0,"1 Negative",G3243=0,"2 Zero",G3243&lt;=500,"3 1-500",G3243&lt;=2000,"4 501-2000",TRUE(),"5 Above 2000")</f>
        <v>3 1-500</v>
      </c>
      <c r="P3243" s="2" t="n">
        <f aca="false">Lookups!$B$2*M3243+Lookups!$B$3*L3243</f>
        <v>0</v>
      </c>
      <c r="Q3243" s="2" t="str">
        <f aca="false">INDEX(Lookups!$E$2:$E$5,MATCH(P3243,Lookups!$D$2:$D$5,0))</f>
        <v>Low</v>
      </c>
    </row>
    <row r="3244" customFormat="false" ht="15" hidden="false" customHeight="false" outlineLevel="0" collapsed="false">
      <c r="A3244" s="3" t="n">
        <v>3243</v>
      </c>
      <c r="B3244" s="3" t="n">
        <f aca="false">Raw_Data!A3244</f>
        <v>27</v>
      </c>
      <c r="C3244" s="3" t="str">
        <f aca="false">SUBSTITUTE(Raw_Data!B3244,".","")</f>
        <v>technician</v>
      </c>
      <c r="D3244" s="3" t="str">
        <f aca="false">Raw_Data!C3244</f>
        <v>single</v>
      </c>
      <c r="E3244" s="3" t="str">
        <f aca="false">Raw_Data!D3244</f>
        <v>secondary</v>
      </c>
      <c r="F3244" s="3" t="str">
        <f aca="false">Raw_Data!E3244</f>
        <v>no</v>
      </c>
      <c r="G3244" s="3" t="n">
        <f aca="false">Raw_Data!F3244</f>
        <v>15</v>
      </c>
      <c r="H3244" s="3" t="str">
        <f aca="false">Raw_Data!G3244</f>
        <v>yes</v>
      </c>
      <c r="I3244" s="3" t="str">
        <f aca="false">Raw_Data!H3244</f>
        <v>no</v>
      </c>
      <c r="J3244" s="2" t="n">
        <f aca="false">IF(F3244="yes",1,0)</f>
        <v>0</v>
      </c>
      <c r="K3244" s="2" t="n">
        <f aca="false">IF(H3244="yes",1,0)</f>
        <v>1</v>
      </c>
      <c r="L3244" s="2" t="n">
        <f aca="false">IF(I3244="yes",1,0)</f>
        <v>0</v>
      </c>
      <c r="M3244" s="2" t="n">
        <f aca="false">IF(G3244&lt;0,1,0)</f>
        <v>0</v>
      </c>
      <c r="N3244" s="2" t="str">
        <f aca="false">_xlfn.IFS(B3244&lt;30,"Under 30",B3244&lt;40,"30-39",B3244&lt;50,"40-49",B3244&lt;60,"50-59",TRUE(),"60+")</f>
        <v>Under 30</v>
      </c>
      <c r="O3244" s="2" t="str">
        <f aca="false">_xlfn.IFS(G3244&lt;0,"1 Negative",G3244=0,"2 Zero",G3244&lt;=500,"3 1-500",G3244&lt;=2000,"4 501-2000",TRUE(),"5 Above 2000")</f>
        <v>3 1-500</v>
      </c>
      <c r="P3244" s="2" t="n">
        <f aca="false">Lookups!$B$2*M3244+Lookups!$B$3*L3244</f>
        <v>0</v>
      </c>
      <c r="Q3244" s="2" t="str">
        <f aca="false">INDEX(Lookups!$E$2:$E$5,MATCH(P3244,Lookups!$D$2:$D$5,0))</f>
        <v>Low</v>
      </c>
    </row>
    <row r="3245" customFormat="false" ht="15" hidden="false" customHeight="false" outlineLevel="0" collapsed="false">
      <c r="A3245" s="3" t="n">
        <v>3244</v>
      </c>
      <c r="B3245" s="3" t="n">
        <f aca="false">Raw_Data!A3245</f>
        <v>27</v>
      </c>
      <c r="C3245" s="3" t="str">
        <f aca="false">SUBSTITUTE(Raw_Data!B3245,".","")</f>
        <v>management</v>
      </c>
      <c r="D3245" s="3" t="str">
        <f aca="false">Raw_Data!C3245</f>
        <v>single</v>
      </c>
      <c r="E3245" s="3" t="str">
        <f aca="false">Raw_Data!D3245</f>
        <v>tertiary</v>
      </c>
      <c r="F3245" s="3" t="str">
        <f aca="false">Raw_Data!E3245</f>
        <v>no</v>
      </c>
      <c r="G3245" s="3" t="n">
        <f aca="false">Raw_Data!F3245</f>
        <v>390</v>
      </c>
      <c r="H3245" s="3" t="str">
        <f aca="false">Raw_Data!G3245</f>
        <v>no</v>
      </c>
      <c r="I3245" s="3" t="str">
        <f aca="false">Raw_Data!H3245</f>
        <v>no</v>
      </c>
      <c r="J3245" s="2" t="n">
        <f aca="false">IF(F3245="yes",1,0)</f>
        <v>0</v>
      </c>
      <c r="K3245" s="2" t="n">
        <f aca="false">IF(H3245="yes",1,0)</f>
        <v>0</v>
      </c>
      <c r="L3245" s="2" t="n">
        <f aca="false">IF(I3245="yes",1,0)</f>
        <v>0</v>
      </c>
      <c r="M3245" s="2" t="n">
        <f aca="false">IF(G3245&lt;0,1,0)</f>
        <v>0</v>
      </c>
      <c r="N3245" s="2" t="str">
        <f aca="false">_xlfn.IFS(B3245&lt;30,"Under 30",B3245&lt;40,"30-39",B3245&lt;50,"40-49",B3245&lt;60,"50-59",TRUE(),"60+")</f>
        <v>Under 30</v>
      </c>
      <c r="O3245" s="2" t="str">
        <f aca="false">_xlfn.IFS(G3245&lt;0,"1 Negative",G3245=0,"2 Zero",G3245&lt;=500,"3 1-500",G3245&lt;=2000,"4 501-2000",TRUE(),"5 Above 2000")</f>
        <v>3 1-500</v>
      </c>
      <c r="P3245" s="2" t="n">
        <f aca="false">Lookups!$B$2*M3245+Lookups!$B$3*L3245</f>
        <v>0</v>
      </c>
      <c r="Q3245" s="2" t="str">
        <f aca="false">INDEX(Lookups!$E$2:$E$5,MATCH(P3245,Lookups!$D$2:$D$5,0))</f>
        <v>Low</v>
      </c>
    </row>
    <row r="3246" customFormat="false" ht="15" hidden="false" customHeight="false" outlineLevel="0" collapsed="false">
      <c r="A3246" s="3" t="n">
        <v>3245</v>
      </c>
      <c r="B3246" s="3" t="n">
        <f aca="false">Raw_Data!A3246</f>
        <v>51</v>
      </c>
      <c r="C3246" s="3" t="str">
        <f aca="false">SUBSTITUTE(Raw_Data!B3246,".","")</f>
        <v>management</v>
      </c>
      <c r="D3246" s="3" t="str">
        <f aca="false">Raw_Data!C3246</f>
        <v>married</v>
      </c>
      <c r="E3246" s="3" t="str">
        <f aca="false">Raw_Data!D3246</f>
        <v>unknown</v>
      </c>
      <c r="F3246" s="3" t="str">
        <f aca="false">Raw_Data!E3246</f>
        <v>no</v>
      </c>
      <c r="G3246" s="3" t="n">
        <f aca="false">Raw_Data!F3246</f>
        <v>712</v>
      </c>
      <c r="H3246" s="3" t="str">
        <f aca="false">Raw_Data!G3246</f>
        <v>no</v>
      </c>
      <c r="I3246" s="3" t="str">
        <f aca="false">Raw_Data!H3246</f>
        <v>no</v>
      </c>
      <c r="J3246" s="2" t="n">
        <f aca="false">IF(F3246="yes",1,0)</f>
        <v>0</v>
      </c>
      <c r="K3246" s="2" t="n">
        <f aca="false">IF(H3246="yes",1,0)</f>
        <v>0</v>
      </c>
      <c r="L3246" s="2" t="n">
        <f aca="false">IF(I3246="yes",1,0)</f>
        <v>0</v>
      </c>
      <c r="M3246" s="2" t="n">
        <f aca="false">IF(G3246&lt;0,1,0)</f>
        <v>0</v>
      </c>
      <c r="N3246" s="2" t="str">
        <f aca="false">_xlfn.IFS(B3246&lt;30,"Under 30",B3246&lt;40,"30-39",B3246&lt;50,"40-49",B3246&lt;60,"50-59",TRUE(),"60+")</f>
        <v>50-59</v>
      </c>
      <c r="O3246" s="2" t="str">
        <f aca="false">_xlfn.IFS(G3246&lt;0,"1 Negative",G3246=0,"2 Zero",G3246&lt;=500,"3 1-500",G3246&lt;=2000,"4 501-2000",TRUE(),"5 Above 2000")</f>
        <v>4 501-2000</v>
      </c>
      <c r="P3246" s="2" t="n">
        <f aca="false">Lookups!$B$2*M3246+Lookups!$B$3*L3246</f>
        <v>0</v>
      </c>
      <c r="Q3246" s="2" t="str">
        <f aca="false">INDEX(Lookups!$E$2:$E$5,MATCH(P3246,Lookups!$D$2:$D$5,0))</f>
        <v>Low</v>
      </c>
    </row>
    <row r="3247" customFormat="false" ht="15" hidden="false" customHeight="false" outlineLevel="0" collapsed="false">
      <c r="A3247" s="3" t="n">
        <v>3246</v>
      </c>
      <c r="B3247" s="3" t="n">
        <f aca="false">Raw_Data!A3247</f>
        <v>39</v>
      </c>
      <c r="C3247" s="3" t="str">
        <f aca="false">SUBSTITUTE(Raw_Data!B3247,".","")</f>
        <v>admin</v>
      </c>
      <c r="D3247" s="3" t="str">
        <f aca="false">Raw_Data!C3247</f>
        <v>single</v>
      </c>
      <c r="E3247" s="3" t="str">
        <f aca="false">Raw_Data!D3247</f>
        <v>tertiary</v>
      </c>
      <c r="F3247" s="3" t="str">
        <f aca="false">Raw_Data!E3247</f>
        <v>no</v>
      </c>
      <c r="G3247" s="3" t="n">
        <f aca="false">Raw_Data!F3247</f>
        <v>2600</v>
      </c>
      <c r="H3247" s="3" t="str">
        <f aca="false">Raw_Data!G3247</f>
        <v>yes</v>
      </c>
      <c r="I3247" s="3" t="str">
        <f aca="false">Raw_Data!H3247</f>
        <v>no</v>
      </c>
      <c r="J3247" s="2" t="n">
        <f aca="false">IF(F3247="yes",1,0)</f>
        <v>0</v>
      </c>
      <c r="K3247" s="2" t="n">
        <f aca="false">IF(H3247="yes",1,0)</f>
        <v>1</v>
      </c>
      <c r="L3247" s="2" t="n">
        <f aca="false">IF(I3247="yes",1,0)</f>
        <v>0</v>
      </c>
      <c r="M3247" s="2" t="n">
        <f aca="false">IF(G3247&lt;0,1,0)</f>
        <v>0</v>
      </c>
      <c r="N3247" s="2" t="str">
        <f aca="false">_xlfn.IFS(B3247&lt;30,"Under 30",B3247&lt;40,"30-39",B3247&lt;50,"40-49",B3247&lt;60,"50-59",TRUE(),"60+")</f>
        <v>30-39</v>
      </c>
      <c r="O3247" s="2" t="str">
        <f aca="false">_xlfn.IFS(G3247&lt;0,"1 Negative",G3247=0,"2 Zero",G3247&lt;=500,"3 1-500",G3247&lt;=2000,"4 501-2000",TRUE(),"5 Above 2000")</f>
        <v>5 Above 2000</v>
      </c>
      <c r="P3247" s="2" t="n">
        <f aca="false">Lookups!$B$2*M3247+Lookups!$B$3*L3247</f>
        <v>0</v>
      </c>
      <c r="Q3247" s="2" t="str">
        <f aca="false">INDEX(Lookups!$E$2:$E$5,MATCH(P3247,Lookups!$D$2:$D$5,0))</f>
        <v>Low</v>
      </c>
    </row>
    <row r="3248" customFormat="false" ht="15" hidden="false" customHeight="false" outlineLevel="0" collapsed="false">
      <c r="A3248" s="3" t="n">
        <v>3247</v>
      </c>
      <c r="B3248" s="3" t="n">
        <f aca="false">Raw_Data!A3248</f>
        <v>33</v>
      </c>
      <c r="C3248" s="3" t="str">
        <f aca="false">SUBSTITUTE(Raw_Data!B3248,".","")</f>
        <v>blue-collar</v>
      </c>
      <c r="D3248" s="3" t="str">
        <f aca="false">Raw_Data!C3248</f>
        <v>married</v>
      </c>
      <c r="E3248" s="3" t="str">
        <f aca="false">Raw_Data!D3248</f>
        <v>secondary</v>
      </c>
      <c r="F3248" s="3" t="str">
        <f aca="false">Raw_Data!E3248</f>
        <v>no</v>
      </c>
      <c r="G3248" s="3" t="n">
        <f aca="false">Raw_Data!F3248</f>
        <v>-241</v>
      </c>
      <c r="H3248" s="3" t="str">
        <f aca="false">Raw_Data!G3248</f>
        <v>yes</v>
      </c>
      <c r="I3248" s="3" t="str">
        <f aca="false">Raw_Data!H3248</f>
        <v>yes</v>
      </c>
      <c r="J3248" s="2" t="n">
        <f aca="false">IF(F3248="yes",1,0)</f>
        <v>0</v>
      </c>
      <c r="K3248" s="2" t="n">
        <f aca="false">IF(H3248="yes",1,0)</f>
        <v>1</v>
      </c>
      <c r="L3248" s="2" t="n">
        <f aca="false">IF(I3248="yes",1,0)</f>
        <v>1</v>
      </c>
      <c r="M3248" s="2" t="n">
        <f aca="false">IF(G3248&lt;0,1,0)</f>
        <v>1</v>
      </c>
      <c r="N3248" s="2" t="str">
        <f aca="false">_xlfn.IFS(B3248&lt;30,"Under 30",B3248&lt;40,"30-39",B3248&lt;50,"40-49",B3248&lt;60,"50-59",TRUE(),"60+")</f>
        <v>30-39</v>
      </c>
      <c r="O3248" s="2" t="str">
        <f aca="false">_xlfn.IFS(G3248&lt;0,"1 Negative",G3248=0,"2 Zero",G3248&lt;=500,"3 1-500",G3248&lt;=2000,"4 501-2000",TRUE(),"5 Above 2000")</f>
        <v>1 Negative</v>
      </c>
      <c r="P3248" s="2" t="n">
        <f aca="false">Lookups!$B$2*M3248+Lookups!$B$3*L3248</f>
        <v>3</v>
      </c>
      <c r="Q3248" s="2" t="str">
        <f aca="false">INDEX(Lookups!$E$2:$E$5,MATCH(P3248,Lookups!$D$2:$D$5,0))</f>
        <v>High</v>
      </c>
    </row>
    <row r="3249" customFormat="false" ht="15" hidden="false" customHeight="false" outlineLevel="0" collapsed="false">
      <c r="A3249" s="3" t="n">
        <v>3248</v>
      </c>
      <c r="B3249" s="3" t="n">
        <f aca="false">Raw_Data!A3249</f>
        <v>50</v>
      </c>
      <c r="C3249" s="3" t="str">
        <f aca="false">SUBSTITUTE(Raw_Data!B3249,".","")</f>
        <v>blue-collar</v>
      </c>
      <c r="D3249" s="3" t="str">
        <f aca="false">Raw_Data!C3249</f>
        <v>divorced</v>
      </c>
      <c r="E3249" s="3" t="str">
        <f aca="false">Raw_Data!D3249</f>
        <v>primary</v>
      </c>
      <c r="F3249" s="3" t="str">
        <f aca="false">Raw_Data!E3249</f>
        <v>no</v>
      </c>
      <c r="G3249" s="3" t="n">
        <f aca="false">Raw_Data!F3249</f>
        <v>1545</v>
      </c>
      <c r="H3249" s="3" t="str">
        <f aca="false">Raw_Data!G3249</f>
        <v>yes</v>
      </c>
      <c r="I3249" s="3" t="str">
        <f aca="false">Raw_Data!H3249</f>
        <v>no</v>
      </c>
      <c r="J3249" s="2" t="n">
        <f aca="false">IF(F3249="yes",1,0)</f>
        <v>0</v>
      </c>
      <c r="K3249" s="2" t="n">
        <f aca="false">IF(H3249="yes",1,0)</f>
        <v>1</v>
      </c>
      <c r="L3249" s="2" t="n">
        <f aca="false">IF(I3249="yes",1,0)</f>
        <v>0</v>
      </c>
      <c r="M3249" s="2" t="n">
        <f aca="false">IF(G3249&lt;0,1,0)</f>
        <v>0</v>
      </c>
      <c r="N3249" s="2" t="str">
        <f aca="false">_xlfn.IFS(B3249&lt;30,"Under 30",B3249&lt;40,"30-39",B3249&lt;50,"40-49",B3249&lt;60,"50-59",TRUE(),"60+")</f>
        <v>50-59</v>
      </c>
      <c r="O3249" s="2" t="str">
        <f aca="false">_xlfn.IFS(G3249&lt;0,"1 Negative",G3249=0,"2 Zero",G3249&lt;=500,"3 1-500",G3249&lt;=2000,"4 501-2000",TRUE(),"5 Above 2000")</f>
        <v>4 501-2000</v>
      </c>
      <c r="P3249" s="2" t="n">
        <f aca="false">Lookups!$B$2*M3249+Lookups!$B$3*L3249</f>
        <v>0</v>
      </c>
      <c r="Q3249" s="2" t="str">
        <f aca="false">INDEX(Lookups!$E$2:$E$5,MATCH(P3249,Lookups!$D$2:$D$5,0))</f>
        <v>Low</v>
      </c>
    </row>
    <row r="3250" customFormat="false" ht="15" hidden="false" customHeight="false" outlineLevel="0" collapsed="false">
      <c r="A3250" s="3" t="n">
        <v>3249</v>
      </c>
      <c r="B3250" s="3" t="n">
        <f aca="false">Raw_Data!A3250</f>
        <v>59</v>
      </c>
      <c r="C3250" s="3" t="str">
        <f aca="false">SUBSTITUTE(Raw_Data!B3250,".","")</f>
        <v>retired</v>
      </c>
      <c r="D3250" s="3" t="str">
        <f aca="false">Raw_Data!C3250</f>
        <v>divorced</v>
      </c>
      <c r="E3250" s="3" t="str">
        <f aca="false">Raw_Data!D3250</f>
        <v>secondary</v>
      </c>
      <c r="F3250" s="3" t="str">
        <f aca="false">Raw_Data!E3250</f>
        <v>no</v>
      </c>
      <c r="G3250" s="3" t="n">
        <f aca="false">Raw_Data!F3250</f>
        <v>1026</v>
      </c>
      <c r="H3250" s="3" t="str">
        <f aca="false">Raw_Data!G3250</f>
        <v>no</v>
      </c>
      <c r="I3250" s="3" t="str">
        <f aca="false">Raw_Data!H3250</f>
        <v>no</v>
      </c>
      <c r="J3250" s="2" t="n">
        <f aca="false">IF(F3250="yes",1,0)</f>
        <v>0</v>
      </c>
      <c r="K3250" s="2" t="n">
        <f aca="false">IF(H3250="yes",1,0)</f>
        <v>0</v>
      </c>
      <c r="L3250" s="2" t="n">
        <f aca="false">IF(I3250="yes",1,0)</f>
        <v>0</v>
      </c>
      <c r="M3250" s="2" t="n">
        <f aca="false">IF(G3250&lt;0,1,0)</f>
        <v>0</v>
      </c>
      <c r="N3250" s="2" t="str">
        <f aca="false">_xlfn.IFS(B3250&lt;30,"Under 30",B3250&lt;40,"30-39",B3250&lt;50,"40-49",B3250&lt;60,"50-59",TRUE(),"60+")</f>
        <v>50-59</v>
      </c>
      <c r="O3250" s="2" t="str">
        <f aca="false">_xlfn.IFS(G3250&lt;0,"1 Negative",G3250=0,"2 Zero",G3250&lt;=500,"3 1-500",G3250&lt;=2000,"4 501-2000",TRUE(),"5 Above 2000")</f>
        <v>4 501-2000</v>
      </c>
      <c r="P3250" s="2" t="n">
        <f aca="false">Lookups!$B$2*M3250+Lookups!$B$3*L3250</f>
        <v>0</v>
      </c>
      <c r="Q3250" s="2" t="str">
        <f aca="false">INDEX(Lookups!$E$2:$E$5,MATCH(P3250,Lookups!$D$2:$D$5,0))</f>
        <v>Low</v>
      </c>
    </row>
    <row r="3251" customFormat="false" ht="15" hidden="false" customHeight="false" outlineLevel="0" collapsed="false">
      <c r="A3251" s="3" t="n">
        <v>3250</v>
      </c>
      <c r="B3251" s="3" t="n">
        <f aca="false">Raw_Data!A3251</f>
        <v>58</v>
      </c>
      <c r="C3251" s="3" t="str">
        <f aca="false">SUBSTITUTE(Raw_Data!B3251,".","")</f>
        <v>housemaid</v>
      </c>
      <c r="D3251" s="3" t="str">
        <f aca="false">Raw_Data!C3251</f>
        <v>married</v>
      </c>
      <c r="E3251" s="3" t="str">
        <f aca="false">Raw_Data!D3251</f>
        <v>primary</v>
      </c>
      <c r="F3251" s="3" t="str">
        <f aca="false">Raw_Data!E3251</f>
        <v>no</v>
      </c>
      <c r="G3251" s="3" t="n">
        <f aca="false">Raw_Data!F3251</f>
        <v>435</v>
      </c>
      <c r="H3251" s="3" t="str">
        <f aca="false">Raw_Data!G3251</f>
        <v>yes</v>
      </c>
      <c r="I3251" s="3" t="str">
        <f aca="false">Raw_Data!H3251</f>
        <v>no</v>
      </c>
      <c r="J3251" s="2" t="n">
        <f aca="false">IF(F3251="yes",1,0)</f>
        <v>0</v>
      </c>
      <c r="K3251" s="2" t="n">
        <f aca="false">IF(H3251="yes",1,0)</f>
        <v>1</v>
      </c>
      <c r="L3251" s="2" t="n">
        <f aca="false">IF(I3251="yes",1,0)</f>
        <v>0</v>
      </c>
      <c r="M3251" s="2" t="n">
        <f aca="false">IF(G3251&lt;0,1,0)</f>
        <v>0</v>
      </c>
      <c r="N3251" s="2" t="str">
        <f aca="false">_xlfn.IFS(B3251&lt;30,"Under 30",B3251&lt;40,"30-39",B3251&lt;50,"40-49",B3251&lt;60,"50-59",TRUE(),"60+")</f>
        <v>50-59</v>
      </c>
      <c r="O3251" s="2" t="str">
        <f aca="false">_xlfn.IFS(G3251&lt;0,"1 Negative",G3251=0,"2 Zero",G3251&lt;=500,"3 1-500",G3251&lt;=2000,"4 501-2000",TRUE(),"5 Above 2000")</f>
        <v>3 1-500</v>
      </c>
      <c r="P3251" s="2" t="n">
        <f aca="false">Lookups!$B$2*M3251+Lookups!$B$3*L3251</f>
        <v>0</v>
      </c>
      <c r="Q3251" s="2" t="str">
        <f aca="false">INDEX(Lookups!$E$2:$E$5,MATCH(P3251,Lookups!$D$2:$D$5,0))</f>
        <v>Low</v>
      </c>
    </row>
    <row r="3252" customFormat="false" ht="15" hidden="false" customHeight="false" outlineLevel="0" collapsed="false">
      <c r="A3252" s="3" t="n">
        <v>3251</v>
      </c>
      <c r="B3252" s="3" t="n">
        <f aca="false">Raw_Data!A3252</f>
        <v>54</v>
      </c>
      <c r="C3252" s="3" t="str">
        <f aca="false">SUBSTITUTE(Raw_Data!B3252,".","")</f>
        <v>technician</v>
      </c>
      <c r="D3252" s="3" t="str">
        <f aca="false">Raw_Data!C3252</f>
        <v>married</v>
      </c>
      <c r="E3252" s="3" t="str">
        <f aca="false">Raw_Data!D3252</f>
        <v>tertiary</v>
      </c>
      <c r="F3252" s="3" t="str">
        <f aca="false">Raw_Data!E3252</f>
        <v>no</v>
      </c>
      <c r="G3252" s="3" t="n">
        <f aca="false">Raw_Data!F3252</f>
        <v>876</v>
      </c>
      <c r="H3252" s="3" t="str">
        <f aca="false">Raw_Data!G3252</f>
        <v>no</v>
      </c>
      <c r="I3252" s="3" t="str">
        <f aca="false">Raw_Data!H3252</f>
        <v>no</v>
      </c>
      <c r="J3252" s="2" t="n">
        <f aca="false">IF(F3252="yes",1,0)</f>
        <v>0</v>
      </c>
      <c r="K3252" s="2" t="n">
        <f aca="false">IF(H3252="yes",1,0)</f>
        <v>0</v>
      </c>
      <c r="L3252" s="2" t="n">
        <f aca="false">IF(I3252="yes",1,0)</f>
        <v>0</v>
      </c>
      <c r="M3252" s="2" t="n">
        <f aca="false">IF(G3252&lt;0,1,0)</f>
        <v>0</v>
      </c>
      <c r="N3252" s="2" t="str">
        <f aca="false">_xlfn.IFS(B3252&lt;30,"Under 30",B3252&lt;40,"30-39",B3252&lt;50,"40-49",B3252&lt;60,"50-59",TRUE(),"60+")</f>
        <v>50-59</v>
      </c>
      <c r="O3252" s="2" t="str">
        <f aca="false">_xlfn.IFS(G3252&lt;0,"1 Negative",G3252=0,"2 Zero",G3252&lt;=500,"3 1-500",G3252&lt;=2000,"4 501-2000",TRUE(),"5 Above 2000")</f>
        <v>4 501-2000</v>
      </c>
      <c r="P3252" s="2" t="n">
        <f aca="false">Lookups!$B$2*M3252+Lookups!$B$3*L3252</f>
        <v>0</v>
      </c>
      <c r="Q3252" s="2" t="str">
        <f aca="false">INDEX(Lookups!$E$2:$E$5,MATCH(P3252,Lookups!$D$2:$D$5,0))</f>
        <v>Low</v>
      </c>
    </row>
    <row r="3253" customFormat="false" ht="15" hidden="false" customHeight="false" outlineLevel="0" collapsed="false">
      <c r="A3253" s="3" t="n">
        <v>3252</v>
      </c>
      <c r="B3253" s="3" t="n">
        <f aca="false">Raw_Data!A3253</f>
        <v>60</v>
      </c>
      <c r="C3253" s="3" t="str">
        <f aca="false">SUBSTITUTE(Raw_Data!B3253,".","")</f>
        <v>blue-collar</v>
      </c>
      <c r="D3253" s="3" t="str">
        <f aca="false">Raw_Data!C3253</f>
        <v>married</v>
      </c>
      <c r="E3253" s="3" t="str">
        <f aca="false">Raw_Data!D3253</f>
        <v>secondary</v>
      </c>
      <c r="F3253" s="3" t="str">
        <f aca="false">Raw_Data!E3253</f>
        <v>no</v>
      </c>
      <c r="G3253" s="3" t="n">
        <f aca="false">Raw_Data!F3253</f>
        <v>1801</v>
      </c>
      <c r="H3253" s="3" t="str">
        <f aca="false">Raw_Data!G3253</f>
        <v>no</v>
      </c>
      <c r="I3253" s="3" t="str">
        <f aca="false">Raw_Data!H3253</f>
        <v>no</v>
      </c>
      <c r="J3253" s="2" t="n">
        <f aca="false">IF(F3253="yes",1,0)</f>
        <v>0</v>
      </c>
      <c r="K3253" s="2" t="n">
        <f aca="false">IF(H3253="yes",1,0)</f>
        <v>0</v>
      </c>
      <c r="L3253" s="2" t="n">
        <f aca="false">IF(I3253="yes",1,0)</f>
        <v>0</v>
      </c>
      <c r="M3253" s="2" t="n">
        <f aca="false">IF(G3253&lt;0,1,0)</f>
        <v>0</v>
      </c>
      <c r="N3253" s="2" t="str">
        <f aca="false">_xlfn.IFS(B3253&lt;30,"Under 30",B3253&lt;40,"30-39",B3253&lt;50,"40-49",B3253&lt;60,"50-59",TRUE(),"60+")</f>
        <v>60+</v>
      </c>
      <c r="O3253" s="2" t="str">
        <f aca="false">_xlfn.IFS(G3253&lt;0,"1 Negative",G3253=0,"2 Zero",G3253&lt;=500,"3 1-500",G3253&lt;=2000,"4 501-2000",TRUE(),"5 Above 2000")</f>
        <v>4 501-2000</v>
      </c>
      <c r="P3253" s="2" t="n">
        <f aca="false">Lookups!$B$2*M3253+Lookups!$B$3*L3253</f>
        <v>0</v>
      </c>
      <c r="Q3253" s="2" t="str">
        <f aca="false">INDEX(Lookups!$E$2:$E$5,MATCH(P3253,Lookups!$D$2:$D$5,0))</f>
        <v>Low</v>
      </c>
    </row>
    <row r="3254" customFormat="false" ht="15" hidden="false" customHeight="false" outlineLevel="0" collapsed="false">
      <c r="A3254" s="3" t="n">
        <v>3253</v>
      </c>
      <c r="B3254" s="3" t="n">
        <f aca="false">Raw_Data!A3254</f>
        <v>38</v>
      </c>
      <c r="C3254" s="3" t="str">
        <f aca="false">SUBSTITUTE(Raw_Data!B3254,".","")</f>
        <v>management</v>
      </c>
      <c r="D3254" s="3" t="str">
        <f aca="false">Raw_Data!C3254</f>
        <v>married</v>
      </c>
      <c r="E3254" s="3" t="str">
        <f aca="false">Raw_Data!D3254</f>
        <v>tertiary</v>
      </c>
      <c r="F3254" s="3" t="str">
        <f aca="false">Raw_Data!E3254</f>
        <v>no</v>
      </c>
      <c r="G3254" s="3" t="n">
        <f aca="false">Raw_Data!F3254</f>
        <v>2278</v>
      </c>
      <c r="H3254" s="3" t="str">
        <f aca="false">Raw_Data!G3254</f>
        <v>yes</v>
      </c>
      <c r="I3254" s="3" t="str">
        <f aca="false">Raw_Data!H3254</f>
        <v>yes</v>
      </c>
      <c r="J3254" s="2" t="n">
        <f aca="false">IF(F3254="yes",1,0)</f>
        <v>0</v>
      </c>
      <c r="K3254" s="2" t="n">
        <f aca="false">IF(H3254="yes",1,0)</f>
        <v>1</v>
      </c>
      <c r="L3254" s="2" t="n">
        <f aca="false">IF(I3254="yes",1,0)</f>
        <v>1</v>
      </c>
      <c r="M3254" s="2" t="n">
        <f aca="false">IF(G3254&lt;0,1,0)</f>
        <v>0</v>
      </c>
      <c r="N3254" s="2" t="str">
        <f aca="false">_xlfn.IFS(B3254&lt;30,"Under 30",B3254&lt;40,"30-39",B3254&lt;50,"40-49",B3254&lt;60,"50-59",TRUE(),"60+")</f>
        <v>30-39</v>
      </c>
      <c r="O3254" s="2" t="str">
        <f aca="false">_xlfn.IFS(G3254&lt;0,"1 Negative",G3254=0,"2 Zero",G3254&lt;=500,"3 1-500",G3254&lt;=2000,"4 501-2000",TRUE(),"5 Above 2000")</f>
        <v>5 Above 2000</v>
      </c>
      <c r="P3254" s="2" t="n">
        <f aca="false">Lookups!$B$2*M3254+Lookups!$B$3*L3254</f>
        <v>1</v>
      </c>
      <c r="Q3254" s="2" t="str">
        <f aca="false">INDEX(Lookups!$E$2:$E$5,MATCH(P3254,Lookups!$D$2:$D$5,0))</f>
        <v>Medium</v>
      </c>
    </row>
    <row r="3255" customFormat="false" ht="15" hidden="false" customHeight="false" outlineLevel="0" collapsed="false">
      <c r="A3255" s="3" t="n">
        <v>3254</v>
      </c>
      <c r="B3255" s="3" t="n">
        <f aca="false">Raw_Data!A3255</f>
        <v>39</v>
      </c>
      <c r="C3255" s="3" t="str">
        <f aca="false">SUBSTITUTE(Raw_Data!B3255,".","")</f>
        <v>blue-collar</v>
      </c>
      <c r="D3255" s="3" t="str">
        <f aca="false">Raw_Data!C3255</f>
        <v>married</v>
      </c>
      <c r="E3255" s="3" t="str">
        <f aca="false">Raw_Data!D3255</f>
        <v>unknown</v>
      </c>
      <c r="F3255" s="3" t="str">
        <f aca="false">Raw_Data!E3255</f>
        <v>no</v>
      </c>
      <c r="G3255" s="3" t="n">
        <f aca="false">Raw_Data!F3255</f>
        <v>157</v>
      </c>
      <c r="H3255" s="3" t="str">
        <f aca="false">Raw_Data!G3255</f>
        <v>yes</v>
      </c>
      <c r="I3255" s="3" t="str">
        <f aca="false">Raw_Data!H3255</f>
        <v>no</v>
      </c>
      <c r="J3255" s="2" t="n">
        <f aca="false">IF(F3255="yes",1,0)</f>
        <v>0</v>
      </c>
      <c r="K3255" s="2" t="n">
        <f aca="false">IF(H3255="yes",1,0)</f>
        <v>1</v>
      </c>
      <c r="L3255" s="2" t="n">
        <f aca="false">IF(I3255="yes",1,0)</f>
        <v>0</v>
      </c>
      <c r="M3255" s="2" t="n">
        <f aca="false">IF(G3255&lt;0,1,0)</f>
        <v>0</v>
      </c>
      <c r="N3255" s="2" t="str">
        <f aca="false">_xlfn.IFS(B3255&lt;30,"Under 30",B3255&lt;40,"30-39",B3255&lt;50,"40-49",B3255&lt;60,"50-59",TRUE(),"60+")</f>
        <v>30-39</v>
      </c>
      <c r="O3255" s="2" t="str">
        <f aca="false">_xlfn.IFS(G3255&lt;0,"1 Negative",G3255=0,"2 Zero",G3255&lt;=500,"3 1-500",G3255&lt;=2000,"4 501-2000",TRUE(),"5 Above 2000")</f>
        <v>3 1-500</v>
      </c>
      <c r="P3255" s="2" t="n">
        <f aca="false">Lookups!$B$2*M3255+Lookups!$B$3*L3255</f>
        <v>0</v>
      </c>
      <c r="Q3255" s="2" t="str">
        <f aca="false">INDEX(Lookups!$E$2:$E$5,MATCH(P3255,Lookups!$D$2:$D$5,0))</f>
        <v>Low</v>
      </c>
    </row>
    <row r="3256" customFormat="false" ht="15" hidden="false" customHeight="false" outlineLevel="0" collapsed="false">
      <c r="A3256" s="3" t="n">
        <v>3255</v>
      </c>
      <c r="B3256" s="3" t="n">
        <f aca="false">Raw_Data!A3256</f>
        <v>40</v>
      </c>
      <c r="C3256" s="3" t="str">
        <f aca="false">SUBSTITUTE(Raw_Data!B3256,".","")</f>
        <v>admin</v>
      </c>
      <c r="D3256" s="3" t="str">
        <f aca="false">Raw_Data!C3256</f>
        <v>married</v>
      </c>
      <c r="E3256" s="3" t="str">
        <f aca="false">Raw_Data!D3256</f>
        <v>secondary</v>
      </c>
      <c r="F3256" s="3" t="str">
        <f aca="false">Raw_Data!E3256</f>
        <v>no</v>
      </c>
      <c r="G3256" s="3" t="n">
        <f aca="false">Raw_Data!F3256</f>
        <v>1327</v>
      </c>
      <c r="H3256" s="3" t="str">
        <f aca="false">Raw_Data!G3256</f>
        <v>yes</v>
      </c>
      <c r="I3256" s="3" t="str">
        <f aca="false">Raw_Data!H3256</f>
        <v>yes</v>
      </c>
      <c r="J3256" s="2" t="n">
        <f aca="false">IF(F3256="yes",1,0)</f>
        <v>0</v>
      </c>
      <c r="K3256" s="2" t="n">
        <f aca="false">IF(H3256="yes",1,0)</f>
        <v>1</v>
      </c>
      <c r="L3256" s="2" t="n">
        <f aca="false">IF(I3256="yes",1,0)</f>
        <v>1</v>
      </c>
      <c r="M3256" s="2" t="n">
        <f aca="false">IF(G3256&lt;0,1,0)</f>
        <v>0</v>
      </c>
      <c r="N3256" s="2" t="str">
        <f aca="false">_xlfn.IFS(B3256&lt;30,"Under 30",B3256&lt;40,"30-39",B3256&lt;50,"40-49",B3256&lt;60,"50-59",TRUE(),"60+")</f>
        <v>40-49</v>
      </c>
      <c r="O3256" s="2" t="str">
        <f aca="false">_xlfn.IFS(G3256&lt;0,"1 Negative",G3256=0,"2 Zero",G3256&lt;=500,"3 1-500",G3256&lt;=2000,"4 501-2000",TRUE(),"5 Above 2000")</f>
        <v>4 501-2000</v>
      </c>
      <c r="P3256" s="2" t="n">
        <f aca="false">Lookups!$B$2*M3256+Lookups!$B$3*L3256</f>
        <v>1</v>
      </c>
      <c r="Q3256" s="2" t="str">
        <f aca="false">INDEX(Lookups!$E$2:$E$5,MATCH(P3256,Lookups!$D$2:$D$5,0))</f>
        <v>Medium</v>
      </c>
    </row>
    <row r="3257" customFormat="false" ht="15" hidden="false" customHeight="false" outlineLevel="0" collapsed="false">
      <c r="A3257" s="3" t="n">
        <v>3256</v>
      </c>
      <c r="B3257" s="3" t="n">
        <f aca="false">Raw_Data!A3257</f>
        <v>55</v>
      </c>
      <c r="C3257" s="3" t="str">
        <f aca="false">SUBSTITUTE(Raw_Data!B3257,".","")</f>
        <v>blue-collar</v>
      </c>
      <c r="D3257" s="3" t="str">
        <f aca="false">Raw_Data!C3257</f>
        <v>married</v>
      </c>
      <c r="E3257" s="3" t="str">
        <f aca="false">Raw_Data!D3257</f>
        <v>primary</v>
      </c>
      <c r="F3257" s="3" t="str">
        <f aca="false">Raw_Data!E3257</f>
        <v>no</v>
      </c>
      <c r="G3257" s="3" t="n">
        <f aca="false">Raw_Data!F3257</f>
        <v>284</v>
      </c>
      <c r="H3257" s="3" t="str">
        <f aca="false">Raw_Data!G3257</f>
        <v>no</v>
      </c>
      <c r="I3257" s="3" t="str">
        <f aca="false">Raw_Data!H3257</f>
        <v>yes</v>
      </c>
      <c r="J3257" s="2" t="n">
        <f aca="false">IF(F3257="yes",1,0)</f>
        <v>0</v>
      </c>
      <c r="K3257" s="2" t="n">
        <f aca="false">IF(H3257="yes",1,0)</f>
        <v>0</v>
      </c>
      <c r="L3257" s="2" t="n">
        <f aca="false">IF(I3257="yes",1,0)</f>
        <v>1</v>
      </c>
      <c r="M3257" s="2" t="n">
        <f aca="false">IF(G3257&lt;0,1,0)</f>
        <v>0</v>
      </c>
      <c r="N3257" s="2" t="str">
        <f aca="false">_xlfn.IFS(B3257&lt;30,"Under 30",B3257&lt;40,"30-39",B3257&lt;50,"40-49",B3257&lt;60,"50-59",TRUE(),"60+")</f>
        <v>50-59</v>
      </c>
      <c r="O3257" s="2" t="str">
        <f aca="false">_xlfn.IFS(G3257&lt;0,"1 Negative",G3257=0,"2 Zero",G3257&lt;=500,"3 1-500",G3257&lt;=2000,"4 501-2000",TRUE(),"5 Above 2000")</f>
        <v>3 1-500</v>
      </c>
      <c r="P3257" s="2" t="n">
        <f aca="false">Lookups!$B$2*M3257+Lookups!$B$3*L3257</f>
        <v>1</v>
      </c>
      <c r="Q3257" s="2" t="str">
        <f aca="false">INDEX(Lookups!$E$2:$E$5,MATCH(P3257,Lookups!$D$2:$D$5,0))</f>
        <v>Medium</v>
      </c>
    </row>
    <row r="3258" customFormat="false" ht="15" hidden="false" customHeight="false" outlineLevel="0" collapsed="false">
      <c r="A3258" s="3" t="n">
        <v>3257</v>
      </c>
      <c r="B3258" s="3" t="n">
        <f aca="false">Raw_Data!A3258</f>
        <v>36</v>
      </c>
      <c r="C3258" s="3" t="str">
        <f aca="false">SUBSTITUTE(Raw_Data!B3258,".","")</f>
        <v>management</v>
      </c>
      <c r="D3258" s="3" t="str">
        <f aca="false">Raw_Data!C3258</f>
        <v>married</v>
      </c>
      <c r="E3258" s="3" t="str">
        <f aca="false">Raw_Data!D3258</f>
        <v>tertiary</v>
      </c>
      <c r="F3258" s="3" t="str">
        <f aca="false">Raw_Data!E3258</f>
        <v>no</v>
      </c>
      <c r="G3258" s="3" t="n">
        <f aca="false">Raw_Data!F3258</f>
        <v>495</v>
      </c>
      <c r="H3258" s="3" t="str">
        <f aca="false">Raw_Data!G3258</f>
        <v>no</v>
      </c>
      <c r="I3258" s="3" t="str">
        <f aca="false">Raw_Data!H3258</f>
        <v>no</v>
      </c>
      <c r="J3258" s="2" t="n">
        <f aca="false">IF(F3258="yes",1,0)</f>
        <v>0</v>
      </c>
      <c r="K3258" s="2" t="n">
        <f aca="false">IF(H3258="yes",1,0)</f>
        <v>0</v>
      </c>
      <c r="L3258" s="2" t="n">
        <f aca="false">IF(I3258="yes",1,0)</f>
        <v>0</v>
      </c>
      <c r="M3258" s="2" t="n">
        <f aca="false">IF(G3258&lt;0,1,0)</f>
        <v>0</v>
      </c>
      <c r="N3258" s="2" t="str">
        <f aca="false">_xlfn.IFS(B3258&lt;30,"Under 30",B3258&lt;40,"30-39",B3258&lt;50,"40-49",B3258&lt;60,"50-59",TRUE(),"60+")</f>
        <v>30-39</v>
      </c>
      <c r="O3258" s="2" t="str">
        <f aca="false">_xlfn.IFS(G3258&lt;0,"1 Negative",G3258=0,"2 Zero",G3258&lt;=500,"3 1-500",G3258&lt;=2000,"4 501-2000",TRUE(),"5 Above 2000")</f>
        <v>3 1-500</v>
      </c>
      <c r="P3258" s="2" t="n">
        <f aca="false">Lookups!$B$2*M3258+Lookups!$B$3*L3258</f>
        <v>0</v>
      </c>
      <c r="Q3258" s="2" t="str">
        <f aca="false">INDEX(Lookups!$E$2:$E$5,MATCH(P3258,Lookups!$D$2:$D$5,0))</f>
        <v>Low</v>
      </c>
    </row>
    <row r="3259" customFormat="false" ht="15" hidden="false" customHeight="false" outlineLevel="0" collapsed="false">
      <c r="A3259" s="3" t="n">
        <v>3258</v>
      </c>
      <c r="B3259" s="3" t="n">
        <f aca="false">Raw_Data!A3259</f>
        <v>31</v>
      </c>
      <c r="C3259" s="3" t="str">
        <f aca="false">SUBSTITUTE(Raw_Data!B3259,".","")</f>
        <v>admin</v>
      </c>
      <c r="D3259" s="3" t="str">
        <f aca="false">Raw_Data!C3259</f>
        <v>single</v>
      </c>
      <c r="E3259" s="3" t="str">
        <f aca="false">Raw_Data!D3259</f>
        <v>secondary</v>
      </c>
      <c r="F3259" s="3" t="str">
        <f aca="false">Raw_Data!E3259</f>
        <v>no</v>
      </c>
      <c r="G3259" s="3" t="n">
        <f aca="false">Raw_Data!F3259</f>
        <v>1588</v>
      </c>
      <c r="H3259" s="3" t="str">
        <f aca="false">Raw_Data!G3259</f>
        <v>yes</v>
      </c>
      <c r="I3259" s="3" t="str">
        <f aca="false">Raw_Data!H3259</f>
        <v>no</v>
      </c>
      <c r="J3259" s="2" t="n">
        <f aca="false">IF(F3259="yes",1,0)</f>
        <v>0</v>
      </c>
      <c r="K3259" s="2" t="n">
        <f aca="false">IF(H3259="yes",1,0)</f>
        <v>1</v>
      </c>
      <c r="L3259" s="2" t="n">
        <f aca="false">IF(I3259="yes",1,0)</f>
        <v>0</v>
      </c>
      <c r="M3259" s="2" t="n">
        <f aca="false">IF(G3259&lt;0,1,0)</f>
        <v>0</v>
      </c>
      <c r="N3259" s="2" t="str">
        <f aca="false">_xlfn.IFS(B3259&lt;30,"Under 30",B3259&lt;40,"30-39",B3259&lt;50,"40-49",B3259&lt;60,"50-59",TRUE(),"60+")</f>
        <v>30-39</v>
      </c>
      <c r="O3259" s="2" t="str">
        <f aca="false">_xlfn.IFS(G3259&lt;0,"1 Negative",G3259=0,"2 Zero",G3259&lt;=500,"3 1-500",G3259&lt;=2000,"4 501-2000",TRUE(),"5 Above 2000")</f>
        <v>4 501-2000</v>
      </c>
      <c r="P3259" s="2" t="n">
        <f aca="false">Lookups!$B$2*M3259+Lookups!$B$3*L3259</f>
        <v>0</v>
      </c>
      <c r="Q3259" s="2" t="str">
        <f aca="false">INDEX(Lookups!$E$2:$E$5,MATCH(P3259,Lookups!$D$2:$D$5,0))</f>
        <v>Low</v>
      </c>
    </row>
    <row r="3260" customFormat="false" ht="15" hidden="false" customHeight="false" outlineLevel="0" collapsed="false">
      <c r="A3260" s="3" t="n">
        <v>3259</v>
      </c>
      <c r="B3260" s="3" t="n">
        <f aca="false">Raw_Data!A3260</f>
        <v>38</v>
      </c>
      <c r="C3260" s="3" t="str">
        <f aca="false">SUBSTITUTE(Raw_Data!B3260,".","")</f>
        <v>services</v>
      </c>
      <c r="D3260" s="3" t="str">
        <f aca="false">Raw_Data!C3260</f>
        <v>married</v>
      </c>
      <c r="E3260" s="3" t="str">
        <f aca="false">Raw_Data!D3260</f>
        <v>secondary</v>
      </c>
      <c r="F3260" s="3" t="str">
        <f aca="false">Raw_Data!E3260</f>
        <v>no</v>
      </c>
      <c r="G3260" s="3" t="n">
        <f aca="false">Raw_Data!F3260</f>
        <v>0</v>
      </c>
      <c r="H3260" s="3" t="str">
        <f aca="false">Raw_Data!G3260</f>
        <v>yes</v>
      </c>
      <c r="I3260" s="3" t="str">
        <f aca="false">Raw_Data!H3260</f>
        <v>no</v>
      </c>
      <c r="J3260" s="2" t="n">
        <f aca="false">IF(F3260="yes",1,0)</f>
        <v>0</v>
      </c>
      <c r="K3260" s="2" t="n">
        <f aca="false">IF(H3260="yes",1,0)</f>
        <v>1</v>
      </c>
      <c r="L3260" s="2" t="n">
        <f aca="false">IF(I3260="yes",1,0)</f>
        <v>0</v>
      </c>
      <c r="M3260" s="2" t="n">
        <f aca="false">IF(G3260&lt;0,1,0)</f>
        <v>0</v>
      </c>
      <c r="N3260" s="2" t="str">
        <f aca="false">_xlfn.IFS(B3260&lt;30,"Under 30",B3260&lt;40,"30-39",B3260&lt;50,"40-49",B3260&lt;60,"50-59",TRUE(),"60+")</f>
        <v>30-39</v>
      </c>
      <c r="O3260" s="2" t="str">
        <f aca="false">_xlfn.IFS(G3260&lt;0,"1 Negative",G3260=0,"2 Zero",G3260&lt;=500,"3 1-500",G3260&lt;=2000,"4 501-2000",TRUE(),"5 Above 2000")</f>
        <v>2 Zero</v>
      </c>
      <c r="P3260" s="2" t="n">
        <f aca="false">Lookups!$B$2*M3260+Lookups!$B$3*L3260</f>
        <v>0</v>
      </c>
      <c r="Q3260" s="2" t="str">
        <f aca="false">INDEX(Lookups!$E$2:$E$5,MATCH(P3260,Lookups!$D$2:$D$5,0))</f>
        <v>Low</v>
      </c>
    </row>
    <row r="3261" customFormat="false" ht="15" hidden="false" customHeight="false" outlineLevel="0" collapsed="false">
      <c r="A3261" s="3" t="n">
        <v>3260</v>
      </c>
      <c r="B3261" s="3" t="n">
        <f aca="false">Raw_Data!A3261</f>
        <v>52</v>
      </c>
      <c r="C3261" s="3" t="str">
        <f aca="false">SUBSTITUTE(Raw_Data!B3261,".","")</f>
        <v>management</v>
      </c>
      <c r="D3261" s="3" t="str">
        <f aca="false">Raw_Data!C3261</f>
        <v>married</v>
      </c>
      <c r="E3261" s="3" t="str">
        <f aca="false">Raw_Data!D3261</f>
        <v>secondary</v>
      </c>
      <c r="F3261" s="3" t="str">
        <f aca="false">Raw_Data!E3261</f>
        <v>no</v>
      </c>
      <c r="G3261" s="3" t="n">
        <f aca="false">Raw_Data!F3261</f>
        <v>428</v>
      </c>
      <c r="H3261" s="3" t="str">
        <f aca="false">Raw_Data!G3261</f>
        <v>yes</v>
      </c>
      <c r="I3261" s="3" t="str">
        <f aca="false">Raw_Data!H3261</f>
        <v>no</v>
      </c>
      <c r="J3261" s="2" t="n">
        <f aca="false">IF(F3261="yes",1,0)</f>
        <v>0</v>
      </c>
      <c r="K3261" s="2" t="n">
        <f aca="false">IF(H3261="yes",1,0)</f>
        <v>1</v>
      </c>
      <c r="L3261" s="2" t="n">
        <f aca="false">IF(I3261="yes",1,0)</f>
        <v>0</v>
      </c>
      <c r="M3261" s="2" t="n">
        <f aca="false">IF(G3261&lt;0,1,0)</f>
        <v>0</v>
      </c>
      <c r="N3261" s="2" t="str">
        <f aca="false">_xlfn.IFS(B3261&lt;30,"Under 30",B3261&lt;40,"30-39",B3261&lt;50,"40-49",B3261&lt;60,"50-59",TRUE(),"60+")</f>
        <v>50-59</v>
      </c>
      <c r="O3261" s="2" t="str">
        <f aca="false">_xlfn.IFS(G3261&lt;0,"1 Negative",G3261=0,"2 Zero",G3261&lt;=500,"3 1-500",G3261&lt;=2000,"4 501-2000",TRUE(),"5 Above 2000")</f>
        <v>3 1-500</v>
      </c>
      <c r="P3261" s="2" t="n">
        <f aca="false">Lookups!$B$2*M3261+Lookups!$B$3*L3261</f>
        <v>0</v>
      </c>
      <c r="Q3261" s="2" t="str">
        <f aca="false">INDEX(Lookups!$E$2:$E$5,MATCH(P3261,Lookups!$D$2:$D$5,0))</f>
        <v>Low</v>
      </c>
    </row>
    <row r="3262" customFormat="false" ht="15" hidden="false" customHeight="false" outlineLevel="0" collapsed="false">
      <c r="A3262" s="3" t="n">
        <v>3261</v>
      </c>
      <c r="B3262" s="3" t="n">
        <f aca="false">Raw_Data!A3262</f>
        <v>45</v>
      </c>
      <c r="C3262" s="3" t="str">
        <f aca="false">SUBSTITUTE(Raw_Data!B3262,".","")</f>
        <v>admin</v>
      </c>
      <c r="D3262" s="3" t="str">
        <f aca="false">Raw_Data!C3262</f>
        <v>married</v>
      </c>
      <c r="E3262" s="3" t="str">
        <f aca="false">Raw_Data!D3262</f>
        <v>primary</v>
      </c>
      <c r="F3262" s="3" t="str">
        <f aca="false">Raw_Data!E3262</f>
        <v>no</v>
      </c>
      <c r="G3262" s="3" t="n">
        <f aca="false">Raw_Data!F3262</f>
        <v>542</v>
      </c>
      <c r="H3262" s="3" t="str">
        <f aca="false">Raw_Data!G3262</f>
        <v>no</v>
      </c>
      <c r="I3262" s="3" t="str">
        <f aca="false">Raw_Data!H3262</f>
        <v>no</v>
      </c>
      <c r="J3262" s="2" t="n">
        <f aca="false">IF(F3262="yes",1,0)</f>
        <v>0</v>
      </c>
      <c r="K3262" s="2" t="n">
        <f aca="false">IF(H3262="yes",1,0)</f>
        <v>0</v>
      </c>
      <c r="L3262" s="2" t="n">
        <f aca="false">IF(I3262="yes",1,0)</f>
        <v>0</v>
      </c>
      <c r="M3262" s="2" t="n">
        <f aca="false">IF(G3262&lt;0,1,0)</f>
        <v>0</v>
      </c>
      <c r="N3262" s="2" t="str">
        <f aca="false">_xlfn.IFS(B3262&lt;30,"Under 30",B3262&lt;40,"30-39",B3262&lt;50,"40-49",B3262&lt;60,"50-59",TRUE(),"60+")</f>
        <v>40-49</v>
      </c>
      <c r="O3262" s="2" t="str">
        <f aca="false">_xlfn.IFS(G3262&lt;0,"1 Negative",G3262=0,"2 Zero",G3262&lt;=500,"3 1-500",G3262&lt;=2000,"4 501-2000",TRUE(),"5 Above 2000")</f>
        <v>4 501-2000</v>
      </c>
      <c r="P3262" s="2" t="n">
        <f aca="false">Lookups!$B$2*M3262+Lookups!$B$3*L3262</f>
        <v>0</v>
      </c>
      <c r="Q3262" s="2" t="str">
        <f aca="false">INDEX(Lookups!$E$2:$E$5,MATCH(P3262,Lookups!$D$2:$D$5,0))</f>
        <v>Low</v>
      </c>
    </row>
    <row r="3263" customFormat="false" ht="15" hidden="false" customHeight="false" outlineLevel="0" collapsed="false">
      <c r="A3263" s="3" t="n">
        <v>3262</v>
      </c>
      <c r="B3263" s="3" t="n">
        <f aca="false">Raw_Data!A3263</f>
        <v>32</v>
      </c>
      <c r="C3263" s="3" t="str">
        <f aca="false">SUBSTITUTE(Raw_Data!B3263,".","")</f>
        <v>blue-collar</v>
      </c>
      <c r="D3263" s="3" t="str">
        <f aca="false">Raw_Data!C3263</f>
        <v>married</v>
      </c>
      <c r="E3263" s="3" t="str">
        <f aca="false">Raw_Data!D3263</f>
        <v>primary</v>
      </c>
      <c r="F3263" s="3" t="str">
        <f aca="false">Raw_Data!E3263</f>
        <v>no</v>
      </c>
      <c r="G3263" s="3" t="n">
        <f aca="false">Raw_Data!F3263</f>
        <v>66</v>
      </c>
      <c r="H3263" s="3" t="str">
        <f aca="false">Raw_Data!G3263</f>
        <v>no</v>
      </c>
      <c r="I3263" s="3" t="str">
        <f aca="false">Raw_Data!H3263</f>
        <v>no</v>
      </c>
      <c r="J3263" s="2" t="n">
        <f aca="false">IF(F3263="yes",1,0)</f>
        <v>0</v>
      </c>
      <c r="K3263" s="2" t="n">
        <f aca="false">IF(H3263="yes",1,0)</f>
        <v>0</v>
      </c>
      <c r="L3263" s="2" t="n">
        <f aca="false">IF(I3263="yes",1,0)</f>
        <v>0</v>
      </c>
      <c r="M3263" s="2" t="n">
        <f aca="false">IF(G3263&lt;0,1,0)</f>
        <v>0</v>
      </c>
      <c r="N3263" s="2" t="str">
        <f aca="false">_xlfn.IFS(B3263&lt;30,"Under 30",B3263&lt;40,"30-39",B3263&lt;50,"40-49",B3263&lt;60,"50-59",TRUE(),"60+")</f>
        <v>30-39</v>
      </c>
      <c r="O3263" s="2" t="str">
        <f aca="false">_xlfn.IFS(G3263&lt;0,"1 Negative",G3263=0,"2 Zero",G3263&lt;=500,"3 1-500",G3263&lt;=2000,"4 501-2000",TRUE(),"5 Above 2000")</f>
        <v>3 1-500</v>
      </c>
      <c r="P3263" s="2" t="n">
        <f aca="false">Lookups!$B$2*M3263+Lookups!$B$3*L3263</f>
        <v>0</v>
      </c>
      <c r="Q3263" s="2" t="str">
        <f aca="false">INDEX(Lookups!$E$2:$E$5,MATCH(P3263,Lookups!$D$2:$D$5,0))</f>
        <v>Low</v>
      </c>
    </row>
    <row r="3264" customFormat="false" ht="15" hidden="false" customHeight="false" outlineLevel="0" collapsed="false">
      <c r="A3264" s="3" t="n">
        <v>3263</v>
      </c>
      <c r="B3264" s="3" t="n">
        <f aca="false">Raw_Data!A3264</f>
        <v>58</v>
      </c>
      <c r="C3264" s="3" t="str">
        <f aca="false">SUBSTITUTE(Raw_Data!B3264,".","")</f>
        <v>blue-collar</v>
      </c>
      <c r="D3264" s="3" t="str">
        <f aca="false">Raw_Data!C3264</f>
        <v>divorced</v>
      </c>
      <c r="E3264" s="3" t="str">
        <f aca="false">Raw_Data!D3264</f>
        <v>secondary</v>
      </c>
      <c r="F3264" s="3" t="str">
        <f aca="false">Raw_Data!E3264</f>
        <v>no</v>
      </c>
      <c r="G3264" s="3" t="n">
        <f aca="false">Raw_Data!F3264</f>
        <v>314</v>
      </c>
      <c r="H3264" s="3" t="str">
        <f aca="false">Raw_Data!G3264</f>
        <v>no</v>
      </c>
      <c r="I3264" s="3" t="str">
        <f aca="false">Raw_Data!H3264</f>
        <v>no</v>
      </c>
      <c r="J3264" s="2" t="n">
        <f aca="false">IF(F3264="yes",1,0)</f>
        <v>0</v>
      </c>
      <c r="K3264" s="2" t="n">
        <f aca="false">IF(H3264="yes",1,0)</f>
        <v>0</v>
      </c>
      <c r="L3264" s="2" t="n">
        <f aca="false">IF(I3264="yes",1,0)</f>
        <v>0</v>
      </c>
      <c r="M3264" s="2" t="n">
        <f aca="false">IF(G3264&lt;0,1,0)</f>
        <v>0</v>
      </c>
      <c r="N3264" s="2" t="str">
        <f aca="false">_xlfn.IFS(B3264&lt;30,"Under 30",B3264&lt;40,"30-39",B3264&lt;50,"40-49",B3264&lt;60,"50-59",TRUE(),"60+")</f>
        <v>50-59</v>
      </c>
      <c r="O3264" s="2" t="str">
        <f aca="false">_xlfn.IFS(G3264&lt;0,"1 Negative",G3264=0,"2 Zero",G3264&lt;=500,"3 1-500",G3264&lt;=2000,"4 501-2000",TRUE(),"5 Above 2000")</f>
        <v>3 1-500</v>
      </c>
      <c r="P3264" s="2" t="n">
        <f aca="false">Lookups!$B$2*M3264+Lookups!$B$3*L3264</f>
        <v>0</v>
      </c>
      <c r="Q3264" s="2" t="str">
        <f aca="false">INDEX(Lookups!$E$2:$E$5,MATCH(P3264,Lookups!$D$2:$D$5,0))</f>
        <v>Low</v>
      </c>
    </row>
    <row r="3265" customFormat="false" ht="15" hidden="false" customHeight="false" outlineLevel="0" collapsed="false">
      <c r="A3265" s="3" t="n">
        <v>3264</v>
      </c>
      <c r="B3265" s="3" t="n">
        <f aca="false">Raw_Data!A3265</f>
        <v>35</v>
      </c>
      <c r="C3265" s="3" t="str">
        <f aca="false">SUBSTITUTE(Raw_Data!B3265,".","")</f>
        <v>management</v>
      </c>
      <c r="D3265" s="3" t="str">
        <f aca="false">Raw_Data!C3265</f>
        <v>married</v>
      </c>
      <c r="E3265" s="3" t="str">
        <f aca="false">Raw_Data!D3265</f>
        <v>tertiary</v>
      </c>
      <c r="F3265" s="3" t="str">
        <f aca="false">Raw_Data!E3265</f>
        <v>no</v>
      </c>
      <c r="G3265" s="3" t="n">
        <f aca="false">Raw_Data!F3265</f>
        <v>24</v>
      </c>
      <c r="H3265" s="3" t="str">
        <f aca="false">Raw_Data!G3265</f>
        <v>yes</v>
      </c>
      <c r="I3265" s="3" t="str">
        <f aca="false">Raw_Data!H3265</f>
        <v>no</v>
      </c>
      <c r="J3265" s="2" t="n">
        <f aca="false">IF(F3265="yes",1,0)</f>
        <v>0</v>
      </c>
      <c r="K3265" s="2" t="n">
        <f aca="false">IF(H3265="yes",1,0)</f>
        <v>1</v>
      </c>
      <c r="L3265" s="2" t="n">
        <f aca="false">IF(I3265="yes",1,0)</f>
        <v>0</v>
      </c>
      <c r="M3265" s="2" t="n">
        <f aca="false">IF(G3265&lt;0,1,0)</f>
        <v>0</v>
      </c>
      <c r="N3265" s="2" t="str">
        <f aca="false">_xlfn.IFS(B3265&lt;30,"Under 30",B3265&lt;40,"30-39",B3265&lt;50,"40-49",B3265&lt;60,"50-59",TRUE(),"60+")</f>
        <v>30-39</v>
      </c>
      <c r="O3265" s="2" t="str">
        <f aca="false">_xlfn.IFS(G3265&lt;0,"1 Negative",G3265=0,"2 Zero",G3265&lt;=500,"3 1-500",G3265&lt;=2000,"4 501-2000",TRUE(),"5 Above 2000")</f>
        <v>3 1-500</v>
      </c>
      <c r="P3265" s="2" t="n">
        <f aca="false">Lookups!$B$2*M3265+Lookups!$B$3*L3265</f>
        <v>0</v>
      </c>
      <c r="Q3265" s="2" t="str">
        <f aca="false">INDEX(Lookups!$E$2:$E$5,MATCH(P3265,Lookups!$D$2:$D$5,0))</f>
        <v>Low</v>
      </c>
    </row>
    <row r="3266" customFormat="false" ht="15" hidden="false" customHeight="false" outlineLevel="0" collapsed="false">
      <c r="A3266" s="3" t="n">
        <v>3265</v>
      </c>
      <c r="B3266" s="3" t="n">
        <f aca="false">Raw_Data!A3266</f>
        <v>36</v>
      </c>
      <c r="C3266" s="3" t="str">
        <f aca="false">SUBSTITUTE(Raw_Data!B3266,".","")</f>
        <v>management</v>
      </c>
      <c r="D3266" s="3" t="str">
        <f aca="false">Raw_Data!C3266</f>
        <v>single</v>
      </c>
      <c r="E3266" s="3" t="str">
        <f aca="false">Raw_Data!D3266</f>
        <v>tertiary</v>
      </c>
      <c r="F3266" s="3" t="str">
        <f aca="false">Raw_Data!E3266</f>
        <v>no</v>
      </c>
      <c r="G3266" s="3" t="n">
        <f aca="false">Raw_Data!F3266</f>
        <v>613</v>
      </c>
      <c r="H3266" s="3" t="str">
        <f aca="false">Raw_Data!G3266</f>
        <v>no</v>
      </c>
      <c r="I3266" s="3" t="str">
        <f aca="false">Raw_Data!H3266</f>
        <v>no</v>
      </c>
      <c r="J3266" s="2" t="n">
        <f aca="false">IF(F3266="yes",1,0)</f>
        <v>0</v>
      </c>
      <c r="K3266" s="2" t="n">
        <f aca="false">IF(H3266="yes",1,0)</f>
        <v>0</v>
      </c>
      <c r="L3266" s="2" t="n">
        <f aca="false">IF(I3266="yes",1,0)</f>
        <v>0</v>
      </c>
      <c r="M3266" s="2" t="n">
        <f aca="false">IF(G3266&lt;0,1,0)</f>
        <v>0</v>
      </c>
      <c r="N3266" s="2" t="str">
        <f aca="false">_xlfn.IFS(B3266&lt;30,"Under 30",B3266&lt;40,"30-39",B3266&lt;50,"40-49",B3266&lt;60,"50-59",TRUE(),"60+")</f>
        <v>30-39</v>
      </c>
      <c r="O3266" s="2" t="str">
        <f aca="false">_xlfn.IFS(G3266&lt;0,"1 Negative",G3266=0,"2 Zero",G3266&lt;=500,"3 1-500",G3266&lt;=2000,"4 501-2000",TRUE(),"5 Above 2000")</f>
        <v>4 501-2000</v>
      </c>
      <c r="P3266" s="2" t="n">
        <f aca="false">Lookups!$B$2*M3266+Lookups!$B$3*L3266</f>
        <v>0</v>
      </c>
      <c r="Q3266" s="2" t="str">
        <f aca="false">INDEX(Lookups!$E$2:$E$5,MATCH(P3266,Lookups!$D$2:$D$5,0))</f>
        <v>Low</v>
      </c>
    </row>
    <row r="3267" customFormat="false" ht="15" hidden="false" customHeight="false" outlineLevel="0" collapsed="false">
      <c r="A3267" s="3" t="n">
        <v>3266</v>
      </c>
      <c r="B3267" s="3" t="n">
        <f aca="false">Raw_Data!A3267</f>
        <v>55</v>
      </c>
      <c r="C3267" s="3" t="str">
        <f aca="false">SUBSTITUTE(Raw_Data!B3267,".","")</f>
        <v>retired</v>
      </c>
      <c r="D3267" s="3" t="str">
        <f aca="false">Raw_Data!C3267</f>
        <v>married</v>
      </c>
      <c r="E3267" s="3" t="str">
        <f aca="false">Raw_Data!D3267</f>
        <v>secondary</v>
      </c>
      <c r="F3267" s="3" t="str">
        <f aca="false">Raw_Data!E3267</f>
        <v>no</v>
      </c>
      <c r="G3267" s="3" t="n">
        <f aca="false">Raw_Data!F3267</f>
        <v>1467</v>
      </c>
      <c r="H3267" s="3" t="str">
        <f aca="false">Raw_Data!G3267</f>
        <v>no</v>
      </c>
      <c r="I3267" s="3" t="str">
        <f aca="false">Raw_Data!H3267</f>
        <v>yes</v>
      </c>
      <c r="J3267" s="2" t="n">
        <f aca="false">IF(F3267="yes",1,0)</f>
        <v>0</v>
      </c>
      <c r="K3267" s="2" t="n">
        <f aca="false">IF(H3267="yes",1,0)</f>
        <v>0</v>
      </c>
      <c r="L3267" s="2" t="n">
        <f aca="false">IF(I3267="yes",1,0)</f>
        <v>1</v>
      </c>
      <c r="M3267" s="2" t="n">
        <f aca="false">IF(G3267&lt;0,1,0)</f>
        <v>0</v>
      </c>
      <c r="N3267" s="2" t="str">
        <f aca="false">_xlfn.IFS(B3267&lt;30,"Under 30",B3267&lt;40,"30-39",B3267&lt;50,"40-49",B3267&lt;60,"50-59",TRUE(),"60+")</f>
        <v>50-59</v>
      </c>
      <c r="O3267" s="2" t="str">
        <f aca="false">_xlfn.IFS(G3267&lt;0,"1 Negative",G3267=0,"2 Zero",G3267&lt;=500,"3 1-500",G3267&lt;=2000,"4 501-2000",TRUE(),"5 Above 2000")</f>
        <v>4 501-2000</v>
      </c>
      <c r="P3267" s="2" t="n">
        <f aca="false">Lookups!$B$2*M3267+Lookups!$B$3*L3267</f>
        <v>1</v>
      </c>
      <c r="Q3267" s="2" t="str">
        <f aca="false">INDEX(Lookups!$E$2:$E$5,MATCH(P3267,Lookups!$D$2:$D$5,0))</f>
        <v>Medium</v>
      </c>
    </row>
    <row r="3268" customFormat="false" ht="15" hidden="false" customHeight="false" outlineLevel="0" collapsed="false">
      <c r="A3268" s="3" t="n">
        <v>3267</v>
      </c>
      <c r="B3268" s="3" t="n">
        <f aca="false">Raw_Data!A3268</f>
        <v>45</v>
      </c>
      <c r="C3268" s="3" t="str">
        <f aca="false">SUBSTITUTE(Raw_Data!B3268,".","")</f>
        <v>blue-collar</v>
      </c>
      <c r="D3268" s="3" t="str">
        <f aca="false">Raw_Data!C3268</f>
        <v>married</v>
      </c>
      <c r="E3268" s="3" t="str">
        <f aca="false">Raw_Data!D3268</f>
        <v>secondary</v>
      </c>
      <c r="F3268" s="3" t="str">
        <f aca="false">Raw_Data!E3268</f>
        <v>no</v>
      </c>
      <c r="G3268" s="3" t="n">
        <f aca="false">Raw_Data!F3268</f>
        <v>192</v>
      </c>
      <c r="H3268" s="3" t="str">
        <f aca="false">Raw_Data!G3268</f>
        <v>yes</v>
      </c>
      <c r="I3268" s="3" t="str">
        <f aca="false">Raw_Data!H3268</f>
        <v>no</v>
      </c>
      <c r="J3268" s="2" t="n">
        <f aca="false">IF(F3268="yes",1,0)</f>
        <v>0</v>
      </c>
      <c r="K3268" s="2" t="n">
        <f aca="false">IF(H3268="yes",1,0)</f>
        <v>1</v>
      </c>
      <c r="L3268" s="2" t="n">
        <f aca="false">IF(I3268="yes",1,0)</f>
        <v>0</v>
      </c>
      <c r="M3268" s="2" t="n">
        <f aca="false">IF(G3268&lt;0,1,0)</f>
        <v>0</v>
      </c>
      <c r="N3268" s="2" t="str">
        <f aca="false">_xlfn.IFS(B3268&lt;30,"Under 30",B3268&lt;40,"30-39",B3268&lt;50,"40-49",B3268&lt;60,"50-59",TRUE(),"60+")</f>
        <v>40-49</v>
      </c>
      <c r="O3268" s="2" t="str">
        <f aca="false">_xlfn.IFS(G3268&lt;0,"1 Negative",G3268=0,"2 Zero",G3268&lt;=500,"3 1-500",G3268&lt;=2000,"4 501-2000",TRUE(),"5 Above 2000")</f>
        <v>3 1-500</v>
      </c>
      <c r="P3268" s="2" t="n">
        <f aca="false">Lookups!$B$2*M3268+Lookups!$B$3*L3268</f>
        <v>0</v>
      </c>
      <c r="Q3268" s="2" t="str">
        <f aca="false">INDEX(Lookups!$E$2:$E$5,MATCH(P3268,Lookups!$D$2:$D$5,0))</f>
        <v>Low</v>
      </c>
    </row>
    <row r="3269" customFormat="false" ht="15" hidden="false" customHeight="false" outlineLevel="0" collapsed="false">
      <c r="A3269" s="3" t="n">
        <v>3268</v>
      </c>
      <c r="B3269" s="3" t="n">
        <f aca="false">Raw_Data!A3269</f>
        <v>49</v>
      </c>
      <c r="C3269" s="3" t="str">
        <f aca="false">SUBSTITUTE(Raw_Data!B3269,".","")</f>
        <v>management</v>
      </c>
      <c r="D3269" s="3" t="str">
        <f aca="false">Raw_Data!C3269</f>
        <v>married</v>
      </c>
      <c r="E3269" s="3" t="str">
        <f aca="false">Raw_Data!D3269</f>
        <v>secondary</v>
      </c>
      <c r="F3269" s="3" t="str">
        <f aca="false">Raw_Data!E3269</f>
        <v>no</v>
      </c>
      <c r="G3269" s="3" t="n">
        <f aca="false">Raw_Data!F3269</f>
        <v>321</v>
      </c>
      <c r="H3269" s="3" t="str">
        <f aca="false">Raw_Data!G3269</f>
        <v>no</v>
      </c>
      <c r="I3269" s="3" t="str">
        <f aca="false">Raw_Data!H3269</f>
        <v>no</v>
      </c>
      <c r="J3269" s="2" t="n">
        <f aca="false">IF(F3269="yes",1,0)</f>
        <v>0</v>
      </c>
      <c r="K3269" s="2" t="n">
        <f aca="false">IF(H3269="yes",1,0)</f>
        <v>0</v>
      </c>
      <c r="L3269" s="2" t="n">
        <f aca="false">IF(I3269="yes",1,0)</f>
        <v>0</v>
      </c>
      <c r="M3269" s="2" t="n">
        <f aca="false">IF(G3269&lt;0,1,0)</f>
        <v>0</v>
      </c>
      <c r="N3269" s="2" t="str">
        <f aca="false">_xlfn.IFS(B3269&lt;30,"Under 30",B3269&lt;40,"30-39",B3269&lt;50,"40-49",B3269&lt;60,"50-59",TRUE(),"60+")</f>
        <v>40-49</v>
      </c>
      <c r="O3269" s="2" t="str">
        <f aca="false">_xlfn.IFS(G3269&lt;0,"1 Negative",G3269=0,"2 Zero",G3269&lt;=500,"3 1-500",G3269&lt;=2000,"4 501-2000",TRUE(),"5 Above 2000")</f>
        <v>3 1-500</v>
      </c>
      <c r="P3269" s="2" t="n">
        <f aca="false">Lookups!$B$2*M3269+Lookups!$B$3*L3269</f>
        <v>0</v>
      </c>
      <c r="Q3269" s="2" t="str">
        <f aca="false">INDEX(Lookups!$E$2:$E$5,MATCH(P3269,Lookups!$D$2:$D$5,0))</f>
        <v>Low</v>
      </c>
    </row>
    <row r="3270" customFormat="false" ht="15" hidden="false" customHeight="false" outlineLevel="0" collapsed="false">
      <c r="A3270" s="3" t="n">
        <v>3269</v>
      </c>
      <c r="B3270" s="3" t="n">
        <f aca="false">Raw_Data!A3270</f>
        <v>44</v>
      </c>
      <c r="C3270" s="3" t="str">
        <f aca="false">SUBSTITUTE(Raw_Data!B3270,".","")</f>
        <v>blue-collar</v>
      </c>
      <c r="D3270" s="3" t="str">
        <f aca="false">Raw_Data!C3270</f>
        <v>married</v>
      </c>
      <c r="E3270" s="3" t="str">
        <f aca="false">Raw_Data!D3270</f>
        <v>secondary</v>
      </c>
      <c r="F3270" s="3" t="str">
        <f aca="false">Raw_Data!E3270</f>
        <v>no</v>
      </c>
      <c r="G3270" s="3" t="n">
        <f aca="false">Raw_Data!F3270</f>
        <v>788</v>
      </c>
      <c r="H3270" s="3" t="str">
        <f aca="false">Raw_Data!G3270</f>
        <v>yes</v>
      </c>
      <c r="I3270" s="3" t="str">
        <f aca="false">Raw_Data!H3270</f>
        <v>no</v>
      </c>
      <c r="J3270" s="2" t="n">
        <f aca="false">IF(F3270="yes",1,0)</f>
        <v>0</v>
      </c>
      <c r="K3270" s="2" t="n">
        <f aca="false">IF(H3270="yes",1,0)</f>
        <v>1</v>
      </c>
      <c r="L3270" s="2" t="n">
        <f aca="false">IF(I3270="yes",1,0)</f>
        <v>0</v>
      </c>
      <c r="M3270" s="2" t="n">
        <f aca="false">IF(G3270&lt;0,1,0)</f>
        <v>0</v>
      </c>
      <c r="N3270" s="2" t="str">
        <f aca="false">_xlfn.IFS(B3270&lt;30,"Under 30",B3270&lt;40,"30-39",B3270&lt;50,"40-49",B3270&lt;60,"50-59",TRUE(),"60+")</f>
        <v>40-49</v>
      </c>
      <c r="O3270" s="2" t="str">
        <f aca="false">_xlfn.IFS(G3270&lt;0,"1 Negative",G3270=0,"2 Zero",G3270&lt;=500,"3 1-500",G3270&lt;=2000,"4 501-2000",TRUE(),"5 Above 2000")</f>
        <v>4 501-2000</v>
      </c>
      <c r="P3270" s="2" t="n">
        <f aca="false">Lookups!$B$2*M3270+Lookups!$B$3*L3270</f>
        <v>0</v>
      </c>
      <c r="Q3270" s="2" t="str">
        <f aca="false">INDEX(Lookups!$E$2:$E$5,MATCH(P3270,Lookups!$D$2:$D$5,0))</f>
        <v>Low</v>
      </c>
    </row>
    <row r="3271" customFormat="false" ht="15" hidden="false" customHeight="false" outlineLevel="0" collapsed="false">
      <c r="A3271" s="3" t="n">
        <v>3270</v>
      </c>
      <c r="B3271" s="3" t="n">
        <f aca="false">Raw_Data!A3271</f>
        <v>37</v>
      </c>
      <c r="C3271" s="3" t="str">
        <f aca="false">SUBSTITUTE(Raw_Data!B3271,".","")</f>
        <v>blue-collar</v>
      </c>
      <c r="D3271" s="3" t="str">
        <f aca="false">Raw_Data!C3271</f>
        <v>divorced</v>
      </c>
      <c r="E3271" s="3" t="str">
        <f aca="false">Raw_Data!D3271</f>
        <v>secondary</v>
      </c>
      <c r="F3271" s="3" t="str">
        <f aca="false">Raw_Data!E3271</f>
        <v>no</v>
      </c>
      <c r="G3271" s="3" t="n">
        <f aca="false">Raw_Data!F3271</f>
        <v>48</v>
      </c>
      <c r="H3271" s="3" t="str">
        <f aca="false">Raw_Data!G3271</f>
        <v>yes</v>
      </c>
      <c r="I3271" s="3" t="str">
        <f aca="false">Raw_Data!H3271</f>
        <v>no</v>
      </c>
      <c r="J3271" s="2" t="n">
        <f aca="false">IF(F3271="yes",1,0)</f>
        <v>0</v>
      </c>
      <c r="K3271" s="2" t="n">
        <f aca="false">IF(H3271="yes",1,0)</f>
        <v>1</v>
      </c>
      <c r="L3271" s="2" t="n">
        <f aca="false">IF(I3271="yes",1,0)</f>
        <v>0</v>
      </c>
      <c r="M3271" s="2" t="n">
        <f aca="false">IF(G3271&lt;0,1,0)</f>
        <v>0</v>
      </c>
      <c r="N3271" s="2" t="str">
        <f aca="false">_xlfn.IFS(B3271&lt;30,"Under 30",B3271&lt;40,"30-39",B3271&lt;50,"40-49",B3271&lt;60,"50-59",TRUE(),"60+")</f>
        <v>30-39</v>
      </c>
      <c r="O3271" s="2" t="str">
        <f aca="false">_xlfn.IFS(G3271&lt;0,"1 Negative",G3271=0,"2 Zero",G3271&lt;=500,"3 1-500",G3271&lt;=2000,"4 501-2000",TRUE(),"5 Above 2000")</f>
        <v>3 1-500</v>
      </c>
      <c r="P3271" s="2" t="n">
        <f aca="false">Lookups!$B$2*M3271+Lookups!$B$3*L3271</f>
        <v>0</v>
      </c>
      <c r="Q3271" s="2" t="str">
        <f aca="false">INDEX(Lookups!$E$2:$E$5,MATCH(P3271,Lookups!$D$2:$D$5,0))</f>
        <v>Low</v>
      </c>
    </row>
    <row r="3272" customFormat="false" ht="15" hidden="false" customHeight="false" outlineLevel="0" collapsed="false">
      <c r="A3272" s="3" t="n">
        <v>3271</v>
      </c>
      <c r="B3272" s="3" t="n">
        <f aca="false">Raw_Data!A3272</f>
        <v>35</v>
      </c>
      <c r="C3272" s="3" t="str">
        <f aca="false">SUBSTITUTE(Raw_Data!B3272,".","")</f>
        <v>blue-collar</v>
      </c>
      <c r="D3272" s="3" t="str">
        <f aca="false">Raw_Data!C3272</f>
        <v>married</v>
      </c>
      <c r="E3272" s="3" t="str">
        <f aca="false">Raw_Data!D3272</f>
        <v>secondary</v>
      </c>
      <c r="F3272" s="3" t="str">
        <f aca="false">Raw_Data!E3272</f>
        <v>no</v>
      </c>
      <c r="G3272" s="3" t="n">
        <f aca="false">Raw_Data!F3272</f>
        <v>262</v>
      </c>
      <c r="H3272" s="3" t="str">
        <f aca="false">Raw_Data!G3272</f>
        <v>no</v>
      </c>
      <c r="I3272" s="3" t="str">
        <f aca="false">Raw_Data!H3272</f>
        <v>no</v>
      </c>
      <c r="J3272" s="2" t="n">
        <f aca="false">IF(F3272="yes",1,0)</f>
        <v>0</v>
      </c>
      <c r="K3272" s="2" t="n">
        <f aca="false">IF(H3272="yes",1,0)</f>
        <v>0</v>
      </c>
      <c r="L3272" s="2" t="n">
        <f aca="false">IF(I3272="yes",1,0)</f>
        <v>0</v>
      </c>
      <c r="M3272" s="2" t="n">
        <f aca="false">IF(G3272&lt;0,1,0)</f>
        <v>0</v>
      </c>
      <c r="N3272" s="2" t="str">
        <f aca="false">_xlfn.IFS(B3272&lt;30,"Under 30",B3272&lt;40,"30-39",B3272&lt;50,"40-49",B3272&lt;60,"50-59",TRUE(),"60+")</f>
        <v>30-39</v>
      </c>
      <c r="O3272" s="2" t="str">
        <f aca="false">_xlfn.IFS(G3272&lt;0,"1 Negative",G3272=0,"2 Zero",G3272&lt;=500,"3 1-500",G3272&lt;=2000,"4 501-2000",TRUE(),"5 Above 2000")</f>
        <v>3 1-500</v>
      </c>
      <c r="P3272" s="2" t="n">
        <f aca="false">Lookups!$B$2*M3272+Lookups!$B$3*L3272</f>
        <v>0</v>
      </c>
      <c r="Q3272" s="2" t="str">
        <f aca="false">INDEX(Lookups!$E$2:$E$5,MATCH(P3272,Lookups!$D$2:$D$5,0))</f>
        <v>Low</v>
      </c>
    </row>
    <row r="3273" customFormat="false" ht="15" hidden="false" customHeight="false" outlineLevel="0" collapsed="false">
      <c r="A3273" s="3" t="n">
        <v>3272</v>
      </c>
      <c r="B3273" s="3" t="n">
        <f aca="false">Raw_Data!A3273</f>
        <v>36</v>
      </c>
      <c r="C3273" s="3" t="str">
        <f aca="false">SUBSTITUTE(Raw_Data!B3273,".","")</f>
        <v>blue-collar</v>
      </c>
      <c r="D3273" s="3" t="str">
        <f aca="false">Raw_Data!C3273</f>
        <v>married</v>
      </c>
      <c r="E3273" s="3" t="str">
        <f aca="false">Raw_Data!D3273</f>
        <v>secondary</v>
      </c>
      <c r="F3273" s="3" t="str">
        <f aca="false">Raw_Data!E3273</f>
        <v>no</v>
      </c>
      <c r="G3273" s="3" t="n">
        <f aca="false">Raw_Data!F3273</f>
        <v>4438</v>
      </c>
      <c r="H3273" s="3" t="str">
        <f aca="false">Raw_Data!G3273</f>
        <v>yes</v>
      </c>
      <c r="I3273" s="3" t="str">
        <f aca="false">Raw_Data!H3273</f>
        <v>no</v>
      </c>
      <c r="J3273" s="2" t="n">
        <f aca="false">IF(F3273="yes",1,0)</f>
        <v>0</v>
      </c>
      <c r="K3273" s="2" t="n">
        <f aca="false">IF(H3273="yes",1,0)</f>
        <v>1</v>
      </c>
      <c r="L3273" s="2" t="n">
        <f aca="false">IF(I3273="yes",1,0)</f>
        <v>0</v>
      </c>
      <c r="M3273" s="2" t="n">
        <f aca="false">IF(G3273&lt;0,1,0)</f>
        <v>0</v>
      </c>
      <c r="N3273" s="2" t="str">
        <f aca="false">_xlfn.IFS(B3273&lt;30,"Under 30",B3273&lt;40,"30-39",B3273&lt;50,"40-49",B3273&lt;60,"50-59",TRUE(),"60+")</f>
        <v>30-39</v>
      </c>
      <c r="O3273" s="2" t="str">
        <f aca="false">_xlfn.IFS(G3273&lt;0,"1 Negative",G3273=0,"2 Zero",G3273&lt;=500,"3 1-500",G3273&lt;=2000,"4 501-2000",TRUE(),"5 Above 2000")</f>
        <v>5 Above 2000</v>
      </c>
      <c r="P3273" s="2" t="n">
        <f aca="false">Lookups!$B$2*M3273+Lookups!$B$3*L3273</f>
        <v>0</v>
      </c>
      <c r="Q3273" s="2" t="str">
        <f aca="false">INDEX(Lookups!$E$2:$E$5,MATCH(P3273,Lookups!$D$2:$D$5,0))</f>
        <v>Low</v>
      </c>
    </row>
    <row r="3274" customFormat="false" ht="15" hidden="false" customHeight="false" outlineLevel="0" collapsed="false">
      <c r="A3274" s="3" t="n">
        <v>3273</v>
      </c>
      <c r="B3274" s="3" t="n">
        <f aca="false">Raw_Data!A3274</f>
        <v>44</v>
      </c>
      <c r="C3274" s="3" t="str">
        <f aca="false">SUBSTITUTE(Raw_Data!B3274,".","")</f>
        <v>services</v>
      </c>
      <c r="D3274" s="3" t="str">
        <f aca="false">Raw_Data!C3274</f>
        <v>single</v>
      </c>
      <c r="E3274" s="3" t="str">
        <f aca="false">Raw_Data!D3274</f>
        <v>secondary</v>
      </c>
      <c r="F3274" s="3" t="str">
        <f aca="false">Raw_Data!E3274</f>
        <v>no</v>
      </c>
      <c r="G3274" s="3" t="n">
        <f aca="false">Raw_Data!F3274</f>
        <v>5045</v>
      </c>
      <c r="H3274" s="3" t="str">
        <f aca="false">Raw_Data!G3274</f>
        <v>yes</v>
      </c>
      <c r="I3274" s="3" t="str">
        <f aca="false">Raw_Data!H3274</f>
        <v>no</v>
      </c>
      <c r="J3274" s="2" t="n">
        <f aca="false">IF(F3274="yes",1,0)</f>
        <v>0</v>
      </c>
      <c r="K3274" s="2" t="n">
        <f aca="false">IF(H3274="yes",1,0)</f>
        <v>1</v>
      </c>
      <c r="L3274" s="2" t="n">
        <f aca="false">IF(I3274="yes",1,0)</f>
        <v>0</v>
      </c>
      <c r="M3274" s="2" t="n">
        <f aca="false">IF(G3274&lt;0,1,0)</f>
        <v>0</v>
      </c>
      <c r="N3274" s="2" t="str">
        <f aca="false">_xlfn.IFS(B3274&lt;30,"Under 30",B3274&lt;40,"30-39",B3274&lt;50,"40-49",B3274&lt;60,"50-59",TRUE(),"60+")</f>
        <v>40-49</v>
      </c>
      <c r="O3274" s="2" t="str">
        <f aca="false">_xlfn.IFS(G3274&lt;0,"1 Negative",G3274=0,"2 Zero",G3274&lt;=500,"3 1-500",G3274&lt;=2000,"4 501-2000",TRUE(),"5 Above 2000")</f>
        <v>5 Above 2000</v>
      </c>
      <c r="P3274" s="2" t="n">
        <f aca="false">Lookups!$B$2*M3274+Lookups!$B$3*L3274</f>
        <v>0</v>
      </c>
      <c r="Q3274" s="2" t="str">
        <f aca="false">INDEX(Lookups!$E$2:$E$5,MATCH(P3274,Lookups!$D$2:$D$5,0))</f>
        <v>Low</v>
      </c>
    </row>
    <row r="3275" customFormat="false" ht="15" hidden="false" customHeight="false" outlineLevel="0" collapsed="false">
      <c r="A3275" s="3" t="n">
        <v>3274</v>
      </c>
      <c r="B3275" s="3" t="n">
        <f aca="false">Raw_Data!A3275</f>
        <v>32</v>
      </c>
      <c r="C3275" s="3" t="str">
        <f aca="false">SUBSTITUTE(Raw_Data!B3275,".","")</f>
        <v>blue-collar</v>
      </c>
      <c r="D3275" s="3" t="str">
        <f aca="false">Raw_Data!C3275</f>
        <v>single</v>
      </c>
      <c r="E3275" s="3" t="str">
        <f aca="false">Raw_Data!D3275</f>
        <v>tertiary</v>
      </c>
      <c r="F3275" s="3" t="str">
        <f aca="false">Raw_Data!E3275</f>
        <v>no</v>
      </c>
      <c r="G3275" s="3" t="n">
        <f aca="false">Raw_Data!F3275</f>
        <v>3014</v>
      </c>
      <c r="H3275" s="3" t="str">
        <f aca="false">Raw_Data!G3275</f>
        <v>yes</v>
      </c>
      <c r="I3275" s="3" t="str">
        <f aca="false">Raw_Data!H3275</f>
        <v>no</v>
      </c>
      <c r="J3275" s="2" t="n">
        <f aca="false">IF(F3275="yes",1,0)</f>
        <v>0</v>
      </c>
      <c r="K3275" s="2" t="n">
        <f aca="false">IF(H3275="yes",1,0)</f>
        <v>1</v>
      </c>
      <c r="L3275" s="2" t="n">
        <f aca="false">IF(I3275="yes",1,0)</f>
        <v>0</v>
      </c>
      <c r="M3275" s="2" t="n">
        <f aca="false">IF(G3275&lt;0,1,0)</f>
        <v>0</v>
      </c>
      <c r="N3275" s="2" t="str">
        <f aca="false">_xlfn.IFS(B3275&lt;30,"Under 30",B3275&lt;40,"30-39",B3275&lt;50,"40-49",B3275&lt;60,"50-59",TRUE(),"60+")</f>
        <v>30-39</v>
      </c>
      <c r="O3275" s="2" t="str">
        <f aca="false">_xlfn.IFS(G3275&lt;0,"1 Negative",G3275=0,"2 Zero",G3275&lt;=500,"3 1-500",G3275&lt;=2000,"4 501-2000",TRUE(),"5 Above 2000")</f>
        <v>5 Above 2000</v>
      </c>
      <c r="P3275" s="2" t="n">
        <f aca="false">Lookups!$B$2*M3275+Lookups!$B$3*L3275</f>
        <v>0</v>
      </c>
      <c r="Q3275" s="2" t="str">
        <f aca="false">INDEX(Lookups!$E$2:$E$5,MATCH(P3275,Lookups!$D$2:$D$5,0))</f>
        <v>Low</v>
      </c>
    </row>
    <row r="3276" customFormat="false" ht="15" hidden="false" customHeight="false" outlineLevel="0" collapsed="false">
      <c r="A3276" s="3" t="n">
        <v>3275</v>
      </c>
      <c r="B3276" s="3" t="n">
        <f aca="false">Raw_Data!A3276</f>
        <v>56</v>
      </c>
      <c r="C3276" s="3" t="str">
        <f aca="false">SUBSTITUTE(Raw_Data!B3276,".","")</f>
        <v>management</v>
      </c>
      <c r="D3276" s="3" t="str">
        <f aca="false">Raw_Data!C3276</f>
        <v>married</v>
      </c>
      <c r="E3276" s="3" t="str">
        <f aca="false">Raw_Data!D3276</f>
        <v>tertiary</v>
      </c>
      <c r="F3276" s="3" t="str">
        <f aca="false">Raw_Data!E3276</f>
        <v>no</v>
      </c>
      <c r="G3276" s="3" t="n">
        <f aca="false">Raw_Data!F3276</f>
        <v>21664</v>
      </c>
      <c r="H3276" s="3" t="str">
        <f aca="false">Raw_Data!G3276</f>
        <v>no</v>
      </c>
      <c r="I3276" s="3" t="str">
        <f aca="false">Raw_Data!H3276</f>
        <v>no</v>
      </c>
      <c r="J3276" s="2" t="n">
        <f aca="false">IF(F3276="yes",1,0)</f>
        <v>0</v>
      </c>
      <c r="K3276" s="2" t="n">
        <f aca="false">IF(H3276="yes",1,0)</f>
        <v>0</v>
      </c>
      <c r="L3276" s="2" t="n">
        <f aca="false">IF(I3276="yes",1,0)</f>
        <v>0</v>
      </c>
      <c r="M3276" s="2" t="n">
        <f aca="false">IF(G3276&lt;0,1,0)</f>
        <v>0</v>
      </c>
      <c r="N3276" s="2" t="str">
        <f aca="false">_xlfn.IFS(B3276&lt;30,"Under 30",B3276&lt;40,"30-39",B3276&lt;50,"40-49",B3276&lt;60,"50-59",TRUE(),"60+")</f>
        <v>50-59</v>
      </c>
      <c r="O3276" s="2" t="str">
        <f aca="false">_xlfn.IFS(G3276&lt;0,"1 Negative",G3276=0,"2 Zero",G3276&lt;=500,"3 1-500",G3276&lt;=2000,"4 501-2000",TRUE(),"5 Above 2000")</f>
        <v>5 Above 2000</v>
      </c>
      <c r="P3276" s="2" t="n">
        <f aca="false">Lookups!$B$2*M3276+Lookups!$B$3*L3276</f>
        <v>0</v>
      </c>
      <c r="Q3276" s="2" t="str">
        <f aca="false">INDEX(Lookups!$E$2:$E$5,MATCH(P3276,Lookups!$D$2:$D$5,0))</f>
        <v>Low</v>
      </c>
    </row>
    <row r="3277" customFormat="false" ht="15" hidden="false" customHeight="false" outlineLevel="0" collapsed="false">
      <c r="A3277" s="3" t="n">
        <v>3276</v>
      </c>
      <c r="B3277" s="3" t="n">
        <f aca="false">Raw_Data!A3277</f>
        <v>32</v>
      </c>
      <c r="C3277" s="3" t="str">
        <f aca="false">SUBSTITUTE(Raw_Data!B3277,".","")</f>
        <v>management</v>
      </c>
      <c r="D3277" s="3" t="str">
        <f aca="false">Raw_Data!C3277</f>
        <v>married</v>
      </c>
      <c r="E3277" s="3" t="str">
        <f aca="false">Raw_Data!D3277</f>
        <v>tertiary</v>
      </c>
      <c r="F3277" s="3" t="str">
        <f aca="false">Raw_Data!E3277</f>
        <v>no</v>
      </c>
      <c r="G3277" s="3" t="n">
        <f aca="false">Raw_Data!F3277</f>
        <v>5878</v>
      </c>
      <c r="H3277" s="3" t="str">
        <f aca="false">Raw_Data!G3277</f>
        <v>no</v>
      </c>
      <c r="I3277" s="3" t="str">
        <f aca="false">Raw_Data!H3277</f>
        <v>no</v>
      </c>
      <c r="J3277" s="2" t="n">
        <f aca="false">IF(F3277="yes",1,0)</f>
        <v>0</v>
      </c>
      <c r="K3277" s="2" t="n">
        <f aca="false">IF(H3277="yes",1,0)</f>
        <v>0</v>
      </c>
      <c r="L3277" s="2" t="n">
        <f aca="false">IF(I3277="yes",1,0)</f>
        <v>0</v>
      </c>
      <c r="M3277" s="2" t="n">
        <f aca="false">IF(G3277&lt;0,1,0)</f>
        <v>0</v>
      </c>
      <c r="N3277" s="2" t="str">
        <f aca="false">_xlfn.IFS(B3277&lt;30,"Under 30",B3277&lt;40,"30-39",B3277&lt;50,"40-49",B3277&lt;60,"50-59",TRUE(),"60+")</f>
        <v>30-39</v>
      </c>
      <c r="O3277" s="2" t="str">
        <f aca="false">_xlfn.IFS(G3277&lt;0,"1 Negative",G3277=0,"2 Zero",G3277&lt;=500,"3 1-500",G3277&lt;=2000,"4 501-2000",TRUE(),"5 Above 2000")</f>
        <v>5 Above 2000</v>
      </c>
      <c r="P3277" s="2" t="n">
        <f aca="false">Lookups!$B$2*M3277+Lookups!$B$3*L3277</f>
        <v>0</v>
      </c>
      <c r="Q3277" s="2" t="str">
        <f aca="false">INDEX(Lookups!$E$2:$E$5,MATCH(P3277,Lookups!$D$2:$D$5,0))</f>
        <v>Low</v>
      </c>
    </row>
    <row r="3278" customFormat="false" ht="15" hidden="false" customHeight="false" outlineLevel="0" collapsed="false">
      <c r="A3278" s="3" t="n">
        <v>3277</v>
      </c>
      <c r="B3278" s="3" t="n">
        <f aca="false">Raw_Data!A3278</f>
        <v>35</v>
      </c>
      <c r="C3278" s="3" t="str">
        <f aca="false">SUBSTITUTE(Raw_Data!B3278,".","")</f>
        <v>entrepreneur</v>
      </c>
      <c r="D3278" s="3" t="str">
        <f aca="false">Raw_Data!C3278</f>
        <v>married</v>
      </c>
      <c r="E3278" s="3" t="str">
        <f aca="false">Raw_Data!D3278</f>
        <v>tertiary</v>
      </c>
      <c r="F3278" s="3" t="str">
        <f aca="false">Raw_Data!E3278</f>
        <v>no</v>
      </c>
      <c r="G3278" s="3" t="n">
        <f aca="false">Raw_Data!F3278</f>
        <v>2723</v>
      </c>
      <c r="H3278" s="3" t="str">
        <f aca="false">Raw_Data!G3278</f>
        <v>yes</v>
      </c>
      <c r="I3278" s="3" t="str">
        <f aca="false">Raw_Data!H3278</f>
        <v>yes</v>
      </c>
      <c r="J3278" s="2" t="n">
        <f aca="false">IF(F3278="yes",1,0)</f>
        <v>0</v>
      </c>
      <c r="K3278" s="2" t="n">
        <f aca="false">IF(H3278="yes",1,0)</f>
        <v>1</v>
      </c>
      <c r="L3278" s="2" t="n">
        <f aca="false">IF(I3278="yes",1,0)</f>
        <v>1</v>
      </c>
      <c r="M3278" s="2" t="n">
        <f aca="false">IF(G3278&lt;0,1,0)</f>
        <v>0</v>
      </c>
      <c r="N3278" s="2" t="str">
        <f aca="false">_xlfn.IFS(B3278&lt;30,"Under 30",B3278&lt;40,"30-39",B3278&lt;50,"40-49",B3278&lt;60,"50-59",TRUE(),"60+")</f>
        <v>30-39</v>
      </c>
      <c r="O3278" s="2" t="str">
        <f aca="false">_xlfn.IFS(G3278&lt;0,"1 Negative",G3278=0,"2 Zero",G3278&lt;=500,"3 1-500",G3278&lt;=2000,"4 501-2000",TRUE(),"5 Above 2000")</f>
        <v>5 Above 2000</v>
      </c>
      <c r="P3278" s="2" t="n">
        <f aca="false">Lookups!$B$2*M3278+Lookups!$B$3*L3278</f>
        <v>1</v>
      </c>
      <c r="Q3278" s="2" t="str">
        <f aca="false">INDEX(Lookups!$E$2:$E$5,MATCH(P3278,Lookups!$D$2:$D$5,0))</f>
        <v>Medium</v>
      </c>
    </row>
    <row r="3279" customFormat="false" ht="15" hidden="false" customHeight="false" outlineLevel="0" collapsed="false">
      <c r="A3279" s="3" t="n">
        <v>3278</v>
      </c>
      <c r="B3279" s="3" t="n">
        <f aca="false">Raw_Data!A3279</f>
        <v>44</v>
      </c>
      <c r="C3279" s="3" t="str">
        <f aca="false">SUBSTITUTE(Raw_Data!B3279,".","")</f>
        <v>management</v>
      </c>
      <c r="D3279" s="3" t="str">
        <f aca="false">Raw_Data!C3279</f>
        <v>married</v>
      </c>
      <c r="E3279" s="3" t="str">
        <f aca="false">Raw_Data!D3279</f>
        <v>secondary</v>
      </c>
      <c r="F3279" s="3" t="str">
        <f aca="false">Raw_Data!E3279</f>
        <v>no</v>
      </c>
      <c r="G3279" s="3" t="n">
        <f aca="false">Raw_Data!F3279</f>
        <v>576</v>
      </c>
      <c r="H3279" s="3" t="str">
        <f aca="false">Raw_Data!G3279</f>
        <v>yes</v>
      </c>
      <c r="I3279" s="3" t="str">
        <f aca="false">Raw_Data!H3279</f>
        <v>no</v>
      </c>
      <c r="J3279" s="2" t="n">
        <f aca="false">IF(F3279="yes",1,0)</f>
        <v>0</v>
      </c>
      <c r="K3279" s="2" t="n">
        <f aca="false">IF(H3279="yes",1,0)</f>
        <v>1</v>
      </c>
      <c r="L3279" s="2" t="n">
        <f aca="false">IF(I3279="yes",1,0)</f>
        <v>0</v>
      </c>
      <c r="M3279" s="2" t="n">
        <f aca="false">IF(G3279&lt;0,1,0)</f>
        <v>0</v>
      </c>
      <c r="N3279" s="2" t="str">
        <f aca="false">_xlfn.IFS(B3279&lt;30,"Under 30",B3279&lt;40,"30-39",B3279&lt;50,"40-49",B3279&lt;60,"50-59",TRUE(),"60+")</f>
        <v>40-49</v>
      </c>
      <c r="O3279" s="2" t="str">
        <f aca="false">_xlfn.IFS(G3279&lt;0,"1 Negative",G3279=0,"2 Zero",G3279&lt;=500,"3 1-500",G3279&lt;=2000,"4 501-2000",TRUE(),"5 Above 2000")</f>
        <v>4 501-2000</v>
      </c>
      <c r="P3279" s="2" t="n">
        <f aca="false">Lookups!$B$2*M3279+Lookups!$B$3*L3279</f>
        <v>0</v>
      </c>
      <c r="Q3279" s="2" t="str">
        <f aca="false">INDEX(Lookups!$E$2:$E$5,MATCH(P3279,Lookups!$D$2:$D$5,0))</f>
        <v>Low</v>
      </c>
    </row>
    <row r="3280" customFormat="false" ht="15" hidden="false" customHeight="false" outlineLevel="0" collapsed="false">
      <c r="A3280" s="3" t="n">
        <v>3279</v>
      </c>
      <c r="B3280" s="3" t="n">
        <f aca="false">Raw_Data!A3280</f>
        <v>59</v>
      </c>
      <c r="C3280" s="3" t="str">
        <f aca="false">SUBSTITUTE(Raw_Data!B3280,".","")</f>
        <v>entrepreneur</v>
      </c>
      <c r="D3280" s="3" t="str">
        <f aca="false">Raw_Data!C3280</f>
        <v>married</v>
      </c>
      <c r="E3280" s="3" t="str">
        <f aca="false">Raw_Data!D3280</f>
        <v>primary</v>
      </c>
      <c r="F3280" s="3" t="str">
        <f aca="false">Raw_Data!E3280</f>
        <v>no</v>
      </c>
      <c r="G3280" s="3" t="n">
        <f aca="false">Raw_Data!F3280</f>
        <v>0</v>
      </c>
      <c r="H3280" s="3" t="str">
        <f aca="false">Raw_Data!G3280</f>
        <v>no</v>
      </c>
      <c r="I3280" s="3" t="str">
        <f aca="false">Raw_Data!H3280</f>
        <v>no</v>
      </c>
      <c r="J3280" s="2" t="n">
        <f aca="false">IF(F3280="yes",1,0)</f>
        <v>0</v>
      </c>
      <c r="K3280" s="2" t="n">
        <f aca="false">IF(H3280="yes",1,0)</f>
        <v>0</v>
      </c>
      <c r="L3280" s="2" t="n">
        <f aca="false">IF(I3280="yes",1,0)</f>
        <v>0</v>
      </c>
      <c r="M3280" s="2" t="n">
        <f aca="false">IF(G3280&lt;0,1,0)</f>
        <v>0</v>
      </c>
      <c r="N3280" s="2" t="str">
        <f aca="false">_xlfn.IFS(B3280&lt;30,"Under 30",B3280&lt;40,"30-39",B3280&lt;50,"40-49",B3280&lt;60,"50-59",TRUE(),"60+")</f>
        <v>50-59</v>
      </c>
      <c r="O3280" s="2" t="str">
        <f aca="false">_xlfn.IFS(G3280&lt;0,"1 Negative",G3280=0,"2 Zero",G3280&lt;=500,"3 1-500",G3280&lt;=2000,"4 501-2000",TRUE(),"5 Above 2000")</f>
        <v>2 Zero</v>
      </c>
      <c r="P3280" s="2" t="n">
        <f aca="false">Lookups!$B$2*M3280+Lookups!$B$3*L3280</f>
        <v>0</v>
      </c>
      <c r="Q3280" s="2" t="str">
        <f aca="false">INDEX(Lookups!$E$2:$E$5,MATCH(P3280,Lookups!$D$2:$D$5,0))</f>
        <v>Low</v>
      </c>
    </row>
    <row r="3281" customFormat="false" ht="15" hidden="false" customHeight="false" outlineLevel="0" collapsed="false">
      <c r="A3281" s="3" t="n">
        <v>3280</v>
      </c>
      <c r="B3281" s="3" t="n">
        <f aca="false">Raw_Data!A3281</f>
        <v>31</v>
      </c>
      <c r="C3281" s="3" t="str">
        <f aca="false">SUBSTITUTE(Raw_Data!B3281,".","")</f>
        <v>blue-collar</v>
      </c>
      <c r="D3281" s="3" t="str">
        <f aca="false">Raw_Data!C3281</f>
        <v>single</v>
      </c>
      <c r="E3281" s="3" t="str">
        <f aca="false">Raw_Data!D3281</f>
        <v>tertiary</v>
      </c>
      <c r="F3281" s="3" t="str">
        <f aca="false">Raw_Data!E3281</f>
        <v>no</v>
      </c>
      <c r="G3281" s="3" t="n">
        <f aca="false">Raw_Data!F3281</f>
        <v>2197</v>
      </c>
      <c r="H3281" s="3" t="str">
        <f aca="false">Raw_Data!G3281</f>
        <v>yes</v>
      </c>
      <c r="I3281" s="3" t="str">
        <f aca="false">Raw_Data!H3281</f>
        <v>no</v>
      </c>
      <c r="J3281" s="2" t="n">
        <f aca="false">IF(F3281="yes",1,0)</f>
        <v>0</v>
      </c>
      <c r="K3281" s="2" t="n">
        <f aca="false">IF(H3281="yes",1,0)</f>
        <v>1</v>
      </c>
      <c r="L3281" s="2" t="n">
        <f aca="false">IF(I3281="yes",1,0)</f>
        <v>0</v>
      </c>
      <c r="M3281" s="2" t="n">
        <f aca="false">IF(G3281&lt;0,1,0)</f>
        <v>0</v>
      </c>
      <c r="N3281" s="2" t="str">
        <f aca="false">_xlfn.IFS(B3281&lt;30,"Under 30",B3281&lt;40,"30-39",B3281&lt;50,"40-49",B3281&lt;60,"50-59",TRUE(),"60+")</f>
        <v>30-39</v>
      </c>
      <c r="O3281" s="2" t="str">
        <f aca="false">_xlfn.IFS(G3281&lt;0,"1 Negative",G3281=0,"2 Zero",G3281&lt;=500,"3 1-500",G3281&lt;=2000,"4 501-2000",TRUE(),"5 Above 2000")</f>
        <v>5 Above 2000</v>
      </c>
      <c r="P3281" s="2" t="n">
        <f aca="false">Lookups!$B$2*M3281+Lookups!$B$3*L3281</f>
        <v>0</v>
      </c>
      <c r="Q3281" s="2" t="str">
        <f aca="false">INDEX(Lookups!$E$2:$E$5,MATCH(P3281,Lookups!$D$2:$D$5,0))</f>
        <v>Low</v>
      </c>
    </row>
    <row r="3282" customFormat="false" ht="15" hidden="false" customHeight="false" outlineLevel="0" collapsed="false">
      <c r="A3282" s="3" t="n">
        <v>3281</v>
      </c>
      <c r="B3282" s="3" t="n">
        <f aca="false">Raw_Data!A3282</f>
        <v>60</v>
      </c>
      <c r="C3282" s="3" t="str">
        <f aca="false">SUBSTITUTE(Raw_Data!B3282,".","")</f>
        <v>blue-collar</v>
      </c>
      <c r="D3282" s="3" t="str">
        <f aca="false">Raw_Data!C3282</f>
        <v>married</v>
      </c>
      <c r="E3282" s="3" t="str">
        <f aca="false">Raw_Data!D3282</f>
        <v>unknown</v>
      </c>
      <c r="F3282" s="3" t="str">
        <f aca="false">Raw_Data!E3282</f>
        <v>no</v>
      </c>
      <c r="G3282" s="3" t="n">
        <f aca="false">Raw_Data!F3282</f>
        <v>104</v>
      </c>
      <c r="H3282" s="3" t="str">
        <f aca="false">Raw_Data!G3282</f>
        <v>yes</v>
      </c>
      <c r="I3282" s="3" t="str">
        <f aca="false">Raw_Data!H3282</f>
        <v>no</v>
      </c>
      <c r="J3282" s="2" t="n">
        <f aca="false">IF(F3282="yes",1,0)</f>
        <v>0</v>
      </c>
      <c r="K3282" s="2" t="n">
        <f aca="false">IF(H3282="yes",1,0)</f>
        <v>1</v>
      </c>
      <c r="L3282" s="2" t="n">
        <f aca="false">IF(I3282="yes",1,0)</f>
        <v>0</v>
      </c>
      <c r="M3282" s="2" t="n">
        <f aca="false">IF(G3282&lt;0,1,0)</f>
        <v>0</v>
      </c>
      <c r="N3282" s="2" t="str">
        <f aca="false">_xlfn.IFS(B3282&lt;30,"Under 30",B3282&lt;40,"30-39",B3282&lt;50,"40-49",B3282&lt;60,"50-59",TRUE(),"60+")</f>
        <v>60+</v>
      </c>
      <c r="O3282" s="2" t="str">
        <f aca="false">_xlfn.IFS(G3282&lt;0,"1 Negative",G3282=0,"2 Zero",G3282&lt;=500,"3 1-500",G3282&lt;=2000,"4 501-2000",TRUE(),"5 Above 2000")</f>
        <v>3 1-500</v>
      </c>
      <c r="P3282" s="2" t="n">
        <f aca="false">Lookups!$B$2*M3282+Lookups!$B$3*L3282</f>
        <v>0</v>
      </c>
      <c r="Q3282" s="2" t="str">
        <f aca="false">INDEX(Lookups!$E$2:$E$5,MATCH(P3282,Lookups!$D$2:$D$5,0))</f>
        <v>Low</v>
      </c>
    </row>
    <row r="3283" customFormat="false" ht="15" hidden="false" customHeight="false" outlineLevel="0" collapsed="false">
      <c r="A3283" s="3" t="n">
        <v>3282</v>
      </c>
      <c r="B3283" s="3" t="n">
        <f aca="false">Raw_Data!A3283</f>
        <v>33</v>
      </c>
      <c r="C3283" s="3" t="str">
        <f aca="false">SUBSTITUTE(Raw_Data!B3283,".","")</f>
        <v>technician</v>
      </c>
      <c r="D3283" s="3" t="str">
        <f aca="false">Raw_Data!C3283</f>
        <v>single</v>
      </c>
      <c r="E3283" s="3" t="str">
        <f aca="false">Raw_Data!D3283</f>
        <v>secondary</v>
      </c>
      <c r="F3283" s="3" t="str">
        <f aca="false">Raw_Data!E3283</f>
        <v>no</v>
      </c>
      <c r="G3283" s="3" t="n">
        <f aca="false">Raw_Data!F3283</f>
        <v>1279</v>
      </c>
      <c r="H3283" s="3" t="str">
        <f aca="false">Raw_Data!G3283</f>
        <v>yes</v>
      </c>
      <c r="I3283" s="3" t="str">
        <f aca="false">Raw_Data!H3283</f>
        <v>no</v>
      </c>
      <c r="J3283" s="2" t="n">
        <f aca="false">IF(F3283="yes",1,0)</f>
        <v>0</v>
      </c>
      <c r="K3283" s="2" t="n">
        <f aca="false">IF(H3283="yes",1,0)</f>
        <v>1</v>
      </c>
      <c r="L3283" s="2" t="n">
        <f aca="false">IF(I3283="yes",1,0)</f>
        <v>0</v>
      </c>
      <c r="M3283" s="2" t="n">
        <f aca="false">IF(G3283&lt;0,1,0)</f>
        <v>0</v>
      </c>
      <c r="N3283" s="2" t="str">
        <f aca="false">_xlfn.IFS(B3283&lt;30,"Under 30",B3283&lt;40,"30-39",B3283&lt;50,"40-49",B3283&lt;60,"50-59",TRUE(),"60+")</f>
        <v>30-39</v>
      </c>
      <c r="O3283" s="2" t="str">
        <f aca="false">_xlfn.IFS(G3283&lt;0,"1 Negative",G3283=0,"2 Zero",G3283&lt;=500,"3 1-500",G3283&lt;=2000,"4 501-2000",TRUE(),"5 Above 2000")</f>
        <v>4 501-2000</v>
      </c>
      <c r="P3283" s="2" t="n">
        <f aca="false">Lookups!$B$2*M3283+Lookups!$B$3*L3283</f>
        <v>0</v>
      </c>
      <c r="Q3283" s="2" t="str">
        <f aca="false">INDEX(Lookups!$E$2:$E$5,MATCH(P3283,Lookups!$D$2:$D$5,0))</f>
        <v>Low</v>
      </c>
    </row>
    <row r="3284" customFormat="false" ht="15" hidden="false" customHeight="false" outlineLevel="0" collapsed="false">
      <c r="A3284" s="3" t="n">
        <v>3283</v>
      </c>
      <c r="B3284" s="3" t="n">
        <f aca="false">Raw_Data!A3284</f>
        <v>45</v>
      </c>
      <c r="C3284" s="3" t="str">
        <f aca="false">SUBSTITUTE(Raw_Data!B3284,".","")</f>
        <v>admin</v>
      </c>
      <c r="D3284" s="3" t="str">
        <f aca="false">Raw_Data!C3284</f>
        <v>married</v>
      </c>
      <c r="E3284" s="3" t="str">
        <f aca="false">Raw_Data!D3284</f>
        <v>secondary</v>
      </c>
      <c r="F3284" s="3" t="str">
        <f aca="false">Raw_Data!E3284</f>
        <v>no</v>
      </c>
      <c r="G3284" s="3" t="n">
        <f aca="false">Raw_Data!F3284</f>
        <v>295</v>
      </c>
      <c r="H3284" s="3" t="str">
        <f aca="false">Raw_Data!G3284</f>
        <v>yes</v>
      </c>
      <c r="I3284" s="3" t="str">
        <f aca="false">Raw_Data!H3284</f>
        <v>no</v>
      </c>
      <c r="J3284" s="2" t="n">
        <f aca="false">IF(F3284="yes",1,0)</f>
        <v>0</v>
      </c>
      <c r="K3284" s="2" t="n">
        <f aca="false">IF(H3284="yes",1,0)</f>
        <v>1</v>
      </c>
      <c r="L3284" s="2" t="n">
        <f aca="false">IF(I3284="yes",1,0)</f>
        <v>0</v>
      </c>
      <c r="M3284" s="2" t="n">
        <f aca="false">IF(G3284&lt;0,1,0)</f>
        <v>0</v>
      </c>
      <c r="N3284" s="2" t="str">
        <f aca="false">_xlfn.IFS(B3284&lt;30,"Under 30",B3284&lt;40,"30-39",B3284&lt;50,"40-49",B3284&lt;60,"50-59",TRUE(),"60+")</f>
        <v>40-49</v>
      </c>
      <c r="O3284" s="2" t="str">
        <f aca="false">_xlfn.IFS(G3284&lt;0,"1 Negative",G3284=0,"2 Zero",G3284&lt;=500,"3 1-500",G3284&lt;=2000,"4 501-2000",TRUE(),"5 Above 2000")</f>
        <v>3 1-500</v>
      </c>
      <c r="P3284" s="2" t="n">
        <f aca="false">Lookups!$B$2*M3284+Lookups!$B$3*L3284</f>
        <v>0</v>
      </c>
      <c r="Q3284" s="2" t="str">
        <f aca="false">INDEX(Lookups!$E$2:$E$5,MATCH(P3284,Lookups!$D$2:$D$5,0))</f>
        <v>Low</v>
      </c>
    </row>
    <row r="3285" customFormat="false" ht="15" hidden="false" customHeight="false" outlineLevel="0" collapsed="false">
      <c r="A3285" s="3" t="n">
        <v>3284</v>
      </c>
      <c r="B3285" s="3" t="n">
        <f aca="false">Raw_Data!A3285</f>
        <v>45</v>
      </c>
      <c r="C3285" s="3" t="str">
        <f aca="false">SUBSTITUTE(Raw_Data!B3285,".","")</f>
        <v>blue-collar</v>
      </c>
      <c r="D3285" s="3" t="str">
        <f aca="false">Raw_Data!C3285</f>
        <v>married</v>
      </c>
      <c r="E3285" s="3" t="str">
        <f aca="false">Raw_Data!D3285</f>
        <v>primary</v>
      </c>
      <c r="F3285" s="3" t="str">
        <f aca="false">Raw_Data!E3285</f>
        <v>no</v>
      </c>
      <c r="G3285" s="3" t="n">
        <f aca="false">Raw_Data!F3285</f>
        <v>2128</v>
      </c>
      <c r="H3285" s="3" t="str">
        <f aca="false">Raw_Data!G3285</f>
        <v>yes</v>
      </c>
      <c r="I3285" s="3" t="str">
        <f aca="false">Raw_Data!H3285</f>
        <v>no</v>
      </c>
      <c r="J3285" s="2" t="n">
        <f aca="false">IF(F3285="yes",1,0)</f>
        <v>0</v>
      </c>
      <c r="K3285" s="2" t="n">
        <f aca="false">IF(H3285="yes",1,0)</f>
        <v>1</v>
      </c>
      <c r="L3285" s="2" t="n">
        <f aca="false">IF(I3285="yes",1,0)</f>
        <v>0</v>
      </c>
      <c r="M3285" s="2" t="n">
        <f aca="false">IF(G3285&lt;0,1,0)</f>
        <v>0</v>
      </c>
      <c r="N3285" s="2" t="str">
        <f aca="false">_xlfn.IFS(B3285&lt;30,"Under 30",B3285&lt;40,"30-39",B3285&lt;50,"40-49",B3285&lt;60,"50-59",TRUE(),"60+")</f>
        <v>40-49</v>
      </c>
      <c r="O3285" s="2" t="str">
        <f aca="false">_xlfn.IFS(G3285&lt;0,"1 Negative",G3285=0,"2 Zero",G3285&lt;=500,"3 1-500",G3285&lt;=2000,"4 501-2000",TRUE(),"5 Above 2000")</f>
        <v>5 Above 2000</v>
      </c>
      <c r="P3285" s="2" t="n">
        <f aca="false">Lookups!$B$2*M3285+Lookups!$B$3*L3285</f>
        <v>0</v>
      </c>
      <c r="Q3285" s="2" t="str">
        <f aca="false">INDEX(Lookups!$E$2:$E$5,MATCH(P3285,Lookups!$D$2:$D$5,0))</f>
        <v>Low</v>
      </c>
    </row>
    <row r="3286" customFormat="false" ht="15" hidden="false" customHeight="false" outlineLevel="0" collapsed="false">
      <c r="A3286" s="3" t="n">
        <v>3285</v>
      </c>
      <c r="B3286" s="3" t="n">
        <f aca="false">Raw_Data!A3286</f>
        <v>57</v>
      </c>
      <c r="C3286" s="3" t="str">
        <f aca="false">SUBSTITUTE(Raw_Data!B3286,".","")</f>
        <v>admin</v>
      </c>
      <c r="D3286" s="3" t="str">
        <f aca="false">Raw_Data!C3286</f>
        <v>married</v>
      </c>
      <c r="E3286" s="3" t="str">
        <f aca="false">Raw_Data!D3286</f>
        <v>secondary</v>
      </c>
      <c r="F3286" s="3" t="str">
        <f aca="false">Raw_Data!E3286</f>
        <v>no</v>
      </c>
      <c r="G3286" s="3" t="n">
        <f aca="false">Raw_Data!F3286</f>
        <v>367</v>
      </c>
      <c r="H3286" s="3" t="str">
        <f aca="false">Raw_Data!G3286</f>
        <v>no</v>
      </c>
      <c r="I3286" s="3" t="str">
        <f aca="false">Raw_Data!H3286</f>
        <v>no</v>
      </c>
      <c r="J3286" s="2" t="n">
        <f aca="false">IF(F3286="yes",1,0)</f>
        <v>0</v>
      </c>
      <c r="K3286" s="2" t="n">
        <f aca="false">IF(H3286="yes",1,0)</f>
        <v>0</v>
      </c>
      <c r="L3286" s="2" t="n">
        <f aca="false">IF(I3286="yes",1,0)</f>
        <v>0</v>
      </c>
      <c r="M3286" s="2" t="n">
        <f aca="false">IF(G3286&lt;0,1,0)</f>
        <v>0</v>
      </c>
      <c r="N3286" s="2" t="str">
        <f aca="false">_xlfn.IFS(B3286&lt;30,"Under 30",B3286&lt;40,"30-39",B3286&lt;50,"40-49",B3286&lt;60,"50-59",TRUE(),"60+")</f>
        <v>50-59</v>
      </c>
      <c r="O3286" s="2" t="str">
        <f aca="false">_xlfn.IFS(G3286&lt;0,"1 Negative",G3286=0,"2 Zero",G3286&lt;=500,"3 1-500",G3286&lt;=2000,"4 501-2000",TRUE(),"5 Above 2000")</f>
        <v>3 1-500</v>
      </c>
      <c r="P3286" s="2" t="n">
        <f aca="false">Lookups!$B$2*M3286+Lookups!$B$3*L3286</f>
        <v>0</v>
      </c>
      <c r="Q3286" s="2" t="str">
        <f aca="false">INDEX(Lookups!$E$2:$E$5,MATCH(P3286,Lookups!$D$2:$D$5,0))</f>
        <v>Low</v>
      </c>
    </row>
    <row r="3287" customFormat="false" ht="15" hidden="false" customHeight="false" outlineLevel="0" collapsed="false">
      <c r="A3287" s="3" t="n">
        <v>3286</v>
      </c>
      <c r="B3287" s="3" t="n">
        <f aca="false">Raw_Data!A3287</f>
        <v>36</v>
      </c>
      <c r="C3287" s="3" t="str">
        <f aca="false">SUBSTITUTE(Raw_Data!B3287,".","")</f>
        <v>management</v>
      </c>
      <c r="D3287" s="3" t="str">
        <f aca="false">Raw_Data!C3287</f>
        <v>married</v>
      </c>
      <c r="E3287" s="3" t="str">
        <f aca="false">Raw_Data!D3287</f>
        <v>tertiary</v>
      </c>
      <c r="F3287" s="3" t="str">
        <f aca="false">Raw_Data!E3287</f>
        <v>no</v>
      </c>
      <c r="G3287" s="3" t="n">
        <f aca="false">Raw_Data!F3287</f>
        <v>1477</v>
      </c>
      <c r="H3287" s="3" t="str">
        <f aca="false">Raw_Data!G3287</f>
        <v>no</v>
      </c>
      <c r="I3287" s="3" t="str">
        <f aca="false">Raw_Data!H3287</f>
        <v>no</v>
      </c>
      <c r="J3287" s="2" t="n">
        <f aca="false">IF(F3287="yes",1,0)</f>
        <v>0</v>
      </c>
      <c r="K3287" s="2" t="n">
        <f aca="false">IF(H3287="yes",1,0)</f>
        <v>0</v>
      </c>
      <c r="L3287" s="2" t="n">
        <f aca="false">IF(I3287="yes",1,0)</f>
        <v>0</v>
      </c>
      <c r="M3287" s="2" t="n">
        <f aca="false">IF(G3287&lt;0,1,0)</f>
        <v>0</v>
      </c>
      <c r="N3287" s="2" t="str">
        <f aca="false">_xlfn.IFS(B3287&lt;30,"Under 30",B3287&lt;40,"30-39",B3287&lt;50,"40-49",B3287&lt;60,"50-59",TRUE(),"60+")</f>
        <v>30-39</v>
      </c>
      <c r="O3287" s="2" t="str">
        <f aca="false">_xlfn.IFS(G3287&lt;0,"1 Negative",G3287=0,"2 Zero",G3287&lt;=500,"3 1-500",G3287&lt;=2000,"4 501-2000",TRUE(),"5 Above 2000")</f>
        <v>4 501-2000</v>
      </c>
      <c r="P3287" s="2" t="n">
        <f aca="false">Lookups!$B$2*M3287+Lookups!$B$3*L3287</f>
        <v>0</v>
      </c>
      <c r="Q3287" s="2" t="str">
        <f aca="false">INDEX(Lookups!$E$2:$E$5,MATCH(P3287,Lookups!$D$2:$D$5,0))</f>
        <v>Low</v>
      </c>
    </row>
    <row r="3288" customFormat="false" ht="15" hidden="false" customHeight="false" outlineLevel="0" collapsed="false">
      <c r="A3288" s="3" t="n">
        <v>3287</v>
      </c>
      <c r="B3288" s="3" t="n">
        <f aca="false">Raw_Data!A3288</f>
        <v>30</v>
      </c>
      <c r="C3288" s="3" t="str">
        <f aca="false">SUBSTITUTE(Raw_Data!B3288,".","")</f>
        <v>blue-collar</v>
      </c>
      <c r="D3288" s="3" t="str">
        <f aca="false">Raw_Data!C3288</f>
        <v>single</v>
      </c>
      <c r="E3288" s="3" t="str">
        <f aca="false">Raw_Data!D3288</f>
        <v>primary</v>
      </c>
      <c r="F3288" s="3" t="str">
        <f aca="false">Raw_Data!E3288</f>
        <v>no</v>
      </c>
      <c r="G3288" s="3" t="n">
        <f aca="false">Raw_Data!F3288</f>
        <v>71</v>
      </c>
      <c r="H3288" s="3" t="str">
        <f aca="false">Raw_Data!G3288</f>
        <v>yes</v>
      </c>
      <c r="I3288" s="3" t="str">
        <f aca="false">Raw_Data!H3288</f>
        <v>no</v>
      </c>
      <c r="J3288" s="2" t="n">
        <f aca="false">IF(F3288="yes",1,0)</f>
        <v>0</v>
      </c>
      <c r="K3288" s="2" t="n">
        <f aca="false">IF(H3288="yes",1,0)</f>
        <v>1</v>
      </c>
      <c r="L3288" s="2" t="n">
        <f aca="false">IF(I3288="yes",1,0)</f>
        <v>0</v>
      </c>
      <c r="M3288" s="2" t="n">
        <f aca="false">IF(G3288&lt;0,1,0)</f>
        <v>0</v>
      </c>
      <c r="N3288" s="2" t="str">
        <f aca="false">_xlfn.IFS(B3288&lt;30,"Under 30",B3288&lt;40,"30-39",B3288&lt;50,"40-49",B3288&lt;60,"50-59",TRUE(),"60+")</f>
        <v>30-39</v>
      </c>
      <c r="O3288" s="2" t="str">
        <f aca="false">_xlfn.IFS(G3288&lt;0,"1 Negative",G3288=0,"2 Zero",G3288&lt;=500,"3 1-500",G3288&lt;=2000,"4 501-2000",TRUE(),"5 Above 2000")</f>
        <v>3 1-500</v>
      </c>
      <c r="P3288" s="2" t="n">
        <f aca="false">Lookups!$B$2*M3288+Lookups!$B$3*L3288</f>
        <v>0</v>
      </c>
      <c r="Q3288" s="2" t="str">
        <f aca="false">INDEX(Lookups!$E$2:$E$5,MATCH(P3288,Lookups!$D$2:$D$5,0))</f>
        <v>Low</v>
      </c>
    </row>
    <row r="3289" customFormat="false" ht="15" hidden="false" customHeight="false" outlineLevel="0" collapsed="false">
      <c r="A3289" s="3" t="n">
        <v>3288</v>
      </c>
      <c r="B3289" s="3" t="n">
        <f aca="false">Raw_Data!A3289</f>
        <v>30</v>
      </c>
      <c r="C3289" s="3" t="str">
        <f aca="false">SUBSTITUTE(Raw_Data!B3289,".","")</f>
        <v>admin</v>
      </c>
      <c r="D3289" s="3" t="str">
        <f aca="false">Raw_Data!C3289</f>
        <v>single</v>
      </c>
      <c r="E3289" s="3" t="str">
        <f aca="false">Raw_Data!D3289</f>
        <v>secondary</v>
      </c>
      <c r="F3289" s="3" t="str">
        <f aca="false">Raw_Data!E3289</f>
        <v>no</v>
      </c>
      <c r="G3289" s="3" t="n">
        <f aca="false">Raw_Data!F3289</f>
        <v>127</v>
      </c>
      <c r="H3289" s="3" t="str">
        <f aca="false">Raw_Data!G3289</f>
        <v>yes</v>
      </c>
      <c r="I3289" s="3" t="str">
        <f aca="false">Raw_Data!H3289</f>
        <v>no</v>
      </c>
      <c r="J3289" s="2" t="n">
        <f aca="false">IF(F3289="yes",1,0)</f>
        <v>0</v>
      </c>
      <c r="K3289" s="2" t="n">
        <f aca="false">IF(H3289="yes",1,0)</f>
        <v>1</v>
      </c>
      <c r="L3289" s="2" t="n">
        <f aca="false">IF(I3289="yes",1,0)</f>
        <v>0</v>
      </c>
      <c r="M3289" s="2" t="n">
        <f aca="false">IF(G3289&lt;0,1,0)</f>
        <v>0</v>
      </c>
      <c r="N3289" s="2" t="str">
        <f aca="false">_xlfn.IFS(B3289&lt;30,"Under 30",B3289&lt;40,"30-39",B3289&lt;50,"40-49",B3289&lt;60,"50-59",TRUE(),"60+")</f>
        <v>30-39</v>
      </c>
      <c r="O3289" s="2" t="str">
        <f aca="false">_xlfn.IFS(G3289&lt;0,"1 Negative",G3289=0,"2 Zero",G3289&lt;=500,"3 1-500",G3289&lt;=2000,"4 501-2000",TRUE(),"5 Above 2000")</f>
        <v>3 1-500</v>
      </c>
      <c r="P3289" s="2" t="n">
        <f aca="false">Lookups!$B$2*M3289+Lookups!$B$3*L3289</f>
        <v>0</v>
      </c>
      <c r="Q3289" s="2" t="str">
        <f aca="false">INDEX(Lookups!$E$2:$E$5,MATCH(P3289,Lookups!$D$2:$D$5,0))</f>
        <v>Low</v>
      </c>
    </row>
    <row r="3290" customFormat="false" ht="15" hidden="false" customHeight="false" outlineLevel="0" collapsed="false">
      <c r="A3290" s="3" t="n">
        <v>3289</v>
      </c>
      <c r="B3290" s="3" t="n">
        <f aca="false">Raw_Data!A3290</f>
        <v>59</v>
      </c>
      <c r="C3290" s="3" t="str">
        <f aca="false">SUBSTITUTE(Raw_Data!B3290,".","")</f>
        <v>unemployed</v>
      </c>
      <c r="D3290" s="3" t="str">
        <f aca="false">Raw_Data!C3290</f>
        <v>divorced</v>
      </c>
      <c r="E3290" s="3" t="str">
        <f aca="false">Raw_Data!D3290</f>
        <v>secondary</v>
      </c>
      <c r="F3290" s="3" t="str">
        <f aca="false">Raw_Data!E3290</f>
        <v>no</v>
      </c>
      <c r="G3290" s="3" t="n">
        <f aca="false">Raw_Data!F3290</f>
        <v>2921</v>
      </c>
      <c r="H3290" s="3" t="str">
        <f aca="false">Raw_Data!G3290</f>
        <v>no</v>
      </c>
      <c r="I3290" s="3" t="str">
        <f aca="false">Raw_Data!H3290</f>
        <v>no</v>
      </c>
      <c r="J3290" s="2" t="n">
        <f aca="false">IF(F3290="yes",1,0)</f>
        <v>0</v>
      </c>
      <c r="K3290" s="2" t="n">
        <f aca="false">IF(H3290="yes",1,0)</f>
        <v>0</v>
      </c>
      <c r="L3290" s="2" t="n">
        <f aca="false">IF(I3290="yes",1,0)</f>
        <v>0</v>
      </c>
      <c r="M3290" s="2" t="n">
        <f aca="false">IF(G3290&lt;0,1,0)</f>
        <v>0</v>
      </c>
      <c r="N3290" s="2" t="str">
        <f aca="false">_xlfn.IFS(B3290&lt;30,"Under 30",B3290&lt;40,"30-39",B3290&lt;50,"40-49",B3290&lt;60,"50-59",TRUE(),"60+")</f>
        <v>50-59</v>
      </c>
      <c r="O3290" s="2" t="str">
        <f aca="false">_xlfn.IFS(G3290&lt;0,"1 Negative",G3290=0,"2 Zero",G3290&lt;=500,"3 1-500",G3290&lt;=2000,"4 501-2000",TRUE(),"5 Above 2000")</f>
        <v>5 Above 2000</v>
      </c>
      <c r="P3290" s="2" t="n">
        <f aca="false">Lookups!$B$2*M3290+Lookups!$B$3*L3290</f>
        <v>0</v>
      </c>
      <c r="Q3290" s="2" t="str">
        <f aca="false">INDEX(Lookups!$E$2:$E$5,MATCH(P3290,Lookups!$D$2:$D$5,0))</f>
        <v>Low</v>
      </c>
    </row>
    <row r="3291" customFormat="false" ht="15" hidden="false" customHeight="false" outlineLevel="0" collapsed="false">
      <c r="A3291" s="3" t="n">
        <v>3290</v>
      </c>
      <c r="B3291" s="3" t="n">
        <f aca="false">Raw_Data!A3291</f>
        <v>58</v>
      </c>
      <c r="C3291" s="3" t="str">
        <f aca="false">SUBSTITUTE(Raw_Data!B3291,".","")</f>
        <v>management</v>
      </c>
      <c r="D3291" s="3" t="str">
        <f aca="false">Raw_Data!C3291</f>
        <v>married</v>
      </c>
      <c r="E3291" s="3" t="str">
        <f aca="false">Raw_Data!D3291</f>
        <v>tertiary</v>
      </c>
      <c r="F3291" s="3" t="str">
        <f aca="false">Raw_Data!E3291</f>
        <v>no</v>
      </c>
      <c r="G3291" s="3" t="n">
        <f aca="false">Raw_Data!F3291</f>
        <v>16264</v>
      </c>
      <c r="H3291" s="3" t="str">
        <f aca="false">Raw_Data!G3291</f>
        <v>no</v>
      </c>
      <c r="I3291" s="3" t="str">
        <f aca="false">Raw_Data!H3291</f>
        <v>no</v>
      </c>
      <c r="J3291" s="2" t="n">
        <f aca="false">IF(F3291="yes",1,0)</f>
        <v>0</v>
      </c>
      <c r="K3291" s="2" t="n">
        <f aca="false">IF(H3291="yes",1,0)</f>
        <v>0</v>
      </c>
      <c r="L3291" s="2" t="n">
        <f aca="false">IF(I3291="yes",1,0)</f>
        <v>0</v>
      </c>
      <c r="M3291" s="2" t="n">
        <f aca="false">IF(G3291&lt;0,1,0)</f>
        <v>0</v>
      </c>
      <c r="N3291" s="2" t="str">
        <f aca="false">_xlfn.IFS(B3291&lt;30,"Under 30",B3291&lt;40,"30-39",B3291&lt;50,"40-49",B3291&lt;60,"50-59",TRUE(),"60+")</f>
        <v>50-59</v>
      </c>
      <c r="O3291" s="2" t="str">
        <f aca="false">_xlfn.IFS(G3291&lt;0,"1 Negative",G3291=0,"2 Zero",G3291&lt;=500,"3 1-500",G3291&lt;=2000,"4 501-2000",TRUE(),"5 Above 2000")</f>
        <v>5 Above 2000</v>
      </c>
      <c r="P3291" s="2" t="n">
        <f aca="false">Lookups!$B$2*M3291+Lookups!$B$3*L3291</f>
        <v>0</v>
      </c>
      <c r="Q3291" s="2" t="str">
        <f aca="false">INDEX(Lookups!$E$2:$E$5,MATCH(P3291,Lookups!$D$2:$D$5,0))</f>
        <v>Low</v>
      </c>
    </row>
    <row r="3292" customFormat="false" ht="15" hidden="false" customHeight="false" outlineLevel="0" collapsed="false">
      <c r="A3292" s="3" t="n">
        <v>3291</v>
      </c>
      <c r="B3292" s="3" t="n">
        <f aca="false">Raw_Data!A3292</f>
        <v>49</v>
      </c>
      <c r="C3292" s="3" t="str">
        <f aca="false">SUBSTITUTE(Raw_Data!B3292,".","")</f>
        <v>retired</v>
      </c>
      <c r="D3292" s="3" t="str">
        <f aca="false">Raw_Data!C3292</f>
        <v>married</v>
      </c>
      <c r="E3292" s="3" t="str">
        <f aca="false">Raw_Data!D3292</f>
        <v>primary</v>
      </c>
      <c r="F3292" s="3" t="str">
        <f aca="false">Raw_Data!E3292</f>
        <v>no</v>
      </c>
      <c r="G3292" s="3" t="n">
        <f aca="false">Raw_Data!F3292</f>
        <v>1672</v>
      </c>
      <c r="H3292" s="3" t="str">
        <f aca="false">Raw_Data!G3292</f>
        <v>no</v>
      </c>
      <c r="I3292" s="3" t="str">
        <f aca="false">Raw_Data!H3292</f>
        <v>no</v>
      </c>
      <c r="J3292" s="2" t="n">
        <f aca="false">IF(F3292="yes",1,0)</f>
        <v>0</v>
      </c>
      <c r="K3292" s="2" t="n">
        <f aca="false">IF(H3292="yes",1,0)</f>
        <v>0</v>
      </c>
      <c r="L3292" s="2" t="n">
        <f aca="false">IF(I3292="yes",1,0)</f>
        <v>0</v>
      </c>
      <c r="M3292" s="2" t="n">
        <f aca="false">IF(G3292&lt;0,1,0)</f>
        <v>0</v>
      </c>
      <c r="N3292" s="2" t="str">
        <f aca="false">_xlfn.IFS(B3292&lt;30,"Under 30",B3292&lt;40,"30-39",B3292&lt;50,"40-49",B3292&lt;60,"50-59",TRUE(),"60+")</f>
        <v>40-49</v>
      </c>
      <c r="O3292" s="2" t="str">
        <f aca="false">_xlfn.IFS(G3292&lt;0,"1 Negative",G3292=0,"2 Zero",G3292&lt;=500,"3 1-500",G3292&lt;=2000,"4 501-2000",TRUE(),"5 Above 2000")</f>
        <v>4 501-2000</v>
      </c>
      <c r="P3292" s="2" t="n">
        <f aca="false">Lookups!$B$2*M3292+Lookups!$B$3*L3292</f>
        <v>0</v>
      </c>
      <c r="Q3292" s="2" t="str">
        <f aca="false">INDEX(Lookups!$E$2:$E$5,MATCH(P3292,Lookups!$D$2:$D$5,0))</f>
        <v>Low</v>
      </c>
    </row>
    <row r="3293" customFormat="false" ht="15" hidden="false" customHeight="false" outlineLevel="0" collapsed="false">
      <c r="A3293" s="3" t="n">
        <v>3292</v>
      </c>
      <c r="B3293" s="3" t="n">
        <f aca="false">Raw_Data!A3293</f>
        <v>48</v>
      </c>
      <c r="C3293" s="3" t="str">
        <f aca="false">SUBSTITUTE(Raw_Data!B3293,".","")</f>
        <v>technician</v>
      </c>
      <c r="D3293" s="3" t="str">
        <f aca="false">Raw_Data!C3293</f>
        <v>married</v>
      </c>
      <c r="E3293" s="3" t="str">
        <f aca="false">Raw_Data!D3293</f>
        <v>tertiary</v>
      </c>
      <c r="F3293" s="3" t="str">
        <f aca="false">Raw_Data!E3293</f>
        <v>no</v>
      </c>
      <c r="G3293" s="3" t="n">
        <f aca="false">Raw_Data!F3293</f>
        <v>9207</v>
      </c>
      <c r="H3293" s="3" t="str">
        <f aca="false">Raw_Data!G3293</f>
        <v>no</v>
      </c>
      <c r="I3293" s="3" t="str">
        <f aca="false">Raw_Data!H3293</f>
        <v>no</v>
      </c>
      <c r="J3293" s="2" t="n">
        <f aca="false">IF(F3293="yes",1,0)</f>
        <v>0</v>
      </c>
      <c r="K3293" s="2" t="n">
        <f aca="false">IF(H3293="yes",1,0)</f>
        <v>0</v>
      </c>
      <c r="L3293" s="2" t="n">
        <f aca="false">IF(I3293="yes",1,0)</f>
        <v>0</v>
      </c>
      <c r="M3293" s="2" t="n">
        <f aca="false">IF(G3293&lt;0,1,0)</f>
        <v>0</v>
      </c>
      <c r="N3293" s="2" t="str">
        <f aca="false">_xlfn.IFS(B3293&lt;30,"Under 30",B3293&lt;40,"30-39",B3293&lt;50,"40-49",B3293&lt;60,"50-59",TRUE(),"60+")</f>
        <v>40-49</v>
      </c>
      <c r="O3293" s="2" t="str">
        <f aca="false">_xlfn.IFS(G3293&lt;0,"1 Negative",G3293=0,"2 Zero",G3293&lt;=500,"3 1-500",G3293&lt;=2000,"4 501-2000",TRUE(),"5 Above 2000")</f>
        <v>5 Above 2000</v>
      </c>
      <c r="P3293" s="2" t="n">
        <f aca="false">Lookups!$B$2*M3293+Lookups!$B$3*L3293</f>
        <v>0</v>
      </c>
      <c r="Q3293" s="2" t="str">
        <f aca="false">INDEX(Lookups!$E$2:$E$5,MATCH(P3293,Lookups!$D$2:$D$5,0))</f>
        <v>Low</v>
      </c>
    </row>
    <row r="3294" customFormat="false" ht="15" hidden="false" customHeight="false" outlineLevel="0" collapsed="false">
      <c r="A3294" s="3" t="n">
        <v>3293</v>
      </c>
      <c r="B3294" s="3" t="n">
        <f aca="false">Raw_Data!A3294</f>
        <v>28</v>
      </c>
      <c r="C3294" s="3" t="str">
        <f aca="false">SUBSTITUTE(Raw_Data!B3294,".","")</f>
        <v>technician</v>
      </c>
      <c r="D3294" s="3" t="str">
        <f aca="false">Raw_Data!C3294</f>
        <v>single</v>
      </c>
      <c r="E3294" s="3" t="str">
        <f aca="false">Raw_Data!D3294</f>
        <v>tertiary</v>
      </c>
      <c r="F3294" s="3" t="str">
        <f aca="false">Raw_Data!E3294</f>
        <v>no</v>
      </c>
      <c r="G3294" s="3" t="n">
        <f aca="false">Raw_Data!F3294</f>
        <v>356</v>
      </c>
      <c r="H3294" s="3" t="str">
        <f aca="false">Raw_Data!G3294</f>
        <v>no</v>
      </c>
      <c r="I3294" s="3" t="str">
        <f aca="false">Raw_Data!H3294</f>
        <v>no</v>
      </c>
      <c r="J3294" s="2" t="n">
        <f aca="false">IF(F3294="yes",1,0)</f>
        <v>0</v>
      </c>
      <c r="K3294" s="2" t="n">
        <f aca="false">IF(H3294="yes",1,0)</f>
        <v>0</v>
      </c>
      <c r="L3294" s="2" t="n">
        <f aca="false">IF(I3294="yes",1,0)</f>
        <v>0</v>
      </c>
      <c r="M3294" s="2" t="n">
        <f aca="false">IF(G3294&lt;0,1,0)</f>
        <v>0</v>
      </c>
      <c r="N3294" s="2" t="str">
        <f aca="false">_xlfn.IFS(B3294&lt;30,"Under 30",B3294&lt;40,"30-39",B3294&lt;50,"40-49",B3294&lt;60,"50-59",TRUE(),"60+")</f>
        <v>Under 30</v>
      </c>
      <c r="O3294" s="2" t="str">
        <f aca="false">_xlfn.IFS(G3294&lt;0,"1 Negative",G3294=0,"2 Zero",G3294&lt;=500,"3 1-500",G3294&lt;=2000,"4 501-2000",TRUE(),"5 Above 2000")</f>
        <v>3 1-500</v>
      </c>
      <c r="P3294" s="2" t="n">
        <f aca="false">Lookups!$B$2*M3294+Lookups!$B$3*L3294</f>
        <v>0</v>
      </c>
      <c r="Q3294" s="2" t="str">
        <f aca="false">INDEX(Lookups!$E$2:$E$5,MATCH(P3294,Lookups!$D$2:$D$5,0))</f>
        <v>Low</v>
      </c>
    </row>
    <row r="3295" customFormat="false" ht="15" hidden="false" customHeight="false" outlineLevel="0" collapsed="false">
      <c r="A3295" s="3" t="n">
        <v>3294</v>
      </c>
      <c r="B3295" s="3" t="n">
        <f aca="false">Raw_Data!A3295</f>
        <v>59</v>
      </c>
      <c r="C3295" s="3" t="str">
        <f aca="false">SUBSTITUTE(Raw_Data!B3295,".","")</f>
        <v>management</v>
      </c>
      <c r="D3295" s="3" t="str">
        <f aca="false">Raw_Data!C3295</f>
        <v>divorced</v>
      </c>
      <c r="E3295" s="3" t="str">
        <f aca="false">Raw_Data!D3295</f>
        <v>primary</v>
      </c>
      <c r="F3295" s="3" t="str">
        <f aca="false">Raw_Data!E3295</f>
        <v>no</v>
      </c>
      <c r="G3295" s="3" t="n">
        <f aca="false">Raw_Data!F3295</f>
        <v>133</v>
      </c>
      <c r="H3295" s="3" t="str">
        <f aca="false">Raw_Data!G3295</f>
        <v>yes</v>
      </c>
      <c r="I3295" s="3" t="str">
        <f aca="false">Raw_Data!H3295</f>
        <v>no</v>
      </c>
      <c r="J3295" s="2" t="n">
        <f aca="false">IF(F3295="yes",1,0)</f>
        <v>0</v>
      </c>
      <c r="K3295" s="2" t="n">
        <f aca="false">IF(H3295="yes",1,0)</f>
        <v>1</v>
      </c>
      <c r="L3295" s="2" t="n">
        <f aca="false">IF(I3295="yes",1,0)</f>
        <v>0</v>
      </c>
      <c r="M3295" s="2" t="n">
        <f aca="false">IF(G3295&lt;0,1,0)</f>
        <v>0</v>
      </c>
      <c r="N3295" s="2" t="str">
        <f aca="false">_xlfn.IFS(B3295&lt;30,"Under 30",B3295&lt;40,"30-39",B3295&lt;50,"40-49",B3295&lt;60,"50-59",TRUE(),"60+")</f>
        <v>50-59</v>
      </c>
      <c r="O3295" s="2" t="str">
        <f aca="false">_xlfn.IFS(G3295&lt;0,"1 Negative",G3295=0,"2 Zero",G3295&lt;=500,"3 1-500",G3295&lt;=2000,"4 501-2000",TRUE(),"5 Above 2000")</f>
        <v>3 1-500</v>
      </c>
      <c r="P3295" s="2" t="n">
        <f aca="false">Lookups!$B$2*M3295+Lookups!$B$3*L3295</f>
        <v>0</v>
      </c>
      <c r="Q3295" s="2" t="str">
        <f aca="false">INDEX(Lookups!$E$2:$E$5,MATCH(P3295,Lookups!$D$2:$D$5,0))</f>
        <v>Low</v>
      </c>
    </row>
    <row r="3296" customFormat="false" ht="15" hidden="false" customHeight="false" outlineLevel="0" collapsed="false">
      <c r="A3296" s="3" t="n">
        <v>3295</v>
      </c>
      <c r="B3296" s="3" t="n">
        <f aca="false">Raw_Data!A3296</f>
        <v>40</v>
      </c>
      <c r="C3296" s="3" t="str">
        <f aca="false">SUBSTITUTE(Raw_Data!B3296,".","")</f>
        <v>management</v>
      </c>
      <c r="D3296" s="3" t="str">
        <f aca="false">Raw_Data!C3296</f>
        <v>married</v>
      </c>
      <c r="E3296" s="3" t="str">
        <f aca="false">Raw_Data!D3296</f>
        <v>tertiary</v>
      </c>
      <c r="F3296" s="3" t="str">
        <f aca="false">Raw_Data!E3296</f>
        <v>no</v>
      </c>
      <c r="G3296" s="3" t="n">
        <f aca="false">Raw_Data!F3296</f>
        <v>1217</v>
      </c>
      <c r="H3296" s="3" t="str">
        <f aca="false">Raw_Data!G3296</f>
        <v>yes</v>
      </c>
      <c r="I3296" s="3" t="str">
        <f aca="false">Raw_Data!H3296</f>
        <v>yes</v>
      </c>
      <c r="J3296" s="2" t="n">
        <f aca="false">IF(F3296="yes",1,0)</f>
        <v>0</v>
      </c>
      <c r="K3296" s="2" t="n">
        <f aca="false">IF(H3296="yes",1,0)</f>
        <v>1</v>
      </c>
      <c r="L3296" s="2" t="n">
        <f aca="false">IF(I3296="yes",1,0)</f>
        <v>1</v>
      </c>
      <c r="M3296" s="2" t="n">
        <f aca="false">IF(G3296&lt;0,1,0)</f>
        <v>0</v>
      </c>
      <c r="N3296" s="2" t="str">
        <f aca="false">_xlfn.IFS(B3296&lt;30,"Under 30",B3296&lt;40,"30-39",B3296&lt;50,"40-49",B3296&lt;60,"50-59",TRUE(),"60+")</f>
        <v>40-49</v>
      </c>
      <c r="O3296" s="2" t="str">
        <f aca="false">_xlfn.IFS(G3296&lt;0,"1 Negative",G3296=0,"2 Zero",G3296&lt;=500,"3 1-500",G3296&lt;=2000,"4 501-2000",TRUE(),"5 Above 2000")</f>
        <v>4 501-2000</v>
      </c>
      <c r="P3296" s="2" t="n">
        <f aca="false">Lookups!$B$2*M3296+Lookups!$B$3*L3296</f>
        <v>1</v>
      </c>
      <c r="Q3296" s="2" t="str">
        <f aca="false">INDEX(Lookups!$E$2:$E$5,MATCH(P3296,Lookups!$D$2:$D$5,0))</f>
        <v>Medium</v>
      </c>
    </row>
    <row r="3297" customFormat="false" ht="15" hidden="false" customHeight="false" outlineLevel="0" collapsed="false">
      <c r="A3297" s="3" t="n">
        <v>3296</v>
      </c>
      <c r="B3297" s="3" t="n">
        <f aca="false">Raw_Data!A3297</f>
        <v>32</v>
      </c>
      <c r="C3297" s="3" t="str">
        <f aca="false">SUBSTITUTE(Raw_Data!B3297,".","")</f>
        <v>technician</v>
      </c>
      <c r="D3297" s="3" t="str">
        <f aca="false">Raw_Data!C3297</f>
        <v>divorced</v>
      </c>
      <c r="E3297" s="3" t="str">
        <f aca="false">Raw_Data!D3297</f>
        <v>secondary</v>
      </c>
      <c r="F3297" s="3" t="str">
        <f aca="false">Raw_Data!E3297</f>
        <v>no</v>
      </c>
      <c r="G3297" s="3" t="n">
        <f aca="false">Raw_Data!F3297</f>
        <v>202</v>
      </c>
      <c r="H3297" s="3" t="str">
        <f aca="false">Raw_Data!G3297</f>
        <v>yes</v>
      </c>
      <c r="I3297" s="3" t="str">
        <f aca="false">Raw_Data!H3297</f>
        <v>no</v>
      </c>
      <c r="J3297" s="2" t="n">
        <f aca="false">IF(F3297="yes",1,0)</f>
        <v>0</v>
      </c>
      <c r="K3297" s="2" t="n">
        <f aca="false">IF(H3297="yes",1,0)</f>
        <v>1</v>
      </c>
      <c r="L3297" s="2" t="n">
        <f aca="false">IF(I3297="yes",1,0)</f>
        <v>0</v>
      </c>
      <c r="M3297" s="2" t="n">
        <f aca="false">IF(G3297&lt;0,1,0)</f>
        <v>0</v>
      </c>
      <c r="N3297" s="2" t="str">
        <f aca="false">_xlfn.IFS(B3297&lt;30,"Under 30",B3297&lt;40,"30-39",B3297&lt;50,"40-49",B3297&lt;60,"50-59",TRUE(),"60+")</f>
        <v>30-39</v>
      </c>
      <c r="O3297" s="2" t="str">
        <f aca="false">_xlfn.IFS(G3297&lt;0,"1 Negative",G3297=0,"2 Zero",G3297&lt;=500,"3 1-500",G3297&lt;=2000,"4 501-2000",TRUE(),"5 Above 2000")</f>
        <v>3 1-500</v>
      </c>
      <c r="P3297" s="2" t="n">
        <f aca="false">Lookups!$B$2*M3297+Lookups!$B$3*L3297</f>
        <v>0</v>
      </c>
      <c r="Q3297" s="2" t="str">
        <f aca="false">INDEX(Lookups!$E$2:$E$5,MATCH(P3297,Lookups!$D$2:$D$5,0))</f>
        <v>Low</v>
      </c>
    </row>
    <row r="3298" customFormat="false" ht="15" hidden="false" customHeight="false" outlineLevel="0" collapsed="false">
      <c r="A3298" s="3" t="n">
        <v>3297</v>
      </c>
      <c r="B3298" s="3" t="n">
        <f aca="false">Raw_Data!A3298</f>
        <v>58</v>
      </c>
      <c r="C3298" s="3" t="str">
        <f aca="false">SUBSTITUTE(Raw_Data!B3298,".","")</f>
        <v>blue-collar</v>
      </c>
      <c r="D3298" s="3" t="str">
        <f aca="false">Raw_Data!C3298</f>
        <v>married</v>
      </c>
      <c r="E3298" s="3" t="str">
        <f aca="false">Raw_Data!D3298</f>
        <v>secondary</v>
      </c>
      <c r="F3298" s="3" t="str">
        <f aca="false">Raw_Data!E3298</f>
        <v>no</v>
      </c>
      <c r="G3298" s="3" t="n">
        <f aca="false">Raw_Data!F3298</f>
        <v>590</v>
      </c>
      <c r="H3298" s="3" t="str">
        <f aca="false">Raw_Data!G3298</f>
        <v>no</v>
      </c>
      <c r="I3298" s="3" t="str">
        <f aca="false">Raw_Data!H3298</f>
        <v>yes</v>
      </c>
      <c r="J3298" s="2" t="n">
        <f aca="false">IF(F3298="yes",1,0)</f>
        <v>0</v>
      </c>
      <c r="K3298" s="2" t="n">
        <f aca="false">IF(H3298="yes",1,0)</f>
        <v>0</v>
      </c>
      <c r="L3298" s="2" t="n">
        <f aca="false">IF(I3298="yes",1,0)</f>
        <v>1</v>
      </c>
      <c r="M3298" s="2" t="n">
        <f aca="false">IF(G3298&lt;0,1,0)</f>
        <v>0</v>
      </c>
      <c r="N3298" s="2" t="str">
        <f aca="false">_xlfn.IFS(B3298&lt;30,"Under 30",B3298&lt;40,"30-39",B3298&lt;50,"40-49",B3298&lt;60,"50-59",TRUE(),"60+")</f>
        <v>50-59</v>
      </c>
      <c r="O3298" s="2" t="str">
        <f aca="false">_xlfn.IFS(G3298&lt;0,"1 Negative",G3298=0,"2 Zero",G3298&lt;=500,"3 1-500",G3298&lt;=2000,"4 501-2000",TRUE(),"5 Above 2000")</f>
        <v>4 501-2000</v>
      </c>
      <c r="P3298" s="2" t="n">
        <f aca="false">Lookups!$B$2*M3298+Lookups!$B$3*L3298</f>
        <v>1</v>
      </c>
      <c r="Q3298" s="2" t="str">
        <f aca="false">INDEX(Lookups!$E$2:$E$5,MATCH(P3298,Lookups!$D$2:$D$5,0))</f>
        <v>Medium</v>
      </c>
    </row>
    <row r="3299" customFormat="false" ht="15" hidden="false" customHeight="false" outlineLevel="0" collapsed="false">
      <c r="A3299" s="3" t="n">
        <v>3298</v>
      </c>
      <c r="B3299" s="3" t="n">
        <f aca="false">Raw_Data!A3299</f>
        <v>28</v>
      </c>
      <c r="C3299" s="3" t="str">
        <f aca="false">SUBSTITUTE(Raw_Data!B3299,".","")</f>
        <v>self-employed</v>
      </c>
      <c r="D3299" s="3" t="str">
        <f aca="false">Raw_Data!C3299</f>
        <v>single</v>
      </c>
      <c r="E3299" s="3" t="str">
        <f aca="false">Raw_Data!D3299</f>
        <v>tertiary</v>
      </c>
      <c r="F3299" s="3" t="str">
        <f aca="false">Raw_Data!E3299</f>
        <v>no</v>
      </c>
      <c r="G3299" s="3" t="n">
        <f aca="false">Raw_Data!F3299</f>
        <v>442</v>
      </c>
      <c r="H3299" s="3" t="str">
        <f aca="false">Raw_Data!G3299</f>
        <v>no</v>
      </c>
      <c r="I3299" s="3" t="str">
        <f aca="false">Raw_Data!H3299</f>
        <v>no</v>
      </c>
      <c r="J3299" s="2" t="n">
        <f aca="false">IF(F3299="yes",1,0)</f>
        <v>0</v>
      </c>
      <c r="K3299" s="2" t="n">
        <f aca="false">IF(H3299="yes",1,0)</f>
        <v>0</v>
      </c>
      <c r="L3299" s="2" t="n">
        <f aca="false">IF(I3299="yes",1,0)</f>
        <v>0</v>
      </c>
      <c r="M3299" s="2" t="n">
        <f aca="false">IF(G3299&lt;0,1,0)</f>
        <v>0</v>
      </c>
      <c r="N3299" s="2" t="str">
        <f aca="false">_xlfn.IFS(B3299&lt;30,"Under 30",B3299&lt;40,"30-39",B3299&lt;50,"40-49",B3299&lt;60,"50-59",TRUE(),"60+")</f>
        <v>Under 30</v>
      </c>
      <c r="O3299" s="2" t="str">
        <f aca="false">_xlfn.IFS(G3299&lt;0,"1 Negative",G3299=0,"2 Zero",G3299&lt;=500,"3 1-500",G3299&lt;=2000,"4 501-2000",TRUE(),"5 Above 2000")</f>
        <v>3 1-500</v>
      </c>
      <c r="P3299" s="2" t="n">
        <f aca="false">Lookups!$B$2*M3299+Lookups!$B$3*L3299</f>
        <v>0</v>
      </c>
      <c r="Q3299" s="2" t="str">
        <f aca="false">INDEX(Lookups!$E$2:$E$5,MATCH(P3299,Lookups!$D$2:$D$5,0))</f>
        <v>Low</v>
      </c>
    </row>
    <row r="3300" customFormat="false" ht="15" hidden="false" customHeight="false" outlineLevel="0" collapsed="false">
      <c r="A3300" s="3" t="n">
        <v>3299</v>
      </c>
      <c r="B3300" s="3" t="n">
        <f aca="false">Raw_Data!A3300</f>
        <v>27</v>
      </c>
      <c r="C3300" s="3" t="str">
        <f aca="false">SUBSTITUTE(Raw_Data!B3300,".","")</f>
        <v>technician</v>
      </c>
      <c r="D3300" s="3" t="str">
        <f aca="false">Raw_Data!C3300</f>
        <v>single</v>
      </c>
      <c r="E3300" s="3" t="str">
        <f aca="false">Raw_Data!D3300</f>
        <v>tertiary</v>
      </c>
      <c r="F3300" s="3" t="str">
        <f aca="false">Raw_Data!E3300</f>
        <v>no</v>
      </c>
      <c r="G3300" s="3" t="n">
        <f aca="false">Raw_Data!F3300</f>
        <v>808</v>
      </c>
      <c r="H3300" s="3" t="str">
        <f aca="false">Raw_Data!G3300</f>
        <v>yes</v>
      </c>
      <c r="I3300" s="3" t="str">
        <f aca="false">Raw_Data!H3300</f>
        <v>no</v>
      </c>
      <c r="J3300" s="2" t="n">
        <f aca="false">IF(F3300="yes",1,0)</f>
        <v>0</v>
      </c>
      <c r="K3300" s="2" t="n">
        <f aca="false">IF(H3300="yes",1,0)</f>
        <v>1</v>
      </c>
      <c r="L3300" s="2" t="n">
        <f aca="false">IF(I3300="yes",1,0)</f>
        <v>0</v>
      </c>
      <c r="M3300" s="2" t="n">
        <f aca="false">IF(G3300&lt;0,1,0)</f>
        <v>0</v>
      </c>
      <c r="N3300" s="2" t="str">
        <f aca="false">_xlfn.IFS(B3300&lt;30,"Under 30",B3300&lt;40,"30-39",B3300&lt;50,"40-49",B3300&lt;60,"50-59",TRUE(),"60+")</f>
        <v>Under 30</v>
      </c>
      <c r="O3300" s="2" t="str">
        <f aca="false">_xlfn.IFS(G3300&lt;0,"1 Negative",G3300=0,"2 Zero",G3300&lt;=500,"3 1-500",G3300&lt;=2000,"4 501-2000",TRUE(),"5 Above 2000")</f>
        <v>4 501-2000</v>
      </c>
      <c r="P3300" s="2" t="n">
        <f aca="false">Lookups!$B$2*M3300+Lookups!$B$3*L3300</f>
        <v>0</v>
      </c>
      <c r="Q3300" s="2" t="str">
        <f aca="false">INDEX(Lookups!$E$2:$E$5,MATCH(P3300,Lookups!$D$2:$D$5,0))</f>
        <v>Low</v>
      </c>
    </row>
    <row r="3301" customFormat="false" ht="15" hidden="false" customHeight="false" outlineLevel="0" collapsed="false">
      <c r="A3301" s="3" t="n">
        <v>3300</v>
      </c>
      <c r="B3301" s="3" t="n">
        <f aca="false">Raw_Data!A3301</f>
        <v>38</v>
      </c>
      <c r="C3301" s="3" t="str">
        <f aca="false">SUBSTITUTE(Raw_Data!B3301,".","")</f>
        <v>management</v>
      </c>
      <c r="D3301" s="3" t="str">
        <f aca="false">Raw_Data!C3301</f>
        <v>single</v>
      </c>
      <c r="E3301" s="3" t="str">
        <f aca="false">Raw_Data!D3301</f>
        <v>tertiary</v>
      </c>
      <c r="F3301" s="3" t="str">
        <f aca="false">Raw_Data!E3301</f>
        <v>no</v>
      </c>
      <c r="G3301" s="3" t="n">
        <f aca="false">Raw_Data!F3301</f>
        <v>427</v>
      </c>
      <c r="H3301" s="3" t="str">
        <f aca="false">Raw_Data!G3301</f>
        <v>yes</v>
      </c>
      <c r="I3301" s="3" t="str">
        <f aca="false">Raw_Data!H3301</f>
        <v>no</v>
      </c>
      <c r="J3301" s="2" t="n">
        <f aca="false">IF(F3301="yes",1,0)</f>
        <v>0</v>
      </c>
      <c r="K3301" s="2" t="n">
        <f aca="false">IF(H3301="yes",1,0)</f>
        <v>1</v>
      </c>
      <c r="L3301" s="2" t="n">
        <f aca="false">IF(I3301="yes",1,0)</f>
        <v>0</v>
      </c>
      <c r="M3301" s="2" t="n">
        <f aca="false">IF(G3301&lt;0,1,0)</f>
        <v>0</v>
      </c>
      <c r="N3301" s="2" t="str">
        <f aca="false">_xlfn.IFS(B3301&lt;30,"Under 30",B3301&lt;40,"30-39",B3301&lt;50,"40-49",B3301&lt;60,"50-59",TRUE(),"60+")</f>
        <v>30-39</v>
      </c>
      <c r="O3301" s="2" t="str">
        <f aca="false">_xlfn.IFS(G3301&lt;0,"1 Negative",G3301=0,"2 Zero",G3301&lt;=500,"3 1-500",G3301&lt;=2000,"4 501-2000",TRUE(),"5 Above 2000")</f>
        <v>3 1-500</v>
      </c>
      <c r="P3301" s="2" t="n">
        <f aca="false">Lookups!$B$2*M3301+Lookups!$B$3*L3301</f>
        <v>0</v>
      </c>
      <c r="Q3301" s="2" t="str">
        <f aca="false">INDEX(Lookups!$E$2:$E$5,MATCH(P3301,Lookups!$D$2:$D$5,0))</f>
        <v>Low</v>
      </c>
    </row>
    <row r="3302" customFormat="false" ht="15" hidden="false" customHeight="false" outlineLevel="0" collapsed="false">
      <c r="A3302" s="3" t="n">
        <v>3301</v>
      </c>
      <c r="B3302" s="3" t="n">
        <f aca="false">Raw_Data!A3302</f>
        <v>53</v>
      </c>
      <c r="C3302" s="3" t="str">
        <f aca="false">SUBSTITUTE(Raw_Data!B3302,".","")</f>
        <v>technician</v>
      </c>
      <c r="D3302" s="3" t="str">
        <f aca="false">Raw_Data!C3302</f>
        <v>married</v>
      </c>
      <c r="E3302" s="3" t="str">
        <f aca="false">Raw_Data!D3302</f>
        <v>tertiary</v>
      </c>
      <c r="F3302" s="3" t="str">
        <f aca="false">Raw_Data!E3302</f>
        <v>no</v>
      </c>
      <c r="G3302" s="3" t="n">
        <f aca="false">Raw_Data!F3302</f>
        <v>431</v>
      </c>
      <c r="H3302" s="3" t="str">
        <f aca="false">Raw_Data!G3302</f>
        <v>yes</v>
      </c>
      <c r="I3302" s="3" t="str">
        <f aca="false">Raw_Data!H3302</f>
        <v>no</v>
      </c>
      <c r="J3302" s="2" t="n">
        <f aca="false">IF(F3302="yes",1,0)</f>
        <v>0</v>
      </c>
      <c r="K3302" s="2" t="n">
        <f aca="false">IF(H3302="yes",1,0)</f>
        <v>1</v>
      </c>
      <c r="L3302" s="2" t="n">
        <f aca="false">IF(I3302="yes",1,0)</f>
        <v>0</v>
      </c>
      <c r="M3302" s="2" t="n">
        <f aca="false">IF(G3302&lt;0,1,0)</f>
        <v>0</v>
      </c>
      <c r="N3302" s="2" t="str">
        <f aca="false">_xlfn.IFS(B3302&lt;30,"Under 30",B3302&lt;40,"30-39",B3302&lt;50,"40-49",B3302&lt;60,"50-59",TRUE(),"60+")</f>
        <v>50-59</v>
      </c>
      <c r="O3302" s="2" t="str">
        <f aca="false">_xlfn.IFS(G3302&lt;0,"1 Negative",G3302=0,"2 Zero",G3302&lt;=500,"3 1-500",G3302&lt;=2000,"4 501-2000",TRUE(),"5 Above 2000")</f>
        <v>3 1-500</v>
      </c>
      <c r="P3302" s="2" t="n">
        <f aca="false">Lookups!$B$2*M3302+Lookups!$B$3*L3302</f>
        <v>0</v>
      </c>
      <c r="Q3302" s="2" t="str">
        <f aca="false">INDEX(Lookups!$E$2:$E$5,MATCH(P3302,Lookups!$D$2:$D$5,0))</f>
        <v>Low</v>
      </c>
    </row>
    <row r="3303" customFormat="false" ht="15" hidden="false" customHeight="false" outlineLevel="0" collapsed="false">
      <c r="A3303" s="3" t="n">
        <v>3302</v>
      </c>
      <c r="B3303" s="3" t="n">
        <f aca="false">Raw_Data!A3303</f>
        <v>60</v>
      </c>
      <c r="C3303" s="3" t="str">
        <f aca="false">SUBSTITUTE(Raw_Data!B3303,".","")</f>
        <v>services</v>
      </c>
      <c r="D3303" s="3" t="str">
        <f aca="false">Raw_Data!C3303</f>
        <v>married</v>
      </c>
      <c r="E3303" s="3" t="str">
        <f aca="false">Raw_Data!D3303</f>
        <v>tertiary</v>
      </c>
      <c r="F3303" s="3" t="str">
        <f aca="false">Raw_Data!E3303</f>
        <v>no</v>
      </c>
      <c r="G3303" s="3" t="n">
        <f aca="false">Raw_Data!F3303</f>
        <v>4256</v>
      </c>
      <c r="H3303" s="3" t="str">
        <f aca="false">Raw_Data!G3303</f>
        <v>yes</v>
      </c>
      <c r="I3303" s="3" t="str">
        <f aca="false">Raw_Data!H3303</f>
        <v>no</v>
      </c>
      <c r="J3303" s="2" t="n">
        <f aca="false">IF(F3303="yes",1,0)</f>
        <v>0</v>
      </c>
      <c r="K3303" s="2" t="n">
        <f aca="false">IF(H3303="yes",1,0)</f>
        <v>1</v>
      </c>
      <c r="L3303" s="2" t="n">
        <f aca="false">IF(I3303="yes",1,0)</f>
        <v>0</v>
      </c>
      <c r="M3303" s="2" t="n">
        <f aca="false">IF(G3303&lt;0,1,0)</f>
        <v>0</v>
      </c>
      <c r="N3303" s="2" t="str">
        <f aca="false">_xlfn.IFS(B3303&lt;30,"Under 30",B3303&lt;40,"30-39",B3303&lt;50,"40-49",B3303&lt;60,"50-59",TRUE(),"60+")</f>
        <v>60+</v>
      </c>
      <c r="O3303" s="2" t="str">
        <f aca="false">_xlfn.IFS(G3303&lt;0,"1 Negative",G3303=0,"2 Zero",G3303&lt;=500,"3 1-500",G3303&lt;=2000,"4 501-2000",TRUE(),"5 Above 2000")</f>
        <v>5 Above 2000</v>
      </c>
      <c r="P3303" s="2" t="n">
        <f aca="false">Lookups!$B$2*M3303+Lookups!$B$3*L3303</f>
        <v>0</v>
      </c>
      <c r="Q3303" s="2" t="str">
        <f aca="false">INDEX(Lookups!$E$2:$E$5,MATCH(P3303,Lookups!$D$2:$D$5,0))</f>
        <v>Low</v>
      </c>
    </row>
    <row r="3304" customFormat="false" ht="15" hidden="false" customHeight="false" outlineLevel="0" collapsed="false">
      <c r="A3304" s="3" t="n">
        <v>3303</v>
      </c>
      <c r="B3304" s="3" t="n">
        <f aca="false">Raw_Data!A3304</f>
        <v>33</v>
      </c>
      <c r="C3304" s="3" t="str">
        <f aca="false">SUBSTITUTE(Raw_Data!B3304,".","")</f>
        <v>management</v>
      </c>
      <c r="D3304" s="3" t="str">
        <f aca="false">Raw_Data!C3304</f>
        <v>divorced</v>
      </c>
      <c r="E3304" s="3" t="str">
        <f aca="false">Raw_Data!D3304</f>
        <v>tertiary</v>
      </c>
      <c r="F3304" s="3" t="str">
        <f aca="false">Raw_Data!E3304</f>
        <v>no</v>
      </c>
      <c r="G3304" s="3" t="n">
        <f aca="false">Raw_Data!F3304</f>
        <v>0</v>
      </c>
      <c r="H3304" s="3" t="str">
        <f aca="false">Raw_Data!G3304</f>
        <v>yes</v>
      </c>
      <c r="I3304" s="3" t="str">
        <f aca="false">Raw_Data!H3304</f>
        <v>yes</v>
      </c>
      <c r="J3304" s="2" t="n">
        <f aca="false">IF(F3304="yes",1,0)</f>
        <v>0</v>
      </c>
      <c r="K3304" s="2" t="n">
        <f aca="false">IF(H3304="yes",1,0)</f>
        <v>1</v>
      </c>
      <c r="L3304" s="2" t="n">
        <f aca="false">IF(I3304="yes",1,0)</f>
        <v>1</v>
      </c>
      <c r="M3304" s="2" t="n">
        <f aca="false">IF(G3304&lt;0,1,0)</f>
        <v>0</v>
      </c>
      <c r="N3304" s="2" t="str">
        <f aca="false">_xlfn.IFS(B3304&lt;30,"Under 30",B3304&lt;40,"30-39",B3304&lt;50,"40-49",B3304&lt;60,"50-59",TRUE(),"60+")</f>
        <v>30-39</v>
      </c>
      <c r="O3304" s="2" t="str">
        <f aca="false">_xlfn.IFS(G3304&lt;0,"1 Negative",G3304=0,"2 Zero",G3304&lt;=500,"3 1-500",G3304&lt;=2000,"4 501-2000",TRUE(),"5 Above 2000")</f>
        <v>2 Zero</v>
      </c>
      <c r="P3304" s="2" t="n">
        <f aca="false">Lookups!$B$2*M3304+Lookups!$B$3*L3304</f>
        <v>1</v>
      </c>
      <c r="Q3304" s="2" t="str">
        <f aca="false">INDEX(Lookups!$E$2:$E$5,MATCH(P3304,Lookups!$D$2:$D$5,0))</f>
        <v>Medium</v>
      </c>
    </row>
    <row r="3305" customFormat="false" ht="15" hidden="false" customHeight="false" outlineLevel="0" collapsed="false">
      <c r="A3305" s="3" t="n">
        <v>3304</v>
      </c>
      <c r="B3305" s="3" t="n">
        <f aca="false">Raw_Data!A3305</f>
        <v>52</v>
      </c>
      <c r="C3305" s="3" t="str">
        <f aca="false">SUBSTITUTE(Raw_Data!B3305,".","")</f>
        <v>services</v>
      </c>
      <c r="D3305" s="3" t="str">
        <f aca="false">Raw_Data!C3305</f>
        <v>divorced</v>
      </c>
      <c r="E3305" s="3" t="str">
        <f aca="false">Raw_Data!D3305</f>
        <v>secondary</v>
      </c>
      <c r="F3305" s="3" t="str">
        <f aca="false">Raw_Data!E3305</f>
        <v>no</v>
      </c>
      <c r="G3305" s="3" t="n">
        <f aca="false">Raw_Data!F3305</f>
        <v>238</v>
      </c>
      <c r="H3305" s="3" t="str">
        <f aca="false">Raw_Data!G3305</f>
        <v>yes</v>
      </c>
      <c r="I3305" s="3" t="str">
        <f aca="false">Raw_Data!H3305</f>
        <v>no</v>
      </c>
      <c r="J3305" s="2" t="n">
        <f aca="false">IF(F3305="yes",1,0)</f>
        <v>0</v>
      </c>
      <c r="K3305" s="2" t="n">
        <f aca="false">IF(H3305="yes",1,0)</f>
        <v>1</v>
      </c>
      <c r="L3305" s="2" t="n">
        <f aca="false">IF(I3305="yes",1,0)</f>
        <v>0</v>
      </c>
      <c r="M3305" s="2" t="n">
        <f aca="false">IF(G3305&lt;0,1,0)</f>
        <v>0</v>
      </c>
      <c r="N3305" s="2" t="str">
        <f aca="false">_xlfn.IFS(B3305&lt;30,"Under 30",B3305&lt;40,"30-39",B3305&lt;50,"40-49",B3305&lt;60,"50-59",TRUE(),"60+")</f>
        <v>50-59</v>
      </c>
      <c r="O3305" s="2" t="str">
        <f aca="false">_xlfn.IFS(G3305&lt;0,"1 Negative",G3305=0,"2 Zero",G3305&lt;=500,"3 1-500",G3305&lt;=2000,"4 501-2000",TRUE(),"5 Above 2000")</f>
        <v>3 1-500</v>
      </c>
      <c r="P3305" s="2" t="n">
        <f aca="false">Lookups!$B$2*M3305+Lookups!$B$3*L3305</f>
        <v>0</v>
      </c>
      <c r="Q3305" s="2" t="str">
        <f aca="false">INDEX(Lookups!$E$2:$E$5,MATCH(P3305,Lookups!$D$2:$D$5,0))</f>
        <v>Low</v>
      </c>
    </row>
    <row r="3306" customFormat="false" ht="15" hidden="false" customHeight="false" outlineLevel="0" collapsed="false">
      <c r="A3306" s="3" t="n">
        <v>3305</v>
      </c>
      <c r="B3306" s="3" t="n">
        <f aca="false">Raw_Data!A3306</f>
        <v>64</v>
      </c>
      <c r="C3306" s="3" t="str">
        <f aca="false">SUBSTITUTE(Raw_Data!B3306,".","")</f>
        <v>retired</v>
      </c>
      <c r="D3306" s="3" t="str">
        <f aca="false">Raw_Data!C3306</f>
        <v>married</v>
      </c>
      <c r="E3306" s="3" t="str">
        <f aca="false">Raw_Data!D3306</f>
        <v>tertiary</v>
      </c>
      <c r="F3306" s="3" t="str">
        <f aca="false">Raw_Data!E3306</f>
        <v>no</v>
      </c>
      <c r="G3306" s="3" t="n">
        <f aca="false">Raw_Data!F3306</f>
        <v>846</v>
      </c>
      <c r="H3306" s="3" t="str">
        <f aca="false">Raw_Data!G3306</f>
        <v>no</v>
      </c>
      <c r="I3306" s="3" t="str">
        <f aca="false">Raw_Data!H3306</f>
        <v>no</v>
      </c>
      <c r="J3306" s="2" t="n">
        <f aca="false">IF(F3306="yes",1,0)</f>
        <v>0</v>
      </c>
      <c r="K3306" s="2" t="n">
        <f aca="false">IF(H3306="yes",1,0)</f>
        <v>0</v>
      </c>
      <c r="L3306" s="2" t="n">
        <f aca="false">IF(I3306="yes",1,0)</f>
        <v>0</v>
      </c>
      <c r="M3306" s="2" t="n">
        <f aca="false">IF(G3306&lt;0,1,0)</f>
        <v>0</v>
      </c>
      <c r="N3306" s="2" t="str">
        <f aca="false">_xlfn.IFS(B3306&lt;30,"Under 30",B3306&lt;40,"30-39",B3306&lt;50,"40-49",B3306&lt;60,"50-59",TRUE(),"60+")</f>
        <v>60+</v>
      </c>
      <c r="O3306" s="2" t="str">
        <f aca="false">_xlfn.IFS(G3306&lt;0,"1 Negative",G3306=0,"2 Zero",G3306&lt;=500,"3 1-500",G3306&lt;=2000,"4 501-2000",TRUE(),"5 Above 2000")</f>
        <v>4 501-2000</v>
      </c>
      <c r="P3306" s="2" t="n">
        <f aca="false">Lookups!$B$2*M3306+Lookups!$B$3*L3306</f>
        <v>0</v>
      </c>
      <c r="Q3306" s="2" t="str">
        <f aca="false">INDEX(Lookups!$E$2:$E$5,MATCH(P3306,Lookups!$D$2:$D$5,0))</f>
        <v>Low</v>
      </c>
    </row>
    <row r="3307" customFormat="false" ht="15" hidden="false" customHeight="false" outlineLevel="0" collapsed="false">
      <c r="A3307" s="3" t="n">
        <v>3306</v>
      </c>
      <c r="B3307" s="3" t="n">
        <f aca="false">Raw_Data!A3307</f>
        <v>40</v>
      </c>
      <c r="C3307" s="3" t="str">
        <f aca="false">SUBSTITUTE(Raw_Data!B3307,".","")</f>
        <v>blue-collar</v>
      </c>
      <c r="D3307" s="3" t="str">
        <f aca="false">Raw_Data!C3307</f>
        <v>single</v>
      </c>
      <c r="E3307" s="3" t="str">
        <f aca="false">Raw_Data!D3307</f>
        <v>secondary</v>
      </c>
      <c r="F3307" s="3" t="str">
        <f aca="false">Raw_Data!E3307</f>
        <v>no</v>
      </c>
      <c r="G3307" s="3" t="n">
        <f aca="false">Raw_Data!F3307</f>
        <v>3</v>
      </c>
      <c r="H3307" s="3" t="str">
        <f aca="false">Raw_Data!G3307</f>
        <v>no</v>
      </c>
      <c r="I3307" s="3" t="str">
        <f aca="false">Raw_Data!H3307</f>
        <v>no</v>
      </c>
      <c r="J3307" s="2" t="n">
        <f aca="false">IF(F3307="yes",1,0)</f>
        <v>0</v>
      </c>
      <c r="K3307" s="2" t="n">
        <f aca="false">IF(H3307="yes",1,0)</f>
        <v>0</v>
      </c>
      <c r="L3307" s="2" t="n">
        <f aca="false">IF(I3307="yes",1,0)</f>
        <v>0</v>
      </c>
      <c r="M3307" s="2" t="n">
        <f aca="false">IF(G3307&lt;0,1,0)</f>
        <v>0</v>
      </c>
      <c r="N3307" s="2" t="str">
        <f aca="false">_xlfn.IFS(B3307&lt;30,"Under 30",B3307&lt;40,"30-39",B3307&lt;50,"40-49",B3307&lt;60,"50-59",TRUE(),"60+")</f>
        <v>40-49</v>
      </c>
      <c r="O3307" s="2" t="str">
        <f aca="false">_xlfn.IFS(G3307&lt;0,"1 Negative",G3307=0,"2 Zero",G3307&lt;=500,"3 1-500",G3307&lt;=2000,"4 501-2000",TRUE(),"5 Above 2000")</f>
        <v>3 1-500</v>
      </c>
      <c r="P3307" s="2" t="n">
        <f aca="false">Lookups!$B$2*M3307+Lookups!$B$3*L3307</f>
        <v>0</v>
      </c>
      <c r="Q3307" s="2" t="str">
        <f aca="false">INDEX(Lookups!$E$2:$E$5,MATCH(P3307,Lookups!$D$2:$D$5,0))</f>
        <v>Low</v>
      </c>
    </row>
    <row r="3308" customFormat="false" ht="15" hidden="false" customHeight="false" outlineLevel="0" collapsed="false">
      <c r="A3308" s="3" t="n">
        <v>3307</v>
      </c>
      <c r="B3308" s="3" t="n">
        <f aca="false">Raw_Data!A3308</f>
        <v>52</v>
      </c>
      <c r="C3308" s="3" t="str">
        <f aca="false">SUBSTITUTE(Raw_Data!B3308,".","")</f>
        <v>admin</v>
      </c>
      <c r="D3308" s="3" t="str">
        <f aca="false">Raw_Data!C3308</f>
        <v>married</v>
      </c>
      <c r="E3308" s="3" t="str">
        <f aca="false">Raw_Data!D3308</f>
        <v>secondary</v>
      </c>
      <c r="F3308" s="3" t="str">
        <f aca="false">Raw_Data!E3308</f>
        <v>no</v>
      </c>
      <c r="G3308" s="3" t="n">
        <f aca="false">Raw_Data!F3308</f>
        <v>693</v>
      </c>
      <c r="H3308" s="3" t="str">
        <f aca="false">Raw_Data!G3308</f>
        <v>no</v>
      </c>
      <c r="I3308" s="3" t="str">
        <f aca="false">Raw_Data!H3308</f>
        <v>no</v>
      </c>
      <c r="J3308" s="2" t="n">
        <f aca="false">IF(F3308="yes",1,0)</f>
        <v>0</v>
      </c>
      <c r="K3308" s="2" t="n">
        <f aca="false">IF(H3308="yes",1,0)</f>
        <v>0</v>
      </c>
      <c r="L3308" s="2" t="n">
        <f aca="false">IF(I3308="yes",1,0)</f>
        <v>0</v>
      </c>
      <c r="M3308" s="2" t="n">
        <f aca="false">IF(G3308&lt;0,1,0)</f>
        <v>0</v>
      </c>
      <c r="N3308" s="2" t="str">
        <f aca="false">_xlfn.IFS(B3308&lt;30,"Under 30",B3308&lt;40,"30-39",B3308&lt;50,"40-49",B3308&lt;60,"50-59",TRUE(),"60+")</f>
        <v>50-59</v>
      </c>
      <c r="O3308" s="2" t="str">
        <f aca="false">_xlfn.IFS(G3308&lt;0,"1 Negative",G3308=0,"2 Zero",G3308&lt;=500,"3 1-500",G3308&lt;=2000,"4 501-2000",TRUE(),"5 Above 2000")</f>
        <v>4 501-2000</v>
      </c>
      <c r="P3308" s="2" t="n">
        <f aca="false">Lookups!$B$2*M3308+Lookups!$B$3*L3308</f>
        <v>0</v>
      </c>
      <c r="Q3308" s="2" t="str">
        <f aca="false">INDEX(Lookups!$E$2:$E$5,MATCH(P3308,Lookups!$D$2:$D$5,0))</f>
        <v>Low</v>
      </c>
    </row>
    <row r="3309" customFormat="false" ht="15" hidden="false" customHeight="false" outlineLevel="0" collapsed="false">
      <c r="A3309" s="3" t="n">
        <v>3308</v>
      </c>
      <c r="B3309" s="3" t="n">
        <f aca="false">Raw_Data!A3309</f>
        <v>28</v>
      </c>
      <c r="C3309" s="3" t="str">
        <f aca="false">SUBSTITUTE(Raw_Data!B3309,".","")</f>
        <v>student</v>
      </c>
      <c r="D3309" s="3" t="str">
        <f aca="false">Raw_Data!C3309</f>
        <v>single</v>
      </c>
      <c r="E3309" s="3" t="str">
        <f aca="false">Raw_Data!D3309</f>
        <v>secondary</v>
      </c>
      <c r="F3309" s="3" t="str">
        <f aca="false">Raw_Data!E3309</f>
        <v>no</v>
      </c>
      <c r="G3309" s="3" t="n">
        <f aca="false">Raw_Data!F3309</f>
        <v>0</v>
      </c>
      <c r="H3309" s="3" t="str">
        <f aca="false">Raw_Data!G3309</f>
        <v>yes</v>
      </c>
      <c r="I3309" s="3" t="str">
        <f aca="false">Raw_Data!H3309</f>
        <v>no</v>
      </c>
      <c r="J3309" s="2" t="n">
        <f aca="false">IF(F3309="yes",1,0)</f>
        <v>0</v>
      </c>
      <c r="K3309" s="2" t="n">
        <f aca="false">IF(H3309="yes",1,0)</f>
        <v>1</v>
      </c>
      <c r="L3309" s="2" t="n">
        <f aca="false">IF(I3309="yes",1,0)</f>
        <v>0</v>
      </c>
      <c r="M3309" s="2" t="n">
        <f aca="false">IF(G3309&lt;0,1,0)</f>
        <v>0</v>
      </c>
      <c r="N3309" s="2" t="str">
        <f aca="false">_xlfn.IFS(B3309&lt;30,"Under 30",B3309&lt;40,"30-39",B3309&lt;50,"40-49",B3309&lt;60,"50-59",TRUE(),"60+")</f>
        <v>Under 30</v>
      </c>
      <c r="O3309" s="2" t="str">
        <f aca="false">_xlfn.IFS(G3309&lt;0,"1 Negative",G3309=0,"2 Zero",G3309&lt;=500,"3 1-500",G3309&lt;=2000,"4 501-2000",TRUE(),"5 Above 2000")</f>
        <v>2 Zero</v>
      </c>
      <c r="P3309" s="2" t="n">
        <f aca="false">Lookups!$B$2*M3309+Lookups!$B$3*L3309</f>
        <v>0</v>
      </c>
      <c r="Q3309" s="2" t="str">
        <f aca="false">INDEX(Lookups!$E$2:$E$5,MATCH(P3309,Lookups!$D$2:$D$5,0))</f>
        <v>Low</v>
      </c>
    </row>
    <row r="3310" customFormat="false" ht="15" hidden="false" customHeight="false" outlineLevel="0" collapsed="false">
      <c r="A3310" s="3" t="n">
        <v>3309</v>
      </c>
      <c r="B3310" s="3" t="n">
        <f aca="false">Raw_Data!A3310</f>
        <v>49</v>
      </c>
      <c r="C3310" s="3" t="str">
        <f aca="false">SUBSTITUTE(Raw_Data!B3310,".","")</f>
        <v>management</v>
      </c>
      <c r="D3310" s="3" t="str">
        <f aca="false">Raw_Data!C3310</f>
        <v>married</v>
      </c>
      <c r="E3310" s="3" t="str">
        <f aca="false">Raw_Data!D3310</f>
        <v>secondary</v>
      </c>
      <c r="F3310" s="3" t="str">
        <f aca="false">Raw_Data!E3310</f>
        <v>no</v>
      </c>
      <c r="G3310" s="3" t="n">
        <f aca="false">Raw_Data!F3310</f>
        <v>362</v>
      </c>
      <c r="H3310" s="3" t="str">
        <f aca="false">Raw_Data!G3310</f>
        <v>yes</v>
      </c>
      <c r="I3310" s="3" t="str">
        <f aca="false">Raw_Data!H3310</f>
        <v>no</v>
      </c>
      <c r="J3310" s="2" t="n">
        <f aca="false">IF(F3310="yes",1,0)</f>
        <v>0</v>
      </c>
      <c r="K3310" s="2" t="n">
        <f aca="false">IF(H3310="yes",1,0)</f>
        <v>1</v>
      </c>
      <c r="L3310" s="2" t="n">
        <f aca="false">IF(I3310="yes",1,0)</f>
        <v>0</v>
      </c>
      <c r="M3310" s="2" t="n">
        <f aca="false">IF(G3310&lt;0,1,0)</f>
        <v>0</v>
      </c>
      <c r="N3310" s="2" t="str">
        <f aca="false">_xlfn.IFS(B3310&lt;30,"Under 30",B3310&lt;40,"30-39",B3310&lt;50,"40-49",B3310&lt;60,"50-59",TRUE(),"60+")</f>
        <v>40-49</v>
      </c>
      <c r="O3310" s="2" t="str">
        <f aca="false">_xlfn.IFS(G3310&lt;0,"1 Negative",G3310=0,"2 Zero",G3310&lt;=500,"3 1-500",G3310&lt;=2000,"4 501-2000",TRUE(),"5 Above 2000")</f>
        <v>3 1-500</v>
      </c>
      <c r="P3310" s="2" t="n">
        <f aca="false">Lookups!$B$2*M3310+Lookups!$B$3*L3310</f>
        <v>0</v>
      </c>
      <c r="Q3310" s="2" t="str">
        <f aca="false">INDEX(Lookups!$E$2:$E$5,MATCH(P3310,Lookups!$D$2:$D$5,0))</f>
        <v>Low</v>
      </c>
    </row>
    <row r="3311" customFormat="false" ht="15" hidden="false" customHeight="false" outlineLevel="0" collapsed="false">
      <c r="A3311" s="3" t="n">
        <v>3310</v>
      </c>
      <c r="B3311" s="3" t="n">
        <f aca="false">Raw_Data!A3311</f>
        <v>28</v>
      </c>
      <c r="C3311" s="3" t="str">
        <f aca="false">SUBSTITUTE(Raw_Data!B3311,".","")</f>
        <v>technician</v>
      </c>
      <c r="D3311" s="3" t="str">
        <f aca="false">Raw_Data!C3311</f>
        <v>single</v>
      </c>
      <c r="E3311" s="3" t="str">
        <f aca="false">Raw_Data!D3311</f>
        <v>secondary</v>
      </c>
      <c r="F3311" s="3" t="str">
        <f aca="false">Raw_Data!E3311</f>
        <v>no</v>
      </c>
      <c r="G3311" s="3" t="n">
        <f aca="false">Raw_Data!F3311</f>
        <v>618</v>
      </c>
      <c r="H3311" s="3" t="str">
        <f aca="false">Raw_Data!G3311</f>
        <v>yes</v>
      </c>
      <c r="I3311" s="3" t="str">
        <f aca="false">Raw_Data!H3311</f>
        <v>no</v>
      </c>
      <c r="J3311" s="2" t="n">
        <f aca="false">IF(F3311="yes",1,0)</f>
        <v>0</v>
      </c>
      <c r="K3311" s="2" t="n">
        <f aca="false">IF(H3311="yes",1,0)</f>
        <v>1</v>
      </c>
      <c r="L3311" s="2" t="n">
        <f aca="false">IF(I3311="yes",1,0)</f>
        <v>0</v>
      </c>
      <c r="M3311" s="2" t="n">
        <f aca="false">IF(G3311&lt;0,1,0)</f>
        <v>0</v>
      </c>
      <c r="N3311" s="2" t="str">
        <f aca="false">_xlfn.IFS(B3311&lt;30,"Under 30",B3311&lt;40,"30-39",B3311&lt;50,"40-49",B3311&lt;60,"50-59",TRUE(),"60+")</f>
        <v>Under 30</v>
      </c>
      <c r="O3311" s="2" t="str">
        <f aca="false">_xlfn.IFS(G3311&lt;0,"1 Negative",G3311=0,"2 Zero",G3311&lt;=500,"3 1-500",G3311&lt;=2000,"4 501-2000",TRUE(),"5 Above 2000")</f>
        <v>4 501-2000</v>
      </c>
      <c r="P3311" s="2" t="n">
        <f aca="false">Lookups!$B$2*M3311+Lookups!$B$3*L3311</f>
        <v>0</v>
      </c>
      <c r="Q3311" s="2" t="str">
        <f aca="false">INDEX(Lookups!$E$2:$E$5,MATCH(P3311,Lookups!$D$2:$D$5,0))</f>
        <v>Low</v>
      </c>
    </row>
    <row r="3312" customFormat="false" ht="15" hidden="false" customHeight="false" outlineLevel="0" collapsed="false">
      <c r="A3312" s="3" t="n">
        <v>3311</v>
      </c>
      <c r="B3312" s="3" t="n">
        <f aca="false">Raw_Data!A3312</f>
        <v>29</v>
      </c>
      <c r="C3312" s="3" t="str">
        <f aca="false">SUBSTITUTE(Raw_Data!B3312,".","")</f>
        <v>technician</v>
      </c>
      <c r="D3312" s="3" t="str">
        <f aca="false">Raw_Data!C3312</f>
        <v>single</v>
      </c>
      <c r="E3312" s="3" t="str">
        <f aca="false">Raw_Data!D3312</f>
        <v>tertiary</v>
      </c>
      <c r="F3312" s="3" t="str">
        <f aca="false">Raw_Data!E3312</f>
        <v>no</v>
      </c>
      <c r="G3312" s="3" t="n">
        <f aca="false">Raw_Data!F3312</f>
        <v>2893</v>
      </c>
      <c r="H3312" s="3" t="str">
        <f aca="false">Raw_Data!G3312</f>
        <v>yes</v>
      </c>
      <c r="I3312" s="3" t="str">
        <f aca="false">Raw_Data!H3312</f>
        <v>no</v>
      </c>
      <c r="J3312" s="2" t="n">
        <f aca="false">IF(F3312="yes",1,0)</f>
        <v>0</v>
      </c>
      <c r="K3312" s="2" t="n">
        <f aca="false">IF(H3312="yes",1,0)</f>
        <v>1</v>
      </c>
      <c r="L3312" s="2" t="n">
        <f aca="false">IF(I3312="yes",1,0)</f>
        <v>0</v>
      </c>
      <c r="M3312" s="2" t="n">
        <f aca="false">IF(G3312&lt;0,1,0)</f>
        <v>0</v>
      </c>
      <c r="N3312" s="2" t="str">
        <f aca="false">_xlfn.IFS(B3312&lt;30,"Under 30",B3312&lt;40,"30-39",B3312&lt;50,"40-49",B3312&lt;60,"50-59",TRUE(),"60+")</f>
        <v>Under 30</v>
      </c>
      <c r="O3312" s="2" t="str">
        <f aca="false">_xlfn.IFS(G3312&lt;0,"1 Negative",G3312=0,"2 Zero",G3312&lt;=500,"3 1-500",G3312&lt;=2000,"4 501-2000",TRUE(),"5 Above 2000")</f>
        <v>5 Above 2000</v>
      </c>
      <c r="P3312" s="2" t="n">
        <f aca="false">Lookups!$B$2*M3312+Lookups!$B$3*L3312</f>
        <v>0</v>
      </c>
      <c r="Q3312" s="2" t="str">
        <f aca="false">INDEX(Lookups!$E$2:$E$5,MATCH(P3312,Lookups!$D$2:$D$5,0))</f>
        <v>Low</v>
      </c>
    </row>
    <row r="3313" customFormat="false" ht="15" hidden="false" customHeight="false" outlineLevel="0" collapsed="false">
      <c r="A3313" s="3" t="n">
        <v>3312</v>
      </c>
      <c r="B3313" s="3" t="n">
        <f aca="false">Raw_Data!A3313</f>
        <v>87</v>
      </c>
      <c r="C3313" s="3" t="str">
        <f aca="false">SUBSTITUTE(Raw_Data!B3313,".","")</f>
        <v>retired</v>
      </c>
      <c r="D3313" s="3" t="str">
        <f aca="false">Raw_Data!C3313</f>
        <v>married</v>
      </c>
      <c r="E3313" s="3" t="str">
        <f aca="false">Raw_Data!D3313</f>
        <v>primary</v>
      </c>
      <c r="F3313" s="3" t="str">
        <f aca="false">Raw_Data!E3313</f>
        <v>no</v>
      </c>
      <c r="G3313" s="3" t="n">
        <f aca="false">Raw_Data!F3313</f>
        <v>230</v>
      </c>
      <c r="H3313" s="3" t="str">
        <f aca="false">Raw_Data!G3313</f>
        <v>no</v>
      </c>
      <c r="I3313" s="3" t="str">
        <f aca="false">Raw_Data!H3313</f>
        <v>no</v>
      </c>
      <c r="J3313" s="2" t="n">
        <f aca="false">IF(F3313="yes",1,0)</f>
        <v>0</v>
      </c>
      <c r="K3313" s="2" t="n">
        <f aca="false">IF(H3313="yes",1,0)</f>
        <v>0</v>
      </c>
      <c r="L3313" s="2" t="n">
        <f aca="false">IF(I3313="yes",1,0)</f>
        <v>0</v>
      </c>
      <c r="M3313" s="2" t="n">
        <f aca="false">IF(G3313&lt;0,1,0)</f>
        <v>0</v>
      </c>
      <c r="N3313" s="2" t="str">
        <f aca="false">_xlfn.IFS(B3313&lt;30,"Under 30",B3313&lt;40,"30-39",B3313&lt;50,"40-49",B3313&lt;60,"50-59",TRUE(),"60+")</f>
        <v>60+</v>
      </c>
      <c r="O3313" s="2" t="str">
        <f aca="false">_xlfn.IFS(G3313&lt;0,"1 Negative",G3313=0,"2 Zero",G3313&lt;=500,"3 1-500",G3313&lt;=2000,"4 501-2000",TRUE(),"5 Above 2000")</f>
        <v>3 1-500</v>
      </c>
      <c r="P3313" s="2" t="n">
        <f aca="false">Lookups!$B$2*M3313+Lookups!$B$3*L3313</f>
        <v>0</v>
      </c>
      <c r="Q3313" s="2" t="str">
        <f aca="false">INDEX(Lookups!$E$2:$E$5,MATCH(P3313,Lookups!$D$2:$D$5,0))</f>
        <v>Low</v>
      </c>
    </row>
    <row r="3314" customFormat="false" ht="15" hidden="false" customHeight="false" outlineLevel="0" collapsed="false">
      <c r="A3314" s="3" t="n">
        <v>3313</v>
      </c>
      <c r="B3314" s="3" t="n">
        <f aca="false">Raw_Data!A3314</f>
        <v>37</v>
      </c>
      <c r="C3314" s="3" t="str">
        <f aca="false">SUBSTITUTE(Raw_Data!B3314,".","")</f>
        <v>management</v>
      </c>
      <c r="D3314" s="3" t="str">
        <f aca="false">Raw_Data!C3314</f>
        <v>divorced</v>
      </c>
      <c r="E3314" s="3" t="str">
        <f aca="false">Raw_Data!D3314</f>
        <v>secondary</v>
      </c>
      <c r="F3314" s="3" t="str">
        <f aca="false">Raw_Data!E3314</f>
        <v>no</v>
      </c>
      <c r="G3314" s="3" t="n">
        <f aca="false">Raw_Data!F3314</f>
        <v>1287</v>
      </c>
      <c r="H3314" s="3" t="str">
        <f aca="false">Raw_Data!G3314</f>
        <v>yes</v>
      </c>
      <c r="I3314" s="3" t="str">
        <f aca="false">Raw_Data!H3314</f>
        <v>no</v>
      </c>
      <c r="J3314" s="2" t="n">
        <f aca="false">IF(F3314="yes",1,0)</f>
        <v>0</v>
      </c>
      <c r="K3314" s="2" t="n">
        <f aca="false">IF(H3314="yes",1,0)</f>
        <v>1</v>
      </c>
      <c r="L3314" s="2" t="n">
        <f aca="false">IF(I3314="yes",1,0)</f>
        <v>0</v>
      </c>
      <c r="M3314" s="2" t="n">
        <f aca="false">IF(G3314&lt;0,1,0)</f>
        <v>0</v>
      </c>
      <c r="N3314" s="2" t="str">
        <f aca="false">_xlfn.IFS(B3314&lt;30,"Under 30",B3314&lt;40,"30-39",B3314&lt;50,"40-49",B3314&lt;60,"50-59",TRUE(),"60+")</f>
        <v>30-39</v>
      </c>
      <c r="O3314" s="2" t="str">
        <f aca="false">_xlfn.IFS(G3314&lt;0,"1 Negative",G3314=0,"2 Zero",G3314&lt;=500,"3 1-500",G3314&lt;=2000,"4 501-2000",TRUE(),"5 Above 2000")</f>
        <v>4 501-2000</v>
      </c>
      <c r="P3314" s="2" t="n">
        <f aca="false">Lookups!$B$2*M3314+Lookups!$B$3*L3314</f>
        <v>0</v>
      </c>
      <c r="Q3314" s="2" t="str">
        <f aca="false">INDEX(Lookups!$E$2:$E$5,MATCH(P3314,Lookups!$D$2:$D$5,0))</f>
        <v>Low</v>
      </c>
    </row>
    <row r="3315" customFormat="false" ht="15" hidden="false" customHeight="false" outlineLevel="0" collapsed="false">
      <c r="A3315" s="3" t="n">
        <v>3314</v>
      </c>
      <c r="B3315" s="3" t="n">
        <f aca="false">Raw_Data!A3315</f>
        <v>36</v>
      </c>
      <c r="C3315" s="3" t="str">
        <f aca="false">SUBSTITUTE(Raw_Data!B3315,".","")</f>
        <v>services</v>
      </c>
      <c r="D3315" s="3" t="str">
        <f aca="false">Raw_Data!C3315</f>
        <v>married</v>
      </c>
      <c r="E3315" s="3" t="str">
        <f aca="false">Raw_Data!D3315</f>
        <v>primary</v>
      </c>
      <c r="F3315" s="3" t="str">
        <f aca="false">Raw_Data!E3315</f>
        <v>no</v>
      </c>
      <c r="G3315" s="3" t="n">
        <f aca="false">Raw_Data!F3315</f>
        <v>179</v>
      </c>
      <c r="H3315" s="3" t="str">
        <f aca="false">Raw_Data!G3315</f>
        <v>no</v>
      </c>
      <c r="I3315" s="3" t="str">
        <f aca="false">Raw_Data!H3315</f>
        <v>no</v>
      </c>
      <c r="J3315" s="2" t="n">
        <f aca="false">IF(F3315="yes",1,0)</f>
        <v>0</v>
      </c>
      <c r="K3315" s="2" t="n">
        <f aca="false">IF(H3315="yes",1,0)</f>
        <v>0</v>
      </c>
      <c r="L3315" s="2" t="n">
        <f aca="false">IF(I3315="yes",1,0)</f>
        <v>0</v>
      </c>
      <c r="M3315" s="2" t="n">
        <f aca="false">IF(G3315&lt;0,1,0)</f>
        <v>0</v>
      </c>
      <c r="N3315" s="2" t="str">
        <f aca="false">_xlfn.IFS(B3315&lt;30,"Under 30",B3315&lt;40,"30-39",B3315&lt;50,"40-49",B3315&lt;60,"50-59",TRUE(),"60+")</f>
        <v>30-39</v>
      </c>
      <c r="O3315" s="2" t="str">
        <f aca="false">_xlfn.IFS(G3315&lt;0,"1 Negative",G3315=0,"2 Zero",G3315&lt;=500,"3 1-500",G3315&lt;=2000,"4 501-2000",TRUE(),"5 Above 2000")</f>
        <v>3 1-500</v>
      </c>
      <c r="P3315" s="2" t="n">
        <f aca="false">Lookups!$B$2*M3315+Lookups!$B$3*L3315</f>
        <v>0</v>
      </c>
      <c r="Q3315" s="2" t="str">
        <f aca="false">INDEX(Lookups!$E$2:$E$5,MATCH(P3315,Lookups!$D$2:$D$5,0))</f>
        <v>Low</v>
      </c>
    </row>
    <row r="3316" customFormat="false" ht="15" hidden="false" customHeight="false" outlineLevel="0" collapsed="false">
      <c r="A3316" s="3" t="n">
        <v>3315</v>
      </c>
      <c r="B3316" s="3" t="n">
        <f aca="false">Raw_Data!A3316</f>
        <v>35</v>
      </c>
      <c r="C3316" s="3" t="str">
        <f aca="false">SUBSTITUTE(Raw_Data!B3316,".","")</f>
        <v>self-employed</v>
      </c>
      <c r="D3316" s="3" t="str">
        <f aca="false">Raw_Data!C3316</f>
        <v>married</v>
      </c>
      <c r="E3316" s="3" t="str">
        <f aca="false">Raw_Data!D3316</f>
        <v>tertiary</v>
      </c>
      <c r="F3316" s="3" t="str">
        <f aca="false">Raw_Data!E3316</f>
        <v>no</v>
      </c>
      <c r="G3316" s="3" t="n">
        <f aca="false">Raw_Data!F3316</f>
        <v>980</v>
      </c>
      <c r="H3316" s="3" t="str">
        <f aca="false">Raw_Data!G3316</f>
        <v>no</v>
      </c>
      <c r="I3316" s="3" t="str">
        <f aca="false">Raw_Data!H3316</f>
        <v>no</v>
      </c>
      <c r="J3316" s="2" t="n">
        <f aca="false">IF(F3316="yes",1,0)</f>
        <v>0</v>
      </c>
      <c r="K3316" s="2" t="n">
        <f aca="false">IF(H3316="yes",1,0)</f>
        <v>0</v>
      </c>
      <c r="L3316" s="2" t="n">
        <f aca="false">IF(I3316="yes",1,0)</f>
        <v>0</v>
      </c>
      <c r="M3316" s="2" t="n">
        <f aca="false">IF(G3316&lt;0,1,0)</f>
        <v>0</v>
      </c>
      <c r="N3316" s="2" t="str">
        <f aca="false">_xlfn.IFS(B3316&lt;30,"Under 30",B3316&lt;40,"30-39",B3316&lt;50,"40-49",B3316&lt;60,"50-59",TRUE(),"60+")</f>
        <v>30-39</v>
      </c>
      <c r="O3316" s="2" t="str">
        <f aca="false">_xlfn.IFS(G3316&lt;0,"1 Negative",G3316=0,"2 Zero",G3316&lt;=500,"3 1-500",G3316&lt;=2000,"4 501-2000",TRUE(),"5 Above 2000")</f>
        <v>4 501-2000</v>
      </c>
      <c r="P3316" s="2" t="n">
        <f aca="false">Lookups!$B$2*M3316+Lookups!$B$3*L3316</f>
        <v>0</v>
      </c>
      <c r="Q3316" s="2" t="str">
        <f aca="false">INDEX(Lookups!$E$2:$E$5,MATCH(P3316,Lookups!$D$2:$D$5,0))</f>
        <v>Low</v>
      </c>
    </row>
    <row r="3317" customFormat="false" ht="15" hidden="false" customHeight="false" outlineLevel="0" collapsed="false">
      <c r="A3317" s="3" t="n">
        <v>3316</v>
      </c>
      <c r="B3317" s="3" t="n">
        <f aca="false">Raw_Data!A3317</f>
        <v>33</v>
      </c>
      <c r="C3317" s="3" t="str">
        <f aca="false">SUBSTITUTE(Raw_Data!B3317,".","")</f>
        <v>admin</v>
      </c>
      <c r="D3317" s="3" t="str">
        <f aca="false">Raw_Data!C3317</f>
        <v>married</v>
      </c>
      <c r="E3317" s="3" t="str">
        <f aca="false">Raw_Data!D3317</f>
        <v>tertiary</v>
      </c>
      <c r="F3317" s="3" t="str">
        <f aca="false">Raw_Data!E3317</f>
        <v>no</v>
      </c>
      <c r="G3317" s="3" t="n">
        <f aca="false">Raw_Data!F3317</f>
        <v>79</v>
      </c>
      <c r="H3317" s="3" t="str">
        <f aca="false">Raw_Data!G3317</f>
        <v>yes</v>
      </c>
      <c r="I3317" s="3" t="str">
        <f aca="false">Raw_Data!H3317</f>
        <v>no</v>
      </c>
      <c r="J3317" s="2" t="n">
        <f aca="false">IF(F3317="yes",1,0)</f>
        <v>0</v>
      </c>
      <c r="K3317" s="2" t="n">
        <f aca="false">IF(H3317="yes",1,0)</f>
        <v>1</v>
      </c>
      <c r="L3317" s="2" t="n">
        <f aca="false">IF(I3317="yes",1,0)</f>
        <v>0</v>
      </c>
      <c r="M3317" s="2" t="n">
        <f aca="false">IF(G3317&lt;0,1,0)</f>
        <v>0</v>
      </c>
      <c r="N3317" s="2" t="str">
        <f aca="false">_xlfn.IFS(B3317&lt;30,"Under 30",B3317&lt;40,"30-39",B3317&lt;50,"40-49",B3317&lt;60,"50-59",TRUE(),"60+")</f>
        <v>30-39</v>
      </c>
      <c r="O3317" s="2" t="str">
        <f aca="false">_xlfn.IFS(G3317&lt;0,"1 Negative",G3317=0,"2 Zero",G3317&lt;=500,"3 1-500",G3317&lt;=2000,"4 501-2000",TRUE(),"5 Above 2000")</f>
        <v>3 1-500</v>
      </c>
      <c r="P3317" s="2" t="n">
        <f aca="false">Lookups!$B$2*M3317+Lookups!$B$3*L3317</f>
        <v>0</v>
      </c>
      <c r="Q3317" s="2" t="str">
        <f aca="false">INDEX(Lookups!$E$2:$E$5,MATCH(P3317,Lookups!$D$2:$D$5,0))</f>
        <v>Low</v>
      </c>
    </row>
    <row r="3318" customFormat="false" ht="15" hidden="false" customHeight="false" outlineLevel="0" collapsed="false">
      <c r="A3318" s="3" t="n">
        <v>3317</v>
      </c>
      <c r="B3318" s="3" t="n">
        <f aca="false">Raw_Data!A3318</f>
        <v>60</v>
      </c>
      <c r="C3318" s="3" t="str">
        <f aca="false">SUBSTITUTE(Raw_Data!B3318,".","")</f>
        <v>admin</v>
      </c>
      <c r="D3318" s="3" t="str">
        <f aca="false">Raw_Data!C3318</f>
        <v>married</v>
      </c>
      <c r="E3318" s="3" t="str">
        <f aca="false">Raw_Data!D3318</f>
        <v>secondary</v>
      </c>
      <c r="F3318" s="3" t="str">
        <f aca="false">Raw_Data!E3318</f>
        <v>no</v>
      </c>
      <c r="G3318" s="3" t="n">
        <f aca="false">Raw_Data!F3318</f>
        <v>3043</v>
      </c>
      <c r="H3318" s="3" t="str">
        <f aca="false">Raw_Data!G3318</f>
        <v>no</v>
      </c>
      <c r="I3318" s="3" t="str">
        <f aca="false">Raw_Data!H3318</f>
        <v>no</v>
      </c>
      <c r="J3318" s="2" t="n">
        <f aca="false">IF(F3318="yes",1,0)</f>
        <v>0</v>
      </c>
      <c r="K3318" s="2" t="n">
        <f aca="false">IF(H3318="yes",1,0)</f>
        <v>0</v>
      </c>
      <c r="L3318" s="2" t="n">
        <f aca="false">IF(I3318="yes",1,0)</f>
        <v>0</v>
      </c>
      <c r="M3318" s="2" t="n">
        <f aca="false">IF(G3318&lt;0,1,0)</f>
        <v>0</v>
      </c>
      <c r="N3318" s="2" t="str">
        <f aca="false">_xlfn.IFS(B3318&lt;30,"Under 30",B3318&lt;40,"30-39",B3318&lt;50,"40-49",B3318&lt;60,"50-59",TRUE(),"60+")</f>
        <v>60+</v>
      </c>
      <c r="O3318" s="2" t="str">
        <f aca="false">_xlfn.IFS(G3318&lt;0,"1 Negative",G3318=0,"2 Zero",G3318&lt;=500,"3 1-500",G3318&lt;=2000,"4 501-2000",TRUE(),"5 Above 2000")</f>
        <v>5 Above 2000</v>
      </c>
      <c r="P3318" s="2" t="n">
        <f aca="false">Lookups!$B$2*M3318+Lookups!$B$3*L3318</f>
        <v>0</v>
      </c>
      <c r="Q3318" s="2" t="str">
        <f aca="false">INDEX(Lookups!$E$2:$E$5,MATCH(P3318,Lookups!$D$2:$D$5,0))</f>
        <v>Low</v>
      </c>
    </row>
    <row r="3319" customFormat="false" ht="15" hidden="false" customHeight="false" outlineLevel="0" collapsed="false">
      <c r="A3319" s="3" t="n">
        <v>3318</v>
      </c>
      <c r="B3319" s="3" t="n">
        <f aca="false">Raw_Data!A3319</f>
        <v>25</v>
      </c>
      <c r="C3319" s="3" t="str">
        <f aca="false">SUBSTITUTE(Raw_Data!B3319,".","")</f>
        <v>management</v>
      </c>
      <c r="D3319" s="3" t="str">
        <f aca="false">Raw_Data!C3319</f>
        <v>single</v>
      </c>
      <c r="E3319" s="3" t="str">
        <f aca="false">Raw_Data!D3319</f>
        <v>tertiary</v>
      </c>
      <c r="F3319" s="3" t="str">
        <f aca="false">Raw_Data!E3319</f>
        <v>no</v>
      </c>
      <c r="G3319" s="3" t="n">
        <f aca="false">Raw_Data!F3319</f>
        <v>808</v>
      </c>
      <c r="H3319" s="3" t="str">
        <f aca="false">Raw_Data!G3319</f>
        <v>no</v>
      </c>
      <c r="I3319" s="3" t="str">
        <f aca="false">Raw_Data!H3319</f>
        <v>no</v>
      </c>
      <c r="J3319" s="2" t="n">
        <f aca="false">IF(F3319="yes",1,0)</f>
        <v>0</v>
      </c>
      <c r="K3319" s="2" t="n">
        <f aca="false">IF(H3319="yes",1,0)</f>
        <v>0</v>
      </c>
      <c r="L3319" s="2" t="n">
        <f aca="false">IF(I3319="yes",1,0)</f>
        <v>0</v>
      </c>
      <c r="M3319" s="2" t="n">
        <f aca="false">IF(G3319&lt;0,1,0)</f>
        <v>0</v>
      </c>
      <c r="N3319" s="2" t="str">
        <f aca="false">_xlfn.IFS(B3319&lt;30,"Under 30",B3319&lt;40,"30-39",B3319&lt;50,"40-49",B3319&lt;60,"50-59",TRUE(),"60+")</f>
        <v>Under 30</v>
      </c>
      <c r="O3319" s="2" t="str">
        <f aca="false">_xlfn.IFS(G3319&lt;0,"1 Negative",G3319=0,"2 Zero",G3319&lt;=500,"3 1-500",G3319&lt;=2000,"4 501-2000",TRUE(),"5 Above 2000")</f>
        <v>4 501-2000</v>
      </c>
      <c r="P3319" s="2" t="n">
        <f aca="false">Lookups!$B$2*M3319+Lookups!$B$3*L3319</f>
        <v>0</v>
      </c>
      <c r="Q3319" s="2" t="str">
        <f aca="false">INDEX(Lookups!$E$2:$E$5,MATCH(P3319,Lookups!$D$2:$D$5,0))</f>
        <v>Low</v>
      </c>
    </row>
    <row r="3320" customFormat="false" ht="15" hidden="false" customHeight="false" outlineLevel="0" collapsed="false">
      <c r="A3320" s="3" t="n">
        <v>3319</v>
      </c>
      <c r="B3320" s="3" t="n">
        <f aca="false">Raw_Data!A3320</f>
        <v>69</v>
      </c>
      <c r="C3320" s="3" t="str">
        <f aca="false">SUBSTITUTE(Raw_Data!B3320,".","")</f>
        <v>retired</v>
      </c>
      <c r="D3320" s="3" t="str">
        <f aca="false">Raw_Data!C3320</f>
        <v>married</v>
      </c>
      <c r="E3320" s="3" t="str">
        <f aca="false">Raw_Data!D3320</f>
        <v>secondary</v>
      </c>
      <c r="F3320" s="3" t="str">
        <f aca="false">Raw_Data!E3320</f>
        <v>no</v>
      </c>
      <c r="G3320" s="3" t="n">
        <f aca="false">Raw_Data!F3320</f>
        <v>745</v>
      </c>
      <c r="H3320" s="3" t="str">
        <f aca="false">Raw_Data!G3320</f>
        <v>no</v>
      </c>
      <c r="I3320" s="3" t="str">
        <f aca="false">Raw_Data!H3320</f>
        <v>no</v>
      </c>
      <c r="J3320" s="2" t="n">
        <f aca="false">IF(F3320="yes",1,0)</f>
        <v>0</v>
      </c>
      <c r="K3320" s="2" t="n">
        <f aca="false">IF(H3320="yes",1,0)</f>
        <v>0</v>
      </c>
      <c r="L3320" s="2" t="n">
        <f aca="false">IF(I3320="yes",1,0)</f>
        <v>0</v>
      </c>
      <c r="M3320" s="2" t="n">
        <f aca="false">IF(G3320&lt;0,1,0)</f>
        <v>0</v>
      </c>
      <c r="N3320" s="2" t="str">
        <f aca="false">_xlfn.IFS(B3320&lt;30,"Under 30",B3320&lt;40,"30-39",B3320&lt;50,"40-49",B3320&lt;60,"50-59",TRUE(),"60+")</f>
        <v>60+</v>
      </c>
      <c r="O3320" s="2" t="str">
        <f aca="false">_xlfn.IFS(G3320&lt;0,"1 Negative",G3320=0,"2 Zero",G3320&lt;=500,"3 1-500",G3320&lt;=2000,"4 501-2000",TRUE(),"5 Above 2000")</f>
        <v>4 501-2000</v>
      </c>
      <c r="P3320" s="2" t="n">
        <f aca="false">Lookups!$B$2*M3320+Lookups!$B$3*L3320</f>
        <v>0</v>
      </c>
      <c r="Q3320" s="2" t="str">
        <f aca="false">INDEX(Lookups!$E$2:$E$5,MATCH(P3320,Lookups!$D$2:$D$5,0))</f>
        <v>Low</v>
      </c>
    </row>
    <row r="3321" customFormat="false" ht="15" hidden="false" customHeight="false" outlineLevel="0" collapsed="false">
      <c r="A3321" s="3" t="n">
        <v>3320</v>
      </c>
      <c r="B3321" s="3" t="n">
        <f aca="false">Raw_Data!A3321</f>
        <v>41</v>
      </c>
      <c r="C3321" s="3" t="str">
        <f aca="false">SUBSTITUTE(Raw_Data!B3321,".","")</f>
        <v>student</v>
      </c>
      <c r="D3321" s="3" t="str">
        <f aca="false">Raw_Data!C3321</f>
        <v>married</v>
      </c>
      <c r="E3321" s="3" t="str">
        <f aca="false">Raw_Data!D3321</f>
        <v>secondary</v>
      </c>
      <c r="F3321" s="3" t="str">
        <f aca="false">Raw_Data!E3321</f>
        <v>no</v>
      </c>
      <c r="G3321" s="3" t="n">
        <f aca="false">Raw_Data!F3321</f>
        <v>1309</v>
      </c>
      <c r="H3321" s="3" t="str">
        <f aca="false">Raw_Data!G3321</f>
        <v>no</v>
      </c>
      <c r="I3321" s="3" t="str">
        <f aca="false">Raw_Data!H3321</f>
        <v>no</v>
      </c>
      <c r="J3321" s="2" t="n">
        <f aca="false">IF(F3321="yes",1,0)</f>
        <v>0</v>
      </c>
      <c r="K3321" s="2" t="n">
        <f aca="false">IF(H3321="yes",1,0)</f>
        <v>0</v>
      </c>
      <c r="L3321" s="2" t="n">
        <f aca="false">IF(I3321="yes",1,0)</f>
        <v>0</v>
      </c>
      <c r="M3321" s="2" t="n">
        <f aca="false">IF(G3321&lt;0,1,0)</f>
        <v>0</v>
      </c>
      <c r="N3321" s="2" t="str">
        <f aca="false">_xlfn.IFS(B3321&lt;30,"Under 30",B3321&lt;40,"30-39",B3321&lt;50,"40-49",B3321&lt;60,"50-59",TRUE(),"60+")</f>
        <v>40-49</v>
      </c>
      <c r="O3321" s="2" t="str">
        <f aca="false">_xlfn.IFS(G3321&lt;0,"1 Negative",G3321=0,"2 Zero",G3321&lt;=500,"3 1-500",G3321&lt;=2000,"4 501-2000",TRUE(),"5 Above 2000")</f>
        <v>4 501-2000</v>
      </c>
      <c r="P3321" s="2" t="n">
        <f aca="false">Lookups!$B$2*M3321+Lookups!$B$3*L3321</f>
        <v>0</v>
      </c>
      <c r="Q3321" s="2" t="str">
        <f aca="false">INDEX(Lookups!$E$2:$E$5,MATCH(P3321,Lookups!$D$2:$D$5,0))</f>
        <v>Low</v>
      </c>
    </row>
    <row r="3322" customFormat="false" ht="15" hidden="false" customHeight="false" outlineLevel="0" collapsed="false">
      <c r="A3322" s="3" t="n">
        <v>3321</v>
      </c>
      <c r="B3322" s="3" t="n">
        <f aca="false">Raw_Data!A3322</f>
        <v>48</v>
      </c>
      <c r="C3322" s="3" t="str">
        <f aca="false">SUBSTITUTE(Raw_Data!B3322,".","")</f>
        <v>management</v>
      </c>
      <c r="D3322" s="3" t="str">
        <f aca="false">Raw_Data!C3322</f>
        <v>single</v>
      </c>
      <c r="E3322" s="3" t="str">
        <f aca="false">Raw_Data!D3322</f>
        <v>secondary</v>
      </c>
      <c r="F3322" s="3" t="str">
        <f aca="false">Raw_Data!E3322</f>
        <v>no</v>
      </c>
      <c r="G3322" s="3" t="n">
        <f aca="false">Raw_Data!F3322</f>
        <v>290</v>
      </c>
      <c r="H3322" s="3" t="str">
        <f aca="false">Raw_Data!G3322</f>
        <v>yes</v>
      </c>
      <c r="I3322" s="3" t="str">
        <f aca="false">Raw_Data!H3322</f>
        <v>no</v>
      </c>
      <c r="J3322" s="2" t="n">
        <f aca="false">IF(F3322="yes",1,0)</f>
        <v>0</v>
      </c>
      <c r="K3322" s="2" t="n">
        <f aca="false">IF(H3322="yes",1,0)</f>
        <v>1</v>
      </c>
      <c r="L3322" s="2" t="n">
        <f aca="false">IF(I3322="yes",1,0)</f>
        <v>0</v>
      </c>
      <c r="M3322" s="2" t="n">
        <f aca="false">IF(G3322&lt;0,1,0)</f>
        <v>0</v>
      </c>
      <c r="N3322" s="2" t="str">
        <f aca="false">_xlfn.IFS(B3322&lt;30,"Under 30",B3322&lt;40,"30-39",B3322&lt;50,"40-49",B3322&lt;60,"50-59",TRUE(),"60+")</f>
        <v>40-49</v>
      </c>
      <c r="O3322" s="2" t="str">
        <f aca="false">_xlfn.IFS(G3322&lt;0,"1 Negative",G3322=0,"2 Zero",G3322&lt;=500,"3 1-500",G3322&lt;=2000,"4 501-2000",TRUE(),"5 Above 2000")</f>
        <v>3 1-500</v>
      </c>
      <c r="P3322" s="2" t="n">
        <f aca="false">Lookups!$B$2*M3322+Lookups!$B$3*L3322</f>
        <v>0</v>
      </c>
      <c r="Q3322" s="2" t="str">
        <f aca="false">INDEX(Lookups!$E$2:$E$5,MATCH(P3322,Lookups!$D$2:$D$5,0))</f>
        <v>Low</v>
      </c>
    </row>
    <row r="3323" customFormat="false" ht="15" hidden="false" customHeight="false" outlineLevel="0" collapsed="false">
      <c r="A3323" s="3" t="n">
        <v>3322</v>
      </c>
      <c r="B3323" s="3" t="n">
        <f aca="false">Raw_Data!A3323</f>
        <v>35</v>
      </c>
      <c r="C3323" s="3" t="str">
        <f aca="false">SUBSTITUTE(Raw_Data!B3323,".","")</f>
        <v>blue-collar</v>
      </c>
      <c r="D3323" s="3" t="str">
        <f aca="false">Raw_Data!C3323</f>
        <v>divorced</v>
      </c>
      <c r="E3323" s="3" t="str">
        <f aca="false">Raw_Data!D3323</f>
        <v>primary</v>
      </c>
      <c r="F3323" s="3" t="str">
        <f aca="false">Raw_Data!E3323</f>
        <v>no</v>
      </c>
      <c r="G3323" s="3" t="n">
        <f aca="false">Raw_Data!F3323</f>
        <v>1792</v>
      </c>
      <c r="H3323" s="3" t="str">
        <f aca="false">Raw_Data!G3323</f>
        <v>yes</v>
      </c>
      <c r="I3323" s="3" t="str">
        <f aca="false">Raw_Data!H3323</f>
        <v>no</v>
      </c>
      <c r="J3323" s="2" t="n">
        <f aca="false">IF(F3323="yes",1,0)</f>
        <v>0</v>
      </c>
      <c r="K3323" s="2" t="n">
        <f aca="false">IF(H3323="yes",1,0)</f>
        <v>1</v>
      </c>
      <c r="L3323" s="2" t="n">
        <f aca="false">IF(I3323="yes",1,0)</f>
        <v>0</v>
      </c>
      <c r="M3323" s="2" t="n">
        <f aca="false">IF(G3323&lt;0,1,0)</f>
        <v>0</v>
      </c>
      <c r="N3323" s="2" t="str">
        <f aca="false">_xlfn.IFS(B3323&lt;30,"Under 30",B3323&lt;40,"30-39",B3323&lt;50,"40-49",B3323&lt;60,"50-59",TRUE(),"60+")</f>
        <v>30-39</v>
      </c>
      <c r="O3323" s="2" t="str">
        <f aca="false">_xlfn.IFS(G3323&lt;0,"1 Negative",G3323=0,"2 Zero",G3323&lt;=500,"3 1-500",G3323&lt;=2000,"4 501-2000",TRUE(),"5 Above 2000")</f>
        <v>4 501-2000</v>
      </c>
      <c r="P3323" s="2" t="n">
        <f aca="false">Lookups!$B$2*M3323+Lookups!$B$3*L3323</f>
        <v>0</v>
      </c>
      <c r="Q3323" s="2" t="str">
        <f aca="false">INDEX(Lookups!$E$2:$E$5,MATCH(P3323,Lookups!$D$2:$D$5,0))</f>
        <v>Low</v>
      </c>
    </row>
    <row r="3324" customFormat="false" ht="15" hidden="false" customHeight="false" outlineLevel="0" collapsed="false">
      <c r="A3324" s="3" t="n">
        <v>3323</v>
      </c>
      <c r="B3324" s="3" t="n">
        <f aca="false">Raw_Data!A3324</f>
        <v>30</v>
      </c>
      <c r="C3324" s="3" t="str">
        <f aca="false">SUBSTITUTE(Raw_Data!B3324,".","")</f>
        <v>blue-collar</v>
      </c>
      <c r="D3324" s="3" t="str">
        <f aca="false">Raw_Data!C3324</f>
        <v>single</v>
      </c>
      <c r="E3324" s="3" t="str">
        <f aca="false">Raw_Data!D3324</f>
        <v>secondary</v>
      </c>
      <c r="F3324" s="3" t="str">
        <f aca="false">Raw_Data!E3324</f>
        <v>no</v>
      </c>
      <c r="G3324" s="3" t="n">
        <f aca="false">Raw_Data!F3324</f>
        <v>178</v>
      </c>
      <c r="H3324" s="3" t="str">
        <f aca="false">Raw_Data!G3324</f>
        <v>yes</v>
      </c>
      <c r="I3324" s="3" t="str">
        <f aca="false">Raw_Data!H3324</f>
        <v>no</v>
      </c>
      <c r="J3324" s="2" t="n">
        <f aca="false">IF(F3324="yes",1,0)</f>
        <v>0</v>
      </c>
      <c r="K3324" s="2" t="n">
        <f aca="false">IF(H3324="yes",1,0)</f>
        <v>1</v>
      </c>
      <c r="L3324" s="2" t="n">
        <f aca="false">IF(I3324="yes",1,0)</f>
        <v>0</v>
      </c>
      <c r="M3324" s="2" t="n">
        <f aca="false">IF(G3324&lt;0,1,0)</f>
        <v>0</v>
      </c>
      <c r="N3324" s="2" t="str">
        <f aca="false">_xlfn.IFS(B3324&lt;30,"Under 30",B3324&lt;40,"30-39",B3324&lt;50,"40-49",B3324&lt;60,"50-59",TRUE(),"60+")</f>
        <v>30-39</v>
      </c>
      <c r="O3324" s="2" t="str">
        <f aca="false">_xlfn.IFS(G3324&lt;0,"1 Negative",G3324=0,"2 Zero",G3324&lt;=500,"3 1-500",G3324&lt;=2000,"4 501-2000",TRUE(),"5 Above 2000")</f>
        <v>3 1-500</v>
      </c>
      <c r="P3324" s="2" t="n">
        <f aca="false">Lookups!$B$2*M3324+Lookups!$B$3*L3324</f>
        <v>0</v>
      </c>
      <c r="Q3324" s="2" t="str">
        <f aca="false">INDEX(Lookups!$E$2:$E$5,MATCH(P3324,Lookups!$D$2:$D$5,0))</f>
        <v>Low</v>
      </c>
    </row>
    <row r="3325" customFormat="false" ht="15" hidden="false" customHeight="false" outlineLevel="0" collapsed="false">
      <c r="A3325" s="3" t="n">
        <v>3324</v>
      </c>
      <c r="B3325" s="3" t="n">
        <f aca="false">Raw_Data!A3325</f>
        <v>59</v>
      </c>
      <c r="C3325" s="3" t="str">
        <f aca="false">SUBSTITUTE(Raw_Data!B3325,".","")</f>
        <v>management</v>
      </c>
      <c r="D3325" s="3" t="str">
        <f aca="false">Raw_Data!C3325</f>
        <v>married</v>
      </c>
      <c r="E3325" s="3" t="str">
        <f aca="false">Raw_Data!D3325</f>
        <v>tertiary</v>
      </c>
      <c r="F3325" s="3" t="str">
        <f aca="false">Raw_Data!E3325</f>
        <v>no</v>
      </c>
      <c r="G3325" s="3" t="n">
        <f aca="false">Raw_Data!F3325</f>
        <v>0</v>
      </c>
      <c r="H3325" s="3" t="str">
        <f aca="false">Raw_Data!G3325</f>
        <v>no</v>
      </c>
      <c r="I3325" s="3" t="str">
        <f aca="false">Raw_Data!H3325</f>
        <v>no</v>
      </c>
      <c r="J3325" s="2" t="n">
        <f aca="false">IF(F3325="yes",1,0)</f>
        <v>0</v>
      </c>
      <c r="K3325" s="2" t="n">
        <f aca="false">IF(H3325="yes",1,0)</f>
        <v>0</v>
      </c>
      <c r="L3325" s="2" t="n">
        <f aca="false">IF(I3325="yes",1,0)</f>
        <v>0</v>
      </c>
      <c r="M3325" s="2" t="n">
        <f aca="false">IF(G3325&lt;0,1,0)</f>
        <v>0</v>
      </c>
      <c r="N3325" s="2" t="str">
        <f aca="false">_xlfn.IFS(B3325&lt;30,"Under 30",B3325&lt;40,"30-39",B3325&lt;50,"40-49",B3325&lt;60,"50-59",TRUE(),"60+")</f>
        <v>50-59</v>
      </c>
      <c r="O3325" s="2" t="str">
        <f aca="false">_xlfn.IFS(G3325&lt;0,"1 Negative",G3325=0,"2 Zero",G3325&lt;=500,"3 1-500",G3325&lt;=2000,"4 501-2000",TRUE(),"5 Above 2000")</f>
        <v>2 Zero</v>
      </c>
      <c r="P3325" s="2" t="n">
        <f aca="false">Lookups!$B$2*M3325+Lookups!$B$3*L3325</f>
        <v>0</v>
      </c>
      <c r="Q3325" s="2" t="str">
        <f aca="false">INDEX(Lookups!$E$2:$E$5,MATCH(P3325,Lookups!$D$2:$D$5,0))</f>
        <v>Low</v>
      </c>
    </row>
    <row r="3326" customFormat="false" ht="15" hidden="false" customHeight="false" outlineLevel="0" collapsed="false">
      <c r="A3326" s="3" t="n">
        <v>3325</v>
      </c>
      <c r="B3326" s="3" t="n">
        <f aca="false">Raw_Data!A3326</f>
        <v>32</v>
      </c>
      <c r="C3326" s="3" t="str">
        <f aca="false">SUBSTITUTE(Raw_Data!B3326,".","")</f>
        <v>management</v>
      </c>
      <c r="D3326" s="3" t="str">
        <f aca="false">Raw_Data!C3326</f>
        <v>single</v>
      </c>
      <c r="E3326" s="3" t="str">
        <f aca="false">Raw_Data!D3326</f>
        <v>tertiary</v>
      </c>
      <c r="F3326" s="3" t="str">
        <f aca="false">Raw_Data!E3326</f>
        <v>no</v>
      </c>
      <c r="G3326" s="3" t="n">
        <f aca="false">Raw_Data!F3326</f>
        <v>537</v>
      </c>
      <c r="H3326" s="3" t="str">
        <f aca="false">Raw_Data!G3326</f>
        <v>no</v>
      </c>
      <c r="I3326" s="3" t="str">
        <f aca="false">Raw_Data!H3326</f>
        <v>no</v>
      </c>
      <c r="J3326" s="2" t="n">
        <f aca="false">IF(F3326="yes",1,0)</f>
        <v>0</v>
      </c>
      <c r="K3326" s="2" t="n">
        <f aca="false">IF(H3326="yes",1,0)</f>
        <v>0</v>
      </c>
      <c r="L3326" s="2" t="n">
        <f aca="false">IF(I3326="yes",1,0)</f>
        <v>0</v>
      </c>
      <c r="M3326" s="2" t="n">
        <f aca="false">IF(G3326&lt;0,1,0)</f>
        <v>0</v>
      </c>
      <c r="N3326" s="2" t="str">
        <f aca="false">_xlfn.IFS(B3326&lt;30,"Under 30",B3326&lt;40,"30-39",B3326&lt;50,"40-49",B3326&lt;60,"50-59",TRUE(),"60+")</f>
        <v>30-39</v>
      </c>
      <c r="O3326" s="2" t="str">
        <f aca="false">_xlfn.IFS(G3326&lt;0,"1 Negative",G3326=0,"2 Zero",G3326&lt;=500,"3 1-500",G3326&lt;=2000,"4 501-2000",TRUE(),"5 Above 2000")</f>
        <v>4 501-2000</v>
      </c>
      <c r="P3326" s="2" t="n">
        <f aca="false">Lookups!$B$2*M3326+Lookups!$B$3*L3326</f>
        <v>0</v>
      </c>
      <c r="Q3326" s="2" t="str">
        <f aca="false">INDEX(Lookups!$E$2:$E$5,MATCH(P3326,Lookups!$D$2:$D$5,0))</f>
        <v>Low</v>
      </c>
    </row>
    <row r="3327" customFormat="false" ht="15" hidden="false" customHeight="false" outlineLevel="0" collapsed="false">
      <c r="A3327" s="3" t="n">
        <v>3326</v>
      </c>
      <c r="B3327" s="3" t="n">
        <f aca="false">Raw_Data!A3327</f>
        <v>28</v>
      </c>
      <c r="C3327" s="3" t="str">
        <f aca="false">SUBSTITUTE(Raw_Data!B3327,".","")</f>
        <v>blue-collar</v>
      </c>
      <c r="D3327" s="3" t="str">
        <f aca="false">Raw_Data!C3327</f>
        <v>single</v>
      </c>
      <c r="E3327" s="3" t="str">
        <f aca="false">Raw_Data!D3327</f>
        <v>secondary</v>
      </c>
      <c r="F3327" s="3" t="str">
        <f aca="false">Raw_Data!E3327</f>
        <v>no</v>
      </c>
      <c r="G3327" s="3" t="n">
        <f aca="false">Raw_Data!F3327</f>
        <v>416</v>
      </c>
      <c r="H3327" s="3" t="str">
        <f aca="false">Raw_Data!G3327</f>
        <v>yes</v>
      </c>
      <c r="I3327" s="3" t="str">
        <f aca="false">Raw_Data!H3327</f>
        <v>no</v>
      </c>
      <c r="J3327" s="2" t="n">
        <f aca="false">IF(F3327="yes",1,0)</f>
        <v>0</v>
      </c>
      <c r="K3327" s="2" t="n">
        <f aca="false">IF(H3327="yes",1,0)</f>
        <v>1</v>
      </c>
      <c r="L3327" s="2" t="n">
        <f aca="false">IF(I3327="yes",1,0)</f>
        <v>0</v>
      </c>
      <c r="M3327" s="2" t="n">
        <f aca="false">IF(G3327&lt;0,1,0)</f>
        <v>0</v>
      </c>
      <c r="N3327" s="2" t="str">
        <f aca="false">_xlfn.IFS(B3327&lt;30,"Under 30",B3327&lt;40,"30-39",B3327&lt;50,"40-49",B3327&lt;60,"50-59",TRUE(),"60+")</f>
        <v>Under 30</v>
      </c>
      <c r="O3327" s="2" t="str">
        <f aca="false">_xlfn.IFS(G3327&lt;0,"1 Negative",G3327=0,"2 Zero",G3327&lt;=500,"3 1-500",G3327&lt;=2000,"4 501-2000",TRUE(),"5 Above 2000")</f>
        <v>3 1-500</v>
      </c>
      <c r="P3327" s="2" t="n">
        <f aca="false">Lookups!$B$2*M3327+Lookups!$B$3*L3327</f>
        <v>0</v>
      </c>
      <c r="Q3327" s="2" t="str">
        <f aca="false">INDEX(Lookups!$E$2:$E$5,MATCH(P3327,Lookups!$D$2:$D$5,0))</f>
        <v>Low</v>
      </c>
    </row>
    <row r="3328" customFormat="false" ht="15" hidden="false" customHeight="false" outlineLevel="0" collapsed="false">
      <c r="A3328" s="3" t="n">
        <v>3327</v>
      </c>
      <c r="B3328" s="3" t="n">
        <f aca="false">Raw_Data!A3328</f>
        <v>60</v>
      </c>
      <c r="C3328" s="3" t="str">
        <f aca="false">SUBSTITUTE(Raw_Data!B3328,".","")</f>
        <v>blue-collar</v>
      </c>
      <c r="D3328" s="3" t="str">
        <f aca="false">Raw_Data!C3328</f>
        <v>married</v>
      </c>
      <c r="E3328" s="3" t="str">
        <f aca="false">Raw_Data!D3328</f>
        <v>primary</v>
      </c>
      <c r="F3328" s="3" t="str">
        <f aca="false">Raw_Data!E3328</f>
        <v>no</v>
      </c>
      <c r="G3328" s="3" t="n">
        <f aca="false">Raw_Data!F3328</f>
        <v>1472</v>
      </c>
      <c r="H3328" s="3" t="str">
        <f aca="false">Raw_Data!G3328</f>
        <v>no</v>
      </c>
      <c r="I3328" s="3" t="str">
        <f aca="false">Raw_Data!H3328</f>
        <v>no</v>
      </c>
      <c r="J3328" s="2" t="n">
        <f aca="false">IF(F3328="yes",1,0)</f>
        <v>0</v>
      </c>
      <c r="K3328" s="2" t="n">
        <f aca="false">IF(H3328="yes",1,0)</f>
        <v>0</v>
      </c>
      <c r="L3328" s="2" t="n">
        <f aca="false">IF(I3328="yes",1,0)</f>
        <v>0</v>
      </c>
      <c r="M3328" s="2" t="n">
        <f aca="false">IF(G3328&lt;0,1,0)</f>
        <v>0</v>
      </c>
      <c r="N3328" s="2" t="str">
        <f aca="false">_xlfn.IFS(B3328&lt;30,"Under 30",B3328&lt;40,"30-39",B3328&lt;50,"40-49",B3328&lt;60,"50-59",TRUE(),"60+")</f>
        <v>60+</v>
      </c>
      <c r="O3328" s="2" t="str">
        <f aca="false">_xlfn.IFS(G3328&lt;0,"1 Negative",G3328=0,"2 Zero",G3328&lt;=500,"3 1-500",G3328&lt;=2000,"4 501-2000",TRUE(),"5 Above 2000")</f>
        <v>4 501-2000</v>
      </c>
      <c r="P3328" s="2" t="n">
        <f aca="false">Lookups!$B$2*M3328+Lookups!$B$3*L3328</f>
        <v>0</v>
      </c>
      <c r="Q3328" s="2" t="str">
        <f aca="false">INDEX(Lookups!$E$2:$E$5,MATCH(P3328,Lookups!$D$2:$D$5,0))</f>
        <v>Low</v>
      </c>
    </row>
    <row r="3329" customFormat="false" ht="15" hidden="false" customHeight="false" outlineLevel="0" collapsed="false">
      <c r="A3329" s="3" t="n">
        <v>3328</v>
      </c>
      <c r="B3329" s="3" t="n">
        <f aca="false">Raw_Data!A3329</f>
        <v>36</v>
      </c>
      <c r="C3329" s="3" t="str">
        <f aca="false">SUBSTITUTE(Raw_Data!B3329,".","")</f>
        <v>management</v>
      </c>
      <c r="D3329" s="3" t="str">
        <f aca="false">Raw_Data!C3329</f>
        <v>married</v>
      </c>
      <c r="E3329" s="3" t="str">
        <f aca="false">Raw_Data!D3329</f>
        <v>primary</v>
      </c>
      <c r="F3329" s="3" t="str">
        <f aca="false">Raw_Data!E3329</f>
        <v>no</v>
      </c>
      <c r="G3329" s="3" t="n">
        <f aca="false">Raw_Data!F3329</f>
        <v>3953</v>
      </c>
      <c r="H3329" s="3" t="str">
        <f aca="false">Raw_Data!G3329</f>
        <v>yes</v>
      </c>
      <c r="I3329" s="3" t="str">
        <f aca="false">Raw_Data!H3329</f>
        <v>no</v>
      </c>
      <c r="J3329" s="2" t="n">
        <f aca="false">IF(F3329="yes",1,0)</f>
        <v>0</v>
      </c>
      <c r="K3329" s="2" t="n">
        <f aca="false">IF(H3329="yes",1,0)</f>
        <v>1</v>
      </c>
      <c r="L3329" s="2" t="n">
        <f aca="false">IF(I3329="yes",1,0)</f>
        <v>0</v>
      </c>
      <c r="M3329" s="2" t="n">
        <f aca="false">IF(G3329&lt;0,1,0)</f>
        <v>0</v>
      </c>
      <c r="N3329" s="2" t="str">
        <f aca="false">_xlfn.IFS(B3329&lt;30,"Under 30",B3329&lt;40,"30-39",B3329&lt;50,"40-49",B3329&lt;60,"50-59",TRUE(),"60+")</f>
        <v>30-39</v>
      </c>
      <c r="O3329" s="2" t="str">
        <f aca="false">_xlfn.IFS(G3329&lt;0,"1 Negative",G3329=0,"2 Zero",G3329&lt;=500,"3 1-500",G3329&lt;=2000,"4 501-2000",TRUE(),"5 Above 2000")</f>
        <v>5 Above 2000</v>
      </c>
      <c r="P3329" s="2" t="n">
        <f aca="false">Lookups!$B$2*M3329+Lookups!$B$3*L3329</f>
        <v>0</v>
      </c>
      <c r="Q3329" s="2" t="str">
        <f aca="false">INDEX(Lookups!$E$2:$E$5,MATCH(P3329,Lookups!$D$2:$D$5,0))</f>
        <v>Low</v>
      </c>
    </row>
    <row r="3330" customFormat="false" ht="15" hidden="false" customHeight="false" outlineLevel="0" collapsed="false">
      <c r="A3330" s="3" t="n">
        <v>3329</v>
      </c>
      <c r="B3330" s="3" t="n">
        <f aca="false">Raw_Data!A3330</f>
        <v>32</v>
      </c>
      <c r="C3330" s="3" t="str">
        <f aca="false">SUBSTITUTE(Raw_Data!B3330,".","")</f>
        <v>management</v>
      </c>
      <c r="D3330" s="3" t="str">
        <f aca="false">Raw_Data!C3330</f>
        <v>single</v>
      </c>
      <c r="E3330" s="3" t="str">
        <f aca="false">Raw_Data!D3330</f>
        <v>tertiary</v>
      </c>
      <c r="F3330" s="3" t="str">
        <f aca="false">Raw_Data!E3330</f>
        <v>no</v>
      </c>
      <c r="G3330" s="3" t="n">
        <f aca="false">Raw_Data!F3330</f>
        <v>112</v>
      </c>
      <c r="H3330" s="3" t="str">
        <f aca="false">Raw_Data!G3330</f>
        <v>yes</v>
      </c>
      <c r="I3330" s="3" t="str">
        <f aca="false">Raw_Data!H3330</f>
        <v>no</v>
      </c>
      <c r="J3330" s="2" t="n">
        <f aca="false">IF(F3330="yes",1,0)</f>
        <v>0</v>
      </c>
      <c r="K3330" s="2" t="n">
        <f aca="false">IF(H3330="yes",1,0)</f>
        <v>1</v>
      </c>
      <c r="L3330" s="2" t="n">
        <f aca="false">IF(I3330="yes",1,0)</f>
        <v>0</v>
      </c>
      <c r="M3330" s="2" t="n">
        <f aca="false">IF(G3330&lt;0,1,0)</f>
        <v>0</v>
      </c>
      <c r="N3330" s="2" t="str">
        <f aca="false">_xlfn.IFS(B3330&lt;30,"Under 30",B3330&lt;40,"30-39",B3330&lt;50,"40-49",B3330&lt;60,"50-59",TRUE(),"60+")</f>
        <v>30-39</v>
      </c>
      <c r="O3330" s="2" t="str">
        <f aca="false">_xlfn.IFS(G3330&lt;0,"1 Negative",G3330=0,"2 Zero",G3330&lt;=500,"3 1-500",G3330&lt;=2000,"4 501-2000",TRUE(),"5 Above 2000")</f>
        <v>3 1-500</v>
      </c>
      <c r="P3330" s="2" t="n">
        <f aca="false">Lookups!$B$2*M3330+Lookups!$B$3*L3330</f>
        <v>0</v>
      </c>
      <c r="Q3330" s="2" t="str">
        <f aca="false">INDEX(Lookups!$E$2:$E$5,MATCH(P3330,Lookups!$D$2:$D$5,0))</f>
        <v>Low</v>
      </c>
    </row>
    <row r="3331" customFormat="false" ht="15" hidden="false" customHeight="false" outlineLevel="0" collapsed="false">
      <c r="A3331" s="3" t="n">
        <v>3330</v>
      </c>
      <c r="B3331" s="3" t="n">
        <f aca="false">Raw_Data!A3331</f>
        <v>34</v>
      </c>
      <c r="C3331" s="3" t="str">
        <f aca="false">SUBSTITUTE(Raw_Data!B3331,".","")</f>
        <v>management</v>
      </c>
      <c r="D3331" s="3" t="str">
        <f aca="false">Raw_Data!C3331</f>
        <v>divorced</v>
      </c>
      <c r="E3331" s="3" t="str">
        <f aca="false">Raw_Data!D3331</f>
        <v>tertiary</v>
      </c>
      <c r="F3331" s="3" t="str">
        <f aca="false">Raw_Data!E3331</f>
        <v>no</v>
      </c>
      <c r="G3331" s="3" t="n">
        <f aca="false">Raw_Data!F3331</f>
        <v>13204</v>
      </c>
      <c r="H3331" s="3" t="str">
        <f aca="false">Raw_Data!G3331</f>
        <v>yes</v>
      </c>
      <c r="I3331" s="3" t="str">
        <f aca="false">Raw_Data!H3331</f>
        <v>yes</v>
      </c>
      <c r="J3331" s="2" t="n">
        <f aca="false">IF(F3331="yes",1,0)</f>
        <v>0</v>
      </c>
      <c r="K3331" s="2" t="n">
        <f aca="false">IF(H3331="yes",1,0)</f>
        <v>1</v>
      </c>
      <c r="L3331" s="2" t="n">
        <f aca="false">IF(I3331="yes",1,0)</f>
        <v>1</v>
      </c>
      <c r="M3331" s="2" t="n">
        <f aca="false">IF(G3331&lt;0,1,0)</f>
        <v>0</v>
      </c>
      <c r="N3331" s="2" t="str">
        <f aca="false">_xlfn.IFS(B3331&lt;30,"Under 30",B3331&lt;40,"30-39",B3331&lt;50,"40-49",B3331&lt;60,"50-59",TRUE(),"60+")</f>
        <v>30-39</v>
      </c>
      <c r="O3331" s="2" t="str">
        <f aca="false">_xlfn.IFS(G3331&lt;0,"1 Negative",G3331=0,"2 Zero",G3331&lt;=500,"3 1-500",G3331&lt;=2000,"4 501-2000",TRUE(),"5 Above 2000")</f>
        <v>5 Above 2000</v>
      </c>
      <c r="P3331" s="2" t="n">
        <f aca="false">Lookups!$B$2*M3331+Lookups!$B$3*L3331</f>
        <v>1</v>
      </c>
      <c r="Q3331" s="2" t="str">
        <f aca="false">INDEX(Lookups!$E$2:$E$5,MATCH(P3331,Lookups!$D$2:$D$5,0))</f>
        <v>Medium</v>
      </c>
    </row>
    <row r="3332" customFormat="false" ht="15" hidden="false" customHeight="false" outlineLevel="0" collapsed="false">
      <c r="A3332" s="3" t="n">
        <v>3331</v>
      </c>
      <c r="B3332" s="3" t="n">
        <f aca="false">Raw_Data!A3332</f>
        <v>58</v>
      </c>
      <c r="C3332" s="3" t="str">
        <f aca="false">SUBSTITUTE(Raw_Data!B3332,".","")</f>
        <v>blue-collar</v>
      </c>
      <c r="D3332" s="3" t="str">
        <f aca="false">Raw_Data!C3332</f>
        <v>married</v>
      </c>
      <c r="E3332" s="3" t="str">
        <f aca="false">Raw_Data!D3332</f>
        <v>secondary</v>
      </c>
      <c r="F3332" s="3" t="str">
        <f aca="false">Raw_Data!E3332</f>
        <v>no</v>
      </c>
      <c r="G3332" s="3" t="n">
        <f aca="false">Raw_Data!F3332</f>
        <v>0</v>
      </c>
      <c r="H3332" s="3" t="str">
        <f aca="false">Raw_Data!G3332</f>
        <v>no</v>
      </c>
      <c r="I3332" s="3" t="str">
        <f aca="false">Raw_Data!H3332</f>
        <v>yes</v>
      </c>
      <c r="J3332" s="2" t="n">
        <f aca="false">IF(F3332="yes",1,0)</f>
        <v>0</v>
      </c>
      <c r="K3332" s="2" t="n">
        <f aca="false">IF(H3332="yes",1,0)</f>
        <v>0</v>
      </c>
      <c r="L3332" s="2" t="n">
        <f aca="false">IF(I3332="yes",1,0)</f>
        <v>1</v>
      </c>
      <c r="M3332" s="2" t="n">
        <f aca="false">IF(G3332&lt;0,1,0)</f>
        <v>0</v>
      </c>
      <c r="N3332" s="2" t="str">
        <f aca="false">_xlfn.IFS(B3332&lt;30,"Under 30",B3332&lt;40,"30-39",B3332&lt;50,"40-49",B3332&lt;60,"50-59",TRUE(),"60+")</f>
        <v>50-59</v>
      </c>
      <c r="O3332" s="2" t="str">
        <f aca="false">_xlfn.IFS(G3332&lt;0,"1 Negative",G3332=0,"2 Zero",G3332&lt;=500,"3 1-500",G3332&lt;=2000,"4 501-2000",TRUE(),"5 Above 2000")</f>
        <v>2 Zero</v>
      </c>
      <c r="P3332" s="2" t="n">
        <f aca="false">Lookups!$B$2*M3332+Lookups!$B$3*L3332</f>
        <v>1</v>
      </c>
      <c r="Q3332" s="2" t="str">
        <f aca="false">INDEX(Lookups!$E$2:$E$5,MATCH(P3332,Lookups!$D$2:$D$5,0))</f>
        <v>Medium</v>
      </c>
    </row>
    <row r="3333" customFormat="false" ht="15" hidden="false" customHeight="false" outlineLevel="0" collapsed="false">
      <c r="A3333" s="3" t="n">
        <v>3332</v>
      </c>
      <c r="B3333" s="3" t="n">
        <f aca="false">Raw_Data!A3333</f>
        <v>53</v>
      </c>
      <c r="C3333" s="3" t="str">
        <f aca="false">SUBSTITUTE(Raw_Data!B3333,".","")</f>
        <v>management</v>
      </c>
      <c r="D3333" s="3" t="str">
        <f aca="false">Raw_Data!C3333</f>
        <v>married</v>
      </c>
      <c r="E3333" s="3" t="str">
        <f aca="false">Raw_Data!D3333</f>
        <v>unknown</v>
      </c>
      <c r="F3333" s="3" t="str">
        <f aca="false">Raw_Data!E3333</f>
        <v>no</v>
      </c>
      <c r="G3333" s="3" t="n">
        <f aca="false">Raw_Data!F3333</f>
        <v>2240</v>
      </c>
      <c r="H3333" s="3" t="str">
        <f aca="false">Raw_Data!G3333</f>
        <v>yes</v>
      </c>
      <c r="I3333" s="3" t="str">
        <f aca="false">Raw_Data!H3333</f>
        <v>no</v>
      </c>
      <c r="J3333" s="2" t="n">
        <f aca="false">IF(F3333="yes",1,0)</f>
        <v>0</v>
      </c>
      <c r="K3333" s="2" t="n">
        <f aca="false">IF(H3333="yes",1,0)</f>
        <v>1</v>
      </c>
      <c r="L3333" s="2" t="n">
        <f aca="false">IF(I3333="yes",1,0)</f>
        <v>0</v>
      </c>
      <c r="M3333" s="2" t="n">
        <f aca="false">IF(G3333&lt;0,1,0)</f>
        <v>0</v>
      </c>
      <c r="N3333" s="2" t="str">
        <f aca="false">_xlfn.IFS(B3333&lt;30,"Under 30",B3333&lt;40,"30-39",B3333&lt;50,"40-49",B3333&lt;60,"50-59",TRUE(),"60+")</f>
        <v>50-59</v>
      </c>
      <c r="O3333" s="2" t="str">
        <f aca="false">_xlfn.IFS(G3333&lt;0,"1 Negative",G3333=0,"2 Zero",G3333&lt;=500,"3 1-500",G3333&lt;=2000,"4 501-2000",TRUE(),"5 Above 2000")</f>
        <v>5 Above 2000</v>
      </c>
      <c r="P3333" s="2" t="n">
        <f aca="false">Lookups!$B$2*M3333+Lookups!$B$3*L3333</f>
        <v>0</v>
      </c>
      <c r="Q3333" s="2" t="str">
        <f aca="false">INDEX(Lookups!$E$2:$E$5,MATCH(P3333,Lookups!$D$2:$D$5,0))</f>
        <v>Low</v>
      </c>
    </row>
    <row r="3334" customFormat="false" ht="15" hidden="false" customHeight="false" outlineLevel="0" collapsed="false">
      <c r="A3334" s="3" t="n">
        <v>3333</v>
      </c>
      <c r="B3334" s="3" t="n">
        <f aca="false">Raw_Data!A3334</f>
        <v>31</v>
      </c>
      <c r="C3334" s="3" t="str">
        <f aca="false">SUBSTITUTE(Raw_Data!B3334,".","")</f>
        <v>management</v>
      </c>
      <c r="D3334" s="3" t="str">
        <f aca="false">Raw_Data!C3334</f>
        <v>married</v>
      </c>
      <c r="E3334" s="3" t="str">
        <f aca="false">Raw_Data!D3334</f>
        <v>tertiary</v>
      </c>
      <c r="F3334" s="3" t="str">
        <f aca="false">Raw_Data!E3334</f>
        <v>no</v>
      </c>
      <c r="G3334" s="3" t="n">
        <f aca="false">Raw_Data!F3334</f>
        <v>22546</v>
      </c>
      <c r="H3334" s="3" t="str">
        <f aca="false">Raw_Data!G3334</f>
        <v>yes</v>
      </c>
      <c r="I3334" s="3" t="str">
        <f aca="false">Raw_Data!H3334</f>
        <v>no</v>
      </c>
      <c r="J3334" s="2" t="n">
        <f aca="false">IF(F3334="yes",1,0)</f>
        <v>0</v>
      </c>
      <c r="K3334" s="2" t="n">
        <f aca="false">IF(H3334="yes",1,0)</f>
        <v>1</v>
      </c>
      <c r="L3334" s="2" t="n">
        <f aca="false">IF(I3334="yes",1,0)</f>
        <v>0</v>
      </c>
      <c r="M3334" s="2" t="n">
        <f aca="false">IF(G3334&lt;0,1,0)</f>
        <v>0</v>
      </c>
      <c r="N3334" s="2" t="str">
        <f aca="false">_xlfn.IFS(B3334&lt;30,"Under 30",B3334&lt;40,"30-39",B3334&lt;50,"40-49",B3334&lt;60,"50-59",TRUE(),"60+")</f>
        <v>30-39</v>
      </c>
      <c r="O3334" s="2" t="str">
        <f aca="false">_xlfn.IFS(G3334&lt;0,"1 Negative",G3334=0,"2 Zero",G3334&lt;=500,"3 1-500",G3334&lt;=2000,"4 501-2000",TRUE(),"5 Above 2000")</f>
        <v>5 Above 2000</v>
      </c>
      <c r="P3334" s="2" t="n">
        <f aca="false">Lookups!$B$2*M3334+Lookups!$B$3*L3334</f>
        <v>0</v>
      </c>
      <c r="Q3334" s="2" t="str">
        <f aca="false">INDEX(Lookups!$E$2:$E$5,MATCH(P3334,Lookups!$D$2:$D$5,0))</f>
        <v>Low</v>
      </c>
    </row>
    <row r="3335" customFormat="false" ht="15" hidden="false" customHeight="false" outlineLevel="0" collapsed="false">
      <c r="A3335" s="3" t="n">
        <v>3334</v>
      </c>
      <c r="B3335" s="3" t="n">
        <f aca="false">Raw_Data!A3335</f>
        <v>33</v>
      </c>
      <c r="C3335" s="3" t="str">
        <f aca="false">SUBSTITUTE(Raw_Data!B3335,".","")</f>
        <v>admin</v>
      </c>
      <c r="D3335" s="3" t="str">
        <f aca="false">Raw_Data!C3335</f>
        <v>married</v>
      </c>
      <c r="E3335" s="3" t="str">
        <f aca="false">Raw_Data!D3335</f>
        <v>secondary</v>
      </c>
      <c r="F3335" s="3" t="str">
        <f aca="false">Raw_Data!E3335</f>
        <v>no</v>
      </c>
      <c r="G3335" s="3" t="n">
        <f aca="false">Raw_Data!F3335</f>
        <v>0</v>
      </c>
      <c r="H3335" s="3" t="str">
        <f aca="false">Raw_Data!G3335</f>
        <v>yes</v>
      </c>
      <c r="I3335" s="3" t="str">
        <f aca="false">Raw_Data!H3335</f>
        <v>no</v>
      </c>
      <c r="J3335" s="2" t="n">
        <f aca="false">IF(F3335="yes",1,0)</f>
        <v>0</v>
      </c>
      <c r="K3335" s="2" t="n">
        <f aca="false">IF(H3335="yes",1,0)</f>
        <v>1</v>
      </c>
      <c r="L3335" s="2" t="n">
        <f aca="false">IF(I3335="yes",1,0)</f>
        <v>0</v>
      </c>
      <c r="M3335" s="2" t="n">
        <f aca="false">IF(G3335&lt;0,1,0)</f>
        <v>0</v>
      </c>
      <c r="N3335" s="2" t="str">
        <f aca="false">_xlfn.IFS(B3335&lt;30,"Under 30",B3335&lt;40,"30-39",B3335&lt;50,"40-49",B3335&lt;60,"50-59",TRUE(),"60+")</f>
        <v>30-39</v>
      </c>
      <c r="O3335" s="2" t="str">
        <f aca="false">_xlfn.IFS(G3335&lt;0,"1 Negative",G3335=0,"2 Zero",G3335&lt;=500,"3 1-500",G3335&lt;=2000,"4 501-2000",TRUE(),"5 Above 2000")</f>
        <v>2 Zero</v>
      </c>
      <c r="P3335" s="2" t="n">
        <f aca="false">Lookups!$B$2*M3335+Lookups!$B$3*L3335</f>
        <v>0</v>
      </c>
      <c r="Q3335" s="2" t="str">
        <f aca="false">INDEX(Lookups!$E$2:$E$5,MATCH(P3335,Lookups!$D$2:$D$5,0))</f>
        <v>Low</v>
      </c>
    </row>
    <row r="3336" customFormat="false" ht="15" hidden="false" customHeight="false" outlineLevel="0" collapsed="false">
      <c r="A3336" s="3" t="n">
        <v>3335</v>
      </c>
      <c r="B3336" s="3" t="n">
        <f aca="false">Raw_Data!A3336</f>
        <v>46</v>
      </c>
      <c r="C3336" s="3" t="str">
        <f aca="false">SUBSTITUTE(Raw_Data!B3336,".","")</f>
        <v>unemployed</v>
      </c>
      <c r="D3336" s="3" t="str">
        <f aca="false">Raw_Data!C3336</f>
        <v>divorced</v>
      </c>
      <c r="E3336" s="3" t="str">
        <f aca="false">Raw_Data!D3336</f>
        <v>primary</v>
      </c>
      <c r="F3336" s="3" t="str">
        <f aca="false">Raw_Data!E3336</f>
        <v>no</v>
      </c>
      <c r="G3336" s="3" t="n">
        <f aca="false">Raw_Data!F3336</f>
        <v>23</v>
      </c>
      <c r="H3336" s="3" t="str">
        <f aca="false">Raw_Data!G3336</f>
        <v>no</v>
      </c>
      <c r="I3336" s="3" t="str">
        <f aca="false">Raw_Data!H3336</f>
        <v>no</v>
      </c>
      <c r="J3336" s="2" t="n">
        <f aca="false">IF(F3336="yes",1,0)</f>
        <v>0</v>
      </c>
      <c r="K3336" s="2" t="n">
        <f aca="false">IF(H3336="yes",1,0)</f>
        <v>0</v>
      </c>
      <c r="L3336" s="2" t="n">
        <f aca="false">IF(I3336="yes",1,0)</f>
        <v>0</v>
      </c>
      <c r="M3336" s="2" t="n">
        <f aca="false">IF(G3336&lt;0,1,0)</f>
        <v>0</v>
      </c>
      <c r="N3336" s="2" t="str">
        <f aca="false">_xlfn.IFS(B3336&lt;30,"Under 30",B3336&lt;40,"30-39",B3336&lt;50,"40-49",B3336&lt;60,"50-59",TRUE(),"60+")</f>
        <v>40-49</v>
      </c>
      <c r="O3336" s="2" t="str">
        <f aca="false">_xlfn.IFS(G3336&lt;0,"1 Negative",G3336=0,"2 Zero",G3336&lt;=500,"3 1-500",G3336&lt;=2000,"4 501-2000",TRUE(),"5 Above 2000")</f>
        <v>3 1-500</v>
      </c>
      <c r="P3336" s="2" t="n">
        <f aca="false">Lookups!$B$2*M3336+Lookups!$B$3*L3336</f>
        <v>0</v>
      </c>
      <c r="Q3336" s="2" t="str">
        <f aca="false">INDEX(Lookups!$E$2:$E$5,MATCH(P3336,Lookups!$D$2:$D$5,0))</f>
        <v>Low</v>
      </c>
    </row>
    <row r="3337" customFormat="false" ht="15" hidden="false" customHeight="false" outlineLevel="0" collapsed="false">
      <c r="A3337" s="3" t="n">
        <v>3336</v>
      </c>
      <c r="B3337" s="3" t="n">
        <f aca="false">Raw_Data!A3337</f>
        <v>29</v>
      </c>
      <c r="C3337" s="3" t="str">
        <f aca="false">SUBSTITUTE(Raw_Data!B3337,".","")</f>
        <v>blue-collar</v>
      </c>
      <c r="D3337" s="3" t="str">
        <f aca="false">Raw_Data!C3337</f>
        <v>married</v>
      </c>
      <c r="E3337" s="3" t="str">
        <f aca="false">Raw_Data!D3337</f>
        <v>secondary</v>
      </c>
      <c r="F3337" s="3" t="str">
        <f aca="false">Raw_Data!E3337</f>
        <v>no</v>
      </c>
      <c r="G3337" s="3" t="n">
        <f aca="false">Raw_Data!F3337</f>
        <v>228</v>
      </c>
      <c r="H3337" s="3" t="str">
        <f aca="false">Raw_Data!G3337</f>
        <v>yes</v>
      </c>
      <c r="I3337" s="3" t="str">
        <f aca="false">Raw_Data!H3337</f>
        <v>no</v>
      </c>
      <c r="J3337" s="2" t="n">
        <f aca="false">IF(F3337="yes",1,0)</f>
        <v>0</v>
      </c>
      <c r="K3337" s="2" t="n">
        <f aca="false">IF(H3337="yes",1,0)</f>
        <v>1</v>
      </c>
      <c r="L3337" s="2" t="n">
        <f aca="false">IF(I3337="yes",1,0)</f>
        <v>0</v>
      </c>
      <c r="M3337" s="2" t="n">
        <f aca="false">IF(G3337&lt;0,1,0)</f>
        <v>0</v>
      </c>
      <c r="N3337" s="2" t="str">
        <f aca="false">_xlfn.IFS(B3337&lt;30,"Under 30",B3337&lt;40,"30-39",B3337&lt;50,"40-49",B3337&lt;60,"50-59",TRUE(),"60+")</f>
        <v>Under 30</v>
      </c>
      <c r="O3337" s="2" t="str">
        <f aca="false">_xlfn.IFS(G3337&lt;0,"1 Negative",G3337=0,"2 Zero",G3337&lt;=500,"3 1-500",G3337&lt;=2000,"4 501-2000",TRUE(),"5 Above 2000")</f>
        <v>3 1-500</v>
      </c>
      <c r="P3337" s="2" t="n">
        <f aca="false">Lookups!$B$2*M3337+Lookups!$B$3*L3337</f>
        <v>0</v>
      </c>
      <c r="Q3337" s="2" t="str">
        <f aca="false">INDEX(Lookups!$E$2:$E$5,MATCH(P3337,Lookups!$D$2:$D$5,0))</f>
        <v>Low</v>
      </c>
    </row>
    <row r="3338" customFormat="false" ht="15" hidden="false" customHeight="false" outlineLevel="0" collapsed="false">
      <c r="A3338" s="3" t="n">
        <v>3337</v>
      </c>
      <c r="B3338" s="3" t="n">
        <f aca="false">Raw_Data!A3338</f>
        <v>37</v>
      </c>
      <c r="C3338" s="3" t="str">
        <f aca="false">SUBSTITUTE(Raw_Data!B3338,".","")</f>
        <v>self-employed</v>
      </c>
      <c r="D3338" s="3" t="str">
        <f aca="false">Raw_Data!C3338</f>
        <v>married</v>
      </c>
      <c r="E3338" s="3" t="str">
        <f aca="false">Raw_Data!D3338</f>
        <v>secondary</v>
      </c>
      <c r="F3338" s="3" t="str">
        <f aca="false">Raw_Data!E3338</f>
        <v>no</v>
      </c>
      <c r="G3338" s="3" t="n">
        <f aca="false">Raw_Data!F3338</f>
        <v>215</v>
      </c>
      <c r="H3338" s="3" t="str">
        <f aca="false">Raw_Data!G3338</f>
        <v>yes</v>
      </c>
      <c r="I3338" s="3" t="str">
        <f aca="false">Raw_Data!H3338</f>
        <v>no</v>
      </c>
      <c r="J3338" s="2" t="n">
        <f aca="false">IF(F3338="yes",1,0)</f>
        <v>0</v>
      </c>
      <c r="K3338" s="2" t="n">
        <f aca="false">IF(H3338="yes",1,0)</f>
        <v>1</v>
      </c>
      <c r="L3338" s="2" t="n">
        <f aca="false">IF(I3338="yes",1,0)</f>
        <v>0</v>
      </c>
      <c r="M3338" s="2" t="n">
        <f aca="false">IF(G3338&lt;0,1,0)</f>
        <v>0</v>
      </c>
      <c r="N3338" s="2" t="str">
        <f aca="false">_xlfn.IFS(B3338&lt;30,"Under 30",B3338&lt;40,"30-39",B3338&lt;50,"40-49",B3338&lt;60,"50-59",TRUE(),"60+")</f>
        <v>30-39</v>
      </c>
      <c r="O3338" s="2" t="str">
        <f aca="false">_xlfn.IFS(G3338&lt;0,"1 Negative",G3338=0,"2 Zero",G3338&lt;=500,"3 1-500",G3338&lt;=2000,"4 501-2000",TRUE(),"5 Above 2000")</f>
        <v>3 1-500</v>
      </c>
      <c r="P3338" s="2" t="n">
        <f aca="false">Lookups!$B$2*M3338+Lookups!$B$3*L3338</f>
        <v>0</v>
      </c>
      <c r="Q3338" s="2" t="str">
        <f aca="false">INDEX(Lookups!$E$2:$E$5,MATCH(P3338,Lookups!$D$2:$D$5,0))</f>
        <v>Low</v>
      </c>
    </row>
    <row r="3339" customFormat="false" ht="15" hidden="false" customHeight="false" outlineLevel="0" collapsed="false">
      <c r="A3339" s="3" t="n">
        <v>3338</v>
      </c>
      <c r="B3339" s="3" t="n">
        <f aca="false">Raw_Data!A3339</f>
        <v>58</v>
      </c>
      <c r="C3339" s="3" t="str">
        <f aca="false">SUBSTITUTE(Raw_Data!B3339,".","")</f>
        <v>blue-collar</v>
      </c>
      <c r="D3339" s="3" t="str">
        <f aca="false">Raw_Data!C3339</f>
        <v>married</v>
      </c>
      <c r="E3339" s="3" t="str">
        <f aca="false">Raw_Data!D3339</f>
        <v>primary</v>
      </c>
      <c r="F3339" s="3" t="str">
        <f aca="false">Raw_Data!E3339</f>
        <v>no</v>
      </c>
      <c r="G3339" s="3" t="n">
        <f aca="false">Raw_Data!F3339</f>
        <v>23</v>
      </c>
      <c r="H3339" s="3" t="str">
        <f aca="false">Raw_Data!G3339</f>
        <v>yes</v>
      </c>
      <c r="I3339" s="3" t="str">
        <f aca="false">Raw_Data!H3339</f>
        <v>no</v>
      </c>
      <c r="J3339" s="2" t="n">
        <f aca="false">IF(F3339="yes",1,0)</f>
        <v>0</v>
      </c>
      <c r="K3339" s="2" t="n">
        <f aca="false">IF(H3339="yes",1,0)</f>
        <v>1</v>
      </c>
      <c r="L3339" s="2" t="n">
        <f aca="false">IF(I3339="yes",1,0)</f>
        <v>0</v>
      </c>
      <c r="M3339" s="2" t="n">
        <f aca="false">IF(G3339&lt;0,1,0)</f>
        <v>0</v>
      </c>
      <c r="N3339" s="2" t="str">
        <f aca="false">_xlfn.IFS(B3339&lt;30,"Under 30",B3339&lt;40,"30-39",B3339&lt;50,"40-49",B3339&lt;60,"50-59",TRUE(),"60+")</f>
        <v>50-59</v>
      </c>
      <c r="O3339" s="2" t="str">
        <f aca="false">_xlfn.IFS(G3339&lt;0,"1 Negative",G3339=0,"2 Zero",G3339&lt;=500,"3 1-500",G3339&lt;=2000,"4 501-2000",TRUE(),"5 Above 2000")</f>
        <v>3 1-500</v>
      </c>
      <c r="P3339" s="2" t="n">
        <f aca="false">Lookups!$B$2*M3339+Lookups!$B$3*L3339</f>
        <v>0</v>
      </c>
      <c r="Q3339" s="2" t="str">
        <f aca="false">INDEX(Lookups!$E$2:$E$5,MATCH(P3339,Lookups!$D$2:$D$5,0))</f>
        <v>Low</v>
      </c>
    </row>
    <row r="3340" customFormat="false" ht="15" hidden="false" customHeight="false" outlineLevel="0" collapsed="false">
      <c r="A3340" s="3" t="n">
        <v>3339</v>
      </c>
      <c r="B3340" s="3" t="n">
        <f aca="false">Raw_Data!A3340</f>
        <v>34</v>
      </c>
      <c r="C3340" s="3" t="str">
        <f aca="false">SUBSTITUTE(Raw_Data!B3340,".","")</f>
        <v>management</v>
      </c>
      <c r="D3340" s="3" t="str">
        <f aca="false">Raw_Data!C3340</f>
        <v>married</v>
      </c>
      <c r="E3340" s="3" t="str">
        <f aca="false">Raw_Data!D3340</f>
        <v>secondary</v>
      </c>
      <c r="F3340" s="3" t="str">
        <f aca="false">Raw_Data!E3340</f>
        <v>no</v>
      </c>
      <c r="G3340" s="3" t="n">
        <f aca="false">Raw_Data!F3340</f>
        <v>293</v>
      </c>
      <c r="H3340" s="3" t="str">
        <f aca="false">Raw_Data!G3340</f>
        <v>yes</v>
      </c>
      <c r="I3340" s="3" t="str">
        <f aca="false">Raw_Data!H3340</f>
        <v>no</v>
      </c>
      <c r="J3340" s="2" t="n">
        <f aca="false">IF(F3340="yes",1,0)</f>
        <v>0</v>
      </c>
      <c r="K3340" s="2" t="n">
        <f aca="false">IF(H3340="yes",1,0)</f>
        <v>1</v>
      </c>
      <c r="L3340" s="2" t="n">
        <f aca="false">IF(I3340="yes",1,0)</f>
        <v>0</v>
      </c>
      <c r="M3340" s="2" t="n">
        <f aca="false">IF(G3340&lt;0,1,0)</f>
        <v>0</v>
      </c>
      <c r="N3340" s="2" t="str">
        <f aca="false">_xlfn.IFS(B3340&lt;30,"Under 30",B3340&lt;40,"30-39",B3340&lt;50,"40-49",B3340&lt;60,"50-59",TRUE(),"60+")</f>
        <v>30-39</v>
      </c>
      <c r="O3340" s="2" t="str">
        <f aca="false">_xlfn.IFS(G3340&lt;0,"1 Negative",G3340=0,"2 Zero",G3340&lt;=500,"3 1-500",G3340&lt;=2000,"4 501-2000",TRUE(),"5 Above 2000")</f>
        <v>3 1-500</v>
      </c>
      <c r="P3340" s="2" t="n">
        <f aca="false">Lookups!$B$2*M3340+Lookups!$B$3*L3340</f>
        <v>0</v>
      </c>
      <c r="Q3340" s="2" t="str">
        <f aca="false">INDEX(Lookups!$E$2:$E$5,MATCH(P3340,Lookups!$D$2:$D$5,0))</f>
        <v>Low</v>
      </c>
    </row>
    <row r="3341" customFormat="false" ht="15" hidden="false" customHeight="false" outlineLevel="0" collapsed="false">
      <c r="A3341" s="3" t="n">
        <v>3340</v>
      </c>
      <c r="B3341" s="3" t="n">
        <f aca="false">Raw_Data!A3341</f>
        <v>34</v>
      </c>
      <c r="C3341" s="3" t="str">
        <f aca="false">SUBSTITUTE(Raw_Data!B3341,".","")</f>
        <v>blue-collar</v>
      </c>
      <c r="D3341" s="3" t="str">
        <f aca="false">Raw_Data!C3341</f>
        <v>divorced</v>
      </c>
      <c r="E3341" s="3" t="str">
        <f aca="false">Raw_Data!D3341</f>
        <v>secondary</v>
      </c>
      <c r="F3341" s="3" t="str">
        <f aca="false">Raw_Data!E3341</f>
        <v>no</v>
      </c>
      <c r="G3341" s="3" t="n">
        <f aca="false">Raw_Data!F3341</f>
        <v>0</v>
      </c>
      <c r="H3341" s="3" t="str">
        <f aca="false">Raw_Data!G3341</f>
        <v>no</v>
      </c>
      <c r="I3341" s="3" t="str">
        <f aca="false">Raw_Data!H3341</f>
        <v>yes</v>
      </c>
      <c r="J3341" s="2" t="n">
        <f aca="false">IF(F3341="yes",1,0)</f>
        <v>0</v>
      </c>
      <c r="K3341" s="2" t="n">
        <f aca="false">IF(H3341="yes",1,0)</f>
        <v>0</v>
      </c>
      <c r="L3341" s="2" t="n">
        <f aca="false">IF(I3341="yes",1,0)</f>
        <v>1</v>
      </c>
      <c r="M3341" s="2" t="n">
        <f aca="false">IF(G3341&lt;0,1,0)</f>
        <v>0</v>
      </c>
      <c r="N3341" s="2" t="str">
        <f aca="false">_xlfn.IFS(B3341&lt;30,"Under 30",B3341&lt;40,"30-39",B3341&lt;50,"40-49",B3341&lt;60,"50-59",TRUE(),"60+")</f>
        <v>30-39</v>
      </c>
      <c r="O3341" s="2" t="str">
        <f aca="false">_xlfn.IFS(G3341&lt;0,"1 Negative",G3341=0,"2 Zero",G3341&lt;=500,"3 1-500",G3341&lt;=2000,"4 501-2000",TRUE(),"5 Above 2000")</f>
        <v>2 Zero</v>
      </c>
      <c r="P3341" s="2" t="n">
        <f aca="false">Lookups!$B$2*M3341+Lookups!$B$3*L3341</f>
        <v>1</v>
      </c>
      <c r="Q3341" s="2" t="str">
        <f aca="false">INDEX(Lookups!$E$2:$E$5,MATCH(P3341,Lookups!$D$2:$D$5,0))</f>
        <v>Medium</v>
      </c>
    </row>
    <row r="3342" customFormat="false" ht="15" hidden="false" customHeight="false" outlineLevel="0" collapsed="false">
      <c r="A3342" s="3" t="n">
        <v>3341</v>
      </c>
      <c r="B3342" s="3" t="n">
        <f aca="false">Raw_Data!A3342</f>
        <v>49</v>
      </c>
      <c r="C3342" s="3" t="str">
        <f aca="false">SUBSTITUTE(Raw_Data!B3342,".","")</f>
        <v>entrepreneur</v>
      </c>
      <c r="D3342" s="3" t="str">
        <f aca="false">Raw_Data!C3342</f>
        <v>married</v>
      </c>
      <c r="E3342" s="3" t="str">
        <f aca="false">Raw_Data!D3342</f>
        <v>primary</v>
      </c>
      <c r="F3342" s="3" t="str">
        <f aca="false">Raw_Data!E3342</f>
        <v>no</v>
      </c>
      <c r="G3342" s="3" t="n">
        <f aca="false">Raw_Data!F3342</f>
        <v>199</v>
      </c>
      <c r="H3342" s="3" t="str">
        <f aca="false">Raw_Data!G3342</f>
        <v>no</v>
      </c>
      <c r="I3342" s="3" t="str">
        <f aca="false">Raw_Data!H3342</f>
        <v>no</v>
      </c>
      <c r="J3342" s="2" t="n">
        <f aca="false">IF(F3342="yes",1,0)</f>
        <v>0</v>
      </c>
      <c r="K3342" s="2" t="n">
        <f aca="false">IF(H3342="yes",1,0)</f>
        <v>0</v>
      </c>
      <c r="L3342" s="2" t="n">
        <f aca="false">IF(I3342="yes",1,0)</f>
        <v>0</v>
      </c>
      <c r="M3342" s="2" t="n">
        <f aca="false">IF(G3342&lt;0,1,0)</f>
        <v>0</v>
      </c>
      <c r="N3342" s="2" t="str">
        <f aca="false">_xlfn.IFS(B3342&lt;30,"Under 30",B3342&lt;40,"30-39",B3342&lt;50,"40-49",B3342&lt;60,"50-59",TRUE(),"60+")</f>
        <v>40-49</v>
      </c>
      <c r="O3342" s="2" t="str">
        <f aca="false">_xlfn.IFS(G3342&lt;0,"1 Negative",G3342=0,"2 Zero",G3342&lt;=500,"3 1-500",G3342&lt;=2000,"4 501-2000",TRUE(),"5 Above 2000")</f>
        <v>3 1-500</v>
      </c>
      <c r="P3342" s="2" t="n">
        <f aca="false">Lookups!$B$2*M3342+Lookups!$B$3*L3342</f>
        <v>0</v>
      </c>
      <c r="Q3342" s="2" t="str">
        <f aca="false">INDEX(Lookups!$E$2:$E$5,MATCH(P3342,Lookups!$D$2:$D$5,0))</f>
        <v>Low</v>
      </c>
    </row>
    <row r="3343" customFormat="false" ht="15" hidden="false" customHeight="false" outlineLevel="0" collapsed="false">
      <c r="A3343" s="3" t="n">
        <v>3342</v>
      </c>
      <c r="B3343" s="3" t="n">
        <f aca="false">Raw_Data!A3343</f>
        <v>53</v>
      </c>
      <c r="C3343" s="3" t="str">
        <f aca="false">SUBSTITUTE(Raw_Data!B3343,".","")</f>
        <v>admin</v>
      </c>
      <c r="D3343" s="3" t="str">
        <f aca="false">Raw_Data!C3343</f>
        <v>married</v>
      </c>
      <c r="E3343" s="3" t="str">
        <f aca="false">Raw_Data!D3343</f>
        <v>secondary</v>
      </c>
      <c r="F3343" s="3" t="str">
        <f aca="false">Raw_Data!E3343</f>
        <v>no</v>
      </c>
      <c r="G3343" s="3" t="n">
        <f aca="false">Raw_Data!F3343</f>
        <v>459</v>
      </c>
      <c r="H3343" s="3" t="str">
        <f aca="false">Raw_Data!G3343</f>
        <v>no</v>
      </c>
      <c r="I3343" s="3" t="str">
        <f aca="false">Raw_Data!H3343</f>
        <v>no</v>
      </c>
      <c r="J3343" s="2" t="n">
        <f aca="false">IF(F3343="yes",1,0)</f>
        <v>0</v>
      </c>
      <c r="K3343" s="2" t="n">
        <f aca="false">IF(H3343="yes",1,0)</f>
        <v>0</v>
      </c>
      <c r="L3343" s="2" t="n">
        <f aca="false">IF(I3343="yes",1,0)</f>
        <v>0</v>
      </c>
      <c r="M3343" s="2" t="n">
        <f aca="false">IF(G3343&lt;0,1,0)</f>
        <v>0</v>
      </c>
      <c r="N3343" s="2" t="str">
        <f aca="false">_xlfn.IFS(B3343&lt;30,"Under 30",B3343&lt;40,"30-39",B3343&lt;50,"40-49",B3343&lt;60,"50-59",TRUE(),"60+")</f>
        <v>50-59</v>
      </c>
      <c r="O3343" s="2" t="str">
        <f aca="false">_xlfn.IFS(G3343&lt;0,"1 Negative",G3343=0,"2 Zero",G3343&lt;=500,"3 1-500",G3343&lt;=2000,"4 501-2000",TRUE(),"5 Above 2000")</f>
        <v>3 1-500</v>
      </c>
      <c r="P3343" s="2" t="n">
        <f aca="false">Lookups!$B$2*M3343+Lookups!$B$3*L3343</f>
        <v>0</v>
      </c>
      <c r="Q3343" s="2" t="str">
        <f aca="false">INDEX(Lookups!$E$2:$E$5,MATCH(P3343,Lookups!$D$2:$D$5,0))</f>
        <v>Low</v>
      </c>
    </row>
    <row r="3344" customFormat="false" ht="15" hidden="false" customHeight="false" outlineLevel="0" collapsed="false">
      <c r="A3344" s="3" t="n">
        <v>3343</v>
      </c>
      <c r="B3344" s="3" t="n">
        <f aca="false">Raw_Data!A3344</f>
        <v>42</v>
      </c>
      <c r="C3344" s="3" t="str">
        <f aca="false">SUBSTITUTE(Raw_Data!B3344,".","")</f>
        <v>unemployed</v>
      </c>
      <c r="D3344" s="3" t="str">
        <f aca="false">Raw_Data!C3344</f>
        <v>married</v>
      </c>
      <c r="E3344" s="3" t="str">
        <f aca="false">Raw_Data!D3344</f>
        <v>secondary</v>
      </c>
      <c r="F3344" s="3" t="str">
        <f aca="false">Raw_Data!E3344</f>
        <v>no</v>
      </c>
      <c r="G3344" s="3" t="n">
        <f aca="false">Raw_Data!F3344</f>
        <v>8131</v>
      </c>
      <c r="H3344" s="3" t="str">
        <f aca="false">Raw_Data!G3344</f>
        <v>yes</v>
      </c>
      <c r="I3344" s="3" t="str">
        <f aca="false">Raw_Data!H3344</f>
        <v>no</v>
      </c>
      <c r="J3344" s="2" t="n">
        <f aca="false">IF(F3344="yes",1,0)</f>
        <v>0</v>
      </c>
      <c r="K3344" s="2" t="n">
        <f aca="false">IF(H3344="yes",1,0)</f>
        <v>1</v>
      </c>
      <c r="L3344" s="2" t="n">
        <f aca="false">IF(I3344="yes",1,0)</f>
        <v>0</v>
      </c>
      <c r="M3344" s="2" t="n">
        <f aca="false">IF(G3344&lt;0,1,0)</f>
        <v>0</v>
      </c>
      <c r="N3344" s="2" t="str">
        <f aca="false">_xlfn.IFS(B3344&lt;30,"Under 30",B3344&lt;40,"30-39",B3344&lt;50,"40-49",B3344&lt;60,"50-59",TRUE(),"60+")</f>
        <v>40-49</v>
      </c>
      <c r="O3344" s="2" t="str">
        <f aca="false">_xlfn.IFS(G3344&lt;0,"1 Negative",G3344=0,"2 Zero",G3344&lt;=500,"3 1-500",G3344&lt;=2000,"4 501-2000",TRUE(),"5 Above 2000")</f>
        <v>5 Above 2000</v>
      </c>
      <c r="P3344" s="2" t="n">
        <f aca="false">Lookups!$B$2*M3344+Lookups!$B$3*L3344</f>
        <v>0</v>
      </c>
      <c r="Q3344" s="2" t="str">
        <f aca="false">INDEX(Lookups!$E$2:$E$5,MATCH(P3344,Lookups!$D$2:$D$5,0))</f>
        <v>Low</v>
      </c>
    </row>
    <row r="3345" customFormat="false" ht="15" hidden="false" customHeight="false" outlineLevel="0" collapsed="false">
      <c r="A3345" s="3" t="n">
        <v>3344</v>
      </c>
      <c r="B3345" s="3" t="n">
        <f aca="false">Raw_Data!A3345</f>
        <v>40</v>
      </c>
      <c r="C3345" s="3" t="str">
        <f aca="false">SUBSTITUTE(Raw_Data!B3345,".","")</f>
        <v>services</v>
      </c>
      <c r="D3345" s="3" t="str">
        <f aca="false">Raw_Data!C3345</f>
        <v>married</v>
      </c>
      <c r="E3345" s="3" t="str">
        <f aca="false">Raw_Data!D3345</f>
        <v>secondary</v>
      </c>
      <c r="F3345" s="3" t="str">
        <f aca="false">Raw_Data!E3345</f>
        <v>no</v>
      </c>
      <c r="G3345" s="3" t="n">
        <f aca="false">Raw_Data!F3345</f>
        <v>-378</v>
      </c>
      <c r="H3345" s="3" t="str">
        <f aca="false">Raw_Data!G3345</f>
        <v>yes</v>
      </c>
      <c r="I3345" s="3" t="str">
        <f aca="false">Raw_Data!H3345</f>
        <v>yes</v>
      </c>
      <c r="J3345" s="2" t="n">
        <f aca="false">IF(F3345="yes",1,0)</f>
        <v>0</v>
      </c>
      <c r="K3345" s="2" t="n">
        <f aca="false">IF(H3345="yes",1,0)</f>
        <v>1</v>
      </c>
      <c r="L3345" s="2" t="n">
        <f aca="false">IF(I3345="yes",1,0)</f>
        <v>1</v>
      </c>
      <c r="M3345" s="2" t="n">
        <f aca="false">IF(G3345&lt;0,1,0)</f>
        <v>1</v>
      </c>
      <c r="N3345" s="2" t="str">
        <f aca="false">_xlfn.IFS(B3345&lt;30,"Under 30",B3345&lt;40,"30-39",B3345&lt;50,"40-49",B3345&lt;60,"50-59",TRUE(),"60+")</f>
        <v>40-49</v>
      </c>
      <c r="O3345" s="2" t="str">
        <f aca="false">_xlfn.IFS(G3345&lt;0,"1 Negative",G3345=0,"2 Zero",G3345&lt;=500,"3 1-500",G3345&lt;=2000,"4 501-2000",TRUE(),"5 Above 2000")</f>
        <v>1 Negative</v>
      </c>
      <c r="P3345" s="2" t="n">
        <f aca="false">Lookups!$B$2*M3345+Lookups!$B$3*L3345</f>
        <v>3</v>
      </c>
      <c r="Q3345" s="2" t="str">
        <f aca="false">INDEX(Lookups!$E$2:$E$5,MATCH(P3345,Lookups!$D$2:$D$5,0))</f>
        <v>High</v>
      </c>
    </row>
    <row r="3346" customFormat="false" ht="15" hidden="false" customHeight="false" outlineLevel="0" collapsed="false">
      <c r="A3346" s="3" t="n">
        <v>3345</v>
      </c>
      <c r="B3346" s="3" t="n">
        <f aca="false">Raw_Data!A3346</f>
        <v>30</v>
      </c>
      <c r="C3346" s="3" t="str">
        <f aca="false">SUBSTITUTE(Raw_Data!B3346,".","")</f>
        <v>blue-collar</v>
      </c>
      <c r="D3346" s="3" t="str">
        <f aca="false">Raw_Data!C3346</f>
        <v>single</v>
      </c>
      <c r="E3346" s="3" t="str">
        <f aca="false">Raw_Data!D3346</f>
        <v>primary</v>
      </c>
      <c r="F3346" s="3" t="str">
        <f aca="false">Raw_Data!E3346</f>
        <v>no</v>
      </c>
      <c r="G3346" s="3" t="n">
        <f aca="false">Raw_Data!F3346</f>
        <v>395</v>
      </c>
      <c r="H3346" s="3" t="str">
        <f aca="false">Raw_Data!G3346</f>
        <v>no</v>
      </c>
      <c r="I3346" s="3" t="str">
        <f aca="false">Raw_Data!H3346</f>
        <v>no</v>
      </c>
      <c r="J3346" s="2" t="n">
        <f aca="false">IF(F3346="yes",1,0)</f>
        <v>0</v>
      </c>
      <c r="K3346" s="2" t="n">
        <f aca="false">IF(H3346="yes",1,0)</f>
        <v>0</v>
      </c>
      <c r="L3346" s="2" t="n">
        <f aca="false">IF(I3346="yes",1,0)</f>
        <v>0</v>
      </c>
      <c r="M3346" s="2" t="n">
        <f aca="false">IF(G3346&lt;0,1,0)</f>
        <v>0</v>
      </c>
      <c r="N3346" s="2" t="str">
        <f aca="false">_xlfn.IFS(B3346&lt;30,"Under 30",B3346&lt;40,"30-39",B3346&lt;50,"40-49",B3346&lt;60,"50-59",TRUE(),"60+")</f>
        <v>30-39</v>
      </c>
      <c r="O3346" s="2" t="str">
        <f aca="false">_xlfn.IFS(G3346&lt;0,"1 Negative",G3346=0,"2 Zero",G3346&lt;=500,"3 1-500",G3346&lt;=2000,"4 501-2000",TRUE(),"5 Above 2000")</f>
        <v>3 1-500</v>
      </c>
      <c r="P3346" s="2" t="n">
        <f aca="false">Lookups!$B$2*M3346+Lookups!$B$3*L3346</f>
        <v>0</v>
      </c>
      <c r="Q3346" s="2" t="str">
        <f aca="false">INDEX(Lookups!$E$2:$E$5,MATCH(P3346,Lookups!$D$2:$D$5,0))</f>
        <v>Low</v>
      </c>
    </row>
    <row r="3347" customFormat="false" ht="15" hidden="false" customHeight="false" outlineLevel="0" collapsed="false">
      <c r="A3347" s="3" t="n">
        <v>3346</v>
      </c>
      <c r="B3347" s="3" t="n">
        <f aca="false">Raw_Data!A3347</f>
        <v>31</v>
      </c>
      <c r="C3347" s="3" t="str">
        <f aca="false">SUBSTITUTE(Raw_Data!B3347,".","")</f>
        <v>technician</v>
      </c>
      <c r="D3347" s="3" t="str">
        <f aca="false">Raw_Data!C3347</f>
        <v>divorced</v>
      </c>
      <c r="E3347" s="3" t="str">
        <f aca="false">Raw_Data!D3347</f>
        <v>secondary</v>
      </c>
      <c r="F3347" s="3" t="str">
        <f aca="false">Raw_Data!E3347</f>
        <v>no</v>
      </c>
      <c r="G3347" s="3" t="n">
        <f aca="false">Raw_Data!F3347</f>
        <v>10787</v>
      </c>
      <c r="H3347" s="3" t="str">
        <f aca="false">Raw_Data!G3347</f>
        <v>yes</v>
      </c>
      <c r="I3347" s="3" t="str">
        <f aca="false">Raw_Data!H3347</f>
        <v>no</v>
      </c>
      <c r="J3347" s="2" t="n">
        <f aca="false">IF(F3347="yes",1,0)</f>
        <v>0</v>
      </c>
      <c r="K3347" s="2" t="n">
        <f aca="false">IF(H3347="yes",1,0)</f>
        <v>1</v>
      </c>
      <c r="L3347" s="2" t="n">
        <f aca="false">IF(I3347="yes",1,0)</f>
        <v>0</v>
      </c>
      <c r="M3347" s="2" t="n">
        <f aca="false">IF(G3347&lt;0,1,0)</f>
        <v>0</v>
      </c>
      <c r="N3347" s="2" t="str">
        <f aca="false">_xlfn.IFS(B3347&lt;30,"Under 30",B3347&lt;40,"30-39",B3347&lt;50,"40-49",B3347&lt;60,"50-59",TRUE(),"60+")</f>
        <v>30-39</v>
      </c>
      <c r="O3347" s="2" t="str">
        <f aca="false">_xlfn.IFS(G3347&lt;0,"1 Negative",G3347=0,"2 Zero",G3347&lt;=500,"3 1-500",G3347&lt;=2000,"4 501-2000",TRUE(),"5 Above 2000")</f>
        <v>5 Above 2000</v>
      </c>
      <c r="P3347" s="2" t="n">
        <f aca="false">Lookups!$B$2*M3347+Lookups!$B$3*L3347</f>
        <v>0</v>
      </c>
      <c r="Q3347" s="2" t="str">
        <f aca="false">INDEX(Lookups!$E$2:$E$5,MATCH(P3347,Lookups!$D$2:$D$5,0))</f>
        <v>Low</v>
      </c>
    </row>
    <row r="3348" customFormat="false" ht="15" hidden="false" customHeight="false" outlineLevel="0" collapsed="false">
      <c r="A3348" s="3" t="n">
        <v>3347</v>
      </c>
      <c r="B3348" s="3" t="n">
        <f aca="false">Raw_Data!A3348</f>
        <v>55</v>
      </c>
      <c r="C3348" s="3" t="str">
        <f aca="false">SUBSTITUTE(Raw_Data!B3348,".","")</f>
        <v>admin</v>
      </c>
      <c r="D3348" s="3" t="str">
        <f aca="false">Raw_Data!C3348</f>
        <v>married</v>
      </c>
      <c r="E3348" s="3" t="str">
        <f aca="false">Raw_Data!D3348</f>
        <v>secondary</v>
      </c>
      <c r="F3348" s="3" t="str">
        <f aca="false">Raw_Data!E3348</f>
        <v>no</v>
      </c>
      <c r="G3348" s="3" t="n">
        <f aca="false">Raw_Data!F3348</f>
        <v>865</v>
      </c>
      <c r="H3348" s="3" t="str">
        <f aca="false">Raw_Data!G3348</f>
        <v>yes</v>
      </c>
      <c r="I3348" s="3" t="str">
        <f aca="false">Raw_Data!H3348</f>
        <v>no</v>
      </c>
      <c r="J3348" s="2" t="n">
        <f aca="false">IF(F3348="yes",1,0)</f>
        <v>0</v>
      </c>
      <c r="K3348" s="2" t="n">
        <f aca="false">IF(H3348="yes",1,0)</f>
        <v>1</v>
      </c>
      <c r="L3348" s="2" t="n">
        <f aca="false">IF(I3348="yes",1,0)</f>
        <v>0</v>
      </c>
      <c r="M3348" s="2" t="n">
        <f aca="false">IF(G3348&lt;0,1,0)</f>
        <v>0</v>
      </c>
      <c r="N3348" s="2" t="str">
        <f aca="false">_xlfn.IFS(B3348&lt;30,"Under 30",B3348&lt;40,"30-39",B3348&lt;50,"40-49",B3348&lt;60,"50-59",TRUE(),"60+")</f>
        <v>50-59</v>
      </c>
      <c r="O3348" s="2" t="str">
        <f aca="false">_xlfn.IFS(G3348&lt;0,"1 Negative",G3348=0,"2 Zero",G3348&lt;=500,"3 1-500",G3348&lt;=2000,"4 501-2000",TRUE(),"5 Above 2000")</f>
        <v>4 501-2000</v>
      </c>
      <c r="P3348" s="2" t="n">
        <f aca="false">Lookups!$B$2*M3348+Lookups!$B$3*L3348</f>
        <v>0</v>
      </c>
      <c r="Q3348" s="2" t="str">
        <f aca="false">INDEX(Lookups!$E$2:$E$5,MATCH(P3348,Lookups!$D$2:$D$5,0))</f>
        <v>Low</v>
      </c>
    </row>
    <row r="3349" customFormat="false" ht="15" hidden="false" customHeight="false" outlineLevel="0" collapsed="false">
      <c r="A3349" s="3" t="n">
        <v>3348</v>
      </c>
      <c r="B3349" s="3" t="n">
        <f aca="false">Raw_Data!A3349</f>
        <v>36</v>
      </c>
      <c r="C3349" s="3" t="str">
        <f aca="false">SUBSTITUTE(Raw_Data!B3349,".","")</f>
        <v>management</v>
      </c>
      <c r="D3349" s="3" t="str">
        <f aca="false">Raw_Data!C3349</f>
        <v>married</v>
      </c>
      <c r="E3349" s="3" t="str">
        <f aca="false">Raw_Data!D3349</f>
        <v>tertiary</v>
      </c>
      <c r="F3349" s="3" t="str">
        <f aca="false">Raw_Data!E3349</f>
        <v>no</v>
      </c>
      <c r="G3349" s="3" t="n">
        <f aca="false">Raw_Data!F3349</f>
        <v>340</v>
      </c>
      <c r="H3349" s="3" t="str">
        <f aca="false">Raw_Data!G3349</f>
        <v>yes</v>
      </c>
      <c r="I3349" s="3" t="str">
        <f aca="false">Raw_Data!H3349</f>
        <v>no</v>
      </c>
      <c r="J3349" s="2" t="n">
        <f aca="false">IF(F3349="yes",1,0)</f>
        <v>0</v>
      </c>
      <c r="K3349" s="2" t="n">
        <f aca="false">IF(H3349="yes",1,0)</f>
        <v>1</v>
      </c>
      <c r="L3349" s="2" t="n">
        <f aca="false">IF(I3349="yes",1,0)</f>
        <v>0</v>
      </c>
      <c r="M3349" s="2" t="n">
        <f aca="false">IF(G3349&lt;0,1,0)</f>
        <v>0</v>
      </c>
      <c r="N3349" s="2" t="str">
        <f aca="false">_xlfn.IFS(B3349&lt;30,"Under 30",B3349&lt;40,"30-39",B3349&lt;50,"40-49",B3349&lt;60,"50-59",TRUE(),"60+")</f>
        <v>30-39</v>
      </c>
      <c r="O3349" s="2" t="str">
        <f aca="false">_xlfn.IFS(G3349&lt;0,"1 Negative",G3349=0,"2 Zero",G3349&lt;=500,"3 1-500",G3349&lt;=2000,"4 501-2000",TRUE(),"5 Above 2000")</f>
        <v>3 1-500</v>
      </c>
      <c r="P3349" s="2" t="n">
        <f aca="false">Lookups!$B$2*M3349+Lookups!$B$3*L3349</f>
        <v>0</v>
      </c>
      <c r="Q3349" s="2" t="str">
        <f aca="false">INDEX(Lookups!$E$2:$E$5,MATCH(P3349,Lookups!$D$2:$D$5,0))</f>
        <v>Low</v>
      </c>
    </row>
    <row r="3350" customFormat="false" ht="15" hidden="false" customHeight="false" outlineLevel="0" collapsed="false">
      <c r="A3350" s="3" t="n">
        <v>3349</v>
      </c>
      <c r="B3350" s="3" t="n">
        <f aca="false">Raw_Data!A3350</f>
        <v>31</v>
      </c>
      <c r="C3350" s="3" t="str">
        <f aca="false">SUBSTITUTE(Raw_Data!B3350,".","")</f>
        <v>blue-collar</v>
      </c>
      <c r="D3350" s="3" t="str">
        <f aca="false">Raw_Data!C3350</f>
        <v>single</v>
      </c>
      <c r="E3350" s="3" t="str">
        <f aca="false">Raw_Data!D3350</f>
        <v>secondary</v>
      </c>
      <c r="F3350" s="3" t="str">
        <f aca="false">Raw_Data!E3350</f>
        <v>no</v>
      </c>
      <c r="G3350" s="3" t="n">
        <f aca="false">Raw_Data!F3350</f>
        <v>1882</v>
      </c>
      <c r="H3350" s="3" t="str">
        <f aca="false">Raw_Data!G3350</f>
        <v>no</v>
      </c>
      <c r="I3350" s="3" t="str">
        <f aca="false">Raw_Data!H3350</f>
        <v>no</v>
      </c>
      <c r="J3350" s="2" t="n">
        <f aca="false">IF(F3350="yes",1,0)</f>
        <v>0</v>
      </c>
      <c r="K3350" s="2" t="n">
        <f aca="false">IF(H3350="yes",1,0)</f>
        <v>0</v>
      </c>
      <c r="L3350" s="2" t="n">
        <f aca="false">IF(I3350="yes",1,0)</f>
        <v>0</v>
      </c>
      <c r="M3350" s="2" t="n">
        <f aca="false">IF(G3350&lt;0,1,0)</f>
        <v>0</v>
      </c>
      <c r="N3350" s="2" t="str">
        <f aca="false">_xlfn.IFS(B3350&lt;30,"Under 30",B3350&lt;40,"30-39",B3350&lt;50,"40-49",B3350&lt;60,"50-59",TRUE(),"60+")</f>
        <v>30-39</v>
      </c>
      <c r="O3350" s="2" t="str">
        <f aca="false">_xlfn.IFS(G3350&lt;0,"1 Negative",G3350=0,"2 Zero",G3350&lt;=500,"3 1-500",G3350&lt;=2000,"4 501-2000",TRUE(),"5 Above 2000")</f>
        <v>4 501-2000</v>
      </c>
      <c r="P3350" s="2" t="n">
        <f aca="false">Lookups!$B$2*M3350+Lookups!$B$3*L3350</f>
        <v>0</v>
      </c>
      <c r="Q3350" s="2" t="str">
        <f aca="false">INDEX(Lookups!$E$2:$E$5,MATCH(P3350,Lookups!$D$2:$D$5,0))</f>
        <v>Low</v>
      </c>
    </row>
    <row r="3351" customFormat="false" ht="15" hidden="false" customHeight="false" outlineLevel="0" collapsed="false">
      <c r="A3351" s="3" t="n">
        <v>3350</v>
      </c>
      <c r="B3351" s="3" t="n">
        <f aca="false">Raw_Data!A3351</f>
        <v>26</v>
      </c>
      <c r="C3351" s="3" t="str">
        <f aca="false">SUBSTITUTE(Raw_Data!B3351,".","")</f>
        <v>management</v>
      </c>
      <c r="D3351" s="3" t="str">
        <f aca="false">Raw_Data!C3351</f>
        <v>married</v>
      </c>
      <c r="E3351" s="3" t="str">
        <f aca="false">Raw_Data!D3351</f>
        <v>tertiary</v>
      </c>
      <c r="F3351" s="3" t="str">
        <f aca="false">Raw_Data!E3351</f>
        <v>no</v>
      </c>
      <c r="G3351" s="3" t="n">
        <f aca="false">Raw_Data!F3351</f>
        <v>265</v>
      </c>
      <c r="H3351" s="3" t="str">
        <f aca="false">Raw_Data!G3351</f>
        <v>no</v>
      </c>
      <c r="I3351" s="3" t="str">
        <f aca="false">Raw_Data!H3351</f>
        <v>no</v>
      </c>
      <c r="J3351" s="2" t="n">
        <f aca="false">IF(F3351="yes",1,0)</f>
        <v>0</v>
      </c>
      <c r="K3351" s="2" t="n">
        <f aca="false">IF(H3351="yes",1,0)</f>
        <v>0</v>
      </c>
      <c r="L3351" s="2" t="n">
        <f aca="false">IF(I3351="yes",1,0)</f>
        <v>0</v>
      </c>
      <c r="M3351" s="2" t="n">
        <f aca="false">IF(G3351&lt;0,1,0)</f>
        <v>0</v>
      </c>
      <c r="N3351" s="2" t="str">
        <f aca="false">_xlfn.IFS(B3351&lt;30,"Under 30",B3351&lt;40,"30-39",B3351&lt;50,"40-49",B3351&lt;60,"50-59",TRUE(),"60+")</f>
        <v>Under 30</v>
      </c>
      <c r="O3351" s="2" t="str">
        <f aca="false">_xlfn.IFS(G3351&lt;0,"1 Negative",G3351=0,"2 Zero",G3351&lt;=500,"3 1-500",G3351&lt;=2000,"4 501-2000",TRUE(),"5 Above 2000")</f>
        <v>3 1-500</v>
      </c>
      <c r="P3351" s="2" t="n">
        <f aca="false">Lookups!$B$2*M3351+Lookups!$B$3*L3351</f>
        <v>0</v>
      </c>
      <c r="Q3351" s="2" t="str">
        <f aca="false">INDEX(Lookups!$E$2:$E$5,MATCH(P3351,Lookups!$D$2:$D$5,0))</f>
        <v>Low</v>
      </c>
    </row>
    <row r="3352" customFormat="false" ht="15" hidden="false" customHeight="false" outlineLevel="0" collapsed="false">
      <c r="A3352" s="3" t="n">
        <v>3351</v>
      </c>
      <c r="B3352" s="3" t="n">
        <f aca="false">Raw_Data!A3352</f>
        <v>31</v>
      </c>
      <c r="C3352" s="3" t="str">
        <f aca="false">SUBSTITUTE(Raw_Data!B3352,".","")</f>
        <v>admin</v>
      </c>
      <c r="D3352" s="3" t="str">
        <f aca="false">Raw_Data!C3352</f>
        <v>married</v>
      </c>
      <c r="E3352" s="3" t="str">
        <f aca="false">Raw_Data!D3352</f>
        <v>secondary</v>
      </c>
      <c r="F3352" s="3" t="str">
        <f aca="false">Raw_Data!E3352</f>
        <v>no</v>
      </c>
      <c r="G3352" s="3" t="n">
        <f aca="false">Raw_Data!F3352</f>
        <v>389</v>
      </c>
      <c r="H3352" s="3" t="str">
        <f aca="false">Raw_Data!G3352</f>
        <v>yes</v>
      </c>
      <c r="I3352" s="3" t="str">
        <f aca="false">Raw_Data!H3352</f>
        <v>no</v>
      </c>
      <c r="J3352" s="2" t="n">
        <f aca="false">IF(F3352="yes",1,0)</f>
        <v>0</v>
      </c>
      <c r="K3352" s="2" t="n">
        <f aca="false">IF(H3352="yes",1,0)</f>
        <v>1</v>
      </c>
      <c r="L3352" s="2" t="n">
        <f aca="false">IF(I3352="yes",1,0)</f>
        <v>0</v>
      </c>
      <c r="M3352" s="2" t="n">
        <f aca="false">IF(G3352&lt;0,1,0)</f>
        <v>0</v>
      </c>
      <c r="N3352" s="2" t="str">
        <f aca="false">_xlfn.IFS(B3352&lt;30,"Under 30",B3352&lt;40,"30-39",B3352&lt;50,"40-49",B3352&lt;60,"50-59",TRUE(),"60+")</f>
        <v>30-39</v>
      </c>
      <c r="O3352" s="2" t="str">
        <f aca="false">_xlfn.IFS(G3352&lt;0,"1 Negative",G3352=0,"2 Zero",G3352&lt;=500,"3 1-500",G3352&lt;=2000,"4 501-2000",TRUE(),"5 Above 2000")</f>
        <v>3 1-500</v>
      </c>
      <c r="P3352" s="2" t="n">
        <f aca="false">Lookups!$B$2*M3352+Lookups!$B$3*L3352</f>
        <v>0</v>
      </c>
      <c r="Q3352" s="2" t="str">
        <f aca="false">INDEX(Lookups!$E$2:$E$5,MATCH(P3352,Lookups!$D$2:$D$5,0))</f>
        <v>Low</v>
      </c>
    </row>
    <row r="3353" customFormat="false" ht="15" hidden="false" customHeight="false" outlineLevel="0" collapsed="false">
      <c r="A3353" s="3" t="n">
        <v>3352</v>
      </c>
      <c r="B3353" s="3" t="n">
        <f aca="false">Raw_Data!A3353</f>
        <v>49</v>
      </c>
      <c r="C3353" s="3" t="str">
        <f aca="false">SUBSTITUTE(Raw_Data!B3353,".","")</f>
        <v>admin</v>
      </c>
      <c r="D3353" s="3" t="str">
        <f aca="false">Raw_Data!C3353</f>
        <v>married</v>
      </c>
      <c r="E3353" s="3" t="str">
        <f aca="false">Raw_Data!D3353</f>
        <v>secondary</v>
      </c>
      <c r="F3353" s="3" t="str">
        <f aca="false">Raw_Data!E3353</f>
        <v>no</v>
      </c>
      <c r="G3353" s="3" t="n">
        <f aca="false">Raw_Data!F3353</f>
        <v>0</v>
      </c>
      <c r="H3353" s="3" t="str">
        <f aca="false">Raw_Data!G3353</f>
        <v>yes</v>
      </c>
      <c r="I3353" s="3" t="str">
        <f aca="false">Raw_Data!H3353</f>
        <v>yes</v>
      </c>
      <c r="J3353" s="2" t="n">
        <f aca="false">IF(F3353="yes",1,0)</f>
        <v>0</v>
      </c>
      <c r="K3353" s="2" t="n">
        <f aca="false">IF(H3353="yes",1,0)</f>
        <v>1</v>
      </c>
      <c r="L3353" s="2" t="n">
        <f aca="false">IF(I3353="yes",1,0)</f>
        <v>1</v>
      </c>
      <c r="M3353" s="2" t="n">
        <f aca="false">IF(G3353&lt;0,1,0)</f>
        <v>0</v>
      </c>
      <c r="N3353" s="2" t="str">
        <f aca="false">_xlfn.IFS(B3353&lt;30,"Under 30",B3353&lt;40,"30-39",B3353&lt;50,"40-49",B3353&lt;60,"50-59",TRUE(),"60+")</f>
        <v>40-49</v>
      </c>
      <c r="O3353" s="2" t="str">
        <f aca="false">_xlfn.IFS(G3353&lt;0,"1 Negative",G3353=0,"2 Zero",G3353&lt;=500,"3 1-500",G3353&lt;=2000,"4 501-2000",TRUE(),"5 Above 2000")</f>
        <v>2 Zero</v>
      </c>
      <c r="P3353" s="2" t="n">
        <f aca="false">Lookups!$B$2*M3353+Lookups!$B$3*L3353</f>
        <v>1</v>
      </c>
      <c r="Q3353" s="2" t="str">
        <f aca="false">INDEX(Lookups!$E$2:$E$5,MATCH(P3353,Lookups!$D$2:$D$5,0))</f>
        <v>Medium</v>
      </c>
    </row>
    <row r="3354" customFormat="false" ht="15" hidden="false" customHeight="false" outlineLevel="0" collapsed="false">
      <c r="A3354" s="3" t="n">
        <v>3353</v>
      </c>
      <c r="B3354" s="3" t="n">
        <f aca="false">Raw_Data!A3354</f>
        <v>54</v>
      </c>
      <c r="C3354" s="3" t="str">
        <f aca="false">SUBSTITUTE(Raw_Data!B3354,".","")</f>
        <v>management</v>
      </c>
      <c r="D3354" s="3" t="str">
        <f aca="false">Raw_Data!C3354</f>
        <v>married</v>
      </c>
      <c r="E3354" s="3" t="str">
        <f aca="false">Raw_Data!D3354</f>
        <v>tertiary</v>
      </c>
      <c r="F3354" s="3" t="str">
        <f aca="false">Raw_Data!E3354</f>
        <v>no</v>
      </c>
      <c r="G3354" s="3" t="n">
        <f aca="false">Raw_Data!F3354</f>
        <v>384</v>
      </c>
      <c r="H3354" s="3" t="str">
        <f aca="false">Raw_Data!G3354</f>
        <v>yes</v>
      </c>
      <c r="I3354" s="3" t="str">
        <f aca="false">Raw_Data!H3354</f>
        <v>no</v>
      </c>
      <c r="J3354" s="2" t="n">
        <f aca="false">IF(F3354="yes",1,0)</f>
        <v>0</v>
      </c>
      <c r="K3354" s="2" t="n">
        <f aca="false">IF(H3354="yes",1,0)</f>
        <v>1</v>
      </c>
      <c r="L3354" s="2" t="n">
        <f aca="false">IF(I3354="yes",1,0)</f>
        <v>0</v>
      </c>
      <c r="M3354" s="2" t="n">
        <f aca="false">IF(G3354&lt;0,1,0)</f>
        <v>0</v>
      </c>
      <c r="N3354" s="2" t="str">
        <f aca="false">_xlfn.IFS(B3354&lt;30,"Under 30",B3354&lt;40,"30-39",B3354&lt;50,"40-49",B3354&lt;60,"50-59",TRUE(),"60+")</f>
        <v>50-59</v>
      </c>
      <c r="O3354" s="2" t="str">
        <f aca="false">_xlfn.IFS(G3354&lt;0,"1 Negative",G3354=0,"2 Zero",G3354&lt;=500,"3 1-500",G3354&lt;=2000,"4 501-2000",TRUE(),"5 Above 2000")</f>
        <v>3 1-500</v>
      </c>
      <c r="P3354" s="2" t="n">
        <f aca="false">Lookups!$B$2*M3354+Lookups!$B$3*L3354</f>
        <v>0</v>
      </c>
      <c r="Q3354" s="2" t="str">
        <f aca="false">INDEX(Lookups!$E$2:$E$5,MATCH(P3354,Lookups!$D$2:$D$5,0))</f>
        <v>Low</v>
      </c>
    </row>
    <row r="3355" customFormat="false" ht="15" hidden="false" customHeight="false" outlineLevel="0" collapsed="false">
      <c r="A3355" s="3" t="n">
        <v>3354</v>
      </c>
      <c r="B3355" s="3" t="n">
        <f aca="false">Raw_Data!A3355</f>
        <v>47</v>
      </c>
      <c r="C3355" s="3" t="str">
        <f aca="false">SUBSTITUTE(Raw_Data!B3355,".","")</f>
        <v>management</v>
      </c>
      <c r="D3355" s="3" t="str">
        <f aca="false">Raw_Data!C3355</f>
        <v>divorced</v>
      </c>
      <c r="E3355" s="3" t="str">
        <f aca="false">Raw_Data!D3355</f>
        <v>tertiary</v>
      </c>
      <c r="F3355" s="3" t="str">
        <f aca="false">Raw_Data!E3355</f>
        <v>no</v>
      </c>
      <c r="G3355" s="3" t="n">
        <f aca="false">Raw_Data!F3355</f>
        <v>94</v>
      </c>
      <c r="H3355" s="3" t="str">
        <f aca="false">Raw_Data!G3355</f>
        <v>yes</v>
      </c>
      <c r="I3355" s="3" t="str">
        <f aca="false">Raw_Data!H3355</f>
        <v>no</v>
      </c>
      <c r="J3355" s="2" t="n">
        <f aca="false">IF(F3355="yes",1,0)</f>
        <v>0</v>
      </c>
      <c r="K3355" s="2" t="n">
        <f aca="false">IF(H3355="yes",1,0)</f>
        <v>1</v>
      </c>
      <c r="L3355" s="2" t="n">
        <f aca="false">IF(I3355="yes",1,0)</f>
        <v>0</v>
      </c>
      <c r="M3355" s="2" t="n">
        <f aca="false">IF(G3355&lt;0,1,0)</f>
        <v>0</v>
      </c>
      <c r="N3355" s="2" t="str">
        <f aca="false">_xlfn.IFS(B3355&lt;30,"Under 30",B3355&lt;40,"30-39",B3355&lt;50,"40-49",B3355&lt;60,"50-59",TRUE(),"60+")</f>
        <v>40-49</v>
      </c>
      <c r="O3355" s="2" t="str">
        <f aca="false">_xlfn.IFS(G3355&lt;0,"1 Negative",G3355=0,"2 Zero",G3355&lt;=500,"3 1-500",G3355&lt;=2000,"4 501-2000",TRUE(),"5 Above 2000")</f>
        <v>3 1-500</v>
      </c>
      <c r="P3355" s="2" t="n">
        <f aca="false">Lookups!$B$2*M3355+Lookups!$B$3*L3355</f>
        <v>0</v>
      </c>
      <c r="Q3355" s="2" t="str">
        <f aca="false">INDEX(Lookups!$E$2:$E$5,MATCH(P3355,Lookups!$D$2:$D$5,0))</f>
        <v>Low</v>
      </c>
    </row>
    <row r="3356" customFormat="false" ht="15" hidden="false" customHeight="false" outlineLevel="0" collapsed="false">
      <c r="A3356" s="3" t="n">
        <v>3355</v>
      </c>
      <c r="B3356" s="3" t="n">
        <f aca="false">Raw_Data!A3356</f>
        <v>61</v>
      </c>
      <c r="C3356" s="3" t="str">
        <f aca="false">SUBSTITUTE(Raw_Data!B3356,".","")</f>
        <v>management</v>
      </c>
      <c r="D3356" s="3" t="str">
        <f aca="false">Raw_Data!C3356</f>
        <v>married</v>
      </c>
      <c r="E3356" s="3" t="str">
        <f aca="false">Raw_Data!D3356</f>
        <v>secondary</v>
      </c>
      <c r="F3356" s="3" t="str">
        <f aca="false">Raw_Data!E3356</f>
        <v>no</v>
      </c>
      <c r="G3356" s="3" t="n">
        <f aca="false">Raw_Data!F3356</f>
        <v>1471</v>
      </c>
      <c r="H3356" s="3" t="str">
        <f aca="false">Raw_Data!G3356</f>
        <v>no</v>
      </c>
      <c r="I3356" s="3" t="str">
        <f aca="false">Raw_Data!H3356</f>
        <v>no</v>
      </c>
      <c r="J3356" s="2" t="n">
        <f aca="false">IF(F3356="yes",1,0)</f>
        <v>0</v>
      </c>
      <c r="K3356" s="2" t="n">
        <f aca="false">IF(H3356="yes",1,0)</f>
        <v>0</v>
      </c>
      <c r="L3356" s="2" t="n">
        <f aca="false">IF(I3356="yes",1,0)</f>
        <v>0</v>
      </c>
      <c r="M3356" s="2" t="n">
        <f aca="false">IF(G3356&lt;0,1,0)</f>
        <v>0</v>
      </c>
      <c r="N3356" s="2" t="str">
        <f aca="false">_xlfn.IFS(B3356&lt;30,"Under 30",B3356&lt;40,"30-39",B3356&lt;50,"40-49",B3356&lt;60,"50-59",TRUE(),"60+")</f>
        <v>60+</v>
      </c>
      <c r="O3356" s="2" t="str">
        <f aca="false">_xlfn.IFS(G3356&lt;0,"1 Negative",G3356=0,"2 Zero",G3356&lt;=500,"3 1-500",G3356&lt;=2000,"4 501-2000",TRUE(),"5 Above 2000")</f>
        <v>4 501-2000</v>
      </c>
      <c r="P3356" s="2" t="n">
        <f aca="false">Lookups!$B$2*M3356+Lookups!$B$3*L3356</f>
        <v>0</v>
      </c>
      <c r="Q3356" s="2" t="str">
        <f aca="false">INDEX(Lookups!$E$2:$E$5,MATCH(P3356,Lookups!$D$2:$D$5,0))</f>
        <v>Low</v>
      </c>
    </row>
    <row r="3357" customFormat="false" ht="15" hidden="false" customHeight="false" outlineLevel="0" collapsed="false">
      <c r="A3357" s="3" t="n">
        <v>3356</v>
      </c>
      <c r="B3357" s="3" t="n">
        <f aca="false">Raw_Data!A3357</f>
        <v>49</v>
      </c>
      <c r="C3357" s="3" t="str">
        <f aca="false">SUBSTITUTE(Raw_Data!B3357,".","")</f>
        <v>blue-collar</v>
      </c>
      <c r="D3357" s="3" t="str">
        <f aca="false">Raw_Data!C3357</f>
        <v>married</v>
      </c>
      <c r="E3357" s="3" t="str">
        <f aca="false">Raw_Data!D3357</f>
        <v>primary</v>
      </c>
      <c r="F3357" s="3" t="str">
        <f aca="false">Raw_Data!E3357</f>
        <v>no</v>
      </c>
      <c r="G3357" s="3" t="n">
        <f aca="false">Raw_Data!F3357</f>
        <v>937</v>
      </c>
      <c r="H3357" s="3" t="str">
        <f aca="false">Raw_Data!G3357</f>
        <v>yes</v>
      </c>
      <c r="I3357" s="3" t="str">
        <f aca="false">Raw_Data!H3357</f>
        <v>no</v>
      </c>
      <c r="J3357" s="2" t="n">
        <f aca="false">IF(F3357="yes",1,0)</f>
        <v>0</v>
      </c>
      <c r="K3357" s="2" t="n">
        <f aca="false">IF(H3357="yes",1,0)</f>
        <v>1</v>
      </c>
      <c r="L3357" s="2" t="n">
        <f aca="false">IF(I3357="yes",1,0)</f>
        <v>0</v>
      </c>
      <c r="M3357" s="2" t="n">
        <f aca="false">IF(G3357&lt;0,1,0)</f>
        <v>0</v>
      </c>
      <c r="N3357" s="2" t="str">
        <f aca="false">_xlfn.IFS(B3357&lt;30,"Under 30",B3357&lt;40,"30-39",B3357&lt;50,"40-49",B3357&lt;60,"50-59",TRUE(),"60+")</f>
        <v>40-49</v>
      </c>
      <c r="O3357" s="2" t="str">
        <f aca="false">_xlfn.IFS(G3357&lt;0,"1 Negative",G3357=0,"2 Zero",G3357&lt;=500,"3 1-500",G3357&lt;=2000,"4 501-2000",TRUE(),"5 Above 2000")</f>
        <v>4 501-2000</v>
      </c>
      <c r="P3357" s="2" t="n">
        <f aca="false">Lookups!$B$2*M3357+Lookups!$B$3*L3357</f>
        <v>0</v>
      </c>
      <c r="Q3357" s="2" t="str">
        <f aca="false">INDEX(Lookups!$E$2:$E$5,MATCH(P3357,Lookups!$D$2:$D$5,0))</f>
        <v>Low</v>
      </c>
    </row>
    <row r="3358" customFormat="false" ht="15" hidden="false" customHeight="false" outlineLevel="0" collapsed="false">
      <c r="A3358" s="3" t="n">
        <v>3357</v>
      </c>
      <c r="B3358" s="3" t="n">
        <f aca="false">Raw_Data!A3358</f>
        <v>51</v>
      </c>
      <c r="C3358" s="3" t="str">
        <f aca="false">SUBSTITUTE(Raw_Data!B3358,".","")</f>
        <v>technician</v>
      </c>
      <c r="D3358" s="3" t="str">
        <f aca="false">Raw_Data!C3358</f>
        <v>married</v>
      </c>
      <c r="E3358" s="3" t="str">
        <f aca="false">Raw_Data!D3358</f>
        <v>secondary</v>
      </c>
      <c r="F3358" s="3" t="str">
        <f aca="false">Raw_Data!E3358</f>
        <v>no</v>
      </c>
      <c r="G3358" s="3" t="n">
        <f aca="false">Raw_Data!F3358</f>
        <v>500</v>
      </c>
      <c r="H3358" s="3" t="str">
        <f aca="false">Raw_Data!G3358</f>
        <v>yes</v>
      </c>
      <c r="I3358" s="3" t="str">
        <f aca="false">Raw_Data!H3358</f>
        <v>no</v>
      </c>
      <c r="J3358" s="2" t="n">
        <f aca="false">IF(F3358="yes",1,0)</f>
        <v>0</v>
      </c>
      <c r="K3358" s="2" t="n">
        <f aca="false">IF(H3358="yes",1,0)</f>
        <v>1</v>
      </c>
      <c r="L3358" s="2" t="n">
        <f aca="false">IF(I3358="yes",1,0)</f>
        <v>0</v>
      </c>
      <c r="M3358" s="2" t="n">
        <f aca="false">IF(G3358&lt;0,1,0)</f>
        <v>0</v>
      </c>
      <c r="N3358" s="2" t="str">
        <f aca="false">_xlfn.IFS(B3358&lt;30,"Under 30",B3358&lt;40,"30-39",B3358&lt;50,"40-49",B3358&lt;60,"50-59",TRUE(),"60+")</f>
        <v>50-59</v>
      </c>
      <c r="O3358" s="2" t="str">
        <f aca="false">_xlfn.IFS(G3358&lt;0,"1 Negative",G3358=0,"2 Zero",G3358&lt;=500,"3 1-500",G3358&lt;=2000,"4 501-2000",TRUE(),"5 Above 2000")</f>
        <v>3 1-500</v>
      </c>
      <c r="P3358" s="2" t="n">
        <f aca="false">Lookups!$B$2*M3358+Lookups!$B$3*L3358</f>
        <v>0</v>
      </c>
      <c r="Q3358" s="2" t="str">
        <f aca="false">INDEX(Lookups!$E$2:$E$5,MATCH(P3358,Lookups!$D$2:$D$5,0))</f>
        <v>Low</v>
      </c>
    </row>
    <row r="3359" customFormat="false" ht="15" hidden="false" customHeight="false" outlineLevel="0" collapsed="false">
      <c r="A3359" s="3" t="n">
        <v>3358</v>
      </c>
      <c r="B3359" s="3" t="n">
        <f aca="false">Raw_Data!A3359</f>
        <v>53</v>
      </c>
      <c r="C3359" s="3" t="str">
        <f aca="false">SUBSTITUTE(Raw_Data!B3359,".","")</f>
        <v>blue-collar</v>
      </c>
      <c r="D3359" s="3" t="str">
        <f aca="false">Raw_Data!C3359</f>
        <v>married</v>
      </c>
      <c r="E3359" s="3" t="str">
        <f aca="false">Raw_Data!D3359</f>
        <v>primary</v>
      </c>
      <c r="F3359" s="3" t="str">
        <f aca="false">Raw_Data!E3359</f>
        <v>no</v>
      </c>
      <c r="G3359" s="3" t="n">
        <f aca="false">Raw_Data!F3359</f>
        <v>25</v>
      </c>
      <c r="H3359" s="3" t="str">
        <f aca="false">Raw_Data!G3359</f>
        <v>yes</v>
      </c>
      <c r="I3359" s="3" t="str">
        <f aca="false">Raw_Data!H3359</f>
        <v>no</v>
      </c>
      <c r="J3359" s="2" t="n">
        <f aca="false">IF(F3359="yes",1,0)</f>
        <v>0</v>
      </c>
      <c r="K3359" s="2" t="n">
        <f aca="false">IF(H3359="yes",1,0)</f>
        <v>1</v>
      </c>
      <c r="L3359" s="2" t="n">
        <f aca="false">IF(I3359="yes",1,0)</f>
        <v>0</v>
      </c>
      <c r="M3359" s="2" t="n">
        <f aca="false">IF(G3359&lt;0,1,0)</f>
        <v>0</v>
      </c>
      <c r="N3359" s="2" t="str">
        <f aca="false">_xlfn.IFS(B3359&lt;30,"Under 30",B3359&lt;40,"30-39",B3359&lt;50,"40-49",B3359&lt;60,"50-59",TRUE(),"60+")</f>
        <v>50-59</v>
      </c>
      <c r="O3359" s="2" t="str">
        <f aca="false">_xlfn.IFS(G3359&lt;0,"1 Negative",G3359=0,"2 Zero",G3359&lt;=500,"3 1-500",G3359&lt;=2000,"4 501-2000",TRUE(),"5 Above 2000")</f>
        <v>3 1-500</v>
      </c>
      <c r="P3359" s="2" t="n">
        <f aca="false">Lookups!$B$2*M3359+Lookups!$B$3*L3359</f>
        <v>0</v>
      </c>
      <c r="Q3359" s="2" t="str">
        <f aca="false">INDEX(Lookups!$E$2:$E$5,MATCH(P3359,Lookups!$D$2:$D$5,0))</f>
        <v>Low</v>
      </c>
    </row>
    <row r="3360" customFormat="false" ht="15" hidden="false" customHeight="false" outlineLevel="0" collapsed="false">
      <c r="A3360" s="3" t="n">
        <v>3359</v>
      </c>
      <c r="B3360" s="3" t="n">
        <f aca="false">Raw_Data!A3360</f>
        <v>35</v>
      </c>
      <c r="C3360" s="3" t="str">
        <f aca="false">SUBSTITUTE(Raw_Data!B3360,".","")</f>
        <v>management</v>
      </c>
      <c r="D3360" s="3" t="str">
        <f aca="false">Raw_Data!C3360</f>
        <v>married</v>
      </c>
      <c r="E3360" s="3" t="str">
        <f aca="false">Raw_Data!D3360</f>
        <v>tertiary</v>
      </c>
      <c r="F3360" s="3" t="str">
        <f aca="false">Raw_Data!E3360</f>
        <v>no</v>
      </c>
      <c r="G3360" s="3" t="n">
        <f aca="false">Raw_Data!F3360</f>
        <v>365</v>
      </c>
      <c r="H3360" s="3" t="str">
        <f aca="false">Raw_Data!G3360</f>
        <v>no</v>
      </c>
      <c r="I3360" s="3" t="str">
        <f aca="false">Raw_Data!H3360</f>
        <v>no</v>
      </c>
      <c r="J3360" s="2" t="n">
        <f aca="false">IF(F3360="yes",1,0)</f>
        <v>0</v>
      </c>
      <c r="K3360" s="2" t="n">
        <f aca="false">IF(H3360="yes",1,0)</f>
        <v>0</v>
      </c>
      <c r="L3360" s="2" t="n">
        <f aca="false">IF(I3360="yes",1,0)</f>
        <v>0</v>
      </c>
      <c r="M3360" s="2" t="n">
        <f aca="false">IF(G3360&lt;0,1,0)</f>
        <v>0</v>
      </c>
      <c r="N3360" s="2" t="str">
        <f aca="false">_xlfn.IFS(B3360&lt;30,"Under 30",B3360&lt;40,"30-39",B3360&lt;50,"40-49",B3360&lt;60,"50-59",TRUE(),"60+")</f>
        <v>30-39</v>
      </c>
      <c r="O3360" s="2" t="str">
        <f aca="false">_xlfn.IFS(G3360&lt;0,"1 Negative",G3360=0,"2 Zero",G3360&lt;=500,"3 1-500",G3360&lt;=2000,"4 501-2000",TRUE(),"5 Above 2000")</f>
        <v>3 1-500</v>
      </c>
      <c r="P3360" s="2" t="n">
        <f aca="false">Lookups!$B$2*M3360+Lookups!$B$3*L3360</f>
        <v>0</v>
      </c>
      <c r="Q3360" s="2" t="str">
        <f aca="false">INDEX(Lookups!$E$2:$E$5,MATCH(P3360,Lookups!$D$2:$D$5,0))</f>
        <v>Low</v>
      </c>
    </row>
    <row r="3361" customFormat="false" ht="15" hidden="false" customHeight="false" outlineLevel="0" collapsed="false">
      <c r="A3361" s="3" t="n">
        <v>3360</v>
      </c>
      <c r="B3361" s="3" t="n">
        <f aca="false">Raw_Data!A3361</f>
        <v>25</v>
      </c>
      <c r="C3361" s="3" t="str">
        <f aca="false">SUBSTITUTE(Raw_Data!B3361,".","")</f>
        <v>unemployed</v>
      </c>
      <c r="D3361" s="3" t="str">
        <f aca="false">Raw_Data!C3361</f>
        <v>single</v>
      </c>
      <c r="E3361" s="3" t="str">
        <f aca="false">Raw_Data!D3361</f>
        <v>secondary</v>
      </c>
      <c r="F3361" s="3" t="str">
        <f aca="false">Raw_Data!E3361</f>
        <v>no</v>
      </c>
      <c r="G3361" s="3" t="n">
        <f aca="false">Raw_Data!F3361</f>
        <v>34</v>
      </c>
      <c r="H3361" s="3" t="str">
        <f aca="false">Raw_Data!G3361</f>
        <v>no</v>
      </c>
      <c r="I3361" s="3" t="str">
        <f aca="false">Raw_Data!H3361</f>
        <v>yes</v>
      </c>
      <c r="J3361" s="2" t="n">
        <f aca="false">IF(F3361="yes",1,0)</f>
        <v>0</v>
      </c>
      <c r="K3361" s="2" t="n">
        <f aca="false">IF(H3361="yes",1,0)</f>
        <v>0</v>
      </c>
      <c r="L3361" s="2" t="n">
        <f aca="false">IF(I3361="yes",1,0)</f>
        <v>1</v>
      </c>
      <c r="M3361" s="2" t="n">
        <f aca="false">IF(G3361&lt;0,1,0)</f>
        <v>0</v>
      </c>
      <c r="N3361" s="2" t="str">
        <f aca="false">_xlfn.IFS(B3361&lt;30,"Under 30",B3361&lt;40,"30-39",B3361&lt;50,"40-49",B3361&lt;60,"50-59",TRUE(),"60+")</f>
        <v>Under 30</v>
      </c>
      <c r="O3361" s="2" t="str">
        <f aca="false">_xlfn.IFS(G3361&lt;0,"1 Negative",G3361=0,"2 Zero",G3361&lt;=500,"3 1-500",G3361&lt;=2000,"4 501-2000",TRUE(),"5 Above 2000")</f>
        <v>3 1-500</v>
      </c>
      <c r="P3361" s="2" t="n">
        <f aca="false">Lookups!$B$2*M3361+Lookups!$B$3*L3361</f>
        <v>1</v>
      </c>
      <c r="Q3361" s="2" t="str">
        <f aca="false">INDEX(Lookups!$E$2:$E$5,MATCH(P3361,Lookups!$D$2:$D$5,0))</f>
        <v>Medium</v>
      </c>
    </row>
    <row r="3362" customFormat="false" ht="15" hidden="false" customHeight="false" outlineLevel="0" collapsed="false">
      <c r="A3362" s="3" t="n">
        <v>3361</v>
      </c>
      <c r="B3362" s="3" t="n">
        <f aca="false">Raw_Data!A3362</f>
        <v>79</v>
      </c>
      <c r="C3362" s="3" t="str">
        <f aca="false">SUBSTITUTE(Raw_Data!B3362,".","")</f>
        <v>retired</v>
      </c>
      <c r="D3362" s="3" t="str">
        <f aca="false">Raw_Data!C3362</f>
        <v>married</v>
      </c>
      <c r="E3362" s="3" t="str">
        <f aca="false">Raw_Data!D3362</f>
        <v>primary</v>
      </c>
      <c r="F3362" s="3" t="str">
        <f aca="false">Raw_Data!E3362</f>
        <v>no</v>
      </c>
      <c r="G3362" s="3" t="n">
        <f aca="false">Raw_Data!F3362</f>
        <v>429</v>
      </c>
      <c r="H3362" s="3" t="str">
        <f aca="false">Raw_Data!G3362</f>
        <v>no</v>
      </c>
      <c r="I3362" s="3" t="str">
        <f aca="false">Raw_Data!H3362</f>
        <v>no</v>
      </c>
      <c r="J3362" s="2" t="n">
        <f aca="false">IF(F3362="yes",1,0)</f>
        <v>0</v>
      </c>
      <c r="K3362" s="2" t="n">
        <f aca="false">IF(H3362="yes",1,0)</f>
        <v>0</v>
      </c>
      <c r="L3362" s="2" t="n">
        <f aca="false">IF(I3362="yes",1,0)</f>
        <v>0</v>
      </c>
      <c r="M3362" s="2" t="n">
        <f aca="false">IF(G3362&lt;0,1,0)</f>
        <v>0</v>
      </c>
      <c r="N3362" s="2" t="str">
        <f aca="false">_xlfn.IFS(B3362&lt;30,"Under 30",B3362&lt;40,"30-39",B3362&lt;50,"40-49",B3362&lt;60,"50-59",TRUE(),"60+")</f>
        <v>60+</v>
      </c>
      <c r="O3362" s="2" t="str">
        <f aca="false">_xlfn.IFS(G3362&lt;0,"1 Negative",G3362=0,"2 Zero",G3362&lt;=500,"3 1-500",G3362&lt;=2000,"4 501-2000",TRUE(),"5 Above 2000")</f>
        <v>3 1-500</v>
      </c>
      <c r="P3362" s="2" t="n">
        <f aca="false">Lookups!$B$2*M3362+Lookups!$B$3*L3362</f>
        <v>0</v>
      </c>
      <c r="Q3362" s="2" t="str">
        <f aca="false">INDEX(Lookups!$E$2:$E$5,MATCH(P3362,Lookups!$D$2:$D$5,0))</f>
        <v>Low</v>
      </c>
    </row>
    <row r="3363" customFormat="false" ht="15" hidden="false" customHeight="false" outlineLevel="0" collapsed="false">
      <c r="A3363" s="3" t="n">
        <v>3362</v>
      </c>
      <c r="B3363" s="3" t="n">
        <f aca="false">Raw_Data!A3363</f>
        <v>53</v>
      </c>
      <c r="C3363" s="3" t="str">
        <f aca="false">SUBSTITUTE(Raw_Data!B3363,".","")</f>
        <v>technician</v>
      </c>
      <c r="D3363" s="3" t="str">
        <f aca="false">Raw_Data!C3363</f>
        <v>married</v>
      </c>
      <c r="E3363" s="3" t="str">
        <f aca="false">Raw_Data!D3363</f>
        <v>primary</v>
      </c>
      <c r="F3363" s="3" t="str">
        <f aca="false">Raw_Data!E3363</f>
        <v>no</v>
      </c>
      <c r="G3363" s="3" t="n">
        <f aca="false">Raw_Data!F3363</f>
        <v>6839</v>
      </c>
      <c r="H3363" s="3" t="str">
        <f aca="false">Raw_Data!G3363</f>
        <v>yes</v>
      </c>
      <c r="I3363" s="3" t="str">
        <f aca="false">Raw_Data!H3363</f>
        <v>no</v>
      </c>
      <c r="J3363" s="2" t="n">
        <f aca="false">IF(F3363="yes",1,0)</f>
        <v>0</v>
      </c>
      <c r="K3363" s="2" t="n">
        <f aca="false">IF(H3363="yes",1,0)</f>
        <v>1</v>
      </c>
      <c r="L3363" s="2" t="n">
        <f aca="false">IF(I3363="yes",1,0)</f>
        <v>0</v>
      </c>
      <c r="M3363" s="2" t="n">
        <f aca="false">IF(G3363&lt;0,1,0)</f>
        <v>0</v>
      </c>
      <c r="N3363" s="2" t="str">
        <f aca="false">_xlfn.IFS(B3363&lt;30,"Under 30",B3363&lt;40,"30-39",B3363&lt;50,"40-49",B3363&lt;60,"50-59",TRUE(),"60+")</f>
        <v>50-59</v>
      </c>
      <c r="O3363" s="2" t="str">
        <f aca="false">_xlfn.IFS(G3363&lt;0,"1 Negative",G3363=0,"2 Zero",G3363&lt;=500,"3 1-500",G3363&lt;=2000,"4 501-2000",TRUE(),"5 Above 2000")</f>
        <v>5 Above 2000</v>
      </c>
      <c r="P3363" s="2" t="n">
        <f aca="false">Lookups!$B$2*M3363+Lookups!$B$3*L3363</f>
        <v>0</v>
      </c>
      <c r="Q3363" s="2" t="str">
        <f aca="false">INDEX(Lookups!$E$2:$E$5,MATCH(P3363,Lookups!$D$2:$D$5,0))</f>
        <v>Low</v>
      </c>
    </row>
    <row r="3364" customFormat="false" ht="15" hidden="false" customHeight="false" outlineLevel="0" collapsed="false">
      <c r="A3364" s="3" t="n">
        <v>3363</v>
      </c>
      <c r="B3364" s="3" t="n">
        <f aca="false">Raw_Data!A3364</f>
        <v>21</v>
      </c>
      <c r="C3364" s="3" t="str">
        <f aca="false">SUBSTITUTE(Raw_Data!B3364,".","")</f>
        <v>student</v>
      </c>
      <c r="D3364" s="3" t="str">
        <f aca="false">Raw_Data!C3364</f>
        <v>single</v>
      </c>
      <c r="E3364" s="3" t="str">
        <f aca="false">Raw_Data!D3364</f>
        <v>secondary</v>
      </c>
      <c r="F3364" s="3" t="str">
        <f aca="false">Raw_Data!E3364</f>
        <v>no</v>
      </c>
      <c r="G3364" s="3" t="n">
        <f aca="false">Raw_Data!F3364</f>
        <v>6</v>
      </c>
      <c r="H3364" s="3" t="str">
        <f aca="false">Raw_Data!G3364</f>
        <v>no</v>
      </c>
      <c r="I3364" s="3" t="str">
        <f aca="false">Raw_Data!H3364</f>
        <v>no</v>
      </c>
      <c r="J3364" s="2" t="n">
        <f aca="false">IF(F3364="yes",1,0)</f>
        <v>0</v>
      </c>
      <c r="K3364" s="2" t="n">
        <f aca="false">IF(H3364="yes",1,0)</f>
        <v>0</v>
      </c>
      <c r="L3364" s="2" t="n">
        <f aca="false">IF(I3364="yes",1,0)</f>
        <v>0</v>
      </c>
      <c r="M3364" s="2" t="n">
        <f aca="false">IF(G3364&lt;0,1,0)</f>
        <v>0</v>
      </c>
      <c r="N3364" s="2" t="str">
        <f aca="false">_xlfn.IFS(B3364&lt;30,"Under 30",B3364&lt;40,"30-39",B3364&lt;50,"40-49",B3364&lt;60,"50-59",TRUE(),"60+")</f>
        <v>Under 30</v>
      </c>
      <c r="O3364" s="2" t="str">
        <f aca="false">_xlfn.IFS(G3364&lt;0,"1 Negative",G3364=0,"2 Zero",G3364&lt;=500,"3 1-500",G3364&lt;=2000,"4 501-2000",TRUE(),"5 Above 2000")</f>
        <v>3 1-500</v>
      </c>
      <c r="P3364" s="2" t="n">
        <f aca="false">Lookups!$B$2*M3364+Lookups!$B$3*L3364</f>
        <v>0</v>
      </c>
      <c r="Q3364" s="2" t="str">
        <f aca="false">INDEX(Lookups!$E$2:$E$5,MATCH(P3364,Lookups!$D$2:$D$5,0))</f>
        <v>Low</v>
      </c>
    </row>
    <row r="3365" customFormat="false" ht="15" hidden="false" customHeight="false" outlineLevel="0" collapsed="false">
      <c r="A3365" s="3" t="n">
        <v>3364</v>
      </c>
      <c r="B3365" s="3" t="n">
        <f aca="false">Raw_Data!A3365</f>
        <v>33</v>
      </c>
      <c r="C3365" s="3" t="str">
        <f aca="false">SUBSTITUTE(Raw_Data!B3365,".","")</f>
        <v>blue-collar</v>
      </c>
      <c r="D3365" s="3" t="str">
        <f aca="false">Raw_Data!C3365</f>
        <v>married</v>
      </c>
      <c r="E3365" s="3" t="str">
        <f aca="false">Raw_Data!D3365</f>
        <v>secondary</v>
      </c>
      <c r="F3365" s="3" t="str">
        <f aca="false">Raw_Data!E3365</f>
        <v>no</v>
      </c>
      <c r="G3365" s="3" t="n">
        <f aca="false">Raw_Data!F3365</f>
        <v>467</v>
      </c>
      <c r="H3365" s="3" t="str">
        <f aca="false">Raw_Data!G3365</f>
        <v>yes</v>
      </c>
      <c r="I3365" s="3" t="str">
        <f aca="false">Raw_Data!H3365</f>
        <v>no</v>
      </c>
      <c r="J3365" s="2" t="n">
        <f aca="false">IF(F3365="yes",1,0)</f>
        <v>0</v>
      </c>
      <c r="K3365" s="2" t="n">
        <f aca="false">IF(H3365="yes",1,0)</f>
        <v>1</v>
      </c>
      <c r="L3365" s="2" t="n">
        <f aca="false">IF(I3365="yes",1,0)</f>
        <v>0</v>
      </c>
      <c r="M3365" s="2" t="n">
        <f aca="false">IF(G3365&lt;0,1,0)</f>
        <v>0</v>
      </c>
      <c r="N3365" s="2" t="str">
        <f aca="false">_xlfn.IFS(B3365&lt;30,"Under 30",B3365&lt;40,"30-39",B3365&lt;50,"40-49",B3365&lt;60,"50-59",TRUE(),"60+")</f>
        <v>30-39</v>
      </c>
      <c r="O3365" s="2" t="str">
        <f aca="false">_xlfn.IFS(G3365&lt;0,"1 Negative",G3365=0,"2 Zero",G3365&lt;=500,"3 1-500",G3365&lt;=2000,"4 501-2000",TRUE(),"5 Above 2000")</f>
        <v>3 1-500</v>
      </c>
      <c r="P3365" s="2" t="n">
        <f aca="false">Lookups!$B$2*M3365+Lookups!$B$3*L3365</f>
        <v>0</v>
      </c>
      <c r="Q3365" s="2" t="str">
        <f aca="false">INDEX(Lookups!$E$2:$E$5,MATCH(P3365,Lookups!$D$2:$D$5,0))</f>
        <v>Low</v>
      </c>
    </row>
    <row r="3366" customFormat="false" ht="15" hidden="false" customHeight="false" outlineLevel="0" collapsed="false">
      <c r="A3366" s="3" t="n">
        <v>3365</v>
      </c>
      <c r="B3366" s="3" t="n">
        <f aca="false">Raw_Data!A3366</f>
        <v>40</v>
      </c>
      <c r="C3366" s="3" t="str">
        <f aca="false">SUBSTITUTE(Raw_Data!B3366,".","")</f>
        <v>self-employed</v>
      </c>
      <c r="D3366" s="3" t="str">
        <f aca="false">Raw_Data!C3366</f>
        <v>divorced</v>
      </c>
      <c r="E3366" s="3" t="str">
        <f aca="false">Raw_Data!D3366</f>
        <v>secondary</v>
      </c>
      <c r="F3366" s="3" t="str">
        <f aca="false">Raw_Data!E3366</f>
        <v>no</v>
      </c>
      <c r="G3366" s="3" t="n">
        <f aca="false">Raw_Data!F3366</f>
        <v>1876</v>
      </c>
      <c r="H3366" s="3" t="str">
        <f aca="false">Raw_Data!G3366</f>
        <v>no</v>
      </c>
      <c r="I3366" s="3" t="str">
        <f aca="false">Raw_Data!H3366</f>
        <v>yes</v>
      </c>
      <c r="J3366" s="2" t="n">
        <f aca="false">IF(F3366="yes",1,0)</f>
        <v>0</v>
      </c>
      <c r="K3366" s="2" t="n">
        <f aca="false">IF(H3366="yes",1,0)</f>
        <v>0</v>
      </c>
      <c r="L3366" s="2" t="n">
        <f aca="false">IF(I3366="yes",1,0)</f>
        <v>1</v>
      </c>
      <c r="M3366" s="2" t="n">
        <f aca="false">IF(G3366&lt;0,1,0)</f>
        <v>0</v>
      </c>
      <c r="N3366" s="2" t="str">
        <f aca="false">_xlfn.IFS(B3366&lt;30,"Under 30",B3366&lt;40,"30-39",B3366&lt;50,"40-49",B3366&lt;60,"50-59",TRUE(),"60+")</f>
        <v>40-49</v>
      </c>
      <c r="O3366" s="2" t="str">
        <f aca="false">_xlfn.IFS(G3366&lt;0,"1 Negative",G3366=0,"2 Zero",G3366&lt;=500,"3 1-500",G3366&lt;=2000,"4 501-2000",TRUE(),"5 Above 2000")</f>
        <v>4 501-2000</v>
      </c>
      <c r="P3366" s="2" t="n">
        <f aca="false">Lookups!$B$2*M3366+Lookups!$B$3*L3366</f>
        <v>1</v>
      </c>
      <c r="Q3366" s="2" t="str">
        <f aca="false">INDEX(Lookups!$E$2:$E$5,MATCH(P3366,Lookups!$D$2:$D$5,0))</f>
        <v>Medium</v>
      </c>
    </row>
    <row r="3367" customFormat="false" ht="15" hidden="false" customHeight="false" outlineLevel="0" collapsed="false">
      <c r="A3367" s="3" t="n">
        <v>3366</v>
      </c>
      <c r="B3367" s="3" t="n">
        <f aca="false">Raw_Data!A3367</f>
        <v>34</v>
      </c>
      <c r="C3367" s="3" t="str">
        <f aca="false">SUBSTITUTE(Raw_Data!B3367,".","")</f>
        <v>entrepreneur</v>
      </c>
      <c r="D3367" s="3" t="str">
        <f aca="false">Raw_Data!C3367</f>
        <v>married</v>
      </c>
      <c r="E3367" s="3" t="str">
        <f aca="false">Raw_Data!D3367</f>
        <v>secondary</v>
      </c>
      <c r="F3367" s="3" t="str">
        <f aca="false">Raw_Data!E3367</f>
        <v>no</v>
      </c>
      <c r="G3367" s="3" t="n">
        <f aca="false">Raw_Data!F3367</f>
        <v>1847</v>
      </c>
      <c r="H3367" s="3" t="str">
        <f aca="false">Raw_Data!G3367</f>
        <v>yes</v>
      </c>
      <c r="I3367" s="3" t="str">
        <f aca="false">Raw_Data!H3367</f>
        <v>no</v>
      </c>
      <c r="J3367" s="2" t="n">
        <f aca="false">IF(F3367="yes",1,0)</f>
        <v>0</v>
      </c>
      <c r="K3367" s="2" t="n">
        <f aca="false">IF(H3367="yes",1,0)</f>
        <v>1</v>
      </c>
      <c r="L3367" s="2" t="n">
        <f aca="false">IF(I3367="yes",1,0)</f>
        <v>0</v>
      </c>
      <c r="M3367" s="2" t="n">
        <f aca="false">IF(G3367&lt;0,1,0)</f>
        <v>0</v>
      </c>
      <c r="N3367" s="2" t="str">
        <f aca="false">_xlfn.IFS(B3367&lt;30,"Under 30",B3367&lt;40,"30-39",B3367&lt;50,"40-49",B3367&lt;60,"50-59",TRUE(),"60+")</f>
        <v>30-39</v>
      </c>
      <c r="O3367" s="2" t="str">
        <f aca="false">_xlfn.IFS(G3367&lt;0,"1 Negative",G3367=0,"2 Zero",G3367&lt;=500,"3 1-500",G3367&lt;=2000,"4 501-2000",TRUE(),"5 Above 2000")</f>
        <v>4 501-2000</v>
      </c>
      <c r="P3367" s="2" t="n">
        <f aca="false">Lookups!$B$2*M3367+Lookups!$B$3*L3367</f>
        <v>0</v>
      </c>
      <c r="Q3367" s="2" t="str">
        <f aca="false">INDEX(Lookups!$E$2:$E$5,MATCH(P3367,Lookups!$D$2:$D$5,0))</f>
        <v>Low</v>
      </c>
    </row>
    <row r="3368" customFormat="false" ht="15" hidden="false" customHeight="false" outlineLevel="0" collapsed="false">
      <c r="A3368" s="3" t="n">
        <v>3367</v>
      </c>
      <c r="B3368" s="3" t="n">
        <f aca="false">Raw_Data!A3368</f>
        <v>52</v>
      </c>
      <c r="C3368" s="3" t="str">
        <f aca="false">SUBSTITUTE(Raw_Data!B3368,".","")</f>
        <v>unknown</v>
      </c>
      <c r="D3368" s="3" t="str">
        <f aca="false">Raw_Data!C3368</f>
        <v>married</v>
      </c>
      <c r="E3368" s="3" t="str">
        <f aca="false">Raw_Data!D3368</f>
        <v>primary</v>
      </c>
      <c r="F3368" s="3" t="str">
        <f aca="false">Raw_Data!E3368</f>
        <v>no</v>
      </c>
      <c r="G3368" s="3" t="n">
        <f aca="false">Raw_Data!F3368</f>
        <v>247</v>
      </c>
      <c r="H3368" s="3" t="str">
        <f aca="false">Raw_Data!G3368</f>
        <v>no</v>
      </c>
      <c r="I3368" s="3" t="str">
        <f aca="false">Raw_Data!H3368</f>
        <v>no</v>
      </c>
      <c r="J3368" s="2" t="n">
        <f aca="false">IF(F3368="yes",1,0)</f>
        <v>0</v>
      </c>
      <c r="K3368" s="2" t="n">
        <f aca="false">IF(H3368="yes",1,0)</f>
        <v>0</v>
      </c>
      <c r="L3368" s="2" t="n">
        <f aca="false">IF(I3368="yes",1,0)</f>
        <v>0</v>
      </c>
      <c r="M3368" s="2" t="n">
        <f aca="false">IF(G3368&lt;0,1,0)</f>
        <v>0</v>
      </c>
      <c r="N3368" s="2" t="str">
        <f aca="false">_xlfn.IFS(B3368&lt;30,"Under 30",B3368&lt;40,"30-39",B3368&lt;50,"40-49",B3368&lt;60,"50-59",TRUE(),"60+")</f>
        <v>50-59</v>
      </c>
      <c r="O3368" s="2" t="str">
        <f aca="false">_xlfn.IFS(G3368&lt;0,"1 Negative",G3368=0,"2 Zero",G3368&lt;=500,"3 1-500",G3368&lt;=2000,"4 501-2000",TRUE(),"5 Above 2000")</f>
        <v>3 1-500</v>
      </c>
      <c r="P3368" s="2" t="n">
        <f aca="false">Lookups!$B$2*M3368+Lookups!$B$3*L3368</f>
        <v>0</v>
      </c>
      <c r="Q3368" s="2" t="str">
        <f aca="false">INDEX(Lookups!$E$2:$E$5,MATCH(P3368,Lookups!$D$2:$D$5,0))</f>
        <v>Low</v>
      </c>
    </row>
    <row r="3369" customFormat="false" ht="15" hidden="false" customHeight="false" outlineLevel="0" collapsed="false">
      <c r="A3369" s="3" t="n">
        <v>3368</v>
      </c>
      <c r="B3369" s="3" t="n">
        <f aca="false">Raw_Data!A3369</f>
        <v>27</v>
      </c>
      <c r="C3369" s="3" t="str">
        <f aca="false">SUBSTITUTE(Raw_Data!B3369,".","")</f>
        <v>admin</v>
      </c>
      <c r="D3369" s="3" t="str">
        <f aca="false">Raw_Data!C3369</f>
        <v>married</v>
      </c>
      <c r="E3369" s="3" t="str">
        <f aca="false">Raw_Data!D3369</f>
        <v>secondary</v>
      </c>
      <c r="F3369" s="3" t="str">
        <f aca="false">Raw_Data!E3369</f>
        <v>no</v>
      </c>
      <c r="G3369" s="3" t="n">
        <f aca="false">Raw_Data!F3369</f>
        <v>897</v>
      </c>
      <c r="H3369" s="3" t="str">
        <f aca="false">Raw_Data!G3369</f>
        <v>no</v>
      </c>
      <c r="I3369" s="3" t="str">
        <f aca="false">Raw_Data!H3369</f>
        <v>no</v>
      </c>
      <c r="J3369" s="2" t="n">
        <f aca="false">IF(F3369="yes",1,0)</f>
        <v>0</v>
      </c>
      <c r="K3369" s="2" t="n">
        <f aca="false">IF(H3369="yes",1,0)</f>
        <v>0</v>
      </c>
      <c r="L3369" s="2" t="n">
        <f aca="false">IF(I3369="yes",1,0)</f>
        <v>0</v>
      </c>
      <c r="M3369" s="2" t="n">
        <f aca="false">IF(G3369&lt;0,1,0)</f>
        <v>0</v>
      </c>
      <c r="N3369" s="2" t="str">
        <f aca="false">_xlfn.IFS(B3369&lt;30,"Under 30",B3369&lt;40,"30-39",B3369&lt;50,"40-49",B3369&lt;60,"50-59",TRUE(),"60+")</f>
        <v>Under 30</v>
      </c>
      <c r="O3369" s="2" t="str">
        <f aca="false">_xlfn.IFS(G3369&lt;0,"1 Negative",G3369=0,"2 Zero",G3369&lt;=500,"3 1-500",G3369&lt;=2000,"4 501-2000",TRUE(),"5 Above 2000")</f>
        <v>4 501-2000</v>
      </c>
      <c r="P3369" s="2" t="n">
        <f aca="false">Lookups!$B$2*M3369+Lookups!$B$3*L3369</f>
        <v>0</v>
      </c>
      <c r="Q3369" s="2" t="str">
        <f aca="false">INDEX(Lookups!$E$2:$E$5,MATCH(P3369,Lookups!$D$2:$D$5,0))</f>
        <v>Low</v>
      </c>
    </row>
    <row r="3370" customFormat="false" ht="15" hidden="false" customHeight="false" outlineLevel="0" collapsed="false">
      <c r="A3370" s="3" t="n">
        <v>3369</v>
      </c>
      <c r="B3370" s="3" t="n">
        <f aca="false">Raw_Data!A3370</f>
        <v>57</v>
      </c>
      <c r="C3370" s="3" t="str">
        <f aca="false">SUBSTITUTE(Raw_Data!B3370,".","")</f>
        <v>services</v>
      </c>
      <c r="D3370" s="3" t="str">
        <f aca="false">Raw_Data!C3370</f>
        <v>divorced</v>
      </c>
      <c r="E3370" s="3" t="str">
        <f aca="false">Raw_Data!D3370</f>
        <v>secondary</v>
      </c>
      <c r="F3370" s="3" t="str">
        <f aca="false">Raw_Data!E3370</f>
        <v>no</v>
      </c>
      <c r="G3370" s="3" t="n">
        <f aca="false">Raw_Data!F3370</f>
        <v>4664</v>
      </c>
      <c r="H3370" s="3" t="str">
        <f aca="false">Raw_Data!G3370</f>
        <v>no</v>
      </c>
      <c r="I3370" s="3" t="str">
        <f aca="false">Raw_Data!H3370</f>
        <v>no</v>
      </c>
      <c r="J3370" s="2" t="n">
        <f aca="false">IF(F3370="yes",1,0)</f>
        <v>0</v>
      </c>
      <c r="K3370" s="2" t="n">
        <f aca="false">IF(H3370="yes",1,0)</f>
        <v>0</v>
      </c>
      <c r="L3370" s="2" t="n">
        <f aca="false">IF(I3370="yes",1,0)</f>
        <v>0</v>
      </c>
      <c r="M3370" s="2" t="n">
        <f aca="false">IF(G3370&lt;0,1,0)</f>
        <v>0</v>
      </c>
      <c r="N3370" s="2" t="str">
        <f aca="false">_xlfn.IFS(B3370&lt;30,"Under 30",B3370&lt;40,"30-39",B3370&lt;50,"40-49",B3370&lt;60,"50-59",TRUE(),"60+")</f>
        <v>50-59</v>
      </c>
      <c r="O3370" s="2" t="str">
        <f aca="false">_xlfn.IFS(G3370&lt;0,"1 Negative",G3370=0,"2 Zero",G3370&lt;=500,"3 1-500",G3370&lt;=2000,"4 501-2000",TRUE(),"5 Above 2000")</f>
        <v>5 Above 2000</v>
      </c>
      <c r="P3370" s="2" t="n">
        <f aca="false">Lookups!$B$2*M3370+Lookups!$B$3*L3370</f>
        <v>0</v>
      </c>
      <c r="Q3370" s="2" t="str">
        <f aca="false">INDEX(Lookups!$E$2:$E$5,MATCH(P3370,Lookups!$D$2:$D$5,0))</f>
        <v>Low</v>
      </c>
    </row>
    <row r="3371" customFormat="false" ht="15" hidden="false" customHeight="false" outlineLevel="0" collapsed="false">
      <c r="A3371" s="3" t="n">
        <v>3370</v>
      </c>
      <c r="B3371" s="3" t="n">
        <f aca="false">Raw_Data!A3371</f>
        <v>51</v>
      </c>
      <c r="C3371" s="3" t="str">
        <f aca="false">SUBSTITUTE(Raw_Data!B3371,".","")</f>
        <v>self-employed</v>
      </c>
      <c r="D3371" s="3" t="str">
        <f aca="false">Raw_Data!C3371</f>
        <v>divorced</v>
      </c>
      <c r="E3371" s="3" t="str">
        <f aca="false">Raw_Data!D3371</f>
        <v>secondary</v>
      </c>
      <c r="F3371" s="3" t="str">
        <f aca="false">Raw_Data!E3371</f>
        <v>no</v>
      </c>
      <c r="G3371" s="3" t="n">
        <f aca="false">Raw_Data!F3371</f>
        <v>1291</v>
      </c>
      <c r="H3371" s="3" t="str">
        <f aca="false">Raw_Data!G3371</f>
        <v>yes</v>
      </c>
      <c r="I3371" s="3" t="str">
        <f aca="false">Raw_Data!H3371</f>
        <v>no</v>
      </c>
      <c r="J3371" s="2" t="n">
        <f aca="false">IF(F3371="yes",1,0)</f>
        <v>0</v>
      </c>
      <c r="K3371" s="2" t="n">
        <f aca="false">IF(H3371="yes",1,0)</f>
        <v>1</v>
      </c>
      <c r="L3371" s="2" t="n">
        <f aca="false">IF(I3371="yes",1,0)</f>
        <v>0</v>
      </c>
      <c r="M3371" s="2" t="n">
        <f aca="false">IF(G3371&lt;0,1,0)</f>
        <v>0</v>
      </c>
      <c r="N3371" s="2" t="str">
        <f aca="false">_xlfn.IFS(B3371&lt;30,"Under 30",B3371&lt;40,"30-39",B3371&lt;50,"40-49",B3371&lt;60,"50-59",TRUE(),"60+")</f>
        <v>50-59</v>
      </c>
      <c r="O3371" s="2" t="str">
        <f aca="false">_xlfn.IFS(G3371&lt;0,"1 Negative",G3371=0,"2 Zero",G3371&lt;=500,"3 1-500",G3371&lt;=2000,"4 501-2000",TRUE(),"5 Above 2000")</f>
        <v>4 501-2000</v>
      </c>
      <c r="P3371" s="2" t="n">
        <f aca="false">Lookups!$B$2*M3371+Lookups!$B$3*L3371</f>
        <v>0</v>
      </c>
      <c r="Q3371" s="2" t="str">
        <f aca="false">INDEX(Lookups!$E$2:$E$5,MATCH(P3371,Lookups!$D$2:$D$5,0))</f>
        <v>Low</v>
      </c>
    </row>
    <row r="3372" customFormat="false" ht="15" hidden="false" customHeight="false" outlineLevel="0" collapsed="false">
      <c r="A3372" s="3" t="n">
        <v>3371</v>
      </c>
      <c r="B3372" s="3" t="n">
        <f aca="false">Raw_Data!A3372</f>
        <v>31</v>
      </c>
      <c r="C3372" s="3" t="str">
        <f aca="false">SUBSTITUTE(Raw_Data!B3372,".","")</f>
        <v>student</v>
      </c>
      <c r="D3372" s="3" t="str">
        <f aca="false">Raw_Data!C3372</f>
        <v>single</v>
      </c>
      <c r="E3372" s="3" t="str">
        <f aca="false">Raw_Data!D3372</f>
        <v>tertiary</v>
      </c>
      <c r="F3372" s="3" t="str">
        <f aca="false">Raw_Data!E3372</f>
        <v>no</v>
      </c>
      <c r="G3372" s="3" t="n">
        <f aca="false">Raw_Data!F3372</f>
        <v>64</v>
      </c>
      <c r="H3372" s="3" t="str">
        <f aca="false">Raw_Data!G3372</f>
        <v>no</v>
      </c>
      <c r="I3372" s="3" t="str">
        <f aca="false">Raw_Data!H3372</f>
        <v>no</v>
      </c>
      <c r="J3372" s="2" t="n">
        <f aca="false">IF(F3372="yes",1,0)</f>
        <v>0</v>
      </c>
      <c r="K3372" s="2" t="n">
        <f aca="false">IF(H3372="yes",1,0)</f>
        <v>0</v>
      </c>
      <c r="L3372" s="2" t="n">
        <f aca="false">IF(I3372="yes",1,0)</f>
        <v>0</v>
      </c>
      <c r="M3372" s="2" t="n">
        <f aca="false">IF(G3372&lt;0,1,0)</f>
        <v>0</v>
      </c>
      <c r="N3372" s="2" t="str">
        <f aca="false">_xlfn.IFS(B3372&lt;30,"Under 30",B3372&lt;40,"30-39",B3372&lt;50,"40-49",B3372&lt;60,"50-59",TRUE(),"60+")</f>
        <v>30-39</v>
      </c>
      <c r="O3372" s="2" t="str">
        <f aca="false">_xlfn.IFS(G3372&lt;0,"1 Negative",G3372=0,"2 Zero",G3372&lt;=500,"3 1-500",G3372&lt;=2000,"4 501-2000",TRUE(),"5 Above 2000")</f>
        <v>3 1-500</v>
      </c>
      <c r="P3372" s="2" t="n">
        <f aca="false">Lookups!$B$2*M3372+Lookups!$B$3*L3372</f>
        <v>0</v>
      </c>
      <c r="Q3372" s="2" t="str">
        <f aca="false">INDEX(Lookups!$E$2:$E$5,MATCH(P3372,Lookups!$D$2:$D$5,0))</f>
        <v>Low</v>
      </c>
    </row>
    <row r="3373" customFormat="false" ht="15" hidden="false" customHeight="false" outlineLevel="0" collapsed="false">
      <c r="A3373" s="3" t="n">
        <v>3372</v>
      </c>
      <c r="B3373" s="3" t="n">
        <f aca="false">Raw_Data!A3373</f>
        <v>49</v>
      </c>
      <c r="C3373" s="3" t="str">
        <f aca="false">SUBSTITUTE(Raw_Data!B3373,".","")</f>
        <v>unemployed</v>
      </c>
      <c r="D3373" s="3" t="str">
        <f aca="false">Raw_Data!C3373</f>
        <v>married</v>
      </c>
      <c r="E3373" s="3" t="str">
        <f aca="false">Raw_Data!D3373</f>
        <v>tertiary</v>
      </c>
      <c r="F3373" s="3" t="str">
        <f aca="false">Raw_Data!E3373</f>
        <v>no</v>
      </c>
      <c r="G3373" s="3" t="n">
        <f aca="false">Raw_Data!F3373</f>
        <v>-471</v>
      </c>
      <c r="H3373" s="3" t="str">
        <f aca="false">Raw_Data!G3373</f>
        <v>yes</v>
      </c>
      <c r="I3373" s="3" t="str">
        <f aca="false">Raw_Data!H3373</f>
        <v>no</v>
      </c>
      <c r="J3373" s="2" t="n">
        <f aca="false">IF(F3373="yes",1,0)</f>
        <v>0</v>
      </c>
      <c r="K3373" s="2" t="n">
        <f aca="false">IF(H3373="yes",1,0)</f>
        <v>1</v>
      </c>
      <c r="L3373" s="2" t="n">
        <f aca="false">IF(I3373="yes",1,0)</f>
        <v>0</v>
      </c>
      <c r="M3373" s="2" t="n">
        <f aca="false">IF(G3373&lt;0,1,0)</f>
        <v>1</v>
      </c>
      <c r="N3373" s="2" t="str">
        <f aca="false">_xlfn.IFS(B3373&lt;30,"Under 30",B3373&lt;40,"30-39",B3373&lt;50,"40-49",B3373&lt;60,"50-59",TRUE(),"60+")</f>
        <v>40-49</v>
      </c>
      <c r="O3373" s="2" t="str">
        <f aca="false">_xlfn.IFS(G3373&lt;0,"1 Negative",G3373=0,"2 Zero",G3373&lt;=500,"3 1-500",G3373&lt;=2000,"4 501-2000",TRUE(),"5 Above 2000")</f>
        <v>1 Negative</v>
      </c>
      <c r="P3373" s="2" t="n">
        <f aca="false">Lookups!$B$2*M3373+Lookups!$B$3*L3373</f>
        <v>2</v>
      </c>
      <c r="Q3373" s="2" t="str">
        <f aca="false">INDEX(Lookups!$E$2:$E$5,MATCH(P3373,Lookups!$D$2:$D$5,0))</f>
        <v>High</v>
      </c>
    </row>
    <row r="3374" customFormat="false" ht="15" hidden="false" customHeight="false" outlineLevel="0" collapsed="false">
      <c r="A3374" s="3" t="n">
        <v>3373</v>
      </c>
      <c r="B3374" s="3" t="n">
        <f aca="false">Raw_Data!A3374</f>
        <v>32</v>
      </c>
      <c r="C3374" s="3" t="str">
        <f aca="false">SUBSTITUTE(Raw_Data!B3374,".","")</f>
        <v>management</v>
      </c>
      <c r="D3374" s="3" t="str">
        <f aca="false">Raw_Data!C3374</f>
        <v>single</v>
      </c>
      <c r="E3374" s="3" t="str">
        <f aca="false">Raw_Data!D3374</f>
        <v>tertiary</v>
      </c>
      <c r="F3374" s="3" t="str">
        <f aca="false">Raw_Data!E3374</f>
        <v>no</v>
      </c>
      <c r="G3374" s="3" t="n">
        <f aca="false">Raw_Data!F3374</f>
        <v>1160</v>
      </c>
      <c r="H3374" s="3" t="str">
        <f aca="false">Raw_Data!G3374</f>
        <v>yes</v>
      </c>
      <c r="I3374" s="3" t="str">
        <f aca="false">Raw_Data!H3374</f>
        <v>yes</v>
      </c>
      <c r="J3374" s="2" t="n">
        <f aca="false">IF(F3374="yes",1,0)</f>
        <v>0</v>
      </c>
      <c r="K3374" s="2" t="n">
        <f aca="false">IF(H3374="yes",1,0)</f>
        <v>1</v>
      </c>
      <c r="L3374" s="2" t="n">
        <f aca="false">IF(I3374="yes",1,0)</f>
        <v>1</v>
      </c>
      <c r="M3374" s="2" t="n">
        <f aca="false">IF(G3374&lt;0,1,0)</f>
        <v>0</v>
      </c>
      <c r="N3374" s="2" t="str">
        <f aca="false">_xlfn.IFS(B3374&lt;30,"Under 30",B3374&lt;40,"30-39",B3374&lt;50,"40-49",B3374&lt;60,"50-59",TRUE(),"60+")</f>
        <v>30-39</v>
      </c>
      <c r="O3374" s="2" t="str">
        <f aca="false">_xlfn.IFS(G3374&lt;0,"1 Negative",G3374=0,"2 Zero",G3374&lt;=500,"3 1-500",G3374&lt;=2000,"4 501-2000",TRUE(),"5 Above 2000")</f>
        <v>4 501-2000</v>
      </c>
      <c r="P3374" s="2" t="n">
        <f aca="false">Lookups!$B$2*M3374+Lookups!$B$3*L3374</f>
        <v>1</v>
      </c>
      <c r="Q3374" s="2" t="str">
        <f aca="false">INDEX(Lookups!$E$2:$E$5,MATCH(P3374,Lookups!$D$2:$D$5,0))</f>
        <v>Medium</v>
      </c>
    </row>
    <row r="3375" customFormat="false" ht="15" hidden="false" customHeight="false" outlineLevel="0" collapsed="false">
      <c r="A3375" s="3" t="n">
        <v>3374</v>
      </c>
      <c r="B3375" s="3" t="n">
        <f aca="false">Raw_Data!A3375</f>
        <v>28</v>
      </c>
      <c r="C3375" s="3" t="str">
        <f aca="false">SUBSTITUTE(Raw_Data!B3375,".","")</f>
        <v>admin</v>
      </c>
      <c r="D3375" s="3" t="str">
        <f aca="false">Raw_Data!C3375</f>
        <v>single</v>
      </c>
      <c r="E3375" s="3" t="str">
        <f aca="false">Raw_Data!D3375</f>
        <v>tertiary</v>
      </c>
      <c r="F3375" s="3" t="str">
        <f aca="false">Raw_Data!E3375</f>
        <v>no</v>
      </c>
      <c r="G3375" s="3" t="n">
        <f aca="false">Raw_Data!F3375</f>
        <v>14</v>
      </c>
      <c r="H3375" s="3" t="str">
        <f aca="false">Raw_Data!G3375</f>
        <v>no</v>
      </c>
      <c r="I3375" s="3" t="str">
        <f aca="false">Raw_Data!H3375</f>
        <v>no</v>
      </c>
      <c r="J3375" s="2" t="n">
        <f aca="false">IF(F3375="yes",1,0)</f>
        <v>0</v>
      </c>
      <c r="K3375" s="2" t="n">
        <f aca="false">IF(H3375="yes",1,0)</f>
        <v>0</v>
      </c>
      <c r="L3375" s="2" t="n">
        <f aca="false">IF(I3375="yes",1,0)</f>
        <v>0</v>
      </c>
      <c r="M3375" s="2" t="n">
        <f aca="false">IF(G3375&lt;0,1,0)</f>
        <v>0</v>
      </c>
      <c r="N3375" s="2" t="str">
        <f aca="false">_xlfn.IFS(B3375&lt;30,"Under 30",B3375&lt;40,"30-39",B3375&lt;50,"40-49",B3375&lt;60,"50-59",TRUE(),"60+")</f>
        <v>Under 30</v>
      </c>
      <c r="O3375" s="2" t="str">
        <f aca="false">_xlfn.IFS(G3375&lt;0,"1 Negative",G3375=0,"2 Zero",G3375&lt;=500,"3 1-500",G3375&lt;=2000,"4 501-2000",TRUE(),"5 Above 2000")</f>
        <v>3 1-500</v>
      </c>
      <c r="P3375" s="2" t="n">
        <f aca="false">Lookups!$B$2*M3375+Lookups!$B$3*L3375</f>
        <v>0</v>
      </c>
      <c r="Q3375" s="2" t="str">
        <f aca="false">INDEX(Lookups!$E$2:$E$5,MATCH(P3375,Lookups!$D$2:$D$5,0))</f>
        <v>Low</v>
      </c>
    </row>
    <row r="3376" customFormat="false" ht="15" hidden="false" customHeight="false" outlineLevel="0" collapsed="false">
      <c r="A3376" s="3" t="n">
        <v>3375</v>
      </c>
      <c r="B3376" s="3" t="n">
        <f aca="false">Raw_Data!A3376</f>
        <v>33</v>
      </c>
      <c r="C3376" s="3" t="str">
        <f aca="false">SUBSTITUTE(Raw_Data!B3376,".","")</f>
        <v>blue-collar</v>
      </c>
      <c r="D3376" s="3" t="str">
        <f aca="false">Raw_Data!C3376</f>
        <v>married</v>
      </c>
      <c r="E3376" s="3" t="str">
        <f aca="false">Raw_Data!D3376</f>
        <v>secondary</v>
      </c>
      <c r="F3376" s="3" t="str">
        <f aca="false">Raw_Data!E3376</f>
        <v>no</v>
      </c>
      <c r="G3376" s="3" t="n">
        <f aca="false">Raw_Data!F3376</f>
        <v>26</v>
      </c>
      <c r="H3376" s="3" t="str">
        <f aca="false">Raw_Data!G3376</f>
        <v>yes</v>
      </c>
      <c r="I3376" s="3" t="str">
        <f aca="false">Raw_Data!H3376</f>
        <v>no</v>
      </c>
      <c r="J3376" s="2" t="n">
        <f aca="false">IF(F3376="yes",1,0)</f>
        <v>0</v>
      </c>
      <c r="K3376" s="2" t="n">
        <f aca="false">IF(H3376="yes",1,0)</f>
        <v>1</v>
      </c>
      <c r="L3376" s="2" t="n">
        <f aca="false">IF(I3376="yes",1,0)</f>
        <v>0</v>
      </c>
      <c r="M3376" s="2" t="n">
        <f aca="false">IF(G3376&lt;0,1,0)</f>
        <v>0</v>
      </c>
      <c r="N3376" s="2" t="str">
        <f aca="false">_xlfn.IFS(B3376&lt;30,"Under 30",B3376&lt;40,"30-39",B3376&lt;50,"40-49",B3376&lt;60,"50-59",TRUE(),"60+")</f>
        <v>30-39</v>
      </c>
      <c r="O3376" s="2" t="str">
        <f aca="false">_xlfn.IFS(G3376&lt;0,"1 Negative",G3376=0,"2 Zero",G3376&lt;=500,"3 1-500",G3376&lt;=2000,"4 501-2000",TRUE(),"5 Above 2000")</f>
        <v>3 1-500</v>
      </c>
      <c r="P3376" s="2" t="n">
        <f aca="false">Lookups!$B$2*M3376+Lookups!$B$3*L3376</f>
        <v>0</v>
      </c>
      <c r="Q3376" s="2" t="str">
        <f aca="false">INDEX(Lookups!$E$2:$E$5,MATCH(P3376,Lookups!$D$2:$D$5,0))</f>
        <v>Low</v>
      </c>
    </row>
    <row r="3377" customFormat="false" ht="15" hidden="false" customHeight="false" outlineLevel="0" collapsed="false">
      <c r="A3377" s="3" t="n">
        <v>3376</v>
      </c>
      <c r="B3377" s="3" t="n">
        <f aca="false">Raw_Data!A3377</f>
        <v>50</v>
      </c>
      <c r="C3377" s="3" t="str">
        <f aca="false">SUBSTITUTE(Raw_Data!B3377,".","")</f>
        <v>blue-collar</v>
      </c>
      <c r="D3377" s="3" t="str">
        <f aca="false">Raw_Data!C3377</f>
        <v>married</v>
      </c>
      <c r="E3377" s="3" t="str">
        <f aca="false">Raw_Data!D3377</f>
        <v>unknown</v>
      </c>
      <c r="F3377" s="3" t="str">
        <f aca="false">Raw_Data!E3377</f>
        <v>no</v>
      </c>
      <c r="G3377" s="3" t="n">
        <f aca="false">Raw_Data!F3377</f>
        <v>452</v>
      </c>
      <c r="H3377" s="3" t="str">
        <f aca="false">Raw_Data!G3377</f>
        <v>no</v>
      </c>
      <c r="I3377" s="3" t="str">
        <f aca="false">Raw_Data!H3377</f>
        <v>no</v>
      </c>
      <c r="J3377" s="2" t="n">
        <f aca="false">IF(F3377="yes",1,0)</f>
        <v>0</v>
      </c>
      <c r="K3377" s="2" t="n">
        <f aca="false">IF(H3377="yes",1,0)</f>
        <v>0</v>
      </c>
      <c r="L3377" s="2" t="n">
        <f aca="false">IF(I3377="yes",1,0)</f>
        <v>0</v>
      </c>
      <c r="M3377" s="2" t="n">
        <f aca="false">IF(G3377&lt;0,1,0)</f>
        <v>0</v>
      </c>
      <c r="N3377" s="2" t="str">
        <f aca="false">_xlfn.IFS(B3377&lt;30,"Under 30",B3377&lt;40,"30-39",B3377&lt;50,"40-49",B3377&lt;60,"50-59",TRUE(),"60+")</f>
        <v>50-59</v>
      </c>
      <c r="O3377" s="2" t="str">
        <f aca="false">_xlfn.IFS(G3377&lt;0,"1 Negative",G3377=0,"2 Zero",G3377&lt;=500,"3 1-500",G3377&lt;=2000,"4 501-2000",TRUE(),"5 Above 2000")</f>
        <v>3 1-500</v>
      </c>
      <c r="P3377" s="2" t="n">
        <f aca="false">Lookups!$B$2*M3377+Lookups!$B$3*L3377</f>
        <v>0</v>
      </c>
      <c r="Q3377" s="2" t="str">
        <f aca="false">INDEX(Lookups!$E$2:$E$5,MATCH(P3377,Lookups!$D$2:$D$5,0))</f>
        <v>Low</v>
      </c>
    </row>
    <row r="3378" customFormat="false" ht="15" hidden="false" customHeight="false" outlineLevel="0" collapsed="false">
      <c r="A3378" s="3" t="n">
        <v>3377</v>
      </c>
      <c r="B3378" s="3" t="n">
        <f aca="false">Raw_Data!A3378</f>
        <v>42</v>
      </c>
      <c r="C3378" s="3" t="str">
        <f aca="false">SUBSTITUTE(Raw_Data!B3378,".","")</f>
        <v>blue-collar</v>
      </c>
      <c r="D3378" s="3" t="str">
        <f aca="false">Raw_Data!C3378</f>
        <v>single</v>
      </c>
      <c r="E3378" s="3" t="str">
        <f aca="false">Raw_Data!D3378</f>
        <v>secondary</v>
      </c>
      <c r="F3378" s="3" t="str">
        <f aca="false">Raw_Data!E3378</f>
        <v>no</v>
      </c>
      <c r="G3378" s="3" t="n">
        <f aca="false">Raw_Data!F3378</f>
        <v>382</v>
      </c>
      <c r="H3378" s="3" t="str">
        <f aca="false">Raw_Data!G3378</f>
        <v>yes</v>
      </c>
      <c r="I3378" s="3" t="str">
        <f aca="false">Raw_Data!H3378</f>
        <v>no</v>
      </c>
      <c r="J3378" s="2" t="n">
        <f aca="false">IF(F3378="yes",1,0)</f>
        <v>0</v>
      </c>
      <c r="K3378" s="2" t="n">
        <f aca="false">IF(H3378="yes",1,0)</f>
        <v>1</v>
      </c>
      <c r="L3378" s="2" t="n">
        <f aca="false">IF(I3378="yes",1,0)</f>
        <v>0</v>
      </c>
      <c r="M3378" s="2" t="n">
        <f aca="false">IF(G3378&lt;0,1,0)</f>
        <v>0</v>
      </c>
      <c r="N3378" s="2" t="str">
        <f aca="false">_xlfn.IFS(B3378&lt;30,"Under 30",B3378&lt;40,"30-39",B3378&lt;50,"40-49",B3378&lt;60,"50-59",TRUE(),"60+")</f>
        <v>40-49</v>
      </c>
      <c r="O3378" s="2" t="str">
        <f aca="false">_xlfn.IFS(G3378&lt;0,"1 Negative",G3378=0,"2 Zero",G3378&lt;=500,"3 1-500",G3378&lt;=2000,"4 501-2000",TRUE(),"5 Above 2000")</f>
        <v>3 1-500</v>
      </c>
      <c r="P3378" s="2" t="n">
        <f aca="false">Lookups!$B$2*M3378+Lookups!$B$3*L3378</f>
        <v>0</v>
      </c>
      <c r="Q3378" s="2" t="str">
        <f aca="false">INDEX(Lookups!$E$2:$E$5,MATCH(P3378,Lookups!$D$2:$D$5,0))</f>
        <v>Low</v>
      </c>
    </row>
    <row r="3379" customFormat="false" ht="15" hidden="false" customHeight="false" outlineLevel="0" collapsed="false">
      <c r="A3379" s="3" t="n">
        <v>3378</v>
      </c>
      <c r="B3379" s="3" t="n">
        <f aca="false">Raw_Data!A3379</f>
        <v>45</v>
      </c>
      <c r="C3379" s="3" t="str">
        <f aca="false">SUBSTITUTE(Raw_Data!B3379,".","")</f>
        <v>admin</v>
      </c>
      <c r="D3379" s="3" t="str">
        <f aca="false">Raw_Data!C3379</f>
        <v>married</v>
      </c>
      <c r="E3379" s="3" t="str">
        <f aca="false">Raw_Data!D3379</f>
        <v>unknown</v>
      </c>
      <c r="F3379" s="3" t="str">
        <f aca="false">Raw_Data!E3379</f>
        <v>no</v>
      </c>
      <c r="G3379" s="3" t="n">
        <f aca="false">Raw_Data!F3379</f>
        <v>2033</v>
      </c>
      <c r="H3379" s="3" t="str">
        <f aca="false">Raw_Data!G3379</f>
        <v>no</v>
      </c>
      <c r="I3379" s="3" t="str">
        <f aca="false">Raw_Data!H3379</f>
        <v>no</v>
      </c>
      <c r="J3379" s="2" t="n">
        <f aca="false">IF(F3379="yes",1,0)</f>
        <v>0</v>
      </c>
      <c r="K3379" s="2" t="n">
        <f aca="false">IF(H3379="yes",1,0)</f>
        <v>0</v>
      </c>
      <c r="L3379" s="2" t="n">
        <f aca="false">IF(I3379="yes",1,0)</f>
        <v>0</v>
      </c>
      <c r="M3379" s="2" t="n">
        <f aca="false">IF(G3379&lt;0,1,0)</f>
        <v>0</v>
      </c>
      <c r="N3379" s="2" t="str">
        <f aca="false">_xlfn.IFS(B3379&lt;30,"Under 30",B3379&lt;40,"30-39",B3379&lt;50,"40-49",B3379&lt;60,"50-59",TRUE(),"60+")</f>
        <v>40-49</v>
      </c>
      <c r="O3379" s="2" t="str">
        <f aca="false">_xlfn.IFS(G3379&lt;0,"1 Negative",G3379=0,"2 Zero",G3379&lt;=500,"3 1-500",G3379&lt;=2000,"4 501-2000",TRUE(),"5 Above 2000")</f>
        <v>5 Above 2000</v>
      </c>
      <c r="P3379" s="2" t="n">
        <f aca="false">Lookups!$B$2*M3379+Lookups!$B$3*L3379</f>
        <v>0</v>
      </c>
      <c r="Q3379" s="2" t="str">
        <f aca="false">INDEX(Lookups!$E$2:$E$5,MATCH(P3379,Lookups!$D$2:$D$5,0))</f>
        <v>Low</v>
      </c>
    </row>
    <row r="3380" customFormat="false" ht="15" hidden="false" customHeight="false" outlineLevel="0" collapsed="false">
      <c r="A3380" s="3" t="n">
        <v>3379</v>
      </c>
      <c r="B3380" s="3" t="n">
        <f aca="false">Raw_Data!A3380</f>
        <v>34</v>
      </c>
      <c r="C3380" s="3" t="str">
        <f aca="false">SUBSTITUTE(Raw_Data!B3380,".","")</f>
        <v>unemployed</v>
      </c>
      <c r="D3380" s="3" t="str">
        <f aca="false">Raw_Data!C3380</f>
        <v>married</v>
      </c>
      <c r="E3380" s="3" t="str">
        <f aca="false">Raw_Data!D3380</f>
        <v>secondary</v>
      </c>
      <c r="F3380" s="3" t="str">
        <f aca="false">Raw_Data!E3380</f>
        <v>no</v>
      </c>
      <c r="G3380" s="3" t="n">
        <f aca="false">Raw_Data!F3380</f>
        <v>0</v>
      </c>
      <c r="H3380" s="3" t="str">
        <f aca="false">Raw_Data!G3380</f>
        <v>yes</v>
      </c>
      <c r="I3380" s="3" t="str">
        <f aca="false">Raw_Data!H3380</f>
        <v>no</v>
      </c>
      <c r="J3380" s="2" t="n">
        <f aca="false">IF(F3380="yes",1,0)</f>
        <v>0</v>
      </c>
      <c r="K3380" s="2" t="n">
        <f aca="false">IF(H3380="yes",1,0)</f>
        <v>1</v>
      </c>
      <c r="L3380" s="2" t="n">
        <f aca="false">IF(I3380="yes",1,0)</f>
        <v>0</v>
      </c>
      <c r="M3380" s="2" t="n">
        <f aca="false">IF(G3380&lt;0,1,0)</f>
        <v>0</v>
      </c>
      <c r="N3380" s="2" t="str">
        <f aca="false">_xlfn.IFS(B3380&lt;30,"Under 30",B3380&lt;40,"30-39",B3380&lt;50,"40-49",B3380&lt;60,"50-59",TRUE(),"60+")</f>
        <v>30-39</v>
      </c>
      <c r="O3380" s="2" t="str">
        <f aca="false">_xlfn.IFS(G3380&lt;0,"1 Negative",G3380=0,"2 Zero",G3380&lt;=500,"3 1-500",G3380&lt;=2000,"4 501-2000",TRUE(),"5 Above 2000")</f>
        <v>2 Zero</v>
      </c>
      <c r="P3380" s="2" t="n">
        <f aca="false">Lookups!$B$2*M3380+Lookups!$B$3*L3380</f>
        <v>0</v>
      </c>
      <c r="Q3380" s="2" t="str">
        <f aca="false">INDEX(Lookups!$E$2:$E$5,MATCH(P3380,Lookups!$D$2:$D$5,0))</f>
        <v>Low</v>
      </c>
    </row>
    <row r="3381" customFormat="false" ht="15" hidden="false" customHeight="false" outlineLevel="0" collapsed="false">
      <c r="A3381" s="3" t="n">
        <v>3380</v>
      </c>
      <c r="B3381" s="3" t="n">
        <f aca="false">Raw_Data!A3381</f>
        <v>56</v>
      </c>
      <c r="C3381" s="3" t="str">
        <f aca="false">SUBSTITUTE(Raw_Data!B3381,".","")</f>
        <v>admin</v>
      </c>
      <c r="D3381" s="3" t="str">
        <f aca="false">Raw_Data!C3381</f>
        <v>divorced</v>
      </c>
      <c r="E3381" s="3" t="str">
        <f aca="false">Raw_Data!D3381</f>
        <v>unknown</v>
      </c>
      <c r="F3381" s="3" t="str">
        <f aca="false">Raw_Data!E3381</f>
        <v>no</v>
      </c>
      <c r="G3381" s="3" t="n">
        <f aca="false">Raw_Data!F3381</f>
        <v>789</v>
      </c>
      <c r="H3381" s="3" t="str">
        <f aca="false">Raw_Data!G3381</f>
        <v>yes</v>
      </c>
      <c r="I3381" s="3" t="str">
        <f aca="false">Raw_Data!H3381</f>
        <v>no</v>
      </c>
      <c r="J3381" s="2" t="n">
        <f aca="false">IF(F3381="yes",1,0)</f>
        <v>0</v>
      </c>
      <c r="K3381" s="2" t="n">
        <f aca="false">IF(H3381="yes",1,0)</f>
        <v>1</v>
      </c>
      <c r="L3381" s="2" t="n">
        <f aca="false">IF(I3381="yes",1,0)</f>
        <v>0</v>
      </c>
      <c r="M3381" s="2" t="n">
        <f aca="false">IF(G3381&lt;0,1,0)</f>
        <v>0</v>
      </c>
      <c r="N3381" s="2" t="str">
        <f aca="false">_xlfn.IFS(B3381&lt;30,"Under 30",B3381&lt;40,"30-39",B3381&lt;50,"40-49",B3381&lt;60,"50-59",TRUE(),"60+")</f>
        <v>50-59</v>
      </c>
      <c r="O3381" s="2" t="str">
        <f aca="false">_xlfn.IFS(G3381&lt;0,"1 Negative",G3381=0,"2 Zero",G3381&lt;=500,"3 1-500",G3381&lt;=2000,"4 501-2000",TRUE(),"5 Above 2000")</f>
        <v>4 501-2000</v>
      </c>
      <c r="P3381" s="2" t="n">
        <f aca="false">Lookups!$B$2*M3381+Lookups!$B$3*L3381</f>
        <v>0</v>
      </c>
      <c r="Q3381" s="2" t="str">
        <f aca="false">INDEX(Lookups!$E$2:$E$5,MATCH(P3381,Lookups!$D$2:$D$5,0))</f>
        <v>Low</v>
      </c>
    </row>
    <row r="3382" customFormat="false" ht="15" hidden="false" customHeight="false" outlineLevel="0" collapsed="false">
      <c r="A3382" s="3" t="n">
        <v>3381</v>
      </c>
      <c r="B3382" s="3" t="n">
        <f aca="false">Raw_Data!A3382</f>
        <v>33</v>
      </c>
      <c r="C3382" s="3" t="str">
        <f aca="false">SUBSTITUTE(Raw_Data!B3382,".","")</f>
        <v>blue-collar</v>
      </c>
      <c r="D3382" s="3" t="str">
        <f aca="false">Raw_Data!C3382</f>
        <v>single</v>
      </c>
      <c r="E3382" s="3" t="str">
        <f aca="false">Raw_Data!D3382</f>
        <v>secondary</v>
      </c>
      <c r="F3382" s="3" t="str">
        <f aca="false">Raw_Data!E3382</f>
        <v>no</v>
      </c>
      <c r="G3382" s="3" t="n">
        <f aca="false">Raw_Data!F3382</f>
        <v>142</v>
      </c>
      <c r="H3382" s="3" t="str">
        <f aca="false">Raw_Data!G3382</f>
        <v>yes</v>
      </c>
      <c r="I3382" s="3" t="str">
        <f aca="false">Raw_Data!H3382</f>
        <v>no</v>
      </c>
      <c r="J3382" s="2" t="n">
        <f aca="false">IF(F3382="yes",1,0)</f>
        <v>0</v>
      </c>
      <c r="K3382" s="2" t="n">
        <f aca="false">IF(H3382="yes",1,0)</f>
        <v>1</v>
      </c>
      <c r="L3382" s="2" t="n">
        <f aca="false">IF(I3382="yes",1,0)</f>
        <v>0</v>
      </c>
      <c r="M3382" s="2" t="n">
        <f aca="false">IF(G3382&lt;0,1,0)</f>
        <v>0</v>
      </c>
      <c r="N3382" s="2" t="str">
        <f aca="false">_xlfn.IFS(B3382&lt;30,"Under 30",B3382&lt;40,"30-39",B3382&lt;50,"40-49",B3382&lt;60,"50-59",TRUE(),"60+")</f>
        <v>30-39</v>
      </c>
      <c r="O3382" s="2" t="str">
        <f aca="false">_xlfn.IFS(G3382&lt;0,"1 Negative",G3382=0,"2 Zero",G3382&lt;=500,"3 1-500",G3382&lt;=2000,"4 501-2000",TRUE(),"5 Above 2000")</f>
        <v>3 1-500</v>
      </c>
      <c r="P3382" s="2" t="n">
        <f aca="false">Lookups!$B$2*M3382+Lookups!$B$3*L3382</f>
        <v>0</v>
      </c>
      <c r="Q3382" s="2" t="str">
        <f aca="false">INDEX(Lookups!$E$2:$E$5,MATCH(P3382,Lookups!$D$2:$D$5,0))</f>
        <v>Low</v>
      </c>
    </row>
    <row r="3383" customFormat="false" ht="15" hidden="false" customHeight="false" outlineLevel="0" collapsed="false">
      <c r="A3383" s="3" t="n">
        <v>3382</v>
      </c>
      <c r="B3383" s="3" t="n">
        <f aca="false">Raw_Data!A3383</f>
        <v>34</v>
      </c>
      <c r="C3383" s="3" t="str">
        <f aca="false">SUBSTITUTE(Raw_Data!B3383,".","")</f>
        <v>admin</v>
      </c>
      <c r="D3383" s="3" t="str">
        <f aca="false">Raw_Data!C3383</f>
        <v>married</v>
      </c>
      <c r="E3383" s="3" t="str">
        <f aca="false">Raw_Data!D3383</f>
        <v>secondary</v>
      </c>
      <c r="F3383" s="3" t="str">
        <f aca="false">Raw_Data!E3383</f>
        <v>no</v>
      </c>
      <c r="G3383" s="3" t="n">
        <f aca="false">Raw_Data!F3383</f>
        <v>645</v>
      </c>
      <c r="H3383" s="3" t="str">
        <f aca="false">Raw_Data!G3383</f>
        <v>yes</v>
      </c>
      <c r="I3383" s="3" t="str">
        <f aca="false">Raw_Data!H3383</f>
        <v>no</v>
      </c>
      <c r="J3383" s="2" t="n">
        <f aca="false">IF(F3383="yes",1,0)</f>
        <v>0</v>
      </c>
      <c r="K3383" s="2" t="n">
        <f aca="false">IF(H3383="yes",1,0)</f>
        <v>1</v>
      </c>
      <c r="L3383" s="2" t="n">
        <f aca="false">IF(I3383="yes",1,0)</f>
        <v>0</v>
      </c>
      <c r="M3383" s="2" t="n">
        <f aca="false">IF(G3383&lt;0,1,0)</f>
        <v>0</v>
      </c>
      <c r="N3383" s="2" t="str">
        <f aca="false">_xlfn.IFS(B3383&lt;30,"Under 30",B3383&lt;40,"30-39",B3383&lt;50,"40-49",B3383&lt;60,"50-59",TRUE(),"60+")</f>
        <v>30-39</v>
      </c>
      <c r="O3383" s="2" t="str">
        <f aca="false">_xlfn.IFS(G3383&lt;0,"1 Negative",G3383=0,"2 Zero",G3383&lt;=500,"3 1-500",G3383&lt;=2000,"4 501-2000",TRUE(),"5 Above 2000")</f>
        <v>4 501-2000</v>
      </c>
      <c r="P3383" s="2" t="n">
        <f aca="false">Lookups!$B$2*M3383+Lookups!$B$3*L3383</f>
        <v>0</v>
      </c>
      <c r="Q3383" s="2" t="str">
        <f aca="false">INDEX(Lookups!$E$2:$E$5,MATCH(P3383,Lookups!$D$2:$D$5,0))</f>
        <v>Low</v>
      </c>
    </row>
    <row r="3384" customFormat="false" ht="15" hidden="false" customHeight="false" outlineLevel="0" collapsed="false">
      <c r="A3384" s="3" t="n">
        <v>3383</v>
      </c>
      <c r="B3384" s="3" t="n">
        <f aca="false">Raw_Data!A3384</f>
        <v>37</v>
      </c>
      <c r="C3384" s="3" t="str">
        <f aca="false">SUBSTITUTE(Raw_Data!B3384,".","")</f>
        <v>blue-collar</v>
      </c>
      <c r="D3384" s="3" t="str">
        <f aca="false">Raw_Data!C3384</f>
        <v>married</v>
      </c>
      <c r="E3384" s="3" t="str">
        <f aca="false">Raw_Data!D3384</f>
        <v>unknown</v>
      </c>
      <c r="F3384" s="3" t="str">
        <f aca="false">Raw_Data!E3384</f>
        <v>no</v>
      </c>
      <c r="G3384" s="3" t="n">
        <f aca="false">Raw_Data!F3384</f>
        <v>897</v>
      </c>
      <c r="H3384" s="3" t="str">
        <f aca="false">Raw_Data!G3384</f>
        <v>yes</v>
      </c>
      <c r="I3384" s="3" t="str">
        <f aca="false">Raw_Data!H3384</f>
        <v>no</v>
      </c>
      <c r="J3384" s="2" t="n">
        <f aca="false">IF(F3384="yes",1,0)</f>
        <v>0</v>
      </c>
      <c r="K3384" s="2" t="n">
        <f aca="false">IF(H3384="yes",1,0)</f>
        <v>1</v>
      </c>
      <c r="L3384" s="2" t="n">
        <f aca="false">IF(I3384="yes",1,0)</f>
        <v>0</v>
      </c>
      <c r="M3384" s="2" t="n">
        <f aca="false">IF(G3384&lt;0,1,0)</f>
        <v>0</v>
      </c>
      <c r="N3384" s="2" t="str">
        <f aca="false">_xlfn.IFS(B3384&lt;30,"Under 30",B3384&lt;40,"30-39",B3384&lt;50,"40-49",B3384&lt;60,"50-59",TRUE(),"60+")</f>
        <v>30-39</v>
      </c>
      <c r="O3384" s="2" t="str">
        <f aca="false">_xlfn.IFS(G3384&lt;0,"1 Negative",G3384=0,"2 Zero",G3384&lt;=500,"3 1-500",G3384&lt;=2000,"4 501-2000",TRUE(),"5 Above 2000")</f>
        <v>4 501-2000</v>
      </c>
      <c r="P3384" s="2" t="n">
        <f aca="false">Lookups!$B$2*M3384+Lookups!$B$3*L3384</f>
        <v>0</v>
      </c>
      <c r="Q3384" s="2" t="str">
        <f aca="false">INDEX(Lookups!$E$2:$E$5,MATCH(P3384,Lookups!$D$2:$D$5,0))</f>
        <v>Low</v>
      </c>
    </row>
    <row r="3385" customFormat="false" ht="15" hidden="false" customHeight="false" outlineLevel="0" collapsed="false">
      <c r="A3385" s="3" t="n">
        <v>3384</v>
      </c>
      <c r="B3385" s="3" t="n">
        <f aca="false">Raw_Data!A3385</f>
        <v>37</v>
      </c>
      <c r="C3385" s="3" t="str">
        <f aca="false">SUBSTITUTE(Raw_Data!B3385,".","")</f>
        <v>blue-collar</v>
      </c>
      <c r="D3385" s="3" t="str">
        <f aca="false">Raw_Data!C3385</f>
        <v>married</v>
      </c>
      <c r="E3385" s="3" t="str">
        <f aca="false">Raw_Data!D3385</f>
        <v>secondary</v>
      </c>
      <c r="F3385" s="3" t="str">
        <f aca="false">Raw_Data!E3385</f>
        <v>no</v>
      </c>
      <c r="G3385" s="3" t="n">
        <f aca="false">Raw_Data!F3385</f>
        <v>103</v>
      </c>
      <c r="H3385" s="3" t="str">
        <f aca="false">Raw_Data!G3385</f>
        <v>yes</v>
      </c>
      <c r="I3385" s="3" t="str">
        <f aca="false">Raw_Data!H3385</f>
        <v>no</v>
      </c>
      <c r="J3385" s="2" t="n">
        <f aca="false">IF(F3385="yes",1,0)</f>
        <v>0</v>
      </c>
      <c r="K3385" s="2" t="n">
        <f aca="false">IF(H3385="yes",1,0)</f>
        <v>1</v>
      </c>
      <c r="L3385" s="2" t="n">
        <f aca="false">IF(I3385="yes",1,0)</f>
        <v>0</v>
      </c>
      <c r="M3385" s="2" t="n">
        <f aca="false">IF(G3385&lt;0,1,0)</f>
        <v>0</v>
      </c>
      <c r="N3385" s="2" t="str">
        <f aca="false">_xlfn.IFS(B3385&lt;30,"Under 30",B3385&lt;40,"30-39",B3385&lt;50,"40-49",B3385&lt;60,"50-59",TRUE(),"60+")</f>
        <v>30-39</v>
      </c>
      <c r="O3385" s="2" t="str">
        <f aca="false">_xlfn.IFS(G3385&lt;0,"1 Negative",G3385=0,"2 Zero",G3385&lt;=500,"3 1-500",G3385&lt;=2000,"4 501-2000",TRUE(),"5 Above 2000")</f>
        <v>3 1-500</v>
      </c>
      <c r="P3385" s="2" t="n">
        <f aca="false">Lookups!$B$2*M3385+Lookups!$B$3*L3385</f>
        <v>0</v>
      </c>
      <c r="Q3385" s="2" t="str">
        <f aca="false">INDEX(Lookups!$E$2:$E$5,MATCH(P3385,Lookups!$D$2:$D$5,0))</f>
        <v>Low</v>
      </c>
    </row>
    <row r="3386" customFormat="false" ht="15" hidden="false" customHeight="false" outlineLevel="0" collapsed="false">
      <c r="A3386" s="3" t="n">
        <v>3385</v>
      </c>
      <c r="B3386" s="3" t="n">
        <f aca="false">Raw_Data!A3386</f>
        <v>35</v>
      </c>
      <c r="C3386" s="3" t="str">
        <f aca="false">SUBSTITUTE(Raw_Data!B3386,".","")</f>
        <v>admin</v>
      </c>
      <c r="D3386" s="3" t="str">
        <f aca="false">Raw_Data!C3386</f>
        <v>single</v>
      </c>
      <c r="E3386" s="3" t="str">
        <f aca="false">Raw_Data!D3386</f>
        <v>secondary</v>
      </c>
      <c r="F3386" s="3" t="str">
        <f aca="false">Raw_Data!E3386</f>
        <v>no</v>
      </c>
      <c r="G3386" s="3" t="n">
        <f aca="false">Raw_Data!F3386</f>
        <v>847</v>
      </c>
      <c r="H3386" s="3" t="str">
        <f aca="false">Raw_Data!G3386</f>
        <v>yes</v>
      </c>
      <c r="I3386" s="3" t="str">
        <f aca="false">Raw_Data!H3386</f>
        <v>no</v>
      </c>
      <c r="J3386" s="2" t="n">
        <f aca="false">IF(F3386="yes",1,0)</f>
        <v>0</v>
      </c>
      <c r="K3386" s="2" t="n">
        <f aca="false">IF(H3386="yes",1,0)</f>
        <v>1</v>
      </c>
      <c r="L3386" s="2" t="n">
        <f aca="false">IF(I3386="yes",1,0)</f>
        <v>0</v>
      </c>
      <c r="M3386" s="2" t="n">
        <f aca="false">IF(G3386&lt;0,1,0)</f>
        <v>0</v>
      </c>
      <c r="N3386" s="2" t="str">
        <f aca="false">_xlfn.IFS(B3386&lt;30,"Under 30",B3386&lt;40,"30-39",B3386&lt;50,"40-49",B3386&lt;60,"50-59",TRUE(),"60+")</f>
        <v>30-39</v>
      </c>
      <c r="O3386" s="2" t="str">
        <f aca="false">_xlfn.IFS(G3386&lt;0,"1 Negative",G3386=0,"2 Zero",G3386&lt;=500,"3 1-500",G3386&lt;=2000,"4 501-2000",TRUE(),"5 Above 2000")</f>
        <v>4 501-2000</v>
      </c>
      <c r="P3386" s="2" t="n">
        <f aca="false">Lookups!$B$2*M3386+Lookups!$B$3*L3386</f>
        <v>0</v>
      </c>
      <c r="Q3386" s="2" t="str">
        <f aca="false">INDEX(Lookups!$E$2:$E$5,MATCH(P3386,Lookups!$D$2:$D$5,0))</f>
        <v>Low</v>
      </c>
    </row>
    <row r="3387" customFormat="false" ht="15" hidden="false" customHeight="false" outlineLevel="0" collapsed="false">
      <c r="A3387" s="3" t="n">
        <v>3386</v>
      </c>
      <c r="B3387" s="3" t="n">
        <f aca="false">Raw_Data!A3387</f>
        <v>38</v>
      </c>
      <c r="C3387" s="3" t="str">
        <f aca="false">SUBSTITUTE(Raw_Data!B3387,".","")</f>
        <v>unknown</v>
      </c>
      <c r="D3387" s="3" t="str">
        <f aca="false">Raw_Data!C3387</f>
        <v>single</v>
      </c>
      <c r="E3387" s="3" t="str">
        <f aca="false">Raw_Data!D3387</f>
        <v>tertiary</v>
      </c>
      <c r="F3387" s="3" t="str">
        <f aca="false">Raw_Data!E3387</f>
        <v>no</v>
      </c>
      <c r="G3387" s="3" t="n">
        <f aca="false">Raw_Data!F3387</f>
        <v>0</v>
      </c>
      <c r="H3387" s="3" t="str">
        <f aca="false">Raw_Data!G3387</f>
        <v>no</v>
      </c>
      <c r="I3387" s="3" t="str">
        <f aca="false">Raw_Data!H3387</f>
        <v>no</v>
      </c>
      <c r="J3387" s="2" t="n">
        <f aca="false">IF(F3387="yes",1,0)</f>
        <v>0</v>
      </c>
      <c r="K3387" s="2" t="n">
        <f aca="false">IF(H3387="yes",1,0)</f>
        <v>0</v>
      </c>
      <c r="L3387" s="2" t="n">
        <f aca="false">IF(I3387="yes",1,0)</f>
        <v>0</v>
      </c>
      <c r="M3387" s="2" t="n">
        <f aca="false">IF(G3387&lt;0,1,0)</f>
        <v>0</v>
      </c>
      <c r="N3387" s="2" t="str">
        <f aca="false">_xlfn.IFS(B3387&lt;30,"Under 30",B3387&lt;40,"30-39",B3387&lt;50,"40-49",B3387&lt;60,"50-59",TRUE(),"60+")</f>
        <v>30-39</v>
      </c>
      <c r="O3387" s="2" t="str">
        <f aca="false">_xlfn.IFS(G3387&lt;0,"1 Negative",G3387=0,"2 Zero",G3387&lt;=500,"3 1-500",G3387&lt;=2000,"4 501-2000",TRUE(),"5 Above 2000")</f>
        <v>2 Zero</v>
      </c>
      <c r="P3387" s="2" t="n">
        <f aca="false">Lookups!$B$2*M3387+Lookups!$B$3*L3387</f>
        <v>0</v>
      </c>
      <c r="Q3387" s="2" t="str">
        <f aca="false">INDEX(Lookups!$E$2:$E$5,MATCH(P3387,Lookups!$D$2:$D$5,0))</f>
        <v>Low</v>
      </c>
    </row>
    <row r="3388" customFormat="false" ht="15" hidden="false" customHeight="false" outlineLevel="0" collapsed="false">
      <c r="A3388" s="3" t="n">
        <v>3387</v>
      </c>
      <c r="B3388" s="3" t="n">
        <f aca="false">Raw_Data!A3388</f>
        <v>32</v>
      </c>
      <c r="C3388" s="3" t="str">
        <f aca="false">SUBSTITUTE(Raw_Data!B3388,".","")</f>
        <v>blue-collar</v>
      </c>
      <c r="D3388" s="3" t="str">
        <f aca="false">Raw_Data!C3388</f>
        <v>married</v>
      </c>
      <c r="E3388" s="3" t="str">
        <f aca="false">Raw_Data!D3388</f>
        <v>secondary</v>
      </c>
      <c r="F3388" s="3" t="str">
        <f aca="false">Raw_Data!E3388</f>
        <v>no</v>
      </c>
      <c r="G3388" s="3" t="n">
        <f aca="false">Raw_Data!F3388</f>
        <v>517</v>
      </c>
      <c r="H3388" s="3" t="str">
        <f aca="false">Raw_Data!G3388</f>
        <v>yes</v>
      </c>
      <c r="I3388" s="3" t="str">
        <f aca="false">Raw_Data!H3388</f>
        <v>no</v>
      </c>
      <c r="J3388" s="2" t="n">
        <f aca="false">IF(F3388="yes",1,0)</f>
        <v>0</v>
      </c>
      <c r="K3388" s="2" t="n">
        <f aca="false">IF(H3388="yes",1,0)</f>
        <v>1</v>
      </c>
      <c r="L3388" s="2" t="n">
        <f aca="false">IF(I3388="yes",1,0)</f>
        <v>0</v>
      </c>
      <c r="M3388" s="2" t="n">
        <f aca="false">IF(G3388&lt;0,1,0)</f>
        <v>0</v>
      </c>
      <c r="N3388" s="2" t="str">
        <f aca="false">_xlfn.IFS(B3388&lt;30,"Under 30",B3388&lt;40,"30-39",B3388&lt;50,"40-49",B3388&lt;60,"50-59",TRUE(),"60+")</f>
        <v>30-39</v>
      </c>
      <c r="O3388" s="2" t="str">
        <f aca="false">_xlfn.IFS(G3388&lt;0,"1 Negative",G3388=0,"2 Zero",G3388&lt;=500,"3 1-500",G3388&lt;=2000,"4 501-2000",TRUE(),"5 Above 2000")</f>
        <v>4 501-2000</v>
      </c>
      <c r="P3388" s="2" t="n">
        <f aca="false">Lookups!$B$2*M3388+Lookups!$B$3*L3388</f>
        <v>0</v>
      </c>
      <c r="Q3388" s="2" t="str">
        <f aca="false">INDEX(Lookups!$E$2:$E$5,MATCH(P3388,Lookups!$D$2:$D$5,0))</f>
        <v>Low</v>
      </c>
    </row>
    <row r="3389" customFormat="false" ht="15" hidden="false" customHeight="false" outlineLevel="0" collapsed="false">
      <c r="A3389" s="3" t="n">
        <v>3388</v>
      </c>
      <c r="B3389" s="3" t="n">
        <f aca="false">Raw_Data!A3389</f>
        <v>52</v>
      </c>
      <c r="C3389" s="3" t="str">
        <f aca="false">SUBSTITUTE(Raw_Data!B3389,".","")</f>
        <v>technician</v>
      </c>
      <c r="D3389" s="3" t="str">
        <f aca="false">Raw_Data!C3389</f>
        <v>single</v>
      </c>
      <c r="E3389" s="3" t="str">
        <f aca="false">Raw_Data!D3389</f>
        <v>tertiary</v>
      </c>
      <c r="F3389" s="3" t="str">
        <f aca="false">Raw_Data!E3389</f>
        <v>no</v>
      </c>
      <c r="G3389" s="3" t="n">
        <f aca="false">Raw_Data!F3389</f>
        <v>1308</v>
      </c>
      <c r="H3389" s="3" t="str">
        <f aca="false">Raw_Data!G3389</f>
        <v>yes</v>
      </c>
      <c r="I3389" s="3" t="str">
        <f aca="false">Raw_Data!H3389</f>
        <v>no</v>
      </c>
      <c r="J3389" s="2" t="n">
        <f aca="false">IF(F3389="yes",1,0)</f>
        <v>0</v>
      </c>
      <c r="K3389" s="2" t="n">
        <f aca="false">IF(H3389="yes",1,0)</f>
        <v>1</v>
      </c>
      <c r="L3389" s="2" t="n">
        <f aca="false">IF(I3389="yes",1,0)</f>
        <v>0</v>
      </c>
      <c r="M3389" s="2" t="n">
        <f aca="false">IF(G3389&lt;0,1,0)</f>
        <v>0</v>
      </c>
      <c r="N3389" s="2" t="str">
        <f aca="false">_xlfn.IFS(B3389&lt;30,"Under 30",B3389&lt;40,"30-39",B3389&lt;50,"40-49",B3389&lt;60,"50-59",TRUE(),"60+")</f>
        <v>50-59</v>
      </c>
      <c r="O3389" s="2" t="str">
        <f aca="false">_xlfn.IFS(G3389&lt;0,"1 Negative",G3389=0,"2 Zero",G3389&lt;=500,"3 1-500",G3389&lt;=2000,"4 501-2000",TRUE(),"5 Above 2000")</f>
        <v>4 501-2000</v>
      </c>
      <c r="P3389" s="2" t="n">
        <f aca="false">Lookups!$B$2*M3389+Lookups!$B$3*L3389</f>
        <v>0</v>
      </c>
      <c r="Q3389" s="2" t="str">
        <f aca="false">INDEX(Lookups!$E$2:$E$5,MATCH(P3389,Lookups!$D$2:$D$5,0))</f>
        <v>Low</v>
      </c>
    </row>
    <row r="3390" customFormat="false" ht="15" hidden="false" customHeight="false" outlineLevel="0" collapsed="false">
      <c r="A3390" s="3" t="n">
        <v>3389</v>
      </c>
      <c r="B3390" s="3" t="n">
        <f aca="false">Raw_Data!A3390</f>
        <v>49</v>
      </c>
      <c r="C3390" s="3" t="str">
        <f aca="false">SUBSTITUTE(Raw_Data!B3390,".","")</f>
        <v>services</v>
      </c>
      <c r="D3390" s="3" t="str">
        <f aca="false">Raw_Data!C3390</f>
        <v>married</v>
      </c>
      <c r="E3390" s="3" t="str">
        <f aca="false">Raw_Data!D3390</f>
        <v>secondary</v>
      </c>
      <c r="F3390" s="3" t="str">
        <f aca="false">Raw_Data!E3390</f>
        <v>no</v>
      </c>
      <c r="G3390" s="3" t="n">
        <f aca="false">Raw_Data!F3390</f>
        <v>66</v>
      </c>
      <c r="H3390" s="3" t="str">
        <f aca="false">Raw_Data!G3390</f>
        <v>yes</v>
      </c>
      <c r="I3390" s="3" t="str">
        <f aca="false">Raw_Data!H3390</f>
        <v>yes</v>
      </c>
      <c r="J3390" s="2" t="n">
        <f aca="false">IF(F3390="yes",1,0)</f>
        <v>0</v>
      </c>
      <c r="K3390" s="2" t="n">
        <f aca="false">IF(H3390="yes",1,0)</f>
        <v>1</v>
      </c>
      <c r="L3390" s="2" t="n">
        <f aca="false">IF(I3390="yes",1,0)</f>
        <v>1</v>
      </c>
      <c r="M3390" s="2" t="n">
        <f aca="false">IF(G3390&lt;0,1,0)</f>
        <v>0</v>
      </c>
      <c r="N3390" s="2" t="str">
        <f aca="false">_xlfn.IFS(B3390&lt;30,"Under 30",B3390&lt;40,"30-39",B3390&lt;50,"40-49",B3390&lt;60,"50-59",TRUE(),"60+")</f>
        <v>40-49</v>
      </c>
      <c r="O3390" s="2" t="str">
        <f aca="false">_xlfn.IFS(G3390&lt;0,"1 Negative",G3390=0,"2 Zero",G3390&lt;=500,"3 1-500",G3390&lt;=2000,"4 501-2000",TRUE(),"5 Above 2000")</f>
        <v>3 1-500</v>
      </c>
      <c r="P3390" s="2" t="n">
        <f aca="false">Lookups!$B$2*M3390+Lookups!$B$3*L3390</f>
        <v>1</v>
      </c>
      <c r="Q3390" s="2" t="str">
        <f aca="false">INDEX(Lookups!$E$2:$E$5,MATCH(P3390,Lookups!$D$2:$D$5,0))</f>
        <v>Medium</v>
      </c>
    </row>
    <row r="3391" customFormat="false" ht="15" hidden="false" customHeight="false" outlineLevel="0" collapsed="false">
      <c r="A3391" s="3" t="n">
        <v>3390</v>
      </c>
      <c r="B3391" s="3" t="n">
        <f aca="false">Raw_Data!A3391</f>
        <v>46</v>
      </c>
      <c r="C3391" s="3" t="str">
        <f aca="false">SUBSTITUTE(Raw_Data!B3391,".","")</f>
        <v>management</v>
      </c>
      <c r="D3391" s="3" t="str">
        <f aca="false">Raw_Data!C3391</f>
        <v>divorced</v>
      </c>
      <c r="E3391" s="3" t="str">
        <f aca="false">Raw_Data!D3391</f>
        <v>secondary</v>
      </c>
      <c r="F3391" s="3" t="str">
        <f aca="false">Raw_Data!E3391</f>
        <v>no</v>
      </c>
      <c r="G3391" s="3" t="n">
        <f aca="false">Raw_Data!F3391</f>
        <v>361</v>
      </c>
      <c r="H3391" s="3" t="str">
        <f aca="false">Raw_Data!G3391</f>
        <v>yes</v>
      </c>
      <c r="I3391" s="3" t="str">
        <f aca="false">Raw_Data!H3391</f>
        <v>no</v>
      </c>
      <c r="J3391" s="2" t="n">
        <f aca="false">IF(F3391="yes",1,0)</f>
        <v>0</v>
      </c>
      <c r="K3391" s="2" t="n">
        <f aca="false">IF(H3391="yes",1,0)</f>
        <v>1</v>
      </c>
      <c r="L3391" s="2" t="n">
        <f aca="false">IF(I3391="yes",1,0)</f>
        <v>0</v>
      </c>
      <c r="M3391" s="2" t="n">
        <f aca="false">IF(G3391&lt;0,1,0)</f>
        <v>0</v>
      </c>
      <c r="N3391" s="2" t="str">
        <f aca="false">_xlfn.IFS(B3391&lt;30,"Under 30",B3391&lt;40,"30-39",B3391&lt;50,"40-49",B3391&lt;60,"50-59",TRUE(),"60+")</f>
        <v>40-49</v>
      </c>
      <c r="O3391" s="2" t="str">
        <f aca="false">_xlfn.IFS(G3391&lt;0,"1 Negative",G3391=0,"2 Zero",G3391&lt;=500,"3 1-500",G3391&lt;=2000,"4 501-2000",TRUE(),"5 Above 2000")</f>
        <v>3 1-500</v>
      </c>
      <c r="P3391" s="2" t="n">
        <f aca="false">Lookups!$B$2*M3391+Lookups!$B$3*L3391</f>
        <v>0</v>
      </c>
      <c r="Q3391" s="2" t="str">
        <f aca="false">INDEX(Lookups!$E$2:$E$5,MATCH(P3391,Lookups!$D$2:$D$5,0))</f>
        <v>Low</v>
      </c>
    </row>
    <row r="3392" customFormat="false" ht="15" hidden="false" customHeight="false" outlineLevel="0" collapsed="false">
      <c r="A3392" s="3" t="n">
        <v>3391</v>
      </c>
      <c r="B3392" s="3" t="n">
        <f aca="false">Raw_Data!A3392</f>
        <v>42</v>
      </c>
      <c r="C3392" s="3" t="str">
        <f aca="false">SUBSTITUTE(Raw_Data!B3392,".","")</f>
        <v>entrepreneur</v>
      </c>
      <c r="D3392" s="3" t="str">
        <f aca="false">Raw_Data!C3392</f>
        <v>married</v>
      </c>
      <c r="E3392" s="3" t="str">
        <f aca="false">Raw_Data!D3392</f>
        <v>primary</v>
      </c>
      <c r="F3392" s="3" t="str">
        <f aca="false">Raw_Data!E3392</f>
        <v>yes</v>
      </c>
      <c r="G3392" s="3" t="n">
        <f aca="false">Raw_Data!F3392</f>
        <v>66</v>
      </c>
      <c r="H3392" s="3" t="str">
        <f aca="false">Raw_Data!G3392</f>
        <v>yes</v>
      </c>
      <c r="I3392" s="3" t="str">
        <f aca="false">Raw_Data!H3392</f>
        <v>yes</v>
      </c>
      <c r="J3392" s="2" t="n">
        <f aca="false">IF(F3392="yes",1,0)</f>
        <v>1</v>
      </c>
      <c r="K3392" s="2" t="n">
        <f aca="false">IF(H3392="yes",1,0)</f>
        <v>1</v>
      </c>
      <c r="L3392" s="2" t="n">
        <f aca="false">IF(I3392="yes",1,0)</f>
        <v>1</v>
      </c>
      <c r="M3392" s="2" t="n">
        <f aca="false">IF(G3392&lt;0,1,0)</f>
        <v>0</v>
      </c>
      <c r="N3392" s="2" t="str">
        <f aca="false">_xlfn.IFS(B3392&lt;30,"Under 30",B3392&lt;40,"30-39",B3392&lt;50,"40-49",B3392&lt;60,"50-59",TRUE(),"60+")</f>
        <v>40-49</v>
      </c>
      <c r="O3392" s="2" t="str">
        <f aca="false">_xlfn.IFS(G3392&lt;0,"1 Negative",G3392=0,"2 Zero",G3392&lt;=500,"3 1-500",G3392&lt;=2000,"4 501-2000",TRUE(),"5 Above 2000")</f>
        <v>3 1-500</v>
      </c>
      <c r="P3392" s="2" t="n">
        <f aca="false">Lookups!$B$2*M3392+Lookups!$B$3*L3392</f>
        <v>1</v>
      </c>
      <c r="Q3392" s="2" t="str">
        <f aca="false">INDEX(Lookups!$E$2:$E$5,MATCH(P3392,Lookups!$D$2:$D$5,0))</f>
        <v>Medium</v>
      </c>
    </row>
    <row r="3393" customFormat="false" ht="15" hidden="false" customHeight="false" outlineLevel="0" collapsed="false">
      <c r="A3393" s="3" t="n">
        <v>3392</v>
      </c>
      <c r="B3393" s="3" t="n">
        <f aca="false">Raw_Data!A3393</f>
        <v>36</v>
      </c>
      <c r="C3393" s="3" t="str">
        <f aca="false">SUBSTITUTE(Raw_Data!B3393,".","")</f>
        <v>blue-collar</v>
      </c>
      <c r="D3393" s="3" t="str">
        <f aca="false">Raw_Data!C3393</f>
        <v>married</v>
      </c>
      <c r="E3393" s="3" t="str">
        <f aca="false">Raw_Data!D3393</f>
        <v>unknown</v>
      </c>
      <c r="F3393" s="3" t="str">
        <f aca="false">Raw_Data!E3393</f>
        <v>no</v>
      </c>
      <c r="G3393" s="3" t="n">
        <f aca="false">Raw_Data!F3393</f>
        <v>70</v>
      </c>
      <c r="H3393" s="3" t="str">
        <f aca="false">Raw_Data!G3393</f>
        <v>yes</v>
      </c>
      <c r="I3393" s="3" t="str">
        <f aca="false">Raw_Data!H3393</f>
        <v>no</v>
      </c>
      <c r="J3393" s="2" t="n">
        <f aca="false">IF(F3393="yes",1,0)</f>
        <v>0</v>
      </c>
      <c r="K3393" s="2" t="n">
        <f aca="false">IF(H3393="yes",1,0)</f>
        <v>1</v>
      </c>
      <c r="L3393" s="2" t="n">
        <f aca="false">IF(I3393="yes",1,0)</f>
        <v>0</v>
      </c>
      <c r="M3393" s="2" t="n">
        <f aca="false">IF(G3393&lt;0,1,0)</f>
        <v>0</v>
      </c>
      <c r="N3393" s="2" t="str">
        <f aca="false">_xlfn.IFS(B3393&lt;30,"Under 30",B3393&lt;40,"30-39",B3393&lt;50,"40-49",B3393&lt;60,"50-59",TRUE(),"60+")</f>
        <v>30-39</v>
      </c>
      <c r="O3393" s="2" t="str">
        <f aca="false">_xlfn.IFS(G3393&lt;0,"1 Negative",G3393=0,"2 Zero",G3393&lt;=500,"3 1-500",G3393&lt;=2000,"4 501-2000",TRUE(),"5 Above 2000")</f>
        <v>3 1-500</v>
      </c>
      <c r="P3393" s="2" t="n">
        <f aca="false">Lookups!$B$2*M3393+Lookups!$B$3*L3393</f>
        <v>0</v>
      </c>
      <c r="Q3393" s="2" t="str">
        <f aca="false">INDEX(Lookups!$E$2:$E$5,MATCH(P3393,Lookups!$D$2:$D$5,0))</f>
        <v>Low</v>
      </c>
    </row>
    <row r="3394" customFormat="false" ht="15" hidden="false" customHeight="false" outlineLevel="0" collapsed="false">
      <c r="A3394" s="3" t="n">
        <v>3393</v>
      </c>
      <c r="B3394" s="3" t="n">
        <f aca="false">Raw_Data!A3394</f>
        <v>32</v>
      </c>
      <c r="C3394" s="3" t="str">
        <f aca="false">SUBSTITUTE(Raw_Data!B3394,".","")</f>
        <v>services</v>
      </c>
      <c r="D3394" s="3" t="str">
        <f aca="false">Raw_Data!C3394</f>
        <v>married</v>
      </c>
      <c r="E3394" s="3" t="str">
        <f aca="false">Raw_Data!D3394</f>
        <v>secondary</v>
      </c>
      <c r="F3394" s="3" t="str">
        <f aca="false">Raw_Data!E3394</f>
        <v>no</v>
      </c>
      <c r="G3394" s="3" t="n">
        <f aca="false">Raw_Data!F3394</f>
        <v>180</v>
      </c>
      <c r="H3394" s="3" t="str">
        <f aca="false">Raw_Data!G3394</f>
        <v>yes</v>
      </c>
      <c r="I3394" s="3" t="str">
        <f aca="false">Raw_Data!H3394</f>
        <v>no</v>
      </c>
      <c r="J3394" s="2" t="n">
        <f aca="false">IF(F3394="yes",1,0)</f>
        <v>0</v>
      </c>
      <c r="K3394" s="2" t="n">
        <f aca="false">IF(H3394="yes",1,0)</f>
        <v>1</v>
      </c>
      <c r="L3394" s="2" t="n">
        <f aca="false">IF(I3394="yes",1,0)</f>
        <v>0</v>
      </c>
      <c r="M3394" s="2" t="n">
        <f aca="false">IF(G3394&lt;0,1,0)</f>
        <v>0</v>
      </c>
      <c r="N3394" s="2" t="str">
        <f aca="false">_xlfn.IFS(B3394&lt;30,"Under 30",B3394&lt;40,"30-39",B3394&lt;50,"40-49",B3394&lt;60,"50-59",TRUE(),"60+")</f>
        <v>30-39</v>
      </c>
      <c r="O3394" s="2" t="str">
        <f aca="false">_xlfn.IFS(G3394&lt;0,"1 Negative",G3394=0,"2 Zero",G3394&lt;=500,"3 1-500",G3394&lt;=2000,"4 501-2000",TRUE(),"5 Above 2000")</f>
        <v>3 1-500</v>
      </c>
      <c r="P3394" s="2" t="n">
        <f aca="false">Lookups!$B$2*M3394+Lookups!$B$3*L3394</f>
        <v>0</v>
      </c>
      <c r="Q3394" s="2" t="str">
        <f aca="false">INDEX(Lookups!$E$2:$E$5,MATCH(P3394,Lookups!$D$2:$D$5,0))</f>
        <v>Low</v>
      </c>
    </row>
    <row r="3395" customFormat="false" ht="15" hidden="false" customHeight="false" outlineLevel="0" collapsed="false">
      <c r="A3395" s="3" t="n">
        <v>3394</v>
      </c>
      <c r="B3395" s="3" t="n">
        <f aca="false">Raw_Data!A3395</f>
        <v>49</v>
      </c>
      <c r="C3395" s="3" t="str">
        <f aca="false">SUBSTITUTE(Raw_Data!B3395,".","")</f>
        <v>technician</v>
      </c>
      <c r="D3395" s="3" t="str">
        <f aca="false">Raw_Data!C3395</f>
        <v>married</v>
      </c>
      <c r="E3395" s="3" t="str">
        <f aca="false">Raw_Data!D3395</f>
        <v>tertiary</v>
      </c>
      <c r="F3395" s="3" t="str">
        <f aca="false">Raw_Data!E3395</f>
        <v>no</v>
      </c>
      <c r="G3395" s="3" t="n">
        <f aca="false">Raw_Data!F3395</f>
        <v>279</v>
      </c>
      <c r="H3395" s="3" t="str">
        <f aca="false">Raw_Data!G3395</f>
        <v>yes</v>
      </c>
      <c r="I3395" s="3" t="str">
        <f aca="false">Raw_Data!H3395</f>
        <v>no</v>
      </c>
      <c r="J3395" s="2" t="n">
        <f aca="false">IF(F3395="yes",1,0)</f>
        <v>0</v>
      </c>
      <c r="K3395" s="2" t="n">
        <f aca="false">IF(H3395="yes",1,0)</f>
        <v>1</v>
      </c>
      <c r="L3395" s="2" t="n">
        <f aca="false">IF(I3395="yes",1,0)</f>
        <v>0</v>
      </c>
      <c r="M3395" s="2" t="n">
        <f aca="false">IF(G3395&lt;0,1,0)</f>
        <v>0</v>
      </c>
      <c r="N3395" s="2" t="str">
        <f aca="false">_xlfn.IFS(B3395&lt;30,"Under 30",B3395&lt;40,"30-39",B3395&lt;50,"40-49",B3395&lt;60,"50-59",TRUE(),"60+")</f>
        <v>40-49</v>
      </c>
      <c r="O3395" s="2" t="str">
        <f aca="false">_xlfn.IFS(G3395&lt;0,"1 Negative",G3395=0,"2 Zero",G3395&lt;=500,"3 1-500",G3395&lt;=2000,"4 501-2000",TRUE(),"5 Above 2000")</f>
        <v>3 1-500</v>
      </c>
      <c r="P3395" s="2" t="n">
        <f aca="false">Lookups!$B$2*M3395+Lookups!$B$3*L3395</f>
        <v>0</v>
      </c>
      <c r="Q3395" s="2" t="str">
        <f aca="false">INDEX(Lookups!$E$2:$E$5,MATCH(P3395,Lookups!$D$2:$D$5,0))</f>
        <v>Low</v>
      </c>
    </row>
    <row r="3396" customFormat="false" ht="15" hidden="false" customHeight="false" outlineLevel="0" collapsed="false">
      <c r="A3396" s="3" t="n">
        <v>3395</v>
      </c>
      <c r="B3396" s="3" t="n">
        <f aca="false">Raw_Data!A3396</f>
        <v>46</v>
      </c>
      <c r="C3396" s="3" t="str">
        <f aca="false">SUBSTITUTE(Raw_Data!B3396,".","")</f>
        <v>services</v>
      </c>
      <c r="D3396" s="3" t="str">
        <f aca="false">Raw_Data!C3396</f>
        <v>married</v>
      </c>
      <c r="E3396" s="3" t="str">
        <f aca="false">Raw_Data!D3396</f>
        <v>secondary</v>
      </c>
      <c r="F3396" s="3" t="str">
        <f aca="false">Raw_Data!E3396</f>
        <v>no</v>
      </c>
      <c r="G3396" s="3" t="n">
        <f aca="false">Raw_Data!F3396</f>
        <v>4</v>
      </c>
      <c r="H3396" s="3" t="str">
        <f aca="false">Raw_Data!G3396</f>
        <v>no</v>
      </c>
      <c r="I3396" s="3" t="str">
        <f aca="false">Raw_Data!H3396</f>
        <v>no</v>
      </c>
      <c r="J3396" s="2" t="n">
        <f aca="false">IF(F3396="yes",1,0)</f>
        <v>0</v>
      </c>
      <c r="K3396" s="2" t="n">
        <f aca="false">IF(H3396="yes",1,0)</f>
        <v>0</v>
      </c>
      <c r="L3396" s="2" t="n">
        <f aca="false">IF(I3396="yes",1,0)</f>
        <v>0</v>
      </c>
      <c r="M3396" s="2" t="n">
        <f aca="false">IF(G3396&lt;0,1,0)</f>
        <v>0</v>
      </c>
      <c r="N3396" s="2" t="str">
        <f aca="false">_xlfn.IFS(B3396&lt;30,"Under 30",B3396&lt;40,"30-39",B3396&lt;50,"40-49",B3396&lt;60,"50-59",TRUE(),"60+")</f>
        <v>40-49</v>
      </c>
      <c r="O3396" s="2" t="str">
        <f aca="false">_xlfn.IFS(G3396&lt;0,"1 Negative",G3396=0,"2 Zero",G3396&lt;=500,"3 1-500",G3396&lt;=2000,"4 501-2000",TRUE(),"5 Above 2000")</f>
        <v>3 1-500</v>
      </c>
      <c r="P3396" s="2" t="n">
        <f aca="false">Lookups!$B$2*M3396+Lookups!$B$3*L3396</f>
        <v>0</v>
      </c>
      <c r="Q3396" s="2" t="str">
        <f aca="false">INDEX(Lookups!$E$2:$E$5,MATCH(P3396,Lookups!$D$2:$D$5,0))</f>
        <v>Low</v>
      </c>
    </row>
    <row r="3397" customFormat="false" ht="15" hidden="false" customHeight="false" outlineLevel="0" collapsed="false">
      <c r="A3397" s="3" t="n">
        <v>3396</v>
      </c>
      <c r="B3397" s="3" t="n">
        <f aca="false">Raw_Data!A3397</f>
        <v>40</v>
      </c>
      <c r="C3397" s="3" t="str">
        <f aca="false">SUBSTITUTE(Raw_Data!B3397,".","")</f>
        <v>entrepreneur</v>
      </c>
      <c r="D3397" s="3" t="str">
        <f aca="false">Raw_Data!C3397</f>
        <v>married</v>
      </c>
      <c r="E3397" s="3" t="str">
        <f aca="false">Raw_Data!D3397</f>
        <v>secondary</v>
      </c>
      <c r="F3397" s="3" t="str">
        <f aca="false">Raw_Data!E3397</f>
        <v>no</v>
      </c>
      <c r="G3397" s="3" t="n">
        <f aca="false">Raw_Data!F3397</f>
        <v>1416</v>
      </c>
      <c r="H3397" s="3" t="str">
        <f aca="false">Raw_Data!G3397</f>
        <v>yes</v>
      </c>
      <c r="I3397" s="3" t="str">
        <f aca="false">Raw_Data!H3397</f>
        <v>no</v>
      </c>
      <c r="J3397" s="2" t="n">
        <f aca="false">IF(F3397="yes",1,0)</f>
        <v>0</v>
      </c>
      <c r="K3397" s="2" t="n">
        <f aca="false">IF(H3397="yes",1,0)</f>
        <v>1</v>
      </c>
      <c r="L3397" s="2" t="n">
        <f aca="false">IF(I3397="yes",1,0)</f>
        <v>0</v>
      </c>
      <c r="M3397" s="2" t="n">
        <f aca="false">IF(G3397&lt;0,1,0)</f>
        <v>0</v>
      </c>
      <c r="N3397" s="2" t="str">
        <f aca="false">_xlfn.IFS(B3397&lt;30,"Under 30",B3397&lt;40,"30-39",B3397&lt;50,"40-49",B3397&lt;60,"50-59",TRUE(),"60+")</f>
        <v>40-49</v>
      </c>
      <c r="O3397" s="2" t="str">
        <f aca="false">_xlfn.IFS(G3397&lt;0,"1 Negative",G3397=0,"2 Zero",G3397&lt;=500,"3 1-500",G3397&lt;=2000,"4 501-2000",TRUE(),"5 Above 2000")</f>
        <v>4 501-2000</v>
      </c>
      <c r="P3397" s="2" t="n">
        <f aca="false">Lookups!$B$2*M3397+Lookups!$B$3*L3397</f>
        <v>0</v>
      </c>
      <c r="Q3397" s="2" t="str">
        <f aca="false">INDEX(Lookups!$E$2:$E$5,MATCH(P3397,Lookups!$D$2:$D$5,0))</f>
        <v>Low</v>
      </c>
    </row>
    <row r="3398" customFormat="false" ht="15" hidden="false" customHeight="false" outlineLevel="0" collapsed="false">
      <c r="A3398" s="3" t="n">
        <v>3397</v>
      </c>
      <c r="B3398" s="3" t="n">
        <f aca="false">Raw_Data!A3398</f>
        <v>36</v>
      </c>
      <c r="C3398" s="3" t="str">
        <f aca="false">SUBSTITUTE(Raw_Data!B3398,".","")</f>
        <v>admin</v>
      </c>
      <c r="D3398" s="3" t="str">
        <f aca="false">Raw_Data!C3398</f>
        <v>married</v>
      </c>
      <c r="E3398" s="3" t="str">
        <f aca="false">Raw_Data!D3398</f>
        <v>secondary</v>
      </c>
      <c r="F3398" s="3" t="str">
        <f aca="false">Raw_Data!E3398</f>
        <v>no</v>
      </c>
      <c r="G3398" s="3" t="n">
        <f aca="false">Raw_Data!F3398</f>
        <v>465</v>
      </c>
      <c r="H3398" s="3" t="str">
        <f aca="false">Raw_Data!G3398</f>
        <v>yes</v>
      </c>
      <c r="I3398" s="3" t="str">
        <f aca="false">Raw_Data!H3398</f>
        <v>no</v>
      </c>
      <c r="J3398" s="2" t="n">
        <f aca="false">IF(F3398="yes",1,0)</f>
        <v>0</v>
      </c>
      <c r="K3398" s="2" t="n">
        <f aca="false">IF(H3398="yes",1,0)</f>
        <v>1</v>
      </c>
      <c r="L3398" s="2" t="n">
        <f aca="false">IF(I3398="yes",1,0)</f>
        <v>0</v>
      </c>
      <c r="M3398" s="2" t="n">
        <f aca="false">IF(G3398&lt;0,1,0)</f>
        <v>0</v>
      </c>
      <c r="N3398" s="2" t="str">
        <f aca="false">_xlfn.IFS(B3398&lt;30,"Under 30",B3398&lt;40,"30-39",B3398&lt;50,"40-49",B3398&lt;60,"50-59",TRUE(),"60+")</f>
        <v>30-39</v>
      </c>
      <c r="O3398" s="2" t="str">
        <f aca="false">_xlfn.IFS(G3398&lt;0,"1 Negative",G3398=0,"2 Zero",G3398&lt;=500,"3 1-500",G3398&lt;=2000,"4 501-2000",TRUE(),"5 Above 2000")</f>
        <v>3 1-500</v>
      </c>
      <c r="P3398" s="2" t="n">
        <f aca="false">Lookups!$B$2*M3398+Lookups!$B$3*L3398</f>
        <v>0</v>
      </c>
      <c r="Q3398" s="2" t="str">
        <f aca="false">INDEX(Lookups!$E$2:$E$5,MATCH(P3398,Lookups!$D$2:$D$5,0))</f>
        <v>Low</v>
      </c>
    </row>
    <row r="3399" customFormat="false" ht="15" hidden="false" customHeight="false" outlineLevel="0" collapsed="false">
      <c r="A3399" s="3" t="n">
        <v>3398</v>
      </c>
      <c r="B3399" s="3" t="n">
        <f aca="false">Raw_Data!A3399</f>
        <v>36</v>
      </c>
      <c r="C3399" s="3" t="str">
        <f aca="false">SUBSTITUTE(Raw_Data!B3399,".","")</f>
        <v>admin</v>
      </c>
      <c r="D3399" s="3" t="str">
        <f aca="false">Raw_Data!C3399</f>
        <v>married</v>
      </c>
      <c r="E3399" s="3" t="str">
        <f aca="false">Raw_Data!D3399</f>
        <v>secondary</v>
      </c>
      <c r="F3399" s="3" t="str">
        <f aca="false">Raw_Data!E3399</f>
        <v>no</v>
      </c>
      <c r="G3399" s="3" t="n">
        <f aca="false">Raw_Data!F3399</f>
        <v>998</v>
      </c>
      <c r="H3399" s="3" t="str">
        <f aca="false">Raw_Data!G3399</f>
        <v>yes</v>
      </c>
      <c r="I3399" s="3" t="str">
        <f aca="false">Raw_Data!H3399</f>
        <v>no</v>
      </c>
      <c r="J3399" s="2" t="n">
        <f aca="false">IF(F3399="yes",1,0)</f>
        <v>0</v>
      </c>
      <c r="K3399" s="2" t="n">
        <f aca="false">IF(H3399="yes",1,0)</f>
        <v>1</v>
      </c>
      <c r="L3399" s="2" t="n">
        <f aca="false">IF(I3399="yes",1,0)</f>
        <v>0</v>
      </c>
      <c r="M3399" s="2" t="n">
        <f aca="false">IF(G3399&lt;0,1,0)</f>
        <v>0</v>
      </c>
      <c r="N3399" s="2" t="str">
        <f aca="false">_xlfn.IFS(B3399&lt;30,"Under 30",B3399&lt;40,"30-39",B3399&lt;50,"40-49",B3399&lt;60,"50-59",TRUE(),"60+")</f>
        <v>30-39</v>
      </c>
      <c r="O3399" s="2" t="str">
        <f aca="false">_xlfn.IFS(G3399&lt;0,"1 Negative",G3399=0,"2 Zero",G3399&lt;=500,"3 1-500",G3399&lt;=2000,"4 501-2000",TRUE(),"5 Above 2000")</f>
        <v>4 501-2000</v>
      </c>
      <c r="P3399" s="2" t="n">
        <f aca="false">Lookups!$B$2*M3399+Lookups!$B$3*L3399</f>
        <v>0</v>
      </c>
      <c r="Q3399" s="2" t="str">
        <f aca="false">INDEX(Lookups!$E$2:$E$5,MATCH(P3399,Lookups!$D$2:$D$5,0))</f>
        <v>Low</v>
      </c>
    </row>
    <row r="3400" customFormat="false" ht="15" hidden="false" customHeight="false" outlineLevel="0" collapsed="false">
      <c r="A3400" s="3" t="n">
        <v>3399</v>
      </c>
      <c r="B3400" s="3" t="n">
        <f aca="false">Raw_Data!A3400</f>
        <v>34</v>
      </c>
      <c r="C3400" s="3" t="str">
        <f aca="false">SUBSTITUTE(Raw_Data!B3400,".","")</f>
        <v>technician</v>
      </c>
      <c r="D3400" s="3" t="str">
        <f aca="false">Raw_Data!C3400</f>
        <v>married</v>
      </c>
      <c r="E3400" s="3" t="str">
        <f aca="false">Raw_Data!D3400</f>
        <v>secondary</v>
      </c>
      <c r="F3400" s="3" t="str">
        <f aca="false">Raw_Data!E3400</f>
        <v>no</v>
      </c>
      <c r="G3400" s="3" t="n">
        <f aca="false">Raw_Data!F3400</f>
        <v>550</v>
      </c>
      <c r="H3400" s="3" t="str">
        <f aca="false">Raw_Data!G3400</f>
        <v>no</v>
      </c>
      <c r="I3400" s="3" t="str">
        <f aca="false">Raw_Data!H3400</f>
        <v>yes</v>
      </c>
      <c r="J3400" s="2" t="n">
        <f aca="false">IF(F3400="yes",1,0)</f>
        <v>0</v>
      </c>
      <c r="K3400" s="2" t="n">
        <f aca="false">IF(H3400="yes",1,0)</f>
        <v>0</v>
      </c>
      <c r="L3400" s="2" t="n">
        <f aca="false">IF(I3400="yes",1,0)</f>
        <v>1</v>
      </c>
      <c r="M3400" s="2" t="n">
        <f aca="false">IF(G3400&lt;0,1,0)</f>
        <v>0</v>
      </c>
      <c r="N3400" s="2" t="str">
        <f aca="false">_xlfn.IFS(B3400&lt;30,"Under 30",B3400&lt;40,"30-39",B3400&lt;50,"40-49",B3400&lt;60,"50-59",TRUE(),"60+")</f>
        <v>30-39</v>
      </c>
      <c r="O3400" s="2" t="str">
        <f aca="false">_xlfn.IFS(G3400&lt;0,"1 Negative",G3400=0,"2 Zero",G3400&lt;=500,"3 1-500",G3400&lt;=2000,"4 501-2000",TRUE(),"5 Above 2000")</f>
        <v>4 501-2000</v>
      </c>
      <c r="P3400" s="2" t="n">
        <f aca="false">Lookups!$B$2*M3400+Lookups!$B$3*L3400</f>
        <v>1</v>
      </c>
      <c r="Q3400" s="2" t="str">
        <f aca="false">INDEX(Lookups!$E$2:$E$5,MATCH(P3400,Lookups!$D$2:$D$5,0))</f>
        <v>Medium</v>
      </c>
    </row>
    <row r="3401" customFormat="false" ht="15" hidden="false" customHeight="false" outlineLevel="0" collapsed="false">
      <c r="A3401" s="3" t="n">
        <v>3400</v>
      </c>
      <c r="B3401" s="3" t="n">
        <f aca="false">Raw_Data!A3401</f>
        <v>46</v>
      </c>
      <c r="C3401" s="3" t="str">
        <f aca="false">SUBSTITUTE(Raw_Data!B3401,".","")</f>
        <v>management</v>
      </c>
      <c r="D3401" s="3" t="str">
        <f aca="false">Raw_Data!C3401</f>
        <v>married</v>
      </c>
      <c r="E3401" s="3" t="str">
        <f aca="false">Raw_Data!D3401</f>
        <v>tertiary</v>
      </c>
      <c r="F3401" s="3" t="str">
        <f aca="false">Raw_Data!E3401</f>
        <v>no</v>
      </c>
      <c r="G3401" s="3" t="n">
        <f aca="false">Raw_Data!F3401</f>
        <v>1285</v>
      </c>
      <c r="H3401" s="3" t="str">
        <f aca="false">Raw_Data!G3401</f>
        <v>yes</v>
      </c>
      <c r="I3401" s="3" t="str">
        <f aca="false">Raw_Data!H3401</f>
        <v>no</v>
      </c>
      <c r="J3401" s="2" t="n">
        <f aca="false">IF(F3401="yes",1,0)</f>
        <v>0</v>
      </c>
      <c r="K3401" s="2" t="n">
        <f aca="false">IF(H3401="yes",1,0)</f>
        <v>1</v>
      </c>
      <c r="L3401" s="2" t="n">
        <f aca="false">IF(I3401="yes",1,0)</f>
        <v>0</v>
      </c>
      <c r="M3401" s="2" t="n">
        <f aca="false">IF(G3401&lt;0,1,0)</f>
        <v>0</v>
      </c>
      <c r="N3401" s="2" t="str">
        <f aca="false">_xlfn.IFS(B3401&lt;30,"Under 30",B3401&lt;40,"30-39",B3401&lt;50,"40-49",B3401&lt;60,"50-59",TRUE(),"60+")</f>
        <v>40-49</v>
      </c>
      <c r="O3401" s="2" t="str">
        <f aca="false">_xlfn.IFS(G3401&lt;0,"1 Negative",G3401=0,"2 Zero",G3401&lt;=500,"3 1-500",G3401&lt;=2000,"4 501-2000",TRUE(),"5 Above 2000")</f>
        <v>4 501-2000</v>
      </c>
      <c r="P3401" s="2" t="n">
        <f aca="false">Lookups!$B$2*M3401+Lookups!$B$3*L3401</f>
        <v>0</v>
      </c>
      <c r="Q3401" s="2" t="str">
        <f aca="false">INDEX(Lookups!$E$2:$E$5,MATCH(P3401,Lookups!$D$2:$D$5,0))</f>
        <v>Low</v>
      </c>
    </row>
    <row r="3402" customFormat="false" ht="15" hidden="false" customHeight="false" outlineLevel="0" collapsed="false">
      <c r="A3402" s="3" t="n">
        <v>3401</v>
      </c>
      <c r="B3402" s="3" t="n">
        <f aca="false">Raw_Data!A3402</f>
        <v>32</v>
      </c>
      <c r="C3402" s="3" t="str">
        <f aca="false">SUBSTITUTE(Raw_Data!B3402,".","")</f>
        <v>services</v>
      </c>
      <c r="D3402" s="3" t="str">
        <f aca="false">Raw_Data!C3402</f>
        <v>married</v>
      </c>
      <c r="E3402" s="3" t="str">
        <f aca="false">Raw_Data!D3402</f>
        <v>tertiary</v>
      </c>
      <c r="F3402" s="3" t="str">
        <f aca="false">Raw_Data!E3402</f>
        <v>no</v>
      </c>
      <c r="G3402" s="3" t="n">
        <f aca="false">Raw_Data!F3402</f>
        <v>4908</v>
      </c>
      <c r="H3402" s="3" t="str">
        <f aca="false">Raw_Data!G3402</f>
        <v>no</v>
      </c>
      <c r="I3402" s="3" t="str">
        <f aca="false">Raw_Data!H3402</f>
        <v>yes</v>
      </c>
      <c r="J3402" s="2" t="n">
        <f aca="false">IF(F3402="yes",1,0)</f>
        <v>0</v>
      </c>
      <c r="K3402" s="2" t="n">
        <f aca="false">IF(H3402="yes",1,0)</f>
        <v>0</v>
      </c>
      <c r="L3402" s="2" t="n">
        <f aca="false">IF(I3402="yes",1,0)</f>
        <v>1</v>
      </c>
      <c r="M3402" s="2" t="n">
        <f aca="false">IF(G3402&lt;0,1,0)</f>
        <v>0</v>
      </c>
      <c r="N3402" s="2" t="str">
        <f aca="false">_xlfn.IFS(B3402&lt;30,"Under 30",B3402&lt;40,"30-39",B3402&lt;50,"40-49",B3402&lt;60,"50-59",TRUE(),"60+")</f>
        <v>30-39</v>
      </c>
      <c r="O3402" s="2" t="str">
        <f aca="false">_xlfn.IFS(G3402&lt;0,"1 Negative",G3402=0,"2 Zero",G3402&lt;=500,"3 1-500",G3402&lt;=2000,"4 501-2000",TRUE(),"5 Above 2000")</f>
        <v>5 Above 2000</v>
      </c>
      <c r="P3402" s="2" t="n">
        <f aca="false">Lookups!$B$2*M3402+Lookups!$B$3*L3402</f>
        <v>1</v>
      </c>
      <c r="Q3402" s="2" t="str">
        <f aca="false">INDEX(Lookups!$E$2:$E$5,MATCH(P3402,Lookups!$D$2:$D$5,0))</f>
        <v>Medium</v>
      </c>
    </row>
    <row r="3403" customFormat="false" ht="15" hidden="false" customHeight="false" outlineLevel="0" collapsed="false">
      <c r="A3403" s="3" t="n">
        <v>3402</v>
      </c>
      <c r="B3403" s="3" t="n">
        <f aca="false">Raw_Data!A3403</f>
        <v>32</v>
      </c>
      <c r="C3403" s="3" t="str">
        <f aca="false">SUBSTITUTE(Raw_Data!B3403,".","")</f>
        <v>unemployed</v>
      </c>
      <c r="D3403" s="3" t="str">
        <f aca="false">Raw_Data!C3403</f>
        <v>single</v>
      </c>
      <c r="E3403" s="3" t="str">
        <f aca="false">Raw_Data!D3403</f>
        <v>tertiary</v>
      </c>
      <c r="F3403" s="3" t="str">
        <f aca="false">Raw_Data!E3403</f>
        <v>no</v>
      </c>
      <c r="G3403" s="3" t="n">
        <f aca="false">Raw_Data!F3403</f>
        <v>336</v>
      </c>
      <c r="H3403" s="3" t="str">
        <f aca="false">Raw_Data!G3403</f>
        <v>yes</v>
      </c>
      <c r="I3403" s="3" t="str">
        <f aca="false">Raw_Data!H3403</f>
        <v>no</v>
      </c>
      <c r="J3403" s="2" t="n">
        <f aca="false">IF(F3403="yes",1,0)</f>
        <v>0</v>
      </c>
      <c r="K3403" s="2" t="n">
        <f aca="false">IF(H3403="yes",1,0)</f>
        <v>1</v>
      </c>
      <c r="L3403" s="2" t="n">
        <f aca="false">IF(I3403="yes",1,0)</f>
        <v>0</v>
      </c>
      <c r="M3403" s="2" t="n">
        <f aca="false">IF(G3403&lt;0,1,0)</f>
        <v>0</v>
      </c>
      <c r="N3403" s="2" t="str">
        <f aca="false">_xlfn.IFS(B3403&lt;30,"Under 30",B3403&lt;40,"30-39",B3403&lt;50,"40-49",B3403&lt;60,"50-59",TRUE(),"60+")</f>
        <v>30-39</v>
      </c>
      <c r="O3403" s="2" t="str">
        <f aca="false">_xlfn.IFS(G3403&lt;0,"1 Negative",G3403=0,"2 Zero",G3403&lt;=500,"3 1-500",G3403&lt;=2000,"4 501-2000",TRUE(),"5 Above 2000")</f>
        <v>3 1-500</v>
      </c>
      <c r="P3403" s="2" t="n">
        <f aca="false">Lookups!$B$2*M3403+Lookups!$B$3*L3403</f>
        <v>0</v>
      </c>
      <c r="Q3403" s="2" t="str">
        <f aca="false">INDEX(Lookups!$E$2:$E$5,MATCH(P3403,Lookups!$D$2:$D$5,0))</f>
        <v>Low</v>
      </c>
    </row>
    <row r="3404" customFormat="false" ht="15" hidden="false" customHeight="false" outlineLevel="0" collapsed="false">
      <c r="A3404" s="3" t="n">
        <v>3403</v>
      </c>
      <c r="B3404" s="3" t="n">
        <f aca="false">Raw_Data!A3404</f>
        <v>32</v>
      </c>
      <c r="C3404" s="3" t="str">
        <f aca="false">SUBSTITUTE(Raw_Data!B3404,".","")</f>
        <v>management</v>
      </c>
      <c r="D3404" s="3" t="str">
        <f aca="false">Raw_Data!C3404</f>
        <v>single</v>
      </c>
      <c r="E3404" s="3" t="str">
        <f aca="false">Raw_Data!D3404</f>
        <v>tertiary</v>
      </c>
      <c r="F3404" s="3" t="str">
        <f aca="false">Raw_Data!E3404</f>
        <v>no</v>
      </c>
      <c r="G3404" s="3" t="n">
        <f aca="false">Raw_Data!F3404</f>
        <v>131</v>
      </c>
      <c r="H3404" s="3" t="str">
        <f aca="false">Raw_Data!G3404</f>
        <v>no</v>
      </c>
      <c r="I3404" s="3" t="str">
        <f aca="false">Raw_Data!H3404</f>
        <v>no</v>
      </c>
      <c r="J3404" s="2" t="n">
        <f aca="false">IF(F3404="yes",1,0)</f>
        <v>0</v>
      </c>
      <c r="K3404" s="2" t="n">
        <f aca="false">IF(H3404="yes",1,0)</f>
        <v>0</v>
      </c>
      <c r="L3404" s="2" t="n">
        <f aca="false">IF(I3404="yes",1,0)</f>
        <v>0</v>
      </c>
      <c r="M3404" s="2" t="n">
        <f aca="false">IF(G3404&lt;0,1,0)</f>
        <v>0</v>
      </c>
      <c r="N3404" s="2" t="str">
        <f aca="false">_xlfn.IFS(B3404&lt;30,"Under 30",B3404&lt;40,"30-39",B3404&lt;50,"40-49",B3404&lt;60,"50-59",TRUE(),"60+")</f>
        <v>30-39</v>
      </c>
      <c r="O3404" s="2" t="str">
        <f aca="false">_xlfn.IFS(G3404&lt;0,"1 Negative",G3404=0,"2 Zero",G3404&lt;=500,"3 1-500",G3404&lt;=2000,"4 501-2000",TRUE(),"5 Above 2000")</f>
        <v>3 1-500</v>
      </c>
      <c r="P3404" s="2" t="n">
        <f aca="false">Lookups!$B$2*M3404+Lookups!$B$3*L3404</f>
        <v>0</v>
      </c>
      <c r="Q3404" s="2" t="str">
        <f aca="false">INDEX(Lookups!$E$2:$E$5,MATCH(P3404,Lookups!$D$2:$D$5,0))</f>
        <v>Low</v>
      </c>
    </row>
    <row r="3405" customFormat="false" ht="15" hidden="false" customHeight="false" outlineLevel="0" collapsed="false">
      <c r="A3405" s="3" t="n">
        <v>3404</v>
      </c>
      <c r="B3405" s="3" t="n">
        <f aca="false">Raw_Data!A3405</f>
        <v>43</v>
      </c>
      <c r="C3405" s="3" t="str">
        <f aca="false">SUBSTITUTE(Raw_Data!B3405,".","")</f>
        <v>management</v>
      </c>
      <c r="D3405" s="3" t="str">
        <f aca="false">Raw_Data!C3405</f>
        <v>married</v>
      </c>
      <c r="E3405" s="3" t="str">
        <f aca="false">Raw_Data!D3405</f>
        <v>tertiary</v>
      </c>
      <c r="F3405" s="3" t="str">
        <f aca="false">Raw_Data!E3405</f>
        <v>no</v>
      </c>
      <c r="G3405" s="3" t="n">
        <f aca="false">Raw_Data!F3405</f>
        <v>348</v>
      </c>
      <c r="H3405" s="3" t="str">
        <f aca="false">Raw_Data!G3405</f>
        <v>no</v>
      </c>
      <c r="I3405" s="3" t="str">
        <f aca="false">Raw_Data!H3405</f>
        <v>yes</v>
      </c>
      <c r="J3405" s="2" t="n">
        <f aca="false">IF(F3405="yes",1,0)</f>
        <v>0</v>
      </c>
      <c r="K3405" s="2" t="n">
        <f aca="false">IF(H3405="yes",1,0)</f>
        <v>0</v>
      </c>
      <c r="L3405" s="2" t="n">
        <f aca="false">IF(I3405="yes",1,0)</f>
        <v>1</v>
      </c>
      <c r="M3405" s="2" t="n">
        <f aca="false">IF(G3405&lt;0,1,0)</f>
        <v>0</v>
      </c>
      <c r="N3405" s="2" t="str">
        <f aca="false">_xlfn.IFS(B3405&lt;30,"Under 30",B3405&lt;40,"30-39",B3405&lt;50,"40-49",B3405&lt;60,"50-59",TRUE(),"60+")</f>
        <v>40-49</v>
      </c>
      <c r="O3405" s="2" t="str">
        <f aca="false">_xlfn.IFS(G3405&lt;0,"1 Negative",G3405=0,"2 Zero",G3405&lt;=500,"3 1-500",G3405&lt;=2000,"4 501-2000",TRUE(),"5 Above 2000")</f>
        <v>3 1-500</v>
      </c>
      <c r="P3405" s="2" t="n">
        <f aca="false">Lookups!$B$2*M3405+Lookups!$B$3*L3405</f>
        <v>1</v>
      </c>
      <c r="Q3405" s="2" t="str">
        <f aca="false">INDEX(Lookups!$E$2:$E$5,MATCH(P3405,Lookups!$D$2:$D$5,0))</f>
        <v>Medium</v>
      </c>
    </row>
    <row r="3406" customFormat="false" ht="15" hidden="false" customHeight="false" outlineLevel="0" collapsed="false">
      <c r="A3406" s="3" t="n">
        <v>3405</v>
      </c>
      <c r="B3406" s="3" t="n">
        <f aca="false">Raw_Data!A3406</f>
        <v>25</v>
      </c>
      <c r="C3406" s="3" t="str">
        <f aca="false">SUBSTITUTE(Raw_Data!B3406,".","")</f>
        <v>self-employed</v>
      </c>
      <c r="D3406" s="3" t="str">
        <f aca="false">Raw_Data!C3406</f>
        <v>single</v>
      </c>
      <c r="E3406" s="3" t="str">
        <f aca="false">Raw_Data!D3406</f>
        <v>tertiary</v>
      </c>
      <c r="F3406" s="3" t="str">
        <f aca="false">Raw_Data!E3406</f>
        <v>no</v>
      </c>
      <c r="G3406" s="3" t="n">
        <f aca="false">Raw_Data!F3406</f>
        <v>453</v>
      </c>
      <c r="H3406" s="3" t="str">
        <f aca="false">Raw_Data!G3406</f>
        <v>yes</v>
      </c>
      <c r="I3406" s="3" t="str">
        <f aca="false">Raw_Data!H3406</f>
        <v>no</v>
      </c>
      <c r="J3406" s="2" t="n">
        <f aca="false">IF(F3406="yes",1,0)</f>
        <v>0</v>
      </c>
      <c r="K3406" s="2" t="n">
        <f aca="false">IF(H3406="yes",1,0)</f>
        <v>1</v>
      </c>
      <c r="L3406" s="2" t="n">
        <f aca="false">IF(I3406="yes",1,0)</f>
        <v>0</v>
      </c>
      <c r="M3406" s="2" t="n">
        <f aca="false">IF(G3406&lt;0,1,0)</f>
        <v>0</v>
      </c>
      <c r="N3406" s="2" t="str">
        <f aca="false">_xlfn.IFS(B3406&lt;30,"Under 30",B3406&lt;40,"30-39",B3406&lt;50,"40-49",B3406&lt;60,"50-59",TRUE(),"60+")</f>
        <v>Under 30</v>
      </c>
      <c r="O3406" s="2" t="str">
        <f aca="false">_xlfn.IFS(G3406&lt;0,"1 Negative",G3406=0,"2 Zero",G3406&lt;=500,"3 1-500",G3406&lt;=2000,"4 501-2000",TRUE(),"5 Above 2000")</f>
        <v>3 1-500</v>
      </c>
      <c r="P3406" s="2" t="n">
        <f aca="false">Lookups!$B$2*M3406+Lookups!$B$3*L3406</f>
        <v>0</v>
      </c>
      <c r="Q3406" s="2" t="str">
        <f aca="false">INDEX(Lookups!$E$2:$E$5,MATCH(P3406,Lookups!$D$2:$D$5,0))</f>
        <v>Low</v>
      </c>
    </row>
    <row r="3407" customFormat="false" ht="15" hidden="false" customHeight="false" outlineLevel="0" collapsed="false">
      <c r="A3407" s="3" t="n">
        <v>3406</v>
      </c>
      <c r="B3407" s="3" t="n">
        <f aca="false">Raw_Data!A3407</f>
        <v>55</v>
      </c>
      <c r="C3407" s="3" t="str">
        <f aca="false">SUBSTITUTE(Raw_Data!B3407,".","")</f>
        <v>admin</v>
      </c>
      <c r="D3407" s="3" t="str">
        <f aca="false">Raw_Data!C3407</f>
        <v>married</v>
      </c>
      <c r="E3407" s="3" t="str">
        <f aca="false">Raw_Data!D3407</f>
        <v>secondary</v>
      </c>
      <c r="F3407" s="3" t="str">
        <f aca="false">Raw_Data!E3407</f>
        <v>no</v>
      </c>
      <c r="G3407" s="3" t="n">
        <f aca="false">Raw_Data!F3407</f>
        <v>1102</v>
      </c>
      <c r="H3407" s="3" t="str">
        <f aca="false">Raw_Data!G3407</f>
        <v>yes</v>
      </c>
      <c r="I3407" s="3" t="str">
        <f aca="false">Raw_Data!H3407</f>
        <v>no</v>
      </c>
      <c r="J3407" s="2" t="n">
        <f aca="false">IF(F3407="yes",1,0)</f>
        <v>0</v>
      </c>
      <c r="K3407" s="2" t="n">
        <f aca="false">IF(H3407="yes",1,0)</f>
        <v>1</v>
      </c>
      <c r="L3407" s="2" t="n">
        <f aca="false">IF(I3407="yes",1,0)</f>
        <v>0</v>
      </c>
      <c r="M3407" s="2" t="n">
        <f aca="false">IF(G3407&lt;0,1,0)</f>
        <v>0</v>
      </c>
      <c r="N3407" s="2" t="str">
        <f aca="false">_xlfn.IFS(B3407&lt;30,"Under 30",B3407&lt;40,"30-39",B3407&lt;50,"40-49",B3407&lt;60,"50-59",TRUE(),"60+")</f>
        <v>50-59</v>
      </c>
      <c r="O3407" s="2" t="str">
        <f aca="false">_xlfn.IFS(G3407&lt;0,"1 Negative",G3407=0,"2 Zero",G3407&lt;=500,"3 1-500",G3407&lt;=2000,"4 501-2000",TRUE(),"5 Above 2000")</f>
        <v>4 501-2000</v>
      </c>
      <c r="P3407" s="2" t="n">
        <f aca="false">Lookups!$B$2*M3407+Lookups!$B$3*L3407</f>
        <v>0</v>
      </c>
      <c r="Q3407" s="2" t="str">
        <f aca="false">INDEX(Lookups!$E$2:$E$5,MATCH(P3407,Lookups!$D$2:$D$5,0))</f>
        <v>Low</v>
      </c>
    </row>
    <row r="3408" customFormat="false" ht="15" hidden="false" customHeight="false" outlineLevel="0" collapsed="false">
      <c r="A3408" s="3" t="n">
        <v>3407</v>
      </c>
      <c r="B3408" s="3" t="n">
        <f aca="false">Raw_Data!A3408</f>
        <v>24</v>
      </c>
      <c r="C3408" s="3" t="str">
        <f aca="false">SUBSTITUTE(Raw_Data!B3408,".","")</f>
        <v>admin</v>
      </c>
      <c r="D3408" s="3" t="str">
        <f aca="false">Raw_Data!C3408</f>
        <v>single</v>
      </c>
      <c r="E3408" s="3" t="str">
        <f aca="false">Raw_Data!D3408</f>
        <v>secondary</v>
      </c>
      <c r="F3408" s="3" t="str">
        <f aca="false">Raw_Data!E3408</f>
        <v>no</v>
      </c>
      <c r="G3408" s="3" t="n">
        <f aca="false">Raw_Data!F3408</f>
        <v>926</v>
      </c>
      <c r="H3408" s="3" t="str">
        <f aca="false">Raw_Data!G3408</f>
        <v>yes</v>
      </c>
      <c r="I3408" s="3" t="str">
        <f aca="false">Raw_Data!H3408</f>
        <v>yes</v>
      </c>
      <c r="J3408" s="2" t="n">
        <f aca="false">IF(F3408="yes",1,0)</f>
        <v>0</v>
      </c>
      <c r="K3408" s="2" t="n">
        <f aca="false">IF(H3408="yes",1,0)</f>
        <v>1</v>
      </c>
      <c r="L3408" s="2" t="n">
        <f aca="false">IF(I3408="yes",1,0)</f>
        <v>1</v>
      </c>
      <c r="M3408" s="2" t="n">
        <f aca="false">IF(G3408&lt;0,1,0)</f>
        <v>0</v>
      </c>
      <c r="N3408" s="2" t="str">
        <f aca="false">_xlfn.IFS(B3408&lt;30,"Under 30",B3408&lt;40,"30-39",B3408&lt;50,"40-49",B3408&lt;60,"50-59",TRUE(),"60+")</f>
        <v>Under 30</v>
      </c>
      <c r="O3408" s="2" t="str">
        <f aca="false">_xlfn.IFS(G3408&lt;0,"1 Negative",G3408=0,"2 Zero",G3408&lt;=500,"3 1-500",G3408&lt;=2000,"4 501-2000",TRUE(),"5 Above 2000")</f>
        <v>4 501-2000</v>
      </c>
      <c r="P3408" s="2" t="n">
        <f aca="false">Lookups!$B$2*M3408+Lookups!$B$3*L3408</f>
        <v>1</v>
      </c>
      <c r="Q3408" s="2" t="str">
        <f aca="false">INDEX(Lookups!$E$2:$E$5,MATCH(P3408,Lookups!$D$2:$D$5,0))</f>
        <v>Medium</v>
      </c>
    </row>
    <row r="3409" customFormat="false" ht="15" hidden="false" customHeight="false" outlineLevel="0" collapsed="false">
      <c r="A3409" s="3" t="n">
        <v>3408</v>
      </c>
      <c r="B3409" s="3" t="n">
        <f aca="false">Raw_Data!A3409</f>
        <v>40</v>
      </c>
      <c r="C3409" s="3" t="str">
        <f aca="false">SUBSTITUTE(Raw_Data!B3409,".","")</f>
        <v>management</v>
      </c>
      <c r="D3409" s="3" t="str">
        <f aca="false">Raw_Data!C3409</f>
        <v>divorced</v>
      </c>
      <c r="E3409" s="3" t="str">
        <f aca="false">Raw_Data!D3409</f>
        <v>tertiary</v>
      </c>
      <c r="F3409" s="3" t="str">
        <f aca="false">Raw_Data!E3409</f>
        <v>no</v>
      </c>
      <c r="G3409" s="3" t="n">
        <f aca="false">Raw_Data!F3409</f>
        <v>502</v>
      </c>
      <c r="H3409" s="3" t="str">
        <f aca="false">Raw_Data!G3409</f>
        <v>yes</v>
      </c>
      <c r="I3409" s="3" t="str">
        <f aca="false">Raw_Data!H3409</f>
        <v>no</v>
      </c>
      <c r="J3409" s="2" t="n">
        <f aca="false">IF(F3409="yes",1,0)</f>
        <v>0</v>
      </c>
      <c r="K3409" s="2" t="n">
        <f aca="false">IF(H3409="yes",1,0)</f>
        <v>1</v>
      </c>
      <c r="L3409" s="2" t="n">
        <f aca="false">IF(I3409="yes",1,0)</f>
        <v>0</v>
      </c>
      <c r="M3409" s="2" t="n">
        <f aca="false">IF(G3409&lt;0,1,0)</f>
        <v>0</v>
      </c>
      <c r="N3409" s="2" t="str">
        <f aca="false">_xlfn.IFS(B3409&lt;30,"Under 30",B3409&lt;40,"30-39",B3409&lt;50,"40-49",B3409&lt;60,"50-59",TRUE(),"60+")</f>
        <v>40-49</v>
      </c>
      <c r="O3409" s="2" t="str">
        <f aca="false">_xlfn.IFS(G3409&lt;0,"1 Negative",G3409=0,"2 Zero",G3409&lt;=500,"3 1-500",G3409&lt;=2000,"4 501-2000",TRUE(),"5 Above 2000")</f>
        <v>4 501-2000</v>
      </c>
      <c r="P3409" s="2" t="n">
        <f aca="false">Lookups!$B$2*M3409+Lookups!$B$3*L3409</f>
        <v>0</v>
      </c>
      <c r="Q3409" s="2" t="str">
        <f aca="false">INDEX(Lookups!$E$2:$E$5,MATCH(P3409,Lookups!$D$2:$D$5,0))</f>
        <v>Low</v>
      </c>
    </row>
    <row r="3410" customFormat="false" ht="15" hidden="false" customHeight="false" outlineLevel="0" collapsed="false">
      <c r="A3410" s="3" t="n">
        <v>3409</v>
      </c>
      <c r="B3410" s="3" t="n">
        <f aca="false">Raw_Data!A3410</f>
        <v>38</v>
      </c>
      <c r="C3410" s="3" t="str">
        <f aca="false">SUBSTITUTE(Raw_Data!B3410,".","")</f>
        <v>management</v>
      </c>
      <c r="D3410" s="3" t="str">
        <f aca="false">Raw_Data!C3410</f>
        <v>single</v>
      </c>
      <c r="E3410" s="3" t="str">
        <f aca="false">Raw_Data!D3410</f>
        <v>tertiary</v>
      </c>
      <c r="F3410" s="3" t="str">
        <f aca="false">Raw_Data!E3410</f>
        <v>no</v>
      </c>
      <c r="G3410" s="3" t="n">
        <f aca="false">Raw_Data!F3410</f>
        <v>8669</v>
      </c>
      <c r="H3410" s="3" t="str">
        <f aca="false">Raw_Data!G3410</f>
        <v>yes</v>
      </c>
      <c r="I3410" s="3" t="str">
        <f aca="false">Raw_Data!H3410</f>
        <v>no</v>
      </c>
      <c r="J3410" s="2" t="n">
        <f aca="false">IF(F3410="yes",1,0)</f>
        <v>0</v>
      </c>
      <c r="K3410" s="2" t="n">
        <f aca="false">IF(H3410="yes",1,0)</f>
        <v>1</v>
      </c>
      <c r="L3410" s="2" t="n">
        <f aca="false">IF(I3410="yes",1,0)</f>
        <v>0</v>
      </c>
      <c r="M3410" s="2" t="n">
        <f aca="false">IF(G3410&lt;0,1,0)</f>
        <v>0</v>
      </c>
      <c r="N3410" s="2" t="str">
        <f aca="false">_xlfn.IFS(B3410&lt;30,"Under 30",B3410&lt;40,"30-39",B3410&lt;50,"40-49",B3410&lt;60,"50-59",TRUE(),"60+")</f>
        <v>30-39</v>
      </c>
      <c r="O3410" s="2" t="str">
        <f aca="false">_xlfn.IFS(G3410&lt;0,"1 Negative",G3410=0,"2 Zero",G3410&lt;=500,"3 1-500",G3410&lt;=2000,"4 501-2000",TRUE(),"5 Above 2000")</f>
        <v>5 Above 2000</v>
      </c>
      <c r="P3410" s="2" t="n">
        <f aca="false">Lookups!$B$2*M3410+Lookups!$B$3*L3410</f>
        <v>0</v>
      </c>
      <c r="Q3410" s="2" t="str">
        <f aca="false">INDEX(Lookups!$E$2:$E$5,MATCH(P3410,Lookups!$D$2:$D$5,0))</f>
        <v>Low</v>
      </c>
    </row>
    <row r="3411" customFormat="false" ht="15" hidden="false" customHeight="false" outlineLevel="0" collapsed="false">
      <c r="A3411" s="3" t="n">
        <v>3410</v>
      </c>
      <c r="B3411" s="3" t="n">
        <f aca="false">Raw_Data!A3411</f>
        <v>48</v>
      </c>
      <c r="C3411" s="3" t="str">
        <f aca="false">SUBSTITUTE(Raw_Data!B3411,".","")</f>
        <v>blue-collar</v>
      </c>
      <c r="D3411" s="3" t="str">
        <f aca="false">Raw_Data!C3411</f>
        <v>single</v>
      </c>
      <c r="E3411" s="3" t="str">
        <f aca="false">Raw_Data!D3411</f>
        <v>primary</v>
      </c>
      <c r="F3411" s="3" t="str">
        <f aca="false">Raw_Data!E3411</f>
        <v>no</v>
      </c>
      <c r="G3411" s="3" t="n">
        <f aca="false">Raw_Data!F3411</f>
        <v>316</v>
      </c>
      <c r="H3411" s="3" t="str">
        <f aca="false">Raw_Data!G3411</f>
        <v>no</v>
      </c>
      <c r="I3411" s="3" t="str">
        <f aca="false">Raw_Data!H3411</f>
        <v>no</v>
      </c>
      <c r="J3411" s="2" t="n">
        <f aca="false">IF(F3411="yes",1,0)</f>
        <v>0</v>
      </c>
      <c r="K3411" s="2" t="n">
        <f aca="false">IF(H3411="yes",1,0)</f>
        <v>0</v>
      </c>
      <c r="L3411" s="2" t="n">
        <f aca="false">IF(I3411="yes",1,0)</f>
        <v>0</v>
      </c>
      <c r="M3411" s="2" t="n">
        <f aca="false">IF(G3411&lt;0,1,0)</f>
        <v>0</v>
      </c>
      <c r="N3411" s="2" t="str">
        <f aca="false">_xlfn.IFS(B3411&lt;30,"Under 30",B3411&lt;40,"30-39",B3411&lt;50,"40-49",B3411&lt;60,"50-59",TRUE(),"60+")</f>
        <v>40-49</v>
      </c>
      <c r="O3411" s="2" t="str">
        <f aca="false">_xlfn.IFS(G3411&lt;0,"1 Negative",G3411=0,"2 Zero",G3411&lt;=500,"3 1-500",G3411&lt;=2000,"4 501-2000",TRUE(),"5 Above 2000")</f>
        <v>3 1-500</v>
      </c>
      <c r="P3411" s="2" t="n">
        <f aca="false">Lookups!$B$2*M3411+Lookups!$B$3*L3411</f>
        <v>0</v>
      </c>
      <c r="Q3411" s="2" t="str">
        <f aca="false">INDEX(Lookups!$E$2:$E$5,MATCH(P3411,Lookups!$D$2:$D$5,0))</f>
        <v>Low</v>
      </c>
    </row>
    <row r="3412" customFormat="false" ht="15" hidden="false" customHeight="false" outlineLevel="0" collapsed="false">
      <c r="A3412" s="3" t="n">
        <v>3411</v>
      </c>
      <c r="B3412" s="3" t="n">
        <f aca="false">Raw_Data!A3412</f>
        <v>36</v>
      </c>
      <c r="C3412" s="3" t="str">
        <f aca="false">SUBSTITUTE(Raw_Data!B3412,".","")</f>
        <v>management</v>
      </c>
      <c r="D3412" s="3" t="str">
        <f aca="false">Raw_Data!C3412</f>
        <v>married</v>
      </c>
      <c r="E3412" s="3" t="str">
        <f aca="false">Raw_Data!D3412</f>
        <v>tertiary</v>
      </c>
      <c r="F3412" s="3" t="str">
        <f aca="false">Raw_Data!E3412</f>
        <v>no</v>
      </c>
      <c r="G3412" s="3" t="n">
        <f aca="false">Raw_Data!F3412</f>
        <v>9324</v>
      </c>
      <c r="H3412" s="3" t="str">
        <f aca="false">Raw_Data!G3412</f>
        <v>yes</v>
      </c>
      <c r="I3412" s="3" t="str">
        <f aca="false">Raw_Data!H3412</f>
        <v>no</v>
      </c>
      <c r="J3412" s="2" t="n">
        <f aca="false">IF(F3412="yes",1,0)</f>
        <v>0</v>
      </c>
      <c r="K3412" s="2" t="n">
        <f aca="false">IF(H3412="yes",1,0)</f>
        <v>1</v>
      </c>
      <c r="L3412" s="2" t="n">
        <f aca="false">IF(I3412="yes",1,0)</f>
        <v>0</v>
      </c>
      <c r="M3412" s="2" t="n">
        <f aca="false">IF(G3412&lt;0,1,0)</f>
        <v>0</v>
      </c>
      <c r="N3412" s="2" t="str">
        <f aca="false">_xlfn.IFS(B3412&lt;30,"Under 30",B3412&lt;40,"30-39",B3412&lt;50,"40-49",B3412&lt;60,"50-59",TRUE(),"60+")</f>
        <v>30-39</v>
      </c>
      <c r="O3412" s="2" t="str">
        <f aca="false">_xlfn.IFS(G3412&lt;0,"1 Negative",G3412=0,"2 Zero",G3412&lt;=500,"3 1-500",G3412&lt;=2000,"4 501-2000",TRUE(),"5 Above 2000")</f>
        <v>5 Above 2000</v>
      </c>
      <c r="P3412" s="2" t="n">
        <f aca="false">Lookups!$B$2*M3412+Lookups!$B$3*L3412</f>
        <v>0</v>
      </c>
      <c r="Q3412" s="2" t="str">
        <f aca="false">INDEX(Lookups!$E$2:$E$5,MATCH(P3412,Lookups!$D$2:$D$5,0))</f>
        <v>Low</v>
      </c>
    </row>
    <row r="3413" customFormat="false" ht="15" hidden="false" customHeight="false" outlineLevel="0" collapsed="false">
      <c r="A3413" s="3" t="n">
        <v>3412</v>
      </c>
      <c r="B3413" s="3" t="n">
        <f aca="false">Raw_Data!A3413</f>
        <v>57</v>
      </c>
      <c r="C3413" s="3" t="str">
        <f aca="false">SUBSTITUTE(Raw_Data!B3413,".","")</f>
        <v>management</v>
      </c>
      <c r="D3413" s="3" t="str">
        <f aca="false">Raw_Data!C3413</f>
        <v>married</v>
      </c>
      <c r="E3413" s="3" t="str">
        <f aca="false">Raw_Data!D3413</f>
        <v>tertiary</v>
      </c>
      <c r="F3413" s="3" t="str">
        <f aca="false">Raw_Data!E3413</f>
        <v>no</v>
      </c>
      <c r="G3413" s="3" t="n">
        <f aca="false">Raw_Data!F3413</f>
        <v>0</v>
      </c>
      <c r="H3413" s="3" t="str">
        <f aca="false">Raw_Data!G3413</f>
        <v>no</v>
      </c>
      <c r="I3413" s="3" t="str">
        <f aca="false">Raw_Data!H3413</f>
        <v>no</v>
      </c>
      <c r="J3413" s="2" t="n">
        <f aca="false">IF(F3413="yes",1,0)</f>
        <v>0</v>
      </c>
      <c r="K3413" s="2" t="n">
        <f aca="false">IF(H3413="yes",1,0)</f>
        <v>0</v>
      </c>
      <c r="L3413" s="2" t="n">
        <f aca="false">IF(I3413="yes",1,0)</f>
        <v>0</v>
      </c>
      <c r="M3413" s="2" t="n">
        <f aca="false">IF(G3413&lt;0,1,0)</f>
        <v>0</v>
      </c>
      <c r="N3413" s="2" t="str">
        <f aca="false">_xlfn.IFS(B3413&lt;30,"Under 30",B3413&lt;40,"30-39",B3413&lt;50,"40-49",B3413&lt;60,"50-59",TRUE(),"60+")</f>
        <v>50-59</v>
      </c>
      <c r="O3413" s="2" t="str">
        <f aca="false">_xlfn.IFS(G3413&lt;0,"1 Negative",G3413=0,"2 Zero",G3413&lt;=500,"3 1-500",G3413&lt;=2000,"4 501-2000",TRUE(),"5 Above 2000")</f>
        <v>2 Zero</v>
      </c>
      <c r="P3413" s="2" t="n">
        <f aca="false">Lookups!$B$2*M3413+Lookups!$B$3*L3413</f>
        <v>0</v>
      </c>
      <c r="Q3413" s="2" t="str">
        <f aca="false">INDEX(Lookups!$E$2:$E$5,MATCH(P3413,Lookups!$D$2:$D$5,0))</f>
        <v>Low</v>
      </c>
    </row>
    <row r="3414" customFormat="false" ht="15" hidden="false" customHeight="false" outlineLevel="0" collapsed="false">
      <c r="A3414" s="3" t="n">
        <v>3413</v>
      </c>
      <c r="B3414" s="3" t="n">
        <f aca="false">Raw_Data!A3414</f>
        <v>45</v>
      </c>
      <c r="C3414" s="3" t="str">
        <f aca="false">SUBSTITUTE(Raw_Data!B3414,".","")</f>
        <v>admin</v>
      </c>
      <c r="D3414" s="3" t="str">
        <f aca="false">Raw_Data!C3414</f>
        <v>married</v>
      </c>
      <c r="E3414" s="3" t="str">
        <f aca="false">Raw_Data!D3414</f>
        <v>secondary</v>
      </c>
      <c r="F3414" s="3" t="str">
        <f aca="false">Raw_Data!E3414</f>
        <v>no</v>
      </c>
      <c r="G3414" s="3" t="n">
        <f aca="false">Raw_Data!F3414</f>
        <v>72</v>
      </c>
      <c r="H3414" s="3" t="str">
        <f aca="false">Raw_Data!G3414</f>
        <v>yes</v>
      </c>
      <c r="I3414" s="3" t="str">
        <f aca="false">Raw_Data!H3414</f>
        <v>yes</v>
      </c>
      <c r="J3414" s="2" t="n">
        <f aca="false">IF(F3414="yes",1,0)</f>
        <v>0</v>
      </c>
      <c r="K3414" s="2" t="n">
        <f aca="false">IF(H3414="yes",1,0)</f>
        <v>1</v>
      </c>
      <c r="L3414" s="2" t="n">
        <f aca="false">IF(I3414="yes",1,0)</f>
        <v>1</v>
      </c>
      <c r="M3414" s="2" t="n">
        <f aca="false">IF(G3414&lt;0,1,0)</f>
        <v>0</v>
      </c>
      <c r="N3414" s="2" t="str">
        <f aca="false">_xlfn.IFS(B3414&lt;30,"Under 30",B3414&lt;40,"30-39",B3414&lt;50,"40-49",B3414&lt;60,"50-59",TRUE(),"60+")</f>
        <v>40-49</v>
      </c>
      <c r="O3414" s="2" t="str">
        <f aca="false">_xlfn.IFS(G3414&lt;0,"1 Negative",G3414=0,"2 Zero",G3414&lt;=500,"3 1-500",G3414&lt;=2000,"4 501-2000",TRUE(),"5 Above 2000")</f>
        <v>3 1-500</v>
      </c>
      <c r="P3414" s="2" t="n">
        <f aca="false">Lookups!$B$2*M3414+Lookups!$B$3*L3414</f>
        <v>1</v>
      </c>
      <c r="Q3414" s="2" t="str">
        <f aca="false">INDEX(Lookups!$E$2:$E$5,MATCH(P3414,Lookups!$D$2:$D$5,0))</f>
        <v>Medium</v>
      </c>
    </row>
    <row r="3415" customFormat="false" ht="15" hidden="false" customHeight="false" outlineLevel="0" collapsed="false">
      <c r="A3415" s="3" t="n">
        <v>3414</v>
      </c>
      <c r="B3415" s="3" t="n">
        <f aca="false">Raw_Data!A3415</f>
        <v>33</v>
      </c>
      <c r="C3415" s="3" t="str">
        <f aca="false">SUBSTITUTE(Raw_Data!B3415,".","")</f>
        <v>self-employed</v>
      </c>
      <c r="D3415" s="3" t="str">
        <f aca="false">Raw_Data!C3415</f>
        <v>single</v>
      </c>
      <c r="E3415" s="3" t="str">
        <f aca="false">Raw_Data!D3415</f>
        <v>tertiary</v>
      </c>
      <c r="F3415" s="3" t="str">
        <f aca="false">Raw_Data!E3415</f>
        <v>no</v>
      </c>
      <c r="G3415" s="3" t="n">
        <f aca="false">Raw_Data!F3415</f>
        <v>61</v>
      </c>
      <c r="H3415" s="3" t="str">
        <f aca="false">Raw_Data!G3415</f>
        <v>no</v>
      </c>
      <c r="I3415" s="3" t="str">
        <f aca="false">Raw_Data!H3415</f>
        <v>no</v>
      </c>
      <c r="J3415" s="2" t="n">
        <f aca="false">IF(F3415="yes",1,0)</f>
        <v>0</v>
      </c>
      <c r="K3415" s="2" t="n">
        <f aca="false">IF(H3415="yes",1,0)</f>
        <v>0</v>
      </c>
      <c r="L3415" s="2" t="n">
        <f aca="false">IF(I3415="yes",1,0)</f>
        <v>0</v>
      </c>
      <c r="M3415" s="2" t="n">
        <f aca="false">IF(G3415&lt;0,1,0)</f>
        <v>0</v>
      </c>
      <c r="N3415" s="2" t="str">
        <f aca="false">_xlfn.IFS(B3415&lt;30,"Under 30",B3415&lt;40,"30-39",B3415&lt;50,"40-49",B3415&lt;60,"50-59",TRUE(),"60+")</f>
        <v>30-39</v>
      </c>
      <c r="O3415" s="2" t="str">
        <f aca="false">_xlfn.IFS(G3415&lt;0,"1 Negative",G3415=0,"2 Zero",G3415&lt;=500,"3 1-500",G3415&lt;=2000,"4 501-2000",TRUE(),"5 Above 2000")</f>
        <v>3 1-500</v>
      </c>
      <c r="P3415" s="2" t="n">
        <f aca="false">Lookups!$B$2*M3415+Lookups!$B$3*L3415</f>
        <v>0</v>
      </c>
      <c r="Q3415" s="2" t="str">
        <f aca="false">INDEX(Lookups!$E$2:$E$5,MATCH(P3415,Lookups!$D$2:$D$5,0))</f>
        <v>Low</v>
      </c>
    </row>
    <row r="3416" customFormat="false" ht="15" hidden="false" customHeight="false" outlineLevel="0" collapsed="false">
      <c r="A3416" s="3" t="n">
        <v>3415</v>
      </c>
      <c r="B3416" s="3" t="n">
        <f aca="false">Raw_Data!A3416</f>
        <v>38</v>
      </c>
      <c r="C3416" s="3" t="str">
        <f aca="false">SUBSTITUTE(Raw_Data!B3416,".","")</f>
        <v>technician</v>
      </c>
      <c r="D3416" s="3" t="str">
        <f aca="false">Raw_Data!C3416</f>
        <v>single</v>
      </c>
      <c r="E3416" s="3" t="str">
        <f aca="false">Raw_Data!D3416</f>
        <v>secondary</v>
      </c>
      <c r="F3416" s="3" t="str">
        <f aca="false">Raw_Data!E3416</f>
        <v>no</v>
      </c>
      <c r="G3416" s="3" t="n">
        <f aca="false">Raw_Data!F3416</f>
        <v>173</v>
      </c>
      <c r="H3416" s="3" t="str">
        <f aca="false">Raw_Data!G3416</f>
        <v>no</v>
      </c>
      <c r="I3416" s="3" t="str">
        <f aca="false">Raw_Data!H3416</f>
        <v>no</v>
      </c>
      <c r="J3416" s="2" t="n">
        <f aca="false">IF(F3416="yes",1,0)</f>
        <v>0</v>
      </c>
      <c r="K3416" s="2" t="n">
        <f aca="false">IF(H3416="yes",1,0)</f>
        <v>0</v>
      </c>
      <c r="L3416" s="2" t="n">
        <f aca="false">IF(I3416="yes",1,0)</f>
        <v>0</v>
      </c>
      <c r="M3416" s="2" t="n">
        <f aca="false">IF(G3416&lt;0,1,0)</f>
        <v>0</v>
      </c>
      <c r="N3416" s="2" t="str">
        <f aca="false">_xlfn.IFS(B3416&lt;30,"Under 30",B3416&lt;40,"30-39",B3416&lt;50,"40-49",B3416&lt;60,"50-59",TRUE(),"60+")</f>
        <v>30-39</v>
      </c>
      <c r="O3416" s="2" t="str">
        <f aca="false">_xlfn.IFS(G3416&lt;0,"1 Negative",G3416=0,"2 Zero",G3416&lt;=500,"3 1-500",G3416&lt;=2000,"4 501-2000",TRUE(),"5 Above 2000")</f>
        <v>3 1-500</v>
      </c>
      <c r="P3416" s="2" t="n">
        <f aca="false">Lookups!$B$2*M3416+Lookups!$B$3*L3416</f>
        <v>0</v>
      </c>
      <c r="Q3416" s="2" t="str">
        <f aca="false">INDEX(Lookups!$E$2:$E$5,MATCH(P3416,Lookups!$D$2:$D$5,0))</f>
        <v>Low</v>
      </c>
    </row>
    <row r="3417" customFormat="false" ht="15" hidden="false" customHeight="false" outlineLevel="0" collapsed="false">
      <c r="A3417" s="3" t="n">
        <v>3416</v>
      </c>
      <c r="B3417" s="3" t="n">
        <f aca="false">Raw_Data!A3417</f>
        <v>26</v>
      </c>
      <c r="C3417" s="3" t="str">
        <f aca="false">SUBSTITUTE(Raw_Data!B3417,".","")</f>
        <v>services</v>
      </c>
      <c r="D3417" s="3" t="str">
        <f aca="false">Raw_Data!C3417</f>
        <v>single</v>
      </c>
      <c r="E3417" s="3" t="str">
        <f aca="false">Raw_Data!D3417</f>
        <v>secondary</v>
      </c>
      <c r="F3417" s="3" t="str">
        <f aca="false">Raw_Data!E3417</f>
        <v>yes</v>
      </c>
      <c r="G3417" s="3" t="n">
        <f aca="false">Raw_Data!F3417</f>
        <v>-162</v>
      </c>
      <c r="H3417" s="3" t="str">
        <f aca="false">Raw_Data!G3417</f>
        <v>yes</v>
      </c>
      <c r="I3417" s="3" t="str">
        <f aca="false">Raw_Data!H3417</f>
        <v>no</v>
      </c>
      <c r="J3417" s="2" t="n">
        <f aca="false">IF(F3417="yes",1,0)</f>
        <v>1</v>
      </c>
      <c r="K3417" s="2" t="n">
        <f aca="false">IF(H3417="yes",1,0)</f>
        <v>1</v>
      </c>
      <c r="L3417" s="2" t="n">
        <f aca="false">IF(I3417="yes",1,0)</f>
        <v>0</v>
      </c>
      <c r="M3417" s="2" t="n">
        <f aca="false">IF(G3417&lt;0,1,0)</f>
        <v>1</v>
      </c>
      <c r="N3417" s="2" t="str">
        <f aca="false">_xlfn.IFS(B3417&lt;30,"Under 30",B3417&lt;40,"30-39",B3417&lt;50,"40-49",B3417&lt;60,"50-59",TRUE(),"60+")</f>
        <v>Under 30</v>
      </c>
      <c r="O3417" s="2" t="str">
        <f aca="false">_xlfn.IFS(G3417&lt;0,"1 Negative",G3417=0,"2 Zero",G3417&lt;=500,"3 1-500",G3417&lt;=2000,"4 501-2000",TRUE(),"5 Above 2000")</f>
        <v>1 Negative</v>
      </c>
      <c r="P3417" s="2" t="n">
        <f aca="false">Lookups!$B$2*M3417+Lookups!$B$3*L3417</f>
        <v>2</v>
      </c>
      <c r="Q3417" s="2" t="str">
        <f aca="false">INDEX(Lookups!$E$2:$E$5,MATCH(P3417,Lookups!$D$2:$D$5,0))</f>
        <v>High</v>
      </c>
    </row>
    <row r="3418" customFormat="false" ht="15" hidden="false" customHeight="false" outlineLevel="0" collapsed="false">
      <c r="A3418" s="3" t="n">
        <v>3417</v>
      </c>
      <c r="B3418" s="3" t="n">
        <f aca="false">Raw_Data!A3418</f>
        <v>30</v>
      </c>
      <c r="C3418" s="3" t="str">
        <f aca="false">SUBSTITUTE(Raw_Data!B3418,".","")</f>
        <v>management</v>
      </c>
      <c r="D3418" s="3" t="str">
        <f aca="false">Raw_Data!C3418</f>
        <v>single</v>
      </c>
      <c r="E3418" s="3" t="str">
        <f aca="false">Raw_Data!D3418</f>
        <v>tertiary</v>
      </c>
      <c r="F3418" s="3" t="str">
        <f aca="false">Raw_Data!E3418</f>
        <v>no</v>
      </c>
      <c r="G3418" s="3" t="n">
        <f aca="false">Raw_Data!F3418</f>
        <v>47</v>
      </c>
      <c r="H3418" s="3" t="str">
        <f aca="false">Raw_Data!G3418</f>
        <v>no</v>
      </c>
      <c r="I3418" s="3" t="str">
        <f aca="false">Raw_Data!H3418</f>
        <v>yes</v>
      </c>
      <c r="J3418" s="2" t="n">
        <f aca="false">IF(F3418="yes",1,0)</f>
        <v>0</v>
      </c>
      <c r="K3418" s="2" t="n">
        <f aca="false">IF(H3418="yes",1,0)</f>
        <v>0</v>
      </c>
      <c r="L3418" s="2" t="n">
        <f aca="false">IF(I3418="yes",1,0)</f>
        <v>1</v>
      </c>
      <c r="M3418" s="2" t="n">
        <f aca="false">IF(G3418&lt;0,1,0)</f>
        <v>0</v>
      </c>
      <c r="N3418" s="2" t="str">
        <f aca="false">_xlfn.IFS(B3418&lt;30,"Under 30",B3418&lt;40,"30-39",B3418&lt;50,"40-49",B3418&lt;60,"50-59",TRUE(),"60+")</f>
        <v>30-39</v>
      </c>
      <c r="O3418" s="2" t="str">
        <f aca="false">_xlfn.IFS(G3418&lt;0,"1 Negative",G3418=0,"2 Zero",G3418&lt;=500,"3 1-500",G3418&lt;=2000,"4 501-2000",TRUE(),"5 Above 2000")</f>
        <v>3 1-500</v>
      </c>
      <c r="P3418" s="2" t="n">
        <f aca="false">Lookups!$B$2*M3418+Lookups!$B$3*L3418</f>
        <v>1</v>
      </c>
      <c r="Q3418" s="2" t="str">
        <f aca="false">INDEX(Lookups!$E$2:$E$5,MATCH(P3418,Lookups!$D$2:$D$5,0))</f>
        <v>Medium</v>
      </c>
    </row>
    <row r="3419" customFormat="false" ht="15" hidden="false" customHeight="false" outlineLevel="0" collapsed="false">
      <c r="A3419" s="3" t="n">
        <v>3418</v>
      </c>
      <c r="B3419" s="3" t="n">
        <f aca="false">Raw_Data!A3419</f>
        <v>55</v>
      </c>
      <c r="C3419" s="3" t="str">
        <f aca="false">SUBSTITUTE(Raw_Data!B3419,".","")</f>
        <v>services</v>
      </c>
      <c r="D3419" s="3" t="str">
        <f aca="false">Raw_Data!C3419</f>
        <v>divorced</v>
      </c>
      <c r="E3419" s="3" t="str">
        <f aca="false">Raw_Data!D3419</f>
        <v>tertiary</v>
      </c>
      <c r="F3419" s="3" t="str">
        <f aca="false">Raw_Data!E3419</f>
        <v>no</v>
      </c>
      <c r="G3419" s="3" t="n">
        <f aca="false">Raw_Data!F3419</f>
        <v>1983</v>
      </c>
      <c r="H3419" s="3" t="str">
        <f aca="false">Raw_Data!G3419</f>
        <v>yes</v>
      </c>
      <c r="I3419" s="3" t="str">
        <f aca="false">Raw_Data!H3419</f>
        <v>no</v>
      </c>
      <c r="J3419" s="2" t="n">
        <f aca="false">IF(F3419="yes",1,0)</f>
        <v>0</v>
      </c>
      <c r="K3419" s="2" t="n">
        <f aca="false">IF(H3419="yes",1,0)</f>
        <v>1</v>
      </c>
      <c r="L3419" s="2" t="n">
        <f aca="false">IF(I3419="yes",1,0)</f>
        <v>0</v>
      </c>
      <c r="M3419" s="2" t="n">
        <f aca="false">IF(G3419&lt;0,1,0)</f>
        <v>0</v>
      </c>
      <c r="N3419" s="2" t="str">
        <f aca="false">_xlfn.IFS(B3419&lt;30,"Under 30",B3419&lt;40,"30-39",B3419&lt;50,"40-49",B3419&lt;60,"50-59",TRUE(),"60+")</f>
        <v>50-59</v>
      </c>
      <c r="O3419" s="2" t="str">
        <f aca="false">_xlfn.IFS(G3419&lt;0,"1 Negative",G3419=0,"2 Zero",G3419&lt;=500,"3 1-500",G3419&lt;=2000,"4 501-2000",TRUE(),"5 Above 2000")</f>
        <v>4 501-2000</v>
      </c>
      <c r="P3419" s="2" t="n">
        <f aca="false">Lookups!$B$2*M3419+Lookups!$B$3*L3419</f>
        <v>0</v>
      </c>
      <c r="Q3419" s="2" t="str">
        <f aca="false">INDEX(Lookups!$E$2:$E$5,MATCH(P3419,Lookups!$D$2:$D$5,0))</f>
        <v>Low</v>
      </c>
    </row>
    <row r="3420" customFormat="false" ht="15" hidden="false" customHeight="false" outlineLevel="0" collapsed="false">
      <c r="A3420" s="3" t="n">
        <v>3419</v>
      </c>
      <c r="B3420" s="3" t="n">
        <f aca="false">Raw_Data!A3420</f>
        <v>34</v>
      </c>
      <c r="C3420" s="3" t="str">
        <f aca="false">SUBSTITUTE(Raw_Data!B3420,".","")</f>
        <v>blue-collar</v>
      </c>
      <c r="D3420" s="3" t="str">
        <f aca="false">Raw_Data!C3420</f>
        <v>married</v>
      </c>
      <c r="E3420" s="3" t="str">
        <f aca="false">Raw_Data!D3420</f>
        <v>secondary</v>
      </c>
      <c r="F3420" s="3" t="str">
        <f aca="false">Raw_Data!E3420</f>
        <v>no</v>
      </c>
      <c r="G3420" s="3" t="n">
        <f aca="false">Raw_Data!F3420</f>
        <v>326</v>
      </c>
      <c r="H3420" s="3" t="str">
        <f aca="false">Raw_Data!G3420</f>
        <v>yes</v>
      </c>
      <c r="I3420" s="3" t="str">
        <f aca="false">Raw_Data!H3420</f>
        <v>yes</v>
      </c>
      <c r="J3420" s="2" t="n">
        <f aca="false">IF(F3420="yes",1,0)</f>
        <v>0</v>
      </c>
      <c r="K3420" s="2" t="n">
        <f aca="false">IF(H3420="yes",1,0)</f>
        <v>1</v>
      </c>
      <c r="L3420" s="2" t="n">
        <f aca="false">IF(I3420="yes",1,0)</f>
        <v>1</v>
      </c>
      <c r="M3420" s="2" t="n">
        <f aca="false">IF(G3420&lt;0,1,0)</f>
        <v>0</v>
      </c>
      <c r="N3420" s="2" t="str">
        <f aca="false">_xlfn.IFS(B3420&lt;30,"Under 30",B3420&lt;40,"30-39",B3420&lt;50,"40-49",B3420&lt;60,"50-59",TRUE(),"60+")</f>
        <v>30-39</v>
      </c>
      <c r="O3420" s="2" t="str">
        <f aca="false">_xlfn.IFS(G3420&lt;0,"1 Negative",G3420=0,"2 Zero",G3420&lt;=500,"3 1-500",G3420&lt;=2000,"4 501-2000",TRUE(),"5 Above 2000")</f>
        <v>3 1-500</v>
      </c>
      <c r="P3420" s="2" t="n">
        <f aca="false">Lookups!$B$2*M3420+Lookups!$B$3*L3420</f>
        <v>1</v>
      </c>
      <c r="Q3420" s="2" t="str">
        <f aca="false">INDEX(Lookups!$E$2:$E$5,MATCH(P3420,Lookups!$D$2:$D$5,0))</f>
        <v>Medium</v>
      </c>
    </row>
    <row r="3421" customFormat="false" ht="15" hidden="false" customHeight="false" outlineLevel="0" collapsed="false">
      <c r="A3421" s="3" t="n">
        <v>3420</v>
      </c>
      <c r="B3421" s="3" t="n">
        <f aca="false">Raw_Data!A3421</f>
        <v>60</v>
      </c>
      <c r="C3421" s="3" t="str">
        <f aca="false">SUBSTITUTE(Raw_Data!B3421,".","")</f>
        <v>admin</v>
      </c>
      <c r="D3421" s="3" t="str">
        <f aca="false">Raw_Data!C3421</f>
        <v>married</v>
      </c>
      <c r="E3421" s="3" t="str">
        <f aca="false">Raw_Data!D3421</f>
        <v>secondary</v>
      </c>
      <c r="F3421" s="3" t="str">
        <f aca="false">Raw_Data!E3421</f>
        <v>no</v>
      </c>
      <c r="G3421" s="3" t="n">
        <f aca="false">Raw_Data!F3421</f>
        <v>2552</v>
      </c>
      <c r="H3421" s="3" t="str">
        <f aca="false">Raw_Data!G3421</f>
        <v>no</v>
      </c>
      <c r="I3421" s="3" t="str">
        <f aca="false">Raw_Data!H3421</f>
        <v>yes</v>
      </c>
      <c r="J3421" s="2" t="n">
        <f aca="false">IF(F3421="yes",1,0)</f>
        <v>0</v>
      </c>
      <c r="K3421" s="2" t="n">
        <f aca="false">IF(H3421="yes",1,0)</f>
        <v>0</v>
      </c>
      <c r="L3421" s="2" t="n">
        <f aca="false">IF(I3421="yes",1,0)</f>
        <v>1</v>
      </c>
      <c r="M3421" s="2" t="n">
        <f aca="false">IF(G3421&lt;0,1,0)</f>
        <v>0</v>
      </c>
      <c r="N3421" s="2" t="str">
        <f aca="false">_xlfn.IFS(B3421&lt;30,"Under 30",B3421&lt;40,"30-39",B3421&lt;50,"40-49",B3421&lt;60,"50-59",TRUE(),"60+")</f>
        <v>60+</v>
      </c>
      <c r="O3421" s="2" t="str">
        <f aca="false">_xlfn.IFS(G3421&lt;0,"1 Negative",G3421=0,"2 Zero",G3421&lt;=500,"3 1-500",G3421&lt;=2000,"4 501-2000",TRUE(),"5 Above 2000")</f>
        <v>5 Above 2000</v>
      </c>
      <c r="P3421" s="2" t="n">
        <f aca="false">Lookups!$B$2*M3421+Lookups!$B$3*L3421</f>
        <v>1</v>
      </c>
      <c r="Q3421" s="2" t="str">
        <f aca="false">INDEX(Lookups!$E$2:$E$5,MATCH(P3421,Lookups!$D$2:$D$5,0))</f>
        <v>Medium</v>
      </c>
    </row>
    <row r="3422" customFormat="false" ht="15" hidden="false" customHeight="false" outlineLevel="0" collapsed="false">
      <c r="A3422" s="3" t="n">
        <v>3421</v>
      </c>
      <c r="B3422" s="3" t="n">
        <f aca="false">Raw_Data!A3422</f>
        <v>36</v>
      </c>
      <c r="C3422" s="3" t="str">
        <f aca="false">SUBSTITUTE(Raw_Data!B3422,".","")</f>
        <v>management</v>
      </c>
      <c r="D3422" s="3" t="str">
        <f aca="false">Raw_Data!C3422</f>
        <v>single</v>
      </c>
      <c r="E3422" s="3" t="str">
        <f aca="false">Raw_Data!D3422</f>
        <v>tertiary</v>
      </c>
      <c r="F3422" s="3" t="str">
        <f aca="false">Raw_Data!E3422</f>
        <v>no</v>
      </c>
      <c r="G3422" s="3" t="n">
        <f aca="false">Raw_Data!F3422</f>
        <v>1283</v>
      </c>
      <c r="H3422" s="3" t="str">
        <f aca="false">Raw_Data!G3422</f>
        <v>no</v>
      </c>
      <c r="I3422" s="3" t="str">
        <f aca="false">Raw_Data!H3422</f>
        <v>no</v>
      </c>
      <c r="J3422" s="2" t="n">
        <f aca="false">IF(F3422="yes",1,0)</f>
        <v>0</v>
      </c>
      <c r="K3422" s="2" t="n">
        <f aca="false">IF(H3422="yes",1,0)</f>
        <v>0</v>
      </c>
      <c r="L3422" s="2" t="n">
        <f aca="false">IF(I3422="yes",1,0)</f>
        <v>0</v>
      </c>
      <c r="M3422" s="2" t="n">
        <f aca="false">IF(G3422&lt;0,1,0)</f>
        <v>0</v>
      </c>
      <c r="N3422" s="2" t="str">
        <f aca="false">_xlfn.IFS(B3422&lt;30,"Under 30",B3422&lt;40,"30-39",B3422&lt;50,"40-49",B3422&lt;60,"50-59",TRUE(),"60+")</f>
        <v>30-39</v>
      </c>
      <c r="O3422" s="2" t="str">
        <f aca="false">_xlfn.IFS(G3422&lt;0,"1 Negative",G3422=0,"2 Zero",G3422&lt;=500,"3 1-500",G3422&lt;=2000,"4 501-2000",TRUE(),"5 Above 2000")</f>
        <v>4 501-2000</v>
      </c>
      <c r="P3422" s="2" t="n">
        <f aca="false">Lookups!$B$2*M3422+Lookups!$B$3*L3422</f>
        <v>0</v>
      </c>
      <c r="Q3422" s="2" t="str">
        <f aca="false">INDEX(Lookups!$E$2:$E$5,MATCH(P3422,Lookups!$D$2:$D$5,0))</f>
        <v>Low</v>
      </c>
    </row>
    <row r="3423" customFormat="false" ht="15" hidden="false" customHeight="false" outlineLevel="0" collapsed="false">
      <c r="A3423" s="3" t="n">
        <v>3422</v>
      </c>
      <c r="B3423" s="3" t="n">
        <f aca="false">Raw_Data!A3423</f>
        <v>65</v>
      </c>
      <c r="C3423" s="3" t="str">
        <f aca="false">SUBSTITUTE(Raw_Data!B3423,".","")</f>
        <v>housemaid</v>
      </c>
      <c r="D3423" s="3" t="str">
        <f aca="false">Raw_Data!C3423</f>
        <v>married</v>
      </c>
      <c r="E3423" s="3" t="str">
        <f aca="false">Raw_Data!D3423</f>
        <v>primary</v>
      </c>
      <c r="F3423" s="3" t="str">
        <f aca="false">Raw_Data!E3423</f>
        <v>no</v>
      </c>
      <c r="G3423" s="3" t="n">
        <f aca="false">Raw_Data!F3423</f>
        <v>2179</v>
      </c>
      <c r="H3423" s="3" t="str">
        <f aca="false">Raw_Data!G3423</f>
        <v>yes</v>
      </c>
      <c r="I3423" s="3" t="str">
        <f aca="false">Raw_Data!H3423</f>
        <v>no</v>
      </c>
      <c r="J3423" s="2" t="n">
        <f aca="false">IF(F3423="yes",1,0)</f>
        <v>0</v>
      </c>
      <c r="K3423" s="2" t="n">
        <f aca="false">IF(H3423="yes",1,0)</f>
        <v>1</v>
      </c>
      <c r="L3423" s="2" t="n">
        <f aca="false">IF(I3423="yes",1,0)</f>
        <v>0</v>
      </c>
      <c r="M3423" s="2" t="n">
        <f aca="false">IF(G3423&lt;0,1,0)</f>
        <v>0</v>
      </c>
      <c r="N3423" s="2" t="str">
        <f aca="false">_xlfn.IFS(B3423&lt;30,"Under 30",B3423&lt;40,"30-39",B3423&lt;50,"40-49",B3423&lt;60,"50-59",TRUE(),"60+")</f>
        <v>60+</v>
      </c>
      <c r="O3423" s="2" t="str">
        <f aca="false">_xlfn.IFS(G3423&lt;0,"1 Negative",G3423=0,"2 Zero",G3423&lt;=500,"3 1-500",G3423&lt;=2000,"4 501-2000",TRUE(),"5 Above 2000")</f>
        <v>5 Above 2000</v>
      </c>
      <c r="P3423" s="2" t="n">
        <f aca="false">Lookups!$B$2*M3423+Lookups!$B$3*L3423</f>
        <v>0</v>
      </c>
      <c r="Q3423" s="2" t="str">
        <f aca="false">INDEX(Lookups!$E$2:$E$5,MATCH(P3423,Lookups!$D$2:$D$5,0))</f>
        <v>Low</v>
      </c>
    </row>
    <row r="3424" customFormat="false" ht="15" hidden="false" customHeight="false" outlineLevel="0" collapsed="false">
      <c r="A3424" s="3" t="n">
        <v>3423</v>
      </c>
      <c r="B3424" s="3" t="n">
        <f aca="false">Raw_Data!A3424</f>
        <v>39</v>
      </c>
      <c r="C3424" s="3" t="str">
        <f aca="false">SUBSTITUTE(Raw_Data!B3424,".","")</f>
        <v>self-employed</v>
      </c>
      <c r="D3424" s="3" t="str">
        <f aca="false">Raw_Data!C3424</f>
        <v>married</v>
      </c>
      <c r="E3424" s="3" t="str">
        <f aca="false">Raw_Data!D3424</f>
        <v>tertiary</v>
      </c>
      <c r="F3424" s="3" t="str">
        <f aca="false">Raw_Data!E3424</f>
        <v>no</v>
      </c>
      <c r="G3424" s="3" t="n">
        <f aca="false">Raw_Data!F3424</f>
        <v>1047</v>
      </c>
      <c r="H3424" s="3" t="str">
        <f aca="false">Raw_Data!G3424</f>
        <v>no</v>
      </c>
      <c r="I3424" s="3" t="str">
        <f aca="false">Raw_Data!H3424</f>
        <v>no</v>
      </c>
      <c r="J3424" s="2" t="n">
        <f aca="false">IF(F3424="yes",1,0)</f>
        <v>0</v>
      </c>
      <c r="K3424" s="2" t="n">
        <f aca="false">IF(H3424="yes",1,0)</f>
        <v>0</v>
      </c>
      <c r="L3424" s="2" t="n">
        <f aca="false">IF(I3424="yes",1,0)</f>
        <v>0</v>
      </c>
      <c r="M3424" s="2" t="n">
        <f aca="false">IF(G3424&lt;0,1,0)</f>
        <v>0</v>
      </c>
      <c r="N3424" s="2" t="str">
        <f aca="false">_xlfn.IFS(B3424&lt;30,"Under 30",B3424&lt;40,"30-39",B3424&lt;50,"40-49",B3424&lt;60,"50-59",TRUE(),"60+")</f>
        <v>30-39</v>
      </c>
      <c r="O3424" s="2" t="str">
        <f aca="false">_xlfn.IFS(G3424&lt;0,"1 Negative",G3424=0,"2 Zero",G3424&lt;=500,"3 1-500",G3424&lt;=2000,"4 501-2000",TRUE(),"5 Above 2000")</f>
        <v>4 501-2000</v>
      </c>
      <c r="P3424" s="2" t="n">
        <f aca="false">Lookups!$B$2*M3424+Lookups!$B$3*L3424</f>
        <v>0</v>
      </c>
      <c r="Q3424" s="2" t="str">
        <f aca="false">INDEX(Lookups!$E$2:$E$5,MATCH(P3424,Lookups!$D$2:$D$5,0))</f>
        <v>Low</v>
      </c>
    </row>
    <row r="3425" customFormat="false" ht="15" hidden="false" customHeight="false" outlineLevel="0" collapsed="false">
      <c r="A3425" s="3" t="n">
        <v>3424</v>
      </c>
      <c r="B3425" s="3" t="n">
        <f aca="false">Raw_Data!A3425</f>
        <v>52</v>
      </c>
      <c r="C3425" s="3" t="str">
        <f aca="false">SUBSTITUTE(Raw_Data!B3425,".","")</f>
        <v>blue-collar</v>
      </c>
      <c r="D3425" s="3" t="str">
        <f aca="false">Raw_Data!C3425</f>
        <v>married</v>
      </c>
      <c r="E3425" s="3" t="str">
        <f aca="false">Raw_Data!D3425</f>
        <v>primary</v>
      </c>
      <c r="F3425" s="3" t="str">
        <f aca="false">Raw_Data!E3425</f>
        <v>no</v>
      </c>
      <c r="G3425" s="3" t="n">
        <f aca="false">Raw_Data!F3425</f>
        <v>36</v>
      </c>
      <c r="H3425" s="3" t="str">
        <f aca="false">Raw_Data!G3425</f>
        <v>no</v>
      </c>
      <c r="I3425" s="3" t="str">
        <f aca="false">Raw_Data!H3425</f>
        <v>no</v>
      </c>
      <c r="J3425" s="2" t="n">
        <f aca="false">IF(F3425="yes",1,0)</f>
        <v>0</v>
      </c>
      <c r="K3425" s="2" t="n">
        <f aca="false">IF(H3425="yes",1,0)</f>
        <v>0</v>
      </c>
      <c r="L3425" s="2" t="n">
        <f aca="false">IF(I3425="yes",1,0)</f>
        <v>0</v>
      </c>
      <c r="M3425" s="2" t="n">
        <f aca="false">IF(G3425&lt;0,1,0)</f>
        <v>0</v>
      </c>
      <c r="N3425" s="2" t="str">
        <f aca="false">_xlfn.IFS(B3425&lt;30,"Under 30",B3425&lt;40,"30-39",B3425&lt;50,"40-49",B3425&lt;60,"50-59",TRUE(),"60+")</f>
        <v>50-59</v>
      </c>
      <c r="O3425" s="2" t="str">
        <f aca="false">_xlfn.IFS(G3425&lt;0,"1 Negative",G3425=0,"2 Zero",G3425&lt;=500,"3 1-500",G3425&lt;=2000,"4 501-2000",TRUE(),"5 Above 2000")</f>
        <v>3 1-500</v>
      </c>
      <c r="P3425" s="2" t="n">
        <f aca="false">Lookups!$B$2*M3425+Lookups!$B$3*L3425</f>
        <v>0</v>
      </c>
      <c r="Q3425" s="2" t="str">
        <f aca="false">INDEX(Lookups!$E$2:$E$5,MATCH(P3425,Lookups!$D$2:$D$5,0))</f>
        <v>Low</v>
      </c>
    </row>
    <row r="3426" customFormat="false" ht="15" hidden="false" customHeight="false" outlineLevel="0" collapsed="false">
      <c r="A3426" s="3" t="n">
        <v>3425</v>
      </c>
      <c r="B3426" s="3" t="n">
        <f aca="false">Raw_Data!A3426</f>
        <v>55</v>
      </c>
      <c r="C3426" s="3" t="str">
        <f aca="false">SUBSTITUTE(Raw_Data!B3426,".","")</f>
        <v>technician</v>
      </c>
      <c r="D3426" s="3" t="str">
        <f aca="false">Raw_Data!C3426</f>
        <v>married</v>
      </c>
      <c r="E3426" s="3" t="str">
        <f aca="false">Raw_Data!D3426</f>
        <v>secondary</v>
      </c>
      <c r="F3426" s="3" t="str">
        <f aca="false">Raw_Data!E3426</f>
        <v>yes</v>
      </c>
      <c r="G3426" s="3" t="n">
        <f aca="false">Raw_Data!F3426</f>
        <v>-308</v>
      </c>
      <c r="H3426" s="3" t="str">
        <f aca="false">Raw_Data!G3426</f>
        <v>no</v>
      </c>
      <c r="I3426" s="3" t="str">
        <f aca="false">Raw_Data!H3426</f>
        <v>no</v>
      </c>
      <c r="J3426" s="2" t="n">
        <f aca="false">IF(F3426="yes",1,0)</f>
        <v>1</v>
      </c>
      <c r="K3426" s="2" t="n">
        <f aca="false">IF(H3426="yes",1,0)</f>
        <v>0</v>
      </c>
      <c r="L3426" s="2" t="n">
        <f aca="false">IF(I3426="yes",1,0)</f>
        <v>0</v>
      </c>
      <c r="M3426" s="2" t="n">
        <f aca="false">IF(G3426&lt;0,1,0)</f>
        <v>1</v>
      </c>
      <c r="N3426" s="2" t="str">
        <f aca="false">_xlfn.IFS(B3426&lt;30,"Under 30",B3426&lt;40,"30-39",B3426&lt;50,"40-49",B3426&lt;60,"50-59",TRUE(),"60+")</f>
        <v>50-59</v>
      </c>
      <c r="O3426" s="2" t="str">
        <f aca="false">_xlfn.IFS(G3426&lt;0,"1 Negative",G3426=0,"2 Zero",G3426&lt;=500,"3 1-500",G3426&lt;=2000,"4 501-2000",TRUE(),"5 Above 2000")</f>
        <v>1 Negative</v>
      </c>
      <c r="P3426" s="2" t="n">
        <f aca="false">Lookups!$B$2*M3426+Lookups!$B$3*L3426</f>
        <v>2</v>
      </c>
      <c r="Q3426" s="2" t="str">
        <f aca="false">INDEX(Lookups!$E$2:$E$5,MATCH(P3426,Lookups!$D$2:$D$5,0))</f>
        <v>High</v>
      </c>
    </row>
    <row r="3427" customFormat="false" ht="15" hidden="false" customHeight="false" outlineLevel="0" collapsed="false">
      <c r="A3427" s="3" t="n">
        <v>3426</v>
      </c>
      <c r="B3427" s="3" t="n">
        <f aca="false">Raw_Data!A3427</f>
        <v>26</v>
      </c>
      <c r="C3427" s="3" t="str">
        <f aca="false">SUBSTITUTE(Raw_Data!B3427,".","")</f>
        <v>management</v>
      </c>
      <c r="D3427" s="3" t="str">
        <f aca="false">Raw_Data!C3427</f>
        <v>single</v>
      </c>
      <c r="E3427" s="3" t="str">
        <f aca="false">Raw_Data!D3427</f>
        <v>tertiary</v>
      </c>
      <c r="F3427" s="3" t="str">
        <f aca="false">Raw_Data!E3427</f>
        <v>no</v>
      </c>
      <c r="G3427" s="3" t="n">
        <f aca="false">Raw_Data!F3427</f>
        <v>1177</v>
      </c>
      <c r="H3427" s="3" t="str">
        <f aca="false">Raw_Data!G3427</f>
        <v>no</v>
      </c>
      <c r="I3427" s="3" t="str">
        <f aca="false">Raw_Data!H3427</f>
        <v>no</v>
      </c>
      <c r="J3427" s="2" t="n">
        <f aca="false">IF(F3427="yes",1,0)</f>
        <v>0</v>
      </c>
      <c r="K3427" s="2" t="n">
        <f aca="false">IF(H3427="yes",1,0)</f>
        <v>0</v>
      </c>
      <c r="L3427" s="2" t="n">
        <f aca="false">IF(I3427="yes",1,0)</f>
        <v>0</v>
      </c>
      <c r="M3427" s="2" t="n">
        <f aca="false">IF(G3427&lt;0,1,0)</f>
        <v>0</v>
      </c>
      <c r="N3427" s="2" t="str">
        <f aca="false">_xlfn.IFS(B3427&lt;30,"Under 30",B3427&lt;40,"30-39",B3427&lt;50,"40-49",B3427&lt;60,"50-59",TRUE(),"60+")</f>
        <v>Under 30</v>
      </c>
      <c r="O3427" s="2" t="str">
        <f aca="false">_xlfn.IFS(G3427&lt;0,"1 Negative",G3427=0,"2 Zero",G3427&lt;=500,"3 1-500",G3427&lt;=2000,"4 501-2000",TRUE(),"5 Above 2000")</f>
        <v>4 501-2000</v>
      </c>
      <c r="P3427" s="2" t="n">
        <f aca="false">Lookups!$B$2*M3427+Lookups!$B$3*L3427</f>
        <v>0</v>
      </c>
      <c r="Q3427" s="2" t="str">
        <f aca="false">INDEX(Lookups!$E$2:$E$5,MATCH(P3427,Lookups!$D$2:$D$5,0))</f>
        <v>Low</v>
      </c>
    </row>
    <row r="3428" customFormat="false" ht="15" hidden="false" customHeight="false" outlineLevel="0" collapsed="false">
      <c r="A3428" s="3" t="n">
        <v>3427</v>
      </c>
      <c r="B3428" s="3" t="n">
        <f aca="false">Raw_Data!A3428</f>
        <v>40</v>
      </c>
      <c r="C3428" s="3" t="str">
        <f aca="false">SUBSTITUTE(Raw_Data!B3428,".","")</f>
        <v>self-employed</v>
      </c>
      <c r="D3428" s="3" t="str">
        <f aca="false">Raw_Data!C3428</f>
        <v>married</v>
      </c>
      <c r="E3428" s="3" t="str">
        <f aca="false">Raw_Data!D3428</f>
        <v>primary</v>
      </c>
      <c r="F3428" s="3" t="str">
        <f aca="false">Raw_Data!E3428</f>
        <v>no</v>
      </c>
      <c r="G3428" s="3" t="n">
        <f aca="false">Raw_Data!F3428</f>
        <v>2077</v>
      </c>
      <c r="H3428" s="3" t="str">
        <f aca="false">Raw_Data!G3428</f>
        <v>yes</v>
      </c>
      <c r="I3428" s="3" t="str">
        <f aca="false">Raw_Data!H3428</f>
        <v>no</v>
      </c>
      <c r="J3428" s="2" t="n">
        <f aca="false">IF(F3428="yes",1,0)</f>
        <v>0</v>
      </c>
      <c r="K3428" s="2" t="n">
        <f aca="false">IF(H3428="yes",1,0)</f>
        <v>1</v>
      </c>
      <c r="L3428" s="2" t="n">
        <f aca="false">IF(I3428="yes",1,0)</f>
        <v>0</v>
      </c>
      <c r="M3428" s="2" t="n">
        <f aca="false">IF(G3428&lt;0,1,0)</f>
        <v>0</v>
      </c>
      <c r="N3428" s="2" t="str">
        <f aca="false">_xlfn.IFS(B3428&lt;30,"Under 30",B3428&lt;40,"30-39",B3428&lt;50,"40-49",B3428&lt;60,"50-59",TRUE(),"60+")</f>
        <v>40-49</v>
      </c>
      <c r="O3428" s="2" t="str">
        <f aca="false">_xlfn.IFS(G3428&lt;0,"1 Negative",G3428=0,"2 Zero",G3428&lt;=500,"3 1-500",G3428&lt;=2000,"4 501-2000",TRUE(),"5 Above 2000")</f>
        <v>5 Above 2000</v>
      </c>
      <c r="P3428" s="2" t="n">
        <f aca="false">Lookups!$B$2*M3428+Lookups!$B$3*L3428</f>
        <v>0</v>
      </c>
      <c r="Q3428" s="2" t="str">
        <f aca="false">INDEX(Lookups!$E$2:$E$5,MATCH(P3428,Lookups!$D$2:$D$5,0))</f>
        <v>Low</v>
      </c>
    </row>
    <row r="3429" customFormat="false" ht="15" hidden="false" customHeight="false" outlineLevel="0" collapsed="false">
      <c r="A3429" s="3" t="n">
        <v>3428</v>
      </c>
      <c r="B3429" s="3" t="n">
        <f aca="false">Raw_Data!A3429</f>
        <v>52</v>
      </c>
      <c r="C3429" s="3" t="str">
        <f aca="false">SUBSTITUTE(Raw_Data!B3429,".","")</f>
        <v>entrepreneur</v>
      </c>
      <c r="D3429" s="3" t="str">
        <f aca="false">Raw_Data!C3429</f>
        <v>married</v>
      </c>
      <c r="E3429" s="3" t="str">
        <f aca="false">Raw_Data!D3429</f>
        <v>secondary</v>
      </c>
      <c r="F3429" s="3" t="str">
        <f aca="false">Raw_Data!E3429</f>
        <v>no</v>
      </c>
      <c r="G3429" s="3" t="n">
        <f aca="false">Raw_Data!F3429</f>
        <v>0</v>
      </c>
      <c r="H3429" s="3" t="str">
        <f aca="false">Raw_Data!G3429</f>
        <v>no</v>
      </c>
      <c r="I3429" s="3" t="str">
        <f aca="false">Raw_Data!H3429</f>
        <v>no</v>
      </c>
      <c r="J3429" s="2" t="n">
        <f aca="false">IF(F3429="yes",1,0)</f>
        <v>0</v>
      </c>
      <c r="K3429" s="2" t="n">
        <f aca="false">IF(H3429="yes",1,0)</f>
        <v>0</v>
      </c>
      <c r="L3429" s="2" t="n">
        <f aca="false">IF(I3429="yes",1,0)</f>
        <v>0</v>
      </c>
      <c r="M3429" s="2" t="n">
        <f aca="false">IF(G3429&lt;0,1,0)</f>
        <v>0</v>
      </c>
      <c r="N3429" s="2" t="str">
        <f aca="false">_xlfn.IFS(B3429&lt;30,"Under 30",B3429&lt;40,"30-39",B3429&lt;50,"40-49",B3429&lt;60,"50-59",TRUE(),"60+")</f>
        <v>50-59</v>
      </c>
      <c r="O3429" s="2" t="str">
        <f aca="false">_xlfn.IFS(G3429&lt;0,"1 Negative",G3429=0,"2 Zero",G3429&lt;=500,"3 1-500",G3429&lt;=2000,"4 501-2000",TRUE(),"5 Above 2000")</f>
        <v>2 Zero</v>
      </c>
      <c r="P3429" s="2" t="n">
        <f aca="false">Lookups!$B$2*M3429+Lookups!$B$3*L3429</f>
        <v>0</v>
      </c>
      <c r="Q3429" s="2" t="str">
        <f aca="false">INDEX(Lookups!$E$2:$E$5,MATCH(P3429,Lookups!$D$2:$D$5,0))</f>
        <v>Low</v>
      </c>
    </row>
    <row r="3430" customFormat="false" ht="15" hidden="false" customHeight="false" outlineLevel="0" collapsed="false">
      <c r="A3430" s="3" t="n">
        <v>3429</v>
      </c>
      <c r="B3430" s="3" t="n">
        <f aca="false">Raw_Data!A3430</f>
        <v>29</v>
      </c>
      <c r="C3430" s="3" t="str">
        <f aca="false">SUBSTITUTE(Raw_Data!B3430,".","")</f>
        <v>self-employed</v>
      </c>
      <c r="D3430" s="3" t="str">
        <f aca="false">Raw_Data!C3430</f>
        <v>married</v>
      </c>
      <c r="E3430" s="3" t="str">
        <f aca="false">Raw_Data!D3430</f>
        <v>tertiary</v>
      </c>
      <c r="F3430" s="3" t="str">
        <f aca="false">Raw_Data!E3430</f>
        <v>no</v>
      </c>
      <c r="G3430" s="3" t="n">
        <f aca="false">Raw_Data!F3430</f>
        <v>1</v>
      </c>
      <c r="H3430" s="3" t="str">
        <f aca="false">Raw_Data!G3430</f>
        <v>no</v>
      </c>
      <c r="I3430" s="3" t="str">
        <f aca="false">Raw_Data!H3430</f>
        <v>no</v>
      </c>
      <c r="J3430" s="2" t="n">
        <f aca="false">IF(F3430="yes",1,0)</f>
        <v>0</v>
      </c>
      <c r="K3430" s="2" t="n">
        <f aca="false">IF(H3430="yes",1,0)</f>
        <v>0</v>
      </c>
      <c r="L3430" s="2" t="n">
        <f aca="false">IF(I3430="yes",1,0)</f>
        <v>0</v>
      </c>
      <c r="M3430" s="2" t="n">
        <f aca="false">IF(G3430&lt;0,1,0)</f>
        <v>0</v>
      </c>
      <c r="N3430" s="2" t="str">
        <f aca="false">_xlfn.IFS(B3430&lt;30,"Under 30",B3430&lt;40,"30-39",B3430&lt;50,"40-49",B3430&lt;60,"50-59",TRUE(),"60+")</f>
        <v>Under 30</v>
      </c>
      <c r="O3430" s="2" t="str">
        <f aca="false">_xlfn.IFS(G3430&lt;0,"1 Negative",G3430=0,"2 Zero",G3430&lt;=500,"3 1-500",G3430&lt;=2000,"4 501-2000",TRUE(),"5 Above 2000")</f>
        <v>3 1-500</v>
      </c>
      <c r="P3430" s="2" t="n">
        <f aca="false">Lookups!$B$2*M3430+Lookups!$B$3*L3430</f>
        <v>0</v>
      </c>
      <c r="Q3430" s="2" t="str">
        <f aca="false">INDEX(Lookups!$E$2:$E$5,MATCH(P3430,Lookups!$D$2:$D$5,0))</f>
        <v>Low</v>
      </c>
    </row>
    <row r="3431" customFormat="false" ht="15" hidden="false" customHeight="false" outlineLevel="0" collapsed="false">
      <c r="A3431" s="3" t="n">
        <v>3430</v>
      </c>
      <c r="B3431" s="3" t="n">
        <f aca="false">Raw_Data!A3431</f>
        <v>41</v>
      </c>
      <c r="C3431" s="3" t="str">
        <f aca="false">SUBSTITUTE(Raw_Data!B3431,".","")</f>
        <v>blue-collar</v>
      </c>
      <c r="D3431" s="3" t="str">
        <f aca="false">Raw_Data!C3431</f>
        <v>married</v>
      </c>
      <c r="E3431" s="3" t="str">
        <f aca="false">Raw_Data!D3431</f>
        <v>primary</v>
      </c>
      <c r="F3431" s="3" t="str">
        <f aca="false">Raw_Data!E3431</f>
        <v>no</v>
      </c>
      <c r="G3431" s="3" t="n">
        <f aca="false">Raw_Data!F3431</f>
        <v>7735</v>
      </c>
      <c r="H3431" s="3" t="str">
        <f aca="false">Raw_Data!G3431</f>
        <v>yes</v>
      </c>
      <c r="I3431" s="3" t="str">
        <f aca="false">Raw_Data!H3431</f>
        <v>no</v>
      </c>
      <c r="J3431" s="2" t="n">
        <f aca="false">IF(F3431="yes",1,0)</f>
        <v>0</v>
      </c>
      <c r="K3431" s="2" t="n">
        <f aca="false">IF(H3431="yes",1,0)</f>
        <v>1</v>
      </c>
      <c r="L3431" s="2" t="n">
        <f aca="false">IF(I3431="yes",1,0)</f>
        <v>0</v>
      </c>
      <c r="M3431" s="2" t="n">
        <f aca="false">IF(G3431&lt;0,1,0)</f>
        <v>0</v>
      </c>
      <c r="N3431" s="2" t="str">
        <f aca="false">_xlfn.IFS(B3431&lt;30,"Under 30",B3431&lt;40,"30-39",B3431&lt;50,"40-49",B3431&lt;60,"50-59",TRUE(),"60+")</f>
        <v>40-49</v>
      </c>
      <c r="O3431" s="2" t="str">
        <f aca="false">_xlfn.IFS(G3431&lt;0,"1 Negative",G3431=0,"2 Zero",G3431&lt;=500,"3 1-500",G3431&lt;=2000,"4 501-2000",TRUE(),"5 Above 2000")</f>
        <v>5 Above 2000</v>
      </c>
      <c r="P3431" s="2" t="n">
        <f aca="false">Lookups!$B$2*M3431+Lookups!$B$3*L3431</f>
        <v>0</v>
      </c>
      <c r="Q3431" s="2" t="str">
        <f aca="false">INDEX(Lookups!$E$2:$E$5,MATCH(P3431,Lookups!$D$2:$D$5,0))</f>
        <v>Low</v>
      </c>
    </row>
    <row r="3432" customFormat="false" ht="15" hidden="false" customHeight="false" outlineLevel="0" collapsed="false">
      <c r="A3432" s="3" t="n">
        <v>3431</v>
      </c>
      <c r="B3432" s="3" t="n">
        <f aca="false">Raw_Data!A3432</f>
        <v>30</v>
      </c>
      <c r="C3432" s="3" t="str">
        <f aca="false">SUBSTITUTE(Raw_Data!B3432,".","")</f>
        <v>technician</v>
      </c>
      <c r="D3432" s="3" t="str">
        <f aca="false">Raw_Data!C3432</f>
        <v>single</v>
      </c>
      <c r="E3432" s="3" t="str">
        <f aca="false">Raw_Data!D3432</f>
        <v>tertiary</v>
      </c>
      <c r="F3432" s="3" t="str">
        <f aca="false">Raw_Data!E3432</f>
        <v>no</v>
      </c>
      <c r="G3432" s="3" t="n">
        <f aca="false">Raw_Data!F3432</f>
        <v>1922</v>
      </c>
      <c r="H3432" s="3" t="str">
        <f aca="false">Raw_Data!G3432</f>
        <v>yes</v>
      </c>
      <c r="I3432" s="3" t="str">
        <f aca="false">Raw_Data!H3432</f>
        <v>no</v>
      </c>
      <c r="J3432" s="2" t="n">
        <f aca="false">IF(F3432="yes",1,0)</f>
        <v>0</v>
      </c>
      <c r="K3432" s="2" t="n">
        <f aca="false">IF(H3432="yes",1,0)</f>
        <v>1</v>
      </c>
      <c r="L3432" s="2" t="n">
        <f aca="false">IF(I3432="yes",1,0)</f>
        <v>0</v>
      </c>
      <c r="M3432" s="2" t="n">
        <f aca="false">IF(G3432&lt;0,1,0)</f>
        <v>0</v>
      </c>
      <c r="N3432" s="2" t="str">
        <f aca="false">_xlfn.IFS(B3432&lt;30,"Under 30",B3432&lt;40,"30-39",B3432&lt;50,"40-49",B3432&lt;60,"50-59",TRUE(),"60+")</f>
        <v>30-39</v>
      </c>
      <c r="O3432" s="2" t="str">
        <f aca="false">_xlfn.IFS(G3432&lt;0,"1 Negative",G3432=0,"2 Zero",G3432&lt;=500,"3 1-500",G3432&lt;=2000,"4 501-2000",TRUE(),"5 Above 2000")</f>
        <v>4 501-2000</v>
      </c>
      <c r="P3432" s="2" t="n">
        <f aca="false">Lookups!$B$2*M3432+Lookups!$B$3*L3432</f>
        <v>0</v>
      </c>
      <c r="Q3432" s="2" t="str">
        <f aca="false">INDEX(Lookups!$E$2:$E$5,MATCH(P3432,Lookups!$D$2:$D$5,0))</f>
        <v>Low</v>
      </c>
    </row>
    <row r="3433" customFormat="false" ht="15" hidden="false" customHeight="false" outlineLevel="0" collapsed="false">
      <c r="A3433" s="3" t="n">
        <v>3432</v>
      </c>
      <c r="B3433" s="3" t="n">
        <f aca="false">Raw_Data!A3433</f>
        <v>28</v>
      </c>
      <c r="C3433" s="3" t="str">
        <f aca="false">SUBSTITUTE(Raw_Data!B3433,".","")</f>
        <v>student</v>
      </c>
      <c r="D3433" s="3" t="str">
        <f aca="false">Raw_Data!C3433</f>
        <v>single</v>
      </c>
      <c r="E3433" s="3" t="str">
        <f aca="false">Raw_Data!D3433</f>
        <v>secondary</v>
      </c>
      <c r="F3433" s="3" t="str">
        <f aca="false">Raw_Data!E3433</f>
        <v>no</v>
      </c>
      <c r="G3433" s="3" t="n">
        <f aca="false">Raw_Data!F3433</f>
        <v>153</v>
      </c>
      <c r="H3433" s="3" t="str">
        <f aca="false">Raw_Data!G3433</f>
        <v>no</v>
      </c>
      <c r="I3433" s="3" t="str">
        <f aca="false">Raw_Data!H3433</f>
        <v>no</v>
      </c>
      <c r="J3433" s="2" t="n">
        <f aca="false">IF(F3433="yes",1,0)</f>
        <v>0</v>
      </c>
      <c r="K3433" s="2" t="n">
        <f aca="false">IF(H3433="yes",1,0)</f>
        <v>0</v>
      </c>
      <c r="L3433" s="2" t="n">
        <f aca="false">IF(I3433="yes",1,0)</f>
        <v>0</v>
      </c>
      <c r="M3433" s="2" t="n">
        <f aca="false">IF(G3433&lt;0,1,0)</f>
        <v>0</v>
      </c>
      <c r="N3433" s="2" t="str">
        <f aca="false">_xlfn.IFS(B3433&lt;30,"Under 30",B3433&lt;40,"30-39",B3433&lt;50,"40-49",B3433&lt;60,"50-59",TRUE(),"60+")</f>
        <v>Under 30</v>
      </c>
      <c r="O3433" s="2" t="str">
        <f aca="false">_xlfn.IFS(G3433&lt;0,"1 Negative",G3433=0,"2 Zero",G3433&lt;=500,"3 1-500",G3433&lt;=2000,"4 501-2000",TRUE(),"5 Above 2000")</f>
        <v>3 1-500</v>
      </c>
      <c r="P3433" s="2" t="n">
        <f aca="false">Lookups!$B$2*M3433+Lookups!$B$3*L3433</f>
        <v>0</v>
      </c>
      <c r="Q3433" s="2" t="str">
        <f aca="false">INDEX(Lookups!$E$2:$E$5,MATCH(P3433,Lookups!$D$2:$D$5,0))</f>
        <v>Low</v>
      </c>
    </row>
    <row r="3434" customFormat="false" ht="15" hidden="false" customHeight="false" outlineLevel="0" collapsed="false">
      <c r="A3434" s="3" t="n">
        <v>3433</v>
      </c>
      <c r="B3434" s="3" t="n">
        <f aca="false">Raw_Data!A3434</f>
        <v>26</v>
      </c>
      <c r="C3434" s="3" t="str">
        <f aca="false">SUBSTITUTE(Raw_Data!B3434,".","")</f>
        <v>blue-collar</v>
      </c>
      <c r="D3434" s="3" t="str">
        <f aca="false">Raw_Data!C3434</f>
        <v>married</v>
      </c>
      <c r="E3434" s="3" t="str">
        <f aca="false">Raw_Data!D3434</f>
        <v>secondary</v>
      </c>
      <c r="F3434" s="3" t="str">
        <f aca="false">Raw_Data!E3434</f>
        <v>no</v>
      </c>
      <c r="G3434" s="3" t="n">
        <f aca="false">Raw_Data!F3434</f>
        <v>2770</v>
      </c>
      <c r="H3434" s="3" t="str">
        <f aca="false">Raw_Data!G3434</f>
        <v>yes</v>
      </c>
      <c r="I3434" s="3" t="str">
        <f aca="false">Raw_Data!H3434</f>
        <v>no</v>
      </c>
      <c r="J3434" s="2" t="n">
        <f aca="false">IF(F3434="yes",1,0)</f>
        <v>0</v>
      </c>
      <c r="K3434" s="2" t="n">
        <f aca="false">IF(H3434="yes",1,0)</f>
        <v>1</v>
      </c>
      <c r="L3434" s="2" t="n">
        <f aca="false">IF(I3434="yes",1,0)</f>
        <v>0</v>
      </c>
      <c r="M3434" s="2" t="n">
        <f aca="false">IF(G3434&lt;0,1,0)</f>
        <v>0</v>
      </c>
      <c r="N3434" s="2" t="str">
        <f aca="false">_xlfn.IFS(B3434&lt;30,"Under 30",B3434&lt;40,"30-39",B3434&lt;50,"40-49",B3434&lt;60,"50-59",TRUE(),"60+")</f>
        <v>Under 30</v>
      </c>
      <c r="O3434" s="2" t="str">
        <f aca="false">_xlfn.IFS(G3434&lt;0,"1 Negative",G3434=0,"2 Zero",G3434&lt;=500,"3 1-500",G3434&lt;=2000,"4 501-2000",TRUE(),"5 Above 2000")</f>
        <v>5 Above 2000</v>
      </c>
      <c r="P3434" s="2" t="n">
        <f aca="false">Lookups!$B$2*M3434+Lookups!$B$3*L3434</f>
        <v>0</v>
      </c>
      <c r="Q3434" s="2" t="str">
        <f aca="false">INDEX(Lookups!$E$2:$E$5,MATCH(P3434,Lookups!$D$2:$D$5,0))</f>
        <v>Low</v>
      </c>
    </row>
    <row r="3435" customFormat="false" ht="15" hidden="false" customHeight="false" outlineLevel="0" collapsed="false">
      <c r="A3435" s="3" t="n">
        <v>3434</v>
      </c>
      <c r="B3435" s="3" t="n">
        <f aca="false">Raw_Data!A3435</f>
        <v>58</v>
      </c>
      <c r="C3435" s="3" t="str">
        <f aca="false">SUBSTITUTE(Raw_Data!B3435,".","")</f>
        <v>management</v>
      </c>
      <c r="D3435" s="3" t="str">
        <f aca="false">Raw_Data!C3435</f>
        <v>married</v>
      </c>
      <c r="E3435" s="3" t="str">
        <f aca="false">Raw_Data!D3435</f>
        <v>secondary</v>
      </c>
      <c r="F3435" s="3" t="str">
        <f aca="false">Raw_Data!E3435</f>
        <v>no</v>
      </c>
      <c r="G3435" s="3" t="n">
        <f aca="false">Raw_Data!F3435</f>
        <v>139</v>
      </c>
      <c r="H3435" s="3" t="str">
        <f aca="false">Raw_Data!G3435</f>
        <v>no</v>
      </c>
      <c r="I3435" s="3" t="str">
        <f aca="false">Raw_Data!H3435</f>
        <v>no</v>
      </c>
      <c r="J3435" s="2" t="n">
        <f aca="false">IF(F3435="yes",1,0)</f>
        <v>0</v>
      </c>
      <c r="K3435" s="2" t="n">
        <f aca="false">IF(H3435="yes",1,0)</f>
        <v>0</v>
      </c>
      <c r="L3435" s="2" t="n">
        <f aca="false">IF(I3435="yes",1,0)</f>
        <v>0</v>
      </c>
      <c r="M3435" s="2" t="n">
        <f aca="false">IF(G3435&lt;0,1,0)</f>
        <v>0</v>
      </c>
      <c r="N3435" s="2" t="str">
        <f aca="false">_xlfn.IFS(B3435&lt;30,"Under 30",B3435&lt;40,"30-39",B3435&lt;50,"40-49",B3435&lt;60,"50-59",TRUE(),"60+")</f>
        <v>50-59</v>
      </c>
      <c r="O3435" s="2" t="str">
        <f aca="false">_xlfn.IFS(G3435&lt;0,"1 Negative",G3435=0,"2 Zero",G3435&lt;=500,"3 1-500",G3435&lt;=2000,"4 501-2000",TRUE(),"5 Above 2000")</f>
        <v>3 1-500</v>
      </c>
      <c r="P3435" s="2" t="n">
        <f aca="false">Lookups!$B$2*M3435+Lookups!$B$3*L3435</f>
        <v>0</v>
      </c>
      <c r="Q3435" s="2" t="str">
        <f aca="false">INDEX(Lookups!$E$2:$E$5,MATCH(P3435,Lookups!$D$2:$D$5,0))</f>
        <v>Low</v>
      </c>
    </row>
    <row r="3436" customFormat="false" ht="15" hidden="false" customHeight="false" outlineLevel="0" collapsed="false">
      <c r="A3436" s="3" t="n">
        <v>3435</v>
      </c>
      <c r="B3436" s="3" t="n">
        <f aca="false">Raw_Data!A3436</f>
        <v>29</v>
      </c>
      <c r="C3436" s="3" t="str">
        <f aca="false">SUBSTITUTE(Raw_Data!B3436,".","")</f>
        <v>management</v>
      </c>
      <c r="D3436" s="3" t="str">
        <f aca="false">Raw_Data!C3436</f>
        <v>single</v>
      </c>
      <c r="E3436" s="3" t="str">
        <f aca="false">Raw_Data!D3436</f>
        <v>tertiary</v>
      </c>
      <c r="F3436" s="3" t="str">
        <f aca="false">Raw_Data!E3436</f>
        <v>no</v>
      </c>
      <c r="G3436" s="3" t="n">
        <f aca="false">Raw_Data!F3436</f>
        <v>21</v>
      </c>
      <c r="H3436" s="3" t="str">
        <f aca="false">Raw_Data!G3436</f>
        <v>yes</v>
      </c>
      <c r="I3436" s="3" t="str">
        <f aca="false">Raw_Data!H3436</f>
        <v>no</v>
      </c>
      <c r="J3436" s="2" t="n">
        <f aca="false">IF(F3436="yes",1,0)</f>
        <v>0</v>
      </c>
      <c r="K3436" s="2" t="n">
        <f aca="false">IF(H3436="yes",1,0)</f>
        <v>1</v>
      </c>
      <c r="L3436" s="2" t="n">
        <f aca="false">IF(I3436="yes",1,0)</f>
        <v>0</v>
      </c>
      <c r="M3436" s="2" t="n">
        <f aca="false">IF(G3436&lt;0,1,0)</f>
        <v>0</v>
      </c>
      <c r="N3436" s="2" t="str">
        <f aca="false">_xlfn.IFS(B3436&lt;30,"Under 30",B3436&lt;40,"30-39",B3436&lt;50,"40-49",B3436&lt;60,"50-59",TRUE(),"60+")</f>
        <v>Under 30</v>
      </c>
      <c r="O3436" s="2" t="str">
        <f aca="false">_xlfn.IFS(G3436&lt;0,"1 Negative",G3436=0,"2 Zero",G3436&lt;=500,"3 1-500",G3436&lt;=2000,"4 501-2000",TRUE(),"5 Above 2000")</f>
        <v>3 1-500</v>
      </c>
      <c r="P3436" s="2" t="n">
        <f aca="false">Lookups!$B$2*M3436+Lookups!$B$3*L3436</f>
        <v>0</v>
      </c>
      <c r="Q3436" s="2" t="str">
        <f aca="false">INDEX(Lookups!$E$2:$E$5,MATCH(P3436,Lookups!$D$2:$D$5,0))</f>
        <v>Low</v>
      </c>
    </row>
    <row r="3437" customFormat="false" ht="15" hidden="false" customHeight="false" outlineLevel="0" collapsed="false">
      <c r="A3437" s="3" t="n">
        <v>3436</v>
      </c>
      <c r="B3437" s="3" t="n">
        <f aca="false">Raw_Data!A3437</f>
        <v>48</v>
      </c>
      <c r="C3437" s="3" t="str">
        <f aca="false">SUBSTITUTE(Raw_Data!B3437,".","")</f>
        <v>technician</v>
      </c>
      <c r="D3437" s="3" t="str">
        <f aca="false">Raw_Data!C3437</f>
        <v>married</v>
      </c>
      <c r="E3437" s="3" t="str">
        <f aca="false">Raw_Data!D3437</f>
        <v>secondary</v>
      </c>
      <c r="F3437" s="3" t="str">
        <f aca="false">Raw_Data!E3437</f>
        <v>no</v>
      </c>
      <c r="G3437" s="3" t="n">
        <f aca="false">Raw_Data!F3437</f>
        <v>178</v>
      </c>
      <c r="H3437" s="3" t="str">
        <f aca="false">Raw_Data!G3437</f>
        <v>yes</v>
      </c>
      <c r="I3437" s="3" t="str">
        <f aca="false">Raw_Data!H3437</f>
        <v>no</v>
      </c>
      <c r="J3437" s="2" t="n">
        <f aca="false">IF(F3437="yes",1,0)</f>
        <v>0</v>
      </c>
      <c r="K3437" s="2" t="n">
        <f aca="false">IF(H3437="yes",1,0)</f>
        <v>1</v>
      </c>
      <c r="L3437" s="2" t="n">
        <f aca="false">IF(I3437="yes",1,0)</f>
        <v>0</v>
      </c>
      <c r="M3437" s="2" t="n">
        <f aca="false">IF(G3437&lt;0,1,0)</f>
        <v>0</v>
      </c>
      <c r="N3437" s="2" t="str">
        <f aca="false">_xlfn.IFS(B3437&lt;30,"Under 30",B3437&lt;40,"30-39",B3437&lt;50,"40-49",B3437&lt;60,"50-59",TRUE(),"60+")</f>
        <v>40-49</v>
      </c>
      <c r="O3437" s="2" t="str">
        <f aca="false">_xlfn.IFS(G3437&lt;0,"1 Negative",G3437=0,"2 Zero",G3437&lt;=500,"3 1-500",G3437&lt;=2000,"4 501-2000",TRUE(),"5 Above 2000")</f>
        <v>3 1-500</v>
      </c>
      <c r="P3437" s="2" t="n">
        <f aca="false">Lookups!$B$2*M3437+Lookups!$B$3*L3437</f>
        <v>0</v>
      </c>
      <c r="Q3437" s="2" t="str">
        <f aca="false">INDEX(Lookups!$E$2:$E$5,MATCH(P3437,Lookups!$D$2:$D$5,0))</f>
        <v>Low</v>
      </c>
    </row>
    <row r="3438" customFormat="false" ht="15" hidden="false" customHeight="false" outlineLevel="0" collapsed="false">
      <c r="A3438" s="3" t="n">
        <v>3437</v>
      </c>
      <c r="B3438" s="3" t="n">
        <f aca="false">Raw_Data!A3438</f>
        <v>35</v>
      </c>
      <c r="C3438" s="3" t="str">
        <f aca="false">SUBSTITUTE(Raw_Data!B3438,".","")</f>
        <v>blue-collar</v>
      </c>
      <c r="D3438" s="3" t="str">
        <f aca="false">Raw_Data!C3438</f>
        <v>married</v>
      </c>
      <c r="E3438" s="3" t="str">
        <f aca="false">Raw_Data!D3438</f>
        <v>secondary</v>
      </c>
      <c r="F3438" s="3" t="str">
        <f aca="false">Raw_Data!E3438</f>
        <v>no</v>
      </c>
      <c r="G3438" s="3" t="n">
        <f aca="false">Raw_Data!F3438</f>
        <v>444</v>
      </c>
      <c r="H3438" s="3" t="str">
        <f aca="false">Raw_Data!G3438</f>
        <v>yes</v>
      </c>
      <c r="I3438" s="3" t="str">
        <f aca="false">Raw_Data!H3438</f>
        <v>no</v>
      </c>
      <c r="J3438" s="2" t="n">
        <f aca="false">IF(F3438="yes",1,0)</f>
        <v>0</v>
      </c>
      <c r="K3438" s="2" t="n">
        <f aca="false">IF(H3438="yes",1,0)</f>
        <v>1</v>
      </c>
      <c r="L3438" s="2" t="n">
        <f aca="false">IF(I3438="yes",1,0)</f>
        <v>0</v>
      </c>
      <c r="M3438" s="2" t="n">
        <f aca="false">IF(G3438&lt;0,1,0)</f>
        <v>0</v>
      </c>
      <c r="N3438" s="2" t="str">
        <f aca="false">_xlfn.IFS(B3438&lt;30,"Under 30",B3438&lt;40,"30-39",B3438&lt;50,"40-49",B3438&lt;60,"50-59",TRUE(),"60+")</f>
        <v>30-39</v>
      </c>
      <c r="O3438" s="2" t="str">
        <f aca="false">_xlfn.IFS(G3438&lt;0,"1 Negative",G3438=0,"2 Zero",G3438&lt;=500,"3 1-500",G3438&lt;=2000,"4 501-2000",TRUE(),"5 Above 2000")</f>
        <v>3 1-500</v>
      </c>
      <c r="P3438" s="2" t="n">
        <f aca="false">Lookups!$B$2*M3438+Lookups!$B$3*L3438</f>
        <v>0</v>
      </c>
      <c r="Q3438" s="2" t="str">
        <f aca="false">INDEX(Lookups!$E$2:$E$5,MATCH(P3438,Lookups!$D$2:$D$5,0))</f>
        <v>Low</v>
      </c>
    </row>
    <row r="3439" customFormat="false" ht="15" hidden="false" customHeight="false" outlineLevel="0" collapsed="false">
      <c r="A3439" s="3" t="n">
        <v>3438</v>
      </c>
      <c r="B3439" s="3" t="n">
        <f aca="false">Raw_Data!A3439</f>
        <v>26</v>
      </c>
      <c r="C3439" s="3" t="str">
        <f aca="false">SUBSTITUTE(Raw_Data!B3439,".","")</f>
        <v>services</v>
      </c>
      <c r="D3439" s="3" t="str">
        <f aca="false">Raw_Data!C3439</f>
        <v>single</v>
      </c>
      <c r="E3439" s="3" t="str">
        <f aca="false">Raw_Data!D3439</f>
        <v>secondary</v>
      </c>
      <c r="F3439" s="3" t="str">
        <f aca="false">Raw_Data!E3439</f>
        <v>no</v>
      </c>
      <c r="G3439" s="3" t="n">
        <f aca="false">Raw_Data!F3439</f>
        <v>209</v>
      </c>
      <c r="H3439" s="3" t="str">
        <f aca="false">Raw_Data!G3439</f>
        <v>yes</v>
      </c>
      <c r="I3439" s="3" t="str">
        <f aca="false">Raw_Data!H3439</f>
        <v>no</v>
      </c>
      <c r="J3439" s="2" t="n">
        <f aca="false">IF(F3439="yes",1,0)</f>
        <v>0</v>
      </c>
      <c r="K3439" s="2" t="n">
        <f aca="false">IF(H3439="yes",1,0)</f>
        <v>1</v>
      </c>
      <c r="L3439" s="2" t="n">
        <f aca="false">IF(I3439="yes",1,0)</f>
        <v>0</v>
      </c>
      <c r="M3439" s="2" t="n">
        <f aca="false">IF(G3439&lt;0,1,0)</f>
        <v>0</v>
      </c>
      <c r="N3439" s="2" t="str">
        <f aca="false">_xlfn.IFS(B3439&lt;30,"Under 30",B3439&lt;40,"30-39",B3439&lt;50,"40-49",B3439&lt;60,"50-59",TRUE(),"60+")</f>
        <v>Under 30</v>
      </c>
      <c r="O3439" s="2" t="str">
        <f aca="false">_xlfn.IFS(G3439&lt;0,"1 Negative",G3439=0,"2 Zero",G3439&lt;=500,"3 1-500",G3439&lt;=2000,"4 501-2000",TRUE(),"5 Above 2000")</f>
        <v>3 1-500</v>
      </c>
      <c r="P3439" s="2" t="n">
        <f aca="false">Lookups!$B$2*M3439+Lookups!$B$3*L3439</f>
        <v>0</v>
      </c>
      <c r="Q3439" s="2" t="str">
        <f aca="false">INDEX(Lookups!$E$2:$E$5,MATCH(P3439,Lookups!$D$2:$D$5,0))</f>
        <v>Low</v>
      </c>
    </row>
    <row r="3440" customFormat="false" ht="15" hidden="false" customHeight="false" outlineLevel="0" collapsed="false">
      <c r="A3440" s="3" t="n">
        <v>3439</v>
      </c>
      <c r="B3440" s="3" t="n">
        <f aca="false">Raw_Data!A3440</f>
        <v>49</v>
      </c>
      <c r="C3440" s="3" t="str">
        <f aca="false">SUBSTITUTE(Raw_Data!B3440,".","")</f>
        <v>blue-collar</v>
      </c>
      <c r="D3440" s="3" t="str">
        <f aca="false">Raw_Data!C3440</f>
        <v>married</v>
      </c>
      <c r="E3440" s="3" t="str">
        <f aca="false">Raw_Data!D3440</f>
        <v>unknown</v>
      </c>
      <c r="F3440" s="3" t="str">
        <f aca="false">Raw_Data!E3440</f>
        <v>no</v>
      </c>
      <c r="G3440" s="3" t="n">
        <f aca="false">Raw_Data!F3440</f>
        <v>3096</v>
      </c>
      <c r="H3440" s="3" t="str">
        <f aca="false">Raw_Data!G3440</f>
        <v>no</v>
      </c>
      <c r="I3440" s="3" t="str">
        <f aca="false">Raw_Data!H3440</f>
        <v>no</v>
      </c>
      <c r="J3440" s="2" t="n">
        <f aca="false">IF(F3440="yes",1,0)</f>
        <v>0</v>
      </c>
      <c r="K3440" s="2" t="n">
        <f aca="false">IF(H3440="yes",1,0)</f>
        <v>0</v>
      </c>
      <c r="L3440" s="2" t="n">
        <f aca="false">IF(I3440="yes",1,0)</f>
        <v>0</v>
      </c>
      <c r="M3440" s="2" t="n">
        <f aca="false">IF(G3440&lt;0,1,0)</f>
        <v>0</v>
      </c>
      <c r="N3440" s="2" t="str">
        <f aca="false">_xlfn.IFS(B3440&lt;30,"Under 30",B3440&lt;40,"30-39",B3440&lt;50,"40-49",B3440&lt;60,"50-59",TRUE(),"60+")</f>
        <v>40-49</v>
      </c>
      <c r="O3440" s="2" t="str">
        <f aca="false">_xlfn.IFS(G3440&lt;0,"1 Negative",G3440=0,"2 Zero",G3440&lt;=500,"3 1-500",G3440&lt;=2000,"4 501-2000",TRUE(),"5 Above 2000")</f>
        <v>5 Above 2000</v>
      </c>
      <c r="P3440" s="2" t="n">
        <f aca="false">Lookups!$B$2*M3440+Lookups!$B$3*L3440</f>
        <v>0</v>
      </c>
      <c r="Q3440" s="2" t="str">
        <f aca="false">INDEX(Lookups!$E$2:$E$5,MATCH(P3440,Lookups!$D$2:$D$5,0))</f>
        <v>Low</v>
      </c>
    </row>
    <row r="3441" customFormat="false" ht="15" hidden="false" customHeight="false" outlineLevel="0" collapsed="false">
      <c r="A3441" s="3" t="n">
        <v>3440</v>
      </c>
      <c r="B3441" s="3" t="n">
        <f aca="false">Raw_Data!A3441</f>
        <v>34</v>
      </c>
      <c r="C3441" s="3" t="str">
        <f aca="false">SUBSTITUTE(Raw_Data!B3441,".","")</f>
        <v>admin</v>
      </c>
      <c r="D3441" s="3" t="str">
        <f aca="false">Raw_Data!C3441</f>
        <v>married</v>
      </c>
      <c r="E3441" s="3" t="str">
        <f aca="false">Raw_Data!D3441</f>
        <v>secondary</v>
      </c>
      <c r="F3441" s="3" t="str">
        <f aca="false">Raw_Data!E3441</f>
        <v>no</v>
      </c>
      <c r="G3441" s="3" t="n">
        <f aca="false">Raw_Data!F3441</f>
        <v>5320</v>
      </c>
      <c r="H3441" s="3" t="str">
        <f aca="false">Raw_Data!G3441</f>
        <v>no</v>
      </c>
      <c r="I3441" s="3" t="str">
        <f aca="false">Raw_Data!H3441</f>
        <v>no</v>
      </c>
      <c r="J3441" s="2" t="n">
        <f aca="false">IF(F3441="yes",1,0)</f>
        <v>0</v>
      </c>
      <c r="K3441" s="2" t="n">
        <f aca="false">IF(H3441="yes",1,0)</f>
        <v>0</v>
      </c>
      <c r="L3441" s="2" t="n">
        <f aca="false">IF(I3441="yes",1,0)</f>
        <v>0</v>
      </c>
      <c r="M3441" s="2" t="n">
        <f aca="false">IF(G3441&lt;0,1,0)</f>
        <v>0</v>
      </c>
      <c r="N3441" s="2" t="str">
        <f aca="false">_xlfn.IFS(B3441&lt;30,"Under 30",B3441&lt;40,"30-39",B3441&lt;50,"40-49",B3441&lt;60,"50-59",TRUE(),"60+")</f>
        <v>30-39</v>
      </c>
      <c r="O3441" s="2" t="str">
        <f aca="false">_xlfn.IFS(G3441&lt;0,"1 Negative",G3441=0,"2 Zero",G3441&lt;=500,"3 1-500",G3441&lt;=2000,"4 501-2000",TRUE(),"5 Above 2000")</f>
        <v>5 Above 2000</v>
      </c>
      <c r="P3441" s="2" t="n">
        <f aca="false">Lookups!$B$2*M3441+Lookups!$B$3*L3441</f>
        <v>0</v>
      </c>
      <c r="Q3441" s="2" t="str">
        <f aca="false">INDEX(Lookups!$E$2:$E$5,MATCH(P3441,Lookups!$D$2:$D$5,0))</f>
        <v>Low</v>
      </c>
    </row>
    <row r="3442" customFormat="false" ht="15" hidden="false" customHeight="false" outlineLevel="0" collapsed="false">
      <c r="A3442" s="3" t="n">
        <v>3441</v>
      </c>
      <c r="B3442" s="3" t="n">
        <f aca="false">Raw_Data!A3442</f>
        <v>32</v>
      </c>
      <c r="C3442" s="3" t="str">
        <f aca="false">SUBSTITUTE(Raw_Data!B3442,".","")</f>
        <v>services</v>
      </c>
      <c r="D3442" s="3" t="str">
        <f aca="false">Raw_Data!C3442</f>
        <v>married</v>
      </c>
      <c r="E3442" s="3" t="str">
        <f aca="false">Raw_Data!D3442</f>
        <v>secondary</v>
      </c>
      <c r="F3442" s="3" t="str">
        <f aca="false">Raw_Data!E3442</f>
        <v>no</v>
      </c>
      <c r="G3442" s="3" t="n">
        <f aca="false">Raw_Data!F3442</f>
        <v>4885</v>
      </c>
      <c r="H3442" s="3" t="str">
        <f aca="false">Raw_Data!G3442</f>
        <v>yes</v>
      </c>
      <c r="I3442" s="3" t="str">
        <f aca="false">Raw_Data!H3442</f>
        <v>yes</v>
      </c>
      <c r="J3442" s="2" t="n">
        <f aca="false">IF(F3442="yes",1,0)</f>
        <v>0</v>
      </c>
      <c r="K3442" s="2" t="n">
        <f aca="false">IF(H3442="yes",1,0)</f>
        <v>1</v>
      </c>
      <c r="L3442" s="2" t="n">
        <f aca="false">IF(I3442="yes",1,0)</f>
        <v>1</v>
      </c>
      <c r="M3442" s="2" t="n">
        <f aca="false">IF(G3442&lt;0,1,0)</f>
        <v>0</v>
      </c>
      <c r="N3442" s="2" t="str">
        <f aca="false">_xlfn.IFS(B3442&lt;30,"Under 30",B3442&lt;40,"30-39",B3442&lt;50,"40-49",B3442&lt;60,"50-59",TRUE(),"60+")</f>
        <v>30-39</v>
      </c>
      <c r="O3442" s="2" t="str">
        <f aca="false">_xlfn.IFS(G3442&lt;0,"1 Negative",G3442=0,"2 Zero",G3442&lt;=500,"3 1-500",G3442&lt;=2000,"4 501-2000",TRUE(),"5 Above 2000")</f>
        <v>5 Above 2000</v>
      </c>
      <c r="P3442" s="2" t="n">
        <f aca="false">Lookups!$B$2*M3442+Lookups!$B$3*L3442</f>
        <v>1</v>
      </c>
      <c r="Q3442" s="2" t="str">
        <f aca="false">INDEX(Lookups!$E$2:$E$5,MATCH(P3442,Lookups!$D$2:$D$5,0))</f>
        <v>Medium</v>
      </c>
    </row>
    <row r="3443" customFormat="false" ht="15" hidden="false" customHeight="false" outlineLevel="0" collapsed="false">
      <c r="A3443" s="3" t="n">
        <v>3442</v>
      </c>
      <c r="B3443" s="3" t="n">
        <f aca="false">Raw_Data!A3443</f>
        <v>31</v>
      </c>
      <c r="C3443" s="3" t="str">
        <f aca="false">SUBSTITUTE(Raw_Data!B3443,".","")</f>
        <v>admin</v>
      </c>
      <c r="D3443" s="3" t="str">
        <f aca="false">Raw_Data!C3443</f>
        <v>married</v>
      </c>
      <c r="E3443" s="3" t="str">
        <f aca="false">Raw_Data!D3443</f>
        <v>secondary</v>
      </c>
      <c r="F3443" s="3" t="str">
        <f aca="false">Raw_Data!E3443</f>
        <v>no</v>
      </c>
      <c r="G3443" s="3" t="n">
        <f aca="false">Raw_Data!F3443</f>
        <v>0</v>
      </c>
      <c r="H3443" s="3" t="str">
        <f aca="false">Raw_Data!G3443</f>
        <v>yes</v>
      </c>
      <c r="I3443" s="3" t="str">
        <f aca="false">Raw_Data!H3443</f>
        <v>yes</v>
      </c>
      <c r="J3443" s="2" t="n">
        <f aca="false">IF(F3443="yes",1,0)</f>
        <v>0</v>
      </c>
      <c r="K3443" s="2" t="n">
        <f aca="false">IF(H3443="yes",1,0)</f>
        <v>1</v>
      </c>
      <c r="L3443" s="2" t="n">
        <f aca="false">IF(I3443="yes",1,0)</f>
        <v>1</v>
      </c>
      <c r="M3443" s="2" t="n">
        <f aca="false">IF(G3443&lt;0,1,0)</f>
        <v>0</v>
      </c>
      <c r="N3443" s="2" t="str">
        <f aca="false">_xlfn.IFS(B3443&lt;30,"Under 30",B3443&lt;40,"30-39",B3443&lt;50,"40-49",B3443&lt;60,"50-59",TRUE(),"60+")</f>
        <v>30-39</v>
      </c>
      <c r="O3443" s="2" t="str">
        <f aca="false">_xlfn.IFS(G3443&lt;0,"1 Negative",G3443=0,"2 Zero",G3443&lt;=500,"3 1-500",G3443&lt;=2000,"4 501-2000",TRUE(),"5 Above 2000")</f>
        <v>2 Zero</v>
      </c>
      <c r="P3443" s="2" t="n">
        <f aca="false">Lookups!$B$2*M3443+Lookups!$B$3*L3443</f>
        <v>1</v>
      </c>
      <c r="Q3443" s="2" t="str">
        <f aca="false">INDEX(Lookups!$E$2:$E$5,MATCH(P3443,Lookups!$D$2:$D$5,0))</f>
        <v>Medium</v>
      </c>
    </row>
    <row r="3444" customFormat="false" ht="15" hidden="false" customHeight="false" outlineLevel="0" collapsed="false">
      <c r="A3444" s="3" t="n">
        <v>3443</v>
      </c>
      <c r="B3444" s="3" t="n">
        <f aca="false">Raw_Data!A3444</f>
        <v>48</v>
      </c>
      <c r="C3444" s="3" t="str">
        <f aca="false">SUBSTITUTE(Raw_Data!B3444,".","")</f>
        <v>unemployed</v>
      </c>
      <c r="D3444" s="3" t="str">
        <f aca="false">Raw_Data!C3444</f>
        <v>married</v>
      </c>
      <c r="E3444" s="3" t="str">
        <f aca="false">Raw_Data!D3444</f>
        <v>primary</v>
      </c>
      <c r="F3444" s="3" t="str">
        <f aca="false">Raw_Data!E3444</f>
        <v>no</v>
      </c>
      <c r="G3444" s="3" t="n">
        <f aca="false">Raw_Data!F3444</f>
        <v>5462</v>
      </c>
      <c r="H3444" s="3" t="str">
        <f aca="false">Raw_Data!G3444</f>
        <v>no</v>
      </c>
      <c r="I3444" s="3" t="str">
        <f aca="false">Raw_Data!H3444</f>
        <v>no</v>
      </c>
      <c r="J3444" s="2" t="n">
        <f aca="false">IF(F3444="yes",1,0)</f>
        <v>0</v>
      </c>
      <c r="K3444" s="2" t="n">
        <f aca="false">IF(H3444="yes",1,0)</f>
        <v>0</v>
      </c>
      <c r="L3444" s="2" t="n">
        <f aca="false">IF(I3444="yes",1,0)</f>
        <v>0</v>
      </c>
      <c r="M3444" s="2" t="n">
        <f aca="false">IF(G3444&lt;0,1,0)</f>
        <v>0</v>
      </c>
      <c r="N3444" s="2" t="str">
        <f aca="false">_xlfn.IFS(B3444&lt;30,"Under 30",B3444&lt;40,"30-39",B3444&lt;50,"40-49",B3444&lt;60,"50-59",TRUE(),"60+")</f>
        <v>40-49</v>
      </c>
      <c r="O3444" s="2" t="str">
        <f aca="false">_xlfn.IFS(G3444&lt;0,"1 Negative",G3444=0,"2 Zero",G3444&lt;=500,"3 1-500",G3444&lt;=2000,"4 501-2000",TRUE(),"5 Above 2000")</f>
        <v>5 Above 2000</v>
      </c>
      <c r="P3444" s="2" t="n">
        <f aca="false">Lookups!$B$2*M3444+Lookups!$B$3*L3444</f>
        <v>0</v>
      </c>
      <c r="Q3444" s="2" t="str">
        <f aca="false">INDEX(Lookups!$E$2:$E$5,MATCH(P3444,Lookups!$D$2:$D$5,0))</f>
        <v>Low</v>
      </c>
    </row>
    <row r="3445" customFormat="false" ht="15" hidden="false" customHeight="false" outlineLevel="0" collapsed="false">
      <c r="A3445" s="3" t="n">
        <v>3444</v>
      </c>
      <c r="B3445" s="3" t="n">
        <f aca="false">Raw_Data!A3445</f>
        <v>40</v>
      </c>
      <c r="C3445" s="3" t="str">
        <f aca="false">SUBSTITUTE(Raw_Data!B3445,".","")</f>
        <v>blue-collar</v>
      </c>
      <c r="D3445" s="3" t="str">
        <f aca="false">Raw_Data!C3445</f>
        <v>married</v>
      </c>
      <c r="E3445" s="3" t="str">
        <f aca="false">Raw_Data!D3445</f>
        <v>secondary</v>
      </c>
      <c r="F3445" s="3" t="str">
        <f aca="false">Raw_Data!E3445</f>
        <v>no</v>
      </c>
      <c r="G3445" s="3" t="n">
        <f aca="false">Raw_Data!F3445</f>
        <v>6767</v>
      </c>
      <c r="H3445" s="3" t="str">
        <f aca="false">Raw_Data!G3445</f>
        <v>yes</v>
      </c>
      <c r="I3445" s="3" t="str">
        <f aca="false">Raw_Data!H3445</f>
        <v>no</v>
      </c>
      <c r="J3445" s="2" t="n">
        <f aca="false">IF(F3445="yes",1,0)</f>
        <v>0</v>
      </c>
      <c r="K3445" s="2" t="n">
        <f aca="false">IF(H3445="yes",1,0)</f>
        <v>1</v>
      </c>
      <c r="L3445" s="2" t="n">
        <f aca="false">IF(I3445="yes",1,0)</f>
        <v>0</v>
      </c>
      <c r="M3445" s="2" t="n">
        <f aca="false">IF(G3445&lt;0,1,0)</f>
        <v>0</v>
      </c>
      <c r="N3445" s="2" t="str">
        <f aca="false">_xlfn.IFS(B3445&lt;30,"Under 30",B3445&lt;40,"30-39",B3445&lt;50,"40-49",B3445&lt;60,"50-59",TRUE(),"60+")</f>
        <v>40-49</v>
      </c>
      <c r="O3445" s="2" t="str">
        <f aca="false">_xlfn.IFS(G3445&lt;0,"1 Negative",G3445=0,"2 Zero",G3445&lt;=500,"3 1-500",G3445&lt;=2000,"4 501-2000",TRUE(),"5 Above 2000")</f>
        <v>5 Above 2000</v>
      </c>
      <c r="P3445" s="2" t="n">
        <f aca="false">Lookups!$B$2*M3445+Lookups!$B$3*L3445</f>
        <v>0</v>
      </c>
      <c r="Q3445" s="2" t="str">
        <f aca="false">INDEX(Lookups!$E$2:$E$5,MATCH(P3445,Lookups!$D$2:$D$5,0))</f>
        <v>Low</v>
      </c>
    </row>
    <row r="3446" customFormat="false" ht="15" hidden="false" customHeight="false" outlineLevel="0" collapsed="false">
      <c r="A3446" s="3" t="n">
        <v>3445</v>
      </c>
      <c r="B3446" s="3" t="n">
        <f aca="false">Raw_Data!A3446</f>
        <v>42</v>
      </c>
      <c r="C3446" s="3" t="str">
        <f aca="false">SUBSTITUTE(Raw_Data!B3446,".","")</f>
        <v>technician</v>
      </c>
      <c r="D3446" s="3" t="str">
        <f aca="false">Raw_Data!C3446</f>
        <v>divorced</v>
      </c>
      <c r="E3446" s="3" t="str">
        <f aca="false">Raw_Data!D3446</f>
        <v>secondary</v>
      </c>
      <c r="F3446" s="3" t="str">
        <f aca="false">Raw_Data!E3446</f>
        <v>no</v>
      </c>
      <c r="G3446" s="3" t="n">
        <f aca="false">Raw_Data!F3446</f>
        <v>2974</v>
      </c>
      <c r="H3446" s="3" t="str">
        <f aca="false">Raw_Data!G3446</f>
        <v>yes</v>
      </c>
      <c r="I3446" s="3" t="str">
        <f aca="false">Raw_Data!H3446</f>
        <v>no</v>
      </c>
      <c r="J3446" s="2" t="n">
        <f aca="false">IF(F3446="yes",1,0)</f>
        <v>0</v>
      </c>
      <c r="K3446" s="2" t="n">
        <f aca="false">IF(H3446="yes",1,0)</f>
        <v>1</v>
      </c>
      <c r="L3446" s="2" t="n">
        <f aca="false">IF(I3446="yes",1,0)</f>
        <v>0</v>
      </c>
      <c r="M3446" s="2" t="n">
        <f aca="false">IF(G3446&lt;0,1,0)</f>
        <v>0</v>
      </c>
      <c r="N3446" s="2" t="str">
        <f aca="false">_xlfn.IFS(B3446&lt;30,"Under 30",B3446&lt;40,"30-39",B3446&lt;50,"40-49",B3446&lt;60,"50-59",TRUE(),"60+")</f>
        <v>40-49</v>
      </c>
      <c r="O3446" s="2" t="str">
        <f aca="false">_xlfn.IFS(G3446&lt;0,"1 Negative",G3446=0,"2 Zero",G3446&lt;=500,"3 1-500",G3446&lt;=2000,"4 501-2000",TRUE(),"5 Above 2000")</f>
        <v>5 Above 2000</v>
      </c>
      <c r="P3446" s="2" t="n">
        <f aca="false">Lookups!$B$2*M3446+Lookups!$B$3*L3446</f>
        <v>0</v>
      </c>
      <c r="Q3446" s="2" t="str">
        <f aca="false">INDEX(Lookups!$E$2:$E$5,MATCH(P3446,Lookups!$D$2:$D$5,0))</f>
        <v>Low</v>
      </c>
    </row>
    <row r="3447" customFormat="false" ht="15" hidden="false" customHeight="false" outlineLevel="0" collapsed="false">
      <c r="A3447" s="3" t="n">
        <v>3446</v>
      </c>
      <c r="B3447" s="3" t="n">
        <f aca="false">Raw_Data!A3447</f>
        <v>48</v>
      </c>
      <c r="C3447" s="3" t="str">
        <f aca="false">SUBSTITUTE(Raw_Data!B3447,".","")</f>
        <v>technician</v>
      </c>
      <c r="D3447" s="3" t="str">
        <f aca="false">Raw_Data!C3447</f>
        <v>married</v>
      </c>
      <c r="E3447" s="3" t="str">
        <f aca="false">Raw_Data!D3447</f>
        <v>secondary</v>
      </c>
      <c r="F3447" s="3" t="str">
        <f aca="false">Raw_Data!E3447</f>
        <v>no</v>
      </c>
      <c r="G3447" s="3" t="n">
        <f aca="false">Raw_Data!F3447</f>
        <v>427</v>
      </c>
      <c r="H3447" s="3" t="str">
        <f aca="false">Raw_Data!G3447</f>
        <v>no</v>
      </c>
      <c r="I3447" s="3" t="str">
        <f aca="false">Raw_Data!H3447</f>
        <v>no</v>
      </c>
      <c r="J3447" s="2" t="n">
        <f aca="false">IF(F3447="yes",1,0)</f>
        <v>0</v>
      </c>
      <c r="K3447" s="2" t="n">
        <f aca="false">IF(H3447="yes",1,0)</f>
        <v>0</v>
      </c>
      <c r="L3447" s="2" t="n">
        <f aca="false">IF(I3447="yes",1,0)</f>
        <v>0</v>
      </c>
      <c r="M3447" s="2" t="n">
        <f aca="false">IF(G3447&lt;0,1,0)</f>
        <v>0</v>
      </c>
      <c r="N3447" s="2" t="str">
        <f aca="false">_xlfn.IFS(B3447&lt;30,"Under 30",B3447&lt;40,"30-39",B3447&lt;50,"40-49",B3447&lt;60,"50-59",TRUE(),"60+")</f>
        <v>40-49</v>
      </c>
      <c r="O3447" s="2" t="str">
        <f aca="false">_xlfn.IFS(G3447&lt;0,"1 Negative",G3447=0,"2 Zero",G3447&lt;=500,"3 1-500",G3447&lt;=2000,"4 501-2000",TRUE(),"5 Above 2000")</f>
        <v>3 1-500</v>
      </c>
      <c r="P3447" s="2" t="n">
        <f aca="false">Lookups!$B$2*M3447+Lookups!$B$3*L3447</f>
        <v>0</v>
      </c>
      <c r="Q3447" s="2" t="str">
        <f aca="false">INDEX(Lookups!$E$2:$E$5,MATCH(P3447,Lookups!$D$2:$D$5,0))</f>
        <v>Low</v>
      </c>
    </row>
    <row r="3448" customFormat="false" ht="15" hidden="false" customHeight="false" outlineLevel="0" collapsed="false">
      <c r="A3448" s="3" t="n">
        <v>3447</v>
      </c>
      <c r="B3448" s="3" t="n">
        <f aca="false">Raw_Data!A3448</f>
        <v>38</v>
      </c>
      <c r="C3448" s="3" t="str">
        <f aca="false">SUBSTITUTE(Raw_Data!B3448,".","")</f>
        <v>services</v>
      </c>
      <c r="D3448" s="3" t="str">
        <f aca="false">Raw_Data!C3448</f>
        <v>married</v>
      </c>
      <c r="E3448" s="3" t="str">
        <f aca="false">Raw_Data!D3448</f>
        <v>secondary</v>
      </c>
      <c r="F3448" s="3" t="str">
        <f aca="false">Raw_Data!E3448</f>
        <v>no</v>
      </c>
      <c r="G3448" s="3" t="n">
        <f aca="false">Raw_Data!F3448</f>
        <v>8876</v>
      </c>
      <c r="H3448" s="3" t="str">
        <f aca="false">Raw_Data!G3448</f>
        <v>no</v>
      </c>
      <c r="I3448" s="3" t="str">
        <f aca="false">Raw_Data!H3448</f>
        <v>no</v>
      </c>
      <c r="J3448" s="2" t="n">
        <f aca="false">IF(F3448="yes",1,0)</f>
        <v>0</v>
      </c>
      <c r="K3448" s="2" t="n">
        <f aca="false">IF(H3448="yes",1,0)</f>
        <v>0</v>
      </c>
      <c r="L3448" s="2" t="n">
        <f aca="false">IF(I3448="yes",1,0)</f>
        <v>0</v>
      </c>
      <c r="M3448" s="2" t="n">
        <f aca="false">IF(G3448&lt;0,1,0)</f>
        <v>0</v>
      </c>
      <c r="N3448" s="2" t="str">
        <f aca="false">_xlfn.IFS(B3448&lt;30,"Under 30",B3448&lt;40,"30-39",B3448&lt;50,"40-49",B3448&lt;60,"50-59",TRUE(),"60+")</f>
        <v>30-39</v>
      </c>
      <c r="O3448" s="2" t="str">
        <f aca="false">_xlfn.IFS(G3448&lt;0,"1 Negative",G3448=0,"2 Zero",G3448&lt;=500,"3 1-500",G3448&lt;=2000,"4 501-2000",TRUE(),"5 Above 2000")</f>
        <v>5 Above 2000</v>
      </c>
      <c r="P3448" s="2" t="n">
        <f aca="false">Lookups!$B$2*M3448+Lookups!$B$3*L3448</f>
        <v>0</v>
      </c>
      <c r="Q3448" s="2" t="str">
        <f aca="false">INDEX(Lookups!$E$2:$E$5,MATCH(P3448,Lookups!$D$2:$D$5,0))</f>
        <v>Low</v>
      </c>
    </row>
    <row r="3449" customFormat="false" ht="15" hidden="false" customHeight="false" outlineLevel="0" collapsed="false">
      <c r="A3449" s="3" t="n">
        <v>3448</v>
      </c>
      <c r="B3449" s="3" t="n">
        <f aca="false">Raw_Data!A3449</f>
        <v>53</v>
      </c>
      <c r="C3449" s="3" t="str">
        <f aca="false">SUBSTITUTE(Raw_Data!B3449,".","")</f>
        <v>management</v>
      </c>
      <c r="D3449" s="3" t="str">
        <f aca="false">Raw_Data!C3449</f>
        <v>married</v>
      </c>
      <c r="E3449" s="3" t="str">
        <f aca="false">Raw_Data!D3449</f>
        <v>tertiary</v>
      </c>
      <c r="F3449" s="3" t="str">
        <f aca="false">Raw_Data!E3449</f>
        <v>no</v>
      </c>
      <c r="G3449" s="3" t="n">
        <f aca="false">Raw_Data!F3449</f>
        <v>146</v>
      </c>
      <c r="H3449" s="3" t="str">
        <f aca="false">Raw_Data!G3449</f>
        <v>no</v>
      </c>
      <c r="I3449" s="3" t="str">
        <f aca="false">Raw_Data!H3449</f>
        <v>no</v>
      </c>
      <c r="J3449" s="2" t="n">
        <f aca="false">IF(F3449="yes",1,0)</f>
        <v>0</v>
      </c>
      <c r="K3449" s="2" t="n">
        <f aca="false">IF(H3449="yes",1,0)</f>
        <v>0</v>
      </c>
      <c r="L3449" s="2" t="n">
        <f aca="false">IF(I3449="yes",1,0)</f>
        <v>0</v>
      </c>
      <c r="M3449" s="2" t="n">
        <f aca="false">IF(G3449&lt;0,1,0)</f>
        <v>0</v>
      </c>
      <c r="N3449" s="2" t="str">
        <f aca="false">_xlfn.IFS(B3449&lt;30,"Under 30",B3449&lt;40,"30-39",B3449&lt;50,"40-49",B3449&lt;60,"50-59",TRUE(),"60+")</f>
        <v>50-59</v>
      </c>
      <c r="O3449" s="2" t="str">
        <f aca="false">_xlfn.IFS(G3449&lt;0,"1 Negative",G3449=0,"2 Zero",G3449&lt;=500,"3 1-500",G3449&lt;=2000,"4 501-2000",TRUE(),"5 Above 2000")</f>
        <v>3 1-500</v>
      </c>
      <c r="P3449" s="2" t="n">
        <f aca="false">Lookups!$B$2*M3449+Lookups!$B$3*L3449</f>
        <v>0</v>
      </c>
      <c r="Q3449" s="2" t="str">
        <f aca="false">INDEX(Lookups!$E$2:$E$5,MATCH(P3449,Lookups!$D$2:$D$5,0))</f>
        <v>Low</v>
      </c>
    </row>
    <row r="3450" customFormat="false" ht="15" hidden="false" customHeight="false" outlineLevel="0" collapsed="false">
      <c r="A3450" s="3" t="n">
        <v>3449</v>
      </c>
      <c r="B3450" s="3" t="n">
        <f aca="false">Raw_Data!A3450</f>
        <v>59</v>
      </c>
      <c r="C3450" s="3" t="str">
        <f aca="false">SUBSTITUTE(Raw_Data!B3450,".","")</f>
        <v>retired</v>
      </c>
      <c r="D3450" s="3" t="str">
        <f aca="false">Raw_Data!C3450</f>
        <v>divorced</v>
      </c>
      <c r="E3450" s="3" t="str">
        <f aca="false">Raw_Data!D3450</f>
        <v>secondary</v>
      </c>
      <c r="F3450" s="3" t="str">
        <f aca="false">Raw_Data!E3450</f>
        <v>no</v>
      </c>
      <c r="G3450" s="3" t="n">
        <f aca="false">Raw_Data!F3450</f>
        <v>319</v>
      </c>
      <c r="H3450" s="3" t="str">
        <f aca="false">Raw_Data!G3450</f>
        <v>no</v>
      </c>
      <c r="I3450" s="3" t="str">
        <f aca="false">Raw_Data!H3450</f>
        <v>no</v>
      </c>
      <c r="J3450" s="2" t="n">
        <f aca="false">IF(F3450="yes",1,0)</f>
        <v>0</v>
      </c>
      <c r="K3450" s="2" t="n">
        <f aca="false">IF(H3450="yes",1,0)</f>
        <v>0</v>
      </c>
      <c r="L3450" s="2" t="n">
        <f aca="false">IF(I3450="yes",1,0)</f>
        <v>0</v>
      </c>
      <c r="M3450" s="2" t="n">
        <f aca="false">IF(G3450&lt;0,1,0)</f>
        <v>0</v>
      </c>
      <c r="N3450" s="2" t="str">
        <f aca="false">_xlfn.IFS(B3450&lt;30,"Under 30",B3450&lt;40,"30-39",B3450&lt;50,"40-49",B3450&lt;60,"50-59",TRUE(),"60+")</f>
        <v>50-59</v>
      </c>
      <c r="O3450" s="2" t="str">
        <f aca="false">_xlfn.IFS(G3450&lt;0,"1 Negative",G3450=0,"2 Zero",G3450&lt;=500,"3 1-500",G3450&lt;=2000,"4 501-2000",TRUE(),"5 Above 2000")</f>
        <v>3 1-500</v>
      </c>
      <c r="P3450" s="2" t="n">
        <f aca="false">Lookups!$B$2*M3450+Lookups!$B$3*L3450</f>
        <v>0</v>
      </c>
      <c r="Q3450" s="2" t="str">
        <f aca="false">INDEX(Lookups!$E$2:$E$5,MATCH(P3450,Lookups!$D$2:$D$5,0))</f>
        <v>Low</v>
      </c>
    </row>
    <row r="3451" customFormat="false" ht="15" hidden="false" customHeight="false" outlineLevel="0" collapsed="false">
      <c r="A3451" s="3" t="n">
        <v>3450</v>
      </c>
      <c r="B3451" s="3" t="n">
        <f aca="false">Raw_Data!A3451</f>
        <v>28</v>
      </c>
      <c r="C3451" s="3" t="str">
        <f aca="false">SUBSTITUTE(Raw_Data!B3451,".","")</f>
        <v>unemployed</v>
      </c>
      <c r="D3451" s="3" t="str">
        <f aca="false">Raw_Data!C3451</f>
        <v>single</v>
      </c>
      <c r="E3451" s="3" t="str">
        <f aca="false">Raw_Data!D3451</f>
        <v>secondary</v>
      </c>
      <c r="F3451" s="3" t="str">
        <f aca="false">Raw_Data!E3451</f>
        <v>no</v>
      </c>
      <c r="G3451" s="3" t="n">
        <f aca="false">Raw_Data!F3451</f>
        <v>304</v>
      </c>
      <c r="H3451" s="3" t="str">
        <f aca="false">Raw_Data!G3451</f>
        <v>no</v>
      </c>
      <c r="I3451" s="3" t="str">
        <f aca="false">Raw_Data!H3451</f>
        <v>no</v>
      </c>
      <c r="J3451" s="2" t="n">
        <f aca="false">IF(F3451="yes",1,0)</f>
        <v>0</v>
      </c>
      <c r="K3451" s="2" t="n">
        <f aca="false">IF(H3451="yes",1,0)</f>
        <v>0</v>
      </c>
      <c r="L3451" s="2" t="n">
        <f aca="false">IF(I3451="yes",1,0)</f>
        <v>0</v>
      </c>
      <c r="M3451" s="2" t="n">
        <f aca="false">IF(G3451&lt;0,1,0)</f>
        <v>0</v>
      </c>
      <c r="N3451" s="2" t="str">
        <f aca="false">_xlfn.IFS(B3451&lt;30,"Under 30",B3451&lt;40,"30-39",B3451&lt;50,"40-49",B3451&lt;60,"50-59",TRUE(),"60+")</f>
        <v>Under 30</v>
      </c>
      <c r="O3451" s="2" t="str">
        <f aca="false">_xlfn.IFS(G3451&lt;0,"1 Negative",G3451=0,"2 Zero",G3451&lt;=500,"3 1-500",G3451&lt;=2000,"4 501-2000",TRUE(),"5 Above 2000")</f>
        <v>3 1-500</v>
      </c>
      <c r="P3451" s="2" t="n">
        <f aca="false">Lookups!$B$2*M3451+Lookups!$B$3*L3451</f>
        <v>0</v>
      </c>
      <c r="Q3451" s="2" t="str">
        <f aca="false">INDEX(Lookups!$E$2:$E$5,MATCH(P3451,Lookups!$D$2:$D$5,0))</f>
        <v>Low</v>
      </c>
    </row>
    <row r="3452" customFormat="false" ht="15" hidden="false" customHeight="false" outlineLevel="0" collapsed="false">
      <c r="A3452" s="3" t="n">
        <v>3451</v>
      </c>
      <c r="B3452" s="3" t="n">
        <f aca="false">Raw_Data!A3452</f>
        <v>41</v>
      </c>
      <c r="C3452" s="3" t="str">
        <f aca="false">SUBSTITUTE(Raw_Data!B3452,".","")</f>
        <v>blue-collar</v>
      </c>
      <c r="D3452" s="3" t="str">
        <f aca="false">Raw_Data!C3452</f>
        <v>married</v>
      </c>
      <c r="E3452" s="3" t="str">
        <f aca="false">Raw_Data!D3452</f>
        <v>primary</v>
      </c>
      <c r="F3452" s="3" t="str">
        <f aca="false">Raw_Data!E3452</f>
        <v>no</v>
      </c>
      <c r="G3452" s="3" t="n">
        <f aca="false">Raw_Data!F3452</f>
        <v>389</v>
      </c>
      <c r="H3452" s="3" t="str">
        <f aca="false">Raw_Data!G3452</f>
        <v>yes</v>
      </c>
      <c r="I3452" s="3" t="str">
        <f aca="false">Raw_Data!H3452</f>
        <v>no</v>
      </c>
      <c r="J3452" s="2" t="n">
        <f aca="false">IF(F3452="yes",1,0)</f>
        <v>0</v>
      </c>
      <c r="K3452" s="2" t="n">
        <f aca="false">IF(H3452="yes",1,0)</f>
        <v>1</v>
      </c>
      <c r="L3452" s="2" t="n">
        <f aca="false">IF(I3452="yes",1,0)</f>
        <v>0</v>
      </c>
      <c r="M3452" s="2" t="n">
        <f aca="false">IF(G3452&lt;0,1,0)</f>
        <v>0</v>
      </c>
      <c r="N3452" s="2" t="str">
        <f aca="false">_xlfn.IFS(B3452&lt;30,"Under 30",B3452&lt;40,"30-39",B3452&lt;50,"40-49",B3452&lt;60,"50-59",TRUE(),"60+")</f>
        <v>40-49</v>
      </c>
      <c r="O3452" s="2" t="str">
        <f aca="false">_xlfn.IFS(G3452&lt;0,"1 Negative",G3452=0,"2 Zero",G3452&lt;=500,"3 1-500",G3452&lt;=2000,"4 501-2000",TRUE(),"5 Above 2000")</f>
        <v>3 1-500</v>
      </c>
      <c r="P3452" s="2" t="n">
        <f aca="false">Lookups!$B$2*M3452+Lookups!$B$3*L3452</f>
        <v>0</v>
      </c>
      <c r="Q3452" s="2" t="str">
        <f aca="false">INDEX(Lookups!$E$2:$E$5,MATCH(P3452,Lookups!$D$2:$D$5,0))</f>
        <v>Low</v>
      </c>
    </row>
    <row r="3453" customFormat="false" ht="15" hidden="false" customHeight="false" outlineLevel="0" collapsed="false">
      <c r="A3453" s="3" t="n">
        <v>3452</v>
      </c>
      <c r="B3453" s="3" t="n">
        <f aca="false">Raw_Data!A3453</f>
        <v>50</v>
      </c>
      <c r="C3453" s="3" t="str">
        <f aca="false">SUBSTITUTE(Raw_Data!B3453,".","")</f>
        <v>management</v>
      </c>
      <c r="D3453" s="3" t="str">
        <f aca="false">Raw_Data!C3453</f>
        <v>single</v>
      </c>
      <c r="E3453" s="3" t="str">
        <f aca="false">Raw_Data!D3453</f>
        <v>primary</v>
      </c>
      <c r="F3453" s="3" t="str">
        <f aca="false">Raw_Data!E3453</f>
        <v>no</v>
      </c>
      <c r="G3453" s="3" t="n">
        <f aca="false">Raw_Data!F3453</f>
        <v>766</v>
      </c>
      <c r="H3453" s="3" t="str">
        <f aca="false">Raw_Data!G3453</f>
        <v>no</v>
      </c>
      <c r="I3453" s="3" t="str">
        <f aca="false">Raw_Data!H3453</f>
        <v>no</v>
      </c>
      <c r="J3453" s="2" t="n">
        <f aca="false">IF(F3453="yes",1,0)</f>
        <v>0</v>
      </c>
      <c r="K3453" s="2" t="n">
        <f aca="false">IF(H3453="yes",1,0)</f>
        <v>0</v>
      </c>
      <c r="L3453" s="2" t="n">
        <f aca="false">IF(I3453="yes",1,0)</f>
        <v>0</v>
      </c>
      <c r="M3453" s="2" t="n">
        <f aca="false">IF(G3453&lt;0,1,0)</f>
        <v>0</v>
      </c>
      <c r="N3453" s="2" t="str">
        <f aca="false">_xlfn.IFS(B3453&lt;30,"Under 30",B3453&lt;40,"30-39",B3453&lt;50,"40-49",B3453&lt;60,"50-59",TRUE(),"60+")</f>
        <v>50-59</v>
      </c>
      <c r="O3453" s="2" t="str">
        <f aca="false">_xlfn.IFS(G3453&lt;0,"1 Negative",G3453=0,"2 Zero",G3453&lt;=500,"3 1-500",G3453&lt;=2000,"4 501-2000",TRUE(),"5 Above 2000")</f>
        <v>4 501-2000</v>
      </c>
      <c r="P3453" s="2" t="n">
        <f aca="false">Lookups!$B$2*M3453+Lookups!$B$3*L3453</f>
        <v>0</v>
      </c>
      <c r="Q3453" s="2" t="str">
        <f aca="false">INDEX(Lookups!$E$2:$E$5,MATCH(P3453,Lookups!$D$2:$D$5,0))</f>
        <v>Low</v>
      </c>
    </row>
    <row r="3454" customFormat="false" ht="15" hidden="false" customHeight="false" outlineLevel="0" collapsed="false">
      <c r="A3454" s="3" t="n">
        <v>3453</v>
      </c>
      <c r="B3454" s="3" t="n">
        <f aca="false">Raw_Data!A3454</f>
        <v>31</v>
      </c>
      <c r="C3454" s="3" t="str">
        <f aca="false">SUBSTITUTE(Raw_Data!B3454,".","")</f>
        <v>admin</v>
      </c>
      <c r="D3454" s="3" t="str">
        <f aca="false">Raw_Data!C3454</f>
        <v>married</v>
      </c>
      <c r="E3454" s="3" t="str">
        <f aca="false">Raw_Data!D3454</f>
        <v>secondary</v>
      </c>
      <c r="F3454" s="3" t="str">
        <f aca="false">Raw_Data!E3454</f>
        <v>no</v>
      </c>
      <c r="G3454" s="3" t="n">
        <f aca="false">Raw_Data!F3454</f>
        <v>0</v>
      </c>
      <c r="H3454" s="3" t="str">
        <f aca="false">Raw_Data!G3454</f>
        <v>yes</v>
      </c>
      <c r="I3454" s="3" t="str">
        <f aca="false">Raw_Data!H3454</f>
        <v>no</v>
      </c>
      <c r="J3454" s="2" t="n">
        <f aca="false">IF(F3454="yes",1,0)</f>
        <v>0</v>
      </c>
      <c r="K3454" s="2" t="n">
        <f aca="false">IF(H3454="yes",1,0)</f>
        <v>1</v>
      </c>
      <c r="L3454" s="2" t="n">
        <f aca="false">IF(I3454="yes",1,0)</f>
        <v>0</v>
      </c>
      <c r="M3454" s="2" t="n">
        <f aca="false">IF(G3454&lt;0,1,0)</f>
        <v>0</v>
      </c>
      <c r="N3454" s="2" t="str">
        <f aca="false">_xlfn.IFS(B3454&lt;30,"Under 30",B3454&lt;40,"30-39",B3454&lt;50,"40-49",B3454&lt;60,"50-59",TRUE(),"60+")</f>
        <v>30-39</v>
      </c>
      <c r="O3454" s="2" t="str">
        <f aca="false">_xlfn.IFS(G3454&lt;0,"1 Negative",G3454=0,"2 Zero",G3454&lt;=500,"3 1-500",G3454&lt;=2000,"4 501-2000",TRUE(),"5 Above 2000")</f>
        <v>2 Zero</v>
      </c>
      <c r="P3454" s="2" t="n">
        <f aca="false">Lookups!$B$2*M3454+Lookups!$B$3*L3454</f>
        <v>0</v>
      </c>
      <c r="Q3454" s="2" t="str">
        <f aca="false">INDEX(Lookups!$E$2:$E$5,MATCH(P3454,Lookups!$D$2:$D$5,0))</f>
        <v>Low</v>
      </c>
    </row>
    <row r="3455" customFormat="false" ht="15" hidden="false" customHeight="false" outlineLevel="0" collapsed="false">
      <c r="A3455" s="3" t="n">
        <v>3454</v>
      </c>
      <c r="B3455" s="3" t="n">
        <f aca="false">Raw_Data!A3455</f>
        <v>30</v>
      </c>
      <c r="C3455" s="3" t="str">
        <f aca="false">SUBSTITUTE(Raw_Data!B3455,".","")</f>
        <v>technician</v>
      </c>
      <c r="D3455" s="3" t="str">
        <f aca="false">Raw_Data!C3455</f>
        <v>single</v>
      </c>
      <c r="E3455" s="3" t="str">
        <f aca="false">Raw_Data!D3455</f>
        <v>secondary</v>
      </c>
      <c r="F3455" s="3" t="str">
        <f aca="false">Raw_Data!E3455</f>
        <v>no</v>
      </c>
      <c r="G3455" s="3" t="n">
        <f aca="false">Raw_Data!F3455</f>
        <v>3107</v>
      </c>
      <c r="H3455" s="3" t="str">
        <f aca="false">Raw_Data!G3455</f>
        <v>yes</v>
      </c>
      <c r="I3455" s="3" t="str">
        <f aca="false">Raw_Data!H3455</f>
        <v>no</v>
      </c>
      <c r="J3455" s="2" t="n">
        <f aca="false">IF(F3455="yes",1,0)</f>
        <v>0</v>
      </c>
      <c r="K3455" s="2" t="n">
        <f aca="false">IF(H3455="yes",1,0)</f>
        <v>1</v>
      </c>
      <c r="L3455" s="2" t="n">
        <f aca="false">IF(I3455="yes",1,0)</f>
        <v>0</v>
      </c>
      <c r="M3455" s="2" t="n">
        <f aca="false">IF(G3455&lt;0,1,0)</f>
        <v>0</v>
      </c>
      <c r="N3455" s="2" t="str">
        <f aca="false">_xlfn.IFS(B3455&lt;30,"Under 30",B3455&lt;40,"30-39",B3455&lt;50,"40-49",B3455&lt;60,"50-59",TRUE(),"60+")</f>
        <v>30-39</v>
      </c>
      <c r="O3455" s="2" t="str">
        <f aca="false">_xlfn.IFS(G3455&lt;0,"1 Negative",G3455=0,"2 Zero",G3455&lt;=500,"3 1-500",G3455&lt;=2000,"4 501-2000",TRUE(),"5 Above 2000")</f>
        <v>5 Above 2000</v>
      </c>
      <c r="P3455" s="2" t="n">
        <f aca="false">Lookups!$B$2*M3455+Lookups!$B$3*L3455</f>
        <v>0</v>
      </c>
      <c r="Q3455" s="2" t="str">
        <f aca="false">INDEX(Lookups!$E$2:$E$5,MATCH(P3455,Lookups!$D$2:$D$5,0))</f>
        <v>Low</v>
      </c>
    </row>
    <row r="3456" customFormat="false" ht="15" hidden="false" customHeight="false" outlineLevel="0" collapsed="false">
      <c r="A3456" s="3" t="n">
        <v>3455</v>
      </c>
      <c r="B3456" s="3" t="n">
        <f aca="false">Raw_Data!A3456</f>
        <v>59</v>
      </c>
      <c r="C3456" s="3" t="str">
        <f aca="false">SUBSTITUTE(Raw_Data!B3456,".","")</f>
        <v>admin</v>
      </c>
      <c r="D3456" s="3" t="str">
        <f aca="false">Raw_Data!C3456</f>
        <v>divorced</v>
      </c>
      <c r="E3456" s="3" t="str">
        <f aca="false">Raw_Data!D3456</f>
        <v>secondary</v>
      </c>
      <c r="F3456" s="3" t="str">
        <f aca="false">Raw_Data!E3456</f>
        <v>no</v>
      </c>
      <c r="G3456" s="3" t="n">
        <f aca="false">Raw_Data!F3456</f>
        <v>174</v>
      </c>
      <c r="H3456" s="3" t="str">
        <f aca="false">Raw_Data!G3456</f>
        <v>yes</v>
      </c>
      <c r="I3456" s="3" t="str">
        <f aca="false">Raw_Data!H3456</f>
        <v>no</v>
      </c>
      <c r="J3456" s="2" t="n">
        <f aca="false">IF(F3456="yes",1,0)</f>
        <v>0</v>
      </c>
      <c r="K3456" s="2" t="n">
        <f aca="false">IF(H3456="yes",1,0)</f>
        <v>1</v>
      </c>
      <c r="L3456" s="2" t="n">
        <f aca="false">IF(I3456="yes",1,0)</f>
        <v>0</v>
      </c>
      <c r="M3456" s="2" t="n">
        <f aca="false">IF(G3456&lt;0,1,0)</f>
        <v>0</v>
      </c>
      <c r="N3456" s="2" t="str">
        <f aca="false">_xlfn.IFS(B3456&lt;30,"Under 30",B3456&lt;40,"30-39",B3456&lt;50,"40-49",B3456&lt;60,"50-59",TRUE(),"60+")</f>
        <v>50-59</v>
      </c>
      <c r="O3456" s="2" t="str">
        <f aca="false">_xlfn.IFS(G3456&lt;0,"1 Negative",G3456=0,"2 Zero",G3456&lt;=500,"3 1-500",G3456&lt;=2000,"4 501-2000",TRUE(),"5 Above 2000")</f>
        <v>3 1-500</v>
      </c>
      <c r="P3456" s="2" t="n">
        <f aca="false">Lookups!$B$2*M3456+Lookups!$B$3*L3456</f>
        <v>0</v>
      </c>
      <c r="Q3456" s="2" t="str">
        <f aca="false">INDEX(Lookups!$E$2:$E$5,MATCH(P3456,Lookups!$D$2:$D$5,0))</f>
        <v>Low</v>
      </c>
    </row>
    <row r="3457" customFormat="false" ht="15" hidden="false" customHeight="false" outlineLevel="0" collapsed="false">
      <c r="A3457" s="3" t="n">
        <v>3456</v>
      </c>
      <c r="B3457" s="3" t="n">
        <f aca="false">Raw_Data!A3457</f>
        <v>33</v>
      </c>
      <c r="C3457" s="3" t="str">
        <f aca="false">SUBSTITUTE(Raw_Data!B3457,".","")</f>
        <v>technician</v>
      </c>
      <c r="D3457" s="3" t="str">
        <f aca="false">Raw_Data!C3457</f>
        <v>divorced</v>
      </c>
      <c r="E3457" s="3" t="str">
        <f aca="false">Raw_Data!D3457</f>
        <v>secondary</v>
      </c>
      <c r="F3457" s="3" t="str">
        <f aca="false">Raw_Data!E3457</f>
        <v>yes</v>
      </c>
      <c r="G3457" s="3" t="n">
        <f aca="false">Raw_Data!F3457</f>
        <v>-305</v>
      </c>
      <c r="H3457" s="3" t="str">
        <f aca="false">Raw_Data!G3457</f>
        <v>no</v>
      </c>
      <c r="I3457" s="3" t="str">
        <f aca="false">Raw_Data!H3457</f>
        <v>yes</v>
      </c>
      <c r="J3457" s="2" t="n">
        <f aca="false">IF(F3457="yes",1,0)</f>
        <v>1</v>
      </c>
      <c r="K3457" s="2" t="n">
        <f aca="false">IF(H3457="yes",1,0)</f>
        <v>0</v>
      </c>
      <c r="L3457" s="2" t="n">
        <f aca="false">IF(I3457="yes",1,0)</f>
        <v>1</v>
      </c>
      <c r="M3457" s="2" t="n">
        <f aca="false">IF(G3457&lt;0,1,0)</f>
        <v>1</v>
      </c>
      <c r="N3457" s="2" t="str">
        <f aca="false">_xlfn.IFS(B3457&lt;30,"Under 30",B3457&lt;40,"30-39",B3457&lt;50,"40-49",B3457&lt;60,"50-59",TRUE(),"60+")</f>
        <v>30-39</v>
      </c>
      <c r="O3457" s="2" t="str">
        <f aca="false">_xlfn.IFS(G3457&lt;0,"1 Negative",G3457=0,"2 Zero",G3457&lt;=500,"3 1-500",G3457&lt;=2000,"4 501-2000",TRUE(),"5 Above 2000")</f>
        <v>1 Negative</v>
      </c>
      <c r="P3457" s="2" t="n">
        <f aca="false">Lookups!$B$2*M3457+Lookups!$B$3*L3457</f>
        <v>3</v>
      </c>
      <c r="Q3457" s="2" t="str">
        <f aca="false">INDEX(Lookups!$E$2:$E$5,MATCH(P3457,Lookups!$D$2:$D$5,0))</f>
        <v>High</v>
      </c>
    </row>
    <row r="3458" customFormat="false" ht="15" hidden="false" customHeight="false" outlineLevel="0" collapsed="false">
      <c r="A3458" s="3" t="n">
        <v>3457</v>
      </c>
      <c r="B3458" s="3" t="n">
        <f aca="false">Raw_Data!A3458</f>
        <v>35</v>
      </c>
      <c r="C3458" s="3" t="str">
        <f aca="false">SUBSTITUTE(Raw_Data!B3458,".","")</f>
        <v>self-employed</v>
      </c>
      <c r="D3458" s="3" t="str">
        <f aca="false">Raw_Data!C3458</f>
        <v>married</v>
      </c>
      <c r="E3458" s="3" t="str">
        <f aca="false">Raw_Data!D3458</f>
        <v>secondary</v>
      </c>
      <c r="F3458" s="3" t="str">
        <f aca="false">Raw_Data!E3458</f>
        <v>no</v>
      </c>
      <c r="G3458" s="3" t="n">
        <f aca="false">Raw_Data!F3458</f>
        <v>670</v>
      </c>
      <c r="H3458" s="3" t="str">
        <f aca="false">Raw_Data!G3458</f>
        <v>no</v>
      </c>
      <c r="I3458" s="3" t="str">
        <f aca="false">Raw_Data!H3458</f>
        <v>no</v>
      </c>
      <c r="J3458" s="2" t="n">
        <f aca="false">IF(F3458="yes",1,0)</f>
        <v>0</v>
      </c>
      <c r="K3458" s="2" t="n">
        <f aca="false">IF(H3458="yes",1,0)</f>
        <v>0</v>
      </c>
      <c r="L3458" s="2" t="n">
        <f aca="false">IF(I3458="yes",1,0)</f>
        <v>0</v>
      </c>
      <c r="M3458" s="2" t="n">
        <f aca="false">IF(G3458&lt;0,1,0)</f>
        <v>0</v>
      </c>
      <c r="N3458" s="2" t="str">
        <f aca="false">_xlfn.IFS(B3458&lt;30,"Under 30",B3458&lt;40,"30-39",B3458&lt;50,"40-49",B3458&lt;60,"50-59",TRUE(),"60+")</f>
        <v>30-39</v>
      </c>
      <c r="O3458" s="2" t="str">
        <f aca="false">_xlfn.IFS(G3458&lt;0,"1 Negative",G3458=0,"2 Zero",G3458&lt;=500,"3 1-500",G3458&lt;=2000,"4 501-2000",TRUE(),"5 Above 2000")</f>
        <v>4 501-2000</v>
      </c>
      <c r="P3458" s="2" t="n">
        <f aca="false">Lookups!$B$2*M3458+Lookups!$B$3*L3458</f>
        <v>0</v>
      </c>
      <c r="Q3458" s="2" t="str">
        <f aca="false">INDEX(Lookups!$E$2:$E$5,MATCH(P3458,Lookups!$D$2:$D$5,0))</f>
        <v>Low</v>
      </c>
    </row>
    <row r="3459" customFormat="false" ht="15" hidden="false" customHeight="false" outlineLevel="0" collapsed="false">
      <c r="A3459" s="3" t="n">
        <v>3458</v>
      </c>
      <c r="B3459" s="3" t="n">
        <f aca="false">Raw_Data!A3459</f>
        <v>30</v>
      </c>
      <c r="C3459" s="3" t="str">
        <f aca="false">SUBSTITUTE(Raw_Data!B3459,".","")</f>
        <v>management</v>
      </c>
      <c r="D3459" s="3" t="str">
        <f aca="false">Raw_Data!C3459</f>
        <v>single</v>
      </c>
      <c r="E3459" s="3" t="str">
        <f aca="false">Raw_Data!D3459</f>
        <v>tertiary</v>
      </c>
      <c r="F3459" s="3" t="str">
        <f aca="false">Raw_Data!E3459</f>
        <v>no</v>
      </c>
      <c r="G3459" s="3" t="n">
        <f aca="false">Raw_Data!F3459</f>
        <v>6164</v>
      </c>
      <c r="H3459" s="3" t="str">
        <f aca="false">Raw_Data!G3459</f>
        <v>yes</v>
      </c>
      <c r="I3459" s="3" t="str">
        <f aca="false">Raw_Data!H3459</f>
        <v>no</v>
      </c>
      <c r="J3459" s="2" t="n">
        <f aca="false">IF(F3459="yes",1,0)</f>
        <v>0</v>
      </c>
      <c r="K3459" s="2" t="n">
        <f aca="false">IF(H3459="yes",1,0)</f>
        <v>1</v>
      </c>
      <c r="L3459" s="2" t="n">
        <f aca="false">IF(I3459="yes",1,0)</f>
        <v>0</v>
      </c>
      <c r="M3459" s="2" t="n">
        <f aca="false">IF(G3459&lt;0,1,0)</f>
        <v>0</v>
      </c>
      <c r="N3459" s="2" t="str">
        <f aca="false">_xlfn.IFS(B3459&lt;30,"Under 30",B3459&lt;40,"30-39",B3459&lt;50,"40-49",B3459&lt;60,"50-59",TRUE(),"60+")</f>
        <v>30-39</v>
      </c>
      <c r="O3459" s="2" t="str">
        <f aca="false">_xlfn.IFS(G3459&lt;0,"1 Negative",G3459=0,"2 Zero",G3459&lt;=500,"3 1-500",G3459&lt;=2000,"4 501-2000",TRUE(),"5 Above 2000")</f>
        <v>5 Above 2000</v>
      </c>
      <c r="P3459" s="2" t="n">
        <f aca="false">Lookups!$B$2*M3459+Lookups!$B$3*L3459</f>
        <v>0</v>
      </c>
      <c r="Q3459" s="2" t="str">
        <f aca="false">INDEX(Lookups!$E$2:$E$5,MATCH(P3459,Lookups!$D$2:$D$5,0))</f>
        <v>Low</v>
      </c>
    </row>
    <row r="3460" customFormat="false" ht="15" hidden="false" customHeight="false" outlineLevel="0" collapsed="false">
      <c r="A3460" s="3" t="n">
        <v>3459</v>
      </c>
      <c r="B3460" s="3" t="n">
        <f aca="false">Raw_Data!A3460</f>
        <v>71</v>
      </c>
      <c r="C3460" s="3" t="str">
        <f aca="false">SUBSTITUTE(Raw_Data!B3460,".","")</f>
        <v>retired</v>
      </c>
      <c r="D3460" s="3" t="str">
        <f aca="false">Raw_Data!C3460</f>
        <v>married</v>
      </c>
      <c r="E3460" s="3" t="str">
        <f aca="false">Raw_Data!D3460</f>
        <v>secondary</v>
      </c>
      <c r="F3460" s="3" t="str">
        <f aca="false">Raw_Data!E3460</f>
        <v>no</v>
      </c>
      <c r="G3460" s="3" t="n">
        <f aca="false">Raw_Data!F3460</f>
        <v>2850</v>
      </c>
      <c r="H3460" s="3" t="str">
        <f aca="false">Raw_Data!G3460</f>
        <v>no</v>
      </c>
      <c r="I3460" s="3" t="str">
        <f aca="false">Raw_Data!H3460</f>
        <v>no</v>
      </c>
      <c r="J3460" s="2" t="n">
        <f aca="false">IF(F3460="yes",1,0)</f>
        <v>0</v>
      </c>
      <c r="K3460" s="2" t="n">
        <f aca="false">IF(H3460="yes",1,0)</f>
        <v>0</v>
      </c>
      <c r="L3460" s="2" t="n">
        <f aca="false">IF(I3460="yes",1,0)</f>
        <v>0</v>
      </c>
      <c r="M3460" s="2" t="n">
        <f aca="false">IF(G3460&lt;0,1,0)</f>
        <v>0</v>
      </c>
      <c r="N3460" s="2" t="str">
        <f aca="false">_xlfn.IFS(B3460&lt;30,"Under 30",B3460&lt;40,"30-39",B3460&lt;50,"40-49",B3460&lt;60,"50-59",TRUE(),"60+")</f>
        <v>60+</v>
      </c>
      <c r="O3460" s="2" t="str">
        <f aca="false">_xlfn.IFS(G3460&lt;0,"1 Negative",G3460=0,"2 Zero",G3460&lt;=500,"3 1-500",G3460&lt;=2000,"4 501-2000",TRUE(),"5 Above 2000")</f>
        <v>5 Above 2000</v>
      </c>
      <c r="P3460" s="2" t="n">
        <f aca="false">Lookups!$B$2*M3460+Lookups!$B$3*L3460</f>
        <v>0</v>
      </c>
      <c r="Q3460" s="2" t="str">
        <f aca="false">INDEX(Lookups!$E$2:$E$5,MATCH(P3460,Lookups!$D$2:$D$5,0))</f>
        <v>Low</v>
      </c>
    </row>
    <row r="3461" customFormat="false" ht="15" hidden="false" customHeight="false" outlineLevel="0" collapsed="false">
      <c r="A3461" s="3" t="n">
        <v>3460</v>
      </c>
      <c r="B3461" s="3" t="n">
        <f aca="false">Raw_Data!A3461</f>
        <v>30</v>
      </c>
      <c r="C3461" s="3" t="str">
        <f aca="false">SUBSTITUTE(Raw_Data!B3461,".","")</f>
        <v>services</v>
      </c>
      <c r="D3461" s="3" t="str">
        <f aca="false">Raw_Data!C3461</f>
        <v>single</v>
      </c>
      <c r="E3461" s="3" t="str">
        <f aca="false">Raw_Data!D3461</f>
        <v>primary</v>
      </c>
      <c r="F3461" s="3" t="str">
        <f aca="false">Raw_Data!E3461</f>
        <v>no</v>
      </c>
      <c r="G3461" s="3" t="n">
        <f aca="false">Raw_Data!F3461</f>
        <v>79</v>
      </c>
      <c r="H3461" s="3" t="str">
        <f aca="false">Raw_Data!G3461</f>
        <v>yes</v>
      </c>
      <c r="I3461" s="3" t="str">
        <f aca="false">Raw_Data!H3461</f>
        <v>no</v>
      </c>
      <c r="J3461" s="2" t="n">
        <f aca="false">IF(F3461="yes",1,0)</f>
        <v>0</v>
      </c>
      <c r="K3461" s="2" t="n">
        <f aca="false">IF(H3461="yes",1,0)</f>
        <v>1</v>
      </c>
      <c r="L3461" s="2" t="n">
        <f aca="false">IF(I3461="yes",1,0)</f>
        <v>0</v>
      </c>
      <c r="M3461" s="2" t="n">
        <f aca="false">IF(G3461&lt;0,1,0)</f>
        <v>0</v>
      </c>
      <c r="N3461" s="2" t="str">
        <f aca="false">_xlfn.IFS(B3461&lt;30,"Under 30",B3461&lt;40,"30-39",B3461&lt;50,"40-49",B3461&lt;60,"50-59",TRUE(),"60+")</f>
        <v>30-39</v>
      </c>
      <c r="O3461" s="2" t="str">
        <f aca="false">_xlfn.IFS(G3461&lt;0,"1 Negative",G3461=0,"2 Zero",G3461&lt;=500,"3 1-500",G3461&lt;=2000,"4 501-2000",TRUE(),"5 Above 2000")</f>
        <v>3 1-500</v>
      </c>
      <c r="P3461" s="2" t="n">
        <f aca="false">Lookups!$B$2*M3461+Lookups!$B$3*L3461</f>
        <v>0</v>
      </c>
      <c r="Q3461" s="2" t="str">
        <f aca="false">INDEX(Lookups!$E$2:$E$5,MATCH(P3461,Lookups!$D$2:$D$5,0))</f>
        <v>Low</v>
      </c>
    </row>
    <row r="3462" customFormat="false" ht="15" hidden="false" customHeight="false" outlineLevel="0" collapsed="false">
      <c r="A3462" s="3" t="n">
        <v>3461</v>
      </c>
      <c r="B3462" s="3" t="n">
        <f aca="false">Raw_Data!A3462</f>
        <v>24</v>
      </c>
      <c r="C3462" s="3" t="str">
        <f aca="false">SUBSTITUTE(Raw_Data!B3462,".","")</f>
        <v>services</v>
      </c>
      <c r="D3462" s="3" t="str">
        <f aca="false">Raw_Data!C3462</f>
        <v>married</v>
      </c>
      <c r="E3462" s="3" t="str">
        <f aca="false">Raw_Data!D3462</f>
        <v>secondary</v>
      </c>
      <c r="F3462" s="3" t="str">
        <f aca="false">Raw_Data!E3462</f>
        <v>yes</v>
      </c>
      <c r="G3462" s="3" t="n">
        <f aca="false">Raw_Data!F3462</f>
        <v>110</v>
      </c>
      <c r="H3462" s="3" t="str">
        <f aca="false">Raw_Data!G3462</f>
        <v>yes</v>
      </c>
      <c r="I3462" s="3" t="str">
        <f aca="false">Raw_Data!H3462</f>
        <v>no</v>
      </c>
      <c r="J3462" s="2" t="n">
        <f aca="false">IF(F3462="yes",1,0)</f>
        <v>1</v>
      </c>
      <c r="K3462" s="2" t="n">
        <f aca="false">IF(H3462="yes",1,0)</f>
        <v>1</v>
      </c>
      <c r="L3462" s="2" t="n">
        <f aca="false">IF(I3462="yes",1,0)</f>
        <v>0</v>
      </c>
      <c r="M3462" s="2" t="n">
        <f aca="false">IF(G3462&lt;0,1,0)</f>
        <v>0</v>
      </c>
      <c r="N3462" s="2" t="str">
        <f aca="false">_xlfn.IFS(B3462&lt;30,"Under 30",B3462&lt;40,"30-39",B3462&lt;50,"40-49",B3462&lt;60,"50-59",TRUE(),"60+")</f>
        <v>Under 30</v>
      </c>
      <c r="O3462" s="2" t="str">
        <f aca="false">_xlfn.IFS(G3462&lt;0,"1 Negative",G3462=0,"2 Zero",G3462&lt;=500,"3 1-500",G3462&lt;=2000,"4 501-2000",TRUE(),"5 Above 2000")</f>
        <v>3 1-500</v>
      </c>
      <c r="P3462" s="2" t="n">
        <f aca="false">Lookups!$B$2*M3462+Lookups!$B$3*L3462</f>
        <v>0</v>
      </c>
      <c r="Q3462" s="2" t="str">
        <f aca="false">INDEX(Lookups!$E$2:$E$5,MATCH(P3462,Lookups!$D$2:$D$5,0))</f>
        <v>Low</v>
      </c>
    </row>
    <row r="3463" customFormat="false" ht="15" hidden="false" customHeight="false" outlineLevel="0" collapsed="false">
      <c r="A3463" s="3" t="n">
        <v>3462</v>
      </c>
      <c r="B3463" s="3" t="n">
        <f aca="false">Raw_Data!A3463</f>
        <v>34</v>
      </c>
      <c r="C3463" s="3" t="str">
        <f aca="false">SUBSTITUTE(Raw_Data!B3463,".","")</f>
        <v>technician</v>
      </c>
      <c r="D3463" s="3" t="str">
        <f aca="false">Raw_Data!C3463</f>
        <v>single</v>
      </c>
      <c r="E3463" s="3" t="str">
        <f aca="false">Raw_Data!D3463</f>
        <v>secondary</v>
      </c>
      <c r="F3463" s="3" t="str">
        <f aca="false">Raw_Data!E3463</f>
        <v>no</v>
      </c>
      <c r="G3463" s="3" t="n">
        <f aca="false">Raw_Data!F3463</f>
        <v>5039</v>
      </c>
      <c r="H3463" s="3" t="str">
        <f aca="false">Raw_Data!G3463</f>
        <v>no</v>
      </c>
      <c r="I3463" s="3" t="str">
        <f aca="false">Raw_Data!H3463</f>
        <v>no</v>
      </c>
      <c r="J3463" s="2" t="n">
        <f aca="false">IF(F3463="yes",1,0)</f>
        <v>0</v>
      </c>
      <c r="K3463" s="2" t="n">
        <f aca="false">IF(H3463="yes",1,0)</f>
        <v>0</v>
      </c>
      <c r="L3463" s="2" t="n">
        <f aca="false">IF(I3463="yes",1,0)</f>
        <v>0</v>
      </c>
      <c r="M3463" s="2" t="n">
        <f aca="false">IF(G3463&lt;0,1,0)</f>
        <v>0</v>
      </c>
      <c r="N3463" s="2" t="str">
        <f aca="false">_xlfn.IFS(B3463&lt;30,"Under 30",B3463&lt;40,"30-39",B3463&lt;50,"40-49",B3463&lt;60,"50-59",TRUE(),"60+")</f>
        <v>30-39</v>
      </c>
      <c r="O3463" s="2" t="str">
        <f aca="false">_xlfn.IFS(G3463&lt;0,"1 Negative",G3463=0,"2 Zero",G3463&lt;=500,"3 1-500",G3463&lt;=2000,"4 501-2000",TRUE(),"5 Above 2000")</f>
        <v>5 Above 2000</v>
      </c>
      <c r="P3463" s="2" t="n">
        <f aca="false">Lookups!$B$2*M3463+Lookups!$B$3*L3463</f>
        <v>0</v>
      </c>
      <c r="Q3463" s="2" t="str">
        <f aca="false">INDEX(Lookups!$E$2:$E$5,MATCH(P3463,Lookups!$D$2:$D$5,0))</f>
        <v>Low</v>
      </c>
    </row>
    <row r="3464" customFormat="false" ht="15" hidden="false" customHeight="false" outlineLevel="0" collapsed="false">
      <c r="A3464" s="3" t="n">
        <v>3463</v>
      </c>
      <c r="B3464" s="3" t="n">
        <f aca="false">Raw_Data!A3464</f>
        <v>34</v>
      </c>
      <c r="C3464" s="3" t="str">
        <f aca="false">SUBSTITUTE(Raw_Data!B3464,".","")</f>
        <v>blue-collar</v>
      </c>
      <c r="D3464" s="3" t="str">
        <f aca="false">Raw_Data!C3464</f>
        <v>married</v>
      </c>
      <c r="E3464" s="3" t="str">
        <f aca="false">Raw_Data!D3464</f>
        <v>secondary</v>
      </c>
      <c r="F3464" s="3" t="str">
        <f aca="false">Raw_Data!E3464</f>
        <v>no</v>
      </c>
      <c r="G3464" s="3" t="n">
        <f aca="false">Raw_Data!F3464</f>
        <v>360</v>
      </c>
      <c r="H3464" s="3" t="str">
        <f aca="false">Raw_Data!G3464</f>
        <v>yes</v>
      </c>
      <c r="I3464" s="3" t="str">
        <f aca="false">Raw_Data!H3464</f>
        <v>no</v>
      </c>
      <c r="J3464" s="2" t="n">
        <f aca="false">IF(F3464="yes",1,0)</f>
        <v>0</v>
      </c>
      <c r="K3464" s="2" t="n">
        <f aca="false">IF(H3464="yes",1,0)</f>
        <v>1</v>
      </c>
      <c r="L3464" s="2" t="n">
        <f aca="false">IF(I3464="yes",1,0)</f>
        <v>0</v>
      </c>
      <c r="M3464" s="2" t="n">
        <f aca="false">IF(G3464&lt;0,1,0)</f>
        <v>0</v>
      </c>
      <c r="N3464" s="2" t="str">
        <f aca="false">_xlfn.IFS(B3464&lt;30,"Under 30",B3464&lt;40,"30-39",B3464&lt;50,"40-49",B3464&lt;60,"50-59",TRUE(),"60+")</f>
        <v>30-39</v>
      </c>
      <c r="O3464" s="2" t="str">
        <f aca="false">_xlfn.IFS(G3464&lt;0,"1 Negative",G3464=0,"2 Zero",G3464&lt;=500,"3 1-500",G3464&lt;=2000,"4 501-2000",TRUE(),"5 Above 2000")</f>
        <v>3 1-500</v>
      </c>
      <c r="P3464" s="2" t="n">
        <f aca="false">Lookups!$B$2*M3464+Lookups!$B$3*L3464</f>
        <v>0</v>
      </c>
      <c r="Q3464" s="2" t="str">
        <f aca="false">INDEX(Lookups!$E$2:$E$5,MATCH(P3464,Lookups!$D$2:$D$5,0))</f>
        <v>Low</v>
      </c>
    </row>
    <row r="3465" customFormat="false" ht="15" hidden="false" customHeight="false" outlineLevel="0" collapsed="false">
      <c r="A3465" s="3" t="n">
        <v>3464</v>
      </c>
      <c r="B3465" s="3" t="n">
        <f aca="false">Raw_Data!A3465</f>
        <v>52</v>
      </c>
      <c r="C3465" s="3" t="str">
        <f aca="false">SUBSTITUTE(Raw_Data!B3465,".","")</f>
        <v>admin</v>
      </c>
      <c r="D3465" s="3" t="str">
        <f aca="false">Raw_Data!C3465</f>
        <v>married</v>
      </c>
      <c r="E3465" s="3" t="str">
        <f aca="false">Raw_Data!D3465</f>
        <v>secondary</v>
      </c>
      <c r="F3465" s="3" t="str">
        <f aca="false">Raw_Data!E3465</f>
        <v>no</v>
      </c>
      <c r="G3465" s="3" t="n">
        <f aca="false">Raw_Data!F3465</f>
        <v>199</v>
      </c>
      <c r="H3465" s="3" t="str">
        <f aca="false">Raw_Data!G3465</f>
        <v>no</v>
      </c>
      <c r="I3465" s="3" t="str">
        <f aca="false">Raw_Data!H3465</f>
        <v>no</v>
      </c>
      <c r="J3465" s="2" t="n">
        <f aca="false">IF(F3465="yes",1,0)</f>
        <v>0</v>
      </c>
      <c r="K3465" s="2" t="n">
        <f aca="false">IF(H3465="yes",1,0)</f>
        <v>0</v>
      </c>
      <c r="L3465" s="2" t="n">
        <f aca="false">IF(I3465="yes",1,0)</f>
        <v>0</v>
      </c>
      <c r="M3465" s="2" t="n">
        <f aca="false">IF(G3465&lt;0,1,0)</f>
        <v>0</v>
      </c>
      <c r="N3465" s="2" t="str">
        <f aca="false">_xlfn.IFS(B3465&lt;30,"Under 30",B3465&lt;40,"30-39",B3465&lt;50,"40-49",B3465&lt;60,"50-59",TRUE(),"60+")</f>
        <v>50-59</v>
      </c>
      <c r="O3465" s="2" t="str">
        <f aca="false">_xlfn.IFS(G3465&lt;0,"1 Negative",G3465=0,"2 Zero",G3465&lt;=500,"3 1-500",G3465&lt;=2000,"4 501-2000",TRUE(),"5 Above 2000")</f>
        <v>3 1-500</v>
      </c>
      <c r="P3465" s="2" t="n">
        <f aca="false">Lookups!$B$2*M3465+Lookups!$B$3*L3465</f>
        <v>0</v>
      </c>
      <c r="Q3465" s="2" t="str">
        <f aca="false">INDEX(Lookups!$E$2:$E$5,MATCH(P3465,Lookups!$D$2:$D$5,0))</f>
        <v>Low</v>
      </c>
    </row>
    <row r="3466" customFormat="false" ht="15" hidden="false" customHeight="false" outlineLevel="0" collapsed="false">
      <c r="A3466" s="3" t="n">
        <v>3465</v>
      </c>
      <c r="B3466" s="3" t="n">
        <f aca="false">Raw_Data!A3466</f>
        <v>33</v>
      </c>
      <c r="C3466" s="3" t="str">
        <f aca="false">SUBSTITUTE(Raw_Data!B3466,".","")</f>
        <v>self-employed</v>
      </c>
      <c r="D3466" s="3" t="str">
        <f aca="false">Raw_Data!C3466</f>
        <v>single</v>
      </c>
      <c r="E3466" s="3" t="str">
        <f aca="false">Raw_Data!D3466</f>
        <v>secondary</v>
      </c>
      <c r="F3466" s="3" t="str">
        <f aca="false">Raw_Data!E3466</f>
        <v>no</v>
      </c>
      <c r="G3466" s="3" t="n">
        <f aca="false">Raw_Data!F3466</f>
        <v>238</v>
      </c>
      <c r="H3466" s="3" t="str">
        <f aca="false">Raw_Data!G3466</f>
        <v>yes</v>
      </c>
      <c r="I3466" s="3" t="str">
        <f aca="false">Raw_Data!H3466</f>
        <v>yes</v>
      </c>
      <c r="J3466" s="2" t="n">
        <f aca="false">IF(F3466="yes",1,0)</f>
        <v>0</v>
      </c>
      <c r="K3466" s="2" t="n">
        <f aca="false">IF(H3466="yes",1,0)</f>
        <v>1</v>
      </c>
      <c r="L3466" s="2" t="n">
        <f aca="false">IF(I3466="yes",1,0)</f>
        <v>1</v>
      </c>
      <c r="M3466" s="2" t="n">
        <f aca="false">IF(G3466&lt;0,1,0)</f>
        <v>0</v>
      </c>
      <c r="N3466" s="2" t="str">
        <f aca="false">_xlfn.IFS(B3466&lt;30,"Under 30",B3466&lt;40,"30-39",B3466&lt;50,"40-49",B3466&lt;60,"50-59",TRUE(),"60+")</f>
        <v>30-39</v>
      </c>
      <c r="O3466" s="2" t="str">
        <f aca="false">_xlfn.IFS(G3466&lt;0,"1 Negative",G3466=0,"2 Zero",G3466&lt;=500,"3 1-500",G3466&lt;=2000,"4 501-2000",TRUE(),"5 Above 2000")</f>
        <v>3 1-500</v>
      </c>
      <c r="P3466" s="2" t="n">
        <f aca="false">Lookups!$B$2*M3466+Lookups!$B$3*L3466</f>
        <v>1</v>
      </c>
      <c r="Q3466" s="2" t="str">
        <f aca="false">INDEX(Lookups!$E$2:$E$5,MATCH(P3466,Lookups!$D$2:$D$5,0))</f>
        <v>Medium</v>
      </c>
    </row>
    <row r="3467" customFormat="false" ht="15" hidden="false" customHeight="false" outlineLevel="0" collapsed="false">
      <c r="A3467" s="3" t="n">
        <v>3466</v>
      </c>
      <c r="B3467" s="3" t="n">
        <f aca="false">Raw_Data!A3467</f>
        <v>38</v>
      </c>
      <c r="C3467" s="3" t="str">
        <f aca="false">SUBSTITUTE(Raw_Data!B3467,".","")</f>
        <v>blue-collar</v>
      </c>
      <c r="D3467" s="3" t="str">
        <f aca="false">Raw_Data!C3467</f>
        <v>married</v>
      </c>
      <c r="E3467" s="3" t="str">
        <f aca="false">Raw_Data!D3467</f>
        <v>secondary</v>
      </c>
      <c r="F3467" s="3" t="str">
        <f aca="false">Raw_Data!E3467</f>
        <v>no</v>
      </c>
      <c r="G3467" s="3" t="n">
        <f aca="false">Raw_Data!F3467</f>
        <v>5092</v>
      </c>
      <c r="H3467" s="3" t="str">
        <f aca="false">Raw_Data!G3467</f>
        <v>yes</v>
      </c>
      <c r="I3467" s="3" t="str">
        <f aca="false">Raw_Data!H3467</f>
        <v>no</v>
      </c>
      <c r="J3467" s="2" t="n">
        <f aca="false">IF(F3467="yes",1,0)</f>
        <v>0</v>
      </c>
      <c r="K3467" s="2" t="n">
        <f aca="false">IF(H3467="yes",1,0)</f>
        <v>1</v>
      </c>
      <c r="L3467" s="2" t="n">
        <f aca="false">IF(I3467="yes",1,0)</f>
        <v>0</v>
      </c>
      <c r="M3467" s="2" t="n">
        <f aca="false">IF(G3467&lt;0,1,0)</f>
        <v>0</v>
      </c>
      <c r="N3467" s="2" t="str">
        <f aca="false">_xlfn.IFS(B3467&lt;30,"Under 30",B3467&lt;40,"30-39",B3467&lt;50,"40-49",B3467&lt;60,"50-59",TRUE(),"60+")</f>
        <v>30-39</v>
      </c>
      <c r="O3467" s="2" t="str">
        <f aca="false">_xlfn.IFS(G3467&lt;0,"1 Negative",G3467=0,"2 Zero",G3467&lt;=500,"3 1-500",G3467&lt;=2000,"4 501-2000",TRUE(),"5 Above 2000")</f>
        <v>5 Above 2000</v>
      </c>
      <c r="P3467" s="2" t="n">
        <f aca="false">Lookups!$B$2*M3467+Lookups!$B$3*L3467</f>
        <v>0</v>
      </c>
      <c r="Q3467" s="2" t="str">
        <f aca="false">INDEX(Lookups!$E$2:$E$5,MATCH(P3467,Lookups!$D$2:$D$5,0))</f>
        <v>Low</v>
      </c>
    </row>
    <row r="3468" customFormat="false" ht="15" hidden="false" customHeight="false" outlineLevel="0" collapsed="false">
      <c r="A3468" s="3" t="n">
        <v>3467</v>
      </c>
      <c r="B3468" s="3" t="n">
        <f aca="false">Raw_Data!A3468</f>
        <v>41</v>
      </c>
      <c r="C3468" s="3" t="str">
        <f aca="false">SUBSTITUTE(Raw_Data!B3468,".","")</f>
        <v>admin</v>
      </c>
      <c r="D3468" s="3" t="str">
        <f aca="false">Raw_Data!C3468</f>
        <v>divorced</v>
      </c>
      <c r="E3468" s="3" t="str">
        <f aca="false">Raw_Data!D3468</f>
        <v>secondary</v>
      </c>
      <c r="F3468" s="3" t="str">
        <f aca="false">Raw_Data!E3468</f>
        <v>no</v>
      </c>
      <c r="G3468" s="3" t="n">
        <f aca="false">Raw_Data!F3468</f>
        <v>1088</v>
      </c>
      <c r="H3468" s="3" t="str">
        <f aca="false">Raw_Data!G3468</f>
        <v>yes</v>
      </c>
      <c r="I3468" s="3" t="str">
        <f aca="false">Raw_Data!H3468</f>
        <v>no</v>
      </c>
      <c r="J3468" s="2" t="n">
        <f aca="false">IF(F3468="yes",1,0)</f>
        <v>0</v>
      </c>
      <c r="K3468" s="2" t="n">
        <f aca="false">IF(H3468="yes",1,0)</f>
        <v>1</v>
      </c>
      <c r="L3468" s="2" t="n">
        <f aca="false">IF(I3468="yes",1,0)</f>
        <v>0</v>
      </c>
      <c r="M3468" s="2" t="n">
        <f aca="false">IF(G3468&lt;0,1,0)</f>
        <v>0</v>
      </c>
      <c r="N3468" s="2" t="str">
        <f aca="false">_xlfn.IFS(B3468&lt;30,"Under 30",B3468&lt;40,"30-39",B3468&lt;50,"40-49",B3468&lt;60,"50-59",TRUE(),"60+")</f>
        <v>40-49</v>
      </c>
      <c r="O3468" s="2" t="str">
        <f aca="false">_xlfn.IFS(G3468&lt;0,"1 Negative",G3468=0,"2 Zero",G3468&lt;=500,"3 1-500",G3468&lt;=2000,"4 501-2000",TRUE(),"5 Above 2000")</f>
        <v>4 501-2000</v>
      </c>
      <c r="P3468" s="2" t="n">
        <f aca="false">Lookups!$B$2*M3468+Lookups!$B$3*L3468</f>
        <v>0</v>
      </c>
      <c r="Q3468" s="2" t="str">
        <f aca="false">INDEX(Lookups!$E$2:$E$5,MATCH(P3468,Lookups!$D$2:$D$5,0))</f>
        <v>Low</v>
      </c>
    </row>
    <row r="3469" customFormat="false" ht="15" hidden="false" customHeight="false" outlineLevel="0" collapsed="false">
      <c r="A3469" s="3" t="n">
        <v>3468</v>
      </c>
      <c r="B3469" s="3" t="n">
        <f aca="false">Raw_Data!A3469</f>
        <v>42</v>
      </c>
      <c r="C3469" s="3" t="str">
        <f aca="false">SUBSTITUTE(Raw_Data!B3469,".","")</f>
        <v>management</v>
      </c>
      <c r="D3469" s="3" t="str">
        <f aca="false">Raw_Data!C3469</f>
        <v>divorced</v>
      </c>
      <c r="E3469" s="3" t="str">
        <f aca="false">Raw_Data!D3469</f>
        <v>tertiary</v>
      </c>
      <c r="F3469" s="3" t="str">
        <f aca="false">Raw_Data!E3469</f>
        <v>no</v>
      </c>
      <c r="G3469" s="3" t="n">
        <f aca="false">Raw_Data!F3469</f>
        <v>221</v>
      </c>
      <c r="H3469" s="3" t="str">
        <f aca="false">Raw_Data!G3469</f>
        <v>yes</v>
      </c>
      <c r="I3469" s="3" t="str">
        <f aca="false">Raw_Data!H3469</f>
        <v>no</v>
      </c>
      <c r="J3469" s="2" t="n">
        <f aca="false">IF(F3469="yes",1,0)</f>
        <v>0</v>
      </c>
      <c r="K3469" s="2" t="n">
        <f aca="false">IF(H3469="yes",1,0)</f>
        <v>1</v>
      </c>
      <c r="L3469" s="2" t="n">
        <f aca="false">IF(I3469="yes",1,0)</f>
        <v>0</v>
      </c>
      <c r="M3469" s="2" t="n">
        <f aca="false">IF(G3469&lt;0,1,0)</f>
        <v>0</v>
      </c>
      <c r="N3469" s="2" t="str">
        <f aca="false">_xlfn.IFS(B3469&lt;30,"Under 30",B3469&lt;40,"30-39",B3469&lt;50,"40-49",B3469&lt;60,"50-59",TRUE(),"60+")</f>
        <v>40-49</v>
      </c>
      <c r="O3469" s="2" t="str">
        <f aca="false">_xlfn.IFS(G3469&lt;0,"1 Negative",G3469=0,"2 Zero",G3469&lt;=500,"3 1-500",G3469&lt;=2000,"4 501-2000",TRUE(),"5 Above 2000")</f>
        <v>3 1-500</v>
      </c>
      <c r="P3469" s="2" t="n">
        <f aca="false">Lookups!$B$2*M3469+Lookups!$B$3*L3469</f>
        <v>0</v>
      </c>
      <c r="Q3469" s="2" t="str">
        <f aca="false">INDEX(Lookups!$E$2:$E$5,MATCH(P3469,Lookups!$D$2:$D$5,0))</f>
        <v>Low</v>
      </c>
    </row>
    <row r="3470" customFormat="false" ht="15" hidden="false" customHeight="false" outlineLevel="0" collapsed="false">
      <c r="A3470" s="3" t="n">
        <v>3469</v>
      </c>
      <c r="B3470" s="3" t="n">
        <f aca="false">Raw_Data!A3470</f>
        <v>38</v>
      </c>
      <c r="C3470" s="3" t="str">
        <f aca="false">SUBSTITUTE(Raw_Data!B3470,".","")</f>
        <v>blue-collar</v>
      </c>
      <c r="D3470" s="3" t="str">
        <f aca="false">Raw_Data!C3470</f>
        <v>divorced</v>
      </c>
      <c r="E3470" s="3" t="str">
        <f aca="false">Raw_Data!D3470</f>
        <v>secondary</v>
      </c>
      <c r="F3470" s="3" t="str">
        <f aca="false">Raw_Data!E3470</f>
        <v>no</v>
      </c>
      <c r="G3470" s="3" t="n">
        <f aca="false">Raw_Data!F3470</f>
        <v>889</v>
      </c>
      <c r="H3470" s="3" t="str">
        <f aca="false">Raw_Data!G3470</f>
        <v>no</v>
      </c>
      <c r="I3470" s="3" t="str">
        <f aca="false">Raw_Data!H3470</f>
        <v>yes</v>
      </c>
      <c r="J3470" s="2" t="n">
        <f aca="false">IF(F3470="yes",1,0)</f>
        <v>0</v>
      </c>
      <c r="K3470" s="2" t="n">
        <f aca="false">IF(H3470="yes",1,0)</f>
        <v>0</v>
      </c>
      <c r="L3470" s="2" t="n">
        <f aca="false">IF(I3470="yes",1,0)</f>
        <v>1</v>
      </c>
      <c r="M3470" s="2" t="n">
        <f aca="false">IF(G3470&lt;0,1,0)</f>
        <v>0</v>
      </c>
      <c r="N3470" s="2" t="str">
        <f aca="false">_xlfn.IFS(B3470&lt;30,"Under 30",B3470&lt;40,"30-39",B3470&lt;50,"40-49",B3470&lt;60,"50-59",TRUE(),"60+")</f>
        <v>30-39</v>
      </c>
      <c r="O3470" s="2" t="str">
        <f aca="false">_xlfn.IFS(G3470&lt;0,"1 Negative",G3470=0,"2 Zero",G3470&lt;=500,"3 1-500",G3470&lt;=2000,"4 501-2000",TRUE(),"5 Above 2000")</f>
        <v>4 501-2000</v>
      </c>
      <c r="P3470" s="2" t="n">
        <f aca="false">Lookups!$B$2*M3470+Lookups!$B$3*L3470</f>
        <v>1</v>
      </c>
      <c r="Q3470" s="2" t="str">
        <f aca="false">INDEX(Lookups!$E$2:$E$5,MATCH(P3470,Lookups!$D$2:$D$5,0))</f>
        <v>Medium</v>
      </c>
    </row>
    <row r="3471" customFormat="false" ht="15" hidden="false" customHeight="false" outlineLevel="0" collapsed="false">
      <c r="A3471" s="3" t="n">
        <v>3470</v>
      </c>
      <c r="B3471" s="3" t="n">
        <f aca="false">Raw_Data!A3471</f>
        <v>48</v>
      </c>
      <c r="C3471" s="3" t="str">
        <f aca="false">SUBSTITUTE(Raw_Data!B3471,".","")</f>
        <v>blue-collar</v>
      </c>
      <c r="D3471" s="3" t="str">
        <f aca="false">Raw_Data!C3471</f>
        <v>married</v>
      </c>
      <c r="E3471" s="3" t="str">
        <f aca="false">Raw_Data!D3471</f>
        <v>primary</v>
      </c>
      <c r="F3471" s="3" t="str">
        <f aca="false">Raw_Data!E3471</f>
        <v>no</v>
      </c>
      <c r="G3471" s="3" t="n">
        <f aca="false">Raw_Data!F3471</f>
        <v>750</v>
      </c>
      <c r="H3471" s="3" t="str">
        <f aca="false">Raw_Data!G3471</f>
        <v>yes</v>
      </c>
      <c r="I3471" s="3" t="str">
        <f aca="false">Raw_Data!H3471</f>
        <v>no</v>
      </c>
      <c r="J3471" s="2" t="n">
        <f aca="false">IF(F3471="yes",1,0)</f>
        <v>0</v>
      </c>
      <c r="K3471" s="2" t="n">
        <f aca="false">IF(H3471="yes",1,0)</f>
        <v>1</v>
      </c>
      <c r="L3471" s="2" t="n">
        <f aca="false">IF(I3471="yes",1,0)</f>
        <v>0</v>
      </c>
      <c r="M3471" s="2" t="n">
        <f aca="false">IF(G3471&lt;0,1,0)</f>
        <v>0</v>
      </c>
      <c r="N3471" s="2" t="str">
        <f aca="false">_xlfn.IFS(B3471&lt;30,"Under 30",B3471&lt;40,"30-39",B3471&lt;50,"40-49",B3471&lt;60,"50-59",TRUE(),"60+")</f>
        <v>40-49</v>
      </c>
      <c r="O3471" s="2" t="str">
        <f aca="false">_xlfn.IFS(G3471&lt;0,"1 Negative",G3471=0,"2 Zero",G3471&lt;=500,"3 1-500",G3471&lt;=2000,"4 501-2000",TRUE(),"5 Above 2000")</f>
        <v>4 501-2000</v>
      </c>
      <c r="P3471" s="2" t="n">
        <f aca="false">Lookups!$B$2*M3471+Lookups!$B$3*L3471</f>
        <v>0</v>
      </c>
      <c r="Q3471" s="2" t="str">
        <f aca="false">INDEX(Lookups!$E$2:$E$5,MATCH(P3471,Lookups!$D$2:$D$5,0))</f>
        <v>Low</v>
      </c>
    </row>
    <row r="3472" customFormat="false" ht="15" hidden="false" customHeight="false" outlineLevel="0" collapsed="false">
      <c r="A3472" s="3" t="n">
        <v>3471</v>
      </c>
      <c r="B3472" s="3" t="n">
        <f aca="false">Raw_Data!A3472</f>
        <v>34</v>
      </c>
      <c r="C3472" s="3" t="str">
        <f aca="false">SUBSTITUTE(Raw_Data!B3472,".","")</f>
        <v>technician</v>
      </c>
      <c r="D3472" s="3" t="str">
        <f aca="false">Raw_Data!C3472</f>
        <v>single</v>
      </c>
      <c r="E3472" s="3" t="str">
        <f aca="false">Raw_Data!D3472</f>
        <v>secondary</v>
      </c>
      <c r="F3472" s="3" t="str">
        <f aca="false">Raw_Data!E3472</f>
        <v>no</v>
      </c>
      <c r="G3472" s="3" t="n">
        <f aca="false">Raw_Data!F3472</f>
        <v>0</v>
      </c>
      <c r="H3472" s="3" t="str">
        <f aca="false">Raw_Data!G3472</f>
        <v>yes</v>
      </c>
      <c r="I3472" s="3" t="str">
        <f aca="false">Raw_Data!H3472</f>
        <v>yes</v>
      </c>
      <c r="J3472" s="2" t="n">
        <f aca="false">IF(F3472="yes",1,0)</f>
        <v>0</v>
      </c>
      <c r="K3472" s="2" t="n">
        <f aca="false">IF(H3472="yes",1,0)</f>
        <v>1</v>
      </c>
      <c r="L3472" s="2" t="n">
        <f aca="false">IF(I3472="yes",1,0)</f>
        <v>1</v>
      </c>
      <c r="M3472" s="2" t="n">
        <f aca="false">IF(G3472&lt;0,1,0)</f>
        <v>0</v>
      </c>
      <c r="N3472" s="2" t="str">
        <f aca="false">_xlfn.IFS(B3472&lt;30,"Under 30",B3472&lt;40,"30-39",B3472&lt;50,"40-49",B3472&lt;60,"50-59",TRUE(),"60+")</f>
        <v>30-39</v>
      </c>
      <c r="O3472" s="2" t="str">
        <f aca="false">_xlfn.IFS(G3472&lt;0,"1 Negative",G3472=0,"2 Zero",G3472&lt;=500,"3 1-500",G3472&lt;=2000,"4 501-2000",TRUE(),"5 Above 2000")</f>
        <v>2 Zero</v>
      </c>
      <c r="P3472" s="2" t="n">
        <f aca="false">Lookups!$B$2*M3472+Lookups!$B$3*L3472</f>
        <v>1</v>
      </c>
      <c r="Q3472" s="2" t="str">
        <f aca="false">INDEX(Lookups!$E$2:$E$5,MATCH(P3472,Lookups!$D$2:$D$5,0))</f>
        <v>Medium</v>
      </c>
    </row>
    <row r="3473" customFormat="false" ht="15" hidden="false" customHeight="false" outlineLevel="0" collapsed="false">
      <c r="A3473" s="3" t="n">
        <v>3472</v>
      </c>
      <c r="B3473" s="3" t="n">
        <f aca="false">Raw_Data!A3473</f>
        <v>46</v>
      </c>
      <c r="C3473" s="3" t="str">
        <f aca="false">SUBSTITUTE(Raw_Data!B3473,".","")</f>
        <v>blue-collar</v>
      </c>
      <c r="D3473" s="3" t="str">
        <f aca="false">Raw_Data!C3473</f>
        <v>married</v>
      </c>
      <c r="E3473" s="3" t="str">
        <f aca="false">Raw_Data!D3473</f>
        <v>primary</v>
      </c>
      <c r="F3473" s="3" t="str">
        <f aca="false">Raw_Data!E3473</f>
        <v>no</v>
      </c>
      <c r="G3473" s="3" t="n">
        <f aca="false">Raw_Data!F3473</f>
        <v>1291</v>
      </c>
      <c r="H3473" s="3" t="str">
        <f aca="false">Raw_Data!G3473</f>
        <v>yes</v>
      </c>
      <c r="I3473" s="3" t="str">
        <f aca="false">Raw_Data!H3473</f>
        <v>no</v>
      </c>
      <c r="J3473" s="2" t="n">
        <f aca="false">IF(F3473="yes",1,0)</f>
        <v>0</v>
      </c>
      <c r="K3473" s="2" t="n">
        <f aca="false">IF(H3473="yes",1,0)</f>
        <v>1</v>
      </c>
      <c r="L3473" s="2" t="n">
        <f aca="false">IF(I3473="yes",1,0)</f>
        <v>0</v>
      </c>
      <c r="M3473" s="2" t="n">
        <f aca="false">IF(G3473&lt;0,1,0)</f>
        <v>0</v>
      </c>
      <c r="N3473" s="2" t="str">
        <f aca="false">_xlfn.IFS(B3473&lt;30,"Under 30",B3473&lt;40,"30-39",B3473&lt;50,"40-49",B3473&lt;60,"50-59",TRUE(),"60+")</f>
        <v>40-49</v>
      </c>
      <c r="O3473" s="2" t="str">
        <f aca="false">_xlfn.IFS(G3473&lt;0,"1 Negative",G3473=0,"2 Zero",G3473&lt;=500,"3 1-500",G3473&lt;=2000,"4 501-2000",TRUE(),"5 Above 2000")</f>
        <v>4 501-2000</v>
      </c>
      <c r="P3473" s="2" t="n">
        <f aca="false">Lookups!$B$2*M3473+Lookups!$B$3*L3473</f>
        <v>0</v>
      </c>
      <c r="Q3473" s="2" t="str">
        <f aca="false">INDEX(Lookups!$E$2:$E$5,MATCH(P3473,Lookups!$D$2:$D$5,0))</f>
        <v>Low</v>
      </c>
    </row>
    <row r="3474" customFormat="false" ht="15" hidden="false" customHeight="false" outlineLevel="0" collapsed="false">
      <c r="A3474" s="3" t="n">
        <v>3473</v>
      </c>
      <c r="B3474" s="3" t="n">
        <f aca="false">Raw_Data!A3474</f>
        <v>33</v>
      </c>
      <c r="C3474" s="3" t="str">
        <f aca="false">SUBSTITUTE(Raw_Data!B3474,".","")</f>
        <v>technician</v>
      </c>
      <c r="D3474" s="3" t="str">
        <f aca="false">Raw_Data!C3474</f>
        <v>married</v>
      </c>
      <c r="E3474" s="3" t="str">
        <f aca="false">Raw_Data!D3474</f>
        <v>secondary</v>
      </c>
      <c r="F3474" s="3" t="str">
        <f aca="false">Raw_Data!E3474</f>
        <v>no</v>
      </c>
      <c r="G3474" s="3" t="n">
        <f aca="false">Raw_Data!F3474</f>
        <v>1844</v>
      </c>
      <c r="H3474" s="3" t="str">
        <f aca="false">Raw_Data!G3474</f>
        <v>yes</v>
      </c>
      <c r="I3474" s="3" t="str">
        <f aca="false">Raw_Data!H3474</f>
        <v>no</v>
      </c>
      <c r="J3474" s="2" t="n">
        <f aca="false">IF(F3474="yes",1,0)</f>
        <v>0</v>
      </c>
      <c r="K3474" s="2" t="n">
        <f aca="false">IF(H3474="yes",1,0)</f>
        <v>1</v>
      </c>
      <c r="L3474" s="2" t="n">
        <f aca="false">IF(I3474="yes",1,0)</f>
        <v>0</v>
      </c>
      <c r="M3474" s="2" t="n">
        <f aca="false">IF(G3474&lt;0,1,0)</f>
        <v>0</v>
      </c>
      <c r="N3474" s="2" t="str">
        <f aca="false">_xlfn.IFS(B3474&lt;30,"Under 30",B3474&lt;40,"30-39",B3474&lt;50,"40-49",B3474&lt;60,"50-59",TRUE(),"60+")</f>
        <v>30-39</v>
      </c>
      <c r="O3474" s="2" t="str">
        <f aca="false">_xlfn.IFS(G3474&lt;0,"1 Negative",G3474=0,"2 Zero",G3474&lt;=500,"3 1-500",G3474&lt;=2000,"4 501-2000",TRUE(),"5 Above 2000")</f>
        <v>4 501-2000</v>
      </c>
      <c r="P3474" s="2" t="n">
        <f aca="false">Lookups!$B$2*M3474+Lookups!$B$3*L3474</f>
        <v>0</v>
      </c>
      <c r="Q3474" s="2" t="str">
        <f aca="false">INDEX(Lookups!$E$2:$E$5,MATCH(P3474,Lookups!$D$2:$D$5,0))</f>
        <v>Low</v>
      </c>
    </row>
    <row r="3475" customFormat="false" ht="15" hidden="false" customHeight="false" outlineLevel="0" collapsed="false">
      <c r="A3475" s="3" t="n">
        <v>3474</v>
      </c>
      <c r="B3475" s="3" t="n">
        <f aca="false">Raw_Data!A3475</f>
        <v>40</v>
      </c>
      <c r="C3475" s="3" t="str">
        <f aca="false">SUBSTITUTE(Raw_Data!B3475,".","")</f>
        <v>management</v>
      </c>
      <c r="D3475" s="3" t="str">
        <f aca="false">Raw_Data!C3475</f>
        <v>married</v>
      </c>
      <c r="E3475" s="3" t="str">
        <f aca="false">Raw_Data!D3475</f>
        <v>tertiary</v>
      </c>
      <c r="F3475" s="3" t="str">
        <f aca="false">Raw_Data!E3475</f>
        <v>no</v>
      </c>
      <c r="G3475" s="3" t="n">
        <f aca="false">Raw_Data!F3475</f>
        <v>89</v>
      </c>
      <c r="H3475" s="3" t="str">
        <f aca="false">Raw_Data!G3475</f>
        <v>yes</v>
      </c>
      <c r="I3475" s="3" t="str">
        <f aca="false">Raw_Data!H3475</f>
        <v>yes</v>
      </c>
      <c r="J3475" s="2" t="n">
        <f aca="false">IF(F3475="yes",1,0)</f>
        <v>0</v>
      </c>
      <c r="K3475" s="2" t="n">
        <f aca="false">IF(H3475="yes",1,0)</f>
        <v>1</v>
      </c>
      <c r="L3475" s="2" t="n">
        <f aca="false">IF(I3475="yes",1,0)</f>
        <v>1</v>
      </c>
      <c r="M3475" s="2" t="n">
        <f aca="false">IF(G3475&lt;0,1,0)</f>
        <v>0</v>
      </c>
      <c r="N3475" s="2" t="str">
        <f aca="false">_xlfn.IFS(B3475&lt;30,"Under 30",B3475&lt;40,"30-39",B3475&lt;50,"40-49",B3475&lt;60,"50-59",TRUE(),"60+")</f>
        <v>40-49</v>
      </c>
      <c r="O3475" s="2" t="str">
        <f aca="false">_xlfn.IFS(G3475&lt;0,"1 Negative",G3475=0,"2 Zero",G3475&lt;=500,"3 1-500",G3475&lt;=2000,"4 501-2000",TRUE(),"5 Above 2000")</f>
        <v>3 1-500</v>
      </c>
      <c r="P3475" s="2" t="n">
        <f aca="false">Lookups!$B$2*M3475+Lookups!$B$3*L3475</f>
        <v>1</v>
      </c>
      <c r="Q3475" s="2" t="str">
        <f aca="false">INDEX(Lookups!$E$2:$E$5,MATCH(P3475,Lookups!$D$2:$D$5,0))</f>
        <v>Medium</v>
      </c>
    </row>
    <row r="3476" customFormat="false" ht="15" hidden="false" customHeight="false" outlineLevel="0" collapsed="false">
      <c r="A3476" s="3" t="n">
        <v>3475</v>
      </c>
      <c r="B3476" s="3" t="n">
        <f aca="false">Raw_Data!A3476</f>
        <v>36</v>
      </c>
      <c r="C3476" s="3" t="str">
        <f aca="false">SUBSTITUTE(Raw_Data!B3476,".","")</f>
        <v>admin</v>
      </c>
      <c r="D3476" s="3" t="str">
        <f aca="false">Raw_Data!C3476</f>
        <v>married</v>
      </c>
      <c r="E3476" s="3" t="str">
        <f aca="false">Raw_Data!D3476</f>
        <v>secondary</v>
      </c>
      <c r="F3476" s="3" t="str">
        <f aca="false">Raw_Data!E3476</f>
        <v>no</v>
      </c>
      <c r="G3476" s="3" t="n">
        <f aca="false">Raw_Data!F3476</f>
        <v>4280</v>
      </c>
      <c r="H3476" s="3" t="str">
        <f aca="false">Raw_Data!G3476</f>
        <v>no</v>
      </c>
      <c r="I3476" s="3" t="str">
        <f aca="false">Raw_Data!H3476</f>
        <v>no</v>
      </c>
      <c r="J3476" s="2" t="n">
        <f aca="false">IF(F3476="yes",1,0)</f>
        <v>0</v>
      </c>
      <c r="K3476" s="2" t="n">
        <f aca="false">IF(H3476="yes",1,0)</f>
        <v>0</v>
      </c>
      <c r="L3476" s="2" t="n">
        <f aca="false">IF(I3476="yes",1,0)</f>
        <v>0</v>
      </c>
      <c r="M3476" s="2" t="n">
        <f aca="false">IF(G3476&lt;0,1,0)</f>
        <v>0</v>
      </c>
      <c r="N3476" s="2" t="str">
        <f aca="false">_xlfn.IFS(B3476&lt;30,"Under 30",B3476&lt;40,"30-39",B3476&lt;50,"40-49",B3476&lt;60,"50-59",TRUE(),"60+")</f>
        <v>30-39</v>
      </c>
      <c r="O3476" s="2" t="str">
        <f aca="false">_xlfn.IFS(G3476&lt;0,"1 Negative",G3476=0,"2 Zero",G3476&lt;=500,"3 1-500",G3476&lt;=2000,"4 501-2000",TRUE(),"5 Above 2000")</f>
        <v>5 Above 2000</v>
      </c>
      <c r="P3476" s="2" t="n">
        <f aca="false">Lookups!$B$2*M3476+Lookups!$B$3*L3476</f>
        <v>0</v>
      </c>
      <c r="Q3476" s="2" t="str">
        <f aca="false">INDEX(Lookups!$E$2:$E$5,MATCH(P3476,Lookups!$D$2:$D$5,0))</f>
        <v>Low</v>
      </c>
    </row>
    <row r="3477" customFormat="false" ht="15" hidden="false" customHeight="false" outlineLevel="0" collapsed="false">
      <c r="A3477" s="3" t="n">
        <v>3476</v>
      </c>
      <c r="B3477" s="3" t="n">
        <f aca="false">Raw_Data!A3477</f>
        <v>32</v>
      </c>
      <c r="C3477" s="3" t="str">
        <f aca="false">SUBSTITUTE(Raw_Data!B3477,".","")</f>
        <v>technician</v>
      </c>
      <c r="D3477" s="3" t="str">
        <f aca="false">Raw_Data!C3477</f>
        <v>single</v>
      </c>
      <c r="E3477" s="3" t="str">
        <f aca="false">Raw_Data!D3477</f>
        <v>secondary</v>
      </c>
      <c r="F3477" s="3" t="str">
        <f aca="false">Raw_Data!E3477</f>
        <v>no</v>
      </c>
      <c r="G3477" s="3" t="n">
        <f aca="false">Raw_Data!F3477</f>
        <v>0</v>
      </c>
      <c r="H3477" s="3" t="str">
        <f aca="false">Raw_Data!G3477</f>
        <v>no</v>
      </c>
      <c r="I3477" s="3" t="str">
        <f aca="false">Raw_Data!H3477</f>
        <v>no</v>
      </c>
      <c r="J3477" s="2" t="n">
        <f aca="false">IF(F3477="yes",1,0)</f>
        <v>0</v>
      </c>
      <c r="K3477" s="2" t="n">
        <f aca="false">IF(H3477="yes",1,0)</f>
        <v>0</v>
      </c>
      <c r="L3477" s="2" t="n">
        <f aca="false">IF(I3477="yes",1,0)</f>
        <v>0</v>
      </c>
      <c r="M3477" s="2" t="n">
        <f aca="false">IF(G3477&lt;0,1,0)</f>
        <v>0</v>
      </c>
      <c r="N3477" s="2" t="str">
        <f aca="false">_xlfn.IFS(B3477&lt;30,"Under 30",B3477&lt;40,"30-39",B3477&lt;50,"40-49",B3477&lt;60,"50-59",TRUE(),"60+")</f>
        <v>30-39</v>
      </c>
      <c r="O3477" s="2" t="str">
        <f aca="false">_xlfn.IFS(G3477&lt;0,"1 Negative",G3477=0,"2 Zero",G3477&lt;=500,"3 1-500",G3477&lt;=2000,"4 501-2000",TRUE(),"5 Above 2000")</f>
        <v>2 Zero</v>
      </c>
      <c r="P3477" s="2" t="n">
        <f aca="false">Lookups!$B$2*M3477+Lookups!$B$3*L3477</f>
        <v>0</v>
      </c>
      <c r="Q3477" s="2" t="str">
        <f aca="false">INDEX(Lookups!$E$2:$E$5,MATCH(P3477,Lookups!$D$2:$D$5,0))</f>
        <v>Low</v>
      </c>
    </row>
    <row r="3478" customFormat="false" ht="15" hidden="false" customHeight="false" outlineLevel="0" collapsed="false">
      <c r="A3478" s="3" t="n">
        <v>3477</v>
      </c>
      <c r="B3478" s="3" t="n">
        <f aca="false">Raw_Data!A3478</f>
        <v>33</v>
      </c>
      <c r="C3478" s="3" t="str">
        <f aca="false">SUBSTITUTE(Raw_Data!B3478,".","")</f>
        <v>blue-collar</v>
      </c>
      <c r="D3478" s="3" t="str">
        <f aca="false">Raw_Data!C3478</f>
        <v>married</v>
      </c>
      <c r="E3478" s="3" t="str">
        <f aca="false">Raw_Data!D3478</f>
        <v>secondary</v>
      </c>
      <c r="F3478" s="3" t="str">
        <f aca="false">Raw_Data!E3478</f>
        <v>no</v>
      </c>
      <c r="G3478" s="3" t="n">
        <f aca="false">Raw_Data!F3478</f>
        <v>625</v>
      </c>
      <c r="H3478" s="3" t="str">
        <f aca="false">Raw_Data!G3478</f>
        <v>yes</v>
      </c>
      <c r="I3478" s="3" t="str">
        <f aca="false">Raw_Data!H3478</f>
        <v>no</v>
      </c>
      <c r="J3478" s="2" t="n">
        <f aca="false">IF(F3478="yes",1,0)</f>
        <v>0</v>
      </c>
      <c r="K3478" s="2" t="n">
        <f aca="false">IF(H3478="yes",1,0)</f>
        <v>1</v>
      </c>
      <c r="L3478" s="2" t="n">
        <f aca="false">IF(I3478="yes",1,0)</f>
        <v>0</v>
      </c>
      <c r="M3478" s="2" t="n">
        <f aca="false">IF(G3478&lt;0,1,0)</f>
        <v>0</v>
      </c>
      <c r="N3478" s="2" t="str">
        <f aca="false">_xlfn.IFS(B3478&lt;30,"Under 30",B3478&lt;40,"30-39",B3478&lt;50,"40-49",B3478&lt;60,"50-59",TRUE(),"60+")</f>
        <v>30-39</v>
      </c>
      <c r="O3478" s="2" t="str">
        <f aca="false">_xlfn.IFS(G3478&lt;0,"1 Negative",G3478=0,"2 Zero",G3478&lt;=500,"3 1-500",G3478&lt;=2000,"4 501-2000",TRUE(),"5 Above 2000")</f>
        <v>4 501-2000</v>
      </c>
      <c r="P3478" s="2" t="n">
        <f aca="false">Lookups!$B$2*M3478+Lookups!$B$3*L3478</f>
        <v>0</v>
      </c>
      <c r="Q3478" s="2" t="str">
        <f aca="false">INDEX(Lookups!$E$2:$E$5,MATCH(P3478,Lookups!$D$2:$D$5,0))</f>
        <v>Low</v>
      </c>
    </row>
    <row r="3479" customFormat="false" ht="15" hidden="false" customHeight="false" outlineLevel="0" collapsed="false">
      <c r="A3479" s="3" t="n">
        <v>3478</v>
      </c>
      <c r="B3479" s="3" t="n">
        <f aca="false">Raw_Data!A3479</f>
        <v>55</v>
      </c>
      <c r="C3479" s="3" t="str">
        <f aca="false">SUBSTITUTE(Raw_Data!B3479,".","")</f>
        <v>technician</v>
      </c>
      <c r="D3479" s="3" t="str">
        <f aca="false">Raw_Data!C3479</f>
        <v>married</v>
      </c>
      <c r="E3479" s="3" t="str">
        <f aca="false">Raw_Data!D3479</f>
        <v>unknown</v>
      </c>
      <c r="F3479" s="3" t="str">
        <f aca="false">Raw_Data!E3479</f>
        <v>no</v>
      </c>
      <c r="G3479" s="3" t="n">
        <f aca="false">Raw_Data!F3479</f>
        <v>574</v>
      </c>
      <c r="H3479" s="3" t="str">
        <f aca="false">Raw_Data!G3479</f>
        <v>yes</v>
      </c>
      <c r="I3479" s="3" t="str">
        <f aca="false">Raw_Data!H3479</f>
        <v>no</v>
      </c>
      <c r="J3479" s="2" t="n">
        <f aca="false">IF(F3479="yes",1,0)</f>
        <v>0</v>
      </c>
      <c r="K3479" s="2" t="n">
        <f aca="false">IF(H3479="yes",1,0)</f>
        <v>1</v>
      </c>
      <c r="L3479" s="2" t="n">
        <f aca="false">IF(I3479="yes",1,0)</f>
        <v>0</v>
      </c>
      <c r="M3479" s="2" t="n">
        <f aca="false">IF(G3479&lt;0,1,0)</f>
        <v>0</v>
      </c>
      <c r="N3479" s="2" t="str">
        <f aca="false">_xlfn.IFS(B3479&lt;30,"Under 30",B3479&lt;40,"30-39",B3479&lt;50,"40-49",B3479&lt;60,"50-59",TRUE(),"60+")</f>
        <v>50-59</v>
      </c>
      <c r="O3479" s="2" t="str">
        <f aca="false">_xlfn.IFS(G3479&lt;0,"1 Negative",G3479=0,"2 Zero",G3479&lt;=500,"3 1-500",G3479&lt;=2000,"4 501-2000",TRUE(),"5 Above 2000")</f>
        <v>4 501-2000</v>
      </c>
      <c r="P3479" s="2" t="n">
        <f aca="false">Lookups!$B$2*M3479+Lookups!$B$3*L3479</f>
        <v>0</v>
      </c>
      <c r="Q3479" s="2" t="str">
        <f aca="false">INDEX(Lookups!$E$2:$E$5,MATCH(P3479,Lookups!$D$2:$D$5,0))</f>
        <v>Low</v>
      </c>
    </row>
    <row r="3480" customFormat="false" ht="15" hidden="false" customHeight="false" outlineLevel="0" collapsed="false">
      <c r="A3480" s="3" t="n">
        <v>3479</v>
      </c>
      <c r="B3480" s="3" t="n">
        <f aca="false">Raw_Data!A3480</f>
        <v>58</v>
      </c>
      <c r="C3480" s="3" t="str">
        <f aca="false">SUBSTITUTE(Raw_Data!B3480,".","")</f>
        <v>management</v>
      </c>
      <c r="D3480" s="3" t="str">
        <f aca="false">Raw_Data!C3480</f>
        <v>married</v>
      </c>
      <c r="E3480" s="3" t="str">
        <f aca="false">Raw_Data!D3480</f>
        <v>primary</v>
      </c>
      <c r="F3480" s="3" t="str">
        <f aca="false">Raw_Data!E3480</f>
        <v>no</v>
      </c>
      <c r="G3480" s="3" t="n">
        <f aca="false">Raw_Data!F3480</f>
        <v>320</v>
      </c>
      <c r="H3480" s="3" t="str">
        <f aca="false">Raw_Data!G3480</f>
        <v>yes</v>
      </c>
      <c r="I3480" s="3" t="str">
        <f aca="false">Raw_Data!H3480</f>
        <v>no</v>
      </c>
      <c r="J3480" s="2" t="n">
        <f aca="false">IF(F3480="yes",1,0)</f>
        <v>0</v>
      </c>
      <c r="K3480" s="2" t="n">
        <f aca="false">IF(H3480="yes",1,0)</f>
        <v>1</v>
      </c>
      <c r="L3480" s="2" t="n">
        <f aca="false">IF(I3480="yes",1,0)</f>
        <v>0</v>
      </c>
      <c r="M3480" s="2" t="n">
        <f aca="false">IF(G3480&lt;0,1,0)</f>
        <v>0</v>
      </c>
      <c r="N3480" s="2" t="str">
        <f aca="false">_xlfn.IFS(B3480&lt;30,"Under 30",B3480&lt;40,"30-39",B3480&lt;50,"40-49",B3480&lt;60,"50-59",TRUE(),"60+")</f>
        <v>50-59</v>
      </c>
      <c r="O3480" s="2" t="str">
        <f aca="false">_xlfn.IFS(G3480&lt;0,"1 Negative",G3480=0,"2 Zero",G3480&lt;=500,"3 1-500",G3480&lt;=2000,"4 501-2000",TRUE(),"5 Above 2000")</f>
        <v>3 1-500</v>
      </c>
      <c r="P3480" s="2" t="n">
        <f aca="false">Lookups!$B$2*M3480+Lookups!$B$3*L3480</f>
        <v>0</v>
      </c>
      <c r="Q3480" s="2" t="str">
        <f aca="false">INDEX(Lookups!$E$2:$E$5,MATCH(P3480,Lookups!$D$2:$D$5,0))</f>
        <v>Low</v>
      </c>
    </row>
    <row r="3481" customFormat="false" ht="15" hidden="false" customHeight="false" outlineLevel="0" collapsed="false">
      <c r="A3481" s="3" t="n">
        <v>3480</v>
      </c>
      <c r="B3481" s="3" t="n">
        <f aca="false">Raw_Data!A3481</f>
        <v>25</v>
      </c>
      <c r="C3481" s="3" t="str">
        <f aca="false">SUBSTITUTE(Raw_Data!B3481,".","")</f>
        <v>technician</v>
      </c>
      <c r="D3481" s="3" t="str">
        <f aca="false">Raw_Data!C3481</f>
        <v>single</v>
      </c>
      <c r="E3481" s="3" t="str">
        <f aca="false">Raw_Data!D3481</f>
        <v>tertiary</v>
      </c>
      <c r="F3481" s="3" t="str">
        <f aca="false">Raw_Data!E3481</f>
        <v>no</v>
      </c>
      <c r="G3481" s="3" t="n">
        <f aca="false">Raw_Data!F3481</f>
        <v>468</v>
      </c>
      <c r="H3481" s="3" t="str">
        <f aca="false">Raw_Data!G3481</f>
        <v>yes</v>
      </c>
      <c r="I3481" s="3" t="str">
        <f aca="false">Raw_Data!H3481</f>
        <v>no</v>
      </c>
      <c r="J3481" s="2" t="n">
        <f aca="false">IF(F3481="yes",1,0)</f>
        <v>0</v>
      </c>
      <c r="K3481" s="2" t="n">
        <f aca="false">IF(H3481="yes",1,0)</f>
        <v>1</v>
      </c>
      <c r="L3481" s="2" t="n">
        <f aca="false">IF(I3481="yes",1,0)</f>
        <v>0</v>
      </c>
      <c r="M3481" s="2" t="n">
        <f aca="false">IF(G3481&lt;0,1,0)</f>
        <v>0</v>
      </c>
      <c r="N3481" s="2" t="str">
        <f aca="false">_xlfn.IFS(B3481&lt;30,"Under 30",B3481&lt;40,"30-39",B3481&lt;50,"40-49",B3481&lt;60,"50-59",TRUE(),"60+")</f>
        <v>Under 30</v>
      </c>
      <c r="O3481" s="2" t="str">
        <f aca="false">_xlfn.IFS(G3481&lt;0,"1 Negative",G3481=0,"2 Zero",G3481&lt;=500,"3 1-500",G3481&lt;=2000,"4 501-2000",TRUE(),"5 Above 2000")</f>
        <v>3 1-500</v>
      </c>
      <c r="P3481" s="2" t="n">
        <f aca="false">Lookups!$B$2*M3481+Lookups!$B$3*L3481</f>
        <v>0</v>
      </c>
      <c r="Q3481" s="2" t="str">
        <f aca="false">INDEX(Lookups!$E$2:$E$5,MATCH(P3481,Lookups!$D$2:$D$5,0))</f>
        <v>Low</v>
      </c>
    </row>
    <row r="3482" customFormat="false" ht="15" hidden="false" customHeight="false" outlineLevel="0" collapsed="false">
      <c r="A3482" s="3" t="n">
        <v>3481</v>
      </c>
      <c r="B3482" s="3" t="n">
        <f aca="false">Raw_Data!A3482</f>
        <v>47</v>
      </c>
      <c r="C3482" s="3" t="str">
        <f aca="false">SUBSTITUTE(Raw_Data!B3482,".","")</f>
        <v>services</v>
      </c>
      <c r="D3482" s="3" t="str">
        <f aca="false">Raw_Data!C3482</f>
        <v>married</v>
      </c>
      <c r="E3482" s="3" t="str">
        <f aca="false">Raw_Data!D3482</f>
        <v>secondary</v>
      </c>
      <c r="F3482" s="3" t="str">
        <f aca="false">Raw_Data!E3482</f>
        <v>no</v>
      </c>
      <c r="G3482" s="3" t="n">
        <f aca="false">Raw_Data!F3482</f>
        <v>440</v>
      </c>
      <c r="H3482" s="3" t="str">
        <f aca="false">Raw_Data!G3482</f>
        <v>yes</v>
      </c>
      <c r="I3482" s="3" t="str">
        <f aca="false">Raw_Data!H3482</f>
        <v>no</v>
      </c>
      <c r="J3482" s="2" t="n">
        <f aca="false">IF(F3482="yes",1,0)</f>
        <v>0</v>
      </c>
      <c r="K3482" s="2" t="n">
        <f aca="false">IF(H3482="yes",1,0)</f>
        <v>1</v>
      </c>
      <c r="L3482" s="2" t="n">
        <f aca="false">IF(I3482="yes",1,0)</f>
        <v>0</v>
      </c>
      <c r="M3482" s="2" t="n">
        <f aca="false">IF(G3482&lt;0,1,0)</f>
        <v>0</v>
      </c>
      <c r="N3482" s="2" t="str">
        <f aca="false">_xlfn.IFS(B3482&lt;30,"Under 30",B3482&lt;40,"30-39",B3482&lt;50,"40-49",B3482&lt;60,"50-59",TRUE(),"60+")</f>
        <v>40-49</v>
      </c>
      <c r="O3482" s="2" t="str">
        <f aca="false">_xlfn.IFS(G3482&lt;0,"1 Negative",G3482=0,"2 Zero",G3482&lt;=500,"3 1-500",G3482&lt;=2000,"4 501-2000",TRUE(),"5 Above 2000")</f>
        <v>3 1-500</v>
      </c>
      <c r="P3482" s="2" t="n">
        <f aca="false">Lookups!$B$2*M3482+Lookups!$B$3*L3482</f>
        <v>0</v>
      </c>
      <c r="Q3482" s="2" t="str">
        <f aca="false">INDEX(Lookups!$E$2:$E$5,MATCH(P3482,Lookups!$D$2:$D$5,0))</f>
        <v>Low</v>
      </c>
    </row>
    <row r="3483" customFormat="false" ht="15" hidden="false" customHeight="false" outlineLevel="0" collapsed="false">
      <c r="A3483" s="3" t="n">
        <v>3482</v>
      </c>
      <c r="B3483" s="3" t="n">
        <f aca="false">Raw_Data!A3483</f>
        <v>40</v>
      </c>
      <c r="C3483" s="3" t="str">
        <f aca="false">SUBSTITUTE(Raw_Data!B3483,".","")</f>
        <v>unemployed</v>
      </c>
      <c r="D3483" s="3" t="str">
        <f aca="false">Raw_Data!C3483</f>
        <v>married</v>
      </c>
      <c r="E3483" s="3" t="str">
        <f aca="false">Raw_Data!D3483</f>
        <v>secondary</v>
      </c>
      <c r="F3483" s="3" t="str">
        <f aca="false">Raw_Data!E3483</f>
        <v>no</v>
      </c>
      <c r="G3483" s="3" t="n">
        <f aca="false">Raw_Data!F3483</f>
        <v>0</v>
      </c>
      <c r="H3483" s="3" t="str">
        <f aca="false">Raw_Data!G3483</f>
        <v>yes</v>
      </c>
      <c r="I3483" s="3" t="str">
        <f aca="false">Raw_Data!H3483</f>
        <v>no</v>
      </c>
      <c r="J3483" s="2" t="n">
        <f aca="false">IF(F3483="yes",1,0)</f>
        <v>0</v>
      </c>
      <c r="K3483" s="2" t="n">
        <f aca="false">IF(H3483="yes",1,0)</f>
        <v>1</v>
      </c>
      <c r="L3483" s="2" t="n">
        <f aca="false">IF(I3483="yes",1,0)</f>
        <v>0</v>
      </c>
      <c r="M3483" s="2" t="n">
        <f aca="false">IF(G3483&lt;0,1,0)</f>
        <v>0</v>
      </c>
      <c r="N3483" s="2" t="str">
        <f aca="false">_xlfn.IFS(B3483&lt;30,"Under 30",B3483&lt;40,"30-39",B3483&lt;50,"40-49",B3483&lt;60,"50-59",TRUE(),"60+")</f>
        <v>40-49</v>
      </c>
      <c r="O3483" s="2" t="str">
        <f aca="false">_xlfn.IFS(G3483&lt;0,"1 Negative",G3483=0,"2 Zero",G3483&lt;=500,"3 1-500",G3483&lt;=2000,"4 501-2000",TRUE(),"5 Above 2000")</f>
        <v>2 Zero</v>
      </c>
      <c r="P3483" s="2" t="n">
        <f aca="false">Lookups!$B$2*M3483+Lookups!$B$3*L3483</f>
        <v>0</v>
      </c>
      <c r="Q3483" s="2" t="str">
        <f aca="false">INDEX(Lookups!$E$2:$E$5,MATCH(P3483,Lookups!$D$2:$D$5,0))</f>
        <v>Low</v>
      </c>
    </row>
    <row r="3484" customFormat="false" ht="15" hidden="false" customHeight="false" outlineLevel="0" collapsed="false">
      <c r="A3484" s="3" t="n">
        <v>3483</v>
      </c>
      <c r="B3484" s="3" t="n">
        <f aca="false">Raw_Data!A3484</f>
        <v>59</v>
      </c>
      <c r="C3484" s="3" t="str">
        <f aca="false">SUBSTITUTE(Raw_Data!B3484,".","")</f>
        <v>retired</v>
      </c>
      <c r="D3484" s="3" t="str">
        <f aca="false">Raw_Data!C3484</f>
        <v>married</v>
      </c>
      <c r="E3484" s="3" t="str">
        <f aca="false">Raw_Data!D3484</f>
        <v>secondary</v>
      </c>
      <c r="F3484" s="3" t="str">
        <f aca="false">Raw_Data!E3484</f>
        <v>no</v>
      </c>
      <c r="G3484" s="3" t="n">
        <f aca="false">Raw_Data!F3484</f>
        <v>5706</v>
      </c>
      <c r="H3484" s="3" t="str">
        <f aca="false">Raw_Data!G3484</f>
        <v>yes</v>
      </c>
      <c r="I3484" s="3" t="str">
        <f aca="false">Raw_Data!H3484</f>
        <v>no</v>
      </c>
      <c r="J3484" s="2" t="n">
        <f aca="false">IF(F3484="yes",1,0)</f>
        <v>0</v>
      </c>
      <c r="K3484" s="2" t="n">
        <f aca="false">IF(H3484="yes",1,0)</f>
        <v>1</v>
      </c>
      <c r="L3484" s="2" t="n">
        <f aca="false">IF(I3484="yes",1,0)</f>
        <v>0</v>
      </c>
      <c r="M3484" s="2" t="n">
        <f aca="false">IF(G3484&lt;0,1,0)</f>
        <v>0</v>
      </c>
      <c r="N3484" s="2" t="str">
        <f aca="false">_xlfn.IFS(B3484&lt;30,"Under 30",B3484&lt;40,"30-39",B3484&lt;50,"40-49",B3484&lt;60,"50-59",TRUE(),"60+")</f>
        <v>50-59</v>
      </c>
      <c r="O3484" s="2" t="str">
        <f aca="false">_xlfn.IFS(G3484&lt;0,"1 Negative",G3484=0,"2 Zero",G3484&lt;=500,"3 1-500",G3484&lt;=2000,"4 501-2000",TRUE(),"5 Above 2000")</f>
        <v>5 Above 2000</v>
      </c>
      <c r="P3484" s="2" t="n">
        <f aca="false">Lookups!$B$2*M3484+Lookups!$B$3*L3484</f>
        <v>0</v>
      </c>
      <c r="Q3484" s="2" t="str">
        <f aca="false">INDEX(Lookups!$E$2:$E$5,MATCH(P3484,Lookups!$D$2:$D$5,0))</f>
        <v>Low</v>
      </c>
    </row>
    <row r="3485" customFormat="false" ht="15" hidden="false" customHeight="false" outlineLevel="0" collapsed="false">
      <c r="A3485" s="3" t="n">
        <v>3484</v>
      </c>
      <c r="B3485" s="3" t="n">
        <f aca="false">Raw_Data!A3485</f>
        <v>40</v>
      </c>
      <c r="C3485" s="3" t="str">
        <f aca="false">SUBSTITUTE(Raw_Data!B3485,".","")</f>
        <v>management</v>
      </c>
      <c r="D3485" s="3" t="str">
        <f aca="false">Raw_Data!C3485</f>
        <v>married</v>
      </c>
      <c r="E3485" s="3" t="str">
        <f aca="false">Raw_Data!D3485</f>
        <v>tertiary</v>
      </c>
      <c r="F3485" s="3" t="str">
        <f aca="false">Raw_Data!E3485</f>
        <v>no</v>
      </c>
      <c r="G3485" s="3" t="n">
        <f aca="false">Raw_Data!F3485</f>
        <v>7780</v>
      </c>
      <c r="H3485" s="3" t="str">
        <f aca="false">Raw_Data!G3485</f>
        <v>no</v>
      </c>
      <c r="I3485" s="3" t="str">
        <f aca="false">Raw_Data!H3485</f>
        <v>no</v>
      </c>
      <c r="J3485" s="2" t="n">
        <f aca="false">IF(F3485="yes",1,0)</f>
        <v>0</v>
      </c>
      <c r="K3485" s="2" t="n">
        <f aca="false">IF(H3485="yes",1,0)</f>
        <v>0</v>
      </c>
      <c r="L3485" s="2" t="n">
        <f aca="false">IF(I3485="yes",1,0)</f>
        <v>0</v>
      </c>
      <c r="M3485" s="2" t="n">
        <f aca="false">IF(G3485&lt;0,1,0)</f>
        <v>0</v>
      </c>
      <c r="N3485" s="2" t="str">
        <f aca="false">_xlfn.IFS(B3485&lt;30,"Under 30",B3485&lt;40,"30-39",B3485&lt;50,"40-49",B3485&lt;60,"50-59",TRUE(),"60+")</f>
        <v>40-49</v>
      </c>
      <c r="O3485" s="2" t="str">
        <f aca="false">_xlfn.IFS(G3485&lt;0,"1 Negative",G3485=0,"2 Zero",G3485&lt;=500,"3 1-500",G3485&lt;=2000,"4 501-2000",TRUE(),"5 Above 2000")</f>
        <v>5 Above 2000</v>
      </c>
      <c r="P3485" s="2" t="n">
        <f aca="false">Lookups!$B$2*M3485+Lookups!$B$3*L3485</f>
        <v>0</v>
      </c>
      <c r="Q3485" s="2" t="str">
        <f aca="false">INDEX(Lookups!$E$2:$E$5,MATCH(P3485,Lookups!$D$2:$D$5,0))</f>
        <v>Low</v>
      </c>
    </row>
    <row r="3486" customFormat="false" ht="15" hidden="false" customHeight="false" outlineLevel="0" collapsed="false">
      <c r="A3486" s="3" t="n">
        <v>3485</v>
      </c>
      <c r="B3486" s="3" t="n">
        <f aca="false">Raw_Data!A3486</f>
        <v>30</v>
      </c>
      <c r="C3486" s="3" t="str">
        <f aca="false">SUBSTITUTE(Raw_Data!B3486,".","")</f>
        <v>management</v>
      </c>
      <c r="D3486" s="3" t="str">
        <f aca="false">Raw_Data!C3486</f>
        <v>married</v>
      </c>
      <c r="E3486" s="3" t="str">
        <f aca="false">Raw_Data!D3486</f>
        <v>secondary</v>
      </c>
      <c r="F3486" s="3" t="str">
        <f aca="false">Raw_Data!E3486</f>
        <v>no</v>
      </c>
      <c r="G3486" s="3" t="n">
        <f aca="false">Raw_Data!F3486</f>
        <v>-559</v>
      </c>
      <c r="H3486" s="3" t="str">
        <f aca="false">Raw_Data!G3486</f>
        <v>yes</v>
      </c>
      <c r="I3486" s="3" t="str">
        <f aca="false">Raw_Data!H3486</f>
        <v>yes</v>
      </c>
      <c r="J3486" s="2" t="n">
        <f aca="false">IF(F3486="yes",1,0)</f>
        <v>0</v>
      </c>
      <c r="K3486" s="2" t="n">
        <f aca="false">IF(H3486="yes",1,0)</f>
        <v>1</v>
      </c>
      <c r="L3486" s="2" t="n">
        <f aca="false">IF(I3486="yes",1,0)</f>
        <v>1</v>
      </c>
      <c r="M3486" s="2" t="n">
        <f aca="false">IF(G3486&lt;0,1,0)</f>
        <v>1</v>
      </c>
      <c r="N3486" s="2" t="str">
        <f aca="false">_xlfn.IFS(B3486&lt;30,"Under 30",B3486&lt;40,"30-39",B3486&lt;50,"40-49",B3486&lt;60,"50-59",TRUE(),"60+")</f>
        <v>30-39</v>
      </c>
      <c r="O3486" s="2" t="str">
        <f aca="false">_xlfn.IFS(G3486&lt;0,"1 Negative",G3486=0,"2 Zero",G3486&lt;=500,"3 1-500",G3486&lt;=2000,"4 501-2000",TRUE(),"5 Above 2000")</f>
        <v>1 Negative</v>
      </c>
      <c r="P3486" s="2" t="n">
        <f aca="false">Lookups!$B$2*M3486+Lookups!$B$3*L3486</f>
        <v>3</v>
      </c>
      <c r="Q3486" s="2" t="str">
        <f aca="false">INDEX(Lookups!$E$2:$E$5,MATCH(P3486,Lookups!$D$2:$D$5,0))</f>
        <v>High</v>
      </c>
    </row>
    <row r="3487" customFormat="false" ht="15" hidden="false" customHeight="false" outlineLevel="0" collapsed="false">
      <c r="A3487" s="3" t="n">
        <v>3486</v>
      </c>
      <c r="B3487" s="3" t="n">
        <f aca="false">Raw_Data!A3487</f>
        <v>25</v>
      </c>
      <c r="C3487" s="3" t="str">
        <f aca="false">SUBSTITUTE(Raw_Data!B3487,".","")</f>
        <v>entrepreneur</v>
      </c>
      <c r="D3487" s="3" t="str">
        <f aca="false">Raw_Data!C3487</f>
        <v>single</v>
      </c>
      <c r="E3487" s="3" t="str">
        <f aca="false">Raw_Data!D3487</f>
        <v>tertiary</v>
      </c>
      <c r="F3487" s="3" t="str">
        <f aca="false">Raw_Data!E3487</f>
        <v>no</v>
      </c>
      <c r="G3487" s="3" t="n">
        <f aca="false">Raw_Data!F3487</f>
        <v>16874</v>
      </c>
      <c r="H3487" s="3" t="str">
        <f aca="false">Raw_Data!G3487</f>
        <v>yes</v>
      </c>
      <c r="I3487" s="3" t="str">
        <f aca="false">Raw_Data!H3487</f>
        <v>yes</v>
      </c>
      <c r="J3487" s="2" t="n">
        <f aca="false">IF(F3487="yes",1,0)</f>
        <v>0</v>
      </c>
      <c r="K3487" s="2" t="n">
        <f aca="false">IF(H3487="yes",1,0)</f>
        <v>1</v>
      </c>
      <c r="L3487" s="2" t="n">
        <f aca="false">IF(I3487="yes",1,0)</f>
        <v>1</v>
      </c>
      <c r="M3487" s="2" t="n">
        <f aca="false">IF(G3487&lt;0,1,0)</f>
        <v>0</v>
      </c>
      <c r="N3487" s="2" t="str">
        <f aca="false">_xlfn.IFS(B3487&lt;30,"Under 30",B3487&lt;40,"30-39",B3487&lt;50,"40-49",B3487&lt;60,"50-59",TRUE(),"60+")</f>
        <v>Under 30</v>
      </c>
      <c r="O3487" s="2" t="str">
        <f aca="false">_xlfn.IFS(G3487&lt;0,"1 Negative",G3487=0,"2 Zero",G3487&lt;=500,"3 1-500",G3487&lt;=2000,"4 501-2000",TRUE(),"5 Above 2000")</f>
        <v>5 Above 2000</v>
      </c>
      <c r="P3487" s="2" t="n">
        <f aca="false">Lookups!$B$2*M3487+Lookups!$B$3*L3487</f>
        <v>1</v>
      </c>
      <c r="Q3487" s="2" t="str">
        <f aca="false">INDEX(Lookups!$E$2:$E$5,MATCH(P3487,Lookups!$D$2:$D$5,0))</f>
        <v>Medium</v>
      </c>
    </row>
    <row r="3488" customFormat="false" ht="15" hidden="false" customHeight="false" outlineLevel="0" collapsed="false">
      <c r="A3488" s="3" t="n">
        <v>3487</v>
      </c>
      <c r="B3488" s="3" t="n">
        <f aca="false">Raw_Data!A3488</f>
        <v>58</v>
      </c>
      <c r="C3488" s="3" t="str">
        <f aca="false">SUBSTITUTE(Raw_Data!B3488,".","")</f>
        <v>retired</v>
      </c>
      <c r="D3488" s="3" t="str">
        <f aca="false">Raw_Data!C3488</f>
        <v>married</v>
      </c>
      <c r="E3488" s="3" t="str">
        <f aca="false">Raw_Data!D3488</f>
        <v>primary</v>
      </c>
      <c r="F3488" s="3" t="str">
        <f aca="false">Raw_Data!E3488</f>
        <v>no</v>
      </c>
      <c r="G3488" s="3" t="n">
        <f aca="false">Raw_Data!F3488</f>
        <v>1987</v>
      </c>
      <c r="H3488" s="3" t="str">
        <f aca="false">Raw_Data!G3488</f>
        <v>no</v>
      </c>
      <c r="I3488" s="3" t="str">
        <f aca="false">Raw_Data!H3488</f>
        <v>no</v>
      </c>
      <c r="J3488" s="2" t="n">
        <f aca="false">IF(F3488="yes",1,0)</f>
        <v>0</v>
      </c>
      <c r="K3488" s="2" t="n">
        <f aca="false">IF(H3488="yes",1,0)</f>
        <v>0</v>
      </c>
      <c r="L3488" s="2" t="n">
        <f aca="false">IF(I3488="yes",1,0)</f>
        <v>0</v>
      </c>
      <c r="M3488" s="2" t="n">
        <f aca="false">IF(G3488&lt;0,1,0)</f>
        <v>0</v>
      </c>
      <c r="N3488" s="2" t="str">
        <f aca="false">_xlfn.IFS(B3488&lt;30,"Under 30",B3488&lt;40,"30-39",B3488&lt;50,"40-49",B3488&lt;60,"50-59",TRUE(),"60+")</f>
        <v>50-59</v>
      </c>
      <c r="O3488" s="2" t="str">
        <f aca="false">_xlfn.IFS(G3488&lt;0,"1 Negative",G3488=0,"2 Zero",G3488&lt;=500,"3 1-500",G3488&lt;=2000,"4 501-2000",TRUE(),"5 Above 2000")</f>
        <v>4 501-2000</v>
      </c>
      <c r="P3488" s="2" t="n">
        <f aca="false">Lookups!$B$2*M3488+Lookups!$B$3*L3488</f>
        <v>0</v>
      </c>
      <c r="Q3488" s="2" t="str">
        <f aca="false">INDEX(Lookups!$E$2:$E$5,MATCH(P3488,Lookups!$D$2:$D$5,0))</f>
        <v>Low</v>
      </c>
    </row>
    <row r="3489" customFormat="false" ht="15" hidden="false" customHeight="false" outlineLevel="0" collapsed="false">
      <c r="A3489" s="3" t="n">
        <v>3488</v>
      </c>
      <c r="B3489" s="3" t="n">
        <f aca="false">Raw_Data!A3489</f>
        <v>39</v>
      </c>
      <c r="C3489" s="3" t="str">
        <f aca="false">SUBSTITUTE(Raw_Data!B3489,".","")</f>
        <v>entrepreneur</v>
      </c>
      <c r="D3489" s="3" t="str">
        <f aca="false">Raw_Data!C3489</f>
        <v>married</v>
      </c>
      <c r="E3489" s="3" t="str">
        <f aca="false">Raw_Data!D3489</f>
        <v>unknown</v>
      </c>
      <c r="F3489" s="3" t="str">
        <f aca="false">Raw_Data!E3489</f>
        <v>no</v>
      </c>
      <c r="G3489" s="3" t="n">
        <f aca="false">Raw_Data!F3489</f>
        <v>98</v>
      </c>
      <c r="H3489" s="3" t="str">
        <f aca="false">Raw_Data!G3489</f>
        <v>yes</v>
      </c>
      <c r="I3489" s="3" t="str">
        <f aca="false">Raw_Data!H3489</f>
        <v>no</v>
      </c>
      <c r="J3489" s="2" t="n">
        <f aca="false">IF(F3489="yes",1,0)</f>
        <v>0</v>
      </c>
      <c r="K3489" s="2" t="n">
        <f aca="false">IF(H3489="yes",1,0)</f>
        <v>1</v>
      </c>
      <c r="L3489" s="2" t="n">
        <f aca="false">IF(I3489="yes",1,0)</f>
        <v>0</v>
      </c>
      <c r="M3489" s="2" t="n">
        <f aca="false">IF(G3489&lt;0,1,0)</f>
        <v>0</v>
      </c>
      <c r="N3489" s="2" t="str">
        <f aca="false">_xlfn.IFS(B3489&lt;30,"Under 30",B3489&lt;40,"30-39",B3489&lt;50,"40-49",B3489&lt;60,"50-59",TRUE(),"60+")</f>
        <v>30-39</v>
      </c>
      <c r="O3489" s="2" t="str">
        <f aca="false">_xlfn.IFS(G3489&lt;0,"1 Negative",G3489=0,"2 Zero",G3489&lt;=500,"3 1-500",G3489&lt;=2000,"4 501-2000",TRUE(),"5 Above 2000")</f>
        <v>3 1-500</v>
      </c>
      <c r="P3489" s="2" t="n">
        <f aca="false">Lookups!$B$2*M3489+Lookups!$B$3*L3489</f>
        <v>0</v>
      </c>
      <c r="Q3489" s="2" t="str">
        <f aca="false">INDEX(Lookups!$E$2:$E$5,MATCH(P3489,Lookups!$D$2:$D$5,0))</f>
        <v>Low</v>
      </c>
    </row>
    <row r="3490" customFormat="false" ht="15" hidden="false" customHeight="false" outlineLevel="0" collapsed="false">
      <c r="A3490" s="3" t="n">
        <v>3489</v>
      </c>
      <c r="B3490" s="3" t="n">
        <f aca="false">Raw_Data!A3490</f>
        <v>40</v>
      </c>
      <c r="C3490" s="3" t="str">
        <f aca="false">SUBSTITUTE(Raw_Data!B3490,".","")</f>
        <v>self-employed</v>
      </c>
      <c r="D3490" s="3" t="str">
        <f aca="false">Raw_Data!C3490</f>
        <v>married</v>
      </c>
      <c r="E3490" s="3" t="str">
        <f aca="false">Raw_Data!D3490</f>
        <v>tertiary</v>
      </c>
      <c r="F3490" s="3" t="str">
        <f aca="false">Raw_Data!E3490</f>
        <v>no</v>
      </c>
      <c r="G3490" s="3" t="n">
        <f aca="false">Raw_Data!F3490</f>
        <v>642</v>
      </c>
      <c r="H3490" s="3" t="str">
        <f aca="false">Raw_Data!G3490</f>
        <v>no</v>
      </c>
      <c r="I3490" s="3" t="str">
        <f aca="false">Raw_Data!H3490</f>
        <v>no</v>
      </c>
      <c r="J3490" s="2" t="n">
        <f aca="false">IF(F3490="yes",1,0)</f>
        <v>0</v>
      </c>
      <c r="K3490" s="2" t="n">
        <f aca="false">IF(H3490="yes",1,0)</f>
        <v>0</v>
      </c>
      <c r="L3490" s="2" t="n">
        <f aca="false">IF(I3490="yes",1,0)</f>
        <v>0</v>
      </c>
      <c r="M3490" s="2" t="n">
        <f aca="false">IF(G3490&lt;0,1,0)</f>
        <v>0</v>
      </c>
      <c r="N3490" s="2" t="str">
        <f aca="false">_xlfn.IFS(B3490&lt;30,"Under 30",B3490&lt;40,"30-39",B3490&lt;50,"40-49",B3490&lt;60,"50-59",TRUE(),"60+")</f>
        <v>40-49</v>
      </c>
      <c r="O3490" s="2" t="str">
        <f aca="false">_xlfn.IFS(G3490&lt;0,"1 Negative",G3490=0,"2 Zero",G3490&lt;=500,"3 1-500",G3490&lt;=2000,"4 501-2000",TRUE(),"5 Above 2000")</f>
        <v>4 501-2000</v>
      </c>
      <c r="P3490" s="2" t="n">
        <f aca="false">Lookups!$B$2*M3490+Lookups!$B$3*L3490</f>
        <v>0</v>
      </c>
      <c r="Q3490" s="2" t="str">
        <f aca="false">INDEX(Lookups!$E$2:$E$5,MATCH(P3490,Lookups!$D$2:$D$5,0))</f>
        <v>Low</v>
      </c>
    </row>
    <row r="3491" customFormat="false" ht="15" hidden="false" customHeight="false" outlineLevel="0" collapsed="false">
      <c r="A3491" s="3" t="n">
        <v>3490</v>
      </c>
      <c r="B3491" s="3" t="n">
        <f aca="false">Raw_Data!A3491</f>
        <v>38</v>
      </c>
      <c r="C3491" s="3" t="str">
        <f aca="false">SUBSTITUTE(Raw_Data!B3491,".","")</f>
        <v>blue-collar</v>
      </c>
      <c r="D3491" s="3" t="str">
        <f aca="false">Raw_Data!C3491</f>
        <v>married</v>
      </c>
      <c r="E3491" s="3" t="str">
        <f aca="false">Raw_Data!D3491</f>
        <v>secondary</v>
      </c>
      <c r="F3491" s="3" t="str">
        <f aca="false">Raw_Data!E3491</f>
        <v>no</v>
      </c>
      <c r="G3491" s="3" t="n">
        <f aca="false">Raw_Data!F3491</f>
        <v>526</v>
      </c>
      <c r="H3491" s="3" t="str">
        <f aca="false">Raw_Data!G3491</f>
        <v>yes</v>
      </c>
      <c r="I3491" s="3" t="str">
        <f aca="false">Raw_Data!H3491</f>
        <v>yes</v>
      </c>
      <c r="J3491" s="2" t="n">
        <f aca="false">IF(F3491="yes",1,0)</f>
        <v>0</v>
      </c>
      <c r="K3491" s="2" t="n">
        <f aca="false">IF(H3491="yes",1,0)</f>
        <v>1</v>
      </c>
      <c r="L3491" s="2" t="n">
        <f aca="false">IF(I3491="yes",1,0)</f>
        <v>1</v>
      </c>
      <c r="M3491" s="2" t="n">
        <f aca="false">IF(G3491&lt;0,1,0)</f>
        <v>0</v>
      </c>
      <c r="N3491" s="2" t="str">
        <f aca="false">_xlfn.IFS(B3491&lt;30,"Under 30",B3491&lt;40,"30-39",B3491&lt;50,"40-49",B3491&lt;60,"50-59",TRUE(),"60+")</f>
        <v>30-39</v>
      </c>
      <c r="O3491" s="2" t="str">
        <f aca="false">_xlfn.IFS(G3491&lt;0,"1 Negative",G3491=0,"2 Zero",G3491&lt;=500,"3 1-500",G3491&lt;=2000,"4 501-2000",TRUE(),"5 Above 2000")</f>
        <v>4 501-2000</v>
      </c>
      <c r="P3491" s="2" t="n">
        <f aca="false">Lookups!$B$2*M3491+Lookups!$B$3*L3491</f>
        <v>1</v>
      </c>
      <c r="Q3491" s="2" t="str">
        <f aca="false">INDEX(Lookups!$E$2:$E$5,MATCH(P3491,Lookups!$D$2:$D$5,0))</f>
        <v>Medium</v>
      </c>
    </row>
    <row r="3492" customFormat="false" ht="15" hidden="false" customHeight="false" outlineLevel="0" collapsed="false">
      <c r="A3492" s="3" t="n">
        <v>3491</v>
      </c>
      <c r="B3492" s="3" t="n">
        <f aca="false">Raw_Data!A3492</f>
        <v>66</v>
      </c>
      <c r="C3492" s="3" t="str">
        <f aca="false">SUBSTITUTE(Raw_Data!B3492,".","")</f>
        <v>management</v>
      </c>
      <c r="D3492" s="3" t="str">
        <f aca="false">Raw_Data!C3492</f>
        <v>single</v>
      </c>
      <c r="E3492" s="3" t="str">
        <f aca="false">Raw_Data!D3492</f>
        <v>tertiary</v>
      </c>
      <c r="F3492" s="3" t="str">
        <f aca="false">Raw_Data!E3492</f>
        <v>no</v>
      </c>
      <c r="G3492" s="3" t="n">
        <f aca="false">Raw_Data!F3492</f>
        <v>6483</v>
      </c>
      <c r="H3492" s="3" t="str">
        <f aca="false">Raw_Data!G3492</f>
        <v>no</v>
      </c>
      <c r="I3492" s="3" t="str">
        <f aca="false">Raw_Data!H3492</f>
        <v>no</v>
      </c>
      <c r="J3492" s="2" t="n">
        <f aca="false">IF(F3492="yes",1,0)</f>
        <v>0</v>
      </c>
      <c r="K3492" s="2" t="n">
        <f aca="false">IF(H3492="yes",1,0)</f>
        <v>0</v>
      </c>
      <c r="L3492" s="2" t="n">
        <f aca="false">IF(I3492="yes",1,0)</f>
        <v>0</v>
      </c>
      <c r="M3492" s="2" t="n">
        <f aca="false">IF(G3492&lt;0,1,0)</f>
        <v>0</v>
      </c>
      <c r="N3492" s="2" t="str">
        <f aca="false">_xlfn.IFS(B3492&lt;30,"Under 30",B3492&lt;40,"30-39",B3492&lt;50,"40-49",B3492&lt;60,"50-59",TRUE(),"60+")</f>
        <v>60+</v>
      </c>
      <c r="O3492" s="2" t="str">
        <f aca="false">_xlfn.IFS(G3492&lt;0,"1 Negative",G3492=0,"2 Zero",G3492&lt;=500,"3 1-500",G3492&lt;=2000,"4 501-2000",TRUE(),"5 Above 2000")</f>
        <v>5 Above 2000</v>
      </c>
      <c r="P3492" s="2" t="n">
        <f aca="false">Lookups!$B$2*M3492+Lookups!$B$3*L3492</f>
        <v>0</v>
      </c>
      <c r="Q3492" s="2" t="str">
        <f aca="false">INDEX(Lookups!$E$2:$E$5,MATCH(P3492,Lookups!$D$2:$D$5,0))</f>
        <v>Low</v>
      </c>
    </row>
    <row r="3493" customFormat="false" ht="15" hidden="false" customHeight="false" outlineLevel="0" collapsed="false">
      <c r="A3493" s="3" t="n">
        <v>3492</v>
      </c>
      <c r="B3493" s="3" t="n">
        <f aca="false">Raw_Data!A3493</f>
        <v>47</v>
      </c>
      <c r="C3493" s="3" t="str">
        <f aca="false">SUBSTITUTE(Raw_Data!B3493,".","")</f>
        <v>management</v>
      </c>
      <c r="D3493" s="3" t="str">
        <f aca="false">Raw_Data!C3493</f>
        <v>married</v>
      </c>
      <c r="E3493" s="3" t="str">
        <f aca="false">Raw_Data!D3493</f>
        <v>tertiary</v>
      </c>
      <c r="F3493" s="3" t="str">
        <f aca="false">Raw_Data!E3493</f>
        <v>no</v>
      </c>
      <c r="G3493" s="3" t="n">
        <f aca="false">Raw_Data!F3493</f>
        <v>2306</v>
      </c>
      <c r="H3493" s="3" t="str">
        <f aca="false">Raw_Data!G3493</f>
        <v>no</v>
      </c>
      <c r="I3493" s="3" t="str">
        <f aca="false">Raw_Data!H3493</f>
        <v>no</v>
      </c>
      <c r="J3493" s="2" t="n">
        <f aca="false">IF(F3493="yes",1,0)</f>
        <v>0</v>
      </c>
      <c r="K3493" s="2" t="n">
        <f aca="false">IF(H3493="yes",1,0)</f>
        <v>0</v>
      </c>
      <c r="L3493" s="2" t="n">
        <f aca="false">IF(I3493="yes",1,0)</f>
        <v>0</v>
      </c>
      <c r="M3493" s="2" t="n">
        <f aca="false">IF(G3493&lt;0,1,0)</f>
        <v>0</v>
      </c>
      <c r="N3493" s="2" t="str">
        <f aca="false">_xlfn.IFS(B3493&lt;30,"Under 30",B3493&lt;40,"30-39",B3493&lt;50,"40-49",B3493&lt;60,"50-59",TRUE(),"60+")</f>
        <v>40-49</v>
      </c>
      <c r="O3493" s="2" t="str">
        <f aca="false">_xlfn.IFS(G3493&lt;0,"1 Negative",G3493=0,"2 Zero",G3493&lt;=500,"3 1-500",G3493&lt;=2000,"4 501-2000",TRUE(),"5 Above 2000")</f>
        <v>5 Above 2000</v>
      </c>
      <c r="P3493" s="2" t="n">
        <f aca="false">Lookups!$B$2*M3493+Lookups!$B$3*L3493</f>
        <v>0</v>
      </c>
      <c r="Q3493" s="2" t="str">
        <f aca="false">INDEX(Lookups!$E$2:$E$5,MATCH(P3493,Lookups!$D$2:$D$5,0))</f>
        <v>Low</v>
      </c>
    </row>
    <row r="3494" customFormat="false" ht="15" hidden="false" customHeight="false" outlineLevel="0" collapsed="false">
      <c r="A3494" s="3" t="n">
        <v>3493</v>
      </c>
      <c r="B3494" s="3" t="n">
        <f aca="false">Raw_Data!A3494</f>
        <v>37</v>
      </c>
      <c r="C3494" s="3" t="str">
        <f aca="false">SUBSTITUTE(Raw_Data!B3494,".","")</f>
        <v>blue-collar</v>
      </c>
      <c r="D3494" s="3" t="str">
        <f aca="false">Raw_Data!C3494</f>
        <v>married</v>
      </c>
      <c r="E3494" s="3" t="str">
        <f aca="false">Raw_Data!D3494</f>
        <v>secondary</v>
      </c>
      <c r="F3494" s="3" t="str">
        <f aca="false">Raw_Data!E3494</f>
        <v>no</v>
      </c>
      <c r="G3494" s="3" t="n">
        <f aca="false">Raw_Data!F3494</f>
        <v>954</v>
      </c>
      <c r="H3494" s="3" t="str">
        <f aca="false">Raw_Data!G3494</f>
        <v>yes</v>
      </c>
      <c r="I3494" s="3" t="str">
        <f aca="false">Raw_Data!H3494</f>
        <v>no</v>
      </c>
      <c r="J3494" s="2" t="n">
        <f aca="false">IF(F3494="yes",1,0)</f>
        <v>0</v>
      </c>
      <c r="K3494" s="2" t="n">
        <f aca="false">IF(H3494="yes",1,0)</f>
        <v>1</v>
      </c>
      <c r="L3494" s="2" t="n">
        <f aca="false">IF(I3494="yes",1,0)</f>
        <v>0</v>
      </c>
      <c r="M3494" s="2" t="n">
        <f aca="false">IF(G3494&lt;0,1,0)</f>
        <v>0</v>
      </c>
      <c r="N3494" s="2" t="str">
        <f aca="false">_xlfn.IFS(B3494&lt;30,"Under 30",B3494&lt;40,"30-39",B3494&lt;50,"40-49",B3494&lt;60,"50-59",TRUE(),"60+")</f>
        <v>30-39</v>
      </c>
      <c r="O3494" s="2" t="str">
        <f aca="false">_xlfn.IFS(G3494&lt;0,"1 Negative",G3494=0,"2 Zero",G3494&lt;=500,"3 1-500",G3494&lt;=2000,"4 501-2000",TRUE(),"5 Above 2000")</f>
        <v>4 501-2000</v>
      </c>
      <c r="P3494" s="2" t="n">
        <f aca="false">Lookups!$B$2*M3494+Lookups!$B$3*L3494</f>
        <v>0</v>
      </c>
      <c r="Q3494" s="2" t="str">
        <f aca="false">INDEX(Lookups!$E$2:$E$5,MATCH(P3494,Lookups!$D$2:$D$5,0))</f>
        <v>Low</v>
      </c>
    </row>
    <row r="3495" customFormat="false" ht="15" hidden="false" customHeight="false" outlineLevel="0" collapsed="false">
      <c r="A3495" s="3" t="n">
        <v>3494</v>
      </c>
      <c r="B3495" s="3" t="n">
        <f aca="false">Raw_Data!A3495</f>
        <v>36</v>
      </c>
      <c r="C3495" s="3" t="str">
        <f aca="false">SUBSTITUTE(Raw_Data!B3495,".","")</f>
        <v>management</v>
      </c>
      <c r="D3495" s="3" t="str">
        <f aca="false">Raw_Data!C3495</f>
        <v>single</v>
      </c>
      <c r="E3495" s="3" t="str">
        <f aca="false">Raw_Data!D3495</f>
        <v>tertiary</v>
      </c>
      <c r="F3495" s="3" t="str">
        <f aca="false">Raw_Data!E3495</f>
        <v>no</v>
      </c>
      <c r="G3495" s="3" t="n">
        <f aca="false">Raw_Data!F3495</f>
        <v>-679</v>
      </c>
      <c r="H3495" s="3" t="str">
        <f aca="false">Raw_Data!G3495</f>
        <v>yes</v>
      </c>
      <c r="I3495" s="3" t="str">
        <f aca="false">Raw_Data!H3495</f>
        <v>yes</v>
      </c>
      <c r="J3495" s="2" t="n">
        <f aca="false">IF(F3495="yes",1,0)</f>
        <v>0</v>
      </c>
      <c r="K3495" s="2" t="n">
        <f aca="false">IF(H3495="yes",1,0)</f>
        <v>1</v>
      </c>
      <c r="L3495" s="2" t="n">
        <f aca="false">IF(I3495="yes",1,0)</f>
        <v>1</v>
      </c>
      <c r="M3495" s="2" t="n">
        <f aca="false">IF(G3495&lt;0,1,0)</f>
        <v>1</v>
      </c>
      <c r="N3495" s="2" t="str">
        <f aca="false">_xlfn.IFS(B3495&lt;30,"Under 30",B3495&lt;40,"30-39",B3495&lt;50,"40-49",B3495&lt;60,"50-59",TRUE(),"60+")</f>
        <v>30-39</v>
      </c>
      <c r="O3495" s="2" t="str">
        <f aca="false">_xlfn.IFS(G3495&lt;0,"1 Negative",G3495=0,"2 Zero",G3495&lt;=500,"3 1-500",G3495&lt;=2000,"4 501-2000",TRUE(),"5 Above 2000")</f>
        <v>1 Negative</v>
      </c>
      <c r="P3495" s="2" t="n">
        <f aca="false">Lookups!$B$2*M3495+Lookups!$B$3*L3495</f>
        <v>3</v>
      </c>
      <c r="Q3495" s="2" t="str">
        <f aca="false">INDEX(Lookups!$E$2:$E$5,MATCH(P3495,Lookups!$D$2:$D$5,0))</f>
        <v>High</v>
      </c>
    </row>
    <row r="3496" customFormat="false" ht="15" hidden="false" customHeight="false" outlineLevel="0" collapsed="false">
      <c r="A3496" s="3" t="n">
        <v>3495</v>
      </c>
      <c r="B3496" s="3" t="n">
        <f aca="false">Raw_Data!A3496</f>
        <v>50</v>
      </c>
      <c r="C3496" s="3" t="str">
        <f aca="false">SUBSTITUTE(Raw_Data!B3496,".","")</f>
        <v>blue-collar</v>
      </c>
      <c r="D3496" s="3" t="str">
        <f aca="false">Raw_Data!C3496</f>
        <v>married</v>
      </c>
      <c r="E3496" s="3" t="str">
        <f aca="false">Raw_Data!D3496</f>
        <v>primary</v>
      </c>
      <c r="F3496" s="3" t="str">
        <f aca="false">Raw_Data!E3496</f>
        <v>no</v>
      </c>
      <c r="G3496" s="3" t="n">
        <f aca="false">Raw_Data!F3496</f>
        <v>-1</v>
      </c>
      <c r="H3496" s="3" t="str">
        <f aca="false">Raw_Data!G3496</f>
        <v>no</v>
      </c>
      <c r="I3496" s="3" t="str">
        <f aca="false">Raw_Data!H3496</f>
        <v>no</v>
      </c>
      <c r="J3496" s="2" t="n">
        <f aca="false">IF(F3496="yes",1,0)</f>
        <v>0</v>
      </c>
      <c r="K3496" s="2" t="n">
        <f aca="false">IF(H3496="yes",1,0)</f>
        <v>0</v>
      </c>
      <c r="L3496" s="2" t="n">
        <f aca="false">IF(I3496="yes",1,0)</f>
        <v>0</v>
      </c>
      <c r="M3496" s="2" t="n">
        <f aca="false">IF(G3496&lt;0,1,0)</f>
        <v>1</v>
      </c>
      <c r="N3496" s="2" t="str">
        <f aca="false">_xlfn.IFS(B3496&lt;30,"Under 30",B3496&lt;40,"30-39",B3496&lt;50,"40-49",B3496&lt;60,"50-59",TRUE(),"60+")</f>
        <v>50-59</v>
      </c>
      <c r="O3496" s="2" t="str">
        <f aca="false">_xlfn.IFS(G3496&lt;0,"1 Negative",G3496=0,"2 Zero",G3496&lt;=500,"3 1-500",G3496&lt;=2000,"4 501-2000",TRUE(),"5 Above 2000")</f>
        <v>1 Negative</v>
      </c>
      <c r="P3496" s="2" t="n">
        <f aca="false">Lookups!$B$2*M3496+Lookups!$B$3*L3496</f>
        <v>2</v>
      </c>
      <c r="Q3496" s="2" t="str">
        <f aca="false">INDEX(Lookups!$E$2:$E$5,MATCH(P3496,Lookups!$D$2:$D$5,0))</f>
        <v>High</v>
      </c>
    </row>
    <row r="3497" customFormat="false" ht="15" hidden="false" customHeight="false" outlineLevel="0" collapsed="false">
      <c r="A3497" s="3" t="n">
        <v>3496</v>
      </c>
      <c r="B3497" s="3" t="n">
        <f aca="false">Raw_Data!A3497</f>
        <v>76</v>
      </c>
      <c r="C3497" s="3" t="str">
        <f aca="false">SUBSTITUTE(Raw_Data!B3497,".","")</f>
        <v>retired</v>
      </c>
      <c r="D3497" s="3" t="str">
        <f aca="false">Raw_Data!C3497</f>
        <v>married</v>
      </c>
      <c r="E3497" s="3" t="str">
        <f aca="false">Raw_Data!D3497</f>
        <v>primary</v>
      </c>
      <c r="F3497" s="3" t="str">
        <f aca="false">Raw_Data!E3497</f>
        <v>no</v>
      </c>
      <c r="G3497" s="3" t="n">
        <f aca="false">Raw_Data!F3497</f>
        <v>2590</v>
      </c>
      <c r="H3497" s="3" t="str">
        <f aca="false">Raw_Data!G3497</f>
        <v>no</v>
      </c>
      <c r="I3497" s="3" t="str">
        <f aca="false">Raw_Data!H3497</f>
        <v>no</v>
      </c>
      <c r="J3497" s="2" t="n">
        <f aca="false">IF(F3497="yes",1,0)</f>
        <v>0</v>
      </c>
      <c r="K3497" s="2" t="n">
        <f aca="false">IF(H3497="yes",1,0)</f>
        <v>0</v>
      </c>
      <c r="L3497" s="2" t="n">
        <f aca="false">IF(I3497="yes",1,0)</f>
        <v>0</v>
      </c>
      <c r="M3497" s="2" t="n">
        <f aca="false">IF(G3497&lt;0,1,0)</f>
        <v>0</v>
      </c>
      <c r="N3497" s="2" t="str">
        <f aca="false">_xlfn.IFS(B3497&lt;30,"Under 30",B3497&lt;40,"30-39",B3497&lt;50,"40-49",B3497&lt;60,"50-59",TRUE(),"60+")</f>
        <v>60+</v>
      </c>
      <c r="O3497" s="2" t="str">
        <f aca="false">_xlfn.IFS(G3497&lt;0,"1 Negative",G3497=0,"2 Zero",G3497&lt;=500,"3 1-500",G3497&lt;=2000,"4 501-2000",TRUE(),"5 Above 2000")</f>
        <v>5 Above 2000</v>
      </c>
      <c r="P3497" s="2" t="n">
        <f aca="false">Lookups!$B$2*M3497+Lookups!$B$3*L3497</f>
        <v>0</v>
      </c>
      <c r="Q3497" s="2" t="str">
        <f aca="false">INDEX(Lookups!$E$2:$E$5,MATCH(P3497,Lookups!$D$2:$D$5,0))</f>
        <v>Low</v>
      </c>
    </row>
    <row r="3498" customFormat="false" ht="15" hidden="false" customHeight="false" outlineLevel="0" collapsed="false">
      <c r="A3498" s="3" t="n">
        <v>3497</v>
      </c>
      <c r="B3498" s="3" t="n">
        <f aca="false">Raw_Data!A3498</f>
        <v>58</v>
      </c>
      <c r="C3498" s="3" t="str">
        <f aca="false">SUBSTITUTE(Raw_Data!B3498,".","")</f>
        <v>management</v>
      </c>
      <c r="D3498" s="3" t="str">
        <f aca="false">Raw_Data!C3498</f>
        <v>single</v>
      </c>
      <c r="E3498" s="3" t="str">
        <f aca="false">Raw_Data!D3498</f>
        <v>tertiary</v>
      </c>
      <c r="F3498" s="3" t="str">
        <f aca="false">Raw_Data!E3498</f>
        <v>no</v>
      </c>
      <c r="G3498" s="3" t="n">
        <f aca="false">Raw_Data!F3498</f>
        <v>331</v>
      </c>
      <c r="H3498" s="3" t="str">
        <f aca="false">Raw_Data!G3498</f>
        <v>no</v>
      </c>
      <c r="I3498" s="3" t="str">
        <f aca="false">Raw_Data!H3498</f>
        <v>yes</v>
      </c>
      <c r="J3498" s="2" t="n">
        <f aca="false">IF(F3498="yes",1,0)</f>
        <v>0</v>
      </c>
      <c r="K3498" s="2" t="n">
        <f aca="false">IF(H3498="yes",1,0)</f>
        <v>0</v>
      </c>
      <c r="L3498" s="2" t="n">
        <f aca="false">IF(I3498="yes",1,0)</f>
        <v>1</v>
      </c>
      <c r="M3498" s="2" t="n">
        <f aca="false">IF(G3498&lt;0,1,0)</f>
        <v>0</v>
      </c>
      <c r="N3498" s="2" t="str">
        <f aca="false">_xlfn.IFS(B3498&lt;30,"Under 30",B3498&lt;40,"30-39",B3498&lt;50,"40-49",B3498&lt;60,"50-59",TRUE(),"60+")</f>
        <v>50-59</v>
      </c>
      <c r="O3498" s="2" t="str">
        <f aca="false">_xlfn.IFS(G3498&lt;0,"1 Negative",G3498=0,"2 Zero",G3498&lt;=500,"3 1-500",G3498&lt;=2000,"4 501-2000",TRUE(),"5 Above 2000")</f>
        <v>3 1-500</v>
      </c>
      <c r="P3498" s="2" t="n">
        <f aca="false">Lookups!$B$2*M3498+Lookups!$B$3*L3498</f>
        <v>1</v>
      </c>
      <c r="Q3498" s="2" t="str">
        <f aca="false">INDEX(Lookups!$E$2:$E$5,MATCH(P3498,Lookups!$D$2:$D$5,0))</f>
        <v>Medium</v>
      </c>
    </row>
    <row r="3499" customFormat="false" ht="15" hidden="false" customHeight="false" outlineLevel="0" collapsed="false">
      <c r="A3499" s="3" t="n">
        <v>3498</v>
      </c>
      <c r="B3499" s="3" t="n">
        <f aca="false">Raw_Data!A3499</f>
        <v>42</v>
      </c>
      <c r="C3499" s="3" t="str">
        <f aca="false">SUBSTITUTE(Raw_Data!B3499,".","")</f>
        <v>admin</v>
      </c>
      <c r="D3499" s="3" t="str">
        <f aca="false">Raw_Data!C3499</f>
        <v>married</v>
      </c>
      <c r="E3499" s="3" t="str">
        <f aca="false">Raw_Data!D3499</f>
        <v>secondary</v>
      </c>
      <c r="F3499" s="3" t="str">
        <f aca="false">Raw_Data!E3499</f>
        <v>no</v>
      </c>
      <c r="G3499" s="3" t="n">
        <f aca="false">Raw_Data!F3499</f>
        <v>4209</v>
      </c>
      <c r="H3499" s="3" t="str">
        <f aca="false">Raw_Data!G3499</f>
        <v>yes</v>
      </c>
      <c r="I3499" s="3" t="str">
        <f aca="false">Raw_Data!H3499</f>
        <v>no</v>
      </c>
      <c r="J3499" s="2" t="n">
        <f aca="false">IF(F3499="yes",1,0)</f>
        <v>0</v>
      </c>
      <c r="K3499" s="2" t="n">
        <f aca="false">IF(H3499="yes",1,0)</f>
        <v>1</v>
      </c>
      <c r="L3499" s="2" t="n">
        <f aca="false">IF(I3499="yes",1,0)</f>
        <v>0</v>
      </c>
      <c r="M3499" s="2" t="n">
        <f aca="false">IF(G3499&lt;0,1,0)</f>
        <v>0</v>
      </c>
      <c r="N3499" s="2" t="str">
        <f aca="false">_xlfn.IFS(B3499&lt;30,"Under 30",B3499&lt;40,"30-39",B3499&lt;50,"40-49",B3499&lt;60,"50-59",TRUE(),"60+")</f>
        <v>40-49</v>
      </c>
      <c r="O3499" s="2" t="str">
        <f aca="false">_xlfn.IFS(G3499&lt;0,"1 Negative",G3499=0,"2 Zero",G3499&lt;=500,"3 1-500",G3499&lt;=2000,"4 501-2000",TRUE(),"5 Above 2000")</f>
        <v>5 Above 2000</v>
      </c>
      <c r="P3499" s="2" t="n">
        <f aca="false">Lookups!$B$2*M3499+Lookups!$B$3*L3499</f>
        <v>0</v>
      </c>
      <c r="Q3499" s="2" t="str">
        <f aca="false">INDEX(Lookups!$E$2:$E$5,MATCH(P3499,Lookups!$D$2:$D$5,0))</f>
        <v>Low</v>
      </c>
    </row>
    <row r="3500" customFormat="false" ht="15" hidden="false" customHeight="false" outlineLevel="0" collapsed="false">
      <c r="A3500" s="3" t="n">
        <v>3499</v>
      </c>
      <c r="B3500" s="3" t="n">
        <f aca="false">Raw_Data!A3500</f>
        <v>58</v>
      </c>
      <c r="C3500" s="3" t="str">
        <f aca="false">SUBSTITUTE(Raw_Data!B3500,".","")</f>
        <v>services</v>
      </c>
      <c r="D3500" s="3" t="str">
        <f aca="false">Raw_Data!C3500</f>
        <v>divorced</v>
      </c>
      <c r="E3500" s="3" t="str">
        <f aca="false">Raw_Data!D3500</f>
        <v>secondary</v>
      </c>
      <c r="F3500" s="3" t="str">
        <f aca="false">Raw_Data!E3500</f>
        <v>no</v>
      </c>
      <c r="G3500" s="3" t="n">
        <f aca="false">Raw_Data!F3500</f>
        <v>462</v>
      </c>
      <c r="H3500" s="3" t="str">
        <f aca="false">Raw_Data!G3500</f>
        <v>no</v>
      </c>
      <c r="I3500" s="3" t="str">
        <f aca="false">Raw_Data!H3500</f>
        <v>no</v>
      </c>
      <c r="J3500" s="2" t="n">
        <f aca="false">IF(F3500="yes",1,0)</f>
        <v>0</v>
      </c>
      <c r="K3500" s="2" t="n">
        <f aca="false">IF(H3500="yes",1,0)</f>
        <v>0</v>
      </c>
      <c r="L3500" s="2" t="n">
        <f aca="false">IF(I3500="yes",1,0)</f>
        <v>0</v>
      </c>
      <c r="M3500" s="2" t="n">
        <f aca="false">IF(G3500&lt;0,1,0)</f>
        <v>0</v>
      </c>
      <c r="N3500" s="2" t="str">
        <f aca="false">_xlfn.IFS(B3500&lt;30,"Under 30",B3500&lt;40,"30-39",B3500&lt;50,"40-49",B3500&lt;60,"50-59",TRUE(),"60+")</f>
        <v>50-59</v>
      </c>
      <c r="O3500" s="2" t="str">
        <f aca="false">_xlfn.IFS(G3500&lt;0,"1 Negative",G3500=0,"2 Zero",G3500&lt;=500,"3 1-500",G3500&lt;=2000,"4 501-2000",TRUE(),"5 Above 2000")</f>
        <v>3 1-500</v>
      </c>
      <c r="P3500" s="2" t="n">
        <f aca="false">Lookups!$B$2*M3500+Lookups!$B$3*L3500</f>
        <v>0</v>
      </c>
      <c r="Q3500" s="2" t="str">
        <f aca="false">INDEX(Lookups!$E$2:$E$5,MATCH(P3500,Lookups!$D$2:$D$5,0))</f>
        <v>Low</v>
      </c>
    </row>
    <row r="3501" customFormat="false" ht="15" hidden="false" customHeight="false" outlineLevel="0" collapsed="false">
      <c r="A3501" s="3" t="n">
        <v>3500</v>
      </c>
      <c r="B3501" s="3" t="n">
        <f aca="false">Raw_Data!A3501</f>
        <v>28</v>
      </c>
      <c r="C3501" s="3" t="str">
        <f aca="false">SUBSTITUTE(Raw_Data!B3501,".","")</f>
        <v>self-employed</v>
      </c>
      <c r="D3501" s="3" t="str">
        <f aca="false">Raw_Data!C3501</f>
        <v>single</v>
      </c>
      <c r="E3501" s="3" t="str">
        <f aca="false">Raw_Data!D3501</f>
        <v>tertiary</v>
      </c>
      <c r="F3501" s="3" t="str">
        <f aca="false">Raw_Data!E3501</f>
        <v>no</v>
      </c>
      <c r="G3501" s="3" t="n">
        <f aca="false">Raw_Data!F3501</f>
        <v>0</v>
      </c>
      <c r="H3501" s="3" t="str">
        <f aca="false">Raw_Data!G3501</f>
        <v>yes</v>
      </c>
      <c r="I3501" s="3" t="str">
        <f aca="false">Raw_Data!H3501</f>
        <v>no</v>
      </c>
      <c r="J3501" s="2" t="n">
        <f aca="false">IF(F3501="yes",1,0)</f>
        <v>0</v>
      </c>
      <c r="K3501" s="2" t="n">
        <f aca="false">IF(H3501="yes",1,0)</f>
        <v>1</v>
      </c>
      <c r="L3501" s="2" t="n">
        <f aca="false">IF(I3501="yes",1,0)</f>
        <v>0</v>
      </c>
      <c r="M3501" s="2" t="n">
        <f aca="false">IF(G3501&lt;0,1,0)</f>
        <v>0</v>
      </c>
      <c r="N3501" s="2" t="str">
        <f aca="false">_xlfn.IFS(B3501&lt;30,"Under 30",B3501&lt;40,"30-39",B3501&lt;50,"40-49",B3501&lt;60,"50-59",TRUE(),"60+")</f>
        <v>Under 30</v>
      </c>
      <c r="O3501" s="2" t="str">
        <f aca="false">_xlfn.IFS(G3501&lt;0,"1 Negative",G3501=0,"2 Zero",G3501&lt;=500,"3 1-500",G3501&lt;=2000,"4 501-2000",TRUE(),"5 Above 2000")</f>
        <v>2 Zero</v>
      </c>
      <c r="P3501" s="2" t="n">
        <f aca="false">Lookups!$B$2*M3501+Lookups!$B$3*L3501</f>
        <v>0</v>
      </c>
      <c r="Q3501" s="2" t="str">
        <f aca="false">INDEX(Lookups!$E$2:$E$5,MATCH(P3501,Lookups!$D$2:$D$5,0))</f>
        <v>Low</v>
      </c>
    </row>
    <row r="3502" customFormat="false" ht="15" hidden="false" customHeight="false" outlineLevel="0" collapsed="false">
      <c r="A3502" s="3" t="n">
        <v>3501</v>
      </c>
      <c r="B3502" s="3" t="n">
        <f aca="false">Raw_Data!A3502</f>
        <v>41</v>
      </c>
      <c r="C3502" s="3" t="str">
        <f aca="false">SUBSTITUTE(Raw_Data!B3502,".","")</f>
        <v>technician</v>
      </c>
      <c r="D3502" s="3" t="str">
        <f aca="false">Raw_Data!C3502</f>
        <v>married</v>
      </c>
      <c r="E3502" s="3" t="str">
        <f aca="false">Raw_Data!D3502</f>
        <v>secondary</v>
      </c>
      <c r="F3502" s="3" t="str">
        <f aca="false">Raw_Data!E3502</f>
        <v>no</v>
      </c>
      <c r="G3502" s="3" t="n">
        <f aca="false">Raw_Data!F3502</f>
        <v>0</v>
      </c>
      <c r="H3502" s="3" t="str">
        <f aca="false">Raw_Data!G3502</f>
        <v>no</v>
      </c>
      <c r="I3502" s="3" t="str">
        <f aca="false">Raw_Data!H3502</f>
        <v>no</v>
      </c>
      <c r="J3502" s="2" t="n">
        <f aca="false">IF(F3502="yes",1,0)</f>
        <v>0</v>
      </c>
      <c r="K3502" s="2" t="n">
        <f aca="false">IF(H3502="yes",1,0)</f>
        <v>0</v>
      </c>
      <c r="L3502" s="2" t="n">
        <f aca="false">IF(I3502="yes",1,0)</f>
        <v>0</v>
      </c>
      <c r="M3502" s="2" t="n">
        <f aca="false">IF(G3502&lt;0,1,0)</f>
        <v>0</v>
      </c>
      <c r="N3502" s="2" t="str">
        <f aca="false">_xlfn.IFS(B3502&lt;30,"Under 30",B3502&lt;40,"30-39",B3502&lt;50,"40-49",B3502&lt;60,"50-59",TRUE(),"60+")</f>
        <v>40-49</v>
      </c>
      <c r="O3502" s="2" t="str">
        <f aca="false">_xlfn.IFS(G3502&lt;0,"1 Negative",G3502=0,"2 Zero",G3502&lt;=500,"3 1-500",G3502&lt;=2000,"4 501-2000",TRUE(),"5 Above 2000")</f>
        <v>2 Zero</v>
      </c>
      <c r="P3502" s="2" t="n">
        <f aca="false">Lookups!$B$2*M3502+Lookups!$B$3*L3502</f>
        <v>0</v>
      </c>
      <c r="Q3502" s="2" t="str">
        <f aca="false">INDEX(Lookups!$E$2:$E$5,MATCH(P3502,Lookups!$D$2:$D$5,0))</f>
        <v>Low</v>
      </c>
    </row>
    <row r="3503" customFormat="false" ht="15" hidden="false" customHeight="false" outlineLevel="0" collapsed="false">
      <c r="A3503" s="3" t="n">
        <v>3502</v>
      </c>
      <c r="B3503" s="3" t="n">
        <f aca="false">Raw_Data!A3503</f>
        <v>30</v>
      </c>
      <c r="C3503" s="3" t="str">
        <f aca="false">SUBSTITUTE(Raw_Data!B3503,".","")</f>
        <v>management</v>
      </c>
      <c r="D3503" s="3" t="str">
        <f aca="false">Raw_Data!C3503</f>
        <v>married</v>
      </c>
      <c r="E3503" s="3" t="str">
        <f aca="false">Raw_Data!D3503</f>
        <v>tertiary</v>
      </c>
      <c r="F3503" s="3" t="str">
        <f aca="false">Raw_Data!E3503</f>
        <v>no</v>
      </c>
      <c r="G3503" s="3" t="n">
        <f aca="false">Raw_Data!F3503</f>
        <v>151</v>
      </c>
      <c r="H3503" s="3" t="str">
        <f aca="false">Raw_Data!G3503</f>
        <v>no</v>
      </c>
      <c r="I3503" s="3" t="str">
        <f aca="false">Raw_Data!H3503</f>
        <v>no</v>
      </c>
      <c r="J3503" s="2" t="n">
        <f aca="false">IF(F3503="yes",1,0)</f>
        <v>0</v>
      </c>
      <c r="K3503" s="2" t="n">
        <f aca="false">IF(H3503="yes",1,0)</f>
        <v>0</v>
      </c>
      <c r="L3503" s="2" t="n">
        <f aca="false">IF(I3503="yes",1,0)</f>
        <v>0</v>
      </c>
      <c r="M3503" s="2" t="n">
        <f aca="false">IF(G3503&lt;0,1,0)</f>
        <v>0</v>
      </c>
      <c r="N3503" s="2" t="str">
        <f aca="false">_xlfn.IFS(B3503&lt;30,"Under 30",B3503&lt;40,"30-39",B3503&lt;50,"40-49",B3503&lt;60,"50-59",TRUE(),"60+")</f>
        <v>30-39</v>
      </c>
      <c r="O3503" s="2" t="str">
        <f aca="false">_xlfn.IFS(G3503&lt;0,"1 Negative",G3503=0,"2 Zero",G3503&lt;=500,"3 1-500",G3503&lt;=2000,"4 501-2000",TRUE(),"5 Above 2000")</f>
        <v>3 1-500</v>
      </c>
      <c r="P3503" s="2" t="n">
        <f aca="false">Lookups!$B$2*M3503+Lookups!$B$3*L3503</f>
        <v>0</v>
      </c>
      <c r="Q3503" s="2" t="str">
        <f aca="false">INDEX(Lookups!$E$2:$E$5,MATCH(P3503,Lookups!$D$2:$D$5,0))</f>
        <v>Low</v>
      </c>
    </row>
    <row r="3504" customFormat="false" ht="15" hidden="false" customHeight="false" outlineLevel="0" collapsed="false">
      <c r="A3504" s="3" t="n">
        <v>3503</v>
      </c>
      <c r="B3504" s="3" t="n">
        <f aca="false">Raw_Data!A3504</f>
        <v>32</v>
      </c>
      <c r="C3504" s="3" t="str">
        <f aca="false">SUBSTITUTE(Raw_Data!B3504,".","")</f>
        <v>management</v>
      </c>
      <c r="D3504" s="3" t="str">
        <f aca="false">Raw_Data!C3504</f>
        <v>divorced</v>
      </c>
      <c r="E3504" s="3" t="str">
        <f aca="false">Raw_Data!D3504</f>
        <v>tertiary</v>
      </c>
      <c r="F3504" s="3" t="str">
        <f aca="false">Raw_Data!E3504</f>
        <v>no</v>
      </c>
      <c r="G3504" s="3" t="n">
        <f aca="false">Raw_Data!F3504</f>
        <v>883</v>
      </c>
      <c r="H3504" s="3" t="str">
        <f aca="false">Raw_Data!G3504</f>
        <v>yes</v>
      </c>
      <c r="I3504" s="3" t="str">
        <f aca="false">Raw_Data!H3504</f>
        <v>no</v>
      </c>
      <c r="J3504" s="2" t="n">
        <f aca="false">IF(F3504="yes",1,0)</f>
        <v>0</v>
      </c>
      <c r="K3504" s="2" t="n">
        <f aca="false">IF(H3504="yes",1,0)</f>
        <v>1</v>
      </c>
      <c r="L3504" s="2" t="n">
        <f aca="false">IF(I3504="yes",1,0)</f>
        <v>0</v>
      </c>
      <c r="M3504" s="2" t="n">
        <f aca="false">IF(G3504&lt;0,1,0)</f>
        <v>0</v>
      </c>
      <c r="N3504" s="2" t="str">
        <f aca="false">_xlfn.IFS(B3504&lt;30,"Under 30",B3504&lt;40,"30-39",B3504&lt;50,"40-49",B3504&lt;60,"50-59",TRUE(),"60+")</f>
        <v>30-39</v>
      </c>
      <c r="O3504" s="2" t="str">
        <f aca="false">_xlfn.IFS(G3504&lt;0,"1 Negative",G3504=0,"2 Zero",G3504&lt;=500,"3 1-500",G3504&lt;=2000,"4 501-2000",TRUE(),"5 Above 2000")</f>
        <v>4 501-2000</v>
      </c>
      <c r="P3504" s="2" t="n">
        <f aca="false">Lookups!$B$2*M3504+Lookups!$B$3*L3504</f>
        <v>0</v>
      </c>
      <c r="Q3504" s="2" t="str">
        <f aca="false">INDEX(Lookups!$E$2:$E$5,MATCH(P3504,Lookups!$D$2:$D$5,0))</f>
        <v>Low</v>
      </c>
    </row>
    <row r="3505" customFormat="false" ht="15" hidden="false" customHeight="false" outlineLevel="0" collapsed="false">
      <c r="A3505" s="3" t="n">
        <v>3504</v>
      </c>
      <c r="B3505" s="3" t="n">
        <f aca="false">Raw_Data!A3505</f>
        <v>27</v>
      </c>
      <c r="C3505" s="3" t="str">
        <f aca="false">SUBSTITUTE(Raw_Data!B3505,".","")</f>
        <v>services</v>
      </c>
      <c r="D3505" s="3" t="str">
        <f aca="false">Raw_Data!C3505</f>
        <v>single</v>
      </c>
      <c r="E3505" s="3" t="str">
        <f aca="false">Raw_Data!D3505</f>
        <v>secondary</v>
      </c>
      <c r="F3505" s="3" t="str">
        <f aca="false">Raw_Data!E3505</f>
        <v>no</v>
      </c>
      <c r="G3505" s="3" t="n">
        <f aca="false">Raw_Data!F3505</f>
        <v>266</v>
      </c>
      <c r="H3505" s="3" t="str">
        <f aca="false">Raw_Data!G3505</f>
        <v>no</v>
      </c>
      <c r="I3505" s="3" t="str">
        <f aca="false">Raw_Data!H3505</f>
        <v>yes</v>
      </c>
      <c r="J3505" s="2" t="n">
        <f aca="false">IF(F3505="yes",1,0)</f>
        <v>0</v>
      </c>
      <c r="K3505" s="2" t="n">
        <f aca="false">IF(H3505="yes",1,0)</f>
        <v>0</v>
      </c>
      <c r="L3505" s="2" t="n">
        <f aca="false">IF(I3505="yes",1,0)</f>
        <v>1</v>
      </c>
      <c r="M3505" s="2" t="n">
        <f aca="false">IF(G3505&lt;0,1,0)</f>
        <v>0</v>
      </c>
      <c r="N3505" s="2" t="str">
        <f aca="false">_xlfn.IFS(B3505&lt;30,"Under 30",B3505&lt;40,"30-39",B3505&lt;50,"40-49",B3505&lt;60,"50-59",TRUE(),"60+")</f>
        <v>Under 30</v>
      </c>
      <c r="O3505" s="2" t="str">
        <f aca="false">_xlfn.IFS(G3505&lt;0,"1 Negative",G3505=0,"2 Zero",G3505&lt;=500,"3 1-500",G3505&lt;=2000,"4 501-2000",TRUE(),"5 Above 2000")</f>
        <v>3 1-500</v>
      </c>
      <c r="P3505" s="2" t="n">
        <f aca="false">Lookups!$B$2*M3505+Lookups!$B$3*L3505</f>
        <v>1</v>
      </c>
      <c r="Q3505" s="2" t="str">
        <f aca="false">INDEX(Lookups!$E$2:$E$5,MATCH(P3505,Lookups!$D$2:$D$5,0))</f>
        <v>Medium</v>
      </c>
    </row>
    <row r="3506" customFormat="false" ht="15" hidden="false" customHeight="false" outlineLevel="0" collapsed="false">
      <c r="A3506" s="3" t="n">
        <v>3505</v>
      </c>
      <c r="B3506" s="3" t="n">
        <f aca="false">Raw_Data!A3506</f>
        <v>48</v>
      </c>
      <c r="C3506" s="3" t="str">
        <f aca="false">SUBSTITUTE(Raw_Data!B3506,".","")</f>
        <v>management</v>
      </c>
      <c r="D3506" s="3" t="str">
        <f aca="false">Raw_Data!C3506</f>
        <v>married</v>
      </c>
      <c r="E3506" s="3" t="str">
        <f aca="false">Raw_Data!D3506</f>
        <v>tertiary</v>
      </c>
      <c r="F3506" s="3" t="str">
        <f aca="false">Raw_Data!E3506</f>
        <v>no</v>
      </c>
      <c r="G3506" s="3" t="n">
        <f aca="false">Raw_Data!F3506</f>
        <v>0</v>
      </c>
      <c r="H3506" s="3" t="str">
        <f aca="false">Raw_Data!G3506</f>
        <v>no</v>
      </c>
      <c r="I3506" s="3" t="str">
        <f aca="false">Raw_Data!H3506</f>
        <v>no</v>
      </c>
      <c r="J3506" s="2" t="n">
        <f aca="false">IF(F3506="yes",1,0)</f>
        <v>0</v>
      </c>
      <c r="K3506" s="2" t="n">
        <f aca="false">IF(H3506="yes",1,0)</f>
        <v>0</v>
      </c>
      <c r="L3506" s="2" t="n">
        <f aca="false">IF(I3506="yes",1,0)</f>
        <v>0</v>
      </c>
      <c r="M3506" s="2" t="n">
        <f aca="false">IF(G3506&lt;0,1,0)</f>
        <v>0</v>
      </c>
      <c r="N3506" s="2" t="str">
        <f aca="false">_xlfn.IFS(B3506&lt;30,"Under 30",B3506&lt;40,"30-39",B3506&lt;50,"40-49",B3506&lt;60,"50-59",TRUE(),"60+")</f>
        <v>40-49</v>
      </c>
      <c r="O3506" s="2" t="str">
        <f aca="false">_xlfn.IFS(G3506&lt;0,"1 Negative",G3506=0,"2 Zero",G3506&lt;=500,"3 1-500",G3506&lt;=2000,"4 501-2000",TRUE(),"5 Above 2000")</f>
        <v>2 Zero</v>
      </c>
      <c r="P3506" s="2" t="n">
        <f aca="false">Lookups!$B$2*M3506+Lookups!$B$3*L3506</f>
        <v>0</v>
      </c>
      <c r="Q3506" s="2" t="str">
        <f aca="false">INDEX(Lookups!$E$2:$E$5,MATCH(P3506,Lookups!$D$2:$D$5,0))</f>
        <v>Low</v>
      </c>
    </row>
    <row r="3507" customFormat="false" ht="15" hidden="false" customHeight="false" outlineLevel="0" collapsed="false">
      <c r="A3507" s="3" t="n">
        <v>3506</v>
      </c>
      <c r="B3507" s="3" t="n">
        <f aca="false">Raw_Data!A3507</f>
        <v>36</v>
      </c>
      <c r="C3507" s="3" t="str">
        <f aca="false">SUBSTITUTE(Raw_Data!B3507,".","")</f>
        <v>technician</v>
      </c>
      <c r="D3507" s="3" t="str">
        <f aca="false">Raw_Data!C3507</f>
        <v>married</v>
      </c>
      <c r="E3507" s="3" t="str">
        <f aca="false">Raw_Data!D3507</f>
        <v>tertiary</v>
      </c>
      <c r="F3507" s="3" t="str">
        <f aca="false">Raw_Data!E3507</f>
        <v>no</v>
      </c>
      <c r="G3507" s="3" t="n">
        <f aca="false">Raw_Data!F3507</f>
        <v>491</v>
      </c>
      <c r="H3507" s="3" t="str">
        <f aca="false">Raw_Data!G3507</f>
        <v>yes</v>
      </c>
      <c r="I3507" s="3" t="str">
        <f aca="false">Raw_Data!H3507</f>
        <v>no</v>
      </c>
      <c r="J3507" s="2" t="n">
        <f aca="false">IF(F3507="yes",1,0)</f>
        <v>0</v>
      </c>
      <c r="K3507" s="2" t="n">
        <f aca="false">IF(H3507="yes",1,0)</f>
        <v>1</v>
      </c>
      <c r="L3507" s="2" t="n">
        <f aca="false">IF(I3507="yes",1,0)</f>
        <v>0</v>
      </c>
      <c r="M3507" s="2" t="n">
        <f aca="false">IF(G3507&lt;0,1,0)</f>
        <v>0</v>
      </c>
      <c r="N3507" s="2" t="str">
        <f aca="false">_xlfn.IFS(B3507&lt;30,"Under 30",B3507&lt;40,"30-39",B3507&lt;50,"40-49",B3507&lt;60,"50-59",TRUE(),"60+")</f>
        <v>30-39</v>
      </c>
      <c r="O3507" s="2" t="str">
        <f aca="false">_xlfn.IFS(G3507&lt;0,"1 Negative",G3507=0,"2 Zero",G3507&lt;=500,"3 1-500",G3507&lt;=2000,"4 501-2000",TRUE(),"5 Above 2000")</f>
        <v>3 1-500</v>
      </c>
      <c r="P3507" s="2" t="n">
        <f aca="false">Lookups!$B$2*M3507+Lookups!$B$3*L3507</f>
        <v>0</v>
      </c>
      <c r="Q3507" s="2" t="str">
        <f aca="false">INDEX(Lookups!$E$2:$E$5,MATCH(P3507,Lookups!$D$2:$D$5,0))</f>
        <v>Low</v>
      </c>
    </row>
    <row r="3508" customFormat="false" ht="15" hidden="false" customHeight="false" outlineLevel="0" collapsed="false">
      <c r="A3508" s="3" t="n">
        <v>3507</v>
      </c>
      <c r="B3508" s="3" t="n">
        <f aca="false">Raw_Data!A3508</f>
        <v>54</v>
      </c>
      <c r="C3508" s="3" t="str">
        <f aca="false">SUBSTITUTE(Raw_Data!B3508,".","")</f>
        <v>management</v>
      </c>
      <c r="D3508" s="3" t="str">
        <f aca="false">Raw_Data!C3508</f>
        <v>married</v>
      </c>
      <c r="E3508" s="3" t="str">
        <f aca="false">Raw_Data!D3508</f>
        <v>tertiary</v>
      </c>
      <c r="F3508" s="3" t="str">
        <f aca="false">Raw_Data!E3508</f>
        <v>no</v>
      </c>
      <c r="G3508" s="3" t="n">
        <f aca="false">Raw_Data!F3508</f>
        <v>3</v>
      </c>
      <c r="H3508" s="3" t="str">
        <f aca="false">Raw_Data!G3508</f>
        <v>no</v>
      </c>
      <c r="I3508" s="3" t="str">
        <f aca="false">Raw_Data!H3508</f>
        <v>yes</v>
      </c>
      <c r="J3508" s="2" t="n">
        <f aca="false">IF(F3508="yes",1,0)</f>
        <v>0</v>
      </c>
      <c r="K3508" s="2" t="n">
        <f aca="false">IF(H3508="yes",1,0)</f>
        <v>0</v>
      </c>
      <c r="L3508" s="2" t="n">
        <f aca="false">IF(I3508="yes",1,0)</f>
        <v>1</v>
      </c>
      <c r="M3508" s="2" t="n">
        <f aca="false">IF(G3508&lt;0,1,0)</f>
        <v>0</v>
      </c>
      <c r="N3508" s="2" t="str">
        <f aca="false">_xlfn.IFS(B3508&lt;30,"Under 30",B3508&lt;40,"30-39",B3508&lt;50,"40-49",B3508&lt;60,"50-59",TRUE(),"60+")</f>
        <v>50-59</v>
      </c>
      <c r="O3508" s="2" t="str">
        <f aca="false">_xlfn.IFS(G3508&lt;0,"1 Negative",G3508=0,"2 Zero",G3508&lt;=500,"3 1-500",G3508&lt;=2000,"4 501-2000",TRUE(),"5 Above 2000")</f>
        <v>3 1-500</v>
      </c>
      <c r="P3508" s="2" t="n">
        <f aca="false">Lookups!$B$2*M3508+Lookups!$B$3*L3508</f>
        <v>1</v>
      </c>
      <c r="Q3508" s="2" t="str">
        <f aca="false">INDEX(Lookups!$E$2:$E$5,MATCH(P3508,Lookups!$D$2:$D$5,0))</f>
        <v>Medium</v>
      </c>
    </row>
    <row r="3509" customFormat="false" ht="15" hidden="false" customHeight="false" outlineLevel="0" collapsed="false">
      <c r="A3509" s="3" t="n">
        <v>3508</v>
      </c>
      <c r="B3509" s="3" t="n">
        <f aca="false">Raw_Data!A3509</f>
        <v>36</v>
      </c>
      <c r="C3509" s="3" t="str">
        <f aca="false">SUBSTITUTE(Raw_Data!B3509,".","")</f>
        <v>blue-collar</v>
      </c>
      <c r="D3509" s="3" t="str">
        <f aca="false">Raw_Data!C3509</f>
        <v>married</v>
      </c>
      <c r="E3509" s="3" t="str">
        <f aca="false">Raw_Data!D3509</f>
        <v>secondary</v>
      </c>
      <c r="F3509" s="3" t="str">
        <f aca="false">Raw_Data!E3509</f>
        <v>no</v>
      </c>
      <c r="G3509" s="3" t="n">
        <f aca="false">Raw_Data!F3509</f>
        <v>198</v>
      </c>
      <c r="H3509" s="3" t="str">
        <f aca="false">Raw_Data!G3509</f>
        <v>yes</v>
      </c>
      <c r="I3509" s="3" t="str">
        <f aca="false">Raw_Data!H3509</f>
        <v>no</v>
      </c>
      <c r="J3509" s="2" t="n">
        <f aca="false">IF(F3509="yes",1,0)</f>
        <v>0</v>
      </c>
      <c r="K3509" s="2" t="n">
        <f aca="false">IF(H3509="yes",1,0)</f>
        <v>1</v>
      </c>
      <c r="L3509" s="2" t="n">
        <f aca="false">IF(I3509="yes",1,0)</f>
        <v>0</v>
      </c>
      <c r="M3509" s="2" t="n">
        <f aca="false">IF(G3509&lt;0,1,0)</f>
        <v>0</v>
      </c>
      <c r="N3509" s="2" t="str">
        <f aca="false">_xlfn.IFS(B3509&lt;30,"Under 30",B3509&lt;40,"30-39",B3509&lt;50,"40-49",B3509&lt;60,"50-59",TRUE(),"60+")</f>
        <v>30-39</v>
      </c>
      <c r="O3509" s="2" t="str">
        <f aca="false">_xlfn.IFS(G3509&lt;0,"1 Negative",G3509=0,"2 Zero",G3509&lt;=500,"3 1-500",G3509&lt;=2000,"4 501-2000",TRUE(),"5 Above 2000")</f>
        <v>3 1-500</v>
      </c>
      <c r="P3509" s="2" t="n">
        <f aca="false">Lookups!$B$2*M3509+Lookups!$B$3*L3509</f>
        <v>0</v>
      </c>
      <c r="Q3509" s="2" t="str">
        <f aca="false">INDEX(Lookups!$E$2:$E$5,MATCH(P3509,Lookups!$D$2:$D$5,0))</f>
        <v>Low</v>
      </c>
    </row>
    <row r="3510" customFormat="false" ht="15" hidden="false" customHeight="false" outlineLevel="0" collapsed="false">
      <c r="A3510" s="3" t="n">
        <v>3509</v>
      </c>
      <c r="B3510" s="3" t="n">
        <f aca="false">Raw_Data!A3510</f>
        <v>52</v>
      </c>
      <c r="C3510" s="3" t="str">
        <f aca="false">SUBSTITUTE(Raw_Data!B3510,".","")</f>
        <v>housemaid</v>
      </c>
      <c r="D3510" s="3" t="str">
        <f aca="false">Raw_Data!C3510</f>
        <v>married</v>
      </c>
      <c r="E3510" s="3" t="str">
        <f aca="false">Raw_Data!D3510</f>
        <v>secondary</v>
      </c>
      <c r="F3510" s="3" t="str">
        <f aca="false">Raw_Data!E3510</f>
        <v>no</v>
      </c>
      <c r="G3510" s="3" t="n">
        <f aca="false">Raw_Data!F3510</f>
        <v>14363</v>
      </c>
      <c r="H3510" s="3" t="str">
        <f aca="false">Raw_Data!G3510</f>
        <v>no</v>
      </c>
      <c r="I3510" s="3" t="str">
        <f aca="false">Raw_Data!H3510</f>
        <v>no</v>
      </c>
      <c r="J3510" s="2" t="n">
        <f aca="false">IF(F3510="yes",1,0)</f>
        <v>0</v>
      </c>
      <c r="K3510" s="2" t="n">
        <f aca="false">IF(H3510="yes",1,0)</f>
        <v>0</v>
      </c>
      <c r="L3510" s="2" t="n">
        <f aca="false">IF(I3510="yes",1,0)</f>
        <v>0</v>
      </c>
      <c r="M3510" s="2" t="n">
        <f aca="false">IF(G3510&lt;0,1,0)</f>
        <v>0</v>
      </c>
      <c r="N3510" s="2" t="str">
        <f aca="false">_xlfn.IFS(B3510&lt;30,"Under 30",B3510&lt;40,"30-39",B3510&lt;50,"40-49",B3510&lt;60,"50-59",TRUE(),"60+")</f>
        <v>50-59</v>
      </c>
      <c r="O3510" s="2" t="str">
        <f aca="false">_xlfn.IFS(G3510&lt;0,"1 Negative",G3510=0,"2 Zero",G3510&lt;=500,"3 1-500",G3510&lt;=2000,"4 501-2000",TRUE(),"5 Above 2000")</f>
        <v>5 Above 2000</v>
      </c>
      <c r="P3510" s="2" t="n">
        <f aca="false">Lookups!$B$2*M3510+Lookups!$B$3*L3510</f>
        <v>0</v>
      </c>
      <c r="Q3510" s="2" t="str">
        <f aca="false">INDEX(Lookups!$E$2:$E$5,MATCH(P3510,Lookups!$D$2:$D$5,0))</f>
        <v>Low</v>
      </c>
    </row>
    <row r="3511" customFormat="false" ht="15" hidden="false" customHeight="false" outlineLevel="0" collapsed="false">
      <c r="A3511" s="3" t="n">
        <v>3510</v>
      </c>
      <c r="B3511" s="3" t="n">
        <f aca="false">Raw_Data!A3511</f>
        <v>34</v>
      </c>
      <c r="C3511" s="3" t="str">
        <f aca="false">SUBSTITUTE(Raw_Data!B3511,".","")</f>
        <v>technician</v>
      </c>
      <c r="D3511" s="3" t="str">
        <f aca="false">Raw_Data!C3511</f>
        <v>divorced</v>
      </c>
      <c r="E3511" s="3" t="str">
        <f aca="false">Raw_Data!D3511</f>
        <v>secondary</v>
      </c>
      <c r="F3511" s="3" t="str">
        <f aca="false">Raw_Data!E3511</f>
        <v>no</v>
      </c>
      <c r="G3511" s="3" t="n">
        <f aca="false">Raw_Data!F3511</f>
        <v>0</v>
      </c>
      <c r="H3511" s="3" t="str">
        <f aca="false">Raw_Data!G3511</f>
        <v>yes</v>
      </c>
      <c r="I3511" s="3" t="str">
        <f aca="false">Raw_Data!H3511</f>
        <v>yes</v>
      </c>
      <c r="J3511" s="2" t="n">
        <f aca="false">IF(F3511="yes",1,0)</f>
        <v>0</v>
      </c>
      <c r="K3511" s="2" t="n">
        <f aca="false">IF(H3511="yes",1,0)</f>
        <v>1</v>
      </c>
      <c r="L3511" s="2" t="n">
        <f aca="false">IF(I3511="yes",1,0)</f>
        <v>1</v>
      </c>
      <c r="M3511" s="2" t="n">
        <f aca="false">IF(G3511&lt;0,1,0)</f>
        <v>0</v>
      </c>
      <c r="N3511" s="2" t="str">
        <f aca="false">_xlfn.IFS(B3511&lt;30,"Under 30",B3511&lt;40,"30-39",B3511&lt;50,"40-49",B3511&lt;60,"50-59",TRUE(),"60+")</f>
        <v>30-39</v>
      </c>
      <c r="O3511" s="2" t="str">
        <f aca="false">_xlfn.IFS(G3511&lt;0,"1 Negative",G3511=0,"2 Zero",G3511&lt;=500,"3 1-500",G3511&lt;=2000,"4 501-2000",TRUE(),"5 Above 2000")</f>
        <v>2 Zero</v>
      </c>
      <c r="P3511" s="2" t="n">
        <f aca="false">Lookups!$B$2*M3511+Lookups!$B$3*L3511</f>
        <v>1</v>
      </c>
      <c r="Q3511" s="2" t="str">
        <f aca="false">INDEX(Lookups!$E$2:$E$5,MATCH(P3511,Lookups!$D$2:$D$5,0))</f>
        <v>Medium</v>
      </c>
    </row>
    <row r="3512" customFormat="false" ht="15" hidden="false" customHeight="false" outlineLevel="0" collapsed="false">
      <c r="A3512" s="3" t="n">
        <v>3511</v>
      </c>
      <c r="B3512" s="3" t="n">
        <f aca="false">Raw_Data!A3512</f>
        <v>43</v>
      </c>
      <c r="C3512" s="3" t="str">
        <f aca="false">SUBSTITUTE(Raw_Data!B3512,".","")</f>
        <v>technician</v>
      </c>
      <c r="D3512" s="3" t="str">
        <f aca="false">Raw_Data!C3512</f>
        <v>married</v>
      </c>
      <c r="E3512" s="3" t="str">
        <f aca="false">Raw_Data!D3512</f>
        <v>secondary</v>
      </c>
      <c r="F3512" s="3" t="str">
        <f aca="false">Raw_Data!E3512</f>
        <v>no</v>
      </c>
      <c r="G3512" s="3" t="n">
        <f aca="false">Raw_Data!F3512</f>
        <v>136</v>
      </c>
      <c r="H3512" s="3" t="str">
        <f aca="false">Raw_Data!G3512</f>
        <v>no</v>
      </c>
      <c r="I3512" s="3" t="str">
        <f aca="false">Raw_Data!H3512</f>
        <v>no</v>
      </c>
      <c r="J3512" s="2" t="n">
        <f aca="false">IF(F3512="yes",1,0)</f>
        <v>0</v>
      </c>
      <c r="K3512" s="2" t="n">
        <f aca="false">IF(H3512="yes",1,0)</f>
        <v>0</v>
      </c>
      <c r="L3512" s="2" t="n">
        <f aca="false">IF(I3512="yes",1,0)</f>
        <v>0</v>
      </c>
      <c r="M3512" s="2" t="n">
        <f aca="false">IF(G3512&lt;0,1,0)</f>
        <v>0</v>
      </c>
      <c r="N3512" s="2" t="str">
        <f aca="false">_xlfn.IFS(B3512&lt;30,"Under 30",B3512&lt;40,"30-39",B3512&lt;50,"40-49",B3512&lt;60,"50-59",TRUE(),"60+")</f>
        <v>40-49</v>
      </c>
      <c r="O3512" s="2" t="str">
        <f aca="false">_xlfn.IFS(G3512&lt;0,"1 Negative",G3512=0,"2 Zero",G3512&lt;=500,"3 1-500",G3512&lt;=2000,"4 501-2000",TRUE(),"5 Above 2000")</f>
        <v>3 1-500</v>
      </c>
      <c r="P3512" s="2" t="n">
        <f aca="false">Lookups!$B$2*M3512+Lookups!$B$3*L3512</f>
        <v>0</v>
      </c>
      <c r="Q3512" s="2" t="str">
        <f aca="false">INDEX(Lookups!$E$2:$E$5,MATCH(P3512,Lookups!$D$2:$D$5,0))</f>
        <v>Low</v>
      </c>
    </row>
    <row r="3513" customFormat="false" ht="15" hidden="false" customHeight="false" outlineLevel="0" collapsed="false">
      <c r="A3513" s="3" t="n">
        <v>3512</v>
      </c>
      <c r="B3513" s="3" t="n">
        <f aca="false">Raw_Data!A3513</f>
        <v>32</v>
      </c>
      <c r="C3513" s="3" t="str">
        <f aca="false">SUBSTITUTE(Raw_Data!B3513,".","")</f>
        <v>management</v>
      </c>
      <c r="D3513" s="3" t="str">
        <f aca="false">Raw_Data!C3513</f>
        <v>single</v>
      </c>
      <c r="E3513" s="3" t="str">
        <f aca="false">Raw_Data!D3513</f>
        <v>tertiary</v>
      </c>
      <c r="F3513" s="3" t="str">
        <f aca="false">Raw_Data!E3513</f>
        <v>no</v>
      </c>
      <c r="G3513" s="3" t="n">
        <f aca="false">Raw_Data!F3513</f>
        <v>28</v>
      </c>
      <c r="H3513" s="3" t="str">
        <f aca="false">Raw_Data!G3513</f>
        <v>no</v>
      </c>
      <c r="I3513" s="3" t="str">
        <f aca="false">Raw_Data!H3513</f>
        <v>no</v>
      </c>
      <c r="J3513" s="2" t="n">
        <f aca="false">IF(F3513="yes",1,0)</f>
        <v>0</v>
      </c>
      <c r="K3513" s="2" t="n">
        <f aca="false">IF(H3513="yes",1,0)</f>
        <v>0</v>
      </c>
      <c r="L3513" s="2" t="n">
        <f aca="false">IF(I3513="yes",1,0)</f>
        <v>0</v>
      </c>
      <c r="M3513" s="2" t="n">
        <f aca="false">IF(G3513&lt;0,1,0)</f>
        <v>0</v>
      </c>
      <c r="N3513" s="2" t="str">
        <f aca="false">_xlfn.IFS(B3513&lt;30,"Under 30",B3513&lt;40,"30-39",B3513&lt;50,"40-49",B3513&lt;60,"50-59",TRUE(),"60+")</f>
        <v>30-39</v>
      </c>
      <c r="O3513" s="2" t="str">
        <f aca="false">_xlfn.IFS(G3513&lt;0,"1 Negative",G3513=0,"2 Zero",G3513&lt;=500,"3 1-500",G3513&lt;=2000,"4 501-2000",TRUE(),"5 Above 2000")</f>
        <v>3 1-500</v>
      </c>
      <c r="P3513" s="2" t="n">
        <f aca="false">Lookups!$B$2*M3513+Lookups!$B$3*L3513</f>
        <v>0</v>
      </c>
      <c r="Q3513" s="2" t="str">
        <f aca="false">INDEX(Lookups!$E$2:$E$5,MATCH(P3513,Lookups!$D$2:$D$5,0))</f>
        <v>Low</v>
      </c>
    </row>
    <row r="3514" customFormat="false" ht="15" hidden="false" customHeight="false" outlineLevel="0" collapsed="false">
      <c r="A3514" s="3" t="n">
        <v>3513</v>
      </c>
      <c r="B3514" s="3" t="n">
        <f aca="false">Raw_Data!A3514</f>
        <v>33</v>
      </c>
      <c r="C3514" s="3" t="str">
        <f aca="false">SUBSTITUTE(Raw_Data!B3514,".","")</f>
        <v>management</v>
      </c>
      <c r="D3514" s="3" t="str">
        <f aca="false">Raw_Data!C3514</f>
        <v>single</v>
      </c>
      <c r="E3514" s="3" t="str">
        <f aca="false">Raw_Data!D3514</f>
        <v>tertiary</v>
      </c>
      <c r="F3514" s="3" t="str">
        <f aca="false">Raw_Data!E3514</f>
        <v>no</v>
      </c>
      <c r="G3514" s="3" t="n">
        <f aca="false">Raw_Data!F3514</f>
        <v>335</v>
      </c>
      <c r="H3514" s="3" t="str">
        <f aca="false">Raw_Data!G3514</f>
        <v>no</v>
      </c>
      <c r="I3514" s="3" t="str">
        <f aca="false">Raw_Data!H3514</f>
        <v>no</v>
      </c>
      <c r="J3514" s="2" t="n">
        <f aca="false">IF(F3514="yes",1,0)</f>
        <v>0</v>
      </c>
      <c r="K3514" s="2" t="n">
        <f aca="false">IF(H3514="yes",1,0)</f>
        <v>0</v>
      </c>
      <c r="L3514" s="2" t="n">
        <f aca="false">IF(I3514="yes",1,0)</f>
        <v>0</v>
      </c>
      <c r="M3514" s="2" t="n">
        <f aca="false">IF(G3514&lt;0,1,0)</f>
        <v>0</v>
      </c>
      <c r="N3514" s="2" t="str">
        <f aca="false">_xlfn.IFS(B3514&lt;30,"Under 30",B3514&lt;40,"30-39",B3514&lt;50,"40-49",B3514&lt;60,"50-59",TRUE(),"60+")</f>
        <v>30-39</v>
      </c>
      <c r="O3514" s="2" t="str">
        <f aca="false">_xlfn.IFS(G3514&lt;0,"1 Negative",G3514=0,"2 Zero",G3514&lt;=500,"3 1-500",G3514&lt;=2000,"4 501-2000",TRUE(),"5 Above 2000")</f>
        <v>3 1-500</v>
      </c>
      <c r="P3514" s="2" t="n">
        <f aca="false">Lookups!$B$2*M3514+Lookups!$B$3*L3514</f>
        <v>0</v>
      </c>
      <c r="Q3514" s="2" t="str">
        <f aca="false">INDEX(Lookups!$E$2:$E$5,MATCH(P3514,Lookups!$D$2:$D$5,0))</f>
        <v>Low</v>
      </c>
    </row>
    <row r="3515" customFormat="false" ht="15" hidden="false" customHeight="false" outlineLevel="0" collapsed="false">
      <c r="A3515" s="3" t="n">
        <v>3514</v>
      </c>
      <c r="B3515" s="3" t="n">
        <f aca="false">Raw_Data!A3515</f>
        <v>51</v>
      </c>
      <c r="C3515" s="3" t="str">
        <f aca="false">SUBSTITUTE(Raw_Data!B3515,".","")</f>
        <v>housemaid</v>
      </c>
      <c r="D3515" s="3" t="str">
        <f aca="false">Raw_Data!C3515</f>
        <v>married</v>
      </c>
      <c r="E3515" s="3" t="str">
        <f aca="false">Raw_Data!D3515</f>
        <v>unknown</v>
      </c>
      <c r="F3515" s="3" t="str">
        <f aca="false">Raw_Data!E3515</f>
        <v>no</v>
      </c>
      <c r="G3515" s="3" t="n">
        <f aca="false">Raw_Data!F3515</f>
        <v>174</v>
      </c>
      <c r="H3515" s="3" t="str">
        <f aca="false">Raw_Data!G3515</f>
        <v>no</v>
      </c>
      <c r="I3515" s="3" t="str">
        <f aca="false">Raw_Data!H3515</f>
        <v>no</v>
      </c>
      <c r="J3515" s="2" t="n">
        <f aca="false">IF(F3515="yes",1,0)</f>
        <v>0</v>
      </c>
      <c r="K3515" s="2" t="n">
        <f aca="false">IF(H3515="yes",1,0)</f>
        <v>0</v>
      </c>
      <c r="L3515" s="2" t="n">
        <f aca="false">IF(I3515="yes",1,0)</f>
        <v>0</v>
      </c>
      <c r="M3515" s="2" t="n">
        <f aca="false">IF(G3515&lt;0,1,0)</f>
        <v>0</v>
      </c>
      <c r="N3515" s="2" t="str">
        <f aca="false">_xlfn.IFS(B3515&lt;30,"Under 30",B3515&lt;40,"30-39",B3515&lt;50,"40-49",B3515&lt;60,"50-59",TRUE(),"60+")</f>
        <v>50-59</v>
      </c>
      <c r="O3515" s="2" t="str">
        <f aca="false">_xlfn.IFS(G3515&lt;0,"1 Negative",G3515=0,"2 Zero",G3515&lt;=500,"3 1-500",G3515&lt;=2000,"4 501-2000",TRUE(),"5 Above 2000")</f>
        <v>3 1-500</v>
      </c>
      <c r="P3515" s="2" t="n">
        <f aca="false">Lookups!$B$2*M3515+Lookups!$B$3*L3515</f>
        <v>0</v>
      </c>
      <c r="Q3515" s="2" t="str">
        <f aca="false">INDEX(Lookups!$E$2:$E$5,MATCH(P3515,Lookups!$D$2:$D$5,0))</f>
        <v>Low</v>
      </c>
    </row>
    <row r="3516" customFormat="false" ht="15" hidden="false" customHeight="false" outlineLevel="0" collapsed="false">
      <c r="A3516" s="3" t="n">
        <v>3515</v>
      </c>
      <c r="B3516" s="3" t="n">
        <f aca="false">Raw_Data!A3516</f>
        <v>39</v>
      </c>
      <c r="C3516" s="3" t="str">
        <f aca="false">SUBSTITUTE(Raw_Data!B3516,".","")</f>
        <v>unemployed</v>
      </c>
      <c r="D3516" s="3" t="str">
        <f aca="false">Raw_Data!C3516</f>
        <v>married</v>
      </c>
      <c r="E3516" s="3" t="str">
        <f aca="false">Raw_Data!D3516</f>
        <v>secondary</v>
      </c>
      <c r="F3516" s="3" t="str">
        <f aca="false">Raw_Data!E3516</f>
        <v>no</v>
      </c>
      <c r="G3516" s="3" t="n">
        <f aca="false">Raw_Data!F3516</f>
        <v>270</v>
      </c>
      <c r="H3516" s="3" t="str">
        <f aca="false">Raw_Data!G3516</f>
        <v>yes</v>
      </c>
      <c r="I3516" s="3" t="str">
        <f aca="false">Raw_Data!H3516</f>
        <v>no</v>
      </c>
      <c r="J3516" s="2" t="n">
        <f aca="false">IF(F3516="yes",1,0)</f>
        <v>0</v>
      </c>
      <c r="K3516" s="2" t="n">
        <f aca="false">IF(H3516="yes",1,0)</f>
        <v>1</v>
      </c>
      <c r="L3516" s="2" t="n">
        <f aca="false">IF(I3516="yes",1,0)</f>
        <v>0</v>
      </c>
      <c r="M3516" s="2" t="n">
        <f aca="false">IF(G3516&lt;0,1,0)</f>
        <v>0</v>
      </c>
      <c r="N3516" s="2" t="str">
        <f aca="false">_xlfn.IFS(B3516&lt;30,"Under 30",B3516&lt;40,"30-39",B3516&lt;50,"40-49",B3516&lt;60,"50-59",TRUE(),"60+")</f>
        <v>30-39</v>
      </c>
      <c r="O3516" s="2" t="str">
        <f aca="false">_xlfn.IFS(G3516&lt;0,"1 Negative",G3516=0,"2 Zero",G3516&lt;=500,"3 1-500",G3516&lt;=2000,"4 501-2000",TRUE(),"5 Above 2000")</f>
        <v>3 1-500</v>
      </c>
      <c r="P3516" s="2" t="n">
        <f aca="false">Lookups!$B$2*M3516+Lookups!$B$3*L3516</f>
        <v>0</v>
      </c>
      <c r="Q3516" s="2" t="str">
        <f aca="false">INDEX(Lookups!$E$2:$E$5,MATCH(P3516,Lookups!$D$2:$D$5,0))</f>
        <v>Low</v>
      </c>
    </row>
    <row r="3517" customFormat="false" ht="15" hidden="false" customHeight="false" outlineLevel="0" collapsed="false">
      <c r="A3517" s="3" t="n">
        <v>3516</v>
      </c>
      <c r="B3517" s="3" t="n">
        <f aca="false">Raw_Data!A3517</f>
        <v>44</v>
      </c>
      <c r="C3517" s="3" t="str">
        <f aca="false">SUBSTITUTE(Raw_Data!B3517,".","")</f>
        <v>management</v>
      </c>
      <c r="D3517" s="3" t="str">
        <f aca="false">Raw_Data!C3517</f>
        <v>single</v>
      </c>
      <c r="E3517" s="3" t="str">
        <f aca="false">Raw_Data!D3517</f>
        <v>tertiary</v>
      </c>
      <c r="F3517" s="3" t="str">
        <f aca="false">Raw_Data!E3517</f>
        <v>no</v>
      </c>
      <c r="G3517" s="3" t="n">
        <f aca="false">Raw_Data!F3517</f>
        <v>1206</v>
      </c>
      <c r="H3517" s="3" t="str">
        <f aca="false">Raw_Data!G3517</f>
        <v>no</v>
      </c>
      <c r="I3517" s="3" t="str">
        <f aca="false">Raw_Data!H3517</f>
        <v>no</v>
      </c>
      <c r="J3517" s="2" t="n">
        <f aca="false">IF(F3517="yes",1,0)</f>
        <v>0</v>
      </c>
      <c r="K3517" s="2" t="n">
        <f aca="false">IF(H3517="yes",1,0)</f>
        <v>0</v>
      </c>
      <c r="L3517" s="2" t="n">
        <f aca="false">IF(I3517="yes",1,0)</f>
        <v>0</v>
      </c>
      <c r="M3517" s="2" t="n">
        <f aca="false">IF(G3517&lt;0,1,0)</f>
        <v>0</v>
      </c>
      <c r="N3517" s="2" t="str">
        <f aca="false">_xlfn.IFS(B3517&lt;30,"Under 30",B3517&lt;40,"30-39",B3517&lt;50,"40-49",B3517&lt;60,"50-59",TRUE(),"60+")</f>
        <v>40-49</v>
      </c>
      <c r="O3517" s="2" t="str">
        <f aca="false">_xlfn.IFS(G3517&lt;0,"1 Negative",G3517=0,"2 Zero",G3517&lt;=500,"3 1-500",G3517&lt;=2000,"4 501-2000",TRUE(),"5 Above 2000")</f>
        <v>4 501-2000</v>
      </c>
      <c r="P3517" s="2" t="n">
        <f aca="false">Lookups!$B$2*M3517+Lookups!$B$3*L3517</f>
        <v>0</v>
      </c>
      <c r="Q3517" s="2" t="str">
        <f aca="false">INDEX(Lookups!$E$2:$E$5,MATCH(P3517,Lookups!$D$2:$D$5,0))</f>
        <v>Low</v>
      </c>
    </row>
    <row r="3518" customFormat="false" ht="15" hidden="false" customHeight="false" outlineLevel="0" collapsed="false">
      <c r="A3518" s="3" t="n">
        <v>3517</v>
      </c>
      <c r="B3518" s="3" t="n">
        <f aca="false">Raw_Data!A3518</f>
        <v>49</v>
      </c>
      <c r="C3518" s="3" t="str">
        <f aca="false">SUBSTITUTE(Raw_Data!B3518,".","")</f>
        <v>housemaid</v>
      </c>
      <c r="D3518" s="3" t="str">
        <f aca="false">Raw_Data!C3518</f>
        <v>divorced</v>
      </c>
      <c r="E3518" s="3" t="str">
        <f aca="false">Raw_Data!D3518</f>
        <v>primary</v>
      </c>
      <c r="F3518" s="3" t="str">
        <f aca="false">Raw_Data!E3518</f>
        <v>no</v>
      </c>
      <c r="G3518" s="3" t="n">
        <f aca="false">Raw_Data!F3518</f>
        <v>198</v>
      </c>
      <c r="H3518" s="3" t="str">
        <f aca="false">Raw_Data!G3518</f>
        <v>yes</v>
      </c>
      <c r="I3518" s="3" t="str">
        <f aca="false">Raw_Data!H3518</f>
        <v>no</v>
      </c>
      <c r="J3518" s="2" t="n">
        <f aca="false">IF(F3518="yes",1,0)</f>
        <v>0</v>
      </c>
      <c r="K3518" s="2" t="n">
        <f aca="false">IF(H3518="yes",1,0)</f>
        <v>1</v>
      </c>
      <c r="L3518" s="2" t="n">
        <f aca="false">IF(I3518="yes",1,0)</f>
        <v>0</v>
      </c>
      <c r="M3518" s="2" t="n">
        <f aca="false">IF(G3518&lt;0,1,0)</f>
        <v>0</v>
      </c>
      <c r="N3518" s="2" t="str">
        <f aca="false">_xlfn.IFS(B3518&lt;30,"Under 30",B3518&lt;40,"30-39",B3518&lt;50,"40-49",B3518&lt;60,"50-59",TRUE(),"60+")</f>
        <v>40-49</v>
      </c>
      <c r="O3518" s="2" t="str">
        <f aca="false">_xlfn.IFS(G3518&lt;0,"1 Negative",G3518=0,"2 Zero",G3518&lt;=500,"3 1-500",G3518&lt;=2000,"4 501-2000",TRUE(),"5 Above 2000")</f>
        <v>3 1-500</v>
      </c>
      <c r="P3518" s="2" t="n">
        <f aca="false">Lookups!$B$2*M3518+Lookups!$B$3*L3518</f>
        <v>0</v>
      </c>
      <c r="Q3518" s="2" t="str">
        <f aca="false">INDEX(Lookups!$E$2:$E$5,MATCH(P3518,Lookups!$D$2:$D$5,0))</f>
        <v>Low</v>
      </c>
    </row>
    <row r="3519" customFormat="false" ht="15" hidden="false" customHeight="false" outlineLevel="0" collapsed="false">
      <c r="A3519" s="3" t="n">
        <v>3518</v>
      </c>
      <c r="B3519" s="3" t="n">
        <f aca="false">Raw_Data!A3519</f>
        <v>25</v>
      </c>
      <c r="C3519" s="3" t="str">
        <f aca="false">SUBSTITUTE(Raw_Data!B3519,".","")</f>
        <v>technician</v>
      </c>
      <c r="D3519" s="3" t="str">
        <f aca="false">Raw_Data!C3519</f>
        <v>married</v>
      </c>
      <c r="E3519" s="3" t="str">
        <f aca="false">Raw_Data!D3519</f>
        <v>tertiary</v>
      </c>
      <c r="F3519" s="3" t="str">
        <f aca="false">Raw_Data!E3519</f>
        <v>no</v>
      </c>
      <c r="G3519" s="3" t="n">
        <f aca="false">Raw_Data!F3519</f>
        <v>914</v>
      </c>
      <c r="H3519" s="3" t="str">
        <f aca="false">Raw_Data!G3519</f>
        <v>yes</v>
      </c>
      <c r="I3519" s="3" t="str">
        <f aca="false">Raw_Data!H3519</f>
        <v>no</v>
      </c>
      <c r="J3519" s="2" t="n">
        <f aca="false">IF(F3519="yes",1,0)</f>
        <v>0</v>
      </c>
      <c r="K3519" s="2" t="n">
        <f aca="false">IF(H3519="yes",1,0)</f>
        <v>1</v>
      </c>
      <c r="L3519" s="2" t="n">
        <f aca="false">IF(I3519="yes",1,0)</f>
        <v>0</v>
      </c>
      <c r="M3519" s="2" t="n">
        <f aca="false">IF(G3519&lt;0,1,0)</f>
        <v>0</v>
      </c>
      <c r="N3519" s="2" t="str">
        <f aca="false">_xlfn.IFS(B3519&lt;30,"Under 30",B3519&lt;40,"30-39",B3519&lt;50,"40-49",B3519&lt;60,"50-59",TRUE(),"60+")</f>
        <v>Under 30</v>
      </c>
      <c r="O3519" s="2" t="str">
        <f aca="false">_xlfn.IFS(G3519&lt;0,"1 Negative",G3519=0,"2 Zero",G3519&lt;=500,"3 1-500",G3519&lt;=2000,"4 501-2000",TRUE(),"5 Above 2000")</f>
        <v>4 501-2000</v>
      </c>
      <c r="P3519" s="2" t="n">
        <f aca="false">Lookups!$B$2*M3519+Lookups!$B$3*L3519</f>
        <v>0</v>
      </c>
      <c r="Q3519" s="2" t="str">
        <f aca="false">INDEX(Lookups!$E$2:$E$5,MATCH(P3519,Lookups!$D$2:$D$5,0))</f>
        <v>Low</v>
      </c>
    </row>
    <row r="3520" customFormat="false" ht="15" hidden="false" customHeight="false" outlineLevel="0" collapsed="false">
      <c r="A3520" s="3" t="n">
        <v>3519</v>
      </c>
      <c r="B3520" s="3" t="n">
        <f aca="false">Raw_Data!A3520</f>
        <v>39</v>
      </c>
      <c r="C3520" s="3" t="str">
        <f aca="false">SUBSTITUTE(Raw_Data!B3520,".","")</f>
        <v>self-employed</v>
      </c>
      <c r="D3520" s="3" t="str">
        <f aca="false">Raw_Data!C3520</f>
        <v>married</v>
      </c>
      <c r="E3520" s="3" t="str">
        <f aca="false">Raw_Data!D3520</f>
        <v>secondary</v>
      </c>
      <c r="F3520" s="3" t="str">
        <f aca="false">Raw_Data!E3520</f>
        <v>no</v>
      </c>
      <c r="G3520" s="3" t="n">
        <f aca="false">Raw_Data!F3520</f>
        <v>31</v>
      </c>
      <c r="H3520" s="3" t="str">
        <f aca="false">Raw_Data!G3520</f>
        <v>yes</v>
      </c>
      <c r="I3520" s="3" t="str">
        <f aca="false">Raw_Data!H3520</f>
        <v>no</v>
      </c>
      <c r="J3520" s="2" t="n">
        <f aca="false">IF(F3520="yes",1,0)</f>
        <v>0</v>
      </c>
      <c r="K3520" s="2" t="n">
        <f aca="false">IF(H3520="yes",1,0)</f>
        <v>1</v>
      </c>
      <c r="L3520" s="2" t="n">
        <f aca="false">IF(I3520="yes",1,0)</f>
        <v>0</v>
      </c>
      <c r="M3520" s="2" t="n">
        <f aca="false">IF(G3520&lt;0,1,0)</f>
        <v>0</v>
      </c>
      <c r="N3520" s="2" t="str">
        <f aca="false">_xlfn.IFS(B3520&lt;30,"Under 30",B3520&lt;40,"30-39",B3520&lt;50,"40-49",B3520&lt;60,"50-59",TRUE(),"60+")</f>
        <v>30-39</v>
      </c>
      <c r="O3520" s="2" t="str">
        <f aca="false">_xlfn.IFS(G3520&lt;0,"1 Negative",G3520=0,"2 Zero",G3520&lt;=500,"3 1-500",G3520&lt;=2000,"4 501-2000",TRUE(),"5 Above 2000")</f>
        <v>3 1-500</v>
      </c>
      <c r="P3520" s="2" t="n">
        <f aca="false">Lookups!$B$2*M3520+Lookups!$B$3*L3520</f>
        <v>0</v>
      </c>
      <c r="Q3520" s="2" t="str">
        <f aca="false">INDEX(Lookups!$E$2:$E$5,MATCH(P3520,Lookups!$D$2:$D$5,0))</f>
        <v>Low</v>
      </c>
    </row>
    <row r="3521" customFormat="false" ht="15" hidden="false" customHeight="false" outlineLevel="0" collapsed="false">
      <c r="A3521" s="3" t="n">
        <v>3520</v>
      </c>
      <c r="B3521" s="3" t="n">
        <f aca="false">Raw_Data!A3521</f>
        <v>54</v>
      </c>
      <c r="C3521" s="3" t="str">
        <f aca="false">SUBSTITUTE(Raw_Data!B3521,".","")</f>
        <v>technician</v>
      </c>
      <c r="D3521" s="3" t="str">
        <f aca="false">Raw_Data!C3521</f>
        <v>married</v>
      </c>
      <c r="E3521" s="3" t="str">
        <f aca="false">Raw_Data!D3521</f>
        <v>secondary</v>
      </c>
      <c r="F3521" s="3" t="str">
        <f aca="false">Raw_Data!E3521</f>
        <v>no</v>
      </c>
      <c r="G3521" s="3" t="n">
        <f aca="false">Raw_Data!F3521</f>
        <v>0</v>
      </c>
      <c r="H3521" s="3" t="str">
        <f aca="false">Raw_Data!G3521</f>
        <v>no</v>
      </c>
      <c r="I3521" s="3" t="str">
        <f aca="false">Raw_Data!H3521</f>
        <v>no</v>
      </c>
      <c r="J3521" s="2" t="n">
        <f aca="false">IF(F3521="yes",1,0)</f>
        <v>0</v>
      </c>
      <c r="K3521" s="2" t="n">
        <f aca="false">IF(H3521="yes",1,0)</f>
        <v>0</v>
      </c>
      <c r="L3521" s="2" t="n">
        <f aca="false">IF(I3521="yes",1,0)</f>
        <v>0</v>
      </c>
      <c r="M3521" s="2" t="n">
        <f aca="false">IF(G3521&lt;0,1,0)</f>
        <v>0</v>
      </c>
      <c r="N3521" s="2" t="str">
        <f aca="false">_xlfn.IFS(B3521&lt;30,"Under 30",B3521&lt;40,"30-39",B3521&lt;50,"40-49",B3521&lt;60,"50-59",TRUE(),"60+")</f>
        <v>50-59</v>
      </c>
      <c r="O3521" s="2" t="str">
        <f aca="false">_xlfn.IFS(G3521&lt;0,"1 Negative",G3521=0,"2 Zero",G3521&lt;=500,"3 1-500",G3521&lt;=2000,"4 501-2000",TRUE(),"5 Above 2000")</f>
        <v>2 Zero</v>
      </c>
      <c r="P3521" s="2" t="n">
        <f aca="false">Lookups!$B$2*M3521+Lookups!$B$3*L3521</f>
        <v>0</v>
      </c>
      <c r="Q3521" s="2" t="str">
        <f aca="false">INDEX(Lookups!$E$2:$E$5,MATCH(P3521,Lookups!$D$2:$D$5,0))</f>
        <v>Low</v>
      </c>
    </row>
    <row r="3522" customFormat="false" ht="15" hidden="false" customHeight="false" outlineLevel="0" collapsed="false">
      <c r="A3522" s="3" t="n">
        <v>3521</v>
      </c>
      <c r="B3522" s="3" t="n">
        <f aca="false">Raw_Data!A3522</f>
        <v>32</v>
      </c>
      <c r="C3522" s="3" t="str">
        <f aca="false">SUBSTITUTE(Raw_Data!B3522,".","")</f>
        <v>management</v>
      </c>
      <c r="D3522" s="3" t="str">
        <f aca="false">Raw_Data!C3522</f>
        <v>single</v>
      </c>
      <c r="E3522" s="3" t="str">
        <f aca="false">Raw_Data!D3522</f>
        <v>tertiary</v>
      </c>
      <c r="F3522" s="3" t="str">
        <f aca="false">Raw_Data!E3522</f>
        <v>no</v>
      </c>
      <c r="G3522" s="3" t="n">
        <f aca="false">Raw_Data!F3522</f>
        <v>347</v>
      </c>
      <c r="H3522" s="3" t="str">
        <f aca="false">Raw_Data!G3522</f>
        <v>yes</v>
      </c>
      <c r="I3522" s="3" t="str">
        <f aca="false">Raw_Data!H3522</f>
        <v>no</v>
      </c>
      <c r="J3522" s="2" t="n">
        <f aca="false">IF(F3522="yes",1,0)</f>
        <v>0</v>
      </c>
      <c r="K3522" s="2" t="n">
        <f aca="false">IF(H3522="yes",1,0)</f>
        <v>1</v>
      </c>
      <c r="L3522" s="2" t="n">
        <f aca="false">IF(I3522="yes",1,0)</f>
        <v>0</v>
      </c>
      <c r="M3522" s="2" t="n">
        <f aca="false">IF(G3522&lt;0,1,0)</f>
        <v>0</v>
      </c>
      <c r="N3522" s="2" t="str">
        <f aca="false">_xlfn.IFS(B3522&lt;30,"Under 30",B3522&lt;40,"30-39",B3522&lt;50,"40-49",B3522&lt;60,"50-59",TRUE(),"60+")</f>
        <v>30-39</v>
      </c>
      <c r="O3522" s="2" t="str">
        <f aca="false">_xlfn.IFS(G3522&lt;0,"1 Negative",G3522=0,"2 Zero",G3522&lt;=500,"3 1-500",G3522&lt;=2000,"4 501-2000",TRUE(),"5 Above 2000")</f>
        <v>3 1-500</v>
      </c>
      <c r="P3522" s="2" t="n">
        <f aca="false">Lookups!$B$2*M3522+Lookups!$B$3*L3522</f>
        <v>0</v>
      </c>
      <c r="Q3522" s="2" t="str">
        <f aca="false">INDEX(Lookups!$E$2:$E$5,MATCH(P3522,Lookups!$D$2:$D$5,0))</f>
        <v>Low</v>
      </c>
    </row>
    <row r="3523" customFormat="false" ht="15" hidden="false" customHeight="false" outlineLevel="0" collapsed="false">
      <c r="A3523" s="3" t="n">
        <v>3522</v>
      </c>
      <c r="B3523" s="3" t="n">
        <f aca="false">Raw_Data!A3523</f>
        <v>36</v>
      </c>
      <c r="C3523" s="3" t="str">
        <f aca="false">SUBSTITUTE(Raw_Data!B3523,".","")</f>
        <v>management</v>
      </c>
      <c r="D3523" s="3" t="str">
        <f aca="false">Raw_Data!C3523</f>
        <v>married</v>
      </c>
      <c r="E3523" s="3" t="str">
        <f aca="false">Raw_Data!D3523</f>
        <v>tertiary</v>
      </c>
      <c r="F3523" s="3" t="str">
        <f aca="false">Raw_Data!E3523</f>
        <v>no</v>
      </c>
      <c r="G3523" s="3" t="n">
        <f aca="false">Raw_Data!F3523</f>
        <v>860</v>
      </c>
      <c r="H3523" s="3" t="str">
        <f aca="false">Raw_Data!G3523</f>
        <v>yes</v>
      </c>
      <c r="I3523" s="3" t="str">
        <f aca="false">Raw_Data!H3523</f>
        <v>no</v>
      </c>
      <c r="J3523" s="2" t="n">
        <f aca="false">IF(F3523="yes",1,0)</f>
        <v>0</v>
      </c>
      <c r="K3523" s="2" t="n">
        <f aca="false">IF(H3523="yes",1,0)</f>
        <v>1</v>
      </c>
      <c r="L3523" s="2" t="n">
        <f aca="false">IF(I3523="yes",1,0)</f>
        <v>0</v>
      </c>
      <c r="M3523" s="2" t="n">
        <f aca="false">IF(G3523&lt;0,1,0)</f>
        <v>0</v>
      </c>
      <c r="N3523" s="2" t="str">
        <f aca="false">_xlfn.IFS(B3523&lt;30,"Under 30",B3523&lt;40,"30-39",B3523&lt;50,"40-49",B3523&lt;60,"50-59",TRUE(),"60+")</f>
        <v>30-39</v>
      </c>
      <c r="O3523" s="2" t="str">
        <f aca="false">_xlfn.IFS(G3523&lt;0,"1 Negative",G3523=0,"2 Zero",G3523&lt;=500,"3 1-500",G3523&lt;=2000,"4 501-2000",TRUE(),"5 Above 2000")</f>
        <v>4 501-2000</v>
      </c>
      <c r="P3523" s="2" t="n">
        <f aca="false">Lookups!$B$2*M3523+Lookups!$B$3*L3523</f>
        <v>0</v>
      </c>
      <c r="Q3523" s="2" t="str">
        <f aca="false">INDEX(Lookups!$E$2:$E$5,MATCH(P3523,Lookups!$D$2:$D$5,0))</f>
        <v>Low</v>
      </c>
    </row>
    <row r="3524" customFormat="false" ht="15" hidden="false" customHeight="false" outlineLevel="0" collapsed="false">
      <c r="A3524" s="3" t="n">
        <v>3523</v>
      </c>
      <c r="B3524" s="3" t="n">
        <f aca="false">Raw_Data!A3524</f>
        <v>54</v>
      </c>
      <c r="C3524" s="3" t="str">
        <f aca="false">SUBSTITUTE(Raw_Data!B3524,".","")</f>
        <v>technician</v>
      </c>
      <c r="D3524" s="3" t="str">
        <f aca="false">Raw_Data!C3524</f>
        <v>married</v>
      </c>
      <c r="E3524" s="3" t="str">
        <f aca="false">Raw_Data!D3524</f>
        <v>secondary</v>
      </c>
      <c r="F3524" s="3" t="str">
        <f aca="false">Raw_Data!E3524</f>
        <v>no</v>
      </c>
      <c r="G3524" s="3" t="n">
        <f aca="false">Raw_Data!F3524</f>
        <v>89</v>
      </c>
      <c r="H3524" s="3" t="str">
        <f aca="false">Raw_Data!G3524</f>
        <v>yes</v>
      </c>
      <c r="I3524" s="3" t="str">
        <f aca="false">Raw_Data!H3524</f>
        <v>no</v>
      </c>
      <c r="J3524" s="2" t="n">
        <f aca="false">IF(F3524="yes",1,0)</f>
        <v>0</v>
      </c>
      <c r="K3524" s="2" t="n">
        <f aca="false">IF(H3524="yes",1,0)</f>
        <v>1</v>
      </c>
      <c r="L3524" s="2" t="n">
        <f aca="false">IF(I3524="yes",1,0)</f>
        <v>0</v>
      </c>
      <c r="M3524" s="2" t="n">
        <f aca="false">IF(G3524&lt;0,1,0)</f>
        <v>0</v>
      </c>
      <c r="N3524" s="2" t="str">
        <f aca="false">_xlfn.IFS(B3524&lt;30,"Under 30",B3524&lt;40,"30-39",B3524&lt;50,"40-49",B3524&lt;60,"50-59",TRUE(),"60+")</f>
        <v>50-59</v>
      </c>
      <c r="O3524" s="2" t="str">
        <f aca="false">_xlfn.IFS(G3524&lt;0,"1 Negative",G3524=0,"2 Zero",G3524&lt;=500,"3 1-500",G3524&lt;=2000,"4 501-2000",TRUE(),"5 Above 2000")</f>
        <v>3 1-500</v>
      </c>
      <c r="P3524" s="2" t="n">
        <f aca="false">Lookups!$B$2*M3524+Lookups!$B$3*L3524</f>
        <v>0</v>
      </c>
      <c r="Q3524" s="2" t="str">
        <f aca="false">INDEX(Lookups!$E$2:$E$5,MATCH(P3524,Lookups!$D$2:$D$5,0))</f>
        <v>Low</v>
      </c>
    </row>
    <row r="3525" customFormat="false" ht="15" hidden="false" customHeight="false" outlineLevel="0" collapsed="false">
      <c r="A3525" s="3" t="n">
        <v>3524</v>
      </c>
      <c r="B3525" s="3" t="n">
        <f aca="false">Raw_Data!A3525</f>
        <v>31</v>
      </c>
      <c r="C3525" s="3" t="str">
        <f aca="false">SUBSTITUTE(Raw_Data!B3525,".","")</f>
        <v>technician</v>
      </c>
      <c r="D3525" s="3" t="str">
        <f aca="false">Raw_Data!C3525</f>
        <v>married</v>
      </c>
      <c r="E3525" s="3" t="str">
        <f aca="false">Raw_Data!D3525</f>
        <v>secondary</v>
      </c>
      <c r="F3525" s="3" t="str">
        <f aca="false">Raw_Data!E3525</f>
        <v>no</v>
      </c>
      <c r="G3525" s="3" t="n">
        <f aca="false">Raw_Data!F3525</f>
        <v>0</v>
      </c>
      <c r="H3525" s="3" t="str">
        <f aca="false">Raw_Data!G3525</f>
        <v>yes</v>
      </c>
      <c r="I3525" s="3" t="str">
        <f aca="false">Raw_Data!H3525</f>
        <v>yes</v>
      </c>
      <c r="J3525" s="2" t="n">
        <f aca="false">IF(F3525="yes",1,0)</f>
        <v>0</v>
      </c>
      <c r="K3525" s="2" t="n">
        <f aca="false">IF(H3525="yes",1,0)</f>
        <v>1</v>
      </c>
      <c r="L3525" s="2" t="n">
        <f aca="false">IF(I3525="yes",1,0)</f>
        <v>1</v>
      </c>
      <c r="M3525" s="2" t="n">
        <f aca="false">IF(G3525&lt;0,1,0)</f>
        <v>0</v>
      </c>
      <c r="N3525" s="2" t="str">
        <f aca="false">_xlfn.IFS(B3525&lt;30,"Under 30",B3525&lt;40,"30-39",B3525&lt;50,"40-49",B3525&lt;60,"50-59",TRUE(),"60+")</f>
        <v>30-39</v>
      </c>
      <c r="O3525" s="2" t="str">
        <f aca="false">_xlfn.IFS(G3525&lt;0,"1 Negative",G3525=0,"2 Zero",G3525&lt;=500,"3 1-500",G3525&lt;=2000,"4 501-2000",TRUE(),"5 Above 2000")</f>
        <v>2 Zero</v>
      </c>
      <c r="P3525" s="2" t="n">
        <f aca="false">Lookups!$B$2*M3525+Lookups!$B$3*L3525</f>
        <v>1</v>
      </c>
      <c r="Q3525" s="2" t="str">
        <f aca="false">INDEX(Lookups!$E$2:$E$5,MATCH(P3525,Lookups!$D$2:$D$5,0))</f>
        <v>Medium</v>
      </c>
    </row>
    <row r="3526" customFormat="false" ht="15" hidden="false" customHeight="false" outlineLevel="0" collapsed="false">
      <c r="A3526" s="3" t="n">
        <v>3525</v>
      </c>
      <c r="B3526" s="3" t="n">
        <f aca="false">Raw_Data!A3526</f>
        <v>45</v>
      </c>
      <c r="C3526" s="3" t="str">
        <f aca="false">SUBSTITUTE(Raw_Data!B3526,".","")</f>
        <v>services</v>
      </c>
      <c r="D3526" s="3" t="str">
        <f aca="false">Raw_Data!C3526</f>
        <v>married</v>
      </c>
      <c r="E3526" s="3" t="str">
        <f aca="false">Raw_Data!D3526</f>
        <v>secondary</v>
      </c>
      <c r="F3526" s="3" t="str">
        <f aca="false">Raw_Data!E3526</f>
        <v>no</v>
      </c>
      <c r="G3526" s="3" t="n">
        <f aca="false">Raw_Data!F3526</f>
        <v>0</v>
      </c>
      <c r="H3526" s="3" t="str">
        <f aca="false">Raw_Data!G3526</f>
        <v>no</v>
      </c>
      <c r="I3526" s="3" t="str">
        <f aca="false">Raw_Data!H3526</f>
        <v>yes</v>
      </c>
      <c r="J3526" s="2" t="n">
        <f aca="false">IF(F3526="yes",1,0)</f>
        <v>0</v>
      </c>
      <c r="K3526" s="2" t="n">
        <f aca="false">IF(H3526="yes",1,0)</f>
        <v>0</v>
      </c>
      <c r="L3526" s="2" t="n">
        <f aca="false">IF(I3526="yes",1,0)</f>
        <v>1</v>
      </c>
      <c r="M3526" s="2" t="n">
        <f aca="false">IF(G3526&lt;0,1,0)</f>
        <v>0</v>
      </c>
      <c r="N3526" s="2" t="str">
        <f aca="false">_xlfn.IFS(B3526&lt;30,"Under 30",B3526&lt;40,"30-39",B3526&lt;50,"40-49",B3526&lt;60,"50-59",TRUE(),"60+")</f>
        <v>40-49</v>
      </c>
      <c r="O3526" s="2" t="str">
        <f aca="false">_xlfn.IFS(G3526&lt;0,"1 Negative",G3526=0,"2 Zero",G3526&lt;=500,"3 1-500",G3526&lt;=2000,"4 501-2000",TRUE(),"5 Above 2000")</f>
        <v>2 Zero</v>
      </c>
      <c r="P3526" s="2" t="n">
        <f aca="false">Lookups!$B$2*M3526+Lookups!$B$3*L3526</f>
        <v>1</v>
      </c>
      <c r="Q3526" s="2" t="str">
        <f aca="false">INDEX(Lookups!$E$2:$E$5,MATCH(P3526,Lookups!$D$2:$D$5,0))</f>
        <v>Medium</v>
      </c>
    </row>
    <row r="3527" customFormat="false" ht="15" hidden="false" customHeight="false" outlineLevel="0" collapsed="false">
      <c r="A3527" s="3" t="n">
        <v>3526</v>
      </c>
      <c r="B3527" s="3" t="n">
        <f aca="false">Raw_Data!A3527</f>
        <v>31</v>
      </c>
      <c r="C3527" s="3" t="str">
        <f aca="false">SUBSTITUTE(Raw_Data!B3527,".","")</f>
        <v>admin</v>
      </c>
      <c r="D3527" s="3" t="str">
        <f aca="false">Raw_Data!C3527</f>
        <v>single</v>
      </c>
      <c r="E3527" s="3" t="str">
        <f aca="false">Raw_Data!D3527</f>
        <v>secondary</v>
      </c>
      <c r="F3527" s="3" t="str">
        <f aca="false">Raw_Data!E3527</f>
        <v>no</v>
      </c>
      <c r="G3527" s="3" t="n">
        <f aca="false">Raw_Data!F3527</f>
        <v>68</v>
      </c>
      <c r="H3527" s="3" t="str">
        <f aca="false">Raw_Data!G3527</f>
        <v>yes</v>
      </c>
      <c r="I3527" s="3" t="str">
        <f aca="false">Raw_Data!H3527</f>
        <v>no</v>
      </c>
      <c r="J3527" s="2" t="n">
        <f aca="false">IF(F3527="yes",1,0)</f>
        <v>0</v>
      </c>
      <c r="K3527" s="2" t="n">
        <f aca="false">IF(H3527="yes",1,0)</f>
        <v>1</v>
      </c>
      <c r="L3527" s="2" t="n">
        <f aca="false">IF(I3527="yes",1,0)</f>
        <v>0</v>
      </c>
      <c r="M3527" s="2" t="n">
        <f aca="false">IF(G3527&lt;0,1,0)</f>
        <v>0</v>
      </c>
      <c r="N3527" s="2" t="str">
        <f aca="false">_xlfn.IFS(B3527&lt;30,"Under 30",B3527&lt;40,"30-39",B3527&lt;50,"40-49",B3527&lt;60,"50-59",TRUE(),"60+")</f>
        <v>30-39</v>
      </c>
      <c r="O3527" s="2" t="str">
        <f aca="false">_xlfn.IFS(G3527&lt;0,"1 Negative",G3527=0,"2 Zero",G3527&lt;=500,"3 1-500",G3527&lt;=2000,"4 501-2000",TRUE(),"5 Above 2000")</f>
        <v>3 1-500</v>
      </c>
      <c r="P3527" s="2" t="n">
        <f aca="false">Lookups!$B$2*M3527+Lookups!$B$3*L3527</f>
        <v>0</v>
      </c>
      <c r="Q3527" s="2" t="str">
        <f aca="false">INDEX(Lookups!$E$2:$E$5,MATCH(P3527,Lookups!$D$2:$D$5,0))</f>
        <v>Low</v>
      </c>
    </row>
    <row r="3528" customFormat="false" ht="15" hidden="false" customHeight="false" outlineLevel="0" collapsed="false">
      <c r="A3528" s="3" t="n">
        <v>3527</v>
      </c>
      <c r="B3528" s="3" t="n">
        <f aca="false">Raw_Data!A3528</f>
        <v>45</v>
      </c>
      <c r="C3528" s="3" t="str">
        <f aca="false">SUBSTITUTE(Raw_Data!B3528,".","")</f>
        <v>technician</v>
      </c>
      <c r="D3528" s="3" t="str">
        <f aca="false">Raw_Data!C3528</f>
        <v>married</v>
      </c>
      <c r="E3528" s="3" t="str">
        <f aca="false">Raw_Data!D3528</f>
        <v>secondary</v>
      </c>
      <c r="F3528" s="3" t="str">
        <f aca="false">Raw_Data!E3528</f>
        <v>no</v>
      </c>
      <c r="G3528" s="3" t="n">
        <f aca="false">Raw_Data!F3528</f>
        <v>-149</v>
      </c>
      <c r="H3528" s="3" t="str">
        <f aca="false">Raw_Data!G3528</f>
        <v>yes</v>
      </c>
      <c r="I3528" s="3" t="str">
        <f aca="false">Raw_Data!H3528</f>
        <v>no</v>
      </c>
      <c r="J3528" s="2" t="n">
        <f aca="false">IF(F3528="yes",1,0)</f>
        <v>0</v>
      </c>
      <c r="K3528" s="2" t="n">
        <f aca="false">IF(H3528="yes",1,0)</f>
        <v>1</v>
      </c>
      <c r="L3528" s="2" t="n">
        <f aca="false">IF(I3528="yes",1,0)</f>
        <v>0</v>
      </c>
      <c r="M3528" s="2" t="n">
        <f aca="false">IF(G3528&lt;0,1,0)</f>
        <v>1</v>
      </c>
      <c r="N3528" s="2" t="str">
        <f aca="false">_xlfn.IFS(B3528&lt;30,"Under 30",B3528&lt;40,"30-39",B3528&lt;50,"40-49",B3528&lt;60,"50-59",TRUE(),"60+")</f>
        <v>40-49</v>
      </c>
      <c r="O3528" s="2" t="str">
        <f aca="false">_xlfn.IFS(G3528&lt;0,"1 Negative",G3528=0,"2 Zero",G3528&lt;=500,"3 1-500",G3528&lt;=2000,"4 501-2000",TRUE(),"5 Above 2000")</f>
        <v>1 Negative</v>
      </c>
      <c r="P3528" s="2" t="n">
        <f aca="false">Lookups!$B$2*M3528+Lookups!$B$3*L3528</f>
        <v>2</v>
      </c>
      <c r="Q3528" s="2" t="str">
        <f aca="false">INDEX(Lookups!$E$2:$E$5,MATCH(P3528,Lookups!$D$2:$D$5,0))</f>
        <v>High</v>
      </c>
    </row>
    <row r="3529" customFormat="false" ht="15" hidden="false" customHeight="false" outlineLevel="0" collapsed="false">
      <c r="A3529" s="3" t="n">
        <v>3528</v>
      </c>
      <c r="B3529" s="3" t="n">
        <f aca="false">Raw_Data!A3529</f>
        <v>33</v>
      </c>
      <c r="C3529" s="3" t="str">
        <f aca="false">SUBSTITUTE(Raw_Data!B3529,".","")</f>
        <v>services</v>
      </c>
      <c r="D3529" s="3" t="str">
        <f aca="false">Raw_Data!C3529</f>
        <v>divorced</v>
      </c>
      <c r="E3529" s="3" t="str">
        <f aca="false">Raw_Data!D3529</f>
        <v>secondary</v>
      </c>
      <c r="F3529" s="3" t="str">
        <f aca="false">Raw_Data!E3529</f>
        <v>no</v>
      </c>
      <c r="G3529" s="3" t="n">
        <f aca="false">Raw_Data!F3529</f>
        <v>2411</v>
      </c>
      <c r="H3529" s="3" t="str">
        <f aca="false">Raw_Data!G3529</f>
        <v>yes</v>
      </c>
      <c r="I3529" s="3" t="str">
        <f aca="false">Raw_Data!H3529</f>
        <v>no</v>
      </c>
      <c r="J3529" s="2" t="n">
        <f aca="false">IF(F3529="yes",1,0)</f>
        <v>0</v>
      </c>
      <c r="K3529" s="2" t="n">
        <f aca="false">IF(H3529="yes",1,0)</f>
        <v>1</v>
      </c>
      <c r="L3529" s="2" t="n">
        <f aca="false">IF(I3529="yes",1,0)</f>
        <v>0</v>
      </c>
      <c r="M3529" s="2" t="n">
        <f aca="false">IF(G3529&lt;0,1,0)</f>
        <v>0</v>
      </c>
      <c r="N3529" s="2" t="str">
        <f aca="false">_xlfn.IFS(B3529&lt;30,"Under 30",B3529&lt;40,"30-39",B3529&lt;50,"40-49",B3529&lt;60,"50-59",TRUE(),"60+")</f>
        <v>30-39</v>
      </c>
      <c r="O3529" s="2" t="str">
        <f aca="false">_xlfn.IFS(G3529&lt;0,"1 Negative",G3529=0,"2 Zero",G3529&lt;=500,"3 1-500",G3529&lt;=2000,"4 501-2000",TRUE(),"5 Above 2000")</f>
        <v>5 Above 2000</v>
      </c>
      <c r="P3529" s="2" t="n">
        <f aca="false">Lookups!$B$2*M3529+Lookups!$B$3*L3529</f>
        <v>0</v>
      </c>
      <c r="Q3529" s="2" t="str">
        <f aca="false">INDEX(Lookups!$E$2:$E$5,MATCH(P3529,Lookups!$D$2:$D$5,0))</f>
        <v>Low</v>
      </c>
    </row>
    <row r="3530" customFormat="false" ht="15" hidden="false" customHeight="false" outlineLevel="0" collapsed="false">
      <c r="A3530" s="3" t="n">
        <v>3529</v>
      </c>
      <c r="B3530" s="3" t="n">
        <f aca="false">Raw_Data!A3530</f>
        <v>46</v>
      </c>
      <c r="C3530" s="3" t="str">
        <f aca="false">SUBSTITUTE(Raw_Data!B3530,".","")</f>
        <v>management</v>
      </c>
      <c r="D3530" s="3" t="str">
        <f aca="false">Raw_Data!C3530</f>
        <v>divorced</v>
      </c>
      <c r="E3530" s="3" t="str">
        <f aca="false">Raw_Data!D3530</f>
        <v>tertiary</v>
      </c>
      <c r="F3530" s="3" t="str">
        <f aca="false">Raw_Data!E3530</f>
        <v>no</v>
      </c>
      <c r="G3530" s="3" t="n">
        <f aca="false">Raw_Data!F3530</f>
        <v>225</v>
      </c>
      <c r="H3530" s="3" t="str">
        <f aca="false">Raw_Data!G3530</f>
        <v>yes</v>
      </c>
      <c r="I3530" s="3" t="str">
        <f aca="false">Raw_Data!H3530</f>
        <v>no</v>
      </c>
      <c r="J3530" s="2" t="n">
        <f aca="false">IF(F3530="yes",1,0)</f>
        <v>0</v>
      </c>
      <c r="K3530" s="2" t="n">
        <f aca="false">IF(H3530="yes",1,0)</f>
        <v>1</v>
      </c>
      <c r="L3530" s="2" t="n">
        <f aca="false">IF(I3530="yes",1,0)</f>
        <v>0</v>
      </c>
      <c r="M3530" s="2" t="n">
        <f aca="false">IF(G3530&lt;0,1,0)</f>
        <v>0</v>
      </c>
      <c r="N3530" s="2" t="str">
        <f aca="false">_xlfn.IFS(B3530&lt;30,"Under 30",B3530&lt;40,"30-39",B3530&lt;50,"40-49",B3530&lt;60,"50-59",TRUE(),"60+")</f>
        <v>40-49</v>
      </c>
      <c r="O3530" s="2" t="str">
        <f aca="false">_xlfn.IFS(G3530&lt;0,"1 Negative",G3530=0,"2 Zero",G3530&lt;=500,"3 1-500",G3530&lt;=2000,"4 501-2000",TRUE(),"5 Above 2000")</f>
        <v>3 1-500</v>
      </c>
      <c r="P3530" s="2" t="n">
        <f aca="false">Lookups!$B$2*M3530+Lookups!$B$3*L3530</f>
        <v>0</v>
      </c>
      <c r="Q3530" s="2" t="str">
        <f aca="false">INDEX(Lookups!$E$2:$E$5,MATCH(P3530,Lookups!$D$2:$D$5,0))</f>
        <v>Low</v>
      </c>
    </row>
    <row r="3531" customFormat="false" ht="15" hidden="false" customHeight="false" outlineLevel="0" collapsed="false">
      <c r="A3531" s="3" t="n">
        <v>3530</v>
      </c>
      <c r="B3531" s="3" t="n">
        <f aca="false">Raw_Data!A3531</f>
        <v>43</v>
      </c>
      <c r="C3531" s="3" t="str">
        <f aca="false">SUBSTITUTE(Raw_Data!B3531,".","")</f>
        <v>unknown</v>
      </c>
      <c r="D3531" s="3" t="str">
        <f aca="false">Raw_Data!C3531</f>
        <v>single</v>
      </c>
      <c r="E3531" s="3" t="str">
        <f aca="false">Raw_Data!D3531</f>
        <v>tertiary</v>
      </c>
      <c r="F3531" s="3" t="str">
        <f aca="false">Raw_Data!E3531</f>
        <v>no</v>
      </c>
      <c r="G3531" s="3" t="n">
        <f aca="false">Raw_Data!F3531</f>
        <v>2731</v>
      </c>
      <c r="H3531" s="3" t="str">
        <f aca="false">Raw_Data!G3531</f>
        <v>no</v>
      </c>
      <c r="I3531" s="3" t="str">
        <f aca="false">Raw_Data!H3531</f>
        <v>no</v>
      </c>
      <c r="J3531" s="2" t="n">
        <f aca="false">IF(F3531="yes",1,0)</f>
        <v>0</v>
      </c>
      <c r="K3531" s="2" t="n">
        <f aca="false">IF(H3531="yes",1,0)</f>
        <v>0</v>
      </c>
      <c r="L3531" s="2" t="n">
        <f aca="false">IF(I3531="yes",1,0)</f>
        <v>0</v>
      </c>
      <c r="M3531" s="2" t="n">
        <f aca="false">IF(G3531&lt;0,1,0)</f>
        <v>0</v>
      </c>
      <c r="N3531" s="2" t="str">
        <f aca="false">_xlfn.IFS(B3531&lt;30,"Under 30",B3531&lt;40,"30-39",B3531&lt;50,"40-49",B3531&lt;60,"50-59",TRUE(),"60+")</f>
        <v>40-49</v>
      </c>
      <c r="O3531" s="2" t="str">
        <f aca="false">_xlfn.IFS(G3531&lt;0,"1 Negative",G3531=0,"2 Zero",G3531&lt;=500,"3 1-500",G3531&lt;=2000,"4 501-2000",TRUE(),"5 Above 2000")</f>
        <v>5 Above 2000</v>
      </c>
      <c r="P3531" s="2" t="n">
        <f aca="false">Lookups!$B$2*M3531+Lookups!$B$3*L3531</f>
        <v>0</v>
      </c>
      <c r="Q3531" s="2" t="str">
        <f aca="false">INDEX(Lookups!$E$2:$E$5,MATCH(P3531,Lookups!$D$2:$D$5,0))</f>
        <v>Low</v>
      </c>
    </row>
    <row r="3532" customFormat="false" ht="15" hidden="false" customHeight="false" outlineLevel="0" collapsed="false">
      <c r="A3532" s="3" t="n">
        <v>3531</v>
      </c>
      <c r="B3532" s="3" t="n">
        <f aca="false">Raw_Data!A3532</f>
        <v>50</v>
      </c>
      <c r="C3532" s="3" t="str">
        <f aca="false">SUBSTITUTE(Raw_Data!B3532,".","")</f>
        <v>management</v>
      </c>
      <c r="D3532" s="3" t="str">
        <f aca="false">Raw_Data!C3532</f>
        <v>married</v>
      </c>
      <c r="E3532" s="3" t="str">
        <f aca="false">Raw_Data!D3532</f>
        <v>tertiary</v>
      </c>
      <c r="F3532" s="3" t="str">
        <f aca="false">Raw_Data!E3532</f>
        <v>no</v>
      </c>
      <c r="G3532" s="3" t="n">
        <f aca="false">Raw_Data!F3532</f>
        <v>112</v>
      </c>
      <c r="H3532" s="3" t="str">
        <f aca="false">Raw_Data!G3532</f>
        <v>yes</v>
      </c>
      <c r="I3532" s="3" t="str">
        <f aca="false">Raw_Data!H3532</f>
        <v>no</v>
      </c>
      <c r="J3532" s="2" t="n">
        <f aca="false">IF(F3532="yes",1,0)</f>
        <v>0</v>
      </c>
      <c r="K3532" s="2" t="n">
        <f aca="false">IF(H3532="yes",1,0)</f>
        <v>1</v>
      </c>
      <c r="L3532" s="2" t="n">
        <f aca="false">IF(I3532="yes",1,0)</f>
        <v>0</v>
      </c>
      <c r="M3532" s="2" t="n">
        <f aca="false">IF(G3532&lt;0,1,0)</f>
        <v>0</v>
      </c>
      <c r="N3532" s="2" t="str">
        <f aca="false">_xlfn.IFS(B3532&lt;30,"Under 30",B3532&lt;40,"30-39",B3532&lt;50,"40-49",B3532&lt;60,"50-59",TRUE(),"60+")</f>
        <v>50-59</v>
      </c>
      <c r="O3532" s="2" t="str">
        <f aca="false">_xlfn.IFS(G3532&lt;0,"1 Negative",G3532=0,"2 Zero",G3532&lt;=500,"3 1-500",G3532&lt;=2000,"4 501-2000",TRUE(),"5 Above 2000")</f>
        <v>3 1-500</v>
      </c>
      <c r="P3532" s="2" t="n">
        <f aca="false">Lookups!$B$2*M3532+Lookups!$B$3*L3532</f>
        <v>0</v>
      </c>
      <c r="Q3532" s="2" t="str">
        <f aca="false">INDEX(Lookups!$E$2:$E$5,MATCH(P3532,Lookups!$D$2:$D$5,0))</f>
        <v>Low</v>
      </c>
    </row>
    <row r="3533" customFormat="false" ht="15" hidden="false" customHeight="false" outlineLevel="0" collapsed="false">
      <c r="A3533" s="3" t="n">
        <v>3532</v>
      </c>
      <c r="B3533" s="3" t="n">
        <f aca="false">Raw_Data!A3533</f>
        <v>44</v>
      </c>
      <c r="C3533" s="3" t="str">
        <f aca="false">SUBSTITUTE(Raw_Data!B3533,".","")</f>
        <v>management</v>
      </c>
      <c r="D3533" s="3" t="str">
        <f aca="false">Raw_Data!C3533</f>
        <v>divorced</v>
      </c>
      <c r="E3533" s="3" t="str">
        <f aca="false">Raw_Data!D3533</f>
        <v>tertiary</v>
      </c>
      <c r="F3533" s="3" t="str">
        <f aca="false">Raw_Data!E3533</f>
        <v>no</v>
      </c>
      <c r="G3533" s="3" t="n">
        <f aca="false">Raw_Data!F3533</f>
        <v>0</v>
      </c>
      <c r="H3533" s="3" t="str">
        <f aca="false">Raw_Data!G3533</f>
        <v>no</v>
      </c>
      <c r="I3533" s="3" t="str">
        <f aca="false">Raw_Data!H3533</f>
        <v>no</v>
      </c>
      <c r="J3533" s="2" t="n">
        <f aca="false">IF(F3533="yes",1,0)</f>
        <v>0</v>
      </c>
      <c r="K3533" s="2" t="n">
        <f aca="false">IF(H3533="yes",1,0)</f>
        <v>0</v>
      </c>
      <c r="L3533" s="2" t="n">
        <f aca="false">IF(I3533="yes",1,0)</f>
        <v>0</v>
      </c>
      <c r="M3533" s="2" t="n">
        <f aca="false">IF(G3533&lt;0,1,0)</f>
        <v>0</v>
      </c>
      <c r="N3533" s="2" t="str">
        <f aca="false">_xlfn.IFS(B3533&lt;30,"Under 30",B3533&lt;40,"30-39",B3533&lt;50,"40-49",B3533&lt;60,"50-59",TRUE(),"60+")</f>
        <v>40-49</v>
      </c>
      <c r="O3533" s="2" t="str">
        <f aca="false">_xlfn.IFS(G3533&lt;0,"1 Negative",G3533=0,"2 Zero",G3533&lt;=500,"3 1-500",G3533&lt;=2000,"4 501-2000",TRUE(),"5 Above 2000")</f>
        <v>2 Zero</v>
      </c>
      <c r="P3533" s="2" t="n">
        <f aca="false">Lookups!$B$2*M3533+Lookups!$B$3*L3533</f>
        <v>0</v>
      </c>
      <c r="Q3533" s="2" t="str">
        <f aca="false">INDEX(Lookups!$E$2:$E$5,MATCH(P3533,Lookups!$D$2:$D$5,0))</f>
        <v>Low</v>
      </c>
    </row>
    <row r="3534" customFormat="false" ht="15" hidden="false" customHeight="false" outlineLevel="0" collapsed="false">
      <c r="A3534" s="3" t="n">
        <v>3533</v>
      </c>
      <c r="B3534" s="3" t="n">
        <f aca="false">Raw_Data!A3534</f>
        <v>42</v>
      </c>
      <c r="C3534" s="3" t="str">
        <f aca="false">SUBSTITUTE(Raw_Data!B3534,".","")</f>
        <v>services</v>
      </c>
      <c r="D3534" s="3" t="str">
        <f aca="false">Raw_Data!C3534</f>
        <v>married</v>
      </c>
      <c r="E3534" s="3" t="str">
        <f aca="false">Raw_Data!D3534</f>
        <v>secondary</v>
      </c>
      <c r="F3534" s="3" t="str">
        <f aca="false">Raw_Data!E3534</f>
        <v>no</v>
      </c>
      <c r="G3534" s="3" t="n">
        <f aca="false">Raw_Data!F3534</f>
        <v>3620</v>
      </c>
      <c r="H3534" s="3" t="str">
        <f aca="false">Raw_Data!G3534</f>
        <v>yes</v>
      </c>
      <c r="I3534" s="3" t="str">
        <f aca="false">Raw_Data!H3534</f>
        <v>no</v>
      </c>
      <c r="J3534" s="2" t="n">
        <f aca="false">IF(F3534="yes",1,0)</f>
        <v>0</v>
      </c>
      <c r="K3534" s="2" t="n">
        <f aca="false">IF(H3534="yes",1,0)</f>
        <v>1</v>
      </c>
      <c r="L3534" s="2" t="n">
        <f aca="false">IF(I3534="yes",1,0)</f>
        <v>0</v>
      </c>
      <c r="M3534" s="2" t="n">
        <f aca="false">IF(G3534&lt;0,1,0)</f>
        <v>0</v>
      </c>
      <c r="N3534" s="2" t="str">
        <f aca="false">_xlfn.IFS(B3534&lt;30,"Under 30",B3534&lt;40,"30-39",B3534&lt;50,"40-49",B3534&lt;60,"50-59",TRUE(),"60+")</f>
        <v>40-49</v>
      </c>
      <c r="O3534" s="2" t="str">
        <f aca="false">_xlfn.IFS(G3534&lt;0,"1 Negative",G3534=0,"2 Zero",G3534&lt;=500,"3 1-500",G3534&lt;=2000,"4 501-2000",TRUE(),"5 Above 2000")</f>
        <v>5 Above 2000</v>
      </c>
      <c r="P3534" s="2" t="n">
        <f aca="false">Lookups!$B$2*M3534+Lookups!$B$3*L3534</f>
        <v>0</v>
      </c>
      <c r="Q3534" s="2" t="str">
        <f aca="false">INDEX(Lookups!$E$2:$E$5,MATCH(P3534,Lookups!$D$2:$D$5,0))</f>
        <v>Low</v>
      </c>
    </row>
    <row r="3535" customFormat="false" ht="15" hidden="false" customHeight="false" outlineLevel="0" collapsed="false">
      <c r="A3535" s="3" t="n">
        <v>3534</v>
      </c>
      <c r="B3535" s="3" t="n">
        <f aca="false">Raw_Data!A3535</f>
        <v>26</v>
      </c>
      <c r="C3535" s="3" t="str">
        <f aca="false">SUBSTITUTE(Raw_Data!B3535,".","")</f>
        <v>blue-collar</v>
      </c>
      <c r="D3535" s="3" t="str">
        <f aca="false">Raw_Data!C3535</f>
        <v>single</v>
      </c>
      <c r="E3535" s="3" t="str">
        <f aca="false">Raw_Data!D3535</f>
        <v>secondary</v>
      </c>
      <c r="F3535" s="3" t="str">
        <f aca="false">Raw_Data!E3535</f>
        <v>no</v>
      </c>
      <c r="G3535" s="3" t="n">
        <f aca="false">Raw_Data!F3535</f>
        <v>179</v>
      </c>
      <c r="H3535" s="3" t="str">
        <f aca="false">Raw_Data!G3535</f>
        <v>no</v>
      </c>
      <c r="I3535" s="3" t="str">
        <f aca="false">Raw_Data!H3535</f>
        <v>no</v>
      </c>
      <c r="J3535" s="2" t="n">
        <f aca="false">IF(F3535="yes",1,0)</f>
        <v>0</v>
      </c>
      <c r="K3535" s="2" t="n">
        <f aca="false">IF(H3535="yes",1,0)</f>
        <v>0</v>
      </c>
      <c r="L3535" s="2" t="n">
        <f aca="false">IF(I3535="yes",1,0)</f>
        <v>0</v>
      </c>
      <c r="M3535" s="2" t="n">
        <f aca="false">IF(G3535&lt;0,1,0)</f>
        <v>0</v>
      </c>
      <c r="N3535" s="2" t="str">
        <f aca="false">_xlfn.IFS(B3535&lt;30,"Under 30",B3535&lt;40,"30-39",B3535&lt;50,"40-49",B3535&lt;60,"50-59",TRUE(),"60+")</f>
        <v>Under 30</v>
      </c>
      <c r="O3535" s="2" t="str">
        <f aca="false">_xlfn.IFS(G3535&lt;0,"1 Negative",G3535=0,"2 Zero",G3535&lt;=500,"3 1-500",G3535&lt;=2000,"4 501-2000",TRUE(),"5 Above 2000")</f>
        <v>3 1-500</v>
      </c>
      <c r="P3535" s="2" t="n">
        <f aca="false">Lookups!$B$2*M3535+Lookups!$B$3*L3535</f>
        <v>0</v>
      </c>
      <c r="Q3535" s="2" t="str">
        <f aca="false">INDEX(Lookups!$E$2:$E$5,MATCH(P3535,Lookups!$D$2:$D$5,0))</f>
        <v>Low</v>
      </c>
    </row>
    <row r="3536" customFormat="false" ht="15" hidden="false" customHeight="false" outlineLevel="0" collapsed="false">
      <c r="A3536" s="3" t="n">
        <v>3535</v>
      </c>
      <c r="B3536" s="3" t="n">
        <f aca="false">Raw_Data!A3536</f>
        <v>47</v>
      </c>
      <c r="C3536" s="3" t="str">
        <f aca="false">SUBSTITUTE(Raw_Data!B3536,".","")</f>
        <v>admin</v>
      </c>
      <c r="D3536" s="3" t="str">
        <f aca="false">Raw_Data!C3536</f>
        <v>single</v>
      </c>
      <c r="E3536" s="3" t="str">
        <f aca="false">Raw_Data!D3536</f>
        <v>secondary</v>
      </c>
      <c r="F3536" s="3" t="str">
        <f aca="false">Raw_Data!E3536</f>
        <v>no</v>
      </c>
      <c r="G3536" s="3" t="n">
        <f aca="false">Raw_Data!F3536</f>
        <v>1544</v>
      </c>
      <c r="H3536" s="3" t="str">
        <f aca="false">Raw_Data!G3536</f>
        <v>yes</v>
      </c>
      <c r="I3536" s="3" t="str">
        <f aca="false">Raw_Data!H3536</f>
        <v>no</v>
      </c>
      <c r="J3536" s="2" t="n">
        <f aca="false">IF(F3536="yes",1,0)</f>
        <v>0</v>
      </c>
      <c r="K3536" s="2" t="n">
        <f aca="false">IF(H3536="yes",1,0)</f>
        <v>1</v>
      </c>
      <c r="L3536" s="2" t="n">
        <f aca="false">IF(I3536="yes",1,0)</f>
        <v>0</v>
      </c>
      <c r="M3536" s="2" t="n">
        <f aca="false">IF(G3536&lt;0,1,0)</f>
        <v>0</v>
      </c>
      <c r="N3536" s="2" t="str">
        <f aca="false">_xlfn.IFS(B3536&lt;30,"Under 30",B3536&lt;40,"30-39",B3536&lt;50,"40-49",B3536&lt;60,"50-59",TRUE(),"60+")</f>
        <v>40-49</v>
      </c>
      <c r="O3536" s="2" t="str">
        <f aca="false">_xlfn.IFS(G3536&lt;0,"1 Negative",G3536=0,"2 Zero",G3536&lt;=500,"3 1-500",G3536&lt;=2000,"4 501-2000",TRUE(),"5 Above 2000")</f>
        <v>4 501-2000</v>
      </c>
      <c r="P3536" s="2" t="n">
        <f aca="false">Lookups!$B$2*M3536+Lookups!$B$3*L3536</f>
        <v>0</v>
      </c>
      <c r="Q3536" s="2" t="str">
        <f aca="false">INDEX(Lookups!$E$2:$E$5,MATCH(P3536,Lookups!$D$2:$D$5,0))</f>
        <v>Low</v>
      </c>
    </row>
    <row r="3537" customFormat="false" ht="15" hidden="false" customHeight="false" outlineLevel="0" collapsed="false">
      <c r="A3537" s="3" t="n">
        <v>3536</v>
      </c>
      <c r="B3537" s="3" t="n">
        <f aca="false">Raw_Data!A3537</f>
        <v>48</v>
      </c>
      <c r="C3537" s="3" t="str">
        <f aca="false">SUBSTITUTE(Raw_Data!B3537,".","")</f>
        <v>blue-collar</v>
      </c>
      <c r="D3537" s="3" t="str">
        <f aca="false">Raw_Data!C3537</f>
        <v>married</v>
      </c>
      <c r="E3537" s="3" t="str">
        <f aca="false">Raw_Data!D3537</f>
        <v>primary</v>
      </c>
      <c r="F3537" s="3" t="str">
        <f aca="false">Raw_Data!E3537</f>
        <v>no</v>
      </c>
      <c r="G3537" s="3" t="n">
        <f aca="false">Raw_Data!F3537</f>
        <v>199</v>
      </c>
      <c r="H3537" s="3" t="str">
        <f aca="false">Raw_Data!G3537</f>
        <v>no</v>
      </c>
      <c r="I3537" s="3" t="str">
        <f aca="false">Raw_Data!H3537</f>
        <v>no</v>
      </c>
      <c r="J3537" s="2" t="n">
        <f aca="false">IF(F3537="yes",1,0)</f>
        <v>0</v>
      </c>
      <c r="K3537" s="2" t="n">
        <f aca="false">IF(H3537="yes",1,0)</f>
        <v>0</v>
      </c>
      <c r="L3537" s="2" t="n">
        <f aca="false">IF(I3537="yes",1,0)</f>
        <v>0</v>
      </c>
      <c r="M3537" s="2" t="n">
        <f aca="false">IF(G3537&lt;0,1,0)</f>
        <v>0</v>
      </c>
      <c r="N3537" s="2" t="str">
        <f aca="false">_xlfn.IFS(B3537&lt;30,"Under 30",B3537&lt;40,"30-39",B3537&lt;50,"40-49",B3537&lt;60,"50-59",TRUE(),"60+")</f>
        <v>40-49</v>
      </c>
      <c r="O3537" s="2" t="str">
        <f aca="false">_xlfn.IFS(G3537&lt;0,"1 Negative",G3537=0,"2 Zero",G3537&lt;=500,"3 1-500",G3537&lt;=2000,"4 501-2000",TRUE(),"5 Above 2000")</f>
        <v>3 1-500</v>
      </c>
      <c r="P3537" s="2" t="n">
        <f aca="false">Lookups!$B$2*M3537+Lookups!$B$3*L3537</f>
        <v>0</v>
      </c>
      <c r="Q3537" s="2" t="str">
        <f aca="false">INDEX(Lookups!$E$2:$E$5,MATCH(P3537,Lookups!$D$2:$D$5,0))</f>
        <v>Low</v>
      </c>
    </row>
    <row r="3538" customFormat="false" ht="15" hidden="false" customHeight="false" outlineLevel="0" collapsed="false">
      <c r="A3538" s="3" t="n">
        <v>3537</v>
      </c>
      <c r="B3538" s="3" t="n">
        <f aca="false">Raw_Data!A3538</f>
        <v>60</v>
      </c>
      <c r="C3538" s="3" t="str">
        <f aca="false">SUBSTITUTE(Raw_Data!B3538,".","")</f>
        <v>blue-collar</v>
      </c>
      <c r="D3538" s="3" t="str">
        <f aca="false">Raw_Data!C3538</f>
        <v>married</v>
      </c>
      <c r="E3538" s="3" t="str">
        <f aca="false">Raw_Data!D3538</f>
        <v>unknown</v>
      </c>
      <c r="F3538" s="3" t="str">
        <f aca="false">Raw_Data!E3538</f>
        <v>no</v>
      </c>
      <c r="G3538" s="3" t="n">
        <f aca="false">Raw_Data!F3538</f>
        <v>231</v>
      </c>
      <c r="H3538" s="3" t="str">
        <f aca="false">Raw_Data!G3538</f>
        <v>yes</v>
      </c>
      <c r="I3538" s="3" t="str">
        <f aca="false">Raw_Data!H3538</f>
        <v>no</v>
      </c>
      <c r="J3538" s="2" t="n">
        <f aca="false">IF(F3538="yes",1,0)</f>
        <v>0</v>
      </c>
      <c r="K3538" s="2" t="n">
        <f aca="false">IF(H3538="yes",1,0)</f>
        <v>1</v>
      </c>
      <c r="L3538" s="2" t="n">
        <f aca="false">IF(I3538="yes",1,0)</f>
        <v>0</v>
      </c>
      <c r="M3538" s="2" t="n">
        <f aca="false">IF(G3538&lt;0,1,0)</f>
        <v>0</v>
      </c>
      <c r="N3538" s="2" t="str">
        <f aca="false">_xlfn.IFS(B3538&lt;30,"Under 30",B3538&lt;40,"30-39",B3538&lt;50,"40-49",B3538&lt;60,"50-59",TRUE(),"60+")</f>
        <v>60+</v>
      </c>
      <c r="O3538" s="2" t="str">
        <f aca="false">_xlfn.IFS(G3538&lt;0,"1 Negative",G3538=0,"2 Zero",G3538&lt;=500,"3 1-500",G3538&lt;=2000,"4 501-2000",TRUE(),"5 Above 2000")</f>
        <v>3 1-500</v>
      </c>
      <c r="P3538" s="2" t="n">
        <f aca="false">Lookups!$B$2*M3538+Lookups!$B$3*L3538</f>
        <v>0</v>
      </c>
      <c r="Q3538" s="2" t="str">
        <f aca="false">INDEX(Lookups!$E$2:$E$5,MATCH(P3538,Lookups!$D$2:$D$5,0))</f>
        <v>Low</v>
      </c>
    </row>
    <row r="3539" customFormat="false" ht="15" hidden="false" customHeight="false" outlineLevel="0" collapsed="false">
      <c r="A3539" s="3" t="n">
        <v>3538</v>
      </c>
      <c r="B3539" s="3" t="n">
        <f aca="false">Raw_Data!A3539</f>
        <v>27</v>
      </c>
      <c r="C3539" s="3" t="str">
        <f aca="false">SUBSTITUTE(Raw_Data!B3539,".","")</f>
        <v>admin</v>
      </c>
      <c r="D3539" s="3" t="str">
        <f aca="false">Raw_Data!C3539</f>
        <v>divorced</v>
      </c>
      <c r="E3539" s="3" t="str">
        <f aca="false">Raw_Data!D3539</f>
        <v>secondary</v>
      </c>
      <c r="F3539" s="3" t="str">
        <f aca="false">Raw_Data!E3539</f>
        <v>no</v>
      </c>
      <c r="G3539" s="3" t="n">
        <f aca="false">Raw_Data!F3539</f>
        <v>76</v>
      </c>
      <c r="H3539" s="3" t="str">
        <f aca="false">Raw_Data!G3539</f>
        <v>yes</v>
      </c>
      <c r="I3539" s="3" t="str">
        <f aca="false">Raw_Data!H3539</f>
        <v>no</v>
      </c>
      <c r="J3539" s="2" t="n">
        <f aca="false">IF(F3539="yes",1,0)</f>
        <v>0</v>
      </c>
      <c r="K3539" s="2" t="n">
        <f aca="false">IF(H3539="yes",1,0)</f>
        <v>1</v>
      </c>
      <c r="L3539" s="2" t="n">
        <f aca="false">IF(I3539="yes",1,0)</f>
        <v>0</v>
      </c>
      <c r="M3539" s="2" t="n">
        <f aca="false">IF(G3539&lt;0,1,0)</f>
        <v>0</v>
      </c>
      <c r="N3539" s="2" t="str">
        <f aca="false">_xlfn.IFS(B3539&lt;30,"Under 30",B3539&lt;40,"30-39",B3539&lt;50,"40-49",B3539&lt;60,"50-59",TRUE(),"60+")</f>
        <v>Under 30</v>
      </c>
      <c r="O3539" s="2" t="str">
        <f aca="false">_xlfn.IFS(G3539&lt;0,"1 Negative",G3539=0,"2 Zero",G3539&lt;=500,"3 1-500",G3539&lt;=2000,"4 501-2000",TRUE(),"5 Above 2000")</f>
        <v>3 1-500</v>
      </c>
      <c r="P3539" s="2" t="n">
        <f aca="false">Lookups!$B$2*M3539+Lookups!$B$3*L3539</f>
        <v>0</v>
      </c>
      <c r="Q3539" s="2" t="str">
        <f aca="false">INDEX(Lookups!$E$2:$E$5,MATCH(P3539,Lookups!$D$2:$D$5,0))</f>
        <v>Low</v>
      </c>
    </row>
    <row r="3540" customFormat="false" ht="15" hidden="false" customHeight="false" outlineLevel="0" collapsed="false">
      <c r="A3540" s="3" t="n">
        <v>3539</v>
      </c>
      <c r="B3540" s="3" t="n">
        <f aca="false">Raw_Data!A3540</f>
        <v>30</v>
      </c>
      <c r="C3540" s="3" t="str">
        <f aca="false">SUBSTITUTE(Raw_Data!B3540,".","")</f>
        <v>unemployed</v>
      </c>
      <c r="D3540" s="3" t="str">
        <f aca="false">Raw_Data!C3540</f>
        <v>single</v>
      </c>
      <c r="E3540" s="3" t="str">
        <f aca="false">Raw_Data!D3540</f>
        <v>tertiary</v>
      </c>
      <c r="F3540" s="3" t="str">
        <f aca="false">Raw_Data!E3540</f>
        <v>no</v>
      </c>
      <c r="G3540" s="3" t="n">
        <f aca="false">Raw_Data!F3540</f>
        <v>302</v>
      </c>
      <c r="H3540" s="3" t="str">
        <f aca="false">Raw_Data!G3540</f>
        <v>no</v>
      </c>
      <c r="I3540" s="3" t="str">
        <f aca="false">Raw_Data!H3540</f>
        <v>no</v>
      </c>
      <c r="J3540" s="2" t="n">
        <f aca="false">IF(F3540="yes",1,0)</f>
        <v>0</v>
      </c>
      <c r="K3540" s="2" t="n">
        <f aca="false">IF(H3540="yes",1,0)</f>
        <v>0</v>
      </c>
      <c r="L3540" s="2" t="n">
        <f aca="false">IF(I3540="yes",1,0)</f>
        <v>0</v>
      </c>
      <c r="M3540" s="2" t="n">
        <f aca="false">IF(G3540&lt;0,1,0)</f>
        <v>0</v>
      </c>
      <c r="N3540" s="2" t="str">
        <f aca="false">_xlfn.IFS(B3540&lt;30,"Under 30",B3540&lt;40,"30-39",B3540&lt;50,"40-49",B3540&lt;60,"50-59",TRUE(),"60+")</f>
        <v>30-39</v>
      </c>
      <c r="O3540" s="2" t="str">
        <f aca="false">_xlfn.IFS(G3540&lt;0,"1 Negative",G3540=0,"2 Zero",G3540&lt;=500,"3 1-500",G3540&lt;=2000,"4 501-2000",TRUE(),"5 Above 2000")</f>
        <v>3 1-500</v>
      </c>
      <c r="P3540" s="2" t="n">
        <f aca="false">Lookups!$B$2*M3540+Lookups!$B$3*L3540</f>
        <v>0</v>
      </c>
      <c r="Q3540" s="2" t="str">
        <f aca="false">INDEX(Lookups!$E$2:$E$5,MATCH(P3540,Lookups!$D$2:$D$5,0))</f>
        <v>Low</v>
      </c>
    </row>
    <row r="3541" customFormat="false" ht="15" hidden="false" customHeight="false" outlineLevel="0" collapsed="false">
      <c r="A3541" s="3" t="n">
        <v>3540</v>
      </c>
      <c r="B3541" s="3" t="n">
        <f aca="false">Raw_Data!A3541</f>
        <v>28</v>
      </c>
      <c r="C3541" s="3" t="str">
        <f aca="false">SUBSTITUTE(Raw_Data!B3541,".","")</f>
        <v>admin</v>
      </c>
      <c r="D3541" s="3" t="str">
        <f aca="false">Raw_Data!C3541</f>
        <v>single</v>
      </c>
      <c r="E3541" s="3" t="str">
        <f aca="false">Raw_Data!D3541</f>
        <v>secondary</v>
      </c>
      <c r="F3541" s="3" t="str">
        <f aca="false">Raw_Data!E3541</f>
        <v>no</v>
      </c>
      <c r="G3541" s="3" t="n">
        <f aca="false">Raw_Data!F3541</f>
        <v>189</v>
      </c>
      <c r="H3541" s="3" t="str">
        <f aca="false">Raw_Data!G3541</f>
        <v>yes</v>
      </c>
      <c r="I3541" s="3" t="str">
        <f aca="false">Raw_Data!H3541</f>
        <v>no</v>
      </c>
      <c r="J3541" s="2" t="n">
        <f aca="false">IF(F3541="yes",1,0)</f>
        <v>0</v>
      </c>
      <c r="K3541" s="2" t="n">
        <f aca="false">IF(H3541="yes",1,0)</f>
        <v>1</v>
      </c>
      <c r="L3541" s="2" t="n">
        <f aca="false">IF(I3541="yes",1,0)</f>
        <v>0</v>
      </c>
      <c r="M3541" s="2" t="n">
        <f aca="false">IF(G3541&lt;0,1,0)</f>
        <v>0</v>
      </c>
      <c r="N3541" s="2" t="str">
        <f aca="false">_xlfn.IFS(B3541&lt;30,"Under 30",B3541&lt;40,"30-39",B3541&lt;50,"40-49",B3541&lt;60,"50-59",TRUE(),"60+")</f>
        <v>Under 30</v>
      </c>
      <c r="O3541" s="2" t="str">
        <f aca="false">_xlfn.IFS(G3541&lt;0,"1 Negative",G3541=0,"2 Zero",G3541&lt;=500,"3 1-500",G3541&lt;=2000,"4 501-2000",TRUE(),"5 Above 2000")</f>
        <v>3 1-500</v>
      </c>
      <c r="P3541" s="2" t="n">
        <f aca="false">Lookups!$B$2*M3541+Lookups!$B$3*L3541</f>
        <v>0</v>
      </c>
      <c r="Q3541" s="2" t="str">
        <f aca="false">INDEX(Lookups!$E$2:$E$5,MATCH(P3541,Lookups!$D$2:$D$5,0))</f>
        <v>Low</v>
      </c>
    </row>
    <row r="3542" customFormat="false" ht="15" hidden="false" customHeight="false" outlineLevel="0" collapsed="false">
      <c r="A3542" s="3" t="n">
        <v>3541</v>
      </c>
      <c r="B3542" s="3" t="n">
        <f aca="false">Raw_Data!A3542</f>
        <v>58</v>
      </c>
      <c r="C3542" s="3" t="str">
        <f aca="false">SUBSTITUTE(Raw_Data!B3542,".","")</f>
        <v>retired</v>
      </c>
      <c r="D3542" s="3" t="str">
        <f aca="false">Raw_Data!C3542</f>
        <v>married</v>
      </c>
      <c r="E3542" s="3" t="str">
        <f aca="false">Raw_Data!D3542</f>
        <v>primary</v>
      </c>
      <c r="F3542" s="3" t="str">
        <f aca="false">Raw_Data!E3542</f>
        <v>no</v>
      </c>
      <c r="G3542" s="3" t="n">
        <f aca="false">Raw_Data!F3542</f>
        <v>565</v>
      </c>
      <c r="H3542" s="3" t="str">
        <f aca="false">Raw_Data!G3542</f>
        <v>no</v>
      </c>
      <c r="I3542" s="3" t="str">
        <f aca="false">Raw_Data!H3542</f>
        <v>no</v>
      </c>
      <c r="J3542" s="2" t="n">
        <f aca="false">IF(F3542="yes",1,0)</f>
        <v>0</v>
      </c>
      <c r="K3542" s="2" t="n">
        <f aca="false">IF(H3542="yes",1,0)</f>
        <v>0</v>
      </c>
      <c r="L3542" s="2" t="n">
        <f aca="false">IF(I3542="yes",1,0)</f>
        <v>0</v>
      </c>
      <c r="M3542" s="2" t="n">
        <f aca="false">IF(G3542&lt;0,1,0)</f>
        <v>0</v>
      </c>
      <c r="N3542" s="2" t="str">
        <f aca="false">_xlfn.IFS(B3542&lt;30,"Under 30",B3542&lt;40,"30-39",B3542&lt;50,"40-49",B3542&lt;60,"50-59",TRUE(),"60+")</f>
        <v>50-59</v>
      </c>
      <c r="O3542" s="2" t="str">
        <f aca="false">_xlfn.IFS(G3542&lt;0,"1 Negative",G3542=0,"2 Zero",G3542&lt;=500,"3 1-500",G3542&lt;=2000,"4 501-2000",TRUE(),"5 Above 2000")</f>
        <v>4 501-2000</v>
      </c>
      <c r="P3542" s="2" t="n">
        <f aca="false">Lookups!$B$2*M3542+Lookups!$B$3*L3542</f>
        <v>0</v>
      </c>
      <c r="Q3542" s="2" t="str">
        <f aca="false">INDEX(Lookups!$E$2:$E$5,MATCH(P3542,Lookups!$D$2:$D$5,0))</f>
        <v>Low</v>
      </c>
    </row>
    <row r="3543" customFormat="false" ht="15" hidden="false" customHeight="false" outlineLevel="0" collapsed="false">
      <c r="A3543" s="3" t="n">
        <v>3542</v>
      </c>
      <c r="B3543" s="3" t="n">
        <f aca="false">Raw_Data!A3543</f>
        <v>37</v>
      </c>
      <c r="C3543" s="3" t="str">
        <f aca="false">SUBSTITUTE(Raw_Data!B3543,".","")</f>
        <v>entrepreneur</v>
      </c>
      <c r="D3543" s="3" t="str">
        <f aca="false">Raw_Data!C3543</f>
        <v>married</v>
      </c>
      <c r="E3543" s="3" t="str">
        <f aca="false">Raw_Data!D3543</f>
        <v>tertiary</v>
      </c>
      <c r="F3543" s="3" t="str">
        <f aca="false">Raw_Data!E3543</f>
        <v>no</v>
      </c>
      <c r="G3543" s="3" t="n">
        <f aca="false">Raw_Data!F3543</f>
        <v>310</v>
      </c>
      <c r="H3543" s="3" t="str">
        <f aca="false">Raw_Data!G3543</f>
        <v>no</v>
      </c>
      <c r="I3543" s="3" t="str">
        <f aca="false">Raw_Data!H3543</f>
        <v>no</v>
      </c>
      <c r="J3543" s="2" t="n">
        <f aca="false">IF(F3543="yes",1,0)</f>
        <v>0</v>
      </c>
      <c r="K3543" s="2" t="n">
        <f aca="false">IF(H3543="yes",1,0)</f>
        <v>0</v>
      </c>
      <c r="L3543" s="2" t="n">
        <f aca="false">IF(I3543="yes",1,0)</f>
        <v>0</v>
      </c>
      <c r="M3543" s="2" t="n">
        <f aca="false">IF(G3543&lt;0,1,0)</f>
        <v>0</v>
      </c>
      <c r="N3543" s="2" t="str">
        <f aca="false">_xlfn.IFS(B3543&lt;30,"Under 30",B3543&lt;40,"30-39",B3543&lt;50,"40-49",B3543&lt;60,"50-59",TRUE(),"60+")</f>
        <v>30-39</v>
      </c>
      <c r="O3543" s="2" t="str">
        <f aca="false">_xlfn.IFS(G3543&lt;0,"1 Negative",G3543=0,"2 Zero",G3543&lt;=500,"3 1-500",G3543&lt;=2000,"4 501-2000",TRUE(),"5 Above 2000")</f>
        <v>3 1-500</v>
      </c>
      <c r="P3543" s="2" t="n">
        <f aca="false">Lookups!$B$2*M3543+Lookups!$B$3*L3543</f>
        <v>0</v>
      </c>
      <c r="Q3543" s="2" t="str">
        <f aca="false">INDEX(Lookups!$E$2:$E$5,MATCH(P3543,Lookups!$D$2:$D$5,0))</f>
        <v>Low</v>
      </c>
    </row>
    <row r="3544" customFormat="false" ht="15" hidden="false" customHeight="false" outlineLevel="0" collapsed="false">
      <c r="A3544" s="3" t="n">
        <v>3543</v>
      </c>
      <c r="B3544" s="3" t="n">
        <f aca="false">Raw_Data!A3544</f>
        <v>36</v>
      </c>
      <c r="C3544" s="3" t="str">
        <f aca="false">SUBSTITUTE(Raw_Data!B3544,".","")</f>
        <v>services</v>
      </c>
      <c r="D3544" s="3" t="str">
        <f aca="false">Raw_Data!C3544</f>
        <v>married</v>
      </c>
      <c r="E3544" s="3" t="str">
        <f aca="false">Raw_Data!D3544</f>
        <v>secondary</v>
      </c>
      <c r="F3544" s="3" t="str">
        <f aca="false">Raw_Data!E3544</f>
        <v>no</v>
      </c>
      <c r="G3544" s="3" t="n">
        <f aca="false">Raw_Data!F3544</f>
        <v>1746</v>
      </c>
      <c r="H3544" s="3" t="str">
        <f aca="false">Raw_Data!G3544</f>
        <v>yes</v>
      </c>
      <c r="I3544" s="3" t="str">
        <f aca="false">Raw_Data!H3544</f>
        <v>no</v>
      </c>
      <c r="J3544" s="2" t="n">
        <f aca="false">IF(F3544="yes",1,0)</f>
        <v>0</v>
      </c>
      <c r="K3544" s="2" t="n">
        <f aca="false">IF(H3544="yes",1,0)</f>
        <v>1</v>
      </c>
      <c r="L3544" s="2" t="n">
        <f aca="false">IF(I3544="yes",1,0)</f>
        <v>0</v>
      </c>
      <c r="M3544" s="2" t="n">
        <f aca="false">IF(G3544&lt;0,1,0)</f>
        <v>0</v>
      </c>
      <c r="N3544" s="2" t="str">
        <f aca="false">_xlfn.IFS(B3544&lt;30,"Under 30",B3544&lt;40,"30-39",B3544&lt;50,"40-49",B3544&lt;60,"50-59",TRUE(),"60+")</f>
        <v>30-39</v>
      </c>
      <c r="O3544" s="2" t="str">
        <f aca="false">_xlfn.IFS(G3544&lt;0,"1 Negative",G3544=0,"2 Zero",G3544&lt;=500,"3 1-500",G3544&lt;=2000,"4 501-2000",TRUE(),"5 Above 2000")</f>
        <v>4 501-2000</v>
      </c>
      <c r="P3544" s="2" t="n">
        <f aca="false">Lookups!$B$2*M3544+Lookups!$B$3*L3544</f>
        <v>0</v>
      </c>
      <c r="Q3544" s="2" t="str">
        <f aca="false">INDEX(Lookups!$E$2:$E$5,MATCH(P3544,Lookups!$D$2:$D$5,0))</f>
        <v>Low</v>
      </c>
    </row>
    <row r="3545" customFormat="false" ht="15" hidden="false" customHeight="false" outlineLevel="0" collapsed="false">
      <c r="A3545" s="3" t="n">
        <v>3544</v>
      </c>
      <c r="B3545" s="3" t="n">
        <f aca="false">Raw_Data!A3545</f>
        <v>39</v>
      </c>
      <c r="C3545" s="3" t="str">
        <f aca="false">SUBSTITUTE(Raw_Data!B3545,".","")</f>
        <v>technician</v>
      </c>
      <c r="D3545" s="3" t="str">
        <f aca="false">Raw_Data!C3545</f>
        <v>married</v>
      </c>
      <c r="E3545" s="3" t="str">
        <f aca="false">Raw_Data!D3545</f>
        <v>secondary</v>
      </c>
      <c r="F3545" s="3" t="str">
        <f aca="false">Raw_Data!E3545</f>
        <v>no</v>
      </c>
      <c r="G3545" s="3" t="n">
        <f aca="false">Raw_Data!F3545</f>
        <v>6</v>
      </c>
      <c r="H3545" s="3" t="str">
        <f aca="false">Raw_Data!G3545</f>
        <v>yes</v>
      </c>
      <c r="I3545" s="3" t="str">
        <f aca="false">Raw_Data!H3545</f>
        <v>no</v>
      </c>
      <c r="J3545" s="2" t="n">
        <f aca="false">IF(F3545="yes",1,0)</f>
        <v>0</v>
      </c>
      <c r="K3545" s="2" t="n">
        <f aca="false">IF(H3545="yes",1,0)</f>
        <v>1</v>
      </c>
      <c r="L3545" s="2" t="n">
        <f aca="false">IF(I3545="yes",1,0)</f>
        <v>0</v>
      </c>
      <c r="M3545" s="2" t="n">
        <f aca="false">IF(G3545&lt;0,1,0)</f>
        <v>0</v>
      </c>
      <c r="N3545" s="2" t="str">
        <f aca="false">_xlfn.IFS(B3545&lt;30,"Under 30",B3545&lt;40,"30-39",B3545&lt;50,"40-49",B3545&lt;60,"50-59",TRUE(),"60+")</f>
        <v>30-39</v>
      </c>
      <c r="O3545" s="2" t="str">
        <f aca="false">_xlfn.IFS(G3545&lt;0,"1 Negative",G3545=0,"2 Zero",G3545&lt;=500,"3 1-500",G3545&lt;=2000,"4 501-2000",TRUE(),"5 Above 2000")</f>
        <v>3 1-500</v>
      </c>
      <c r="P3545" s="2" t="n">
        <f aca="false">Lookups!$B$2*M3545+Lookups!$B$3*L3545</f>
        <v>0</v>
      </c>
      <c r="Q3545" s="2" t="str">
        <f aca="false">INDEX(Lookups!$E$2:$E$5,MATCH(P3545,Lookups!$D$2:$D$5,0))</f>
        <v>Low</v>
      </c>
    </row>
    <row r="3546" customFormat="false" ht="15" hidden="false" customHeight="false" outlineLevel="0" collapsed="false">
      <c r="A3546" s="3" t="n">
        <v>3545</v>
      </c>
      <c r="B3546" s="3" t="n">
        <f aca="false">Raw_Data!A3546</f>
        <v>52</v>
      </c>
      <c r="C3546" s="3" t="str">
        <f aca="false">SUBSTITUTE(Raw_Data!B3546,".","")</f>
        <v>unemployed</v>
      </c>
      <c r="D3546" s="3" t="str">
        <f aca="false">Raw_Data!C3546</f>
        <v>married</v>
      </c>
      <c r="E3546" s="3" t="str">
        <f aca="false">Raw_Data!D3546</f>
        <v>primary</v>
      </c>
      <c r="F3546" s="3" t="str">
        <f aca="false">Raw_Data!E3546</f>
        <v>no</v>
      </c>
      <c r="G3546" s="3" t="n">
        <f aca="false">Raw_Data!F3546</f>
        <v>-110</v>
      </c>
      <c r="H3546" s="3" t="str">
        <f aca="false">Raw_Data!G3546</f>
        <v>no</v>
      </c>
      <c r="I3546" s="3" t="str">
        <f aca="false">Raw_Data!H3546</f>
        <v>yes</v>
      </c>
      <c r="J3546" s="2" t="n">
        <f aca="false">IF(F3546="yes",1,0)</f>
        <v>0</v>
      </c>
      <c r="K3546" s="2" t="n">
        <f aca="false">IF(H3546="yes",1,0)</f>
        <v>0</v>
      </c>
      <c r="L3546" s="2" t="n">
        <f aca="false">IF(I3546="yes",1,0)</f>
        <v>1</v>
      </c>
      <c r="M3546" s="2" t="n">
        <f aca="false">IF(G3546&lt;0,1,0)</f>
        <v>1</v>
      </c>
      <c r="N3546" s="2" t="str">
        <f aca="false">_xlfn.IFS(B3546&lt;30,"Under 30",B3546&lt;40,"30-39",B3546&lt;50,"40-49",B3546&lt;60,"50-59",TRUE(),"60+")</f>
        <v>50-59</v>
      </c>
      <c r="O3546" s="2" t="str">
        <f aca="false">_xlfn.IFS(G3546&lt;0,"1 Negative",G3546=0,"2 Zero",G3546&lt;=500,"3 1-500",G3546&lt;=2000,"4 501-2000",TRUE(),"5 Above 2000")</f>
        <v>1 Negative</v>
      </c>
      <c r="P3546" s="2" t="n">
        <f aca="false">Lookups!$B$2*M3546+Lookups!$B$3*L3546</f>
        <v>3</v>
      </c>
      <c r="Q3546" s="2" t="str">
        <f aca="false">INDEX(Lookups!$E$2:$E$5,MATCH(P3546,Lookups!$D$2:$D$5,0))</f>
        <v>High</v>
      </c>
    </row>
    <row r="3547" customFormat="false" ht="15" hidden="false" customHeight="false" outlineLevel="0" collapsed="false">
      <c r="A3547" s="3" t="n">
        <v>3546</v>
      </c>
      <c r="B3547" s="3" t="n">
        <f aca="false">Raw_Data!A3547</f>
        <v>55</v>
      </c>
      <c r="C3547" s="3" t="str">
        <f aca="false">SUBSTITUTE(Raw_Data!B3547,".","")</f>
        <v>retired</v>
      </c>
      <c r="D3547" s="3" t="str">
        <f aca="false">Raw_Data!C3547</f>
        <v>married</v>
      </c>
      <c r="E3547" s="3" t="str">
        <f aca="false">Raw_Data!D3547</f>
        <v>secondary</v>
      </c>
      <c r="F3547" s="3" t="str">
        <f aca="false">Raw_Data!E3547</f>
        <v>no</v>
      </c>
      <c r="G3547" s="3" t="n">
        <f aca="false">Raw_Data!F3547</f>
        <v>2749</v>
      </c>
      <c r="H3547" s="3" t="str">
        <f aca="false">Raw_Data!G3547</f>
        <v>yes</v>
      </c>
      <c r="I3547" s="3" t="str">
        <f aca="false">Raw_Data!H3547</f>
        <v>yes</v>
      </c>
      <c r="J3547" s="2" t="n">
        <f aca="false">IF(F3547="yes",1,0)</f>
        <v>0</v>
      </c>
      <c r="K3547" s="2" t="n">
        <f aca="false">IF(H3547="yes",1,0)</f>
        <v>1</v>
      </c>
      <c r="L3547" s="2" t="n">
        <f aca="false">IF(I3547="yes",1,0)</f>
        <v>1</v>
      </c>
      <c r="M3547" s="2" t="n">
        <f aca="false">IF(G3547&lt;0,1,0)</f>
        <v>0</v>
      </c>
      <c r="N3547" s="2" t="str">
        <f aca="false">_xlfn.IFS(B3547&lt;30,"Under 30",B3547&lt;40,"30-39",B3547&lt;50,"40-49",B3547&lt;60,"50-59",TRUE(),"60+")</f>
        <v>50-59</v>
      </c>
      <c r="O3547" s="2" t="str">
        <f aca="false">_xlfn.IFS(G3547&lt;0,"1 Negative",G3547=0,"2 Zero",G3547&lt;=500,"3 1-500",G3547&lt;=2000,"4 501-2000",TRUE(),"5 Above 2000")</f>
        <v>5 Above 2000</v>
      </c>
      <c r="P3547" s="2" t="n">
        <f aca="false">Lookups!$B$2*M3547+Lookups!$B$3*L3547</f>
        <v>1</v>
      </c>
      <c r="Q3547" s="2" t="str">
        <f aca="false">INDEX(Lookups!$E$2:$E$5,MATCH(P3547,Lookups!$D$2:$D$5,0))</f>
        <v>Medium</v>
      </c>
    </row>
    <row r="3548" customFormat="false" ht="15" hidden="false" customHeight="false" outlineLevel="0" collapsed="false">
      <c r="A3548" s="3" t="n">
        <v>3547</v>
      </c>
      <c r="B3548" s="3" t="n">
        <f aca="false">Raw_Data!A3548</f>
        <v>30</v>
      </c>
      <c r="C3548" s="3" t="str">
        <f aca="false">SUBSTITUTE(Raw_Data!B3548,".","")</f>
        <v>management</v>
      </c>
      <c r="D3548" s="3" t="str">
        <f aca="false">Raw_Data!C3548</f>
        <v>single</v>
      </c>
      <c r="E3548" s="3" t="str">
        <f aca="false">Raw_Data!D3548</f>
        <v>tertiary</v>
      </c>
      <c r="F3548" s="3" t="str">
        <f aca="false">Raw_Data!E3548</f>
        <v>no</v>
      </c>
      <c r="G3548" s="3" t="n">
        <f aca="false">Raw_Data!F3548</f>
        <v>6495</v>
      </c>
      <c r="H3548" s="3" t="str">
        <f aca="false">Raw_Data!G3548</f>
        <v>no</v>
      </c>
      <c r="I3548" s="3" t="str">
        <f aca="false">Raw_Data!H3548</f>
        <v>no</v>
      </c>
      <c r="J3548" s="2" t="n">
        <f aca="false">IF(F3548="yes",1,0)</f>
        <v>0</v>
      </c>
      <c r="K3548" s="2" t="n">
        <f aca="false">IF(H3548="yes",1,0)</f>
        <v>0</v>
      </c>
      <c r="L3548" s="2" t="n">
        <f aca="false">IF(I3548="yes",1,0)</f>
        <v>0</v>
      </c>
      <c r="M3548" s="2" t="n">
        <f aca="false">IF(G3548&lt;0,1,0)</f>
        <v>0</v>
      </c>
      <c r="N3548" s="2" t="str">
        <f aca="false">_xlfn.IFS(B3548&lt;30,"Under 30",B3548&lt;40,"30-39",B3548&lt;50,"40-49",B3548&lt;60,"50-59",TRUE(),"60+")</f>
        <v>30-39</v>
      </c>
      <c r="O3548" s="2" t="str">
        <f aca="false">_xlfn.IFS(G3548&lt;0,"1 Negative",G3548=0,"2 Zero",G3548&lt;=500,"3 1-500",G3548&lt;=2000,"4 501-2000",TRUE(),"5 Above 2000")</f>
        <v>5 Above 2000</v>
      </c>
      <c r="P3548" s="2" t="n">
        <f aca="false">Lookups!$B$2*M3548+Lookups!$B$3*L3548</f>
        <v>0</v>
      </c>
      <c r="Q3548" s="2" t="str">
        <f aca="false">INDEX(Lookups!$E$2:$E$5,MATCH(P3548,Lookups!$D$2:$D$5,0))</f>
        <v>Low</v>
      </c>
    </row>
    <row r="3549" customFormat="false" ht="15" hidden="false" customHeight="false" outlineLevel="0" collapsed="false">
      <c r="A3549" s="3" t="n">
        <v>3548</v>
      </c>
      <c r="B3549" s="3" t="n">
        <f aca="false">Raw_Data!A3549</f>
        <v>36</v>
      </c>
      <c r="C3549" s="3" t="str">
        <f aca="false">SUBSTITUTE(Raw_Data!B3549,".","")</f>
        <v>blue-collar</v>
      </c>
      <c r="D3549" s="3" t="str">
        <f aca="false">Raw_Data!C3549</f>
        <v>single</v>
      </c>
      <c r="E3549" s="3" t="str">
        <f aca="false">Raw_Data!D3549</f>
        <v>secondary</v>
      </c>
      <c r="F3549" s="3" t="str">
        <f aca="false">Raw_Data!E3549</f>
        <v>no</v>
      </c>
      <c r="G3549" s="3" t="n">
        <f aca="false">Raw_Data!F3549</f>
        <v>35</v>
      </c>
      <c r="H3549" s="3" t="str">
        <f aca="false">Raw_Data!G3549</f>
        <v>yes</v>
      </c>
      <c r="I3549" s="3" t="str">
        <f aca="false">Raw_Data!H3549</f>
        <v>no</v>
      </c>
      <c r="J3549" s="2" t="n">
        <f aca="false">IF(F3549="yes",1,0)</f>
        <v>0</v>
      </c>
      <c r="K3549" s="2" t="n">
        <f aca="false">IF(H3549="yes",1,0)</f>
        <v>1</v>
      </c>
      <c r="L3549" s="2" t="n">
        <f aca="false">IF(I3549="yes",1,0)</f>
        <v>0</v>
      </c>
      <c r="M3549" s="2" t="n">
        <f aca="false">IF(G3549&lt;0,1,0)</f>
        <v>0</v>
      </c>
      <c r="N3549" s="2" t="str">
        <f aca="false">_xlfn.IFS(B3549&lt;30,"Under 30",B3549&lt;40,"30-39",B3549&lt;50,"40-49",B3549&lt;60,"50-59",TRUE(),"60+")</f>
        <v>30-39</v>
      </c>
      <c r="O3549" s="2" t="str">
        <f aca="false">_xlfn.IFS(G3549&lt;0,"1 Negative",G3549=0,"2 Zero",G3549&lt;=500,"3 1-500",G3549&lt;=2000,"4 501-2000",TRUE(),"5 Above 2000")</f>
        <v>3 1-500</v>
      </c>
      <c r="P3549" s="2" t="n">
        <f aca="false">Lookups!$B$2*M3549+Lookups!$B$3*L3549</f>
        <v>0</v>
      </c>
      <c r="Q3549" s="2" t="str">
        <f aca="false">INDEX(Lookups!$E$2:$E$5,MATCH(P3549,Lookups!$D$2:$D$5,0))</f>
        <v>Low</v>
      </c>
    </row>
    <row r="3550" customFormat="false" ht="15" hidden="false" customHeight="false" outlineLevel="0" collapsed="false">
      <c r="A3550" s="3" t="n">
        <v>3549</v>
      </c>
      <c r="B3550" s="3" t="n">
        <f aca="false">Raw_Data!A3550</f>
        <v>39</v>
      </c>
      <c r="C3550" s="3" t="str">
        <f aca="false">SUBSTITUTE(Raw_Data!B3550,".","")</f>
        <v>admin</v>
      </c>
      <c r="D3550" s="3" t="str">
        <f aca="false">Raw_Data!C3550</f>
        <v>married</v>
      </c>
      <c r="E3550" s="3" t="str">
        <f aca="false">Raw_Data!D3550</f>
        <v>secondary</v>
      </c>
      <c r="F3550" s="3" t="str">
        <f aca="false">Raw_Data!E3550</f>
        <v>no</v>
      </c>
      <c r="G3550" s="3" t="n">
        <f aca="false">Raw_Data!F3550</f>
        <v>-650</v>
      </c>
      <c r="H3550" s="3" t="str">
        <f aca="false">Raw_Data!G3550</f>
        <v>no</v>
      </c>
      <c r="I3550" s="3" t="str">
        <f aca="false">Raw_Data!H3550</f>
        <v>no</v>
      </c>
      <c r="J3550" s="2" t="n">
        <f aca="false">IF(F3550="yes",1,0)</f>
        <v>0</v>
      </c>
      <c r="K3550" s="2" t="n">
        <f aca="false">IF(H3550="yes",1,0)</f>
        <v>0</v>
      </c>
      <c r="L3550" s="2" t="n">
        <f aca="false">IF(I3550="yes",1,0)</f>
        <v>0</v>
      </c>
      <c r="M3550" s="2" t="n">
        <f aca="false">IF(G3550&lt;0,1,0)</f>
        <v>1</v>
      </c>
      <c r="N3550" s="2" t="str">
        <f aca="false">_xlfn.IFS(B3550&lt;30,"Under 30",B3550&lt;40,"30-39",B3550&lt;50,"40-49",B3550&lt;60,"50-59",TRUE(),"60+")</f>
        <v>30-39</v>
      </c>
      <c r="O3550" s="2" t="str">
        <f aca="false">_xlfn.IFS(G3550&lt;0,"1 Negative",G3550=0,"2 Zero",G3550&lt;=500,"3 1-500",G3550&lt;=2000,"4 501-2000",TRUE(),"5 Above 2000")</f>
        <v>1 Negative</v>
      </c>
      <c r="P3550" s="2" t="n">
        <f aca="false">Lookups!$B$2*M3550+Lookups!$B$3*L3550</f>
        <v>2</v>
      </c>
      <c r="Q3550" s="2" t="str">
        <f aca="false">INDEX(Lookups!$E$2:$E$5,MATCH(P3550,Lookups!$D$2:$D$5,0))</f>
        <v>High</v>
      </c>
    </row>
    <row r="3551" customFormat="false" ht="15" hidden="false" customHeight="false" outlineLevel="0" collapsed="false">
      <c r="A3551" s="3" t="n">
        <v>3550</v>
      </c>
      <c r="B3551" s="3" t="n">
        <f aca="false">Raw_Data!A3551</f>
        <v>47</v>
      </c>
      <c r="C3551" s="3" t="str">
        <f aca="false">SUBSTITUTE(Raw_Data!B3551,".","")</f>
        <v>blue-collar</v>
      </c>
      <c r="D3551" s="3" t="str">
        <f aca="false">Raw_Data!C3551</f>
        <v>married</v>
      </c>
      <c r="E3551" s="3" t="str">
        <f aca="false">Raw_Data!D3551</f>
        <v>primary</v>
      </c>
      <c r="F3551" s="3" t="str">
        <f aca="false">Raw_Data!E3551</f>
        <v>no</v>
      </c>
      <c r="G3551" s="3" t="n">
        <f aca="false">Raw_Data!F3551</f>
        <v>292</v>
      </c>
      <c r="H3551" s="3" t="str">
        <f aca="false">Raw_Data!G3551</f>
        <v>no</v>
      </c>
      <c r="I3551" s="3" t="str">
        <f aca="false">Raw_Data!H3551</f>
        <v>yes</v>
      </c>
      <c r="J3551" s="2" t="n">
        <f aca="false">IF(F3551="yes",1,0)</f>
        <v>0</v>
      </c>
      <c r="K3551" s="2" t="n">
        <f aca="false">IF(H3551="yes",1,0)</f>
        <v>0</v>
      </c>
      <c r="L3551" s="2" t="n">
        <f aca="false">IF(I3551="yes",1,0)</f>
        <v>1</v>
      </c>
      <c r="M3551" s="2" t="n">
        <f aca="false">IF(G3551&lt;0,1,0)</f>
        <v>0</v>
      </c>
      <c r="N3551" s="2" t="str">
        <f aca="false">_xlfn.IFS(B3551&lt;30,"Under 30",B3551&lt;40,"30-39",B3551&lt;50,"40-49",B3551&lt;60,"50-59",TRUE(),"60+")</f>
        <v>40-49</v>
      </c>
      <c r="O3551" s="2" t="str">
        <f aca="false">_xlfn.IFS(G3551&lt;0,"1 Negative",G3551=0,"2 Zero",G3551&lt;=500,"3 1-500",G3551&lt;=2000,"4 501-2000",TRUE(),"5 Above 2000")</f>
        <v>3 1-500</v>
      </c>
      <c r="P3551" s="2" t="n">
        <f aca="false">Lookups!$B$2*M3551+Lookups!$B$3*L3551</f>
        <v>1</v>
      </c>
      <c r="Q3551" s="2" t="str">
        <f aca="false">INDEX(Lookups!$E$2:$E$5,MATCH(P3551,Lookups!$D$2:$D$5,0))</f>
        <v>Medium</v>
      </c>
    </row>
    <row r="3552" customFormat="false" ht="15" hidden="false" customHeight="false" outlineLevel="0" collapsed="false">
      <c r="A3552" s="3" t="n">
        <v>3551</v>
      </c>
      <c r="B3552" s="3" t="n">
        <f aca="false">Raw_Data!A3552</f>
        <v>42</v>
      </c>
      <c r="C3552" s="3" t="str">
        <f aca="false">SUBSTITUTE(Raw_Data!B3552,".","")</f>
        <v>housemaid</v>
      </c>
      <c r="D3552" s="3" t="str">
        <f aca="false">Raw_Data!C3552</f>
        <v>single</v>
      </c>
      <c r="E3552" s="3" t="str">
        <f aca="false">Raw_Data!D3552</f>
        <v>primary</v>
      </c>
      <c r="F3552" s="3" t="str">
        <f aca="false">Raw_Data!E3552</f>
        <v>no</v>
      </c>
      <c r="G3552" s="3" t="n">
        <f aca="false">Raw_Data!F3552</f>
        <v>5774</v>
      </c>
      <c r="H3552" s="3" t="str">
        <f aca="false">Raw_Data!G3552</f>
        <v>yes</v>
      </c>
      <c r="I3552" s="3" t="str">
        <f aca="false">Raw_Data!H3552</f>
        <v>no</v>
      </c>
      <c r="J3552" s="2" t="n">
        <f aca="false">IF(F3552="yes",1,0)</f>
        <v>0</v>
      </c>
      <c r="K3552" s="2" t="n">
        <f aca="false">IF(H3552="yes",1,0)</f>
        <v>1</v>
      </c>
      <c r="L3552" s="2" t="n">
        <f aca="false">IF(I3552="yes",1,0)</f>
        <v>0</v>
      </c>
      <c r="M3552" s="2" t="n">
        <f aca="false">IF(G3552&lt;0,1,0)</f>
        <v>0</v>
      </c>
      <c r="N3552" s="2" t="str">
        <f aca="false">_xlfn.IFS(B3552&lt;30,"Under 30",B3552&lt;40,"30-39",B3552&lt;50,"40-49",B3552&lt;60,"50-59",TRUE(),"60+")</f>
        <v>40-49</v>
      </c>
      <c r="O3552" s="2" t="str">
        <f aca="false">_xlfn.IFS(G3552&lt;0,"1 Negative",G3552=0,"2 Zero",G3552&lt;=500,"3 1-500",G3552&lt;=2000,"4 501-2000",TRUE(),"5 Above 2000")</f>
        <v>5 Above 2000</v>
      </c>
      <c r="P3552" s="2" t="n">
        <f aca="false">Lookups!$B$2*M3552+Lookups!$B$3*L3552</f>
        <v>0</v>
      </c>
      <c r="Q3552" s="2" t="str">
        <f aca="false">INDEX(Lookups!$E$2:$E$5,MATCH(P3552,Lookups!$D$2:$D$5,0))</f>
        <v>Low</v>
      </c>
    </row>
    <row r="3553" customFormat="false" ht="15" hidden="false" customHeight="false" outlineLevel="0" collapsed="false">
      <c r="A3553" s="3" t="n">
        <v>3552</v>
      </c>
      <c r="B3553" s="3" t="n">
        <f aca="false">Raw_Data!A3553</f>
        <v>42</v>
      </c>
      <c r="C3553" s="3" t="str">
        <f aca="false">SUBSTITUTE(Raw_Data!B3553,".","")</f>
        <v>management</v>
      </c>
      <c r="D3553" s="3" t="str">
        <f aca="false">Raw_Data!C3553</f>
        <v>married</v>
      </c>
      <c r="E3553" s="3" t="str">
        <f aca="false">Raw_Data!D3553</f>
        <v>secondary</v>
      </c>
      <c r="F3553" s="3" t="str">
        <f aca="false">Raw_Data!E3553</f>
        <v>no</v>
      </c>
      <c r="G3553" s="3" t="n">
        <f aca="false">Raw_Data!F3553</f>
        <v>2416</v>
      </c>
      <c r="H3553" s="3" t="str">
        <f aca="false">Raw_Data!G3553</f>
        <v>yes</v>
      </c>
      <c r="I3553" s="3" t="str">
        <f aca="false">Raw_Data!H3553</f>
        <v>no</v>
      </c>
      <c r="J3553" s="2" t="n">
        <f aca="false">IF(F3553="yes",1,0)</f>
        <v>0</v>
      </c>
      <c r="K3553" s="2" t="n">
        <f aca="false">IF(H3553="yes",1,0)</f>
        <v>1</v>
      </c>
      <c r="L3553" s="2" t="n">
        <f aca="false">IF(I3553="yes",1,0)</f>
        <v>0</v>
      </c>
      <c r="M3553" s="2" t="n">
        <f aca="false">IF(G3553&lt;0,1,0)</f>
        <v>0</v>
      </c>
      <c r="N3553" s="2" t="str">
        <f aca="false">_xlfn.IFS(B3553&lt;30,"Under 30",B3553&lt;40,"30-39",B3553&lt;50,"40-49",B3553&lt;60,"50-59",TRUE(),"60+")</f>
        <v>40-49</v>
      </c>
      <c r="O3553" s="2" t="str">
        <f aca="false">_xlfn.IFS(G3553&lt;0,"1 Negative",G3553=0,"2 Zero",G3553&lt;=500,"3 1-500",G3553&lt;=2000,"4 501-2000",TRUE(),"5 Above 2000")</f>
        <v>5 Above 2000</v>
      </c>
      <c r="P3553" s="2" t="n">
        <f aca="false">Lookups!$B$2*M3553+Lookups!$B$3*L3553</f>
        <v>0</v>
      </c>
      <c r="Q3553" s="2" t="str">
        <f aca="false">INDEX(Lookups!$E$2:$E$5,MATCH(P3553,Lookups!$D$2:$D$5,0))</f>
        <v>Low</v>
      </c>
    </row>
    <row r="3554" customFormat="false" ht="15" hidden="false" customHeight="false" outlineLevel="0" collapsed="false">
      <c r="A3554" s="3" t="n">
        <v>3553</v>
      </c>
      <c r="B3554" s="3" t="n">
        <f aca="false">Raw_Data!A3554</f>
        <v>58</v>
      </c>
      <c r="C3554" s="3" t="str">
        <f aca="false">SUBSTITUTE(Raw_Data!B3554,".","")</f>
        <v>retired</v>
      </c>
      <c r="D3554" s="3" t="str">
        <f aca="false">Raw_Data!C3554</f>
        <v>married</v>
      </c>
      <c r="E3554" s="3" t="str">
        <f aca="false">Raw_Data!D3554</f>
        <v>secondary</v>
      </c>
      <c r="F3554" s="3" t="str">
        <f aca="false">Raw_Data!E3554</f>
        <v>no</v>
      </c>
      <c r="G3554" s="3" t="n">
        <f aca="false">Raw_Data!F3554</f>
        <v>35</v>
      </c>
      <c r="H3554" s="3" t="str">
        <f aca="false">Raw_Data!G3554</f>
        <v>no</v>
      </c>
      <c r="I3554" s="3" t="str">
        <f aca="false">Raw_Data!H3554</f>
        <v>no</v>
      </c>
      <c r="J3554" s="2" t="n">
        <f aca="false">IF(F3554="yes",1,0)</f>
        <v>0</v>
      </c>
      <c r="K3554" s="2" t="n">
        <f aca="false">IF(H3554="yes",1,0)</f>
        <v>0</v>
      </c>
      <c r="L3554" s="2" t="n">
        <f aca="false">IF(I3554="yes",1,0)</f>
        <v>0</v>
      </c>
      <c r="M3554" s="2" t="n">
        <f aca="false">IF(G3554&lt;0,1,0)</f>
        <v>0</v>
      </c>
      <c r="N3554" s="2" t="str">
        <f aca="false">_xlfn.IFS(B3554&lt;30,"Under 30",B3554&lt;40,"30-39",B3554&lt;50,"40-49",B3554&lt;60,"50-59",TRUE(),"60+")</f>
        <v>50-59</v>
      </c>
      <c r="O3554" s="2" t="str">
        <f aca="false">_xlfn.IFS(G3554&lt;0,"1 Negative",G3554=0,"2 Zero",G3554&lt;=500,"3 1-500",G3554&lt;=2000,"4 501-2000",TRUE(),"5 Above 2000")</f>
        <v>3 1-500</v>
      </c>
      <c r="P3554" s="2" t="n">
        <f aca="false">Lookups!$B$2*M3554+Lookups!$B$3*L3554</f>
        <v>0</v>
      </c>
      <c r="Q3554" s="2" t="str">
        <f aca="false">INDEX(Lookups!$E$2:$E$5,MATCH(P3554,Lookups!$D$2:$D$5,0))</f>
        <v>Low</v>
      </c>
    </row>
    <row r="3555" customFormat="false" ht="15" hidden="false" customHeight="false" outlineLevel="0" collapsed="false">
      <c r="A3555" s="3" t="n">
        <v>3554</v>
      </c>
      <c r="B3555" s="3" t="n">
        <f aca="false">Raw_Data!A3555</f>
        <v>68</v>
      </c>
      <c r="C3555" s="3" t="str">
        <f aca="false">SUBSTITUTE(Raw_Data!B3555,".","")</f>
        <v>retired</v>
      </c>
      <c r="D3555" s="3" t="str">
        <f aca="false">Raw_Data!C3555</f>
        <v>married</v>
      </c>
      <c r="E3555" s="3" t="str">
        <f aca="false">Raw_Data!D3555</f>
        <v>secondary</v>
      </c>
      <c r="F3555" s="3" t="str">
        <f aca="false">Raw_Data!E3555</f>
        <v>no</v>
      </c>
      <c r="G3555" s="3" t="n">
        <f aca="false">Raw_Data!F3555</f>
        <v>19317</v>
      </c>
      <c r="H3555" s="3" t="str">
        <f aca="false">Raw_Data!G3555</f>
        <v>yes</v>
      </c>
      <c r="I3555" s="3" t="str">
        <f aca="false">Raw_Data!H3555</f>
        <v>no</v>
      </c>
      <c r="J3555" s="2" t="n">
        <f aca="false">IF(F3555="yes",1,0)</f>
        <v>0</v>
      </c>
      <c r="K3555" s="2" t="n">
        <f aca="false">IF(H3555="yes",1,0)</f>
        <v>1</v>
      </c>
      <c r="L3555" s="2" t="n">
        <f aca="false">IF(I3555="yes",1,0)</f>
        <v>0</v>
      </c>
      <c r="M3555" s="2" t="n">
        <f aca="false">IF(G3555&lt;0,1,0)</f>
        <v>0</v>
      </c>
      <c r="N3555" s="2" t="str">
        <f aca="false">_xlfn.IFS(B3555&lt;30,"Under 30",B3555&lt;40,"30-39",B3555&lt;50,"40-49",B3555&lt;60,"50-59",TRUE(),"60+")</f>
        <v>60+</v>
      </c>
      <c r="O3555" s="2" t="str">
        <f aca="false">_xlfn.IFS(G3555&lt;0,"1 Negative",G3555=0,"2 Zero",G3555&lt;=500,"3 1-500",G3555&lt;=2000,"4 501-2000",TRUE(),"5 Above 2000")</f>
        <v>5 Above 2000</v>
      </c>
      <c r="P3555" s="2" t="n">
        <f aca="false">Lookups!$B$2*M3555+Lookups!$B$3*L3555</f>
        <v>0</v>
      </c>
      <c r="Q3555" s="2" t="str">
        <f aca="false">INDEX(Lookups!$E$2:$E$5,MATCH(P3555,Lookups!$D$2:$D$5,0))</f>
        <v>Low</v>
      </c>
    </row>
    <row r="3556" customFormat="false" ht="15" hidden="false" customHeight="false" outlineLevel="0" collapsed="false">
      <c r="A3556" s="3" t="n">
        <v>3555</v>
      </c>
      <c r="B3556" s="3" t="n">
        <f aca="false">Raw_Data!A3556</f>
        <v>43</v>
      </c>
      <c r="C3556" s="3" t="str">
        <f aca="false">SUBSTITUTE(Raw_Data!B3556,".","")</f>
        <v>technician</v>
      </c>
      <c r="D3556" s="3" t="str">
        <f aca="false">Raw_Data!C3556</f>
        <v>married</v>
      </c>
      <c r="E3556" s="3" t="str">
        <f aca="false">Raw_Data!D3556</f>
        <v>secondary</v>
      </c>
      <c r="F3556" s="3" t="str">
        <f aca="false">Raw_Data!E3556</f>
        <v>no</v>
      </c>
      <c r="G3556" s="3" t="n">
        <f aca="false">Raw_Data!F3556</f>
        <v>50</v>
      </c>
      <c r="H3556" s="3" t="str">
        <f aca="false">Raw_Data!G3556</f>
        <v>no</v>
      </c>
      <c r="I3556" s="3" t="str">
        <f aca="false">Raw_Data!H3556</f>
        <v>no</v>
      </c>
      <c r="J3556" s="2" t="n">
        <f aca="false">IF(F3556="yes",1,0)</f>
        <v>0</v>
      </c>
      <c r="K3556" s="2" t="n">
        <f aca="false">IF(H3556="yes",1,0)</f>
        <v>0</v>
      </c>
      <c r="L3556" s="2" t="n">
        <f aca="false">IF(I3556="yes",1,0)</f>
        <v>0</v>
      </c>
      <c r="M3556" s="2" t="n">
        <f aca="false">IF(G3556&lt;0,1,0)</f>
        <v>0</v>
      </c>
      <c r="N3556" s="2" t="str">
        <f aca="false">_xlfn.IFS(B3556&lt;30,"Under 30",B3556&lt;40,"30-39",B3556&lt;50,"40-49",B3556&lt;60,"50-59",TRUE(),"60+")</f>
        <v>40-49</v>
      </c>
      <c r="O3556" s="2" t="str">
        <f aca="false">_xlfn.IFS(G3556&lt;0,"1 Negative",G3556=0,"2 Zero",G3556&lt;=500,"3 1-500",G3556&lt;=2000,"4 501-2000",TRUE(),"5 Above 2000")</f>
        <v>3 1-500</v>
      </c>
      <c r="P3556" s="2" t="n">
        <f aca="false">Lookups!$B$2*M3556+Lookups!$B$3*L3556</f>
        <v>0</v>
      </c>
      <c r="Q3556" s="2" t="str">
        <f aca="false">INDEX(Lookups!$E$2:$E$5,MATCH(P3556,Lookups!$D$2:$D$5,0))</f>
        <v>Low</v>
      </c>
    </row>
    <row r="3557" customFormat="false" ht="15" hidden="false" customHeight="false" outlineLevel="0" collapsed="false">
      <c r="A3557" s="3" t="n">
        <v>3556</v>
      </c>
      <c r="B3557" s="3" t="n">
        <f aca="false">Raw_Data!A3557</f>
        <v>44</v>
      </c>
      <c r="C3557" s="3" t="str">
        <f aca="false">SUBSTITUTE(Raw_Data!B3557,".","")</f>
        <v>blue-collar</v>
      </c>
      <c r="D3557" s="3" t="str">
        <f aca="false">Raw_Data!C3557</f>
        <v>married</v>
      </c>
      <c r="E3557" s="3" t="str">
        <f aca="false">Raw_Data!D3557</f>
        <v>secondary</v>
      </c>
      <c r="F3557" s="3" t="str">
        <f aca="false">Raw_Data!E3557</f>
        <v>no</v>
      </c>
      <c r="G3557" s="3" t="n">
        <f aca="false">Raw_Data!F3557</f>
        <v>-674</v>
      </c>
      <c r="H3557" s="3" t="str">
        <f aca="false">Raw_Data!G3557</f>
        <v>yes</v>
      </c>
      <c r="I3557" s="3" t="str">
        <f aca="false">Raw_Data!H3557</f>
        <v>no</v>
      </c>
      <c r="J3557" s="2" t="n">
        <f aca="false">IF(F3557="yes",1,0)</f>
        <v>0</v>
      </c>
      <c r="K3557" s="2" t="n">
        <f aca="false">IF(H3557="yes",1,0)</f>
        <v>1</v>
      </c>
      <c r="L3557" s="2" t="n">
        <f aca="false">IF(I3557="yes",1,0)</f>
        <v>0</v>
      </c>
      <c r="M3557" s="2" t="n">
        <f aca="false">IF(G3557&lt;0,1,0)</f>
        <v>1</v>
      </c>
      <c r="N3557" s="2" t="str">
        <f aca="false">_xlfn.IFS(B3557&lt;30,"Under 30",B3557&lt;40,"30-39",B3557&lt;50,"40-49",B3557&lt;60,"50-59",TRUE(),"60+")</f>
        <v>40-49</v>
      </c>
      <c r="O3557" s="2" t="str">
        <f aca="false">_xlfn.IFS(G3557&lt;0,"1 Negative",G3557=0,"2 Zero",G3557&lt;=500,"3 1-500",G3557&lt;=2000,"4 501-2000",TRUE(),"5 Above 2000")</f>
        <v>1 Negative</v>
      </c>
      <c r="P3557" s="2" t="n">
        <f aca="false">Lookups!$B$2*M3557+Lookups!$B$3*L3557</f>
        <v>2</v>
      </c>
      <c r="Q3557" s="2" t="str">
        <f aca="false">INDEX(Lookups!$E$2:$E$5,MATCH(P3557,Lookups!$D$2:$D$5,0))</f>
        <v>High</v>
      </c>
    </row>
    <row r="3558" customFormat="false" ht="15" hidden="false" customHeight="false" outlineLevel="0" collapsed="false">
      <c r="A3558" s="3" t="n">
        <v>3557</v>
      </c>
      <c r="B3558" s="3" t="n">
        <f aca="false">Raw_Data!A3558</f>
        <v>49</v>
      </c>
      <c r="C3558" s="3" t="str">
        <f aca="false">SUBSTITUTE(Raw_Data!B3558,".","")</f>
        <v>technician</v>
      </c>
      <c r="D3558" s="3" t="str">
        <f aca="false">Raw_Data!C3558</f>
        <v>married</v>
      </c>
      <c r="E3558" s="3" t="str">
        <f aca="false">Raw_Data!D3558</f>
        <v>tertiary</v>
      </c>
      <c r="F3558" s="3" t="str">
        <f aca="false">Raw_Data!E3558</f>
        <v>no</v>
      </c>
      <c r="G3558" s="3" t="n">
        <f aca="false">Raw_Data!F3558</f>
        <v>3726</v>
      </c>
      <c r="H3558" s="3" t="str">
        <f aca="false">Raw_Data!G3558</f>
        <v>no</v>
      </c>
      <c r="I3558" s="3" t="str">
        <f aca="false">Raw_Data!H3558</f>
        <v>no</v>
      </c>
      <c r="J3558" s="2" t="n">
        <f aca="false">IF(F3558="yes",1,0)</f>
        <v>0</v>
      </c>
      <c r="K3558" s="2" t="n">
        <f aca="false">IF(H3558="yes",1,0)</f>
        <v>0</v>
      </c>
      <c r="L3558" s="2" t="n">
        <f aca="false">IF(I3558="yes",1,0)</f>
        <v>0</v>
      </c>
      <c r="M3558" s="2" t="n">
        <f aca="false">IF(G3558&lt;0,1,0)</f>
        <v>0</v>
      </c>
      <c r="N3558" s="2" t="str">
        <f aca="false">_xlfn.IFS(B3558&lt;30,"Under 30",B3558&lt;40,"30-39",B3558&lt;50,"40-49",B3558&lt;60,"50-59",TRUE(),"60+")</f>
        <v>40-49</v>
      </c>
      <c r="O3558" s="2" t="str">
        <f aca="false">_xlfn.IFS(G3558&lt;0,"1 Negative",G3558=0,"2 Zero",G3558&lt;=500,"3 1-500",G3558&lt;=2000,"4 501-2000",TRUE(),"5 Above 2000")</f>
        <v>5 Above 2000</v>
      </c>
      <c r="P3558" s="2" t="n">
        <f aca="false">Lookups!$B$2*M3558+Lookups!$B$3*L3558</f>
        <v>0</v>
      </c>
      <c r="Q3558" s="2" t="str">
        <f aca="false">INDEX(Lookups!$E$2:$E$5,MATCH(P3558,Lookups!$D$2:$D$5,0))</f>
        <v>Low</v>
      </c>
    </row>
    <row r="3559" customFormat="false" ht="15" hidden="false" customHeight="false" outlineLevel="0" collapsed="false">
      <c r="A3559" s="3" t="n">
        <v>3558</v>
      </c>
      <c r="B3559" s="3" t="n">
        <f aca="false">Raw_Data!A3559</f>
        <v>57</v>
      </c>
      <c r="C3559" s="3" t="str">
        <f aca="false">SUBSTITUTE(Raw_Data!B3559,".","")</f>
        <v>retired</v>
      </c>
      <c r="D3559" s="3" t="str">
        <f aca="false">Raw_Data!C3559</f>
        <v>married</v>
      </c>
      <c r="E3559" s="3" t="str">
        <f aca="false">Raw_Data!D3559</f>
        <v>tertiary</v>
      </c>
      <c r="F3559" s="3" t="str">
        <f aca="false">Raw_Data!E3559</f>
        <v>no</v>
      </c>
      <c r="G3559" s="3" t="n">
        <f aca="false">Raw_Data!F3559</f>
        <v>1180</v>
      </c>
      <c r="H3559" s="3" t="str">
        <f aca="false">Raw_Data!G3559</f>
        <v>yes</v>
      </c>
      <c r="I3559" s="3" t="str">
        <f aca="false">Raw_Data!H3559</f>
        <v>yes</v>
      </c>
      <c r="J3559" s="2" t="n">
        <f aca="false">IF(F3559="yes",1,0)</f>
        <v>0</v>
      </c>
      <c r="K3559" s="2" t="n">
        <f aca="false">IF(H3559="yes",1,0)</f>
        <v>1</v>
      </c>
      <c r="L3559" s="2" t="n">
        <f aca="false">IF(I3559="yes",1,0)</f>
        <v>1</v>
      </c>
      <c r="M3559" s="2" t="n">
        <f aca="false">IF(G3559&lt;0,1,0)</f>
        <v>0</v>
      </c>
      <c r="N3559" s="2" t="str">
        <f aca="false">_xlfn.IFS(B3559&lt;30,"Under 30",B3559&lt;40,"30-39",B3559&lt;50,"40-49",B3559&lt;60,"50-59",TRUE(),"60+")</f>
        <v>50-59</v>
      </c>
      <c r="O3559" s="2" t="str">
        <f aca="false">_xlfn.IFS(G3559&lt;0,"1 Negative",G3559=0,"2 Zero",G3559&lt;=500,"3 1-500",G3559&lt;=2000,"4 501-2000",TRUE(),"5 Above 2000")</f>
        <v>4 501-2000</v>
      </c>
      <c r="P3559" s="2" t="n">
        <f aca="false">Lookups!$B$2*M3559+Lookups!$B$3*L3559</f>
        <v>1</v>
      </c>
      <c r="Q3559" s="2" t="str">
        <f aca="false">INDEX(Lookups!$E$2:$E$5,MATCH(P3559,Lookups!$D$2:$D$5,0))</f>
        <v>Medium</v>
      </c>
    </row>
    <row r="3560" customFormat="false" ht="15" hidden="false" customHeight="false" outlineLevel="0" collapsed="false">
      <c r="A3560" s="3" t="n">
        <v>3559</v>
      </c>
      <c r="B3560" s="3" t="n">
        <f aca="false">Raw_Data!A3560</f>
        <v>61</v>
      </c>
      <c r="C3560" s="3" t="str">
        <f aca="false">SUBSTITUTE(Raw_Data!B3560,".","")</f>
        <v>self-employed</v>
      </c>
      <c r="D3560" s="3" t="str">
        <f aca="false">Raw_Data!C3560</f>
        <v>divorced</v>
      </c>
      <c r="E3560" s="3" t="str">
        <f aca="false">Raw_Data!D3560</f>
        <v>tertiary</v>
      </c>
      <c r="F3560" s="3" t="str">
        <f aca="false">Raw_Data!E3560</f>
        <v>no</v>
      </c>
      <c r="G3560" s="3" t="n">
        <f aca="false">Raw_Data!F3560</f>
        <v>6610</v>
      </c>
      <c r="H3560" s="3" t="str">
        <f aca="false">Raw_Data!G3560</f>
        <v>no</v>
      </c>
      <c r="I3560" s="3" t="str">
        <f aca="false">Raw_Data!H3560</f>
        <v>no</v>
      </c>
      <c r="J3560" s="2" t="n">
        <f aca="false">IF(F3560="yes",1,0)</f>
        <v>0</v>
      </c>
      <c r="K3560" s="2" t="n">
        <f aca="false">IF(H3560="yes",1,0)</f>
        <v>0</v>
      </c>
      <c r="L3560" s="2" t="n">
        <f aca="false">IF(I3560="yes",1,0)</f>
        <v>0</v>
      </c>
      <c r="M3560" s="2" t="n">
        <f aca="false">IF(G3560&lt;0,1,0)</f>
        <v>0</v>
      </c>
      <c r="N3560" s="2" t="str">
        <f aca="false">_xlfn.IFS(B3560&lt;30,"Under 30",B3560&lt;40,"30-39",B3560&lt;50,"40-49",B3560&lt;60,"50-59",TRUE(),"60+")</f>
        <v>60+</v>
      </c>
      <c r="O3560" s="2" t="str">
        <f aca="false">_xlfn.IFS(G3560&lt;0,"1 Negative",G3560=0,"2 Zero",G3560&lt;=500,"3 1-500",G3560&lt;=2000,"4 501-2000",TRUE(),"5 Above 2000")</f>
        <v>5 Above 2000</v>
      </c>
      <c r="P3560" s="2" t="n">
        <f aca="false">Lookups!$B$2*M3560+Lookups!$B$3*L3560</f>
        <v>0</v>
      </c>
      <c r="Q3560" s="2" t="str">
        <f aca="false">INDEX(Lookups!$E$2:$E$5,MATCH(P3560,Lookups!$D$2:$D$5,0))</f>
        <v>Low</v>
      </c>
    </row>
    <row r="3561" customFormat="false" ht="15" hidden="false" customHeight="false" outlineLevel="0" collapsed="false">
      <c r="A3561" s="3" t="n">
        <v>3560</v>
      </c>
      <c r="B3561" s="3" t="n">
        <f aca="false">Raw_Data!A3561</f>
        <v>36</v>
      </c>
      <c r="C3561" s="3" t="str">
        <f aca="false">SUBSTITUTE(Raw_Data!B3561,".","")</f>
        <v>admin</v>
      </c>
      <c r="D3561" s="3" t="str">
        <f aca="false">Raw_Data!C3561</f>
        <v>single</v>
      </c>
      <c r="E3561" s="3" t="str">
        <f aca="false">Raw_Data!D3561</f>
        <v>secondary</v>
      </c>
      <c r="F3561" s="3" t="str">
        <f aca="false">Raw_Data!E3561</f>
        <v>no</v>
      </c>
      <c r="G3561" s="3" t="n">
        <f aca="false">Raw_Data!F3561</f>
        <v>319</v>
      </c>
      <c r="H3561" s="3" t="str">
        <f aca="false">Raw_Data!G3561</f>
        <v>yes</v>
      </c>
      <c r="I3561" s="3" t="str">
        <f aca="false">Raw_Data!H3561</f>
        <v>no</v>
      </c>
      <c r="J3561" s="2" t="n">
        <f aca="false">IF(F3561="yes",1,0)</f>
        <v>0</v>
      </c>
      <c r="K3561" s="2" t="n">
        <f aca="false">IF(H3561="yes",1,0)</f>
        <v>1</v>
      </c>
      <c r="L3561" s="2" t="n">
        <f aca="false">IF(I3561="yes",1,0)</f>
        <v>0</v>
      </c>
      <c r="M3561" s="2" t="n">
        <f aca="false">IF(G3561&lt;0,1,0)</f>
        <v>0</v>
      </c>
      <c r="N3561" s="2" t="str">
        <f aca="false">_xlfn.IFS(B3561&lt;30,"Under 30",B3561&lt;40,"30-39",B3561&lt;50,"40-49",B3561&lt;60,"50-59",TRUE(),"60+")</f>
        <v>30-39</v>
      </c>
      <c r="O3561" s="2" t="str">
        <f aca="false">_xlfn.IFS(G3561&lt;0,"1 Negative",G3561=0,"2 Zero",G3561&lt;=500,"3 1-500",G3561&lt;=2000,"4 501-2000",TRUE(),"5 Above 2000")</f>
        <v>3 1-500</v>
      </c>
      <c r="P3561" s="2" t="n">
        <f aca="false">Lookups!$B$2*M3561+Lookups!$B$3*L3561</f>
        <v>0</v>
      </c>
      <c r="Q3561" s="2" t="str">
        <f aca="false">INDEX(Lookups!$E$2:$E$5,MATCH(P3561,Lookups!$D$2:$D$5,0))</f>
        <v>Low</v>
      </c>
    </row>
    <row r="3562" customFormat="false" ht="15" hidden="false" customHeight="false" outlineLevel="0" collapsed="false">
      <c r="A3562" s="3" t="n">
        <v>3561</v>
      </c>
      <c r="B3562" s="3" t="n">
        <f aca="false">Raw_Data!A3562</f>
        <v>31</v>
      </c>
      <c r="C3562" s="3" t="str">
        <f aca="false">SUBSTITUTE(Raw_Data!B3562,".","")</f>
        <v>blue-collar</v>
      </c>
      <c r="D3562" s="3" t="str">
        <f aca="false">Raw_Data!C3562</f>
        <v>married</v>
      </c>
      <c r="E3562" s="3" t="str">
        <f aca="false">Raw_Data!D3562</f>
        <v>secondary</v>
      </c>
      <c r="F3562" s="3" t="str">
        <f aca="false">Raw_Data!E3562</f>
        <v>no</v>
      </c>
      <c r="G3562" s="3" t="n">
        <f aca="false">Raw_Data!F3562</f>
        <v>1545</v>
      </c>
      <c r="H3562" s="3" t="str">
        <f aca="false">Raw_Data!G3562</f>
        <v>yes</v>
      </c>
      <c r="I3562" s="3" t="str">
        <f aca="false">Raw_Data!H3562</f>
        <v>yes</v>
      </c>
      <c r="J3562" s="2" t="n">
        <f aca="false">IF(F3562="yes",1,0)</f>
        <v>0</v>
      </c>
      <c r="K3562" s="2" t="n">
        <f aca="false">IF(H3562="yes",1,0)</f>
        <v>1</v>
      </c>
      <c r="L3562" s="2" t="n">
        <f aca="false">IF(I3562="yes",1,0)</f>
        <v>1</v>
      </c>
      <c r="M3562" s="2" t="n">
        <f aca="false">IF(G3562&lt;0,1,0)</f>
        <v>0</v>
      </c>
      <c r="N3562" s="2" t="str">
        <f aca="false">_xlfn.IFS(B3562&lt;30,"Under 30",B3562&lt;40,"30-39",B3562&lt;50,"40-49",B3562&lt;60,"50-59",TRUE(),"60+")</f>
        <v>30-39</v>
      </c>
      <c r="O3562" s="2" t="str">
        <f aca="false">_xlfn.IFS(G3562&lt;0,"1 Negative",G3562=0,"2 Zero",G3562&lt;=500,"3 1-500",G3562&lt;=2000,"4 501-2000",TRUE(),"5 Above 2000")</f>
        <v>4 501-2000</v>
      </c>
      <c r="P3562" s="2" t="n">
        <f aca="false">Lookups!$B$2*M3562+Lookups!$B$3*L3562</f>
        <v>1</v>
      </c>
      <c r="Q3562" s="2" t="str">
        <f aca="false">INDEX(Lookups!$E$2:$E$5,MATCH(P3562,Lookups!$D$2:$D$5,0))</f>
        <v>Medium</v>
      </c>
    </row>
    <row r="3563" customFormat="false" ht="15" hidden="false" customHeight="false" outlineLevel="0" collapsed="false">
      <c r="A3563" s="3" t="n">
        <v>3562</v>
      </c>
      <c r="B3563" s="3" t="n">
        <f aca="false">Raw_Data!A3563</f>
        <v>51</v>
      </c>
      <c r="C3563" s="3" t="str">
        <f aca="false">SUBSTITUTE(Raw_Data!B3563,".","")</f>
        <v>technician</v>
      </c>
      <c r="D3563" s="3" t="str">
        <f aca="false">Raw_Data!C3563</f>
        <v>married</v>
      </c>
      <c r="E3563" s="3" t="str">
        <f aca="false">Raw_Data!D3563</f>
        <v>tertiary</v>
      </c>
      <c r="F3563" s="3" t="str">
        <f aca="false">Raw_Data!E3563</f>
        <v>no</v>
      </c>
      <c r="G3563" s="3" t="n">
        <f aca="false">Raw_Data!F3563</f>
        <v>1315</v>
      </c>
      <c r="H3563" s="3" t="str">
        <f aca="false">Raw_Data!G3563</f>
        <v>no</v>
      </c>
      <c r="I3563" s="3" t="str">
        <f aca="false">Raw_Data!H3563</f>
        <v>no</v>
      </c>
      <c r="J3563" s="2" t="n">
        <f aca="false">IF(F3563="yes",1,0)</f>
        <v>0</v>
      </c>
      <c r="K3563" s="2" t="n">
        <f aca="false">IF(H3563="yes",1,0)</f>
        <v>0</v>
      </c>
      <c r="L3563" s="2" t="n">
        <f aca="false">IF(I3563="yes",1,0)</f>
        <v>0</v>
      </c>
      <c r="M3563" s="2" t="n">
        <f aca="false">IF(G3563&lt;0,1,0)</f>
        <v>0</v>
      </c>
      <c r="N3563" s="2" t="str">
        <f aca="false">_xlfn.IFS(B3563&lt;30,"Under 30",B3563&lt;40,"30-39",B3563&lt;50,"40-49",B3563&lt;60,"50-59",TRUE(),"60+")</f>
        <v>50-59</v>
      </c>
      <c r="O3563" s="2" t="str">
        <f aca="false">_xlfn.IFS(G3563&lt;0,"1 Negative",G3563=0,"2 Zero",G3563&lt;=500,"3 1-500",G3563&lt;=2000,"4 501-2000",TRUE(),"5 Above 2000")</f>
        <v>4 501-2000</v>
      </c>
      <c r="P3563" s="2" t="n">
        <f aca="false">Lookups!$B$2*M3563+Lookups!$B$3*L3563</f>
        <v>0</v>
      </c>
      <c r="Q3563" s="2" t="str">
        <f aca="false">INDEX(Lookups!$E$2:$E$5,MATCH(P3563,Lookups!$D$2:$D$5,0))</f>
        <v>Low</v>
      </c>
    </row>
    <row r="3564" customFormat="false" ht="15" hidden="false" customHeight="false" outlineLevel="0" collapsed="false">
      <c r="A3564" s="3" t="n">
        <v>3563</v>
      </c>
      <c r="B3564" s="3" t="n">
        <f aca="false">Raw_Data!A3564</f>
        <v>31</v>
      </c>
      <c r="C3564" s="3" t="str">
        <f aca="false">SUBSTITUTE(Raw_Data!B3564,".","")</f>
        <v>technician</v>
      </c>
      <c r="D3564" s="3" t="str">
        <f aca="false">Raw_Data!C3564</f>
        <v>single</v>
      </c>
      <c r="E3564" s="3" t="str">
        <f aca="false">Raw_Data!D3564</f>
        <v>tertiary</v>
      </c>
      <c r="F3564" s="3" t="str">
        <f aca="false">Raw_Data!E3564</f>
        <v>no</v>
      </c>
      <c r="G3564" s="3" t="n">
        <f aca="false">Raw_Data!F3564</f>
        <v>424</v>
      </c>
      <c r="H3564" s="3" t="str">
        <f aca="false">Raw_Data!G3564</f>
        <v>no</v>
      </c>
      <c r="I3564" s="3" t="str">
        <f aca="false">Raw_Data!H3564</f>
        <v>no</v>
      </c>
      <c r="J3564" s="2" t="n">
        <f aca="false">IF(F3564="yes",1,0)</f>
        <v>0</v>
      </c>
      <c r="K3564" s="2" t="n">
        <f aca="false">IF(H3564="yes",1,0)</f>
        <v>0</v>
      </c>
      <c r="L3564" s="2" t="n">
        <f aca="false">IF(I3564="yes",1,0)</f>
        <v>0</v>
      </c>
      <c r="M3564" s="2" t="n">
        <f aca="false">IF(G3564&lt;0,1,0)</f>
        <v>0</v>
      </c>
      <c r="N3564" s="2" t="str">
        <f aca="false">_xlfn.IFS(B3564&lt;30,"Under 30",B3564&lt;40,"30-39",B3564&lt;50,"40-49",B3564&lt;60,"50-59",TRUE(),"60+")</f>
        <v>30-39</v>
      </c>
      <c r="O3564" s="2" t="str">
        <f aca="false">_xlfn.IFS(G3564&lt;0,"1 Negative",G3564=0,"2 Zero",G3564&lt;=500,"3 1-500",G3564&lt;=2000,"4 501-2000",TRUE(),"5 Above 2000")</f>
        <v>3 1-500</v>
      </c>
      <c r="P3564" s="2" t="n">
        <f aca="false">Lookups!$B$2*M3564+Lookups!$B$3*L3564</f>
        <v>0</v>
      </c>
      <c r="Q3564" s="2" t="str">
        <f aca="false">INDEX(Lookups!$E$2:$E$5,MATCH(P3564,Lookups!$D$2:$D$5,0))</f>
        <v>Low</v>
      </c>
    </row>
    <row r="3565" customFormat="false" ht="15" hidden="false" customHeight="false" outlineLevel="0" collapsed="false">
      <c r="A3565" s="3" t="n">
        <v>3564</v>
      </c>
      <c r="B3565" s="3" t="n">
        <f aca="false">Raw_Data!A3565</f>
        <v>56</v>
      </c>
      <c r="C3565" s="3" t="str">
        <f aca="false">SUBSTITUTE(Raw_Data!B3565,".","")</f>
        <v>blue-collar</v>
      </c>
      <c r="D3565" s="3" t="str">
        <f aca="false">Raw_Data!C3565</f>
        <v>married</v>
      </c>
      <c r="E3565" s="3" t="str">
        <f aca="false">Raw_Data!D3565</f>
        <v>primary</v>
      </c>
      <c r="F3565" s="3" t="str">
        <f aca="false">Raw_Data!E3565</f>
        <v>no</v>
      </c>
      <c r="G3565" s="3" t="n">
        <f aca="false">Raw_Data!F3565</f>
        <v>151</v>
      </c>
      <c r="H3565" s="3" t="str">
        <f aca="false">Raw_Data!G3565</f>
        <v>no</v>
      </c>
      <c r="I3565" s="3" t="str">
        <f aca="false">Raw_Data!H3565</f>
        <v>no</v>
      </c>
      <c r="J3565" s="2" t="n">
        <f aca="false">IF(F3565="yes",1,0)</f>
        <v>0</v>
      </c>
      <c r="K3565" s="2" t="n">
        <f aca="false">IF(H3565="yes",1,0)</f>
        <v>0</v>
      </c>
      <c r="L3565" s="2" t="n">
        <f aca="false">IF(I3565="yes",1,0)</f>
        <v>0</v>
      </c>
      <c r="M3565" s="2" t="n">
        <f aca="false">IF(G3565&lt;0,1,0)</f>
        <v>0</v>
      </c>
      <c r="N3565" s="2" t="str">
        <f aca="false">_xlfn.IFS(B3565&lt;30,"Under 30",B3565&lt;40,"30-39",B3565&lt;50,"40-49",B3565&lt;60,"50-59",TRUE(),"60+")</f>
        <v>50-59</v>
      </c>
      <c r="O3565" s="2" t="str">
        <f aca="false">_xlfn.IFS(G3565&lt;0,"1 Negative",G3565=0,"2 Zero",G3565&lt;=500,"3 1-500",G3565&lt;=2000,"4 501-2000",TRUE(),"5 Above 2000")</f>
        <v>3 1-500</v>
      </c>
      <c r="P3565" s="2" t="n">
        <f aca="false">Lookups!$B$2*M3565+Lookups!$B$3*L3565</f>
        <v>0</v>
      </c>
      <c r="Q3565" s="2" t="str">
        <f aca="false">INDEX(Lookups!$E$2:$E$5,MATCH(P3565,Lookups!$D$2:$D$5,0))</f>
        <v>Low</v>
      </c>
    </row>
    <row r="3566" customFormat="false" ht="15" hidden="false" customHeight="false" outlineLevel="0" collapsed="false">
      <c r="A3566" s="3" t="n">
        <v>3565</v>
      </c>
      <c r="B3566" s="3" t="n">
        <f aca="false">Raw_Data!A3566</f>
        <v>30</v>
      </c>
      <c r="C3566" s="3" t="str">
        <f aca="false">SUBSTITUTE(Raw_Data!B3566,".","")</f>
        <v>technician</v>
      </c>
      <c r="D3566" s="3" t="str">
        <f aca="false">Raw_Data!C3566</f>
        <v>single</v>
      </c>
      <c r="E3566" s="3" t="str">
        <f aca="false">Raw_Data!D3566</f>
        <v>tertiary</v>
      </c>
      <c r="F3566" s="3" t="str">
        <f aca="false">Raw_Data!E3566</f>
        <v>no</v>
      </c>
      <c r="G3566" s="3" t="n">
        <f aca="false">Raw_Data!F3566</f>
        <v>-970</v>
      </c>
      <c r="H3566" s="3" t="str">
        <f aca="false">Raw_Data!G3566</f>
        <v>no</v>
      </c>
      <c r="I3566" s="3" t="str">
        <f aca="false">Raw_Data!H3566</f>
        <v>yes</v>
      </c>
      <c r="J3566" s="2" t="n">
        <f aca="false">IF(F3566="yes",1,0)</f>
        <v>0</v>
      </c>
      <c r="K3566" s="2" t="n">
        <f aca="false">IF(H3566="yes",1,0)</f>
        <v>0</v>
      </c>
      <c r="L3566" s="2" t="n">
        <f aca="false">IF(I3566="yes",1,0)</f>
        <v>1</v>
      </c>
      <c r="M3566" s="2" t="n">
        <f aca="false">IF(G3566&lt;0,1,0)</f>
        <v>1</v>
      </c>
      <c r="N3566" s="2" t="str">
        <f aca="false">_xlfn.IFS(B3566&lt;30,"Under 30",B3566&lt;40,"30-39",B3566&lt;50,"40-49",B3566&lt;60,"50-59",TRUE(),"60+")</f>
        <v>30-39</v>
      </c>
      <c r="O3566" s="2" t="str">
        <f aca="false">_xlfn.IFS(G3566&lt;0,"1 Negative",G3566=0,"2 Zero",G3566&lt;=500,"3 1-500",G3566&lt;=2000,"4 501-2000",TRUE(),"5 Above 2000")</f>
        <v>1 Negative</v>
      </c>
      <c r="P3566" s="2" t="n">
        <f aca="false">Lookups!$B$2*M3566+Lookups!$B$3*L3566</f>
        <v>3</v>
      </c>
      <c r="Q3566" s="2" t="str">
        <f aca="false">INDEX(Lookups!$E$2:$E$5,MATCH(P3566,Lookups!$D$2:$D$5,0))</f>
        <v>High</v>
      </c>
    </row>
    <row r="3567" customFormat="false" ht="15" hidden="false" customHeight="false" outlineLevel="0" collapsed="false">
      <c r="A3567" s="3" t="n">
        <v>3566</v>
      </c>
      <c r="B3567" s="3" t="n">
        <f aca="false">Raw_Data!A3567</f>
        <v>38</v>
      </c>
      <c r="C3567" s="3" t="str">
        <f aca="false">SUBSTITUTE(Raw_Data!B3567,".","")</f>
        <v>services</v>
      </c>
      <c r="D3567" s="3" t="str">
        <f aca="false">Raw_Data!C3567</f>
        <v>married</v>
      </c>
      <c r="E3567" s="3" t="str">
        <f aca="false">Raw_Data!D3567</f>
        <v>secondary</v>
      </c>
      <c r="F3567" s="3" t="str">
        <f aca="false">Raw_Data!E3567</f>
        <v>no</v>
      </c>
      <c r="G3567" s="3" t="n">
        <f aca="false">Raw_Data!F3567</f>
        <v>-762</v>
      </c>
      <c r="H3567" s="3" t="str">
        <f aca="false">Raw_Data!G3567</f>
        <v>yes</v>
      </c>
      <c r="I3567" s="3" t="str">
        <f aca="false">Raw_Data!H3567</f>
        <v>yes</v>
      </c>
      <c r="J3567" s="2" t="n">
        <f aca="false">IF(F3567="yes",1,0)</f>
        <v>0</v>
      </c>
      <c r="K3567" s="2" t="n">
        <f aca="false">IF(H3567="yes",1,0)</f>
        <v>1</v>
      </c>
      <c r="L3567" s="2" t="n">
        <f aca="false">IF(I3567="yes",1,0)</f>
        <v>1</v>
      </c>
      <c r="M3567" s="2" t="n">
        <f aca="false">IF(G3567&lt;0,1,0)</f>
        <v>1</v>
      </c>
      <c r="N3567" s="2" t="str">
        <f aca="false">_xlfn.IFS(B3567&lt;30,"Under 30",B3567&lt;40,"30-39",B3567&lt;50,"40-49",B3567&lt;60,"50-59",TRUE(),"60+")</f>
        <v>30-39</v>
      </c>
      <c r="O3567" s="2" t="str">
        <f aca="false">_xlfn.IFS(G3567&lt;0,"1 Negative",G3567=0,"2 Zero",G3567&lt;=500,"3 1-500",G3567&lt;=2000,"4 501-2000",TRUE(),"5 Above 2000")</f>
        <v>1 Negative</v>
      </c>
      <c r="P3567" s="2" t="n">
        <f aca="false">Lookups!$B$2*M3567+Lookups!$B$3*L3567</f>
        <v>3</v>
      </c>
      <c r="Q3567" s="2" t="str">
        <f aca="false">INDEX(Lookups!$E$2:$E$5,MATCH(P3567,Lookups!$D$2:$D$5,0))</f>
        <v>High</v>
      </c>
    </row>
    <row r="3568" customFormat="false" ht="15" hidden="false" customHeight="false" outlineLevel="0" collapsed="false">
      <c r="A3568" s="3" t="n">
        <v>3567</v>
      </c>
      <c r="B3568" s="3" t="n">
        <f aca="false">Raw_Data!A3568</f>
        <v>35</v>
      </c>
      <c r="C3568" s="3" t="str">
        <f aca="false">SUBSTITUTE(Raw_Data!B3568,".","")</f>
        <v>services</v>
      </c>
      <c r="D3568" s="3" t="str">
        <f aca="false">Raw_Data!C3568</f>
        <v>married</v>
      </c>
      <c r="E3568" s="3" t="str">
        <f aca="false">Raw_Data!D3568</f>
        <v>secondary</v>
      </c>
      <c r="F3568" s="3" t="str">
        <f aca="false">Raw_Data!E3568</f>
        <v>no</v>
      </c>
      <c r="G3568" s="3" t="n">
        <f aca="false">Raw_Data!F3568</f>
        <v>181</v>
      </c>
      <c r="H3568" s="3" t="str">
        <f aca="false">Raw_Data!G3568</f>
        <v>yes</v>
      </c>
      <c r="I3568" s="3" t="str">
        <f aca="false">Raw_Data!H3568</f>
        <v>no</v>
      </c>
      <c r="J3568" s="2" t="n">
        <f aca="false">IF(F3568="yes",1,0)</f>
        <v>0</v>
      </c>
      <c r="K3568" s="2" t="n">
        <f aca="false">IF(H3568="yes",1,0)</f>
        <v>1</v>
      </c>
      <c r="L3568" s="2" t="n">
        <f aca="false">IF(I3568="yes",1,0)</f>
        <v>0</v>
      </c>
      <c r="M3568" s="2" t="n">
        <f aca="false">IF(G3568&lt;0,1,0)</f>
        <v>0</v>
      </c>
      <c r="N3568" s="2" t="str">
        <f aca="false">_xlfn.IFS(B3568&lt;30,"Under 30",B3568&lt;40,"30-39",B3568&lt;50,"40-49",B3568&lt;60,"50-59",TRUE(),"60+")</f>
        <v>30-39</v>
      </c>
      <c r="O3568" s="2" t="str">
        <f aca="false">_xlfn.IFS(G3568&lt;0,"1 Negative",G3568=0,"2 Zero",G3568&lt;=500,"3 1-500",G3568&lt;=2000,"4 501-2000",TRUE(),"5 Above 2000")</f>
        <v>3 1-500</v>
      </c>
      <c r="P3568" s="2" t="n">
        <f aca="false">Lookups!$B$2*M3568+Lookups!$B$3*L3568</f>
        <v>0</v>
      </c>
      <c r="Q3568" s="2" t="str">
        <f aca="false">INDEX(Lookups!$E$2:$E$5,MATCH(P3568,Lookups!$D$2:$D$5,0))</f>
        <v>Low</v>
      </c>
    </row>
    <row r="3569" customFormat="false" ht="15" hidden="false" customHeight="false" outlineLevel="0" collapsed="false">
      <c r="A3569" s="3" t="n">
        <v>3568</v>
      </c>
      <c r="B3569" s="3" t="n">
        <f aca="false">Raw_Data!A3569</f>
        <v>31</v>
      </c>
      <c r="C3569" s="3" t="str">
        <f aca="false">SUBSTITUTE(Raw_Data!B3569,".","")</f>
        <v>blue-collar</v>
      </c>
      <c r="D3569" s="3" t="str">
        <f aca="false">Raw_Data!C3569</f>
        <v>married</v>
      </c>
      <c r="E3569" s="3" t="str">
        <f aca="false">Raw_Data!D3569</f>
        <v>unknown</v>
      </c>
      <c r="F3569" s="3" t="str">
        <f aca="false">Raw_Data!E3569</f>
        <v>no</v>
      </c>
      <c r="G3569" s="3" t="n">
        <f aca="false">Raw_Data!F3569</f>
        <v>-120</v>
      </c>
      <c r="H3569" s="3" t="str">
        <f aca="false">Raw_Data!G3569</f>
        <v>yes</v>
      </c>
      <c r="I3569" s="3" t="str">
        <f aca="false">Raw_Data!H3569</f>
        <v>no</v>
      </c>
      <c r="J3569" s="2" t="n">
        <f aca="false">IF(F3569="yes",1,0)</f>
        <v>0</v>
      </c>
      <c r="K3569" s="2" t="n">
        <f aca="false">IF(H3569="yes",1,0)</f>
        <v>1</v>
      </c>
      <c r="L3569" s="2" t="n">
        <f aca="false">IF(I3569="yes",1,0)</f>
        <v>0</v>
      </c>
      <c r="M3569" s="2" t="n">
        <f aca="false">IF(G3569&lt;0,1,0)</f>
        <v>1</v>
      </c>
      <c r="N3569" s="2" t="str">
        <f aca="false">_xlfn.IFS(B3569&lt;30,"Under 30",B3569&lt;40,"30-39",B3569&lt;50,"40-49",B3569&lt;60,"50-59",TRUE(),"60+")</f>
        <v>30-39</v>
      </c>
      <c r="O3569" s="2" t="str">
        <f aca="false">_xlfn.IFS(G3569&lt;0,"1 Negative",G3569=0,"2 Zero",G3569&lt;=500,"3 1-500",G3569&lt;=2000,"4 501-2000",TRUE(),"5 Above 2000")</f>
        <v>1 Negative</v>
      </c>
      <c r="P3569" s="2" t="n">
        <f aca="false">Lookups!$B$2*M3569+Lookups!$B$3*L3569</f>
        <v>2</v>
      </c>
      <c r="Q3569" s="2" t="str">
        <f aca="false">INDEX(Lookups!$E$2:$E$5,MATCH(P3569,Lookups!$D$2:$D$5,0))</f>
        <v>High</v>
      </c>
    </row>
    <row r="3570" customFormat="false" ht="15" hidden="false" customHeight="false" outlineLevel="0" collapsed="false">
      <c r="A3570" s="3" t="n">
        <v>3569</v>
      </c>
      <c r="B3570" s="3" t="n">
        <f aca="false">Raw_Data!A3570</f>
        <v>39</v>
      </c>
      <c r="C3570" s="3" t="str">
        <f aca="false">SUBSTITUTE(Raw_Data!B3570,".","")</f>
        <v>admin</v>
      </c>
      <c r="D3570" s="3" t="str">
        <f aca="false">Raw_Data!C3570</f>
        <v>divorced</v>
      </c>
      <c r="E3570" s="3" t="str">
        <f aca="false">Raw_Data!D3570</f>
        <v>secondary</v>
      </c>
      <c r="F3570" s="3" t="str">
        <f aca="false">Raw_Data!E3570</f>
        <v>no</v>
      </c>
      <c r="G3570" s="3" t="n">
        <f aca="false">Raw_Data!F3570</f>
        <v>1022</v>
      </c>
      <c r="H3570" s="3" t="str">
        <f aca="false">Raw_Data!G3570</f>
        <v>yes</v>
      </c>
      <c r="I3570" s="3" t="str">
        <f aca="false">Raw_Data!H3570</f>
        <v>no</v>
      </c>
      <c r="J3570" s="2" t="n">
        <f aca="false">IF(F3570="yes",1,0)</f>
        <v>0</v>
      </c>
      <c r="K3570" s="2" t="n">
        <f aca="false">IF(H3570="yes",1,0)</f>
        <v>1</v>
      </c>
      <c r="L3570" s="2" t="n">
        <f aca="false">IF(I3570="yes",1,0)</f>
        <v>0</v>
      </c>
      <c r="M3570" s="2" t="n">
        <f aca="false">IF(G3570&lt;0,1,0)</f>
        <v>0</v>
      </c>
      <c r="N3570" s="2" t="str">
        <f aca="false">_xlfn.IFS(B3570&lt;30,"Under 30",B3570&lt;40,"30-39",B3570&lt;50,"40-49",B3570&lt;60,"50-59",TRUE(),"60+")</f>
        <v>30-39</v>
      </c>
      <c r="O3570" s="2" t="str">
        <f aca="false">_xlfn.IFS(G3570&lt;0,"1 Negative",G3570=0,"2 Zero",G3570&lt;=500,"3 1-500",G3570&lt;=2000,"4 501-2000",TRUE(),"5 Above 2000")</f>
        <v>4 501-2000</v>
      </c>
      <c r="P3570" s="2" t="n">
        <f aca="false">Lookups!$B$2*M3570+Lookups!$B$3*L3570</f>
        <v>0</v>
      </c>
      <c r="Q3570" s="2" t="str">
        <f aca="false">INDEX(Lookups!$E$2:$E$5,MATCH(P3570,Lookups!$D$2:$D$5,0))</f>
        <v>Low</v>
      </c>
    </row>
    <row r="3571" customFormat="false" ht="15" hidden="false" customHeight="false" outlineLevel="0" collapsed="false">
      <c r="A3571" s="3" t="n">
        <v>3570</v>
      </c>
      <c r="B3571" s="3" t="n">
        <f aca="false">Raw_Data!A3571</f>
        <v>50</v>
      </c>
      <c r="C3571" s="3" t="str">
        <f aca="false">SUBSTITUTE(Raw_Data!B3571,".","")</f>
        <v>management</v>
      </c>
      <c r="D3571" s="3" t="str">
        <f aca="false">Raw_Data!C3571</f>
        <v>married</v>
      </c>
      <c r="E3571" s="3" t="str">
        <f aca="false">Raw_Data!D3571</f>
        <v>tertiary</v>
      </c>
      <c r="F3571" s="3" t="str">
        <f aca="false">Raw_Data!E3571</f>
        <v>no</v>
      </c>
      <c r="G3571" s="3" t="n">
        <f aca="false">Raw_Data!F3571</f>
        <v>78</v>
      </c>
      <c r="H3571" s="3" t="str">
        <f aca="false">Raw_Data!G3571</f>
        <v>yes</v>
      </c>
      <c r="I3571" s="3" t="str">
        <f aca="false">Raw_Data!H3571</f>
        <v>no</v>
      </c>
      <c r="J3571" s="2" t="n">
        <f aca="false">IF(F3571="yes",1,0)</f>
        <v>0</v>
      </c>
      <c r="K3571" s="2" t="n">
        <f aca="false">IF(H3571="yes",1,0)</f>
        <v>1</v>
      </c>
      <c r="L3571" s="2" t="n">
        <f aca="false">IF(I3571="yes",1,0)</f>
        <v>0</v>
      </c>
      <c r="M3571" s="2" t="n">
        <f aca="false">IF(G3571&lt;0,1,0)</f>
        <v>0</v>
      </c>
      <c r="N3571" s="2" t="str">
        <f aca="false">_xlfn.IFS(B3571&lt;30,"Under 30",B3571&lt;40,"30-39",B3571&lt;50,"40-49",B3571&lt;60,"50-59",TRUE(),"60+")</f>
        <v>50-59</v>
      </c>
      <c r="O3571" s="2" t="str">
        <f aca="false">_xlfn.IFS(G3571&lt;0,"1 Negative",G3571=0,"2 Zero",G3571&lt;=500,"3 1-500",G3571&lt;=2000,"4 501-2000",TRUE(),"5 Above 2000")</f>
        <v>3 1-500</v>
      </c>
      <c r="P3571" s="2" t="n">
        <f aca="false">Lookups!$B$2*M3571+Lookups!$B$3*L3571</f>
        <v>0</v>
      </c>
      <c r="Q3571" s="2" t="str">
        <f aca="false">INDEX(Lookups!$E$2:$E$5,MATCH(P3571,Lookups!$D$2:$D$5,0))</f>
        <v>Low</v>
      </c>
    </row>
    <row r="3572" customFormat="false" ht="15" hidden="false" customHeight="false" outlineLevel="0" collapsed="false">
      <c r="A3572" s="3" t="n">
        <v>3571</v>
      </c>
      <c r="B3572" s="3" t="n">
        <f aca="false">Raw_Data!A3572</f>
        <v>39</v>
      </c>
      <c r="C3572" s="3" t="str">
        <f aca="false">SUBSTITUTE(Raw_Data!B3572,".","")</f>
        <v>technician</v>
      </c>
      <c r="D3572" s="3" t="str">
        <f aca="false">Raw_Data!C3572</f>
        <v>married</v>
      </c>
      <c r="E3572" s="3" t="str">
        <f aca="false">Raw_Data!D3572</f>
        <v>tertiary</v>
      </c>
      <c r="F3572" s="3" t="str">
        <f aca="false">Raw_Data!E3572</f>
        <v>no</v>
      </c>
      <c r="G3572" s="3" t="n">
        <f aca="false">Raw_Data!F3572</f>
        <v>209</v>
      </c>
      <c r="H3572" s="3" t="str">
        <f aca="false">Raw_Data!G3572</f>
        <v>no</v>
      </c>
      <c r="I3572" s="3" t="str">
        <f aca="false">Raw_Data!H3572</f>
        <v>no</v>
      </c>
      <c r="J3572" s="2" t="n">
        <f aca="false">IF(F3572="yes",1,0)</f>
        <v>0</v>
      </c>
      <c r="K3572" s="2" t="n">
        <f aca="false">IF(H3572="yes",1,0)</f>
        <v>0</v>
      </c>
      <c r="L3572" s="2" t="n">
        <f aca="false">IF(I3572="yes",1,0)</f>
        <v>0</v>
      </c>
      <c r="M3572" s="2" t="n">
        <f aca="false">IF(G3572&lt;0,1,0)</f>
        <v>0</v>
      </c>
      <c r="N3572" s="2" t="str">
        <f aca="false">_xlfn.IFS(B3572&lt;30,"Under 30",B3572&lt;40,"30-39",B3572&lt;50,"40-49",B3572&lt;60,"50-59",TRUE(),"60+")</f>
        <v>30-39</v>
      </c>
      <c r="O3572" s="2" t="str">
        <f aca="false">_xlfn.IFS(G3572&lt;0,"1 Negative",G3572=0,"2 Zero",G3572&lt;=500,"3 1-500",G3572&lt;=2000,"4 501-2000",TRUE(),"5 Above 2000")</f>
        <v>3 1-500</v>
      </c>
      <c r="P3572" s="2" t="n">
        <f aca="false">Lookups!$B$2*M3572+Lookups!$B$3*L3572</f>
        <v>0</v>
      </c>
      <c r="Q3572" s="2" t="str">
        <f aca="false">INDEX(Lookups!$E$2:$E$5,MATCH(P3572,Lookups!$D$2:$D$5,0))</f>
        <v>Low</v>
      </c>
    </row>
    <row r="3573" customFormat="false" ht="15" hidden="false" customHeight="false" outlineLevel="0" collapsed="false">
      <c r="A3573" s="3" t="n">
        <v>3572</v>
      </c>
      <c r="B3573" s="3" t="n">
        <f aca="false">Raw_Data!A3573</f>
        <v>26</v>
      </c>
      <c r="C3573" s="3" t="str">
        <f aca="false">SUBSTITUTE(Raw_Data!B3573,".","")</f>
        <v>admin</v>
      </c>
      <c r="D3573" s="3" t="str">
        <f aca="false">Raw_Data!C3573</f>
        <v>married</v>
      </c>
      <c r="E3573" s="3" t="str">
        <f aca="false">Raw_Data!D3573</f>
        <v>secondary</v>
      </c>
      <c r="F3573" s="3" t="str">
        <f aca="false">Raw_Data!E3573</f>
        <v>no</v>
      </c>
      <c r="G3573" s="3" t="n">
        <f aca="false">Raw_Data!F3573</f>
        <v>2469</v>
      </c>
      <c r="H3573" s="3" t="str">
        <f aca="false">Raw_Data!G3573</f>
        <v>no</v>
      </c>
      <c r="I3573" s="3" t="str">
        <f aca="false">Raw_Data!H3573</f>
        <v>no</v>
      </c>
      <c r="J3573" s="2" t="n">
        <f aca="false">IF(F3573="yes",1,0)</f>
        <v>0</v>
      </c>
      <c r="K3573" s="2" t="n">
        <f aca="false">IF(H3573="yes",1,0)</f>
        <v>0</v>
      </c>
      <c r="L3573" s="2" t="n">
        <f aca="false">IF(I3573="yes",1,0)</f>
        <v>0</v>
      </c>
      <c r="M3573" s="2" t="n">
        <f aca="false">IF(G3573&lt;0,1,0)</f>
        <v>0</v>
      </c>
      <c r="N3573" s="2" t="str">
        <f aca="false">_xlfn.IFS(B3573&lt;30,"Under 30",B3573&lt;40,"30-39",B3573&lt;50,"40-49",B3573&lt;60,"50-59",TRUE(),"60+")</f>
        <v>Under 30</v>
      </c>
      <c r="O3573" s="2" t="str">
        <f aca="false">_xlfn.IFS(G3573&lt;0,"1 Negative",G3573=0,"2 Zero",G3573&lt;=500,"3 1-500",G3573&lt;=2000,"4 501-2000",TRUE(),"5 Above 2000")</f>
        <v>5 Above 2000</v>
      </c>
      <c r="P3573" s="2" t="n">
        <f aca="false">Lookups!$B$2*M3573+Lookups!$B$3*L3573</f>
        <v>0</v>
      </c>
      <c r="Q3573" s="2" t="str">
        <f aca="false">INDEX(Lookups!$E$2:$E$5,MATCH(P3573,Lookups!$D$2:$D$5,0))</f>
        <v>Low</v>
      </c>
    </row>
    <row r="3574" customFormat="false" ht="15" hidden="false" customHeight="false" outlineLevel="0" collapsed="false">
      <c r="A3574" s="3" t="n">
        <v>3573</v>
      </c>
      <c r="B3574" s="3" t="n">
        <f aca="false">Raw_Data!A3574</f>
        <v>55</v>
      </c>
      <c r="C3574" s="3" t="str">
        <f aca="false">SUBSTITUTE(Raw_Data!B3574,".","")</f>
        <v>technician</v>
      </c>
      <c r="D3574" s="3" t="str">
        <f aca="false">Raw_Data!C3574</f>
        <v>married</v>
      </c>
      <c r="E3574" s="3" t="str">
        <f aca="false">Raw_Data!D3574</f>
        <v>secondary</v>
      </c>
      <c r="F3574" s="3" t="str">
        <f aca="false">Raw_Data!E3574</f>
        <v>no</v>
      </c>
      <c r="G3574" s="3" t="n">
        <f aca="false">Raw_Data!F3574</f>
        <v>0</v>
      </c>
      <c r="H3574" s="3" t="str">
        <f aca="false">Raw_Data!G3574</f>
        <v>no</v>
      </c>
      <c r="I3574" s="3" t="str">
        <f aca="false">Raw_Data!H3574</f>
        <v>no</v>
      </c>
      <c r="J3574" s="2" t="n">
        <f aca="false">IF(F3574="yes",1,0)</f>
        <v>0</v>
      </c>
      <c r="K3574" s="2" t="n">
        <f aca="false">IF(H3574="yes",1,0)</f>
        <v>0</v>
      </c>
      <c r="L3574" s="2" t="n">
        <f aca="false">IF(I3574="yes",1,0)</f>
        <v>0</v>
      </c>
      <c r="M3574" s="2" t="n">
        <f aca="false">IF(G3574&lt;0,1,0)</f>
        <v>0</v>
      </c>
      <c r="N3574" s="2" t="str">
        <f aca="false">_xlfn.IFS(B3574&lt;30,"Under 30",B3574&lt;40,"30-39",B3574&lt;50,"40-49",B3574&lt;60,"50-59",TRUE(),"60+")</f>
        <v>50-59</v>
      </c>
      <c r="O3574" s="2" t="str">
        <f aca="false">_xlfn.IFS(G3574&lt;0,"1 Negative",G3574=0,"2 Zero",G3574&lt;=500,"3 1-500",G3574&lt;=2000,"4 501-2000",TRUE(),"5 Above 2000")</f>
        <v>2 Zero</v>
      </c>
      <c r="P3574" s="2" t="n">
        <f aca="false">Lookups!$B$2*M3574+Lookups!$B$3*L3574</f>
        <v>0</v>
      </c>
      <c r="Q3574" s="2" t="str">
        <f aca="false">INDEX(Lookups!$E$2:$E$5,MATCH(P3574,Lookups!$D$2:$D$5,0))</f>
        <v>Low</v>
      </c>
    </row>
    <row r="3575" customFormat="false" ht="15" hidden="false" customHeight="false" outlineLevel="0" collapsed="false">
      <c r="A3575" s="3" t="n">
        <v>3574</v>
      </c>
      <c r="B3575" s="3" t="n">
        <f aca="false">Raw_Data!A3575</f>
        <v>43</v>
      </c>
      <c r="C3575" s="3" t="str">
        <f aca="false">SUBSTITUTE(Raw_Data!B3575,".","")</f>
        <v>blue-collar</v>
      </c>
      <c r="D3575" s="3" t="str">
        <f aca="false">Raw_Data!C3575</f>
        <v>divorced</v>
      </c>
      <c r="E3575" s="3" t="str">
        <f aca="false">Raw_Data!D3575</f>
        <v>primary</v>
      </c>
      <c r="F3575" s="3" t="str">
        <f aca="false">Raw_Data!E3575</f>
        <v>no</v>
      </c>
      <c r="G3575" s="3" t="n">
        <f aca="false">Raw_Data!F3575</f>
        <v>328</v>
      </c>
      <c r="H3575" s="3" t="str">
        <f aca="false">Raw_Data!G3575</f>
        <v>no</v>
      </c>
      <c r="I3575" s="3" t="str">
        <f aca="false">Raw_Data!H3575</f>
        <v>yes</v>
      </c>
      <c r="J3575" s="2" t="n">
        <f aca="false">IF(F3575="yes",1,0)</f>
        <v>0</v>
      </c>
      <c r="K3575" s="2" t="n">
        <f aca="false">IF(H3575="yes",1,0)</f>
        <v>0</v>
      </c>
      <c r="L3575" s="2" t="n">
        <f aca="false">IF(I3575="yes",1,0)</f>
        <v>1</v>
      </c>
      <c r="M3575" s="2" t="n">
        <f aca="false">IF(G3575&lt;0,1,0)</f>
        <v>0</v>
      </c>
      <c r="N3575" s="2" t="str">
        <f aca="false">_xlfn.IFS(B3575&lt;30,"Under 30",B3575&lt;40,"30-39",B3575&lt;50,"40-49",B3575&lt;60,"50-59",TRUE(),"60+")</f>
        <v>40-49</v>
      </c>
      <c r="O3575" s="2" t="str">
        <f aca="false">_xlfn.IFS(G3575&lt;0,"1 Negative",G3575=0,"2 Zero",G3575&lt;=500,"3 1-500",G3575&lt;=2000,"4 501-2000",TRUE(),"5 Above 2000")</f>
        <v>3 1-500</v>
      </c>
      <c r="P3575" s="2" t="n">
        <f aca="false">Lookups!$B$2*M3575+Lookups!$B$3*L3575</f>
        <v>1</v>
      </c>
      <c r="Q3575" s="2" t="str">
        <f aca="false">INDEX(Lookups!$E$2:$E$5,MATCH(P3575,Lookups!$D$2:$D$5,0))</f>
        <v>Medium</v>
      </c>
    </row>
    <row r="3576" customFormat="false" ht="15" hidden="false" customHeight="false" outlineLevel="0" collapsed="false">
      <c r="A3576" s="3" t="n">
        <v>3575</v>
      </c>
      <c r="B3576" s="3" t="n">
        <f aca="false">Raw_Data!A3576</f>
        <v>34</v>
      </c>
      <c r="C3576" s="3" t="str">
        <f aca="false">SUBSTITUTE(Raw_Data!B3576,".","")</f>
        <v>housemaid</v>
      </c>
      <c r="D3576" s="3" t="str">
        <f aca="false">Raw_Data!C3576</f>
        <v>married</v>
      </c>
      <c r="E3576" s="3" t="str">
        <f aca="false">Raw_Data!D3576</f>
        <v>tertiary</v>
      </c>
      <c r="F3576" s="3" t="str">
        <f aca="false">Raw_Data!E3576</f>
        <v>no</v>
      </c>
      <c r="G3576" s="3" t="n">
        <f aca="false">Raw_Data!F3576</f>
        <v>0</v>
      </c>
      <c r="H3576" s="3" t="str">
        <f aca="false">Raw_Data!G3576</f>
        <v>no</v>
      </c>
      <c r="I3576" s="3" t="str">
        <f aca="false">Raw_Data!H3576</f>
        <v>no</v>
      </c>
      <c r="J3576" s="2" t="n">
        <f aca="false">IF(F3576="yes",1,0)</f>
        <v>0</v>
      </c>
      <c r="K3576" s="2" t="n">
        <f aca="false">IF(H3576="yes",1,0)</f>
        <v>0</v>
      </c>
      <c r="L3576" s="2" t="n">
        <f aca="false">IF(I3576="yes",1,0)</f>
        <v>0</v>
      </c>
      <c r="M3576" s="2" t="n">
        <f aca="false">IF(G3576&lt;0,1,0)</f>
        <v>0</v>
      </c>
      <c r="N3576" s="2" t="str">
        <f aca="false">_xlfn.IFS(B3576&lt;30,"Under 30",B3576&lt;40,"30-39",B3576&lt;50,"40-49",B3576&lt;60,"50-59",TRUE(),"60+")</f>
        <v>30-39</v>
      </c>
      <c r="O3576" s="2" t="str">
        <f aca="false">_xlfn.IFS(G3576&lt;0,"1 Negative",G3576=0,"2 Zero",G3576&lt;=500,"3 1-500",G3576&lt;=2000,"4 501-2000",TRUE(),"5 Above 2000")</f>
        <v>2 Zero</v>
      </c>
      <c r="P3576" s="2" t="n">
        <f aca="false">Lookups!$B$2*M3576+Lookups!$B$3*L3576</f>
        <v>0</v>
      </c>
      <c r="Q3576" s="2" t="str">
        <f aca="false">INDEX(Lookups!$E$2:$E$5,MATCH(P3576,Lookups!$D$2:$D$5,0))</f>
        <v>Low</v>
      </c>
    </row>
    <row r="3577" customFormat="false" ht="15" hidden="false" customHeight="false" outlineLevel="0" collapsed="false">
      <c r="A3577" s="3" t="n">
        <v>3576</v>
      </c>
      <c r="B3577" s="3" t="n">
        <f aca="false">Raw_Data!A3577</f>
        <v>51</v>
      </c>
      <c r="C3577" s="3" t="str">
        <f aca="false">SUBSTITUTE(Raw_Data!B3577,".","")</f>
        <v>self-employed</v>
      </c>
      <c r="D3577" s="3" t="str">
        <f aca="false">Raw_Data!C3577</f>
        <v>married</v>
      </c>
      <c r="E3577" s="3" t="str">
        <f aca="false">Raw_Data!D3577</f>
        <v>primary</v>
      </c>
      <c r="F3577" s="3" t="str">
        <f aca="false">Raw_Data!E3577</f>
        <v>no</v>
      </c>
      <c r="G3577" s="3" t="n">
        <f aca="false">Raw_Data!F3577</f>
        <v>307</v>
      </c>
      <c r="H3577" s="3" t="str">
        <f aca="false">Raw_Data!G3577</f>
        <v>yes</v>
      </c>
      <c r="I3577" s="3" t="str">
        <f aca="false">Raw_Data!H3577</f>
        <v>yes</v>
      </c>
      <c r="J3577" s="2" t="n">
        <f aca="false">IF(F3577="yes",1,0)</f>
        <v>0</v>
      </c>
      <c r="K3577" s="2" t="n">
        <f aca="false">IF(H3577="yes",1,0)</f>
        <v>1</v>
      </c>
      <c r="L3577" s="2" t="n">
        <f aca="false">IF(I3577="yes",1,0)</f>
        <v>1</v>
      </c>
      <c r="M3577" s="2" t="n">
        <f aca="false">IF(G3577&lt;0,1,0)</f>
        <v>0</v>
      </c>
      <c r="N3577" s="2" t="str">
        <f aca="false">_xlfn.IFS(B3577&lt;30,"Under 30",B3577&lt;40,"30-39",B3577&lt;50,"40-49",B3577&lt;60,"50-59",TRUE(),"60+")</f>
        <v>50-59</v>
      </c>
      <c r="O3577" s="2" t="str">
        <f aca="false">_xlfn.IFS(G3577&lt;0,"1 Negative",G3577=0,"2 Zero",G3577&lt;=500,"3 1-500",G3577&lt;=2000,"4 501-2000",TRUE(),"5 Above 2000")</f>
        <v>3 1-500</v>
      </c>
      <c r="P3577" s="2" t="n">
        <f aca="false">Lookups!$B$2*M3577+Lookups!$B$3*L3577</f>
        <v>1</v>
      </c>
      <c r="Q3577" s="2" t="str">
        <f aca="false">INDEX(Lookups!$E$2:$E$5,MATCH(P3577,Lookups!$D$2:$D$5,0))</f>
        <v>Medium</v>
      </c>
    </row>
    <row r="3578" customFormat="false" ht="15" hidden="false" customHeight="false" outlineLevel="0" collapsed="false">
      <c r="A3578" s="3" t="n">
        <v>3577</v>
      </c>
      <c r="B3578" s="3" t="n">
        <f aca="false">Raw_Data!A3578</f>
        <v>31</v>
      </c>
      <c r="C3578" s="3" t="str">
        <f aca="false">SUBSTITUTE(Raw_Data!B3578,".","")</f>
        <v>management</v>
      </c>
      <c r="D3578" s="3" t="str">
        <f aca="false">Raw_Data!C3578</f>
        <v>married</v>
      </c>
      <c r="E3578" s="3" t="str">
        <f aca="false">Raw_Data!D3578</f>
        <v>tertiary</v>
      </c>
      <c r="F3578" s="3" t="str">
        <f aca="false">Raw_Data!E3578</f>
        <v>no</v>
      </c>
      <c r="G3578" s="3" t="n">
        <f aca="false">Raw_Data!F3578</f>
        <v>1384</v>
      </c>
      <c r="H3578" s="3" t="str">
        <f aca="false">Raw_Data!G3578</f>
        <v>yes</v>
      </c>
      <c r="I3578" s="3" t="str">
        <f aca="false">Raw_Data!H3578</f>
        <v>no</v>
      </c>
      <c r="J3578" s="2" t="n">
        <f aca="false">IF(F3578="yes",1,0)</f>
        <v>0</v>
      </c>
      <c r="K3578" s="2" t="n">
        <f aca="false">IF(H3578="yes",1,0)</f>
        <v>1</v>
      </c>
      <c r="L3578" s="2" t="n">
        <f aca="false">IF(I3578="yes",1,0)</f>
        <v>0</v>
      </c>
      <c r="M3578" s="2" t="n">
        <f aca="false">IF(G3578&lt;0,1,0)</f>
        <v>0</v>
      </c>
      <c r="N3578" s="2" t="str">
        <f aca="false">_xlfn.IFS(B3578&lt;30,"Under 30",B3578&lt;40,"30-39",B3578&lt;50,"40-49",B3578&lt;60,"50-59",TRUE(),"60+")</f>
        <v>30-39</v>
      </c>
      <c r="O3578" s="2" t="str">
        <f aca="false">_xlfn.IFS(G3578&lt;0,"1 Negative",G3578=0,"2 Zero",G3578&lt;=500,"3 1-500",G3578&lt;=2000,"4 501-2000",TRUE(),"5 Above 2000")</f>
        <v>4 501-2000</v>
      </c>
      <c r="P3578" s="2" t="n">
        <f aca="false">Lookups!$B$2*M3578+Lookups!$B$3*L3578</f>
        <v>0</v>
      </c>
      <c r="Q3578" s="2" t="str">
        <f aca="false">INDEX(Lookups!$E$2:$E$5,MATCH(P3578,Lookups!$D$2:$D$5,0))</f>
        <v>Low</v>
      </c>
    </row>
    <row r="3579" customFormat="false" ht="15" hidden="false" customHeight="false" outlineLevel="0" collapsed="false">
      <c r="A3579" s="3" t="n">
        <v>3578</v>
      </c>
      <c r="B3579" s="3" t="n">
        <f aca="false">Raw_Data!A3579</f>
        <v>32</v>
      </c>
      <c r="C3579" s="3" t="str">
        <f aca="false">SUBSTITUTE(Raw_Data!B3579,".","")</f>
        <v>management</v>
      </c>
      <c r="D3579" s="3" t="str">
        <f aca="false">Raw_Data!C3579</f>
        <v>married</v>
      </c>
      <c r="E3579" s="3" t="str">
        <f aca="false">Raw_Data!D3579</f>
        <v>tertiary</v>
      </c>
      <c r="F3579" s="3" t="str">
        <f aca="false">Raw_Data!E3579</f>
        <v>no</v>
      </c>
      <c r="G3579" s="3" t="n">
        <f aca="false">Raw_Data!F3579</f>
        <v>0</v>
      </c>
      <c r="H3579" s="3" t="str">
        <f aca="false">Raw_Data!G3579</f>
        <v>no</v>
      </c>
      <c r="I3579" s="3" t="str">
        <f aca="false">Raw_Data!H3579</f>
        <v>no</v>
      </c>
      <c r="J3579" s="2" t="n">
        <f aca="false">IF(F3579="yes",1,0)</f>
        <v>0</v>
      </c>
      <c r="K3579" s="2" t="n">
        <f aca="false">IF(H3579="yes",1,0)</f>
        <v>0</v>
      </c>
      <c r="L3579" s="2" t="n">
        <f aca="false">IF(I3579="yes",1,0)</f>
        <v>0</v>
      </c>
      <c r="M3579" s="2" t="n">
        <f aca="false">IF(G3579&lt;0,1,0)</f>
        <v>0</v>
      </c>
      <c r="N3579" s="2" t="str">
        <f aca="false">_xlfn.IFS(B3579&lt;30,"Under 30",B3579&lt;40,"30-39",B3579&lt;50,"40-49",B3579&lt;60,"50-59",TRUE(),"60+")</f>
        <v>30-39</v>
      </c>
      <c r="O3579" s="2" t="str">
        <f aca="false">_xlfn.IFS(G3579&lt;0,"1 Negative",G3579=0,"2 Zero",G3579&lt;=500,"3 1-500",G3579&lt;=2000,"4 501-2000",TRUE(),"5 Above 2000")</f>
        <v>2 Zero</v>
      </c>
      <c r="P3579" s="2" t="n">
        <f aca="false">Lookups!$B$2*M3579+Lookups!$B$3*L3579</f>
        <v>0</v>
      </c>
      <c r="Q3579" s="2" t="str">
        <f aca="false">INDEX(Lookups!$E$2:$E$5,MATCH(P3579,Lookups!$D$2:$D$5,0))</f>
        <v>Low</v>
      </c>
    </row>
    <row r="3580" customFormat="false" ht="15" hidden="false" customHeight="false" outlineLevel="0" collapsed="false">
      <c r="A3580" s="3" t="n">
        <v>3579</v>
      </c>
      <c r="B3580" s="3" t="n">
        <f aca="false">Raw_Data!A3580</f>
        <v>53</v>
      </c>
      <c r="C3580" s="3" t="str">
        <f aca="false">SUBSTITUTE(Raw_Data!B3580,".","")</f>
        <v>technician</v>
      </c>
      <c r="D3580" s="3" t="str">
        <f aca="false">Raw_Data!C3580</f>
        <v>married</v>
      </c>
      <c r="E3580" s="3" t="str">
        <f aca="false">Raw_Data!D3580</f>
        <v>secondary</v>
      </c>
      <c r="F3580" s="3" t="str">
        <f aca="false">Raw_Data!E3580</f>
        <v>no</v>
      </c>
      <c r="G3580" s="3" t="n">
        <f aca="false">Raw_Data!F3580</f>
        <v>719</v>
      </c>
      <c r="H3580" s="3" t="str">
        <f aca="false">Raw_Data!G3580</f>
        <v>yes</v>
      </c>
      <c r="I3580" s="3" t="str">
        <f aca="false">Raw_Data!H3580</f>
        <v>no</v>
      </c>
      <c r="J3580" s="2" t="n">
        <f aca="false">IF(F3580="yes",1,0)</f>
        <v>0</v>
      </c>
      <c r="K3580" s="2" t="n">
        <f aca="false">IF(H3580="yes",1,0)</f>
        <v>1</v>
      </c>
      <c r="L3580" s="2" t="n">
        <f aca="false">IF(I3580="yes",1,0)</f>
        <v>0</v>
      </c>
      <c r="M3580" s="2" t="n">
        <f aca="false">IF(G3580&lt;0,1,0)</f>
        <v>0</v>
      </c>
      <c r="N3580" s="2" t="str">
        <f aca="false">_xlfn.IFS(B3580&lt;30,"Under 30",B3580&lt;40,"30-39",B3580&lt;50,"40-49",B3580&lt;60,"50-59",TRUE(),"60+")</f>
        <v>50-59</v>
      </c>
      <c r="O3580" s="2" t="str">
        <f aca="false">_xlfn.IFS(G3580&lt;0,"1 Negative",G3580=0,"2 Zero",G3580&lt;=500,"3 1-500",G3580&lt;=2000,"4 501-2000",TRUE(),"5 Above 2000")</f>
        <v>4 501-2000</v>
      </c>
      <c r="P3580" s="2" t="n">
        <f aca="false">Lookups!$B$2*M3580+Lookups!$B$3*L3580</f>
        <v>0</v>
      </c>
      <c r="Q3580" s="2" t="str">
        <f aca="false">INDEX(Lookups!$E$2:$E$5,MATCH(P3580,Lookups!$D$2:$D$5,0))</f>
        <v>Low</v>
      </c>
    </row>
    <row r="3581" customFormat="false" ht="15" hidden="false" customHeight="false" outlineLevel="0" collapsed="false">
      <c r="A3581" s="3" t="n">
        <v>3580</v>
      </c>
      <c r="B3581" s="3" t="n">
        <f aca="false">Raw_Data!A3581</f>
        <v>44</v>
      </c>
      <c r="C3581" s="3" t="str">
        <f aca="false">SUBSTITUTE(Raw_Data!B3581,".","")</f>
        <v>management</v>
      </c>
      <c r="D3581" s="3" t="str">
        <f aca="false">Raw_Data!C3581</f>
        <v>divorced</v>
      </c>
      <c r="E3581" s="3" t="str">
        <f aca="false">Raw_Data!D3581</f>
        <v>tertiary</v>
      </c>
      <c r="F3581" s="3" t="str">
        <f aca="false">Raw_Data!E3581</f>
        <v>no</v>
      </c>
      <c r="G3581" s="3" t="n">
        <f aca="false">Raw_Data!F3581</f>
        <v>0</v>
      </c>
      <c r="H3581" s="3" t="str">
        <f aca="false">Raw_Data!G3581</f>
        <v>no</v>
      </c>
      <c r="I3581" s="3" t="str">
        <f aca="false">Raw_Data!H3581</f>
        <v>no</v>
      </c>
      <c r="J3581" s="2" t="n">
        <f aca="false">IF(F3581="yes",1,0)</f>
        <v>0</v>
      </c>
      <c r="K3581" s="2" t="n">
        <f aca="false">IF(H3581="yes",1,0)</f>
        <v>0</v>
      </c>
      <c r="L3581" s="2" t="n">
        <f aca="false">IF(I3581="yes",1,0)</f>
        <v>0</v>
      </c>
      <c r="M3581" s="2" t="n">
        <f aca="false">IF(G3581&lt;0,1,0)</f>
        <v>0</v>
      </c>
      <c r="N3581" s="2" t="str">
        <f aca="false">_xlfn.IFS(B3581&lt;30,"Under 30",B3581&lt;40,"30-39",B3581&lt;50,"40-49",B3581&lt;60,"50-59",TRUE(),"60+")</f>
        <v>40-49</v>
      </c>
      <c r="O3581" s="2" t="str">
        <f aca="false">_xlfn.IFS(G3581&lt;0,"1 Negative",G3581=0,"2 Zero",G3581&lt;=500,"3 1-500",G3581&lt;=2000,"4 501-2000",TRUE(),"5 Above 2000")</f>
        <v>2 Zero</v>
      </c>
      <c r="P3581" s="2" t="n">
        <f aca="false">Lookups!$B$2*M3581+Lookups!$B$3*L3581</f>
        <v>0</v>
      </c>
      <c r="Q3581" s="2" t="str">
        <f aca="false">INDEX(Lookups!$E$2:$E$5,MATCH(P3581,Lookups!$D$2:$D$5,0))</f>
        <v>Low</v>
      </c>
    </row>
    <row r="3582" customFormat="false" ht="15" hidden="false" customHeight="false" outlineLevel="0" collapsed="false">
      <c r="A3582" s="3" t="n">
        <v>3581</v>
      </c>
      <c r="B3582" s="3" t="n">
        <f aca="false">Raw_Data!A3582</f>
        <v>38</v>
      </c>
      <c r="C3582" s="3" t="str">
        <f aca="false">SUBSTITUTE(Raw_Data!B3582,".","")</f>
        <v>entrepreneur</v>
      </c>
      <c r="D3582" s="3" t="str">
        <f aca="false">Raw_Data!C3582</f>
        <v>married</v>
      </c>
      <c r="E3582" s="3" t="str">
        <f aca="false">Raw_Data!D3582</f>
        <v>tertiary</v>
      </c>
      <c r="F3582" s="3" t="str">
        <f aca="false">Raw_Data!E3582</f>
        <v>no</v>
      </c>
      <c r="G3582" s="3" t="n">
        <f aca="false">Raw_Data!F3582</f>
        <v>6704</v>
      </c>
      <c r="H3582" s="3" t="str">
        <f aca="false">Raw_Data!G3582</f>
        <v>yes</v>
      </c>
      <c r="I3582" s="3" t="str">
        <f aca="false">Raw_Data!H3582</f>
        <v>no</v>
      </c>
      <c r="J3582" s="2" t="n">
        <f aca="false">IF(F3582="yes",1,0)</f>
        <v>0</v>
      </c>
      <c r="K3582" s="2" t="n">
        <f aca="false">IF(H3582="yes",1,0)</f>
        <v>1</v>
      </c>
      <c r="L3582" s="2" t="n">
        <f aca="false">IF(I3582="yes",1,0)</f>
        <v>0</v>
      </c>
      <c r="M3582" s="2" t="n">
        <f aca="false">IF(G3582&lt;0,1,0)</f>
        <v>0</v>
      </c>
      <c r="N3582" s="2" t="str">
        <f aca="false">_xlfn.IFS(B3582&lt;30,"Under 30",B3582&lt;40,"30-39",B3582&lt;50,"40-49",B3582&lt;60,"50-59",TRUE(),"60+")</f>
        <v>30-39</v>
      </c>
      <c r="O3582" s="2" t="str">
        <f aca="false">_xlfn.IFS(G3582&lt;0,"1 Negative",G3582=0,"2 Zero",G3582&lt;=500,"3 1-500",G3582&lt;=2000,"4 501-2000",TRUE(),"5 Above 2000")</f>
        <v>5 Above 2000</v>
      </c>
      <c r="P3582" s="2" t="n">
        <f aca="false">Lookups!$B$2*M3582+Lookups!$B$3*L3582</f>
        <v>0</v>
      </c>
      <c r="Q3582" s="2" t="str">
        <f aca="false">INDEX(Lookups!$E$2:$E$5,MATCH(P3582,Lookups!$D$2:$D$5,0))</f>
        <v>Low</v>
      </c>
    </row>
    <row r="3583" customFormat="false" ht="15" hidden="false" customHeight="false" outlineLevel="0" collapsed="false">
      <c r="A3583" s="3" t="n">
        <v>3582</v>
      </c>
      <c r="B3583" s="3" t="n">
        <f aca="false">Raw_Data!A3583</f>
        <v>47</v>
      </c>
      <c r="C3583" s="3" t="str">
        <f aca="false">SUBSTITUTE(Raw_Data!B3583,".","")</f>
        <v>self-employed</v>
      </c>
      <c r="D3583" s="3" t="str">
        <f aca="false">Raw_Data!C3583</f>
        <v>married</v>
      </c>
      <c r="E3583" s="3" t="str">
        <f aca="false">Raw_Data!D3583</f>
        <v>tertiary</v>
      </c>
      <c r="F3583" s="3" t="str">
        <f aca="false">Raw_Data!E3583</f>
        <v>no</v>
      </c>
      <c r="G3583" s="3" t="n">
        <f aca="false">Raw_Data!F3583</f>
        <v>4543</v>
      </c>
      <c r="H3583" s="3" t="str">
        <f aca="false">Raw_Data!G3583</f>
        <v>yes</v>
      </c>
      <c r="I3583" s="3" t="str">
        <f aca="false">Raw_Data!H3583</f>
        <v>no</v>
      </c>
      <c r="J3583" s="2" t="n">
        <f aca="false">IF(F3583="yes",1,0)</f>
        <v>0</v>
      </c>
      <c r="K3583" s="2" t="n">
        <f aca="false">IF(H3583="yes",1,0)</f>
        <v>1</v>
      </c>
      <c r="L3583" s="2" t="n">
        <f aca="false">IF(I3583="yes",1,0)</f>
        <v>0</v>
      </c>
      <c r="M3583" s="2" t="n">
        <f aca="false">IF(G3583&lt;0,1,0)</f>
        <v>0</v>
      </c>
      <c r="N3583" s="2" t="str">
        <f aca="false">_xlfn.IFS(B3583&lt;30,"Under 30",B3583&lt;40,"30-39",B3583&lt;50,"40-49",B3583&lt;60,"50-59",TRUE(),"60+")</f>
        <v>40-49</v>
      </c>
      <c r="O3583" s="2" t="str">
        <f aca="false">_xlfn.IFS(G3583&lt;0,"1 Negative",G3583=0,"2 Zero",G3583&lt;=500,"3 1-500",G3583&lt;=2000,"4 501-2000",TRUE(),"5 Above 2000")</f>
        <v>5 Above 2000</v>
      </c>
      <c r="P3583" s="2" t="n">
        <f aca="false">Lookups!$B$2*M3583+Lookups!$B$3*L3583</f>
        <v>0</v>
      </c>
      <c r="Q3583" s="2" t="str">
        <f aca="false">INDEX(Lookups!$E$2:$E$5,MATCH(P3583,Lookups!$D$2:$D$5,0))</f>
        <v>Low</v>
      </c>
    </row>
    <row r="3584" customFormat="false" ht="15" hidden="false" customHeight="false" outlineLevel="0" collapsed="false">
      <c r="A3584" s="3" t="n">
        <v>3583</v>
      </c>
      <c r="B3584" s="3" t="n">
        <f aca="false">Raw_Data!A3584</f>
        <v>36</v>
      </c>
      <c r="C3584" s="3" t="str">
        <f aca="false">SUBSTITUTE(Raw_Data!B3584,".","")</f>
        <v>management</v>
      </c>
      <c r="D3584" s="3" t="str">
        <f aca="false">Raw_Data!C3584</f>
        <v>married</v>
      </c>
      <c r="E3584" s="3" t="str">
        <f aca="false">Raw_Data!D3584</f>
        <v>tertiary</v>
      </c>
      <c r="F3584" s="3" t="str">
        <f aca="false">Raw_Data!E3584</f>
        <v>no</v>
      </c>
      <c r="G3584" s="3" t="n">
        <f aca="false">Raw_Data!F3584</f>
        <v>0</v>
      </c>
      <c r="H3584" s="3" t="str">
        <f aca="false">Raw_Data!G3584</f>
        <v>yes</v>
      </c>
      <c r="I3584" s="3" t="str">
        <f aca="false">Raw_Data!H3584</f>
        <v>no</v>
      </c>
      <c r="J3584" s="2" t="n">
        <f aca="false">IF(F3584="yes",1,0)</f>
        <v>0</v>
      </c>
      <c r="K3584" s="2" t="n">
        <f aca="false">IF(H3584="yes",1,0)</f>
        <v>1</v>
      </c>
      <c r="L3584" s="2" t="n">
        <f aca="false">IF(I3584="yes",1,0)</f>
        <v>0</v>
      </c>
      <c r="M3584" s="2" t="n">
        <f aca="false">IF(G3584&lt;0,1,0)</f>
        <v>0</v>
      </c>
      <c r="N3584" s="2" t="str">
        <f aca="false">_xlfn.IFS(B3584&lt;30,"Under 30",B3584&lt;40,"30-39",B3584&lt;50,"40-49",B3584&lt;60,"50-59",TRUE(),"60+")</f>
        <v>30-39</v>
      </c>
      <c r="O3584" s="2" t="str">
        <f aca="false">_xlfn.IFS(G3584&lt;0,"1 Negative",G3584=0,"2 Zero",G3584&lt;=500,"3 1-500",G3584&lt;=2000,"4 501-2000",TRUE(),"5 Above 2000")</f>
        <v>2 Zero</v>
      </c>
      <c r="P3584" s="2" t="n">
        <f aca="false">Lookups!$B$2*M3584+Lookups!$B$3*L3584</f>
        <v>0</v>
      </c>
      <c r="Q3584" s="2" t="str">
        <f aca="false">INDEX(Lookups!$E$2:$E$5,MATCH(P3584,Lookups!$D$2:$D$5,0))</f>
        <v>Low</v>
      </c>
    </row>
    <row r="3585" customFormat="false" ht="15" hidden="false" customHeight="false" outlineLevel="0" collapsed="false">
      <c r="A3585" s="3" t="n">
        <v>3584</v>
      </c>
      <c r="B3585" s="3" t="n">
        <f aca="false">Raw_Data!A3585</f>
        <v>30</v>
      </c>
      <c r="C3585" s="3" t="str">
        <f aca="false">SUBSTITUTE(Raw_Data!B3585,".","")</f>
        <v>management</v>
      </c>
      <c r="D3585" s="3" t="str">
        <f aca="false">Raw_Data!C3585</f>
        <v>single</v>
      </c>
      <c r="E3585" s="3" t="str">
        <f aca="false">Raw_Data!D3585</f>
        <v>tertiary</v>
      </c>
      <c r="F3585" s="3" t="str">
        <f aca="false">Raw_Data!E3585</f>
        <v>no</v>
      </c>
      <c r="G3585" s="3" t="n">
        <f aca="false">Raw_Data!F3585</f>
        <v>149</v>
      </c>
      <c r="H3585" s="3" t="str">
        <f aca="false">Raw_Data!G3585</f>
        <v>yes</v>
      </c>
      <c r="I3585" s="3" t="str">
        <f aca="false">Raw_Data!H3585</f>
        <v>no</v>
      </c>
      <c r="J3585" s="2" t="n">
        <f aca="false">IF(F3585="yes",1,0)</f>
        <v>0</v>
      </c>
      <c r="K3585" s="2" t="n">
        <f aca="false">IF(H3585="yes",1,0)</f>
        <v>1</v>
      </c>
      <c r="L3585" s="2" t="n">
        <f aca="false">IF(I3585="yes",1,0)</f>
        <v>0</v>
      </c>
      <c r="M3585" s="2" t="n">
        <f aca="false">IF(G3585&lt;0,1,0)</f>
        <v>0</v>
      </c>
      <c r="N3585" s="2" t="str">
        <f aca="false">_xlfn.IFS(B3585&lt;30,"Under 30",B3585&lt;40,"30-39",B3585&lt;50,"40-49",B3585&lt;60,"50-59",TRUE(),"60+")</f>
        <v>30-39</v>
      </c>
      <c r="O3585" s="2" t="str">
        <f aca="false">_xlfn.IFS(G3585&lt;0,"1 Negative",G3585=0,"2 Zero",G3585&lt;=500,"3 1-500",G3585&lt;=2000,"4 501-2000",TRUE(),"5 Above 2000")</f>
        <v>3 1-500</v>
      </c>
      <c r="P3585" s="2" t="n">
        <f aca="false">Lookups!$B$2*M3585+Lookups!$B$3*L3585</f>
        <v>0</v>
      </c>
      <c r="Q3585" s="2" t="str">
        <f aca="false">INDEX(Lookups!$E$2:$E$5,MATCH(P3585,Lookups!$D$2:$D$5,0))</f>
        <v>Low</v>
      </c>
    </row>
    <row r="3586" customFormat="false" ht="15" hidden="false" customHeight="false" outlineLevel="0" collapsed="false">
      <c r="A3586" s="3" t="n">
        <v>3585</v>
      </c>
      <c r="B3586" s="3" t="n">
        <f aca="false">Raw_Data!A3586</f>
        <v>46</v>
      </c>
      <c r="C3586" s="3" t="str">
        <f aca="false">SUBSTITUTE(Raw_Data!B3586,".","")</f>
        <v>blue-collar</v>
      </c>
      <c r="D3586" s="3" t="str">
        <f aca="false">Raw_Data!C3586</f>
        <v>married</v>
      </c>
      <c r="E3586" s="3" t="str">
        <f aca="false">Raw_Data!D3586</f>
        <v>secondary</v>
      </c>
      <c r="F3586" s="3" t="str">
        <f aca="false">Raw_Data!E3586</f>
        <v>no</v>
      </c>
      <c r="G3586" s="3" t="n">
        <f aca="false">Raw_Data!F3586</f>
        <v>-1400</v>
      </c>
      <c r="H3586" s="3" t="str">
        <f aca="false">Raw_Data!G3586</f>
        <v>yes</v>
      </c>
      <c r="I3586" s="3" t="str">
        <f aca="false">Raw_Data!H3586</f>
        <v>no</v>
      </c>
      <c r="J3586" s="2" t="n">
        <f aca="false">IF(F3586="yes",1,0)</f>
        <v>0</v>
      </c>
      <c r="K3586" s="2" t="n">
        <f aca="false">IF(H3586="yes",1,0)</f>
        <v>1</v>
      </c>
      <c r="L3586" s="2" t="n">
        <f aca="false">IF(I3586="yes",1,0)</f>
        <v>0</v>
      </c>
      <c r="M3586" s="2" t="n">
        <f aca="false">IF(G3586&lt;0,1,0)</f>
        <v>1</v>
      </c>
      <c r="N3586" s="2" t="str">
        <f aca="false">_xlfn.IFS(B3586&lt;30,"Under 30",B3586&lt;40,"30-39",B3586&lt;50,"40-49",B3586&lt;60,"50-59",TRUE(),"60+")</f>
        <v>40-49</v>
      </c>
      <c r="O3586" s="2" t="str">
        <f aca="false">_xlfn.IFS(G3586&lt;0,"1 Negative",G3586=0,"2 Zero",G3586&lt;=500,"3 1-500",G3586&lt;=2000,"4 501-2000",TRUE(),"5 Above 2000")</f>
        <v>1 Negative</v>
      </c>
      <c r="P3586" s="2" t="n">
        <f aca="false">Lookups!$B$2*M3586+Lookups!$B$3*L3586</f>
        <v>2</v>
      </c>
      <c r="Q3586" s="2" t="str">
        <f aca="false">INDEX(Lookups!$E$2:$E$5,MATCH(P3586,Lookups!$D$2:$D$5,0))</f>
        <v>High</v>
      </c>
    </row>
    <row r="3587" customFormat="false" ht="15" hidden="false" customHeight="false" outlineLevel="0" collapsed="false">
      <c r="A3587" s="3" t="n">
        <v>3586</v>
      </c>
      <c r="B3587" s="3" t="n">
        <f aca="false">Raw_Data!A3587</f>
        <v>33</v>
      </c>
      <c r="C3587" s="3" t="str">
        <f aca="false">SUBSTITUTE(Raw_Data!B3587,".","")</f>
        <v>entrepreneur</v>
      </c>
      <c r="D3587" s="3" t="str">
        <f aca="false">Raw_Data!C3587</f>
        <v>married</v>
      </c>
      <c r="E3587" s="3" t="str">
        <f aca="false">Raw_Data!D3587</f>
        <v>secondary</v>
      </c>
      <c r="F3587" s="3" t="str">
        <f aca="false">Raw_Data!E3587</f>
        <v>no</v>
      </c>
      <c r="G3587" s="3" t="n">
        <f aca="false">Raw_Data!F3587</f>
        <v>-118</v>
      </c>
      <c r="H3587" s="3" t="str">
        <f aca="false">Raw_Data!G3587</f>
        <v>yes</v>
      </c>
      <c r="I3587" s="3" t="str">
        <f aca="false">Raw_Data!H3587</f>
        <v>yes</v>
      </c>
      <c r="J3587" s="2" t="n">
        <f aca="false">IF(F3587="yes",1,0)</f>
        <v>0</v>
      </c>
      <c r="K3587" s="2" t="n">
        <f aca="false">IF(H3587="yes",1,0)</f>
        <v>1</v>
      </c>
      <c r="L3587" s="2" t="n">
        <f aca="false">IF(I3587="yes",1,0)</f>
        <v>1</v>
      </c>
      <c r="M3587" s="2" t="n">
        <f aca="false">IF(G3587&lt;0,1,0)</f>
        <v>1</v>
      </c>
      <c r="N3587" s="2" t="str">
        <f aca="false">_xlfn.IFS(B3587&lt;30,"Under 30",B3587&lt;40,"30-39",B3587&lt;50,"40-49",B3587&lt;60,"50-59",TRUE(),"60+")</f>
        <v>30-39</v>
      </c>
      <c r="O3587" s="2" t="str">
        <f aca="false">_xlfn.IFS(G3587&lt;0,"1 Negative",G3587=0,"2 Zero",G3587&lt;=500,"3 1-500",G3587&lt;=2000,"4 501-2000",TRUE(),"5 Above 2000")</f>
        <v>1 Negative</v>
      </c>
      <c r="P3587" s="2" t="n">
        <f aca="false">Lookups!$B$2*M3587+Lookups!$B$3*L3587</f>
        <v>3</v>
      </c>
      <c r="Q3587" s="2" t="str">
        <f aca="false">INDEX(Lookups!$E$2:$E$5,MATCH(P3587,Lookups!$D$2:$D$5,0))</f>
        <v>High</v>
      </c>
    </row>
    <row r="3588" customFormat="false" ht="15" hidden="false" customHeight="false" outlineLevel="0" collapsed="false">
      <c r="A3588" s="3" t="n">
        <v>3587</v>
      </c>
      <c r="B3588" s="3" t="n">
        <f aca="false">Raw_Data!A3588</f>
        <v>43</v>
      </c>
      <c r="C3588" s="3" t="str">
        <f aca="false">SUBSTITUTE(Raw_Data!B3588,".","")</f>
        <v>blue-collar</v>
      </c>
      <c r="D3588" s="3" t="str">
        <f aca="false">Raw_Data!C3588</f>
        <v>married</v>
      </c>
      <c r="E3588" s="3" t="str">
        <f aca="false">Raw_Data!D3588</f>
        <v>secondary</v>
      </c>
      <c r="F3588" s="3" t="str">
        <f aca="false">Raw_Data!E3588</f>
        <v>no</v>
      </c>
      <c r="G3588" s="3" t="n">
        <f aca="false">Raw_Data!F3588</f>
        <v>2160</v>
      </c>
      <c r="H3588" s="3" t="str">
        <f aca="false">Raw_Data!G3588</f>
        <v>no</v>
      </c>
      <c r="I3588" s="3" t="str">
        <f aca="false">Raw_Data!H3588</f>
        <v>no</v>
      </c>
      <c r="J3588" s="2" t="n">
        <f aca="false">IF(F3588="yes",1,0)</f>
        <v>0</v>
      </c>
      <c r="K3588" s="2" t="n">
        <f aca="false">IF(H3588="yes",1,0)</f>
        <v>0</v>
      </c>
      <c r="L3588" s="2" t="n">
        <f aca="false">IF(I3588="yes",1,0)</f>
        <v>0</v>
      </c>
      <c r="M3588" s="2" t="n">
        <f aca="false">IF(G3588&lt;0,1,0)</f>
        <v>0</v>
      </c>
      <c r="N3588" s="2" t="str">
        <f aca="false">_xlfn.IFS(B3588&lt;30,"Under 30",B3588&lt;40,"30-39",B3588&lt;50,"40-49",B3588&lt;60,"50-59",TRUE(),"60+")</f>
        <v>40-49</v>
      </c>
      <c r="O3588" s="2" t="str">
        <f aca="false">_xlfn.IFS(G3588&lt;0,"1 Negative",G3588=0,"2 Zero",G3588&lt;=500,"3 1-500",G3588&lt;=2000,"4 501-2000",TRUE(),"5 Above 2000")</f>
        <v>5 Above 2000</v>
      </c>
      <c r="P3588" s="2" t="n">
        <f aca="false">Lookups!$B$2*M3588+Lookups!$B$3*L3588</f>
        <v>0</v>
      </c>
      <c r="Q3588" s="2" t="str">
        <f aca="false">INDEX(Lookups!$E$2:$E$5,MATCH(P3588,Lookups!$D$2:$D$5,0))</f>
        <v>Low</v>
      </c>
    </row>
    <row r="3589" customFormat="false" ht="15" hidden="false" customHeight="false" outlineLevel="0" collapsed="false">
      <c r="A3589" s="3" t="n">
        <v>3588</v>
      </c>
      <c r="B3589" s="3" t="n">
        <f aca="false">Raw_Data!A3589</f>
        <v>38</v>
      </c>
      <c r="C3589" s="3" t="str">
        <f aca="false">SUBSTITUTE(Raw_Data!B3589,".","")</f>
        <v>management</v>
      </c>
      <c r="D3589" s="3" t="str">
        <f aca="false">Raw_Data!C3589</f>
        <v>married</v>
      </c>
      <c r="E3589" s="3" t="str">
        <f aca="false">Raw_Data!D3589</f>
        <v>tertiary</v>
      </c>
      <c r="F3589" s="3" t="str">
        <f aca="false">Raw_Data!E3589</f>
        <v>no</v>
      </c>
      <c r="G3589" s="3" t="n">
        <f aca="false">Raw_Data!F3589</f>
        <v>3452</v>
      </c>
      <c r="H3589" s="3" t="str">
        <f aca="false">Raw_Data!G3589</f>
        <v>no</v>
      </c>
      <c r="I3589" s="3" t="str">
        <f aca="false">Raw_Data!H3589</f>
        <v>no</v>
      </c>
      <c r="J3589" s="2" t="n">
        <f aca="false">IF(F3589="yes",1,0)</f>
        <v>0</v>
      </c>
      <c r="K3589" s="2" t="n">
        <f aca="false">IF(H3589="yes",1,0)</f>
        <v>0</v>
      </c>
      <c r="L3589" s="2" t="n">
        <f aca="false">IF(I3589="yes",1,0)</f>
        <v>0</v>
      </c>
      <c r="M3589" s="2" t="n">
        <f aca="false">IF(G3589&lt;0,1,0)</f>
        <v>0</v>
      </c>
      <c r="N3589" s="2" t="str">
        <f aca="false">_xlfn.IFS(B3589&lt;30,"Under 30",B3589&lt;40,"30-39",B3589&lt;50,"40-49",B3589&lt;60,"50-59",TRUE(),"60+")</f>
        <v>30-39</v>
      </c>
      <c r="O3589" s="2" t="str">
        <f aca="false">_xlfn.IFS(G3589&lt;0,"1 Negative",G3589=0,"2 Zero",G3589&lt;=500,"3 1-500",G3589&lt;=2000,"4 501-2000",TRUE(),"5 Above 2000")</f>
        <v>5 Above 2000</v>
      </c>
      <c r="P3589" s="2" t="n">
        <f aca="false">Lookups!$B$2*M3589+Lookups!$B$3*L3589</f>
        <v>0</v>
      </c>
      <c r="Q3589" s="2" t="str">
        <f aca="false">INDEX(Lookups!$E$2:$E$5,MATCH(P3589,Lookups!$D$2:$D$5,0))</f>
        <v>Low</v>
      </c>
    </row>
    <row r="3590" customFormat="false" ht="15" hidden="false" customHeight="false" outlineLevel="0" collapsed="false">
      <c r="A3590" s="3" t="n">
        <v>3589</v>
      </c>
      <c r="B3590" s="3" t="n">
        <f aca="false">Raw_Data!A3590</f>
        <v>27</v>
      </c>
      <c r="C3590" s="3" t="str">
        <f aca="false">SUBSTITUTE(Raw_Data!B3590,".","")</f>
        <v>technician</v>
      </c>
      <c r="D3590" s="3" t="str">
        <f aca="false">Raw_Data!C3590</f>
        <v>single</v>
      </c>
      <c r="E3590" s="3" t="str">
        <f aca="false">Raw_Data!D3590</f>
        <v>secondary</v>
      </c>
      <c r="F3590" s="3" t="str">
        <f aca="false">Raw_Data!E3590</f>
        <v>no</v>
      </c>
      <c r="G3590" s="3" t="n">
        <f aca="false">Raw_Data!F3590</f>
        <v>842</v>
      </c>
      <c r="H3590" s="3" t="str">
        <f aca="false">Raw_Data!G3590</f>
        <v>no</v>
      </c>
      <c r="I3590" s="3" t="str">
        <f aca="false">Raw_Data!H3590</f>
        <v>no</v>
      </c>
      <c r="J3590" s="2" t="n">
        <f aca="false">IF(F3590="yes",1,0)</f>
        <v>0</v>
      </c>
      <c r="K3590" s="2" t="n">
        <f aca="false">IF(H3590="yes",1,0)</f>
        <v>0</v>
      </c>
      <c r="L3590" s="2" t="n">
        <f aca="false">IF(I3590="yes",1,0)</f>
        <v>0</v>
      </c>
      <c r="M3590" s="2" t="n">
        <f aca="false">IF(G3590&lt;0,1,0)</f>
        <v>0</v>
      </c>
      <c r="N3590" s="2" t="str">
        <f aca="false">_xlfn.IFS(B3590&lt;30,"Under 30",B3590&lt;40,"30-39",B3590&lt;50,"40-49",B3590&lt;60,"50-59",TRUE(),"60+")</f>
        <v>Under 30</v>
      </c>
      <c r="O3590" s="2" t="str">
        <f aca="false">_xlfn.IFS(G3590&lt;0,"1 Negative",G3590=0,"2 Zero",G3590&lt;=500,"3 1-500",G3590&lt;=2000,"4 501-2000",TRUE(),"5 Above 2000")</f>
        <v>4 501-2000</v>
      </c>
      <c r="P3590" s="2" t="n">
        <f aca="false">Lookups!$B$2*M3590+Lookups!$B$3*L3590</f>
        <v>0</v>
      </c>
      <c r="Q3590" s="2" t="str">
        <f aca="false">INDEX(Lookups!$E$2:$E$5,MATCH(P3590,Lookups!$D$2:$D$5,0))</f>
        <v>Low</v>
      </c>
    </row>
    <row r="3591" customFormat="false" ht="15" hidden="false" customHeight="false" outlineLevel="0" collapsed="false">
      <c r="A3591" s="3" t="n">
        <v>3590</v>
      </c>
      <c r="B3591" s="3" t="n">
        <f aca="false">Raw_Data!A3591</f>
        <v>38</v>
      </c>
      <c r="C3591" s="3" t="str">
        <f aca="false">SUBSTITUTE(Raw_Data!B3591,".","")</f>
        <v>management</v>
      </c>
      <c r="D3591" s="3" t="str">
        <f aca="false">Raw_Data!C3591</f>
        <v>married</v>
      </c>
      <c r="E3591" s="3" t="str">
        <f aca="false">Raw_Data!D3591</f>
        <v>unknown</v>
      </c>
      <c r="F3591" s="3" t="str">
        <f aca="false">Raw_Data!E3591</f>
        <v>no</v>
      </c>
      <c r="G3591" s="3" t="n">
        <f aca="false">Raw_Data!F3591</f>
        <v>3576</v>
      </c>
      <c r="H3591" s="3" t="str">
        <f aca="false">Raw_Data!G3591</f>
        <v>no</v>
      </c>
      <c r="I3591" s="3" t="str">
        <f aca="false">Raw_Data!H3591</f>
        <v>no</v>
      </c>
      <c r="J3591" s="2" t="n">
        <f aca="false">IF(F3591="yes",1,0)</f>
        <v>0</v>
      </c>
      <c r="K3591" s="2" t="n">
        <f aca="false">IF(H3591="yes",1,0)</f>
        <v>0</v>
      </c>
      <c r="L3591" s="2" t="n">
        <f aca="false">IF(I3591="yes",1,0)</f>
        <v>0</v>
      </c>
      <c r="M3591" s="2" t="n">
        <f aca="false">IF(G3591&lt;0,1,0)</f>
        <v>0</v>
      </c>
      <c r="N3591" s="2" t="str">
        <f aca="false">_xlfn.IFS(B3591&lt;30,"Under 30",B3591&lt;40,"30-39",B3591&lt;50,"40-49",B3591&lt;60,"50-59",TRUE(),"60+")</f>
        <v>30-39</v>
      </c>
      <c r="O3591" s="2" t="str">
        <f aca="false">_xlfn.IFS(G3591&lt;0,"1 Negative",G3591=0,"2 Zero",G3591&lt;=500,"3 1-500",G3591&lt;=2000,"4 501-2000",TRUE(),"5 Above 2000")</f>
        <v>5 Above 2000</v>
      </c>
      <c r="P3591" s="2" t="n">
        <f aca="false">Lookups!$B$2*M3591+Lookups!$B$3*L3591</f>
        <v>0</v>
      </c>
      <c r="Q3591" s="2" t="str">
        <f aca="false">INDEX(Lookups!$E$2:$E$5,MATCH(P3591,Lookups!$D$2:$D$5,0))</f>
        <v>Low</v>
      </c>
    </row>
    <row r="3592" customFormat="false" ht="15" hidden="false" customHeight="false" outlineLevel="0" collapsed="false">
      <c r="A3592" s="3" t="n">
        <v>3591</v>
      </c>
      <c r="B3592" s="3" t="n">
        <f aca="false">Raw_Data!A3592</f>
        <v>41</v>
      </c>
      <c r="C3592" s="3" t="str">
        <f aca="false">SUBSTITUTE(Raw_Data!B3592,".","")</f>
        <v>unemployed</v>
      </c>
      <c r="D3592" s="3" t="str">
        <f aca="false">Raw_Data!C3592</f>
        <v>married</v>
      </c>
      <c r="E3592" s="3" t="str">
        <f aca="false">Raw_Data!D3592</f>
        <v>tertiary</v>
      </c>
      <c r="F3592" s="3" t="str">
        <f aca="false">Raw_Data!E3592</f>
        <v>no</v>
      </c>
      <c r="G3592" s="3" t="n">
        <f aca="false">Raw_Data!F3592</f>
        <v>1666</v>
      </c>
      <c r="H3592" s="3" t="str">
        <f aca="false">Raw_Data!G3592</f>
        <v>no</v>
      </c>
      <c r="I3592" s="3" t="str">
        <f aca="false">Raw_Data!H3592</f>
        <v>no</v>
      </c>
      <c r="J3592" s="2" t="n">
        <f aca="false">IF(F3592="yes",1,0)</f>
        <v>0</v>
      </c>
      <c r="K3592" s="2" t="n">
        <f aca="false">IF(H3592="yes",1,0)</f>
        <v>0</v>
      </c>
      <c r="L3592" s="2" t="n">
        <f aca="false">IF(I3592="yes",1,0)</f>
        <v>0</v>
      </c>
      <c r="M3592" s="2" t="n">
        <f aca="false">IF(G3592&lt;0,1,0)</f>
        <v>0</v>
      </c>
      <c r="N3592" s="2" t="str">
        <f aca="false">_xlfn.IFS(B3592&lt;30,"Under 30",B3592&lt;40,"30-39",B3592&lt;50,"40-49",B3592&lt;60,"50-59",TRUE(),"60+")</f>
        <v>40-49</v>
      </c>
      <c r="O3592" s="2" t="str">
        <f aca="false">_xlfn.IFS(G3592&lt;0,"1 Negative",G3592=0,"2 Zero",G3592&lt;=500,"3 1-500",G3592&lt;=2000,"4 501-2000",TRUE(),"5 Above 2000")</f>
        <v>4 501-2000</v>
      </c>
      <c r="P3592" s="2" t="n">
        <f aca="false">Lookups!$B$2*M3592+Lookups!$B$3*L3592</f>
        <v>0</v>
      </c>
      <c r="Q3592" s="2" t="str">
        <f aca="false">INDEX(Lookups!$E$2:$E$5,MATCH(P3592,Lookups!$D$2:$D$5,0))</f>
        <v>Low</v>
      </c>
    </row>
    <row r="3593" customFormat="false" ht="15" hidden="false" customHeight="false" outlineLevel="0" collapsed="false">
      <c r="A3593" s="3" t="n">
        <v>3592</v>
      </c>
      <c r="B3593" s="3" t="n">
        <f aca="false">Raw_Data!A3593</f>
        <v>29</v>
      </c>
      <c r="C3593" s="3" t="str">
        <f aca="false">SUBSTITUTE(Raw_Data!B3593,".","")</f>
        <v>technician</v>
      </c>
      <c r="D3593" s="3" t="str">
        <f aca="false">Raw_Data!C3593</f>
        <v>married</v>
      </c>
      <c r="E3593" s="3" t="str">
        <f aca="false">Raw_Data!D3593</f>
        <v>secondary</v>
      </c>
      <c r="F3593" s="3" t="str">
        <f aca="false">Raw_Data!E3593</f>
        <v>no</v>
      </c>
      <c r="G3593" s="3" t="n">
        <f aca="false">Raw_Data!F3593</f>
        <v>0</v>
      </c>
      <c r="H3593" s="3" t="str">
        <f aca="false">Raw_Data!G3593</f>
        <v>yes</v>
      </c>
      <c r="I3593" s="3" t="str">
        <f aca="false">Raw_Data!H3593</f>
        <v>no</v>
      </c>
      <c r="J3593" s="2" t="n">
        <f aca="false">IF(F3593="yes",1,0)</f>
        <v>0</v>
      </c>
      <c r="K3593" s="2" t="n">
        <f aca="false">IF(H3593="yes",1,0)</f>
        <v>1</v>
      </c>
      <c r="L3593" s="2" t="n">
        <f aca="false">IF(I3593="yes",1,0)</f>
        <v>0</v>
      </c>
      <c r="M3593" s="2" t="n">
        <f aca="false">IF(G3593&lt;0,1,0)</f>
        <v>0</v>
      </c>
      <c r="N3593" s="2" t="str">
        <f aca="false">_xlfn.IFS(B3593&lt;30,"Under 30",B3593&lt;40,"30-39",B3593&lt;50,"40-49",B3593&lt;60,"50-59",TRUE(),"60+")</f>
        <v>Under 30</v>
      </c>
      <c r="O3593" s="2" t="str">
        <f aca="false">_xlfn.IFS(G3593&lt;0,"1 Negative",G3593=0,"2 Zero",G3593&lt;=500,"3 1-500",G3593&lt;=2000,"4 501-2000",TRUE(),"5 Above 2000")</f>
        <v>2 Zero</v>
      </c>
      <c r="P3593" s="2" t="n">
        <f aca="false">Lookups!$B$2*M3593+Lookups!$B$3*L3593</f>
        <v>0</v>
      </c>
      <c r="Q3593" s="2" t="str">
        <f aca="false">INDEX(Lookups!$E$2:$E$5,MATCH(P3593,Lookups!$D$2:$D$5,0))</f>
        <v>Low</v>
      </c>
    </row>
    <row r="3594" customFormat="false" ht="15" hidden="false" customHeight="false" outlineLevel="0" collapsed="false">
      <c r="A3594" s="3" t="n">
        <v>3593</v>
      </c>
      <c r="B3594" s="3" t="n">
        <f aca="false">Raw_Data!A3594</f>
        <v>39</v>
      </c>
      <c r="C3594" s="3" t="str">
        <f aca="false">SUBSTITUTE(Raw_Data!B3594,".","")</f>
        <v>services</v>
      </c>
      <c r="D3594" s="3" t="str">
        <f aca="false">Raw_Data!C3594</f>
        <v>married</v>
      </c>
      <c r="E3594" s="3" t="str">
        <f aca="false">Raw_Data!D3594</f>
        <v>secondary</v>
      </c>
      <c r="F3594" s="3" t="str">
        <f aca="false">Raw_Data!E3594</f>
        <v>no</v>
      </c>
      <c r="G3594" s="3" t="n">
        <f aca="false">Raw_Data!F3594</f>
        <v>0</v>
      </c>
      <c r="H3594" s="3" t="str">
        <f aca="false">Raw_Data!G3594</f>
        <v>yes</v>
      </c>
      <c r="I3594" s="3" t="str">
        <f aca="false">Raw_Data!H3594</f>
        <v>no</v>
      </c>
      <c r="J3594" s="2" t="n">
        <f aca="false">IF(F3594="yes",1,0)</f>
        <v>0</v>
      </c>
      <c r="K3594" s="2" t="n">
        <f aca="false">IF(H3594="yes",1,0)</f>
        <v>1</v>
      </c>
      <c r="L3594" s="2" t="n">
        <f aca="false">IF(I3594="yes",1,0)</f>
        <v>0</v>
      </c>
      <c r="M3594" s="2" t="n">
        <f aca="false">IF(G3594&lt;0,1,0)</f>
        <v>0</v>
      </c>
      <c r="N3594" s="2" t="str">
        <f aca="false">_xlfn.IFS(B3594&lt;30,"Under 30",B3594&lt;40,"30-39",B3594&lt;50,"40-49",B3594&lt;60,"50-59",TRUE(),"60+")</f>
        <v>30-39</v>
      </c>
      <c r="O3594" s="2" t="str">
        <f aca="false">_xlfn.IFS(G3594&lt;0,"1 Negative",G3594=0,"2 Zero",G3594&lt;=500,"3 1-500",G3594&lt;=2000,"4 501-2000",TRUE(),"5 Above 2000")</f>
        <v>2 Zero</v>
      </c>
      <c r="P3594" s="2" t="n">
        <f aca="false">Lookups!$B$2*M3594+Lookups!$B$3*L3594</f>
        <v>0</v>
      </c>
      <c r="Q3594" s="2" t="str">
        <f aca="false">INDEX(Lookups!$E$2:$E$5,MATCH(P3594,Lookups!$D$2:$D$5,0))</f>
        <v>Low</v>
      </c>
    </row>
    <row r="3595" customFormat="false" ht="15" hidden="false" customHeight="false" outlineLevel="0" collapsed="false">
      <c r="A3595" s="3" t="n">
        <v>3594</v>
      </c>
      <c r="B3595" s="3" t="n">
        <f aca="false">Raw_Data!A3595</f>
        <v>42</v>
      </c>
      <c r="C3595" s="3" t="str">
        <f aca="false">SUBSTITUTE(Raw_Data!B3595,".","")</f>
        <v>blue-collar</v>
      </c>
      <c r="D3595" s="3" t="str">
        <f aca="false">Raw_Data!C3595</f>
        <v>single</v>
      </c>
      <c r="E3595" s="3" t="str">
        <f aca="false">Raw_Data!D3595</f>
        <v>primary</v>
      </c>
      <c r="F3595" s="3" t="str">
        <f aca="false">Raw_Data!E3595</f>
        <v>no</v>
      </c>
      <c r="G3595" s="3" t="n">
        <f aca="false">Raw_Data!F3595</f>
        <v>1628</v>
      </c>
      <c r="H3595" s="3" t="str">
        <f aca="false">Raw_Data!G3595</f>
        <v>yes</v>
      </c>
      <c r="I3595" s="3" t="str">
        <f aca="false">Raw_Data!H3595</f>
        <v>no</v>
      </c>
      <c r="J3595" s="2" t="n">
        <f aca="false">IF(F3595="yes",1,0)</f>
        <v>0</v>
      </c>
      <c r="K3595" s="2" t="n">
        <f aca="false">IF(H3595="yes",1,0)</f>
        <v>1</v>
      </c>
      <c r="L3595" s="2" t="n">
        <f aca="false">IF(I3595="yes",1,0)</f>
        <v>0</v>
      </c>
      <c r="M3595" s="2" t="n">
        <f aca="false">IF(G3595&lt;0,1,0)</f>
        <v>0</v>
      </c>
      <c r="N3595" s="2" t="str">
        <f aca="false">_xlfn.IFS(B3595&lt;30,"Under 30",B3595&lt;40,"30-39",B3595&lt;50,"40-49",B3595&lt;60,"50-59",TRUE(),"60+")</f>
        <v>40-49</v>
      </c>
      <c r="O3595" s="2" t="str">
        <f aca="false">_xlfn.IFS(G3595&lt;0,"1 Negative",G3595=0,"2 Zero",G3595&lt;=500,"3 1-500",G3595&lt;=2000,"4 501-2000",TRUE(),"5 Above 2000")</f>
        <v>4 501-2000</v>
      </c>
      <c r="P3595" s="2" t="n">
        <f aca="false">Lookups!$B$2*M3595+Lookups!$B$3*L3595</f>
        <v>0</v>
      </c>
      <c r="Q3595" s="2" t="str">
        <f aca="false">INDEX(Lookups!$E$2:$E$5,MATCH(P3595,Lookups!$D$2:$D$5,0))</f>
        <v>Low</v>
      </c>
    </row>
    <row r="3596" customFormat="false" ht="15" hidden="false" customHeight="false" outlineLevel="0" collapsed="false">
      <c r="A3596" s="3" t="n">
        <v>3595</v>
      </c>
      <c r="B3596" s="3" t="n">
        <f aca="false">Raw_Data!A3596</f>
        <v>47</v>
      </c>
      <c r="C3596" s="3" t="str">
        <f aca="false">SUBSTITUTE(Raw_Data!B3596,".","")</f>
        <v>services</v>
      </c>
      <c r="D3596" s="3" t="str">
        <f aca="false">Raw_Data!C3596</f>
        <v>married</v>
      </c>
      <c r="E3596" s="3" t="str">
        <f aca="false">Raw_Data!D3596</f>
        <v>secondary</v>
      </c>
      <c r="F3596" s="3" t="str">
        <f aca="false">Raw_Data!E3596</f>
        <v>no</v>
      </c>
      <c r="G3596" s="3" t="n">
        <f aca="false">Raw_Data!F3596</f>
        <v>51</v>
      </c>
      <c r="H3596" s="3" t="str">
        <f aca="false">Raw_Data!G3596</f>
        <v>yes</v>
      </c>
      <c r="I3596" s="3" t="str">
        <f aca="false">Raw_Data!H3596</f>
        <v>yes</v>
      </c>
      <c r="J3596" s="2" t="n">
        <f aca="false">IF(F3596="yes",1,0)</f>
        <v>0</v>
      </c>
      <c r="K3596" s="2" t="n">
        <f aca="false">IF(H3596="yes",1,0)</f>
        <v>1</v>
      </c>
      <c r="L3596" s="2" t="n">
        <f aca="false">IF(I3596="yes",1,0)</f>
        <v>1</v>
      </c>
      <c r="M3596" s="2" t="n">
        <f aca="false">IF(G3596&lt;0,1,0)</f>
        <v>0</v>
      </c>
      <c r="N3596" s="2" t="str">
        <f aca="false">_xlfn.IFS(B3596&lt;30,"Under 30",B3596&lt;40,"30-39",B3596&lt;50,"40-49",B3596&lt;60,"50-59",TRUE(),"60+")</f>
        <v>40-49</v>
      </c>
      <c r="O3596" s="2" t="str">
        <f aca="false">_xlfn.IFS(G3596&lt;0,"1 Negative",G3596=0,"2 Zero",G3596&lt;=500,"3 1-500",G3596&lt;=2000,"4 501-2000",TRUE(),"5 Above 2000")</f>
        <v>3 1-500</v>
      </c>
      <c r="P3596" s="2" t="n">
        <f aca="false">Lookups!$B$2*M3596+Lookups!$B$3*L3596</f>
        <v>1</v>
      </c>
      <c r="Q3596" s="2" t="str">
        <f aca="false">INDEX(Lookups!$E$2:$E$5,MATCH(P3596,Lookups!$D$2:$D$5,0))</f>
        <v>Medium</v>
      </c>
    </row>
    <row r="3597" customFormat="false" ht="15" hidden="false" customHeight="false" outlineLevel="0" collapsed="false">
      <c r="A3597" s="3" t="n">
        <v>3596</v>
      </c>
      <c r="B3597" s="3" t="n">
        <f aca="false">Raw_Data!A3597</f>
        <v>30</v>
      </c>
      <c r="C3597" s="3" t="str">
        <f aca="false">SUBSTITUTE(Raw_Data!B3597,".","")</f>
        <v>blue-collar</v>
      </c>
      <c r="D3597" s="3" t="str">
        <f aca="false">Raw_Data!C3597</f>
        <v>single</v>
      </c>
      <c r="E3597" s="3" t="str">
        <f aca="false">Raw_Data!D3597</f>
        <v>secondary</v>
      </c>
      <c r="F3597" s="3" t="str">
        <f aca="false">Raw_Data!E3597</f>
        <v>yes</v>
      </c>
      <c r="G3597" s="3" t="n">
        <f aca="false">Raw_Data!F3597</f>
        <v>447</v>
      </c>
      <c r="H3597" s="3" t="str">
        <f aca="false">Raw_Data!G3597</f>
        <v>no</v>
      </c>
      <c r="I3597" s="3" t="str">
        <f aca="false">Raw_Data!H3597</f>
        <v>no</v>
      </c>
      <c r="J3597" s="2" t="n">
        <f aca="false">IF(F3597="yes",1,0)</f>
        <v>1</v>
      </c>
      <c r="K3597" s="2" t="n">
        <f aca="false">IF(H3597="yes",1,0)</f>
        <v>0</v>
      </c>
      <c r="L3597" s="2" t="n">
        <f aca="false">IF(I3597="yes",1,0)</f>
        <v>0</v>
      </c>
      <c r="M3597" s="2" t="n">
        <f aca="false">IF(G3597&lt;0,1,0)</f>
        <v>0</v>
      </c>
      <c r="N3597" s="2" t="str">
        <f aca="false">_xlfn.IFS(B3597&lt;30,"Under 30",B3597&lt;40,"30-39",B3597&lt;50,"40-49",B3597&lt;60,"50-59",TRUE(),"60+")</f>
        <v>30-39</v>
      </c>
      <c r="O3597" s="2" t="str">
        <f aca="false">_xlfn.IFS(G3597&lt;0,"1 Negative",G3597=0,"2 Zero",G3597&lt;=500,"3 1-500",G3597&lt;=2000,"4 501-2000",TRUE(),"5 Above 2000")</f>
        <v>3 1-500</v>
      </c>
      <c r="P3597" s="2" t="n">
        <f aca="false">Lookups!$B$2*M3597+Lookups!$B$3*L3597</f>
        <v>0</v>
      </c>
      <c r="Q3597" s="2" t="str">
        <f aca="false">INDEX(Lookups!$E$2:$E$5,MATCH(P3597,Lookups!$D$2:$D$5,0))</f>
        <v>Low</v>
      </c>
    </row>
    <row r="3598" customFormat="false" ht="15" hidden="false" customHeight="false" outlineLevel="0" collapsed="false">
      <c r="A3598" s="3" t="n">
        <v>3597</v>
      </c>
      <c r="B3598" s="3" t="n">
        <f aca="false">Raw_Data!A3598</f>
        <v>34</v>
      </c>
      <c r="C3598" s="3" t="str">
        <f aca="false">SUBSTITUTE(Raw_Data!B3598,".","")</f>
        <v>admin</v>
      </c>
      <c r="D3598" s="3" t="str">
        <f aca="false">Raw_Data!C3598</f>
        <v>married</v>
      </c>
      <c r="E3598" s="3" t="str">
        <f aca="false">Raw_Data!D3598</f>
        <v>secondary</v>
      </c>
      <c r="F3598" s="3" t="str">
        <f aca="false">Raw_Data!E3598</f>
        <v>no</v>
      </c>
      <c r="G3598" s="3" t="n">
        <f aca="false">Raw_Data!F3598</f>
        <v>396</v>
      </c>
      <c r="H3598" s="3" t="str">
        <f aca="false">Raw_Data!G3598</f>
        <v>yes</v>
      </c>
      <c r="I3598" s="3" t="str">
        <f aca="false">Raw_Data!H3598</f>
        <v>no</v>
      </c>
      <c r="J3598" s="2" t="n">
        <f aca="false">IF(F3598="yes",1,0)</f>
        <v>0</v>
      </c>
      <c r="K3598" s="2" t="n">
        <f aca="false">IF(H3598="yes",1,0)</f>
        <v>1</v>
      </c>
      <c r="L3598" s="2" t="n">
        <f aca="false">IF(I3598="yes",1,0)</f>
        <v>0</v>
      </c>
      <c r="M3598" s="2" t="n">
        <f aca="false">IF(G3598&lt;0,1,0)</f>
        <v>0</v>
      </c>
      <c r="N3598" s="2" t="str">
        <f aca="false">_xlfn.IFS(B3598&lt;30,"Under 30",B3598&lt;40,"30-39",B3598&lt;50,"40-49",B3598&lt;60,"50-59",TRUE(),"60+")</f>
        <v>30-39</v>
      </c>
      <c r="O3598" s="2" t="str">
        <f aca="false">_xlfn.IFS(G3598&lt;0,"1 Negative",G3598=0,"2 Zero",G3598&lt;=500,"3 1-500",G3598&lt;=2000,"4 501-2000",TRUE(),"5 Above 2000")</f>
        <v>3 1-500</v>
      </c>
      <c r="P3598" s="2" t="n">
        <f aca="false">Lookups!$B$2*M3598+Lookups!$B$3*L3598</f>
        <v>0</v>
      </c>
      <c r="Q3598" s="2" t="str">
        <f aca="false">INDEX(Lookups!$E$2:$E$5,MATCH(P3598,Lookups!$D$2:$D$5,0))</f>
        <v>Low</v>
      </c>
    </row>
    <row r="3599" customFormat="false" ht="15" hidden="false" customHeight="false" outlineLevel="0" collapsed="false">
      <c r="A3599" s="3" t="n">
        <v>3598</v>
      </c>
      <c r="B3599" s="3" t="n">
        <f aca="false">Raw_Data!A3599</f>
        <v>45</v>
      </c>
      <c r="C3599" s="3" t="str">
        <f aca="false">SUBSTITUTE(Raw_Data!B3599,".","")</f>
        <v>housemaid</v>
      </c>
      <c r="D3599" s="3" t="str">
        <f aca="false">Raw_Data!C3599</f>
        <v>married</v>
      </c>
      <c r="E3599" s="3" t="str">
        <f aca="false">Raw_Data!D3599</f>
        <v>primary</v>
      </c>
      <c r="F3599" s="3" t="str">
        <f aca="false">Raw_Data!E3599</f>
        <v>no</v>
      </c>
      <c r="G3599" s="3" t="n">
        <f aca="false">Raw_Data!F3599</f>
        <v>4994</v>
      </c>
      <c r="H3599" s="3" t="str">
        <f aca="false">Raw_Data!G3599</f>
        <v>no</v>
      </c>
      <c r="I3599" s="3" t="str">
        <f aca="false">Raw_Data!H3599</f>
        <v>no</v>
      </c>
      <c r="J3599" s="2" t="n">
        <f aca="false">IF(F3599="yes",1,0)</f>
        <v>0</v>
      </c>
      <c r="K3599" s="2" t="n">
        <f aca="false">IF(H3599="yes",1,0)</f>
        <v>0</v>
      </c>
      <c r="L3599" s="2" t="n">
        <f aca="false">IF(I3599="yes",1,0)</f>
        <v>0</v>
      </c>
      <c r="M3599" s="2" t="n">
        <f aca="false">IF(G3599&lt;0,1,0)</f>
        <v>0</v>
      </c>
      <c r="N3599" s="2" t="str">
        <f aca="false">_xlfn.IFS(B3599&lt;30,"Under 30",B3599&lt;40,"30-39",B3599&lt;50,"40-49",B3599&lt;60,"50-59",TRUE(),"60+")</f>
        <v>40-49</v>
      </c>
      <c r="O3599" s="2" t="str">
        <f aca="false">_xlfn.IFS(G3599&lt;0,"1 Negative",G3599=0,"2 Zero",G3599&lt;=500,"3 1-500",G3599&lt;=2000,"4 501-2000",TRUE(),"5 Above 2000")</f>
        <v>5 Above 2000</v>
      </c>
      <c r="P3599" s="2" t="n">
        <f aca="false">Lookups!$B$2*M3599+Lookups!$B$3*L3599</f>
        <v>0</v>
      </c>
      <c r="Q3599" s="2" t="str">
        <f aca="false">INDEX(Lookups!$E$2:$E$5,MATCH(P3599,Lookups!$D$2:$D$5,0))</f>
        <v>Low</v>
      </c>
    </row>
    <row r="3600" customFormat="false" ht="15" hidden="false" customHeight="false" outlineLevel="0" collapsed="false">
      <c r="A3600" s="3" t="n">
        <v>3599</v>
      </c>
      <c r="B3600" s="3" t="n">
        <f aca="false">Raw_Data!A3600</f>
        <v>43</v>
      </c>
      <c r="C3600" s="3" t="str">
        <f aca="false">SUBSTITUTE(Raw_Data!B3600,".","")</f>
        <v>admin</v>
      </c>
      <c r="D3600" s="3" t="str">
        <f aca="false">Raw_Data!C3600</f>
        <v>married</v>
      </c>
      <c r="E3600" s="3" t="str">
        <f aca="false">Raw_Data!D3600</f>
        <v>secondary</v>
      </c>
      <c r="F3600" s="3" t="str">
        <f aca="false">Raw_Data!E3600</f>
        <v>no</v>
      </c>
      <c r="G3600" s="3" t="n">
        <f aca="false">Raw_Data!F3600</f>
        <v>3215</v>
      </c>
      <c r="H3600" s="3" t="str">
        <f aca="false">Raw_Data!G3600</f>
        <v>yes</v>
      </c>
      <c r="I3600" s="3" t="str">
        <f aca="false">Raw_Data!H3600</f>
        <v>no</v>
      </c>
      <c r="J3600" s="2" t="n">
        <f aca="false">IF(F3600="yes",1,0)</f>
        <v>0</v>
      </c>
      <c r="K3600" s="2" t="n">
        <f aca="false">IF(H3600="yes",1,0)</f>
        <v>1</v>
      </c>
      <c r="L3600" s="2" t="n">
        <f aca="false">IF(I3600="yes",1,0)</f>
        <v>0</v>
      </c>
      <c r="M3600" s="2" t="n">
        <f aca="false">IF(G3600&lt;0,1,0)</f>
        <v>0</v>
      </c>
      <c r="N3600" s="2" t="str">
        <f aca="false">_xlfn.IFS(B3600&lt;30,"Under 30",B3600&lt;40,"30-39",B3600&lt;50,"40-49",B3600&lt;60,"50-59",TRUE(),"60+")</f>
        <v>40-49</v>
      </c>
      <c r="O3600" s="2" t="str">
        <f aca="false">_xlfn.IFS(G3600&lt;0,"1 Negative",G3600=0,"2 Zero",G3600&lt;=500,"3 1-500",G3600&lt;=2000,"4 501-2000",TRUE(),"5 Above 2000")</f>
        <v>5 Above 2000</v>
      </c>
      <c r="P3600" s="2" t="n">
        <f aca="false">Lookups!$B$2*M3600+Lookups!$B$3*L3600</f>
        <v>0</v>
      </c>
      <c r="Q3600" s="2" t="str">
        <f aca="false">INDEX(Lookups!$E$2:$E$5,MATCH(P3600,Lookups!$D$2:$D$5,0))</f>
        <v>Low</v>
      </c>
    </row>
    <row r="3601" customFormat="false" ht="15" hidden="false" customHeight="false" outlineLevel="0" collapsed="false">
      <c r="A3601" s="3" t="n">
        <v>3600</v>
      </c>
      <c r="B3601" s="3" t="n">
        <f aca="false">Raw_Data!A3601</f>
        <v>59</v>
      </c>
      <c r="C3601" s="3" t="str">
        <f aca="false">SUBSTITUTE(Raw_Data!B3601,".","")</f>
        <v>blue-collar</v>
      </c>
      <c r="D3601" s="3" t="str">
        <f aca="false">Raw_Data!C3601</f>
        <v>married</v>
      </c>
      <c r="E3601" s="3" t="str">
        <f aca="false">Raw_Data!D3601</f>
        <v>primary</v>
      </c>
      <c r="F3601" s="3" t="str">
        <f aca="false">Raw_Data!E3601</f>
        <v>no</v>
      </c>
      <c r="G3601" s="3" t="n">
        <f aca="false">Raw_Data!F3601</f>
        <v>2814</v>
      </c>
      <c r="H3601" s="3" t="str">
        <f aca="false">Raw_Data!G3601</f>
        <v>no</v>
      </c>
      <c r="I3601" s="3" t="str">
        <f aca="false">Raw_Data!H3601</f>
        <v>no</v>
      </c>
      <c r="J3601" s="2" t="n">
        <f aca="false">IF(F3601="yes",1,0)</f>
        <v>0</v>
      </c>
      <c r="K3601" s="2" t="n">
        <f aca="false">IF(H3601="yes",1,0)</f>
        <v>0</v>
      </c>
      <c r="L3601" s="2" t="n">
        <f aca="false">IF(I3601="yes",1,0)</f>
        <v>0</v>
      </c>
      <c r="M3601" s="2" t="n">
        <f aca="false">IF(G3601&lt;0,1,0)</f>
        <v>0</v>
      </c>
      <c r="N3601" s="2" t="str">
        <f aca="false">_xlfn.IFS(B3601&lt;30,"Under 30",B3601&lt;40,"30-39",B3601&lt;50,"40-49",B3601&lt;60,"50-59",TRUE(),"60+")</f>
        <v>50-59</v>
      </c>
      <c r="O3601" s="2" t="str">
        <f aca="false">_xlfn.IFS(G3601&lt;0,"1 Negative",G3601=0,"2 Zero",G3601&lt;=500,"3 1-500",G3601&lt;=2000,"4 501-2000",TRUE(),"5 Above 2000")</f>
        <v>5 Above 2000</v>
      </c>
      <c r="P3601" s="2" t="n">
        <f aca="false">Lookups!$B$2*M3601+Lookups!$B$3*L3601</f>
        <v>0</v>
      </c>
      <c r="Q3601" s="2" t="str">
        <f aca="false">INDEX(Lookups!$E$2:$E$5,MATCH(P3601,Lookups!$D$2:$D$5,0))</f>
        <v>Low</v>
      </c>
    </row>
    <row r="3602" customFormat="false" ht="15" hidden="false" customHeight="false" outlineLevel="0" collapsed="false">
      <c r="A3602" s="3" t="n">
        <v>3601</v>
      </c>
      <c r="B3602" s="3" t="n">
        <f aca="false">Raw_Data!A3602</f>
        <v>50</v>
      </c>
      <c r="C3602" s="3" t="str">
        <f aca="false">SUBSTITUTE(Raw_Data!B3602,".","")</f>
        <v>technician</v>
      </c>
      <c r="D3602" s="3" t="str">
        <f aca="false">Raw_Data!C3602</f>
        <v>married</v>
      </c>
      <c r="E3602" s="3" t="str">
        <f aca="false">Raw_Data!D3602</f>
        <v>secondary</v>
      </c>
      <c r="F3602" s="3" t="str">
        <f aca="false">Raw_Data!E3602</f>
        <v>no</v>
      </c>
      <c r="G3602" s="3" t="n">
        <f aca="false">Raw_Data!F3602</f>
        <v>0</v>
      </c>
      <c r="H3602" s="3" t="str">
        <f aca="false">Raw_Data!G3602</f>
        <v>no</v>
      </c>
      <c r="I3602" s="3" t="str">
        <f aca="false">Raw_Data!H3602</f>
        <v>no</v>
      </c>
      <c r="J3602" s="2" t="n">
        <f aca="false">IF(F3602="yes",1,0)</f>
        <v>0</v>
      </c>
      <c r="K3602" s="2" t="n">
        <f aca="false">IF(H3602="yes",1,0)</f>
        <v>0</v>
      </c>
      <c r="L3602" s="2" t="n">
        <f aca="false">IF(I3602="yes",1,0)</f>
        <v>0</v>
      </c>
      <c r="M3602" s="2" t="n">
        <f aca="false">IF(G3602&lt;0,1,0)</f>
        <v>0</v>
      </c>
      <c r="N3602" s="2" t="str">
        <f aca="false">_xlfn.IFS(B3602&lt;30,"Under 30",B3602&lt;40,"30-39",B3602&lt;50,"40-49",B3602&lt;60,"50-59",TRUE(),"60+")</f>
        <v>50-59</v>
      </c>
      <c r="O3602" s="2" t="str">
        <f aca="false">_xlfn.IFS(G3602&lt;0,"1 Negative",G3602=0,"2 Zero",G3602&lt;=500,"3 1-500",G3602&lt;=2000,"4 501-2000",TRUE(),"5 Above 2000")</f>
        <v>2 Zero</v>
      </c>
      <c r="P3602" s="2" t="n">
        <f aca="false">Lookups!$B$2*M3602+Lookups!$B$3*L3602</f>
        <v>0</v>
      </c>
      <c r="Q3602" s="2" t="str">
        <f aca="false">INDEX(Lookups!$E$2:$E$5,MATCH(P3602,Lookups!$D$2:$D$5,0))</f>
        <v>Low</v>
      </c>
    </row>
    <row r="3603" customFormat="false" ht="15" hidden="false" customHeight="false" outlineLevel="0" collapsed="false">
      <c r="A3603" s="3" t="n">
        <v>3602</v>
      </c>
      <c r="B3603" s="3" t="n">
        <f aca="false">Raw_Data!A3603</f>
        <v>39</v>
      </c>
      <c r="C3603" s="3" t="str">
        <f aca="false">SUBSTITUTE(Raw_Data!B3603,".","")</f>
        <v>blue-collar</v>
      </c>
      <c r="D3603" s="3" t="str">
        <f aca="false">Raw_Data!C3603</f>
        <v>married</v>
      </c>
      <c r="E3603" s="3" t="str">
        <f aca="false">Raw_Data!D3603</f>
        <v>secondary</v>
      </c>
      <c r="F3603" s="3" t="str">
        <f aca="false">Raw_Data!E3603</f>
        <v>no</v>
      </c>
      <c r="G3603" s="3" t="n">
        <f aca="false">Raw_Data!F3603</f>
        <v>293</v>
      </c>
      <c r="H3603" s="3" t="str">
        <f aca="false">Raw_Data!G3603</f>
        <v>yes</v>
      </c>
      <c r="I3603" s="3" t="str">
        <f aca="false">Raw_Data!H3603</f>
        <v>no</v>
      </c>
      <c r="J3603" s="2" t="n">
        <f aca="false">IF(F3603="yes",1,0)</f>
        <v>0</v>
      </c>
      <c r="K3603" s="2" t="n">
        <f aca="false">IF(H3603="yes",1,0)</f>
        <v>1</v>
      </c>
      <c r="L3603" s="2" t="n">
        <f aca="false">IF(I3603="yes",1,0)</f>
        <v>0</v>
      </c>
      <c r="M3603" s="2" t="n">
        <f aca="false">IF(G3603&lt;0,1,0)</f>
        <v>0</v>
      </c>
      <c r="N3603" s="2" t="str">
        <f aca="false">_xlfn.IFS(B3603&lt;30,"Under 30",B3603&lt;40,"30-39",B3603&lt;50,"40-49",B3603&lt;60,"50-59",TRUE(),"60+")</f>
        <v>30-39</v>
      </c>
      <c r="O3603" s="2" t="str">
        <f aca="false">_xlfn.IFS(G3603&lt;0,"1 Negative",G3603=0,"2 Zero",G3603&lt;=500,"3 1-500",G3603&lt;=2000,"4 501-2000",TRUE(),"5 Above 2000")</f>
        <v>3 1-500</v>
      </c>
      <c r="P3603" s="2" t="n">
        <f aca="false">Lookups!$B$2*M3603+Lookups!$B$3*L3603</f>
        <v>0</v>
      </c>
      <c r="Q3603" s="2" t="str">
        <f aca="false">INDEX(Lookups!$E$2:$E$5,MATCH(P3603,Lookups!$D$2:$D$5,0))</f>
        <v>Low</v>
      </c>
    </row>
    <row r="3604" customFormat="false" ht="15" hidden="false" customHeight="false" outlineLevel="0" collapsed="false">
      <c r="A3604" s="3" t="n">
        <v>3603</v>
      </c>
      <c r="B3604" s="3" t="n">
        <f aca="false">Raw_Data!A3604</f>
        <v>36</v>
      </c>
      <c r="C3604" s="3" t="str">
        <f aca="false">SUBSTITUTE(Raw_Data!B3604,".","")</f>
        <v>technician</v>
      </c>
      <c r="D3604" s="3" t="str">
        <f aca="false">Raw_Data!C3604</f>
        <v>married</v>
      </c>
      <c r="E3604" s="3" t="str">
        <f aca="false">Raw_Data!D3604</f>
        <v>secondary</v>
      </c>
      <c r="F3604" s="3" t="str">
        <f aca="false">Raw_Data!E3604</f>
        <v>no</v>
      </c>
      <c r="G3604" s="3" t="n">
        <f aca="false">Raw_Data!F3604</f>
        <v>474</v>
      </c>
      <c r="H3604" s="3" t="str">
        <f aca="false">Raw_Data!G3604</f>
        <v>yes</v>
      </c>
      <c r="I3604" s="3" t="str">
        <f aca="false">Raw_Data!H3604</f>
        <v>no</v>
      </c>
      <c r="J3604" s="2" t="n">
        <f aca="false">IF(F3604="yes",1,0)</f>
        <v>0</v>
      </c>
      <c r="K3604" s="2" t="n">
        <f aca="false">IF(H3604="yes",1,0)</f>
        <v>1</v>
      </c>
      <c r="L3604" s="2" t="n">
        <f aca="false">IF(I3604="yes",1,0)</f>
        <v>0</v>
      </c>
      <c r="M3604" s="2" t="n">
        <f aca="false">IF(G3604&lt;0,1,0)</f>
        <v>0</v>
      </c>
      <c r="N3604" s="2" t="str">
        <f aca="false">_xlfn.IFS(B3604&lt;30,"Under 30",B3604&lt;40,"30-39",B3604&lt;50,"40-49",B3604&lt;60,"50-59",TRUE(),"60+")</f>
        <v>30-39</v>
      </c>
      <c r="O3604" s="2" t="str">
        <f aca="false">_xlfn.IFS(G3604&lt;0,"1 Negative",G3604=0,"2 Zero",G3604&lt;=500,"3 1-500",G3604&lt;=2000,"4 501-2000",TRUE(),"5 Above 2000")</f>
        <v>3 1-500</v>
      </c>
      <c r="P3604" s="2" t="n">
        <f aca="false">Lookups!$B$2*M3604+Lookups!$B$3*L3604</f>
        <v>0</v>
      </c>
      <c r="Q3604" s="2" t="str">
        <f aca="false">INDEX(Lookups!$E$2:$E$5,MATCH(P3604,Lookups!$D$2:$D$5,0))</f>
        <v>Low</v>
      </c>
    </row>
    <row r="3605" customFormat="false" ht="15" hidden="false" customHeight="false" outlineLevel="0" collapsed="false">
      <c r="A3605" s="3" t="n">
        <v>3604</v>
      </c>
      <c r="B3605" s="3" t="n">
        <f aca="false">Raw_Data!A3605</f>
        <v>44</v>
      </c>
      <c r="C3605" s="3" t="str">
        <f aca="false">SUBSTITUTE(Raw_Data!B3605,".","")</f>
        <v>blue-collar</v>
      </c>
      <c r="D3605" s="3" t="str">
        <f aca="false">Raw_Data!C3605</f>
        <v>married</v>
      </c>
      <c r="E3605" s="3" t="str">
        <f aca="false">Raw_Data!D3605</f>
        <v>secondary</v>
      </c>
      <c r="F3605" s="3" t="str">
        <f aca="false">Raw_Data!E3605</f>
        <v>no</v>
      </c>
      <c r="G3605" s="3" t="n">
        <f aca="false">Raw_Data!F3605</f>
        <v>16178</v>
      </c>
      <c r="H3605" s="3" t="str">
        <f aca="false">Raw_Data!G3605</f>
        <v>yes</v>
      </c>
      <c r="I3605" s="3" t="str">
        <f aca="false">Raw_Data!H3605</f>
        <v>no</v>
      </c>
      <c r="J3605" s="2" t="n">
        <f aca="false">IF(F3605="yes",1,0)</f>
        <v>0</v>
      </c>
      <c r="K3605" s="2" t="n">
        <f aca="false">IF(H3605="yes",1,0)</f>
        <v>1</v>
      </c>
      <c r="L3605" s="2" t="n">
        <f aca="false">IF(I3605="yes",1,0)</f>
        <v>0</v>
      </c>
      <c r="M3605" s="2" t="n">
        <f aca="false">IF(G3605&lt;0,1,0)</f>
        <v>0</v>
      </c>
      <c r="N3605" s="2" t="str">
        <f aca="false">_xlfn.IFS(B3605&lt;30,"Under 30",B3605&lt;40,"30-39",B3605&lt;50,"40-49",B3605&lt;60,"50-59",TRUE(),"60+")</f>
        <v>40-49</v>
      </c>
      <c r="O3605" s="2" t="str">
        <f aca="false">_xlfn.IFS(G3605&lt;0,"1 Negative",G3605=0,"2 Zero",G3605&lt;=500,"3 1-500",G3605&lt;=2000,"4 501-2000",TRUE(),"5 Above 2000")</f>
        <v>5 Above 2000</v>
      </c>
      <c r="P3605" s="2" t="n">
        <f aca="false">Lookups!$B$2*M3605+Lookups!$B$3*L3605</f>
        <v>0</v>
      </c>
      <c r="Q3605" s="2" t="str">
        <f aca="false">INDEX(Lookups!$E$2:$E$5,MATCH(P3605,Lookups!$D$2:$D$5,0))</f>
        <v>Low</v>
      </c>
    </row>
    <row r="3606" customFormat="false" ht="15" hidden="false" customHeight="false" outlineLevel="0" collapsed="false">
      <c r="A3606" s="3" t="n">
        <v>3605</v>
      </c>
      <c r="B3606" s="3" t="n">
        <f aca="false">Raw_Data!A3606</f>
        <v>36</v>
      </c>
      <c r="C3606" s="3" t="str">
        <f aca="false">SUBSTITUTE(Raw_Data!B3606,".","")</f>
        <v>technician</v>
      </c>
      <c r="D3606" s="3" t="str">
        <f aca="false">Raw_Data!C3606</f>
        <v>married</v>
      </c>
      <c r="E3606" s="3" t="str">
        <f aca="false">Raw_Data!D3606</f>
        <v>tertiary</v>
      </c>
      <c r="F3606" s="3" t="str">
        <f aca="false">Raw_Data!E3606</f>
        <v>no</v>
      </c>
      <c r="G3606" s="3" t="n">
        <f aca="false">Raw_Data!F3606</f>
        <v>0</v>
      </c>
      <c r="H3606" s="3" t="str">
        <f aca="false">Raw_Data!G3606</f>
        <v>no</v>
      </c>
      <c r="I3606" s="3" t="str">
        <f aca="false">Raw_Data!H3606</f>
        <v>no</v>
      </c>
      <c r="J3606" s="2" t="n">
        <f aca="false">IF(F3606="yes",1,0)</f>
        <v>0</v>
      </c>
      <c r="K3606" s="2" t="n">
        <f aca="false">IF(H3606="yes",1,0)</f>
        <v>0</v>
      </c>
      <c r="L3606" s="2" t="n">
        <f aca="false">IF(I3606="yes",1,0)</f>
        <v>0</v>
      </c>
      <c r="M3606" s="2" t="n">
        <f aca="false">IF(G3606&lt;0,1,0)</f>
        <v>0</v>
      </c>
      <c r="N3606" s="2" t="str">
        <f aca="false">_xlfn.IFS(B3606&lt;30,"Under 30",B3606&lt;40,"30-39",B3606&lt;50,"40-49",B3606&lt;60,"50-59",TRUE(),"60+")</f>
        <v>30-39</v>
      </c>
      <c r="O3606" s="2" t="str">
        <f aca="false">_xlfn.IFS(G3606&lt;0,"1 Negative",G3606=0,"2 Zero",G3606&lt;=500,"3 1-500",G3606&lt;=2000,"4 501-2000",TRUE(),"5 Above 2000")</f>
        <v>2 Zero</v>
      </c>
      <c r="P3606" s="2" t="n">
        <f aca="false">Lookups!$B$2*M3606+Lookups!$B$3*L3606</f>
        <v>0</v>
      </c>
      <c r="Q3606" s="2" t="str">
        <f aca="false">INDEX(Lookups!$E$2:$E$5,MATCH(P3606,Lookups!$D$2:$D$5,0))</f>
        <v>Low</v>
      </c>
    </row>
    <row r="3607" customFormat="false" ht="15" hidden="false" customHeight="false" outlineLevel="0" collapsed="false">
      <c r="A3607" s="3" t="n">
        <v>3606</v>
      </c>
      <c r="B3607" s="3" t="n">
        <f aca="false">Raw_Data!A3607</f>
        <v>27</v>
      </c>
      <c r="C3607" s="3" t="str">
        <f aca="false">SUBSTITUTE(Raw_Data!B3607,".","")</f>
        <v>management</v>
      </c>
      <c r="D3607" s="3" t="str">
        <f aca="false">Raw_Data!C3607</f>
        <v>single</v>
      </c>
      <c r="E3607" s="3" t="str">
        <f aca="false">Raw_Data!D3607</f>
        <v>tertiary</v>
      </c>
      <c r="F3607" s="3" t="str">
        <f aca="false">Raw_Data!E3607</f>
        <v>no</v>
      </c>
      <c r="G3607" s="3" t="n">
        <f aca="false">Raw_Data!F3607</f>
        <v>88</v>
      </c>
      <c r="H3607" s="3" t="str">
        <f aca="false">Raw_Data!G3607</f>
        <v>no</v>
      </c>
      <c r="I3607" s="3" t="str">
        <f aca="false">Raw_Data!H3607</f>
        <v>no</v>
      </c>
      <c r="J3607" s="2" t="n">
        <f aca="false">IF(F3607="yes",1,0)</f>
        <v>0</v>
      </c>
      <c r="K3607" s="2" t="n">
        <f aca="false">IF(H3607="yes",1,0)</f>
        <v>0</v>
      </c>
      <c r="L3607" s="2" t="n">
        <f aca="false">IF(I3607="yes",1,0)</f>
        <v>0</v>
      </c>
      <c r="M3607" s="2" t="n">
        <f aca="false">IF(G3607&lt;0,1,0)</f>
        <v>0</v>
      </c>
      <c r="N3607" s="2" t="str">
        <f aca="false">_xlfn.IFS(B3607&lt;30,"Under 30",B3607&lt;40,"30-39",B3607&lt;50,"40-49",B3607&lt;60,"50-59",TRUE(),"60+")</f>
        <v>Under 30</v>
      </c>
      <c r="O3607" s="2" t="str">
        <f aca="false">_xlfn.IFS(G3607&lt;0,"1 Negative",G3607=0,"2 Zero",G3607&lt;=500,"3 1-500",G3607&lt;=2000,"4 501-2000",TRUE(),"5 Above 2000")</f>
        <v>3 1-500</v>
      </c>
      <c r="P3607" s="2" t="n">
        <f aca="false">Lookups!$B$2*M3607+Lookups!$B$3*L3607</f>
        <v>0</v>
      </c>
      <c r="Q3607" s="2" t="str">
        <f aca="false">INDEX(Lookups!$E$2:$E$5,MATCH(P3607,Lookups!$D$2:$D$5,0))</f>
        <v>Low</v>
      </c>
    </row>
    <row r="3608" customFormat="false" ht="15" hidden="false" customHeight="false" outlineLevel="0" collapsed="false">
      <c r="A3608" s="3" t="n">
        <v>3607</v>
      </c>
      <c r="B3608" s="3" t="n">
        <f aca="false">Raw_Data!A3608</f>
        <v>29</v>
      </c>
      <c r="C3608" s="3" t="str">
        <f aca="false">SUBSTITUTE(Raw_Data!B3608,".","")</f>
        <v>services</v>
      </c>
      <c r="D3608" s="3" t="str">
        <f aca="false">Raw_Data!C3608</f>
        <v>married</v>
      </c>
      <c r="E3608" s="3" t="str">
        <f aca="false">Raw_Data!D3608</f>
        <v>secondary</v>
      </c>
      <c r="F3608" s="3" t="str">
        <f aca="false">Raw_Data!E3608</f>
        <v>no</v>
      </c>
      <c r="G3608" s="3" t="n">
        <f aca="false">Raw_Data!F3608</f>
        <v>308</v>
      </c>
      <c r="H3608" s="3" t="str">
        <f aca="false">Raw_Data!G3608</f>
        <v>yes</v>
      </c>
      <c r="I3608" s="3" t="str">
        <f aca="false">Raw_Data!H3608</f>
        <v>no</v>
      </c>
      <c r="J3608" s="2" t="n">
        <f aca="false">IF(F3608="yes",1,0)</f>
        <v>0</v>
      </c>
      <c r="K3608" s="2" t="n">
        <f aca="false">IF(H3608="yes",1,0)</f>
        <v>1</v>
      </c>
      <c r="L3608" s="2" t="n">
        <f aca="false">IF(I3608="yes",1,0)</f>
        <v>0</v>
      </c>
      <c r="M3608" s="2" t="n">
        <f aca="false">IF(G3608&lt;0,1,0)</f>
        <v>0</v>
      </c>
      <c r="N3608" s="2" t="str">
        <f aca="false">_xlfn.IFS(B3608&lt;30,"Under 30",B3608&lt;40,"30-39",B3608&lt;50,"40-49",B3608&lt;60,"50-59",TRUE(),"60+")</f>
        <v>Under 30</v>
      </c>
      <c r="O3608" s="2" t="str">
        <f aca="false">_xlfn.IFS(G3608&lt;0,"1 Negative",G3608=0,"2 Zero",G3608&lt;=500,"3 1-500",G3608&lt;=2000,"4 501-2000",TRUE(),"5 Above 2000")</f>
        <v>3 1-500</v>
      </c>
      <c r="P3608" s="2" t="n">
        <f aca="false">Lookups!$B$2*M3608+Lookups!$B$3*L3608</f>
        <v>0</v>
      </c>
      <c r="Q3608" s="2" t="str">
        <f aca="false">INDEX(Lookups!$E$2:$E$5,MATCH(P3608,Lookups!$D$2:$D$5,0))</f>
        <v>Low</v>
      </c>
    </row>
    <row r="3609" customFormat="false" ht="15" hidden="false" customHeight="false" outlineLevel="0" collapsed="false">
      <c r="A3609" s="3" t="n">
        <v>3608</v>
      </c>
      <c r="B3609" s="3" t="n">
        <f aca="false">Raw_Data!A3609</f>
        <v>70</v>
      </c>
      <c r="C3609" s="3" t="str">
        <f aca="false">SUBSTITUTE(Raw_Data!B3609,".","")</f>
        <v>retired</v>
      </c>
      <c r="D3609" s="3" t="str">
        <f aca="false">Raw_Data!C3609</f>
        <v>married</v>
      </c>
      <c r="E3609" s="3" t="str">
        <f aca="false">Raw_Data!D3609</f>
        <v>secondary</v>
      </c>
      <c r="F3609" s="3" t="str">
        <f aca="false">Raw_Data!E3609</f>
        <v>no</v>
      </c>
      <c r="G3609" s="3" t="n">
        <f aca="false">Raw_Data!F3609</f>
        <v>1164</v>
      </c>
      <c r="H3609" s="3" t="str">
        <f aca="false">Raw_Data!G3609</f>
        <v>no</v>
      </c>
      <c r="I3609" s="3" t="str">
        <f aca="false">Raw_Data!H3609</f>
        <v>no</v>
      </c>
      <c r="J3609" s="2" t="n">
        <f aca="false">IF(F3609="yes",1,0)</f>
        <v>0</v>
      </c>
      <c r="K3609" s="2" t="n">
        <f aca="false">IF(H3609="yes",1,0)</f>
        <v>0</v>
      </c>
      <c r="L3609" s="2" t="n">
        <f aca="false">IF(I3609="yes",1,0)</f>
        <v>0</v>
      </c>
      <c r="M3609" s="2" t="n">
        <f aca="false">IF(G3609&lt;0,1,0)</f>
        <v>0</v>
      </c>
      <c r="N3609" s="2" t="str">
        <f aca="false">_xlfn.IFS(B3609&lt;30,"Under 30",B3609&lt;40,"30-39",B3609&lt;50,"40-49",B3609&lt;60,"50-59",TRUE(),"60+")</f>
        <v>60+</v>
      </c>
      <c r="O3609" s="2" t="str">
        <f aca="false">_xlfn.IFS(G3609&lt;0,"1 Negative",G3609=0,"2 Zero",G3609&lt;=500,"3 1-500",G3609&lt;=2000,"4 501-2000",TRUE(),"5 Above 2000")</f>
        <v>4 501-2000</v>
      </c>
      <c r="P3609" s="2" t="n">
        <f aca="false">Lookups!$B$2*M3609+Lookups!$B$3*L3609</f>
        <v>0</v>
      </c>
      <c r="Q3609" s="2" t="str">
        <f aca="false">INDEX(Lookups!$E$2:$E$5,MATCH(P3609,Lookups!$D$2:$D$5,0))</f>
        <v>Low</v>
      </c>
    </row>
    <row r="3610" customFormat="false" ht="15" hidden="false" customHeight="false" outlineLevel="0" collapsed="false">
      <c r="A3610" s="3" t="n">
        <v>3609</v>
      </c>
      <c r="B3610" s="3" t="n">
        <f aca="false">Raw_Data!A3610</f>
        <v>44</v>
      </c>
      <c r="C3610" s="3" t="str">
        <f aca="false">SUBSTITUTE(Raw_Data!B3610,".","")</f>
        <v>management</v>
      </c>
      <c r="D3610" s="3" t="str">
        <f aca="false">Raw_Data!C3610</f>
        <v>married</v>
      </c>
      <c r="E3610" s="3" t="str">
        <f aca="false">Raw_Data!D3610</f>
        <v>tertiary</v>
      </c>
      <c r="F3610" s="3" t="str">
        <f aca="false">Raw_Data!E3610</f>
        <v>no</v>
      </c>
      <c r="G3610" s="3" t="n">
        <f aca="false">Raw_Data!F3610</f>
        <v>13893</v>
      </c>
      <c r="H3610" s="3" t="str">
        <f aca="false">Raw_Data!G3610</f>
        <v>no</v>
      </c>
      <c r="I3610" s="3" t="str">
        <f aca="false">Raw_Data!H3610</f>
        <v>no</v>
      </c>
      <c r="J3610" s="2" t="n">
        <f aca="false">IF(F3610="yes",1,0)</f>
        <v>0</v>
      </c>
      <c r="K3610" s="2" t="n">
        <f aca="false">IF(H3610="yes",1,0)</f>
        <v>0</v>
      </c>
      <c r="L3610" s="2" t="n">
        <f aca="false">IF(I3610="yes",1,0)</f>
        <v>0</v>
      </c>
      <c r="M3610" s="2" t="n">
        <f aca="false">IF(G3610&lt;0,1,0)</f>
        <v>0</v>
      </c>
      <c r="N3610" s="2" t="str">
        <f aca="false">_xlfn.IFS(B3610&lt;30,"Under 30",B3610&lt;40,"30-39",B3610&lt;50,"40-49",B3610&lt;60,"50-59",TRUE(),"60+")</f>
        <v>40-49</v>
      </c>
      <c r="O3610" s="2" t="str">
        <f aca="false">_xlfn.IFS(G3610&lt;0,"1 Negative",G3610=0,"2 Zero",G3610&lt;=500,"3 1-500",G3610&lt;=2000,"4 501-2000",TRUE(),"5 Above 2000")</f>
        <v>5 Above 2000</v>
      </c>
      <c r="P3610" s="2" t="n">
        <f aca="false">Lookups!$B$2*M3610+Lookups!$B$3*L3610</f>
        <v>0</v>
      </c>
      <c r="Q3610" s="2" t="str">
        <f aca="false">INDEX(Lookups!$E$2:$E$5,MATCH(P3610,Lookups!$D$2:$D$5,0))</f>
        <v>Low</v>
      </c>
    </row>
    <row r="3611" customFormat="false" ht="15" hidden="false" customHeight="false" outlineLevel="0" collapsed="false">
      <c r="A3611" s="3" t="n">
        <v>3610</v>
      </c>
      <c r="B3611" s="3" t="n">
        <f aca="false">Raw_Data!A3611</f>
        <v>55</v>
      </c>
      <c r="C3611" s="3" t="str">
        <f aca="false">SUBSTITUTE(Raw_Data!B3611,".","")</f>
        <v>management</v>
      </c>
      <c r="D3611" s="3" t="str">
        <f aca="false">Raw_Data!C3611</f>
        <v>married</v>
      </c>
      <c r="E3611" s="3" t="str">
        <f aca="false">Raw_Data!D3611</f>
        <v>tertiary</v>
      </c>
      <c r="F3611" s="3" t="str">
        <f aca="false">Raw_Data!E3611</f>
        <v>no</v>
      </c>
      <c r="G3611" s="3" t="n">
        <f aca="false">Raw_Data!F3611</f>
        <v>0</v>
      </c>
      <c r="H3611" s="3" t="str">
        <f aca="false">Raw_Data!G3611</f>
        <v>yes</v>
      </c>
      <c r="I3611" s="3" t="str">
        <f aca="false">Raw_Data!H3611</f>
        <v>no</v>
      </c>
      <c r="J3611" s="2" t="n">
        <f aca="false">IF(F3611="yes",1,0)</f>
        <v>0</v>
      </c>
      <c r="K3611" s="2" t="n">
        <f aca="false">IF(H3611="yes",1,0)</f>
        <v>1</v>
      </c>
      <c r="L3611" s="2" t="n">
        <f aca="false">IF(I3611="yes",1,0)</f>
        <v>0</v>
      </c>
      <c r="M3611" s="2" t="n">
        <f aca="false">IF(G3611&lt;0,1,0)</f>
        <v>0</v>
      </c>
      <c r="N3611" s="2" t="str">
        <f aca="false">_xlfn.IFS(B3611&lt;30,"Under 30",B3611&lt;40,"30-39",B3611&lt;50,"40-49",B3611&lt;60,"50-59",TRUE(),"60+")</f>
        <v>50-59</v>
      </c>
      <c r="O3611" s="2" t="str">
        <f aca="false">_xlfn.IFS(G3611&lt;0,"1 Negative",G3611=0,"2 Zero",G3611&lt;=500,"3 1-500",G3611&lt;=2000,"4 501-2000",TRUE(),"5 Above 2000")</f>
        <v>2 Zero</v>
      </c>
      <c r="P3611" s="2" t="n">
        <f aca="false">Lookups!$B$2*M3611+Lookups!$B$3*L3611</f>
        <v>0</v>
      </c>
      <c r="Q3611" s="2" t="str">
        <f aca="false">INDEX(Lookups!$E$2:$E$5,MATCH(P3611,Lookups!$D$2:$D$5,0))</f>
        <v>Low</v>
      </c>
    </row>
    <row r="3612" customFormat="false" ht="15" hidden="false" customHeight="false" outlineLevel="0" collapsed="false">
      <c r="A3612" s="3" t="n">
        <v>3611</v>
      </c>
      <c r="B3612" s="3" t="n">
        <f aca="false">Raw_Data!A3612</f>
        <v>36</v>
      </c>
      <c r="C3612" s="3" t="str">
        <f aca="false">SUBSTITUTE(Raw_Data!B3612,".","")</f>
        <v>technician</v>
      </c>
      <c r="D3612" s="3" t="str">
        <f aca="false">Raw_Data!C3612</f>
        <v>divorced</v>
      </c>
      <c r="E3612" s="3" t="str">
        <f aca="false">Raw_Data!D3612</f>
        <v>secondary</v>
      </c>
      <c r="F3612" s="3" t="str">
        <f aca="false">Raw_Data!E3612</f>
        <v>no</v>
      </c>
      <c r="G3612" s="3" t="n">
        <f aca="false">Raw_Data!F3612</f>
        <v>-435</v>
      </c>
      <c r="H3612" s="3" t="str">
        <f aca="false">Raw_Data!G3612</f>
        <v>yes</v>
      </c>
      <c r="I3612" s="3" t="str">
        <f aca="false">Raw_Data!H3612</f>
        <v>no</v>
      </c>
      <c r="J3612" s="2" t="n">
        <f aca="false">IF(F3612="yes",1,0)</f>
        <v>0</v>
      </c>
      <c r="K3612" s="2" t="n">
        <f aca="false">IF(H3612="yes",1,0)</f>
        <v>1</v>
      </c>
      <c r="L3612" s="2" t="n">
        <f aca="false">IF(I3612="yes",1,0)</f>
        <v>0</v>
      </c>
      <c r="M3612" s="2" t="n">
        <f aca="false">IF(G3612&lt;0,1,0)</f>
        <v>1</v>
      </c>
      <c r="N3612" s="2" t="str">
        <f aca="false">_xlfn.IFS(B3612&lt;30,"Under 30",B3612&lt;40,"30-39",B3612&lt;50,"40-49",B3612&lt;60,"50-59",TRUE(),"60+")</f>
        <v>30-39</v>
      </c>
      <c r="O3612" s="2" t="str">
        <f aca="false">_xlfn.IFS(G3612&lt;0,"1 Negative",G3612=0,"2 Zero",G3612&lt;=500,"3 1-500",G3612&lt;=2000,"4 501-2000",TRUE(),"5 Above 2000")</f>
        <v>1 Negative</v>
      </c>
      <c r="P3612" s="2" t="n">
        <f aca="false">Lookups!$B$2*M3612+Lookups!$B$3*L3612</f>
        <v>2</v>
      </c>
      <c r="Q3612" s="2" t="str">
        <f aca="false">INDEX(Lookups!$E$2:$E$5,MATCH(P3612,Lookups!$D$2:$D$5,0))</f>
        <v>High</v>
      </c>
    </row>
    <row r="3613" customFormat="false" ht="15" hidden="false" customHeight="false" outlineLevel="0" collapsed="false">
      <c r="A3613" s="3" t="n">
        <v>3612</v>
      </c>
      <c r="B3613" s="3" t="n">
        <f aca="false">Raw_Data!A3613</f>
        <v>28</v>
      </c>
      <c r="C3613" s="3" t="str">
        <f aca="false">SUBSTITUTE(Raw_Data!B3613,".","")</f>
        <v>technician</v>
      </c>
      <c r="D3613" s="3" t="str">
        <f aca="false">Raw_Data!C3613</f>
        <v>single</v>
      </c>
      <c r="E3613" s="3" t="str">
        <f aca="false">Raw_Data!D3613</f>
        <v>secondary</v>
      </c>
      <c r="F3613" s="3" t="str">
        <f aca="false">Raw_Data!E3613</f>
        <v>no</v>
      </c>
      <c r="G3613" s="3" t="n">
        <f aca="false">Raw_Data!F3613</f>
        <v>389</v>
      </c>
      <c r="H3613" s="3" t="str">
        <f aca="false">Raw_Data!G3613</f>
        <v>yes</v>
      </c>
      <c r="I3613" s="3" t="str">
        <f aca="false">Raw_Data!H3613</f>
        <v>no</v>
      </c>
      <c r="J3613" s="2" t="n">
        <f aca="false">IF(F3613="yes",1,0)</f>
        <v>0</v>
      </c>
      <c r="K3613" s="2" t="n">
        <f aca="false">IF(H3613="yes",1,0)</f>
        <v>1</v>
      </c>
      <c r="L3613" s="2" t="n">
        <f aca="false">IF(I3613="yes",1,0)</f>
        <v>0</v>
      </c>
      <c r="M3613" s="2" t="n">
        <f aca="false">IF(G3613&lt;0,1,0)</f>
        <v>0</v>
      </c>
      <c r="N3613" s="2" t="str">
        <f aca="false">_xlfn.IFS(B3613&lt;30,"Under 30",B3613&lt;40,"30-39",B3613&lt;50,"40-49",B3613&lt;60,"50-59",TRUE(),"60+")</f>
        <v>Under 30</v>
      </c>
      <c r="O3613" s="2" t="str">
        <f aca="false">_xlfn.IFS(G3613&lt;0,"1 Negative",G3613=0,"2 Zero",G3613&lt;=500,"3 1-500",G3613&lt;=2000,"4 501-2000",TRUE(),"5 Above 2000")</f>
        <v>3 1-500</v>
      </c>
      <c r="P3613" s="2" t="n">
        <f aca="false">Lookups!$B$2*M3613+Lookups!$B$3*L3613</f>
        <v>0</v>
      </c>
      <c r="Q3613" s="2" t="str">
        <f aca="false">INDEX(Lookups!$E$2:$E$5,MATCH(P3613,Lookups!$D$2:$D$5,0))</f>
        <v>Low</v>
      </c>
    </row>
    <row r="3614" customFormat="false" ht="15" hidden="false" customHeight="false" outlineLevel="0" collapsed="false">
      <c r="A3614" s="3" t="n">
        <v>3613</v>
      </c>
      <c r="B3614" s="3" t="n">
        <f aca="false">Raw_Data!A3614</f>
        <v>50</v>
      </c>
      <c r="C3614" s="3" t="str">
        <f aca="false">SUBSTITUTE(Raw_Data!B3614,".","")</f>
        <v>management</v>
      </c>
      <c r="D3614" s="3" t="str">
        <f aca="false">Raw_Data!C3614</f>
        <v>divorced</v>
      </c>
      <c r="E3614" s="3" t="str">
        <f aca="false">Raw_Data!D3614</f>
        <v>tertiary</v>
      </c>
      <c r="F3614" s="3" t="str">
        <f aca="false">Raw_Data!E3614</f>
        <v>no</v>
      </c>
      <c r="G3614" s="3" t="n">
        <f aca="false">Raw_Data!F3614</f>
        <v>356</v>
      </c>
      <c r="H3614" s="3" t="str">
        <f aca="false">Raw_Data!G3614</f>
        <v>no</v>
      </c>
      <c r="I3614" s="3" t="str">
        <f aca="false">Raw_Data!H3614</f>
        <v>no</v>
      </c>
      <c r="J3614" s="2" t="n">
        <f aca="false">IF(F3614="yes",1,0)</f>
        <v>0</v>
      </c>
      <c r="K3614" s="2" t="n">
        <f aca="false">IF(H3614="yes",1,0)</f>
        <v>0</v>
      </c>
      <c r="L3614" s="2" t="n">
        <f aca="false">IF(I3614="yes",1,0)</f>
        <v>0</v>
      </c>
      <c r="M3614" s="2" t="n">
        <f aca="false">IF(G3614&lt;0,1,0)</f>
        <v>0</v>
      </c>
      <c r="N3614" s="2" t="str">
        <f aca="false">_xlfn.IFS(B3614&lt;30,"Under 30",B3614&lt;40,"30-39",B3614&lt;50,"40-49",B3614&lt;60,"50-59",TRUE(),"60+")</f>
        <v>50-59</v>
      </c>
      <c r="O3614" s="2" t="str">
        <f aca="false">_xlfn.IFS(G3614&lt;0,"1 Negative",G3614=0,"2 Zero",G3614&lt;=500,"3 1-500",G3614&lt;=2000,"4 501-2000",TRUE(),"5 Above 2000")</f>
        <v>3 1-500</v>
      </c>
      <c r="P3614" s="2" t="n">
        <f aca="false">Lookups!$B$2*M3614+Lookups!$B$3*L3614</f>
        <v>0</v>
      </c>
      <c r="Q3614" s="2" t="str">
        <f aca="false">INDEX(Lookups!$E$2:$E$5,MATCH(P3614,Lookups!$D$2:$D$5,0))</f>
        <v>Low</v>
      </c>
    </row>
    <row r="3615" customFormat="false" ht="15" hidden="false" customHeight="false" outlineLevel="0" collapsed="false">
      <c r="A3615" s="3" t="n">
        <v>3614</v>
      </c>
      <c r="B3615" s="3" t="n">
        <f aca="false">Raw_Data!A3615</f>
        <v>49</v>
      </c>
      <c r="C3615" s="3" t="str">
        <f aca="false">SUBSTITUTE(Raw_Data!B3615,".","")</f>
        <v>technician</v>
      </c>
      <c r="D3615" s="3" t="str">
        <f aca="false">Raw_Data!C3615</f>
        <v>married</v>
      </c>
      <c r="E3615" s="3" t="str">
        <f aca="false">Raw_Data!D3615</f>
        <v>secondary</v>
      </c>
      <c r="F3615" s="3" t="str">
        <f aca="false">Raw_Data!E3615</f>
        <v>no</v>
      </c>
      <c r="G3615" s="3" t="n">
        <f aca="false">Raw_Data!F3615</f>
        <v>2718</v>
      </c>
      <c r="H3615" s="3" t="str">
        <f aca="false">Raw_Data!G3615</f>
        <v>no</v>
      </c>
      <c r="I3615" s="3" t="str">
        <f aca="false">Raw_Data!H3615</f>
        <v>no</v>
      </c>
      <c r="J3615" s="2" t="n">
        <f aca="false">IF(F3615="yes",1,0)</f>
        <v>0</v>
      </c>
      <c r="K3615" s="2" t="n">
        <f aca="false">IF(H3615="yes",1,0)</f>
        <v>0</v>
      </c>
      <c r="L3615" s="2" t="n">
        <f aca="false">IF(I3615="yes",1,0)</f>
        <v>0</v>
      </c>
      <c r="M3615" s="2" t="n">
        <f aca="false">IF(G3615&lt;0,1,0)</f>
        <v>0</v>
      </c>
      <c r="N3615" s="2" t="str">
        <f aca="false">_xlfn.IFS(B3615&lt;30,"Under 30",B3615&lt;40,"30-39",B3615&lt;50,"40-49",B3615&lt;60,"50-59",TRUE(),"60+")</f>
        <v>40-49</v>
      </c>
      <c r="O3615" s="2" t="str">
        <f aca="false">_xlfn.IFS(G3615&lt;0,"1 Negative",G3615=0,"2 Zero",G3615&lt;=500,"3 1-500",G3615&lt;=2000,"4 501-2000",TRUE(),"5 Above 2000")</f>
        <v>5 Above 2000</v>
      </c>
      <c r="P3615" s="2" t="n">
        <f aca="false">Lookups!$B$2*M3615+Lookups!$B$3*L3615</f>
        <v>0</v>
      </c>
      <c r="Q3615" s="2" t="str">
        <f aca="false">INDEX(Lookups!$E$2:$E$5,MATCH(P3615,Lookups!$D$2:$D$5,0))</f>
        <v>Low</v>
      </c>
    </row>
    <row r="3616" customFormat="false" ht="15" hidden="false" customHeight="false" outlineLevel="0" collapsed="false">
      <c r="A3616" s="3" t="n">
        <v>3615</v>
      </c>
      <c r="B3616" s="3" t="n">
        <f aca="false">Raw_Data!A3616</f>
        <v>71</v>
      </c>
      <c r="C3616" s="3" t="str">
        <f aca="false">SUBSTITUTE(Raw_Data!B3616,".","")</f>
        <v>retired</v>
      </c>
      <c r="D3616" s="3" t="str">
        <f aca="false">Raw_Data!C3616</f>
        <v>divorced</v>
      </c>
      <c r="E3616" s="3" t="str">
        <f aca="false">Raw_Data!D3616</f>
        <v>tertiary</v>
      </c>
      <c r="F3616" s="3" t="str">
        <f aca="false">Raw_Data!E3616</f>
        <v>no</v>
      </c>
      <c r="G3616" s="3" t="n">
        <f aca="false">Raw_Data!F3616</f>
        <v>261</v>
      </c>
      <c r="H3616" s="3" t="str">
        <f aca="false">Raw_Data!G3616</f>
        <v>no</v>
      </c>
      <c r="I3616" s="3" t="str">
        <f aca="false">Raw_Data!H3616</f>
        <v>no</v>
      </c>
      <c r="J3616" s="2" t="n">
        <f aca="false">IF(F3616="yes",1,0)</f>
        <v>0</v>
      </c>
      <c r="K3616" s="2" t="n">
        <f aca="false">IF(H3616="yes",1,0)</f>
        <v>0</v>
      </c>
      <c r="L3616" s="2" t="n">
        <f aca="false">IF(I3616="yes",1,0)</f>
        <v>0</v>
      </c>
      <c r="M3616" s="2" t="n">
        <f aca="false">IF(G3616&lt;0,1,0)</f>
        <v>0</v>
      </c>
      <c r="N3616" s="2" t="str">
        <f aca="false">_xlfn.IFS(B3616&lt;30,"Under 30",B3616&lt;40,"30-39",B3616&lt;50,"40-49",B3616&lt;60,"50-59",TRUE(),"60+")</f>
        <v>60+</v>
      </c>
      <c r="O3616" s="2" t="str">
        <f aca="false">_xlfn.IFS(G3616&lt;0,"1 Negative",G3616=0,"2 Zero",G3616&lt;=500,"3 1-500",G3616&lt;=2000,"4 501-2000",TRUE(),"5 Above 2000")</f>
        <v>3 1-500</v>
      </c>
      <c r="P3616" s="2" t="n">
        <f aca="false">Lookups!$B$2*M3616+Lookups!$B$3*L3616</f>
        <v>0</v>
      </c>
      <c r="Q3616" s="2" t="str">
        <f aca="false">INDEX(Lookups!$E$2:$E$5,MATCH(P3616,Lookups!$D$2:$D$5,0))</f>
        <v>Low</v>
      </c>
    </row>
    <row r="3617" customFormat="false" ht="15" hidden="false" customHeight="false" outlineLevel="0" collapsed="false">
      <c r="A3617" s="3" t="n">
        <v>3616</v>
      </c>
      <c r="B3617" s="3" t="n">
        <f aca="false">Raw_Data!A3617</f>
        <v>31</v>
      </c>
      <c r="C3617" s="3" t="str">
        <f aca="false">SUBSTITUTE(Raw_Data!B3617,".","")</f>
        <v>admin</v>
      </c>
      <c r="D3617" s="3" t="str">
        <f aca="false">Raw_Data!C3617</f>
        <v>single</v>
      </c>
      <c r="E3617" s="3" t="str">
        <f aca="false">Raw_Data!D3617</f>
        <v>secondary</v>
      </c>
      <c r="F3617" s="3" t="str">
        <f aca="false">Raw_Data!E3617</f>
        <v>no</v>
      </c>
      <c r="G3617" s="3" t="n">
        <f aca="false">Raw_Data!F3617</f>
        <v>757</v>
      </c>
      <c r="H3617" s="3" t="str">
        <f aca="false">Raw_Data!G3617</f>
        <v>no</v>
      </c>
      <c r="I3617" s="3" t="str">
        <f aca="false">Raw_Data!H3617</f>
        <v>no</v>
      </c>
      <c r="J3617" s="2" t="n">
        <f aca="false">IF(F3617="yes",1,0)</f>
        <v>0</v>
      </c>
      <c r="K3617" s="2" t="n">
        <f aca="false">IF(H3617="yes",1,0)</f>
        <v>0</v>
      </c>
      <c r="L3617" s="2" t="n">
        <f aca="false">IF(I3617="yes",1,0)</f>
        <v>0</v>
      </c>
      <c r="M3617" s="2" t="n">
        <f aca="false">IF(G3617&lt;0,1,0)</f>
        <v>0</v>
      </c>
      <c r="N3617" s="2" t="str">
        <f aca="false">_xlfn.IFS(B3617&lt;30,"Under 30",B3617&lt;40,"30-39",B3617&lt;50,"40-49",B3617&lt;60,"50-59",TRUE(),"60+")</f>
        <v>30-39</v>
      </c>
      <c r="O3617" s="2" t="str">
        <f aca="false">_xlfn.IFS(G3617&lt;0,"1 Negative",G3617=0,"2 Zero",G3617&lt;=500,"3 1-500",G3617&lt;=2000,"4 501-2000",TRUE(),"5 Above 2000")</f>
        <v>4 501-2000</v>
      </c>
      <c r="P3617" s="2" t="n">
        <f aca="false">Lookups!$B$2*M3617+Lookups!$B$3*L3617</f>
        <v>0</v>
      </c>
      <c r="Q3617" s="2" t="str">
        <f aca="false">INDEX(Lookups!$E$2:$E$5,MATCH(P3617,Lookups!$D$2:$D$5,0))</f>
        <v>Low</v>
      </c>
    </row>
    <row r="3618" customFormat="false" ht="15" hidden="false" customHeight="false" outlineLevel="0" collapsed="false">
      <c r="A3618" s="3" t="n">
        <v>3617</v>
      </c>
      <c r="B3618" s="3" t="n">
        <f aca="false">Raw_Data!A3618</f>
        <v>45</v>
      </c>
      <c r="C3618" s="3" t="str">
        <f aca="false">SUBSTITUTE(Raw_Data!B3618,".","")</f>
        <v>management</v>
      </c>
      <c r="D3618" s="3" t="str">
        <f aca="false">Raw_Data!C3618</f>
        <v>single</v>
      </c>
      <c r="E3618" s="3" t="str">
        <f aca="false">Raw_Data!D3618</f>
        <v>tertiary</v>
      </c>
      <c r="F3618" s="3" t="str">
        <f aca="false">Raw_Data!E3618</f>
        <v>no</v>
      </c>
      <c r="G3618" s="3" t="n">
        <f aca="false">Raw_Data!F3618</f>
        <v>16</v>
      </c>
      <c r="H3618" s="3" t="str">
        <f aca="false">Raw_Data!G3618</f>
        <v>no</v>
      </c>
      <c r="I3618" s="3" t="str">
        <f aca="false">Raw_Data!H3618</f>
        <v>no</v>
      </c>
      <c r="J3618" s="2" t="n">
        <f aca="false">IF(F3618="yes",1,0)</f>
        <v>0</v>
      </c>
      <c r="K3618" s="2" t="n">
        <f aca="false">IF(H3618="yes",1,0)</f>
        <v>0</v>
      </c>
      <c r="L3618" s="2" t="n">
        <f aca="false">IF(I3618="yes",1,0)</f>
        <v>0</v>
      </c>
      <c r="M3618" s="2" t="n">
        <f aca="false">IF(G3618&lt;0,1,0)</f>
        <v>0</v>
      </c>
      <c r="N3618" s="2" t="str">
        <f aca="false">_xlfn.IFS(B3618&lt;30,"Under 30",B3618&lt;40,"30-39",B3618&lt;50,"40-49",B3618&lt;60,"50-59",TRUE(),"60+")</f>
        <v>40-49</v>
      </c>
      <c r="O3618" s="2" t="str">
        <f aca="false">_xlfn.IFS(G3618&lt;0,"1 Negative",G3618=0,"2 Zero",G3618&lt;=500,"3 1-500",G3618&lt;=2000,"4 501-2000",TRUE(),"5 Above 2000")</f>
        <v>3 1-500</v>
      </c>
      <c r="P3618" s="2" t="n">
        <f aca="false">Lookups!$B$2*M3618+Lookups!$B$3*L3618</f>
        <v>0</v>
      </c>
      <c r="Q3618" s="2" t="str">
        <f aca="false">INDEX(Lookups!$E$2:$E$5,MATCH(P3618,Lookups!$D$2:$D$5,0))</f>
        <v>Low</v>
      </c>
    </row>
    <row r="3619" customFormat="false" ht="15" hidden="false" customHeight="false" outlineLevel="0" collapsed="false">
      <c r="A3619" s="3" t="n">
        <v>3618</v>
      </c>
      <c r="B3619" s="3" t="n">
        <f aca="false">Raw_Data!A3619</f>
        <v>42</v>
      </c>
      <c r="C3619" s="3" t="str">
        <f aca="false">SUBSTITUTE(Raw_Data!B3619,".","")</f>
        <v>blue-collar</v>
      </c>
      <c r="D3619" s="3" t="str">
        <f aca="false">Raw_Data!C3619</f>
        <v>married</v>
      </c>
      <c r="E3619" s="3" t="str">
        <f aca="false">Raw_Data!D3619</f>
        <v>secondary</v>
      </c>
      <c r="F3619" s="3" t="str">
        <f aca="false">Raw_Data!E3619</f>
        <v>no</v>
      </c>
      <c r="G3619" s="3" t="n">
        <f aca="false">Raw_Data!F3619</f>
        <v>-422</v>
      </c>
      <c r="H3619" s="3" t="str">
        <f aca="false">Raw_Data!G3619</f>
        <v>no</v>
      </c>
      <c r="I3619" s="3" t="str">
        <f aca="false">Raw_Data!H3619</f>
        <v>no</v>
      </c>
      <c r="J3619" s="2" t="n">
        <f aca="false">IF(F3619="yes",1,0)</f>
        <v>0</v>
      </c>
      <c r="K3619" s="2" t="n">
        <f aca="false">IF(H3619="yes",1,0)</f>
        <v>0</v>
      </c>
      <c r="L3619" s="2" t="n">
        <f aca="false">IF(I3619="yes",1,0)</f>
        <v>0</v>
      </c>
      <c r="M3619" s="2" t="n">
        <f aca="false">IF(G3619&lt;0,1,0)</f>
        <v>1</v>
      </c>
      <c r="N3619" s="2" t="str">
        <f aca="false">_xlfn.IFS(B3619&lt;30,"Under 30",B3619&lt;40,"30-39",B3619&lt;50,"40-49",B3619&lt;60,"50-59",TRUE(),"60+")</f>
        <v>40-49</v>
      </c>
      <c r="O3619" s="2" t="str">
        <f aca="false">_xlfn.IFS(G3619&lt;0,"1 Negative",G3619=0,"2 Zero",G3619&lt;=500,"3 1-500",G3619&lt;=2000,"4 501-2000",TRUE(),"5 Above 2000")</f>
        <v>1 Negative</v>
      </c>
      <c r="P3619" s="2" t="n">
        <f aca="false">Lookups!$B$2*M3619+Lookups!$B$3*L3619</f>
        <v>2</v>
      </c>
      <c r="Q3619" s="2" t="str">
        <f aca="false">INDEX(Lookups!$E$2:$E$5,MATCH(P3619,Lookups!$D$2:$D$5,0))</f>
        <v>High</v>
      </c>
    </row>
    <row r="3620" customFormat="false" ht="15" hidden="false" customHeight="false" outlineLevel="0" collapsed="false">
      <c r="A3620" s="3" t="n">
        <v>3619</v>
      </c>
      <c r="B3620" s="3" t="n">
        <f aca="false">Raw_Data!A3620</f>
        <v>45</v>
      </c>
      <c r="C3620" s="3" t="str">
        <f aca="false">SUBSTITUTE(Raw_Data!B3620,".","")</f>
        <v>admin</v>
      </c>
      <c r="D3620" s="3" t="str">
        <f aca="false">Raw_Data!C3620</f>
        <v>married</v>
      </c>
      <c r="E3620" s="3" t="str">
        <f aca="false">Raw_Data!D3620</f>
        <v>secondary</v>
      </c>
      <c r="F3620" s="3" t="str">
        <f aca="false">Raw_Data!E3620</f>
        <v>no</v>
      </c>
      <c r="G3620" s="3" t="n">
        <f aca="false">Raw_Data!F3620</f>
        <v>248</v>
      </c>
      <c r="H3620" s="3" t="str">
        <f aca="false">Raw_Data!G3620</f>
        <v>no</v>
      </c>
      <c r="I3620" s="3" t="str">
        <f aca="false">Raw_Data!H3620</f>
        <v>no</v>
      </c>
      <c r="J3620" s="2" t="n">
        <f aca="false">IF(F3620="yes",1,0)</f>
        <v>0</v>
      </c>
      <c r="K3620" s="2" t="n">
        <f aca="false">IF(H3620="yes",1,0)</f>
        <v>0</v>
      </c>
      <c r="L3620" s="2" t="n">
        <f aca="false">IF(I3620="yes",1,0)</f>
        <v>0</v>
      </c>
      <c r="M3620" s="2" t="n">
        <f aca="false">IF(G3620&lt;0,1,0)</f>
        <v>0</v>
      </c>
      <c r="N3620" s="2" t="str">
        <f aca="false">_xlfn.IFS(B3620&lt;30,"Under 30",B3620&lt;40,"30-39",B3620&lt;50,"40-49",B3620&lt;60,"50-59",TRUE(),"60+")</f>
        <v>40-49</v>
      </c>
      <c r="O3620" s="2" t="str">
        <f aca="false">_xlfn.IFS(G3620&lt;0,"1 Negative",G3620=0,"2 Zero",G3620&lt;=500,"3 1-500",G3620&lt;=2000,"4 501-2000",TRUE(),"5 Above 2000")</f>
        <v>3 1-500</v>
      </c>
      <c r="P3620" s="2" t="n">
        <f aca="false">Lookups!$B$2*M3620+Lookups!$B$3*L3620</f>
        <v>0</v>
      </c>
      <c r="Q3620" s="2" t="str">
        <f aca="false">INDEX(Lookups!$E$2:$E$5,MATCH(P3620,Lookups!$D$2:$D$5,0))</f>
        <v>Low</v>
      </c>
    </row>
    <row r="3621" customFormat="false" ht="15" hidden="false" customHeight="false" outlineLevel="0" collapsed="false">
      <c r="A3621" s="3" t="n">
        <v>3620</v>
      </c>
      <c r="B3621" s="3" t="n">
        <f aca="false">Raw_Data!A3621</f>
        <v>47</v>
      </c>
      <c r="C3621" s="3" t="str">
        <f aca="false">SUBSTITUTE(Raw_Data!B3621,".","")</f>
        <v>technician</v>
      </c>
      <c r="D3621" s="3" t="str">
        <f aca="false">Raw_Data!C3621</f>
        <v>married</v>
      </c>
      <c r="E3621" s="3" t="str">
        <f aca="false">Raw_Data!D3621</f>
        <v>primary</v>
      </c>
      <c r="F3621" s="3" t="str">
        <f aca="false">Raw_Data!E3621</f>
        <v>no</v>
      </c>
      <c r="G3621" s="3" t="n">
        <f aca="false">Raw_Data!F3621</f>
        <v>145</v>
      </c>
      <c r="H3621" s="3" t="str">
        <f aca="false">Raw_Data!G3621</f>
        <v>yes</v>
      </c>
      <c r="I3621" s="3" t="str">
        <f aca="false">Raw_Data!H3621</f>
        <v>no</v>
      </c>
      <c r="J3621" s="2" t="n">
        <f aca="false">IF(F3621="yes",1,0)</f>
        <v>0</v>
      </c>
      <c r="K3621" s="2" t="n">
        <f aca="false">IF(H3621="yes",1,0)</f>
        <v>1</v>
      </c>
      <c r="L3621" s="2" t="n">
        <f aca="false">IF(I3621="yes",1,0)</f>
        <v>0</v>
      </c>
      <c r="M3621" s="2" t="n">
        <f aca="false">IF(G3621&lt;0,1,0)</f>
        <v>0</v>
      </c>
      <c r="N3621" s="2" t="str">
        <f aca="false">_xlfn.IFS(B3621&lt;30,"Under 30",B3621&lt;40,"30-39",B3621&lt;50,"40-49",B3621&lt;60,"50-59",TRUE(),"60+")</f>
        <v>40-49</v>
      </c>
      <c r="O3621" s="2" t="str">
        <f aca="false">_xlfn.IFS(G3621&lt;0,"1 Negative",G3621=0,"2 Zero",G3621&lt;=500,"3 1-500",G3621&lt;=2000,"4 501-2000",TRUE(),"5 Above 2000")</f>
        <v>3 1-500</v>
      </c>
      <c r="P3621" s="2" t="n">
        <f aca="false">Lookups!$B$2*M3621+Lookups!$B$3*L3621</f>
        <v>0</v>
      </c>
      <c r="Q3621" s="2" t="str">
        <f aca="false">INDEX(Lookups!$E$2:$E$5,MATCH(P3621,Lookups!$D$2:$D$5,0))</f>
        <v>Low</v>
      </c>
    </row>
    <row r="3622" customFormat="false" ht="15" hidden="false" customHeight="false" outlineLevel="0" collapsed="false">
      <c r="A3622" s="3" t="n">
        <v>3621</v>
      </c>
      <c r="B3622" s="3" t="n">
        <f aca="false">Raw_Data!A3622</f>
        <v>60</v>
      </c>
      <c r="C3622" s="3" t="str">
        <f aca="false">SUBSTITUTE(Raw_Data!B3622,".","")</f>
        <v>retired</v>
      </c>
      <c r="D3622" s="3" t="str">
        <f aca="false">Raw_Data!C3622</f>
        <v>divorced</v>
      </c>
      <c r="E3622" s="3" t="str">
        <f aca="false">Raw_Data!D3622</f>
        <v>secondary</v>
      </c>
      <c r="F3622" s="3" t="str">
        <f aca="false">Raw_Data!E3622</f>
        <v>no</v>
      </c>
      <c r="G3622" s="3" t="n">
        <f aca="false">Raw_Data!F3622</f>
        <v>598</v>
      </c>
      <c r="H3622" s="3" t="str">
        <f aca="false">Raw_Data!G3622</f>
        <v>no</v>
      </c>
      <c r="I3622" s="3" t="str">
        <f aca="false">Raw_Data!H3622</f>
        <v>yes</v>
      </c>
      <c r="J3622" s="2" t="n">
        <f aca="false">IF(F3622="yes",1,0)</f>
        <v>0</v>
      </c>
      <c r="K3622" s="2" t="n">
        <f aca="false">IF(H3622="yes",1,0)</f>
        <v>0</v>
      </c>
      <c r="L3622" s="2" t="n">
        <f aca="false">IF(I3622="yes",1,0)</f>
        <v>1</v>
      </c>
      <c r="M3622" s="2" t="n">
        <f aca="false">IF(G3622&lt;0,1,0)</f>
        <v>0</v>
      </c>
      <c r="N3622" s="2" t="str">
        <f aca="false">_xlfn.IFS(B3622&lt;30,"Under 30",B3622&lt;40,"30-39",B3622&lt;50,"40-49",B3622&lt;60,"50-59",TRUE(),"60+")</f>
        <v>60+</v>
      </c>
      <c r="O3622" s="2" t="str">
        <f aca="false">_xlfn.IFS(G3622&lt;0,"1 Negative",G3622=0,"2 Zero",G3622&lt;=500,"3 1-500",G3622&lt;=2000,"4 501-2000",TRUE(),"5 Above 2000")</f>
        <v>4 501-2000</v>
      </c>
      <c r="P3622" s="2" t="n">
        <f aca="false">Lookups!$B$2*M3622+Lookups!$B$3*L3622</f>
        <v>1</v>
      </c>
      <c r="Q3622" s="2" t="str">
        <f aca="false">INDEX(Lookups!$E$2:$E$5,MATCH(P3622,Lookups!$D$2:$D$5,0))</f>
        <v>Medium</v>
      </c>
    </row>
    <row r="3623" customFormat="false" ht="15" hidden="false" customHeight="false" outlineLevel="0" collapsed="false">
      <c r="A3623" s="3" t="n">
        <v>3622</v>
      </c>
      <c r="B3623" s="3" t="n">
        <f aca="false">Raw_Data!A3623</f>
        <v>35</v>
      </c>
      <c r="C3623" s="3" t="str">
        <f aca="false">SUBSTITUTE(Raw_Data!B3623,".","")</f>
        <v>management</v>
      </c>
      <c r="D3623" s="3" t="str">
        <f aca="false">Raw_Data!C3623</f>
        <v>married</v>
      </c>
      <c r="E3623" s="3" t="str">
        <f aca="false">Raw_Data!D3623</f>
        <v>tertiary</v>
      </c>
      <c r="F3623" s="3" t="str">
        <f aca="false">Raw_Data!E3623</f>
        <v>no</v>
      </c>
      <c r="G3623" s="3" t="n">
        <f aca="false">Raw_Data!F3623</f>
        <v>949</v>
      </c>
      <c r="H3623" s="3" t="str">
        <f aca="false">Raw_Data!G3623</f>
        <v>yes</v>
      </c>
      <c r="I3623" s="3" t="str">
        <f aca="false">Raw_Data!H3623</f>
        <v>no</v>
      </c>
      <c r="J3623" s="2" t="n">
        <f aca="false">IF(F3623="yes",1,0)</f>
        <v>0</v>
      </c>
      <c r="K3623" s="2" t="n">
        <f aca="false">IF(H3623="yes",1,0)</f>
        <v>1</v>
      </c>
      <c r="L3623" s="2" t="n">
        <f aca="false">IF(I3623="yes",1,0)</f>
        <v>0</v>
      </c>
      <c r="M3623" s="2" t="n">
        <f aca="false">IF(G3623&lt;0,1,0)</f>
        <v>0</v>
      </c>
      <c r="N3623" s="2" t="str">
        <f aca="false">_xlfn.IFS(B3623&lt;30,"Under 30",B3623&lt;40,"30-39",B3623&lt;50,"40-49",B3623&lt;60,"50-59",TRUE(),"60+")</f>
        <v>30-39</v>
      </c>
      <c r="O3623" s="2" t="str">
        <f aca="false">_xlfn.IFS(G3623&lt;0,"1 Negative",G3623=0,"2 Zero",G3623&lt;=500,"3 1-500",G3623&lt;=2000,"4 501-2000",TRUE(),"5 Above 2000")</f>
        <v>4 501-2000</v>
      </c>
      <c r="P3623" s="2" t="n">
        <f aca="false">Lookups!$B$2*M3623+Lookups!$B$3*L3623</f>
        <v>0</v>
      </c>
      <c r="Q3623" s="2" t="str">
        <f aca="false">INDEX(Lookups!$E$2:$E$5,MATCH(P3623,Lookups!$D$2:$D$5,0))</f>
        <v>Low</v>
      </c>
    </row>
    <row r="3624" customFormat="false" ht="15" hidden="false" customHeight="false" outlineLevel="0" collapsed="false">
      <c r="A3624" s="3" t="n">
        <v>3623</v>
      </c>
      <c r="B3624" s="3" t="n">
        <f aca="false">Raw_Data!A3624</f>
        <v>31</v>
      </c>
      <c r="C3624" s="3" t="str">
        <f aca="false">SUBSTITUTE(Raw_Data!B3624,".","")</f>
        <v>technician</v>
      </c>
      <c r="D3624" s="3" t="str">
        <f aca="false">Raw_Data!C3624</f>
        <v>single</v>
      </c>
      <c r="E3624" s="3" t="str">
        <f aca="false">Raw_Data!D3624</f>
        <v>tertiary</v>
      </c>
      <c r="F3624" s="3" t="str">
        <f aca="false">Raw_Data!E3624</f>
        <v>no</v>
      </c>
      <c r="G3624" s="3" t="n">
        <f aca="false">Raw_Data!F3624</f>
        <v>614</v>
      </c>
      <c r="H3624" s="3" t="str">
        <f aca="false">Raw_Data!G3624</f>
        <v>no</v>
      </c>
      <c r="I3624" s="3" t="str">
        <f aca="false">Raw_Data!H3624</f>
        <v>no</v>
      </c>
      <c r="J3624" s="2" t="n">
        <f aca="false">IF(F3624="yes",1,0)</f>
        <v>0</v>
      </c>
      <c r="K3624" s="2" t="n">
        <f aca="false">IF(H3624="yes",1,0)</f>
        <v>0</v>
      </c>
      <c r="L3624" s="2" t="n">
        <f aca="false">IF(I3624="yes",1,0)</f>
        <v>0</v>
      </c>
      <c r="M3624" s="2" t="n">
        <f aca="false">IF(G3624&lt;0,1,0)</f>
        <v>0</v>
      </c>
      <c r="N3624" s="2" t="str">
        <f aca="false">_xlfn.IFS(B3624&lt;30,"Under 30",B3624&lt;40,"30-39",B3624&lt;50,"40-49",B3624&lt;60,"50-59",TRUE(),"60+")</f>
        <v>30-39</v>
      </c>
      <c r="O3624" s="2" t="str">
        <f aca="false">_xlfn.IFS(G3624&lt;0,"1 Negative",G3624=0,"2 Zero",G3624&lt;=500,"3 1-500",G3624&lt;=2000,"4 501-2000",TRUE(),"5 Above 2000")</f>
        <v>4 501-2000</v>
      </c>
      <c r="P3624" s="2" t="n">
        <f aca="false">Lookups!$B$2*M3624+Lookups!$B$3*L3624</f>
        <v>0</v>
      </c>
      <c r="Q3624" s="2" t="str">
        <f aca="false">INDEX(Lookups!$E$2:$E$5,MATCH(P3624,Lookups!$D$2:$D$5,0))</f>
        <v>Low</v>
      </c>
    </row>
    <row r="3625" customFormat="false" ht="15" hidden="false" customHeight="false" outlineLevel="0" collapsed="false">
      <c r="A3625" s="3" t="n">
        <v>3624</v>
      </c>
      <c r="B3625" s="3" t="n">
        <f aca="false">Raw_Data!A3625</f>
        <v>33</v>
      </c>
      <c r="C3625" s="3" t="str">
        <f aca="false">SUBSTITUTE(Raw_Data!B3625,".","")</f>
        <v>blue-collar</v>
      </c>
      <c r="D3625" s="3" t="str">
        <f aca="false">Raw_Data!C3625</f>
        <v>married</v>
      </c>
      <c r="E3625" s="3" t="str">
        <f aca="false">Raw_Data!D3625</f>
        <v>primary</v>
      </c>
      <c r="F3625" s="3" t="str">
        <f aca="false">Raw_Data!E3625</f>
        <v>no</v>
      </c>
      <c r="G3625" s="3" t="n">
        <f aca="false">Raw_Data!F3625</f>
        <v>1209</v>
      </c>
      <c r="H3625" s="3" t="str">
        <f aca="false">Raw_Data!G3625</f>
        <v>yes</v>
      </c>
      <c r="I3625" s="3" t="str">
        <f aca="false">Raw_Data!H3625</f>
        <v>no</v>
      </c>
      <c r="J3625" s="2" t="n">
        <f aca="false">IF(F3625="yes",1,0)</f>
        <v>0</v>
      </c>
      <c r="K3625" s="2" t="n">
        <f aca="false">IF(H3625="yes",1,0)</f>
        <v>1</v>
      </c>
      <c r="L3625" s="2" t="n">
        <f aca="false">IF(I3625="yes",1,0)</f>
        <v>0</v>
      </c>
      <c r="M3625" s="2" t="n">
        <f aca="false">IF(G3625&lt;0,1,0)</f>
        <v>0</v>
      </c>
      <c r="N3625" s="2" t="str">
        <f aca="false">_xlfn.IFS(B3625&lt;30,"Under 30",B3625&lt;40,"30-39",B3625&lt;50,"40-49",B3625&lt;60,"50-59",TRUE(),"60+")</f>
        <v>30-39</v>
      </c>
      <c r="O3625" s="2" t="str">
        <f aca="false">_xlfn.IFS(G3625&lt;0,"1 Negative",G3625=0,"2 Zero",G3625&lt;=500,"3 1-500",G3625&lt;=2000,"4 501-2000",TRUE(),"5 Above 2000")</f>
        <v>4 501-2000</v>
      </c>
      <c r="P3625" s="2" t="n">
        <f aca="false">Lookups!$B$2*M3625+Lookups!$B$3*L3625</f>
        <v>0</v>
      </c>
      <c r="Q3625" s="2" t="str">
        <f aca="false">INDEX(Lookups!$E$2:$E$5,MATCH(P3625,Lookups!$D$2:$D$5,0))</f>
        <v>Low</v>
      </c>
    </row>
    <row r="3626" customFormat="false" ht="15" hidden="false" customHeight="false" outlineLevel="0" collapsed="false">
      <c r="A3626" s="3" t="n">
        <v>3625</v>
      </c>
      <c r="B3626" s="3" t="n">
        <f aca="false">Raw_Data!A3626</f>
        <v>50</v>
      </c>
      <c r="C3626" s="3" t="str">
        <f aca="false">SUBSTITUTE(Raw_Data!B3626,".","")</f>
        <v>self-employed</v>
      </c>
      <c r="D3626" s="3" t="str">
        <f aca="false">Raw_Data!C3626</f>
        <v>married</v>
      </c>
      <c r="E3626" s="3" t="str">
        <f aca="false">Raw_Data!D3626</f>
        <v>tertiary</v>
      </c>
      <c r="F3626" s="3" t="str">
        <f aca="false">Raw_Data!E3626</f>
        <v>no</v>
      </c>
      <c r="G3626" s="3" t="n">
        <f aca="false">Raw_Data!F3626</f>
        <v>202</v>
      </c>
      <c r="H3626" s="3" t="str">
        <f aca="false">Raw_Data!G3626</f>
        <v>yes</v>
      </c>
      <c r="I3626" s="3" t="str">
        <f aca="false">Raw_Data!H3626</f>
        <v>no</v>
      </c>
      <c r="J3626" s="2" t="n">
        <f aca="false">IF(F3626="yes",1,0)</f>
        <v>0</v>
      </c>
      <c r="K3626" s="2" t="n">
        <f aca="false">IF(H3626="yes",1,0)</f>
        <v>1</v>
      </c>
      <c r="L3626" s="2" t="n">
        <f aca="false">IF(I3626="yes",1,0)</f>
        <v>0</v>
      </c>
      <c r="M3626" s="2" t="n">
        <f aca="false">IF(G3626&lt;0,1,0)</f>
        <v>0</v>
      </c>
      <c r="N3626" s="2" t="str">
        <f aca="false">_xlfn.IFS(B3626&lt;30,"Under 30",B3626&lt;40,"30-39",B3626&lt;50,"40-49",B3626&lt;60,"50-59",TRUE(),"60+")</f>
        <v>50-59</v>
      </c>
      <c r="O3626" s="2" t="str">
        <f aca="false">_xlfn.IFS(G3626&lt;0,"1 Negative",G3626=0,"2 Zero",G3626&lt;=500,"3 1-500",G3626&lt;=2000,"4 501-2000",TRUE(),"5 Above 2000")</f>
        <v>3 1-500</v>
      </c>
      <c r="P3626" s="2" t="n">
        <f aca="false">Lookups!$B$2*M3626+Lookups!$B$3*L3626</f>
        <v>0</v>
      </c>
      <c r="Q3626" s="2" t="str">
        <f aca="false">INDEX(Lookups!$E$2:$E$5,MATCH(P3626,Lookups!$D$2:$D$5,0))</f>
        <v>Low</v>
      </c>
    </row>
    <row r="3627" customFormat="false" ht="15" hidden="false" customHeight="false" outlineLevel="0" collapsed="false">
      <c r="A3627" s="3" t="n">
        <v>3626</v>
      </c>
      <c r="B3627" s="3" t="n">
        <f aca="false">Raw_Data!A3627</f>
        <v>51</v>
      </c>
      <c r="C3627" s="3" t="str">
        <f aca="false">SUBSTITUTE(Raw_Data!B3627,".","")</f>
        <v>blue-collar</v>
      </c>
      <c r="D3627" s="3" t="str">
        <f aca="false">Raw_Data!C3627</f>
        <v>married</v>
      </c>
      <c r="E3627" s="3" t="str">
        <f aca="false">Raw_Data!D3627</f>
        <v>secondary</v>
      </c>
      <c r="F3627" s="3" t="str">
        <f aca="false">Raw_Data!E3627</f>
        <v>no</v>
      </c>
      <c r="G3627" s="3" t="n">
        <f aca="false">Raw_Data!F3627</f>
        <v>1840</v>
      </c>
      <c r="H3627" s="3" t="str">
        <f aca="false">Raw_Data!G3627</f>
        <v>yes</v>
      </c>
      <c r="I3627" s="3" t="str">
        <f aca="false">Raw_Data!H3627</f>
        <v>no</v>
      </c>
      <c r="J3627" s="2" t="n">
        <f aca="false">IF(F3627="yes",1,0)</f>
        <v>0</v>
      </c>
      <c r="K3627" s="2" t="n">
        <f aca="false">IF(H3627="yes",1,0)</f>
        <v>1</v>
      </c>
      <c r="L3627" s="2" t="n">
        <f aca="false">IF(I3627="yes",1,0)</f>
        <v>0</v>
      </c>
      <c r="M3627" s="2" t="n">
        <f aca="false">IF(G3627&lt;0,1,0)</f>
        <v>0</v>
      </c>
      <c r="N3627" s="2" t="str">
        <f aca="false">_xlfn.IFS(B3627&lt;30,"Under 30",B3627&lt;40,"30-39",B3627&lt;50,"40-49",B3627&lt;60,"50-59",TRUE(),"60+")</f>
        <v>50-59</v>
      </c>
      <c r="O3627" s="2" t="str">
        <f aca="false">_xlfn.IFS(G3627&lt;0,"1 Negative",G3627=0,"2 Zero",G3627&lt;=500,"3 1-500",G3627&lt;=2000,"4 501-2000",TRUE(),"5 Above 2000")</f>
        <v>4 501-2000</v>
      </c>
      <c r="P3627" s="2" t="n">
        <f aca="false">Lookups!$B$2*M3627+Lookups!$B$3*L3627</f>
        <v>0</v>
      </c>
      <c r="Q3627" s="2" t="str">
        <f aca="false">INDEX(Lookups!$E$2:$E$5,MATCH(P3627,Lookups!$D$2:$D$5,0))</f>
        <v>Low</v>
      </c>
    </row>
    <row r="3628" customFormat="false" ht="15" hidden="false" customHeight="false" outlineLevel="0" collapsed="false">
      <c r="A3628" s="3" t="n">
        <v>3627</v>
      </c>
      <c r="B3628" s="3" t="n">
        <f aca="false">Raw_Data!A3628</f>
        <v>34</v>
      </c>
      <c r="C3628" s="3" t="str">
        <f aca="false">SUBSTITUTE(Raw_Data!B3628,".","")</f>
        <v>technician</v>
      </c>
      <c r="D3628" s="3" t="str">
        <f aca="false">Raw_Data!C3628</f>
        <v>married</v>
      </c>
      <c r="E3628" s="3" t="str">
        <f aca="false">Raw_Data!D3628</f>
        <v>secondary</v>
      </c>
      <c r="F3628" s="3" t="str">
        <f aca="false">Raw_Data!E3628</f>
        <v>no</v>
      </c>
      <c r="G3628" s="3" t="n">
        <f aca="false">Raw_Data!F3628</f>
        <v>114</v>
      </c>
      <c r="H3628" s="3" t="str">
        <f aca="false">Raw_Data!G3628</f>
        <v>yes</v>
      </c>
      <c r="I3628" s="3" t="str">
        <f aca="false">Raw_Data!H3628</f>
        <v>yes</v>
      </c>
      <c r="J3628" s="2" t="n">
        <f aca="false">IF(F3628="yes",1,0)</f>
        <v>0</v>
      </c>
      <c r="K3628" s="2" t="n">
        <f aca="false">IF(H3628="yes",1,0)</f>
        <v>1</v>
      </c>
      <c r="L3628" s="2" t="n">
        <f aca="false">IF(I3628="yes",1,0)</f>
        <v>1</v>
      </c>
      <c r="M3628" s="2" t="n">
        <f aca="false">IF(G3628&lt;0,1,0)</f>
        <v>0</v>
      </c>
      <c r="N3628" s="2" t="str">
        <f aca="false">_xlfn.IFS(B3628&lt;30,"Under 30",B3628&lt;40,"30-39",B3628&lt;50,"40-49",B3628&lt;60,"50-59",TRUE(),"60+")</f>
        <v>30-39</v>
      </c>
      <c r="O3628" s="2" t="str">
        <f aca="false">_xlfn.IFS(G3628&lt;0,"1 Negative",G3628=0,"2 Zero",G3628&lt;=500,"3 1-500",G3628&lt;=2000,"4 501-2000",TRUE(),"5 Above 2000")</f>
        <v>3 1-500</v>
      </c>
      <c r="P3628" s="2" t="n">
        <f aca="false">Lookups!$B$2*M3628+Lookups!$B$3*L3628</f>
        <v>1</v>
      </c>
      <c r="Q3628" s="2" t="str">
        <f aca="false">INDEX(Lookups!$E$2:$E$5,MATCH(P3628,Lookups!$D$2:$D$5,0))</f>
        <v>Medium</v>
      </c>
    </row>
    <row r="3629" customFormat="false" ht="15" hidden="false" customHeight="false" outlineLevel="0" collapsed="false">
      <c r="A3629" s="3" t="n">
        <v>3628</v>
      </c>
      <c r="B3629" s="3" t="n">
        <f aca="false">Raw_Data!A3629</f>
        <v>56</v>
      </c>
      <c r="C3629" s="3" t="str">
        <f aca="false">SUBSTITUTE(Raw_Data!B3629,".","")</f>
        <v>services</v>
      </c>
      <c r="D3629" s="3" t="str">
        <f aca="false">Raw_Data!C3629</f>
        <v>married</v>
      </c>
      <c r="E3629" s="3" t="str">
        <f aca="false">Raw_Data!D3629</f>
        <v>secondary</v>
      </c>
      <c r="F3629" s="3" t="str">
        <f aca="false">Raw_Data!E3629</f>
        <v>no</v>
      </c>
      <c r="G3629" s="3" t="n">
        <f aca="false">Raw_Data!F3629</f>
        <v>-229</v>
      </c>
      <c r="H3629" s="3" t="str">
        <f aca="false">Raw_Data!G3629</f>
        <v>no</v>
      </c>
      <c r="I3629" s="3" t="str">
        <f aca="false">Raw_Data!H3629</f>
        <v>yes</v>
      </c>
      <c r="J3629" s="2" t="n">
        <f aca="false">IF(F3629="yes",1,0)</f>
        <v>0</v>
      </c>
      <c r="K3629" s="2" t="n">
        <f aca="false">IF(H3629="yes",1,0)</f>
        <v>0</v>
      </c>
      <c r="L3629" s="2" t="n">
        <f aca="false">IF(I3629="yes",1,0)</f>
        <v>1</v>
      </c>
      <c r="M3629" s="2" t="n">
        <f aca="false">IF(G3629&lt;0,1,0)</f>
        <v>1</v>
      </c>
      <c r="N3629" s="2" t="str">
        <f aca="false">_xlfn.IFS(B3629&lt;30,"Under 30",B3629&lt;40,"30-39",B3629&lt;50,"40-49",B3629&lt;60,"50-59",TRUE(),"60+")</f>
        <v>50-59</v>
      </c>
      <c r="O3629" s="2" t="str">
        <f aca="false">_xlfn.IFS(G3629&lt;0,"1 Negative",G3629=0,"2 Zero",G3629&lt;=500,"3 1-500",G3629&lt;=2000,"4 501-2000",TRUE(),"5 Above 2000")</f>
        <v>1 Negative</v>
      </c>
      <c r="P3629" s="2" t="n">
        <f aca="false">Lookups!$B$2*M3629+Lookups!$B$3*L3629</f>
        <v>3</v>
      </c>
      <c r="Q3629" s="2" t="str">
        <f aca="false">INDEX(Lookups!$E$2:$E$5,MATCH(P3629,Lookups!$D$2:$D$5,0))</f>
        <v>High</v>
      </c>
    </row>
    <row r="3630" customFormat="false" ht="15" hidden="false" customHeight="false" outlineLevel="0" collapsed="false">
      <c r="A3630" s="3" t="n">
        <v>3629</v>
      </c>
      <c r="B3630" s="3" t="n">
        <f aca="false">Raw_Data!A3630</f>
        <v>29</v>
      </c>
      <c r="C3630" s="3" t="str">
        <f aca="false">SUBSTITUTE(Raw_Data!B3630,".","")</f>
        <v>services</v>
      </c>
      <c r="D3630" s="3" t="str">
        <f aca="false">Raw_Data!C3630</f>
        <v>married</v>
      </c>
      <c r="E3630" s="3" t="str">
        <f aca="false">Raw_Data!D3630</f>
        <v>secondary</v>
      </c>
      <c r="F3630" s="3" t="str">
        <f aca="false">Raw_Data!E3630</f>
        <v>no</v>
      </c>
      <c r="G3630" s="3" t="n">
        <f aca="false">Raw_Data!F3630</f>
        <v>182</v>
      </c>
      <c r="H3630" s="3" t="str">
        <f aca="false">Raw_Data!G3630</f>
        <v>yes</v>
      </c>
      <c r="I3630" s="3" t="str">
        <f aca="false">Raw_Data!H3630</f>
        <v>no</v>
      </c>
      <c r="J3630" s="2" t="n">
        <f aca="false">IF(F3630="yes",1,0)</f>
        <v>0</v>
      </c>
      <c r="K3630" s="2" t="n">
        <f aca="false">IF(H3630="yes",1,0)</f>
        <v>1</v>
      </c>
      <c r="L3630" s="2" t="n">
        <f aca="false">IF(I3630="yes",1,0)</f>
        <v>0</v>
      </c>
      <c r="M3630" s="2" t="n">
        <f aca="false">IF(G3630&lt;0,1,0)</f>
        <v>0</v>
      </c>
      <c r="N3630" s="2" t="str">
        <f aca="false">_xlfn.IFS(B3630&lt;30,"Under 30",B3630&lt;40,"30-39",B3630&lt;50,"40-49",B3630&lt;60,"50-59",TRUE(),"60+")</f>
        <v>Under 30</v>
      </c>
      <c r="O3630" s="2" t="str">
        <f aca="false">_xlfn.IFS(G3630&lt;0,"1 Negative",G3630=0,"2 Zero",G3630&lt;=500,"3 1-500",G3630&lt;=2000,"4 501-2000",TRUE(),"5 Above 2000")</f>
        <v>3 1-500</v>
      </c>
      <c r="P3630" s="2" t="n">
        <f aca="false">Lookups!$B$2*M3630+Lookups!$B$3*L3630</f>
        <v>0</v>
      </c>
      <c r="Q3630" s="2" t="str">
        <f aca="false">INDEX(Lookups!$E$2:$E$5,MATCH(P3630,Lookups!$D$2:$D$5,0))</f>
        <v>Low</v>
      </c>
    </row>
    <row r="3631" customFormat="false" ht="15" hidden="false" customHeight="false" outlineLevel="0" collapsed="false">
      <c r="A3631" s="3" t="n">
        <v>3630</v>
      </c>
      <c r="B3631" s="3" t="n">
        <f aca="false">Raw_Data!A3631</f>
        <v>31</v>
      </c>
      <c r="C3631" s="3" t="str">
        <f aca="false">SUBSTITUTE(Raw_Data!B3631,".","")</f>
        <v>blue-collar</v>
      </c>
      <c r="D3631" s="3" t="str">
        <f aca="false">Raw_Data!C3631</f>
        <v>married</v>
      </c>
      <c r="E3631" s="3" t="str">
        <f aca="false">Raw_Data!D3631</f>
        <v>secondary</v>
      </c>
      <c r="F3631" s="3" t="str">
        <f aca="false">Raw_Data!E3631</f>
        <v>no</v>
      </c>
      <c r="G3631" s="3" t="n">
        <f aca="false">Raw_Data!F3631</f>
        <v>401</v>
      </c>
      <c r="H3631" s="3" t="str">
        <f aca="false">Raw_Data!G3631</f>
        <v>no</v>
      </c>
      <c r="I3631" s="3" t="str">
        <f aca="false">Raw_Data!H3631</f>
        <v>no</v>
      </c>
      <c r="J3631" s="2" t="n">
        <f aca="false">IF(F3631="yes",1,0)</f>
        <v>0</v>
      </c>
      <c r="K3631" s="2" t="n">
        <f aca="false">IF(H3631="yes",1,0)</f>
        <v>0</v>
      </c>
      <c r="L3631" s="2" t="n">
        <f aca="false">IF(I3631="yes",1,0)</f>
        <v>0</v>
      </c>
      <c r="M3631" s="2" t="n">
        <f aca="false">IF(G3631&lt;0,1,0)</f>
        <v>0</v>
      </c>
      <c r="N3631" s="2" t="str">
        <f aca="false">_xlfn.IFS(B3631&lt;30,"Under 30",B3631&lt;40,"30-39",B3631&lt;50,"40-49",B3631&lt;60,"50-59",TRUE(),"60+")</f>
        <v>30-39</v>
      </c>
      <c r="O3631" s="2" t="str">
        <f aca="false">_xlfn.IFS(G3631&lt;0,"1 Negative",G3631=0,"2 Zero",G3631&lt;=500,"3 1-500",G3631&lt;=2000,"4 501-2000",TRUE(),"5 Above 2000")</f>
        <v>3 1-500</v>
      </c>
      <c r="P3631" s="2" t="n">
        <f aca="false">Lookups!$B$2*M3631+Lookups!$B$3*L3631</f>
        <v>0</v>
      </c>
      <c r="Q3631" s="2" t="str">
        <f aca="false">INDEX(Lookups!$E$2:$E$5,MATCH(P3631,Lookups!$D$2:$D$5,0))</f>
        <v>Low</v>
      </c>
    </row>
    <row r="3632" customFormat="false" ht="15" hidden="false" customHeight="false" outlineLevel="0" collapsed="false">
      <c r="A3632" s="3" t="n">
        <v>3631</v>
      </c>
      <c r="B3632" s="3" t="n">
        <f aca="false">Raw_Data!A3632</f>
        <v>44</v>
      </c>
      <c r="C3632" s="3" t="str">
        <f aca="false">SUBSTITUTE(Raw_Data!B3632,".","")</f>
        <v>technician</v>
      </c>
      <c r="D3632" s="3" t="str">
        <f aca="false">Raw_Data!C3632</f>
        <v>divorced</v>
      </c>
      <c r="E3632" s="3" t="str">
        <f aca="false">Raw_Data!D3632</f>
        <v>unknown</v>
      </c>
      <c r="F3632" s="3" t="str">
        <f aca="false">Raw_Data!E3632</f>
        <v>no</v>
      </c>
      <c r="G3632" s="3" t="n">
        <f aca="false">Raw_Data!F3632</f>
        <v>759</v>
      </c>
      <c r="H3632" s="3" t="str">
        <f aca="false">Raw_Data!G3632</f>
        <v>yes</v>
      </c>
      <c r="I3632" s="3" t="str">
        <f aca="false">Raw_Data!H3632</f>
        <v>no</v>
      </c>
      <c r="J3632" s="2" t="n">
        <f aca="false">IF(F3632="yes",1,0)</f>
        <v>0</v>
      </c>
      <c r="K3632" s="2" t="n">
        <f aca="false">IF(H3632="yes",1,0)</f>
        <v>1</v>
      </c>
      <c r="L3632" s="2" t="n">
        <f aca="false">IF(I3632="yes",1,0)</f>
        <v>0</v>
      </c>
      <c r="M3632" s="2" t="n">
        <f aca="false">IF(G3632&lt;0,1,0)</f>
        <v>0</v>
      </c>
      <c r="N3632" s="2" t="str">
        <f aca="false">_xlfn.IFS(B3632&lt;30,"Under 30",B3632&lt;40,"30-39",B3632&lt;50,"40-49",B3632&lt;60,"50-59",TRUE(),"60+")</f>
        <v>40-49</v>
      </c>
      <c r="O3632" s="2" t="str">
        <f aca="false">_xlfn.IFS(G3632&lt;0,"1 Negative",G3632=0,"2 Zero",G3632&lt;=500,"3 1-500",G3632&lt;=2000,"4 501-2000",TRUE(),"5 Above 2000")</f>
        <v>4 501-2000</v>
      </c>
      <c r="P3632" s="2" t="n">
        <f aca="false">Lookups!$B$2*M3632+Lookups!$B$3*L3632</f>
        <v>0</v>
      </c>
      <c r="Q3632" s="2" t="str">
        <f aca="false">INDEX(Lookups!$E$2:$E$5,MATCH(P3632,Lookups!$D$2:$D$5,0))</f>
        <v>Low</v>
      </c>
    </row>
    <row r="3633" customFormat="false" ht="15" hidden="false" customHeight="false" outlineLevel="0" collapsed="false">
      <c r="A3633" s="3" t="n">
        <v>3632</v>
      </c>
      <c r="B3633" s="3" t="n">
        <f aca="false">Raw_Data!A3633</f>
        <v>55</v>
      </c>
      <c r="C3633" s="3" t="str">
        <f aca="false">SUBSTITUTE(Raw_Data!B3633,".","")</f>
        <v>retired</v>
      </c>
      <c r="D3633" s="3" t="str">
        <f aca="false">Raw_Data!C3633</f>
        <v>married</v>
      </c>
      <c r="E3633" s="3" t="str">
        <f aca="false">Raw_Data!D3633</f>
        <v>secondary</v>
      </c>
      <c r="F3633" s="3" t="str">
        <f aca="false">Raw_Data!E3633</f>
        <v>no</v>
      </c>
      <c r="G3633" s="3" t="n">
        <f aca="false">Raw_Data!F3633</f>
        <v>4194</v>
      </c>
      <c r="H3633" s="3" t="str">
        <f aca="false">Raw_Data!G3633</f>
        <v>no</v>
      </c>
      <c r="I3633" s="3" t="str">
        <f aca="false">Raw_Data!H3633</f>
        <v>yes</v>
      </c>
      <c r="J3633" s="2" t="n">
        <f aca="false">IF(F3633="yes",1,0)</f>
        <v>0</v>
      </c>
      <c r="K3633" s="2" t="n">
        <f aca="false">IF(H3633="yes",1,0)</f>
        <v>0</v>
      </c>
      <c r="L3633" s="2" t="n">
        <f aca="false">IF(I3633="yes",1,0)</f>
        <v>1</v>
      </c>
      <c r="M3633" s="2" t="n">
        <f aca="false">IF(G3633&lt;0,1,0)</f>
        <v>0</v>
      </c>
      <c r="N3633" s="2" t="str">
        <f aca="false">_xlfn.IFS(B3633&lt;30,"Under 30",B3633&lt;40,"30-39",B3633&lt;50,"40-49",B3633&lt;60,"50-59",TRUE(),"60+")</f>
        <v>50-59</v>
      </c>
      <c r="O3633" s="2" t="str">
        <f aca="false">_xlfn.IFS(G3633&lt;0,"1 Negative",G3633=0,"2 Zero",G3633&lt;=500,"3 1-500",G3633&lt;=2000,"4 501-2000",TRUE(),"5 Above 2000")</f>
        <v>5 Above 2000</v>
      </c>
      <c r="P3633" s="2" t="n">
        <f aca="false">Lookups!$B$2*M3633+Lookups!$B$3*L3633</f>
        <v>1</v>
      </c>
      <c r="Q3633" s="2" t="str">
        <f aca="false">INDEX(Lookups!$E$2:$E$5,MATCH(P3633,Lookups!$D$2:$D$5,0))</f>
        <v>Medium</v>
      </c>
    </row>
    <row r="3634" customFormat="false" ht="15" hidden="false" customHeight="false" outlineLevel="0" collapsed="false">
      <c r="A3634" s="3" t="n">
        <v>3633</v>
      </c>
      <c r="B3634" s="3" t="n">
        <f aca="false">Raw_Data!A3634</f>
        <v>35</v>
      </c>
      <c r="C3634" s="3" t="str">
        <f aca="false">SUBSTITUTE(Raw_Data!B3634,".","")</f>
        <v>student</v>
      </c>
      <c r="D3634" s="3" t="str">
        <f aca="false">Raw_Data!C3634</f>
        <v>single</v>
      </c>
      <c r="E3634" s="3" t="str">
        <f aca="false">Raw_Data!D3634</f>
        <v>unknown</v>
      </c>
      <c r="F3634" s="3" t="str">
        <f aca="false">Raw_Data!E3634</f>
        <v>no</v>
      </c>
      <c r="G3634" s="3" t="n">
        <f aca="false">Raw_Data!F3634</f>
        <v>0</v>
      </c>
      <c r="H3634" s="3" t="str">
        <f aca="false">Raw_Data!G3634</f>
        <v>no</v>
      </c>
      <c r="I3634" s="3" t="str">
        <f aca="false">Raw_Data!H3634</f>
        <v>no</v>
      </c>
      <c r="J3634" s="2" t="n">
        <f aca="false">IF(F3634="yes",1,0)</f>
        <v>0</v>
      </c>
      <c r="K3634" s="2" t="n">
        <f aca="false">IF(H3634="yes",1,0)</f>
        <v>0</v>
      </c>
      <c r="L3634" s="2" t="n">
        <f aca="false">IF(I3634="yes",1,0)</f>
        <v>0</v>
      </c>
      <c r="M3634" s="2" t="n">
        <f aca="false">IF(G3634&lt;0,1,0)</f>
        <v>0</v>
      </c>
      <c r="N3634" s="2" t="str">
        <f aca="false">_xlfn.IFS(B3634&lt;30,"Under 30",B3634&lt;40,"30-39",B3634&lt;50,"40-49",B3634&lt;60,"50-59",TRUE(),"60+")</f>
        <v>30-39</v>
      </c>
      <c r="O3634" s="2" t="str">
        <f aca="false">_xlfn.IFS(G3634&lt;0,"1 Negative",G3634=0,"2 Zero",G3634&lt;=500,"3 1-500",G3634&lt;=2000,"4 501-2000",TRUE(),"5 Above 2000")</f>
        <v>2 Zero</v>
      </c>
      <c r="P3634" s="2" t="n">
        <f aca="false">Lookups!$B$2*M3634+Lookups!$B$3*L3634</f>
        <v>0</v>
      </c>
      <c r="Q3634" s="2" t="str">
        <f aca="false">INDEX(Lookups!$E$2:$E$5,MATCH(P3634,Lookups!$D$2:$D$5,0))</f>
        <v>Low</v>
      </c>
    </row>
    <row r="3635" customFormat="false" ht="15" hidden="false" customHeight="false" outlineLevel="0" collapsed="false">
      <c r="A3635" s="3" t="n">
        <v>3634</v>
      </c>
      <c r="B3635" s="3" t="n">
        <f aca="false">Raw_Data!A3635</f>
        <v>36</v>
      </c>
      <c r="C3635" s="3" t="str">
        <f aca="false">SUBSTITUTE(Raw_Data!B3635,".","")</f>
        <v>technician</v>
      </c>
      <c r="D3635" s="3" t="str">
        <f aca="false">Raw_Data!C3635</f>
        <v>married</v>
      </c>
      <c r="E3635" s="3" t="str">
        <f aca="false">Raw_Data!D3635</f>
        <v>tertiary</v>
      </c>
      <c r="F3635" s="3" t="str">
        <f aca="false">Raw_Data!E3635</f>
        <v>no</v>
      </c>
      <c r="G3635" s="3" t="n">
        <f aca="false">Raw_Data!F3635</f>
        <v>629</v>
      </c>
      <c r="H3635" s="3" t="str">
        <f aca="false">Raw_Data!G3635</f>
        <v>yes</v>
      </c>
      <c r="I3635" s="3" t="str">
        <f aca="false">Raw_Data!H3635</f>
        <v>yes</v>
      </c>
      <c r="J3635" s="2" t="n">
        <f aca="false">IF(F3635="yes",1,0)</f>
        <v>0</v>
      </c>
      <c r="K3635" s="2" t="n">
        <f aca="false">IF(H3635="yes",1,0)</f>
        <v>1</v>
      </c>
      <c r="L3635" s="2" t="n">
        <f aca="false">IF(I3635="yes",1,0)</f>
        <v>1</v>
      </c>
      <c r="M3635" s="2" t="n">
        <f aca="false">IF(G3635&lt;0,1,0)</f>
        <v>0</v>
      </c>
      <c r="N3635" s="2" t="str">
        <f aca="false">_xlfn.IFS(B3635&lt;30,"Under 30",B3635&lt;40,"30-39",B3635&lt;50,"40-49",B3635&lt;60,"50-59",TRUE(),"60+")</f>
        <v>30-39</v>
      </c>
      <c r="O3635" s="2" t="str">
        <f aca="false">_xlfn.IFS(G3635&lt;0,"1 Negative",G3635=0,"2 Zero",G3635&lt;=500,"3 1-500",G3635&lt;=2000,"4 501-2000",TRUE(),"5 Above 2000")</f>
        <v>4 501-2000</v>
      </c>
      <c r="P3635" s="2" t="n">
        <f aca="false">Lookups!$B$2*M3635+Lookups!$B$3*L3635</f>
        <v>1</v>
      </c>
      <c r="Q3635" s="2" t="str">
        <f aca="false">INDEX(Lookups!$E$2:$E$5,MATCH(P3635,Lookups!$D$2:$D$5,0))</f>
        <v>Medium</v>
      </c>
    </row>
    <row r="3636" customFormat="false" ht="15" hidden="false" customHeight="false" outlineLevel="0" collapsed="false">
      <c r="A3636" s="3" t="n">
        <v>3635</v>
      </c>
      <c r="B3636" s="3" t="n">
        <f aca="false">Raw_Data!A3636</f>
        <v>54</v>
      </c>
      <c r="C3636" s="3" t="str">
        <f aca="false">SUBSTITUTE(Raw_Data!B3636,".","")</f>
        <v>retired</v>
      </c>
      <c r="D3636" s="3" t="str">
        <f aca="false">Raw_Data!C3636</f>
        <v>married</v>
      </c>
      <c r="E3636" s="3" t="str">
        <f aca="false">Raw_Data!D3636</f>
        <v>secondary</v>
      </c>
      <c r="F3636" s="3" t="str">
        <f aca="false">Raw_Data!E3636</f>
        <v>no</v>
      </c>
      <c r="G3636" s="3" t="n">
        <f aca="false">Raw_Data!F3636</f>
        <v>153</v>
      </c>
      <c r="H3636" s="3" t="str">
        <f aca="false">Raw_Data!G3636</f>
        <v>yes</v>
      </c>
      <c r="I3636" s="3" t="str">
        <f aca="false">Raw_Data!H3636</f>
        <v>yes</v>
      </c>
      <c r="J3636" s="2" t="n">
        <f aca="false">IF(F3636="yes",1,0)</f>
        <v>0</v>
      </c>
      <c r="K3636" s="2" t="n">
        <f aca="false">IF(H3636="yes",1,0)</f>
        <v>1</v>
      </c>
      <c r="L3636" s="2" t="n">
        <f aca="false">IF(I3636="yes",1,0)</f>
        <v>1</v>
      </c>
      <c r="M3636" s="2" t="n">
        <f aca="false">IF(G3636&lt;0,1,0)</f>
        <v>0</v>
      </c>
      <c r="N3636" s="2" t="str">
        <f aca="false">_xlfn.IFS(B3636&lt;30,"Under 30",B3636&lt;40,"30-39",B3636&lt;50,"40-49",B3636&lt;60,"50-59",TRUE(),"60+")</f>
        <v>50-59</v>
      </c>
      <c r="O3636" s="2" t="str">
        <f aca="false">_xlfn.IFS(G3636&lt;0,"1 Negative",G3636=0,"2 Zero",G3636&lt;=500,"3 1-500",G3636&lt;=2000,"4 501-2000",TRUE(),"5 Above 2000")</f>
        <v>3 1-500</v>
      </c>
      <c r="P3636" s="2" t="n">
        <f aca="false">Lookups!$B$2*M3636+Lookups!$B$3*L3636</f>
        <v>1</v>
      </c>
      <c r="Q3636" s="2" t="str">
        <f aca="false">INDEX(Lookups!$E$2:$E$5,MATCH(P3636,Lookups!$D$2:$D$5,0))</f>
        <v>Medium</v>
      </c>
    </row>
    <row r="3637" customFormat="false" ht="15" hidden="false" customHeight="false" outlineLevel="0" collapsed="false">
      <c r="A3637" s="3" t="n">
        <v>3636</v>
      </c>
      <c r="B3637" s="3" t="n">
        <f aca="false">Raw_Data!A3637</f>
        <v>32</v>
      </c>
      <c r="C3637" s="3" t="str">
        <f aca="false">SUBSTITUTE(Raw_Data!B3637,".","")</f>
        <v>management</v>
      </c>
      <c r="D3637" s="3" t="str">
        <f aca="false">Raw_Data!C3637</f>
        <v>married</v>
      </c>
      <c r="E3637" s="3" t="str">
        <f aca="false">Raw_Data!D3637</f>
        <v>tertiary</v>
      </c>
      <c r="F3637" s="3" t="str">
        <f aca="false">Raw_Data!E3637</f>
        <v>no</v>
      </c>
      <c r="G3637" s="3" t="n">
        <f aca="false">Raw_Data!F3637</f>
        <v>553</v>
      </c>
      <c r="H3637" s="3" t="str">
        <f aca="false">Raw_Data!G3637</f>
        <v>yes</v>
      </c>
      <c r="I3637" s="3" t="str">
        <f aca="false">Raw_Data!H3637</f>
        <v>no</v>
      </c>
      <c r="J3637" s="2" t="n">
        <f aca="false">IF(F3637="yes",1,0)</f>
        <v>0</v>
      </c>
      <c r="K3637" s="2" t="n">
        <f aca="false">IF(H3637="yes",1,0)</f>
        <v>1</v>
      </c>
      <c r="L3637" s="2" t="n">
        <f aca="false">IF(I3637="yes",1,0)</f>
        <v>0</v>
      </c>
      <c r="M3637" s="2" t="n">
        <f aca="false">IF(G3637&lt;0,1,0)</f>
        <v>0</v>
      </c>
      <c r="N3637" s="2" t="str">
        <f aca="false">_xlfn.IFS(B3637&lt;30,"Under 30",B3637&lt;40,"30-39",B3637&lt;50,"40-49",B3637&lt;60,"50-59",TRUE(),"60+")</f>
        <v>30-39</v>
      </c>
      <c r="O3637" s="2" t="str">
        <f aca="false">_xlfn.IFS(G3637&lt;0,"1 Negative",G3637=0,"2 Zero",G3637&lt;=500,"3 1-500",G3637&lt;=2000,"4 501-2000",TRUE(),"5 Above 2000")</f>
        <v>4 501-2000</v>
      </c>
      <c r="P3637" s="2" t="n">
        <f aca="false">Lookups!$B$2*M3637+Lookups!$B$3*L3637</f>
        <v>0</v>
      </c>
      <c r="Q3637" s="2" t="str">
        <f aca="false">INDEX(Lookups!$E$2:$E$5,MATCH(P3637,Lookups!$D$2:$D$5,0))</f>
        <v>Low</v>
      </c>
    </row>
    <row r="3638" customFormat="false" ht="15" hidden="false" customHeight="false" outlineLevel="0" collapsed="false">
      <c r="A3638" s="3" t="n">
        <v>3637</v>
      </c>
      <c r="B3638" s="3" t="n">
        <f aca="false">Raw_Data!A3638</f>
        <v>36</v>
      </c>
      <c r="C3638" s="3" t="str">
        <f aca="false">SUBSTITUTE(Raw_Data!B3638,".","")</f>
        <v>management</v>
      </c>
      <c r="D3638" s="3" t="str">
        <f aca="false">Raw_Data!C3638</f>
        <v>divorced</v>
      </c>
      <c r="E3638" s="3" t="str">
        <f aca="false">Raw_Data!D3638</f>
        <v>tertiary</v>
      </c>
      <c r="F3638" s="3" t="str">
        <f aca="false">Raw_Data!E3638</f>
        <v>no</v>
      </c>
      <c r="G3638" s="3" t="n">
        <f aca="false">Raw_Data!F3638</f>
        <v>1057</v>
      </c>
      <c r="H3638" s="3" t="str">
        <f aca="false">Raw_Data!G3638</f>
        <v>no</v>
      </c>
      <c r="I3638" s="3" t="str">
        <f aca="false">Raw_Data!H3638</f>
        <v>no</v>
      </c>
      <c r="J3638" s="2" t="n">
        <f aca="false">IF(F3638="yes",1,0)</f>
        <v>0</v>
      </c>
      <c r="K3638" s="2" t="n">
        <f aca="false">IF(H3638="yes",1,0)</f>
        <v>0</v>
      </c>
      <c r="L3638" s="2" t="n">
        <f aca="false">IF(I3638="yes",1,0)</f>
        <v>0</v>
      </c>
      <c r="M3638" s="2" t="n">
        <f aca="false">IF(G3638&lt;0,1,0)</f>
        <v>0</v>
      </c>
      <c r="N3638" s="2" t="str">
        <f aca="false">_xlfn.IFS(B3638&lt;30,"Under 30",B3638&lt;40,"30-39",B3638&lt;50,"40-49",B3638&lt;60,"50-59",TRUE(),"60+")</f>
        <v>30-39</v>
      </c>
      <c r="O3638" s="2" t="str">
        <f aca="false">_xlfn.IFS(G3638&lt;0,"1 Negative",G3638=0,"2 Zero",G3638&lt;=500,"3 1-500",G3638&lt;=2000,"4 501-2000",TRUE(),"5 Above 2000")</f>
        <v>4 501-2000</v>
      </c>
      <c r="P3638" s="2" t="n">
        <f aca="false">Lookups!$B$2*M3638+Lookups!$B$3*L3638</f>
        <v>0</v>
      </c>
      <c r="Q3638" s="2" t="str">
        <f aca="false">INDEX(Lookups!$E$2:$E$5,MATCH(P3638,Lookups!$D$2:$D$5,0))</f>
        <v>Low</v>
      </c>
    </row>
    <row r="3639" customFormat="false" ht="15" hidden="false" customHeight="false" outlineLevel="0" collapsed="false">
      <c r="A3639" s="3" t="n">
        <v>3638</v>
      </c>
      <c r="B3639" s="3" t="n">
        <f aca="false">Raw_Data!A3639</f>
        <v>60</v>
      </c>
      <c r="C3639" s="3" t="str">
        <f aca="false">SUBSTITUTE(Raw_Data!B3639,".","")</f>
        <v>retired</v>
      </c>
      <c r="D3639" s="3" t="str">
        <f aca="false">Raw_Data!C3639</f>
        <v>married</v>
      </c>
      <c r="E3639" s="3" t="str">
        <f aca="false">Raw_Data!D3639</f>
        <v>secondary</v>
      </c>
      <c r="F3639" s="3" t="str">
        <f aca="false">Raw_Data!E3639</f>
        <v>no</v>
      </c>
      <c r="G3639" s="3" t="n">
        <f aca="false">Raw_Data!F3639</f>
        <v>78</v>
      </c>
      <c r="H3639" s="3" t="str">
        <f aca="false">Raw_Data!G3639</f>
        <v>yes</v>
      </c>
      <c r="I3639" s="3" t="str">
        <f aca="false">Raw_Data!H3639</f>
        <v>no</v>
      </c>
      <c r="J3639" s="2" t="n">
        <f aca="false">IF(F3639="yes",1,0)</f>
        <v>0</v>
      </c>
      <c r="K3639" s="2" t="n">
        <f aca="false">IF(H3639="yes",1,0)</f>
        <v>1</v>
      </c>
      <c r="L3639" s="2" t="n">
        <f aca="false">IF(I3639="yes",1,0)</f>
        <v>0</v>
      </c>
      <c r="M3639" s="2" t="n">
        <f aca="false">IF(G3639&lt;0,1,0)</f>
        <v>0</v>
      </c>
      <c r="N3639" s="2" t="str">
        <f aca="false">_xlfn.IFS(B3639&lt;30,"Under 30",B3639&lt;40,"30-39",B3639&lt;50,"40-49",B3639&lt;60,"50-59",TRUE(),"60+")</f>
        <v>60+</v>
      </c>
      <c r="O3639" s="2" t="str">
        <f aca="false">_xlfn.IFS(G3639&lt;0,"1 Negative",G3639=0,"2 Zero",G3639&lt;=500,"3 1-500",G3639&lt;=2000,"4 501-2000",TRUE(),"5 Above 2000")</f>
        <v>3 1-500</v>
      </c>
      <c r="P3639" s="2" t="n">
        <f aca="false">Lookups!$B$2*M3639+Lookups!$B$3*L3639</f>
        <v>0</v>
      </c>
      <c r="Q3639" s="2" t="str">
        <f aca="false">INDEX(Lookups!$E$2:$E$5,MATCH(P3639,Lookups!$D$2:$D$5,0))</f>
        <v>Low</v>
      </c>
    </row>
    <row r="3640" customFormat="false" ht="15" hidden="false" customHeight="false" outlineLevel="0" collapsed="false">
      <c r="A3640" s="3" t="n">
        <v>3639</v>
      </c>
      <c r="B3640" s="3" t="n">
        <f aca="false">Raw_Data!A3640</f>
        <v>32</v>
      </c>
      <c r="C3640" s="3" t="str">
        <f aca="false">SUBSTITUTE(Raw_Data!B3640,".","")</f>
        <v>technician</v>
      </c>
      <c r="D3640" s="3" t="str">
        <f aca="false">Raw_Data!C3640</f>
        <v>single</v>
      </c>
      <c r="E3640" s="3" t="str">
        <f aca="false">Raw_Data!D3640</f>
        <v>secondary</v>
      </c>
      <c r="F3640" s="3" t="str">
        <f aca="false">Raw_Data!E3640</f>
        <v>no</v>
      </c>
      <c r="G3640" s="3" t="n">
        <f aca="false">Raw_Data!F3640</f>
        <v>-28</v>
      </c>
      <c r="H3640" s="3" t="str">
        <f aca="false">Raw_Data!G3640</f>
        <v>no</v>
      </c>
      <c r="I3640" s="3" t="str">
        <f aca="false">Raw_Data!H3640</f>
        <v>yes</v>
      </c>
      <c r="J3640" s="2" t="n">
        <f aca="false">IF(F3640="yes",1,0)</f>
        <v>0</v>
      </c>
      <c r="K3640" s="2" t="n">
        <f aca="false">IF(H3640="yes",1,0)</f>
        <v>0</v>
      </c>
      <c r="L3640" s="2" t="n">
        <f aca="false">IF(I3640="yes",1,0)</f>
        <v>1</v>
      </c>
      <c r="M3640" s="2" t="n">
        <f aca="false">IF(G3640&lt;0,1,0)</f>
        <v>1</v>
      </c>
      <c r="N3640" s="2" t="str">
        <f aca="false">_xlfn.IFS(B3640&lt;30,"Under 30",B3640&lt;40,"30-39",B3640&lt;50,"40-49",B3640&lt;60,"50-59",TRUE(),"60+")</f>
        <v>30-39</v>
      </c>
      <c r="O3640" s="2" t="str">
        <f aca="false">_xlfn.IFS(G3640&lt;0,"1 Negative",G3640=0,"2 Zero",G3640&lt;=500,"3 1-500",G3640&lt;=2000,"4 501-2000",TRUE(),"5 Above 2000")</f>
        <v>1 Negative</v>
      </c>
      <c r="P3640" s="2" t="n">
        <f aca="false">Lookups!$B$2*M3640+Lookups!$B$3*L3640</f>
        <v>3</v>
      </c>
      <c r="Q3640" s="2" t="str">
        <f aca="false">INDEX(Lookups!$E$2:$E$5,MATCH(P3640,Lookups!$D$2:$D$5,0))</f>
        <v>High</v>
      </c>
    </row>
    <row r="3641" customFormat="false" ht="15" hidden="false" customHeight="false" outlineLevel="0" collapsed="false">
      <c r="A3641" s="3" t="n">
        <v>3640</v>
      </c>
      <c r="B3641" s="3" t="n">
        <f aca="false">Raw_Data!A3641</f>
        <v>57</v>
      </c>
      <c r="C3641" s="3" t="str">
        <f aca="false">SUBSTITUTE(Raw_Data!B3641,".","")</f>
        <v>management</v>
      </c>
      <c r="D3641" s="3" t="str">
        <f aca="false">Raw_Data!C3641</f>
        <v>married</v>
      </c>
      <c r="E3641" s="3" t="str">
        <f aca="false">Raw_Data!D3641</f>
        <v>tertiary</v>
      </c>
      <c r="F3641" s="3" t="str">
        <f aca="false">Raw_Data!E3641</f>
        <v>no</v>
      </c>
      <c r="G3641" s="3" t="n">
        <f aca="false">Raw_Data!F3641</f>
        <v>929</v>
      </c>
      <c r="H3641" s="3" t="str">
        <f aca="false">Raw_Data!G3641</f>
        <v>no</v>
      </c>
      <c r="I3641" s="3" t="str">
        <f aca="false">Raw_Data!H3641</f>
        <v>no</v>
      </c>
      <c r="J3641" s="2" t="n">
        <f aca="false">IF(F3641="yes",1,0)</f>
        <v>0</v>
      </c>
      <c r="K3641" s="2" t="n">
        <f aca="false">IF(H3641="yes",1,0)</f>
        <v>0</v>
      </c>
      <c r="L3641" s="2" t="n">
        <f aca="false">IF(I3641="yes",1,0)</f>
        <v>0</v>
      </c>
      <c r="M3641" s="2" t="n">
        <f aca="false">IF(G3641&lt;0,1,0)</f>
        <v>0</v>
      </c>
      <c r="N3641" s="2" t="str">
        <f aca="false">_xlfn.IFS(B3641&lt;30,"Under 30",B3641&lt;40,"30-39",B3641&lt;50,"40-49",B3641&lt;60,"50-59",TRUE(),"60+")</f>
        <v>50-59</v>
      </c>
      <c r="O3641" s="2" t="str">
        <f aca="false">_xlfn.IFS(G3641&lt;0,"1 Negative",G3641=0,"2 Zero",G3641&lt;=500,"3 1-500",G3641&lt;=2000,"4 501-2000",TRUE(),"5 Above 2000")</f>
        <v>4 501-2000</v>
      </c>
      <c r="P3641" s="2" t="n">
        <f aca="false">Lookups!$B$2*M3641+Lookups!$B$3*L3641</f>
        <v>0</v>
      </c>
      <c r="Q3641" s="2" t="str">
        <f aca="false">INDEX(Lookups!$E$2:$E$5,MATCH(P3641,Lookups!$D$2:$D$5,0))</f>
        <v>Low</v>
      </c>
    </row>
    <row r="3642" customFormat="false" ht="15" hidden="false" customHeight="false" outlineLevel="0" collapsed="false">
      <c r="A3642" s="3" t="n">
        <v>3641</v>
      </c>
      <c r="B3642" s="3" t="n">
        <f aca="false">Raw_Data!A3642</f>
        <v>34</v>
      </c>
      <c r="C3642" s="3" t="str">
        <f aca="false">SUBSTITUTE(Raw_Data!B3642,".","")</f>
        <v>blue-collar</v>
      </c>
      <c r="D3642" s="3" t="str">
        <f aca="false">Raw_Data!C3642</f>
        <v>married</v>
      </c>
      <c r="E3642" s="3" t="str">
        <f aca="false">Raw_Data!D3642</f>
        <v>primary</v>
      </c>
      <c r="F3642" s="3" t="str">
        <f aca="false">Raw_Data!E3642</f>
        <v>no</v>
      </c>
      <c r="G3642" s="3" t="n">
        <f aca="false">Raw_Data!F3642</f>
        <v>428</v>
      </c>
      <c r="H3642" s="3" t="str">
        <f aca="false">Raw_Data!G3642</f>
        <v>yes</v>
      </c>
      <c r="I3642" s="3" t="str">
        <f aca="false">Raw_Data!H3642</f>
        <v>no</v>
      </c>
      <c r="J3642" s="2" t="n">
        <f aca="false">IF(F3642="yes",1,0)</f>
        <v>0</v>
      </c>
      <c r="K3642" s="2" t="n">
        <f aca="false">IF(H3642="yes",1,0)</f>
        <v>1</v>
      </c>
      <c r="L3642" s="2" t="n">
        <f aca="false">IF(I3642="yes",1,0)</f>
        <v>0</v>
      </c>
      <c r="M3642" s="2" t="n">
        <f aca="false">IF(G3642&lt;0,1,0)</f>
        <v>0</v>
      </c>
      <c r="N3642" s="2" t="str">
        <f aca="false">_xlfn.IFS(B3642&lt;30,"Under 30",B3642&lt;40,"30-39",B3642&lt;50,"40-49",B3642&lt;60,"50-59",TRUE(),"60+")</f>
        <v>30-39</v>
      </c>
      <c r="O3642" s="2" t="str">
        <f aca="false">_xlfn.IFS(G3642&lt;0,"1 Negative",G3642=0,"2 Zero",G3642&lt;=500,"3 1-500",G3642&lt;=2000,"4 501-2000",TRUE(),"5 Above 2000")</f>
        <v>3 1-500</v>
      </c>
      <c r="P3642" s="2" t="n">
        <f aca="false">Lookups!$B$2*M3642+Lookups!$B$3*L3642</f>
        <v>0</v>
      </c>
      <c r="Q3642" s="2" t="str">
        <f aca="false">INDEX(Lookups!$E$2:$E$5,MATCH(P3642,Lookups!$D$2:$D$5,0))</f>
        <v>Low</v>
      </c>
    </row>
    <row r="3643" customFormat="false" ht="15" hidden="false" customHeight="false" outlineLevel="0" collapsed="false">
      <c r="A3643" s="3" t="n">
        <v>3642</v>
      </c>
      <c r="B3643" s="3" t="n">
        <f aca="false">Raw_Data!A3643</f>
        <v>27</v>
      </c>
      <c r="C3643" s="3" t="str">
        <f aca="false">SUBSTITUTE(Raw_Data!B3643,".","")</f>
        <v>student</v>
      </c>
      <c r="D3643" s="3" t="str">
        <f aca="false">Raw_Data!C3643</f>
        <v>single</v>
      </c>
      <c r="E3643" s="3" t="str">
        <f aca="false">Raw_Data!D3643</f>
        <v>secondary</v>
      </c>
      <c r="F3643" s="3" t="str">
        <f aca="false">Raw_Data!E3643</f>
        <v>no</v>
      </c>
      <c r="G3643" s="3" t="n">
        <f aca="false">Raw_Data!F3643</f>
        <v>268</v>
      </c>
      <c r="H3643" s="3" t="str">
        <f aca="false">Raw_Data!G3643</f>
        <v>yes</v>
      </c>
      <c r="I3643" s="3" t="str">
        <f aca="false">Raw_Data!H3643</f>
        <v>no</v>
      </c>
      <c r="J3643" s="2" t="n">
        <f aca="false">IF(F3643="yes",1,0)</f>
        <v>0</v>
      </c>
      <c r="K3643" s="2" t="n">
        <f aca="false">IF(H3643="yes",1,0)</f>
        <v>1</v>
      </c>
      <c r="L3643" s="2" t="n">
        <f aca="false">IF(I3643="yes",1,0)</f>
        <v>0</v>
      </c>
      <c r="M3643" s="2" t="n">
        <f aca="false">IF(G3643&lt;0,1,0)</f>
        <v>0</v>
      </c>
      <c r="N3643" s="2" t="str">
        <f aca="false">_xlfn.IFS(B3643&lt;30,"Under 30",B3643&lt;40,"30-39",B3643&lt;50,"40-49",B3643&lt;60,"50-59",TRUE(),"60+")</f>
        <v>Under 30</v>
      </c>
      <c r="O3643" s="2" t="str">
        <f aca="false">_xlfn.IFS(G3643&lt;0,"1 Negative",G3643=0,"2 Zero",G3643&lt;=500,"3 1-500",G3643&lt;=2000,"4 501-2000",TRUE(),"5 Above 2000")</f>
        <v>3 1-500</v>
      </c>
      <c r="P3643" s="2" t="n">
        <f aca="false">Lookups!$B$2*M3643+Lookups!$B$3*L3643</f>
        <v>0</v>
      </c>
      <c r="Q3643" s="2" t="str">
        <f aca="false">INDEX(Lookups!$E$2:$E$5,MATCH(P3643,Lookups!$D$2:$D$5,0))</f>
        <v>Low</v>
      </c>
    </row>
    <row r="3644" customFormat="false" ht="15" hidden="false" customHeight="false" outlineLevel="0" collapsed="false">
      <c r="A3644" s="3" t="n">
        <v>3643</v>
      </c>
      <c r="B3644" s="3" t="n">
        <f aca="false">Raw_Data!A3644</f>
        <v>52</v>
      </c>
      <c r="C3644" s="3" t="str">
        <f aca="false">SUBSTITUTE(Raw_Data!B3644,".","")</f>
        <v>management</v>
      </c>
      <c r="D3644" s="3" t="str">
        <f aca="false">Raw_Data!C3644</f>
        <v>single</v>
      </c>
      <c r="E3644" s="3" t="str">
        <f aca="false">Raw_Data!D3644</f>
        <v>tertiary</v>
      </c>
      <c r="F3644" s="3" t="str">
        <f aca="false">Raw_Data!E3644</f>
        <v>no</v>
      </c>
      <c r="G3644" s="3" t="n">
        <f aca="false">Raw_Data!F3644</f>
        <v>83</v>
      </c>
      <c r="H3644" s="3" t="str">
        <f aca="false">Raw_Data!G3644</f>
        <v>no</v>
      </c>
      <c r="I3644" s="3" t="str">
        <f aca="false">Raw_Data!H3644</f>
        <v>no</v>
      </c>
      <c r="J3644" s="2" t="n">
        <f aca="false">IF(F3644="yes",1,0)</f>
        <v>0</v>
      </c>
      <c r="K3644" s="2" t="n">
        <f aca="false">IF(H3644="yes",1,0)</f>
        <v>0</v>
      </c>
      <c r="L3644" s="2" t="n">
        <f aca="false">IF(I3644="yes",1,0)</f>
        <v>0</v>
      </c>
      <c r="M3644" s="2" t="n">
        <f aca="false">IF(G3644&lt;0,1,0)</f>
        <v>0</v>
      </c>
      <c r="N3644" s="2" t="str">
        <f aca="false">_xlfn.IFS(B3644&lt;30,"Under 30",B3644&lt;40,"30-39",B3644&lt;50,"40-49",B3644&lt;60,"50-59",TRUE(),"60+")</f>
        <v>50-59</v>
      </c>
      <c r="O3644" s="2" t="str">
        <f aca="false">_xlfn.IFS(G3644&lt;0,"1 Negative",G3644=0,"2 Zero",G3644&lt;=500,"3 1-500",G3644&lt;=2000,"4 501-2000",TRUE(),"5 Above 2000")</f>
        <v>3 1-500</v>
      </c>
      <c r="P3644" s="2" t="n">
        <f aca="false">Lookups!$B$2*M3644+Lookups!$B$3*L3644</f>
        <v>0</v>
      </c>
      <c r="Q3644" s="2" t="str">
        <f aca="false">INDEX(Lookups!$E$2:$E$5,MATCH(P3644,Lookups!$D$2:$D$5,0))</f>
        <v>Low</v>
      </c>
    </row>
    <row r="3645" customFormat="false" ht="15" hidden="false" customHeight="false" outlineLevel="0" collapsed="false">
      <c r="A3645" s="3" t="n">
        <v>3644</v>
      </c>
      <c r="B3645" s="3" t="n">
        <f aca="false">Raw_Data!A3645</f>
        <v>45</v>
      </c>
      <c r="C3645" s="3" t="str">
        <f aca="false">SUBSTITUTE(Raw_Data!B3645,".","")</f>
        <v>admin</v>
      </c>
      <c r="D3645" s="3" t="str">
        <f aca="false">Raw_Data!C3645</f>
        <v>divorced</v>
      </c>
      <c r="E3645" s="3" t="str">
        <f aca="false">Raw_Data!D3645</f>
        <v>unknown</v>
      </c>
      <c r="F3645" s="3" t="str">
        <f aca="false">Raw_Data!E3645</f>
        <v>no</v>
      </c>
      <c r="G3645" s="3" t="n">
        <f aca="false">Raw_Data!F3645</f>
        <v>998</v>
      </c>
      <c r="H3645" s="3" t="str">
        <f aca="false">Raw_Data!G3645</f>
        <v>yes</v>
      </c>
      <c r="I3645" s="3" t="str">
        <f aca="false">Raw_Data!H3645</f>
        <v>no</v>
      </c>
      <c r="J3645" s="2" t="n">
        <f aca="false">IF(F3645="yes",1,0)</f>
        <v>0</v>
      </c>
      <c r="K3645" s="2" t="n">
        <f aca="false">IF(H3645="yes",1,0)</f>
        <v>1</v>
      </c>
      <c r="L3645" s="2" t="n">
        <f aca="false">IF(I3645="yes",1,0)</f>
        <v>0</v>
      </c>
      <c r="M3645" s="2" t="n">
        <f aca="false">IF(G3645&lt;0,1,0)</f>
        <v>0</v>
      </c>
      <c r="N3645" s="2" t="str">
        <f aca="false">_xlfn.IFS(B3645&lt;30,"Under 30",B3645&lt;40,"30-39",B3645&lt;50,"40-49",B3645&lt;60,"50-59",TRUE(),"60+")</f>
        <v>40-49</v>
      </c>
      <c r="O3645" s="2" t="str">
        <f aca="false">_xlfn.IFS(G3645&lt;0,"1 Negative",G3645=0,"2 Zero",G3645&lt;=500,"3 1-500",G3645&lt;=2000,"4 501-2000",TRUE(),"5 Above 2000")</f>
        <v>4 501-2000</v>
      </c>
      <c r="P3645" s="2" t="n">
        <f aca="false">Lookups!$B$2*M3645+Lookups!$B$3*L3645</f>
        <v>0</v>
      </c>
      <c r="Q3645" s="2" t="str">
        <f aca="false">INDEX(Lookups!$E$2:$E$5,MATCH(P3645,Lookups!$D$2:$D$5,0))</f>
        <v>Low</v>
      </c>
    </row>
    <row r="3646" customFormat="false" ht="15" hidden="false" customHeight="false" outlineLevel="0" collapsed="false">
      <c r="A3646" s="3" t="n">
        <v>3645</v>
      </c>
      <c r="B3646" s="3" t="n">
        <f aca="false">Raw_Data!A3646</f>
        <v>58</v>
      </c>
      <c r="C3646" s="3" t="str">
        <f aca="false">SUBSTITUTE(Raw_Data!B3646,".","")</f>
        <v>admin</v>
      </c>
      <c r="D3646" s="3" t="str">
        <f aca="false">Raw_Data!C3646</f>
        <v>single</v>
      </c>
      <c r="E3646" s="3" t="str">
        <f aca="false">Raw_Data!D3646</f>
        <v>secondary</v>
      </c>
      <c r="F3646" s="3" t="str">
        <f aca="false">Raw_Data!E3646</f>
        <v>no</v>
      </c>
      <c r="G3646" s="3" t="n">
        <f aca="false">Raw_Data!F3646</f>
        <v>2223</v>
      </c>
      <c r="H3646" s="3" t="str">
        <f aca="false">Raw_Data!G3646</f>
        <v>no</v>
      </c>
      <c r="I3646" s="3" t="str">
        <f aca="false">Raw_Data!H3646</f>
        <v>no</v>
      </c>
      <c r="J3646" s="2" t="n">
        <f aca="false">IF(F3646="yes",1,0)</f>
        <v>0</v>
      </c>
      <c r="K3646" s="2" t="n">
        <f aca="false">IF(H3646="yes",1,0)</f>
        <v>0</v>
      </c>
      <c r="L3646" s="2" t="n">
        <f aca="false">IF(I3646="yes",1,0)</f>
        <v>0</v>
      </c>
      <c r="M3646" s="2" t="n">
        <f aca="false">IF(G3646&lt;0,1,0)</f>
        <v>0</v>
      </c>
      <c r="N3646" s="2" t="str">
        <f aca="false">_xlfn.IFS(B3646&lt;30,"Under 30",B3646&lt;40,"30-39",B3646&lt;50,"40-49",B3646&lt;60,"50-59",TRUE(),"60+")</f>
        <v>50-59</v>
      </c>
      <c r="O3646" s="2" t="str">
        <f aca="false">_xlfn.IFS(G3646&lt;0,"1 Negative",G3646=0,"2 Zero",G3646&lt;=500,"3 1-500",G3646&lt;=2000,"4 501-2000",TRUE(),"5 Above 2000")</f>
        <v>5 Above 2000</v>
      </c>
      <c r="P3646" s="2" t="n">
        <f aca="false">Lookups!$B$2*M3646+Lookups!$B$3*L3646</f>
        <v>0</v>
      </c>
      <c r="Q3646" s="2" t="str">
        <f aca="false">INDEX(Lookups!$E$2:$E$5,MATCH(P3646,Lookups!$D$2:$D$5,0))</f>
        <v>Low</v>
      </c>
    </row>
    <row r="3647" customFormat="false" ht="15" hidden="false" customHeight="false" outlineLevel="0" collapsed="false">
      <c r="A3647" s="3" t="n">
        <v>3646</v>
      </c>
      <c r="B3647" s="3" t="n">
        <f aca="false">Raw_Data!A3647</f>
        <v>39</v>
      </c>
      <c r="C3647" s="3" t="str">
        <f aca="false">SUBSTITUTE(Raw_Data!B3647,".","")</f>
        <v>blue-collar</v>
      </c>
      <c r="D3647" s="3" t="str">
        <f aca="false">Raw_Data!C3647</f>
        <v>single</v>
      </c>
      <c r="E3647" s="3" t="str">
        <f aca="false">Raw_Data!D3647</f>
        <v>primary</v>
      </c>
      <c r="F3647" s="3" t="str">
        <f aca="false">Raw_Data!E3647</f>
        <v>no</v>
      </c>
      <c r="G3647" s="3" t="n">
        <f aca="false">Raw_Data!F3647</f>
        <v>6</v>
      </c>
      <c r="H3647" s="3" t="str">
        <f aca="false">Raw_Data!G3647</f>
        <v>yes</v>
      </c>
      <c r="I3647" s="3" t="str">
        <f aca="false">Raw_Data!H3647</f>
        <v>no</v>
      </c>
      <c r="J3647" s="2" t="n">
        <f aca="false">IF(F3647="yes",1,0)</f>
        <v>0</v>
      </c>
      <c r="K3647" s="2" t="n">
        <f aca="false">IF(H3647="yes",1,0)</f>
        <v>1</v>
      </c>
      <c r="L3647" s="2" t="n">
        <f aca="false">IF(I3647="yes",1,0)</f>
        <v>0</v>
      </c>
      <c r="M3647" s="2" t="n">
        <f aca="false">IF(G3647&lt;0,1,0)</f>
        <v>0</v>
      </c>
      <c r="N3647" s="2" t="str">
        <f aca="false">_xlfn.IFS(B3647&lt;30,"Under 30",B3647&lt;40,"30-39",B3647&lt;50,"40-49",B3647&lt;60,"50-59",TRUE(),"60+")</f>
        <v>30-39</v>
      </c>
      <c r="O3647" s="2" t="str">
        <f aca="false">_xlfn.IFS(G3647&lt;0,"1 Negative",G3647=0,"2 Zero",G3647&lt;=500,"3 1-500",G3647&lt;=2000,"4 501-2000",TRUE(),"5 Above 2000")</f>
        <v>3 1-500</v>
      </c>
      <c r="P3647" s="2" t="n">
        <f aca="false">Lookups!$B$2*M3647+Lookups!$B$3*L3647</f>
        <v>0</v>
      </c>
      <c r="Q3647" s="2" t="str">
        <f aca="false">INDEX(Lookups!$E$2:$E$5,MATCH(P3647,Lookups!$D$2:$D$5,0))</f>
        <v>Low</v>
      </c>
    </row>
    <row r="3648" customFormat="false" ht="15" hidden="false" customHeight="false" outlineLevel="0" collapsed="false">
      <c r="A3648" s="3" t="n">
        <v>3647</v>
      </c>
      <c r="B3648" s="3" t="n">
        <f aca="false">Raw_Data!A3648</f>
        <v>48</v>
      </c>
      <c r="C3648" s="3" t="str">
        <f aca="false">SUBSTITUTE(Raw_Data!B3648,".","")</f>
        <v>blue-collar</v>
      </c>
      <c r="D3648" s="3" t="str">
        <f aca="false">Raw_Data!C3648</f>
        <v>single</v>
      </c>
      <c r="E3648" s="3" t="str">
        <f aca="false">Raw_Data!D3648</f>
        <v>secondary</v>
      </c>
      <c r="F3648" s="3" t="str">
        <f aca="false">Raw_Data!E3648</f>
        <v>no</v>
      </c>
      <c r="G3648" s="3" t="n">
        <f aca="false">Raw_Data!F3648</f>
        <v>312</v>
      </c>
      <c r="H3648" s="3" t="str">
        <f aca="false">Raw_Data!G3648</f>
        <v>yes</v>
      </c>
      <c r="I3648" s="3" t="str">
        <f aca="false">Raw_Data!H3648</f>
        <v>yes</v>
      </c>
      <c r="J3648" s="2" t="n">
        <f aca="false">IF(F3648="yes",1,0)</f>
        <v>0</v>
      </c>
      <c r="K3648" s="2" t="n">
        <f aca="false">IF(H3648="yes",1,0)</f>
        <v>1</v>
      </c>
      <c r="L3648" s="2" t="n">
        <f aca="false">IF(I3648="yes",1,0)</f>
        <v>1</v>
      </c>
      <c r="M3648" s="2" t="n">
        <f aca="false">IF(G3648&lt;0,1,0)</f>
        <v>0</v>
      </c>
      <c r="N3648" s="2" t="str">
        <f aca="false">_xlfn.IFS(B3648&lt;30,"Under 30",B3648&lt;40,"30-39",B3648&lt;50,"40-49",B3648&lt;60,"50-59",TRUE(),"60+")</f>
        <v>40-49</v>
      </c>
      <c r="O3648" s="2" t="str">
        <f aca="false">_xlfn.IFS(G3648&lt;0,"1 Negative",G3648=0,"2 Zero",G3648&lt;=500,"3 1-500",G3648&lt;=2000,"4 501-2000",TRUE(),"5 Above 2000")</f>
        <v>3 1-500</v>
      </c>
      <c r="P3648" s="2" t="n">
        <f aca="false">Lookups!$B$2*M3648+Lookups!$B$3*L3648</f>
        <v>1</v>
      </c>
      <c r="Q3648" s="2" t="str">
        <f aca="false">INDEX(Lookups!$E$2:$E$5,MATCH(P3648,Lookups!$D$2:$D$5,0))</f>
        <v>Medium</v>
      </c>
    </row>
    <row r="3649" customFormat="false" ht="15" hidden="false" customHeight="false" outlineLevel="0" collapsed="false">
      <c r="A3649" s="3" t="n">
        <v>3648</v>
      </c>
      <c r="B3649" s="3" t="n">
        <f aca="false">Raw_Data!A3649</f>
        <v>36</v>
      </c>
      <c r="C3649" s="3" t="str">
        <f aca="false">SUBSTITUTE(Raw_Data!B3649,".","")</f>
        <v>management</v>
      </c>
      <c r="D3649" s="3" t="str">
        <f aca="false">Raw_Data!C3649</f>
        <v>single</v>
      </c>
      <c r="E3649" s="3" t="str">
        <f aca="false">Raw_Data!D3649</f>
        <v>secondary</v>
      </c>
      <c r="F3649" s="3" t="str">
        <f aca="false">Raw_Data!E3649</f>
        <v>no</v>
      </c>
      <c r="G3649" s="3" t="n">
        <f aca="false">Raw_Data!F3649</f>
        <v>0</v>
      </c>
      <c r="H3649" s="3" t="str">
        <f aca="false">Raw_Data!G3649</f>
        <v>no</v>
      </c>
      <c r="I3649" s="3" t="str">
        <f aca="false">Raw_Data!H3649</f>
        <v>no</v>
      </c>
      <c r="J3649" s="2" t="n">
        <f aca="false">IF(F3649="yes",1,0)</f>
        <v>0</v>
      </c>
      <c r="K3649" s="2" t="n">
        <f aca="false">IF(H3649="yes",1,0)</f>
        <v>0</v>
      </c>
      <c r="L3649" s="2" t="n">
        <f aca="false">IF(I3649="yes",1,0)</f>
        <v>0</v>
      </c>
      <c r="M3649" s="2" t="n">
        <f aca="false">IF(G3649&lt;0,1,0)</f>
        <v>0</v>
      </c>
      <c r="N3649" s="2" t="str">
        <f aca="false">_xlfn.IFS(B3649&lt;30,"Under 30",B3649&lt;40,"30-39",B3649&lt;50,"40-49",B3649&lt;60,"50-59",TRUE(),"60+")</f>
        <v>30-39</v>
      </c>
      <c r="O3649" s="2" t="str">
        <f aca="false">_xlfn.IFS(G3649&lt;0,"1 Negative",G3649=0,"2 Zero",G3649&lt;=500,"3 1-500",G3649&lt;=2000,"4 501-2000",TRUE(),"5 Above 2000")</f>
        <v>2 Zero</v>
      </c>
      <c r="P3649" s="2" t="n">
        <f aca="false">Lookups!$B$2*M3649+Lookups!$B$3*L3649</f>
        <v>0</v>
      </c>
      <c r="Q3649" s="2" t="str">
        <f aca="false">INDEX(Lookups!$E$2:$E$5,MATCH(P3649,Lookups!$D$2:$D$5,0))</f>
        <v>Low</v>
      </c>
    </row>
    <row r="3650" customFormat="false" ht="15" hidden="false" customHeight="false" outlineLevel="0" collapsed="false">
      <c r="A3650" s="3" t="n">
        <v>3649</v>
      </c>
      <c r="B3650" s="3" t="n">
        <f aca="false">Raw_Data!A3650</f>
        <v>31</v>
      </c>
      <c r="C3650" s="3" t="str">
        <f aca="false">SUBSTITUTE(Raw_Data!B3650,".","")</f>
        <v>technician</v>
      </c>
      <c r="D3650" s="3" t="str">
        <f aca="false">Raw_Data!C3650</f>
        <v>single</v>
      </c>
      <c r="E3650" s="3" t="str">
        <f aca="false">Raw_Data!D3650</f>
        <v>secondary</v>
      </c>
      <c r="F3650" s="3" t="str">
        <f aca="false">Raw_Data!E3650</f>
        <v>no</v>
      </c>
      <c r="G3650" s="3" t="n">
        <f aca="false">Raw_Data!F3650</f>
        <v>691</v>
      </c>
      <c r="H3650" s="3" t="str">
        <f aca="false">Raw_Data!G3650</f>
        <v>yes</v>
      </c>
      <c r="I3650" s="3" t="str">
        <f aca="false">Raw_Data!H3650</f>
        <v>no</v>
      </c>
      <c r="J3650" s="2" t="n">
        <f aca="false">IF(F3650="yes",1,0)</f>
        <v>0</v>
      </c>
      <c r="K3650" s="2" t="n">
        <f aca="false">IF(H3650="yes",1,0)</f>
        <v>1</v>
      </c>
      <c r="L3650" s="2" t="n">
        <f aca="false">IF(I3650="yes",1,0)</f>
        <v>0</v>
      </c>
      <c r="M3650" s="2" t="n">
        <f aca="false">IF(G3650&lt;0,1,0)</f>
        <v>0</v>
      </c>
      <c r="N3650" s="2" t="str">
        <f aca="false">_xlfn.IFS(B3650&lt;30,"Under 30",B3650&lt;40,"30-39",B3650&lt;50,"40-49",B3650&lt;60,"50-59",TRUE(),"60+")</f>
        <v>30-39</v>
      </c>
      <c r="O3650" s="2" t="str">
        <f aca="false">_xlfn.IFS(G3650&lt;0,"1 Negative",G3650=0,"2 Zero",G3650&lt;=500,"3 1-500",G3650&lt;=2000,"4 501-2000",TRUE(),"5 Above 2000")</f>
        <v>4 501-2000</v>
      </c>
      <c r="P3650" s="2" t="n">
        <f aca="false">Lookups!$B$2*M3650+Lookups!$B$3*L3650</f>
        <v>0</v>
      </c>
      <c r="Q3650" s="2" t="str">
        <f aca="false">INDEX(Lookups!$E$2:$E$5,MATCH(P3650,Lookups!$D$2:$D$5,0))</f>
        <v>Low</v>
      </c>
    </row>
    <row r="3651" customFormat="false" ht="15" hidden="false" customHeight="false" outlineLevel="0" collapsed="false">
      <c r="A3651" s="3" t="n">
        <v>3650</v>
      </c>
      <c r="B3651" s="3" t="n">
        <f aca="false">Raw_Data!A3651</f>
        <v>41</v>
      </c>
      <c r="C3651" s="3" t="str">
        <f aca="false">SUBSTITUTE(Raw_Data!B3651,".","")</f>
        <v>management</v>
      </c>
      <c r="D3651" s="3" t="str">
        <f aca="false">Raw_Data!C3651</f>
        <v>married</v>
      </c>
      <c r="E3651" s="3" t="str">
        <f aca="false">Raw_Data!D3651</f>
        <v>tertiary</v>
      </c>
      <c r="F3651" s="3" t="str">
        <f aca="false">Raw_Data!E3651</f>
        <v>no</v>
      </c>
      <c r="G3651" s="3" t="n">
        <f aca="false">Raw_Data!F3651</f>
        <v>771</v>
      </c>
      <c r="H3651" s="3" t="str">
        <f aca="false">Raw_Data!G3651</f>
        <v>yes</v>
      </c>
      <c r="I3651" s="3" t="str">
        <f aca="false">Raw_Data!H3651</f>
        <v>no</v>
      </c>
      <c r="J3651" s="2" t="n">
        <f aca="false">IF(F3651="yes",1,0)</f>
        <v>0</v>
      </c>
      <c r="K3651" s="2" t="n">
        <f aca="false">IF(H3651="yes",1,0)</f>
        <v>1</v>
      </c>
      <c r="L3651" s="2" t="n">
        <f aca="false">IF(I3651="yes",1,0)</f>
        <v>0</v>
      </c>
      <c r="M3651" s="2" t="n">
        <f aca="false">IF(G3651&lt;0,1,0)</f>
        <v>0</v>
      </c>
      <c r="N3651" s="2" t="str">
        <f aca="false">_xlfn.IFS(B3651&lt;30,"Under 30",B3651&lt;40,"30-39",B3651&lt;50,"40-49",B3651&lt;60,"50-59",TRUE(),"60+")</f>
        <v>40-49</v>
      </c>
      <c r="O3651" s="2" t="str">
        <f aca="false">_xlfn.IFS(G3651&lt;0,"1 Negative",G3651=0,"2 Zero",G3651&lt;=500,"3 1-500",G3651&lt;=2000,"4 501-2000",TRUE(),"5 Above 2000")</f>
        <v>4 501-2000</v>
      </c>
      <c r="P3651" s="2" t="n">
        <f aca="false">Lookups!$B$2*M3651+Lookups!$B$3*L3651</f>
        <v>0</v>
      </c>
      <c r="Q3651" s="2" t="str">
        <f aca="false">INDEX(Lookups!$E$2:$E$5,MATCH(P3651,Lookups!$D$2:$D$5,0))</f>
        <v>Low</v>
      </c>
    </row>
    <row r="3652" customFormat="false" ht="15" hidden="false" customHeight="false" outlineLevel="0" collapsed="false">
      <c r="A3652" s="3" t="n">
        <v>3651</v>
      </c>
      <c r="B3652" s="3" t="n">
        <f aca="false">Raw_Data!A3652</f>
        <v>30</v>
      </c>
      <c r="C3652" s="3" t="str">
        <f aca="false">SUBSTITUTE(Raw_Data!B3652,".","")</f>
        <v>self-employed</v>
      </c>
      <c r="D3652" s="3" t="str">
        <f aca="false">Raw_Data!C3652</f>
        <v>single</v>
      </c>
      <c r="E3652" s="3" t="str">
        <f aca="false">Raw_Data!D3652</f>
        <v>secondary</v>
      </c>
      <c r="F3652" s="3" t="str">
        <f aca="false">Raw_Data!E3652</f>
        <v>no</v>
      </c>
      <c r="G3652" s="3" t="n">
        <f aca="false">Raw_Data!F3652</f>
        <v>192</v>
      </c>
      <c r="H3652" s="3" t="str">
        <f aca="false">Raw_Data!G3652</f>
        <v>no</v>
      </c>
      <c r="I3652" s="3" t="str">
        <f aca="false">Raw_Data!H3652</f>
        <v>no</v>
      </c>
      <c r="J3652" s="2" t="n">
        <f aca="false">IF(F3652="yes",1,0)</f>
        <v>0</v>
      </c>
      <c r="K3652" s="2" t="n">
        <f aca="false">IF(H3652="yes",1,0)</f>
        <v>0</v>
      </c>
      <c r="L3652" s="2" t="n">
        <f aca="false">IF(I3652="yes",1,0)</f>
        <v>0</v>
      </c>
      <c r="M3652" s="2" t="n">
        <f aca="false">IF(G3652&lt;0,1,0)</f>
        <v>0</v>
      </c>
      <c r="N3652" s="2" t="str">
        <f aca="false">_xlfn.IFS(B3652&lt;30,"Under 30",B3652&lt;40,"30-39",B3652&lt;50,"40-49",B3652&lt;60,"50-59",TRUE(),"60+")</f>
        <v>30-39</v>
      </c>
      <c r="O3652" s="2" t="str">
        <f aca="false">_xlfn.IFS(G3652&lt;0,"1 Negative",G3652=0,"2 Zero",G3652&lt;=500,"3 1-500",G3652&lt;=2000,"4 501-2000",TRUE(),"5 Above 2000")</f>
        <v>3 1-500</v>
      </c>
      <c r="P3652" s="2" t="n">
        <f aca="false">Lookups!$B$2*M3652+Lookups!$B$3*L3652</f>
        <v>0</v>
      </c>
      <c r="Q3652" s="2" t="str">
        <f aca="false">INDEX(Lookups!$E$2:$E$5,MATCH(P3652,Lookups!$D$2:$D$5,0))</f>
        <v>Low</v>
      </c>
    </row>
    <row r="3653" customFormat="false" ht="15" hidden="false" customHeight="false" outlineLevel="0" collapsed="false">
      <c r="A3653" s="3" t="n">
        <v>3652</v>
      </c>
      <c r="B3653" s="3" t="n">
        <f aca="false">Raw_Data!A3653</f>
        <v>57</v>
      </c>
      <c r="C3653" s="3" t="str">
        <f aca="false">SUBSTITUTE(Raw_Data!B3653,".","")</f>
        <v>retired</v>
      </c>
      <c r="D3653" s="3" t="str">
        <f aca="false">Raw_Data!C3653</f>
        <v>married</v>
      </c>
      <c r="E3653" s="3" t="str">
        <f aca="false">Raw_Data!D3653</f>
        <v>tertiary</v>
      </c>
      <c r="F3653" s="3" t="str">
        <f aca="false">Raw_Data!E3653</f>
        <v>no</v>
      </c>
      <c r="G3653" s="3" t="n">
        <f aca="false">Raw_Data!F3653</f>
        <v>0</v>
      </c>
      <c r="H3653" s="3" t="str">
        <f aca="false">Raw_Data!G3653</f>
        <v>no</v>
      </c>
      <c r="I3653" s="3" t="str">
        <f aca="false">Raw_Data!H3653</f>
        <v>no</v>
      </c>
      <c r="J3653" s="2" t="n">
        <f aca="false">IF(F3653="yes",1,0)</f>
        <v>0</v>
      </c>
      <c r="K3653" s="2" t="n">
        <f aca="false">IF(H3653="yes",1,0)</f>
        <v>0</v>
      </c>
      <c r="L3653" s="2" t="n">
        <f aca="false">IF(I3653="yes",1,0)</f>
        <v>0</v>
      </c>
      <c r="M3653" s="2" t="n">
        <f aca="false">IF(G3653&lt;0,1,0)</f>
        <v>0</v>
      </c>
      <c r="N3653" s="2" t="str">
        <f aca="false">_xlfn.IFS(B3653&lt;30,"Under 30",B3653&lt;40,"30-39",B3653&lt;50,"40-49",B3653&lt;60,"50-59",TRUE(),"60+")</f>
        <v>50-59</v>
      </c>
      <c r="O3653" s="2" t="str">
        <f aca="false">_xlfn.IFS(G3653&lt;0,"1 Negative",G3653=0,"2 Zero",G3653&lt;=500,"3 1-500",G3653&lt;=2000,"4 501-2000",TRUE(),"5 Above 2000")</f>
        <v>2 Zero</v>
      </c>
      <c r="P3653" s="2" t="n">
        <f aca="false">Lookups!$B$2*M3653+Lookups!$B$3*L3653</f>
        <v>0</v>
      </c>
      <c r="Q3653" s="2" t="str">
        <f aca="false">INDEX(Lookups!$E$2:$E$5,MATCH(P3653,Lookups!$D$2:$D$5,0))</f>
        <v>Low</v>
      </c>
    </row>
    <row r="3654" customFormat="false" ht="15" hidden="false" customHeight="false" outlineLevel="0" collapsed="false">
      <c r="A3654" s="3" t="n">
        <v>3653</v>
      </c>
      <c r="B3654" s="3" t="n">
        <f aca="false">Raw_Data!A3654</f>
        <v>29</v>
      </c>
      <c r="C3654" s="3" t="str">
        <f aca="false">SUBSTITUTE(Raw_Data!B3654,".","")</f>
        <v>admin</v>
      </c>
      <c r="D3654" s="3" t="str">
        <f aca="false">Raw_Data!C3654</f>
        <v>single</v>
      </c>
      <c r="E3654" s="3" t="str">
        <f aca="false">Raw_Data!D3654</f>
        <v>secondary</v>
      </c>
      <c r="F3654" s="3" t="str">
        <f aca="false">Raw_Data!E3654</f>
        <v>no</v>
      </c>
      <c r="G3654" s="3" t="n">
        <f aca="false">Raw_Data!F3654</f>
        <v>1070</v>
      </c>
      <c r="H3654" s="3" t="str">
        <f aca="false">Raw_Data!G3654</f>
        <v>yes</v>
      </c>
      <c r="I3654" s="3" t="str">
        <f aca="false">Raw_Data!H3654</f>
        <v>no</v>
      </c>
      <c r="J3654" s="2" t="n">
        <f aca="false">IF(F3654="yes",1,0)</f>
        <v>0</v>
      </c>
      <c r="K3654" s="2" t="n">
        <f aca="false">IF(H3654="yes",1,0)</f>
        <v>1</v>
      </c>
      <c r="L3654" s="2" t="n">
        <f aca="false">IF(I3654="yes",1,0)</f>
        <v>0</v>
      </c>
      <c r="M3654" s="2" t="n">
        <f aca="false">IF(G3654&lt;0,1,0)</f>
        <v>0</v>
      </c>
      <c r="N3654" s="2" t="str">
        <f aca="false">_xlfn.IFS(B3654&lt;30,"Under 30",B3654&lt;40,"30-39",B3654&lt;50,"40-49",B3654&lt;60,"50-59",TRUE(),"60+")</f>
        <v>Under 30</v>
      </c>
      <c r="O3654" s="2" t="str">
        <f aca="false">_xlfn.IFS(G3654&lt;0,"1 Negative",G3654=0,"2 Zero",G3654&lt;=500,"3 1-500",G3654&lt;=2000,"4 501-2000",TRUE(),"5 Above 2000")</f>
        <v>4 501-2000</v>
      </c>
      <c r="P3654" s="2" t="n">
        <f aca="false">Lookups!$B$2*M3654+Lookups!$B$3*L3654</f>
        <v>0</v>
      </c>
      <c r="Q3654" s="2" t="str">
        <f aca="false">INDEX(Lookups!$E$2:$E$5,MATCH(P3654,Lookups!$D$2:$D$5,0))</f>
        <v>Low</v>
      </c>
    </row>
    <row r="3655" customFormat="false" ht="15" hidden="false" customHeight="false" outlineLevel="0" collapsed="false">
      <c r="A3655" s="3" t="n">
        <v>3654</v>
      </c>
      <c r="B3655" s="3" t="n">
        <f aca="false">Raw_Data!A3655</f>
        <v>29</v>
      </c>
      <c r="C3655" s="3" t="str">
        <f aca="false">SUBSTITUTE(Raw_Data!B3655,".","")</f>
        <v>services</v>
      </c>
      <c r="D3655" s="3" t="str">
        <f aca="false">Raw_Data!C3655</f>
        <v>divorced</v>
      </c>
      <c r="E3655" s="3" t="str">
        <f aca="false">Raw_Data!D3655</f>
        <v>secondary</v>
      </c>
      <c r="F3655" s="3" t="str">
        <f aca="false">Raw_Data!E3655</f>
        <v>no</v>
      </c>
      <c r="G3655" s="3" t="n">
        <f aca="false">Raw_Data!F3655</f>
        <v>84</v>
      </c>
      <c r="H3655" s="3" t="str">
        <f aca="false">Raw_Data!G3655</f>
        <v>yes</v>
      </c>
      <c r="I3655" s="3" t="str">
        <f aca="false">Raw_Data!H3655</f>
        <v>no</v>
      </c>
      <c r="J3655" s="2" t="n">
        <f aca="false">IF(F3655="yes",1,0)</f>
        <v>0</v>
      </c>
      <c r="K3655" s="2" t="n">
        <f aca="false">IF(H3655="yes",1,0)</f>
        <v>1</v>
      </c>
      <c r="L3655" s="2" t="n">
        <f aca="false">IF(I3655="yes",1,0)</f>
        <v>0</v>
      </c>
      <c r="M3655" s="2" t="n">
        <f aca="false">IF(G3655&lt;0,1,0)</f>
        <v>0</v>
      </c>
      <c r="N3655" s="2" t="str">
        <f aca="false">_xlfn.IFS(B3655&lt;30,"Under 30",B3655&lt;40,"30-39",B3655&lt;50,"40-49",B3655&lt;60,"50-59",TRUE(),"60+")</f>
        <v>Under 30</v>
      </c>
      <c r="O3655" s="2" t="str">
        <f aca="false">_xlfn.IFS(G3655&lt;0,"1 Negative",G3655=0,"2 Zero",G3655&lt;=500,"3 1-500",G3655&lt;=2000,"4 501-2000",TRUE(),"5 Above 2000")</f>
        <v>3 1-500</v>
      </c>
      <c r="P3655" s="2" t="n">
        <f aca="false">Lookups!$B$2*M3655+Lookups!$B$3*L3655</f>
        <v>0</v>
      </c>
      <c r="Q3655" s="2" t="str">
        <f aca="false">INDEX(Lookups!$E$2:$E$5,MATCH(P3655,Lookups!$D$2:$D$5,0))</f>
        <v>Low</v>
      </c>
    </row>
    <row r="3656" customFormat="false" ht="15" hidden="false" customHeight="false" outlineLevel="0" collapsed="false">
      <c r="A3656" s="3" t="n">
        <v>3655</v>
      </c>
      <c r="B3656" s="3" t="n">
        <f aca="false">Raw_Data!A3656</f>
        <v>30</v>
      </c>
      <c r="C3656" s="3" t="str">
        <f aca="false">SUBSTITUTE(Raw_Data!B3656,".","")</f>
        <v>management</v>
      </c>
      <c r="D3656" s="3" t="str">
        <f aca="false">Raw_Data!C3656</f>
        <v>single</v>
      </c>
      <c r="E3656" s="3" t="str">
        <f aca="false">Raw_Data!D3656</f>
        <v>tertiary</v>
      </c>
      <c r="F3656" s="3" t="str">
        <f aca="false">Raw_Data!E3656</f>
        <v>no</v>
      </c>
      <c r="G3656" s="3" t="n">
        <f aca="false">Raw_Data!F3656</f>
        <v>2</v>
      </c>
      <c r="H3656" s="3" t="str">
        <f aca="false">Raw_Data!G3656</f>
        <v>no</v>
      </c>
      <c r="I3656" s="3" t="str">
        <f aca="false">Raw_Data!H3656</f>
        <v>no</v>
      </c>
      <c r="J3656" s="2" t="n">
        <f aca="false">IF(F3656="yes",1,0)</f>
        <v>0</v>
      </c>
      <c r="K3656" s="2" t="n">
        <f aca="false">IF(H3656="yes",1,0)</f>
        <v>0</v>
      </c>
      <c r="L3656" s="2" t="n">
        <f aca="false">IF(I3656="yes",1,0)</f>
        <v>0</v>
      </c>
      <c r="M3656" s="2" t="n">
        <f aca="false">IF(G3656&lt;0,1,0)</f>
        <v>0</v>
      </c>
      <c r="N3656" s="2" t="str">
        <f aca="false">_xlfn.IFS(B3656&lt;30,"Under 30",B3656&lt;40,"30-39",B3656&lt;50,"40-49",B3656&lt;60,"50-59",TRUE(),"60+")</f>
        <v>30-39</v>
      </c>
      <c r="O3656" s="2" t="str">
        <f aca="false">_xlfn.IFS(G3656&lt;0,"1 Negative",G3656=0,"2 Zero",G3656&lt;=500,"3 1-500",G3656&lt;=2000,"4 501-2000",TRUE(),"5 Above 2000")</f>
        <v>3 1-500</v>
      </c>
      <c r="P3656" s="2" t="n">
        <f aca="false">Lookups!$B$2*M3656+Lookups!$B$3*L3656</f>
        <v>0</v>
      </c>
      <c r="Q3656" s="2" t="str">
        <f aca="false">INDEX(Lookups!$E$2:$E$5,MATCH(P3656,Lookups!$D$2:$D$5,0))</f>
        <v>Low</v>
      </c>
    </row>
    <row r="3657" customFormat="false" ht="15" hidden="false" customHeight="false" outlineLevel="0" collapsed="false">
      <c r="A3657" s="3" t="n">
        <v>3656</v>
      </c>
      <c r="B3657" s="3" t="n">
        <f aca="false">Raw_Data!A3657</f>
        <v>44</v>
      </c>
      <c r="C3657" s="3" t="str">
        <f aca="false">SUBSTITUTE(Raw_Data!B3657,".","")</f>
        <v>management</v>
      </c>
      <c r="D3657" s="3" t="str">
        <f aca="false">Raw_Data!C3657</f>
        <v>married</v>
      </c>
      <c r="E3657" s="3" t="str">
        <f aca="false">Raw_Data!D3657</f>
        <v>tertiary</v>
      </c>
      <c r="F3657" s="3" t="str">
        <f aca="false">Raw_Data!E3657</f>
        <v>no</v>
      </c>
      <c r="G3657" s="3" t="n">
        <f aca="false">Raw_Data!F3657</f>
        <v>1242</v>
      </c>
      <c r="H3657" s="3" t="str">
        <f aca="false">Raw_Data!G3657</f>
        <v>yes</v>
      </c>
      <c r="I3657" s="3" t="str">
        <f aca="false">Raw_Data!H3657</f>
        <v>no</v>
      </c>
      <c r="J3657" s="2" t="n">
        <f aca="false">IF(F3657="yes",1,0)</f>
        <v>0</v>
      </c>
      <c r="K3657" s="2" t="n">
        <f aca="false">IF(H3657="yes",1,0)</f>
        <v>1</v>
      </c>
      <c r="L3657" s="2" t="n">
        <f aca="false">IF(I3657="yes",1,0)</f>
        <v>0</v>
      </c>
      <c r="M3657" s="2" t="n">
        <f aca="false">IF(G3657&lt;0,1,0)</f>
        <v>0</v>
      </c>
      <c r="N3657" s="2" t="str">
        <f aca="false">_xlfn.IFS(B3657&lt;30,"Under 30",B3657&lt;40,"30-39",B3657&lt;50,"40-49",B3657&lt;60,"50-59",TRUE(),"60+")</f>
        <v>40-49</v>
      </c>
      <c r="O3657" s="2" t="str">
        <f aca="false">_xlfn.IFS(G3657&lt;0,"1 Negative",G3657=0,"2 Zero",G3657&lt;=500,"3 1-500",G3657&lt;=2000,"4 501-2000",TRUE(),"5 Above 2000")</f>
        <v>4 501-2000</v>
      </c>
      <c r="P3657" s="2" t="n">
        <f aca="false">Lookups!$B$2*M3657+Lookups!$B$3*L3657</f>
        <v>0</v>
      </c>
      <c r="Q3657" s="2" t="str">
        <f aca="false">INDEX(Lookups!$E$2:$E$5,MATCH(P3657,Lookups!$D$2:$D$5,0))</f>
        <v>Low</v>
      </c>
    </row>
    <row r="3658" customFormat="false" ht="15" hidden="false" customHeight="false" outlineLevel="0" collapsed="false">
      <c r="A3658" s="3" t="n">
        <v>3657</v>
      </c>
      <c r="B3658" s="3" t="n">
        <f aca="false">Raw_Data!A3658</f>
        <v>33</v>
      </c>
      <c r="C3658" s="3" t="str">
        <f aca="false">SUBSTITUTE(Raw_Data!B3658,".","")</f>
        <v>student</v>
      </c>
      <c r="D3658" s="3" t="str">
        <f aca="false">Raw_Data!C3658</f>
        <v>single</v>
      </c>
      <c r="E3658" s="3" t="str">
        <f aca="false">Raw_Data!D3658</f>
        <v>unknown</v>
      </c>
      <c r="F3658" s="3" t="str">
        <f aca="false">Raw_Data!E3658</f>
        <v>no</v>
      </c>
      <c r="G3658" s="3" t="n">
        <f aca="false">Raw_Data!F3658</f>
        <v>5969</v>
      </c>
      <c r="H3658" s="3" t="str">
        <f aca="false">Raw_Data!G3658</f>
        <v>no</v>
      </c>
      <c r="I3658" s="3" t="str">
        <f aca="false">Raw_Data!H3658</f>
        <v>no</v>
      </c>
      <c r="J3658" s="2" t="n">
        <f aca="false">IF(F3658="yes",1,0)</f>
        <v>0</v>
      </c>
      <c r="K3658" s="2" t="n">
        <f aca="false">IF(H3658="yes",1,0)</f>
        <v>0</v>
      </c>
      <c r="L3658" s="2" t="n">
        <f aca="false">IF(I3658="yes",1,0)</f>
        <v>0</v>
      </c>
      <c r="M3658" s="2" t="n">
        <f aca="false">IF(G3658&lt;0,1,0)</f>
        <v>0</v>
      </c>
      <c r="N3658" s="2" t="str">
        <f aca="false">_xlfn.IFS(B3658&lt;30,"Under 30",B3658&lt;40,"30-39",B3658&lt;50,"40-49",B3658&lt;60,"50-59",TRUE(),"60+")</f>
        <v>30-39</v>
      </c>
      <c r="O3658" s="2" t="str">
        <f aca="false">_xlfn.IFS(G3658&lt;0,"1 Negative",G3658=0,"2 Zero",G3658&lt;=500,"3 1-500",G3658&lt;=2000,"4 501-2000",TRUE(),"5 Above 2000")</f>
        <v>5 Above 2000</v>
      </c>
      <c r="P3658" s="2" t="n">
        <f aca="false">Lookups!$B$2*M3658+Lookups!$B$3*L3658</f>
        <v>0</v>
      </c>
      <c r="Q3658" s="2" t="str">
        <f aca="false">INDEX(Lookups!$E$2:$E$5,MATCH(P3658,Lookups!$D$2:$D$5,0))</f>
        <v>Low</v>
      </c>
    </row>
    <row r="3659" customFormat="false" ht="15" hidden="false" customHeight="false" outlineLevel="0" collapsed="false">
      <c r="A3659" s="3" t="n">
        <v>3658</v>
      </c>
      <c r="B3659" s="3" t="n">
        <f aca="false">Raw_Data!A3659</f>
        <v>56</v>
      </c>
      <c r="C3659" s="3" t="str">
        <f aca="false">SUBSTITUTE(Raw_Data!B3659,".","")</f>
        <v>admin</v>
      </c>
      <c r="D3659" s="3" t="str">
        <f aca="false">Raw_Data!C3659</f>
        <v>divorced</v>
      </c>
      <c r="E3659" s="3" t="str">
        <f aca="false">Raw_Data!D3659</f>
        <v>secondary</v>
      </c>
      <c r="F3659" s="3" t="str">
        <f aca="false">Raw_Data!E3659</f>
        <v>no</v>
      </c>
      <c r="G3659" s="3" t="n">
        <f aca="false">Raw_Data!F3659</f>
        <v>3337</v>
      </c>
      <c r="H3659" s="3" t="str">
        <f aca="false">Raw_Data!G3659</f>
        <v>yes</v>
      </c>
      <c r="I3659" s="3" t="str">
        <f aca="false">Raw_Data!H3659</f>
        <v>no</v>
      </c>
      <c r="J3659" s="2" t="n">
        <f aca="false">IF(F3659="yes",1,0)</f>
        <v>0</v>
      </c>
      <c r="K3659" s="2" t="n">
        <f aca="false">IF(H3659="yes",1,0)</f>
        <v>1</v>
      </c>
      <c r="L3659" s="2" t="n">
        <f aca="false">IF(I3659="yes",1,0)</f>
        <v>0</v>
      </c>
      <c r="M3659" s="2" t="n">
        <f aca="false">IF(G3659&lt;0,1,0)</f>
        <v>0</v>
      </c>
      <c r="N3659" s="2" t="str">
        <f aca="false">_xlfn.IFS(B3659&lt;30,"Under 30",B3659&lt;40,"30-39",B3659&lt;50,"40-49",B3659&lt;60,"50-59",TRUE(),"60+")</f>
        <v>50-59</v>
      </c>
      <c r="O3659" s="2" t="str">
        <f aca="false">_xlfn.IFS(G3659&lt;0,"1 Negative",G3659=0,"2 Zero",G3659&lt;=500,"3 1-500",G3659&lt;=2000,"4 501-2000",TRUE(),"5 Above 2000")</f>
        <v>5 Above 2000</v>
      </c>
      <c r="P3659" s="2" t="n">
        <f aca="false">Lookups!$B$2*M3659+Lookups!$B$3*L3659</f>
        <v>0</v>
      </c>
      <c r="Q3659" s="2" t="str">
        <f aca="false">INDEX(Lookups!$E$2:$E$5,MATCH(P3659,Lookups!$D$2:$D$5,0))</f>
        <v>Low</v>
      </c>
    </row>
    <row r="3660" customFormat="false" ht="15" hidden="false" customHeight="false" outlineLevel="0" collapsed="false">
      <c r="A3660" s="3" t="n">
        <v>3659</v>
      </c>
      <c r="B3660" s="3" t="n">
        <f aca="false">Raw_Data!A3660</f>
        <v>26</v>
      </c>
      <c r="C3660" s="3" t="str">
        <f aca="false">SUBSTITUTE(Raw_Data!B3660,".","")</f>
        <v>services</v>
      </c>
      <c r="D3660" s="3" t="str">
        <f aca="false">Raw_Data!C3660</f>
        <v>single</v>
      </c>
      <c r="E3660" s="3" t="str">
        <f aca="false">Raw_Data!D3660</f>
        <v>secondary</v>
      </c>
      <c r="F3660" s="3" t="str">
        <f aca="false">Raw_Data!E3660</f>
        <v>no</v>
      </c>
      <c r="G3660" s="3" t="n">
        <f aca="false">Raw_Data!F3660</f>
        <v>1347</v>
      </c>
      <c r="H3660" s="3" t="str">
        <f aca="false">Raw_Data!G3660</f>
        <v>no</v>
      </c>
      <c r="I3660" s="3" t="str">
        <f aca="false">Raw_Data!H3660</f>
        <v>no</v>
      </c>
      <c r="J3660" s="2" t="n">
        <f aca="false">IF(F3660="yes",1,0)</f>
        <v>0</v>
      </c>
      <c r="K3660" s="2" t="n">
        <f aca="false">IF(H3660="yes",1,0)</f>
        <v>0</v>
      </c>
      <c r="L3660" s="2" t="n">
        <f aca="false">IF(I3660="yes",1,0)</f>
        <v>0</v>
      </c>
      <c r="M3660" s="2" t="n">
        <f aca="false">IF(G3660&lt;0,1,0)</f>
        <v>0</v>
      </c>
      <c r="N3660" s="2" t="str">
        <f aca="false">_xlfn.IFS(B3660&lt;30,"Under 30",B3660&lt;40,"30-39",B3660&lt;50,"40-49",B3660&lt;60,"50-59",TRUE(),"60+")</f>
        <v>Under 30</v>
      </c>
      <c r="O3660" s="2" t="str">
        <f aca="false">_xlfn.IFS(G3660&lt;0,"1 Negative",G3660=0,"2 Zero",G3660&lt;=500,"3 1-500",G3660&lt;=2000,"4 501-2000",TRUE(),"5 Above 2000")</f>
        <v>4 501-2000</v>
      </c>
      <c r="P3660" s="2" t="n">
        <f aca="false">Lookups!$B$2*M3660+Lookups!$B$3*L3660</f>
        <v>0</v>
      </c>
      <c r="Q3660" s="2" t="str">
        <f aca="false">INDEX(Lookups!$E$2:$E$5,MATCH(P3660,Lookups!$D$2:$D$5,0))</f>
        <v>Low</v>
      </c>
    </row>
    <row r="3661" customFormat="false" ht="15" hidden="false" customHeight="false" outlineLevel="0" collapsed="false">
      <c r="A3661" s="3" t="n">
        <v>3660</v>
      </c>
      <c r="B3661" s="3" t="n">
        <f aca="false">Raw_Data!A3661</f>
        <v>52</v>
      </c>
      <c r="C3661" s="3" t="str">
        <f aca="false">SUBSTITUTE(Raw_Data!B3661,".","")</f>
        <v>technician</v>
      </c>
      <c r="D3661" s="3" t="str">
        <f aca="false">Raw_Data!C3661</f>
        <v>married</v>
      </c>
      <c r="E3661" s="3" t="str">
        <f aca="false">Raw_Data!D3661</f>
        <v>secondary</v>
      </c>
      <c r="F3661" s="3" t="str">
        <f aca="false">Raw_Data!E3661</f>
        <v>no</v>
      </c>
      <c r="G3661" s="3" t="n">
        <f aca="false">Raw_Data!F3661</f>
        <v>64</v>
      </c>
      <c r="H3661" s="3" t="str">
        <f aca="false">Raw_Data!G3661</f>
        <v>no</v>
      </c>
      <c r="I3661" s="3" t="str">
        <f aca="false">Raw_Data!H3661</f>
        <v>no</v>
      </c>
      <c r="J3661" s="2" t="n">
        <f aca="false">IF(F3661="yes",1,0)</f>
        <v>0</v>
      </c>
      <c r="K3661" s="2" t="n">
        <f aca="false">IF(H3661="yes",1,0)</f>
        <v>0</v>
      </c>
      <c r="L3661" s="2" t="n">
        <f aca="false">IF(I3661="yes",1,0)</f>
        <v>0</v>
      </c>
      <c r="M3661" s="2" t="n">
        <f aca="false">IF(G3661&lt;0,1,0)</f>
        <v>0</v>
      </c>
      <c r="N3661" s="2" t="str">
        <f aca="false">_xlfn.IFS(B3661&lt;30,"Under 30",B3661&lt;40,"30-39",B3661&lt;50,"40-49",B3661&lt;60,"50-59",TRUE(),"60+")</f>
        <v>50-59</v>
      </c>
      <c r="O3661" s="2" t="str">
        <f aca="false">_xlfn.IFS(G3661&lt;0,"1 Negative",G3661=0,"2 Zero",G3661&lt;=500,"3 1-500",G3661&lt;=2000,"4 501-2000",TRUE(),"5 Above 2000")</f>
        <v>3 1-500</v>
      </c>
      <c r="P3661" s="2" t="n">
        <f aca="false">Lookups!$B$2*M3661+Lookups!$B$3*L3661</f>
        <v>0</v>
      </c>
      <c r="Q3661" s="2" t="str">
        <f aca="false">INDEX(Lookups!$E$2:$E$5,MATCH(P3661,Lookups!$D$2:$D$5,0))</f>
        <v>Low</v>
      </c>
    </row>
    <row r="3662" customFormat="false" ht="15" hidden="false" customHeight="false" outlineLevel="0" collapsed="false">
      <c r="A3662" s="3" t="n">
        <v>3661</v>
      </c>
      <c r="B3662" s="3" t="n">
        <f aca="false">Raw_Data!A3662</f>
        <v>32</v>
      </c>
      <c r="C3662" s="3" t="str">
        <f aca="false">SUBSTITUTE(Raw_Data!B3662,".","")</f>
        <v>management</v>
      </c>
      <c r="D3662" s="3" t="str">
        <f aca="false">Raw_Data!C3662</f>
        <v>single</v>
      </c>
      <c r="E3662" s="3" t="str">
        <f aca="false">Raw_Data!D3662</f>
        <v>secondary</v>
      </c>
      <c r="F3662" s="3" t="str">
        <f aca="false">Raw_Data!E3662</f>
        <v>no</v>
      </c>
      <c r="G3662" s="3" t="n">
        <f aca="false">Raw_Data!F3662</f>
        <v>249</v>
      </c>
      <c r="H3662" s="3" t="str">
        <f aca="false">Raw_Data!G3662</f>
        <v>yes</v>
      </c>
      <c r="I3662" s="3" t="str">
        <f aca="false">Raw_Data!H3662</f>
        <v>no</v>
      </c>
      <c r="J3662" s="2" t="n">
        <f aca="false">IF(F3662="yes",1,0)</f>
        <v>0</v>
      </c>
      <c r="K3662" s="2" t="n">
        <f aca="false">IF(H3662="yes",1,0)</f>
        <v>1</v>
      </c>
      <c r="L3662" s="2" t="n">
        <f aca="false">IF(I3662="yes",1,0)</f>
        <v>0</v>
      </c>
      <c r="M3662" s="2" t="n">
        <f aca="false">IF(G3662&lt;0,1,0)</f>
        <v>0</v>
      </c>
      <c r="N3662" s="2" t="str">
        <f aca="false">_xlfn.IFS(B3662&lt;30,"Under 30",B3662&lt;40,"30-39",B3662&lt;50,"40-49",B3662&lt;60,"50-59",TRUE(),"60+")</f>
        <v>30-39</v>
      </c>
      <c r="O3662" s="2" t="str">
        <f aca="false">_xlfn.IFS(G3662&lt;0,"1 Negative",G3662=0,"2 Zero",G3662&lt;=500,"3 1-500",G3662&lt;=2000,"4 501-2000",TRUE(),"5 Above 2000")</f>
        <v>3 1-500</v>
      </c>
      <c r="P3662" s="2" t="n">
        <f aca="false">Lookups!$B$2*M3662+Lookups!$B$3*L3662</f>
        <v>0</v>
      </c>
      <c r="Q3662" s="2" t="str">
        <f aca="false">INDEX(Lookups!$E$2:$E$5,MATCH(P3662,Lookups!$D$2:$D$5,0))</f>
        <v>Low</v>
      </c>
    </row>
    <row r="3663" customFormat="false" ht="15" hidden="false" customHeight="false" outlineLevel="0" collapsed="false">
      <c r="A3663" s="3" t="n">
        <v>3662</v>
      </c>
      <c r="B3663" s="3" t="n">
        <f aca="false">Raw_Data!A3663</f>
        <v>36</v>
      </c>
      <c r="C3663" s="3" t="str">
        <f aca="false">SUBSTITUTE(Raw_Data!B3663,".","")</f>
        <v>technician</v>
      </c>
      <c r="D3663" s="3" t="str">
        <f aca="false">Raw_Data!C3663</f>
        <v>single</v>
      </c>
      <c r="E3663" s="3" t="str">
        <f aca="false">Raw_Data!D3663</f>
        <v>secondary</v>
      </c>
      <c r="F3663" s="3" t="str">
        <f aca="false">Raw_Data!E3663</f>
        <v>no</v>
      </c>
      <c r="G3663" s="3" t="n">
        <f aca="false">Raw_Data!F3663</f>
        <v>0</v>
      </c>
      <c r="H3663" s="3" t="str">
        <f aca="false">Raw_Data!G3663</f>
        <v>no</v>
      </c>
      <c r="I3663" s="3" t="str">
        <f aca="false">Raw_Data!H3663</f>
        <v>no</v>
      </c>
      <c r="J3663" s="2" t="n">
        <f aca="false">IF(F3663="yes",1,0)</f>
        <v>0</v>
      </c>
      <c r="K3663" s="2" t="n">
        <f aca="false">IF(H3663="yes",1,0)</f>
        <v>0</v>
      </c>
      <c r="L3663" s="2" t="n">
        <f aca="false">IF(I3663="yes",1,0)</f>
        <v>0</v>
      </c>
      <c r="M3663" s="2" t="n">
        <f aca="false">IF(G3663&lt;0,1,0)</f>
        <v>0</v>
      </c>
      <c r="N3663" s="2" t="str">
        <f aca="false">_xlfn.IFS(B3663&lt;30,"Under 30",B3663&lt;40,"30-39",B3663&lt;50,"40-49",B3663&lt;60,"50-59",TRUE(),"60+")</f>
        <v>30-39</v>
      </c>
      <c r="O3663" s="2" t="str">
        <f aca="false">_xlfn.IFS(G3663&lt;0,"1 Negative",G3663=0,"2 Zero",G3663&lt;=500,"3 1-500",G3663&lt;=2000,"4 501-2000",TRUE(),"5 Above 2000")</f>
        <v>2 Zero</v>
      </c>
      <c r="P3663" s="2" t="n">
        <f aca="false">Lookups!$B$2*M3663+Lookups!$B$3*L3663</f>
        <v>0</v>
      </c>
      <c r="Q3663" s="2" t="str">
        <f aca="false">INDEX(Lookups!$E$2:$E$5,MATCH(P3663,Lookups!$D$2:$D$5,0))</f>
        <v>Low</v>
      </c>
    </row>
    <row r="3664" customFormat="false" ht="15" hidden="false" customHeight="false" outlineLevel="0" collapsed="false">
      <c r="A3664" s="3" t="n">
        <v>3663</v>
      </c>
      <c r="B3664" s="3" t="n">
        <f aca="false">Raw_Data!A3664</f>
        <v>26</v>
      </c>
      <c r="C3664" s="3" t="str">
        <f aca="false">SUBSTITUTE(Raw_Data!B3664,".","")</f>
        <v>blue-collar</v>
      </c>
      <c r="D3664" s="3" t="str">
        <f aca="false">Raw_Data!C3664</f>
        <v>married</v>
      </c>
      <c r="E3664" s="3" t="str">
        <f aca="false">Raw_Data!D3664</f>
        <v>secondary</v>
      </c>
      <c r="F3664" s="3" t="str">
        <f aca="false">Raw_Data!E3664</f>
        <v>no</v>
      </c>
      <c r="G3664" s="3" t="n">
        <f aca="false">Raw_Data!F3664</f>
        <v>128</v>
      </c>
      <c r="H3664" s="3" t="str">
        <f aca="false">Raw_Data!G3664</f>
        <v>no</v>
      </c>
      <c r="I3664" s="3" t="str">
        <f aca="false">Raw_Data!H3664</f>
        <v>no</v>
      </c>
      <c r="J3664" s="2" t="n">
        <f aca="false">IF(F3664="yes",1,0)</f>
        <v>0</v>
      </c>
      <c r="K3664" s="2" t="n">
        <f aca="false">IF(H3664="yes",1,0)</f>
        <v>0</v>
      </c>
      <c r="L3664" s="2" t="n">
        <f aca="false">IF(I3664="yes",1,0)</f>
        <v>0</v>
      </c>
      <c r="M3664" s="2" t="n">
        <f aca="false">IF(G3664&lt;0,1,0)</f>
        <v>0</v>
      </c>
      <c r="N3664" s="2" t="str">
        <f aca="false">_xlfn.IFS(B3664&lt;30,"Under 30",B3664&lt;40,"30-39",B3664&lt;50,"40-49",B3664&lt;60,"50-59",TRUE(),"60+")</f>
        <v>Under 30</v>
      </c>
      <c r="O3664" s="2" t="str">
        <f aca="false">_xlfn.IFS(G3664&lt;0,"1 Negative",G3664=0,"2 Zero",G3664&lt;=500,"3 1-500",G3664&lt;=2000,"4 501-2000",TRUE(),"5 Above 2000")</f>
        <v>3 1-500</v>
      </c>
      <c r="P3664" s="2" t="n">
        <f aca="false">Lookups!$B$2*M3664+Lookups!$B$3*L3664</f>
        <v>0</v>
      </c>
      <c r="Q3664" s="2" t="str">
        <f aca="false">INDEX(Lookups!$E$2:$E$5,MATCH(P3664,Lookups!$D$2:$D$5,0))</f>
        <v>Low</v>
      </c>
    </row>
    <row r="3665" customFormat="false" ht="15" hidden="false" customHeight="false" outlineLevel="0" collapsed="false">
      <c r="A3665" s="3" t="n">
        <v>3664</v>
      </c>
      <c r="B3665" s="3" t="n">
        <f aca="false">Raw_Data!A3665</f>
        <v>37</v>
      </c>
      <c r="C3665" s="3" t="str">
        <f aca="false">SUBSTITUTE(Raw_Data!B3665,".","")</f>
        <v>blue-collar</v>
      </c>
      <c r="D3665" s="3" t="str">
        <f aca="false">Raw_Data!C3665</f>
        <v>married</v>
      </c>
      <c r="E3665" s="3" t="str">
        <f aca="false">Raw_Data!D3665</f>
        <v>secondary</v>
      </c>
      <c r="F3665" s="3" t="str">
        <f aca="false">Raw_Data!E3665</f>
        <v>no</v>
      </c>
      <c r="G3665" s="3" t="n">
        <f aca="false">Raw_Data!F3665</f>
        <v>196</v>
      </c>
      <c r="H3665" s="3" t="str">
        <f aca="false">Raw_Data!G3665</f>
        <v>yes</v>
      </c>
      <c r="I3665" s="3" t="str">
        <f aca="false">Raw_Data!H3665</f>
        <v>no</v>
      </c>
      <c r="J3665" s="2" t="n">
        <f aca="false">IF(F3665="yes",1,0)</f>
        <v>0</v>
      </c>
      <c r="K3665" s="2" t="n">
        <f aca="false">IF(H3665="yes",1,0)</f>
        <v>1</v>
      </c>
      <c r="L3665" s="2" t="n">
        <f aca="false">IF(I3665="yes",1,0)</f>
        <v>0</v>
      </c>
      <c r="M3665" s="2" t="n">
        <f aca="false">IF(G3665&lt;0,1,0)</f>
        <v>0</v>
      </c>
      <c r="N3665" s="2" t="str">
        <f aca="false">_xlfn.IFS(B3665&lt;30,"Under 30",B3665&lt;40,"30-39",B3665&lt;50,"40-49",B3665&lt;60,"50-59",TRUE(),"60+")</f>
        <v>30-39</v>
      </c>
      <c r="O3665" s="2" t="str">
        <f aca="false">_xlfn.IFS(G3665&lt;0,"1 Negative",G3665=0,"2 Zero",G3665&lt;=500,"3 1-500",G3665&lt;=2000,"4 501-2000",TRUE(),"5 Above 2000")</f>
        <v>3 1-500</v>
      </c>
      <c r="P3665" s="2" t="n">
        <f aca="false">Lookups!$B$2*M3665+Lookups!$B$3*L3665</f>
        <v>0</v>
      </c>
      <c r="Q3665" s="2" t="str">
        <f aca="false">INDEX(Lookups!$E$2:$E$5,MATCH(P3665,Lookups!$D$2:$D$5,0))</f>
        <v>Low</v>
      </c>
    </row>
    <row r="3666" customFormat="false" ht="15" hidden="false" customHeight="false" outlineLevel="0" collapsed="false">
      <c r="A3666" s="3" t="n">
        <v>3665</v>
      </c>
      <c r="B3666" s="3" t="n">
        <f aca="false">Raw_Data!A3666</f>
        <v>34</v>
      </c>
      <c r="C3666" s="3" t="str">
        <f aca="false">SUBSTITUTE(Raw_Data!B3666,".","")</f>
        <v>technician</v>
      </c>
      <c r="D3666" s="3" t="str">
        <f aca="false">Raw_Data!C3666</f>
        <v>married</v>
      </c>
      <c r="E3666" s="3" t="str">
        <f aca="false">Raw_Data!D3666</f>
        <v>secondary</v>
      </c>
      <c r="F3666" s="3" t="str">
        <f aca="false">Raw_Data!E3666</f>
        <v>no</v>
      </c>
      <c r="G3666" s="3" t="n">
        <f aca="false">Raw_Data!F3666</f>
        <v>351</v>
      </c>
      <c r="H3666" s="3" t="str">
        <f aca="false">Raw_Data!G3666</f>
        <v>yes</v>
      </c>
      <c r="I3666" s="3" t="str">
        <f aca="false">Raw_Data!H3666</f>
        <v>no</v>
      </c>
      <c r="J3666" s="2" t="n">
        <f aca="false">IF(F3666="yes",1,0)</f>
        <v>0</v>
      </c>
      <c r="K3666" s="2" t="n">
        <f aca="false">IF(H3666="yes",1,0)</f>
        <v>1</v>
      </c>
      <c r="L3666" s="2" t="n">
        <f aca="false">IF(I3666="yes",1,0)</f>
        <v>0</v>
      </c>
      <c r="M3666" s="2" t="n">
        <f aca="false">IF(G3666&lt;0,1,0)</f>
        <v>0</v>
      </c>
      <c r="N3666" s="2" t="str">
        <f aca="false">_xlfn.IFS(B3666&lt;30,"Under 30",B3666&lt;40,"30-39",B3666&lt;50,"40-49",B3666&lt;60,"50-59",TRUE(),"60+")</f>
        <v>30-39</v>
      </c>
      <c r="O3666" s="2" t="str">
        <f aca="false">_xlfn.IFS(G3666&lt;0,"1 Negative",G3666=0,"2 Zero",G3666&lt;=500,"3 1-500",G3666&lt;=2000,"4 501-2000",TRUE(),"5 Above 2000")</f>
        <v>3 1-500</v>
      </c>
      <c r="P3666" s="2" t="n">
        <f aca="false">Lookups!$B$2*M3666+Lookups!$B$3*L3666</f>
        <v>0</v>
      </c>
      <c r="Q3666" s="2" t="str">
        <f aca="false">INDEX(Lookups!$E$2:$E$5,MATCH(P3666,Lookups!$D$2:$D$5,0))</f>
        <v>Low</v>
      </c>
    </row>
    <row r="3667" customFormat="false" ht="15" hidden="false" customHeight="false" outlineLevel="0" collapsed="false">
      <c r="A3667" s="3" t="n">
        <v>3666</v>
      </c>
      <c r="B3667" s="3" t="n">
        <f aca="false">Raw_Data!A3667</f>
        <v>26</v>
      </c>
      <c r="C3667" s="3" t="str">
        <f aca="false">SUBSTITUTE(Raw_Data!B3667,".","")</f>
        <v>services</v>
      </c>
      <c r="D3667" s="3" t="str">
        <f aca="false">Raw_Data!C3667</f>
        <v>single</v>
      </c>
      <c r="E3667" s="3" t="str">
        <f aca="false">Raw_Data!D3667</f>
        <v>secondary</v>
      </c>
      <c r="F3667" s="3" t="str">
        <f aca="false">Raw_Data!E3667</f>
        <v>no</v>
      </c>
      <c r="G3667" s="3" t="n">
        <f aca="false">Raw_Data!F3667</f>
        <v>5533</v>
      </c>
      <c r="H3667" s="3" t="str">
        <f aca="false">Raw_Data!G3667</f>
        <v>yes</v>
      </c>
      <c r="I3667" s="3" t="str">
        <f aca="false">Raw_Data!H3667</f>
        <v>no</v>
      </c>
      <c r="J3667" s="2" t="n">
        <f aca="false">IF(F3667="yes",1,0)</f>
        <v>0</v>
      </c>
      <c r="K3667" s="2" t="n">
        <f aca="false">IF(H3667="yes",1,0)</f>
        <v>1</v>
      </c>
      <c r="L3667" s="2" t="n">
        <f aca="false">IF(I3667="yes",1,0)</f>
        <v>0</v>
      </c>
      <c r="M3667" s="2" t="n">
        <f aca="false">IF(G3667&lt;0,1,0)</f>
        <v>0</v>
      </c>
      <c r="N3667" s="2" t="str">
        <f aca="false">_xlfn.IFS(B3667&lt;30,"Under 30",B3667&lt;40,"30-39",B3667&lt;50,"40-49",B3667&lt;60,"50-59",TRUE(),"60+")</f>
        <v>Under 30</v>
      </c>
      <c r="O3667" s="2" t="str">
        <f aca="false">_xlfn.IFS(G3667&lt;0,"1 Negative",G3667=0,"2 Zero",G3667&lt;=500,"3 1-500",G3667&lt;=2000,"4 501-2000",TRUE(),"5 Above 2000")</f>
        <v>5 Above 2000</v>
      </c>
      <c r="P3667" s="2" t="n">
        <f aca="false">Lookups!$B$2*M3667+Lookups!$B$3*L3667</f>
        <v>0</v>
      </c>
      <c r="Q3667" s="2" t="str">
        <f aca="false">INDEX(Lookups!$E$2:$E$5,MATCH(P3667,Lookups!$D$2:$D$5,0))</f>
        <v>Low</v>
      </c>
    </row>
    <row r="3668" customFormat="false" ht="15" hidden="false" customHeight="false" outlineLevel="0" collapsed="false">
      <c r="A3668" s="3" t="n">
        <v>3667</v>
      </c>
      <c r="B3668" s="3" t="n">
        <f aca="false">Raw_Data!A3668</f>
        <v>32</v>
      </c>
      <c r="C3668" s="3" t="str">
        <f aca="false">SUBSTITUTE(Raw_Data!B3668,".","")</f>
        <v>services</v>
      </c>
      <c r="D3668" s="3" t="str">
        <f aca="false">Raw_Data!C3668</f>
        <v>married</v>
      </c>
      <c r="E3668" s="3" t="str">
        <f aca="false">Raw_Data!D3668</f>
        <v>secondary</v>
      </c>
      <c r="F3668" s="3" t="str">
        <f aca="false">Raw_Data!E3668</f>
        <v>no</v>
      </c>
      <c r="G3668" s="3" t="n">
        <f aca="false">Raw_Data!F3668</f>
        <v>38</v>
      </c>
      <c r="H3668" s="3" t="str">
        <f aca="false">Raw_Data!G3668</f>
        <v>yes</v>
      </c>
      <c r="I3668" s="3" t="str">
        <f aca="false">Raw_Data!H3668</f>
        <v>no</v>
      </c>
      <c r="J3668" s="2" t="n">
        <f aca="false">IF(F3668="yes",1,0)</f>
        <v>0</v>
      </c>
      <c r="K3668" s="2" t="n">
        <f aca="false">IF(H3668="yes",1,0)</f>
        <v>1</v>
      </c>
      <c r="L3668" s="2" t="n">
        <f aca="false">IF(I3668="yes",1,0)</f>
        <v>0</v>
      </c>
      <c r="M3668" s="2" t="n">
        <f aca="false">IF(G3668&lt;0,1,0)</f>
        <v>0</v>
      </c>
      <c r="N3668" s="2" t="str">
        <f aca="false">_xlfn.IFS(B3668&lt;30,"Under 30",B3668&lt;40,"30-39",B3668&lt;50,"40-49",B3668&lt;60,"50-59",TRUE(),"60+")</f>
        <v>30-39</v>
      </c>
      <c r="O3668" s="2" t="str">
        <f aca="false">_xlfn.IFS(G3668&lt;0,"1 Negative",G3668=0,"2 Zero",G3668&lt;=500,"3 1-500",G3668&lt;=2000,"4 501-2000",TRUE(),"5 Above 2000")</f>
        <v>3 1-500</v>
      </c>
      <c r="P3668" s="2" t="n">
        <f aca="false">Lookups!$B$2*M3668+Lookups!$B$3*L3668</f>
        <v>0</v>
      </c>
      <c r="Q3668" s="2" t="str">
        <f aca="false">INDEX(Lookups!$E$2:$E$5,MATCH(P3668,Lookups!$D$2:$D$5,0))</f>
        <v>Low</v>
      </c>
    </row>
    <row r="3669" customFormat="false" ht="15" hidden="false" customHeight="false" outlineLevel="0" collapsed="false">
      <c r="A3669" s="3" t="n">
        <v>3668</v>
      </c>
      <c r="B3669" s="3" t="n">
        <f aca="false">Raw_Data!A3669</f>
        <v>30</v>
      </c>
      <c r="C3669" s="3" t="str">
        <f aca="false">SUBSTITUTE(Raw_Data!B3669,".","")</f>
        <v>management</v>
      </c>
      <c r="D3669" s="3" t="str">
        <f aca="false">Raw_Data!C3669</f>
        <v>single</v>
      </c>
      <c r="E3669" s="3" t="str">
        <f aca="false">Raw_Data!D3669</f>
        <v>tertiary</v>
      </c>
      <c r="F3669" s="3" t="str">
        <f aca="false">Raw_Data!E3669</f>
        <v>yes</v>
      </c>
      <c r="G3669" s="3" t="n">
        <f aca="false">Raw_Data!F3669</f>
        <v>35</v>
      </c>
      <c r="H3669" s="3" t="str">
        <f aca="false">Raw_Data!G3669</f>
        <v>no</v>
      </c>
      <c r="I3669" s="3" t="str">
        <f aca="false">Raw_Data!H3669</f>
        <v>no</v>
      </c>
      <c r="J3669" s="2" t="n">
        <f aca="false">IF(F3669="yes",1,0)</f>
        <v>1</v>
      </c>
      <c r="K3669" s="2" t="n">
        <f aca="false">IF(H3669="yes",1,0)</f>
        <v>0</v>
      </c>
      <c r="L3669" s="2" t="n">
        <f aca="false">IF(I3669="yes",1,0)</f>
        <v>0</v>
      </c>
      <c r="M3669" s="2" t="n">
        <f aca="false">IF(G3669&lt;0,1,0)</f>
        <v>0</v>
      </c>
      <c r="N3669" s="2" t="str">
        <f aca="false">_xlfn.IFS(B3669&lt;30,"Under 30",B3669&lt;40,"30-39",B3669&lt;50,"40-49",B3669&lt;60,"50-59",TRUE(),"60+")</f>
        <v>30-39</v>
      </c>
      <c r="O3669" s="2" t="str">
        <f aca="false">_xlfn.IFS(G3669&lt;0,"1 Negative",G3669=0,"2 Zero",G3669&lt;=500,"3 1-500",G3669&lt;=2000,"4 501-2000",TRUE(),"5 Above 2000")</f>
        <v>3 1-500</v>
      </c>
      <c r="P3669" s="2" t="n">
        <f aca="false">Lookups!$B$2*M3669+Lookups!$B$3*L3669</f>
        <v>0</v>
      </c>
      <c r="Q3669" s="2" t="str">
        <f aca="false">INDEX(Lookups!$E$2:$E$5,MATCH(P3669,Lookups!$D$2:$D$5,0))</f>
        <v>Low</v>
      </c>
    </row>
    <row r="3670" customFormat="false" ht="15" hidden="false" customHeight="false" outlineLevel="0" collapsed="false">
      <c r="A3670" s="3" t="n">
        <v>3669</v>
      </c>
      <c r="B3670" s="3" t="n">
        <f aca="false">Raw_Data!A3670</f>
        <v>27</v>
      </c>
      <c r="C3670" s="3" t="str">
        <f aca="false">SUBSTITUTE(Raw_Data!B3670,".","")</f>
        <v>technician</v>
      </c>
      <c r="D3670" s="3" t="str">
        <f aca="false">Raw_Data!C3670</f>
        <v>single</v>
      </c>
      <c r="E3670" s="3" t="str">
        <f aca="false">Raw_Data!D3670</f>
        <v>secondary</v>
      </c>
      <c r="F3670" s="3" t="str">
        <f aca="false">Raw_Data!E3670</f>
        <v>no</v>
      </c>
      <c r="G3670" s="3" t="n">
        <f aca="false">Raw_Data!F3670</f>
        <v>235</v>
      </c>
      <c r="H3670" s="3" t="str">
        <f aca="false">Raw_Data!G3670</f>
        <v>yes</v>
      </c>
      <c r="I3670" s="3" t="str">
        <f aca="false">Raw_Data!H3670</f>
        <v>no</v>
      </c>
      <c r="J3670" s="2" t="n">
        <f aca="false">IF(F3670="yes",1,0)</f>
        <v>0</v>
      </c>
      <c r="K3670" s="2" t="n">
        <f aca="false">IF(H3670="yes",1,0)</f>
        <v>1</v>
      </c>
      <c r="L3670" s="2" t="n">
        <f aca="false">IF(I3670="yes",1,0)</f>
        <v>0</v>
      </c>
      <c r="M3670" s="2" t="n">
        <f aca="false">IF(G3670&lt;0,1,0)</f>
        <v>0</v>
      </c>
      <c r="N3670" s="2" t="str">
        <f aca="false">_xlfn.IFS(B3670&lt;30,"Under 30",B3670&lt;40,"30-39",B3670&lt;50,"40-49",B3670&lt;60,"50-59",TRUE(),"60+")</f>
        <v>Under 30</v>
      </c>
      <c r="O3670" s="2" t="str">
        <f aca="false">_xlfn.IFS(G3670&lt;0,"1 Negative",G3670=0,"2 Zero",G3670&lt;=500,"3 1-500",G3670&lt;=2000,"4 501-2000",TRUE(),"5 Above 2000")</f>
        <v>3 1-500</v>
      </c>
      <c r="P3670" s="2" t="n">
        <f aca="false">Lookups!$B$2*M3670+Lookups!$B$3*L3670</f>
        <v>0</v>
      </c>
      <c r="Q3670" s="2" t="str">
        <f aca="false">INDEX(Lookups!$E$2:$E$5,MATCH(P3670,Lookups!$D$2:$D$5,0))</f>
        <v>Low</v>
      </c>
    </row>
    <row r="3671" customFormat="false" ht="15" hidden="false" customHeight="false" outlineLevel="0" collapsed="false">
      <c r="A3671" s="3" t="n">
        <v>3670</v>
      </c>
      <c r="B3671" s="3" t="n">
        <f aca="false">Raw_Data!A3671</f>
        <v>42</v>
      </c>
      <c r="C3671" s="3" t="str">
        <f aca="false">SUBSTITUTE(Raw_Data!B3671,".","")</f>
        <v>admin</v>
      </c>
      <c r="D3671" s="3" t="str">
        <f aca="false">Raw_Data!C3671</f>
        <v>single</v>
      </c>
      <c r="E3671" s="3" t="str">
        <f aca="false">Raw_Data!D3671</f>
        <v>secondary</v>
      </c>
      <c r="F3671" s="3" t="str">
        <f aca="false">Raw_Data!E3671</f>
        <v>no</v>
      </c>
      <c r="G3671" s="3" t="n">
        <f aca="false">Raw_Data!F3671</f>
        <v>30</v>
      </c>
      <c r="H3671" s="3" t="str">
        <f aca="false">Raw_Data!G3671</f>
        <v>yes</v>
      </c>
      <c r="I3671" s="3" t="str">
        <f aca="false">Raw_Data!H3671</f>
        <v>no</v>
      </c>
      <c r="J3671" s="2" t="n">
        <f aca="false">IF(F3671="yes",1,0)</f>
        <v>0</v>
      </c>
      <c r="K3671" s="2" t="n">
        <f aca="false">IF(H3671="yes",1,0)</f>
        <v>1</v>
      </c>
      <c r="L3671" s="2" t="n">
        <f aca="false">IF(I3671="yes",1,0)</f>
        <v>0</v>
      </c>
      <c r="M3671" s="2" t="n">
        <f aca="false">IF(G3671&lt;0,1,0)</f>
        <v>0</v>
      </c>
      <c r="N3671" s="2" t="str">
        <f aca="false">_xlfn.IFS(B3671&lt;30,"Under 30",B3671&lt;40,"30-39",B3671&lt;50,"40-49",B3671&lt;60,"50-59",TRUE(),"60+")</f>
        <v>40-49</v>
      </c>
      <c r="O3671" s="2" t="str">
        <f aca="false">_xlfn.IFS(G3671&lt;0,"1 Negative",G3671=0,"2 Zero",G3671&lt;=500,"3 1-500",G3671&lt;=2000,"4 501-2000",TRUE(),"5 Above 2000")</f>
        <v>3 1-500</v>
      </c>
      <c r="P3671" s="2" t="n">
        <f aca="false">Lookups!$B$2*M3671+Lookups!$B$3*L3671</f>
        <v>0</v>
      </c>
      <c r="Q3671" s="2" t="str">
        <f aca="false">INDEX(Lookups!$E$2:$E$5,MATCH(P3671,Lookups!$D$2:$D$5,0))</f>
        <v>Low</v>
      </c>
    </row>
    <row r="3672" customFormat="false" ht="15" hidden="false" customHeight="false" outlineLevel="0" collapsed="false">
      <c r="A3672" s="3" t="n">
        <v>3671</v>
      </c>
      <c r="B3672" s="3" t="n">
        <f aca="false">Raw_Data!A3672</f>
        <v>33</v>
      </c>
      <c r="C3672" s="3" t="str">
        <f aca="false">SUBSTITUTE(Raw_Data!B3672,".","")</f>
        <v>blue-collar</v>
      </c>
      <c r="D3672" s="3" t="str">
        <f aca="false">Raw_Data!C3672</f>
        <v>single</v>
      </c>
      <c r="E3672" s="3" t="str">
        <f aca="false">Raw_Data!D3672</f>
        <v>primary</v>
      </c>
      <c r="F3672" s="3" t="str">
        <f aca="false">Raw_Data!E3672</f>
        <v>no</v>
      </c>
      <c r="G3672" s="3" t="n">
        <f aca="false">Raw_Data!F3672</f>
        <v>92</v>
      </c>
      <c r="H3672" s="3" t="str">
        <f aca="false">Raw_Data!G3672</f>
        <v>yes</v>
      </c>
      <c r="I3672" s="3" t="str">
        <f aca="false">Raw_Data!H3672</f>
        <v>no</v>
      </c>
      <c r="J3672" s="2" t="n">
        <f aca="false">IF(F3672="yes",1,0)</f>
        <v>0</v>
      </c>
      <c r="K3672" s="2" t="n">
        <f aca="false">IF(H3672="yes",1,0)</f>
        <v>1</v>
      </c>
      <c r="L3672" s="2" t="n">
        <f aca="false">IF(I3672="yes",1,0)</f>
        <v>0</v>
      </c>
      <c r="M3672" s="2" t="n">
        <f aca="false">IF(G3672&lt;0,1,0)</f>
        <v>0</v>
      </c>
      <c r="N3672" s="2" t="str">
        <f aca="false">_xlfn.IFS(B3672&lt;30,"Under 30",B3672&lt;40,"30-39",B3672&lt;50,"40-49",B3672&lt;60,"50-59",TRUE(),"60+")</f>
        <v>30-39</v>
      </c>
      <c r="O3672" s="2" t="str">
        <f aca="false">_xlfn.IFS(G3672&lt;0,"1 Negative",G3672=0,"2 Zero",G3672&lt;=500,"3 1-500",G3672&lt;=2000,"4 501-2000",TRUE(),"5 Above 2000")</f>
        <v>3 1-500</v>
      </c>
      <c r="P3672" s="2" t="n">
        <f aca="false">Lookups!$B$2*M3672+Lookups!$B$3*L3672</f>
        <v>0</v>
      </c>
      <c r="Q3672" s="2" t="str">
        <f aca="false">INDEX(Lookups!$E$2:$E$5,MATCH(P3672,Lookups!$D$2:$D$5,0))</f>
        <v>Low</v>
      </c>
    </row>
    <row r="3673" customFormat="false" ht="15" hidden="false" customHeight="false" outlineLevel="0" collapsed="false">
      <c r="A3673" s="3" t="n">
        <v>3672</v>
      </c>
      <c r="B3673" s="3" t="n">
        <f aca="false">Raw_Data!A3673</f>
        <v>37</v>
      </c>
      <c r="C3673" s="3" t="str">
        <f aca="false">SUBSTITUTE(Raw_Data!B3673,".","")</f>
        <v>blue-collar</v>
      </c>
      <c r="D3673" s="3" t="str">
        <f aca="false">Raw_Data!C3673</f>
        <v>married</v>
      </c>
      <c r="E3673" s="3" t="str">
        <f aca="false">Raw_Data!D3673</f>
        <v>secondary</v>
      </c>
      <c r="F3673" s="3" t="str">
        <f aca="false">Raw_Data!E3673</f>
        <v>no</v>
      </c>
      <c r="G3673" s="3" t="n">
        <f aca="false">Raw_Data!F3673</f>
        <v>67</v>
      </c>
      <c r="H3673" s="3" t="str">
        <f aca="false">Raw_Data!G3673</f>
        <v>no</v>
      </c>
      <c r="I3673" s="3" t="str">
        <f aca="false">Raw_Data!H3673</f>
        <v>no</v>
      </c>
      <c r="J3673" s="2" t="n">
        <f aca="false">IF(F3673="yes",1,0)</f>
        <v>0</v>
      </c>
      <c r="K3673" s="2" t="n">
        <f aca="false">IF(H3673="yes",1,0)</f>
        <v>0</v>
      </c>
      <c r="L3673" s="2" t="n">
        <f aca="false">IF(I3673="yes",1,0)</f>
        <v>0</v>
      </c>
      <c r="M3673" s="2" t="n">
        <f aca="false">IF(G3673&lt;0,1,0)</f>
        <v>0</v>
      </c>
      <c r="N3673" s="2" t="str">
        <f aca="false">_xlfn.IFS(B3673&lt;30,"Under 30",B3673&lt;40,"30-39",B3673&lt;50,"40-49",B3673&lt;60,"50-59",TRUE(),"60+")</f>
        <v>30-39</v>
      </c>
      <c r="O3673" s="2" t="str">
        <f aca="false">_xlfn.IFS(G3673&lt;0,"1 Negative",G3673=0,"2 Zero",G3673&lt;=500,"3 1-500",G3673&lt;=2000,"4 501-2000",TRUE(),"5 Above 2000")</f>
        <v>3 1-500</v>
      </c>
      <c r="P3673" s="2" t="n">
        <f aca="false">Lookups!$B$2*M3673+Lookups!$B$3*L3673</f>
        <v>0</v>
      </c>
      <c r="Q3673" s="2" t="str">
        <f aca="false">INDEX(Lookups!$E$2:$E$5,MATCH(P3673,Lookups!$D$2:$D$5,0))</f>
        <v>Low</v>
      </c>
    </row>
    <row r="3674" customFormat="false" ht="15" hidden="false" customHeight="false" outlineLevel="0" collapsed="false">
      <c r="A3674" s="3" t="n">
        <v>3673</v>
      </c>
      <c r="B3674" s="3" t="n">
        <f aca="false">Raw_Data!A3674</f>
        <v>45</v>
      </c>
      <c r="C3674" s="3" t="str">
        <f aca="false">SUBSTITUTE(Raw_Data!B3674,".","")</f>
        <v>blue-collar</v>
      </c>
      <c r="D3674" s="3" t="str">
        <f aca="false">Raw_Data!C3674</f>
        <v>married</v>
      </c>
      <c r="E3674" s="3" t="str">
        <f aca="false">Raw_Data!D3674</f>
        <v>secondary</v>
      </c>
      <c r="F3674" s="3" t="str">
        <f aca="false">Raw_Data!E3674</f>
        <v>no</v>
      </c>
      <c r="G3674" s="3" t="n">
        <f aca="false">Raw_Data!F3674</f>
        <v>4022</v>
      </c>
      <c r="H3674" s="3" t="str">
        <f aca="false">Raw_Data!G3674</f>
        <v>yes</v>
      </c>
      <c r="I3674" s="3" t="str">
        <f aca="false">Raw_Data!H3674</f>
        <v>no</v>
      </c>
      <c r="J3674" s="2" t="n">
        <f aca="false">IF(F3674="yes",1,0)</f>
        <v>0</v>
      </c>
      <c r="K3674" s="2" t="n">
        <f aca="false">IF(H3674="yes",1,0)</f>
        <v>1</v>
      </c>
      <c r="L3674" s="2" t="n">
        <f aca="false">IF(I3674="yes",1,0)</f>
        <v>0</v>
      </c>
      <c r="M3674" s="2" t="n">
        <f aca="false">IF(G3674&lt;0,1,0)</f>
        <v>0</v>
      </c>
      <c r="N3674" s="2" t="str">
        <f aca="false">_xlfn.IFS(B3674&lt;30,"Under 30",B3674&lt;40,"30-39",B3674&lt;50,"40-49",B3674&lt;60,"50-59",TRUE(),"60+")</f>
        <v>40-49</v>
      </c>
      <c r="O3674" s="2" t="str">
        <f aca="false">_xlfn.IFS(G3674&lt;0,"1 Negative",G3674=0,"2 Zero",G3674&lt;=500,"3 1-500",G3674&lt;=2000,"4 501-2000",TRUE(),"5 Above 2000")</f>
        <v>5 Above 2000</v>
      </c>
      <c r="P3674" s="2" t="n">
        <f aca="false">Lookups!$B$2*M3674+Lookups!$B$3*L3674</f>
        <v>0</v>
      </c>
      <c r="Q3674" s="2" t="str">
        <f aca="false">INDEX(Lookups!$E$2:$E$5,MATCH(P3674,Lookups!$D$2:$D$5,0))</f>
        <v>Low</v>
      </c>
    </row>
    <row r="3675" customFormat="false" ht="15" hidden="false" customHeight="false" outlineLevel="0" collapsed="false">
      <c r="A3675" s="3" t="n">
        <v>3674</v>
      </c>
      <c r="B3675" s="3" t="n">
        <f aca="false">Raw_Data!A3675</f>
        <v>36</v>
      </c>
      <c r="C3675" s="3" t="str">
        <f aca="false">SUBSTITUTE(Raw_Data!B3675,".","")</f>
        <v>entrepreneur</v>
      </c>
      <c r="D3675" s="3" t="str">
        <f aca="false">Raw_Data!C3675</f>
        <v>married</v>
      </c>
      <c r="E3675" s="3" t="str">
        <f aca="false">Raw_Data!D3675</f>
        <v>tertiary</v>
      </c>
      <c r="F3675" s="3" t="str">
        <f aca="false">Raw_Data!E3675</f>
        <v>no</v>
      </c>
      <c r="G3675" s="3" t="n">
        <f aca="false">Raw_Data!F3675</f>
        <v>3057</v>
      </c>
      <c r="H3675" s="3" t="str">
        <f aca="false">Raw_Data!G3675</f>
        <v>no</v>
      </c>
      <c r="I3675" s="3" t="str">
        <f aca="false">Raw_Data!H3675</f>
        <v>no</v>
      </c>
      <c r="J3675" s="2" t="n">
        <f aca="false">IF(F3675="yes",1,0)</f>
        <v>0</v>
      </c>
      <c r="K3675" s="2" t="n">
        <f aca="false">IF(H3675="yes",1,0)</f>
        <v>0</v>
      </c>
      <c r="L3675" s="2" t="n">
        <f aca="false">IF(I3675="yes",1,0)</f>
        <v>0</v>
      </c>
      <c r="M3675" s="2" t="n">
        <f aca="false">IF(G3675&lt;0,1,0)</f>
        <v>0</v>
      </c>
      <c r="N3675" s="2" t="str">
        <f aca="false">_xlfn.IFS(B3675&lt;30,"Under 30",B3675&lt;40,"30-39",B3675&lt;50,"40-49",B3675&lt;60,"50-59",TRUE(),"60+")</f>
        <v>30-39</v>
      </c>
      <c r="O3675" s="2" t="str">
        <f aca="false">_xlfn.IFS(G3675&lt;0,"1 Negative",G3675=0,"2 Zero",G3675&lt;=500,"3 1-500",G3675&lt;=2000,"4 501-2000",TRUE(),"5 Above 2000")</f>
        <v>5 Above 2000</v>
      </c>
      <c r="P3675" s="2" t="n">
        <f aca="false">Lookups!$B$2*M3675+Lookups!$B$3*L3675</f>
        <v>0</v>
      </c>
      <c r="Q3675" s="2" t="str">
        <f aca="false">INDEX(Lookups!$E$2:$E$5,MATCH(P3675,Lookups!$D$2:$D$5,0))</f>
        <v>Low</v>
      </c>
    </row>
    <row r="3676" customFormat="false" ht="15" hidden="false" customHeight="false" outlineLevel="0" collapsed="false">
      <c r="A3676" s="3" t="n">
        <v>3675</v>
      </c>
      <c r="B3676" s="3" t="n">
        <f aca="false">Raw_Data!A3676</f>
        <v>39</v>
      </c>
      <c r="C3676" s="3" t="str">
        <f aca="false">SUBSTITUTE(Raw_Data!B3676,".","")</f>
        <v>management</v>
      </c>
      <c r="D3676" s="3" t="str">
        <f aca="false">Raw_Data!C3676</f>
        <v>single</v>
      </c>
      <c r="E3676" s="3" t="str">
        <f aca="false">Raw_Data!D3676</f>
        <v>tertiary</v>
      </c>
      <c r="F3676" s="3" t="str">
        <f aca="false">Raw_Data!E3676</f>
        <v>no</v>
      </c>
      <c r="G3676" s="3" t="n">
        <f aca="false">Raw_Data!F3676</f>
        <v>0</v>
      </c>
      <c r="H3676" s="3" t="str">
        <f aca="false">Raw_Data!G3676</f>
        <v>yes</v>
      </c>
      <c r="I3676" s="3" t="str">
        <f aca="false">Raw_Data!H3676</f>
        <v>no</v>
      </c>
      <c r="J3676" s="2" t="n">
        <f aca="false">IF(F3676="yes",1,0)</f>
        <v>0</v>
      </c>
      <c r="K3676" s="2" t="n">
        <f aca="false">IF(H3676="yes",1,0)</f>
        <v>1</v>
      </c>
      <c r="L3676" s="2" t="n">
        <f aca="false">IF(I3676="yes",1,0)</f>
        <v>0</v>
      </c>
      <c r="M3676" s="2" t="n">
        <f aca="false">IF(G3676&lt;0,1,0)</f>
        <v>0</v>
      </c>
      <c r="N3676" s="2" t="str">
        <f aca="false">_xlfn.IFS(B3676&lt;30,"Under 30",B3676&lt;40,"30-39",B3676&lt;50,"40-49",B3676&lt;60,"50-59",TRUE(),"60+")</f>
        <v>30-39</v>
      </c>
      <c r="O3676" s="2" t="str">
        <f aca="false">_xlfn.IFS(G3676&lt;0,"1 Negative",G3676=0,"2 Zero",G3676&lt;=500,"3 1-500",G3676&lt;=2000,"4 501-2000",TRUE(),"5 Above 2000")</f>
        <v>2 Zero</v>
      </c>
      <c r="P3676" s="2" t="n">
        <f aca="false">Lookups!$B$2*M3676+Lookups!$B$3*L3676</f>
        <v>0</v>
      </c>
      <c r="Q3676" s="2" t="str">
        <f aca="false">INDEX(Lookups!$E$2:$E$5,MATCH(P3676,Lookups!$D$2:$D$5,0))</f>
        <v>Low</v>
      </c>
    </row>
    <row r="3677" customFormat="false" ht="15" hidden="false" customHeight="false" outlineLevel="0" collapsed="false">
      <c r="A3677" s="3" t="n">
        <v>3676</v>
      </c>
      <c r="B3677" s="3" t="n">
        <f aca="false">Raw_Data!A3677</f>
        <v>33</v>
      </c>
      <c r="C3677" s="3" t="str">
        <f aca="false">SUBSTITUTE(Raw_Data!B3677,".","")</f>
        <v>management</v>
      </c>
      <c r="D3677" s="3" t="str">
        <f aca="false">Raw_Data!C3677</f>
        <v>single</v>
      </c>
      <c r="E3677" s="3" t="str">
        <f aca="false">Raw_Data!D3677</f>
        <v>tertiary</v>
      </c>
      <c r="F3677" s="3" t="str">
        <f aca="false">Raw_Data!E3677</f>
        <v>no</v>
      </c>
      <c r="G3677" s="3" t="n">
        <f aca="false">Raw_Data!F3677</f>
        <v>349</v>
      </c>
      <c r="H3677" s="3" t="str">
        <f aca="false">Raw_Data!G3677</f>
        <v>no</v>
      </c>
      <c r="I3677" s="3" t="str">
        <f aca="false">Raw_Data!H3677</f>
        <v>no</v>
      </c>
      <c r="J3677" s="2" t="n">
        <f aca="false">IF(F3677="yes",1,0)</f>
        <v>0</v>
      </c>
      <c r="K3677" s="2" t="n">
        <f aca="false">IF(H3677="yes",1,0)</f>
        <v>0</v>
      </c>
      <c r="L3677" s="2" t="n">
        <f aca="false">IF(I3677="yes",1,0)</f>
        <v>0</v>
      </c>
      <c r="M3677" s="2" t="n">
        <f aca="false">IF(G3677&lt;0,1,0)</f>
        <v>0</v>
      </c>
      <c r="N3677" s="2" t="str">
        <f aca="false">_xlfn.IFS(B3677&lt;30,"Under 30",B3677&lt;40,"30-39",B3677&lt;50,"40-49",B3677&lt;60,"50-59",TRUE(),"60+")</f>
        <v>30-39</v>
      </c>
      <c r="O3677" s="2" t="str">
        <f aca="false">_xlfn.IFS(G3677&lt;0,"1 Negative",G3677=0,"2 Zero",G3677&lt;=500,"3 1-500",G3677&lt;=2000,"4 501-2000",TRUE(),"5 Above 2000")</f>
        <v>3 1-500</v>
      </c>
      <c r="P3677" s="2" t="n">
        <f aca="false">Lookups!$B$2*M3677+Lookups!$B$3*L3677</f>
        <v>0</v>
      </c>
      <c r="Q3677" s="2" t="str">
        <f aca="false">INDEX(Lookups!$E$2:$E$5,MATCH(P3677,Lookups!$D$2:$D$5,0))</f>
        <v>Low</v>
      </c>
    </row>
    <row r="3678" customFormat="false" ht="15" hidden="false" customHeight="false" outlineLevel="0" collapsed="false">
      <c r="A3678" s="3" t="n">
        <v>3677</v>
      </c>
      <c r="B3678" s="3" t="n">
        <f aca="false">Raw_Data!A3678</f>
        <v>47</v>
      </c>
      <c r="C3678" s="3" t="str">
        <f aca="false">SUBSTITUTE(Raw_Data!B3678,".","")</f>
        <v>services</v>
      </c>
      <c r="D3678" s="3" t="str">
        <f aca="false">Raw_Data!C3678</f>
        <v>married</v>
      </c>
      <c r="E3678" s="3" t="str">
        <f aca="false">Raw_Data!D3678</f>
        <v>secondary</v>
      </c>
      <c r="F3678" s="3" t="str">
        <f aca="false">Raw_Data!E3678</f>
        <v>no</v>
      </c>
      <c r="G3678" s="3" t="n">
        <f aca="false">Raw_Data!F3678</f>
        <v>2322</v>
      </c>
      <c r="H3678" s="3" t="str">
        <f aca="false">Raw_Data!G3678</f>
        <v>no</v>
      </c>
      <c r="I3678" s="3" t="str">
        <f aca="false">Raw_Data!H3678</f>
        <v>no</v>
      </c>
      <c r="J3678" s="2" t="n">
        <f aca="false">IF(F3678="yes",1,0)</f>
        <v>0</v>
      </c>
      <c r="K3678" s="2" t="n">
        <f aca="false">IF(H3678="yes",1,0)</f>
        <v>0</v>
      </c>
      <c r="L3678" s="2" t="n">
        <f aca="false">IF(I3678="yes",1,0)</f>
        <v>0</v>
      </c>
      <c r="M3678" s="2" t="n">
        <f aca="false">IF(G3678&lt;0,1,0)</f>
        <v>0</v>
      </c>
      <c r="N3678" s="2" t="str">
        <f aca="false">_xlfn.IFS(B3678&lt;30,"Under 30",B3678&lt;40,"30-39",B3678&lt;50,"40-49",B3678&lt;60,"50-59",TRUE(),"60+")</f>
        <v>40-49</v>
      </c>
      <c r="O3678" s="2" t="str">
        <f aca="false">_xlfn.IFS(G3678&lt;0,"1 Negative",G3678=0,"2 Zero",G3678&lt;=500,"3 1-500",G3678&lt;=2000,"4 501-2000",TRUE(),"5 Above 2000")</f>
        <v>5 Above 2000</v>
      </c>
      <c r="P3678" s="2" t="n">
        <f aca="false">Lookups!$B$2*M3678+Lookups!$B$3*L3678</f>
        <v>0</v>
      </c>
      <c r="Q3678" s="2" t="str">
        <f aca="false">INDEX(Lookups!$E$2:$E$5,MATCH(P3678,Lookups!$D$2:$D$5,0))</f>
        <v>Low</v>
      </c>
    </row>
    <row r="3679" customFormat="false" ht="15" hidden="false" customHeight="false" outlineLevel="0" collapsed="false">
      <c r="A3679" s="3" t="n">
        <v>3678</v>
      </c>
      <c r="B3679" s="3" t="n">
        <f aca="false">Raw_Data!A3679</f>
        <v>49</v>
      </c>
      <c r="C3679" s="3" t="str">
        <f aca="false">SUBSTITUTE(Raw_Data!B3679,".","")</f>
        <v>entrepreneur</v>
      </c>
      <c r="D3679" s="3" t="str">
        <f aca="false">Raw_Data!C3679</f>
        <v>married</v>
      </c>
      <c r="E3679" s="3" t="str">
        <f aca="false">Raw_Data!D3679</f>
        <v>secondary</v>
      </c>
      <c r="F3679" s="3" t="str">
        <f aca="false">Raw_Data!E3679</f>
        <v>no</v>
      </c>
      <c r="G3679" s="3" t="n">
        <f aca="false">Raw_Data!F3679</f>
        <v>167</v>
      </c>
      <c r="H3679" s="3" t="str">
        <f aca="false">Raw_Data!G3679</f>
        <v>yes</v>
      </c>
      <c r="I3679" s="3" t="str">
        <f aca="false">Raw_Data!H3679</f>
        <v>yes</v>
      </c>
      <c r="J3679" s="2" t="n">
        <f aca="false">IF(F3679="yes",1,0)</f>
        <v>0</v>
      </c>
      <c r="K3679" s="2" t="n">
        <f aca="false">IF(H3679="yes",1,0)</f>
        <v>1</v>
      </c>
      <c r="L3679" s="2" t="n">
        <f aca="false">IF(I3679="yes",1,0)</f>
        <v>1</v>
      </c>
      <c r="M3679" s="2" t="n">
        <f aca="false">IF(G3679&lt;0,1,0)</f>
        <v>0</v>
      </c>
      <c r="N3679" s="2" t="str">
        <f aca="false">_xlfn.IFS(B3679&lt;30,"Under 30",B3679&lt;40,"30-39",B3679&lt;50,"40-49",B3679&lt;60,"50-59",TRUE(),"60+")</f>
        <v>40-49</v>
      </c>
      <c r="O3679" s="2" t="str">
        <f aca="false">_xlfn.IFS(G3679&lt;0,"1 Negative",G3679=0,"2 Zero",G3679&lt;=500,"3 1-500",G3679&lt;=2000,"4 501-2000",TRUE(),"5 Above 2000")</f>
        <v>3 1-500</v>
      </c>
      <c r="P3679" s="2" t="n">
        <f aca="false">Lookups!$B$2*M3679+Lookups!$B$3*L3679</f>
        <v>1</v>
      </c>
      <c r="Q3679" s="2" t="str">
        <f aca="false">INDEX(Lookups!$E$2:$E$5,MATCH(P3679,Lookups!$D$2:$D$5,0))</f>
        <v>Medium</v>
      </c>
    </row>
    <row r="3680" customFormat="false" ht="15" hidden="false" customHeight="false" outlineLevel="0" collapsed="false">
      <c r="A3680" s="3" t="n">
        <v>3679</v>
      </c>
      <c r="B3680" s="3" t="n">
        <f aca="false">Raw_Data!A3680</f>
        <v>46</v>
      </c>
      <c r="C3680" s="3" t="str">
        <f aca="false">SUBSTITUTE(Raw_Data!B3680,".","")</f>
        <v>management</v>
      </c>
      <c r="D3680" s="3" t="str">
        <f aca="false">Raw_Data!C3680</f>
        <v>divorced</v>
      </c>
      <c r="E3680" s="3" t="str">
        <f aca="false">Raw_Data!D3680</f>
        <v>secondary</v>
      </c>
      <c r="F3680" s="3" t="str">
        <f aca="false">Raw_Data!E3680</f>
        <v>no</v>
      </c>
      <c r="G3680" s="3" t="n">
        <f aca="false">Raw_Data!F3680</f>
        <v>558</v>
      </c>
      <c r="H3680" s="3" t="str">
        <f aca="false">Raw_Data!G3680</f>
        <v>no</v>
      </c>
      <c r="I3680" s="3" t="str">
        <f aca="false">Raw_Data!H3680</f>
        <v>no</v>
      </c>
      <c r="J3680" s="2" t="n">
        <f aca="false">IF(F3680="yes",1,0)</f>
        <v>0</v>
      </c>
      <c r="K3680" s="2" t="n">
        <f aca="false">IF(H3680="yes",1,0)</f>
        <v>0</v>
      </c>
      <c r="L3680" s="2" t="n">
        <f aca="false">IF(I3680="yes",1,0)</f>
        <v>0</v>
      </c>
      <c r="M3680" s="2" t="n">
        <f aca="false">IF(G3680&lt;0,1,0)</f>
        <v>0</v>
      </c>
      <c r="N3680" s="2" t="str">
        <f aca="false">_xlfn.IFS(B3680&lt;30,"Under 30",B3680&lt;40,"30-39",B3680&lt;50,"40-49",B3680&lt;60,"50-59",TRUE(),"60+")</f>
        <v>40-49</v>
      </c>
      <c r="O3680" s="2" t="str">
        <f aca="false">_xlfn.IFS(G3680&lt;0,"1 Negative",G3680=0,"2 Zero",G3680&lt;=500,"3 1-500",G3680&lt;=2000,"4 501-2000",TRUE(),"5 Above 2000")</f>
        <v>4 501-2000</v>
      </c>
      <c r="P3680" s="2" t="n">
        <f aca="false">Lookups!$B$2*M3680+Lookups!$B$3*L3680</f>
        <v>0</v>
      </c>
      <c r="Q3680" s="2" t="str">
        <f aca="false">INDEX(Lookups!$E$2:$E$5,MATCH(P3680,Lookups!$D$2:$D$5,0))</f>
        <v>Low</v>
      </c>
    </row>
    <row r="3681" customFormat="false" ht="15" hidden="false" customHeight="false" outlineLevel="0" collapsed="false">
      <c r="A3681" s="3" t="n">
        <v>3680</v>
      </c>
      <c r="B3681" s="3" t="n">
        <f aca="false">Raw_Data!A3681</f>
        <v>31</v>
      </c>
      <c r="C3681" s="3" t="str">
        <f aca="false">SUBSTITUTE(Raw_Data!B3681,".","")</f>
        <v>services</v>
      </c>
      <c r="D3681" s="3" t="str">
        <f aca="false">Raw_Data!C3681</f>
        <v>married</v>
      </c>
      <c r="E3681" s="3" t="str">
        <f aca="false">Raw_Data!D3681</f>
        <v>secondary</v>
      </c>
      <c r="F3681" s="3" t="str">
        <f aca="false">Raw_Data!E3681</f>
        <v>no</v>
      </c>
      <c r="G3681" s="3" t="n">
        <f aca="false">Raw_Data!F3681</f>
        <v>-230</v>
      </c>
      <c r="H3681" s="3" t="str">
        <f aca="false">Raw_Data!G3681</f>
        <v>yes</v>
      </c>
      <c r="I3681" s="3" t="str">
        <f aca="false">Raw_Data!H3681</f>
        <v>yes</v>
      </c>
      <c r="J3681" s="2" t="n">
        <f aca="false">IF(F3681="yes",1,0)</f>
        <v>0</v>
      </c>
      <c r="K3681" s="2" t="n">
        <f aca="false">IF(H3681="yes",1,0)</f>
        <v>1</v>
      </c>
      <c r="L3681" s="2" t="n">
        <f aca="false">IF(I3681="yes",1,0)</f>
        <v>1</v>
      </c>
      <c r="M3681" s="2" t="n">
        <f aca="false">IF(G3681&lt;0,1,0)</f>
        <v>1</v>
      </c>
      <c r="N3681" s="2" t="str">
        <f aca="false">_xlfn.IFS(B3681&lt;30,"Under 30",B3681&lt;40,"30-39",B3681&lt;50,"40-49",B3681&lt;60,"50-59",TRUE(),"60+")</f>
        <v>30-39</v>
      </c>
      <c r="O3681" s="2" t="str">
        <f aca="false">_xlfn.IFS(G3681&lt;0,"1 Negative",G3681=0,"2 Zero",G3681&lt;=500,"3 1-500",G3681&lt;=2000,"4 501-2000",TRUE(),"5 Above 2000")</f>
        <v>1 Negative</v>
      </c>
      <c r="P3681" s="2" t="n">
        <f aca="false">Lookups!$B$2*M3681+Lookups!$B$3*L3681</f>
        <v>3</v>
      </c>
      <c r="Q3681" s="2" t="str">
        <f aca="false">INDEX(Lookups!$E$2:$E$5,MATCH(P3681,Lookups!$D$2:$D$5,0))</f>
        <v>High</v>
      </c>
    </row>
    <row r="3682" customFormat="false" ht="15" hidden="false" customHeight="false" outlineLevel="0" collapsed="false">
      <c r="A3682" s="3" t="n">
        <v>3681</v>
      </c>
      <c r="B3682" s="3" t="n">
        <f aca="false">Raw_Data!A3682</f>
        <v>43</v>
      </c>
      <c r="C3682" s="3" t="str">
        <f aca="false">SUBSTITUTE(Raw_Data!B3682,".","")</f>
        <v>unemployed</v>
      </c>
      <c r="D3682" s="3" t="str">
        <f aca="false">Raw_Data!C3682</f>
        <v>divorced</v>
      </c>
      <c r="E3682" s="3" t="str">
        <f aca="false">Raw_Data!D3682</f>
        <v>secondary</v>
      </c>
      <c r="F3682" s="3" t="str">
        <f aca="false">Raw_Data!E3682</f>
        <v>no</v>
      </c>
      <c r="G3682" s="3" t="n">
        <f aca="false">Raw_Data!F3682</f>
        <v>4094</v>
      </c>
      <c r="H3682" s="3" t="str">
        <f aca="false">Raw_Data!G3682</f>
        <v>yes</v>
      </c>
      <c r="I3682" s="3" t="str">
        <f aca="false">Raw_Data!H3682</f>
        <v>no</v>
      </c>
      <c r="J3682" s="2" t="n">
        <f aca="false">IF(F3682="yes",1,0)</f>
        <v>0</v>
      </c>
      <c r="K3682" s="2" t="n">
        <f aca="false">IF(H3682="yes",1,0)</f>
        <v>1</v>
      </c>
      <c r="L3682" s="2" t="n">
        <f aca="false">IF(I3682="yes",1,0)</f>
        <v>0</v>
      </c>
      <c r="M3682" s="2" t="n">
        <f aca="false">IF(G3682&lt;0,1,0)</f>
        <v>0</v>
      </c>
      <c r="N3682" s="2" t="str">
        <f aca="false">_xlfn.IFS(B3682&lt;30,"Under 30",B3682&lt;40,"30-39",B3682&lt;50,"40-49",B3682&lt;60,"50-59",TRUE(),"60+")</f>
        <v>40-49</v>
      </c>
      <c r="O3682" s="2" t="str">
        <f aca="false">_xlfn.IFS(G3682&lt;0,"1 Negative",G3682=0,"2 Zero",G3682&lt;=500,"3 1-500",G3682&lt;=2000,"4 501-2000",TRUE(),"5 Above 2000")</f>
        <v>5 Above 2000</v>
      </c>
      <c r="P3682" s="2" t="n">
        <f aca="false">Lookups!$B$2*M3682+Lookups!$B$3*L3682</f>
        <v>0</v>
      </c>
      <c r="Q3682" s="2" t="str">
        <f aca="false">INDEX(Lookups!$E$2:$E$5,MATCH(P3682,Lookups!$D$2:$D$5,0))</f>
        <v>Low</v>
      </c>
    </row>
    <row r="3683" customFormat="false" ht="15" hidden="false" customHeight="false" outlineLevel="0" collapsed="false">
      <c r="A3683" s="3" t="n">
        <v>3682</v>
      </c>
      <c r="B3683" s="3" t="n">
        <f aca="false">Raw_Data!A3683</f>
        <v>30</v>
      </c>
      <c r="C3683" s="3" t="str">
        <f aca="false">SUBSTITUTE(Raw_Data!B3683,".","")</f>
        <v>blue-collar</v>
      </c>
      <c r="D3683" s="3" t="str">
        <f aca="false">Raw_Data!C3683</f>
        <v>single</v>
      </c>
      <c r="E3683" s="3" t="str">
        <f aca="false">Raw_Data!D3683</f>
        <v>secondary</v>
      </c>
      <c r="F3683" s="3" t="str">
        <f aca="false">Raw_Data!E3683</f>
        <v>yes</v>
      </c>
      <c r="G3683" s="3" t="n">
        <f aca="false">Raw_Data!F3683</f>
        <v>239</v>
      </c>
      <c r="H3683" s="3" t="str">
        <f aca="false">Raw_Data!G3683</f>
        <v>yes</v>
      </c>
      <c r="I3683" s="3" t="str">
        <f aca="false">Raw_Data!H3683</f>
        <v>no</v>
      </c>
      <c r="J3683" s="2" t="n">
        <f aca="false">IF(F3683="yes",1,0)</f>
        <v>1</v>
      </c>
      <c r="K3683" s="2" t="n">
        <f aca="false">IF(H3683="yes",1,0)</f>
        <v>1</v>
      </c>
      <c r="L3683" s="2" t="n">
        <f aca="false">IF(I3683="yes",1,0)</f>
        <v>0</v>
      </c>
      <c r="M3683" s="2" t="n">
        <f aca="false">IF(G3683&lt;0,1,0)</f>
        <v>0</v>
      </c>
      <c r="N3683" s="2" t="str">
        <f aca="false">_xlfn.IFS(B3683&lt;30,"Under 30",B3683&lt;40,"30-39",B3683&lt;50,"40-49",B3683&lt;60,"50-59",TRUE(),"60+")</f>
        <v>30-39</v>
      </c>
      <c r="O3683" s="2" t="str">
        <f aca="false">_xlfn.IFS(G3683&lt;0,"1 Negative",G3683=0,"2 Zero",G3683&lt;=500,"3 1-500",G3683&lt;=2000,"4 501-2000",TRUE(),"5 Above 2000")</f>
        <v>3 1-500</v>
      </c>
      <c r="P3683" s="2" t="n">
        <f aca="false">Lookups!$B$2*M3683+Lookups!$B$3*L3683</f>
        <v>0</v>
      </c>
      <c r="Q3683" s="2" t="str">
        <f aca="false">INDEX(Lookups!$E$2:$E$5,MATCH(P3683,Lookups!$D$2:$D$5,0))</f>
        <v>Low</v>
      </c>
    </row>
    <row r="3684" customFormat="false" ht="15" hidden="false" customHeight="false" outlineLevel="0" collapsed="false">
      <c r="A3684" s="3" t="n">
        <v>3683</v>
      </c>
      <c r="B3684" s="3" t="n">
        <f aca="false">Raw_Data!A3684</f>
        <v>43</v>
      </c>
      <c r="C3684" s="3" t="str">
        <f aca="false">SUBSTITUTE(Raw_Data!B3684,".","")</f>
        <v>management</v>
      </c>
      <c r="D3684" s="3" t="str">
        <f aca="false">Raw_Data!C3684</f>
        <v>divorced</v>
      </c>
      <c r="E3684" s="3" t="str">
        <f aca="false">Raw_Data!D3684</f>
        <v>tertiary</v>
      </c>
      <c r="F3684" s="3" t="str">
        <f aca="false">Raw_Data!E3684</f>
        <v>no</v>
      </c>
      <c r="G3684" s="3" t="n">
        <f aca="false">Raw_Data!F3684</f>
        <v>497</v>
      </c>
      <c r="H3684" s="3" t="str">
        <f aca="false">Raw_Data!G3684</f>
        <v>no</v>
      </c>
      <c r="I3684" s="3" t="str">
        <f aca="false">Raw_Data!H3684</f>
        <v>no</v>
      </c>
      <c r="J3684" s="2" t="n">
        <f aca="false">IF(F3684="yes",1,0)</f>
        <v>0</v>
      </c>
      <c r="K3684" s="2" t="n">
        <f aca="false">IF(H3684="yes",1,0)</f>
        <v>0</v>
      </c>
      <c r="L3684" s="2" t="n">
        <f aca="false">IF(I3684="yes",1,0)</f>
        <v>0</v>
      </c>
      <c r="M3684" s="2" t="n">
        <f aca="false">IF(G3684&lt;0,1,0)</f>
        <v>0</v>
      </c>
      <c r="N3684" s="2" t="str">
        <f aca="false">_xlfn.IFS(B3684&lt;30,"Under 30",B3684&lt;40,"30-39",B3684&lt;50,"40-49",B3684&lt;60,"50-59",TRUE(),"60+")</f>
        <v>40-49</v>
      </c>
      <c r="O3684" s="2" t="str">
        <f aca="false">_xlfn.IFS(G3684&lt;0,"1 Negative",G3684=0,"2 Zero",G3684&lt;=500,"3 1-500",G3684&lt;=2000,"4 501-2000",TRUE(),"5 Above 2000")</f>
        <v>3 1-500</v>
      </c>
      <c r="P3684" s="2" t="n">
        <f aca="false">Lookups!$B$2*M3684+Lookups!$B$3*L3684</f>
        <v>0</v>
      </c>
      <c r="Q3684" s="2" t="str">
        <f aca="false">INDEX(Lookups!$E$2:$E$5,MATCH(P3684,Lookups!$D$2:$D$5,0))</f>
        <v>Low</v>
      </c>
    </row>
    <row r="3685" customFormat="false" ht="15" hidden="false" customHeight="false" outlineLevel="0" collapsed="false">
      <c r="A3685" s="3" t="n">
        <v>3684</v>
      </c>
      <c r="B3685" s="3" t="n">
        <f aca="false">Raw_Data!A3685</f>
        <v>42</v>
      </c>
      <c r="C3685" s="3" t="str">
        <f aca="false">SUBSTITUTE(Raw_Data!B3685,".","")</f>
        <v>blue-collar</v>
      </c>
      <c r="D3685" s="3" t="str">
        <f aca="false">Raw_Data!C3685</f>
        <v>married</v>
      </c>
      <c r="E3685" s="3" t="str">
        <f aca="false">Raw_Data!D3685</f>
        <v>secondary</v>
      </c>
      <c r="F3685" s="3" t="str">
        <f aca="false">Raw_Data!E3685</f>
        <v>no</v>
      </c>
      <c r="G3685" s="3" t="n">
        <f aca="false">Raw_Data!F3685</f>
        <v>179</v>
      </c>
      <c r="H3685" s="3" t="str">
        <f aca="false">Raw_Data!G3685</f>
        <v>yes</v>
      </c>
      <c r="I3685" s="3" t="str">
        <f aca="false">Raw_Data!H3685</f>
        <v>no</v>
      </c>
      <c r="J3685" s="2" t="n">
        <f aca="false">IF(F3685="yes",1,0)</f>
        <v>0</v>
      </c>
      <c r="K3685" s="2" t="n">
        <f aca="false">IF(H3685="yes",1,0)</f>
        <v>1</v>
      </c>
      <c r="L3685" s="2" t="n">
        <f aca="false">IF(I3685="yes",1,0)</f>
        <v>0</v>
      </c>
      <c r="M3685" s="2" t="n">
        <f aca="false">IF(G3685&lt;0,1,0)</f>
        <v>0</v>
      </c>
      <c r="N3685" s="2" t="str">
        <f aca="false">_xlfn.IFS(B3685&lt;30,"Under 30",B3685&lt;40,"30-39",B3685&lt;50,"40-49",B3685&lt;60,"50-59",TRUE(),"60+")</f>
        <v>40-49</v>
      </c>
      <c r="O3685" s="2" t="str">
        <f aca="false">_xlfn.IFS(G3685&lt;0,"1 Negative",G3685=0,"2 Zero",G3685&lt;=500,"3 1-500",G3685&lt;=2000,"4 501-2000",TRUE(),"5 Above 2000")</f>
        <v>3 1-500</v>
      </c>
      <c r="P3685" s="2" t="n">
        <f aca="false">Lookups!$B$2*M3685+Lookups!$B$3*L3685</f>
        <v>0</v>
      </c>
      <c r="Q3685" s="2" t="str">
        <f aca="false">INDEX(Lookups!$E$2:$E$5,MATCH(P3685,Lookups!$D$2:$D$5,0))</f>
        <v>Low</v>
      </c>
    </row>
    <row r="3686" customFormat="false" ht="15" hidden="false" customHeight="false" outlineLevel="0" collapsed="false">
      <c r="A3686" s="3" t="n">
        <v>3685</v>
      </c>
      <c r="B3686" s="3" t="n">
        <f aca="false">Raw_Data!A3686</f>
        <v>30</v>
      </c>
      <c r="C3686" s="3" t="str">
        <f aca="false">SUBSTITUTE(Raw_Data!B3686,".","")</f>
        <v>admin</v>
      </c>
      <c r="D3686" s="3" t="str">
        <f aca="false">Raw_Data!C3686</f>
        <v>single</v>
      </c>
      <c r="E3686" s="3" t="str">
        <f aca="false">Raw_Data!D3686</f>
        <v>tertiary</v>
      </c>
      <c r="F3686" s="3" t="str">
        <f aca="false">Raw_Data!E3686</f>
        <v>no</v>
      </c>
      <c r="G3686" s="3" t="n">
        <f aca="false">Raw_Data!F3686</f>
        <v>305</v>
      </c>
      <c r="H3686" s="3" t="str">
        <f aca="false">Raw_Data!G3686</f>
        <v>no</v>
      </c>
      <c r="I3686" s="3" t="str">
        <f aca="false">Raw_Data!H3686</f>
        <v>no</v>
      </c>
      <c r="J3686" s="2" t="n">
        <f aca="false">IF(F3686="yes",1,0)</f>
        <v>0</v>
      </c>
      <c r="K3686" s="2" t="n">
        <f aca="false">IF(H3686="yes",1,0)</f>
        <v>0</v>
      </c>
      <c r="L3686" s="2" t="n">
        <f aca="false">IF(I3686="yes",1,0)</f>
        <v>0</v>
      </c>
      <c r="M3686" s="2" t="n">
        <f aca="false">IF(G3686&lt;0,1,0)</f>
        <v>0</v>
      </c>
      <c r="N3686" s="2" t="str">
        <f aca="false">_xlfn.IFS(B3686&lt;30,"Under 30",B3686&lt;40,"30-39",B3686&lt;50,"40-49",B3686&lt;60,"50-59",TRUE(),"60+")</f>
        <v>30-39</v>
      </c>
      <c r="O3686" s="2" t="str">
        <f aca="false">_xlfn.IFS(G3686&lt;0,"1 Negative",G3686=0,"2 Zero",G3686&lt;=500,"3 1-500",G3686&lt;=2000,"4 501-2000",TRUE(),"5 Above 2000")</f>
        <v>3 1-500</v>
      </c>
      <c r="P3686" s="2" t="n">
        <f aca="false">Lookups!$B$2*M3686+Lookups!$B$3*L3686</f>
        <v>0</v>
      </c>
      <c r="Q3686" s="2" t="str">
        <f aca="false">INDEX(Lookups!$E$2:$E$5,MATCH(P3686,Lookups!$D$2:$D$5,0))</f>
        <v>Low</v>
      </c>
    </row>
    <row r="3687" customFormat="false" ht="15" hidden="false" customHeight="false" outlineLevel="0" collapsed="false">
      <c r="A3687" s="3" t="n">
        <v>3686</v>
      </c>
      <c r="B3687" s="3" t="n">
        <f aca="false">Raw_Data!A3687</f>
        <v>33</v>
      </c>
      <c r="C3687" s="3" t="str">
        <f aca="false">SUBSTITUTE(Raw_Data!B3687,".","")</f>
        <v>management</v>
      </c>
      <c r="D3687" s="3" t="str">
        <f aca="false">Raw_Data!C3687</f>
        <v>single</v>
      </c>
      <c r="E3687" s="3" t="str">
        <f aca="false">Raw_Data!D3687</f>
        <v>tertiary</v>
      </c>
      <c r="F3687" s="3" t="str">
        <f aca="false">Raw_Data!E3687</f>
        <v>no</v>
      </c>
      <c r="G3687" s="3" t="n">
        <f aca="false">Raw_Data!F3687</f>
        <v>-67</v>
      </c>
      <c r="H3687" s="3" t="str">
        <f aca="false">Raw_Data!G3687</f>
        <v>yes</v>
      </c>
      <c r="I3687" s="3" t="str">
        <f aca="false">Raw_Data!H3687</f>
        <v>no</v>
      </c>
      <c r="J3687" s="2" t="n">
        <f aca="false">IF(F3687="yes",1,0)</f>
        <v>0</v>
      </c>
      <c r="K3687" s="2" t="n">
        <f aca="false">IF(H3687="yes",1,0)</f>
        <v>1</v>
      </c>
      <c r="L3687" s="2" t="n">
        <f aca="false">IF(I3687="yes",1,0)</f>
        <v>0</v>
      </c>
      <c r="M3687" s="2" t="n">
        <f aca="false">IF(G3687&lt;0,1,0)</f>
        <v>1</v>
      </c>
      <c r="N3687" s="2" t="str">
        <f aca="false">_xlfn.IFS(B3687&lt;30,"Under 30",B3687&lt;40,"30-39",B3687&lt;50,"40-49",B3687&lt;60,"50-59",TRUE(),"60+")</f>
        <v>30-39</v>
      </c>
      <c r="O3687" s="2" t="str">
        <f aca="false">_xlfn.IFS(G3687&lt;0,"1 Negative",G3687=0,"2 Zero",G3687&lt;=500,"3 1-500",G3687&lt;=2000,"4 501-2000",TRUE(),"5 Above 2000")</f>
        <v>1 Negative</v>
      </c>
      <c r="P3687" s="2" t="n">
        <f aca="false">Lookups!$B$2*M3687+Lookups!$B$3*L3687</f>
        <v>2</v>
      </c>
      <c r="Q3687" s="2" t="str">
        <f aca="false">INDEX(Lookups!$E$2:$E$5,MATCH(P3687,Lookups!$D$2:$D$5,0))</f>
        <v>High</v>
      </c>
    </row>
    <row r="3688" customFormat="false" ht="15" hidden="false" customHeight="false" outlineLevel="0" collapsed="false">
      <c r="A3688" s="3" t="n">
        <v>3687</v>
      </c>
      <c r="B3688" s="3" t="n">
        <f aca="false">Raw_Data!A3688</f>
        <v>41</v>
      </c>
      <c r="C3688" s="3" t="str">
        <f aca="false">SUBSTITUTE(Raw_Data!B3688,".","")</f>
        <v>admin</v>
      </c>
      <c r="D3688" s="3" t="str">
        <f aca="false">Raw_Data!C3688</f>
        <v>married</v>
      </c>
      <c r="E3688" s="3" t="str">
        <f aca="false">Raw_Data!D3688</f>
        <v>secondary</v>
      </c>
      <c r="F3688" s="3" t="str">
        <f aca="false">Raw_Data!E3688</f>
        <v>no</v>
      </c>
      <c r="G3688" s="3" t="n">
        <f aca="false">Raw_Data!F3688</f>
        <v>4539</v>
      </c>
      <c r="H3688" s="3" t="str">
        <f aca="false">Raw_Data!G3688</f>
        <v>no</v>
      </c>
      <c r="I3688" s="3" t="str">
        <f aca="false">Raw_Data!H3688</f>
        <v>no</v>
      </c>
      <c r="J3688" s="2" t="n">
        <f aca="false">IF(F3688="yes",1,0)</f>
        <v>0</v>
      </c>
      <c r="K3688" s="2" t="n">
        <f aca="false">IF(H3688="yes",1,0)</f>
        <v>0</v>
      </c>
      <c r="L3688" s="2" t="n">
        <f aca="false">IF(I3688="yes",1,0)</f>
        <v>0</v>
      </c>
      <c r="M3688" s="2" t="n">
        <f aca="false">IF(G3688&lt;0,1,0)</f>
        <v>0</v>
      </c>
      <c r="N3688" s="2" t="str">
        <f aca="false">_xlfn.IFS(B3688&lt;30,"Under 30",B3688&lt;40,"30-39",B3688&lt;50,"40-49",B3688&lt;60,"50-59",TRUE(),"60+")</f>
        <v>40-49</v>
      </c>
      <c r="O3688" s="2" t="str">
        <f aca="false">_xlfn.IFS(G3688&lt;0,"1 Negative",G3688=0,"2 Zero",G3688&lt;=500,"3 1-500",G3688&lt;=2000,"4 501-2000",TRUE(),"5 Above 2000")</f>
        <v>5 Above 2000</v>
      </c>
      <c r="P3688" s="2" t="n">
        <f aca="false">Lookups!$B$2*M3688+Lookups!$B$3*L3688</f>
        <v>0</v>
      </c>
      <c r="Q3688" s="2" t="str">
        <f aca="false">INDEX(Lookups!$E$2:$E$5,MATCH(P3688,Lookups!$D$2:$D$5,0))</f>
        <v>Low</v>
      </c>
    </row>
    <row r="3689" customFormat="false" ht="15" hidden="false" customHeight="false" outlineLevel="0" collapsed="false">
      <c r="A3689" s="3" t="n">
        <v>3688</v>
      </c>
      <c r="B3689" s="3" t="n">
        <f aca="false">Raw_Data!A3689</f>
        <v>29</v>
      </c>
      <c r="C3689" s="3" t="str">
        <f aca="false">SUBSTITUTE(Raw_Data!B3689,".","")</f>
        <v>blue-collar</v>
      </c>
      <c r="D3689" s="3" t="str">
        <f aca="false">Raw_Data!C3689</f>
        <v>single</v>
      </c>
      <c r="E3689" s="3" t="str">
        <f aca="false">Raw_Data!D3689</f>
        <v>secondary</v>
      </c>
      <c r="F3689" s="3" t="str">
        <f aca="false">Raw_Data!E3689</f>
        <v>no</v>
      </c>
      <c r="G3689" s="3" t="n">
        <f aca="false">Raw_Data!F3689</f>
        <v>770</v>
      </c>
      <c r="H3689" s="3" t="str">
        <f aca="false">Raw_Data!G3689</f>
        <v>yes</v>
      </c>
      <c r="I3689" s="3" t="str">
        <f aca="false">Raw_Data!H3689</f>
        <v>no</v>
      </c>
      <c r="J3689" s="2" t="n">
        <f aca="false">IF(F3689="yes",1,0)</f>
        <v>0</v>
      </c>
      <c r="K3689" s="2" t="n">
        <f aca="false">IF(H3689="yes",1,0)</f>
        <v>1</v>
      </c>
      <c r="L3689" s="2" t="n">
        <f aca="false">IF(I3689="yes",1,0)</f>
        <v>0</v>
      </c>
      <c r="M3689" s="2" t="n">
        <f aca="false">IF(G3689&lt;0,1,0)</f>
        <v>0</v>
      </c>
      <c r="N3689" s="2" t="str">
        <f aca="false">_xlfn.IFS(B3689&lt;30,"Under 30",B3689&lt;40,"30-39",B3689&lt;50,"40-49",B3689&lt;60,"50-59",TRUE(),"60+")</f>
        <v>Under 30</v>
      </c>
      <c r="O3689" s="2" t="str">
        <f aca="false">_xlfn.IFS(G3689&lt;0,"1 Negative",G3689=0,"2 Zero",G3689&lt;=500,"3 1-500",G3689&lt;=2000,"4 501-2000",TRUE(),"5 Above 2000")</f>
        <v>4 501-2000</v>
      </c>
      <c r="P3689" s="2" t="n">
        <f aca="false">Lookups!$B$2*M3689+Lookups!$B$3*L3689</f>
        <v>0</v>
      </c>
      <c r="Q3689" s="2" t="str">
        <f aca="false">INDEX(Lookups!$E$2:$E$5,MATCH(P3689,Lookups!$D$2:$D$5,0))</f>
        <v>Low</v>
      </c>
    </row>
    <row r="3690" customFormat="false" ht="15" hidden="false" customHeight="false" outlineLevel="0" collapsed="false">
      <c r="A3690" s="3" t="n">
        <v>3689</v>
      </c>
      <c r="B3690" s="3" t="n">
        <f aca="false">Raw_Data!A3690</f>
        <v>38</v>
      </c>
      <c r="C3690" s="3" t="str">
        <f aca="false">SUBSTITUTE(Raw_Data!B3690,".","")</f>
        <v>unemployed</v>
      </c>
      <c r="D3690" s="3" t="str">
        <f aca="false">Raw_Data!C3690</f>
        <v>married</v>
      </c>
      <c r="E3690" s="3" t="str">
        <f aca="false">Raw_Data!D3690</f>
        <v>secondary</v>
      </c>
      <c r="F3690" s="3" t="str">
        <f aca="false">Raw_Data!E3690</f>
        <v>no</v>
      </c>
      <c r="G3690" s="3" t="n">
        <f aca="false">Raw_Data!F3690</f>
        <v>-673</v>
      </c>
      <c r="H3690" s="3" t="str">
        <f aca="false">Raw_Data!G3690</f>
        <v>yes</v>
      </c>
      <c r="I3690" s="3" t="str">
        <f aca="false">Raw_Data!H3690</f>
        <v>no</v>
      </c>
      <c r="J3690" s="2" t="n">
        <f aca="false">IF(F3690="yes",1,0)</f>
        <v>0</v>
      </c>
      <c r="K3690" s="2" t="n">
        <f aca="false">IF(H3690="yes",1,0)</f>
        <v>1</v>
      </c>
      <c r="L3690" s="2" t="n">
        <f aca="false">IF(I3690="yes",1,0)</f>
        <v>0</v>
      </c>
      <c r="M3690" s="2" t="n">
        <f aca="false">IF(G3690&lt;0,1,0)</f>
        <v>1</v>
      </c>
      <c r="N3690" s="2" t="str">
        <f aca="false">_xlfn.IFS(B3690&lt;30,"Under 30",B3690&lt;40,"30-39",B3690&lt;50,"40-49",B3690&lt;60,"50-59",TRUE(),"60+")</f>
        <v>30-39</v>
      </c>
      <c r="O3690" s="2" t="str">
        <f aca="false">_xlfn.IFS(G3690&lt;0,"1 Negative",G3690=0,"2 Zero",G3690&lt;=500,"3 1-500",G3690&lt;=2000,"4 501-2000",TRUE(),"5 Above 2000")</f>
        <v>1 Negative</v>
      </c>
      <c r="P3690" s="2" t="n">
        <f aca="false">Lookups!$B$2*M3690+Lookups!$B$3*L3690</f>
        <v>2</v>
      </c>
      <c r="Q3690" s="2" t="str">
        <f aca="false">INDEX(Lookups!$E$2:$E$5,MATCH(P3690,Lookups!$D$2:$D$5,0))</f>
        <v>High</v>
      </c>
    </row>
    <row r="3691" customFormat="false" ht="15" hidden="false" customHeight="false" outlineLevel="0" collapsed="false">
      <c r="A3691" s="3" t="n">
        <v>3690</v>
      </c>
      <c r="B3691" s="3" t="n">
        <f aca="false">Raw_Data!A3691</f>
        <v>29</v>
      </c>
      <c r="C3691" s="3" t="str">
        <f aca="false">SUBSTITUTE(Raw_Data!B3691,".","")</f>
        <v>technician</v>
      </c>
      <c r="D3691" s="3" t="str">
        <f aca="false">Raw_Data!C3691</f>
        <v>married</v>
      </c>
      <c r="E3691" s="3" t="str">
        <f aca="false">Raw_Data!D3691</f>
        <v>tertiary</v>
      </c>
      <c r="F3691" s="3" t="str">
        <f aca="false">Raw_Data!E3691</f>
        <v>no</v>
      </c>
      <c r="G3691" s="3" t="n">
        <f aca="false">Raw_Data!F3691</f>
        <v>858</v>
      </c>
      <c r="H3691" s="3" t="str">
        <f aca="false">Raw_Data!G3691</f>
        <v>yes</v>
      </c>
      <c r="I3691" s="3" t="str">
        <f aca="false">Raw_Data!H3691</f>
        <v>no</v>
      </c>
      <c r="J3691" s="2" t="n">
        <f aca="false">IF(F3691="yes",1,0)</f>
        <v>0</v>
      </c>
      <c r="K3691" s="2" t="n">
        <f aca="false">IF(H3691="yes",1,0)</f>
        <v>1</v>
      </c>
      <c r="L3691" s="2" t="n">
        <f aca="false">IF(I3691="yes",1,0)</f>
        <v>0</v>
      </c>
      <c r="M3691" s="2" t="n">
        <f aca="false">IF(G3691&lt;0,1,0)</f>
        <v>0</v>
      </c>
      <c r="N3691" s="2" t="str">
        <f aca="false">_xlfn.IFS(B3691&lt;30,"Under 30",B3691&lt;40,"30-39",B3691&lt;50,"40-49",B3691&lt;60,"50-59",TRUE(),"60+")</f>
        <v>Under 30</v>
      </c>
      <c r="O3691" s="2" t="str">
        <f aca="false">_xlfn.IFS(G3691&lt;0,"1 Negative",G3691=0,"2 Zero",G3691&lt;=500,"3 1-500",G3691&lt;=2000,"4 501-2000",TRUE(),"5 Above 2000")</f>
        <v>4 501-2000</v>
      </c>
      <c r="P3691" s="2" t="n">
        <f aca="false">Lookups!$B$2*M3691+Lookups!$B$3*L3691</f>
        <v>0</v>
      </c>
      <c r="Q3691" s="2" t="str">
        <f aca="false">INDEX(Lookups!$E$2:$E$5,MATCH(P3691,Lookups!$D$2:$D$5,0))</f>
        <v>Low</v>
      </c>
    </row>
    <row r="3692" customFormat="false" ht="15" hidden="false" customHeight="false" outlineLevel="0" collapsed="false">
      <c r="A3692" s="3" t="n">
        <v>3691</v>
      </c>
      <c r="B3692" s="3" t="n">
        <f aca="false">Raw_Data!A3692</f>
        <v>80</v>
      </c>
      <c r="C3692" s="3" t="str">
        <f aca="false">SUBSTITUTE(Raw_Data!B3692,".","")</f>
        <v>housemaid</v>
      </c>
      <c r="D3692" s="3" t="str">
        <f aca="false">Raw_Data!C3692</f>
        <v>married</v>
      </c>
      <c r="E3692" s="3" t="str">
        <f aca="false">Raw_Data!D3692</f>
        <v>primary</v>
      </c>
      <c r="F3692" s="3" t="str">
        <f aca="false">Raw_Data!E3692</f>
        <v>no</v>
      </c>
      <c r="G3692" s="3" t="n">
        <f aca="false">Raw_Data!F3692</f>
        <v>0</v>
      </c>
      <c r="H3692" s="3" t="str">
        <f aca="false">Raw_Data!G3692</f>
        <v>no</v>
      </c>
      <c r="I3692" s="3" t="str">
        <f aca="false">Raw_Data!H3692</f>
        <v>no</v>
      </c>
      <c r="J3692" s="2" t="n">
        <f aca="false">IF(F3692="yes",1,0)</f>
        <v>0</v>
      </c>
      <c r="K3692" s="2" t="n">
        <f aca="false">IF(H3692="yes",1,0)</f>
        <v>0</v>
      </c>
      <c r="L3692" s="2" t="n">
        <f aca="false">IF(I3692="yes",1,0)</f>
        <v>0</v>
      </c>
      <c r="M3692" s="2" t="n">
        <f aca="false">IF(G3692&lt;0,1,0)</f>
        <v>0</v>
      </c>
      <c r="N3692" s="2" t="str">
        <f aca="false">_xlfn.IFS(B3692&lt;30,"Under 30",B3692&lt;40,"30-39",B3692&lt;50,"40-49",B3692&lt;60,"50-59",TRUE(),"60+")</f>
        <v>60+</v>
      </c>
      <c r="O3692" s="2" t="str">
        <f aca="false">_xlfn.IFS(G3692&lt;0,"1 Negative",G3692=0,"2 Zero",G3692&lt;=500,"3 1-500",G3692&lt;=2000,"4 501-2000",TRUE(),"5 Above 2000")</f>
        <v>2 Zero</v>
      </c>
      <c r="P3692" s="2" t="n">
        <f aca="false">Lookups!$B$2*M3692+Lookups!$B$3*L3692</f>
        <v>0</v>
      </c>
      <c r="Q3692" s="2" t="str">
        <f aca="false">INDEX(Lookups!$E$2:$E$5,MATCH(P3692,Lookups!$D$2:$D$5,0))</f>
        <v>Low</v>
      </c>
    </row>
    <row r="3693" customFormat="false" ht="15" hidden="false" customHeight="false" outlineLevel="0" collapsed="false">
      <c r="A3693" s="3" t="n">
        <v>3692</v>
      </c>
      <c r="B3693" s="3" t="n">
        <f aca="false">Raw_Data!A3693</f>
        <v>38</v>
      </c>
      <c r="C3693" s="3" t="str">
        <f aca="false">SUBSTITUTE(Raw_Data!B3693,".","")</f>
        <v>management</v>
      </c>
      <c r="D3693" s="3" t="str">
        <f aca="false">Raw_Data!C3693</f>
        <v>single</v>
      </c>
      <c r="E3693" s="3" t="str">
        <f aca="false">Raw_Data!D3693</f>
        <v>tertiary</v>
      </c>
      <c r="F3693" s="3" t="str">
        <f aca="false">Raw_Data!E3693</f>
        <v>no</v>
      </c>
      <c r="G3693" s="3" t="n">
        <f aca="false">Raw_Data!F3693</f>
        <v>5244</v>
      </c>
      <c r="H3693" s="3" t="str">
        <f aca="false">Raw_Data!G3693</f>
        <v>no</v>
      </c>
      <c r="I3693" s="3" t="str">
        <f aca="false">Raw_Data!H3693</f>
        <v>no</v>
      </c>
      <c r="J3693" s="2" t="n">
        <f aca="false">IF(F3693="yes",1,0)</f>
        <v>0</v>
      </c>
      <c r="K3693" s="2" t="n">
        <f aca="false">IF(H3693="yes",1,0)</f>
        <v>0</v>
      </c>
      <c r="L3693" s="2" t="n">
        <f aca="false">IF(I3693="yes",1,0)</f>
        <v>0</v>
      </c>
      <c r="M3693" s="2" t="n">
        <f aca="false">IF(G3693&lt;0,1,0)</f>
        <v>0</v>
      </c>
      <c r="N3693" s="2" t="str">
        <f aca="false">_xlfn.IFS(B3693&lt;30,"Under 30",B3693&lt;40,"30-39",B3693&lt;50,"40-49",B3693&lt;60,"50-59",TRUE(),"60+")</f>
        <v>30-39</v>
      </c>
      <c r="O3693" s="2" t="str">
        <f aca="false">_xlfn.IFS(G3693&lt;0,"1 Negative",G3693=0,"2 Zero",G3693&lt;=500,"3 1-500",G3693&lt;=2000,"4 501-2000",TRUE(),"5 Above 2000")</f>
        <v>5 Above 2000</v>
      </c>
      <c r="P3693" s="2" t="n">
        <f aca="false">Lookups!$B$2*M3693+Lookups!$B$3*L3693</f>
        <v>0</v>
      </c>
      <c r="Q3693" s="2" t="str">
        <f aca="false">INDEX(Lookups!$E$2:$E$5,MATCH(P3693,Lookups!$D$2:$D$5,0))</f>
        <v>Low</v>
      </c>
    </row>
    <row r="3694" customFormat="false" ht="15" hidden="false" customHeight="false" outlineLevel="0" collapsed="false">
      <c r="A3694" s="3" t="n">
        <v>3693</v>
      </c>
      <c r="B3694" s="3" t="n">
        <f aca="false">Raw_Data!A3694</f>
        <v>36</v>
      </c>
      <c r="C3694" s="3" t="str">
        <f aca="false">SUBSTITUTE(Raw_Data!B3694,".","")</f>
        <v>blue-collar</v>
      </c>
      <c r="D3694" s="3" t="str">
        <f aca="false">Raw_Data!C3694</f>
        <v>divorced</v>
      </c>
      <c r="E3694" s="3" t="str">
        <f aca="false">Raw_Data!D3694</f>
        <v>primary</v>
      </c>
      <c r="F3694" s="3" t="str">
        <f aca="false">Raw_Data!E3694</f>
        <v>no</v>
      </c>
      <c r="G3694" s="3" t="n">
        <f aca="false">Raw_Data!F3694</f>
        <v>117</v>
      </c>
      <c r="H3694" s="3" t="str">
        <f aca="false">Raw_Data!G3694</f>
        <v>yes</v>
      </c>
      <c r="I3694" s="3" t="str">
        <f aca="false">Raw_Data!H3694</f>
        <v>no</v>
      </c>
      <c r="J3694" s="2" t="n">
        <f aca="false">IF(F3694="yes",1,0)</f>
        <v>0</v>
      </c>
      <c r="K3694" s="2" t="n">
        <f aca="false">IF(H3694="yes",1,0)</f>
        <v>1</v>
      </c>
      <c r="L3694" s="2" t="n">
        <f aca="false">IF(I3694="yes",1,0)</f>
        <v>0</v>
      </c>
      <c r="M3694" s="2" t="n">
        <f aca="false">IF(G3694&lt;0,1,0)</f>
        <v>0</v>
      </c>
      <c r="N3694" s="2" t="str">
        <f aca="false">_xlfn.IFS(B3694&lt;30,"Under 30",B3694&lt;40,"30-39",B3694&lt;50,"40-49",B3694&lt;60,"50-59",TRUE(),"60+")</f>
        <v>30-39</v>
      </c>
      <c r="O3694" s="2" t="str">
        <f aca="false">_xlfn.IFS(G3694&lt;0,"1 Negative",G3694=0,"2 Zero",G3694&lt;=500,"3 1-500",G3694&lt;=2000,"4 501-2000",TRUE(),"5 Above 2000")</f>
        <v>3 1-500</v>
      </c>
      <c r="P3694" s="2" t="n">
        <f aca="false">Lookups!$B$2*M3694+Lookups!$B$3*L3694</f>
        <v>0</v>
      </c>
      <c r="Q3694" s="2" t="str">
        <f aca="false">INDEX(Lookups!$E$2:$E$5,MATCH(P3694,Lookups!$D$2:$D$5,0))</f>
        <v>Low</v>
      </c>
    </row>
    <row r="3695" customFormat="false" ht="15" hidden="false" customHeight="false" outlineLevel="0" collapsed="false">
      <c r="A3695" s="3" t="n">
        <v>3694</v>
      </c>
      <c r="B3695" s="3" t="n">
        <f aca="false">Raw_Data!A3695</f>
        <v>38</v>
      </c>
      <c r="C3695" s="3" t="str">
        <f aca="false">SUBSTITUTE(Raw_Data!B3695,".","")</f>
        <v>self-employed</v>
      </c>
      <c r="D3695" s="3" t="str">
        <f aca="false">Raw_Data!C3695</f>
        <v>married</v>
      </c>
      <c r="E3695" s="3" t="str">
        <f aca="false">Raw_Data!D3695</f>
        <v>tertiary</v>
      </c>
      <c r="F3695" s="3" t="str">
        <f aca="false">Raw_Data!E3695</f>
        <v>no</v>
      </c>
      <c r="G3695" s="3" t="n">
        <f aca="false">Raw_Data!F3695</f>
        <v>846</v>
      </c>
      <c r="H3695" s="3" t="str">
        <f aca="false">Raw_Data!G3695</f>
        <v>no</v>
      </c>
      <c r="I3695" s="3" t="str">
        <f aca="false">Raw_Data!H3695</f>
        <v>no</v>
      </c>
      <c r="J3695" s="2" t="n">
        <f aca="false">IF(F3695="yes",1,0)</f>
        <v>0</v>
      </c>
      <c r="K3695" s="2" t="n">
        <f aca="false">IF(H3695="yes",1,0)</f>
        <v>0</v>
      </c>
      <c r="L3695" s="2" t="n">
        <f aca="false">IF(I3695="yes",1,0)</f>
        <v>0</v>
      </c>
      <c r="M3695" s="2" t="n">
        <f aca="false">IF(G3695&lt;0,1,0)</f>
        <v>0</v>
      </c>
      <c r="N3695" s="2" t="str">
        <f aca="false">_xlfn.IFS(B3695&lt;30,"Under 30",B3695&lt;40,"30-39",B3695&lt;50,"40-49",B3695&lt;60,"50-59",TRUE(),"60+")</f>
        <v>30-39</v>
      </c>
      <c r="O3695" s="2" t="str">
        <f aca="false">_xlfn.IFS(G3695&lt;0,"1 Negative",G3695=0,"2 Zero",G3695&lt;=500,"3 1-500",G3695&lt;=2000,"4 501-2000",TRUE(),"5 Above 2000")</f>
        <v>4 501-2000</v>
      </c>
      <c r="P3695" s="2" t="n">
        <f aca="false">Lookups!$B$2*M3695+Lookups!$B$3*L3695</f>
        <v>0</v>
      </c>
      <c r="Q3695" s="2" t="str">
        <f aca="false">INDEX(Lookups!$E$2:$E$5,MATCH(P3695,Lookups!$D$2:$D$5,0))</f>
        <v>Low</v>
      </c>
    </row>
    <row r="3696" customFormat="false" ht="15" hidden="false" customHeight="false" outlineLevel="0" collapsed="false">
      <c r="A3696" s="3" t="n">
        <v>3695</v>
      </c>
      <c r="B3696" s="3" t="n">
        <f aca="false">Raw_Data!A3696</f>
        <v>44</v>
      </c>
      <c r="C3696" s="3" t="str">
        <f aca="false">SUBSTITUTE(Raw_Data!B3696,".","")</f>
        <v>management</v>
      </c>
      <c r="D3696" s="3" t="str">
        <f aca="false">Raw_Data!C3696</f>
        <v>married</v>
      </c>
      <c r="E3696" s="3" t="str">
        <f aca="false">Raw_Data!D3696</f>
        <v>secondary</v>
      </c>
      <c r="F3696" s="3" t="str">
        <f aca="false">Raw_Data!E3696</f>
        <v>yes</v>
      </c>
      <c r="G3696" s="3" t="n">
        <f aca="false">Raw_Data!F3696</f>
        <v>0</v>
      </c>
      <c r="H3696" s="3" t="str">
        <f aca="false">Raw_Data!G3696</f>
        <v>yes</v>
      </c>
      <c r="I3696" s="3" t="str">
        <f aca="false">Raw_Data!H3696</f>
        <v>no</v>
      </c>
      <c r="J3696" s="2" t="n">
        <f aca="false">IF(F3696="yes",1,0)</f>
        <v>1</v>
      </c>
      <c r="K3696" s="2" t="n">
        <f aca="false">IF(H3696="yes",1,0)</f>
        <v>1</v>
      </c>
      <c r="L3696" s="2" t="n">
        <f aca="false">IF(I3696="yes",1,0)</f>
        <v>0</v>
      </c>
      <c r="M3696" s="2" t="n">
        <f aca="false">IF(G3696&lt;0,1,0)</f>
        <v>0</v>
      </c>
      <c r="N3696" s="2" t="str">
        <f aca="false">_xlfn.IFS(B3696&lt;30,"Under 30",B3696&lt;40,"30-39",B3696&lt;50,"40-49",B3696&lt;60,"50-59",TRUE(),"60+")</f>
        <v>40-49</v>
      </c>
      <c r="O3696" s="2" t="str">
        <f aca="false">_xlfn.IFS(G3696&lt;0,"1 Negative",G3696=0,"2 Zero",G3696&lt;=500,"3 1-500",G3696&lt;=2000,"4 501-2000",TRUE(),"5 Above 2000")</f>
        <v>2 Zero</v>
      </c>
      <c r="P3696" s="2" t="n">
        <f aca="false">Lookups!$B$2*M3696+Lookups!$B$3*L3696</f>
        <v>0</v>
      </c>
      <c r="Q3696" s="2" t="str">
        <f aca="false">INDEX(Lookups!$E$2:$E$5,MATCH(P3696,Lookups!$D$2:$D$5,0))</f>
        <v>Low</v>
      </c>
    </row>
    <row r="3697" customFormat="false" ht="15" hidden="false" customHeight="false" outlineLevel="0" collapsed="false">
      <c r="A3697" s="3" t="n">
        <v>3696</v>
      </c>
      <c r="B3697" s="3" t="n">
        <f aca="false">Raw_Data!A3697</f>
        <v>31</v>
      </c>
      <c r="C3697" s="3" t="str">
        <f aca="false">SUBSTITUTE(Raw_Data!B3697,".","")</f>
        <v>management</v>
      </c>
      <c r="D3697" s="3" t="str">
        <f aca="false">Raw_Data!C3697</f>
        <v>married</v>
      </c>
      <c r="E3697" s="3" t="str">
        <f aca="false">Raw_Data!D3697</f>
        <v>tertiary</v>
      </c>
      <c r="F3697" s="3" t="str">
        <f aca="false">Raw_Data!E3697</f>
        <v>no</v>
      </c>
      <c r="G3697" s="3" t="n">
        <f aca="false">Raw_Data!F3697</f>
        <v>1331</v>
      </c>
      <c r="H3697" s="3" t="str">
        <f aca="false">Raw_Data!G3697</f>
        <v>no</v>
      </c>
      <c r="I3697" s="3" t="str">
        <f aca="false">Raw_Data!H3697</f>
        <v>no</v>
      </c>
      <c r="J3697" s="2" t="n">
        <f aca="false">IF(F3697="yes",1,0)</f>
        <v>0</v>
      </c>
      <c r="K3697" s="2" t="n">
        <f aca="false">IF(H3697="yes",1,0)</f>
        <v>0</v>
      </c>
      <c r="L3697" s="2" t="n">
        <f aca="false">IF(I3697="yes",1,0)</f>
        <v>0</v>
      </c>
      <c r="M3697" s="2" t="n">
        <f aca="false">IF(G3697&lt;0,1,0)</f>
        <v>0</v>
      </c>
      <c r="N3697" s="2" t="str">
        <f aca="false">_xlfn.IFS(B3697&lt;30,"Under 30",B3697&lt;40,"30-39",B3697&lt;50,"40-49",B3697&lt;60,"50-59",TRUE(),"60+")</f>
        <v>30-39</v>
      </c>
      <c r="O3697" s="2" t="str">
        <f aca="false">_xlfn.IFS(G3697&lt;0,"1 Negative",G3697=0,"2 Zero",G3697&lt;=500,"3 1-500",G3697&lt;=2000,"4 501-2000",TRUE(),"5 Above 2000")</f>
        <v>4 501-2000</v>
      </c>
      <c r="P3697" s="2" t="n">
        <f aca="false">Lookups!$B$2*M3697+Lookups!$B$3*L3697</f>
        <v>0</v>
      </c>
      <c r="Q3697" s="2" t="str">
        <f aca="false">INDEX(Lookups!$E$2:$E$5,MATCH(P3697,Lookups!$D$2:$D$5,0))</f>
        <v>Low</v>
      </c>
    </row>
    <row r="3698" customFormat="false" ht="15" hidden="false" customHeight="false" outlineLevel="0" collapsed="false">
      <c r="A3698" s="3" t="n">
        <v>3697</v>
      </c>
      <c r="B3698" s="3" t="n">
        <f aca="false">Raw_Data!A3698</f>
        <v>31</v>
      </c>
      <c r="C3698" s="3" t="str">
        <f aca="false">SUBSTITUTE(Raw_Data!B3698,".","")</f>
        <v>services</v>
      </c>
      <c r="D3698" s="3" t="str">
        <f aca="false">Raw_Data!C3698</f>
        <v>single</v>
      </c>
      <c r="E3698" s="3" t="str">
        <f aca="false">Raw_Data!D3698</f>
        <v>secondary</v>
      </c>
      <c r="F3698" s="3" t="str">
        <f aca="false">Raw_Data!E3698</f>
        <v>no</v>
      </c>
      <c r="G3698" s="3" t="n">
        <f aca="false">Raw_Data!F3698</f>
        <v>31</v>
      </c>
      <c r="H3698" s="3" t="str">
        <f aca="false">Raw_Data!G3698</f>
        <v>yes</v>
      </c>
      <c r="I3698" s="3" t="str">
        <f aca="false">Raw_Data!H3698</f>
        <v>yes</v>
      </c>
      <c r="J3698" s="2" t="n">
        <f aca="false">IF(F3698="yes",1,0)</f>
        <v>0</v>
      </c>
      <c r="K3698" s="2" t="n">
        <f aca="false">IF(H3698="yes",1,0)</f>
        <v>1</v>
      </c>
      <c r="L3698" s="2" t="n">
        <f aca="false">IF(I3698="yes",1,0)</f>
        <v>1</v>
      </c>
      <c r="M3698" s="2" t="n">
        <f aca="false">IF(G3698&lt;0,1,0)</f>
        <v>0</v>
      </c>
      <c r="N3698" s="2" t="str">
        <f aca="false">_xlfn.IFS(B3698&lt;30,"Under 30",B3698&lt;40,"30-39",B3698&lt;50,"40-49",B3698&lt;60,"50-59",TRUE(),"60+")</f>
        <v>30-39</v>
      </c>
      <c r="O3698" s="2" t="str">
        <f aca="false">_xlfn.IFS(G3698&lt;0,"1 Negative",G3698=0,"2 Zero",G3698&lt;=500,"3 1-500",G3698&lt;=2000,"4 501-2000",TRUE(),"5 Above 2000")</f>
        <v>3 1-500</v>
      </c>
      <c r="P3698" s="2" t="n">
        <f aca="false">Lookups!$B$2*M3698+Lookups!$B$3*L3698</f>
        <v>1</v>
      </c>
      <c r="Q3698" s="2" t="str">
        <f aca="false">INDEX(Lookups!$E$2:$E$5,MATCH(P3698,Lookups!$D$2:$D$5,0))</f>
        <v>Medium</v>
      </c>
    </row>
    <row r="3699" customFormat="false" ht="15" hidden="false" customHeight="false" outlineLevel="0" collapsed="false">
      <c r="A3699" s="3" t="n">
        <v>3698</v>
      </c>
      <c r="B3699" s="3" t="n">
        <f aca="false">Raw_Data!A3699</f>
        <v>57</v>
      </c>
      <c r="C3699" s="3" t="str">
        <f aca="false">SUBSTITUTE(Raw_Data!B3699,".","")</f>
        <v>admin</v>
      </c>
      <c r="D3699" s="3" t="str">
        <f aca="false">Raw_Data!C3699</f>
        <v>divorced</v>
      </c>
      <c r="E3699" s="3" t="str">
        <f aca="false">Raw_Data!D3699</f>
        <v>primary</v>
      </c>
      <c r="F3699" s="3" t="str">
        <f aca="false">Raw_Data!E3699</f>
        <v>no</v>
      </c>
      <c r="G3699" s="3" t="n">
        <f aca="false">Raw_Data!F3699</f>
        <v>179</v>
      </c>
      <c r="H3699" s="3" t="str">
        <f aca="false">Raw_Data!G3699</f>
        <v>yes</v>
      </c>
      <c r="I3699" s="3" t="str">
        <f aca="false">Raw_Data!H3699</f>
        <v>no</v>
      </c>
      <c r="J3699" s="2" t="n">
        <f aca="false">IF(F3699="yes",1,0)</f>
        <v>0</v>
      </c>
      <c r="K3699" s="2" t="n">
        <f aca="false">IF(H3699="yes",1,0)</f>
        <v>1</v>
      </c>
      <c r="L3699" s="2" t="n">
        <f aca="false">IF(I3699="yes",1,0)</f>
        <v>0</v>
      </c>
      <c r="M3699" s="2" t="n">
        <f aca="false">IF(G3699&lt;0,1,0)</f>
        <v>0</v>
      </c>
      <c r="N3699" s="2" t="str">
        <f aca="false">_xlfn.IFS(B3699&lt;30,"Under 30",B3699&lt;40,"30-39",B3699&lt;50,"40-49",B3699&lt;60,"50-59",TRUE(),"60+")</f>
        <v>50-59</v>
      </c>
      <c r="O3699" s="2" t="str">
        <f aca="false">_xlfn.IFS(G3699&lt;0,"1 Negative",G3699=0,"2 Zero",G3699&lt;=500,"3 1-500",G3699&lt;=2000,"4 501-2000",TRUE(),"5 Above 2000")</f>
        <v>3 1-500</v>
      </c>
      <c r="P3699" s="2" t="n">
        <f aca="false">Lookups!$B$2*M3699+Lookups!$B$3*L3699</f>
        <v>0</v>
      </c>
      <c r="Q3699" s="2" t="str">
        <f aca="false">INDEX(Lookups!$E$2:$E$5,MATCH(P3699,Lookups!$D$2:$D$5,0))</f>
        <v>Low</v>
      </c>
    </row>
    <row r="3700" customFormat="false" ht="15" hidden="false" customHeight="false" outlineLevel="0" collapsed="false">
      <c r="A3700" s="3" t="n">
        <v>3699</v>
      </c>
      <c r="B3700" s="3" t="n">
        <f aca="false">Raw_Data!A3700</f>
        <v>37</v>
      </c>
      <c r="C3700" s="3" t="str">
        <f aca="false">SUBSTITUTE(Raw_Data!B3700,".","")</f>
        <v>blue-collar</v>
      </c>
      <c r="D3700" s="3" t="str">
        <f aca="false">Raw_Data!C3700</f>
        <v>married</v>
      </c>
      <c r="E3700" s="3" t="str">
        <f aca="false">Raw_Data!D3700</f>
        <v>primary</v>
      </c>
      <c r="F3700" s="3" t="str">
        <f aca="false">Raw_Data!E3700</f>
        <v>no</v>
      </c>
      <c r="G3700" s="3" t="n">
        <f aca="false">Raw_Data!F3700</f>
        <v>543</v>
      </c>
      <c r="H3700" s="3" t="str">
        <f aca="false">Raw_Data!G3700</f>
        <v>yes</v>
      </c>
      <c r="I3700" s="3" t="str">
        <f aca="false">Raw_Data!H3700</f>
        <v>no</v>
      </c>
      <c r="J3700" s="2" t="n">
        <f aca="false">IF(F3700="yes",1,0)</f>
        <v>0</v>
      </c>
      <c r="K3700" s="2" t="n">
        <f aca="false">IF(H3700="yes",1,0)</f>
        <v>1</v>
      </c>
      <c r="L3700" s="2" t="n">
        <f aca="false">IF(I3700="yes",1,0)</f>
        <v>0</v>
      </c>
      <c r="M3700" s="2" t="n">
        <f aca="false">IF(G3700&lt;0,1,0)</f>
        <v>0</v>
      </c>
      <c r="N3700" s="2" t="str">
        <f aca="false">_xlfn.IFS(B3700&lt;30,"Under 30",B3700&lt;40,"30-39",B3700&lt;50,"40-49",B3700&lt;60,"50-59",TRUE(),"60+")</f>
        <v>30-39</v>
      </c>
      <c r="O3700" s="2" t="str">
        <f aca="false">_xlfn.IFS(G3700&lt;0,"1 Negative",G3700=0,"2 Zero",G3700&lt;=500,"3 1-500",G3700&lt;=2000,"4 501-2000",TRUE(),"5 Above 2000")</f>
        <v>4 501-2000</v>
      </c>
      <c r="P3700" s="2" t="n">
        <f aca="false">Lookups!$B$2*M3700+Lookups!$B$3*L3700</f>
        <v>0</v>
      </c>
      <c r="Q3700" s="2" t="str">
        <f aca="false">INDEX(Lookups!$E$2:$E$5,MATCH(P3700,Lookups!$D$2:$D$5,0))</f>
        <v>Low</v>
      </c>
    </row>
    <row r="3701" customFormat="false" ht="15" hidden="false" customHeight="false" outlineLevel="0" collapsed="false">
      <c r="A3701" s="3" t="n">
        <v>3700</v>
      </c>
      <c r="B3701" s="3" t="n">
        <f aca="false">Raw_Data!A3701</f>
        <v>50</v>
      </c>
      <c r="C3701" s="3" t="str">
        <f aca="false">SUBSTITUTE(Raw_Data!B3701,".","")</f>
        <v>blue-collar</v>
      </c>
      <c r="D3701" s="3" t="str">
        <f aca="false">Raw_Data!C3701</f>
        <v>married</v>
      </c>
      <c r="E3701" s="3" t="str">
        <f aca="false">Raw_Data!D3701</f>
        <v>secondary</v>
      </c>
      <c r="F3701" s="3" t="str">
        <f aca="false">Raw_Data!E3701</f>
        <v>no</v>
      </c>
      <c r="G3701" s="3" t="n">
        <f aca="false">Raw_Data!F3701</f>
        <v>253</v>
      </c>
      <c r="H3701" s="3" t="str">
        <f aca="false">Raw_Data!G3701</f>
        <v>yes</v>
      </c>
      <c r="I3701" s="3" t="str">
        <f aca="false">Raw_Data!H3701</f>
        <v>yes</v>
      </c>
      <c r="J3701" s="2" t="n">
        <f aca="false">IF(F3701="yes",1,0)</f>
        <v>0</v>
      </c>
      <c r="K3701" s="2" t="n">
        <f aca="false">IF(H3701="yes",1,0)</f>
        <v>1</v>
      </c>
      <c r="L3701" s="2" t="n">
        <f aca="false">IF(I3701="yes",1,0)</f>
        <v>1</v>
      </c>
      <c r="M3701" s="2" t="n">
        <f aca="false">IF(G3701&lt;0,1,0)</f>
        <v>0</v>
      </c>
      <c r="N3701" s="2" t="str">
        <f aca="false">_xlfn.IFS(B3701&lt;30,"Under 30",B3701&lt;40,"30-39",B3701&lt;50,"40-49",B3701&lt;60,"50-59",TRUE(),"60+")</f>
        <v>50-59</v>
      </c>
      <c r="O3701" s="2" t="str">
        <f aca="false">_xlfn.IFS(G3701&lt;0,"1 Negative",G3701=0,"2 Zero",G3701&lt;=500,"3 1-500",G3701&lt;=2000,"4 501-2000",TRUE(),"5 Above 2000")</f>
        <v>3 1-500</v>
      </c>
      <c r="P3701" s="2" t="n">
        <f aca="false">Lookups!$B$2*M3701+Lookups!$B$3*L3701</f>
        <v>1</v>
      </c>
      <c r="Q3701" s="2" t="str">
        <f aca="false">INDEX(Lookups!$E$2:$E$5,MATCH(P3701,Lookups!$D$2:$D$5,0))</f>
        <v>Medium</v>
      </c>
    </row>
    <row r="3702" customFormat="false" ht="15" hidden="false" customHeight="false" outlineLevel="0" collapsed="false">
      <c r="A3702" s="3" t="n">
        <v>3701</v>
      </c>
      <c r="B3702" s="3" t="n">
        <f aca="false">Raw_Data!A3702</f>
        <v>60</v>
      </c>
      <c r="C3702" s="3" t="str">
        <f aca="false">SUBSTITUTE(Raw_Data!B3702,".","")</f>
        <v>retired</v>
      </c>
      <c r="D3702" s="3" t="str">
        <f aca="false">Raw_Data!C3702</f>
        <v>married</v>
      </c>
      <c r="E3702" s="3" t="str">
        <f aca="false">Raw_Data!D3702</f>
        <v>primary</v>
      </c>
      <c r="F3702" s="3" t="str">
        <f aca="false">Raw_Data!E3702</f>
        <v>no</v>
      </c>
      <c r="G3702" s="3" t="n">
        <f aca="false">Raw_Data!F3702</f>
        <v>71188</v>
      </c>
      <c r="H3702" s="3" t="str">
        <f aca="false">Raw_Data!G3702</f>
        <v>no</v>
      </c>
      <c r="I3702" s="3" t="str">
        <f aca="false">Raw_Data!H3702</f>
        <v>no</v>
      </c>
      <c r="J3702" s="2" t="n">
        <f aca="false">IF(F3702="yes",1,0)</f>
        <v>0</v>
      </c>
      <c r="K3702" s="2" t="n">
        <f aca="false">IF(H3702="yes",1,0)</f>
        <v>0</v>
      </c>
      <c r="L3702" s="2" t="n">
        <f aca="false">IF(I3702="yes",1,0)</f>
        <v>0</v>
      </c>
      <c r="M3702" s="2" t="n">
        <f aca="false">IF(G3702&lt;0,1,0)</f>
        <v>0</v>
      </c>
      <c r="N3702" s="2" t="str">
        <f aca="false">_xlfn.IFS(B3702&lt;30,"Under 30",B3702&lt;40,"30-39",B3702&lt;50,"40-49",B3702&lt;60,"50-59",TRUE(),"60+")</f>
        <v>60+</v>
      </c>
      <c r="O3702" s="2" t="str">
        <f aca="false">_xlfn.IFS(G3702&lt;0,"1 Negative",G3702=0,"2 Zero",G3702&lt;=500,"3 1-500",G3702&lt;=2000,"4 501-2000",TRUE(),"5 Above 2000")</f>
        <v>5 Above 2000</v>
      </c>
      <c r="P3702" s="2" t="n">
        <f aca="false">Lookups!$B$2*M3702+Lookups!$B$3*L3702</f>
        <v>0</v>
      </c>
      <c r="Q3702" s="2" t="str">
        <f aca="false">INDEX(Lookups!$E$2:$E$5,MATCH(P3702,Lookups!$D$2:$D$5,0))</f>
        <v>Low</v>
      </c>
    </row>
    <row r="3703" customFormat="false" ht="15" hidden="false" customHeight="false" outlineLevel="0" collapsed="false">
      <c r="A3703" s="3" t="n">
        <v>3702</v>
      </c>
      <c r="B3703" s="3" t="n">
        <f aca="false">Raw_Data!A3703</f>
        <v>51</v>
      </c>
      <c r="C3703" s="3" t="str">
        <f aca="false">SUBSTITUTE(Raw_Data!B3703,".","")</f>
        <v>management</v>
      </c>
      <c r="D3703" s="3" t="str">
        <f aca="false">Raw_Data!C3703</f>
        <v>married</v>
      </c>
      <c r="E3703" s="3" t="str">
        <f aca="false">Raw_Data!D3703</f>
        <v>tertiary</v>
      </c>
      <c r="F3703" s="3" t="str">
        <f aca="false">Raw_Data!E3703</f>
        <v>no</v>
      </c>
      <c r="G3703" s="3" t="n">
        <f aca="false">Raw_Data!F3703</f>
        <v>5108</v>
      </c>
      <c r="H3703" s="3" t="str">
        <f aca="false">Raw_Data!G3703</f>
        <v>yes</v>
      </c>
      <c r="I3703" s="3" t="str">
        <f aca="false">Raw_Data!H3703</f>
        <v>no</v>
      </c>
      <c r="J3703" s="2" t="n">
        <f aca="false">IF(F3703="yes",1,0)</f>
        <v>0</v>
      </c>
      <c r="K3703" s="2" t="n">
        <f aca="false">IF(H3703="yes",1,0)</f>
        <v>1</v>
      </c>
      <c r="L3703" s="2" t="n">
        <f aca="false">IF(I3703="yes",1,0)</f>
        <v>0</v>
      </c>
      <c r="M3703" s="2" t="n">
        <f aca="false">IF(G3703&lt;0,1,0)</f>
        <v>0</v>
      </c>
      <c r="N3703" s="2" t="str">
        <f aca="false">_xlfn.IFS(B3703&lt;30,"Under 30",B3703&lt;40,"30-39",B3703&lt;50,"40-49",B3703&lt;60,"50-59",TRUE(),"60+")</f>
        <v>50-59</v>
      </c>
      <c r="O3703" s="2" t="str">
        <f aca="false">_xlfn.IFS(G3703&lt;0,"1 Negative",G3703=0,"2 Zero",G3703&lt;=500,"3 1-500",G3703&lt;=2000,"4 501-2000",TRUE(),"5 Above 2000")</f>
        <v>5 Above 2000</v>
      </c>
      <c r="P3703" s="2" t="n">
        <f aca="false">Lookups!$B$2*M3703+Lookups!$B$3*L3703</f>
        <v>0</v>
      </c>
      <c r="Q3703" s="2" t="str">
        <f aca="false">INDEX(Lookups!$E$2:$E$5,MATCH(P3703,Lookups!$D$2:$D$5,0))</f>
        <v>Low</v>
      </c>
    </row>
    <row r="3704" customFormat="false" ht="15" hidden="false" customHeight="false" outlineLevel="0" collapsed="false">
      <c r="A3704" s="3" t="n">
        <v>3703</v>
      </c>
      <c r="B3704" s="3" t="n">
        <f aca="false">Raw_Data!A3704</f>
        <v>48</v>
      </c>
      <c r="C3704" s="3" t="str">
        <f aca="false">SUBSTITUTE(Raw_Data!B3704,".","")</f>
        <v>blue-collar</v>
      </c>
      <c r="D3704" s="3" t="str">
        <f aca="false">Raw_Data!C3704</f>
        <v>married</v>
      </c>
      <c r="E3704" s="3" t="str">
        <f aca="false">Raw_Data!D3704</f>
        <v>secondary</v>
      </c>
      <c r="F3704" s="3" t="str">
        <f aca="false">Raw_Data!E3704</f>
        <v>no</v>
      </c>
      <c r="G3704" s="3" t="n">
        <f aca="false">Raw_Data!F3704</f>
        <v>1738</v>
      </c>
      <c r="H3704" s="3" t="str">
        <f aca="false">Raw_Data!G3704</f>
        <v>yes</v>
      </c>
      <c r="I3704" s="3" t="str">
        <f aca="false">Raw_Data!H3704</f>
        <v>no</v>
      </c>
      <c r="J3704" s="2" t="n">
        <f aca="false">IF(F3704="yes",1,0)</f>
        <v>0</v>
      </c>
      <c r="K3704" s="2" t="n">
        <f aca="false">IF(H3704="yes",1,0)</f>
        <v>1</v>
      </c>
      <c r="L3704" s="2" t="n">
        <f aca="false">IF(I3704="yes",1,0)</f>
        <v>0</v>
      </c>
      <c r="M3704" s="2" t="n">
        <f aca="false">IF(G3704&lt;0,1,0)</f>
        <v>0</v>
      </c>
      <c r="N3704" s="2" t="str">
        <f aca="false">_xlfn.IFS(B3704&lt;30,"Under 30",B3704&lt;40,"30-39",B3704&lt;50,"40-49",B3704&lt;60,"50-59",TRUE(),"60+")</f>
        <v>40-49</v>
      </c>
      <c r="O3704" s="2" t="str">
        <f aca="false">_xlfn.IFS(G3704&lt;0,"1 Negative",G3704=0,"2 Zero",G3704&lt;=500,"3 1-500",G3704&lt;=2000,"4 501-2000",TRUE(),"5 Above 2000")</f>
        <v>4 501-2000</v>
      </c>
      <c r="P3704" s="2" t="n">
        <f aca="false">Lookups!$B$2*M3704+Lookups!$B$3*L3704</f>
        <v>0</v>
      </c>
      <c r="Q3704" s="2" t="str">
        <f aca="false">INDEX(Lookups!$E$2:$E$5,MATCH(P3704,Lookups!$D$2:$D$5,0))</f>
        <v>Low</v>
      </c>
    </row>
    <row r="3705" customFormat="false" ht="15" hidden="false" customHeight="false" outlineLevel="0" collapsed="false">
      <c r="A3705" s="3" t="n">
        <v>3704</v>
      </c>
      <c r="B3705" s="3" t="n">
        <f aca="false">Raw_Data!A3705</f>
        <v>42</v>
      </c>
      <c r="C3705" s="3" t="str">
        <f aca="false">SUBSTITUTE(Raw_Data!B3705,".","")</f>
        <v>blue-collar</v>
      </c>
      <c r="D3705" s="3" t="str">
        <f aca="false">Raw_Data!C3705</f>
        <v>married</v>
      </c>
      <c r="E3705" s="3" t="str">
        <f aca="false">Raw_Data!D3705</f>
        <v>primary</v>
      </c>
      <c r="F3705" s="3" t="str">
        <f aca="false">Raw_Data!E3705</f>
        <v>no</v>
      </c>
      <c r="G3705" s="3" t="n">
        <f aca="false">Raw_Data!F3705</f>
        <v>-97</v>
      </c>
      <c r="H3705" s="3" t="str">
        <f aca="false">Raw_Data!G3705</f>
        <v>yes</v>
      </c>
      <c r="I3705" s="3" t="str">
        <f aca="false">Raw_Data!H3705</f>
        <v>no</v>
      </c>
      <c r="J3705" s="2" t="n">
        <f aca="false">IF(F3705="yes",1,0)</f>
        <v>0</v>
      </c>
      <c r="K3705" s="2" t="n">
        <f aca="false">IF(H3705="yes",1,0)</f>
        <v>1</v>
      </c>
      <c r="L3705" s="2" t="n">
        <f aca="false">IF(I3705="yes",1,0)</f>
        <v>0</v>
      </c>
      <c r="M3705" s="2" t="n">
        <f aca="false">IF(G3705&lt;0,1,0)</f>
        <v>1</v>
      </c>
      <c r="N3705" s="2" t="str">
        <f aca="false">_xlfn.IFS(B3705&lt;30,"Under 30",B3705&lt;40,"30-39",B3705&lt;50,"40-49",B3705&lt;60,"50-59",TRUE(),"60+")</f>
        <v>40-49</v>
      </c>
      <c r="O3705" s="2" t="str">
        <f aca="false">_xlfn.IFS(G3705&lt;0,"1 Negative",G3705=0,"2 Zero",G3705&lt;=500,"3 1-500",G3705&lt;=2000,"4 501-2000",TRUE(),"5 Above 2000")</f>
        <v>1 Negative</v>
      </c>
      <c r="P3705" s="2" t="n">
        <f aca="false">Lookups!$B$2*M3705+Lookups!$B$3*L3705</f>
        <v>2</v>
      </c>
      <c r="Q3705" s="2" t="str">
        <f aca="false">INDEX(Lookups!$E$2:$E$5,MATCH(P3705,Lookups!$D$2:$D$5,0))</f>
        <v>High</v>
      </c>
    </row>
    <row r="3706" customFormat="false" ht="15" hidden="false" customHeight="false" outlineLevel="0" collapsed="false">
      <c r="A3706" s="3" t="n">
        <v>3705</v>
      </c>
      <c r="B3706" s="3" t="n">
        <f aca="false">Raw_Data!A3706</f>
        <v>36</v>
      </c>
      <c r="C3706" s="3" t="str">
        <f aca="false">SUBSTITUTE(Raw_Data!B3706,".","")</f>
        <v>blue-collar</v>
      </c>
      <c r="D3706" s="3" t="str">
        <f aca="false">Raw_Data!C3706</f>
        <v>married</v>
      </c>
      <c r="E3706" s="3" t="str">
        <f aca="false">Raw_Data!D3706</f>
        <v>secondary</v>
      </c>
      <c r="F3706" s="3" t="str">
        <f aca="false">Raw_Data!E3706</f>
        <v>no</v>
      </c>
      <c r="G3706" s="3" t="n">
        <f aca="false">Raw_Data!F3706</f>
        <v>199</v>
      </c>
      <c r="H3706" s="3" t="str">
        <f aca="false">Raw_Data!G3706</f>
        <v>yes</v>
      </c>
      <c r="I3706" s="3" t="str">
        <f aca="false">Raw_Data!H3706</f>
        <v>no</v>
      </c>
      <c r="J3706" s="2" t="n">
        <f aca="false">IF(F3706="yes",1,0)</f>
        <v>0</v>
      </c>
      <c r="K3706" s="2" t="n">
        <f aca="false">IF(H3706="yes",1,0)</f>
        <v>1</v>
      </c>
      <c r="L3706" s="2" t="n">
        <f aca="false">IF(I3706="yes",1,0)</f>
        <v>0</v>
      </c>
      <c r="M3706" s="2" t="n">
        <f aca="false">IF(G3706&lt;0,1,0)</f>
        <v>0</v>
      </c>
      <c r="N3706" s="2" t="str">
        <f aca="false">_xlfn.IFS(B3706&lt;30,"Under 30",B3706&lt;40,"30-39",B3706&lt;50,"40-49",B3706&lt;60,"50-59",TRUE(),"60+")</f>
        <v>30-39</v>
      </c>
      <c r="O3706" s="2" t="str">
        <f aca="false">_xlfn.IFS(G3706&lt;0,"1 Negative",G3706=0,"2 Zero",G3706&lt;=500,"3 1-500",G3706&lt;=2000,"4 501-2000",TRUE(),"5 Above 2000")</f>
        <v>3 1-500</v>
      </c>
      <c r="P3706" s="2" t="n">
        <f aca="false">Lookups!$B$2*M3706+Lookups!$B$3*L3706</f>
        <v>0</v>
      </c>
      <c r="Q3706" s="2" t="str">
        <f aca="false">INDEX(Lookups!$E$2:$E$5,MATCH(P3706,Lookups!$D$2:$D$5,0))</f>
        <v>Low</v>
      </c>
    </row>
    <row r="3707" customFormat="false" ht="15" hidden="false" customHeight="false" outlineLevel="0" collapsed="false">
      <c r="A3707" s="3" t="n">
        <v>3706</v>
      </c>
      <c r="B3707" s="3" t="n">
        <f aca="false">Raw_Data!A3707</f>
        <v>43</v>
      </c>
      <c r="C3707" s="3" t="str">
        <f aca="false">SUBSTITUTE(Raw_Data!B3707,".","")</f>
        <v>management</v>
      </c>
      <c r="D3707" s="3" t="str">
        <f aca="false">Raw_Data!C3707</f>
        <v>married</v>
      </c>
      <c r="E3707" s="3" t="str">
        <f aca="false">Raw_Data!D3707</f>
        <v>tertiary</v>
      </c>
      <c r="F3707" s="3" t="str">
        <f aca="false">Raw_Data!E3707</f>
        <v>no</v>
      </c>
      <c r="G3707" s="3" t="n">
        <f aca="false">Raw_Data!F3707</f>
        <v>489</v>
      </c>
      <c r="H3707" s="3" t="str">
        <f aca="false">Raw_Data!G3707</f>
        <v>yes</v>
      </c>
      <c r="I3707" s="3" t="str">
        <f aca="false">Raw_Data!H3707</f>
        <v>no</v>
      </c>
      <c r="J3707" s="2" t="n">
        <f aca="false">IF(F3707="yes",1,0)</f>
        <v>0</v>
      </c>
      <c r="K3707" s="2" t="n">
        <f aca="false">IF(H3707="yes",1,0)</f>
        <v>1</v>
      </c>
      <c r="L3707" s="2" t="n">
        <f aca="false">IF(I3707="yes",1,0)</f>
        <v>0</v>
      </c>
      <c r="M3707" s="2" t="n">
        <f aca="false">IF(G3707&lt;0,1,0)</f>
        <v>0</v>
      </c>
      <c r="N3707" s="2" t="str">
        <f aca="false">_xlfn.IFS(B3707&lt;30,"Under 30",B3707&lt;40,"30-39",B3707&lt;50,"40-49",B3707&lt;60,"50-59",TRUE(),"60+")</f>
        <v>40-49</v>
      </c>
      <c r="O3707" s="2" t="str">
        <f aca="false">_xlfn.IFS(G3707&lt;0,"1 Negative",G3707=0,"2 Zero",G3707&lt;=500,"3 1-500",G3707&lt;=2000,"4 501-2000",TRUE(),"5 Above 2000")</f>
        <v>3 1-500</v>
      </c>
      <c r="P3707" s="2" t="n">
        <f aca="false">Lookups!$B$2*M3707+Lookups!$B$3*L3707</f>
        <v>0</v>
      </c>
      <c r="Q3707" s="2" t="str">
        <f aca="false">INDEX(Lookups!$E$2:$E$5,MATCH(P3707,Lookups!$D$2:$D$5,0))</f>
        <v>Low</v>
      </c>
    </row>
    <row r="3708" customFormat="false" ht="15" hidden="false" customHeight="false" outlineLevel="0" collapsed="false">
      <c r="A3708" s="3" t="n">
        <v>3707</v>
      </c>
      <c r="B3708" s="3" t="n">
        <f aca="false">Raw_Data!A3708</f>
        <v>31</v>
      </c>
      <c r="C3708" s="3" t="str">
        <f aca="false">SUBSTITUTE(Raw_Data!B3708,".","")</f>
        <v>admin</v>
      </c>
      <c r="D3708" s="3" t="str">
        <f aca="false">Raw_Data!C3708</f>
        <v>married</v>
      </c>
      <c r="E3708" s="3" t="str">
        <f aca="false">Raw_Data!D3708</f>
        <v>primary</v>
      </c>
      <c r="F3708" s="3" t="str">
        <f aca="false">Raw_Data!E3708</f>
        <v>no</v>
      </c>
      <c r="G3708" s="3" t="n">
        <f aca="false">Raw_Data!F3708</f>
        <v>355</v>
      </c>
      <c r="H3708" s="3" t="str">
        <f aca="false">Raw_Data!G3708</f>
        <v>yes</v>
      </c>
      <c r="I3708" s="3" t="str">
        <f aca="false">Raw_Data!H3708</f>
        <v>yes</v>
      </c>
      <c r="J3708" s="2" t="n">
        <f aca="false">IF(F3708="yes",1,0)</f>
        <v>0</v>
      </c>
      <c r="K3708" s="2" t="n">
        <f aca="false">IF(H3708="yes",1,0)</f>
        <v>1</v>
      </c>
      <c r="L3708" s="2" t="n">
        <f aca="false">IF(I3708="yes",1,0)</f>
        <v>1</v>
      </c>
      <c r="M3708" s="2" t="n">
        <f aca="false">IF(G3708&lt;0,1,0)</f>
        <v>0</v>
      </c>
      <c r="N3708" s="2" t="str">
        <f aca="false">_xlfn.IFS(B3708&lt;30,"Under 30",B3708&lt;40,"30-39",B3708&lt;50,"40-49",B3708&lt;60,"50-59",TRUE(),"60+")</f>
        <v>30-39</v>
      </c>
      <c r="O3708" s="2" t="str">
        <f aca="false">_xlfn.IFS(G3708&lt;0,"1 Negative",G3708=0,"2 Zero",G3708&lt;=500,"3 1-500",G3708&lt;=2000,"4 501-2000",TRUE(),"5 Above 2000")</f>
        <v>3 1-500</v>
      </c>
      <c r="P3708" s="2" t="n">
        <f aca="false">Lookups!$B$2*M3708+Lookups!$B$3*L3708</f>
        <v>1</v>
      </c>
      <c r="Q3708" s="2" t="str">
        <f aca="false">INDEX(Lookups!$E$2:$E$5,MATCH(P3708,Lookups!$D$2:$D$5,0))</f>
        <v>Medium</v>
      </c>
    </row>
    <row r="3709" customFormat="false" ht="15" hidden="false" customHeight="false" outlineLevel="0" collapsed="false">
      <c r="A3709" s="3" t="n">
        <v>3708</v>
      </c>
      <c r="B3709" s="3" t="n">
        <f aca="false">Raw_Data!A3709</f>
        <v>49</v>
      </c>
      <c r="C3709" s="3" t="str">
        <f aca="false">SUBSTITUTE(Raw_Data!B3709,".","")</f>
        <v>technician</v>
      </c>
      <c r="D3709" s="3" t="str">
        <f aca="false">Raw_Data!C3709</f>
        <v>single</v>
      </c>
      <c r="E3709" s="3" t="str">
        <f aca="false">Raw_Data!D3709</f>
        <v>secondary</v>
      </c>
      <c r="F3709" s="3" t="str">
        <f aca="false">Raw_Data!E3709</f>
        <v>no</v>
      </c>
      <c r="G3709" s="3" t="n">
        <f aca="false">Raw_Data!F3709</f>
        <v>-97</v>
      </c>
      <c r="H3709" s="3" t="str">
        <f aca="false">Raw_Data!G3709</f>
        <v>yes</v>
      </c>
      <c r="I3709" s="3" t="str">
        <f aca="false">Raw_Data!H3709</f>
        <v>no</v>
      </c>
      <c r="J3709" s="2" t="n">
        <f aca="false">IF(F3709="yes",1,0)</f>
        <v>0</v>
      </c>
      <c r="K3709" s="2" t="n">
        <f aca="false">IF(H3709="yes",1,0)</f>
        <v>1</v>
      </c>
      <c r="L3709" s="2" t="n">
        <f aca="false">IF(I3709="yes",1,0)</f>
        <v>0</v>
      </c>
      <c r="M3709" s="2" t="n">
        <f aca="false">IF(G3709&lt;0,1,0)</f>
        <v>1</v>
      </c>
      <c r="N3709" s="2" t="str">
        <f aca="false">_xlfn.IFS(B3709&lt;30,"Under 30",B3709&lt;40,"30-39",B3709&lt;50,"40-49",B3709&lt;60,"50-59",TRUE(),"60+")</f>
        <v>40-49</v>
      </c>
      <c r="O3709" s="2" t="str">
        <f aca="false">_xlfn.IFS(G3709&lt;0,"1 Negative",G3709=0,"2 Zero",G3709&lt;=500,"3 1-500",G3709&lt;=2000,"4 501-2000",TRUE(),"5 Above 2000")</f>
        <v>1 Negative</v>
      </c>
      <c r="P3709" s="2" t="n">
        <f aca="false">Lookups!$B$2*M3709+Lookups!$B$3*L3709</f>
        <v>2</v>
      </c>
      <c r="Q3709" s="2" t="str">
        <f aca="false">INDEX(Lookups!$E$2:$E$5,MATCH(P3709,Lookups!$D$2:$D$5,0))</f>
        <v>High</v>
      </c>
    </row>
    <row r="3710" customFormat="false" ht="15" hidden="false" customHeight="false" outlineLevel="0" collapsed="false">
      <c r="A3710" s="3" t="n">
        <v>3709</v>
      </c>
      <c r="B3710" s="3" t="n">
        <f aca="false">Raw_Data!A3710</f>
        <v>35</v>
      </c>
      <c r="C3710" s="3" t="str">
        <f aca="false">SUBSTITUTE(Raw_Data!B3710,".","")</f>
        <v>management</v>
      </c>
      <c r="D3710" s="3" t="str">
        <f aca="false">Raw_Data!C3710</f>
        <v>divorced</v>
      </c>
      <c r="E3710" s="3" t="str">
        <f aca="false">Raw_Data!D3710</f>
        <v>tertiary</v>
      </c>
      <c r="F3710" s="3" t="str">
        <f aca="false">Raw_Data!E3710</f>
        <v>no</v>
      </c>
      <c r="G3710" s="3" t="n">
        <f aca="false">Raw_Data!F3710</f>
        <v>473</v>
      </c>
      <c r="H3710" s="3" t="str">
        <f aca="false">Raw_Data!G3710</f>
        <v>no</v>
      </c>
      <c r="I3710" s="3" t="str">
        <f aca="false">Raw_Data!H3710</f>
        <v>yes</v>
      </c>
      <c r="J3710" s="2" t="n">
        <f aca="false">IF(F3710="yes",1,0)</f>
        <v>0</v>
      </c>
      <c r="K3710" s="2" t="n">
        <f aca="false">IF(H3710="yes",1,0)</f>
        <v>0</v>
      </c>
      <c r="L3710" s="2" t="n">
        <f aca="false">IF(I3710="yes",1,0)</f>
        <v>1</v>
      </c>
      <c r="M3710" s="2" t="n">
        <f aca="false">IF(G3710&lt;0,1,0)</f>
        <v>0</v>
      </c>
      <c r="N3710" s="2" t="str">
        <f aca="false">_xlfn.IFS(B3710&lt;30,"Under 30",B3710&lt;40,"30-39",B3710&lt;50,"40-49",B3710&lt;60,"50-59",TRUE(),"60+")</f>
        <v>30-39</v>
      </c>
      <c r="O3710" s="2" t="str">
        <f aca="false">_xlfn.IFS(G3710&lt;0,"1 Negative",G3710=0,"2 Zero",G3710&lt;=500,"3 1-500",G3710&lt;=2000,"4 501-2000",TRUE(),"5 Above 2000")</f>
        <v>3 1-500</v>
      </c>
      <c r="P3710" s="2" t="n">
        <f aca="false">Lookups!$B$2*M3710+Lookups!$B$3*L3710</f>
        <v>1</v>
      </c>
      <c r="Q3710" s="2" t="str">
        <f aca="false">INDEX(Lookups!$E$2:$E$5,MATCH(P3710,Lookups!$D$2:$D$5,0))</f>
        <v>Medium</v>
      </c>
    </row>
    <row r="3711" customFormat="false" ht="15" hidden="false" customHeight="false" outlineLevel="0" collapsed="false">
      <c r="A3711" s="3" t="n">
        <v>3710</v>
      </c>
      <c r="B3711" s="3" t="n">
        <f aca="false">Raw_Data!A3711</f>
        <v>44</v>
      </c>
      <c r="C3711" s="3" t="str">
        <f aca="false">SUBSTITUTE(Raw_Data!B3711,".","")</f>
        <v>entrepreneur</v>
      </c>
      <c r="D3711" s="3" t="str">
        <f aca="false">Raw_Data!C3711</f>
        <v>married</v>
      </c>
      <c r="E3711" s="3" t="str">
        <f aca="false">Raw_Data!D3711</f>
        <v>secondary</v>
      </c>
      <c r="F3711" s="3" t="str">
        <f aca="false">Raw_Data!E3711</f>
        <v>no</v>
      </c>
      <c r="G3711" s="3" t="n">
        <f aca="false">Raw_Data!F3711</f>
        <v>6649</v>
      </c>
      <c r="H3711" s="3" t="str">
        <f aca="false">Raw_Data!G3711</f>
        <v>yes</v>
      </c>
      <c r="I3711" s="3" t="str">
        <f aca="false">Raw_Data!H3711</f>
        <v>no</v>
      </c>
      <c r="J3711" s="2" t="n">
        <f aca="false">IF(F3711="yes",1,0)</f>
        <v>0</v>
      </c>
      <c r="K3711" s="2" t="n">
        <f aca="false">IF(H3711="yes",1,0)</f>
        <v>1</v>
      </c>
      <c r="L3711" s="2" t="n">
        <f aca="false">IF(I3711="yes",1,0)</f>
        <v>0</v>
      </c>
      <c r="M3711" s="2" t="n">
        <f aca="false">IF(G3711&lt;0,1,0)</f>
        <v>0</v>
      </c>
      <c r="N3711" s="2" t="str">
        <f aca="false">_xlfn.IFS(B3711&lt;30,"Under 30",B3711&lt;40,"30-39",B3711&lt;50,"40-49",B3711&lt;60,"50-59",TRUE(),"60+")</f>
        <v>40-49</v>
      </c>
      <c r="O3711" s="2" t="str">
        <f aca="false">_xlfn.IFS(G3711&lt;0,"1 Negative",G3711=0,"2 Zero",G3711&lt;=500,"3 1-500",G3711&lt;=2000,"4 501-2000",TRUE(),"5 Above 2000")</f>
        <v>5 Above 2000</v>
      </c>
      <c r="P3711" s="2" t="n">
        <f aca="false">Lookups!$B$2*M3711+Lookups!$B$3*L3711</f>
        <v>0</v>
      </c>
      <c r="Q3711" s="2" t="str">
        <f aca="false">INDEX(Lookups!$E$2:$E$5,MATCH(P3711,Lookups!$D$2:$D$5,0))</f>
        <v>Low</v>
      </c>
    </row>
    <row r="3712" customFormat="false" ht="15" hidden="false" customHeight="false" outlineLevel="0" collapsed="false">
      <c r="A3712" s="3" t="n">
        <v>3711</v>
      </c>
      <c r="B3712" s="3" t="n">
        <f aca="false">Raw_Data!A3712</f>
        <v>34</v>
      </c>
      <c r="C3712" s="3" t="str">
        <f aca="false">SUBSTITUTE(Raw_Data!B3712,".","")</f>
        <v>self-employed</v>
      </c>
      <c r="D3712" s="3" t="str">
        <f aca="false">Raw_Data!C3712</f>
        <v>married</v>
      </c>
      <c r="E3712" s="3" t="str">
        <f aca="false">Raw_Data!D3712</f>
        <v>tertiary</v>
      </c>
      <c r="F3712" s="3" t="str">
        <f aca="false">Raw_Data!E3712</f>
        <v>no</v>
      </c>
      <c r="G3712" s="3" t="n">
        <f aca="false">Raw_Data!F3712</f>
        <v>263</v>
      </c>
      <c r="H3712" s="3" t="str">
        <f aca="false">Raw_Data!G3712</f>
        <v>no</v>
      </c>
      <c r="I3712" s="3" t="str">
        <f aca="false">Raw_Data!H3712</f>
        <v>no</v>
      </c>
      <c r="J3712" s="2" t="n">
        <f aca="false">IF(F3712="yes",1,0)</f>
        <v>0</v>
      </c>
      <c r="K3712" s="2" t="n">
        <f aca="false">IF(H3712="yes",1,0)</f>
        <v>0</v>
      </c>
      <c r="L3712" s="2" t="n">
        <f aca="false">IF(I3712="yes",1,0)</f>
        <v>0</v>
      </c>
      <c r="M3712" s="2" t="n">
        <f aca="false">IF(G3712&lt;0,1,0)</f>
        <v>0</v>
      </c>
      <c r="N3712" s="2" t="str">
        <f aca="false">_xlfn.IFS(B3712&lt;30,"Under 30",B3712&lt;40,"30-39",B3712&lt;50,"40-49",B3712&lt;60,"50-59",TRUE(),"60+")</f>
        <v>30-39</v>
      </c>
      <c r="O3712" s="2" t="str">
        <f aca="false">_xlfn.IFS(G3712&lt;0,"1 Negative",G3712=0,"2 Zero",G3712&lt;=500,"3 1-500",G3712&lt;=2000,"4 501-2000",TRUE(),"5 Above 2000")</f>
        <v>3 1-500</v>
      </c>
      <c r="P3712" s="2" t="n">
        <f aca="false">Lookups!$B$2*M3712+Lookups!$B$3*L3712</f>
        <v>0</v>
      </c>
      <c r="Q3712" s="2" t="str">
        <f aca="false">INDEX(Lookups!$E$2:$E$5,MATCH(P3712,Lookups!$D$2:$D$5,0))</f>
        <v>Low</v>
      </c>
    </row>
    <row r="3713" customFormat="false" ht="15" hidden="false" customHeight="false" outlineLevel="0" collapsed="false">
      <c r="A3713" s="3" t="n">
        <v>3712</v>
      </c>
      <c r="B3713" s="3" t="n">
        <f aca="false">Raw_Data!A3713</f>
        <v>46</v>
      </c>
      <c r="C3713" s="3" t="str">
        <f aca="false">SUBSTITUTE(Raw_Data!B3713,".","")</f>
        <v>blue-collar</v>
      </c>
      <c r="D3713" s="3" t="str">
        <f aca="false">Raw_Data!C3713</f>
        <v>married</v>
      </c>
      <c r="E3713" s="3" t="str">
        <f aca="false">Raw_Data!D3713</f>
        <v>secondary</v>
      </c>
      <c r="F3713" s="3" t="str">
        <f aca="false">Raw_Data!E3713</f>
        <v>no</v>
      </c>
      <c r="G3713" s="3" t="n">
        <f aca="false">Raw_Data!F3713</f>
        <v>781</v>
      </c>
      <c r="H3713" s="3" t="str">
        <f aca="false">Raw_Data!G3713</f>
        <v>no</v>
      </c>
      <c r="I3713" s="3" t="str">
        <f aca="false">Raw_Data!H3713</f>
        <v>no</v>
      </c>
      <c r="J3713" s="2" t="n">
        <f aca="false">IF(F3713="yes",1,0)</f>
        <v>0</v>
      </c>
      <c r="K3713" s="2" t="n">
        <f aca="false">IF(H3713="yes",1,0)</f>
        <v>0</v>
      </c>
      <c r="L3713" s="2" t="n">
        <f aca="false">IF(I3713="yes",1,0)</f>
        <v>0</v>
      </c>
      <c r="M3713" s="2" t="n">
        <f aca="false">IF(G3713&lt;0,1,0)</f>
        <v>0</v>
      </c>
      <c r="N3713" s="2" t="str">
        <f aca="false">_xlfn.IFS(B3713&lt;30,"Under 30",B3713&lt;40,"30-39",B3713&lt;50,"40-49",B3713&lt;60,"50-59",TRUE(),"60+")</f>
        <v>40-49</v>
      </c>
      <c r="O3713" s="2" t="str">
        <f aca="false">_xlfn.IFS(G3713&lt;0,"1 Negative",G3713=0,"2 Zero",G3713&lt;=500,"3 1-500",G3713&lt;=2000,"4 501-2000",TRUE(),"5 Above 2000")</f>
        <v>4 501-2000</v>
      </c>
      <c r="P3713" s="2" t="n">
        <f aca="false">Lookups!$B$2*M3713+Lookups!$B$3*L3713</f>
        <v>0</v>
      </c>
      <c r="Q3713" s="2" t="str">
        <f aca="false">INDEX(Lookups!$E$2:$E$5,MATCH(P3713,Lookups!$D$2:$D$5,0))</f>
        <v>Low</v>
      </c>
    </row>
    <row r="3714" customFormat="false" ht="15" hidden="false" customHeight="false" outlineLevel="0" collapsed="false">
      <c r="A3714" s="3" t="n">
        <v>3713</v>
      </c>
      <c r="B3714" s="3" t="n">
        <f aca="false">Raw_Data!A3714</f>
        <v>49</v>
      </c>
      <c r="C3714" s="3" t="str">
        <f aca="false">SUBSTITUTE(Raw_Data!B3714,".","")</f>
        <v>blue-collar</v>
      </c>
      <c r="D3714" s="3" t="str">
        <f aca="false">Raw_Data!C3714</f>
        <v>married</v>
      </c>
      <c r="E3714" s="3" t="str">
        <f aca="false">Raw_Data!D3714</f>
        <v>primary</v>
      </c>
      <c r="F3714" s="3" t="str">
        <f aca="false">Raw_Data!E3714</f>
        <v>no</v>
      </c>
      <c r="G3714" s="3" t="n">
        <f aca="false">Raw_Data!F3714</f>
        <v>1032</v>
      </c>
      <c r="H3714" s="3" t="str">
        <f aca="false">Raw_Data!G3714</f>
        <v>yes</v>
      </c>
      <c r="I3714" s="3" t="str">
        <f aca="false">Raw_Data!H3714</f>
        <v>no</v>
      </c>
      <c r="J3714" s="2" t="n">
        <f aca="false">IF(F3714="yes",1,0)</f>
        <v>0</v>
      </c>
      <c r="K3714" s="2" t="n">
        <f aca="false">IF(H3714="yes",1,0)</f>
        <v>1</v>
      </c>
      <c r="L3714" s="2" t="n">
        <f aca="false">IF(I3714="yes",1,0)</f>
        <v>0</v>
      </c>
      <c r="M3714" s="2" t="n">
        <f aca="false">IF(G3714&lt;0,1,0)</f>
        <v>0</v>
      </c>
      <c r="N3714" s="2" t="str">
        <f aca="false">_xlfn.IFS(B3714&lt;30,"Under 30",B3714&lt;40,"30-39",B3714&lt;50,"40-49",B3714&lt;60,"50-59",TRUE(),"60+")</f>
        <v>40-49</v>
      </c>
      <c r="O3714" s="2" t="str">
        <f aca="false">_xlfn.IFS(G3714&lt;0,"1 Negative",G3714=0,"2 Zero",G3714&lt;=500,"3 1-500",G3714&lt;=2000,"4 501-2000",TRUE(),"5 Above 2000")</f>
        <v>4 501-2000</v>
      </c>
      <c r="P3714" s="2" t="n">
        <f aca="false">Lookups!$B$2*M3714+Lookups!$B$3*L3714</f>
        <v>0</v>
      </c>
      <c r="Q3714" s="2" t="str">
        <f aca="false">INDEX(Lookups!$E$2:$E$5,MATCH(P3714,Lookups!$D$2:$D$5,0))</f>
        <v>Low</v>
      </c>
    </row>
    <row r="3715" customFormat="false" ht="15" hidden="false" customHeight="false" outlineLevel="0" collapsed="false">
      <c r="A3715" s="3" t="n">
        <v>3714</v>
      </c>
      <c r="B3715" s="3" t="n">
        <f aca="false">Raw_Data!A3715</f>
        <v>32</v>
      </c>
      <c r="C3715" s="3" t="str">
        <f aca="false">SUBSTITUTE(Raw_Data!B3715,".","")</f>
        <v>blue-collar</v>
      </c>
      <c r="D3715" s="3" t="str">
        <f aca="false">Raw_Data!C3715</f>
        <v>married</v>
      </c>
      <c r="E3715" s="3" t="str">
        <f aca="false">Raw_Data!D3715</f>
        <v>secondary</v>
      </c>
      <c r="F3715" s="3" t="str">
        <f aca="false">Raw_Data!E3715</f>
        <v>no</v>
      </c>
      <c r="G3715" s="3" t="n">
        <f aca="false">Raw_Data!F3715</f>
        <v>119</v>
      </c>
      <c r="H3715" s="3" t="str">
        <f aca="false">Raw_Data!G3715</f>
        <v>no</v>
      </c>
      <c r="I3715" s="3" t="str">
        <f aca="false">Raw_Data!H3715</f>
        <v>no</v>
      </c>
      <c r="J3715" s="2" t="n">
        <f aca="false">IF(F3715="yes",1,0)</f>
        <v>0</v>
      </c>
      <c r="K3715" s="2" t="n">
        <f aca="false">IF(H3715="yes",1,0)</f>
        <v>0</v>
      </c>
      <c r="L3715" s="2" t="n">
        <f aca="false">IF(I3715="yes",1,0)</f>
        <v>0</v>
      </c>
      <c r="M3715" s="2" t="n">
        <f aca="false">IF(G3715&lt;0,1,0)</f>
        <v>0</v>
      </c>
      <c r="N3715" s="2" t="str">
        <f aca="false">_xlfn.IFS(B3715&lt;30,"Under 30",B3715&lt;40,"30-39",B3715&lt;50,"40-49",B3715&lt;60,"50-59",TRUE(),"60+")</f>
        <v>30-39</v>
      </c>
      <c r="O3715" s="2" t="str">
        <f aca="false">_xlfn.IFS(G3715&lt;0,"1 Negative",G3715=0,"2 Zero",G3715&lt;=500,"3 1-500",G3715&lt;=2000,"4 501-2000",TRUE(),"5 Above 2000")</f>
        <v>3 1-500</v>
      </c>
      <c r="P3715" s="2" t="n">
        <f aca="false">Lookups!$B$2*M3715+Lookups!$B$3*L3715</f>
        <v>0</v>
      </c>
      <c r="Q3715" s="2" t="str">
        <f aca="false">INDEX(Lookups!$E$2:$E$5,MATCH(P3715,Lookups!$D$2:$D$5,0))</f>
        <v>Low</v>
      </c>
    </row>
    <row r="3716" customFormat="false" ht="15" hidden="false" customHeight="false" outlineLevel="0" collapsed="false">
      <c r="A3716" s="3" t="n">
        <v>3715</v>
      </c>
      <c r="B3716" s="3" t="n">
        <f aca="false">Raw_Data!A3716</f>
        <v>35</v>
      </c>
      <c r="C3716" s="3" t="str">
        <f aca="false">SUBSTITUTE(Raw_Data!B3716,".","")</f>
        <v>management</v>
      </c>
      <c r="D3716" s="3" t="str">
        <f aca="false">Raw_Data!C3716</f>
        <v>divorced</v>
      </c>
      <c r="E3716" s="3" t="str">
        <f aca="false">Raw_Data!D3716</f>
        <v>tertiary</v>
      </c>
      <c r="F3716" s="3" t="str">
        <f aca="false">Raw_Data!E3716</f>
        <v>no</v>
      </c>
      <c r="G3716" s="3" t="n">
        <f aca="false">Raw_Data!F3716</f>
        <v>434</v>
      </c>
      <c r="H3716" s="3" t="str">
        <f aca="false">Raw_Data!G3716</f>
        <v>yes</v>
      </c>
      <c r="I3716" s="3" t="str">
        <f aca="false">Raw_Data!H3716</f>
        <v>no</v>
      </c>
      <c r="J3716" s="2" t="n">
        <f aca="false">IF(F3716="yes",1,0)</f>
        <v>0</v>
      </c>
      <c r="K3716" s="2" t="n">
        <f aca="false">IF(H3716="yes",1,0)</f>
        <v>1</v>
      </c>
      <c r="L3716" s="2" t="n">
        <f aca="false">IF(I3716="yes",1,0)</f>
        <v>0</v>
      </c>
      <c r="M3716" s="2" t="n">
        <f aca="false">IF(G3716&lt;0,1,0)</f>
        <v>0</v>
      </c>
      <c r="N3716" s="2" t="str">
        <f aca="false">_xlfn.IFS(B3716&lt;30,"Under 30",B3716&lt;40,"30-39",B3716&lt;50,"40-49",B3716&lt;60,"50-59",TRUE(),"60+")</f>
        <v>30-39</v>
      </c>
      <c r="O3716" s="2" t="str">
        <f aca="false">_xlfn.IFS(G3716&lt;0,"1 Negative",G3716=0,"2 Zero",G3716&lt;=500,"3 1-500",G3716&lt;=2000,"4 501-2000",TRUE(),"5 Above 2000")</f>
        <v>3 1-500</v>
      </c>
      <c r="P3716" s="2" t="n">
        <f aca="false">Lookups!$B$2*M3716+Lookups!$B$3*L3716</f>
        <v>0</v>
      </c>
      <c r="Q3716" s="2" t="str">
        <f aca="false">INDEX(Lookups!$E$2:$E$5,MATCH(P3716,Lookups!$D$2:$D$5,0))</f>
        <v>Low</v>
      </c>
    </row>
    <row r="3717" customFormat="false" ht="15" hidden="false" customHeight="false" outlineLevel="0" collapsed="false">
      <c r="A3717" s="3" t="n">
        <v>3716</v>
      </c>
      <c r="B3717" s="3" t="n">
        <f aca="false">Raw_Data!A3717</f>
        <v>51</v>
      </c>
      <c r="C3717" s="3" t="str">
        <f aca="false">SUBSTITUTE(Raw_Data!B3717,".","")</f>
        <v>admin</v>
      </c>
      <c r="D3717" s="3" t="str">
        <f aca="false">Raw_Data!C3717</f>
        <v>married</v>
      </c>
      <c r="E3717" s="3" t="str">
        <f aca="false">Raw_Data!D3717</f>
        <v>secondary</v>
      </c>
      <c r="F3717" s="3" t="str">
        <f aca="false">Raw_Data!E3717</f>
        <v>no</v>
      </c>
      <c r="G3717" s="3" t="n">
        <f aca="false">Raw_Data!F3717</f>
        <v>2967</v>
      </c>
      <c r="H3717" s="3" t="str">
        <f aca="false">Raw_Data!G3717</f>
        <v>no</v>
      </c>
      <c r="I3717" s="3" t="str">
        <f aca="false">Raw_Data!H3717</f>
        <v>no</v>
      </c>
      <c r="J3717" s="2" t="n">
        <f aca="false">IF(F3717="yes",1,0)</f>
        <v>0</v>
      </c>
      <c r="K3717" s="2" t="n">
        <f aca="false">IF(H3717="yes",1,0)</f>
        <v>0</v>
      </c>
      <c r="L3717" s="2" t="n">
        <f aca="false">IF(I3717="yes",1,0)</f>
        <v>0</v>
      </c>
      <c r="M3717" s="2" t="n">
        <f aca="false">IF(G3717&lt;0,1,0)</f>
        <v>0</v>
      </c>
      <c r="N3717" s="2" t="str">
        <f aca="false">_xlfn.IFS(B3717&lt;30,"Under 30",B3717&lt;40,"30-39",B3717&lt;50,"40-49",B3717&lt;60,"50-59",TRUE(),"60+")</f>
        <v>50-59</v>
      </c>
      <c r="O3717" s="2" t="str">
        <f aca="false">_xlfn.IFS(G3717&lt;0,"1 Negative",G3717=0,"2 Zero",G3717&lt;=500,"3 1-500",G3717&lt;=2000,"4 501-2000",TRUE(),"5 Above 2000")</f>
        <v>5 Above 2000</v>
      </c>
      <c r="P3717" s="2" t="n">
        <f aca="false">Lookups!$B$2*M3717+Lookups!$B$3*L3717</f>
        <v>0</v>
      </c>
      <c r="Q3717" s="2" t="str">
        <f aca="false">INDEX(Lookups!$E$2:$E$5,MATCH(P3717,Lookups!$D$2:$D$5,0))</f>
        <v>Low</v>
      </c>
    </row>
    <row r="3718" customFormat="false" ht="15" hidden="false" customHeight="false" outlineLevel="0" collapsed="false">
      <c r="A3718" s="3" t="n">
        <v>3717</v>
      </c>
      <c r="B3718" s="3" t="n">
        <f aca="false">Raw_Data!A3718</f>
        <v>57</v>
      </c>
      <c r="C3718" s="3" t="str">
        <f aca="false">SUBSTITUTE(Raw_Data!B3718,".","")</f>
        <v>retired</v>
      </c>
      <c r="D3718" s="3" t="str">
        <f aca="false">Raw_Data!C3718</f>
        <v>divorced</v>
      </c>
      <c r="E3718" s="3" t="str">
        <f aca="false">Raw_Data!D3718</f>
        <v>secondary</v>
      </c>
      <c r="F3718" s="3" t="str">
        <f aca="false">Raw_Data!E3718</f>
        <v>no</v>
      </c>
      <c r="G3718" s="3" t="n">
        <f aca="false">Raw_Data!F3718</f>
        <v>-331</v>
      </c>
      <c r="H3718" s="3" t="str">
        <f aca="false">Raw_Data!G3718</f>
        <v>yes</v>
      </c>
      <c r="I3718" s="3" t="str">
        <f aca="false">Raw_Data!H3718</f>
        <v>no</v>
      </c>
      <c r="J3718" s="2" t="n">
        <f aca="false">IF(F3718="yes",1,0)</f>
        <v>0</v>
      </c>
      <c r="K3718" s="2" t="n">
        <f aca="false">IF(H3718="yes",1,0)</f>
        <v>1</v>
      </c>
      <c r="L3718" s="2" t="n">
        <f aca="false">IF(I3718="yes",1,0)</f>
        <v>0</v>
      </c>
      <c r="M3718" s="2" t="n">
        <f aca="false">IF(G3718&lt;0,1,0)</f>
        <v>1</v>
      </c>
      <c r="N3718" s="2" t="str">
        <f aca="false">_xlfn.IFS(B3718&lt;30,"Under 30",B3718&lt;40,"30-39",B3718&lt;50,"40-49",B3718&lt;60,"50-59",TRUE(),"60+")</f>
        <v>50-59</v>
      </c>
      <c r="O3718" s="2" t="str">
        <f aca="false">_xlfn.IFS(G3718&lt;0,"1 Negative",G3718=0,"2 Zero",G3718&lt;=500,"3 1-500",G3718&lt;=2000,"4 501-2000",TRUE(),"5 Above 2000")</f>
        <v>1 Negative</v>
      </c>
      <c r="P3718" s="2" t="n">
        <f aca="false">Lookups!$B$2*M3718+Lookups!$B$3*L3718</f>
        <v>2</v>
      </c>
      <c r="Q3718" s="2" t="str">
        <f aca="false">INDEX(Lookups!$E$2:$E$5,MATCH(P3718,Lookups!$D$2:$D$5,0))</f>
        <v>High</v>
      </c>
    </row>
    <row r="3719" customFormat="false" ht="15" hidden="false" customHeight="false" outlineLevel="0" collapsed="false">
      <c r="A3719" s="3" t="n">
        <v>3718</v>
      </c>
      <c r="B3719" s="3" t="n">
        <f aca="false">Raw_Data!A3719</f>
        <v>59</v>
      </c>
      <c r="C3719" s="3" t="str">
        <f aca="false">SUBSTITUTE(Raw_Data!B3719,".","")</f>
        <v>management</v>
      </c>
      <c r="D3719" s="3" t="str">
        <f aca="false">Raw_Data!C3719</f>
        <v>married</v>
      </c>
      <c r="E3719" s="3" t="str">
        <f aca="false">Raw_Data!D3719</f>
        <v>tertiary</v>
      </c>
      <c r="F3719" s="3" t="str">
        <f aca="false">Raw_Data!E3719</f>
        <v>no</v>
      </c>
      <c r="G3719" s="3" t="n">
        <f aca="false">Raw_Data!F3719</f>
        <v>1585</v>
      </c>
      <c r="H3719" s="3" t="str">
        <f aca="false">Raw_Data!G3719</f>
        <v>no</v>
      </c>
      <c r="I3719" s="3" t="str">
        <f aca="false">Raw_Data!H3719</f>
        <v>no</v>
      </c>
      <c r="J3719" s="2" t="n">
        <f aca="false">IF(F3719="yes",1,0)</f>
        <v>0</v>
      </c>
      <c r="K3719" s="2" t="n">
        <f aca="false">IF(H3719="yes",1,0)</f>
        <v>0</v>
      </c>
      <c r="L3719" s="2" t="n">
        <f aca="false">IF(I3719="yes",1,0)</f>
        <v>0</v>
      </c>
      <c r="M3719" s="2" t="n">
        <f aca="false">IF(G3719&lt;0,1,0)</f>
        <v>0</v>
      </c>
      <c r="N3719" s="2" t="str">
        <f aca="false">_xlfn.IFS(B3719&lt;30,"Under 30",B3719&lt;40,"30-39",B3719&lt;50,"40-49",B3719&lt;60,"50-59",TRUE(),"60+")</f>
        <v>50-59</v>
      </c>
      <c r="O3719" s="2" t="str">
        <f aca="false">_xlfn.IFS(G3719&lt;0,"1 Negative",G3719=0,"2 Zero",G3719&lt;=500,"3 1-500",G3719&lt;=2000,"4 501-2000",TRUE(),"5 Above 2000")</f>
        <v>4 501-2000</v>
      </c>
      <c r="P3719" s="2" t="n">
        <f aca="false">Lookups!$B$2*M3719+Lookups!$B$3*L3719</f>
        <v>0</v>
      </c>
      <c r="Q3719" s="2" t="str">
        <f aca="false">INDEX(Lookups!$E$2:$E$5,MATCH(P3719,Lookups!$D$2:$D$5,0))</f>
        <v>Low</v>
      </c>
    </row>
    <row r="3720" customFormat="false" ht="15" hidden="false" customHeight="false" outlineLevel="0" collapsed="false">
      <c r="A3720" s="3" t="n">
        <v>3719</v>
      </c>
      <c r="B3720" s="3" t="n">
        <f aca="false">Raw_Data!A3720</f>
        <v>40</v>
      </c>
      <c r="C3720" s="3" t="str">
        <f aca="false">SUBSTITUTE(Raw_Data!B3720,".","")</f>
        <v>services</v>
      </c>
      <c r="D3720" s="3" t="str">
        <f aca="false">Raw_Data!C3720</f>
        <v>divorced</v>
      </c>
      <c r="E3720" s="3" t="str">
        <f aca="false">Raw_Data!D3720</f>
        <v>unknown</v>
      </c>
      <c r="F3720" s="3" t="str">
        <f aca="false">Raw_Data!E3720</f>
        <v>no</v>
      </c>
      <c r="G3720" s="3" t="n">
        <f aca="false">Raw_Data!F3720</f>
        <v>4384</v>
      </c>
      <c r="H3720" s="3" t="str">
        <f aca="false">Raw_Data!G3720</f>
        <v>yes</v>
      </c>
      <c r="I3720" s="3" t="str">
        <f aca="false">Raw_Data!H3720</f>
        <v>no</v>
      </c>
      <c r="J3720" s="2" t="n">
        <f aca="false">IF(F3720="yes",1,0)</f>
        <v>0</v>
      </c>
      <c r="K3720" s="2" t="n">
        <f aca="false">IF(H3720="yes",1,0)</f>
        <v>1</v>
      </c>
      <c r="L3720" s="2" t="n">
        <f aca="false">IF(I3720="yes",1,0)</f>
        <v>0</v>
      </c>
      <c r="M3720" s="2" t="n">
        <f aca="false">IF(G3720&lt;0,1,0)</f>
        <v>0</v>
      </c>
      <c r="N3720" s="2" t="str">
        <f aca="false">_xlfn.IFS(B3720&lt;30,"Under 30",B3720&lt;40,"30-39",B3720&lt;50,"40-49",B3720&lt;60,"50-59",TRUE(),"60+")</f>
        <v>40-49</v>
      </c>
      <c r="O3720" s="2" t="str">
        <f aca="false">_xlfn.IFS(G3720&lt;0,"1 Negative",G3720=0,"2 Zero",G3720&lt;=500,"3 1-500",G3720&lt;=2000,"4 501-2000",TRUE(),"5 Above 2000")</f>
        <v>5 Above 2000</v>
      </c>
      <c r="P3720" s="2" t="n">
        <f aca="false">Lookups!$B$2*M3720+Lookups!$B$3*L3720</f>
        <v>0</v>
      </c>
      <c r="Q3720" s="2" t="str">
        <f aca="false">INDEX(Lookups!$E$2:$E$5,MATCH(P3720,Lookups!$D$2:$D$5,0))</f>
        <v>Low</v>
      </c>
    </row>
    <row r="3721" customFormat="false" ht="15" hidden="false" customHeight="false" outlineLevel="0" collapsed="false">
      <c r="A3721" s="3" t="n">
        <v>3720</v>
      </c>
      <c r="B3721" s="3" t="n">
        <f aca="false">Raw_Data!A3721</f>
        <v>49</v>
      </c>
      <c r="C3721" s="3" t="str">
        <f aca="false">SUBSTITUTE(Raw_Data!B3721,".","")</f>
        <v>management</v>
      </c>
      <c r="D3721" s="3" t="str">
        <f aca="false">Raw_Data!C3721</f>
        <v>single</v>
      </c>
      <c r="E3721" s="3" t="str">
        <f aca="false">Raw_Data!D3721</f>
        <v>tertiary</v>
      </c>
      <c r="F3721" s="3" t="str">
        <f aca="false">Raw_Data!E3721</f>
        <v>no</v>
      </c>
      <c r="G3721" s="3" t="n">
        <f aca="false">Raw_Data!F3721</f>
        <v>588</v>
      </c>
      <c r="H3721" s="3" t="str">
        <f aca="false">Raw_Data!G3721</f>
        <v>no</v>
      </c>
      <c r="I3721" s="3" t="str">
        <f aca="false">Raw_Data!H3721</f>
        <v>no</v>
      </c>
      <c r="J3721" s="2" t="n">
        <f aca="false">IF(F3721="yes",1,0)</f>
        <v>0</v>
      </c>
      <c r="K3721" s="2" t="n">
        <f aca="false">IF(H3721="yes",1,0)</f>
        <v>0</v>
      </c>
      <c r="L3721" s="2" t="n">
        <f aca="false">IF(I3721="yes",1,0)</f>
        <v>0</v>
      </c>
      <c r="M3721" s="2" t="n">
        <f aca="false">IF(G3721&lt;0,1,0)</f>
        <v>0</v>
      </c>
      <c r="N3721" s="2" t="str">
        <f aca="false">_xlfn.IFS(B3721&lt;30,"Under 30",B3721&lt;40,"30-39",B3721&lt;50,"40-49",B3721&lt;60,"50-59",TRUE(),"60+")</f>
        <v>40-49</v>
      </c>
      <c r="O3721" s="2" t="str">
        <f aca="false">_xlfn.IFS(G3721&lt;0,"1 Negative",G3721=0,"2 Zero",G3721&lt;=500,"3 1-500",G3721&lt;=2000,"4 501-2000",TRUE(),"5 Above 2000")</f>
        <v>4 501-2000</v>
      </c>
      <c r="P3721" s="2" t="n">
        <f aca="false">Lookups!$B$2*M3721+Lookups!$B$3*L3721</f>
        <v>0</v>
      </c>
      <c r="Q3721" s="2" t="str">
        <f aca="false">INDEX(Lookups!$E$2:$E$5,MATCH(P3721,Lookups!$D$2:$D$5,0))</f>
        <v>Low</v>
      </c>
    </row>
    <row r="3722" customFormat="false" ht="15" hidden="false" customHeight="false" outlineLevel="0" collapsed="false">
      <c r="A3722" s="3" t="n">
        <v>3721</v>
      </c>
      <c r="B3722" s="3" t="n">
        <f aca="false">Raw_Data!A3722</f>
        <v>51</v>
      </c>
      <c r="C3722" s="3" t="str">
        <f aca="false">SUBSTITUTE(Raw_Data!B3722,".","")</f>
        <v>management</v>
      </c>
      <c r="D3722" s="3" t="str">
        <f aca="false">Raw_Data!C3722</f>
        <v>married</v>
      </c>
      <c r="E3722" s="3" t="str">
        <f aca="false">Raw_Data!D3722</f>
        <v>secondary</v>
      </c>
      <c r="F3722" s="3" t="str">
        <f aca="false">Raw_Data!E3722</f>
        <v>no</v>
      </c>
      <c r="G3722" s="3" t="n">
        <f aca="false">Raw_Data!F3722</f>
        <v>3180</v>
      </c>
      <c r="H3722" s="3" t="str">
        <f aca="false">Raw_Data!G3722</f>
        <v>yes</v>
      </c>
      <c r="I3722" s="3" t="str">
        <f aca="false">Raw_Data!H3722</f>
        <v>no</v>
      </c>
      <c r="J3722" s="2" t="n">
        <f aca="false">IF(F3722="yes",1,0)</f>
        <v>0</v>
      </c>
      <c r="K3722" s="2" t="n">
        <f aca="false">IF(H3722="yes",1,0)</f>
        <v>1</v>
      </c>
      <c r="L3722" s="2" t="n">
        <f aca="false">IF(I3722="yes",1,0)</f>
        <v>0</v>
      </c>
      <c r="M3722" s="2" t="n">
        <f aca="false">IF(G3722&lt;0,1,0)</f>
        <v>0</v>
      </c>
      <c r="N3722" s="2" t="str">
        <f aca="false">_xlfn.IFS(B3722&lt;30,"Under 30",B3722&lt;40,"30-39",B3722&lt;50,"40-49",B3722&lt;60,"50-59",TRUE(),"60+")</f>
        <v>50-59</v>
      </c>
      <c r="O3722" s="2" t="str">
        <f aca="false">_xlfn.IFS(G3722&lt;0,"1 Negative",G3722=0,"2 Zero",G3722&lt;=500,"3 1-500",G3722&lt;=2000,"4 501-2000",TRUE(),"5 Above 2000")</f>
        <v>5 Above 2000</v>
      </c>
      <c r="P3722" s="2" t="n">
        <f aca="false">Lookups!$B$2*M3722+Lookups!$B$3*L3722</f>
        <v>0</v>
      </c>
      <c r="Q3722" s="2" t="str">
        <f aca="false">INDEX(Lookups!$E$2:$E$5,MATCH(P3722,Lookups!$D$2:$D$5,0))</f>
        <v>Low</v>
      </c>
    </row>
    <row r="3723" customFormat="false" ht="15" hidden="false" customHeight="false" outlineLevel="0" collapsed="false">
      <c r="A3723" s="3" t="n">
        <v>3722</v>
      </c>
      <c r="B3723" s="3" t="n">
        <f aca="false">Raw_Data!A3723</f>
        <v>35</v>
      </c>
      <c r="C3723" s="3" t="str">
        <f aca="false">SUBSTITUTE(Raw_Data!B3723,".","")</f>
        <v>admin</v>
      </c>
      <c r="D3723" s="3" t="str">
        <f aca="false">Raw_Data!C3723</f>
        <v>married</v>
      </c>
      <c r="E3723" s="3" t="str">
        <f aca="false">Raw_Data!D3723</f>
        <v>secondary</v>
      </c>
      <c r="F3723" s="3" t="str">
        <f aca="false">Raw_Data!E3723</f>
        <v>yes</v>
      </c>
      <c r="G3723" s="3" t="n">
        <f aca="false">Raw_Data!F3723</f>
        <v>0</v>
      </c>
      <c r="H3723" s="3" t="str">
        <f aca="false">Raw_Data!G3723</f>
        <v>no</v>
      </c>
      <c r="I3723" s="3" t="str">
        <f aca="false">Raw_Data!H3723</f>
        <v>yes</v>
      </c>
      <c r="J3723" s="2" t="n">
        <f aca="false">IF(F3723="yes",1,0)</f>
        <v>1</v>
      </c>
      <c r="K3723" s="2" t="n">
        <f aca="false">IF(H3723="yes",1,0)</f>
        <v>0</v>
      </c>
      <c r="L3723" s="2" t="n">
        <f aca="false">IF(I3723="yes",1,0)</f>
        <v>1</v>
      </c>
      <c r="M3723" s="2" t="n">
        <f aca="false">IF(G3723&lt;0,1,0)</f>
        <v>0</v>
      </c>
      <c r="N3723" s="2" t="str">
        <f aca="false">_xlfn.IFS(B3723&lt;30,"Under 30",B3723&lt;40,"30-39",B3723&lt;50,"40-49",B3723&lt;60,"50-59",TRUE(),"60+")</f>
        <v>30-39</v>
      </c>
      <c r="O3723" s="2" t="str">
        <f aca="false">_xlfn.IFS(G3723&lt;0,"1 Negative",G3723=0,"2 Zero",G3723&lt;=500,"3 1-500",G3723&lt;=2000,"4 501-2000",TRUE(),"5 Above 2000")</f>
        <v>2 Zero</v>
      </c>
      <c r="P3723" s="2" t="n">
        <f aca="false">Lookups!$B$2*M3723+Lookups!$B$3*L3723</f>
        <v>1</v>
      </c>
      <c r="Q3723" s="2" t="str">
        <f aca="false">INDEX(Lookups!$E$2:$E$5,MATCH(P3723,Lookups!$D$2:$D$5,0))</f>
        <v>Medium</v>
      </c>
    </row>
    <row r="3724" customFormat="false" ht="15" hidden="false" customHeight="false" outlineLevel="0" collapsed="false">
      <c r="A3724" s="3" t="n">
        <v>3723</v>
      </c>
      <c r="B3724" s="3" t="n">
        <f aca="false">Raw_Data!A3724</f>
        <v>29</v>
      </c>
      <c r="C3724" s="3" t="str">
        <f aca="false">SUBSTITUTE(Raw_Data!B3724,".","")</f>
        <v>self-employed</v>
      </c>
      <c r="D3724" s="3" t="str">
        <f aca="false">Raw_Data!C3724</f>
        <v>married</v>
      </c>
      <c r="E3724" s="3" t="str">
        <f aca="false">Raw_Data!D3724</f>
        <v>secondary</v>
      </c>
      <c r="F3724" s="3" t="str">
        <f aca="false">Raw_Data!E3724</f>
        <v>no</v>
      </c>
      <c r="G3724" s="3" t="n">
        <f aca="false">Raw_Data!F3724</f>
        <v>-76</v>
      </c>
      <c r="H3724" s="3" t="str">
        <f aca="false">Raw_Data!G3724</f>
        <v>yes</v>
      </c>
      <c r="I3724" s="3" t="str">
        <f aca="false">Raw_Data!H3724</f>
        <v>no</v>
      </c>
      <c r="J3724" s="2" t="n">
        <f aca="false">IF(F3724="yes",1,0)</f>
        <v>0</v>
      </c>
      <c r="K3724" s="2" t="n">
        <f aca="false">IF(H3724="yes",1,0)</f>
        <v>1</v>
      </c>
      <c r="L3724" s="2" t="n">
        <f aca="false">IF(I3724="yes",1,0)</f>
        <v>0</v>
      </c>
      <c r="M3724" s="2" t="n">
        <f aca="false">IF(G3724&lt;0,1,0)</f>
        <v>1</v>
      </c>
      <c r="N3724" s="2" t="str">
        <f aca="false">_xlfn.IFS(B3724&lt;30,"Under 30",B3724&lt;40,"30-39",B3724&lt;50,"40-49",B3724&lt;60,"50-59",TRUE(),"60+")</f>
        <v>Under 30</v>
      </c>
      <c r="O3724" s="2" t="str">
        <f aca="false">_xlfn.IFS(G3724&lt;0,"1 Negative",G3724=0,"2 Zero",G3724&lt;=500,"3 1-500",G3724&lt;=2000,"4 501-2000",TRUE(),"5 Above 2000")</f>
        <v>1 Negative</v>
      </c>
      <c r="P3724" s="2" t="n">
        <f aca="false">Lookups!$B$2*M3724+Lookups!$B$3*L3724</f>
        <v>2</v>
      </c>
      <c r="Q3724" s="2" t="str">
        <f aca="false">INDEX(Lookups!$E$2:$E$5,MATCH(P3724,Lookups!$D$2:$D$5,0))</f>
        <v>High</v>
      </c>
    </row>
    <row r="3725" customFormat="false" ht="15" hidden="false" customHeight="false" outlineLevel="0" collapsed="false">
      <c r="A3725" s="3" t="n">
        <v>3724</v>
      </c>
      <c r="B3725" s="3" t="n">
        <f aca="false">Raw_Data!A3725</f>
        <v>32</v>
      </c>
      <c r="C3725" s="3" t="str">
        <f aca="false">SUBSTITUTE(Raw_Data!B3725,".","")</f>
        <v>services</v>
      </c>
      <c r="D3725" s="3" t="str">
        <f aca="false">Raw_Data!C3725</f>
        <v>single</v>
      </c>
      <c r="E3725" s="3" t="str">
        <f aca="false">Raw_Data!D3725</f>
        <v>secondary</v>
      </c>
      <c r="F3725" s="3" t="str">
        <f aca="false">Raw_Data!E3725</f>
        <v>no</v>
      </c>
      <c r="G3725" s="3" t="n">
        <f aca="false">Raw_Data!F3725</f>
        <v>152</v>
      </c>
      <c r="H3725" s="3" t="str">
        <f aca="false">Raw_Data!G3725</f>
        <v>yes</v>
      </c>
      <c r="I3725" s="3" t="str">
        <f aca="false">Raw_Data!H3725</f>
        <v>no</v>
      </c>
      <c r="J3725" s="2" t="n">
        <f aca="false">IF(F3725="yes",1,0)</f>
        <v>0</v>
      </c>
      <c r="K3725" s="2" t="n">
        <f aca="false">IF(H3725="yes",1,0)</f>
        <v>1</v>
      </c>
      <c r="L3725" s="2" t="n">
        <f aca="false">IF(I3725="yes",1,0)</f>
        <v>0</v>
      </c>
      <c r="M3725" s="2" t="n">
        <f aca="false">IF(G3725&lt;0,1,0)</f>
        <v>0</v>
      </c>
      <c r="N3725" s="2" t="str">
        <f aca="false">_xlfn.IFS(B3725&lt;30,"Under 30",B3725&lt;40,"30-39",B3725&lt;50,"40-49",B3725&lt;60,"50-59",TRUE(),"60+")</f>
        <v>30-39</v>
      </c>
      <c r="O3725" s="2" t="str">
        <f aca="false">_xlfn.IFS(G3725&lt;0,"1 Negative",G3725=0,"2 Zero",G3725&lt;=500,"3 1-500",G3725&lt;=2000,"4 501-2000",TRUE(),"5 Above 2000")</f>
        <v>3 1-500</v>
      </c>
      <c r="P3725" s="2" t="n">
        <f aca="false">Lookups!$B$2*M3725+Lookups!$B$3*L3725</f>
        <v>0</v>
      </c>
      <c r="Q3725" s="2" t="str">
        <f aca="false">INDEX(Lookups!$E$2:$E$5,MATCH(P3725,Lookups!$D$2:$D$5,0))</f>
        <v>Low</v>
      </c>
    </row>
    <row r="3726" customFormat="false" ht="15" hidden="false" customHeight="false" outlineLevel="0" collapsed="false">
      <c r="A3726" s="3" t="n">
        <v>3725</v>
      </c>
      <c r="B3726" s="3" t="n">
        <f aca="false">Raw_Data!A3726</f>
        <v>37</v>
      </c>
      <c r="C3726" s="3" t="str">
        <f aca="false">SUBSTITUTE(Raw_Data!B3726,".","")</f>
        <v>housemaid</v>
      </c>
      <c r="D3726" s="3" t="str">
        <f aca="false">Raw_Data!C3726</f>
        <v>divorced</v>
      </c>
      <c r="E3726" s="3" t="str">
        <f aca="false">Raw_Data!D3726</f>
        <v>secondary</v>
      </c>
      <c r="F3726" s="3" t="str">
        <f aca="false">Raw_Data!E3726</f>
        <v>no</v>
      </c>
      <c r="G3726" s="3" t="n">
        <f aca="false">Raw_Data!F3726</f>
        <v>1040</v>
      </c>
      <c r="H3726" s="3" t="str">
        <f aca="false">Raw_Data!G3726</f>
        <v>yes</v>
      </c>
      <c r="I3726" s="3" t="str">
        <f aca="false">Raw_Data!H3726</f>
        <v>no</v>
      </c>
      <c r="J3726" s="2" t="n">
        <f aca="false">IF(F3726="yes",1,0)</f>
        <v>0</v>
      </c>
      <c r="K3726" s="2" t="n">
        <f aca="false">IF(H3726="yes",1,0)</f>
        <v>1</v>
      </c>
      <c r="L3726" s="2" t="n">
        <f aca="false">IF(I3726="yes",1,0)</f>
        <v>0</v>
      </c>
      <c r="M3726" s="2" t="n">
        <f aca="false">IF(G3726&lt;0,1,0)</f>
        <v>0</v>
      </c>
      <c r="N3726" s="2" t="str">
        <f aca="false">_xlfn.IFS(B3726&lt;30,"Under 30",B3726&lt;40,"30-39",B3726&lt;50,"40-49",B3726&lt;60,"50-59",TRUE(),"60+")</f>
        <v>30-39</v>
      </c>
      <c r="O3726" s="2" t="str">
        <f aca="false">_xlfn.IFS(G3726&lt;0,"1 Negative",G3726=0,"2 Zero",G3726&lt;=500,"3 1-500",G3726&lt;=2000,"4 501-2000",TRUE(),"5 Above 2000")</f>
        <v>4 501-2000</v>
      </c>
      <c r="P3726" s="2" t="n">
        <f aca="false">Lookups!$B$2*M3726+Lookups!$B$3*L3726</f>
        <v>0</v>
      </c>
      <c r="Q3726" s="2" t="str">
        <f aca="false">INDEX(Lookups!$E$2:$E$5,MATCH(P3726,Lookups!$D$2:$D$5,0))</f>
        <v>Low</v>
      </c>
    </row>
    <row r="3727" customFormat="false" ht="15" hidden="false" customHeight="false" outlineLevel="0" collapsed="false">
      <c r="A3727" s="3" t="n">
        <v>3726</v>
      </c>
      <c r="B3727" s="3" t="n">
        <f aca="false">Raw_Data!A3727</f>
        <v>49</v>
      </c>
      <c r="C3727" s="3" t="str">
        <f aca="false">SUBSTITUTE(Raw_Data!B3727,".","")</f>
        <v>unemployed</v>
      </c>
      <c r="D3727" s="3" t="str">
        <f aca="false">Raw_Data!C3727</f>
        <v>married</v>
      </c>
      <c r="E3727" s="3" t="str">
        <f aca="false">Raw_Data!D3727</f>
        <v>primary</v>
      </c>
      <c r="F3727" s="3" t="str">
        <f aca="false">Raw_Data!E3727</f>
        <v>no</v>
      </c>
      <c r="G3727" s="3" t="n">
        <f aca="false">Raw_Data!F3727</f>
        <v>-384</v>
      </c>
      <c r="H3727" s="3" t="str">
        <f aca="false">Raw_Data!G3727</f>
        <v>yes</v>
      </c>
      <c r="I3727" s="3" t="str">
        <f aca="false">Raw_Data!H3727</f>
        <v>no</v>
      </c>
      <c r="J3727" s="2" t="n">
        <f aca="false">IF(F3727="yes",1,0)</f>
        <v>0</v>
      </c>
      <c r="K3727" s="2" t="n">
        <f aca="false">IF(H3727="yes",1,0)</f>
        <v>1</v>
      </c>
      <c r="L3727" s="2" t="n">
        <f aca="false">IF(I3727="yes",1,0)</f>
        <v>0</v>
      </c>
      <c r="M3727" s="2" t="n">
        <f aca="false">IF(G3727&lt;0,1,0)</f>
        <v>1</v>
      </c>
      <c r="N3727" s="2" t="str">
        <f aca="false">_xlfn.IFS(B3727&lt;30,"Under 30",B3727&lt;40,"30-39",B3727&lt;50,"40-49",B3727&lt;60,"50-59",TRUE(),"60+")</f>
        <v>40-49</v>
      </c>
      <c r="O3727" s="2" t="str">
        <f aca="false">_xlfn.IFS(G3727&lt;0,"1 Negative",G3727=0,"2 Zero",G3727&lt;=500,"3 1-500",G3727&lt;=2000,"4 501-2000",TRUE(),"5 Above 2000")</f>
        <v>1 Negative</v>
      </c>
      <c r="P3727" s="2" t="n">
        <f aca="false">Lookups!$B$2*M3727+Lookups!$B$3*L3727</f>
        <v>2</v>
      </c>
      <c r="Q3727" s="2" t="str">
        <f aca="false">INDEX(Lookups!$E$2:$E$5,MATCH(P3727,Lookups!$D$2:$D$5,0))</f>
        <v>High</v>
      </c>
    </row>
    <row r="3728" customFormat="false" ht="15" hidden="false" customHeight="false" outlineLevel="0" collapsed="false">
      <c r="A3728" s="3" t="n">
        <v>3727</v>
      </c>
      <c r="B3728" s="3" t="n">
        <f aca="false">Raw_Data!A3728</f>
        <v>45</v>
      </c>
      <c r="C3728" s="3" t="str">
        <f aca="false">SUBSTITUTE(Raw_Data!B3728,".","")</f>
        <v>technician</v>
      </c>
      <c r="D3728" s="3" t="str">
        <f aca="false">Raw_Data!C3728</f>
        <v>married</v>
      </c>
      <c r="E3728" s="3" t="str">
        <f aca="false">Raw_Data!D3728</f>
        <v>unknown</v>
      </c>
      <c r="F3728" s="3" t="str">
        <f aca="false">Raw_Data!E3728</f>
        <v>no</v>
      </c>
      <c r="G3728" s="3" t="n">
        <f aca="false">Raw_Data!F3728</f>
        <v>473</v>
      </c>
      <c r="H3728" s="3" t="str">
        <f aca="false">Raw_Data!G3728</f>
        <v>yes</v>
      </c>
      <c r="I3728" s="3" t="str">
        <f aca="false">Raw_Data!H3728</f>
        <v>no</v>
      </c>
      <c r="J3728" s="2" t="n">
        <f aca="false">IF(F3728="yes",1,0)</f>
        <v>0</v>
      </c>
      <c r="K3728" s="2" t="n">
        <f aca="false">IF(H3728="yes",1,0)</f>
        <v>1</v>
      </c>
      <c r="L3728" s="2" t="n">
        <f aca="false">IF(I3728="yes",1,0)</f>
        <v>0</v>
      </c>
      <c r="M3728" s="2" t="n">
        <f aca="false">IF(G3728&lt;0,1,0)</f>
        <v>0</v>
      </c>
      <c r="N3728" s="2" t="str">
        <f aca="false">_xlfn.IFS(B3728&lt;30,"Under 30",B3728&lt;40,"30-39",B3728&lt;50,"40-49",B3728&lt;60,"50-59",TRUE(),"60+")</f>
        <v>40-49</v>
      </c>
      <c r="O3728" s="2" t="str">
        <f aca="false">_xlfn.IFS(G3728&lt;0,"1 Negative",G3728=0,"2 Zero",G3728&lt;=500,"3 1-500",G3728&lt;=2000,"4 501-2000",TRUE(),"5 Above 2000")</f>
        <v>3 1-500</v>
      </c>
      <c r="P3728" s="2" t="n">
        <f aca="false">Lookups!$B$2*M3728+Lookups!$B$3*L3728</f>
        <v>0</v>
      </c>
      <c r="Q3728" s="2" t="str">
        <f aca="false">INDEX(Lookups!$E$2:$E$5,MATCH(P3728,Lookups!$D$2:$D$5,0))</f>
        <v>Low</v>
      </c>
    </row>
    <row r="3729" customFormat="false" ht="15" hidden="false" customHeight="false" outlineLevel="0" collapsed="false">
      <c r="A3729" s="3" t="n">
        <v>3728</v>
      </c>
      <c r="B3729" s="3" t="n">
        <f aca="false">Raw_Data!A3729</f>
        <v>34</v>
      </c>
      <c r="C3729" s="3" t="str">
        <f aca="false">SUBSTITUTE(Raw_Data!B3729,".","")</f>
        <v>technician</v>
      </c>
      <c r="D3729" s="3" t="str">
        <f aca="false">Raw_Data!C3729</f>
        <v>single</v>
      </c>
      <c r="E3729" s="3" t="str">
        <f aca="false">Raw_Data!D3729</f>
        <v>secondary</v>
      </c>
      <c r="F3729" s="3" t="str">
        <f aca="false">Raw_Data!E3729</f>
        <v>no</v>
      </c>
      <c r="G3729" s="3" t="n">
        <f aca="false">Raw_Data!F3729</f>
        <v>475</v>
      </c>
      <c r="H3729" s="3" t="str">
        <f aca="false">Raw_Data!G3729</f>
        <v>yes</v>
      </c>
      <c r="I3729" s="3" t="str">
        <f aca="false">Raw_Data!H3729</f>
        <v>no</v>
      </c>
      <c r="J3729" s="2" t="n">
        <f aca="false">IF(F3729="yes",1,0)</f>
        <v>0</v>
      </c>
      <c r="K3729" s="2" t="n">
        <f aca="false">IF(H3729="yes",1,0)</f>
        <v>1</v>
      </c>
      <c r="L3729" s="2" t="n">
        <f aca="false">IF(I3729="yes",1,0)</f>
        <v>0</v>
      </c>
      <c r="M3729" s="2" t="n">
        <f aca="false">IF(G3729&lt;0,1,0)</f>
        <v>0</v>
      </c>
      <c r="N3729" s="2" t="str">
        <f aca="false">_xlfn.IFS(B3729&lt;30,"Under 30",B3729&lt;40,"30-39",B3729&lt;50,"40-49",B3729&lt;60,"50-59",TRUE(),"60+")</f>
        <v>30-39</v>
      </c>
      <c r="O3729" s="2" t="str">
        <f aca="false">_xlfn.IFS(G3729&lt;0,"1 Negative",G3729=0,"2 Zero",G3729&lt;=500,"3 1-500",G3729&lt;=2000,"4 501-2000",TRUE(),"5 Above 2000")</f>
        <v>3 1-500</v>
      </c>
      <c r="P3729" s="2" t="n">
        <f aca="false">Lookups!$B$2*M3729+Lookups!$B$3*L3729</f>
        <v>0</v>
      </c>
      <c r="Q3729" s="2" t="str">
        <f aca="false">INDEX(Lookups!$E$2:$E$5,MATCH(P3729,Lookups!$D$2:$D$5,0))</f>
        <v>Low</v>
      </c>
    </row>
    <row r="3730" customFormat="false" ht="15" hidden="false" customHeight="false" outlineLevel="0" collapsed="false">
      <c r="A3730" s="3" t="n">
        <v>3729</v>
      </c>
      <c r="B3730" s="3" t="n">
        <f aca="false">Raw_Data!A3730</f>
        <v>53</v>
      </c>
      <c r="C3730" s="3" t="str">
        <f aca="false">SUBSTITUTE(Raw_Data!B3730,".","")</f>
        <v>technician</v>
      </c>
      <c r="D3730" s="3" t="str">
        <f aca="false">Raw_Data!C3730</f>
        <v>married</v>
      </c>
      <c r="E3730" s="3" t="str">
        <f aca="false">Raw_Data!D3730</f>
        <v>secondary</v>
      </c>
      <c r="F3730" s="3" t="str">
        <f aca="false">Raw_Data!E3730</f>
        <v>no</v>
      </c>
      <c r="G3730" s="3" t="n">
        <f aca="false">Raw_Data!F3730</f>
        <v>0</v>
      </c>
      <c r="H3730" s="3" t="str">
        <f aca="false">Raw_Data!G3730</f>
        <v>no</v>
      </c>
      <c r="I3730" s="3" t="str">
        <f aca="false">Raw_Data!H3730</f>
        <v>no</v>
      </c>
      <c r="J3730" s="2" t="n">
        <f aca="false">IF(F3730="yes",1,0)</f>
        <v>0</v>
      </c>
      <c r="K3730" s="2" t="n">
        <f aca="false">IF(H3730="yes",1,0)</f>
        <v>0</v>
      </c>
      <c r="L3730" s="2" t="n">
        <f aca="false">IF(I3730="yes",1,0)</f>
        <v>0</v>
      </c>
      <c r="M3730" s="2" t="n">
        <f aca="false">IF(G3730&lt;0,1,0)</f>
        <v>0</v>
      </c>
      <c r="N3730" s="2" t="str">
        <f aca="false">_xlfn.IFS(B3730&lt;30,"Under 30",B3730&lt;40,"30-39",B3730&lt;50,"40-49",B3730&lt;60,"50-59",TRUE(),"60+")</f>
        <v>50-59</v>
      </c>
      <c r="O3730" s="2" t="str">
        <f aca="false">_xlfn.IFS(G3730&lt;0,"1 Negative",G3730=0,"2 Zero",G3730&lt;=500,"3 1-500",G3730&lt;=2000,"4 501-2000",TRUE(),"5 Above 2000")</f>
        <v>2 Zero</v>
      </c>
      <c r="P3730" s="2" t="n">
        <f aca="false">Lookups!$B$2*M3730+Lookups!$B$3*L3730</f>
        <v>0</v>
      </c>
      <c r="Q3730" s="2" t="str">
        <f aca="false">INDEX(Lookups!$E$2:$E$5,MATCH(P3730,Lookups!$D$2:$D$5,0))</f>
        <v>Low</v>
      </c>
    </row>
    <row r="3731" customFormat="false" ht="15" hidden="false" customHeight="false" outlineLevel="0" collapsed="false">
      <c r="A3731" s="3" t="n">
        <v>3730</v>
      </c>
      <c r="B3731" s="3" t="n">
        <f aca="false">Raw_Data!A3731</f>
        <v>42</v>
      </c>
      <c r="C3731" s="3" t="str">
        <f aca="false">SUBSTITUTE(Raw_Data!B3731,".","")</f>
        <v>entrepreneur</v>
      </c>
      <c r="D3731" s="3" t="str">
        <f aca="false">Raw_Data!C3731</f>
        <v>married</v>
      </c>
      <c r="E3731" s="3" t="str">
        <f aca="false">Raw_Data!D3731</f>
        <v>primary</v>
      </c>
      <c r="F3731" s="3" t="str">
        <f aca="false">Raw_Data!E3731</f>
        <v>no</v>
      </c>
      <c r="G3731" s="3" t="n">
        <f aca="false">Raw_Data!F3731</f>
        <v>149</v>
      </c>
      <c r="H3731" s="3" t="str">
        <f aca="false">Raw_Data!G3731</f>
        <v>no</v>
      </c>
      <c r="I3731" s="3" t="str">
        <f aca="false">Raw_Data!H3731</f>
        <v>no</v>
      </c>
      <c r="J3731" s="2" t="n">
        <f aca="false">IF(F3731="yes",1,0)</f>
        <v>0</v>
      </c>
      <c r="K3731" s="2" t="n">
        <f aca="false">IF(H3731="yes",1,0)</f>
        <v>0</v>
      </c>
      <c r="L3731" s="2" t="n">
        <f aca="false">IF(I3731="yes",1,0)</f>
        <v>0</v>
      </c>
      <c r="M3731" s="2" t="n">
        <f aca="false">IF(G3731&lt;0,1,0)</f>
        <v>0</v>
      </c>
      <c r="N3731" s="2" t="str">
        <f aca="false">_xlfn.IFS(B3731&lt;30,"Under 30",B3731&lt;40,"30-39",B3731&lt;50,"40-49",B3731&lt;60,"50-59",TRUE(),"60+")</f>
        <v>40-49</v>
      </c>
      <c r="O3731" s="2" t="str">
        <f aca="false">_xlfn.IFS(G3731&lt;0,"1 Negative",G3731=0,"2 Zero",G3731&lt;=500,"3 1-500",G3731&lt;=2000,"4 501-2000",TRUE(),"5 Above 2000")</f>
        <v>3 1-500</v>
      </c>
      <c r="P3731" s="2" t="n">
        <f aca="false">Lookups!$B$2*M3731+Lookups!$B$3*L3731</f>
        <v>0</v>
      </c>
      <c r="Q3731" s="2" t="str">
        <f aca="false">INDEX(Lookups!$E$2:$E$5,MATCH(P3731,Lookups!$D$2:$D$5,0))</f>
        <v>Low</v>
      </c>
    </row>
    <row r="3732" customFormat="false" ht="15" hidden="false" customHeight="false" outlineLevel="0" collapsed="false">
      <c r="A3732" s="3" t="n">
        <v>3731</v>
      </c>
      <c r="B3732" s="3" t="n">
        <f aca="false">Raw_Data!A3732</f>
        <v>43</v>
      </c>
      <c r="C3732" s="3" t="str">
        <f aca="false">SUBSTITUTE(Raw_Data!B3732,".","")</f>
        <v>technician</v>
      </c>
      <c r="D3732" s="3" t="str">
        <f aca="false">Raw_Data!C3732</f>
        <v>married</v>
      </c>
      <c r="E3732" s="3" t="str">
        <f aca="false">Raw_Data!D3732</f>
        <v>secondary</v>
      </c>
      <c r="F3732" s="3" t="str">
        <f aca="false">Raw_Data!E3732</f>
        <v>no</v>
      </c>
      <c r="G3732" s="3" t="n">
        <f aca="false">Raw_Data!F3732</f>
        <v>3285</v>
      </c>
      <c r="H3732" s="3" t="str">
        <f aca="false">Raw_Data!G3732</f>
        <v>yes</v>
      </c>
      <c r="I3732" s="3" t="str">
        <f aca="false">Raw_Data!H3732</f>
        <v>no</v>
      </c>
      <c r="J3732" s="2" t="n">
        <f aca="false">IF(F3732="yes",1,0)</f>
        <v>0</v>
      </c>
      <c r="K3732" s="2" t="n">
        <f aca="false">IF(H3732="yes",1,0)</f>
        <v>1</v>
      </c>
      <c r="L3732" s="2" t="n">
        <f aca="false">IF(I3732="yes",1,0)</f>
        <v>0</v>
      </c>
      <c r="M3732" s="2" t="n">
        <f aca="false">IF(G3732&lt;0,1,0)</f>
        <v>0</v>
      </c>
      <c r="N3732" s="2" t="str">
        <f aca="false">_xlfn.IFS(B3732&lt;30,"Under 30",B3732&lt;40,"30-39",B3732&lt;50,"40-49",B3732&lt;60,"50-59",TRUE(),"60+")</f>
        <v>40-49</v>
      </c>
      <c r="O3732" s="2" t="str">
        <f aca="false">_xlfn.IFS(G3732&lt;0,"1 Negative",G3732=0,"2 Zero",G3732&lt;=500,"3 1-500",G3732&lt;=2000,"4 501-2000",TRUE(),"5 Above 2000")</f>
        <v>5 Above 2000</v>
      </c>
      <c r="P3732" s="2" t="n">
        <f aca="false">Lookups!$B$2*M3732+Lookups!$B$3*L3732</f>
        <v>0</v>
      </c>
      <c r="Q3732" s="2" t="str">
        <f aca="false">INDEX(Lookups!$E$2:$E$5,MATCH(P3732,Lookups!$D$2:$D$5,0))</f>
        <v>Low</v>
      </c>
    </row>
    <row r="3733" customFormat="false" ht="15" hidden="false" customHeight="false" outlineLevel="0" collapsed="false">
      <c r="A3733" s="3" t="n">
        <v>3732</v>
      </c>
      <c r="B3733" s="3" t="n">
        <f aca="false">Raw_Data!A3733</f>
        <v>52</v>
      </c>
      <c r="C3733" s="3" t="str">
        <f aca="false">SUBSTITUTE(Raw_Data!B3733,".","")</f>
        <v>retired</v>
      </c>
      <c r="D3733" s="3" t="str">
        <f aca="false">Raw_Data!C3733</f>
        <v>married</v>
      </c>
      <c r="E3733" s="3" t="str">
        <f aca="false">Raw_Data!D3733</f>
        <v>secondary</v>
      </c>
      <c r="F3733" s="3" t="str">
        <f aca="false">Raw_Data!E3733</f>
        <v>no</v>
      </c>
      <c r="G3733" s="3" t="n">
        <f aca="false">Raw_Data!F3733</f>
        <v>424</v>
      </c>
      <c r="H3733" s="3" t="str">
        <f aca="false">Raw_Data!G3733</f>
        <v>no</v>
      </c>
      <c r="I3733" s="3" t="str">
        <f aca="false">Raw_Data!H3733</f>
        <v>no</v>
      </c>
      <c r="J3733" s="2" t="n">
        <f aca="false">IF(F3733="yes",1,0)</f>
        <v>0</v>
      </c>
      <c r="K3733" s="2" t="n">
        <f aca="false">IF(H3733="yes",1,0)</f>
        <v>0</v>
      </c>
      <c r="L3733" s="2" t="n">
        <f aca="false">IF(I3733="yes",1,0)</f>
        <v>0</v>
      </c>
      <c r="M3733" s="2" t="n">
        <f aca="false">IF(G3733&lt;0,1,0)</f>
        <v>0</v>
      </c>
      <c r="N3733" s="2" t="str">
        <f aca="false">_xlfn.IFS(B3733&lt;30,"Under 30",B3733&lt;40,"30-39",B3733&lt;50,"40-49",B3733&lt;60,"50-59",TRUE(),"60+")</f>
        <v>50-59</v>
      </c>
      <c r="O3733" s="2" t="str">
        <f aca="false">_xlfn.IFS(G3733&lt;0,"1 Negative",G3733=0,"2 Zero",G3733&lt;=500,"3 1-500",G3733&lt;=2000,"4 501-2000",TRUE(),"5 Above 2000")</f>
        <v>3 1-500</v>
      </c>
      <c r="P3733" s="2" t="n">
        <f aca="false">Lookups!$B$2*M3733+Lookups!$B$3*L3733</f>
        <v>0</v>
      </c>
      <c r="Q3733" s="2" t="str">
        <f aca="false">INDEX(Lookups!$E$2:$E$5,MATCH(P3733,Lookups!$D$2:$D$5,0))</f>
        <v>Low</v>
      </c>
    </row>
    <row r="3734" customFormat="false" ht="15" hidden="false" customHeight="false" outlineLevel="0" collapsed="false">
      <c r="A3734" s="3" t="n">
        <v>3733</v>
      </c>
      <c r="B3734" s="3" t="n">
        <f aca="false">Raw_Data!A3734</f>
        <v>34</v>
      </c>
      <c r="C3734" s="3" t="str">
        <f aca="false">SUBSTITUTE(Raw_Data!B3734,".","")</f>
        <v>blue-collar</v>
      </c>
      <c r="D3734" s="3" t="str">
        <f aca="false">Raw_Data!C3734</f>
        <v>single</v>
      </c>
      <c r="E3734" s="3" t="str">
        <f aca="false">Raw_Data!D3734</f>
        <v>secondary</v>
      </c>
      <c r="F3734" s="3" t="str">
        <f aca="false">Raw_Data!E3734</f>
        <v>no</v>
      </c>
      <c r="G3734" s="3" t="n">
        <f aca="false">Raw_Data!F3734</f>
        <v>79</v>
      </c>
      <c r="H3734" s="3" t="str">
        <f aca="false">Raw_Data!G3734</f>
        <v>no</v>
      </c>
      <c r="I3734" s="3" t="str">
        <f aca="false">Raw_Data!H3734</f>
        <v>yes</v>
      </c>
      <c r="J3734" s="2" t="n">
        <f aca="false">IF(F3734="yes",1,0)</f>
        <v>0</v>
      </c>
      <c r="K3734" s="2" t="n">
        <f aca="false">IF(H3734="yes",1,0)</f>
        <v>0</v>
      </c>
      <c r="L3734" s="2" t="n">
        <f aca="false">IF(I3734="yes",1,0)</f>
        <v>1</v>
      </c>
      <c r="M3734" s="2" t="n">
        <f aca="false">IF(G3734&lt;0,1,0)</f>
        <v>0</v>
      </c>
      <c r="N3734" s="2" t="str">
        <f aca="false">_xlfn.IFS(B3734&lt;30,"Under 30",B3734&lt;40,"30-39",B3734&lt;50,"40-49",B3734&lt;60,"50-59",TRUE(),"60+")</f>
        <v>30-39</v>
      </c>
      <c r="O3734" s="2" t="str">
        <f aca="false">_xlfn.IFS(G3734&lt;0,"1 Negative",G3734=0,"2 Zero",G3734&lt;=500,"3 1-500",G3734&lt;=2000,"4 501-2000",TRUE(),"5 Above 2000")</f>
        <v>3 1-500</v>
      </c>
      <c r="P3734" s="2" t="n">
        <f aca="false">Lookups!$B$2*M3734+Lookups!$B$3*L3734</f>
        <v>1</v>
      </c>
      <c r="Q3734" s="2" t="str">
        <f aca="false">INDEX(Lookups!$E$2:$E$5,MATCH(P3734,Lookups!$D$2:$D$5,0))</f>
        <v>Medium</v>
      </c>
    </row>
    <row r="3735" customFormat="false" ht="15" hidden="false" customHeight="false" outlineLevel="0" collapsed="false">
      <c r="A3735" s="3" t="n">
        <v>3734</v>
      </c>
      <c r="B3735" s="3" t="n">
        <f aca="false">Raw_Data!A3735</f>
        <v>34</v>
      </c>
      <c r="C3735" s="3" t="str">
        <f aca="false">SUBSTITUTE(Raw_Data!B3735,".","")</f>
        <v>technician</v>
      </c>
      <c r="D3735" s="3" t="str">
        <f aca="false">Raw_Data!C3735</f>
        <v>divorced</v>
      </c>
      <c r="E3735" s="3" t="str">
        <f aca="false">Raw_Data!D3735</f>
        <v>tertiary</v>
      </c>
      <c r="F3735" s="3" t="str">
        <f aca="false">Raw_Data!E3735</f>
        <v>no</v>
      </c>
      <c r="G3735" s="3" t="n">
        <f aca="false">Raw_Data!F3735</f>
        <v>674</v>
      </c>
      <c r="H3735" s="3" t="str">
        <f aca="false">Raw_Data!G3735</f>
        <v>yes</v>
      </c>
      <c r="I3735" s="3" t="str">
        <f aca="false">Raw_Data!H3735</f>
        <v>no</v>
      </c>
      <c r="J3735" s="2" t="n">
        <f aca="false">IF(F3735="yes",1,0)</f>
        <v>0</v>
      </c>
      <c r="K3735" s="2" t="n">
        <f aca="false">IF(H3735="yes",1,0)</f>
        <v>1</v>
      </c>
      <c r="L3735" s="2" t="n">
        <f aca="false">IF(I3735="yes",1,0)</f>
        <v>0</v>
      </c>
      <c r="M3735" s="2" t="n">
        <f aca="false">IF(G3735&lt;0,1,0)</f>
        <v>0</v>
      </c>
      <c r="N3735" s="2" t="str">
        <f aca="false">_xlfn.IFS(B3735&lt;30,"Under 30",B3735&lt;40,"30-39",B3735&lt;50,"40-49",B3735&lt;60,"50-59",TRUE(),"60+")</f>
        <v>30-39</v>
      </c>
      <c r="O3735" s="2" t="str">
        <f aca="false">_xlfn.IFS(G3735&lt;0,"1 Negative",G3735=0,"2 Zero",G3735&lt;=500,"3 1-500",G3735&lt;=2000,"4 501-2000",TRUE(),"5 Above 2000")</f>
        <v>4 501-2000</v>
      </c>
      <c r="P3735" s="2" t="n">
        <f aca="false">Lookups!$B$2*M3735+Lookups!$B$3*L3735</f>
        <v>0</v>
      </c>
      <c r="Q3735" s="2" t="str">
        <f aca="false">INDEX(Lookups!$E$2:$E$5,MATCH(P3735,Lookups!$D$2:$D$5,0))</f>
        <v>Low</v>
      </c>
    </row>
    <row r="3736" customFormat="false" ht="15" hidden="false" customHeight="false" outlineLevel="0" collapsed="false">
      <c r="A3736" s="3" t="n">
        <v>3735</v>
      </c>
      <c r="B3736" s="3" t="n">
        <f aca="false">Raw_Data!A3736</f>
        <v>27</v>
      </c>
      <c r="C3736" s="3" t="str">
        <f aca="false">SUBSTITUTE(Raw_Data!B3736,".","")</f>
        <v>services</v>
      </c>
      <c r="D3736" s="3" t="str">
        <f aca="false">Raw_Data!C3736</f>
        <v>married</v>
      </c>
      <c r="E3736" s="3" t="str">
        <f aca="false">Raw_Data!D3736</f>
        <v>secondary</v>
      </c>
      <c r="F3736" s="3" t="str">
        <f aca="false">Raw_Data!E3736</f>
        <v>no</v>
      </c>
      <c r="G3736" s="3" t="n">
        <f aca="false">Raw_Data!F3736</f>
        <v>0</v>
      </c>
      <c r="H3736" s="3" t="str">
        <f aca="false">Raw_Data!G3736</f>
        <v>yes</v>
      </c>
      <c r="I3736" s="3" t="str">
        <f aca="false">Raw_Data!H3736</f>
        <v>no</v>
      </c>
      <c r="J3736" s="2" t="n">
        <f aca="false">IF(F3736="yes",1,0)</f>
        <v>0</v>
      </c>
      <c r="K3736" s="2" t="n">
        <f aca="false">IF(H3736="yes",1,0)</f>
        <v>1</v>
      </c>
      <c r="L3736" s="2" t="n">
        <f aca="false">IF(I3736="yes",1,0)</f>
        <v>0</v>
      </c>
      <c r="M3736" s="2" t="n">
        <f aca="false">IF(G3736&lt;0,1,0)</f>
        <v>0</v>
      </c>
      <c r="N3736" s="2" t="str">
        <f aca="false">_xlfn.IFS(B3736&lt;30,"Under 30",B3736&lt;40,"30-39",B3736&lt;50,"40-49",B3736&lt;60,"50-59",TRUE(),"60+")</f>
        <v>Under 30</v>
      </c>
      <c r="O3736" s="2" t="str">
        <f aca="false">_xlfn.IFS(G3736&lt;0,"1 Negative",G3736=0,"2 Zero",G3736&lt;=500,"3 1-500",G3736&lt;=2000,"4 501-2000",TRUE(),"5 Above 2000")</f>
        <v>2 Zero</v>
      </c>
      <c r="P3736" s="2" t="n">
        <f aca="false">Lookups!$B$2*M3736+Lookups!$B$3*L3736</f>
        <v>0</v>
      </c>
      <c r="Q3736" s="2" t="str">
        <f aca="false">INDEX(Lookups!$E$2:$E$5,MATCH(P3736,Lookups!$D$2:$D$5,0))</f>
        <v>Low</v>
      </c>
    </row>
    <row r="3737" customFormat="false" ht="15" hidden="false" customHeight="false" outlineLevel="0" collapsed="false">
      <c r="A3737" s="3" t="n">
        <v>3736</v>
      </c>
      <c r="B3737" s="3" t="n">
        <f aca="false">Raw_Data!A3737</f>
        <v>43</v>
      </c>
      <c r="C3737" s="3" t="str">
        <f aca="false">SUBSTITUTE(Raw_Data!B3737,".","")</f>
        <v>unemployed</v>
      </c>
      <c r="D3737" s="3" t="str">
        <f aca="false">Raw_Data!C3737</f>
        <v>married</v>
      </c>
      <c r="E3737" s="3" t="str">
        <f aca="false">Raw_Data!D3737</f>
        <v>tertiary</v>
      </c>
      <c r="F3737" s="3" t="str">
        <f aca="false">Raw_Data!E3737</f>
        <v>no</v>
      </c>
      <c r="G3737" s="3" t="n">
        <f aca="false">Raw_Data!F3737</f>
        <v>58</v>
      </c>
      <c r="H3737" s="3" t="str">
        <f aca="false">Raw_Data!G3737</f>
        <v>yes</v>
      </c>
      <c r="I3737" s="3" t="str">
        <f aca="false">Raw_Data!H3737</f>
        <v>no</v>
      </c>
      <c r="J3737" s="2" t="n">
        <f aca="false">IF(F3737="yes",1,0)</f>
        <v>0</v>
      </c>
      <c r="K3737" s="2" t="n">
        <f aca="false">IF(H3737="yes",1,0)</f>
        <v>1</v>
      </c>
      <c r="L3737" s="2" t="n">
        <f aca="false">IF(I3737="yes",1,0)</f>
        <v>0</v>
      </c>
      <c r="M3737" s="2" t="n">
        <f aca="false">IF(G3737&lt;0,1,0)</f>
        <v>0</v>
      </c>
      <c r="N3737" s="2" t="str">
        <f aca="false">_xlfn.IFS(B3737&lt;30,"Under 30",B3737&lt;40,"30-39",B3737&lt;50,"40-49",B3737&lt;60,"50-59",TRUE(),"60+")</f>
        <v>40-49</v>
      </c>
      <c r="O3737" s="2" t="str">
        <f aca="false">_xlfn.IFS(G3737&lt;0,"1 Negative",G3737=0,"2 Zero",G3737&lt;=500,"3 1-500",G3737&lt;=2000,"4 501-2000",TRUE(),"5 Above 2000")</f>
        <v>3 1-500</v>
      </c>
      <c r="P3737" s="2" t="n">
        <f aca="false">Lookups!$B$2*M3737+Lookups!$B$3*L3737</f>
        <v>0</v>
      </c>
      <c r="Q3737" s="2" t="str">
        <f aca="false">INDEX(Lookups!$E$2:$E$5,MATCH(P3737,Lookups!$D$2:$D$5,0))</f>
        <v>Low</v>
      </c>
    </row>
    <row r="3738" customFormat="false" ht="15" hidden="false" customHeight="false" outlineLevel="0" collapsed="false">
      <c r="A3738" s="3" t="n">
        <v>3737</v>
      </c>
      <c r="B3738" s="3" t="n">
        <f aca="false">Raw_Data!A3738</f>
        <v>41</v>
      </c>
      <c r="C3738" s="3" t="str">
        <f aca="false">SUBSTITUTE(Raw_Data!B3738,".","")</f>
        <v>technician</v>
      </c>
      <c r="D3738" s="3" t="str">
        <f aca="false">Raw_Data!C3738</f>
        <v>married</v>
      </c>
      <c r="E3738" s="3" t="str">
        <f aca="false">Raw_Data!D3738</f>
        <v>tertiary</v>
      </c>
      <c r="F3738" s="3" t="str">
        <f aca="false">Raw_Data!E3738</f>
        <v>no</v>
      </c>
      <c r="G3738" s="3" t="n">
        <f aca="false">Raw_Data!F3738</f>
        <v>532</v>
      </c>
      <c r="H3738" s="3" t="str">
        <f aca="false">Raw_Data!G3738</f>
        <v>yes</v>
      </c>
      <c r="I3738" s="3" t="str">
        <f aca="false">Raw_Data!H3738</f>
        <v>no</v>
      </c>
      <c r="J3738" s="2" t="n">
        <f aca="false">IF(F3738="yes",1,0)</f>
        <v>0</v>
      </c>
      <c r="K3738" s="2" t="n">
        <f aca="false">IF(H3738="yes",1,0)</f>
        <v>1</v>
      </c>
      <c r="L3738" s="2" t="n">
        <f aca="false">IF(I3738="yes",1,0)</f>
        <v>0</v>
      </c>
      <c r="M3738" s="2" t="n">
        <f aca="false">IF(G3738&lt;0,1,0)</f>
        <v>0</v>
      </c>
      <c r="N3738" s="2" t="str">
        <f aca="false">_xlfn.IFS(B3738&lt;30,"Under 30",B3738&lt;40,"30-39",B3738&lt;50,"40-49",B3738&lt;60,"50-59",TRUE(),"60+")</f>
        <v>40-49</v>
      </c>
      <c r="O3738" s="2" t="str">
        <f aca="false">_xlfn.IFS(G3738&lt;0,"1 Negative",G3738=0,"2 Zero",G3738&lt;=500,"3 1-500",G3738&lt;=2000,"4 501-2000",TRUE(),"5 Above 2000")</f>
        <v>4 501-2000</v>
      </c>
      <c r="P3738" s="2" t="n">
        <f aca="false">Lookups!$B$2*M3738+Lookups!$B$3*L3738</f>
        <v>0</v>
      </c>
      <c r="Q3738" s="2" t="str">
        <f aca="false">INDEX(Lookups!$E$2:$E$5,MATCH(P3738,Lookups!$D$2:$D$5,0))</f>
        <v>Low</v>
      </c>
    </row>
    <row r="3739" customFormat="false" ht="15" hidden="false" customHeight="false" outlineLevel="0" collapsed="false">
      <c r="A3739" s="3" t="n">
        <v>3738</v>
      </c>
      <c r="B3739" s="3" t="n">
        <f aca="false">Raw_Data!A3739</f>
        <v>72</v>
      </c>
      <c r="C3739" s="3" t="str">
        <f aca="false">SUBSTITUTE(Raw_Data!B3739,".","")</f>
        <v>retired</v>
      </c>
      <c r="D3739" s="3" t="str">
        <f aca="false">Raw_Data!C3739</f>
        <v>married</v>
      </c>
      <c r="E3739" s="3" t="str">
        <f aca="false">Raw_Data!D3739</f>
        <v>secondary</v>
      </c>
      <c r="F3739" s="3" t="str">
        <f aca="false">Raw_Data!E3739</f>
        <v>no</v>
      </c>
      <c r="G3739" s="3" t="n">
        <f aca="false">Raw_Data!F3739</f>
        <v>4130</v>
      </c>
      <c r="H3739" s="3" t="str">
        <f aca="false">Raw_Data!G3739</f>
        <v>no</v>
      </c>
      <c r="I3739" s="3" t="str">
        <f aca="false">Raw_Data!H3739</f>
        <v>no</v>
      </c>
      <c r="J3739" s="2" t="n">
        <f aca="false">IF(F3739="yes",1,0)</f>
        <v>0</v>
      </c>
      <c r="K3739" s="2" t="n">
        <f aca="false">IF(H3739="yes",1,0)</f>
        <v>0</v>
      </c>
      <c r="L3739" s="2" t="n">
        <f aca="false">IF(I3739="yes",1,0)</f>
        <v>0</v>
      </c>
      <c r="M3739" s="2" t="n">
        <f aca="false">IF(G3739&lt;0,1,0)</f>
        <v>0</v>
      </c>
      <c r="N3739" s="2" t="str">
        <f aca="false">_xlfn.IFS(B3739&lt;30,"Under 30",B3739&lt;40,"30-39",B3739&lt;50,"40-49",B3739&lt;60,"50-59",TRUE(),"60+")</f>
        <v>60+</v>
      </c>
      <c r="O3739" s="2" t="str">
        <f aca="false">_xlfn.IFS(G3739&lt;0,"1 Negative",G3739=0,"2 Zero",G3739&lt;=500,"3 1-500",G3739&lt;=2000,"4 501-2000",TRUE(),"5 Above 2000")</f>
        <v>5 Above 2000</v>
      </c>
      <c r="P3739" s="2" t="n">
        <f aca="false">Lookups!$B$2*M3739+Lookups!$B$3*L3739</f>
        <v>0</v>
      </c>
      <c r="Q3739" s="2" t="str">
        <f aca="false">INDEX(Lookups!$E$2:$E$5,MATCH(P3739,Lookups!$D$2:$D$5,0))</f>
        <v>Low</v>
      </c>
    </row>
    <row r="3740" customFormat="false" ht="15" hidden="false" customHeight="false" outlineLevel="0" collapsed="false">
      <c r="A3740" s="3" t="n">
        <v>3739</v>
      </c>
      <c r="B3740" s="3" t="n">
        <f aca="false">Raw_Data!A3740</f>
        <v>35</v>
      </c>
      <c r="C3740" s="3" t="str">
        <f aca="false">SUBSTITUTE(Raw_Data!B3740,".","")</f>
        <v>blue-collar</v>
      </c>
      <c r="D3740" s="3" t="str">
        <f aca="false">Raw_Data!C3740</f>
        <v>married</v>
      </c>
      <c r="E3740" s="3" t="str">
        <f aca="false">Raw_Data!D3740</f>
        <v>primary</v>
      </c>
      <c r="F3740" s="3" t="str">
        <f aca="false">Raw_Data!E3740</f>
        <v>no</v>
      </c>
      <c r="G3740" s="3" t="n">
        <f aca="false">Raw_Data!F3740</f>
        <v>422</v>
      </c>
      <c r="H3740" s="3" t="str">
        <f aca="false">Raw_Data!G3740</f>
        <v>yes</v>
      </c>
      <c r="I3740" s="3" t="str">
        <f aca="false">Raw_Data!H3740</f>
        <v>no</v>
      </c>
      <c r="J3740" s="2" t="n">
        <f aca="false">IF(F3740="yes",1,0)</f>
        <v>0</v>
      </c>
      <c r="K3740" s="2" t="n">
        <f aca="false">IF(H3740="yes",1,0)</f>
        <v>1</v>
      </c>
      <c r="L3740" s="2" t="n">
        <f aca="false">IF(I3740="yes",1,0)</f>
        <v>0</v>
      </c>
      <c r="M3740" s="2" t="n">
        <f aca="false">IF(G3740&lt;0,1,0)</f>
        <v>0</v>
      </c>
      <c r="N3740" s="2" t="str">
        <f aca="false">_xlfn.IFS(B3740&lt;30,"Under 30",B3740&lt;40,"30-39",B3740&lt;50,"40-49",B3740&lt;60,"50-59",TRUE(),"60+")</f>
        <v>30-39</v>
      </c>
      <c r="O3740" s="2" t="str">
        <f aca="false">_xlfn.IFS(G3740&lt;0,"1 Negative",G3740=0,"2 Zero",G3740&lt;=500,"3 1-500",G3740&lt;=2000,"4 501-2000",TRUE(),"5 Above 2000")</f>
        <v>3 1-500</v>
      </c>
      <c r="P3740" s="2" t="n">
        <f aca="false">Lookups!$B$2*M3740+Lookups!$B$3*L3740</f>
        <v>0</v>
      </c>
      <c r="Q3740" s="2" t="str">
        <f aca="false">INDEX(Lookups!$E$2:$E$5,MATCH(P3740,Lookups!$D$2:$D$5,0))</f>
        <v>Low</v>
      </c>
    </row>
    <row r="3741" customFormat="false" ht="15" hidden="false" customHeight="false" outlineLevel="0" collapsed="false">
      <c r="A3741" s="3" t="n">
        <v>3740</v>
      </c>
      <c r="B3741" s="3" t="n">
        <f aca="false">Raw_Data!A3741</f>
        <v>41</v>
      </c>
      <c r="C3741" s="3" t="str">
        <f aca="false">SUBSTITUTE(Raw_Data!B3741,".","")</f>
        <v>management</v>
      </c>
      <c r="D3741" s="3" t="str">
        <f aca="false">Raw_Data!C3741</f>
        <v>married</v>
      </c>
      <c r="E3741" s="3" t="str">
        <f aca="false">Raw_Data!D3741</f>
        <v>tertiary</v>
      </c>
      <c r="F3741" s="3" t="str">
        <f aca="false">Raw_Data!E3741</f>
        <v>no</v>
      </c>
      <c r="G3741" s="3" t="n">
        <f aca="false">Raw_Data!F3741</f>
        <v>437</v>
      </c>
      <c r="H3741" s="3" t="str">
        <f aca="false">Raw_Data!G3741</f>
        <v>yes</v>
      </c>
      <c r="I3741" s="3" t="str">
        <f aca="false">Raw_Data!H3741</f>
        <v>no</v>
      </c>
      <c r="J3741" s="2" t="n">
        <f aca="false">IF(F3741="yes",1,0)</f>
        <v>0</v>
      </c>
      <c r="K3741" s="2" t="n">
        <f aca="false">IF(H3741="yes",1,0)</f>
        <v>1</v>
      </c>
      <c r="L3741" s="2" t="n">
        <f aca="false">IF(I3741="yes",1,0)</f>
        <v>0</v>
      </c>
      <c r="M3741" s="2" t="n">
        <f aca="false">IF(G3741&lt;0,1,0)</f>
        <v>0</v>
      </c>
      <c r="N3741" s="2" t="str">
        <f aca="false">_xlfn.IFS(B3741&lt;30,"Under 30",B3741&lt;40,"30-39",B3741&lt;50,"40-49",B3741&lt;60,"50-59",TRUE(),"60+")</f>
        <v>40-49</v>
      </c>
      <c r="O3741" s="2" t="str">
        <f aca="false">_xlfn.IFS(G3741&lt;0,"1 Negative",G3741=0,"2 Zero",G3741&lt;=500,"3 1-500",G3741&lt;=2000,"4 501-2000",TRUE(),"5 Above 2000")</f>
        <v>3 1-500</v>
      </c>
      <c r="P3741" s="2" t="n">
        <f aca="false">Lookups!$B$2*M3741+Lookups!$B$3*L3741</f>
        <v>0</v>
      </c>
      <c r="Q3741" s="2" t="str">
        <f aca="false">INDEX(Lookups!$E$2:$E$5,MATCH(P3741,Lookups!$D$2:$D$5,0))</f>
        <v>Low</v>
      </c>
    </row>
    <row r="3742" customFormat="false" ht="15" hidden="false" customHeight="false" outlineLevel="0" collapsed="false">
      <c r="A3742" s="3" t="n">
        <v>3741</v>
      </c>
      <c r="B3742" s="3" t="n">
        <f aca="false">Raw_Data!A3742</f>
        <v>36</v>
      </c>
      <c r="C3742" s="3" t="str">
        <f aca="false">SUBSTITUTE(Raw_Data!B3742,".","")</f>
        <v>blue-collar</v>
      </c>
      <c r="D3742" s="3" t="str">
        <f aca="false">Raw_Data!C3742</f>
        <v>divorced</v>
      </c>
      <c r="E3742" s="3" t="str">
        <f aca="false">Raw_Data!D3742</f>
        <v>primary</v>
      </c>
      <c r="F3742" s="3" t="str">
        <f aca="false">Raw_Data!E3742</f>
        <v>no</v>
      </c>
      <c r="G3742" s="3" t="n">
        <f aca="false">Raw_Data!F3742</f>
        <v>-308</v>
      </c>
      <c r="H3742" s="3" t="str">
        <f aca="false">Raw_Data!G3742</f>
        <v>yes</v>
      </c>
      <c r="I3742" s="3" t="str">
        <f aca="false">Raw_Data!H3742</f>
        <v>no</v>
      </c>
      <c r="J3742" s="2" t="n">
        <f aca="false">IF(F3742="yes",1,0)</f>
        <v>0</v>
      </c>
      <c r="K3742" s="2" t="n">
        <f aca="false">IF(H3742="yes",1,0)</f>
        <v>1</v>
      </c>
      <c r="L3742" s="2" t="n">
        <f aca="false">IF(I3742="yes",1,0)</f>
        <v>0</v>
      </c>
      <c r="M3742" s="2" t="n">
        <f aca="false">IF(G3742&lt;0,1,0)</f>
        <v>1</v>
      </c>
      <c r="N3742" s="2" t="str">
        <f aca="false">_xlfn.IFS(B3742&lt;30,"Under 30",B3742&lt;40,"30-39",B3742&lt;50,"40-49",B3742&lt;60,"50-59",TRUE(),"60+")</f>
        <v>30-39</v>
      </c>
      <c r="O3742" s="2" t="str">
        <f aca="false">_xlfn.IFS(G3742&lt;0,"1 Negative",G3742=0,"2 Zero",G3742&lt;=500,"3 1-500",G3742&lt;=2000,"4 501-2000",TRUE(),"5 Above 2000")</f>
        <v>1 Negative</v>
      </c>
      <c r="P3742" s="2" t="n">
        <f aca="false">Lookups!$B$2*M3742+Lookups!$B$3*L3742</f>
        <v>2</v>
      </c>
      <c r="Q3742" s="2" t="str">
        <f aca="false">INDEX(Lookups!$E$2:$E$5,MATCH(P3742,Lookups!$D$2:$D$5,0))</f>
        <v>High</v>
      </c>
    </row>
    <row r="3743" customFormat="false" ht="15" hidden="false" customHeight="false" outlineLevel="0" collapsed="false">
      <c r="A3743" s="3" t="n">
        <v>3742</v>
      </c>
      <c r="B3743" s="3" t="n">
        <f aca="false">Raw_Data!A3743</f>
        <v>51</v>
      </c>
      <c r="C3743" s="3" t="str">
        <f aca="false">SUBSTITUTE(Raw_Data!B3743,".","")</f>
        <v>housemaid</v>
      </c>
      <c r="D3743" s="3" t="str">
        <f aca="false">Raw_Data!C3743</f>
        <v>married</v>
      </c>
      <c r="E3743" s="3" t="str">
        <f aca="false">Raw_Data!D3743</f>
        <v>primary</v>
      </c>
      <c r="F3743" s="3" t="str">
        <f aca="false">Raw_Data!E3743</f>
        <v>no</v>
      </c>
      <c r="G3743" s="3" t="n">
        <f aca="false">Raw_Data!F3743</f>
        <v>30</v>
      </c>
      <c r="H3743" s="3" t="str">
        <f aca="false">Raw_Data!G3743</f>
        <v>yes</v>
      </c>
      <c r="I3743" s="3" t="str">
        <f aca="false">Raw_Data!H3743</f>
        <v>no</v>
      </c>
      <c r="J3743" s="2" t="n">
        <f aca="false">IF(F3743="yes",1,0)</f>
        <v>0</v>
      </c>
      <c r="K3743" s="2" t="n">
        <f aca="false">IF(H3743="yes",1,0)</f>
        <v>1</v>
      </c>
      <c r="L3743" s="2" t="n">
        <f aca="false">IF(I3743="yes",1,0)</f>
        <v>0</v>
      </c>
      <c r="M3743" s="2" t="n">
        <f aca="false">IF(G3743&lt;0,1,0)</f>
        <v>0</v>
      </c>
      <c r="N3743" s="2" t="str">
        <f aca="false">_xlfn.IFS(B3743&lt;30,"Under 30",B3743&lt;40,"30-39",B3743&lt;50,"40-49",B3743&lt;60,"50-59",TRUE(),"60+")</f>
        <v>50-59</v>
      </c>
      <c r="O3743" s="2" t="str">
        <f aca="false">_xlfn.IFS(G3743&lt;0,"1 Negative",G3743=0,"2 Zero",G3743&lt;=500,"3 1-500",G3743&lt;=2000,"4 501-2000",TRUE(),"5 Above 2000")</f>
        <v>3 1-500</v>
      </c>
      <c r="P3743" s="2" t="n">
        <f aca="false">Lookups!$B$2*M3743+Lookups!$B$3*L3743</f>
        <v>0</v>
      </c>
      <c r="Q3743" s="2" t="str">
        <f aca="false">INDEX(Lookups!$E$2:$E$5,MATCH(P3743,Lookups!$D$2:$D$5,0))</f>
        <v>Low</v>
      </c>
    </row>
    <row r="3744" customFormat="false" ht="15" hidden="false" customHeight="false" outlineLevel="0" collapsed="false">
      <c r="A3744" s="3" t="n">
        <v>3743</v>
      </c>
      <c r="B3744" s="3" t="n">
        <f aca="false">Raw_Data!A3744</f>
        <v>37</v>
      </c>
      <c r="C3744" s="3" t="str">
        <f aca="false">SUBSTITUTE(Raw_Data!B3744,".","")</f>
        <v>self-employed</v>
      </c>
      <c r="D3744" s="3" t="str">
        <f aca="false">Raw_Data!C3744</f>
        <v>married</v>
      </c>
      <c r="E3744" s="3" t="str">
        <f aca="false">Raw_Data!D3744</f>
        <v>tertiary</v>
      </c>
      <c r="F3744" s="3" t="str">
        <f aca="false">Raw_Data!E3744</f>
        <v>no</v>
      </c>
      <c r="G3744" s="3" t="n">
        <f aca="false">Raw_Data!F3744</f>
        <v>137</v>
      </c>
      <c r="H3744" s="3" t="str">
        <f aca="false">Raw_Data!G3744</f>
        <v>no</v>
      </c>
      <c r="I3744" s="3" t="str">
        <f aca="false">Raw_Data!H3744</f>
        <v>no</v>
      </c>
      <c r="J3744" s="2" t="n">
        <f aca="false">IF(F3744="yes",1,0)</f>
        <v>0</v>
      </c>
      <c r="K3744" s="2" t="n">
        <f aca="false">IF(H3744="yes",1,0)</f>
        <v>0</v>
      </c>
      <c r="L3744" s="2" t="n">
        <f aca="false">IF(I3744="yes",1,0)</f>
        <v>0</v>
      </c>
      <c r="M3744" s="2" t="n">
        <f aca="false">IF(G3744&lt;0,1,0)</f>
        <v>0</v>
      </c>
      <c r="N3744" s="2" t="str">
        <f aca="false">_xlfn.IFS(B3744&lt;30,"Under 30",B3744&lt;40,"30-39",B3744&lt;50,"40-49",B3744&lt;60,"50-59",TRUE(),"60+")</f>
        <v>30-39</v>
      </c>
      <c r="O3744" s="2" t="str">
        <f aca="false">_xlfn.IFS(G3744&lt;0,"1 Negative",G3744=0,"2 Zero",G3744&lt;=500,"3 1-500",G3744&lt;=2000,"4 501-2000",TRUE(),"5 Above 2000")</f>
        <v>3 1-500</v>
      </c>
      <c r="P3744" s="2" t="n">
        <f aca="false">Lookups!$B$2*M3744+Lookups!$B$3*L3744</f>
        <v>0</v>
      </c>
      <c r="Q3744" s="2" t="str">
        <f aca="false">INDEX(Lookups!$E$2:$E$5,MATCH(P3744,Lookups!$D$2:$D$5,0))</f>
        <v>Low</v>
      </c>
    </row>
    <row r="3745" customFormat="false" ht="15" hidden="false" customHeight="false" outlineLevel="0" collapsed="false">
      <c r="A3745" s="3" t="n">
        <v>3744</v>
      </c>
      <c r="B3745" s="3" t="n">
        <f aca="false">Raw_Data!A3745</f>
        <v>42</v>
      </c>
      <c r="C3745" s="3" t="str">
        <f aca="false">SUBSTITUTE(Raw_Data!B3745,".","")</f>
        <v>admin</v>
      </c>
      <c r="D3745" s="3" t="str">
        <f aca="false">Raw_Data!C3745</f>
        <v>single</v>
      </c>
      <c r="E3745" s="3" t="str">
        <f aca="false">Raw_Data!D3745</f>
        <v>secondary</v>
      </c>
      <c r="F3745" s="3" t="str">
        <f aca="false">Raw_Data!E3745</f>
        <v>no</v>
      </c>
      <c r="G3745" s="3" t="n">
        <f aca="false">Raw_Data!F3745</f>
        <v>-247</v>
      </c>
      <c r="H3745" s="3" t="str">
        <f aca="false">Raw_Data!G3745</f>
        <v>yes</v>
      </c>
      <c r="I3745" s="3" t="str">
        <f aca="false">Raw_Data!H3745</f>
        <v>yes</v>
      </c>
      <c r="J3745" s="2" t="n">
        <f aca="false">IF(F3745="yes",1,0)</f>
        <v>0</v>
      </c>
      <c r="K3745" s="2" t="n">
        <f aca="false">IF(H3745="yes",1,0)</f>
        <v>1</v>
      </c>
      <c r="L3745" s="2" t="n">
        <f aca="false">IF(I3745="yes",1,0)</f>
        <v>1</v>
      </c>
      <c r="M3745" s="2" t="n">
        <f aca="false">IF(G3745&lt;0,1,0)</f>
        <v>1</v>
      </c>
      <c r="N3745" s="2" t="str">
        <f aca="false">_xlfn.IFS(B3745&lt;30,"Under 30",B3745&lt;40,"30-39",B3745&lt;50,"40-49",B3745&lt;60,"50-59",TRUE(),"60+")</f>
        <v>40-49</v>
      </c>
      <c r="O3745" s="2" t="str">
        <f aca="false">_xlfn.IFS(G3745&lt;0,"1 Negative",G3745=0,"2 Zero",G3745&lt;=500,"3 1-500",G3745&lt;=2000,"4 501-2000",TRUE(),"5 Above 2000")</f>
        <v>1 Negative</v>
      </c>
      <c r="P3745" s="2" t="n">
        <f aca="false">Lookups!$B$2*M3745+Lookups!$B$3*L3745</f>
        <v>3</v>
      </c>
      <c r="Q3745" s="2" t="str">
        <f aca="false">INDEX(Lookups!$E$2:$E$5,MATCH(P3745,Lookups!$D$2:$D$5,0))</f>
        <v>High</v>
      </c>
    </row>
    <row r="3746" customFormat="false" ht="15" hidden="false" customHeight="false" outlineLevel="0" collapsed="false">
      <c r="A3746" s="3" t="n">
        <v>3745</v>
      </c>
      <c r="B3746" s="3" t="n">
        <f aca="false">Raw_Data!A3746</f>
        <v>26</v>
      </c>
      <c r="C3746" s="3" t="str">
        <f aca="false">SUBSTITUTE(Raw_Data!B3746,".","")</f>
        <v>admin</v>
      </c>
      <c r="D3746" s="3" t="str">
        <f aca="false">Raw_Data!C3746</f>
        <v>single</v>
      </c>
      <c r="E3746" s="3" t="str">
        <f aca="false">Raw_Data!D3746</f>
        <v>secondary</v>
      </c>
      <c r="F3746" s="3" t="str">
        <f aca="false">Raw_Data!E3746</f>
        <v>no</v>
      </c>
      <c r="G3746" s="3" t="n">
        <f aca="false">Raw_Data!F3746</f>
        <v>321</v>
      </c>
      <c r="H3746" s="3" t="str">
        <f aca="false">Raw_Data!G3746</f>
        <v>yes</v>
      </c>
      <c r="I3746" s="3" t="str">
        <f aca="false">Raw_Data!H3746</f>
        <v>no</v>
      </c>
      <c r="J3746" s="2" t="n">
        <f aca="false">IF(F3746="yes",1,0)</f>
        <v>0</v>
      </c>
      <c r="K3746" s="2" t="n">
        <f aca="false">IF(H3746="yes",1,0)</f>
        <v>1</v>
      </c>
      <c r="L3746" s="2" t="n">
        <f aca="false">IF(I3746="yes",1,0)</f>
        <v>0</v>
      </c>
      <c r="M3746" s="2" t="n">
        <f aca="false">IF(G3746&lt;0,1,0)</f>
        <v>0</v>
      </c>
      <c r="N3746" s="2" t="str">
        <f aca="false">_xlfn.IFS(B3746&lt;30,"Under 30",B3746&lt;40,"30-39",B3746&lt;50,"40-49",B3746&lt;60,"50-59",TRUE(),"60+")</f>
        <v>Under 30</v>
      </c>
      <c r="O3746" s="2" t="str">
        <f aca="false">_xlfn.IFS(G3746&lt;0,"1 Negative",G3746=0,"2 Zero",G3746&lt;=500,"3 1-500",G3746&lt;=2000,"4 501-2000",TRUE(),"5 Above 2000")</f>
        <v>3 1-500</v>
      </c>
      <c r="P3746" s="2" t="n">
        <f aca="false">Lookups!$B$2*M3746+Lookups!$B$3*L3746</f>
        <v>0</v>
      </c>
      <c r="Q3746" s="2" t="str">
        <f aca="false">INDEX(Lookups!$E$2:$E$5,MATCH(P3746,Lookups!$D$2:$D$5,0))</f>
        <v>Low</v>
      </c>
    </row>
    <row r="3747" customFormat="false" ht="15" hidden="false" customHeight="false" outlineLevel="0" collapsed="false">
      <c r="A3747" s="3" t="n">
        <v>3746</v>
      </c>
      <c r="B3747" s="3" t="n">
        <f aca="false">Raw_Data!A3747</f>
        <v>23</v>
      </c>
      <c r="C3747" s="3" t="str">
        <f aca="false">SUBSTITUTE(Raw_Data!B3747,".","")</f>
        <v>services</v>
      </c>
      <c r="D3747" s="3" t="str">
        <f aca="false">Raw_Data!C3747</f>
        <v>single</v>
      </c>
      <c r="E3747" s="3" t="str">
        <f aca="false">Raw_Data!D3747</f>
        <v>secondary</v>
      </c>
      <c r="F3747" s="3" t="str">
        <f aca="false">Raw_Data!E3747</f>
        <v>no</v>
      </c>
      <c r="G3747" s="3" t="n">
        <f aca="false">Raw_Data!F3747</f>
        <v>250</v>
      </c>
      <c r="H3747" s="3" t="str">
        <f aca="false">Raw_Data!G3747</f>
        <v>yes</v>
      </c>
      <c r="I3747" s="3" t="str">
        <f aca="false">Raw_Data!H3747</f>
        <v>no</v>
      </c>
      <c r="J3747" s="2" t="n">
        <f aca="false">IF(F3747="yes",1,0)</f>
        <v>0</v>
      </c>
      <c r="K3747" s="2" t="n">
        <f aca="false">IF(H3747="yes",1,0)</f>
        <v>1</v>
      </c>
      <c r="L3747" s="2" t="n">
        <f aca="false">IF(I3747="yes",1,0)</f>
        <v>0</v>
      </c>
      <c r="M3747" s="2" t="n">
        <f aca="false">IF(G3747&lt;0,1,0)</f>
        <v>0</v>
      </c>
      <c r="N3747" s="2" t="str">
        <f aca="false">_xlfn.IFS(B3747&lt;30,"Under 30",B3747&lt;40,"30-39",B3747&lt;50,"40-49",B3747&lt;60,"50-59",TRUE(),"60+")</f>
        <v>Under 30</v>
      </c>
      <c r="O3747" s="2" t="str">
        <f aca="false">_xlfn.IFS(G3747&lt;0,"1 Negative",G3747=0,"2 Zero",G3747&lt;=500,"3 1-500",G3747&lt;=2000,"4 501-2000",TRUE(),"5 Above 2000")</f>
        <v>3 1-500</v>
      </c>
      <c r="P3747" s="2" t="n">
        <f aca="false">Lookups!$B$2*M3747+Lookups!$B$3*L3747</f>
        <v>0</v>
      </c>
      <c r="Q3747" s="2" t="str">
        <f aca="false">INDEX(Lookups!$E$2:$E$5,MATCH(P3747,Lookups!$D$2:$D$5,0))</f>
        <v>Low</v>
      </c>
    </row>
    <row r="3748" customFormat="false" ht="15" hidden="false" customHeight="false" outlineLevel="0" collapsed="false">
      <c r="A3748" s="3" t="n">
        <v>3747</v>
      </c>
      <c r="B3748" s="3" t="n">
        <f aca="false">Raw_Data!A3748</f>
        <v>50</v>
      </c>
      <c r="C3748" s="3" t="str">
        <f aca="false">SUBSTITUTE(Raw_Data!B3748,".","")</f>
        <v>management</v>
      </c>
      <c r="D3748" s="3" t="str">
        <f aca="false">Raw_Data!C3748</f>
        <v>married</v>
      </c>
      <c r="E3748" s="3" t="str">
        <f aca="false">Raw_Data!D3748</f>
        <v>tertiary</v>
      </c>
      <c r="F3748" s="3" t="str">
        <f aca="false">Raw_Data!E3748</f>
        <v>no</v>
      </c>
      <c r="G3748" s="3" t="n">
        <f aca="false">Raw_Data!F3748</f>
        <v>-470</v>
      </c>
      <c r="H3748" s="3" t="str">
        <f aca="false">Raw_Data!G3748</f>
        <v>yes</v>
      </c>
      <c r="I3748" s="3" t="str">
        <f aca="false">Raw_Data!H3748</f>
        <v>no</v>
      </c>
      <c r="J3748" s="2" t="n">
        <f aca="false">IF(F3748="yes",1,0)</f>
        <v>0</v>
      </c>
      <c r="K3748" s="2" t="n">
        <f aca="false">IF(H3748="yes",1,0)</f>
        <v>1</v>
      </c>
      <c r="L3748" s="2" t="n">
        <f aca="false">IF(I3748="yes",1,0)</f>
        <v>0</v>
      </c>
      <c r="M3748" s="2" t="n">
        <f aca="false">IF(G3748&lt;0,1,0)</f>
        <v>1</v>
      </c>
      <c r="N3748" s="2" t="str">
        <f aca="false">_xlfn.IFS(B3748&lt;30,"Under 30",B3748&lt;40,"30-39",B3748&lt;50,"40-49",B3748&lt;60,"50-59",TRUE(),"60+")</f>
        <v>50-59</v>
      </c>
      <c r="O3748" s="2" t="str">
        <f aca="false">_xlfn.IFS(G3748&lt;0,"1 Negative",G3748=0,"2 Zero",G3748&lt;=500,"3 1-500",G3748&lt;=2000,"4 501-2000",TRUE(),"5 Above 2000")</f>
        <v>1 Negative</v>
      </c>
      <c r="P3748" s="2" t="n">
        <f aca="false">Lookups!$B$2*M3748+Lookups!$B$3*L3748</f>
        <v>2</v>
      </c>
      <c r="Q3748" s="2" t="str">
        <f aca="false">INDEX(Lookups!$E$2:$E$5,MATCH(P3748,Lookups!$D$2:$D$5,0))</f>
        <v>High</v>
      </c>
    </row>
    <row r="3749" customFormat="false" ht="15" hidden="false" customHeight="false" outlineLevel="0" collapsed="false">
      <c r="A3749" s="3" t="n">
        <v>3748</v>
      </c>
      <c r="B3749" s="3" t="n">
        <f aca="false">Raw_Data!A3749</f>
        <v>37</v>
      </c>
      <c r="C3749" s="3" t="str">
        <f aca="false">SUBSTITUTE(Raw_Data!B3749,".","")</f>
        <v>blue-collar</v>
      </c>
      <c r="D3749" s="3" t="str">
        <f aca="false">Raw_Data!C3749</f>
        <v>married</v>
      </c>
      <c r="E3749" s="3" t="str">
        <f aca="false">Raw_Data!D3749</f>
        <v>secondary</v>
      </c>
      <c r="F3749" s="3" t="str">
        <f aca="false">Raw_Data!E3749</f>
        <v>no</v>
      </c>
      <c r="G3749" s="3" t="n">
        <f aca="false">Raw_Data!F3749</f>
        <v>140</v>
      </c>
      <c r="H3749" s="3" t="str">
        <f aca="false">Raw_Data!G3749</f>
        <v>yes</v>
      </c>
      <c r="I3749" s="3" t="str">
        <f aca="false">Raw_Data!H3749</f>
        <v>yes</v>
      </c>
      <c r="J3749" s="2" t="n">
        <f aca="false">IF(F3749="yes",1,0)</f>
        <v>0</v>
      </c>
      <c r="K3749" s="2" t="n">
        <f aca="false">IF(H3749="yes",1,0)</f>
        <v>1</v>
      </c>
      <c r="L3749" s="2" t="n">
        <f aca="false">IF(I3749="yes",1,0)</f>
        <v>1</v>
      </c>
      <c r="M3749" s="2" t="n">
        <f aca="false">IF(G3749&lt;0,1,0)</f>
        <v>0</v>
      </c>
      <c r="N3749" s="2" t="str">
        <f aca="false">_xlfn.IFS(B3749&lt;30,"Under 30",B3749&lt;40,"30-39",B3749&lt;50,"40-49",B3749&lt;60,"50-59",TRUE(),"60+")</f>
        <v>30-39</v>
      </c>
      <c r="O3749" s="2" t="str">
        <f aca="false">_xlfn.IFS(G3749&lt;0,"1 Negative",G3749=0,"2 Zero",G3749&lt;=500,"3 1-500",G3749&lt;=2000,"4 501-2000",TRUE(),"5 Above 2000")</f>
        <v>3 1-500</v>
      </c>
      <c r="P3749" s="2" t="n">
        <f aca="false">Lookups!$B$2*M3749+Lookups!$B$3*L3749</f>
        <v>1</v>
      </c>
      <c r="Q3749" s="2" t="str">
        <f aca="false">INDEX(Lookups!$E$2:$E$5,MATCH(P3749,Lookups!$D$2:$D$5,0))</f>
        <v>Medium</v>
      </c>
    </row>
    <row r="3750" customFormat="false" ht="15" hidden="false" customHeight="false" outlineLevel="0" collapsed="false">
      <c r="A3750" s="3" t="n">
        <v>3749</v>
      </c>
      <c r="B3750" s="3" t="n">
        <f aca="false">Raw_Data!A3750</f>
        <v>35</v>
      </c>
      <c r="C3750" s="3" t="str">
        <f aca="false">SUBSTITUTE(Raw_Data!B3750,".","")</f>
        <v>management</v>
      </c>
      <c r="D3750" s="3" t="str">
        <f aca="false">Raw_Data!C3750</f>
        <v>married</v>
      </c>
      <c r="E3750" s="3" t="str">
        <f aca="false">Raw_Data!D3750</f>
        <v>tertiary</v>
      </c>
      <c r="F3750" s="3" t="str">
        <f aca="false">Raw_Data!E3750</f>
        <v>no</v>
      </c>
      <c r="G3750" s="3" t="n">
        <f aca="false">Raw_Data!F3750</f>
        <v>2793</v>
      </c>
      <c r="H3750" s="3" t="str">
        <f aca="false">Raw_Data!G3750</f>
        <v>no</v>
      </c>
      <c r="I3750" s="3" t="str">
        <f aca="false">Raw_Data!H3750</f>
        <v>no</v>
      </c>
      <c r="J3750" s="2" t="n">
        <f aca="false">IF(F3750="yes",1,0)</f>
        <v>0</v>
      </c>
      <c r="K3750" s="2" t="n">
        <f aca="false">IF(H3750="yes",1,0)</f>
        <v>0</v>
      </c>
      <c r="L3750" s="2" t="n">
        <f aca="false">IF(I3750="yes",1,0)</f>
        <v>0</v>
      </c>
      <c r="M3750" s="2" t="n">
        <f aca="false">IF(G3750&lt;0,1,0)</f>
        <v>0</v>
      </c>
      <c r="N3750" s="2" t="str">
        <f aca="false">_xlfn.IFS(B3750&lt;30,"Under 30",B3750&lt;40,"30-39",B3750&lt;50,"40-49",B3750&lt;60,"50-59",TRUE(),"60+")</f>
        <v>30-39</v>
      </c>
      <c r="O3750" s="2" t="str">
        <f aca="false">_xlfn.IFS(G3750&lt;0,"1 Negative",G3750=0,"2 Zero",G3750&lt;=500,"3 1-500",G3750&lt;=2000,"4 501-2000",TRUE(),"5 Above 2000")</f>
        <v>5 Above 2000</v>
      </c>
      <c r="P3750" s="2" t="n">
        <f aca="false">Lookups!$B$2*M3750+Lookups!$B$3*L3750</f>
        <v>0</v>
      </c>
      <c r="Q3750" s="2" t="str">
        <f aca="false">INDEX(Lookups!$E$2:$E$5,MATCH(P3750,Lookups!$D$2:$D$5,0))</f>
        <v>Low</v>
      </c>
    </row>
    <row r="3751" customFormat="false" ht="15" hidden="false" customHeight="false" outlineLevel="0" collapsed="false">
      <c r="A3751" s="3" t="n">
        <v>3750</v>
      </c>
      <c r="B3751" s="3" t="n">
        <f aca="false">Raw_Data!A3751</f>
        <v>37</v>
      </c>
      <c r="C3751" s="3" t="str">
        <f aca="false">SUBSTITUTE(Raw_Data!B3751,".","")</f>
        <v>management</v>
      </c>
      <c r="D3751" s="3" t="str">
        <f aca="false">Raw_Data!C3751</f>
        <v>married</v>
      </c>
      <c r="E3751" s="3" t="str">
        <f aca="false">Raw_Data!D3751</f>
        <v>tertiary</v>
      </c>
      <c r="F3751" s="3" t="str">
        <f aca="false">Raw_Data!E3751</f>
        <v>no</v>
      </c>
      <c r="G3751" s="3" t="n">
        <f aca="false">Raw_Data!F3751</f>
        <v>410</v>
      </c>
      <c r="H3751" s="3" t="str">
        <f aca="false">Raw_Data!G3751</f>
        <v>no</v>
      </c>
      <c r="I3751" s="3" t="str">
        <f aca="false">Raw_Data!H3751</f>
        <v>no</v>
      </c>
      <c r="J3751" s="2" t="n">
        <f aca="false">IF(F3751="yes",1,0)</f>
        <v>0</v>
      </c>
      <c r="K3751" s="2" t="n">
        <f aca="false">IF(H3751="yes",1,0)</f>
        <v>0</v>
      </c>
      <c r="L3751" s="2" t="n">
        <f aca="false">IF(I3751="yes",1,0)</f>
        <v>0</v>
      </c>
      <c r="M3751" s="2" t="n">
        <f aca="false">IF(G3751&lt;0,1,0)</f>
        <v>0</v>
      </c>
      <c r="N3751" s="2" t="str">
        <f aca="false">_xlfn.IFS(B3751&lt;30,"Under 30",B3751&lt;40,"30-39",B3751&lt;50,"40-49",B3751&lt;60,"50-59",TRUE(),"60+")</f>
        <v>30-39</v>
      </c>
      <c r="O3751" s="2" t="str">
        <f aca="false">_xlfn.IFS(G3751&lt;0,"1 Negative",G3751=0,"2 Zero",G3751&lt;=500,"3 1-500",G3751&lt;=2000,"4 501-2000",TRUE(),"5 Above 2000")</f>
        <v>3 1-500</v>
      </c>
      <c r="P3751" s="2" t="n">
        <f aca="false">Lookups!$B$2*M3751+Lookups!$B$3*L3751</f>
        <v>0</v>
      </c>
      <c r="Q3751" s="2" t="str">
        <f aca="false">INDEX(Lookups!$E$2:$E$5,MATCH(P3751,Lookups!$D$2:$D$5,0))</f>
        <v>Low</v>
      </c>
    </row>
    <row r="3752" customFormat="false" ht="15" hidden="false" customHeight="false" outlineLevel="0" collapsed="false">
      <c r="A3752" s="3" t="n">
        <v>3751</v>
      </c>
      <c r="B3752" s="3" t="n">
        <f aca="false">Raw_Data!A3752</f>
        <v>79</v>
      </c>
      <c r="C3752" s="3" t="str">
        <f aca="false">SUBSTITUTE(Raw_Data!B3752,".","")</f>
        <v>retired</v>
      </c>
      <c r="D3752" s="3" t="str">
        <f aca="false">Raw_Data!C3752</f>
        <v>divorced</v>
      </c>
      <c r="E3752" s="3" t="str">
        <f aca="false">Raw_Data!D3752</f>
        <v>unknown</v>
      </c>
      <c r="F3752" s="3" t="str">
        <f aca="false">Raw_Data!E3752</f>
        <v>no</v>
      </c>
      <c r="G3752" s="3" t="n">
        <f aca="false">Raw_Data!F3752</f>
        <v>2628</v>
      </c>
      <c r="H3752" s="3" t="str">
        <f aca="false">Raw_Data!G3752</f>
        <v>no</v>
      </c>
      <c r="I3752" s="3" t="str">
        <f aca="false">Raw_Data!H3752</f>
        <v>no</v>
      </c>
      <c r="J3752" s="2" t="n">
        <f aca="false">IF(F3752="yes",1,0)</f>
        <v>0</v>
      </c>
      <c r="K3752" s="2" t="n">
        <f aca="false">IF(H3752="yes",1,0)</f>
        <v>0</v>
      </c>
      <c r="L3752" s="2" t="n">
        <f aca="false">IF(I3752="yes",1,0)</f>
        <v>0</v>
      </c>
      <c r="M3752" s="2" t="n">
        <f aca="false">IF(G3752&lt;0,1,0)</f>
        <v>0</v>
      </c>
      <c r="N3752" s="2" t="str">
        <f aca="false">_xlfn.IFS(B3752&lt;30,"Under 30",B3752&lt;40,"30-39",B3752&lt;50,"40-49",B3752&lt;60,"50-59",TRUE(),"60+")</f>
        <v>60+</v>
      </c>
      <c r="O3752" s="2" t="str">
        <f aca="false">_xlfn.IFS(G3752&lt;0,"1 Negative",G3752=0,"2 Zero",G3752&lt;=500,"3 1-500",G3752&lt;=2000,"4 501-2000",TRUE(),"5 Above 2000")</f>
        <v>5 Above 2000</v>
      </c>
      <c r="P3752" s="2" t="n">
        <f aca="false">Lookups!$B$2*M3752+Lookups!$B$3*L3752</f>
        <v>0</v>
      </c>
      <c r="Q3752" s="2" t="str">
        <f aca="false">INDEX(Lookups!$E$2:$E$5,MATCH(P3752,Lookups!$D$2:$D$5,0))</f>
        <v>Low</v>
      </c>
    </row>
    <row r="3753" customFormat="false" ht="15" hidden="false" customHeight="false" outlineLevel="0" collapsed="false">
      <c r="A3753" s="3" t="n">
        <v>3752</v>
      </c>
      <c r="B3753" s="3" t="n">
        <f aca="false">Raw_Data!A3753</f>
        <v>39</v>
      </c>
      <c r="C3753" s="3" t="str">
        <f aca="false">SUBSTITUTE(Raw_Data!B3753,".","")</f>
        <v>technician</v>
      </c>
      <c r="D3753" s="3" t="str">
        <f aca="false">Raw_Data!C3753</f>
        <v>married</v>
      </c>
      <c r="E3753" s="3" t="str">
        <f aca="false">Raw_Data!D3753</f>
        <v>secondary</v>
      </c>
      <c r="F3753" s="3" t="str">
        <f aca="false">Raw_Data!E3753</f>
        <v>no</v>
      </c>
      <c r="G3753" s="3" t="n">
        <f aca="false">Raw_Data!F3753</f>
        <v>116</v>
      </c>
      <c r="H3753" s="3" t="str">
        <f aca="false">Raw_Data!G3753</f>
        <v>no</v>
      </c>
      <c r="I3753" s="3" t="str">
        <f aca="false">Raw_Data!H3753</f>
        <v>no</v>
      </c>
      <c r="J3753" s="2" t="n">
        <f aca="false">IF(F3753="yes",1,0)</f>
        <v>0</v>
      </c>
      <c r="K3753" s="2" t="n">
        <f aca="false">IF(H3753="yes",1,0)</f>
        <v>0</v>
      </c>
      <c r="L3753" s="2" t="n">
        <f aca="false">IF(I3753="yes",1,0)</f>
        <v>0</v>
      </c>
      <c r="M3753" s="2" t="n">
        <f aca="false">IF(G3753&lt;0,1,0)</f>
        <v>0</v>
      </c>
      <c r="N3753" s="2" t="str">
        <f aca="false">_xlfn.IFS(B3753&lt;30,"Under 30",B3753&lt;40,"30-39",B3753&lt;50,"40-49",B3753&lt;60,"50-59",TRUE(),"60+")</f>
        <v>30-39</v>
      </c>
      <c r="O3753" s="2" t="str">
        <f aca="false">_xlfn.IFS(G3753&lt;0,"1 Negative",G3753=0,"2 Zero",G3753&lt;=500,"3 1-500",G3753&lt;=2000,"4 501-2000",TRUE(),"5 Above 2000")</f>
        <v>3 1-500</v>
      </c>
      <c r="P3753" s="2" t="n">
        <f aca="false">Lookups!$B$2*M3753+Lookups!$B$3*L3753</f>
        <v>0</v>
      </c>
      <c r="Q3753" s="2" t="str">
        <f aca="false">INDEX(Lookups!$E$2:$E$5,MATCH(P3753,Lookups!$D$2:$D$5,0))</f>
        <v>Low</v>
      </c>
    </row>
    <row r="3754" customFormat="false" ht="15" hidden="false" customHeight="false" outlineLevel="0" collapsed="false">
      <c r="A3754" s="3" t="n">
        <v>3753</v>
      </c>
      <c r="B3754" s="3" t="n">
        <f aca="false">Raw_Data!A3754</f>
        <v>47</v>
      </c>
      <c r="C3754" s="3" t="str">
        <f aca="false">SUBSTITUTE(Raw_Data!B3754,".","")</f>
        <v>services</v>
      </c>
      <c r="D3754" s="3" t="str">
        <f aca="false">Raw_Data!C3754</f>
        <v>married</v>
      </c>
      <c r="E3754" s="3" t="str">
        <f aca="false">Raw_Data!D3754</f>
        <v>secondary</v>
      </c>
      <c r="F3754" s="3" t="str">
        <f aca="false">Raw_Data!E3754</f>
        <v>no</v>
      </c>
      <c r="G3754" s="3" t="n">
        <f aca="false">Raw_Data!F3754</f>
        <v>0</v>
      </c>
      <c r="H3754" s="3" t="str">
        <f aca="false">Raw_Data!G3754</f>
        <v>yes</v>
      </c>
      <c r="I3754" s="3" t="str">
        <f aca="false">Raw_Data!H3754</f>
        <v>no</v>
      </c>
      <c r="J3754" s="2" t="n">
        <f aca="false">IF(F3754="yes",1,0)</f>
        <v>0</v>
      </c>
      <c r="K3754" s="2" t="n">
        <f aca="false">IF(H3754="yes",1,0)</f>
        <v>1</v>
      </c>
      <c r="L3754" s="2" t="n">
        <f aca="false">IF(I3754="yes",1,0)</f>
        <v>0</v>
      </c>
      <c r="M3754" s="2" t="n">
        <f aca="false">IF(G3754&lt;0,1,0)</f>
        <v>0</v>
      </c>
      <c r="N3754" s="2" t="str">
        <f aca="false">_xlfn.IFS(B3754&lt;30,"Under 30",B3754&lt;40,"30-39",B3754&lt;50,"40-49",B3754&lt;60,"50-59",TRUE(),"60+")</f>
        <v>40-49</v>
      </c>
      <c r="O3754" s="2" t="str">
        <f aca="false">_xlfn.IFS(G3754&lt;0,"1 Negative",G3754=0,"2 Zero",G3754&lt;=500,"3 1-500",G3754&lt;=2000,"4 501-2000",TRUE(),"5 Above 2000")</f>
        <v>2 Zero</v>
      </c>
      <c r="P3754" s="2" t="n">
        <f aca="false">Lookups!$B$2*M3754+Lookups!$B$3*L3754</f>
        <v>0</v>
      </c>
      <c r="Q3754" s="2" t="str">
        <f aca="false">INDEX(Lookups!$E$2:$E$5,MATCH(P3754,Lookups!$D$2:$D$5,0))</f>
        <v>Low</v>
      </c>
    </row>
    <row r="3755" customFormat="false" ht="15" hidden="false" customHeight="false" outlineLevel="0" collapsed="false">
      <c r="A3755" s="3" t="n">
        <v>3754</v>
      </c>
      <c r="B3755" s="3" t="n">
        <f aca="false">Raw_Data!A3755</f>
        <v>44</v>
      </c>
      <c r="C3755" s="3" t="str">
        <f aca="false">SUBSTITUTE(Raw_Data!B3755,".","")</f>
        <v>blue-collar</v>
      </c>
      <c r="D3755" s="3" t="str">
        <f aca="false">Raw_Data!C3755</f>
        <v>married</v>
      </c>
      <c r="E3755" s="3" t="str">
        <f aca="false">Raw_Data!D3755</f>
        <v>secondary</v>
      </c>
      <c r="F3755" s="3" t="str">
        <f aca="false">Raw_Data!E3755</f>
        <v>no</v>
      </c>
      <c r="G3755" s="3" t="n">
        <f aca="false">Raw_Data!F3755</f>
        <v>878</v>
      </c>
      <c r="H3755" s="3" t="str">
        <f aca="false">Raw_Data!G3755</f>
        <v>yes</v>
      </c>
      <c r="I3755" s="3" t="str">
        <f aca="false">Raw_Data!H3755</f>
        <v>no</v>
      </c>
      <c r="J3755" s="2" t="n">
        <f aca="false">IF(F3755="yes",1,0)</f>
        <v>0</v>
      </c>
      <c r="K3755" s="2" t="n">
        <f aca="false">IF(H3755="yes",1,0)</f>
        <v>1</v>
      </c>
      <c r="L3755" s="2" t="n">
        <f aca="false">IF(I3755="yes",1,0)</f>
        <v>0</v>
      </c>
      <c r="M3755" s="2" t="n">
        <f aca="false">IF(G3755&lt;0,1,0)</f>
        <v>0</v>
      </c>
      <c r="N3755" s="2" t="str">
        <f aca="false">_xlfn.IFS(B3755&lt;30,"Under 30",B3755&lt;40,"30-39",B3755&lt;50,"40-49",B3755&lt;60,"50-59",TRUE(),"60+")</f>
        <v>40-49</v>
      </c>
      <c r="O3755" s="2" t="str">
        <f aca="false">_xlfn.IFS(G3755&lt;0,"1 Negative",G3755=0,"2 Zero",G3755&lt;=500,"3 1-500",G3755&lt;=2000,"4 501-2000",TRUE(),"5 Above 2000")</f>
        <v>4 501-2000</v>
      </c>
      <c r="P3755" s="2" t="n">
        <f aca="false">Lookups!$B$2*M3755+Lookups!$B$3*L3755</f>
        <v>0</v>
      </c>
      <c r="Q3755" s="2" t="str">
        <f aca="false">INDEX(Lookups!$E$2:$E$5,MATCH(P3755,Lookups!$D$2:$D$5,0))</f>
        <v>Low</v>
      </c>
    </row>
    <row r="3756" customFormat="false" ht="15" hidden="false" customHeight="false" outlineLevel="0" collapsed="false">
      <c r="A3756" s="3" t="n">
        <v>3755</v>
      </c>
      <c r="B3756" s="3" t="n">
        <f aca="false">Raw_Data!A3756</f>
        <v>36</v>
      </c>
      <c r="C3756" s="3" t="str">
        <f aca="false">SUBSTITUTE(Raw_Data!B3756,".","")</f>
        <v>management</v>
      </c>
      <c r="D3756" s="3" t="str">
        <f aca="false">Raw_Data!C3756</f>
        <v>single</v>
      </c>
      <c r="E3756" s="3" t="str">
        <f aca="false">Raw_Data!D3756</f>
        <v>tertiary</v>
      </c>
      <c r="F3756" s="3" t="str">
        <f aca="false">Raw_Data!E3756</f>
        <v>no</v>
      </c>
      <c r="G3756" s="3" t="n">
        <f aca="false">Raw_Data!F3756</f>
        <v>2944</v>
      </c>
      <c r="H3756" s="3" t="str">
        <f aca="false">Raw_Data!G3756</f>
        <v>no</v>
      </c>
      <c r="I3756" s="3" t="str">
        <f aca="false">Raw_Data!H3756</f>
        <v>no</v>
      </c>
      <c r="J3756" s="2" t="n">
        <f aca="false">IF(F3756="yes",1,0)</f>
        <v>0</v>
      </c>
      <c r="K3756" s="2" t="n">
        <f aca="false">IF(H3756="yes",1,0)</f>
        <v>0</v>
      </c>
      <c r="L3756" s="2" t="n">
        <f aca="false">IF(I3756="yes",1,0)</f>
        <v>0</v>
      </c>
      <c r="M3756" s="2" t="n">
        <f aca="false">IF(G3756&lt;0,1,0)</f>
        <v>0</v>
      </c>
      <c r="N3756" s="2" t="str">
        <f aca="false">_xlfn.IFS(B3756&lt;30,"Under 30",B3756&lt;40,"30-39",B3756&lt;50,"40-49",B3756&lt;60,"50-59",TRUE(),"60+")</f>
        <v>30-39</v>
      </c>
      <c r="O3756" s="2" t="str">
        <f aca="false">_xlfn.IFS(G3756&lt;0,"1 Negative",G3756=0,"2 Zero",G3756&lt;=500,"3 1-500",G3756&lt;=2000,"4 501-2000",TRUE(),"5 Above 2000")</f>
        <v>5 Above 2000</v>
      </c>
      <c r="P3756" s="2" t="n">
        <f aca="false">Lookups!$B$2*M3756+Lookups!$B$3*L3756</f>
        <v>0</v>
      </c>
      <c r="Q3756" s="2" t="str">
        <f aca="false">INDEX(Lookups!$E$2:$E$5,MATCH(P3756,Lookups!$D$2:$D$5,0))</f>
        <v>Low</v>
      </c>
    </row>
    <row r="3757" customFormat="false" ht="15" hidden="false" customHeight="false" outlineLevel="0" collapsed="false">
      <c r="A3757" s="3" t="n">
        <v>3756</v>
      </c>
      <c r="B3757" s="3" t="n">
        <f aca="false">Raw_Data!A3757</f>
        <v>33</v>
      </c>
      <c r="C3757" s="3" t="str">
        <f aca="false">SUBSTITUTE(Raw_Data!B3757,".","")</f>
        <v>blue-collar</v>
      </c>
      <c r="D3757" s="3" t="str">
        <f aca="false">Raw_Data!C3757</f>
        <v>single</v>
      </c>
      <c r="E3757" s="3" t="str">
        <f aca="false">Raw_Data!D3757</f>
        <v>secondary</v>
      </c>
      <c r="F3757" s="3" t="str">
        <f aca="false">Raw_Data!E3757</f>
        <v>no</v>
      </c>
      <c r="G3757" s="3" t="n">
        <f aca="false">Raw_Data!F3757</f>
        <v>3975</v>
      </c>
      <c r="H3757" s="3" t="str">
        <f aca="false">Raw_Data!G3757</f>
        <v>yes</v>
      </c>
      <c r="I3757" s="3" t="str">
        <f aca="false">Raw_Data!H3757</f>
        <v>yes</v>
      </c>
      <c r="J3757" s="2" t="n">
        <f aca="false">IF(F3757="yes",1,0)</f>
        <v>0</v>
      </c>
      <c r="K3757" s="2" t="n">
        <f aca="false">IF(H3757="yes",1,0)</f>
        <v>1</v>
      </c>
      <c r="L3757" s="2" t="n">
        <f aca="false">IF(I3757="yes",1,0)</f>
        <v>1</v>
      </c>
      <c r="M3757" s="2" t="n">
        <f aca="false">IF(G3757&lt;0,1,0)</f>
        <v>0</v>
      </c>
      <c r="N3757" s="2" t="str">
        <f aca="false">_xlfn.IFS(B3757&lt;30,"Under 30",B3757&lt;40,"30-39",B3757&lt;50,"40-49",B3757&lt;60,"50-59",TRUE(),"60+")</f>
        <v>30-39</v>
      </c>
      <c r="O3757" s="2" t="str">
        <f aca="false">_xlfn.IFS(G3757&lt;0,"1 Negative",G3757=0,"2 Zero",G3757&lt;=500,"3 1-500",G3757&lt;=2000,"4 501-2000",TRUE(),"5 Above 2000")</f>
        <v>5 Above 2000</v>
      </c>
      <c r="P3757" s="2" t="n">
        <f aca="false">Lookups!$B$2*M3757+Lookups!$B$3*L3757</f>
        <v>1</v>
      </c>
      <c r="Q3757" s="2" t="str">
        <f aca="false">INDEX(Lookups!$E$2:$E$5,MATCH(P3757,Lookups!$D$2:$D$5,0))</f>
        <v>Medium</v>
      </c>
    </row>
    <row r="3758" customFormat="false" ht="15" hidden="false" customHeight="false" outlineLevel="0" collapsed="false">
      <c r="A3758" s="3" t="n">
        <v>3757</v>
      </c>
      <c r="B3758" s="3" t="n">
        <f aca="false">Raw_Data!A3758</f>
        <v>42</v>
      </c>
      <c r="C3758" s="3" t="str">
        <f aca="false">SUBSTITUTE(Raw_Data!B3758,".","")</f>
        <v>services</v>
      </c>
      <c r="D3758" s="3" t="str">
        <f aca="false">Raw_Data!C3758</f>
        <v>married</v>
      </c>
      <c r="E3758" s="3" t="str">
        <f aca="false">Raw_Data!D3758</f>
        <v>secondary</v>
      </c>
      <c r="F3758" s="3" t="str">
        <f aca="false">Raw_Data!E3758</f>
        <v>no</v>
      </c>
      <c r="G3758" s="3" t="n">
        <f aca="false">Raw_Data!F3758</f>
        <v>96</v>
      </c>
      <c r="H3758" s="3" t="str">
        <f aca="false">Raw_Data!G3758</f>
        <v>yes</v>
      </c>
      <c r="I3758" s="3" t="str">
        <f aca="false">Raw_Data!H3758</f>
        <v>no</v>
      </c>
      <c r="J3758" s="2" t="n">
        <f aca="false">IF(F3758="yes",1,0)</f>
        <v>0</v>
      </c>
      <c r="K3758" s="2" t="n">
        <f aca="false">IF(H3758="yes",1,0)</f>
        <v>1</v>
      </c>
      <c r="L3758" s="2" t="n">
        <f aca="false">IF(I3758="yes",1,0)</f>
        <v>0</v>
      </c>
      <c r="M3758" s="2" t="n">
        <f aca="false">IF(G3758&lt;0,1,0)</f>
        <v>0</v>
      </c>
      <c r="N3758" s="2" t="str">
        <f aca="false">_xlfn.IFS(B3758&lt;30,"Under 30",B3758&lt;40,"30-39",B3758&lt;50,"40-49",B3758&lt;60,"50-59",TRUE(),"60+")</f>
        <v>40-49</v>
      </c>
      <c r="O3758" s="2" t="str">
        <f aca="false">_xlfn.IFS(G3758&lt;0,"1 Negative",G3758=0,"2 Zero",G3758&lt;=500,"3 1-500",G3758&lt;=2000,"4 501-2000",TRUE(),"5 Above 2000")</f>
        <v>3 1-500</v>
      </c>
      <c r="P3758" s="2" t="n">
        <f aca="false">Lookups!$B$2*M3758+Lookups!$B$3*L3758</f>
        <v>0</v>
      </c>
      <c r="Q3758" s="2" t="str">
        <f aca="false">INDEX(Lookups!$E$2:$E$5,MATCH(P3758,Lookups!$D$2:$D$5,0))</f>
        <v>Low</v>
      </c>
    </row>
    <row r="3759" customFormat="false" ht="15" hidden="false" customHeight="false" outlineLevel="0" collapsed="false">
      <c r="A3759" s="3" t="n">
        <v>3758</v>
      </c>
      <c r="B3759" s="3" t="n">
        <f aca="false">Raw_Data!A3759</f>
        <v>35</v>
      </c>
      <c r="C3759" s="3" t="str">
        <f aca="false">SUBSTITUTE(Raw_Data!B3759,".","")</f>
        <v>technician</v>
      </c>
      <c r="D3759" s="3" t="str">
        <f aca="false">Raw_Data!C3759</f>
        <v>single</v>
      </c>
      <c r="E3759" s="3" t="str">
        <f aca="false">Raw_Data!D3759</f>
        <v>tertiary</v>
      </c>
      <c r="F3759" s="3" t="str">
        <f aca="false">Raw_Data!E3759</f>
        <v>no</v>
      </c>
      <c r="G3759" s="3" t="n">
        <f aca="false">Raw_Data!F3759</f>
        <v>2288</v>
      </c>
      <c r="H3759" s="3" t="str">
        <f aca="false">Raw_Data!G3759</f>
        <v>no</v>
      </c>
      <c r="I3759" s="3" t="str">
        <f aca="false">Raw_Data!H3759</f>
        <v>no</v>
      </c>
      <c r="J3759" s="2" t="n">
        <f aca="false">IF(F3759="yes",1,0)</f>
        <v>0</v>
      </c>
      <c r="K3759" s="2" t="n">
        <f aca="false">IF(H3759="yes",1,0)</f>
        <v>0</v>
      </c>
      <c r="L3759" s="2" t="n">
        <f aca="false">IF(I3759="yes",1,0)</f>
        <v>0</v>
      </c>
      <c r="M3759" s="2" t="n">
        <f aca="false">IF(G3759&lt;0,1,0)</f>
        <v>0</v>
      </c>
      <c r="N3759" s="2" t="str">
        <f aca="false">_xlfn.IFS(B3759&lt;30,"Under 30",B3759&lt;40,"30-39",B3759&lt;50,"40-49",B3759&lt;60,"50-59",TRUE(),"60+")</f>
        <v>30-39</v>
      </c>
      <c r="O3759" s="2" t="str">
        <f aca="false">_xlfn.IFS(G3759&lt;0,"1 Negative",G3759=0,"2 Zero",G3759&lt;=500,"3 1-500",G3759&lt;=2000,"4 501-2000",TRUE(),"5 Above 2000")</f>
        <v>5 Above 2000</v>
      </c>
      <c r="P3759" s="2" t="n">
        <f aca="false">Lookups!$B$2*M3759+Lookups!$B$3*L3759</f>
        <v>0</v>
      </c>
      <c r="Q3759" s="2" t="str">
        <f aca="false">INDEX(Lookups!$E$2:$E$5,MATCH(P3759,Lookups!$D$2:$D$5,0))</f>
        <v>Low</v>
      </c>
    </row>
    <row r="3760" customFormat="false" ht="15" hidden="false" customHeight="false" outlineLevel="0" collapsed="false">
      <c r="A3760" s="3" t="n">
        <v>3759</v>
      </c>
      <c r="B3760" s="3" t="n">
        <f aca="false">Raw_Data!A3760</f>
        <v>31</v>
      </c>
      <c r="C3760" s="3" t="str">
        <f aca="false">SUBSTITUTE(Raw_Data!B3760,".","")</f>
        <v>blue-collar</v>
      </c>
      <c r="D3760" s="3" t="str">
        <f aca="false">Raw_Data!C3760</f>
        <v>married</v>
      </c>
      <c r="E3760" s="3" t="str">
        <f aca="false">Raw_Data!D3760</f>
        <v>secondary</v>
      </c>
      <c r="F3760" s="3" t="str">
        <f aca="false">Raw_Data!E3760</f>
        <v>no</v>
      </c>
      <c r="G3760" s="3" t="n">
        <f aca="false">Raw_Data!F3760</f>
        <v>472</v>
      </c>
      <c r="H3760" s="3" t="str">
        <f aca="false">Raw_Data!G3760</f>
        <v>yes</v>
      </c>
      <c r="I3760" s="3" t="str">
        <f aca="false">Raw_Data!H3760</f>
        <v>no</v>
      </c>
      <c r="J3760" s="2" t="n">
        <f aca="false">IF(F3760="yes",1,0)</f>
        <v>0</v>
      </c>
      <c r="K3760" s="2" t="n">
        <f aca="false">IF(H3760="yes",1,0)</f>
        <v>1</v>
      </c>
      <c r="L3760" s="2" t="n">
        <f aca="false">IF(I3760="yes",1,0)</f>
        <v>0</v>
      </c>
      <c r="M3760" s="2" t="n">
        <f aca="false">IF(G3760&lt;0,1,0)</f>
        <v>0</v>
      </c>
      <c r="N3760" s="2" t="str">
        <f aca="false">_xlfn.IFS(B3760&lt;30,"Under 30",B3760&lt;40,"30-39",B3760&lt;50,"40-49",B3760&lt;60,"50-59",TRUE(),"60+")</f>
        <v>30-39</v>
      </c>
      <c r="O3760" s="2" t="str">
        <f aca="false">_xlfn.IFS(G3760&lt;0,"1 Negative",G3760=0,"2 Zero",G3760&lt;=500,"3 1-500",G3760&lt;=2000,"4 501-2000",TRUE(),"5 Above 2000")</f>
        <v>3 1-500</v>
      </c>
      <c r="P3760" s="2" t="n">
        <f aca="false">Lookups!$B$2*M3760+Lookups!$B$3*L3760</f>
        <v>0</v>
      </c>
      <c r="Q3760" s="2" t="str">
        <f aca="false">INDEX(Lookups!$E$2:$E$5,MATCH(P3760,Lookups!$D$2:$D$5,0))</f>
        <v>Low</v>
      </c>
    </row>
    <row r="3761" customFormat="false" ht="15" hidden="false" customHeight="false" outlineLevel="0" collapsed="false">
      <c r="A3761" s="3" t="n">
        <v>3760</v>
      </c>
      <c r="B3761" s="3" t="n">
        <f aca="false">Raw_Data!A3761</f>
        <v>58</v>
      </c>
      <c r="C3761" s="3" t="str">
        <f aca="false">SUBSTITUTE(Raw_Data!B3761,".","")</f>
        <v>services</v>
      </c>
      <c r="D3761" s="3" t="str">
        <f aca="false">Raw_Data!C3761</f>
        <v>married</v>
      </c>
      <c r="E3761" s="3" t="str">
        <f aca="false">Raw_Data!D3761</f>
        <v>primary</v>
      </c>
      <c r="F3761" s="3" t="str">
        <f aca="false">Raw_Data!E3761</f>
        <v>no</v>
      </c>
      <c r="G3761" s="3" t="n">
        <f aca="false">Raw_Data!F3761</f>
        <v>65</v>
      </c>
      <c r="H3761" s="3" t="str">
        <f aca="false">Raw_Data!G3761</f>
        <v>no</v>
      </c>
      <c r="I3761" s="3" t="str">
        <f aca="false">Raw_Data!H3761</f>
        <v>no</v>
      </c>
      <c r="J3761" s="2" t="n">
        <f aca="false">IF(F3761="yes",1,0)</f>
        <v>0</v>
      </c>
      <c r="K3761" s="2" t="n">
        <f aca="false">IF(H3761="yes",1,0)</f>
        <v>0</v>
      </c>
      <c r="L3761" s="2" t="n">
        <f aca="false">IF(I3761="yes",1,0)</f>
        <v>0</v>
      </c>
      <c r="M3761" s="2" t="n">
        <f aca="false">IF(G3761&lt;0,1,0)</f>
        <v>0</v>
      </c>
      <c r="N3761" s="2" t="str">
        <f aca="false">_xlfn.IFS(B3761&lt;30,"Under 30",B3761&lt;40,"30-39",B3761&lt;50,"40-49",B3761&lt;60,"50-59",TRUE(),"60+")</f>
        <v>50-59</v>
      </c>
      <c r="O3761" s="2" t="str">
        <f aca="false">_xlfn.IFS(G3761&lt;0,"1 Negative",G3761=0,"2 Zero",G3761&lt;=500,"3 1-500",G3761&lt;=2000,"4 501-2000",TRUE(),"5 Above 2000")</f>
        <v>3 1-500</v>
      </c>
      <c r="P3761" s="2" t="n">
        <f aca="false">Lookups!$B$2*M3761+Lookups!$B$3*L3761</f>
        <v>0</v>
      </c>
      <c r="Q3761" s="2" t="str">
        <f aca="false">INDEX(Lookups!$E$2:$E$5,MATCH(P3761,Lookups!$D$2:$D$5,0))</f>
        <v>Low</v>
      </c>
    </row>
    <row r="3762" customFormat="false" ht="15" hidden="false" customHeight="false" outlineLevel="0" collapsed="false">
      <c r="A3762" s="3" t="n">
        <v>3761</v>
      </c>
      <c r="B3762" s="3" t="n">
        <f aca="false">Raw_Data!A3762</f>
        <v>46</v>
      </c>
      <c r="C3762" s="3" t="str">
        <f aca="false">SUBSTITUTE(Raw_Data!B3762,".","")</f>
        <v>management</v>
      </c>
      <c r="D3762" s="3" t="str">
        <f aca="false">Raw_Data!C3762</f>
        <v>married</v>
      </c>
      <c r="E3762" s="3" t="str">
        <f aca="false">Raw_Data!D3762</f>
        <v>tertiary</v>
      </c>
      <c r="F3762" s="3" t="str">
        <f aca="false">Raw_Data!E3762</f>
        <v>no</v>
      </c>
      <c r="G3762" s="3" t="n">
        <f aca="false">Raw_Data!F3762</f>
        <v>0</v>
      </c>
      <c r="H3762" s="3" t="str">
        <f aca="false">Raw_Data!G3762</f>
        <v>no</v>
      </c>
      <c r="I3762" s="3" t="str">
        <f aca="false">Raw_Data!H3762</f>
        <v>no</v>
      </c>
      <c r="J3762" s="2" t="n">
        <f aca="false">IF(F3762="yes",1,0)</f>
        <v>0</v>
      </c>
      <c r="K3762" s="2" t="n">
        <f aca="false">IF(H3762="yes",1,0)</f>
        <v>0</v>
      </c>
      <c r="L3762" s="2" t="n">
        <f aca="false">IF(I3762="yes",1,0)</f>
        <v>0</v>
      </c>
      <c r="M3762" s="2" t="n">
        <f aca="false">IF(G3762&lt;0,1,0)</f>
        <v>0</v>
      </c>
      <c r="N3762" s="2" t="str">
        <f aca="false">_xlfn.IFS(B3762&lt;30,"Under 30",B3762&lt;40,"30-39",B3762&lt;50,"40-49",B3762&lt;60,"50-59",TRUE(),"60+")</f>
        <v>40-49</v>
      </c>
      <c r="O3762" s="2" t="str">
        <f aca="false">_xlfn.IFS(G3762&lt;0,"1 Negative",G3762=0,"2 Zero",G3762&lt;=500,"3 1-500",G3762&lt;=2000,"4 501-2000",TRUE(),"5 Above 2000")</f>
        <v>2 Zero</v>
      </c>
      <c r="P3762" s="2" t="n">
        <f aca="false">Lookups!$B$2*M3762+Lookups!$B$3*L3762</f>
        <v>0</v>
      </c>
      <c r="Q3762" s="2" t="str">
        <f aca="false">INDEX(Lookups!$E$2:$E$5,MATCH(P3762,Lookups!$D$2:$D$5,0))</f>
        <v>Low</v>
      </c>
    </row>
    <row r="3763" customFormat="false" ht="15" hidden="false" customHeight="false" outlineLevel="0" collapsed="false">
      <c r="A3763" s="3" t="n">
        <v>3762</v>
      </c>
      <c r="B3763" s="3" t="n">
        <f aca="false">Raw_Data!A3763</f>
        <v>41</v>
      </c>
      <c r="C3763" s="3" t="str">
        <f aca="false">SUBSTITUTE(Raw_Data!B3763,".","")</f>
        <v>admin</v>
      </c>
      <c r="D3763" s="3" t="str">
        <f aca="false">Raw_Data!C3763</f>
        <v>single</v>
      </c>
      <c r="E3763" s="3" t="str">
        <f aca="false">Raw_Data!D3763</f>
        <v>secondary</v>
      </c>
      <c r="F3763" s="3" t="str">
        <f aca="false">Raw_Data!E3763</f>
        <v>no</v>
      </c>
      <c r="G3763" s="3" t="n">
        <f aca="false">Raw_Data!F3763</f>
        <v>400</v>
      </c>
      <c r="H3763" s="3" t="str">
        <f aca="false">Raw_Data!G3763</f>
        <v>yes</v>
      </c>
      <c r="I3763" s="3" t="str">
        <f aca="false">Raw_Data!H3763</f>
        <v>no</v>
      </c>
      <c r="J3763" s="2" t="n">
        <f aca="false">IF(F3763="yes",1,0)</f>
        <v>0</v>
      </c>
      <c r="K3763" s="2" t="n">
        <f aca="false">IF(H3763="yes",1,0)</f>
        <v>1</v>
      </c>
      <c r="L3763" s="2" t="n">
        <f aca="false">IF(I3763="yes",1,0)</f>
        <v>0</v>
      </c>
      <c r="M3763" s="2" t="n">
        <f aca="false">IF(G3763&lt;0,1,0)</f>
        <v>0</v>
      </c>
      <c r="N3763" s="2" t="str">
        <f aca="false">_xlfn.IFS(B3763&lt;30,"Under 30",B3763&lt;40,"30-39",B3763&lt;50,"40-49",B3763&lt;60,"50-59",TRUE(),"60+")</f>
        <v>40-49</v>
      </c>
      <c r="O3763" s="2" t="str">
        <f aca="false">_xlfn.IFS(G3763&lt;0,"1 Negative",G3763=0,"2 Zero",G3763&lt;=500,"3 1-500",G3763&lt;=2000,"4 501-2000",TRUE(),"5 Above 2000")</f>
        <v>3 1-500</v>
      </c>
      <c r="P3763" s="2" t="n">
        <f aca="false">Lookups!$B$2*M3763+Lookups!$B$3*L3763</f>
        <v>0</v>
      </c>
      <c r="Q3763" s="2" t="str">
        <f aca="false">INDEX(Lookups!$E$2:$E$5,MATCH(P3763,Lookups!$D$2:$D$5,0))</f>
        <v>Low</v>
      </c>
    </row>
    <row r="3764" customFormat="false" ht="15" hidden="false" customHeight="false" outlineLevel="0" collapsed="false">
      <c r="A3764" s="3" t="n">
        <v>3763</v>
      </c>
      <c r="B3764" s="3" t="n">
        <f aca="false">Raw_Data!A3764</f>
        <v>58</v>
      </c>
      <c r="C3764" s="3" t="str">
        <f aca="false">SUBSTITUTE(Raw_Data!B3764,".","")</f>
        <v>technician</v>
      </c>
      <c r="D3764" s="3" t="str">
        <f aca="false">Raw_Data!C3764</f>
        <v>married</v>
      </c>
      <c r="E3764" s="3" t="str">
        <f aca="false">Raw_Data!D3764</f>
        <v>secondary</v>
      </c>
      <c r="F3764" s="3" t="str">
        <f aca="false">Raw_Data!E3764</f>
        <v>no</v>
      </c>
      <c r="G3764" s="3" t="n">
        <f aca="false">Raw_Data!F3764</f>
        <v>7495</v>
      </c>
      <c r="H3764" s="3" t="str">
        <f aca="false">Raw_Data!G3764</f>
        <v>yes</v>
      </c>
      <c r="I3764" s="3" t="str">
        <f aca="false">Raw_Data!H3764</f>
        <v>no</v>
      </c>
      <c r="J3764" s="2" t="n">
        <f aca="false">IF(F3764="yes",1,0)</f>
        <v>0</v>
      </c>
      <c r="K3764" s="2" t="n">
        <f aca="false">IF(H3764="yes",1,0)</f>
        <v>1</v>
      </c>
      <c r="L3764" s="2" t="n">
        <f aca="false">IF(I3764="yes",1,0)</f>
        <v>0</v>
      </c>
      <c r="M3764" s="2" t="n">
        <f aca="false">IF(G3764&lt;0,1,0)</f>
        <v>0</v>
      </c>
      <c r="N3764" s="2" t="str">
        <f aca="false">_xlfn.IFS(B3764&lt;30,"Under 30",B3764&lt;40,"30-39",B3764&lt;50,"40-49",B3764&lt;60,"50-59",TRUE(),"60+")</f>
        <v>50-59</v>
      </c>
      <c r="O3764" s="2" t="str">
        <f aca="false">_xlfn.IFS(G3764&lt;0,"1 Negative",G3764=0,"2 Zero",G3764&lt;=500,"3 1-500",G3764&lt;=2000,"4 501-2000",TRUE(),"5 Above 2000")</f>
        <v>5 Above 2000</v>
      </c>
      <c r="P3764" s="2" t="n">
        <f aca="false">Lookups!$B$2*M3764+Lookups!$B$3*L3764</f>
        <v>0</v>
      </c>
      <c r="Q3764" s="2" t="str">
        <f aca="false">INDEX(Lookups!$E$2:$E$5,MATCH(P3764,Lookups!$D$2:$D$5,0))</f>
        <v>Low</v>
      </c>
    </row>
    <row r="3765" customFormat="false" ht="15" hidden="false" customHeight="false" outlineLevel="0" collapsed="false">
      <c r="A3765" s="3" t="n">
        <v>3764</v>
      </c>
      <c r="B3765" s="3" t="n">
        <f aca="false">Raw_Data!A3765</f>
        <v>33</v>
      </c>
      <c r="C3765" s="3" t="str">
        <f aca="false">SUBSTITUTE(Raw_Data!B3765,".","")</f>
        <v>blue-collar</v>
      </c>
      <c r="D3765" s="3" t="str">
        <f aca="false">Raw_Data!C3765</f>
        <v>married</v>
      </c>
      <c r="E3765" s="3" t="str">
        <f aca="false">Raw_Data!D3765</f>
        <v>secondary</v>
      </c>
      <c r="F3765" s="3" t="str">
        <f aca="false">Raw_Data!E3765</f>
        <v>no</v>
      </c>
      <c r="G3765" s="3" t="n">
        <f aca="false">Raw_Data!F3765</f>
        <v>137</v>
      </c>
      <c r="H3765" s="3" t="str">
        <f aca="false">Raw_Data!G3765</f>
        <v>no</v>
      </c>
      <c r="I3765" s="3" t="str">
        <f aca="false">Raw_Data!H3765</f>
        <v>yes</v>
      </c>
      <c r="J3765" s="2" t="n">
        <f aca="false">IF(F3765="yes",1,0)</f>
        <v>0</v>
      </c>
      <c r="K3765" s="2" t="n">
        <f aca="false">IF(H3765="yes",1,0)</f>
        <v>0</v>
      </c>
      <c r="L3765" s="2" t="n">
        <f aca="false">IF(I3765="yes",1,0)</f>
        <v>1</v>
      </c>
      <c r="M3765" s="2" t="n">
        <f aca="false">IF(G3765&lt;0,1,0)</f>
        <v>0</v>
      </c>
      <c r="N3765" s="2" t="str">
        <f aca="false">_xlfn.IFS(B3765&lt;30,"Under 30",B3765&lt;40,"30-39",B3765&lt;50,"40-49",B3765&lt;60,"50-59",TRUE(),"60+")</f>
        <v>30-39</v>
      </c>
      <c r="O3765" s="2" t="str">
        <f aca="false">_xlfn.IFS(G3765&lt;0,"1 Negative",G3765=0,"2 Zero",G3765&lt;=500,"3 1-500",G3765&lt;=2000,"4 501-2000",TRUE(),"5 Above 2000")</f>
        <v>3 1-500</v>
      </c>
      <c r="P3765" s="2" t="n">
        <f aca="false">Lookups!$B$2*M3765+Lookups!$B$3*L3765</f>
        <v>1</v>
      </c>
      <c r="Q3765" s="2" t="str">
        <f aca="false">INDEX(Lookups!$E$2:$E$5,MATCH(P3765,Lookups!$D$2:$D$5,0))</f>
        <v>Medium</v>
      </c>
    </row>
    <row r="3766" customFormat="false" ht="15" hidden="false" customHeight="false" outlineLevel="0" collapsed="false">
      <c r="A3766" s="3" t="n">
        <v>3765</v>
      </c>
      <c r="B3766" s="3" t="n">
        <f aca="false">Raw_Data!A3766</f>
        <v>31</v>
      </c>
      <c r="C3766" s="3" t="str">
        <f aca="false">SUBSTITUTE(Raw_Data!B3766,".","")</f>
        <v>unemployed</v>
      </c>
      <c r="D3766" s="3" t="str">
        <f aca="false">Raw_Data!C3766</f>
        <v>married</v>
      </c>
      <c r="E3766" s="3" t="str">
        <f aca="false">Raw_Data!D3766</f>
        <v>secondary</v>
      </c>
      <c r="F3766" s="3" t="str">
        <f aca="false">Raw_Data!E3766</f>
        <v>no</v>
      </c>
      <c r="G3766" s="3" t="n">
        <f aca="false">Raw_Data!F3766</f>
        <v>24</v>
      </c>
      <c r="H3766" s="3" t="str">
        <f aca="false">Raw_Data!G3766</f>
        <v>yes</v>
      </c>
      <c r="I3766" s="3" t="str">
        <f aca="false">Raw_Data!H3766</f>
        <v>no</v>
      </c>
      <c r="J3766" s="2" t="n">
        <f aca="false">IF(F3766="yes",1,0)</f>
        <v>0</v>
      </c>
      <c r="K3766" s="2" t="n">
        <f aca="false">IF(H3766="yes",1,0)</f>
        <v>1</v>
      </c>
      <c r="L3766" s="2" t="n">
        <f aca="false">IF(I3766="yes",1,0)</f>
        <v>0</v>
      </c>
      <c r="M3766" s="2" t="n">
        <f aca="false">IF(G3766&lt;0,1,0)</f>
        <v>0</v>
      </c>
      <c r="N3766" s="2" t="str">
        <f aca="false">_xlfn.IFS(B3766&lt;30,"Under 30",B3766&lt;40,"30-39",B3766&lt;50,"40-49",B3766&lt;60,"50-59",TRUE(),"60+")</f>
        <v>30-39</v>
      </c>
      <c r="O3766" s="2" t="str">
        <f aca="false">_xlfn.IFS(G3766&lt;0,"1 Negative",G3766=0,"2 Zero",G3766&lt;=500,"3 1-500",G3766&lt;=2000,"4 501-2000",TRUE(),"5 Above 2000")</f>
        <v>3 1-500</v>
      </c>
      <c r="P3766" s="2" t="n">
        <f aca="false">Lookups!$B$2*M3766+Lookups!$B$3*L3766</f>
        <v>0</v>
      </c>
      <c r="Q3766" s="2" t="str">
        <f aca="false">INDEX(Lookups!$E$2:$E$5,MATCH(P3766,Lookups!$D$2:$D$5,0))</f>
        <v>Low</v>
      </c>
    </row>
    <row r="3767" customFormat="false" ht="15" hidden="false" customHeight="false" outlineLevel="0" collapsed="false">
      <c r="A3767" s="3" t="n">
        <v>3766</v>
      </c>
      <c r="B3767" s="3" t="n">
        <f aca="false">Raw_Data!A3767</f>
        <v>55</v>
      </c>
      <c r="C3767" s="3" t="str">
        <f aca="false">SUBSTITUTE(Raw_Data!B3767,".","")</f>
        <v>technician</v>
      </c>
      <c r="D3767" s="3" t="str">
        <f aca="false">Raw_Data!C3767</f>
        <v>divorced</v>
      </c>
      <c r="E3767" s="3" t="str">
        <f aca="false">Raw_Data!D3767</f>
        <v>secondary</v>
      </c>
      <c r="F3767" s="3" t="str">
        <f aca="false">Raw_Data!E3767</f>
        <v>no</v>
      </c>
      <c r="G3767" s="3" t="n">
        <f aca="false">Raw_Data!F3767</f>
        <v>3450</v>
      </c>
      <c r="H3767" s="3" t="str">
        <f aca="false">Raw_Data!G3767</f>
        <v>no</v>
      </c>
      <c r="I3767" s="3" t="str">
        <f aca="false">Raw_Data!H3767</f>
        <v>no</v>
      </c>
      <c r="J3767" s="2" t="n">
        <f aca="false">IF(F3767="yes",1,0)</f>
        <v>0</v>
      </c>
      <c r="K3767" s="2" t="n">
        <f aca="false">IF(H3767="yes",1,0)</f>
        <v>0</v>
      </c>
      <c r="L3767" s="2" t="n">
        <f aca="false">IF(I3767="yes",1,0)</f>
        <v>0</v>
      </c>
      <c r="M3767" s="2" t="n">
        <f aca="false">IF(G3767&lt;0,1,0)</f>
        <v>0</v>
      </c>
      <c r="N3767" s="2" t="str">
        <f aca="false">_xlfn.IFS(B3767&lt;30,"Under 30",B3767&lt;40,"30-39",B3767&lt;50,"40-49",B3767&lt;60,"50-59",TRUE(),"60+")</f>
        <v>50-59</v>
      </c>
      <c r="O3767" s="2" t="str">
        <f aca="false">_xlfn.IFS(G3767&lt;0,"1 Negative",G3767=0,"2 Zero",G3767&lt;=500,"3 1-500",G3767&lt;=2000,"4 501-2000",TRUE(),"5 Above 2000")</f>
        <v>5 Above 2000</v>
      </c>
      <c r="P3767" s="2" t="n">
        <f aca="false">Lookups!$B$2*M3767+Lookups!$B$3*L3767</f>
        <v>0</v>
      </c>
      <c r="Q3767" s="2" t="str">
        <f aca="false">INDEX(Lookups!$E$2:$E$5,MATCH(P3767,Lookups!$D$2:$D$5,0))</f>
        <v>Low</v>
      </c>
    </row>
    <row r="3768" customFormat="false" ht="15" hidden="false" customHeight="false" outlineLevel="0" collapsed="false">
      <c r="A3768" s="3" t="n">
        <v>3767</v>
      </c>
      <c r="B3768" s="3" t="n">
        <f aca="false">Raw_Data!A3768</f>
        <v>38</v>
      </c>
      <c r="C3768" s="3" t="str">
        <f aca="false">SUBSTITUTE(Raw_Data!B3768,".","")</f>
        <v>technician</v>
      </c>
      <c r="D3768" s="3" t="str">
        <f aca="false">Raw_Data!C3768</f>
        <v>single</v>
      </c>
      <c r="E3768" s="3" t="str">
        <f aca="false">Raw_Data!D3768</f>
        <v>secondary</v>
      </c>
      <c r="F3768" s="3" t="str">
        <f aca="false">Raw_Data!E3768</f>
        <v>no</v>
      </c>
      <c r="G3768" s="3" t="n">
        <f aca="false">Raw_Data!F3768</f>
        <v>311</v>
      </c>
      <c r="H3768" s="3" t="str">
        <f aca="false">Raw_Data!G3768</f>
        <v>yes</v>
      </c>
      <c r="I3768" s="3" t="str">
        <f aca="false">Raw_Data!H3768</f>
        <v>no</v>
      </c>
      <c r="J3768" s="2" t="n">
        <f aca="false">IF(F3768="yes",1,0)</f>
        <v>0</v>
      </c>
      <c r="K3768" s="2" t="n">
        <f aca="false">IF(H3768="yes",1,0)</f>
        <v>1</v>
      </c>
      <c r="L3768" s="2" t="n">
        <f aca="false">IF(I3768="yes",1,0)</f>
        <v>0</v>
      </c>
      <c r="M3768" s="2" t="n">
        <f aca="false">IF(G3768&lt;0,1,0)</f>
        <v>0</v>
      </c>
      <c r="N3768" s="2" t="str">
        <f aca="false">_xlfn.IFS(B3768&lt;30,"Under 30",B3768&lt;40,"30-39",B3768&lt;50,"40-49",B3768&lt;60,"50-59",TRUE(),"60+")</f>
        <v>30-39</v>
      </c>
      <c r="O3768" s="2" t="str">
        <f aca="false">_xlfn.IFS(G3768&lt;0,"1 Negative",G3768=0,"2 Zero",G3768&lt;=500,"3 1-500",G3768&lt;=2000,"4 501-2000",TRUE(),"5 Above 2000")</f>
        <v>3 1-500</v>
      </c>
      <c r="P3768" s="2" t="n">
        <f aca="false">Lookups!$B$2*M3768+Lookups!$B$3*L3768</f>
        <v>0</v>
      </c>
      <c r="Q3768" s="2" t="str">
        <f aca="false">INDEX(Lookups!$E$2:$E$5,MATCH(P3768,Lookups!$D$2:$D$5,0))</f>
        <v>Low</v>
      </c>
    </row>
    <row r="3769" customFormat="false" ht="15" hidden="false" customHeight="false" outlineLevel="0" collapsed="false">
      <c r="A3769" s="3" t="n">
        <v>3768</v>
      </c>
      <c r="B3769" s="3" t="n">
        <f aca="false">Raw_Data!A3769</f>
        <v>55</v>
      </c>
      <c r="C3769" s="3" t="str">
        <f aca="false">SUBSTITUTE(Raw_Data!B3769,".","")</f>
        <v>housemaid</v>
      </c>
      <c r="D3769" s="3" t="str">
        <f aca="false">Raw_Data!C3769</f>
        <v>married</v>
      </c>
      <c r="E3769" s="3" t="str">
        <f aca="false">Raw_Data!D3769</f>
        <v>secondary</v>
      </c>
      <c r="F3769" s="3" t="str">
        <f aca="false">Raw_Data!E3769</f>
        <v>no</v>
      </c>
      <c r="G3769" s="3" t="n">
        <f aca="false">Raw_Data!F3769</f>
        <v>139</v>
      </c>
      <c r="H3769" s="3" t="str">
        <f aca="false">Raw_Data!G3769</f>
        <v>no</v>
      </c>
      <c r="I3769" s="3" t="str">
        <f aca="false">Raw_Data!H3769</f>
        <v>no</v>
      </c>
      <c r="J3769" s="2" t="n">
        <f aca="false">IF(F3769="yes",1,0)</f>
        <v>0</v>
      </c>
      <c r="K3769" s="2" t="n">
        <f aca="false">IF(H3769="yes",1,0)</f>
        <v>0</v>
      </c>
      <c r="L3769" s="2" t="n">
        <f aca="false">IF(I3769="yes",1,0)</f>
        <v>0</v>
      </c>
      <c r="M3769" s="2" t="n">
        <f aca="false">IF(G3769&lt;0,1,0)</f>
        <v>0</v>
      </c>
      <c r="N3769" s="2" t="str">
        <f aca="false">_xlfn.IFS(B3769&lt;30,"Under 30",B3769&lt;40,"30-39",B3769&lt;50,"40-49",B3769&lt;60,"50-59",TRUE(),"60+")</f>
        <v>50-59</v>
      </c>
      <c r="O3769" s="2" t="str">
        <f aca="false">_xlfn.IFS(G3769&lt;0,"1 Negative",G3769=0,"2 Zero",G3769&lt;=500,"3 1-500",G3769&lt;=2000,"4 501-2000",TRUE(),"5 Above 2000")</f>
        <v>3 1-500</v>
      </c>
      <c r="P3769" s="2" t="n">
        <f aca="false">Lookups!$B$2*M3769+Lookups!$B$3*L3769</f>
        <v>0</v>
      </c>
      <c r="Q3769" s="2" t="str">
        <f aca="false">INDEX(Lookups!$E$2:$E$5,MATCH(P3769,Lookups!$D$2:$D$5,0))</f>
        <v>Low</v>
      </c>
    </row>
    <row r="3770" customFormat="false" ht="15" hidden="false" customHeight="false" outlineLevel="0" collapsed="false">
      <c r="A3770" s="3" t="n">
        <v>3769</v>
      </c>
      <c r="B3770" s="3" t="n">
        <f aca="false">Raw_Data!A3770</f>
        <v>47</v>
      </c>
      <c r="C3770" s="3" t="str">
        <f aca="false">SUBSTITUTE(Raw_Data!B3770,".","")</f>
        <v>management</v>
      </c>
      <c r="D3770" s="3" t="str">
        <f aca="false">Raw_Data!C3770</f>
        <v>single</v>
      </c>
      <c r="E3770" s="3" t="str">
        <f aca="false">Raw_Data!D3770</f>
        <v>tertiary</v>
      </c>
      <c r="F3770" s="3" t="str">
        <f aca="false">Raw_Data!E3770</f>
        <v>no</v>
      </c>
      <c r="G3770" s="3" t="n">
        <f aca="false">Raw_Data!F3770</f>
        <v>0</v>
      </c>
      <c r="H3770" s="3" t="str">
        <f aca="false">Raw_Data!G3770</f>
        <v>no</v>
      </c>
      <c r="I3770" s="3" t="str">
        <f aca="false">Raw_Data!H3770</f>
        <v>no</v>
      </c>
      <c r="J3770" s="2" t="n">
        <f aca="false">IF(F3770="yes",1,0)</f>
        <v>0</v>
      </c>
      <c r="K3770" s="2" t="n">
        <f aca="false">IF(H3770="yes",1,0)</f>
        <v>0</v>
      </c>
      <c r="L3770" s="2" t="n">
        <f aca="false">IF(I3770="yes",1,0)</f>
        <v>0</v>
      </c>
      <c r="M3770" s="2" t="n">
        <f aca="false">IF(G3770&lt;0,1,0)</f>
        <v>0</v>
      </c>
      <c r="N3770" s="2" t="str">
        <f aca="false">_xlfn.IFS(B3770&lt;30,"Under 30",B3770&lt;40,"30-39",B3770&lt;50,"40-49",B3770&lt;60,"50-59",TRUE(),"60+")</f>
        <v>40-49</v>
      </c>
      <c r="O3770" s="2" t="str">
        <f aca="false">_xlfn.IFS(G3770&lt;0,"1 Negative",G3770=0,"2 Zero",G3770&lt;=500,"3 1-500",G3770&lt;=2000,"4 501-2000",TRUE(),"5 Above 2000")</f>
        <v>2 Zero</v>
      </c>
      <c r="P3770" s="2" t="n">
        <f aca="false">Lookups!$B$2*M3770+Lookups!$B$3*L3770</f>
        <v>0</v>
      </c>
      <c r="Q3770" s="2" t="str">
        <f aca="false">INDEX(Lookups!$E$2:$E$5,MATCH(P3770,Lookups!$D$2:$D$5,0))</f>
        <v>Low</v>
      </c>
    </row>
    <row r="3771" customFormat="false" ht="15" hidden="false" customHeight="false" outlineLevel="0" collapsed="false">
      <c r="A3771" s="3" t="n">
        <v>3770</v>
      </c>
      <c r="B3771" s="3" t="n">
        <f aca="false">Raw_Data!A3771</f>
        <v>51</v>
      </c>
      <c r="C3771" s="3" t="str">
        <f aca="false">SUBSTITUTE(Raw_Data!B3771,".","")</f>
        <v>housemaid</v>
      </c>
      <c r="D3771" s="3" t="str">
        <f aca="false">Raw_Data!C3771</f>
        <v>married</v>
      </c>
      <c r="E3771" s="3" t="str">
        <f aca="false">Raw_Data!D3771</f>
        <v>primary</v>
      </c>
      <c r="F3771" s="3" t="str">
        <f aca="false">Raw_Data!E3771</f>
        <v>no</v>
      </c>
      <c r="G3771" s="3" t="n">
        <f aca="false">Raw_Data!F3771</f>
        <v>492</v>
      </c>
      <c r="H3771" s="3" t="str">
        <f aca="false">Raw_Data!G3771</f>
        <v>yes</v>
      </c>
      <c r="I3771" s="3" t="str">
        <f aca="false">Raw_Data!H3771</f>
        <v>no</v>
      </c>
      <c r="J3771" s="2" t="n">
        <f aca="false">IF(F3771="yes",1,0)</f>
        <v>0</v>
      </c>
      <c r="K3771" s="2" t="n">
        <f aca="false">IF(H3771="yes",1,0)</f>
        <v>1</v>
      </c>
      <c r="L3771" s="2" t="n">
        <f aca="false">IF(I3771="yes",1,0)</f>
        <v>0</v>
      </c>
      <c r="M3771" s="2" t="n">
        <f aca="false">IF(G3771&lt;0,1,0)</f>
        <v>0</v>
      </c>
      <c r="N3771" s="2" t="str">
        <f aca="false">_xlfn.IFS(B3771&lt;30,"Under 30",B3771&lt;40,"30-39",B3771&lt;50,"40-49",B3771&lt;60,"50-59",TRUE(),"60+")</f>
        <v>50-59</v>
      </c>
      <c r="O3771" s="2" t="str">
        <f aca="false">_xlfn.IFS(G3771&lt;0,"1 Negative",G3771=0,"2 Zero",G3771&lt;=500,"3 1-500",G3771&lt;=2000,"4 501-2000",TRUE(),"5 Above 2000")</f>
        <v>3 1-500</v>
      </c>
      <c r="P3771" s="2" t="n">
        <f aca="false">Lookups!$B$2*M3771+Lookups!$B$3*L3771</f>
        <v>0</v>
      </c>
      <c r="Q3771" s="2" t="str">
        <f aca="false">INDEX(Lookups!$E$2:$E$5,MATCH(P3771,Lookups!$D$2:$D$5,0))</f>
        <v>Low</v>
      </c>
    </row>
    <row r="3772" customFormat="false" ht="15" hidden="false" customHeight="false" outlineLevel="0" collapsed="false">
      <c r="A3772" s="3" t="n">
        <v>3771</v>
      </c>
      <c r="B3772" s="3" t="n">
        <f aca="false">Raw_Data!A3772</f>
        <v>46</v>
      </c>
      <c r="C3772" s="3" t="str">
        <f aca="false">SUBSTITUTE(Raw_Data!B3772,".","")</f>
        <v>management</v>
      </c>
      <c r="D3772" s="3" t="str">
        <f aca="false">Raw_Data!C3772</f>
        <v>single</v>
      </c>
      <c r="E3772" s="3" t="str">
        <f aca="false">Raw_Data!D3772</f>
        <v>tertiary</v>
      </c>
      <c r="F3772" s="3" t="str">
        <f aca="false">Raw_Data!E3772</f>
        <v>no</v>
      </c>
      <c r="G3772" s="3" t="n">
        <f aca="false">Raw_Data!F3772</f>
        <v>334</v>
      </c>
      <c r="H3772" s="3" t="str">
        <f aca="false">Raw_Data!G3772</f>
        <v>yes</v>
      </c>
      <c r="I3772" s="3" t="str">
        <f aca="false">Raw_Data!H3772</f>
        <v>no</v>
      </c>
      <c r="J3772" s="2" t="n">
        <f aca="false">IF(F3772="yes",1,0)</f>
        <v>0</v>
      </c>
      <c r="K3772" s="2" t="n">
        <f aca="false">IF(H3772="yes",1,0)</f>
        <v>1</v>
      </c>
      <c r="L3772" s="2" t="n">
        <f aca="false">IF(I3772="yes",1,0)</f>
        <v>0</v>
      </c>
      <c r="M3772" s="2" t="n">
        <f aca="false">IF(G3772&lt;0,1,0)</f>
        <v>0</v>
      </c>
      <c r="N3772" s="2" t="str">
        <f aca="false">_xlfn.IFS(B3772&lt;30,"Under 30",B3772&lt;40,"30-39",B3772&lt;50,"40-49",B3772&lt;60,"50-59",TRUE(),"60+")</f>
        <v>40-49</v>
      </c>
      <c r="O3772" s="2" t="str">
        <f aca="false">_xlfn.IFS(G3772&lt;0,"1 Negative",G3772=0,"2 Zero",G3772&lt;=500,"3 1-500",G3772&lt;=2000,"4 501-2000",TRUE(),"5 Above 2000")</f>
        <v>3 1-500</v>
      </c>
      <c r="P3772" s="2" t="n">
        <f aca="false">Lookups!$B$2*M3772+Lookups!$B$3*L3772</f>
        <v>0</v>
      </c>
      <c r="Q3772" s="2" t="str">
        <f aca="false">INDEX(Lookups!$E$2:$E$5,MATCH(P3772,Lookups!$D$2:$D$5,0))</f>
        <v>Low</v>
      </c>
    </row>
    <row r="3773" customFormat="false" ht="15" hidden="false" customHeight="false" outlineLevel="0" collapsed="false">
      <c r="A3773" s="3" t="n">
        <v>3772</v>
      </c>
      <c r="B3773" s="3" t="n">
        <f aca="false">Raw_Data!A3773</f>
        <v>61</v>
      </c>
      <c r="C3773" s="3" t="str">
        <f aca="false">SUBSTITUTE(Raw_Data!B3773,".","")</f>
        <v>management</v>
      </c>
      <c r="D3773" s="3" t="str">
        <f aca="false">Raw_Data!C3773</f>
        <v>married</v>
      </c>
      <c r="E3773" s="3" t="str">
        <f aca="false">Raw_Data!D3773</f>
        <v>tertiary</v>
      </c>
      <c r="F3773" s="3" t="str">
        <f aca="false">Raw_Data!E3773</f>
        <v>no</v>
      </c>
      <c r="G3773" s="3" t="n">
        <f aca="false">Raw_Data!F3773</f>
        <v>997</v>
      </c>
      <c r="H3773" s="3" t="str">
        <f aca="false">Raw_Data!G3773</f>
        <v>no</v>
      </c>
      <c r="I3773" s="3" t="str">
        <f aca="false">Raw_Data!H3773</f>
        <v>no</v>
      </c>
      <c r="J3773" s="2" t="n">
        <f aca="false">IF(F3773="yes",1,0)</f>
        <v>0</v>
      </c>
      <c r="K3773" s="2" t="n">
        <f aca="false">IF(H3773="yes",1,0)</f>
        <v>0</v>
      </c>
      <c r="L3773" s="2" t="n">
        <f aca="false">IF(I3773="yes",1,0)</f>
        <v>0</v>
      </c>
      <c r="M3773" s="2" t="n">
        <f aca="false">IF(G3773&lt;0,1,0)</f>
        <v>0</v>
      </c>
      <c r="N3773" s="2" t="str">
        <f aca="false">_xlfn.IFS(B3773&lt;30,"Under 30",B3773&lt;40,"30-39",B3773&lt;50,"40-49",B3773&lt;60,"50-59",TRUE(),"60+")</f>
        <v>60+</v>
      </c>
      <c r="O3773" s="2" t="str">
        <f aca="false">_xlfn.IFS(G3773&lt;0,"1 Negative",G3773=0,"2 Zero",G3773&lt;=500,"3 1-500",G3773&lt;=2000,"4 501-2000",TRUE(),"5 Above 2000")</f>
        <v>4 501-2000</v>
      </c>
      <c r="P3773" s="2" t="n">
        <f aca="false">Lookups!$B$2*M3773+Lookups!$B$3*L3773</f>
        <v>0</v>
      </c>
      <c r="Q3773" s="2" t="str">
        <f aca="false">INDEX(Lookups!$E$2:$E$5,MATCH(P3773,Lookups!$D$2:$D$5,0))</f>
        <v>Low</v>
      </c>
    </row>
    <row r="3774" customFormat="false" ht="15" hidden="false" customHeight="false" outlineLevel="0" collapsed="false">
      <c r="A3774" s="3" t="n">
        <v>3773</v>
      </c>
      <c r="B3774" s="3" t="n">
        <f aca="false">Raw_Data!A3774</f>
        <v>47</v>
      </c>
      <c r="C3774" s="3" t="str">
        <f aca="false">SUBSTITUTE(Raw_Data!B3774,".","")</f>
        <v>management</v>
      </c>
      <c r="D3774" s="3" t="str">
        <f aca="false">Raw_Data!C3774</f>
        <v>single</v>
      </c>
      <c r="E3774" s="3" t="str">
        <f aca="false">Raw_Data!D3774</f>
        <v>tertiary</v>
      </c>
      <c r="F3774" s="3" t="str">
        <f aca="false">Raw_Data!E3774</f>
        <v>no</v>
      </c>
      <c r="G3774" s="3" t="n">
        <f aca="false">Raw_Data!F3774</f>
        <v>440</v>
      </c>
      <c r="H3774" s="3" t="str">
        <f aca="false">Raw_Data!G3774</f>
        <v>no</v>
      </c>
      <c r="I3774" s="3" t="str">
        <f aca="false">Raw_Data!H3774</f>
        <v>no</v>
      </c>
      <c r="J3774" s="2" t="n">
        <f aca="false">IF(F3774="yes",1,0)</f>
        <v>0</v>
      </c>
      <c r="K3774" s="2" t="n">
        <f aca="false">IF(H3774="yes",1,0)</f>
        <v>0</v>
      </c>
      <c r="L3774" s="2" t="n">
        <f aca="false">IF(I3774="yes",1,0)</f>
        <v>0</v>
      </c>
      <c r="M3774" s="2" t="n">
        <f aca="false">IF(G3774&lt;0,1,0)</f>
        <v>0</v>
      </c>
      <c r="N3774" s="2" t="str">
        <f aca="false">_xlfn.IFS(B3774&lt;30,"Under 30",B3774&lt;40,"30-39",B3774&lt;50,"40-49",B3774&lt;60,"50-59",TRUE(),"60+")</f>
        <v>40-49</v>
      </c>
      <c r="O3774" s="2" t="str">
        <f aca="false">_xlfn.IFS(G3774&lt;0,"1 Negative",G3774=0,"2 Zero",G3774&lt;=500,"3 1-500",G3774&lt;=2000,"4 501-2000",TRUE(),"5 Above 2000")</f>
        <v>3 1-500</v>
      </c>
      <c r="P3774" s="2" t="n">
        <f aca="false">Lookups!$B$2*M3774+Lookups!$B$3*L3774</f>
        <v>0</v>
      </c>
      <c r="Q3774" s="2" t="str">
        <f aca="false">INDEX(Lookups!$E$2:$E$5,MATCH(P3774,Lookups!$D$2:$D$5,0))</f>
        <v>Low</v>
      </c>
    </row>
    <row r="3775" customFormat="false" ht="15" hidden="false" customHeight="false" outlineLevel="0" collapsed="false">
      <c r="A3775" s="3" t="n">
        <v>3774</v>
      </c>
      <c r="B3775" s="3" t="n">
        <f aca="false">Raw_Data!A3775</f>
        <v>34</v>
      </c>
      <c r="C3775" s="3" t="str">
        <f aca="false">SUBSTITUTE(Raw_Data!B3775,".","")</f>
        <v>technician</v>
      </c>
      <c r="D3775" s="3" t="str">
        <f aca="false">Raw_Data!C3775</f>
        <v>married</v>
      </c>
      <c r="E3775" s="3" t="str">
        <f aca="false">Raw_Data!D3775</f>
        <v>secondary</v>
      </c>
      <c r="F3775" s="3" t="str">
        <f aca="false">Raw_Data!E3775</f>
        <v>no</v>
      </c>
      <c r="G3775" s="3" t="n">
        <f aca="false">Raw_Data!F3775</f>
        <v>47</v>
      </c>
      <c r="H3775" s="3" t="str">
        <f aca="false">Raw_Data!G3775</f>
        <v>no</v>
      </c>
      <c r="I3775" s="3" t="str">
        <f aca="false">Raw_Data!H3775</f>
        <v>no</v>
      </c>
      <c r="J3775" s="2" t="n">
        <f aca="false">IF(F3775="yes",1,0)</f>
        <v>0</v>
      </c>
      <c r="K3775" s="2" t="n">
        <f aca="false">IF(H3775="yes",1,0)</f>
        <v>0</v>
      </c>
      <c r="L3775" s="2" t="n">
        <f aca="false">IF(I3775="yes",1,0)</f>
        <v>0</v>
      </c>
      <c r="M3775" s="2" t="n">
        <f aca="false">IF(G3775&lt;0,1,0)</f>
        <v>0</v>
      </c>
      <c r="N3775" s="2" t="str">
        <f aca="false">_xlfn.IFS(B3775&lt;30,"Under 30",B3775&lt;40,"30-39",B3775&lt;50,"40-49",B3775&lt;60,"50-59",TRUE(),"60+")</f>
        <v>30-39</v>
      </c>
      <c r="O3775" s="2" t="str">
        <f aca="false">_xlfn.IFS(G3775&lt;0,"1 Negative",G3775=0,"2 Zero",G3775&lt;=500,"3 1-500",G3775&lt;=2000,"4 501-2000",TRUE(),"5 Above 2000")</f>
        <v>3 1-500</v>
      </c>
      <c r="P3775" s="2" t="n">
        <f aca="false">Lookups!$B$2*M3775+Lookups!$B$3*L3775</f>
        <v>0</v>
      </c>
      <c r="Q3775" s="2" t="str">
        <f aca="false">INDEX(Lookups!$E$2:$E$5,MATCH(P3775,Lookups!$D$2:$D$5,0))</f>
        <v>Low</v>
      </c>
    </row>
    <row r="3776" customFormat="false" ht="15" hidden="false" customHeight="false" outlineLevel="0" collapsed="false">
      <c r="A3776" s="3" t="n">
        <v>3775</v>
      </c>
      <c r="B3776" s="3" t="n">
        <f aca="false">Raw_Data!A3776</f>
        <v>34</v>
      </c>
      <c r="C3776" s="3" t="str">
        <f aca="false">SUBSTITUTE(Raw_Data!B3776,".","")</f>
        <v>blue-collar</v>
      </c>
      <c r="D3776" s="3" t="str">
        <f aca="false">Raw_Data!C3776</f>
        <v>married</v>
      </c>
      <c r="E3776" s="3" t="str">
        <f aca="false">Raw_Data!D3776</f>
        <v>secondary</v>
      </c>
      <c r="F3776" s="3" t="str">
        <f aca="false">Raw_Data!E3776</f>
        <v>no</v>
      </c>
      <c r="G3776" s="3" t="n">
        <f aca="false">Raw_Data!F3776</f>
        <v>1298</v>
      </c>
      <c r="H3776" s="3" t="str">
        <f aca="false">Raw_Data!G3776</f>
        <v>yes</v>
      </c>
      <c r="I3776" s="3" t="str">
        <f aca="false">Raw_Data!H3776</f>
        <v>no</v>
      </c>
      <c r="J3776" s="2" t="n">
        <f aca="false">IF(F3776="yes",1,0)</f>
        <v>0</v>
      </c>
      <c r="K3776" s="2" t="n">
        <f aca="false">IF(H3776="yes",1,0)</f>
        <v>1</v>
      </c>
      <c r="L3776" s="2" t="n">
        <f aca="false">IF(I3776="yes",1,0)</f>
        <v>0</v>
      </c>
      <c r="M3776" s="2" t="n">
        <f aca="false">IF(G3776&lt;0,1,0)</f>
        <v>0</v>
      </c>
      <c r="N3776" s="2" t="str">
        <f aca="false">_xlfn.IFS(B3776&lt;30,"Under 30",B3776&lt;40,"30-39",B3776&lt;50,"40-49",B3776&lt;60,"50-59",TRUE(),"60+")</f>
        <v>30-39</v>
      </c>
      <c r="O3776" s="2" t="str">
        <f aca="false">_xlfn.IFS(G3776&lt;0,"1 Negative",G3776=0,"2 Zero",G3776&lt;=500,"3 1-500",G3776&lt;=2000,"4 501-2000",TRUE(),"5 Above 2000")</f>
        <v>4 501-2000</v>
      </c>
      <c r="P3776" s="2" t="n">
        <f aca="false">Lookups!$B$2*M3776+Lookups!$B$3*L3776</f>
        <v>0</v>
      </c>
      <c r="Q3776" s="2" t="str">
        <f aca="false">INDEX(Lookups!$E$2:$E$5,MATCH(P3776,Lookups!$D$2:$D$5,0))</f>
        <v>Low</v>
      </c>
    </row>
    <row r="3777" customFormat="false" ht="15" hidden="false" customHeight="false" outlineLevel="0" collapsed="false">
      <c r="A3777" s="3" t="n">
        <v>3776</v>
      </c>
      <c r="B3777" s="3" t="n">
        <f aca="false">Raw_Data!A3777</f>
        <v>41</v>
      </c>
      <c r="C3777" s="3" t="str">
        <f aca="false">SUBSTITUTE(Raw_Data!B3777,".","")</f>
        <v>management</v>
      </c>
      <c r="D3777" s="3" t="str">
        <f aca="false">Raw_Data!C3777</f>
        <v>divorced</v>
      </c>
      <c r="E3777" s="3" t="str">
        <f aca="false">Raw_Data!D3777</f>
        <v>tertiary</v>
      </c>
      <c r="F3777" s="3" t="str">
        <f aca="false">Raw_Data!E3777</f>
        <v>no</v>
      </c>
      <c r="G3777" s="3" t="n">
        <f aca="false">Raw_Data!F3777</f>
        <v>3355</v>
      </c>
      <c r="H3777" s="3" t="str">
        <f aca="false">Raw_Data!G3777</f>
        <v>no</v>
      </c>
      <c r="I3777" s="3" t="str">
        <f aca="false">Raw_Data!H3777</f>
        <v>no</v>
      </c>
      <c r="J3777" s="2" t="n">
        <f aca="false">IF(F3777="yes",1,0)</f>
        <v>0</v>
      </c>
      <c r="K3777" s="2" t="n">
        <f aca="false">IF(H3777="yes",1,0)</f>
        <v>0</v>
      </c>
      <c r="L3777" s="2" t="n">
        <f aca="false">IF(I3777="yes",1,0)</f>
        <v>0</v>
      </c>
      <c r="M3777" s="2" t="n">
        <f aca="false">IF(G3777&lt;0,1,0)</f>
        <v>0</v>
      </c>
      <c r="N3777" s="2" t="str">
        <f aca="false">_xlfn.IFS(B3777&lt;30,"Under 30",B3777&lt;40,"30-39",B3777&lt;50,"40-49",B3777&lt;60,"50-59",TRUE(),"60+")</f>
        <v>40-49</v>
      </c>
      <c r="O3777" s="2" t="str">
        <f aca="false">_xlfn.IFS(G3777&lt;0,"1 Negative",G3777=0,"2 Zero",G3777&lt;=500,"3 1-500",G3777&lt;=2000,"4 501-2000",TRUE(),"5 Above 2000")</f>
        <v>5 Above 2000</v>
      </c>
      <c r="P3777" s="2" t="n">
        <f aca="false">Lookups!$B$2*M3777+Lookups!$B$3*L3777</f>
        <v>0</v>
      </c>
      <c r="Q3777" s="2" t="str">
        <f aca="false">INDEX(Lookups!$E$2:$E$5,MATCH(P3777,Lookups!$D$2:$D$5,0))</f>
        <v>Low</v>
      </c>
    </row>
    <row r="3778" customFormat="false" ht="15" hidden="false" customHeight="false" outlineLevel="0" collapsed="false">
      <c r="A3778" s="3" t="n">
        <v>3777</v>
      </c>
      <c r="B3778" s="3" t="n">
        <f aca="false">Raw_Data!A3778</f>
        <v>36</v>
      </c>
      <c r="C3778" s="3" t="str">
        <f aca="false">SUBSTITUTE(Raw_Data!B3778,".","")</f>
        <v>blue-collar</v>
      </c>
      <c r="D3778" s="3" t="str">
        <f aca="false">Raw_Data!C3778</f>
        <v>divorced</v>
      </c>
      <c r="E3778" s="3" t="str">
        <f aca="false">Raw_Data!D3778</f>
        <v>secondary</v>
      </c>
      <c r="F3778" s="3" t="str">
        <f aca="false">Raw_Data!E3778</f>
        <v>no</v>
      </c>
      <c r="G3778" s="3" t="n">
        <f aca="false">Raw_Data!F3778</f>
        <v>-11</v>
      </c>
      <c r="H3778" s="3" t="str">
        <f aca="false">Raw_Data!G3778</f>
        <v>no</v>
      </c>
      <c r="I3778" s="3" t="str">
        <f aca="false">Raw_Data!H3778</f>
        <v>no</v>
      </c>
      <c r="J3778" s="2" t="n">
        <f aca="false">IF(F3778="yes",1,0)</f>
        <v>0</v>
      </c>
      <c r="K3778" s="2" t="n">
        <f aca="false">IF(H3778="yes",1,0)</f>
        <v>0</v>
      </c>
      <c r="L3778" s="2" t="n">
        <f aca="false">IF(I3778="yes",1,0)</f>
        <v>0</v>
      </c>
      <c r="M3778" s="2" t="n">
        <f aca="false">IF(G3778&lt;0,1,0)</f>
        <v>1</v>
      </c>
      <c r="N3778" s="2" t="str">
        <f aca="false">_xlfn.IFS(B3778&lt;30,"Under 30",B3778&lt;40,"30-39",B3778&lt;50,"40-49",B3778&lt;60,"50-59",TRUE(),"60+")</f>
        <v>30-39</v>
      </c>
      <c r="O3778" s="2" t="str">
        <f aca="false">_xlfn.IFS(G3778&lt;0,"1 Negative",G3778=0,"2 Zero",G3778&lt;=500,"3 1-500",G3778&lt;=2000,"4 501-2000",TRUE(),"5 Above 2000")</f>
        <v>1 Negative</v>
      </c>
      <c r="P3778" s="2" t="n">
        <f aca="false">Lookups!$B$2*M3778+Lookups!$B$3*L3778</f>
        <v>2</v>
      </c>
      <c r="Q3778" s="2" t="str">
        <f aca="false">INDEX(Lookups!$E$2:$E$5,MATCH(P3778,Lookups!$D$2:$D$5,0))</f>
        <v>High</v>
      </c>
    </row>
    <row r="3779" customFormat="false" ht="15" hidden="false" customHeight="false" outlineLevel="0" collapsed="false">
      <c r="A3779" s="3" t="n">
        <v>3778</v>
      </c>
      <c r="B3779" s="3" t="n">
        <f aca="false">Raw_Data!A3779</f>
        <v>26</v>
      </c>
      <c r="C3779" s="3" t="str">
        <f aca="false">SUBSTITUTE(Raw_Data!B3779,".","")</f>
        <v>blue-collar</v>
      </c>
      <c r="D3779" s="3" t="str">
        <f aca="false">Raw_Data!C3779</f>
        <v>single</v>
      </c>
      <c r="E3779" s="3" t="str">
        <f aca="false">Raw_Data!D3779</f>
        <v>secondary</v>
      </c>
      <c r="F3779" s="3" t="str">
        <f aca="false">Raw_Data!E3779</f>
        <v>no</v>
      </c>
      <c r="G3779" s="3" t="n">
        <f aca="false">Raw_Data!F3779</f>
        <v>396</v>
      </c>
      <c r="H3779" s="3" t="str">
        <f aca="false">Raw_Data!G3779</f>
        <v>yes</v>
      </c>
      <c r="I3779" s="3" t="str">
        <f aca="false">Raw_Data!H3779</f>
        <v>no</v>
      </c>
      <c r="J3779" s="2" t="n">
        <f aca="false">IF(F3779="yes",1,0)</f>
        <v>0</v>
      </c>
      <c r="K3779" s="2" t="n">
        <f aca="false">IF(H3779="yes",1,0)</f>
        <v>1</v>
      </c>
      <c r="L3779" s="2" t="n">
        <f aca="false">IF(I3779="yes",1,0)</f>
        <v>0</v>
      </c>
      <c r="M3779" s="2" t="n">
        <f aca="false">IF(G3779&lt;0,1,0)</f>
        <v>0</v>
      </c>
      <c r="N3779" s="2" t="str">
        <f aca="false">_xlfn.IFS(B3779&lt;30,"Under 30",B3779&lt;40,"30-39",B3779&lt;50,"40-49",B3779&lt;60,"50-59",TRUE(),"60+")</f>
        <v>Under 30</v>
      </c>
      <c r="O3779" s="2" t="str">
        <f aca="false">_xlfn.IFS(G3779&lt;0,"1 Negative",G3779=0,"2 Zero",G3779&lt;=500,"3 1-500",G3779&lt;=2000,"4 501-2000",TRUE(),"5 Above 2000")</f>
        <v>3 1-500</v>
      </c>
      <c r="P3779" s="2" t="n">
        <f aca="false">Lookups!$B$2*M3779+Lookups!$B$3*L3779</f>
        <v>0</v>
      </c>
      <c r="Q3779" s="2" t="str">
        <f aca="false">INDEX(Lookups!$E$2:$E$5,MATCH(P3779,Lookups!$D$2:$D$5,0))</f>
        <v>Low</v>
      </c>
    </row>
    <row r="3780" customFormat="false" ht="15" hidden="false" customHeight="false" outlineLevel="0" collapsed="false">
      <c r="A3780" s="3" t="n">
        <v>3779</v>
      </c>
      <c r="B3780" s="3" t="n">
        <f aca="false">Raw_Data!A3780</f>
        <v>35</v>
      </c>
      <c r="C3780" s="3" t="str">
        <f aca="false">SUBSTITUTE(Raw_Data!B3780,".","")</f>
        <v>management</v>
      </c>
      <c r="D3780" s="3" t="str">
        <f aca="false">Raw_Data!C3780</f>
        <v>married</v>
      </c>
      <c r="E3780" s="3" t="str">
        <f aca="false">Raw_Data!D3780</f>
        <v>tertiary</v>
      </c>
      <c r="F3780" s="3" t="str">
        <f aca="false">Raw_Data!E3780</f>
        <v>no</v>
      </c>
      <c r="G3780" s="3" t="n">
        <f aca="false">Raw_Data!F3780</f>
        <v>8</v>
      </c>
      <c r="H3780" s="3" t="str">
        <f aca="false">Raw_Data!G3780</f>
        <v>no</v>
      </c>
      <c r="I3780" s="3" t="str">
        <f aca="false">Raw_Data!H3780</f>
        <v>no</v>
      </c>
      <c r="J3780" s="2" t="n">
        <f aca="false">IF(F3780="yes",1,0)</f>
        <v>0</v>
      </c>
      <c r="K3780" s="2" t="n">
        <f aca="false">IF(H3780="yes",1,0)</f>
        <v>0</v>
      </c>
      <c r="L3780" s="2" t="n">
        <f aca="false">IF(I3780="yes",1,0)</f>
        <v>0</v>
      </c>
      <c r="M3780" s="2" t="n">
        <f aca="false">IF(G3780&lt;0,1,0)</f>
        <v>0</v>
      </c>
      <c r="N3780" s="2" t="str">
        <f aca="false">_xlfn.IFS(B3780&lt;30,"Under 30",B3780&lt;40,"30-39",B3780&lt;50,"40-49",B3780&lt;60,"50-59",TRUE(),"60+")</f>
        <v>30-39</v>
      </c>
      <c r="O3780" s="2" t="str">
        <f aca="false">_xlfn.IFS(G3780&lt;0,"1 Negative",G3780=0,"2 Zero",G3780&lt;=500,"3 1-500",G3780&lt;=2000,"4 501-2000",TRUE(),"5 Above 2000")</f>
        <v>3 1-500</v>
      </c>
      <c r="P3780" s="2" t="n">
        <f aca="false">Lookups!$B$2*M3780+Lookups!$B$3*L3780</f>
        <v>0</v>
      </c>
      <c r="Q3780" s="2" t="str">
        <f aca="false">INDEX(Lookups!$E$2:$E$5,MATCH(P3780,Lookups!$D$2:$D$5,0))</f>
        <v>Low</v>
      </c>
    </row>
    <row r="3781" customFormat="false" ht="15" hidden="false" customHeight="false" outlineLevel="0" collapsed="false">
      <c r="A3781" s="3" t="n">
        <v>3780</v>
      </c>
      <c r="B3781" s="3" t="n">
        <f aca="false">Raw_Data!A3781</f>
        <v>36</v>
      </c>
      <c r="C3781" s="3" t="str">
        <f aca="false">SUBSTITUTE(Raw_Data!B3781,".","")</f>
        <v>blue-collar</v>
      </c>
      <c r="D3781" s="3" t="str">
        <f aca="false">Raw_Data!C3781</f>
        <v>married</v>
      </c>
      <c r="E3781" s="3" t="str">
        <f aca="false">Raw_Data!D3781</f>
        <v>secondary</v>
      </c>
      <c r="F3781" s="3" t="str">
        <f aca="false">Raw_Data!E3781</f>
        <v>no</v>
      </c>
      <c r="G3781" s="3" t="n">
        <f aca="false">Raw_Data!F3781</f>
        <v>1409</v>
      </c>
      <c r="H3781" s="3" t="str">
        <f aca="false">Raw_Data!G3781</f>
        <v>no</v>
      </c>
      <c r="I3781" s="3" t="str">
        <f aca="false">Raw_Data!H3781</f>
        <v>no</v>
      </c>
      <c r="J3781" s="2" t="n">
        <f aca="false">IF(F3781="yes",1,0)</f>
        <v>0</v>
      </c>
      <c r="K3781" s="2" t="n">
        <f aca="false">IF(H3781="yes",1,0)</f>
        <v>0</v>
      </c>
      <c r="L3781" s="2" t="n">
        <f aca="false">IF(I3781="yes",1,0)</f>
        <v>0</v>
      </c>
      <c r="M3781" s="2" t="n">
        <f aca="false">IF(G3781&lt;0,1,0)</f>
        <v>0</v>
      </c>
      <c r="N3781" s="2" t="str">
        <f aca="false">_xlfn.IFS(B3781&lt;30,"Under 30",B3781&lt;40,"30-39",B3781&lt;50,"40-49",B3781&lt;60,"50-59",TRUE(),"60+")</f>
        <v>30-39</v>
      </c>
      <c r="O3781" s="2" t="str">
        <f aca="false">_xlfn.IFS(G3781&lt;0,"1 Negative",G3781=0,"2 Zero",G3781&lt;=500,"3 1-500",G3781&lt;=2000,"4 501-2000",TRUE(),"5 Above 2000")</f>
        <v>4 501-2000</v>
      </c>
      <c r="P3781" s="2" t="n">
        <f aca="false">Lookups!$B$2*M3781+Lookups!$B$3*L3781</f>
        <v>0</v>
      </c>
      <c r="Q3781" s="2" t="str">
        <f aca="false">INDEX(Lookups!$E$2:$E$5,MATCH(P3781,Lookups!$D$2:$D$5,0))</f>
        <v>Low</v>
      </c>
    </row>
    <row r="3782" customFormat="false" ht="15" hidden="false" customHeight="false" outlineLevel="0" collapsed="false">
      <c r="A3782" s="3" t="n">
        <v>3781</v>
      </c>
      <c r="B3782" s="3" t="n">
        <f aca="false">Raw_Data!A3782</f>
        <v>26</v>
      </c>
      <c r="C3782" s="3" t="str">
        <f aca="false">SUBSTITUTE(Raw_Data!B3782,".","")</f>
        <v>management</v>
      </c>
      <c r="D3782" s="3" t="str">
        <f aca="false">Raw_Data!C3782</f>
        <v>single</v>
      </c>
      <c r="E3782" s="3" t="str">
        <f aca="false">Raw_Data!D3782</f>
        <v>tertiary</v>
      </c>
      <c r="F3782" s="3" t="str">
        <f aca="false">Raw_Data!E3782</f>
        <v>no</v>
      </c>
      <c r="G3782" s="3" t="n">
        <f aca="false">Raw_Data!F3782</f>
        <v>170</v>
      </c>
      <c r="H3782" s="3" t="str">
        <f aca="false">Raw_Data!G3782</f>
        <v>no</v>
      </c>
      <c r="I3782" s="3" t="str">
        <f aca="false">Raw_Data!H3782</f>
        <v>no</v>
      </c>
      <c r="J3782" s="2" t="n">
        <f aca="false">IF(F3782="yes",1,0)</f>
        <v>0</v>
      </c>
      <c r="K3782" s="2" t="n">
        <f aca="false">IF(H3782="yes",1,0)</f>
        <v>0</v>
      </c>
      <c r="L3782" s="2" t="n">
        <f aca="false">IF(I3782="yes",1,0)</f>
        <v>0</v>
      </c>
      <c r="M3782" s="2" t="n">
        <f aca="false">IF(G3782&lt;0,1,0)</f>
        <v>0</v>
      </c>
      <c r="N3782" s="2" t="str">
        <f aca="false">_xlfn.IFS(B3782&lt;30,"Under 30",B3782&lt;40,"30-39",B3782&lt;50,"40-49",B3782&lt;60,"50-59",TRUE(),"60+")</f>
        <v>Under 30</v>
      </c>
      <c r="O3782" s="2" t="str">
        <f aca="false">_xlfn.IFS(G3782&lt;0,"1 Negative",G3782=0,"2 Zero",G3782&lt;=500,"3 1-500",G3782&lt;=2000,"4 501-2000",TRUE(),"5 Above 2000")</f>
        <v>3 1-500</v>
      </c>
      <c r="P3782" s="2" t="n">
        <f aca="false">Lookups!$B$2*M3782+Lookups!$B$3*L3782</f>
        <v>0</v>
      </c>
      <c r="Q3782" s="2" t="str">
        <f aca="false">INDEX(Lookups!$E$2:$E$5,MATCH(P3782,Lookups!$D$2:$D$5,0))</f>
        <v>Low</v>
      </c>
    </row>
    <row r="3783" customFormat="false" ht="15" hidden="false" customHeight="false" outlineLevel="0" collapsed="false">
      <c r="A3783" s="3" t="n">
        <v>3782</v>
      </c>
      <c r="B3783" s="3" t="n">
        <f aca="false">Raw_Data!A3783</f>
        <v>58</v>
      </c>
      <c r="C3783" s="3" t="str">
        <f aca="false">SUBSTITUTE(Raw_Data!B3783,".","")</f>
        <v>management</v>
      </c>
      <c r="D3783" s="3" t="str">
        <f aca="false">Raw_Data!C3783</f>
        <v>married</v>
      </c>
      <c r="E3783" s="3" t="str">
        <f aca="false">Raw_Data!D3783</f>
        <v>primary</v>
      </c>
      <c r="F3783" s="3" t="str">
        <f aca="false">Raw_Data!E3783</f>
        <v>no</v>
      </c>
      <c r="G3783" s="3" t="n">
        <f aca="false">Raw_Data!F3783</f>
        <v>2769</v>
      </c>
      <c r="H3783" s="3" t="str">
        <f aca="false">Raw_Data!G3783</f>
        <v>yes</v>
      </c>
      <c r="I3783" s="3" t="str">
        <f aca="false">Raw_Data!H3783</f>
        <v>no</v>
      </c>
      <c r="J3783" s="2" t="n">
        <f aca="false">IF(F3783="yes",1,0)</f>
        <v>0</v>
      </c>
      <c r="K3783" s="2" t="n">
        <f aca="false">IF(H3783="yes",1,0)</f>
        <v>1</v>
      </c>
      <c r="L3783" s="2" t="n">
        <f aca="false">IF(I3783="yes",1,0)</f>
        <v>0</v>
      </c>
      <c r="M3783" s="2" t="n">
        <f aca="false">IF(G3783&lt;0,1,0)</f>
        <v>0</v>
      </c>
      <c r="N3783" s="2" t="str">
        <f aca="false">_xlfn.IFS(B3783&lt;30,"Under 30",B3783&lt;40,"30-39",B3783&lt;50,"40-49",B3783&lt;60,"50-59",TRUE(),"60+")</f>
        <v>50-59</v>
      </c>
      <c r="O3783" s="2" t="str">
        <f aca="false">_xlfn.IFS(G3783&lt;0,"1 Negative",G3783=0,"2 Zero",G3783&lt;=500,"3 1-500",G3783&lt;=2000,"4 501-2000",TRUE(),"5 Above 2000")</f>
        <v>5 Above 2000</v>
      </c>
      <c r="P3783" s="2" t="n">
        <f aca="false">Lookups!$B$2*M3783+Lookups!$B$3*L3783</f>
        <v>0</v>
      </c>
      <c r="Q3783" s="2" t="str">
        <f aca="false">INDEX(Lookups!$E$2:$E$5,MATCH(P3783,Lookups!$D$2:$D$5,0))</f>
        <v>Low</v>
      </c>
    </row>
    <row r="3784" customFormat="false" ht="15" hidden="false" customHeight="false" outlineLevel="0" collapsed="false">
      <c r="A3784" s="3" t="n">
        <v>3783</v>
      </c>
      <c r="B3784" s="3" t="n">
        <f aca="false">Raw_Data!A3784</f>
        <v>50</v>
      </c>
      <c r="C3784" s="3" t="str">
        <f aca="false">SUBSTITUTE(Raw_Data!B3784,".","")</f>
        <v>blue-collar</v>
      </c>
      <c r="D3784" s="3" t="str">
        <f aca="false">Raw_Data!C3784</f>
        <v>married</v>
      </c>
      <c r="E3784" s="3" t="str">
        <f aca="false">Raw_Data!D3784</f>
        <v>secondary</v>
      </c>
      <c r="F3784" s="3" t="str">
        <f aca="false">Raw_Data!E3784</f>
        <v>no</v>
      </c>
      <c r="G3784" s="3" t="n">
        <f aca="false">Raw_Data!F3784</f>
        <v>2320</v>
      </c>
      <c r="H3784" s="3" t="str">
        <f aca="false">Raw_Data!G3784</f>
        <v>yes</v>
      </c>
      <c r="I3784" s="3" t="str">
        <f aca="false">Raw_Data!H3784</f>
        <v>no</v>
      </c>
      <c r="J3784" s="2" t="n">
        <f aca="false">IF(F3784="yes",1,0)</f>
        <v>0</v>
      </c>
      <c r="K3784" s="2" t="n">
        <f aca="false">IF(H3784="yes",1,0)</f>
        <v>1</v>
      </c>
      <c r="L3784" s="2" t="n">
        <f aca="false">IF(I3784="yes",1,0)</f>
        <v>0</v>
      </c>
      <c r="M3784" s="2" t="n">
        <f aca="false">IF(G3784&lt;0,1,0)</f>
        <v>0</v>
      </c>
      <c r="N3784" s="2" t="str">
        <f aca="false">_xlfn.IFS(B3784&lt;30,"Under 30",B3784&lt;40,"30-39",B3784&lt;50,"40-49",B3784&lt;60,"50-59",TRUE(),"60+")</f>
        <v>50-59</v>
      </c>
      <c r="O3784" s="2" t="str">
        <f aca="false">_xlfn.IFS(G3784&lt;0,"1 Negative",G3784=0,"2 Zero",G3784&lt;=500,"3 1-500",G3784&lt;=2000,"4 501-2000",TRUE(),"5 Above 2000")</f>
        <v>5 Above 2000</v>
      </c>
      <c r="P3784" s="2" t="n">
        <f aca="false">Lookups!$B$2*M3784+Lookups!$B$3*L3784</f>
        <v>0</v>
      </c>
      <c r="Q3784" s="2" t="str">
        <f aca="false">INDEX(Lookups!$E$2:$E$5,MATCH(P3784,Lookups!$D$2:$D$5,0))</f>
        <v>Low</v>
      </c>
    </row>
    <row r="3785" customFormat="false" ht="15" hidden="false" customHeight="false" outlineLevel="0" collapsed="false">
      <c r="A3785" s="3" t="n">
        <v>3784</v>
      </c>
      <c r="B3785" s="3" t="n">
        <f aca="false">Raw_Data!A3785</f>
        <v>61</v>
      </c>
      <c r="C3785" s="3" t="str">
        <f aca="false">SUBSTITUTE(Raw_Data!B3785,".","")</f>
        <v>retired</v>
      </c>
      <c r="D3785" s="3" t="str">
        <f aca="false">Raw_Data!C3785</f>
        <v>married</v>
      </c>
      <c r="E3785" s="3" t="str">
        <f aca="false">Raw_Data!D3785</f>
        <v>secondary</v>
      </c>
      <c r="F3785" s="3" t="str">
        <f aca="false">Raw_Data!E3785</f>
        <v>no</v>
      </c>
      <c r="G3785" s="3" t="n">
        <f aca="false">Raw_Data!F3785</f>
        <v>76</v>
      </c>
      <c r="H3785" s="3" t="str">
        <f aca="false">Raw_Data!G3785</f>
        <v>yes</v>
      </c>
      <c r="I3785" s="3" t="str">
        <f aca="false">Raw_Data!H3785</f>
        <v>no</v>
      </c>
      <c r="J3785" s="2" t="n">
        <f aca="false">IF(F3785="yes",1,0)</f>
        <v>0</v>
      </c>
      <c r="K3785" s="2" t="n">
        <f aca="false">IF(H3785="yes",1,0)</f>
        <v>1</v>
      </c>
      <c r="L3785" s="2" t="n">
        <f aca="false">IF(I3785="yes",1,0)</f>
        <v>0</v>
      </c>
      <c r="M3785" s="2" t="n">
        <f aca="false">IF(G3785&lt;0,1,0)</f>
        <v>0</v>
      </c>
      <c r="N3785" s="2" t="str">
        <f aca="false">_xlfn.IFS(B3785&lt;30,"Under 30",B3785&lt;40,"30-39",B3785&lt;50,"40-49",B3785&lt;60,"50-59",TRUE(),"60+")</f>
        <v>60+</v>
      </c>
      <c r="O3785" s="2" t="str">
        <f aca="false">_xlfn.IFS(G3785&lt;0,"1 Negative",G3785=0,"2 Zero",G3785&lt;=500,"3 1-500",G3785&lt;=2000,"4 501-2000",TRUE(),"5 Above 2000")</f>
        <v>3 1-500</v>
      </c>
      <c r="P3785" s="2" t="n">
        <f aca="false">Lookups!$B$2*M3785+Lookups!$B$3*L3785</f>
        <v>0</v>
      </c>
      <c r="Q3785" s="2" t="str">
        <f aca="false">INDEX(Lookups!$E$2:$E$5,MATCH(P3785,Lookups!$D$2:$D$5,0))</f>
        <v>Low</v>
      </c>
    </row>
    <row r="3786" customFormat="false" ht="15" hidden="false" customHeight="false" outlineLevel="0" collapsed="false">
      <c r="A3786" s="3" t="n">
        <v>3785</v>
      </c>
      <c r="B3786" s="3" t="n">
        <f aca="false">Raw_Data!A3786</f>
        <v>28</v>
      </c>
      <c r="C3786" s="3" t="str">
        <f aca="false">SUBSTITUTE(Raw_Data!B3786,".","")</f>
        <v>technician</v>
      </c>
      <c r="D3786" s="3" t="str">
        <f aca="false">Raw_Data!C3786</f>
        <v>single</v>
      </c>
      <c r="E3786" s="3" t="str">
        <f aca="false">Raw_Data!D3786</f>
        <v>secondary</v>
      </c>
      <c r="F3786" s="3" t="str">
        <f aca="false">Raw_Data!E3786</f>
        <v>no</v>
      </c>
      <c r="G3786" s="3" t="n">
        <f aca="false">Raw_Data!F3786</f>
        <v>2034</v>
      </c>
      <c r="H3786" s="3" t="str">
        <f aca="false">Raw_Data!G3786</f>
        <v>yes</v>
      </c>
      <c r="I3786" s="3" t="str">
        <f aca="false">Raw_Data!H3786</f>
        <v>no</v>
      </c>
      <c r="J3786" s="2" t="n">
        <f aca="false">IF(F3786="yes",1,0)</f>
        <v>0</v>
      </c>
      <c r="K3786" s="2" t="n">
        <f aca="false">IF(H3786="yes",1,0)</f>
        <v>1</v>
      </c>
      <c r="L3786" s="2" t="n">
        <f aca="false">IF(I3786="yes",1,0)</f>
        <v>0</v>
      </c>
      <c r="M3786" s="2" t="n">
        <f aca="false">IF(G3786&lt;0,1,0)</f>
        <v>0</v>
      </c>
      <c r="N3786" s="2" t="str">
        <f aca="false">_xlfn.IFS(B3786&lt;30,"Under 30",B3786&lt;40,"30-39",B3786&lt;50,"40-49",B3786&lt;60,"50-59",TRUE(),"60+")</f>
        <v>Under 30</v>
      </c>
      <c r="O3786" s="2" t="str">
        <f aca="false">_xlfn.IFS(G3786&lt;0,"1 Negative",G3786=0,"2 Zero",G3786&lt;=500,"3 1-500",G3786&lt;=2000,"4 501-2000",TRUE(),"5 Above 2000")</f>
        <v>5 Above 2000</v>
      </c>
      <c r="P3786" s="2" t="n">
        <f aca="false">Lookups!$B$2*M3786+Lookups!$B$3*L3786</f>
        <v>0</v>
      </c>
      <c r="Q3786" s="2" t="str">
        <f aca="false">INDEX(Lookups!$E$2:$E$5,MATCH(P3786,Lookups!$D$2:$D$5,0))</f>
        <v>Low</v>
      </c>
    </row>
    <row r="3787" customFormat="false" ht="15" hidden="false" customHeight="false" outlineLevel="0" collapsed="false">
      <c r="A3787" s="3" t="n">
        <v>3786</v>
      </c>
      <c r="B3787" s="3" t="n">
        <f aca="false">Raw_Data!A3787</f>
        <v>49</v>
      </c>
      <c r="C3787" s="3" t="str">
        <f aca="false">SUBSTITUTE(Raw_Data!B3787,".","")</f>
        <v>blue-collar</v>
      </c>
      <c r="D3787" s="3" t="str">
        <f aca="false">Raw_Data!C3787</f>
        <v>single</v>
      </c>
      <c r="E3787" s="3" t="str">
        <f aca="false">Raw_Data!D3787</f>
        <v>primary</v>
      </c>
      <c r="F3787" s="3" t="str">
        <f aca="false">Raw_Data!E3787</f>
        <v>no</v>
      </c>
      <c r="G3787" s="3" t="n">
        <f aca="false">Raw_Data!F3787</f>
        <v>3018</v>
      </c>
      <c r="H3787" s="3" t="str">
        <f aca="false">Raw_Data!G3787</f>
        <v>yes</v>
      </c>
      <c r="I3787" s="3" t="str">
        <f aca="false">Raw_Data!H3787</f>
        <v>no</v>
      </c>
      <c r="J3787" s="2" t="n">
        <f aca="false">IF(F3787="yes",1,0)</f>
        <v>0</v>
      </c>
      <c r="K3787" s="2" t="n">
        <f aca="false">IF(H3787="yes",1,0)</f>
        <v>1</v>
      </c>
      <c r="L3787" s="2" t="n">
        <f aca="false">IF(I3787="yes",1,0)</f>
        <v>0</v>
      </c>
      <c r="M3787" s="2" t="n">
        <f aca="false">IF(G3787&lt;0,1,0)</f>
        <v>0</v>
      </c>
      <c r="N3787" s="2" t="str">
        <f aca="false">_xlfn.IFS(B3787&lt;30,"Under 30",B3787&lt;40,"30-39",B3787&lt;50,"40-49",B3787&lt;60,"50-59",TRUE(),"60+")</f>
        <v>40-49</v>
      </c>
      <c r="O3787" s="2" t="str">
        <f aca="false">_xlfn.IFS(G3787&lt;0,"1 Negative",G3787=0,"2 Zero",G3787&lt;=500,"3 1-500",G3787&lt;=2000,"4 501-2000",TRUE(),"5 Above 2000")</f>
        <v>5 Above 2000</v>
      </c>
      <c r="P3787" s="2" t="n">
        <f aca="false">Lookups!$B$2*M3787+Lookups!$B$3*L3787</f>
        <v>0</v>
      </c>
      <c r="Q3787" s="2" t="str">
        <f aca="false">INDEX(Lookups!$E$2:$E$5,MATCH(P3787,Lookups!$D$2:$D$5,0))</f>
        <v>Low</v>
      </c>
    </row>
    <row r="3788" customFormat="false" ht="15" hidden="false" customHeight="false" outlineLevel="0" collapsed="false">
      <c r="A3788" s="3" t="n">
        <v>3787</v>
      </c>
      <c r="B3788" s="3" t="n">
        <f aca="false">Raw_Data!A3788</f>
        <v>74</v>
      </c>
      <c r="C3788" s="3" t="str">
        <f aca="false">SUBSTITUTE(Raw_Data!B3788,".","")</f>
        <v>retired</v>
      </c>
      <c r="D3788" s="3" t="str">
        <f aca="false">Raw_Data!C3788</f>
        <v>married</v>
      </c>
      <c r="E3788" s="3" t="str">
        <f aca="false">Raw_Data!D3788</f>
        <v>secondary</v>
      </c>
      <c r="F3788" s="3" t="str">
        <f aca="false">Raw_Data!E3788</f>
        <v>no</v>
      </c>
      <c r="G3788" s="3" t="n">
        <f aca="false">Raw_Data!F3788</f>
        <v>921</v>
      </c>
      <c r="H3788" s="3" t="str">
        <f aca="false">Raw_Data!G3788</f>
        <v>no</v>
      </c>
      <c r="I3788" s="3" t="str">
        <f aca="false">Raw_Data!H3788</f>
        <v>no</v>
      </c>
      <c r="J3788" s="2" t="n">
        <f aca="false">IF(F3788="yes",1,0)</f>
        <v>0</v>
      </c>
      <c r="K3788" s="2" t="n">
        <f aca="false">IF(H3788="yes",1,0)</f>
        <v>0</v>
      </c>
      <c r="L3788" s="2" t="n">
        <f aca="false">IF(I3788="yes",1,0)</f>
        <v>0</v>
      </c>
      <c r="M3788" s="2" t="n">
        <f aca="false">IF(G3788&lt;0,1,0)</f>
        <v>0</v>
      </c>
      <c r="N3788" s="2" t="str">
        <f aca="false">_xlfn.IFS(B3788&lt;30,"Under 30",B3788&lt;40,"30-39",B3788&lt;50,"40-49",B3788&lt;60,"50-59",TRUE(),"60+")</f>
        <v>60+</v>
      </c>
      <c r="O3788" s="2" t="str">
        <f aca="false">_xlfn.IFS(G3788&lt;0,"1 Negative",G3788=0,"2 Zero",G3788&lt;=500,"3 1-500",G3788&lt;=2000,"4 501-2000",TRUE(),"5 Above 2000")</f>
        <v>4 501-2000</v>
      </c>
      <c r="P3788" s="2" t="n">
        <f aca="false">Lookups!$B$2*M3788+Lookups!$B$3*L3788</f>
        <v>0</v>
      </c>
      <c r="Q3788" s="2" t="str">
        <f aca="false">INDEX(Lookups!$E$2:$E$5,MATCH(P3788,Lookups!$D$2:$D$5,0))</f>
        <v>Low</v>
      </c>
    </row>
    <row r="3789" customFormat="false" ht="15" hidden="false" customHeight="false" outlineLevel="0" collapsed="false">
      <c r="A3789" s="3" t="n">
        <v>3788</v>
      </c>
      <c r="B3789" s="3" t="n">
        <f aca="false">Raw_Data!A3789</f>
        <v>53</v>
      </c>
      <c r="C3789" s="3" t="str">
        <f aca="false">SUBSTITUTE(Raw_Data!B3789,".","")</f>
        <v>blue-collar</v>
      </c>
      <c r="D3789" s="3" t="str">
        <f aca="false">Raw_Data!C3789</f>
        <v>married</v>
      </c>
      <c r="E3789" s="3" t="str">
        <f aca="false">Raw_Data!D3789</f>
        <v>secondary</v>
      </c>
      <c r="F3789" s="3" t="str">
        <f aca="false">Raw_Data!E3789</f>
        <v>no</v>
      </c>
      <c r="G3789" s="3" t="n">
        <f aca="false">Raw_Data!F3789</f>
        <v>483</v>
      </c>
      <c r="H3789" s="3" t="str">
        <f aca="false">Raw_Data!G3789</f>
        <v>yes</v>
      </c>
      <c r="I3789" s="3" t="str">
        <f aca="false">Raw_Data!H3789</f>
        <v>no</v>
      </c>
      <c r="J3789" s="2" t="n">
        <f aca="false">IF(F3789="yes",1,0)</f>
        <v>0</v>
      </c>
      <c r="K3789" s="2" t="n">
        <f aca="false">IF(H3789="yes",1,0)</f>
        <v>1</v>
      </c>
      <c r="L3789" s="2" t="n">
        <f aca="false">IF(I3789="yes",1,0)</f>
        <v>0</v>
      </c>
      <c r="M3789" s="2" t="n">
        <f aca="false">IF(G3789&lt;0,1,0)</f>
        <v>0</v>
      </c>
      <c r="N3789" s="2" t="str">
        <f aca="false">_xlfn.IFS(B3789&lt;30,"Under 30",B3789&lt;40,"30-39",B3789&lt;50,"40-49",B3789&lt;60,"50-59",TRUE(),"60+")</f>
        <v>50-59</v>
      </c>
      <c r="O3789" s="2" t="str">
        <f aca="false">_xlfn.IFS(G3789&lt;0,"1 Negative",G3789=0,"2 Zero",G3789&lt;=500,"3 1-500",G3789&lt;=2000,"4 501-2000",TRUE(),"5 Above 2000")</f>
        <v>3 1-500</v>
      </c>
      <c r="P3789" s="2" t="n">
        <f aca="false">Lookups!$B$2*M3789+Lookups!$B$3*L3789</f>
        <v>0</v>
      </c>
      <c r="Q3789" s="2" t="str">
        <f aca="false">INDEX(Lookups!$E$2:$E$5,MATCH(P3789,Lookups!$D$2:$D$5,0))</f>
        <v>Low</v>
      </c>
    </row>
    <row r="3790" customFormat="false" ht="15" hidden="false" customHeight="false" outlineLevel="0" collapsed="false">
      <c r="A3790" s="3" t="n">
        <v>3789</v>
      </c>
      <c r="B3790" s="3" t="n">
        <f aca="false">Raw_Data!A3790</f>
        <v>46</v>
      </c>
      <c r="C3790" s="3" t="str">
        <f aca="false">SUBSTITUTE(Raw_Data!B3790,".","")</f>
        <v>self-employed</v>
      </c>
      <c r="D3790" s="3" t="str">
        <f aca="false">Raw_Data!C3790</f>
        <v>married</v>
      </c>
      <c r="E3790" s="3" t="str">
        <f aca="false">Raw_Data!D3790</f>
        <v>secondary</v>
      </c>
      <c r="F3790" s="3" t="str">
        <f aca="false">Raw_Data!E3790</f>
        <v>no</v>
      </c>
      <c r="G3790" s="3" t="n">
        <f aca="false">Raw_Data!F3790</f>
        <v>390</v>
      </c>
      <c r="H3790" s="3" t="str">
        <f aca="false">Raw_Data!G3790</f>
        <v>yes</v>
      </c>
      <c r="I3790" s="3" t="str">
        <f aca="false">Raw_Data!H3790</f>
        <v>no</v>
      </c>
      <c r="J3790" s="2" t="n">
        <f aca="false">IF(F3790="yes",1,0)</f>
        <v>0</v>
      </c>
      <c r="K3790" s="2" t="n">
        <f aca="false">IF(H3790="yes",1,0)</f>
        <v>1</v>
      </c>
      <c r="L3790" s="2" t="n">
        <f aca="false">IF(I3790="yes",1,0)</f>
        <v>0</v>
      </c>
      <c r="M3790" s="2" t="n">
        <f aca="false">IF(G3790&lt;0,1,0)</f>
        <v>0</v>
      </c>
      <c r="N3790" s="2" t="str">
        <f aca="false">_xlfn.IFS(B3790&lt;30,"Under 30",B3790&lt;40,"30-39",B3790&lt;50,"40-49",B3790&lt;60,"50-59",TRUE(),"60+")</f>
        <v>40-49</v>
      </c>
      <c r="O3790" s="2" t="str">
        <f aca="false">_xlfn.IFS(G3790&lt;0,"1 Negative",G3790=0,"2 Zero",G3790&lt;=500,"3 1-500",G3790&lt;=2000,"4 501-2000",TRUE(),"5 Above 2000")</f>
        <v>3 1-500</v>
      </c>
      <c r="P3790" s="2" t="n">
        <f aca="false">Lookups!$B$2*M3790+Lookups!$B$3*L3790</f>
        <v>0</v>
      </c>
      <c r="Q3790" s="2" t="str">
        <f aca="false">INDEX(Lookups!$E$2:$E$5,MATCH(P3790,Lookups!$D$2:$D$5,0))</f>
        <v>Low</v>
      </c>
    </row>
    <row r="3791" customFormat="false" ht="15" hidden="false" customHeight="false" outlineLevel="0" collapsed="false">
      <c r="A3791" s="3" t="n">
        <v>3790</v>
      </c>
      <c r="B3791" s="3" t="n">
        <f aca="false">Raw_Data!A3791</f>
        <v>47</v>
      </c>
      <c r="C3791" s="3" t="str">
        <f aca="false">SUBSTITUTE(Raw_Data!B3791,".","")</f>
        <v>management</v>
      </c>
      <c r="D3791" s="3" t="str">
        <f aca="false">Raw_Data!C3791</f>
        <v>married</v>
      </c>
      <c r="E3791" s="3" t="str">
        <f aca="false">Raw_Data!D3791</f>
        <v>tertiary</v>
      </c>
      <c r="F3791" s="3" t="str">
        <f aca="false">Raw_Data!E3791</f>
        <v>no</v>
      </c>
      <c r="G3791" s="3" t="n">
        <f aca="false">Raw_Data!F3791</f>
        <v>0</v>
      </c>
      <c r="H3791" s="3" t="str">
        <f aca="false">Raw_Data!G3791</f>
        <v>no</v>
      </c>
      <c r="I3791" s="3" t="str">
        <f aca="false">Raw_Data!H3791</f>
        <v>no</v>
      </c>
      <c r="J3791" s="2" t="n">
        <f aca="false">IF(F3791="yes",1,0)</f>
        <v>0</v>
      </c>
      <c r="K3791" s="2" t="n">
        <f aca="false">IF(H3791="yes",1,0)</f>
        <v>0</v>
      </c>
      <c r="L3791" s="2" t="n">
        <f aca="false">IF(I3791="yes",1,0)</f>
        <v>0</v>
      </c>
      <c r="M3791" s="2" t="n">
        <f aca="false">IF(G3791&lt;0,1,0)</f>
        <v>0</v>
      </c>
      <c r="N3791" s="2" t="str">
        <f aca="false">_xlfn.IFS(B3791&lt;30,"Under 30",B3791&lt;40,"30-39",B3791&lt;50,"40-49",B3791&lt;60,"50-59",TRUE(),"60+")</f>
        <v>40-49</v>
      </c>
      <c r="O3791" s="2" t="str">
        <f aca="false">_xlfn.IFS(G3791&lt;0,"1 Negative",G3791=0,"2 Zero",G3791&lt;=500,"3 1-500",G3791&lt;=2000,"4 501-2000",TRUE(),"5 Above 2000")</f>
        <v>2 Zero</v>
      </c>
      <c r="P3791" s="2" t="n">
        <f aca="false">Lookups!$B$2*M3791+Lookups!$B$3*L3791</f>
        <v>0</v>
      </c>
      <c r="Q3791" s="2" t="str">
        <f aca="false">INDEX(Lookups!$E$2:$E$5,MATCH(P3791,Lookups!$D$2:$D$5,0))</f>
        <v>Low</v>
      </c>
    </row>
    <row r="3792" customFormat="false" ht="15" hidden="false" customHeight="false" outlineLevel="0" collapsed="false">
      <c r="A3792" s="3" t="n">
        <v>3791</v>
      </c>
      <c r="B3792" s="3" t="n">
        <f aca="false">Raw_Data!A3792</f>
        <v>42</v>
      </c>
      <c r="C3792" s="3" t="str">
        <f aca="false">SUBSTITUTE(Raw_Data!B3792,".","")</f>
        <v>blue-collar</v>
      </c>
      <c r="D3792" s="3" t="str">
        <f aca="false">Raw_Data!C3792</f>
        <v>single</v>
      </c>
      <c r="E3792" s="3" t="str">
        <f aca="false">Raw_Data!D3792</f>
        <v>primary</v>
      </c>
      <c r="F3792" s="3" t="str">
        <f aca="false">Raw_Data!E3792</f>
        <v>no</v>
      </c>
      <c r="G3792" s="3" t="n">
        <f aca="false">Raw_Data!F3792</f>
        <v>92</v>
      </c>
      <c r="H3792" s="3" t="str">
        <f aca="false">Raw_Data!G3792</f>
        <v>no</v>
      </c>
      <c r="I3792" s="3" t="str">
        <f aca="false">Raw_Data!H3792</f>
        <v>no</v>
      </c>
      <c r="J3792" s="2" t="n">
        <f aca="false">IF(F3792="yes",1,0)</f>
        <v>0</v>
      </c>
      <c r="K3792" s="2" t="n">
        <f aca="false">IF(H3792="yes",1,0)</f>
        <v>0</v>
      </c>
      <c r="L3792" s="2" t="n">
        <f aca="false">IF(I3792="yes",1,0)</f>
        <v>0</v>
      </c>
      <c r="M3792" s="2" t="n">
        <f aca="false">IF(G3792&lt;0,1,0)</f>
        <v>0</v>
      </c>
      <c r="N3792" s="2" t="str">
        <f aca="false">_xlfn.IFS(B3792&lt;30,"Under 30",B3792&lt;40,"30-39",B3792&lt;50,"40-49",B3792&lt;60,"50-59",TRUE(),"60+")</f>
        <v>40-49</v>
      </c>
      <c r="O3792" s="2" t="str">
        <f aca="false">_xlfn.IFS(G3792&lt;0,"1 Negative",G3792=0,"2 Zero",G3792&lt;=500,"3 1-500",G3792&lt;=2000,"4 501-2000",TRUE(),"5 Above 2000")</f>
        <v>3 1-500</v>
      </c>
      <c r="P3792" s="2" t="n">
        <f aca="false">Lookups!$B$2*M3792+Lookups!$B$3*L3792</f>
        <v>0</v>
      </c>
      <c r="Q3792" s="2" t="str">
        <f aca="false">INDEX(Lookups!$E$2:$E$5,MATCH(P3792,Lookups!$D$2:$D$5,0))</f>
        <v>Low</v>
      </c>
    </row>
    <row r="3793" customFormat="false" ht="15" hidden="false" customHeight="false" outlineLevel="0" collapsed="false">
      <c r="A3793" s="3" t="n">
        <v>3792</v>
      </c>
      <c r="B3793" s="3" t="n">
        <f aca="false">Raw_Data!A3793</f>
        <v>56</v>
      </c>
      <c r="C3793" s="3" t="str">
        <f aca="false">SUBSTITUTE(Raw_Data!B3793,".","")</f>
        <v>services</v>
      </c>
      <c r="D3793" s="3" t="str">
        <f aca="false">Raw_Data!C3793</f>
        <v>married</v>
      </c>
      <c r="E3793" s="3" t="str">
        <f aca="false">Raw_Data!D3793</f>
        <v>secondary</v>
      </c>
      <c r="F3793" s="3" t="str">
        <f aca="false">Raw_Data!E3793</f>
        <v>no</v>
      </c>
      <c r="G3793" s="3" t="n">
        <f aca="false">Raw_Data!F3793</f>
        <v>22196</v>
      </c>
      <c r="H3793" s="3" t="str">
        <f aca="false">Raw_Data!G3793</f>
        <v>yes</v>
      </c>
      <c r="I3793" s="3" t="str">
        <f aca="false">Raw_Data!H3793</f>
        <v>no</v>
      </c>
      <c r="J3793" s="2" t="n">
        <f aca="false">IF(F3793="yes",1,0)</f>
        <v>0</v>
      </c>
      <c r="K3793" s="2" t="n">
        <f aca="false">IF(H3793="yes",1,0)</f>
        <v>1</v>
      </c>
      <c r="L3793" s="2" t="n">
        <f aca="false">IF(I3793="yes",1,0)</f>
        <v>0</v>
      </c>
      <c r="M3793" s="2" t="n">
        <f aca="false">IF(G3793&lt;0,1,0)</f>
        <v>0</v>
      </c>
      <c r="N3793" s="2" t="str">
        <f aca="false">_xlfn.IFS(B3793&lt;30,"Under 30",B3793&lt;40,"30-39",B3793&lt;50,"40-49",B3793&lt;60,"50-59",TRUE(),"60+")</f>
        <v>50-59</v>
      </c>
      <c r="O3793" s="2" t="str">
        <f aca="false">_xlfn.IFS(G3793&lt;0,"1 Negative",G3793=0,"2 Zero",G3793&lt;=500,"3 1-500",G3793&lt;=2000,"4 501-2000",TRUE(),"5 Above 2000")</f>
        <v>5 Above 2000</v>
      </c>
      <c r="P3793" s="2" t="n">
        <f aca="false">Lookups!$B$2*M3793+Lookups!$B$3*L3793</f>
        <v>0</v>
      </c>
      <c r="Q3793" s="2" t="str">
        <f aca="false">INDEX(Lookups!$E$2:$E$5,MATCH(P3793,Lookups!$D$2:$D$5,0))</f>
        <v>Low</v>
      </c>
    </row>
    <row r="3794" customFormat="false" ht="15" hidden="false" customHeight="false" outlineLevel="0" collapsed="false">
      <c r="A3794" s="3" t="n">
        <v>3793</v>
      </c>
      <c r="B3794" s="3" t="n">
        <f aca="false">Raw_Data!A3794</f>
        <v>42</v>
      </c>
      <c r="C3794" s="3" t="str">
        <f aca="false">SUBSTITUTE(Raw_Data!B3794,".","")</f>
        <v>technician</v>
      </c>
      <c r="D3794" s="3" t="str">
        <f aca="false">Raw_Data!C3794</f>
        <v>married</v>
      </c>
      <c r="E3794" s="3" t="str">
        <f aca="false">Raw_Data!D3794</f>
        <v>secondary</v>
      </c>
      <c r="F3794" s="3" t="str">
        <f aca="false">Raw_Data!E3794</f>
        <v>no</v>
      </c>
      <c r="G3794" s="3" t="n">
        <f aca="false">Raw_Data!F3794</f>
        <v>2</v>
      </c>
      <c r="H3794" s="3" t="str">
        <f aca="false">Raw_Data!G3794</f>
        <v>no</v>
      </c>
      <c r="I3794" s="3" t="str">
        <f aca="false">Raw_Data!H3794</f>
        <v>no</v>
      </c>
      <c r="J3794" s="2" t="n">
        <f aca="false">IF(F3794="yes",1,0)</f>
        <v>0</v>
      </c>
      <c r="K3794" s="2" t="n">
        <f aca="false">IF(H3794="yes",1,0)</f>
        <v>0</v>
      </c>
      <c r="L3794" s="2" t="n">
        <f aca="false">IF(I3794="yes",1,0)</f>
        <v>0</v>
      </c>
      <c r="M3794" s="2" t="n">
        <f aca="false">IF(G3794&lt;0,1,0)</f>
        <v>0</v>
      </c>
      <c r="N3794" s="2" t="str">
        <f aca="false">_xlfn.IFS(B3794&lt;30,"Under 30",B3794&lt;40,"30-39",B3794&lt;50,"40-49",B3794&lt;60,"50-59",TRUE(),"60+")</f>
        <v>40-49</v>
      </c>
      <c r="O3794" s="2" t="str">
        <f aca="false">_xlfn.IFS(G3794&lt;0,"1 Negative",G3794=0,"2 Zero",G3794&lt;=500,"3 1-500",G3794&lt;=2000,"4 501-2000",TRUE(),"5 Above 2000")</f>
        <v>3 1-500</v>
      </c>
      <c r="P3794" s="2" t="n">
        <f aca="false">Lookups!$B$2*M3794+Lookups!$B$3*L3794</f>
        <v>0</v>
      </c>
      <c r="Q3794" s="2" t="str">
        <f aca="false">INDEX(Lookups!$E$2:$E$5,MATCH(P3794,Lookups!$D$2:$D$5,0))</f>
        <v>Low</v>
      </c>
    </row>
    <row r="3795" customFormat="false" ht="15" hidden="false" customHeight="false" outlineLevel="0" collapsed="false">
      <c r="A3795" s="3" t="n">
        <v>3794</v>
      </c>
      <c r="B3795" s="3" t="n">
        <f aca="false">Raw_Data!A3795</f>
        <v>49</v>
      </c>
      <c r="C3795" s="3" t="str">
        <f aca="false">SUBSTITUTE(Raw_Data!B3795,".","")</f>
        <v>housemaid</v>
      </c>
      <c r="D3795" s="3" t="str">
        <f aca="false">Raw_Data!C3795</f>
        <v>married</v>
      </c>
      <c r="E3795" s="3" t="str">
        <f aca="false">Raw_Data!D3795</f>
        <v>primary</v>
      </c>
      <c r="F3795" s="3" t="str">
        <f aca="false">Raw_Data!E3795</f>
        <v>no</v>
      </c>
      <c r="G3795" s="3" t="n">
        <f aca="false">Raw_Data!F3795</f>
        <v>249</v>
      </c>
      <c r="H3795" s="3" t="str">
        <f aca="false">Raw_Data!G3795</f>
        <v>yes</v>
      </c>
      <c r="I3795" s="3" t="str">
        <f aca="false">Raw_Data!H3795</f>
        <v>no</v>
      </c>
      <c r="J3795" s="2" t="n">
        <f aca="false">IF(F3795="yes",1,0)</f>
        <v>0</v>
      </c>
      <c r="K3795" s="2" t="n">
        <f aca="false">IF(H3795="yes",1,0)</f>
        <v>1</v>
      </c>
      <c r="L3795" s="2" t="n">
        <f aca="false">IF(I3795="yes",1,0)</f>
        <v>0</v>
      </c>
      <c r="M3795" s="2" t="n">
        <f aca="false">IF(G3795&lt;0,1,0)</f>
        <v>0</v>
      </c>
      <c r="N3795" s="2" t="str">
        <f aca="false">_xlfn.IFS(B3795&lt;30,"Under 30",B3795&lt;40,"30-39",B3795&lt;50,"40-49",B3795&lt;60,"50-59",TRUE(),"60+")</f>
        <v>40-49</v>
      </c>
      <c r="O3795" s="2" t="str">
        <f aca="false">_xlfn.IFS(G3795&lt;0,"1 Negative",G3795=0,"2 Zero",G3795&lt;=500,"3 1-500",G3795&lt;=2000,"4 501-2000",TRUE(),"5 Above 2000")</f>
        <v>3 1-500</v>
      </c>
      <c r="P3795" s="2" t="n">
        <f aca="false">Lookups!$B$2*M3795+Lookups!$B$3*L3795</f>
        <v>0</v>
      </c>
      <c r="Q3795" s="2" t="str">
        <f aca="false">INDEX(Lookups!$E$2:$E$5,MATCH(P3795,Lookups!$D$2:$D$5,0))</f>
        <v>Low</v>
      </c>
    </row>
    <row r="3796" customFormat="false" ht="15" hidden="false" customHeight="false" outlineLevel="0" collapsed="false">
      <c r="A3796" s="3" t="n">
        <v>3795</v>
      </c>
      <c r="B3796" s="3" t="n">
        <f aca="false">Raw_Data!A3796</f>
        <v>43</v>
      </c>
      <c r="C3796" s="3" t="str">
        <f aca="false">SUBSTITUTE(Raw_Data!B3796,".","")</f>
        <v>unemployed</v>
      </c>
      <c r="D3796" s="3" t="str">
        <f aca="false">Raw_Data!C3796</f>
        <v>single</v>
      </c>
      <c r="E3796" s="3" t="str">
        <f aca="false">Raw_Data!D3796</f>
        <v>unknown</v>
      </c>
      <c r="F3796" s="3" t="str">
        <f aca="false">Raw_Data!E3796</f>
        <v>no</v>
      </c>
      <c r="G3796" s="3" t="n">
        <f aca="false">Raw_Data!F3796</f>
        <v>3274</v>
      </c>
      <c r="H3796" s="3" t="str">
        <f aca="false">Raw_Data!G3796</f>
        <v>yes</v>
      </c>
      <c r="I3796" s="3" t="str">
        <f aca="false">Raw_Data!H3796</f>
        <v>no</v>
      </c>
      <c r="J3796" s="2" t="n">
        <f aca="false">IF(F3796="yes",1,0)</f>
        <v>0</v>
      </c>
      <c r="K3796" s="2" t="n">
        <f aca="false">IF(H3796="yes",1,0)</f>
        <v>1</v>
      </c>
      <c r="L3796" s="2" t="n">
        <f aca="false">IF(I3796="yes",1,0)</f>
        <v>0</v>
      </c>
      <c r="M3796" s="2" t="n">
        <f aca="false">IF(G3796&lt;0,1,0)</f>
        <v>0</v>
      </c>
      <c r="N3796" s="2" t="str">
        <f aca="false">_xlfn.IFS(B3796&lt;30,"Under 30",B3796&lt;40,"30-39",B3796&lt;50,"40-49",B3796&lt;60,"50-59",TRUE(),"60+")</f>
        <v>40-49</v>
      </c>
      <c r="O3796" s="2" t="str">
        <f aca="false">_xlfn.IFS(G3796&lt;0,"1 Negative",G3796=0,"2 Zero",G3796&lt;=500,"3 1-500",G3796&lt;=2000,"4 501-2000",TRUE(),"5 Above 2000")</f>
        <v>5 Above 2000</v>
      </c>
      <c r="P3796" s="2" t="n">
        <f aca="false">Lookups!$B$2*M3796+Lookups!$B$3*L3796</f>
        <v>0</v>
      </c>
      <c r="Q3796" s="2" t="str">
        <f aca="false">INDEX(Lookups!$E$2:$E$5,MATCH(P3796,Lookups!$D$2:$D$5,0))</f>
        <v>Low</v>
      </c>
    </row>
    <row r="3797" customFormat="false" ht="15" hidden="false" customHeight="false" outlineLevel="0" collapsed="false">
      <c r="A3797" s="3" t="n">
        <v>3796</v>
      </c>
      <c r="B3797" s="3" t="n">
        <f aca="false">Raw_Data!A3797</f>
        <v>39</v>
      </c>
      <c r="C3797" s="3" t="str">
        <f aca="false">SUBSTITUTE(Raw_Data!B3797,".","")</f>
        <v>services</v>
      </c>
      <c r="D3797" s="3" t="str">
        <f aca="false">Raw_Data!C3797</f>
        <v>married</v>
      </c>
      <c r="E3797" s="3" t="str">
        <f aca="false">Raw_Data!D3797</f>
        <v>secondary</v>
      </c>
      <c r="F3797" s="3" t="str">
        <f aca="false">Raw_Data!E3797</f>
        <v>no</v>
      </c>
      <c r="G3797" s="3" t="n">
        <f aca="false">Raw_Data!F3797</f>
        <v>5731</v>
      </c>
      <c r="H3797" s="3" t="str">
        <f aca="false">Raw_Data!G3797</f>
        <v>yes</v>
      </c>
      <c r="I3797" s="3" t="str">
        <f aca="false">Raw_Data!H3797</f>
        <v>no</v>
      </c>
      <c r="J3797" s="2" t="n">
        <f aca="false">IF(F3797="yes",1,0)</f>
        <v>0</v>
      </c>
      <c r="K3797" s="2" t="n">
        <f aca="false">IF(H3797="yes",1,0)</f>
        <v>1</v>
      </c>
      <c r="L3797" s="2" t="n">
        <f aca="false">IF(I3797="yes",1,0)</f>
        <v>0</v>
      </c>
      <c r="M3797" s="2" t="n">
        <f aca="false">IF(G3797&lt;0,1,0)</f>
        <v>0</v>
      </c>
      <c r="N3797" s="2" t="str">
        <f aca="false">_xlfn.IFS(B3797&lt;30,"Under 30",B3797&lt;40,"30-39",B3797&lt;50,"40-49",B3797&lt;60,"50-59",TRUE(),"60+")</f>
        <v>30-39</v>
      </c>
      <c r="O3797" s="2" t="str">
        <f aca="false">_xlfn.IFS(G3797&lt;0,"1 Negative",G3797=0,"2 Zero",G3797&lt;=500,"3 1-500",G3797&lt;=2000,"4 501-2000",TRUE(),"5 Above 2000")</f>
        <v>5 Above 2000</v>
      </c>
      <c r="P3797" s="2" t="n">
        <f aca="false">Lookups!$B$2*M3797+Lookups!$B$3*L3797</f>
        <v>0</v>
      </c>
      <c r="Q3797" s="2" t="str">
        <f aca="false">INDEX(Lookups!$E$2:$E$5,MATCH(P3797,Lookups!$D$2:$D$5,0))</f>
        <v>Low</v>
      </c>
    </row>
    <row r="3798" customFormat="false" ht="15" hidden="false" customHeight="false" outlineLevel="0" collapsed="false">
      <c r="A3798" s="3" t="n">
        <v>3797</v>
      </c>
      <c r="B3798" s="3" t="n">
        <f aca="false">Raw_Data!A3798</f>
        <v>66</v>
      </c>
      <c r="C3798" s="3" t="str">
        <f aca="false">SUBSTITUTE(Raw_Data!B3798,".","")</f>
        <v>retired</v>
      </c>
      <c r="D3798" s="3" t="str">
        <f aca="false">Raw_Data!C3798</f>
        <v>married</v>
      </c>
      <c r="E3798" s="3" t="str">
        <f aca="false">Raw_Data!D3798</f>
        <v>primary</v>
      </c>
      <c r="F3798" s="3" t="str">
        <f aca="false">Raw_Data!E3798</f>
        <v>no</v>
      </c>
      <c r="G3798" s="3" t="n">
        <f aca="false">Raw_Data!F3798</f>
        <v>206</v>
      </c>
      <c r="H3798" s="3" t="str">
        <f aca="false">Raw_Data!G3798</f>
        <v>no</v>
      </c>
      <c r="I3798" s="3" t="str">
        <f aca="false">Raw_Data!H3798</f>
        <v>no</v>
      </c>
      <c r="J3798" s="2" t="n">
        <f aca="false">IF(F3798="yes",1,0)</f>
        <v>0</v>
      </c>
      <c r="K3798" s="2" t="n">
        <f aca="false">IF(H3798="yes",1,0)</f>
        <v>0</v>
      </c>
      <c r="L3798" s="2" t="n">
        <f aca="false">IF(I3798="yes",1,0)</f>
        <v>0</v>
      </c>
      <c r="M3798" s="2" t="n">
        <f aca="false">IF(G3798&lt;0,1,0)</f>
        <v>0</v>
      </c>
      <c r="N3798" s="2" t="str">
        <f aca="false">_xlfn.IFS(B3798&lt;30,"Under 30",B3798&lt;40,"30-39",B3798&lt;50,"40-49",B3798&lt;60,"50-59",TRUE(),"60+")</f>
        <v>60+</v>
      </c>
      <c r="O3798" s="2" t="str">
        <f aca="false">_xlfn.IFS(G3798&lt;0,"1 Negative",G3798=0,"2 Zero",G3798&lt;=500,"3 1-500",G3798&lt;=2000,"4 501-2000",TRUE(),"5 Above 2000")</f>
        <v>3 1-500</v>
      </c>
      <c r="P3798" s="2" t="n">
        <f aca="false">Lookups!$B$2*M3798+Lookups!$B$3*L3798</f>
        <v>0</v>
      </c>
      <c r="Q3798" s="2" t="str">
        <f aca="false">INDEX(Lookups!$E$2:$E$5,MATCH(P3798,Lookups!$D$2:$D$5,0))</f>
        <v>Low</v>
      </c>
    </row>
    <row r="3799" customFormat="false" ht="15" hidden="false" customHeight="false" outlineLevel="0" collapsed="false">
      <c r="A3799" s="3" t="n">
        <v>3798</v>
      </c>
      <c r="B3799" s="3" t="n">
        <f aca="false">Raw_Data!A3799</f>
        <v>30</v>
      </c>
      <c r="C3799" s="3" t="str">
        <f aca="false">SUBSTITUTE(Raw_Data!B3799,".","")</f>
        <v>technician</v>
      </c>
      <c r="D3799" s="3" t="str">
        <f aca="false">Raw_Data!C3799</f>
        <v>single</v>
      </c>
      <c r="E3799" s="3" t="str">
        <f aca="false">Raw_Data!D3799</f>
        <v>tertiary</v>
      </c>
      <c r="F3799" s="3" t="str">
        <f aca="false">Raw_Data!E3799</f>
        <v>no</v>
      </c>
      <c r="G3799" s="3" t="n">
        <f aca="false">Raw_Data!F3799</f>
        <v>2325</v>
      </c>
      <c r="H3799" s="3" t="str">
        <f aca="false">Raw_Data!G3799</f>
        <v>no</v>
      </c>
      <c r="I3799" s="3" t="str">
        <f aca="false">Raw_Data!H3799</f>
        <v>no</v>
      </c>
      <c r="J3799" s="2" t="n">
        <f aca="false">IF(F3799="yes",1,0)</f>
        <v>0</v>
      </c>
      <c r="K3799" s="2" t="n">
        <f aca="false">IF(H3799="yes",1,0)</f>
        <v>0</v>
      </c>
      <c r="L3799" s="2" t="n">
        <f aca="false">IF(I3799="yes",1,0)</f>
        <v>0</v>
      </c>
      <c r="M3799" s="2" t="n">
        <f aca="false">IF(G3799&lt;0,1,0)</f>
        <v>0</v>
      </c>
      <c r="N3799" s="2" t="str">
        <f aca="false">_xlfn.IFS(B3799&lt;30,"Under 30",B3799&lt;40,"30-39",B3799&lt;50,"40-49",B3799&lt;60,"50-59",TRUE(),"60+")</f>
        <v>30-39</v>
      </c>
      <c r="O3799" s="2" t="str">
        <f aca="false">_xlfn.IFS(G3799&lt;0,"1 Negative",G3799=0,"2 Zero",G3799&lt;=500,"3 1-500",G3799&lt;=2000,"4 501-2000",TRUE(),"5 Above 2000")</f>
        <v>5 Above 2000</v>
      </c>
      <c r="P3799" s="2" t="n">
        <f aca="false">Lookups!$B$2*M3799+Lookups!$B$3*L3799</f>
        <v>0</v>
      </c>
      <c r="Q3799" s="2" t="str">
        <f aca="false">INDEX(Lookups!$E$2:$E$5,MATCH(P3799,Lookups!$D$2:$D$5,0))</f>
        <v>Low</v>
      </c>
    </row>
    <row r="3800" customFormat="false" ht="15" hidden="false" customHeight="false" outlineLevel="0" collapsed="false">
      <c r="A3800" s="3" t="n">
        <v>3799</v>
      </c>
      <c r="B3800" s="3" t="n">
        <f aca="false">Raw_Data!A3800</f>
        <v>38</v>
      </c>
      <c r="C3800" s="3" t="str">
        <f aca="false">SUBSTITUTE(Raw_Data!B3800,".","")</f>
        <v>management</v>
      </c>
      <c r="D3800" s="3" t="str">
        <f aca="false">Raw_Data!C3800</f>
        <v>single</v>
      </c>
      <c r="E3800" s="3" t="str">
        <f aca="false">Raw_Data!D3800</f>
        <v>tertiary</v>
      </c>
      <c r="F3800" s="3" t="str">
        <f aca="false">Raw_Data!E3800</f>
        <v>no</v>
      </c>
      <c r="G3800" s="3" t="n">
        <f aca="false">Raw_Data!F3800</f>
        <v>0</v>
      </c>
      <c r="H3800" s="3" t="str">
        <f aca="false">Raw_Data!G3800</f>
        <v>no</v>
      </c>
      <c r="I3800" s="3" t="str">
        <f aca="false">Raw_Data!H3800</f>
        <v>no</v>
      </c>
      <c r="J3800" s="2" t="n">
        <f aca="false">IF(F3800="yes",1,0)</f>
        <v>0</v>
      </c>
      <c r="K3800" s="2" t="n">
        <f aca="false">IF(H3800="yes",1,0)</f>
        <v>0</v>
      </c>
      <c r="L3800" s="2" t="n">
        <f aca="false">IF(I3800="yes",1,0)</f>
        <v>0</v>
      </c>
      <c r="M3800" s="2" t="n">
        <f aca="false">IF(G3800&lt;0,1,0)</f>
        <v>0</v>
      </c>
      <c r="N3800" s="2" t="str">
        <f aca="false">_xlfn.IFS(B3800&lt;30,"Under 30",B3800&lt;40,"30-39",B3800&lt;50,"40-49",B3800&lt;60,"50-59",TRUE(),"60+")</f>
        <v>30-39</v>
      </c>
      <c r="O3800" s="2" t="str">
        <f aca="false">_xlfn.IFS(G3800&lt;0,"1 Negative",G3800=0,"2 Zero",G3800&lt;=500,"3 1-500",G3800&lt;=2000,"4 501-2000",TRUE(),"5 Above 2000")</f>
        <v>2 Zero</v>
      </c>
      <c r="P3800" s="2" t="n">
        <f aca="false">Lookups!$B$2*M3800+Lookups!$B$3*L3800</f>
        <v>0</v>
      </c>
      <c r="Q3800" s="2" t="str">
        <f aca="false">INDEX(Lookups!$E$2:$E$5,MATCH(P3800,Lookups!$D$2:$D$5,0))</f>
        <v>Low</v>
      </c>
    </row>
    <row r="3801" customFormat="false" ht="15" hidden="false" customHeight="false" outlineLevel="0" collapsed="false">
      <c r="A3801" s="3" t="n">
        <v>3800</v>
      </c>
      <c r="B3801" s="3" t="n">
        <f aca="false">Raw_Data!A3801</f>
        <v>31</v>
      </c>
      <c r="C3801" s="3" t="str">
        <f aca="false">SUBSTITUTE(Raw_Data!B3801,".","")</f>
        <v>blue-collar</v>
      </c>
      <c r="D3801" s="3" t="str">
        <f aca="false">Raw_Data!C3801</f>
        <v>married</v>
      </c>
      <c r="E3801" s="3" t="str">
        <f aca="false">Raw_Data!D3801</f>
        <v>secondary</v>
      </c>
      <c r="F3801" s="3" t="str">
        <f aca="false">Raw_Data!E3801</f>
        <v>no</v>
      </c>
      <c r="G3801" s="3" t="n">
        <f aca="false">Raw_Data!F3801</f>
        <v>1664</v>
      </c>
      <c r="H3801" s="3" t="str">
        <f aca="false">Raw_Data!G3801</f>
        <v>yes</v>
      </c>
      <c r="I3801" s="3" t="str">
        <f aca="false">Raw_Data!H3801</f>
        <v>no</v>
      </c>
      <c r="J3801" s="2" t="n">
        <f aca="false">IF(F3801="yes",1,0)</f>
        <v>0</v>
      </c>
      <c r="K3801" s="2" t="n">
        <f aca="false">IF(H3801="yes",1,0)</f>
        <v>1</v>
      </c>
      <c r="L3801" s="2" t="n">
        <f aca="false">IF(I3801="yes",1,0)</f>
        <v>0</v>
      </c>
      <c r="M3801" s="2" t="n">
        <f aca="false">IF(G3801&lt;0,1,0)</f>
        <v>0</v>
      </c>
      <c r="N3801" s="2" t="str">
        <f aca="false">_xlfn.IFS(B3801&lt;30,"Under 30",B3801&lt;40,"30-39",B3801&lt;50,"40-49",B3801&lt;60,"50-59",TRUE(),"60+")</f>
        <v>30-39</v>
      </c>
      <c r="O3801" s="2" t="str">
        <f aca="false">_xlfn.IFS(G3801&lt;0,"1 Negative",G3801=0,"2 Zero",G3801&lt;=500,"3 1-500",G3801&lt;=2000,"4 501-2000",TRUE(),"5 Above 2000")</f>
        <v>4 501-2000</v>
      </c>
      <c r="P3801" s="2" t="n">
        <f aca="false">Lookups!$B$2*M3801+Lookups!$B$3*L3801</f>
        <v>0</v>
      </c>
      <c r="Q3801" s="2" t="str">
        <f aca="false">INDEX(Lookups!$E$2:$E$5,MATCH(P3801,Lookups!$D$2:$D$5,0))</f>
        <v>Low</v>
      </c>
    </row>
    <row r="3802" customFormat="false" ht="15" hidden="false" customHeight="false" outlineLevel="0" collapsed="false">
      <c r="A3802" s="3" t="n">
        <v>3801</v>
      </c>
      <c r="B3802" s="3" t="n">
        <f aca="false">Raw_Data!A3802</f>
        <v>32</v>
      </c>
      <c r="C3802" s="3" t="str">
        <f aca="false">SUBSTITUTE(Raw_Data!B3802,".","")</f>
        <v>technician</v>
      </c>
      <c r="D3802" s="3" t="str">
        <f aca="false">Raw_Data!C3802</f>
        <v>married</v>
      </c>
      <c r="E3802" s="3" t="str">
        <f aca="false">Raw_Data!D3802</f>
        <v>secondary</v>
      </c>
      <c r="F3802" s="3" t="str">
        <f aca="false">Raw_Data!E3802</f>
        <v>no</v>
      </c>
      <c r="G3802" s="3" t="n">
        <f aca="false">Raw_Data!F3802</f>
        <v>3333</v>
      </c>
      <c r="H3802" s="3" t="str">
        <f aca="false">Raw_Data!G3802</f>
        <v>no</v>
      </c>
      <c r="I3802" s="3" t="str">
        <f aca="false">Raw_Data!H3802</f>
        <v>no</v>
      </c>
      <c r="J3802" s="2" t="n">
        <f aca="false">IF(F3802="yes",1,0)</f>
        <v>0</v>
      </c>
      <c r="K3802" s="2" t="n">
        <f aca="false">IF(H3802="yes",1,0)</f>
        <v>0</v>
      </c>
      <c r="L3802" s="2" t="n">
        <f aca="false">IF(I3802="yes",1,0)</f>
        <v>0</v>
      </c>
      <c r="M3802" s="2" t="n">
        <f aca="false">IF(G3802&lt;0,1,0)</f>
        <v>0</v>
      </c>
      <c r="N3802" s="2" t="str">
        <f aca="false">_xlfn.IFS(B3802&lt;30,"Under 30",B3802&lt;40,"30-39",B3802&lt;50,"40-49",B3802&lt;60,"50-59",TRUE(),"60+")</f>
        <v>30-39</v>
      </c>
      <c r="O3802" s="2" t="str">
        <f aca="false">_xlfn.IFS(G3802&lt;0,"1 Negative",G3802=0,"2 Zero",G3802&lt;=500,"3 1-500",G3802&lt;=2000,"4 501-2000",TRUE(),"5 Above 2000")</f>
        <v>5 Above 2000</v>
      </c>
      <c r="P3802" s="2" t="n">
        <f aca="false">Lookups!$B$2*M3802+Lookups!$B$3*L3802</f>
        <v>0</v>
      </c>
      <c r="Q3802" s="2" t="str">
        <f aca="false">INDEX(Lookups!$E$2:$E$5,MATCH(P3802,Lookups!$D$2:$D$5,0))</f>
        <v>Low</v>
      </c>
    </row>
    <row r="3803" customFormat="false" ht="15" hidden="false" customHeight="false" outlineLevel="0" collapsed="false">
      <c r="A3803" s="3" t="n">
        <v>3802</v>
      </c>
      <c r="B3803" s="3" t="n">
        <f aca="false">Raw_Data!A3803</f>
        <v>48</v>
      </c>
      <c r="C3803" s="3" t="str">
        <f aca="false">SUBSTITUTE(Raw_Data!B3803,".","")</f>
        <v>technician</v>
      </c>
      <c r="D3803" s="3" t="str">
        <f aca="false">Raw_Data!C3803</f>
        <v>married</v>
      </c>
      <c r="E3803" s="3" t="str">
        <f aca="false">Raw_Data!D3803</f>
        <v>secondary</v>
      </c>
      <c r="F3803" s="3" t="str">
        <f aca="false">Raw_Data!E3803</f>
        <v>no</v>
      </c>
      <c r="G3803" s="3" t="n">
        <f aca="false">Raw_Data!F3803</f>
        <v>7020</v>
      </c>
      <c r="H3803" s="3" t="str">
        <f aca="false">Raw_Data!G3803</f>
        <v>no</v>
      </c>
      <c r="I3803" s="3" t="str">
        <f aca="false">Raw_Data!H3803</f>
        <v>no</v>
      </c>
      <c r="J3803" s="2" t="n">
        <f aca="false">IF(F3803="yes",1,0)</f>
        <v>0</v>
      </c>
      <c r="K3803" s="2" t="n">
        <f aca="false">IF(H3803="yes",1,0)</f>
        <v>0</v>
      </c>
      <c r="L3803" s="2" t="n">
        <f aca="false">IF(I3803="yes",1,0)</f>
        <v>0</v>
      </c>
      <c r="M3803" s="2" t="n">
        <f aca="false">IF(G3803&lt;0,1,0)</f>
        <v>0</v>
      </c>
      <c r="N3803" s="2" t="str">
        <f aca="false">_xlfn.IFS(B3803&lt;30,"Under 30",B3803&lt;40,"30-39",B3803&lt;50,"40-49",B3803&lt;60,"50-59",TRUE(),"60+")</f>
        <v>40-49</v>
      </c>
      <c r="O3803" s="2" t="str">
        <f aca="false">_xlfn.IFS(G3803&lt;0,"1 Negative",G3803=0,"2 Zero",G3803&lt;=500,"3 1-500",G3803&lt;=2000,"4 501-2000",TRUE(),"5 Above 2000")</f>
        <v>5 Above 2000</v>
      </c>
      <c r="P3803" s="2" t="n">
        <f aca="false">Lookups!$B$2*M3803+Lookups!$B$3*L3803</f>
        <v>0</v>
      </c>
      <c r="Q3803" s="2" t="str">
        <f aca="false">INDEX(Lookups!$E$2:$E$5,MATCH(P3803,Lookups!$D$2:$D$5,0))</f>
        <v>Low</v>
      </c>
    </row>
    <row r="3804" customFormat="false" ht="15" hidden="false" customHeight="false" outlineLevel="0" collapsed="false">
      <c r="A3804" s="3" t="n">
        <v>3803</v>
      </c>
      <c r="B3804" s="3" t="n">
        <f aca="false">Raw_Data!A3804</f>
        <v>34</v>
      </c>
      <c r="C3804" s="3" t="str">
        <f aca="false">SUBSTITUTE(Raw_Data!B3804,".","")</f>
        <v>admin</v>
      </c>
      <c r="D3804" s="3" t="str">
        <f aca="false">Raw_Data!C3804</f>
        <v>married</v>
      </c>
      <c r="E3804" s="3" t="str">
        <f aca="false">Raw_Data!D3804</f>
        <v>tertiary</v>
      </c>
      <c r="F3804" s="3" t="str">
        <f aca="false">Raw_Data!E3804</f>
        <v>no</v>
      </c>
      <c r="G3804" s="3" t="n">
        <f aca="false">Raw_Data!F3804</f>
        <v>37</v>
      </c>
      <c r="H3804" s="3" t="str">
        <f aca="false">Raw_Data!G3804</f>
        <v>no</v>
      </c>
      <c r="I3804" s="3" t="str">
        <f aca="false">Raw_Data!H3804</f>
        <v>no</v>
      </c>
      <c r="J3804" s="2" t="n">
        <f aca="false">IF(F3804="yes",1,0)</f>
        <v>0</v>
      </c>
      <c r="K3804" s="2" t="n">
        <f aca="false">IF(H3804="yes",1,0)</f>
        <v>0</v>
      </c>
      <c r="L3804" s="2" t="n">
        <f aca="false">IF(I3804="yes",1,0)</f>
        <v>0</v>
      </c>
      <c r="M3804" s="2" t="n">
        <f aca="false">IF(G3804&lt;0,1,0)</f>
        <v>0</v>
      </c>
      <c r="N3804" s="2" t="str">
        <f aca="false">_xlfn.IFS(B3804&lt;30,"Under 30",B3804&lt;40,"30-39",B3804&lt;50,"40-49",B3804&lt;60,"50-59",TRUE(),"60+")</f>
        <v>30-39</v>
      </c>
      <c r="O3804" s="2" t="str">
        <f aca="false">_xlfn.IFS(G3804&lt;0,"1 Negative",G3804=0,"2 Zero",G3804&lt;=500,"3 1-500",G3804&lt;=2000,"4 501-2000",TRUE(),"5 Above 2000")</f>
        <v>3 1-500</v>
      </c>
      <c r="P3804" s="2" t="n">
        <f aca="false">Lookups!$B$2*M3804+Lookups!$B$3*L3804</f>
        <v>0</v>
      </c>
      <c r="Q3804" s="2" t="str">
        <f aca="false">INDEX(Lookups!$E$2:$E$5,MATCH(P3804,Lookups!$D$2:$D$5,0))</f>
        <v>Low</v>
      </c>
    </row>
    <row r="3805" customFormat="false" ht="15" hidden="false" customHeight="false" outlineLevel="0" collapsed="false">
      <c r="A3805" s="3" t="n">
        <v>3804</v>
      </c>
      <c r="B3805" s="3" t="n">
        <f aca="false">Raw_Data!A3805</f>
        <v>28</v>
      </c>
      <c r="C3805" s="3" t="str">
        <f aca="false">SUBSTITUTE(Raw_Data!B3805,".","")</f>
        <v>student</v>
      </c>
      <c r="D3805" s="3" t="str">
        <f aca="false">Raw_Data!C3805</f>
        <v>single</v>
      </c>
      <c r="E3805" s="3" t="str">
        <f aca="false">Raw_Data!D3805</f>
        <v>secondary</v>
      </c>
      <c r="F3805" s="3" t="str">
        <f aca="false">Raw_Data!E3805</f>
        <v>no</v>
      </c>
      <c r="G3805" s="3" t="n">
        <f aca="false">Raw_Data!F3805</f>
        <v>28</v>
      </c>
      <c r="H3805" s="3" t="str">
        <f aca="false">Raw_Data!G3805</f>
        <v>no</v>
      </c>
      <c r="I3805" s="3" t="str">
        <f aca="false">Raw_Data!H3805</f>
        <v>no</v>
      </c>
      <c r="J3805" s="2" t="n">
        <f aca="false">IF(F3805="yes",1,0)</f>
        <v>0</v>
      </c>
      <c r="K3805" s="2" t="n">
        <f aca="false">IF(H3805="yes",1,0)</f>
        <v>0</v>
      </c>
      <c r="L3805" s="2" t="n">
        <f aca="false">IF(I3805="yes",1,0)</f>
        <v>0</v>
      </c>
      <c r="M3805" s="2" t="n">
        <f aca="false">IF(G3805&lt;0,1,0)</f>
        <v>0</v>
      </c>
      <c r="N3805" s="2" t="str">
        <f aca="false">_xlfn.IFS(B3805&lt;30,"Under 30",B3805&lt;40,"30-39",B3805&lt;50,"40-49",B3805&lt;60,"50-59",TRUE(),"60+")</f>
        <v>Under 30</v>
      </c>
      <c r="O3805" s="2" t="str">
        <f aca="false">_xlfn.IFS(G3805&lt;0,"1 Negative",G3805=0,"2 Zero",G3805&lt;=500,"3 1-500",G3805&lt;=2000,"4 501-2000",TRUE(),"5 Above 2000")</f>
        <v>3 1-500</v>
      </c>
      <c r="P3805" s="2" t="n">
        <f aca="false">Lookups!$B$2*M3805+Lookups!$B$3*L3805</f>
        <v>0</v>
      </c>
      <c r="Q3805" s="2" t="str">
        <f aca="false">INDEX(Lookups!$E$2:$E$5,MATCH(P3805,Lookups!$D$2:$D$5,0))</f>
        <v>Low</v>
      </c>
    </row>
    <row r="3806" customFormat="false" ht="15" hidden="false" customHeight="false" outlineLevel="0" collapsed="false">
      <c r="A3806" s="3" t="n">
        <v>3805</v>
      </c>
      <c r="B3806" s="3" t="n">
        <f aca="false">Raw_Data!A3806</f>
        <v>40</v>
      </c>
      <c r="C3806" s="3" t="str">
        <f aca="false">SUBSTITUTE(Raw_Data!B3806,".","")</f>
        <v>admin</v>
      </c>
      <c r="D3806" s="3" t="str">
        <f aca="false">Raw_Data!C3806</f>
        <v>single</v>
      </c>
      <c r="E3806" s="3" t="str">
        <f aca="false">Raw_Data!D3806</f>
        <v>secondary</v>
      </c>
      <c r="F3806" s="3" t="str">
        <f aca="false">Raw_Data!E3806</f>
        <v>no</v>
      </c>
      <c r="G3806" s="3" t="n">
        <f aca="false">Raw_Data!F3806</f>
        <v>1670</v>
      </c>
      <c r="H3806" s="3" t="str">
        <f aca="false">Raw_Data!G3806</f>
        <v>yes</v>
      </c>
      <c r="I3806" s="3" t="str">
        <f aca="false">Raw_Data!H3806</f>
        <v>no</v>
      </c>
      <c r="J3806" s="2" t="n">
        <f aca="false">IF(F3806="yes",1,0)</f>
        <v>0</v>
      </c>
      <c r="K3806" s="2" t="n">
        <f aca="false">IF(H3806="yes",1,0)</f>
        <v>1</v>
      </c>
      <c r="L3806" s="2" t="n">
        <f aca="false">IF(I3806="yes",1,0)</f>
        <v>0</v>
      </c>
      <c r="M3806" s="2" t="n">
        <f aca="false">IF(G3806&lt;0,1,0)</f>
        <v>0</v>
      </c>
      <c r="N3806" s="2" t="str">
        <f aca="false">_xlfn.IFS(B3806&lt;30,"Under 30",B3806&lt;40,"30-39",B3806&lt;50,"40-49",B3806&lt;60,"50-59",TRUE(),"60+")</f>
        <v>40-49</v>
      </c>
      <c r="O3806" s="2" t="str">
        <f aca="false">_xlfn.IFS(G3806&lt;0,"1 Negative",G3806=0,"2 Zero",G3806&lt;=500,"3 1-500",G3806&lt;=2000,"4 501-2000",TRUE(),"5 Above 2000")</f>
        <v>4 501-2000</v>
      </c>
      <c r="P3806" s="2" t="n">
        <f aca="false">Lookups!$B$2*M3806+Lookups!$B$3*L3806</f>
        <v>0</v>
      </c>
      <c r="Q3806" s="2" t="str">
        <f aca="false">INDEX(Lookups!$E$2:$E$5,MATCH(P3806,Lookups!$D$2:$D$5,0))</f>
        <v>Low</v>
      </c>
    </row>
    <row r="3807" customFormat="false" ht="15" hidden="false" customHeight="false" outlineLevel="0" collapsed="false">
      <c r="A3807" s="3" t="n">
        <v>3806</v>
      </c>
      <c r="B3807" s="3" t="n">
        <f aca="false">Raw_Data!A3807</f>
        <v>36</v>
      </c>
      <c r="C3807" s="3" t="str">
        <f aca="false">SUBSTITUTE(Raw_Data!B3807,".","")</f>
        <v>entrepreneur</v>
      </c>
      <c r="D3807" s="3" t="str">
        <f aca="false">Raw_Data!C3807</f>
        <v>married</v>
      </c>
      <c r="E3807" s="3" t="str">
        <f aca="false">Raw_Data!D3807</f>
        <v>secondary</v>
      </c>
      <c r="F3807" s="3" t="str">
        <f aca="false">Raw_Data!E3807</f>
        <v>no</v>
      </c>
      <c r="G3807" s="3" t="n">
        <f aca="false">Raw_Data!F3807</f>
        <v>134</v>
      </c>
      <c r="H3807" s="3" t="str">
        <f aca="false">Raw_Data!G3807</f>
        <v>no</v>
      </c>
      <c r="I3807" s="3" t="str">
        <f aca="false">Raw_Data!H3807</f>
        <v>no</v>
      </c>
      <c r="J3807" s="2" t="n">
        <f aca="false">IF(F3807="yes",1,0)</f>
        <v>0</v>
      </c>
      <c r="K3807" s="2" t="n">
        <f aca="false">IF(H3807="yes",1,0)</f>
        <v>0</v>
      </c>
      <c r="L3807" s="2" t="n">
        <f aca="false">IF(I3807="yes",1,0)</f>
        <v>0</v>
      </c>
      <c r="M3807" s="2" t="n">
        <f aca="false">IF(G3807&lt;0,1,0)</f>
        <v>0</v>
      </c>
      <c r="N3807" s="2" t="str">
        <f aca="false">_xlfn.IFS(B3807&lt;30,"Under 30",B3807&lt;40,"30-39",B3807&lt;50,"40-49",B3807&lt;60,"50-59",TRUE(),"60+")</f>
        <v>30-39</v>
      </c>
      <c r="O3807" s="2" t="str">
        <f aca="false">_xlfn.IFS(G3807&lt;0,"1 Negative",G3807=0,"2 Zero",G3807&lt;=500,"3 1-500",G3807&lt;=2000,"4 501-2000",TRUE(),"5 Above 2000")</f>
        <v>3 1-500</v>
      </c>
      <c r="P3807" s="2" t="n">
        <f aca="false">Lookups!$B$2*M3807+Lookups!$B$3*L3807</f>
        <v>0</v>
      </c>
      <c r="Q3807" s="2" t="str">
        <f aca="false">INDEX(Lookups!$E$2:$E$5,MATCH(P3807,Lookups!$D$2:$D$5,0))</f>
        <v>Low</v>
      </c>
    </row>
    <row r="3808" customFormat="false" ht="15" hidden="false" customHeight="false" outlineLevel="0" collapsed="false">
      <c r="A3808" s="3" t="n">
        <v>3807</v>
      </c>
      <c r="B3808" s="3" t="n">
        <f aca="false">Raw_Data!A3808</f>
        <v>52</v>
      </c>
      <c r="C3808" s="3" t="str">
        <f aca="false">SUBSTITUTE(Raw_Data!B3808,".","")</f>
        <v>retired</v>
      </c>
      <c r="D3808" s="3" t="str">
        <f aca="false">Raw_Data!C3808</f>
        <v>married</v>
      </c>
      <c r="E3808" s="3" t="str">
        <f aca="false">Raw_Data!D3808</f>
        <v>secondary</v>
      </c>
      <c r="F3808" s="3" t="str">
        <f aca="false">Raw_Data!E3808</f>
        <v>no</v>
      </c>
      <c r="G3808" s="3" t="n">
        <f aca="false">Raw_Data!F3808</f>
        <v>603</v>
      </c>
      <c r="H3808" s="3" t="str">
        <f aca="false">Raw_Data!G3808</f>
        <v>no</v>
      </c>
      <c r="I3808" s="3" t="str">
        <f aca="false">Raw_Data!H3808</f>
        <v>yes</v>
      </c>
      <c r="J3808" s="2" t="n">
        <f aca="false">IF(F3808="yes",1,0)</f>
        <v>0</v>
      </c>
      <c r="K3808" s="2" t="n">
        <f aca="false">IF(H3808="yes",1,0)</f>
        <v>0</v>
      </c>
      <c r="L3808" s="2" t="n">
        <f aca="false">IF(I3808="yes",1,0)</f>
        <v>1</v>
      </c>
      <c r="M3808" s="2" t="n">
        <f aca="false">IF(G3808&lt;0,1,0)</f>
        <v>0</v>
      </c>
      <c r="N3808" s="2" t="str">
        <f aca="false">_xlfn.IFS(B3808&lt;30,"Under 30",B3808&lt;40,"30-39",B3808&lt;50,"40-49",B3808&lt;60,"50-59",TRUE(),"60+")</f>
        <v>50-59</v>
      </c>
      <c r="O3808" s="2" t="str">
        <f aca="false">_xlfn.IFS(G3808&lt;0,"1 Negative",G3808=0,"2 Zero",G3808&lt;=500,"3 1-500",G3808&lt;=2000,"4 501-2000",TRUE(),"5 Above 2000")</f>
        <v>4 501-2000</v>
      </c>
      <c r="P3808" s="2" t="n">
        <f aca="false">Lookups!$B$2*M3808+Lookups!$B$3*L3808</f>
        <v>1</v>
      </c>
      <c r="Q3808" s="2" t="str">
        <f aca="false">INDEX(Lookups!$E$2:$E$5,MATCH(P3808,Lookups!$D$2:$D$5,0))</f>
        <v>Medium</v>
      </c>
    </row>
    <row r="3809" customFormat="false" ht="15" hidden="false" customHeight="false" outlineLevel="0" collapsed="false">
      <c r="A3809" s="3" t="n">
        <v>3808</v>
      </c>
      <c r="B3809" s="3" t="n">
        <f aca="false">Raw_Data!A3809</f>
        <v>46</v>
      </c>
      <c r="C3809" s="3" t="str">
        <f aca="false">SUBSTITUTE(Raw_Data!B3809,".","")</f>
        <v>admin</v>
      </c>
      <c r="D3809" s="3" t="str">
        <f aca="false">Raw_Data!C3809</f>
        <v>married</v>
      </c>
      <c r="E3809" s="3" t="str">
        <f aca="false">Raw_Data!D3809</f>
        <v>primary</v>
      </c>
      <c r="F3809" s="3" t="str">
        <f aca="false">Raw_Data!E3809</f>
        <v>no</v>
      </c>
      <c r="G3809" s="3" t="n">
        <f aca="false">Raw_Data!F3809</f>
        <v>276</v>
      </c>
      <c r="H3809" s="3" t="str">
        <f aca="false">Raw_Data!G3809</f>
        <v>yes</v>
      </c>
      <c r="I3809" s="3" t="str">
        <f aca="false">Raw_Data!H3809</f>
        <v>yes</v>
      </c>
      <c r="J3809" s="2" t="n">
        <f aca="false">IF(F3809="yes",1,0)</f>
        <v>0</v>
      </c>
      <c r="K3809" s="2" t="n">
        <f aca="false">IF(H3809="yes",1,0)</f>
        <v>1</v>
      </c>
      <c r="L3809" s="2" t="n">
        <f aca="false">IF(I3809="yes",1,0)</f>
        <v>1</v>
      </c>
      <c r="M3809" s="2" t="n">
        <f aca="false">IF(G3809&lt;0,1,0)</f>
        <v>0</v>
      </c>
      <c r="N3809" s="2" t="str">
        <f aca="false">_xlfn.IFS(B3809&lt;30,"Under 30",B3809&lt;40,"30-39",B3809&lt;50,"40-49",B3809&lt;60,"50-59",TRUE(),"60+")</f>
        <v>40-49</v>
      </c>
      <c r="O3809" s="2" t="str">
        <f aca="false">_xlfn.IFS(G3809&lt;0,"1 Negative",G3809=0,"2 Zero",G3809&lt;=500,"3 1-500",G3809&lt;=2000,"4 501-2000",TRUE(),"5 Above 2000")</f>
        <v>3 1-500</v>
      </c>
      <c r="P3809" s="2" t="n">
        <f aca="false">Lookups!$B$2*M3809+Lookups!$B$3*L3809</f>
        <v>1</v>
      </c>
      <c r="Q3809" s="2" t="str">
        <f aca="false">INDEX(Lookups!$E$2:$E$5,MATCH(P3809,Lookups!$D$2:$D$5,0))</f>
        <v>Medium</v>
      </c>
    </row>
    <row r="3810" customFormat="false" ht="15" hidden="false" customHeight="false" outlineLevel="0" collapsed="false">
      <c r="A3810" s="3" t="n">
        <v>3809</v>
      </c>
      <c r="B3810" s="3" t="n">
        <f aca="false">Raw_Data!A3810</f>
        <v>25</v>
      </c>
      <c r="C3810" s="3" t="str">
        <f aca="false">SUBSTITUTE(Raw_Data!B3810,".","")</f>
        <v>technician</v>
      </c>
      <c r="D3810" s="3" t="str">
        <f aca="false">Raw_Data!C3810</f>
        <v>single</v>
      </c>
      <c r="E3810" s="3" t="str">
        <f aca="false">Raw_Data!D3810</f>
        <v>secondary</v>
      </c>
      <c r="F3810" s="3" t="str">
        <f aca="false">Raw_Data!E3810</f>
        <v>no</v>
      </c>
      <c r="G3810" s="3" t="n">
        <f aca="false">Raw_Data!F3810</f>
        <v>2157</v>
      </c>
      <c r="H3810" s="3" t="str">
        <f aca="false">Raw_Data!G3810</f>
        <v>yes</v>
      </c>
      <c r="I3810" s="3" t="str">
        <f aca="false">Raw_Data!H3810</f>
        <v>no</v>
      </c>
      <c r="J3810" s="2" t="n">
        <f aca="false">IF(F3810="yes",1,0)</f>
        <v>0</v>
      </c>
      <c r="K3810" s="2" t="n">
        <f aca="false">IF(H3810="yes",1,0)</f>
        <v>1</v>
      </c>
      <c r="L3810" s="2" t="n">
        <f aca="false">IF(I3810="yes",1,0)</f>
        <v>0</v>
      </c>
      <c r="M3810" s="2" t="n">
        <f aca="false">IF(G3810&lt;0,1,0)</f>
        <v>0</v>
      </c>
      <c r="N3810" s="2" t="str">
        <f aca="false">_xlfn.IFS(B3810&lt;30,"Under 30",B3810&lt;40,"30-39",B3810&lt;50,"40-49",B3810&lt;60,"50-59",TRUE(),"60+")</f>
        <v>Under 30</v>
      </c>
      <c r="O3810" s="2" t="str">
        <f aca="false">_xlfn.IFS(G3810&lt;0,"1 Negative",G3810=0,"2 Zero",G3810&lt;=500,"3 1-500",G3810&lt;=2000,"4 501-2000",TRUE(),"5 Above 2000")</f>
        <v>5 Above 2000</v>
      </c>
      <c r="P3810" s="2" t="n">
        <f aca="false">Lookups!$B$2*M3810+Lookups!$B$3*L3810</f>
        <v>0</v>
      </c>
      <c r="Q3810" s="2" t="str">
        <f aca="false">INDEX(Lookups!$E$2:$E$5,MATCH(P3810,Lookups!$D$2:$D$5,0))</f>
        <v>Low</v>
      </c>
    </row>
    <row r="3811" customFormat="false" ht="15" hidden="false" customHeight="false" outlineLevel="0" collapsed="false">
      <c r="A3811" s="3" t="n">
        <v>3810</v>
      </c>
      <c r="B3811" s="3" t="n">
        <f aca="false">Raw_Data!A3811</f>
        <v>52</v>
      </c>
      <c r="C3811" s="3" t="str">
        <f aca="false">SUBSTITUTE(Raw_Data!B3811,".","")</f>
        <v>blue-collar</v>
      </c>
      <c r="D3811" s="3" t="str">
        <f aca="false">Raw_Data!C3811</f>
        <v>married</v>
      </c>
      <c r="E3811" s="3" t="str">
        <f aca="false">Raw_Data!D3811</f>
        <v>secondary</v>
      </c>
      <c r="F3811" s="3" t="str">
        <f aca="false">Raw_Data!E3811</f>
        <v>no</v>
      </c>
      <c r="G3811" s="3" t="n">
        <f aca="false">Raw_Data!F3811</f>
        <v>161</v>
      </c>
      <c r="H3811" s="3" t="str">
        <f aca="false">Raw_Data!G3811</f>
        <v>yes</v>
      </c>
      <c r="I3811" s="3" t="str">
        <f aca="false">Raw_Data!H3811</f>
        <v>no</v>
      </c>
      <c r="J3811" s="2" t="n">
        <f aca="false">IF(F3811="yes",1,0)</f>
        <v>0</v>
      </c>
      <c r="K3811" s="2" t="n">
        <f aca="false">IF(H3811="yes",1,0)</f>
        <v>1</v>
      </c>
      <c r="L3811" s="2" t="n">
        <f aca="false">IF(I3811="yes",1,0)</f>
        <v>0</v>
      </c>
      <c r="M3811" s="2" t="n">
        <f aca="false">IF(G3811&lt;0,1,0)</f>
        <v>0</v>
      </c>
      <c r="N3811" s="2" t="str">
        <f aca="false">_xlfn.IFS(B3811&lt;30,"Under 30",B3811&lt;40,"30-39",B3811&lt;50,"40-49",B3811&lt;60,"50-59",TRUE(),"60+")</f>
        <v>50-59</v>
      </c>
      <c r="O3811" s="2" t="str">
        <f aca="false">_xlfn.IFS(G3811&lt;0,"1 Negative",G3811=0,"2 Zero",G3811&lt;=500,"3 1-500",G3811&lt;=2000,"4 501-2000",TRUE(),"5 Above 2000")</f>
        <v>3 1-500</v>
      </c>
      <c r="P3811" s="2" t="n">
        <f aca="false">Lookups!$B$2*M3811+Lookups!$B$3*L3811</f>
        <v>0</v>
      </c>
      <c r="Q3811" s="2" t="str">
        <f aca="false">INDEX(Lookups!$E$2:$E$5,MATCH(P3811,Lookups!$D$2:$D$5,0))</f>
        <v>Low</v>
      </c>
    </row>
    <row r="3812" customFormat="false" ht="15" hidden="false" customHeight="false" outlineLevel="0" collapsed="false">
      <c r="A3812" s="3" t="n">
        <v>3811</v>
      </c>
      <c r="B3812" s="3" t="n">
        <f aca="false">Raw_Data!A3812</f>
        <v>40</v>
      </c>
      <c r="C3812" s="3" t="str">
        <f aca="false">SUBSTITUTE(Raw_Data!B3812,".","")</f>
        <v>blue-collar</v>
      </c>
      <c r="D3812" s="3" t="str">
        <f aca="false">Raw_Data!C3812</f>
        <v>married</v>
      </c>
      <c r="E3812" s="3" t="str">
        <f aca="false">Raw_Data!D3812</f>
        <v>primary</v>
      </c>
      <c r="F3812" s="3" t="str">
        <f aca="false">Raw_Data!E3812</f>
        <v>no</v>
      </c>
      <c r="G3812" s="3" t="n">
        <f aca="false">Raw_Data!F3812</f>
        <v>3658</v>
      </c>
      <c r="H3812" s="3" t="str">
        <f aca="false">Raw_Data!G3812</f>
        <v>yes</v>
      </c>
      <c r="I3812" s="3" t="str">
        <f aca="false">Raw_Data!H3812</f>
        <v>no</v>
      </c>
      <c r="J3812" s="2" t="n">
        <f aca="false">IF(F3812="yes",1,0)</f>
        <v>0</v>
      </c>
      <c r="K3812" s="2" t="n">
        <f aca="false">IF(H3812="yes",1,0)</f>
        <v>1</v>
      </c>
      <c r="L3812" s="2" t="n">
        <f aca="false">IF(I3812="yes",1,0)</f>
        <v>0</v>
      </c>
      <c r="M3812" s="2" t="n">
        <f aca="false">IF(G3812&lt;0,1,0)</f>
        <v>0</v>
      </c>
      <c r="N3812" s="2" t="str">
        <f aca="false">_xlfn.IFS(B3812&lt;30,"Under 30",B3812&lt;40,"30-39",B3812&lt;50,"40-49",B3812&lt;60,"50-59",TRUE(),"60+")</f>
        <v>40-49</v>
      </c>
      <c r="O3812" s="2" t="str">
        <f aca="false">_xlfn.IFS(G3812&lt;0,"1 Negative",G3812=0,"2 Zero",G3812&lt;=500,"3 1-500",G3812&lt;=2000,"4 501-2000",TRUE(),"5 Above 2000")</f>
        <v>5 Above 2000</v>
      </c>
      <c r="P3812" s="2" t="n">
        <f aca="false">Lookups!$B$2*M3812+Lookups!$B$3*L3812</f>
        <v>0</v>
      </c>
      <c r="Q3812" s="2" t="str">
        <f aca="false">INDEX(Lookups!$E$2:$E$5,MATCH(P3812,Lookups!$D$2:$D$5,0))</f>
        <v>Low</v>
      </c>
    </row>
    <row r="3813" customFormat="false" ht="15" hidden="false" customHeight="false" outlineLevel="0" collapsed="false">
      <c r="A3813" s="3" t="n">
        <v>3812</v>
      </c>
      <c r="B3813" s="3" t="n">
        <f aca="false">Raw_Data!A3813</f>
        <v>26</v>
      </c>
      <c r="C3813" s="3" t="str">
        <f aca="false">SUBSTITUTE(Raw_Data!B3813,".","")</f>
        <v>management</v>
      </c>
      <c r="D3813" s="3" t="str">
        <f aca="false">Raw_Data!C3813</f>
        <v>divorced</v>
      </c>
      <c r="E3813" s="3" t="str">
        <f aca="false">Raw_Data!D3813</f>
        <v>tertiary</v>
      </c>
      <c r="F3813" s="3" t="str">
        <f aca="false">Raw_Data!E3813</f>
        <v>yes</v>
      </c>
      <c r="G3813" s="3" t="n">
        <f aca="false">Raw_Data!F3813</f>
        <v>-402</v>
      </c>
      <c r="H3813" s="3" t="str">
        <f aca="false">Raw_Data!G3813</f>
        <v>no</v>
      </c>
      <c r="I3813" s="3" t="str">
        <f aca="false">Raw_Data!H3813</f>
        <v>yes</v>
      </c>
      <c r="J3813" s="2" t="n">
        <f aca="false">IF(F3813="yes",1,0)</f>
        <v>1</v>
      </c>
      <c r="K3813" s="2" t="n">
        <f aca="false">IF(H3813="yes",1,0)</f>
        <v>0</v>
      </c>
      <c r="L3813" s="2" t="n">
        <f aca="false">IF(I3813="yes",1,0)</f>
        <v>1</v>
      </c>
      <c r="M3813" s="2" t="n">
        <f aca="false">IF(G3813&lt;0,1,0)</f>
        <v>1</v>
      </c>
      <c r="N3813" s="2" t="str">
        <f aca="false">_xlfn.IFS(B3813&lt;30,"Under 30",B3813&lt;40,"30-39",B3813&lt;50,"40-49",B3813&lt;60,"50-59",TRUE(),"60+")</f>
        <v>Under 30</v>
      </c>
      <c r="O3813" s="2" t="str">
        <f aca="false">_xlfn.IFS(G3813&lt;0,"1 Negative",G3813=0,"2 Zero",G3813&lt;=500,"3 1-500",G3813&lt;=2000,"4 501-2000",TRUE(),"5 Above 2000")</f>
        <v>1 Negative</v>
      </c>
      <c r="P3813" s="2" t="n">
        <f aca="false">Lookups!$B$2*M3813+Lookups!$B$3*L3813</f>
        <v>3</v>
      </c>
      <c r="Q3813" s="2" t="str">
        <f aca="false">INDEX(Lookups!$E$2:$E$5,MATCH(P3813,Lookups!$D$2:$D$5,0))</f>
        <v>High</v>
      </c>
    </row>
    <row r="3814" customFormat="false" ht="15" hidden="false" customHeight="false" outlineLevel="0" collapsed="false">
      <c r="A3814" s="3" t="n">
        <v>3813</v>
      </c>
      <c r="B3814" s="3" t="n">
        <f aca="false">Raw_Data!A3814</f>
        <v>26</v>
      </c>
      <c r="C3814" s="3" t="str">
        <f aca="false">SUBSTITUTE(Raw_Data!B3814,".","")</f>
        <v>blue-collar</v>
      </c>
      <c r="D3814" s="3" t="str">
        <f aca="false">Raw_Data!C3814</f>
        <v>single</v>
      </c>
      <c r="E3814" s="3" t="str">
        <f aca="false">Raw_Data!D3814</f>
        <v>primary</v>
      </c>
      <c r="F3814" s="3" t="str">
        <f aca="false">Raw_Data!E3814</f>
        <v>no</v>
      </c>
      <c r="G3814" s="3" t="n">
        <f aca="false">Raw_Data!F3814</f>
        <v>3342</v>
      </c>
      <c r="H3814" s="3" t="str">
        <f aca="false">Raw_Data!G3814</f>
        <v>yes</v>
      </c>
      <c r="I3814" s="3" t="str">
        <f aca="false">Raw_Data!H3814</f>
        <v>no</v>
      </c>
      <c r="J3814" s="2" t="n">
        <f aca="false">IF(F3814="yes",1,0)</f>
        <v>0</v>
      </c>
      <c r="K3814" s="2" t="n">
        <f aca="false">IF(H3814="yes",1,0)</f>
        <v>1</v>
      </c>
      <c r="L3814" s="2" t="n">
        <f aca="false">IF(I3814="yes",1,0)</f>
        <v>0</v>
      </c>
      <c r="M3814" s="2" t="n">
        <f aca="false">IF(G3814&lt;0,1,0)</f>
        <v>0</v>
      </c>
      <c r="N3814" s="2" t="str">
        <f aca="false">_xlfn.IFS(B3814&lt;30,"Under 30",B3814&lt;40,"30-39",B3814&lt;50,"40-49",B3814&lt;60,"50-59",TRUE(),"60+")</f>
        <v>Under 30</v>
      </c>
      <c r="O3814" s="2" t="str">
        <f aca="false">_xlfn.IFS(G3814&lt;0,"1 Negative",G3814=0,"2 Zero",G3814&lt;=500,"3 1-500",G3814&lt;=2000,"4 501-2000",TRUE(),"5 Above 2000")</f>
        <v>5 Above 2000</v>
      </c>
      <c r="P3814" s="2" t="n">
        <f aca="false">Lookups!$B$2*M3814+Lookups!$B$3*L3814</f>
        <v>0</v>
      </c>
      <c r="Q3814" s="2" t="str">
        <f aca="false">INDEX(Lookups!$E$2:$E$5,MATCH(P3814,Lookups!$D$2:$D$5,0))</f>
        <v>Low</v>
      </c>
    </row>
    <row r="3815" customFormat="false" ht="15" hidden="false" customHeight="false" outlineLevel="0" collapsed="false">
      <c r="A3815" s="3" t="n">
        <v>3814</v>
      </c>
      <c r="B3815" s="3" t="n">
        <f aca="false">Raw_Data!A3815</f>
        <v>35</v>
      </c>
      <c r="C3815" s="3" t="str">
        <f aca="false">SUBSTITUTE(Raw_Data!B3815,".","")</f>
        <v>self-employed</v>
      </c>
      <c r="D3815" s="3" t="str">
        <f aca="false">Raw_Data!C3815</f>
        <v>single</v>
      </c>
      <c r="E3815" s="3" t="str">
        <f aca="false">Raw_Data!D3815</f>
        <v>secondary</v>
      </c>
      <c r="F3815" s="3" t="str">
        <f aca="false">Raw_Data!E3815</f>
        <v>no</v>
      </c>
      <c r="G3815" s="3" t="n">
        <f aca="false">Raw_Data!F3815</f>
        <v>1732</v>
      </c>
      <c r="H3815" s="3" t="str">
        <f aca="false">Raw_Data!G3815</f>
        <v>no</v>
      </c>
      <c r="I3815" s="3" t="str">
        <f aca="false">Raw_Data!H3815</f>
        <v>no</v>
      </c>
      <c r="J3815" s="2" t="n">
        <f aca="false">IF(F3815="yes",1,0)</f>
        <v>0</v>
      </c>
      <c r="K3815" s="2" t="n">
        <f aca="false">IF(H3815="yes",1,0)</f>
        <v>0</v>
      </c>
      <c r="L3815" s="2" t="n">
        <f aca="false">IF(I3815="yes",1,0)</f>
        <v>0</v>
      </c>
      <c r="M3815" s="2" t="n">
        <f aca="false">IF(G3815&lt;0,1,0)</f>
        <v>0</v>
      </c>
      <c r="N3815" s="2" t="str">
        <f aca="false">_xlfn.IFS(B3815&lt;30,"Under 30",B3815&lt;40,"30-39",B3815&lt;50,"40-49",B3815&lt;60,"50-59",TRUE(),"60+")</f>
        <v>30-39</v>
      </c>
      <c r="O3815" s="2" t="str">
        <f aca="false">_xlfn.IFS(G3815&lt;0,"1 Negative",G3815=0,"2 Zero",G3815&lt;=500,"3 1-500",G3815&lt;=2000,"4 501-2000",TRUE(),"5 Above 2000")</f>
        <v>4 501-2000</v>
      </c>
      <c r="P3815" s="2" t="n">
        <f aca="false">Lookups!$B$2*M3815+Lookups!$B$3*L3815</f>
        <v>0</v>
      </c>
      <c r="Q3815" s="2" t="str">
        <f aca="false">INDEX(Lookups!$E$2:$E$5,MATCH(P3815,Lookups!$D$2:$D$5,0))</f>
        <v>Low</v>
      </c>
    </row>
    <row r="3816" customFormat="false" ht="15" hidden="false" customHeight="false" outlineLevel="0" collapsed="false">
      <c r="A3816" s="3" t="n">
        <v>3815</v>
      </c>
      <c r="B3816" s="3" t="n">
        <f aca="false">Raw_Data!A3816</f>
        <v>40</v>
      </c>
      <c r="C3816" s="3" t="str">
        <f aca="false">SUBSTITUTE(Raw_Data!B3816,".","")</f>
        <v>admin</v>
      </c>
      <c r="D3816" s="3" t="str">
        <f aca="false">Raw_Data!C3816</f>
        <v>single</v>
      </c>
      <c r="E3816" s="3" t="str">
        <f aca="false">Raw_Data!D3816</f>
        <v>secondary</v>
      </c>
      <c r="F3816" s="3" t="str">
        <f aca="false">Raw_Data!E3816</f>
        <v>no</v>
      </c>
      <c r="G3816" s="3" t="n">
        <f aca="false">Raw_Data!F3816</f>
        <v>263</v>
      </c>
      <c r="H3816" s="3" t="str">
        <f aca="false">Raw_Data!G3816</f>
        <v>yes</v>
      </c>
      <c r="I3816" s="3" t="str">
        <f aca="false">Raw_Data!H3816</f>
        <v>no</v>
      </c>
      <c r="J3816" s="2" t="n">
        <f aca="false">IF(F3816="yes",1,0)</f>
        <v>0</v>
      </c>
      <c r="K3816" s="2" t="n">
        <f aca="false">IF(H3816="yes",1,0)</f>
        <v>1</v>
      </c>
      <c r="L3816" s="2" t="n">
        <f aca="false">IF(I3816="yes",1,0)</f>
        <v>0</v>
      </c>
      <c r="M3816" s="2" t="n">
        <f aca="false">IF(G3816&lt;0,1,0)</f>
        <v>0</v>
      </c>
      <c r="N3816" s="2" t="str">
        <f aca="false">_xlfn.IFS(B3816&lt;30,"Under 30",B3816&lt;40,"30-39",B3816&lt;50,"40-49",B3816&lt;60,"50-59",TRUE(),"60+")</f>
        <v>40-49</v>
      </c>
      <c r="O3816" s="2" t="str">
        <f aca="false">_xlfn.IFS(G3816&lt;0,"1 Negative",G3816=0,"2 Zero",G3816&lt;=500,"3 1-500",G3816&lt;=2000,"4 501-2000",TRUE(),"5 Above 2000")</f>
        <v>3 1-500</v>
      </c>
      <c r="P3816" s="2" t="n">
        <f aca="false">Lookups!$B$2*M3816+Lookups!$B$3*L3816</f>
        <v>0</v>
      </c>
      <c r="Q3816" s="2" t="str">
        <f aca="false">INDEX(Lookups!$E$2:$E$5,MATCH(P3816,Lookups!$D$2:$D$5,0))</f>
        <v>Low</v>
      </c>
    </row>
    <row r="3817" customFormat="false" ht="15" hidden="false" customHeight="false" outlineLevel="0" collapsed="false">
      <c r="A3817" s="3" t="n">
        <v>3816</v>
      </c>
      <c r="B3817" s="3" t="n">
        <f aca="false">Raw_Data!A3817</f>
        <v>31</v>
      </c>
      <c r="C3817" s="3" t="str">
        <f aca="false">SUBSTITUTE(Raw_Data!B3817,".","")</f>
        <v>management</v>
      </c>
      <c r="D3817" s="3" t="str">
        <f aca="false">Raw_Data!C3817</f>
        <v>married</v>
      </c>
      <c r="E3817" s="3" t="str">
        <f aca="false">Raw_Data!D3817</f>
        <v>tertiary</v>
      </c>
      <c r="F3817" s="3" t="str">
        <f aca="false">Raw_Data!E3817</f>
        <v>no</v>
      </c>
      <c r="G3817" s="3" t="n">
        <f aca="false">Raw_Data!F3817</f>
        <v>623</v>
      </c>
      <c r="H3817" s="3" t="str">
        <f aca="false">Raw_Data!G3817</f>
        <v>yes</v>
      </c>
      <c r="I3817" s="3" t="str">
        <f aca="false">Raw_Data!H3817</f>
        <v>no</v>
      </c>
      <c r="J3817" s="2" t="n">
        <f aca="false">IF(F3817="yes",1,0)</f>
        <v>0</v>
      </c>
      <c r="K3817" s="2" t="n">
        <f aca="false">IF(H3817="yes",1,0)</f>
        <v>1</v>
      </c>
      <c r="L3817" s="2" t="n">
        <f aca="false">IF(I3817="yes",1,0)</f>
        <v>0</v>
      </c>
      <c r="M3817" s="2" t="n">
        <f aca="false">IF(G3817&lt;0,1,0)</f>
        <v>0</v>
      </c>
      <c r="N3817" s="2" t="str">
        <f aca="false">_xlfn.IFS(B3817&lt;30,"Under 30",B3817&lt;40,"30-39",B3817&lt;50,"40-49",B3817&lt;60,"50-59",TRUE(),"60+")</f>
        <v>30-39</v>
      </c>
      <c r="O3817" s="2" t="str">
        <f aca="false">_xlfn.IFS(G3817&lt;0,"1 Negative",G3817=0,"2 Zero",G3817&lt;=500,"3 1-500",G3817&lt;=2000,"4 501-2000",TRUE(),"5 Above 2000")</f>
        <v>4 501-2000</v>
      </c>
      <c r="P3817" s="2" t="n">
        <f aca="false">Lookups!$B$2*M3817+Lookups!$B$3*L3817</f>
        <v>0</v>
      </c>
      <c r="Q3817" s="2" t="str">
        <f aca="false">INDEX(Lookups!$E$2:$E$5,MATCH(P3817,Lookups!$D$2:$D$5,0))</f>
        <v>Low</v>
      </c>
    </row>
    <row r="3818" customFormat="false" ht="15" hidden="false" customHeight="false" outlineLevel="0" collapsed="false">
      <c r="A3818" s="3" t="n">
        <v>3817</v>
      </c>
      <c r="B3818" s="3" t="n">
        <f aca="false">Raw_Data!A3818</f>
        <v>32</v>
      </c>
      <c r="C3818" s="3" t="str">
        <f aca="false">SUBSTITUTE(Raw_Data!B3818,".","")</f>
        <v>admin</v>
      </c>
      <c r="D3818" s="3" t="str">
        <f aca="false">Raw_Data!C3818</f>
        <v>married</v>
      </c>
      <c r="E3818" s="3" t="str">
        <f aca="false">Raw_Data!D3818</f>
        <v>secondary</v>
      </c>
      <c r="F3818" s="3" t="str">
        <f aca="false">Raw_Data!E3818</f>
        <v>no</v>
      </c>
      <c r="G3818" s="3" t="n">
        <f aca="false">Raw_Data!F3818</f>
        <v>3540</v>
      </c>
      <c r="H3818" s="3" t="str">
        <f aca="false">Raw_Data!G3818</f>
        <v>yes</v>
      </c>
      <c r="I3818" s="3" t="str">
        <f aca="false">Raw_Data!H3818</f>
        <v>no</v>
      </c>
      <c r="J3818" s="2" t="n">
        <f aca="false">IF(F3818="yes",1,0)</f>
        <v>0</v>
      </c>
      <c r="K3818" s="2" t="n">
        <f aca="false">IF(H3818="yes",1,0)</f>
        <v>1</v>
      </c>
      <c r="L3818" s="2" t="n">
        <f aca="false">IF(I3818="yes",1,0)</f>
        <v>0</v>
      </c>
      <c r="M3818" s="2" t="n">
        <f aca="false">IF(G3818&lt;0,1,0)</f>
        <v>0</v>
      </c>
      <c r="N3818" s="2" t="str">
        <f aca="false">_xlfn.IFS(B3818&lt;30,"Under 30",B3818&lt;40,"30-39",B3818&lt;50,"40-49",B3818&lt;60,"50-59",TRUE(),"60+")</f>
        <v>30-39</v>
      </c>
      <c r="O3818" s="2" t="str">
        <f aca="false">_xlfn.IFS(G3818&lt;0,"1 Negative",G3818=0,"2 Zero",G3818&lt;=500,"3 1-500",G3818&lt;=2000,"4 501-2000",TRUE(),"5 Above 2000")</f>
        <v>5 Above 2000</v>
      </c>
      <c r="P3818" s="2" t="n">
        <f aca="false">Lookups!$B$2*M3818+Lookups!$B$3*L3818</f>
        <v>0</v>
      </c>
      <c r="Q3818" s="2" t="str">
        <f aca="false">INDEX(Lookups!$E$2:$E$5,MATCH(P3818,Lookups!$D$2:$D$5,0))</f>
        <v>Low</v>
      </c>
    </row>
    <row r="3819" customFormat="false" ht="15" hidden="false" customHeight="false" outlineLevel="0" collapsed="false">
      <c r="A3819" s="3" t="n">
        <v>3818</v>
      </c>
      <c r="B3819" s="3" t="n">
        <f aca="false">Raw_Data!A3819</f>
        <v>33</v>
      </c>
      <c r="C3819" s="3" t="str">
        <f aca="false">SUBSTITUTE(Raw_Data!B3819,".","")</f>
        <v>admin</v>
      </c>
      <c r="D3819" s="3" t="str">
        <f aca="false">Raw_Data!C3819</f>
        <v>married</v>
      </c>
      <c r="E3819" s="3" t="str">
        <f aca="false">Raw_Data!D3819</f>
        <v>secondary</v>
      </c>
      <c r="F3819" s="3" t="str">
        <f aca="false">Raw_Data!E3819</f>
        <v>no</v>
      </c>
      <c r="G3819" s="3" t="n">
        <f aca="false">Raw_Data!F3819</f>
        <v>95</v>
      </c>
      <c r="H3819" s="3" t="str">
        <f aca="false">Raw_Data!G3819</f>
        <v>yes</v>
      </c>
      <c r="I3819" s="3" t="str">
        <f aca="false">Raw_Data!H3819</f>
        <v>no</v>
      </c>
      <c r="J3819" s="2" t="n">
        <f aca="false">IF(F3819="yes",1,0)</f>
        <v>0</v>
      </c>
      <c r="K3819" s="2" t="n">
        <f aca="false">IF(H3819="yes",1,0)</f>
        <v>1</v>
      </c>
      <c r="L3819" s="2" t="n">
        <f aca="false">IF(I3819="yes",1,0)</f>
        <v>0</v>
      </c>
      <c r="M3819" s="2" t="n">
        <f aca="false">IF(G3819&lt;0,1,0)</f>
        <v>0</v>
      </c>
      <c r="N3819" s="2" t="str">
        <f aca="false">_xlfn.IFS(B3819&lt;30,"Under 30",B3819&lt;40,"30-39",B3819&lt;50,"40-49",B3819&lt;60,"50-59",TRUE(),"60+")</f>
        <v>30-39</v>
      </c>
      <c r="O3819" s="2" t="str">
        <f aca="false">_xlfn.IFS(G3819&lt;0,"1 Negative",G3819=0,"2 Zero",G3819&lt;=500,"3 1-500",G3819&lt;=2000,"4 501-2000",TRUE(),"5 Above 2000")</f>
        <v>3 1-500</v>
      </c>
      <c r="P3819" s="2" t="n">
        <f aca="false">Lookups!$B$2*M3819+Lookups!$B$3*L3819</f>
        <v>0</v>
      </c>
      <c r="Q3819" s="2" t="str">
        <f aca="false">INDEX(Lookups!$E$2:$E$5,MATCH(P3819,Lookups!$D$2:$D$5,0))</f>
        <v>Low</v>
      </c>
    </row>
    <row r="3820" customFormat="false" ht="15" hidden="false" customHeight="false" outlineLevel="0" collapsed="false">
      <c r="A3820" s="3" t="n">
        <v>3819</v>
      </c>
      <c r="B3820" s="3" t="n">
        <f aca="false">Raw_Data!A3820</f>
        <v>53</v>
      </c>
      <c r="C3820" s="3" t="str">
        <f aca="false">SUBSTITUTE(Raw_Data!B3820,".","")</f>
        <v>services</v>
      </c>
      <c r="D3820" s="3" t="str">
        <f aca="false">Raw_Data!C3820</f>
        <v>divorced</v>
      </c>
      <c r="E3820" s="3" t="str">
        <f aca="false">Raw_Data!D3820</f>
        <v>secondary</v>
      </c>
      <c r="F3820" s="3" t="str">
        <f aca="false">Raw_Data!E3820</f>
        <v>no</v>
      </c>
      <c r="G3820" s="3" t="n">
        <f aca="false">Raw_Data!F3820</f>
        <v>765</v>
      </c>
      <c r="H3820" s="3" t="str">
        <f aca="false">Raw_Data!G3820</f>
        <v>yes</v>
      </c>
      <c r="I3820" s="3" t="str">
        <f aca="false">Raw_Data!H3820</f>
        <v>no</v>
      </c>
      <c r="J3820" s="2" t="n">
        <f aca="false">IF(F3820="yes",1,0)</f>
        <v>0</v>
      </c>
      <c r="K3820" s="2" t="n">
        <f aca="false">IF(H3820="yes",1,0)</f>
        <v>1</v>
      </c>
      <c r="L3820" s="2" t="n">
        <f aca="false">IF(I3820="yes",1,0)</f>
        <v>0</v>
      </c>
      <c r="M3820" s="2" t="n">
        <f aca="false">IF(G3820&lt;0,1,0)</f>
        <v>0</v>
      </c>
      <c r="N3820" s="2" t="str">
        <f aca="false">_xlfn.IFS(B3820&lt;30,"Under 30",B3820&lt;40,"30-39",B3820&lt;50,"40-49",B3820&lt;60,"50-59",TRUE(),"60+")</f>
        <v>50-59</v>
      </c>
      <c r="O3820" s="2" t="str">
        <f aca="false">_xlfn.IFS(G3820&lt;0,"1 Negative",G3820=0,"2 Zero",G3820&lt;=500,"3 1-500",G3820&lt;=2000,"4 501-2000",TRUE(),"5 Above 2000")</f>
        <v>4 501-2000</v>
      </c>
      <c r="P3820" s="2" t="n">
        <f aca="false">Lookups!$B$2*M3820+Lookups!$B$3*L3820</f>
        <v>0</v>
      </c>
      <c r="Q3820" s="2" t="str">
        <f aca="false">INDEX(Lookups!$E$2:$E$5,MATCH(P3820,Lookups!$D$2:$D$5,0))</f>
        <v>Low</v>
      </c>
    </row>
    <row r="3821" customFormat="false" ht="15" hidden="false" customHeight="false" outlineLevel="0" collapsed="false">
      <c r="A3821" s="3" t="n">
        <v>3820</v>
      </c>
      <c r="B3821" s="3" t="n">
        <f aca="false">Raw_Data!A3821</f>
        <v>46</v>
      </c>
      <c r="C3821" s="3" t="str">
        <f aca="false">SUBSTITUTE(Raw_Data!B3821,".","")</f>
        <v>technician</v>
      </c>
      <c r="D3821" s="3" t="str">
        <f aca="false">Raw_Data!C3821</f>
        <v>divorced</v>
      </c>
      <c r="E3821" s="3" t="str">
        <f aca="false">Raw_Data!D3821</f>
        <v>secondary</v>
      </c>
      <c r="F3821" s="3" t="str">
        <f aca="false">Raw_Data!E3821</f>
        <v>no</v>
      </c>
      <c r="G3821" s="3" t="n">
        <f aca="false">Raw_Data!F3821</f>
        <v>-824</v>
      </c>
      <c r="H3821" s="3" t="str">
        <f aca="false">Raw_Data!G3821</f>
        <v>yes</v>
      </c>
      <c r="I3821" s="3" t="str">
        <f aca="false">Raw_Data!H3821</f>
        <v>no</v>
      </c>
      <c r="J3821" s="2" t="n">
        <f aca="false">IF(F3821="yes",1,0)</f>
        <v>0</v>
      </c>
      <c r="K3821" s="2" t="n">
        <f aca="false">IF(H3821="yes",1,0)</f>
        <v>1</v>
      </c>
      <c r="L3821" s="2" t="n">
        <f aca="false">IF(I3821="yes",1,0)</f>
        <v>0</v>
      </c>
      <c r="M3821" s="2" t="n">
        <f aca="false">IF(G3821&lt;0,1,0)</f>
        <v>1</v>
      </c>
      <c r="N3821" s="2" t="str">
        <f aca="false">_xlfn.IFS(B3821&lt;30,"Under 30",B3821&lt;40,"30-39",B3821&lt;50,"40-49",B3821&lt;60,"50-59",TRUE(),"60+")</f>
        <v>40-49</v>
      </c>
      <c r="O3821" s="2" t="str">
        <f aca="false">_xlfn.IFS(G3821&lt;0,"1 Negative",G3821=0,"2 Zero",G3821&lt;=500,"3 1-500",G3821&lt;=2000,"4 501-2000",TRUE(),"5 Above 2000")</f>
        <v>1 Negative</v>
      </c>
      <c r="P3821" s="2" t="n">
        <f aca="false">Lookups!$B$2*M3821+Lookups!$B$3*L3821</f>
        <v>2</v>
      </c>
      <c r="Q3821" s="2" t="str">
        <f aca="false">INDEX(Lookups!$E$2:$E$5,MATCH(P3821,Lookups!$D$2:$D$5,0))</f>
        <v>High</v>
      </c>
    </row>
    <row r="3822" customFormat="false" ht="15" hidden="false" customHeight="false" outlineLevel="0" collapsed="false">
      <c r="A3822" s="3" t="n">
        <v>3821</v>
      </c>
      <c r="B3822" s="3" t="n">
        <f aca="false">Raw_Data!A3822</f>
        <v>28</v>
      </c>
      <c r="C3822" s="3" t="str">
        <f aca="false">SUBSTITUTE(Raw_Data!B3822,".","")</f>
        <v>management</v>
      </c>
      <c r="D3822" s="3" t="str">
        <f aca="false">Raw_Data!C3822</f>
        <v>single</v>
      </c>
      <c r="E3822" s="3" t="str">
        <f aca="false">Raw_Data!D3822</f>
        <v>tertiary</v>
      </c>
      <c r="F3822" s="3" t="str">
        <f aca="false">Raw_Data!E3822</f>
        <v>no</v>
      </c>
      <c r="G3822" s="3" t="n">
        <f aca="false">Raw_Data!F3822</f>
        <v>5549</v>
      </c>
      <c r="H3822" s="3" t="str">
        <f aca="false">Raw_Data!G3822</f>
        <v>no</v>
      </c>
      <c r="I3822" s="3" t="str">
        <f aca="false">Raw_Data!H3822</f>
        <v>no</v>
      </c>
      <c r="J3822" s="2" t="n">
        <f aca="false">IF(F3822="yes",1,0)</f>
        <v>0</v>
      </c>
      <c r="K3822" s="2" t="n">
        <f aca="false">IF(H3822="yes",1,0)</f>
        <v>0</v>
      </c>
      <c r="L3822" s="2" t="n">
        <f aca="false">IF(I3822="yes",1,0)</f>
        <v>0</v>
      </c>
      <c r="M3822" s="2" t="n">
        <f aca="false">IF(G3822&lt;0,1,0)</f>
        <v>0</v>
      </c>
      <c r="N3822" s="2" t="str">
        <f aca="false">_xlfn.IFS(B3822&lt;30,"Under 30",B3822&lt;40,"30-39",B3822&lt;50,"40-49",B3822&lt;60,"50-59",TRUE(),"60+")</f>
        <v>Under 30</v>
      </c>
      <c r="O3822" s="2" t="str">
        <f aca="false">_xlfn.IFS(G3822&lt;0,"1 Negative",G3822=0,"2 Zero",G3822&lt;=500,"3 1-500",G3822&lt;=2000,"4 501-2000",TRUE(),"5 Above 2000")</f>
        <v>5 Above 2000</v>
      </c>
      <c r="P3822" s="2" t="n">
        <f aca="false">Lookups!$B$2*M3822+Lookups!$B$3*L3822</f>
        <v>0</v>
      </c>
      <c r="Q3822" s="2" t="str">
        <f aca="false">INDEX(Lookups!$E$2:$E$5,MATCH(P3822,Lookups!$D$2:$D$5,0))</f>
        <v>Low</v>
      </c>
    </row>
    <row r="3823" customFormat="false" ht="15" hidden="false" customHeight="false" outlineLevel="0" collapsed="false">
      <c r="A3823" s="3" t="n">
        <v>3822</v>
      </c>
      <c r="B3823" s="3" t="n">
        <f aca="false">Raw_Data!A3823</f>
        <v>31</v>
      </c>
      <c r="C3823" s="3" t="str">
        <f aca="false">SUBSTITUTE(Raw_Data!B3823,".","")</f>
        <v>blue-collar</v>
      </c>
      <c r="D3823" s="3" t="str">
        <f aca="false">Raw_Data!C3823</f>
        <v>married</v>
      </c>
      <c r="E3823" s="3" t="str">
        <f aca="false">Raw_Data!D3823</f>
        <v>secondary</v>
      </c>
      <c r="F3823" s="3" t="str">
        <f aca="false">Raw_Data!E3823</f>
        <v>no</v>
      </c>
      <c r="G3823" s="3" t="n">
        <f aca="false">Raw_Data!F3823</f>
        <v>191</v>
      </c>
      <c r="H3823" s="3" t="str">
        <f aca="false">Raw_Data!G3823</f>
        <v>yes</v>
      </c>
      <c r="I3823" s="3" t="str">
        <f aca="false">Raw_Data!H3823</f>
        <v>no</v>
      </c>
      <c r="J3823" s="2" t="n">
        <f aca="false">IF(F3823="yes",1,0)</f>
        <v>0</v>
      </c>
      <c r="K3823" s="2" t="n">
        <f aca="false">IF(H3823="yes",1,0)</f>
        <v>1</v>
      </c>
      <c r="L3823" s="2" t="n">
        <f aca="false">IF(I3823="yes",1,0)</f>
        <v>0</v>
      </c>
      <c r="M3823" s="2" t="n">
        <f aca="false">IF(G3823&lt;0,1,0)</f>
        <v>0</v>
      </c>
      <c r="N3823" s="2" t="str">
        <f aca="false">_xlfn.IFS(B3823&lt;30,"Under 30",B3823&lt;40,"30-39",B3823&lt;50,"40-49",B3823&lt;60,"50-59",TRUE(),"60+")</f>
        <v>30-39</v>
      </c>
      <c r="O3823" s="2" t="str">
        <f aca="false">_xlfn.IFS(G3823&lt;0,"1 Negative",G3823=0,"2 Zero",G3823&lt;=500,"3 1-500",G3823&lt;=2000,"4 501-2000",TRUE(),"5 Above 2000")</f>
        <v>3 1-500</v>
      </c>
      <c r="P3823" s="2" t="n">
        <f aca="false">Lookups!$B$2*M3823+Lookups!$B$3*L3823</f>
        <v>0</v>
      </c>
      <c r="Q3823" s="2" t="str">
        <f aca="false">INDEX(Lookups!$E$2:$E$5,MATCH(P3823,Lookups!$D$2:$D$5,0))</f>
        <v>Low</v>
      </c>
    </row>
    <row r="3824" customFormat="false" ht="15" hidden="false" customHeight="false" outlineLevel="0" collapsed="false">
      <c r="A3824" s="3" t="n">
        <v>3823</v>
      </c>
      <c r="B3824" s="3" t="n">
        <f aca="false">Raw_Data!A3824</f>
        <v>44</v>
      </c>
      <c r="C3824" s="3" t="str">
        <f aca="false">SUBSTITUTE(Raw_Data!B3824,".","")</f>
        <v>blue-collar</v>
      </c>
      <c r="D3824" s="3" t="str">
        <f aca="false">Raw_Data!C3824</f>
        <v>married</v>
      </c>
      <c r="E3824" s="3" t="str">
        <f aca="false">Raw_Data!D3824</f>
        <v>primary</v>
      </c>
      <c r="F3824" s="3" t="str">
        <f aca="false">Raw_Data!E3824</f>
        <v>no</v>
      </c>
      <c r="G3824" s="3" t="n">
        <f aca="false">Raw_Data!F3824</f>
        <v>420</v>
      </c>
      <c r="H3824" s="3" t="str">
        <f aca="false">Raw_Data!G3824</f>
        <v>yes</v>
      </c>
      <c r="I3824" s="3" t="str">
        <f aca="false">Raw_Data!H3824</f>
        <v>no</v>
      </c>
      <c r="J3824" s="2" t="n">
        <f aca="false">IF(F3824="yes",1,0)</f>
        <v>0</v>
      </c>
      <c r="K3824" s="2" t="n">
        <f aca="false">IF(H3824="yes",1,0)</f>
        <v>1</v>
      </c>
      <c r="L3824" s="2" t="n">
        <f aca="false">IF(I3824="yes",1,0)</f>
        <v>0</v>
      </c>
      <c r="M3824" s="2" t="n">
        <f aca="false">IF(G3824&lt;0,1,0)</f>
        <v>0</v>
      </c>
      <c r="N3824" s="2" t="str">
        <f aca="false">_xlfn.IFS(B3824&lt;30,"Under 30",B3824&lt;40,"30-39",B3824&lt;50,"40-49",B3824&lt;60,"50-59",TRUE(),"60+")</f>
        <v>40-49</v>
      </c>
      <c r="O3824" s="2" t="str">
        <f aca="false">_xlfn.IFS(G3824&lt;0,"1 Negative",G3824=0,"2 Zero",G3824&lt;=500,"3 1-500",G3824&lt;=2000,"4 501-2000",TRUE(),"5 Above 2000")</f>
        <v>3 1-500</v>
      </c>
      <c r="P3824" s="2" t="n">
        <f aca="false">Lookups!$B$2*M3824+Lookups!$B$3*L3824</f>
        <v>0</v>
      </c>
      <c r="Q3824" s="2" t="str">
        <f aca="false">INDEX(Lookups!$E$2:$E$5,MATCH(P3824,Lookups!$D$2:$D$5,0))</f>
        <v>Low</v>
      </c>
    </row>
    <row r="3825" customFormat="false" ht="15" hidden="false" customHeight="false" outlineLevel="0" collapsed="false">
      <c r="A3825" s="3" t="n">
        <v>3824</v>
      </c>
      <c r="B3825" s="3" t="n">
        <f aca="false">Raw_Data!A3825</f>
        <v>35</v>
      </c>
      <c r="C3825" s="3" t="str">
        <f aca="false">SUBSTITUTE(Raw_Data!B3825,".","")</f>
        <v>admin</v>
      </c>
      <c r="D3825" s="3" t="str">
        <f aca="false">Raw_Data!C3825</f>
        <v>married</v>
      </c>
      <c r="E3825" s="3" t="str">
        <f aca="false">Raw_Data!D3825</f>
        <v>secondary</v>
      </c>
      <c r="F3825" s="3" t="str">
        <f aca="false">Raw_Data!E3825</f>
        <v>no</v>
      </c>
      <c r="G3825" s="3" t="n">
        <f aca="false">Raw_Data!F3825</f>
        <v>0</v>
      </c>
      <c r="H3825" s="3" t="str">
        <f aca="false">Raw_Data!G3825</f>
        <v>no</v>
      </c>
      <c r="I3825" s="3" t="str">
        <f aca="false">Raw_Data!H3825</f>
        <v>no</v>
      </c>
      <c r="J3825" s="2" t="n">
        <f aca="false">IF(F3825="yes",1,0)</f>
        <v>0</v>
      </c>
      <c r="K3825" s="2" t="n">
        <f aca="false">IF(H3825="yes",1,0)</f>
        <v>0</v>
      </c>
      <c r="L3825" s="2" t="n">
        <f aca="false">IF(I3825="yes",1,0)</f>
        <v>0</v>
      </c>
      <c r="M3825" s="2" t="n">
        <f aca="false">IF(G3825&lt;0,1,0)</f>
        <v>0</v>
      </c>
      <c r="N3825" s="2" t="str">
        <f aca="false">_xlfn.IFS(B3825&lt;30,"Under 30",B3825&lt;40,"30-39",B3825&lt;50,"40-49",B3825&lt;60,"50-59",TRUE(),"60+")</f>
        <v>30-39</v>
      </c>
      <c r="O3825" s="2" t="str">
        <f aca="false">_xlfn.IFS(G3825&lt;0,"1 Negative",G3825=0,"2 Zero",G3825&lt;=500,"3 1-500",G3825&lt;=2000,"4 501-2000",TRUE(),"5 Above 2000")</f>
        <v>2 Zero</v>
      </c>
      <c r="P3825" s="2" t="n">
        <f aca="false">Lookups!$B$2*M3825+Lookups!$B$3*L3825</f>
        <v>0</v>
      </c>
      <c r="Q3825" s="2" t="str">
        <f aca="false">INDEX(Lookups!$E$2:$E$5,MATCH(P3825,Lookups!$D$2:$D$5,0))</f>
        <v>Low</v>
      </c>
    </row>
    <row r="3826" customFormat="false" ht="15" hidden="false" customHeight="false" outlineLevel="0" collapsed="false">
      <c r="A3826" s="3" t="n">
        <v>3825</v>
      </c>
      <c r="B3826" s="3" t="n">
        <f aca="false">Raw_Data!A3826</f>
        <v>50</v>
      </c>
      <c r="C3826" s="3" t="str">
        <f aca="false">SUBSTITUTE(Raw_Data!B3826,".","")</f>
        <v>technician</v>
      </c>
      <c r="D3826" s="3" t="str">
        <f aca="false">Raw_Data!C3826</f>
        <v>divorced</v>
      </c>
      <c r="E3826" s="3" t="str">
        <f aca="false">Raw_Data!D3826</f>
        <v>unknown</v>
      </c>
      <c r="F3826" s="3" t="str">
        <f aca="false">Raw_Data!E3826</f>
        <v>no</v>
      </c>
      <c r="G3826" s="3" t="n">
        <f aca="false">Raw_Data!F3826</f>
        <v>2706</v>
      </c>
      <c r="H3826" s="3" t="str">
        <f aca="false">Raw_Data!G3826</f>
        <v>yes</v>
      </c>
      <c r="I3826" s="3" t="str">
        <f aca="false">Raw_Data!H3826</f>
        <v>no</v>
      </c>
      <c r="J3826" s="2" t="n">
        <f aca="false">IF(F3826="yes",1,0)</f>
        <v>0</v>
      </c>
      <c r="K3826" s="2" t="n">
        <f aca="false">IF(H3826="yes",1,0)</f>
        <v>1</v>
      </c>
      <c r="L3826" s="2" t="n">
        <f aca="false">IF(I3826="yes",1,0)</f>
        <v>0</v>
      </c>
      <c r="M3826" s="2" t="n">
        <f aca="false">IF(G3826&lt;0,1,0)</f>
        <v>0</v>
      </c>
      <c r="N3826" s="2" t="str">
        <f aca="false">_xlfn.IFS(B3826&lt;30,"Under 30",B3826&lt;40,"30-39",B3826&lt;50,"40-49",B3826&lt;60,"50-59",TRUE(),"60+")</f>
        <v>50-59</v>
      </c>
      <c r="O3826" s="2" t="str">
        <f aca="false">_xlfn.IFS(G3826&lt;0,"1 Negative",G3826=0,"2 Zero",G3826&lt;=500,"3 1-500",G3826&lt;=2000,"4 501-2000",TRUE(),"5 Above 2000")</f>
        <v>5 Above 2000</v>
      </c>
      <c r="P3826" s="2" t="n">
        <f aca="false">Lookups!$B$2*M3826+Lookups!$B$3*L3826</f>
        <v>0</v>
      </c>
      <c r="Q3826" s="2" t="str">
        <f aca="false">INDEX(Lookups!$E$2:$E$5,MATCH(P3826,Lookups!$D$2:$D$5,0))</f>
        <v>Low</v>
      </c>
    </row>
    <row r="3827" customFormat="false" ht="15" hidden="false" customHeight="false" outlineLevel="0" collapsed="false">
      <c r="A3827" s="3" t="n">
        <v>3826</v>
      </c>
      <c r="B3827" s="3" t="n">
        <f aca="false">Raw_Data!A3827</f>
        <v>32</v>
      </c>
      <c r="C3827" s="3" t="str">
        <f aca="false">SUBSTITUTE(Raw_Data!B3827,".","")</f>
        <v>technician</v>
      </c>
      <c r="D3827" s="3" t="str">
        <f aca="false">Raw_Data!C3827</f>
        <v>married</v>
      </c>
      <c r="E3827" s="3" t="str">
        <f aca="false">Raw_Data!D3827</f>
        <v>secondary</v>
      </c>
      <c r="F3827" s="3" t="str">
        <f aca="false">Raw_Data!E3827</f>
        <v>yes</v>
      </c>
      <c r="G3827" s="3" t="n">
        <f aca="false">Raw_Data!F3827</f>
        <v>4</v>
      </c>
      <c r="H3827" s="3" t="str">
        <f aca="false">Raw_Data!G3827</f>
        <v>yes</v>
      </c>
      <c r="I3827" s="3" t="str">
        <f aca="false">Raw_Data!H3827</f>
        <v>yes</v>
      </c>
      <c r="J3827" s="2" t="n">
        <f aca="false">IF(F3827="yes",1,0)</f>
        <v>1</v>
      </c>
      <c r="K3827" s="2" t="n">
        <f aca="false">IF(H3827="yes",1,0)</f>
        <v>1</v>
      </c>
      <c r="L3827" s="2" t="n">
        <f aca="false">IF(I3827="yes",1,0)</f>
        <v>1</v>
      </c>
      <c r="M3827" s="2" t="n">
        <f aca="false">IF(G3827&lt;0,1,0)</f>
        <v>0</v>
      </c>
      <c r="N3827" s="2" t="str">
        <f aca="false">_xlfn.IFS(B3827&lt;30,"Under 30",B3827&lt;40,"30-39",B3827&lt;50,"40-49",B3827&lt;60,"50-59",TRUE(),"60+")</f>
        <v>30-39</v>
      </c>
      <c r="O3827" s="2" t="str">
        <f aca="false">_xlfn.IFS(G3827&lt;0,"1 Negative",G3827=0,"2 Zero",G3827&lt;=500,"3 1-500",G3827&lt;=2000,"4 501-2000",TRUE(),"5 Above 2000")</f>
        <v>3 1-500</v>
      </c>
      <c r="P3827" s="2" t="n">
        <f aca="false">Lookups!$B$2*M3827+Lookups!$B$3*L3827</f>
        <v>1</v>
      </c>
      <c r="Q3827" s="2" t="str">
        <f aca="false">INDEX(Lookups!$E$2:$E$5,MATCH(P3827,Lookups!$D$2:$D$5,0))</f>
        <v>Medium</v>
      </c>
    </row>
    <row r="3828" customFormat="false" ht="15" hidden="false" customHeight="false" outlineLevel="0" collapsed="false">
      <c r="A3828" s="3" t="n">
        <v>3827</v>
      </c>
      <c r="B3828" s="3" t="n">
        <f aca="false">Raw_Data!A3828</f>
        <v>51</v>
      </c>
      <c r="C3828" s="3" t="str">
        <f aca="false">SUBSTITUTE(Raw_Data!B3828,".","")</f>
        <v>admin</v>
      </c>
      <c r="D3828" s="3" t="str">
        <f aca="false">Raw_Data!C3828</f>
        <v>married</v>
      </c>
      <c r="E3828" s="3" t="str">
        <f aca="false">Raw_Data!D3828</f>
        <v>secondary</v>
      </c>
      <c r="F3828" s="3" t="str">
        <f aca="false">Raw_Data!E3828</f>
        <v>no</v>
      </c>
      <c r="G3828" s="3" t="n">
        <f aca="false">Raw_Data!F3828</f>
        <v>423</v>
      </c>
      <c r="H3828" s="3" t="str">
        <f aca="false">Raw_Data!G3828</f>
        <v>yes</v>
      </c>
      <c r="I3828" s="3" t="str">
        <f aca="false">Raw_Data!H3828</f>
        <v>yes</v>
      </c>
      <c r="J3828" s="2" t="n">
        <f aca="false">IF(F3828="yes",1,0)</f>
        <v>0</v>
      </c>
      <c r="K3828" s="2" t="n">
        <f aca="false">IF(H3828="yes",1,0)</f>
        <v>1</v>
      </c>
      <c r="L3828" s="2" t="n">
        <f aca="false">IF(I3828="yes",1,0)</f>
        <v>1</v>
      </c>
      <c r="M3828" s="2" t="n">
        <f aca="false">IF(G3828&lt;0,1,0)</f>
        <v>0</v>
      </c>
      <c r="N3828" s="2" t="str">
        <f aca="false">_xlfn.IFS(B3828&lt;30,"Under 30",B3828&lt;40,"30-39",B3828&lt;50,"40-49",B3828&lt;60,"50-59",TRUE(),"60+")</f>
        <v>50-59</v>
      </c>
      <c r="O3828" s="2" t="str">
        <f aca="false">_xlfn.IFS(G3828&lt;0,"1 Negative",G3828=0,"2 Zero",G3828&lt;=500,"3 1-500",G3828&lt;=2000,"4 501-2000",TRUE(),"5 Above 2000")</f>
        <v>3 1-500</v>
      </c>
      <c r="P3828" s="2" t="n">
        <f aca="false">Lookups!$B$2*M3828+Lookups!$B$3*L3828</f>
        <v>1</v>
      </c>
      <c r="Q3828" s="2" t="str">
        <f aca="false">INDEX(Lookups!$E$2:$E$5,MATCH(P3828,Lookups!$D$2:$D$5,0))</f>
        <v>Medium</v>
      </c>
    </row>
    <row r="3829" customFormat="false" ht="15" hidden="false" customHeight="false" outlineLevel="0" collapsed="false">
      <c r="A3829" s="3" t="n">
        <v>3828</v>
      </c>
      <c r="B3829" s="3" t="n">
        <f aca="false">Raw_Data!A3829</f>
        <v>51</v>
      </c>
      <c r="C3829" s="3" t="str">
        <f aca="false">SUBSTITUTE(Raw_Data!B3829,".","")</f>
        <v>management</v>
      </c>
      <c r="D3829" s="3" t="str">
        <f aca="false">Raw_Data!C3829</f>
        <v>married</v>
      </c>
      <c r="E3829" s="3" t="str">
        <f aca="false">Raw_Data!D3829</f>
        <v>tertiary</v>
      </c>
      <c r="F3829" s="3" t="str">
        <f aca="false">Raw_Data!E3829</f>
        <v>no</v>
      </c>
      <c r="G3829" s="3" t="n">
        <f aca="false">Raw_Data!F3829</f>
        <v>-892</v>
      </c>
      <c r="H3829" s="3" t="str">
        <f aca="false">Raw_Data!G3829</f>
        <v>yes</v>
      </c>
      <c r="I3829" s="3" t="str">
        <f aca="false">Raw_Data!H3829</f>
        <v>yes</v>
      </c>
      <c r="J3829" s="2" t="n">
        <f aca="false">IF(F3829="yes",1,0)</f>
        <v>0</v>
      </c>
      <c r="K3829" s="2" t="n">
        <f aca="false">IF(H3829="yes",1,0)</f>
        <v>1</v>
      </c>
      <c r="L3829" s="2" t="n">
        <f aca="false">IF(I3829="yes",1,0)</f>
        <v>1</v>
      </c>
      <c r="M3829" s="2" t="n">
        <f aca="false">IF(G3829&lt;0,1,0)</f>
        <v>1</v>
      </c>
      <c r="N3829" s="2" t="str">
        <f aca="false">_xlfn.IFS(B3829&lt;30,"Under 30",B3829&lt;40,"30-39",B3829&lt;50,"40-49",B3829&lt;60,"50-59",TRUE(),"60+")</f>
        <v>50-59</v>
      </c>
      <c r="O3829" s="2" t="str">
        <f aca="false">_xlfn.IFS(G3829&lt;0,"1 Negative",G3829=0,"2 Zero",G3829&lt;=500,"3 1-500",G3829&lt;=2000,"4 501-2000",TRUE(),"5 Above 2000")</f>
        <v>1 Negative</v>
      </c>
      <c r="P3829" s="2" t="n">
        <f aca="false">Lookups!$B$2*M3829+Lookups!$B$3*L3829</f>
        <v>3</v>
      </c>
      <c r="Q3829" s="2" t="str">
        <f aca="false">INDEX(Lookups!$E$2:$E$5,MATCH(P3829,Lookups!$D$2:$D$5,0))</f>
        <v>High</v>
      </c>
    </row>
    <row r="3830" customFormat="false" ht="15" hidden="false" customHeight="false" outlineLevel="0" collapsed="false">
      <c r="A3830" s="3" t="n">
        <v>3829</v>
      </c>
      <c r="B3830" s="3" t="n">
        <f aca="false">Raw_Data!A3830</f>
        <v>31</v>
      </c>
      <c r="C3830" s="3" t="str">
        <f aca="false">SUBSTITUTE(Raw_Data!B3830,".","")</f>
        <v>blue-collar</v>
      </c>
      <c r="D3830" s="3" t="str">
        <f aca="false">Raw_Data!C3830</f>
        <v>married</v>
      </c>
      <c r="E3830" s="3" t="str">
        <f aca="false">Raw_Data!D3830</f>
        <v>unknown</v>
      </c>
      <c r="F3830" s="3" t="str">
        <f aca="false">Raw_Data!E3830</f>
        <v>no</v>
      </c>
      <c r="G3830" s="3" t="n">
        <f aca="false">Raw_Data!F3830</f>
        <v>-120</v>
      </c>
      <c r="H3830" s="3" t="str">
        <f aca="false">Raw_Data!G3830</f>
        <v>yes</v>
      </c>
      <c r="I3830" s="3" t="str">
        <f aca="false">Raw_Data!H3830</f>
        <v>no</v>
      </c>
      <c r="J3830" s="2" t="n">
        <f aca="false">IF(F3830="yes",1,0)</f>
        <v>0</v>
      </c>
      <c r="K3830" s="2" t="n">
        <f aca="false">IF(H3830="yes",1,0)</f>
        <v>1</v>
      </c>
      <c r="L3830" s="2" t="n">
        <f aca="false">IF(I3830="yes",1,0)</f>
        <v>0</v>
      </c>
      <c r="M3830" s="2" t="n">
        <f aca="false">IF(G3830&lt;0,1,0)</f>
        <v>1</v>
      </c>
      <c r="N3830" s="2" t="str">
        <f aca="false">_xlfn.IFS(B3830&lt;30,"Under 30",B3830&lt;40,"30-39",B3830&lt;50,"40-49",B3830&lt;60,"50-59",TRUE(),"60+")</f>
        <v>30-39</v>
      </c>
      <c r="O3830" s="2" t="str">
        <f aca="false">_xlfn.IFS(G3830&lt;0,"1 Negative",G3830=0,"2 Zero",G3830&lt;=500,"3 1-500",G3830&lt;=2000,"4 501-2000",TRUE(),"5 Above 2000")</f>
        <v>1 Negative</v>
      </c>
      <c r="P3830" s="2" t="n">
        <f aca="false">Lookups!$B$2*M3830+Lookups!$B$3*L3830</f>
        <v>2</v>
      </c>
      <c r="Q3830" s="2" t="str">
        <f aca="false">INDEX(Lookups!$E$2:$E$5,MATCH(P3830,Lookups!$D$2:$D$5,0))</f>
        <v>High</v>
      </c>
    </row>
    <row r="3831" customFormat="false" ht="15" hidden="false" customHeight="false" outlineLevel="0" collapsed="false">
      <c r="A3831" s="3" t="n">
        <v>3830</v>
      </c>
      <c r="B3831" s="3" t="n">
        <f aca="false">Raw_Data!A3831</f>
        <v>41</v>
      </c>
      <c r="C3831" s="3" t="str">
        <f aca="false">SUBSTITUTE(Raw_Data!B3831,".","")</f>
        <v>admin</v>
      </c>
      <c r="D3831" s="3" t="str">
        <f aca="false">Raw_Data!C3831</f>
        <v>divorced</v>
      </c>
      <c r="E3831" s="3" t="str">
        <f aca="false">Raw_Data!D3831</f>
        <v>secondary</v>
      </c>
      <c r="F3831" s="3" t="str">
        <f aca="false">Raw_Data!E3831</f>
        <v>no</v>
      </c>
      <c r="G3831" s="3" t="n">
        <f aca="false">Raw_Data!F3831</f>
        <v>-365</v>
      </c>
      <c r="H3831" s="3" t="str">
        <f aca="false">Raw_Data!G3831</f>
        <v>yes</v>
      </c>
      <c r="I3831" s="3" t="str">
        <f aca="false">Raw_Data!H3831</f>
        <v>no</v>
      </c>
      <c r="J3831" s="2" t="n">
        <f aca="false">IF(F3831="yes",1,0)</f>
        <v>0</v>
      </c>
      <c r="K3831" s="2" t="n">
        <f aca="false">IF(H3831="yes",1,0)</f>
        <v>1</v>
      </c>
      <c r="L3831" s="2" t="n">
        <f aca="false">IF(I3831="yes",1,0)</f>
        <v>0</v>
      </c>
      <c r="M3831" s="2" t="n">
        <f aca="false">IF(G3831&lt;0,1,0)</f>
        <v>1</v>
      </c>
      <c r="N3831" s="2" t="str">
        <f aca="false">_xlfn.IFS(B3831&lt;30,"Under 30",B3831&lt;40,"30-39",B3831&lt;50,"40-49",B3831&lt;60,"50-59",TRUE(),"60+")</f>
        <v>40-49</v>
      </c>
      <c r="O3831" s="2" t="str">
        <f aca="false">_xlfn.IFS(G3831&lt;0,"1 Negative",G3831=0,"2 Zero",G3831&lt;=500,"3 1-500",G3831&lt;=2000,"4 501-2000",TRUE(),"5 Above 2000")</f>
        <v>1 Negative</v>
      </c>
      <c r="P3831" s="2" t="n">
        <f aca="false">Lookups!$B$2*M3831+Lookups!$B$3*L3831</f>
        <v>2</v>
      </c>
      <c r="Q3831" s="2" t="str">
        <f aca="false">INDEX(Lookups!$E$2:$E$5,MATCH(P3831,Lookups!$D$2:$D$5,0))</f>
        <v>High</v>
      </c>
    </row>
    <row r="3832" customFormat="false" ht="15" hidden="false" customHeight="false" outlineLevel="0" collapsed="false">
      <c r="A3832" s="3" t="n">
        <v>3831</v>
      </c>
      <c r="B3832" s="3" t="n">
        <f aca="false">Raw_Data!A3832</f>
        <v>57</v>
      </c>
      <c r="C3832" s="3" t="str">
        <f aca="false">SUBSTITUTE(Raw_Data!B3832,".","")</f>
        <v>technician</v>
      </c>
      <c r="D3832" s="3" t="str">
        <f aca="false">Raw_Data!C3832</f>
        <v>married</v>
      </c>
      <c r="E3832" s="3" t="str">
        <f aca="false">Raw_Data!D3832</f>
        <v>tertiary</v>
      </c>
      <c r="F3832" s="3" t="str">
        <f aca="false">Raw_Data!E3832</f>
        <v>no</v>
      </c>
      <c r="G3832" s="3" t="n">
        <f aca="false">Raw_Data!F3832</f>
        <v>27069</v>
      </c>
      <c r="H3832" s="3" t="str">
        <f aca="false">Raw_Data!G3832</f>
        <v>no</v>
      </c>
      <c r="I3832" s="3" t="str">
        <f aca="false">Raw_Data!H3832</f>
        <v>yes</v>
      </c>
      <c r="J3832" s="2" t="n">
        <f aca="false">IF(F3832="yes",1,0)</f>
        <v>0</v>
      </c>
      <c r="K3832" s="2" t="n">
        <f aca="false">IF(H3832="yes",1,0)</f>
        <v>0</v>
      </c>
      <c r="L3832" s="2" t="n">
        <f aca="false">IF(I3832="yes",1,0)</f>
        <v>1</v>
      </c>
      <c r="M3832" s="2" t="n">
        <f aca="false">IF(G3832&lt;0,1,0)</f>
        <v>0</v>
      </c>
      <c r="N3832" s="2" t="str">
        <f aca="false">_xlfn.IFS(B3832&lt;30,"Under 30",B3832&lt;40,"30-39",B3832&lt;50,"40-49",B3832&lt;60,"50-59",TRUE(),"60+")</f>
        <v>50-59</v>
      </c>
      <c r="O3832" s="2" t="str">
        <f aca="false">_xlfn.IFS(G3832&lt;0,"1 Negative",G3832=0,"2 Zero",G3832&lt;=500,"3 1-500",G3832&lt;=2000,"4 501-2000",TRUE(),"5 Above 2000")</f>
        <v>5 Above 2000</v>
      </c>
      <c r="P3832" s="2" t="n">
        <f aca="false">Lookups!$B$2*M3832+Lookups!$B$3*L3832</f>
        <v>1</v>
      </c>
      <c r="Q3832" s="2" t="str">
        <f aca="false">INDEX(Lookups!$E$2:$E$5,MATCH(P3832,Lookups!$D$2:$D$5,0))</f>
        <v>Medium</v>
      </c>
    </row>
    <row r="3833" customFormat="false" ht="15" hidden="false" customHeight="false" outlineLevel="0" collapsed="false">
      <c r="A3833" s="3" t="n">
        <v>3832</v>
      </c>
      <c r="B3833" s="3" t="n">
        <f aca="false">Raw_Data!A3833</f>
        <v>34</v>
      </c>
      <c r="C3833" s="3" t="str">
        <f aca="false">SUBSTITUTE(Raw_Data!B3833,".","")</f>
        <v>management</v>
      </c>
      <c r="D3833" s="3" t="str">
        <f aca="false">Raw_Data!C3833</f>
        <v>single</v>
      </c>
      <c r="E3833" s="3" t="str">
        <f aca="false">Raw_Data!D3833</f>
        <v>tertiary</v>
      </c>
      <c r="F3833" s="3" t="str">
        <f aca="false">Raw_Data!E3833</f>
        <v>no</v>
      </c>
      <c r="G3833" s="3" t="n">
        <f aca="false">Raw_Data!F3833</f>
        <v>8038</v>
      </c>
      <c r="H3833" s="3" t="str">
        <f aca="false">Raw_Data!G3833</f>
        <v>yes</v>
      </c>
      <c r="I3833" s="3" t="str">
        <f aca="false">Raw_Data!H3833</f>
        <v>no</v>
      </c>
      <c r="J3833" s="2" t="n">
        <f aca="false">IF(F3833="yes",1,0)</f>
        <v>0</v>
      </c>
      <c r="K3833" s="2" t="n">
        <f aca="false">IF(H3833="yes",1,0)</f>
        <v>1</v>
      </c>
      <c r="L3833" s="2" t="n">
        <f aca="false">IF(I3833="yes",1,0)</f>
        <v>0</v>
      </c>
      <c r="M3833" s="2" t="n">
        <f aca="false">IF(G3833&lt;0,1,0)</f>
        <v>0</v>
      </c>
      <c r="N3833" s="2" t="str">
        <f aca="false">_xlfn.IFS(B3833&lt;30,"Under 30",B3833&lt;40,"30-39",B3833&lt;50,"40-49",B3833&lt;60,"50-59",TRUE(),"60+")</f>
        <v>30-39</v>
      </c>
      <c r="O3833" s="2" t="str">
        <f aca="false">_xlfn.IFS(G3833&lt;0,"1 Negative",G3833=0,"2 Zero",G3833&lt;=500,"3 1-500",G3833&lt;=2000,"4 501-2000",TRUE(),"5 Above 2000")</f>
        <v>5 Above 2000</v>
      </c>
      <c r="P3833" s="2" t="n">
        <f aca="false">Lookups!$B$2*M3833+Lookups!$B$3*L3833</f>
        <v>0</v>
      </c>
      <c r="Q3833" s="2" t="str">
        <f aca="false">INDEX(Lookups!$E$2:$E$5,MATCH(P3833,Lookups!$D$2:$D$5,0))</f>
        <v>Low</v>
      </c>
    </row>
    <row r="3834" customFormat="false" ht="15" hidden="false" customHeight="false" outlineLevel="0" collapsed="false">
      <c r="A3834" s="3" t="n">
        <v>3833</v>
      </c>
      <c r="B3834" s="3" t="n">
        <f aca="false">Raw_Data!A3834</f>
        <v>47</v>
      </c>
      <c r="C3834" s="3" t="str">
        <f aca="false">SUBSTITUTE(Raw_Data!B3834,".","")</f>
        <v>technician</v>
      </c>
      <c r="D3834" s="3" t="str">
        <f aca="false">Raw_Data!C3834</f>
        <v>married</v>
      </c>
      <c r="E3834" s="3" t="str">
        <f aca="false">Raw_Data!D3834</f>
        <v>secondary</v>
      </c>
      <c r="F3834" s="3" t="str">
        <f aca="false">Raw_Data!E3834</f>
        <v>no</v>
      </c>
      <c r="G3834" s="3" t="n">
        <f aca="false">Raw_Data!F3834</f>
        <v>-938</v>
      </c>
      <c r="H3834" s="3" t="str">
        <f aca="false">Raw_Data!G3834</f>
        <v>yes</v>
      </c>
      <c r="I3834" s="3" t="str">
        <f aca="false">Raw_Data!H3834</f>
        <v>no</v>
      </c>
      <c r="J3834" s="2" t="n">
        <f aca="false">IF(F3834="yes",1,0)</f>
        <v>0</v>
      </c>
      <c r="K3834" s="2" t="n">
        <f aca="false">IF(H3834="yes",1,0)</f>
        <v>1</v>
      </c>
      <c r="L3834" s="2" t="n">
        <f aca="false">IF(I3834="yes",1,0)</f>
        <v>0</v>
      </c>
      <c r="M3834" s="2" t="n">
        <f aca="false">IF(G3834&lt;0,1,0)</f>
        <v>1</v>
      </c>
      <c r="N3834" s="2" t="str">
        <f aca="false">_xlfn.IFS(B3834&lt;30,"Under 30",B3834&lt;40,"30-39",B3834&lt;50,"40-49",B3834&lt;60,"50-59",TRUE(),"60+")</f>
        <v>40-49</v>
      </c>
      <c r="O3834" s="2" t="str">
        <f aca="false">_xlfn.IFS(G3834&lt;0,"1 Negative",G3834=0,"2 Zero",G3834&lt;=500,"3 1-500",G3834&lt;=2000,"4 501-2000",TRUE(),"5 Above 2000")</f>
        <v>1 Negative</v>
      </c>
      <c r="P3834" s="2" t="n">
        <f aca="false">Lookups!$B$2*M3834+Lookups!$B$3*L3834</f>
        <v>2</v>
      </c>
      <c r="Q3834" s="2" t="str">
        <f aca="false">INDEX(Lookups!$E$2:$E$5,MATCH(P3834,Lookups!$D$2:$D$5,0))</f>
        <v>High</v>
      </c>
    </row>
    <row r="3835" customFormat="false" ht="15" hidden="false" customHeight="false" outlineLevel="0" collapsed="false">
      <c r="A3835" s="3" t="n">
        <v>3834</v>
      </c>
      <c r="B3835" s="3" t="n">
        <f aca="false">Raw_Data!A3835</f>
        <v>47</v>
      </c>
      <c r="C3835" s="3" t="str">
        <f aca="false">SUBSTITUTE(Raw_Data!B3835,".","")</f>
        <v>admin</v>
      </c>
      <c r="D3835" s="3" t="str">
        <f aca="false">Raw_Data!C3835</f>
        <v>divorced</v>
      </c>
      <c r="E3835" s="3" t="str">
        <f aca="false">Raw_Data!D3835</f>
        <v>secondary</v>
      </c>
      <c r="F3835" s="3" t="str">
        <f aca="false">Raw_Data!E3835</f>
        <v>no</v>
      </c>
      <c r="G3835" s="3" t="n">
        <f aca="false">Raw_Data!F3835</f>
        <v>1139</v>
      </c>
      <c r="H3835" s="3" t="str">
        <f aca="false">Raw_Data!G3835</f>
        <v>yes</v>
      </c>
      <c r="I3835" s="3" t="str">
        <f aca="false">Raw_Data!H3835</f>
        <v>no</v>
      </c>
      <c r="J3835" s="2" t="n">
        <f aca="false">IF(F3835="yes",1,0)</f>
        <v>0</v>
      </c>
      <c r="K3835" s="2" t="n">
        <f aca="false">IF(H3835="yes",1,0)</f>
        <v>1</v>
      </c>
      <c r="L3835" s="2" t="n">
        <f aca="false">IF(I3835="yes",1,0)</f>
        <v>0</v>
      </c>
      <c r="M3835" s="2" t="n">
        <f aca="false">IF(G3835&lt;0,1,0)</f>
        <v>0</v>
      </c>
      <c r="N3835" s="2" t="str">
        <f aca="false">_xlfn.IFS(B3835&lt;30,"Under 30",B3835&lt;40,"30-39",B3835&lt;50,"40-49",B3835&lt;60,"50-59",TRUE(),"60+")</f>
        <v>40-49</v>
      </c>
      <c r="O3835" s="2" t="str">
        <f aca="false">_xlfn.IFS(G3835&lt;0,"1 Negative",G3835=0,"2 Zero",G3835&lt;=500,"3 1-500",G3835&lt;=2000,"4 501-2000",TRUE(),"5 Above 2000")</f>
        <v>4 501-2000</v>
      </c>
      <c r="P3835" s="2" t="n">
        <f aca="false">Lookups!$B$2*M3835+Lookups!$B$3*L3835</f>
        <v>0</v>
      </c>
      <c r="Q3835" s="2" t="str">
        <f aca="false">INDEX(Lookups!$E$2:$E$5,MATCH(P3835,Lookups!$D$2:$D$5,0))</f>
        <v>Low</v>
      </c>
    </row>
    <row r="3836" customFormat="false" ht="15" hidden="false" customHeight="false" outlineLevel="0" collapsed="false">
      <c r="A3836" s="3" t="n">
        <v>3835</v>
      </c>
      <c r="B3836" s="3" t="n">
        <f aca="false">Raw_Data!A3836</f>
        <v>36</v>
      </c>
      <c r="C3836" s="3" t="str">
        <f aca="false">SUBSTITUTE(Raw_Data!B3836,".","")</f>
        <v>self-employed</v>
      </c>
      <c r="D3836" s="3" t="str">
        <f aca="false">Raw_Data!C3836</f>
        <v>married</v>
      </c>
      <c r="E3836" s="3" t="str">
        <f aca="false">Raw_Data!D3836</f>
        <v>secondary</v>
      </c>
      <c r="F3836" s="3" t="str">
        <f aca="false">Raw_Data!E3836</f>
        <v>no</v>
      </c>
      <c r="G3836" s="3" t="n">
        <f aca="false">Raw_Data!F3836</f>
        <v>189</v>
      </c>
      <c r="H3836" s="3" t="str">
        <f aca="false">Raw_Data!G3836</f>
        <v>yes</v>
      </c>
      <c r="I3836" s="3" t="str">
        <f aca="false">Raw_Data!H3836</f>
        <v>no</v>
      </c>
      <c r="J3836" s="2" t="n">
        <f aca="false">IF(F3836="yes",1,0)</f>
        <v>0</v>
      </c>
      <c r="K3836" s="2" t="n">
        <f aca="false">IF(H3836="yes",1,0)</f>
        <v>1</v>
      </c>
      <c r="L3836" s="2" t="n">
        <f aca="false">IF(I3836="yes",1,0)</f>
        <v>0</v>
      </c>
      <c r="M3836" s="2" t="n">
        <f aca="false">IF(G3836&lt;0,1,0)</f>
        <v>0</v>
      </c>
      <c r="N3836" s="2" t="str">
        <f aca="false">_xlfn.IFS(B3836&lt;30,"Under 30",B3836&lt;40,"30-39",B3836&lt;50,"40-49",B3836&lt;60,"50-59",TRUE(),"60+")</f>
        <v>30-39</v>
      </c>
      <c r="O3836" s="2" t="str">
        <f aca="false">_xlfn.IFS(G3836&lt;0,"1 Negative",G3836=0,"2 Zero",G3836&lt;=500,"3 1-500",G3836&lt;=2000,"4 501-2000",TRUE(),"5 Above 2000")</f>
        <v>3 1-500</v>
      </c>
      <c r="P3836" s="2" t="n">
        <f aca="false">Lookups!$B$2*M3836+Lookups!$B$3*L3836</f>
        <v>0</v>
      </c>
      <c r="Q3836" s="2" t="str">
        <f aca="false">INDEX(Lookups!$E$2:$E$5,MATCH(P3836,Lookups!$D$2:$D$5,0))</f>
        <v>Low</v>
      </c>
    </row>
    <row r="3837" customFormat="false" ht="15" hidden="false" customHeight="false" outlineLevel="0" collapsed="false">
      <c r="A3837" s="3" t="n">
        <v>3836</v>
      </c>
      <c r="B3837" s="3" t="n">
        <f aca="false">Raw_Data!A3837</f>
        <v>29</v>
      </c>
      <c r="C3837" s="3" t="str">
        <f aca="false">SUBSTITUTE(Raw_Data!B3837,".","")</f>
        <v>housemaid</v>
      </c>
      <c r="D3837" s="3" t="str">
        <f aca="false">Raw_Data!C3837</f>
        <v>single</v>
      </c>
      <c r="E3837" s="3" t="str">
        <f aca="false">Raw_Data!D3837</f>
        <v>tertiary</v>
      </c>
      <c r="F3837" s="3" t="str">
        <f aca="false">Raw_Data!E3837</f>
        <v>no</v>
      </c>
      <c r="G3837" s="3" t="n">
        <f aca="false">Raw_Data!F3837</f>
        <v>19</v>
      </c>
      <c r="H3837" s="3" t="str">
        <f aca="false">Raw_Data!G3837</f>
        <v>no</v>
      </c>
      <c r="I3837" s="3" t="str">
        <f aca="false">Raw_Data!H3837</f>
        <v>no</v>
      </c>
      <c r="J3837" s="2" t="n">
        <f aca="false">IF(F3837="yes",1,0)</f>
        <v>0</v>
      </c>
      <c r="K3837" s="2" t="n">
        <f aca="false">IF(H3837="yes",1,0)</f>
        <v>0</v>
      </c>
      <c r="L3837" s="2" t="n">
        <f aca="false">IF(I3837="yes",1,0)</f>
        <v>0</v>
      </c>
      <c r="M3837" s="2" t="n">
        <f aca="false">IF(G3837&lt;0,1,0)</f>
        <v>0</v>
      </c>
      <c r="N3837" s="2" t="str">
        <f aca="false">_xlfn.IFS(B3837&lt;30,"Under 30",B3837&lt;40,"30-39",B3837&lt;50,"40-49",B3837&lt;60,"50-59",TRUE(),"60+")</f>
        <v>Under 30</v>
      </c>
      <c r="O3837" s="2" t="str">
        <f aca="false">_xlfn.IFS(G3837&lt;0,"1 Negative",G3837=0,"2 Zero",G3837&lt;=500,"3 1-500",G3837&lt;=2000,"4 501-2000",TRUE(),"5 Above 2000")</f>
        <v>3 1-500</v>
      </c>
      <c r="P3837" s="2" t="n">
        <f aca="false">Lookups!$B$2*M3837+Lookups!$B$3*L3837</f>
        <v>0</v>
      </c>
      <c r="Q3837" s="2" t="str">
        <f aca="false">INDEX(Lookups!$E$2:$E$5,MATCH(P3837,Lookups!$D$2:$D$5,0))</f>
        <v>Low</v>
      </c>
    </row>
    <row r="3838" customFormat="false" ht="15" hidden="false" customHeight="false" outlineLevel="0" collapsed="false">
      <c r="A3838" s="3" t="n">
        <v>3837</v>
      </c>
      <c r="B3838" s="3" t="n">
        <f aca="false">Raw_Data!A3838</f>
        <v>39</v>
      </c>
      <c r="C3838" s="3" t="str">
        <f aca="false">SUBSTITUTE(Raw_Data!B3838,".","")</f>
        <v>technician</v>
      </c>
      <c r="D3838" s="3" t="str">
        <f aca="false">Raw_Data!C3838</f>
        <v>married</v>
      </c>
      <c r="E3838" s="3" t="str">
        <f aca="false">Raw_Data!D3838</f>
        <v>secondary</v>
      </c>
      <c r="F3838" s="3" t="str">
        <f aca="false">Raw_Data!E3838</f>
        <v>no</v>
      </c>
      <c r="G3838" s="3" t="n">
        <f aca="false">Raw_Data!F3838</f>
        <v>3663</v>
      </c>
      <c r="H3838" s="3" t="str">
        <f aca="false">Raw_Data!G3838</f>
        <v>no</v>
      </c>
      <c r="I3838" s="3" t="str">
        <f aca="false">Raw_Data!H3838</f>
        <v>no</v>
      </c>
      <c r="J3838" s="2" t="n">
        <f aca="false">IF(F3838="yes",1,0)</f>
        <v>0</v>
      </c>
      <c r="K3838" s="2" t="n">
        <f aca="false">IF(H3838="yes",1,0)</f>
        <v>0</v>
      </c>
      <c r="L3838" s="2" t="n">
        <f aca="false">IF(I3838="yes",1,0)</f>
        <v>0</v>
      </c>
      <c r="M3838" s="2" t="n">
        <f aca="false">IF(G3838&lt;0,1,0)</f>
        <v>0</v>
      </c>
      <c r="N3838" s="2" t="str">
        <f aca="false">_xlfn.IFS(B3838&lt;30,"Under 30",B3838&lt;40,"30-39",B3838&lt;50,"40-49",B3838&lt;60,"50-59",TRUE(),"60+")</f>
        <v>30-39</v>
      </c>
      <c r="O3838" s="2" t="str">
        <f aca="false">_xlfn.IFS(G3838&lt;0,"1 Negative",G3838=0,"2 Zero",G3838&lt;=500,"3 1-500",G3838&lt;=2000,"4 501-2000",TRUE(),"5 Above 2000")</f>
        <v>5 Above 2000</v>
      </c>
      <c r="P3838" s="2" t="n">
        <f aca="false">Lookups!$B$2*M3838+Lookups!$B$3*L3838</f>
        <v>0</v>
      </c>
      <c r="Q3838" s="2" t="str">
        <f aca="false">INDEX(Lookups!$E$2:$E$5,MATCH(P3838,Lookups!$D$2:$D$5,0))</f>
        <v>Low</v>
      </c>
    </row>
    <row r="3839" customFormat="false" ht="15" hidden="false" customHeight="false" outlineLevel="0" collapsed="false">
      <c r="A3839" s="3" t="n">
        <v>3838</v>
      </c>
      <c r="B3839" s="3" t="n">
        <f aca="false">Raw_Data!A3839</f>
        <v>53</v>
      </c>
      <c r="C3839" s="3" t="str">
        <f aca="false">SUBSTITUTE(Raw_Data!B3839,".","")</f>
        <v>blue-collar</v>
      </c>
      <c r="D3839" s="3" t="str">
        <f aca="false">Raw_Data!C3839</f>
        <v>single</v>
      </c>
      <c r="E3839" s="3" t="str">
        <f aca="false">Raw_Data!D3839</f>
        <v>unknown</v>
      </c>
      <c r="F3839" s="3" t="str">
        <f aca="false">Raw_Data!E3839</f>
        <v>no</v>
      </c>
      <c r="G3839" s="3" t="n">
        <f aca="false">Raw_Data!F3839</f>
        <v>0</v>
      </c>
      <c r="H3839" s="3" t="str">
        <f aca="false">Raw_Data!G3839</f>
        <v>no</v>
      </c>
      <c r="I3839" s="3" t="str">
        <f aca="false">Raw_Data!H3839</f>
        <v>no</v>
      </c>
      <c r="J3839" s="2" t="n">
        <f aca="false">IF(F3839="yes",1,0)</f>
        <v>0</v>
      </c>
      <c r="K3839" s="2" t="n">
        <f aca="false">IF(H3839="yes",1,0)</f>
        <v>0</v>
      </c>
      <c r="L3839" s="2" t="n">
        <f aca="false">IF(I3839="yes",1,0)</f>
        <v>0</v>
      </c>
      <c r="M3839" s="2" t="n">
        <f aca="false">IF(G3839&lt;0,1,0)</f>
        <v>0</v>
      </c>
      <c r="N3839" s="2" t="str">
        <f aca="false">_xlfn.IFS(B3839&lt;30,"Under 30",B3839&lt;40,"30-39",B3839&lt;50,"40-49",B3839&lt;60,"50-59",TRUE(),"60+")</f>
        <v>50-59</v>
      </c>
      <c r="O3839" s="2" t="str">
        <f aca="false">_xlfn.IFS(G3839&lt;0,"1 Negative",G3839=0,"2 Zero",G3839&lt;=500,"3 1-500",G3839&lt;=2000,"4 501-2000",TRUE(),"5 Above 2000")</f>
        <v>2 Zero</v>
      </c>
      <c r="P3839" s="2" t="n">
        <f aca="false">Lookups!$B$2*M3839+Lookups!$B$3*L3839</f>
        <v>0</v>
      </c>
      <c r="Q3839" s="2" t="str">
        <f aca="false">INDEX(Lookups!$E$2:$E$5,MATCH(P3839,Lookups!$D$2:$D$5,0))</f>
        <v>Low</v>
      </c>
    </row>
    <row r="3840" customFormat="false" ht="15" hidden="false" customHeight="false" outlineLevel="0" collapsed="false">
      <c r="A3840" s="3" t="n">
        <v>3839</v>
      </c>
      <c r="B3840" s="3" t="n">
        <f aca="false">Raw_Data!A3840</f>
        <v>47</v>
      </c>
      <c r="C3840" s="3" t="str">
        <f aca="false">SUBSTITUTE(Raw_Data!B3840,".","")</f>
        <v>blue-collar</v>
      </c>
      <c r="D3840" s="3" t="str">
        <f aca="false">Raw_Data!C3840</f>
        <v>married</v>
      </c>
      <c r="E3840" s="3" t="str">
        <f aca="false">Raw_Data!D3840</f>
        <v>secondary</v>
      </c>
      <c r="F3840" s="3" t="str">
        <f aca="false">Raw_Data!E3840</f>
        <v>yes</v>
      </c>
      <c r="G3840" s="3" t="n">
        <f aca="false">Raw_Data!F3840</f>
        <v>-614</v>
      </c>
      <c r="H3840" s="3" t="str">
        <f aca="false">Raw_Data!G3840</f>
        <v>yes</v>
      </c>
      <c r="I3840" s="3" t="str">
        <f aca="false">Raw_Data!H3840</f>
        <v>no</v>
      </c>
      <c r="J3840" s="2" t="n">
        <f aca="false">IF(F3840="yes",1,0)</f>
        <v>1</v>
      </c>
      <c r="K3840" s="2" t="n">
        <f aca="false">IF(H3840="yes",1,0)</f>
        <v>1</v>
      </c>
      <c r="L3840" s="2" t="n">
        <f aca="false">IF(I3840="yes",1,0)</f>
        <v>0</v>
      </c>
      <c r="M3840" s="2" t="n">
        <f aca="false">IF(G3840&lt;0,1,0)</f>
        <v>1</v>
      </c>
      <c r="N3840" s="2" t="str">
        <f aca="false">_xlfn.IFS(B3840&lt;30,"Under 30",B3840&lt;40,"30-39",B3840&lt;50,"40-49",B3840&lt;60,"50-59",TRUE(),"60+")</f>
        <v>40-49</v>
      </c>
      <c r="O3840" s="2" t="str">
        <f aca="false">_xlfn.IFS(G3840&lt;0,"1 Negative",G3840=0,"2 Zero",G3840&lt;=500,"3 1-500",G3840&lt;=2000,"4 501-2000",TRUE(),"5 Above 2000")</f>
        <v>1 Negative</v>
      </c>
      <c r="P3840" s="2" t="n">
        <f aca="false">Lookups!$B$2*M3840+Lookups!$B$3*L3840</f>
        <v>2</v>
      </c>
      <c r="Q3840" s="2" t="str">
        <f aca="false">INDEX(Lookups!$E$2:$E$5,MATCH(P3840,Lookups!$D$2:$D$5,0))</f>
        <v>High</v>
      </c>
    </row>
    <row r="3841" customFormat="false" ht="15" hidden="false" customHeight="false" outlineLevel="0" collapsed="false">
      <c r="A3841" s="3" t="n">
        <v>3840</v>
      </c>
      <c r="B3841" s="3" t="n">
        <f aca="false">Raw_Data!A3841</f>
        <v>51</v>
      </c>
      <c r="C3841" s="3" t="str">
        <f aca="false">SUBSTITUTE(Raw_Data!B3841,".","")</f>
        <v>technician</v>
      </c>
      <c r="D3841" s="3" t="str">
        <f aca="false">Raw_Data!C3841</f>
        <v>divorced</v>
      </c>
      <c r="E3841" s="3" t="str">
        <f aca="false">Raw_Data!D3841</f>
        <v>secondary</v>
      </c>
      <c r="F3841" s="3" t="str">
        <f aca="false">Raw_Data!E3841</f>
        <v>no</v>
      </c>
      <c r="G3841" s="3" t="n">
        <f aca="false">Raw_Data!F3841</f>
        <v>2323</v>
      </c>
      <c r="H3841" s="3" t="str">
        <f aca="false">Raw_Data!G3841</f>
        <v>yes</v>
      </c>
      <c r="I3841" s="3" t="str">
        <f aca="false">Raw_Data!H3841</f>
        <v>yes</v>
      </c>
      <c r="J3841" s="2" t="n">
        <f aca="false">IF(F3841="yes",1,0)</f>
        <v>0</v>
      </c>
      <c r="K3841" s="2" t="n">
        <f aca="false">IF(H3841="yes",1,0)</f>
        <v>1</v>
      </c>
      <c r="L3841" s="2" t="n">
        <f aca="false">IF(I3841="yes",1,0)</f>
        <v>1</v>
      </c>
      <c r="M3841" s="2" t="n">
        <f aca="false">IF(G3841&lt;0,1,0)</f>
        <v>0</v>
      </c>
      <c r="N3841" s="2" t="str">
        <f aca="false">_xlfn.IFS(B3841&lt;30,"Under 30",B3841&lt;40,"30-39",B3841&lt;50,"40-49",B3841&lt;60,"50-59",TRUE(),"60+")</f>
        <v>50-59</v>
      </c>
      <c r="O3841" s="2" t="str">
        <f aca="false">_xlfn.IFS(G3841&lt;0,"1 Negative",G3841=0,"2 Zero",G3841&lt;=500,"3 1-500",G3841&lt;=2000,"4 501-2000",TRUE(),"5 Above 2000")</f>
        <v>5 Above 2000</v>
      </c>
      <c r="P3841" s="2" t="n">
        <f aca="false">Lookups!$B$2*M3841+Lookups!$B$3*L3841</f>
        <v>1</v>
      </c>
      <c r="Q3841" s="2" t="str">
        <f aca="false">INDEX(Lookups!$E$2:$E$5,MATCH(P3841,Lookups!$D$2:$D$5,0))</f>
        <v>Medium</v>
      </c>
    </row>
    <row r="3842" customFormat="false" ht="15" hidden="false" customHeight="false" outlineLevel="0" collapsed="false">
      <c r="A3842" s="3" t="n">
        <v>3841</v>
      </c>
      <c r="B3842" s="3" t="n">
        <f aca="false">Raw_Data!A3842</f>
        <v>48</v>
      </c>
      <c r="C3842" s="3" t="str">
        <f aca="false">SUBSTITUTE(Raw_Data!B3842,".","")</f>
        <v>blue-collar</v>
      </c>
      <c r="D3842" s="3" t="str">
        <f aca="false">Raw_Data!C3842</f>
        <v>married</v>
      </c>
      <c r="E3842" s="3" t="str">
        <f aca="false">Raw_Data!D3842</f>
        <v>secondary</v>
      </c>
      <c r="F3842" s="3" t="str">
        <f aca="false">Raw_Data!E3842</f>
        <v>no</v>
      </c>
      <c r="G3842" s="3" t="n">
        <f aca="false">Raw_Data!F3842</f>
        <v>425</v>
      </c>
      <c r="H3842" s="3" t="str">
        <f aca="false">Raw_Data!G3842</f>
        <v>yes</v>
      </c>
      <c r="I3842" s="3" t="str">
        <f aca="false">Raw_Data!H3842</f>
        <v>no</v>
      </c>
      <c r="J3842" s="2" t="n">
        <f aca="false">IF(F3842="yes",1,0)</f>
        <v>0</v>
      </c>
      <c r="K3842" s="2" t="n">
        <f aca="false">IF(H3842="yes",1,0)</f>
        <v>1</v>
      </c>
      <c r="L3842" s="2" t="n">
        <f aca="false">IF(I3842="yes",1,0)</f>
        <v>0</v>
      </c>
      <c r="M3842" s="2" t="n">
        <f aca="false">IF(G3842&lt;0,1,0)</f>
        <v>0</v>
      </c>
      <c r="N3842" s="2" t="str">
        <f aca="false">_xlfn.IFS(B3842&lt;30,"Under 30",B3842&lt;40,"30-39",B3842&lt;50,"40-49",B3842&lt;60,"50-59",TRUE(),"60+")</f>
        <v>40-49</v>
      </c>
      <c r="O3842" s="2" t="str">
        <f aca="false">_xlfn.IFS(G3842&lt;0,"1 Negative",G3842=0,"2 Zero",G3842&lt;=500,"3 1-500",G3842&lt;=2000,"4 501-2000",TRUE(),"5 Above 2000")</f>
        <v>3 1-500</v>
      </c>
      <c r="P3842" s="2" t="n">
        <f aca="false">Lookups!$B$2*M3842+Lookups!$B$3*L3842</f>
        <v>0</v>
      </c>
      <c r="Q3842" s="2" t="str">
        <f aca="false">INDEX(Lookups!$E$2:$E$5,MATCH(P3842,Lookups!$D$2:$D$5,0))</f>
        <v>Low</v>
      </c>
    </row>
    <row r="3843" customFormat="false" ht="15" hidden="false" customHeight="false" outlineLevel="0" collapsed="false">
      <c r="A3843" s="3" t="n">
        <v>3842</v>
      </c>
      <c r="B3843" s="3" t="n">
        <f aca="false">Raw_Data!A3843</f>
        <v>32</v>
      </c>
      <c r="C3843" s="3" t="str">
        <f aca="false">SUBSTITUTE(Raw_Data!B3843,".","")</f>
        <v>technician</v>
      </c>
      <c r="D3843" s="3" t="str">
        <f aca="false">Raw_Data!C3843</f>
        <v>married</v>
      </c>
      <c r="E3843" s="3" t="str">
        <f aca="false">Raw_Data!D3843</f>
        <v>secondary</v>
      </c>
      <c r="F3843" s="3" t="str">
        <f aca="false">Raw_Data!E3843</f>
        <v>no</v>
      </c>
      <c r="G3843" s="3" t="n">
        <f aca="false">Raw_Data!F3843</f>
        <v>5122</v>
      </c>
      <c r="H3843" s="3" t="str">
        <f aca="false">Raw_Data!G3843</f>
        <v>no</v>
      </c>
      <c r="I3843" s="3" t="str">
        <f aca="false">Raw_Data!H3843</f>
        <v>no</v>
      </c>
      <c r="J3843" s="2" t="n">
        <f aca="false">IF(F3843="yes",1,0)</f>
        <v>0</v>
      </c>
      <c r="K3843" s="2" t="n">
        <f aca="false">IF(H3843="yes",1,0)</f>
        <v>0</v>
      </c>
      <c r="L3843" s="2" t="n">
        <f aca="false">IF(I3843="yes",1,0)</f>
        <v>0</v>
      </c>
      <c r="M3843" s="2" t="n">
        <f aca="false">IF(G3843&lt;0,1,0)</f>
        <v>0</v>
      </c>
      <c r="N3843" s="2" t="str">
        <f aca="false">_xlfn.IFS(B3843&lt;30,"Under 30",B3843&lt;40,"30-39",B3843&lt;50,"40-49",B3843&lt;60,"50-59",TRUE(),"60+")</f>
        <v>30-39</v>
      </c>
      <c r="O3843" s="2" t="str">
        <f aca="false">_xlfn.IFS(G3843&lt;0,"1 Negative",G3843=0,"2 Zero",G3843&lt;=500,"3 1-500",G3843&lt;=2000,"4 501-2000",TRUE(),"5 Above 2000")</f>
        <v>5 Above 2000</v>
      </c>
      <c r="P3843" s="2" t="n">
        <f aca="false">Lookups!$B$2*M3843+Lookups!$B$3*L3843</f>
        <v>0</v>
      </c>
      <c r="Q3843" s="2" t="str">
        <f aca="false">INDEX(Lookups!$E$2:$E$5,MATCH(P3843,Lookups!$D$2:$D$5,0))</f>
        <v>Low</v>
      </c>
    </row>
    <row r="3844" customFormat="false" ht="15" hidden="false" customHeight="false" outlineLevel="0" collapsed="false">
      <c r="A3844" s="3" t="n">
        <v>3843</v>
      </c>
      <c r="B3844" s="3" t="n">
        <f aca="false">Raw_Data!A3844</f>
        <v>36</v>
      </c>
      <c r="C3844" s="3" t="str">
        <f aca="false">SUBSTITUTE(Raw_Data!B3844,".","")</f>
        <v>management</v>
      </c>
      <c r="D3844" s="3" t="str">
        <f aca="false">Raw_Data!C3844</f>
        <v>divorced</v>
      </c>
      <c r="E3844" s="3" t="str">
        <f aca="false">Raw_Data!D3844</f>
        <v>tertiary</v>
      </c>
      <c r="F3844" s="3" t="str">
        <f aca="false">Raw_Data!E3844</f>
        <v>no</v>
      </c>
      <c r="G3844" s="3" t="n">
        <f aca="false">Raw_Data!F3844</f>
        <v>608</v>
      </c>
      <c r="H3844" s="3" t="str">
        <f aca="false">Raw_Data!G3844</f>
        <v>no</v>
      </c>
      <c r="I3844" s="3" t="str">
        <f aca="false">Raw_Data!H3844</f>
        <v>no</v>
      </c>
      <c r="J3844" s="2" t="n">
        <f aca="false">IF(F3844="yes",1,0)</f>
        <v>0</v>
      </c>
      <c r="K3844" s="2" t="n">
        <f aca="false">IF(H3844="yes",1,0)</f>
        <v>0</v>
      </c>
      <c r="L3844" s="2" t="n">
        <f aca="false">IF(I3844="yes",1,0)</f>
        <v>0</v>
      </c>
      <c r="M3844" s="2" t="n">
        <f aca="false">IF(G3844&lt;0,1,0)</f>
        <v>0</v>
      </c>
      <c r="N3844" s="2" t="str">
        <f aca="false">_xlfn.IFS(B3844&lt;30,"Under 30",B3844&lt;40,"30-39",B3844&lt;50,"40-49",B3844&lt;60,"50-59",TRUE(),"60+")</f>
        <v>30-39</v>
      </c>
      <c r="O3844" s="2" t="str">
        <f aca="false">_xlfn.IFS(G3844&lt;0,"1 Negative",G3844=0,"2 Zero",G3844&lt;=500,"3 1-500",G3844&lt;=2000,"4 501-2000",TRUE(),"5 Above 2000")</f>
        <v>4 501-2000</v>
      </c>
      <c r="P3844" s="2" t="n">
        <f aca="false">Lookups!$B$2*M3844+Lookups!$B$3*L3844</f>
        <v>0</v>
      </c>
      <c r="Q3844" s="2" t="str">
        <f aca="false">INDEX(Lookups!$E$2:$E$5,MATCH(P3844,Lookups!$D$2:$D$5,0))</f>
        <v>Low</v>
      </c>
    </row>
    <row r="3845" customFormat="false" ht="15" hidden="false" customHeight="false" outlineLevel="0" collapsed="false">
      <c r="A3845" s="3" t="n">
        <v>3844</v>
      </c>
      <c r="B3845" s="3" t="n">
        <f aca="false">Raw_Data!A3845</f>
        <v>50</v>
      </c>
      <c r="C3845" s="3" t="str">
        <f aca="false">SUBSTITUTE(Raw_Data!B3845,".","")</f>
        <v>unknown</v>
      </c>
      <c r="D3845" s="3" t="str">
        <f aca="false">Raw_Data!C3845</f>
        <v>married</v>
      </c>
      <c r="E3845" s="3" t="str">
        <f aca="false">Raw_Data!D3845</f>
        <v>primary</v>
      </c>
      <c r="F3845" s="3" t="str">
        <f aca="false">Raw_Data!E3845</f>
        <v>no</v>
      </c>
      <c r="G3845" s="3" t="n">
        <f aca="false">Raw_Data!F3845</f>
        <v>341</v>
      </c>
      <c r="H3845" s="3" t="str">
        <f aca="false">Raw_Data!G3845</f>
        <v>yes</v>
      </c>
      <c r="I3845" s="3" t="str">
        <f aca="false">Raw_Data!H3845</f>
        <v>yes</v>
      </c>
      <c r="J3845" s="2" t="n">
        <f aca="false">IF(F3845="yes",1,0)</f>
        <v>0</v>
      </c>
      <c r="K3845" s="2" t="n">
        <f aca="false">IF(H3845="yes",1,0)</f>
        <v>1</v>
      </c>
      <c r="L3845" s="2" t="n">
        <f aca="false">IF(I3845="yes",1,0)</f>
        <v>1</v>
      </c>
      <c r="M3845" s="2" t="n">
        <f aca="false">IF(G3845&lt;0,1,0)</f>
        <v>0</v>
      </c>
      <c r="N3845" s="2" t="str">
        <f aca="false">_xlfn.IFS(B3845&lt;30,"Under 30",B3845&lt;40,"30-39",B3845&lt;50,"40-49",B3845&lt;60,"50-59",TRUE(),"60+")</f>
        <v>50-59</v>
      </c>
      <c r="O3845" s="2" t="str">
        <f aca="false">_xlfn.IFS(G3845&lt;0,"1 Negative",G3845=0,"2 Zero",G3845&lt;=500,"3 1-500",G3845&lt;=2000,"4 501-2000",TRUE(),"5 Above 2000")</f>
        <v>3 1-500</v>
      </c>
      <c r="P3845" s="2" t="n">
        <f aca="false">Lookups!$B$2*M3845+Lookups!$B$3*L3845</f>
        <v>1</v>
      </c>
      <c r="Q3845" s="2" t="str">
        <f aca="false">INDEX(Lookups!$E$2:$E$5,MATCH(P3845,Lookups!$D$2:$D$5,0))</f>
        <v>Medium</v>
      </c>
    </row>
    <row r="3846" customFormat="false" ht="15" hidden="false" customHeight="false" outlineLevel="0" collapsed="false">
      <c r="A3846" s="3" t="n">
        <v>3845</v>
      </c>
      <c r="B3846" s="3" t="n">
        <f aca="false">Raw_Data!A3846</f>
        <v>39</v>
      </c>
      <c r="C3846" s="3" t="str">
        <f aca="false">SUBSTITUTE(Raw_Data!B3846,".","")</f>
        <v>admin</v>
      </c>
      <c r="D3846" s="3" t="str">
        <f aca="false">Raw_Data!C3846</f>
        <v>married</v>
      </c>
      <c r="E3846" s="3" t="str">
        <f aca="false">Raw_Data!D3846</f>
        <v>secondary</v>
      </c>
      <c r="F3846" s="3" t="str">
        <f aca="false">Raw_Data!E3846</f>
        <v>no</v>
      </c>
      <c r="G3846" s="3" t="n">
        <f aca="false">Raw_Data!F3846</f>
        <v>607</v>
      </c>
      <c r="H3846" s="3" t="str">
        <f aca="false">Raw_Data!G3846</f>
        <v>yes</v>
      </c>
      <c r="I3846" s="3" t="str">
        <f aca="false">Raw_Data!H3846</f>
        <v>no</v>
      </c>
      <c r="J3846" s="2" t="n">
        <f aca="false">IF(F3846="yes",1,0)</f>
        <v>0</v>
      </c>
      <c r="K3846" s="2" t="n">
        <f aca="false">IF(H3846="yes",1,0)</f>
        <v>1</v>
      </c>
      <c r="L3846" s="2" t="n">
        <f aca="false">IF(I3846="yes",1,0)</f>
        <v>0</v>
      </c>
      <c r="M3846" s="2" t="n">
        <f aca="false">IF(G3846&lt;0,1,0)</f>
        <v>0</v>
      </c>
      <c r="N3846" s="2" t="str">
        <f aca="false">_xlfn.IFS(B3846&lt;30,"Under 30",B3846&lt;40,"30-39",B3846&lt;50,"40-49",B3846&lt;60,"50-59",TRUE(),"60+")</f>
        <v>30-39</v>
      </c>
      <c r="O3846" s="2" t="str">
        <f aca="false">_xlfn.IFS(G3846&lt;0,"1 Negative",G3846=0,"2 Zero",G3846&lt;=500,"3 1-500",G3846&lt;=2000,"4 501-2000",TRUE(),"5 Above 2000")</f>
        <v>4 501-2000</v>
      </c>
      <c r="P3846" s="2" t="n">
        <f aca="false">Lookups!$B$2*M3846+Lookups!$B$3*L3846</f>
        <v>0</v>
      </c>
      <c r="Q3846" s="2" t="str">
        <f aca="false">INDEX(Lookups!$E$2:$E$5,MATCH(P3846,Lookups!$D$2:$D$5,0))</f>
        <v>Low</v>
      </c>
    </row>
    <row r="3847" customFormat="false" ht="15" hidden="false" customHeight="false" outlineLevel="0" collapsed="false">
      <c r="A3847" s="3" t="n">
        <v>3846</v>
      </c>
      <c r="B3847" s="3" t="n">
        <f aca="false">Raw_Data!A3847</f>
        <v>31</v>
      </c>
      <c r="C3847" s="3" t="str">
        <f aca="false">SUBSTITUTE(Raw_Data!B3847,".","")</f>
        <v>blue-collar</v>
      </c>
      <c r="D3847" s="3" t="str">
        <f aca="false">Raw_Data!C3847</f>
        <v>married</v>
      </c>
      <c r="E3847" s="3" t="str">
        <f aca="false">Raw_Data!D3847</f>
        <v>secondary</v>
      </c>
      <c r="F3847" s="3" t="str">
        <f aca="false">Raw_Data!E3847</f>
        <v>no</v>
      </c>
      <c r="G3847" s="3" t="n">
        <f aca="false">Raw_Data!F3847</f>
        <v>1495</v>
      </c>
      <c r="H3847" s="3" t="str">
        <f aca="false">Raw_Data!G3847</f>
        <v>yes</v>
      </c>
      <c r="I3847" s="3" t="str">
        <f aca="false">Raw_Data!H3847</f>
        <v>yes</v>
      </c>
      <c r="J3847" s="2" t="n">
        <f aca="false">IF(F3847="yes",1,0)</f>
        <v>0</v>
      </c>
      <c r="K3847" s="2" t="n">
        <f aca="false">IF(H3847="yes",1,0)</f>
        <v>1</v>
      </c>
      <c r="L3847" s="2" t="n">
        <f aca="false">IF(I3847="yes",1,0)</f>
        <v>1</v>
      </c>
      <c r="M3847" s="2" t="n">
        <f aca="false">IF(G3847&lt;0,1,0)</f>
        <v>0</v>
      </c>
      <c r="N3847" s="2" t="str">
        <f aca="false">_xlfn.IFS(B3847&lt;30,"Under 30",B3847&lt;40,"30-39",B3847&lt;50,"40-49",B3847&lt;60,"50-59",TRUE(),"60+")</f>
        <v>30-39</v>
      </c>
      <c r="O3847" s="2" t="str">
        <f aca="false">_xlfn.IFS(G3847&lt;0,"1 Negative",G3847=0,"2 Zero",G3847&lt;=500,"3 1-500",G3847&lt;=2000,"4 501-2000",TRUE(),"5 Above 2000")</f>
        <v>4 501-2000</v>
      </c>
      <c r="P3847" s="2" t="n">
        <f aca="false">Lookups!$B$2*M3847+Lookups!$B$3*L3847</f>
        <v>1</v>
      </c>
      <c r="Q3847" s="2" t="str">
        <f aca="false">INDEX(Lookups!$E$2:$E$5,MATCH(P3847,Lookups!$D$2:$D$5,0))</f>
        <v>Medium</v>
      </c>
    </row>
    <row r="3848" customFormat="false" ht="15" hidden="false" customHeight="false" outlineLevel="0" collapsed="false">
      <c r="A3848" s="3" t="n">
        <v>3847</v>
      </c>
      <c r="B3848" s="3" t="n">
        <f aca="false">Raw_Data!A3848</f>
        <v>49</v>
      </c>
      <c r="C3848" s="3" t="str">
        <f aca="false">SUBSTITUTE(Raw_Data!B3848,".","")</f>
        <v>admin</v>
      </c>
      <c r="D3848" s="3" t="str">
        <f aca="false">Raw_Data!C3848</f>
        <v>married</v>
      </c>
      <c r="E3848" s="3" t="str">
        <f aca="false">Raw_Data!D3848</f>
        <v>secondary</v>
      </c>
      <c r="F3848" s="3" t="str">
        <f aca="false">Raw_Data!E3848</f>
        <v>no</v>
      </c>
      <c r="G3848" s="3" t="n">
        <f aca="false">Raw_Data!F3848</f>
        <v>381</v>
      </c>
      <c r="H3848" s="3" t="str">
        <f aca="false">Raw_Data!G3848</f>
        <v>no</v>
      </c>
      <c r="I3848" s="3" t="str">
        <f aca="false">Raw_Data!H3848</f>
        <v>no</v>
      </c>
      <c r="J3848" s="2" t="n">
        <f aca="false">IF(F3848="yes",1,0)</f>
        <v>0</v>
      </c>
      <c r="K3848" s="2" t="n">
        <f aca="false">IF(H3848="yes",1,0)</f>
        <v>0</v>
      </c>
      <c r="L3848" s="2" t="n">
        <f aca="false">IF(I3848="yes",1,0)</f>
        <v>0</v>
      </c>
      <c r="M3848" s="2" t="n">
        <f aca="false">IF(G3848&lt;0,1,0)</f>
        <v>0</v>
      </c>
      <c r="N3848" s="2" t="str">
        <f aca="false">_xlfn.IFS(B3848&lt;30,"Under 30",B3848&lt;40,"30-39",B3848&lt;50,"40-49",B3848&lt;60,"50-59",TRUE(),"60+")</f>
        <v>40-49</v>
      </c>
      <c r="O3848" s="2" t="str">
        <f aca="false">_xlfn.IFS(G3848&lt;0,"1 Negative",G3848=0,"2 Zero",G3848&lt;=500,"3 1-500",G3848&lt;=2000,"4 501-2000",TRUE(),"5 Above 2000")</f>
        <v>3 1-500</v>
      </c>
      <c r="P3848" s="2" t="n">
        <f aca="false">Lookups!$B$2*M3848+Lookups!$B$3*L3848</f>
        <v>0</v>
      </c>
      <c r="Q3848" s="2" t="str">
        <f aca="false">INDEX(Lookups!$E$2:$E$5,MATCH(P3848,Lookups!$D$2:$D$5,0))</f>
        <v>Low</v>
      </c>
    </row>
    <row r="3849" customFormat="false" ht="15" hidden="false" customHeight="false" outlineLevel="0" collapsed="false">
      <c r="A3849" s="3" t="n">
        <v>3848</v>
      </c>
      <c r="B3849" s="3" t="n">
        <f aca="false">Raw_Data!A3849</f>
        <v>33</v>
      </c>
      <c r="C3849" s="3" t="str">
        <f aca="false">SUBSTITUTE(Raw_Data!B3849,".","")</f>
        <v>unemployed</v>
      </c>
      <c r="D3849" s="3" t="str">
        <f aca="false">Raw_Data!C3849</f>
        <v>divorced</v>
      </c>
      <c r="E3849" s="3" t="str">
        <f aca="false">Raw_Data!D3849</f>
        <v>secondary</v>
      </c>
      <c r="F3849" s="3" t="str">
        <f aca="false">Raw_Data!E3849</f>
        <v>no</v>
      </c>
      <c r="G3849" s="3" t="n">
        <f aca="false">Raw_Data!F3849</f>
        <v>385</v>
      </c>
      <c r="H3849" s="3" t="str">
        <f aca="false">Raw_Data!G3849</f>
        <v>no</v>
      </c>
      <c r="I3849" s="3" t="str">
        <f aca="false">Raw_Data!H3849</f>
        <v>no</v>
      </c>
      <c r="J3849" s="2" t="n">
        <f aca="false">IF(F3849="yes",1,0)</f>
        <v>0</v>
      </c>
      <c r="K3849" s="2" t="n">
        <f aca="false">IF(H3849="yes",1,0)</f>
        <v>0</v>
      </c>
      <c r="L3849" s="2" t="n">
        <f aca="false">IF(I3849="yes",1,0)</f>
        <v>0</v>
      </c>
      <c r="M3849" s="2" t="n">
        <f aca="false">IF(G3849&lt;0,1,0)</f>
        <v>0</v>
      </c>
      <c r="N3849" s="2" t="str">
        <f aca="false">_xlfn.IFS(B3849&lt;30,"Under 30",B3849&lt;40,"30-39",B3849&lt;50,"40-49",B3849&lt;60,"50-59",TRUE(),"60+")</f>
        <v>30-39</v>
      </c>
      <c r="O3849" s="2" t="str">
        <f aca="false">_xlfn.IFS(G3849&lt;0,"1 Negative",G3849=0,"2 Zero",G3849&lt;=500,"3 1-500",G3849&lt;=2000,"4 501-2000",TRUE(),"5 Above 2000")</f>
        <v>3 1-500</v>
      </c>
      <c r="P3849" s="2" t="n">
        <f aca="false">Lookups!$B$2*M3849+Lookups!$B$3*L3849</f>
        <v>0</v>
      </c>
      <c r="Q3849" s="2" t="str">
        <f aca="false">INDEX(Lookups!$E$2:$E$5,MATCH(P3849,Lookups!$D$2:$D$5,0))</f>
        <v>Low</v>
      </c>
    </row>
    <row r="3850" customFormat="false" ht="15" hidden="false" customHeight="false" outlineLevel="0" collapsed="false">
      <c r="A3850" s="3" t="n">
        <v>3849</v>
      </c>
      <c r="B3850" s="3" t="n">
        <f aca="false">Raw_Data!A3850</f>
        <v>26</v>
      </c>
      <c r="C3850" s="3" t="str">
        <f aca="false">SUBSTITUTE(Raw_Data!B3850,".","")</f>
        <v>management</v>
      </c>
      <c r="D3850" s="3" t="str">
        <f aca="false">Raw_Data!C3850</f>
        <v>single</v>
      </c>
      <c r="E3850" s="3" t="str">
        <f aca="false">Raw_Data!D3850</f>
        <v>tertiary</v>
      </c>
      <c r="F3850" s="3" t="str">
        <f aca="false">Raw_Data!E3850</f>
        <v>no</v>
      </c>
      <c r="G3850" s="3" t="n">
        <f aca="false">Raw_Data!F3850</f>
        <v>1274</v>
      </c>
      <c r="H3850" s="3" t="str">
        <f aca="false">Raw_Data!G3850</f>
        <v>yes</v>
      </c>
      <c r="I3850" s="3" t="str">
        <f aca="false">Raw_Data!H3850</f>
        <v>no</v>
      </c>
      <c r="J3850" s="2" t="n">
        <f aca="false">IF(F3850="yes",1,0)</f>
        <v>0</v>
      </c>
      <c r="K3850" s="2" t="n">
        <f aca="false">IF(H3850="yes",1,0)</f>
        <v>1</v>
      </c>
      <c r="L3850" s="2" t="n">
        <f aca="false">IF(I3850="yes",1,0)</f>
        <v>0</v>
      </c>
      <c r="M3850" s="2" t="n">
        <f aca="false">IF(G3850&lt;0,1,0)</f>
        <v>0</v>
      </c>
      <c r="N3850" s="2" t="str">
        <f aca="false">_xlfn.IFS(B3850&lt;30,"Under 30",B3850&lt;40,"30-39",B3850&lt;50,"40-49",B3850&lt;60,"50-59",TRUE(),"60+")</f>
        <v>Under 30</v>
      </c>
      <c r="O3850" s="2" t="str">
        <f aca="false">_xlfn.IFS(G3850&lt;0,"1 Negative",G3850=0,"2 Zero",G3850&lt;=500,"3 1-500",G3850&lt;=2000,"4 501-2000",TRUE(),"5 Above 2000")</f>
        <v>4 501-2000</v>
      </c>
      <c r="P3850" s="2" t="n">
        <f aca="false">Lookups!$B$2*M3850+Lookups!$B$3*L3850</f>
        <v>0</v>
      </c>
      <c r="Q3850" s="2" t="str">
        <f aca="false">INDEX(Lookups!$E$2:$E$5,MATCH(P3850,Lookups!$D$2:$D$5,0))</f>
        <v>Low</v>
      </c>
    </row>
    <row r="3851" customFormat="false" ht="15" hidden="false" customHeight="false" outlineLevel="0" collapsed="false">
      <c r="A3851" s="3" t="n">
        <v>3850</v>
      </c>
      <c r="B3851" s="3" t="n">
        <f aca="false">Raw_Data!A3851</f>
        <v>27</v>
      </c>
      <c r="C3851" s="3" t="str">
        <f aca="false">SUBSTITUTE(Raw_Data!B3851,".","")</f>
        <v>blue-collar</v>
      </c>
      <c r="D3851" s="3" t="str">
        <f aca="false">Raw_Data!C3851</f>
        <v>married</v>
      </c>
      <c r="E3851" s="3" t="str">
        <f aca="false">Raw_Data!D3851</f>
        <v>secondary</v>
      </c>
      <c r="F3851" s="3" t="str">
        <f aca="false">Raw_Data!E3851</f>
        <v>no</v>
      </c>
      <c r="G3851" s="3" t="n">
        <f aca="false">Raw_Data!F3851</f>
        <v>362</v>
      </c>
      <c r="H3851" s="3" t="str">
        <f aca="false">Raw_Data!G3851</f>
        <v>yes</v>
      </c>
      <c r="I3851" s="3" t="str">
        <f aca="false">Raw_Data!H3851</f>
        <v>no</v>
      </c>
      <c r="J3851" s="2" t="n">
        <f aca="false">IF(F3851="yes",1,0)</f>
        <v>0</v>
      </c>
      <c r="K3851" s="2" t="n">
        <f aca="false">IF(H3851="yes",1,0)</f>
        <v>1</v>
      </c>
      <c r="L3851" s="2" t="n">
        <f aca="false">IF(I3851="yes",1,0)</f>
        <v>0</v>
      </c>
      <c r="M3851" s="2" t="n">
        <f aca="false">IF(G3851&lt;0,1,0)</f>
        <v>0</v>
      </c>
      <c r="N3851" s="2" t="str">
        <f aca="false">_xlfn.IFS(B3851&lt;30,"Under 30",B3851&lt;40,"30-39",B3851&lt;50,"40-49",B3851&lt;60,"50-59",TRUE(),"60+")</f>
        <v>Under 30</v>
      </c>
      <c r="O3851" s="2" t="str">
        <f aca="false">_xlfn.IFS(G3851&lt;0,"1 Negative",G3851=0,"2 Zero",G3851&lt;=500,"3 1-500",G3851&lt;=2000,"4 501-2000",TRUE(),"5 Above 2000")</f>
        <v>3 1-500</v>
      </c>
      <c r="P3851" s="2" t="n">
        <f aca="false">Lookups!$B$2*M3851+Lookups!$B$3*L3851</f>
        <v>0</v>
      </c>
      <c r="Q3851" s="2" t="str">
        <f aca="false">INDEX(Lookups!$E$2:$E$5,MATCH(P3851,Lookups!$D$2:$D$5,0))</f>
        <v>Low</v>
      </c>
    </row>
    <row r="3852" customFormat="false" ht="15" hidden="false" customHeight="false" outlineLevel="0" collapsed="false">
      <c r="A3852" s="3" t="n">
        <v>3851</v>
      </c>
      <c r="B3852" s="3" t="n">
        <f aca="false">Raw_Data!A3852</f>
        <v>51</v>
      </c>
      <c r="C3852" s="3" t="str">
        <f aca="false">SUBSTITUTE(Raw_Data!B3852,".","")</f>
        <v>blue-collar</v>
      </c>
      <c r="D3852" s="3" t="str">
        <f aca="false">Raw_Data!C3852</f>
        <v>married</v>
      </c>
      <c r="E3852" s="3" t="str">
        <f aca="false">Raw_Data!D3852</f>
        <v>primary</v>
      </c>
      <c r="F3852" s="3" t="str">
        <f aca="false">Raw_Data!E3852</f>
        <v>no</v>
      </c>
      <c r="G3852" s="3" t="n">
        <f aca="false">Raw_Data!F3852</f>
        <v>377</v>
      </c>
      <c r="H3852" s="3" t="str">
        <f aca="false">Raw_Data!G3852</f>
        <v>yes</v>
      </c>
      <c r="I3852" s="3" t="str">
        <f aca="false">Raw_Data!H3852</f>
        <v>no</v>
      </c>
      <c r="J3852" s="2" t="n">
        <f aca="false">IF(F3852="yes",1,0)</f>
        <v>0</v>
      </c>
      <c r="K3852" s="2" t="n">
        <f aca="false">IF(H3852="yes",1,0)</f>
        <v>1</v>
      </c>
      <c r="L3852" s="2" t="n">
        <f aca="false">IF(I3852="yes",1,0)</f>
        <v>0</v>
      </c>
      <c r="M3852" s="2" t="n">
        <f aca="false">IF(G3852&lt;0,1,0)</f>
        <v>0</v>
      </c>
      <c r="N3852" s="2" t="str">
        <f aca="false">_xlfn.IFS(B3852&lt;30,"Under 30",B3852&lt;40,"30-39",B3852&lt;50,"40-49",B3852&lt;60,"50-59",TRUE(),"60+")</f>
        <v>50-59</v>
      </c>
      <c r="O3852" s="2" t="str">
        <f aca="false">_xlfn.IFS(G3852&lt;0,"1 Negative",G3852=0,"2 Zero",G3852&lt;=500,"3 1-500",G3852&lt;=2000,"4 501-2000",TRUE(),"5 Above 2000")</f>
        <v>3 1-500</v>
      </c>
      <c r="P3852" s="2" t="n">
        <f aca="false">Lookups!$B$2*M3852+Lookups!$B$3*L3852</f>
        <v>0</v>
      </c>
      <c r="Q3852" s="2" t="str">
        <f aca="false">INDEX(Lookups!$E$2:$E$5,MATCH(P3852,Lookups!$D$2:$D$5,0))</f>
        <v>Low</v>
      </c>
    </row>
    <row r="3853" customFormat="false" ht="15" hidden="false" customHeight="false" outlineLevel="0" collapsed="false">
      <c r="A3853" s="3" t="n">
        <v>3852</v>
      </c>
      <c r="B3853" s="3" t="n">
        <f aca="false">Raw_Data!A3853</f>
        <v>26</v>
      </c>
      <c r="C3853" s="3" t="str">
        <f aca="false">SUBSTITUTE(Raw_Data!B3853,".","")</f>
        <v>admin</v>
      </c>
      <c r="D3853" s="3" t="str">
        <f aca="false">Raw_Data!C3853</f>
        <v>single</v>
      </c>
      <c r="E3853" s="3" t="str">
        <f aca="false">Raw_Data!D3853</f>
        <v>secondary</v>
      </c>
      <c r="F3853" s="3" t="str">
        <f aca="false">Raw_Data!E3853</f>
        <v>no</v>
      </c>
      <c r="G3853" s="3" t="n">
        <f aca="false">Raw_Data!F3853</f>
        <v>802</v>
      </c>
      <c r="H3853" s="3" t="str">
        <f aca="false">Raw_Data!G3853</f>
        <v>no</v>
      </c>
      <c r="I3853" s="3" t="str">
        <f aca="false">Raw_Data!H3853</f>
        <v>no</v>
      </c>
      <c r="J3853" s="2" t="n">
        <f aca="false">IF(F3853="yes",1,0)</f>
        <v>0</v>
      </c>
      <c r="K3853" s="2" t="n">
        <f aca="false">IF(H3853="yes",1,0)</f>
        <v>0</v>
      </c>
      <c r="L3853" s="2" t="n">
        <f aca="false">IF(I3853="yes",1,0)</f>
        <v>0</v>
      </c>
      <c r="M3853" s="2" t="n">
        <f aca="false">IF(G3853&lt;0,1,0)</f>
        <v>0</v>
      </c>
      <c r="N3853" s="2" t="str">
        <f aca="false">_xlfn.IFS(B3853&lt;30,"Under 30",B3853&lt;40,"30-39",B3853&lt;50,"40-49",B3853&lt;60,"50-59",TRUE(),"60+")</f>
        <v>Under 30</v>
      </c>
      <c r="O3853" s="2" t="str">
        <f aca="false">_xlfn.IFS(G3853&lt;0,"1 Negative",G3853=0,"2 Zero",G3853&lt;=500,"3 1-500",G3853&lt;=2000,"4 501-2000",TRUE(),"5 Above 2000")</f>
        <v>4 501-2000</v>
      </c>
      <c r="P3853" s="2" t="n">
        <f aca="false">Lookups!$B$2*M3853+Lookups!$B$3*L3853</f>
        <v>0</v>
      </c>
      <c r="Q3853" s="2" t="str">
        <f aca="false">INDEX(Lookups!$E$2:$E$5,MATCH(P3853,Lookups!$D$2:$D$5,0))</f>
        <v>Low</v>
      </c>
    </row>
    <row r="3854" customFormat="false" ht="15" hidden="false" customHeight="false" outlineLevel="0" collapsed="false">
      <c r="A3854" s="3" t="n">
        <v>3853</v>
      </c>
      <c r="B3854" s="3" t="n">
        <f aca="false">Raw_Data!A3854</f>
        <v>45</v>
      </c>
      <c r="C3854" s="3" t="str">
        <f aca="false">SUBSTITUTE(Raw_Data!B3854,".","")</f>
        <v>admin</v>
      </c>
      <c r="D3854" s="3" t="str">
        <f aca="false">Raw_Data!C3854</f>
        <v>married</v>
      </c>
      <c r="E3854" s="3" t="str">
        <f aca="false">Raw_Data!D3854</f>
        <v>secondary</v>
      </c>
      <c r="F3854" s="3" t="str">
        <f aca="false">Raw_Data!E3854</f>
        <v>no</v>
      </c>
      <c r="G3854" s="3" t="n">
        <f aca="false">Raw_Data!F3854</f>
        <v>194</v>
      </c>
      <c r="H3854" s="3" t="str">
        <f aca="false">Raw_Data!G3854</f>
        <v>no</v>
      </c>
      <c r="I3854" s="3" t="str">
        <f aca="false">Raw_Data!H3854</f>
        <v>no</v>
      </c>
      <c r="J3854" s="2" t="n">
        <f aca="false">IF(F3854="yes",1,0)</f>
        <v>0</v>
      </c>
      <c r="K3854" s="2" t="n">
        <f aca="false">IF(H3854="yes",1,0)</f>
        <v>0</v>
      </c>
      <c r="L3854" s="2" t="n">
        <f aca="false">IF(I3854="yes",1,0)</f>
        <v>0</v>
      </c>
      <c r="M3854" s="2" t="n">
        <f aca="false">IF(G3854&lt;0,1,0)</f>
        <v>0</v>
      </c>
      <c r="N3854" s="2" t="str">
        <f aca="false">_xlfn.IFS(B3854&lt;30,"Under 30",B3854&lt;40,"30-39",B3854&lt;50,"40-49",B3854&lt;60,"50-59",TRUE(),"60+")</f>
        <v>40-49</v>
      </c>
      <c r="O3854" s="2" t="str">
        <f aca="false">_xlfn.IFS(G3854&lt;0,"1 Negative",G3854=0,"2 Zero",G3854&lt;=500,"3 1-500",G3854&lt;=2000,"4 501-2000",TRUE(),"5 Above 2000")</f>
        <v>3 1-500</v>
      </c>
      <c r="P3854" s="2" t="n">
        <f aca="false">Lookups!$B$2*M3854+Lookups!$B$3*L3854</f>
        <v>0</v>
      </c>
      <c r="Q3854" s="2" t="str">
        <f aca="false">INDEX(Lookups!$E$2:$E$5,MATCH(P3854,Lookups!$D$2:$D$5,0))</f>
        <v>Low</v>
      </c>
    </row>
    <row r="3855" customFormat="false" ht="15" hidden="false" customHeight="false" outlineLevel="0" collapsed="false">
      <c r="A3855" s="3" t="n">
        <v>3854</v>
      </c>
      <c r="B3855" s="3" t="n">
        <f aca="false">Raw_Data!A3855</f>
        <v>54</v>
      </c>
      <c r="C3855" s="3" t="str">
        <f aca="false">SUBSTITUTE(Raw_Data!B3855,".","")</f>
        <v>technician</v>
      </c>
      <c r="D3855" s="3" t="str">
        <f aca="false">Raw_Data!C3855</f>
        <v>married</v>
      </c>
      <c r="E3855" s="3" t="str">
        <f aca="false">Raw_Data!D3855</f>
        <v>secondary</v>
      </c>
      <c r="F3855" s="3" t="str">
        <f aca="false">Raw_Data!E3855</f>
        <v>no</v>
      </c>
      <c r="G3855" s="3" t="n">
        <f aca="false">Raw_Data!F3855</f>
        <v>-315</v>
      </c>
      <c r="H3855" s="3" t="str">
        <f aca="false">Raw_Data!G3855</f>
        <v>no</v>
      </c>
      <c r="I3855" s="3" t="str">
        <f aca="false">Raw_Data!H3855</f>
        <v>yes</v>
      </c>
      <c r="J3855" s="2" t="n">
        <f aca="false">IF(F3855="yes",1,0)</f>
        <v>0</v>
      </c>
      <c r="K3855" s="2" t="n">
        <f aca="false">IF(H3855="yes",1,0)</f>
        <v>0</v>
      </c>
      <c r="L3855" s="2" t="n">
        <f aca="false">IF(I3855="yes",1,0)</f>
        <v>1</v>
      </c>
      <c r="M3855" s="2" t="n">
        <f aca="false">IF(G3855&lt;0,1,0)</f>
        <v>1</v>
      </c>
      <c r="N3855" s="2" t="str">
        <f aca="false">_xlfn.IFS(B3855&lt;30,"Under 30",B3855&lt;40,"30-39",B3855&lt;50,"40-49",B3855&lt;60,"50-59",TRUE(),"60+")</f>
        <v>50-59</v>
      </c>
      <c r="O3855" s="2" t="str">
        <f aca="false">_xlfn.IFS(G3855&lt;0,"1 Negative",G3855=0,"2 Zero",G3855&lt;=500,"3 1-500",G3855&lt;=2000,"4 501-2000",TRUE(),"5 Above 2000")</f>
        <v>1 Negative</v>
      </c>
      <c r="P3855" s="2" t="n">
        <f aca="false">Lookups!$B$2*M3855+Lookups!$B$3*L3855</f>
        <v>3</v>
      </c>
      <c r="Q3855" s="2" t="str">
        <f aca="false">INDEX(Lookups!$E$2:$E$5,MATCH(P3855,Lookups!$D$2:$D$5,0))</f>
        <v>High</v>
      </c>
    </row>
    <row r="3856" customFormat="false" ht="15" hidden="false" customHeight="false" outlineLevel="0" collapsed="false">
      <c r="A3856" s="3" t="n">
        <v>3855</v>
      </c>
      <c r="B3856" s="3" t="n">
        <f aca="false">Raw_Data!A3856</f>
        <v>49</v>
      </c>
      <c r="C3856" s="3" t="str">
        <f aca="false">SUBSTITUTE(Raw_Data!B3856,".","")</f>
        <v>technician</v>
      </c>
      <c r="D3856" s="3" t="str">
        <f aca="false">Raw_Data!C3856</f>
        <v>married</v>
      </c>
      <c r="E3856" s="3" t="str">
        <f aca="false">Raw_Data!D3856</f>
        <v>tertiary</v>
      </c>
      <c r="F3856" s="3" t="str">
        <f aca="false">Raw_Data!E3856</f>
        <v>no</v>
      </c>
      <c r="G3856" s="3" t="n">
        <f aca="false">Raw_Data!F3856</f>
        <v>1843</v>
      </c>
      <c r="H3856" s="3" t="str">
        <f aca="false">Raw_Data!G3856</f>
        <v>yes</v>
      </c>
      <c r="I3856" s="3" t="str">
        <f aca="false">Raw_Data!H3856</f>
        <v>no</v>
      </c>
      <c r="J3856" s="2" t="n">
        <f aca="false">IF(F3856="yes",1,0)</f>
        <v>0</v>
      </c>
      <c r="K3856" s="2" t="n">
        <f aca="false">IF(H3856="yes",1,0)</f>
        <v>1</v>
      </c>
      <c r="L3856" s="2" t="n">
        <f aca="false">IF(I3856="yes",1,0)</f>
        <v>0</v>
      </c>
      <c r="M3856" s="2" t="n">
        <f aca="false">IF(G3856&lt;0,1,0)</f>
        <v>0</v>
      </c>
      <c r="N3856" s="2" t="str">
        <f aca="false">_xlfn.IFS(B3856&lt;30,"Under 30",B3856&lt;40,"30-39",B3856&lt;50,"40-49",B3856&lt;60,"50-59",TRUE(),"60+")</f>
        <v>40-49</v>
      </c>
      <c r="O3856" s="2" t="str">
        <f aca="false">_xlfn.IFS(G3856&lt;0,"1 Negative",G3856=0,"2 Zero",G3856&lt;=500,"3 1-500",G3856&lt;=2000,"4 501-2000",TRUE(),"5 Above 2000")</f>
        <v>4 501-2000</v>
      </c>
      <c r="P3856" s="2" t="n">
        <f aca="false">Lookups!$B$2*M3856+Lookups!$B$3*L3856</f>
        <v>0</v>
      </c>
      <c r="Q3856" s="2" t="str">
        <f aca="false">INDEX(Lookups!$E$2:$E$5,MATCH(P3856,Lookups!$D$2:$D$5,0))</f>
        <v>Low</v>
      </c>
    </row>
    <row r="3857" customFormat="false" ht="15" hidden="false" customHeight="false" outlineLevel="0" collapsed="false">
      <c r="A3857" s="3" t="n">
        <v>3856</v>
      </c>
      <c r="B3857" s="3" t="n">
        <f aca="false">Raw_Data!A3857</f>
        <v>47</v>
      </c>
      <c r="C3857" s="3" t="str">
        <f aca="false">SUBSTITUTE(Raw_Data!B3857,".","")</f>
        <v>technician</v>
      </c>
      <c r="D3857" s="3" t="str">
        <f aca="false">Raw_Data!C3857</f>
        <v>married</v>
      </c>
      <c r="E3857" s="3" t="str">
        <f aca="false">Raw_Data!D3857</f>
        <v>secondary</v>
      </c>
      <c r="F3857" s="3" t="str">
        <f aca="false">Raw_Data!E3857</f>
        <v>no</v>
      </c>
      <c r="G3857" s="3" t="n">
        <f aca="false">Raw_Data!F3857</f>
        <v>-9</v>
      </c>
      <c r="H3857" s="3" t="str">
        <f aca="false">Raw_Data!G3857</f>
        <v>no</v>
      </c>
      <c r="I3857" s="3" t="str">
        <f aca="false">Raw_Data!H3857</f>
        <v>no</v>
      </c>
      <c r="J3857" s="2" t="n">
        <f aca="false">IF(F3857="yes",1,0)</f>
        <v>0</v>
      </c>
      <c r="K3857" s="2" t="n">
        <f aca="false">IF(H3857="yes",1,0)</f>
        <v>0</v>
      </c>
      <c r="L3857" s="2" t="n">
        <f aca="false">IF(I3857="yes",1,0)</f>
        <v>0</v>
      </c>
      <c r="M3857" s="2" t="n">
        <f aca="false">IF(G3857&lt;0,1,0)</f>
        <v>1</v>
      </c>
      <c r="N3857" s="2" t="str">
        <f aca="false">_xlfn.IFS(B3857&lt;30,"Under 30",B3857&lt;40,"30-39",B3857&lt;50,"40-49",B3857&lt;60,"50-59",TRUE(),"60+")</f>
        <v>40-49</v>
      </c>
      <c r="O3857" s="2" t="str">
        <f aca="false">_xlfn.IFS(G3857&lt;0,"1 Negative",G3857=0,"2 Zero",G3857&lt;=500,"3 1-500",G3857&lt;=2000,"4 501-2000",TRUE(),"5 Above 2000")</f>
        <v>1 Negative</v>
      </c>
      <c r="P3857" s="2" t="n">
        <f aca="false">Lookups!$B$2*M3857+Lookups!$B$3*L3857</f>
        <v>2</v>
      </c>
      <c r="Q3857" s="2" t="str">
        <f aca="false">INDEX(Lookups!$E$2:$E$5,MATCH(P3857,Lookups!$D$2:$D$5,0))</f>
        <v>High</v>
      </c>
    </row>
    <row r="3858" customFormat="false" ht="15" hidden="false" customHeight="false" outlineLevel="0" collapsed="false">
      <c r="A3858" s="3" t="n">
        <v>3857</v>
      </c>
      <c r="B3858" s="3" t="n">
        <f aca="false">Raw_Data!A3858</f>
        <v>42</v>
      </c>
      <c r="C3858" s="3" t="str">
        <f aca="false">SUBSTITUTE(Raw_Data!B3858,".","")</f>
        <v>housemaid</v>
      </c>
      <c r="D3858" s="3" t="str">
        <f aca="false">Raw_Data!C3858</f>
        <v>married</v>
      </c>
      <c r="E3858" s="3" t="str">
        <f aca="false">Raw_Data!D3858</f>
        <v>primary</v>
      </c>
      <c r="F3858" s="3" t="str">
        <f aca="false">Raw_Data!E3858</f>
        <v>no</v>
      </c>
      <c r="G3858" s="3" t="n">
        <f aca="false">Raw_Data!F3858</f>
        <v>83</v>
      </c>
      <c r="H3858" s="3" t="str">
        <f aca="false">Raw_Data!G3858</f>
        <v>no</v>
      </c>
      <c r="I3858" s="3" t="str">
        <f aca="false">Raw_Data!H3858</f>
        <v>yes</v>
      </c>
      <c r="J3858" s="2" t="n">
        <f aca="false">IF(F3858="yes",1,0)</f>
        <v>0</v>
      </c>
      <c r="K3858" s="2" t="n">
        <f aca="false">IF(H3858="yes",1,0)</f>
        <v>0</v>
      </c>
      <c r="L3858" s="2" t="n">
        <f aca="false">IF(I3858="yes",1,0)</f>
        <v>1</v>
      </c>
      <c r="M3858" s="2" t="n">
        <f aca="false">IF(G3858&lt;0,1,0)</f>
        <v>0</v>
      </c>
      <c r="N3858" s="2" t="str">
        <f aca="false">_xlfn.IFS(B3858&lt;30,"Under 30",B3858&lt;40,"30-39",B3858&lt;50,"40-49",B3858&lt;60,"50-59",TRUE(),"60+")</f>
        <v>40-49</v>
      </c>
      <c r="O3858" s="2" t="str">
        <f aca="false">_xlfn.IFS(G3858&lt;0,"1 Negative",G3858=0,"2 Zero",G3858&lt;=500,"3 1-500",G3858&lt;=2000,"4 501-2000",TRUE(),"5 Above 2000")</f>
        <v>3 1-500</v>
      </c>
      <c r="P3858" s="2" t="n">
        <f aca="false">Lookups!$B$2*M3858+Lookups!$B$3*L3858</f>
        <v>1</v>
      </c>
      <c r="Q3858" s="2" t="str">
        <f aca="false">INDEX(Lookups!$E$2:$E$5,MATCH(P3858,Lookups!$D$2:$D$5,0))</f>
        <v>Medium</v>
      </c>
    </row>
    <row r="3859" customFormat="false" ht="15" hidden="false" customHeight="false" outlineLevel="0" collapsed="false">
      <c r="A3859" s="3" t="n">
        <v>3858</v>
      </c>
      <c r="B3859" s="3" t="n">
        <f aca="false">Raw_Data!A3859</f>
        <v>50</v>
      </c>
      <c r="C3859" s="3" t="str">
        <f aca="false">SUBSTITUTE(Raw_Data!B3859,".","")</f>
        <v>entrepreneur</v>
      </c>
      <c r="D3859" s="3" t="str">
        <f aca="false">Raw_Data!C3859</f>
        <v>married</v>
      </c>
      <c r="E3859" s="3" t="str">
        <f aca="false">Raw_Data!D3859</f>
        <v>tertiary</v>
      </c>
      <c r="F3859" s="3" t="str">
        <f aca="false">Raw_Data!E3859</f>
        <v>no</v>
      </c>
      <c r="G3859" s="3" t="n">
        <f aca="false">Raw_Data!F3859</f>
        <v>433</v>
      </c>
      <c r="H3859" s="3" t="str">
        <f aca="false">Raw_Data!G3859</f>
        <v>yes</v>
      </c>
      <c r="I3859" s="3" t="str">
        <f aca="false">Raw_Data!H3859</f>
        <v>no</v>
      </c>
      <c r="J3859" s="2" t="n">
        <f aca="false">IF(F3859="yes",1,0)</f>
        <v>0</v>
      </c>
      <c r="K3859" s="2" t="n">
        <f aca="false">IF(H3859="yes",1,0)</f>
        <v>1</v>
      </c>
      <c r="L3859" s="2" t="n">
        <f aca="false">IF(I3859="yes",1,0)</f>
        <v>0</v>
      </c>
      <c r="M3859" s="2" t="n">
        <f aca="false">IF(G3859&lt;0,1,0)</f>
        <v>0</v>
      </c>
      <c r="N3859" s="2" t="str">
        <f aca="false">_xlfn.IFS(B3859&lt;30,"Under 30",B3859&lt;40,"30-39",B3859&lt;50,"40-49",B3859&lt;60,"50-59",TRUE(),"60+")</f>
        <v>50-59</v>
      </c>
      <c r="O3859" s="2" t="str">
        <f aca="false">_xlfn.IFS(G3859&lt;0,"1 Negative",G3859=0,"2 Zero",G3859&lt;=500,"3 1-500",G3859&lt;=2000,"4 501-2000",TRUE(),"5 Above 2000")</f>
        <v>3 1-500</v>
      </c>
      <c r="P3859" s="2" t="n">
        <f aca="false">Lookups!$B$2*M3859+Lookups!$B$3*L3859</f>
        <v>0</v>
      </c>
      <c r="Q3859" s="2" t="str">
        <f aca="false">INDEX(Lookups!$E$2:$E$5,MATCH(P3859,Lookups!$D$2:$D$5,0))</f>
        <v>Low</v>
      </c>
    </row>
    <row r="3860" customFormat="false" ht="15" hidden="false" customHeight="false" outlineLevel="0" collapsed="false">
      <c r="A3860" s="3" t="n">
        <v>3859</v>
      </c>
      <c r="B3860" s="3" t="n">
        <f aca="false">Raw_Data!A3860</f>
        <v>37</v>
      </c>
      <c r="C3860" s="3" t="str">
        <f aca="false">SUBSTITUTE(Raw_Data!B3860,".","")</f>
        <v>admin</v>
      </c>
      <c r="D3860" s="3" t="str">
        <f aca="false">Raw_Data!C3860</f>
        <v>married</v>
      </c>
      <c r="E3860" s="3" t="str">
        <f aca="false">Raw_Data!D3860</f>
        <v>secondary</v>
      </c>
      <c r="F3860" s="3" t="str">
        <f aca="false">Raw_Data!E3860</f>
        <v>no</v>
      </c>
      <c r="G3860" s="3" t="n">
        <f aca="false">Raw_Data!F3860</f>
        <v>-107</v>
      </c>
      <c r="H3860" s="3" t="str">
        <f aca="false">Raw_Data!G3860</f>
        <v>yes</v>
      </c>
      <c r="I3860" s="3" t="str">
        <f aca="false">Raw_Data!H3860</f>
        <v>no</v>
      </c>
      <c r="J3860" s="2" t="n">
        <f aca="false">IF(F3860="yes",1,0)</f>
        <v>0</v>
      </c>
      <c r="K3860" s="2" t="n">
        <f aca="false">IF(H3860="yes",1,0)</f>
        <v>1</v>
      </c>
      <c r="L3860" s="2" t="n">
        <f aca="false">IF(I3860="yes",1,0)</f>
        <v>0</v>
      </c>
      <c r="M3860" s="2" t="n">
        <f aca="false">IF(G3860&lt;0,1,0)</f>
        <v>1</v>
      </c>
      <c r="N3860" s="2" t="str">
        <f aca="false">_xlfn.IFS(B3860&lt;30,"Under 30",B3860&lt;40,"30-39",B3860&lt;50,"40-49",B3860&lt;60,"50-59",TRUE(),"60+")</f>
        <v>30-39</v>
      </c>
      <c r="O3860" s="2" t="str">
        <f aca="false">_xlfn.IFS(G3860&lt;0,"1 Negative",G3860=0,"2 Zero",G3860&lt;=500,"3 1-500",G3860&lt;=2000,"4 501-2000",TRUE(),"5 Above 2000")</f>
        <v>1 Negative</v>
      </c>
      <c r="P3860" s="2" t="n">
        <f aca="false">Lookups!$B$2*M3860+Lookups!$B$3*L3860</f>
        <v>2</v>
      </c>
      <c r="Q3860" s="2" t="str">
        <f aca="false">INDEX(Lookups!$E$2:$E$5,MATCH(P3860,Lookups!$D$2:$D$5,0))</f>
        <v>High</v>
      </c>
    </row>
    <row r="3861" customFormat="false" ht="15" hidden="false" customHeight="false" outlineLevel="0" collapsed="false">
      <c r="A3861" s="3" t="n">
        <v>3860</v>
      </c>
      <c r="B3861" s="3" t="n">
        <f aca="false">Raw_Data!A3861</f>
        <v>54</v>
      </c>
      <c r="C3861" s="3" t="str">
        <f aca="false">SUBSTITUTE(Raw_Data!B3861,".","")</f>
        <v>blue-collar</v>
      </c>
      <c r="D3861" s="3" t="str">
        <f aca="false">Raw_Data!C3861</f>
        <v>married</v>
      </c>
      <c r="E3861" s="3" t="str">
        <f aca="false">Raw_Data!D3861</f>
        <v>primary</v>
      </c>
      <c r="F3861" s="3" t="str">
        <f aca="false">Raw_Data!E3861</f>
        <v>no</v>
      </c>
      <c r="G3861" s="3" t="n">
        <f aca="false">Raw_Data!F3861</f>
        <v>4503</v>
      </c>
      <c r="H3861" s="3" t="str">
        <f aca="false">Raw_Data!G3861</f>
        <v>no</v>
      </c>
      <c r="I3861" s="3" t="str">
        <f aca="false">Raw_Data!H3861</f>
        <v>no</v>
      </c>
      <c r="J3861" s="2" t="n">
        <f aca="false">IF(F3861="yes",1,0)</f>
        <v>0</v>
      </c>
      <c r="K3861" s="2" t="n">
        <f aca="false">IF(H3861="yes",1,0)</f>
        <v>0</v>
      </c>
      <c r="L3861" s="2" t="n">
        <f aca="false">IF(I3861="yes",1,0)</f>
        <v>0</v>
      </c>
      <c r="M3861" s="2" t="n">
        <f aca="false">IF(G3861&lt;0,1,0)</f>
        <v>0</v>
      </c>
      <c r="N3861" s="2" t="str">
        <f aca="false">_xlfn.IFS(B3861&lt;30,"Under 30",B3861&lt;40,"30-39",B3861&lt;50,"40-49",B3861&lt;60,"50-59",TRUE(),"60+")</f>
        <v>50-59</v>
      </c>
      <c r="O3861" s="2" t="str">
        <f aca="false">_xlfn.IFS(G3861&lt;0,"1 Negative",G3861=0,"2 Zero",G3861&lt;=500,"3 1-500",G3861&lt;=2000,"4 501-2000",TRUE(),"5 Above 2000")</f>
        <v>5 Above 2000</v>
      </c>
      <c r="P3861" s="2" t="n">
        <f aca="false">Lookups!$B$2*M3861+Lookups!$B$3*L3861</f>
        <v>0</v>
      </c>
      <c r="Q3861" s="2" t="str">
        <f aca="false">INDEX(Lookups!$E$2:$E$5,MATCH(P3861,Lookups!$D$2:$D$5,0))</f>
        <v>Low</v>
      </c>
    </row>
    <row r="3862" customFormat="false" ht="15" hidden="false" customHeight="false" outlineLevel="0" collapsed="false">
      <c r="A3862" s="3" t="n">
        <v>3861</v>
      </c>
      <c r="B3862" s="3" t="n">
        <f aca="false">Raw_Data!A3862</f>
        <v>40</v>
      </c>
      <c r="C3862" s="3" t="str">
        <f aca="false">SUBSTITUTE(Raw_Data!B3862,".","")</f>
        <v>services</v>
      </c>
      <c r="D3862" s="3" t="str">
        <f aca="false">Raw_Data!C3862</f>
        <v>married</v>
      </c>
      <c r="E3862" s="3" t="str">
        <f aca="false">Raw_Data!D3862</f>
        <v>secondary</v>
      </c>
      <c r="F3862" s="3" t="str">
        <f aca="false">Raw_Data!E3862</f>
        <v>no</v>
      </c>
      <c r="G3862" s="3" t="n">
        <f aca="false">Raw_Data!F3862</f>
        <v>51</v>
      </c>
      <c r="H3862" s="3" t="str">
        <f aca="false">Raw_Data!G3862</f>
        <v>yes</v>
      </c>
      <c r="I3862" s="3" t="str">
        <f aca="false">Raw_Data!H3862</f>
        <v>no</v>
      </c>
      <c r="J3862" s="2" t="n">
        <f aca="false">IF(F3862="yes",1,0)</f>
        <v>0</v>
      </c>
      <c r="K3862" s="2" t="n">
        <f aca="false">IF(H3862="yes",1,0)</f>
        <v>1</v>
      </c>
      <c r="L3862" s="2" t="n">
        <f aca="false">IF(I3862="yes",1,0)</f>
        <v>0</v>
      </c>
      <c r="M3862" s="2" t="n">
        <f aca="false">IF(G3862&lt;0,1,0)</f>
        <v>0</v>
      </c>
      <c r="N3862" s="2" t="str">
        <f aca="false">_xlfn.IFS(B3862&lt;30,"Under 30",B3862&lt;40,"30-39",B3862&lt;50,"40-49",B3862&lt;60,"50-59",TRUE(),"60+")</f>
        <v>40-49</v>
      </c>
      <c r="O3862" s="2" t="str">
        <f aca="false">_xlfn.IFS(G3862&lt;0,"1 Negative",G3862=0,"2 Zero",G3862&lt;=500,"3 1-500",G3862&lt;=2000,"4 501-2000",TRUE(),"5 Above 2000")</f>
        <v>3 1-500</v>
      </c>
      <c r="P3862" s="2" t="n">
        <f aca="false">Lookups!$B$2*M3862+Lookups!$B$3*L3862</f>
        <v>0</v>
      </c>
      <c r="Q3862" s="2" t="str">
        <f aca="false">INDEX(Lookups!$E$2:$E$5,MATCH(P3862,Lookups!$D$2:$D$5,0))</f>
        <v>Low</v>
      </c>
    </row>
    <row r="3863" customFormat="false" ht="15" hidden="false" customHeight="false" outlineLevel="0" collapsed="false">
      <c r="A3863" s="3" t="n">
        <v>3862</v>
      </c>
      <c r="B3863" s="3" t="n">
        <f aca="false">Raw_Data!A3863</f>
        <v>50</v>
      </c>
      <c r="C3863" s="3" t="str">
        <f aca="false">SUBSTITUTE(Raw_Data!B3863,".","")</f>
        <v>services</v>
      </c>
      <c r="D3863" s="3" t="str">
        <f aca="false">Raw_Data!C3863</f>
        <v>married</v>
      </c>
      <c r="E3863" s="3" t="str">
        <f aca="false">Raw_Data!D3863</f>
        <v>secondary</v>
      </c>
      <c r="F3863" s="3" t="str">
        <f aca="false">Raw_Data!E3863</f>
        <v>no</v>
      </c>
      <c r="G3863" s="3" t="n">
        <f aca="false">Raw_Data!F3863</f>
        <v>961</v>
      </c>
      <c r="H3863" s="3" t="str">
        <f aca="false">Raw_Data!G3863</f>
        <v>no</v>
      </c>
      <c r="I3863" s="3" t="str">
        <f aca="false">Raw_Data!H3863</f>
        <v>yes</v>
      </c>
      <c r="J3863" s="2" t="n">
        <f aca="false">IF(F3863="yes",1,0)</f>
        <v>0</v>
      </c>
      <c r="K3863" s="2" t="n">
        <f aca="false">IF(H3863="yes",1,0)</f>
        <v>0</v>
      </c>
      <c r="L3863" s="2" t="n">
        <f aca="false">IF(I3863="yes",1,0)</f>
        <v>1</v>
      </c>
      <c r="M3863" s="2" t="n">
        <f aca="false">IF(G3863&lt;0,1,0)</f>
        <v>0</v>
      </c>
      <c r="N3863" s="2" t="str">
        <f aca="false">_xlfn.IFS(B3863&lt;30,"Under 30",B3863&lt;40,"30-39",B3863&lt;50,"40-49",B3863&lt;60,"50-59",TRUE(),"60+")</f>
        <v>50-59</v>
      </c>
      <c r="O3863" s="2" t="str">
        <f aca="false">_xlfn.IFS(G3863&lt;0,"1 Negative",G3863=0,"2 Zero",G3863&lt;=500,"3 1-500",G3863&lt;=2000,"4 501-2000",TRUE(),"5 Above 2000")</f>
        <v>4 501-2000</v>
      </c>
      <c r="P3863" s="2" t="n">
        <f aca="false">Lookups!$B$2*M3863+Lookups!$B$3*L3863</f>
        <v>1</v>
      </c>
      <c r="Q3863" s="2" t="str">
        <f aca="false">INDEX(Lookups!$E$2:$E$5,MATCH(P3863,Lookups!$D$2:$D$5,0))</f>
        <v>Medium</v>
      </c>
    </row>
    <row r="3864" customFormat="false" ht="15" hidden="false" customHeight="false" outlineLevel="0" collapsed="false">
      <c r="A3864" s="3" t="n">
        <v>3863</v>
      </c>
      <c r="B3864" s="3" t="n">
        <f aca="false">Raw_Data!A3864</f>
        <v>57</v>
      </c>
      <c r="C3864" s="3" t="str">
        <f aca="false">SUBSTITUTE(Raw_Data!B3864,".","")</f>
        <v>retired</v>
      </c>
      <c r="D3864" s="3" t="str">
        <f aca="false">Raw_Data!C3864</f>
        <v>married</v>
      </c>
      <c r="E3864" s="3" t="str">
        <f aca="false">Raw_Data!D3864</f>
        <v>secondary</v>
      </c>
      <c r="F3864" s="3" t="str">
        <f aca="false">Raw_Data!E3864</f>
        <v>no</v>
      </c>
      <c r="G3864" s="3" t="n">
        <f aca="false">Raw_Data!F3864</f>
        <v>49</v>
      </c>
      <c r="H3864" s="3" t="str">
        <f aca="false">Raw_Data!G3864</f>
        <v>yes</v>
      </c>
      <c r="I3864" s="3" t="str">
        <f aca="false">Raw_Data!H3864</f>
        <v>yes</v>
      </c>
      <c r="J3864" s="2" t="n">
        <f aca="false">IF(F3864="yes",1,0)</f>
        <v>0</v>
      </c>
      <c r="K3864" s="2" t="n">
        <f aca="false">IF(H3864="yes",1,0)</f>
        <v>1</v>
      </c>
      <c r="L3864" s="2" t="n">
        <f aca="false">IF(I3864="yes",1,0)</f>
        <v>1</v>
      </c>
      <c r="M3864" s="2" t="n">
        <f aca="false">IF(G3864&lt;0,1,0)</f>
        <v>0</v>
      </c>
      <c r="N3864" s="2" t="str">
        <f aca="false">_xlfn.IFS(B3864&lt;30,"Under 30",B3864&lt;40,"30-39",B3864&lt;50,"40-49",B3864&lt;60,"50-59",TRUE(),"60+")</f>
        <v>50-59</v>
      </c>
      <c r="O3864" s="2" t="str">
        <f aca="false">_xlfn.IFS(G3864&lt;0,"1 Negative",G3864=0,"2 Zero",G3864&lt;=500,"3 1-500",G3864&lt;=2000,"4 501-2000",TRUE(),"5 Above 2000")</f>
        <v>3 1-500</v>
      </c>
      <c r="P3864" s="2" t="n">
        <f aca="false">Lookups!$B$2*M3864+Lookups!$B$3*L3864</f>
        <v>1</v>
      </c>
      <c r="Q3864" s="2" t="str">
        <f aca="false">INDEX(Lookups!$E$2:$E$5,MATCH(P3864,Lookups!$D$2:$D$5,0))</f>
        <v>Medium</v>
      </c>
    </row>
    <row r="3865" customFormat="false" ht="15" hidden="false" customHeight="false" outlineLevel="0" collapsed="false">
      <c r="A3865" s="3" t="n">
        <v>3864</v>
      </c>
      <c r="B3865" s="3" t="n">
        <f aca="false">Raw_Data!A3865</f>
        <v>33</v>
      </c>
      <c r="C3865" s="3" t="str">
        <f aca="false">SUBSTITUTE(Raw_Data!B3865,".","")</f>
        <v>technician</v>
      </c>
      <c r="D3865" s="3" t="str">
        <f aca="false">Raw_Data!C3865</f>
        <v>married</v>
      </c>
      <c r="E3865" s="3" t="str">
        <f aca="false">Raw_Data!D3865</f>
        <v>secondary</v>
      </c>
      <c r="F3865" s="3" t="str">
        <f aca="false">Raw_Data!E3865</f>
        <v>no</v>
      </c>
      <c r="G3865" s="3" t="n">
        <f aca="false">Raw_Data!F3865</f>
        <v>3470</v>
      </c>
      <c r="H3865" s="3" t="str">
        <f aca="false">Raw_Data!G3865</f>
        <v>no</v>
      </c>
      <c r="I3865" s="3" t="str">
        <f aca="false">Raw_Data!H3865</f>
        <v>no</v>
      </c>
      <c r="J3865" s="2" t="n">
        <f aca="false">IF(F3865="yes",1,0)</f>
        <v>0</v>
      </c>
      <c r="K3865" s="2" t="n">
        <f aca="false">IF(H3865="yes",1,0)</f>
        <v>0</v>
      </c>
      <c r="L3865" s="2" t="n">
        <f aca="false">IF(I3865="yes",1,0)</f>
        <v>0</v>
      </c>
      <c r="M3865" s="2" t="n">
        <f aca="false">IF(G3865&lt;0,1,0)</f>
        <v>0</v>
      </c>
      <c r="N3865" s="2" t="str">
        <f aca="false">_xlfn.IFS(B3865&lt;30,"Under 30",B3865&lt;40,"30-39",B3865&lt;50,"40-49",B3865&lt;60,"50-59",TRUE(),"60+")</f>
        <v>30-39</v>
      </c>
      <c r="O3865" s="2" t="str">
        <f aca="false">_xlfn.IFS(G3865&lt;0,"1 Negative",G3865=0,"2 Zero",G3865&lt;=500,"3 1-500",G3865&lt;=2000,"4 501-2000",TRUE(),"5 Above 2000")</f>
        <v>5 Above 2000</v>
      </c>
      <c r="P3865" s="2" t="n">
        <f aca="false">Lookups!$B$2*M3865+Lookups!$B$3*L3865</f>
        <v>0</v>
      </c>
      <c r="Q3865" s="2" t="str">
        <f aca="false">INDEX(Lookups!$E$2:$E$5,MATCH(P3865,Lookups!$D$2:$D$5,0))</f>
        <v>Low</v>
      </c>
    </row>
    <row r="3866" customFormat="false" ht="15" hidden="false" customHeight="false" outlineLevel="0" collapsed="false">
      <c r="A3866" s="3" t="n">
        <v>3865</v>
      </c>
      <c r="B3866" s="3" t="n">
        <f aca="false">Raw_Data!A3866</f>
        <v>49</v>
      </c>
      <c r="C3866" s="3" t="str">
        <f aca="false">SUBSTITUTE(Raw_Data!B3866,".","")</f>
        <v>technician</v>
      </c>
      <c r="D3866" s="3" t="str">
        <f aca="false">Raw_Data!C3866</f>
        <v>married</v>
      </c>
      <c r="E3866" s="3" t="str">
        <f aca="false">Raw_Data!D3866</f>
        <v>secondary</v>
      </c>
      <c r="F3866" s="3" t="str">
        <f aca="false">Raw_Data!E3866</f>
        <v>no</v>
      </c>
      <c r="G3866" s="3" t="n">
        <f aca="false">Raw_Data!F3866</f>
        <v>-147</v>
      </c>
      <c r="H3866" s="3" t="str">
        <f aca="false">Raw_Data!G3866</f>
        <v>yes</v>
      </c>
      <c r="I3866" s="3" t="str">
        <f aca="false">Raw_Data!H3866</f>
        <v>no</v>
      </c>
      <c r="J3866" s="2" t="n">
        <f aca="false">IF(F3866="yes",1,0)</f>
        <v>0</v>
      </c>
      <c r="K3866" s="2" t="n">
        <f aca="false">IF(H3866="yes",1,0)</f>
        <v>1</v>
      </c>
      <c r="L3866" s="2" t="n">
        <f aca="false">IF(I3866="yes",1,0)</f>
        <v>0</v>
      </c>
      <c r="M3866" s="2" t="n">
        <f aca="false">IF(G3866&lt;0,1,0)</f>
        <v>1</v>
      </c>
      <c r="N3866" s="2" t="str">
        <f aca="false">_xlfn.IFS(B3866&lt;30,"Under 30",B3866&lt;40,"30-39",B3866&lt;50,"40-49",B3866&lt;60,"50-59",TRUE(),"60+")</f>
        <v>40-49</v>
      </c>
      <c r="O3866" s="2" t="str">
        <f aca="false">_xlfn.IFS(G3866&lt;0,"1 Negative",G3866=0,"2 Zero",G3866&lt;=500,"3 1-500",G3866&lt;=2000,"4 501-2000",TRUE(),"5 Above 2000")</f>
        <v>1 Negative</v>
      </c>
      <c r="P3866" s="2" t="n">
        <f aca="false">Lookups!$B$2*M3866+Lookups!$B$3*L3866</f>
        <v>2</v>
      </c>
      <c r="Q3866" s="2" t="str">
        <f aca="false">INDEX(Lookups!$E$2:$E$5,MATCH(P3866,Lookups!$D$2:$D$5,0))</f>
        <v>High</v>
      </c>
    </row>
    <row r="3867" customFormat="false" ht="15" hidden="false" customHeight="false" outlineLevel="0" collapsed="false">
      <c r="A3867" s="3" t="n">
        <v>3866</v>
      </c>
      <c r="B3867" s="3" t="n">
        <f aca="false">Raw_Data!A3867</f>
        <v>35</v>
      </c>
      <c r="C3867" s="3" t="str">
        <f aca="false">SUBSTITUTE(Raw_Data!B3867,".","")</f>
        <v>services</v>
      </c>
      <c r="D3867" s="3" t="str">
        <f aca="false">Raw_Data!C3867</f>
        <v>married</v>
      </c>
      <c r="E3867" s="3" t="str">
        <f aca="false">Raw_Data!D3867</f>
        <v>secondary</v>
      </c>
      <c r="F3867" s="3" t="str">
        <f aca="false">Raw_Data!E3867</f>
        <v>no</v>
      </c>
      <c r="G3867" s="3" t="n">
        <f aca="false">Raw_Data!F3867</f>
        <v>0</v>
      </c>
      <c r="H3867" s="3" t="str">
        <f aca="false">Raw_Data!G3867</f>
        <v>yes</v>
      </c>
      <c r="I3867" s="3" t="str">
        <f aca="false">Raw_Data!H3867</f>
        <v>no</v>
      </c>
      <c r="J3867" s="2" t="n">
        <f aca="false">IF(F3867="yes",1,0)</f>
        <v>0</v>
      </c>
      <c r="K3867" s="2" t="n">
        <f aca="false">IF(H3867="yes",1,0)</f>
        <v>1</v>
      </c>
      <c r="L3867" s="2" t="n">
        <f aca="false">IF(I3867="yes",1,0)</f>
        <v>0</v>
      </c>
      <c r="M3867" s="2" t="n">
        <f aca="false">IF(G3867&lt;0,1,0)</f>
        <v>0</v>
      </c>
      <c r="N3867" s="2" t="str">
        <f aca="false">_xlfn.IFS(B3867&lt;30,"Under 30",B3867&lt;40,"30-39",B3867&lt;50,"40-49",B3867&lt;60,"50-59",TRUE(),"60+")</f>
        <v>30-39</v>
      </c>
      <c r="O3867" s="2" t="str">
        <f aca="false">_xlfn.IFS(G3867&lt;0,"1 Negative",G3867=0,"2 Zero",G3867&lt;=500,"3 1-500",G3867&lt;=2000,"4 501-2000",TRUE(),"5 Above 2000")</f>
        <v>2 Zero</v>
      </c>
      <c r="P3867" s="2" t="n">
        <f aca="false">Lookups!$B$2*M3867+Lookups!$B$3*L3867</f>
        <v>0</v>
      </c>
      <c r="Q3867" s="2" t="str">
        <f aca="false">INDEX(Lookups!$E$2:$E$5,MATCH(P3867,Lookups!$D$2:$D$5,0))</f>
        <v>Low</v>
      </c>
    </row>
    <row r="3868" customFormat="false" ht="15" hidden="false" customHeight="false" outlineLevel="0" collapsed="false">
      <c r="A3868" s="3" t="n">
        <v>3867</v>
      </c>
      <c r="B3868" s="3" t="n">
        <f aca="false">Raw_Data!A3868</f>
        <v>28</v>
      </c>
      <c r="C3868" s="3" t="str">
        <f aca="false">SUBSTITUTE(Raw_Data!B3868,".","")</f>
        <v>blue-collar</v>
      </c>
      <c r="D3868" s="3" t="str">
        <f aca="false">Raw_Data!C3868</f>
        <v>single</v>
      </c>
      <c r="E3868" s="3" t="str">
        <f aca="false">Raw_Data!D3868</f>
        <v>secondary</v>
      </c>
      <c r="F3868" s="3" t="str">
        <f aca="false">Raw_Data!E3868</f>
        <v>no</v>
      </c>
      <c r="G3868" s="3" t="n">
        <f aca="false">Raw_Data!F3868</f>
        <v>0</v>
      </c>
      <c r="H3868" s="3" t="str">
        <f aca="false">Raw_Data!G3868</f>
        <v>yes</v>
      </c>
      <c r="I3868" s="3" t="str">
        <f aca="false">Raw_Data!H3868</f>
        <v>no</v>
      </c>
      <c r="J3868" s="2" t="n">
        <f aca="false">IF(F3868="yes",1,0)</f>
        <v>0</v>
      </c>
      <c r="K3868" s="2" t="n">
        <f aca="false">IF(H3868="yes",1,0)</f>
        <v>1</v>
      </c>
      <c r="L3868" s="2" t="n">
        <f aca="false">IF(I3868="yes",1,0)</f>
        <v>0</v>
      </c>
      <c r="M3868" s="2" t="n">
        <f aca="false">IF(G3868&lt;0,1,0)</f>
        <v>0</v>
      </c>
      <c r="N3868" s="2" t="str">
        <f aca="false">_xlfn.IFS(B3868&lt;30,"Under 30",B3868&lt;40,"30-39",B3868&lt;50,"40-49",B3868&lt;60,"50-59",TRUE(),"60+")</f>
        <v>Under 30</v>
      </c>
      <c r="O3868" s="2" t="str">
        <f aca="false">_xlfn.IFS(G3868&lt;0,"1 Negative",G3868=0,"2 Zero",G3868&lt;=500,"3 1-500",G3868&lt;=2000,"4 501-2000",TRUE(),"5 Above 2000")</f>
        <v>2 Zero</v>
      </c>
      <c r="P3868" s="2" t="n">
        <f aca="false">Lookups!$B$2*M3868+Lookups!$B$3*L3868</f>
        <v>0</v>
      </c>
      <c r="Q3868" s="2" t="str">
        <f aca="false">INDEX(Lookups!$E$2:$E$5,MATCH(P3868,Lookups!$D$2:$D$5,0))</f>
        <v>Low</v>
      </c>
    </row>
    <row r="3869" customFormat="false" ht="15" hidden="false" customHeight="false" outlineLevel="0" collapsed="false">
      <c r="A3869" s="3" t="n">
        <v>3868</v>
      </c>
      <c r="B3869" s="3" t="n">
        <f aca="false">Raw_Data!A3869</f>
        <v>58</v>
      </c>
      <c r="C3869" s="3" t="str">
        <f aca="false">SUBSTITUTE(Raw_Data!B3869,".","")</f>
        <v>management</v>
      </c>
      <c r="D3869" s="3" t="str">
        <f aca="false">Raw_Data!C3869</f>
        <v>married</v>
      </c>
      <c r="E3869" s="3" t="str">
        <f aca="false">Raw_Data!D3869</f>
        <v>tertiary</v>
      </c>
      <c r="F3869" s="3" t="str">
        <f aca="false">Raw_Data!E3869</f>
        <v>no</v>
      </c>
      <c r="G3869" s="3" t="n">
        <f aca="false">Raw_Data!F3869</f>
        <v>172</v>
      </c>
      <c r="H3869" s="3" t="str">
        <f aca="false">Raw_Data!G3869</f>
        <v>no</v>
      </c>
      <c r="I3869" s="3" t="str">
        <f aca="false">Raw_Data!H3869</f>
        <v>no</v>
      </c>
      <c r="J3869" s="2" t="n">
        <f aca="false">IF(F3869="yes",1,0)</f>
        <v>0</v>
      </c>
      <c r="K3869" s="2" t="n">
        <f aca="false">IF(H3869="yes",1,0)</f>
        <v>0</v>
      </c>
      <c r="L3869" s="2" t="n">
        <f aca="false">IF(I3869="yes",1,0)</f>
        <v>0</v>
      </c>
      <c r="M3869" s="2" t="n">
        <f aca="false">IF(G3869&lt;0,1,0)</f>
        <v>0</v>
      </c>
      <c r="N3869" s="2" t="str">
        <f aca="false">_xlfn.IFS(B3869&lt;30,"Under 30",B3869&lt;40,"30-39",B3869&lt;50,"40-49",B3869&lt;60,"50-59",TRUE(),"60+")</f>
        <v>50-59</v>
      </c>
      <c r="O3869" s="2" t="str">
        <f aca="false">_xlfn.IFS(G3869&lt;0,"1 Negative",G3869=0,"2 Zero",G3869&lt;=500,"3 1-500",G3869&lt;=2000,"4 501-2000",TRUE(),"5 Above 2000")</f>
        <v>3 1-500</v>
      </c>
      <c r="P3869" s="2" t="n">
        <f aca="false">Lookups!$B$2*M3869+Lookups!$B$3*L3869</f>
        <v>0</v>
      </c>
      <c r="Q3869" s="2" t="str">
        <f aca="false">INDEX(Lookups!$E$2:$E$5,MATCH(P3869,Lookups!$D$2:$D$5,0))</f>
        <v>Low</v>
      </c>
    </row>
    <row r="3870" customFormat="false" ht="15" hidden="false" customHeight="false" outlineLevel="0" collapsed="false">
      <c r="A3870" s="3" t="n">
        <v>3869</v>
      </c>
      <c r="B3870" s="3" t="n">
        <f aca="false">Raw_Data!A3870</f>
        <v>31</v>
      </c>
      <c r="C3870" s="3" t="str">
        <f aca="false">SUBSTITUTE(Raw_Data!B3870,".","")</f>
        <v>admin</v>
      </c>
      <c r="D3870" s="3" t="str">
        <f aca="false">Raw_Data!C3870</f>
        <v>single</v>
      </c>
      <c r="E3870" s="3" t="str">
        <f aca="false">Raw_Data!D3870</f>
        <v>secondary</v>
      </c>
      <c r="F3870" s="3" t="str">
        <f aca="false">Raw_Data!E3870</f>
        <v>no</v>
      </c>
      <c r="G3870" s="3" t="n">
        <f aca="false">Raw_Data!F3870</f>
        <v>-407</v>
      </c>
      <c r="H3870" s="3" t="str">
        <f aca="false">Raw_Data!G3870</f>
        <v>no</v>
      </c>
      <c r="I3870" s="3" t="str">
        <f aca="false">Raw_Data!H3870</f>
        <v>yes</v>
      </c>
      <c r="J3870" s="2" t="n">
        <f aca="false">IF(F3870="yes",1,0)</f>
        <v>0</v>
      </c>
      <c r="K3870" s="2" t="n">
        <f aca="false">IF(H3870="yes",1,0)</f>
        <v>0</v>
      </c>
      <c r="L3870" s="2" t="n">
        <f aca="false">IF(I3870="yes",1,0)</f>
        <v>1</v>
      </c>
      <c r="M3870" s="2" t="n">
        <f aca="false">IF(G3870&lt;0,1,0)</f>
        <v>1</v>
      </c>
      <c r="N3870" s="2" t="str">
        <f aca="false">_xlfn.IFS(B3870&lt;30,"Under 30",B3870&lt;40,"30-39",B3870&lt;50,"40-49",B3870&lt;60,"50-59",TRUE(),"60+")</f>
        <v>30-39</v>
      </c>
      <c r="O3870" s="2" t="str">
        <f aca="false">_xlfn.IFS(G3870&lt;0,"1 Negative",G3870=0,"2 Zero",G3870&lt;=500,"3 1-500",G3870&lt;=2000,"4 501-2000",TRUE(),"5 Above 2000")</f>
        <v>1 Negative</v>
      </c>
      <c r="P3870" s="2" t="n">
        <f aca="false">Lookups!$B$2*M3870+Lookups!$B$3*L3870</f>
        <v>3</v>
      </c>
      <c r="Q3870" s="2" t="str">
        <f aca="false">INDEX(Lookups!$E$2:$E$5,MATCH(P3870,Lookups!$D$2:$D$5,0))</f>
        <v>High</v>
      </c>
    </row>
    <row r="3871" customFormat="false" ht="15" hidden="false" customHeight="false" outlineLevel="0" collapsed="false">
      <c r="A3871" s="3" t="n">
        <v>3870</v>
      </c>
      <c r="B3871" s="3" t="n">
        <f aca="false">Raw_Data!A3871</f>
        <v>36</v>
      </c>
      <c r="C3871" s="3" t="str">
        <f aca="false">SUBSTITUTE(Raw_Data!B3871,".","")</f>
        <v>management</v>
      </c>
      <c r="D3871" s="3" t="str">
        <f aca="false">Raw_Data!C3871</f>
        <v>divorced</v>
      </c>
      <c r="E3871" s="3" t="str">
        <f aca="false">Raw_Data!D3871</f>
        <v>tertiary</v>
      </c>
      <c r="F3871" s="3" t="str">
        <f aca="false">Raw_Data!E3871</f>
        <v>no</v>
      </c>
      <c r="G3871" s="3" t="n">
        <f aca="false">Raw_Data!F3871</f>
        <v>649</v>
      </c>
      <c r="H3871" s="3" t="str">
        <f aca="false">Raw_Data!G3871</f>
        <v>no</v>
      </c>
      <c r="I3871" s="3" t="str">
        <f aca="false">Raw_Data!H3871</f>
        <v>no</v>
      </c>
      <c r="J3871" s="2" t="n">
        <f aca="false">IF(F3871="yes",1,0)</f>
        <v>0</v>
      </c>
      <c r="K3871" s="2" t="n">
        <f aca="false">IF(H3871="yes",1,0)</f>
        <v>0</v>
      </c>
      <c r="L3871" s="2" t="n">
        <f aca="false">IF(I3871="yes",1,0)</f>
        <v>0</v>
      </c>
      <c r="M3871" s="2" t="n">
        <f aca="false">IF(G3871&lt;0,1,0)</f>
        <v>0</v>
      </c>
      <c r="N3871" s="2" t="str">
        <f aca="false">_xlfn.IFS(B3871&lt;30,"Under 30",B3871&lt;40,"30-39",B3871&lt;50,"40-49",B3871&lt;60,"50-59",TRUE(),"60+")</f>
        <v>30-39</v>
      </c>
      <c r="O3871" s="2" t="str">
        <f aca="false">_xlfn.IFS(G3871&lt;0,"1 Negative",G3871=0,"2 Zero",G3871&lt;=500,"3 1-500",G3871&lt;=2000,"4 501-2000",TRUE(),"5 Above 2000")</f>
        <v>4 501-2000</v>
      </c>
      <c r="P3871" s="2" t="n">
        <f aca="false">Lookups!$B$2*M3871+Lookups!$B$3*L3871</f>
        <v>0</v>
      </c>
      <c r="Q3871" s="2" t="str">
        <f aca="false">INDEX(Lookups!$E$2:$E$5,MATCH(P3871,Lookups!$D$2:$D$5,0))</f>
        <v>Low</v>
      </c>
    </row>
    <row r="3872" customFormat="false" ht="15" hidden="false" customHeight="false" outlineLevel="0" collapsed="false">
      <c r="A3872" s="3" t="n">
        <v>3871</v>
      </c>
      <c r="B3872" s="3" t="n">
        <f aca="false">Raw_Data!A3872</f>
        <v>49</v>
      </c>
      <c r="C3872" s="3" t="str">
        <f aca="false">SUBSTITUTE(Raw_Data!B3872,".","")</f>
        <v>blue-collar</v>
      </c>
      <c r="D3872" s="3" t="str">
        <f aca="false">Raw_Data!C3872</f>
        <v>single</v>
      </c>
      <c r="E3872" s="3" t="str">
        <f aca="false">Raw_Data!D3872</f>
        <v>primary</v>
      </c>
      <c r="F3872" s="3" t="str">
        <f aca="false">Raw_Data!E3872</f>
        <v>no</v>
      </c>
      <c r="G3872" s="3" t="n">
        <f aca="false">Raw_Data!F3872</f>
        <v>1040</v>
      </c>
      <c r="H3872" s="3" t="str">
        <f aca="false">Raw_Data!G3872</f>
        <v>no</v>
      </c>
      <c r="I3872" s="3" t="str">
        <f aca="false">Raw_Data!H3872</f>
        <v>no</v>
      </c>
      <c r="J3872" s="2" t="n">
        <f aca="false">IF(F3872="yes",1,0)</f>
        <v>0</v>
      </c>
      <c r="K3872" s="2" t="n">
        <f aca="false">IF(H3872="yes",1,0)</f>
        <v>0</v>
      </c>
      <c r="L3872" s="2" t="n">
        <f aca="false">IF(I3872="yes",1,0)</f>
        <v>0</v>
      </c>
      <c r="M3872" s="2" t="n">
        <f aca="false">IF(G3872&lt;0,1,0)</f>
        <v>0</v>
      </c>
      <c r="N3872" s="2" t="str">
        <f aca="false">_xlfn.IFS(B3872&lt;30,"Under 30",B3872&lt;40,"30-39",B3872&lt;50,"40-49",B3872&lt;60,"50-59",TRUE(),"60+")</f>
        <v>40-49</v>
      </c>
      <c r="O3872" s="2" t="str">
        <f aca="false">_xlfn.IFS(G3872&lt;0,"1 Negative",G3872=0,"2 Zero",G3872&lt;=500,"3 1-500",G3872&lt;=2000,"4 501-2000",TRUE(),"5 Above 2000")</f>
        <v>4 501-2000</v>
      </c>
      <c r="P3872" s="2" t="n">
        <f aca="false">Lookups!$B$2*M3872+Lookups!$B$3*L3872</f>
        <v>0</v>
      </c>
      <c r="Q3872" s="2" t="str">
        <f aca="false">INDEX(Lookups!$E$2:$E$5,MATCH(P3872,Lookups!$D$2:$D$5,0))</f>
        <v>Low</v>
      </c>
    </row>
    <row r="3873" customFormat="false" ht="15" hidden="false" customHeight="false" outlineLevel="0" collapsed="false">
      <c r="A3873" s="3" t="n">
        <v>3872</v>
      </c>
      <c r="B3873" s="3" t="n">
        <f aca="false">Raw_Data!A3873</f>
        <v>30</v>
      </c>
      <c r="C3873" s="3" t="str">
        <f aca="false">SUBSTITUTE(Raw_Data!B3873,".","")</f>
        <v>unemployed</v>
      </c>
      <c r="D3873" s="3" t="str">
        <f aca="false">Raw_Data!C3873</f>
        <v>married</v>
      </c>
      <c r="E3873" s="3" t="str">
        <f aca="false">Raw_Data!D3873</f>
        <v>secondary</v>
      </c>
      <c r="F3873" s="3" t="str">
        <f aca="false">Raw_Data!E3873</f>
        <v>no</v>
      </c>
      <c r="G3873" s="3" t="n">
        <f aca="false">Raw_Data!F3873</f>
        <v>142</v>
      </c>
      <c r="H3873" s="3" t="str">
        <f aca="false">Raw_Data!G3873</f>
        <v>yes</v>
      </c>
      <c r="I3873" s="3" t="str">
        <f aca="false">Raw_Data!H3873</f>
        <v>no</v>
      </c>
      <c r="J3873" s="2" t="n">
        <f aca="false">IF(F3873="yes",1,0)</f>
        <v>0</v>
      </c>
      <c r="K3873" s="2" t="n">
        <f aca="false">IF(H3873="yes",1,0)</f>
        <v>1</v>
      </c>
      <c r="L3873" s="2" t="n">
        <f aca="false">IF(I3873="yes",1,0)</f>
        <v>0</v>
      </c>
      <c r="M3873" s="2" t="n">
        <f aca="false">IF(G3873&lt;0,1,0)</f>
        <v>0</v>
      </c>
      <c r="N3873" s="2" t="str">
        <f aca="false">_xlfn.IFS(B3873&lt;30,"Under 30",B3873&lt;40,"30-39",B3873&lt;50,"40-49",B3873&lt;60,"50-59",TRUE(),"60+")</f>
        <v>30-39</v>
      </c>
      <c r="O3873" s="2" t="str">
        <f aca="false">_xlfn.IFS(G3873&lt;0,"1 Negative",G3873=0,"2 Zero",G3873&lt;=500,"3 1-500",G3873&lt;=2000,"4 501-2000",TRUE(),"5 Above 2000")</f>
        <v>3 1-500</v>
      </c>
      <c r="P3873" s="2" t="n">
        <f aca="false">Lookups!$B$2*M3873+Lookups!$B$3*L3873</f>
        <v>0</v>
      </c>
      <c r="Q3873" s="2" t="str">
        <f aca="false">INDEX(Lookups!$E$2:$E$5,MATCH(P3873,Lookups!$D$2:$D$5,0))</f>
        <v>Low</v>
      </c>
    </row>
    <row r="3874" customFormat="false" ht="15" hidden="false" customHeight="false" outlineLevel="0" collapsed="false">
      <c r="A3874" s="3" t="n">
        <v>3873</v>
      </c>
      <c r="B3874" s="3" t="n">
        <f aca="false">Raw_Data!A3874</f>
        <v>29</v>
      </c>
      <c r="C3874" s="3" t="str">
        <f aca="false">SUBSTITUTE(Raw_Data!B3874,".","")</f>
        <v>services</v>
      </c>
      <c r="D3874" s="3" t="str">
        <f aca="false">Raw_Data!C3874</f>
        <v>single</v>
      </c>
      <c r="E3874" s="3" t="str">
        <f aca="false">Raw_Data!D3874</f>
        <v>secondary</v>
      </c>
      <c r="F3874" s="3" t="str">
        <f aca="false">Raw_Data!E3874</f>
        <v>no</v>
      </c>
      <c r="G3874" s="3" t="n">
        <f aca="false">Raw_Data!F3874</f>
        <v>209</v>
      </c>
      <c r="H3874" s="3" t="str">
        <f aca="false">Raw_Data!G3874</f>
        <v>yes</v>
      </c>
      <c r="I3874" s="3" t="str">
        <f aca="false">Raw_Data!H3874</f>
        <v>no</v>
      </c>
      <c r="J3874" s="2" t="n">
        <f aca="false">IF(F3874="yes",1,0)</f>
        <v>0</v>
      </c>
      <c r="K3874" s="2" t="n">
        <f aca="false">IF(H3874="yes",1,0)</f>
        <v>1</v>
      </c>
      <c r="L3874" s="2" t="n">
        <f aca="false">IF(I3874="yes",1,0)</f>
        <v>0</v>
      </c>
      <c r="M3874" s="2" t="n">
        <f aca="false">IF(G3874&lt;0,1,0)</f>
        <v>0</v>
      </c>
      <c r="N3874" s="2" t="str">
        <f aca="false">_xlfn.IFS(B3874&lt;30,"Under 30",B3874&lt;40,"30-39",B3874&lt;50,"40-49",B3874&lt;60,"50-59",TRUE(),"60+")</f>
        <v>Under 30</v>
      </c>
      <c r="O3874" s="2" t="str">
        <f aca="false">_xlfn.IFS(G3874&lt;0,"1 Negative",G3874=0,"2 Zero",G3874&lt;=500,"3 1-500",G3874&lt;=2000,"4 501-2000",TRUE(),"5 Above 2000")</f>
        <v>3 1-500</v>
      </c>
      <c r="P3874" s="2" t="n">
        <f aca="false">Lookups!$B$2*M3874+Lookups!$B$3*L3874</f>
        <v>0</v>
      </c>
      <c r="Q3874" s="2" t="str">
        <f aca="false">INDEX(Lookups!$E$2:$E$5,MATCH(P3874,Lookups!$D$2:$D$5,0))</f>
        <v>Low</v>
      </c>
    </row>
    <row r="3875" customFormat="false" ht="15" hidden="false" customHeight="false" outlineLevel="0" collapsed="false">
      <c r="A3875" s="3" t="n">
        <v>3874</v>
      </c>
      <c r="B3875" s="3" t="n">
        <f aca="false">Raw_Data!A3875</f>
        <v>50</v>
      </c>
      <c r="C3875" s="3" t="str">
        <f aca="false">SUBSTITUTE(Raw_Data!B3875,".","")</f>
        <v>management</v>
      </c>
      <c r="D3875" s="3" t="str">
        <f aca="false">Raw_Data!C3875</f>
        <v>married</v>
      </c>
      <c r="E3875" s="3" t="str">
        <f aca="false">Raw_Data!D3875</f>
        <v>unknown</v>
      </c>
      <c r="F3875" s="3" t="str">
        <f aca="false">Raw_Data!E3875</f>
        <v>no</v>
      </c>
      <c r="G3875" s="3" t="n">
        <f aca="false">Raw_Data!F3875</f>
        <v>3304</v>
      </c>
      <c r="H3875" s="3" t="str">
        <f aca="false">Raw_Data!G3875</f>
        <v>no</v>
      </c>
      <c r="I3875" s="3" t="str">
        <f aca="false">Raw_Data!H3875</f>
        <v>no</v>
      </c>
      <c r="J3875" s="2" t="n">
        <f aca="false">IF(F3875="yes",1,0)</f>
        <v>0</v>
      </c>
      <c r="K3875" s="2" t="n">
        <f aca="false">IF(H3875="yes",1,0)</f>
        <v>0</v>
      </c>
      <c r="L3875" s="2" t="n">
        <f aca="false">IF(I3875="yes",1,0)</f>
        <v>0</v>
      </c>
      <c r="M3875" s="2" t="n">
        <f aca="false">IF(G3875&lt;0,1,0)</f>
        <v>0</v>
      </c>
      <c r="N3875" s="2" t="str">
        <f aca="false">_xlfn.IFS(B3875&lt;30,"Under 30",B3875&lt;40,"30-39",B3875&lt;50,"40-49",B3875&lt;60,"50-59",TRUE(),"60+")</f>
        <v>50-59</v>
      </c>
      <c r="O3875" s="2" t="str">
        <f aca="false">_xlfn.IFS(G3875&lt;0,"1 Negative",G3875=0,"2 Zero",G3875&lt;=500,"3 1-500",G3875&lt;=2000,"4 501-2000",TRUE(),"5 Above 2000")</f>
        <v>5 Above 2000</v>
      </c>
      <c r="P3875" s="2" t="n">
        <f aca="false">Lookups!$B$2*M3875+Lookups!$B$3*L3875</f>
        <v>0</v>
      </c>
      <c r="Q3875" s="2" t="str">
        <f aca="false">INDEX(Lookups!$E$2:$E$5,MATCH(P3875,Lookups!$D$2:$D$5,0))</f>
        <v>Low</v>
      </c>
    </row>
    <row r="3876" customFormat="false" ht="15" hidden="false" customHeight="false" outlineLevel="0" collapsed="false">
      <c r="A3876" s="3" t="n">
        <v>3875</v>
      </c>
      <c r="B3876" s="3" t="n">
        <f aca="false">Raw_Data!A3876</f>
        <v>26</v>
      </c>
      <c r="C3876" s="3" t="str">
        <f aca="false">SUBSTITUTE(Raw_Data!B3876,".","")</f>
        <v>student</v>
      </c>
      <c r="D3876" s="3" t="str">
        <f aca="false">Raw_Data!C3876</f>
        <v>single</v>
      </c>
      <c r="E3876" s="3" t="str">
        <f aca="false">Raw_Data!D3876</f>
        <v>tertiary</v>
      </c>
      <c r="F3876" s="3" t="str">
        <f aca="false">Raw_Data!E3876</f>
        <v>no</v>
      </c>
      <c r="G3876" s="3" t="n">
        <f aca="false">Raw_Data!F3876</f>
        <v>294</v>
      </c>
      <c r="H3876" s="3" t="str">
        <f aca="false">Raw_Data!G3876</f>
        <v>no</v>
      </c>
      <c r="I3876" s="3" t="str">
        <f aca="false">Raw_Data!H3876</f>
        <v>no</v>
      </c>
      <c r="J3876" s="2" t="n">
        <f aca="false">IF(F3876="yes",1,0)</f>
        <v>0</v>
      </c>
      <c r="K3876" s="2" t="n">
        <f aca="false">IF(H3876="yes",1,0)</f>
        <v>0</v>
      </c>
      <c r="L3876" s="2" t="n">
        <f aca="false">IF(I3876="yes",1,0)</f>
        <v>0</v>
      </c>
      <c r="M3876" s="2" t="n">
        <f aca="false">IF(G3876&lt;0,1,0)</f>
        <v>0</v>
      </c>
      <c r="N3876" s="2" t="str">
        <f aca="false">_xlfn.IFS(B3876&lt;30,"Under 30",B3876&lt;40,"30-39",B3876&lt;50,"40-49",B3876&lt;60,"50-59",TRUE(),"60+")</f>
        <v>Under 30</v>
      </c>
      <c r="O3876" s="2" t="str">
        <f aca="false">_xlfn.IFS(G3876&lt;0,"1 Negative",G3876=0,"2 Zero",G3876&lt;=500,"3 1-500",G3876&lt;=2000,"4 501-2000",TRUE(),"5 Above 2000")</f>
        <v>3 1-500</v>
      </c>
      <c r="P3876" s="2" t="n">
        <f aca="false">Lookups!$B$2*M3876+Lookups!$B$3*L3876</f>
        <v>0</v>
      </c>
      <c r="Q3876" s="2" t="str">
        <f aca="false">INDEX(Lookups!$E$2:$E$5,MATCH(P3876,Lookups!$D$2:$D$5,0))</f>
        <v>Low</v>
      </c>
    </row>
    <row r="3877" customFormat="false" ht="15" hidden="false" customHeight="false" outlineLevel="0" collapsed="false">
      <c r="A3877" s="3" t="n">
        <v>3876</v>
      </c>
      <c r="B3877" s="3" t="n">
        <f aca="false">Raw_Data!A3877</f>
        <v>27</v>
      </c>
      <c r="C3877" s="3" t="str">
        <f aca="false">SUBSTITUTE(Raw_Data!B3877,".","")</f>
        <v>housemaid</v>
      </c>
      <c r="D3877" s="3" t="str">
        <f aca="false">Raw_Data!C3877</f>
        <v>married</v>
      </c>
      <c r="E3877" s="3" t="str">
        <f aca="false">Raw_Data!D3877</f>
        <v>secondary</v>
      </c>
      <c r="F3877" s="3" t="str">
        <f aca="false">Raw_Data!E3877</f>
        <v>no</v>
      </c>
      <c r="G3877" s="3" t="n">
        <f aca="false">Raw_Data!F3877</f>
        <v>4848</v>
      </c>
      <c r="H3877" s="3" t="str">
        <f aca="false">Raw_Data!G3877</f>
        <v>yes</v>
      </c>
      <c r="I3877" s="3" t="str">
        <f aca="false">Raw_Data!H3877</f>
        <v>yes</v>
      </c>
      <c r="J3877" s="2" t="n">
        <f aca="false">IF(F3877="yes",1,0)</f>
        <v>0</v>
      </c>
      <c r="K3877" s="2" t="n">
        <f aca="false">IF(H3877="yes",1,0)</f>
        <v>1</v>
      </c>
      <c r="L3877" s="2" t="n">
        <f aca="false">IF(I3877="yes",1,0)</f>
        <v>1</v>
      </c>
      <c r="M3877" s="2" t="n">
        <f aca="false">IF(G3877&lt;0,1,0)</f>
        <v>0</v>
      </c>
      <c r="N3877" s="2" t="str">
        <f aca="false">_xlfn.IFS(B3877&lt;30,"Under 30",B3877&lt;40,"30-39",B3877&lt;50,"40-49",B3877&lt;60,"50-59",TRUE(),"60+")</f>
        <v>Under 30</v>
      </c>
      <c r="O3877" s="2" t="str">
        <f aca="false">_xlfn.IFS(G3877&lt;0,"1 Negative",G3877=0,"2 Zero",G3877&lt;=500,"3 1-500",G3877&lt;=2000,"4 501-2000",TRUE(),"5 Above 2000")</f>
        <v>5 Above 2000</v>
      </c>
      <c r="P3877" s="2" t="n">
        <f aca="false">Lookups!$B$2*M3877+Lookups!$B$3*L3877</f>
        <v>1</v>
      </c>
      <c r="Q3877" s="2" t="str">
        <f aca="false">INDEX(Lookups!$E$2:$E$5,MATCH(P3877,Lookups!$D$2:$D$5,0))</f>
        <v>Medium</v>
      </c>
    </row>
    <row r="3878" customFormat="false" ht="15" hidden="false" customHeight="false" outlineLevel="0" collapsed="false">
      <c r="A3878" s="3" t="n">
        <v>3877</v>
      </c>
      <c r="B3878" s="3" t="n">
        <f aca="false">Raw_Data!A3878</f>
        <v>32</v>
      </c>
      <c r="C3878" s="3" t="str">
        <f aca="false">SUBSTITUTE(Raw_Data!B3878,".","")</f>
        <v>blue-collar</v>
      </c>
      <c r="D3878" s="3" t="str">
        <f aca="false">Raw_Data!C3878</f>
        <v>single</v>
      </c>
      <c r="E3878" s="3" t="str">
        <f aca="false">Raw_Data!D3878</f>
        <v>secondary</v>
      </c>
      <c r="F3878" s="3" t="str">
        <f aca="false">Raw_Data!E3878</f>
        <v>no</v>
      </c>
      <c r="G3878" s="3" t="n">
        <f aca="false">Raw_Data!F3878</f>
        <v>1670</v>
      </c>
      <c r="H3878" s="3" t="str">
        <f aca="false">Raw_Data!G3878</f>
        <v>yes</v>
      </c>
      <c r="I3878" s="3" t="str">
        <f aca="false">Raw_Data!H3878</f>
        <v>no</v>
      </c>
      <c r="J3878" s="2" t="n">
        <f aca="false">IF(F3878="yes",1,0)</f>
        <v>0</v>
      </c>
      <c r="K3878" s="2" t="n">
        <f aca="false">IF(H3878="yes",1,0)</f>
        <v>1</v>
      </c>
      <c r="L3878" s="2" t="n">
        <f aca="false">IF(I3878="yes",1,0)</f>
        <v>0</v>
      </c>
      <c r="M3878" s="2" t="n">
        <f aca="false">IF(G3878&lt;0,1,0)</f>
        <v>0</v>
      </c>
      <c r="N3878" s="2" t="str">
        <f aca="false">_xlfn.IFS(B3878&lt;30,"Under 30",B3878&lt;40,"30-39",B3878&lt;50,"40-49",B3878&lt;60,"50-59",TRUE(),"60+")</f>
        <v>30-39</v>
      </c>
      <c r="O3878" s="2" t="str">
        <f aca="false">_xlfn.IFS(G3878&lt;0,"1 Negative",G3878=0,"2 Zero",G3878&lt;=500,"3 1-500",G3878&lt;=2000,"4 501-2000",TRUE(),"5 Above 2000")</f>
        <v>4 501-2000</v>
      </c>
      <c r="P3878" s="2" t="n">
        <f aca="false">Lookups!$B$2*M3878+Lookups!$B$3*L3878</f>
        <v>0</v>
      </c>
      <c r="Q3878" s="2" t="str">
        <f aca="false">INDEX(Lookups!$E$2:$E$5,MATCH(P3878,Lookups!$D$2:$D$5,0))</f>
        <v>Low</v>
      </c>
    </row>
    <row r="3879" customFormat="false" ht="15" hidden="false" customHeight="false" outlineLevel="0" collapsed="false">
      <c r="A3879" s="3" t="n">
        <v>3878</v>
      </c>
      <c r="B3879" s="3" t="n">
        <f aca="false">Raw_Data!A3879</f>
        <v>62</v>
      </c>
      <c r="C3879" s="3" t="str">
        <f aca="false">SUBSTITUTE(Raw_Data!B3879,".","")</f>
        <v>unknown</v>
      </c>
      <c r="D3879" s="3" t="str">
        <f aca="false">Raw_Data!C3879</f>
        <v>married</v>
      </c>
      <c r="E3879" s="3" t="str">
        <f aca="false">Raw_Data!D3879</f>
        <v>secondary</v>
      </c>
      <c r="F3879" s="3" t="str">
        <f aca="false">Raw_Data!E3879</f>
        <v>no</v>
      </c>
      <c r="G3879" s="3" t="n">
        <f aca="false">Raw_Data!F3879</f>
        <v>367</v>
      </c>
      <c r="H3879" s="3" t="str">
        <f aca="false">Raw_Data!G3879</f>
        <v>no</v>
      </c>
      <c r="I3879" s="3" t="str">
        <f aca="false">Raw_Data!H3879</f>
        <v>no</v>
      </c>
      <c r="J3879" s="2" t="n">
        <f aca="false">IF(F3879="yes",1,0)</f>
        <v>0</v>
      </c>
      <c r="K3879" s="2" t="n">
        <f aca="false">IF(H3879="yes",1,0)</f>
        <v>0</v>
      </c>
      <c r="L3879" s="2" t="n">
        <f aca="false">IF(I3879="yes",1,0)</f>
        <v>0</v>
      </c>
      <c r="M3879" s="2" t="n">
        <f aca="false">IF(G3879&lt;0,1,0)</f>
        <v>0</v>
      </c>
      <c r="N3879" s="2" t="str">
        <f aca="false">_xlfn.IFS(B3879&lt;30,"Under 30",B3879&lt;40,"30-39",B3879&lt;50,"40-49",B3879&lt;60,"50-59",TRUE(),"60+")</f>
        <v>60+</v>
      </c>
      <c r="O3879" s="2" t="str">
        <f aca="false">_xlfn.IFS(G3879&lt;0,"1 Negative",G3879=0,"2 Zero",G3879&lt;=500,"3 1-500",G3879&lt;=2000,"4 501-2000",TRUE(),"5 Above 2000")</f>
        <v>3 1-500</v>
      </c>
      <c r="P3879" s="2" t="n">
        <f aca="false">Lookups!$B$2*M3879+Lookups!$B$3*L3879</f>
        <v>0</v>
      </c>
      <c r="Q3879" s="2" t="str">
        <f aca="false">INDEX(Lookups!$E$2:$E$5,MATCH(P3879,Lookups!$D$2:$D$5,0))</f>
        <v>Low</v>
      </c>
    </row>
    <row r="3880" customFormat="false" ht="15" hidden="false" customHeight="false" outlineLevel="0" collapsed="false">
      <c r="A3880" s="3" t="n">
        <v>3879</v>
      </c>
      <c r="B3880" s="3" t="n">
        <f aca="false">Raw_Data!A3880</f>
        <v>34</v>
      </c>
      <c r="C3880" s="3" t="str">
        <f aca="false">SUBSTITUTE(Raw_Data!B3880,".","")</f>
        <v>blue-collar</v>
      </c>
      <c r="D3880" s="3" t="str">
        <f aca="false">Raw_Data!C3880</f>
        <v>single</v>
      </c>
      <c r="E3880" s="3" t="str">
        <f aca="false">Raw_Data!D3880</f>
        <v>secondary</v>
      </c>
      <c r="F3880" s="3" t="str">
        <f aca="false">Raw_Data!E3880</f>
        <v>no</v>
      </c>
      <c r="G3880" s="3" t="n">
        <f aca="false">Raw_Data!F3880</f>
        <v>13683</v>
      </c>
      <c r="H3880" s="3" t="str">
        <f aca="false">Raw_Data!G3880</f>
        <v>yes</v>
      </c>
      <c r="I3880" s="3" t="str">
        <f aca="false">Raw_Data!H3880</f>
        <v>no</v>
      </c>
      <c r="J3880" s="2" t="n">
        <f aca="false">IF(F3880="yes",1,0)</f>
        <v>0</v>
      </c>
      <c r="K3880" s="2" t="n">
        <f aca="false">IF(H3880="yes",1,0)</f>
        <v>1</v>
      </c>
      <c r="L3880" s="2" t="n">
        <f aca="false">IF(I3880="yes",1,0)</f>
        <v>0</v>
      </c>
      <c r="M3880" s="2" t="n">
        <f aca="false">IF(G3880&lt;0,1,0)</f>
        <v>0</v>
      </c>
      <c r="N3880" s="2" t="str">
        <f aca="false">_xlfn.IFS(B3880&lt;30,"Under 30",B3880&lt;40,"30-39",B3880&lt;50,"40-49",B3880&lt;60,"50-59",TRUE(),"60+")</f>
        <v>30-39</v>
      </c>
      <c r="O3880" s="2" t="str">
        <f aca="false">_xlfn.IFS(G3880&lt;0,"1 Negative",G3880=0,"2 Zero",G3880&lt;=500,"3 1-500",G3880&lt;=2000,"4 501-2000",TRUE(),"5 Above 2000")</f>
        <v>5 Above 2000</v>
      </c>
      <c r="P3880" s="2" t="n">
        <f aca="false">Lookups!$B$2*M3880+Lookups!$B$3*L3880</f>
        <v>0</v>
      </c>
      <c r="Q3880" s="2" t="str">
        <f aca="false">INDEX(Lookups!$E$2:$E$5,MATCH(P3880,Lookups!$D$2:$D$5,0))</f>
        <v>Low</v>
      </c>
    </row>
    <row r="3881" customFormat="false" ht="15" hidden="false" customHeight="false" outlineLevel="0" collapsed="false">
      <c r="A3881" s="3" t="n">
        <v>3880</v>
      </c>
      <c r="B3881" s="3" t="n">
        <f aca="false">Raw_Data!A3881</f>
        <v>25</v>
      </c>
      <c r="C3881" s="3" t="str">
        <f aca="false">SUBSTITUTE(Raw_Data!B3881,".","")</f>
        <v>admin</v>
      </c>
      <c r="D3881" s="3" t="str">
        <f aca="false">Raw_Data!C3881</f>
        <v>single</v>
      </c>
      <c r="E3881" s="3" t="str">
        <f aca="false">Raw_Data!D3881</f>
        <v>tertiary</v>
      </c>
      <c r="F3881" s="3" t="str">
        <f aca="false">Raw_Data!E3881</f>
        <v>no</v>
      </c>
      <c r="G3881" s="3" t="n">
        <f aca="false">Raw_Data!F3881</f>
        <v>1420</v>
      </c>
      <c r="H3881" s="3" t="str">
        <f aca="false">Raw_Data!G3881</f>
        <v>no</v>
      </c>
      <c r="I3881" s="3" t="str">
        <f aca="false">Raw_Data!H3881</f>
        <v>no</v>
      </c>
      <c r="J3881" s="2" t="n">
        <f aca="false">IF(F3881="yes",1,0)</f>
        <v>0</v>
      </c>
      <c r="K3881" s="2" t="n">
        <f aca="false">IF(H3881="yes",1,0)</f>
        <v>0</v>
      </c>
      <c r="L3881" s="2" t="n">
        <f aca="false">IF(I3881="yes",1,0)</f>
        <v>0</v>
      </c>
      <c r="M3881" s="2" t="n">
        <f aca="false">IF(G3881&lt;0,1,0)</f>
        <v>0</v>
      </c>
      <c r="N3881" s="2" t="str">
        <f aca="false">_xlfn.IFS(B3881&lt;30,"Under 30",B3881&lt;40,"30-39",B3881&lt;50,"40-49",B3881&lt;60,"50-59",TRUE(),"60+")</f>
        <v>Under 30</v>
      </c>
      <c r="O3881" s="2" t="str">
        <f aca="false">_xlfn.IFS(G3881&lt;0,"1 Negative",G3881=0,"2 Zero",G3881&lt;=500,"3 1-500",G3881&lt;=2000,"4 501-2000",TRUE(),"5 Above 2000")</f>
        <v>4 501-2000</v>
      </c>
      <c r="P3881" s="2" t="n">
        <f aca="false">Lookups!$B$2*M3881+Lookups!$B$3*L3881</f>
        <v>0</v>
      </c>
      <c r="Q3881" s="2" t="str">
        <f aca="false">INDEX(Lookups!$E$2:$E$5,MATCH(P3881,Lookups!$D$2:$D$5,0))</f>
        <v>Low</v>
      </c>
    </row>
    <row r="3882" customFormat="false" ht="15" hidden="false" customHeight="false" outlineLevel="0" collapsed="false">
      <c r="A3882" s="3" t="n">
        <v>3881</v>
      </c>
      <c r="B3882" s="3" t="n">
        <f aca="false">Raw_Data!A3882</f>
        <v>34</v>
      </c>
      <c r="C3882" s="3" t="str">
        <f aca="false">SUBSTITUTE(Raw_Data!B3882,".","")</f>
        <v>management</v>
      </c>
      <c r="D3882" s="3" t="str">
        <f aca="false">Raw_Data!C3882</f>
        <v>single</v>
      </c>
      <c r="E3882" s="3" t="str">
        <f aca="false">Raw_Data!D3882</f>
        <v>tertiary</v>
      </c>
      <c r="F3882" s="3" t="str">
        <f aca="false">Raw_Data!E3882</f>
        <v>no</v>
      </c>
      <c r="G3882" s="3" t="n">
        <f aca="false">Raw_Data!F3882</f>
        <v>340</v>
      </c>
      <c r="H3882" s="3" t="str">
        <f aca="false">Raw_Data!G3882</f>
        <v>yes</v>
      </c>
      <c r="I3882" s="3" t="str">
        <f aca="false">Raw_Data!H3882</f>
        <v>no</v>
      </c>
      <c r="J3882" s="2" t="n">
        <f aca="false">IF(F3882="yes",1,0)</f>
        <v>0</v>
      </c>
      <c r="K3882" s="2" t="n">
        <f aca="false">IF(H3882="yes",1,0)</f>
        <v>1</v>
      </c>
      <c r="L3882" s="2" t="n">
        <f aca="false">IF(I3882="yes",1,0)</f>
        <v>0</v>
      </c>
      <c r="M3882" s="2" t="n">
        <f aca="false">IF(G3882&lt;0,1,0)</f>
        <v>0</v>
      </c>
      <c r="N3882" s="2" t="str">
        <f aca="false">_xlfn.IFS(B3882&lt;30,"Under 30",B3882&lt;40,"30-39",B3882&lt;50,"40-49",B3882&lt;60,"50-59",TRUE(),"60+")</f>
        <v>30-39</v>
      </c>
      <c r="O3882" s="2" t="str">
        <f aca="false">_xlfn.IFS(G3882&lt;0,"1 Negative",G3882=0,"2 Zero",G3882&lt;=500,"3 1-500",G3882&lt;=2000,"4 501-2000",TRUE(),"5 Above 2000")</f>
        <v>3 1-500</v>
      </c>
      <c r="P3882" s="2" t="n">
        <f aca="false">Lookups!$B$2*M3882+Lookups!$B$3*L3882</f>
        <v>0</v>
      </c>
      <c r="Q3882" s="2" t="str">
        <f aca="false">INDEX(Lookups!$E$2:$E$5,MATCH(P3882,Lookups!$D$2:$D$5,0))</f>
        <v>Low</v>
      </c>
    </row>
    <row r="3883" customFormat="false" ht="15" hidden="false" customHeight="false" outlineLevel="0" collapsed="false">
      <c r="A3883" s="3" t="n">
        <v>3882</v>
      </c>
      <c r="B3883" s="3" t="n">
        <f aca="false">Raw_Data!A3883</f>
        <v>44</v>
      </c>
      <c r="C3883" s="3" t="str">
        <f aca="false">SUBSTITUTE(Raw_Data!B3883,".","")</f>
        <v>technician</v>
      </c>
      <c r="D3883" s="3" t="str">
        <f aca="false">Raw_Data!C3883</f>
        <v>single</v>
      </c>
      <c r="E3883" s="3" t="str">
        <f aca="false">Raw_Data!D3883</f>
        <v>secondary</v>
      </c>
      <c r="F3883" s="3" t="str">
        <f aca="false">Raw_Data!E3883</f>
        <v>no</v>
      </c>
      <c r="G3883" s="3" t="n">
        <f aca="false">Raw_Data!F3883</f>
        <v>1679</v>
      </c>
      <c r="H3883" s="3" t="str">
        <f aca="false">Raw_Data!G3883</f>
        <v>no</v>
      </c>
      <c r="I3883" s="3" t="str">
        <f aca="false">Raw_Data!H3883</f>
        <v>no</v>
      </c>
      <c r="J3883" s="2" t="n">
        <f aca="false">IF(F3883="yes",1,0)</f>
        <v>0</v>
      </c>
      <c r="K3883" s="2" t="n">
        <f aca="false">IF(H3883="yes",1,0)</f>
        <v>0</v>
      </c>
      <c r="L3883" s="2" t="n">
        <f aca="false">IF(I3883="yes",1,0)</f>
        <v>0</v>
      </c>
      <c r="M3883" s="2" t="n">
        <f aca="false">IF(G3883&lt;0,1,0)</f>
        <v>0</v>
      </c>
      <c r="N3883" s="2" t="str">
        <f aca="false">_xlfn.IFS(B3883&lt;30,"Under 30",B3883&lt;40,"30-39",B3883&lt;50,"40-49",B3883&lt;60,"50-59",TRUE(),"60+")</f>
        <v>40-49</v>
      </c>
      <c r="O3883" s="2" t="str">
        <f aca="false">_xlfn.IFS(G3883&lt;0,"1 Negative",G3883=0,"2 Zero",G3883&lt;=500,"3 1-500",G3883&lt;=2000,"4 501-2000",TRUE(),"5 Above 2000")</f>
        <v>4 501-2000</v>
      </c>
      <c r="P3883" s="2" t="n">
        <f aca="false">Lookups!$B$2*M3883+Lookups!$B$3*L3883</f>
        <v>0</v>
      </c>
      <c r="Q3883" s="2" t="str">
        <f aca="false">INDEX(Lookups!$E$2:$E$5,MATCH(P3883,Lookups!$D$2:$D$5,0))</f>
        <v>Low</v>
      </c>
    </row>
    <row r="3884" customFormat="false" ht="15" hidden="false" customHeight="false" outlineLevel="0" collapsed="false">
      <c r="A3884" s="3" t="n">
        <v>3883</v>
      </c>
      <c r="B3884" s="3" t="n">
        <f aca="false">Raw_Data!A3884</f>
        <v>38</v>
      </c>
      <c r="C3884" s="3" t="str">
        <f aca="false">SUBSTITUTE(Raw_Data!B3884,".","")</f>
        <v>management</v>
      </c>
      <c r="D3884" s="3" t="str">
        <f aca="false">Raw_Data!C3884</f>
        <v>married</v>
      </c>
      <c r="E3884" s="3" t="str">
        <f aca="false">Raw_Data!D3884</f>
        <v>tertiary</v>
      </c>
      <c r="F3884" s="3" t="str">
        <f aca="false">Raw_Data!E3884</f>
        <v>no</v>
      </c>
      <c r="G3884" s="3" t="n">
        <f aca="false">Raw_Data!F3884</f>
        <v>1198</v>
      </c>
      <c r="H3884" s="3" t="str">
        <f aca="false">Raw_Data!G3884</f>
        <v>yes</v>
      </c>
      <c r="I3884" s="3" t="str">
        <f aca="false">Raw_Data!H3884</f>
        <v>no</v>
      </c>
      <c r="J3884" s="2" t="n">
        <f aca="false">IF(F3884="yes",1,0)</f>
        <v>0</v>
      </c>
      <c r="K3884" s="2" t="n">
        <f aca="false">IF(H3884="yes",1,0)</f>
        <v>1</v>
      </c>
      <c r="L3884" s="2" t="n">
        <f aca="false">IF(I3884="yes",1,0)</f>
        <v>0</v>
      </c>
      <c r="M3884" s="2" t="n">
        <f aca="false">IF(G3884&lt;0,1,0)</f>
        <v>0</v>
      </c>
      <c r="N3884" s="2" t="str">
        <f aca="false">_xlfn.IFS(B3884&lt;30,"Under 30",B3884&lt;40,"30-39",B3884&lt;50,"40-49",B3884&lt;60,"50-59",TRUE(),"60+")</f>
        <v>30-39</v>
      </c>
      <c r="O3884" s="2" t="str">
        <f aca="false">_xlfn.IFS(G3884&lt;0,"1 Negative",G3884=0,"2 Zero",G3884&lt;=500,"3 1-500",G3884&lt;=2000,"4 501-2000",TRUE(),"5 Above 2000")</f>
        <v>4 501-2000</v>
      </c>
      <c r="P3884" s="2" t="n">
        <f aca="false">Lookups!$B$2*M3884+Lookups!$B$3*L3884</f>
        <v>0</v>
      </c>
      <c r="Q3884" s="2" t="str">
        <f aca="false">INDEX(Lookups!$E$2:$E$5,MATCH(P3884,Lookups!$D$2:$D$5,0))</f>
        <v>Low</v>
      </c>
    </row>
    <row r="3885" customFormat="false" ht="15" hidden="false" customHeight="false" outlineLevel="0" collapsed="false">
      <c r="A3885" s="3" t="n">
        <v>3884</v>
      </c>
      <c r="B3885" s="3" t="n">
        <f aca="false">Raw_Data!A3885</f>
        <v>57</v>
      </c>
      <c r="C3885" s="3" t="str">
        <f aca="false">SUBSTITUTE(Raw_Data!B3885,".","")</f>
        <v>admin</v>
      </c>
      <c r="D3885" s="3" t="str">
        <f aca="false">Raw_Data!C3885</f>
        <v>married</v>
      </c>
      <c r="E3885" s="3" t="str">
        <f aca="false">Raw_Data!D3885</f>
        <v>secondary</v>
      </c>
      <c r="F3885" s="3" t="str">
        <f aca="false">Raw_Data!E3885</f>
        <v>no</v>
      </c>
      <c r="G3885" s="3" t="n">
        <f aca="false">Raw_Data!F3885</f>
        <v>169</v>
      </c>
      <c r="H3885" s="3" t="str">
        <f aca="false">Raw_Data!G3885</f>
        <v>no</v>
      </c>
      <c r="I3885" s="3" t="str">
        <f aca="false">Raw_Data!H3885</f>
        <v>no</v>
      </c>
      <c r="J3885" s="2" t="n">
        <f aca="false">IF(F3885="yes",1,0)</f>
        <v>0</v>
      </c>
      <c r="K3885" s="2" t="n">
        <f aca="false">IF(H3885="yes",1,0)</f>
        <v>0</v>
      </c>
      <c r="L3885" s="2" t="n">
        <f aca="false">IF(I3885="yes",1,0)</f>
        <v>0</v>
      </c>
      <c r="M3885" s="2" t="n">
        <f aca="false">IF(G3885&lt;0,1,0)</f>
        <v>0</v>
      </c>
      <c r="N3885" s="2" t="str">
        <f aca="false">_xlfn.IFS(B3885&lt;30,"Under 30",B3885&lt;40,"30-39",B3885&lt;50,"40-49",B3885&lt;60,"50-59",TRUE(),"60+")</f>
        <v>50-59</v>
      </c>
      <c r="O3885" s="2" t="str">
        <f aca="false">_xlfn.IFS(G3885&lt;0,"1 Negative",G3885=0,"2 Zero",G3885&lt;=500,"3 1-500",G3885&lt;=2000,"4 501-2000",TRUE(),"5 Above 2000")</f>
        <v>3 1-500</v>
      </c>
      <c r="P3885" s="2" t="n">
        <f aca="false">Lookups!$B$2*M3885+Lookups!$B$3*L3885</f>
        <v>0</v>
      </c>
      <c r="Q3885" s="2" t="str">
        <f aca="false">INDEX(Lookups!$E$2:$E$5,MATCH(P3885,Lookups!$D$2:$D$5,0))</f>
        <v>Low</v>
      </c>
    </row>
    <row r="3886" customFormat="false" ht="15" hidden="false" customHeight="false" outlineLevel="0" collapsed="false">
      <c r="A3886" s="3" t="n">
        <v>3885</v>
      </c>
      <c r="B3886" s="3" t="n">
        <f aca="false">Raw_Data!A3886</f>
        <v>36</v>
      </c>
      <c r="C3886" s="3" t="str">
        <f aca="false">SUBSTITUTE(Raw_Data!B3886,".","")</f>
        <v>self-employed</v>
      </c>
      <c r="D3886" s="3" t="str">
        <f aca="false">Raw_Data!C3886</f>
        <v>married</v>
      </c>
      <c r="E3886" s="3" t="str">
        <f aca="false">Raw_Data!D3886</f>
        <v>tertiary</v>
      </c>
      <c r="F3886" s="3" t="str">
        <f aca="false">Raw_Data!E3886</f>
        <v>no</v>
      </c>
      <c r="G3886" s="3" t="n">
        <f aca="false">Raw_Data!F3886</f>
        <v>506</v>
      </c>
      <c r="H3886" s="3" t="str">
        <f aca="false">Raw_Data!G3886</f>
        <v>no</v>
      </c>
      <c r="I3886" s="3" t="str">
        <f aca="false">Raw_Data!H3886</f>
        <v>no</v>
      </c>
      <c r="J3886" s="2" t="n">
        <f aca="false">IF(F3886="yes",1,0)</f>
        <v>0</v>
      </c>
      <c r="K3886" s="2" t="n">
        <f aca="false">IF(H3886="yes",1,0)</f>
        <v>0</v>
      </c>
      <c r="L3886" s="2" t="n">
        <f aca="false">IF(I3886="yes",1,0)</f>
        <v>0</v>
      </c>
      <c r="M3886" s="2" t="n">
        <f aca="false">IF(G3886&lt;0,1,0)</f>
        <v>0</v>
      </c>
      <c r="N3886" s="2" t="str">
        <f aca="false">_xlfn.IFS(B3886&lt;30,"Under 30",B3886&lt;40,"30-39",B3886&lt;50,"40-49",B3886&lt;60,"50-59",TRUE(),"60+")</f>
        <v>30-39</v>
      </c>
      <c r="O3886" s="2" t="str">
        <f aca="false">_xlfn.IFS(G3886&lt;0,"1 Negative",G3886=0,"2 Zero",G3886&lt;=500,"3 1-500",G3886&lt;=2000,"4 501-2000",TRUE(),"5 Above 2000")</f>
        <v>4 501-2000</v>
      </c>
      <c r="P3886" s="2" t="n">
        <f aca="false">Lookups!$B$2*M3886+Lookups!$B$3*L3886</f>
        <v>0</v>
      </c>
      <c r="Q3886" s="2" t="str">
        <f aca="false">INDEX(Lookups!$E$2:$E$5,MATCH(P3886,Lookups!$D$2:$D$5,0))</f>
        <v>Low</v>
      </c>
    </row>
    <row r="3887" customFormat="false" ht="15" hidden="false" customHeight="false" outlineLevel="0" collapsed="false">
      <c r="A3887" s="3" t="n">
        <v>3886</v>
      </c>
      <c r="B3887" s="3" t="n">
        <f aca="false">Raw_Data!A3887</f>
        <v>41</v>
      </c>
      <c r="C3887" s="3" t="str">
        <f aca="false">SUBSTITUTE(Raw_Data!B3887,".","")</f>
        <v>entrepreneur</v>
      </c>
      <c r="D3887" s="3" t="str">
        <f aca="false">Raw_Data!C3887</f>
        <v>married</v>
      </c>
      <c r="E3887" s="3" t="str">
        <f aca="false">Raw_Data!D3887</f>
        <v>secondary</v>
      </c>
      <c r="F3887" s="3" t="str">
        <f aca="false">Raw_Data!E3887</f>
        <v>no</v>
      </c>
      <c r="G3887" s="3" t="n">
        <f aca="false">Raw_Data!F3887</f>
        <v>1249</v>
      </c>
      <c r="H3887" s="3" t="str">
        <f aca="false">Raw_Data!G3887</f>
        <v>yes</v>
      </c>
      <c r="I3887" s="3" t="str">
        <f aca="false">Raw_Data!H3887</f>
        <v>no</v>
      </c>
      <c r="J3887" s="2" t="n">
        <f aca="false">IF(F3887="yes",1,0)</f>
        <v>0</v>
      </c>
      <c r="K3887" s="2" t="n">
        <f aca="false">IF(H3887="yes",1,0)</f>
        <v>1</v>
      </c>
      <c r="L3887" s="2" t="n">
        <f aca="false">IF(I3887="yes",1,0)</f>
        <v>0</v>
      </c>
      <c r="M3887" s="2" t="n">
        <f aca="false">IF(G3887&lt;0,1,0)</f>
        <v>0</v>
      </c>
      <c r="N3887" s="2" t="str">
        <f aca="false">_xlfn.IFS(B3887&lt;30,"Under 30",B3887&lt;40,"30-39",B3887&lt;50,"40-49",B3887&lt;60,"50-59",TRUE(),"60+")</f>
        <v>40-49</v>
      </c>
      <c r="O3887" s="2" t="str">
        <f aca="false">_xlfn.IFS(G3887&lt;0,"1 Negative",G3887=0,"2 Zero",G3887&lt;=500,"3 1-500",G3887&lt;=2000,"4 501-2000",TRUE(),"5 Above 2000")</f>
        <v>4 501-2000</v>
      </c>
      <c r="P3887" s="2" t="n">
        <f aca="false">Lookups!$B$2*M3887+Lookups!$B$3*L3887</f>
        <v>0</v>
      </c>
      <c r="Q3887" s="2" t="str">
        <f aca="false">INDEX(Lookups!$E$2:$E$5,MATCH(P3887,Lookups!$D$2:$D$5,0))</f>
        <v>Low</v>
      </c>
    </row>
    <row r="3888" customFormat="false" ht="15" hidden="false" customHeight="false" outlineLevel="0" collapsed="false">
      <c r="A3888" s="3" t="n">
        <v>3887</v>
      </c>
      <c r="B3888" s="3" t="n">
        <f aca="false">Raw_Data!A3888</f>
        <v>36</v>
      </c>
      <c r="C3888" s="3" t="str">
        <f aca="false">SUBSTITUTE(Raw_Data!B3888,".","")</f>
        <v>management</v>
      </c>
      <c r="D3888" s="3" t="str">
        <f aca="false">Raw_Data!C3888</f>
        <v>single</v>
      </c>
      <c r="E3888" s="3" t="str">
        <f aca="false">Raw_Data!D3888</f>
        <v>tertiary</v>
      </c>
      <c r="F3888" s="3" t="str">
        <f aca="false">Raw_Data!E3888</f>
        <v>no</v>
      </c>
      <c r="G3888" s="3" t="n">
        <f aca="false">Raw_Data!F3888</f>
        <v>678</v>
      </c>
      <c r="H3888" s="3" t="str">
        <f aca="false">Raw_Data!G3888</f>
        <v>no</v>
      </c>
      <c r="I3888" s="3" t="str">
        <f aca="false">Raw_Data!H3888</f>
        <v>yes</v>
      </c>
      <c r="J3888" s="2" t="n">
        <f aca="false">IF(F3888="yes",1,0)</f>
        <v>0</v>
      </c>
      <c r="K3888" s="2" t="n">
        <f aca="false">IF(H3888="yes",1,0)</f>
        <v>0</v>
      </c>
      <c r="L3888" s="2" t="n">
        <f aca="false">IF(I3888="yes",1,0)</f>
        <v>1</v>
      </c>
      <c r="M3888" s="2" t="n">
        <f aca="false">IF(G3888&lt;0,1,0)</f>
        <v>0</v>
      </c>
      <c r="N3888" s="2" t="str">
        <f aca="false">_xlfn.IFS(B3888&lt;30,"Under 30",B3888&lt;40,"30-39",B3888&lt;50,"40-49",B3888&lt;60,"50-59",TRUE(),"60+")</f>
        <v>30-39</v>
      </c>
      <c r="O3888" s="2" t="str">
        <f aca="false">_xlfn.IFS(G3888&lt;0,"1 Negative",G3888=0,"2 Zero",G3888&lt;=500,"3 1-500",G3888&lt;=2000,"4 501-2000",TRUE(),"5 Above 2000")</f>
        <v>4 501-2000</v>
      </c>
      <c r="P3888" s="2" t="n">
        <f aca="false">Lookups!$B$2*M3888+Lookups!$B$3*L3888</f>
        <v>1</v>
      </c>
      <c r="Q3888" s="2" t="str">
        <f aca="false">INDEX(Lookups!$E$2:$E$5,MATCH(P3888,Lookups!$D$2:$D$5,0))</f>
        <v>Medium</v>
      </c>
    </row>
    <row r="3889" customFormat="false" ht="15" hidden="false" customHeight="false" outlineLevel="0" collapsed="false">
      <c r="A3889" s="3" t="n">
        <v>3888</v>
      </c>
      <c r="B3889" s="3" t="n">
        <f aca="false">Raw_Data!A3889</f>
        <v>27</v>
      </c>
      <c r="C3889" s="3" t="str">
        <f aca="false">SUBSTITUTE(Raw_Data!B3889,".","")</f>
        <v>management</v>
      </c>
      <c r="D3889" s="3" t="str">
        <f aca="false">Raw_Data!C3889</f>
        <v>single</v>
      </c>
      <c r="E3889" s="3" t="str">
        <f aca="false">Raw_Data!D3889</f>
        <v>tertiary</v>
      </c>
      <c r="F3889" s="3" t="str">
        <f aca="false">Raw_Data!E3889</f>
        <v>no</v>
      </c>
      <c r="G3889" s="3" t="n">
        <f aca="false">Raw_Data!F3889</f>
        <v>212</v>
      </c>
      <c r="H3889" s="3" t="str">
        <f aca="false">Raw_Data!G3889</f>
        <v>yes</v>
      </c>
      <c r="I3889" s="3" t="str">
        <f aca="false">Raw_Data!H3889</f>
        <v>no</v>
      </c>
      <c r="J3889" s="2" t="n">
        <f aca="false">IF(F3889="yes",1,0)</f>
        <v>0</v>
      </c>
      <c r="K3889" s="2" t="n">
        <f aca="false">IF(H3889="yes",1,0)</f>
        <v>1</v>
      </c>
      <c r="L3889" s="2" t="n">
        <f aca="false">IF(I3889="yes",1,0)</f>
        <v>0</v>
      </c>
      <c r="M3889" s="2" t="n">
        <f aca="false">IF(G3889&lt;0,1,0)</f>
        <v>0</v>
      </c>
      <c r="N3889" s="2" t="str">
        <f aca="false">_xlfn.IFS(B3889&lt;30,"Under 30",B3889&lt;40,"30-39",B3889&lt;50,"40-49",B3889&lt;60,"50-59",TRUE(),"60+")</f>
        <v>Under 30</v>
      </c>
      <c r="O3889" s="2" t="str">
        <f aca="false">_xlfn.IFS(G3889&lt;0,"1 Negative",G3889=0,"2 Zero",G3889&lt;=500,"3 1-500",G3889&lt;=2000,"4 501-2000",TRUE(),"5 Above 2000")</f>
        <v>3 1-500</v>
      </c>
      <c r="P3889" s="2" t="n">
        <f aca="false">Lookups!$B$2*M3889+Lookups!$B$3*L3889</f>
        <v>0</v>
      </c>
      <c r="Q3889" s="2" t="str">
        <f aca="false">INDEX(Lookups!$E$2:$E$5,MATCH(P3889,Lookups!$D$2:$D$5,0))</f>
        <v>Low</v>
      </c>
    </row>
    <row r="3890" customFormat="false" ht="15" hidden="false" customHeight="false" outlineLevel="0" collapsed="false">
      <c r="A3890" s="3" t="n">
        <v>3889</v>
      </c>
      <c r="B3890" s="3" t="n">
        <f aca="false">Raw_Data!A3890</f>
        <v>37</v>
      </c>
      <c r="C3890" s="3" t="str">
        <f aca="false">SUBSTITUTE(Raw_Data!B3890,".","")</f>
        <v>technician</v>
      </c>
      <c r="D3890" s="3" t="str">
        <f aca="false">Raw_Data!C3890</f>
        <v>divorced</v>
      </c>
      <c r="E3890" s="3" t="str">
        <f aca="false">Raw_Data!D3890</f>
        <v>secondary</v>
      </c>
      <c r="F3890" s="3" t="str">
        <f aca="false">Raw_Data!E3890</f>
        <v>no</v>
      </c>
      <c r="G3890" s="3" t="n">
        <f aca="false">Raw_Data!F3890</f>
        <v>23</v>
      </c>
      <c r="H3890" s="3" t="str">
        <f aca="false">Raw_Data!G3890</f>
        <v>no</v>
      </c>
      <c r="I3890" s="3" t="str">
        <f aca="false">Raw_Data!H3890</f>
        <v>no</v>
      </c>
      <c r="J3890" s="2" t="n">
        <f aca="false">IF(F3890="yes",1,0)</f>
        <v>0</v>
      </c>
      <c r="K3890" s="2" t="n">
        <f aca="false">IF(H3890="yes",1,0)</f>
        <v>0</v>
      </c>
      <c r="L3890" s="2" t="n">
        <f aca="false">IF(I3890="yes",1,0)</f>
        <v>0</v>
      </c>
      <c r="M3890" s="2" t="n">
        <f aca="false">IF(G3890&lt;0,1,0)</f>
        <v>0</v>
      </c>
      <c r="N3890" s="2" t="str">
        <f aca="false">_xlfn.IFS(B3890&lt;30,"Under 30",B3890&lt;40,"30-39",B3890&lt;50,"40-49",B3890&lt;60,"50-59",TRUE(),"60+")</f>
        <v>30-39</v>
      </c>
      <c r="O3890" s="2" t="str">
        <f aca="false">_xlfn.IFS(G3890&lt;0,"1 Negative",G3890=0,"2 Zero",G3890&lt;=500,"3 1-500",G3890&lt;=2000,"4 501-2000",TRUE(),"5 Above 2000")</f>
        <v>3 1-500</v>
      </c>
      <c r="P3890" s="2" t="n">
        <f aca="false">Lookups!$B$2*M3890+Lookups!$B$3*L3890</f>
        <v>0</v>
      </c>
      <c r="Q3890" s="2" t="str">
        <f aca="false">INDEX(Lookups!$E$2:$E$5,MATCH(P3890,Lookups!$D$2:$D$5,0))</f>
        <v>Low</v>
      </c>
    </row>
    <row r="3891" customFormat="false" ht="15" hidden="false" customHeight="false" outlineLevel="0" collapsed="false">
      <c r="A3891" s="3" t="n">
        <v>3890</v>
      </c>
      <c r="B3891" s="3" t="n">
        <f aca="false">Raw_Data!A3891</f>
        <v>47</v>
      </c>
      <c r="C3891" s="3" t="str">
        <f aca="false">SUBSTITUTE(Raw_Data!B3891,".","")</f>
        <v>management</v>
      </c>
      <c r="D3891" s="3" t="str">
        <f aca="false">Raw_Data!C3891</f>
        <v>single</v>
      </c>
      <c r="E3891" s="3" t="str">
        <f aca="false">Raw_Data!D3891</f>
        <v>tertiary</v>
      </c>
      <c r="F3891" s="3" t="str">
        <f aca="false">Raw_Data!E3891</f>
        <v>no</v>
      </c>
      <c r="G3891" s="3" t="n">
        <f aca="false">Raw_Data!F3891</f>
        <v>4402</v>
      </c>
      <c r="H3891" s="3" t="str">
        <f aca="false">Raw_Data!G3891</f>
        <v>no</v>
      </c>
      <c r="I3891" s="3" t="str">
        <f aca="false">Raw_Data!H3891</f>
        <v>no</v>
      </c>
      <c r="J3891" s="2" t="n">
        <f aca="false">IF(F3891="yes",1,0)</f>
        <v>0</v>
      </c>
      <c r="K3891" s="2" t="n">
        <f aca="false">IF(H3891="yes",1,0)</f>
        <v>0</v>
      </c>
      <c r="L3891" s="2" t="n">
        <f aca="false">IF(I3891="yes",1,0)</f>
        <v>0</v>
      </c>
      <c r="M3891" s="2" t="n">
        <f aca="false">IF(G3891&lt;0,1,0)</f>
        <v>0</v>
      </c>
      <c r="N3891" s="2" t="str">
        <f aca="false">_xlfn.IFS(B3891&lt;30,"Under 30",B3891&lt;40,"30-39",B3891&lt;50,"40-49",B3891&lt;60,"50-59",TRUE(),"60+")</f>
        <v>40-49</v>
      </c>
      <c r="O3891" s="2" t="str">
        <f aca="false">_xlfn.IFS(G3891&lt;0,"1 Negative",G3891=0,"2 Zero",G3891&lt;=500,"3 1-500",G3891&lt;=2000,"4 501-2000",TRUE(),"5 Above 2000")</f>
        <v>5 Above 2000</v>
      </c>
      <c r="P3891" s="2" t="n">
        <f aca="false">Lookups!$B$2*M3891+Lookups!$B$3*L3891</f>
        <v>0</v>
      </c>
      <c r="Q3891" s="2" t="str">
        <f aca="false">INDEX(Lookups!$E$2:$E$5,MATCH(P3891,Lookups!$D$2:$D$5,0))</f>
        <v>Low</v>
      </c>
    </row>
    <row r="3892" customFormat="false" ht="15" hidden="false" customHeight="false" outlineLevel="0" collapsed="false">
      <c r="A3892" s="3" t="n">
        <v>3891</v>
      </c>
      <c r="B3892" s="3" t="n">
        <f aca="false">Raw_Data!A3892</f>
        <v>31</v>
      </c>
      <c r="C3892" s="3" t="str">
        <f aca="false">SUBSTITUTE(Raw_Data!B3892,".","")</f>
        <v>services</v>
      </c>
      <c r="D3892" s="3" t="str">
        <f aca="false">Raw_Data!C3892</f>
        <v>divorced</v>
      </c>
      <c r="E3892" s="3" t="str">
        <f aca="false">Raw_Data!D3892</f>
        <v>primary</v>
      </c>
      <c r="F3892" s="3" t="str">
        <f aca="false">Raw_Data!E3892</f>
        <v>no</v>
      </c>
      <c r="G3892" s="3" t="n">
        <f aca="false">Raw_Data!F3892</f>
        <v>459</v>
      </c>
      <c r="H3892" s="3" t="str">
        <f aca="false">Raw_Data!G3892</f>
        <v>yes</v>
      </c>
      <c r="I3892" s="3" t="str">
        <f aca="false">Raw_Data!H3892</f>
        <v>no</v>
      </c>
      <c r="J3892" s="2" t="n">
        <f aca="false">IF(F3892="yes",1,0)</f>
        <v>0</v>
      </c>
      <c r="K3892" s="2" t="n">
        <f aca="false">IF(H3892="yes",1,0)</f>
        <v>1</v>
      </c>
      <c r="L3892" s="2" t="n">
        <f aca="false">IF(I3892="yes",1,0)</f>
        <v>0</v>
      </c>
      <c r="M3892" s="2" t="n">
        <f aca="false">IF(G3892&lt;0,1,0)</f>
        <v>0</v>
      </c>
      <c r="N3892" s="2" t="str">
        <f aca="false">_xlfn.IFS(B3892&lt;30,"Under 30",B3892&lt;40,"30-39",B3892&lt;50,"40-49",B3892&lt;60,"50-59",TRUE(),"60+")</f>
        <v>30-39</v>
      </c>
      <c r="O3892" s="2" t="str">
        <f aca="false">_xlfn.IFS(G3892&lt;0,"1 Negative",G3892=0,"2 Zero",G3892&lt;=500,"3 1-500",G3892&lt;=2000,"4 501-2000",TRUE(),"5 Above 2000")</f>
        <v>3 1-500</v>
      </c>
      <c r="P3892" s="2" t="n">
        <f aca="false">Lookups!$B$2*M3892+Lookups!$B$3*L3892</f>
        <v>0</v>
      </c>
      <c r="Q3892" s="2" t="str">
        <f aca="false">INDEX(Lookups!$E$2:$E$5,MATCH(P3892,Lookups!$D$2:$D$5,0))</f>
        <v>Low</v>
      </c>
    </row>
    <row r="3893" customFormat="false" ht="15" hidden="false" customHeight="false" outlineLevel="0" collapsed="false">
      <c r="A3893" s="3" t="n">
        <v>3892</v>
      </c>
      <c r="B3893" s="3" t="n">
        <f aca="false">Raw_Data!A3893</f>
        <v>39</v>
      </c>
      <c r="C3893" s="3" t="str">
        <f aca="false">SUBSTITUTE(Raw_Data!B3893,".","")</f>
        <v>self-employed</v>
      </c>
      <c r="D3893" s="3" t="str">
        <f aca="false">Raw_Data!C3893</f>
        <v>married</v>
      </c>
      <c r="E3893" s="3" t="str">
        <f aca="false">Raw_Data!D3893</f>
        <v>secondary</v>
      </c>
      <c r="F3893" s="3" t="str">
        <f aca="false">Raw_Data!E3893</f>
        <v>no</v>
      </c>
      <c r="G3893" s="3" t="n">
        <f aca="false">Raw_Data!F3893</f>
        <v>4722</v>
      </c>
      <c r="H3893" s="3" t="str">
        <f aca="false">Raw_Data!G3893</f>
        <v>yes</v>
      </c>
      <c r="I3893" s="3" t="str">
        <f aca="false">Raw_Data!H3893</f>
        <v>no</v>
      </c>
      <c r="J3893" s="2" t="n">
        <f aca="false">IF(F3893="yes",1,0)</f>
        <v>0</v>
      </c>
      <c r="K3893" s="2" t="n">
        <f aca="false">IF(H3893="yes",1,0)</f>
        <v>1</v>
      </c>
      <c r="L3893" s="2" t="n">
        <f aca="false">IF(I3893="yes",1,0)</f>
        <v>0</v>
      </c>
      <c r="M3893" s="2" t="n">
        <f aca="false">IF(G3893&lt;0,1,0)</f>
        <v>0</v>
      </c>
      <c r="N3893" s="2" t="str">
        <f aca="false">_xlfn.IFS(B3893&lt;30,"Under 30",B3893&lt;40,"30-39",B3893&lt;50,"40-49",B3893&lt;60,"50-59",TRUE(),"60+")</f>
        <v>30-39</v>
      </c>
      <c r="O3893" s="2" t="str">
        <f aca="false">_xlfn.IFS(G3893&lt;0,"1 Negative",G3893=0,"2 Zero",G3893&lt;=500,"3 1-500",G3893&lt;=2000,"4 501-2000",TRUE(),"5 Above 2000")</f>
        <v>5 Above 2000</v>
      </c>
      <c r="P3893" s="2" t="n">
        <f aca="false">Lookups!$B$2*M3893+Lookups!$B$3*L3893</f>
        <v>0</v>
      </c>
      <c r="Q3893" s="2" t="str">
        <f aca="false">INDEX(Lookups!$E$2:$E$5,MATCH(P3893,Lookups!$D$2:$D$5,0))</f>
        <v>Low</v>
      </c>
    </row>
    <row r="3894" customFormat="false" ht="15" hidden="false" customHeight="false" outlineLevel="0" collapsed="false">
      <c r="A3894" s="3" t="n">
        <v>3893</v>
      </c>
      <c r="B3894" s="3" t="n">
        <f aca="false">Raw_Data!A3894</f>
        <v>35</v>
      </c>
      <c r="C3894" s="3" t="str">
        <f aca="false">SUBSTITUTE(Raw_Data!B3894,".","")</f>
        <v>admin</v>
      </c>
      <c r="D3894" s="3" t="str">
        <f aca="false">Raw_Data!C3894</f>
        <v>divorced</v>
      </c>
      <c r="E3894" s="3" t="str">
        <f aca="false">Raw_Data!D3894</f>
        <v>tertiary</v>
      </c>
      <c r="F3894" s="3" t="str">
        <f aca="false">Raw_Data!E3894</f>
        <v>no</v>
      </c>
      <c r="G3894" s="3" t="n">
        <f aca="false">Raw_Data!F3894</f>
        <v>1555</v>
      </c>
      <c r="H3894" s="3" t="str">
        <f aca="false">Raw_Data!G3894</f>
        <v>yes</v>
      </c>
      <c r="I3894" s="3" t="str">
        <f aca="false">Raw_Data!H3894</f>
        <v>no</v>
      </c>
      <c r="J3894" s="2" t="n">
        <f aca="false">IF(F3894="yes",1,0)</f>
        <v>0</v>
      </c>
      <c r="K3894" s="2" t="n">
        <f aca="false">IF(H3894="yes",1,0)</f>
        <v>1</v>
      </c>
      <c r="L3894" s="2" t="n">
        <f aca="false">IF(I3894="yes",1,0)</f>
        <v>0</v>
      </c>
      <c r="M3894" s="2" t="n">
        <f aca="false">IF(G3894&lt;0,1,0)</f>
        <v>0</v>
      </c>
      <c r="N3894" s="2" t="str">
        <f aca="false">_xlfn.IFS(B3894&lt;30,"Under 30",B3894&lt;40,"30-39",B3894&lt;50,"40-49",B3894&lt;60,"50-59",TRUE(),"60+")</f>
        <v>30-39</v>
      </c>
      <c r="O3894" s="2" t="str">
        <f aca="false">_xlfn.IFS(G3894&lt;0,"1 Negative",G3894=0,"2 Zero",G3894&lt;=500,"3 1-500",G3894&lt;=2000,"4 501-2000",TRUE(),"5 Above 2000")</f>
        <v>4 501-2000</v>
      </c>
      <c r="P3894" s="2" t="n">
        <f aca="false">Lookups!$B$2*M3894+Lookups!$B$3*L3894</f>
        <v>0</v>
      </c>
      <c r="Q3894" s="2" t="str">
        <f aca="false">INDEX(Lookups!$E$2:$E$5,MATCH(P3894,Lookups!$D$2:$D$5,0))</f>
        <v>Low</v>
      </c>
    </row>
    <row r="3895" customFormat="false" ht="15" hidden="false" customHeight="false" outlineLevel="0" collapsed="false">
      <c r="A3895" s="3" t="n">
        <v>3894</v>
      </c>
      <c r="B3895" s="3" t="n">
        <f aca="false">Raw_Data!A3895</f>
        <v>40</v>
      </c>
      <c r="C3895" s="3" t="str">
        <f aca="false">SUBSTITUTE(Raw_Data!B3895,".","")</f>
        <v>blue-collar</v>
      </c>
      <c r="D3895" s="3" t="str">
        <f aca="false">Raw_Data!C3895</f>
        <v>married</v>
      </c>
      <c r="E3895" s="3" t="str">
        <f aca="false">Raw_Data!D3895</f>
        <v>secondary</v>
      </c>
      <c r="F3895" s="3" t="str">
        <f aca="false">Raw_Data!E3895</f>
        <v>no</v>
      </c>
      <c r="G3895" s="3" t="n">
        <f aca="false">Raw_Data!F3895</f>
        <v>61</v>
      </c>
      <c r="H3895" s="3" t="str">
        <f aca="false">Raw_Data!G3895</f>
        <v>yes</v>
      </c>
      <c r="I3895" s="3" t="str">
        <f aca="false">Raw_Data!H3895</f>
        <v>no</v>
      </c>
      <c r="J3895" s="2" t="n">
        <f aca="false">IF(F3895="yes",1,0)</f>
        <v>0</v>
      </c>
      <c r="K3895" s="2" t="n">
        <f aca="false">IF(H3895="yes",1,0)</f>
        <v>1</v>
      </c>
      <c r="L3895" s="2" t="n">
        <f aca="false">IF(I3895="yes",1,0)</f>
        <v>0</v>
      </c>
      <c r="M3895" s="2" t="n">
        <f aca="false">IF(G3895&lt;0,1,0)</f>
        <v>0</v>
      </c>
      <c r="N3895" s="2" t="str">
        <f aca="false">_xlfn.IFS(B3895&lt;30,"Under 30",B3895&lt;40,"30-39",B3895&lt;50,"40-49",B3895&lt;60,"50-59",TRUE(),"60+")</f>
        <v>40-49</v>
      </c>
      <c r="O3895" s="2" t="str">
        <f aca="false">_xlfn.IFS(G3895&lt;0,"1 Negative",G3895=0,"2 Zero",G3895&lt;=500,"3 1-500",G3895&lt;=2000,"4 501-2000",TRUE(),"5 Above 2000")</f>
        <v>3 1-500</v>
      </c>
      <c r="P3895" s="2" t="n">
        <f aca="false">Lookups!$B$2*M3895+Lookups!$B$3*L3895</f>
        <v>0</v>
      </c>
      <c r="Q3895" s="2" t="str">
        <f aca="false">INDEX(Lookups!$E$2:$E$5,MATCH(P3895,Lookups!$D$2:$D$5,0))</f>
        <v>Low</v>
      </c>
    </row>
    <row r="3896" customFormat="false" ht="15" hidden="false" customHeight="false" outlineLevel="0" collapsed="false">
      <c r="A3896" s="3" t="n">
        <v>3895</v>
      </c>
      <c r="B3896" s="3" t="n">
        <f aca="false">Raw_Data!A3896</f>
        <v>38</v>
      </c>
      <c r="C3896" s="3" t="str">
        <f aca="false">SUBSTITUTE(Raw_Data!B3896,".","")</f>
        <v>management</v>
      </c>
      <c r="D3896" s="3" t="str">
        <f aca="false">Raw_Data!C3896</f>
        <v>single</v>
      </c>
      <c r="E3896" s="3" t="str">
        <f aca="false">Raw_Data!D3896</f>
        <v>tertiary</v>
      </c>
      <c r="F3896" s="3" t="str">
        <f aca="false">Raw_Data!E3896</f>
        <v>no</v>
      </c>
      <c r="G3896" s="3" t="n">
        <f aca="false">Raw_Data!F3896</f>
        <v>0</v>
      </c>
      <c r="H3896" s="3" t="str">
        <f aca="false">Raw_Data!G3896</f>
        <v>yes</v>
      </c>
      <c r="I3896" s="3" t="str">
        <f aca="false">Raw_Data!H3896</f>
        <v>no</v>
      </c>
      <c r="J3896" s="2" t="n">
        <f aca="false">IF(F3896="yes",1,0)</f>
        <v>0</v>
      </c>
      <c r="K3896" s="2" t="n">
        <f aca="false">IF(H3896="yes",1,0)</f>
        <v>1</v>
      </c>
      <c r="L3896" s="2" t="n">
        <f aca="false">IF(I3896="yes",1,0)</f>
        <v>0</v>
      </c>
      <c r="M3896" s="2" t="n">
        <f aca="false">IF(G3896&lt;0,1,0)</f>
        <v>0</v>
      </c>
      <c r="N3896" s="2" t="str">
        <f aca="false">_xlfn.IFS(B3896&lt;30,"Under 30",B3896&lt;40,"30-39",B3896&lt;50,"40-49",B3896&lt;60,"50-59",TRUE(),"60+")</f>
        <v>30-39</v>
      </c>
      <c r="O3896" s="2" t="str">
        <f aca="false">_xlfn.IFS(G3896&lt;0,"1 Negative",G3896=0,"2 Zero",G3896&lt;=500,"3 1-500",G3896&lt;=2000,"4 501-2000",TRUE(),"5 Above 2000")</f>
        <v>2 Zero</v>
      </c>
      <c r="P3896" s="2" t="n">
        <f aca="false">Lookups!$B$2*M3896+Lookups!$B$3*L3896</f>
        <v>0</v>
      </c>
      <c r="Q3896" s="2" t="str">
        <f aca="false">INDEX(Lookups!$E$2:$E$5,MATCH(P3896,Lookups!$D$2:$D$5,0))</f>
        <v>Low</v>
      </c>
    </row>
    <row r="3897" customFormat="false" ht="15" hidden="false" customHeight="false" outlineLevel="0" collapsed="false">
      <c r="A3897" s="3" t="n">
        <v>3896</v>
      </c>
      <c r="B3897" s="3" t="n">
        <f aca="false">Raw_Data!A3897</f>
        <v>31</v>
      </c>
      <c r="C3897" s="3" t="str">
        <f aca="false">SUBSTITUTE(Raw_Data!B3897,".","")</f>
        <v>technician</v>
      </c>
      <c r="D3897" s="3" t="str">
        <f aca="false">Raw_Data!C3897</f>
        <v>married</v>
      </c>
      <c r="E3897" s="3" t="str">
        <f aca="false">Raw_Data!D3897</f>
        <v>secondary</v>
      </c>
      <c r="F3897" s="3" t="str">
        <f aca="false">Raw_Data!E3897</f>
        <v>no</v>
      </c>
      <c r="G3897" s="3" t="n">
        <f aca="false">Raw_Data!F3897</f>
        <v>3706</v>
      </c>
      <c r="H3897" s="3" t="str">
        <f aca="false">Raw_Data!G3897</f>
        <v>yes</v>
      </c>
      <c r="I3897" s="3" t="str">
        <f aca="false">Raw_Data!H3897</f>
        <v>no</v>
      </c>
      <c r="J3897" s="2" t="n">
        <f aca="false">IF(F3897="yes",1,0)</f>
        <v>0</v>
      </c>
      <c r="K3897" s="2" t="n">
        <f aca="false">IF(H3897="yes",1,0)</f>
        <v>1</v>
      </c>
      <c r="L3897" s="2" t="n">
        <f aca="false">IF(I3897="yes",1,0)</f>
        <v>0</v>
      </c>
      <c r="M3897" s="2" t="n">
        <f aca="false">IF(G3897&lt;0,1,0)</f>
        <v>0</v>
      </c>
      <c r="N3897" s="2" t="str">
        <f aca="false">_xlfn.IFS(B3897&lt;30,"Under 30",B3897&lt;40,"30-39",B3897&lt;50,"40-49",B3897&lt;60,"50-59",TRUE(),"60+")</f>
        <v>30-39</v>
      </c>
      <c r="O3897" s="2" t="str">
        <f aca="false">_xlfn.IFS(G3897&lt;0,"1 Negative",G3897=0,"2 Zero",G3897&lt;=500,"3 1-500",G3897&lt;=2000,"4 501-2000",TRUE(),"5 Above 2000")</f>
        <v>5 Above 2000</v>
      </c>
      <c r="P3897" s="2" t="n">
        <f aca="false">Lookups!$B$2*M3897+Lookups!$B$3*L3897</f>
        <v>0</v>
      </c>
      <c r="Q3897" s="2" t="str">
        <f aca="false">INDEX(Lookups!$E$2:$E$5,MATCH(P3897,Lookups!$D$2:$D$5,0))</f>
        <v>Low</v>
      </c>
    </row>
    <row r="3898" customFormat="false" ht="15" hidden="false" customHeight="false" outlineLevel="0" collapsed="false">
      <c r="A3898" s="3" t="n">
        <v>3897</v>
      </c>
      <c r="B3898" s="3" t="n">
        <f aca="false">Raw_Data!A3898</f>
        <v>36</v>
      </c>
      <c r="C3898" s="3" t="str">
        <f aca="false">SUBSTITUTE(Raw_Data!B3898,".","")</f>
        <v>blue-collar</v>
      </c>
      <c r="D3898" s="3" t="str">
        <f aca="false">Raw_Data!C3898</f>
        <v>married</v>
      </c>
      <c r="E3898" s="3" t="str">
        <f aca="false">Raw_Data!D3898</f>
        <v>primary</v>
      </c>
      <c r="F3898" s="3" t="str">
        <f aca="false">Raw_Data!E3898</f>
        <v>no</v>
      </c>
      <c r="G3898" s="3" t="n">
        <f aca="false">Raw_Data!F3898</f>
        <v>1177</v>
      </c>
      <c r="H3898" s="3" t="str">
        <f aca="false">Raw_Data!G3898</f>
        <v>no</v>
      </c>
      <c r="I3898" s="3" t="str">
        <f aca="false">Raw_Data!H3898</f>
        <v>no</v>
      </c>
      <c r="J3898" s="2" t="n">
        <f aca="false">IF(F3898="yes",1,0)</f>
        <v>0</v>
      </c>
      <c r="K3898" s="2" t="n">
        <f aca="false">IF(H3898="yes",1,0)</f>
        <v>0</v>
      </c>
      <c r="L3898" s="2" t="n">
        <f aca="false">IF(I3898="yes",1,0)</f>
        <v>0</v>
      </c>
      <c r="M3898" s="2" t="n">
        <f aca="false">IF(G3898&lt;0,1,0)</f>
        <v>0</v>
      </c>
      <c r="N3898" s="2" t="str">
        <f aca="false">_xlfn.IFS(B3898&lt;30,"Under 30",B3898&lt;40,"30-39",B3898&lt;50,"40-49",B3898&lt;60,"50-59",TRUE(),"60+")</f>
        <v>30-39</v>
      </c>
      <c r="O3898" s="2" t="str">
        <f aca="false">_xlfn.IFS(G3898&lt;0,"1 Negative",G3898=0,"2 Zero",G3898&lt;=500,"3 1-500",G3898&lt;=2000,"4 501-2000",TRUE(),"5 Above 2000")</f>
        <v>4 501-2000</v>
      </c>
      <c r="P3898" s="2" t="n">
        <f aca="false">Lookups!$B$2*M3898+Lookups!$B$3*L3898</f>
        <v>0</v>
      </c>
      <c r="Q3898" s="2" t="str">
        <f aca="false">INDEX(Lookups!$E$2:$E$5,MATCH(P3898,Lookups!$D$2:$D$5,0))</f>
        <v>Low</v>
      </c>
    </row>
    <row r="3899" customFormat="false" ht="15" hidden="false" customHeight="false" outlineLevel="0" collapsed="false">
      <c r="A3899" s="3" t="n">
        <v>3898</v>
      </c>
      <c r="B3899" s="3" t="n">
        <f aca="false">Raw_Data!A3899</f>
        <v>53</v>
      </c>
      <c r="C3899" s="3" t="str">
        <f aca="false">SUBSTITUTE(Raw_Data!B3899,".","")</f>
        <v>management</v>
      </c>
      <c r="D3899" s="3" t="str">
        <f aca="false">Raw_Data!C3899</f>
        <v>married</v>
      </c>
      <c r="E3899" s="3" t="str">
        <f aca="false">Raw_Data!D3899</f>
        <v>primary</v>
      </c>
      <c r="F3899" s="3" t="str">
        <f aca="false">Raw_Data!E3899</f>
        <v>no</v>
      </c>
      <c r="G3899" s="3" t="n">
        <f aca="false">Raw_Data!F3899</f>
        <v>2096</v>
      </c>
      <c r="H3899" s="3" t="str">
        <f aca="false">Raw_Data!G3899</f>
        <v>no</v>
      </c>
      <c r="I3899" s="3" t="str">
        <f aca="false">Raw_Data!H3899</f>
        <v>no</v>
      </c>
      <c r="J3899" s="2" t="n">
        <f aca="false">IF(F3899="yes",1,0)</f>
        <v>0</v>
      </c>
      <c r="K3899" s="2" t="n">
        <f aca="false">IF(H3899="yes",1,0)</f>
        <v>0</v>
      </c>
      <c r="L3899" s="2" t="n">
        <f aca="false">IF(I3899="yes",1,0)</f>
        <v>0</v>
      </c>
      <c r="M3899" s="2" t="n">
        <f aca="false">IF(G3899&lt;0,1,0)</f>
        <v>0</v>
      </c>
      <c r="N3899" s="2" t="str">
        <f aca="false">_xlfn.IFS(B3899&lt;30,"Under 30",B3899&lt;40,"30-39",B3899&lt;50,"40-49",B3899&lt;60,"50-59",TRUE(),"60+")</f>
        <v>50-59</v>
      </c>
      <c r="O3899" s="2" t="str">
        <f aca="false">_xlfn.IFS(G3899&lt;0,"1 Negative",G3899=0,"2 Zero",G3899&lt;=500,"3 1-500",G3899&lt;=2000,"4 501-2000",TRUE(),"5 Above 2000")</f>
        <v>5 Above 2000</v>
      </c>
      <c r="P3899" s="2" t="n">
        <f aca="false">Lookups!$B$2*M3899+Lookups!$B$3*L3899</f>
        <v>0</v>
      </c>
      <c r="Q3899" s="2" t="str">
        <f aca="false">INDEX(Lookups!$E$2:$E$5,MATCH(P3899,Lookups!$D$2:$D$5,0))</f>
        <v>Low</v>
      </c>
    </row>
    <row r="3900" customFormat="false" ht="15" hidden="false" customHeight="false" outlineLevel="0" collapsed="false">
      <c r="A3900" s="3" t="n">
        <v>3899</v>
      </c>
      <c r="B3900" s="3" t="n">
        <f aca="false">Raw_Data!A3900</f>
        <v>59</v>
      </c>
      <c r="C3900" s="3" t="str">
        <f aca="false">SUBSTITUTE(Raw_Data!B3900,".","")</f>
        <v>blue-collar</v>
      </c>
      <c r="D3900" s="3" t="str">
        <f aca="false">Raw_Data!C3900</f>
        <v>married</v>
      </c>
      <c r="E3900" s="3" t="str">
        <f aca="false">Raw_Data!D3900</f>
        <v>primary</v>
      </c>
      <c r="F3900" s="3" t="str">
        <f aca="false">Raw_Data!E3900</f>
        <v>no</v>
      </c>
      <c r="G3900" s="3" t="n">
        <f aca="false">Raw_Data!F3900</f>
        <v>748</v>
      </c>
      <c r="H3900" s="3" t="str">
        <f aca="false">Raw_Data!G3900</f>
        <v>no</v>
      </c>
      <c r="I3900" s="3" t="str">
        <f aca="false">Raw_Data!H3900</f>
        <v>no</v>
      </c>
      <c r="J3900" s="2" t="n">
        <f aca="false">IF(F3900="yes",1,0)</f>
        <v>0</v>
      </c>
      <c r="K3900" s="2" t="n">
        <f aca="false">IF(H3900="yes",1,0)</f>
        <v>0</v>
      </c>
      <c r="L3900" s="2" t="n">
        <f aca="false">IF(I3900="yes",1,0)</f>
        <v>0</v>
      </c>
      <c r="M3900" s="2" t="n">
        <f aca="false">IF(G3900&lt;0,1,0)</f>
        <v>0</v>
      </c>
      <c r="N3900" s="2" t="str">
        <f aca="false">_xlfn.IFS(B3900&lt;30,"Under 30",B3900&lt;40,"30-39",B3900&lt;50,"40-49",B3900&lt;60,"50-59",TRUE(),"60+")</f>
        <v>50-59</v>
      </c>
      <c r="O3900" s="2" t="str">
        <f aca="false">_xlfn.IFS(G3900&lt;0,"1 Negative",G3900=0,"2 Zero",G3900&lt;=500,"3 1-500",G3900&lt;=2000,"4 501-2000",TRUE(),"5 Above 2000")</f>
        <v>4 501-2000</v>
      </c>
      <c r="P3900" s="2" t="n">
        <f aca="false">Lookups!$B$2*M3900+Lookups!$B$3*L3900</f>
        <v>0</v>
      </c>
      <c r="Q3900" s="2" t="str">
        <f aca="false">INDEX(Lookups!$E$2:$E$5,MATCH(P3900,Lookups!$D$2:$D$5,0))</f>
        <v>Low</v>
      </c>
    </row>
    <row r="3901" customFormat="false" ht="15" hidden="false" customHeight="false" outlineLevel="0" collapsed="false">
      <c r="A3901" s="3" t="n">
        <v>3900</v>
      </c>
      <c r="B3901" s="3" t="n">
        <f aca="false">Raw_Data!A3901</f>
        <v>29</v>
      </c>
      <c r="C3901" s="3" t="str">
        <f aca="false">SUBSTITUTE(Raw_Data!B3901,".","")</f>
        <v>management</v>
      </c>
      <c r="D3901" s="3" t="str">
        <f aca="false">Raw_Data!C3901</f>
        <v>single</v>
      </c>
      <c r="E3901" s="3" t="str">
        <f aca="false">Raw_Data!D3901</f>
        <v>tertiary</v>
      </c>
      <c r="F3901" s="3" t="str">
        <f aca="false">Raw_Data!E3901</f>
        <v>no</v>
      </c>
      <c r="G3901" s="3" t="n">
        <f aca="false">Raw_Data!F3901</f>
        <v>3357</v>
      </c>
      <c r="H3901" s="3" t="str">
        <f aca="false">Raw_Data!G3901</f>
        <v>no</v>
      </c>
      <c r="I3901" s="3" t="str">
        <f aca="false">Raw_Data!H3901</f>
        <v>no</v>
      </c>
      <c r="J3901" s="2" t="n">
        <f aca="false">IF(F3901="yes",1,0)</f>
        <v>0</v>
      </c>
      <c r="K3901" s="2" t="n">
        <f aca="false">IF(H3901="yes",1,0)</f>
        <v>0</v>
      </c>
      <c r="L3901" s="2" t="n">
        <f aca="false">IF(I3901="yes",1,0)</f>
        <v>0</v>
      </c>
      <c r="M3901" s="2" t="n">
        <f aca="false">IF(G3901&lt;0,1,0)</f>
        <v>0</v>
      </c>
      <c r="N3901" s="2" t="str">
        <f aca="false">_xlfn.IFS(B3901&lt;30,"Under 30",B3901&lt;40,"30-39",B3901&lt;50,"40-49",B3901&lt;60,"50-59",TRUE(),"60+")</f>
        <v>Under 30</v>
      </c>
      <c r="O3901" s="2" t="str">
        <f aca="false">_xlfn.IFS(G3901&lt;0,"1 Negative",G3901=0,"2 Zero",G3901&lt;=500,"3 1-500",G3901&lt;=2000,"4 501-2000",TRUE(),"5 Above 2000")</f>
        <v>5 Above 2000</v>
      </c>
      <c r="P3901" s="2" t="n">
        <f aca="false">Lookups!$B$2*M3901+Lookups!$B$3*L3901</f>
        <v>0</v>
      </c>
      <c r="Q3901" s="2" t="str">
        <f aca="false">INDEX(Lookups!$E$2:$E$5,MATCH(P3901,Lookups!$D$2:$D$5,0))</f>
        <v>Low</v>
      </c>
    </row>
    <row r="3902" customFormat="false" ht="15" hidden="false" customHeight="false" outlineLevel="0" collapsed="false">
      <c r="A3902" s="3" t="n">
        <v>3901</v>
      </c>
      <c r="B3902" s="3" t="n">
        <f aca="false">Raw_Data!A3902</f>
        <v>30</v>
      </c>
      <c r="C3902" s="3" t="str">
        <f aca="false">SUBSTITUTE(Raw_Data!B3902,".","")</f>
        <v>admin</v>
      </c>
      <c r="D3902" s="3" t="str">
        <f aca="false">Raw_Data!C3902</f>
        <v>single</v>
      </c>
      <c r="E3902" s="3" t="str">
        <f aca="false">Raw_Data!D3902</f>
        <v>secondary</v>
      </c>
      <c r="F3902" s="3" t="str">
        <f aca="false">Raw_Data!E3902</f>
        <v>no</v>
      </c>
      <c r="G3902" s="3" t="n">
        <f aca="false">Raw_Data!F3902</f>
        <v>3809</v>
      </c>
      <c r="H3902" s="3" t="str">
        <f aca="false">Raw_Data!G3902</f>
        <v>yes</v>
      </c>
      <c r="I3902" s="3" t="str">
        <f aca="false">Raw_Data!H3902</f>
        <v>no</v>
      </c>
      <c r="J3902" s="2" t="n">
        <f aca="false">IF(F3902="yes",1,0)</f>
        <v>0</v>
      </c>
      <c r="K3902" s="2" t="n">
        <f aca="false">IF(H3902="yes",1,0)</f>
        <v>1</v>
      </c>
      <c r="L3902" s="2" t="n">
        <f aca="false">IF(I3902="yes",1,0)</f>
        <v>0</v>
      </c>
      <c r="M3902" s="2" t="n">
        <f aca="false">IF(G3902&lt;0,1,0)</f>
        <v>0</v>
      </c>
      <c r="N3902" s="2" t="str">
        <f aca="false">_xlfn.IFS(B3902&lt;30,"Under 30",B3902&lt;40,"30-39",B3902&lt;50,"40-49",B3902&lt;60,"50-59",TRUE(),"60+")</f>
        <v>30-39</v>
      </c>
      <c r="O3902" s="2" t="str">
        <f aca="false">_xlfn.IFS(G3902&lt;0,"1 Negative",G3902=0,"2 Zero",G3902&lt;=500,"3 1-500",G3902&lt;=2000,"4 501-2000",TRUE(),"5 Above 2000")</f>
        <v>5 Above 2000</v>
      </c>
      <c r="P3902" s="2" t="n">
        <f aca="false">Lookups!$B$2*M3902+Lookups!$B$3*L3902</f>
        <v>0</v>
      </c>
      <c r="Q3902" s="2" t="str">
        <f aca="false">INDEX(Lookups!$E$2:$E$5,MATCH(P3902,Lookups!$D$2:$D$5,0))</f>
        <v>Low</v>
      </c>
    </row>
    <row r="3903" customFormat="false" ht="15" hidden="false" customHeight="false" outlineLevel="0" collapsed="false">
      <c r="A3903" s="3" t="n">
        <v>3902</v>
      </c>
      <c r="B3903" s="3" t="n">
        <f aca="false">Raw_Data!A3903</f>
        <v>52</v>
      </c>
      <c r="C3903" s="3" t="str">
        <f aca="false">SUBSTITUTE(Raw_Data!B3903,".","")</f>
        <v>admin</v>
      </c>
      <c r="D3903" s="3" t="str">
        <f aca="false">Raw_Data!C3903</f>
        <v>married</v>
      </c>
      <c r="E3903" s="3" t="str">
        <f aca="false">Raw_Data!D3903</f>
        <v>secondary</v>
      </c>
      <c r="F3903" s="3" t="str">
        <f aca="false">Raw_Data!E3903</f>
        <v>no</v>
      </c>
      <c r="G3903" s="3" t="n">
        <f aca="false">Raw_Data!F3903</f>
        <v>395</v>
      </c>
      <c r="H3903" s="3" t="str">
        <f aca="false">Raw_Data!G3903</f>
        <v>yes</v>
      </c>
      <c r="I3903" s="3" t="str">
        <f aca="false">Raw_Data!H3903</f>
        <v>no</v>
      </c>
      <c r="J3903" s="2" t="n">
        <f aca="false">IF(F3903="yes",1,0)</f>
        <v>0</v>
      </c>
      <c r="K3903" s="2" t="n">
        <f aca="false">IF(H3903="yes",1,0)</f>
        <v>1</v>
      </c>
      <c r="L3903" s="2" t="n">
        <f aca="false">IF(I3903="yes",1,0)</f>
        <v>0</v>
      </c>
      <c r="M3903" s="2" t="n">
        <f aca="false">IF(G3903&lt;0,1,0)</f>
        <v>0</v>
      </c>
      <c r="N3903" s="2" t="str">
        <f aca="false">_xlfn.IFS(B3903&lt;30,"Under 30",B3903&lt;40,"30-39",B3903&lt;50,"40-49",B3903&lt;60,"50-59",TRUE(),"60+")</f>
        <v>50-59</v>
      </c>
      <c r="O3903" s="2" t="str">
        <f aca="false">_xlfn.IFS(G3903&lt;0,"1 Negative",G3903=0,"2 Zero",G3903&lt;=500,"3 1-500",G3903&lt;=2000,"4 501-2000",TRUE(),"5 Above 2000")</f>
        <v>3 1-500</v>
      </c>
      <c r="P3903" s="2" t="n">
        <f aca="false">Lookups!$B$2*M3903+Lookups!$B$3*L3903</f>
        <v>0</v>
      </c>
      <c r="Q3903" s="2" t="str">
        <f aca="false">INDEX(Lookups!$E$2:$E$5,MATCH(P3903,Lookups!$D$2:$D$5,0))</f>
        <v>Low</v>
      </c>
    </row>
    <row r="3904" customFormat="false" ht="15" hidden="false" customHeight="false" outlineLevel="0" collapsed="false">
      <c r="A3904" s="3" t="n">
        <v>3903</v>
      </c>
      <c r="B3904" s="3" t="n">
        <f aca="false">Raw_Data!A3904</f>
        <v>55</v>
      </c>
      <c r="C3904" s="3" t="str">
        <f aca="false">SUBSTITUTE(Raw_Data!B3904,".","")</f>
        <v>blue-collar</v>
      </c>
      <c r="D3904" s="3" t="str">
        <f aca="false">Raw_Data!C3904</f>
        <v>married</v>
      </c>
      <c r="E3904" s="3" t="str">
        <f aca="false">Raw_Data!D3904</f>
        <v>secondary</v>
      </c>
      <c r="F3904" s="3" t="str">
        <f aca="false">Raw_Data!E3904</f>
        <v>no</v>
      </c>
      <c r="G3904" s="3" t="n">
        <f aca="false">Raw_Data!F3904</f>
        <v>1011</v>
      </c>
      <c r="H3904" s="3" t="str">
        <f aca="false">Raw_Data!G3904</f>
        <v>yes</v>
      </c>
      <c r="I3904" s="3" t="str">
        <f aca="false">Raw_Data!H3904</f>
        <v>no</v>
      </c>
      <c r="J3904" s="2" t="n">
        <f aca="false">IF(F3904="yes",1,0)</f>
        <v>0</v>
      </c>
      <c r="K3904" s="2" t="n">
        <f aca="false">IF(H3904="yes",1,0)</f>
        <v>1</v>
      </c>
      <c r="L3904" s="2" t="n">
        <f aca="false">IF(I3904="yes",1,0)</f>
        <v>0</v>
      </c>
      <c r="M3904" s="2" t="n">
        <f aca="false">IF(G3904&lt;0,1,0)</f>
        <v>0</v>
      </c>
      <c r="N3904" s="2" t="str">
        <f aca="false">_xlfn.IFS(B3904&lt;30,"Under 30",B3904&lt;40,"30-39",B3904&lt;50,"40-49",B3904&lt;60,"50-59",TRUE(),"60+")</f>
        <v>50-59</v>
      </c>
      <c r="O3904" s="2" t="str">
        <f aca="false">_xlfn.IFS(G3904&lt;0,"1 Negative",G3904=0,"2 Zero",G3904&lt;=500,"3 1-500",G3904&lt;=2000,"4 501-2000",TRUE(),"5 Above 2000")</f>
        <v>4 501-2000</v>
      </c>
      <c r="P3904" s="2" t="n">
        <f aca="false">Lookups!$B$2*M3904+Lookups!$B$3*L3904</f>
        <v>0</v>
      </c>
      <c r="Q3904" s="2" t="str">
        <f aca="false">INDEX(Lookups!$E$2:$E$5,MATCH(P3904,Lookups!$D$2:$D$5,0))</f>
        <v>Low</v>
      </c>
    </row>
    <row r="3905" customFormat="false" ht="15" hidden="false" customHeight="false" outlineLevel="0" collapsed="false">
      <c r="A3905" s="3" t="n">
        <v>3904</v>
      </c>
      <c r="B3905" s="3" t="n">
        <f aca="false">Raw_Data!A3905</f>
        <v>56</v>
      </c>
      <c r="C3905" s="3" t="str">
        <f aca="false">SUBSTITUTE(Raw_Data!B3905,".","")</f>
        <v>blue-collar</v>
      </c>
      <c r="D3905" s="3" t="str">
        <f aca="false">Raw_Data!C3905</f>
        <v>married</v>
      </c>
      <c r="E3905" s="3" t="str">
        <f aca="false">Raw_Data!D3905</f>
        <v>primary</v>
      </c>
      <c r="F3905" s="3" t="str">
        <f aca="false">Raw_Data!E3905</f>
        <v>no</v>
      </c>
      <c r="G3905" s="3" t="n">
        <f aca="false">Raw_Data!F3905</f>
        <v>420</v>
      </c>
      <c r="H3905" s="3" t="str">
        <f aca="false">Raw_Data!G3905</f>
        <v>yes</v>
      </c>
      <c r="I3905" s="3" t="str">
        <f aca="false">Raw_Data!H3905</f>
        <v>no</v>
      </c>
      <c r="J3905" s="2" t="n">
        <f aca="false">IF(F3905="yes",1,0)</f>
        <v>0</v>
      </c>
      <c r="K3905" s="2" t="n">
        <f aca="false">IF(H3905="yes",1,0)</f>
        <v>1</v>
      </c>
      <c r="L3905" s="2" t="n">
        <f aca="false">IF(I3905="yes",1,0)</f>
        <v>0</v>
      </c>
      <c r="M3905" s="2" t="n">
        <f aca="false">IF(G3905&lt;0,1,0)</f>
        <v>0</v>
      </c>
      <c r="N3905" s="2" t="str">
        <f aca="false">_xlfn.IFS(B3905&lt;30,"Under 30",B3905&lt;40,"30-39",B3905&lt;50,"40-49",B3905&lt;60,"50-59",TRUE(),"60+")</f>
        <v>50-59</v>
      </c>
      <c r="O3905" s="2" t="str">
        <f aca="false">_xlfn.IFS(G3905&lt;0,"1 Negative",G3905=0,"2 Zero",G3905&lt;=500,"3 1-500",G3905&lt;=2000,"4 501-2000",TRUE(),"5 Above 2000")</f>
        <v>3 1-500</v>
      </c>
      <c r="P3905" s="2" t="n">
        <f aca="false">Lookups!$B$2*M3905+Lookups!$B$3*L3905</f>
        <v>0</v>
      </c>
      <c r="Q3905" s="2" t="str">
        <f aca="false">INDEX(Lookups!$E$2:$E$5,MATCH(P3905,Lookups!$D$2:$D$5,0))</f>
        <v>Low</v>
      </c>
    </row>
    <row r="3906" customFormat="false" ht="15" hidden="false" customHeight="false" outlineLevel="0" collapsed="false">
      <c r="A3906" s="3" t="n">
        <v>3905</v>
      </c>
      <c r="B3906" s="3" t="n">
        <f aca="false">Raw_Data!A3906</f>
        <v>32</v>
      </c>
      <c r="C3906" s="3" t="str">
        <f aca="false">SUBSTITUTE(Raw_Data!B3906,".","")</f>
        <v>admin</v>
      </c>
      <c r="D3906" s="3" t="str">
        <f aca="false">Raw_Data!C3906</f>
        <v>married</v>
      </c>
      <c r="E3906" s="3" t="str">
        <f aca="false">Raw_Data!D3906</f>
        <v>secondary</v>
      </c>
      <c r="F3906" s="3" t="str">
        <f aca="false">Raw_Data!E3906</f>
        <v>no</v>
      </c>
      <c r="G3906" s="3" t="n">
        <f aca="false">Raw_Data!F3906</f>
        <v>76</v>
      </c>
      <c r="H3906" s="3" t="str">
        <f aca="false">Raw_Data!G3906</f>
        <v>yes</v>
      </c>
      <c r="I3906" s="3" t="str">
        <f aca="false">Raw_Data!H3906</f>
        <v>no</v>
      </c>
      <c r="J3906" s="2" t="n">
        <f aca="false">IF(F3906="yes",1,0)</f>
        <v>0</v>
      </c>
      <c r="K3906" s="2" t="n">
        <f aca="false">IF(H3906="yes",1,0)</f>
        <v>1</v>
      </c>
      <c r="L3906" s="2" t="n">
        <f aca="false">IF(I3906="yes",1,0)</f>
        <v>0</v>
      </c>
      <c r="M3906" s="2" t="n">
        <f aca="false">IF(G3906&lt;0,1,0)</f>
        <v>0</v>
      </c>
      <c r="N3906" s="2" t="str">
        <f aca="false">_xlfn.IFS(B3906&lt;30,"Under 30",B3906&lt;40,"30-39",B3906&lt;50,"40-49",B3906&lt;60,"50-59",TRUE(),"60+")</f>
        <v>30-39</v>
      </c>
      <c r="O3906" s="2" t="str">
        <f aca="false">_xlfn.IFS(G3906&lt;0,"1 Negative",G3906=0,"2 Zero",G3906&lt;=500,"3 1-500",G3906&lt;=2000,"4 501-2000",TRUE(),"5 Above 2000")</f>
        <v>3 1-500</v>
      </c>
      <c r="P3906" s="2" t="n">
        <f aca="false">Lookups!$B$2*M3906+Lookups!$B$3*L3906</f>
        <v>0</v>
      </c>
      <c r="Q3906" s="2" t="str">
        <f aca="false">INDEX(Lookups!$E$2:$E$5,MATCH(P3906,Lookups!$D$2:$D$5,0))</f>
        <v>Low</v>
      </c>
    </row>
    <row r="3907" customFormat="false" ht="15" hidden="false" customHeight="false" outlineLevel="0" collapsed="false">
      <c r="A3907" s="3" t="n">
        <v>3906</v>
      </c>
      <c r="B3907" s="3" t="n">
        <f aca="false">Raw_Data!A3907</f>
        <v>24</v>
      </c>
      <c r="C3907" s="3" t="str">
        <f aca="false">SUBSTITUTE(Raw_Data!B3907,".","")</f>
        <v>blue-collar</v>
      </c>
      <c r="D3907" s="3" t="str">
        <f aca="false">Raw_Data!C3907</f>
        <v>married</v>
      </c>
      <c r="E3907" s="3" t="str">
        <f aca="false">Raw_Data!D3907</f>
        <v>secondary</v>
      </c>
      <c r="F3907" s="3" t="str">
        <f aca="false">Raw_Data!E3907</f>
        <v>no</v>
      </c>
      <c r="G3907" s="3" t="n">
        <f aca="false">Raw_Data!F3907</f>
        <v>0</v>
      </c>
      <c r="H3907" s="3" t="str">
        <f aca="false">Raw_Data!G3907</f>
        <v>no</v>
      </c>
      <c r="I3907" s="3" t="str">
        <f aca="false">Raw_Data!H3907</f>
        <v>no</v>
      </c>
      <c r="J3907" s="2" t="n">
        <f aca="false">IF(F3907="yes",1,0)</f>
        <v>0</v>
      </c>
      <c r="K3907" s="2" t="n">
        <f aca="false">IF(H3907="yes",1,0)</f>
        <v>0</v>
      </c>
      <c r="L3907" s="2" t="n">
        <f aca="false">IF(I3907="yes",1,0)</f>
        <v>0</v>
      </c>
      <c r="M3907" s="2" t="n">
        <f aca="false">IF(G3907&lt;0,1,0)</f>
        <v>0</v>
      </c>
      <c r="N3907" s="2" t="str">
        <f aca="false">_xlfn.IFS(B3907&lt;30,"Under 30",B3907&lt;40,"30-39",B3907&lt;50,"40-49",B3907&lt;60,"50-59",TRUE(),"60+")</f>
        <v>Under 30</v>
      </c>
      <c r="O3907" s="2" t="str">
        <f aca="false">_xlfn.IFS(G3907&lt;0,"1 Negative",G3907=0,"2 Zero",G3907&lt;=500,"3 1-500",G3907&lt;=2000,"4 501-2000",TRUE(),"5 Above 2000")</f>
        <v>2 Zero</v>
      </c>
      <c r="P3907" s="2" t="n">
        <f aca="false">Lookups!$B$2*M3907+Lookups!$B$3*L3907</f>
        <v>0</v>
      </c>
      <c r="Q3907" s="2" t="str">
        <f aca="false">INDEX(Lookups!$E$2:$E$5,MATCH(P3907,Lookups!$D$2:$D$5,0))</f>
        <v>Low</v>
      </c>
    </row>
    <row r="3908" customFormat="false" ht="15" hidden="false" customHeight="false" outlineLevel="0" collapsed="false">
      <c r="A3908" s="3" t="n">
        <v>3907</v>
      </c>
      <c r="B3908" s="3" t="n">
        <f aca="false">Raw_Data!A3908</f>
        <v>51</v>
      </c>
      <c r="C3908" s="3" t="str">
        <f aca="false">SUBSTITUTE(Raw_Data!B3908,".","")</f>
        <v>blue-collar</v>
      </c>
      <c r="D3908" s="3" t="str">
        <f aca="false">Raw_Data!C3908</f>
        <v>married</v>
      </c>
      <c r="E3908" s="3" t="str">
        <f aca="false">Raw_Data!D3908</f>
        <v>primary</v>
      </c>
      <c r="F3908" s="3" t="str">
        <f aca="false">Raw_Data!E3908</f>
        <v>no</v>
      </c>
      <c r="G3908" s="3" t="n">
        <f aca="false">Raw_Data!F3908</f>
        <v>844</v>
      </c>
      <c r="H3908" s="3" t="str">
        <f aca="false">Raw_Data!G3908</f>
        <v>yes</v>
      </c>
      <c r="I3908" s="3" t="str">
        <f aca="false">Raw_Data!H3908</f>
        <v>no</v>
      </c>
      <c r="J3908" s="2" t="n">
        <f aca="false">IF(F3908="yes",1,0)</f>
        <v>0</v>
      </c>
      <c r="K3908" s="2" t="n">
        <f aca="false">IF(H3908="yes",1,0)</f>
        <v>1</v>
      </c>
      <c r="L3908" s="2" t="n">
        <f aca="false">IF(I3908="yes",1,0)</f>
        <v>0</v>
      </c>
      <c r="M3908" s="2" t="n">
        <f aca="false">IF(G3908&lt;0,1,0)</f>
        <v>0</v>
      </c>
      <c r="N3908" s="2" t="str">
        <f aca="false">_xlfn.IFS(B3908&lt;30,"Under 30",B3908&lt;40,"30-39",B3908&lt;50,"40-49",B3908&lt;60,"50-59",TRUE(),"60+")</f>
        <v>50-59</v>
      </c>
      <c r="O3908" s="2" t="str">
        <f aca="false">_xlfn.IFS(G3908&lt;0,"1 Negative",G3908=0,"2 Zero",G3908&lt;=500,"3 1-500",G3908&lt;=2000,"4 501-2000",TRUE(),"5 Above 2000")</f>
        <v>4 501-2000</v>
      </c>
      <c r="P3908" s="2" t="n">
        <f aca="false">Lookups!$B$2*M3908+Lookups!$B$3*L3908</f>
        <v>0</v>
      </c>
      <c r="Q3908" s="2" t="str">
        <f aca="false">INDEX(Lookups!$E$2:$E$5,MATCH(P3908,Lookups!$D$2:$D$5,0))</f>
        <v>Low</v>
      </c>
    </row>
    <row r="3909" customFormat="false" ht="15" hidden="false" customHeight="false" outlineLevel="0" collapsed="false">
      <c r="A3909" s="3" t="n">
        <v>3908</v>
      </c>
      <c r="B3909" s="3" t="n">
        <f aca="false">Raw_Data!A3909</f>
        <v>36</v>
      </c>
      <c r="C3909" s="3" t="str">
        <f aca="false">SUBSTITUTE(Raw_Data!B3909,".","")</f>
        <v>management</v>
      </c>
      <c r="D3909" s="3" t="str">
        <f aca="false">Raw_Data!C3909</f>
        <v>married</v>
      </c>
      <c r="E3909" s="3" t="str">
        <f aca="false">Raw_Data!D3909</f>
        <v>tertiary</v>
      </c>
      <c r="F3909" s="3" t="str">
        <f aca="false">Raw_Data!E3909</f>
        <v>no</v>
      </c>
      <c r="G3909" s="3" t="n">
        <f aca="false">Raw_Data!F3909</f>
        <v>1318</v>
      </c>
      <c r="H3909" s="3" t="str">
        <f aca="false">Raw_Data!G3909</f>
        <v>yes</v>
      </c>
      <c r="I3909" s="3" t="str">
        <f aca="false">Raw_Data!H3909</f>
        <v>no</v>
      </c>
      <c r="J3909" s="2" t="n">
        <f aca="false">IF(F3909="yes",1,0)</f>
        <v>0</v>
      </c>
      <c r="K3909" s="2" t="n">
        <f aca="false">IF(H3909="yes",1,0)</f>
        <v>1</v>
      </c>
      <c r="L3909" s="2" t="n">
        <f aca="false">IF(I3909="yes",1,0)</f>
        <v>0</v>
      </c>
      <c r="M3909" s="2" t="n">
        <f aca="false">IF(G3909&lt;0,1,0)</f>
        <v>0</v>
      </c>
      <c r="N3909" s="2" t="str">
        <f aca="false">_xlfn.IFS(B3909&lt;30,"Under 30",B3909&lt;40,"30-39",B3909&lt;50,"40-49",B3909&lt;60,"50-59",TRUE(),"60+")</f>
        <v>30-39</v>
      </c>
      <c r="O3909" s="2" t="str">
        <f aca="false">_xlfn.IFS(G3909&lt;0,"1 Negative",G3909=0,"2 Zero",G3909&lt;=500,"3 1-500",G3909&lt;=2000,"4 501-2000",TRUE(),"5 Above 2000")</f>
        <v>4 501-2000</v>
      </c>
      <c r="P3909" s="2" t="n">
        <f aca="false">Lookups!$B$2*M3909+Lookups!$B$3*L3909</f>
        <v>0</v>
      </c>
      <c r="Q3909" s="2" t="str">
        <f aca="false">INDEX(Lookups!$E$2:$E$5,MATCH(P3909,Lookups!$D$2:$D$5,0))</f>
        <v>Low</v>
      </c>
    </row>
    <row r="3910" customFormat="false" ht="15" hidden="false" customHeight="false" outlineLevel="0" collapsed="false">
      <c r="A3910" s="3" t="n">
        <v>3909</v>
      </c>
      <c r="B3910" s="3" t="n">
        <f aca="false">Raw_Data!A3910</f>
        <v>36</v>
      </c>
      <c r="C3910" s="3" t="str">
        <f aca="false">SUBSTITUTE(Raw_Data!B3910,".","")</f>
        <v>technician</v>
      </c>
      <c r="D3910" s="3" t="str">
        <f aca="false">Raw_Data!C3910</f>
        <v>married</v>
      </c>
      <c r="E3910" s="3" t="str">
        <f aca="false">Raw_Data!D3910</f>
        <v>tertiary</v>
      </c>
      <c r="F3910" s="3" t="str">
        <f aca="false">Raw_Data!E3910</f>
        <v>no</v>
      </c>
      <c r="G3910" s="3" t="n">
        <f aca="false">Raw_Data!F3910</f>
        <v>167</v>
      </c>
      <c r="H3910" s="3" t="str">
        <f aca="false">Raw_Data!G3910</f>
        <v>yes</v>
      </c>
      <c r="I3910" s="3" t="str">
        <f aca="false">Raw_Data!H3910</f>
        <v>no</v>
      </c>
      <c r="J3910" s="2" t="n">
        <f aca="false">IF(F3910="yes",1,0)</f>
        <v>0</v>
      </c>
      <c r="K3910" s="2" t="n">
        <f aca="false">IF(H3910="yes",1,0)</f>
        <v>1</v>
      </c>
      <c r="L3910" s="2" t="n">
        <f aca="false">IF(I3910="yes",1,0)</f>
        <v>0</v>
      </c>
      <c r="M3910" s="2" t="n">
        <f aca="false">IF(G3910&lt;0,1,0)</f>
        <v>0</v>
      </c>
      <c r="N3910" s="2" t="str">
        <f aca="false">_xlfn.IFS(B3910&lt;30,"Under 30",B3910&lt;40,"30-39",B3910&lt;50,"40-49",B3910&lt;60,"50-59",TRUE(),"60+")</f>
        <v>30-39</v>
      </c>
      <c r="O3910" s="2" t="str">
        <f aca="false">_xlfn.IFS(G3910&lt;0,"1 Negative",G3910=0,"2 Zero",G3910&lt;=500,"3 1-500",G3910&lt;=2000,"4 501-2000",TRUE(),"5 Above 2000")</f>
        <v>3 1-500</v>
      </c>
      <c r="P3910" s="2" t="n">
        <f aca="false">Lookups!$B$2*M3910+Lookups!$B$3*L3910</f>
        <v>0</v>
      </c>
      <c r="Q3910" s="2" t="str">
        <f aca="false">INDEX(Lookups!$E$2:$E$5,MATCH(P3910,Lookups!$D$2:$D$5,0))</f>
        <v>Low</v>
      </c>
    </row>
    <row r="3911" customFormat="false" ht="15" hidden="false" customHeight="false" outlineLevel="0" collapsed="false">
      <c r="A3911" s="3" t="n">
        <v>3910</v>
      </c>
      <c r="B3911" s="3" t="n">
        <f aca="false">Raw_Data!A3911</f>
        <v>42</v>
      </c>
      <c r="C3911" s="3" t="str">
        <f aca="false">SUBSTITUTE(Raw_Data!B3911,".","")</f>
        <v>management</v>
      </c>
      <c r="D3911" s="3" t="str">
        <f aca="false">Raw_Data!C3911</f>
        <v>married</v>
      </c>
      <c r="E3911" s="3" t="str">
        <f aca="false">Raw_Data!D3911</f>
        <v>tertiary</v>
      </c>
      <c r="F3911" s="3" t="str">
        <f aca="false">Raw_Data!E3911</f>
        <v>no</v>
      </c>
      <c r="G3911" s="3" t="n">
        <f aca="false">Raw_Data!F3911</f>
        <v>2187</v>
      </c>
      <c r="H3911" s="3" t="str">
        <f aca="false">Raw_Data!G3911</f>
        <v>yes</v>
      </c>
      <c r="I3911" s="3" t="str">
        <f aca="false">Raw_Data!H3911</f>
        <v>no</v>
      </c>
      <c r="J3911" s="2" t="n">
        <f aca="false">IF(F3911="yes",1,0)</f>
        <v>0</v>
      </c>
      <c r="K3911" s="2" t="n">
        <f aca="false">IF(H3911="yes",1,0)</f>
        <v>1</v>
      </c>
      <c r="L3911" s="2" t="n">
        <f aca="false">IF(I3911="yes",1,0)</f>
        <v>0</v>
      </c>
      <c r="M3911" s="2" t="n">
        <f aca="false">IF(G3911&lt;0,1,0)</f>
        <v>0</v>
      </c>
      <c r="N3911" s="2" t="str">
        <f aca="false">_xlfn.IFS(B3911&lt;30,"Under 30",B3911&lt;40,"30-39",B3911&lt;50,"40-49",B3911&lt;60,"50-59",TRUE(),"60+")</f>
        <v>40-49</v>
      </c>
      <c r="O3911" s="2" t="str">
        <f aca="false">_xlfn.IFS(G3911&lt;0,"1 Negative",G3911=0,"2 Zero",G3911&lt;=500,"3 1-500",G3911&lt;=2000,"4 501-2000",TRUE(),"5 Above 2000")</f>
        <v>5 Above 2000</v>
      </c>
      <c r="P3911" s="2" t="n">
        <f aca="false">Lookups!$B$2*M3911+Lookups!$B$3*L3911</f>
        <v>0</v>
      </c>
      <c r="Q3911" s="2" t="str">
        <f aca="false">INDEX(Lookups!$E$2:$E$5,MATCH(P3911,Lookups!$D$2:$D$5,0))</f>
        <v>Low</v>
      </c>
    </row>
    <row r="3912" customFormat="false" ht="15" hidden="false" customHeight="false" outlineLevel="0" collapsed="false">
      <c r="A3912" s="3" t="n">
        <v>3911</v>
      </c>
      <c r="B3912" s="3" t="n">
        <f aca="false">Raw_Data!A3912</f>
        <v>49</v>
      </c>
      <c r="C3912" s="3" t="str">
        <f aca="false">SUBSTITUTE(Raw_Data!B3912,".","")</f>
        <v>admin</v>
      </c>
      <c r="D3912" s="3" t="str">
        <f aca="false">Raw_Data!C3912</f>
        <v>married</v>
      </c>
      <c r="E3912" s="3" t="str">
        <f aca="false">Raw_Data!D3912</f>
        <v>secondary</v>
      </c>
      <c r="F3912" s="3" t="str">
        <f aca="false">Raw_Data!E3912</f>
        <v>no</v>
      </c>
      <c r="G3912" s="3" t="n">
        <f aca="false">Raw_Data!F3912</f>
        <v>14440</v>
      </c>
      <c r="H3912" s="3" t="str">
        <f aca="false">Raw_Data!G3912</f>
        <v>yes</v>
      </c>
      <c r="I3912" s="3" t="str">
        <f aca="false">Raw_Data!H3912</f>
        <v>no</v>
      </c>
      <c r="J3912" s="2" t="n">
        <f aca="false">IF(F3912="yes",1,0)</f>
        <v>0</v>
      </c>
      <c r="K3912" s="2" t="n">
        <f aca="false">IF(H3912="yes",1,0)</f>
        <v>1</v>
      </c>
      <c r="L3912" s="2" t="n">
        <f aca="false">IF(I3912="yes",1,0)</f>
        <v>0</v>
      </c>
      <c r="M3912" s="2" t="n">
        <f aca="false">IF(G3912&lt;0,1,0)</f>
        <v>0</v>
      </c>
      <c r="N3912" s="2" t="str">
        <f aca="false">_xlfn.IFS(B3912&lt;30,"Under 30",B3912&lt;40,"30-39",B3912&lt;50,"40-49",B3912&lt;60,"50-59",TRUE(),"60+")</f>
        <v>40-49</v>
      </c>
      <c r="O3912" s="2" t="str">
        <f aca="false">_xlfn.IFS(G3912&lt;0,"1 Negative",G3912=0,"2 Zero",G3912&lt;=500,"3 1-500",G3912&lt;=2000,"4 501-2000",TRUE(),"5 Above 2000")</f>
        <v>5 Above 2000</v>
      </c>
      <c r="P3912" s="2" t="n">
        <f aca="false">Lookups!$B$2*M3912+Lookups!$B$3*L3912</f>
        <v>0</v>
      </c>
      <c r="Q3912" s="2" t="str">
        <f aca="false">INDEX(Lookups!$E$2:$E$5,MATCH(P3912,Lookups!$D$2:$D$5,0))</f>
        <v>Low</v>
      </c>
    </row>
    <row r="3913" customFormat="false" ht="15" hidden="false" customHeight="false" outlineLevel="0" collapsed="false">
      <c r="A3913" s="3" t="n">
        <v>3912</v>
      </c>
      <c r="B3913" s="3" t="n">
        <f aca="false">Raw_Data!A3913</f>
        <v>48</v>
      </c>
      <c r="C3913" s="3" t="str">
        <f aca="false">SUBSTITUTE(Raw_Data!B3913,".","")</f>
        <v>management</v>
      </c>
      <c r="D3913" s="3" t="str">
        <f aca="false">Raw_Data!C3913</f>
        <v>married</v>
      </c>
      <c r="E3913" s="3" t="str">
        <f aca="false">Raw_Data!D3913</f>
        <v>secondary</v>
      </c>
      <c r="F3913" s="3" t="str">
        <f aca="false">Raw_Data!E3913</f>
        <v>no</v>
      </c>
      <c r="G3913" s="3" t="n">
        <f aca="false">Raw_Data!F3913</f>
        <v>2294</v>
      </c>
      <c r="H3913" s="3" t="str">
        <f aca="false">Raw_Data!G3913</f>
        <v>yes</v>
      </c>
      <c r="I3913" s="3" t="str">
        <f aca="false">Raw_Data!H3913</f>
        <v>no</v>
      </c>
      <c r="J3913" s="2" t="n">
        <f aca="false">IF(F3913="yes",1,0)</f>
        <v>0</v>
      </c>
      <c r="K3913" s="2" t="n">
        <f aca="false">IF(H3913="yes",1,0)</f>
        <v>1</v>
      </c>
      <c r="L3913" s="2" t="n">
        <f aca="false">IF(I3913="yes",1,0)</f>
        <v>0</v>
      </c>
      <c r="M3913" s="2" t="n">
        <f aca="false">IF(G3913&lt;0,1,0)</f>
        <v>0</v>
      </c>
      <c r="N3913" s="2" t="str">
        <f aca="false">_xlfn.IFS(B3913&lt;30,"Under 30",B3913&lt;40,"30-39",B3913&lt;50,"40-49",B3913&lt;60,"50-59",TRUE(),"60+")</f>
        <v>40-49</v>
      </c>
      <c r="O3913" s="2" t="str">
        <f aca="false">_xlfn.IFS(G3913&lt;0,"1 Negative",G3913=0,"2 Zero",G3913&lt;=500,"3 1-500",G3913&lt;=2000,"4 501-2000",TRUE(),"5 Above 2000")</f>
        <v>5 Above 2000</v>
      </c>
      <c r="P3913" s="2" t="n">
        <f aca="false">Lookups!$B$2*M3913+Lookups!$B$3*L3913</f>
        <v>0</v>
      </c>
      <c r="Q3913" s="2" t="str">
        <f aca="false">INDEX(Lookups!$E$2:$E$5,MATCH(P3913,Lookups!$D$2:$D$5,0))</f>
        <v>Low</v>
      </c>
    </row>
    <row r="3914" customFormat="false" ht="15" hidden="false" customHeight="false" outlineLevel="0" collapsed="false">
      <c r="A3914" s="3" t="n">
        <v>3913</v>
      </c>
      <c r="B3914" s="3" t="n">
        <f aca="false">Raw_Data!A3914</f>
        <v>36</v>
      </c>
      <c r="C3914" s="3" t="str">
        <f aca="false">SUBSTITUTE(Raw_Data!B3914,".","")</f>
        <v>management</v>
      </c>
      <c r="D3914" s="3" t="str">
        <f aca="false">Raw_Data!C3914</f>
        <v>married</v>
      </c>
      <c r="E3914" s="3" t="str">
        <f aca="false">Raw_Data!D3914</f>
        <v>secondary</v>
      </c>
      <c r="F3914" s="3" t="str">
        <f aca="false">Raw_Data!E3914</f>
        <v>no</v>
      </c>
      <c r="G3914" s="3" t="n">
        <f aca="false">Raw_Data!F3914</f>
        <v>80</v>
      </c>
      <c r="H3914" s="3" t="str">
        <f aca="false">Raw_Data!G3914</f>
        <v>yes</v>
      </c>
      <c r="I3914" s="3" t="str">
        <f aca="false">Raw_Data!H3914</f>
        <v>no</v>
      </c>
      <c r="J3914" s="2" t="n">
        <f aca="false">IF(F3914="yes",1,0)</f>
        <v>0</v>
      </c>
      <c r="K3914" s="2" t="n">
        <f aca="false">IF(H3914="yes",1,0)</f>
        <v>1</v>
      </c>
      <c r="L3914" s="2" t="n">
        <f aca="false">IF(I3914="yes",1,0)</f>
        <v>0</v>
      </c>
      <c r="M3914" s="2" t="n">
        <f aca="false">IF(G3914&lt;0,1,0)</f>
        <v>0</v>
      </c>
      <c r="N3914" s="2" t="str">
        <f aca="false">_xlfn.IFS(B3914&lt;30,"Under 30",B3914&lt;40,"30-39",B3914&lt;50,"40-49",B3914&lt;60,"50-59",TRUE(),"60+")</f>
        <v>30-39</v>
      </c>
      <c r="O3914" s="2" t="str">
        <f aca="false">_xlfn.IFS(G3914&lt;0,"1 Negative",G3914=0,"2 Zero",G3914&lt;=500,"3 1-500",G3914&lt;=2000,"4 501-2000",TRUE(),"5 Above 2000")</f>
        <v>3 1-500</v>
      </c>
      <c r="P3914" s="2" t="n">
        <f aca="false">Lookups!$B$2*M3914+Lookups!$B$3*L3914</f>
        <v>0</v>
      </c>
      <c r="Q3914" s="2" t="str">
        <f aca="false">INDEX(Lookups!$E$2:$E$5,MATCH(P3914,Lookups!$D$2:$D$5,0))</f>
        <v>Low</v>
      </c>
    </row>
    <row r="3915" customFormat="false" ht="15" hidden="false" customHeight="false" outlineLevel="0" collapsed="false">
      <c r="A3915" s="3" t="n">
        <v>3914</v>
      </c>
      <c r="B3915" s="3" t="n">
        <f aca="false">Raw_Data!A3915</f>
        <v>48</v>
      </c>
      <c r="C3915" s="3" t="str">
        <f aca="false">SUBSTITUTE(Raw_Data!B3915,".","")</f>
        <v>management</v>
      </c>
      <c r="D3915" s="3" t="str">
        <f aca="false">Raw_Data!C3915</f>
        <v>married</v>
      </c>
      <c r="E3915" s="3" t="str">
        <f aca="false">Raw_Data!D3915</f>
        <v>primary</v>
      </c>
      <c r="F3915" s="3" t="str">
        <f aca="false">Raw_Data!E3915</f>
        <v>no</v>
      </c>
      <c r="G3915" s="3" t="n">
        <f aca="false">Raw_Data!F3915</f>
        <v>2537</v>
      </c>
      <c r="H3915" s="3" t="str">
        <f aca="false">Raw_Data!G3915</f>
        <v>no</v>
      </c>
      <c r="I3915" s="3" t="str">
        <f aca="false">Raw_Data!H3915</f>
        <v>no</v>
      </c>
      <c r="J3915" s="2" t="n">
        <f aca="false">IF(F3915="yes",1,0)</f>
        <v>0</v>
      </c>
      <c r="K3915" s="2" t="n">
        <f aca="false">IF(H3915="yes",1,0)</f>
        <v>0</v>
      </c>
      <c r="L3915" s="2" t="n">
        <f aca="false">IF(I3915="yes",1,0)</f>
        <v>0</v>
      </c>
      <c r="M3915" s="2" t="n">
        <f aca="false">IF(G3915&lt;0,1,0)</f>
        <v>0</v>
      </c>
      <c r="N3915" s="2" t="str">
        <f aca="false">_xlfn.IFS(B3915&lt;30,"Under 30",B3915&lt;40,"30-39",B3915&lt;50,"40-49",B3915&lt;60,"50-59",TRUE(),"60+")</f>
        <v>40-49</v>
      </c>
      <c r="O3915" s="2" t="str">
        <f aca="false">_xlfn.IFS(G3915&lt;0,"1 Negative",G3915=0,"2 Zero",G3915&lt;=500,"3 1-500",G3915&lt;=2000,"4 501-2000",TRUE(),"5 Above 2000")</f>
        <v>5 Above 2000</v>
      </c>
      <c r="P3915" s="2" t="n">
        <f aca="false">Lookups!$B$2*M3915+Lookups!$B$3*L3915</f>
        <v>0</v>
      </c>
      <c r="Q3915" s="2" t="str">
        <f aca="false">INDEX(Lookups!$E$2:$E$5,MATCH(P3915,Lookups!$D$2:$D$5,0))</f>
        <v>Low</v>
      </c>
    </row>
    <row r="3916" customFormat="false" ht="15" hidden="false" customHeight="false" outlineLevel="0" collapsed="false">
      <c r="A3916" s="3" t="n">
        <v>3915</v>
      </c>
      <c r="B3916" s="3" t="n">
        <f aca="false">Raw_Data!A3916</f>
        <v>30</v>
      </c>
      <c r="C3916" s="3" t="str">
        <f aca="false">SUBSTITUTE(Raw_Data!B3916,".","")</f>
        <v>technician</v>
      </c>
      <c r="D3916" s="3" t="str">
        <f aca="false">Raw_Data!C3916</f>
        <v>married</v>
      </c>
      <c r="E3916" s="3" t="str">
        <f aca="false">Raw_Data!D3916</f>
        <v>tertiary</v>
      </c>
      <c r="F3916" s="3" t="str">
        <f aca="false">Raw_Data!E3916</f>
        <v>no</v>
      </c>
      <c r="G3916" s="3" t="n">
        <f aca="false">Raw_Data!F3916</f>
        <v>569</v>
      </c>
      <c r="H3916" s="3" t="str">
        <f aca="false">Raw_Data!G3916</f>
        <v>no</v>
      </c>
      <c r="I3916" s="3" t="str">
        <f aca="false">Raw_Data!H3916</f>
        <v>no</v>
      </c>
      <c r="J3916" s="2" t="n">
        <f aca="false">IF(F3916="yes",1,0)</f>
        <v>0</v>
      </c>
      <c r="K3916" s="2" t="n">
        <f aca="false">IF(H3916="yes",1,0)</f>
        <v>0</v>
      </c>
      <c r="L3916" s="2" t="n">
        <f aca="false">IF(I3916="yes",1,0)</f>
        <v>0</v>
      </c>
      <c r="M3916" s="2" t="n">
        <f aca="false">IF(G3916&lt;0,1,0)</f>
        <v>0</v>
      </c>
      <c r="N3916" s="2" t="str">
        <f aca="false">_xlfn.IFS(B3916&lt;30,"Under 30",B3916&lt;40,"30-39",B3916&lt;50,"40-49",B3916&lt;60,"50-59",TRUE(),"60+")</f>
        <v>30-39</v>
      </c>
      <c r="O3916" s="2" t="str">
        <f aca="false">_xlfn.IFS(G3916&lt;0,"1 Negative",G3916=0,"2 Zero",G3916&lt;=500,"3 1-500",G3916&lt;=2000,"4 501-2000",TRUE(),"5 Above 2000")</f>
        <v>4 501-2000</v>
      </c>
      <c r="P3916" s="2" t="n">
        <f aca="false">Lookups!$B$2*M3916+Lookups!$B$3*L3916</f>
        <v>0</v>
      </c>
      <c r="Q3916" s="2" t="str">
        <f aca="false">INDEX(Lookups!$E$2:$E$5,MATCH(P3916,Lookups!$D$2:$D$5,0))</f>
        <v>Low</v>
      </c>
    </row>
    <row r="3917" customFormat="false" ht="15" hidden="false" customHeight="false" outlineLevel="0" collapsed="false">
      <c r="A3917" s="3" t="n">
        <v>3916</v>
      </c>
      <c r="B3917" s="3" t="n">
        <f aca="false">Raw_Data!A3917</f>
        <v>27</v>
      </c>
      <c r="C3917" s="3" t="str">
        <f aca="false">SUBSTITUTE(Raw_Data!B3917,".","")</f>
        <v>management</v>
      </c>
      <c r="D3917" s="3" t="str">
        <f aca="false">Raw_Data!C3917</f>
        <v>single</v>
      </c>
      <c r="E3917" s="3" t="str">
        <f aca="false">Raw_Data!D3917</f>
        <v>tertiary</v>
      </c>
      <c r="F3917" s="3" t="str">
        <f aca="false">Raw_Data!E3917</f>
        <v>yes</v>
      </c>
      <c r="G3917" s="3" t="n">
        <f aca="false">Raw_Data!F3917</f>
        <v>0</v>
      </c>
      <c r="H3917" s="3" t="str">
        <f aca="false">Raw_Data!G3917</f>
        <v>no</v>
      </c>
      <c r="I3917" s="3" t="str">
        <f aca="false">Raw_Data!H3917</f>
        <v>yes</v>
      </c>
      <c r="J3917" s="2" t="n">
        <f aca="false">IF(F3917="yes",1,0)</f>
        <v>1</v>
      </c>
      <c r="K3917" s="2" t="n">
        <f aca="false">IF(H3917="yes",1,0)</f>
        <v>0</v>
      </c>
      <c r="L3917" s="2" t="n">
        <f aca="false">IF(I3917="yes",1,0)</f>
        <v>1</v>
      </c>
      <c r="M3917" s="2" t="n">
        <f aca="false">IF(G3917&lt;0,1,0)</f>
        <v>0</v>
      </c>
      <c r="N3917" s="2" t="str">
        <f aca="false">_xlfn.IFS(B3917&lt;30,"Under 30",B3917&lt;40,"30-39",B3917&lt;50,"40-49",B3917&lt;60,"50-59",TRUE(),"60+")</f>
        <v>Under 30</v>
      </c>
      <c r="O3917" s="2" t="str">
        <f aca="false">_xlfn.IFS(G3917&lt;0,"1 Negative",G3917=0,"2 Zero",G3917&lt;=500,"3 1-500",G3917&lt;=2000,"4 501-2000",TRUE(),"5 Above 2000")</f>
        <v>2 Zero</v>
      </c>
      <c r="P3917" s="2" t="n">
        <f aca="false">Lookups!$B$2*M3917+Lookups!$B$3*L3917</f>
        <v>1</v>
      </c>
      <c r="Q3917" s="2" t="str">
        <f aca="false">INDEX(Lookups!$E$2:$E$5,MATCH(P3917,Lookups!$D$2:$D$5,0))</f>
        <v>Medium</v>
      </c>
    </row>
    <row r="3918" customFormat="false" ht="15" hidden="false" customHeight="false" outlineLevel="0" collapsed="false">
      <c r="A3918" s="3" t="n">
        <v>3917</v>
      </c>
      <c r="B3918" s="3" t="n">
        <f aca="false">Raw_Data!A3918</f>
        <v>38</v>
      </c>
      <c r="C3918" s="3" t="str">
        <f aca="false">SUBSTITUTE(Raw_Data!B3918,".","")</f>
        <v>entrepreneur</v>
      </c>
      <c r="D3918" s="3" t="str">
        <f aca="false">Raw_Data!C3918</f>
        <v>married</v>
      </c>
      <c r="E3918" s="3" t="str">
        <f aca="false">Raw_Data!D3918</f>
        <v>tertiary</v>
      </c>
      <c r="F3918" s="3" t="str">
        <f aca="false">Raw_Data!E3918</f>
        <v>no</v>
      </c>
      <c r="G3918" s="3" t="n">
        <f aca="false">Raw_Data!F3918</f>
        <v>0</v>
      </c>
      <c r="H3918" s="3" t="str">
        <f aca="false">Raw_Data!G3918</f>
        <v>yes</v>
      </c>
      <c r="I3918" s="3" t="str">
        <f aca="false">Raw_Data!H3918</f>
        <v>no</v>
      </c>
      <c r="J3918" s="2" t="n">
        <f aca="false">IF(F3918="yes",1,0)</f>
        <v>0</v>
      </c>
      <c r="K3918" s="2" t="n">
        <f aca="false">IF(H3918="yes",1,0)</f>
        <v>1</v>
      </c>
      <c r="L3918" s="2" t="n">
        <f aca="false">IF(I3918="yes",1,0)</f>
        <v>0</v>
      </c>
      <c r="M3918" s="2" t="n">
        <f aca="false">IF(G3918&lt;0,1,0)</f>
        <v>0</v>
      </c>
      <c r="N3918" s="2" t="str">
        <f aca="false">_xlfn.IFS(B3918&lt;30,"Under 30",B3918&lt;40,"30-39",B3918&lt;50,"40-49",B3918&lt;60,"50-59",TRUE(),"60+")</f>
        <v>30-39</v>
      </c>
      <c r="O3918" s="2" t="str">
        <f aca="false">_xlfn.IFS(G3918&lt;0,"1 Negative",G3918=0,"2 Zero",G3918&lt;=500,"3 1-500",G3918&lt;=2000,"4 501-2000",TRUE(),"5 Above 2000")</f>
        <v>2 Zero</v>
      </c>
      <c r="P3918" s="2" t="n">
        <f aca="false">Lookups!$B$2*M3918+Lookups!$B$3*L3918</f>
        <v>0</v>
      </c>
      <c r="Q3918" s="2" t="str">
        <f aca="false">INDEX(Lookups!$E$2:$E$5,MATCH(P3918,Lookups!$D$2:$D$5,0))</f>
        <v>Low</v>
      </c>
    </row>
    <row r="3919" customFormat="false" ht="15" hidden="false" customHeight="false" outlineLevel="0" collapsed="false">
      <c r="A3919" s="3" t="n">
        <v>3918</v>
      </c>
      <c r="B3919" s="3" t="n">
        <f aca="false">Raw_Data!A3919</f>
        <v>36</v>
      </c>
      <c r="C3919" s="3" t="str">
        <f aca="false">SUBSTITUTE(Raw_Data!B3919,".","")</f>
        <v>technician</v>
      </c>
      <c r="D3919" s="3" t="str">
        <f aca="false">Raw_Data!C3919</f>
        <v>single</v>
      </c>
      <c r="E3919" s="3" t="str">
        <f aca="false">Raw_Data!D3919</f>
        <v>secondary</v>
      </c>
      <c r="F3919" s="3" t="str">
        <f aca="false">Raw_Data!E3919</f>
        <v>yes</v>
      </c>
      <c r="G3919" s="3" t="n">
        <f aca="false">Raw_Data!F3919</f>
        <v>12</v>
      </c>
      <c r="H3919" s="3" t="str">
        <f aca="false">Raw_Data!G3919</f>
        <v>no</v>
      </c>
      <c r="I3919" s="3" t="str">
        <f aca="false">Raw_Data!H3919</f>
        <v>no</v>
      </c>
      <c r="J3919" s="2" t="n">
        <f aca="false">IF(F3919="yes",1,0)</f>
        <v>1</v>
      </c>
      <c r="K3919" s="2" t="n">
        <f aca="false">IF(H3919="yes",1,0)</f>
        <v>0</v>
      </c>
      <c r="L3919" s="2" t="n">
        <f aca="false">IF(I3919="yes",1,0)</f>
        <v>0</v>
      </c>
      <c r="M3919" s="2" t="n">
        <f aca="false">IF(G3919&lt;0,1,0)</f>
        <v>0</v>
      </c>
      <c r="N3919" s="2" t="str">
        <f aca="false">_xlfn.IFS(B3919&lt;30,"Under 30",B3919&lt;40,"30-39",B3919&lt;50,"40-49",B3919&lt;60,"50-59",TRUE(),"60+")</f>
        <v>30-39</v>
      </c>
      <c r="O3919" s="2" t="str">
        <f aca="false">_xlfn.IFS(G3919&lt;0,"1 Negative",G3919=0,"2 Zero",G3919&lt;=500,"3 1-500",G3919&lt;=2000,"4 501-2000",TRUE(),"5 Above 2000")</f>
        <v>3 1-500</v>
      </c>
      <c r="P3919" s="2" t="n">
        <f aca="false">Lookups!$B$2*M3919+Lookups!$B$3*L3919</f>
        <v>0</v>
      </c>
      <c r="Q3919" s="2" t="str">
        <f aca="false">INDEX(Lookups!$E$2:$E$5,MATCH(P3919,Lookups!$D$2:$D$5,0))</f>
        <v>Low</v>
      </c>
    </row>
    <row r="3920" customFormat="false" ht="15" hidden="false" customHeight="false" outlineLevel="0" collapsed="false">
      <c r="A3920" s="3" t="n">
        <v>3919</v>
      </c>
      <c r="B3920" s="3" t="n">
        <f aca="false">Raw_Data!A3920</f>
        <v>45</v>
      </c>
      <c r="C3920" s="3" t="str">
        <f aca="false">SUBSTITUTE(Raw_Data!B3920,".","")</f>
        <v>technician</v>
      </c>
      <c r="D3920" s="3" t="str">
        <f aca="false">Raw_Data!C3920</f>
        <v>married</v>
      </c>
      <c r="E3920" s="3" t="str">
        <f aca="false">Raw_Data!D3920</f>
        <v>secondary</v>
      </c>
      <c r="F3920" s="3" t="str">
        <f aca="false">Raw_Data!E3920</f>
        <v>no</v>
      </c>
      <c r="G3920" s="3" t="n">
        <f aca="false">Raw_Data!F3920</f>
        <v>49</v>
      </c>
      <c r="H3920" s="3" t="str">
        <f aca="false">Raw_Data!G3920</f>
        <v>no</v>
      </c>
      <c r="I3920" s="3" t="str">
        <f aca="false">Raw_Data!H3920</f>
        <v>no</v>
      </c>
      <c r="J3920" s="2" t="n">
        <f aca="false">IF(F3920="yes",1,0)</f>
        <v>0</v>
      </c>
      <c r="K3920" s="2" t="n">
        <f aca="false">IF(H3920="yes",1,0)</f>
        <v>0</v>
      </c>
      <c r="L3920" s="2" t="n">
        <f aca="false">IF(I3920="yes",1,0)</f>
        <v>0</v>
      </c>
      <c r="M3920" s="2" t="n">
        <f aca="false">IF(G3920&lt;0,1,0)</f>
        <v>0</v>
      </c>
      <c r="N3920" s="2" t="str">
        <f aca="false">_xlfn.IFS(B3920&lt;30,"Under 30",B3920&lt;40,"30-39",B3920&lt;50,"40-49",B3920&lt;60,"50-59",TRUE(),"60+")</f>
        <v>40-49</v>
      </c>
      <c r="O3920" s="2" t="str">
        <f aca="false">_xlfn.IFS(G3920&lt;0,"1 Negative",G3920=0,"2 Zero",G3920&lt;=500,"3 1-500",G3920&lt;=2000,"4 501-2000",TRUE(),"5 Above 2000")</f>
        <v>3 1-500</v>
      </c>
      <c r="P3920" s="2" t="n">
        <f aca="false">Lookups!$B$2*M3920+Lookups!$B$3*L3920</f>
        <v>0</v>
      </c>
      <c r="Q3920" s="2" t="str">
        <f aca="false">INDEX(Lookups!$E$2:$E$5,MATCH(P3920,Lookups!$D$2:$D$5,0))</f>
        <v>Low</v>
      </c>
    </row>
    <row r="3921" customFormat="false" ht="15" hidden="false" customHeight="false" outlineLevel="0" collapsed="false">
      <c r="A3921" s="3" t="n">
        <v>3920</v>
      </c>
      <c r="B3921" s="3" t="n">
        <f aca="false">Raw_Data!A3921</f>
        <v>44</v>
      </c>
      <c r="C3921" s="3" t="str">
        <f aca="false">SUBSTITUTE(Raw_Data!B3921,".","")</f>
        <v>housemaid</v>
      </c>
      <c r="D3921" s="3" t="str">
        <f aca="false">Raw_Data!C3921</f>
        <v>married</v>
      </c>
      <c r="E3921" s="3" t="str">
        <f aca="false">Raw_Data!D3921</f>
        <v>tertiary</v>
      </c>
      <c r="F3921" s="3" t="str">
        <f aca="false">Raw_Data!E3921</f>
        <v>no</v>
      </c>
      <c r="G3921" s="3" t="n">
        <f aca="false">Raw_Data!F3921</f>
        <v>460</v>
      </c>
      <c r="H3921" s="3" t="str">
        <f aca="false">Raw_Data!G3921</f>
        <v>no</v>
      </c>
      <c r="I3921" s="3" t="str">
        <f aca="false">Raw_Data!H3921</f>
        <v>no</v>
      </c>
      <c r="J3921" s="2" t="n">
        <f aca="false">IF(F3921="yes",1,0)</f>
        <v>0</v>
      </c>
      <c r="K3921" s="2" t="n">
        <f aca="false">IF(H3921="yes",1,0)</f>
        <v>0</v>
      </c>
      <c r="L3921" s="2" t="n">
        <f aca="false">IF(I3921="yes",1,0)</f>
        <v>0</v>
      </c>
      <c r="M3921" s="2" t="n">
        <f aca="false">IF(G3921&lt;0,1,0)</f>
        <v>0</v>
      </c>
      <c r="N3921" s="2" t="str">
        <f aca="false">_xlfn.IFS(B3921&lt;30,"Under 30",B3921&lt;40,"30-39",B3921&lt;50,"40-49",B3921&lt;60,"50-59",TRUE(),"60+")</f>
        <v>40-49</v>
      </c>
      <c r="O3921" s="2" t="str">
        <f aca="false">_xlfn.IFS(G3921&lt;0,"1 Negative",G3921=0,"2 Zero",G3921&lt;=500,"3 1-500",G3921&lt;=2000,"4 501-2000",TRUE(),"5 Above 2000")</f>
        <v>3 1-500</v>
      </c>
      <c r="P3921" s="2" t="n">
        <f aca="false">Lookups!$B$2*M3921+Lookups!$B$3*L3921</f>
        <v>0</v>
      </c>
      <c r="Q3921" s="2" t="str">
        <f aca="false">INDEX(Lookups!$E$2:$E$5,MATCH(P3921,Lookups!$D$2:$D$5,0))</f>
        <v>Low</v>
      </c>
    </row>
    <row r="3922" customFormat="false" ht="15" hidden="false" customHeight="false" outlineLevel="0" collapsed="false">
      <c r="A3922" s="3" t="n">
        <v>3921</v>
      </c>
      <c r="B3922" s="3" t="n">
        <f aca="false">Raw_Data!A3922</f>
        <v>42</v>
      </c>
      <c r="C3922" s="3" t="str">
        <f aca="false">SUBSTITUTE(Raw_Data!B3922,".","")</f>
        <v>technician</v>
      </c>
      <c r="D3922" s="3" t="str">
        <f aca="false">Raw_Data!C3922</f>
        <v>married</v>
      </c>
      <c r="E3922" s="3" t="str">
        <f aca="false">Raw_Data!D3922</f>
        <v>secondary</v>
      </c>
      <c r="F3922" s="3" t="str">
        <f aca="false">Raw_Data!E3922</f>
        <v>no</v>
      </c>
      <c r="G3922" s="3" t="n">
        <f aca="false">Raw_Data!F3922</f>
        <v>613</v>
      </c>
      <c r="H3922" s="3" t="str">
        <f aca="false">Raw_Data!G3922</f>
        <v>yes</v>
      </c>
      <c r="I3922" s="3" t="str">
        <f aca="false">Raw_Data!H3922</f>
        <v>no</v>
      </c>
      <c r="J3922" s="2" t="n">
        <f aca="false">IF(F3922="yes",1,0)</f>
        <v>0</v>
      </c>
      <c r="K3922" s="2" t="n">
        <f aca="false">IF(H3922="yes",1,0)</f>
        <v>1</v>
      </c>
      <c r="L3922" s="2" t="n">
        <f aca="false">IF(I3922="yes",1,0)</f>
        <v>0</v>
      </c>
      <c r="M3922" s="2" t="n">
        <f aca="false">IF(G3922&lt;0,1,0)</f>
        <v>0</v>
      </c>
      <c r="N3922" s="2" t="str">
        <f aca="false">_xlfn.IFS(B3922&lt;30,"Under 30",B3922&lt;40,"30-39",B3922&lt;50,"40-49",B3922&lt;60,"50-59",TRUE(),"60+")</f>
        <v>40-49</v>
      </c>
      <c r="O3922" s="2" t="str">
        <f aca="false">_xlfn.IFS(G3922&lt;0,"1 Negative",G3922=0,"2 Zero",G3922&lt;=500,"3 1-500",G3922&lt;=2000,"4 501-2000",TRUE(),"5 Above 2000")</f>
        <v>4 501-2000</v>
      </c>
      <c r="P3922" s="2" t="n">
        <f aca="false">Lookups!$B$2*M3922+Lookups!$B$3*L3922</f>
        <v>0</v>
      </c>
      <c r="Q3922" s="2" t="str">
        <f aca="false">INDEX(Lookups!$E$2:$E$5,MATCH(P3922,Lookups!$D$2:$D$5,0))</f>
        <v>Low</v>
      </c>
    </row>
    <row r="3923" customFormat="false" ht="15" hidden="false" customHeight="false" outlineLevel="0" collapsed="false">
      <c r="A3923" s="3" t="n">
        <v>3922</v>
      </c>
      <c r="B3923" s="3" t="n">
        <f aca="false">Raw_Data!A3923</f>
        <v>37</v>
      </c>
      <c r="C3923" s="3" t="str">
        <f aca="false">SUBSTITUTE(Raw_Data!B3923,".","")</f>
        <v>entrepreneur</v>
      </c>
      <c r="D3923" s="3" t="str">
        <f aca="false">Raw_Data!C3923</f>
        <v>married</v>
      </c>
      <c r="E3923" s="3" t="str">
        <f aca="false">Raw_Data!D3923</f>
        <v>tertiary</v>
      </c>
      <c r="F3923" s="3" t="str">
        <f aca="false">Raw_Data!E3923</f>
        <v>no</v>
      </c>
      <c r="G3923" s="3" t="n">
        <f aca="false">Raw_Data!F3923</f>
        <v>7944</v>
      </c>
      <c r="H3923" s="3" t="str">
        <f aca="false">Raw_Data!G3923</f>
        <v>no</v>
      </c>
      <c r="I3923" s="3" t="str">
        <f aca="false">Raw_Data!H3923</f>
        <v>no</v>
      </c>
      <c r="J3923" s="2" t="n">
        <f aca="false">IF(F3923="yes",1,0)</f>
        <v>0</v>
      </c>
      <c r="K3923" s="2" t="n">
        <f aca="false">IF(H3923="yes",1,0)</f>
        <v>0</v>
      </c>
      <c r="L3923" s="2" t="n">
        <f aca="false">IF(I3923="yes",1,0)</f>
        <v>0</v>
      </c>
      <c r="M3923" s="2" t="n">
        <f aca="false">IF(G3923&lt;0,1,0)</f>
        <v>0</v>
      </c>
      <c r="N3923" s="2" t="str">
        <f aca="false">_xlfn.IFS(B3923&lt;30,"Under 30",B3923&lt;40,"30-39",B3923&lt;50,"40-49",B3923&lt;60,"50-59",TRUE(),"60+")</f>
        <v>30-39</v>
      </c>
      <c r="O3923" s="2" t="str">
        <f aca="false">_xlfn.IFS(G3923&lt;0,"1 Negative",G3923=0,"2 Zero",G3923&lt;=500,"3 1-500",G3923&lt;=2000,"4 501-2000",TRUE(),"5 Above 2000")</f>
        <v>5 Above 2000</v>
      </c>
      <c r="P3923" s="2" t="n">
        <f aca="false">Lookups!$B$2*M3923+Lookups!$B$3*L3923</f>
        <v>0</v>
      </c>
      <c r="Q3923" s="2" t="str">
        <f aca="false">INDEX(Lookups!$E$2:$E$5,MATCH(P3923,Lookups!$D$2:$D$5,0))</f>
        <v>Low</v>
      </c>
    </row>
    <row r="3924" customFormat="false" ht="15" hidden="false" customHeight="false" outlineLevel="0" collapsed="false">
      <c r="A3924" s="3" t="n">
        <v>3923</v>
      </c>
      <c r="B3924" s="3" t="n">
        <f aca="false">Raw_Data!A3924</f>
        <v>48</v>
      </c>
      <c r="C3924" s="3" t="str">
        <f aca="false">SUBSTITUTE(Raw_Data!B3924,".","")</f>
        <v>blue-collar</v>
      </c>
      <c r="D3924" s="3" t="str">
        <f aca="false">Raw_Data!C3924</f>
        <v>married</v>
      </c>
      <c r="E3924" s="3" t="str">
        <f aca="false">Raw_Data!D3924</f>
        <v>secondary</v>
      </c>
      <c r="F3924" s="3" t="str">
        <f aca="false">Raw_Data!E3924</f>
        <v>no</v>
      </c>
      <c r="G3924" s="3" t="n">
        <f aca="false">Raw_Data!F3924</f>
        <v>1143</v>
      </c>
      <c r="H3924" s="3" t="str">
        <f aca="false">Raw_Data!G3924</f>
        <v>yes</v>
      </c>
      <c r="I3924" s="3" t="str">
        <f aca="false">Raw_Data!H3924</f>
        <v>no</v>
      </c>
      <c r="J3924" s="2" t="n">
        <f aca="false">IF(F3924="yes",1,0)</f>
        <v>0</v>
      </c>
      <c r="K3924" s="2" t="n">
        <f aca="false">IF(H3924="yes",1,0)</f>
        <v>1</v>
      </c>
      <c r="L3924" s="2" t="n">
        <f aca="false">IF(I3924="yes",1,0)</f>
        <v>0</v>
      </c>
      <c r="M3924" s="2" t="n">
        <f aca="false">IF(G3924&lt;0,1,0)</f>
        <v>0</v>
      </c>
      <c r="N3924" s="2" t="str">
        <f aca="false">_xlfn.IFS(B3924&lt;30,"Under 30",B3924&lt;40,"30-39",B3924&lt;50,"40-49",B3924&lt;60,"50-59",TRUE(),"60+")</f>
        <v>40-49</v>
      </c>
      <c r="O3924" s="2" t="str">
        <f aca="false">_xlfn.IFS(G3924&lt;0,"1 Negative",G3924=0,"2 Zero",G3924&lt;=500,"3 1-500",G3924&lt;=2000,"4 501-2000",TRUE(),"5 Above 2000")</f>
        <v>4 501-2000</v>
      </c>
      <c r="P3924" s="2" t="n">
        <f aca="false">Lookups!$B$2*M3924+Lookups!$B$3*L3924</f>
        <v>0</v>
      </c>
      <c r="Q3924" s="2" t="str">
        <f aca="false">INDEX(Lookups!$E$2:$E$5,MATCH(P3924,Lookups!$D$2:$D$5,0))</f>
        <v>Low</v>
      </c>
    </row>
    <row r="3925" customFormat="false" ht="15" hidden="false" customHeight="false" outlineLevel="0" collapsed="false">
      <c r="A3925" s="3" t="n">
        <v>3924</v>
      </c>
      <c r="B3925" s="3" t="n">
        <f aca="false">Raw_Data!A3925</f>
        <v>57</v>
      </c>
      <c r="C3925" s="3" t="str">
        <f aca="false">SUBSTITUTE(Raw_Data!B3925,".","")</f>
        <v>retired</v>
      </c>
      <c r="D3925" s="3" t="str">
        <f aca="false">Raw_Data!C3925</f>
        <v>married</v>
      </c>
      <c r="E3925" s="3" t="str">
        <f aca="false">Raw_Data!D3925</f>
        <v>primary</v>
      </c>
      <c r="F3925" s="3" t="str">
        <f aca="false">Raw_Data!E3925</f>
        <v>no</v>
      </c>
      <c r="G3925" s="3" t="n">
        <f aca="false">Raw_Data!F3925</f>
        <v>-464</v>
      </c>
      <c r="H3925" s="3" t="str">
        <f aca="false">Raw_Data!G3925</f>
        <v>yes</v>
      </c>
      <c r="I3925" s="3" t="str">
        <f aca="false">Raw_Data!H3925</f>
        <v>no</v>
      </c>
      <c r="J3925" s="2" t="n">
        <f aca="false">IF(F3925="yes",1,0)</f>
        <v>0</v>
      </c>
      <c r="K3925" s="2" t="n">
        <f aca="false">IF(H3925="yes",1,0)</f>
        <v>1</v>
      </c>
      <c r="L3925" s="2" t="n">
        <f aca="false">IF(I3925="yes",1,0)</f>
        <v>0</v>
      </c>
      <c r="M3925" s="2" t="n">
        <f aca="false">IF(G3925&lt;0,1,0)</f>
        <v>1</v>
      </c>
      <c r="N3925" s="2" t="str">
        <f aca="false">_xlfn.IFS(B3925&lt;30,"Under 30",B3925&lt;40,"30-39",B3925&lt;50,"40-49",B3925&lt;60,"50-59",TRUE(),"60+")</f>
        <v>50-59</v>
      </c>
      <c r="O3925" s="2" t="str">
        <f aca="false">_xlfn.IFS(G3925&lt;0,"1 Negative",G3925=0,"2 Zero",G3925&lt;=500,"3 1-500",G3925&lt;=2000,"4 501-2000",TRUE(),"5 Above 2000")</f>
        <v>1 Negative</v>
      </c>
      <c r="P3925" s="2" t="n">
        <f aca="false">Lookups!$B$2*M3925+Lookups!$B$3*L3925</f>
        <v>2</v>
      </c>
      <c r="Q3925" s="2" t="str">
        <f aca="false">INDEX(Lookups!$E$2:$E$5,MATCH(P3925,Lookups!$D$2:$D$5,0))</f>
        <v>High</v>
      </c>
    </row>
    <row r="3926" customFormat="false" ht="15" hidden="false" customHeight="false" outlineLevel="0" collapsed="false">
      <c r="A3926" s="3" t="n">
        <v>3925</v>
      </c>
      <c r="B3926" s="3" t="n">
        <f aca="false">Raw_Data!A3926</f>
        <v>44</v>
      </c>
      <c r="C3926" s="3" t="str">
        <f aca="false">SUBSTITUTE(Raw_Data!B3926,".","")</f>
        <v>services</v>
      </c>
      <c r="D3926" s="3" t="str">
        <f aca="false">Raw_Data!C3926</f>
        <v>married</v>
      </c>
      <c r="E3926" s="3" t="str">
        <f aca="false">Raw_Data!D3926</f>
        <v>secondary</v>
      </c>
      <c r="F3926" s="3" t="str">
        <f aca="false">Raw_Data!E3926</f>
        <v>no</v>
      </c>
      <c r="G3926" s="3" t="n">
        <f aca="false">Raw_Data!F3926</f>
        <v>1989</v>
      </c>
      <c r="H3926" s="3" t="str">
        <f aca="false">Raw_Data!G3926</f>
        <v>yes</v>
      </c>
      <c r="I3926" s="3" t="str">
        <f aca="false">Raw_Data!H3926</f>
        <v>yes</v>
      </c>
      <c r="J3926" s="2" t="n">
        <f aca="false">IF(F3926="yes",1,0)</f>
        <v>0</v>
      </c>
      <c r="K3926" s="2" t="n">
        <f aca="false">IF(H3926="yes",1,0)</f>
        <v>1</v>
      </c>
      <c r="L3926" s="2" t="n">
        <f aca="false">IF(I3926="yes",1,0)</f>
        <v>1</v>
      </c>
      <c r="M3926" s="2" t="n">
        <f aca="false">IF(G3926&lt;0,1,0)</f>
        <v>0</v>
      </c>
      <c r="N3926" s="2" t="str">
        <f aca="false">_xlfn.IFS(B3926&lt;30,"Under 30",B3926&lt;40,"30-39",B3926&lt;50,"40-49",B3926&lt;60,"50-59",TRUE(),"60+")</f>
        <v>40-49</v>
      </c>
      <c r="O3926" s="2" t="str">
        <f aca="false">_xlfn.IFS(G3926&lt;0,"1 Negative",G3926=0,"2 Zero",G3926&lt;=500,"3 1-500",G3926&lt;=2000,"4 501-2000",TRUE(),"5 Above 2000")</f>
        <v>4 501-2000</v>
      </c>
      <c r="P3926" s="2" t="n">
        <f aca="false">Lookups!$B$2*M3926+Lookups!$B$3*L3926</f>
        <v>1</v>
      </c>
      <c r="Q3926" s="2" t="str">
        <f aca="false">INDEX(Lookups!$E$2:$E$5,MATCH(P3926,Lookups!$D$2:$D$5,0))</f>
        <v>Medium</v>
      </c>
    </row>
    <row r="3927" customFormat="false" ht="15" hidden="false" customHeight="false" outlineLevel="0" collapsed="false">
      <c r="A3927" s="3" t="n">
        <v>3926</v>
      </c>
      <c r="B3927" s="3" t="n">
        <f aca="false">Raw_Data!A3927</f>
        <v>48</v>
      </c>
      <c r="C3927" s="3" t="str">
        <f aca="false">SUBSTITUTE(Raw_Data!B3927,".","")</f>
        <v>technician</v>
      </c>
      <c r="D3927" s="3" t="str">
        <f aca="false">Raw_Data!C3927</f>
        <v>married</v>
      </c>
      <c r="E3927" s="3" t="str">
        <f aca="false">Raw_Data!D3927</f>
        <v>secondary</v>
      </c>
      <c r="F3927" s="3" t="str">
        <f aca="false">Raw_Data!E3927</f>
        <v>no</v>
      </c>
      <c r="G3927" s="3" t="n">
        <f aca="false">Raw_Data!F3927</f>
        <v>17</v>
      </c>
      <c r="H3927" s="3" t="str">
        <f aca="false">Raw_Data!G3927</f>
        <v>yes</v>
      </c>
      <c r="I3927" s="3" t="str">
        <f aca="false">Raw_Data!H3927</f>
        <v>yes</v>
      </c>
      <c r="J3927" s="2" t="n">
        <f aca="false">IF(F3927="yes",1,0)</f>
        <v>0</v>
      </c>
      <c r="K3927" s="2" t="n">
        <f aca="false">IF(H3927="yes",1,0)</f>
        <v>1</v>
      </c>
      <c r="L3927" s="2" t="n">
        <f aca="false">IF(I3927="yes",1,0)</f>
        <v>1</v>
      </c>
      <c r="M3927" s="2" t="n">
        <f aca="false">IF(G3927&lt;0,1,0)</f>
        <v>0</v>
      </c>
      <c r="N3927" s="2" t="str">
        <f aca="false">_xlfn.IFS(B3927&lt;30,"Under 30",B3927&lt;40,"30-39",B3927&lt;50,"40-49",B3927&lt;60,"50-59",TRUE(),"60+")</f>
        <v>40-49</v>
      </c>
      <c r="O3927" s="2" t="str">
        <f aca="false">_xlfn.IFS(G3927&lt;0,"1 Negative",G3927=0,"2 Zero",G3927&lt;=500,"3 1-500",G3927&lt;=2000,"4 501-2000",TRUE(),"5 Above 2000")</f>
        <v>3 1-500</v>
      </c>
      <c r="P3927" s="2" t="n">
        <f aca="false">Lookups!$B$2*M3927+Lookups!$B$3*L3927</f>
        <v>1</v>
      </c>
      <c r="Q3927" s="2" t="str">
        <f aca="false">INDEX(Lookups!$E$2:$E$5,MATCH(P3927,Lookups!$D$2:$D$5,0))</f>
        <v>Medium</v>
      </c>
    </row>
    <row r="3928" customFormat="false" ht="15" hidden="false" customHeight="false" outlineLevel="0" collapsed="false">
      <c r="A3928" s="3" t="n">
        <v>3927</v>
      </c>
      <c r="B3928" s="3" t="n">
        <f aca="false">Raw_Data!A3928</f>
        <v>56</v>
      </c>
      <c r="C3928" s="3" t="str">
        <f aca="false">SUBSTITUTE(Raw_Data!B3928,".","")</f>
        <v>retired</v>
      </c>
      <c r="D3928" s="3" t="str">
        <f aca="false">Raw_Data!C3928</f>
        <v>married</v>
      </c>
      <c r="E3928" s="3" t="str">
        <f aca="false">Raw_Data!D3928</f>
        <v>primary</v>
      </c>
      <c r="F3928" s="3" t="str">
        <f aca="false">Raw_Data!E3928</f>
        <v>no</v>
      </c>
      <c r="G3928" s="3" t="n">
        <f aca="false">Raw_Data!F3928</f>
        <v>-1</v>
      </c>
      <c r="H3928" s="3" t="str">
        <f aca="false">Raw_Data!G3928</f>
        <v>no</v>
      </c>
      <c r="I3928" s="3" t="str">
        <f aca="false">Raw_Data!H3928</f>
        <v>no</v>
      </c>
      <c r="J3928" s="2" t="n">
        <f aca="false">IF(F3928="yes",1,0)</f>
        <v>0</v>
      </c>
      <c r="K3928" s="2" t="n">
        <f aca="false">IF(H3928="yes",1,0)</f>
        <v>0</v>
      </c>
      <c r="L3928" s="2" t="n">
        <f aca="false">IF(I3928="yes",1,0)</f>
        <v>0</v>
      </c>
      <c r="M3928" s="2" t="n">
        <f aca="false">IF(G3928&lt;0,1,0)</f>
        <v>1</v>
      </c>
      <c r="N3928" s="2" t="str">
        <f aca="false">_xlfn.IFS(B3928&lt;30,"Under 30",B3928&lt;40,"30-39",B3928&lt;50,"40-49",B3928&lt;60,"50-59",TRUE(),"60+")</f>
        <v>50-59</v>
      </c>
      <c r="O3928" s="2" t="str">
        <f aca="false">_xlfn.IFS(G3928&lt;0,"1 Negative",G3928=0,"2 Zero",G3928&lt;=500,"3 1-500",G3928&lt;=2000,"4 501-2000",TRUE(),"5 Above 2000")</f>
        <v>1 Negative</v>
      </c>
      <c r="P3928" s="2" t="n">
        <f aca="false">Lookups!$B$2*M3928+Lookups!$B$3*L3928</f>
        <v>2</v>
      </c>
      <c r="Q3928" s="2" t="str">
        <f aca="false">INDEX(Lookups!$E$2:$E$5,MATCH(P3928,Lookups!$D$2:$D$5,0))</f>
        <v>High</v>
      </c>
    </row>
    <row r="3929" customFormat="false" ht="15" hidden="false" customHeight="false" outlineLevel="0" collapsed="false">
      <c r="A3929" s="3" t="n">
        <v>3928</v>
      </c>
      <c r="B3929" s="3" t="n">
        <f aca="false">Raw_Data!A3929</f>
        <v>37</v>
      </c>
      <c r="C3929" s="3" t="str">
        <f aca="false">SUBSTITUTE(Raw_Data!B3929,".","")</f>
        <v>management</v>
      </c>
      <c r="D3929" s="3" t="str">
        <f aca="false">Raw_Data!C3929</f>
        <v>married</v>
      </c>
      <c r="E3929" s="3" t="str">
        <f aca="false">Raw_Data!D3929</f>
        <v>tertiary</v>
      </c>
      <c r="F3929" s="3" t="str">
        <f aca="false">Raw_Data!E3929</f>
        <v>no</v>
      </c>
      <c r="G3929" s="3" t="n">
        <f aca="false">Raw_Data!F3929</f>
        <v>1698</v>
      </c>
      <c r="H3929" s="3" t="str">
        <f aca="false">Raw_Data!G3929</f>
        <v>yes</v>
      </c>
      <c r="I3929" s="3" t="str">
        <f aca="false">Raw_Data!H3929</f>
        <v>no</v>
      </c>
      <c r="J3929" s="2" t="n">
        <f aca="false">IF(F3929="yes",1,0)</f>
        <v>0</v>
      </c>
      <c r="K3929" s="2" t="n">
        <f aca="false">IF(H3929="yes",1,0)</f>
        <v>1</v>
      </c>
      <c r="L3929" s="2" t="n">
        <f aca="false">IF(I3929="yes",1,0)</f>
        <v>0</v>
      </c>
      <c r="M3929" s="2" t="n">
        <f aca="false">IF(G3929&lt;0,1,0)</f>
        <v>0</v>
      </c>
      <c r="N3929" s="2" t="str">
        <f aca="false">_xlfn.IFS(B3929&lt;30,"Under 30",B3929&lt;40,"30-39",B3929&lt;50,"40-49",B3929&lt;60,"50-59",TRUE(),"60+")</f>
        <v>30-39</v>
      </c>
      <c r="O3929" s="2" t="str">
        <f aca="false">_xlfn.IFS(G3929&lt;0,"1 Negative",G3929=0,"2 Zero",G3929&lt;=500,"3 1-500",G3929&lt;=2000,"4 501-2000",TRUE(),"5 Above 2000")</f>
        <v>4 501-2000</v>
      </c>
      <c r="P3929" s="2" t="n">
        <f aca="false">Lookups!$B$2*M3929+Lookups!$B$3*L3929</f>
        <v>0</v>
      </c>
      <c r="Q3929" s="2" t="str">
        <f aca="false">INDEX(Lookups!$E$2:$E$5,MATCH(P3929,Lookups!$D$2:$D$5,0))</f>
        <v>Low</v>
      </c>
    </row>
    <row r="3930" customFormat="false" ht="15" hidden="false" customHeight="false" outlineLevel="0" collapsed="false">
      <c r="A3930" s="3" t="n">
        <v>3929</v>
      </c>
      <c r="B3930" s="3" t="n">
        <f aca="false">Raw_Data!A3930</f>
        <v>47</v>
      </c>
      <c r="C3930" s="3" t="str">
        <f aca="false">SUBSTITUTE(Raw_Data!B3930,".","")</f>
        <v>blue-collar</v>
      </c>
      <c r="D3930" s="3" t="str">
        <f aca="false">Raw_Data!C3930</f>
        <v>married</v>
      </c>
      <c r="E3930" s="3" t="str">
        <f aca="false">Raw_Data!D3930</f>
        <v>secondary</v>
      </c>
      <c r="F3930" s="3" t="str">
        <f aca="false">Raw_Data!E3930</f>
        <v>no</v>
      </c>
      <c r="G3930" s="3" t="n">
        <f aca="false">Raw_Data!F3930</f>
        <v>5306</v>
      </c>
      <c r="H3930" s="3" t="str">
        <f aca="false">Raw_Data!G3930</f>
        <v>yes</v>
      </c>
      <c r="I3930" s="3" t="str">
        <f aca="false">Raw_Data!H3930</f>
        <v>no</v>
      </c>
      <c r="J3930" s="2" t="n">
        <f aca="false">IF(F3930="yes",1,0)</f>
        <v>0</v>
      </c>
      <c r="K3930" s="2" t="n">
        <f aca="false">IF(H3930="yes",1,0)</f>
        <v>1</v>
      </c>
      <c r="L3930" s="2" t="n">
        <f aca="false">IF(I3930="yes",1,0)</f>
        <v>0</v>
      </c>
      <c r="M3930" s="2" t="n">
        <f aca="false">IF(G3930&lt;0,1,0)</f>
        <v>0</v>
      </c>
      <c r="N3930" s="2" t="str">
        <f aca="false">_xlfn.IFS(B3930&lt;30,"Under 30",B3930&lt;40,"30-39",B3930&lt;50,"40-49",B3930&lt;60,"50-59",TRUE(),"60+")</f>
        <v>40-49</v>
      </c>
      <c r="O3930" s="2" t="str">
        <f aca="false">_xlfn.IFS(G3930&lt;0,"1 Negative",G3930=0,"2 Zero",G3930&lt;=500,"3 1-500",G3930&lt;=2000,"4 501-2000",TRUE(),"5 Above 2000")</f>
        <v>5 Above 2000</v>
      </c>
      <c r="P3930" s="2" t="n">
        <f aca="false">Lookups!$B$2*M3930+Lookups!$B$3*L3930</f>
        <v>0</v>
      </c>
      <c r="Q3930" s="2" t="str">
        <f aca="false">INDEX(Lookups!$E$2:$E$5,MATCH(P3930,Lookups!$D$2:$D$5,0))</f>
        <v>Low</v>
      </c>
    </row>
    <row r="3931" customFormat="false" ht="15" hidden="false" customHeight="false" outlineLevel="0" collapsed="false">
      <c r="A3931" s="3" t="n">
        <v>3930</v>
      </c>
      <c r="B3931" s="3" t="n">
        <f aca="false">Raw_Data!A3931</f>
        <v>54</v>
      </c>
      <c r="C3931" s="3" t="str">
        <f aca="false">SUBSTITUTE(Raw_Data!B3931,".","")</f>
        <v>housemaid</v>
      </c>
      <c r="D3931" s="3" t="str">
        <f aca="false">Raw_Data!C3931</f>
        <v>married</v>
      </c>
      <c r="E3931" s="3" t="str">
        <f aca="false">Raw_Data!D3931</f>
        <v>unknown</v>
      </c>
      <c r="F3931" s="3" t="str">
        <f aca="false">Raw_Data!E3931</f>
        <v>no</v>
      </c>
      <c r="G3931" s="3" t="n">
        <f aca="false">Raw_Data!F3931</f>
        <v>0</v>
      </c>
      <c r="H3931" s="3" t="str">
        <f aca="false">Raw_Data!G3931</f>
        <v>no</v>
      </c>
      <c r="I3931" s="3" t="str">
        <f aca="false">Raw_Data!H3931</f>
        <v>no</v>
      </c>
      <c r="J3931" s="2" t="n">
        <f aca="false">IF(F3931="yes",1,0)</f>
        <v>0</v>
      </c>
      <c r="K3931" s="2" t="n">
        <f aca="false">IF(H3931="yes",1,0)</f>
        <v>0</v>
      </c>
      <c r="L3931" s="2" t="n">
        <f aca="false">IF(I3931="yes",1,0)</f>
        <v>0</v>
      </c>
      <c r="M3931" s="2" t="n">
        <f aca="false">IF(G3931&lt;0,1,0)</f>
        <v>0</v>
      </c>
      <c r="N3931" s="2" t="str">
        <f aca="false">_xlfn.IFS(B3931&lt;30,"Under 30",B3931&lt;40,"30-39",B3931&lt;50,"40-49",B3931&lt;60,"50-59",TRUE(),"60+")</f>
        <v>50-59</v>
      </c>
      <c r="O3931" s="2" t="str">
        <f aca="false">_xlfn.IFS(G3931&lt;0,"1 Negative",G3931=0,"2 Zero",G3931&lt;=500,"3 1-500",G3931&lt;=2000,"4 501-2000",TRUE(),"5 Above 2000")</f>
        <v>2 Zero</v>
      </c>
      <c r="P3931" s="2" t="n">
        <f aca="false">Lookups!$B$2*M3931+Lookups!$B$3*L3931</f>
        <v>0</v>
      </c>
      <c r="Q3931" s="2" t="str">
        <f aca="false">INDEX(Lookups!$E$2:$E$5,MATCH(P3931,Lookups!$D$2:$D$5,0))</f>
        <v>Low</v>
      </c>
    </row>
    <row r="3932" customFormat="false" ht="15" hidden="false" customHeight="false" outlineLevel="0" collapsed="false">
      <c r="A3932" s="3" t="n">
        <v>3931</v>
      </c>
      <c r="B3932" s="3" t="n">
        <f aca="false">Raw_Data!A3932</f>
        <v>51</v>
      </c>
      <c r="C3932" s="3" t="str">
        <f aca="false">SUBSTITUTE(Raw_Data!B3932,".","")</f>
        <v>retired</v>
      </c>
      <c r="D3932" s="3" t="str">
        <f aca="false">Raw_Data!C3932</f>
        <v>divorced</v>
      </c>
      <c r="E3932" s="3" t="str">
        <f aca="false">Raw_Data!D3932</f>
        <v>secondary</v>
      </c>
      <c r="F3932" s="3" t="str">
        <f aca="false">Raw_Data!E3932</f>
        <v>no</v>
      </c>
      <c r="G3932" s="3" t="n">
        <f aca="false">Raw_Data!F3932</f>
        <v>1679</v>
      </c>
      <c r="H3932" s="3" t="str">
        <f aca="false">Raw_Data!G3932</f>
        <v>no</v>
      </c>
      <c r="I3932" s="3" t="str">
        <f aca="false">Raw_Data!H3932</f>
        <v>no</v>
      </c>
      <c r="J3932" s="2" t="n">
        <f aca="false">IF(F3932="yes",1,0)</f>
        <v>0</v>
      </c>
      <c r="K3932" s="2" t="n">
        <f aca="false">IF(H3932="yes",1,0)</f>
        <v>0</v>
      </c>
      <c r="L3932" s="2" t="n">
        <f aca="false">IF(I3932="yes",1,0)</f>
        <v>0</v>
      </c>
      <c r="M3932" s="2" t="n">
        <f aca="false">IF(G3932&lt;0,1,0)</f>
        <v>0</v>
      </c>
      <c r="N3932" s="2" t="str">
        <f aca="false">_xlfn.IFS(B3932&lt;30,"Under 30",B3932&lt;40,"30-39",B3932&lt;50,"40-49",B3932&lt;60,"50-59",TRUE(),"60+")</f>
        <v>50-59</v>
      </c>
      <c r="O3932" s="2" t="str">
        <f aca="false">_xlfn.IFS(G3932&lt;0,"1 Negative",G3932=0,"2 Zero",G3932&lt;=500,"3 1-500",G3932&lt;=2000,"4 501-2000",TRUE(),"5 Above 2000")</f>
        <v>4 501-2000</v>
      </c>
      <c r="P3932" s="2" t="n">
        <f aca="false">Lookups!$B$2*M3932+Lookups!$B$3*L3932</f>
        <v>0</v>
      </c>
      <c r="Q3932" s="2" t="str">
        <f aca="false">INDEX(Lookups!$E$2:$E$5,MATCH(P3932,Lookups!$D$2:$D$5,0))</f>
        <v>Low</v>
      </c>
    </row>
    <row r="3933" customFormat="false" ht="15" hidden="false" customHeight="false" outlineLevel="0" collapsed="false">
      <c r="A3933" s="3" t="n">
        <v>3932</v>
      </c>
      <c r="B3933" s="3" t="n">
        <f aca="false">Raw_Data!A3933</f>
        <v>47</v>
      </c>
      <c r="C3933" s="3" t="str">
        <f aca="false">SUBSTITUTE(Raw_Data!B3933,".","")</f>
        <v>admin</v>
      </c>
      <c r="D3933" s="3" t="str">
        <f aca="false">Raw_Data!C3933</f>
        <v>married</v>
      </c>
      <c r="E3933" s="3" t="str">
        <f aca="false">Raw_Data!D3933</f>
        <v>secondary</v>
      </c>
      <c r="F3933" s="3" t="str">
        <f aca="false">Raw_Data!E3933</f>
        <v>no</v>
      </c>
      <c r="G3933" s="3" t="n">
        <f aca="false">Raw_Data!F3933</f>
        <v>3676</v>
      </c>
      <c r="H3933" s="3" t="str">
        <f aca="false">Raw_Data!G3933</f>
        <v>no</v>
      </c>
      <c r="I3933" s="3" t="str">
        <f aca="false">Raw_Data!H3933</f>
        <v>no</v>
      </c>
      <c r="J3933" s="2" t="n">
        <f aca="false">IF(F3933="yes",1,0)</f>
        <v>0</v>
      </c>
      <c r="K3933" s="2" t="n">
        <f aca="false">IF(H3933="yes",1,0)</f>
        <v>0</v>
      </c>
      <c r="L3933" s="2" t="n">
        <f aca="false">IF(I3933="yes",1,0)</f>
        <v>0</v>
      </c>
      <c r="M3933" s="2" t="n">
        <f aca="false">IF(G3933&lt;0,1,0)</f>
        <v>0</v>
      </c>
      <c r="N3933" s="2" t="str">
        <f aca="false">_xlfn.IFS(B3933&lt;30,"Under 30",B3933&lt;40,"30-39",B3933&lt;50,"40-49",B3933&lt;60,"50-59",TRUE(),"60+")</f>
        <v>40-49</v>
      </c>
      <c r="O3933" s="2" t="str">
        <f aca="false">_xlfn.IFS(G3933&lt;0,"1 Negative",G3933=0,"2 Zero",G3933&lt;=500,"3 1-500",G3933&lt;=2000,"4 501-2000",TRUE(),"5 Above 2000")</f>
        <v>5 Above 2000</v>
      </c>
      <c r="P3933" s="2" t="n">
        <f aca="false">Lookups!$B$2*M3933+Lookups!$B$3*L3933</f>
        <v>0</v>
      </c>
      <c r="Q3933" s="2" t="str">
        <f aca="false">INDEX(Lookups!$E$2:$E$5,MATCH(P3933,Lookups!$D$2:$D$5,0))</f>
        <v>Low</v>
      </c>
    </row>
    <row r="3934" customFormat="false" ht="15" hidden="false" customHeight="false" outlineLevel="0" collapsed="false">
      <c r="A3934" s="3" t="n">
        <v>3933</v>
      </c>
      <c r="B3934" s="3" t="n">
        <f aca="false">Raw_Data!A3934</f>
        <v>25</v>
      </c>
      <c r="C3934" s="3" t="str">
        <f aca="false">SUBSTITUTE(Raw_Data!B3934,".","")</f>
        <v>management</v>
      </c>
      <c r="D3934" s="3" t="str">
        <f aca="false">Raw_Data!C3934</f>
        <v>married</v>
      </c>
      <c r="E3934" s="3" t="str">
        <f aca="false">Raw_Data!D3934</f>
        <v>tertiary</v>
      </c>
      <c r="F3934" s="3" t="str">
        <f aca="false">Raw_Data!E3934</f>
        <v>no</v>
      </c>
      <c r="G3934" s="3" t="n">
        <f aca="false">Raw_Data!F3934</f>
        <v>-242</v>
      </c>
      <c r="H3934" s="3" t="str">
        <f aca="false">Raw_Data!G3934</f>
        <v>yes</v>
      </c>
      <c r="I3934" s="3" t="str">
        <f aca="false">Raw_Data!H3934</f>
        <v>yes</v>
      </c>
      <c r="J3934" s="2" t="n">
        <f aca="false">IF(F3934="yes",1,0)</f>
        <v>0</v>
      </c>
      <c r="K3934" s="2" t="n">
        <f aca="false">IF(H3934="yes",1,0)</f>
        <v>1</v>
      </c>
      <c r="L3934" s="2" t="n">
        <f aca="false">IF(I3934="yes",1,0)</f>
        <v>1</v>
      </c>
      <c r="M3934" s="2" t="n">
        <f aca="false">IF(G3934&lt;0,1,0)</f>
        <v>1</v>
      </c>
      <c r="N3934" s="2" t="str">
        <f aca="false">_xlfn.IFS(B3934&lt;30,"Under 30",B3934&lt;40,"30-39",B3934&lt;50,"40-49",B3934&lt;60,"50-59",TRUE(),"60+")</f>
        <v>Under 30</v>
      </c>
      <c r="O3934" s="2" t="str">
        <f aca="false">_xlfn.IFS(G3934&lt;0,"1 Negative",G3934=0,"2 Zero",G3934&lt;=500,"3 1-500",G3934&lt;=2000,"4 501-2000",TRUE(),"5 Above 2000")</f>
        <v>1 Negative</v>
      </c>
      <c r="P3934" s="2" t="n">
        <f aca="false">Lookups!$B$2*M3934+Lookups!$B$3*L3934</f>
        <v>3</v>
      </c>
      <c r="Q3934" s="2" t="str">
        <f aca="false">INDEX(Lookups!$E$2:$E$5,MATCH(P3934,Lookups!$D$2:$D$5,0))</f>
        <v>High</v>
      </c>
    </row>
    <row r="3935" customFormat="false" ht="15" hidden="false" customHeight="false" outlineLevel="0" collapsed="false">
      <c r="A3935" s="3" t="n">
        <v>3934</v>
      </c>
      <c r="B3935" s="3" t="n">
        <f aca="false">Raw_Data!A3935</f>
        <v>39</v>
      </c>
      <c r="C3935" s="3" t="str">
        <f aca="false">SUBSTITUTE(Raw_Data!B3935,".","")</f>
        <v>services</v>
      </c>
      <c r="D3935" s="3" t="str">
        <f aca="false">Raw_Data!C3935</f>
        <v>single</v>
      </c>
      <c r="E3935" s="3" t="str">
        <f aca="false">Raw_Data!D3935</f>
        <v>secondary</v>
      </c>
      <c r="F3935" s="3" t="str">
        <f aca="false">Raw_Data!E3935</f>
        <v>no</v>
      </c>
      <c r="G3935" s="3" t="n">
        <f aca="false">Raw_Data!F3935</f>
        <v>471</v>
      </c>
      <c r="H3935" s="3" t="str">
        <f aca="false">Raw_Data!G3935</f>
        <v>no</v>
      </c>
      <c r="I3935" s="3" t="str">
        <f aca="false">Raw_Data!H3935</f>
        <v>no</v>
      </c>
      <c r="J3935" s="2" t="n">
        <f aca="false">IF(F3935="yes",1,0)</f>
        <v>0</v>
      </c>
      <c r="K3935" s="2" t="n">
        <f aca="false">IF(H3935="yes",1,0)</f>
        <v>0</v>
      </c>
      <c r="L3935" s="2" t="n">
        <f aca="false">IF(I3935="yes",1,0)</f>
        <v>0</v>
      </c>
      <c r="M3935" s="2" t="n">
        <f aca="false">IF(G3935&lt;0,1,0)</f>
        <v>0</v>
      </c>
      <c r="N3935" s="2" t="str">
        <f aca="false">_xlfn.IFS(B3935&lt;30,"Under 30",B3935&lt;40,"30-39",B3935&lt;50,"40-49",B3935&lt;60,"50-59",TRUE(),"60+")</f>
        <v>30-39</v>
      </c>
      <c r="O3935" s="2" t="str">
        <f aca="false">_xlfn.IFS(G3935&lt;0,"1 Negative",G3935=0,"2 Zero",G3935&lt;=500,"3 1-500",G3935&lt;=2000,"4 501-2000",TRUE(),"5 Above 2000")</f>
        <v>3 1-500</v>
      </c>
      <c r="P3935" s="2" t="n">
        <f aca="false">Lookups!$B$2*M3935+Lookups!$B$3*L3935</f>
        <v>0</v>
      </c>
      <c r="Q3935" s="2" t="str">
        <f aca="false">INDEX(Lookups!$E$2:$E$5,MATCH(P3935,Lookups!$D$2:$D$5,0))</f>
        <v>Low</v>
      </c>
    </row>
    <row r="3936" customFormat="false" ht="15" hidden="false" customHeight="false" outlineLevel="0" collapsed="false">
      <c r="A3936" s="3" t="n">
        <v>3935</v>
      </c>
      <c r="B3936" s="3" t="n">
        <f aca="false">Raw_Data!A3936</f>
        <v>40</v>
      </c>
      <c r="C3936" s="3" t="str">
        <f aca="false">SUBSTITUTE(Raw_Data!B3936,".","")</f>
        <v>management</v>
      </c>
      <c r="D3936" s="3" t="str">
        <f aca="false">Raw_Data!C3936</f>
        <v>married</v>
      </c>
      <c r="E3936" s="3" t="str">
        <f aca="false">Raw_Data!D3936</f>
        <v>tertiary</v>
      </c>
      <c r="F3936" s="3" t="str">
        <f aca="false">Raw_Data!E3936</f>
        <v>no</v>
      </c>
      <c r="G3936" s="3" t="n">
        <f aca="false">Raw_Data!F3936</f>
        <v>8902</v>
      </c>
      <c r="H3936" s="3" t="str">
        <f aca="false">Raw_Data!G3936</f>
        <v>yes</v>
      </c>
      <c r="I3936" s="3" t="str">
        <f aca="false">Raw_Data!H3936</f>
        <v>no</v>
      </c>
      <c r="J3936" s="2" t="n">
        <f aca="false">IF(F3936="yes",1,0)</f>
        <v>0</v>
      </c>
      <c r="K3936" s="2" t="n">
        <f aca="false">IF(H3936="yes",1,0)</f>
        <v>1</v>
      </c>
      <c r="L3936" s="2" t="n">
        <f aca="false">IF(I3936="yes",1,0)</f>
        <v>0</v>
      </c>
      <c r="M3936" s="2" t="n">
        <f aca="false">IF(G3936&lt;0,1,0)</f>
        <v>0</v>
      </c>
      <c r="N3936" s="2" t="str">
        <f aca="false">_xlfn.IFS(B3936&lt;30,"Under 30",B3936&lt;40,"30-39",B3936&lt;50,"40-49",B3936&lt;60,"50-59",TRUE(),"60+")</f>
        <v>40-49</v>
      </c>
      <c r="O3936" s="2" t="str">
        <f aca="false">_xlfn.IFS(G3936&lt;0,"1 Negative",G3936=0,"2 Zero",G3936&lt;=500,"3 1-500",G3936&lt;=2000,"4 501-2000",TRUE(),"5 Above 2000")</f>
        <v>5 Above 2000</v>
      </c>
      <c r="P3936" s="2" t="n">
        <f aca="false">Lookups!$B$2*M3936+Lookups!$B$3*L3936</f>
        <v>0</v>
      </c>
      <c r="Q3936" s="2" t="str">
        <f aca="false">INDEX(Lookups!$E$2:$E$5,MATCH(P3936,Lookups!$D$2:$D$5,0))</f>
        <v>Low</v>
      </c>
    </row>
    <row r="3937" customFormat="false" ht="15" hidden="false" customHeight="false" outlineLevel="0" collapsed="false">
      <c r="A3937" s="3" t="n">
        <v>3936</v>
      </c>
      <c r="B3937" s="3" t="n">
        <f aca="false">Raw_Data!A3937</f>
        <v>38</v>
      </c>
      <c r="C3937" s="3" t="str">
        <f aca="false">SUBSTITUTE(Raw_Data!B3937,".","")</f>
        <v>management</v>
      </c>
      <c r="D3937" s="3" t="str">
        <f aca="false">Raw_Data!C3937</f>
        <v>single</v>
      </c>
      <c r="E3937" s="3" t="str">
        <f aca="false">Raw_Data!D3937</f>
        <v>tertiary</v>
      </c>
      <c r="F3937" s="3" t="str">
        <f aca="false">Raw_Data!E3937</f>
        <v>no</v>
      </c>
      <c r="G3937" s="3" t="n">
        <f aca="false">Raw_Data!F3937</f>
        <v>1704</v>
      </c>
      <c r="H3937" s="3" t="str">
        <f aca="false">Raw_Data!G3937</f>
        <v>no</v>
      </c>
      <c r="I3937" s="3" t="str">
        <f aca="false">Raw_Data!H3937</f>
        <v>no</v>
      </c>
      <c r="J3937" s="2" t="n">
        <f aca="false">IF(F3937="yes",1,0)</f>
        <v>0</v>
      </c>
      <c r="K3937" s="2" t="n">
        <f aca="false">IF(H3937="yes",1,0)</f>
        <v>0</v>
      </c>
      <c r="L3937" s="2" t="n">
        <f aca="false">IF(I3937="yes",1,0)</f>
        <v>0</v>
      </c>
      <c r="M3937" s="2" t="n">
        <f aca="false">IF(G3937&lt;0,1,0)</f>
        <v>0</v>
      </c>
      <c r="N3937" s="2" t="str">
        <f aca="false">_xlfn.IFS(B3937&lt;30,"Under 30",B3937&lt;40,"30-39",B3937&lt;50,"40-49",B3937&lt;60,"50-59",TRUE(),"60+")</f>
        <v>30-39</v>
      </c>
      <c r="O3937" s="2" t="str">
        <f aca="false">_xlfn.IFS(G3937&lt;0,"1 Negative",G3937=0,"2 Zero",G3937&lt;=500,"3 1-500",G3937&lt;=2000,"4 501-2000",TRUE(),"5 Above 2000")</f>
        <v>4 501-2000</v>
      </c>
      <c r="P3937" s="2" t="n">
        <f aca="false">Lookups!$B$2*M3937+Lookups!$B$3*L3937</f>
        <v>0</v>
      </c>
      <c r="Q3937" s="2" t="str">
        <f aca="false">INDEX(Lookups!$E$2:$E$5,MATCH(P3937,Lookups!$D$2:$D$5,0))</f>
        <v>Low</v>
      </c>
    </row>
    <row r="3938" customFormat="false" ht="15" hidden="false" customHeight="false" outlineLevel="0" collapsed="false">
      <c r="A3938" s="3" t="n">
        <v>3937</v>
      </c>
      <c r="B3938" s="3" t="n">
        <f aca="false">Raw_Data!A3938</f>
        <v>34</v>
      </c>
      <c r="C3938" s="3" t="str">
        <f aca="false">SUBSTITUTE(Raw_Data!B3938,".","")</f>
        <v>management</v>
      </c>
      <c r="D3938" s="3" t="str">
        <f aca="false">Raw_Data!C3938</f>
        <v>married</v>
      </c>
      <c r="E3938" s="3" t="str">
        <f aca="false">Raw_Data!D3938</f>
        <v>tertiary</v>
      </c>
      <c r="F3938" s="3" t="str">
        <f aca="false">Raw_Data!E3938</f>
        <v>no</v>
      </c>
      <c r="G3938" s="3" t="n">
        <f aca="false">Raw_Data!F3938</f>
        <v>3050</v>
      </c>
      <c r="H3938" s="3" t="str">
        <f aca="false">Raw_Data!G3938</f>
        <v>yes</v>
      </c>
      <c r="I3938" s="3" t="str">
        <f aca="false">Raw_Data!H3938</f>
        <v>no</v>
      </c>
      <c r="J3938" s="2" t="n">
        <f aca="false">IF(F3938="yes",1,0)</f>
        <v>0</v>
      </c>
      <c r="K3938" s="2" t="n">
        <f aca="false">IF(H3938="yes",1,0)</f>
        <v>1</v>
      </c>
      <c r="L3938" s="2" t="n">
        <f aca="false">IF(I3938="yes",1,0)</f>
        <v>0</v>
      </c>
      <c r="M3938" s="2" t="n">
        <f aca="false">IF(G3938&lt;0,1,0)</f>
        <v>0</v>
      </c>
      <c r="N3938" s="2" t="str">
        <f aca="false">_xlfn.IFS(B3938&lt;30,"Under 30",B3938&lt;40,"30-39",B3938&lt;50,"40-49",B3938&lt;60,"50-59",TRUE(),"60+")</f>
        <v>30-39</v>
      </c>
      <c r="O3938" s="2" t="str">
        <f aca="false">_xlfn.IFS(G3938&lt;0,"1 Negative",G3938=0,"2 Zero",G3938&lt;=500,"3 1-500",G3938&lt;=2000,"4 501-2000",TRUE(),"5 Above 2000")</f>
        <v>5 Above 2000</v>
      </c>
      <c r="P3938" s="2" t="n">
        <f aca="false">Lookups!$B$2*M3938+Lookups!$B$3*L3938</f>
        <v>0</v>
      </c>
      <c r="Q3938" s="2" t="str">
        <f aca="false">INDEX(Lookups!$E$2:$E$5,MATCH(P3938,Lookups!$D$2:$D$5,0))</f>
        <v>Low</v>
      </c>
    </row>
    <row r="3939" customFormat="false" ht="15" hidden="false" customHeight="false" outlineLevel="0" collapsed="false">
      <c r="A3939" s="3" t="n">
        <v>3938</v>
      </c>
      <c r="B3939" s="3" t="n">
        <f aca="false">Raw_Data!A3939</f>
        <v>53</v>
      </c>
      <c r="C3939" s="3" t="str">
        <f aca="false">SUBSTITUTE(Raw_Data!B3939,".","")</f>
        <v>housemaid</v>
      </c>
      <c r="D3939" s="3" t="str">
        <f aca="false">Raw_Data!C3939</f>
        <v>married</v>
      </c>
      <c r="E3939" s="3" t="str">
        <f aca="false">Raw_Data!D3939</f>
        <v>primary</v>
      </c>
      <c r="F3939" s="3" t="str">
        <f aca="false">Raw_Data!E3939</f>
        <v>no</v>
      </c>
      <c r="G3939" s="3" t="n">
        <f aca="false">Raw_Data!F3939</f>
        <v>2581</v>
      </c>
      <c r="H3939" s="3" t="str">
        <f aca="false">Raw_Data!G3939</f>
        <v>no</v>
      </c>
      <c r="I3939" s="3" t="str">
        <f aca="false">Raw_Data!H3939</f>
        <v>no</v>
      </c>
      <c r="J3939" s="2" t="n">
        <f aca="false">IF(F3939="yes",1,0)</f>
        <v>0</v>
      </c>
      <c r="K3939" s="2" t="n">
        <f aca="false">IF(H3939="yes",1,0)</f>
        <v>0</v>
      </c>
      <c r="L3939" s="2" t="n">
        <f aca="false">IF(I3939="yes",1,0)</f>
        <v>0</v>
      </c>
      <c r="M3939" s="2" t="n">
        <f aca="false">IF(G3939&lt;0,1,0)</f>
        <v>0</v>
      </c>
      <c r="N3939" s="2" t="str">
        <f aca="false">_xlfn.IFS(B3939&lt;30,"Under 30",B3939&lt;40,"30-39",B3939&lt;50,"40-49",B3939&lt;60,"50-59",TRUE(),"60+")</f>
        <v>50-59</v>
      </c>
      <c r="O3939" s="2" t="str">
        <f aca="false">_xlfn.IFS(G3939&lt;0,"1 Negative",G3939=0,"2 Zero",G3939&lt;=500,"3 1-500",G3939&lt;=2000,"4 501-2000",TRUE(),"5 Above 2000")</f>
        <v>5 Above 2000</v>
      </c>
      <c r="P3939" s="2" t="n">
        <f aca="false">Lookups!$B$2*M3939+Lookups!$B$3*L3939</f>
        <v>0</v>
      </c>
      <c r="Q3939" s="2" t="str">
        <f aca="false">INDEX(Lookups!$E$2:$E$5,MATCH(P3939,Lookups!$D$2:$D$5,0))</f>
        <v>Low</v>
      </c>
    </row>
    <row r="3940" customFormat="false" ht="15" hidden="false" customHeight="false" outlineLevel="0" collapsed="false">
      <c r="A3940" s="3" t="n">
        <v>3939</v>
      </c>
      <c r="B3940" s="3" t="n">
        <f aca="false">Raw_Data!A3940</f>
        <v>32</v>
      </c>
      <c r="C3940" s="3" t="str">
        <f aca="false">SUBSTITUTE(Raw_Data!B3940,".","")</f>
        <v>services</v>
      </c>
      <c r="D3940" s="3" t="str">
        <f aca="false">Raw_Data!C3940</f>
        <v>married</v>
      </c>
      <c r="E3940" s="3" t="str">
        <f aca="false">Raw_Data!D3940</f>
        <v>secondary</v>
      </c>
      <c r="F3940" s="3" t="str">
        <f aca="false">Raw_Data!E3940</f>
        <v>no</v>
      </c>
      <c r="G3940" s="3" t="n">
        <f aca="false">Raw_Data!F3940</f>
        <v>162</v>
      </c>
      <c r="H3940" s="3" t="str">
        <f aca="false">Raw_Data!G3940</f>
        <v>yes</v>
      </c>
      <c r="I3940" s="3" t="str">
        <f aca="false">Raw_Data!H3940</f>
        <v>no</v>
      </c>
      <c r="J3940" s="2" t="n">
        <f aca="false">IF(F3940="yes",1,0)</f>
        <v>0</v>
      </c>
      <c r="K3940" s="2" t="n">
        <f aca="false">IF(H3940="yes",1,0)</f>
        <v>1</v>
      </c>
      <c r="L3940" s="2" t="n">
        <f aca="false">IF(I3940="yes",1,0)</f>
        <v>0</v>
      </c>
      <c r="M3940" s="2" t="n">
        <f aca="false">IF(G3940&lt;0,1,0)</f>
        <v>0</v>
      </c>
      <c r="N3940" s="2" t="str">
        <f aca="false">_xlfn.IFS(B3940&lt;30,"Under 30",B3940&lt;40,"30-39",B3940&lt;50,"40-49",B3940&lt;60,"50-59",TRUE(),"60+")</f>
        <v>30-39</v>
      </c>
      <c r="O3940" s="2" t="str">
        <f aca="false">_xlfn.IFS(G3940&lt;0,"1 Negative",G3940=0,"2 Zero",G3940&lt;=500,"3 1-500",G3940&lt;=2000,"4 501-2000",TRUE(),"5 Above 2000")</f>
        <v>3 1-500</v>
      </c>
      <c r="P3940" s="2" t="n">
        <f aca="false">Lookups!$B$2*M3940+Lookups!$B$3*L3940</f>
        <v>0</v>
      </c>
      <c r="Q3940" s="2" t="str">
        <f aca="false">INDEX(Lookups!$E$2:$E$5,MATCH(P3940,Lookups!$D$2:$D$5,0))</f>
        <v>Low</v>
      </c>
    </row>
    <row r="3941" customFormat="false" ht="15" hidden="false" customHeight="false" outlineLevel="0" collapsed="false">
      <c r="A3941" s="3" t="n">
        <v>3940</v>
      </c>
      <c r="B3941" s="3" t="n">
        <f aca="false">Raw_Data!A3941</f>
        <v>35</v>
      </c>
      <c r="C3941" s="3" t="str">
        <f aca="false">SUBSTITUTE(Raw_Data!B3941,".","")</f>
        <v>blue-collar</v>
      </c>
      <c r="D3941" s="3" t="str">
        <f aca="false">Raw_Data!C3941</f>
        <v>married</v>
      </c>
      <c r="E3941" s="3" t="str">
        <f aca="false">Raw_Data!D3941</f>
        <v>secondary</v>
      </c>
      <c r="F3941" s="3" t="str">
        <f aca="false">Raw_Data!E3941</f>
        <v>no</v>
      </c>
      <c r="G3941" s="3" t="n">
        <f aca="false">Raw_Data!F3941</f>
        <v>243</v>
      </c>
      <c r="H3941" s="3" t="str">
        <f aca="false">Raw_Data!G3941</f>
        <v>yes</v>
      </c>
      <c r="I3941" s="3" t="str">
        <f aca="false">Raw_Data!H3941</f>
        <v>no</v>
      </c>
      <c r="J3941" s="2" t="n">
        <f aca="false">IF(F3941="yes",1,0)</f>
        <v>0</v>
      </c>
      <c r="K3941" s="2" t="n">
        <f aca="false">IF(H3941="yes",1,0)</f>
        <v>1</v>
      </c>
      <c r="L3941" s="2" t="n">
        <f aca="false">IF(I3941="yes",1,0)</f>
        <v>0</v>
      </c>
      <c r="M3941" s="2" t="n">
        <f aca="false">IF(G3941&lt;0,1,0)</f>
        <v>0</v>
      </c>
      <c r="N3941" s="2" t="str">
        <f aca="false">_xlfn.IFS(B3941&lt;30,"Under 30",B3941&lt;40,"30-39",B3941&lt;50,"40-49",B3941&lt;60,"50-59",TRUE(),"60+")</f>
        <v>30-39</v>
      </c>
      <c r="O3941" s="2" t="str">
        <f aca="false">_xlfn.IFS(G3941&lt;0,"1 Negative",G3941=0,"2 Zero",G3941&lt;=500,"3 1-500",G3941&lt;=2000,"4 501-2000",TRUE(),"5 Above 2000")</f>
        <v>3 1-500</v>
      </c>
      <c r="P3941" s="2" t="n">
        <f aca="false">Lookups!$B$2*M3941+Lookups!$B$3*L3941</f>
        <v>0</v>
      </c>
      <c r="Q3941" s="2" t="str">
        <f aca="false">INDEX(Lookups!$E$2:$E$5,MATCH(P3941,Lookups!$D$2:$D$5,0))</f>
        <v>Low</v>
      </c>
    </row>
    <row r="3942" customFormat="false" ht="15" hidden="false" customHeight="false" outlineLevel="0" collapsed="false">
      <c r="A3942" s="3" t="n">
        <v>3941</v>
      </c>
      <c r="B3942" s="3" t="n">
        <f aca="false">Raw_Data!A3942</f>
        <v>24</v>
      </c>
      <c r="C3942" s="3" t="str">
        <f aca="false">SUBSTITUTE(Raw_Data!B3942,".","")</f>
        <v>student</v>
      </c>
      <c r="D3942" s="3" t="str">
        <f aca="false">Raw_Data!C3942</f>
        <v>single</v>
      </c>
      <c r="E3942" s="3" t="str">
        <f aca="false">Raw_Data!D3942</f>
        <v>secondary</v>
      </c>
      <c r="F3942" s="3" t="str">
        <f aca="false">Raw_Data!E3942</f>
        <v>no</v>
      </c>
      <c r="G3942" s="3" t="n">
        <f aca="false">Raw_Data!F3942</f>
        <v>1847</v>
      </c>
      <c r="H3942" s="3" t="str">
        <f aca="false">Raw_Data!G3942</f>
        <v>no</v>
      </c>
      <c r="I3942" s="3" t="str">
        <f aca="false">Raw_Data!H3942</f>
        <v>no</v>
      </c>
      <c r="J3942" s="2" t="n">
        <f aca="false">IF(F3942="yes",1,0)</f>
        <v>0</v>
      </c>
      <c r="K3942" s="2" t="n">
        <f aca="false">IF(H3942="yes",1,0)</f>
        <v>0</v>
      </c>
      <c r="L3942" s="2" t="n">
        <f aca="false">IF(I3942="yes",1,0)</f>
        <v>0</v>
      </c>
      <c r="M3942" s="2" t="n">
        <f aca="false">IF(G3942&lt;0,1,0)</f>
        <v>0</v>
      </c>
      <c r="N3942" s="2" t="str">
        <f aca="false">_xlfn.IFS(B3942&lt;30,"Under 30",B3942&lt;40,"30-39",B3942&lt;50,"40-49",B3942&lt;60,"50-59",TRUE(),"60+")</f>
        <v>Under 30</v>
      </c>
      <c r="O3942" s="2" t="str">
        <f aca="false">_xlfn.IFS(G3942&lt;0,"1 Negative",G3942=0,"2 Zero",G3942&lt;=500,"3 1-500",G3942&lt;=2000,"4 501-2000",TRUE(),"5 Above 2000")</f>
        <v>4 501-2000</v>
      </c>
      <c r="P3942" s="2" t="n">
        <f aca="false">Lookups!$B$2*M3942+Lookups!$B$3*L3942</f>
        <v>0</v>
      </c>
      <c r="Q3942" s="2" t="str">
        <f aca="false">INDEX(Lookups!$E$2:$E$5,MATCH(P3942,Lookups!$D$2:$D$5,0))</f>
        <v>Low</v>
      </c>
    </row>
    <row r="3943" customFormat="false" ht="15" hidden="false" customHeight="false" outlineLevel="0" collapsed="false">
      <c r="A3943" s="3" t="n">
        <v>3942</v>
      </c>
      <c r="B3943" s="3" t="n">
        <f aca="false">Raw_Data!A3943</f>
        <v>58</v>
      </c>
      <c r="C3943" s="3" t="str">
        <f aca="false">SUBSTITUTE(Raw_Data!B3943,".","")</f>
        <v>blue-collar</v>
      </c>
      <c r="D3943" s="3" t="str">
        <f aca="false">Raw_Data!C3943</f>
        <v>married</v>
      </c>
      <c r="E3943" s="3" t="str">
        <f aca="false">Raw_Data!D3943</f>
        <v>primary</v>
      </c>
      <c r="F3943" s="3" t="str">
        <f aca="false">Raw_Data!E3943</f>
        <v>no</v>
      </c>
      <c r="G3943" s="3" t="n">
        <f aca="false">Raw_Data!F3943</f>
        <v>0</v>
      </c>
      <c r="H3943" s="3" t="str">
        <f aca="false">Raw_Data!G3943</f>
        <v>yes</v>
      </c>
      <c r="I3943" s="3" t="str">
        <f aca="false">Raw_Data!H3943</f>
        <v>no</v>
      </c>
      <c r="J3943" s="2" t="n">
        <f aca="false">IF(F3943="yes",1,0)</f>
        <v>0</v>
      </c>
      <c r="K3943" s="2" t="n">
        <f aca="false">IF(H3943="yes",1,0)</f>
        <v>1</v>
      </c>
      <c r="L3943" s="2" t="n">
        <f aca="false">IF(I3943="yes",1,0)</f>
        <v>0</v>
      </c>
      <c r="M3943" s="2" t="n">
        <f aca="false">IF(G3943&lt;0,1,0)</f>
        <v>0</v>
      </c>
      <c r="N3943" s="2" t="str">
        <f aca="false">_xlfn.IFS(B3943&lt;30,"Under 30",B3943&lt;40,"30-39",B3943&lt;50,"40-49",B3943&lt;60,"50-59",TRUE(),"60+")</f>
        <v>50-59</v>
      </c>
      <c r="O3943" s="2" t="str">
        <f aca="false">_xlfn.IFS(G3943&lt;0,"1 Negative",G3943=0,"2 Zero",G3943&lt;=500,"3 1-500",G3943&lt;=2000,"4 501-2000",TRUE(),"5 Above 2000")</f>
        <v>2 Zero</v>
      </c>
      <c r="P3943" s="2" t="n">
        <f aca="false">Lookups!$B$2*M3943+Lookups!$B$3*L3943</f>
        <v>0</v>
      </c>
      <c r="Q3943" s="2" t="str">
        <f aca="false">INDEX(Lookups!$E$2:$E$5,MATCH(P3943,Lookups!$D$2:$D$5,0))</f>
        <v>Low</v>
      </c>
    </row>
    <row r="3944" customFormat="false" ht="15" hidden="false" customHeight="false" outlineLevel="0" collapsed="false">
      <c r="A3944" s="3" t="n">
        <v>3943</v>
      </c>
      <c r="B3944" s="3" t="n">
        <f aca="false">Raw_Data!A3944</f>
        <v>49</v>
      </c>
      <c r="C3944" s="3" t="str">
        <f aca="false">SUBSTITUTE(Raw_Data!B3944,".","")</f>
        <v>management</v>
      </c>
      <c r="D3944" s="3" t="str">
        <f aca="false">Raw_Data!C3944</f>
        <v>married</v>
      </c>
      <c r="E3944" s="3" t="str">
        <f aca="false">Raw_Data!D3944</f>
        <v>primary</v>
      </c>
      <c r="F3944" s="3" t="str">
        <f aca="false">Raw_Data!E3944</f>
        <v>no</v>
      </c>
      <c r="G3944" s="3" t="n">
        <f aca="false">Raw_Data!F3944</f>
        <v>3371</v>
      </c>
      <c r="H3944" s="3" t="str">
        <f aca="false">Raw_Data!G3944</f>
        <v>no</v>
      </c>
      <c r="I3944" s="3" t="str">
        <f aca="false">Raw_Data!H3944</f>
        <v>no</v>
      </c>
      <c r="J3944" s="2" t="n">
        <f aca="false">IF(F3944="yes",1,0)</f>
        <v>0</v>
      </c>
      <c r="K3944" s="2" t="n">
        <f aca="false">IF(H3944="yes",1,0)</f>
        <v>0</v>
      </c>
      <c r="L3944" s="2" t="n">
        <f aca="false">IF(I3944="yes",1,0)</f>
        <v>0</v>
      </c>
      <c r="M3944" s="2" t="n">
        <f aca="false">IF(G3944&lt;0,1,0)</f>
        <v>0</v>
      </c>
      <c r="N3944" s="2" t="str">
        <f aca="false">_xlfn.IFS(B3944&lt;30,"Under 30",B3944&lt;40,"30-39",B3944&lt;50,"40-49",B3944&lt;60,"50-59",TRUE(),"60+")</f>
        <v>40-49</v>
      </c>
      <c r="O3944" s="2" t="str">
        <f aca="false">_xlfn.IFS(G3944&lt;0,"1 Negative",G3944=0,"2 Zero",G3944&lt;=500,"3 1-500",G3944&lt;=2000,"4 501-2000",TRUE(),"5 Above 2000")</f>
        <v>5 Above 2000</v>
      </c>
      <c r="P3944" s="2" t="n">
        <f aca="false">Lookups!$B$2*M3944+Lookups!$B$3*L3944</f>
        <v>0</v>
      </c>
      <c r="Q3944" s="2" t="str">
        <f aca="false">INDEX(Lookups!$E$2:$E$5,MATCH(P3944,Lookups!$D$2:$D$5,0))</f>
        <v>Low</v>
      </c>
    </row>
    <row r="3945" customFormat="false" ht="15" hidden="false" customHeight="false" outlineLevel="0" collapsed="false">
      <c r="A3945" s="3" t="n">
        <v>3944</v>
      </c>
      <c r="B3945" s="3" t="n">
        <f aca="false">Raw_Data!A3945</f>
        <v>45</v>
      </c>
      <c r="C3945" s="3" t="str">
        <f aca="false">SUBSTITUTE(Raw_Data!B3945,".","")</f>
        <v>services</v>
      </c>
      <c r="D3945" s="3" t="str">
        <f aca="false">Raw_Data!C3945</f>
        <v>single</v>
      </c>
      <c r="E3945" s="3" t="str">
        <f aca="false">Raw_Data!D3945</f>
        <v>secondary</v>
      </c>
      <c r="F3945" s="3" t="str">
        <f aca="false">Raw_Data!E3945</f>
        <v>no</v>
      </c>
      <c r="G3945" s="3" t="n">
        <f aca="false">Raw_Data!F3945</f>
        <v>1757</v>
      </c>
      <c r="H3945" s="3" t="str">
        <f aca="false">Raw_Data!G3945</f>
        <v>yes</v>
      </c>
      <c r="I3945" s="3" t="str">
        <f aca="false">Raw_Data!H3945</f>
        <v>no</v>
      </c>
      <c r="J3945" s="2" t="n">
        <f aca="false">IF(F3945="yes",1,0)</f>
        <v>0</v>
      </c>
      <c r="K3945" s="2" t="n">
        <f aca="false">IF(H3945="yes",1,0)</f>
        <v>1</v>
      </c>
      <c r="L3945" s="2" t="n">
        <f aca="false">IF(I3945="yes",1,0)</f>
        <v>0</v>
      </c>
      <c r="M3945" s="2" t="n">
        <f aca="false">IF(G3945&lt;0,1,0)</f>
        <v>0</v>
      </c>
      <c r="N3945" s="2" t="str">
        <f aca="false">_xlfn.IFS(B3945&lt;30,"Under 30",B3945&lt;40,"30-39",B3945&lt;50,"40-49",B3945&lt;60,"50-59",TRUE(),"60+")</f>
        <v>40-49</v>
      </c>
      <c r="O3945" s="2" t="str">
        <f aca="false">_xlfn.IFS(G3945&lt;0,"1 Negative",G3945=0,"2 Zero",G3945&lt;=500,"3 1-500",G3945&lt;=2000,"4 501-2000",TRUE(),"5 Above 2000")</f>
        <v>4 501-2000</v>
      </c>
      <c r="P3945" s="2" t="n">
        <f aca="false">Lookups!$B$2*M3945+Lookups!$B$3*L3945</f>
        <v>0</v>
      </c>
      <c r="Q3945" s="2" t="str">
        <f aca="false">INDEX(Lookups!$E$2:$E$5,MATCH(P3945,Lookups!$D$2:$D$5,0))</f>
        <v>Low</v>
      </c>
    </row>
    <row r="3946" customFormat="false" ht="15" hidden="false" customHeight="false" outlineLevel="0" collapsed="false">
      <c r="A3946" s="3" t="n">
        <v>3945</v>
      </c>
      <c r="B3946" s="3" t="n">
        <f aca="false">Raw_Data!A3946</f>
        <v>55</v>
      </c>
      <c r="C3946" s="3" t="str">
        <f aca="false">SUBSTITUTE(Raw_Data!B3946,".","")</f>
        <v>management</v>
      </c>
      <c r="D3946" s="3" t="str">
        <f aca="false">Raw_Data!C3946</f>
        <v>married</v>
      </c>
      <c r="E3946" s="3" t="str">
        <f aca="false">Raw_Data!D3946</f>
        <v>tertiary</v>
      </c>
      <c r="F3946" s="3" t="str">
        <f aca="false">Raw_Data!E3946</f>
        <v>no</v>
      </c>
      <c r="G3946" s="3" t="n">
        <f aca="false">Raw_Data!F3946</f>
        <v>171</v>
      </c>
      <c r="H3946" s="3" t="str">
        <f aca="false">Raw_Data!G3946</f>
        <v>yes</v>
      </c>
      <c r="I3946" s="3" t="str">
        <f aca="false">Raw_Data!H3946</f>
        <v>no</v>
      </c>
      <c r="J3946" s="2" t="n">
        <f aca="false">IF(F3946="yes",1,0)</f>
        <v>0</v>
      </c>
      <c r="K3946" s="2" t="n">
        <f aca="false">IF(H3946="yes",1,0)</f>
        <v>1</v>
      </c>
      <c r="L3946" s="2" t="n">
        <f aca="false">IF(I3946="yes",1,0)</f>
        <v>0</v>
      </c>
      <c r="M3946" s="2" t="n">
        <f aca="false">IF(G3946&lt;0,1,0)</f>
        <v>0</v>
      </c>
      <c r="N3946" s="2" t="str">
        <f aca="false">_xlfn.IFS(B3946&lt;30,"Under 30",B3946&lt;40,"30-39",B3946&lt;50,"40-49",B3946&lt;60,"50-59",TRUE(),"60+")</f>
        <v>50-59</v>
      </c>
      <c r="O3946" s="2" t="str">
        <f aca="false">_xlfn.IFS(G3946&lt;0,"1 Negative",G3946=0,"2 Zero",G3946&lt;=500,"3 1-500",G3946&lt;=2000,"4 501-2000",TRUE(),"5 Above 2000")</f>
        <v>3 1-500</v>
      </c>
      <c r="P3946" s="2" t="n">
        <f aca="false">Lookups!$B$2*M3946+Lookups!$B$3*L3946</f>
        <v>0</v>
      </c>
      <c r="Q3946" s="2" t="str">
        <f aca="false">INDEX(Lookups!$E$2:$E$5,MATCH(P3946,Lookups!$D$2:$D$5,0))</f>
        <v>Low</v>
      </c>
    </row>
    <row r="3947" customFormat="false" ht="15" hidden="false" customHeight="false" outlineLevel="0" collapsed="false">
      <c r="A3947" s="3" t="n">
        <v>3946</v>
      </c>
      <c r="B3947" s="3" t="n">
        <f aca="false">Raw_Data!A3947</f>
        <v>42</v>
      </c>
      <c r="C3947" s="3" t="str">
        <f aca="false">SUBSTITUTE(Raw_Data!B3947,".","")</f>
        <v>entrepreneur</v>
      </c>
      <c r="D3947" s="3" t="str">
        <f aca="false">Raw_Data!C3947</f>
        <v>married</v>
      </c>
      <c r="E3947" s="3" t="str">
        <f aca="false">Raw_Data!D3947</f>
        <v>tertiary</v>
      </c>
      <c r="F3947" s="3" t="str">
        <f aca="false">Raw_Data!E3947</f>
        <v>no</v>
      </c>
      <c r="G3947" s="3" t="n">
        <f aca="false">Raw_Data!F3947</f>
        <v>157</v>
      </c>
      <c r="H3947" s="3" t="str">
        <f aca="false">Raw_Data!G3947</f>
        <v>yes</v>
      </c>
      <c r="I3947" s="3" t="str">
        <f aca="false">Raw_Data!H3947</f>
        <v>yes</v>
      </c>
      <c r="J3947" s="2" t="n">
        <f aca="false">IF(F3947="yes",1,0)</f>
        <v>0</v>
      </c>
      <c r="K3947" s="2" t="n">
        <f aca="false">IF(H3947="yes",1,0)</f>
        <v>1</v>
      </c>
      <c r="L3947" s="2" t="n">
        <f aca="false">IF(I3947="yes",1,0)</f>
        <v>1</v>
      </c>
      <c r="M3947" s="2" t="n">
        <f aca="false">IF(G3947&lt;0,1,0)</f>
        <v>0</v>
      </c>
      <c r="N3947" s="2" t="str">
        <f aca="false">_xlfn.IFS(B3947&lt;30,"Under 30",B3947&lt;40,"30-39",B3947&lt;50,"40-49",B3947&lt;60,"50-59",TRUE(),"60+")</f>
        <v>40-49</v>
      </c>
      <c r="O3947" s="2" t="str">
        <f aca="false">_xlfn.IFS(G3947&lt;0,"1 Negative",G3947=0,"2 Zero",G3947&lt;=500,"3 1-500",G3947&lt;=2000,"4 501-2000",TRUE(),"5 Above 2000")</f>
        <v>3 1-500</v>
      </c>
      <c r="P3947" s="2" t="n">
        <f aca="false">Lookups!$B$2*M3947+Lookups!$B$3*L3947</f>
        <v>1</v>
      </c>
      <c r="Q3947" s="2" t="str">
        <f aca="false">INDEX(Lookups!$E$2:$E$5,MATCH(P3947,Lookups!$D$2:$D$5,0))</f>
        <v>Medium</v>
      </c>
    </row>
    <row r="3948" customFormat="false" ht="15" hidden="false" customHeight="false" outlineLevel="0" collapsed="false">
      <c r="A3948" s="3" t="n">
        <v>3947</v>
      </c>
      <c r="B3948" s="3" t="n">
        <f aca="false">Raw_Data!A3948</f>
        <v>28</v>
      </c>
      <c r="C3948" s="3" t="str">
        <f aca="false">SUBSTITUTE(Raw_Data!B3948,".","")</f>
        <v>admin</v>
      </c>
      <c r="D3948" s="3" t="str">
        <f aca="false">Raw_Data!C3948</f>
        <v>married</v>
      </c>
      <c r="E3948" s="3" t="str">
        <f aca="false">Raw_Data!D3948</f>
        <v>secondary</v>
      </c>
      <c r="F3948" s="3" t="str">
        <f aca="false">Raw_Data!E3948</f>
        <v>no</v>
      </c>
      <c r="G3948" s="3" t="n">
        <f aca="false">Raw_Data!F3948</f>
        <v>934</v>
      </c>
      <c r="H3948" s="3" t="str">
        <f aca="false">Raw_Data!G3948</f>
        <v>yes</v>
      </c>
      <c r="I3948" s="3" t="str">
        <f aca="false">Raw_Data!H3948</f>
        <v>no</v>
      </c>
      <c r="J3948" s="2" t="n">
        <f aca="false">IF(F3948="yes",1,0)</f>
        <v>0</v>
      </c>
      <c r="K3948" s="2" t="n">
        <f aca="false">IF(H3948="yes",1,0)</f>
        <v>1</v>
      </c>
      <c r="L3948" s="2" t="n">
        <f aca="false">IF(I3948="yes",1,0)</f>
        <v>0</v>
      </c>
      <c r="M3948" s="2" t="n">
        <f aca="false">IF(G3948&lt;0,1,0)</f>
        <v>0</v>
      </c>
      <c r="N3948" s="2" t="str">
        <f aca="false">_xlfn.IFS(B3948&lt;30,"Under 30",B3948&lt;40,"30-39",B3948&lt;50,"40-49",B3948&lt;60,"50-59",TRUE(),"60+")</f>
        <v>Under 30</v>
      </c>
      <c r="O3948" s="2" t="str">
        <f aca="false">_xlfn.IFS(G3948&lt;0,"1 Negative",G3948=0,"2 Zero",G3948&lt;=500,"3 1-500",G3948&lt;=2000,"4 501-2000",TRUE(),"5 Above 2000")</f>
        <v>4 501-2000</v>
      </c>
      <c r="P3948" s="2" t="n">
        <f aca="false">Lookups!$B$2*M3948+Lookups!$B$3*L3948</f>
        <v>0</v>
      </c>
      <c r="Q3948" s="2" t="str">
        <f aca="false">INDEX(Lookups!$E$2:$E$5,MATCH(P3948,Lookups!$D$2:$D$5,0))</f>
        <v>Low</v>
      </c>
    </row>
    <row r="3949" customFormat="false" ht="15" hidden="false" customHeight="false" outlineLevel="0" collapsed="false">
      <c r="A3949" s="3" t="n">
        <v>3948</v>
      </c>
      <c r="B3949" s="3" t="n">
        <f aca="false">Raw_Data!A3949</f>
        <v>48</v>
      </c>
      <c r="C3949" s="3" t="str">
        <f aca="false">SUBSTITUTE(Raw_Data!B3949,".","")</f>
        <v>blue-collar</v>
      </c>
      <c r="D3949" s="3" t="str">
        <f aca="false">Raw_Data!C3949</f>
        <v>married</v>
      </c>
      <c r="E3949" s="3" t="str">
        <f aca="false">Raw_Data!D3949</f>
        <v>secondary</v>
      </c>
      <c r="F3949" s="3" t="str">
        <f aca="false">Raw_Data!E3949</f>
        <v>no</v>
      </c>
      <c r="G3949" s="3" t="n">
        <f aca="false">Raw_Data!F3949</f>
        <v>-19</v>
      </c>
      <c r="H3949" s="3" t="str">
        <f aca="false">Raw_Data!G3949</f>
        <v>no</v>
      </c>
      <c r="I3949" s="3" t="str">
        <f aca="false">Raw_Data!H3949</f>
        <v>yes</v>
      </c>
      <c r="J3949" s="2" t="n">
        <f aca="false">IF(F3949="yes",1,0)</f>
        <v>0</v>
      </c>
      <c r="K3949" s="2" t="n">
        <f aca="false">IF(H3949="yes",1,0)</f>
        <v>0</v>
      </c>
      <c r="L3949" s="2" t="n">
        <f aca="false">IF(I3949="yes",1,0)</f>
        <v>1</v>
      </c>
      <c r="M3949" s="2" t="n">
        <f aca="false">IF(G3949&lt;0,1,0)</f>
        <v>1</v>
      </c>
      <c r="N3949" s="2" t="str">
        <f aca="false">_xlfn.IFS(B3949&lt;30,"Under 30",B3949&lt;40,"30-39",B3949&lt;50,"40-49",B3949&lt;60,"50-59",TRUE(),"60+")</f>
        <v>40-49</v>
      </c>
      <c r="O3949" s="2" t="str">
        <f aca="false">_xlfn.IFS(G3949&lt;0,"1 Negative",G3949=0,"2 Zero",G3949&lt;=500,"3 1-500",G3949&lt;=2000,"4 501-2000",TRUE(),"5 Above 2000")</f>
        <v>1 Negative</v>
      </c>
      <c r="P3949" s="2" t="n">
        <f aca="false">Lookups!$B$2*M3949+Lookups!$B$3*L3949</f>
        <v>3</v>
      </c>
      <c r="Q3949" s="2" t="str">
        <f aca="false">INDEX(Lookups!$E$2:$E$5,MATCH(P3949,Lookups!$D$2:$D$5,0))</f>
        <v>High</v>
      </c>
    </row>
    <row r="3950" customFormat="false" ht="15" hidden="false" customHeight="false" outlineLevel="0" collapsed="false">
      <c r="A3950" s="3" t="n">
        <v>3949</v>
      </c>
      <c r="B3950" s="3" t="n">
        <f aca="false">Raw_Data!A3950</f>
        <v>51</v>
      </c>
      <c r="C3950" s="3" t="str">
        <f aca="false">SUBSTITUTE(Raw_Data!B3950,".","")</f>
        <v>management</v>
      </c>
      <c r="D3950" s="3" t="str">
        <f aca="false">Raw_Data!C3950</f>
        <v>single</v>
      </c>
      <c r="E3950" s="3" t="str">
        <f aca="false">Raw_Data!D3950</f>
        <v>tertiary</v>
      </c>
      <c r="F3950" s="3" t="str">
        <f aca="false">Raw_Data!E3950</f>
        <v>yes</v>
      </c>
      <c r="G3950" s="3" t="n">
        <f aca="false">Raw_Data!F3950</f>
        <v>-55</v>
      </c>
      <c r="H3950" s="3" t="str">
        <f aca="false">Raw_Data!G3950</f>
        <v>yes</v>
      </c>
      <c r="I3950" s="3" t="str">
        <f aca="false">Raw_Data!H3950</f>
        <v>no</v>
      </c>
      <c r="J3950" s="2" t="n">
        <f aca="false">IF(F3950="yes",1,0)</f>
        <v>1</v>
      </c>
      <c r="K3950" s="2" t="n">
        <f aca="false">IF(H3950="yes",1,0)</f>
        <v>1</v>
      </c>
      <c r="L3950" s="2" t="n">
        <f aca="false">IF(I3950="yes",1,0)</f>
        <v>0</v>
      </c>
      <c r="M3950" s="2" t="n">
        <f aca="false">IF(G3950&lt;0,1,0)</f>
        <v>1</v>
      </c>
      <c r="N3950" s="2" t="str">
        <f aca="false">_xlfn.IFS(B3950&lt;30,"Under 30",B3950&lt;40,"30-39",B3950&lt;50,"40-49",B3950&lt;60,"50-59",TRUE(),"60+")</f>
        <v>50-59</v>
      </c>
      <c r="O3950" s="2" t="str">
        <f aca="false">_xlfn.IFS(G3950&lt;0,"1 Negative",G3950=0,"2 Zero",G3950&lt;=500,"3 1-500",G3950&lt;=2000,"4 501-2000",TRUE(),"5 Above 2000")</f>
        <v>1 Negative</v>
      </c>
      <c r="P3950" s="2" t="n">
        <f aca="false">Lookups!$B$2*M3950+Lookups!$B$3*L3950</f>
        <v>2</v>
      </c>
      <c r="Q3950" s="2" t="str">
        <f aca="false">INDEX(Lookups!$E$2:$E$5,MATCH(P3950,Lookups!$D$2:$D$5,0))</f>
        <v>High</v>
      </c>
    </row>
    <row r="3951" customFormat="false" ht="15" hidden="false" customHeight="false" outlineLevel="0" collapsed="false">
      <c r="A3951" s="3" t="n">
        <v>3950</v>
      </c>
      <c r="B3951" s="3" t="n">
        <f aca="false">Raw_Data!A3951</f>
        <v>38</v>
      </c>
      <c r="C3951" s="3" t="str">
        <f aca="false">SUBSTITUTE(Raw_Data!B3951,".","")</f>
        <v>housemaid</v>
      </c>
      <c r="D3951" s="3" t="str">
        <f aca="false">Raw_Data!C3951</f>
        <v>married</v>
      </c>
      <c r="E3951" s="3" t="str">
        <f aca="false">Raw_Data!D3951</f>
        <v>primary</v>
      </c>
      <c r="F3951" s="3" t="str">
        <f aca="false">Raw_Data!E3951</f>
        <v>no</v>
      </c>
      <c r="G3951" s="3" t="n">
        <f aca="false">Raw_Data!F3951</f>
        <v>21</v>
      </c>
      <c r="H3951" s="3" t="str">
        <f aca="false">Raw_Data!G3951</f>
        <v>no</v>
      </c>
      <c r="I3951" s="3" t="str">
        <f aca="false">Raw_Data!H3951</f>
        <v>no</v>
      </c>
      <c r="J3951" s="2" t="n">
        <f aca="false">IF(F3951="yes",1,0)</f>
        <v>0</v>
      </c>
      <c r="K3951" s="2" t="n">
        <f aca="false">IF(H3951="yes",1,0)</f>
        <v>0</v>
      </c>
      <c r="L3951" s="2" t="n">
        <f aca="false">IF(I3951="yes",1,0)</f>
        <v>0</v>
      </c>
      <c r="M3951" s="2" t="n">
        <f aca="false">IF(G3951&lt;0,1,0)</f>
        <v>0</v>
      </c>
      <c r="N3951" s="2" t="str">
        <f aca="false">_xlfn.IFS(B3951&lt;30,"Under 30",B3951&lt;40,"30-39",B3951&lt;50,"40-49",B3951&lt;60,"50-59",TRUE(),"60+")</f>
        <v>30-39</v>
      </c>
      <c r="O3951" s="2" t="str">
        <f aca="false">_xlfn.IFS(G3951&lt;0,"1 Negative",G3951=0,"2 Zero",G3951&lt;=500,"3 1-500",G3951&lt;=2000,"4 501-2000",TRUE(),"5 Above 2000")</f>
        <v>3 1-500</v>
      </c>
      <c r="P3951" s="2" t="n">
        <f aca="false">Lookups!$B$2*M3951+Lookups!$B$3*L3951</f>
        <v>0</v>
      </c>
      <c r="Q3951" s="2" t="str">
        <f aca="false">INDEX(Lookups!$E$2:$E$5,MATCH(P3951,Lookups!$D$2:$D$5,0))</f>
        <v>Low</v>
      </c>
    </row>
    <row r="3952" customFormat="false" ht="15" hidden="false" customHeight="false" outlineLevel="0" collapsed="false">
      <c r="A3952" s="3" t="n">
        <v>3951</v>
      </c>
      <c r="B3952" s="3" t="n">
        <f aca="false">Raw_Data!A3952</f>
        <v>27</v>
      </c>
      <c r="C3952" s="3" t="str">
        <f aca="false">SUBSTITUTE(Raw_Data!B3952,".","")</f>
        <v>blue-collar</v>
      </c>
      <c r="D3952" s="3" t="str">
        <f aca="false">Raw_Data!C3952</f>
        <v>single</v>
      </c>
      <c r="E3952" s="3" t="str">
        <f aca="false">Raw_Data!D3952</f>
        <v>secondary</v>
      </c>
      <c r="F3952" s="3" t="str">
        <f aca="false">Raw_Data!E3952</f>
        <v>no</v>
      </c>
      <c r="G3952" s="3" t="n">
        <f aca="false">Raw_Data!F3952</f>
        <v>14</v>
      </c>
      <c r="H3952" s="3" t="str">
        <f aca="false">Raw_Data!G3952</f>
        <v>no</v>
      </c>
      <c r="I3952" s="3" t="str">
        <f aca="false">Raw_Data!H3952</f>
        <v>no</v>
      </c>
      <c r="J3952" s="2" t="n">
        <f aca="false">IF(F3952="yes",1,0)</f>
        <v>0</v>
      </c>
      <c r="K3952" s="2" t="n">
        <f aca="false">IF(H3952="yes",1,0)</f>
        <v>0</v>
      </c>
      <c r="L3952" s="2" t="n">
        <f aca="false">IF(I3952="yes",1,0)</f>
        <v>0</v>
      </c>
      <c r="M3952" s="2" t="n">
        <f aca="false">IF(G3952&lt;0,1,0)</f>
        <v>0</v>
      </c>
      <c r="N3952" s="2" t="str">
        <f aca="false">_xlfn.IFS(B3952&lt;30,"Under 30",B3952&lt;40,"30-39",B3952&lt;50,"40-49",B3952&lt;60,"50-59",TRUE(),"60+")</f>
        <v>Under 30</v>
      </c>
      <c r="O3952" s="2" t="str">
        <f aca="false">_xlfn.IFS(G3952&lt;0,"1 Negative",G3952=0,"2 Zero",G3952&lt;=500,"3 1-500",G3952&lt;=2000,"4 501-2000",TRUE(),"5 Above 2000")</f>
        <v>3 1-500</v>
      </c>
      <c r="P3952" s="2" t="n">
        <f aca="false">Lookups!$B$2*M3952+Lookups!$B$3*L3952</f>
        <v>0</v>
      </c>
      <c r="Q3952" s="2" t="str">
        <f aca="false">INDEX(Lookups!$E$2:$E$5,MATCH(P3952,Lookups!$D$2:$D$5,0))</f>
        <v>Low</v>
      </c>
    </row>
    <row r="3953" customFormat="false" ht="15" hidden="false" customHeight="false" outlineLevel="0" collapsed="false">
      <c r="A3953" s="3" t="n">
        <v>3952</v>
      </c>
      <c r="B3953" s="3" t="n">
        <f aca="false">Raw_Data!A3953</f>
        <v>50</v>
      </c>
      <c r="C3953" s="3" t="str">
        <f aca="false">SUBSTITUTE(Raw_Data!B3953,".","")</f>
        <v>technician</v>
      </c>
      <c r="D3953" s="3" t="str">
        <f aca="false">Raw_Data!C3953</f>
        <v>single</v>
      </c>
      <c r="E3953" s="3" t="str">
        <f aca="false">Raw_Data!D3953</f>
        <v>secondary</v>
      </c>
      <c r="F3953" s="3" t="str">
        <f aca="false">Raw_Data!E3953</f>
        <v>no</v>
      </c>
      <c r="G3953" s="3" t="n">
        <f aca="false">Raw_Data!F3953</f>
        <v>246</v>
      </c>
      <c r="H3953" s="3" t="str">
        <f aca="false">Raw_Data!G3953</f>
        <v>yes</v>
      </c>
      <c r="I3953" s="3" t="str">
        <f aca="false">Raw_Data!H3953</f>
        <v>no</v>
      </c>
      <c r="J3953" s="2" t="n">
        <f aca="false">IF(F3953="yes",1,0)</f>
        <v>0</v>
      </c>
      <c r="K3953" s="2" t="n">
        <f aca="false">IF(H3953="yes",1,0)</f>
        <v>1</v>
      </c>
      <c r="L3953" s="2" t="n">
        <f aca="false">IF(I3953="yes",1,0)</f>
        <v>0</v>
      </c>
      <c r="M3953" s="2" t="n">
        <f aca="false">IF(G3953&lt;0,1,0)</f>
        <v>0</v>
      </c>
      <c r="N3953" s="2" t="str">
        <f aca="false">_xlfn.IFS(B3953&lt;30,"Under 30",B3953&lt;40,"30-39",B3953&lt;50,"40-49",B3953&lt;60,"50-59",TRUE(),"60+")</f>
        <v>50-59</v>
      </c>
      <c r="O3953" s="2" t="str">
        <f aca="false">_xlfn.IFS(G3953&lt;0,"1 Negative",G3953=0,"2 Zero",G3953&lt;=500,"3 1-500",G3953&lt;=2000,"4 501-2000",TRUE(),"5 Above 2000")</f>
        <v>3 1-500</v>
      </c>
      <c r="P3953" s="2" t="n">
        <f aca="false">Lookups!$B$2*M3953+Lookups!$B$3*L3953</f>
        <v>0</v>
      </c>
      <c r="Q3953" s="2" t="str">
        <f aca="false">INDEX(Lookups!$E$2:$E$5,MATCH(P3953,Lookups!$D$2:$D$5,0))</f>
        <v>Low</v>
      </c>
    </row>
    <row r="3954" customFormat="false" ht="15" hidden="false" customHeight="false" outlineLevel="0" collapsed="false">
      <c r="A3954" s="3" t="n">
        <v>3953</v>
      </c>
      <c r="B3954" s="3" t="n">
        <f aca="false">Raw_Data!A3954</f>
        <v>44</v>
      </c>
      <c r="C3954" s="3" t="str">
        <f aca="false">SUBSTITUTE(Raw_Data!B3954,".","")</f>
        <v>blue-collar</v>
      </c>
      <c r="D3954" s="3" t="str">
        <f aca="false">Raw_Data!C3954</f>
        <v>married</v>
      </c>
      <c r="E3954" s="3" t="str">
        <f aca="false">Raw_Data!D3954</f>
        <v>primary</v>
      </c>
      <c r="F3954" s="3" t="str">
        <f aca="false">Raw_Data!E3954</f>
        <v>no</v>
      </c>
      <c r="G3954" s="3" t="n">
        <f aca="false">Raw_Data!F3954</f>
        <v>887</v>
      </c>
      <c r="H3954" s="3" t="str">
        <f aca="false">Raw_Data!G3954</f>
        <v>yes</v>
      </c>
      <c r="I3954" s="3" t="str">
        <f aca="false">Raw_Data!H3954</f>
        <v>no</v>
      </c>
      <c r="J3954" s="2" t="n">
        <f aca="false">IF(F3954="yes",1,0)</f>
        <v>0</v>
      </c>
      <c r="K3954" s="2" t="n">
        <f aca="false">IF(H3954="yes",1,0)</f>
        <v>1</v>
      </c>
      <c r="L3954" s="2" t="n">
        <f aca="false">IF(I3954="yes",1,0)</f>
        <v>0</v>
      </c>
      <c r="M3954" s="2" t="n">
        <f aca="false">IF(G3954&lt;0,1,0)</f>
        <v>0</v>
      </c>
      <c r="N3954" s="2" t="str">
        <f aca="false">_xlfn.IFS(B3954&lt;30,"Under 30",B3954&lt;40,"30-39",B3954&lt;50,"40-49",B3954&lt;60,"50-59",TRUE(),"60+")</f>
        <v>40-49</v>
      </c>
      <c r="O3954" s="2" t="str">
        <f aca="false">_xlfn.IFS(G3954&lt;0,"1 Negative",G3954=0,"2 Zero",G3954&lt;=500,"3 1-500",G3954&lt;=2000,"4 501-2000",TRUE(),"5 Above 2000")</f>
        <v>4 501-2000</v>
      </c>
      <c r="P3954" s="2" t="n">
        <f aca="false">Lookups!$B$2*M3954+Lookups!$B$3*L3954</f>
        <v>0</v>
      </c>
      <c r="Q3954" s="2" t="str">
        <f aca="false">INDEX(Lookups!$E$2:$E$5,MATCH(P3954,Lookups!$D$2:$D$5,0))</f>
        <v>Low</v>
      </c>
    </row>
    <row r="3955" customFormat="false" ht="15" hidden="false" customHeight="false" outlineLevel="0" collapsed="false">
      <c r="A3955" s="3" t="n">
        <v>3954</v>
      </c>
      <c r="B3955" s="3" t="n">
        <f aca="false">Raw_Data!A3955</f>
        <v>40</v>
      </c>
      <c r="C3955" s="3" t="str">
        <f aca="false">SUBSTITUTE(Raw_Data!B3955,".","")</f>
        <v>management</v>
      </c>
      <c r="D3955" s="3" t="str">
        <f aca="false">Raw_Data!C3955</f>
        <v>married</v>
      </c>
      <c r="E3955" s="3" t="str">
        <f aca="false">Raw_Data!D3955</f>
        <v>tertiary</v>
      </c>
      <c r="F3955" s="3" t="str">
        <f aca="false">Raw_Data!E3955</f>
        <v>no</v>
      </c>
      <c r="G3955" s="3" t="n">
        <f aca="false">Raw_Data!F3955</f>
        <v>51</v>
      </c>
      <c r="H3955" s="3" t="str">
        <f aca="false">Raw_Data!G3955</f>
        <v>no</v>
      </c>
      <c r="I3955" s="3" t="str">
        <f aca="false">Raw_Data!H3955</f>
        <v>no</v>
      </c>
      <c r="J3955" s="2" t="n">
        <f aca="false">IF(F3955="yes",1,0)</f>
        <v>0</v>
      </c>
      <c r="K3955" s="2" t="n">
        <f aca="false">IF(H3955="yes",1,0)</f>
        <v>0</v>
      </c>
      <c r="L3955" s="2" t="n">
        <f aca="false">IF(I3955="yes",1,0)</f>
        <v>0</v>
      </c>
      <c r="M3955" s="2" t="n">
        <f aca="false">IF(G3955&lt;0,1,0)</f>
        <v>0</v>
      </c>
      <c r="N3955" s="2" t="str">
        <f aca="false">_xlfn.IFS(B3955&lt;30,"Under 30",B3955&lt;40,"30-39",B3955&lt;50,"40-49",B3955&lt;60,"50-59",TRUE(),"60+")</f>
        <v>40-49</v>
      </c>
      <c r="O3955" s="2" t="str">
        <f aca="false">_xlfn.IFS(G3955&lt;0,"1 Negative",G3955=0,"2 Zero",G3955&lt;=500,"3 1-500",G3955&lt;=2000,"4 501-2000",TRUE(),"5 Above 2000")</f>
        <v>3 1-500</v>
      </c>
      <c r="P3955" s="2" t="n">
        <f aca="false">Lookups!$B$2*M3955+Lookups!$B$3*L3955</f>
        <v>0</v>
      </c>
      <c r="Q3955" s="2" t="str">
        <f aca="false">INDEX(Lookups!$E$2:$E$5,MATCH(P3955,Lookups!$D$2:$D$5,0))</f>
        <v>Low</v>
      </c>
    </row>
    <row r="3956" customFormat="false" ht="15" hidden="false" customHeight="false" outlineLevel="0" collapsed="false">
      <c r="A3956" s="3" t="n">
        <v>3955</v>
      </c>
      <c r="B3956" s="3" t="n">
        <f aca="false">Raw_Data!A3956</f>
        <v>29</v>
      </c>
      <c r="C3956" s="3" t="str">
        <f aca="false">SUBSTITUTE(Raw_Data!B3956,".","")</f>
        <v>services</v>
      </c>
      <c r="D3956" s="3" t="str">
        <f aca="false">Raw_Data!C3956</f>
        <v>single</v>
      </c>
      <c r="E3956" s="3" t="str">
        <f aca="false">Raw_Data!D3956</f>
        <v>secondary</v>
      </c>
      <c r="F3956" s="3" t="str">
        <f aca="false">Raw_Data!E3956</f>
        <v>no</v>
      </c>
      <c r="G3956" s="3" t="n">
        <f aca="false">Raw_Data!F3956</f>
        <v>-287</v>
      </c>
      <c r="H3956" s="3" t="str">
        <f aca="false">Raw_Data!G3956</f>
        <v>yes</v>
      </c>
      <c r="I3956" s="3" t="str">
        <f aca="false">Raw_Data!H3956</f>
        <v>no</v>
      </c>
      <c r="J3956" s="2" t="n">
        <f aca="false">IF(F3956="yes",1,0)</f>
        <v>0</v>
      </c>
      <c r="K3956" s="2" t="n">
        <f aca="false">IF(H3956="yes",1,0)</f>
        <v>1</v>
      </c>
      <c r="L3956" s="2" t="n">
        <f aca="false">IF(I3956="yes",1,0)</f>
        <v>0</v>
      </c>
      <c r="M3956" s="2" t="n">
        <f aca="false">IF(G3956&lt;0,1,0)</f>
        <v>1</v>
      </c>
      <c r="N3956" s="2" t="str">
        <f aca="false">_xlfn.IFS(B3956&lt;30,"Under 30",B3956&lt;40,"30-39",B3956&lt;50,"40-49",B3956&lt;60,"50-59",TRUE(),"60+")</f>
        <v>Under 30</v>
      </c>
      <c r="O3956" s="2" t="str">
        <f aca="false">_xlfn.IFS(G3956&lt;0,"1 Negative",G3956=0,"2 Zero",G3956&lt;=500,"3 1-500",G3956&lt;=2000,"4 501-2000",TRUE(),"5 Above 2000")</f>
        <v>1 Negative</v>
      </c>
      <c r="P3956" s="2" t="n">
        <f aca="false">Lookups!$B$2*M3956+Lookups!$B$3*L3956</f>
        <v>2</v>
      </c>
      <c r="Q3956" s="2" t="str">
        <f aca="false">INDEX(Lookups!$E$2:$E$5,MATCH(P3956,Lookups!$D$2:$D$5,0))</f>
        <v>High</v>
      </c>
    </row>
    <row r="3957" customFormat="false" ht="15" hidden="false" customHeight="false" outlineLevel="0" collapsed="false">
      <c r="A3957" s="3" t="n">
        <v>3956</v>
      </c>
      <c r="B3957" s="3" t="n">
        <f aca="false">Raw_Data!A3957</f>
        <v>34</v>
      </c>
      <c r="C3957" s="3" t="str">
        <f aca="false">SUBSTITUTE(Raw_Data!B3957,".","")</f>
        <v>services</v>
      </c>
      <c r="D3957" s="3" t="str">
        <f aca="false">Raw_Data!C3957</f>
        <v>married</v>
      </c>
      <c r="E3957" s="3" t="str">
        <f aca="false">Raw_Data!D3957</f>
        <v>secondary</v>
      </c>
      <c r="F3957" s="3" t="str">
        <f aca="false">Raw_Data!E3957</f>
        <v>no</v>
      </c>
      <c r="G3957" s="3" t="n">
        <f aca="false">Raw_Data!F3957</f>
        <v>0</v>
      </c>
      <c r="H3957" s="3" t="str">
        <f aca="false">Raw_Data!G3957</f>
        <v>yes</v>
      </c>
      <c r="I3957" s="3" t="str">
        <f aca="false">Raw_Data!H3957</f>
        <v>no</v>
      </c>
      <c r="J3957" s="2" t="n">
        <f aca="false">IF(F3957="yes",1,0)</f>
        <v>0</v>
      </c>
      <c r="K3957" s="2" t="n">
        <f aca="false">IF(H3957="yes",1,0)</f>
        <v>1</v>
      </c>
      <c r="L3957" s="2" t="n">
        <f aca="false">IF(I3957="yes",1,0)</f>
        <v>0</v>
      </c>
      <c r="M3957" s="2" t="n">
        <f aca="false">IF(G3957&lt;0,1,0)</f>
        <v>0</v>
      </c>
      <c r="N3957" s="2" t="str">
        <f aca="false">_xlfn.IFS(B3957&lt;30,"Under 30",B3957&lt;40,"30-39",B3957&lt;50,"40-49",B3957&lt;60,"50-59",TRUE(),"60+")</f>
        <v>30-39</v>
      </c>
      <c r="O3957" s="2" t="str">
        <f aca="false">_xlfn.IFS(G3957&lt;0,"1 Negative",G3957=0,"2 Zero",G3957&lt;=500,"3 1-500",G3957&lt;=2000,"4 501-2000",TRUE(),"5 Above 2000")</f>
        <v>2 Zero</v>
      </c>
      <c r="P3957" s="2" t="n">
        <f aca="false">Lookups!$B$2*M3957+Lookups!$B$3*L3957</f>
        <v>0</v>
      </c>
      <c r="Q3957" s="2" t="str">
        <f aca="false">INDEX(Lookups!$E$2:$E$5,MATCH(P3957,Lookups!$D$2:$D$5,0))</f>
        <v>Low</v>
      </c>
    </row>
    <row r="3958" customFormat="false" ht="15" hidden="false" customHeight="false" outlineLevel="0" collapsed="false">
      <c r="A3958" s="3" t="n">
        <v>3957</v>
      </c>
      <c r="B3958" s="3" t="n">
        <f aca="false">Raw_Data!A3958</f>
        <v>44</v>
      </c>
      <c r="C3958" s="3" t="str">
        <f aca="false">SUBSTITUTE(Raw_Data!B3958,".","")</f>
        <v>self-employed</v>
      </c>
      <c r="D3958" s="3" t="str">
        <f aca="false">Raw_Data!C3958</f>
        <v>single</v>
      </c>
      <c r="E3958" s="3" t="str">
        <f aca="false">Raw_Data!D3958</f>
        <v>tertiary</v>
      </c>
      <c r="F3958" s="3" t="str">
        <f aca="false">Raw_Data!E3958</f>
        <v>no</v>
      </c>
      <c r="G3958" s="3" t="n">
        <f aca="false">Raw_Data!F3958</f>
        <v>2734</v>
      </c>
      <c r="H3958" s="3" t="str">
        <f aca="false">Raw_Data!G3958</f>
        <v>yes</v>
      </c>
      <c r="I3958" s="3" t="str">
        <f aca="false">Raw_Data!H3958</f>
        <v>no</v>
      </c>
      <c r="J3958" s="2" t="n">
        <f aca="false">IF(F3958="yes",1,0)</f>
        <v>0</v>
      </c>
      <c r="K3958" s="2" t="n">
        <f aca="false">IF(H3958="yes",1,0)</f>
        <v>1</v>
      </c>
      <c r="L3958" s="2" t="n">
        <f aca="false">IF(I3958="yes",1,0)</f>
        <v>0</v>
      </c>
      <c r="M3958" s="2" t="n">
        <f aca="false">IF(G3958&lt;0,1,0)</f>
        <v>0</v>
      </c>
      <c r="N3958" s="2" t="str">
        <f aca="false">_xlfn.IFS(B3958&lt;30,"Under 30",B3958&lt;40,"30-39",B3958&lt;50,"40-49",B3958&lt;60,"50-59",TRUE(),"60+")</f>
        <v>40-49</v>
      </c>
      <c r="O3958" s="2" t="str">
        <f aca="false">_xlfn.IFS(G3958&lt;0,"1 Negative",G3958=0,"2 Zero",G3958&lt;=500,"3 1-500",G3958&lt;=2000,"4 501-2000",TRUE(),"5 Above 2000")</f>
        <v>5 Above 2000</v>
      </c>
      <c r="P3958" s="2" t="n">
        <f aca="false">Lookups!$B$2*M3958+Lookups!$B$3*L3958</f>
        <v>0</v>
      </c>
      <c r="Q3958" s="2" t="str">
        <f aca="false">INDEX(Lookups!$E$2:$E$5,MATCH(P3958,Lookups!$D$2:$D$5,0))</f>
        <v>Low</v>
      </c>
    </row>
    <row r="3959" customFormat="false" ht="15" hidden="false" customHeight="false" outlineLevel="0" collapsed="false">
      <c r="A3959" s="3" t="n">
        <v>3958</v>
      </c>
      <c r="B3959" s="3" t="n">
        <f aca="false">Raw_Data!A3959</f>
        <v>50</v>
      </c>
      <c r="C3959" s="3" t="str">
        <f aca="false">SUBSTITUTE(Raw_Data!B3959,".","")</f>
        <v>entrepreneur</v>
      </c>
      <c r="D3959" s="3" t="str">
        <f aca="false">Raw_Data!C3959</f>
        <v>married</v>
      </c>
      <c r="E3959" s="3" t="str">
        <f aca="false">Raw_Data!D3959</f>
        <v>tertiary</v>
      </c>
      <c r="F3959" s="3" t="str">
        <f aca="false">Raw_Data!E3959</f>
        <v>no</v>
      </c>
      <c r="G3959" s="3" t="n">
        <f aca="false">Raw_Data!F3959</f>
        <v>52</v>
      </c>
      <c r="H3959" s="3" t="str">
        <f aca="false">Raw_Data!G3959</f>
        <v>no</v>
      </c>
      <c r="I3959" s="3" t="str">
        <f aca="false">Raw_Data!H3959</f>
        <v>no</v>
      </c>
      <c r="J3959" s="2" t="n">
        <f aca="false">IF(F3959="yes",1,0)</f>
        <v>0</v>
      </c>
      <c r="K3959" s="2" t="n">
        <f aca="false">IF(H3959="yes",1,0)</f>
        <v>0</v>
      </c>
      <c r="L3959" s="2" t="n">
        <f aca="false">IF(I3959="yes",1,0)</f>
        <v>0</v>
      </c>
      <c r="M3959" s="2" t="n">
        <f aca="false">IF(G3959&lt;0,1,0)</f>
        <v>0</v>
      </c>
      <c r="N3959" s="2" t="str">
        <f aca="false">_xlfn.IFS(B3959&lt;30,"Under 30",B3959&lt;40,"30-39",B3959&lt;50,"40-49",B3959&lt;60,"50-59",TRUE(),"60+")</f>
        <v>50-59</v>
      </c>
      <c r="O3959" s="2" t="str">
        <f aca="false">_xlfn.IFS(G3959&lt;0,"1 Negative",G3959=0,"2 Zero",G3959&lt;=500,"3 1-500",G3959&lt;=2000,"4 501-2000",TRUE(),"5 Above 2000")</f>
        <v>3 1-500</v>
      </c>
      <c r="P3959" s="2" t="n">
        <f aca="false">Lookups!$B$2*M3959+Lookups!$B$3*L3959</f>
        <v>0</v>
      </c>
      <c r="Q3959" s="2" t="str">
        <f aca="false">INDEX(Lookups!$E$2:$E$5,MATCH(P3959,Lookups!$D$2:$D$5,0))</f>
        <v>Low</v>
      </c>
    </row>
    <row r="3960" customFormat="false" ht="15" hidden="false" customHeight="false" outlineLevel="0" collapsed="false">
      <c r="A3960" s="3" t="n">
        <v>3959</v>
      </c>
      <c r="B3960" s="3" t="n">
        <f aca="false">Raw_Data!A3960</f>
        <v>34</v>
      </c>
      <c r="C3960" s="3" t="str">
        <f aca="false">SUBSTITUTE(Raw_Data!B3960,".","")</f>
        <v>management</v>
      </c>
      <c r="D3960" s="3" t="str">
        <f aca="false">Raw_Data!C3960</f>
        <v>married</v>
      </c>
      <c r="E3960" s="3" t="str">
        <f aca="false">Raw_Data!D3960</f>
        <v>tertiary</v>
      </c>
      <c r="F3960" s="3" t="str">
        <f aca="false">Raw_Data!E3960</f>
        <v>no</v>
      </c>
      <c r="G3960" s="3" t="n">
        <f aca="false">Raw_Data!F3960</f>
        <v>2594</v>
      </c>
      <c r="H3960" s="3" t="str">
        <f aca="false">Raw_Data!G3960</f>
        <v>yes</v>
      </c>
      <c r="I3960" s="3" t="str">
        <f aca="false">Raw_Data!H3960</f>
        <v>no</v>
      </c>
      <c r="J3960" s="2" t="n">
        <f aca="false">IF(F3960="yes",1,0)</f>
        <v>0</v>
      </c>
      <c r="K3960" s="2" t="n">
        <f aca="false">IF(H3960="yes",1,0)</f>
        <v>1</v>
      </c>
      <c r="L3960" s="2" t="n">
        <f aca="false">IF(I3960="yes",1,0)</f>
        <v>0</v>
      </c>
      <c r="M3960" s="2" t="n">
        <f aca="false">IF(G3960&lt;0,1,0)</f>
        <v>0</v>
      </c>
      <c r="N3960" s="2" t="str">
        <f aca="false">_xlfn.IFS(B3960&lt;30,"Under 30",B3960&lt;40,"30-39",B3960&lt;50,"40-49",B3960&lt;60,"50-59",TRUE(),"60+")</f>
        <v>30-39</v>
      </c>
      <c r="O3960" s="2" t="str">
        <f aca="false">_xlfn.IFS(G3960&lt;0,"1 Negative",G3960=0,"2 Zero",G3960&lt;=500,"3 1-500",G3960&lt;=2000,"4 501-2000",TRUE(),"5 Above 2000")</f>
        <v>5 Above 2000</v>
      </c>
      <c r="P3960" s="2" t="n">
        <f aca="false">Lookups!$B$2*M3960+Lookups!$B$3*L3960</f>
        <v>0</v>
      </c>
      <c r="Q3960" s="2" t="str">
        <f aca="false">INDEX(Lookups!$E$2:$E$5,MATCH(P3960,Lookups!$D$2:$D$5,0))</f>
        <v>Low</v>
      </c>
    </row>
    <row r="3961" customFormat="false" ht="15" hidden="false" customHeight="false" outlineLevel="0" collapsed="false">
      <c r="A3961" s="3" t="n">
        <v>3960</v>
      </c>
      <c r="B3961" s="3" t="n">
        <f aca="false">Raw_Data!A3961</f>
        <v>54</v>
      </c>
      <c r="C3961" s="3" t="str">
        <f aca="false">SUBSTITUTE(Raw_Data!B3961,".","")</f>
        <v>retired</v>
      </c>
      <c r="D3961" s="3" t="str">
        <f aca="false">Raw_Data!C3961</f>
        <v>divorced</v>
      </c>
      <c r="E3961" s="3" t="str">
        <f aca="false">Raw_Data!D3961</f>
        <v>primary</v>
      </c>
      <c r="F3961" s="3" t="str">
        <f aca="false">Raw_Data!E3961</f>
        <v>no</v>
      </c>
      <c r="G3961" s="3" t="n">
        <f aca="false">Raw_Data!F3961</f>
        <v>22</v>
      </c>
      <c r="H3961" s="3" t="str">
        <f aca="false">Raw_Data!G3961</f>
        <v>no</v>
      </c>
      <c r="I3961" s="3" t="str">
        <f aca="false">Raw_Data!H3961</f>
        <v>no</v>
      </c>
      <c r="J3961" s="2" t="n">
        <f aca="false">IF(F3961="yes",1,0)</f>
        <v>0</v>
      </c>
      <c r="K3961" s="2" t="n">
        <f aca="false">IF(H3961="yes",1,0)</f>
        <v>0</v>
      </c>
      <c r="L3961" s="2" t="n">
        <f aca="false">IF(I3961="yes",1,0)</f>
        <v>0</v>
      </c>
      <c r="M3961" s="2" t="n">
        <f aca="false">IF(G3961&lt;0,1,0)</f>
        <v>0</v>
      </c>
      <c r="N3961" s="2" t="str">
        <f aca="false">_xlfn.IFS(B3961&lt;30,"Under 30",B3961&lt;40,"30-39",B3961&lt;50,"40-49",B3961&lt;60,"50-59",TRUE(),"60+")</f>
        <v>50-59</v>
      </c>
      <c r="O3961" s="2" t="str">
        <f aca="false">_xlfn.IFS(G3961&lt;0,"1 Negative",G3961=0,"2 Zero",G3961&lt;=500,"3 1-500",G3961&lt;=2000,"4 501-2000",TRUE(),"5 Above 2000")</f>
        <v>3 1-500</v>
      </c>
      <c r="P3961" s="2" t="n">
        <f aca="false">Lookups!$B$2*M3961+Lookups!$B$3*L3961</f>
        <v>0</v>
      </c>
      <c r="Q3961" s="2" t="str">
        <f aca="false">INDEX(Lookups!$E$2:$E$5,MATCH(P3961,Lookups!$D$2:$D$5,0))</f>
        <v>Low</v>
      </c>
    </row>
    <row r="3962" customFormat="false" ht="15" hidden="false" customHeight="false" outlineLevel="0" collapsed="false">
      <c r="A3962" s="3" t="n">
        <v>3961</v>
      </c>
      <c r="B3962" s="3" t="n">
        <f aca="false">Raw_Data!A3962</f>
        <v>34</v>
      </c>
      <c r="C3962" s="3" t="str">
        <f aca="false">SUBSTITUTE(Raw_Data!B3962,".","")</f>
        <v>technician</v>
      </c>
      <c r="D3962" s="3" t="str">
        <f aca="false">Raw_Data!C3962</f>
        <v>married</v>
      </c>
      <c r="E3962" s="3" t="str">
        <f aca="false">Raw_Data!D3962</f>
        <v>tertiary</v>
      </c>
      <c r="F3962" s="3" t="str">
        <f aca="false">Raw_Data!E3962</f>
        <v>no</v>
      </c>
      <c r="G3962" s="3" t="n">
        <f aca="false">Raw_Data!F3962</f>
        <v>1611</v>
      </c>
      <c r="H3962" s="3" t="str">
        <f aca="false">Raw_Data!G3962</f>
        <v>yes</v>
      </c>
      <c r="I3962" s="3" t="str">
        <f aca="false">Raw_Data!H3962</f>
        <v>no</v>
      </c>
      <c r="J3962" s="2" t="n">
        <f aca="false">IF(F3962="yes",1,0)</f>
        <v>0</v>
      </c>
      <c r="K3962" s="2" t="n">
        <f aca="false">IF(H3962="yes",1,0)</f>
        <v>1</v>
      </c>
      <c r="L3962" s="2" t="n">
        <f aca="false">IF(I3962="yes",1,0)</f>
        <v>0</v>
      </c>
      <c r="M3962" s="2" t="n">
        <f aca="false">IF(G3962&lt;0,1,0)</f>
        <v>0</v>
      </c>
      <c r="N3962" s="2" t="str">
        <f aca="false">_xlfn.IFS(B3962&lt;30,"Under 30",B3962&lt;40,"30-39",B3962&lt;50,"40-49",B3962&lt;60,"50-59",TRUE(),"60+")</f>
        <v>30-39</v>
      </c>
      <c r="O3962" s="2" t="str">
        <f aca="false">_xlfn.IFS(G3962&lt;0,"1 Negative",G3962=0,"2 Zero",G3962&lt;=500,"3 1-500",G3962&lt;=2000,"4 501-2000",TRUE(),"5 Above 2000")</f>
        <v>4 501-2000</v>
      </c>
      <c r="P3962" s="2" t="n">
        <f aca="false">Lookups!$B$2*M3962+Lookups!$B$3*L3962</f>
        <v>0</v>
      </c>
      <c r="Q3962" s="2" t="str">
        <f aca="false">INDEX(Lookups!$E$2:$E$5,MATCH(P3962,Lookups!$D$2:$D$5,0))</f>
        <v>Low</v>
      </c>
    </row>
    <row r="3963" customFormat="false" ht="15" hidden="false" customHeight="false" outlineLevel="0" collapsed="false">
      <c r="A3963" s="3" t="n">
        <v>3962</v>
      </c>
      <c r="B3963" s="3" t="n">
        <f aca="false">Raw_Data!A3963</f>
        <v>34</v>
      </c>
      <c r="C3963" s="3" t="str">
        <f aca="false">SUBSTITUTE(Raw_Data!B3963,".","")</f>
        <v>admin</v>
      </c>
      <c r="D3963" s="3" t="str">
        <f aca="false">Raw_Data!C3963</f>
        <v>single</v>
      </c>
      <c r="E3963" s="3" t="str">
        <f aca="false">Raw_Data!D3963</f>
        <v>tertiary</v>
      </c>
      <c r="F3963" s="3" t="str">
        <f aca="false">Raw_Data!E3963</f>
        <v>no</v>
      </c>
      <c r="G3963" s="3" t="n">
        <f aca="false">Raw_Data!F3963</f>
        <v>18</v>
      </c>
      <c r="H3963" s="3" t="str">
        <f aca="false">Raw_Data!G3963</f>
        <v>yes</v>
      </c>
      <c r="I3963" s="3" t="str">
        <f aca="false">Raw_Data!H3963</f>
        <v>yes</v>
      </c>
      <c r="J3963" s="2" t="n">
        <f aca="false">IF(F3963="yes",1,0)</f>
        <v>0</v>
      </c>
      <c r="K3963" s="2" t="n">
        <f aca="false">IF(H3963="yes",1,0)</f>
        <v>1</v>
      </c>
      <c r="L3963" s="2" t="n">
        <f aca="false">IF(I3963="yes",1,0)</f>
        <v>1</v>
      </c>
      <c r="M3963" s="2" t="n">
        <f aca="false">IF(G3963&lt;0,1,0)</f>
        <v>0</v>
      </c>
      <c r="N3963" s="2" t="str">
        <f aca="false">_xlfn.IFS(B3963&lt;30,"Under 30",B3963&lt;40,"30-39",B3963&lt;50,"40-49",B3963&lt;60,"50-59",TRUE(),"60+")</f>
        <v>30-39</v>
      </c>
      <c r="O3963" s="2" t="str">
        <f aca="false">_xlfn.IFS(G3963&lt;0,"1 Negative",G3963=0,"2 Zero",G3963&lt;=500,"3 1-500",G3963&lt;=2000,"4 501-2000",TRUE(),"5 Above 2000")</f>
        <v>3 1-500</v>
      </c>
      <c r="P3963" s="2" t="n">
        <f aca="false">Lookups!$B$2*M3963+Lookups!$B$3*L3963</f>
        <v>1</v>
      </c>
      <c r="Q3963" s="2" t="str">
        <f aca="false">INDEX(Lookups!$E$2:$E$5,MATCH(P3963,Lookups!$D$2:$D$5,0))</f>
        <v>Medium</v>
      </c>
    </row>
    <row r="3964" customFormat="false" ht="15" hidden="false" customHeight="false" outlineLevel="0" collapsed="false">
      <c r="A3964" s="3" t="n">
        <v>3963</v>
      </c>
      <c r="B3964" s="3" t="n">
        <f aca="false">Raw_Data!A3964</f>
        <v>52</v>
      </c>
      <c r="C3964" s="3" t="str">
        <f aca="false">SUBSTITUTE(Raw_Data!B3964,".","")</f>
        <v>blue-collar</v>
      </c>
      <c r="D3964" s="3" t="str">
        <f aca="false">Raw_Data!C3964</f>
        <v>married</v>
      </c>
      <c r="E3964" s="3" t="str">
        <f aca="false">Raw_Data!D3964</f>
        <v>primary</v>
      </c>
      <c r="F3964" s="3" t="str">
        <f aca="false">Raw_Data!E3964</f>
        <v>no</v>
      </c>
      <c r="G3964" s="3" t="n">
        <f aca="false">Raw_Data!F3964</f>
        <v>1331</v>
      </c>
      <c r="H3964" s="3" t="str">
        <f aca="false">Raw_Data!G3964</f>
        <v>yes</v>
      </c>
      <c r="I3964" s="3" t="str">
        <f aca="false">Raw_Data!H3964</f>
        <v>no</v>
      </c>
      <c r="J3964" s="2" t="n">
        <f aca="false">IF(F3964="yes",1,0)</f>
        <v>0</v>
      </c>
      <c r="K3964" s="2" t="n">
        <f aca="false">IF(H3964="yes",1,0)</f>
        <v>1</v>
      </c>
      <c r="L3964" s="2" t="n">
        <f aca="false">IF(I3964="yes",1,0)</f>
        <v>0</v>
      </c>
      <c r="M3964" s="2" t="n">
        <f aca="false">IF(G3964&lt;0,1,0)</f>
        <v>0</v>
      </c>
      <c r="N3964" s="2" t="str">
        <f aca="false">_xlfn.IFS(B3964&lt;30,"Under 30",B3964&lt;40,"30-39",B3964&lt;50,"40-49",B3964&lt;60,"50-59",TRUE(),"60+")</f>
        <v>50-59</v>
      </c>
      <c r="O3964" s="2" t="str">
        <f aca="false">_xlfn.IFS(G3964&lt;0,"1 Negative",G3964=0,"2 Zero",G3964&lt;=500,"3 1-500",G3964&lt;=2000,"4 501-2000",TRUE(),"5 Above 2000")</f>
        <v>4 501-2000</v>
      </c>
      <c r="P3964" s="2" t="n">
        <f aca="false">Lookups!$B$2*M3964+Lookups!$B$3*L3964</f>
        <v>0</v>
      </c>
      <c r="Q3964" s="2" t="str">
        <f aca="false">INDEX(Lookups!$E$2:$E$5,MATCH(P3964,Lookups!$D$2:$D$5,0))</f>
        <v>Low</v>
      </c>
    </row>
    <row r="3965" customFormat="false" ht="15" hidden="false" customHeight="false" outlineLevel="0" collapsed="false">
      <c r="A3965" s="3" t="n">
        <v>3964</v>
      </c>
      <c r="B3965" s="3" t="n">
        <f aca="false">Raw_Data!A3965</f>
        <v>60</v>
      </c>
      <c r="C3965" s="3" t="str">
        <f aca="false">SUBSTITUTE(Raw_Data!B3965,".","")</f>
        <v>unknown</v>
      </c>
      <c r="D3965" s="3" t="str">
        <f aca="false">Raw_Data!C3965</f>
        <v>married</v>
      </c>
      <c r="E3965" s="3" t="str">
        <f aca="false">Raw_Data!D3965</f>
        <v>unknown</v>
      </c>
      <c r="F3965" s="3" t="str">
        <f aca="false">Raw_Data!E3965</f>
        <v>no</v>
      </c>
      <c r="G3965" s="3" t="n">
        <f aca="false">Raw_Data!F3965</f>
        <v>7337</v>
      </c>
      <c r="H3965" s="3" t="str">
        <f aca="false">Raw_Data!G3965</f>
        <v>no</v>
      </c>
      <c r="I3965" s="3" t="str">
        <f aca="false">Raw_Data!H3965</f>
        <v>no</v>
      </c>
      <c r="J3965" s="2" t="n">
        <f aca="false">IF(F3965="yes",1,0)</f>
        <v>0</v>
      </c>
      <c r="K3965" s="2" t="n">
        <f aca="false">IF(H3965="yes",1,0)</f>
        <v>0</v>
      </c>
      <c r="L3965" s="2" t="n">
        <f aca="false">IF(I3965="yes",1,0)</f>
        <v>0</v>
      </c>
      <c r="M3965" s="2" t="n">
        <f aca="false">IF(G3965&lt;0,1,0)</f>
        <v>0</v>
      </c>
      <c r="N3965" s="2" t="str">
        <f aca="false">_xlfn.IFS(B3965&lt;30,"Under 30",B3965&lt;40,"30-39",B3965&lt;50,"40-49",B3965&lt;60,"50-59",TRUE(),"60+")</f>
        <v>60+</v>
      </c>
      <c r="O3965" s="2" t="str">
        <f aca="false">_xlfn.IFS(G3965&lt;0,"1 Negative",G3965=0,"2 Zero",G3965&lt;=500,"3 1-500",G3965&lt;=2000,"4 501-2000",TRUE(),"5 Above 2000")</f>
        <v>5 Above 2000</v>
      </c>
      <c r="P3965" s="2" t="n">
        <f aca="false">Lookups!$B$2*M3965+Lookups!$B$3*L3965</f>
        <v>0</v>
      </c>
      <c r="Q3965" s="2" t="str">
        <f aca="false">INDEX(Lookups!$E$2:$E$5,MATCH(P3965,Lookups!$D$2:$D$5,0))</f>
        <v>Low</v>
      </c>
    </row>
    <row r="3966" customFormat="false" ht="15" hidden="false" customHeight="false" outlineLevel="0" collapsed="false">
      <c r="A3966" s="3" t="n">
        <v>3965</v>
      </c>
      <c r="B3966" s="3" t="n">
        <f aca="false">Raw_Data!A3966</f>
        <v>39</v>
      </c>
      <c r="C3966" s="3" t="str">
        <f aca="false">SUBSTITUTE(Raw_Data!B3966,".","")</f>
        <v>management</v>
      </c>
      <c r="D3966" s="3" t="str">
        <f aca="false">Raw_Data!C3966</f>
        <v>single</v>
      </c>
      <c r="E3966" s="3" t="str">
        <f aca="false">Raw_Data!D3966</f>
        <v>secondary</v>
      </c>
      <c r="F3966" s="3" t="str">
        <f aca="false">Raw_Data!E3966</f>
        <v>no</v>
      </c>
      <c r="G3966" s="3" t="n">
        <f aca="false">Raw_Data!F3966</f>
        <v>835</v>
      </c>
      <c r="H3966" s="3" t="str">
        <f aca="false">Raw_Data!G3966</f>
        <v>yes</v>
      </c>
      <c r="I3966" s="3" t="str">
        <f aca="false">Raw_Data!H3966</f>
        <v>no</v>
      </c>
      <c r="J3966" s="2" t="n">
        <f aca="false">IF(F3966="yes",1,0)</f>
        <v>0</v>
      </c>
      <c r="K3966" s="2" t="n">
        <f aca="false">IF(H3966="yes",1,0)</f>
        <v>1</v>
      </c>
      <c r="L3966" s="2" t="n">
        <f aca="false">IF(I3966="yes",1,0)</f>
        <v>0</v>
      </c>
      <c r="M3966" s="2" t="n">
        <f aca="false">IF(G3966&lt;0,1,0)</f>
        <v>0</v>
      </c>
      <c r="N3966" s="2" t="str">
        <f aca="false">_xlfn.IFS(B3966&lt;30,"Under 30",B3966&lt;40,"30-39",B3966&lt;50,"40-49",B3966&lt;60,"50-59",TRUE(),"60+")</f>
        <v>30-39</v>
      </c>
      <c r="O3966" s="2" t="str">
        <f aca="false">_xlfn.IFS(G3966&lt;0,"1 Negative",G3966=0,"2 Zero",G3966&lt;=500,"3 1-500",G3966&lt;=2000,"4 501-2000",TRUE(),"5 Above 2000")</f>
        <v>4 501-2000</v>
      </c>
      <c r="P3966" s="2" t="n">
        <f aca="false">Lookups!$B$2*M3966+Lookups!$B$3*L3966</f>
        <v>0</v>
      </c>
      <c r="Q3966" s="2" t="str">
        <f aca="false">INDEX(Lookups!$E$2:$E$5,MATCH(P3966,Lookups!$D$2:$D$5,0))</f>
        <v>Low</v>
      </c>
    </row>
    <row r="3967" customFormat="false" ht="15" hidden="false" customHeight="false" outlineLevel="0" collapsed="false">
      <c r="A3967" s="3" t="n">
        <v>3966</v>
      </c>
      <c r="B3967" s="3" t="n">
        <f aca="false">Raw_Data!A3967</f>
        <v>58</v>
      </c>
      <c r="C3967" s="3" t="str">
        <f aca="false">SUBSTITUTE(Raw_Data!B3967,".","")</f>
        <v>retired</v>
      </c>
      <c r="D3967" s="3" t="str">
        <f aca="false">Raw_Data!C3967</f>
        <v>married</v>
      </c>
      <c r="E3967" s="3" t="str">
        <f aca="false">Raw_Data!D3967</f>
        <v>primary</v>
      </c>
      <c r="F3967" s="3" t="str">
        <f aca="false">Raw_Data!E3967</f>
        <v>no</v>
      </c>
      <c r="G3967" s="3" t="n">
        <f aca="false">Raw_Data!F3967</f>
        <v>5092</v>
      </c>
      <c r="H3967" s="3" t="str">
        <f aca="false">Raw_Data!G3967</f>
        <v>no</v>
      </c>
      <c r="I3967" s="3" t="str">
        <f aca="false">Raw_Data!H3967</f>
        <v>no</v>
      </c>
      <c r="J3967" s="2" t="n">
        <f aca="false">IF(F3967="yes",1,0)</f>
        <v>0</v>
      </c>
      <c r="K3967" s="2" t="n">
        <f aca="false">IF(H3967="yes",1,0)</f>
        <v>0</v>
      </c>
      <c r="L3967" s="2" t="n">
        <f aca="false">IF(I3967="yes",1,0)</f>
        <v>0</v>
      </c>
      <c r="M3967" s="2" t="n">
        <f aca="false">IF(G3967&lt;0,1,0)</f>
        <v>0</v>
      </c>
      <c r="N3967" s="2" t="str">
        <f aca="false">_xlfn.IFS(B3967&lt;30,"Under 30",B3967&lt;40,"30-39",B3967&lt;50,"40-49",B3967&lt;60,"50-59",TRUE(),"60+")</f>
        <v>50-59</v>
      </c>
      <c r="O3967" s="2" t="str">
        <f aca="false">_xlfn.IFS(G3967&lt;0,"1 Negative",G3967=0,"2 Zero",G3967&lt;=500,"3 1-500",G3967&lt;=2000,"4 501-2000",TRUE(),"5 Above 2000")</f>
        <v>5 Above 2000</v>
      </c>
      <c r="P3967" s="2" t="n">
        <f aca="false">Lookups!$B$2*M3967+Lookups!$B$3*L3967</f>
        <v>0</v>
      </c>
      <c r="Q3967" s="2" t="str">
        <f aca="false">INDEX(Lookups!$E$2:$E$5,MATCH(P3967,Lookups!$D$2:$D$5,0))</f>
        <v>Low</v>
      </c>
    </row>
    <row r="3968" customFormat="false" ht="15" hidden="false" customHeight="false" outlineLevel="0" collapsed="false">
      <c r="A3968" s="3" t="n">
        <v>3967</v>
      </c>
      <c r="B3968" s="3" t="n">
        <f aca="false">Raw_Data!A3968</f>
        <v>41</v>
      </c>
      <c r="C3968" s="3" t="str">
        <f aca="false">SUBSTITUTE(Raw_Data!B3968,".","")</f>
        <v>technician</v>
      </c>
      <c r="D3968" s="3" t="str">
        <f aca="false">Raw_Data!C3968</f>
        <v>divorced</v>
      </c>
      <c r="E3968" s="3" t="str">
        <f aca="false">Raw_Data!D3968</f>
        <v>secondary</v>
      </c>
      <c r="F3968" s="3" t="str">
        <f aca="false">Raw_Data!E3968</f>
        <v>no</v>
      </c>
      <c r="G3968" s="3" t="n">
        <f aca="false">Raw_Data!F3968</f>
        <v>52</v>
      </c>
      <c r="H3968" s="3" t="str">
        <f aca="false">Raw_Data!G3968</f>
        <v>no</v>
      </c>
      <c r="I3968" s="3" t="str">
        <f aca="false">Raw_Data!H3968</f>
        <v>no</v>
      </c>
      <c r="J3968" s="2" t="n">
        <f aca="false">IF(F3968="yes",1,0)</f>
        <v>0</v>
      </c>
      <c r="K3968" s="2" t="n">
        <f aca="false">IF(H3968="yes",1,0)</f>
        <v>0</v>
      </c>
      <c r="L3968" s="2" t="n">
        <f aca="false">IF(I3968="yes",1,0)</f>
        <v>0</v>
      </c>
      <c r="M3968" s="2" t="n">
        <f aca="false">IF(G3968&lt;0,1,0)</f>
        <v>0</v>
      </c>
      <c r="N3968" s="2" t="str">
        <f aca="false">_xlfn.IFS(B3968&lt;30,"Under 30",B3968&lt;40,"30-39",B3968&lt;50,"40-49",B3968&lt;60,"50-59",TRUE(),"60+")</f>
        <v>40-49</v>
      </c>
      <c r="O3968" s="2" t="str">
        <f aca="false">_xlfn.IFS(G3968&lt;0,"1 Negative",G3968=0,"2 Zero",G3968&lt;=500,"3 1-500",G3968&lt;=2000,"4 501-2000",TRUE(),"5 Above 2000")</f>
        <v>3 1-500</v>
      </c>
      <c r="P3968" s="2" t="n">
        <f aca="false">Lookups!$B$2*M3968+Lookups!$B$3*L3968</f>
        <v>0</v>
      </c>
      <c r="Q3968" s="2" t="str">
        <f aca="false">INDEX(Lookups!$E$2:$E$5,MATCH(P3968,Lookups!$D$2:$D$5,0))</f>
        <v>Low</v>
      </c>
    </row>
    <row r="3969" customFormat="false" ht="15" hidden="false" customHeight="false" outlineLevel="0" collapsed="false">
      <c r="A3969" s="3" t="n">
        <v>3968</v>
      </c>
      <c r="B3969" s="3" t="n">
        <f aca="false">Raw_Data!A3969</f>
        <v>48</v>
      </c>
      <c r="C3969" s="3" t="str">
        <f aca="false">SUBSTITUTE(Raw_Data!B3969,".","")</f>
        <v>technician</v>
      </c>
      <c r="D3969" s="3" t="str">
        <f aca="false">Raw_Data!C3969</f>
        <v>married</v>
      </c>
      <c r="E3969" s="3" t="str">
        <f aca="false">Raw_Data!D3969</f>
        <v>secondary</v>
      </c>
      <c r="F3969" s="3" t="str">
        <f aca="false">Raw_Data!E3969</f>
        <v>no</v>
      </c>
      <c r="G3969" s="3" t="n">
        <f aca="false">Raw_Data!F3969</f>
        <v>10655</v>
      </c>
      <c r="H3969" s="3" t="str">
        <f aca="false">Raw_Data!G3969</f>
        <v>no</v>
      </c>
      <c r="I3969" s="3" t="str">
        <f aca="false">Raw_Data!H3969</f>
        <v>no</v>
      </c>
      <c r="J3969" s="2" t="n">
        <f aca="false">IF(F3969="yes",1,0)</f>
        <v>0</v>
      </c>
      <c r="K3969" s="2" t="n">
        <f aca="false">IF(H3969="yes",1,0)</f>
        <v>0</v>
      </c>
      <c r="L3969" s="2" t="n">
        <f aca="false">IF(I3969="yes",1,0)</f>
        <v>0</v>
      </c>
      <c r="M3969" s="2" t="n">
        <f aca="false">IF(G3969&lt;0,1,0)</f>
        <v>0</v>
      </c>
      <c r="N3969" s="2" t="str">
        <f aca="false">_xlfn.IFS(B3969&lt;30,"Under 30",B3969&lt;40,"30-39",B3969&lt;50,"40-49",B3969&lt;60,"50-59",TRUE(),"60+")</f>
        <v>40-49</v>
      </c>
      <c r="O3969" s="2" t="str">
        <f aca="false">_xlfn.IFS(G3969&lt;0,"1 Negative",G3969=0,"2 Zero",G3969&lt;=500,"3 1-500",G3969&lt;=2000,"4 501-2000",TRUE(),"5 Above 2000")</f>
        <v>5 Above 2000</v>
      </c>
      <c r="P3969" s="2" t="n">
        <f aca="false">Lookups!$B$2*M3969+Lookups!$B$3*L3969</f>
        <v>0</v>
      </c>
      <c r="Q3969" s="2" t="str">
        <f aca="false">INDEX(Lookups!$E$2:$E$5,MATCH(P3969,Lookups!$D$2:$D$5,0))</f>
        <v>Low</v>
      </c>
    </row>
    <row r="3970" customFormat="false" ht="15" hidden="false" customHeight="false" outlineLevel="0" collapsed="false">
      <c r="A3970" s="3" t="n">
        <v>3969</v>
      </c>
      <c r="B3970" s="3" t="n">
        <f aca="false">Raw_Data!A3970</f>
        <v>58</v>
      </c>
      <c r="C3970" s="3" t="str">
        <f aca="false">SUBSTITUTE(Raw_Data!B3970,".","")</f>
        <v>management</v>
      </c>
      <c r="D3970" s="3" t="str">
        <f aca="false">Raw_Data!C3970</f>
        <v>married</v>
      </c>
      <c r="E3970" s="3" t="str">
        <f aca="false">Raw_Data!D3970</f>
        <v>tertiary</v>
      </c>
      <c r="F3970" s="3" t="str">
        <f aca="false">Raw_Data!E3970</f>
        <v>no</v>
      </c>
      <c r="G3970" s="3" t="n">
        <f aca="false">Raw_Data!F3970</f>
        <v>1831</v>
      </c>
      <c r="H3970" s="3" t="str">
        <f aca="false">Raw_Data!G3970</f>
        <v>no</v>
      </c>
      <c r="I3970" s="3" t="str">
        <f aca="false">Raw_Data!H3970</f>
        <v>no</v>
      </c>
      <c r="J3970" s="2" t="n">
        <f aca="false">IF(F3970="yes",1,0)</f>
        <v>0</v>
      </c>
      <c r="K3970" s="2" t="n">
        <f aca="false">IF(H3970="yes",1,0)</f>
        <v>0</v>
      </c>
      <c r="L3970" s="2" t="n">
        <f aca="false">IF(I3970="yes",1,0)</f>
        <v>0</v>
      </c>
      <c r="M3970" s="2" t="n">
        <f aca="false">IF(G3970&lt;0,1,0)</f>
        <v>0</v>
      </c>
      <c r="N3970" s="2" t="str">
        <f aca="false">_xlfn.IFS(B3970&lt;30,"Under 30",B3970&lt;40,"30-39",B3970&lt;50,"40-49",B3970&lt;60,"50-59",TRUE(),"60+")</f>
        <v>50-59</v>
      </c>
      <c r="O3970" s="2" t="str">
        <f aca="false">_xlfn.IFS(G3970&lt;0,"1 Negative",G3970=0,"2 Zero",G3970&lt;=500,"3 1-500",G3970&lt;=2000,"4 501-2000",TRUE(),"5 Above 2000")</f>
        <v>4 501-2000</v>
      </c>
      <c r="P3970" s="2" t="n">
        <f aca="false">Lookups!$B$2*M3970+Lookups!$B$3*L3970</f>
        <v>0</v>
      </c>
      <c r="Q3970" s="2" t="str">
        <f aca="false">INDEX(Lookups!$E$2:$E$5,MATCH(P3970,Lookups!$D$2:$D$5,0))</f>
        <v>Low</v>
      </c>
    </row>
    <row r="3971" customFormat="false" ht="15" hidden="false" customHeight="false" outlineLevel="0" collapsed="false">
      <c r="A3971" s="3" t="n">
        <v>3970</v>
      </c>
      <c r="B3971" s="3" t="n">
        <f aca="false">Raw_Data!A3971</f>
        <v>40</v>
      </c>
      <c r="C3971" s="3" t="str">
        <f aca="false">SUBSTITUTE(Raw_Data!B3971,".","")</f>
        <v>self-employed</v>
      </c>
      <c r="D3971" s="3" t="str">
        <f aca="false">Raw_Data!C3971</f>
        <v>married</v>
      </c>
      <c r="E3971" s="3" t="str">
        <f aca="false">Raw_Data!D3971</f>
        <v>primary</v>
      </c>
      <c r="F3971" s="3" t="str">
        <f aca="false">Raw_Data!E3971</f>
        <v>no</v>
      </c>
      <c r="G3971" s="3" t="n">
        <f aca="false">Raw_Data!F3971</f>
        <v>92</v>
      </c>
      <c r="H3971" s="3" t="str">
        <f aca="false">Raw_Data!G3971</f>
        <v>yes</v>
      </c>
      <c r="I3971" s="3" t="str">
        <f aca="false">Raw_Data!H3971</f>
        <v>no</v>
      </c>
      <c r="J3971" s="2" t="n">
        <f aca="false">IF(F3971="yes",1,0)</f>
        <v>0</v>
      </c>
      <c r="K3971" s="2" t="n">
        <f aca="false">IF(H3971="yes",1,0)</f>
        <v>1</v>
      </c>
      <c r="L3971" s="2" t="n">
        <f aca="false">IF(I3971="yes",1,0)</f>
        <v>0</v>
      </c>
      <c r="M3971" s="2" t="n">
        <f aca="false">IF(G3971&lt;0,1,0)</f>
        <v>0</v>
      </c>
      <c r="N3971" s="2" t="str">
        <f aca="false">_xlfn.IFS(B3971&lt;30,"Under 30",B3971&lt;40,"30-39",B3971&lt;50,"40-49",B3971&lt;60,"50-59",TRUE(),"60+")</f>
        <v>40-49</v>
      </c>
      <c r="O3971" s="2" t="str">
        <f aca="false">_xlfn.IFS(G3971&lt;0,"1 Negative",G3971=0,"2 Zero",G3971&lt;=500,"3 1-500",G3971&lt;=2000,"4 501-2000",TRUE(),"5 Above 2000")</f>
        <v>3 1-500</v>
      </c>
      <c r="P3971" s="2" t="n">
        <f aca="false">Lookups!$B$2*M3971+Lookups!$B$3*L3971</f>
        <v>0</v>
      </c>
      <c r="Q3971" s="2" t="str">
        <f aca="false">INDEX(Lookups!$E$2:$E$5,MATCH(P3971,Lookups!$D$2:$D$5,0))</f>
        <v>Low</v>
      </c>
    </row>
    <row r="3972" customFormat="false" ht="15" hidden="false" customHeight="false" outlineLevel="0" collapsed="false">
      <c r="A3972" s="3" t="n">
        <v>3971</v>
      </c>
      <c r="B3972" s="3" t="n">
        <f aca="false">Raw_Data!A3972</f>
        <v>48</v>
      </c>
      <c r="C3972" s="3" t="str">
        <f aca="false">SUBSTITUTE(Raw_Data!B3972,".","")</f>
        <v>management</v>
      </c>
      <c r="D3972" s="3" t="str">
        <f aca="false">Raw_Data!C3972</f>
        <v>married</v>
      </c>
      <c r="E3972" s="3" t="str">
        <f aca="false">Raw_Data!D3972</f>
        <v>tertiary</v>
      </c>
      <c r="F3972" s="3" t="str">
        <f aca="false">Raw_Data!E3972</f>
        <v>no</v>
      </c>
      <c r="G3972" s="3" t="n">
        <f aca="false">Raw_Data!F3972</f>
        <v>586</v>
      </c>
      <c r="H3972" s="3" t="str">
        <f aca="false">Raw_Data!G3972</f>
        <v>yes</v>
      </c>
      <c r="I3972" s="3" t="str">
        <f aca="false">Raw_Data!H3972</f>
        <v>yes</v>
      </c>
      <c r="J3972" s="2" t="n">
        <f aca="false">IF(F3972="yes",1,0)</f>
        <v>0</v>
      </c>
      <c r="K3972" s="2" t="n">
        <f aca="false">IF(H3972="yes",1,0)</f>
        <v>1</v>
      </c>
      <c r="L3972" s="2" t="n">
        <f aca="false">IF(I3972="yes",1,0)</f>
        <v>1</v>
      </c>
      <c r="M3972" s="2" t="n">
        <f aca="false">IF(G3972&lt;0,1,0)</f>
        <v>0</v>
      </c>
      <c r="N3972" s="2" t="str">
        <f aca="false">_xlfn.IFS(B3972&lt;30,"Under 30",B3972&lt;40,"30-39",B3972&lt;50,"40-49",B3972&lt;60,"50-59",TRUE(),"60+")</f>
        <v>40-49</v>
      </c>
      <c r="O3972" s="2" t="str">
        <f aca="false">_xlfn.IFS(G3972&lt;0,"1 Negative",G3972=0,"2 Zero",G3972&lt;=500,"3 1-500",G3972&lt;=2000,"4 501-2000",TRUE(),"5 Above 2000")</f>
        <v>4 501-2000</v>
      </c>
      <c r="P3972" s="2" t="n">
        <f aca="false">Lookups!$B$2*M3972+Lookups!$B$3*L3972</f>
        <v>1</v>
      </c>
      <c r="Q3972" s="2" t="str">
        <f aca="false">INDEX(Lookups!$E$2:$E$5,MATCH(P3972,Lookups!$D$2:$D$5,0))</f>
        <v>Medium</v>
      </c>
    </row>
    <row r="3973" customFormat="false" ht="15" hidden="false" customHeight="false" outlineLevel="0" collapsed="false">
      <c r="A3973" s="3" t="n">
        <v>3972</v>
      </c>
      <c r="B3973" s="3" t="n">
        <f aca="false">Raw_Data!A3973</f>
        <v>52</v>
      </c>
      <c r="C3973" s="3" t="str">
        <f aca="false">SUBSTITUTE(Raw_Data!B3973,".","")</f>
        <v>blue-collar</v>
      </c>
      <c r="D3973" s="3" t="str">
        <f aca="false">Raw_Data!C3973</f>
        <v>divorced</v>
      </c>
      <c r="E3973" s="3" t="str">
        <f aca="false">Raw_Data!D3973</f>
        <v>primary</v>
      </c>
      <c r="F3973" s="3" t="str">
        <f aca="false">Raw_Data!E3973</f>
        <v>no</v>
      </c>
      <c r="G3973" s="3" t="n">
        <f aca="false">Raw_Data!F3973</f>
        <v>1758</v>
      </c>
      <c r="H3973" s="3" t="str">
        <f aca="false">Raw_Data!G3973</f>
        <v>yes</v>
      </c>
      <c r="I3973" s="3" t="str">
        <f aca="false">Raw_Data!H3973</f>
        <v>no</v>
      </c>
      <c r="J3973" s="2" t="n">
        <f aca="false">IF(F3973="yes",1,0)</f>
        <v>0</v>
      </c>
      <c r="K3973" s="2" t="n">
        <f aca="false">IF(H3973="yes",1,0)</f>
        <v>1</v>
      </c>
      <c r="L3973" s="2" t="n">
        <f aca="false">IF(I3973="yes",1,0)</f>
        <v>0</v>
      </c>
      <c r="M3973" s="2" t="n">
        <f aca="false">IF(G3973&lt;0,1,0)</f>
        <v>0</v>
      </c>
      <c r="N3973" s="2" t="str">
        <f aca="false">_xlfn.IFS(B3973&lt;30,"Under 30",B3973&lt;40,"30-39",B3973&lt;50,"40-49",B3973&lt;60,"50-59",TRUE(),"60+")</f>
        <v>50-59</v>
      </c>
      <c r="O3973" s="2" t="str">
        <f aca="false">_xlfn.IFS(G3973&lt;0,"1 Negative",G3973=0,"2 Zero",G3973&lt;=500,"3 1-500",G3973&lt;=2000,"4 501-2000",TRUE(),"5 Above 2000")</f>
        <v>4 501-2000</v>
      </c>
      <c r="P3973" s="2" t="n">
        <f aca="false">Lookups!$B$2*M3973+Lookups!$B$3*L3973</f>
        <v>0</v>
      </c>
      <c r="Q3973" s="2" t="str">
        <f aca="false">INDEX(Lookups!$E$2:$E$5,MATCH(P3973,Lookups!$D$2:$D$5,0))</f>
        <v>Low</v>
      </c>
    </row>
    <row r="3974" customFormat="false" ht="15" hidden="false" customHeight="false" outlineLevel="0" collapsed="false">
      <c r="A3974" s="3" t="n">
        <v>3973</v>
      </c>
      <c r="B3974" s="3" t="n">
        <f aca="false">Raw_Data!A3974</f>
        <v>50</v>
      </c>
      <c r="C3974" s="3" t="str">
        <f aca="false">SUBSTITUTE(Raw_Data!B3974,".","")</f>
        <v>self-employed</v>
      </c>
      <c r="D3974" s="3" t="str">
        <f aca="false">Raw_Data!C3974</f>
        <v>married</v>
      </c>
      <c r="E3974" s="3" t="str">
        <f aca="false">Raw_Data!D3974</f>
        <v>secondary</v>
      </c>
      <c r="F3974" s="3" t="str">
        <f aca="false">Raw_Data!E3974</f>
        <v>no</v>
      </c>
      <c r="G3974" s="3" t="n">
        <f aca="false">Raw_Data!F3974</f>
        <v>2061</v>
      </c>
      <c r="H3974" s="3" t="str">
        <f aca="false">Raw_Data!G3974</f>
        <v>yes</v>
      </c>
      <c r="I3974" s="3" t="str">
        <f aca="false">Raw_Data!H3974</f>
        <v>yes</v>
      </c>
      <c r="J3974" s="2" t="n">
        <f aca="false">IF(F3974="yes",1,0)</f>
        <v>0</v>
      </c>
      <c r="K3974" s="2" t="n">
        <f aca="false">IF(H3974="yes",1,0)</f>
        <v>1</v>
      </c>
      <c r="L3974" s="2" t="n">
        <f aca="false">IF(I3974="yes",1,0)</f>
        <v>1</v>
      </c>
      <c r="M3974" s="2" t="n">
        <f aca="false">IF(G3974&lt;0,1,0)</f>
        <v>0</v>
      </c>
      <c r="N3974" s="2" t="str">
        <f aca="false">_xlfn.IFS(B3974&lt;30,"Under 30",B3974&lt;40,"30-39",B3974&lt;50,"40-49",B3974&lt;60,"50-59",TRUE(),"60+")</f>
        <v>50-59</v>
      </c>
      <c r="O3974" s="2" t="str">
        <f aca="false">_xlfn.IFS(G3974&lt;0,"1 Negative",G3974=0,"2 Zero",G3974&lt;=500,"3 1-500",G3974&lt;=2000,"4 501-2000",TRUE(),"5 Above 2000")</f>
        <v>5 Above 2000</v>
      </c>
      <c r="P3974" s="2" t="n">
        <f aca="false">Lookups!$B$2*M3974+Lookups!$B$3*L3974</f>
        <v>1</v>
      </c>
      <c r="Q3974" s="2" t="str">
        <f aca="false">INDEX(Lookups!$E$2:$E$5,MATCH(P3974,Lookups!$D$2:$D$5,0))</f>
        <v>Medium</v>
      </c>
    </row>
    <row r="3975" customFormat="false" ht="15" hidden="false" customHeight="false" outlineLevel="0" collapsed="false">
      <c r="A3975" s="3" t="n">
        <v>3974</v>
      </c>
      <c r="B3975" s="3" t="n">
        <f aca="false">Raw_Data!A3975</f>
        <v>25</v>
      </c>
      <c r="C3975" s="3" t="str">
        <f aca="false">SUBSTITUTE(Raw_Data!B3975,".","")</f>
        <v>technician</v>
      </c>
      <c r="D3975" s="3" t="str">
        <f aca="false">Raw_Data!C3975</f>
        <v>single</v>
      </c>
      <c r="E3975" s="3" t="str">
        <f aca="false">Raw_Data!D3975</f>
        <v>secondary</v>
      </c>
      <c r="F3975" s="3" t="str">
        <f aca="false">Raw_Data!E3975</f>
        <v>no</v>
      </c>
      <c r="G3975" s="3" t="n">
        <f aca="false">Raw_Data!F3975</f>
        <v>959</v>
      </c>
      <c r="H3975" s="3" t="str">
        <f aca="false">Raw_Data!G3975</f>
        <v>no</v>
      </c>
      <c r="I3975" s="3" t="str">
        <f aca="false">Raw_Data!H3975</f>
        <v>no</v>
      </c>
      <c r="J3975" s="2" t="n">
        <f aca="false">IF(F3975="yes",1,0)</f>
        <v>0</v>
      </c>
      <c r="K3975" s="2" t="n">
        <f aca="false">IF(H3975="yes",1,0)</f>
        <v>0</v>
      </c>
      <c r="L3975" s="2" t="n">
        <f aca="false">IF(I3975="yes",1,0)</f>
        <v>0</v>
      </c>
      <c r="M3975" s="2" t="n">
        <f aca="false">IF(G3975&lt;0,1,0)</f>
        <v>0</v>
      </c>
      <c r="N3975" s="2" t="str">
        <f aca="false">_xlfn.IFS(B3975&lt;30,"Under 30",B3975&lt;40,"30-39",B3975&lt;50,"40-49",B3975&lt;60,"50-59",TRUE(),"60+")</f>
        <v>Under 30</v>
      </c>
      <c r="O3975" s="2" t="str">
        <f aca="false">_xlfn.IFS(G3975&lt;0,"1 Negative",G3975=0,"2 Zero",G3975&lt;=500,"3 1-500",G3975&lt;=2000,"4 501-2000",TRUE(),"5 Above 2000")</f>
        <v>4 501-2000</v>
      </c>
      <c r="P3975" s="2" t="n">
        <f aca="false">Lookups!$B$2*M3975+Lookups!$B$3*L3975</f>
        <v>0</v>
      </c>
      <c r="Q3975" s="2" t="str">
        <f aca="false">INDEX(Lookups!$E$2:$E$5,MATCH(P3975,Lookups!$D$2:$D$5,0))</f>
        <v>Low</v>
      </c>
    </row>
    <row r="3976" customFormat="false" ht="15" hidden="false" customHeight="false" outlineLevel="0" collapsed="false">
      <c r="A3976" s="3" t="n">
        <v>3975</v>
      </c>
      <c r="B3976" s="3" t="n">
        <f aca="false">Raw_Data!A3976</f>
        <v>54</v>
      </c>
      <c r="C3976" s="3" t="str">
        <f aca="false">SUBSTITUTE(Raw_Data!B3976,".","")</f>
        <v>retired</v>
      </c>
      <c r="D3976" s="3" t="str">
        <f aca="false">Raw_Data!C3976</f>
        <v>married</v>
      </c>
      <c r="E3976" s="3" t="str">
        <f aca="false">Raw_Data!D3976</f>
        <v>primary</v>
      </c>
      <c r="F3976" s="3" t="str">
        <f aca="false">Raw_Data!E3976</f>
        <v>no</v>
      </c>
      <c r="G3976" s="3" t="n">
        <f aca="false">Raw_Data!F3976</f>
        <v>208</v>
      </c>
      <c r="H3976" s="3" t="str">
        <f aca="false">Raw_Data!G3976</f>
        <v>no</v>
      </c>
      <c r="I3976" s="3" t="str">
        <f aca="false">Raw_Data!H3976</f>
        <v>no</v>
      </c>
      <c r="J3976" s="2" t="n">
        <f aca="false">IF(F3976="yes",1,0)</f>
        <v>0</v>
      </c>
      <c r="K3976" s="2" t="n">
        <f aca="false">IF(H3976="yes",1,0)</f>
        <v>0</v>
      </c>
      <c r="L3976" s="2" t="n">
        <f aca="false">IF(I3976="yes",1,0)</f>
        <v>0</v>
      </c>
      <c r="M3976" s="2" t="n">
        <f aca="false">IF(G3976&lt;0,1,0)</f>
        <v>0</v>
      </c>
      <c r="N3976" s="2" t="str">
        <f aca="false">_xlfn.IFS(B3976&lt;30,"Under 30",B3976&lt;40,"30-39",B3976&lt;50,"40-49",B3976&lt;60,"50-59",TRUE(),"60+")</f>
        <v>50-59</v>
      </c>
      <c r="O3976" s="2" t="str">
        <f aca="false">_xlfn.IFS(G3976&lt;0,"1 Negative",G3976=0,"2 Zero",G3976&lt;=500,"3 1-500",G3976&lt;=2000,"4 501-2000",TRUE(),"5 Above 2000")</f>
        <v>3 1-500</v>
      </c>
      <c r="P3976" s="2" t="n">
        <f aca="false">Lookups!$B$2*M3976+Lookups!$B$3*L3976</f>
        <v>0</v>
      </c>
      <c r="Q3976" s="2" t="str">
        <f aca="false">INDEX(Lookups!$E$2:$E$5,MATCH(P3976,Lookups!$D$2:$D$5,0))</f>
        <v>Low</v>
      </c>
    </row>
    <row r="3977" customFormat="false" ht="15" hidden="false" customHeight="false" outlineLevel="0" collapsed="false">
      <c r="A3977" s="3" t="n">
        <v>3976</v>
      </c>
      <c r="B3977" s="3" t="n">
        <f aca="false">Raw_Data!A3977</f>
        <v>34</v>
      </c>
      <c r="C3977" s="3" t="str">
        <f aca="false">SUBSTITUTE(Raw_Data!B3977,".","")</f>
        <v>services</v>
      </c>
      <c r="D3977" s="3" t="str">
        <f aca="false">Raw_Data!C3977</f>
        <v>married</v>
      </c>
      <c r="E3977" s="3" t="str">
        <f aca="false">Raw_Data!D3977</f>
        <v>secondary</v>
      </c>
      <c r="F3977" s="3" t="str">
        <f aca="false">Raw_Data!E3977</f>
        <v>no</v>
      </c>
      <c r="G3977" s="3" t="n">
        <f aca="false">Raw_Data!F3977</f>
        <v>-315</v>
      </c>
      <c r="H3977" s="3" t="str">
        <f aca="false">Raw_Data!G3977</f>
        <v>yes</v>
      </c>
      <c r="I3977" s="3" t="str">
        <f aca="false">Raw_Data!H3977</f>
        <v>no</v>
      </c>
      <c r="J3977" s="2" t="n">
        <f aca="false">IF(F3977="yes",1,0)</f>
        <v>0</v>
      </c>
      <c r="K3977" s="2" t="n">
        <f aca="false">IF(H3977="yes",1,0)</f>
        <v>1</v>
      </c>
      <c r="L3977" s="2" t="n">
        <f aca="false">IF(I3977="yes",1,0)</f>
        <v>0</v>
      </c>
      <c r="M3977" s="2" t="n">
        <f aca="false">IF(G3977&lt;0,1,0)</f>
        <v>1</v>
      </c>
      <c r="N3977" s="2" t="str">
        <f aca="false">_xlfn.IFS(B3977&lt;30,"Under 30",B3977&lt;40,"30-39",B3977&lt;50,"40-49",B3977&lt;60,"50-59",TRUE(),"60+")</f>
        <v>30-39</v>
      </c>
      <c r="O3977" s="2" t="str">
        <f aca="false">_xlfn.IFS(G3977&lt;0,"1 Negative",G3977=0,"2 Zero",G3977&lt;=500,"3 1-500",G3977&lt;=2000,"4 501-2000",TRUE(),"5 Above 2000")</f>
        <v>1 Negative</v>
      </c>
      <c r="P3977" s="2" t="n">
        <f aca="false">Lookups!$B$2*M3977+Lookups!$B$3*L3977</f>
        <v>2</v>
      </c>
      <c r="Q3977" s="2" t="str">
        <f aca="false">INDEX(Lookups!$E$2:$E$5,MATCH(P3977,Lookups!$D$2:$D$5,0))</f>
        <v>High</v>
      </c>
    </row>
    <row r="3978" customFormat="false" ht="15" hidden="false" customHeight="false" outlineLevel="0" collapsed="false">
      <c r="A3978" s="3" t="n">
        <v>3977</v>
      </c>
      <c r="B3978" s="3" t="n">
        <f aca="false">Raw_Data!A3978</f>
        <v>48</v>
      </c>
      <c r="C3978" s="3" t="str">
        <f aca="false">SUBSTITUTE(Raw_Data!B3978,".","")</f>
        <v>management</v>
      </c>
      <c r="D3978" s="3" t="str">
        <f aca="false">Raw_Data!C3978</f>
        <v>married</v>
      </c>
      <c r="E3978" s="3" t="str">
        <f aca="false">Raw_Data!D3978</f>
        <v>tertiary</v>
      </c>
      <c r="F3978" s="3" t="str">
        <f aca="false">Raw_Data!E3978</f>
        <v>yes</v>
      </c>
      <c r="G3978" s="3" t="n">
        <f aca="false">Raw_Data!F3978</f>
        <v>-13</v>
      </c>
      <c r="H3978" s="3" t="str">
        <f aca="false">Raw_Data!G3978</f>
        <v>yes</v>
      </c>
      <c r="I3978" s="3" t="str">
        <f aca="false">Raw_Data!H3978</f>
        <v>no</v>
      </c>
      <c r="J3978" s="2" t="n">
        <f aca="false">IF(F3978="yes",1,0)</f>
        <v>1</v>
      </c>
      <c r="K3978" s="2" t="n">
        <f aca="false">IF(H3978="yes",1,0)</f>
        <v>1</v>
      </c>
      <c r="L3978" s="2" t="n">
        <f aca="false">IF(I3978="yes",1,0)</f>
        <v>0</v>
      </c>
      <c r="M3978" s="2" t="n">
        <f aca="false">IF(G3978&lt;0,1,0)</f>
        <v>1</v>
      </c>
      <c r="N3978" s="2" t="str">
        <f aca="false">_xlfn.IFS(B3978&lt;30,"Under 30",B3978&lt;40,"30-39",B3978&lt;50,"40-49",B3978&lt;60,"50-59",TRUE(),"60+")</f>
        <v>40-49</v>
      </c>
      <c r="O3978" s="2" t="str">
        <f aca="false">_xlfn.IFS(G3978&lt;0,"1 Negative",G3978=0,"2 Zero",G3978&lt;=500,"3 1-500",G3978&lt;=2000,"4 501-2000",TRUE(),"5 Above 2000")</f>
        <v>1 Negative</v>
      </c>
      <c r="P3978" s="2" t="n">
        <f aca="false">Lookups!$B$2*M3978+Lookups!$B$3*L3978</f>
        <v>2</v>
      </c>
      <c r="Q3978" s="2" t="str">
        <f aca="false">INDEX(Lookups!$E$2:$E$5,MATCH(P3978,Lookups!$D$2:$D$5,0))</f>
        <v>High</v>
      </c>
    </row>
    <row r="3979" customFormat="false" ht="15" hidden="false" customHeight="false" outlineLevel="0" collapsed="false">
      <c r="A3979" s="3" t="n">
        <v>3978</v>
      </c>
      <c r="B3979" s="3" t="n">
        <f aca="false">Raw_Data!A3979</f>
        <v>37</v>
      </c>
      <c r="C3979" s="3" t="str">
        <f aca="false">SUBSTITUTE(Raw_Data!B3979,".","")</f>
        <v>admin</v>
      </c>
      <c r="D3979" s="3" t="str">
        <f aca="false">Raw_Data!C3979</f>
        <v>married</v>
      </c>
      <c r="E3979" s="3" t="str">
        <f aca="false">Raw_Data!D3979</f>
        <v>tertiary</v>
      </c>
      <c r="F3979" s="3" t="str">
        <f aca="false">Raw_Data!E3979</f>
        <v>no</v>
      </c>
      <c r="G3979" s="3" t="n">
        <f aca="false">Raw_Data!F3979</f>
        <v>801</v>
      </c>
      <c r="H3979" s="3" t="str">
        <f aca="false">Raw_Data!G3979</f>
        <v>no</v>
      </c>
      <c r="I3979" s="3" t="str">
        <f aca="false">Raw_Data!H3979</f>
        <v>no</v>
      </c>
      <c r="J3979" s="2" t="n">
        <f aca="false">IF(F3979="yes",1,0)</f>
        <v>0</v>
      </c>
      <c r="K3979" s="2" t="n">
        <f aca="false">IF(H3979="yes",1,0)</f>
        <v>0</v>
      </c>
      <c r="L3979" s="2" t="n">
        <f aca="false">IF(I3979="yes",1,0)</f>
        <v>0</v>
      </c>
      <c r="M3979" s="2" t="n">
        <f aca="false">IF(G3979&lt;0,1,0)</f>
        <v>0</v>
      </c>
      <c r="N3979" s="2" t="str">
        <f aca="false">_xlfn.IFS(B3979&lt;30,"Under 30",B3979&lt;40,"30-39",B3979&lt;50,"40-49",B3979&lt;60,"50-59",TRUE(),"60+")</f>
        <v>30-39</v>
      </c>
      <c r="O3979" s="2" t="str">
        <f aca="false">_xlfn.IFS(G3979&lt;0,"1 Negative",G3979=0,"2 Zero",G3979&lt;=500,"3 1-500",G3979&lt;=2000,"4 501-2000",TRUE(),"5 Above 2000")</f>
        <v>4 501-2000</v>
      </c>
      <c r="P3979" s="2" t="n">
        <f aca="false">Lookups!$B$2*M3979+Lookups!$B$3*L3979</f>
        <v>0</v>
      </c>
      <c r="Q3979" s="2" t="str">
        <f aca="false">INDEX(Lookups!$E$2:$E$5,MATCH(P3979,Lookups!$D$2:$D$5,0))</f>
        <v>Low</v>
      </c>
    </row>
    <row r="3980" customFormat="false" ht="15" hidden="false" customHeight="false" outlineLevel="0" collapsed="false">
      <c r="A3980" s="3" t="n">
        <v>3979</v>
      </c>
      <c r="B3980" s="3" t="n">
        <f aca="false">Raw_Data!A3980</f>
        <v>66</v>
      </c>
      <c r="C3980" s="3" t="str">
        <f aca="false">SUBSTITUTE(Raw_Data!B3980,".","")</f>
        <v>retired</v>
      </c>
      <c r="D3980" s="3" t="str">
        <f aca="false">Raw_Data!C3980</f>
        <v>married</v>
      </c>
      <c r="E3980" s="3" t="str">
        <f aca="false">Raw_Data!D3980</f>
        <v>tertiary</v>
      </c>
      <c r="F3980" s="3" t="str">
        <f aca="false">Raw_Data!E3980</f>
        <v>no</v>
      </c>
      <c r="G3980" s="3" t="n">
        <f aca="false">Raw_Data!F3980</f>
        <v>1948</v>
      </c>
      <c r="H3980" s="3" t="str">
        <f aca="false">Raw_Data!G3980</f>
        <v>no</v>
      </c>
      <c r="I3980" s="3" t="str">
        <f aca="false">Raw_Data!H3980</f>
        <v>no</v>
      </c>
      <c r="J3980" s="2" t="n">
        <f aca="false">IF(F3980="yes",1,0)</f>
        <v>0</v>
      </c>
      <c r="K3980" s="2" t="n">
        <f aca="false">IF(H3980="yes",1,0)</f>
        <v>0</v>
      </c>
      <c r="L3980" s="2" t="n">
        <f aca="false">IF(I3980="yes",1,0)</f>
        <v>0</v>
      </c>
      <c r="M3980" s="2" t="n">
        <f aca="false">IF(G3980&lt;0,1,0)</f>
        <v>0</v>
      </c>
      <c r="N3980" s="2" t="str">
        <f aca="false">_xlfn.IFS(B3980&lt;30,"Under 30",B3980&lt;40,"30-39",B3980&lt;50,"40-49",B3980&lt;60,"50-59",TRUE(),"60+")</f>
        <v>60+</v>
      </c>
      <c r="O3980" s="2" t="str">
        <f aca="false">_xlfn.IFS(G3980&lt;0,"1 Negative",G3980=0,"2 Zero",G3980&lt;=500,"3 1-500",G3980&lt;=2000,"4 501-2000",TRUE(),"5 Above 2000")</f>
        <v>4 501-2000</v>
      </c>
      <c r="P3980" s="2" t="n">
        <f aca="false">Lookups!$B$2*M3980+Lookups!$B$3*L3980</f>
        <v>0</v>
      </c>
      <c r="Q3980" s="2" t="str">
        <f aca="false">INDEX(Lookups!$E$2:$E$5,MATCH(P3980,Lookups!$D$2:$D$5,0))</f>
        <v>Low</v>
      </c>
    </row>
    <row r="3981" customFormat="false" ht="15" hidden="false" customHeight="false" outlineLevel="0" collapsed="false">
      <c r="A3981" s="3" t="n">
        <v>3980</v>
      </c>
      <c r="B3981" s="3" t="n">
        <f aca="false">Raw_Data!A3981</f>
        <v>32</v>
      </c>
      <c r="C3981" s="3" t="str">
        <f aca="false">SUBSTITUTE(Raw_Data!B3981,".","")</f>
        <v>management</v>
      </c>
      <c r="D3981" s="3" t="str">
        <f aca="false">Raw_Data!C3981</f>
        <v>single</v>
      </c>
      <c r="E3981" s="3" t="str">
        <f aca="false">Raw_Data!D3981</f>
        <v>tertiary</v>
      </c>
      <c r="F3981" s="3" t="str">
        <f aca="false">Raw_Data!E3981</f>
        <v>no</v>
      </c>
      <c r="G3981" s="3" t="n">
        <f aca="false">Raw_Data!F3981</f>
        <v>751</v>
      </c>
      <c r="H3981" s="3" t="str">
        <f aca="false">Raw_Data!G3981</f>
        <v>yes</v>
      </c>
      <c r="I3981" s="3" t="str">
        <f aca="false">Raw_Data!H3981</f>
        <v>no</v>
      </c>
      <c r="J3981" s="2" t="n">
        <f aca="false">IF(F3981="yes",1,0)</f>
        <v>0</v>
      </c>
      <c r="K3981" s="2" t="n">
        <f aca="false">IF(H3981="yes",1,0)</f>
        <v>1</v>
      </c>
      <c r="L3981" s="2" t="n">
        <f aca="false">IF(I3981="yes",1,0)</f>
        <v>0</v>
      </c>
      <c r="M3981" s="2" t="n">
        <f aca="false">IF(G3981&lt;0,1,0)</f>
        <v>0</v>
      </c>
      <c r="N3981" s="2" t="str">
        <f aca="false">_xlfn.IFS(B3981&lt;30,"Under 30",B3981&lt;40,"30-39",B3981&lt;50,"40-49",B3981&lt;60,"50-59",TRUE(),"60+")</f>
        <v>30-39</v>
      </c>
      <c r="O3981" s="2" t="str">
        <f aca="false">_xlfn.IFS(G3981&lt;0,"1 Negative",G3981=0,"2 Zero",G3981&lt;=500,"3 1-500",G3981&lt;=2000,"4 501-2000",TRUE(),"5 Above 2000")</f>
        <v>4 501-2000</v>
      </c>
      <c r="P3981" s="2" t="n">
        <f aca="false">Lookups!$B$2*M3981+Lookups!$B$3*L3981</f>
        <v>0</v>
      </c>
      <c r="Q3981" s="2" t="str">
        <f aca="false">INDEX(Lookups!$E$2:$E$5,MATCH(P3981,Lookups!$D$2:$D$5,0))</f>
        <v>Low</v>
      </c>
    </row>
    <row r="3982" customFormat="false" ht="15" hidden="false" customHeight="false" outlineLevel="0" collapsed="false">
      <c r="A3982" s="3" t="n">
        <v>3981</v>
      </c>
      <c r="B3982" s="3" t="n">
        <f aca="false">Raw_Data!A3982</f>
        <v>45</v>
      </c>
      <c r="C3982" s="3" t="str">
        <f aca="false">SUBSTITUTE(Raw_Data!B3982,".","")</f>
        <v>blue-collar</v>
      </c>
      <c r="D3982" s="3" t="str">
        <f aca="false">Raw_Data!C3982</f>
        <v>married</v>
      </c>
      <c r="E3982" s="3" t="str">
        <f aca="false">Raw_Data!D3982</f>
        <v>secondary</v>
      </c>
      <c r="F3982" s="3" t="str">
        <f aca="false">Raw_Data!E3982</f>
        <v>no</v>
      </c>
      <c r="G3982" s="3" t="n">
        <f aca="false">Raw_Data!F3982</f>
        <v>784</v>
      </c>
      <c r="H3982" s="3" t="str">
        <f aca="false">Raw_Data!G3982</f>
        <v>yes</v>
      </c>
      <c r="I3982" s="3" t="str">
        <f aca="false">Raw_Data!H3982</f>
        <v>yes</v>
      </c>
      <c r="J3982" s="2" t="n">
        <f aca="false">IF(F3982="yes",1,0)</f>
        <v>0</v>
      </c>
      <c r="K3982" s="2" t="n">
        <f aca="false">IF(H3982="yes",1,0)</f>
        <v>1</v>
      </c>
      <c r="L3982" s="2" t="n">
        <f aca="false">IF(I3982="yes",1,0)</f>
        <v>1</v>
      </c>
      <c r="M3982" s="2" t="n">
        <f aca="false">IF(G3982&lt;0,1,0)</f>
        <v>0</v>
      </c>
      <c r="N3982" s="2" t="str">
        <f aca="false">_xlfn.IFS(B3982&lt;30,"Under 30",B3982&lt;40,"30-39",B3982&lt;50,"40-49",B3982&lt;60,"50-59",TRUE(),"60+")</f>
        <v>40-49</v>
      </c>
      <c r="O3982" s="2" t="str">
        <f aca="false">_xlfn.IFS(G3982&lt;0,"1 Negative",G3982=0,"2 Zero",G3982&lt;=500,"3 1-500",G3982&lt;=2000,"4 501-2000",TRUE(),"5 Above 2000")</f>
        <v>4 501-2000</v>
      </c>
      <c r="P3982" s="2" t="n">
        <f aca="false">Lookups!$B$2*M3982+Lookups!$B$3*L3982</f>
        <v>1</v>
      </c>
      <c r="Q3982" s="2" t="str">
        <f aca="false">INDEX(Lookups!$E$2:$E$5,MATCH(P3982,Lookups!$D$2:$D$5,0))</f>
        <v>Medium</v>
      </c>
    </row>
    <row r="3983" customFormat="false" ht="15" hidden="false" customHeight="false" outlineLevel="0" collapsed="false">
      <c r="A3983" s="3" t="n">
        <v>3982</v>
      </c>
      <c r="B3983" s="3" t="n">
        <f aca="false">Raw_Data!A3983</f>
        <v>43</v>
      </c>
      <c r="C3983" s="3" t="str">
        <f aca="false">SUBSTITUTE(Raw_Data!B3983,".","")</f>
        <v>blue-collar</v>
      </c>
      <c r="D3983" s="3" t="str">
        <f aca="false">Raw_Data!C3983</f>
        <v>single</v>
      </c>
      <c r="E3983" s="3" t="str">
        <f aca="false">Raw_Data!D3983</f>
        <v>secondary</v>
      </c>
      <c r="F3983" s="3" t="str">
        <f aca="false">Raw_Data!E3983</f>
        <v>no</v>
      </c>
      <c r="G3983" s="3" t="n">
        <f aca="false">Raw_Data!F3983</f>
        <v>24</v>
      </c>
      <c r="H3983" s="3" t="str">
        <f aca="false">Raw_Data!G3983</f>
        <v>no</v>
      </c>
      <c r="I3983" s="3" t="str">
        <f aca="false">Raw_Data!H3983</f>
        <v>no</v>
      </c>
      <c r="J3983" s="2" t="n">
        <f aca="false">IF(F3983="yes",1,0)</f>
        <v>0</v>
      </c>
      <c r="K3983" s="2" t="n">
        <f aca="false">IF(H3983="yes",1,0)</f>
        <v>0</v>
      </c>
      <c r="L3983" s="2" t="n">
        <f aca="false">IF(I3983="yes",1,0)</f>
        <v>0</v>
      </c>
      <c r="M3983" s="2" t="n">
        <f aca="false">IF(G3983&lt;0,1,0)</f>
        <v>0</v>
      </c>
      <c r="N3983" s="2" t="str">
        <f aca="false">_xlfn.IFS(B3983&lt;30,"Under 30",B3983&lt;40,"30-39",B3983&lt;50,"40-49",B3983&lt;60,"50-59",TRUE(),"60+")</f>
        <v>40-49</v>
      </c>
      <c r="O3983" s="2" t="str">
        <f aca="false">_xlfn.IFS(G3983&lt;0,"1 Negative",G3983=0,"2 Zero",G3983&lt;=500,"3 1-500",G3983&lt;=2000,"4 501-2000",TRUE(),"5 Above 2000")</f>
        <v>3 1-500</v>
      </c>
      <c r="P3983" s="2" t="n">
        <f aca="false">Lookups!$B$2*M3983+Lookups!$B$3*L3983</f>
        <v>0</v>
      </c>
      <c r="Q3983" s="2" t="str">
        <f aca="false">INDEX(Lookups!$E$2:$E$5,MATCH(P3983,Lookups!$D$2:$D$5,0))</f>
        <v>Low</v>
      </c>
    </row>
    <row r="3984" customFormat="false" ht="15" hidden="false" customHeight="false" outlineLevel="0" collapsed="false">
      <c r="A3984" s="3" t="n">
        <v>3983</v>
      </c>
      <c r="B3984" s="3" t="n">
        <f aca="false">Raw_Data!A3984</f>
        <v>41</v>
      </c>
      <c r="C3984" s="3" t="str">
        <f aca="false">SUBSTITUTE(Raw_Data!B3984,".","")</f>
        <v>management</v>
      </c>
      <c r="D3984" s="3" t="str">
        <f aca="false">Raw_Data!C3984</f>
        <v>married</v>
      </c>
      <c r="E3984" s="3" t="str">
        <f aca="false">Raw_Data!D3984</f>
        <v>tertiary</v>
      </c>
      <c r="F3984" s="3" t="str">
        <f aca="false">Raw_Data!E3984</f>
        <v>no</v>
      </c>
      <c r="G3984" s="3" t="n">
        <f aca="false">Raw_Data!F3984</f>
        <v>72</v>
      </c>
      <c r="H3984" s="3" t="str">
        <f aca="false">Raw_Data!G3984</f>
        <v>yes</v>
      </c>
      <c r="I3984" s="3" t="str">
        <f aca="false">Raw_Data!H3984</f>
        <v>no</v>
      </c>
      <c r="J3984" s="2" t="n">
        <f aca="false">IF(F3984="yes",1,0)</f>
        <v>0</v>
      </c>
      <c r="K3984" s="2" t="n">
        <f aca="false">IF(H3984="yes",1,0)</f>
        <v>1</v>
      </c>
      <c r="L3984" s="2" t="n">
        <f aca="false">IF(I3984="yes",1,0)</f>
        <v>0</v>
      </c>
      <c r="M3984" s="2" t="n">
        <f aca="false">IF(G3984&lt;0,1,0)</f>
        <v>0</v>
      </c>
      <c r="N3984" s="2" t="str">
        <f aca="false">_xlfn.IFS(B3984&lt;30,"Under 30",B3984&lt;40,"30-39",B3984&lt;50,"40-49",B3984&lt;60,"50-59",TRUE(),"60+")</f>
        <v>40-49</v>
      </c>
      <c r="O3984" s="2" t="str">
        <f aca="false">_xlfn.IFS(G3984&lt;0,"1 Negative",G3984=0,"2 Zero",G3984&lt;=500,"3 1-500",G3984&lt;=2000,"4 501-2000",TRUE(),"5 Above 2000")</f>
        <v>3 1-500</v>
      </c>
      <c r="P3984" s="2" t="n">
        <f aca="false">Lookups!$B$2*M3984+Lookups!$B$3*L3984</f>
        <v>0</v>
      </c>
      <c r="Q3984" s="2" t="str">
        <f aca="false">INDEX(Lookups!$E$2:$E$5,MATCH(P3984,Lookups!$D$2:$D$5,0))</f>
        <v>Low</v>
      </c>
    </row>
    <row r="3985" customFormat="false" ht="15" hidden="false" customHeight="false" outlineLevel="0" collapsed="false">
      <c r="A3985" s="3" t="n">
        <v>3984</v>
      </c>
      <c r="B3985" s="3" t="n">
        <f aca="false">Raw_Data!A3985</f>
        <v>40</v>
      </c>
      <c r="C3985" s="3" t="str">
        <f aca="false">SUBSTITUTE(Raw_Data!B3985,".","")</f>
        <v>technician</v>
      </c>
      <c r="D3985" s="3" t="str">
        <f aca="false">Raw_Data!C3985</f>
        <v>divorced</v>
      </c>
      <c r="E3985" s="3" t="str">
        <f aca="false">Raw_Data!D3985</f>
        <v>tertiary</v>
      </c>
      <c r="F3985" s="3" t="str">
        <f aca="false">Raw_Data!E3985</f>
        <v>no</v>
      </c>
      <c r="G3985" s="3" t="n">
        <f aca="false">Raw_Data!F3985</f>
        <v>1871</v>
      </c>
      <c r="H3985" s="3" t="str">
        <f aca="false">Raw_Data!G3985</f>
        <v>yes</v>
      </c>
      <c r="I3985" s="3" t="str">
        <f aca="false">Raw_Data!H3985</f>
        <v>no</v>
      </c>
      <c r="J3985" s="2" t="n">
        <f aca="false">IF(F3985="yes",1,0)</f>
        <v>0</v>
      </c>
      <c r="K3985" s="2" t="n">
        <f aca="false">IF(H3985="yes",1,0)</f>
        <v>1</v>
      </c>
      <c r="L3985" s="2" t="n">
        <f aca="false">IF(I3985="yes",1,0)</f>
        <v>0</v>
      </c>
      <c r="M3985" s="2" t="n">
        <f aca="false">IF(G3985&lt;0,1,0)</f>
        <v>0</v>
      </c>
      <c r="N3985" s="2" t="str">
        <f aca="false">_xlfn.IFS(B3985&lt;30,"Under 30",B3985&lt;40,"30-39",B3985&lt;50,"40-49",B3985&lt;60,"50-59",TRUE(),"60+")</f>
        <v>40-49</v>
      </c>
      <c r="O3985" s="2" t="str">
        <f aca="false">_xlfn.IFS(G3985&lt;0,"1 Negative",G3985=0,"2 Zero",G3985&lt;=500,"3 1-500",G3985&lt;=2000,"4 501-2000",TRUE(),"5 Above 2000")</f>
        <v>4 501-2000</v>
      </c>
      <c r="P3985" s="2" t="n">
        <f aca="false">Lookups!$B$2*M3985+Lookups!$B$3*L3985</f>
        <v>0</v>
      </c>
      <c r="Q3985" s="2" t="str">
        <f aca="false">INDEX(Lookups!$E$2:$E$5,MATCH(P3985,Lookups!$D$2:$D$5,0))</f>
        <v>Low</v>
      </c>
    </row>
    <row r="3986" customFormat="false" ht="15" hidden="false" customHeight="false" outlineLevel="0" collapsed="false">
      <c r="A3986" s="3" t="n">
        <v>3985</v>
      </c>
      <c r="B3986" s="3" t="n">
        <f aca="false">Raw_Data!A3986</f>
        <v>44</v>
      </c>
      <c r="C3986" s="3" t="str">
        <f aca="false">SUBSTITUTE(Raw_Data!B3986,".","")</f>
        <v>services</v>
      </c>
      <c r="D3986" s="3" t="str">
        <f aca="false">Raw_Data!C3986</f>
        <v>single</v>
      </c>
      <c r="E3986" s="3" t="str">
        <f aca="false">Raw_Data!D3986</f>
        <v>secondary</v>
      </c>
      <c r="F3986" s="3" t="str">
        <f aca="false">Raw_Data!E3986</f>
        <v>no</v>
      </c>
      <c r="G3986" s="3" t="n">
        <f aca="false">Raw_Data!F3986</f>
        <v>1378</v>
      </c>
      <c r="H3986" s="3" t="str">
        <f aca="false">Raw_Data!G3986</f>
        <v>yes</v>
      </c>
      <c r="I3986" s="3" t="str">
        <f aca="false">Raw_Data!H3986</f>
        <v>no</v>
      </c>
      <c r="J3986" s="2" t="n">
        <f aca="false">IF(F3986="yes",1,0)</f>
        <v>0</v>
      </c>
      <c r="K3986" s="2" t="n">
        <f aca="false">IF(H3986="yes",1,0)</f>
        <v>1</v>
      </c>
      <c r="L3986" s="2" t="n">
        <f aca="false">IF(I3986="yes",1,0)</f>
        <v>0</v>
      </c>
      <c r="M3986" s="2" t="n">
        <f aca="false">IF(G3986&lt;0,1,0)</f>
        <v>0</v>
      </c>
      <c r="N3986" s="2" t="str">
        <f aca="false">_xlfn.IFS(B3986&lt;30,"Under 30",B3986&lt;40,"30-39",B3986&lt;50,"40-49",B3986&lt;60,"50-59",TRUE(),"60+")</f>
        <v>40-49</v>
      </c>
      <c r="O3986" s="2" t="str">
        <f aca="false">_xlfn.IFS(G3986&lt;0,"1 Negative",G3986=0,"2 Zero",G3986&lt;=500,"3 1-500",G3986&lt;=2000,"4 501-2000",TRUE(),"5 Above 2000")</f>
        <v>4 501-2000</v>
      </c>
      <c r="P3986" s="2" t="n">
        <f aca="false">Lookups!$B$2*M3986+Lookups!$B$3*L3986</f>
        <v>0</v>
      </c>
      <c r="Q3986" s="2" t="str">
        <f aca="false">INDEX(Lookups!$E$2:$E$5,MATCH(P3986,Lookups!$D$2:$D$5,0))</f>
        <v>Low</v>
      </c>
    </row>
    <row r="3987" customFormat="false" ht="15" hidden="false" customHeight="false" outlineLevel="0" collapsed="false">
      <c r="A3987" s="3" t="n">
        <v>3986</v>
      </c>
      <c r="B3987" s="3" t="n">
        <f aca="false">Raw_Data!A3987</f>
        <v>43</v>
      </c>
      <c r="C3987" s="3" t="str">
        <f aca="false">SUBSTITUTE(Raw_Data!B3987,".","")</f>
        <v>blue-collar</v>
      </c>
      <c r="D3987" s="3" t="str">
        <f aca="false">Raw_Data!C3987</f>
        <v>married</v>
      </c>
      <c r="E3987" s="3" t="str">
        <f aca="false">Raw_Data!D3987</f>
        <v>primary</v>
      </c>
      <c r="F3987" s="3" t="str">
        <f aca="false">Raw_Data!E3987</f>
        <v>no</v>
      </c>
      <c r="G3987" s="3" t="n">
        <f aca="false">Raw_Data!F3987</f>
        <v>188</v>
      </c>
      <c r="H3987" s="3" t="str">
        <f aca="false">Raw_Data!G3987</f>
        <v>yes</v>
      </c>
      <c r="I3987" s="3" t="str">
        <f aca="false">Raw_Data!H3987</f>
        <v>no</v>
      </c>
      <c r="J3987" s="2" t="n">
        <f aca="false">IF(F3987="yes",1,0)</f>
        <v>0</v>
      </c>
      <c r="K3987" s="2" t="n">
        <f aca="false">IF(H3987="yes",1,0)</f>
        <v>1</v>
      </c>
      <c r="L3987" s="2" t="n">
        <f aca="false">IF(I3987="yes",1,0)</f>
        <v>0</v>
      </c>
      <c r="M3987" s="2" t="n">
        <f aca="false">IF(G3987&lt;0,1,0)</f>
        <v>0</v>
      </c>
      <c r="N3987" s="2" t="str">
        <f aca="false">_xlfn.IFS(B3987&lt;30,"Under 30",B3987&lt;40,"30-39",B3987&lt;50,"40-49",B3987&lt;60,"50-59",TRUE(),"60+")</f>
        <v>40-49</v>
      </c>
      <c r="O3987" s="2" t="str">
        <f aca="false">_xlfn.IFS(G3987&lt;0,"1 Negative",G3987=0,"2 Zero",G3987&lt;=500,"3 1-500",G3987&lt;=2000,"4 501-2000",TRUE(),"5 Above 2000")</f>
        <v>3 1-500</v>
      </c>
      <c r="P3987" s="2" t="n">
        <f aca="false">Lookups!$B$2*M3987+Lookups!$B$3*L3987</f>
        <v>0</v>
      </c>
      <c r="Q3987" s="2" t="str">
        <f aca="false">INDEX(Lookups!$E$2:$E$5,MATCH(P3987,Lookups!$D$2:$D$5,0))</f>
        <v>Low</v>
      </c>
    </row>
    <row r="3988" customFormat="false" ht="15" hidden="false" customHeight="false" outlineLevel="0" collapsed="false">
      <c r="A3988" s="3" t="n">
        <v>3987</v>
      </c>
      <c r="B3988" s="3" t="n">
        <f aca="false">Raw_Data!A3988</f>
        <v>30</v>
      </c>
      <c r="C3988" s="3" t="str">
        <f aca="false">SUBSTITUTE(Raw_Data!B3988,".","")</f>
        <v>unknown</v>
      </c>
      <c r="D3988" s="3" t="str">
        <f aca="false">Raw_Data!C3988</f>
        <v>single</v>
      </c>
      <c r="E3988" s="3" t="str">
        <f aca="false">Raw_Data!D3988</f>
        <v>tertiary</v>
      </c>
      <c r="F3988" s="3" t="str">
        <f aca="false">Raw_Data!E3988</f>
        <v>no</v>
      </c>
      <c r="G3988" s="3" t="n">
        <f aca="false">Raw_Data!F3988</f>
        <v>6836</v>
      </c>
      <c r="H3988" s="3" t="str">
        <f aca="false">Raw_Data!G3988</f>
        <v>no</v>
      </c>
      <c r="I3988" s="3" t="str">
        <f aca="false">Raw_Data!H3988</f>
        <v>no</v>
      </c>
      <c r="J3988" s="2" t="n">
        <f aca="false">IF(F3988="yes",1,0)</f>
        <v>0</v>
      </c>
      <c r="K3988" s="2" t="n">
        <f aca="false">IF(H3988="yes",1,0)</f>
        <v>0</v>
      </c>
      <c r="L3988" s="2" t="n">
        <f aca="false">IF(I3988="yes",1,0)</f>
        <v>0</v>
      </c>
      <c r="M3988" s="2" t="n">
        <f aca="false">IF(G3988&lt;0,1,0)</f>
        <v>0</v>
      </c>
      <c r="N3988" s="2" t="str">
        <f aca="false">_xlfn.IFS(B3988&lt;30,"Under 30",B3988&lt;40,"30-39",B3988&lt;50,"40-49",B3988&lt;60,"50-59",TRUE(),"60+")</f>
        <v>30-39</v>
      </c>
      <c r="O3988" s="2" t="str">
        <f aca="false">_xlfn.IFS(G3988&lt;0,"1 Negative",G3988=0,"2 Zero",G3988&lt;=500,"3 1-500",G3988&lt;=2000,"4 501-2000",TRUE(),"5 Above 2000")</f>
        <v>5 Above 2000</v>
      </c>
      <c r="P3988" s="2" t="n">
        <f aca="false">Lookups!$B$2*M3988+Lookups!$B$3*L3988</f>
        <v>0</v>
      </c>
      <c r="Q3988" s="2" t="str">
        <f aca="false">INDEX(Lookups!$E$2:$E$5,MATCH(P3988,Lookups!$D$2:$D$5,0))</f>
        <v>Low</v>
      </c>
    </row>
    <row r="3989" customFormat="false" ht="15" hidden="false" customHeight="false" outlineLevel="0" collapsed="false">
      <c r="A3989" s="3" t="n">
        <v>3988</v>
      </c>
      <c r="B3989" s="3" t="n">
        <f aca="false">Raw_Data!A3989</f>
        <v>32</v>
      </c>
      <c r="C3989" s="3" t="str">
        <f aca="false">SUBSTITUTE(Raw_Data!B3989,".","")</f>
        <v>services</v>
      </c>
      <c r="D3989" s="3" t="str">
        <f aca="false">Raw_Data!C3989</f>
        <v>married</v>
      </c>
      <c r="E3989" s="3" t="str">
        <f aca="false">Raw_Data!D3989</f>
        <v>secondary</v>
      </c>
      <c r="F3989" s="3" t="str">
        <f aca="false">Raw_Data!E3989</f>
        <v>no</v>
      </c>
      <c r="G3989" s="3" t="n">
        <f aca="false">Raw_Data!F3989</f>
        <v>61</v>
      </c>
      <c r="H3989" s="3" t="str">
        <f aca="false">Raw_Data!G3989</f>
        <v>yes</v>
      </c>
      <c r="I3989" s="3" t="str">
        <f aca="false">Raw_Data!H3989</f>
        <v>no</v>
      </c>
      <c r="J3989" s="2" t="n">
        <f aca="false">IF(F3989="yes",1,0)</f>
        <v>0</v>
      </c>
      <c r="K3989" s="2" t="n">
        <f aca="false">IF(H3989="yes",1,0)</f>
        <v>1</v>
      </c>
      <c r="L3989" s="2" t="n">
        <f aca="false">IF(I3989="yes",1,0)</f>
        <v>0</v>
      </c>
      <c r="M3989" s="2" t="n">
        <f aca="false">IF(G3989&lt;0,1,0)</f>
        <v>0</v>
      </c>
      <c r="N3989" s="2" t="str">
        <f aca="false">_xlfn.IFS(B3989&lt;30,"Under 30",B3989&lt;40,"30-39",B3989&lt;50,"40-49",B3989&lt;60,"50-59",TRUE(),"60+")</f>
        <v>30-39</v>
      </c>
      <c r="O3989" s="2" t="str">
        <f aca="false">_xlfn.IFS(G3989&lt;0,"1 Negative",G3989=0,"2 Zero",G3989&lt;=500,"3 1-500",G3989&lt;=2000,"4 501-2000",TRUE(),"5 Above 2000")</f>
        <v>3 1-500</v>
      </c>
      <c r="P3989" s="2" t="n">
        <f aca="false">Lookups!$B$2*M3989+Lookups!$B$3*L3989</f>
        <v>0</v>
      </c>
      <c r="Q3989" s="2" t="str">
        <f aca="false">INDEX(Lookups!$E$2:$E$5,MATCH(P3989,Lookups!$D$2:$D$5,0))</f>
        <v>Low</v>
      </c>
    </row>
    <row r="3990" customFormat="false" ht="15" hidden="false" customHeight="false" outlineLevel="0" collapsed="false">
      <c r="A3990" s="3" t="n">
        <v>3989</v>
      </c>
      <c r="B3990" s="3" t="n">
        <f aca="false">Raw_Data!A3990</f>
        <v>57</v>
      </c>
      <c r="C3990" s="3" t="str">
        <f aca="false">SUBSTITUTE(Raw_Data!B3990,".","")</f>
        <v>admin</v>
      </c>
      <c r="D3990" s="3" t="str">
        <f aca="false">Raw_Data!C3990</f>
        <v>married</v>
      </c>
      <c r="E3990" s="3" t="str">
        <f aca="false">Raw_Data!D3990</f>
        <v>secondary</v>
      </c>
      <c r="F3990" s="3" t="str">
        <f aca="false">Raw_Data!E3990</f>
        <v>no</v>
      </c>
      <c r="G3990" s="3" t="n">
        <f aca="false">Raw_Data!F3990</f>
        <v>-967</v>
      </c>
      <c r="H3990" s="3" t="str">
        <f aca="false">Raw_Data!G3990</f>
        <v>yes</v>
      </c>
      <c r="I3990" s="3" t="str">
        <f aca="false">Raw_Data!H3990</f>
        <v>no</v>
      </c>
      <c r="J3990" s="2" t="n">
        <f aca="false">IF(F3990="yes",1,0)</f>
        <v>0</v>
      </c>
      <c r="K3990" s="2" t="n">
        <f aca="false">IF(H3990="yes",1,0)</f>
        <v>1</v>
      </c>
      <c r="L3990" s="2" t="n">
        <f aca="false">IF(I3990="yes",1,0)</f>
        <v>0</v>
      </c>
      <c r="M3990" s="2" t="n">
        <f aca="false">IF(G3990&lt;0,1,0)</f>
        <v>1</v>
      </c>
      <c r="N3990" s="2" t="str">
        <f aca="false">_xlfn.IFS(B3990&lt;30,"Under 30",B3990&lt;40,"30-39",B3990&lt;50,"40-49",B3990&lt;60,"50-59",TRUE(),"60+")</f>
        <v>50-59</v>
      </c>
      <c r="O3990" s="2" t="str">
        <f aca="false">_xlfn.IFS(G3990&lt;0,"1 Negative",G3990=0,"2 Zero",G3990&lt;=500,"3 1-500",G3990&lt;=2000,"4 501-2000",TRUE(),"5 Above 2000")</f>
        <v>1 Negative</v>
      </c>
      <c r="P3990" s="2" t="n">
        <f aca="false">Lookups!$B$2*M3990+Lookups!$B$3*L3990</f>
        <v>2</v>
      </c>
      <c r="Q3990" s="2" t="str">
        <f aca="false">INDEX(Lookups!$E$2:$E$5,MATCH(P3990,Lookups!$D$2:$D$5,0))</f>
        <v>High</v>
      </c>
    </row>
    <row r="3991" customFormat="false" ht="15" hidden="false" customHeight="false" outlineLevel="0" collapsed="false">
      <c r="A3991" s="3" t="n">
        <v>3990</v>
      </c>
      <c r="B3991" s="3" t="n">
        <f aca="false">Raw_Data!A3991</f>
        <v>31</v>
      </c>
      <c r="C3991" s="3" t="str">
        <f aca="false">SUBSTITUTE(Raw_Data!B3991,".","")</f>
        <v>blue-collar</v>
      </c>
      <c r="D3991" s="3" t="str">
        <f aca="false">Raw_Data!C3991</f>
        <v>single</v>
      </c>
      <c r="E3991" s="3" t="str">
        <f aca="false">Raw_Data!D3991</f>
        <v>tertiary</v>
      </c>
      <c r="F3991" s="3" t="str">
        <f aca="false">Raw_Data!E3991</f>
        <v>no</v>
      </c>
      <c r="G3991" s="3" t="n">
        <f aca="false">Raw_Data!F3991</f>
        <v>462</v>
      </c>
      <c r="H3991" s="3" t="str">
        <f aca="false">Raw_Data!G3991</f>
        <v>yes</v>
      </c>
      <c r="I3991" s="3" t="str">
        <f aca="false">Raw_Data!H3991</f>
        <v>yes</v>
      </c>
      <c r="J3991" s="2" t="n">
        <f aca="false">IF(F3991="yes",1,0)</f>
        <v>0</v>
      </c>
      <c r="K3991" s="2" t="n">
        <f aca="false">IF(H3991="yes",1,0)</f>
        <v>1</v>
      </c>
      <c r="L3991" s="2" t="n">
        <f aca="false">IF(I3991="yes",1,0)</f>
        <v>1</v>
      </c>
      <c r="M3991" s="2" t="n">
        <f aca="false">IF(G3991&lt;0,1,0)</f>
        <v>0</v>
      </c>
      <c r="N3991" s="2" t="str">
        <f aca="false">_xlfn.IFS(B3991&lt;30,"Under 30",B3991&lt;40,"30-39",B3991&lt;50,"40-49",B3991&lt;60,"50-59",TRUE(),"60+")</f>
        <v>30-39</v>
      </c>
      <c r="O3991" s="2" t="str">
        <f aca="false">_xlfn.IFS(G3991&lt;0,"1 Negative",G3991=0,"2 Zero",G3991&lt;=500,"3 1-500",G3991&lt;=2000,"4 501-2000",TRUE(),"5 Above 2000")</f>
        <v>3 1-500</v>
      </c>
      <c r="P3991" s="2" t="n">
        <f aca="false">Lookups!$B$2*M3991+Lookups!$B$3*L3991</f>
        <v>1</v>
      </c>
      <c r="Q3991" s="2" t="str">
        <f aca="false">INDEX(Lookups!$E$2:$E$5,MATCH(P3991,Lookups!$D$2:$D$5,0))</f>
        <v>Medium</v>
      </c>
    </row>
    <row r="3992" customFormat="false" ht="15" hidden="false" customHeight="false" outlineLevel="0" collapsed="false">
      <c r="A3992" s="3" t="n">
        <v>3991</v>
      </c>
      <c r="B3992" s="3" t="n">
        <f aca="false">Raw_Data!A3992</f>
        <v>49</v>
      </c>
      <c r="C3992" s="3" t="str">
        <f aca="false">SUBSTITUTE(Raw_Data!B3992,".","")</f>
        <v>unknown</v>
      </c>
      <c r="D3992" s="3" t="str">
        <f aca="false">Raw_Data!C3992</f>
        <v>married</v>
      </c>
      <c r="E3992" s="3" t="str">
        <f aca="false">Raw_Data!D3992</f>
        <v>secondary</v>
      </c>
      <c r="F3992" s="3" t="str">
        <f aca="false">Raw_Data!E3992</f>
        <v>no</v>
      </c>
      <c r="G3992" s="3" t="n">
        <f aca="false">Raw_Data!F3992</f>
        <v>0</v>
      </c>
      <c r="H3992" s="3" t="str">
        <f aca="false">Raw_Data!G3992</f>
        <v>no</v>
      </c>
      <c r="I3992" s="3" t="str">
        <f aca="false">Raw_Data!H3992</f>
        <v>no</v>
      </c>
      <c r="J3992" s="2" t="n">
        <f aca="false">IF(F3992="yes",1,0)</f>
        <v>0</v>
      </c>
      <c r="K3992" s="2" t="n">
        <f aca="false">IF(H3992="yes",1,0)</f>
        <v>0</v>
      </c>
      <c r="L3992" s="2" t="n">
        <f aca="false">IF(I3992="yes",1,0)</f>
        <v>0</v>
      </c>
      <c r="M3992" s="2" t="n">
        <f aca="false">IF(G3992&lt;0,1,0)</f>
        <v>0</v>
      </c>
      <c r="N3992" s="2" t="str">
        <f aca="false">_xlfn.IFS(B3992&lt;30,"Under 30",B3992&lt;40,"30-39",B3992&lt;50,"40-49",B3992&lt;60,"50-59",TRUE(),"60+")</f>
        <v>40-49</v>
      </c>
      <c r="O3992" s="2" t="str">
        <f aca="false">_xlfn.IFS(G3992&lt;0,"1 Negative",G3992=0,"2 Zero",G3992&lt;=500,"3 1-500",G3992&lt;=2000,"4 501-2000",TRUE(),"5 Above 2000")</f>
        <v>2 Zero</v>
      </c>
      <c r="P3992" s="2" t="n">
        <f aca="false">Lookups!$B$2*M3992+Lookups!$B$3*L3992</f>
        <v>0</v>
      </c>
      <c r="Q3992" s="2" t="str">
        <f aca="false">INDEX(Lookups!$E$2:$E$5,MATCH(P3992,Lookups!$D$2:$D$5,0))</f>
        <v>Low</v>
      </c>
    </row>
    <row r="3993" customFormat="false" ht="15" hidden="false" customHeight="false" outlineLevel="0" collapsed="false">
      <c r="A3993" s="3" t="n">
        <v>3992</v>
      </c>
      <c r="B3993" s="3" t="n">
        <f aca="false">Raw_Data!A3993</f>
        <v>31</v>
      </c>
      <c r="C3993" s="3" t="str">
        <f aca="false">SUBSTITUTE(Raw_Data!B3993,".","")</f>
        <v>admin</v>
      </c>
      <c r="D3993" s="3" t="str">
        <f aca="false">Raw_Data!C3993</f>
        <v>single</v>
      </c>
      <c r="E3993" s="3" t="str">
        <f aca="false">Raw_Data!D3993</f>
        <v>secondary</v>
      </c>
      <c r="F3993" s="3" t="str">
        <f aca="false">Raw_Data!E3993</f>
        <v>no</v>
      </c>
      <c r="G3993" s="3" t="n">
        <f aca="false">Raw_Data!F3993</f>
        <v>5527</v>
      </c>
      <c r="H3993" s="3" t="str">
        <f aca="false">Raw_Data!G3993</f>
        <v>yes</v>
      </c>
      <c r="I3993" s="3" t="str">
        <f aca="false">Raw_Data!H3993</f>
        <v>no</v>
      </c>
      <c r="J3993" s="2" t="n">
        <f aca="false">IF(F3993="yes",1,0)</f>
        <v>0</v>
      </c>
      <c r="K3993" s="2" t="n">
        <f aca="false">IF(H3993="yes",1,0)</f>
        <v>1</v>
      </c>
      <c r="L3993" s="2" t="n">
        <f aca="false">IF(I3993="yes",1,0)</f>
        <v>0</v>
      </c>
      <c r="M3993" s="2" t="n">
        <f aca="false">IF(G3993&lt;0,1,0)</f>
        <v>0</v>
      </c>
      <c r="N3993" s="2" t="str">
        <f aca="false">_xlfn.IFS(B3993&lt;30,"Under 30",B3993&lt;40,"30-39",B3993&lt;50,"40-49",B3993&lt;60,"50-59",TRUE(),"60+")</f>
        <v>30-39</v>
      </c>
      <c r="O3993" s="2" t="str">
        <f aca="false">_xlfn.IFS(G3993&lt;0,"1 Negative",G3993=0,"2 Zero",G3993&lt;=500,"3 1-500",G3993&lt;=2000,"4 501-2000",TRUE(),"5 Above 2000")</f>
        <v>5 Above 2000</v>
      </c>
      <c r="P3993" s="2" t="n">
        <f aca="false">Lookups!$B$2*M3993+Lookups!$B$3*L3993</f>
        <v>0</v>
      </c>
      <c r="Q3993" s="2" t="str">
        <f aca="false">INDEX(Lookups!$E$2:$E$5,MATCH(P3993,Lookups!$D$2:$D$5,0))</f>
        <v>Low</v>
      </c>
    </row>
    <row r="3994" customFormat="false" ht="15" hidden="false" customHeight="false" outlineLevel="0" collapsed="false">
      <c r="A3994" s="3" t="n">
        <v>3993</v>
      </c>
      <c r="B3994" s="3" t="n">
        <f aca="false">Raw_Data!A3994</f>
        <v>41</v>
      </c>
      <c r="C3994" s="3" t="str">
        <f aca="false">SUBSTITUTE(Raw_Data!B3994,".","")</f>
        <v>admin</v>
      </c>
      <c r="D3994" s="3" t="str">
        <f aca="false">Raw_Data!C3994</f>
        <v>married</v>
      </c>
      <c r="E3994" s="3" t="str">
        <f aca="false">Raw_Data!D3994</f>
        <v>tertiary</v>
      </c>
      <c r="F3994" s="3" t="str">
        <f aca="false">Raw_Data!E3994</f>
        <v>no</v>
      </c>
      <c r="G3994" s="3" t="n">
        <f aca="false">Raw_Data!F3994</f>
        <v>1287</v>
      </c>
      <c r="H3994" s="3" t="str">
        <f aca="false">Raw_Data!G3994</f>
        <v>no</v>
      </c>
      <c r="I3994" s="3" t="str">
        <f aca="false">Raw_Data!H3994</f>
        <v>no</v>
      </c>
      <c r="J3994" s="2" t="n">
        <f aca="false">IF(F3994="yes",1,0)</f>
        <v>0</v>
      </c>
      <c r="K3994" s="2" t="n">
        <f aca="false">IF(H3994="yes",1,0)</f>
        <v>0</v>
      </c>
      <c r="L3994" s="2" t="n">
        <f aca="false">IF(I3994="yes",1,0)</f>
        <v>0</v>
      </c>
      <c r="M3994" s="2" t="n">
        <f aca="false">IF(G3994&lt;0,1,0)</f>
        <v>0</v>
      </c>
      <c r="N3994" s="2" t="str">
        <f aca="false">_xlfn.IFS(B3994&lt;30,"Under 30",B3994&lt;40,"30-39",B3994&lt;50,"40-49",B3994&lt;60,"50-59",TRUE(),"60+")</f>
        <v>40-49</v>
      </c>
      <c r="O3994" s="2" t="str">
        <f aca="false">_xlfn.IFS(G3994&lt;0,"1 Negative",G3994=0,"2 Zero",G3994&lt;=500,"3 1-500",G3994&lt;=2000,"4 501-2000",TRUE(),"5 Above 2000")</f>
        <v>4 501-2000</v>
      </c>
      <c r="P3994" s="2" t="n">
        <f aca="false">Lookups!$B$2*M3994+Lookups!$B$3*L3994</f>
        <v>0</v>
      </c>
      <c r="Q3994" s="2" t="str">
        <f aca="false">INDEX(Lookups!$E$2:$E$5,MATCH(P3994,Lookups!$D$2:$D$5,0))</f>
        <v>Low</v>
      </c>
    </row>
    <row r="3995" customFormat="false" ht="15" hidden="false" customHeight="false" outlineLevel="0" collapsed="false">
      <c r="A3995" s="3" t="n">
        <v>3994</v>
      </c>
      <c r="B3995" s="3" t="n">
        <f aca="false">Raw_Data!A3995</f>
        <v>44</v>
      </c>
      <c r="C3995" s="3" t="str">
        <f aca="false">SUBSTITUTE(Raw_Data!B3995,".","")</f>
        <v>management</v>
      </c>
      <c r="D3995" s="3" t="str">
        <f aca="false">Raw_Data!C3995</f>
        <v>married</v>
      </c>
      <c r="E3995" s="3" t="str">
        <f aca="false">Raw_Data!D3995</f>
        <v>tertiary</v>
      </c>
      <c r="F3995" s="3" t="str">
        <f aca="false">Raw_Data!E3995</f>
        <v>no</v>
      </c>
      <c r="G3995" s="3" t="n">
        <f aca="false">Raw_Data!F3995</f>
        <v>17361</v>
      </c>
      <c r="H3995" s="3" t="str">
        <f aca="false">Raw_Data!G3995</f>
        <v>no</v>
      </c>
      <c r="I3995" s="3" t="str">
        <f aca="false">Raw_Data!H3995</f>
        <v>no</v>
      </c>
      <c r="J3995" s="2" t="n">
        <f aca="false">IF(F3995="yes",1,0)</f>
        <v>0</v>
      </c>
      <c r="K3995" s="2" t="n">
        <f aca="false">IF(H3995="yes",1,0)</f>
        <v>0</v>
      </c>
      <c r="L3995" s="2" t="n">
        <f aca="false">IF(I3995="yes",1,0)</f>
        <v>0</v>
      </c>
      <c r="M3995" s="2" t="n">
        <f aca="false">IF(G3995&lt;0,1,0)</f>
        <v>0</v>
      </c>
      <c r="N3995" s="2" t="str">
        <f aca="false">_xlfn.IFS(B3995&lt;30,"Under 30",B3995&lt;40,"30-39",B3995&lt;50,"40-49",B3995&lt;60,"50-59",TRUE(),"60+")</f>
        <v>40-49</v>
      </c>
      <c r="O3995" s="2" t="str">
        <f aca="false">_xlfn.IFS(G3995&lt;0,"1 Negative",G3995=0,"2 Zero",G3995&lt;=500,"3 1-500",G3995&lt;=2000,"4 501-2000",TRUE(),"5 Above 2000")</f>
        <v>5 Above 2000</v>
      </c>
      <c r="P3995" s="2" t="n">
        <f aca="false">Lookups!$B$2*M3995+Lookups!$B$3*L3995</f>
        <v>0</v>
      </c>
      <c r="Q3995" s="2" t="str">
        <f aca="false">INDEX(Lookups!$E$2:$E$5,MATCH(P3995,Lookups!$D$2:$D$5,0))</f>
        <v>Low</v>
      </c>
    </row>
    <row r="3996" customFormat="false" ht="15" hidden="false" customHeight="false" outlineLevel="0" collapsed="false">
      <c r="A3996" s="3" t="n">
        <v>3995</v>
      </c>
      <c r="B3996" s="3" t="n">
        <f aca="false">Raw_Data!A3996</f>
        <v>54</v>
      </c>
      <c r="C3996" s="3" t="str">
        <f aca="false">SUBSTITUTE(Raw_Data!B3996,".","")</f>
        <v>entrepreneur</v>
      </c>
      <c r="D3996" s="3" t="str">
        <f aca="false">Raw_Data!C3996</f>
        <v>married</v>
      </c>
      <c r="E3996" s="3" t="str">
        <f aca="false">Raw_Data!D3996</f>
        <v>unknown</v>
      </c>
      <c r="F3996" s="3" t="str">
        <f aca="false">Raw_Data!E3996</f>
        <v>no</v>
      </c>
      <c r="G3996" s="3" t="n">
        <f aca="false">Raw_Data!F3996</f>
        <v>1956</v>
      </c>
      <c r="H3996" s="3" t="str">
        <f aca="false">Raw_Data!G3996</f>
        <v>no</v>
      </c>
      <c r="I3996" s="3" t="str">
        <f aca="false">Raw_Data!H3996</f>
        <v>no</v>
      </c>
      <c r="J3996" s="2" t="n">
        <f aca="false">IF(F3996="yes",1,0)</f>
        <v>0</v>
      </c>
      <c r="K3996" s="2" t="n">
        <f aca="false">IF(H3996="yes",1,0)</f>
        <v>0</v>
      </c>
      <c r="L3996" s="2" t="n">
        <f aca="false">IF(I3996="yes",1,0)</f>
        <v>0</v>
      </c>
      <c r="M3996" s="2" t="n">
        <f aca="false">IF(G3996&lt;0,1,0)</f>
        <v>0</v>
      </c>
      <c r="N3996" s="2" t="str">
        <f aca="false">_xlfn.IFS(B3996&lt;30,"Under 30",B3996&lt;40,"30-39",B3996&lt;50,"40-49",B3996&lt;60,"50-59",TRUE(),"60+")</f>
        <v>50-59</v>
      </c>
      <c r="O3996" s="2" t="str">
        <f aca="false">_xlfn.IFS(G3996&lt;0,"1 Negative",G3996=0,"2 Zero",G3996&lt;=500,"3 1-500",G3996&lt;=2000,"4 501-2000",TRUE(),"5 Above 2000")</f>
        <v>4 501-2000</v>
      </c>
      <c r="P3996" s="2" t="n">
        <f aca="false">Lookups!$B$2*M3996+Lookups!$B$3*L3996</f>
        <v>0</v>
      </c>
      <c r="Q3996" s="2" t="str">
        <f aca="false">INDEX(Lookups!$E$2:$E$5,MATCH(P3996,Lookups!$D$2:$D$5,0))</f>
        <v>Low</v>
      </c>
    </row>
    <row r="3997" customFormat="false" ht="15" hidden="false" customHeight="false" outlineLevel="0" collapsed="false">
      <c r="A3997" s="3" t="n">
        <v>3996</v>
      </c>
      <c r="B3997" s="3" t="n">
        <f aca="false">Raw_Data!A3997</f>
        <v>37</v>
      </c>
      <c r="C3997" s="3" t="str">
        <f aca="false">SUBSTITUTE(Raw_Data!B3997,".","")</f>
        <v>blue-collar</v>
      </c>
      <c r="D3997" s="3" t="str">
        <f aca="false">Raw_Data!C3997</f>
        <v>divorced</v>
      </c>
      <c r="E3997" s="3" t="str">
        <f aca="false">Raw_Data!D3997</f>
        <v>secondary</v>
      </c>
      <c r="F3997" s="3" t="str">
        <f aca="false">Raw_Data!E3997</f>
        <v>no</v>
      </c>
      <c r="G3997" s="3" t="n">
        <f aca="false">Raw_Data!F3997</f>
        <v>0</v>
      </c>
      <c r="H3997" s="3" t="str">
        <f aca="false">Raw_Data!G3997</f>
        <v>yes</v>
      </c>
      <c r="I3997" s="3" t="str">
        <f aca="false">Raw_Data!H3997</f>
        <v>no</v>
      </c>
      <c r="J3997" s="2" t="n">
        <f aca="false">IF(F3997="yes",1,0)</f>
        <v>0</v>
      </c>
      <c r="K3997" s="2" t="n">
        <f aca="false">IF(H3997="yes",1,0)</f>
        <v>1</v>
      </c>
      <c r="L3997" s="2" t="n">
        <f aca="false">IF(I3997="yes",1,0)</f>
        <v>0</v>
      </c>
      <c r="M3997" s="2" t="n">
        <f aca="false">IF(G3997&lt;0,1,0)</f>
        <v>0</v>
      </c>
      <c r="N3997" s="2" t="str">
        <f aca="false">_xlfn.IFS(B3997&lt;30,"Under 30",B3997&lt;40,"30-39",B3997&lt;50,"40-49",B3997&lt;60,"50-59",TRUE(),"60+")</f>
        <v>30-39</v>
      </c>
      <c r="O3997" s="2" t="str">
        <f aca="false">_xlfn.IFS(G3997&lt;0,"1 Negative",G3997=0,"2 Zero",G3997&lt;=500,"3 1-500",G3997&lt;=2000,"4 501-2000",TRUE(),"5 Above 2000")</f>
        <v>2 Zero</v>
      </c>
      <c r="P3997" s="2" t="n">
        <f aca="false">Lookups!$B$2*M3997+Lookups!$B$3*L3997</f>
        <v>0</v>
      </c>
      <c r="Q3997" s="2" t="str">
        <f aca="false">INDEX(Lookups!$E$2:$E$5,MATCH(P3997,Lookups!$D$2:$D$5,0))</f>
        <v>Low</v>
      </c>
    </row>
    <row r="3998" customFormat="false" ht="15" hidden="false" customHeight="false" outlineLevel="0" collapsed="false">
      <c r="A3998" s="3" t="n">
        <v>3997</v>
      </c>
      <c r="B3998" s="3" t="n">
        <f aca="false">Raw_Data!A3998</f>
        <v>34</v>
      </c>
      <c r="C3998" s="3" t="str">
        <f aca="false">SUBSTITUTE(Raw_Data!B3998,".","")</f>
        <v>management</v>
      </c>
      <c r="D3998" s="3" t="str">
        <f aca="false">Raw_Data!C3998</f>
        <v>married</v>
      </c>
      <c r="E3998" s="3" t="str">
        <f aca="false">Raw_Data!D3998</f>
        <v>secondary</v>
      </c>
      <c r="F3998" s="3" t="str">
        <f aca="false">Raw_Data!E3998</f>
        <v>no</v>
      </c>
      <c r="G3998" s="3" t="n">
        <f aca="false">Raw_Data!F3998</f>
        <v>-294</v>
      </c>
      <c r="H3998" s="3" t="str">
        <f aca="false">Raw_Data!G3998</f>
        <v>yes</v>
      </c>
      <c r="I3998" s="3" t="str">
        <f aca="false">Raw_Data!H3998</f>
        <v>no</v>
      </c>
      <c r="J3998" s="2" t="n">
        <f aca="false">IF(F3998="yes",1,0)</f>
        <v>0</v>
      </c>
      <c r="K3998" s="2" t="n">
        <f aca="false">IF(H3998="yes",1,0)</f>
        <v>1</v>
      </c>
      <c r="L3998" s="2" t="n">
        <f aca="false">IF(I3998="yes",1,0)</f>
        <v>0</v>
      </c>
      <c r="M3998" s="2" t="n">
        <f aca="false">IF(G3998&lt;0,1,0)</f>
        <v>1</v>
      </c>
      <c r="N3998" s="2" t="str">
        <f aca="false">_xlfn.IFS(B3998&lt;30,"Under 30",B3998&lt;40,"30-39",B3998&lt;50,"40-49",B3998&lt;60,"50-59",TRUE(),"60+")</f>
        <v>30-39</v>
      </c>
      <c r="O3998" s="2" t="str">
        <f aca="false">_xlfn.IFS(G3998&lt;0,"1 Negative",G3998=0,"2 Zero",G3998&lt;=500,"3 1-500",G3998&lt;=2000,"4 501-2000",TRUE(),"5 Above 2000")</f>
        <v>1 Negative</v>
      </c>
      <c r="P3998" s="2" t="n">
        <f aca="false">Lookups!$B$2*M3998+Lookups!$B$3*L3998</f>
        <v>2</v>
      </c>
      <c r="Q3998" s="2" t="str">
        <f aca="false">INDEX(Lookups!$E$2:$E$5,MATCH(P3998,Lookups!$D$2:$D$5,0))</f>
        <v>High</v>
      </c>
    </row>
    <row r="3999" customFormat="false" ht="15" hidden="false" customHeight="false" outlineLevel="0" collapsed="false">
      <c r="A3999" s="3" t="n">
        <v>3998</v>
      </c>
      <c r="B3999" s="3" t="n">
        <f aca="false">Raw_Data!A3999</f>
        <v>43</v>
      </c>
      <c r="C3999" s="3" t="str">
        <f aca="false">SUBSTITUTE(Raw_Data!B3999,".","")</f>
        <v>technician</v>
      </c>
      <c r="D3999" s="3" t="str">
        <f aca="false">Raw_Data!C3999</f>
        <v>married</v>
      </c>
      <c r="E3999" s="3" t="str">
        <f aca="false">Raw_Data!D3999</f>
        <v>secondary</v>
      </c>
      <c r="F3999" s="3" t="str">
        <f aca="false">Raw_Data!E3999</f>
        <v>no</v>
      </c>
      <c r="G3999" s="3" t="n">
        <f aca="false">Raw_Data!F3999</f>
        <v>275</v>
      </c>
      <c r="H3999" s="3" t="str">
        <f aca="false">Raw_Data!G3999</f>
        <v>no</v>
      </c>
      <c r="I3999" s="3" t="str">
        <f aca="false">Raw_Data!H3999</f>
        <v>no</v>
      </c>
      <c r="J3999" s="2" t="n">
        <f aca="false">IF(F3999="yes",1,0)</f>
        <v>0</v>
      </c>
      <c r="K3999" s="2" t="n">
        <f aca="false">IF(H3999="yes",1,0)</f>
        <v>0</v>
      </c>
      <c r="L3999" s="2" t="n">
        <f aca="false">IF(I3999="yes",1,0)</f>
        <v>0</v>
      </c>
      <c r="M3999" s="2" t="n">
        <f aca="false">IF(G3999&lt;0,1,0)</f>
        <v>0</v>
      </c>
      <c r="N3999" s="2" t="str">
        <f aca="false">_xlfn.IFS(B3999&lt;30,"Under 30",B3999&lt;40,"30-39",B3999&lt;50,"40-49",B3999&lt;60,"50-59",TRUE(),"60+")</f>
        <v>40-49</v>
      </c>
      <c r="O3999" s="2" t="str">
        <f aca="false">_xlfn.IFS(G3999&lt;0,"1 Negative",G3999=0,"2 Zero",G3999&lt;=500,"3 1-500",G3999&lt;=2000,"4 501-2000",TRUE(),"5 Above 2000")</f>
        <v>3 1-500</v>
      </c>
      <c r="P3999" s="2" t="n">
        <f aca="false">Lookups!$B$2*M3999+Lookups!$B$3*L3999</f>
        <v>0</v>
      </c>
      <c r="Q3999" s="2" t="str">
        <f aca="false">INDEX(Lookups!$E$2:$E$5,MATCH(P3999,Lookups!$D$2:$D$5,0))</f>
        <v>Low</v>
      </c>
    </row>
    <row r="4000" customFormat="false" ht="15" hidden="false" customHeight="false" outlineLevel="0" collapsed="false">
      <c r="A4000" s="3" t="n">
        <v>3999</v>
      </c>
      <c r="B4000" s="3" t="n">
        <f aca="false">Raw_Data!A4000</f>
        <v>44</v>
      </c>
      <c r="C4000" s="3" t="str">
        <f aca="false">SUBSTITUTE(Raw_Data!B4000,".","")</f>
        <v>management</v>
      </c>
      <c r="D4000" s="3" t="str">
        <f aca="false">Raw_Data!C4000</f>
        <v>married</v>
      </c>
      <c r="E4000" s="3" t="str">
        <f aca="false">Raw_Data!D4000</f>
        <v>tertiary</v>
      </c>
      <c r="F4000" s="3" t="str">
        <f aca="false">Raw_Data!E4000</f>
        <v>no</v>
      </c>
      <c r="G4000" s="3" t="n">
        <f aca="false">Raw_Data!F4000</f>
        <v>724</v>
      </c>
      <c r="H4000" s="3" t="str">
        <f aca="false">Raw_Data!G4000</f>
        <v>yes</v>
      </c>
      <c r="I4000" s="3" t="str">
        <f aca="false">Raw_Data!H4000</f>
        <v>no</v>
      </c>
      <c r="J4000" s="2" t="n">
        <f aca="false">IF(F4000="yes",1,0)</f>
        <v>0</v>
      </c>
      <c r="K4000" s="2" t="n">
        <f aca="false">IF(H4000="yes",1,0)</f>
        <v>1</v>
      </c>
      <c r="L4000" s="2" t="n">
        <f aca="false">IF(I4000="yes",1,0)</f>
        <v>0</v>
      </c>
      <c r="M4000" s="2" t="n">
        <f aca="false">IF(G4000&lt;0,1,0)</f>
        <v>0</v>
      </c>
      <c r="N4000" s="2" t="str">
        <f aca="false">_xlfn.IFS(B4000&lt;30,"Under 30",B4000&lt;40,"30-39",B4000&lt;50,"40-49",B4000&lt;60,"50-59",TRUE(),"60+")</f>
        <v>40-49</v>
      </c>
      <c r="O4000" s="2" t="str">
        <f aca="false">_xlfn.IFS(G4000&lt;0,"1 Negative",G4000=0,"2 Zero",G4000&lt;=500,"3 1-500",G4000&lt;=2000,"4 501-2000",TRUE(),"5 Above 2000")</f>
        <v>4 501-2000</v>
      </c>
      <c r="P4000" s="2" t="n">
        <f aca="false">Lookups!$B$2*M4000+Lookups!$B$3*L4000</f>
        <v>0</v>
      </c>
      <c r="Q4000" s="2" t="str">
        <f aca="false">INDEX(Lookups!$E$2:$E$5,MATCH(P4000,Lookups!$D$2:$D$5,0))</f>
        <v>Low</v>
      </c>
    </row>
    <row r="4001" customFormat="false" ht="15" hidden="false" customHeight="false" outlineLevel="0" collapsed="false">
      <c r="A4001" s="3" t="n">
        <v>4000</v>
      </c>
      <c r="B4001" s="3" t="n">
        <f aca="false">Raw_Data!A4001</f>
        <v>44</v>
      </c>
      <c r="C4001" s="3" t="str">
        <f aca="false">SUBSTITUTE(Raw_Data!B4001,".","")</f>
        <v>services</v>
      </c>
      <c r="D4001" s="3" t="str">
        <f aca="false">Raw_Data!C4001</f>
        <v>married</v>
      </c>
      <c r="E4001" s="3" t="str">
        <f aca="false">Raw_Data!D4001</f>
        <v>secondary</v>
      </c>
      <c r="F4001" s="3" t="str">
        <f aca="false">Raw_Data!E4001</f>
        <v>no</v>
      </c>
      <c r="G4001" s="3" t="n">
        <f aca="false">Raw_Data!F4001</f>
        <v>27</v>
      </c>
      <c r="H4001" s="3" t="str">
        <f aca="false">Raw_Data!G4001</f>
        <v>no</v>
      </c>
      <c r="I4001" s="3" t="str">
        <f aca="false">Raw_Data!H4001</f>
        <v>no</v>
      </c>
      <c r="J4001" s="2" t="n">
        <f aca="false">IF(F4001="yes",1,0)</f>
        <v>0</v>
      </c>
      <c r="K4001" s="2" t="n">
        <f aca="false">IF(H4001="yes",1,0)</f>
        <v>0</v>
      </c>
      <c r="L4001" s="2" t="n">
        <f aca="false">IF(I4001="yes",1,0)</f>
        <v>0</v>
      </c>
      <c r="M4001" s="2" t="n">
        <f aca="false">IF(G4001&lt;0,1,0)</f>
        <v>0</v>
      </c>
      <c r="N4001" s="2" t="str">
        <f aca="false">_xlfn.IFS(B4001&lt;30,"Under 30",B4001&lt;40,"30-39",B4001&lt;50,"40-49",B4001&lt;60,"50-59",TRUE(),"60+")</f>
        <v>40-49</v>
      </c>
      <c r="O4001" s="2" t="str">
        <f aca="false">_xlfn.IFS(G4001&lt;0,"1 Negative",G4001=0,"2 Zero",G4001&lt;=500,"3 1-500",G4001&lt;=2000,"4 501-2000",TRUE(),"5 Above 2000")</f>
        <v>3 1-500</v>
      </c>
      <c r="P4001" s="2" t="n">
        <f aca="false">Lookups!$B$2*M4001+Lookups!$B$3*L4001</f>
        <v>0</v>
      </c>
      <c r="Q4001" s="2" t="str">
        <f aca="false">INDEX(Lookups!$E$2:$E$5,MATCH(P4001,Lookups!$D$2:$D$5,0))</f>
        <v>Low</v>
      </c>
    </row>
    <row r="4002" customFormat="false" ht="15" hidden="false" customHeight="false" outlineLevel="0" collapsed="false">
      <c r="A4002" s="3" t="n">
        <v>4001</v>
      </c>
      <c r="B4002" s="3" t="n">
        <f aca="false">Raw_Data!A4002</f>
        <v>53</v>
      </c>
      <c r="C4002" s="3" t="str">
        <f aca="false">SUBSTITUTE(Raw_Data!B4002,".","")</f>
        <v>admin</v>
      </c>
      <c r="D4002" s="3" t="str">
        <f aca="false">Raw_Data!C4002</f>
        <v>divorced</v>
      </c>
      <c r="E4002" s="3" t="str">
        <f aca="false">Raw_Data!D4002</f>
        <v>secondary</v>
      </c>
      <c r="F4002" s="3" t="str">
        <f aca="false">Raw_Data!E4002</f>
        <v>no</v>
      </c>
      <c r="G4002" s="3" t="n">
        <f aca="false">Raw_Data!F4002</f>
        <v>26</v>
      </c>
      <c r="H4002" s="3" t="str">
        <f aca="false">Raw_Data!G4002</f>
        <v>yes</v>
      </c>
      <c r="I4002" s="3" t="str">
        <f aca="false">Raw_Data!H4002</f>
        <v>no</v>
      </c>
      <c r="J4002" s="2" t="n">
        <f aca="false">IF(F4002="yes",1,0)</f>
        <v>0</v>
      </c>
      <c r="K4002" s="2" t="n">
        <f aca="false">IF(H4002="yes",1,0)</f>
        <v>1</v>
      </c>
      <c r="L4002" s="2" t="n">
        <f aca="false">IF(I4002="yes",1,0)</f>
        <v>0</v>
      </c>
      <c r="M4002" s="2" t="n">
        <f aca="false">IF(G4002&lt;0,1,0)</f>
        <v>0</v>
      </c>
      <c r="N4002" s="2" t="str">
        <f aca="false">_xlfn.IFS(B4002&lt;30,"Under 30",B4002&lt;40,"30-39",B4002&lt;50,"40-49",B4002&lt;60,"50-59",TRUE(),"60+")</f>
        <v>50-59</v>
      </c>
      <c r="O4002" s="2" t="str">
        <f aca="false">_xlfn.IFS(G4002&lt;0,"1 Negative",G4002=0,"2 Zero",G4002&lt;=500,"3 1-500",G4002&lt;=2000,"4 501-2000",TRUE(),"5 Above 2000")</f>
        <v>3 1-500</v>
      </c>
      <c r="P4002" s="2" t="n">
        <f aca="false">Lookups!$B$2*M4002+Lookups!$B$3*L4002</f>
        <v>0</v>
      </c>
      <c r="Q4002" s="2" t="str">
        <f aca="false">INDEX(Lookups!$E$2:$E$5,MATCH(P4002,Lookups!$D$2:$D$5,0))</f>
        <v>Low</v>
      </c>
    </row>
    <row r="4003" customFormat="false" ht="15" hidden="false" customHeight="false" outlineLevel="0" collapsed="false">
      <c r="A4003" s="3" t="n">
        <v>4002</v>
      </c>
      <c r="B4003" s="3" t="n">
        <f aca="false">Raw_Data!A4003</f>
        <v>36</v>
      </c>
      <c r="C4003" s="3" t="str">
        <f aca="false">SUBSTITUTE(Raw_Data!B4003,".","")</f>
        <v>technician</v>
      </c>
      <c r="D4003" s="3" t="str">
        <f aca="false">Raw_Data!C4003</f>
        <v>married</v>
      </c>
      <c r="E4003" s="3" t="str">
        <f aca="false">Raw_Data!D4003</f>
        <v>secondary</v>
      </c>
      <c r="F4003" s="3" t="str">
        <f aca="false">Raw_Data!E4003</f>
        <v>no</v>
      </c>
      <c r="G4003" s="3" t="n">
        <f aca="false">Raw_Data!F4003</f>
        <v>191</v>
      </c>
      <c r="H4003" s="3" t="str">
        <f aca="false">Raw_Data!G4003</f>
        <v>no</v>
      </c>
      <c r="I4003" s="3" t="str">
        <f aca="false">Raw_Data!H4003</f>
        <v>no</v>
      </c>
      <c r="J4003" s="2" t="n">
        <f aca="false">IF(F4003="yes",1,0)</f>
        <v>0</v>
      </c>
      <c r="K4003" s="2" t="n">
        <f aca="false">IF(H4003="yes",1,0)</f>
        <v>0</v>
      </c>
      <c r="L4003" s="2" t="n">
        <f aca="false">IF(I4003="yes",1,0)</f>
        <v>0</v>
      </c>
      <c r="M4003" s="2" t="n">
        <f aca="false">IF(G4003&lt;0,1,0)</f>
        <v>0</v>
      </c>
      <c r="N4003" s="2" t="str">
        <f aca="false">_xlfn.IFS(B4003&lt;30,"Under 30",B4003&lt;40,"30-39",B4003&lt;50,"40-49",B4003&lt;60,"50-59",TRUE(),"60+")</f>
        <v>30-39</v>
      </c>
      <c r="O4003" s="2" t="str">
        <f aca="false">_xlfn.IFS(G4003&lt;0,"1 Negative",G4003=0,"2 Zero",G4003&lt;=500,"3 1-500",G4003&lt;=2000,"4 501-2000",TRUE(),"5 Above 2000")</f>
        <v>3 1-500</v>
      </c>
      <c r="P4003" s="2" t="n">
        <f aca="false">Lookups!$B$2*M4003+Lookups!$B$3*L4003</f>
        <v>0</v>
      </c>
      <c r="Q4003" s="2" t="str">
        <f aca="false">INDEX(Lookups!$E$2:$E$5,MATCH(P4003,Lookups!$D$2:$D$5,0))</f>
        <v>Low</v>
      </c>
    </row>
    <row r="4004" customFormat="false" ht="15" hidden="false" customHeight="false" outlineLevel="0" collapsed="false">
      <c r="A4004" s="3" t="n">
        <v>4003</v>
      </c>
      <c r="B4004" s="3" t="n">
        <f aca="false">Raw_Data!A4004</f>
        <v>58</v>
      </c>
      <c r="C4004" s="3" t="str">
        <f aca="false">SUBSTITUTE(Raw_Data!B4004,".","")</f>
        <v>technician</v>
      </c>
      <c r="D4004" s="3" t="str">
        <f aca="false">Raw_Data!C4004</f>
        <v>divorced</v>
      </c>
      <c r="E4004" s="3" t="str">
        <f aca="false">Raw_Data!D4004</f>
        <v>secondary</v>
      </c>
      <c r="F4004" s="3" t="str">
        <f aca="false">Raw_Data!E4004</f>
        <v>no</v>
      </c>
      <c r="G4004" s="3" t="n">
        <f aca="false">Raw_Data!F4004</f>
        <v>-123</v>
      </c>
      <c r="H4004" s="3" t="str">
        <f aca="false">Raw_Data!G4004</f>
        <v>no</v>
      </c>
      <c r="I4004" s="3" t="str">
        <f aca="false">Raw_Data!H4004</f>
        <v>no</v>
      </c>
      <c r="J4004" s="2" t="n">
        <f aca="false">IF(F4004="yes",1,0)</f>
        <v>0</v>
      </c>
      <c r="K4004" s="2" t="n">
        <f aca="false">IF(H4004="yes",1,0)</f>
        <v>0</v>
      </c>
      <c r="L4004" s="2" t="n">
        <f aca="false">IF(I4004="yes",1,0)</f>
        <v>0</v>
      </c>
      <c r="M4004" s="2" t="n">
        <f aca="false">IF(G4004&lt;0,1,0)</f>
        <v>1</v>
      </c>
      <c r="N4004" s="2" t="str">
        <f aca="false">_xlfn.IFS(B4004&lt;30,"Under 30",B4004&lt;40,"30-39",B4004&lt;50,"40-49",B4004&lt;60,"50-59",TRUE(),"60+")</f>
        <v>50-59</v>
      </c>
      <c r="O4004" s="2" t="str">
        <f aca="false">_xlfn.IFS(G4004&lt;0,"1 Negative",G4004=0,"2 Zero",G4004&lt;=500,"3 1-500",G4004&lt;=2000,"4 501-2000",TRUE(),"5 Above 2000")</f>
        <v>1 Negative</v>
      </c>
      <c r="P4004" s="2" t="n">
        <f aca="false">Lookups!$B$2*M4004+Lookups!$B$3*L4004</f>
        <v>2</v>
      </c>
      <c r="Q4004" s="2" t="str">
        <f aca="false">INDEX(Lookups!$E$2:$E$5,MATCH(P4004,Lookups!$D$2:$D$5,0))</f>
        <v>High</v>
      </c>
    </row>
    <row r="4005" customFormat="false" ht="15" hidden="false" customHeight="false" outlineLevel="0" collapsed="false">
      <c r="A4005" s="3" t="n">
        <v>4004</v>
      </c>
      <c r="B4005" s="3" t="n">
        <f aca="false">Raw_Data!A4005</f>
        <v>26</v>
      </c>
      <c r="C4005" s="3" t="str">
        <f aca="false">SUBSTITUTE(Raw_Data!B4005,".","")</f>
        <v>student</v>
      </c>
      <c r="D4005" s="3" t="str">
        <f aca="false">Raw_Data!C4005</f>
        <v>single</v>
      </c>
      <c r="E4005" s="3" t="str">
        <f aca="false">Raw_Data!D4005</f>
        <v>secondary</v>
      </c>
      <c r="F4005" s="3" t="str">
        <f aca="false">Raw_Data!E4005</f>
        <v>no</v>
      </c>
      <c r="G4005" s="3" t="n">
        <f aca="false">Raw_Data!F4005</f>
        <v>-147</v>
      </c>
      <c r="H4005" s="3" t="str">
        <f aca="false">Raw_Data!G4005</f>
        <v>no</v>
      </c>
      <c r="I4005" s="3" t="str">
        <f aca="false">Raw_Data!H4005</f>
        <v>no</v>
      </c>
      <c r="J4005" s="2" t="n">
        <f aca="false">IF(F4005="yes",1,0)</f>
        <v>0</v>
      </c>
      <c r="K4005" s="2" t="n">
        <f aca="false">IF(H4005="yes",1,0)</f>
        <v>0</v>
      </c>
      <c r="L4005" s="2" t="n">
        <f aca="false">IF(I4005="yes",1,0)</f>
        <v>0</v>
      </c>
      <c r="M4005" s="2" t="n">
        <f aca="false">IF(G4005&lt;0,1,0)</f>
        <v>1</v>
      </c>
      <c r="N4005" s="2" t="str">
        <f aca="false">_xlfn.IFS(B4005&lt;30,"Under 30",B4005&lt;40,"30-39",B4005&lt;50,"40-49",B4005&lt;60,"50-59",TRUE(),"60+")</f>
        <v>Under 30</v>
      </c>
      <c r="O4005" s="2" t="str">
        <f aca="false">_xlfn.IFS(G4005&lt;0,"1 Negative",G4005=0,"2 Zero",G4005&lt;=500,"3 1-500",G4005&lt;=2000,"4 501-2000",TRUE(),"5 Above 2000")</f>
        <v>1 Negative</v>
      </c>
      <c r="P4005" s="2" t="n">
        <f aca="false">Lookups!$B$2*M4005+Lookups!$B$3*L4005</f>
        <v>2</v>
      </c>
      <c r="Q4005" s="2" t="str">
        <f aca="false">INDEX(Lookups!$E$2:$E$5,MATCH(P4005,Lookups!$D$2:$D$5,0))</f>
        <v>High</v>
      </c>
    </row>
    <row r="4006" customFormat="false" ht="15" hidden="false" customHeight="false" outlineLevel="0" collapsed="false">
      <c r="A4006" s="3" t="n">
        <v>4005</v>
      </c>
      <c r="B4006" s="3" t="n">
        <f aca="false">Raw_Data!A4006</f>
        <v>34</v>
      </c>
      <c r="C4006" s="3" t="str">
        <f aca="false">SUBSTITUTE(Raw_Data!B4006,".","")</f>
        <v>technician</v>
      </c>
      <c r="D4006" s="3" t="str">
        <f aca="false">Raw_Data!C4006</f>
        <v>single</v>
      </c>
      <c r="E4006" s="3" t="str">
        <f aca="false">Raw_Data!D4006</f>
        <v>secondary</v>
      </c>
      <c r="F4006" s="3" t="str">
        <f aca="false">Raw_Data!E4006</f>
        <v>no</v>
      </c>
      <c r="G4006" s="3" t="n">
        <f aca="false">Raw_Data!F4006</f>
        <v>179</v>
      </c>
      <c r="H4006" s="3" t="str">
        <f aca="false">Raw_Data!G4006</f>
        <v>no</v>
      </c>
      <c r="I4006" s="3" t="str">
        <f aca="false">Raw_Data!H4006</f>
        <v>no</v>
      </c>
      <c r="J4006" s="2" t="n">
        <f aca="false">IF(F4006="yes",1,0)</f>
        <v>0</v>
      </c>
      <c r="K4006" s="2" t="n">
        <f aca="false">IF(H4006="yes",1,0)</f>
        <v>0</v>
      </c>
      <c r="L4006" s="2" t="n">
        <f aca="false">IF(I4006="yes",1,0)</f>
        <v>0</v>
      </c>
      <c r="M4006" s="2" t="n">
        <f aca="false">IF(G4006&lt;0,1,0)</f>
        <v>0</v>
      </c>
      <c r="N4006" s="2" t="str">
        <f aca="false">_xlfn.IFS(B4006&lt;30,"Under 30",B4006&lt;40,"30-39",B4006&lt;50,"40-49",B4006&lt;60,"50-59",TRUE(),"60+")</f>
        <v>30-39</v>
      </c>
      <c r="O4006" s="2" t="str">
        <f aca="false">_xlfn.IFS(G4006&lt;0,"1 Negative",G4006=0,"2 Zero",G4006&lt;=500,"3 1-500",G4006&lt;=2000,"4 501-2000",TRUE(),"5 Above 2000")</f>
        <v>3 1-500</v>
      </c>
      <c r="P4006" s="2" t="n">
        <f aca="false">Lookups!$B$2*M4006+Lookups!$B$3*L4006</f>
        <v>0</v>
      </c>
      <c r="Q4006" s="2" t="str">
        <f aca="false">INDEX(Lookups!$E$2:$E$5,MATCH(P4006,Lookups!$D$2:$D$5,0))</f>
        <v>Low</v>
      </c>
    </row>
    <row r="4007" customFormat="false" ht="15" hidden="false" customHeight="false" outlineLevel="0" collapsed="false">
      <c r="A4007" s="3" t="n">
        <v>4006</v>
      </c>
      <c r="B4007" s="3" t="n">
        <f aca="false">Raw_Data!A4007</f>
        <v>55</v>
      </c>
      <c r="C4007" s="3" t="str">
        <f aca="false">SUBSTITUTE(Raw_Data!B4007,".","")</f>
        <v>blue-collar</v>
      </c>
      <c r="D4007" s="3" t="str">
        <f aca="false">Raw_Data!C4007</f>
        <v>married</v>
      </c>
      <c r="E4007" s="3" t="str">
        <f aca="false">Raw_Data!D4007</f>
        <v>primary</v>
      </c>
      <c r="F4007" s="3" t="str">
        <f aca="false">Raw_Data!E4007</f>
        <v>no</v>
      </c>
      <c r="G4007" s="3" t="n">
        <f aca="false">Raw_Data!F4007</f>
        <v>1086</v>
      </c>
      <c r="H4007" s="3" t="str">
        <f aca="false">Raw_Data!G4007</f>
        <v>yes</v>
      </c>
      <c r="I4007" s="3" t="str">
        <f aca="false">Raw_Data!H4007</f>
        <v>no</v>
      </c>
      <c r="J4007" s="2" t="n">
        <f aca="false">IF(F4007="yes",1,0)</f>
        <v>0</v>
      </c>
      <c r="K4007" s="2" t="n">
        <f aca="false">IF(H4007="yes",1,0)</f>
        <v>1</v>
      </c>
      <c r="L4007" s="2" t="n">
        <f aca="false">IF(I4007="yes",1,0)</f>
        <v>0</v>
      </c>
      <c r="M4007" s="2" t="n">
        <f aca="false">IF(G4007&lt;0,1,0)</f>
        <v>0</v>
      </c>
      <c r="N4007" s="2" t="str">
        <f aca="false">_xlfn.IFS(B4007&lt;30,"Under 30",B4007&lt;40,"30-39",B4007&lt;50,"40-49",B4007&lt;60,"50-59",TRUE(),"60+")</f>
        <v>50-59</v>
      </c>
      <c r="O4007" s="2" t="str">
        <f aca="false">_xlfn.IFS(G4007&lt;0,"1 Negative",G4007=0,"2 Zero",G4007&lt;=500,"3 1-500",G4007&lt;=2000,"4 501-2000",TRUE(),"5 Above 2000")</f>
        <v>4 501-2000</v>
      </c>
      <c r="P4007" s="2" t="n">
        <f aca="false">Lookups!$B$2*M4007+Lookups!$B$3*L4007</f>
        <v>0</v>
      </c>
      <c r="Q4007" s="2" t="str">
        <f aca="false">INDEX(Lookups!$E$2:$E$5,MATCH(P4007,Lookups!$D$2:$D$5,0))</f>
        <v>Low</v>
      </c>
    </row>
    <row r="4008" customFormat="false" ht="15" hidden="false" customHeight="false" outlineLevel="0" collapsed="false">
      <c r="A4008" s="3" t="n">
        <v>4007</v>
      </c>
      <c r="B4008" s="3" t="n">
        <f aca="false">Raw_Data!A4008</f>
        <v>55</v>
      </c>
      <c r="C4008" s="3" t="str">
        <f aca="false">SUBSTITUTE(Raw_Data!B4008,".","")</f>
        <v>blue-collar</v>
      </c>
      <c r="D4008" s="3" t="str">
        <f aca="false">Raw_Data!C4008</f>
        <v>married</v>
      </c>
      <c r="E4008" s="3" t="str">
        <f aca="false">Raw_Data!D4008</f>
        <v>secondary</v>
      </c>
      <c r="F4008" s="3" t="str">
        <f aca="false">Raw_Data!E4008</f>
        <v>no</v>
      </c>
      <c r="G4008" s="3" t="n">
        <f aca="false">Raw_Data!F4008</f>
        <v>471</v>
      </c>
      <c r="H4008" s="3" t="str">
        <f aca="false">Raw_Data!G4008</f>
        <v>yes</v>
      </c>
      <c r="I4008" s="3" t="str">
        <f aca="false">Raw_Data!H4008</f>
        <v>no</v>
      </c>
      <c r="J4008" s="2" t="n">
        <f aca="false">IF(F4008="yes",1,0)</f>
        <v>0</v>
      </c>
      <c r="K4008" s="2" t="n">
        <f aca="false">IF(H4008="yes",1,0)</f>
        <v>1</v>
      </c>
      <c r="L4008" s="2" t="n">
        <f aca="false">IF(I4008="yes",1,0)</f>
        <v>0</v>
      </c>
      <c r="M4008" s="2" t="n">
        <f aca="false">IF(G4008&lt;0,1,0)</f>
        <v>0</v>
      </c>
      <c r="N4008" s="2" t="str">
        <f aca="false">_xlfn.IFS(B4008&lt;30,"Under 30",B4008&lt;40,"30-39",B4008&lt;50,"40-49",B4008&lt;60,"50-59",TRUE(),"60+")</f>
        <v>50-59</v>
      </c>
      <c r="O4008" s="2" t="str">
        <f aca="false">_xlfn.IFS(G4008&lt;0,"1 Negative",G4008=0,"2 Zero",G4008&lt;=500,"3 1-500",G4008&lt;=2000,"4 501-2000",TRUE(),"5 Above 2000")</f>
        <v>3 1-500</v>
      </c>
      <c r="P4008" s="2" t="n">
        <f aca="false">Lookups!$B$2*M4008+Lookups!$B$3*L4008</f>
        <v>0</v>
      </c>
      <c r="Q4008" s="2" t="str">
        <f aca="false">INDEX(Lookups!$E$2:$E$5,MATCH(P4008,Lookups!$D$2:$D$5,0))</f>
        <v>Low</v>
      </c>
    </row>
    <row r="4009" customFormat="false" ht="15" hidden="false" customHeight="false" outlineLevel="0" collapsed="false">
      <c r="A4009" s="3" t="n">
        <v>4008</v>
      </c>
      <c r="B4009" s="3" t="n">
        <f aca="false">Raw_Data!A4009</f>
        <v>34</v>
      </c>
      <c r="C4009" s="3" t="str">
        <f aca="false">SUBSTITUTE(Raw_Data!B4009,".","")</f>
        <v>entrepreneur</v>
      </c>
      <c r="D4009" s="3" t="str">
        <f aca="false">Raw_Data!C4009</f>
        <v>married</v>
      </c>
      <c r="E4009" s="3" t="str">
        <f aca="false">Raw_Data!D4009</f>
        <v>tertiary</v>
      </c>
      <c r="F4009" s="3" t="str">
        <f aca="false">Raw_Data!E4009</f>
        <v>no</v>
      </c>
      <c r="G4009" s="3" t="n">
        <f aca="false">Raw_Data!F4009</f>
        <v>105</v>
      </c>
      <c r="H4009" s="3" t="str">
        <f aca="false">Raw_Data!G4009</f>
        <v>yes</v>
      </c>
      <c r="I4009" s="3" t="str">
        <f aca="false">Raw_Data!H4009</f>
        <v>no</v>
      </c>
      <c r="J4009" s="2" t="n">
        <f aca="false">IF(F4009="yes",1,0)</f>
        <v>0</v>
      </c>
      <c r="K4009" s="2" t="n">
        <f aca="false">IF(H4009="yes",1,0)</f>
        <v>1</v>
      </c>
      <c r="L4009" s="2" t="n">
        <f aca="false">IF(I4009="yes",1,0)</f>
        <v>0</v>
      </c>
      <c r="M4009" s="2" t="n">
        <f aca="false">IF(G4009&lt;0,1,0)</f>
        <v>0</v>
      </c>
      <c r="N4009" s="2" t="str">
        <f aca="false">_xlfn.IFS(B4009&lt;30,"Under 30",B4009&lt;40,"30-39",B4009&lt;50,"40-49",B4009&lt;60,"50-59",TRUE(),"60+")</f>
        <v>30-39</v>
      </c>
      <c r="O4009" s="2" t="str">
        <f aca="false">_xlfn.IFS(G4009&lt;0,"1 Negative",G4009=0,"2 Zero",G4009&lt;=500,"3 1-500",G4009&lt;=2000,"4 501-2000",TRUE(),"5 Above 2000")</f>
        <v>3 1-500</v>
      </c>
      <c r="P4009" s="2" t="n">
        <f aca="false">Lookups!$B$2*M4009+Lookups!$B$3*L4009</f>
        <v>0</v>
      </c>
      <c r="Q4009" s="2" t="str">
        <f aca="false">INDEX(Lookups!$E$2:$E$5,MATCH(P4009,Lookups!$D$2:$D$5,0))</f>
        <v>Low</v>
      </c>
    </row>
    <row r="4010" customFormat="false" ht="15" hidden="false" customHeight="false" outlineLevel="0" collapsed="false">
      <c r="A4010" s="3" t="n">
        <v>4009</v>
      </c>
      <c r="B4010" s="3" t="n">
        <f aca="false">Raw_Data!A4010</f>
        <v>41</v>
      </c>
      <c r="C4010" s="3" t="str">
        <f aca="false">SUBSTITUTE(Raw_Data!B4010,".","")</f>
        <v>entrepreneur</v>
      </c>
      <c r="D4010" s="3" t="str">
        <f aca="false">Raw_Data!C4010</f>
        <v>divorced</v>
      </c>
      <c r="E4010" s="3" t="str">
        <f aca="false">Raw_Data!D4010</f>
        <v>secondary</v>
      </c>
      <c r="F4010" s="3" t="str">
        <f aca="false">Raw_Data!E4010</f>
        <v>no</v>
      </c>
      <c r="G4010" s="3" t="n">
        <f aca="false">Raw_Data!F4010</f>
        <v>1588</v>
      </c>
      <c r="H4010" s="3" t="str">
        <f aca="false">Raw_Data!G4010</f>
        <v>yes</v>
      </c>
      <c r="I4010" s="3" t="str">
        <f aca="false">Raw_Data!H4010</f>
        <v>yes</v>
      </c>
      <c r="J4010" s="2" t="n">
        <f aca="false">IF(F4010="yes",1,0)</f>
        <v>0</v>
      </c>
      <c r="K4010" s="2" t="n">
        <f aca="false">IF(H4010="yes",1,0)</f>
        <v>1</v>
      </c>
      <c r="L4010" s="2" t="n">
        <f aca="false">IF(I4010="yes",1,0)</f>
        <v>1</v>
      </c>
      <c r="M4010" s="2" t="n">
        <f aca="false">IF(G4010&lt;0,1,0)</f>
        <v>0</v>
      </c>
      <c r="N4010" s="2" t="str">
        <f aca="false">_xlfn.IFS(B4010&lt;30,"Under 30",B4010&lt;40,"30-39",B4010&lt;50,"40-49",B4010&lt;60,"50-59",TRUE(),"60+")</f>
        <v>40-49</v>
      </c>
      <c r="O4010" s="2" t="str">
        <f aca="false">_xlfn.IFS(G4010&lt;0,"1 Negative",G4010=0,"2 Zero",G4010&lt;=500,"3 1-500",G4010&lt;=2000,"4 501-2000",TRUE(),"5 Above 2000")</f>
        <v>4 501-2000</v>
      </c>
      <c r="P4010" s="2" t="n">
        <f aca="false">Lookups!$B$2*M4010+Lookups!$B$3*L4010</f>
        <v>1</v>
      </c>
      <c r="Q4010" s="2" t="str">
        <f aca="false">INDEX(Lookups!$E$2:$E$5,MATCH(P4010,Lookups!$D$2:$D$5,0))</f>
        <v>Medium</v>
      </c>
    </row>
    <row r="4011" customFormat="false" ht="15" hidden="false" customHeight="false" outlineLevel="0" collapsed="false">
      <c r="A4011" s="3" t="n">
        <v>4010</v>
      </c>
      <c r="B4011" s="3" t="n">
        <f aca="false">Raw_Data!A4011</f>
        <v>38</v>
      </c>
      <c r="C4011" s="3" t="str">
        <f aca="false">SUBSTITUTE(Raw_Data!B4011,".","")</f>
        <v>housemaid</v>
      </c>
      <c r="D4011" s="3" t="str">
        <f aca="false">Raw_Data!C4011</f>
        <v>divorced</v>
      </c>
      <c r="E4011" s="3" t="str">
        <f aca="false">Raw_Data!D4011</f>
        <v>secondary</v>
      </c>
      <c r="F4011" s="3" t="str">
        <f aca="false">Raw_Data!E4011</f>
        <v>no</v>
      </c>
      <c r="G4011" s="3" t="n">
        <f aca="false">Raw_Data!F4011</f>
        <v>70</v>
      </c>
      <c r="H4011" s="3" t="str">
        <f aca="false">Raw_Data!G4011</f>
        <v>no</v>
      </c>
      <c r="I4011" s="3" t="str">
        <f aca="false">Raw_Data!H4011</f>
        <v>no</v>
      </c>
      <c r="J4011" s="2" t="n">
        <f aca="false">IF(F4011="yes",1,0)</f>
        <v>0</v>
      </c>
      <c r="K4011" s="2" t="n">
        <f aca="false">IF(H4011="yes",1,0)</f>
        <v>0</v>
      </c>
      <c r="L4011" s="2" t="n">
        <f aca="false">IF(I4011="yes",1,0)</f>
        <v>0</v>
      </c>
      <c r="M4011" s="2" t="n">
        <f aca="false">IF(G4011&lt;0,1,0)</f>
        <v>0</v>
      </c>
      <c r="N4011" s="2" t="str">
        <f aca="false">_xlfn.IFS(B4011&lt;30,"Under 30",B4011&lt;40,"30-39",B4011&lt;50,"40-49",B4011&lt;60,"50-59",TRUE(),"60+")</f>
        <v>30-39</v>
      </c>
      <c r="O4011" s="2" t="str">
        <f aca="false">_xlfn.IFS(G4011&lt;0,"1 Negative",G4011=0,"2 Zero",G4011&lt;=500,"3 1-500",G4011&lt;=2000,"4 501-2000",TRUE(),"5 Above 2000")</f>
        <v>3 1-500</v>
      </c>
      <c r="P4011" s="2" t="n">
        <f aca="false">Lookups!$B$2*M4011+Lookups!$B$3*L4011</f>
        <v>0</v>
      </c>
      <c r="Q4011" s="2" t="str">
        <f aca="false">INDEX(Lookups!$E$2:$E$5,MATCH(P4011,Lookups!$D$2:$D$5,0))</f>
        <v>Low</v>
      </c>
    </row>
    <row r="4012" customFormat="false" ht="15" hidden="false" customHeight="false" outlineLevel="0" collapsed="false">
      <c r="A4012" s="3" t="n">
        <v>4011</v>
      </c>
      <c r="B4012" s="3" t="n">
        <f aca="false">Raw_Data!A4012</f>
        <v>28</v>
      </c>
      <c r="C4012" s="3" t="str">
        <f aca="false">SUBSTITUTE(Raw_Data!B4012,".","")</f>
        <v>blue-collar</v>
      </c>
      <c r="D4012" s="3" t="str">
        <f aca="false">Raw_Data!C4012</f>
        <v>single</v>
      </c>
      <c r="E4012" s="3" t="str">
        <f aca="false">Raw_Data!D4012</f>
        <v>secondary</v>
      </c>
      <c r="F4012" s="3" t="str">
        <f aca="false">Raw_Data!E4012</f>
        <v>no</v>
      </c>
      <c r="G4012" s="3" t="n">
        <f aca="false">Raw_Data!F4012</f>
        <v>2700</v>
      </c>
      <c r="H4012" s="3" t="str">
        <f aca="false">Raw_Data!G4012</f>
        <v>no</v>
      </c>
      <c r="I4012" s="3" t="str">
        <f aca="false">Raw_Data!H4012</f>
        <v>no</v>
      </c>
      <c r="J4012" s="2" t="n">
        <f aca="false">IF(F4012="yes",1,0)</f>
        <v>0</v>
      </c>
      <c r="K4012" s="2" t="n">
        <f aca="false">IF(H4012="yes",1,0)</f>
        <v>0</v>
      </c>
      <c r="L4012" s="2" t="n">
        <f aca="false">IF(I4012="yes",1,0)</f>
        <v>0</v>
      </c>
      <c r="M4012" s="2" t="n">
        <f aca="false">IF(G4012&lt;0,1,0)</f>
        <v>0</v>
      </c>
      <c r="N4012" s="2" t="str">
        <f aca="false">_xlfn.IFS(B4012&lt;30,"Under 30",B4012&lt;40,"30-39",B4012&lt;50,"40-49",B4012&lt;60,"50-59",TRUE(),"60+")</f>
        <v>Under 30</v>
      </c>
      <c r="O4012" s="2" t="str">
        <f aca="false">_xlfn.IFS(G4012&lt;0,"1 Negative",G4012=0,"2 Zero",G4012&lt;=500,"3 1-500",G4012&lt;=2000,"4 501-2000",TRUE(),"5 Above 2000")</f>
        <v>5 Above 2000</v>
      </c>
      <c r="P4012" s="2" t="n">
        <f aca="false">Lookups!$B$2*M4012+Lookups!$B$3*L4012</f>
        <v>0</v>
      </c>
      <c r="Q4012" s="2" t="str">
        <f aca="false">INDEX(Lookups!$E$2:$E$5,MATCH(P4012,Lookups!$D$2:$D$5,0))</f>
        <v>Low</v>
      </c>
    </row>
    <row r="4013" customFormat="false" ht="15" hidden="false" customHeight="false" outlineLevel="0" collapsed="false">
      <c r="A4013" s="3" t="n">
        <v>4012</v>
      </c>
      <c r="B4013" s="3" t="n">
        <f aca="false">Raw_Data!A4013</f>
        <v>41</v>
      </c>
      <c r="C4013" s="3" t="str">
        <f aca="false">SUBSTITUTE(Raw_Data!B4013,".","")</f>
        <v>technician</v>
      </c>
      <c r="D4013" s="3" t="str">
        <f aca="false">Raw_Data!C4013</f>
        <v>married</v>
      </c>
      <c r="E4013" s="3" t="str">
        <f aca="false">Raw_Data!D4013</f>
        <v>secondary</v>
      </c>
      <c r="F4013" s="3" t="str">
        <f aca="false">Raw_Data!E4013</f>
        <v>no</v>
      </c>
      <c r="G4013" s="3" t="n">
        <f aca="false">Raw_Data!F4013</f>
        <v>1602</v>
      </c>
      <c r="H4013" s="3" t="str">
        <f aca="false">Raw_Data!G4013</f>
        <v>yes</v>
      </c>
      <c r="I4013" s="3" t="str">
        <f aca="false">Raw_Data!H4013</f>
        <v>no</v>
      </c>
      <c r="J4013" s="2" t="n">
        <f aca="false">IF(F4013="yes",1,0)</f>
        <v>0</v>
      </c>
      <c r="K4013" s="2" t="n">
        <f aca="false">IF(H4013="yes",1,0)</f>
        <v>1</v>
      </c>
      <c r="L4013" s="2" t="n">
        <f aca="false">IF(I4013="yes",1,0)</f>
        <v>0</v>
      </c>
      <c r="M4013" s="2" t="n">
        <f aca="false">IF(G4013&lt;0,1,0)</f>
        <v>0</v>
      </c>
      <c r="N4013" s="2" t="str">
        <f aca="false">_xlfn.IFS(B4013&lt;30,"Under 30",B4013&lt;40,"30-39",B4013&lt;50,"40-49",B4013&lt;60,"50-59",TRUE(),"60+")</f>
        <v>40-49</v>
      </c>
      <c r="O4013" s="2" t="str">
        <f aca="false">_xlfn.IFS(G4013&lt;0,"1 Negative",G4013=0,"2 Zero",G4013&lt;=500,"3 1-500",G4013&lt;=2000,"4 501-2000",TRUE(),"5 Above 2000")</f>
        <v>4 501-2000</v>
      </c>
      <c r="P4013" s="2" t="n">
        <f aca="false">Lookups!$B$2*M4013+Lookups!$B$3*L4013</f>
        <v>0</v>
      </c>
      <c r="Q4013" s="2" t="str">
        <f aca="false">INDEX(Lookups!$E$2:$E$5,MATCH(P4013,Lookups!$D$2:$D$5,0))</f>
        <v>Low</v>
      </c>
    </row>
    <row r="4014" customFormat="false" ht="15" hidden="false" customHeight="false" outlineLevel="0" collapsed="false">
      <c r="A4014" s="3" t="n">
        <v>4013</v>
      </c>
      <c r="B4014" s="3" t="n">
        <f aca="false">Raw_Data!A4014</f>
        <v>30</v>
      </c>
      <c r="C4014" s="3" t="str">
        <f aca="false">SUBSTITUTE(Raw_Data!B4014,".","")</f>
        <v>admin</v>
      </c>
      <c r="D4014" s="3" t="str">
        <f aca="false">Raw_Data!C4014</f>
        <v>married</v>
      </c>
      <c r="E4014" s="3" t="str">
        <f aca="false">Raw_Data!D4014</f>
        <v>tertiary</v>
      </c>
      <c r="F4014" s="3" t="str">
        <f aca="false">Raw_Data!E4014</f>
        <v>no</v>
      </c>
      <c r="G4014" s="3" t="n">
        <f aca="false">Raw_Data!F4014</f>
        <v>0</v>
      </c>
      <c r="H4014" s="3" t="str">
        <f aca="false">Raw_Data!G4014</f>
        <v>yes</v>
      </c>
      <c r="I4014" s="3" t="str">
        <f aca="false">Raw_Data!H4014</f>
        <v>no</v>
      </c>
      <c r="J4014" s="2" t="n">
        <f aca="false">IF(F4014="yes",1,0)</f>
        <v>0</v>
      </c>
      <c r="K4014" s="2" t="n">
        <f aca="false">IF(H4014="yes",1,0)</f>
        <v>1</v>
      </c>
      <c r="L4014" s="2" t="n">
        <f aca="false">IF(I4014="yes",1,0)</f>
        <v>0</v>
      </c>
      <c r="M4014" s="2" t="n">
        <f aca="false">IF(G4014&lt;0,1,0)</f>
        <v>0</v>
      </c>
      <c r="N4014" s="2" t="str">
        <f aca="false">_xlfn.IFS(B4014&lt;30,"Under 30",B4014&lt;40,"30-39",B4014&lt;50,"40-49",B4014&lt;60,"50-59",TRUE(),"60+")</f>
        <v>30-39</v>
      </c>
      <c r="O4014" s="2" t="str">
        <f aca="false">_xlfn.IFS(G4014&lt;0,"1 Negative",G4014=0,"2 Zero",G4014&lt;=500,"3 1-500",G4014&lt;=2000,"4 501-2000",TRUE(),"5 Above 2000")</f>
        <v>2 Zero</v>
      </c>
      <c r="P4014" s="2" t="n">
        <f aca="false">Lookups!$B$2*M4014+Lookups!$B$3*L4014</f>
        <v>0</v>
      </c>
      <c r="Q4014" s="2" t="str">
        <f aca="false">INDEX(Lookups!$E$2:$E$5,MATCH(P4014,Lookups!$D$2:$D$5,0))</f>
        <v>Low</v>
      </c>
    </row>
    <row r="4015" customFormat="false" ht="15" hidden="false" customHeight="false" outlineLevel="0" collapsed="false">
      <c r="A4015" s="3" t="n">
        <v>4014</v>
      </c>
      <c r="B4015" s="3" t="n">
        <f aca="false">Raw_Data!A4015</f>
        <v>39</v>
      </c>
      <c r="C4015" s="3" t="str">
        <f aca="false">SUBSTITUTE(Raw_Data!B4015,".","")</f>
        <v>technician</v>
      </c>
      <c r="D4015" s="3" t="str">
        <f aca="false">Raw_Data!C4015</f>
        <v>married</v>
      </c>
      <c r="E4015" s="3" t="str">
        <f aca="false">Raw_Data!D4015</f>
        <v>unknown</v>
      </c>
      <c r="F4015" s="3" t="str">
        <f aca="false">Raw_Data!E4015</f>
        <v>no</v>
      </c>
      <c r="G4015" s="3" t="n">
        <f aca="false">Raw_Data!F4015</f>
        <v>839</v>
      </c>
      <c r="H4015" s="3" t="str">
        <f aca="false">Raw_Data!G4015</f>
        <v>no</v>
      </c>
      <c r="I4015" s="3" t="str">
        <f aca="false">Raw_Data!H4015</f>
        <v>no</v>
      </c>
      <c r="J4015" s="2" t="n">
        <f aca="false">IF(F4015="yes",1,0)</f>
        <v>0</v>
      </c>
      <c r="K4015" s="2" t="n">
        <f aca="false">IF(H4015="yes",1,0)</f>
        <v>0</v>
      </c>
      <c r="L4015" s="2" t="n">
        <f aca="false">IF(I4015="yes",1,0)</f>
        <v>0</v>
      </c>
      <c r="M4015" s="2" t="n">
        <f aca="false">IF(G4015&lt;0,1,0)</f>
        <v>0</v>
      </c>
      <c r="N4015" s="2" t="str">
        <f aca="false">_xlfn.IFS(B4015&lt;30,"Under 30",B4015&lt;40,"30-39",B4015&lt;50,"40-49",B4015&lt;60,"50-59",TRUE(),"60+")</f>
        <v>30-39</v>
      </c>
      <c r="O4015" s="2" t="str">
        <f aca="false">_xlfn.IFS(G4015&lt;0,"1 Negative",G4015=0,"2 Zero",G4015&lt;=500,"3 1-500",G4015&lt;=2000,"4 501-2000",TRUE(),"5 Above 2000")</f>
        <v>4 501-2000</v>
      </c>
      <c r="P4015" s="2" t="n">
        <f aca="false">Lookups!$B$2*M4015+Lookups!$B$3*L4015</f>
        <v>0</v>
      </c>
      <c r="Q4015" s="2" t="str">
        <f aca="false">INDEX(Lookups!$E$2:$E$5,MATCH(P4015,Lookups!$D$2:$D$5,0))</f>
        <v>Low</v>
      </c>
    </row>
    <row r="4016" customFormat="false" ht="15" hidden="false" customHeight="false" outlineLevel="0" collapsed="false">
      <c r="A4016" s="3" t="n">
        <v>4015</v>
      </c>
      <c r="B4016" s="3" t="n">
        <f aca="false">Raw_Data!A4016</f>
        <v>41</v>
      </c>
      <c r="C4016" s="3" t="str">
        <f aca="false">SUBSTITUTE(Raw_Data!B4016,".","")</f>
        <v>admin</v>
      </c>
      <c r="D4016" s="3" t="str">
        <f aca="false">Raw_Data!C4016</f>
        <v>married</v>
      </c>
      <c r="E4016" s="3" t="str">
        <f aca="false">Raw_Data!D4016</f>
        <v>secondary</v>
      </c>
      <c r="F4016" s="3" t="str">
        <f aca="false">Raw_Data!E4016</f>
        <v>no</v>
      </c>
      <c r="G4016" s="3" t="n">
        <f aca="false">Raw_Data!F4016</f>
        <v>21515</v>
      </c>
      <c r="H4016" s="3" t="str">
        <f aca="false">Raw_Data!G4016</f>
        <v>yes</v>
      </c>
      <c r="I4016" s="3" t="str">
        <f aca="false">Raw_Data!H4016</f>
        <v>no</v>
      </c>
      <c r="J4016" s="2" t="n">
        <f aca="false">IF(F4016="yes",1,0)</f>
        <v>0</v>
      </c>
      <c r="K4016" s="2" t="n">
        <f aca="false">IF(H4016="yes",1,0)</f>
        <v>1</v>
      </c>
      <c r="L4016" s="2" t="n">
        <f aca="false">IF(I4016="yes",1,0)</f>
        <v>0</v>
      </c>
      <c r="M4016" s="2" t="n">
        <f aca="false">IF(G4016&lt;0,1,0)</f>
        <v>0</v>
      </c>
      <c r="N4016" s="2" t="str">
        <f aca="false">_xlfn.IFS(B4016&lt;30,"Under 30",B4016&lt;40,"30-39",B4016&lt;50,"40-49",B4016&lt;60,"50-59",TRUE(),"60+")</f>
        <v>40-49</v>
      </c>
      <c r="O4016" s="2" t="str">
        <f aca="false">_xlfn.IFS(G4016&lt;0,"1 Negative",G4016=0,"2 Zero",G4016&lt;=500,"3 1-500",G4016&lt;=2000,"4 501-2000",TRUE(),"5 Above 2000")</f>
        <v>5 Above 2000</v>
      </c>
      <c r="P4016" s="2" t="n">
        <f aca="false">Lookups!$B$2*M4016+Lookups!$B$3*L4016</f>
        <v>0</v>
      </c>
      <c r="Q4016" s="2" t="str">
        <f aca="false">INDEX(Lookups!$E$2:$E$5,MATCH(P4016,Lookups!$D$2:$D$5,0))</f>
        <v>Low</v>
      </c>
    </row>
    <row r="4017" customFormat="false" ht="15" hidden="false" customHeight="false" outlineLevel="0" collapsed="false">
      <c r="A4017" s="3" t="n">
        <v>4016</v>
      </c>
      <c r="B4017" s="3" t="n">
        <f aca="false">Raw_Data!A4017</f>
        <v>36</v>
      </c>
      <c r="C4017" s="3" t="str">
        <f aca="false">SUBSTITUTE(Raw_Data!B4017,".","")</f>
        <v>technician</v>
      </c>
      <c r="D4017" s="3" t="str">
        <f aca="false">Raw_Data!C4017</f>
        <v>married</v>
      </c>
      <c r="E4017" s="3" t="str">
        <f aca="false">Raw_Data!D4017</f>
        <v>secondary</v>
      </c>
      <c r="F4017" s="3" t="str">
        <f aca="false">Raw_Data!E4017</f>
        <v>no</v>
      </c>
      <c r="G4017" s="3" t="n">
        <f aca="false">Raw_Data!F4017</f>
        <v>5902</v>
      </c>
      <c r="H4017" s="3" t="str">
        <f aca="false">Raw_Data!G4017</f>
        <v>yes</v>
      </c>
      <c r="I4017" s="3" t="str">
        <f aca="false">Raw_Data!H4017</f>
        <v>no</v>
      </c>
      <c r="J4017" s="2" t="n">
        <f aca="false">IF(F4017="yes",1,0)</f>
        <v>0</v>
      </c>
      <c r="K4017" s="2" t="n">
        <f aca="false">IF(H4017="yes",1,0)</f>
        <v>1</v>
      </c>
      <c r="L4017" s="2" t="n">
        <f aca="false">IF(I4017="yes",1,0)</f>
        <v>0</v>
      </c>
      <c r="M4017" s="2" t="n">
        <f aca="false">IF(G4017&lt;0,1,0)</f>
        <v>0</v>
      </c>
      <c r="N4017" s="2" t="str">
        <f aca="false">_xlfn.IFS(B4017&lt;30,"Under 30",B4017&lt;40,"30-39",B4017&lt;50,"40-49",B4017&lt;60,"50-59",TRUE(),"60+")</f>
        <v>30-39</v>
      </c>
      <c r="O4017" s="2" t="str">
        <f aca="false">_xlfn.IFS(G4017&lt;0,"1 Negative",G4017=0,"2 Zero",G4017&lt;=500,"3 1-500",G4017&lt;=2000,"4 501-2000",TRUE(),"5 Above 2000")</f>
        <v>5 Above 2000</v>
      </c>
      <c r="P4017" s="2" t="n">
        <f aca="false">Lookups!$B$2*M4017+Lookups!$B$3*L4017</f>
        <v>0</v>
      </c>
      <c r="Q4017" s="2" t="str">
        <f aca="false">INDEX(Lookups!$E$2:$E$5,MATCH(P4017,Lookups!$D$2:$D$5,0))</f>
        <v>Low</v>
      </c>
    </row>
    <row r="4018" customFormat="false" ht="15" hidden="false" customHeight="false" outlineLevel="0" collapsed="false">
      <c r="A4018" s="3" t="n">
        <v>4017</v>
      </c>
      <c r="B4018" s="3" t="n">
        <f aca="false">Raw_Data!A4018</f>
        <v>37</v>
      </c>
      <c r="C4018" s="3" t="str">
        <f aca="false">SUBSTITUTE(Raw_Data!B4018,".","")</f>
        <v>management</v>
      </c>
      <c r="D4018" s="3" t="str">
        <f aca="false">Raw_Data!C4018</f>
        <v>married</v>
      </c>
      <c r="E4018" s="3" t="str">
        <f aca="false">Raw_Data!D4018</f>
        <v>tertiary</v>
      </c>
      <c r="F4018" s="3" t="str">
        <f aca="false">Raw_Data!E4018</f>
        <v>no</v>
      </c>
      <c r="G4018" s="3" t="n">
        <f aca="false">Raw_Data!F4018</f>
        <v>547</v>
      </c>
      <c r="H4018" s="3" t="str">
        <f aca="false">Raw_Data!G4018</f>
        <v>yes</v>
      </c>
      <c r="I4018" s="3" t="str">
        <f aca="false">Raw_Data!H4018</f>
        <v>yes</v>
      </c>
      <c r="J4018" s="2" t="n">
        <f aca="false">IF(F4018="yes",1,0)</f>
        <v>0</v>
      </c>
      <c r="K4018" s="2" t="n">
        <f aca="false">IF(H4018="yes",1,0)</f>
        <v>1</v>
      </c>
      <c r="L4018" s="2" t="n">
        <f aca="false">IF(I4018="yes",1,0)</f>
        <v>1</v>
      </c>
      <c r="M4018" s="2" t="n">
        <f aca="false">IF(G4018&lt;0,1,0)</f>
        <v>0</v>
      </c>
      <c r="N4018" s="2" t="str">
        <f aca="false">_xlfn.IFS(B4018&lt;30,"Under 30",B4018&lt;40,"30-39",B4018&lt;50,"40-49",B4018&lt;60,"50-59",TRUE(),"60+")</f>
        <v>30-39</v>
      </c>
      <c r="O4018" s="2" t="str">
        <f aca="false">_xlfn.IFS(G4018&lt;0,"1 Negative",G4018=0,"2 Zero",G4018&lt;=500,"3 1-500",G4018&lt;=2000,"4 501-2000",TRUE(),"5 Above 2000")</f>
        <v>4 501-2000</v>
      </c>
      <c r="P4018" s="2" t="n">
        <f aca="false">Lookups!$B$2*M4018+Lookups!$B$3*L4018</f>
        <v>1</v>
      </c>
      <c r="Q4018" s="2" t="str">
        <f aca="false">INDEX(Lookups!$E$2:$E$5,MATCH(P4018,Lookups!$D$2:$D$5,0))</f>
        <v>Medium</v>
      </c>
    </row>
    <row r="4019" customFormat="false" ht="15" hidden="false" customHeight="false" outlineLevel="0" collapsed="false">
      <c r="A4019" s="3" t="n">
        <v>4018</v>
      </c>
      <c r="B4019" s="3" t="n">
        <f aca="false">Raw_Data!A4019</f>
        <v>59</v>
      </c>
      <c r="C4019" s="3" t="str">
        <f aca="false">SUBSTITUTE(Raw_Data!B4019,".","")</f>
        <v>self-employed</v>
      </c>
      <c r="D4019" s="3" t="str">
        <f aca="false">Raw_Data!C4019</f>
        <v>married</v>
      </c>
      <c r="E4019" s="3" t="str">
        <f aca="false">Raw_Data!D4019</f>
        <v>tertiary</v>
      </c>
      <c r="F4019" s="3" t="str">
        <f aca="false">Raw_Data!E4019</f>
        <v>no</v>
      </c>
      <c r="G4019" s="3" t="n">
        <f aca="false">Raw_Data!F4019</f>
        <v>3800</v>
      </c>
      <c r="H4019" s="3" t="str">
        <f aca="false">Raw_Data!G4019</f>
        <v>no</v>
      </c>
      <c r="I4019" s="3" t="str">
        <f aca="false">Raw_Data!H4019</f>
        <v>yes</v>
      </c>
      <c r="J4019" s="2" t="n">
        <f aca="false">IF(F4019="yes",1,0)</f>
        <v>0</v>
      </c>
      <c r="K4019" s="2" t="n">
        <f aca="false">IF(H4019="yes",1,0)</f>
        <v>0</v>
      </c>
      <c r="L4019" s="2" t="n">
        <f aca="false">IF(I4019="yes",1,0)</f>
        <v>1</v>
      </c>
      <c r="M4019" s="2" t="n">
        <f aca="false">IF(G4019&lt;0,1,0)</f>
        <v>0</v>
      </c>
      <c r="N4019" s="2" t="str">
        <f aca="false">_xlfn.IFS(B4019&lt;30,"Under 30",B4019&lt;40,"30-39",B4019&lt;50,"40-49",B4019&lt;60,"50-59",TRUE(),"60+")</f>
        <v>50-59</v>
      </c>
      <c r="O4019" s="2" t="str">
        <f aca="false">_xlfn.IFS(G4019&lt;0,"1 Negative",G4019=0,"2 Zero",G4019&lt;=500,"3 1-500",G4019&lt;=2000,"4 501-2000",TRUE(),"5 Above 2000")</f>
        <v>5 Above 2000</v>
      </c>
      <c r="P4019" s="2" t="n">
        <f aca="false">Lookups!$B$2*M4019+Lookups!$B$3*L4019</f>
        <v>1</v>
      </c>
      <c r="Q4019" s="2" t="str">
        <f aca="false">INDEX(Lookups!$E$2:$E$5,MATCH(P4019,Lookups!$D$2:$D$5,0))</f>
        <v>Medium</v>
      </c>
    </row>
    <row r="4020" customFormat="false" ht="15" hidden="false" customHeight="false" outlineLevel="0" collapsed="false">
      <c r="A4020" s="3" t="n">
        <v>4019</v>
      </c>
      <c r="B4020" s="3" t="n">
        <f aca="false">Raw_Data!A4020</f>
        <v>26</v>
      </c>
      <c r="C4020" s="3" t="str">
        <f aca="false">SUBSTITUTE(Raw_Data!B4020,".","")</f>
        <v>technician</v>
      </c>
      <c r="D4020" s="3" t="str">
        <f aca="false">Raw_Data!C4020</f>
        <v>single</v>
      </c>
      <c r="E4020" s="3" t="str">
        <f aca="false">Raw_Data!D4020</f>
        <v>secondary</v>
      </c>
      <c r="F4020" s="3" t="str">
        <f aca="false">Raw_Data!E4020</f>
        <v>no</v>
      </c>
      <c r="G4020" s="3" t="n">
        <f aca="false">Raw_Data!F4020</f>
        <v>261</v>
      </c>
      <c r="H4020" s="3" t="str">
        <f aca="false">Raw_Data!G4020</f>
        <v>yes</v>
      </c>
      <c r="I4020" s="3" t="str">
        <f aca="false">Raw_Data!H4020</f>
        <v>no</v>
      </c>
      <c r="J4020" s="2" t="n">
        <f aca="false">IF(F4020="yes",1,0)</f>
        <v>0</v>
      </c>
      <c r="K4020" s="2" t="n">
        <f aca="false">IF(H4020="yes",1,0)</f>
        <v>1</v>
      </c>
      <c r="L4020" s="2" t="n">
        <f aca="false">IF(I4020="yes",1,0)</f>
        <v>0</v>
      </c>
      <c r="M4020" s="2" t="n">
        <f aca="false">IF(G4020&lt;0,1,0)</f>
        <v>0</v>
      </c>
      <c r="N4020" s="2" t="str">
        <f aca="false">_xlfn.IFS(B4020&lt;30,"Under 30",B4020&lt;40,"30-39",B4020&lt;50,"40-49",B4020&lt;60,"50-59",TRUE(),"60+")</f>
        <v>Under 30</v>
      </c>
      <c r="O4020" s="2" t="str">
        <f aca="false">_xlfn.IFS(G4020&lt;0,"1 Negative",G4020=0,"2 Zero",G4020&lt;=500,"3 1-500",G4020&lt;=2000,"4 501-2000",TRUE(),"5 Above 2000")</f>
        <v>3 1-500</v>
      </c>
      <c r="P4020" s="2" t="n">
        <f aca="false">Lookups!$B$2*M4020+Lookups!$B$3*L4020</f>
        <v>0</v>
      </c>
      <c r="Q4020" s="2" t="str">
        <f aca="false">INDEX(Lookups!$E$2:$E$5,MATCH(P4020,Lookups!$D$2:$D$5,0))</f>
        <v>Low</v>
      </c>
    </row>
    <row r="4021" customFormat="false" ht="15" hidden="false" customHeight="false" outlineLevel="0" collapsed="false">
      <c r="A4021" s="3" t="n">
        <v>4020</v>
      </c>
      <c r="B4021" s="3" t="n">
        <f aca="false">Raw_Data!A4021</f>
        <v>43</v>
      </c>
      <c r="C4021" s="3" t="str">
        <f aca="false">SUBSTITUTE(Raw_Data!B4021,".","")</f>
        <v>technician</v>
      </c>
      <c r="D4021" s="3" t="str">
        <f aca="false">Raw_Data!C4021</f>
        <v>married</v>
      </c>
      <c r="E4021" s="3" t="str">
        <f aca="false">Raw_Data!D4021</f>
        <v>secondary</v>
      </c>
      <c r="F4021" s="3" t="str">
        <f aca="false">Raw_Data!E4021</f>
        <v>no</v>
      </c>
      <c r="G4021" s="3" t="n">
        <f aca="false">Raw_Data!F4021</f>
        <v>0</v>
      </c>
      <c r="H4021" s="3" t="str">
        <f aca="false">Raw_Data!G4021</f>
        <v>yes</v>
      </c>
      <c r="I4021" s="3" t="str">
        <f aca="false">Raw_Data!H4021</f>
        <v>yes</v>
      </c>
      <c r="J4021" s="2" t="n">
        <f aca="false">IF(F4021="yes",1,0)</f>
        <v>0</v>
      </c>
      <c r="K4021" s="2" t="n">
        <f aca="false">IF(H4021="yes",1,0)</f>
        <v>1</v>
      </c>
      <c r="L4021" s="2" t="n">
        <f aca="false">IF(I4021="yes",1,0)</f>
        <v>1</v>
      </c>
      <c r="M4021" s="2" t="n">
        <f aca="false">IF(G4021&lt;0,1,0)</f>
        <v>0</v>
      </c>
      <c r="N4021" s="2" t="str">
        <f aca="false">_xlfn.IFS(B4021&lt;30,"Under 30",B4021&lt;40,"30-39",B4021&lt;50,"40-49",B4021&lt;60,"50-59",TRUE(),"60+")</f>
        <v>40-49</v>
      </c>
      <c r="O4021" s="2" t="str">
        <f aca="false">_xlfn.IFS(G4021&lt;0,"1 Negative",G4021=0,"2 Zero",G4021&lt;=500,"3 1-500",G4021&lt;=2000,"4 501-2000",TRUE(),"5 Above 2000")</f>
        <v>2 Zero</v>
      </c>
      <c r="P4021" s="2" t="n">
        <f aca="false">Lookups!$B$2*M4021+Lookups!$B$3*L4021</f>
        <v>1</v>
      </c>
      <c r="Q4021" s="2" t="str">
        <f aca="false">INDEX(Lookups!$E$2:$E$5,MATCH(P4021,Lookups!$D$2:$D$5,0))</f>
        <v>Medium</v>
      </c>
    </row>
    <row r="4022" customFormat="false" ht="15" hidden="false" customHeight="false" outlineLevel="0" collapsed="false">
      <c r="A4022" s="3" t="n">
        <v>4021</v>
      </c>
      <c r="B4022" s="3" t="n">
        <f aca="false">Raw_Data!A4022</f>
        <v>42</v>
      </c>
      <c r="C4022" s="3" t="str">
        <f aca="false">SUBSTITUTE(Raw_Data!B4022,".","")</f>
        <v>management</v>
      </c>
      <c r="D4022" s="3" t="str">
        <f aca="false">Raw_Data!C4022</f>
        <v>married</v>
      </c>
      <c r="E4022" s="3" t="str">
        <f aca="false">Raw_Data!D4022</f>
        <v>secondary</v>
      </c>
      <c r="F4022" s="3" t="str">
        <f aca="false">Raw_Data!E4022</f>
        <v>yes</v>
      </c>
      <c r="G4022" s="3" t="n">
        <f aca="false">Raw_Data!F4022</f>
        <v>-34</v>
      </c>
      <c r="H4022" s="3" t="str">
        <f aca="false">Raw_Data!G4022</f>
        <v>no</v>
      </c>
      <c r="I4022" s="3" t="str">
        <f aca="false">Raw_Data!H4022</f>
        <v>no</v>
      </c>
      <c r="J4022" s="2" t="n">
        <f aca="false">IF(F4022="yes",1,0)</f>
        <v>1</v>
      </c>
      <c r="K4022" s="2" t="n">
        <f aca="false">IF(H4022="yes",1,0)</f>
        <v>0</v>
      </c>
      <c r="L4022" s="2" t="n">
        <f aca="false">IF(I4022="yes",1,0)</f>
        <v>0</v>
      </c>
      <c r="M4022" s="2" t="n">
        <f aca="false">IF(G4022&lt;0,1,0)</f>
        <v>1</v>
      </c>
      <c r="N4022" s="2" t="str">
        <f aca="false">_xlfn.IFS(B4022&lt;30,"Under 30",B4022&lt;40,"30-39",B4022&lt;50,"40-49",B4022&lt;60,"50-59",TRUE(),"60+")</f>
        <v>40-49</v>
      </c>
      <c r="O4022" s="2" t="str">
        <f aca="false">_xlfn.IFS(G4022&lt;0,"1 Negative",G4022=0,"2 Zero",G4022&lt;=500,"3 1-500",G4022&lt;=2000,"4 501-2000",TRUE(),"5 Above 2000")</f>
        <v>1 Negative</v>
      </c>
      <c r="P4022" s="2" t="n">
        <f aca="false">Lookups!$B$2*M4022+Lookups!$B$3*L4022</f>
        <v>2</v>
      </c>
      <c r="Q4022" s="2" t="str">
        <f aca="false">INDEX(Lookups!$E$2:$E$5,MATCH(P4022,Lookups!$D$2:$D$5,0))</f>
        <v>High</v>
      </c>
    </row>
    <row r="4023" customFormat="false" ht="15" hidden="false" customHeight="false" outlineLevel="0" collapsed="false">
      <c r="A4023" s="3" t="n">
        <v>4022</v>
      </c>
      <c r="B4023" s="3" t="n">
        <f aca="false">Raw_Data!A4023</f>
        <v>46</v>
      </c>
      <c r="C4023" s="3" t="str">
        <f aca="false">SUBSTITUTE(Raw_Data!B4023,".","")</f>
        <v>blue-collar</v>
      </c>
      <c r="D4023" s="3" t="str">
        <f aca="false">Raw_Data!C4023</f>
        <v>married</v>
      </c>
      <c r="E4023" s="3" t="str">
        <f aca="false">Raw_Data!D4023</f>
        <v>unknown</v>
      </c>
      <c r="F4023" s="3" t="str">
        <f aca="false">Raw_Data!E4023</f>
        <v>no</v>
      </c>
      <c r="G4023" s="3" t="n">
        <f aca="false">Raw_Data!F4023</f>
        <v>9328</v>
      </c>
      <c r="H4023" s="3" t="str">
        <f aca="false">Raw_Data!G4023</f>
        <v>yes</v>
      </c>
      <c r="I4023" s="3" t="str">
        <f aca="false">Raw_Data!H4023</f>
        <v>no</v>
      </c>
      <c r="J4023" s="2" t="n">
        <f aca="false">IF(F4023="yes",1,0)</f>
        <v>0</v>
      </c>
      <c r="K4023" s="2" t="n">
        <f aca="false">IF(H4023="yes",1,0)</f>
        <v>1</v>
      </c>
      <c r="L4023" s="2" t="n">
        <f aca="false">IF(I4023="yes",1,0)</f>
        <v>0</v>
      </c>
      <c r="M4023" s="2" t="n">
        <f aca="false">IF(G4023&lt;0,1,0)</f>
        <v>0</v>
      </c>
      <c r="N4023" s="2" t="str">
        <f aca="false">_xlfn.IFS(B4023&lt;30,"Under 30",B4023&lt;40,"30-39",B4023&lt;50,"40-49",B4023&lt;60,"50-59",TRUE(),"60+")</f>
        <v>40-49</v>
      </c>
      <c r="O4023" s="2" t="str">
        <f aca="false">_xlfn.IFS(G4023&lt;0,"1 Negative",G4023=0,"2 Zero",G4023&lt;=500,"3 1-500",G4023&lt;=2000,"4 501-2000",TRUE(),"5 Above 2000")</f>
        <v>5 Above 2000</v>
      </c>
      <c r="P4023" s="2" t="n">
        <f aca="false">Lookups!$B$2*M4023+Lookups!$B$3*L4023</f>
        <v>0</v>
      </c>
      <c r="Q4023" s="2" t="str">
        <f aca="false">INDEX(Lookups!$E$2:$E$5,MATCH(P4023,Lookups!$D$2:$D$5,0))</f>
        <v>Low</v>
      </c>
    </row>
    <row r="4024" customFormat="false" ht="15" hidden="false" customHeight="false" outlineLevel="0" collapsed="false">
      <c r="A4024" s="3" t="n">
        <v>4023</v>
      </c>
      <c r="B4024" s="3" t="n">
        <f aca="false">Raw_Data!A4024</f>
        <v>31</v>
      </c>
      <c r="C4024" s="3" t="str">
        <f aca="false">SUBSTITUTE(Raw_Data!B4024,".","")</f>
        <v>admin</v>
      </c>
      <c r="D4024" s="3" t="str">
        <f aca="false">Raw_Data!C4024</f>
        <v>married</v>
      </c>
      <c r="E4024" s="3" t="str">
        <f aca="false">Raw_Data!D4024</f>
        <v>secondary</v>
      </c>
      <c r="F4024" s="3" t="str">
        <f aca="false">Raw_Data!E4024</f>
        <v>no</v>
      </c>
      <c r="G4024" s="3" t="n">
        <f aca="false">Raw_Data!F4024</f>
        <v>5</v>
      </c>
      <c r="H4024" s="3" t="str">
        <f aca="false">Raw_Data!G4024</f>
        <v>yes</v>
      </c>
      <c r="I4024" s="3" t="str">
        <f aca="false">Raw_Data!H4024</f>
        <v>yes</v>
      </c>
      <c r="J4024" s="2" t="n">
        <f aca="false">IF(F4024="yes",1,0)</f>
        <v>0</v>
      </c>
      <c r="K4024" s="2" t="n">
        <f aca="false">IF(H4024="yes",1,0)</f>
        <v>1</v>
      </c>
      <c r="L4024" s="2" t="n">
        <f aca="false">IF(I4024="yes",1,0)</f>
        <v>1</v>
      </c>
      <c r="M4024" s="2" t="n">
        <f aca="false">IF(G4024&lt;0,1,0)</f>
        <v>0</v>
      </c>
      <c r="N4024" s="2" t="str">
        <f aca="false">_xlfn.IFS(B4024&lt;30,"Under 30",B4024&lt;40,"30-39",B4024&lt;50,"40-49",B4024&lt;60,"50-59",TRUE(),"60+")</f>
        <v>30-39</v>
      </c>
      <c r="O4024" s="2" t="str">
        <f aca="false">_xlfn.IFS(G4024&lt;0,"1 Negative",G4024=0,"2 Zero",G4024&lt;=500,"3 1-500",G4024&lt;=2000,"4 501-2000",TRUE(),"5 Above 2000")</f>
        <v>3 1-500</v>
      </c>
      <c r="P4024" s="2" t="n">
        <f aca="false">Lookups!$B$2*M4024+Lookups!$B$3*L4024</f>
        <v>1</v>
      </c>
      <c r="Q4024" s="2" t="str">
        <f aca="false">INDEX(Lookups!$E$2:$E$5,MATCH(P4024,Lookups!$D$2:$D$5,0))</f>
        <v>Medium</v>
      </c>
    </row>
    <row r="4025" customFormat="false" ht="15" hidden="false" customHeight="false" outlineLevel="0" collapsed="false">
      <c r="A4025" s="3" t="n">
        <v>4024</v>
      </c>
      <c r="B4025" s="3" t="n">
        <f aca="false">Raw_Data!A4025</f>
        <v>43</v>
      </c>
      <c r="C4025" s="3" t="str">
        <f aca="false">SUBSTITUTE(Raw_Data!B4025,".","")</f>
        <v>unemployed</v>
      </c>
      <c r="D4025" s="3" t="str">
        <f aca="false">Raw_Data!C4025</f>
        <v>married</v>
      </c>
      <c r="E4025" s="3" t="str">
        <f aca="false">Raw_Data!D4025</f>
        <v>secondary</v>
      </c>
      <c r="F4025" s="3" t="str">
        <f aca="false">Raw_Data!E4025</f>
        <v>no</v>
      </c>
      <c r="G4025" s="3" t="n">
        <f aca="false">Raw_Data!F4025</f>
        <v>3529</v>
      </c>
      <c r="H4025" s="3" t="str">
        <f aca="false">Raw_Data!G4025</f>
        <v>no</v>
      </c>
      <c r="I4025" s="3" t="str">
        <f aca="false">Raw_Data!H4025</f>
        <v>no</v>
      </c>
      <c r="J4025" s="2" t="n">
        <f aca="false">IF(F4025="yes",1,0)</f>
        <v>0</v>
      </c>
      <c r="K4025" s="2" t="n">
        <f aca="false">IF(H4025="yes",1,0)</f>
        <v>0</v>
      </c>
      <c r="L4025" s="2" t="n">
        <f aca="false">IF(I4025="yes",1,0)</f>
        <v>0</v>
      </c>
      <c r="M4025" s="2" t="n">
        <f aca="false">IF(G4025&lt;0,1,0)</f>
        <v>0</v>
      </c>
      <c r="N4025" s="2" t="str">
        <f aca="false">_xlfn.IFS(B4025&lt;30,"Under 30",B4025&lt;40,"30-39",B4025&lt;50,"40-49",B4025&lt;60,"50-59",TRUE(),"60+")</f>
        <v>40-49</v>
      </c>
      <c r="O4025" s="2" t="str">
        <f aca="false">_xlfn.IFS(G4025&lt;0,"1 Negative",G4025=0,"2 Zero",G4025&lt;=500,"3 1-500",G4025&lt;=2000,"4 501-2000",TRUE(),"5 Above 2000")</f>
        <v>5 Above 2000</v>
      </c>
      <c r="P4025" s="2" t="n">
        <f aca="false">Lookups!$B$2*M4025+Lookups!$B$3*L4025</f>
        <v>0</v>
      </c>
      <c r="Q4025" s="2" t="str">
        <f aca="false">INDEX(Lookups!$E$2:$E$5,MATCH(P4025,Lookups!$D$2:$D$5,0))</f>
        <v>Low</v>
      </c>
    </row>
    <row r="4026" customFormat="false" ht="15" hidden="false" customHeight="false" outlineLevel="0" collapsed="false">
      <c r="A4026" s="3" t="n">
        <v>4025</v>
      </c>
      <c r="B4026" s="3" t="n">
        <f aca="false">Raw_Data!A4026</f>
        <v>48</v>
      </c>
      <c r="C4026" s="3" t="str">
        <f aca="false">SUBSTITUTE(Raw_Data!B4026,".","")</f>
        <v>blue-collar</v>
      </c>
      <c r="D4026" s="3" t="str">
        <f aca="false">Raw_Data!C4026</f>
        <v>single</v>
      </c>
      <c r="E4026" s="3" t="str">
        <f aca="false">Raw_Data!D4026</f>
        <v>tertiary</v>
      </c>
      <c r="F4026" s="3" t="str">
        <f aca="false">Raw_Data!E4026</f>
        <v>no</v>
      </c>
      <c r="G4026" s="3" t="n">
        <f aca="false">Raw_Data!F4026</f>
        <v>2330</v>
      </c>
      <c r="H4026" s="3" t="str">
        <f aca="false">Raw_Data!G4026</f>
        <v>yes</v>
      </c>
      <c r="I4026" s="3" t="str">
        <f aca="false">Raw_Data!H4026</f>
        <v>no</v>
      </c>
      <c r="J4026" s="2" t="n">
        <f aca="false">IF(F4026="yes",1,0)</f>
        <v>0</v>
      </c>
      <c r="K4026" s="2" t="n">
        <f aca="false">IF(H4026="yes",1,0)</f>
        <v>1</v>
      </c>
      <c r="L4026" s="2" t="n">
        <f aca="false">IF(I4026="yes",1,0)</f>
        <v>0</v>
      </c>
      <c r="M4026" s="2" t="n">
        <f aca="false">IF(G4026&lt;0,1,0)</f>
        <v>0</v>
      </c>
      <c r="N4026" s="2" t="str">
        <f aca="false">_xlfn.IFS(B4026&lt;30,"Under 30",B4026&lt;40,"30-39",B4026&lt;50,"40-49",B4026&lt;60,"50-59",TRUE(),"60+")</f>
        <v>40-49</v>
      </c>
      <c r="O4026" s="2" t="str">
        <f aca="false">_xlfn.IFS(G4026&lt;0,"1 Negative",G4026=0,"2 Zero",G4026&lt;=500,"3 1-500",G4026&lt;=2000,"4 501-2000",TRUE(),"5 Above 2000")</f>
        <v>5 Above 2000</v>
      </c>
      <c r="P4026" s="2" t="n">
        <f aca="false">Lookups!$B$2*M4026+Lookups!$B$3*L4026</f>
        <v>0</v>
      </c>
      <c r="Q4026" s="2" t="str">
        <f aca="false">INDEX(Lookups!$E$2:$E$5,MATCH(P4026,Lookups!$D$2:$D$5,0))</f>
        <v>Low</v>
      </c>
    </row>
    <row r="4027" customFormat="false" ht="15" hidden="false" customHeight="false" outlineLevel="0" collapsed="false">
      <c r="A4027" s="3" t="n">
        <v>4026</v>
      </c>
      <c r="B4027" s="3" t="n">
        <f aca="false">Raw_Data!A4027</f>
        <v>41</v>
      </c>
      <c r="C4027" s="3" t="str">
        <f aca="false">SUBSTITUTE(Raw_Data!B4027,".","")</f>
        <v>blue-collar</v>
      </c>
      <c r="D4027" s="3" t="str">
        <f aca="false">Raw_Data!C4027</f>
        <v>married</v>
      </c>
      <c r="E4027" s="3" t="str">
        <f aca="false">Raw_Data!D4027</f>
        <v>secondary</v>
      </c>
      <c r="F4027" s="3" t="str">
        <f aca="false">Raw_Data!E4027</f>
        <v>no</v>
      </c>
      <c r="G4027" s="3" t="n">
        <f aca="false">Raw_Data!F4027</f>
        <v>1334</v>
      </c>
      <c r="H4027" s="3" t="str">
        <f aca="false">Raw_Data!G4027</f>
        <v>yes</v>
      </c>
      <c r="I4027" s="3" t="str">
        <f aca="false">Raw_Data!H4027</f>
        <v>no</v>
      </c>
      <c r="J4027" s="2" t="n">
        <f aca="false">IF(F4027="yes",1,0)</f>
        <v>0</v>
      </c>
      <c r="K4027" s="2" t="n">
        <f aca="false">IF(H4027="yes",1,0)</f>
        <v>1</v>
      </c>
      <c r="L4027" s="2" t="n">
        <f aca="false">IF(I4027="yes",1,0)</f>
        <v>0</v>
      </c>
      <c r="M4027" s="2" t="n">
        <f aca="false">IF(G4027&lt;0,1,0)</f>
        <v>0</v>
      </c>
      <c r="N4027" s="2" t="str">
        <f aca="false">_xlfn.IFS(B4027&lt;30,"Under 30",B4027&lt;40,"30-39",B4027&lt;50,"40-49",B4027&lt;60,"50-59",TRUE(),"60+")</f>
        <v>40-49</v>
      </c>
      <c r="O4027" s="2" t="str">
        <f aca="false">_xlfn.IFS(G4027&lt;0,"1 Negative",G4027=0,"2 Zero",G4027&lt;=500,"3 1-500",G4027&lt;=2000,"4 501-2000",TRUE(),"5 Above 2000")</f>
        <v>4 501-2000</v>
      </c>
      <c r="P4027" s="2" t="n">
        <f aca="false">Lookups!$B$2*M4027+Lookups!$B$3*L4027</f>
        <v>0</v>
      </c>
      <c r="Q4027" s="2" t="str">
        <f aca="false">INDEX(Lookups!$E$2:$E$5,MATCH(P4027,Lookups!$D$2:$D$5,0))</f>
        <v>Low</v>
      </c>
    </row>
    <row r="4028" customFormat="false" ht="15" hidden="false" customHeight="false" outlineLevel="0" collapsed="false">
      <c r="A4028" s="3" t="n">
        <v>4027</v>
      </c>
      <c r="B4028" s="3" t="n">
        <f aca="false">Raw_Data!A4028</f>
        <v>32</v>
      </c>
      <c r="C4028" s="3" t="str">
        <f aca="false">SUBSTITUTE(Raw_Data!B4028,".","")</f>
        <v>self-employed</v>
      </c>
      <c r="D4028" s="3" t="str">
        <f aca="false">Raw_Data!C4028</f>
        <v>married</v>
      </c>
      <c r="E4028" s="3" t="str">
        <f aca="false">Raw_Data!D4028</f>
        <v>tertiary</v>
      </c>
      <c r="F4028" s="3" t="str">
        <f aca="false">Raw_Data!E4028</f>
        <v>no</v>
      </c>
      <c r="G4028" s="3" t="n">
        <f aca="false">Raw_Data!F4028</f>
        <v>3601</v>
      </c>
      <c r="H4028" s="3" t="str">
        <f aca="false">Raw_Data!G4028</f>
        <v>no</v>
      </c>
      <c r="I4028" s="3" t="str">
        <f aca="false">Raw_Data!H4028</f>
        <v>no</v>
      </c>
      <c r="J4028" s="2" t="n">
        <f aca="false">IF(F4028="yes",1,0)</f>
        <v>0</v>
      </c>
      <c r="K4028" s="2" t="n">
        <f aca="false">IF(H4028="yes",1,0)</f>
        <v>0</v>
      </c>
      <c r="L4028" s="2" t="n">
        <f aca="false">IF(I4028="yes",1,0)</f>
        <v>0</v>
      </c>
      <c r="M4028" s="2" t="n">
        <f aca="false">IF(G4028&lt;0,1,0)</f>
        <v>0</v>
      </c>
      <c r="N4028" s="2" t="str">
        <f aca="false">_xlfn.IFS(B4028&lt;30,"Under 30",B4028&lt;40,"30-39",B4028&lt;50,"40-49",B4028&lt;60,"50-59",TRUE(),"60+")</f>
        <v>30-39</v>
      </c>
      <c r="O4028" s="2" t="str">
        <f aca="false">_xlfn.IFS(G4028&lt;0,"1 Negative",G4028=0,"2 Zero",G4028&lt;=500,"3 1-500",G4028&lt;=2000,"4 501-2000",TRUE(),"5 Above 2000")</f>
        <v>5 Above 2000</v>
      </c>
      <c r="P4028" s="2" t="n">
        <f aca="false">Lookups!$B$2*M4028+Lookups!$B$3*L4028</f>
        <v>0</v>
      </c>
      <c r="Q4028" s="2" t="str">
        <f aca="false">INDEX(Lookups!$E$2:$E$5,MATCH(P4028,Lookups!$D$2:$D$5,0))</f>
        <v>Low</v>
      </c>
    </row>
    <row r="4029" customFormat="false" ht="15" hidden="false" customHeight="false" outlineLevel="0" collapsed="false">
      <c r="A4029" s="3" t="n">
        <v>4028</v>
      </c>
      <c r="B4029" s="3" t="n">
        <f aca="false">Raw_Data!A4029</f>
        <v>45</v>
      </c>
      <c r="C4029" s="3" t="str">
        <f aca="false">SUBSTITUTE(Raw_Data!B4029,".","")</f>
        <v>technician</v>
      </c>
      <c r="D4029" s="3" t="str">
        <f aca="false">Raw_Data!C4029</f>
        <v>married</v>
      </c>
      <c r="E4029" s="3" t="str">
        <f aca="false">Raw_Data!D4029</f>
        <v>tertiary</v>
      </c>
      <c r="F4029" s="3" t="str">
        <f aca="false">Raw_Data!E4029</f>
        <v>no</v>
      </c>
      <c r="G4029" s="3" t="n">
        <f aca="false">Raw_Data!F4029</f>
        <v>265</v>
      </c>
      <c r="H4029" s="3" t="str">
        <f aca="false">Raw_Data!G4029</f>
        <v>no</v>
      </c>
      <c r="I4029" s="3" t="str">
        <f aca="false">Raw_Data!H4029</f>
        <v>no</v>
      </c>
      <c r="J4029" s="2" t="n">
        <f aca="false">IF(F4029="yes",1,0)</f>
        <v>0</v>
      </c>
      <c r="K4029" s="2" t="n">
        <f aca="false">IF(H4029="yes",1,0)</f>
        <v>0</v>
      </c>
      <c r="L4029" s="2" t="n">
        <f aca="false">IF(I4029="yes",1,0)</f>
        <v>0</v>
      </c>
      <c r="M4029" s="2" t="n">
        <f aca="false">IF(G4029&lt;0,1,0)</f>
        <v>0</v>
      </c>
      <c r="N4029" s="2" t="str">
        <f aca="false">_xlfn.IFS(B4029&lt;30,"Under 30",B4029&lt;40,"30-39",B4029&lt;50,"40-49",B4029&lt;60,"50-59",TRUE(),"60+")</f>
        <v>40-49</v>
      </c>
      <c r="O4029" s="2" t="str">
        <f aca="false">_xlfn.IFS(G4029&lt;0,"1 Negative",G4029=0,"2 Zero",G4029&lt;=500,"3 1-500",G4029&lt;=2000,"4 501-2000",TRUE(),"5 Above 2000")</f>
        <v>3 1-500</v>
      </c>
      <c r="P4029" s="2" t="n">
        <f aca="false">Lookups!$B$2*M4029+Lookups!$B$3*L4029</f>
        <v>0</v>
      </c>
      <c r="Q4029" s="2" t="str">
        <f aca="false">INDEX(Lookups!$E$2:$E$5,MATCH(P4029,Lookups!$D$2:$D$5,0))</f>
        <v>Low</v>
      </c>
    </row>
    <row r="4030" customFormat="false" ht="15" hidden="false" customHeight="false" outlineLevel="0" collapsed="false">
      <c r="A4030" s="3" t="n">
        <v>4029</v>
      </c>
      <c r="B4030" s="3" t="n">
        <f aca="false">Raw_Data!A4030</f>
        <v>52</v>
      </c>
      <c r="C4030" s="3" t="str">
        <f aca="false">SUBSTITUTE(Raw_Data!B4030,".","")</f>
        <v>admin</v>
      </c>
      <c r="D4030" s="3" t="str">
        <f aca="false">Raw_Data!C4030</f>
        <v>single</v>
      </c>
      <c r="E4030" s="3" t="str">
        <f aca="false">Raw_Data!D4030</f>
        <v>unknown</v>
      </c>
      <c r="F4030" s="3" t="str">
        <f aca="false">Raw_Data!E4030</f>
        <v>no</v>
      </c>
      <c r="G4030" s="3" t="n">
        <f aca="false">Raw_Data!F4030</f>
        <v>2227</v>
      </c>
      <c r="H4030" s="3" t="str">
        <f aca="false">Raw_Data!G4030</f>
        <v>no</v>
      </c>
      <c r="I4030" s="3" t="str">
        <f aca="false">Raw_Data!H4030</f>
        <v>no</v>
      </c>
      <c r="J4030" s="2" t="n">
        <f aca="false">IF(F4030="yes",1,0)</f>
        <v>0</v>
      </c>
      <c r="K4030" s="2" t="n">
        <f aca="false">IF(H4030="yes",1,0)</f>
        <v>0</v>
      </c>
      <c r="L4030" s="2" t="n">
        <f aca="false">IF(I4030="yes",1,0)</f>
        <v>0</v>
      </c>
      <c r="M4030" s="2" t="n">
        <f aca="false">IF(G4030&lt;0,1,0)</f>
        <v>0</v>
      </c>
      <c r="N4030" s="2" t="str">
        <f aca="false">_xlfn.IFS(B4030&lt;30,"Under 30",B4030&lt;40,"30-39",B4030&lt;50,"40-49",B4030&lt;60,"50-59",TRUE(),"60+")</f>
        <v>50-59</v>
      </c>
      <c r="O4030" s="2" t="str">
        <f aca="false">_xlfn.IFS(G4030&lt;0,"1 Negative",G4030=0,"2 Zero",G4030&lt;=500,"3 1-500",G4030&lt;=2000,"4 501-2000",TRUE(),"5 Above 2000")</f>
        <v>5 Above 2000</v>
      </c>
      <c r="P4030" s="2" t="n">
        <f aca="false">Lookups!$B$2*M4030+Lookups!$B$3*L4030</f>
        <v>0</v>
      </c>
      <c r="Q4030" s="2" t="str">
        <f aca="false">INDEX(Lookups!$E$2:$E$5,MATCH(P4030,Lookups!$D$2:$D$5,0))</f>
        <v>Low</v>
      </c>
    </row>
    <row r="4031" customFormat="false" ht="15" hidden="false" customHeight="false" outlineLevel="0" collapsed="false">
      <c r="A4031" s="3" t="n">
        <v>4030</v>
      </c>
      <c r="B4031" s="3" t="n">
        <f aca="false">Raw_Data!A4031</f>
        <v>37</v>
      </c>
      <c r="C4031" s="3" t="str">
        <f aca="false">SUBSTITUTE(Raw_Data!B4031,".","")</f>
        <v>self-employed</v>
      </c>
      <c r="D4031" s="3" t="str">
        <f aca="false">Raw_Data!C4031</f>
        <v>married</v>
      </c>
      <c r="E4031" s="3" t="str">
        <f aca="false">Raw_Data!D4031</f>
        <v>secondary</v>
      </c>
      <c r="F4031" s="3" t="str">
        <f aca="false">Raw_Data!E4031</f>
        <v>no</v>
      </c>
      <c r="G4031" s="3" t="n">
        <f aca="false">Raw_Data!F4031</f>
        <v>487</v>
      </c>
      <c r="H4031" s="3" t="str">
        <f aca="false">Raw_Data!G4031</f>
        <v>no</v>
      </c>
      <c r="I4031" s="3" t="str">
        <f aca="false">Raw_Data!H4031</f>
        <v>yes</v>
      </c>
      <c r="J4031" s="2" t="n">
        <f aca="false">IF(F4031="yes",1,0)</f>
        <v>0</v>
      </c>
      <c r="K4031" s="2" t="n">
        <f aca="false">IF(H4031="yes",1,0)</f>
        <v>0</v>
      </c>
      <c r="L4031" s="2" t="n">
        <f aca="false">IF(I4031="yes",1,0)</f>
        <v>1</v>
      </c>
      <c r="M4031" s="2" t="n">
        <f aca="false">IF(G4031&lt;0,1,0)</f>
        <v>0</v>
      </c>
      <c r="N4031" s="2" t="str">
        <f aca="false">_xlfn.IFS(B4031&lt;30,"Under 30",B4031&lt;40,"30-39",B4031&lt;50,"40-49",B4031&lt;60,"50-59",TRUE(),"60+")</f>
        <v>30-39</v>
      </c>
      <c r="O4031" s="2" t="str">
        <f aca="false">_xlfn.IFS(G4031&lt;0,"1 Negative",G4031=0,"2 Zero",G4031&lt;=500,"3 1-500",G4031&lt;=2000,"4 501-2000",TRUE(),"5 Above 2000")</f>
        <v>3 1-500</v>
      </c>
      <c r="P4031" s="2" t="n">
        <f aca="false">Lookups!$B$2*M4031+Lookups!$B$3*L4031</f>
        <v>1</v>
      </c>
      <c r="Q4031" s="2" t="str">
        <f aca="false">INDEX(Lookups!$E$2:$E$5,MATCH(P4031,Lookups!$D$2:$D$5,0))</f>
        <v>Medium</v>
      </c>
    </row>
    <row r="4032" customFormat="false" ht="15" hidden="false" customHeight="false" outlineLevel="0" collapsed="false">
      <c r="A4032" s="3" t="n">
        <v>4031</v>
      </c>
      <c r="B4032" s="3" t="n">
        <f aca="false">Raw_Data!A4032</f>
        <v>38</v>
      </c>
      <c r="C4032" s="3" t="str">
        <f aca="false">SUBSTITUTE(Raw_Data!B4032,".","")</f>
        <v>blue-collar</v>
      </c>
      <c r="D4032" s="3" t="str">
        <f aca="false">Raw_Data!C4032</f>
        <v>divorced</v>
      </c>
      <c r="E4032" s="3" t="str">
        <f aca="false">Raw_Data!D4032</f>
        <v>secondary</v>
      </c>
      <c r="F4032" s="3" t="str">
        <f aca="false">Raw_Data!E4032</f>
        <v>no</v>
      </c>
      <c r="G4032" s="3" t="n">
        <f aca="false">Raw_Data!F4032</f>
        <v>0</v>
      </c>
      <c r="H4032" s="3" t="str">
        <f aca="false">Raw_Data!G4032</f>
        <v>yes</v>
      </c>
      <c r="I4032" s="3" t="str">
        <f aca="false">Raw_Data!H4032</f>
        <v>no</v>
      </c>
      <c r="J4032" s="2" t="n">
        <f aca="false">IF(F4032="yes",1,0)</f>
        <v>0</v>
      </c>
      <c r="K4032" s="2" t="n">
        <f aca="false">IF(H4032="yes",1,0)</f>
        <v>1</v>
      </c>
      <c r="L4032" s="2" t="n">
        <f aca="false">IF(I4032="yes",1,0)</f>
        <v>0</v>
      </c>
      <c r="M4032" s="2" t="n">
        <f aca="false">IF(G4032&lt;0,1,0)</f>
        <v>0</v>
      </c>
      <c r="N4032" s="2" t="str">
        <f aca="false">_xlfn.IFS(B4032&lt;30,"Under 30",B4032&lt;40,"30-39",B4032&lt;50,"40-49",B4032&lt;60,"50-59",TRUE(),"60+")</f>
        <v>30-39</v>
      </c>
      <c r="O4032" s="2" t="str">
        <f aca="false">_xlfn.IFS(G4032&lt;0,"1 Negative",G4032=0,"2 Zero",G4032&lt;=500,"3 1-500",G4032&lt;=2000,"4 501-2000",TRUE(),"5 Above 2000")</f>
        <v>2 Zero</v>
      </c>
      <c r="P4032" s="2" t="n">
        <f aca="false">Lookups!$B$2*M4032+Lookups!$B$3*L4032</f>
        <v>0</v>
      </c>
      <c r="Q4032" s="2" t="str">
        <f aca="false">INDEX(Lookups!$E$2:$E$5,MATCH(P4032,Lookups!$D$2:$D$5,0))</f>
        <v>Low</v>
      </c>
    </row>
    <row r="4033" customFormat="false" ht="15" hidden="false" customHeight="false" outlineLevel="0" collapsed="false">
      <c r="A4033" s="3" t="n">
        <v>4032</v>
      </c>
      <c r="B4033" s="3" t="n">
        <f aca="false">Raw_Data!A4033</f>
        <v>36</v>
      </c>
      <c r="C4033" s="3" t="str">
        <f aca="false">SUBSTITUTE(Raw_Data!B4033,".","")</f>
        <v>services</v>
      </c>
      <c r="D4033" s="3" t="str">
        <f aca="false">Raw_Data!C4033</f>
        <v>single</v>
      </c>
      <c r="E4033" s="3" t="str">
        <f aca="false">Raw_Data!D4033</f>
        <v>secondary</v>
      </c>
      <c r="F4033" s="3" t="str">
        <f aca="false">Raw_Data!E4033</f>
        <v>no</v>
      </c>
      <c r="G4033" s="3" t="n">
        <f aca="false">Raw_Data!F4033</f>
        <v>174</v>
      </c>
      <c r="H4033" s="3" t="str">
        <f aca="false">Raw_Data!G4033</f>
        <v>yes</v>
      </c>
      <c r="I4033" s="3" t="str">
        <f aca="false">Raw_Data!H4033</f>
        <v>no</v>
      </c>
      <c r="J4033" s="2" t="n">
        <f aca="false">IF(F4033="yes",1,0)</f>
        <v>0</v>
      </c>
      <c r="K4033" s="2" t="n">
        <f aca="false">IF(H4033="yes",1,0)</f>
        <v>1</v>
      </c>
      <c r="L4033" s="2" t="n">
        <f aca="false">IF(I4033="yes",1,0)</f>
        <v>0</v>
      </c>
      <c r="M4033" s="2" t="n">
        <f aca="false">IF(G4033&lt;0,1,0)</f>
        <v>0</v>
      </c>
      <c r="N4033" s="2" t="str">
        <f aca="false">_xlfn.IFS(B4033&lt;30,"Under 30",B4033&lt;40,"30-39",B4033&lt;50,"40-49",B4033&lt;60,"50-59",TRUE(),"60+")</f>
        <v>30-39</v>
      </c>
      <c r="O4033" s="2" t="str">
        <f aca="false">_xlfn.IFS(G4033&lt;0,"1 Negative",G4033=0,"2 Zero",G4033&lt;=500,"3 1-500",G4033&lt;=2000,"4 501-2000",TRUE(),"5 Above 2000")</f>
        <v>3 1-500</v>
      </c>
      <c r="P4033" s="2" t="n">
        <f aca="false">Lookups!$B$2*M4033+Lookups!$B$3*L4033</f>
        <v>0</v>
      </c>
      <c r="Q4033" s="2" t="str">
        <f aca="false">INDEX(Lookups!$E$2:$E$5,MATCH(P4033,Lookups!$D$2:$D$5,0))</f>
        <v>Low</v>
      </c>
    </row>
    <row r="4034" customFormat="false" ht="15" hidden="false" customHeight="false" outlineLevel="0" collapsed="false">
      <c r="A4034" s="3" t="n">
        <v>4033</v>
      </c>
      <c r="B4034" s="3" t="n">
        <f aca="false">Raw_Data!A4034</f>
        <v>58</v>
      </c>
      <c r="C4034" s="3" t="str">
        <f aca="false">SUBSTITUTE(Raw_Data!B4034,".","")</f>
        <v>retired</v>
      </c>
      <c r="D4034" s="3" t="str">
        <f aca="false">Raw_Data!C4034</f>
        <v>married</v>
      </c>
      <c r="E4034" s="3" t="str">
        <f aca="false">Raw_Data!D4034</f>
        <v>secondary</v>
      </c>
      <c r="F4034" s="3" t="str">
        <f aca="false">Raw_Data!E4034</f>
        <v>no</v>
      </c>
      <c r="G4034" s="3" t="n">
        <f aca="false">Raw_Data!F4034</f>
        <v>14412</v>
      </c>
      <c r="H4034" s="3" t="str">
        <f aca="false">Raw_Data!G4034</f>
        <v>no</v>
      </c>
      <c r="I4034" s="3" t="str">
        <f aca="false">Raw_Data!H4034</f>
        <v>no</v>
      </c>
      <c r="J4034" s="2" t="n">
        <f aca="false">IF(F4034="yes",1,0)</f>
        <v>0</v>
      </c>
      <c r="K4034" s="2" t="n">
        <f aca="false">IF(H4034="yes",1,0)</f>
        <v>0</v>
      </c>
      <c r="L4034" s="2" t="n">
        <f aca="false">IF(I4034="yes",1,0)</f>
        <v>0</v>
      </c>
      <c r="M4034" s="2" t="n">
        <f aca="false">IF(G4034&lt;0,1,0)</f>
        <v>0</v>
      </c>
      <c r="N4034" s="2" t="str">
        <f aca="false">_xlfn.IFS(B4034&lt;30,"Under 30",B4034&lt;40,"30-39",B4034&lt;50,"40-49",B4034&lt;60,"50-59",TRUE(),"60+")</f>
        <v>50-59</v>
      </c>
      <c r="O4034" s="2" t="str">
        <f aca="false">_xlfn.IFS(G4034&lt;0,"1 Negative",G4034=0,"2 Zero",G4034&lt;=500,"3 1-500",G4034&lt;=2000,"4 501-2000",TRUE(),"5 Above 2000")</f>
        <v>5 Above 2000</v>
      </c>
      <c r="P4034" s="2" t="n">
        <f aca="false">Lookups!$B$2*M4034+Lookups!$B$3*L4034</f>
        <v>0</v>
      </c>
      <c r="Q4034" s="2" t="str">
        <f aca="false">INDEX(Lookups!$E$2:$E$5,MATCH(P4034,Lookups!$D$2:$D$5,0))</f>
        <v>Low</v>
      </c>
    </row>
    <row r="4035" customFormat="false" ht="15" hidden="false" customHeight="false" outlineLevel="0" collapsed="false">
      <c r="A4035" s="3" t="n">
        <v>4034</v>
      </c>
      <c r="B4035" s="3" t="n">
        <f aca="false">Raw_Data!A4035</f>
        <v>37</v>
      </c>
      <c r="C4035" s="3" t="str">
        <f aca="false">SUBSTITUTE(Raw_Data!B4035,".","")</f>
        <v>management</v>
      </c>
      <c r="D4035" s="3" t="str">
        <f aca="false">Raw_Data!C4035</f>
        <v>married</v>
      </c>
      <c r="E4035" s="3" t="str">
        <f aca="false">Raw_Data!D4035</f>
        <v>tertiary</v>
      </c>
      <c r="F4035" s="3" t="str">
        <f aca="false">Raw_Data!E4035</f>
        <v>no</v>
      </c>
      <c r="G4035" s="3" t="n">
        <f aca="false">Raw_Data!F4035</f>
        <v>3288</v>
      </c>
      <c r="H4035" s="3" t="str">
        <f aca="false">Raw_Data!G4035</f>
        <v>no</v>
      </c>
      <c r="I4035" s="3" t="str">
        <f aca="false">Raw_Data!H4035</f>
        <v>no</v>
      </c>
      <c r="J4035" s="2" t="n">
        <f aca="false">IF(F4035="yes",1,0)</f>
        <v>0</v>
      </c>
      <c r="K4035" s="2" t="n">
        <f aca="false">IF(H4035="yes",1,0)</f>
        <v>0</v>
      </c>
      <c r="L4035" s="2" t="n">
        <f aca="false">IF(I4035="yes",1,0)</f>
        <v>0</v>
      </c>
      <c r="M4035" s="2" t="n">
        <f aca="false">IF(G4035&lt;0,1,0)</f>
        <v>0</v>
      </c>
      <c r="N4035" s="2" t="str">
        <f aca="false">_xlfn.IFS(B4035&lt;30,"Under 30",B4035&lt;40,"30-39",B4035&lt;50,"40-49",B4035&lt;60,"50-59",TRUE(),"60+")</f>
        <v>30-39</v>
      </c>
      <c r="O4035" s="2" t="str">
        <f aca="false">_xlfn.IFS(G4035&lt;0,"1 Negative",G4035=0,"2 Zero",G4035&lt;=500,"3 1-500",G4035&lt;=2000,"4 501-2000",TRUE(),"5 Above 2000")</f>
        <v>5 Above 2000</v>
      </c>
      <c r="P4035" s="2" t="n">
        <f aca="false">Lookups!$B$2*M4035+Lookups!$B$3*L4035</f>
        <v>0</v>
      </c>
      <c r="Q4035" s="2" t="str">
        <f aca="false">INDEX(Lookups!$E$2:$E$5,MATCH(P4035,Lookups!$D$2:$D$5,0))</f>
        <v>Low</v>
      </c>
    </row>
    <row r="4036" customFormat="false" ht="15" hidden="false" customHeight="false" outlineLevel="0" collapsed="false">
      <c r="A4036" s="3" t="n">
        <v>4035</v>
      </c>
      <c r="B4036" s="3" t="n">
        <f aca="false">Raw_Data!A4036</f>
        <v>30</v>
      </c>
      <c r="C4036" s="3" t="str">
        <f aca="false">SUBSTITUTE(Raw_Data!B4036,".","")</f>
        <v>technician</v>
      </c>
      <c r="D4036" s="3" t="str">
        <f aca="false">Raw_Data!C4036</f>
        <v>single</v>
      </c>
      <c r="E4036" s="3" t="str">
        <f aca="false">Raw_Data!D4036</f>
        <v>secondary</v>
      </c>
      <c r="F4036" s="3" t="str">
        <f aca="false">Raw_Data!E4036</f>
        <v>no</v>
      </c>
      <c r="G4036" s="3" t="n">
        <f aca="false">Raw_Data!F4036</f>
        <v>57</v>
      </c>
      <c r="H4036" s="3" t="str">
        <f aca="false">Raw_Data!G4036</f>
        <v>no</v>
      </c>
      <c r="I4036" s="3" t="str">
        <f aca="false">Raw_Data!H4036</f>
        <v>no</v>
      </c>
      <c r="J4036" s="2" t="n">
        <f aca="false">IF(F4036="yes",1,0)</f>
        <v>0</v>
      </c>
      <c r="K4036" s="2" t="n">
        <f aca="false">IF(H4036="yes",1,0)</f>
        <v>0</v>
      </c>
      <c r="L4036" s="2" t="n">
        <f aca="false">IF(I4036="yes",1,0)</f>
        <v>0</v>
      </c>
      <c r="M4036" s="2" t="n">
        <f aca="false">IF(G4036&lt;0,1,0)</f>
        <v>0</v>
      </c>
      <c r="N4036" s="2" t="str">
        <f aca="false">_xlfn.IFS(B4036&lt;30,"Under 30",B4036&lt;40,"30-39",B4036&lt;50,"40-49",B4036&lt;60,"50-59",TRUE(),"60+")</f>
        <v>30-39</v>
      </c>
      <c r="O4036" s="2" t="str">
        <f aca="false">_xlfn.IFS(G4036&lt;0,"1 Negative",G4036=0,"2 Zero",G4036&lt;=500,"3 1-500",G4036&lt;=2000,"4 501-2000",TRUE(),"5 Above 2000")</f>
        <v>3 1-500</v>
      </c>
      <c r="P4036" s="2" t="n">
        <f aca="false">Lookups!$B$2*M4036+Lookups!$B$3*L4036</f>
        <v>0</v>
      </c>
      <c r="Q4036" s="2" t="str">
        <f aca="false">INDEX(Lookups!$E$2:$E$5,MATCH(P4036,Lookups!$D$2:$D$5,0))</f>
        <v>Low</v>
      </c>
    </row>
    <row r="4037" customFormat="false" ht="15" hidden="false" customHeight="false" outlineLevel="0" collapsed="false">
      <c r="A4037" s="3" t="n">
        <v>4036</v>
      </c>
      <c r="B4037" s="3" t="n">
        <f aca="false">Raw_Data!A4037</f>
        <v>47</v>
      </c>
      <c r="C4037" s="3" t="str">
        <f aca="false">SUBSTITUTE(Raw_Data!B4037,".","")</f>
        <v>technician</v>
      </c>
      <c r="D4037" s="3" t="str">
        <f aca="false">Raw_Data!C4037</f>
        <v>married</v>
      </c>
      <c r="E4037" s="3" t="str">
        <f aca="false">Raw_Data!D4037</f>
        <v>secondary</v>
      </c>
      <c r="F4037" s="3" t="str">
        <f aca="false">Raw_Data!E4037</f>
        <v>no</v>
      </c>
      <c r="G4037" s="3" t="n">
        <f aca="false">Raw_Data!F4037</f>
        <v>2246</v>
      </c>
      <c r="H4037" s="3" t="str">
        <f aca="false">Raw_Data!G4037</f>
        <v>yes</v>
      </c>
      <c r="I4037" s="3" t="str">
        <f aca="false">Raw_Data!H4037</f>
        <v>no</v>
      </c>
      <c r="J4037" s="2" t="n">
        <f aca="false">IF(F4037="yes",1,0)</f>
        <v>0</v>
      </c>
      <c r="K4037" s="2" t="n">
        <f aca="false">IF(H4037="yes",1,0)</f>
        <v>1</v>
      </c>
      <c r="L4037" s="2" t="n">
        <f aca="false">IF(I4037="yes",1,0)</f>
        <v>0</v>
      </c>
      <c r="M4037" s="2" t="n">
        <f aca="false">IF(G4037&lt;0,1,0)</f>
        <v>0</v>
      </c>
      <c r="N4037" s="2" t="str">
        <f aca="false">_xlfn.IFS(B4037&lt;30,"Under 30",B4037&lt;40,"30-39",B4037&lt;50,"40-49",B4037&lt;60,"50-59",TRUE(),"60+")</f>
        <v>40-49</v>
      </c>
      <c r="O4037" s="2" t="str">
        <f aca="false">_xlfn.IFS(G4037&lt;0,"1 Negative",G4037=0,"2 Zero",G4037&lt;=500,"3 1-500",G4037&lt;=2000,"4 501-2000",TRUE(),"5 Above 2000")</f>
        <v>5 Above 2000</v>
      </c>
      <c r="P4037" s="2" t="n">
        <f aca="false">Lookups!$B$2*M4037+Lookups!$B$3*L4037</f>
        <v>0</v>
      </c>
      <c r="Q4037" s="2" t="str">
        <f aca="false">INDEX(Lookups!$E$2:$E$5,MATCH(P4037,Lookups!$D$2:$D$5,0))</f>
        <v>Low</v>
      </c>
    </row>
    <row r="4038" customFormat="false" ht="15" hidden="false" customHeight="false" outlineLevel="0" collapsed="false">
      <c r="A4038" s="3" t="n">
        <v>4037</v>
      </c>
      <c r="B4038" s="3" t="n">
        <f aca="false">Raw_Data!A4038</f>
        <v>40</v>
      </c>
      <c r="C4038" s="3" t="str">
        <f aca="false">SUBSTITUTE(Raw_Data!B4038,".","")</f>
        <v>technician</v>
      </c>
      <c r="D4038" s="3" t="str">
        <f aca="false">Raw_Data!C4038</f>
        <v>married</v>
      </c>
      <c r="E4038" s="3" t="str">
        <f aca="false">Raw_Data!D4038</f>
        <v>secondary</v>
      </c>
      <c r="F4038" s="3" t="str">
        <f aca="false">Raw_Data!E4038</f>
        <v>no</v>
      </c>
      <c r="G4038" s="3" t="n">
        <f aca="false">Raw_Data!F4038</f>
        <v>4441</v>
      </c>
      <c r="H4038" s="3" t="str">
        <f aca="false">Raw_Data!G4038</f>
        <v>yes</v>
      </c>
      <c r="I4038" s="3" t="str">
        <f aca="false">Raw_Data!H4038</f>
        <v>no</v>
      </c>
      <c r="J4038" s="2" t="n">
        <f aca="false">IF(F4038="yes",1,0)</f>
        <v>0</v>
      </c>
      <c r="K4038" s="2" t="n">
        <f aca="false">IF(H4038="yes",1,0)</f>
        <v>1</v>
      </c>
      <c r="L4038" s="2" t="n">
        <f aca="false">IF(I4038="yes",1,0)</f>
        <v>0</v>
      </c>
      <c r="M4038" s="2" t="n">
        <f aca="false">IF(G4038&lt;0,1,0)</f>
        <v>0</v>
      </c>
      <c r="N4038" s="2" t="str">
        <f aca="false">_xlfn.IFS(B4038&lt;30,"Under 30",B4038&lt;40,"30-39",B4038&lt;50,"40-49",B4038&lt;60,"50-59",TRUE(),"60+")</f>
        <v>40-49</v>
      </c>
      <c r="O4038" s="2" t="str">
        <f aca="false">_xlfn.IFS(G4038&lt;0,"1 Negative",G4038=0,"2 Zero",G4038&lt;=500,"3 1-500",G4038&lt;=2000,"4 501-2000",TRUE(),"5 Above 2000")</f>
        <v>5 Above 2000</v>
      </c>
      <c r="P4038" s="2" t="n">
        <f aca="false">Lookups!$B$2*M4038+Lookups!$B$3*L4038</f>
        <v>0</v>
      </c>
      <c r="Q4038" s="2" t="str">
        <f aca="false">INDEX(Lookups!$E$2:$E$5,MATCH(P4038,Lookups!$D$2:$D$5,0))</f>
        <v>Low</v>
      </c>
    </row>
    <row r="4039" customFormat="false" ht="15" hidden="false" customHeight="false" outlineLevel="0" collapsed="false">
      <c r="A4039" s="3" t="n">
        <v>4038</v>
      </c>
      <c r="B4039" s="3" t="n">
        <f aca="false">Raw_Data!A4039</f>
        <v>42</v>
      </c>
      <c r="C4039" s="3" t="str">
        <f aca="false">SUBSTITUTE(Raw_Data!B4039,".","")</f>
        <v>management</v>
      </c>
      <c r="D4039" s="3" t="str">
        <f aca="false">Raw_Data!C4039</f>
        <v>divorced</v>
      </c>
      <c r="E4039" s="3" t="str">
        <f aca="false">Raw_Data!D4039</f>
        <v>tertiary</v>
      </c>
      <c r="F4039" s="3" t="str">
        <f aca="false">Raw_Data!E4039</f>
        <v>no</v>
      </c>
      <c r="G4039" s="3" t="n">
        <f aca="false">Raw_Data!F4039</f>
        <v>0</v>
      </c>
      <c r="H4039" s="3" t="str">
        <f aca="false">Raw_Data!G4039</f>
        <v>no</v>
      </c>
      <c r="I4039" s="3" t="str">
        <f aca="false">Raw_Data!H4039</f>
        <v>no</v>
      </c>
      <c r="J4039" s="2" t="n">
        <f aca="false">IF(F4039="yes",1,0)</f>
        <v>0</v>
      </c>
      <c r="K4039" s="2" t="n">
        <f aca="false">IF(H4039="yes",1,0)</f>
        <v>0</v>
      </c>
      <c r="L4039" s="2" t="n">
        <f aca="false">IF(I4039="yes",1,0)</f>
        <v>0</v>
      </c>
      <c r="M4039" s="2" t="n">
        <f aca="false">IF(G4039&lt;0,1,0)</f>
        <v>0</v>
      </c>
      <c r="N4039" s="2" t="str">
        <f aca="false">_xlfn.IFS(B4039&lt;30,"Under 30",B4039&lt;40,"30-39",B4039&lt;50,"40-49",B4039&lt;60,"50-59",TRUE(),"60+")</f>
        <v>40-49</v>
      </c>
      <c r="O4039" s="2" t="str">
        <f aca="false">_xlfn.IFS(G4039&lt;0,"1 Negative",G4039=0,"2 Zero",G4039&lt;=500,"3 1-500",G4039&lt;=2000,"4 501-2000",TRUE(),"5 Above 2000")</f>
        <v>2 Zero</v>
      </c>
      <c r="P4039" s="2" t="n">
        <f aca="false">Lookups!$B$2*M4039+Lookups!$B$3*L4039</f>
        <v>0</v>
      </c>
      <c r="Q4039" s="2" t="str">
        <f aca="false">INDEX(Lookups!$E$2:$E$5,MATCH(P4039,Lookups!$D$2:$D$5,0))</f>
        <v>Low</v>
      </c>
    </row>
    <row r="4040" customFormat="false" ht="15" hidden="false" customHeight="false" outlineLevel="0" collapsed="false">
      <c r="A4040" s="3" t="n">
        <v>4039</v>
      </c>
      <c r="B4040" s="3" t="n">
        <f aca="false">Raw_Data!A4040</f>
        <v>71</v>
      </c>
      <c r="C4040" s="3" t="str">
        <f aca="false">SUBSTITUTE(Raw_Data!B4040,".","")</f>
        <v>unknown</v>
      </c>
      <c r="D4040" s="3" t="str">
        <f aca="false">Raw_Data!C4040</f>
        <v>married</v>
      </c>
      <c r="E4040" s="3" t="str">
        <f aca="false">Raw_Data!D4040</f>
        <v>tertiary</v>
      </c>
      <c r="F4040" s="3" t="str">
        <f aca="false">Raw_Data!E4040</f>
        <v>no</v>
      </c>
      <c r="G4040" s="3" t="n">
        <f aca="false">Raw_Data!F4040</f>
        <v>353</v>
      </c>
      <c r="H4040" s="3" t="str">
        <f aca="false">Raw_Data!G4040</f>
        <v>no</v>
      </c>
      <c r="I4040" s="3" t="str">
        <f aca="false">Raw_Data!H4040</f>
        <v>no</v>
      </c>
      <c r="J4040" s="2" t="n">
        <f aca="false">IF(F4040="yes",1,0)</f>
        <v>0</v>
      </c>
      <c r="K4040" s="2" t="n">
        <f aca="false">IF(H4040="yes",1,0)</f>
        <v>0</v>
      </c>
      <c r="L4040" s="2" t="n">
        <f aca="false">IF(I4040="yes",1,0)</f>
        <v>0</v>
      </c>
      <c r="M4040" s="2" t="n">
        <f aca="false">IF(G4040&lt;0,1,0)</f>
        <v>0</v>
      </c>
      <c r="N4040" s="2" t="str">
        <f aca="false">_xlfn.IFS(B4040&lt;30,"Under 30",B4040&lt;40,"30-39",B4040&lt;50,"40-49",B4040&lt;60,"50-59",TRUE(),"60+")</f>
        <v>60+</v>
      </c>
      <c r="O4040" s="2" t="str">
        <f aca="false">_xlfn.IFS(G4040&lt;0,"1 Negative",G4040=0,"2 Zero",G4040&lt;=500,"3 1-500",G4040&lt;=2000,"4 501-2000",TRUE(),"5 Above 2000")</f>
        <v>3 1-500</v>
      </c>
      <c r="P4040" s="2" t="n">
        <f aca="false">Lookups!$B$2*M4040+Lookups!$B$3*L4040</f>
        <v>0</v>
      </c>
      <c r="Q4040" s="2" t="str">
        <f aca="false">INDEX(Lookups!$E$2:$E$5,MATCH(P4040,Lookups!$D$2:$D$5,0))</f>
        <v>Low</v>
      </c>
    </row>
    <row r="4041" customFormat="false" ht="15" hidden="false" customHeight="false" outlineLevel="0" collapsed="false">
      <c r="A4041" s="3" t="n">
        <v>4040</v>
      </c>
      <c r="B4041" s="3" t="n">
        <f aca="false">Raw_Data!A4041</f>
        <v>54</v>
      </c>
      <c r="C4041" s="3" t="str">
        <f aca="false">SUBSTITUTE(Raw_Data!B4041,".","")</f>
        <v>blue-collar</v>
      </c>
      <c r="D4041" s="3" t="str">
        <f aca="false">Raw_Data!C4041</f>
        <v>married</v>
      </c>
      <c r="E4041" s="3" t="str">
        <f aca="false">Raw_Data!D4041</f>
        <v>secondary</v>
      </c>
      <c r="F4041" s="3" t="str">
        <f aca="false">Raw_Data!E4041</f>
        <v>no</v>
      </c>
      <c r="G4041" s="3" t="n">
        <f aca="false">Raw_Data!F4041</f>
        <v>448</v>
      </c>
      <c r="H4041" s="3" t="str">
        <f aca="false">Raw_Data!G4041</f>
        <v>yes</v>
      </c>
      <c r="I4041" s="3" t="str">
        <f aca="false">Raw_Data!H4041</f>
        <v>yes</v>
      </c>
      <c r="J4041" s="2" t="n">
        <f aca="false">IF(F4041="yes",1,0)</f>
        <v>0</v>
      </c>
      <c r="K4041" s="2" t="n">
        <f aca="false">IF(H4041="yes",1,0)</f>
        <v>1</v>
      </c>
      <c r="L4041" s="2" t="n">
        <f aca="false">IF(I4041="yes",1,0)</f>
        <v>1</v>
      </c>
      <c r="M4041" s="2" t="n">
        <f aca="false">IF(G4041&lt;0,1,0)</f>
        <v>0</v>
      </c>
      <c r="N4041" s="2" t="str">
        <f aca="false">_xlfn.IFS(B4041&lt;30,"Under 30",B4041&lt;40,"30-39",B4041&lt;50,"40-49",B4041&lt;60,"50-59",TRUE(),"60+")</f>
        <v>50-59</v>
      </c>
      <c r="O4041" s="2" t="str">
        <f aca="false">_xlfn.IFS(G4041&lt;0,"1 Negative",G4041=0,"2 Zero",G4041&lt;=500,"3 1-500",G4041&lt;=2000,"4 501-2000",TRUE(),"5 Above 2000")</f>
        <v>3 1-500</v>
      </c>
      <c r="P4041" s="2" t="n">
        <f aca="false">Lookups!$B$2*M4041+Lookups!$B$3*L4041</f>
        <v>1</v>
      </c>
      <c r="Q4041" s="2" t="str">
        <f aca="false">INDEX(Lookups!$E$2:$E$5,MATCH(P4041,Lookups!$D$2:$D$5,0))</f>
        <v>Medium</v>
      </c>
    </row>
    <row r="4042" customFormat="false" ht="15" hidden="false" customHeight="false" outlineLevel="0" collapsed="false">
      <c r="A4042" s="3" t="n">
        <v>4041</v>
      </c>
      <c r="B4042" s="3" t="n">
        <f aca="false">Raw_Data!A4042</f>
        <v>53</v>
      </c>
      <c r="C4042" s="3" t="str">
        <f aca="false">SUBSTITUTE(Raw_Data!B4042,".","")</f>
        <v>entrepreneur</v>
      </c>
      <c r="D4042" s="3" t="str">
        <f aca="false">Raw_Data!C4042</f>
        <v>married</v>
      </c>
      <c r="E4042" s="3" t="str">
        <f aca="false">Raw_Data!D4042</f>
        <v>primary</v>
      </c>
      <c r="F4042" s="3" t="str">
        <f aca="false">Raw_Data!E4042</f>
        <v>no</v>
      </c>
      <c r="G4042" s="3" t="n">
        <f aca="false">Raw_Data!F4042</f>
        <v>27</v>
      </c>
      <c r="H4042" s="3" t="str">
        <f aca="false">Raw_Data!G4042</f>
        <v>yes</v>
      </c>
      <c r="I4042" s="3" t="str">
        <f aca="false">Raw_Data!H4042</f>
        <v>no</v>
      </c>
      <c r="J4042" s="2" t="n">
        <f aca="false">IF(F4042="yes",1,0)</f>
        <v>0</v>
      </c>
      <c r="K4042" s="2" t="n">
        <f aca="false">IF(H4042="yes",1,0)</f>
        <v>1</v>
      </c>
      <c r="L4042" s="2" t="n">
        <f aca="false">IF(I4042="yes",1,0)</f>
        <v>0</v>
      </c>
      <c r="M4042" s="2" t="n">
        <f aca="false">IF(G4042&lt;0,1,0)</f>
        <v>0</v>
      </c>
      <c r="N4042" s="2" t="str">
        <f aca="false">_xlfn.IFS(B4042&lt;30,"Under 30",B4042&lt;40,"30-39",B4042&lt;50,"40-49",B4042&lt;60,"50-59",TRUE(),"60+")</f>
        <v>50-59</v>
      </c>
      <c r="O4042" s="2" t="str">
        <f aca="false">_xlfn.IFS(G4042&lt;0,"1 Negative",G4042=0,"2 Zero",G4042&lt;=500,"3 1-500",G4042&lt;=2000,"4 501-2000",TRUE(),"5 Above 2000")</f>
        <v>3 1-500</v>
      </c>
      <c r="P4042" s="2" t="n">
        <f aca="false">Lookups!$B$2*M4042+Lookups!$B$3*L4042</f>
        <v>0</v>
      </c>
      <c r="Q4042" s="2" t="str">
        <f aca="false">INDEX(Lookups!$E$2:$E$5,MATCH(P4042,Lookups!$D$2:$D$5,0))</f>
        <v>Low</v>
      </c>
    </row>
    <row r="4043" customFormat="false" ht="15" hidden="false" customHeight="false" outlineLevel="0" collapsed="false">
      <c r="A4043" s="3" t="n">
        <v>4042</v>
      </c>
      <c r="B4043" s="3" t="n">
        <f aca="false">Raw_Data!A4043</f>
        <v>33</v>
      </c>
      <c r="C4043" s="3" t="str">
        <f aca="false">SUBSTITUTE(Raw_Data!B4043,".","")</f>
        <v>blue-collar</v>
      </c>
      <c r="D4043" s="3" t="str">
        <f aca="false">Raw_Data!C4043</f>
        <v>divorced</v>
      </c>
      <c r="E4043" s="3" t="str">
        <f aca="false">Raw_Data!D4043</f>
        <v>secondary</v>
      </c>
      <c r="F4043" s="3" t="str">
        <f aca="false">Raw_Data!E4043</f>
        <v>no</v>
      </c>
      <c r="G4043" s="3" t="n">
        <f aca="false">Raw_Data!F4043</f>
        <v>474</v>
      </c>
      <c r="H4043" s="3" t="str">
        <f aca="false">Raw_Data!G4043</f>
        <v>no</v>
      </c>
      <c r="I4043" s="3" t="str">
        <f aca="false">Raw_Data!H4043</f>
        <v>no</v>
      </c>
      <c r="J4043" s="2" t="n">
        <f aca="false">IF(F4043="yes",1,0)</f>
        <v>0</v>
      </c>
      <c r="K4043" s="2" t="n">
        <f aca="false">IF(H4043="yes",1,0)</f>
        <v>0</v>
      </c>
      <c r="L4043" s="2" t="n">
        <f aca="false">IF(I4043="yes",1,0)</f>
        <v>0</v>
      </c>
      <c r="M4043" s="2" t="n">
        <f aca="false">IF(G4043&lt;0,1,0)</f>
        <v>0</v>
      </c>
      <c r="N4043" s="2" t="str">
        <f aca="false">_xlfn.IFS(B4043&lt;30,"Under 30",B4043&lt;40,"30-39",B4043&lt;50,"40-49",B4043&lt;60,"50-59",TRUE(),"60+")</f>
        <v>30-39</v>
      </c>
      <c r="O4043" s="2" t="str">
        <f aca="false">_xlfn.IFS(G4043&lt;0,"1 Negative",G4043=0,"2 Zero",G4043&lt;=500,"3 1-500",G4043&lt;=2000,"4 501-2000",TRUE(),"5 Above 2000")</f>
        <v>3 1-500</v>
      </c>
      <c r="P4043" s="2" t="n">
        <f aca="false">Lookups!$B$2*M4043+Lookups!$B$3*L4043</f>
        <v>0</v>
      </c>
      <c r="Q4043" s="2" t="str">
        <f aca="false">INDEX(Lookups!$E$2:$E$5,MATCH(P4043,Lookups!$D$2:$D$5,0))</f>
        <v>Low</v>
      </c>
    </row>
    <row r="4044" customFormat="false" ht="15" hidden="false" customHeight="false" outlineLevel="0" collapsed="false">
      <c r="A4044" s="3" t="n">
        <v>4043</v>
      </c>
      <c r="B4044" s="3" t="n">
        <f aca="false">Raw_Data!A4044</f>
        <v>30</v>
      </c>
      <c r="C4044" s="3" t="str">
        <f aca="false">SUBSTITUTE(Raw_Data!B4044,".","")</f>
        <v>technician</v>
      </c>
      <c r="D4044" s="3" t="str">
        <f aca="false">Raw_Data!C4044</f>
        <v>single</v>
      </c>
      <c r="E4044" s="3" t="str">
        <f aca="false">Raw_Data!D4044</f>
        <v>tertiary</v>
      </c>
      <c r="F4044" s="3" t="str">
        <f aca="false">Raw_Data!E4044</f>
        <v>no</v>
      </c>
      <c r="G4044" s="3" t="n">
        <f aca="false">Raw_Data!F4044</f>
        <v>1185</v>
      </c>
      <c r="H4044" s="3" t="str">
        <f aca="false">Raw_Data!G4044</f>
        <v>yes</v>
      </c>
      <c r="I4044" s="3" t="str">
        <f aca="false">Raw_Data!H4044</f>
        <v>no</v>
      </c>
      <c r="J4044" s="2" t="n">
        <f aca="false">IF(F4044="yes",1,0)</f>
        <v>0</v>
      </c>
      <c r="K4044" s="2" t="n">
        <f aca="false">IF(H4044="yes",1,0)</f>
        <v>1</v>
      </c>
      <c r="L4044" s="2" t="n">
        <f aca="false">IF(I4044="yes",1,0)</f>
        <v>0</v>
      </c>
      <c r="M4044" s="2" t="n">
        <f aca="false">IF(G4044&lt;0,1,0)</f>
        <v>0</v>
      </c>
      <c r="N4044" s="2" t="str">
        <f aca="false">_xlfn.IFS(B4044&lt;30,"Under 30",B4044&lt;40,"30-39",B4044&lt;50,"40-49",B4044&lt;60,"50-59",TRUE(),"60+")</f>
        <v>30-39</v>
      </c>
      <c r="O4044" s="2" t="str">
        <f aca="false">_xlfn.IFS(G4044&lt;0,"1 Negative",G4044=0,"2 Zero",G4044&lt;=500,"3 1-500",G4044&lt;=2000,"4 501-2000",TRUE(),"5 Above 2000")</f>
        <v>4 501-2000</v>
      </c>
      <c r="P4044" s="2" t="n">
        <f aca="false">Lookups!$B$2*M4044+Lookups!$B$3*L4044</f>
        <v>0</v>
      </c>
      <c r="Q4044" s="2" t="str">
        <f aca="false">INDEX(Lookups!$E$2:$E$5,MATCH(P4044,Lookups!$D$2:$D$5,0))</f>
        <v>Low</v>
      </c>
    </row>
    <row r="4045" customFormat="false" ht="15" hidden="false" customHeight="false" outlineLevel="0" collapsed="false">
      <c r="A4045" s="3" t="n">
        <v>4044</v>
      </c>
      <c r="B4045" s="3" t="n">
        <f aca="false">Raw_Data!A4045</f>
        <v>39</v>
      </c>
      <c r="C4045" s="3" t="str">
        <f aca="false">SUBSTITUTE(Raw_Data!B4045,".","")</f>
        <v>services</v>
      </c>
      <c r="D4045" s="3" t="str">
        <f aca="false">Raw_Data!C4045</f>
        <v>divorced</v>
      </c>
      <c r="E4045" s="3" t="str">
        <f aca="false">Raw_Data!D4045</f>
        <v>secondary</v>
      </c>
      <c r="F4045" s="3" t="str">
        <f aca="false">Raw_Data!E4045</f>
        <v>no</v>
      </c>
      <c r="G4045" s="3" t="n">
        <f aca="false">Raw_Data!F4045</f>
        <v>282</v>
      </c>
      <c r="H4045" s="3" t="str">
        <f aca="false">Raw_Data!G4045</f>
        <v>yes</v>
      </c>
      <c r="I4045" s="3" t="str">
        <f aca="false">Raw_Data!H4045</f>
        <v>no</v>
      </c>
      <c r="J4045" s="2" t="n">
        <f aca="false">IF(F4045="yes",1,0)</f>
        <v>0</v>
      </c>
      <c r="K4045" s="2" t="n">
        <f aca="false">IF(H4045="yes",1,0)</f>
        <v>1</v>
      </c>
      <c r="L4045" s="2" t="n">
        <f aca="false">IF(I4045="yes",1,0)</f>
        <v>0</v>
      </c>
      <c r="M4045" s="2" t="n">
        <f aca="false">IF(G4045&lt;0,1,0)</f>
        <v>0</v>
      </c>
      <c r="N4045" s="2" t="str">
        <f aca="false">_xlfn.IFS(B4045&lt;30,"Under 30",B4045&lt;40,"30-39",B4045&lt;50,"40-49",B4045&lt;60,"50-59",TRUE(),"60+")</f>
        <v>30-39</v>
      </c>
      <c r="O4045" s="2" t="str">
        <f aca="false">_xlfn.IFS(G4045&lt;0,"1 Negative",G4045=0,"2 Zero",G4045&lt;=500,"3 1-500",G4045&lt;=2000,"4 501-2000",TRUE(),"5 Above 2000")</f>
        <v>3 1-500</v>
      </c>
      <c r="P4045" s="2" t="n">
        <f aca="false">Lookups!$B$2*M4045+Lookups!$B$3*L4045</f>
        <v>0</v>
      </c>
      <c r="Q4045" s="2" t="str">
        <f aca="false">INDEX(Lookups!$E$2:$E$5,MATCH(P4045,Lookups!$D$2:$D$5,0))</f>
        <v>Low</v>
      </c>
    </row>
    <row r="4046" customFormat="false" ht="15" hidden="false" customHeight="false" outlineLevel="0" collapsed="false">
      <c r="A4046" s="3" t="n">
        <v>4045</v>
      </c>
      <c r="B4046" s="3" t="n">
        <f aca="false">Raw_Data!A4046</f>
        <v>32</v>
      </c>
      <c r="C4046" s="3" t="str">
        <f aca="false">SUBSTITUTE(Raw_Data!B4046,".","")</f>
        <v>blue-collar</v>
      </c>
      <c r="D4046" s="3" t="str">
        <f aca="false">Raw_Data!C4046</f>
        <v>married</v>
      </c>
      <c r="E4046" s="3" t="str">
        <f aca="false">Raw_Data!D4046</f>
        <v>secondary</v>
      </c>
      <c r="F4046" s="3" t="str">
        <f aca="false">Raw_Data!E4046</f>
        <v>no</v>
      </c>
      <c r="G4046" s="3" t="n">
        <f aca="false">Raw_Data!F4046</f>
        <v>2</v>
      </c>
      <c r="H4046" s="3" t="str">
        <f aca="false">Raw_Data!G4046</f>
        <v>yes</v>
      </c>
      <c r="I4046" s="3" t="str">
        <f aca="false">Raw_Data!H4046</f>
        <v>no</v>
      </c>
      <c r="J4046" s="2" t="n">
        <f aca="false">IF(F4046="yes",1,0)</f>
        <v>0</v>
      </c>
      <c r="K4046" s="2" t="n">
        <f aca="false">IF(H4046="yes",1,0)</f>
        <v>1</v>
      </c>
      <c r="L4046" s="2" t="n">
        <f aca="false">IF(I4046="yes",1,0)</f>
        <v>0</v>
      </c>
      <c r="M4046" s="2" t="n">
        <f aca="false">IF(G4046&lt;0,1,0)</f>
        <v>0</v>
      </c>
      <c r="N4046" s="2" t="str">
        <f aca="false">_xlfn.IFS(B4046&lt;30,"Under 30",B4046&lt;40,"30-39",B4046&lt;50,"40-49",B4046&lt;60,"50-59",TRUE(),"60+")</f>
        <v>30-39</v>
      </c>
      <c r="O4046" s="2" t="str">
        <f aca="false">_xlfn.IFS(G4046&lt;0,"1 Negative",G4046=0,"2 Zero",G4046&lt;=500,"3 1-500",G4046&lt;=2000,"4 501-2000",TRUE(),"5 Above 2000")</f>
        <v>3 1-500</v>
      </c>
      <c r="P4046" s="2" t="n">
        <f aca="false">Lookups!$B$2*M4046+Lookups!$B$3*L4046</f>
        <v>0</v>
      </c>
      <c r="Q4046" s="2" t="str">
        <f aca="false">INDEX(Lookups!$E$2:$E$5,MATCH(P4046,Lookups!$D$2:$D$5,0))</f>
        <v>Low</v>
      </c>
    </row>
    <row r="4047" customFormat="false" ht="15" hidden="false" customHeight="false" outlineLevel="0" collapsed="false">
      <c r="A4047" s="3" t="n">
        <v>4046</v>
      </c>
      <c r="B4047" s="3" t="n">
        <f aca="false">Raw_Data!A4047</f>
        <v>34</v>
      </c>
      <c r="C4047" s="3" t="str">
        <f aca="false">SUBSTITUTE(Raw_Data!B4047,".","")</f>
        <v>technician</v>
      </c>
      <c r="D4047" s="3" t="str">
        <f aca="false">Raw_Data!C4047</f>
        <v>single</v>
      </c>
      <c r="E4047" s="3" t="str">
        <f aca="false">Raw_Data!D4047</f>
        <v>secondary</v>
      </c>
      <c r="F4047" s="3" t="str">
        <f aca="false">Raw_Data!E4047</f>
        <v>no</v>
      </c>
      <c r="G4047" s="3" t="n">
        <f aca="false">Raw_Data!F4047</f>
        <v>60</v>
      </c>
      <c r="H4047" s="3" t="str">
        <f aca="false">Raw_Data!G4047</f>
        <v>no</v>
      </c>
      <c r="I4047" s="3" t="str">
        <f aca="false">Raw_Data!H4047</f>
        <v>no</v>
      </c>
      <c r="J4047" s="2" t="n">
        <f aca="false">IF(F4047="yes",1,0)</f>
        <v>0</v>
      </c>
      <c r="K4047" s="2" t="n">
        <f aca="false">IF(H4047="yes",1,0)</f>
        <v>0</v>
      </c>
      <c r="L4047" s="2" t="n">
        <f aca="false">IF(I4047="yes",1,0)</f>
        <v>0</v>
      </c>
      <c r="M4047" s="2" t="n">
        <f aca="false">IF(G4047&lt;0,1,0)</f>
        <v>0</v>
      </c>
      <c r="N4047" s="2" t="str">
        <f aca="false">_xlfn.IFS(B4047&lt;30,"Under 30",B4047&lt;40,"30-39",B4047&lt;50,"40-49",B4047&lt;60,"50-59",TRUE(),"60+")</f>
        <v>30-39</v>
      </c>
      <c r="O4047" s="2" t="str">
        <f aca="false">_xlfn.IFS(G4047&lt;0,"1 Negative",G4047=0,"2 Zero",G4047&lt;=500,"3 1-500",G4047&lt;=2000,"4 501-2000",TRUE(),"5 Above 2000")</f>
        <v>3 1-500</v>
      </c>
      <c r="P4047" s="2" t="n">
        <f aca="false">Lookups!$B$2*M4047+Lookups!$B$3*L4047</f>
        <v>0</v>
      </c>
      <c r="Q4047" s="2" t="str">
        <f aca="false">INDEX(Lookups!$E$2:$E$5,MATCH(P4047,Lookups!$D$2:$D$5,0))</f>
        <v>Low</v>
      </c>
    </row>
    <row r="4048" customFormat="false" ht="15" hidden="false" customHeight="false" outlineLevel="0" collapsed="false">
      <c r="A4048" s="3" t="n">
        <v>4047</v>
      </c>
      <c r="B4048" s="3" t="n">
        <f aca="false">Raw_Data!A4048</f>
        <v>39</v>
      </c>
      <c r="C4048" s="3" t="str">
        <f aca="false">SUBSTITUTE(Raw_Data!B4048,".","")</f>
        <v>self-employed</v>
      </c>
      <c r="D4048" s="3" t="str">
        <f aca="false">Raw_Data!C4048</f>
        <v>single</v>
      </c>
      <c r="E4048" s="3" t="str">
        <f aca="false">Raw_Data!D4048</f>
        <v>tertiary</v>
      </c>
      <c r="F4048" s="3" t="str">
        <f aca="false">Raw_Data!E4048</f>
        <v>no</v>
      </c>
      <c r="G4048" s="3" t="n">
        <f aca="false">Raw_Data!F4048</f>
        <v>3972</v>
      </c>
      <c r="H4048" s="3" t="str">
        <f aca="false">Raw_Data!G4048</f>
        <v>no</v>
      </c>
      <c r="I4048" s="3" t="str">
        <f aca="false">Raw_Data!H4048</f>
        <v>no</v>
      </c>
      <c r="J4048" s="2" t="n">
        <f aca="false">IF(F4048="yes",1,0)</f>
        <v>0</v>
      </c>
      <c r="K4048" s="2" t="n">
        <f aca="false">IF(H4048="yes",1,0)</f>
        <v>0</v>
      </c>
      <c r="L4048" s="2" t="n">
        <f aca="false">IF(I4048="yes",1,0)</f>
        <v>0</v>
      </c>
      <c r="M4048" s="2" t="n">
        <f aca="false">IF(G4048&lt;0,1,0)</f>
        <v>0</v>
      </c>
      <c r="N4048" s="2" t="str">
        <f aca="false">_xlfn.IFS(B4048&lt;30,"Under 30",B4048&lt;40,"30-39",B4048&lt;50,"40-49",B4048&lt;60,"50-59",TRUE(),"60+")</f>
        <v>30-39</v>
      </c>
      <c r="O4048" s="2" t="str">
        <f aca="false">_xlfn.IFS(G4048&lt;0,"1 Negative",G4048=0,"2 Zero",G4048&lt;=500,"3 1-500",G4048&lt;=2000,"4 501-2000",TRUE(),"5 Above 2000")</f>
        <v>5 Above 2000</v>
      </c>
      <c r="P4048" s="2" t="n">
        <f aca="false">Lookups!$B$2*M4048+Lookups!$B$3*L4048</f>
        <v>0</v>
      </c>
      <c r="Q4048" s="2" t="str">
        <f aca="false">INDEX(Lookups!$E$2:$E$5,MATCH(P4048,Lookups!$D$2:$D$5,0))</f>
        <v>Low</v>
      </c>
    </row>
    <row r="4049" customFormat="false" ht="15" hidden="false" customHeight="false" outlineLevel="0" collapsed="false">
      <c r="A4049" s="3" t="n">
        <v>4048</v>
      </c>
      <c r="B4049" s="3" t="n">
        <f aca="false">Raw_Data!A4049</f>
        <v>75</v>
      </c>
      <c r="C4049" s="3" t="str">
        <f aca="false">SUBSTITUTE(Raw_Data!B4049,".","")</f>
        <v>retired</v>
      </c>
      <c r="D4049" s="3" t="str">
        <f aca="false">Raw_Data!C4049</f>
        <v>married</v>
      </c>
      <c r="E4049" s="3" t="str">
        <f aca="false">Raw_Data!D4049</f>
        <v>secondary</v>
      </c>
      <c r="F4049" s="3" t="str">
        <f aca="false">Raw_Data!E4049</f>
        <v>no</v>
      </c>
      <c r="G4049" s="3" t="n">
        <f aca="false">Raw_Data!F4049</f>
        <v>26452</v>
      </c>
      <c r="H4049" s="3" t="str">
        <f aca="false">Raw_Data!G4049</f>
        <v>no</v>
      </c>
      <c r="I4049" s="3" t="str">
        <f aca="false">Raw_Data!H4049</f>
        <v>no</v>
      </c>
      <c r="J4049" s="2" t="n">
        <f aca="false">IF(F4049="yes",1,0)</f>
        <v>0</v>
      </c>
      <c r="K4049" s="2" t="n">
        <f aca="false">IF(H4049="yes",1,0)</f>
        <v>0</v>
      </c>
      <c r="L4049" s="2" t="n">
        <f aca="false">IF(I4049="yes",1,0)</f>
        <v>0</v>
      </c>
      <c r="M4049" s="2" t="n">
        <f aca="false">IF(G4049&lt;0,1,0)</f>
        <v>0</v>
      </c>
      <c r="N4049" s="2" t="str">
        <f aca="false">_xlfn.IFS(B4049&lt;30,"Under 30",B4049&lt;40,"30-39",B4049&lt;50,"40-49",B4049&lt;60,"50-59",TRUE(),"60+")</f>
        <v>60+</v>
      </c>
      <c r="O4049" s="2" t="str">
        <f aca="false">_xlfn.IFS(G4049&lt;0,"1 Negative",G4049=0,"2 Zero",G4049&lt;=500,"3 1-500",G4049&lt;=2000,"4 501-2000",TRUE(),"5 Above 2000")</f>
        <v>5 Above 2000</v>
      </c>
      <c r="P4049" s="2" t="n">
        <f aca="false">Lookups!$B$2*M4049+Lookups!$B$3*L4049</f>
        <v>0</v>
      </c>
      <c r="Q4049" s="2" t="str">
        <f aca="false">INDEX(Lookups!$E$2:$E$5,MATCH(P4049,Lookups!$D$2:$D$5,0))</f>
        <v>Low</v>
      </c>
    </row>
    <row r="4050" customFormat="false" ht="15" hidden="false" customHeight="false" outlineLevel="0" collapsed="false">
      <c r="A4050" s="3" t="n">
        <v>4049</v>
      </c>
      <c r="B4050" s="3" t="n">
        <f aca="false">Raw_Data!A4050</f>
        <v>33</v>
      </c>
      <c r="C4050" s="3" t="str">
        <f aca="false">SUBSTITUTE(Raw_Data!B4050,".","")</f>
        <v>admin</v>
      </c>
      <c r="D4050" s="3" t="str">
        <f aca="false">Raw_Data!C4050</f>
        <v>divorced</v>
      </c>
      <c r="E4050" s="3" t="str">
        <f aca="false">Raw_Data!D4050</f>
        <v>secondary</v>
      </c>
      <c r="F4050" s="3" t="str">
        <f aca="false">Raw_Data!E4050</f>
        <v>no</v>
      </c>
      <c r="G4050" s="3" t="n">
        <f aca="false">Raw_Data!F4050</f>
        <v>818</v>
      </c>
      <c r="H4050" s="3" t="str">
        <f aca="false">Raw_Data!G4050</f>
        <v>yes</v>
      </c>
      <c r="I4050" s="3" t="str">
        <f aca="false">Raw_Data!H4050</f>
        <v>yes</v>
      </c>
      <c r="J4050" s="2" t="n">
        <f aca="false">IF(F4050="yes",1,0)</f>
        <v>0</v>
      </c>
      <c r="K4050" s="2" t="n">
        <f aca="false">IF(H4050="yes",1,0)</f>
        <v>1</v>
      </c>
      <c r="L4050" s="2" t="n">
        <f aca="false">IF(I4050="yes",1,0)</f>
        <v>1</v>
      </c>
      <c r="M4050" s="2" t="n">
        <f aca="false">IF(G4050&lt;0,1,0)</f>
        <v>0</v>
      </c>
      <c r="N4050" s="2" t="str">
        <f aca="false">_xlfn.IFS(B4050&lt;30,"Under 30",B4050&lt;40,"30-39",B4050&lt;50,"40-49",B4050&lt;60,"50-59",TRUE(),"60+")</f>
        <v>30-39</v>
      </c>
      <c r="O4050" s="2" t="str">
        <f aca="false">_xlfn.IFS(G4050&lt;0,"1 Negative",G4050=0,"2 Zero",G4050&lt;=500,"3 1-500",G4050&lt;=2000,"4 501-2000",TRUE(),"5 Above 2000")</f>
        <v>4 501-2000</v>
      </c>
      <c r="P4050" s="2" t="n">
        <f aca="false">Lookups!$B$2*M4050+Lookups!$B$3*L4050</f>
        <v>1</v>
      </c>
      <c r="Q4050" s="2" t="str">
        <f aca="false">INDEX(Lookups!$E$2:$E$5,MATCH(P4050,Lookups!$D$2:$D$5,0))</f>
        <v>Medium</v>
      </c>
    </row>
    <row r="4051" customFormat="false" ht="15" hidden="false" customHeight="false" outlineLevel="0" collapsed="false">
      <c r="A4051" s="3" t="n">
        <v>4050</v>
      </c>
      <c r="B4051" s="3" t="n">
        <f aca="false">Raw_Data!A4051</f>
        <v>40</v>
      </c>
      <c r="C4051" s="3" t="str">
        <f aca="false">SUBSTITUTE(Raw_Data!B4051,".","")</f>
        <v>services</v>
      </c>
      <c r="D4051" s="3" t="str">
        <f aca="false">Raw_Data!C4051</f>
        <v>married</v>
      </c>
      <c r="E4051" s="3" t="str">
        <f aca="false">Raw_Data!D4051</f>
        <v>secondary</v>
      </c>
      <c r="F4051" s="3" t="str">
        <f aca="false">Raw_Data!E4051</f>
        <v>no</v>
      </c>
      <c r="G4051" s="3" t="n">
        <f aca="false">Raw_Data!F4051</f>
        <v>9374</v>
      </c>
      <c r="H4051" s="3" t="str">
        <f aca="false">Raw_Data!G4051</f>
        <v>yes</v>
      </c>
      <c r="I4051" s="3" t="str">
        <f aca="false">Raw_Data!H4051</f>
        <v>no</v>
      </c>
      <c r="J4051" s="2" t="n">
        <f aca="false">IF(F4051="yes",1,0)</f>
        <v>0</v>
      </c>
      <c r="K4051" s="2" t="n">
        <f aca="false">IF(H4051="yes",1,0)</f>
        <v>1</v>
      </c>
      <c r="L4051" s="2" t="n">
        <f aca="false">IF(I4051="yes",1,0)</f>
        <v>0</v>
      </c>
      <c r="M4051" s="2" t="n">
        <f aca="false">IF(G4051&lt;0,1,0)</f>
        <v>0</v>
      </c>
      <c r="N4051" s="2" t="str">
        <f aca="false">_xlfn.IFS(B4051&lt;30,"Under 30",B4051&lt;40,"30-39",B4051&lt;50,"40-49",B4051&lt;60,"50-59",TRUE(),"60+")</f>
        <v>40-49</v>
      </c>
      <c r="O4051" s="2" t="str">
        <f aca="false">_xlfn.IFS(G4051&lt;0,"1 Negative",G4051=0,"2 Zero",G4051&lt;=500,"3 1-500",G4051&lt;=2000,"4 501-2000",TRUE(),"5 Above 2000")</f>
        <v>5 Above 2000</v>
      </c>
      <c r="P4051" s="2" t="n">
        <f aca="false">Lookups!$B$2*M4051+Lookups!$B$3*L4051</f>
        <v>0</v>
      </c>
      <c r="Q4051" s="2" t="str">
        <f aca="false">INDEX(Lookups!$E$2:$E$5,MATCH(P4051,Lookups!$D$2:$D$5,0))</f>
        <v>Low</v>
      </c>
    </row>
    <row r="4052" customFormat="false" ht="15" hidden="false" customHeight="false" outlineLevel="0" collapsed="false">
      <c r="A4052" s="3" t="n">
        <v>4051</v>
      </c>
      <c r="B4052" s="3" t="n">
        <f aca="false">Raw_Data!A4052</f>
        <v>37</v>
      </c>
      <c r="C4052" s="3" t="str">
        <f aca="false">SUBSTITUTE(Raw_Data!B4052,".","")</f>
        <v>technician</v>
      </c>
      <c r="D4052" s="3" t="str">
        <f aca="false">Raw_Data!C4052</f>
        <v>married</v>
      </c>
      <c r="E4052" s="3" t="str">
        <f aca="false">Raw_Data!D4052</f>
        <v>unknown</v>
      </c>
      <c r="F4052" s="3" t="str">
        <f aca="false">Raw_Data!E4052</f>
        <v>no</v>
      </c>
      <c r="G4052" s="3" t="n">
        <f aca="false">Raw_Data!F4052</f>
        <v>47</v>
      </c>
      <c r="H4052" s="3" t="str">
        <f aca="false">Raw_Data!G4052</f>
        <v>no</v>
      </c>
      <c r="I4052" s="3" t="str">
        <f aca="false">Raw_Data!H4052</f>
        <v>no</v>
      </c>
      <c r="J4052" s="2" t="n">
        <f aca="false">IF(F4052="yes",1,0)</f>
        <v>0</v>
      </c>
      <c r="K4052" s="2" t="n">
        <f aca="false">IF(H4052="yes",1,0)</f>
        <v>0</v>
      </c>
      <c r="L4052" s="2" t="n">
        <f aca="false">IF(I4052="yes",1,0)</f>
        <v>0</v>
      </c>
      <c r="M4052" s="2" t="n">
        <f aca="false">IF(G4052&lt;0,1,0)</f>
        <v>0</v>
      </c>
      <c r="N4052" s="2" t="str">
        <f aca="false">_xlfn.IFS(B4052&lt;30,"Under 30",B4052&lt;40,"30-39",B4052&lt;50,"40-49",B4052&lt;60,"50-59",TRUE(),"60+")</f>
        <v>30-39</v>
      </c>
      <c r="O4052" s="2" t="str">
        <f aca="false">_xlfn.IFS(G4052&lt;0,"1 Negative",G4052=0,"2 Zero",G4052&lt;=500,"3 1-500",G4052&lt;=2000,"4 501-2000",TRUE(),"5 Above 2000")</f>
        <v>3 1-500</v>
      </c>
      <c r="P4052" s="2" t="n">
        <f aca="false">Lookups!$B$2*M4052+Lookups!$B$3*L4052</f>
        <v>0</v>
      </c>
      <c r="Q4052" s="2" t="str">
        <f aca="false">INDEX(Lookups!$E$2:$E$5,MATCH(P4052,Lookups!$D$2:$D$5,0))</f>
        <v>Low</v>
      </c>
    </row>
    <row r="4053" customFormat="false" ht="15" hidden="false" customHeight="false" outlineLevel="0" collapsed="false">
      <c r="A4053" s="3" t="n">
        <v>4052</v>
      </c>
      <c r="B4053" s="3" t="n">
        <f aca="false">Raw_Data!A4053</f>
        <v>69</v>
      </c>
      <c r="C4053" s="3" t="str">
        <f aca="false">SUBSTITUTE(Raw_Data!B4053,".","")</f>
        <v>retired</v>
      </c>
      <c r="D4053" s="3" t="str">
        <f aca="false">Raw_Data!C4053</f>
        <v>married</v>
      </c>
      <c r="E4053" s="3" t="str">
        <f aca="false">Raw_Data!D4053</f>
        <v>primary</v>
      </c>
      <c r="F4053" s="3" t="str">
        <f aca="false">Raw_Data!E4053</f>
        <v>no</v>
      </c>
      <c r="G4053" s="3" t="n">
        <f aca="false">Raw_Data!F4053</f>
        <v>279</v>
      </c>
      <c r="H4053" s="3" t="str">
        <f aca="false">Raw_Data!G4053</f>
        <v>no</v>
      </c>
      <c r="I4053" s="3" t="str">
        <f aca="false">Raw_Data!H4053</f>
        <v>no</v>
      </c>
      <c r="J4053" s="2" t="n">
        <f aca="false">IF(F4053="yes",1,0)</f>
        <v>0</v>
      </c>
      <c r="K4053" s="2" t="n">
        <f aca="false">IF(H4053="yes",1,0)</f>
        <v>0</v>
      </c>
      <c r="L4053" s="2" t="n">
        <f aca="false">IF(I4053="yes",1,0)</f>
        <v>0</v>
      </c>
      <c r="M4053" s="2" t="n">
        <f aca="false">IF(G4053&lt;0,1,0)</f>
        <v>0</v>
      </c>
      <c r="N4053" s="2" t="str">
        <f aca="false">_xlfn.IFS(B4053&lt;30,"Under 30",B4053&lt;40,"30-39",B4053&lt;50,"40-49",B4053&lt;60,"50-59",TRUE(),"60+")</f>
        <v>60+</v>
      </c>
      <c r="O4053" s="2" t="str">
        <f aca="false">_xlfn.IFS(G4053&lt;0,"1 Negative",G4053=0,"2 Zero",G4053&lt;=500,"3 1-500",G4053&lt;=2000,"4 501-2000",TRUE(),"5 Above 2000")</f>
        <v>3 1-500</v>
      </c>
      <c r="P4053" s="2" t="n">
        <f aca="false">Lookups!$B$2*M4053+Lookups!$B$3*L4053</f>
        <v>0</v>
      </c>
      <c r="Q4053" s="2" t="str">
        <f aca="false">INDEX(Lookups!$E$2:$E$5,MATCH(P4053,Lookups!$D$2:$D$5,0))</f>
        <v>Low</v>
      </c>
    </row>
    <row r="4054" customFormat="false" ht="15" hidden="false" customHeight="false" outlineLevel="0" collapsed="false">
      <c r="A4054" s="3" t="n">
        <v>4053</v>
      </c>
      <c r="B4054" s="3" t="n">
        <f aca="false">Raw_Data!A4054</f>
        <v>52</v>
      </c>
      <c r="C4054" s="3" t="str">
        <f aca="false">SUBSTITUTE(Raw_Data!B4054,".","")</f>
        <v>unemployed</v>
      </c>
      <c r="D4054" s="3" t="str">
        <f aca="false">Raw_Data!C4054</f>
        <v>married</v>
      </c>
      <c r="E4054" s="3" t="str">
        <f aca="false">Raw_Data!D4054</f>
        <v>primary</v>
      </c>
      <c r="F4054" s="3" t="str">
        <f aca="false">Raw_Data!E4054</f>
        <v>no</v>
      </c>
      <c r="G4054" s="3" t="n">
        <f aca="false">Raw_Data!F4054</f>
        <v>20</v>
      </c>
      <c r="H4054" s="3" t="str">
        <f aca="false">Raw_Data!G4054</f>
        <v>yes</v>
      </c>
      <c r="I4054" s="3" t="str">
        <f aca="false">Raw_Data!H4054</f>
        <v>no</v>
      </c>
      <c r="J4054" s="2" t="n">
        <f aca="false">IF(F4054="yes",1,0)</f>
        <v>0</v>
      </c>
      <c r="K4054" s="2" t="n">
        <f aca="false">IF(H4054="yes",1,0)</f>
        <v>1</v>
      </c>
      <c r="L4054" s="2" t="n">
        <f aca="false">IF(I4054="yes",1,0)</f>
        <v>0</v>
      </c>
      <c r="M4054" s="2" t="n">
        <f aca="false">IF(G4054&lt;0,1,0)</f>
        <v>0</v>
      </c>
      <c r="N4054" s="2" t="str">
        <f aca="false">_xlfn.IFS(B4054&lt;30,"Under 30",B4054&lt;40,"30-39",B4054&lt;50,"40-49",B4054&lt;60,"50-59",TRUE(),"60+")</f>
        <v>50-59</v>
      </c>
      <c r="O4054" s="2" t="str">
        <f aca="false">_xlfn.IFS(G4054&lt;0,"1 Negative",G4054=0,"2 Zero",G4054&lt;=500,"3 1-500",G4054&lt;=2000,"4 501-2000",TRUE(),"5 Above 2000")</f>
        <v>3 1-500</v>
      </c>
      <c r="P4054" s="2" t="n">
        <f aca="false">Lookups!$B$2*M4054+Lookups!$B$3*L4054</f>
        <v>0</v>
      </c>
      <c r="Q4054" s="2" t="str">
        <f aca="false">INDEX(Lookups!$E$2:$E$5,MATCH(P4054,Lookups!$D$2:$D$5,0))</f>
        <v>Low</v>
      </c>
    </row>
    <row r="4055" customFormat="false" ht="15" hidden="false" customHeight="false" outlineLevel="0" collapsed="false">
      <c r="A4055" s="3" t="n">
        <v>4054</v>
      </c>
      <c r="B4055" s="3" t="n">
        <f aca="false">Raw_Data!A4055</f>
        <v>31</v>
      </c>
      <c r="C4055" s="3" t="str">
        <f aca="false">SUBSTITUTE(Raw_Data!B4055,".","")</f>
        <v>admin</v>
      </c>
      <c r="D4055" s="3" t="str">
        <f aca="false">Raw_Data!C4055</f>
        <v>divorced</v>
      </c>
      <c r="E4055" s="3" t="str">
        <f aca="false">Raw_Data!D4055</f>
        <v>secondary</v>
      </c>
      <c r="F4055" s="3" t="str">
        <f aca="false">Raw_Data!E4055</f>
        <v>no</v>
      </c>
      <c r="G4055" s="3" t="n">
        <f aca="false">Raw_Data!F4055</f>
        <v>360</v>
      </c>
      <c r="H4055" s="3" t="str">
        <f aca="false">Raw_Data!G4055</f>
        <v>no</v>
      </c>
      <c r="I4055" s="3" t="str">
        <f aca="false">Raw_Data!H4055</f>
        <v>no</v>
      </c>
      <c r="J4055" s="2" t="n">
        <f aca="false">IF(F4055="yes",1,0)</f>
        <v>0</v>
      </c>
      <c r="K4055" s="2" t="n">
        <f aca="false">IF(H4055="yes",1,0)</f>
        <v>0</v>
      </c>
      <c r="L4055" s="2" t="n">
        <f aca="false">IF(I4055="yes",1,0)</f>
        <v>0</v>
      </c>
      <c r="M4055" s="2" t="n">
        <f aca="false">IF(G4055&lt;0,1,0)</f>
        <v>0</v>
      </c>
      <c r="N4055" s="2" t="str">
        <f aca="false">_xlfn.IFS(B4055&lt;30,"Under 30",B4055&lt;40,"30-39",B4055&lt;50,"40-49",B4055&lt;60,"50-59",TRUE(),"60+")</f>
        <v>30-39</v>
      </c>
      <c r="O4055" s="2" t="str">
        <f aca="false">_xlfn.IFS(G4055&lt;0,"1 Negative",G4055=0,"2 Zero",G4055&lt;=500,"3 1-500",G4055&lt;=2000,"4 501-2000",TRUE(),"5 Above 2000")</f>
        <v>3 1-500</v>
      </c>
      <c r="P4055" s="2" t="n">
        <f aca="false">Lookups!$B$2*M4055+Lookups!$B$3*L4055</f>
        <v>0</v>
      </c>
      <c r="Q4055" s="2" t="str">
        <f aca="false">INDEX(Lookups!$E$2:$E$5,MATCH(P4055,Lookups!$D$2:$D$5,0))</f>
        <v>Low</v>
      </c>
    </row>
    <row r="4056" customFormat="false" ht="15" hidden="false" customHeight="false" outlineLevel="0" collapsed="false">
      <c r="A4056" s="3" t="n">
        <v>4055</v>
      </c>
      <c r="B4056" s="3" t="n">
        <f aca="false">Raw_Data!A4056</f>
        <v>28</v>
      </c>
      <c r="C4056" s="3" t="str">
        <f aca="false">SUBSTITUTE(Raw_Data!B4056,".","")</f>
        <v>technician</v>
      </c>
      <c r="D4056" s="3" t="str">
        <f aca="false">Raw_Data!C4056</f>
        <v>single</v>
      </c>
      <c r="E4056" s="3" t="str">
        <f aca="false">Raw_Data!D4056</f>
        <v>secondary</v>
      </c>
      <c r="F4056" s="3" t="str">
        <f aca="false">Raw_Data!E4056</f>
        <v>no</v>
      </c>
      <c r="G4056" s="3" t="n">
        <f aca="false">Raw_Data!F4056</f>
        <v>1532</v>
      </c>
      <c r="H4056" s="3" t="str">
        <f aca="false">Raw_Data!G4056</f>
        <v>no</v>
      </c>
      <c r="I4056" s="3" t="str">
        <f aca="false">Raw_Data!H4056</f>
        <v>no</v>
      </c>
      <c r="J4056" s="2" t="n">
        <f aca="false">IF(F4056="yes",1,0)</f>
        <v>0</v>
      </c>
      <c r="K4056" s="2" t="n">
        <f aca="false">IF(H4056="yes",1,0)</f>
        <v>0</v>
      </c>
      <c r="L4056" s="2" t="n">
        <f aca="false">IF(I4056="yes",1,0)</f>
        <v>0</v>
      </c>
      <c r="M4056" s="2" t="n">
        <f aca="false">IF(G4056&lt;0,1,0)</f>
        <v>0</v>
      </c>
      <c r="N4056" s="2" t="str">
        <f aca="false">_xlfn.IFS(B4056&lt;30,"Under 30",B4056&lt;40,"30-39",B4056&lt;50,"40-49",B4056&lt;60,"50-59",TRUE(),"60+")</f>
        <v>Under 30</v>
      </c>
      <c r="O4056" s="2" t="str">
        <f aca="false">_xlfn.IFS(G4056&lt;0,"1 Negative",G4056=0,"2 Zero",G4056&lt;=500,"3 1-500",G4056&lt;=2000,"4 501-2000",TRUE(),"5 Above 2000")</f>
        <v>4 501-2000</v>
      </c>
      <c r="P4056" s="2" t="n">
        <f aca="false">Lookups!$B$2*M4056+Lookups!$B$3*L4056</f>
        <v>0</v>
      </c>
      <c r="Q4056" s="2" t="str">
        <f aca="false">INDEX(Lookups!$E$2:$E$5,MATCH(P4056,Lookups!$D$2:$D$5,0))</f>
        <v>Low</v>
      </c>
    </row>
    <row r="4057" customFormat="false" ht="15" hidden="false" customHeight="false" outlineLevel="0" collapsed="false">
      <c r="A4057" s="3" t="n">
        <v>4056</v>
      </c>
      <c r="B4057" s="3" t="n">
        <f aca="false">Raw_Data!A4057</f>
        <v>29</v>
      </c>
      <c r="C4057" s="3" t="str">
        <f aca="false">SUBSTITUTE(Raw_Data!B4057,".","")</f>
        <v>management</v>
      </c>
      <c r="D4057" s="3" t="str">
        <f aca="false">Raw_Data!C4057</f>
        <v>single</v>
      </c>
      <c r="E4057" s="3" t="str">
        <f aca="false">Raw_Data!D4057</f>
        <v>tertiary</v>
      </c>
      <c r="F4057" s="3" t="str">
        <f aca="false">Raw_Data!E4057</f>
        <v>no</v>
      </c>
      <c r="G4057" s="3" t="n">
        <f aca="false">Raw_Data!F4057</f>
        <v>1673</v>
      </c>
      <c r="H4057" s="3" t="str">
        <f aca="false">Raw_Data!G4057</f>
        <v>no</v>
      </c>
      <c r="I4057" s="3" t="str">
        <f aca="false">Raw_Data!H4057</f>
        <v>no</v>
      </c>
      <c r="J4057" s="2" t="n">
        <f aca="false">IF(F4057="yes",1,0)</f>
        <v>0</v>
      </c>
      <c r="K4057" s="2" t="n">
        <f aca="false">IF(H4057="yes",1,0)</f>
        <v>0</v>
      </c>
      <c r="L4057" s="2" t="n">
        <f aca="false">IF(I4057="yes",1,0)</f>
        <v>0</v>
      </c>
      <c r="M4057" s="2" t="n">
        <f aca="false">IF(G4057&lt;0,1,0)</f>
        <v>0</v>
      </c>
      <c r="N4057" s="2" t="str">
        <f aca="false">_xlfn.IFS(B4057&lt;30,"Under 30",B4057&lt;40,"30-39",B4057&lt;50,"40-49",B4057&lt;60,"50-59",TRUE(),"60+")</f>
        <v>Under 30</v>
      </c>
      <c r="O4057" s="2" t="str">
        <f aca="false">_xlfn.IFS(G4057&lt;0,"1 Negative",G4057=0,"2 Zero",G4057&lt;=500,"3 1-500",G4057&lt;=2000,"4 501-2000",TRUE(),"5 Above 2000")</f>
        <v>4 501-2000</v>
      </c>
      <c r="P4057" s="2" t="n">
        <f aca="false">Lookups!$B$2*M4057+Lookups!$B$3*L4057</f>
        <v>0</v>
      </c>
      <c r="Q4057" s="2" t="str">
        <f aca="false">INDEX(Lookups!$E$2:$E$5,MATCH(P4057,Lookups!$D$2:$D$5,0))</f>
        <v>Low</v>
      </c>
    </row>
    <row r="4058" customFormat="false" ht="15" hidden="false" customHeight="false" outlineLevel="0" collapsed="false">
      <c r="A4058" s="3" t="n">
        <v>4057</v>
      </c>
      <c r="B4058" s="3" t="n">
        <f aca="false">Raw_Data!A4058</f>
        <v>46</v>
      </c>
      <c r="C4058" s="3" t="str">
        <f aca="false">SUBSTITUTE(Raw_Data!B4058,".","")</f>
        <v>services</v>
      </c>
      <c r="D4058" s="3" t="str">
        <f aca="false">Raw_Data!C4058</f>
        <v>married</v>
      </c>
      <c r="E4058" s="3" t="str">
        <f aca="false">Raw_Data!D4058</f>
        <v>secondary</v>
      </c>
      <c r="F4058" s="3" t="str">
        <f aca="false">Raw_Data!E4058</f>
        <v>no</v>
      </c>
      <c r="G4058" s="3" t="n">
        <f aca="false">Raw_Data!F4058</f>
        <v>2420</v>
      </c>
      <c r="H4058" s="3" t="str">
        <f aca="false">Raw_Data!G4058</f>
        <v>no</v>
      </c>
      <c r="I4058" s="3" t="str">
        <f aca="false">Raw_Data!H4058</f>
        <v>no</v>
      </c>
      <c r="J4058" s="2" t="n">
        <f aca="false">IF(F4058="yes",1,0)</f>
        <v>0</v>
      </c>
      <c r="K4058" s="2" t="n">
        <f aca="false">IF(H4058="yes",1,0)</f>
        <v>0</v>
      </c>
      <c r="L4058" s="2" t="n">
        <f aca="false">IF(I4058="yes",1,0)</f>
        <v>0</v>
      </c>
      <c r="M4058" s="2" t="n">
        <f aca="false">IF(G4058&lt;0,1,0)</f>
        <v>0</v>
      </c>
      <c r="N4058" s="2" t="str">
        <f aca="false">_xlfn.IFS(B4058&lt;30,"Under 30",B4058&lt;40,"30-39",B4058&lt;50,"40-49",B4058&lt;60,"50-59",TRUE(),"60+")</f>
        <v>40-49</v>
      </c>
      <c r="O4058" s="2" t="str">
        <f aca="false">_xlfn.IFS(G4058&lt;0,"1 Negative",G4058=0,"2 Zero",G4058&lt;=500,"3 1-500",G4058&lt;=2000,"4 501-2000",TRUE(),"5 Above 2000")</f>
        <v>5 Above 2000</v>
      </c>
      <c r="P4058" s="2" t="n">
        <f aca="false">Lookups!$B$2*M4058+Lookups!$B$3*L4058</f>
        <v>0</v>
      </c>
      <c r="Q4058" s="2" t="str">
        <f aca="false">INDEX(Lookups!$E$2:$E$5,MATCH(P4058,Lookups!$D$2:$D$5,0))</f>
        <v>Low</v>
      </c>
    </row>
    <row r="4059" customFormat="false" ht="15" hidden="false" customHeight="false" outlineLevel="0" collapsed="false">
      <c r="A4059" s="3" t="n">
        <v>4058</v>
      </c>
      <c r="B4059" s="3" t="n">
        <f aca="false">Raw_Data!A4059</f>
        <v>28</v>
      </c>
      <c r="C4059" s="3" t="str">
        <f aca="false">SUBSTITUTE(Raw_Data!B4059,".","")</f>
        <v>blue-collar</v>
      </c>
      <c r="D4059" s="3" t="str">
        <f aca="false">Raw_Data!C4059</f>
        <v>married</v>
      </c>
      <c r="E4059" s="3" t="str">
        <f aca="false">Raw_Data!D4059</f>
        <v>secondary</v>
      </c>
      <c r="F4059" s="3" t="str">
        <f aca="false">Raw_Data!E4059</f>
        <v>no</v>
      </c>
      <c r="G4059" s="3" t="n">
        <f aca="false">Raw_Data!F4059</f>
        <v>100</v>
      </c>
      <c r="H4059" s="3" t="str">
        <f aca="false">Raw_Data!G4059</f>
        <v>yes</v>
      </c>
      <c r="I4059" s="3" t="str">
        <f aca="false">Raw_Data!H4059</f>
        <v>yes</v>
      </c>
      <c r="J4059" s="2" t="n">
        <f aca="false">IF(F4059="yes",1,0)</f>
        <v>0</v>
      </c>
      <c r="K4059" s="2" t="n">
        <f aca="false">IF(H4059="yes",1,0)</f>
        <v>1</v>
      </c>
      <c r="L4059" s="2" t="n">
        <f aca="false">IF(I4059="yes",1,0)</f>
        <v>1</v>
      </c>
      <c r="M4059" s="2" t="n">
        <f aca="false">IF(G4059&lt;0,1,0)</f>
        <v>0</v>
      </c>
      <c r="N4059" s="2" t="str">
        <f aca="false">_xlfn.IFS(B4059&lt;30,"Under 30",B4059&lt;40,"30-39",B4059&lt;50,"40-49",B4059&lt;60,"50-59",TRUE(),"60+")</f>
        <v>Under 30</v>
      </c>
      <c r="O4059" s="2" t="str">
        <f aca="false">_xlfn.IFS(G4059&lt;0,"1 Negative",G4059=0,"2 Zero",G4059&lt;=500,"3 1-500",G4059&lt;=2000,"4 501-2000",TRUE(),"5 Above 2000")</f>
        <v>3 1-500</v>
      </c>
      <c r="P4059" s="2" t="n">
        <f aca="false">Lookups!$B$2*M4059+Lookups!$B$3*L4059</f>
        <v>1</v>
      </c>
      <c r="Q4059" s="2" t="str">
        <f aca="false">INDEX(Lookups!$E$2:$E$5,MATCH(P4059,Lookups!$D$2:$D$5,0))</f>
        <v>Medium</v>
      </c>
    </row>
    <row r="4060" customFormat="false" ht="15" hidden="false" customHeight="false" outlineLevel="0" collapsed="false">
      <c r="A4060" s="3" t="n">
        <v>4059</v>
      </c>
      <c r="B4060" s="3" t="n">
        <f aca="false">Raw_Data!A4060</f>
        <v>41</v>
      </c>
      <c r="C4060" s="3" t="str">
        <f aca="false">SUBSTITUTE(Raw_Data!B4060,".","")</f>
        <v>admin</v>
      </c>
      <c r="D4060" s="3" t="str">
        <f aca="false">Raw_Data!C4060</f>
        <v>married</v>
      </c>
      <c r="E4060" s="3" t="str">
        <f aca="false">Raw_Data!D4060</f>
        <v>secondary</v>
      </c>
      <c r="F4060" s="3" t="str">
        <f aca="false">Raw_Data!E4060</f>
        <v>no</v>
      </c>
      <c r="G4060" s="3" t="n">
        <f aca="false">Raw_Data!F4060</f>
        <v>0</v>
      </c>
      <c r="H4060" s="3" t="str">
        <f aca="false">Raw_Data!G4060</f>
        <v>no</v>
      </c>
      <c r="I4060" s="3" t="str">
        <f aca="false">Raw_Data!H4060</f>
        <v>no</v>
      </c>
      <c r="J4060" s="2" t="n">
        <f aca="false">IF(F4060="yes",1,0)</f>
        <v>0</v>
      </c>
      <c r="K4060" s="2" t="n">
        <f aca="false">IF(H4060="yes",1,0)</f>
        <v>0</v>
      </c>
      <c r="L4060" s="2" t="n">
        <f aca="false">IF(I4060="yes",1,0)</f>
        <v>0</v>
      </c>
      <c r="M4060" s="2" t="n">
        <f aca="false">IF(G4060&lt;0,1,0)</f>
        <v>0</v>
      </c>
      <c r="N4060" s="2" t="str">
        <f aca="false">_xlfn.IFS(B4060&lt;30,"Under 30",B4060&lt;40,"30-39",B4060&lt;50,"40-49",B4060&lt;60,"50-59",TRUE(),"60+")</f>
        <v>40-49</v>
      </c>
      <c r="O4060" s="2" t="str">
        <f aca="false">_xlfn.IFS(G4060&lt;0,"1 Negative",G4060=0,"2 Zero",G4060&lt;=500,"3 1-500",G4060&lt;=2000,"4 501-2000",TRUE(),"5 Above 2000")</f>
        <v>2 Zero</v>
      </c>
      <c r="P4060" s="2" t="n">
        <f aca="false">Lookups!$B$2*M4060+Lookups!$B$3*L4060</f>
        <v>0</v>
      </c>
      <c r="Q4060" s="2" t="str">
        <f aca="false">INDEX(Lookups!$E$2:$E$5,MATCH(P4060,Lookups!$D$2:$D$5,0))</f>
        <v>Low</v>
      </c>
    </row>
    <row r="4061" customFormat="false" ht="15" hidden="false" customHeight="false" outlineLevel="0" collapsed="false">
      <c r="A4061" s="3" t="n">
        <v>4060</v>
      </c>
      <c r="B4061" s="3" t="n">
        <f aca="false">Raw_Data!A4061</f>
        <v>42</v>
      </c>
      <c r="C4061" s="3" t="str">
        <f aca="false">SUBSTITUTE(Raw_Data!B4061,".","")</f>
        <v>technician</v>
      </c>
      <c r="D4061" s="3" t="str">
        <f aca="false">Raw_Data!C4061</f>
        <v>divorced</v>
      </c>
      <c r="E4061" s="3" t="str">
        <f aca="false">Raw_Data!D4061</f>
        <v>secondary</v>
      </c>
      <c r="F4061" s="3" t="str">
        <f aca="false">Raw_Data!E4061</f>
        <v>no</v>
      </c>
      <c r="G4061" s="3" t="n">
        <f aca="false">Raw_Data!F4061</f>
        <v>1533</v>
      </c>
      <c r="H4061" s="3" t="str">
        <f aca="false">Raw_Data!G4061</f>
        <v>no</v>
      </c>
      <c r="I4061" s="3" t="str">
        <f aca="false">Raw_Data!H4061</f>
        <v>yes</v>
      </c>
      <c r="J4061" s="2" t="n">
        <f aca="false">IF(F4061="yes",1,0)</f>
        <v>0</v>
      </c>
      <c r="K4061" s="2" t="n">
        <f aca="false">IF(H4061="yes",1,0)</f>
        <v>0</v>
      </c>
      <c r="L4061" s="2" t="n">
        <f aca="false">IF(I4061="yes",1,0)</f>
        <v>1</v>
      </c>
      <c r="M4061" s="2" t="n">
        <f aca="false">IF(G4061&lt;0,1,0)</f>
        <v>0</v>
      </c>
      <c r="N4061" s="2" t="str">
        <f aca="false">_xlfn.IFS(B4061&lt;30,"Under 30",B4061&lt;40,"30-39",B4061&lt;50,"40-49",B4061&lt;60,"50-59",TRUE(),"60+")</f>
        <v>40-49</v>
      </c>
      <c r="O4061" s="2" t="str">
        <f aca="false">_xlfn.IFS(G4061&lt;0,"1 Negative",G4061=0,"2 Zero",G4061&lt;=500,"3 1-500",G4061&lt;=2000,"4 501-2000",TRUE(),"5 Above 2000")</f>
        <v>4 501-2000</v>
      </c>
      <c r="P4061" s="2" t="n">
        <f aca="false">Lookups!$B$2*M4061+Lookups!$B$3*L4061</f>
        <v>1</v>
      </c>
      <c r="Q4061" s="2" t="str">
        <f aca="false">INDEX(Lookups!$E$2:$E$5,MATCH(P4061,Lookups!$D$2:$D$5,0))</f>
        <v>Medium</v>
      </c>
    </row>
    <row r="4062" customFormat="false" ht="15" hidden="false" customHeight="false" outlineLevel="0" collapsed="false">
      <c r="A4062" s="3" t="n">
        <v>4061</v>
      </c>
      <c r="B4062" s="3" t="n">
        <f aca="false">Raw_Data!A4062</f>
        <v>34</v>
      </c>
      <c r="C4062" s="3" t="str">
        <f aca="false">SUBSTITUTE(Raw_Data!B4062,".","")</f>
        <v>admin</v>
      </c>
      <c r="D4062" s="3" t="str">
        <f aca="false">Raw_Data!C4062</f>
        <v>single</v>
      </c>
      <c r="E4062" s="3" t="str">
        <f aca="false">Raw_Data!D4062</f>
        <v>secondary</v>
      </c>
      <c r="F4062" s="3" t="str">
        <f aca="false">Raw_Data!E4062</f>
        <v>no</v>
      </c>
      <c r="G4062" s="3" t="n">
        <f aca="false">Raw_Data!F4062</f>
        <v>296</v>
      </c>
      <c r="H4062" s="3" t="str">
        <f aca="false">Raw_Data!G4062</f>
        <v>no</v>
      </c>
      <c r="I4062" s="3" t="str">
        <f aca="false">Raw_Data!H4062</f>
        <v>no</v>
      </c>
      <c r="J4062" s="2" t="n">
        <f aca="false">IF(F4062="yes",1,0)</f>
        <v>0</v>
      </c>
      <c r="K4062" s="2" t="n">
        <f aca="false">IF(H4062="yes",1,0)</f>
        <v>0</v>
      </c>
      <c r="L4062" s="2" t="n">
        <f aca="false">IF(I4062="yes",1,0)</f>
        <v>0</v>
      </c>
      <c r="M4062" s="2" t="n">
        <f aca="false">IF(G4062&lt;0,1,0)</f>
        <v>0</v>
      </c>
      <c r="N4062" s="2" t="str">
        <f aca="false">_xlfn.IFS(B4062&lt;30,"Under 30",B4062&lt;40,"30-39",B4062&lt;50,"40-49",B4062&lt;60,"50-59",TRUE(),"60+")</f>
        <v>30-39</v>
      </c>
      <c r="O4062" s="2" t="str">
        <f aca="false">_xlfn.IFS(G4062&lt;0,"1 Negative",G4062=0,"2 Zero",G4062&lt;=500,"3 1-500",G4062&lt;=2000,"4 501-2000",TRUE(),"5 Above 2000")</f>
        <v>3 1-500</v>
      </c>
      <c r="P4062" s="2" t="n">
        <f aca="false">Lookups!$B$2*M4062+Lookups!$B$3*L4062</f>
        <v>0</v>
      </c>
      <c r="Q4062" s="2" t="str">
        <f aca="false">INDEX(Lookups!$E$2:$E$5,MATCH(P4062,Lookups!$D$2:$D$5,0))</f>
        <v>Low</v>
      </c>
    </row>
    <row r="4063" customFormat="false" ht="15" hidden="false" customHeight="false" outlineLevel="0" collapsed="false">
      <c r="A4063" s="3" t="n">
        <v>4062</v>
      </c>
      <c r="B4063" s="3" t="n">
        <f aca="false">Raw_Data!A4063</f>
        <v>28</v>
      </c>
      <c r="C4063" s="3" t="str">
        <f aca="false">SUBSTITUTE(Raw_Data!B4063,".","")</f>
        <v>blue-collar</v>
      </c>
      <c r="D4063" s="3" t="str">
        <f aca="false">Raw_Data!C4063</f>
        <v>married</v>
      </c>
      <c r="E4063" s="3" t="str">
        <f aca="false">Raw_Data!D4063</f>
        <v>secondary</v>
      </c>
      <c r="F4063" s="3" t="str">
        <f aca="false">Raw_Data!E4063</f>
        <v>no</v>
      </c>
      <c r="G4063" s="3" t="n">
        <f aca="false">Raw_Data!F4063</f>
        <v>2788</v>
      </c>
      <c r="H4063" s="3" t="str">
        <f aca="false">Raw_Data!G4063</f>
        <v>yes</v>
      </c>
      <c r="I4063" s="3" t="str">
        <f aca="false">Raw_Data!H4063</f>
        <v>no</v>
      </c>
      <c r="J4063" s="2" t="n">
        <f aca="false">IF(F4063="yes",1,0)</f>
        <v>0</v>
      </c>
      <c r="K4063" s="2" t="n">
        <f aca="false">IF(H4063="yes",1,0)</f>
        <v>1</v>
      </c>
      <c r="L4063" s="2" t="n">
        <f aca="false">IF(I4063="yes",1,0)</f>
        <v>0</v>
      </c>
      <c r="M4063" s="2" t="n">
        <f aca="false">IF(G4063&lt;0,1,0)</f>
        <v>0</v>
      </c>
      <c r="N4063" s="2" t="str">
        <f aca="false">_xlfn.IFS(B4063&lt;30,"Under 30",B4063&lt;40,"30-39",B4063&lt;50,"40-49",B4063&lt;60,"50-59",TRUE(),"60+")</f>
        <v>Under 30</v>
      </c>
      <c r="O4063" s="2" t="str">
        <f aca="false">_xlfn.IFS(G4063&lt;0,"1 Negative",G4063=0,"2 Zero",G4063&lt;=500,"3 1-500",G4063&lt;=2000,"4 501-2000",TRUE(),"5 Above 2000")</f>
        <v>5 Above 2000</v>
      </c>
      <c r="P4063" s="2" t="n">
        <f aca="false">Lookups!$B$2*M4063+Lookups!$B$3*L4063</f>
        <v>0</v>
      </c>
      <c r="Q4063" s="2" t="str">
        <f aca="false">INDEX(Lookups!$E$2:$E$5,MATCH(P4063,Lookups!$D$2:$D$5,0))</f>
        <v>Low</v>
      </c>
    </row>
    <row r="4064" customFormat="false" ht="15" hidden="false" customHeight="false" outlineLevel="0" collapsed="false">
      <c r="A4064" s="3" t="n">
        <v>4063</v>
      </c>
      <c r="B4064" s="3" t="n">
        <f aca="false">Raw_Data!A4064</f>
        <v>43</v>
      </c>
      <c r="C4064" s="3" t="str">
        <f aca="false">SUBSTITUTE(Raw_Data!B4064,".","")</f>
        <v>management</v>
      </c>
      <c r="D4064" s="3" t="str">
        <f aca="false">Raw_Data!C4064</f>
        <v>single</v>
      </c>
      <c r="E4064" s="3" t="str">
        <f aca="false">Raw_Data!D4064</f>
        <v>secondary</v>
      </c>
      <c r="F4064" s="3" t="str">
        <f aca="false">Raw_Data!E4064</f>
        <v>no</v>
      </c>
      <c r="G4064" s="3" t="n">
        <f aca="false">Raw_Data!F4064</f>
        <v>109</v>
      </c>
      <c r="H4064" s="3" t="str">
        <f aca="false">Raw_Data!G4064</f>
        <v>yes</v>
      </c>
      <c r="I4064" s="3" t="str">
        <f aca="false">Raw_Data!H4064</f>
        <v>no</v>
      </c>
      <c r="J4064" s="2" t="n">
        <f aca="false">IF(F4064="yes",1,0)</f>
        <v>0</v>
      </c>
      <c r="K4064" s="2" t="n">
        <f aca="false">IF(H4064="yes",1,0)</f>
        <v>1</v>
      </c>
      <c r="L4064" s="2" t="n">
        <f aca="false">IF(I4064="yes",1,0)</f>
        <v>0</v>
      </c>
      <c r="M4064" s="2" t="n">
        <f aca="false">IF(G4064&lt;0,1,0)</f>
        <v>0</v>
      </c>
      <c r="N4064" s="2" t="str">
        <f aca="false">_xlfn.IFS(B4064&lt;30,"Under 30",B4064&lt;40,"30-39",B4064&lt;50,"40-49",B4064&lt;60,"50-59",TRUE(),"60+")</f>
        <v>40-49</v>
      </c>
      <c r="O4064" s="2" t="str">
        <f aca="false">_xlfn.IFS(G4064&lt;0,"1 Negative",G4064=0,"2 Zero",G4064&lt;=500,"3 1-500",G4064&lt;=2000,"4 501-2000",TRUE(),"5 Above 2000")</f>
        <v>3 1-500</v>
      </c>
      <c r="P4064" s="2" t="n">
        <f aca="false">Lookups!$B$2*M4064+Lookups!$B$3*L4064</f>
        <v>0</v>
      </c>
      <c r="Q4064" s="2" t="str">
        <f aca="false">INDEX(Lookups!$E$2:$E$5,MATCH(P4064,Lookups!$D$2:$D$5,0))</f>
        <v>Low</v>
      </c>
    </row>
    <row r="4065" customFormat="false" ht="15" hidden="false" customHeight="false" outlineLevel="0" collapsed="false">
      <c r="A4065" s="3" t="n">
        <v>4064</v>
      </c>
      <c r="B4065" s="3" t="n">
        <f aca="false">Raw_Data!A4065</f>
        <v>32</v>
      </c>
      <c r="C4065" s="3" t="str">
        <f aca="false">SUBSTITUTE(Raw_Data!B4065,".","")</f>
        <v>technician</v>
      </c>
      <c r="D4065" s="3" t="str">
        <f aca="false">Raw_Data!C4065</f>
        <v>married</v>
      </c>
      <c r="E4065" s="3" t="str">
        <f aca="false">Raw_Data!D4065</f>
        <v>secondary</v>
      </c>
      <c r="F4065" s="3" t="str">
        <f aca="false">Raw_Data!E4065</f>
        <v>no</v>
      </c>
      <c r="G4065" s="3" t="n">
        <f aca="false">Raw_Data!F4065</f>
        <v>485</v>
      </c>
      <c r="H4065" s="3" t="str">
        <f aca="false">Raw_Data!G4065</f>
        <v>no</v>
      </c>
      <c r="I4065" s="3" t="str">
        <f aca="false">Raw_Data!H4065</f>
        <v>no</v>
      </c>
      <c r="J4065" s="2" t="n">
        <f aca="false">IF(F4065="yes",1,0)</f>
        <v>0</v>
      </c>
      <c r="K4065" s="2" t="n">
        <f aca="false">IF(H4065="yes",1,0)</f>
        <v>0</v>
      </c>
      <c r="L4065" s="2" t="n">
        <f aca="false">IF(I4065="yes",1,0)</f>
        <v>0</v>
      </c>
      <c r="M4065" s="2" t="n">
        <f aca="false">IF(G4065&lt;0,1,0)</f>
        <v>0</v>
      </c>
      <c r="N4065" s="2" t="str">
        <f aca="false">_xlfn.IFS(B4065&lt;30,"Under 30",B4065&lt;40,"30-39",B4065&lt;50,"40-49",B4065&lt;60,"50-59",TRUE(),"60+")</f>
        <v>30-39</v>
      </c>
      <c r="O4065" s="2" t="str">
        <f aca="false">_xlfn.IFS(G4065&lt;0,"1 Negative",G4065=0,"2 Zero",G4065&lt;=500,"3 1-500",G4065&lt;=2000,"4 501-2000",TRUE(),"5 Above 2000")</f>
        <v>3 1-500</v>
      </c>
      <c r="P4065" s="2" t="n">
        <f aca="false">Lookups!$B$2*M4065+Lookups!$B$3*L4065</f>
        <v>0</v>
      </c>
      <c r="Q4065" s="2" t="str">
        <f aca="false">INDEX(Lookups!$E$2:$E$5,MATCH(P4065,Lookups!$D$2:$D$5,0))</f>
        <v>Low</v>
      </c>
    </row>
    <row r="4066" customFormat="false" ht="15" hidden="false" customHeight="false" outlineLevel="0" collapsed="false">
      <c r="A4066" s="3" t="n">
        <v>4065</v>
      </c>
      <c r="B4066" s="3" t="n">
        <f aca="false">Raw_Data!A4066</f>
        <v>33</v>
      </c>
      <c r="C4066" s="3" t="str">
        <f aca="false">SUBSTITUTE(Raw_Data!B4066,".","")</f>
        <v>technician</v>
      </c>
      <c r="D4066" s="3" t="str">
        <f aca="false">Raw_Data!C4066</f>
        <v>single</v>
      </c>
      <c r="E4066" s="3" t="str">
        <f aca="false">Raw_Data!D4066</f>
        <v>tertiary</v>
      </c>
      <c r="F4066" s="3" t="str">
        <f aca="false">Raw_Data!E4066</f>
        <v>no</v>
      </c>
      <c r="G4066" s="3" t="n">
        <f aca="false">Raw_Data!F4066</f>
        <v>125</v>
      </c>
      <c r="H4066" s="3" t="str">
        <f aca="false">Raw_Data!G4066</f>
        <v>no</v>
      </c>
      <c r="I4066" s="3" t="str">
        <f aca="false">Raw_Data!H4066</f>
        <v>no</v>
      </c>
      <c r="J4066" s="2" t="n">
        <f aca="false">IF(F4066="yes",1,0)</f>
        <v>0</v>
      </c>
      <c r="K4066" s="2" t="n">
        <f aca="false">IF(H4066="yes",1,0)</f>
        <v>0</v>
      </c>
      <c r="L4066" s="2" t="n">
        <f aca="false">IF(I4066="yes",1,0)</f>
        <v>0</v>
      </c>
      <c r="M4066" s="2" t="n">
        <f aca="false">IF(G4066&lt;0,1,0)</f>
        <v>0</v>
      </c>
      <c r="N4066" s="2" t="str">
        <f aca="false">_xlfn.IFS(B4066&lt;30,"Under 30",B4066&lt;40,"30-39",B4066&lt;50,"40-49",B4066&lt;60,"50-59",TRUE(),"60+")</f>
        <v>30-39</v>
      </c>
      <c r="O4066" s="2" t="str">
        <f aca="false">_xlfn.IFS(G4066&lt;0,"1 Negative",G4066=0,"2 Zero",G4066&lt;=500,"3 1-500",G4066&lt;=2000,"4 501-2000",TRUE(),"5 Above 2000")</f>
        <v>3 1-500</v>
      </c>
      <c r="P4066" s="2" t="n">
        <f aca="false">Lookups!$B$2*M4066+Lookups!$B$3*L4066</f>
        <v>0</v>
      </c>
      <c r="Q4066" s="2" t="str">
        <f aca="false">INDEX(Lookups!$E$2:$E$5,MATCH(P4066,Lookups!$D$2:$D$5,0))</f>
        <v>Low</v>
      </c>
    </row>
    <row r="4067" customFormat="false" ht="15" hidden="false" customHeight="false" outlineLevel="0" collapsed="false">
      <c r="A4067" s="3" t="n">
        <v>4066</v>
      </c>
      <c r="B4067" s="3" t="n">
        <f aca="false">Raw_Data!A4067</f>
        <v>70</v>
      </c>
      <c r="C4067" s="3" t="str">
        <f aca="false">SUBSTITUTE(Raw_Data!B4067,".","")</f>
        <v>retired</v>
      </c>
      <c r="D4067" s="3" t="str">
        <f aca="false">Raw_Data!C4067</f>
        <v>married</v>
      </c>
      <c r="E4067" s="3" t="str">
        <f aca="false">Raw_Data!D4067</f>
        <v>secondary</v>
      </c>
      <c r="F4067" s="3" t="str">
        <f aca="false">Raw_Data!E4067</f>
        <v>no</v>
      </c>
      <c r="G4067" s="3" t="n">
        <f aca="false">Raw_Data!F4067</f>
        <v>616</v>
      </c>
      <c r="H4067" s="3" t="str">
        <f aca="false">Raw_Data!G4067</f>
        <v>no</v>
      </c>
      <c r="I4067" s="3" t="str">
        <f aca="false">Raw_Data!H4067</f>
        <v>no</v>
      </c>
      <c r="J4067" s="2" t="n">
        <f aca="false">IF(F4067="yes",1,0)</f>
        <v>0</v>
      </c>
      <c r="K4067" s="2" t="n">
        <f aca="false">IF(H4067="yes",1,0)</f>
        <v>0</v>
      </c>
      <c r="L4067" s="2" t="n">
        <f aca="false">IF(I4067="yes",1,0)</f>
        <v>0</v>
      </c>
      <c r="M4067" s="2" t="n">
        <f aca="false">IF(G4067&lt;0,1,0)</f>
        <v>0</v>
      </c>
      <c r="N4067" s="2" t="str">
        <f aca="false">_xlfn.IFS(B4067&lt;30,"Under 30",B4067&lt;40,"30-39",B4067&lt;50,"40-49",B4067&lt;60,"50-59",TRUE(),"60+")</f>
        <v>60+</v>
      </c>
      <c r="O4067" s="2" t="str">
        <f aca="false">_xlfn.IFS(G4067&lt;0,"1 Negative",G4067=0,"2 Zero",G4067&lt;=500,"3 1-500",G4067&lt;=2000,"4 501-2000",TRUE(),"5 Above 2000")</f>
        <v>4 501-2000</v>
      </c>
      <c r="P4067" s="2" t="n">
        <f aca="false">Lookups!$B$2*M4067+Lookups!$B$3*L4067</f>
        <v>0</v>
      </c>
      <c r="Q4067" s="2" t="str">
        <f aca="false">INDEX(Lookups!$E$2:$E$5,MATCH(P4067,Lookups!$D$2:$D$5,0))</f>
        <v>Low</v>
      </c>
    </row>
    <row r="4068" customFormat="false" ht="15" hidden="false" customHeight="false" outlineLevel="0" collapsed="false">
      <c r="A4068" s="3" t="n">
        <v>4067</v>
      </c>
      <c r="B4068" s="3" t="n">
        <f aca="false">Raw_Data!A4068</f>
        <v>36</v>
      </c>
      <c r="C4068" s="3" t="str">
        <f aca="false">SUBSTITUTE(Raw_Data!B4068,".","")</f>
        <v>services</v>
      </c>
      <c r="D4068" s="3" t="str">
        <f aca="false">Raw_Data!C4068</f>
        <v>married</v>
      </c>
      <c r="E4068" s="3" t="str">
        <f aca="false">Raw_Data!D4068</f>
        <v>secondary</v>
      </c>
      <c r="F4068" s="3" t="str">
        <f aca="false">Raw_Data!E4068</f>
        <v>no</v>
      </c>
      <c r="G4068" s="3" t="n">
        <f aca="false">Raw_Data!F4068</f>
        <v>3064</v>
      </c>
      <c r="H4068" s="3" t="str">
        <f aca="false">Raw_Data!G4068</f>
        <v>yes</v>
      </c>
      <c r="I4068" s="3" t="str">
        <f aca="false">Raw_Data!H4068</f>
        <v>no</v>
      </c>
      <c r="J4068" s="2" t="n">
        <f aca="false">IF(F4068="yes",1,0)</f>
        <v>0</v>
      </c>
      <c r="K4068" s="2" t="n">
        <f aca="false">IF(H4068="yes",1,0)</f>
        <v>1</v>
      </c>
      <c r="L4068" s="2" t="n">
        <f aca="false">IF(I4068="yes",1,0)</f>
        <v>0</v>
      </c>
      <c r="M4068" s="2" t="n">
        <f aca="false">IF(G4068&lt;0,1,0)</f>
        <v>0</v>
      </c>
      <c r="N4068" s="2" t="str">
        <f aca="false">_xlfn.IFS(B4068&lt;30,"Under 30",B4068&lt;40,"30-39",B4068&lt;50,"40-49",B4068&lt;60,"50-59",TRUE(),"60+")</f>
        <v>30-39</v>
      </c>
      <c r="O4068" s="2" t="str">
        <f aca="false">_xlfn.IFS(G4068&lt;0,"1 Negative",G4068=0,"2 Zero",G4068&lt;=500,"3 1-500",G4068&lt;=2000,"4 501-2000",TRUE(),"5 Above 2000")</f>
        <v>5 Above 2000</v>
      </c>
      <c r="P4068" s="2" t="n">
        <f aca="false">Lookups!$B$2*M4068+Lookups!$B$3*L4068</f>
        <v>0</v>
      </c>
      <c r="Q4068" s="2" t="str">
        <f aca="false">INDEX(Lookups!$E$2:$E$5,MATCH(P4068,Lookups!$D$2:$D$5,0))</f>
        <v>Low</v>
      </c>
    </row>
    <row r="4069" customFormat="false" ht="15" hidden="false" customHeight="false" outlineLevel="0" collapsed="false">
      <c r="A4069" s="3" t="n">
        <v>4068</v>
      </c>
      <c r="B4069" s="3" t="n">
        <f aca="false">Raw_Data!A4069</f>
        <v>53</v>
      </c>
      <c r="C4069" s="3" t="str">
        <f aca="false">SUBSTITUTE(Raw_Data!B4069,".","")</f>
        <v>technician</v>
      </c>
      <c r="D4069" s="3" t="str">
        <f aca="false">Raw_Data!C4069</f>
        <v>married</v>
      </c>
      <c r="E4069" s="3" t="str">
        <f aca="false">Raw_Data!D4069</f>
        <v>secondary</v>
      </c>
      <c r="F4069" s="3" t="str">
        <f aca="false">Raw_Data!E4069</f>
        <v>no</v>
      </c>
      <c r="G4069" s="3" t="n">
        <f aca="false">Raw_Data!F4069</f>
        <v>206</v>
      </c>
      <c r="H4069" s="3" t="str">
        <f aca="false">Raw_Data!G4069</f>
        <v>no</v>
      </c>
      <c r="I4069" s="3" t="str">
        <f aca="false">Raw_Data!H4069</f>
        <v>no</v>
      </c>
      <c r="J4069" s="2" t="n">
        <f aca="false">IF(F4069="yes",1,0)</f>
        <v>0</v>
      </c>
      <c r="K4069" s="2" t="n">
        <f aca="false">IF(H4069="yes",1,0)</f>
        <v>0</v>
      </c>
      <c r="L4069" s="2" t="n">
        <f aca="false">IF(I4069="yes",1,0)</f>
        <v>0</v>
      </c>
      <c r="M4069" s="2" t="n">
        <f aca="false">IF(G4069&lt;0,1,0)</f>
        <v>0</v>
      </c>
      <c r="N4069" s="2" t="str">
        <f aca="false">_xlfn.IFS(B4069&lt;30,"Under 30",B4069&lt;40,"30-39",B4069&lt;50,"40-49",B4069&lt;60,"50-59",TRUE(),"60+")</f>
        <v>50-59</v>
      </c>
      <c r="O4069" s="2" t="str">
        <f aca="false">_xlfn.IFS(G4069&lt;0,"1 Negative",G4069=0,"2 Zero",G4069&lt;=500,"3 1-500",G4069&lt;=2000,"4 501-2000",TRUE(),"5 Above 2000")</f>
        <v>3 1-500</v>
      </c>
      <c r="P4069" s="2" t="n">
        <f aca="false">Lookups!$B$2*M4069+Lookups!$B$3*L4069</f>
        <v>0</v>
      </c>
      <c r="Q4069" s="2" t="str">
        <f aca="false">INDEX(Lookups!$E$2:$E$5,MATCH(P4069,Lookups!$D$2:$D$5,0))</f>
        <v>Low</v>
      </c>
    </row>
    <row r="4070" customFormat="false" ht="15" hidden="false" customHeight="false" outlineLevel="0" collapsed="false">
      <c r="A4070" s="3" t="n">
        <v>4069</v>
      </c>
      <c r="B4070" s="3" t="n">
        <f aca="false">Raw_Data!A4070</f>
        <v>30</v>
      </c>
      <c r="C4070" s="3" t="str">
        <f aca="false">SUBSTITUTE(Raw_Data!B4070,".","")</f>
        <v>blue-collar</v>
      </c>
      <c r="D4070" s="3" t="str">
        <f aca="false">Raw_Data!C4070</f>
        <v>single</v>
      </c>
      <c r="E4070" s="3" t="str">
        <f aca="false">Raw_Data!D4070</f>
        <v>secondary</v>
      </c>
      <c r="F4070" s="3" t="str">
        <f aca="false">Raw_Data!E4070</f>
        <v>no</v>
      </c>
      <c r="G4070" s="3" t="n">
        <f aca="false">Raw_Data!F4070</f>
        <v>6900</v>
      </c>
      <c r="H4070" s="3" t="str">
        <f aca="false">Raw_Data!G4070</f>
        <v>no</v>
      </c>
      <c r="I4070" s="3" t="str">
        <f aca="false">Raw_Data!H4070</f>
        <v>no</v>
      </c>
      <c r="J4070" s="2" t="n">
        <f aca="false">IF(F4070="yes",1,0)</f>
        <v>0</v>
      </c>
      <c r="K4070" s="2" t="n">
        <f aca="false">IF(H4070="yes",1,0)</f>
        <v>0</v>
      </c>
      <c r="L4070" s="2" t="n">
        <f aca="false">IF(I4070="yes",1,0)</f>
        <v>0</v>
      </c>
      <c r="M4070" s="2" t="n">
        <f aca="false">IF(G4070&lt;0,1,0)</f>
        <v>0</v>
      </c>
      <c r="N4070" s="2" t="str">
        <f aca="false">_xlfn.IFS(B4070&lt;30,"Under 30",B4070&lt;40,"30-39",B4070&lt;50,"40-49",B4070&lt;60,"50-59",TRUE(),"60+")</f>
        <v>30-39</v>
      </c>
      <c r="O4070" s="2" t="str">
        <f aca="false">_xlfn.IFS(G4070&lt;0,"1 Negative",G4070=0,"2 Zero",G4070&lt;=500,"3 1-500",G4070&lt;=2000,"4 501-2000",TRUE(),"5 Above 2000")</f>
        <v>5 Above 2000</v>
      </c>
      <c r="P4070" s="2" t="n">
        <f aca="false">Lookups!$B$2*M4070+Lookups!$B$3*L4070</f>
        <v>0</v>
      </c>
      <c r="Q4070" s="2" t="str">
        <f aca="false">INDEX(Lookups!$E$2:$E$5,MATCH(P4070,Lookups!$D$2:$D$5,0))</f>
        <v>Low</v>
      </c>
    </row>
    <row r="4071" customFormat="false" ht="15" hidden="false" customHeight="false" outlineLevel="0" collapsed="false">
      <c r="A4071" s="3" t="n">
        <v>4070</v>
      </c>
      <c r="B4071" s="3" t="n">
        <f aca="false">Raw_Data!A4071</f>
        <v>45</v>
      </c>
      <c r="C4071" s="3" t="str">
        <f aca="false">SUBSTITUTE(Raw_Data!B4071,".","")</f>
        <v>services</v>
      </c>
      <c r="D4071" s="3" t="str">
        <f aca="false">Raw_Data!C4071</f>
        <v>divorced</v>
      </c>
      <c r="E4071" s="3" t="str">
        <f aca="false">Raw_Data!D4071</f>
        <v>secondary</v>
      </c>
      <c r="F4071" s="3" t="str">
        <f aca="false">Raw_Data!E4071</f>
        <v>no</v>
      </c>
      <c r="G4071" s="3" t="n">
        <f aca="false">Raw_Data!F4071</f>
        <v>-179</v>
      </c>
      <c r="H4071" s="3" t="str">
        <f aca="false">Raw_Data!G4071</f>
        <v>no</v>
      </c>
      <c r="I4071" s="3" t="str">
        <f aca="false">Raw_Data!H4071</f>
        <v>no</v>
      </c>
      <c r="J4071" s="2" t="n">
        <f aca="false">IF(F4071="yes",1,0)</f>
        <v>0</v>
      </c>
      <c r="K4071" s="2" t="n">
        <f aca="false">IF(H4071="yes",1,0)</f>
        <v>0</v>
      </c>
      <c r="L4071" s="2" t="n">
        <f aca="false">IF(I4071="yes",1,0)</f>
        <v>0</v>
      </c>
      <c r="M4071" s="2" t="n">
        <f aca="false">IF(G4071&lt;0,1,0)</f>
        <v>1</v>
      </c>
      <c r="N4071" s="2" t="str">
        <f aca="false">_xlfn.IFS(B4071&lt;30,"Under 30",B4071&lt;40,"30-39",B4071&lt;50,"40-49",B4071&lt;60,"50-59",TRUE(),"60+")</f>
        <v>40-49</v>
      </c>
      <c r="O4071" s="2" t="str">
        <f aca="false">_xlfn.IFS(G4071&lt;0,"1 Negative",G4071=0,"2 Zero",G4071&lt;=500,"3 1-500",G4071&lt;=2000,"4 501-2000",TRUE(),"5 Above 2000")</f>
        <v>1 Negative</v>
      </c>
      <c r="P4071" s="2" t="n">
        <f aca="false">Lookups!$B$2*M4071+Lookups!$B$3*L4071</f>
        <v>2</v>
      </c>
      <c r="Q4071" s="2" t="str">
        <f aca="false">INDEX(Lookups!$E$2:$E$5,MATCH(P4071,Lookups!$D$2:$D$5,0))</f>
        <v>High</v>
      </c>
    </row>
    <row r="4072" customFormat="false" ht="15" hidden="false" customHeight="false" outlineLevel="0" collapsed="false">
      <c r="A4072" s="3" t="n">
        <v>4071</v>
      </c>
      <c r="B4072" s="3" t="n">
        <f aca="false">Raw_Data!A4072</f>
        <v>31</v>
      </c>
      <c r="C4072" s="3" t="str">
        <f aca="false">SUBSTITUTE(Raw_Data!B4072,".","")</f>
        <v>services</v>
      </c>
      <c r="D4072" s="3" t="str">
        <f aca="false">Raw_Data!C4072</f>
        <v>single</v>
      </c>
      <c r="E4072" s="3" t="str">
        <f aca="false">Raw_Data!D4072</f>
        <v>secondary</v>
      </c>
      <c r="F4072" s="3" t="str">
        <f aca="false">Raw_Data!E4072</f>
        <v>no</v>
      </c>
      <c r="G4072" s="3" t="n">
        <f aca="false">Raw_Data!F4072</f>
        <v>481</v>
      </c>
      <c r="H4072" s="3" t="str">
        <f aca="false">Raw_Data!G4072</f>
        <v>yes</v>
      </c>
      <c r="I4072" s="3" t="str">
        <f aca="false">Raw_Data!H4072</f>
        <v>no</v>
      </c>
      <c r="J4072" s="2" t="n">
        <f aca="false">IF(F4072="yes",1,0)</f>
        <v>0</v>
      </c>
      <c r="K4072" s="2" t="n">
        <f aca="false">IF(H4072="yes",1,0)</f>
        <v>1</v>
      </c>
      <c r="L4072" s="2" t="n">
        <f aca="false">IF(I4072="yes",1,0)</f>
        <v>0</v>
      </c>
      <c r="M4072" s="2" t="n">
        <f aca="false">IF(G4072&lt;0,1,0)</f>
        <v>0</v>
      </c>
      <c r="N4072" s="2" t="str">
        <f aca="false">_xlfn.IFS(B4072&lt;30,"Under 30",B4072&lt;40,"30-39",B4072&lt;50,"40-49",B4072&lt;60,"50-59",TRUE(),"60+")</f>
        <v>30-39</v>
      </c>
      <c r="O4072" s="2" t="str">
        <f aca="false">_xlfn.IFS(G4072&lt;0,"1 Negative",G4072=0,"2 Zero",G4072&lt;=500,"3 1-500",G4072&lt;=2000,"4 501-2000",TRUE(),"5 Above 2000")</f>
        <v>3 1-500</v>
      </c>
      <c r="P4072" s="2" t="n">
        <f aca="false">Lookups!$B$2*M4072+Lookups!$B$3*L4072</f>
        <v>0</v>
      </c>
      <c r="Q4072" s="2" t="str">
        <f aca="false">INDEX(Lookups!$E$2:$E$5,MATCH(P4072,Lookups!$D$2:$D$5,0))</f>
        <v>Low</v>
      </c>
    </row>
    <row r="4073" customFormat="false" ht="15" hidden="false" customHeight="false" outlineLevel="0" collapsed="false">
      <c r="A4073" s="3" t="n">
        <v>4072</v>
      </c>
      <c r="B4073" s="3" t="n">
        <f aca="false">Raw_Data!A4073</f>
        <v>28</v>
      </c>
      <c r="C4073" s="3" t="str">
        <f aca="false">SUBSTITUTE(Raw_Data!B4073,".","")</f>
        <v>admin</v>
      </c>
      <c r="D4073" s="3" t="str">
        <f aca="false">Raw_Data!C4073</f>
        <v>married</v>
      </c>
      <c r="E4073" s="3" t="str">
        <f aca="false">Raw_Data!D4073</f>
        <v>secondary</v>
      </c>
      <c r="F4073" s="3" t="str">
        <f aca="false">Raw_Data!E4073</f>
        <v>no</v>
      </c>
      <c r="G4073" s="3" t="n">
        <f aca="false">Raw_Data!F4073</f>
        <v>12</v>
      </c>
      <c r="H4073" s="3" t="str">
        <f aca="false">Raw_Data!G4073</f>
        <v>yes</v>
      </c>
      <c r="I4073" s="3" t="str">
        <f aca="false">Raw_Data!H4073</f>
        <v>no</v>
      </c>
      <c r="J4073" s="2" t="n">
        <f aca="false">IF(F4073="yes",1,0)</f>
        <v>0</v>
      </c>
      <c r="K4073" s="2" t="n">
        <f aca="false">IF(H4073="yes",1,0)</f>
        <v>1</v>
      </c>
      <c r="L4073" s="2" t="n">
        <f aca="false">IF(I4073="yes",1,0)</f>
        <v>0</v>
      </c>
      <c r="M4073" s="2" t="n">
        <f aca="false">IF(G4073&lt;0,1,0)</f>
        <v>0</v>
      </c>
      <c r="N4073" s="2" t="str">
        <f aca="false">_xlfn.IFS(B4073&lt;30,"Under 30",B4073&lt;40,"30-39",B4073&lt;50,"40-49",B4073&lt;60,"50-59",TRUE(),"60+")</f>
        <v>Under 30</v>
      </c>
      <c r="O4073" s="2" t="str">
        <f aca="false">_xlfn.IFS(G4073&lt;0,"1 Negative",G4073=0,"2 Zero",G4073&lt;=500,"3 1-500",G4073&lt;=2000,"4 501-2000",TRUE(),"5 Above 2000")</f>
        <v>3 1-500</v>
      </c>
      <c r="P4073" s="2" t="n">
        <f aca="false">Lookups!$B$2*M4073+Lookups!$B$3*L4073</f>
        <v>0</v>
      </c>
      <c r="Q4073" s="2" t="str">
        <f aca="false">INDEX(Lookups!$E$2:$E$5,MATCH(P4073,Lookups!$D$2:$D$5,0))</f>
        <v>Low</v>
      </c>
    </row>
    <row r="4074" customFormat="false" ht="15" hidden="false" customHeight="false" outlineLevel="0" collapsed="false">
      <c r="A4074" s="3" t="n">
        <v>4073</v>
      </c>
      <c r="B4074" s="3" t="n">
        <f aca="false">Raw_Data!A4074</f>
        <v>45</v>
      </c>
      <c r="C4074" s="3" t="str">
        <f aca="false">SUBSTITUTE(Raw_Data!B4074,".","")</f>
        <v>blue-collar</v>
      </c>
      <c r="D4074" s="3" t="str">
        <f aca="false">Raw_Data!C4074</f>
        <v>married</v>
      </c>
      <c r="E4074" s="3" t="str">
        <f aca="false">Raw_Data!D4074</f>
        <v>primary</v>
      </c>
      <c r="F4074" s="3" t="str">
        <f aca="false">Raw_Data!E4074</f>
        <v>no</v>
      </c>
      <c r="G4074" s="3" t="n">
        <f aca="false">Raw_Data!F4074</f>
        <v>0</v>
      </c>
      <c r="H4074" s="3" t="str">
        <f aca="false">Raw_Data!G4074</f>
        <v>no</v>
      </c>
      <c r="I4074" s="3" t="str">
        <f aca="false">Raw_Data!H4074</f>
        <v>no</v>
      </c>
      <c r="J4074" s="2" t="n">
        <f aca="false">IF(F4074="yes",1,0)</f>
        <v>0</v>
      </c>
      <c r="K4074" s="2" t="n">
        <f aca="false">IF(H4074="yes",1,0)</f>
        <v>0</v>
      </c>
      <c r="L4074" s="2" t="n">
        <f aca="false">IF(I4074="yes",1,0)</f>
        <v>0</v>
      </c>
      <c r="M4074" s="2" t="n">
        <f aca="false">IF(G4074&lt;0,1,0)</f>
        <v>0</v>
      </c>
      <c r="N4074" s="2" t="str">
        <f aca="false">_xlfn.IFS(B4074&lt;30,"Under 30",B4074&lt;40,"30-39",B4074&lt;50,"40-49",B4074&lt;60,"50-59",TRUE(),"60+")</f>
        <v>40-49</v>
      </c>
      <c r="O4074" s="2" t="str">
        <f aca="false">_xlfn.IFS(G4074&lt;0,"1 Negative",G4074=0,"2 Zero",G4074&lt;=500,"3 1-500",G4074&lt;=2000,"4 501-2000",TRUE(),"5 Above 2000")</f>
        <v>2 Zero</v>
      </c>
      <c r="P4074" s="2" t="n">
        <f aca="false">Lookups!$B$2*M4074+Lookups!$B$3*L4074</f>
        <v>0</v>
      </c>
      <c r="Q4074" s="2" t="str">
        <f aca="false">INDEX(Lookups!$E$2:$E$5,MATCH(P4074,Lookups!$D$2:$D$5,0))</f>
        <v>Low</v>
      </c>
    </row>
    <row r="4075" customFormat="false" ht="15" hidden="false" customHeight="false" outlineLevel="0" collapsed="false">
      <c r="A4075" s="3" t="n">
        <v>4074</v>
      </c>
      <c r="B4075" s="3" t="n">
        <f aca="false">Raw_Data!A4075</f>
        <v>51</v>
      </c>
      <c r="C4075" s="3" t="str">
        <f aca="false">SUBSTITUTE(Raw_Data!B4075,".","")</f>
        <v>management</v>
      </c>
      <c r="D4075" s="3" t="str">
        <f aca="false">Raw_Data!C4075</f>
        <v>married</v>
      </c>
      <c r="E4075" s="3" t="str">
        <f aca="false">Raw_Data!D4075</f>
        <v>tertiary</v>
      </c>
      <c r="F4075" s="3" t="str">
        <f aca="false">Raw_Data!E4075</f>
        <v>no</v>
      </c>
      <c r="G4075" s="3" t="n">
        <f aca="false">Raw_Data!F4075</f>
        <v>176</v>
      </c>
      <c r="H4075" s="3" t="str">
        <f aca="false">Raw_Data!G4075</f>
        <v>yes</v>
      </c>
      <c r="I4075" s="3" t="str">
        <f aca="false">Raw_Data!H4075</f>
        <v>yes</v>
      </c>
      <c r="J4075" s="2" t="n">
        <f aca="false">IF(F4075="yes",1,0)</f>
        <v>0</v>
      </c>
      <c r="K4075" s="2" t="n">
        <f aca="false">IF(H4075="yes",1,0)</f>
        <v>1</v>
      </c>
      <c r="L4075" s="2" t="n">
        <f aca="false">IF(I4075="yes",1,0)</f>
        <v>1</v>
      </c>
      <c r="M4075" s="2" t="n">
        <f aca="false">IF(G4075&lt;0,1,0)</f>
        <v>0</v>
      </c>
      <c r="N4075" s="2" t="str">
        <f aca="false">_xlfn.IFS(B4075&lt;30,"Under 30",B4075&lt;40,"30-39",B4075&lt;50,"40-49",B4075&lt;60,"50-59",TRUE(),"60+")</f>
        <v>50-59</v>
      </c>
      <c r="O4075" s="2" t="str">
        <f aca="false">_xlfn.IFS(G4075&lt;0,"1 Negative",G4075=0,"2 Zero",G4075&lt;=500,"3 1-500",G4075&lt;=2000,"4 501-2000",TRUE(),"5 Above 2000")</f>
        <v>3 1-500</v>
      </c>
      <c r="P4075" s="2" t="n">
        <f aca="false">Lookups!$B$2*M4075+Lookups!$B$3*L4075</f>
        <v>1</v>
      </c>
      <c r="Q4075" s="2" t="str">
        <f aca="false">INDEX(Lookups!$E$2:$E$5,MATCH(P4075,Lookups!$D$2:$D$5,0))</f>
        <v>Medium</v>
      </c>
    </row>
    <row r="4076" customFormat="false" ht="15" hidden="false" customHeight="false" outlineLevel="0" collapsed="false">
      <c r="A4076" s="3" t="n">
        <v>4075</v>
      </c>
      <c r="B4076" s="3" t="n">
        <f aca="false">Raw_Data!A4076</f>
        <v>53</v>
      </c>
      <c r="C4076" s="3" t="str">
        <f aca="false">SUBSTITUTE(Raw_Data!B4076,".","")</f>
        <v>management</v>
      </c>
      <c r="D4076" s="3" t="str">
        <f aca="false">Raw_Data!C4076</f>
        <v>married</v>
      </c>
      <c r="E4076" s="3" t="str">
        <f aca="false">Raw_Data!D4076</f>
        <v>primary</v>
      </c>
      <c r="F4076" s="3" t="str">
        <f aca="false">Raw_Data!E4076</f>
        <v>no</v>
      </c>
      <c r="G4076" s="3" t="n">
        <f aca="false">Raw_Data!F4076</f>
        <v>4086</v>
      </c>
      <c r="H4076" s="3" t="str">
        <f aca="false">Raw_Data!G4076</f>
        <v>no</v>
      </c>
      <c r="I4076" s="3" t="str">
        <f aca="false">Raw_Data!H4076</f>
        <v>no</v>
      </c>
      <c r="J4076" s="2" t="n">
        <f aca="false">IF(F4076="yes",1,0)</f>
        <v>0</v>
      </c>
      <c r="K4076" s="2" t="n">
        <f aca="false">IF(H4076="yes",1,0)</f>
        <v>0</v>
      </c>
      <c r="L4076" s="2" t="n">
        <f aca="false">IF(I4076="yes",1,0)</f>
        <v>0</v>
      </c>
      <c r="M4076" s="2" t="n">
        <f aca="false">IF(G4076&lt;0,1,0)</f>
        <v>0</v>
      </c>
      <c r="N4076" s="2" t="str">
        <f aca="false">_xlfn.IFS(B4076&lt;30,"Under 30",B4076&lt;40,"30-39",B4076&lt;50,"40-49",B4076&lt;60,"50-59",TRUE(),"60+")</f>
        <v>50-59</v>
      </c>
      <c r="O4076" s="2" t="str">
        <f aca="false">_xlfn.IFS(G4076&lt;0,"1 Negative",G4076=0,"2 Zero",G4076&lt;=500,"3 1-500",G4076&lt;=2000,"4 501-2000",TRUE(),"5 Above 2000")</f>
        <v>5 Above 2000</v>
      </c>
      <c r="P4076" s="2" t="n">
        <f aca="false">Lookups!$B$2*M4076+Lookups!$B$3*L4076</f>
        <v>0</v>
      </c>
      <c r="Q4076" s="2" t="str">
        <f aca="false">INDEX(Lookups!$E$2:$E$5,MATCH(P4076,Lookups!$D$2:$D$5,0))</f>
        <v>Low</v>
      </c>
    </row>
    <row r="4077" customFormat="false" ht="15" hidden="false" customHeight="false" outlineLevel="0" collapsed="false">
      <c r="A4077" s="3" t="n">
        <v>4076</v>
      </c>
      <c r="B4077" s="3" t="n">
        <f aca="false">Raw_Data!A4077</f>
        <v>40</v>
      </c>
      <c r="C4077" s="3" t="str">
        <f aca="false">SUBSTITUTE(Raw_Data!B4077,".","")</f>
        <v>technician</v>
      </c>
      <c r="D4077" s="3" t="str">
        <f aca="false">Raw_Data!C4077</f>
        <v>married</v>
      </c>
      <c r="E4077" s="3" t="str">
        <f aca="false">Raw_Data!D4077</f>
        <v>secondary</v>
      </c>
      <c r="F4077" s="3" t="str">
        <f aca="false">Raw_Data!E4077</f>
        <v>no</v>
      </c>
      <c r="G4077" s="3" t="n">
        <f aca="false">Raw_Data!F4077</f>
        <v>257</v>
      </c>
      <c r="H4077" s="3" t="str">
        <f aca="false">Raw_Data!G4077</f>
        <v>yes</v>
      </c>
      <c r="I4077" s="3" t="str">
        <f aca="false">Raw_Data!H4077</f>
        <v>no</v>
      </c>
      <c r="J4077" s="2" t="n">
        <f aca="false">IF(F4077="yes",1,0)</f>
        <v>0</v>
      </c>
      <c r="K4077" s="2" t="n">
        <f aca="false">IF(H4077="yes",1,0)</f>
        <v>1</v>
      </c>
      <c r="L4077" s="2" t="n">
        <f aca="false">IF(I4077="yes",1,0)</f>
        <v>0</v>
      </c>
      <c r="M4077" s="2" t="n">
        <f aca="false">IF(G4077&lt;0,1,0)</f>
        <v>0</v>
      </c>
      <c r="N4077" s="2" t="str">
        <f aca="false">_xlfn.IFS(B4077&lt;30,"Under 30",B4077&lt;40,"30-39",B4077&lt;50,"40-49",B4077&lt;60,"50-59",TRUE(),"60+")</f>
        <v>40-49</v>
      </c>
      <c r="O4077" s="2" t="str">
        <f aca="false">_xlfn.IFS(G4077&lt;0,"1 Negative",G4077=0,"2 Zero",G4077&lt;=500,"3 1-500",G4077&lt;=2000,"4 501-2000",TRUE(),"5 Above 2000")</f>
        <v>3 1-500</v>
      </c>
      <c r="P4077" s="2" t="n">
        <f aca="false">Lookups!$B$2*M4077+Lookups!$B$3*L4077</f>
        <v>0</v>
      </c>
      <c r="Q4077" s="2" t="str">
        <f aca="false">INDEX(Lookups!$E$2:$E$5,MATCH(P4077,Lookups!$D$2:$D$5,0))</f>
        <v>Low</v>
      </c>
    </row>
    <row r="4078" customFormat="false" ht="15" hidden="false" customHeight="false" outlineLevel="0" collapsed="false">
      <c r="A4078" s="3" t="n">
        <v>4077</v>
      </c>
      <c r="B4078" s="3" t="n">
        <f aca="false">Raw_Data!A4078</f>
        <v>53</v>
      </c>
      <c r="C4078" s="3" t="str">
        <f aca="false">SUBSTITUTE(Raw_Data!B4078,".","")</f>
        <v>blue-collar</v>
      </c>
      <c r="D4078" s="3" t="str">
        <f aca="false">Raw_Data!C4078</f>
        <v>married</v>
      </c>
      <c r="E4078" s="3" t="str">
        <f aca="false">Raw_Data!D4078</f>
        <v>primary</v>
      </c>
      <c r="F4078" s="3" t="str">
        <f aca="false">Raw_Data!E4078</f>
        <v>no</v>
      </c>
      <c r="G4078" s="3" t="n">
        <f aca="false">Raw_Data!F4078</f>
        <v>53</v>
      </c>
      <c r="H4078" s="3" t="str">
        <f aca="false">Raw_Data!G4078</f>
        <v>yes</v>
      </c>
      <c r="I4078" s="3" t="str">
        <f aca="false">Raw_Data!H4078</f>
        <v>no</v>
      </c>
      <c r="J4078" s="2" t="n">
        <f aca="false">IF(F4078="yes",1,0)</f>
        <v>0</v>
      </c>
      <c r="K4078" s="2" t="n">
        <f aca="false">IF(H4078="yes",1,0)</f>
        <v>1</v>
      </c>
      <c r="L4078" s="2" t="n">
        <f aca="false">IF(I4078="yes",1,0)</f>
        <v>0</v>
      </c>
      <c r="M4078" s="2" t="n">
        <f aca="false">IF(G4078&lt;0,1,0)</f>
        <v>0</v>
      </c>
      <c r="N4078" s="2" t="str">
        <f aca="false">_xlfn.IFS(B4078&lt;30,"Under 30",B4078&lt;40,"30-39",B4078&lt;50,"40-49",B4078&lt;60,"50-59",TRUE(),"60+")</f>
        <v>50-59</v>
      </c>
      <c r="O4078" s="2" t="str">
        <f aca="false">_xlfn.IFS(G4078&lt;0,"1 Negative",G4078=0,"2 Zero",G4078&lt;=500,"3 1-500",G4078&lt;=2000,"4 501-2000",TRUE(),"5 Above 2000")</f>
        <v>3 1-500</v>
      </c>
      <c r="P4078" s="2" t="n">
        <f aca="false">Lookups!$B$2*M4078+Lookups!$B$3*L4078</f>
        <v>0</v>
      </c>
      <c r="Q4078" s="2" t="str">
        <f aca="false">INDEX(Lookups!$E$2:$E$5,MATCH(P4078,Lookups!$D$2:$D$5,0))</f>
        <v>Low</v>
      </c>
    </row>
    <row r="4079" customFormat="false" ht="15" hidden="false" customHeight="false" outlineLevel="0" collapsed="false">
      <c r="A4079" s="3" t="n">
        <v>4078</v>
      </c>
      <c r="B4079" s="3" t="n">
        <f aca="false">Raw_Data!A4079</f>
        <v>31</v>
      </c>
      <c r="C4079" s="3" t="str">
        <f aca="false">SUBSTITUTE(Raw_Data!B4079,".","")</f>
        <v>blue-collar</v>
      </c>
      <c r="D4079" s="3" t="str">
        <f aca="false">Raw_Data!C4079</f>
        <v>divorced</v>
      </c>
      <c r="E4079" s="3" t="str">
        <f aca="false">Raw_Data!D4079</f>
        <v>secondary</v>
      </c>
      <c r="F4079" s="3" t="str">
        <f aca="false">Raw_Data!E4079</f>
        <v>no</v>
      </c>
      <c r="G4079" s="3" t="n">
        <f aca="false">Raw_Data!F4079</f>
        <v>6</v>
      </c>
      <c r="H4079" s="3" t="str">
        <f aca="false">Raw_Data!G4079</f>
        <v>yes</v>
      </c>
      <c r="I4079" s="3" t="str">
        <f aca="false">Raw_Data!H4079</f>
        <v>no</v>
      </c>
      <c r="J4079" s="2" t="n">
        <f aca="false">IF(F4079="yes",1,0)</f>
        <v>0</v>
      </c>
      <c r="K4079" s="2" t="n">
        <f aca="false">IF(H4079="yes",1,0)</f>
        <v>1</v>
      </c>
      <c r="L4079" s="2" t="n">
        <f aca="false">IF(I4079="yes",1,0)</f>
        <v>0</v>
      </c>
      <c r="M4079" s="2" t="n">
        <f aca="false">IF(G4079&lt;0,1,0)</f>
        <v>0</v>
      </c>
      <c r="N4079" s="2" t="str">
        <f aca="false">_xlfn.IFS(B4079&lt;30,"Under 30",B4079&lt;40,"30-39",B4079&lt;50,"40-49",B4079&lt;60,"50-59",TRUE(),"60+")</f>
        <v>30-39</v>
      </c>
      <c r="O4079" s="2" t="str">
        <f aca="false">_xlfn.IFS(G4079&lt;0,"1 Negative",G4079=0,"2 Zero",G4079&lt;=500,"3 1-500",G4079&lt;=2000,"4 501-2000",TRUE(),"5 Above 2000")</f>
        <v>3 1-500</v>
      </c>
      <c r="P4079" s="2" t="n">
        <f aca="false">Lookups!$B$2*M4079+Lookups!$B$3*L4079</f>
        <v>0</v>
      </c>
      <c r="Q4079" s="2" t="str">
        <f aca="false">INDEX(Lookups!$E$2:$E$5,MATCH(P4079,Lookups!$D$2:$D$5,0))</f>
        <v>Low</v>
      </c>
    </row>
    <row r="4080" customFormat="false" ht="15" hidden="false" customHeight="false" outlineLevel="0" collapsed="false">
      <c r="A4080" s="3" t="n">
        <v>4079</v>
      </c>
      <c r="B4080" s="3" t="n">
        <f aca="false">Raw_Data!A4080</f>
        <v>30</v>
      </c>
      <c r="C4080" s="3" t="str">
        <f aca="false">SUBSTITUTE(Raw_Data!B4080,".","")</f>
        <v>management</v>
      </c>
      <c r="D4080" s="3" t="str">
        <f aca="false">Raw_Data!C4080</f>
        <v>married</v>
      </c>
      <c r="E4080" s="3" t="str">
        <f aca="false">Raw_Data!D4080</f>
        <v>tertiary</v>
      </c>
      <c r="F4080" s="3" t="str">
        <f aca="false">Raw_Data!E4080</f>
        <v>no</v>
      </c>
      <c r="G4080" s="3" t="n">
        <f aca="false">Raw_Data!F4080</f>
        <v>562</v>
      </c>
      <c r="H4080" s="3" t="str">
        <f aca="false">Raw_Data!G4080</f>
        <v>no</v>
      </c>
      <c r="I4080" s="3" t="str">
        <f aca="false">Raw_Data!H4080</f>
        <v>no</v>
      </c>
      <c r="J4080" s="2" t="n">
        <f aca="false">IF(F4080="yes",1,0)</f>
        <v>0</v>
      </c>
      <c r="K4080" s="2" t="n">
        <f aca="false">IF(H4080="yes",1,0)</f>
        <v>0</v>
      </c>
      <c r="L4080" s="2" t="n">
        <f aca="false">IF(I4080="yes",1,0)</f>
        <v>0</v>
      </c>
      <c r="M4080" s="2" t="n">
        <f aca="false">IF(G4080&lt;0,1,0)</f>
        <v>0</v>
      </c>
      <c r="N4080" s="2" t="str">
        <f aca="false">_xlfn.IFS(B4080&lt;30,"Under 30",B4080&lt;40,"30-39",B4080&lt;50,"40-49",B4080&lt;60,"50-59",TRUE(),"60+")</f>
        <v>30-39</v>
      </c>
      <c r="O4080" s="2" t="str">
        <f aca="false">_xlfn.IFS(G4080&lt;0,"1 Negative",G4080=0,"2 Zero",G4080&lt;=500,"3 1-500",G4080&lt;=2000,"4 501-2000",TRUE(),"5 Above 2000")</f>
        <v>4 501-2000</v>
      </c>
      <c r="P4080" s="2" t="n">
        <f aca="false">Lookups!$B$2*M4080+Lookups!$B$3*L4080</f>
        <v>0</v>
      </c>
      <c r="Q4080" s="2" t="str">
        <f aca="false">INDEX(Lookups!$E$2:$E$5,MATCH(P4080,Lookups!$D$2:$D$5,0))</f>
        <v>Low</v>
      </c>
    </row>
    <row r="4081" customFormat="false" ht="15" hidden="false" customHeight="false" outlineLevel="0" collapsed="false">
      <c r="A4081" s="3" t="n">
        <v>4080</v>
      </c>
      <c r="B4081" s="3" t="n">
        <f aca="false">Raw_Data!A4081</f>
        <v>53</v>
      </c>
      <c r="C4081" s="3" t="str">
        <f aca="false">SUBSTITUTE(Raw_Data!B4081,".","")</f>
        <v>entrepreneur</v>
      </c>
      <c r="D4081" s="3" t="str">
        <f aca="false">Raw_Data!C4081</f>
        <v>married</v>
      </c>
      <c r="E4081" s="3" t="str">
        <f aca="false">Raw_Data!D4081</f>
        <v>secondary</v>
      </c>
      <c r="F4081" s="3" t="str">
        <f aca="false">Raw_Data!E4081</f>
        <v>no</v>
      </c>
      <c r="G4081" s="3" t="n">
        <f aca="false">Raw_Data!F4081</f>
        <v>-118</v>
      </c>
      <c r="H4081" s="3" t="str">
        <f aca="false">Raw_Data!G4081</f>
        <v>yes</v>
      </c>
      <c r="I4081" s="3" t="str">
        <f aca="false">Raw_Data!H4081</f>
        <v>no</v>
      </c>
      <c r="J4081" s="2" t="n">
        <f aca="false">IF(F4081="yes",1,0)</f>
        <v>0</v>
      </c>
      <c r="K4081" s="2" t="n">
        <f aca="false">IF(H4081="yes",1,0)</f>
        <v>1</v>
      </c>
      <c r="L4081" s="2" t="n">
        <f aca="false">IF(I4081="yes",1,0)</f>
        <v>0</v>
      </c>
      <c r="M4081" s="2" t="n">
        <f aca="false">IF(G4081&lt;0,1,0)</f>
        <v>1</v>
      </c>
      <c r="N4081" s="2" t="str">
        <f aca="false">_xlfn.IFS(B4081&lt;30,"Under 30",B4081&lt;40,"30-39",B4081&lt;50,"40-49",B4081&lt;60,"50-59",TRUE(),"60+")</f>
        <v>50-59</v>
      </c>
      <c r="O4081" s="2" t="str">
        <f aca="false">_xlfn.IFS(G4081&lt;0,"1 Negative",G4081=0,"2 Zero",G4081&lt;=500,"3 1-500",G4081&lt;=2000,"4 501-2000",TRUE(),"5 Above 2000")</f>
        <v>1 Negative</v>
      </c>
      <c r="P4081" s="2" t="n">
        <f aca="false">Lookups!$B$2*M4081+Lookups!$B$3*L4081</f>
        <v>2</v>
      </c>
      <c r="Q4081" s="2" t="str">
        <f aca="false">INDEX(Lookups!$E$2:$E$5,MATCH(P4081,Lookups!$D$2:$D$5,0))</f>
        <v>High</v>
      </c>
    </row>
    <row r="4082" customFormat="false" ht="15" hidden="false" customHeight="false" outlineLevel="0" collapsed="false">
      <c r="A4082" s="3" t="n">
        <v>4081</v>
      </c>
      <c r="B4082" s="3" t="n">
        <f aca="false">Raw_Data!A4082</f>
        <v>40</v>
      </c>
      <c r="C4082" s="3" t="str">
        <f aca="false">SUBSTITUTE(Raw_Data!B4082,".","")</f>
        <v>blue-collar</v>
      </c>
      <c r="D4082" s="3" t="str">
        <f aca="false">Raw_Data!C4082</f>
        <v>married</v>
      </c>
      <c r="E4082" s="3" t="str">
        <f aca="false">Raw_Data!D4082</f>
        <v>primary</v>
      </c>
      <c r="F4082" s="3" t="str">
        <f aca="false">Raw_Data!E4082</f>
        <v>no</v>
      </c>
      <c r="G4082" s="3" t="n">
        <f aca="false">Raw_Data!F4082</f>
        <v>2805</v>
      </c>
      <c r="H4082" s="3" t="str">
        <f aca="false">Raw_Data!G4082</f>
        <v>yes</v>
      </c>
      <c r="I4082" s="3" t="str">
        <f aca="false">Raw_Data!H4082</f>
        <v>no</v>
      </c>
      <c r="J4082" s="2" t="n">
        <f aca="false">IF(F4082="yes",1,0)</f>
        <v>0</v>
      </c>
      <c r="K4082" s="2" t="n">
        <f aca="false">IF(H4082="yes",1,0)</f>
        <v>1</v>
      </c>
      <c r="L4082" s="2" t="n">
        <f aca="false">IF(I4082="yes",1,0)</f>
        <v>0</v>
      </c>
      <c r="M4082" s="2" t="n">
        <f aca="false">IF(G4082&lt;0,1,0)</f>
        <v>0</v>
      </c>
      <c r="N4082" s="2" t="str">
        <f aca="false">_xlfn.IFS(B4082&lt;30,"Under 30",B4082&lt;40,"30-39",B4082&lt;50,"40-49",B4082&lt;60,"50-59",TRUE(),"60+")</f>
        <v>40-49</v>
      </c>
      <c r="O4082" s="2" t="str">
        <f aca="false">_xlfn.IFS(G4082&lt;0,"1 Negative",G4082=0,"2 Zero",G4082&lt;=500,"3 1-500",G4082&lt;=2000,"4 501-2000",TRUE(),"5 Above 2000")</f>
        <v>5 Above 2000</v>
      </c>
      <c r="P4082" s="2" t="n">
        <f aca="false">Lookups!$B$2*M4082+Lookups!$B$3*L4082</f>
        <v>0</v>
      </c>
      <c r="Q4082" s="2" t="str">
        <f aca="false">INDEX(Lookups!$E$2:$E$5,MATCH(P4082,Lookups!$D$2:$D$5,0))</f>
        <v>Low</v>
      </c>
    </row>
    <row r="4083" customFormat="false" ht="15" hidden="false" customHeight="false" outlineLevel="0" collapsed="false">
      <c r="A4083" s="3" t="n">
        <v>4082</v>
      </c>
      <c r="B4083" s="3" t="n">
        <f aca="false">Raw_Data!A4083</f>
        <v>26</v>
      </c>
      <c r="C4083" s="3" t="str">
        <f aca="false">SUBSTITUTE(Raw_Data!B4083,".","")</f>
        <v>management</v>
      </c>
      <c r="D4083" s="3" t="str">
        <f aca="false">Raw_Data!C4083</f>
        <v>single</v>
      </c>
      <c r="E4083" s="3" t="str">
        <f aca="false">Raw_Data!D4083</f>
        <v>secondary</v>
      </c>
      <c r="F4083" s="3" t="str">
        <f aca="false">Raw_Data!E4083</f>
        <v>no</v>
      </c>
      <c r="G4083" s="3" t="n">
        <f aca="false">Raw_Data!F4083</f>
        <v>565</v>
      </c>
      <c r="H4083" s="3" t="str">
        <f aca="false">Raw_Data!G4083</f>
        <v>yes</v>
      </c>
      <c r="I4083" s="3" t="str">
        <f aca="false">Raw_Data!H4083</f>
        <v>no</v>
      </c>
      <c r="J4083" s="2" t="n">
        <f aca="false">IF(F4083="yes",1,0)</f>
        <v>0</v>
      </c>
      <c r="K4083" s="2" t="n">
        <f aca="false">IF(H4083="yes",1,0)</f>
        <v>1</v>
      </c>
      <c r="L4083" s="2" t="n">
        <f aca="false">IF(I4083="yes",1,0)</f>
        <v>0</v>
      </c>
      <c r="M4083" s="2" t="n">
        <f aca="false">IF(G4083&lt;0,1,0)</f>
        <v>0</v>
      </c>
      <c r="N4083" s="2" t="str">
        <f aca="false">_xlfn.IFS(B4083&lt;30,"Under 30",B4083&lt;40,"30-39",B4083&lt;50,"40-49",B4083&lt;60,"50-59",TRUE(),"60+")</f>
        <v>Under 30</v>
      </c>
      <c r="O4083" s="2" t="str">
        <f aca="false">_xlfn.IFS(G4083&lt;0,"1 Negative",G4083=0,"2 Zero",G4083&lt;=500,"3 1-500",G4083&lt;=2000,"4 501-2000",TRUE(),"5 Above 2000")</f>
        <v>4 501-2000</v>
      </c>
      <c r="P4083" s="2" t="n">
        <f aca="false">Lookups!$B$2*M4083+Lookups!$B$3*L4083</f>
        <v>0</v>
      </c>
      <c r="Q4083" s="2" t="str">
        <f aca="false">INDEX(Lookups!$E$2:$E$5,MATCH(P4083,Lookups!$D$2:$D$5,0))</f>
        <v>Low</v>
      </c>
    </row>
    <row r="4084" customFormat="false" ht="15" hidden="false" customHeight="false" outlineLevel="0" collapsed="false">
      <c r="A4084" s="3" t="n">
        <v>4083</v>
      </c>
      <c r="B4084" s="3" t="n">
        <f aca="false">Raw_Data!A4084</f>
        <v>47</v>
      </c>
      <c r="C4084" s="3" t="str">
        <f aca="false">SUBSTITUTE(Raw_Data!B4084,".","")</f>
        <v>blue-collar</v>
      </c>
      <c r="D4084" s="3" t="str">
        <f aca="false">Raw_Data!C4084</f>
        <v>married</v>
      </c>
      <c r="E4084" s="3" t="str">
        <f aca="false">Raw_Data!D4084</f>
        <v>secondary</v>
      </c>
      <c r="F4084" s="3" t="str">
        <f aca="false">Raw_Data!E4084</f>
        <v>no</v>
      </c>
      <c r="G4084" s="3" t="n">
        <f aca="false">Raw_Data!F4084</f>
        <v>0</v>
      </c>
      <c r="H4084" s="3" t="str">
        <f aca="false">Raw_Data!G4084</f>
        <v>yes</v>
      </c>
      <c r="I4084" s="3" t="str">
        <f aca="false">Raw_Data!H4084</f>
        <v>no</v>
      </c>
      <c r="J4084" s="2" t="n">
        <f aca="false">IF(F4084="yes",1,0)</f>
        <v>0</v>
      </c>
      <c r="K4084" s="2" t="n">
        <f aca="false">IF(H4084="yes",1,0)</f>
        <v>1</v>
      </c>
      <c r="L4084" s="2" t="n">
        <f aca="false">IF(I4084="yes",1,0)</f>
        <v>0</v>
      </c>
      <c r="M4084" s="2" t="n">
        <f aca="false">IF(G4084&lt;0,1,0)</f>
        <v>0</v>
      </c>
      <c r="N4084" s="2" t="str">
        <f aca="false">_xlfn.IFS(B4084&lt;30,"Under 30",B4084&lt;40,"30-39",B4084&lt;50,"40-49",B4084&lt;60,"50-59",TRUE(),"60+")</f>
        <v>40-49</v>
      </c>
      <c r="O4084" s="2" t="str">
        <f aca="false">_xlfn.IFS(G4084&lt;0,"1 Negative",G4084=0,"2 Zero",G4084&lt;=500,"3 1-500",G4084&lt;=2000,"4 501-2000",TRUE(),"5 Above 2000")</f>
        <v>2 Zero</v>
      </c>
      <c r="P4084" s="2" t="n">
        <f aca="false">Lookups!$B$2*M4084+Lookups!$B$3*L4084</f>
        <v>0</v>
      </c>
      <c r="Q4084" s="2" t="str">
        <f aca="false">INDEX(Lookups!$E$2:$E$5,MATCH(P4084,Lookups!$D$2:$D$5,0))</f>
        <v>Low</v>
      </c>
    </row>
    <row r="4085" customFormat="false" ht="15" hidden="false" customHeight="false" outlineLevel="0" collapsed="false">
      <c r="A4085" s="3" t="n">
        <v>4084</v>
      </c>
      <c r="B4085" s="3" t="n">
        <f aca="false">Raw_Data!A4085</f>
        <v>51</v>
      </c>
      <c r="C4085" s="3" t="str">
        <f aca="false">SUBSTITUTE(Raw_Data!B4085,".","")</f>
        <v>management</v>
      </c>
      <c r="D4085" s="3" t="str">
        <f aca="false">Raw_Data!C4085</f>
        <v>married</v>
      </c>
      <c r="E4085" s="3" t="str">
        <f aca="false">Raw_Data!D4085</f>
        <v>tertiary</v>
      </c>
      <c r="F4085" s="3" t="str">
        <f aca="false">Raw_Data!E4085</f>
        <v>no</v>
      </c>
      <c r="G4085" s="3" t="n">
        <f aca="false">Raw_Data!F4085</f>
        <v>1612</v>
      </c>
      <c r="H4085" s="3" t="str">
        <f aca="false">Raw_Data!G4085</f>
        <v>no</v>
      </c>
      <c r="I4085" s="3" t="str">
        <f aca="false">Raw_Data!H4085</f>
        <v>no</v>
      </c>
      <c r="J4085" s="2" t="n">
        <f aca="false">IF(F4085="yes",1,0)</f>
        <v>0</v>
      </c>
      <c r="K4085" s="2" t="n">
        <f aca="false">IF(H4085="yes",1,0)</f>
        <v>0</v>
      </c>
      <c r="L4085" s="2" t="n">
        <f aca="false">IF(I4085="yes",1,0)</f>
        <v>0</v>
      </c>
      <c r="M4085" s="2" t="n">
        <f aca="false">IF(G4085&lt;0,1,0)</f>
        <v>0</v>
      </c>
      <c r="N4085" s="2" t="str">
        <f aca="false">_xlfn.IFS(B4085&lt;30,"Under 30",B4085&lt;40,"30-39",B4085&lt;50,"40-49",B4085&lt;60,"50-59",TRUE(),"60+")</f>
        <v>50-59</v>
      </c>
      <c r="O4085" s="2" t="str">
        <f aca="false">_xlfn.IFS(G4085&lt;0,"1 Negative",G4085=0,"2 Zero",G4085&lt;=500,"3 1-500",G4085&lt;=2000,"4 501-2000",TRUE(),"5 Above 2000")</f>
        <v>4 501-2000</v>
      </c>
      <c r="P4085" s="2" t="n">
        <f aca="false">Lookups!$B$2*M4085+Lookups!$B$3*L4085</f>
        <v>0</v>
      </c>
      <c r="Q4085" s="2" t="str">
        <f aca="false">INDEX(Lookups!$E$2:$E$5,MATCH(P4085,Lookups!$D$2:$D$5,0))</f>
        <v>Low</v>
      </c>
    </row>
    <row r="4086" customFormat="false" ht="15" hidden="false" customHeight="false" outlineLevel="0" collapsed="false">
      <c r="A4086" s="3" t="n">
        <v>4085</v>
      </c>
      <c r="B4086" s="3" t="n">
        <f aca="false">Raw_Data!A4086</f>
        <v>45</v>
      </c>
      <c r="C4086" s="3" t="str">
        <f aca="false">SUBSTITUTE(Raw_Data!B4086,".","")</f>
        <v>unemployed</v>
      </c>
      <c r="D4086" s="3" t="str">
        <f aca="false">Raw_Data!C4086</f>
        <v>married</v>
      </c>
      <c r="E4086" s="3" t="str">
        <f aca="false">Raw_Data!D4086</f>
        <v>primary</v>
      </c>
      <c r="F4086" s="3" t="str">
        <f aca="false">Raw_Data!E4086</f>
        <v>no</v>
      </c>
      <c r="G4086" s="3" t="n">
        <f aca="false">Raw_Data!F4086</f>
        <v>180</v>
      </c>
      <c r="H4086" s="3" t="str">
        <f aca="false">Raw_Data!G4086</f>
        <v>yes</v>
      </c>
      <c r="I4086" s="3" t="str">
        <f aca="false">Raw_Data!H4086</f>
        <v>yes</v>
      </c>
      <c r="J4086" s="2" t="n">
        <f aca="false">IF(F4086="yes",1,0)</f>
        <v>0</v>
      </c>
      <c r="K4086" s="2" t="n">
        <f aca="false">IF(H4086="yes",1,0)</f>
        <v>1</v>
      </c>
      <c r="L4086" s="2" t="n">
        <f aca="false">IF(I4086="yes",1,0)</f>
        <v>1</v>
      </c>
      <c r="M4086" s="2" t="n">
        <f aca="false">IF(G4086&lt;0,1,0)</f>
        <v>0</v>
      </c>
      <c r="N4086" s="2" t="str">
        <f aca="false">_xlfn.IFS(B4086&lt;30,"Under 30",B4086&lt;40,"30-39",B4086&lt;50,"40-49",B4086&lt;60,"50-59",TRUE(),"60+")</f>
        <v>40-49</v>
      </c>
      <c r="O4086" s="2" t="str">
        <f aca="false">_xlfn.IFS(G4086&lt;0,"1 Negative",G4086=0,"2 Zero",G4086&lt;=500,"3 1-500",G4086&lt;=2000,"4 501-2000",TRUE(),"5 Above 2000")</f>
        <v>3 1-500</v>
      </c>
      <c r="P4086" s="2" t="n">
        <f aca="false">Lookups!$B$2*M4086+Lookups!$B$3*L4086</f>
        <v>1</v>
      </c>
      <c r="Q4086" s="2" t="str">
        <f aca="false">INDEX(Lookups!$E$2:$E$5,MATCH(P4086,Lookups!$D$2:$D$5,0))</f>
        <v>Medium</v>
      </c>
    </row>
    <row r="4087" customFormat="false" ht="15" hidden="false" customHeight="false" outlineLevel="0" collapsed="false">
      <c r="A4087" s="3" t="n">
        <v>4086</v>
      </c>
      <c r="B4087" s="3" t="n">
        <f aca="false">Raw_Data!A4087</f>
        <v>35</v>
      </c>
      <c r="C4087" s="3" t="str">
        <f aca="false">SUBSTITUTE(Raw_Data!B4087,".","")</f>
        <v>management</v>
      </c>
      <c r="D4087" s="3" t="str">
        <f aca="false">Raw_Data!C4087</f>
        <v>married</v>
      </c>
      <c r="E4087" s="3" t="str">
        <f aca="false">Raw_Data!D4087</f>
        <v>tertiary</v>
      </c>
      <c r="F4087" s="3" t="str">
        <f aca="false">Raw_Data!E4087</f>
        <v>no</v>
      </c>
      <c r="G4087" s="3" t="n">
        <f aca="false">Raw_Data!F4087</f>
        <v>0</v>
      </c>
      <c r="H4087" s="3" t="str">
        <f aca="false">Raw_Data!G4087</f>
        <v>yes</v>
      </c>
      <c r="I4087" s="3" t="str">
        <f aca="false">Raw_Data!H4087</f>
        <v>no</v>
      </c>
      <c r="J4087" s="2" t="n">
        <f aca="false">IF(F4087="yes",1,0)</f>
        <v>0</v>
      </c>
      <c r="K4087" s="2" t="n">
        <f aca="false">IF(H4087="yes",1,0)</f>
        <v>1</v>
      </c>
      <c r="L4087" s="2" t="n">
        <f aca="false">IF(I4087="yes",1,0)</f>
        <v>0</v>
      </c>
      <c r="M4087" s="2" t="n">
        <f aca="false">IF(G4087&lt;0,1,0)</f>
        <v>0</v>
      </c>
      <c r="N4087" s="2" t="str">
        <f aca="false">_xlfn.IFS(B4087&lt;30,"Under 30",B4087&lt;40,"30-39",B4087&lt;50,"40-49",B4087&lt;60,"50-59",TRUE(),"60+")</f>
        <v>30-39</v>
      </c>
      <c r="O4087" s="2" t="str">
        <f aca="false">_xlfn.IFS(G4087&lt;0,"1 Negative",G4087=0,"2 Zero",G4087&lt;=500,"3 1-500",G4087&lt;=2000,"4 501-2000",TRUE(),"5 Above 2000")</f>
        <v>2 Zero</v>
      </c>
      <c r="P4087" s="2" t="n">
        <f aca="false">Lookups!$B$2*M4087+Lookups!$B$3*L4087</f>
        <v>0</v>
      </c>
      <c r="Q4087" s="2" t="str">
        <f aca="false">INDEX(Lookups!$E$2:$E$5,MATCH(P4087,Lookups!$D$2:$D$5,0))</f>
        <v>Low</v>
      </c>
    </row>
    <row r="4088" customFormat="false" ht="15" hidden="false" customHeight="false" outlineLevel="0" collapsed="false">
      <c r="A4088" s="3" t="n">
        <v>4087</v>
      </c>
      <c r="B4088" s="3" t="n">
        <f aca="false">Raw_Data!A4088</f>
        <v>36</v>
      </c>
      <c r="C4088" s="3" t="str">
        <f aca="false">SUBSTITUTE(Raw_Data!B4088,".","")</f>
        <v>management</v>
      </c>
      <c r="D4088" s="3" t="str">
        <f aca="false">Raw_Data!C4088</f>
        <v>single</v>
      </c>
      <c r="E4088" s="3" t="str">
        <f aca="false">Raw_Data!D4088</f>
        <v>tertiary</v>
      </c>
      <c r="F4088" s="3" t="str">
        <f aca="false">Raw_Data!E4088</f>
        <v>no</v>
      </c>
      <c r="G4088" s="3" t="n">
        <f aca="false">Raw_Data!F4088</f>
        <v>876</v>
      </c>
      <c r="H4088" s="3" t="str">
        <f aca="false">Raw_Data!G4088</f>
        <v>yes</v>
      </c>
      <c r="I4088" s="3" t="str">
        <f aca="false">Raw_Data!H4088</f>
        <v>no</v>
      </c>
      <c r="J4088" s="2" t="n">
        <f aca="false">IF(F4088="yes",1,0)</f>
        <v>0</v>
      </c>
      <c r="K4088" s="2" t="n">
        <f aca="false">IF(H4088="yes",1,0)</f>
        <v>1</v>
      </c>
      <c r="L4088" s="2" t="n">
        <f aca="false">IF(I4088="yes",1,0)</f>
        <v>0</v>
      </c>
      <c r="M4088" s="2" t="n">
        <f aca="false">IF(G4088&lt;0,1,0)</f>
        <v>0</v>
      </c>
      <c r="N4088" s="2" t="str">
        <f aca="false">_xlfn.IFS(B4088&lt;30,"Under 30",B4088&lt;40,"30-39",B4088&lt;50,"40-49",B4088&lt;60,"50-59",TRUE(),"60+")</f>
        <v>30-39</v>
      </c>
      <c r="O4088" s="2" t="str">
        <f aca="false">_xlfn.IFS(G4088&lt;0,"1 Negative",G4088=0,"2 Zero",G4088&lt;=500,"3 1-500",G4088&lt;=2000,"4 501-2000",TRUE(),"5 Above 2000")</f>
        <v>4 501-2000</v>
      </c>
      <c r="P4088" s="2" t="n">
        <f aca="false">Lookups!$B$2*M4088+Lookups!$B$3*L4088</f>
        <v>0</v>
      </c>
      <c r="Q4088" s="2" t="str">
        <f aca="false">INDEX(Lookups!$E$2:$E$5,MATCH(P4088,Lookups!$D$2:$D$5,0))</f>
        <v>Low</v>
      </c>
    </row>
    <row r="4089" customFormat="false" ht="15" hidden="false" customHeight="false" outlineLevel="0" collapsed="false">
      <c r="A4089" s="3" t="n">
        <v>4088</v>
      </c>
      <c r="B4089" s="3" t="n">
        <f aca="false">Raw_Data!A4089</f>
        <v>57</v>
      </c>
      <c r="C4089" s="3" t="str">
        <f aca="false">SUBSTITUTE(Raw_Data!B4089,".","")</f>
        <v>admin</v>
      </c>
      <c r="D4089" s="3" t="str">
        <f aca="false">Raw_Data!C4089</f>
        <v>married</v>
      </c>
      <c r="E4089" s="3" t="str">
        <f aca="false">Raw_Data!D4089</f>
        <v>secondary</v>
      </c>
      <c r="F4089" s="3" t="str">
        <f aca="false">Raw_Data!E4089</f>
        <v>no</v>
      </c>
      <c r="G4089" s="3" t="n">
        <f aca="false">Raw_Data!F4089</f>
        <v>2137</v>
      </c>
      <c r="H4089" s="3" t="str">
        <f aca="false">Raw_Data!G4089</f>
        <v>no</v>
      </c>
      <c r="I4089" s="3" t="str">
        <f aca="false">Raw_Data!H4089</f>
        <v>no</v>
      </c>
      <c r="J4089" s="2" t="n">
        <f aca="false">IF(F4089="yes",1,0)</f>
        <v>0</v>
      </c>
      <c r="K4089" s="2" t="n">
        <f aca="false">IF(H4089="yes",1,0)</f>
        <v>0</v>
      </c>
      <c r="L4089" s="2" t="n">
        <f aca="false">IF(I4089="yes",1,0)</f>
        <v>0</v>
      </c>
      <c r="M4089" s="2" t="n">
        <f aca="false">IF(G4089&lt;0,1,0)</f>
        <v>0</v>
      </c>
      <c r="N4089" s="2" t="str">
        <f aca="false">_xlfn.IFS(B4089&lt;30,"Under 30",B4089&lt;40,"30-39",B4089&lt;50,"40-49",B4089&lt;60,"50-59",TRUE(),"60+")</f>
        <v>50-59</v>
      </c>
      <c r="O4089" s="2" t="str">
        <f aca="false">_xlfn.IFS(G4089&lt;0,"1 Negative",G4089=0,"2 Zero",G4089&lt;=500,"3 1-500",G4089&lt;=2000,"4 501-2000",TRUE(),"5 Above 2000")</f>
        <v>5 Above 2000</v>
      </c>
      <c r="P4089" s="2" t="n">
        <f aca="false">Lookups!$B$2*M4089+Lookups!$B$3*L4089</f>
        <v>0</v>
      </c>
      <c r="Q4089" s="2" t="str">
        <f aca="false">INDEX(Lookups!$E$2:$E$5,MATCH(P4089,Lookups!$D$2:$D$5,0))</f>
        <v>Low</v>
      </c>
    </row>
    <row r="4090" customFormat="false" ht="15" hidden="false" customHeight="false" outlineLevel="0" collapsed="false">
      <c r="A4090" s="3" t="n">
        <v>4089</v>
      </c>
      <c r="B4090" s="3" t="n">
        <f aca="false">Raw_Data!A4090</f>
        <v>42</v>
      </c>
      <c r="C4090" s="3" t="str">
        <f aca="false">SUBSTITUTE(Raw_Data!B4090,".","")</f>
        <v>blue-collar</v>
      </c>
      <c r="D4090" s="3" t="str">
        <f aca="false">Raw_Data!C4090</f>
        <v>married</v>
      </c>
      <c r="E4090" s="3" t="str">
        <f aca="false">Raw_Data!D4090</f>
        <v>primary</v>
      </c>
      <c r="F4090" s="3" t="str">
        <f aca="false">Raw_Data!E4090</f>
        <v>no</v>
      </c>
      <c r="G4090" s="3" t="n">
        <f aca="false">Raw_Data!F4090</f>
        <v>260</v>
      </c>
      <c r="H4090" s="3" t="str">
        <f aca="false">Raw_Data!G4090</f>
        <v>yes</v>
      </c>
      <c r="I4090" s="3" t="str">
        <f aca="false">Raw_Data!H4090</f>
        <v>no</v>
      </c>
      <c r="J4090" s="2" t="n">
        <f aca="false">IF(F4090="yes",1,0)</f>
        <v>0</v>
      </c>
      <c r="K4090" s="2" t="n">
        <f aca="false">IF(H4090="yes",1,0)</f>
        <v>1</v>
      </c>
      <c r="L4090" s="2" t="n">
        <f aca="false">IF(I4090="yes",1,0)</f>
        <v>0</v>
      </c>
      <c r="M4090" s="2" t="n">
        <f aca="false">IF(G4090&lt;0,1,0)</f>
        <v>0</v>
      </c>
      <c r="N4090" s="2" t="str">
        <f aca="false">_xlfn.IFS(B4090&lt;30,"Under 30",B4090&lt;40,"30-39",B4090&lt;50,"40-49",B4090&lt;60,"50-59",TRUE(),"60+")</f>
        <v>40-49</v>
      </c>
      <c r="O4090" s="2" t="str">
        <f aca="false">_xlfn.IFS(G4090&lt;0,"1 Negative",G4090=0,"2 Zero",G4090&lt;=500,"3 1-500",G4090&lt;=2000,"4 501-2000",TRUE(),"5 Above 2000")</f>
        <v>3 1-500</v>
      </c>
      <c r="P4090" s="2" t="n">
        <f aca="false">Lookups!$B$2*M4090+Lookups!$B$3*L4090</f>
        <v>0</v>
      </c>
      <c r="Q4090" s="2" t="str">
        <f aca="false">INDEX(Lookups!$E$2:$E$5,MATCH(P4090,Lookups!$D$2:$D$5,0))</f>
        <v>Low</v>
      </c>
    </row>
    <row r="4091" customFormat="false" ht="15" hidden="false" customHeight="false" outlineLevel="0" collapsed="false">
      <c r="A4091" s="3" t="n">
        <v>4090</v>
      </c>
      <c r="B4091" s="3" t="n">
        <f aca="false">Raw_Data!A4091</f>
        <v>32</v>
      </c>
      <c r="C4091" s="3" t="str">
        <f aca="false">SUBSTITUTE(Raw_Data!B4091,".","")</f>
        <v>blue-collar</v>
      </c>
      <c r="D4091" s="3" t="str">
        <f aca="false">Raw_Data!C4091</f>
        <v>married</v>
      </c>
      <c r="E4091" s="3" t="str">
        <f aca="false">Raw_Data!D4091</f>
        <v>secondary</v>
      </c>
      <c r="F4091" s="3" t="str">
        <f aca="false">Raw_Data!E4091</f>
        <v>yes</v>
      </c>
      <c r="G4091" s="3" t="n">
        <f aca="false">Raw_Data!F4091</f>
        <v>-53</v>
      </c>
      <c r="H4091" s="3" t="str">
        <f aca="false">Raw_Data!G4091</f>
        <v>yes</v>
      </c>
      <c r="I4091" s="3" t="str">
        <f aca="false">Raw_Data!H4091</f>
        <v>no</v>
      </c>
      <c r="J4091" s="2" t="n">
        <f aca="false">IF(F4091="yes",1,0)</f>
        <v>1</v>
      </c>
      <c r="K4091" s="2" t="n">
        <f aca="false">IF(H4091="yes",1,0)</f>
        <v>1</v>
      </c>
      <c r="L4091" s="2" t="n">
        <f aca="false">IF(I4091="yes",1,0)</f>
        <v>0</v>
      </c>
      <c r="M4091" s="2" t="n">
        <f aca="false">IF(G4091&lt;0,1,0)</f>
        <v>1</v>
      </c>
      <c r="N4091" s="2" t="str">
        <f aca="false">_xlfn.IFS(B4091&lt;30,"Under 30",B4091&lt;40,"30-39",B4091&lt;50,"40-49",B4091&lt;60,"50-59",TRUE(),"60+")</f>
        <v>30-39</v>
      </c>
      <c r="O4091" s="2" t="str">
        <f aca="false">_xlfn.IFS(G4091&lt;0,"1 Negative",G4091=0,"2 Zero",G4091&lt;=500,"3 1-500",G4091&lt;=2000,"4 501-2000",TRUE(),"5 Above 2000")</f>
        <v>1 Negative</v>
      </c>
      <c r="P4091" s="2" t="n">
        <f aca="false">Lookups!$B$2*M4091+Lookups!$B$3*L4091</f>
        <v>2</v>
      </c>
      <c r="Q4091" s="2" t="str">
        <f aca="false">INDEX(Lookups!$E$2:$E$5,MATCH(P4091,Lookups!$D$2:$D$5,0))</f>
        <v>High</v>
      </c>
    </row>
    <row r="4092" customFormat="false" ht="15" hidden="false" customHeight="false" outlineLevel="0" collapsed="false">
      <c r="A4092" s="3" t="n">
        <v>4091</v>
      </c>
      <c r="B4092" s="3" t="n">
        <f aca="false">Raw_Data!A4092</f>
        <v>30</v>
      </c>
      <c r="C4092" s="3" t="str">
        <f aca="false">SUBSTITUTE(Raw_Data!B4092,".","")</f>
        <v>management</v>
      </c>
      <c r="D4092" s="3" t="str">
        <f aca="false">Raw_Data!C4092</f>
        <v>married</v>
      </c>
      <c r="E4092" s="3" t="str">
        <f aca="false">Raw_Data!D4092</f>
        <v>tertiary</v>
      </c>
      <c r="F4092" s="3" t="str">
        <f aca="false">Raw_Data!E4092</f>
        <v>no</v>
      </c>
      <c r="G4092" s="3" t="n">
        <f aca="false">Raw_Data!F4092</f>
        <v>944</v>
      </c>
      <c r="H4092" s="3" t="str">
        <f aca="false">Raw_Data!G4092</f>
        <v>no</v>
      </c>
      <c r="I4092" s="3" t="str">
        <f aca="false">Raw_Data!H4092</f>
        <v>no</v>
      </c>
      <c r="J4092" s="2" t="n">
        <f aca="false">IF(F4092="yes",1,0)</f>
        <v>0</v>
      </c>
      <c r="K4092" s="2" t="n">
        <f aca="false">IF(H4092="yes",1,0)</f>
        <v>0</v>
      </c>
      <c r="L4092" s="2" t="n">
        <f aca="false">IF(I4092="yes",1,0)</f>
        <v>0</v>
      </c>
      <c r="M4092" s="2" t="n">
        <f aca="false">IF(G4092&lt;0,1,0)</f>
        <v>0</v>
      </c>
      <c r="N4092" s="2" t="str">
        <f aca="false">_xlfn.IFS(B4092&lt;30,"Under 30",B4092&lt;40,"30-39",B4092&lt;50,"40-49",B4092&lt;60,"50-59",TRUE(),"60+")</f>
        <v>30-39</v>
      </c>
      <c r="O4092" s="2" t="str">
        <f aca="false">_xlfn.IFS(G4092&lt;0,"1 Negative",G4092=0,"2 Zero",G4092&lt;=500,"3 1-500",G4092&lt;=2000,"4 501-2000",TRUE(),"5 Above 2000")</f>
        <v>4 501-2000</v>
      </c>
      <c r="P4092" s="2" t="n">
        <f aca="false">Lookups!$B$2*M4092+Lookups!$B$3*L4092</f>
        <v>0</v>
      </c>
      <c r="Q4092" s="2" t="str">
        <f aca="false">INDEX(Lookups!$E$2:$E$5,MATCH(P4092,Lookups!$D$2:$D$5,0))</f>
        <v>Low</v>
      </c>
    </row>
    <row r="4093" customFormat="false" ht="15" hidden="false" customHeight="false" outlineLevel="0" collapsed="false">
      <c r="A4093" s="3" t="n">
        <v>4092</v>
      </c>
      <c r="B4093" s="3" t="n">
        <f aca="false">Raw_Data!A4093</f>
        <v>36</v>
      </c>
      <c r="C4093" s="3" t="str">
        <f aca="false">SUBSTITUTE(Raw_Data!B4093,".","")</f>
        <v>technician</v>
      </c>
      <c r="D4093" s="3" t="str">
        <f aca="false">Raw_Data!C4093</f>
        <v>married</v>
      </c>
      <c r="E4093" s="3" t="str">
        <f aca="false">Raw_Data!D4093</f>
        <v>secondary</v>
      </c>
      <c r="F4093" s="3" t="str">
        <f aca="false">Raw_Data!E4093</f>
        <v>no</v>
      </c>
      <c r="G4093" s="3" t="n">
        <f aca="false">Raw_Data!F4093</f>
        <v>2394</v>
      </c>
      <c r="H4093" s="3" t="str">
        <f aca="false">Raw_Data!G4093</f>
        <v>no</v>
      </c>
      <c r="I4093" s="3" t="str">
        <f aca="false">Raw_Data!H4093</f>
        <v>no</v>
      </c>
      <c r="J4093" s="2" t="n">
        <f aca="false">IF(F4093="yes",1,0)</f>
        <v>0</v>
      </c>
      <c r="K4093" s="2" t="n">
        <f aca="false">IF(H4093="yes",1,0)</f>
        <v>0</v>
      </c>
      <c r="L4093" s="2" t="n">
        <f aca="false">IF(I4093="yes",1,0)</f>
        <v>0</v>
      </c>
      <c r="M4093" s="2" t="n">
        <f aca="false">IF(G4093&lt;0,1,0)</f>
        <v>0</v>
      </c>
      <c r="N4093" s="2" t="str">
        <f aca="false">_xlfn.IFS(B4093&lt;30,"Under 30",B4093&lt;40,"30-39",B4093&lt;50,"40-49",B4093&lt;60,"50-59",TRUE(),"60+")</f>
        <v>30-39</v>
      </c>
      <c r="O4093" s="2" t="str">
        <f aca="false">_xlfn.IFS(G4093&lt;0,"1 Negative",G4093=0,"2 Zero",G4093&lt;=500,"3 1-500",G4093&lt;=2000,"4 501-2000",TRUE(),"5 Above 2000")</f>
        <v>5 Above 2000</v>
      </c>
      <c r="P4093" s="2" t="n">
        <f aca="false">Lookups!$B$2*M4093+Lookups!$B$3*L4093</f>
        <v>0</v>
      </c>
      <c r="Q4093" s="2" t="str">
        <f aca="false">INDEX(Lookups!$E$2:$E$5,MATCH(P4093,Lookups!$D$2:$D$5,0))</f>
        <v>Low</v>
      </c>
    </row>
    <row r="4094" customFormat="false" ht="15" hidden="false" customHeight="false" outlineLevel="0" collapsed="false">
      <c r="A4094" s="3" t="n">
        <v>4093</v>
      </c>
      <c r="B4094" s="3" t="n">
        <f aca="false">Raw_Data!A4094</f>
        <v>43</v>
      </c>
      <c r="C4094" s="3" t="str">
        <f aca="false">SUBSTITUTE(Raw_Data!B4094,".","")</f>
        <v>technician</v>
      </c>
      <c r="D4094" s="3" t="str">
        <f aca="false">Raw_Data!C4094</f>
        <v>married</v>
      </c>
      <c r="E4094" s="3" t="str">
        <f aca="false">Raw_Data!D4094</f>
        <v>secondary</v>
      </c>
      <c r="F4094" s="3" t="str">
        <f aca="false">Raw_Data!E4094</f>
        <v>no</v>
      </c>
      <c r="G4094" s="3" t="n">
        <f aca="false">Raw_Data!F4094</f>
        <v>297</v>
      </c>
      <c r="H4094" s="3" t="str">
        <f aca="false">Raw_Data!G4094</f>
        <v>yes</v>
      </c>
      <c r="I4094" s="3" t="str">
        <f aca="false">Raw_Data!H4094</f>
        <v>no</v>
      </c>
      <c r="J4094" s="2" t="n">
        <f aca="false">IF(F4094="yes",1,0)</f>
        <v>0</v>
      </c>
      <c r="K4094" s="2" t="n">
        <f aca="false">IF(H4094="yes",1,0)</f>
        <v>1</v>
      </c>
      <c r="L4094" s="2" t="n">
        <f aca="false">IF(I4094="yes",1,0)</f>
        <v>0</v>
      </c>
      <c r="M4094" s="2" t="n">
        <f aca="false">IF(G4094&lt;0,1,0)</f>
        <v>0</v>
      </c>
      <c r="N4094" s="2" t="str">
        <f aca="false">_xlfn.IFS(B4094&lt;30,"Under 30",B4094&lt;40,"30-39",B4094&lt;50,"40-49",B4094&lt;60,"50-59",TRUE(),"60+")</f>
        <v>40-49</v>
      </c>
      <c r="O4094" s="2" t="str">
        <f aca="false">_xlfn.IFS(G4094&lt;0,"1 Negative",G4094=0,"2 Zero",G4094&lt;=500,"3 1-500",G4094&lt;=2000,"4 501-2000",TRUE(),"5 Above 2000")</f>
        <v>3 1-500</v>
      </c>
      <c r="P4094" s="2" t="n">
        <f aca="false">Lookups!$B$2*M4094+Lookups!$B$3*L4094</f>
        <v>0</v>
      </c>
      <c r="Q4094" s="2" t="str">
        <f aca="false">INDEX(Lookups!$E$2:$E$5,MATCH(P4094,Lookups!$D$2:$D$5,0))</f>
        <v>Low</v>
      </c>
    </row>
    <row r="4095" customFormat="false" ht="15" hidden="false" customHeight="false" outlineLevel="0" collapsed="false">
      <c r="A4095" s="3" t="n">
        <v>4094</v>
      </c>
      <c r="B4095" s="3" t="n">
        <f aca="false">Raw_Data!A4095</f>
        <v>69</v>
      </c>
      <c r="C4095" s="3" t="str">
        <f aca="false">SUBSTITUTE(Raw_Data!B4095,".","")</f>
        <v>retired</v>
      </c>
      <c r="D4095" s="3" t="str">
        <f aca="false">Raw_Data!C4095</f>
        <v>single</v>
      </c>
      <c r="E4095" s="3" t="str">
        <f aca="false">Raw_Data!D4095</f>
        <v>tertiary</v>
      </c>
      <c r="F4095" s="3" t="str">
        <f aca="false">Raw_Data!E4095</f>
        <v>no</v>
      </c>
      <c r="G4095" s="3" t="n">
        <f aca="false">Raw_Data!F4095</f>
        <v>2144</v>
      </c>
      <c r="H4095" s="3" t="str">
        <f aca="false">Raw_Data!G4095</f>
        <v>no</v>
      </c>
      <c r="I4095" s="3" t="str">
        <f aca="false">Raw_Data!H4095</f>
        <v>no</v>
      </c>
      <c r="J4095" s="2" t="n">
        <f aca="false">IF(F4095="yes",1,0)</f>
        <v>0</v>
      </c>
      <c r="K4095" s="2" t="n">
        <f aca="false">IF(H4095="yes",1,0)</f>
        <v>0</v>
      </c>
      <c r="L4095" s="2" t="n">
        <f aca="false">IF(I4095="yes",1,0)</f>
        <v>0</v>
      </c>
      <c r="M4095" s="2" t="n">
        <f aca="false">IF(G4095&lt;0,1,0)</f>
        <v>0</v>
      </c>
      <c r="N4095" s="2" t="str">
        <f aca="false">_xlfn.IFS(B4095&lt;30,"Under 30",B4095&lt;40,"30-39",B4095&lt;50,"40-49",B4095&lt;60,"50-59",TRUE(),"60+")</f>
        <v>60+</v>
      </c>
      <c r="O4095" s="2" t="str">
        <f aca="false">_xlfn.IFS(G4095&lt;0,"1 Negative",G4095=0,"2 Zero",G4095&lt;=500,"3 1-500",G4095&lt;=2000,"4 501-2000",TRUE(),"5 Above 2000")</f>
        <v>5 Above 2000</v>
      </c>
      <c r="P4095" s="2" t="n">
        <f aca="false">Lookups!$B$2*M4095+Lookups!$B$3*L4095</f>
        <v>0</v>
      </c>
      <c r="Q4095" s="2" t="str">
        <f aca="false">INDEX(Lookups!$E$2:$E$5,MATCH(P4095,Lookups!$D$2:$D$5,0))</f>
        <v>Low</v>
      </c>
    </row>
    <row r="4096" customFormat="false" ht="15" hidden="false" customHeight="false" outlineLevel="0" collapsed="false">
      <c r="A4096" s="3" t="n">
        <v>4095</v>
      </c>
      <c r="B4096" s="3" t="n">
        <f aca="false">Raw_Data!A4096</f>
        <v>31</v>
      </c>
      <c r="C4096" s="3" t="str">
        <f aca="false">SUBSTITUTE(Raw_Data!B4096,".","")</f>
        <v>technician</v>
      </c>
      <c r="D4096" s="3" t="str">
        <f aca="false">Raw_Data!C4096</f>
        <v>single</v>
      </c>
      <c r="E4096" s="3" t="str">
        <f aca="false">Raw_Data!D4096</f>
        <v>tertiary</v>
      </c>
      <c r="F4096" s="3" t="str">
        <f aca="false">Raw_Data!E4096</f>
        <v>no</v>
      </c>
      <c r="G4096" s="3" t="n">
        <f aca="false">Raw_Data!F4096</f>
        <v>969</v>
      </c>
      <c r="H4096" s="3" t="str">
        <f aca="false">Raw_Data!G4096</f>
        <v>no</v>
      </c>
      <c r="I4096" s="3" t="str">
        <f aca="false">Raw_Data!H4096</f>
        <v>no</v>
      </c>
      <c r="J4096" s="2" t="n">
        <f aca="false">IF(F4096="yes",1,0)</f>
        <v>0</v>
      </c>
      <c r="K4096" s="2" t="n">
        <f aca="false">IF(H4096="yes",1,0)</f>
        <v>0</v>
      </c>
      <c r="L4096" s="2" t="n">
        <f aca="false">IF(I4096="yes",1,0)</f>
        <v>0</v>
      </c>
      <c r="M4096" s="2" t="n">
        <f aca="false">IF(G4096&lt;0,1,0)</f>
        <v>0</v>
      </c>
      <c r="N4096" s="2" t="str">
        <f aca="false">_xlfn.IFS(B4096&lt;30,"Under 30",B4096&lt;40,"30-39",B4096&lt;50,"40-49",B4096&lt;60,"50-59",TRUE(),"60+")</f>
        <v>30-39</v>
      </c>
      <c r="O4096" s="2" t="str">
        <f aca="false">_xlfn.IFS(G4096&lt;0,"1 Negative",G4096=0,"2 Zero",G4096&lt;=500,"3 1-500",G4096&lt;=2000,"4 501-2000",TRUE(),"5 Above 2000")</f>
        <v>4 501-2000</v>
      </c>
      <c r="P4096" s="2" t="n">
        <f aca="false">Lookups!$B$2*M4096+Lookups!$B$3*L4096</f>
        <v>0</v>
      </c>
      <c r="Q4096" s="2" t="str">
        <f aca="false">INDEX(Lookups!$E$2:$E$5,MATCH(P4096,Lookups!$D$2:$D$5,0))</f>
        <v>Low</v>
      </c>
    </row>
    <row r="4097" customFormat="false" ht="15" hidden="false" customHeight="false" outlineLevel="0" collapsed="false">
      <c r="A4097" s="3" t="n">
        <v>4096</v>
      </c>
      <c r="B4097" s="3" t="n">
        <f aca="false">Raw_Data!A4097</f>
        <v>35</v>
      </c>
      <c r="C4097" s="3" t="str">
        <f aca="false">SUBSTITUTE(Raw_Data!B4097,".","")</f>
        <v>technician</v>
      </c>
      <c r="D4097" s="3" t="str">
        <f aca="false">Raw_Data!C4097</f>
        <v>married</v>
      </c>
      <c r="E4097" s="3" t="str">
        <f aca="false">Raw_Data!D4097</f>
        <v>secondary</v>
      </c>
      <c r="F4097" s="3" t="str">
        <f aca="false">Raw_Data!E4097</f>
        <v>no</v>
      </c>
      <c r="G4097" s="3" t="n">
        <f aca="false">Raw_Data!F4097</f>
        <v>0</v>
      </c>
      <c r="H4097" s="3" t="str">
        <f aca="false">Raw_Data!G4097</f>
        <v>no</v>
      </c>
      <c r="I4097" s="3" t="str">
        <f aca="false">Raw_Data!H4097</f>
        <v>no</v>
      </c>
      <c r="J4097" s="2" t="n">
        <f aca="false">IF(F4097="yes",1,0)</f>
        <v>0</v>
      </c>
      <c r="K4097" s="2" t="n">
        <f aca="false">IF(H4097="yes",1,0)</f>
        <v>0</v>
      </c>
      <c r="L4097" s="2" t="n">
        <f aca="false">IF(I4097="yes",1,0)</f>
        <v>0</v>
      </c>
      <c r="M4097" s="2" t="n">
        <f aca="false">IF(G4097&lt;0,1,0)</f>
        <v>0</v>
      </c>
      <c r="N4097" s="2" t="str">
        <f aca="false">_xlfn.IFS(B4097&lt;30,"Under 30",B4097&lt;40,"30-39",B4097&lt;50,"40-49",B4097&lt;60,"50-59",TRUE(),"60+")</f>
        <v>30-39</v>
      </c>
      <c r="O4097" s="2" t="str">
        <f aca="false">_xlfn.IFS(G4097&lt;0,"1 Negative",G4097=0,"2 Zero",G4097&lt;=500,"3 1-500",G4097&lt;=2000,"4 501-2000",TRUE(),"5 Above 2000")</f>
        <v>2 Zero</v>
      </c>
      <c r="P4097" s="2" t="n">
        <f aca="false">Lookups!$B$2*M4097+Lookups!$B$3*L4097</f>
        <v>0</v>
      </c>
      <c r="Q4097" s="2" t="str">
        <f aca="false">INDEX(Lookups!$E$2:$E$5,MATCH(P4097,Lookups!$D$2:$D$5,0))</f>
        <v>Low</v>
      </c>
    </row>
    <row r="4098" customFormat="false" ht="15" hidden="false" customHeight="false" outlineLevel="0" collapsed="false">
      <c r="A4098" s="3" t="n">
        <v>4097</v>
      </c>
      <c r="B4098" s="3" t="n">
        <f aca="false">Raw_Data!A4098</f>
        <v>26</v>
      </c>
      <c r="C4098" s="3" t="str">
        <f aca="false">SUBSTITUTE(Raw_Data!B4098,".","")</f>
        <v>entrepreneur</v>
      </c>
      <c r="D4098" s="3" t="str">
        <f aca="false">Raw_Data!C4098</f>
        <v>married</v>
      </c>
      <c r="E4098" s="3" t="str">
        <f aca="false">Raw_Data!D4098</f>
        <v>tertiary</v>
      </c>
      <c r="F4098" s="3" t="str">
        <f aca="false">Raw_Data!E4098</f>
        <v>no</v>
      </c>
      <c r="G4098" s="3" t="n">
        <f aca="false">Raw_Data!F4098</f>
        <v>37</v>
      </c>
      <c r="H4098" s="3" t="str">
        <f aca="false">Raw_Data!G4098</f>
        <v>yes</v>
      </c>
      <c r="I4098" s="3" t="str">
        <f aca="false">Raw_Data!H4098</f>
        <v>yes</v>
      </c>
      <c r="J4098" s="2" t="n">
        <f aca="false">IF(F4098="yes",1,0)</f>
        <v>0</v>
      </c>
      <c r="K4098" s="2" t="n">
        <f aca="false">IF(H4098="yes",1,0)</f>
        <v>1</v>
      </c>
      <c r="L4098" s="2" t="n">
        <f aca="false">IF(I4098="yes",1,0)</f>
        <v>1</v>
      </c>
      <c r="M4098" s="2" t="n">
        <f aca="false">IF(G4098&lt;0,1,0)</f>
        <v>0</v>
      </c>
      <c r="N4098" s="2" t="str">
        <f aca="false">_xlfn.IFS(B4098&lt;30,"Under 30",B4098&lt;40,"30-39",B4098&lt;50,"40-49",B4098&lt;60,"50-59",TRUE(),"60+")</f>
        <v>Under 30</v>
      </c>
      <c r="O4098" s="2" t="str">
        <f aca="false">_xlfn.IFS(G4098&lt;0,"1 Negative",G4098=0,"2 Zero",G4098&lt;=500,"3 1-500",G4098&lt;=2000,"4 501-2000",TRUE(),"5 Above 2000")</f>
        <v>3 1-500</v>
      </c>
      <c r="P4098" s="2" t="n">
        <f aca="false">Lookups!$B$2*M4098+Lookups!$B$3*L4098</f>
        <v>1</v>
      </c>
      <c r="Q4098" s="2" t="str">
        <f aca="false">INDEX(Lookups!$E$2:$E$5,MATCH(P4098,Lookups!$D$2:$D$5,0))</f>
        <v>Medium</v>
      </c>
    </row>
    <row r="4099" customFormat="false" ht="15" hidden="false" customHeight="false" outlineLevel="0" collapsed="false">
      <c r="A4099" s="3" t="n">
        <v>4098</v>
      </c>
      <c r="B4099" s="3" t="n">
        <f aca="false">Raw_Data!A4099</f>
        <v>46</v>
      </c>
      <c r="C4099" s="3" t="str">
        <f aca="false">SUBSTITUTE(Raw_Data!B4099,".","")</f>
        <v>technician</v>
      </c>
      <c r="D4099" s="3" t="str">
        <f aca="false">Raw_Data!C4099</f>
        <v>married</v>
      </c>
      <c r="E4099" s="3" t="str">
        <f aca="false">Raw_Data!D4099</f>
        <v>secondary</v>
      </c>
      <c r="F4099" s="3" t="str">
        <f aca="false">Raw_Data!E4099</f>
        <v>no</v>
      </c>
      <c r="G4099" s="3" t="n">
        <f aca="false">Raw_Data!F4099</f>
        <v>410</v>
      </c>
      <c r="H4099" s="3" t="str">
        <f aca="false">Raw_Data!G4099</f>
        <v>no</v>
      </c>
      <c r="I4099" s="3" t="str">
        <f aca="false">Raw_Data!H4099</f>
        <v>yes</v>
      </c>
      <c r="J4099" s="2" t="n">
        <f aca="false">IF(F4099="yes",1,0)</f>
        <v>0</v>
      </c>
      <c r="K4099" s="2" t="n">
        <f aca="false">IF(H4099="yes",1,0)</f>
        <v>0</v>
      </c>
      <c r="L4099" s="2" t="n">
        <f aca="false">IF(I4099="yes",1,0)</f>
        <v>1</v>
      </c>
      <c r="M4099" s="2" t="n">
        <f aca="false">IF(G4099&lt;0,1,0)</f>
        <v>0</v>
      </c>
      <c r="N4099" s="2" t="str">
        <f aca="false">_xlfn.IFS(B4099&lt;30,"Under 30",B4099&lt;40,"30-39",B4099&lt;50,"40-49",B4099&lt;60,"50-59",TRUE(),"60+")</f>
        <v>40-49</v>
      </c>
      <c r="O4099" s="2" t="str">
        <f aca="false">_xlfn.IFS(G4099&lt;0,"1 Negative",G4099=0,"2 Zero",G4099&lt;=500,"3 1-500",G4099&lt;=2000,"4 501-2000",TRUE(),"5 Above 2000")</f>
        <v>3 1-500</v>
      </c>
      <c r="P4099" s="2" t="n">
        <f aca="false">Lookups!$B$2*M4099+Lookups!$B$3*L4099</f>
        <v>1</v>
      </c>
      <c r="Q4099" s="2" t="str">
        <f aca="false">INDEX(Lookups!$E$2:$E$5,MATCH(P4099,Lookups!$D$2:$D$5,0))</f>
        <v>Medium</v>
      </c>
    </row>
    <row r="4100" customFormat="false" ht="15" hidden="false" customHeight="false" outlineLevel="0" collapsed="false">
      <c r="A4100" s="3" t="n">
        <v>4099</v>
      </c>
      <c r="B4100" s="3" t="n">
        <f aca="false">Raw_Data!A4100</f>
        <v>30</v>
      </c>
      <c r="C4100" s="3" t="str">
        <f aca="false">SUBSTITUTE(Raw_Data!B4100,".","")</f>
        <v>technician</v>
      </c>
      <c r="D4100" s="3" t="str">
        <f aca="false">Raw_Data!C4100</f>
        <v>married</v>
      </c>
      <c r="E4100" s="3" t="str">
        <f aca="false">Raw_Data!D4100</f>
        <v>secondary</v>
      </c>
      <c r="F4100" s="3" t="str">
        <f aca="false">Raw_Data!E4100</f>
        <v>no</v>
      </c>
      <c r="G4100" s="3" t="n">
        <f aca="false">Raw_Data!F4100</f>
        <v>1211</v>
      </c>
      <c r="H4100" s="3" t="str">
        <f aca="false">Raw_Data!G4100</f>
        <v>yes</v>
      </c>
      <c r="I4100" s="3" t="str">
        <f aca="false">Raw_Data!H4100</f>
        <v>no</v>
      </c>
      <c r="J4100" s="2" t="n">
        <f aca="false">IF(F4100="yes",1,0)</f>
        <v>0</v>
      </c>
      <c r="K4100" s="2" t="n">
        <f aca="false">IF(H4100="yes",1,0)</f>
        <v>1</v>
      </c>
      <c r="L4100" s="2" t="n">
        <f aca="false">IF(I4100="yes",1,0)</f>
        <v>0</v>
      </c>
      <c r="M4100" s="2" t="n">
        <f aca="false">IF(G4100&lt;0,1,0)</f>
        <v>0</v>
      </c>
      <c r="N4100" s="2" t="str">
        <f aca="false">_xlfn.IFS(B4100&lt;30,"Under 30",B4100&lt;40,"30-39",B4100&lt;50,"40-49",B4100&lt;60,"50-59",TRUE(),"60+")</f>
        <v>30-39</v>
      </c>
      <c r="O4100" s="2" t="str">
        <f aca="false">_xlfn.IFS(G4100&lt;0,"1 Negative",G4100=0,"2 Zero",G4100&lt;=500,"3 1-500",G4100&lt;=2000,"4 501-2000",TRUE(),"5 Above 2000")</f>
        <v>4 501-2000</v>
      </c>
      <c r="P4100" s="2" t="n">
        <f aca="false">Lookups!$B$2*M4100+Lookups!$B$3*L4100</f>
        <v>0</v>
      </c>
      <c r="Q4100" s="2" t="str">
        <f aca="false">INDEX(Lookups!$E$2:$E$5,MATCH(P4100,Lookups!$D$2:$D$5,0))</f>
        <v>Low</v>
      </c>
    </row>
    <row r="4101" customFormat="false" ht="15" hidden="false" customHeight="false" outlineLevel="0" collapsed="false">
      <c r="A4101" s="3" t="n">
        <v>4100</v>
      </c>
      <c r="B4101" s="3" t="n">
        <f aca="false">Raw_Data!A4101</f>
        <v>33</v>
      </c>
      <c r="C4101" s="3" t="str">
        <f aca="false">SUBSTITUTE(Raw_Data!B4101,".","")</f>
        <v>management</v>
      </c>
      <c r="D4101" s="3" t="str">
        <f aca="false">Raw_Data!C4101</f>
        <v>single</v>
      </c>
      <c r="E4101" s="3" t="str">
        <f aca="false">Raw_Data!D4101</f>
        <v>tertiary</v>
      </c>
      <c r="F4101" s="3" t="str">
        <f aca="false">Raw_Data!E4101</f>
        <v>no</v>
      </c>
      <c r="G4101" s="3" t="n">
        <f aca="false">Raw_Data!F4101</f>
        <v>71</v>
      </c>
      <c r="H4101" s="3" t="str">
        <f aca="false">Raw_Data!G4101</f>
        <v>no</v>
      </c>
      <c r="I4101" s="3" t="str">
        <f aca="false">Raw_Data!H4101</f>
        <v>no</v>
      </c>
      <c r="J4101" s="2" t="n">
        <f aca="false">IF(F4101="yes",1,0)</f>
        <v>0</v>
      </c>
      <c r="K4101" s="2" t="n">
        <f aca="false">IF(H4101="yes",1,0)</f>
        <v>0</v>
      </c>
      <c r="L4101" s="2" t="n">
        <f aca="false">IF(I4101="yes",1,0)</f>
        <v>0</v>
      </c>
      <c r="M4101" s="2" t="n">
        <f aca="false">IF(G4101&lt;0,1,0)</f>
        <v>0</v>
      </c>
      <c r="N4101" s="2" t="str">
        <f aca="false">_xlfn.IFS(B4101&lt;30,"Under 30",B4101&lt;40,"30-39",B4101&lt;50,"40-49",B4101&lt;60,"50-59",TRUE(),"60+")</f>
        <v>30-39</v>
      </c>
      <c r="O4101" s="2" t="str">
        <f aca="false">_xlfn.IFS(G4101&lt;0,"1 Negative",G4101=0,"2 Zero",G4101&lt;=500,"3 1-500",G4101&lt;=2000,"4 501-2000",TRUE(),"5 Above 2000")</f>
        <v>3 1-500</v>
      </c>
      <c r="P4101" s="2" t="n">
        <f aca="false">Lookups!$B$2*M4101+Lookups!$B$3*L4101</f>
        <v>0</v>
      </c>
      <c r="Q4101" s="2" t="str">
        <f aca="false">INDEX(Lookups!$E$2:$E$5,MATCH(P4101,Lookups!$D$2:$D$5,0))</f>
        <v>Low</v>
      </c>
    </row>
    <row r="4102" customFormat="false" ht="15" hidden="false" customHeight="false" outlineLevel="0" collapsed="false">
      <c r="A4102" s="3" t="n">
        <v>4101</v>
      </c>
      <c r="B4102" s="3" t="n">
        <f aca="false">Raw_Data!A4102</f>
        <v>34</v>
      </c>
      <c r="C4102" s="3" t="str">
        <f aca="false">SUBSTITUTE(Raw_Data!B4102,".","")</f>
        <v>management</v>
      </c>
      <c r="D4102" s="3" t="str">
        <f aca="false">Raw_Data!C4102</f>
        <v>married</v>
      </c>
      <c r="E4102" s="3" t="str">
        <f aca="false">Raw_Data!D4102</f>
        <v>tertiary</v>
      </c>
      <c r="F4102" s="3" t="str">
        <f aca="false">Raw_Data!E4102</f>
        <v>no</v>
      </c>
      <c r="G4102" s="3" t="n">
        <f aca="false">Raw_Data!F4102</f>
        <v>436</v>
      </c>
      <c r="H4102" s="3" t="str">
        <f aca="false">Raw_Data!G4102</f>
        <v>yes</v>
      </c>
      <c r="I4102" s="3" t="str">
        <f aca="false">Raw_Data!H4102</f>
        <v>no</v>
      </c>
      <c r="J4102" s="2" t="n">
        <f aca="false">IF(F4102="yes",1,0)</f>
        <v>0</v>
      </c>
      <c r="K4102" s="2" t="n">
        <f aca="false">IF(H4102="yes",1,0)</f>
        <v>1</v>
      </c>
      <c r="L4102" s="2" t="n">
        <f aca="false">IF(I4102="yes",1,0)</f>
        <v>0</v>
      </c>
      <c r="M4102" s="2" t="n">
        <f aca="false">IF(G4102&lt;0,1,0)</f>
        <v>0</v>
      </c>
      <c r="N4102" s="2" t="str">
        <f aca="false">_xlfn.IFS(B4102&lt;30,"Under 30",B4102&lt;40,"30-39",B4102&lt;50,"40-49",B4102&lt;60,"50-59",TRUE(),"60+")</f>
        <v>30-39</v>
      </c>
      <c r="O4102" s="2" t="str">
        <f aca="false">_xlfn.IFS(G4102&lt;0,"1 Negative",G4102=0,"2 Zero",G4102&lt;=500,"3 1-500",G4102&lt;=2000,"4 501-2000",TRUE(),"5 Above 2000")</f>
        <v>3 1-500</v>
      </c>
      <c r="P4102" s="2" t="n">
        <f aca="false">Lookups!$B$2*M4102+Lookups!$B$3*L4102</f>
        <v>0</v>
      </c>
      <c r="Q4102" s="2" t="str">
        <f aca="false">INDEX(Lookups!$E$2:$E$5,MATCH(P4102,Lookups!$D$2:$D$5,0))</f>
        <v>Low</v>
      </c>
    </row>
    <row r="4103" customFormat="false" ht="15" hidden="false" customHeight="false" outlineLevel="0" collapsed="false">
      <c r="A4103" s="3" t="n">
        <v>4102</v>
      </c>
      <c r="B4103" s="3" t="n">
        <f aca="false">Raw_Data!A4103</f>
        <v>48</v>
      </c>
      <c r="C4103" s="3" t="str">
        <f aca="false">SUBSTITUTE(Raw_Data!B4103,".","")</f>
        <v>blue-collar</v>
      </c>
      <c r="D4103" s="3" t="str">
        <f aca="false">Raw_Data!C4103</f>
        <v>married</v>
      </c>
      <c r="E4103" s="3" t="str">
        <f aca="false">Raw_Data!D4103</f>
        <v>primary</v>
      </c>
      <c r="F4103" s="3" t="str">
        <f aca="false">Raw_Data!E4103</f>
        <v>no</v>
      </c>
      <c r="G4103" s="3" t="n">
        <f aca="false">Raw_Data!F4103</f>
        <v>559</v>
      </c>
      <c r="H4103" s="3" t="str">
        <f aca="false">Raw_Data!G4103</f>
        <v>yes</v>
      </c>
      <c r="I4103" s="3" t="str">
        <f aca="false">Raw_Data!H4103</f>
        <v>no</v>
      </c>
      <c r="J4103" s="2" t="n">
        <f aca="false">IF(F4103="yes",1,0)</f>
        <v>0</v>
      </c>
      <c r="K4103" s="2" t="n">
        <f aca="false">IF(H4103="yes",1,0)</f>
        <v>1</v>
      </c>
      <c r="L4103" s="2" t="n">
        <f aca="false">IF(I4103="yes",1,0)</f>
        <v>0</v>
      </c>
      <c r="M4103" s="2" t="n">
        <f aca="false">IF(G4103&lt;0,1,0)</f>
        <v>0</v>
      </c>
      <c r="N4103" s="2" t="str">
        <f aca="false">_xlfn.IFS(B4103&lt;30,"Under 30",B4103&lt;40,"30-39",B4103&lt;50,"40-49",B4103&lt;60,"50-59",TRUE(),"60+")</f>
        <v>40-49</v>
      </c>
      <c r="O4103" s="2" t="str">
        <f aca="false">_xlfn.IFS(G4103&lt;0,"1 Negative",G4103=0,"2 Zero",G4103&lt;=500,"3 1-500",G4103&lt;=2000,"4 501-2000",TRUE(),"5 Above 2000")</f>
        <v>4 501-2000</v>
      </c>
      <c r="P4103" s="2" t="n">
        <f aca="false">Lookups!$B$2*M4103+Lookups!$B$3*L4103</f>
        <v>0</v>
      </c>
      <c r="Q4103" s="2" t="str">
        <f aca="false">INDEX(Lookups!$E$2:$E$5,MATCH(P4103,Lookups!$D$2:$D$5,0))</f>
        <v>Low</v>
      </c>
    </row>
    <row r="4104" customFormat="false" ht="15" hidden="false" customHeight="false" outlineLevel="0" collapsed="false">
      <c r="A4104" s="3" t="n">
        <v>4103</v>
      </c>
      <c r="B4104" s="3" t="n">
        <f aca="false">Raw_Data!A4104</f>
        <v>31</v>
      </c>
      <c r="C4104" s="3" t="str">
        <f aca="false">SUBSTITUTE(Raw_Data!B4104,".","")</f>
        <v>management</v>
      </c>
      <c r="D4104" s="3" t="str">
        <f aca="false">Raw_Data!C4104</f>
        <v>married</v>
      </c>
      <c r="E4104" s="3" t="str">
        <f aca="false">Raw_Data!D4104</f>
        <v>tertiary</v>
      </c>
      <c r="F4104" s="3" t="str">
        <f aca="false">Raw_Data!E4104</f>
        <v>no</v>
      </c>
      <c r="G4104" s="3" t="n">
        <f aca="false">Raw_Data!F4104</f>
        <v>1170</v>
      </c>
      <c r="H4104" s="3" t="str">
        <f aca="false">Raw_Data!G4104</f>
        <v>no</v>
      </c>
      <c r="I4104" s="3" t="str">
        <f aca="false">Raw_Data!H4104</f>
        <v>no</v>
      </c>
      <c r="J4104" s="2" t="n">
        <f aca="false">IF(F4104="yes",1,0)</f>
        <v>0</v>
      </c>
      <c r="K4104" s="2" t="n">
        <f aca="false">IF(H4104="yes",1,0)</f>
        <v>0</v>
      </c>
      <c r="L4104" s="2" t="n">
        <f aca="false">IF(I4104="yes",1,0)</f>
        <v>0</v>
      </c>
      <c r="M4104" s="2" t="n">
        <f aca="false">IF(G4104&lt;0,1,0)</f>
        <v>0</v>
      </c>
      <c r="N4104" s="2" t="str">
        <f aca="false">_xlfn.IFS(B4104&lt;30,"Under 30",B4104&lt;40,"30-39",B4104&lt;50,"40-49",B4104&lt;60,"50-59",TRUE(),"60+")</f>
        <v>30-39</v>
      </c>
      <c r="O4104" s="2" t="str">
        <f aca="false">_xlfn.IFS(G4104&lt;0,"1 Negative",G4104=0,"2 Zero",G4104&lt;=500,"3 1-500",G4104&lt;=2000,"4 501-2000",TRUE(),"5 Above 2000")</f>
        <v>4 501-2000</v>
      </c>
      <c r="P4104" s="2" t="n">
        <f aca="false">Lookups!$B$2*M4104+Lookups!$B$3*L4104</f>
        <v>0</v>
      </c>
      <c r="Q4104" s="2" t="str">
        <f aca="false">INDEX(Lookups!$E$2:$E$5,MATCH(P4104,Lookups!$D$2:$D$5,0))</f>
        <v>Low</v>
      </c>
    </row>
    <row r="4105" customFormat="false" ht="15" hidden="false" customHeight="false" outlineLevel="0" collapsed="false">
      <c r="A4105" s="3" t="n">
        <v>4104</v>
      </c>
      <c r="B4105" s="3" t="n">
        <f aca="false">Raw_Data!A4105</f>
        <v>46</v>
      </c>
      <c r="C4105" s="3" t="str">
        <f aca="false">SUBSTITUTE(Raw_Data!B4105,".","")</f>
        <v>management</v>
      </c>
      <c r="D4105" s="3" t="str">
        <f aca="false">Raw_Data!C4105</f>
        <v>divorced</v>
      </c>
      <c r="E4105" s="3" t="str">
        <f aca="false">Raw_Data!D4105</f>
        <v>tertiary</v>
      </c>
      <c r="F4105" s="3" t="str">
        <f aca="false">Raw_Data!E4105</f>
        <v>no</v>
      </c>
      <c r="G4105" s="3" t="n">
        <f aca="false">Raw_Data!F4105</f>
        <v>25</v>
      </c>
      <c r="H4105" s="3" t="str">
        <f aca="false">Raw_Data!G4105</f>
        <v>no</v>
      </c>
      <c r="I4105" s="3" t="str">
        <f aca="false">Raw_Data!H4105</f>
        <v>no</v>
      </c>
      <c r="J4105" s="2" t="n">
        <f aca="false">IF(F4105="yes",1,0)</f>
        <v>0</v>
      </c>
      <c r="K4105" s="2" t="n">
        <f aca="false">IF(H4105="yes",1,0)</f>
        <v>0</v>
      </c>
      <c r="L4105" s="2" t="n">
        <f aca="false">IF(I4105="yes",1,0)</f>
        <v>0</v>
      </c>
      <c r="M4105" s="2" t="n">
        <f aca="false">IF(G4105&lt;0,1,0)</f>
        <v>0</v>
      </c>
      <c r="N4105" s="2" t="str">
        <f aca="false">_xlfn.IFS(B4105&lt;30,"Under 30",B4105&lt;40,"30-39",B4105&lt;50,"40-49",B4105&lt;60,"50-59",TRUE(),"60+")</f>
        <v>40-49</v>
      </c>
      <c r="O4105" s="2" t="str">
        <f aca="false">_xlfn.IFS(G4105&lt;0,"1 Negative",G4105=0,"2 Zero",G4105&lt;=500,"3 1-500",G4105&lt;=2000,"4 501-2000",TRUE(),"5 Above 2000")</f>
        <v>3 1-500</v>
      </c>
      <c r="P4105" s="2" t="n">
        <f aca="false">Lookups!$B$2*M4105+Lookups!$B$3*L4105</f>
        <v>0</v>
      </c>
      <c r="Q4105" s="2" t="str">
        <f aca="false">INDEX(Lookups!$E$2:$E$5,MATCH(P4105,Lookups!$D$2:$D$5,0))</f>
        <v>Low</v>
      </c>
    </row>
    <row r="4106" customFormat="false" ht="15" hidden="false" customHeight="false" outlineLevel="0" collapsed="false">
      <c r="A4106" s="3" t="n">
        <v>4105</v>
      </c>
      <c r="B4106" s="3" t="n">
        <f aca="false">Raw_Data!A4106</f>
        <v>40</v>
      </c>
      <c r="C4106" s="3" t="str">
        <f aca="false">SUBSTITUTE(Raw_Data!B4106,".","")</f>
        <v>services</v>
      </c>
      <c r="D4106" s="3" t="str">
        <f aca="false">Raw_Data!C4106</f>
        <v>married</v>
      </c>
      <c r="E4106" s="3" t="str">
        <f aca="false">Raw_Data!D4106</f>
        <v>secondary</v>
      </c>
      <c r="F4106" s="3" t="str">
        <f aca="false">Raw_Data!E4106</f>
        <v>no</v>
      </c>
      <c r="G4106" s="3" t="n">
        <f aca="false">Raw_Data!F4106</f>
        <v>1325</v>
      </c>
      <c r="H4106" s="3" t="str">
        <f aca="false">Raw_Data!G4106</f>
        <v>no</v>
      </c>
      <c r="I4106" s="3" t="str">
        <f aca="false">Raw_Data!H4106</f>
        <v>no</v>
      </c>
      <c r="J4106" s="2" t="n">
        <f aca="false">IF(F4106="yes",1,0)</f>
        <v>0</v>
      </c>
      <c r="K4106" s="2" t="n">
        <f aca="false">IF(H4106="yes",1,0)</f>
        <v>0</v>
      </c>
      <c r="L4106" s="2" t="n">
        <f aca="false">IF(I4106="yes",1,0)</f>
        <v>0</v>
      </c>
      <c r="M4106" s="2" t="n">
        <f aca="false">IF(G4106&lt;0,1,0)</f>
        <v>0</v>
      </c>
      <c r="N4106" s="2" t="str">
        <f aca="false">_xlfn.IFS(B4106&lt;30,"Under 30",B4106&lt;40,"30-39",B4106&lt;50,"40-49",B4106&lt;60,"50-59",TRUE(),"60+")</f>
        <v>40-49</v>
      </c>
      <c r="O4106" s="2" t="str">
        <f aca="false">_xlfn.IFS(G4106&lt;0,"1 Negative",G4106=0,"2 Zero",G4106&lt;=500,"3 1-500",G4106&lt;=2000,"4 501-2000",TRUE(),"5 Above 2000")</f>
        <v>4 501-2000</v>
      </c>
      <c r="P4106" s="2" t="n">
        <f aca="false">Lookups!$B$2*M4106+Lookups!$B$3*L4106</f>
        <v>0</v>
      </c>
      <c r="Q4106" s="2" t="str">
        <f aca="false">INDEX(Lookups!$E$2:$E$5,MATCH(P4106,Lookups!$D$2:$D$5,0))</f>
        <v>Low</v>
      </c>
    </row>
    <row r="4107" customFormat="false" ht="15" hidden="false" customHeight="false" outlineLevel="0" collapsed="false">
      <c r="A4107" s="3" t="n">
        <v>4106</v>
      </c>
      <c r="B4107" s="3" t="n">
        <f aca="false">Raw_Data!A4107</f>
        <v>39</v>
      </c>
      <c r="C4107" s="3" t="str">
        <f aca="false">SUBSTITUTE(Raw_Data!B4107,".","")</f>
        <v>entrepreneur</v>
      </c>
      <c r="D4107" s="3" t="str">
        <f aca="false">Raw_Data!C4107</f>
        <v>married</v>
      </c>
      <c r="E4107" s="3" t="str">
        <f aca="false">Raw_Data!D4107</f>
        <v>secondary</v>
      </c>
      <c r="F4107" s="3" t="str">
        <f aca="false">Raw_Data!E4107</f>
        <v>no</v>
      </c>
      <c r="G4107" s="3" t="n">
        <f aca="false">Raw_Data!F4107</f>
        <v>0</v>
      </c>
      <c r="H4107" s="3" t="str">
        <f aca="false">Raw_Data!G4107</f>
        <v>no</v>
      </c>
      <c r="I4107" s="3" t="str">
        <f aca="false">Raw_Data!H4107</f>
        <v>no</v>
      </c>
      <c r="J4107" s="2" t="n">
        <f aca="false">IF(F4107="yes",1,0)</f>
        <v>0</v>
      </c>
      <c r="K4107" s="2" t="n">
        <f aca="false">IF(H4107="yes",1,0)</f>
        <v>0</v>
      </c>
      <c r="L4107" s="2" t="n">
        <f aca="false">IF(I4107="yes",1,0)</f>
        <v>0</v>
      </c>
      <c r="M4107" s="2" t="n">
        <f aca="false">IF(G4107&lt;0,1,0)</f>
        <v>0</v>
      </c>
      <c r="N4107" s="2" t="str">
        <f aca="false">_xlfn.IFS(B4107&lt;30,"Under 30",B4107&lt;40,"30-39",B4107&lt;50,"40-49",B4107&lt;60,"50-59",TRUE(),"60+")</f>
        <v>30-39</v>
      </c>
      <c r="O4107" s="2" t="str">
        <f aca="false">_xlfn.IFS(G4107&lt;0,"1 Negative",G4107=0,"2 Zero",G4107&lt;=500,"3 1-500",G4107&lt;=2000,"4 501-2000",TRUE(),"5 Above 2000")</f>
        <v>2 Zero</v>
      </c>
      <c r="P4107" s="2" t="n">
        <f aca="false">Lookups!$B$2*M4107+Lookups!$B$3*L4107</f>
        <v>0</v>
      </c>
      <c r="Q4107" s="2" t="str">
        <f aca="false">INDEX(Lookups!$E$2:$E$5,MATCH(P4107,Lookups!$D$2:$D$5,0))</f>
        <v>Low</v>
      </c>
    </row>
    <row r="4108" customFormat="false" ht="15" hidden="false" customHeight="false" outlineLevel="0" collapsed="false">
      <c r="A4108" s="3" t="n">
        <v>4107</v>
      </c>
      <c r="B4108" s="3" t="n">
        <f aca="false">Raw_Data!A4108</f>
        <v>33</v>
      </c>
      <c r="C4108" s="3" t="str">
        <f aca="false">SUBSTITUTE(Raw_Data!B4108,".","")</f>
        <v>technician</v>
      </c>
      <c r="D4108" s="3" t="str">
        <f aca="false">Raw_Data!C4108</f>
        <v>single</v>
      </c>
      <c r="E4108" s="3" t="str">
        <f aca="false">Raw_Data!D4108</f>
        <v>secondary</v>
      </c>
      <c r="F4108" s="3" t="str">
        <f aca="false">Raw_Data!E4108</f>
        <v>no</v>
      </c>
      <c r="G4108" s="3" t="n">
        <f aca="false">Raw_Data!F4108</f>
        <v>647</v>
      </c>
      <c r="H4108" s="3" t="str">
        <f aca="false">Raw_Data!G4108</f>
        <v>yes</v>
      </c>
      <c r="I4108" s="3" t="str">
        <f aca="false">Raw_Data!H4108</f>
        <v>yes</v>
      </c>
      <c r="J4108" s="2" t="n">
        <f aca="false">IF(F4108="yes",1,0)</f>
        <v>0</v>
      </c>
      <c r="K4108" s="2" t="n">
        <f aca="false">IF(H4108="yes",1,0)</f>
        <v>1</v>
      </c>
      <c r="L4108" s="2" t="n">
        <f aca="false">IF(I4108="yes",1,0)</f>
        <v>1</v>
      </c>
      <c r="M4108" s="2" t="n">
        <f aca="false">IF(G4108&lt;0,1,0)</f>
        <v>0</v>
      </c>
      <c r="N4108" s="2" t="str">
        <f aca="false">_xlfn.IFS(B4108&lt;30,"Under 30",B4108&lt;40,"30-39",B4108&lt;50,"40-49",B4108&lt;60,"50-59",TRUE(),"60+")</f>
        <v>30-39</v>
      </c>
      <c r="O4108" s="2" t="str">
        <f aca="false">_xlfn.IFS(G4108&lt;0,"1 Negative",G4108=0,"2 Zero",G4108&lt;=500,"3 1-500",G4108&lt;=2000,"4 501-2000",TRUE(),"5 Above 2000")</f>
        <v>4 501-2000</v>
      </c>
      <c r="P4108" s="2" t="n">
        <f aca="false">Lookups!$B$2*M4108+Lookups!$B$3*L4108</f>
        <v>1</v>
      </c>
      <c r="Q4108" s="2" t="str">
        <f aca="false">INDEX(Lookups!$E$2:$E$5,MATCH(P4108,Lookups!$D$2:$D$5,0))</f>
        <v>Medium</v>
      </c>
    </row>
    <row r="4109" customFormat="false" ht="15" hidden="false" customHeight="false" outlineLevel="0" collapsed="false">
      <c r="A4109" s="3" t="n">
        <v>4108</v>
      </c>
      <c r="B4109" s="3" t="n">
        <f aca="false">Raw_Data!A4109</f>
        <v>50</v>
      </c>
      <c r="C4109" s="3" t="str">
        <f aca="false">SUBSTITUTE(Raw_Data!B4109,".","")</f>
        <v>blue-collar</v>
      </c>
      <c r="D4109" s="3" t="str">
        <f aca="false">Raw_Data!C4109</f>
        <v>married</v>
      </c>
      <c r="E4109" s="3" t="str">
        <f aca="false">Raw_Data!D4109</f>
        <v>primary</v>
      </c>
      <c r="F4109" s="3" t="str">
        <f aca="false">Raw_Data!E4109</f>
        <v>no</v>
      </c>
      <c r="G4109" s="3" t="n">
        <f aca="false">Raw_Data!F4109</f>
        <v>2142</v>
      </c>
      <c r="H4109" s="3" t="str">
        <f aca="false">Raw_Data!G4109</f>
        <v>yes</v>
      </c>
      <c r="I4109" s="3" t="str">
        <f aca="false">Raw_Data!H4109</f>
        <v>no</v>
      </c>
      <c r="J4109" s="2" t="n">
        <f aca="false">IF(F4109="yes",1,0)</f>
        <v>0</v>
      </c>
      <c r="K4109" s="2" t="n">
        <f aca="false">IF(H4109="yes",1,0)</f>
        <v>1</v>
      </c>
      <c r="L4109" s="2" t="n">
        <f aca="false">IF(I4109="yes",1,0)</f>
        <v>0</v>
      </c>
      <c r="M4109" s="2" t="n">
        <f aca="false">IF(G4109&lt;0,1,0)</f>
        <v>0</v>
      </c>
      <c r="N4109" s="2" t="str">
        <f aca="false">_xlfn.IFS(B4109&lt;30,"Under 30",B4109&lt;40,"30-39",B4109&lt;50,"40-49",B4109&lt;60,"50-59",TRUE(),"60+")</f>
        <v>50-59</v>
      </c>
      <c r="O4109" s="2" t="str">
        <f aca="false">_xlfn.IFS(G4109&lt;0,"1 Negative",G4109=0,"2 Zero",G4109&lt;=500,"3 1-500",G4109&lt;=2000,"4 501-2000",TRUE(),"5 Above 2000")</f>
        <v>5 Above 2000</v>
      </c>
      <c r="P4109" s="2" t="n">
        <f aca="false">Lookups!$B$2*M4109+Lookups!$B$3*L4109</f>
        <v>0</v>
      </c>
      <c r="Q4109" s="2" t="str">
        <f aca="false">INDEX(Lookups!$E$2:$E$5,MATCH(P4109,Lookups!$D$2:$D$5,0))</f>
        <v>Low</v>
      </c>
    </row>
    <row r="4110" customFormat="false" ht="15" hidden="false" customHeight="false" outlineLevel="0" collapsed="false">
      <c r="A4110" s="3" t="n">
        <v>4109</v>
      </c>
      <c r="B4110" s="3" t="n">
        <f aca="false">Raw_Data!A4110</f>
        <v>84</v>
      </c>
      <c r="C4110" s="3" t="str">
        <f aca="false">SUBSTITUTE(Raw_Data!B4110,".","")</f>
        <v>retired</v>
      </c>
      <c r="D4110" s="3" t="str">
        <f aca="false">Raw_Data!C4110</f>
        <v>divorced</v>
      </c>
      <c r="E4110" s="3" t="str">
        <f aca="false">Raw_Data!D4110</f>
        <v>primary</v>
      </c>
      <c r="F4110" s="3" t="str">
        <f aca="false">Raw_Data!E4110</f>
        <v>no</v>
      </c>
      <c r="G4110" s="3" t="n">
        <f aca="false">Raw_Data!F4110</f>
        <v>639</v>
      </c>
      <c r="H4110" s="3" t="str">
        <f aca="false">Raw_Data!G4110</f>
        <v>no</v>
      </c>
      <c r="I4110" s="3" t="str">
        <f aca="false">Raw_Data!H4110</f>
        <v>no</v>
      </c>
      <c r="J4110" s="2" t="n">
        <f aca="false">IF(F4110="yes",1,0)</f>
        <v>0</v>
      </c>
      <c r="K4110" s="2" t="n">
        <f aca="false">IF(H4110="yes",1,0)</f>
        <v>0</v>
      </c>
      <c r="L4110" s="2" t="n">
        <f aca="false">IF(I4110="yes",1,0)</f>
        <v>0</v>
      </c>
      <c r="M4110" s="2" t="n">
        <f aca="false">IF(G4110&lt;0,1,0)</f>
        <v>0</v>
      </c>
      <c r="N4110" s="2" t="str">
        <f aca="false">_xlfn.IFS(B4110&lt;30,"Under 30",B4110&lt;40,"30-39",B4110&lt;50,"40-49",B4110&lt;60,"50-59",TRUE(),"60+")</f>
        <v>60+</v>
      </c>
      <c r="O4110" s="2" t="str">
        <f aca="false">_xlfn.IFS(G4110&lt;0,"1 Negative",G4110=0,"2 Zero",G4110&lt;=500,"3 1-500",G4110&lt;=2000,"4 501-2000",TRUE(),"5 Above 2000")</f>
        <v>4 501-2000</v>
      </c>
      <c r="P4110" s="2" t="n">
        <f aca="false">Lookups!$B$2*M4110+Lookups!$B$3*L4110</f>
        <v>0</v>
      </c>
      <c r="Q4110" s="2" t="str">
        <f aca="false">INDEX(Lookups!$E$2:$E$5,MATCH(P4110,Lookups!$D$2:$D$5,0))</f>
        <v>Low</v>
      </c>
    </row>
    <row r="4111" customFormat="false" ht="15" hidden="false" customHeight="false" outlineLevel="0" collapsed="false">
      <c r="A4111" s="3" t="n">
        <v>4110</v>
      </c>
      <c r="B4111" s="3" t="n">
        <f aca="false">Raw_Data!A4111</f>
        <v>40</v>
      </c>
      <c r="C4111" s="3" t="str">
        <f aca="false">SUBSTITUTE(Raw_Data!B4111,".","")</f>
        <v>blue-collar</v>
      </c>
      <c r="D4111" s="3" t="str">
        <f aca="false">Raw_Data!C4111</f>
        <v>married</v>
      </c>
      <c r="E4111" s="3" t="str">
        <f aca="false">Raw_Data!D4111</f>
        <v>primary</v>
      </c>
      <c r="F4111" s="3" t="str">
        <f aca="false">Raw_Data!E4111</f>
        <v>no</v>
      </c>
      <c r="G4111" s="3" t="n">
        <f aca="false">Raw_Data!F4111</f>
        <v>177</v>
      </c>
      <c r="H4111" s="3" t="str">
        <f aca="false">Raw_Data!G4111</f>
        <v>yes</v>
      </c>
      <c r="I4111" s="3" t="str">
        <f aca="false">Raw_Data!H4111</f>
        <v>yes</v>
      </c>
      <c r="J4111" s="2" t="n">
        <f aca="false">IF(F4111="yes",1,0)</f>
        <v>0</v>
      </c>
      <c r="K4111" s="2" t="n">
        <f aca="false">IF(H4111="yes",1,0)</f>
        <v>1</v>
      </c>
      <c r="L4111" s="2" t="n">
        <f aca="false">IF(I4111="yes",1,0)</f>
        <v>1</v>
      </c>
      <c r="M4111" s="2" t="n">
        <f aca="false">IF(G4111&lt;0,1,0)</f>
        <v>0</v>
      </c>
      <c r="N4111" s="2" t="str">
        <f aca="false">_xlfn.IFS(B4111&lt;30,"Under 30",B4111&lt;40,"30-39",B4111&lt;50,"40-49",B4111&lt;60,"50-59",TRUE(),"60+")</f>
        <v>40-49</v>
      </c>
      <c r="O4111" s="2" t="str">
        <f aca="false">_xlfn.IFS(G4111&lt;0,"1 Negative",G4111=0,"2 Zero",G4111&lt;=500,"3 1-500",G4111&lt;=2000,"4 501-2000",TRUE(),"5 Above 2000")</f>
        <v>3 1-500</v>
      </c>
      <c r="P4111" s="2" t="n">
        <f aca="false">Lookups!$B$2*M4111+Lookups!$B$3*L4111</f>
        <v>1</v>
      </c>
      <c r="Q4111" s="2" t="str">
        <f aca="false">INDEX(Lookups!$E$2:$E$5,MATCH(P4111,Lookups!$D$2:$D$5,0))</f>
        <v>Medium</v>
      </c>
    </row>
    <row r="4112" customFormat="false" ht="15" hidden="false" customHeight="false" outlineLevel="0" collapsed="false">
      <c r="A4112" s="3" t="n">
        <v>4111</v>
      </c>
      <c r="B4112" s="3" t="n">
        <f aca="false">Raw_Data!A4112</f>
        <v>55</v>
      </c>
      <c r="C4112" s="3" t="str">
        <f aca="false">SUBSTITUTE(Raw_Data!B4112,".","")</f>
        <v>management</v>
      </c>
      <c r="D4112" s="3" t="str">
        <f aca="false">Raw_Data!C4112</f>
        <v>married</v>
      </c>
      <c r="E4112" s="3" t="str">
        <f aca="false">Raw_Data!D4112</f>
        <v>tertiary</v>
      </c>
      <c r="F4112" s="3" t="str">
        <f aca="false">Raw_Data!E4112</f>
        <v>no</v>
      </c>
      <c r="G4112" s="3" t="n">
        <f aca="false">Raw_Data!F4112</f>
        <v>236</v>
      </c>
      <c r="H4112" s="3" t="str">
        <f aca="false">Raw_Data!G4112</f>
        <v>no</v>
      </c>
      <c r="I4112" s="3" t="str">
        <f aca="false">Raw_Data!H4112</f>
        <v>no</v>
      </c>
      <c r="J4112" s="2" t="n">
        <f aca="false">IF(F4112="yes",1,0)</f>
        <v>0</v>
      </c>
      <c r="K4112" s="2" t="n">
        <f aca="false">IF(H4112="yes",1,0)</f>
        <v>0</v>
      </c>
      <c r="L4112" s="2" t="n">
        <f aca="false">IF(I4112="yes",1,0)</f>
        <v>0</v>
      </c>
      <c r="M4112" s="2" t="n">
        <f aca="false">IF(G4112&lt;0,1,0)</f>
        <v>0</v>
      </c>
      <c r="N4112" s="2" t="str">
        <f aca="false">_xlfn.IFS(B4112&lt;30,"Under 30",B4112&lt;40,"30-39",B4112&lt;50,"40-49",B4112&lt;60,"50-59",TRUE(),"60+")</f>
        <v>50-59</v>
      </c>
      <c r="O4112" s="2" t="str">
        <f aca="false">_xlfn.IFS(G4112&lt;0,"1 Negative",G4112=0,"2 Zero",G4112&lt;=500,"3 1-500",G4112&lt;=2000,"4 501-2000",TRUE(),"5 Above 2000")</f>
        <v>3 1-500</v>
      </c>
      <c r="P4112" s="2" t="n">
        <f aca="false">Lookups!$B$2*M4112+Lookups!$B$3*L4112</f>
        <v>0</v>
      </c>
      <c r="Q4112" s="2" t="str">
        <f aca="false">INDEX(Lookups!$E$2:$E$5,MATCH(P4112,Lookups!$D$2:$D$5,0))</f>
        <v>Low</v>
      </c>
    </row>
    <row r="4113" customFormat="false" ht="15" hidden="false" customHeight="false" outlineLevel="0" collapsed="false">
      <c r="A4113" s="3" t="n">
        <v>4112</v>
      </c>
      <c r="B4113" s="3" t="n">
        <f aca="false">Raw_Data!A4113</f>
        <v>40</v>
      </c>
      <c r="C4113" s="3" t="str">
        <f aca="false">SUBSTITUTE(Raw_Data!B4113,".","")</f>
        <v>services</v>
      </c>
      <c r="D4113" s="3" t="str">
        <f aca="false">Raw_Data!C4113</f>
        <v>divorced</v>
      </c>
      <c r="E4113" s="3" t="str">
        <f aca="false">Raw_Data!D4113</f>
        <v>secondary</v>
      </c>
      <c r="F4113" s="3" t="str">
        <f aca="false">Raw_Data!E4113</f>
        <v>no</v>
      </c>
      <c r="G4113" s="3" t="n">
        <f aca="false">Raw_Data!F4113</f>
        <v>1959</v>
      </c>
      <c r="H4113" s="3" t="str">
        <f aca="false">Raw_Data!G4113</f>
        <v>yes</v>
      </c>
      <c r="I4113" s="3" t="str">
        <f aca="false">Raw_Data!H4113</f>
        <v>no</v>
      </c>
      <c r="J4113" s="2" t="n">
        <f aca="false">IF(F4113="yes",1,0)</f>
        <v>0</v>
      </c>
      <c r="K4113" s="2" t="n">
        <f aca="false">IF(H4113="yes",1,0)</f>
        <v>1</v>
      </c>
      <c r="L4113" s="2" t="n">
        <f aca="false">IF(I4113="yes",1,0)</f>
        <v>0</v>
      </c>
      <c r="M4113" s="2" t="n">
        <f aca="false">IF(G4113&lt;0,1,0)</f>
        <v>0</v>
      </c>
      <c r="N4113" s="2" t="str">
        <f aca="false">_xlfn.IFS(B4113&lt;30,"Under 30",B4113&lt;40,"30-39",B4113&lt;50,"40-49",B4113&lt;60,"50-59",TRUE(),"60+")</f>
        <v>40-49</v>
      </c>
      <c r="O4113" s="2" t="str">
        <f aca="false">_xlfn.IFS(G4113&lt;0,"1 Negative",G4113=0,"2 Zero",G4113&lt;=500,"3 1-500",G4113&lt;=2000,"4 501-2000",TRUE(),"5 Above 2000")</f>
        <v>4 501-2000</v>
      </c>
      <c r="P4113" s="2" t="n">
        <f aca="false">Lookups!$B$2*M4113+Lookups!$B$3*L4113</f>
        <v>0</v>
      </c>
      <c r="Q4113" s="2" t="str">
        <f aca="false">INDEX(Lookups!$E$2:$E$5,MATCH(P4113,Lookups!$D$2:$D$5,0))</f>
        <v>Low</v>
      </c>
    </row>
    <row r="4114" customFormat="false" ht="15" hidden="false" customHeight="false" outlineLevel="0" collapsed="false">
      <c r="A4114" s="3" t="n">
        <v>4113</v>
      </c>
      <c r="B4114" s="3" t="n">
        <f aca="false">Raw_Data!A4114</f>
        <v>46</v>
      </c>
      <c r="C4114" s="3" t="str">
        <f aca="false">SUBSTITUTE(Raw_Data!B4114,".","")</f>
        <v>admin</v>
      </c>
      <c r="D4114" s="3" t="str">
        <f aca="false">Raw_Data!C4114</f>
        <v>married</v>
      </c>
      <c r="E4114" s="3" t="str">
        <f aca="false">Raw_Data!D4114</f>
        <v>primary</v>
      </c>
      <c r="F4114" s="3" t="str">
        <f aca="false">Raw_Data!E4114</f>
        <v>no</v>
      </c>
      <c r="G4114" s="3" t="n">
        <f aca="false">Raw_Data!F4114</f>
        <v>96</v>
      </c>
      <c r="H4114" s="3" t="str">
        <f aca="false">Raw_Data!G4114</f>
        <v>no</v>
      </c>
      <c r="I4114" s="3" t="str">
        <f aca="false">Raw_Data!H4114</f>
        <v>no</v>
      </c>
      <c r="J4114" s="2" t="n">
        <f aca="false">IF(F4114="yes",1,0)</f>
        <v>0</v>
      </c>
      <c r="K4114" s="2" t="n">
        <f aca="false">IF(H4114="yes",1,0)</f>
        <v>0</v>
      </c>
      <c r="L4114" s="2" t="n">
        <f aca="false">IF(I4114="yes",1,0)</f>
        <v>0</v>
      </c>
      <c r="M4114" s="2" t="n">
        <f aca="false">IF(G4114&lt;0,1,0)</f>
        <v>0</v>
      </c>
      <c r="N4114" s="2" t="str">
        <f aca="false">_xlfn.IFS(B4114&lt;30,"Under 30",B4114&lt;40,"30-39",B4114&lt;50,"40-49",B4114&lt;60,"50-59",TRUE(),"60+")</f>
        <v>40-49</v>
      </c>
      <c r="O4114" s="2" t="str">
        <f aca="false">_xlfn.IFS(G4114&lt;0,"1 Negative",G4114=0,"2 Zero",G4114&lt;=500,"3 1-500",G4114&lt;=2000,"4 501-2000",TRUE(),"5 Above 2000")</f>
        <v>3 1-500</v>
      </c>
      <c r="P4114" s="2" t="n">
        <f aca="false">Lookups!$B$2*M4114+Lookups!$B$3*L4114</f>
        <v>0</v>
      </c>
      <c r="Q4114" s="2" t="str">
        <f aca="false">INDEX(Lookups!$E$2:$E$5,MATCH(P4114,Lookups!$D$2:$D$5,0))</f>
        <v>Low</v>
      </c>
    </row>
    <row r="4115" customFormat="false" ht="15" hidden="false" customHeight="false" outlineLevel="0" collapsed="false">
      <c r="A4115" s="3" t="n">
        <v>4114</v>
      </c>
      <c r="B4115" s="3" t="n">
        <f aca="false">Raw_Data!A4115</f>
        <v>43</v>
      </c>
      <c r="C4115" s="3" t="str">
        <f aca="false">SUBSTITUTE(Raw_Data!B4115,".","")</f>
        <v>self-employed</v>
      </c>
      <c r="D4115" s="3" t="str">
        <f aca="false">Raw_Data!C4115</f>
        <v>single</v>
      </c>
      <c r="E4115" s="3" t="str">
        <f aca="false">Raw_Data!D4115</f>
        <v>tertiary</v>
      </c>
      <c r="F4115" s="3" t="str">
        <f aca="false">Raw_Data!E4115</f>
        <v>no</v>
      </c>
      <c r="G4115" s="3" t="n">
        <f aca="false">Raw_Data!F4115</f>
        <v>0</v>
      </c>
      <c r="H4115" s="3" t="str">
        <f aca="false">Raw_Data!G4115</f>
        <v>no</v>
      </c>
      <c r="I4115" s="3" t="str">
        <f aca="false">Raw_Data!H4115</f>
        <v>no</v>
      </c>
      <c r="J4115" s="2" t="n">
        <f aca="false">IF(F4115="yes",1,0)</f>
        <v>0</v>
      </c>
      <c r="K4115" s="2" t="n">
        <f aca="false">IF(H4115="yes",1,0)</f>
        <v>0</v>
      </c>
      <c r="L4115" s="2" t="n">
        <f aca="false">IF(I4115="yes",1,0)</f>
        <v>0</v>
      </c>
      <c r="M4115" s="2" t="n">
        <f aca="false">IF(G4115&lt;0,1,0)</f>
        <v>0</v>
      </c>
      <c r="N4115" s="2" t="str">
        <f aca="false">_xlfn.IFS(B4115&lt;30,"Under 30",B4115&lt;40,"30-39",B4115&lt;50,"40-49",B4115&lt;60,"50-59",TRUE(),"60+")</f>
        <v>40-49</v>
      </c>
      <c r="O4115" s="2" t="str">
        <f aca="false">_xlfn.IFS(G4115&lt;0,"1 Negative",G4115=0,"2 Zero",G4115&lt;=500,"3 1-500",G4115&lt;=2000,"4 501-2000",TRUE(),"5 Above 2000")</f>
        <v>2 Zero</v>
      </c>
      <c r="P4115" s="2" t="n">
        <f aca="false">Lookups!$B$2*M4115+Lookups!$B$3*L4115</f>
        <v>0</v>
      </c>
      <c r="Q4115" s="2" t="str">
        <f aca="false">INDEX(Lookups!$E$2:$E$5,MATCH(P4115,Lookups!$D$2:$D$5,0))</f>
        <v>Low</v>
      </c>
    </row>
    <row r="4116" customFormat="false" ht="15" hidden="false" customHeight="false" outlineLevel="0" collapsed="false">
      <c r="A4116" s="3" t="n">
        <v>4115</v>
      </c>
      <c r="B4116" s="3" t="n">
        <f aca="false">Raw_Data!A4116</f>
        <v>34</v>
      </c>
      <c r="C4116" s="3" t="str">
        <f aca="false">SUBSTITUTE(Raw_Data!B4116,".","")</f>
        <v>blue-collar</v>
      </c>
      <c r="D4116" s="3" t="str">
        <f aca="false">Raw_Data!C4116</f>
        <v>married</v>
      </c>
      <c r="E4116" s="3" t="str">
        <f aca="false">Raw_Data!D4116</f>
        <v>secondary</v>
      </c>
      <c r="F4116" s="3" t="str">
        <f aca="false">Raw_Data!E4116</f>
        <v>no</v>
      </c>
      <c r="G4116" s="3" t="n">
        <f aca="false">Raw_Data!F4116</f>
        <v>250</v>
      </c>
      <c r="H4116" s="3" t="str">
        <f aca="false">Raw_Data!G4116</f>
        <v>yes</v>
      </c>
      <c r="I4116" s="3" t="str">
        <f aca="false">Raw_Data!H4116</f>
        <v>no</v>
      </c>
      <c r="J4116" s="2" t="n">
        <f aca="false">IF(F4116="yes",1,0)</f>
        <v>0</v>
      </c>
      <c r="K4116" s="2" t="n">
        <f aca="false">IF(H4116="yes",1,0)</f>
        <v>1</v>
      </c>
      <c r="L4116" s="2" t="n">
        <f aca="false">IF(I4116="yes",1,0)</f>
        <v>0</v>
      </c>
      <c r="M4116" s="2" t="n">
        <f aca="false">IF(G4116&lt;0,1,0)</f>
        <v>0</v>
      </c>
      <c r="N4116" s="2" t="str">
        <f aca="false">_xlfn.IFS(B4116&lt;30,"Under 30",B4116&lt;40,"30-39",B4116&lt;50,"40-49",B4116&lt;60,"50-59",TRUE(),"60+")</f>
        <v>30-39</v>
      </c>
      <c r="O4116" s="2" t="str">
        <f aca="false">_xlfn.IFS(G4116&lt;0,"1 Negative",G4116=0,"2 Zero",G4116&lt;=500,"3 1-500",G4116&lt;=2000,"4 501-2000",TRUE(),"5 Above 2000")</f>
        <v>3 1-500</v>
      </c>
      <c r="P4116" s="2" t="n">
        <f aca="false">Lookups!$B$2*M4116+Lookups!$B$3*L4116</f>
        <v>0</v>
      </c>
      <c r="Q4116" s="2" t="str">
        <f aca="false">INDEX(Lookups!$E$2:$E$5,MATCH(P4116,Lookups!$D$2:$D$5,0))</f>
        <v>Low</v>
      </c>
    </row>
    <row r="4117" customFormat="false" ht="15" hidden="false" customHeight="false" outlineLevel="0" collapsed="false">
      <c r="A4117" s="3" t="n">
        <v>4116</v>
      </c>
      <c r="B4117" s="3" t="n">
        <f aca="false">Raw_Data!A4117</f>
        <v>35</v>
      </c>
      <c r="C4117" s="3" t="str">
        <f aca="false">SUBSTITUTE(Raw_Data!B4117,".","")</f>
        <v>technician</v>
      </c>
      <c r="D4117" s="3" t="str">
        <f aca="false">Raw_Data!C4117</f>
        <v>single</v>
      </c>
      <c r="E4117" s="3" t="str">
        <f aca="false">Raw_Data!D4117</f>
        <v>secondary</v>
      </c>
      <c r="F4117" s="3" t="str">
        <f aca="false">Raw_Data!E4117</f>
        <v>no</v>
      </c>
      <c r="G4117" s="3" t="n">
        <f aca="false">Raw_Data!F4117</f>
        <v>126</v>
      </c>
      <c r="H4117" s="3" t="str">
        <f aca="false">Raw_Data!G4117</f>
        <v>no</v>
      </c>
      <c r="I4117" s="3" t="str">
        <f aca="false">Raw_Data!H4117</f>
        <v>no</v>
      </c>
      <c r="J4117" s="2" t="n">
        <f aca="false">IF(F4117="yes",1,0)</f>
        <v>0</v>
      </c>
      <c r="K4117" s="2" t="n">
        <f aca="false">IF(H4117="yes",1,0)</f>
        <v>0</v>
      </c>
      <c r="L4117" s="2" t="n">
        <f aca="false">IF(I4117="yes",1,0)</f>
        <v>0</v>
      </c>
      <c r="M4117" s="2" t="n">
        <f aca="false">IF(G4117&lt;0,1,0)</f>
        <v>0</v>
      </c>
      <c r="N4117" s="2" t="str">
        <f aca="false">_xlfn.IFS(B4117&lt;30,"Under 30",B4117&lt;40,"30-39",B4117&lt;50,"40-49",B4117&lt;60,"50-59",TRUE(),"60+")</f>
        <v>30-39</v>
      </c>
      <c r="O4117" s="2" t="str">
        <f aca="false">_xlfn.IFS(G4117&lt;0,"1 Negative",G4117=0,"2 Zero",G4117&lt;=500,"3 1-500",G4117&lt;=2000,"4 501-2000",TRUE(),"5 Above 2000")</f>
        <v>3 1-500</v>
      </c>
      <c r="P4117" s="2" t="n">
        <f aca="false">Lookups!$B$2*M4117+Lookups!$B$3*L4117</f>
        <v>0</v>
      </c>
      <c r="Q4117" s="2" t="str">
        <f aca="false">INDEX(Lookups!$E$2:$E$5,MATCH(P4117,Lookups!$D$2:$D$5,0))</f>
        <v>Low</v>
      </c>
    </row>
    <row r="4118" customFormat="false" ht="15" hidden="false" customHeight="false" outlineLevel="0" collapsed="false">
      <c r="A4118" s="3" t="n">
        <v>4117</v>
      </c>
      <c r="B4118" s="3" t="n">
        <f aca="false">Raw_Data!A4118</f>
        <v>57</v>
      </c>
      <c r="C4118" s="3" t="str">
        <f aca="false">SUBSTITUTE(Raw_Data!B4118,".","")</f>
        <v>retired</v>
      </c>
      <c r="D4118" s="3" t="str">
        <f aca="false">Raw_Data!C4118</f>
        <v>married</v>
      </c>
      <c r="E4118" s="3" t="str">
        <f aca="false">Raw_Data!D4118</f>
        <v>unknown</v>
      </c>
      <c r="F4118" s="3" t="str">
        <f aca="false">Raw_Data!E4118</f>
        <v>no</v>
      </c>
      <c r="G4118" s="3" t="n">
        <f aca="false">Raw_Data!F4118</f>
        <v>1621</v>
      </c>
      <c r="H4118" s="3" t="str">
        <f aca="false">Raw_Data!G4118</f>
        <v>yes</v>
      </c>
      <c r="I4118" s="3" t="str">
        <f aca="false">Raw_Data!H4118</f>
        <v>no</v>
      </c>
      <c r="J4118" s="2" t="n">
        <f aca="false">IF(F4118="yes",1,0)</f>
        <v>0</v>
      </c>
      <c r="K4118" s="2" t="n">
        <f aca="false">IF(H4118="yes",1,0)</f>
        <v>1</v>
      </c>
      <c r="L4118" s="2" t="n">
        <f aca="false">IF(I4118="yes",1,0)</f>
        <v>0</v>
      </c>
      <c r="M4118" s="2" t="n">
        <f aca="false">IF(G4118&lt;0,1,0)</f>
        <v>0</v>
      </c>
      <c r="N4118" s="2" t="str">
        <f aca="false">_xlfn.IFS(B4118&lt;30,"Under 30",B4118&lt;40,"30-39",B4118&lt;50,"40-49",B4118&lt;60,"50-59",TRUE(),"60+")</f>
        <v>50-59</v>
      </c>
      <c r="O4118" s="2" t="str">
        <f aca="false">_xlfn.IFS(G4118&lt;0,"1 Negative",G4118=0,"2 Zero",G4118&lt;=500,"3 1-500",G4118&lt;=2000,"4 501-2000",TRUE(),"5 Above 2000")</f>
        <v>4 501-2000</v>
      </c>
      <c r="P4118" s="2" t="n">
        <f aca="false">Lookups!$B$2*M4118+Lookups!$B$3*L4118</f>
        <v>0</v>
      </c>
      <c r="Q4118" s="2" t="str">
        <f aca="false">INDEX(Lookups!$E$2:$E$5,MATCH(P4118,Lookups!$D$2:$D$5,0))</f>
        <v>Low</v>
      </c>
    </row>
    <row r="4119" customFormat="false" ht="15" hidden="false" customHeight="false" outlineLevel="0" collapsed="false">
      <c r="A4119" s="3" t="n">
        <v>4118</v>
      </c>
      <c r="B4119" s="3" t="n">
        <f aca="false">Raw_Data!A4119</f>
        <v>25</v>
      </c>
      <c r="C4119" s="3" t="str">
        <f aca="false">SUBSTITUTE(Raw_Data!B4119,".","")</f>
        <v>student</v>
      </c>
      <c r="D4119" s="3" t="str">
        <f aca="false">Raw_Data!C4119</f>
        <v>single</v>
      </c>
      <c r="E4119" s="3" t="str">
        <f aca="false">Raw_Data!D4119</f>
        <v>secondary</v>
      </c>
      <c r="F4119" s="3" t="str">
        <f aca="false">Raw_Data!E4119</f>
        <v>no</v>
      </c>
      <c r="G4119" s="3" t="n">
        <f aca="false">Raw_Data!F4119</f>
        <v>8</v>
      </c>
      <c r="H4119" s="3" t="str">
        <f aca="false">Raw_Data!G4119</f>
        <v>no</v>
      </c>
      <c r="I4119" s="3" t="str">
        <f aca="false">Raw_Data!H4119</f>
        <v>no</v>
      </c>
      <c r="J4119" s="2" t="n">
        <f aca="false">IF(F4119="yes",1,0)</f>
        <v>0</v>
      </c>
      <c r="K4119" s="2" t="n">
        <f aca="false">IF(H4119="yes",1,0)</f>
        <v>0</v>
      </c>
      <c r="L4119" s="2" t="n">
        <f aca="false">IF(I4119="yes",1,0)</f>
        <v>0</v>
      </c>
      <c r="M4119" s="2" t="n">
        <f aca="false">IF(G4119&lt;0,1,0)</f>
        <v>0</v>
      </c>
      <c r="N4119" s="2" t="str">
        <f aca="false">_xlfn.IFS(B4119&lt;30,"Under 30",B4119&lt;40,"30-39",B4119&lt;50,"40-49",B4119&lt;60,"50-59",TRUE(),"60+")</f>
        <v>Under 30</v>
      </c>
      <c r="O4119" s="2" t="str">
        <f aca="false">_xlfn.IFS(G4119&lt;0,"1 Negative",G4119=0,"2 Zero",G4119&lt;=500,"3 1-500",G4119&lt;=2000,"4 501-2000",TRUE(),"5 Above 2000")</f>
        <v>3 1-500</v>
      </c>
      <c r="P4119" s="2" t="n">
        <f aca="false">Lookups!$B$2*M4119+Lookups!$B$3*L4119</f>
        <v>0</v>
      </c>
      <c r="Q4119" s="2" t="str">
        <f aca="false">INDEX(Lookups!$E$2:$E$5,MATCH(P4119,Lookups!$D$2:$D$5,0))</f>
        <v>Low</v>
      </c>
    </row>
    <row r="4120" customFormat="false" ht="15" hidden="false" customHeight="false" outlineLevel="0" collapsed="false">
      <c r="A4120" s="3" t="n">
        <v>4119</v>
      </c>
      <c r="B4120" s="3" t="n">
        <f aca="false">Raw_Data!A4120</f>
        <v>32</v>
      </c>
      <c r="C4120" s="3" t="str">
        <f aca="false">SUBSTITUTE(Raw_Data!B4120,".","")</f>
        <v>self-employed</v>
      </c>
      <c r="D4120" s="3" t="str">
        <f aca="false">Raw_Data!C4120</f>
        <v>married</v>
      </c>
      <c r="E4120" s="3" t="str">
        <f aca="false">Raw_Data!D4120</f>
        <v>tertiary</v>
      </c>
      <c r="F4120" s="3" t="str">
        <f aca="false">Raw_Data!E4120</f>
        <v>no</v>
      </c>
      <c r="G4120" s="3" t="n">
        <f aca="false">Raw_Data!F4120</f>
        <v>189</v>
      </c>
      <c r="H4120" s="3" t="str">
        <f aca="false">Raw_Data!G4120</f>
        <v>yes</v>
      </c>
      <c r="I4120" s="3" t="str">
        <f aca="false">Raw_Data!H4120</f>
        <v>no</v>
      </c>
      <c r="J4120" s="2" t="n">
        <f aca="false">IF(F4120="yes",1,0)</f>
        <v>0</v>
      </c>
      <c r="K4120" s="2" t="n">
        <f aca="false">IF(H4120="yes",1,0)</f>
        <v>1</v>
      </c>
      <c r="L4120" s="2" t="n">
        <f aca="false">IF(I4120="yes",1,0)</f>
        <v>0</v>
      </c>
      <c r="M4120" s="2" t="n">
        <f aca="false">IF(G4120&lt;0,1,0)</f>
        <v>0</v>
      </c>
      <c r="N4120" s="2" t="str">
        <f aca="false">_xlfn.IFS(B4120&lt;30,"Under 30",B4120&lt;40,"30-39",B4120&lt;50,"40-49",B4120&lt;60,"50-59",TRUE(),"60+")</f>
        <v>30-39</v>
      </c>
      <c r="O4120" s="2" t="str">
        <f aca="false">_xlfn.IFS(G4120&lt;0,"1 Negative",G4120=0,"2 Zero",G4120&lt;=500,"3 1-500",G4120&lt;=2000,"4 501-2000",TRUE(),"5 Above 2000")</f>
        <v>3 1-500</v>
      </c>
      <c r="P4120" s="2" t="n">
        <f aca="false">Lookups!$B$2*M4120+Lookups!$B$3*L4120</f>
        <v>0</v>
      </c>
      <c r="Q4120" s="2" t="str">
        <f aca="false">INDEX(Lookups!$E$2:$E$5,MATCH(P4120,Lookups!$D$2:$D$5,0))</f>
        <v>Low</v>
      </c>
    </row>
    <row r="4121" customFormat="false" ht="15" hidden="false" customHeight="false" outlineLevel="0" collapsed="false">
      <c r="A4121" s="3" t="n">
        <v>4120</v>
      </c>
      <c r="B4121" s="3" t="n">
        <f aca="false">Raw_Data!A4121</f>
        <v>52</v>
      </c>
      <c r="C4121" s="3" t="str">
        <f aca="false">SUBSTITUTE(Raw_Data!B4121,".","")</f>
        <v>retired</v>
      </c>
      <c r="D4121" s="3" t="str">
        <f aca="false">Raw_Data!C4121</f>
        <v>single</v>
      </c>
      <c r="E4121" s="3" t="str">
        <f aca="false">Raw_Data!D4121</f>
        <v>secondary</v>
      </c>
      <c r="F4121" s="3" t="str">
        <f aca="false">Raw_Data!E4121</f>
        <v>no</v>
      </c>
      <c r="G4121" s="3" t="n">
        <f aca="false">Raw_Data!F4121</f>
        <v>316</v>
      </c>
      <c r="H4121" s="3" t="str">
        <f aca="false">Raw_Data!G4121</f>
        <v>no</v>
      </c>
      <c r="I4121" s="3" t="str">
        <f aca="false">Raw_Data!H4121</f>
        <v>no</v>
      </c>
      <c r="J4121" s="2" t="n">
        <f aca="false">IF(F4121="yes",1,0)</f>
        <v>0</v>
      </c>
      <c r="K4121" s="2" t="n">
        <f aca="false">IF(H4121="yes",1,0)</f>
        <v>0</v>
      </c>
      <c r="L4121" s="2" t="n">
        <f aca="false">IF(I4121="yes",1,0)</f>
        <v>0</v>
      </c>
      <c r="M4121" s="2" t="n">
        <f aca="false">IF(G4121&lt;0,1,0)</f>
        <v>0</v>
      </c>
      <c r="N4121" s="2" t="str">
        <f aca="false">_xlfn.IFS(B4121&lt;30,"Under 30",B4121&lt;40,"30-39",B4121&lt;50,"40-49",B4121&lt;60,"50-59",TRUE(),"60+")</f>
        <v>50-59</v>
      </c>
      <c r="O4121" s="2" t="str">
        <f aca="false">_xlfn.IFS(G4121&lt;0,"1 Negative",G4121=0,"2 Zero",G4121&lt;=500,"3 1-500",G4121&lt;=2000,"4 501-2000",TRUE(),"5 Above 2000")</f>
        <v>3 1-500</v>
      </c>
      <c r="P4121" s="2" t="n">
        <f aca="false">Lookups!$B$2*M4121+Lookups!$B$3*L4121</f>
        <v>0</v>
      </c>
      <c r="Q4121" s="2" t="str">
        <f aca="false">INDEX(Lookups!$E$2:$E$5,MATCH(P4121,Lookups!$D$2:$D$5,0))</f>
        <v>Low</v>
      </c>
    </row>
    <row r="4122" customFormat="false" ht="15" hidden="false" customHeight="false" outlineLevel="0" collapsed="false">
      <c r="A4122" s="3" t="n">
        <v>4121</v>
      </c>
      <c r="B4122" s="3" t="n">
        <f aca="false">Raw_Data!A4122</f>
        <v>31</v>
      </c>
      <c r="C4122" s="3" t="str">
        <f aca="false">SUBSTITUTE(Raw_Data!B4122,".","")</f>
        <v>self-employed</v>
      </c>
      <c r="D4122" s="3" t="str">
        <f aca="false">Raw_Data!C4122</f>
        <v>single</v>
      </c>
      <c r="E4122" s="3" t="str">
        <f aca="false">Raw_Data!D4122</f>
        <v>tertiary</v>
      </c>
      <c r="F4122" s="3" t="str">
        <f aca="false">Raw_Data!E4122</f>
        <v>yes</v>
      </c>
      <c r="G4122" s="3" t="n">
        <f aca="false">Raw_Data!F4122</f>
        <v>-282</v>
      </c>
      <c r="H4122" s="3" t="str">
        <f aca="false">Raw_Data!G4122</f>
        <v>yes</v>
      </c>
      <c r="I4122" s="3" t="str">
        <f aca="false">Raw_Data!H4122</f>
        <v>no</v>
      </c>
      <c r="J4122" s="2" t="n">
        <f aca="false">IF(F4122="yes",1,0)</f>
        <v>1</v>
      </c>
      <c r="K4122" s="2" t="n">
        <f aca="false">IF(H4122="yes",1,0)</f>
        <v>1</v>
      </c>
      <c r="L4122" s="2" t="n">
        <f aca="false">IF(I4122="yes",1,0)</f>
        <v>0</v>
      </c>
      <c r="M4122" s="2" t="n">
        <f aca="false">IF(G4122&lt;0,1,0)</f>
        <v>1</v>
      </c>
      <c r="N4122" s="2" t="str">
        <f aca="false">_xlfn.IFS(B4122&lt;30,"Under 30",B4122&lt;40,"30-39",B4122&lt;50,"40-49",B4122&lt;60,"50-59",TRUE(),"60+")</f>
        <v>30-39</v>
      </c>
      <c r="O4122" s="2" t="str">
        <f aca="false">_xlfn.IFS(G4122&lt;0,"1 Negative",G4122=0,"2 Zero",G4122&lt;=500,"3 1-500",G4122&lt;=2000,"4 501-2000",TRUE(),"5 Above 2000")</f>
        <v>1 Negative</v>
      </c>
      <c r="P4122" s="2" t="n">
        <f aca="false">Lookups!$B$2*M4122+Lookups!$B$3*L4122</f>
        <v>2</v>
      </c>
      <c r="Q4122" s="2" t="str">
        <f aca="false">INDEX(Lookups!$E$2:$E$5,MATCH(P4122,Lookups!$D$2:$D$5,0))</f>
        <v>High</v>
      </c>
    </row>
    <row r="4123" customFormat="false" ht="15" hidden="false" customHeight="false" outlineLevel="0" collapsed="false">
      <c r="A4123" s="3" t="n">
        <v>4122</v>
      </c>
      <c r="B4123" s="3" t="n">
        <f aca="false">Raw_Data!A4123</f>
        <v>34</v>
      </c>
      <c r="C4123" s="3" t="str">
        <f aca="false">SUBSTITUTE(Raw_Data!B4123,".","")</f>
        <v>management</v>
      </c>
      <c r="D4123" s="3" t="str">
        <f aca="false">Raw_Data!C4123</f>
        <v>married</v>
      </c>
      <c r="E4123" s="3" t="str">
        <f aca="false">Raw_Data!D4123</f>
        <v>tertiary</v>
      </c>
      <c r="F4123" s="3" t="str">
        <f aca="false">Raw_Data!E4123</f>
        <v>no</v>
      </c>
      <c r="G4123" s="3" t="n">
        <f aca="false">Raw_Data!F4123</f>
        <v>-308</v>
      </c>
      <c r="H4123" s="3" t="str">
        <f aca="false">Raw_Data!G4123</f>
        <v>yes</v>
      </c>
      <c r="I4123" s="3" t="str">
        <f aca="false">Raw_Data!H4123</f>
        <v>no</v>
      </c>
      <c r="J4123" s="2" t="n">
        <f aca="false">IF(F4123="yes",1,0)</f>
        <v>0</v>
      </c>
      <c r="K4123" s="2" t="n">
        <f aca="false">IF(H4123="yes",1,0)</f>
        <v>1</v>
      </c>
      <c r="L4123" s="2" t="n">
        <f aca="false">IF(I4123="yes",1,0)</f>
        <v>0</v>
      </c>
      <c r="M4123" s="2" t="n">
        <f aca="false">IF(G4123&lt;0,1,0)</f>
        <v>1</v>
      </c>
      <c r="N4123" s="2" t="str">
        <f aca="false">_xlfn.IFS(B4123&lt;30,"Under 30",B4123&lt;40,"30-39",B4123&lt;50,"40-49",B4123&lt;60,"50-59",TRUE(),"60+")</f>
        <v>30-39</v>
      </c>
      <c r="O4123" s="2" t="str">
        <f aca="false">_xlfn.IFS(G4123&lt;0,"1 Negative",G4123=0,"2 Zero",G4123&lt;=500,"3 1-500",G4123&lt;=2000,"4 501-2000",TRUE(),"5 Above 2000")</f>
        <v>1 Negative</v>
      </c>
      <c r="P4123" s="2" t="n">
        <f aca="false">Lookups!$B$2*M4123+Lookups!$B$3*L4123</f>
        <v>2</v>
      </c>
      <c r="Q4123" s="2" t="str">
        <f aca="false">INDEX(Lookups!$E$2:$E$5,MATCH(P4123,Lookups!$D$2:$D$5,0))</f>
        <v>High</v>
      </c>
    </row>
    <row r="4124" customFormat="false" ht="15" hidden="false" customHeight="false" outlineLevel="0" collapsed="false">
      <c r="A4124" s="3" t="n">
        <v>4123</v>
      </c>
      <c r="B4124" s="3" t="n">
        <f aca="false">Raw_Data!A4124</f>
        <v>42</v>
      </c>
      <c r="C4124" s="3" t="str">
        <f aca="false">SUBSTITUTE(Raw_Data!B4124,".","")</f>
        <v>technician</v>
      </c>
      <c r="D4124" s="3" t="str">
        <f aca="false">Raw_Data!C4124</f>
        <v>divorced</v>
      </c>
      <c r="E4124" s="3" t="str">
        <f aca="false">Raw_Data!D4124</f>
        <v>secondary</v>
      </c>
      <c r="F4124" s="3" t="str">
        <f aca="false">Raw_Data!E4124</f>
        <v>no</v>
      </c>
      <c r="G4124" s="3" t="n">
        <f aca="false">Raw_Data!F4124</f>
        <v>248</v>
      </c>
      <c r="H4124" s="3" t="str">
        <f aca="false">Raw_Data!G4124</f>
        <v>no</v>
      </c>
      <c r="I4124" s="3" t="str">
        <f aca="false">Raw_Data!H4124</f>
        <v>no</v>
      </c>
      <c r="J4124" s="2" t="n">
        <f aca="false">IF(F4124="yes",1,0)</f>
        <v>0</v>
      </c>
      <c r="K4124" s="2" t="n">
        <f aca="false">IF(H4124="yes",1,0)</f>
        <v>0</v>
      </c>
      <c r="L4124" s="2" t="n">
        <f aca="false">IF(I4124="yes",1,0)</f>
        <v>0</v>
      </c>
      <c r="M4124" s="2" t="n">
        <f aca="false">IF(G4124&lt;0,1,0)</f>
        <v>0</v>
      </c>
      <c r="N4124" s="2" t="str">
        <f aca="false">_xlfn.IFS(B4124&lt;30,"Under 30",B4124&lt;40,"30-39",B4124&lt;50,"40-49",B4124&lt;60,"50-59",TRUE(),"60+")</f>
        <v>40-49</v>
      </c>
      <c r="O4124" s="2" t="str">
        <f aca="false">_xlfn.IFS(G4124&lt;0,"1 Negative",G4124=0,"2 Zero",G4124&lt;=500,"3 1-500",G4124&lt;=2000,"4 501-2000",TRUE(),"5 Above 2000")</f>
        <v>3 1-500</v>
      </c>
      <c r="P4124" s="2" t="n">
        <f aca="false">Lookups!$B$2*M4124+Lookups!$B$3*L4124</f>
        <v>0</v>
      </c>
      <c r="Q4124" s="2" t="str">
        <f aca="false">INDEX(Lookups!$E$2:$E$5,MATCH(P4124,Lookups!$D$2:$D$5,0))</f>
        <v>Low</v>
      </c>
    </row>
    <row r="4125" customFormat="false" ht="15" hidden="false" customHeight="false" outlineLevel="0" collapsed="false">
      <c r="A4125" s="3" t="n">
        <v>4124</v>
      </c>
      <c r="B4125" s="3" t="n">
        <f aca="false">Raw_Data!A4125</f>
        <v>47</v>
      </c>
      <c r="C4125" s="3" t="str">
        <f aca="false">SUBSTITUTE(Raw_Data!B4125,".","")</f>
        <v>blue-collar</v>
      </c>
      <c r="D4125" s="3" t="str">
        <f aca="false">Raw_Data!C4125</f>
        <v>divorced</v>
      </c>
      <c r="E4125" s="3" t="str">
        <f aca="false">Raw_Data!D4125</f>
        <v>primary</v>
      </c>
      <c r="F4125" s="3" t="str">
        <f aca="false">Raw_Data!E4125</f>
        <v>no</v>
      </c>
      <c r="G4125" s="3" t="n">
        <f aca="false">Raw_Data!F4125</f>
        <v>126</v>
      </c>
      <c r="H4125" s="3" t="str">
        <f aca="false">Raw_Data!G4125</f>
        <v>yes</v>
      </c>
      <c r="I4125" s="3" t="str">
        <f aca="false">Raw_Data!H4125</f>
        <v>no</v>
      </c>
      <c r="J4125" s="2" t="n">
        <f aca="false">IF(F4125="yes",1,0)</f>
        <v>0</v>
      </c>
      <c r="K4125" s="2" t="n">
        <f aca="false">IF(H4125="yes",1,0)</f>
        <v>1</v>
      </c>
      <c r="L4125" s="2" t="n">
        <f aca="false">IF(I4125="yes",1,0)</f>
        <v>0</v>
      </c>
      <c r="M4125" s="2" t="n">
        <f aca="false">IF(G4125&lt;0,1,0)</f>
        <v>0</v>
      </c>
      <c r="N4125" s="2" t="str">
        <f aca="false">_xlfn.IFS(B4125&lt;30,"Under 30",B4125&lt;40,"30-39",B4125&lt;50,"40-49",B4125&lt;60,"50-59",TRUE(),"60+")</f>
        <v>40-49</v>
      </c>
      <c r="O4125" s="2" t="str">
        <f aca="false">_xlfn.IFS(G4125&lt;0,"1 Negative",G4125=0,"2 Zero",G4125&lt;=500,"3 1-500",G4125&lt;=2000,"4 501-2000",TRUE(),"5 Above 2000")</f>
        <v>3 1-500</v>
      </c>
      <c r="P4125" s="2" t="n">
        <f aca="false">Lookups!$B$2*M4125+Lookups!$B$3*L4125</f>
        <v>0</v>
      </c>
      <c r="Q4125" s="2" t="str">
        <f aca="false">INDEX(Lookups!$E$2:$E$5,MATCH(P4125,Lookups!$D$2:$D$5,0))</f>
        <v>Low</v>
      </c>
    </row>
    <row r="4126" customFormat="false" ht="15" hidden="false" customHeight="false" outlineLevel="0" collapsed="false">
      <c r="A4126" s="3" t="n">
        <v>4125</v>
      </c>
      <c r="B4126" s="3" t="n">
        <f aca="false">Raw_Data!A4126</f>
        <v>50</v>
      </c>
      <c r="C4126" s="3" t="str">
        <f aca="false">SUBSTITUTE(Raw_Data!B4126,".","")</f>
        <v>self-employed</v>
      </c>
      <c r="D4126" s="3" t="str">
        <f aca="false">Raw_Data!C4126</f>
        <v>divorced</v>
      </c>
      <c r="E4126" s="3" t="str">
        <f aca="false">Raw_Data!D4126</f>
        <v>tertiary</v>
      </c>
      <c r="F4126" s="3" t="str">
        <f aca="false">Raw_Data!E4126</f>
        <v>no</v>
      </c>
      <c r="G4126" s="3" t="n">
        <f aca="false">Raw_Data!F4126</f>
        <v>13</v>
      </c>
      <c r="H4126" s="3" t="str">
        <f aca="false">Raw_Data!G4126</f>
        <v>yes</v>
      </c>
      <c r="I4126" s="3" t="str">
        <f aca="false">Raw_Data!H4126</f>
        <v>no</v>
      </c>
      <c r="J4126" s="2" t="n">
        <f aca="false">IF(F4126="yes",1,0)</f>
        <v>0</v>
      </c>
      <c r="K4126" s="2" t="n">
        <f aca="false">IF(H4126="yes",1,0)</f>
        <v>1</v>
      </c>
      <c r="L4126" s="2" t="n">
        <f aca="false">IF(I4126="yes",1,0)</f>
        <v>0</v>
      </c>
      <c r="M4126" s="2" t="n">
        <f aca="false">IF(G4126&lt;0,1,0)</f>
        <v>0</v>
      </c>
      <c r="N4126" s="2" t="str">
        <f aca="false">_xlfn.IFS(B4126&lt;30,"Under 30",B4126&lt;40,"30-39",B4126&lt;50,"40-49",B4126&lt;60,"50-59",TRUE(),"60+")</f>
        <v>50-59</v>
      </c>
      <c r="O4126" s="2" t="str">
        <f aca="false">_xlfn.IFS(G4126&lt;0,"1 Negative",G4126=0,"2 Zero",G4126&lt;=500,"3 1-500",G4126&lt;=2000,"4 501-2000",TRUE(),"5 Above 2000")</f>
        <v>3 1-500</v>
      </c>
      <c r="P4126" s="2" t="n">
        <f aca="false">Lookups!$B$2*M4126+Lookups!$B$3*L4126</f>
        <v>0</v>
      </c>
      <c r="Q4126" s="2" t="str">
        <f aca="false">INDEX(Lookups!$E$2:$E$5,MATCH(P4126,Lookups!$D$2:$D$5,0))</f>
        <v>Low</v>
      </c>
    </row>
    <row r="4127" customFormat="false" ht="15" hidden="false" customHeight="false" outlineLevel="0" collapsed="false">
      <c r="A4127" s="3" t="n">
        <v>4126</v>
      </c>
      <c r="B4127" s="3" t="n">
        <f aca="false">Raw_Data!A4127</f>
        <v>30</v>
      </c>
      <c r="C4127" s="3" t="str">
        <f aca="false">SUBSTITUTE(Raw_Data!B4127,".","")</f>
        <v>technician</v>
      </c>
      <c r="D4127" s="3" t="str">
        <f aca="false">Raw_Data!C4127</f>
        <v>married</v>
      </c>
      <c r="E4127" s="3" t="str">
        <f aca="false">Raw_Data!D4127</f>
        <v>secondary</v>
      </c>
      <c r="F4127" s="3" t="str">
        <f aca="false">Raw_Data!E4127</f>
        <v>no</v>
      </c>
      <c r="G4127" s="3" t="n">
        <f aca="false">Raw_Data!F4127</f>
        <v>-393</v>
      </c>
      <c r="H4127" s="3" t="str">
        <f aca="false">Raw_Data!G4127</f>
        <v>yes</v>
      </c>
      <c r="I4127" s="3" t="str">
        <f aca="false">Raw_Data!H4127</f>
        <v>yes</v>
      </c>
      <c r="J4127" s="2" t="n">
        <f aca="false">IF(F4127="yes",1,0)</f>
        <v>0</v>
      </c>
      <c r="K4127" s="2" t="n">
        <f aca="false">IF(H4127="yes",1,0)</f>
        <v>1</v>
      </c>
      <c r="L4127" s="2" t="n">
        <f aca="false">IF(I4127="yes",1,0)</f>
        <v>1</v>
      </c>
      <c r="M4127" s="2" t="n">
        <f aca="false">IF(G4127&lt;0,1,0)</f>
        <v>1</v>
      </c>
      <c r="N4127" s="2" t="str">
        <f aca="false">_xlfn.IFS(B4127&lt;30,"Under 30",B4127&lt;40,"30-39",B4127&lt;50,"40-49",B4127&lt;60,"50-59",TRUE(),"60+")</f>
        <v>30-39</v>
      </c>
      <c r="O4127" s="2" t="str">
        <f aca="false">_xlfn.IFS(G4127&lt;0,"1 Negative",G4127=0,"2 Zero",G4127&lt;=500,"3 1-500",G4127&lt;=2000,"4 501-2000",TRUE(),"5 Above 2000")</f>
        <v>1 Negative</v>
      </c>
      <c r="P4127" s="2" t="n">
        <f aca="false">Lookups!$B$2*M4127+Lookups!$B$3*L4127</f>
        <v>3</v>
      </c>
      <c r="Q4127" s="2" t="str">
        <f aca="false">INDEX(Lookups!$E$2:$E$5,MATCH(P4127,Lookups!$D$2:$D$5,0))</f>
        <v>High</v>
      </c>
    </row>
    <row r="4128" customFormat="false" ht="15" hidden="false" customHeight="false" outlineLevel="0" collapsed="false">
      <c r="A4128" s="3" t="n">
        <v>4127</v>
      </c>
      <c r="B4128" s="3" t="n">
        <f aca="false">Raw_Data!A4128</f>
        <v>33</v>
      </c>
      <c r="C4128" s="3" t="str">
        <f aca="false">SUBSTITUTE(Raw_Data!B4128,".","")</f>
        <v>services</v>
      </c>
      <c r="D4128" s="3" t="str">
        <f aca="false">Raw_Data!C4128</f>
        <v>single</v>
      </c>
      <c r="E4128" s="3" t="str">
        <f aca="false">Raw_Data!D4128</f>
        <v>secondary</v>
      </c>
      <c r="F4128" s="3" t="str">
        <f aca="false">Raw_Data!E4128</f>
        <v>no</v>
      </c>
      <c r="G4128" s="3" t="n">
        <f aca="false">Raw_Data!F4128</f>
        <v>358</v>
      </c>
      <c r="H4128" s="3" t="str">
        <f aca="false">Raw_Data!G4128</f>
        <v>yes</v>
      </c>
      <c r="I4128" s="3" t="str">
        <f aca="false">Raw_Data!H4128</f>
        <v>no</v>
      </c>
      <c r="J4128" s="2" t="n">
        <f aca="false">IF(F4128="yes",1,0)</f>
        <v>0</v>
      </c>
      <c r="K4128" s="2" t="n">
        <f aca="false">IF(H4128="yes",1,0)</f>
        <v>1</v>
      </c>
      <c r="L4128" s="2" t="n">
        <f aca="false">IF(I4128="yes",1,0)</f>
        <v>0</v>
      </c>
      <c r="M4128" s="2" t="n">
        <f aca="false">IF(G4128&lt;0,1,0)</f>
        <v>0</v>
      </c>
      <c r="N4128" s="2" t="str">
        <f aca="false">_xlfn.IFS(B4128&lt;30,"Under 30",B4128&lt;40,"30-39",B4128&lt;50,"40-49",B4128&lt;60,"50-59",TRUE(),"60+")</f>
        <v>30-39</v>
      </c>
      <c r="O4128" s="2" t="str">
        <f aca="false">_xlfn.IFS(G4128&lt;0,"1 Negative",G4128=0,"2 Zero",G4128&lt;=500,"3 1-500",G4128&lt;=2000,"4 501-2000",TRUE(),"5 Above 2000")</f>
        <v>3 1-500</v>
      </c>
      <c r="P4128" s="2" t="n">
        <f aca="false">Lookups!$B$2*M4128+Lookups!$B$3*L4128</f>
        <v>0</v>
      </c>
      <c r="Q4128" s="2" t="str">
        <f aca="false">INDEX(Lookups!$E$2:$E$5,MATCH(P4128,Lookups!$D$2:$D$5,0))</f>
        <v>Low</v>
      </c>
    </row>
    <row r="4129" customFormat="false" ht="15" hidden="false" customHeight="false" outlineLevel="0" collapsed="false">
      <c r="A4129" s="3" t="n">
        <v>4128</v>
      </c>
      <c r="B4129" s="3" t="n">
        <f aca="false">Raw_Data!A4129</f>
        <v>56</v>
      </c>
      <c r="C4129" s="3" t="str">
        <f aca="false">SUBSTITUTE(Raw_Data!B4129,".","")</f>
        <v>technician</v>
      </c>
      <c r="D4129" s="3" t="str">
        <f aca="false">Raw_Data!C4129</f>
        <v>single</v>
      </c>
      <c r="E4129" s="3" t="str">
        <f aca="false">Raw_Data!D4129</f>
        <v>tertiary</v>
      </c>
      <c r="F4129" s="3" t="str">
        <f aca="false">Raw_Data!E4129</f>
        <v>no</v>
      </c>
      <c r="G4129" s="3" t="n">
        <f aca="false">Raw_Data!F4129</f>
        <v>917</v>
      </c>
      <c r="H4129" s="3" t="str">
        <f aca="false">Raw_Data!G4129</f>
        <v>no</v>
      </c>
      <c r="I4129" s="3" t="str">
        <f aca="false">Raw_Data!H4129</f>
        <v>no</v>
      </c>
      <c r="J4129" s="2" t="n">
        <f aca="false">IF(F4129="yes",1,0)</f>
        <v>0</v>
      </c>
      <c r="K4129" s="2" t="n">
        <f aca="false">IF(H4129="yes",1,0)</f>
        <v>0</v>
      </c>
      <c r="L4129" s="2" t="n">
        <f aca="false">IF(I4129="yes",1,0)</f>
        <v>0</v>
      </c>
      <c r="M4129" s="2" t="n">
        <f aca="false">IF(G4129&lt;0,1,0)</f>
        <v>0</v>
      </c>
      <c r="N4129" s="2" t="str">
        <f aca="false">_xlfn.IFS(B4129&lt;30,"Under 30",B4129&lt;40,"30-39",B4129&lt;50,"40-49",B4129&lt;60,"50-59",TRUE(),"60+")</f>
        <v>50-59</v>
      </c>
      <c r="O4129" s="2" t="str">
        <f aca="false">_xlfn.IFS(G4129&lt;0,"1 Negative",G4129=0,"2 Zero",G4129&lt;=500,"3 1-500",G4129&lt;=2000,"4 501-2000",TRUE(),"5 Above 2000")</f>
        <v>4 501-2000</v>
      </c>
      <c r="P4129" s="2" t="n">
        <f aca="false">Lookups!$B$2*M4129+Lookups!$B$3*L4129</f>
        <v>0</v>
      </c>
      <c r="Q4129" s="2" t="str">
        <f aca="false">INDEX(Lookups!$E$2:$E$5,MATCH(P4129,Lookups!$D$2:$D$5,0))</f>
        <v>Low</v>
      </c>
    </row>
    <row r="4130" customFormat="false" ht="15" hidden="false" customHeight="false" outlineLevel="0" collapsed="false">
      <c r="A4130" s="3" t="n">
        <v>4129</v>
      </c>
      <c r="B4130" s="3" t="n">
        <f aca="false">Raw_Data!A4130</f>
        <v>34</v>
      </c>
      <c r="C4130" s="3" t="str">
        <f aca="false">SUBSTITUTE(Raw_Data!B4130,".","")</f>
        <v>admin</v>
      </c>
      <c r="D4130" s="3" t="str">
        <f aca="false">Raw_Data!C4130</f>
        <v>divorced</v>
      </c>
      <c r="E4130" s="3" t="str">
        <f aca="false">Raw_Data!D4130</f>
        <v>secondary</v>
      </c>
      <c r="F4130" s="3" t="str">
        <f aca="false">Raw_Data!E4130</f>
        <v>no</v>
      </c>
      <c r="G4130" s="3" t="n">
        <f aca="false">Raw_Data!F4130</f>
        <v>1268</v>
      </c>
      <c r="H4130" s="3" t="str">
        <f aca="false">Raw_Data!G4130</f>
        <v>yes</v>
      </c>
      <c r="I4130" s="3" t="str">
        <f aca="false">Raw_Data!H4130</f>
        <v>no</v>
      </c>
      <c r="J4130" s="2" t="n">
        <f aca="false">IF(F4130="yes",1,0)</f>
        <v>0</v>
      </c>
      <c r="K4130" s="2" t="n">
        <f aca="false">IF(H4130="yes",1,0)</f>
        <v>1</v>
      </c>
      <c r="L4130" s="2" t="n">
        <f aca="false">IF(I4130="yes",1,0)</f>
        <v>0</v>
      </c>
      <c r="M4130" s="2" t="n">
        <f aca="false">IF(G4130&lt;0,1,0)</f>
        <v>0</v>
      </c>
      <c r="N4130" s="2" t="str">
        <f aca="false">_xlfn.IFS(B4130&lt;30,"Under 30",B4130&lt;40,"30-39",B4130&lt;50,"40-49",B4130&lt;60,"50-59",TRUE(),"60+")</f>
        <v>30-39</v>
      </c>
      <c r="O4130" s="2" t="str">
        <f aca="false">_xlfn.IFS(G4130&lt;0,"1 Negative",G4130=0,"2 Zero",G4130&lt;=500,"3 1-500",G4130&lt;=2000,"4 501-2000",TRUE(),"5 Above 2000")</f>
        <v>4 501-2000</v>
      </c>
      <c r="P4130" s="2" t="n">
        <f aca="false">Lookups!$B$2*M4130+Lookups!$B$3*L4130</f>
        <v>0</v>
      </c>
      <c r="Q4130" s="2" t="str">
        <f aca="false">INDEX(Lookups!$E$2:$E$5,MATCH(P4130,Lookups!$D$2:$D$5,0))</f>
        <v>Low</v>
      </c>
    </row>
    <row r="4131" customFormat="false" ht="15" hidden="false" customHeight="false" outlineLevel="0" collapsed="false">
      <c r="A4131" s="3" t="n">
        <v>4130</v>
      </c>
      <c r="B4131" s="3" t="n">
        <f aca="false">Raw_Data!A4131</f>
        <v>33</v>
      </c>
      <c r="C4131" s="3" t="str">
        <f aca="false">SUBSTITUTE(Raw_Data!B4131,".","")</f>
        <v>technician</v>
      </c>
      <c r="D4131" s="3" t="str">
        <f aca="false">Raw_Data!C4131</f>
        <v>married</v>
      </c>
      <c r="E4131" s="3" t="str">
        <f aca="false">Raw_Data!D4131</f>
        <v>secondary</v>
      </c>
      <c r="F4131" s="3" t="str">
        <f aca="false">Raw_Data!E4131</f>
        <v>no</v>
      </c>
      <c r="G4131" s="3" t="n">
        <f aca="false">Raw_Data!F4131</f>
        <v>-163</v>
      </c>
      <c r="H4131" s="3" t="str">
        <f aca="false">Raw_Data!G4131</f>
        <v>yes</v>
      </c>
      <c r="I4131" s="3" t="str">
        <f aca="false">Raw_Data!H4131</f>
        <v>yes</v>
      </c>
      <c r="J4131" s="2" t="n">
        <f aca="false">IF(F4131="yes",1,0)</f>
        <v>0</v>
      </c>
      <c r="K4131" s="2" t="n">
        <f aca="false">IF(H4131="yes",1,0)</f>
        <v>1</v>
      </c>
      <c r="L4131" s="2" t="n">
        <f aca="false">IF(I4131="yes",1,0)</f>
        <v>1</v>
      </c>
      <c r="M4131" s="2" t="n">
        <f aca="false">IF(G4131&lt;0,1,0)</f>
        <v>1</v>
      </c>
      <c r="N4131" s="2" t="str">
        <f aca="false">_xlfn.IFS(B4131&lt;30,"Under 30",B4131&lt;40,"30-39",B4131&lt;50,"40-49",B4131&lt;60,"50-59",TRUE(),"60+")</f>
        <v>30-39</v>
      </c>
      <c r="O4131" s="2" t="str">
        <f aca="false">_xlfn.IFS(G4131&lt;0,"1 Negative",G4131=0,"2 Zero",G4131&lt;=500,"3 1-500",G4131&lt;=2000,"4 501-2000",TRUE(),"5 Above 2000")</f>
        <v>1 Negative</v>
      </c>
      <c r="P4131" s="2" t="n">
        <f aca="false">Lookups!$B$2*M4131+Lookups!$B$3*L4131</f>
        <v>3</v>
      </c>
      <c r="Q4131" s="2" t="str">
        <f aca="false">INDEX(Lookups!$E$2:$E$5,MATCH(P4131,Lookups!$D$2:$D$5,0))</f>
        <v>High</v>
      </c>
    </row>
    <row r="4132" customFormat="false" ht="15" hidden="false" customHeight="false" outlineLevel="0" collapsed="false">
      <c r="A4132" s="3" t="n">
        <v>4131</v>
      </c>
      <c r="B4132" s="3" t="n">
        <f aca="false">Raw_Data!A4132</f>
        <v>32</v>
      </c>
      <c r="C4132" s="3" t="str">
        <f aca="false">SUBSTITUTE(Raw_Data!B4132,".","")</f>
        <v>management</v>
      </c>
      <c r="D4132" s="3" t="str">
        <f aca="false">Raw_Data!C4132</f>
        <v>single</v>
      </c>
      <c r="E4132" s="3" t="str">
        <f aca="false">Raw_Data!D4132</f>
        <v>tertiary</v>
      </c>
      <c r="F4132" s="3" t="str">
        <f aca="false">Raw_Data!E4132</f>
        <v>no</v>
      </c>
      <c r="G4132" s="3" t="n">
        <f aca="false">Raw_Data!F4132</f>
        <v>473</v>
      </c>
      <c r="H4132" s="3" t="str">
        <f aca="false">Raw_Data!G4132</f>
        <v>yes</v>
      </c>
      <c r="I4132" s="3" t="str">
        <f aca="false">Raw_Data!H4132</f>
        <v>no</v>
      </c>
      <c r="J4132" s="2" t="n">
        <f aca="false">IF(F4132="yes",1,0)</f>
        <v>0</v>
      </c>
      <c r="K4132" s="2" t="n">
        <f aca="false">IF(H4132="yes",1,0)</f>
        <v>1</v>
      </c>
      <c r="L4132" s="2" t="n">
        <f aca="false">IF(I4132="yes",1,0)</f>
        <v>0</v>
      </c>
      <c r="M4132" s="2" t="n">
        <f aca="false">IF(G4132&lt;0,1,0)</f>
        <v>0</v>
      </c>
      <c r="N4132" s="2" t="str">
        <f aca="false">_xlfn.IFS(B4132&lt;30,"Under 30",B4132&lt;40,"30-39",B4132&lt;50,"40-49",B4132&lt;60,"50-59",TRUE(),"60+")</f>
        <v>30-39</v>
      </c>
      <c r="O4132" s="2" t="str">
        <f aca="false">_xlfn.IFS(G4132&lt;0,"1 Negative",G4132=0,"2 Zero",G4132&lt;=500,"3 1-500",G4132&lt;=2000,"4 501-2000",TRUE(),"5 Above 2000")</f>
        <v>3 1-500</v>
      </c>
      <c r="P4132" s="2" t="n">
        <f aca="false">Lookups!$B$2*M4132+Lookups!$B$3*L4132</f>
        <v>0</v>
      </c>
      <c r="Q4132" s="2" t="str">
        <f aca="false">INDEX(Lookups!$E$2:$E$5,MATCH(P4132,Lookups!$D$2:$D$5,0))</f>
        <v>Low</v>
      </c>
    </row>
    <row r="4133" customFormat="false" ht="15" hidden="false" customHeight="false" outlineLevel="0" collapsed="false">
      <c r="A4133" s="3" t="n">
        <v>4132</v>
      </c>
      <c r="B4133" s="3" t="n">
        <f aca="false">Raw_Data!A4133</f>
        <v>34</v>
      </c>
      <c r="C4133" s="3" t="str">
        <f aca="false">SUBSTITUTE(Raw_Data!B4133,".","")</f>
        <v>management</v>
      </c>
      <c r="D4133" s="3" t="str">
        <f aca="false">Raw_Data!C4133</f>
        <v>married</v>
      </c>
      <c r="E4133" s="3" t="str">
        <f aca="false">Raw_Data!D4133</f>
        <v>tertiary</v>
      </c>
      <c r="F4133" s="3" t="str">
        <f aca="false">Raw_Data!E4133</f>
        <v>no</v>
      </c>
      <c r="G4133" s="3" t="n">
        <f aca="false">Raw_Data!F4133</f>
        <v>4831</v>
      </c>
      <c r="H4133" s="3" t="str">
        <f aca="false">Raw_Data!G4133</f>
        <v>yes</v>
      </c>
      <c r="I4133" s="3" t="str">
        <f aca="false">Raw_Data!H4133</f>
        <v>no</v>
      </c>
      <c r="J4133" s="2" t="n">
        <f aca="false">IF(F4133="yes",1,0)</f>
        <v>0</v>
      </c>
      <c r="K4133" s="2" t="n">
        <f aca="false">IF(H4133="yes",1,0)</f>
        <v>1</v>
      </c>
      <c r="L4133" s="2" t="n">
        <f aca="false">IF(I4133="yes",1,0)</f>
        <v>0</v>
      </c>
      <c r="M4133" s="2" t="n">
        <f aca="false">IF(G4133&lt;0,1,0)</f>
        <v>0</v>
      </c>
      <c r="N4133" s="2" t="str">
        <f aca="false">_xlfn.IFS(B4133&lt;30,"Under 30",B4133&lt;40,"30-39",B4133&lt;50,"40-49",B4133&lt;60,"50-59",TRUE(),"60+")</f>
        <v>30-39</v>
      </c>
      <c r="O4133" s="2" t="str">
        <f aca="false">_xlfn.IFS(G4133&lt;0,"1 Negative",G4133=0,"2 Zero",G4133&lt;=500,"3 1-500",G4133&lt;=2000,"4 501-2000",TRUE(),"5 Above 2000")</f>
        <v>5 Above 2000</v>
      </c>
      <c r="P4133" s="2" t="n">
        <f aca="false">Lookups!$B$2*M4133+Lookups!$B$3*L4133</f>
        <v>0</v>
      </c>
      <c r="Q4133" s="2" t="str">
        <f aca="false">INDEX(Lookups!$E$2:$E$5,MATCH(P4133,Lookups!$D$2:$D$5,0))</f>
        <v>Low</v>
      </c>
    </row>
    <row r="4134" customFormat="false" ht="15" hidden="false" customHeight="false" outlineLevel="0" collapsed="false">
      <c r="A4134" s="3" t="n">
        <v>4133</v>
      </c>
      <c r="B4134" s="3" t="n">
        <f aca="false">Raw_Data!A4134</f>
        <v>37</v>
      </c>
      <c r="C4134" s="3" t="str">
        <f aca="false">SUBSTITUTE(Raw_Data!B4134,".","")</f>
        <v>technician</v>
      </c>
      <c r="D4134" s="3" t="str">
        <f aca="false">Raw_Data!C4134</f>
        <v>married</v>
      </c>
      <c r="E4134" s="3" t="str">
        <f aca="false">Raw_Data!D4134</f>
        <v>secondary</v>
      </c>
      <c r="F4134" s="3" t="str">
        <f aca="false">Raw_Data!E4134</f>
        <v>no</v>
      </c>
      <c r="G4134" s="3" t="n">
        <f aca="false">Raw_Data!F4134</f>
        <v>1063</v>
      </c>
      <c r="H4134" s="3" t="str">
        <f aca="false">Raw_Data!G4134</f>
        <v>yes</v>
      </c>
      <c r="I4134" s="3" t="str">
        <f aca="false">Raw_Data!H4134</f>
        <v>no</v>
      </c>
      <c r="J4134" s="2" t="n">
        <f aca="false">IF(F4134="yes",1,0)</f>
        <v>0</v>
      </c>
      <c r="K4134" s="2" t="n">
        <f aca="false">IF(H4134="yes",1,0)</f>
        <v>1</v>
      </c>
      <c r="L4134" s="2" t="n">
        <f aca="false">IF(I4134="yes",1,0)</f>
        <v>0</v>
      </c>
      <c r="M4134" s="2" t="n">
        <f aca="false">IF(G4134&lt;0,1,0)</f>
        <v>0</v>
      </c>
      <c r="N4134" s="2" t="str">
        <f aca="false">_xlfn.IFS(B4134&lt;30,"Under 30",B4134&lt;40,"30-39",B4134&lt;50,"40-49",B4134&lt;60,"50-59",TRUE(),"60+")</f>
        <v>30-39</v>
      </c>
      <c r="O4134" s="2" t="str">
        <f aca="false">_xlfn.IFS(G4134&lt;0,"1 Negative",G4134=0,"2 Zero",G4134&lt;=500,"3 1-500",G4134&lt;=2000,"4 501-2000",TRUE(),"5 Above 2000")</f>
        <v>4 501-2000</v>
      </c>
      <c r="P4134" s="2" t="n">
        <f aca="false">Lookups!$B$2*M4134+Lookups!$B$3*L4134</f>
        <v>0</v>
      </c>
      <c r="Q4134" s="2" t="str">
        <f aca="false">INDEX(Lookups!$E$2:$E$5,MATCH(P4134,Lookups!$D$2:$D$5,0))</f>
        <v>Low</v>
      </c>
    </row>
    <row r="4135" customFormat="false" ht="15" hidden="false" customHeight="false" outlineLevel="0" collapsed="false">
      <c r="A4135" s="3" t="n">
        <v>4134</v>
      </c>
      <c r="B4135" s="3" t="n">
        <f aca="false">Raw_Data!A4135</f>
        <v>30</v>
      </c>
      <c r="C4135" s="3" t="str">
        <f aca="false">SUBSTITUTE(Raw_Data!B4135,".","")</f>
        <v>management</v>
      </c>
      <c r="D4135" s="3" t="str">
        <f aca="false">Raw_Data!C4135</f>
        <v>married</v>
      </c>
      <c r="E4135" s="3" t="str">
        <f aca="false">Raw_Data!D4135</f>
        <v>secondary</v>
      </c>
      <c r="F4135" s="3" t="str">
        <f aca="false">Raw_Data!E4135</f>
        <v>no</v>
      </c>
      <c r="G4135" s="3" t="n">
        <f aca="false">Raw_Data!F4135</f>
        <v>0</v>
      </c>
      <c r="H4135" s="3" t="str">
        <f aca="false">Raw_Data!G4135</f>
        <v>yes</v>
      </c>
      <c r="I4135" s="3" t="str">
        <f aca="false">Raw_Data!H4135</f>
        <v>no</v>
      </c>
      <c r="J4135" s="2" t="n">
        <f aca="false">IF(F4135="yes",1,0)</f>
        <v>0</v>
      </c>
      <c r="K4135" s="2" t="n">
        <f aca="false">IF(H4135="yes",1,0)</f>
        <v>1</v>
      </c>
      <c r="L4135" s="2" t="n">
        <f aca="false">IF(I4135="yes",1,0)</f>
        <v>0</v>
      </c>
      <c r="M4135" s="2" t="n">
        <f aca="false">IF(G4135&lt;0,1,0)</f>
        <v>0</v>
      </c>
      <c r="N4135" s="2" t="str">
        <f aca="false">_xlfn.IFS(B4135&lt;30,"Under 30",B4135&lt;40,"30-39",B4135&lt;50,"40-49",B4135&lt;60,"50-59",TRUE(),"60+")</f>
        <v>30-39</v>
      </c>
      <c r="O4135" s="2" t="str">
        <f aca="false">_xlfn.IFS(G4135&lt;0,"1 Negative",G4135=0,"2 Zero",G4135&lt;=500,"3 1-500",G4135&lt;=2000,"4 501-2000",TRUE(),"5 Above 2000")</f>
        <v>2 Zero</v>
      </c>
      <c r="P4135" s="2" t="n">
        <f aca="false">Lookups!$B$2*M4135+Lookups!$B$3*L4135</f>
        <v>0</v>
      </c>
      <c r="Q4135" s="2" t="str">
        <f aca="false">INDEX(Lookups!$E$2:$E$5,MATCH(P4135,Lookups!$D$2:$D$5,0))</f>
        <v>Low</v>
      </c>
    </row>
    <row r="4136" customFormat="false" ht="15" hidden="false" customHeight="false" outlineLevel="0" collapsed="false">
      <c r="A4136" s="3" t="n">
        <v>4135</v>
      </c>
      <c r="B4136" s="3" t="n">
        <f aca="false">Raw_Data!A4136</f>
        <v>29</v>
      </c>
      <c r="C4136" s="3" t="str">
        <f aca="false">SUBSTITUTE(Raw_Data!B4136,".","")</f>
        <v>blue-collar</v>
      </c>
      <c r="D4136" s="3" t="str">
        <f aca="false">Raw_Data!C4136</f>
        <v>married</v>
      </c>
      <c r="E4136" s="3" t="str">
        <f aca="false">Raw_Data!D4136</f>
        <v>secondary</v>
      </c>
      <c r="F4136" s="3" t="str">
        <f aca="false">Raw_Data!E4136</f>
        <v>no</v>
      </c>
      <c r="G4136" s="3" t="n">
        <f aca="false">Raw_Data!F4136</f>
        <v>424</v>
      </c>
      <c r="H4136" s="3" t="str">
        <f aca="false">Raw_Data!G4136</f>
        <v>yes</v>
      </c>
      <c r="I4136" s="3" t="str">
        <f aca="false">Raw_Data!H4136</f>
        <v>yes</v>
      </c>
      <c r="J4136" s="2" t="n">
        <f aca="false">IF(F4136="yes",1,0)</f>
        <v>0</v>
      </c>
      <c r="K4136" s="2" t="n">
        <f aca="false">IF(H4136="yes",1,0)</f>
        <v>1</v>
      </c>
      <c r="L4136" s="2" t="n">
        <f aca="false">IF(I4136="yes",1,0)</f>
        <v>1</v>
      </c>
      <c r="M4136" s="2" t="n">
        <f aca="false">IF(G4136&lt;0,1,0)</f>
        <v>0</v>
      </c>
      <c r="N4136" s="2" t="str">
        <f aca="false">_xlfn.IFS(B4136&lt;30,"Under 30",B4136&lt;40,"30-39",B4136&lt;50,"40-49",B4136&lt;60,"50-59",TRUE(),"60+")</f>
        <v>Under 30</v>
      </c>
      <c r="O4136" s="2" t="str">
        <f aca="false">_xlfn.IFS(G4136&lt;0,"1 Negative",G4136=0,"2 Zero",G4136&lt;=500,"3 1-500",G4136&lt;=2000,"4 501-2000",TRUE(),"5 Above 2000")</f>
        <v>3 1-500</v>
      </c>
      <c r="P4136" s="2" t="n">
        <f aca="false">Lookups!$B$2*M4136+Lookups!$B$3*L4136</f>
        <v>1</v>
      </c>
      <c r="Q4136" s="2" t="str">
        <f aca="false">INDEX(Lookups!$E$2:$E$5,MATCH(P4136,Lookups!$D$2:$D$5,0))</f>
        <v>Medium</v>
      </c>
    </row>
    <row r="4137" customFormat="false" ht="15" hidden="false" customHeight="false" outlineLevel="0" collapsed="false">
      <c r="A4137" s="3" t="n">
        <v>4136</v>
      </c>
      <c r="B4137" s="3" t="n">
        <f aca="false">Raw_Data!A4137</f>
        <v>56</v>
      </c>
      <c r="C4137" s="3" t="str">
        <f aca="false">SUBSTITUTE(Raw_Data!B4137,".","")</f>
        <v>unemployed</v>
      </c>
      <c r="D4137" s="3" t="str">
        <f aca="false">Raw_Data!C4137</f>
        <v>divorced</v>
      </c>
      <c r="E4137" s="3" t="str">
        <f aca="false">Raw_Data!D4137</f>
        <v>primary</v>
      </c>
      <c r="F4137" s="3" t="str">
        <f aca="false">Raw_Data!E4137</f>
        <v>no</v>
      </c>
      <c r="G4137" s="3" t="n">
        <f aca="false">Raw_Data!F4137</f>
        <v>802</v>
      </c>
      <c r="H4137" s="3" t="str">
        <f aca="false">Raw_Data!G4137</f>
        <v>no</v>
      </c>
      <c r="I4137" s="3" t="str">
        <f aca="false">Raw_Data!H4137</f>
        <v>no</v>
      </c>
      <c r="J4137" s="2" t="n">
        <f aca="false">IF(F4137="yes",1,0)</f>
        <v>0</v>
      </c>
      <c r="K4137" s="2" t="n">
        <f aca="false">IF(H4137="yes",1,0)</f>
        <v>0</v>
      </c>
      <c r="L4137" s="2" t="n">
        <f aca="false">IF(I4137="yes",1,0)</f>
        <v>0</v>
      </c>
      <c r="M4137" s="2" t="n">
        <f aca="false">IF(G4137&lt;0,1,0)</f>
        <v>0</v>
      </c>
      <c r="N4137" s="2" t="str">
        <f aca="false">_xlfn.IFS(B4137&lt;30,"Under 30",B4137&lt;40,"30-39",B4137&lt;50,"40-49",B4137&lt;60,"50-59",TRUE(),"60+")</f>
        <v>50-59</v>
      </c>
      <c r="O4137" s="2" t="str">
        <f aca="false">_xlfn.IFS(G4137&lt;0,"1 Negative",G4137=0,"2 Zero",G4137&lt;=500,"3 1-500",G4137&lt;=2000,"4 501-2000",TRUE(),"5 Above 2000")</f>
        <v>4 501-2000</v>
      </c>
      <c r="P4137" s="2" t="n">
        <f aca="false">Lookups!$B$2*M4137+Lookups!$B$3*L4137</f>
        <v>0</v>
      </c>
      <c r="Q4137" s="2" t="str">
        <f aca="false">INDEX(Lookups!$E$2:$E$5,MATCH(P4137,Lookups!$D$2:$D$5,0))</f>
        <v>Low</v>
      </c>
    </row>
    <row r="4138" customFormat="false" ht="15" hidden="false" customHeight="false" outlineLevel="0" collapsed="false">
      <c r="A4138" s="3" t="n">
        <v>4137</v>
      </c>
      <c r="B4138" s="3" t="n">
        <f aca="false">Raw_Data!A4138</f>
        <v>31</v>
      </c>
      <c r="C4138" s="3" t="str">
        <f aca="false">SUBSTITUTE(Raw_Data!B4138,".","")</f>
        <v>management</v>
      </c>
      <c r="D4138" s="3" t="str">
        <f aca="false">Raw_Data!C4138</f>
        <v>married</v>
      </c>
      <c r="E4138" s="3" t="str">
        <f aca="false">Raw_Data!D4138</f>
        <v>tertiary</v>
      </c>
      <c r="F4138" s="3" t="str">
        <f aca="false">Raw_Data!E4138</f>
        <v>no</v>
      </c>
      <c r="G4138" s="3" t="n">
        <f aca="false">Raw_Data!F4138</f>
        <v>430</v>
      </c>
      <c r="H4138" s="3" t="str">
        <f aca="false">Raw_Data!G4138</f>
        <v>yes</v>
      </c>
      <c r="I4138" s="3" t="str">
        <f aca="false">Raw_Data!H4138</f>
        <v>no</v>
      </c>
      <c r="J4138" s="2" t="n">
        <f aca="false">IF(F4138="yes",1,0)</f>
        <v>0</v>
      </c>
      <c r="K4138" s="2" t="n">
        <f aca="false">IF(H4138="yes",1,0)</f>
        <v>1</v>
      </c>
      <c r="L4138" s="2" t="n">
        <f aca="false">IF(I4138="yes",1,0)</f>
        <v>0</v>
      </c>
      <c r="M4138" s="2" t="n">
        <f aca="false">IF(G4138&lt;0,1,0)</f>
        <v>0</v>
      </c>
      <c r="N4138" s="2" t="str">
        <f aca="false">_xlfn.IFS(B4138&lt;30,"Under 30",B4138&lt;40,"30-39",B4138&lt;50,"40-49",B4138&lt;60,"50-59",TRUE(),"60+")</f>
        <v>30-39</v>
      </c>
      <c r="O4138" s="2" t="str">
        <f aca="false">_xlfn.IFS(G4138&lt;0,"1 Negative",G4138=0,"2 Zero",G4138&lt;=500,"3 1-500",G4138&lt;=2000,"4 501-2000",TRUE(),"5 Above 2000")</f>
        <v>3 1-500</v>
      </c>
      <c r="P4138" s="2" t="n">
        <f aca="false">Lookups!$B$2*M4138+Lookups!$B$3*L4138</f>
        <v>0</v>
      </c>
      <c r="Q4138" s="2" t="str">
        <f aca="false">INDEX(Lookups!$E$2:$E$5,MATCH(P4138,Lookups!$D$2:$D$5,0))</f>
        <v>Low</v>
      </c>
    </row>
    <row r="4139" customFormat="false" ht="15" hidden="false" customHeight="false" outlineLevel="0" collapsed="false">
      <c r="A4139" s="3" t="n">
        <v>4138</v>
      </c>
      <c r="B4139" s="3" t="n">
        <f aca="false">Raw_Data!A4139</f>
        <v>59</v>
      </c>
      <c r="C4139" s="3" t="str">
        <f aca="false">SUBSTITUTE(Raw_Data!B4139,".","")</f>
        <v>unknown</v>
      </c>
      <c r="D4139" s="3" t="str">
        <f aca="false">Raw_Data!C4139</f>
        <v>married</v>
      </c>
      <c r="E4139" s="3" t="str">
        <f aca="false">Raw_Data!D4139</f>
        <v>unknown</v>
      </c>
      <c r="F4139" s="3" t="str">
        <f aca="false">Raw_Data!E4139</f>
        <v>no</v>
      </c>
      <c r="G4139" s="3" t="n">
        <f aca="false">Raw_Data!F4139</f>
        <v>3940</v>
      </c>
      <c r="H4139" s="3" t="str">
        <f aca="false">Raw_Data!G4139</f>
        <v>no</v>
      </c>
      <c r="I4139" s="3" t="str">
        <f aca="false">Raw_Data!H4139</f>
        <v>no</v>
      </c>
      <c r="J4139" s="2" t="n">
        <f aca="false">IF(F4139="yes",1,0)</f>
        <v>0</v>
      </c>
      <c r="K4139" s="2" t="n">
        <f aca="false">IF(H4139="yes",1,0)</f>
        <v>0</v>
      </c>
      <c r="L4139" s="2" t="n">
        <f aca="false">IF(I4139="yes",1,0)</f>
        <v>0</v>
      </c>
      <c r="M4139" s="2" t="n">
        <f aca="false">IF(G4139&lt;0,1,0)</f>
        <v>0</v>
      </c>
      <c r="N4139" s="2" t="str">
        <f aca="false">_xlfn.IFS(B4139&lt;30,"Under 30",B4139&lt;40,"30-39",B4139&lt;50,"40-49",B4139&lt;60,"50-59",TRUE(),"60+")</f>
        <v>50-59</v>
      </c>
      <c r="O4139" s="2" t="str">
        <f aca="false">_xlfn.IFS(G4139&lt;0,"1 Negative",G4139=0,"2 Zero",G4139&lt;=500,"3 1-500",G4139&lt;=2000,"4 501-2000",TRUE(),"5 Above 2000")</f>
        <v>5 Above 2000</v>
      </c>
      <c r="P4139" s="2" t="n">
        <f aca="false">Lookups!$B$2*M4139+Lookups!$B$3*L4139</f>
        <v>0</v>
      </c>
      <c r="Q4139" s="2" t="str">
        <f aca="false">INDEX(Lookups!$E$2:$E$5,MATCH(P4139,Lookups!$D$2:$D$5,0))</f>
        <v>Low</v>
      </c>
    </row>
    <row r="4140" customFormat="false" ht="15" hidden="false" customHeight="false" outlineLevel="0" collapsed="false">
      <c r="A4140" s="3" t="n">
        <v>4139</v>
      </c>
      <c r="B4140" s="3" t="n">
        <f aca="false">Raw_Data!A4140</f>
        <v>36</v>
      </c>
      <c r="C4140" s="3" t="str">
        <f aca="false">SUBSTITUTE(Raw_Data!B4140,".","")</f>
        <v>housemaid</v>
      </c>
      <c r="D4140" s="3" t="str">
        <f aca="false">Raw_Data!C4140</f>
        <v>married</v>
      </c>
      <c r="E4140" s="3" t="str">
        <f aca="false">Raw_Data!D4140</f>
        <v>secondary</v>
      </c>
      <c r="F4140" s="3" t="str">
        <f aca="false">Raw_Data!E4140</f>
        <v>no</v>
      </c>
      <c r="G4140" s="3" t="n">
        <f aca="false">Raw_Data!F4140</f>
        <v>2880</v>
      </c>
      <c r="H4140" s="3" t="str">
        <f aca="false">Raw_Data!G4140</f>
        <v>no</v>
      </c>
      <c r="I4140" s="3" t="str">
        <f aca="false">Raw_Data!H4140</f>
        <v>no</v>
      </c>
      <c r="J4140" s="2" t="n">
        <f aca="false">IF(F4140="yes",1,0)</f>
        <v>0</v>
      </c>
      <c r="K4140" s="2" t="n">
        <f aca="false">IF(H4140="yes",1,0)</f>
        <v>0</v>
      </c>
      <c r="L4140" s="2" t="n">
        <f aca="false">IF(I4140="yes",1,0)</f>
        <v>0</v>
      </c>
      <c r="M4140" s="2" t="n">
        <f aca="false">IF(G4140&lt;0,1,0)</f>
        <v>0</v>
      </c>
      <c r="N4140" s="2" t="str">
        <f aca="false">_xlfn.IFS(B4140&lt;30,"Under 30",B4140&lt;40,"30-39",B4140&lt;50,"40-49",B4140&lt;60,"50-59",TRUE(),"60+")</f>
        <v>30-39</v>
      </c>
      <c r="O4140" s="2" t="str">
        <f aca="false">_xlfn.IFS(G4140&lt;0,"1 Negative",G4140=0,"2 Zero",G4140&lt;=500,"3 1-500",G4140&lt;=2000,"4 501-2000",TRUE(),"5 Above 2000")</f>
        <v>5 Above 2000</v>
      </c>
      <c r="P4140" s="2" t="n">
        <f aca="false">Lookups!$B$2*M4140+Lookups!$B$3*L4140</f>
        <v>0</v>
      </c>
      <c r="Q4140" s="2" t="str">
        <f aca="false">INDEX(Lookups!$E$2:$E$5,MATCH(P4140,Lookups!$D$2:$D$5,0))</f>
        <v>Low</v>
      </c>
    </row>
    <row r="4141" customFormat="false" ht="15" hidden="false" customHeight="false" outlineLevel="0" collapsed="false">
      <c r="A4141" s="3" t="n">
        <v>4140</v>
      </c>
      <c r="B4141" s="3" t="n">
        <f aca="false">Raw_Data!A4141</f>
        <v>51</v>
      </c>
      <c r="C4141" s="3" t="str">
        <f aca="false">SUBSTITUTE(Raw_Data!B4141,".","")</f>
        <v>blue-collar</v>
      </c>
      <c r="D4141" s="3" t="str">
        <f aca="false">Raw_Data!C4141</f>
        <v>divorced</v>
      </c>
      <c r="E4141" s="3" t="str">
        <f aca="false">Raw_Data!D4141</f>
        <v>secondary</v>
      </c>
      <c r="F4141" s="3" t="str">
        <f aca="false">Raw_Data!E4141</f>
        <v>no</v>
      </c>
      <c r="G4141" s="3" t="n">
        <f aca="false">Raw_Data!F4141</f>
        <v>1069</v>
      </c>
      <c r="H4141" s="3" t="str">
        <f aca="false">Raw_Data!G4141</f>
        <v>yes</v>
      </c>
      <c r="I4141" s="3" t="str">
        <f aca="false">Raw_Data!H4141</f>
        <v>no</v>
      </c>
      <c r="J4141" s="2" t="n">
        <f aca="false">IF(F4141="yes",1,0)</f>
        <v>0</v>
      </c>
      <c r="K4141" s="2" t="n">
        <f aca="false">IF(H4141="yes",1,0)</f>
        <v>1</v>
      </c>
      <c r="L4141" s="2" t="n">
        <f aca="false">IF(I4141="yes",1,0)</f>
        <v>0</v>
      </c>
      <c r="M4141" s="2" t="n">
        <f aca="false">IF(G4141&lt;0,1,0)</f>
        <v>0</v>
      </c>
      <c r="N4141" s="2" t="str">
        <f aca="false">_xlfn.IFS(B4141&lt;30,"Under 30",B4141&lt;40,"30-39",B4141&lt;50,"40-49",B4141&lt;60,"50-59",TRUE(),"60+")</f>
        <v>50-59</v>
      </c>
      <c r="O4141" s="2" t="str">
        <f aca="false">_xlfn.IFS(G4141&lt;0,"1 Negative",G4141=0,"2 Zero",G4141&lt;=500,"3 1-500",G4141&lt;=2000,"4 501-2000",TRUE(),"5 Above 2000")</f>
        <v>4 501-2000</v>
      </c>
      <c r="P4141" s="2" t="n">
        <f aca="false">Lookups!$B$2*M4141+Lookups!$B$3*L4141</f>
        <v>0</v>
      </c>
      <c r="Q4141" s="2" t="str">
        <f aca="false">INDEX(Lookups!$E$2:$E$5,MATCH(P4141,Lookups!$D$2:$D$5,0))</f>
        <v>Low</v>
      </c>
    </row>
    <row r="4142" customFormat="false" ht="15" hidden="false" customHeight="false" outlineLevel="0" collapsed="false">
      <c r="A4142" s="3" t="n">
        <v>4141</v>
      </c>
      <c r="B4142" s="3" t="n">
        <f aca="false">Raw_Data!A4142</f>
        <v>54</v>
      </c>
      <c r="C4142" s="3" t="str">
        <f aca="false">SUBSTITUTE(Raw_Data!B4142,".","")</f>
        <v>self-employed</v>
      </c>
      <c r="D4142" s="3" t="str">
        <f aca="false">Raw_Data!C4142</f>
        <v>divorced</v>
      </c>
      <c r="E4142" s="3" t="str">
        <f aca="false">Raw_Data!D4142</f>
        <v>primary</v>
      </c>
      <c r="F4142" s="3" t="str">
        <f aca="false">Raw_Data!E4142</f>
        <v>no</v>
      </c>
      <c r="G4142" s="3" t="n">
        <f aca="false">Raw_Data!F4142</f>
        <v>4382</v>
      </c>
      <c r="H4142" s="3" t="str">
        <f aca="false">Raw_Data!G4142</f>
        <v>yes</v>
      </c>
      <c r="I4142" s="3" t="str">
        <f aca="false">Raw_Data!H4142</f>
        <v>no</v>
      </c>
      <c r="J4142" s="2" t="n">
        <f aca="false">IF(F4142="yes",1,0)</f>
        <v>0</v>
      </c>
      <c r="K4142" s="2" t="n">
        <f aca="false">IF(H4142="yes",1,0)</f>
        <v>1</v>
      </c>
      <c r="L4142" s="2" t="n">
        <f aca="false">IF(I4142="yes",1,0)</f>
        <v>0</v>
      </c>
      <c r="M4142" s="2" t="n">
        <f aca="false">IF(G4142&lt;0,1,0)</f>
        <v>0</v>
      </c>
      <c r="N4142" s="2" t="str">
        <f aca="false">_xlfn.IFS(B4142&lt;30,"Under 30",B4142&lt;40,"30-39",B4142&lt;50,"40-49",B4142&lt;60,"50-59",TRUE(),"60+")</f>
        <v>50-59</v>
      </c>
      <c r="O4142" s="2" t="str">
        <f aca="false">_xlfn.IFS(G4142&lt;0,"1 Negative",G4142=0,"2 Zero",G4142&lt;=500,"3 1-500",G4142&lt;=2000,"4 501-2000",TRUE(),"5 Above 2000")</f>
        <v>5 Above 2000</v>
      </c>
      <c r="P4142" s="2" t="n">
        <f aca="false">Lookups!$B$2*M4142+Lookups!$B$3*L4142</f>
        <v>0</v>
      </c>
      <c r="Q4142" s="2" t="str">
        <f aca="false">INDEX(Lookups!$E$2:$E$5,MATCH(P4142,Lookups!$D$2:$D$5,0))</f>
        <v>Low</v>
      </c>
    </row>
    <row r="4143" customFormat="false" ht="15" hidden="false" customHeight="false" outlineLevel="0" collapsed="false">
      <c r="A4143" s="3" t="n">
        <v>4142</v>
      </c>
      <c r="B4143" s="3" t="n">
        <f aca="false">Raw_Data!A4143</f>
        <v>37</v>
      </c>
      <c r="C4143" s="3" t="str">
        <f aca="false">SUBSTITUTE(Raw_Data!B4143,".","")</f>
        <v>management</v>
      </c>
      <c r="D4143" s="3" t="str">
        <f aca="false">Raw_Data!C4143</f>
        <v>married</v>
      </c>
      <c r="E4143" s="3" t="str">
        <f aca="false">Raw_Data!D4143</f>
        <v>tertiary</v>
      </c>
      <c r="F4143" s="3" t="str">
        <f aca="false">Raw_Data!E4143</f>
        <v>no</v>
      </c>
      <c r="G4143" s="3" t="n">
        <f aca="false">Raw_Data!F4143</f>
        <v>0</v>
      </c>
      <c r="H4143" s="3" t="str">
        <f aca="false">Raw_Data!G4143</f>
        <v>no</v>
      </c>
      <c r="I4143" s="3" t="str">
        <f aca="false">Raw_Data!H4143</f>
        <v>no</v>
      </c>
      <c r="J4143" s="2" t="n">
        <f aca="false">IF(F4143="yes",1,0)</f>
        <v>0</v>
      </c>
      <c r="K4143" s="2" t="n">
        <f aca="false">IF(H4143="yes",1,0)</f>
        <v>0</v>
      </c>
      <c r="L4143" s="2" t="n">
        <f aca="false">IF(I4143="yes",1,0)</f>
        <v>0</v>
      </c>
      <c r="M4143" s="2" t="n">
        <f aca="false">IF(G4143&lt;0,1,0)</f>
        <v>0</v>
      </c>
      <c r="N4143" s="2" t="str">
        <f aca="false">_xlfn.IFS(B4143&lt;30,"Under 30",B4143&lt;40,"30-39",B4143&lt;50,"40-49",B4143&lt;60,"50-59",TRUE(),"60+")</f>
        <v>30-39</v>
      </c>
      <c r="O4143" s="2" t="str">
        <f aca="false">_xlfn.IFS(G4143&lt;0,"1 Negative",G4143=0,"2 Zero",G4143&lt;=500,"3 1-500",G4143&lt;=2000,"4 501-2000",TRUE(),"5 Above 2000")</f>
        <v>2 Zero</v>
      </c>
      <c r="P4143" s="2" t="n">
        <f aca="false">Lookups!$B$2*M4143+Lookups!$B$3*L4143</f>
        <v>0</v>
      </c>
      <c r="Q4143" s="2" t="str">
        <f aca="false">INDEX(Lookups!$E$2:$E$5,MATCH(P4143,Lookups!$D$2:$D$5,0))</f>
        <v>Low</v>
      </c>
    </row>
    <row r="4144" customFormat="false" ht="15" hidden="false" customHeight="false" outlineLevel="0" collapsed="false">
      <c r="A4144" s="3" t="n">
        <v>4143</v>
      </c>
      <c r="B4144" s="3" t="n">
        <f aca="false">Raw_Data!A4144</f>
        <v>32</v>
      </c>
      <c r="C4144" s="3" t="str">
        <f aca="false">SUBSTITUTE(Raw_Data!B4144,".","")</f>
        <v>technician</v>
      </c>
      <c r="D4144" s="3" t="str">
        <f aca="false">Raw_Data!C4144</f>
        <v>married</v>
      </c>
      <c r="E4144" s="3" t="str">
        <f aca="false">Raw_Data!D4144</f>
        <v>tertiary</v>
      </c>
      <c r="F4144" s="3" t="str">
        <f aca="false">Raw_Data!E4144</f>
        <v>no</v>
      </c>
      <c r="G4144" s="3" t="n">
        <f aca="false">Raw_Data!F4144</f>
        <v>3939</v>
      </c>
      <c r="H4144" s="3" t="str">
        <f aca="false">Raw_Data!G4144</f>
        <v>no</v>
      </c>
      <c r="I4144" s="3" t="str">
        <f aca="false">Raw_Data!H4144</f>
        <v>no</v>
      </c>
      <c r="J4144" s="2" t="n">
        <f aca="false">IF(F4144="yes",1,0)</f>
        <v>0</v>
      </c>
      <c r="K4144" s="2" t="n">
        <f aca="false">IF(H4144="yes",1,0)</f>
        <v>0</v>
      </c>
      <c r="L4144" s="2" t="n">
        <f aca="false">IF(I4144="yes",1,0)</f>
        <v>0</v>
      </c>
      <c r="M4144" s="2" t="n">
        <f aca="false">IF(G4144&lt;0,1,0)</f>
        <v>0</v>
      </c>
      <c r="N4144" s="2" t="str">
        <f aca="false">_xlfn.IFS(B4144&lt;30,"Under 30",B4144&lt;40,"30-39",B4144&lt;50,"40-49",B4144&lt;60,"50-59",TRUE(),"60+")</f>
        <v>30-39</v>
      </c>
      <c r="O4144" s="2" t="str">
        <f aca="false">_xlfn.IFS(G4144&lt;0,"1 Negative",G4144=0,"2 Zero",G4144&lt;=500,"3 1-500",G4144&lt;=2000,"4 501-2000",TRUE(),"5 Above 2000")</f>
        <v>5 Above 2000</v>
      </c>
      <c r="P4144" s="2" t="n">
        <f aca="false">Lookups!$B$2*M4144+Lookups!$B$3*L4144</f>
        <v>0</v>
      </c>
      <c r="Q4144" s="2" t="str">
        <f aca="false">INDEX(Lookups!$E$2:$E$5,MATCH(P4144,Lookups!$D$2:$D$5,0))</f>
        <v>Low</v>
      </c>
    </row>
    <row r="4145" customFormat="false" ht="15" hidden="false" customHeight="false" outlineLevel="0" collapsed="false">
      <c r="A4145" s="3" t="n">
        <v>4144</v>
      </c>
      <c r="B4145" s="3" t="n">
        <f aca="false">Raw_Data!A4145</f>
        <v>42</v>
      </c>
      <c r="C4145" s="3" t="str">
        <f aca="false">SUBSTITUTE(Raw_Data!B4145,".","")</f>
        <v>self-employed</v>
      </c>
      <c r="D4145" s="3" t="str">
        <f aca="false">Raw_Data!C4145</f>
        <v>married</v>
      </c>
      <c r="E4145" s="3" t="str">
        <f aca="false">Raw_Data!D4145</f>
        <v>tertiary</v>
      </c>
      <c r="F4145" s="3" t="str">
        <f aca="false">Raw_Data!E4145</f>
        <v>no</v>
      </c>
      <c r="G4145" s="3" t="n">
        <f aca="false">Raw_Data!F4145</f>
        <v>753</v>
      </c>
      <c r="H4145" s="3" t="str">
        <f aca="false">Raw_Data!G4145</f>
        <v>no</v>
      </c>
      <c r="I4145" s="3" t="str">
        <f aca="false">Raw_Data!H4145</f>
        <v>no</v>
      </c>
      <c r="J4145" s="2" t="n">
        <f aca="false">IF(F4145="yes",1,0)</f>
        <v>0</v>
      </c>
      <c r="K4145" s="2" t="n">
        <f aca="false">IF(H4145="yes",1,0)</f>
        <v>0</v>
      </c>
      <c r="L4145" s="2" t="n">
        <f aca="false">IF(I4145="yes",1,0)</f>
        <v>0</v>
      </c>
      <c r="M4145" s="2" t="n">
        <f aca="false">IF(G4145&lt;0,1,0)</f>
        <v>0</v>
      </c>
      <c r="N4145" s="2" t="str">
        <f aca="false">_xlfn.IFS(B4145&lt;30,"Under 30",B4145&lt;40,"30-39",B4145&lt;50,"40-49",B4145&lt;60,"50-59",TRUE(),"60+")</f>
        <v>40-49</v>
      </c>
      <c r="O4145" s="2" t="str">
        <f aca="false">_xlfn.IFS(G4145&lt;0,"1 Negative",G4145=0,"2 Zero",G4145&lt;=500,"3 1-500",G4145&lt;=2000,"4 501-2000",TRUE(),"5 Above 2000")</f>
        <v>4 501-2000</v>
      </c>
      <c r="P4145" s="2" t="n">
        <f aca="false">Lookups!$B$2*M4145+Lookups!$B$3*L4145</f>
        <v>0</v>
      </c>
      <c r="Q4145" s="2" t="str">
        <f aca="false">INDEX(Lookups!$E$2:$E$5,MATCH(P4145,Lookups!$D$2:$D$5,0))</f>
        <v>Low</v>
      </c>
    </row>
    <row r="4146" customFormat="false" ht="15" hidden="false" customHeight="false" outlineLevel="0" collapsed="false">
      <c r="A4146" s="3" t="n">
        <v>4145</v>
      </c>
      <c r="B4146" s="3" t="n">
        <f aca="false">Raw_Data!A4146</f>
        <v>29</v>
      </c>
      <c r="C4146" s="3" t="str">
        <f aca="false">SUBSTITUTE(Raw_Data!B4146,".","")</f>
        <v>blue-collar</v>
      </c>
      <c r="D4146" s="3" t="str">
        <f aca="false">Raw_Data!C4146</f>
        <v>married</v>
      </c>
      <c r="E4146" s="3" t="str">
        <f aca="false">Raw_Data!D4146</f>
        <v>secondary</v>
      </c>
      <c r="F4146" s="3" t="str">
        <f aca="false">Raw_Data!E4146</f>
        <v>no</v>
      </c>
      <c r="G4146" s="3" t="n">
        <f aca="false">Raw_Data!F4146</f>
        <v>358</v>
      </c>
      <c r="H4146" s="3" t="str">
        <f aca="false">Raw_Data!G4146</f>
        <v>no</v>
      </c>
      <c r="I4146" s="3" t="str">
        <f aca="false">Raw_Data!H4146</f>
        <v>no</v>
      </c>
      <c r="J4146" s="2" t="n">
        <f aca="false">IF(F4146="yes",1,0)</f>
        <v>0</v>
      </c>
      <c r="K4146" s="2" t="n">
        <f aca="false">IF(H4146="yes",1,0)</f>
        <v>0</v>
      </c>
      <c r="L4146" s="2" t="n">
        <f aca="false">IF(I4146="yes",1,0)</f>
        <v>0</v>
      </c>
      <c r="M4146" s="2" t="n">
        <f aca="false">IF(G4146&lt;0,1,0)</f>
        <v>0</v>
      </c>
      <c r="N4146" s="2" t="str">
        <f aca="false">_xlfn.IFS(B4146&lt;30,"Under 30",B4146&lt;40,"30-39",B4146&lt;50,"40-49",B4146&lt;60,"50-59",TRUE(),"60+")</f>
        <v>Under 30</v>
      </c>
      <c r="O4146" s="2" t="str">
        <f aca="false">_xlfn.IFS(G4146&lt;0,"1 Negative",G4146=0,"2 Zero",G4146&lt;=500,"3 1-500",G4146&lt;=2000,"4 501-2000",TRUE(),"5 Above 2000")</f>
        <v>3 1-500</v>
      </c>
      <c r="P4146" s="2" t="n">
        <f aca="false">Lookups!$B$2*M4146+Lookups!$B$3*L4146</f>
        <v>0</v>
      </c>
      <c r="Q4146" s="2" t="str">
        <f aca="false">INDEX(Lookups!$E$2:$E$5,MATCH(P4146,Lookups!$D$2:$D$5,0))</f>
        <v>Low</v>
      </c>
    </row>
    <row r="4147" customFormat="false" ht="15" hidden="false" customHeight="false" outlineLevel="0" collapsed="false">
      <c r="A4147" s="3" t="n">
        <v>4146</v>
      </c>
      <c r="B4147" s="3" t="n">
        <f aca="false">Raw_Data!A4147</f>
        <v>52</v>
      </c>
      <c r="C4147" s="3" t="str">
        <f aca="false">SUBSTITUTE(Raw_Data!B4147,".","")</f>
        <v>blue-collar</v>
      </c>
      <c r="D4147" s="3" t="str">
        <f aca="false">Raw_Data!C4147</f>
        <v>married</v>
      </c>
      <c r="E4147" s="3" t="str">
        <f aca="false">Raw_Data!D4147</f>
        <v>primary</v>
      </c>
      <c r="F4147" s="3" t="str">
        <f aca="false">Raw_Data!E4147</f>
        <v>no</v>
      </c>
      <c r="G4147" s="3" t="n">
        <f aca="false">Raw_Data!F4147</f>
        <v>1141</v>
      </c>
      <c r="H4147" s="3" t="str">
        <f aca="false">Raw_Data!G4147</f>
        <v>yes</v>
      </c>
      <c r="I4147" s="3" t="str">
        <f aca="false">Raw_Data!H4147</f>
        <v>no</v>
      </c>
      <c r="J4147" s="2" t="n">
        <f aca="false">IF(F4147="yes",1,0)</f>
        <v>0</v>
      </c>
      <c r="K4147" s="2" t="n">
        <f aca="false">IF(H4147="yes",1,0)</f>
        <v>1</v>
      </c>
      <c r="L4147" s="2" t="n">
        <f aca="false">IF(I4147="yes",1,0)</f>
        <v>0</v>
      </c>
      <c r="M4147" s="2" t="n">
        <f aca="false">IF(G4147&lt;0,1,0)</f>
        <v>0</v>
      </c>
      <c r="N4147" s="2" t="str">
        <f aca="false">_xlfn.IFS(B4147&lt;30,"Under 30",B4147&lt;40,"30-39",B4147&lt;50,"40-49",B4147&lt;60,"50-59",TRUE(),"60+")</f>
        <v>50-59</v>
      </c>
      <c r="O4147" s="2" t="str">
        <f aca="false">_xlfn.IFS(G4147&lt;0,"1 Negative",G4147=0,"2 Zero",G4147&lt;=500,"3 1-500",G4147&lt;=2000,"4 501-2000",TRUE(),"5 Above 2000")</f>
        <v>4 501-2000</v>
      </c>
      <c r="P4147" s="2" t="n">
        <f aca="false">Lookups!$B$2*M4147+Lookups!$B$3*L4147</f>
        <v>0</v>
      </c>
      <c r="Q4147" s="2" t="str">
        <f aca="false">INDEX(Lookups!$E$2:$E$5,MATCH(P4147,Lookups!$D$2:$D$5,0))</f>
        <v>Low</v>
      </c>
    </row>
    <row r="4148" customFormat="false" ht="15" hidden="false" customHeight="false" outlineLevel="0" collapsed="false">
      <c r="A4148" s="3" t="n">
        <v>4147</v>
      </c>
      <c r="B4148" s="3" t="n">
        <f aca="false">Raw_Data!A4148</f>
        <v>40</v>
      </c>
      <c r="C4148" s="3" t="str">
        <f aca="false">SUBSTITUTE(Raw_Data!B4148,".","")</f>
        <v>technician</v>
      </c>
      <c r="D4148" s="3" t="str">
        <f aca="false">Raw_Data!C4148</f>
        <v>married</v>
      </c>
      <c r="E4148" s="3" t="str">
        <f aca="false">Raw_Data!D4148</f>
        <v>secondary</v>
      </c>
      <c r="F4148" s="3" t="str">
        <f aca="false">Raw_Data!E4148</f>
        <v>no</v>
      </c>
      <c r="G4148" s="3" t="n">
        <f aca="false">Raw_Data!F4148</f>
        <v>1259</v>
      </c>
      <c r="H4148" s="3" t="str">
        <f aca="false">Raw_Data!G4148</f>
        <v>no</v>
      </c>
      <c r="I4148" s="3" t="str">
        <f aca="false">Raw_Data!H4148</f>
        <v>no</v>
      </c>
      <c r="J4148" s="2" t="n">
        <f aca="false">IF(F4148="yes",1,0)</f>
        <v>0</v>
      </c>
      <c r="K4148" s="2" t="n">
        <f aca="false">IF(H4148="yes",1,0)</f>
        <v>0</v>
      </c>
      <c r="L4148" s="2" t="n">
        <f aca="false">IF(I4148="yes",1,0)</f>
        <v>0</v>
      </c>
      <c r="M4148" s="2" t="n">
        <f aca="false">IF(G4148&lt;0,1,0)</f>
        <v>0</v>
      </c>
      <c r="N4148" s="2" t="str">
        <f aca="false">_xlfn.IFS(B4148&lt;30,"Under 30",B4148&lt;40,"30-39",B4148&lt;50,"40-49",B4148&lt;60,"50-59",TRUE(),"60+")</f>
        <v>40-49</v>
      </c>
      <c r="O4148" s="2" t="str">
        <f aca="false">_xlfn.IFS(G4148&lt;0,"1 Negative",G4148=0,"2 Zero",G4148&lt;=500,"3 1-500",G4148&lt;=2000,"4 501-2000",TRUE(),"5 Above 2000")</f>
        <v>4 501-2000</v>
      </c>
      <c r="P4148" s="2" t="n">
        <f aca="false">Lookups!$B$2*M4148+Lookups!$B$3*L4148</f>
        <v>0</v>
      </c>
      <c r="Q4148" s="2" t="str">
        <f aca="false">INDEX(Lookups!$E$2:$E$5,MATCH(P4148,Lookups!$D$2:$D$5,0))</f>
        <v>Low</v>
      </c>
    </row>
    <row r="4149" customFormat="false" ht="15" hidden="false" customHeight="false" outlineLevel="0" collapsed="false">
      <c r="A4149" s="3" t="n">
        <v>4148</v>
      </c>
      <c r="B4149" s="3" t="n">
        <f aca="false">Raw_Data!A4149</f>
        <v>30</v>
      </c>
      <c r="C4149" s="3" t="str">
        <f aca="false">SUBSTITUTE(Raw_Data!B4149,".","")</f>
        <v>services</v>
      </c>
      <c r="D4149" s="3" t="str">
        <f aca="false">Raw_Data!C4149</f>
        <v>married</v>
      </c>
      <c r="E4149" s="3" t="str">
        <f aca="false">Raw_Data!D4149</f>
        <v>secondary</v>
      </c>
      <c r="F4149" s="3" t="str">
        <f aca="false">Raw_Data!E4149</f>
        <v>no</v>
      </c>
      <c r="G4149" s="3" t="n">
        <f aca="false">Raw_Data!F4149</f>
        <v>227</v>
      </c>
      <c r="H4149" s="3" t="str">
        <f aca="false">Raw_Data!G4149</f>
        <v>no</v>
      </c>
      <c r="I4149" s="3" t="str">
        <f aca="false">Raw_Data!H4149</f>
        <v>yes</v>
      </c>
      <c r="J4149" s="2" t="n">
        <f aca="false">IF(F4149="yes",1,0)</f>
        <v>0</v>
      </c>
      <c r="K4149" s="2" t="n">
        <f aca="false">IF(H4149="yes",1,0)</f>
        <v>0</v>
      </c>
      <c r="L4149" s="2" t="n">
        <f aca="false">IF(I4149="yes",1,0)</f>
        <v>1</v>
      </c>
      <c r="M4149" s="2" t="n">
        <f aca="false">IF(G4149&lt;0,1,0)</f>
        <v>0</v>
      </c>
      <c r="N4149" s="2" t="str">
        <f aca="false">_xlfn.IFS(B4149&lt;30,"Under 30",B4149&lt;40,"30-39",B4149&lt;50,"40-49",B4149&lt;60,"50-59",TRUE(),"60+")</f>
        <v>30-39</v>
      </c>
      <c r="O4149" s="2" t="str">
        <f aca="false">_xlfn.IFS(G4149&lt;0,"1 Negative",G4149=0,"2 Zero",G4149&lt;=500,"3 1-500",G4149&lt;=2000,"4 501-2000",TRUE(),"5 Above 2000")</f>
        <v>3 1-500</v>
      </c>
      <c r="P4149" s="2" t="n">
        <f aca="false">Lookups!$B$2*M4149+Lookups!$B$3*L4149</f>
        <v>1</v>
      </c>
      <c r="Q4149" s="2" t="str">
        <f aca="false">INDEX(Lookups!$E$2:$E$5,MATCH(P4149,Lookups!$D$2:$D$5,0))</f>
        <v>Medium</v>
      </c>
    </row>
    <row r="4150" customFormat="false" ht="15" hidden="false" customHeight="false" outlineLevel="0" collapsed="false">
      <c r="A4150" s="3" t="n">
        <v>4149</v>
      </c>
      <c r="B4150" s="3" t="n">
        <f aca="false">Raw_Data!A4150</f>
        <v>55</v>
      </c>
      <c r="C4150" s="3" t="str">
        <f aca="false">SUBSTITUTE(Raw_Data!B4150,".","")</f>
        <v>entrepreneur</v>
      </c>
      <c r="D4150" s="3" t="str">
        <f aca="false">Raw_Data!C4150</f>
        <v>divorced</v>
      </c>
      <c r="E4150" s="3" t="str">
        <f aca="false">Raw_Data!D4150</f>
        <v>secondary</v>
      </c>
      <c r="F4150" s="3" t="str">
        <f aca="false">Raw_Data!E4150</f>
        <v>no</v>
      </c>
      <c r="G4150" s="3" t="n">
        <f aca="false">Raw_Data!F4150</f>
        <v>538</v>
      </c>
      <c r="H4150" s="3" t="str">
        <f aca="false">Raw_Data!G4150</f>
        <v>yes</v>
      </c>
      <c r="I4150" s="3" t="str">
        <f aca="false">Raw_Data!H4150</f>
        <v>no</v>
      </c>
      <c r="J4150" s="2" t="n">
        <f aca="false">IF(F4150="yes",1,0)</f>
        <v>0</v>
      </c>
      <c r="K4150" s="2" t="n">
        <f aca="false">IF(H4150="yes",1,0)</f>
        <v>1</v>
      </c>
      <c r="L4150" s="2" t="n">
        <f aca="false">IF(I4150="yes",1,0)</f>
        <v>0</v>
      </c>
      <c r="M4150" s="2" t="n">
        <f aca="false">IF(G4150&lt;0,1,0)</f>
        <v>0</v>
      </c>
      <c r="N4150" s="2" t="str">
        <f aca="false">_xlfn.IFS(B4150&lt;30,"Under 30",B4150&lt;40,"30-39",B4150&lt;50,"40-49",B4150&lt;60,"50-59",TRUE(),"60+")</f>
        <v>50-59</v>
      </c>
      <c r="O4150" s="2" t="str">
        <f aca="false">_xlfn.IFS(G4150&lt;0,"1 Negative",G4150=0,"2 Zero",G4150&lt;=500,"3 1-500",G4150&lt;=2000,"4 501-2000",TRUE(),"5 Above 2000")</f>
        <v>4 501-2000</v>
      </c>
      <c r="P4150" s="2" t="n">
        <f aca="false">Lookups!$B$2*M4150+Lookups!$B$3*L4150</f>
        <v>0</v>
      </c>
      <c r="Q4150" s="2" t="str">
        <f aca="false">INDEX(Lookups!$E$2:$E$5,MATCH(P4150,Lookups!$D$2:$D$5,0))</f>
        <v>Low</v>
      </c>
    </row>
    <row r="4151" customFormat="false" ht="15" hidden="false" customHeight="false" outlineLevel="0" collapsed="false">
      <c r="A4151" s="3" t="n">
        <v>4150</v>
      </c>
      <c r="B4151" s="3" t="n">
        <f aca="false">Raw_Data!A4151</f>
        <v>49</v>
      </c>
      <c r="C4151" s="3" t="str">
        <f aca="false">SUBSTITUTE(Raw_Data!B4151,".","")</f>
        <v>management</v>
      </c>
      <c r="D4151" s="3" t="str">
        <f aca="false">Raw_Data!C4151</f>
        <v>married</v>
      </c>
      <c r="E4151" s="3" t="str">
        <f aca="false">Raw_Data!D4151</f>
        <v>tertiary</v>
      </c>
      <c r="F4151" s="3" t="str">
        <f aca="false">Raw_Data!E4151</f>
        <v>no</v>
      </c>
      <c r="G4151" s="3" t="n">
        <f aca="false">Raw_Data!F4151</f>
        <v>92</v>
      </c>
      <c r="H4151" s="3" t="str">
        <f aca="false">Raw_Data!G4151</f>
        <v>yes</v>
      </c>
      <c r="I4151" s="3" t="str">
        <f aca="false">Raw_Data!H4151</f>
        <v>no</v>
      </c>
      <c r="J4151" s="2" t="n">
        <f aca="false">IF(F4151="yes",1,0)</f>
        <v>0</v>
      </c>
      <c r="K4151" s="2" t="n">
        <f aca="false">IF(H4151="yes",1,0)</f>
        <v>1</v>
      </c>
      <c r="L4151" s="2" t="n">
        <f aca="false">IF(I4151="yes",1,0)</f>
        <v>0</v>
      </c>
      <c r="M4151" s="2" t="n">
        <f aca="false">IF(G4151&lt;0,1,0)</f>
        <v>0</v>
      </c>
      <c r="N4151" s="2" t="str">
        <f aca="false">_xlfn.IFS(B4151&lt;30,"Under 30",B4151&lt;40,"30-39",B4151&lt;50,"40-49",B4151&lt;60,"50-59",TRUE(),"60+")</f>
        <v>40-49</v>
      </c>
      <c r="O4151" s="2" t="str">
        <f aca="false">_xlfn.IFS(G4151&lt;0,"1 Negative",G4151=0,"2 Zero",G4151&lt;=500,"3 1-500",G4151&lt;=2000,"4 501-2000",TRUE(),"5 Above 2000")</f>
        <v>3 1-500</v>
      </c>
      <c r="P4151" s="2" t="n">
        <f aca="false">Lookups!$B$2*M4151+Lookups!$B$3*L4151</f>
        <v>0</v>
      </c>
      <c r="Q4151" s="2" t="str">
        <f aca="false">INDEX(Lookups!$E$2:$E$5,MATCH(P4151,Lookups!$D$2:$D$5,0))</f>
        <v>Low</v>
      </c>
    </row>
    <row r="4152" customFormat="false" ht="15" hidden="false" customHeight="false" outlineLevel="0" collapsed="false">
      <c r="A4152" s="3" t="n">
        <v>4151</v>
      </c>
      <c r="B4152" s="3" t="n">
        <f aca="false">Raw_Data!A4152</f>
        <v>33</v>
      </c>
      <c r="C4152" s="3" t="str">
        <f aca="false">SUBSTITUTE(Raw_Data!B4152,".","")</f>
        <v>technician</v>
      </c>
      <c r="D4152" s="3" t="str">
        <f aca="false">Raw_Data!C4152</f>
        <v>married</v>
      </c>
      <c r="E4152" s="3" t="str">
        <f aca="false">Raw_Data!D4152</f>
        <v>tertiary</v>
      </c>
      <c r="F4152" s="3" t="str">
        <f aca="false">Raw_Data!E4152</f>
        <v>no</v>
      </c>
      <c r="G4152" s="3" t="n">
        <f aca="false">Raw_Data!F4152</f>
        <v>8023</v>
      </c>
      <c r="H4152" s="3" t="str">
        <f aca="false">Raw_Data!G4152</f>
        <v>no</v>
      </c>
      <c r="I4152" s="3" t="str">
        <f aca="false">Raw_Data!H4152</f>
        <v>no</v>
      </c>
      <c r="J4152" s="2" t="n">
        <f aca="false">IF(F4152="yes",1,0)</f>
        <v>0</v>
      </c>
      <c r="K4152" s="2" t="n">
        <f aca="false">IF(H4152="yes",1,0)</f>
        <v>0</v>
      </c>
      <c r="L4152" s="2" t="n">
        <f aca="false">IF(I4152="yes",1,0)</f>
        <v>0</v>
      </c>
      <c r="M4152" s="2" t="n">
        <f aca="false">IF(G4152&lt;0,1,0)</f>
        <v>0</v>
      </c>
      <c r="N4152" s="2" t="str">
        <f aca="false">_xlfn.IFS(B4152&lt;30,"Under 30",B4152&lt;40,"30-39",B4152&lt;50,"40-49",B4152&lt;60,"50-59",TRUE(),"60+")</f>
        <v>30-39</v>
      </c>
      <c r="O4152" s="2" t="str">
        <f aca="false">_xlfn.IFS(G4152&lt;0,"1 Negative",G4152=0,"2 Zero",G4152&lt;=500,"3 1-500",G4152&lt;=2000,"4 501-2000",TRUE(),"5 Above 2000")</f>
        <v>5 Above 2000</v>
      </c>
      <c r="P4152" s="2" t="n">
        <f aca="false">Lookups!$B$2*M4152+Lookups!$B$3*L4152</f>
        <v>0</v>
      </c>
      <c r="Q4152" s="2" t="str">
        <f aca="false">INDEX(Lookups!$E$2:$E$5,MATCH(P4152,Lookups!$D$2:$D$5,0))</f>
        <v>Low</v>
      </c>
    </row>
    <row r="4153" customFormat="false" ht="15" hidden="false" customHeight="false" outlineLevel="0" collapsed="false">
      <c r="A4153" s="3" t="n">
        <v>4152</v>
      </c>
      <c r="B4153" s="3" t="n">
        <f aca="false">Raw_Data!A4153</f>
        <v>32</v>
      </c>
      <c r="C4153" s="3" t="str">
        <f aca="false">SUBSTITUTE(Raw_Data!B4153,".","")</f>
        <v>services</v>
      </c>
      <c r="D4153" s="3" t="str">
        <f aca="false">Raw_Data!C4153</f>
        <v>single</v>
      </c>
      <c r="E4153" s="3" t="str">
        <f aca="false">Raw_Data!D4153</f>
        <v>secondary</v>
      </c>
      <c r="F4153" s="3" t="str">
        <f aca="false">Raw_Data!E4153</f>
        <v>no</v>
      </c>
      <c r="G4153" s="3" t="n">
        <f aca="false">Raw_Data!F4153</f>
        <v>2478</v>
      </c>
      <c r="H4153" s="3" t="str">
        <f aca="false">Raw_Data!G4153</f>
        <v>no</v>
      </c>
      <c r="I4153" s="3" t="str">
        <f aca="false">Raw_Data!H4153</f>
        <v>yes</v>
      </c>
      <c r="J4153" s="2" t="n">
        <f aca="false">IF(F4153="yes",1,0)</f>
        <v>0</v>
      </c>
      <c r="K4153" s="2" t="n">
        <f aca="false">IF(H4153="yes",1,0)</f>
        <v>0</v>
      </c>
      <c r="L4153" s="2" t="n">
        <f aca="false">IF(I4153="yes",1,0)</f>
        <v>1</v>
      </c>
      <c r="M4153" s="2" t="n">
        <f aca="false">IF(G4153&lt;0,1,0)</f>
        <v>0</v>
      </c>
      <c r="N4153" s="2" t="str">
        <f aca="false">_xlfn.IFS(B4153&lt;30,"Under 30",B4153&lt;40,"30-39",B4153&lt;50,"40-49",B4153&lt;60,"50-59",TRUE(),"60+")</f>
        <v>30-39</v>
      </c>
      <c r="O4153" s="2" t="str">
        <f aca="false">_xlfn.IFS(G4153&lt;0,"1 Negative",G4153=0,"2 Zero",G4153&lt;=500,"3 1-500",G4153&lt;=2000,"4 501-2000",TRUE(),"5 Above 2000")</f>
        <v>5 Above 2000</v>
      </c>
      <c r="P4153" s="2" t="n">
        <f aca="false">Lookups!$B$2*M4153+Lookups!$B$3*L4153</f>
        <v>1</v>
      </c>
      <c r="Q4153" s="2" t="str">
        <f aca="false">INDEX(Lookups!$E$2:$E$5,MATCH(P4153,Lookups!$D$2:$D$5,0))</f>
        <v>Medium</v>
      </c>
    </row>
    <row r="4154" customFormat="false" ht="15" hidden="false" customHeight="false" outlineLevel="0" collapsed="false">
      <c r="A4154" s="3" t="n">
        <v>4153</v>
      </c>
      <c r="B4154" s="3" t="n">
        <f aca="false">Raw_Data!A4154</f>
        <v>21</v>
      </c>
      <c r="C4154" s="3" t="str">
        <f aca="false">SUBSTITUTE(Raw_Data!B4154,".","")</f>
        <v>student</v>
      </c>
      <c r="D4154" s="3" t="str">
        <f aca="false">Raw_Data!C4154</f>
        <v>single</v>
      </c>
      <c r="E4154" s="3" t="str">
        <f aca="false">Raw_Data!D4154</f>
        <v>secondary</v>
      </c>
      <c r="F4154" s="3" t="str">
        <f aca="false">Raw_Data!E4154</f>
        <v>no</v>
      </c>
      <c r="G4154" s="3" t="n">
        <f aca="false">Raw_Data!F4154</f>
        <v>6844</v>
      </c>
      <c r="H4154" s="3" t="str">
        <f aca="false">Raw_Data!G4154</f>
        <v>no</v>
      </c>
      <c r="I4154" s="3" t="str">
        <f aca="false">Raw_Data!H4154</f>
        <v>no</v>
      </c>
      <c r="J4154" s="2" t="n">
        <f aca="false">IF(F4154="yes",1,0)</f>
        <v>0</v>
      </c>
      <c r="K4154" s="2" t="n">
        <f aca="false">IF(H4154="yes",1,0)</f>
        <v>0</v>
      </c>
      <c r="L4154" s="2" t="n">
        <f aca="false">IF(I4154="yes",1,0)</f>
        <v>0</v>
      </c>
      <c r="M4154" s="2" t="n">
        <f aca="false">IF(G4154&lt;0,1,0)</f>
        <v>0</v>
      </c>
      <c r="N4154" s="2" t="str">
        <f aca="false">_xlfn.IFS(B4154&lt;30,"Under 30",B4154&lt;40,"30-39",B4154&lt;50,"40-49",B4154&lt;60,"50-59",TRUE(),"60+")</f>
        <v>Under 30</v>
      </c>
      <c r="O4154" s="2" t="str">
        <f aca="false">_xlfn.IFS(G4154&lt;0,"1 Negative",G4154=0,"2 Zero",G4154&lt;=500,"3 1-500",G4154&lt;=2000,"4 501-2000",TRUE(),"5 Above 2000")</f>
        <v>5 Above 2000</v>
      </c>
      <c r="P4154" s="2" t="n">
        <f aca="false">Lookups!$B$2*M4154+Lookups!$B$3*L4154</f>
        <v>0</v>
      </c>
      <c r="Q4154" s="2" t="str">
        <f aca="false">INDEX(Lookups!$E$2:$E$5,MATCH(P4154,Lookups!$D$2:$D$5,0))</f>
        <v>Low</v>
      </c>
    </row>
    <row r="4155" customFormat="false" ht="15" hidden="false" customHeight="false" outlineLevel="0" collapsed="false">
      <c r="A4155" s="3" t="n">
        <v>4154</v>
      </c>
      <c r="B4155" s="3" t="n">
        <f aca="false">Raw_Data!A4155</f>
        <v>42</v>
      </c>
      <c r="C4155" s="3" t="str">
        <f aca="false">SUBSTITUTE(Raw_Data!B4155,".","")</f>
        <v>technician</v>
      </c>
      <c r="D4155" s="3" t="str">
        <f aca="false">Raw_Data!C4155</f>
        <v>married</v>
      </c>
      <c r="E4155" s="3" t="str">
        <f aca="false">Raw_Data!D4155</f>
        <v>secondary</v>
      </c>
      <c r="F4155" s="3" t="str">
        <f aca="false">Raw_Data!E4155</f>
        <v>no</v>
      </c>
      <c r="G4155" s="3" t="n">
        <f aca="false">Raw_Data!F4155</f>
        <v>440</v>
      </c>
      <c r="H4155" s="3" t="str">
        <f aca="false">Raw_Data!G4155</f>
        <v>yes</v>
      </c>
      <c r="I4155" s="3" t="str">
        <f aca="false">Raw_Data!H4155</f>
        <v>no</v>
      </c>
      <c r="J4155" s="2" t="n">
        <f aca="false">IF(F4155="yes",1,0)</f>
        <v>0</v>
      </c>
      <c r="K4155" s="2" t="n">
        <f aca="false">IF(H4155="yes",1,0)</f>
        <v>1</v>
      </c>
      <c r="L4155" s="2" t="n">
        <f aca="false">IF(I4155="yes",1,0)</f>
        <v>0</v>
      </c>
      <c r="M4155" s="2" t="n">
        <f aca="false">IF(G4155&lt;0,1,0)</f>
        <v>0</v>
      </c>
      <c r="N4155" s="2" t="str">
        <f aca="false">_xlfn.IFS(B4155&lt;30,"Under 30",B4155&lt;40,"30-39",B4155&lt;50,"40-49",B4155&lt;60,"50-59",TRUE(),"60+")</f>
        <v>40-49</v>
      </c>
      <c r="O4155" s="2" t="str">
        <f aca="false">_xlfn.IFS(G4155&lt;0,"1 Negative",G4155=0,"2 Zero",G4155&lt;=500,"3 1-500",G4155&lt;=2000,"4 501-2000",TRUE(),"5 Above 2000")</f>
        <v>3 1-500</v>
      </c>
      <c r="P4155" s="2" t="n">
        <f aca="false">Lookups!$B$2*M4155+Lookups!$B$3*L4155</f>
        <v>0</v>
      </c>
      <c r="Q4155" s="2" t="str">
        <f aca="false">INDEX(Lookups!$E$2:$E$5,MATCH(P4155,Lookups!$D$2:$D$5,0))</f>
        <v>Low</v>
      </c>
    </row>
    <row r="4156" customFormat="false" ht="15" hidden="false" customHeight="false" outlineLevel="0" collapsed="false">
      <c r="A4156" s="3" t="n">
        <v>4155</v>
      </c>
      <c r="B4156" s="3" t="n">
        <f aca="false">Raw_Data!A4156</f>
        <v>56</v>
      </c>
      <c r="C4156" s="3" t="str">
        <f aca="false">SUBSTITUTE(Raw_Data!B4156,".","")</f>
        <v>self-employed</v>
      </c>
      <c r="D4156" s="3" t="str">
        <f aca="false">Raw_Data!C4156</f>
        <v>married</v>
      </c>
      <c r="E4156" s="3" t="str">
        <f aca="false">Raw_Data!D4156</f>
        <v>secondary</v>
      </c>
      <c r="F4156" s="3" t="str">
        <f aca="false">Raw_Data!E4156</f>
        <v>no</v>
      </c>
      <c r="G4156" s="3" t="n">
        <f aca="false">Raw_Data!F4156</f>
        <v>800</v>
      </c>
      <c r="H4156" s="3" t="str">
        <f aca="false">Raw_Data!G4156</f>
        <v>no</v>
      </c>
      <c r="I4156" s="3" t="str">
        <f aca="false">Raw_Data!H4156</f>
        <v>yes</v>
      </c>
      <c r="J4156" s="2" t="n">
        <f aca="false">IF(F4156="yes",1,0)</f>
        <v>0</v>
      </c>
      <c r="K4156" s="2" t="n">
        <f aca="false">IF(H4156="yes",1,0)</f>
        <v>0</v>
      </c>
      <c r="L4156" s="2" t="n">
        <f aca="false">IF(I4156="yes",1,0)</f>
        <v>1</v>
      </c>
      <c r="M4156" s="2" t="n">
        <f aca="false">IF(G4156&lt;0,1,0)</f>
        <v>0</v>
      </c>
      <c r="N4156" s="2" t="str">
        <f aca="false">_xlfn.IFS(B4156&lt;30,"Under 30",B4156&lt;40,"30-39",B4156&lt;50,"40-49",B4156&lt;60,"50-59",TRUE(),"60+")</f>
        <v>50-59</v>
      </c>
      <c r="O4156" s="2" t="str">
        <f aca="false">_xlfn.IFS(G4156&lt;0,"1 Negative",G4156=0,"2 Zero",G4156&lt;=500,"3 1-500",G4156&lt;=2000,"4 501-2000",TRUE(),"5 Above 2000")</f>
        <v>4 501-2000</v>
      </c>
      <c r="P4156" s="2" t="n">
        <f aca="false">Lookups!$B$2*M4156+Lookups!$B$3*L4156</f>
        <v>1</v>
      </c>
      <c r="Q4156" s="2" t="str">
        <f aca="false">INDEX(Lookups!$E$2:$E$5,MATCH(P4156,Lookups!$D$2:$D$5,0))</f>
        <v>Medium</v>
      </c>
    </row>
    <row r="4157" customFormat="false" ht="15" hidden="false" customHeight="false" outlineLevel="0" collapsed="false">
      <c r="A4157" s="3" t="n">
        <v>4156</v>
      </c>
      <c r="B4157" s="3" t="n">
        <f aca="false">Raw_Data!A4157</f>
        <v>39</v>
      </c>
      <c r="C4157" s="3" t="str">
        <f aca="false">SUBSTITUTE(Raw_Data!B4157,".","")</f>
        <v>unknown</v>
      </c>
      <c r="D4157" s="3" t="str">
        <f aca="false">Raw_Data!C4157</f>
        <v>single</v>
      </c>
      <c r="E4157" s="3" t="str">
        <f aca="false">Raw_Data!D4157</f>
        <v>secondary</v>
      </c>
      <c r="F4157" s="3" t="str">
        <f aca="false">Raw_Data!E4157</f>
        <v>no</v>
      </c>
      <c r="G4157" s="3" t="n">
        <f aca="false">Raw_Data!F4157</f>
        <v>914</v>
      </c>
      <c r="H4157" s="3" t="str">
        <f aca="false">Raw_Data!G4157</f>
        <v>no</v>
      </c>
      <c r="I4157" s="3" t="str">
        <f aca="false">Raw_Data!H4157</f>
        <v>no</v>
      </c>
      <c r="J4157" s="2" t="n">
        <f aca="false">IF(F4157="yes",1,0)</f>
        <v>0</v>
      </c>
      <c r="K4157" s="2" t="n">
        <f aca="false">IF(H4157="yes",1,0)</f>
        <v>0</v>
      </c>
      <c r="L4157" s="2" t="n">
        <f aca="false">IF(I4157="yes",1,0)</f>
        <v>0</v>
      </c>
      <c r="M4157" s="2" t="n">
        <f aca="false">IF(G4157&lt;0,1,0)</f>
        <v>0</v>
      </c>
      <c r="N4157" s="2" t="str">
        <f aca="false">_xlfn.IFS(B4157&lt;30,"Under 30",B4157&lt;40,"30-39",B4157&lt;50,"40-49",B4157&lt;60,"50-59",TRUE(),"60+")</f>
        <v>30-39</v>
      </c>
      <c r="O4157" s="2" t="str">
        <f aca="false">_xlfn.IFS(G4157&lt;0,"1 Negative",G4157=0,"2 Zero",G4157&lt;=500,"3 1-500",G4157&lt;=2000,"4 501-2000",TRUE(),"5 Above 2000")</f>
        <v>4 501-2000</v>
      </c>
      <c r="P4157" s="2" t="n">
        <f aca="false">Lookups!$B$2*M4157+Lookups!$B$3*L4157</f>
        <v>0</v>
      </c>
      <c r="Q4157" s="2" t="str">
        <f aca="false">INDEX(Lookups!$E$2:$E$5,MATCH(P4157,Lookups!$D$2:$D$5,0))</f>
        <v>Low</v>
      </c>
    </row>
    <row r="4158" customFormat="false" ht="15" hidden="false" customHeight="false" outlineLevel="0" collapsed="false">
      <c r="A4158" s="3" t="n">
        <v>4157</v>
      </c>
      <c r="B4158" s="3" t="n">
        <f aca="false">Raw_Data!A4158</f>
        <v>30</v>
      </c>
      <c r="C4158" s="3" t="str">
        <f aca="false">SUBSTITUTE(Raw_Data!B4158,".","")</f>
        <v>entrepreneur</v>
      </c>
      <c r="D4158" s="3" t="str">
        <f aca="false">Raw_Data!C4158</f>
        <v>single</v>
      </c>
      <c r="E4158" s="3" t="str">
        <f aca="false">Raw_Data!D4158</f>
        <v>secondary</v>
      </c>
      <c r="F4158" s="3" t="str">
        <f aca="false">Raw_Data!E4158</f>
        <v>no</v>
      </c>
      <c r="G4158" s="3" t="n">
        <f aca="false">Raw_Data!F4158</f>
        <v>638</v>
      </c>
      <c r="H4158" s="3" t="str">
        <f aca="false">Raw_Data!G4158</f>
        <v>no</v>
      </c>
      <c r="I4158" s="3" t="str">
        <f aca="false">Raw_Data!H4158</f>
        <v>no</v>
      </c>
      <c r="J4158" s="2" t="n">
        <f aca="false">IF(F4158="yes",1,0)</f>
        <v>0</v>
      </c>
      <c r="K4158" s="2" t="n">
        <f aca="false">IF(H4158="yes",1,0)</f>
        <v>0</v>
      </c>
      <c r="L4158" s="2" t="n">
        <f aca="false">IF(I4158="yes",1,0)</f>
        <v>0</v>
      </c>
      <c r="M4158" s="2" t="n">
        <f aca="false">IF(G4158&lt;0,1,0)</f>
        <v>0</v>
      </c>
      <c r="N4158" s="2" t="str">
        <f aca="false">_xlfn.IFS(B4158&lt;30,"Under 30",B4158&lt;40,"30-39",B4158&lt;50,"40-49",B4158&lt;60,"50-59",TRUE(),"60+")</f>
        <v>30-39</v>
      </c>
      <c r="O4158" s="2" t="str">
        <f aca="false">_xlfn.IFS(G4158&lt;0,"1 Negative",G4158=0,"2 Zero",G4158&lt;=500,"3 1-500",G4158&lt;=2000,"4 501-2000",TRUE(),"5 Above 2000")</f>
        <v>4 501-2000</v>
      </c>
      <c r="P4158" s="2" t="n">
        <f aca="false">Lookups!$B$2*M4158+Lookups!$B$3*L4158</f>
        <v>0</v>
      </c>
      <c r="Q4158" s="2" t="str">
        <f aca="false">INDEX(Lookups!$E$2:$E$5,MATCH(P4158,Lookups!$D$2:$D$5,0))</f>
        <v>Low</v>
      </c>
    </row>
    <row r="4159" customFormat="false" ht="15" hidden="false" customHeight="false" outlineLevel="0" collapsed="false">
      <c r="A4159" s="3" t="n">
        <v>4158</v>
      </c>
      <c r="B4159" s="3" t="n">
        <f aca="false">Raw_Data!A4159</f>
        <v>55</v>
      </c>
      <c r="C4159" s="3" t="str">
        <f aca="false">SUBSTITUTE(Raw_Data!B4159,".","")</f>
        <v>retired</v>
      </c>
      <c r="D4159" s="3" t="str">
        <f aca="false">Raw_Data!C4159</f>
        <v>married</v>
      </c>
      <c r="E4159" s="3" t="str">
        <f aca="false">Raw_Data!D4159</f>
        <v>secondary</v>
      </c>
      <c r="F4159" s="3" t="str">
        <f aca="false">Raw_Data!E4159</f>
        <v>no</v>
      </c>
      <c r="G4159" s="3" t="n">
        <f aca="false">Raw_Data!F4159</f>
        <v>159</v>
      </c>
      <c r="H4159" s="3" t="str">
        <f aca="false">Raw_Data!G4159</f>
        <v>no</v>
      </c>
      <c r="I4159" s="3" t="str">
        <f aca="false">Raw_Data!H4159</f>
        <v>no</v>
      </c>
      <c r="J4159" s="2" t="n">
        <f aca="false">IF(F4159="yes",1,0)</f>
        <v>0</v>
      </c>
      <c r="K4159" s="2" t="n">
        <f aca="false">IF(H4159="yes",1,0)</f>
        <v>0</v>
      </c>
      <c r="L4159" s="2" t="n">
        <f aca="false">IF(I4159="yes",1,0)</f>
        <v>0</v>
      </c>
      <c r="M4159" s="2" t="n">
        <f aca="false">IF(G4159&lt;0,1,0)</f>
        <v>0</v>
      </c>
      <c r="N4159" s="2" t="str">
        <f aca="false">_xlfn.IFS(B4159&lt;30,"Under 30",B4159&lt;40,"30-39",B4159&lt;50,"40-49",B4159&lt;60,"50-59",TRUE(),"60+")</f>
        <v>50-59</v>
      </c>
      <c r="O4159" s="2" t="str">
        <f aca="false">_xlfn.IFS(G4159&lt;0,"1 Negative",G4159=0,"2 Zero",G4159&lt;=500,"3 1-500",G4159&lt;=2000,"4 501-2000",TRUE(),"5 Above 2000")</f>
        <v>3 1-500</v>
      </c>
      <c r="P4159" s="2" t="n">
        <f aca="false">Lookups!$B$2*M4159+Lookups!$B$3*L4159</f>
        <v>0</v>
      </c>
      <c r="Q4159" s="2" t="str">
        <f aca="false">INDEX(Lookups!$E$2:$E$5,MATCH(P4159,Lookups!$D$2:$D$5,0))</f>
        <v>Low</v>
      </c>
    </row>
    <row r="4160" customFormat="false" ht="15" hidden="false" customHeight="false" outlineLevel="0" collapsed="false">
      <c r="A4160" s="3" t="n">
        <v>4159</v>
      </c>
      <c r="B4160" s="3" t="n">
        <f aca="false">Raw_Data!A4160</f>
        <v>43</v>
      </c>
      <c r="C4160" s="3" t="str">
        <f aca="false">SUBSTITUTE(Raw_Data!B4160,".","")</f>
        <v>blue-collar</v>
      </c>
      <c r="D4160" s="3" t="str">
        <f aca="false">Raw_Data!C4160</f>
        <v>married</v>
      </c>
      <c r="E4160" s="3" t="str">
        <f aca="false">Raw_Data!D4160</f>
        <v>primary</v>
      </c>
      <c r="F4160" s="3" t="str">
        <f aca="false">Raw_Data!E4160</f>
        <v>no</v>
      </c>
      <c r="G4160" s="3" t="n">
        <f aca="false">Raw_Data!F4160</f>
        <v>483</v>
      </c>
      <c r="H4160" s="3" t="str">
        <f aca="false">Raw_Data!G4160</f>
        <v>yes</v>
      </c>
      <c r="I4160" s="3" t="str">
        <f aca="false">Raw_Data!H4160</f>
        <v>no</v>
      </c>
      <c r="J4160" s="2" t="n">
        <f aca="false">IF(F4160="yes",1,0)</f>
        <v>0</v>
      </c>
      <c r="K4160" s="2" t="n">
        <f aca="false">IF(H4160="yes",1,0)</f>
        <v>1</v>
      </c>
      <c r="L4160" s="2" t="n">
        <f aca="false">IF(I4160="yes",1,0)</f>
        <v>0</v>
      </c>
      <c r="M4160" s="2" t="n">
        <f aca="false">IF(G4160&lt;0,1,0)</f>
        <v>0</v>
      </c>
      <c r="N4160" s="2" t="str">
        <f aca="false">_xlfn.IFS(B4160&lt;30,"Under 30",B4160&lt;40,"30-39",B4160&lt;50,"40-49",B4160&lt;60,"50-59",TRUE(),"60+")</f>
        <v>40-49</v>
      </c>
      <c r="O4160" s="2" t="str">
        <f aca="false">_xlfn.IFS(G4160&lt;0,"1 Negative",G4160=0,"2 Zero",G4160&lt;=500,"3 1-500",G4160&lt;=2000,"4 501-2000",TRUE(),"5 Above 2000")</f>
        <v>3 1-500</v>
      </c>
      <c r="P4160" s="2" t="n">
        <f aca="false">Lookups!$B$2*M4160+Lookups!$B$3*L4160</f>
        <v>0</v>
      </c>
      <c r="Q4160" s="2" t="str">
        <f aca="false">INDEX(Lookups!$E$2:$E$5,MATCH(P4160,Lookups!$D$2:$D$5,0))</f>
        <v>Low</v>
      </c>
    </row>
    <row r="4161" customFormat="false" ht="15" hidden="false" customHeight="false" outlineLevel="0" collapsed="false">
      <c r="A4161" s="3" t="n">
        <v>4160</v>
      </c>
      <c r="B4161" s="3" t="n">
        <f aca="false">Raw_Data!A4161</f>
        <v>53</v>
      </c>
      <c r="C4161" s="3" t="str">
        <f aca="false">SUBSTITUTE(Raw_Data!B4161,".","")</f>
        <v>unemployed</v>
      </c>
      <c r="D4161" s="3" t="str">
        <f aca="false">Raw_Data!C4161</f>
        <v>married</v>
      </c>
      <c r="E4161" s="3" t="str">
        <f aca="false">Raw_Data!D4161</f>
        <v>secondary</v>
      </c>
      <c r="F4161" s="3" t="str">
        <f aca="false">Raw_Data!E4161</f>
        <v>no</v>
      </c>
      <c r="G4161" s="3" t="n">
        <f aca="false">Raw_Data!F4161</f>
        <v>94</v>
      </c>
      <c r="H4161" s="3" t="str">
        <f aca="false">Raw_Data!G4161</f>
        <v>no</v>
      </c>
      <c r="I4161" s="3" t="str">
        <f aca="false">Raw_Data!H4161</f>
        <v>no</v>
      </c>
      <c r="J4161" s="2" t="n">
        <f aca="false">IF(F4161="yes",1,0)</f>
        <v>0</v>
      </c>
      <c r="K4161" s="2" t="n">
        <f aca="false">IF(H4161="yes",1,0)</f>
        <v>0</v>
      </c>
      <c r="L4161" s="2" t="n">
        <f aca="false">IF(I4161="yes",1,0)</f>
        <v>0</v>
      </c>
      <c r="M4161" s="2" t="n">
        <f aca="false">IF(G4161&lt;0,1,0)</f>
        <v>0</v>
      </c>
      <c r="N4161" s="2" t="str">
        <f aca="false">_xlfn.IFS(B4161&lt;30,"Under 30",B4161&lt;40,"30-39",B4161&lt;50,"40-49",B4161&lt;60,"50-59",TRUE(),"60+")</f>
        <v>50-59</v>
      </c>
      <c r="O4161" s="2" t="str">
        <f aca="false">_xlfn.IFS(G4161&lt;0,"1 Negative",G4161=0,"2 Zero",G4161&lt;=500,"3 1-500",G4161&lt;=2000,"4 501-2000",TRUE(),"5 Above 2000")</f>
        <v>3 1-500</v>
      </c>
      <c r="P4161" s="2" t="n">
        <f aca="false">Lookups!$B$2*M4161+Lookups!$B$3*L4161</f>
        <v>0</v>
      </c>
      <c r="Q4161" s="2" t="str">
        <f aca="false">INDEX(Lookups!$E$2:$E$5,MATCH(P4161,Lookups!$D$2:$D$5,0))</f>
        <v>Low</v>
      </c>
    </row>
    <row r="4162" customFormat="false" ht="15" hidden="false" customHeight="false" outlineLevel="0" collapsed="false">
      <c r="A4162" s="3" t="n">
        <v>4161</v>
      </c>
      <c r="B4162" s="3" t="n">
        <f aca="false">Raw_Data!A4162</f>
        <v>57</v>
      </c>
      <c r="C4162" s="3" t="str">
        <f aca="false">SUBSTITUTE(Raw_Data!B4162,".","")</f>
        <v>retired</v>
      </c>
      <c r="D4162" s="3" t="str">
        <f aca="false">Raw_Data!C4162</f>
        <v>married</v>
      </c>
      <c r="E4162" s="3" t="str">
        <f aca="false">Raw_Data!D4162</f>
        <v>secondary</v>
      </c>
      <c r="F4162" s="3" t="str">
        <f aca="false">Raw_Data!E4162</f>
        <v>no</v>
      </c>
      <c r="G4162" s="3" t="n">
        <f aca="false">Raw_Data!F4162</f>
        <v>1044</v>
      </c>
      <c r="H4162" s="3" t="str">
        <f aca="false">Raw_Data!G4162</f>
        <v>no</v>
      </c>
      <c r="I4162" s="3" t="str">
        <f aca="false">Raw_Data!H4162</f>
        <v>no</v>
      </c>
      <c r="J4162" s="2" t="n">
        <f aca="false">IF(F4162="yes",1,0)</f>
        <v>0</v>
      </c>
      <c r="K4162" s="2" t="n">
        <f aca="false">IF(H4162="yes",1,0)</f>
        <v>0</v>
      </c>
      <c r="L4162" s="2" t="n">
        <f aca="false">IF(I4162="yes",1,0)</f>
        <v>0</v>
      </c>
      <c r="M4162" s="2" t="n">
        <f aca="false">IF(G4162&lt;0,1,0)</f>
        <v>0</v>
      </c>
      <c r="N4162" s="2" t="str">
        <f aca="false">_xlfn.IFS(B4162&lt;30,"Under 30",B4162&lt;40,"30-39",B4162&lt;50,"40-49",B4162&lt;60,"50-59",TRUE(),"60+")</f>
        <v>50-59</v>
      </c>
      <c r="O4162" s="2" t="str">
        <f aca="false">_xlfn.IFS(G4162&lt;0,"1 Negative",G4162=0,"2 Zero",G4162&lt;=500,"3 1-500",G4162&lt;=2000,"4 501-2000",TRUE(),"5 Above 2000")</f>
        <v>4 501-2000</v>
      </c>
      <c r="P4162" s="2" t="n">
        <f aca="false">Lookups!$B$2*M4162+Lookups!$B$3*L4162</f>
        <v>0</v>
      </c>
      <c r="Q4162" s="2" t="str">
        <f aca="false">INDEX(Lookups!$E$2:$E$5,MATCH(P4162,Lookups!$D$2:$D$5,0))</f>
        <v>Low</v>
      </c>
    </row>
    <row r="4163" customFormat="false" ht="15" hidden="false" customHeight="false" outlineLevel="0" collapsed="false">
      <c r="A4163" s="3" t="n">
        <v>4162</v>
      </c>
      <c r="B4163" s="3" t="n">
        <f aca="false">Raw_Data!A4163</f>
        <v>39</v>
      </c>
      <c r="C4163" s="3" t="str">
        <f aca="false">SUBSTITUTE(Raw_Data!B4163,".","")</f>
        <v>self-employed</v>
      </c>
      <c r="D4163" s="3" t="str">
        <f aca="false">Raw_Data!C4163</f>
        <v>single</v>
      </c>
      <c r="E4163" s="3" t="str">
        <f aca="false">Raw_Data!D4163</f>
        <v>unknown</v>
      </c>
      <c r="F4163" s="3" t="str">
        <f aca="false">Raw_Data!E4163</f>
        <v>no</v>
      </c>
      <c r="G4163" s="3" t="n">
        <f aca="false">Raw_Data!F4163</f>
        <v>0</v>
      </c>
      <c r="H4163" s="3" t="str">
        <f aca="false">Raw_Data!G4163</f>
        <v>no</v>
      </c>
      <c r="I4163" s="3" t="str">
        <f aca="false">Raw_Data!H4163</f>
        <v>no</v>
      </c>
      <c r="J4163" s="2" t="n">
        <f aca="false">IF(F4163="yes",1,0)</f>
        <v>0</v>
      </c>
      <c r="K4163" s="2" t="n">
        <f aca="false">IF(H4163="yes",1,0)</f>
        <v>0</v>
      </c>
      <c r="L4163" s="2" t="n">
        <f aca="false">IF(I4163="yes",1,0)</f>
        <v>0</v>
      </c>
      <c r="M4163" s="2" t="n">
        <f aca="false">IF(G4163&lt;0,1,0)</f>
        <v>0</v>
      </c>
      <c r="N4163" s="2" t="str">
        <f aca="false">_xlfn.IFS(B4163&lt;30,"Under 30",B4163&lt;40,"30-39",B4163&lt;50,"40-49",B4163&lt;60,"50-59",TRUE(),"60+")</f>
        <v>30-39</v>
      </c>
      <c r="O4163" s="2" t="str">
        <f aca="false">_xlfn.IFS(G4163&lt;0,"1 Negative",G4163=0,"2 Zero",G4163&lt;=500,"3 1-500",G4163&lt;=2000,"4 501-2000",TRUE(),"5 Above 2000")</f>
        <v>2 Zero</v>
      </c>
      <c r="P4163" s="2" t="n">
        <f aca="false">Lookups!$B$2*M4163+Lookups!$B$3*L4163</f>
        <v>0</v>
      </c>
      <c r="Q4163" s="2" t="str">
        <f aca="false">INDEX(Lookups!$E$2:$E$5,MATCH(P4163,Lookups!$D$2:$D$5,0))</f>
        <v>Low</v>
      </c>
    </row>
    <row r="4164" customFormat="false" ht="15" hidden="false" customHeight="false" outlineLevel="0" collapsed="false">
      <c r="A4164" s="3" t="n">
        <v>4163</v>
      </c>
      <c r="B4164" s="3" t="n">
        <f aca="false">Raw_Data!A4164</f>
        <v>56</v>
      </c>
      <c r="C4164" s="3" t="str">
        <f aca="false">SUBSTITUTE(Raw_Data!B4164,".","")</f>
        <v>technician</v>
      </c>
      <c r="D4164" s="3" t="str">
        <f aca="false">Raw_Data!C4164</f>
        <v>divorced</v>
      </c>
      <c r="E4164" s="3" t="str">
        <f aca="false">Raw_Data!D4164</f>
        <v>tertiary</v>
      </c>
      <c r="F4164" s="3" t="str">
        <f aca="false">Raw_Data!E4164</f>
        <v>no</v>
      </c>
      <c r="G4164" s="3" t="n">
        <f aca="false">Raw_Data!F4164</f>
        <v>401</v>
      </c>
      <c r="H4164" s="3" t="str">
        <f aca="false">Raw_Data!G4164</f>
        <v>yes</v>
      </c>
      <c r="I4164" s="3" t="str">
        <f aca="false">Raw_Data!H4164</f>
        <v>no</v>
      </c>
      <c r="J4164" s="2" t="n">
        <f aca="false">IF(F4164="yes",1,0)</f>
        <v>0</v>
      </c>
      <c r="K4164" s="2" t="n">
        <f aca="false">IF(H4164="yes",1,0)</f>
        <v>1</v>
      </c>
      <c r="L4164" s="2" t="n">
        <f aca="false">IF(I4164="yes",1,0)</f>
        <v>0</v>
      </c>
      <c r="M4164" s="2" t="n">
        <f aca="false">IF(G4164&lt;0,1,0)</f>
        <v>0</v>
      </c>
      <c r="N4164" s="2" t="str">
        <f aca="false">_xlfn.IFS(B4164&lt;30,"Under 30",B4164&lt;40,"30-39",B4164&lt;50,"40-49",B4164&lt;60,"50-59",TRUE(),"60+")</f>
        <v>50-59</v>
      </c>
      <c r="O4164" s="2" t="str">
        <f aca="false">_xlfn.IFS(G4164&lt;0,"1 Negative",G4164=0,"2 Zero",G4164&lt;=500,"3 1-500",G4164&lt;=2000,"4 501-2000",TRUE(),"5 Above 2000")</f>
        <v>3 1-500</v>
      </c>
      <c r="P4164" s="2" t="n">
        <f aca="false">Lookups!$B$2*M4164+Lookups!$B$3*L4164</f>
        <v>0</v>
      </c>
      <c r="Q4164" s="2" t="str">
        <f aca="false">INDEX(Lookups!$E$2:$E$5,MATCH(P4164,Lookups!$D$2:$D$5,0))</f>
        <v>Low</v>
      </c>
    </row>
    <row r="4165" customFormat="false" ht="15" hidden="false" customHeight="false" outlineLevel="0" collapsed="false">
      <c r="A4165" s="3" t="n">
        <v>4164</v>
      </c>
      <c r="B4165" s="3" t="n">
        <f aca="false">Raw_Data!A4165</f>
        <v>29</v>
      </c>
      <c r="C4165" s="3" t="str">
        <f aca="false">SUBSTITUTE(Raw_Data!B4165,".","")</f>
        <v>services</v>
      </c>
      <c r="D4165" s="3" t="str">
        <f aca="false">Raw_Data!C4165</f>
        <v>single</v>
      </c>
      <c r="E4165" s="3" t="str">
        <f aca="false">Raw_Data!D4165</f>
        <v>unknown</v>
      </c>
      <c r="F4165" s="3" t="str">
        <f aca="false">Raw_Data!E4165</f>
        <v>no</v>
      </c>
      <c r="G4165" s="3" t="n">
        <f aca="false">Raw_Data!F4165</f>
        <v>33</v>
      </c>
      <c r="H4165" s="3" t="str">
        <f aca="false">Raw_Data!G4165</f>
        <v>no</v>
      </c>
      <c r="I4165" s="3" t="str">
        <f aca="false">Raw_Data!H4165</f>
        <v>no</v>
      </c>
      <c r="J4165" s="2" t="n">
        <f aca="false">IF(F4165="yes",1,0)</f>
        <v>0</v>
      </c>
      <c r="K4165" s="2" t="n">
        <f aca="false">IF(H4165="yes",1,0)</f>
        <v>0</v>
      </c>
      <c r="L4165" s="2" t="n">
        <f aca="false">IF(I4165="yes",1,0)</f>
        <v>0</v>
      </c>
      <c r="M4165" s="2" t="n">
        <f aca="false">IF(G4165&lt;0,1,0)</f>
        <v>0</v>
      </c>
      <c r="N4165" s="2" t="str">
        <f aca="false">_xlfn.IFS(B4165&lt;30,"Under 30",B4165&lt;40,"30-39",B4165&lt;50,"40-49",B4165&lt;60,"50-59",TRUE(),"60+")</f>
        <v>Under 30</v>
      </c>
      <c r="O4165" s="2" t="str">
        <f aca="false">_xlfn.IFS(G4165&lt;0,"1 Negative",G4165=0,"2 Zero",G4165&lt;=500,"3 1-500",G4165&lt;=2000,"4 501-2000",TRUE(),"5 Above 2000")</f>
        <v>3 1-500</v>
      </c>
      <c r="P4165" s="2" t="n">
        <f aca="false">Lookups!$B$2*M4165+Lookups!$B$3*L4165</f>
        <v>0</v>
      </c>
      <c r="Q4165" s="2" t="str">
        <f aca="false">INDEX(Lookups!$E$2:$E$5,MATCH(P4165,Lookups!$D$2:$D$5,0))</f>
        <v>Low</v>
      </c>
    </row>
    <row r="4166" customFormat="false" ht="15" hidden="false" customHeight="false" outlineLevel="0" collapsed="false">
      <c r="A4166" s="3" t="n">
        <v>4165</v>
      </c>
      <c r="B4166" s="3" t="n">
        <f aca="false">Raw_Data!A4166</f>
        <v>38</v>
      </c>
      <c r="C4166" s="3" t="str">
        <f aca="false">SUBSTITUTE(Raw_Data!B4166,".","")</f>
        <v>blue-collar</v>
      </c>
      <c r="D4166" s="3" t="str">
        <f aca="false">Raw_Data!C4166</f>
        <v>married</v>
      </c>
      <c r="E4166" s="3" t="str">
        <f aca="false">Raw_Data!D4166</f>
        <v>primary</v>
      </c>
      <c r="F4166" s="3" t="str">
        <f aca="false">Raw_Data!E4166</f>
        <v>no</v>
      </c>
      <c r="G4166" s="3" t="n">
        <f aca="false">Raw_Data!F4166</f>
        <v>506</v>
      </c>
      <c r="H4166" s="3" t="str">
        <f aca="false">Raw_Data!G4166</f>
        <v>yes</v>
      </c>
      <c r="I4166" s="3" t="str">
        <f aca="false">Raw_Data!H4166</f>
        <v>yes</v>
      </c>
      <c r="J4166" s="2" t="n">
        <f aca="false">IF(F4166="yes",1,0)</f>
        <v>0</v>
      </c>
      <c r="K4166" s="2" t="n">
        <f aca="false">IF(H4166="yes",1,0)</f>
        <v>1</v>
      </c>
      <c r="L4166" s="2" t="n">
        <f aca="false">IF(I4166="yes",1,0)</f>
        <v>1</v>
      </c>
      <c r="M4166" s="2" t="n">
        <f aca="false">IF(G4166&lt;0,1,0)</f>
        <v>0</v>
      </c>
      <c r="N4166" s="2" t="str">
        <f aca="false">_xlfn.IFS(B4166&lt;30,"Under 30",B4166&lt;40,"30-39",B4166&lt;50,"40-49",B4166&lt;60,"50-59",TRUE(),"60+")</f>
        <v>30-39</v>
      </c>
      <c r="O4166" s="2" t="str">
        <f aca="false">_xlfn.IFS(G4166&lt;0,"1 Negative",G4166=0,"2 Zero",G4166&lt;=500,"3 1-500",G4166&lt;=2000,"4 501-2000",TRUE(),"5 Above 2000")</f>
        <v>4 501-2000</v>
      </c>
      <c r="P4166" s="2" t="n">
        <f aca="false">Lookups!$B$2*M4166+Lookups!$B$3*L4166</f>
        <v>1</v>
      </c>
      <c r="Q4166" s="2" t="str">
        <f aca="false">INDEX(Lookups!$E$2:$E$5,MATCH(P4166,Lookups!$D$2:$D$5,0))</f>
        <v>Medium</v>
      </c>
    </row>
    <row r="4167" customFormat="false" ht="15" hidden="false" customHeight="false" outlineLevel="0" collapsed="false">
      <c r="A4167" s="3" t="n">
        <v>4166</v>
      </c>
      <c r="B4167" s="3" t="n">
        <f aca="false">Raw_Data!A4167</f>
        <v>59</v>
      </c>
      <c r="C4167" s="3" t="str">
        <f aca="false">SUBSTITUTE(Raw_Data!B4167,".","")</f>
        <v>management</v>
      </c>
      <c r="D4167" s="3" t="str">
        <f aca="false">Raw_Data!C4167</f>
        <v>married</v>
      </c>
      <c r="E4167" s="3" t="str">
        <f aca="false">Raw_Data!D4167</f>
        <v>tertiary</v>
      </c>
      <c r="F4167" s="3" t="str">
        <f aca="false">Raw_Data!E4167</f>
        <v>no</v>
      </c>
      <c r="G4167" s="3" t="n">
        <f aca="false">Raw_Data!F4167</f>
        <v>1881</v>
      </c>
      <c r="H4167" s="3" t="str">
        <f aca="false">Raw_Data!G4167</f>
        <v>no</v>
      </c>
      <c r="I4167" s="3" t="str">
        <f aca="false">Raw_Data!H4167</f>
        <v>no</v>
      </c>
      <c r="J4167" s="2" t="n">
        <f aca="false">IF(F4167="yes",1,0)</f>
        <v>0</v>
      </c>
      <c r="K4167" s="2" t="n">
        <f aca="false">IF(H4167="yes",1,0)</f>
        <v>0</v>
      </c>
      <c r="L4167" s="2" t="n">
        <f aca="false">IF(I4167="yes",1,0)</f>
        <v>0</v>
      </c>
      <c r="M4167" s="2" t="n">
        <f aca="false">IF(G4167&lt;0,1,0)</f>
        <v>0</v>
      </c>
      <c r="N4167" s="2" t="str">
        <f aca="false">_xlfn.IFS(B4167&lt;30,"Under 30",B4167&lt;40,"30-39",B4167&lt;50,"40-49",B4167&lt;60,"50-59",TRUE(),"60+")</f>
        <v>50-59</v>
      </c>
      <c r="O4167" s="2" t="str">
        <f aca="false">_xlfn.IFS(G4167&lt;0,"1 Negative",G4167=0,"2 Zero",G4167&lt;=500,"3 1-500",G4167&lt;=2000,"4 501-2000",TRUE(),"5 Above 2000")</f>
        <v>4 501-2000</v>
      </c>
      <c r="P4167" s="2" t="n">
        <f aca="false">Lookups!$B$2*M4167+Lookups!$B$3*L4167</f>
        <v>0</v>
      </c>
      <c r="Q4167" s="2" t="str">
        <f aca="false">INDEX(Lookups!$E$2:$E$5,MATCH(P4167,Lookups!$D$2:$D$5,0))</f>
        <v>Low</v>
      </c>
    </row>
    <row r="4168" customFormat="false" ht="15" hidden="false" customHeight="false" outlineLevel="0" collapsed="false">
      <c r="A4168" s="3" t="n">
        <v>4167</v>
      </c>
      <c r="B4168" s="3" t="n">
        <f aca="false">Raw_Data!A4168</f>
        <v>42</v>
      </c>
      <c r="C4168" s="3" t="str">
        <f aca="false">SUBSTITUTE(Raw_Data!B4168,".","")</f>
        <v>technician</v>
      </c>
      <c r="D4168" s="3" t="str">
        <f aca="false">Raw_Data!C4168</f>
        <v>single</v>
      </c>
      <c r="E4168" s="3" t="str">
        <f aca="false">Raw_Data!D4168</f>
        <v>unknown</v>
      </c>
      <c r="F4168" s="3" t="str">
        <f aca="false">Raw_Data!E4168</f>
        <v>no</v>
      </c>
      <c r="G4168" s="3" t="n">
        <f aca="false">Raw_Data!F4168</f>
        <v>344</v>
      </c>
      <c r="H4168" s="3" t="str">
        <f aca="false">Raw_Data!G4168</f>
        <v>yes</v>
      </c>
      <c r="I4168" s="3" t="str">
        <f aca="false">Raw_Data!H4168</f>
        <v>no</v>
      </c>
      <c r="J4168" s="2" t="n">
        <f aca="false">IF(F4168="yes",1,0)</f>
        <v>0</v>
      </c>
      <c r="K4168" s="2" t="n">
        <f aca="false">IF(H4168="yes",1,0)</f>
        <v>1</v>
      </c>
      <c r="L4168" s="2" t="n">
        <f aca="false">IF(I4168="yes",1,0)</f>
        <v>0</v>
      </c>
      <c r="M4168" s="2" t="n">
        <f aca="false">IF(G4168&lt;0,1,0)</f>
        <v>0</v>
      </c>
      <c r="N4168" s="2" t="str">
        <f aca="false">_xlfn.IFS(B4168&lt;30,"Under 30",B4168&lt;40,"30-39",B4168&lt;50,"40-49",B4168&lt;60,"50-59",TRUE(),"60+")</f>
        <v>40-49</v>
      </c>
      <c r="O4168" s="2" t="str">
        <f aca="false">_xlfn.IFS(G4168&lt;0,"1 Negative",G4168=0,"2 Zero",G4168&lt;=500,"3 1-500",G4168&lt;=2000,"4 501-2000",TRUE(),"5 Above 2000")</f>
        <v>3 1-500</v>
      </c>
      <c r="P4168" s="2" t="n">
        <f aca="false">Lookups!$B$2*M4168+Lookups!$B$3*L4168</f>
        <v>0</v>
      </c>
      <c r="Q4168" s="2" t="str">
        <f aca="false">INDEX(Lookups!$E$2:$E$5,MATCH(P4168,Lookups!$D$2:$D$5,0))</f>
        <v>Low</v>
      </c>
    </row>
    <row r="4169" customFormat="false" ht="15" hidden="false" customHeight="false" outlineLevel="0" collapsed="false">
      <c r="A4169" s="3" t="n">
        <v>4168</v>
      </c>
      <c r="B4169" s="3" t="n">
        <f aca="false">Raw_Data!A4169</f>
        <v>46</v>
      </c>
      <c r="C4169" s="3" t="str">
        <f aca="false">SUBSTITUTE(Raw_Data!B4169,".","")</f>
        <v>blue-collar</v>
      </c>
      <c r="D4169" s="3" t="str">
        <f aca="false">Raw_Data!C4169</f>
        <v>married</v>
      </c>
      <c r="E4169" s="3" t="str">
        <f aca="false">Raw_Data!D4169</f>
        <v>primary</v>
      </c>
      <c r="F4169" s="3" t="str">
        <f aca="false">Raw_Data!E4169</f>
        <v>no</v>
      </c>
      <c r="G4169" s="3" t="n">
        <f aca="false">Raw_Data!F4169</f>
        <v>0</v>
      </c>
      <c r="H4169" s="3" t="str">
        <f aca="false">Raw_Data!G4169</f>
        <v>yes</v>
      </c>
      <c r="I4169" s="3" t="str">
        <f aca="false">Raw_Data!H4169</f>
        <v>no</v>
      </c>
      <c r="J4169" s="2" t="n">
        <f aca="false">IF(F4169="yes",1,0)</f>
        <v>0</v>
      </c>
      <c r="K4169" s="2" t="n">
        <f aca="false">IF(H4169="yes",1,0)</f>
        <v>1</v>
      </c>
      <c r="L4169" s="2" t="n">
        <f aca="false">IF(I4169="yes",1,0)</f>
        <v>0</v>
      </c>
      <c r="M4169" s="2" t="n">
        <f aca="false">IF(G4169&lt;0,1,0)</f>
        <v>0</v>
      </c>
      <c r="N4169" s="2" t="str">
        <f aca="false">_xlfn.IFS(B4169&lt;30,"Under 30",B4169&lt;40,"30-39",B4169&lt;50,"40-49",B4169&lt;60,"50-59",TRUE(),"60+")</f>
        <v>40-49</v>
      </c>
      <c r="O4169" s="2" t="str">
        <f aca="false">_xlfn.IFS(G4169&lt;0,"1 Negative",G4169=0,"2 Zero",G4169&lt;=500,"3 1-500",G4169&lt;=2000,"4 501-2000",TRUE(),"5 Above 2000")</f>
        <v>2 Zero</v>
      </c>
      <c r="P4169" s="2" t="n">
        <f aca="false">Lookups!$B$2*M4169+Lookups!$B$3*L4169</f>
        <v>0</v>
      </c>
      <c r="Q4169" s="2" t="str">
        <f aca="false">INDEX(Lookups!$E$2:$E$5,MATCH(P4169,Lookups!$D$2:$D$5,0))</f>
        <v>Low</v>
      </c>
    </row>
    <row r="4170" customFormat="false" ht="15" hidden="false" customHeight="false" outlineLevel="0" collapsed="false">
      <c r="A4170" s="3" t="n">
        <v>4169</v>
      </c>
      <c r="B4170" s="3" t="n">
        <f aca="false">Raw_Data!A4170</f>
        <v>31</v>
      </c>
      <c r="C4170" s="3" t="str">
        <f aca="false">SUBSTITUTE(Raw_Data!B4170,".","")</f>
        <v>admin</v>
      </c>
      <c r="D4170" s="3" t="str">
        <f aca="false">Raw_Data!C4170</f>
        <v>married</v>
      </c>
      <c r="E4170" s="3" t="str">
        <f aca="false">Raw_Data!D4170</f>
        <v>secondary</v>
      </c>
      <c r="F4170" s="3" t="str">
        <f aca="false">Raw_Data!E4170</f>
        <v>no</v>
      </c>
      <c r="G4170" s="3" t="n">
        <f aca="false">Raw_Data!F4170</f>
        <v>3</v>
      </c>
      <c r="H4170" s="3" t="str">
        <f aca="false">Raw_Data!G4170</f>
        <v>yes</v>
      </c>
      <c r="I4170" s="3" t="str">
        <f aca="false">Raw_Data!H4170</f>
        <v>no</v>
      </c>
      <c r="J4170" s="2" t="n">
        <f aca="false">IF(F4170="yes",1,0)</f>
        <v>0</v>
      </c>
      <c r="K4170" s="2" t="n">
        <f aca="false">IF(H4170="yes",1,0)</f>
        <v>1</v>
      </c>
      <c r="L4170" s="2" t="n">
        <f aca="false">IF(I4170="yes",1,0)</f>
        <v>0</v>
      </c>
      <c r="M4170" s="2" t="n">
        <f aca="false">IF(G4170&lt;0,1,0)</f>
        <v>0</v>
      </c>
      <c r="N4170" s="2" t="str">
        <f aca="false">_xlfn.IFS(B4170&lt;30,"Under 30",B4170&lt;40,"30-39",B4170&lt;50,"40-49",B4170&lt;60,"50-59",TRUE(),"60+")</f>
        <v>30-39</v>
      </c>
      <c r="O4170" s="2" t="str">
        <f aca="false">_xlfn.IFS(G4170&lt;0,"1 Negative",G4170=0,"2 Zero",G4170&lt;=500,"3 1-500",G4170&lt;=2000,"4 501-2000",TRUE(),"5 Above 2000")</f>
        <v>3 1-500</v>
      </c>
      <c r="P4170" s="2" t="n">
        <f aca="false">Lookups!$B$2*M4170+Lookups!$B$3*L4170</f>
        <v>0</v>
      </c>
      <c r="Q4170" s="2" t="str">
        <f aca="false">INDEX(Lookups!$E$2:$E$5,MATCH(P4170,Lookups!$D$2:$D$5,0))</f>
        <v>Low</v>
      </c>
    </row>
    <row r="4171" customFormat="false" ht="15" hidden="false" customHeight="false" outlineLevel="0" collapsed="false">
      <c r="A4171" s="3" t="n">
        <v>4170</v>
      </c>
      <c r="B4171" s="3" t="n">
        <f aca="false">Raw_Data!A4171</f>
        <v>35</v>
      </c>
      <c r="C4171" s="3" t="str">
        <f aca="false">SUBSTITUTE(Raw_Data!B4171,".","")</f>
        <v>services</v>
      </c>
      <c r="D4171" s="3" t="str">
        <f aca="false">Raw_Data!C4171</f>
        <v>divorced</v>
      </c>
      <c r="E4171" s="3" t="str">
        <f aca="false">Raw_Data!D4171</f>
        <v>secondary</v>
      </c>
      <c r="F4171" s="3" t="str">
        <f aca="false">Raw_Data!E4171</f>
        <v>no</v>
      </c>
      <c r="G4171" s="3" t="n">
        <f aca="false">Raw_Data!F4171</f>
        <v>221</v>
      </c>
      <c r="H4171" s="3" t="str">
        <f aca="false">Raw_Data!G4171</f>
        <v>yes</v>
      </c>
      <c r="I4171" s="3" t="str">
        <f aca="false">Raw_Data!H4171</f>
        <v>no</v>
      </c>
      <c r="J4171" s="2" t="n">
        <f aca="false">IF(F4171="yes",1,0)</f>
        <v>0</v>
      </c>
      <c r="K4171" s="2" t="n">
        <f aca="false">IF(H4171="yes",1,0)</f>
        <v>1</v>
      </c>
      <c r="L4171" s="2" t="n">
        <f aca="false">IF(I4171="yes",1,0)</f>
        <v>0</v>
      </c>
      <c r="M4171" s="2" t="n">
        <f aca="false">IF(G4171&lt;0,1,0)</f>
        <v>0</v>
      </c>
      <c r="N4171" s="2" t="str">
        <f aca="false">_xlfn.IFS(B4171&lt;30,"Under 30",B4171&lt;40,"30-39",B4171&lt;50,"40-49",B4171&lt;60,"50-59",TRUE(),"60+")</f>
        <v>30-39</v>
      </c>
      <c r="O4171" s="2" t="str">
        <f aca="false">_xlfn.IFS(G4171&lt;0,"1 Negative",G4171=0,"2 Zero",G4171&lt;=500,"3 1-500",G4171&lt;=2000,"4 501-2000",TRUE(),"5 Above 2000")</f>
        <v>3 1-500</v>
      </c>
      <c r="P4171" s="2" t="n">
        <f aca="false">Lookups!$B$2*M4171+Lookups!$B$3*L4171</f>
        <v>0</v>
      </c>
      <c r="Q4171" s="2" t="str">
        <f aca="false">INDEX(Lookups!$E$2:$E$5,MATCH(P4171,Lookups!$D$2:$D$5,0))</f>
        <v>Low</v>
      </c>
    </row>
    <row r="4172" customFormat="false" ht="15" hidden="false" customHeight="false" outlineLevel="0" collapsed="false">
      <c r="A4172" s="3" t="n">
        <v>4171</v>
      </c>
      <c r="B4172" s="3" t="n">
        <f aca="false">Raw_Data!A4172</f>
        <v>50</v>
      </c>
      <c r="C4172" s="3" t="str">
        <f aca="false">SUBSTITUTE(Raw_Data!B4172,".","")</f>
        <v>self-employed</v>
      </c>
      <c r="D4172" s="3" t="str">
        <f aca="false">Raw_Data!C4172</f>
        <v>married</v>
      </c>
      <c r="E4172" s="3" t="str">
        <f aca="false">Raw_Data!D4172</f>
        <v>secondary</v>
      </c>
      <c r="F4172" s="3" t="str">
        <f aca="false">Raw_Data!E4172</f>
        <v>no</v>
      </c>
      <c r="G4172" s="3" t="n">
        <f aca="false">Raw_Data!F4172</f>
        <v>36</v>
      </c>
      <c r="H4172" s="3" t="str">
        <f aca="false">Raw_Data!G4172</f>
        <v>no</v>
      </c>
      <c r="I4172" s="3" t="str">
        <f aca="false">Raw_Data!H4172</f>
        <v>no</v>
      </c>
      <c r="J4172" s="2" t="n">
        <f aca="false">IF(F4172="yes",1,0)</f>
        <v>0</v>
      </c>
      <c r="K4172" s="2" t="n">
        <f aca="false">IF(H4172="yes",1,0)</f>
        <v>0</v>
      </c>
      <c r="L4172" s="2" t="n">
        <f aca="false">IF(I4172="yes",1,0)</f>
        <v>0</v>
      </c>
      <c r="M4172" s="2" t="n">
        <f aca="false">IF(G4172&lt;0,1,0)</f>
        <v>0</v>
      </c>
      <c r="N4172" s="2" t="str">
        <f aca="false">_xlfn.IFS(B4172&lt;30,"Under 30",B4172&lt;40,"30-39",B4172&lt;50,"40-49",B4172&lt;60,"50-59",TRUE(),"60+")</f>
        <v>50-59</v>
      </c>
      <c r="O4172" s="2" t="str">
        <f aca="false">_xlfn.IFS(G4172&lt;0,"1 Negative",G4172=0,"2 Zero",G4172&lt;=500,"3 1-500",G4172&lt;=2000,"4 501-2000",TRUE(),"5 Above 2000")</f>
        <v>3 1-500</v>
      </c>
      <c r="P4172" s="2" t="n">
        <f aca="false">Lookups!$B$2*M4172+Lookups!$B$3*L4172</f>
        <v>0</v>
      </c>
      <c r="Q4172" s="2" t="str">
        <f aca="false">INDEX(Lookups!$E$2:$E$5,MATCH(P4172,Lookups!$D$2:$D$5,0))</f>
        <v>Low</v>
      </c>
    </row>
    <row r="4173" customFormat="false" ht="15" hidden="false" customHeight="false" outlineLevel="0" collapsed="false">
      <c r="A4173" s="3" t="n">
        <v>4172</v>
      </c>
      <c r="B4173" s="3" t="n">
        <f aca="false">Raw_Data!A4173</f>
        <v>42</v>
      </c>
      <c r="C4173" s="3" t="str">
        <f aca="false">SUBSTITUTE(Raw_Data!B4173,".","")</f>
        <v>blue-collar</v>
      </c>
      <c r="D4173" s="3" t="str">
        <f aca="false">Raw_Data!C4173</f>
        <v>married</v>
      </c>
      <c r="E4173" s="3" t="str">
        <f aca="false">Raw_Data!D4173</f>
        <v>primary</v>
      </c>
      <c r="F4173" s="3" t="str">
        <f aca="false">Raw_Data!E4173</f>
        <v>no</v>
      </c>
      <c r="G4173" s="3" t="n">
        <f aca="false">Raw_Data!F4173</f>
        <v>969</v>
      </c>
      <c r="H4173" s="3" t="str">
        <f aca="false">Raw_Data!G4173</f>
        <v>yes</v>
      </c>
      <c r="I4173" s="3" t="str">
        <f aca="false">Raw_Data!H4173</f>
        <v>no</v>
      </c>
      <c r="J4173" s="2" t="n">
        <f aca="false">IF(F4173="yes",1,0)</f>
        <v>0</v>
      </c>
      <c r="K4173" s="2" t="n">
        <f aca="false">IF(H4173="yes",1,0)</f>
        <v>1</v>
      </c>
      <c r="L4173" s="2" t="n">
        <f aca="false">IF(I4173="yes",1,0)</f>
        <v>0</v>
      </c>
      <c r="M4173" s="2" t="n">
        <f aca="false">IF(G4173&lt;0,1,0)</f>
        <v>0</v>
      </c>
      <c r="N4173" s="2" t="str">
        <f aca="false">_xlfn.IFS(B4173&lt;30,"Under 30",B4173&lt;40,"30-39",B4173&lt;50,"40-49",B4173&lt;60,"50-59",TRUE(),"60+")</f>
        <v>40-49</v>
      </c>
      <c r="O4173" s="2" t="str">
        <f aca="false">_xlfn.IFS(G4173&lt;0,"1 Negative",G4173=0,"2 Zero",G4173&lt;=500,"3 1-500",G4173&lt;=2000,"4 501-2000",TRUE(),"5 Above 2000")</f>
        <v>4 501-2000</v>
      </c>
      <c r="P4173" s="2" t="n">
        <f aca="false">Lookups!$B$2*M4173+Lookups!$B$3*L4173</f>
        <v>0</v>
      </c>
      <c r="Q4173" s="2" t="str">
        <f aca="false">INDEX(Lookups!$E$2:$E$5,MATCH(P4173,Lookups!$D$2:$D$5,0))</f>
        <v>Low</v>
      </c>
    </row>
    <row r="4174" customFormat="false" ht="15" hidden="false" customHeight="false" outlineLevel="0" collapsed="false">
      <c r="A4174" s="3" t="n">
        <v>4173</v>
      </c>
      <c r="B4174" s="3" t="n">
        <f aca="false">Raw_Data!A4174</f>
        <v>36</v>
      </c>
      <c r="C4174" s="3" t="str">
        <f aca="false">SUBSTITUTE(Raw_Data!B4174,".","")</f>
        <v>services</v>
      </c>
      <c r="D4174" s="3" t="str">
        <f aca="false">Raw_Data!C4174</f>
        <v>single</v>
      </c>
      <c r="E4174" s="3" t="str">
        <f aca="false">Raw_Data!D4174</f>
        <v>secondary</v>
      </c>
      <c r="F4174" s="3" t="str">
        <f aca="false">Raw_Data!E4174</f>
        <v>no</v>
      </c>
      <c r="G4174" s="3" t="n">
        <f aca="false">Raw_Data!F4174</f>
        <v>760</v>
      </c>
      <c r="H4174" s="3" t="str">
        <f aca="false">Raw_Data!G4174</f>
        <v>no</v>
      </c>
      <c r="I4174" s="3" t="str">
        <f aca="false">Raw_Data!H4174</f>
        <v>no</v>
      </c>
      <c r="J4174" s="2" t="n">
        <f aca="false">IF(F4174="yes",1,0)</f>
        <v>0</v>
      </c>
      <c r="K4174" s="2" t="n">
        <f aca="false">IF(H4174="yes",1,0)</f>
        <v>0</v>
      </c>
      <c r="L4174" s="2" t="n">
        <f aca="false">IF(I4174="yes",1,0)</f>
        <v>0</v>
      </c>
      <c r="M4174" s="2" t="n">
        <f aca="false">IF(G4174&lt;0,1,0)</f>
        <v>0</v>
      </c>
      <c r="N4174" s="2" t="str">
        <f aca="false">_xlfn.IFS(B4174&lt;30,"Under 30",B4174&lt;40,"30-39",B4174&lt;50,"40-49",B4174&lt;60,"50-59",TRUE(),"60+")</f>
        <v>30-39</v>
      </c>
      <c r="O4174" s="2" t="str">
        <f aca="false">_xlfn.IFS(G4174&lt;0,"1 Negative",G4174=0,"2 Zero",G4174&lt;=500,"3 1-500",G4174&lt;=2000,"4 501-2000",TRUE(),"5 Above 2000")</f>
        <v>4 501-2000</v>
      </c>
      <c r="P4174" s="2" t="n">
        <f aca="false">Lookups!$B$2*M4174+Lookups!$B$3*L4174</f>
        <v>0</v>
      </c>
      <c r="Q4174" s="2" t="str">
        <f aca="false">INDEX(Lookups!$E$2:$E$5,MATCH(P4174,Lookups!$D$2:$D$5,0))</f>
        <v>Low</v>
      </c>
    </row>
    <row r="4175" customFormat="false" ht="15" hidden="false" customHeight="false" outlineLevel="0" collapsed="false">
      <c r="A4175" s="3" t="n">
        <v>4174</v>
      </c>
      <c r="B4175" s="3" t="n">
        <f aca="false">Raw_Data!A4175</f>
        <v>25</v>
      </c>
      <c r="C4175" s="3" t="str">
        <f aca="false">SUBSTITUTE(Raw_Data!B4175,".","")</f>
        <v>admin</v>
      </c>
      <c r="D4175" s="3" t="str">
        <f aca="false">Raw_Data!C4175</f>
        <v>single</v>
      </c>
      <c r="E4175" s="3" t="str">
        <f aca="false">Raw_Data!D4175</f>
        <v>tertiary</v>
      </c>
      <c r="F4175" s="3" t="str">
        <f aca="false">Raw_Data!E4175</f>
        <v>no</v>
      </c>
      <c r="G4175" s="3" t="n">
        <f aca="false">Raw_Data!F4175</f>
        <v>220</v>
      </c>
      <c r="H4175" s="3" t="str">
        <f aca="false">Raw_Data!G4175</f>
        <v>no</v>
      </c>
      <c r="I4175" s="3" t="str">
        <f aca="false">Raw_Data!H4175</f>
        <v>no</v>
      </c>
      <c r="J4175" s="2" t="n">
        <f aca="false">IF(F4175="yes",1,0)</f>
        <v>0</v>
      </c>
      <c r="K4175" s="2" t="n">
        <f aca="false">IF(H4175="yes",1,0)</f>
        <v>0</v>
      </c>
      <c r="L4175" s="2" t="n">
        <f aca="false">IF(I4175="yes",1,0)</f>
        <v>0</v>
      </c>
      <c r="M4175" s="2" t="n">
        <f aca="false">IF(G4175&lt;0,1,0)</f>
        <v>0</v>
      </c>
      <c r="N4175" s="2" t="str">
        <f aca="false">_xlfn.IFS(B4175&lt;30,"Under 30",B4175&lt;40,"30-39",B4175&lt;50,"40-49",B4175&lt;60,"50-59",TRUE(),"60+")</f>
        <v>Under 30</v>
      </c>
      <c r="O4175" s="2" t="str">
        <f aca="false">_xlfn.IFS(G4175&lt;0,"1 Negative",G4175=0,"2 Zero",G4175&lt;=500,"3 1-500",G4175&lt;=2000,"4 501-2000",TRUE(),"5 Above 2000")</f>
        <v>3 1-500</v>
      </c>
      <c r="P4175" s="2" t="n">
        <f aca="false">Lookups!$B$2*M4175+Lookups!$B$3*L4175</f>
        <v>0</v>
      </c>
      <c r="Q4175" s="2" t="str">
        <f aca="false">INDEX(Lookups!$E$2:$E$5,MATCH(P4175,Lookups!$D$2:$D$5,0))</f>
        <v>Low</v>
      </c>
    </row>
    <row r="4176" customFormat="false" ht="15" hidden="false" customHeight="false" outlineLevel="0" collapsed="false">
      <c r="A4176" s="3" t="n">
        <v>4175</v>
      </c>
      <c r="B4176" s="3" t="n">
        <f aca="false">Raw_Data!A4176</f>
        <v>42</v>
      </c>
      <c r="C4176" s="3" t="str">
        <f aca="false">SUBSTITUTE(Raw_Data!B4176,".","")</f>
        <v>management</v>
      </c>
      <c r="D4176" s="3" t="str">
        <f aca="false">Raw_Data!C4176</f>
        <v>single</v>
      </c>
      <c r="E4176" s="3" t="str">
        <f aca="false">Raw_Data!D4176</f>
        <v>tertiary</v>
      </c>
      <c r="F4176" s="3" t="str">
        <f aca="false">Raw_Data!E4176</f>
        <v>no</v>
      </c>
      <c r="G4176" s="3" t="n">
        <f aca="false">Raw_Data!F4176</f>
        <v>10907</v>
      </c>
      <c r="H4176" s="3" t="str">
        <f aca="false">Raw_Data!G4176</f>
        <v>no</v>
      </c>
      <c r="I4176" s="3" t="str">
        <f aca="false">Raw_Data!H4176</f>
        <v>no</v>
      </c>
      <c r="J4176" s="2" t="n">
        <f aca="false">IF(F4176="yes",1,0)</f>
        <v>0</v>
      </c>
      <c r="K4176" s="2" t="n">
        <f aca="false">IF(H4176="yes",1,0)</f>
        <v>0</v>
      </c>
      <c r="L4176" s="2" t="n">
        <f aca="false">IF(I4176="yes",1,0)</f>
        <v>0</v>
      </c>
      <c r="M4176" s="2" t="n">
        <f aca="false">IF(G4176&lt;0,1,0)</f>
        <v>0</v>
      </c>
      <c r="N4176" s="2" t="str">
        <f aca="false">_xlfn.IFS(B4176&lt;30,"Under 30",B4176&lt;40,"30-39",B4176&lt;50,"40-49",B4176&lt;60,"50-59",TRUE(),"60+")</f>
        <v>40-49</v>
      </c>
      <c r="O4176" s="2" t="str">
        <f aca="false">_xlfn.IFS(G4176&lt;0,"1 Negative",G4176=0,"2 Zero",G4176&lt;=500,"3 1-500",G4176&lt;=2000,"4 501-2000",TRUE(),"5 Above 2000")</f>
        <v>5 Above 2000</v>
      </c>
      <c r="P4176" s="2" t="n">
        <f aca="false">Lookups!$B$2*M4176+Lookups!$B$3*L4176</f>
        <v>0</v>
      </c>
      <c r="Q4176" s="2" t="str">
        <f aca="false">INDEX(Lookups!$E$2:$E$5,MATCH(P4176,Lookups!$D$2:$D$5,0))</f>
        <v>Low</v>
      </c>
    </row>
    <row r="4177" customFormat="false" ht="15" hidden="false" customHeight="false" outlineLevel="0" collapsed="false">
      <c r="A4177" s="3" t="n">
        <v>4176</v>
      </c>
      <c r="B4177" s="3" t="n">
        <f aca="false">Raw_Data!A4177</f>
        <v>27</v>
      </c>
      <c r="C4177" s="3" t="str">
        <f aca="false">SUBSTITUTE(Raw_Data!B4177,".","")</f>
        <v>student</v>
      </c>
      <c r="D4177" s="3" t="str">
        <f aca="false">Raw_Data!C4177</f>
        <v>single</v>
      </c>
      <c r="E4177" s="3" t="str">
        <f aca="false">Raw_Data!D4177</f>
        <v>tertiary</v>
      </c>
      <c r="F4177" s="3" t="str">
        <f aca="false">Raw_Data!E4177</f>
        <v>no</v>
      </c>
      <c r="G4177" s="3" t="n">
        <f aca="false">Raw_Data!F4177</f>
        <v>-148</v>
      </c>
      <c r="H4177" s="3" t="str">
        <f aca="false">Raw_Data!G4177</f>
        <v>yes</v>
      </c>
      <c r="I4177" s="3" t="str">
        <f aca="false">Raw_Data!H4177</f>
        <v>no</v>
      </c>
      <c r="J4177" s="2" t="n">
        <f aca="false">IF(F4177="yes",1,0)</f>
        <v>0</v>
      </c>
      <c r="K4177" s="2" t="n">
        <f aca="false">IF(H4177="yes",1,0)</f>
        <v>1</v>
      </c>
      <c r="L4177" s="2" t="n">
        <f aca="false">IF(I4177="yes",1,0)</f>
        <v>0</v>
      </c>
      <c r="M4177" s="2" t="n">
        <f aca="false">IF(G4177&lt;0,1,0)</f>
        <v>1</v>
      </c>
      <c r="N4177" s="2" t="str">
        <f aca="false">_xlfn.IFS(B4177&lt;30,"Under 30",B4177&lt;40,"30-39",B4177&lt;50,"40-49",B4177&lt;60,"50-59",TRUE(),"60+")</f>
        <v>Under 30</v>
      </c>
      <c r="O4177" s="2" t="str">
        <f aca="false">_xlfn.IFS(G4177&lt;0,"1 Negative",G4177=0,"2 Zero",G4177&lt;=500,"3 1-500",G4177&lt;=2000,"4 501-2000",TRUE(),"5 Above 2000")</f>
        <v>1 Negative</v>
      </c>
      <c r="P4177" s="2" t="n">
        <f aca="false">Lookups!$B$2*M4177+Lookups!$B$3*L4177</f>
        <v>2</v>
      </c>
      <c r="Q4177" s="2" t="str">
        <f aca="false">INDEX(Lookups!$E$2:$E$5,MATCH(P4177,Lookups!$D$2:$D$5,0))</f>
        <v>High</v>
      </c>
    </row>
    <row r="4178" customFormat="false" ht="15" hidden="false" customHeight="false" outlineLevel="0" collapsed="false">
      <c r="A4178" s="3" t="n">
        <v>4177</v>
      </c>
      <c r="B4178" s="3" t="n">
        <f aca="false">Raw_Data!A4178</f>
        <v>32</v>
      </c>
      <c r="C4178" s="3" t="str">
        <f aca="false">SUBSTITUTE(Raw_Data!B4178,".","")</f>
        <v>blue-collar</v>
      </c>
      <c r="D4178" s="3" t="str">
        <f aca="false">Raw_Data!C4178</f>
        <v>married</v>
      </c>
      <c r="E4178" s="3" t="str">
        <f aca="false">Raw_Data!D4178</f>
        <v>primary</v>
      </c>
      <c r="F4178" s="3" t="str">
        <f aca="false">Raw_Data!E4178</f>
        <v>no</v>
      </c>
      <c r="G4178" s="3" t="n">
        <f aca="false">Raw_Data!F4178</f>
        <v>415</v>
      </c>
      <c r="H4178" s="3" t="str">
        <f aca="false">Raw_Data!G4178</f>
        <v>yes</v>
      </c>
      <c r="I4178" s="3" t="str">
        <f aca="false">Raw_Data!H4178</f>
        <v>no</v>
      </c>
      <c r="J4178" s="2" t="n">
        <f aca="false">IF(F4178="yes",1,0)</f>
        <v>0</v>
      </c>
      <c r="K4178" s="2" t="n">
        <f aca="false">IF(H4178="yes",1,0)</f>
        <v>1</v>
      </c>
      <c r="L4178" s="2" t="n">
        <f aca="false">IF(I4178="yes",1,0)</f>
        <v>0</v>
      </c>
      <c r="M4178" s="2" t="n">
        <f aca="false">IF(G4178&lt;0,1,0)</f>
        <v>0</v>
      </c>
      <c r="N4178" s="2" t="str">
        <f aca="false">_xlfn.IFS(B4178&lt;30,"Under 30",B4178&lt;40,"30-39",B4178&lt;50,"40-49",B4178&lt;60,"50-59",TRUE(),"60+")</f>
        <v>30-39</v>
      </c>
      <c r="O4178" s="2" t="str">
        <f aca="false">_xlfn.IFS(G4178&lt;0,"1 Negative",G4178=0,"2 Zero",G4178&lt;=500,"3 1-500",G4178&lt;=2000,"4 501-2000",TRUE(),"5 Above 2000")</f>
        <v>3 1-500</v>
      </c>
      <c r="P4178" s="2" t="n">
        <f aca="false">Lookups!$B$2*M4178+Lookups!$B$3*L4178</f>
        <v>0</v>
      </c>
      <c r="Q4178" s="2" t="str">
        <f aca="false">INDEX(Lookups!$E$2:$E$5,MATCH(P4178,Lookups!$D$2:$D$5,0))</f>
        <v>Low</v>
      </c>
    </row>
    <row r="4179" customFormat="false" ht="15" hidden="false" customHeight="false" outlineLevel="0" collapsed="false">
      <c r="A4179" s="3" t="n">
        <v>4178</v>
      </c>
      <c r="B4179" s="3" t="n">
        <f aca="false">Raw_Data!A4179</f>
        <v>57</v>
      </c>
      <c r="C4179" s="3" t="str">
        <f aca="false">SUBSTITUTE(Raw_Data!B4179,".","")</f>
        <v>management</v>
      </c>
      <c r="D4179" s="3" t="str">
        <f aca="false">Raw_Data!C4179</f>
        <v>married</v>
      </c>
      <c r="E4179" s="3" t="str">
        <f aca="false">Raw_Data!D4179</f>
        <v>tertiary</v>
      </c>
      <c r="F4179" s="3" t="str">
        <f aca="false">Raw_Data!E4179</f>
        <v>no</v>
      </c>
      <c r="G4179" s="3" t="n">
        <f aca="false">Raw_Data!F4179</f>
        <v>1341</v>
      </c>
      <c r="H4179" s="3" t="str">
        <f aca="false">Raw_Data!G4179</f>
        <v>yes</v>
      </c>
      <c r="I4179" s="3" t="str">
        <f aca="false">Raw_Data!H4179</f>
        <v>no</v>
      </c>
      <c r="J4179" s="2" t="n">
        <f aca="false">IF(F4179="yes",1,0)</f>
        <v>0</v>
      </c>
      <c r="K4179" s="2" t="n">
        <f aca="false">IF(H4179="yes",1,0)</f>
        <v>1</v>
      </c>
      <c r="L4179" s="2" t="n">
        <f aca="false">IF(I4179="yes",1,0)</f>
        <v>0</v>
      </c>
      <c r="M4179" s="2" t="n">
        <f aca="false">IF(G4179&lt;0,1,0)</f>
        <v>0</v>
      </c>
      <c r="N4179" s="2" t="str">
        <f aca="false">_xlfn.IFS(B4179&lt;30,"Under 30",B4179&lt;40,"30-39",B4179&lt;50,"40-49",B4179&lt;60,"50-59",TRUE(),"60+")</f>
        <v>50-59</v>
      </c>
      <c r="O4179" s="2" t="str">
        <f aca="false">_xlfn.IFS(G4179&lt;0,"1 Negative",G4179=0,"2 Zero",G4179&lt;=500,"3 1-500",G4179&lt;=2000,"4 501-2000",TRUE(),"5 Above 2000")</f>
        <v>4 501-2000</v>
      </c>
      <c r="P4179" s="2" t="n">
        <f aca="false">Lookups!$B$2*M4179+Lookups!$B$3*L4179</f>
        <v>0</v>
      </c>
      <c r="Q4179" s="2" t="str">
        <f aca="false">INDEX(Lookups!$E$2:$E$5,MATCH(P4179,Lookups!$D$2:$D$5,0))</f>
        <v>Low</v>
      </c>
    </row>
    <row r="4180" customFormat="false" ht="15" hidden="false" customHeight="false" outlineLevel="0" collapsed="false">
      <c r="A4180" s="3" t="n">
        <v>4179</v>
      </c>
      <c r="B4180" s="3" t="n">
        <f aca="false">Raw_Data!A4180</f>
        <v>48</v>
      </c>
      <c r="C4180" s="3" t="str">
        <f aca="false">SUBSTITUTE(Raw_Data!B4180,".","")</f>
        <v>blue-collar</v>
      </c>
      <c r="D4180" s="3" t="str">
        <f aca="false">Raw_Data!C4180</f>
        <v>married</v>
      </c>
      <c r="E4180" s="3" t="str">
        <f aca="false">Raw_Data!D4180</f>
        <v>secondary</v>
      </c>
      <c r="F4180" s="3" t="str">
        <f aca="false">Raw_Data!E4180</f>
        <v>no</v>
      </c>
      <c r="G4180" s="3" t="n">
        <f aca="false">Raw_Data!F4180</f>
        <v>865</v>
      </c>
      <c r="H4180" s="3" t="str">
        <f aca="false">Raw_Data!G4180</f>
        <v>yes</v>
      </c>
      <c r="I4180" s="3" t="str">
        <f aca="false">Raw_Data!H4180</f>
        <v>no</v>
      </c>
      <c r="J4180" s="2" t="n">
        <f aca="false">IF(F4180="yes",1,0)</f>
        <v>0</v>
      </c>
      <c r="K4180" s="2" t="n">
        <f aca="false">IF(H4180="yes",1,0)</f>
        <v>1</v>
      </c>
      <c r="L4180" s="2" t="n">
        <f aca="false">IF(I4180="yes",1,0)</f>
        <v>0</v>
      </c>
      <c r="M4180" s="2" t="n">
        <f aca="false">IF(G4180&lt;0,1,0)</f>
        <v>0</v>
      </c>
      <c r="N4180" s="2" t="str">
        <f aca="false">_xlfn.IFS(B4180&lt;30,"Under 30",B4180&lt;40,"30-39",B4180&lt;50,"40-49",B4180&lt;60,"50-59",TRUE(),"60+")</f>
        <v>40-49</v>
      </c>
      <c r="O4180" s="2" t="str">
        <f aca="false">_xlfn.IFS(G4180&lt;0,"1 Negative",G4180=0,"2 Zero",G4180&lt;=500,"3 1-500",G4180&lt;=2000,"4 501-2000",TRUE(),"5 Above 2000")</f>
        <v>4 501-2000</v>
      </c>
      <c r="P4180" s="2" t="n">
        <f aca="false">Lookups!$B$2*M4180+Lookups!$B$3*L4180</f>
        <v>0</v>
      </c>
      <c r="Q4180" s="2" t="str">
        <f aca="false">INDEX(Lookups!$E$2:$E$5,MATCH(P4180,Lookups!$D$2:$D$5,0))</f>
        <v>Low</v>
      </c>
    </row>
    <row r="4181" customFormat="false" ht="15" hidden="false" customHeight="false" outlineLevel="0" collapsed="false">
      <c r="A4181" s="3" t="n">
        <v>4180</v>
      </c>
      <c r="B4181" s="3" t="n">
        <f aca="false">Raw_Data!A4181</f>
        <v>34</v>
      </c>
      <c r="C4181" s="3" t="str">
        <f aca="false">SUBSTITUTE(Raw_Data!B4181,".","")</f>
        <v>blue-collar</v>
      </c>
      <c r="D4181" s="3" t="str">
        <f aca="false">Raw_Data!C4181</f>
        <v>divorced</v>
      </c>
      <c r="E4181" s="3" t="str">
        <f aca="false">Raw_Data!D4181</f>
        <v>secondary</v>
      </c>
      <c r="F4181" s="3" t="str">
        <f aca="false">Raw_Data!E4181</f>
        <v>no</v>
      </c>
      <c r="G4181" s="3" t="n">
        <f aca="false">Raw_Data!F4181</f>
        <v>-566</v>
      </c>
      <c r="H4181" s="3" t="str">
        <f aca="false">Raw_Data!G4181</f>
        <v>yes</v>
      </c>
      <c r="I4181" s="3" t="str">
        <f aca="false">Raw_Data!H4181</f>
        <v>no</v>
      </c>
      <c r="J4181" s="2" t="n">
        <f aca="false">IF(F4181="yes",1,0)</f>
        <v>0</v>
      </c>
      <c r="K4181" s="2" t="n">
        <f aca="false">IF(H4181="yes",1,0)</f>
        <v>1</v>
      </c>
      <c r="L4181" s="2" t="n">
        <f aca="false">IF(I4181="yes",1,0)</f>
        <v>0</v>
      </c>
      <c r="M4181" s="2" t="n">
        <f aca="false">IF(G4181&lt;0,1,0)</f>
        <v>1</v>
      </c>
      <c r="N4181" s="2" t="str">
        <f aca="false">_xlfn.IFS(B4181&lt;30,"Under 30",B4181&lt;40,"30-39",B4181&lt;50,"40-49",B4181&lt;60,"50-59",TRUE(),"60+")</f>
        <v>30-39</v>
      </c>
      <c r="O4181" s="2" t="str">
        <f aca="false">_xlfn.IFS(G4181&lt;0,"1 Negative",G4181=0,"2 Zero",G4181&lt;=500,"3 1-500",G4181&lt;=2000,"4 501-2000",TRUE(),"5 Above 2000")</f>
        <v>1 Negative</v>
      </c>
      <c r="P4181" s="2" t="n">
        <f aca="false">Lookups!$B$2*M4181+Lookups!$B$3*L4181</f>
        <v>2</v>
      </c>
      <c r="Q4181" s="2" t="str">
        <f aca="false">INDEX(Lookups!$E$2:$E$5,MATCH(P4181,Lookups!$D$2:$D$5,0))</f>
        <v>High</v>
      </c>
    </row>
    <row r="4182" customFormat="false" ht="15" hidden="false" customHeight="false" outlineLevel="0" collapsed="false">
      <c r="A4182" s="3" t="n">
        <v>4181</v>
      </c>
      <c r="B4182" s="3" t="n">
        <f aca="false">Raw_Data!A4182</f>
        <v>33</v>
      </c>
      <c r="C4182" s="3" t="str">
        <f aca="false">SUBSTITUTE(Raw_Data!B4182,".","")</f>
        <v>services</v>
      </c>
      <c r="D4182" s="3" t="str">
        <f aca="false">Raw_Data!C4182</f>
        <v>married</v>
      </c>
      <c r="E4182" s="3" t="str">
        <f aca="false">Raw_Data!D4182</f>
        <v>secondary</v>
      </c>
      <c r="F4182" s="3" t="str">
        <f aca="false">Raw_Data!E4182</f>
        <v>no</v>
      </c>
      <c r="G4182" s="3" t="n">
        <f aca="false">Raw_Data!F4182</f>
        <v>210</v>
      </c>
      <c r="H4182" s="3" t="str">
        <f aca="false">Raw_Data!G4182</f>
        <v>yes</v>
      </c>
      <c r="I4182" s="3" t="str">
        <f aca="false">Raw_Data!H4182</f>
        <v>yes</v>
      </c>
      <c r="J4182" s="2" t="n">
        <f aca="false">IF(F4182="yes",1,0)</f>
        <v>0</v>
      </c>
      <c r="K4182" s="2" t="n">
        <f aca="false">IF(H4182="yes",1,0)</f>
        <v>1</v>
      </c>
      <c r="L4182" s="2" t="n">
        <f aca="false">IF(I4182="yes",1,0)</f>
        <v>1</v>
      </c>
      <c r="M4182" s="2" t="n">
        <f aca="false">IF(G4182&lt;0,1,0)</f>
        <v>0</v>
      </c>
      <c r="N4182" s="2" t="str">
        <f aca="false">_xlfn.IFS(B4182&lt;30,"Under 30",B4182&lt;40,"30-39",B4182&lt;50,"40-49",B4182&lt;60,"50-59",TRUE(),"60+")</f>
        <v>30-39</v>
      </c>
      <c r="O4182" s="2" t="str">
        <f aca="false">_xlfn.IFS(G4182&lt;0,"1 Negative",G4182=0,"2 Zero",G4182&lt;=500,"3 1-500",G4182&lt;=2000,"4 501-2000",TRUE(),"5 Above 2000")</f>
        <v>3 1-500</v>
      </c>
      <c r="P4182" s="2" t="n">
        <f aca="false">Lookups!$B$2*M4182+Lookups!$B$3*L4182</f>
        <v>1</v>
      </c>
      <c r="Q4182" s="2" t="str">
        <f aca="false">INDEX(Lookups!$E$2:$E$5,MATCH(P4182,Lookups!$D$2:$D$5,0))</f>
        <v>Medium</v>
      </c>
    </row>
    <row r="4183" customFormat="false" ht="15" hidden="false" customHeight="false" outlineLevel="0" collapsed="false">
      <c r="A4183" s="3" t="n">
        <v>4182</v>
      </c>
      <c r="B4183" s="3" t="n">
        <f aca="false">Raw_Data!A4183</f>
        <v>26</v>
      </c>
      <c r="C4183" s="3" t="str">
        <f aca="false">SUBSTITUTE(Raw_Data!B4183,".","")</f>
        <v>technician</v>
      </c>
      <c r="D4183" s="3" t="str">
        <f aca="false">Raw_Data!C4183</f>
        <v>single</v>
      </c>
      <c r="E4183" s="3" t="str">
        <f aca="false">Raw_Data!D4183</f>
        <v>secondary</v>
      </c>
      <c r="F4183" s="3" t="str">
        <f aca="false">Raw_Data!E4183</f>
        <v>no</v>
      </c>
      <c r="G4183" s="3" t="n">
        <f aca="false">Raw_Data!F4183</f>
        <v>1275</v>
      </c>
      <c r="H4183" s="3" t="str">
        <f aca="false">Raw_Data!G4183</f>
        <v>yes</v>
      </c>
      <c r="I4183" s="3" t="str">
        <f aca="false">Raw_Data!H4183</f>
        <v>no</v>
      </c>
      <c r="J4183" s="2" t="n">
        <f aca="false">IF(F4183="yes",1,0)</f>
        <v>0</v>
      </c>
      <c r="K4183" s="2" t="n">
        <f aca="false">IF(H4183="yes",1,0)</f>
        <v>1</v>
      </c>
      <c r="L4183" s="2" t="n">
        <f aca="false">IF(I4183="yes",1,0)</f>
        <v>0</v>
      </c>
      <c r="M4183" s="2" t="n">
        <f aca="false">IF(G4183&lt;0,1,0)</f>
        <v>0</v>
      </c>
      <c r="N4183" s="2" t="str">
        <f aca="false">_xlfn.IFS(B4183&lt;30,"Under 30",B4183&lt;40,"30-39",B4183&lt;50,"40-49",B4183&lt;60,"50-59",TRUE(),"60+")</f>
        <v>Under 30</v>
      </c>
      <c r="O4183" s="2" t="str">
        <f aca="false">_xlfn.IFS(G4183&lt;0,"1 Negative",G4183=0,"2 Zero",G4183&lt;=500,"3 1-500",G4183&lt;=2000,"4 501-2000",TRUE(),"5 Above 2000")</f>
        <v>4 501-2000</v>
      </c>
      <c r="P4183" s="2" t="n">
        <f aca="false">Lookups!$B$2*M4183+Lookups!$B$3*L4183</f>
        <v>0</v>
      </c>
      <c r="Q4183" s="2" t="str">
        <f aca="false">INDEX(Lookups!$E$2:$E$5,MATCH(P4183,Lookups!$D$2:$D$5,0))</f>
        <v>Low</v>
      </c>
    </row>
    <row r="4184" customFormat="false" ht="15" hidden="false" customHeight="false" outlineLevel="0" collapsed="false">
      <c r="A4184" s="3" t="n">
        <v>4183</v>
      </c>
      <c r="B4184" s="3" t="n">
        <f aca="false">Raw_Data!A4184</f>
        <v>50</v>
      </c>
      <c r="C4184" s="3" t="str">
        <f aca="false">SUBSTITUTE(Raw_Data!B4184,".","")</f>
        <v>blue-collar</v>
      </c>
      <c r="D4184" s="3" t="str">
        <f aca="false">Raw_Data!C4184</f>
        <v>married</v>
      </c>
      <c r="E4184" s="3" t="str">
        <f aca="false">Raw_Data!D4184</f>
        <v>secondary</v>
      </c>
      <c r="F4184" s="3" t="str">
        <f aca="false">Raw_Data!E4184</f>
        <v>no</v>
      </c>
      <c r="G4184" s="3" t="n">
        <f aca="false">Raw_Data!F4184</f>
        <v>579</v>
      </c>
      <c r="H4184" s="3" t="str">
        <f aca="false">Raw_Data!G4184</f>
        <v>no</v>
      </c>
      <c r="I4184" s="3" t="str">
        <f aca="false">Raw_Data!H4184</f>
        <v>no</v>
      </c>
      <c r="J4184" s="2" t="n">
        <f aca="false">IF(F4184="yes",1,0)</f>
        <v>0</v>
      </c>
      <c r="K4184" s="2" t="n">
        <f aca="false">IF(H4184="yes",1,0)</f>
        <v>0</v>
      </c>
      <c r="L4184" s="2" t="n">
        <f aca="false">IF(I4184="yes",1,0)</f>
        <v>0</v>
      </c>
      <c r="M4184" s="2" t="n">
        <f aca="false">IF(G4184&lt;0,1,0)</f>
        <v>0</v>
      </c>
      <c r="N4184" s="2" t="str">
        <f aca="false">_xlfn.IFS(B4184&lt;30,"Under 30",B4184&lt;40,"30-39",B4184&lt;50,"40-49",B4184&lt;60,"50-59",TRUE(),"60+")</f>
        <v>50-59</v>
      </c>
      <c r="O4184" s="2" t="str">
        <f aca="false">_xlfn.IFS(G4184&lt;0,"1 Negative",G4184=0,"2 Zero",G4184&lt;=500,"3 1-500",G4184&lt;=2000,"4 501-2000",TRUE(),"5 Above 2000")</f>
        <v>4 501-2000</v>
      </c>
      <c r="P4184" s="2" t="n">
        <f aca="false">Lookups!$B$2*M4184+Lookups!$B$3*L4184</f>
        <v>0</v>
      </c>
      <c r="Q4184" s="2" t="str">
        <f aca="false">INDEX(Lookups!$E$2:$E$5,MATCH(P4184,Lookups!$D$2:$D$5,0))</f>
        <v>Low</v>
      </c>
    </row>
    <row r="4185" customFormat="false" ht="15" hidden="false" customHeight="false" outlineLevel="0" collapsed="false">
      <c r="A4185" s="3" t="n">
        <v>4184</v>
      </c>
      <c r="B4185" s="3" t="n">
        <f aca="false">Raw_Data!A4185</f>
        <v>60</v>
      </c>
      <c r="C4185" s="3" t="str">
        <f aca="false">SUBSTITUTE(Raw_Data!B4185,".","")</f>
        <v>technician</v>
      </c>
      <c r="D4185" s="3" t="str">
        <f aca="false">Raw_Data!C4185</f>
        <v>single</v>
      </c>
      <c r="E4185" s="3" t="str">
        <f aca="false">Raw_Data!D4185</f>
        <v>tertiary</v>
      </c>
      <c r="F4185" s="3" t="str">
        <f aca="false">Raw_Data!E4185</f>
        <v>no</v>
      </c>
      <c r="G4185" s="3" t="n">
        <f aca="false">Raw_Data!F4185</f>
        <v>2934</v>
      </c>
      <c r="H4185" s="3" t="str">
        <f aca="false">Raw_Data!G4185</f>
        <v>no</v>
      </c>
      <c r="I4185" s="3" t="str">
        <f aca="false">Raw_Data!H4185</f>
        <v>no</v>
      </c>
      <c r="J4185" s="2" t="n">
        <f aca="false">IF(F4185="yes",1,0)</f>
        <v>0</v>
      </c>
      <c r="K4185" s="2" t="n">
        <f aca="false">IF(H4185="yes",1,0)</f>
        <v>0</v>
      </c>
      <c r="L4185" s="2" t="n">
        <f aca="false">IF(I4185="yes",1,0)</f>
        <v>0</v>
      </c>
      <c r="M4185" s="2" t="n">
        <f aca="false">IF(G4185&lt;0,1,0)</f>
        <v>0</v>
      </c>
      <c r="N4185" s="2" t="str">
        <f aca="false">_xlfn.IFS(B4185&lt;30,"Under 30",B4185&lt;40,"30-39",B4185&lt;50,"40-49",B4185&lt;60,"50-59",TRUE(),"60+")</f>
        <v>60+</v>
      </c>
      <c r="O4185" s="2" t="str">
        <f aca="false">_xlfn.IFS(G4185&lt;0,"1 Negative",G4185=0,"2 Zero",G4185&lt;=500,"3 1-500",G4185&lt;=2000,"4 501-2000",TRUE(),"5 Above 2000")</f>
        <v>5 Above 2000</v>
      </c>
      <c r="P4185" s="2" t="n">
        <f aca="false">Lookups!$B$2*M4185+Lookups!$B$3*L4185</f>
        <v>0</v>
      </c>
      <c r="Q4185" s="2" t="str">
        <f aca="false">INDEX(Lookups!$E$2:$E$5,MATCH(P4185,Lookups!$D$2:$D$5,0))</f>
        <v>Low</v>
      </c>
    </row>
    <row r="4186" customFormat="false" ht="15" hidden="false" customHeight="false" outlineLevel="0" collapsed="false">
      <c r="A4186" s="3" t="n">
        <v>4185</v>
      </c>
      <c r="B4186" s="3" t="n">
        <f aca="false">Raw_Data!A4186</f>
        <v>47</v>
      </c>
      <c r="C4186" s="3" t="str">
        <f aca="false">SUBSTITUTE(Raw_Data!B4186,".","")</f>
        <v>management</v>
      </c>
      <c r="D4186" s="3" t="str">
        <f aca="false">Raw_Data!C4186</f>
        <v>married</v>
      </c>
      <c r="E4186" s="3" t="str">
        <f aca="false">Raw_Data!D4186</f>
        <v>tertiary</v>
      </c>
      <c r="F4186" s="3" t="str">
        <f aca="false">Raw_Data!E4186</f>
        <v>no</v>
      </c>
      <c r="G4186" s="3" t="n">
        <f aca="false">Raw_Data!F4186</f>
        <v>6637</v>
      </c>
      <c r="H4186" s="3" t="str">
        <f aca="false">Raw_Data!G4186</f>
        <v>yes</v>
      </c>
      <c r="I4186" s="3" t="str">
        <f aca="false">Raw_Data!H4186</f>
        <v>no</v>
      </c>
      <c r="J4186" s="2" t="n">
        <f aca="false">IF(F4186="yes",1,0)</f>
        <v>0</v>
      </c>
      <c r="K4186" s="2" t="n">
        <f aca="false">IF(H4186="yes",1,0)</f>
        <v>1</v>
      </c>
      <c r="L4186" s="2" t="n">
        <f aca="false">IF(I4186="yes",1,0)</f>
        <v>0</v>
      </c>
      <c r="M4186" s="2" t="n">
        <f aca="false">IF(G4186&lt;0,1,0)</f>
        <v>0</v>
      </c>
      <c r="N4186" s="2" t="str">
        <f aca="false">_xlfn.IFS(B4186&lt;30,"Under 30",B4186&lt;40,"30-39",B4186&lt;50,"40-49",B4186&lt;60,"50-59",TRUE(),"60+")</f>
        <v>40-49</v>
      </c>
      <c r="O4186" s="2" t="str">
        <f aca="false">_xlfn.IFS(G4186&lt;0,"1 Negative",G4186=0,"2 Zero",G4186&lt;=500,"3 1-500",G4186&lt;=2000,"4 501-2000",TRUE(),"5 Above 2000")</f>
        <v>5 Above 2000</v>
      </c>
      <c r="P4186" s="2" t="n">
        <f aca="false">Lookups!$B$2*M4186+Lookups!$B$3*L4186</f>
        <v>0</v>
      </c>
      <c r="Q4186" s="2" t="str">
        <f aca="false">INDEX(Lookups!$E$2:$E$5,MATCH(P4186,Lookups!$D$2:$D$5,0))</f>
        <v>Low</v>
      </c>
    </row>
    <row r="4187" customFormat="false" ht="15" hidden="false" customHeight="false" outlineLevel="0" collapsed="false">
      <c r="A4187" s="3" t="n">
        <v>4186</v>
      </c>
      <c r="B4187" s="3" t="n">
        <f aca="false">Raw_Data!A4187</f>
        <v>31</v>
      </c>
      <c r="C4187" s="3" t="str">
        <f aca="false">SUBSTITUTE(Raw_Data!B4187,".","")</f>
        <v>management</v>
      </c>
      <c r="D4187" s="3" t="str">
        <f aca="false">Raw_Data!C4187</f>
        <v>married</v>
      </c>
      <c r="E4187" s="3" t="str">
        <f aca="false">Raw_Data!D4187</f>
        <v>tertiary</v>
      </c>
      <c r="F4187" s="3" t="str">
        <f aca="false">Raw_Data!E4187</f>
        <v>no</v>
      </c>
      <c r="G4187" s="3" t="n">
        <f aca="false">Raw_Data!F4187</f>
        <v>271</v>
      </c>
      <c r="H4187" s="3" t="str">
        <f aca="false">Raw_Data!G4187</f>
        <v>no</v>
      </c>
      <c r="I4187" s="3" t="str">
        <f aca="false">Raw_Data!H4187</f>
        <v>no</v>
      </c>
      <c r="J4187" s="2" t="n">
        <f aca="false">IF(F4187="yes",1,0)</f>
        <v>0</v>
      </c>
      <c r="K4187" s="2" t="n">
        <f aca="false">IF(H4187="yes",1,0)</f>
        <v>0</v>
      </c>
      <c r="L4187" s="2" t="n">
        <f aca="false">IF(I4187="yes",1,0)</f>
        <v>0</v>
      </c>
      <c r="M4187" s="2" t="n">
        <f aca="false">IF(G4187&lt;0,1,0)</f>
        <v>0</v>
      </c>
      <c r="N4187" s="2" t="str">
        <f aca="false">_xlfn.IFS(B4187&lt;30,"Under 30",B4187&lt;40,"30-39",B4187&lt;50,"40-49",B4187&lt;60,"50-59",TRUE(),"60+")</f>
        <v>30-39</v>
      </c>
      <c r="O4187" s="2" t="str">
        <f aca="false">_xlfn.IFS(G4187&lt;0,"1 Negative",G4187=0,"2 Zero",G4187&lt;=500,"3 1-500",G4187&lt;=2000,"4 501-2000",TRUE(),"5 Above 2000")</f>
        <v>3 1-500</v>
      </c>
      <c r="P4187" s="2" t="n">
        <f aca="false">Lookups!$B$2*M4187+Lookups!$B$3*L4187</f>
        <v>0</v>
      </c>
      <c r="Q4187" s="2" t="str">
        <f aca="false">INDEX(Lookups!$E$2:$E$5,MATCH(P4187,Lookups!$D$2:$D$5,0))</f>
        <v>Low</v>
      </c>
    </row>
    <row r="4188" customFormat="false" ht="15" hidden="false" customHeight="false" outlineLevel="0" collapsed="false">
      <c r="A4188" s="3" t="n">
        <v>4187</v>
      </c>
      <c r="B4188" s="3" t="n">
        <f aca="false">Raw_Data!A4188</f>
        <v>52</v>
      </c>
      <c r="C4188" s="3" t="str">
        <f aca="false">SUBSTITUTE(Raw_Data!B4188,".","")</f>
        <v>technician</v>
      </c>
      <c r="D4188" s="3" t="str">
        <f aca="false">Raw_Data!C4188</f>
        <v>married</v>
      </c>
      <c r="E4188" s="3" t="str">
        <f aca="false">Raw_Data!D4188</f>
        <v>tertiary</v>
      </c>
      <c r="F4188" s="3" t="str">
        <f aca="false">Raw_Data!E4188</f>
        <v>no</v>
      </c>
      <c r="G4188" s="3" t="n">
        <f aca="false">Raw_Data!F4188</f>
        <v>0</v>
      </c>
      <c r="H4188" s="3" t="str">
        <f aca="false">Raw_Data!G4188</f>
        <v>no</v>
      </c>
      <c r="I4188" s="3" t="str">
        <f aca="false">Raw_Data!H4188</f>
        <v>no</v>
      </c>
      <c r="J4188" s="2" t="n">
        <f aca="false">IF(F4188="yes",1,0)</f>
        <v>0</v>
      </c>
      <c r="K4188" s="2" t="n">
        <f aca="false">IF(H4188="yes",1,0)</f>
        <v>0</v>
      </c>
      <c r="L4188" s="2" t="n">
        <f aca="false">IF(I4188="yes",1,0)</f>
        <v>0</v>
      </c>
      <c r="M4188" s="2" t="n">
        <f aca="false">IF(G4188&lt;0,1,0)</f>
        <v>0</v>
      </c>
      <c r="N4188" s="2" t="str">
        <f aca="false">_xlfn.IFS(B4188&lt;30,"Under 30",B4188&lt;40,"30-39",B4188&lt;50,"40-49",B4188&lt;60,"50-59",TRUE(),"60+")</f>
        <v>50-59</v>
      </c>
      <c r="O4188" s="2" t="str">
        <f aca="false">_xlfn.IFS(G4188&lt;0,"1 Negative",G4188=0,"2 Zero",G4188&lt;=500,"3 1-500",G4188&lt;=2000,"4 501-2000",TRUE(),"5 Above 2000")</f>
        <v>2 Zero</v>
      </c>
      <c r="P4188" s="2" t="n">
        <f aca="false">Lookups!$B$2*M4188+Lookups!$B$3*L4188</f>
        <v>0</v>
      </c>
      <c r="Q4188" s="2" t="str">
        <f aca="false">INDEX(Lookups!$E$2:$E$5,MATCH(P4188,Lookups!$D$2:$D$5,0))</f>
        <v>Low</v>
      </c>
    </row>
    <row r="4189" customFormat="false" ht="15" hidden="false" customHeight="false" outlineLevel="0" collapsed="false">
      <c r="A4189" s="3" t="n">
        <v>4188</v>
      </c>
      <c r="B4189" s="3" t="n">
        <f aca="false">Raw_Data!A4189</f>
        <v>36</v>
      </c>
      <c r="C4189" s="3" t="str">
        <f aca="false">SUBSTITUTE(Raw_Data!B4189,".","")</f>
        <v>services</v>
      </c>
      <c r="D4189" s="3" t="str">
        <f aca="false">Raw_Data!C4189</f>
        <v>married</v>
      </c>
      <c r="E4189" s="3" t="str">
        <f aca="false">Raw_Data!D4189</f>
        <v>secondary</v>
      </c>
      <c r="F4189" s="3" t="str">
        <f aca="false">Raw_Data!E4189</f>
        <v>no</v>
      </c>
      <c r="G4189" s="3" t="n">
        <f aca="false">Raw_Data!F4189</f>
        <v>472</v>
      </c>
      <c r="H4189" s="3" t="str">
        <f aca="false">Raw_Data!G4189</f>
        <v>yes</v>
      </c>
      <c r="I4189" s="3" t="str">
        <f aca="false">Raw_Data!H4189</f>
        <v>no</v>
      </c>
      <c r="J4189" s="2" t="n">
        <f aca="false">IF(F4189="yes",1,0)</f>
        <v>0</v>
      </c>
      <c r="K4189" s="2" t="n">
        <f aca="false">IF(H4189="yes",1,0)</f>
        <v>1</v>
      </c>
      <c r="L4189" s="2" t="n">
        <f aca="false">IF(I4189="yes",1,0)</f>
        <v>0</v>
      </c>
      <c r="M4189" s="2" t="n">
        <f aca="false">IF(G4189&lt;0,1,0)</f>
        <v>0</v>
      </c>
      <c r="N4189" s="2" t="str">
        <f aca="false">_xlfn.IFS(B4189&lt;30,"Under 30",B4189&lt;40,"30-39",B4189&lt;50,"40-49",B4189&lt;60,"50-59",TRUE(),"60+")</f>
        <v>30-39</v>
      </c>
      <c r="O4189" s="2" t="str">
        <f aca="false">_xlfn.IFS(G4189&lt;0,"1 Negative",G4189=0,"2 Zero",G4189&lt;=500,"3 1-500",G4189&lt;=2000,"4 501-2000",TRUE(),"5 Above 2000")</f>
        <v>3 1-500</v>
      </c>
      <c r="P4189" s="2" t="n">
        <f aca="false">Lookups!$B$2*M4189+Lookups!$B$3*L4189</f>
        <v>0</v>
      </c>
      <c r="Q4189" s="2" t="str">
        <f aca="false">INDEX(Lookups!$E$2:$E$5,MATCH(P4189,Lookups!$D$2:$D$5,0))</f>
        <v>Low</v>
      </c>
    </row>
    <row r="4190" customFormat="false" ht="15" hidden="false" customHeight="false" outlineLevel="0" collapsed="false">
      <c r="A4190" s="3" t="n">
        <v>4189</v>
      </c>
      <c r="B4190" s="3" t="n">
        <f aca="false">Raw_Data!A4190</f>
        <v>43</v>
      </c>
      <c r="C4190" s="3" t="str">
        <f aca="false">SUBSTITUTE(Raw_Data!B4190,".","")</f>
        <v>blue-collar</v>
      </c>
      <c r="D4190" s="3" t="str">
        <f aca="false">Raw_Data!C4190</f>
        <v>married</v>
      </c>
      <c r="E4190" s="3" t="str">
        <f aca="false">Raw_Data!D4190</f>
        <v>primary</v>
      </c>
      <c r="F4190" s="3" t="str">
        <f aca="false">Raw_Data!E4190</f>
        <v>no</v>
      </c>
      <c r="G4190" s="3" t="n">
        <f aca="false">Raw_Data!F4190</f>
        <v>487</v>
      </c>
      <c r="H4190" s="3" t="str">
        <f aca="false">Raw_Data!G4190</f>
        <v>yes</v>
      </c>
      <c r="I4190" s="3" t="str">
        <f aca="false">Raw_Data!H4190</f>
        <v>no</v>
      </c>
      <c r="J4190" s="2" t="n">
        <f aca="false">IF(F4190="yes",1,0)</f>
        <v>0</v>
      </c>
      <c r="K4190" s="2" t="n">
        <f aca="false">IF(H4190="yes",1,0)</f>
        <v>1</v>
      </c>
      <c r="L4190" s="2" t="n">
        <f aca="false">IF(I4190="yes",1,0)</f>
        <v>0</v>
      </c>
      <c r="M4190" s="2" t="n">
        <f aca="false">IF(G4190&lt;0,1,0)</f>
        <v>0</v>
      </c>
      <c r="N4190" s="2" t="str">
        <f aca="false">_xlfn.IFS(B4190&lt;30,"Under 30",B4190&lt;40,"30-39",B4190&lt;50,"40-49",B4190&lt;60,"50-59",TRUE(),"60+")</f>
        <v>40-49</v>
      </c>
      <c r="O4190" s="2" t="str">
        <f aca="false">_xlfn.IFS(G4190&lt;0,"1 Negative",G4190=0,"2 Zero",G4190&lt;=500,"3 1-500",G4190&lt;=2000,"4 501-2000",TRUE(),"5 Above 2000")</f>
        <v>3 1-500</v>
      </c>
      <c r="P4190" s="2" t="n">
        <f aca="false">Lookups!$B$2*M4190+Lookups!$B$3*L4190</f>
        <v>0</v>
      </c>
      <c r="Q4190" s="2" t="str">
        <f aca="false">INDEX(Lookups!$E$2:$E$5,MATCH(P4190,Lookups!$D$2:$D$5,0))</f>
        <v>Low</v>
      </c>
    </row>
    <row r="4191" customFormat="false" ht="15" hidden="false" customHeight="false" outlineLevel="0" collapsed="false">
      <c r="A4191" s="3" t="n">
        <v>4190</v>
      </c>
      <c r="B4191" s="3" t="n">
        <f aca="false">Raw_Data!A4191</f>
        <v>30</v>
      </c>
      <c r="C4191" s="3" t="str">
        <f aca="false">SUBSTITUTE(Raw_Data!B4191,".","")</f>
        <v>technician</v>
      </c>
      <c r="D4191" s="3" t="str">
        <f aca="false">Raw_Data!C4191</f>
        <v>single</v>
      </c>
      <c r="E4191" s="3" t="str">
        <f aca="false">Raw_Data!D4191</f>
        <v>tertiary</v>
      </c>
      <c r="F4191" s="3" t="str">
        <f aca="false">Raw_Data!E4191</f>
        <v>no</v>
      </c>
      <c r="G4191" s="3" t="n">
        <f aca="false">Raw_Data!F4191</f>
        <v>699</v>
      </c>
      <c r="H4191" s="3" t="str">
        <f aca="false">Raw_Data!G4191</f>
        <v>yes</v>
      </c>
      <c r="I4191" s="3" t="str">
        <f aca="false">Raw_Data!H4191</f>
        <v>no</v>
      </c>
      <c r="J4191" s="2" t="n">
        <f aca="false">IF(F4191="yes",1,0)</f>
        <v>0</v>
      </c>
      <c r="K4191" s="2" t="n">
        <f aca="false">IF(H4191="yes",1,0)</f>
        <v>1</v>
      </c>
      <c r="L4191" s="2" t="n">
        <f aca="false">IF(I4191="yes",1,0)</f>
        <v>0</v>
      </c>
      <c r="M4191" s="2" t="n">
        <f aca="false">IF(G4191&lt;0,1,0)</f>
        <v>0</v>
      </c>
      <c r="N4191" s="2" t="str">
        <f aca="false">_xlfn.IFS(B4191&lt;30,"Under 30",B4191&lt;40,"30-39",B4191&lt;50,"40-49",B4191&lt;60,"50-59",TRUE(),"60+")</f>
        <v>30-39</v>
      </c>
      <c r="O4191" s="2" t="str">
        <f aca="false">_xlfn.IFS(G4191&lt;0,"1 Negative",G4191=0,"2 Zero",G4191&lt;=500,"3 1-500",G4191&lt;=2000,"4 501-2000",TRUE(),"5 Above 2000")</f>
        <v>4 501-2000</v>
      </c>
      <c r="P4191" s="2" t="n">
        <f aca="false">Lookups!$B$2*M4191+Lookups!$B$3*L4191</f>
        <v>0</v>
      </c>
      <c r="Q4191" s="2" t="str">
        <f aca="false">INDEX(Lookups!$E$2:$E$5,MATCH(P4191,Lookups!$D$2:$D$5,0))</f>
        <v>Low</v>
      </c>
    </row>
    <row r="4192" customFormat="false" ht="15" hidden="false" customHeight="false" outlineLevel="0" collapsed="false">
      <c r="A4192" s="3" t="n">
        <v>4191</v>
      </c>
      <c r="B4192" s="3" t="n">
        <f aca="false">Raw_Data!A4192</f>
        <v>32</v>
      </c>
      <c r="C4192" s="3" t="str">
        <f aca="false">SUBSTITUTE(Raw_Data!B4192,".","")</f>
        <v>blue-collar</v>
      </c>
      <c r="D4192" s="3" t="str">
        <f aca="false">Raw_Data!C4192</f>
        <v>married</v>
      </c>
      <c r="E4192" s="3" t="str">
        <f aca="false">Raw_Data!D4192</f>
        <v>secondary</v>
      </c>
      <c r="F4192" s="3" t="str">
        <f aca="false">Raw_Data!E4192</f>
        <v>no</v>
      </c>
      <c r="G4192" s="3" t="n">
        <f aca="false">Raw_Data!F4192</f>
        <v>150</v>
      </c>
      <c r="H4192" s="3" t="str">
        <f aca="false">Raw_Data!G4192</f>
        <v>no</v>
      </c>
      <c r="I4192" s="3" t="str">
        <f aca="false">Raw_Data!H4192</f>
        <v>no</v>
      </c>
      <c r="J4192" s="2" t="n">
        <f aca="false">IF(F4192="yes",1,0)</f>
        <v>0</v>
      </c>
      <c r="K4192" s="2" t="n">
        <f aca="false">IF(H4192="yes",1,0)</f>
        <v>0</v>
      </c>
      <c r="L4192" s="2" t="n">
        <f aca="false">IF(I4192="yes",1,0)</f>
        <v>0</v>
      </c>
      <c r="M4192" s="2" t="n">
        <f aca="false">IF(G4192&lt;0,1,0)</f>
        <v>0</v>
      </c>
      <c r="N4192" s="2" t="str">
        <f aca="false">_xlfn.IFS(B4192&lt;30,"Under 30",B4192&lt;40,"30-39",B4192&lt;50,"40-49",B4192&lt;60,"50-59",TRUE(),"60+")</f>
        <v>30-39</v>
      </c>
      <c r="O4192" s="2" t="str">
        <f aca="false">_xlfn.IFS(G4192&lt;0,"1 Negative",G4192=0,"2 Zero",G4192&lt;=500,"3 1-500",G4192&lt;=2000,"4 501-2000",TRUE(),"5 Above 2000")</f>
        <v>3 1-500</v>
      </c>
      <c r="P4192" s="2" t="n">
        <f aca="false">Lookups!$B$2*M4192+Lookups!$B$3*L4192</f>
        <v>0</v>
      </c>
      <c r="Q4192" s="2" t="str">
        <f aca="false">INDEX(Lookups!$E$2:$E$5,MATCH(P4192,Lookups!$D$2:$D$5,0))</f>
        <v>Low</v>
      </c>
    </row>
    <row r="4193" customFormat="false" ht="15" hidden="false" customHeight="false" outlineLevel="0" collapsed="false">
      <c r="A4193" s="3" t="n">
        <v>4192</v>
      </c>
      <c r="B4193" s="3" t="n">
        <f aca="false">Raw_Data!A4193</f>
        <v>31</v>
      </c>
      <c r="C4193" s="3" t="str">
        <f aca="false">SUBSTITUTE(Raw_Data!B4193,".","")</f>
        <v>management</v>
      </c>
      <c r="D4193" s="3" t="str">
        <f aca="false">Raw_Data!C4193</f>
        <v>single</v>
      </c>
      <c r="E4193" s="3" t="str">
        <f aca="false">Raw_Data!D4193</f>
        <v>tertiary</v>
      </c>
      <c r="F4193" s="3" t="str">
        <f aca="false">Raw_Data!E4193</f>
        <v>no</v>
      </c>
      <c r="G4193" s="3" t="n">
        <f aca="false">Raw_Data!F4193</f>
        <v>1130</v>
      </c>
      <c r="H4193" s="3" t="str">
        <f aca="false">Raw_Data!G4193</f>
        <v>yes</v>
      </c>
      <c r="I4193" s="3" t="str">
        <f aca="false">Raw_Data!H4193</f>
        <v>no</v>
      </c>
      <c r="J4193" s="2" t="n">
        <f aca="false">IF(F4193="yes",1,0)</f>
        <v>0</v>
      </c>
      <c r="K4193" s="2" t="n">
        <f aca="false">IF(H4193="yes",1,0)</f>
        <v>1</v>
      </c>
      <c r="L4193" s="2" t="n">
        <f aca="false">IF(I4193="yes",1,0)</f>
        <v>0</v>
      </c>
      <c r="M4193" s="2" t="n">
        <f aca="false">IF(G4193&lt;0,1,0)</f>
        <v>0</v>
      </c>
      <c r="N4193" s="2" t="str">
        <f aca="false">_xlfn.IFS(B4193&lt;30,"Under 30",B4193&lt;40,"30-39",B4193&lt;50,"40-49",B4193&lt;60,"50-59",TRUE(),"60+")</f>
        <v>30-39</v>
      </c>
      <c r="O4193" s="2" t="str">
        <f aca="false">_xlfn.IFS(G4193&lt;0,"1 Negative",G4193=0,"2 Zero",G4193&lt;=500,"3 1-500",G4193&lt;=2000,"4 501-2000",TRUE(),"5 Above 2000")</f>
        <v>4 501-2000</v>
      </c>
      <c r="P4193" s="2" t="n">
        <f aca="false">Lookups!$B$2*M4193+Lookups!$B$3*L4193</f>
        <v>0</v>
      </c>
      <c r="Q4193" s="2" t="str">
        <f aca="false">INDEX(Lookups!$E$2:$E$5,MATCH(P4193,Lookups!$D$2:$D$5,0))</f>
        <v>Low</v>
      </c>
    </row>
    <row r="4194" customFormat="false" ht="15" hidden="false" customHeight="false" outlineLevel="0" collapsed="false">
      <c r="A4194" s="3" t="n">
        <v>4193</v>
      </c>
      <c r="B4194" s="3" t="n">
        <f aca="false">Raw_Data!A4194</f>
        <v>29</v>
      </c>
      <c r="C4194" s="3" t="str">
        <f aca="false">SUBSTITUTE(Raw_Data!B4194,".","")</f>
        <v>management</v>
      </c>
      <c r="D4194" s="3" t="str">
        <f aca="false">Raw_Data!C4194</f>
        <v>single</v>
      </c>
      <c r="E4194" s="3" t="str">
        <f aca="false">Raw_Data!D4194</f>
        <v>secondary</v>
      </c>
      <c r="F4194" s="3" t="str">
        <f aca="false">Raw_Data!E4194</f>
        <v>no</v>
      </c>
      <c r="G4194" s="3" t="n">
        <f aca="false">Raw_Data!F4194</f>
        <v>584</v>
      </c>
      <c r="H4194" s="3" t="str">
        <f aca="false">Raw_Data!G4194</f>
        <v>yes</v>
      </c>
      <c r="I4194" s="3" t="str">
        <f aca="false">Raw_Data!H4194</f>
        <v>no</v>
      </c>
      <c r="J4194" s="2" t="n">
        <f aca="false">IF(F4194="yes",1,0)</f>
        <v>0</v>
      </c>
      <c r="K4194" s="2" t="n">
        <f aca="false">IF(H4194="yes",1,0)</f>
        <v>1</v>
      </c>
      <c r="L4194" s="2" t="n">
        <f aca="false">IF(I4194="yes",1,0)</f>
        <v>0</v>
      </c>
      <c r="M4194" s="2" t="n">
        <f aca="false">IF(G4194&lt;0,1,0)</f>
        <v>0</v>
      </c>
      <c r="N4194" s="2" t="str">
        <f aca="false">_xlfn.IFS(B4194&lt;30,"Under 30",B4194&lt;40,"30-39",B4194&lt;50,"40-49",B4194&lt;60,"50-59",TRUE(),"60+")</f>
        <v>Under 30</v>
      </c>
      <c r="O4194" s="2" t="str">
        <f aca="false">_xlfn.IFS(G4194&lt;0,"1 Negative",G4194=0,"2 Zero",G4194&lt;=500,"3 1-500",G4194&lt;=2000,"4 501-2000",TRUE(),"5 Above 2000")</f>
        <v>4 501-2000</v>
      </c>
      <c r="P4194" s="2" t="n">
        <f aca="false">Lookups!$B$2*M4194+Lookups!$B$3*L4194</f>
        <v>0</v>
      </c>
      <c r="Q4194" s="2" t="str">
        <f aca="false">INDEX(Lookups!$E$2:$E$5,MATCH(P4194,Lookups!$D$2:$D$5,0))</f>
        <v>Low</v>
      </c>
    </row>
    <row r="4195" customFormat="false" ht="15" hidden="false" customHeight="false" outlineLevel="0" collapsed="false">
      <c r="A4195" s="3" t="n">
        <v>4194</v>
      </c>
      <c r="B4195" s="3" t="n">
        <f aca="false">Raw_Data!A4195</f>
        <v>48</v>
      </c>
      <c r="C4195" s="3" t="str">
        <f aca="false">SUBSTITUTE(Raw_Data!B4195,".","")</f>
        <v>services</v>
      </c>
      <c r="D4195" s="3" t="str">
        <f aca="false">Raw_Data!C4195</f>
        <v>divorced</v>
      </c>
      <c r="E4195" s="3" t="str">
        <f aca="false">Raw_Data!D4195</f>
        <v>secondary</v>
      </c>
      <c r="F4195" s="3" t="str">
        <f aca="false">Raw_Data!E4195</f>
        <v>no</v>
      </c>
      <c r="G4195" s="3" t="n">
        <f aca="false">Raw_Data!F4195</f>
        <v>3186</v>
      </c>
      <c r="H4195" s="3" t="str">
        <f aca="false">Raw_Data!G4195</f>
        <v>no</v>
      </c>
      <c r="I4195" s="3" t="str">
        <f aca="false">Raw_Data!H4195</f>
        <v>yes</v>
      </c>
      <c r="J4195" s="2" t="n">
        <f aca="false">IF(F4195="yes",1,0)</f>
        <v>0</v>
      </c>
      <c r="K4195" s="2" t="n">
        <f aca="false">IF(H4195="yes",1,0)</f>
        <v>0</v>
      </c>
      <c r="L4195" s="2" t="n">
        <f aca="false">IF(I4195="yes",1,0)</f>
        <v>1</v>
      </c>
      <c r="M4195" s="2" t="n">
        <f aca="false">IF(G4195&lt;0,1,0)</f>
        <v>0</v>
      </c>
      <c r="N4195" s="2" t="str">
        <f aca="false">_xlfn.IFS(B4195&lt;30,"Under 30",B4195&lt;40,"30-39",B4195&lt;50,"40-49",B4195&lt;60,"50-59",TRUE(),"60+")</f>
        <v>40-49</v>
      </c>
      <c r="O4195" s="2" t="str">
        <f aca="false">_xlfn.IFS(G4195&lt;0,"1 Negative",G4195=0,"2 Zero",G4195&lt;=500,"3 1-500",G4195&lt;=2000,"4 501-2000",TRUE(),"5 Above 2000")</f>
        <v>5 Above 2000</v>
      </c>
      <c r="P4195" s="2" t="n">
        <f aca="false">Lookups!$B$2*M4195+Lookups!$B$3*L4195</f>
        <v>1</v>
      </c>
      <c r="Q4195" s="2" t="str">
        <f aca="false">INDEX(Lookups!$E$2:$E$5,MATCH(P4195,Lookups!$D$2:$D$5,0))</f>
        <v>Medium</v>
      </c>
    </row>
    <row r="4196" customFormat="false" ht="15" hidden="false" customHeight="false" outlineLevel="0" collapsed="false">
      <c r="A4196" s="3" t="n">
        <v>4195</v>
      </c>
      <c r="B4196" s="3" t="n">
        <f aca="false">Raw_Data!A4196</f>
        <v>32</v>
      </c>
      <c r="C4196" s="3" t="str">
        <f aca="false">SUBSTITUTE(Raw_Data!B4196,".","")</f>
        <v>services</v>
      </c>
      <c r="D4196" s="3" t="str">
        <f aca="false">Raw_Data!C4196</f>
        <v>single</v>
      </c>
      <c r="E4196" s="3" t="str">
        <f aca="false">Raw_Data!D4196</f>
        <v>secondary</v>
      </c>
      <c r="F4196" s="3" t="str">
        <f aca="false">Raw_Data!E4196</f>
        <v>no</v>
      </c>
      <c r="G4196" s="3" t="n">
        <f aca="false">Raw_Data!F4196</f>
        <v>133</v>
      </c>
      <c r="H4196" s="3" t="str">
        <f aca="false">Raw_Data!G4196</f>
        <v>no</v>
      </c>
      <c r="I4196" s="3" t="str">
        <f aca="false">Raw_Data!H4196</f>
        <v>no</v>
      </c>
      <c r="J4196" s="2" t="n">
        <f aca="false">IF(F4196="yes",1,0)</f>
        <v>0</v>
      </c>
      <c r="K4196" s="2" t="n">
        <f aca="false">IF(H4196="yes",1,0)</f>
        <v>0</v>
      </c>
      <c r="L4196" s="2" t="n">
        <f aca="false">IF(I4196="yes",1,0)</f>
        <v>0</v>
      </c>
      <c r="M4196" s="2" t="n">
        <f aca="false">IF(G4196&lt;0,1,0)</f>
        <v>0</v>
      </c>
      <c r="N4196" s="2" t="str">
        <f aca="false">_xlfn.IFS(B4196&lt;30,"Under 30",B4196&lt;40,"30-39",B4196&lt;50,"40-49",B4196&lt;60,"50-59",TRUE(),"60+")</f>
        <v>30-39</v>
      </c>
      <c r="O4196" s="2" t="str">
        <f aca="false">_xlfn.IFS(G4196&lt;0,"1 Negative",G4196=0,"2 Zero",G4196&lt;=500,"3 1-500",G4196&lt;=2000,"4 501-2000",TRUE(),"5 Above 2000")</f>
        <v>3 1-500</v>
      </c>
      <c r="P4196" s="2" t="n">
        <f aca="false">Lookups!$B$2*M4196+Lookups!$B$3*L4196</f>
        <v>0</v>
      </c>
      <c r="Q4196" s="2" t="str">
        <f aca="false">INDEX(Lookups!$E$2:$E$5,MATCH(P4196,Lookups!$D$2:$D$5,0))</f>
        <v>Low</v>
      </c>
    </row>
    <row r="4197" customFormat="false" ht="15" hidden="false" customHeight="false" outlineLevel="0" collapsed="false">
      <c r="A4197" s="3" t="n">
        <v>4196</v>
      </c>
      <c r="B4197" s="3" t="n">
        <f aca="false">Raw_Data!A4197</f>
        <v>30</v>
      </c>
      <c r="C4197" s="3" t="str">
        <f aca="false">SUBSTITUTE(Raw_Data!B4197,".","")</f>
        <v>housemaid</v>
      </c>
      <c r="D4197" s="3" t="str">
        <f aca="false">Raw_Data!C4197</f>
        <v>single</v>
      </c>
      <c r="E4197" s="3" t="str">
        <f aca="false">Raw_Data!D4197</f>
        <v>tertiary</v>
      </c>
      <c r="F4197" s="3" t="str">
        <f aca="false">Raw_Data!E4197</f>
        <v>no</v>
      </c>
      <c r="G4197" s="3" t="n">
        <f aca="false">Raw_Data!F4197</f>
        <v>868</v>
      </c>
      <c r="H4197" s="3" t="str">
        <f aca="false">Raw_Data!G4197</f>
        <v>no</v>
      </c>
      <c r="I4197" s="3" t="str">
        <f aca="false">Raw_Data!H4197</f>
        <v>no</v>
      </c>
      <c r="J4197" s="2" t="n">
        <f aca="false">IF(F4197="yes",1,0)</f>
        <v>0</v>
      </c>
      <c r="K4197" s="2" t="n">
        <f aca="false">IF(H4197="yes",1,0)</f>
        <v>0</v>
      </c>
      <c r="L4197" s="2" t="n">
        <f aca="false">IF(I4197="yes",1,0)</f>
        <v>0</v>
      </c>
      <c r="M4197" s="2" t="n">
        <f aca="false">IF(G4197&lt;0,1,0)</f>
        <v>0</v>
      </c>
      <c r="N4197" s="2" t="str">
        <f aca="false">_xlfn.IFS(B4197&lt;30,"Under 30",B4197&lt;40,"30-39",B4197&lt;50,"40-49",B4197&lt;60,"50-59",TRUE(),"60+")</f>
        <v>30-39</v>
      </c>
      <c r="O4197" s="2" t="str">
        <f aca="false">_xlfn.IFS(G4197&lt;0,"1 Negative",G4197=0,"2 Zero",G4197&lt;=500,"3 1-500",G4197&lt;=2000,"4 501-2000",TRUE(),"5 Above 2000")</f>
        <v>4 501-2000</v>
      </c>
      <c r="P4197" s="2" t="n">
        <f aca="false">Lookups!$B$2*M4197+Lookups!$B$3*L4197</f>
        <v>0</v>
      </c>
      <c r="Q4197" s="2" t="str">
        <f aca="false">INDEX(Lookups!$E$2:$E$5,MATCH(P4197,Lookups!$D$2:$D$5,0))</f>
        <v>Low</v>
      </c>
    </row>
    <row r="4198" customFormat="false" ht="15" hidden="false" customHeight="false" outlineLevel="0" collapsed="false">
      <c r="A4198" s="3" t="n">
        <v>4197</v>
      </c>
      <c r="B4198" s="3" t="n">
        <f aca="false">Raw_Data!A4198</f>
        <v>48</v>
      </c>
      <c r="C4198" s="3" t="str">
        <f aca="false">SUBSTITUTE(Raw_Data!B4198,".","")</f>
        <v>blue-collar</v>
      </c>
      <c r="D4198" s="3" t="str">
        <f aca="false">Raw_Data!C4198</f>
        <v>married</v>
      </c>
      <c r="E4198" s="3" t="str">
        <f aca="false">Raw_Data!D4198</f>
        <v>secondary</v>
      </c>
      <c r="F4198" s="3" t="str">
        <f aca="false">Raw_Data!E4198</f>
        <v>no</v>
      </c>
      <c r="G4198" s="3" t="n">
        <f aca="false">Raw_Data!F4198</f>
        <v>480</v>
      </c>
      <c r="H4198" s="3" t="str">
        <f aca="false">Raw_Data!G4198</f>
        <v>yes</v>
      </c>
      <c r="I4198" s="3" t="str">
        <f aca="false">Raw_Data!H4198</f>
        <v>no</v>
      </c>
      <c r="J4198" s="2" t="n">
        <f aca="false">IF(F4198="yes",1,0)</f>
        <v>0</v>
      </c>
      <c r="K4198" s="2" t="n">
        <f aca="false">IF(H4198="yes",1,0)</f>
        <v>1</v>
      </c>
      <c r="L4198" s="2" t="n">
        <f aca="false">IF(I4198="yes",1,0)</f>
        <v>0</v>
      </c>
      <c r="M4198" s="2" t="n">
        <f aca="false">IF(G4198&lt;0,1,0)</f>
        <v>0</v>
      </c>
      <c r="N4198" s="2" t="str">
        <f aca="false">_xlfn.IFS(B4198&lt;30,"Under 30",B4198&lt;40,"30-39",B4198&lt;50,"40-49",B4198&lt;60,"50-59",TRUE(),"60+")</f>
        <v>40-49</v>
      </c>
      <c r="O4198" s="2" t="str">
        <f aca="false">_xlfn.IFS(G4198&lt;0,"1 Negative",G4198=0,"2 Zero",G4198&lt;=500,"3 1-500",G4198&lt;=2000,"4 501-2000",TRUE(),"5 Above 2000")</f>
        <v>3 1-500</v>
      </c>
      <c r="P4198" s="2" t="n">
        <f aca="false">Lookups!$B$2*M4198+Lookups!$B$3*L4198</f>
        <v>0</v>
      </c>
      <c r="Q4198" s="2" t="str">
        <f aca="false">INDEX(Lookups!$E$2:$E$5,MATCH(P4198,Lookups!$D$2:$D$5,0))</f>
        <v>Low</v>
      </c>
    </row>
    <row r="4199" customFormat="false" ht="15" hidden="false" customHeight="false" outlineLevel="0" collapsed="false">
      <c r="A4199" s="3" t="n">
        <v>4198</v>
      </c>
      <c r="B4199" s="3" t="n">
        <f aca="false">Raw_Data!A4199</f>
        <v>51</v>
      </c>
      <c r="C4199" s="3" t="str">
        <f aca="false">SUBSTITUTE(Raw_Data!B4199,".","")</f>
        <v>blue-collar</v>
      </c>
      <c r="D4199" s="3" t="str">
        <f aca="false">Raw_Data!C4199</f>
        <v>married</v>
      </c>
      <c r="E4199" s="3" t="str">
        <f aca="false">Raw_Data!D4199</f>
        <v>unknown</v>
      </c>
      <c r="F4199" s="3" t="str">
        <f aca="false">Raw_Data!E4199</f>
        <v>no</v>
      </c>
      <c r="G4199" s="3" t="n">
        <f aca="false">Raw_Data!F4199</f>
        <v>1883</v>
      </c>
      <c r="H4199" s="3" t="str">
        <f aca="false">Raw_Data!G4199</f>
        <v>yes</v>
      </c>
      <c r="I4199" s="3" t="str">
        <f aca="false">Raw_Data!H4199</f>
        <v>no</v>
      </c>
      <c r="J4199" s="2" t="n">
        <f aca="false">IF(F4199="yes",1,0)</f>
        <v>0</v>
      </c>
      <c r="K4199" s="2" t="n">
        <f aca="false">IF(H4199="yes",1,0)</f>
        <v>1</v>
      </c>
      <c r="L4199" s="2" t="n">
        <f aca="false">IF(I4199="yes",1,0)</f>
        <v>0</v>
      </c>
      <c r="M4199" s="2" t="n">
        <f aca="false">IF(G4199&lt;0,1,0)</f>
        <v>0</v>
      </c>
      <c r="N4199" s="2" t="str">
        <f aca="false">_xlfn.IFS(B4199&lt;30,"Under 30",B4199&lt;40,"30-39",B4199&lt;50,"40-49",B4199&lt;60,"50-59",TRUE(),"60+")</f>
        <v>50-59</v>
      </c>
      <c r="O4199" s="2" t="str">
        <f aca="false">_xlfn.IFS(G4199&lt;0,"1 Negative",G4199=0,"2 Zero",G4199&lt;=500,"3 1-500",G4199&lt;=2000,"4 501-2000",TRUE(),"5 Above 2000")</f>
        <v>4 501-2000</v>
      </c>
      <c r="P4199" s="2" t="n">
        <f aca="false">Lookups!$B$2*M4199+Lookups!$B$3*L4199</f>
        <v>0</v>
      </c>
      <c r="Q4199" s="2" t="str">
        <f aca="false">INDEX(Lookups!$E$2:$E$5,MATCH(P4199,Lookups!$D$2:$D$5,0))</f>
        <v>Low</v>
      </c>
    </row>
    <row r="4200" customFormat="false" ht="15" hidden="false" customHeight="false" outlineLevel="0" collapsed="false">
      <c r="A4200" s="3" t="n">
        <v>4199</v>
      </c>
      <c r="B4200" s="3" t="n">
        <f aca="false">Raw_Data!A4200</f>
        <v>34</v>
      </c>
      <c r="C4200" s="3" t="str">
        <f aca="false">SUBSTITUTE(Raw_Data!B4200,".","")</f>
        <v>management</v>
      </c>
      <c r="D4200" s="3" t="str">
        <f aca="false">Raw_Data!C4200</f>
        <v>married</v>
      </c>
      <c r="E4200" s="3" t="str">
        <f aca="false">Raw_Data!D4200</f>
        <v>tertiary</v>
      </c>
      <c r="F4200" s="3" t="str">
        <f aca="false">Raw_Data!E4200</f>
        <v>no</v>
      </c>
      <c r="G4200" s="3" t="n">
        <f aca="false">Raw_Data!F4200</f>
        <v>606</v>
      </c>
      <c r="H4200" s="3" t="str">
        <f aca="false">Raw_Data!G4200</f>
        <v>no</v>
      </c>
      <c r="I4200" s="3" t="str">
        <f aca="false">Raw_Data!H4200</f>
        <v>no</v>
      </c>
      <c r="J4200" s="2" t="n">
        <f aca="false">IF(F4200="yes",1,0)</f>
        <v>0</v>
      </c>
      <c r="K4200" s="2" t="n">
        <f aca="false">IF(H4200="yes",1,0)</f>
        <v>0</v>
      </c>
      <c r="L4200" s="2" t="n">
        <f aca="false">IF(I4200="yes",1,0)</f>
        <v>0</v>
      </c>
      <c r="M4200" s="2" t="n">
        <f aca="false">IF(G4200&lt;0,1,0)</f>
        <v>0</v>
      </c>
      <c r="N4200" s="2" t="str">
        <f aca="false">_xlfn.IFS(B4200&lt;30,"Under 30",B4200&lt;40,"30-39",B4200&lt;50,"40-49",B4200&lt;60,"50-59",TRUE(),"60+")</f>
        <v>30-39</v>
      </c>
      <c r="O4200" s="2" t="str">
        <f aca="false">_xlfn.IFS(G4200&lt;0,"1 Negative",G4200=0,"2 Zero",G4200&lt;=500,"3 1-500",G4200&lt;=2000,"4 501-2000",TRUE(),"5 Above 2000")</f>
        <v>4 501-2000</v>
      </c>
      <c r="P4200" s="2" t="n">
        <f aca="false">Lookups!$B$2*M4200+Lookups!$B$3*L4200</f>
        <v>0</v>
      </c>
      <c r="Q4200" s="2" t="str">
        <f aca="false">INDEX(Lookups!$E$2:$E$5,MATCH(P4200,Lookups!$D$2:$D$5,0))</f>
        <v>Low</v>
      </c>
    </row>
    <row r="4201" customFormat="false" ht="15" hidden="false" customHeight="false" outlineLevel="0" collapsed="false">
      <c r="A4201" s="3" t="n">
        <v>4200</v>
      </c>
      <c r="B4201" s="3" t="n">
        <f aca="false">Raw_Data!A4201</f>
        <v>35</v>
      </c>
      <c r="C4201" s="3" t="str">
        <f aca="false">SUBSTITUTE(Raw_Data!B4201,".","")</f>
        <v>blue-collar</v>
      </c>
      <c r="D4201" s="3" t="str">
        <f aca="false">Raw_Data!C4201</f>
        <v>married</v>
      </c>
      <c r="E4201" s="3" t="str">
        <f aca="false">Raw_Data!D4201</f>
        <v>secondary</v>
      </c>
      <c r="F4201" s="3" t="str">
        <f aca="false">Raw_Data!E4201</f>
        <v>no</v>
      </c>
      <c r="G4201" s="3" t="n">
        <f aca="false">Raw_Data!F4201</f>
        <v>603</v>
      </c>
      <c r="H4201" s="3" t="str">
        <f aca="false">Raw_Data!G4201</f>
        <v>yes</v>
      </c>
      <c r="I4201" s="3" t="str">
        <f aca="false">Raw_Data!H4201</f>
        <v>no</v>
      </c>
      <c r="J4201" s="2" t="n">
        <f aca="false">IF(F4201="yes",1,0)</f>
        <v>0</v>
      </c>
      <c r="K4201" s="2" t="n">
        <f aca="false">IF(H4201="yes",1,0)</f>
        <v>1</v>
      </c>
      <c r="L4201" s="2" t="n">
        <f aca="false">IF(I4201="yes",1,0)</f>
        <v>0</v>
      </c>
      <c r="M4201" s="2" t="n">
        <f aca="false">IF(G4201&lt;0,1,0)</f>
        <v>0</v>
      </c>
      <c r="N4201" s="2" t="str">
        <f aca="false">_xlfn.IFS(B4201&lt;30,"Under 30",B4201&lt;40,"30-39",B4201&lt;50,"40-49",B4201&lt;60,"50-59",TRUE(),"60+")</f>
        <v>30-39</v>
      </c>
      <c r="O4201" s="2" t="str">
        <f aca="false">_xlfn.IFS(G4201&lt;0,"1 Negative",G4201=0,"2 Zero",G4201&lt;=500,"3 1-500",G4201&lt;=2000,"4 501-2000",TRUE(),"5 Above 2000")</f>
        <v>4 501-2000</v>
      </c>
      <c r="P4201" s="2" t="n">
        <f aca="false">Lookups!$B$2*M4201+Lookups!$B$3*L4201</f>
        <v>0</v>
      </c>
      <c r="Q4201" s="2" t="str">
        <f aca="false">INDEX(Lookups!$E$2:$E$5,MATCH(P4201,Lookups!$D$2:$D$5,0))</f>
        <v>Low</v>
      </c>
    </row>
    <row r="4202" customFormat="false" ht="15" hidden="false" customHeight="false" outlineLevel="0" collapsed="false">
      <c r="A4202" s="3" t="n">
        <v>4201</v>
      </c>
      <c r="B4202" s="3" t="n">
        <f aca="false">Raw_Data!A4202</f>
        <v>49</v>
      </c>
      <c r="C4202" s="3" t="str">
        <f aca="false">SUBSTITUTE(Raw_Data!B4202,".","")</f>
        <v>management</v>
      </c>
      <c r="D4202" s="3" t="str">
        <f aca="false">Raw_Data!C4202</f>
        <v>single</v>
      </c>
      <c r="E4202" s="3" t="str">
        <f aca="false">Raw_Data!D4202</f>
        <v>primary</v>
      </c>
      <c r="F4202" s="3" t="str">
        <f aca="false">Raw_Data!E4202</f>
        <v>no</v>
      </c>
      <c r="G4202" s="3" t="n">
        <f aca="false">Raw_Data!F4202</f>
        <v>548</v>
      </c>
      <c r="H4202" s="3" t="str">
        <f aca="false">Raw_Data!G4202</f>
        <v>no</v>
      </c>
      <c r="I4202" s="3" t="str">
        <f aca="false">Raw_Data!H4202</f>
        <v>no</v>
      </c>
      <c r="J4202" s="2" t="n">
        <f aca="false">IF(F4202="yes",1,0)</f>
        <v>0</v>
      </c>
      <c r="K4202" s="2" t="n">
        <f aca="false">IF(H4202="yes",1,0)</f>
        <v>0</v>
      </c>
      <c r="L4202" s="2" t="n">
        <f aca="false">IF(I4202="yes",1,0)</f>
        <v>0</v>
      </c>
      <c r="M4202" s="2" t="n">
        <f aca="false">IF(G4202&lt;0,1,0)</f>
        <v>0</v>
      </c>
      <c r="N4202" s="2" t="str">
        <f aca="false">_xlfn.IFS(B4202&lt;30,"Under 30",B4202&lt;40,"30-39",B4202&lt;50,"40-49",B4202&lt;60,"50-59",TRUE(),"60+")</f>
        <v>40-49</v>
      </c>
      <c r="O4202" s="2" t="str">
        <f aca="false">_xlfn.IFS(G4202&lt;0,"1 Negative",G4202=0,"2 Zero",G4202&lt;=500,"3 1-500",G4202&lt;=2000,"4 501-2000",TRUE(),"5 Above 2000")</f>
        <v>4 501-2000</v>
      </c>
      <c r="P4202" s="2" t="n">
        <f aca="false">Lookups!$B$2*M4202+Lookups!$B$3*L4202</f>
        <v>0</v>
      </c>
      <c r="Q4202" s="2" t="str">
        <f aca="false">INDEX(Lookups!$E$2:$E$5,MATCH(P4202,Lookups!$D$2:$D$5,0))</f>
        <v>Low</v>
      </c>
    </row>
    <row r="4203" customFormat="false" ht="15" hidden="false" customHeight="false" outlineLevel="0" collapsed="false">
      <c r="A4203" s="3" t="n">
        <v>4202</v>
      </c>
      <c r="B4203" s="3" t="n">
        <f aca="false">Raw_Data!A4203</f>
        <v>36</v>
      </c>
      <c r="C4203" s="3" t="str">
        <f aca="false">SUBSTITUTE(Raw_Data!B4203,".","")</f>
        <v>unemployed</v>
      </c>
      <c r="D4203" s="3" t="str">
        <f aca="false">Raw_Data!C4203</f>
        <v>married</v>
      </c>
      <c r="E4203" s="3" t="str">
        <f aca="false">Raw_Data!D4203</f>
        <v>secondary</v>
      </c>
      <c r="F4203" s="3" t="str">
        <f aca="false">Raw_Data!E4203</f>
        <v>no</v>
      </c>
      <c r="G4203" s="3" t="n">
        <f aca="false">Raw_Data!F4203</f>
        <v>-872</v>
      </c>
      <c r="H4203" s="3" t="str">
        <f aca="false">Raw_Data!G4203</f>
        <v>yes</v>
      </c>
      <c r="I4203" s="3" t="str">
        <f aca="false">Raw_Data!H4203</f>
        <v>yes</v>
      </c>
      <c r="J4203" s="2" t="n">
        <f aca="false">IF(F4203="yes",1,0)</f>
        <v>0</v>
      </c>
      <c r="K4203" s="2" t="n">
        <f aca="false">IF(H4203="yes",1,0)</f>
        <v>1</v>
      </c>
      <c r="L4203" s="2" t="n">
        <f aca="false">IF(I4203="yes",1,0)</f>
        <v>1</v>
      </c>
      <c r="M4203" s="2" t="n">
        <f aca="false">IF(G4203&lt;0,1,0)</f>
        <v>1</v>
      </c>
      <c r="N4203" s="2" t="str">
        <f aca="false">_xlfn.IFS(B4203&lt;30,"Under 30",B4203&lt;40,"30-39",B4203&lt;50,"40-49",B4203&lt;60,"50-59",TRUE(),"60+")</f>
        <v>30-39</v>
      </c>
      <c r="O4203" s="2" t="str">
        <f aca="false">_xlfn.IFS(G4203&lt;0,"1 Negative",G4203=0,"2 Zero",G4203&lt;=500,"3 1-500",G4203&lt;=2000,"4 501-2000",TRUE(),"5 Above 2000")</f>
        <v>1 Negative</v>
      </c>
      <c r="P4203" s="2" t="n">
        <f aca="false">Lookups!$B$2*M4203+Lookups!$B$3*L4203</f>
        <v>3</v>
      </c>
      <c r="Q4203" s="2" t="str">
        <f aca="false">INDEX(Lookups!$E$2:$E$5,MATCH(P4203,Lookups!$D$2:$D$5,0))</f>
        <v>High</v>
      </c>
    </row>
    <row r="4204" customFormat="false" ht="15" hidden="false" customHeight="false" outlineLevel="0" collapsed="false">
      <c r="A4204" s="3" t="n">
        <v>4203</v>
      </c>
      <c r="B4204" s="3" t="n">
        <f aca="false">Raw_Data!A4204</f>
        <v>37</v>
      </c>
      <c r="C4204" s="3" t="str">
        <f aca="false">SUBSTITUTE(Raw_Data!B4204,".","")</f>
        <v>blue-collar</v>
      </c>
      <c r="D4204" s="3" t="str">
        <f aca="false">Raw_Data!C4204</f>
        <v>divorced</v>
      </c>
      <c r="E4204" s="3" t="str">
        <f aca="false">Raw_Data!D4204</f>
        <v>secondary</v>
      </c>
      <c r="F4204" s="3" t="str">
        <f aca="false">Raw_Data!E4204</f>
        <v>no</v>
      </c>
      <c r="G4204" s="3" t="n">
        <f aca="false">Raw_Data!F4204</f>
        <v>33</v>
      </c>
      <c r="H4204" s="3" t="str">
        <f aca="false">Raw_Data!G4204</f>
        <v>yes</v>
      </c>
      <c r="I4204" s="3" t="str">
        <f aca="false">Raw_Data!H4204</f>
        <v>no</v>
      </c>
      <c r="J4204" s="2" t="n">
        <f aca="false">IF(F4204="yes",1,0)</f>
        <v>0</v>
      </c>
      <c r="K4204" s="2" t="n">
        <f aca="false">IF(H4204="yes",1,0)</f>
        <v>1</v>
      </c>
      <c r="L4204" s="2" t="n">
        <f aca="false">IF(I4204="yes",1,0)</f>
        <v>0</v>
      </c>
      <c r="M4204" s="2" t="n">
        <f aca="false">IF(G4204&lt;0,1,0)</f>
        <v>0</v>
      </c>
      <c r="N4204" s="2" t="str">
        <f aca="false">_xlfn.IFS(B4204&lt;30,"Under 30",B4204&lt;40,"30-39",B4204&lt;50,"40-49",B4204&lt;60,"50-59",TRUE(),"60+")</f>
        <v>30-39</v>
      </c>
      <c r="O4204" s="2" t="str">
        <f aca="false">_xlfn.IFS(G4204&lt;0,"1 Negative",G4204=0,"2 Zero",G4204&lt;=500,"3 1-500",G4204&lt;=2000,"4 501-2000",TRUE(),"5 Above 2000")</f>
        <v>3 1-500</v>
      </c>
      <c r="P4204" s="2" t="n">
        <f aca="false">Lookups!$B$2*M4204+Lookups!$B$3*L4204</f>
        <v>0</v>
      </c>
      <c r="Q4204" s="2" t="str">
        <f aca="false">INDEX(Lookups!$E$2:$E$5,MATCH(P4204,Lookups!$D$2:$D$5,0))</f>
        <v>Low</v>
      </c>
    </row>
    <row r="4205" customFormat="false" ht="15" hidden="false" customHeight="false" outlineLevel="0" collapsed="false">
      <c r="A4205" s="3" t="n">
        <v>4204</v>
      </c>
      <c r="B4205" s="3" t="n">
        <f aca="false">Raw_Data!A4205</f>
        <v>37</v>
      </c>
      <c r="C4205" s="3" t="str">
        <f aca="false">SUBSTITUTE(Raw_Data!B4205,".","")</f>
        <v>management</v>
      </c>
      <c r="D4205" s="3" t="str">
        <f aca="false">Raw_Data!C4205</f>
        <v>married</v>
      </c>
      <c r="E4205" s="3" t="str">
        <f aca="false">Raw_Data!D4205</f>
        <v>tertiary</v>
      </c>
      <c r="F4205" s="3" t="str">
        <f aca="false">Raw_Data!E4205</f>
        <v>no</v>
      </c>
      <c r="G4205" s="3" t="n">
        <f aca="false">Raw_Data!F4205</f>
        <v>1689</v>
      </c>
      <c r="H4205" s="3" t="str">
        <f aca="false">Raw_Data!G4205</f>
        <v>yes</v>
      </c>
      <c r="I4205" s="3" t="str">
        <f aca="false">Raw_Data!H4205</f>
        <v>no</v>
      </c>
      <c r="J4205" s="2" t="n">
        <f aca="false">IF(F4205="yes",1,0)</f>
        <v>0</v>
      </c>
      <c r="K4205" s="2" t="n">
        <f aca="false">IF(H4205="yes",1,0)</f>
        <v>1</v>
      </c>
      <c r="L4205" s="2" t="n">
        <f aca="false">IF(I4205="yes",1,0)</f>
        <v>0</v>
      </c>
      <c r="M4205" s="2" t="n">
        <f aca="false">IF(G4205&lt;0,1,0)</f>
        <v>0</v>
      </c>
      <c r="N4205" s="2" t="str">
        <f aca="false">_xlfn.IFS(B4205&lt;30,"Under 30",B4205&lt;40,"30-39",B4205&lt;50,"40-49",B4205&lt;60,"50-59",TRUE(),"60+")</f>
        <v>30-39</v>
      </c>
      <c r="O4205" s="2" t="str">
        <f aca="false">_xlfn.IFS(G4205&lt;0,"1 Negative",G4205=0,"2 Zero",G4205&lt;=500,"3 1-500",G4205&lt;=2000,"4 501-2000",TRUE(),"5 Above 2000")</f>
        <v>4 501-2000</v>
      </c>
      <c r="P4205" s="2" t="n">
        <f aca="false">Lookups!$B$2*M4205+Lookups!$B$3*L4205</f>
        <v>0</v>
      </c>
      <c r="Q4205" s="2" t="str">
        <f aca="false">INDEX(Lookups!$E$2:$E$5,MATCH(P4205,Lookups!$D$2:$D$5,0))</f>
        <v>Low</v>
      </c>
    </row>
    <row r="4206" customFormat="false" ht="15" hidden="false" customHeight="false" outlineLevel="0" collapsed="false">
      <c r="A4206" s="3" t="n">
        <v>4205</v>
      </c>
      <c r="B4206" s="3" t="n">
        <f aca="false">Raw_Data!A4206</f>
        <v>49</v>
      </c>
      <c r="C4206" s="3" t="str">
        <f aca="false">SUBSTITUTE(Raw_Data!B4206,".","")</f>
        <v>blue-collar</v>
      </c>
      <c r="D4206" s="3" t="str">
        <f aca="false">Raw_Data!C4206</f>
        <v>married</v>
      </c>
      <c r="E4206" s="3" t="str">
        <f aca="false">Raw_Data!D4206</f>
        <v>primary</v>
      </c>
      <c r="F4206" s="3" t="str">
        <f aca="false">Raw_Data!E4206</f>
        <v>no</v>
      </c>
      <c r="G4206" s="3" t="n">
        <f aca="false">Raw_Data!F4206</f>
        <v>902</v>
      </c>
      <c r="H4206" s="3" t="str">
        <f aca="false">Raw_Data!G4206</f>
        <v>no</v>
      </c>
      <c r="I4206" s="3" t="str">
        <f aca="false">Raw_Data!H4206</f>
        <v>no</v>
      </c>
      <c r="J4206" s="2" t="n">
        <f aca="false">IF(F4206="yes",1,0)</f>
        <v>0</v>
      </c>
      <c r="K4206" s="2" t="n">
        <f aca="false">IF(H4206="yes",1,0)</f>
        <v>0</v>
      </c>
      <c r="L4206" s="2" t="n">
        <f aca="false">IF(I4206="yes",1,0)</f>
        <v>0</v>
      </c>
      <c r="M4206" s="2" t="n">
        <f aca="false">IF(G4206&lt;0,1,0)</f>
        <v>0</v>
      </c>
      <c r="N4206" s="2" t="str">
        <f aca="false">_xlfn.IFS(B4206&lt;30,"Under 30",B4206&lt;40,"30-39",B4206&lt;50,"40-49",B4206&lt;60,"50-59",TRUE(),"60+")</f>
        <v>40-49</v>
      </c>
      <c r="O4206" s="2" t="str">
        <f aca="false">_xlfn.IFS(G4206&lt;0,"1 Negative",G4206=0,"2 Zero",G4206&lt;=500,"3 1-500",G4206&lt;=2000,"4 501-2000",TRUE(),"5 Above 2000")</f>
        <v>4 501-2000</v>
      </c>
      <c r="P4206" s="2" t="n">
        <f aca="false">Lookups!$B$2*M4206+Lookups!$B$3*L4206</f>
        <v>0</v>
      </c>
      <c r="Q4206" s="2" t="str">
        <f aca="false">INDEX(Lookups!$E$2:$E$5,MATCH(P4206,Lookups!$D$2:$D$5,0))</f>
        <v>Low</v>
      </c>
    </row>
    <row r="4207" customFormat="false" ht="15" hidden="false" customHeight="false" outlineLevel="0" collapsed="false">
      <c r="A4207" s="3" t="n">
        <v>4206</v>
      </c>
      <c r="B4207" s="3" t="n">
        <f aca="false">Raw_Data!A4207</f>
        <v>44</v>
      </c>
      <c r="C4207" s="3" t="str">
        <f aca="false">SUBSTITUTE(Raw_Data!B4207,".","")</f>
        <v>services</v>
      </c>
      <c r="D4207" s="3" t="str">
        <f aca="false">Raw_Data!C4207</f>
        <v>divorced</v>
      </c>
      <c r="E4207" s="3" t="str">
        <f aca="false">Raw_Data!D4207</f>
        <v>secondary</v>
      </c>
      <c r="F4207" s="3" t="str">
        <f aca="false">Raw_Data!E4207</f>
        <v>no</v>
      </c>
      <c r="G4207" s="3" t="n">
        <f aca="false">Raw_Data!F4207</f>
        <v>0</v>
      </c>
      <c r="H4207" s="3" t="str">
        <f aca="false">Raw_Data!G4207</f>
        <v>yes</v>
      </c>
      <c r="I4207" s="3" t="str">
        <f aca="false">Raw_Data!H4207</f>
        <v>yes</v>
      </c>
      <c r="J4207" s="2" t="n">
        <f aca="false">IF(F4207="yes",1,0)</f>
        <v>0</v>
      </c>
      <c r="K4207" s="2" t="n">
        <f aca="false">IF(H4207="yes",1,0)</f>
        <v>1</v>
      </c>
      <c r="L4207" s="2" t="n">
        <f aca="false">IF(I4207="yes",1,0)</f>
        <v>1</v>
      </c>
      <c r="M4207" s="2" t="n">
        <f aca="false">IF(G4207&lt;0,1,0)</f>
        <v>0</v>
      </c>
      <c r="N4207" s="2" t="str">
        <f aca="false">_xlfn.IFS(B4207&lt;30,"Under 30",B4207&lt;40,"30-39",B4207&lt;50,"40-49",B4207&lt;60,"50-59",TRUE(),"60+")</f>
        <v>40-49</v>
      </c>
      <c r="O4207" s="2" t="str">
        <f aca="false">_xlfn.IFS(G4207&lt;0,"1 Negative",G4207=0,"2 Zero",G4207&lt;=500,"3 1-500",G4207&lt;=2000,"4 501-2000",TRUE(),"5 Above 2000")</f>
        <v>2 Zero</v>
      </c>
      <c r="P4207" s="2" t="n">
        <f aca="false">Lookups!$B$2*M4207+Lookups!$B$3*L4207</f>
        <v>1</v>
      </c>
      <c r="Q4207" s="2" t="str">
        <f aca="false">INDEX(Lookups!$E$2:$E$5,MATCH(P4207,Lookups!$D$2:$D$5,0))</f>
        <v>Medium</v>
      </c>
    </row>
    <row r="4208" customFormat="false" ht="15" hidden="false" customHeight="false" outlineLevel="0" collapsed="false">
      <c r="A4208" s="3" t="n">
        <v>4207</v>
      </c>
      <c r="B4208" s="3" t="n">
        <f aca="false">Raw_Data!A4208</f>
        <v>40</v>
      </c>
      <c r="C4208" s="3" t="str">
        <f aca="false">SUBSTITUTE(Raw_Data!B4208,".","")</f>
        <v>student</v>
      </c>
      <c r="D4208" s="3" t="str">
        <f aca="false">Raw_Data!C4208</f>
        <v>married</v>
      </c>
      <c r="E4208" s="3" t="str">
        <f aca="false">Raw_Data!D4208</f>
        <v>secondary</v>
      </c>
      <c r="F4208" s="3" t="str">
        <f aca="false">Raw_Data!E4208</f>
        <v>no</v>
      </c>
      <c r="G4208" s="3" t="n">
        <f aca="false">Raw_Data!F4208</f>
        <v>260</v>
      </c>
      <c r="H4208" s="3" t="str">
        <f aca="false">Raw_Data!G4208</f>
        <v>no</v>
      </c>
      <c r="I4208" s="3" t="str">
        <f aca="false">Raw_Data!H4208</f>
        <v>no</v>
      </c>
      <c r="J4208" s="2" t="n">
        <f aca="false">IF(F4208="yes",1,0)</f>
        <v>0</v>
      </c>
      <c r="K4208" s="2" t="n">
        <f aca="false">IF(H4208="yes",1,0)</f>
        <v>0</v>
      </c>
      <c r="L4208" s="2" t="n">
        <f aca="false">IF(I4208="yes",1,0)</f>
        <v>0</v>
      </c>
      <c r="M4208" s="2" t="n">
        <f aca="false">IF(G4208&lt;0,1,0)</f>
        <v>0</v>
      </c>
      <c r="N4208" s="2" t="str">
        <f aca="false">_xlfn.IFS(B4208&lt;30,"Under 30",B4208&lt;40,"30-39",B4208&lt;50,"40-49",B4208&lt;60,"50-59",TRUE(),"60+")</f>
        <v>40-49</v>
      </c>
      <c r="O4208" s="2" t="str">
        <f aca="false">_xlfn.IFS(G4208&lt;0,"1 Negative",G4208=0,"2 Zero",G4208&lt;=500,"3 1-500",G4208&lt;=2000,"4 501-2000",TRUE(),"5 Above 2000")</f>
        <v>3 1-500</v>
      </c>
      <c r="P4208" s="2" t="n">
        <f aca="false">Lookups!$B$2*M4208+Lookups!$B$3*L4208</f>
        <v>0</v>
      </c>
      <c r="Q4208" s="2" t="str">
        <f aca="false">INDEX(Lookups!$E$2:$E$5,MATCH(P4208,Lookups!$D$2:$D$5,0))</f>
        <v>Low</v>
      </c>
    </row>
    <row r="4209" customFormat="false" ht="15" hidden="false" customHeight="false" outlineLevel="0" collapsed="false">
      <c r="A4209" s="3" t="n">
        <v>4208</v>
      </c>
      <c r="B4209" s="3" t="n">
        <f aca="false">Raw_Data!A4209</f>
        <v>57</v>
      </c>
      <c r="C4209" s="3" t="str">
        <f aca="false">SUBSTITUTE(Raw_Data!B4209,".","")</f>
        <v>technician</v>
      </c>
      <c r="D4209" s="3" t="str">
        <f aca="false">Raw_Data!C4209</f>
        <v>married</v>
      </c>
      <c r="E4209" s="3" t="str">
        <f aca="false">Raw_Data!D4209</f>
        <v>secondary</v>
      </c>
      <c r="F4209" s="3" t="str">
        <f aca="false">Raw_Data!E4209</f>
        <v>no</v>
      </c>
      <c r="G4209" s="3" t="n">
        <f aca="false">Raw_Data!F4209</f>
        <v>589</v>
      </c>
      <c r="H4209" s="3" t="str">
        <f aca="false">Raw_Data!G4209</f>
        <v>yes</v>
      </c>
      <c r="I4209" s="3" t="str">
        <f aca="false">Raw_Data!H4209</f>
        <v>no</v>
      </c>
      <c r="J4209" s="2" t="n">
        <f aca="false">IF(F4209="yes",1,0)</f>
        <v>0</v>
      </c>
      <c r="K4209" s="2" t="n">
        <f aca="false">IF(H4209="yes",1,0)</f>
        <v>1</v>
      </c>
      <c r="L4209" s="2" t="n">
        <f aca="false">IF(I4209="yes",1,0)</f>
        <v>0</v>
      </c>
      <c r="M4209" s="2" t="n">
        <f aca="false">IF(G4209&lt;0,1,0)</f>
        <v>0</v>
      </c>
      <c r="N4209" s="2" t="str">
        <f aca="false">_xlfn.IFS(B4209&lt;30,"Under 30",B4209&lt;40,"30-39",B4209&lt;50,"40-49",B4209&lt;60,"50-59",TRUE(),"60+")</f>
        <v>50-59</v>
      </c>
      <c r="O4209" s="2" t="str">
        <f aca="false">_xlfn.IFS(G4209&lt;0,"1 Negative",G4209=0,"2 Zero",G4209&lt;=500,"3 1-500",G4209&lt;=2000,"4 501-2000",TRUE(),"5 Above 2000")</f>
        <v>4 501-2000</v>
      </c>
      <c r="P4209" s="2" t="n">
        <f aca="false">Lookups!$B$2*M4209+Lookups!$B$3*L4209</f>
        <v>0</v>
      </c>
      <c r="Q4209" s="2" t="str">
        <f aca="false">INDEX(Lookups!$E$2:$E$5,MATCH(P4209,Lookups!$D$2:$D$5,0))</f>
        <v>Low</v>
      </c>
    </row>
    <row r="4210" customFormat="false" ht="15" hidden="false" customHeight="false" outlineLevel="0" collapsed="false">
      <c r="A4210" s="3" t="n">
        <v>4209</v>
      </c>
      <c r="B4210" s="3" t="n">
        <f aca="false">Raw_Data!A4210</f>
        <v>39</v>
      </c>
      <c r="C4210" s="3" t="str">
        <f aca="false">SUBSTITUTE(Raw_Data!B4210,".","")</f>
        <v>technician</v>
      </c>
      <c r="D4210" s="3" t="str">
        <f aca="false">Raw_Data!C4210</f>
        <v>married</v>
      </c>
      <c r="E4210" s="3" t="str">
        <f aca="false">Raw_Data!D4210</f>
        <v>secondary</v>
      </c>
      <c r="F4210" s="3" t="str">
        <f aca="false">Raw_Data!E4210</f>
        <v>no</v>
      </c>
      <c r="G4210" s="3" t="n">
        <f aca="false">Raw_Data!F4210</f>
        <v>626</v>
      </c>
      <c r="H4210" s="3" t="str">
        <f aca="false">Raw_Data!G4210</f>
        <v>yes</v>
      </c>
      <c r="I4210" s="3" t="str">
        <f aca="false">Raw_Data!H4210</f>
        <v>no</v>
      </c>
      <c r="J4210" s="2" t="n">
        <f aca="false">IF(F4210="yes",1,0)</f>
        <v>0</v>
      </c>
      <c r="K4210" s="2" t="n">
        <f aca="false">IF(H4210="yes",1,0)</f>
        <v>1</v>
      </c>
      <c r="L4210" s="2" t="n">
        <f aca="false">IF(I4210="yes",1,0)</f>
        <v>0</v>
      </c>
      <c r="M4210" s="2" t="n">
        <f aca="false">IF(G4210&lt;0,1,0)</f>
        <v>0</v>
      </c>
      <c r="N4210" s="2" t="str">
        <f aca="false">_xlfn.IFS(B4210&lt;30,"Under 30",B4210&lt;40,"30-39",B4210&lt;50,"40-49",B4210&lt;60,"50-59",TRUE(),"60+")</f>
        <v>30-39</v>
      </c>
      <c r="O4210" s="2" t="str">
        <f aca="false">_xlfn.IFS(G4210&lt;0,"1 Negative",G4210=0,"2 Zero",G4210&lt;=500,"3 1-500",G4210&lt;=2000,"4 501-2000",TRUE(),"5 Above 2000")</f>
        <v>4 501-2000</v>
      </c>
      <c r="P4210" s="2" t="n">
        <f aca="false">Lookups!$B$2*M4210+Lookups!$B$3*L4210</f>
        <v>0</v>
      </c>
      <c r="Q4210" s="2" t="str">
        <f aca="false">INDEX(Lookups!$E$2:$E$5,MATCH(P4210,Lookups!$D$2:$D$5,0))</f>
        <v>Low</v>
      </c>
    </row>
    <row r="4211" customFormat="false" ht="15" hidden="false" customHeight="false" outlineLevel="0" collapsed="false">
      <c r="A4211" s="3" t="n">
        <v>4210</v>
      </c>
      <c r="B4211" s="3" t="n">
        <f aca="false">Raw_Data!A4211</f>
        <v>38</v>
      </c>
      <c r="C4211" s="3" t="str">
        <f aca="false">SUBSTITUTE(Raw_Data!B4211,".","")</f>
        <v>services</v>
      </c>
      <c r="D4211" s="3" t="str">
        <f aca="false">Raw_Data!C4211</f>
        <v>married</v>
      </c>
      <c r="E4211" s="3" t="str">
        <f aca="false">Raw_Data!D4211</f>
        <v>secondary</v>
      </c>
      <c r="F4211" s="3" t="str">
        <f aca="false">Raw_Data!E4211</f>
        <v>no</v>
      </c>
      <c r="G4211" s="3" t="n">
        <f aca="false">Raw_Data!F4211</f>
        <v>0</v>
      </c>
      <c r="H4211" s="3" t="str">
        <f aca="false">Raw_Data!G4211</f>
        <v>no</v>
      </c>
      <c r="I4211" s="3" t="str">
        <f aca="false">Raw_Data!H4211</f>
        <v>yes</v>
      </c>
      <c r="J4211" s="2" t="n">
        <f aca="false">IF(F4211="yes",1,0)</f>
        <v>0</v>
      </c>
      <c r="K4211" s="2" t="n">
        <f aca="false">IF(H4211="yes",1,0)</f>
        <v>0</v>
      </c>
      <c r="L4211" s="2" t="n">
        <f aca="false">IF(I4211="yes",1,0)</f>
        <v>1</v>
      </c>
      <c r="M4211" s="2" t="n">
        <f aca="false">IF(G4211&lt;0,1,0)</f>
        <v>0</v>
      </c>
      <c r="N4211" s="2" t="str">
        <f aca="false">_xlfn.IFS(B4211&lt;30,"Under 30",B4211&lt;40,"30-39",B4211&lt;50,"40-49",B4211&lt;60,"50-59",TRUE(),"60+")</f>
        <v>30-39</v>
      </c>
      <c r="O4211" s="2" t="str">
        <f aca="false">_xlfn.IFS(G4211&lt;0,"1 Negative",G4211=0,"2 Zero",G4211&lt;=500,"3 1-500",G4211&lt;=2000,"4 501-2000",TRUE(),"5 Above 2000")</f>
        <v>2 Zero</v>
      </c>
      <c r="P4211" s="2" t="n">
        <f aca="false">Lookups!$B$2*M4211+Lookups!$B$3*L4211</f>
        <v>1</v>
      </c>
      <c r="Q4211" s="2" t="str">
        <f aca="false">INDEX(Lookups!$E$2:$E$5,MATCH(P4211,Lookups!$D$2:$D$5,0))</f>
        <v>Medium</v>
      </c>
    </row>
    <row r="4212" customFormat="false" ht="15" hidden="false" customHeight="false" outlineLevel="0" collapsed="false">
      <c r="A4212" s="3" t="n">
        <v>4211</v>
      </c>
      <c r="B4212" s="3" t="n">
        <f aca="false">Raw_Data!A4212</f>
        <v>51</v>
      </c>
      <c r="C4212" s="3" t="str">
        <f aca="false">SUBSTITUTE(Raw_Data!B4212,".","")</f>
        <v>blue-collar</v>
      </c>
      <c r="D4212" s="3" t="str">
        <f aca="false">Raw_Data!C4212</f>
        <v>divorced</v>
      </c>
      <c r="E4212" s="3" t="str">
        <f aca="false">Raw_Data!D4212</f>
        <v>secondary</v>
      </c>
      <c r="F4212" s="3" t="str">
        <f aca="false">Raw_Data!E4212</f>
        <v>no</v>
      </c>
      <c r="G4212" s="3" t="n">
        <f aca="false">Raw_Data!F4212</f>
        <v>78</v>
      </c>
      <c r="H4212" s="3" t="str">
        <f aca="false">Raw_Data!G4212</f>
        <v>yes</v>
      </c>
      <c r="I4212" s="3" t="str">
        <f aca="false">Raw_Data!H4212</f>
        <v>no</v>
      </c>
      <c r="J4212" s="2" t="n">
        <f aca="false">IF(F4212="yes",1,0)</f>
        <v>0</v>
      </c>
      <c r="K4212" s="2" t="n">
        <f aca="false">IF(H4212="yes",1,0)</f>
        <v>1</v>
      </c>
      <c r="L4212" s="2" t="n">
        <f aca="false">IF(I4212="yes",1,0)</f>
        <v>0</v>
      </c>
      <c r="M4212" s="2" t="n">
        <f aca="false">IF(G4212&lt;0,1,0)</f>
        <v>0</v>
      </c>
      <c r="N4212" s="2" t="str">
        <f aca="false">_xlfn.IFS(B4212&lt;30,"Under 30",B4212&lt;40,"30-39",B4212&lt;50,"40-49",B4212&lt;60,"50-59",TRUE(),"60+")</f>
        <v>50-59</v>
      </c>
      <c r="O4212" s="2" t="str">
        <f aca="false">_xlfn.IFS(G4212&lt;0,"1 Negative",G4212=0,"2 Zero",G4212&lt;=500,"3 1-500",G4212&lt;=2000,"4 501-2000",TRUE(),"5 Above 2000")</f>
        <v>3 1-500</v>
      </c>
      <c r="P4212" s="2" t="n">
        <f aca="false">Lookups!$B$2*M4212+Lookups!$B$3*L4212</f>
        <v>0</v>
      </c>
      <c r="Q4212" s="2" t="str">
        <f aca="false">INDEX(Lookups!$E$2:$E$5,MATCH(P4212,Lookups!$D$2:$D$5,0))</f>
        <v>Low</v>
      </c>
    </row>
    <row r="4213" customFormat="false" ht="15" hidden="false" customHeight="false" outlineLevel="0" collapsed="false">
      <c r="A4213" s="3" t="n">
        <v>4212</v>
      </c>
      <c r="B4213" s="3" t="n">
        <f aca="false">Raw_Data!A4213</f>
        <v>27</v>
      </c>
      <c r="C4213" s="3" t="str">
        <f aca="false">SUBSTITUTE(Raw_Data!B4213,".","")</f>
        <v>blue-collar</v>
      </c>
      <c r="D4213" s="3" t="str">
        <f aca="false">Raw_Data!C4213</f>
        <v>single</v>
      </c>
      <c r="E4213" s="3" t="str">
        <f aca="false">Raw_Data!D4213</f>
        <v>secondary</v>
      </c>
      <c r="F4213" s="3" t="str">
        <f aca="false">Raw_Data!E4213</f>
        <v>no</v>
      </c>
      <c r="G4213" s="3" t="n">
        <f aca="false">Raw_Data!F4213</f>
        <v>3792</v>
      </c>
      <c r="H4213" s="3" t="str">
        <f aca="false">Raw_Data!G4213</f>
        <v>no</v>
      </c>
      <c r="I4213" s="3" t="str">
        <f aca="false">Raw_Data!H4213</f>
        <v>no</v>
      </c>
      <c r="J4213" s="2" t="n">
        <f aca="false">IF(F4213="yes",1,0)</f>
        <v>0</v>
      </c>
      <c r="K4213" s="2" t="n">
        <f aca="false">IF(H4213="yes",1,0)</f>
        <v>0</v>
      </c>
      <c r="L4213" s="2" t="n">
        <f aca="false">IF(I4213="yes",1,0)</f>
        <v>0</v>
      </c>
      <c r="M4213" s="2" t="n">
        <f aca="false">IF(G4213&lt;0,1,0)</f>
        <v>0</v>
      </c>
      <c r="N4213" s="2" t="str">
        <f aca="false">_xlfn.IFS(B4213&lt;30,"Under 30",B4213&lt;40,"30-39",B4213&lt;50,"40-49",B4213&lt;60,"50-59",TRUE(),"60+")</f>
        <v>Under 30</v>
      </c>
      <c r="O4213" s="2" t="str">
        <f aca="false">_xlfn.IFS(G4213&lt;0,"1 Negative",G4213=0,"2 Zero",G4213&lt;=500,"3 1-500",G4213&lt;=2000,"4 501-2000",TRUE(),"5 Above 2000")</f>
        <v>5 Above 2000</v>
      </c>
      <c r="P4213" s="2" t="n">
        <f aca="false">Lookups!$B$2*M4213+Lookups!$B$3*L4213</f>
        <v>0</v>
      </c>
      <c r="Q4213" s="2" t="str">
        <f aca="false">INDEX(Lookups!$E$2:$E$5,MATCH(P4213,Lookups!$D$2:$D$5,0))</f>
        <v>Low</v>
      </c>
    </row>
    <row r="4214" customFormat="false" ht="15" hidden="false" customHeight="false" outlineLevel="0" collapsed="false">
      <c r="A4214" s="3" t="n">
        <v>4213</v>
      </c>
      <c r="B4214" s="3" t="n">
        <f aca="false">Raw_Data!A4214</f>
        <v>38</v>
      </c>
      <c r="C4214" s="3" t="str">
        <f aca="false">SUBSTITUTE(Raw_Data!B4214,".","")</f>
        <v>blue-collar</v>
      </c>
      <c r="D4214" s="3" t="str">
        <f aca="false">Raw_Data!C4214</f>
        <v>single</v>
      </c>
      <c r="E4214" s="3" t="str">
        <f aca="false">Raw_Data!D4214</f>
        <v>tertiary</v>
      </c>
      <c r="F4214" s="3" t="str">
        <f aca="false">Raw_Data!E4214</f>
        <v>no</v>
      </c>
      <c r="G4214" s="3" t="n">
        <f aca="false">Raw_Data!F4214</f>
        <v>14058</v>
      </c>
      <c r="H4214" s="3" t="str">
        <f aca="false">Raw_Data!G4214</f>
        <v>no</v>
      </c>
      <c r="I4214" s="3" t="str">
        <f aca="false">Raw_Data!H4214</f>
        <v>no</v>
      </c>
      <c r="J4214" s="2" t="n">
        <f aca="false">IF(F4214="yes",1,0)</f>
        <v>0</v>
      </c>
      <c r="K4214" s="2" t="n">
        <f aca="false">IF(H4214="yes",1,0)</f>
        <v>0</v>
      </c>
      <c r="L4214" s="2" t="n">
        <f aca="false">IF(I4214="yes",1,0)</f>
        <v>0</v>
      </c>
      <c r="M4214" s="2" t="n">
        <f aca="false">IF(G4214&lt;0,1,0)</f>
        <v>0</v>
      </c>
      <c r="N4214" s="2" t="str">
        <f aca="false">_xlfn.IFS(B4214&lt;30,"Under 30",B4214&lt;40,"30-39",B4214&lt;50,"40-49",B4214&lt;60,"50-59",TRUE(),"60+")</f>
        <v>30-39</v>
      </c>
      <c r="O4214" s="2" t="str">
        <f aca="false">_xlfn.IFS(G4214&lt;0,"1 Negative",G4214=0,"2 Zero",G4214&lt;=500,"3 1-500",G4214&lt;=2000,"4 501-2000",TRUE(),"5 Above 2000")</f>
        <v>5 Above 2000</v>
      </c>
      <c r="P4214" s="2" t="n">
        <f aca="false">Lookups!$B$2*M4214+Lookups!$B$3*L4214</f>
        <v>0</v>
      </c>
      <c r="Q4214" s="2" t="str">
        <f aca="false">INDEX(Lookups!$E$2:$E$5,MATCH(P4214,Lookups!$D$2:$D$5,0))</f>
        <v>Low</v>
      </c>
    </row>
    <row r="4215" customFormat="false" ht="15" hidden="false" customHeight="false" outlineLevel="0" collapsed="false">
      <c r="A4215" s="3" t="n">
        <v>4214</v>
      </c>
      <c r="B4215" s="3" t="n">
        <f aca="false">Raw_Data!A4215</f>
        <v>30</v>
      </c>
      <c r="C4215" s="3" t="str">
        <f aca="false">SUBSTITUTE(Raw_Data!B4215,".","")</f>
        <v>technician</v>
      </c>
      <c r="D4215" s="3" t="str">
        <f aca="false">Raw_Data!C4215</f>
        <v>single</v>
      </c>
      <c r="E4215" s="3" t="str">
        <f aca="false">Raw_Data!D4215</f>
        <v>secondary</v>
      </c>
      <c r="F4215" s="3" t="str">
        <f aca="false">Raw_Data!E4215</f>
        <v>no</v>
      </c>
      <c r="G4215" s="3" t="n">
        <f aca="false">Raw_Data!F4215</f>
        <v>-522</v>
      </c>
      <c r="H4215" s="3" t="str">
        <f aca="false">Raw_Data!G4215</f>
        <v>yes</v>
      </c>
      <c r="I4215" s="3" t="str">
        <f aca="false">Raw_Data!H4215</f>
        <v>yes</v>
      </c>
      <c r="J4215" s="2" t="n">
        <f aca="false">IF(F4215="yes",1,0)</f>
        <v>0</v>
      </c>
      <c r="K4215" s="2" t="n">
        <f aca="false">IF(H4215="yes",1,0)</f>
        <v>1</v>
      </c>
      <c r="L4215" s="2" t="n">
        <f aca="false">IF(I4215="yes",1,0)</f>
        <v>1</v>
      </c>
      <c r="M4215" s="2" t="n">
        <f aca="false">IF(G4215&lt;0,1,0)</f>
        <v>1</v>
      </c>
      <c r="N4215" s="2" t="str">
        <f aca="false">_xlfn.IFS(B4215&lt;30,"Under 30",B4215&lt;40,"30-39",B4215&lt;50,"40-49",B4215&lt;60,"50-59",TRUE(),"60+")</f>
        <v>30-39</v>
      </c>
      <c r="O4215" s="2" t="str">
        <f aca="false">_xlfn.IFS(G4215&lt;0,"1 Negative",G4215=0,"2 Zero",G4215&lt;=500,"3 1-500",G4215&lt;=2000,"4 501-2000",TRUE(),"5 Above 2000")</f>
        <v>1 Negative</v>
      </c>
      <c r="P4215" s="2" t="n">
        <f aca="false">Lookups!$B$2*M4215+Lookups!$B$3*L4215</f>
        <v>3</v>
      </c>
      <c r="Q4215" s="2" t="str">
        <f aca="false">INDEX(Lookups!$E$2:$E$5,MATCH(P4215,Lookups!$D$2:$D$5,0))</f>
        <v>High</v>
      </c>
    </row>
    <row r="4216" customFormat="false" ht="15" hidden="false" customHeight="false" outlineLevel="0" collapsed="false">
      <c r="A4216" s="3" t="n">
        <v>4215</v>
      </c>
      <c r="B4216" s="3" t="n">
        <f aca="false">Raw_Data!A4216</f>
        <v>36</v>
      </c>
      <c r="C4216" s="3" t="str">
        <f aca="false">SUBSTITUTE(Raw_Data!B4216,".","")</f>
        <v>student</v>
      </c>
      <c r="D4216" s="3" t="str">
        <f aca="false">Raw_Data!C4216</f>
        <v>single</v>
      </c>
      <c r="E4216" s="3" t="str">
        <f aca="false">Raw_Data!D4216</f>
        <v>unknown</v>
      </c>
      <c r="F4216" s="3" t="str">
        <f aca="false">Raw_Data!E4216</f>
        <v>no</v>
      </c>
      <c r="G4216" s="3" t="n">
        <f aca="false">Raw_Data!F4216</f>
        <v>386</v>
      </c>
      <c r="H4216" s="3" t="str">
        <f aca="false">Raw_Data!G4216</f>
        <v>no</v>
      </c>
      <c r="I4216" s="3" t="str">
        <f aca="false">Raw_Data!H4216</f>
        <v>no</v>
      </c>
      <c r="J4216" s="2" t="n">
        <f aca="false">IF(F4216="yes",1,0)</f>
        <v>0</v>
      </c>
      <c r="K4216" s="2" t="n">
        <f aca="false">IF(H4216="yes",1,0)</f>
        <v>0</v>
      </c>
      <c r="L4216" s="2" t="n">
        <f aca="false">IF(I4216="yes",1,0)</f>
        <v>0</v>
      </c>
      <c r="M4216" s="2" t="n">
        <f aca="false">IF(G4216&lt;0,1,0)</f>
        <v>0</v>
      </c>
      <c r="N4216" s="2" t="str">
        <f aca="false">_xlfn.IFS(B4216&lt;30,"Under 30",B4216&lt;40,"30-39",B4216&lt;50,"40-49",B4216&lt;60,"50-59",TRUE(),"60+")</f>
        <v>30-39</v>
      </c>
      <c r="O4216" s="2" t="str">
        <f aca="false">_xlfn.IFS(G4216&lt;0,"1 Negative",G4216=0,"2 Zero",G4216&lt;=500,"3 1-500",G4216&lt;=2000,"4 501-2000",TRUE(),"5 Above 2000")</f>
        <v>3 1-500</v>
      </c>
      <c r="P4216" s="2" t="n">
        <f aca="false">Lookups!$B$2*M4216+Lookups!$B$3*L4216</f>
        <v>0</v>
      </c>
      <c r="Q4216" s="2" t="str">
        <f aca="false">INDEX(Lookups!$E$2:$E$5,MATCH(P4216,Lookups!$D$2:$D$5,0))</f>
        <v>Low</v>
      </c>
    </row>
    <row r="4217" customFormat="false" ht="15" hidden="false" customHeight="false" outlineLevel="0" collapsed="false">
      <c r="A4217" s="3" t="n">
        <v>4216</v>
      </c>
      <c r="B4217" s="3" t="n">
        <f aca="false">Raw_Data!A4217</f>
        <v>37</v>
      </c>
      <c r="C4217" s="3" t="str">
        <f aca="false">SUBSTITUTE(Raw_Data!B4217,".","")</f>
        <v>unemployed</v>
      </c>
      <c r="D4217" s="3" t="str">
        <f aca="false">Raw_Data!C4217</f>
        <v>married</v>
      </c>
      <c r="E4217" s="3" t="str">
        <f aca="false">Raw_Data!D4217</f>
        <v>secondary</v>
      </c>
      <c r="F4217" s="3" t="str">
        <f aca="false">Raw_Data!E4217</f>
        <v>no</v>
      </c>
      <c r="G4217" s="3" t="n">
        <f aca="false">Raw_Data!F4217</f>
        <v>1978</v>
      </c>
      <c r="H4217" s="3" t="str">
        <f aca="false">Raw_Data!G4217</f>
        <v>no</v>
      </c>
      <c r="I4217" s="3" t="str">
        <f aca="false">Raw_Data!H4217</f>
        <v>no</v>
      </c>
      <c r="J4217" s="2" t="n">
        <f aca="false">IF(F4217="yes",1,0)</f>
        <v>0</v>
      </c>
      <c r="K4217" s="2" t="n">
        <f aca="false">IF(H4217="yes",1,0)</f>
        <v>0</v>
      </c>
      <c r="L4217" s="2" t="n">
        <f aca="false">IF(I4217="yes",1,0)</f>
        <v>0</v>
      </c>
      <c r="M4217" s="2" t="n">
        <f aca="false">IF(G4217&lt;0,1,0)</f>
        <v>0</v>
      </c>
      <c r="N4217" s="2" t="str">
        <f aca="false">_xlfn.IFS(B4217&lt;30,"Under 30",B4217&lt;40,"30-39",B4217&lt;50,"40-49",B4217&lt;60,"50-59",TRUE(),"60+")</f>
        <v>30-39</v>
      </c>
      <c r="O4217" s="2" t="str">
        <f aca="false">_xlfn.IFS(G4217&lt;0,"1 Negative",G4217=0,"2 Zero",G4217&lt;=500,"3 1-500",G4217&lt;=2000,"4 501-2000",TRUE(),"5 Above 2000")</f>
        <v>4 501-2000</v>
      </c>
      <c r="P4217" s="2" t="n">
        <f aca="false">Lookups!$B$2*M4217+Lookups!$B$3*L4217</f>
        <v>0</v>
      </c>
      <c r="Q4217" s="2" t="str">
        <f aca="false">INDEX(Lookups!$E$2:$E$5,MATCH(P4217,Lookups!$D$2:$D$5,0))</f>
        <v>Low</v>
      </c>
    </row>
    <row r="4218" customFormat="false" ht="15" hidden="false" customHeight="false" outlineLevel="0" collapsed="false">
      <c r="A4218" s="3" t="n">
        <v>4217</v>
      </c>
      <c r="B4218" s="3" t="n">
        <f aca="false">Raw_Data!A4218</f>
        <v>53</v>
      </c>
      <c r="C4218" s="3" t="str">
        <f aca="false">SUBSTITUTE(Raw_Data!B4218,".","")</f>
        <v>admin</v>
      </c>
      <c r="D4218" s="3" t="str">
        <f aca="false">Raw_Data!C4218</f>
        <v>married</v>
      </c>
      <c r="E4218" s="3" t="str">
        <f aca="false">Raw_Data!D4218</f>
        <v>secondary</v>
      </c>
      <c r="F4218" s="3" t="str">
        <f aca="false">Raw_Data!E4218</f>
        <v>no</v>
      </c>
      <c r="G4218" s="3" t="n">
        <f aca="false">Raw_Data!F4218</f>
        <v>459</v>
      </c>
      <c r="H4218" s="3" t="str">
        <f aca="false">Raw_Data!G4218</f>
        <v>no</v>
      </c>
      <c r="I4218" s="3" t="str">
        <f aca="false">Raw_Data!H4218</f>
        <v>no</v>
      </c>
      <c r="J4218" s="2" t="n">
        <f aca="false">IF(F4218="yes",1,0)</f>
        <v>0</v>
      </c>
      <c r="K4218" s="2" t="n">
        <f aca="false">IF(H4218="yes",1,0)</f>
        <v>0</v>
      </c>
      <c r="L4218" s="2" t="n">
        <f aca="false">IF(I4218="yes",1,0)</f>
        <v>0</v>
      </c>
      <c r="M4218" s="2" t="n">
        <f aca="false">IF(G4218&lt;0,1,0)</f>
        <v>0</v>
      </c>
      <c r="N4218" s="2" t="str">
        <f aca="false">_xlfn.IFS(B4218&lt;30,"Under 30",B4218&lt;40,"30-39",B4218&lt;50,"40-49",B4218&lt;60,"50-59",TRUE(),"60+")</f>
        <v>50-59</v>
      </c>
      <c r="O4218" s="2" t="str">
        <f aca="false">_xlfn.IFS(G4218&lt;0,"1 Negative",G4218=0,"2 Zero",G4218&lt;=500,"3 1-500",G4218&lt;=2000,"4 501-2000",TRUE(),"5 Above 2000")</f>
        <v>3 1-500</v>
      </c>
      <c r="P4218" s="2" t="n">
        <f aca="false">Lookups!$B$2*M4218+Lookups!$B$3*L4218</f>
        <v>0</v>
      </c>
      <c r="Q4218" s="2" t="str">
        <f aca="false">INDEX(Lookups!$E$2:$E$5,MATCH(P4218,Lookups!$D$2:$D$5,0))</f>
        <v>Low</v>
      </c>
    </row>
    <row r="4219" customFormat="false" ht="15" hidden="false" customHeight="false" outlineLevel="0" collapsed="false">
      <c r="A4219" s="3" t="n">
        <v>4218</v>
      </c>
      <c r="B4219" s="3" t="n">
        <f aca="false">Raw_Data!A4219</f>
        <v>38</v>
      </c>
      <c r="C4219" s="3" t="str">
        <f aca="false">SUBSTITUTE(Raw_Data!B4219,".","")</f>
        <v>unemployed</v>
      </c>
      <c r="D4219" s="3" t="str">
        <f aca="false">Raw_Data!C4219</f>
        <v>married</v>
      </c>
      <c r="E4219" s="3" t="str">
        <f aca="false">Raw_Data!D4219</f>
        <v>tertiary</v>
      </c>
      <c r="F4219" s="3" t="str">
        <f aca="false">Raw_Data!E4219</f>
        <v>no</v>
      </c>
      <c r="G4219" s="3" t="n">
        <f aca="false">Raw_Data!F4219</f>
        <v>2812</v>
      </c>
      <c r="H4219" s="3" t="str">
        <f aca="false">Raw_Data!G4219</f>
        <v>yes</v>
      </c>
      <c r="I4219" s="3" t="str">
        <f aca="false">Raw_Data!H4219</f>
        <v>no</v>
      </c>
      <c r="J4219" s="2" t="n">
        <f aca="false">IF(F4219="yes",1,0)</f>
        <v>0</v>
      </c>
      <c r="K4219" s="2" t="n">
        <f aca="false">IF(H4219="yes",1,0)</f>
        <v>1</v>
      </c>
      <c r="L4219" s="2" t="n">
        <f aca="false">IF(I4219="yes",1,0)</f>
        <v>0</v>
      </c>
      <c r="M4219" s="2" t="n">
        <f aca="false">IF(G4219&lt;0,1,0)</f>
        <v>0</v>
      </c>
      <c r="N4219" s="2" t="str">
        <f aca="false">_xlfn.IFS(B4219&lt;30,"Under 30",B4219&lt;40,"30-39",B4219&lt;50,"40-49",B4219&lt;60,"50-59",TRUE(),"60+")</f>
        <v>30-39</v>
      </c>
      <c r="O4219" s="2" t="str">
        <f aca="false">_xlfn.IFS(G4219&lt;0,"1 Negative",G4219=0,"2 Zero",G4219&lt;=500,"3 1-500",G4219&lt;=2000,"4 501-2000",TRUE(),"5 Above 2000")</f>
        <v>5 Above 2000</v>
      </c>
      <c r="P4219" s="2" t="n">
        <f aca="false">Lookups!$B$2*M4219+Lookups!$B$3*L4219</f>
        <v>0</v>
      </c>
      <c r="Q4219" s="2" t="str">
        <f aca="false">INDEX(Lookups!$E$2:$E$5,MATCH(P4219,Lookups!$D$2:$D$5,0))</f>
        <v>Low</v>
      </c>
    </row>
    <row r="4220" customFormat="false" ht="15" hidden="false" customHeight="false" outlineLevel="0" collapsed="false">
      <c r="A4220" s="3" t="n">
        <v>4219</v>
      </c>
      <c r="B4220" s="3" t="n">
        <f aca="false">Raw_Data!A4220</f>
        <v>48</v>
      </c>
      <c r="C4220" s="3" t="str">
        <f aca="false">SUBSTITUTE(Raw_Data!B4220,".","")</f>
        <v>management</v>
      </c>
      <c r="D4220" s="3" t="str">
        <f aca="false">Raw_Data!C4220</f>
        <v>married</v>
      </c>
      <c r="E4220" s="3" t="str">
        <f aca="false">Raw_Data!D4220</f>
        <v>tertiary</v>
      </c>
      <c r="F4220" s="3" t="str">
        <f aca="false">Raw_Data!E4220</f>
        <v>no</v>
      </c>
      <c r="G4220" s="3" t="n">
        <f aca="false">Raw_Data!F4220</f>
        <v>5057</v>
      </c>
      <c r="H4220" s="3" t="str">
        <f aca="false">Raw_Data!G4220</f>
        <v>no</v>
      </c>
      <c r="I4220" s="3" t="str">
        <f aca="false">Raw_Data!H4220</f>
        <v>yes</v>
      </c>
      <c r="J4220" s="2" t="n">
        <f aca="false">IF(F4220="yes",1,0)</f>
        <v>0</v>
      </c>
      <c r="K4220" s="2" t="n">
        <f aca="false">IF(H4220="yes",1,0)</f>
        <v>0</v>
      </c>
      <c r="L4220" s="2" t="n">
        <f aca="false">IF(I4220="yes",1,0)</f>
        <v>1</v>
      </c>
      <c r="M4220" s="2" t="n">
        <f aca="false">IF(G4220&lt;0,1,0)</f>
        <v>0</v>
      </c>
      <c r="N4220" s="2" t="str">
        <f aca="false">_xlfn.IFS(B4220&lt;30,"Under 30",B4220&lt;40,"30-39",B4220&lt;50,"40-49",B4220&lt;60,"50-59",TRUE(),"60+")</f>
        <v>40-49</v>
      </c>
      <c r="O4220" s="2" t="str">
        <f aca="false">_xlfn.IFS(G4220&lt;0,"1 Negative",G4220=0,"2 Zero",G4220&lt;=500,"3 1-500",G4220&lt;=2000,"4 501-2000",TRUE(),"5 Above 2000")</f>
        <v>5 Above 2000</v>
      </c>
      <c r="P4220" s="2" t="n">
        <f aca="false">Lookups!$B$2*M4220+Lookups!$B$3*L4220</f>
        <v>1</v>
      </c>
      <c r="Q4220" s="2" t="str">
        <f aca="false">INDEX(Lookups!$E$2:$E$5,MATCH(P4220,Lookups!$D$2:$D$5,0))</f>
        <v>Medium</v>
      </c>
    </row>
    <row r="4221" customFormat="false" ht="15" hidden="false" customHeight="false" outlineLevel="0" collapsed="false">
      <c r="A4221" s="3" t="n">
        <v>4220</v>
      </c>
      <c r="B4221" s="3" t="n">
        <f aca="false">Raw_Data!A4221</f>
        <v>26</v>
      </c>
      <c r="C4221" s="3" t="str">
        <f aca="false">SUBSTITUTE(Raw_Data!B4221,".","")</f>
        <v>housemaid</v>
      </c>
      <c r="D4221" s="3" t="str">
        <f aca="false">Raw_Data!C4221</f>
        <v>married</v>
      </c>
      <c r="E4221" s="3" t="str">
        <f aca="false">Raw_Data!D4221</f>
        <v>secondary</v>
      </c>
      <c r="F4221" s="3" t="str">
        <f aca="false">Raw_Data!E4221</f>
        <v>no</v>
      </c>
      <c r="G4221" s="3" t="n">
        <f aca="false">Raw_Data!F4221</f>
        <v>-759</v>
      </c>
      <c r="H4221" s="3" t="str">
        <f aca="false">Raw_Data!G4221</f>
        <v>yes</v>
      </c>
      <c r="I4221" s="3" t="str">
        <f aca="false">Raw_Data!H4221</f>
        <v>no</v>
      </c>
      <c r="J4221" s="2" t="n">
        <f aca="false">IF(F4221="yes",1,0)</f>
        <v>0</v>
      </c>
      <c r="K4221" s="2" t="n">
        <f aca="false">IF(H4221="yes",1,0)</f>
        <v>1</v>
      </c>
      <c r="L4221" s="2" t="n">
        <f aca="false">IF(I4221="yes",1,0)</f>
        <v>0</v>
      </c>
      <c r="M4221" s="2" t="n">
        <f aca="false">IF(G4221&lt;0,1,0)</f>
        <v>1</v>
      </c>
      <c r="N4221" s="2" t="str">
        <f aca="false">_xlfn.IFS(B4221&lt;30,"Under 30",B4221&lt;40,"30-39",B4221&lt;50,"40-49",B4221&lt;60,"50-59",TRUE(),"60+")</f>
        <v>Under 30</v>
      </c>
      <c r="O4221" s="2" t="str">
        <f aca="false">_xlfn.IFS(G4221&lt;0,"1 Negative",G4221=0,"2 Zero",G4221&lt;=500,"3 1-500",G4221&lt;=2000,"4 501-2000",TRUE(),"5 Above 2000")</f>
        <v>1 Negative</v>
      </c>
      <c r="P4221" s="2" t="n">
        <f aca="false">Lookups!$B$2*M4221+Lookups!$B$3*L4221</f>
        <v>2</v>
      </c>
      <c r="Q4221" s="2" t="str">
        <f aca="false">INDEX(Lookups!$E$2:$E$5,MATCH(P4221,Lookups!$D$2:$D$5,0))</f>
        <v>High</v>
      </c>
    </row>
    <row r="4222" customFormat="false" ht="15" hidden="false" customHeight="false" outlineLevel="0" collapsed="false">
      <c r="A4222" s="3" t="n">
        <v>4221</v>
      </c>
      <c r="B4222" s="3" t="n">
        <f aca="false">Raw_Data!A4222</f>
        <v>33</v>
      </c>
      <c r="C4222" s="3" t="str">
        <f aca="false">SUBSTITUTE(Raw_Data!B4222,".","")</f>
        <v>blue-collar</v>
      </c>
      <c r="D4222" s="3" t="str">
        <f aca="false">Raw_Data!C4222</f>
        <v>single</v>
      </c>
      <c r="E4222" s="3" t="str">
        <f aca="false">Raw_Data!D4222</f>
        <v>secondary</v>
      </c>
      <c r="F4222" s="3" t="str">
        <f aca="false">Raw_Data!E4222</f>
        <v>no</v>
      </c>
      <c r="G4222" s="3" t="n">
        <f aca="false">Raw_Data!F4222</f>
        <v>-416</v>
      </c>
      <c r="H4222" s="3" t="str">
        <f aca="false">Raw_Data!G4222</f>
        <v>yes</v>
      </c>
      <c r="I4222" s="3" t="str">
        <f aca="false">Raw_Data!H4222</f>
        <v>no</v>
      </c>
      <c r="J4222" s="2" t="n">
        <f aca="false">IF(F4222="yes",1,0)</f>
        <v>0</v>
      </c>
      <c r="K4222" s="2" t="n">
        <f aca="false">IF(H4222="yes",1,0)</f>
        <v>1</v>
      </c>
      <c r="L4222" s="2" t="n">
        <f aca="false">IF(I4222="yes",1,0)</f>
        <v>0</v>
      </c>
      <c r="M4222" s="2" t="n">
        <f aca="false">IF(G4222&lt;0,1,0)</f>
        <v>1</v>
      </c>
      <c r="N4222" s="2" t="str">
        <f aca="false">_xlfn.IFS(B4222&lt;30,"Under 30",B4222&lt;40,"30-39",B4222&lt;50,"40-49",B4222&lt;60,"50-59",TRUE(),"60+")</f>
        <v>30-39</v>
      </c>
      <c r="O4222" s="2" t="str">
        <f aca="false">_xlfn.IFS(G4222&lt;0,"1 Negative",G4222=0,"2 Zero",G4222&lt;=500,"3 1-500",G4222&lt;=2000,"4 501-2000",TRUE(),"5 Above 2000")</f>
        <v>1 Negative</v>
      </c>
      <c r="P4222" s="2" t="n">
        <f aca="false">Lookups!$B$2*M4222+Lookups!$B$3*L4222</f>
        <v>2</v>
      </c>
      <c r="Q4222" s="2" t="str">
        <f aca="false">INDEX(Lookups!$E$2:$E$5,MATCH(P4222,Lookups!$D$2:$D$5,0))</f>
        <v>High</v>
      </c>
    </row>
    <row r="4223" customFormat="false" ht="15" hidden="false" customHeight="false" outlineLevel="0" collapsed="false">
      <c r="A4223" s="3" t="n">
        <v>4222</v>
      </c>
      <c r="B4223" s="3" t="n">
        <f aca="false">Raw_Data!A4223</f>
        <v>47</v>
      </c>
      <c r="C4223" s="3" t="str">
        <f aca="false">SUBSTITUTE(Raw_Data!B4223,".","")</f>
        <v>technician</v>
      </c>
      <c r="D4223" s="3" t="str">
        <f aca="false">Raw_Data!C4223</f>
        <v>married</v>
      </c>
      <c r="E4223" s="3" t="str">
        <f aca="false">Raw_Data!D4223</f>
        <v>unknown</v>
      </c>
      <c r="F4223" s="3" t="str">
        <f aca="false">Raw_Data!E4223</f>
        <v>no</v>
      </c>
      <c r="G4223" s="3" t="n">
        <f aca="false">Raw_Data!F4223</f>
        <v>2106</v>
      </c>
      <c r="H4223" s="3" t="str">
        <f aca="false">Raw_Data!G4223</f>
        <v>yes</v>
      </c>
      <c r="I4223" s="3" t="str">
        <f aca="false">Raw_Data!H4223</f>
        <v>no</v>
      </c>
      <c r="J4223" s="2" t="n">
        <f aca="false">IF(F4223="yes",1,0)</f>
        <v>0</v>
      </c>
      <c r="K4223" s="2" t="n">
        <f aca="false">IF(H4223="yes",1,0)</f>
        <v>1</v>
      </c>
      <c r="L4223" s="2" t="n">
        <f aca="false">IF(I4223="yes",1,0)</f>
        <v>0</v>
      </c>
      <c r="M4223" s="2" t="n">
        <f aca="false">IF(G4223&lt;0,1,0)</f>
        <v>0</v>
      </c>
      <c r="N4223" s="2" t="str">
        <f aca="false">_xlfn.IFS(B4223&lt;30,"Under 30",B4223&lt;40,"30-39",B4223&lt;50,"40-49",B4223&lt;60,"50-59",TRUE(),"60+")</f>
        <v>40-49</v>
      </c>
      <c r="O4223" s="2" t="str">
        <f aca="false">_xlfn.IFS(G4223&lt;0,"1 Negative",G4223=0,"2 Zero",G4223&lt;=500,"3 1-500",G4223&lt;=2000,"4 501-2000",TRUE(),"5 Above 2000")</f>
        <v>5 Above 2000</v>
      </c>
      <c r="P4223" s="2" t="n">
        <f aca="false">Lookups!$B$2*M4223+Lookups!$B$3*L4223</f>
        <v>0</v>
      </c>
      <c r="Q4223" s="2" t="str">
        <f aca="false">INDEX(Lookups!$E$2:$E$5,MATCH(P4223,Lookups!$D$2:$D$5,0))</f>
        <v>Low</v>
      </c>
    </row>
    <row r="4224" customFormat="false" ht="15" hidden="false" customHeight="false" outlineLevel="0" collapsed="false">
      <c r="A4224" s="3" t="n">
        <v>4223</v>
      </c>
      <c r="B4224" s="3" t="n">
        <f aca="false">Raw_Data!A4224</f>
        <v>45</v>
      </c>
      <c r="C4224" s="3" t="str">
        <f aca="false">SUBSTITUTE(Raw_Data!B4224,".","")</f>
        <v>management</v>
      </c>
      <c r="D4224" s="3" t="str">
        <f aca="false">Raw_Data!C4224</f>
        <v>divorced</v>
      </c>
      <c r="E4224" s="3" t="str">
        <f aca="false">Raw_Data!D4224</f>
        <v>tertiary</v>
      </c>
      <c r="F4224" s="3" t="str">
        <f aca="false">Raw_Data!E4224</f>
        <v>no</v>
      </c>
      <c r="G4224" s="3" t="n">
        <f aca="false">Raw_Data!F4224</f>
        <v>220</v>
      </c>
      <c r="H4224" s="3" t="str">
        <f aca="false">Raw_Data!G4224</f>
        <v>yes</v>
      </c>
      <c r="I4224" s="3" t="str">
        <f aca="false">Raw_Data!H4224</f>
        <v>no</v>
      </c>
      <c r="J4224" s="2" t="n">
        <f aca="false">IF(F4224="yes",1,0)</f>
        <v>0</v>
      </c>
      <c r="K4224" s="2" t="n">
        <f aca="false">IF(H4224="yes",1,0)</f>
        <v>1</v>
      </c>
      <c r="L4224" s="2" t="n">
        <f aca="false">IF(I4224="yes",1,0)</f>
        <v>0</v>
      </c>
      <c r="M4224" s="2" t="n">
        <f aca="false">IF(G4224&lt;0,1,0)</f>
        <v>0</v>
      </c>
      <c r="N4224" s="2" t="str">
        <f aca="false">_xlfn.IFS(B4224&lt;30,"Under 30",B4224&lt;40,"30-39",B4224&lt;50,"40-49",B4224&lt;60,"50-59",TRUE(),"60+")</f>
        <v>40-49</v>
      </c>
      <c r="O4224" s="2" t="str">
        <f aca="false">_xlfn.IFS(G4224&lt;0,"1 Negative",G4224=0,"2 Zero",G4224&lt;=500,"3 1-500",G4224&lt;=2000,"4 501-2000",TRUE(),"5 Above 2000")</f>
        <v>3 1-500</v>
      </c>
      <c r="P4224" s="2" t="n">
        <f aca="false">Lookups!$B$2*M4224+Lookups!$B$3*L4224</f>
        <v>0</v>
      </c>
      <c r="Q4224" s="2" t="str">
        <f aca="false">INDEX(Lookups!$E$2:$E$5,MATCH(P4224,Lookups!$D$2:$D$5,0))</f>
        <v>Low</v>
      </c>
    </row>
    <row r="4225" customFormat="false" ht="15" hidden="false" customHeight="false" outlineLevel="0" collapsed="false">
      <c r="A4225" s="3" t="n">
        <v>4224</v>
      </c>
      <c r="B4225" s="3" t="n">
        <f aca="false">Raw_Data!A4225</f>
        <v>32</v>
      </c>
      <c r="C4225" s="3" t="str">
        <f aca="false">SUBSTITUTE(Raw_Data!B4225,".","")</f>
        <v>blue-collar</v>
      </c>
      <c r="D4225" s="3" t="str">
        <f aca="false">Raw_Data!C4225</f>
        <v>divorced</v>
      </c>
      <c r="E4225" s="3" t="str">
        <f aca="false">Raw_Data!D4225</f>
        <v>secondary</v>
      </c>
      <c r="F4225" s="3" t="str">
        <f aca="false">Raw_Data!E4225</f>
        <v>no</v>
      </c>
      <c r="G4225" s="3" t="n">
        <f aca="false">Raw_Data!F4225</f>
        <v>0</v>
      </c>
      <c r="H4225" s="3" t="str">
        <f aca="false">Raw_Data!G4225</f>
        <v>yes</v>
      </c>
      <c r="I4225" s="3" t="str">
        <f aca="false">Raw_Data!H4225</f>
        <v>no</v>
      </c>
      <c r="J4225" s="2" t="n">
        <f aca="false">IF(F4225="yes",1,0)</f>
        <v>0</v>
      </c>
      <c r="K4225" s="2" t="n">
        <f aca="false">IF(H4225="yes",1,0)</f>
        <v>1</v>
      </c>
      <c r="L4225" s="2" t="n">
        <f aca="false">IF(I4225="yes",1,0)</f>
        <v>0</v>
      </c>
      <c r="M4225" s="2" t="n">
        <f aca="false">IF(G4225&lt;0,1,0)</f>
        <v>0</v>
      </c>
      <c r="N4225" s="2" t="str">
        <f aca="false">_xlfn.IFS(B4225&lt;30,"Under 30",B4225&lt;40,"30-39",B4225&lt;50,"40-49",B4225&lt;60,"50-59",TRUE(),"60+")</f>
        <v>30-39</v>
      </c>
      <c r="O4225" s="2" t="str">
        <f aca="false">_xlfn.IFS(G4225&lt;0,"1 Negative",G4225=0,"2 Zero",G4225&lt;=500,"3 1-500",G4225&lt;=2000,"4 501-2000",TRUE(),"5 Above 2000")</f>
        <v>2 Zero</v>
      </c>
      <c r="P4225" s="2" t="n">
        <f aca="false">Lookups!$B$2*M4225+Lookups!$B$3*L4225</f>
        <v>0</v>
      </c>
      <c r="Q4225" s="2" t="str">
        <f aca="false">INDEX(Lookups!$E$2:$E$5,MATCH(P4225,Lookups!$D$2:$D$5,0))</f>
        <v>Low</v>
      </c>
    </row>
    <row r="4226" customFormat="false" ht="15" hidden="false" customHeight="false" outlineLevel="0" collapsed="false">
      <c r="A4226" s="3" t="n">
        <v>4225</v>
      </c>
      <c r="B4226" s="3" t="n">
        <f aca="false">Raw_Data!A4226</f>
        <v>69</v>
      </c>
      <c r="C4226" s="3" t="str">
        <f aca="false">SUBSTITUTE(Raw_Data!B4226,".","")</f>
        <v>retired</v>
      </c>
      <c r="D4226" s="3" t="str">
        <f aca="false">Raw_Data!C4226</f>
        <v>married</v>
      </c>
      <c r="E4226" s="3" t="str">
        <f aca="false">Raw_Data!D4226</f>
        <v>unknown</v>
      </c>
      <c r="F4226" s="3" t="str">
        <f aca="false">Raw_Data!E4226</f>
        <v>no</v>
      </c>
      <c r="G4226" s="3" t="n">
        <f aca="false">Raw_Data!F4226</f>
        <v>426</v>
      </c>
      <c r="H4226" s="3" t="str">
        <f aca="false">Raw_Data!G4226</f>
        <v>no</v>
      </c>
      <c r="I4226" s="3" t="str">
        <f aca="false">Raw_Data!H4226</f>
        <v>no</v>
      </c>
      <c r="J4226" s="2" t="n">
        <f aca="false">IF(F4226="yes",1,0)</f>
        <v>0</v>
      </c>
      <c r="K4226" s="2" t="n">
        <f aca="false">IF(H4226="yes",1,0)</f>
        <v>0</v>
      </c>
      <c r="L4226" s="2" t="n">
        <f aca="false">IF(I4226="yes",1,0)</f>
        <v>0</v>
      </c>
      <c r="M4226" s="2" t="n">
        <f aca="false">IF(G4226&lt;0,1,0)</f>
        <v>0</v>
      </c>
      <c r="N4226" s="2" t="str">
        <f aca="false">_xlfn.IFS(B4226&lt;30,"Under 30",B4226&lt;40,"30-39",B4226&lt;50,"40-49",B4226&lt;60,"50-59",TRUE(),"60+")</f>
        <v>60+</v>
      </c>
      <c r="O4226" s="2" t="str">
        <f aca="false">_xlfn.IFS(G4226&lt;0,"1 Negative",G4226=0,"2 Zero",G4226&lt;=500,"3 1-500",G4226&lt;=2000,"4 501-2000",TRUE(),"5 Above 2000")</f>
        <v>3 1-500</v>
      </c>
      <c r="P4226" s="2" t="n">
        <f aca="false">Lookups!$B$2*M4226+Lookups!$B$3*L4226</f>
        <v>0</v>
      </c>
      <c r="Q4226" s="2" t="str">
        <f aca="false">INDEX(Lookups!$E$2:$E$5,MATCH(P4226,Lookups!$D$2:$D$5,0))</f>
        <v>Low</v>
      </c>
    </row>
    <row r="4227" customFormat="false" ht="15" hidden="false" customHeight="false" outlineLevel="0" collapsed="false">
      <c r="A4227" s="3" t="n">
        <v>4226</v>
      </c>
      <c r="B4227" s="3" t="n">
        <f aca="false">Raw_Data!A4227</f>
        <v>65</v>
      </c>
      <c r="C4227" s="3" t="str">
        <f aca="false">SUBSTITUTE(Raw_Data!B4227,".","")</f>
        <v>unknown</v>
      </c>
      <c r="D4227" s="3" t="str">
        <f aca="false">Raw_Data!C4227</f>
        <v>married</v>
      </c>
      <c r="E4227" s="3" t="str">
        <f aca="false">Raw_Data!D4227</f>
        <v>unknown</v>
      </c>
      <c r="F4227" s="3" t="str">
        <f aca="false">Raw_Data!E4227</f>
        <v>no</v>
      </c>
      <c r="G4227" s="3" t="n">
        <f aca="false">Raw_Data!F4227</f>
        <v>4717</v>
      </c>
      <c r="H4227" s="3" t="str">
        <f aca="false">Raw_Data!G4227</f>
        <v>no</v>
      </c>
      <c r="I4227" s="3" t="str">
        <f aca="false">Raw_Data!H4227</f>
        <v>no</v>
      </c>
      <c r="J4227" s="2" t="n">
        <f aca="false">IF(F4227="yes",1,0)</f>
        <v>0</v>
      </c>
      <c r="K4227" s="2" t="n">
        <f aca="false">IF(H4227="yes",1,0)</f>
        <v>0</v>
      </c>
      <c r="L4227" s="2" t="n">
        <f aca="false">IF(I4227="yes",1,0)</f>
        <v>0</v>
      </c>
      <c r="M4227" s="2" t="n">
        <f aca="false">IF(G4227&lt;0,1,0)</f>
        <v>0</v>
      </c>
      <c r="N4227" s="2" t="str">
        <f aca="false">_xlfn.IFS(B4227&lt;30,"Under 30",B4227&lt;40,"30-39",B4227&lt;50,"40-49",B4227&lt;60,"50-59",TRUE(),"60+")</f>
        <v>60+</v>
      </c>
      <c r="O4227" s="2" t="str">
        <f aca="false">_xlfn.IFS(G4227&lt;0,"1 Negative",G4227=0,"2 Zero",G4227&lt;=500,"3 1-500",G4227&lt;=2000,"4 501-2000",TRUE(),"5 Above 2000")</f>
        <v>5 Above 2000</v>
      </c>
      <c r="P4227" s="2" t="n">
        <f aca="false">Lookups!$B$2*M4227+Lookups!$B$3*L4227</f>
        <v>0</v>
      </c>
      <c r="Q4227" s="2" t="str">
        <f aca="false">INDEX(Lookups!$E$2:$E$5,MATCH(P4227,Lookups!$D$2:$D$5,0))</f>
        <v>Low</v>
      </c>
    </row>
    <row r="4228" customFormat="false" ht="15" hidden="false" customHeight="false" outlineLevel="0" collapsed="false">
      <c r="A4228" s="3" t="n">
        <v>4227</v>
      </c>
      <c r="B4228" s="3" t="n">
        <f aca="false">Raw_Data!A4228</f>
        <v>37</v>
      </c>
      <c r="C4228" s="3" t="str">
        <f aca="false">SUBSTITUTE(Raw_Data!B4228,".","")</f>
        <v>blue-collar</v>
      </c>
      <c r="D4228" s="3" t="str">
        <f aca="false">Raw_Data!C4228</f>
        <v>married</v>
      </c>
      <c r="E4228" s="3" t="str">
        <f aca="false">Raw_Data!D4228</f>
        <v>secondary</v>
      </c>
      <c r="F4228" s="3" t="str">
        <f aca="false">Raw_Data!E4228</f>
        <v>no</v>
      </c>
      <c r="G4228" s="3" t="n">
        <f aca="false">Raw_Data!F4228</f>
        <v>395</v>
      </c>
      <c r="H4228" s="3" t="str">
        <f aca="false">Raw_Data!G4228</f>
        <v>yes</v>
      </c>
      <c r="I4228" s="3" t="str">
        <f aca="false">Raw_Data!H4228</f>
        <v>no</v>
      </c>
      <c r="J4228" s="2" t="n">
        <f aca="false">IF(F4228="yes",1,0)</f>
        <v>0</v>
      </c>
      <c r="K4228" s="2" t="n">
        <f aca="false">IF(H4228="yes",1,0)</f>
        <v>1</v>
      </c>
      <c r="L4228" s="2" t="n">
        <f aca="false">IF(I4228="yes",1,0)</f>
        <v>0</v>
      </c>
      <c r="M4228" s="2" t="n">
        <f aca="false">IF(G4228&lt;0,1,0)</f>
        <v>0</v>
      </c>
      <c r="N4228" s="2" t="str">
        <f aca="false">_xlfn.IFS(B4228&lt;30,"Under 30",B4228&lt;40,"30-39",B4228&lt;50,"40-49",B4228&lt;60,"50-59",TRUE(),"60+")</f>
        <v>30-39</v>
      </c>
      <c r="O4228" s="2" t="str">
        <f aca="false">_xlfn.IFS(G4228&lt;0,"1 Negative",G4228=0,"2 Zero",G4228&lt;=500,"3 1-500",G4228&lt;=2000,"4 501-2000",TRUE(),"5 Above 2000")</f>
        <v>3 1-500</v>
      </c>
      <c r="P4228" s="2" t="n">
        <f aca="false">Lookups!$B$2*M4228+Lookups!$B$3*L4228</f>
        <v>0</v>
      </c>
      <c r="Q4228" s="2" t="str">
        <f aca="false">INDEX(Lookups!$E$2:$E$5,MATCH(P4228,Lookups!$D$2:$D$5,0))</f>
        <v>Low</v>
      </c>
    </row>
    <row r="4229" customFormat="false" ht="15" hidden="false" customHeight="false" outlineLevel="0" collapsed="false">
      <c r="A4229" s="3" t="n">
        <v>4228</v>
      </c>
      <c r="B4229" s="3" t="n">
        <f aca="false">Raw_Data!A4229</f>
        <v>45</v>
      </c>
      <c r="C4229" s="3" t="str">
        <f aca="false">SUBSTITUTE(Raw_Data!B4229,".","")</f>
        <v>blue-collar</v>
      </c>
      <c r="D4229" s="3" t="str">
        <f aca="false">Raw_Data!C4229</f>
        <v>divorced</v>
      </c>
      <c r="E4229" s="3" t="str">
        <f aca="false">Raw_Data!D4229</f>
        <v>primary</v>
      </c>
      <c r="F4229" s="3" t="str">
        <f aca="false">Raw_Data!E4229</f>
        <v>no</v>
      </c>
      <c r="G4229" s="3" t="n">
        <f aca="false">Raw_Data!F4229</f>
        <v>0</v>
      </c>
      <c r="H4229" s="3" t="str">
        <f aca="false">Raw_Data!G4229</f>
        <v>yes</v>
      </c>
      <c r="I4229" s="3" t="str">
        <f aca="false">Raw_Data!H4229</f>
        <v>no</v>
      </c>
      <c r="J4229" s="2" t="n">
        <f aca="false">IF(F4229="yes",1,0)</f>
        <v>0</v>
      </c>
      <c r="K4229" s="2" t="n">
        <f aca="false">IF(H4229="yes",1,0)</f>
        <v>1</v>
      </c>
      <c r="L4229" s="2" t="n">
        <f aca="false">IF(I4229="yes",1,0)</f>
        <v>0</v>
      </c>
      <c r="M4229" s="2" t="n">
        <f aca="false">IF(G4229&lt;0,1,0)</f>
        <v>0</v>
      </c>
      <c r="N4229" s="2" t="str">
        <f aca="false">_xlfn.IFS(B4229&lt;30,"Under 30",B4229&lt;40,"30-39",B4229&lt;50,"40-49",B4229&lt;60,"50-59",TRUE(),"60+")</f>
        <v>40-49</v>
      </c>
      <c r="O4229" s="2" t="str">
        <f aca="false">_xlfn.IFS(G4229&lt;0,"1 Negative",G4229=0,"2 Zero",G4229&lt;=500,"3 1-500",G4229&lt;=2000,"4 501-2000",TRUE(),"5 Above 2000")</f>
        <v>2 Zero</v>
      </c>
      <c r="P4229" s="2" t="n">
        <f aca="false">Lookups!$B$2*M4229+Lookups!$B$3*L4229</f>
        <v>0</v>
      </c>
      <c r="Q4229" s="2" t="str">
        <f aca="false">INDEX(Lookups!$E$2:$E$5,MATCH(P4229,Lookups!$D$2:$D$5,0))</f>
        <v>Low</v>
      </c>
    </row>
    <row r="4230" customFormat="false" ht="15" hidden="false" customHeight="false" outlineLevel="0" collapsed="false">
      <c r="A4230" s="3" t="n">
        <v>4229</v>
      </c>
      <c r="B4230" s="3" t="n">
        <f aca="false">Raw_Data!A4230</f>
        <v>36</v>
      </c>
      <c r="C4230" s="3" t="str">
        <f aca="false">SUBSTITUTE(Raw_Data!B4230,".","")</f>
        <v>blue-collar</v>
      </c>
      <c r="D4230" s="3" t="str">
        <f aca="false">Raw_Data!C4230</f>
        <v>married</v>
      </c>
      <c r="E4230" s="3" t="str">
        <f aca="false">Raw_Data!D4230</f>
        <v>secondary</v>
      </c>
      <c r="F4230" s="3" t="str">
        <f aca="false">Raw_Data!E4230</f>
        <v>no</v>
      </c>
      <c r="G4230" s="3" t="n">
        <f aca="false">Raw_Data!F4230</f>
        <v>-206</v>
      </c>
      <c r="H4230" s="3" t="str">
        <f aca="false">Raw_Data!G4230</f>
        <v>yes</v>
      </c>
      <c r="I4230" s="3" t="str">
        <f aca="false">Raw_Data!H4230</f>
        <v>no</v>
      </c>
      <c r="J4230" s="2" t="n">
        <f aca="false">IF(F4230="yes",1,0)</f>
        <v>0</v>
      </c>
      <c r="K4230" s="2" t="n">
        <f aca="false">IF(H4230="yes",1,0)</f>
        <v>1</v>
      </c>
      <c r="L4230" s="2" t="n">
        <f aca="false">IF(I4230="yes",1,0)</f>
        <v>0</v>
      </c>
      <c r="M4230" s="2" t="n">
        <f aca="false">IF(G4230&lt;0,1,0)</f>
        <v>1</v>
      </c>
      <c r="N4230" s="2" t="str">
        <f aca="false">_xlfn.IFS(B4230&lt;30,"Under 30",B4230&lt;40,"30-39",B4230&lt;50,"40-49",B4230&lt;60,"50-59",TRUE(),"60+")</f>
        <v>30-39</v>
      </c>
      <c r="O4230" s="2" t="str">
        <f aca="false">_xlfn.IFS(G4230&lt;0,"1 Negative",G4230=0,"2 Zero",G4230&lt;=500,"3 1-500",G4230&lt;=2000,"4 501-2000",TRUE(),"5 Above 2000")</f>
        <v>1 Negative</v>
      </c>
      <c r="P4230" s="2" t="n">
        <f aca="false">Lookups!$B$2*M4230+Lookups!$B$3*L4230</f>
        <v>2</v>
      </c>
      <c r="Q4230" s="2" t="str">
        <f aca="false">INDEX(Lookups!$E$2:$E$5,MATCH(P4230,Lookups!$D$2:$D$5,0))</f>
        <v>High</v>
      </c>
    </row>
    <row r="4231" customFormat="false" ht="15" hidden="false" customHeight="false" outlineLevel="0" collapsed="false">
      <c r="A4231" s="3" t="n">
        <v>4230</v>
      </c>
      <c r="B4231" s="3" t="n">
        <f aca="false">Raw_Data!A4231</f>
        <v>62</v>
      </c>
      <c r="C4231" s="3" t="str">
        <f aca="false">SUBSTITUTE(Raw_Data!B4231,".","")</f>
        <v>self-employed</v>
      </c>
      <c r="D4231" s="3" t="str">
        <f aca="false">Raw_Data!C4231</f>
        <v>divorced</v>
      </c>
      <c r="E4231" s="3" t="str">
        <f aca="false">Raw_Data!D4231</f>
        <v>tertiary</v>
      </c>
      <c r="F4231" s="3" t="str">
        <f aca="false">Raw_Data!E4231</f>
        <v>no</v>
      </c>
      <c r="G4231" s="3" t="n">
        <f aca="false">Raw_Data!F4231</f>
        <v>6</v>
      </c>
      <c r="H4231" s="3" t="str">
        <f aca="false">Raw_Data!G4231</f>
        <v>yes</v>
      </c>
      <c r="I4231" s="3" t="str">
        <f aca="false">Raw_Data!H4231</f>
        <v>no</v>
      </c>
      <c r="J4231" s="2" t="n">
        <f aca="false">IF(F4231="yes",1,0)</f>
        <v>0</v>
      </c>
      <c r="K4231" s="2" t="n">
        <f aca="false">IF(H4231="yes",1,0)</f>
        <v>1</v>
      </c>
      <c r="L4231" s="2" t="n">
        <f aca="false">IF(I4231="yes",1,0)</f>
        <v>0</v>
      </c>
      <c r="M4231" s="2" t="n">
        <f aca="false">IF(G4231&lt;0,1,0)</f>
        <v>0</v>
      </c>
      <c r="N4231" s="2" t="str">
        <f aca="false">_xlfn.IFS(B4231&lt;30,"Under 30",B4231&lt;40,"30-39",B4231&lt;50,"40-49",B4231&lt;60,"50-59",TRUE(),"60+")</f>
        <v>60+</v>
      </c>
      <c r="O4231" s="2" t="str">
        <f aca="false">_xlfn.IFS(G4231&lt;0,"1 Negative",G4231=0,"2 Zero",G4231&lt;=500,"3 1-500",G4231&lt;=2000,"4 501-2000",TRUE(),"5 Above 2000")</f>
        <v>3 1-500</v>
      </c>
      <c r="P4231" s="2" t="n">
        <f aca="false">Lookups!$B$2*M4231+Lookups!$B$3*L4231</f>
        <v>0</v>
      </c>
      <c r="Q4231" s="2" t="str">
        <f aca="false">INDEX(Lookups!$E$2:$E$5,MATCH(P4231,Lookups!$D$2:$D$5,0))</f>
        <v>Low</v>
      </c>
    </row>
    <row r="4232" customFormat="false" ht="15" hidden="false" customHeight="false" outlineLevel="0" collapsed="false">
      <c r="A4232" s="3" t="n">
        <v>4231</v>
      </c>
      <c r="B4232" s="3" t="n">
        <f aca="false">Raw_Data!A4232</f>
        <v>37</v>
      </c>
      <c r="C4232" s="3" t="str">
        <f aca="false">SUBSTITUTE(Raw_Data!B4232,".","")</f>
        <v>management</v>
      </c>
      <c r="D4232" s="3" t="str">
        <f aca="false">Raw_Data!C4232</f>
        <v>married</v>
      </c>
      <c r="E4232" s="3" t="str">
        <f aca="false">Raw_Data!D4232</f>
        <v>tertiary</v>
      </c>
      <c r="F4232" s="3" t="str">
        <f aca="false">Raw_Data!E4232</f>
        <v>no</v>
      </c>
      <c r="G4232" s="3" t="n">
        <f aca="false">Raw_Data!F4232</f>
        <v>4039</v>
      </c>
      <c r="H4232" s="3" t="str">
        <f aca="false">Raw_Data!G4232</f>
        <v>no</v>
      </c>
      <c r="I4232" s="3" t="str">
        <f aca="false">Raw_Data!H4232</f>
        <v>yes</v>
      </c>
      <c r="J4232" s="2" t="n">
        <f aca="false">IF(F4232="yes",1,0)</f>
        <v>0</v>
      </c>
      <c r="K4232" s="2" t="n">
        <f aca="false">IF(H4232="yes",1,0)</f>
        <v>0</v>
      </c>
      <c r="L4232" s="2" t="n">
        <f aca="false">IF(I4232="yes",1,0)</f>
        <v>1</v>
      </c>
      <c r="M4232" s="2" t="n">
        <f aca="false">IF(G4232&lt;0,1,0)</f>
        <v>0</v>
      </c>
      <c r="N4232" s="2" t="str">
        <f aca="false">_xlfn.IFS(B4232&lt;30,"Under 30",B4232&lt;40,"30-39",B4232&lt;50,"40-49",B4232&lt;60,"50-59",TRUE(),"60+")</f>
        <v>30-39</v>
      </c>
      <c r="O4232" s="2" t="str">
        <f aca="false">_xlfn.IFS(G4232&lt;0,"1 Negative",G4232=0,"2 Zero",G4232&lt;=500,"3 1-500",G4232&lt;=2000,"4 501-2000",TRUE(),"5 Above 2000")</f>
        <v>5 Above 2000</v>
      </c>
      <c r="P4232" s="2" t="n">
        <f aca="false">Lookups!$B$2*M4232+Lookups!$B$3*L4232</f>
        <v>1</v>
      </c>
      <c r="Q4232" s="2" t="str">
        <f aca="false">INDEX(Lookups!$E$2:$E$5,MATCH(P4232,Lookups!$D$2:$D$5,0))</f>
        <v>Medium</v>
      </c>
    </row>
    <row r="4233" customFormat="false" ht="15" hidden="false" customHeight="false" outlineLevel="0" collapsed="false">
      <c r="A4233" s="3" t="n">
        <v>4232</v>
      </c>
      <c r="B4233" s="3" t="n">
        <f aca="false">Raw_Data!A4233</f>
        <v>39</v>
      </c>
      <c r="C4233" s="3" t="str">
        <f aca="false">SUBSTITUTE(Raw_Data!B4233,".","")</f>
        <v>services</v>
      </c>
      <c r="D4233" s="3" t="str">
        <f aca="false">Raw_Data!C4233</f>
        <v>divorced</v>
      </c>
      <c r="E4233" s="3" t="str">
        <f aca="false">Raw_Data!D4233</f>
        <v>secondary</v>
      </c>
      <c r="F4233" s="3" t="str">
        <f aca="false">Raw_Data!E4233</f>
        <v>no</v>
      </c>
      <c r="G4233" s="3" t="n">
        <f aca="false">Raw_Data!F4233</f>
        <v>687</v>
      </c>
      <c r="H4233" s="3" t="str">
        <f aca="false">Raw_Data!G4233</f>
        <v>yes</v>
      </c>
      <c r="I4233" s="3" t="str">
        <f aca="false">Raw_Data!H4233</f>
        <v>no</v>
      </c>
      <c r="J4233" s="2" t="n">
        <f aca="false">IF(F4233="yes",1,0)</f>
        <v>0</v>
      </c>
      <c r="K4233" s="2" t="n">
        <f aca="false">IF(H4233="yes",1,0)</f>
        <v>1</v>
      </c>
      <c r="L4233" s="2" t="n">
        <f aca="false">IF(I4233="yes",1,0)</f>
        <v>0</v>
      </c>
      <c r="M4233" s="2" t="n">
        <f aca="false">IF(G4233&lt;0,1,0)</f>
        <v>0</v>
      </c>
      <c r="N4233" s="2" t="str">
        <f aca="false">_xlfn.IFS(B4233&lt;30,"Under 30",B4233&lt;40,"30-39",B4233&lt;50,"40-49",B4233&lt;60,"50-59",TRUE(),"60+")</f>
        <v>30-39</v>
      </c>
      <c r="O4233" s="2" t="str">
        <f aca="false">_xlfn.IFS(G4233&lt;0,"1 Negative",G4233=0,"2 Zero",G4233&lt;=500,"3 1-500",G4233&lt;=2000,"4 501-2000",TRUE(),"5 Above 2000")</f>
        <v>4 501-2000</v>
      </c>
      <c r="P4233" s="2" t="n">
        <f aca="false">Lookups!$B$2*M4233+Lookups!$B$3*L4233</f>
        <v>0</v>
      </c>
      <c r="Q4233" s="2" t="str">
        <f aca="false">INDEX(Lookups!$E$2:$E$5,MATCH(P4233,Lookups!$D$2:$D$5,0))</f>
        <v>Low</v>
      </c>
    </row>
    <row r="4234" customFormat="false" ht="15" hidden="false" customHeight="false" outlineLevel="0" collapsed="false">
      <c r="A4234" s="3" t="n">
        <v>4233</v>
      </c>
      <c r="B4234" s="3" t="n">
        <f aca="false">Raw_Data!A4234</f>
        <v>38</v>
      </c>
      <c r="C4234" s="3" t="str">
        <f aca="false">SUBSTITUTE(Raw_Data!B4234,".","")</f>
        <v>technician</v>
      </c>
      <c r="D4234" s="3" t="str">
        <f aca="false">Raw_Data!C4234</f>
        <v>single</v>
      </c>
      <c r="E4234" s="3" t="str">
        <f aca="false">Raw_Data!D4234</f>
        <v>secondary</v>
      </c>
      <c r="F4234" s="3" t="str">
        <f aca="false">Raw_Data!E4234</f>
        <v>no</v>
      </c>
      <c r="G4234" s="3" t="n">
        <f aca="false">Raw_Data!F4234</f>
        <v>-242</v>
      </c>
      <c r="H4234" s="3" t="str">
        <f aca="false">Raw_Data!G4234</f>
        <v>yes</v>
      </c>
      <c r="I4234" s="3" t="str">
        <f aca="false">Raw_Data!H4234</f>
        <v>no</v>
      </c>
      <c r="J4234" s="2" t="n">
        <f aca="false">IF(F4234="yes",1,0)</f>
        <v>0</v>
      </c>
      <c r="K4234" s="2" t="n">
        <f aca="false">IF(H4234="yes",1,0)</f>
        <v>1</v>
      </c>
      <c r="L4234" s="2" t="n">
        <f aca="false">IF(I4234="yes",1,0)</f>
        <v>0</v>
      </c>
      <c r="M4234" s="2" t="n">
        <f aca="false">IF(G4234&lt;0,1,0)</f>
        <v>1</v>
      </c>
      <c r="N4234" s="2" t="str">
        <f aca="false">_xlfn.IFS(B4234&lt;30,"Under 30",B4234&lt;40,"30-39",B4234&lt;50,"40-49",B4234&lt;60,"50-59",TRUE(),"60+")</f>
        <v>30-39</v>
      </c>
      <c r="O4234" s="2" t="str">
        <f aca="false">_xlfn.IFS(G4234&lt;0,"1 Negative",G4234=0,"2 Zero",G4234&lt;=500,"3 1-500",G4234&lt;=2000,"4 501-2000",TRUE(),"5 Above 2000")</f>
        <v>1 Negative</v>
      </c>
      <c r="P4234" s="2" t="n">
        <f aca="false">Lookups!$B$2*M4234+Lookups!$B$3*L4234</f>
        <v>2</v>
      </c>
      <c r="Q4234" s="2" t="str">
        <f aca="false">INDEX(Lookups!$E$2:$E$5,MATCH(P4234,Lookups!$D$2:$D$5,0))</f>
        <v>High</v>
      </c>
    </row>
    <row r="4235" customFormat="false" ht="15" hidden="false" customHeight="false" outlineLevel="0" collapsed="false">
      <c r="A4235" s="3" t="n">
        <v>4234</v>
      </c>
      <c r="B4235" s="3" t="n">
        <f aca="false">Raw_Data!A4235</f>
        <v>31</v>
      </c>
      <c r="C4235" s="3" t="str">
        <f aca="false">SUBSTITUTE(Raw_Data!B4235,".","")</f>
        <v>management</v>
      </c>
      <c r="D4235" s="3" t="str">
        <f aca="false">Raw_Data!C4235</f>
        <v>married</v>
      </c>
      <c r="E4235" s="3" t="str">
        <f aca="false">Raw_Data!D4235</f>
        <v>tertiary</v>
      </c>
      <c r="F4235" s="3" t="str">
        <f aca="false">Raw_Data!E4235</f>
        <v>no</v>
      </c>
      <c r="G4235" s="3" t="n">
        <f aca="false">Raw_Data!F4235</f>
        <v>582</v>
      </c>
      <c r="H4235" s="3" t="str">
        <f aca="false">Raw_Data!G4235</f>
        <v>yes</v>
      </c>
      <c r="I4235" s="3" t="str">
        <f aca="false">Raw_Data!H4235</f>
        <v>no</v>
      </c>
      <c r="J4235" s="2" t="n">
        <f aca="false">IF(F4235="yes",1,0)</f>
        <v>0</v>
      </c>
      <c r="K4235" s="2" t="n">
        <f aca="false">IF(H4235="yes",1,0)</f>
        <v>1</v>
      </c>
      <c r="L4235" s="2" t="n">
        <f aca="false">IF(I4235="yes",1,0)</f>
        <v>0</v>
      </c>
      <c r="M4235" s="2" t="n">
        <f aca="false">IF(G4235&lt;0,1,0)</f>
        <v>0</v>
      </c>
      <c r="N4235" s="2" t="str">
        <f aca="false">_xlfn.IFS(B4235&lt;30,"Under 30",B4235&lt;40,"30-39",B4235&lt;50,"40-49",B4235&lt;60,"50-59",TRUE(),"60+")</f>
        <v>30-39</v>
      </c>
      <c r="O4235" s="2" t="str">
        <f aca="false">_xlfn.IFS(G4235&lt;0,"1 Negative",G4235=0,"2 Zero",G4235&lt;=500,"3 1-500",G4235&lt;=2000,"4 501-2000",TRUE(),"5 Above 2000")</f>
        <v>4 501-2000</v>
      </c>
      <c r="P4235" s="2" t="n">
        <f aca="false">Lookups!$B$2*M4235+Lookups!$B$3*L4235</f>
        <v>0</v>
      </c>
      <c r="Q4235" s="2" t="str">
        <f aca="false">INDEX(Lookups!$E$2:$E$5,MATCH(P4235,Lookups!$D$2:$D$5,0))</f>
        <v>Low</v>
      </c>
    </row>
    <row r="4236" customFormat="false" ht="15" hidden="false" customHeight="false" outlineLevel="0" collapsed="false">
      <c r="A4236" s="3" t="n">
        <v>4235</v>
      </c>
      <c r="B4236" s="3" t="n">
        <f aca="false">Raw_Data!A4236</f>
        <v>58</v>
      </c>
      <c r="C4236" s="3" t="str">
        <f aca="false">SUBSTITUTE(Raw_Data!B4236,".","")</f>
        <v>blue-collar</v>
      </c>
      <c r="D4236" s="3" t="str">
        <f aca="false">Raw_Data!C4236</f>
        <v>divorced</v>
      </c>
      <c r="E4236" s="3" t="str">
        <f aca="false">Raw_Data!D4236</f>
        <v>primary</v>
      </c>
      <c r="F4236" s="3" t="str">
        <f aca="false">Raw_Data!E4236</f>
        <v>no</v>
      </c>
      <c r="G4236" s="3" t="n">
        <f aca="false">Raw_Data!F4236</f>
        <v>8218</v>
      </c>
      <c r="H4236" s="3" t="str">
        <f aca="false">Raw_Data!G4236</f>
        <v>yes</v>
      </c>
      <c r="I4236" s="3" t="str">
        <f aca="false">Raw_Data!H4236</f>
        <v>no</v>
      </c>
      <c r="J4236" s="2" t="n">
        <f aca="false">IF(F4236="yes",1,0)</f>
        <v>0</v>
      </c>
      <c r="K4236" s="2" t="n">
        <f aca="false">IF(H4236="yes",1,0)</f>
        <v>1</v>
      </c>
      <c r="L4236" s="2" t="n">
        <f aca="false">IF(I4236="yes",1,0)</f>
        <v>0</v>
      </c>
      <c r="M4236" s="2" t="n">
        <f aca="false">IF(G4236&lt;0,1,0)</f>
        <v>0</v>
      </c>
      <c r="N4236" s="2" t="str">
        <f aca="false">_xlfn.IFS(B4236&lt;30,"Under 30",B4236&lt;40,"30-39",B4236&lt;50,"40-49",B4236&lt;60,"50-59",TRUE(),"60+")</f>
        <v>50-59</v>
      </c>
      <c r="O4236" s="2" t="str">
        <f aca="false">_xlfn.IFS(G4236&lt;0,"1 Negative",G4236=0,"2 Zero",G4236&lt;=500,"3 1-500",G4236&lt;=2000,"4 501-2000",TRUE(),"5 Above 2000")</f>
        <v>5 Above 2000</v>
      </c>
      <c r="P4236" s="2" t="n">
        <f aca="false">Lookups!$B$2*M4236+Lookups!$B$3*L4236</f>
        <v>0</v>
      </c>
      <c r="Q4236" s="2" t="str">
        <f aca="false">INDEX(Lookups!$E$2:$E$5,MATCH(P4236,Lookups!$D$2:$D$5,0))</f>
        <v>Low</v>
      </c>
    </row>
    <row r="4237" customFormat="false" ht="15" hidden="false" customHeight="false" outlineLevel="0" collapsed="false">
      <c r="A4237" s="3" t="n">
        <v>4236</v>
      </c>
      <c r="B4237" s="3" t="n">
        <f aca="false">Raw_Data!A4237</f>
        <v>44</v>
      </c>
      <c r="C4237" s="3" t="str">
        <f aca="false">SUBSTITUTE(Raw_Data!B4237,".","")</f>
        <v>management</v>
      </c>
      <c r="D4237" s="3" t="str">
        <f aca="false">Raw_Data!C4237</f>
        <v>single</v>
      </c>
      <c r="E4237" s="3" t="str">
        <f aca="false">Raw_Data!D4237</f>
        <v>tertiary</v>
      </c>
      <c r="F4237" s="3" t="str">
        <f aca="false">Raw_Data!E4237</f>
        <v>no</v>
      </c>
      <c r="G4237" s="3" t="n">
        <f aca="false">Raw_Data!F4237</f>
        <v>1424</v>
      </c>
      <c r="H4237" s="3" t="str">
        <f aca="false">Raw_Data!G4237</f>
        <v>yes</v>
      </c>
      <c r="I4237" s="3" t="str">
        <f aca="false">Raw_Data!H4237</f>
        <v>no</v>
      </c>
      <c r="J4237" s="2" t="n">
        <f aca="false">IF(F4237="yes",1,0)</f>
        <v>0</v>
      </c>
      <c r="K4237" s="2" t="n">
        <f aca="false">IF(H4237="yes",1,0)</f>
        <v>1</v>
      </c>
      <c r="L4237" s="2" t="n">
        <f aca="false">IF(I4237="yes",1,0)</f>
        <v>0</v>
      </c>
      <c r="M4237" s="2" t="n">
        <f aca="false">IF(G4237&lt;0,1,0)</f>
        <v>0</v>
      </c>
      <c r="N4237" s="2" t="str">
        <f aca="false">_xlfn.IFS(B4237&lt;30,"Under 30",B4237&lt;40,"30-39",B4237&lt;50,"40-49",B4237&lt;60,"50-59",TRUE(),"60+")</f>
        <v>40-49</v>
      </c>
      <c r="O4237" s="2" t="str">
        <f aca="false">_xlfn.IFS(G4237&lt;0,"1 Negative",G4237=0,"2 Zero",G4237&lt;=500,"3 1-500",G4237&lt;=2000,"4 501-2000",TRUE(),"5 Above 2000")</f>
        <v>4 501-2000</v>
      </c>
      <c r="P4237" s="2" t="n">
        <f aca="false">Lookups!$B$2*M4237+Lookups!$B$3*L4237</f>
        <v>0</v>
      </c>
      <c r="Q4237" s="2" t="str">
        <f aca="false">INDEX(Lookups!$E$2:$E$5,MATCH(P4237,Lookups!$D$2:$D$5,0))</f>
        <v>Low</v>
      </c>
    </row>
    <row r="4238" customFormat="false" ht="15" hidden="false" customHeight="false" outlineLevel="0" collapsed="false">
      <c r="A4238" s="3" t="n">
        <v>4237</v>
      </c>
      <c r="B4238" s="3" t="n">
        <f aca="false">Raw_Data!A4238</f>
        <v>31</v>
      </c>
      <c r="C4238" s="3" t="str">
        <f aca="false">SUBSTITUTE(Raw_Data!B4238,".","")</f>
        <v>blue-collar</v>
      </c>
      <c r="D4238" s="3" t="str">
        <f aca="false">Raw_Data!C4238</f>
        <v>married</v>
      </c>
      <c r="E4238" s="3" t="str">
        <f aca="false">Raw_Data!D4238</f>
        <v>secondary</v>
      </c>
      <c r="F4238" s="3" t="str">
        <f aca="false">Raw_Data!E4238</f>
        <v>no</v>
      </c>
      <c r="G4238" s="3" t="n">
        <f aca="false">Raw_Data!F4238</f>
        <v>92</v>
      </c>
      <c r="H4238" s="3" t="str">
        <f aca="false">Raw_Data!G4238</f>
        <v>yes</v>
      </c>
      <c r="I4238" s="3" t="str">
        <f aca="false">Raw_Data!H4238</f>
        <v>no</v>
      </c>
      <c r="J4238" s="2" t="n">
        <f aca="false">IF(F4238="yes",1,0)</f>
        <v>0</v>
      </c>
      <c r="K4238" s="2" t="n">
        <f aca="false">IF(H4238="yes",1,0)</f>
        <v>1</v>
      </c>
      <c r="L4238" s="2" t="n">
        <f aca="false">IF(I4238="yes",1,0)</f>
        <v>0</v>
      </c>
      <c r="M4238" s="2" t="n">
        <f aca="false">IF(G4238&lt;0,1,0)</f>
        <v>0</v>
      </c>
      <c r="N4238" s="2" t="str">
        <f aca="false">_xlfn.IFS(B4238&lt;30,"Under 30",B4238&lt;40,"30-39",B4238&lt;50,"40-49",B4238&lt;60,"50-59",TRUE(),"60+")</f>
        <v>30-39</v>
      </c>
      <c r="O4238" s="2" t="str">
        <f aca="false">_xlfn.IFS(G4238&lt;0,"1 Negative",G4238=0,"2 Zero",G4238&lt;=500,"3 1-500",G4238&lt;=2000,"4 501-2000",TRUE(),"5 Above 2000")</f>
        <v>3 1-500</v>
      </c>
      <c r="P4238" s="2" t="n">
        <f aca="false">Lookups!$B$2*M4238+Lookups!$B$3*L4238</f>
        <v>0</v>
      </c>
      <c r="Q4238" s="2" t="str">
        <f aca="false">INDEX(Lookups!$E$2:$E$5,MATCH(P4238,Lookups!$D$2:$D$5,0))</f>
        <v>Low</v>
      </c>
    </row>
    <row r="4239" customFormat="false" ht="15" hidden="false" customHeight="false" outlineLevel="0" collapsed="false">
      <c r="A4239" s="3" t="n">
        <v>4238</v>
      </c>
      <c r="B4239" s="3" t="n">
        <f aca="false">Raw_Data!A4239</f>
        <v>33</v>
      </c>
      <c r="C4239" s="3" t="str">
        <f aca="false">SUBSTITUTE(Raw_Data!B4239,".","")</f>
        <v>technician</v>
      </c>
      <c r="D4239" s="3" t="str">
        <f aca="false">Raw_Data!C4239</f>
        <v>single</v>
      </c>
      <c r="E4239" s="3" t="str">
        <f aca="false">Raw_Data!D4239</f>
        <v>secondary</v>
      </c>
      <c r="F4239" s="3" t="str">
        <f aca="false">Raw_Data!E4239</f>
        <v>no</v>
      </c>
      <c r="G4239" s="3" t="n">
        <f aca="false">Raw_Data!F4239</f>
        <v>2085</v>
      </c>
      <c r="H4239" s="3" t="str">
        <f aca="false">Raw_Data!G4239</f>
        <v>no</v>
      </c>
      <c r="I4239" s="3" t="str">
        <f aca="false">Raw_Data!H4239</f>
        <v>no</v>
      </c>
      <c r="J4239" s="2" t="n">
        <f aca="false">IF(F4239="yes",1,0)</f>
        <v>0</v>
      </c>
      <c r="K4239" s="2" t="n">
        <f aca="false">IF(H4239="yes",1,0)</f>
        <v>0</v>
      </c>
      <c r="L4239" s="2" t="n">
        <f aca="false">IF(I4239="yes",1,0)</f>
        <v>0</v>
      </c>
      <c r="M4239" s="2" t="n">
        <f aca="false">IF(G4239&lt;0,1,0)</f>
        <v>0</v>
      </c>
      <c r="N4239" s="2" t="str">
        <f aca="false">_xlfn.IFS(B4239&lt;30,"Under 30",B4239&lt;40,"30-39",B4239&lt;50,"40-49",B4239&lt;60,"50-59",TRUE(),"60+")</f>
        <v>30-39</v>
      </c>
      <c r="O4239" s="2" t="str">
        <f aca="false">_xlfn.IFS(G4239&lt;0,"1 Negative",G4239=0,"2 Zero",G4239&lt;=500,"3 1-500",G4239&lt;=2000,"4 501-2000",TRUE(),"5 Above 2000")</f>
        <v>5 Above 2000</v>
      </c>
      <c r="P4239" s="2" t="n">
        <f aca="false">Lookups!$B$2*M4239+Lookups!$B$3*L4239</f>
        <v>0</v>
      </c>
      <c r="Q4239" s="2" t="str">
        <f aca="false">INDEX(Lookups!$E$2:$E$5,MATCH(P4239,Lookups!$D$2:$D$5,0))</f>
        <v>Low</v>
      </c>
    </row>
    <row r="4240" customFormat="false" ht="15" hidden="false" customHeight="false" outlineLevel="0" collapsed="false">
      <c r="A4240" s="3" t="n">
        <v>4239</v>
      </c>
      <c r="B4240" s="3" t="n">
        <f aca="false">Raw_Data!A4240</f>
        <v>36</v>
      </c>
      <c r="C4240" s="3" t="str">
        <f aca="false">SUBSTITUTE(Raw_Data!B4240,".","")</f>
        <v>technician</v>
      </c>
      <c r="D4240" s="3" t="str">
        <f aca="false">Raw_Data!C4240</f>
        <v>single</v>
      </c>
      <c r="E4240" s="3" t="str">
        <f aca="false">Raw_Data!D4240</f>
        <v>tertiary</v>
      </c>
      <c r="F4240" s="3" t="str">
        <f aca="false">Raw_Data!E4240</f>
        <v>no</v>
      </c>
      <c r="G4240" s="3" t="n">
        <f aca="false">Raw_Data!F4240</f>
        <v>197</v>
      </c>
      <c r="H4240" s="3" t="str">
        <f aca="false">Raw_Data!G4240</f>
        <v>no</v>
      </c>
      <c r="I4240" s="3" t="str">
        <f aca="false">Raw_Data!H4240</f>
        <v>no</v>
      </c>
      <c r="J4240" s="2" t="n">
        <f aca="false">IF(F4240="yes",1,0)</f>
        <v>0</v>
      </c>
      <c r="K4240" s="2" t="n">
        <f aca="false">IF(H4240="yes",1,0)</f>
        <v>0</v>
      </c>
      <c r="L4240" s="2" t="n">
        <f aca="false">IF(I4240="yes",1,0)</f>
        <v>0</v>
      </c>
      <c r="M4240" s="2" t="n">
        <f aca="false">IF(G4240&lt;0,1,0)</f>
        <v>0</v>
      </c>
      <c r="N4240" s="2" t="str">
        <f aca="false">_xlfn.IFS(B4240&lt;30,"Under 30",B4240&lt;40,"30-39",B4240&lt;50,"40-49",B4240&lt;60,"50-59",TRUE(),"60+")</f>
        <v>30-39</v>
      </c>
      <c r="O4240" s="2" t="str">
        <f aca="false">_xlfn.IFS(G4240&lt;0,"1 Negative",G4240=0,"2 Zero",G4240&lt;=500,"3 1-500",G4240&lt;=2000,"4 501-2000",TRUE(),"5 Above 2000")</f>
        <v>3 1-500</v>
      </c>
      <c r="P4240" s="2" t="n">
        <f aca="false">Lookups!$B$2*M4240+Lookups!$B$3*L4240</f>
        <v>0</v>
      </c>
      <c r="Q4240" s="2" t="str">
        <f aca="false">INDEX(Lookups!$E$2:$E$5,MATCH(P4240,Lookups!$D$2:$D$5,0))</f>
        <v>Low</v>
      </c>
    </row>
    <row r="4241" customFormat="false" ht="15" hidden="false" customHeight="false" outlineLevel="0" collapsed="false">
      <c r="A4241" s="3" t="n">
        <v>4240</v>
      </c>
      <c r="B4241" s="3" t="n">
        <f aca="false">Raw_Data!A4241</f>
        <v>31</v>
      </c>
      <c r="C4241" s="3" t="str">
        <f aca="false">SUBSTITUTE(Raw_Data!B4241,".","")</f>
        <v>technician</v>
      </c>
      <c r="D4241" s="3" t="str">
        <f aca="false">Raw_Data!C4241</f>
        <v>single</v>
      </c>
      <c r="E4241" s="3" t="str">
        <f aca="false">Raw_Data!D4241</f>
        <v>secondary</v>
      </c>
      <c r="F4241" s="3" t="str">
        <f aca="false">Raw_Data!E4241</f>
        <v>no</v>
      </c>
      <c r="G4241" s="3" t="n">
        <f aca="false">Raw_Data!F4241</f>
        <v>2305</v>
      </c>
      <c r="H4241" s="3" t="str">
        <f aca="false">Raw_Data!G4241</f>
        <v>no</v>
      </c>
      <c r="I4241" s="3" t="str">
        <f aca="false">Raw_Data!H4241</f>
        <v>no</v>
      </c>
      <c r="J4241" s="2" t="n">
        <f aca="false">IF(F4241="yes",1,0)</f>
        <v>0</v>
      </c>
      <c r="K4241" s="2" t="n">
        <f aca="false">IF(H4241="yes",1,0)</f>
        <v>0</v>
      </c>
      <c r="L4241" s="2" t="n">
        <f aca="false">IF(I4241="yes",1,0)</f>
        <v>0</v>
      </c>
      <c r="M4241" s="2" t="n">
        <f aca="false">IF(G4241&lt;0,1,0)</f>
        <v>0</v>
      </c>
      <c r="N4241" s="2" t="str">
        <f aca="false">_xlfn.IFS(B4241&lt;30,"Under 30",B4241&lt;40,"30-39",B4241&lt;50,"40-49",B4241&lt;60,"50-59",TRUE(),"60+")</f>
        <v>30-39</v>
      </c>
      <c r="O4241" s="2" t="str">
        <f aca="false">_xlfn.IFS(G4241&lt;0,"1 Negative",G4241=0,"2 Zero",G4241&lt;=500,"3 1-500",G4241&lt;=2000,"4 501-2000",TRUE(),"5 Above 2000")</f>
        <v>5 Above 2000</v>
      </c>
      <c r="P4241" s="2" t="n">
        <f aca="false">Lookups!$B$2*M4241+Lookups!$B$3*L4241</f>
        <v>0</v>
      </c>
      <c r="Q4241" s="2" t="str">
        <f aca="false">INDEX(Lookups!$E$2:$E$5,MATCH(P4241,Lookups!$D$2:$D$5,0))</f>
        <v>Low</v>
      </c>
    </row>
    <row r="4242" customFormat="false" ht="15" hidden="false" customHeight="false" outlineLevel="0" collapsed="false">
      <c r="A4242" s="3" t="n">
        <v>4241</v>
      </c>
      <c r="B4242" s="3" t="n">
        <f aca="false">Raw_Data!A4242</f>
        <v>45</v>
      </c>
      <c r="C4242" s="3" t="str">
        <f aca="false">SUBSTITUTE(Raw_Data!B4242,".","")</f>
        <v>admin</v>
      </c>
      <c r="D4242" s="3" t="str">
        <f aca="false">Raw_Data!C4242</f>
        <v>married</v>
      </c>
      <c r="E4242" s="3" t="str">
        <f aca="false">Raw_Data!D4242</f>
        <v>secondary</v>
      </c>
      <c r="F4242" s="3" t="str">
        <f aca="false">Raw_Data!E4242</f>
        <v>no</v>
      </c>
      <c r="G4242" s="3" t="n">
        <f aca="false">Raw_Data!F4242</f>
        <v>-547</v>
      </c>
      <c r="H4242" s="3" t="str">
        <f aca="false">Raw_Data!G4242</f>
        <v>yes</v>
      </c>
      <c r="I4242" s="3" t="str">
        <f aca="false">Raw_Data!H4242</f>
        <v>no</v>
      </c>
      <c r="J4242" s="2" t="n">
        <f aca="false">IF(F4242="yes",1,0)</f>
        <v>0</v>
      </c>
      <c r="K4242" s="2" t="n">
        <f aca="false">IF(H4242="yes",1,0)</f>
        <v>1</v>
      </c>
      <c r="L4242" s="2" t="n">
        <f aca="false">IF(I4242="yes",1,0)</f>
        <v>0</v>
      </c>
      <c r="M4242" s="2" t="n">
        <f aca="false">IF(G4242&lt;0,1,0)</f>
        <v>1</v>
      </c>
      <c r="N4242" s="2" t="str">
        <f aca="false">_xlfn.IFS(B4242&lt;30,"Under 30",B4242&lt;40,"30-39",B4242&lt;50,"40-49",B4242&lt;60,"50-59",TRUE(),"60+")</f>
        <v>40-49</v>
      </c>
      <c r="O4242" s="2" t="str">
        <f aca="false">_xlfn.IFS(G4242&lt;0,"1 Negative",G4242=0,"2 Zero",G4242&lt;=500,"3 1-500",G4242&lt;=2000,"4 501-2000",TRUE(),"5 Above 2000")</f>
        <v>1 Negative</v>
      </c>
      <c r="P4242" s="2" t="n">
        <f aca="false">Lookups!$B$2*M4242+Lookups!$B$3*L4242</f>
        <v>2</v>
      </c>
      <c r="Q4242" s="2" t="str">
        <f aca="false">INDEX(Lookups!$E$2:$E$5,MATCH(P4242,Lookups!$D$2:$D$5,0))</f>
        <v>High</v>
      </c>
    </row>
    <row r="4243" customFormat="false" ht="15" hidden="false" customHeight="false" outlineLevel="0" collapsed="false">
      <c r="A4243" s="3" t="n">
        <v>4242</v>
      </c>
      <c r="B4243" s="3" t="n">
        <f aca="false">Raw_Data!A4243</f>
        <v>30</v>
      </c>
      <c r="C4243" s="3" t="str">
        <f aca="false">SUBSTITUTE(Raw_Data!B4243,".","")</f>
        <v>technician</v>
      </c>
      <c r="D4243" s="3" t="str">
        <f aca="false">Raw_Data!C4243</f>
        <v>single</v>
      </c>
      <c r="E4243" s="3" t="str">
        <f aca="false">Raw_Data!D4243</f>
        <v>tertiary</v>
      </c>
      <c r="F4243" s="3" t="str">
        <f aca="false">Raw_Data!E4243</f>
        <v>no</v>
      </c>
      <c r="G4243" s="3" t="n">
        <f aca="false">Raw_Data!F4243</f>
        <v>411</v>
      </c>
      <c r="H4243" s="3" t="str">
        <f aca="false">Raw_Data!G4243</f>
        <v>no</v>
      </c>
      <c r="I4243" s="3" t="str">
        <f aca="false">Raw_Data!H4243</f>
        <v>no</v>
      </c>
      <c r="J4243" s="2" t="n">
        <f aca="false">IF(F4243="yes",1,0)</f>
        <v>0</v>
      </c>
      <c r="K4243" s="2" t="n">
        <f aca="false">IF(H4243="yes",1,0)</f>
        <v>0</v>
      </c>
      <c r="L4243" s="2" t="n">
        <f aca="false">IF(I4243="yes",1,0)</f>
        <v>0</v>
      </c>
      <c r="M4243" s="2" t="n">
        <f aca="false">IF(G4243&lt;0,1,0)</f>
        <v>0</v>
      </c>
      <c r="N4243" s="2" t="str">
        <f aca="false">_xlfn.IFS(B4243&lt;30,"Under 30",B4243&lt;40,"30-39",B4243&lt;50,"40-49",B4243&lt;60,"50-59",TRUE(),"60+")</f>
        <v>30-39</v>
      </c>
      <c r="O4243" s="2" t="str">
        <f aca="false">_xlfn.IFS(G4243&lt;0,"1 Negative",G4243=0,"2 Zero",G4243&lt;=500,"3 1-500",G4243&lt;=2000,"4 501-2000",TRUE(),"5 Above 2000")</f>
        <v>3 1-500</v>
      </c>
      <c r="P4243" s="2" t="n">
        <f aca="false">Lookups!$B$2*M4243+Lookups!$B$3*L4243</f>
        <v>0</v>
      </c>
      <c r="Q4243" s="2" t="str">
        <f aca="false">INDEX(Lookups!$E$2:$E$5,MATCH(P4243,Lookups!$D$2:$D$5,0))</f>
        <v>Low</v>
      </c>
    </row>
    <row r="4244" customFormat="false" ht="15" hidden="false" customHeight="false" outlineLevel="0" collapsed="false">
      <c r="A4244" s="3" t="n">
        <v>4243</v>
      </c>
      <c r="B4244" s="3" t="n">
        <f aca="false">Raw_Data!A4244</f>
        <v>34</v>
      </c>
      <c r="C4244" s="3" t="str">
        <f aca="false">SUBSTITUTE(Raw_Data!B4244,".","")</f>
        <v>blue-collar</v>
      </c>
      <c r="D4244" s="3" t="str">
        <f aca="false">Raw_Data!C4244</f>
        <v>married</v>
      </c>
      <c r="E4244" s="3" t="str">
        <f aca="false">Raw_Data!D4244</f>
        <v>secondary</v>
      </c>
      <c r="F4244" s="3" t="str">
        <f aca="false">Raw_Data!E4244</f>
        <v>no</v>
      </c>
      <c r="G4244" s="3" t="n">
        <f aca="false">Raw_Data!F4244</f>
        <v>584</v>
      </c>
      <c r="H4244" s="3" t="str">
        <f aca="false">Raw_Data!G4244</f>
        <v>yes</v>
      </c>
      <c r="I4244" s="3" t="str">
        <f aca="false">Raw_Data!H4244</f>
        <v>no</v>
      </c>
      <c r="J4244" s="2" t="n">
        <f aca="false">IF(F4244="yes",1,0)</f>
        <v>0</v>
      </c>
      <c r="K4244" s="2" t="n">
        <f aca="false">IF(H4244="yes",1,0)</f>
        <v>1</v>
      </c>
      <c r="L4244" s="2" t="n">
        <f aca="false">IF(I4244="yes",1,0)</f>
        <v>0</v>
      </c>
      <c r="M4244" s="2" t="n">
        <f aca="false">IF(G4244&lt;0,1,0)</f>
        <v>0</v>
      </c>
      <c r="N4244" s="2" t="str">
        <f aca="false">_xlfn.IFS(B4244&lt;30,"Under 30",B4244&lt;40,"30-39",B4244&lt;50,"40-49",B4244&lt;60,"50-59",TRUE(),"60+")</f>
        <v>30-39</v>
      </c>
      <c r="O4244" s="2" t="str">
        <f aca="false">_xlfn.IFS(G4244&lt;0,"1 Negative",G4244=0,"2 Zero",G4244&lt;=500,"3 1-500",G4244&lt;=2000,"4 501-2000",TRUE(),"5 Above 2000")</f>
        <v>4 501-2000</v>
      </c>
      <c r="P4244" s="2" t="n">
        <f aca="false">Lookups!$B$2*M4244+Lookups!$B$3*L4244</f>
        <v>0</v>
      </c>
      <c r="Q4244" s="2" t="str">
        <f aca="false">INDEX(Lookups!$E$2:$E$5,MATCH(P4244,Lookups!$D$2:$D$5,0))</f>
        <v>Low</v>
      </c>
    </row>
    <row r="4245" customFormat="false" ht="15" hidden="false" customHeight="false" outlineLevel="0" collapsed="false">
      <c r="A4245" s="3" t="n">
        <v>4244</v>
      </c>
      <c r="B4245" s="3" t="n">
        <f aca="false">Raw_Data!A4245</f>
        <v>34</v>
      </c>
      <c r="C4245" s="3" t="str">
        <f aca="false">SUBSTITUTE(Raw_Data!B4245,".","")</f>
        <v>management</v>
      </c>
      <c r="D4245" s="3" t="str">
        <f aca="false">Raw_Data!C4245</f>
        <v>married</v>
      </c>
      <c r="E4245" s="3" t="str">
        <f aca="false">Raw_Data!D4245</f>
        <v>tertiary</v>
      </c>
      <c r="F4245" s="3" t="str">
        <f aca="false">Raw_Data!E4245</f>
        <v>no</v>
      </c>
      <c r="G4245" s="3" t="n">
        <f aca="false">Raw_Data!F4245</f>
        <v>997</v>
      </c>
      <c r="H4245" s="3" t="str">
        <f aca="false">Raw_Data!G4245</f>
        <v>yes</v>
      </c>
      <c r="I4245" s="3" t="str">
        <f aca="false">Raw_Data!H4245</f>
        <v>yes</v>
      </c>
      <c r="J4245" s="2" t="n">
        <f aca="false">IF(F4245="yes",1,0)</f>
        <v>0</v>
      </c>
      <c r="K4245" s="2" t="n">
        <f aca="false">IF(H4245="yes",1,0)</f>
        <v>1</v>
      </c>
      <c r="L4245" s="2" t="n">
        <f aca="false">IF(I4245="yes",1,0)</f>
        <v>1</v>
      </c>
      <c r="M4245" s="2" t="n">
        <f aca="false">IF(G4245&lt;0,1,0)</f>
        <v>0</v>
      </c>
      <c r="N4245" s="2" t="str">
        <f aca="false">_xlfn.IFS(B4245&lt;30,"Under 30",B4245&lt;40,"30-39",B4245&lt;50,"40-49",B4245&lt;60,"50-59",TRUE(),"60+")</f>
        <v>30-39</v>
      </c>
      <c r="O4245" s="2" t="str">
        <f aca="false">_xlfn.IFS(G4245&lt;0,"1 Negative",G4245=0,"2 Zero",G4245&lt;=500,"3 1-500",G4245&lt;=2000,"4 501-2000",TRUE(),"5 Above 2000")</f>
        <v>4 501-2000</v>
      </c>
      <c r="P4245" s="2" t="n">
        <f aca="false">Lookups!$B$2*M4245+Lookups!$B$3*L4245</f>
        <v>1</v>
      </c>
      <c r="Q4245" s="2" t="str">
        <f aca="false">INDEX(Lookups!$E$2:$E$5,MATCH(P4245,Lookups!$D$2:$D$5,0))</f>
        <v>Medium</v>
      </c>
    </row>
    <row r="4246" customFormat="false" ht="15" hidden="false" customHeight="false" outlineLevel="0" collapsed="false">
      <c r="A4246" s="3" t="n">
        <v>4245</v>
      </c>
      <c r="B4246" s="3" t="n">
        <f aca="false">Raw_Data!A4246</f>
        <v>39</v>
      </c>
      <c r="C4246" s="3" t="str">
        <f aca="false">SUBSTITUTE(Raw_Data!B4246,".","")</f>
        <v>admin</v>
      </c>
      <c r="D4246" s="3" t="str">
        <f aca="false">Raw_Data!C4246</f>
        <v>divorced</v>
      </c>
      <c r="E4246" s="3" t="str">
        <f aca="false">Raw_Data!D4246</f>
        <v>secondary</v>
      </c>
      <c r="F4246" s="3" t="str">
        <f aca="false">Raw_Data!E4246</f>
        <v>no</v>
      </c>
      <c r="G4246" s="3" t="n">
        <f aca="false">Raw_Data!F4246</f>
        <v>83</v>
      </c>
      <c r="H4246" s="3" t="str">
        <f aca="false">Raw_Data!G4246</f>
        <v>yes</v>
      </c>
      <c r="I4246" s="3" t="str">
        <f aca="false">Raw_Data!H4246</f>
        <v>no</v>
      </c>
      <c r="J4246" s="2" t="n">
        <f aca="false">IF(F4246="yes",1,0)</f>
        <v>0</v>
      </c>
      <c r="K4246" s="2" t="n">
        <f aca="false">IF(H4246="yes",1,0)</f>
        <v>1</v>
      </c>
      <c r="L4246" s="2" t="n">
        <f aca="false">IF(I4246="yes",1,0)</f>
        <v>0</v>
      </c>
      <c r="M4246" s="2" t="n">
        <f aca="false">IF(G4246&lt;0,1,0)</f>
        <v>0</v>
      </c>
      <c r="N4246" s="2" t="str">
        <f aca="false">_xlfn.IFS(B4246&lt;30,"Under 30",B4246&lt;40,"30-39",B4246&lt;50,"40-49",B4246&lt;60,"50-59",TRUE(),"60+")</f>
        <v>30-39</v>
      </c>
      <c r="O4246" s="2" t="str">
        <f aca="false">_xlfn.IFS(G4246&lt;0,"1 Negative",G4246=0,"2 Zero",G4246&lt;=500,"3 1-500",G4246&lt;=2000,"4 501-2000",TRUE(),"5 Above 2000")</f>
        <v>3 1-500</v>
      </c>
      <c r="P4246" s="2" t="n">
        <f aca="false">Lookups!$B$2*M4246+Lookups!$B$3*L4246</f>
        <v>0</v>
      </c>
      <c r="Q4246" s="2" t="str">
        <f aca="false">INDEX(Lookups!$E$2:$E$5,MATCH(P4246,Lookups!$D$2:$D$5,0))</f>
        <v>Low</v>
      </c>
    </row>
    <row r="4247" customFormat="false" ht="15" hidden="false" customHeight="false" outlineLevel="0" collapsed="false">
      <c r="A4247" s="3" t="n">
        <v>4246</v>
      </c>
      <c r="B4247" s="3" t="n">
        <f aca="false">Raw_Data!A4247</f>
        <v>41</v>
      </c>
      <c r="C4247" s="3" t="str">
        <f aca="false">SUBSTITUTE(Raw_Data!B4247,".","")</f>
        <v>management</v>
      </c>
      <c r="D4247" s="3" t="str">
        <f aca="false">Raw_Data!C4247</f>
        <v>married</v>
      </c>
      <c r="E4247" s="3" t="str">
        <f aca="false">Raw_Data!D4247</f>
        <v>tertiary</v>
      </c>
      <c r="F4247" s="3" t="str">
        <f aca="false">Raw_Data!E4247</f>
        <v>no</v>
      </c>
      <c r="G4247" s="3" t="n">
        <f aca="false">Raw_Data!F4247</f>
        <v>6563</v>
      </c>
      <c r="H4247" s="3" t="str">
        <f aca="false">Raw_Data!G4247</f>
        <v>no</v>
      </c>
      <c r="I4247" s="3" t="str">
        <f aca="false">Raw_Data!H4247</f>
        <v>no</v>
      </c>
      <c r="J4247" s="2" t="n">
        <f aca="false">IF(F4247="yes",1,0)</f>
        <v>0</v>
      </c>
      <c r="K4247" s="2" t="n">
        <f aca="false">IF(H4247="yes",1,0)</f>
        <v>0</v>
      </c>
      <c r="L4247" s="2" t="n">
        <f aca="false">IF(I4247="yes",1,0)</f>
        <v>0</v>
      </c>
      <c r="M4247" s="2" t="n">
        <f aca="false">IF(G4247&lt;0,1,0)</f>
        <v>0</v>
      </c>
      <c r="N4247" s="2" t="str">
        <f aca="false">_xlfn.IFS(B4247&lt;30,"Under 30",B4247&lt;40,"30-39",B4247&lt;50,"40-49",B4247&lt;60,"50-59",TRUE(),"60+")</f>
        <v>40-49</v>
      </c>
      <c r="O4247" s="2" t="str">
        <f aca="false">_xlfn.IFS(G4247&lt;0,"1 Negative",G4247=0,"2 Zero",G4247&lt;=500,"3 1-500",G4247&lt;=2000,"4 501-2000",TRUE(),"5 Above 2000")</f>
        <v>5 Above 2000</v>
      </c>
      <c r="P4247" s="2" t="n">
        <f aca="false">Lookups!$B$2*M4247+Lookups!$B$3*L4247</f>
        <v>0</v>
      </c>
      <c r="Q4247" s="2" t="str">
        <f aca="false">INDEX(Lookups!$E$2:$E$5,MATCH(P4247,Lookups!$D$2:$D$5,0))</f>
        <v>Low</v>
      </c>
    </row>
    <row r="4248" customFormat="false" ht="15" hidden="false" customHeight="false" outlineLevel="0" collapsed="false">
      <c r="A4248" s="3" t="n">
        <v>4247</v>
      </c>
      <c r="B4248" s="3" t="n">
        <f aca="false">Raw_Data!A4248</f>
        <v>32</v>
      </c>
      <c r="C4248" s="3" t="str">
        <f aca="false">SUBSTITUTE(Raw_Data!B4248,".","")</f>
        <v>services</v>
      </c>
      <c r="D4248" s="3" t="str">
        <f aca="false">Raw_Data!C4248</f>
        <v>single</v>
      </c>
      <c r="E4248" s="3" t="str">
        <f aca="false">Raw_Data!D4248</f>
        <v>secondary</v>
      </c>
      <c r="F4248" s="3" t="str">
        <f aca="false">Raw_Data!E4248</f>
        <v>no</v>
      </c>
      <c r="G4248" s="3" t="n">
        <f aca="false">Raw_Data!F4248</f>
        <v>0</v>
      </c>
      <c r="H4248" s="3" t="str">
        <f aca="false">Raw_Data!G4248</f>
        <v>yes</v>
      </c>
      <c r="I4248" s="3" t="str">
        <f aca="false">Raw_Data!H4248</f>
        <v>no</v>
      </c>
      <c r="J4248" s="2" t="n">
        <f aca="false">IF(F4248="yes",1,0)</f>
        <v>0</v>
      </c>
      <c r="K4248" s="2" t="n">
        <f aca="false">IF(H4248="yes",1,0)</f>
        <v>1</v>
      </c>
      <c r="L4248" s="2" t="n">
        <f aca="false">IF(I4248="yes",1,0)</f>
        <v>0</v>
      </c>
      <c r="M4248" s="2" t="n">
        <f aca="false">IF(G4248&lt;0,1,0)</f>
        <v>0</v>
      </c>
      <c r="N4248" s="2" t="str">
        <f aca="false">_xlfn.IFS(B4248&lt;30,"Under 30",B4248&lt;40,"30-39",B4248&lt;50,"40-49",B4248&lt;60,"50-59",TRUE(),"60+")</f>
        <v>30-39</v>
      </c>
      <c r="O4248" s="2" t="str">
        <f aca="false">_xlfn.IFS(G4248&lt;0,"1 Negative",G4248=0,"2 Zero",G4248&lt;=500,"3 1-500",G4248&lt;=2000,"4 501-2000",TRUE(),"5 Above 2000")</f>
        <v>2 Zero</v>
      </c>
      <c r="P4248" s="2" t="n">
        <f aca="false">Lookups!$B$2*M4248+Lookups!$B$3*L4248</f>
        <v>0</v>
      </c>
      <c r="Q4248" s="2" t="str">
        <f aca="false">INDEX(Lookups!$E$2:$E$5,MATCH(P4248,Lookups!$D$2:$D$5,0))</f>
        <v>Low</v>
      </c>
    </row>
    <row r="4249" customFormat="false" ht="15" hidden="false" customHeight="false" outlineLevel="0" collapsed="false">
      <c r="A4249" s="3" t="n">
        <v>4248</v>
      </c>
      <c r="B4249" s="3" t="n">
        <f aca="false">Raw_Data!A4249</f>
        <v>32</v>
      </c>
      <c r="C4249" s="3" t="str">
        <f aca="false">SUBSTITUTE(Raw_Data!B4249,".","")</f>
        <v>management</v>
      </c>
      <c r="D4249" s="3" t="str">
        <f aca="false">Raw_Data!C4249</f>
        <v>single</v>
      </c>
      <c r="E4249" s="3" t="str">
        <f aca="false">Raw_Data!D4249</f>
        <v>tertiary</v>
      </c>
      <c r="F4249" s="3" t="str">
        <f aca="false">Raw_Data!E4249</f>
        <v>no</v>
      </c>
      <c r="G4249" s="3" t="n">
        <f aca="false">Raw_Data!F4249</f>
        <v>0</v>
      </c>
      <c r="H4249" s="3" t="str">
        <f aca="false">Raw_Data!G4249</f>
        <v>no</v>
      </c>
      <c r="I4249" s="3" t="str">
        <f aca="false">Raw_Data!H4249</f>
        <v>no</v>
      </c>
      <c r="J4249" s="2" t="n">
        <f aca="false">IF(F4249="yes",1,0)</f>
        <v>0</v>
      </c>
      <c r="K4249" s="2" t="n">
        <f aca="false">IF(H4249="yes",1,0)</f>
        <v>0</v>
      </c>
      <c r="L4249" s="2" t="n">
        <f aca="false">IF(I4249="yes",1,0)</f>
        <v>0</v>
      </c>
      <c r="M4249" s="2" t="n">
        <f aca="false">IF(G4249&lt;0,1,0)</f>
        <v>0</v>
      </c>
      <c r="N4249" s="2" t="str">
        <f aca="false">_xlfn.IFS(B4249&lt;30,"Under 30",B4249&lt;40,"30-39",B4249&lt;50,"40-49",B4249&lt;60,"50-59",TRUE(),"60+")</f>
        <v>30-39</v>
      </c>
      <c r="O4249" s="2" t="str">
        <f aca="false">_xlfn.IFS(G4249&lt;0,"1 Negative",G4249=0,"2 Zero",G4249&lt;=500,"3 1-500",G4249&lt;=2000,"4 501-2000",TRUE(),"5 Above 2000")</f>
        <v>2 Zero</v>
      </c>
      <c r="P4249" s="2" t="n">
        <f aca="false">Lookups!$B$2*M4249+Lookups!$B$3*L4249</f>
        <v>0</v>
      </c>
      <c r="Q4249" s="2" t="str">
        <f aca="false">INDEX(Lookups!$E$2:$E$5,MATCH(P4249,Lookups!$D$2:$D$5,0))</f>
        <v>Low</v>
      </c>
    </row>
    <row r="4250" customFormat="false" ht="15" hidden="false" customHeight="false" outlineLevel="0" collapsed="false">
      <c r="A4250" s="3" t="n">
        <v>4249</v>
      </c>
      <c r="B4250" s="3" t="n">
        <f aca="false">Raw_Data!A4250</f>
        <v>36</v>
      </c>
      <c r="C4250" s="3" t="str">
        <f aca="false">SUBSTITUTE(Raw_Data!B4250,".","")</f>
        <v>blue-collar</v>
      </c>
      <c r="D4250" s="3" t="str">
        <f aca="false">Raw_Data!C4250</f>
        <v>married</v>
      </c>
      <c r="E4250" s="3" t="str">
        <f aca="false">Raw_Data!D4250</f>
        <v>primary</v>
      </c>
      <c r="F4250" s="3" t="str">
        <f aca="false">Raw_Data!E4250</f>
        <v>no</v>
      </c>
      <c r="G4250" s="3" t="n">
        <f aca="false">Raw_Data!F4250</f>
        <v>398</v>
      </c>
      <c r="H4250" s="3" t="str">
        <f aca="false">Raw_Data!G4250</f>
        <v>yes</v>
      </c>
      <c r="I4250" s="3" t="str">
        <f aca="false">Raw_Data!H4250</f>
        <v>no</v>
      </c>
      <c r="J4250" s="2" t="n">
        <f aca="false">IF(F4250="yes",1,0)</f>
        <v>0</v>
      </c>
      <c r="K4250" s="2" t="n">
        <f aca="false">IF(H4250="yes",1,0)</f>
        <v>1</v>
      </c>
      <c r="L4250" s="2" t="n">
        <f aca="false">IF(I4250="yes",1,0)</f>
        <v>0</v>
      </c>
      <c r="M4250" s="2" t="n">
        <f aca="false">IF(G4250&lt;0,1,0)</f>
        <v>0</v>
      </c>
      <c r="N4250" s="2" t="str">
        <f aca="false">_xlfn.IFS(B4250&lt;30,"Under 30",B4250&lt;40,"30-39",B4250&lt;50,"40-49",B4250&lt;60,"50-59",TRUE(),"60+")</f>
        <v>30-39</v>
      </c>
      <c r="O4250" s="2" t="str">
        <f aca="false">_xlfn.IFS(G4250&lt;0,"1 Negative",G4250=0,"2 Zero",G4250&lt;=500,"3 1-500",G4250&lt;=2000,"4 501-2000",TRUE(),"5 Above 2000")</f>
        <v>3 1-500</v>
      </c>
      <c r="P4250" s="2" t="n">
        <f aca="false">Lookups!$B$2*M4250+Lookups!$B$3*L4250</f>
        <v>0</v>
      </c>
      <c r="Q4250" s="2" t="str">
        <f aca="false">INDEX(Lookups!$E$2:$E$5,MATCH(P4250,Lookups!$D$2:$D$5,0))</f>
        <v>Low</v>
      </c>
    </row>
    <row r="4251" customFormat="false" ht="15" hidden="false" customHeight="false" outlineLevel="0" collapsed="false">
      <c r="A4251" s="3" t="n">
        <v>4250</v>
      </c>
      <c r="B4251" s="3" t="n">
        <f aca="false">Raw_Data!A4251</f>
        <v>35</v>
      </c>
      <c r="C4251" s="3" t="str">
        <f aca="false">SUBSTITUTE(Raw_Data!B4251,".","")</f>
        <v>admin</v>
      </c>
      <c r="D4251" s="3" t="str">
        <f aca="false">Raw_Data!C4251</f>
        <v>married</v>
      </c>
      <c r="E4251" s="3" t="str">
        <f aca="false">Raw_Data!D4251</f>
        <v>tertiary</v>
      </c>
      <c r="F4251" s="3" t="str">
        <f aca="false">Raw_Data!E4251</f>
        <v>no</v>
      </c>
      <c r="G4251" s="3" t="n">
        <f aca="false">Raw_Data!F4251</f>
        <v>1145</v>
      </c>
      <c r="H4251" s="3" t="str">
        <f aca="false">Raw_Data!G4251</f>
        <v>yes</v>
      </c>
      <c r="I4251" s="3" t="str">
        <f aca="false">Raw_Data!H4251</f>
        <v>no</v>
      </c>
      <c r="J4251" s="2" t="n">
        <f aca="false">IF(F4251="yes",1,0)</f>
        <v>0</v>
      </c>
      <c r="K4251" s="2" t="n">
        <f aca="false">IF(H4251="yes",1,0)</f>
        <v>1</v>
      </c>
      <c r="L4251" s="2" t="n">
        <f aca="false">IF(I4251="yes",1,0)</f>
        <v>0</v>
      </c>
      <c r="M4251" s="2" t="n">
        <f aca="false">IF(G4251&lt;0,1,0)</f>
        <v>0</v>
      </c>
      <c r="N4251" s="2" t="str">
        <f aca="false">_xlfn.IFS(B4251&lt;30,"Under 30",B4251&lt;40,"30-39",B4251&lt;50,"40-49",B4251&lt;60,"50-59",TRUE(),"60+")</f>
        <v>30-39</v>
      </c>
      <c r="O4251" s="2" t="str">
        <f aca="false">_xlfn.IFS(G4251&lt;0,"1 Negative",G4251=0,"2 Zero",G4251&lt;=500,"3 1-500",G4251&lt;=2000,"4 501-2000",TRUE(),"5 Above 2000")</f>
        <v>4 501-2000</v>
      </c>
      <c r="P4251" s="2" t="n">
        <f aca="false">Lookups!$B$2*M4251+Lookups!$B$3*L4251</f>
        <v>0</v>
      </c>
      <c r="Q4251" s="2" t="str">
        <f aca="false">INDEX(Lookups!$E$2:$E$5,MATCH(P4251,Lookups!$D$2:$D$5,0))</f>
        <v>Low</v>
      </c>
    </row>
    <row r="4252" customFormat="false" ht="15" hidden="false" customHeight="false" outlineLevel="0" collapsed="false">
      <c r="A4252" s="3" t="n">
        <v>4251</v>
      </c>
      <c r="B4252" s="3" t="n">
        <f aca="false">Raw_Data!A4252</f>
        <v>32</v>
      </c>
      <c r="C4252" s="3" t="str">
        <f aca="false">SUBSTITUTE(Raw_Data!B4252,".","")</f>
        <v>management</v>
      </c>
      <c r="D4252" s="3" t="str">
        <f aca="false">Raw_Data!C4252</f>
        <v>single</v>
      </c>
      <c r="E4252" s="3" t="str">
        <f aca="false">Raw_Data!D4252</f>
        <v>tertiary</v>
      </c>
      <c r="F4252" s="3" t="str">
        <f aca="false">Raw_Data!E4252</f>
        <v>no</v>
      </c>
      <c r="G4252" s="3" t="n">
        <f aca="false">Raw_Data!F4252</f>
        <v>2</v>
      </c>
      <c r="H4252" s="3" t="str">
        <f aca="false">Raw_Data!G4252</f>
        <v>yes</v>
      </c>
      <c r="I4252" s="3" t="str">
        <f aca="false">Raw_Data!H4252</f>
        <v>no</v>
      </c>
      <c r="J4252" s="2" t="n">
        <f aca="false">IF(F4252="yes",1,0)</f>
        <v>0</v>
      </c>
      <c r="K4252" s="2" t="n">
        <f aca="false">IF(H4252="yes",1,0)</f>
        <v>1</v>
      </c>
      <c r="L4252" s="2" t="n">
        <f aca="false">IF(I4252="yes",1,0)</f>
        <v>0</v>
      </c>
      <c r="M4252" s="2" t="n">
        <f aca="false">IF(G4252&lt;0,1,0)</f>
        <v>0</v>
      </c>
      <c r="N4252" s="2" t="str">
        <f aca="false">_xlfn.IFS(B4252&lt;30,"Under 30",B4252&lt;40,"30-39",B4252&lt;50,"40-49",B4252&lt;60,"50-59",TRUE(),"60+")</f>
        <v>30-39</v>
      </c>
      <c r="O4252" s="2" t="str">
        <f aca="false">_xlfn.IFS(G4252&lt;0,"1 Negative",G4252=0,"2 Zero",G4252&lt;=500,"3 1-500",G4252&lt;=2000,"4 501-2000",TRUE(),"5 Above 2000")</f>
        <v>3 1-500</v>
      </c>
      <c r="P4252" s="2" t="n">
        <f aca="false">Lookups!$B$2*M4252+Lookups!$B$3*L4252</f>
        <v>0</v>
      </c>
      <c r="Q4252" s="2" t="str">
        <f aca="false">INDEX(Lookups!$E$2:$E$5,MATCH(P4252,Lookups!$D$2:$D$5,0))</f>
        <v>Low</v>
      </c>
    </row>
    <row r="4253" customFormat="false" ht="15" hidden="false" customHeight="false" outlineLevel="0" collapsed="false">
      <c r="A4253" s="3" t="n">
        <v>4252</v>
      </c>
      <c r="B4253" s="3" t="n">
        <f aca="false">Raw_Data!A4253</f>
        <v>33</v>
      </c>
      <c r="C4253" s="3" t="str">
        <f aca="false">SUBSTITUTE(Raw_Data!B4253,".","")</f>
        <v>management</v>
      </c>
      <c r="D4253" s="3" t="str">
        <f aca="false">Raw_Data!C4253</f>
        <v>single</v>
      </c>
      <c r="E4253" s="3" t="str">
        <f aca="false">Raw_Data!D4253</f>
        <v>tertiary</v>
      </c>
      <c r="F4253" s="3" t="str">
        <f aca="false">Raw_Data!E4253</f>
        <v>no</v>
      </c>
      <c r="G4253" s="3" t="n">
        <f aca="false">Raw_Data!F4253</f>
        <v>201</v>
      </c>
      <c r="H4253" s="3" t="str">
        <f aca="false">Raw_Data!G4253</f>
        <v>yes</v>
      </c>
      <c r="I4253" s="3" t="str">
        <f aca="false">Raw_Data!H4253</f>
        <v>no</v>
      </c>
      <c r="J4253" s="2" t="n">
        <f aca="false">IF(F4253="yes",1,0)</f>
        <v>0</v>
      </c>
      <c r="K4253" s="2" t="n">
        <f aca="false">IF(H4253="yes",1,0)</f>
        <v>1</v>
      </c>
      <c r="L4253" s="2" t="n">
        <f aca="false">IF(I4253="yes",1,0)</f>
        <v>0</v>
      </c>
      <c r="M4253" s="2" t="n">
        <f aca="false">IF(G4253&lt;0,1,0)</f>
        <v>0</v>
      </c>
      <c r="N4253" s="2" t="str">
        <f aca="false">_xlfn.IFS(B4253&lt;30,"Under 30",B4253&lt;40,"30-39",B4253&lt;50,"40-49",B4253&lt;60,"50-59",TRUE(),"60+")</f>
        <v>30-39</v>
      </c>
      <c r="O4253" s="2" t="str">
        <f aca="false">_xlfn.IFS(G4253&lt;0,"1 Negative",G4253=0,"2 Zero",G4253&lt;=500,"3 1-500",G4253&lt;=2000,"4 501-2000",TRUE(),"5 Above 2000")</f>
        <v>3 1-500</v>
      </c>
      <c r="P4253" s="2" t="n">
        <f aca="false">Lookups!$B$2*M4253+Lookups!$B$3*L4253</f>
        <v>0</v>
      </c>
      <c r="Q4253" s="2" t="str">
        <f aca="false">INDEX(Lookups!$E$2:$E$5,MATCH(P4253,Lookups!$D$2:$D$5,0))</f>
        <v>Low</v>
      </c>
    </row>
    <row r="4254" customFormat="false" ht="15" hidden="false" customHeight="false" outlineLevel="0" collapsed="false">
      <c r="A4254" s="3" t="n">
        <v>4253</v>
      </c>
      <c r="B4254" s="3" t="n">
        <f aca="false">Raw_Data!A4254</f>
        <v>49</v>
      </c>
      <c r="C4254" s="3" t="str">
        <f aca="false">SUBSTITUTE(Raw_Data!B4254,".","")</f>
        <v>entrepreneur</v>
      </c>
      <c r="D4254" s="3" t="str">
        <f aca="false">Raw_Data!C4254</f>
        <v>married</v>
      </c>
      <c r="E4254" s="3" t="str">
        <f aca="false">Raw_Data!D4254</f>
        <v>primary</v>
      </c>
      <c r="F4254" s="3" t="str">
        <f aca="false">Raw_Data!E4254</f>
        <v>no</v>
      </c>
      <c r="G4254" s="3" t="n">
        <f aca="false">Raw_Data!F4254</f>
        <v>563</v>
      </c>
      <c r="H4254" s="3" t="str">
        <f aca="false">Raw_Data!G4254</f>
        <v>no</v>
      </c>
      <c r="I4254" s="3" t="str">
        <f aca="false">Raw_Data!H4254</f>
        <v>no</v>
      </c>
      <c r="J4254" s="2" t="n">
        <f aca="false">IF(F4254="yes",1,0)</f>
        <v>0</v>
      </c>
      <c r="K4254" s="2" t="n">
        <f aca="false">IF(H4254="yes",1,0)</f>
        <v>0</v>
      </c>
      <c r="L4254" s="2" t="n">
        <f aca="false">IF(I4254="yes",1,0)</f>
        <v>0</v>
      </c>
      <c r="M4254" s="2" t="n">
        <f aca="false">IF(G4254&lt;0,1,0)</f>
        <v>0</v>
      </c>
      <c r="N4254" s="2" t="str">
        <f aca="false">_xlfn.IFS(B4254&lt;30,"Under 30",B4254&lt;40,"30-39",B4254&lt;50,"40-49",B4254&lt;60,"50-59",TRUE(),"60+")</f>
        <v>40-49</v>
      </c>
      <c r="O4254" s="2" t="str">
        <f aca="false">_xlfn.IFS(G4254&lt;0,"1 Negative",G4254=0,"2 Zero",G4254&lt;=500,"3 1-500",G4254&lt;=2000,"4 501-2000",TRUE(),"5 Above 2000")</f>
        <v>4 501-2000</v>
      </c>
      <c r="P4254" s="2" t="n">
        <f aca="false">Lookups!$B$2*M4254+Lookups!$B$3*L4254</f>
        <v>0</v>
      </c>
      <c r="Q4254" s="2" t="str">
        <f aca="false">INDEX(Lookups!$E$2:$E$5,MATCH(P4254,Lookups!$D$2:$D$5,0))</f>
        <v>Low</v>
      </c>
    </row>
    <row r="4255" customFormat="false" ht="15" hidden="false" customHeight="false" outlineLevel="0" collapsed="false">
      <c r="A4255" s="3" t="n">
        <v>4254</v>
      </c>
      <c r="B4255" s="3" t="n">
        <f aca="false">Raw_Data!A4255</f>
        <v>35</v>
      </c>
      <c r="C4255" s="3" t="str">
        <f aca="false">SUBSTITUTE(Raw_Data!B4255,".","")</f>
        <v>management</v>
      </c>
      <c r="D4255" s="3" t="str">
        <f aca="false">Raw_Data!C4255</f>
        <v>married</v>
      </c>
      <c r="E4255" s="3" t="str">
        <f aca="false">Raw_Data!D4255</f>
        <v>tertiary</v>
      </c>
      <c r="F4255" s="3" t="str">
        <f aca="false">Raw_Data!E4255</f>
        <v>no</v>
      </c>
      <c r="G4255" s="3" t="n">
        <f aca="false">Raw_Data!F4255</f>
        <v>3161</v>
      </c>
      <c r="H4255" s="3" t="str">
        <f aca="false">Raw_Data!G4255</f>
        <v>no</v>
      </c>
      <c r="I4255" s="3" t="str">
        <f aca="false">Raw_Data!H4255</f>
        <v>no</v>
      </c>
      <c r="J4255" s="2" t="n">
        <f aca="false">IF(F4255="yes",1,0)</f>
        <v>0</v>
      </c>
      <c r="K4255" s="2" t="n">
        <f aca="false">IF(H4255="yes",1,0)</f>
        <v>0</v>
      </c>
      <c r="L4255" s="2" t="n">
        <f aca="false">IF(I4255="yes",1,0)</f>
        <v>0</v>
      </c>
      <c r="M4255" s="2" t="n">
        <f aca="false">IF(G4255&lt;0,1,0)</f>
        <v>0</v>
      </c>
      <c r="N4255" s="2" t="str">
        <f aca="false">_xlfn.IFS(B4255&lt;30,"Under 30",B4255&lt;40,"30-39",B4255&lt;50,"40-49",B4255&lt;60,"50-59",TRUE(),"60+")</f>
        <v>30-39</v>
      </c>
      <c r="O4255" s="2" t="str">
        <f aca="false">_xlfn.IFS(G4255&lt;0,"1 Negative",G4255=0,"2 Zero",G4255&lt;=500,"3 1-500",G4255&lt;=2000,"4 501-2000",TRUE(),"5 Above 2000")</f>
        <v>5 Above 2000</v>
      </c>
      <c r="P4255" s="2" t="n">
        <f aca="false">Lookups!$B$2*M4255+Lookups!$B$3*L4255</f>
        <v>0</v>
      </c>
      <c r="Q4255" s="2" t="str">
        <f aca="false">INDEX(Lookups!$E$2:$E$5,MATCH(P4255,Lookups!$D$2:$D$5,0))</f>
        <v>Low</v>
      </c>
    </row>
    <row r="4256" customFormat="false" ht="15" hidden="false" customHeight="false" outlineLevel="0" collapsed="false">
      <c r="A4256" s="3" t="n">
        <v>4255</v>
      </c>
      <c r="B4256" s="3" t="n">
        <f aca="false">Raw_Data!A4256</f>
        <v>31</v>
      </c>
      <c r="C4256" s="3" t="str">
        <f aca="false">SUBSTITUTE(Raw_Data!B4256,".","")</f>
        <v>technician</v>
      </c>
      <c r="D4256" s="3" t="str">
        <f aca="false">Raw_Data!C4256</f>
        <v>married</v>
      </c>
      <c r="E4256" s="3" t="str">
        <f aca="false">Raw_Data!D4256</f>
        <v>secondary</v>
      </c>
      <c r="F4256" s="3" t="str">
        <f aca="false">Raw_Data!E4256</f>
        <v>no</v>
      </c>
      <c r="G4256" s="3" t="n">
        <f aca="false">Raw_Data!F4256</f>
        <v>0</v>
      </c>
      <c r="H4256" s="3" t="str">
        <f aca="false">Raw_Data!G4256</f>
        <v>no</v>
      </c>
      <c r="I4256" s="3" t="str">
        <f aca="false">Raw_Data!H4256</f>
        <v>yes</v>
      </c>
      <c r="J4256" s="2" t="n">
        <f aca="false">IF(F4256="yes",1,0)</f>
        <v>0</v>
      </c>
      <c r="K4256" s="2" t="n">
        <f aca="false">IF(H4256="yes",1,0)</f>
        <v>0</v>
      </c>
      <c r="L4256" s="2" t="n">
        <f aca="false">IF(I4256="yes",1,0)</f>
        <v>1</v>
      </c>
      <c r="M4256" s="2" t="n">
        <f aca="false">IF(G4256&lt;0,1,0)</f>
        <v>0</v>
      </c>
      <c r="N4256" s="2" t="str">
        <f aca="false">_xlfn.IFS(B4256&lt;30,"Under 30",B4256&lt;40,"30-39",B4256&lt;50,"40-49",B4256&lt;60,"50-59",TRUE(),"60+")</f>
        <v>30-39</v>
      </c>
      <c r="O4256" s="2" t="str">
        <f aca="false">_xlfn.IFS(G4256&lt;0,"1 Negative",G4256=0,"2 Zero",G4256&lt;=500,"3 1-500",G4256&lt;=2000,"4 501-2000",TRUE(),"5 Above 2000")</f>
        <v>2 Zero</v>
      </c>
      <c r="P4256" s="2" t="n">
        <f aca="false">Lookups!$B$2*M4256+Lookups!$B$3*L4256</f>
        <v>1</v>
      </c>
      <c r="Q4256" s="2" t="str">
        <f aca="false">INDEX(Lookups!$E$2:$E$5,MATCH(P4256,Lookups!$D$2:$D$5,0))</f>
        <v>Medium</v>
      </c>
    </row>
    <row r="4257" customFormat="false" ht="15" hidden="false" customHeight="false" outlineLevel="0" collapsed="false">
      <c r="A4257" s="3" t="n">
        <v>4256</v>
      </c>
      <c r="B4257" s="3" t="n">
        <f aca="false">Raw_Data!A4257</f>
        <v>42</v>
      </c>
      <c r="C4257" s="3" t="str">
        <f aca="false">SUBSTITUTE(Raw_Data!B4257,".","")</f>
        <v>management</v>
      </c>
      <c r="D4257" s="3" t="str">
        <f aca="false">Raw_Data!C4257</f>
        <v>married</v>
      </c>
      <c r="E4257" s="3" t="str">
        <f aca="false">Raw_Data!D4257</f>
        <v>secondary</v>
      </c>
      <c r="F4257" s="3" t="str">
        <f aca="false">Raw_Data!E4257</f>
        <v>no</v>
      </c>
      <c r="G4257" s="3" t="n">
        <f aca="false">Raw_Data!F4257</f>
        <v>1331</v>
      </c>
      <c r="H4257" s="3" t="str">
        <f aca="false">Raw_Data!G4257</f>
        <v>no</v>
      </c>
      <c r="I4257" s="3" t="str">
        <f aca="false">Raw_Data!H4257</f>
        <v>no</v>
      </c>
      <c r="J4257" s="2" t="n">
        <f aca="false">IF(F4257="yes",1,0)</f>
        <v>0</v>
      </c>
      <c r="K4257" s="2" t="n">
        <f aca="false">IF(H4257="yes",1,0)</f>
        <v>0</v>
      </c>
      <c r="L4257" s="2" t="n">
        <f aca="false">IF(I4257="yes",1,0)</f>
        <v>0</v>
      </c>
      <c r="M4257" s="2" t="n">
        <f aca="false">IF(G4257&lt;0,1,0)</f>
        <v>0</v>
      </c>
      <c r="N4257" s="2" t="str">
        <f aca="false">_xlfn.IFS(B4257&lt;30,"Under 30",B4257&lt;40,"30-39",B4257&lt;50,"40-49",B4257&lt;60,"50-59",TRUE(),"60+")</f>
        <v>40-49</v>
      </c>
      <c r="O4257" s="2" t="str">
        <f aca="false">_xlfn.IFS(G4257&lt;0,"1 Negative",G4257=0,"2 Zero",G4257&lt;=500,"3 1-500",G4257&lt;=2000,"4 501-2000",TRUE(),"5 Above 2000")</f>
        <v>4 501-2000</v>
      </c>
      <c r="P4257" s="2" t="n">
        <f aca="false">Lookups!$B$2*M4257+Lookups!$B$3*L4257</f>
        <v>0</v>
      </c>
      <c r="Q4257" s="2" t="str">
        <f aca="false">INDEX(Lookups!$E$2:$E$5,MATCH(P4257,Lookups!$D$2:$D$5,0))</f>
        <v>Low</v>
      </c>
    </row>
    <row r="4258" customFormat="false" ht="15" hidden="false" customHeight="false" outlineLevel="0" collapsed="false">
      <c r="A4258" s="3" t="n">
        <v>4257</v>
      </c>
      <c r="B4258" s="3" t="n">
        <f aca="false">Raw_Data!A4258</f>
        <v>34</v>
      </c>
      <c r="C4258" s="3" t="str">
        <f aca="false">SUBSTITUTE(Raw_Data!B4258,".","")</f>
        <v>housemaid</v>
      </c>
      <c r="D4258" s="3" t="str">
        <f aca="false">Raw_Data!C4258</f>
        <v>married</v>
      </c>
      <c r="E4258" s="3" t="str">
        <f aca="false">Raw_Data!D4258</f>
        <v>primary</v>
      </c>
      <c r="F4258" s="3" t="str">
        <f aca="false">Raw_Data!E4258</f>
        <v>no</v>
      </c>
      <c r="G4258" s="3" t="n">
        <f aca="false">Raw_Data!F4258</f>
        <v>2929</v>
      </c>
      <c r="H4258" s="3" t="str">
        <f aca="false">Raw_Data!G4258</f>
        <v>no</v>
      </c>
      <c r="I4258" s="3" t="str">
        <f aca="false">Raw_Data!H4258</f>
        <v>no</v>
      </c>
      <c r="J4258" s="2" t="n">
        <f aca="false">IF(F4258="yes",1,0)</f>
        <v>0</v>
      </c>
      <c r="K4258" s="2" t="n">
        <f aca="false">IF(H4258="yes",1,0)</f>
        <v>0</v>
      </c>
      <c r="L4258" s="2" t="n">
        <f aca="false">IF(I4258="yes",1,0)</f>
        <v>0</v>
      </c>
      <c r="M4258" s="2" t="n">
        <f aca="false">IF(G4258&lt;0,1,0)</f>
        <v>0</v>
      </c>
      <c r="N4258" s="2" t="str">
        <f aca="false">_xlfn.IFS(B4258&lt;30,"Under 30",B4258&lt;40,"30-39",B4258&lt;50,"40-49",B4258&lt;60,"50-59",TRUE(),"60+")</f>
        <v>30-39</v>
      </c>
      <c r="O4258" s="2" t="str">
        <f aca="false">_xlfn.IFS(G4258&lt;0,"1 Negative",G4258=0,"2 Zero",G4258&lt;=500,"3 1-500",G4258&lt;=2000,"4 501-2000",TRUE(),"5 Above 2000")</f>
        <v>5 Above 2000</v>
      </c>
      <c r="P4258" s="2" t="n">
        <f aca="false">Lookups!$B$2*M4258+Lookups!$B$3*L4258</f>
        <v>0</v>
      </c>
      <c r="Q4258" s="2" t="str">
        <f aca="false">INDEX(Lookups!$E$2:$E$5,MATCH(P4258,Lookups!$D$2:$D$5,0))</f>
        <v>Low</v>
      </c>
    </row>
    <row r="4259" customFormat="false" ht="15" hidden="false" customHeight="false" outlineLevel="0" collapsed="false">
      <c r="A4259" s="3" t="n">
        <v>4258</v>
      </c>
      <c r="B4259" s="3" t="n">
        <f aca="false">Raw_Data!A4259</f>
        <v>32</v>
      </c>
      <c r="C4259" s="3" t="str">
        <f aca="false">SUBSTITUTE(Raw_Data!B4259,".","")</f>
        <v>services</v>
      </c>
      <c r="D4259" s="3" t="str">
        <f aca="false">Raw_Data!C4259</f>
        <v>married</v>
      </c>
      <c r="E4259" s="3" t="str">
        <f aca="false">Raw_Data!D4259</f>
        <v>secondary</v>
      </c>
      <c r="F4259" s="3" t="str">
        <f aca="false">Raw_Data!E4259</f>
        <v>yes</v>
      </c>
      <c r="G4259" s="3" t="n">
        <f aca="false">Raw_Data!F4259</f>
        <v>-220</v>
      </c>
      <c r="H4259" s="3" t="str">
        <f aca="false">Raw_Data!G4259</f>
        <v>yes</v>
      </c>
      <c r="I4259" s="3" t="str">
        <f aca="false">Raw_Data!H4259</f>
        <v>yes</v>
      </c>
      <c r="J4259" s="2" t="n">
        <f aca="false">IF(F4259="yes",1,0)</f>
        <v>1</v>
      </c>
      <c r="K4259" s="2" t="n">
        <f aca="false">IF(H4259="yes",1,0)</f>
        <v>1</v>
      </c>
      <c r="L4259" s="2" t="n">
        <f aca="false">IF(I4259="yes",1,0)</f>
        <v>1</v>
      </c>
      <c r="M4259" s="2" t="n">
        <f aca="false">IF(G4259&lt;0,1,0)</f>
        <v>1</v>
      </c>
      <c r="N4259" s="2" t="str">
        <f aca="false">_xlfn.IFS(B4259&lt;30,"Under 30",B4259&lt;40,"30-39",B4259&lt;50,"40-49",B4259&lt;60,"50-59",TRUE(),"60+")</f>
        <v>30-39</v>
      </c>
      <c r="O4259" s="2" t="str">
        <f aca="false">_xlfn.IFS(G4259&lt;0,"1 Negative",G4259=0,"2 Zero",G4259&lt;=500,"3 1-500",G4259&lt;=2000,"4 501-2000",TRUE(),"5 Above 2000")</f>
        <v>1 Negative</v>
      </c>
      <c r="P4259" s="2" t="n">
        <f aca="false">Lookups!$B$2*M4259+Lookups!$B$3*L4259</f>
        <v>3</v>
      </c>
      <c r="Q4259" s="2" t="str">
        <f aca="false">INDEX(Lookups!$E$2:$E$5,MATCH(P4259,Lookups!$D$2:$D$5,0))</f>
        <v>High</v>
      </c>
    </row>
    <row r="4260" customFormat="false" ht="15" hidden="false" customHeight="false" outlineLevel="0" collapsed="false">
      <c r="A4260" s="3" t="n">
        <v>4259</v>
      </c>
      <c r="B4260" s="3" t="n">
        <f aca="false">Raw_Data!A4260</f>
        <v>29</v>
      </c>
      <c r="C4260" s="3" t="str">
        <f aca="false">SUBSTITUTE(Raw_Data!B4260,".","")</f>
        <v>management</v>
      </c>
      <c r="D4260" s="3" t="str">
        <f aca="false">Raw_Data!C4260</f>
        <v>single</v>
      </c>
      <c r="E4260" s="3" t="str">
        <f aca="false">Raw_Data!D4260</f>
        <v>tertiary</v>
      </c>
      <c r="F4260" s="3" t="str">
        <f aca="false">Raw_Data!E4260</f>
        <v>no</v>
      </c>
      <c r="G4260" s="3" t="n">
        <f aca="false">Raw_Data!F4260</f>
        <v>5980</v>
      </c>
      <c r="H4260" s="3" t="str">
        <f aca="false">Raw_Data!G4260</f>
        <v>yes</v>
      </c>
      <c r="I4260" s="3" t="str">
        <f aca="false">Raw_Data!H4260</f>
        <v>no</v>
      </c>
      <c r="J4260" s="2" t="n">
        <f aca="false">IF(F4260="yes",1,0)</f>
        <v>0</v>
      </c>
      <c r="K4260" s="2" t="n">
        <f aca="false">IF(H4260="yes",1,0)</f>
        <v>1</v>
      </c>
      <c r="L4260" s="2" t="n">
        <f aca="false">IF(I4260="yes",1,0)</f>
        <v>0</v>
      </c>
      <c r="M4260" s="2" t="n">
        <f aca="false">IF(G4260&lt;0,1,0)</f>
        <v>0</v>
      </c>
      <c r="N4260" s="2" t="str">
        <f aca="false">_xlfn.IFS(B4260&lt;30,"Under 30",B4260&lt;40,"30-39",B4260&lt;50,"40-49",B4260&lt;60,"50-59",TRUE(),"60+")</f>
        <v>Under 30</v>
      </c>
      <c r="O4260" s="2" t="str">
        <f aca="false">_xlfn.IFS(G4260&lt;0,"1 Negative",G4260=0,"2 Zero",G4260&lt;=500,"3 1-500",G4260&lt;=2000,"4 501-2000",TRUE(),"5 Above 2000")</f>
        <v>5 Above 2000</v>
      </c>
      <c r="P4260" s="2" t="n">
        <f aca="false">Lookups!$B$2*M4260+Lookups!$B$3*L4260</f>
        <v>0</v>
      </c>
      <c r="Q4260" s="2" t="str">
        <f aca="false">INDEX(Lookups!$E$2:$E$5,MATCH(P4260,Lookups!$D$2:$D$5,0))</f>
        <v>Low</v>
      </c>
    </row>
    <row r="4261" customFormat="false" ht="15" hidden="false" customHeight="false" outlineLevel="0" collapsed="false">
      <c r="A4261" s="3" t="n">
        <v>4260</v>
      </c>
      <c r="B4261" s="3" t="n">
        <f aca="false">Raw_Data!A4261</f>
        <v>32</v>
      </c>
      <c r="C4261" s="3" t="str">
        <f aca="false">SUBSTITUTE(Raw_Data!B4261,".","")</f>
        <v>services</v>
      </c>
      <c r="D4261" s="3" t="str">
        <f aca="false">Raw_Data!C4261</f>
        <v>single</v>
      </c>
      <c r="E4261" s="3" t="str">
        <f aca="false">Raw_Data!D4261</f>
        <v>secondary</v>
      </c>
      <c r="F4261" s="3" t="str">
        <f aca="false">Raw_Data!E4261</f>
        <v>no</v>
      </c>
      <c r="G4261" s="3" t="n">
        <f aca="false">Raw_Data!F4261</f>
        <v>48</v>
      </c>
      <c r="H4261" s="3" t="str">
        <f aca="false">Raw_Data!G4261</f>
        <v>yes</v>
      </c>
      <c r="I4261" s="3" t="str">
        <f aca="false">Raw_Data!H4261</f>
        <v>no</v>
      </c>
      <c r="J4261" s="2" t="n">
        <f aca="false">IF(F4261="yes",1,0)</f>
        <v>0</v>
      </c>
      <c r="K4261" s="2" t="n">
        <f aca="false">IF(H4261="yes",1,0)</f>
        <v>1</v>
      </c>
      <c r="L4261" s="2" t="n">
        <f aca="false">IF(I4261="yes",1,0)</f>
        <v>0</v>
      </c>
      <c r="M4261" s="2" t="n">
        <f aca="false">IF(G4261&lt;0,1,0)</f>
        <v>0</v>
      </c>
      <c r="N4261" s="2" t="str">
        <f aca="false">_xlfn.IFS(B4261&lt;30,"Under 30",B4261&lt;40,"30-39",B4261&lt;50,"40-49",B4261&lt;60,"50-59",TRUE(),"60+")</f>
        <v>30-39</v>
      </c>
      <c r="O4261" s="2" t="str">
        <f aca="false">_xlfn.IFS(G4261&lt;0,"1 Negative",G4261=0,"2 Zero",G4261&lt;=500,"3 1-500",G4261&lt;=2000,"4 501-2000",TRUE(),"5 Above 2000")</f>
        <v>3 1-500</v>
      </c>
      <c r="P4261" s="2" t="n">
        <f aca="false">Lookups!$B$2*M4261+Lookups!$B$3*L4261</f>
        <v>0</v>
      </c>
      <c r="Q4261" s="2" t="str">
        <f aca="false">INDEX(Lookups!$E$2:$E$5,MATCH(P4261,Lookups!$D$2:$D$5,0))</f>
        <v>Low</v>
      </c>
    </row>
    <row r="4262" customFormat="false" ht="15" hidden="false" customHeight="false" outlineLevel="0" collapsed="false">
      <c r="A4262" s="3" t="n">
        <v>4261</v>
      </c>
      <c r="B4262" s="3" t="n">
        <f aca="false">Raw_Data!A4262</f>
        <v>50</v>
      </c>
      <c r="C4262" s="3" t="str">
        <f aca="false">SUBSTITUTE(Raw_Data!B4262,".","")</f>
        <v>housemaid</v>
      </c>
      <c r="D4262" s="3" t="str">
        <f aca="false">Raw_Data!C4262</f>
        <v>single</v>
      </c>
      <c r="E4262" s="3" t="str">
        <f aca="false">Raw_Data!D4262</f>
        <v>unknown</v>
      </c>
      <c r="F4262" s="3" t="str">
        <f aca="false">Raw_Data!E4262</f>
        <v>no</v>
      </c>
      <c r="G4262" s="3" t="n">
        <f aca="false">Raw_Data!F4262</f>
        <v>0</v>
      </c>
      <c r="H4262" s="3" t="str">
        <f aca="false">Raw_Data!G4262</f>
        <v>no</v>
      </c>
      <c r="I4262" s="3" t="str">
        <f aca="false">Raw_Data!H4262</f>
        <v>no</v>
      </c>
      <c r="J4262" s="2" t="n">
        <f aca="false">IF(F4262="yes",1,0)</f>
        <v>0</v>
      </c>
      <c r="K4262" s="2" t="n">
        <f aca="false">IF(H4262="yes",1,0)</f>
        <v>0</v>
      </c>
      <c r="L4262" s="2" t="n">
        <f aca="false">IF(I4262="yes",1,0)</f>
        <v>0</v>
      </c>
      <c r="M4262" s="2" t="n">
        <f aca="false">IF(G4262&lt;0,1,0)</f>
        <v>0</v>
      </c>
      <c r="N4262" s="2" t="str">
        <f aca="false">_xlfn.IFS(B4262&lt;30,"Under 30",B4262&lt;40,"30-39",B4262&lt;50,"40-49",B4262&lt;60,"50-59",TRUE(),"60+")</f>
        <v>50-59</v>
      </c>
      <c r="O4262" s="2" t="str">
        <f aca="false">_xlfn.IFS(G4262&lt;0,"1 Negative",G4262=0,"2 Zero",G4262&lt;=500,"3 1-500",G4262&lt;=2000,"4 501-2000",TRUE(),"5 Above 2000")</f>
        <v>2 Zero</v>
      </c>
      <c r="P4262" s="2" t="n">
        <f aca="false">Lookups!$B$2*M4262+Lookups!$B$3*L4262</f>
        <v>0</v>
      </c>
      <c r="Q4262" s="2" t="str">
        <f aca="false">INDEX(Lookups!$E$2:$E$5,MATCH(P4262,Lookups!$D$2:$D$5,0))</f>
        <v>Low</v>
      </c>
    </row>
    <row r="4263" customFormat="false" ht="15" hidden="false" customHeight="false" outlineLevel="0" collapsed="false">
      <c r="A4263" s="3" t="n">
        <v>4262</v>
      </c>
      <c r="B4263" s="3" t="n">
        <f aca="false">Raw_Data!A4263</f>
        <v>58</v>
      </c>
      <c r="C4263" s="3" t="str">
        <f aca="false">SUBSTITUTE(Raw_Data!B4263,".","")</f>
        <v>retired</v>
      </c>
      <c r="D4263" s="3" t="str">
        <f aca="false">Raw_Data!C4263</f>
        <v>married</v>
      </c>
      <c r="E4263" s="3" t="str">
        <f aca="false">Raw_Data!D4263</f>
        <v>secondary</v>
      </c>
      <c r="F4263" s="3" t="str">
        <f aca="false">Raw_Data!E4263</f>
        <v>no</v>
      </c>
      <c r="G4263" s="3" t="n">
        <f aca="false">Raw_Data!F4263</f>
        <v>3382</v>
      </c>
      <c r="H4263" s="3" t="str">
        <f aca="false">Raw_Data!G4263</f>
        <v>no</v>
      </c>
      <c r="I4263" s="3" t="str">
        <f aca="false">Raw_Data!H4263</f>
        <v>yes</v>
      </c>
      <c r="J4263" s="2" t="n">
        <f aca="false">IF(F4263="yes",1,0)</f>
        <v>0</v>
      </c>
      <c r="K4263" s="2" t="n">
        <f aca="false">IF(H4263="yes",1,0)</f>
        <v>0</v>
      </c>
      <c r="L4263" s="2" t="n">
        <f aca="false">IF(I4263="yes",1,0)</f>
        <v>1</v>
      </c>
      <c r="M4263" s="2" t="n">
        <f aca="false">IF(G4263&lt;0,1,0)</f>
        <v>0</v>
      </c>
      <c r="N4263" s="2" t="str">
        <f aca="false">_xlfn.IFS(B4263&lt;30,"Under 30",B4263&lt;40,"30-39",B4263&lt;50,"40-49",B4263&lt;60,"50-59",TRUE(),"60+")</f>
        <v>50-59</v>
      </c>
      <c r="O4263" s="2" t="str">
        <f aca="false">_xlfn.IFS(G4263&lt;0,"1 Negative",G4263=0,"2 Zero",G4263&lt;=500,"3 1-500",G4263&lt;=2000,"4 501-2000",TRUE(),"5 Above 2000")</f>
        <v>5 Above 2000</v>
      </c>
      <c r="P4263" s="2" t="n">
        <f aca="false">Lookups!$B$2*M4263+Lookups!$B$3*L4263</f>
        <v>1</v>
      </c>
      <c r="Q4263" s="2" t="str">
        <f aca="false">INDEX(Lookups!$E$2:$E$5,MATCH(P4263,Lookups!$D$2:$D$5,0))</f>
        <v>Medium</v>
      </c>
    </row>
    <row r="4264" customFormat="false" ht="15" hidden="false" customHeight="false" outlineLevel="0" collapsed="false">
      <c r="A4264" s="3" t="n">
        <v>4263</v>
      </c>
      <c r="B4264" s="3" t="n">
        <f aca="false">Raw_Data!A4264</f>
        <v>59</v>
      </c>
      <c r="C4264" s="3" t="str">
        <f aca="false">SUBSTITUTE(Raw_Data!B4264,".","")</f>
        <v>technician</v>
      </c>
      <c r="D4264" s="3" t="str">
        <f aca="false">Raw_Data!C4264</f>
        <v>married</v>
      </c>
      <c r="E4264" s="3" t="str">
        <f aca="false">Raw_Data!D4264</f>
        <v>secondary</v>
      </c>
      <c r="F4264" s="3" t="str">
        <f aca="false">Raw_Data!E4264</f>
        <v>no</v>
      </c>
      <c r="G4264" s="3" t="n">
        <f aca="false">Raw_Data!F4264</f>
        <v>2308</v>
      </c>
      <c r="H4264" s="3" t="str">
        <f aca="false">Raw_Data!G4264</f>
        <v>no</v>
      </c>
      <c r="I4264" s="3" t="str">
        <f aca="false">Raw_Data!H4264</f>
        <v>no</v>
      </c>
      <c r="J4264" s="2" t="n">
        <f aca="false">IF(F4264="yes",1,0)</f>
        <v>0</v>
      </c>
      <c r="K4264" s="2" t="n">
        <f aca="false">IF(H4264="yes",1,0)</f>
        <v>0</v>
      </c>
      <c r="L4264" s="2" t="n">
        <f aca="false">IF(I4264="yes",1,0)</f>
        <v>0</v>
      </c>
      <c r="M4264" s="2" t="n">
        <f aca="false">IF(G4264&lt;0,1,0)</f>
        <v>0</v>
      </c>
      <c r="N4264" s="2" t="str">
        <f aca="false">_xlfn.IFS(B4264&lt;30,"Under 30",B4264&lt;40,"30-39",B4264&lt;50,"40-49",B4264&lt;60,"50-59",TRUE(),"60+")</f>
        <v>50-59</v>
      </c>
      <c r="O4264" s="2" t="str">
        <f aca="false">_xlfn.IFS(G4264&lt;0,"1 Negative",G4264=0,"2 Zero",G4264&lt;=500,"3 1-500",G4264&lt;=2000,"4 501-2000",TRUE(),"5 Above 2000")</f>
        <v>5 Above 2000</v>
      </c>
      <c r="P4264" s="2" t="n">
        <f aca="false">Lookups!$B$2*M4264+Lookups!$B$3*L4264</f>
        <v>0</v>
      </c>
      <c r="Q4264" s="2" t="str">
        <f aca="false">INDEX(Lookups!$E$2:$E$5,MATCH(P4264,Lookups!$D$2:$D$5,0))</f>
        <v>Low</v>
      </c>
    </row>
    <row r="4265" customFormat="false" ht="15" hidden="false" customHeight="false" outlineLevel="0" collapsed="false">
      <c r="A4265" s="3" t="n">
        <v>4264</v>
      </c>
      <c r="B4265" s="3" t="n">
        <f aca="false">Raw_Data!A4265</f>
        <v>25</v>
      </c>
      <c r="C4265" s="3" t="str">
        <f aca="false">SUBSTITUTE(Raw_Data!B4265,".","")</f>
        <v>student</v>
      </c>
      <c r="D4265" s="3" t="str">
        <f aca="false">Raw_Data!C4265</f>
        <v>married</v>
      </c>
      <c r="E4265" s="3" t="str">
        <f aca="false">Raw_Data!D4265</f>
        <v>tertiary</v>
      </c>
      <c r="F4265" s="3" t="str">
        <f aca="false">Raw_Data!E4265</f>
        <v>no</v>
      </c>
      <c r="G4265" s="3" t="n">
        <f aca="false">Raw_Data!F4265</f>
        <v>10</v>
      </c>
      <c r="H4265" s="3" t="str">
        <f aca="false">Raw_Data!G4265</f>
        <v>yes</v>
      </c>
      <c r="I4265" s="3" t="str">
        <f aca="false">Raw_Data!H4265</f>
        <v>no</v>
      </c>
      <c r="J4265" s="2" t="n">
        <f aca="false">IF(F4265="yes",1,0)</f>
        <v>0</v>
      </c>
      <c r="K4265" s="2" t="n">
        <f aca="false">IF(H4265="yes",1,0)</f>
        <v>1</v>
      </c>
      <c r="L4265" s="2" t="n">
        <f aca="false">IF(I4265="yes",1,0)</f>
        <v>0</v>
      </c>
      <c r="M4265" s="2" t="n">
        <f aca="false">IF(G4265&lt;0,1,0)</f>
        <v>0</v>
      </c>
      <c r="N4265" s="2" t="str">
        <f aca="false">_xlfn.IFS(B4265&lt;30,"Under 30",B4265&lt;40,"30-39",B4265&lt;50,"40-49",B4265&lt;60,"50-59",TRUE(),"60+")</f>
        <v>Under 30</v>
      </c>
      <c r="O4265" s="2" t="str">
        <f aca="false">_xlfn.IFS(G4265&lt;0,"1 Negative",G4265=0,"2 Zero",G4265&lt;=500,"3 1-500",G4265&lt;=2000,"4 501-2000",TRUE(),"5 Above 2000")</f>
        <v>3 1-500</v>
      </c>
      <c r="P4265" s="2" t="n">
        <f aca="false">Lookups!$B$2*M4265+Lookups!$B$3*L4265</f>
        <v>0</v>
      </c>
      <c r="Q4265" s="2" t="str">
        <f aca="false">INDEX(Lookups!$E$2:$E$5,MATCH(P4265,Lookups!$D$2:$D$5,0))</f>
        <v>Low</v>
      </c>
    </row>
    <row r="4266" customFormat="false" ht="15" hidden="false" customHeight="false" outlineLevel="0" collapsed="false">
      <c r="A4266" s="3" t="n">
        <v>4265</v>
      </c>
      <c r="B4266" s="3" t="n">
        <f aca="false">Raw_Data!A4266</f>
        <v>57</v>
      </c>
      <c r="C4266" s="3" t="str">
        <f aca="false">SUBSTITUTE(Raw_Data!B4266,".","")</f>
        <v>services</v>
      </c>
      <c r="D4266" s="3" t="str">
        <f aca="false">Raw_Data!C4266</f>
        <v>married</v>
      </c>
      <c r="E4266" s="3" t="str">
        <f aca="false">Raw_Data!D4266</f>
        <v>secondary</v>
      </c>
      <c r="F4266" s="3" t="str">
        <f aca="false">Raw_Data!E4266</f>
        <v>no</v>
      </c>
      <c r="G4266" s="3" t="n">
        <f aca="false">Raw_Data!F4266</f>
        <v>162</v>
      </c>
      <c r="H4266" s="3" t="str">
        <f aca="false">Raw_Data!G4266</f>
        <v>yes</v>
      </c>
      <c r="I4266" s="3" t="str">
        <f aca="false">Raw_Data!H4266</f>
        <v>no</v>
      </c>
      <c r="J4266" s="2" t="n">
        <f aca="false">IF(F4266="yes",1,0)</f>
        <v>0</v>
      </c>
      <c r="K4266" s="2" t="n">
        <f aca="false">IF(H4266="yes",1,0)</f>
        <v>1</v>
      </c>
      <c r="L4266" s="2" t="n">
        <f aca="false">IF(I4266="yes",1,0)</f>
        <v>0</v>
      </c>
      <c r="M4266" s="2" t="n">
        <f aca="false">IF(G4266&lt;0,1,0)</f>
        <v>0</v>
      </c>
      <c r="N4266" s="2" t="str">
        <f aca="false">_xlfn.IFS(B4266&lt;30,"Under 30",B4266&lt;40,"30-39",B4266&lt;50,"40-49",B4266&lt;60,"50-59",TRUE(),"60+")</f>
        <v>50-59</v>
      </c>
      <c r="O4266" s="2" t="str">
        <f aca="false">_xlfn.IFS(G4266&lt;0,"1 Negative",G4266=0,"2 Zero",G4266&lt;=500,"3 1-500",G4266&lt;=2000,"4 501-2000",TRUE(),"5 Above 2000")</f>
        <v>3 1-500</v>
      </c>
      <c r="P4266" s="2" t="n">
        <f aca="false">Lookups!$B$2*M4266+Lookups!$B$3*L4266</f>
        <v>0</v>
      </c>
      <c r="Q4266" s="2" t="str">
        <f aca="false">INDEX(Lookups!$E$2:$E$5,MATCH(P4266,Lookups!$D$2:$D$5,0))</f>
        <v>Low</v>
      </c>
    </row>
    <row r="4267" customFormat="false" ht="15" hidden="false" customHeight="false" outlineLevel="0" collapsed="false">
      <c r="A4267" s="3" t="n">
        <v>4266</v>
      </c>
      <c r="B4267" s="3" t="n">
        <f aca="false">Raw_Data!A4267</f>
        <v>30</v>
      </c>
      <c r="C4267" s="3" t="str">
        <f aca="false">SUBSTITUTE(Raw_Data!B4267,".","")</f>
        <v>blue-collar</v>
      </c>
      <c r="D4267" s="3" t="str">
        <f aca="false">Raw_Data!C4267</f>
        <v>single</v>
      </c>
      <c r="E4267" s="3" t="str">
        <f aca="false">Raw_Data!D4267</f>
        <v>secondary</v>
      </c>
      <c r="F4267" s="3" t="str">
        <f aca="false">Raw_Data!E4267</f>
        <v>no</v>
      </c>
      <c r="G4267" s="3" t="n">
        <f aca="false">Raw_Data!F4267</f>
        <v>1073</v>
      </c>
      <c r="H4267" s="3" t="str">
        <f aca="false">Raw_Data!G4267</f>
        <v>yes</v>
      </c>
      <c r="I4267" s="3" t="str">
        <f aca="false">Raw_Data!H4267</f>
        <v>no</v>
      </c>
      <c r="J4267" s="2" t="n">
        <f aca="false">IF(F4267="yes",1,0)</f>
        <v>0</v>
      </c>
      <c r="K4267" s="2" t="n">
        <f aca="false">IF(H4267="yes",1,0)</f>
        <v>1</v>
      </c>
      <c r="L4267" s="2" t="n">
        <f aca="false">IF(I4267="yes",1,0)</f>
        <v>0</v>
      </c>
      <c r="M4267" s="2" t="n">
        <f aca="false">IF(G4267&lt;0,1,0)</f>
        <v>0</v>
      </c>
      <c r="N4267" s="2" t="str">
        <f aca="false">_xlfn.IFS(B4267&lt;30,"Under 30",B4267&lt;40,"30-39",B4267&lt;50,"40-49",B4267&lt;60,"50-59",TRUE(),"60+")</f>
        <v>30-39</v>
      </c>
      <c r="O4267" s="2" t="str">
        <f aca="false">_xlfn.IFS(G4267&lt;0,"1 Negative",G4267=0,"2 Zero",G4267&lt;=500,"3 1-500",G4267&lt;=2000,"4 501-2000",TRUE(),"5 Above 2000")</f>
        <v>4 501-2000</v>
      </c>
      <c r="P4267" s="2" t="n">
        <f aca="false">Lookups!$B$2*M4267+Lookups!$B$3*L4267</f>
        <v>0</v>
      </c>
      <c r="Q4267" s="2" t="str">
        <f aca="false">INDEX(Lookups!$E$2:$E$5,MATCH(P4267,Lookups!$D$2:$D$5,0))</f>
        <v>Low</v>
      </c>
    </row>
    <row r="4268" customFormat="false" ht="15" hidden="false" customHeight="false" outlineLevel="0" collapsed="false">
      <c r="A4268" s="3" t="n">
        <v>4267</v>
      </c>
      <c r="B4268" s="3" t="n">
        <f aca="false">Raw_Data!A4268</f>
        <v>26</v>
      </c>
      <c r="C4268" s="3" t="str">
        <f aca="false">SUBSTITUTE(Raw_Data!B4268,".","")</f>
        <v>services</v>
      </c>
      <c r="D4268" s="3" t="str">
        <f aca="false">Raw_Data!C4268</f>
        <v>single</v>
      </c>
      <c r="E4268" s="3" t="str">
        <f aca="false">Raw_Data!D4268</f>
        <v>secondary</v>
      </c>
      <c r="F4268" s="3" t="str">
        <f aca="false">Raw_Data!E4268</f>
        <v>no</v>
      </c>
      <c r="G4268" s="3" t="n">
        <f aca="false">Raw_Data!F4268</f>
        <v>1700</v>
      </c>
      <c r="H4268" s="3" t="str">
        <f aca="false">Raw_Data!G4268</f>
        <v>yes</v>
      </c>
      <c r="I4268" s="3" t="str">
        <f aca="false">Raw_Data!H4268</f>
        <v>no</v>
      </c>
      <c r="J4268" s="2" t="n">
        <f aca="false">IF(F4268="yes",1,0)</f>
        <v>0</v>
      </c>
      <c r="K4268" s="2" t="n">
        <f aca="false">IF(H4268="yes",1,0)</f>
        <v>1</v>
      </c>
      <c r="L4268" s="2" t="n">
        <f aca="false">IF(I4268="yes",1,0)</f>
        <v>0</v>
      </c>
      <c r="M4268" s="2" t="n">
        <f aca="false">IF(G4268&lt;0,1,0)</f>
        <v>0</v>
      </c>
      <c r="N4268" s="2" t="str">
        <f aca="false">_xlfn.IFS(B4268&lt;30,"Under 30",B4268&lt;40,"30-39",B4268&lt;50,"40-49",B4268&lt;60,"50-59",TRUE(),"60+")</f>
        <v>Under 30</v>
      </c>
      <c r="O4268" s="2" t="str">
        <f aca="false">_xlfn.IFS(G4268&lt;0,"1 Negative",G4268=0,"2 Zero",G4268&lt;=500,"3 1-500",G4268&lt;=2000,"4 501-2000",TRUE(),"5 Above 2000")</f>
        <v>4 501-2000</v>
      </c>
      <c r="P4268" s="2" t="n">
        <f aca="false">Lookups!$B$2*M4268+Lookups!$B$3*L4268</f>
        <v>0</v>
      </c>
      <c r="Q4268" s="2" t="str">
        <f aca="false">INDEX(Lookups!$E$2:$E$5,MATCH(P4268,Lookups!$D$2:$D$5,0))</f>
        <v>Low</v>
      </c>
    </row>
    <row r="4269" customFormat="false" ht="15" hidden="false" customHeight="false" outlineLevel="0" collapsed="false">
      <c r="A4269" s="3" t="n">
        <v>4268</v>
      </c>
      <c r="B4269" s="3" t="n">
        <f aca="false">Raw_Data!A4269</f>
        <v>50</v>
      </c>
      <c r="C4269" s="3" t="str">
        <f aca="false">SUBSTITUTE(Raw_Data!B4269,".","")</f>
        <v>services</v>
      </c>
      <c r="D4269" s="3" t="str">
        <f aca="false">Raw_Data!C4269</f>
        <v>single</v>
      </c>
      <c r="E4269" s="3" t="str">
        <f aca="false">Raw_Data!D4269</f>
        <v>primary</v>
      </c>
      <c r="F4269" s="3" t="str">
        <f aca="false">Raw_Data!E4269</f>
        <v>no</v>
      </c>
      <c r="G4269" s="3" t="n">
        <f aca="false">Raw_Data!F4269</f>
        <v>148</v>
      </c>
      <c r="H4269" s="3" t="str">
        <f aca="false">Raw_Data!G4269</f>
        <v>yes</v>
      </c>
      <c r="I4269" s="3" t="str">
        <f aca="false">Raw_Data!H4269</f>
        <v>no</v>
      </c>
      <c r="J4269" s="2" t="n">
        <f aca="false">IF(F4269="yes",1,0)</f>
        <v>0</v>
      </c>
      <c r="K4269" s="2" t="n">
        <f aca="false">IF(H4269="yes",1,0)</f>
        <v>1</v>
      </c>
      <c r="L4269" s="2" t="n">
        <f aca="false">IF(I4269="yes",1,0)</f>
        <v>0</v>
      </c>
      <c r="M4269" s="2" t="n">
        <f aca="false">IF(G4269&lt;0,1,0)</f>
        <v>0</v>
      </c>
      <c r="N4269" s="2" t="str">
        <f aca="false">_xlfn.IFS(B4269&lt;30,"Under 30",B4269&lt;40,"30-39",B4269&lt;50,"40-49",B4269&lt;60,"50-59",TRUE(),"60+")</f>
        <v>50-59</v>
      </c>
      <c r="O4269" s="2" t="str">
        <f aca="false">_xlfn.IFS(G4269&lt;0,"1 Negative",G4269=0,"2 Zero",G4269&lt;=500,"3 1-500",G4269&lt;=2000,"4 501-2000",TRUE(),"5 Above 2000")</f>
        <v>3 1-500</v>
      </c>
      <c r="P4269" s="2" t="n">
        <f aca="false">Lookups!$B$2*M4269+Lookups!$B$3*L4269</f>
        <v>0</v>
      </c>
      <c r="Q4269" s="2" t="str">
        <f aca="false">INDEX(Lookups!$E$2:$E$5,MATCH(P4269,Lookups!$D$2:$D$5,0))</f>
        <v>Low</v>
      </c>
    </row>
    <row r="4270" customFormat="false" ht="15" hidden="false" customHeight="false" outlineLevel="0" collapsed="false">
      <c r="A4270" s="3" t="n">
        <v>4269</v>
      </c>
      <c r="B4270" s="3" t="n">
        <f aca="false">Raw_Data!A4270</f>
        <v>39</v>
      </c>
      <c r="C4270" s="3" t="str">
        <f aca="false">SUBSTITUTE(Raw_Data!B4270,".","")</f>
        <v>services</v>
      </c>
      <c r="D4270" s="3" t="str">
        <f aca="false">Raw_Data!C4270</f>
        <v>married</v>
      </c>
      <c r="E4270" s="3" t="str">
        <f aca="false">Raw_Data!D4270</f>
        <v>secondary</v>
      </c>
      <c r="F4270" s="3" t="str">
        <f aca="false">Raw_Data!E4270</f>
        <v>no</v>
      </c>
      <c r="G4270" s="3" t="n">
        <f aca="false">Raw_Data!F4270</f>
        <v>0</v>
      </c>
      <c r="H4270" s="3" t="str">
        <f aca="false">Raw_Data!G4270</f>
        <v>yes</v>
      </c>
      <c r="I4270" s="3" t="str">
        <f aca="false">Raw_Data!H4270</f>
        <v>no</v>
      </c>
      <c r="J4270" s="2" t="n">
        <f aca="false">IF(F4270="yes",1,0)</f>
        <v>0</v>
      </c>
      <c r="K4270" s="2" t="n">
        <f aca="false">IF(H4270="yes",1,0)</f>
        <v>1</v>
      </c>
      <c r="L4270" s="2" t="n">
        <f aca="false">IF(I4270="yes",1,0)</f>
        <v>0</v>
      </c>
      <c r="M4270" s="2" t="n">
        <f aca="false">IF(G4270&lt;0,1,0)</f>
        <v>0</v>
      </c>
      <c r="N4270" s="2" t="str">
        <f aca="false">_xlfn.IFS(B4270&lt;30,"Under 30",B4270&lt;40,"30-39",B4270&lt;50,"40-49",B4270&lt;60,"50-59",TRUE(),"60+")</f>
        <v>30-39</v>
      </c>
      <c r="O4270" s="2" t="str">
        <f aca="false">_xlfn.IFS(G4270&lt;0,"1 Negative",G4270=0,"2 Zero",G4270&lt;=500,"3 1-500",G4270&lt;=2000,"4 501-2000",TRUE(),"5 Above 2000")</f>
        <v>2 Zero</v>
      </c>
      <c r="P4270" s="2" t="n">
        <f aca="false">Lookups!$B$2*M4270+Lookups!$B$3*L4270</f>
        <v>0</v>
      </c>
      <c r="Q4270" s="2" t="str">
        <f aca="false">INDEX(Lookups!$E$2:$E$5,MATCH(P4270,Lookups!$D$2:$D$5,0))</f>
        <v>Low</v>
      </c>
    </row>
    <row r="4271" customFormat="false" ht="15" hidden="false" customHeight="false" outlineLevel="0" collapsed="false">
      <c r="A4271" s="3" t="n">
        <v>4270</v>
      </c>
      <c r="B4271" s="3" t="n">
        <f aca="false">Raw_Data!A4271</f>
        <v>45</v>
      </c>
      <c r="C4271" s="3" t="str">
        <f aca="false">SUBSTITUTE(Raw_Data!B4271,".","")</f>
        <v>blue-collar</v>
      </c>
      <c r="D4271" s="3" t="str">
        <f aca="false">Raw_Data!C4271</f>
        <v>married</v>
      </c>
      <c r="E4271" s="3" t="str">
        <f aca="false">Raw_Data!D4271</f>
        <v>primary</v>
      </c>
      <c r="F4271" s="3" t="str">
        <f aca="false">Raw_Data!E4271</f>
        <v>no</v>
      </c>
      <c r="G4271" s="3" t="n">
        <f aca="false">Raw_Data!F4271</f>
        <v>185</v>
      </c>
      <c r="H4271" s="3" t="str">
        <f aca="false">Raw_Data!G4271</f>
        <v>yes</v>
      </c>
      <c r="I4271" s="3" t="str">
        <f aca="false">Raw_Data!H4271</f>
        <v>no</v>
      </c>
      <c r="J4271" s="2" t="n">
        <f aca="false">IF(F4271="yes",1,0)</f>
        <v>0</v>
      </c>
      <c r="K4271" s="2" t="n">
        <f aca="false">IF(H4271="yes",1,0)</f>
        <v>1</v>
      </c>
      <c r="L4271" s="2" t="n">
        <f aca="false">IF(I4271="yes",1,0)</f>
        <v>0</v>
      </c>
      <c r="M4271" s="2" t="n">
        <f aca="false">IF(G4271&lt;0,1,0)</f>
        <v>0</v>
      </c>
      <c r="N4271" s="2" t="str">
        <f aca="false">_xlfn.IFS(B4271&lt;30,"Under 30",B4271&lt;40,"30-39",B4271&lt;50,"40-49",B4271&lt;60,"50-59",TRUE(),"60+")</f>
        <v>40-49</v>
      </c>
      <c r="O4271" s="2" t="str">
        <f aca="false">_xlfn.IFS(G4271&lt;0,"1 Negative",G4271=0,"2 Zero",G4271&lt;=500,"3 1-500",G4271&lt;=2000,"4 501-2000",TRUE(),"5 Above 2000")</f>
        <v>3 1-500</v>
      </c>
      <c r="P4271" s="2" t="n">
        <f aca="false">Lookups!$B$2*M4271+Lookups!$B$3*L4271</f>
        <v>0</v>
      </c>
      <c r="Q4271" s="2" t="str">
        <f aca="false">INDEX(Lookups!$E$2:$E$5,MATCH(P4271,Lookups!$D$2:$D$5,0))</f>
        <v>Low</v>
      </c>
    </row>
    <row r="4272" customFormat="false" ht="15" hidden="false" customHeight="false" outlineLevel="0" collapsed="false">
      <c r="A4272" s="3" t="n">
        <v>4271</v>
      </c>
      <c r="B4272" s="3" t="n">
        <f aca="false">Raw_Data!A4272</f>
        <v>37</v>
      </c>
      <c r="C4272" s="3" t="str">
        <f aca="false">SUBSTITUTE(Raw_Data!B4272,".","")</f>
        <v>management</v>
      </c>
      <c r="D4272" s="3" t="str">
        <f aca="false">Raw_Data!C4272</f>
        <v>divorced</v>
      </c>
      <c r="E4272" s="3" t="str">
        <f aca="false">Raw_Data!D4272</f>
        <v>tertiary</v>
      </c>
      <c r="F4272" s="3" t="str">
        <f aca="false">Raw_Data!E4272</f>
        <v>no</v>
      </c>
      <c r="G4272" s="3" t="n">
        <f aca="false">Raw_Data!F4272</f>
        <v>896</v>
      </c>
      <c r="H4272" s="3" t="str">
        <f aca="false">Raw_Data!G4272</f>
        <v>no</v>
      </c>
      <c r="I4272" s="3" t="str">
        <f aca="false">Raw_Data!H4272</f>
        <v>yes</v>
      </c>
      <c r="J4272" s="2" t="n">
        <f aca="false">IF(F4272="yes",1,0)</f>
        <v>0</v>
      </c>
      <c r="K4272" s="2" t="n">
        <f aca="false">IF(H4272="yes",1,0)</f>
        <v>0</v>
      </c>
      <c r="L4272" s="2" t="n">
        <f aca="false">IF(I4272="yes",1,0)</f>
        <v>1</v>
      </c>
      <c r="M4272" s="2" t="n">
        <f aca="false">IF(G4272&lt;0,1,0)</f>
        <v>0</v>
      </c>
      <c r="N4272" s="2" t="str">
        <f aca="false">_xlfn.IFS(B4272&lt;30,"Under 30",B4272&lt;40,"30-39",B4272&lt;50,"40-49",B4272&lt;60,"50-59",TRUE(),"60+")</f>
        <v>30-39</v>
      </c>
      <c r="O4272" s="2" t="str">
        <f aca="false">_xlfn.IFS(G4272&lt;0,"1 Negative",G4272=0,"2 Zero",G4272&lt;=500,"3 1-500",G4272&lt;=2000,"4 501-2000",TRUE(),"5 Above 2000")</f>
        <v>4 501-2000</v>
      </c>
      <c r="P4272" s="2" t="n">
        <f aca="false">Lookups!$B$2*M4272+Lookups!$B$3*L4272</f>
        <v>1</v>
      </c>
      <c r="Q4272" s="2" t="str">
        <f aca="false">INDEX(Lookups!$E$2:$E$5,MATCH(P4272,Lookups!$D$2:$D$5,0))</f>
        <v>Medium</v>
      </c>
    </row>
    <row r="4273" customFormat="false" ht="15" hidden="false" customHeight="false" outlineLevel="0" collapsed="false">
      <c r="A4273" s="3" t="n">
        <v>4272</v>
      </c>
      <c r="B4273" s="3" t="n">
        <f aca="false">Raw_Data!A4273</f>
        <v>47</v>
      </c>
      <c r="C4273" s="3" t="str">
        <f aca="false">SUBSTITUTE(Raw_Data!B4273,".","")</f>
        <v>blue-collar</v>
      </c>
      <c r="D4273" s="3" t="str">
        <f aca="false">Raw_Data!C4273</f>
        <v>divorced</v>
      </c>
      <c r="E4273" s="3" t="str">
        <f aca="false">Raw_Data!D4273</f>
        <v>primary</v>
      </c>
      <c r="F4273" s="3" t="str">
        <f aca="false">Raw_Data!E4273</f>
        <v>no</v>
      </c>
      <c r="G4273" s="3" t="n">
        <f aca="false">Raw_Data!F4273</f>
        <v>1279</v>
      </c>
      <c r="H4273" s="3" t="str">
        <f aca="false">Raw_Data!G4273</f>
        <v>yes</v>
      </c>
      <c r="I4273" s="3" t="str">
        <f aca="false">Raw_Data!H4273</f>
        <v>no</v>
      </c>
      <c r="J4273" s="2" t="n">
        <f aca="false">IF(F4273="yes",1,0)</f>
        <v>0</v>
      </c>
      <c r="K4273" s="2" t="n">
        <f aca="false">IF(H4273="yes",1,0)</f>
        <v>1</v>
      </c>
      <c r="L4273" s="2" t="n">
        <f aca="false">IF(I4273="yes",1,0)</f>
        <v>0</v>
      </c>
      <c r="M4273" s="2" t="n">
        <f aca="false">IF(G4273&lt;0,1,0)</f>
        <v>0</v>
      </c>
      <c r="N4273" s="2" t="str">
        <f aca="false">_xlfn.IFS(B4273&lt;30,"Under 30",B4273&lt;40,"30-39",B4273&lt;50,"40-49",B4273&lt;60,"50-59",TRUE(),"60+")</f>
        <v>40-49</v>
      </c>
      <c r="O4273" s="2" t="str">
        <f aca="false">_xlfn.IFS(G4273&lt;0,"1 Negative",G4273=0,"2 Zero",G4273&lt;=500,"3 1-500",G4273&lt;=2000,"4 501-2000",TRUE(),"5 Above 2000")</f>
        <v>4 501-2000</v>
      </c>
      <c r="P4273" s="2" t="n">
        <f aca="false">Lookups!$B$2*M4273+Lookups!$B$3*L4273</f>
        <v>0</v>
      </c>
      <c r="Q4273" s="2" t="str">
        <f aca="false">INDEX(Lookups!$E$2:$E$5,MATCH(P4273,Lookups!$D$2:$D$5,0))</f>
        <v>Low</v>
      </c>
    </row>
    <row r="4274" customFormat="false" ht="15" hidden="false" customHeight="false" outlineLevel="0" collapsed="false">
      <c r="A4274" s="3" t="n">
        <v>4273</v>
      </c>
      <c r="B4274" s="3" t="n">
        <f aca="false">Raw_Data!A4274</f>
        <v>50</v>
      </c>
      <c r="C4274" s="3" t="str">
        <f aca="false">SUBSTITUTE(Raw_Data!B4274,".","")</f>
        <v>technician</v>
      </c>
      <c r="D4274" s="3" t="str">
        <f aca="false">Raw_Data!C4274</f>
        <v>married</v>
      </c>
      <c r="E4274" s="3" t="str">
        <f aca="false">Raw_Data!D4274</f>
        <v>tertiary</v>
      </c>
      <c r="F4274" s="3" t="str">
        <f aca="false">Raw_Data!E4274</f>
        <v>no</v>
      </c>
      <c r="G4274" s="3" t="n">
        <f aca="false">Raw_Data!F4274</f>
        <v>199</v>
      </c>
      <c r="H4274" s="3" t="str">
        <f aca="false">Raw_Data!G4274</f>
        <v>yes</v>
      </c>
      <c r="I4274" s="3" t="str">
        <f aca="false">Raw_Data!H4274</f>
        <v>yes</v>
      </c>
      <c r="J4274" s="2" t="n">
        <f aca="false">IF(F4274="yes",1,0)</f>
        <v>0</v>
      </c>
      <c r="K4274" s="2" t="n">
        <f aca="false">IF(H4274="yes",1,0)</f>
        <v>1</v>
      </c>
      <c r="L4274" s="2" t="n">
        <f aca="false">IF(I4274="yes",1,0)</f>
        <v>1</v>
      </c>
      <c r="M4274" s="2" t="n">
        <f aca="false">IF(G4274&lt;0,1,0)</f>
        <v>0</v>
      </c>
      <c r="N4274" s="2" t="str">
        <f aca="false">_xlfn.IFS(B4274&lt;30,"Under 30",B4274&lt;40,"30-39",B4274&lt;50,"40-49",B4274&lt;60,"50-59",TRUE(),"60+")</f>
        <v>50-59</v>
      </c>
      <c r="O4274" s="2" t="str">
        <f aca="false">_xlfn.IFS(G4274&lt;0,"1 Negative",G4274=0,"2 Zero",G4274&lt;=500,"3 1-500",G4274&lt;=2000,"4 501-2000",TRUE(),"5 Above 2000")</f>
        <v>3 1-500</v>
      </c>
      <c r="P4274" s="2" t="n">
        <f aca="false">Lookups!$B$2*M4274+Lookups!$B$3*L4274</f>
        <v>1</v>
      </c>
      <c r="Q4274" s="2" t="str">
        <f aca="false">INDEX(Lookups!$E$2:$E$5,MATCH(P4274,Lookups!$D$2:$D$5,0))</f>
        <v>Medium</v>
      </c>
    </row>
    <row r="4275" customFormat="false" ht="15" hidden="false" customHeight="false" outlineLevel="0" collapsed="false">
      <c r="A4275" s="3" t="n">
        <v>4274</v>
      </c>
      <c r="B4275" s="3" t="n">
        <f aca="false">Raw_Data!A4275</f>
        <v>40</v>
      </c>
      <c r="C4275" s="3" t="str">
        <f aca="false">SUBSTITUTE(Raw_Data!B4275,".","")</f>
        <v>management</v>
      </c>
      <c r="D4275" s="3" t="str">
        <f aca="false">Raw_Data!C4275</f>
        <v>married</v>
      </c>
      <c r="E4275" s="3" t="str">
        <f aca="false">Raw_Data!D4275</f>
        <v>secondary</v>
      </c>
      <c r="F4275" s="3" t="str">
        <f aca="false">Raw_Data!E4275</f>
        <v>no</v>
      </c>
      <c r="G4275" s="3" t="n">
        <f aca="false">Raw_Data!F4275</f>
        <v>99</v>
      </c>
      <c r="H4275" s="3" t="str">
        <f aca="false">Raw_Data!G4275</f>
        <v>no</v>
      </c>
      <c r="I4275" s="3" t="str">
        <f aca="false">Raw_Data!H4275</f>
        <v>no</v>
      </c>
      <c r="J4275" s="2" t="n">
        <f aca="false">IF(F4275="yes",1,0)</f>
        <v>0</v>
      </c>
      <c r="K4275" s="2" t="n">
        <f aca="false">IF(H4275="yes",1,0)</f>
        <v>0</v>
      </c>
      <c r="L4275" s="2" t="n">
        <f aca="false">IF(I4275="yes",1,0)</f>
        <v>0</v>
      </c>
      <c r="M4275" s="2" t="n">
        <f aca="false">IF(G4275&lt;0,1,0)</f>
        <v>0</v>
      </c>
      <c r="N4275" s="2" t="str">
        <f aca="false">_xlfn.IFS(B4275&lt;30,"Under 30",B4275&lt;40,"30-39",B4275&lt;50,"40-49",B4275&lt;60,"50-59",TRUE(),"60+")</f>
        <v>40-49</v>
      </c>
      <c r="O4275" s="2" t="str">
        <f aca="false">_xlfn.IFS(G4275&lt;0,"1 Negative",G4275=0,"2 Zero",G4275&lt;=500,"3 1-500",G4275&lt;=2000,"4 501-2000",TRUE(),"5 Above 2000")</f>
        <v>3 1-500</v>
      </c>
      <c r="P4275" s="2" t="n">
        <f aca="false">Lookups!$B$2*M4275+Lookups!$B$3*L4275</f>
        <v>0</v>
      </c>
      <c r="Q4275" s="2" t="str">
        <f aca="false">INDEX(Lookups!$E$2:$E$5,MATCH(P4275,Lookups!$D$2:$D$5,0))</f>
        <v>Low</v>
      </c>
    </row>
    <row r="4276" customFormat="false" ht="15" hidden="false" customHeight="false" outlineLevel="0" collapsed="false">
      <c r="A4276" s="3" t="n">
        <v>4275</v>
      </c>
      <c r="B4276" s="3" t="n">
        <f aca="false">Raw_Data!A4276</f>
        <v>35</v>
      </c>
      <c r="C4276" s="3" t="str">
        <f aca="false">SUBSTITUTE(Raw_Data!B4276,".","")</f>
        <v>blue-collar</v>
      </c>
      <c r="D4276" s="3" t="str">
        <f aca="false">Raw_Data!C4276</f>
        <v>married</v>
      </c>
      <c r="E4276" s="3" t="str">
        <f aca="false">Raw_Data!D4276</f>
        <v>primary</v>
      </c>
      <c r="F4276" s="3" t="str">
        <f aca="false">Raw_Data!E4276</f>
        <v>no</v>
      </c>
      <c r="G4276" s="3" t="n">
        <f aca="false">Raw_Data!F4276</f>
        <v>378</v>
      </c>
      <c r="H4276" s="3" t="str">
        <f aca="false">Raw_Data!G4276</f>
        <v>yes</v>
      </c>
      <c r="I4276" s="3" t="str">
        <f aca="false">Raw_Data!H4276</f>
        <v>no</v>
      </c>
      <c r="J4276" s="2" t="n">
        <f aca="false">IF(F4276="yes",1,0)</f>
        <v>0</v>
      </c>
      <c r="K4276" s="2" t="n">
        <f aca="false">IF(H4276="yes",1,0)</f>
        <v>1</v>
      </c>
      <c r="L4276" s="2" t="n">
        <f aca="false">IF(I4276="yes",1,0)</f>
        <v>0</v>
      </c>
      <c r="M4276" s="2" t="n">
        <f aca="false">IF(G4276&lt;0,1,0)</f>
        <v>0</v>
      </c>
      <c r="N4276" s="2" t="str">
        <f aca="false">_xlfn.IFS(B4276&lt;30,"Under 30",B4276&lt;40,"30-39",B4276&lt;50,"40-49",B4276&lt;60,"50-59",TRUE(),"60+")</f>
        <v>30-39</v>
      </c>
      <c r="O4276" s="2" t="str">
        <f aca="false">_xlfn.IFS(G4276&lt;0,"1 Negative",G4276=0,"2 Zero",G4276&lt;=500,"3 1-500",G4276&lt;=2000,"4 501-2000",TRUE(),"5 Above 2000")</f>
        <v>3 1-500</v>
      </c>
      <c r="P4276" s="2" t="n">
        <f aca="false">Lookups!$B$2*M4276+Lookups!$B$3*L4276</f>
        <v>0</v>
      </c>
      <c r="Q4276" s="2" t="str">
        <f aca="false">INDEX(Lookups!$E$2:$E$5,MATCH(P4276,Lookups!$D$2:$D$5,0))</f>
        <v>Low</v>
      </c>
    </row>
    <row r="4277" customFormat="false" ht="15" hidden="false" customHeight="false" outlineLevel="0" collapsed="false">
      <c r="A4277" s="3" t="n">
        <v>4276</v>
      </c>
      <c r="B4277" s="3" t="n">
        <f aca="false">Raw_Data!A4277</f>
        <v>53</v>
      </c>
      <c r="C4277" s="3" t="str">
        <f aca="false">SUBSTITUTE(Raw_Data!B4277,".","")</f>
        <v>management</v>
      </c>
      <c r="D4277" s="3" t="str">
        <f aca="false">Raw_Data!C4277</f>
        <v>married</v>
      </c>
      <c r="E4277" s="3" t="str">
        <f aca="false">Raw_Data!D4277</f>
        <v>tertiary</v>
      </c>
      <c r="F4277" s="3" t="str">
        <f aca="false">Raw_Data!E4277</f>
        <v>no</v>
      </c>
      <c r="G4277" s="3" t="n">
        <f aca="false">Raw_Data!F4277</f>
        <v>15</v>
      </c>
      <c r="H4277" s="3" t="str">
        <f aca="false">Raw_Data!G4277</f>
        <v>no</v>
      </c>
      <c r="I4277" s="3" t="str">
        <f aca="false">Raw_Data!H4277</f>
        <v>no</v>
      </c>
      <c r="J4277" s="2" t="n">
        <f aca="false">IF(F4277="yes",1,0)</f>
        <v>0</v>
      </c>
      <c r="K4277" s="2" t="n">
        <f aca="false">IF(H4277="yes",1,0)</f>
        <v>0</v>
      </c>
      <c r="L4277" s="2" t="n">
        <f aca="false">IF(I4277="yes",1,0)</f>
        <v>0</v>
      </c>
      <c r="M4277" s="2" t="n">
        <f aca="false">IF(G4277&lt;0,1,0)</f>
        <v>0</v>
      </c>
      <c r="N4277" s="2" t="str">
        <f aca="false">_xlfn.IFS(B4277&lt;30,"Under 30",B4277&lt;40,"30-39",B4277&lt;50,"40-49",B4277&lt;60,"50-59",TRUE(),"60+")</f>
        <v>50-59</v>
      </c>
      <c r="O4277" s="2" t="str">
        <f aca="false">_xlfn.IFS(G4277&lt;0,"1 Negative",G4277=0,"2 Zero",G4277&lt;=500,"3 1-500",G4277&lt;=2000,"4 501-2000",TRUE(),"5 Above 2000")</f>
        <v>3 1-500</v>
      </c>
      <c r="P4277" s="2" t="n">
        <f aca="false">Lookups!$B$2*M4277+Lookups!$B$3*L4277</f>
        <v>0</v>
      </c>
      <c r="Q4277" s="2" t="str">
        <f aca="false">INDEX(Lookups!$E$2:$E$5,MATCH(P4277,Lookups!$D$2:$D$5,0))</f>
        <v>Low</v>
      </c>
    </row>
    <row r="4278" customFormat="false" ht="15" hidden="false" customHeight="false" outlineLevel="0" collapsed="false">
      <c r="A4278" s="3" t="n">
        <v>4277</v>
      </c>
      <c r="B4278" s="3" t="n">
        <f aca="false">Raw_Data!A4278</f>
        <v>35</v>
      </c>
      <c r="C4278" s="3" t="str">
        <f aca="false">SUBSTITUTE(Raw_Data!B4278,".","")</f>
        <v>admin</v>
      </c>
      <c r="D4278" s="3" t="str">
        <f aca="false">Raw_Data!C4278</f>
        <v>married</v>
      </c>
      <c r="E4278" s="3" t="str">
        <f aca="false">Raw_Data!D4278</f>
        <v>secondary</v>
      </c>
      <c r="F4278" s="3" t="str">
        <f aca="false">Raw_Data!E4278</f>
        <v>no</v>
      </c>
      <c r="G4278" s="3" t="n">
        <f aca="false">Raw_Data!F4278</f>
        <v>147</v>
      </c>
      <c r="H4278" s="3" t="str">
        <f aca="false">Raw_Data!G4278</f>
        <v>yes</v>
      </c>
      <c r="I4278" s="3" t="str">
        <f aca="false">Raw_Data!H4278</f>
        <v>yes</v>
      </c>
      <c r="J4278" s="2" t="n">
        <f aca="false">IF(F4278="yes",1,0)</f>
        <v>0</v>
      </c>
      <c r="K4278" s="2" t="n">
        <f aca="false">IF(H4278="yes",1,0)</f>
        <v>1</v>
      </c>
      <c r="L4278" s="2" t="n">
        <f aca="false">IF(I4278="yes",1,0)</f>
        <v>1</v>
      </c>
      <c r="M4278" s="2" t="n">
        <f aca="false">IF(G4278&lt;0,1,0)</f>
        <v>0</v>
      </c>
      <c r="N4278" s="2" t="str">
        <f aca="false">_xlfn.IFS(B4278&lt;30,"Under 30",B4278&lt;40,"30-39",B4278&lt;50,"40-49",B4278&lt;60,"50-59",TRUE(),"60+")</f>
        <v>30-39</v>
      </c>
      <c r="O4278" s="2" t="str">
        <f aca="false">_xlfn.IFS(G4278&lt;0,"1 Negative",G4278=0,"2 Zero",G4278&lt;=500,"3 1-500",G4278&lt;=2000,"4 501-2000",TRUE(),"5 Above 2000")</f>
        <v>3 1-500</v>
      </c>
      <c r="P4278" s="2" t="n">
        <f aca="false">Lookups!$B$2*M4278+Lookups!$B$3*L4278</f>
        <v>1</v>
      </c>
      <c r="Q4278" s="2" t="str">
        <f aca="false">INDEX(Lookups!$E$2:$E$5,MATCH(P4278,Lookups!$D$2:$D$5,0))</f>
        <v>Medium</v>
      </c>
    </row>
    <row r="4279" customFormat="false" ht="15" hidden="false" customHeight="false" outlineLevel="0" collapsed="false">
      <c r="A4279" s="3" t="n">
        <v>4278</v>
      </c>
      <c r="B4279" s="3" t="n">
        <f aca="false">Raw_Data!A4279</f>
        <v>54</v>
      </c>
      <c r="C4279" s="3" t="str">
        <f aca="false">SUBSTITUTE(Raw_Data!B4279,".","")</f>
        <v>technician</v>
      </c>
      <c r="D4279" s="3" t="str">
        <f aca="false">Raw_Data!C4279</f>
        <v>married</v>
      </c>
      <c r="E4279" s="3" t="str">
        <f aca="false">Raw_Data!D4279</f>
        <v>secondary</v>
      </c>
      <c r="F4279" s="3" t="str">
        <f aca="false">Raw_Data!E4279</f>
        <v>no</v>
      </c>
      <c r="G4279" s="3" t="n">
        <f aca="false">Raw_Data!F4279</f>
        <v>2225</v>
      </c>
      <c r="H4279" s="3" t="str">
        <f aca="false">Raw_Data!G4279</f>
        <v>no</v>
      </c>
      <c r="I4279" s="3" t="str">
        <f aca="false">Raw_Data!H4279</f>
        <v>yes</v>
      </c>
      <c r="J4279" s="2" t="n">
        <f aca="false">IF(F4279="yes",1,0)</f>
        <v>0</v>
      </c>
      <c r="K4279" s="2" t="n">
        <f aca="false">IF(H4279="yes",1,0)</f>
        <v>0</v>
      </c>
      <c r="L4279" s="2" t="n">
        <f aca="false">IF(I4279="yes",1,0)</f>
        <v>1</v>
      </c>
      <c r="M4279" s="2" t="n">
        <f aca="false">IF(G4279&lt;0,1,0)</f>
        <v>0</v>
      </c>
      <c r="N4279" s="2" t="str">
        <f aca="false">_xlfn.IFS(B4279&lt;30,"Under 30",B4279&lt;40,"30-39",B4279&lt;50,"40-49",B4279&lt;60,"50-59",TRUE(),"60+")</f>
        <v>50-59</v>
      </c>
      <c r="O4279" s="2" t="str">
        <f aca="false">_xlfn.IFS(G4279&lt;0,"1 Negative",G4279=0,"2 Zero",G4279&lt;=500,"3 1-500",G4279&lt;=2000,"4 501-2000",TRUE(),"5 Above 2000")</f>
        <v>5 Above 2000</v>
      </c>
      <c r="P4279" s="2" t="n">
        <f aca="false">Lookups!$B$2*M4279+Lookups!$B$3*L4279</f>
        <v>1</v>
      </c>
      <c r="Q4279" s="2" t="str">
        <f aca="false">INDEX(Lookups!$E$2:$E$5,MATCH(P4279,Lookups!$D$2:$D$5,0))</f>
        <v>Medium</v>
      </c>
    </row>
    <row r="4280" customFormat="false" ht="15" hidden="false" customHeight="false" outlineLevel="0" collapsed="false">
      <c r="A4280" s="3" t="n">
        <v>4279</v>
      </c>
      <c r="B4280" s="3" t="n">
        <f aca="false">Raw_Data!A4280</f>
        <v>35</v>
      </c>
      <c r="C4280" s="3" t="str">
        <f aca="false">SUBSTITUTE(Raw_Data!B4280,".","")</f>
        <v>admin</v>
      </c>
      <c r="D4280" s="3" t="str">
        <f aca="false">Raw_Data!C4280</f>
        <v>single</v>
      </c>
      <c r="E4280" s="3" t="str">
        <f aca="false">Raw_Data!D4280</f>
        <v>secondary</v>
      </c>
      <c r="F4280" s="3" t="str">
        <f aca="false">Raw_Data!E4280</f>
        <v>no</v>
      </c>
      <c r="G4280" s="3" t="n">
        <f aca="false">Raw_Data!F4280</f>
        <v>1810</v>
      </c>
      <c r="H4280" s="3" t="str">
        <f aca="false">Raw_Data!G4280</f>
        <v>yes</v>
      </c>
      <c r="I4280" s="3" t="str">
        <f aca="false">Raw_Data!H4280</f>
        <v>no</v>
      </c>
      <c r="J4280" s="2" t="n">
        <f aca="false">IF(F4280="yes",1,0)</f>
        <v>0</v>
      </c>
      <c r="K4280" s="2" t="n">
        <f aca="false">IF(H4280="yes",1,0)</f>
        <v>1</v>
      </c>
      <c r="L4280" s="2" t="n">
        <f aca="false">IF(I4280="yes",1,0)</f>
        <v>0</v>
      </c>
      <c r="M4280" s="2" t="n">
        <f aca="false">IF(G4280&lt;0,1,0)</f>
        <v>0</v>
      </c>
      <c r="N4280" s="2" t="str">
        <f aca="false">_xlfn.IFS(B4280&lt;30,"Under 30",B4280&lt;40,"30-39",B4280&lt;50,"40-49",B4280&lt;60,"50-59",TRUE(),"60+")</f>
        <v>30-39</v>
      </c>
      <c r="O4280" s="2" t="str">
        <f aca="false">_xlfn.IFS(G4280&lt;0,"1 Negative",G4280=0,"2 Zero",G4280&lt;=500,"3 1-500",G4280&lt;=2000,"4 501-2000",TRUE(),"5 Above 2000")</f>
        <v>4 501-2000</v>
      </c>
      <c r="P4280" s="2" t="n">
        <f aca="false">Lookups!$B$2*M4280+Lookups!$B$3*L4280</f>
        <v>0</v>
      </c>
      <c r="Q4280" s="2" t="str">
        <f aca="false">INDEX(Lookups!$E$2:$E$5,MATCH(P4280,Lookups!$D$2:$D$5,0))</f>
        <v>Low</v>
      </c>
    </row>
    <row r="4281" customFormat="false" ht="15" hidden="false" customHeight="false" outlineLevel="0" collapsed="false">
      <c r="A4281" s="3" t="n">
        <v>4280</v>
      </c>
      <c r="B4281" s="3" t="n">
        <f aca="false">Raw_Data!A4281</f>
        <v>31</v>
      </c>
      <c r="C4281" s="3" t="str">
        <f aca="false">SUBSTITUTE(Raw_Data!B4281,".","")</f>
        <v>housemaid</v>
      </c>
      <c r="D4281" s="3" t="str">
        <f aca="false">Raw_Data!C4281</f>
        <v>married</v>
      </c>
      <c r="E4281" s="3" t="str">
        <f aca="false">Raw_Data!D4281</f>
        <v>unknown</v>
      </c>
      <c r="F4281" s="3" t="str">
        <f aca="false">Raw_Data!E4281</f>
        <v>yes</v>
      </c>
      <c r="G4281" s="3" t="n">
        <f aca="false">Raw_Data!F4281</f>
        <v>-6</v>
      </c>
      <c r="H4281" s="3" t="str">
        <f aca="false">Raw_Data!G4281</f>
        <v>no</v>
      </c>
      <c r="I4281" s="3" t="str">
        <f aca="false">Raw_Data!H4281</f>
        <v>yes</v>
      </c>
      <c r="J4281" s="2" t="n">
        <f aca="false">IF(F4281="yes",1,0)</f>
        <v>1</v>
      </c>
      <c r="K4281" s="2" t="n">
        <f aca="false">IF(H4281="yes",1,0)</f>
        <v>0</v>
      </c>
      <c r="L4281" s="2" t="n">
        <f aca="false">IF(I4281="yes",1,0)</f>
        <v>1</v>
      </c>
      <c r="M4281" s="2" t="n">
        <f aca="false">IF(G4281&lt;0,1,0)</f>
        <v>1</v>
      </c>
      <c r="N4281" s="2" t="str">
        <f aca="false">_xlfn.IFS(B4281&lt;30,"Under 30",B4281&lt;40,"30-39",B4281&lt;50,"40-49",B4281&lt;60,"50-59",TRUE(),"60+")</f>
        <v>30-39</v>
      </c>
      <c r="O4281" s="2" t="str">
        <f aca="false">_xlfn.IFS(G4281&lt;0,"1 Negative",G4281=0,"2 Zero",G4281&lt;=500,"3 1-500",G4281&lt;=2000,"4 501-2000",TRUE(),"5 Above 2000")</f>
        <v>1 Negative</v>
      </c>
      <c r="P4281" s="2" t="n">
        <f aca="false">Lookups!$B$2*M4281+Lookups!$B$3*L4281</f>
        <v>3</v>
      </c>
      <c r="Q4281" s="2" t="str">
        <f aca="false">INDEX(Lookups!$E$2:$E$5,MATCH(P4281,Lookups!$D$2:$D$5,0))</f>
        <v>High</v>
      </c>
    </row>
    <row r="4282" customFormat="false" ht="15" hidden="false" customHeight="false" outlineLevel="0" collapsed="false">
      <c r="A4282" s="3" t="n">
        <v>4281</v>
      </c>
      <c r="B4282" s="3" t="n">
        <f aca="false">Raw_Data!A4282</f>
        <v>46</v>
      </c>
      <c r="C4282" s="3" t="str">
        <f aca="false">SUBSTITUTE(Raw_Data!B4282,".","")</f>
        <v>technician</v>
      </c>
      <c r="D4282" s="3" t="str">
        <f aca="false">Raw_Data!C4282</f>
        <v>divorced</v>
      </c>
      <c r="E4282" s="3" t="str">
        <f aca="false">Raw_Data!D4282</f>
        <v>secondary</v>
      </c>
      <c r="F4282" s="3" t="str">
        <f aca="false">Raw_Data!E4282</f>
        <v>no</v>
      </c>
      <c r="G4282" s="3" t="n">
        <f aca="false">Raw_Data!F4282</f>
        <v>435</v>
      </c>
      <c r="H4282" s="3" t="str">
        <f aca="false">Raw_Data!G4282</f>
        <v>yes</v>
      </c>
      <c r="I4282" s="3" t="str">
        <f aca="false">Raw_Data!H4282</f>
        <v>no</v>
      </c>
      <c r="J4282" s="2" t="n">
        <f aca="false">IF(F4282="yes",1,0)</f>
        <v>0</v>
      </c>
      <c r="K4282" s="2" t="n">
        <f aca="false">IF(H4282="yes",1,0)</f>
        <v>1</v>
      </c>
      <c r="L4282" s="2" t="n">
        <f aca="false">IF(I4282="yes",1,0)</f>
        <v>0</v>
      </c>
      <c r="M4282" s="2" t="n">
        <f aca="false">IF(G4282&lt;0,1,0)</f>
        <v>0</v>
      </c>
      <c r="N4282" s="2" t="str">
        <f aca="false">_xlfn.IFS(B4282&lt;30,"Under 30",B4282&lt;40,"30-39",B4282&lt;50,"40-49",B4282&lt;60,"50-59",TRUE(),"60+")</f>
        <v>40-49</v>
      </c>
      <c r="O4282" s="2" t="str">
        <f aca="false">_xlfn.IFS(G4282&lt;0,"1 Negative",G4282=0,"2 Zero",G4282&lt;=500,"3 1-500",G4282&lt;=2000,"4 501-2000",TRUE(),"5 Above 2000")</f>
        <v>3 1-500</v>
      </c>
      <c r="P4282" s="2" t="n">
        <f aca="false">Lookups!$B$2*M4282+Lookups!$B$3*L4282</f>
        <v>0</v>
      </c>
      <c r="Q4282" s="2" t="str">
        <f aca="false">INDEX(Lookups!$E$2:$E$5,MATCH(P4282,Lookups!$D$2:$D$5,0))</f>
        <v>Low</v>
      </c>
    </row>
    <row r="4283" customFormat="false" ht="15" hidden="false" customHeight="false" outlineLevel="0" collapsed="false">
      <c r="A4283" s="3" t="n">
        <v>4282</v>
      </c>
      <c r="B4283" s="3" t="n">
        <f aca="false">Raw_Data!A4283</f>
        <v>52</v>
      </c>
      <c r="C4283" s="3" t="str">
        <f aca="false">SUBSTITUTE(Raw_Data!B4283,".","")</f>
        <v>management</v>
      </c>
      <c r="D4283" s="3" t="str">
        <f aca="false">Raw_Data!C4283</f>
        <v>married</v>
      </c>
      <c r="E4283" s="3" t="str">
        <f aca="false">Raw_Data!D4283</f>
        <v>secondary</v>
      </c>
      <c r="F4283" s="3" t="str">
        <f aca="false">Raw_Data!E4283</f>
        <v>no</v>
      </c>
      <c r="G4283" s="3" t="n">
        <f aca="false">Raw_Data!F4283</f>
        <v>335</v>
      </c>
      <c r="H4283" s="3" t="str">
        <f aca="false">Raw_Data!G4283</f>
        <v>no</v>
      </c>
      <c r="I4283" s="3" t="str">
        <f aca="false">Raw_Data!H4283</f>
        <v>no</v>
      </c>
      <c r="J4283" s="2" t="n">
        <f aca="false">IF(F4283="yes",1,0)</f>
        <v>0</v>
      </c>
      <c r="K4283" s="2" t="n">
        <f aca="false">IF(H4283="yes",1,0)</f>
        <v>0</v>
      </c>
      <c r="L4283" s="2" t="n">
        <f aca="false">IF(I4283="yes",1,0)</f>
        <v>0</v>
      </c>
      <c r="M4283" s="2" t="n">
        <f aca="false">IF(G4283&lt;0,1,0)</f>
        <v>0</v>
      </c>
      <c r="N4283" s="2" t="str">
        <f aca="false">_xlfn.IFS(B4283&lt;30,"Under 30",B4283&lt;40,"30-39",B4283&lt;50,"40-49",B4283&lt;60,"50-59",TRUE(),"60+")</f>
        <v>50-59</v>
      </c>
      <c r="O4283" s="2" t="str">
        <f aca="false">_xlfn.IFS(G4283&lt;0,"1 Negative",G4283=0,"2 Zero",G4283&lt;=500,"3 1-500",G4283&lt;=2000,"4 501-2000",TRUE(),"5 Above 2000")</f>
        <v>3 1-500</v>
      </c>
      <c r="P4283" s="2" t="n">
        <f aca="false">Lookups!$B$2*M4283+Lookups!$B$3*L4283</f>
        <v>0</v>
      </c>
      <c r="Q4283" s="2" t="str">
        <f aca="false">INDEX(Lookups!$E$2:$E$5,MATCH(P4283,Lookups!$D$2:$D$5,0))</f>
        <v>Low</v>
      </c>
    </row>
    <row r="4284" customFormat="false" ht="15" hidden="false" customHeight="false" outlineLevel="0" collapsed="false">
      <c r="A4284" s="3" t="n">
        <v>4283</v>
      </c>
      <c r="B4284" s="3" t="n">
        <f aca="false">Raw_Data!A4284</f>
        <v>34</v>
      </c>
      <c r="C4284" s="3" t="str">
        <f aca="false">SUBSTITUTE(Raw_Data!B4284,".","")</f>
        <v>admin</v>
      </c>
      <c r="D4284" s="3" t="str">
        <f aca="false">Raw_Data!C4284</f>
        <v>divorced</v>
      </c>
      <c r="E4284" s="3" t="str">
        <f aca="false">Raw_Data!D4284</f>
        <v>secondary</v>
      </c>
      <c r="F4284" s="3" t="str">
        <f aca="false">Raw_Data!E4284</f>
        <v>no</v>
      </c>
      <c r="G4284" s="3" t="n">
        <f aca="false">Raw_Data!F4284</f>
        <v>-251</v>
      </c>
      <c r="H4284" s="3" t="str">
        <f aca="false">Raw_Data!G4284</f>
        <v>no</v>
      </c>
      <c r="I4284" s="3" t="str">
        <f aca="false">Raw_Data!H4284</f>
        <v>no</v>
      </c>
      <c r="J4284" s="2" t="n">
        <f aca="false">IF(F4284="yes",1,0)</f>
        <v>0</v>
      </c>
      <c r="K4284" s="2" t="n">
        <f aca="false">IF(H4284="yes",1,0)</f>
        <v>0</v>
      </c>
      <c r="L4284" s="2" t="n">
        <f aca="false">IF(I4284="yes",1,0)</f>
        <v>0</v>
      </c>
      <c r="M4284" s="2" t="n">
        <f aca="false">IF(G4284&lt;0,1,0)</f>
        <v>1</v>
      </c>
      <c r="N4284" s="2" t="str">
        <f aca="false">_xlfn.IFS(B4284&lt;30,"Under 30",B4284&lt;40,"30-39",B4284&lt;50,"40-49",B4284&lt;60,"50-59",TRUE(),"60+")</f>
        <v>30-39</v>
      </c>
      <c r="O4284" s="2" t="str">
        <f aca="false">_xlfn.IFS(G4284&lt;0,"1 Negative",G4284=0,"2 Zero",G4284&lt;=500,"3 1-500",G4284&lt;=2000,"4 501-2000",TRUE(),"5 Above 2000")</f>
        <v>1 Negative</v>
      </c>
      <c r="P4284" s="2" t="n">
        <f aca="false">Lookups!$B$2*M4284+Lookups!$B$3*L4284</f>
        <v>2</v>
      </c>
      <c r="Q4284" s="2" t="str">
        <f aca="false">INDEX(Lookups!$E$2:$E$5,MATCH(P4284,Lookups!$D$2:$D$5,0))</f>
        <v>High</v>
      </c>
    </row>
    <row r="4285" customFormat="false" ht="15" hidden="false" customHeight="false" outlineLevel="0" collapsed="false">
      <c r="A4285" s="3" t="n">
        <v>4284</v>
      </c>
      <c r="B4285" s="3" t="n">
        <f aca="false">Raw_Data!A4285</f>
        <v>46</v>
      </c>
      <c r="C4285" s="3" t="str">
        <f aca="false">SUBSTITUTE(Raw_Data!B4285,".","")</f>
        <v>services</v>
      </c>
      <c r="D4285" s="3" t="str">
        <f aca="false">Raw_Data!C4285</f>
        <v>divorced</v>
      </c>
      <c r="E4285" s="3" t="str">
        <f aca="false">Raw_Data!D4285</f>
        <v>secondary</v>
      </c>
      <c r="F4285" s="3" t="str">
        <f aca="false">Raw_Data!E4285</f>
        <v>no</v>
      </c>
      <c r="G4285" s="3" t="n">
        <f aca="false">Raw_Data!F4285</f>
        <v>5</v>
      </c>
      <c r="H4285" s="3" t="str">
        <f aca="false">Raw_Data!G4285</f>
        <v>yes</v>
      </c>
      <c r="I4285" s="3" t="str">
        <f aca="false">Raw_Data!H4285</f>
        <v>yes</v>
      </c>
      <c r="J4285" s="2" t="n">
        <f aca="false">IF(F4285="yes",1,0)</f>
        <v>0</v>
      </c>
      <c r="K4285" s="2" t="n">
        <f aca="false">IF(H4285="yes",1,0)</f>
        <v>1</v>
      </c>
      <c r="L4285" s="2" t="n">
        <f aca="false">IF(I4285="yes",1,0)</f>
        <v>1</v>
      </c>
      <c r="M4285" s="2" t="n">
        <f aca="false">IF(G4285&lt;0,1,0)</f>
        <v>0</v>
      </c>
      <c r="N4285" s="2" t="str">
        <f aca="false">_xlfn.IFS(B4285&lt;30,"Under 30",B4285&lt;40,"30-39",B4285&lt;50,"40-49",B4285&lt;60,"50-59",TRUE(),"60+")</f>
        <v>40-49</v>
      </c>
      <c r="O4285" s="2" t="str">
        <f aca="false">_xlfn.IFS(G4285&lt;0,"1 Negative",G4285=0,"2 Zero",G4285&lt;=500,"3 1-500",G4285&lt;=2000,"4 501-2000",TRUE(),"5 Above 2000")</f>
        <v>3 1-500</v>
      </c>
      <c r="P4285" s="2" t="n">
        <f aca="false">Lookups!$B$2*M4285+Lookups!$B$3*L4285</f>
        <v>1</v>
      </c>
      <c r="Q4285" s="2" t="str">
        <f aca="false">INDEX(Lookups!$E$2:$E$5,MATCH(P4285,Lookups!$D$2:$D$5,0))</f>
        <v>Medium</v>
      </c>
    </row>
    <row r="4286" customFormat="false" ht="15" hidden="false" customHeight="false" outlineLevel="0" collapsed="false">
      <c r="A4286" s="3" t="n">
        <v>4285</v>
      </c>
      <c r="B4286" s="3" t="n">
        <f aca="false">Raw_Data!A4286</f>
        <v>54</v>
      </c>
      <c r="C4286" s="3" t="str">
        <f aca="false">SUBSTITUTE(Raw_Data!B4286,".","")</f>
        <v>self-employed</v>
      </c>
      <c r="D4286" s="3" t="str">
        <f aca="false">Raw_Data!C4286</f>
        <v>married</v>
      </c>
      <c r="E4286" s="3" t="str">
        <f aca="false">Raw_Data!D4286</f>
        <v>secondary</v>
      </c>
      <c r="F4286" s="3" t="str">
        <f aca="false">Raw_Data!E4286</f>
        <v>no</v>
      </c>
      <c r="G4286" s="3" t="n">
        <f aca="false">Raw_Data!F4286</f>
        <v>641</v>
      </c>
      <c r="H4286" s="3" t="str">
        <f aca="false">Raw_Data!G4286</f>
        <v>yes</v>
      </c>
      <c r="I4286" s="3" t="str">
        <f aca="false">Raw_Data!H4286</f>
        <v>no</v>
      </c>
      <c r="J4286" s="2" t="n">
        <f aca="false">IF(F4286="yes",1,0)</f>
        <v>0</v>
      </c>
      <c r="K4286" s="2" t="n">
        <f aca="false">IF(H4286="yes",1,0)</f>
        <v>1</v>
      </c>
      <c r="L4286" s="2" t="n">
        <f aca="false">IF(I4286="yes",1,0)</f>
        <v>0</v>
      </c>
      <c r="M4286" s="2" t="n">
        <f aca="false">IF(G4286&lt;0,1,0)</f>
        <v>0</v>
      </c>
      <c r="N4286" s="2" t="str">
        <f aca="false">_xlfn.IFS(B4286&lt;30,"Under 30",B4286&lt;40,"30-39",B4286&lt;50,"40-49",B4286&lt;60,"50-59",TRUE(),"60+")</f>
        <v>50-59</v>
      </c>
      <c r="O4286" s="2" t="str">
        <f aca="false">_xlfn.IFS(G4286&lt;0,"1 Negative",G4286=0,"2 Zero",G4286&lt;=500,"3 1-500",G4286&lt;=2000,"4 501-2000",TRUE(),"5 Above 2000")</f>
        <v>4 501-2000</v>
      </c>
      <c r="P4286" s="2" t="n">
        <f aca="false">Lookups!$B$2*M4286+Lookups!$B$3*L4286</f>
        <v>0</v>
      </c>
      <c r="Q4286" s="2" t="str">
        <f aca="false">INDEX(Lookups!$E$2:$E$5,MATCH(P4286,Lookups!$D$2:$D$5,0))</f>
        <v>Low</v>
      </c>
    </row>
    <row r="4287" customFormat="false" ht="15" hidden="false" customHeight="false" outlineLevel="0" collapsed="false">
      <c r="A4287" s="3" t="n">
        <v>4286</v>
      </c>
      <c r="B4287" s="3" t="n">
        <f aca="false">Raw_Data!A4287</f>
        <v>37</v>
      </c>
      <c r="C4287" s="3" t="str">
        <f aca="false">SUBSTITUTE(Raw_Data!B4287,".","")</f>
        <v>admin</v>
      </c>
      <c r="D4287" s="3" t="str">
        <f aca="false">Raw_Data!C4287</f>
        <v>married</v>
      </c>
      <c r="E4287" s="3" t="str">
        <f aca="false">Raw_Data!D4287</f>
        <v>tertiary</v>
      </c>
      <c r="F4287" s="3" t="str">
        <f aca="false">Raw_Data!E4287</f>
        <v>no</v>
      </c>
      <c r="G4287" s="3" t="n">
        <f aca="false">Raw_Data!F4287</f>
        <v>0</v>
      </c>
      <c r="H4287" s="3" t="str">
        <f aca="false">Raw_Data!G4287</f>
        <v>yes</v>
      </c>
      <c r="I4287" s="3" t="str">
        <f aca="false">Raw_Data!H4287</f>
        <v>no</v>
      </c>
      <c r="J4287" s="2" t="n">
        <f aca="false">IF(F4287="yes",1,0)</f>
        <v>0</v>
      </c>
      <c r="K4287" s="2" t="n">
        <f aca="false">IF(H4287="yes",1,0)</f>
        <v>1</v>
      </c>
      <c r="L4287" s="2" t="n">
        <f aca="false">IF(I4287="yes",1,0)</f>
        <v>0</v>
      </c>
      <c r="M4287" s="2" t="n">
        <f aca="false">IF(G4287&lt;0,1,0)</f>
        <v>0</v>
      </c>
      <c r="N4287" s="2" t="str">
        <f aca="false">_xlfn.IFS(B4287&lt;30,"Under 30",B4287&lt;40,"30-39",B4287&lt;50,"40-49",B4287&lt;60,"50-59",TRUE(),"60+")</f>
        <v>30-39</v>
      </c>
      <c r="O4287" s="2" t="str">
        <f aca="false">_xlfn.IFS(G4287&lt;0,"1 Negative",G4287=0,"2 Zero",G4287&lt;=500,"3 1-500",G4287&lt;=2000,"4 501-2000",TRUE(),"5 Above 2000")</f>
        <v>2 Zero</v>
      </c>
      <c r="P4287" s="2" t="n">
        <f aca="false">Lookups!$B$2*M4287+Lookups!$B$3*L4287</f>
        <v>0</v>
      </c>
      <c r="Q4287" s="2" t="str">
        <f aca="false">INDEX(Lookups!$E$2:$E$5,MATCH(P4287,Lookups!$D$2:$D$5,0))</f>
        <v>Low</v>
      </c>
    </row>
    <row r="4288" customFormat="false" ht="15" hidden="false" customHeight="false" outlineLevel="0" collapsed="false">
      <c r="A4288" s="3" t="n">
        <v>4287</v>
      </c>
      <c r="B4288" s="3" t="n">
        <f aca="false">Raw_Data!A4288</f>
        <v>39</v>
      </c>
      <c r="C4288" s="3" t="str">
        <f aca="false">SUBSTITUTE(Raw_Data!B4288,".","")</f>
        <v>admin</v>
      </c>
      <c r="D4288" s="3" t="str">
        <f aca="false">Raw_Data!C4288</f>
        <v>married</v>
      </c>
      <c r="E4288" s="3" t="str">
        <f aca="false">Raw_Data!D4288</f>
        <v>tertiary</v>
      </c>
      <c r="F4288" s="3" t="str">
        <f aca="false">Raw_Data!E4288</f>
        <v>no</v>
      </c>
      <c r="G4288" s="3" t="n">
        <f aca="false">Raw_Data!F4288</f>
        <v>722</v>
      </c>
      <c r="H4288" s="3" t="str">
        <f aca="false">Raw_Data!G4288</f>
        <v>no</v>
      </c>
      <c r="I4288" s="3" t="str">
        <f aca="false">Raw_Data!H4288</f>
        <v>no</v>
      </c>
      <c r="J4288" s="2" t="n">
        <f aca="false">IF(F4288="yes",1,0)</f>
        <v>0</v>
      </c>
      <c r="K4288" s="2" t="n">
        <f aca="false">IF(H4288="yes",1,0)</f>
        <v>0</v>
      </c>
      <c r="L4288" s="2" t="n">
        <f aca="false">IF(I4288="yes",1,0)</f>
        <v>0</v>
      </c>
      <c r="M4288" s="2" t="n">
        <f aca="false">IF(G4288&lt;0,1,0)</f>
        <v>0</v>
      </c>
      <c r="N4288" s="2" t="str">
        <f aca="false">_xlfn.IFS(B4288&lt;30,"Under 30",B4288&lt;40,"30-39",B4288&lt;50,"40-49",B4288&lt;60,"50-59",TRUE(),"60+")</f>
        <v>30-39</v>
      </c>
      <c r="O4288" s="2" t="str">
        <f aca="false">_xlfn.IFS(G4288&lt;0,"1 Negative",G4288=0,"2 Zero",G4288&lt;=500,"3 1-500",G4288&lt;=2000,"4 501-2000",TRUE(),"5 Above 2000")</f>
        <v>4 501-2000</v>
      </c>
      <c r="P4288" s="2" t="n">
        <f aca="false">Lookups!$B$2*M4288+Lookups!$B$3*L4288</f>
        <v>0</v>
      </c>
      <c r="Q4288" s="2" t="str">
        <f aca="false">INDEX(Lookups!$E$2:$E$5,MATCH(P4288,Lookups!$D$2:$D$5,0))</f>
        <v>Low</v>
      </c>
    </row>
    <row r="4289" customFormat="false" ht="15" hidden="false" customHeight="false" outlineLevel="0" collapsed="false">
      <c r="A4289" s="3" t="n">
        <v>4288</v>
      </c>
      <c r="B4289" s="3" t="n">
        <f aca="false">Raw_Data!A4289</f>
        <v>50</v>
      </c>
      <c r="C4289" s="3" t="str">
        <f aca="false">SUBSTITUTE(Raw_Data!B4289,".","")</f>
        <v>technician</v>
      </c>
      <c r="D4289" s="3" t="str">
        <f aca="false">Raw_Data!C4289</f>
        <v>married</v>
      </c>
      <c r="E4289" s="3" t="str">
        <f aca="false">Raw_Data!D4289</f>
        <v>tertiary</v>
      </c>
      <c r="F4289" s="3" t="str">
        <f aca="false">Raw_Data!E4289</f>
        <v>no</v>
      </c>
      <c r="G4289" s="3" t="n">
        <f aca="false">Raw_Data!F4289</f>
        <v>3337</v>
      </c>
      <c r="H4289" s="3" t="str">
        <f aca="false">Raw_Data!G4289</f>
        <v>yes</v>
      </c>
      <c r="I4289" s="3" t="str">
        <f aca="false">Raw_Data!H4289</f>
        <v>yes</v>
      </c>
      <c r="J4289" s="2" t="n">
        <f aca="false">IF(F4289="yes",1,0)</f>
        <v>0</v>
      </c>
      <c r="K4289" s="2" t="n">
        <f aca="false">IF(H4289="yes",1,0)</f>
        <v>1</v>
      </c>
      <c r="L4289" s="2" t="n">
        <f aca="false">IF(I4289="yes",1,0)</f>
        <v>1</v>
      </c>
      <c r="M4289" s="2" t="n">
        <f aca="false">IF(G4289&lt;0,1,0)</f>
        <v>0</v>
      </c>
      <c r="N4289" s="2" t="str">
        <f aca="false">_xlfn.IFS(B4289&lt;30,"Under 30",B4289&lt;40,"30-39",B4289&lt;50,"40-49",B4289&lt;60,"50-59",TRUE(),"60+")</f>
        <v>50-59</v>
      </c>
      <c r="O4289" s="2" t="str">
        <f aca="false">_xlfn.IFS(G4289&lt;0,"1 Negative",G4289=0,"2 Zero",G4289&lt;=500,"3 1-500",G4289&lt;=2000,"4 501-2000",TRUE(),"5 Above 2000")</f>
        <v>5 Above 2000</v>
      </c>
      <c r="P4289" s="2" t="n">
        <f aca="false">Lookups!$B$2*M4289+Lookups!$B$3*L4289</f>
        <v>1</v>
      </c>
      <c r="Q4289" s="2" t="str">
        <f aca="false">INDEX(Lookups!$E$2:$E$5,MATCH(P4289,Lookups!$D$2:$D$5,0))</f>
        <v>Medium</v>
      </c>
    </row>
    <row r="4290" customFormat="false" ht="15" hidden="false" customHeight="false" outlineLevel="0" collapsed="false">
      <c r="A4290" s="3" t="n">
        <v>4289</v>
      </c>
      <c r="B4290" s="3" t="n">
        <f aca="false">Raw_Data!A4290</f>
        <v>44</v>
      </c>
      <c r="C4290" s="3" t="str">
        <f aca="false">SUBSTITUTE(Raw_Data!B4290,".","")</f>
        <v>technician</v>
      </c>
      <c r="D4290" s="3" t="str">
        <f aca="false">Raw_Data!C4290</f>
        <v>divorced</v>
      </c>
      <c r="E4290" s="3" t="str">
        <f aca="false">Raw_Data!D4290</f>
        <v>secondary</v>
      </c>
      <c r="F4290" s="3" t="str">
        <f aca="false">Raw_Data!E4290</f>
        <v>no</v>
      </c>
      <c r="G4290" s="3" t="n">
        <f aca="false">Raw_Data!F4290</f>
        <v>0</v>
      </c>
      <c r="H4290" s="3" t="str">
        <f aca="false">Raw_Data!G4290</f>
        <v>no</v>
      </c>
      <c r="I4290" s="3" t="str">
        <f aca="false">Raw_Data!H4290</f>
        <v>no</v>
      </c>
      <c r="J4290" s="2" t="n">
        <f aca="false">IF(F4290="yes",1,0)</f>
        <v>0</v>
      </c>
      <c r="K4290" s="2" t="n">
        <f aca="false">IF(H4290="yes",1,0)</f>
        <v>0</v>
      </c>
      <c r="L4290" s="2" t="n">
        <f aca="false">IF(I4290="yes",1,0)</f>
        <v>0</v>
      </c>
      <c r="M4290" s="2" t="n">
        <f aca="false">IF(G4290&lt;0,1,0)</f>
        <v>0</v>
      </c>
      <c r="N4290" s="2" t="str">
        <f aca="false">_xlfn.IFS(B4290&lt;30,"Under 30",B4290&lt;40,"30-39",B4290&lt;50,"40-49",B4290&lt;60,"50-59",TRUE(),"60+")</f>
        <v>40-49</v>
      </c>
      <c r="O4290" s="2" t="str">
        <f aca="false">_xlfn.IFS(G4290&lt;0,"1 Negative",G4290=0,"2 Zero",G4290&lt;=500,"3 1-500",G4290&lt;=2000,"4 501-2000",TRUE(),"5 Above 2000")</f>
        <v>2 Zero</v>
      </c>
      <c r="P4290" s="2" t="n">
        <f aca="false">Lookups!$B$2*M4290+Lookups!$B$3*L4290</f>
        <v>0</v>
      </c>
      <c r="Q4290" s="2" t="str">
        <f aca="false">INDEX(Lookups!$E$2:$E$5,MATCH(P4290,Lookups!$D$2:$D$5,0))</f>
        <v>Low</v>
      </c>
    </row>
    <row r="4291" customFormat="false" ht="15" hidden="false" customHeight="false" outlineLevel="0" collapsed="false">
      <c r="A4291" s="3" t="n">
        <v>4290</v>
      </c>
      <c r="B4291" s="3" t="n">
        <f aca="false">Raw_Data!A4291</f>
        <v>56</v>
      </c>
      <c r="C4291" s="3" t="str">
        <f aca="false">SUBSTITUTE(Raw_Data!B4291,".","")</f>
        <v>admin</v>
      </c>
      <c r="D4291" s="3" t="str">
        <f aca="false">Raw_Data!C4291</f>
        <v>married</v>
      </c>
      <c r="E4291" s="3" t="str">
        <f aca="false">Raw_Data!D4291</f>
        <v>secondary</v>
      </c>
      <c r="F4291" s="3" t="str">
        <f aca="false">Raw_Data!E4291</f>
        <v>no</v>
      </c>
      <c r="G4291" s="3" t="n">
        <f aca="false">Raw_Data!F4291</f>
        <v>1504</v>
      </c>
      <c r="H4291" s="3" t="str">
        <f aca="false">Raw_Data!G4291</f>
        <v>yes</v>
      </c>
      <c r="I4291" s="3" t="str">
        <f aca="false">Raw_Data!H4291</f>
        <v>no</v>
      </c>
      <c r="J4291" s="2" t="n">
        <f aca="false">IF(F4291="yes",1,0)</f>
        <v>0</v>
      </c>
      <c r="K4291" s="2" t="n">
        <f aca="false">IF(H4291="yes",1,0)</f>
        <v>1</v>
      </c>
      <c r="L4291" s="2" t="n">
        <f aca="false">IF(I4291="yes",1,0)</f>
        <v>0</v>
      </c>
      <c r="M4291" s="2" t="n">
        <f aca="false">IF(G4291&lt;0,1,0)</f>
        <v>0</v>
      </c>
      <c r="N4291" s="2" t="str">
        <f aca="false">_xlfn.IFS(B4291&lt;30,"Under 30",B4291&lt;40,"30-39",B4291&lt;50,"40-49",B4291&lt;60,"50-59",TRUE(),"60+")</f>
        <v>50-59</v>
      </c>
      <c r="O4291" s="2" t="str">
        <f aca="false">_xlfn.IFS(G4291&lt;0,"1 Negative",G4291=0,"2 Zero",G4291&lt;=500,"3 1-500",G4291&lt;=2000,"4 501-2000",TRUE(),"5 Above 2000")</f>
        <v>4 501-2000</v>
      </c>
      <c r="P4291" s="2" t="n">
        <f aca="false">Lookups!$B$2*M4291+Lookups!$B$3*L4291</f>
        <v>0</v>
      </c>
      <c r="Q4291" s="2" t="str">
        <f aca="false">INDEX(Lookups!$E$2:$E$5,MATCH(P4291,Lookups!$D$2:$D$5,0))</f>
        <v>Low</v>
      </c>
    </row>
    <row r="4292" customFormat="false" ht="15" hidden="false" customHeight="false" outlineLevel="0" collapsed="false">
      <c r="A4292" s="3" t="n">
        <v>4291</v>
      </c>
      <c r="B4292" s="3" t="n">
        <f aca="false">Raw_Data!A4292</f>
        <v>40</v>
      </c>
      <c r="C4292" s="3" t="str">
        <f aca="false">SUBSTITUTE(Raw_Data!B4292,".","")</f>
        <v>services</v>
      </c>
      <c r="D4292" s="3" t="str">
        <f aca="false">Raw_Data!C4292</f>
        <v>married</v>
      </c>
      <c r="E4292" s="3" t="str">
        <f aca="false">Raw_Data!D4292</f>
        <v>tertiary</v>
      </c>
      <c r="F4292" s="3" t="str">
        <f aca="false">Raw_Data!E4292</f>
        <v>no</v>
      </c>
      <c r="G4292" s="3" t="n">
        <f aca="false">Raw_Data!F4292</f>
        <v>35</v>
      </c>
      <c r="H4292" s="3" t="str">
        <f aca="false">Raw_Data!G4292</f>
        <v>no</v>
      </c>
      <c r="I4292" s="3" t="str">
        <f aca="false">Raw_Data!H4292</f>
        <v>no</v>
      </c>
      <c r="J4292" s="2" t="n">
        <f aca="false">IF(F4292="yes",1,0)</f>
        <v>0</v>
      </c>
      <c r="K4292" s="2" t="n">
        <f aca="false">IF(H4292="yes",1,0)</f>
        <v>0</v>
      </c>
      <c r="L4292" s="2" t="n">
        <f aca="false">IF(I4292="yes",1,0)</f>
        <v>0</v>
      </c>
      <c r="M4292" s="2" t="n">
        <f aca="false">IF(G4292&lt;0,1,0)</f>
        <v>0</v>
      </c>
      <c r="N4292" s="2" t="str">
        <f aca="false">_xlfn.IFS(B4292&lt;30,"Under 30",B4292&lt;40,"30-39",B4292&lt;50,"40-49",B4292&lt;60,"50-59",TRUE(),"60+")</f>
        <v>40-49</v>
      </c>
      <c r="O4292" s="2" t="str">
        <f aca="false">_xlfn.IFS(G4292&lt;0,"1 Negative",G4292=0,"2 Zero",G4292&lt;=500,"3 1-500",G4292&lt;=2000,"4 501-2000",TRUE(),"5 Above 2000")</f>
        <v>3 1-500</v>
      </c>
      <c r="P4292" s="2" t="n">
        <f aca="false">Lookups!$B$2*M4292+Lookups!$B$3*L4292</f>
        <v>0</v>
      </c>
      <c r="Q4292" s="2" t="str">
        <f aca="false">INDEX(Lookups!$E$2:$E$5,MATCH(P4292,Lookups!$D$2:$D$5,0))</f>
        <v>Low</v>
      </c>
    </row>
    <row r="4293" customFormat="false" ht="15" hidden="false" customHeight="false" outlineLevel="0" collapsed="false">
      <c r="A4293" s="3" t="n">
        <v>4292</v>
      </c>
      <c r="B4293" s="3" t="n">
        <f aca="false">Raw_Data!A4293</f>
        <v>36</v>
      </c>
      <c r="C4293" s="3" t="str">
        <f aca="false">SUBSTITUTE(Raw_Data!B4293,".","")</f>
        <v>services</v>
      </c>
      <c r="D4293" s="3" t="str">
        <f aca="false">Raw_Data!C4293</f>
        <v>married</v>
      </c>
      <c r="E4293" s="3" t="str">
        <f aca="false">Raw_Data!D4293</f>
        <v>secondary</v>
      </c>
      <c r="F4293" s="3" t="str">
        <f aca="false">Raw_Data!E4293</f>
        <v>no</v>
      </c>
      <c r="G4293" s="3" t="n">
        <f aca="false">Raw_Data!F4293</f>
        <v>895</v>
      </c>
      <c r="H4293" s="3" t="str">
        <f aca="false">Raw_Data!G4293</f>
        <v>yes</v>
      </c>
      <c r="I4293" s="3" t="str">
        <f aca="false">Raw_Data!H4293</f>
        <v>yes</v>
      </c>
      <c r="J4293" s="2" t="n">
        <f aca="false">IF(F4293="yes",1,0)</f>
        <v>0</v>
      </c>
      <c r="K4293" s="2" t="n">
        <f aca="false">IF(H4293="yes",1,0)</f>
        <v>1</v>
      </c>
      <c r="L4293" s="2" t="n">
        <f aca="false">IF(I4293="yes",1,0)</f>
        <v>1</v>
      </c>
      <c r="M4293" s="2" t="n">
        <f aca="false">IF(G4293&lt;0,1,0)</f>
        <v>0</v>
      </c>
      <c r="N4293" s="2" t="str">
        <f aca="false">_xlfn.IFS(B4293&lt;30,"Under 30",B4293&lt;40,"30-39",B4293&lt;50,"40-49",B4293&lt;60,"50-59",TRUE(),"60+")</f>
        <v>30-39</v>
      </c>
      <c r="O4293" s="2" t="str">
        <f aca="false">_xlfn.IFS(G4293&lt;0,"1 Negative",G4293=0,"2 Zero",G4293&lt;=500,"3 1-500",G4293&lt;=2000,"4 501-2000",TRUE(),"5 Above 2000")</f>
        <v>4 501-2000</v>
      </c>
      <c r="P4293" s="2" t="n">
        <f aca="false">Lookups!$B$2*M4293+Lookups!$B$3*L4293</f>
        <v>1</v>
      </c>
      <c r="Q4293" s="2" t="str">
        <f aca="false">INDEX(Lookups!$E$2:$E$5,MATCH(P4293,Lookups!$D$2:$D$5,0))</f>
        <v>Medium</v>
      </c>
    </row>
    <row r="4294" customFormat="false" ht="15" hidden="false" customHeight="false" outlineLevel="0" collapsed="false">
      <c r="A4294" s="3" t="n">
        <v>4293</v>
      </c>
      <c r="B4294" s="3" t="n">
        <f aca="false">Raw_Data!A4294</f>
        <v>33</v>
      </c>
      <c r="C4294" s="3" t="str">
        <f aca="false">SUBSTITUTE(Raw_Data!B4294,".","")</f>
        <v>management</v>
      </c>
      <c r="D4294" s="3" t="str">
        <f aca="false">Raw_Data!C4294</f>
        <v>married</v>
      </c>
      <c r="E4294" s="3" t="str">
        <f aca="false">Raw_Data!D4294</f>
        <v>tertiary</v>
      </c>
      <c r="F4294" s="3" t="str">
        <f aca="false">Raw_Data!E4294</f>
        <v>no</v>
      </c>
      <c r="G4294" s="3" t="n">
        <f aca="false">Raw_Data!F4294</f>
        <v>752</v>
      </c>
      <c r="H4294" s="3" t="str">
        <f aca="false">Raw_Data!G4294</f>
        <v>yes</v>
      </c>
      <c r="I4294" s="3" t="str">
        <f aca="false">Raw_Data!H4294</f>
        <v>no</v>
      </c>
      <c r="J4294" s="2" t="n">
        <f aca="false">IF(F4294="yes",1,0)</f>
        <v>0</v>
      </c>
      <c r="K4294" s="2" t="n">
        <f aca="false">IF(H4294="yes",1,0)</f>
        <v>1</v>
      </c>
      <c r="L4294" s="2" t="n">
        <f aca="false">IF(I4294="yes",1,0)</f>
        <v>0</v>
      </c>
      <c r="M4294" s="2" t="n">
        <f aca="false">IF(G4294&lt;0,1,0)</f>
        <v>0</v>
      </c>
      <c r="N4294" s="2" t="str">
        <f aca="false">_xlfn.IFS(B4294&lt;30,"Under 30",B4294&lt;40,"30-39",B4294&lt;50,"40-49",B4294&lt;60,"50-59",TRUE(),"60+")</f>
        <v>30-39</v>
      </c>
      <c r="O4294" s="2" t="str">
        <f aca="false">_xlfn.IFS(G4294&lt;0,"1 Negative",G4294=0,"2 Zero",G4294&lt;=500,"3 1-500",G4294&lt;=2000,"4 501-2000",TRUE(),"5 Above 2000")</f>
        <v>4 501-2000</v>
      </c>
      <c r="P4294" s="2" t="n">
        <f aca="false">Lookups!$B$2*M4294+Lookups!$B$3*L4294</f>
        <v>0</v>
      </c>
      <c r="Q4294" s="2" t="str">
        <f aca="false">INDEX(Lookups!$E$2:$E$5,MATCH(P4294,Lookups!$D$2:$D$5,0))</f>
        <v>Low</v>
      </c>
    </row>
    <row r="4295" customFormat="false" ht="15" hidden="false" customHeight="false" outlineLevel="0" collapsed="false">
      <c r="A4295" s="3" t="n">
        <v>4294</v>
      </c>
      <c r="B4295" s="3" t="n">
        <f aca="false">Raw_Data!A4295</f>
        <v>33</v>
      </c>
      <c r="C4295" s="3" t="str">
        <f aca="false">SUBSTITUTE(Raw_Data!B4295,".","")</f>
        <v>blue-collar</v>
      </c>
      <c r="D4295" s="3" t="str">
        <f aca="false">Raw_Data!C4295</f>
        <v>single</v>
      </c>
      <c r="E4295" s="3" t="str">
        <f aca="false">Raw_Data!D4295</f>
        <v>secondary</v>
      </c>
      <c r="F4295" s="3" t="str">
        <f aca="false">Raw_Data!E4295</f>
        <v>no</v>
      </c>
      <c r="G4295" s="3" t="n">
        <f aca="false">Raw_Data!F4295</f>
        <v>1925</v>
      </c>
      <c r="H4295" s="3" t="str">
        <f aca="false">Raw_Data!G4295</f>
        <v>yes</v>
      </c>
      <c r="I4295" s="3" t="str">
        <f aca="false">Raw_Data!H4295</f>
        <v>no</v>
      </c>
      <c r="J4295" s="2" t="n">
        <f aca="false">IF(F4295="yes",1,0)</f>
        <v>0</v>
      </c>
      <c r="K4295" s="2" t="n">
        <f aca="false">IF(H4295="yes",1,0)</f>
        <v>1</v>
      </c>
      <c r="L4295" s="2" t="n">
        <f aca="false">IF(I4295="yes",1,0)</f>
        <v>0</v>
      </c>
      <c r="M4295" s="2" t="n">
        <f aca="false">IF(G4295&lt;0,1,0)</f>
        <v>0</v>
      </c>
      <c r="N4295" s="2" t="str">
        <f aca="false">_xlfn.IFS(B4295&lt;30,"Under 30",B4295&lt;40,"30-39",B4295&lt;50,"40-49",B4295&lt;60,"50-59",TRUE(),"60+")</f>
        <v>30-39</v>
      </c>
      <c r="O4295" s="2" t="str">
        <f aca="false">_xlfn.IFS(G4295&lt;0,"1 Negative",G4295=0,"2 Zero",G4295&lt;=500,"3 1-500",G4295&lt;=2000,"4 501-2000",TRUE(),"5 Above 2000")</f>
        <v>4 501-2000</v>
      </c>
      <c r="P4295" s="2" t="n">
        <f aca="false">Lookups!$B$2*M4295+Lookups!$B$3*L4295</f>
        <v>0</v>
      </c>
      <c r="Q4295" s="2" t="str">
        <f aca="false">INDEX(Lookups!$E$2:$E$5,MATCH(P4295,Lookups!$D$2:$D$5,0))</f>
        <v>Low</v>
      </c>
    </row>
    <row r="4296" customFormat="false" ht="15" hidden="false" customHeight="false" outlineLevel="0" collapsed="false">
      <c r="A4296" s="3" t="n">
        <v>4295</v>
      </c>
      <c r="B4296" s="3" t="n">
        <f aca="false">Raw_Data!A4296</f>
        <v>42</v>
      </c>
      <c r="C4296" s="3" t="str">
        <f aca="false">SUBSTITUTE(Raw_Data!B4296,".","")</f>
        <v>services</v>
      </c>
      <c r="D4296" s="3" t="str">
        <f aca="false">Raw_Data!C4296</f>
        <v>married</v>
      </c>
      <c r="E4296" s="3" t="str">
        <f aca="false">Raw_Data!D4296</f>
        <v>secondary</v>
      </c>
      <c r="F4296" s="3" t="str">
        <f aca="false">Raw_Data!E4296</f>
        <v>no</v>
      </c>
      <c r="G4296" s="3" t="n">
        <f aca="false">Raw_Data!F4296</f>
        <v>-246</v>
      </c>
      <c r="H4296" s="3" t="str">
        <f aca="false">Raw_Data!G4296</f>
        <v>yes</v>
      </c>
      <c r="I4296" s="3" t="str">
        <f aca="false">Raw_Data!H4296</f>
        <v>no</v>
      </c>
      <c r="J4296" s="2" t="n">
        <f aca="false">IF(F4296="yes",1,0)</f>
        <v>0</v>
      </c>
      <c r="K4296" s="2" t="n">
        <f aca="false">IF(H4296="yes",1,0)</f>
        <v>1</v>
      </c>
      <c r="L4296" s="2" t="n">
        <f aca="false">IF(I4296="yes",1,0)</f>
        <v>0</v>
      </c>
      <c r="M4296" s="2" t="n">
        <f aca="false">IF(G4296&lt;0,1,0)</f>
        <v>1</v>
      </c>
      <c r="N4296" s="2" t="str">
        <f aca="false">_xlfn.IFS(B4296&lt;30,"Under 30",B4296&lt;40,"30-39",B4296&lt;50,"40-49",B4296&lt;60,"50-59",TRUE(),"60+")</f>
        <v>40-49</v>
      </c>
      <c r="O4296" s="2" t="str">
        <f aca="false">_xlfn.IFS(G4296&lt;0,"1 Negative",G4296=0,"2 Zero",G4296&lt;=500,"3 1-500",G4296&lt;=2000,"4 501-2000",TRUE(),"5 Above 2000")</f>
        <v>1 Negative</v>
      </c>
      <c r="P4296" s="2" t="n">
        <f aca="false">Lookups!$B$2*M4296+Lookups!$B$3*L4296</f>
        <v>2</v>
      </c>
      <c r="Q4296" s="2" t="str">
        <f aca="false">INDEX(Lookups!$E$2:$E$5,MATCH(P4296,Lookups!$D$2:$D$5,0))</f>
        <v>High</v>
      </c>
    </row>
    <row r="4297" customFormat="false" ht="15" hidden="false" customHeight="false" outlineLevel="0" collapsed="false">
      <c r="A4297" s="3" t="n">
        <v>4296</v>
      </c>
      <c r="B4297" s="3" t="n">
        <f aca="false">Raw_Data!A4297</f>
        <v>30</v>
      </c>
      <c r="C4297" s="3" t="str">
        <f aca="false">SUBSTITUTE(Raw_Data!B4297,".","")</f>
        <v>self-employed</v>
      </c>
      <c r="D4297" s="3" t="str">
        <f aca="false">Raw_Data!C4297</f>
        <v>single</v>
      </c>
      <c r="E4297" s="3" t="str">
        <f aca="false">Raw_Data!D4297</f>
        <v>tertiary</v>
      </c>
      <c r="F4297" s="3" t="str">
        <f aca="false">Raw_Data!E4297</f>
        <v>no</v>
      </c>
      <c r="G4297" s="3" t="n">
        <f aca="false">Raw_Data!F4297</f>
        <v>901</v>
      </c>
      <c r="H4297" s="3" t="str">
        <f aca="false">Raw_Data!G4297</f>
        <v>yes</v>
      </c>
      <c r="I4297" s="3" t="str">
        <f aca="false">Raw_Data!H4297</f>
        <v>yes</v>
      </c>
      <c r="J4297" s="2" t="n">
        <f aca="false">IF(F4297="yes",1,0)</f>
        <v>0</v>
      </c>
      <c r="K4297" s="2" t="n">
        <f aca="false">IF(H4297="yes",1,0)</f>
        <v>1</v>
      </c>
      <c r="L4297" s="2" t="n">
        <f aca="false">IF(I4297="yes",1,0)</f>
        <v>1</v>
      </c>
      <c r="M4297" s="2" t="n">
        <f aca="false">IF(G4297&lt;0,1,0)</f>
        <v>0</v>
      </c>
      <c r="N4297" s="2" t="str">
        <f aca="false">_xlfn.IFS(B4297&lt;30,"Under 30",B4297&lt;40,"30-39",B4297&lt;50,"40-49",B4297&lt;60,"50-59",TRUE(),"60+")</f>
        <v>30-39</v>
      </c>
      <c r="O4297" s="2" t="str">
        <f aca="false">_xlfn.IFS(G4297&lt;0,"1 Negative",G4297=0,"2 Zero",G4297&lt;=500,"3 1-500",G4297&lt;=2000,"4 501-2000",TRUE(),"5 Above 2000")</f>
        <v>4 501-2000</v>
      </c>
      <c r="P4297" s="2" t="n">
        <f aca="false">Lookups!$B$2*M4297+Lookups!$B$3*L4297</f>
        <v>1</v>
      </c>
      <c r="Q4297" s="2" t="str">
        <f aca="false">INDEX(Lookups!$E$2:$E$5,MATCH(P4297,Lookups!$D$2:$D$5,0))</f>
        <v>Medium</v>
      </c>
    </row>
    <row r="4298" customFormat="false" ht="15" hidden="false" customHeight="false" outlineLevel="0" collapsed="false">
      <c r="A4298" s="3" t="n">
        <v>4297</v>
      </c>
      <c r="B4298" s="3" t="n">
        <f aca="false">Raw_Data!A4298</f>
        <v>33</v>
      </c>
      <c r="C4298" s="3" t="str">
        <f aca="false">SUBSTITUTE(Raw_Data!B4298,".","")</f>
        <v>admin</v>
      </c>
      <c r="D4298" s="3" t="str">
        <f aca="false">Raw_Data!C4298</f>
        <v>single</v>
      </c>
      <c r="E4298" s="3" t="str">
        <f aca="false">Raw_Data!D4298</f>
        <v>secondary</v>
      </c>
      <c r="F4298" s="3" t="str">
        <f aca="false">Raw_Data!E4298</f>
        <v>no</v>
      </c>
      <c r="G4298" s="3" t="n">
        <f aca="false">Raw_Data!F4298</f>
        <v>894</v>
      </c>
      <c r="H4298" s="3" t="str">
        <f aca="false">Raw_Data!G4298</f>
        <v>no</v>
      </c>
      <c r="I4298" s="3" t="str">
        <f aca="false">Raw_Data!H4298</f>
        <v>no</v>
      </c>
      <c r="J4298" s="2" t="n">
        <f aca="false">IF(F4298="yes",1,0)</f>
        <v>0</v>
      </c>
      <c r="K4298" s="2" t="n">
        <f aca="false">IF(H4298="yes",1,0)</f>
        <v>0</v>
      </c>
      <c r="L4298" s="2" t="n">
        <f aca="false">IF(I4298="yes",1,0)</f>
        <v>0</v>
      </c>
      <c r="M4298" s="2" t="n">
        <f aca="false">IF(G4298&lt;0,1,0)</f>
        <v>0</v>
      </c>
      <c r="N4298" s="2" t="str">
        <f aca="false">_xlfn.IFS(B4298&lt;30,"Under 30",B4298&lt;40,"30-39",B4298&lt;50,"40-49",B4298&lt;60,"50-59",TRUE(),"60+")</f>
        <v>30-39</v>
      </c>
      <c r="O4298" s="2" t="str">
        <f aca="false">_xlfn.IFS(G4298&lt;0,"1 Negative",G4298=0,"2 Zero",G4298&lt;=500,"3 1-500",G4298&lt;=2000,"4 501-2000",TRUE(),"5 Above 2000")</f>
        <v>4 501-2000</v>
      </c>
      <c r="P4298" s="2" t="n">
        <f aca="false">Lookups!$B$2*M4298+Lookups!$B$3*L4298</f>
        <v>0</v>
      </c>
      <c r="Q4298" s="2" t="str">
        <f aca="false">INDEX(Lookups!$E$2:$E$5,MATCH(P4298,Lookups!$D$2:$D$5,0))</f>
        <v>Low</v>
      </c>
    </row>
    <row r="4299" customFormat="false" ht="15" hidden="false" customHeight="false" outlineLevel="0" collapsed="false">
      <c r="A4299" s="3" t="n">
        <v>4298</v>
      </c>
      <c r="B4299" s="3" t="n">
        <f aca="false">Raw_Data!A4299</f>
        <v>26</v>
      </c>
      <c r="C4299" s="3" t="str">
        <f aca="false">SUBSTITUTE(Raw_Data!B4299,".","")</f>
        <v>blue-collar</v>
      </c>
      <c r="D4299" s="3" t="str">
        <f aca="false">Raw_Data!C4299</f>
        <v>single</v>
      </c>
      <c r="E4299" s="3" t="str">
        <f aca="false">Raw_Data!D4299</f>
        <v>secondary</v>
      </c>
      <c r="F4299" s="3" t="str">
        <f aca="false">Raw_Data!E4299</f>
        <v>no</v>
      </c>
      <c r="G4299" s="3" t="n">
        <f aca="false">Raw_Data!F4299</f>
        <v>592</v>
      </c>
      <c r="H4299" s="3" t="str">
        <f aca="false">Raw_Data!G4299</f>
        <v>yes</v>
      </c>
      <c r="I4299" s="3" t="str">
        <f aca="false">Raw_Data!H4299</f>
        <v>yes</v>
      </c>
      <c r="J4299" s="2" t="n">
        <f aca="false">IF(F4299="yes",1,0)</f>
        <v>0</v>
      </c>
      <c r="K4299" s="2" t="n">
        <f aca="false">IF(H4299="yes",1,0)</f>
        <v>1</v>
      </c>
      <c r="L4299" s="2" t="n">
        <f aca="false">IF(I4299="yes",1,0)</f>
        <v>1</v>
      </c>
      <c r="M4299" s="2" t="n">
        <f aca="false">IF(G4299&lt;0,1,0)</f>
        <v>0</v>
      </c>
      <c r="N4299" s="2" t="str">
        <f aca="false">_xlfn.IFS(B4299&lt;30,"Under 30",B4299&lt;40,"30-39",B4299&lt;50,"40-49",B4299&lt;60,"50-59",TRUE(),"60+")</f>
        <v>Under 30</v>
      </c>
      <c r="O4299" s="2" t="str">
        <f aca="false">_xlfn.IFS(G4299&lt;0,"1 Negative",G4299=0,"2 Zero",G4299&lt;=500,"3 1-500",G4299&lt;=2000,"4 501-2000",TRUE(),"5 Above 2000")</f>
        <v>4 501-2000</v>
      </c>
      <c r="P4299" s="2" t="n">
        <f aca="false">Lookups!$B$2*M4299+Lookups!$B$3*L4299</f>
        <v>1</v>
      </c>
      <c r="Q4299" s="2" t="str">
        <f aca="false">INDEX(Lookups!$E$2:$E$5,MATCH(P4299,Lookups!$D$2:$D$5,0))</f>
        <v>Medium</v>
      </c>
    </row>
    <row r="4300" customFormat="false" ht="15" hidden="false" customHeight="false" outlineLevel="0" collapsed="false">
      <c r="A4300" s="3" t="n">
        <v>4299</v>
      </c>
      <c r="B4300" s="3" t="n">
        <f aca="false">Raw_Data!A4300</f>
        <v>26</v>
      </c>
      <c r="C4300" s="3" t="str">
        <f aca="false">SUBSTITUTE(Raw_Data!B4300,".","")</f>
        <v>admin</v>
      </c>
      <c r="D4300" s="3" t="str">
        <f aca="false">Raw_Data!C4300</f>
        <v>single</v>
      </c>
      <c r="E4300" s="3" t="str">
        <f aca="false">Raw_Data!D4300</f>
        <v>secondary</v>
      </c>
      <c r="F4300" s="3" t="str">
        <f aca="false">Raw_Data!E4300</f>
        <v>no</v>
      </c>
      <c r="G4300" s="3" t="n">
        <f aca="false">Raw_Data!F4300</f>
        <v>3529</v>
      </c>
      <c r="H4300" s="3" t="str">
        <f aca="false">Raw_Data!G4300</f>
        <v>no</v>
      </c>
      <c r="I4300" s="3" t="str">
        <f aca="false">Raw_Data!H4300</f>
        <v>yes</v>
      </c>
      <c r="J4300" s="2" t="n">
        <f aca="false">IF(F4300="yes",1,0)</f>
        <v>0</v>
      </c>
      <c r="K4300" s="2" t="n">
        <f aca="false">IF(H4300="yes",1,0)</f>
        <v>0</v>
      </c>
      <c r="L4300" s="2" t="n">
        <f aca="false">IF(I4300="yes",1,0)</f>
        <v>1</v>
      </c>
      <c r="M4300" s="2" t="n">
        <f aca="false">IF(G4300&lt;0,1,0)</f>
        <v>0</v>
      </c>
      <c r="N4300" s="2" t="str">
        <f aca="false">_xlfn.IFS(B4300&lt;30,"Under 30",B4300&lt;40,"30-39",B4300&lt;50,"40-49",B4300&lt;60,"50-59",TRUE(),"60+")</f>
        <v>Under 30</v>
      </c>
      <c r="O4300" s="2" t="str">
        <f aca="false">_xlfn.IFS(G4300&lt;0,"1 Negative",G4300=0,"2 Zero",G4300&lt;=500,"3 1-500",G4300&lt;=2000,"4 501-2000",TRUE(),"5 Above 2000")</f>
        <v>5 Above 2000</v>
      </c>
      <c r="P4300" s="2" t="n">
        <f aca="false">Lookups!$B$2*M4300+Lookups!$B$3*L4300</f>
        <v>1</v>
      </c>
      <c r="Q4300" s="2" t="str">
        <f aca="false">INDEX(Lookups!$E$2:$E$5,MATCH(P4300,Lookups!$D$2:$D$5,0))</f>
        <v>Medium</v>
      </c>
    </row>
    <row r="4301" customFormat="false" ht="15" hidden="false" customHeight="false" outlineLevel="0" collapsed="false">
      <c r="A4301" s="3" t="n">
        <v>4300</v>
      </c>
      <c r="B4301" s="3" t="n">
        <f aca="false">Raw_Data!A4301</f>
        <v>37</v>
      </c>
      <c r="C4301" s="3" t="str">
        <f aca="false">SUBSTITUTE(Raw_Data!B4301,".","")</f>
        <v>services</v>
      </c>
      <c r="D4301" s="3" t="str">
        <f aca="false">Raw_Data!C4301</f>
        <v>married</v>
      </c>
      <c r="E4301" s="3" t="str">
        <f aca="false">Raw_Data!D4301</f>
        <v>secondary</v>
      </c>
      <c r="F4301" s="3" t="str">
        <f aca="false">Raw_Data!E4301</f>
        <v>no</v>
      </c>
      <c r="G4301" s="3" t="n">
        <f aca="false">Raw_Data!F4301</f>
        <v>0</v>
      </c>
      <c r="H4301" s="3" t="str">
        <f aca="false">Raw_Data!G4301</f>
        <v>yes</v>
      </c>
      <c r="I4301" s="3" t="str">
        <f aca="false">Raw_Data!H4301</f>
        <v>yes</v>
      </c>
      <c r="J4301" s="2" t="n">
        <f aca="false">IF(F4301="yes",1,0)</f>
        <v>0</v>
      </c>
      <c r="K4301" s="2" t="n">
        <f aca="false">IF(H4301="yes",1,0)</f>
        <v>1</v>
      </c>
      <c r="L4301" s="2" t="n">
        <f aca="false">IF(I4301="yes",1,0)</f>
        <v>1</v>
      </c>
      <c r="M4301" s="2" t="n">
        <f aca="false">IF(G4301&lt;0,1,0)</f>
        <v>0</v>
      </c>
      <c r="N4301" s="2" t="str">
        <f aca="false">_xlfn.IFS(B4301&lt;30,"Under 30",B4301&lt;40,"30-39",B4301&lt;50,"40-49",B4301&lt;60,"50-59",TRUE(),"60+")</f>
        <v>30-39</v>
      </c>
      <c r="O4301" s="2" t="str">
        <f aca="false">_xlfn.IFS(G4301&lt;0,"1 Negative",G4301=0,"2 Zero",G4301&lt;=500,"3 1-500",G4301&lt;=2000,"4 501-2000",TRUE(),"5 Above 2000")</f>
        <v>2 Zero</v>
      </c>
      <c r="P4301" s="2" t="n">
        <f aca="false">Lookups!$B$2*M4301+Lookups!$B$3*L4301</f>
        <v>1</v>
      </c>
      <c r="Q4301" s="2" t="str">
        <f aca="false">INDEX(Lookups!$E$2:$E$5,MATCH(P4301,Lookups!$D$2:$D$5,0))</f>
        <v>Medium</v>
      </c>
    </row>
    <row r="4302" customFormat="false" ht="15" hidden="false" customHeight="false" outlineLevel="0" collapsed="false">
      <c r="A4302" s="3" t="n">
        <v>4301</v>
      </c>
      <c r="B4302" s="3" t="n">
        <f aca="false">Raw_Data!A4302</f>
        <v>59</v>
      </c>
      <c r="C4302" s="3" t="str">
        <f aca="false">SUBSTITUTE(Raw_Data!B4302,".","")</f>
        <v>retired</v>
      </c>
      <c r="D4302" s="3" t="str">
        <f aca="false">Raw_Data!C4302</f>
        <v>married</v>
      </c>
      <c r="E4302" s="3" t="str">
        <f aca="false">Raw_Data!D4302</f>
        <v>primary</v>
      </c>
      <c r="F4302" s="3" t="str">
        <f aca="false">Raw_Data!E4302</f>
        <v>no</v>
      </c>
      <c r="G4302" s="3" t="n">
        <f aca="false">Raw_Data!F4302</f>
        <v>0</v>
      </c>
      <c r="H4302" s="3" t="str">
        <f aca="false">Raw_Data!G4302</f>
        <v>no</v>
      </c>
      <c r="I4302" s="3" t="str">
        <f aca="false">Raw_Data!H4302</f>
        <v>no</v>
      </c>
      <c r="J4302" s="2" t="n">
        <f aca="false">IF(F4302="yes",1,0)</f>
        <v>0</v>
      </c>
      <c r="K4302" s="2" t="n">
        <f aca="false">IF(H4302="yes",1,0)</f>
        <v>0</v>
      </c>
      <c r="L4302" s="2" t="n">
        <f aca="false">IF(I4302="yes",1,0)</f>
        <v>0</v>
      </c>
      <c r="M4302" s="2" t="n">
        <f aca="false">IF(G4302&lt;0,1,0)</f>
        <v>0</v>
      </c>
      <c r="N4302" s="2" t="str">
        <f aca="false">_xlfn.IFS(B4302&lt;30,"Under 30",B4302&lt;40,"30-39",B4302&lt;50,"40-49",B4302&lt;60,"50-59",TRUE(),"60+")</f>
        <v>50-59</v>
      </c>
      <c r="O4302" s="2" t="str">
        <f aca="false">_xlfn.IFS(G4302&lt;0,"1 Negative",G4302=0,"2 Zero",G4302&lt;=500,"3 1-500",G4302&lt;=2000,"4 501-2000",TRUE(),"5 Above 2000")</f>
        <v>2 Zero</v>
      </c>
      <c r="P4302" s="2" t="n">
        <f aca="false">Lookups!$B$2*M4302+Lookups!$B$3*L4302</f>
        <v>0</v>
      </c>
      <c r="Q4302" s="2" t="str">
        <f aca="false">INDEX(Lookups!$E$2:$E$5,MATCH(P4302,Lookups!$D$2:$D$5,0))</f>
        <v>Low</v>
      </c>
    </row>
    <row r="4303" customFormat="false" ht="15" hidden="false" customHeight="false" outlineLevel="0" collapsed="false">
      <c r="A4303" s="3" t="n">
        <v>4302</v>
      </c>
      <c r="B4303" s="3" t="n">
        <f aca="false">Raw_Data!A4303</f>
        <v>49</v>
      </c>
      <c r="C4303" s="3" t="str">
        <f aca="false">SUBSTITUTE(Raw_Data!B4303,".","")</f>
        <v>blue-collar</v>
      </c>
      <c r="D4303" s="3" t="str">
        <f aca="false">Raw_Data!C4303</f>
        <v>married</v>
      </c>
      <c r="E4303" s="3" t="str">
        <f aca="false">Raw_Data!D4303</f>
        <v>primary</v>
      </c>
      <c r="F4303" s="3" t="str">
        <f aca="false">Raw_Data!E4303</f>
        <v>no</v>
      </c>
      <c r="G4303" s="3" t="n">
        <f aca="false">Raw_Data!F4303</f>
        <v>371</v>
      </c>
      <c r="H4303" s="3" t="str">
        <f aca="false">Raw_Data!G4303</f>
        <v>yes</v>
      </c>
      <c r="I4303" s="3" t="str">
        <f aca="false">Raw_Data!H4303</f>
        <v>no</v>
      </c>
      <c r="J4303" s="2" t="n">
        <f aca="false">IF(F4303="yes",1,0)</f>
        <v>0</v>
      </c>
      <c r="K4303" s="2" t="n">
        <f aca="false">IF(H4303="yes",1,0)</f>
        <v>1</v>
      </c>
      <c r="L4303" s="2" t="n">
        <f aca="false">IF(I4303="yes",1,0)</f>
        <v>0</v>
      </c>
      <c r="M4303" s="2" t="n">
        <f aca="false">IF(G4303&lt;0,1,0)</f>
        <v>0</v>
      </c>
      <c r="N4303" s="2" t="str">
        <f aca="false">_xlfn.IFS(B4303&lt;30,"Under 30",B4303&lt;40,"30-39",B4303&lt;50,"40-49",B4303&lt;60,"50-59",TRUE(),"60+")</f>
        <v>40-49</v>
      </c>
      <c r="O4303" s="2" t="str">
        <f aca="false">_xlfn.IFS(G4303&lt;0,"1 Negative",G4303=0,"2 Zero",G4303&lt;=500,"3 1-500",G4303&lt;=2000,"4 501-2000",TRUE(),"5 Above 2000")</f>
        <v>3 1-500</v>
      </c>
      <c r="P4303" s="2" t="n">
        <f aca="false">Lookups!$B$2*M4303+Lookups!$B$3*L4303</f>
        <v>0</v>
      </c>
      <c r="Q4303" s="2" t="str">
        <f aca="false">INDEX(Lookups!$E$2:$E$5,MATCH(P4303,Lookups!$D$2:$D$5,0))</f>
        <v>Low</v>
      </c>
    </row>
    <row r="4304" customFormat="false" ht="15" hidden="false" customHeight="false" outlineLevel="0" collapsed="false">
      <c r="A4304" s="3" t="n">
        <v>4303</v>
      </c>
      <c r="B4304" s="3" t="n">
        <f aca="false">Raw_Data!A4304</f>
        <v>33</v>
      </c>
      <c r="C4304" s="3" t="str">
        <f aca="false">SUBSTITUTE(Raw_Data!B4304,".","")</f>
        <v>blue-collar</v>
      </c>
      <c r="D4304" s="3" t="str">
        <f aca="false">Raw_Data!C4304</f>
        <v>single</v>
      </c>
      <c r="E4304" s="3" t="str">
        <f aca="false">Raw_Data!D4304</f>
        <v>primary</v>
      </c>
      <c r="F4304" s="3" t="str">
        <f aca="false">Raw_Data!E4304</f>
        <v>no</v>
      </c>
      <c r="G4304" s="3" t="n">
        <f aca="false">Raw_Data!F4304</f>
        <v>1</v>
      </c>
      <c r="H4304" s="3" t="str">
        <f aca="false">Raw_Data!G4304</f>
        <v>yes</v>
      </c>
      <c r="I4304" s="3" t="str">
        <f aca="false">Raw_Data!H4304</f>
        <v>no</v>
      </c>
      <c r="J4304" s="2" t="n">
        <f aca="false">IF(F4304="yes",1,0)</f>
        <v>0</v>
      </c>
      <c r="K4304" s="2" t="n">
        <f aca="false">IF(H4304="yes",1,0)</f>
        <v>1</v>
      </c>
      <c r="L4304" s="2" t="n">
        <f aca="false">IF(I4304="yes",1,0)</f>
        <v>0</v>
      </c>
      <c r="M4304" s="2" t="n">
        <f aca="false">IF(G4304&lt;0,1,0)</f>
        <v>0</v>
      </c>
      <c r="N4304" s="2" t="str">
        <f aca="false">_xlfn.IFS(B4304&lt;30,"Under 30",B4304&lt;40,"30-39",B4304&lt;50,"40-49",B4304&lt;60,"50-59",TRUE(),"60+")</f>
        <v>30-39</v>
      </c>
      <c r="O4304" s="2" t="str">
        <f aca="false">_xlfn.IFS(G4304&lt;0,"1 Negative",G4304=0,"2 Zero",G4304&lt;=500,"3 1-500",G4304&lt;=2000,"4 501-2000",TRUE(),"5 Above 2000")</f>
        <v>3 1-500</v>
      </c>
      <c r="P4304" s="2" t="n">
        <f aca="false">Lookups!$B$2*M4304+Lookups!$B$3*L4304</f>
        <v>0</v>
      </c>
      <c r="Q4304" s="2" t="str">
        <f aca="false">INDEX(Lookups!$E$2:$E$5,MATCH(P4304,Lookups!$D$2:$D$5,0))</f>
        <v>Low</v>
      </c>
    </row>
    <row r="4305" customFormat="false" ht="15" hidden="false" customHeight="false" outlineLevel="0" collapsed="false">
      <c r="A4305" s="3" t="n">
        <v>4304</v>
      </c>
      <c r="B4305" s="3" t="n">
        <f aca="false">Raw_Data!A4305</f>
        <v>46</v>
      </c>
      <c r="C4305" s="3" t="str">
        <f aca="false">SUBSTITUTE(Raw_Data!B4305,".","")</f>
        <v>technician</v>
      </c>
      <c r="D4305" s="3" t="str">
        <f aca="false">Raw_Data!C4305</f>
        <v>single</v>
      </c>
      <c r="E4305" s="3" t="str">
        <f aca="false">Raw_Data!D4305</f>
        <v>secondary</v>
      </c>
      <c r="F4305" s="3" t="str">
        <f aca="false">Raw_Data!E4305</f>
        <v>no</v>
      </c>
      <c r="G4305" s="3" t="n">
        <f aca="false">Raw_Data!F4305</f>
        <v>834</v>
      </c>
      <c r="H4305" s="3" t="str">
        <f aca="false">Raw_Data!G4305</f>
        <v>yes</v>
      </c>
      <c r="I4305" s="3" t="str">
        <f aca="false">Raw_Data!H4305</f>
        <v>no</v>
      </c>
      <c r="J4305" s="2" t="n">
        <f aca="false">IF(F4305="yes",1,0)</f>
        <v>0</v>
      </c>
      <c r="K4305" s="2" t="n">
        <f aca="false">IF(H4305="yes",1,0)</f>
        <v>1</v>
      </c>
      <c r="L4305" s="2" t="n">
        <f aca="false">IF(I4305="yes",1,0)</f>
        <v>0</v>
      </c>
      <c r="M4305" s="2" t="n">
        <f aca="false">IF(G4305&lt;0,1,0)</f>
        <v>0</v>
      </c>
      <c r="N4305" s="2" t="str">
        <f aca="false">_xlfn.IFS(B4305&lt;30,"Under 30",B4305&lt;40,"30-39",B4305&lt;50,"40-49",B4305&lt;60,"50-59",TRUE(),"60+")</f>
        <v>40-49</v>
      </c>
      <c r="O4305" s="2" t="str">
        <f aca="false">_xlfn.IFS(G4305&lt;0,"1 Negative",G4305=0,"2 Zero",G4305&lt;=500,"3 1-500",G4305&lt;=2000,"4 501-2000",TRUE(),"5 Above 2000")</f>
        <v>4 501-2000</v>
      </c>
      <c r="P4305" s="2" t="n">
        <f aca="false">Lookups!$B$2*M4305+Lookups!$B$3*L4305</f>
        <v>0</v>
      </c>
      <c r="Q4305" s="2" t="str">
        <f aca="false">INDEX(Lookups!$E$2:$E$5,MATCH(P4305,Lookups!$D$2:$D$5,0))</f>
        <v>Low</v>
      </c>
    </row>
    <row r="4306" customFormat="false" ht="15" hidden="false" customHeight="false" outlineLevel="0" collapsed="false">
      <c r="A4306" s="3" t="n">
        <v>4305</v>
      </c>
      <c r="B4306" s="3" t="n">
        <f aca="false">Raw_Data!A4306</f>
        <v>55</v>
      </c>
      <c r="C4306" s="3" t="str">
        <f aca="false">SUBSTITUTE(Raw_Data!B4306,".","")</f>
        <v>entrepreneur</v>
      </c>
      <c r="D4306" s="3" t="str">
        <f aca="false">Raw_Data!C4306</f>
        <v>married</v>
      </c>
      <c r="E4306" s="3" t="str">
        <f aca="false">Raw_Data!D4306</f>
        <v>primary</v>
      </c>
      <c r="F4306" s="3" t="str">
        <f aca="false">Raw_Data!E4306</f>
        <v>no</v>
      </c>
      <c r="G4306" s="3" t="n">
        <f aca="false">Raw_Data!F4306</f>
        <v>298</v>
      </c>
      <c r="H4306" s="3" t="str">
        <f aca="false">Raw_Data!G4306</f>
        <v>yes</v>
      </c>
      <c r="I4306" s="3" t="str">
        <f aca="false">Raw_Data!H4306</f>
        <v>no</v>
      </c>
      <c r="J4306" s="2" t="n">
        <f aca="false">IF(F4306="yes",1,0)</f>
        <v>0</v>
      </c>
      <c r="K4306" s="2" t="n">
        <f aca="false">IF(H4306="yes",1,0)</f>
        <v>1</v>
      </c>
      <c r="L4306" s="2" t="n">
        <f aca="false">IF(I4306="yes",1,0)</f>
        <v>0</v>
      </c>
      <c r="M4306" s="2" t="n">
        <f aca="false">IF(G4306&lt;0,1,0)</f>
        <v>0</v>
      </c>
      <c r="N4306" s="2" t="str">
        <f aca="false">_xlfn.IFS(B4306&lt;30,"Under 30",B4306&lt;40,"30-39",B4306&lt;50,"40-49",B4306&lt;60,"50-59",TRUE(),"60+")</f>
        <v>50-59</v>
      </c>
      <c r="O4306" s="2" t="str">
        <f aca="false">_xlfn.IFS(G4306&lt;0,"1 Negative",G4306=0,"2 Zero",G4306&lt;=500,"3 1-500",G4306&lt;=2000,"4 501-2000",TRUE(),"5 Above 2000")</f>
        <v>3 1-500</v>
      </c>
      <c r="P4306" s="2" t="n">
        <f aca="false">Lookups!$B$2*M4306+Lookups!$B$3*L4306</f>
        <v>0</v>
      </c>
      <c r="Q4306" s="2" t="str">
        <f aca="false">INDEX(Lookups!$E$2:$E$5,MATCH(P4306,Lookups!$D$2:$D$5,0))</f>
        <v>Low</v>
      </c>
    </row>
    <row r="4307" customFormat="false" ht="15" hidden="false" customHeight="false" outlineLevel="0" collapsed="false">
      <c r="A4307" s="3" t="n">
        <v>4306</v>
      </c>
      <c r="B4307" s="3" t="n">
        <f aca="false">Raw_Data!A4307</f>
        <v>49</v>
      </c>
      <c r="C4307" s="3" t="str">
        <f aca="false">SUBSTITUTE(Raw_Data!B4307,".","")</f>
        <v>services</v>
      </c>
      <c r="D4307" s="3" t="str">
        <f aca="false">Raw_Data!C4307</f>
        <v>married</v>
      </c>
      <c r="E4307" s="3" t="str">
        <f aca="false">Raw_Data!D4307</f>
        <v>tertiary</v>
      </c>
      <c r="F4307" s="3" t="str">
        <f aca="false">Raw_Data!E4307</f>
        <v>no</v>
      </c>
      <c r="G4307" s="3" t="n">
        <f aca="false">Raw_Data!F4307</f>
        <v>306</v>
      </c>
      <c r="H4307" s="3" t="str">
        <f aca="false">Raw_Data!G4307</f>
        <v>yes</v>
      </c>
      <c r="I4307" s="3" t="str">
        <f aca="false">Raw_Data!H4307</f>
        <v>no</v>
      </c>
      <c r="J4307" s="2" t="n">
        <f aca="false">IF(F4307="yes",1,0)</f>
        <v>0</v>
      </c>
      <c r="K4307" s="2" t="n">
        <f aca="false">IF(H4307="yes",1,0)</f>
        <v>1</v>
      </c>
      <c r="L4307" s="2" t="n">
        <f aca="false">IF(I4307="yes",1,0)</f>
        <v>0</v>
      </c>
      <c r="M4307" s="2" t="n">
        <f aca="false">IF(G4307&lt;0,1,0)</f>
        <v>0</v>
      </c>
      <c r="N4307" s="2" t="str">
        <f aca="false">_xlfn.IFS(B4307&lt;30,"Under 30",B4307&lt;40,"30-39",B4307&lt;50,"40-49",B4307&lt;60,"50-59",TRUE(),"60+")</f>
        <v>40-49</v>
      </c>
      <c r="O4307" s="2" t="str">
        <f aca="false">_xlfn.IFS(G4307&lt;0,"1 Negative",G4307=0,"2 Zero",G4307&lt;=500,"3 1-500",G4307&lt;=2000,"4 501-2000",TRUE(),"5 Above 2000")</f>
        <v>3 1-500</v>
      </c>
      <c r="P4307" s="2" t="n">
        <f aca="false">Lookups!$B$2*M4307+Lookups!$B$3*L4307</f>
        <v>0</v>
      </c>
      <c r="Q4307" s="2" t="str">
        <f aca="false">INDEX(Lookups!$E$2:$E$5,MATCH(P4307,Lookups!$D$2:$D$5,0))</f>
        <v>Low</v>
      </c>
    </row>
    <row r="4308" customFormat="false" ht="15" hidden="false" customHeight="false" outlineLevel="0" collapsed="false">
      <c r="A4308" s="3" t="n">
        <v>4307</v>
      </c>
      <c r="B4308" s="3" t="n">
        <f aca="false">Raw_Data!A4308</f>
        <v>51</v>
      </c>
      <c r="C4308" s="3" t="str">
        <f aca="false">SUBSTITUTE(Raw_Data!B4308,".","")</f>
        <v>technician</v>
      </c>
      <c r="D4308" s="3" t="str">
        <f aca="false">Raw_Data!C4308</f>
        <v>married</v>
      </c>
      <c r="E4308" s="3" t="str">
        <f aca="false">Raw_Data!D4308</f>
        <v>secondary</v>
      </c>
      <c r="F4308" s="3" t="str">
        <f aca="false">Raw_Data!E4308</f>
        <v>no</v>
      </c>
      <c r="G4308" s="3" t="n">
        <f aca="false">Raw_Data!F4308</f>
        <v>143</v>
      </c>
      <c r="H4308" s="3" t="str">
        <f aca="false">Raw_Data!G4308</f>
        <v>yes</v>
      </c>
      <c r="I4308" s="3" t="str">
        <f aca="false">Raw_Data!H4308</f>
        <v>no</v>
      </c>
      <c r="J4308" s="2" t="n">
        <f aca="false">IF(F4308="yes",1,0)</f>
        <v>0</v>
      </c>
      <c r="K4308" s="2" t="n">
        <f aca="false">IF(H4308="yes",1,0)</f>
        <v>1</v>
      </c>
      <c r="L4308" s="2" t="n">
        <f aca="false">IF(I4308="yes",1,0)</f>
        <v>0</v>
      </c>
      <c r="M4308" s="2" t="n">
        <f aca="false">IF(G4308&lt;0,1,0)</f>
        <v>0</v>
      </c>
      <c r="N4308" s="2" t="str">
        <f aca="false">_xlfn.IFS(B4308&lt;30,"Under 30",B4308&lt;40,"30-39",B4308&lt;50,"40-49",B4308&lt;60,"50-59",TRUE(),"60+")</f>
        <v>50-59</v>
      </c>
      <c r="O4308" s="2" t="str">
        <f aca="false">_xlfn.IFS(G4308&lt;0,"1 Negative",G4308=0,"2 Zero",G4308&lt;=500,"3 1-500",G4308&lt;=2000,"4 501-2000",TRUE(),"5 Above 2000")</f>
        <v>3 1-500</v>
      </c>
      <c r="P4308" s="2" t="n">
        <f aca="false">Lookups!$B$2*M4308+Lookups!$B$3*L4308</f>
        <v>0</v>
      </c>
      <c r="Q4308" s="2" t="str">
        <f aca="false">INDEX(Lookups!$E$2:$E$5,MATCH(P4308,Lookups!$D$2:$D$5,0))</f>
        <v>Low</v>
      </c>
    </row>
    <row r="4309" customFormat="false" ht="15" hidden="false" customHeight="false" outlineLevel="0" collapsed="false">
      <c r="A4309" s="3" t="n">
        <v>4308</v>
      </c>
      <c r="B4309" s="3" t="n">
        <f aca="false">Raw_Data!A4309</f>
        <v>27</v>
      </c>
      <c r="C4309" s="3" t="str">
        <f aca="false">SUBSTITUTE(Raw_Data!B4309,".","")</f>
        <v>admin</v>
      </c>
      <c r="D4309" s="3" t="str">
        <f aca="false">Raw_Data!C4309</f>
        <v>married</v>
      </c>
      <c r="E4309" s="3" t="str">
        <f aca="false">Raw_Data!D4309</f>
        <v>secondary</v>
      </c>
      <c r="F4309" s="3" t="str">
        <f aca="false">Raw_Data!E4309</f>
        <v>no</v>
      </c>
      <c r="G4309" s="3" t="n">
        <f aca="false">Raw_Data!F4309</f>
        <v>186</v>
      </c>
      <c r="H4309" s="3" t="str">
        <f aca="false">Raw_Data!G4309</f>
        <v>yes</v>
      </c>
      <c r="I4309" s="3" t="str">
        <f aca="false">Raw_Data!H4309</f>
        <v>no</v>
      </c>
      <c r="J4309" s="2" t="n">
        <f aca="false">IF(F4309="yes",1,0)</f>
        <v>0</v>
      </c>
      <c r="K4309" s="2" t="n">
        <f aca="false">IF(H4309="yes",1,0)</f>
        <v>1</v>
      </c>
      <c r="L4309" s="2" t="n">
        <f aca="false">IF(I4309="yes",1,0)</f>
        <v>0</v>
      </c>
      <c r="M4309" s="2" t="n">
        <f aca="false">IF(G4309&lt;0,1,0)</f>
        <v>0</v>
      </c>
      <c r="N4309" s="2" t="str">
        <f aca="false">_xlfn.IFS(B4309&lt;30,"Under 30",B4309&lt;40,"30-39",B4309&lt;50,"40-49",B4309&lt;60,"50-59",TRUE(),"60+")</f>
        <v>Under 30</v>
      </c>
      <c r="O4309" s="2" t="str">
        <f aca="false">_xlfn.IFS(G4309&lt;0,"1 Negative",G4309=0,"2 Zero",G4309&lt;=500,"3 1-500",G4309&lt;=2000,"4 501-2000",TRUE(),"5 Above 2000")</f>
        <v>3 1-500</v>
      </c>
      <c r="P4309" s="2" t="n">
        <f aca="false">Lookups!$B$2*M4309+Lookups!$B$3*L4309</f>
        <v>0</v>
      </c>
      <c r="Q4309" s="2" t="str">
        <f aca="false">INDEX(Lookups!$E$2:$E$5,MATCH(P4309,Lookups!$D$2:$D$5,0))</f>
        <v>Low</v>
      </c>
    </row>
    <row r="4310" customFormat="false" ht="15" hidden="false" customHeight="false" outlineLevel="0" collapsed="false">
      <c r="A4310" s="3" t="n">
        <v>4309</v>
      </c>
      <c r="B4310" s="3" t="n">
        <f aca="false">Raw_Data!A4310</f>
        <v>44</v>
      </c>
      <c r="C4310" s="3" t="str">
        <f aca="false">SUBSTITUTE(Raw_Data!B4310,".","")</f>
        <v>technician</v>
      </c>
      <c r="D4310" s="3" t="str">
        <f aca="false">Raw_Data!C4310</f>
        <v>married</v>
      </c>
      <c r="E4310" s="3" t="str">
        <f aca="false">Raw_Data!D4310</f>
        <v>secondary</v>
      </c>
      <c r="F4310" s="3" t="str">
        <f aca="false">Raw_Data!E4310</f>
        <v>no</v>
      </c>
      <c r="G4310" s="3" t="n">
        <f aca="false">Raw_Data!F4310</f>
        <v>5597</v>
      </c>
      <c r="H4310" s="3" t="str">
        <f aca="false">Raw_Data!G4310</f>
        <v>no</v>
      </c>
      <c r="I4310" s="3" t="str">
        <f aca="false">Raw_Data!H4310</f>
        <v>no</v>
      </c>
      <c r="J4310" s="2" t="n">
        <f aca="false">IF(F4310="yes",1,0)</f>
        <v>0</v>
      </c>
      <c r="K4310" s="2" t="n">
        <f aca="false">IF(H4310="yes",1,0)</f>
        <v>0</v>
      </c>
      <c r="L4310" s="2" t="n">
        <f aca="false">IF(I4310="yes",1,0)</f>
        <v>0</v>
      </c>
      <c r="M4310" s="2" t="n">
        <f aca="false">IF(G4310&lt;0,1,0)</f>
        <v>0</v>
      </c>
      <c r="N4310" s="2" t="str">
        <f aca="false">_xlfn.IFS(B4310&lt;30,"Under 30",B4310&lt;40,"30-39",B4310&lt;50,"40-49",B4310&lt;60,"50-59",TRUE(),"60+")</f>
        <v>40-49</v>
      </c>
      <c r="O4310" s="2" t="str">
        <f aca="false">_xlfn.IFS(G4310&lt;0,"1 Negative",G4310=0,"2 Zero",G4310&lt;=500,"3 1-500",G4310&lt;=2000,"4 501-2000",TRUE(),"5 Above 2000")</f>
        <v>5 Above 2000</v>
      </c>
      <c r="P4310" s="2" t="n">
        <f aca="false">Lookups!$B$2*M4310+Lookups!$B$3*L4310</f>
        <v>0</v>
      </c>
      <c r="Q4310" s="2" t="str">
        <f aca="false">INDEX(Lookups!$E$2:$E$5,MATCH(P4310,Lookups!$D$2:$D$5,0))</f>
        <v>Low</v>
      </c>
    </row>
    <row r="4311" customFormat="false" ht="15" hidden="false" customHeight="false" outlineLevel="0" collapsed="false">
      <c r="A4311" s="3" t="n">
        <v>4310</v>
      </c>
      <c r="B4311" s="3" t="n">
        <f aca="false">Raw_Data!A4311</f>
        <v>40</v>
      </c>
      <c r="C4311" s="3" t="str">
        <f aca="false">SUBSTITUTE(Raw_Data!B4311,".","")</f>
        <v>services</v>
      </c>
      <c r="D4311" s="3" t="str">
        <f aca="false">Raw_Data!C4311</f>
        <v>single</v>
      </c>
      <c r="E4311" s="3" t="str">
        <f aca="false">Raw_Data!D4311</f>
        <v>secondary</v>
      </c>
      <c r="F4311" s="3" t="str">
        <f aca="false">Raw_Data!E4311</f>
        <v>no</v>
      </c>
      <c r="G4311" s="3" t="n">
        <f aca="false">Raw_Data!F4311</f>
        <v>1547</v>
      </c>
      <c r="H4311" s="3" t="str">
        <f aca="false">Raw_Data!G4311</f>
        <v>yes</v>
      </c>
      <c r="I4311" s="3" t="str">
        <f aca="false">Raw_Data!H4311</f>
        <v>no</v>
      </c>
      <c r="J4311" s="2" t="n">
        <f aca="false">IF(F4311="yes",1,0)</f>
        <v>0</v>
      </c>
      <c r="K4311" s="2" t="n">
        <f aca="false">IF(H4311="yes",1,0)</f>
        <v>1</v>
      </c>
      <c r="L4311" s="2" t="n">
        <f aca="false">IF(I4311="yes",1,0)</f>
        <v>0</v>
      </c>
      <c r="M4311" s="2" t="n">
        <f aca="false">IF(G4311&lt;0,1,0)</f>
        <v>0</v>
      </c>
      <c r="N4311" s="2" t="str">
        <f aca="false">_xlfn.IFS(B4311&lt;30,"Under 30",B4311&lt;40,"30-39",B4311&lt;50,"40-49",B4311&lt;60,"50-59",TRUE(),"60+")</f>
        <v>40-49</v>
      </c>
      <c r="O4311" s="2" t="str">
        <f aca="false">_xlfn.IFS(G4311&lt;0,"1 Negative",G4311=0,"2 Zero",G4311&lt;=500,"3 1-500",G4311&lt;=2000,"4 501-2000",TRUE(),"5 Above 2000")</f>
        <v>4 501-2000</v>
      </c>
      <c r="P4311" s="2" t="n">
        <f aca="false">Lookups!$B$2*M4311+Lookups!$B$3*L4311</f>
        <v>0</v>
      </c>
      <c r="Q4311" s="2" t="str">
        <f aca="false">INDEX(Lookups!$E$2:$E$5,MATCH(P4311,Lookups!$D$2:$D$5,0))</f>
        <v>Low</v>
      </c>
    </row>
    <row r="4312" customFormat="false" ht="15" hidden="false" customHeight="false" outlineLevel="0" collapsed="false">
      <c r="A4312" s="3" t="n">
        <v>4311</v>
      </c>
      <c r="B4312" s="3" t="n">
        <f aca="false">Raw_Data!A4312</f>
        <v>36</v>
      </c>
      <c r="C4312" s="3" t="str">
        <f aca="false">SUBSTITUTE(Raw_Data!B4312,".","")</f>
        <v>management</v>
      </c>
      <c r="D4312" s="3" t="str">
        <f aca="false">Raw_Data!C4312</f>
        <v>married</v>
      </c>
      <c r="E4312" s="3" t="str">
        <f aca="false">Raw_Data!D4312</f>
        <v>tertiary</v>
      </c>
      <c r="F4312" s="3" t="str">
        <f aca="false">Raw_Data!E4312</f>
        <v>no</v>
      </c>
      <c r="G4312" s="3" t="n">
        <f aca="false">Raw_Data!F4312</f>
        <v>1852</v>
      </c>
      <c r="H4312" s="3" t="str">
        <f aca="false">Raw_Data!G4312</f>
        <v>no</v>
      </c>
      <c r="I4312" s="3" t="str">
        <f aca="false">Raw_Data!H4312</f>
        <v>no</v>
      </c>
      <c r="J4312" s="2" t="n">
        <f aca="false">IF(F4312="yes",1,0)</f>
        <v>0</v>
      </c>
      <c r="K4312" s="2" t="n">
        <f aca="false">IF(H4312="yes",1,0)</f>
        <v>0</v>
      </c>
      <c r="L4312" s="2" t="n">
        <f aca="false">IF(I4312="yes",1,0)</f>
        <v>0</v>
      </c>
      <c r="M4312" s="2" t="n">
        <f aca="false">IF(G4312&lt;0,1,0)</f>
        <v>0</v>
      </c>
      <c r="N4312" s="2" t="str">
        <f aca="false">_xlfn.IFS(B4312&lt;30,"Under 30",B4312&lt;40,"30-39",B4312&lt;50,"40-49",B4312&lt;60,"50-59",TRUE(),"60+")</f>
        <v>30-39</v>
      </c>
      <c r="O4312" s="2" t="str">
        <f aca="false">_xlfn.IFS(G4312&lt;0,"1 Negative",G4312=0,"2 Zero",G4312&lt;=500,"3 1-500",G4312&lt;=2000,"4 501-2000",TRUE(),"5 Above 2000")</f>
        <v>4 501-2000</v>
      </c>
      <c r="P4312" s="2" t="n">
        <f aca="false">Lookups!$B$2*M4312+Lookups!$B$3*L4312</f>
        <v>0</v>
      </c>
      <c r="Q4312" s="2" t="str">
        <f aca="false">INDEX(Lookups!$E$2:$E$5,MATCH(P4312,Lookups!$D$2:$D$5,0))</f>
        <v>Low</v>
      </c>
    </row>
    <row r="4313" customFormat="false" ht="15" hidden="false" customHeight="false" outlineLevel="0" collapsed="false">
      <c r="A4313" s="3" t="n">
        <v>4312</v>
      </c>
      <c r="B4313" s="3" t="n">
        <f aca="false">Raw_Data!A4313</f>
        <v>46</v>
      </c>
      <c r="C4313" s="3" t="str">
        <f aca="false">SUBSTITUTE(Raw_Data!B4313,".","")</f>
        <v>admin</v>
      </c>
      <c r="D4313" s="3" t="str">
        <f aca="false">Raw_Data!C4313</f>
        <v>single</v>
      </c>
      <c r="E4313" s="3" t="str">
        <f aca="false">Raw_Data!D4313</f>
        <v>secondary</v>
      </c>
      <c r="F4313" s="3" t="str">
        <f aca="false">Raw_Data!E4313</f>
        <v>no</v>
      </c>
      <c r="G4313" s="3" t="n">
        <f aca="false">Raw_Data!F4313</f>
        <v>1790</v>
      </c>
      <c r="H4313" s="3" t="str">
        <f aca="false">Raw_Data!G4313</f>
        <v>yes</v>
      </c>
      <c r="I4313" s="3" t="str">
        <f aca="false">Raw_Data!H4313</f>
        <v>no</v>
      </c>
      <c r="J4313" s="2" t="n">
        <f aca="false">IF(F4313="yes",1,0)</f>
        <v>0</v>
      </c>
      <c r="K4313" s="2" t="n">
        <f aca="false">IF(H4313="yes",1,0)</f>
        <v>1</v>
      </c>
      <c r="L4313" s="2" t="n">
        <f aca="false">IF(I4313="yes",1,0)</f>
        <v>0</v>
      </c>
      <c r="M4313" s="2" t="n">
        <f aca="false">IF(G4313&lt;0,1,0)</f>
        <v>0</v>
      </c>
      <c r="N4313" s="2" t="str">
        <f aca="false">_xlfn.IFS(B4313&lt;30,"Under 30",B4313&lt;40,"30-39",B4313&lt;50,"40-49",B4313&lt;60,"50-59",TRUE(),"60+")</f>
        <v>40-49</v>
      </c>
      <c r="O4313" s="2" t="str">
        <f aca="false">_xlfn.IFS(G4313&lt;0,"1 Negative",G4313=0,"2 Zero",G4313&lt;=500,"3 1-500",G4313&lt;=2000,"4 501-2000",TRUE(),"5 Above 2000")</f>
        <v>4 501-2000</v>
      </c>
      <c r="P4313" s="2" t="n">
        <f aca="false">Lookups!$B$2*M4313+Lookups!$B$3*L4313</f>
        <v>0</v>
      </c>
      <c r="Q4313" s="2" t="str">
        <f aca="false">INDEX(Lookups!$E$2:$E$5,MATCH(P4313,Lookups!$D$2:$D$5,0))</f>
        <v>Low</v>
      </c>
    </row>
    <row r="4314" customFormat="false" ht="15" hidden="false" customHeight="false" outlineLevel="0" collapsed="false">
      <c r="A4314" s="3" t="n">
        <v>4313</v>
      </c>
      <c r="B4314" s="3" t="n">
        <f aca="false">Raw_Data!A4314</f>
        <v>30</v>
      </c>
      <c r="C4314" s="3" t="str">
        <f aca="false">SUBSTITUTE(Raw_Data!B4314,".","")</f>
        <v>services</v>
      </c>
      <c r="D4314" s="3" t="str">
        <f aca="false">Raw_Data!C4314</f>
        <v>single</v>
      </c>
      <c r="E4314" s="3" t="str">
        <f aca="false">Raw_Data!D4314</f>
        <v>secondary</v>
      </c>
      <c r="F4314" s="3" t="str">
        <f aca="false">Raw_Data!E4314</f>
        <v>no</v>
      </c>
      <c r="G4314" s="3" t="n">
        <f aca="false">Raw_Data!F4314</f>
        <v>20</v>
      </c>
      <c r="H4314" s="3" t="str">
        <f aca="false">Raw_Data!G4314</f>
        <v>yes</v>
      </c>
      <c r="I4314" s="3" t="str">
        <f aca="false">Raw_Data!H4314</f>
        <v>no</v>
      </c>
      <c r="J4314" s="2" t="n">
        <f aca="false">IF(F4314="yes",1,0)</f>
        <v>0</v>
      </c>
      <c r="K4314" s="2" t="n">
        <f aca="false">IF(H4314="yes",1,0)</f>
        <v>1</v>
      </c>
      <c r="L4314" s="2" t="n">
        <f aca="false">IF(I4314="yes",1,0)</f>
        <v>0</v>
      </c>
      <c r="M4314" s="2" t="n">
        <f aca="false">IF(G4314&lt;0,1,0)</f>
        <v>0</v>
      </c>
      <c r="N4314" s="2" t="str">
        <f aca="false">_xlfn.IFS(B4314&lt;30,"Under 30",B4314&lt;40,"30-39",B4314&lt;50,"40-49",B4314&lt;60,"50-59",TRUE(),"60+")</f>
        <v>30-39</v>
      </c>
      <c r="O4314" s="2" t="str">
        <f aca="false">_xlfn.IFS(G4314&lt;0,"1 Negative",G4314=0,"2 Zero",G4314&lt;=500,"3 1-500",G4314&lt;=2000,"4 501-2000",TRUE(),"5 Above 2000")</f>
        <v>3 1-500</v>
      </c>
      <c r="P4314" s="2" t="n">
        <f aca="false">Lookups!$B$2*M4314+Lookups!$B$3*L4314</f>
        <v>0</v>
      </c>
      <c r="Q4314" s="2" t="str">
        <f aca="false">INDEX(Lookups!$E$2:$E$5,MATCH(P4314,Lookups!$D$2:$D$5,0))</f>
        <v>Low</v>
      </c>
    </row>
    <row r="4315" customFormat="false" ht="15" hidden="false" customHeight="false" outlineLevel="0" collapsed="false">
      <c r="A4315" s="3" t="n">
        <v>4314</v>
      </c>
      <c r="B4315" s="3" t="n">
        <f aca="false">Raw_Data!A4315</f>
        <v>35</v>
      </c>
      <c r="C4315" s="3" t="str">
        <f aca="false">SUBSTITUTE(Raw_Data!B4315,".","")</f>
        <v>admin</v>
      </c>
      <c r="D4315" s="3" t="str">
        <f aca="false">Raw_Data!C4315</f>
        <v>married</v>
      </c>
      <c r="E4315" s="3" t="str">
        <f aca="false">Raw_Data!D4315</f>
        <v>secondary</v>
      </c>
      <c r="F4315" s="3" t="str">
        <f aca="false">Raw_Data!E4315</f>
        <v>no</v>
      </c>
      <c r="G4315" s="3" t="n">
        <f aca="false">Raw_Data!F4315</f>
        <v>8652</v>
      </c>
      <c r="H4315" s="3" t="str">
        <f aca="false">Raw_Data!G4315</f>
        <v>yes</v>
      </c>
      <c r="I4315" s="3" t="str">
        <f aca="false">Raw_Data!H4315</f>
        <v>no</v>
      </c>
      <c r="J4315" s="2" t="n">
        <f aca="false">IF(F4315="yes",1,0)</f>
        <v>0</v>
      </c>
      <c r="K4315" s="2" t="n">
        <f aca="false">IF(H4315="yes",1,0)</f>
        <v>1</v>
      </c>
      <c r="L4315" s="2" t="n">
        <f aca="false">IF(I4315="yes",1,0)</f>
        <v>0</v>
      </c>
      <c r="M4315" s="2" t="n">
        <f aca="false">IF(G4315&lt;0,1,0)</f>
        <v>0</v>
      </c>
      <c r="N4315" s="2" t="str">
        <f aca="false">_xlfn.IFS(B4315&lt;30,"Under 30",B4315&lt;40,"30-39",B4315&lt;50,"40-49",B4315&lt;60,"50-59",TRUE(),"60+")</f>
        <v>30-39</v>
      </c>
      <c r="O4315" s="2" t="str">
        <f aca="false">_xlfn.IFS(G4315&lt;0,"1 Negative",G4315=0,"2 Zero",G4315&lt;=500,"3 1-500",G4315&lt;=2000,"4 501-2000",TRUE(),"5 Above 2000")</f>
        <v>5 Above 2000</v>
      </c>
      <c r="P4315" s="2" t="n">
        <f aca="false">Lookups!$B$2*M4315+Lookups!$B$3*L4315</f>
        <v>0</v>
      </c>
      <c r="Q4315" s="2" t="str">
        <f aca="false">INDEX(Lookups!$E$2:$E$5,MATCH(P4315,Lookups!$D$2:$D$5,0))</f>
        <v>Low</v>
      </c>
    </row>
    <row r="4316" customFormat="false" ht="15" hidden="false" customHeight="false" outlineLevel="0" collapsed="false">
      <c r="A4316" s="3" t="n">
        <v>4315</v>
      </c>
      <c r="B4316" s="3" t="n">
        <f aca="false">Raw_Data!A4316</f>
        <v>31</v>
      </c>
      <c r="C4316" s="3" t="str">
        <f aca="false">SUBSTITUTE(Raw_Data!B4316,".","")</f>
        <v>technician</v>
      </c>
      <c r="D4316" s="3" t="str">
        <f aca="false">Raw_Data!C4316</f>
        <v>single</v>
      </c>
      <c r="E4316" s="3" t="str">
        <f aca="false">Raw_Data!D4316</f>
        <v>secondary</v>
      </c>
      <c r="F4316" s="3" t="str">
        <f aca="false">Raw_Data!E4316</f>
        <v>no</v>
      </c>
      <c r="G4316" s="3" t="n">
        <f aca="false">Raw_Data!F4316</f>
        <v>1626</v>
      </c>
      <c r="H4316" s="3" t="str">
        <f aca="false">Raw_Data!G4316</f>
        <v>no</v>
      </c>
      <c r="I4316" s="3" t="str">
        <f aca="false">Raw_Data!H4316</f>
        <v>no</v>
      </c>
      <c r="J4316" s="2" t="n">
        <f aca="false">IF(F4316="yes",1,0)</f>
        <v>0</v>
      </c>
      <c r="K4316" s="2" t="n">
        <f aca="false">IF(H4316="yes",1,0)</f>
        <v>0</v>
      </c>
      <c r="L4316" s="2" t="n">
        <f aca="false">IF(I4316="yes",1,0)</f>
        <v>0</v>
      </c>
      <c r="M4316" s="2" t="n">
        <f aca="false">IF(G4316&lt;0,1,0)</f>
        <v>0</v>
      </c>
      <c r="N4316" s="2" t="str">
        <f aca="false">_xlfn.IFS(B4316&lt;30,"Under 30",B4316&lt;40,"30-39",B4316&lt;50,"40-49",B4316&lt;60,"50-59",TRUE(),"60+")</f>
        <v>30-39</v>
      </c>
      <c r="O4316" s="2" t="str">
        <f aca="false">_xlfn.IFS(G4316&lt;0,"1 Negative",G4316=0,"2 Zero",G4316&lt;=500,"3 1-500",G4316&lt;=2000,"4 501-2000",TRUE(),"5 Above 2000")</f>
        <v>4 501-2000</v>
      </c>
      <c r="P4316" s="2" t="n">
        <f aca="false">Lookups!$B$2*M4316+Lookups!$B$3*L4316</f>
        <v>0</v>
      </c>
      <c r="Q4316" s="2" t="str">
        <f aca="false">INDEX(Lookups!$E$2:$E$5,MATCH(P4316,Lookups!$D$2:$D$5,0))</f>
        <v>Low</v>
      </c>
    </row>
    <row r="4317" customFormat="false" ht="15" hidden="false" customHeight="false" outlineLevel="0" collapsed="false">
      <c r="A4317" s="3" t="n">
        <v>4316</v>
      </c>
      <c r="B4317" s="3" t="n">
        <f aca="false">Raw_Data!A4317</f>
        <v>37</v>
      </c>
      <c r="C4317" s="3" t="str">
        <f aca="false">SUBSTITUTE(Raw_Data!B4317,".","")</f>
        <v>admin</v>
      </c>
      <c r="D4317" s="3" t="str">
        <f aca="false">Raw_Data!C4317</f>
        <v>married</v>
      </c>
      <c r="E4317" s="3" t="str">
        <f aca="false">Raw_Data!D4317</f>
        <v>secondary</v>
      </c>
      <c r="F4317" s="3" t="str">
        <f aca="false">Raw_Data!E4317</f>
        <v>no</v>
      </c>
      <c r="G4317" s="3" t="n">
        <f aca="false">Raw_Data!F4317</f>
        <v>749</v>
      </c>
      <c r="H4317" s="3" t="str">
        <f aca="false">Raw_Data!G4317</f>
        <v>no</v>
      </c>
      <c r="I4317" s="3" t="str">
        <f aca="false">Raw_Data!H4317</f>
        <v>no</v>
      </c>
      <c r="J4317" s="2" t="n">
        <f aca="false">IF(F4317="yes",1,0)</f>
        <v>0</v>
      </c>
      <c r="K4317" s="2" t="n">
        <f aca="false">IF(H4317="yes",1,0)</f>
        <v>0</v>
      </c>
      <c r="L4317" s="2" t="n">
        <f aca="false">IF(I4317="yes",1,0)</f>
        <v>0</v>
      </c>
      <c r="M4317" s="2" t="n">
        <f aca="false">IF(G4317&lt;0,1,0)</f>
        <v>0</v>
      </c>
      <c r="N4317" s="2" t="str">
        <f aca="false">_xlfn.IFS(B4317&lt;30,"Under 30",B4317&lt;40,"30-39",B4317&lt;50,"40-49",B4317&lt;60,"50-59",TRUE(),"60+")</f>
        <v>30-39</v>
      </c>
      <c r="O4317" s="2" t="str">
        <f aca="false">_xlfn.IFS(G4317&lt;0,"1 Negative",G4317=0,"2 Zero",G4317&lt;=500,"3 1-500",G4317&lt;=2000,"4 501-2000",TRUE(),"5 Above 2000")</f>
        <v>4 501-2000</v>
      </c>
      <c r="P4317" s="2" t="n">
        <f aca="false">Lookups!$B$2*M4317+Lookups!$B$3*L4317</f>
        <v>0</v>
      </c>
      <c r="Q4317" s="2" t="str">
        <f aca="false">INDEX(Lookups!$E$2:$E$5,MATCH(P4317,Lookups!$D$2:$D$5,0))</f>
        <v>Low</v>
      </c>
    </row>
    <row r="4318" customFormat="false" ht="15" hidden="false" customHeight="false" outlineLevel="0" collapsed="false">
      <c r="A4318" s="3" t="n">
        <v>4317</v>
      </c>
      <c r="B4318" s="3" t="n">
        <f aca="false">Raw_Data!A4318</f>
        <v>49</v>
      </c>
      <c r="C4318" s="3" t="str">
        <f aca="false">SUBSTITUTE(Raw_Data!B4318,".","")</f>
        <v>blue-collar</v>
      </c>
      <c r="D4318" s="3" t="str">
        <f aca="false">Raw_Data!C4318</f>
        <v>married</v>
      </c>
      <c r="E4318" s="3" t="str">
        <f aca="false">Raw_Data!D4318</f>
        <v>unknown</v>
      </c>
      <c r="F4318" s="3" t="str">
        <f aca="false">Raw_Data!E4318</f>
        <v>no</v>
      </c>
      <c r="G4318" s="3" t="n">
        <f aca="false">Raw_Data!F4318</f>
        <v>51</v>
      </c>
      <c r="H4318" s="3" t="str">
        <f aca="false">Raw_Data!G4318</f>
        <v>yes</v>
      </c>
      <c r="I4318" s="3" t="str">
        <f aca="false">Raw_Data!H4318</f>
        <v>no</v>
      </c>
      <c r="J4318" s="2" t="n">
        <f aca="false">IF(F4318="yes",1,0)</f>
        <v>0</v>
      </c>
      <c r="K4318" s="2" t="n">
        <f aca="false">IF(H4318="yes",1,0)</f>
        <v>1</v>
      </c>
      <c r="L4318" s="2" t="n">
        <f aca="false">IF(I4318="yes",1,0)</f>
        <v>0</v>
      </c>
      <c r="M4318" s="2" t="n">
        <f aca="false">IF(G4318&lt;0,1,0)</f>
        <v>0</v>
      </c>
      <c r="N4318" s="2" t="str">
        <f aca="false">_xlfn.IFS(B4318&lt;30,"Under 30",B4318&lt;40,"30-39",B4318&lt;50,"40-49",B4318&lt;60,"50-59",TRUE(),"60+")</f>
        <v>40-49</v>
      </c>
      <c r="O4318" s="2" t="str">
        <f aca="false">_xlfn.IFS(G4318&lt;0,"1 Negative",G4318=0,"2 Zero",G4318&lt;=500,"3 1-500",G4318&lt;=2000,"4 501-2000",TRUE(),"5 Above 2000")</f>
        <v>3 1-500</v>
      </c>
      <c r="P4318" s="2" t="n">
        <f aca="false">Lookups!$B$2*M4318+Lookups!$B$3*L4318</f>
        <v>0</v>
      </c>
      <c r="Q4318" s="2" t="str">
        <f aca="false">INDEX(Lookups!$E$2:$E$5,MATCH(P4318,Lookups!$D$2:$D$5,0))</f>
        <v>Low</v>
      </c>
    </row>
    <row r="4319" customFormat="false" ht="15" hidden="false" customHeight="false" outlineLevel="0" collapsed="false">
      <c r="A4319" s="3" t="n">
        <v>4318</v>
      </c>
      <c r="B4319" s="3" t="n">
        <f aca="false">Raw_Data!A4319</f>
        <v>27</v>
      </c>
      <c r="C4319" s="3" t="str">
        <f aca="false">SUBSTITUTE(Raw_Data!B4319,".","")</f>
        <v>services</v>
      </c>
      <c r="D4319" s="3" t="str">
        <f aca="false">Raw_Data!C4319</f>
        <v>single</v>
      </c>
      <c r="E4319" s="3" t="str">
        <f aca="false">Raw_Data!D4319</f>
        <v>secondary</v>
      </c>
      <c r="F4319" s="3" t="str">
        <f aca="false">Raw_Data!E4319</f>
        <v>yes</v>
      </c>
      <c r="G4319" s="3" t="n">
        <f aca="false">Raw_Data!F4319</f>
        <v>-1</v>
      </c>
      <c r="H4319" s="3" t="str">
        <f aca="false">Raw_Data!G4319</f>
        <v>no</v>
      </c>
      <c r="I4319" s="3" t="str">
        <f aca="false">Raw_Data!H4319</f>
        <v>no</v>
      </c>
      <c r="J4319" s="2" t="n">
        <f aca="false">IF(F4319="yes",1,0)</f>
        <v>1</v>
      </c>
      <c r="K4319" s="2" t="n">
        <f aca="false">IF(H4319="yes",1,0)</f>
        <v>0</v>
      </c>
      <c r="L4319" s="2" t="n">
        <f aca="false">IF(I4319="yes",1,0)</f>
        <v>0</v>
      </c>
      <c r="M4319" s="2" t="n">
        <f aca="false">IF(G4319&lt;0,1,0)</f>
        <v>1</v>
      </c>
      <c r="N4319" s="2" t="str">
        <f aca="false">_xlfn.IFS(B4319&lt;30,"Under 30",B4319&lt;40,"30-39",B4319&lt;50,"40-49",B4319&lt;60,"50-59",TRUE(),"60+")</f>
        <v>Under 30</v>
      </c>
      <c r="O4319" s="2" t="str">
        <f aca="false">_xlfn.IFS(G4319&lt;0,"1 Negative",G4319=0,"2 Zero",G4319&lt;=500,"3 1-500",G4319&lt;=2000,"4 501-2000",TRUE(),"5 Above 2000")</f>
        <v>1 Negative</v>
      </c>
      <c r="P4319" s="2" t="n">
        <f aca="false">Lookups!$B$2*M4319+Lookups!$B$3*L4319</f>
        <v>2</v>
      </c>
      <c r="Q4319" s="2" t="str">
        <f aca="false">INDEX(Lookups!$E$2:$E$5,MATCH(P4319,Lookups!$D$2:$D$5,0))</f>
        <v>High</v>
      </c>
    </row>
    <row r="4320" customFormat="false" ht="15" hidden="false" customHeight="false" outlineLevel="0" collapsed="false">
      <c r="A4320" s="3" t="n">
        <v>4319</v>
      </c>
      <c r="B4320" s="3" t="n">
        <f aca="false">Raw_Data!A4320</f>
        <v>32</v>
      </c>
      <c r="C4320" s="3" t="str">
        <f aca="false">SUBSTITUTE(Raw_Data!B4320,".","")</f>
        <v>blue-collar</v>
      </c>
      <c r="D4320" s="3" t="str">
        <f aca="false">Raw_Data!C4320</f>
        <v>married</v>
      </c>
      <c r="E4320" s="3" t="str">
        <f aca="false">Raw_Data!D4320</f>
        <v>secondary</v>
      </c>
      <c r="F4320" s="3" t="str">
        <f aca="false">Raw_Data!E4320</f>
        <v>no</v>
      </c>
      <c r="G4320" s="3" t="n">
        <f aca="false">Raw_Data!F4320</f>
        <v>-32</v>
      </c>
      <c r="H4320" s="3" t="str">
        <f aca="false">Raw_Data!G4320</f>
        <v>yes</v>
      </c>
      <c r="I4320" s="3" t="str">
        <f aca="false">Raw_Data!H4320</f>
        <v>no</v>
      </c>
      <c r="J4320" s="2" t="n">
        <f aca="false">IF(F4320="yes",1,0)</f>
        <v>0</v>
      </c>
      <c r="K4320" s="2" t="n">
        <f aca="false">IF(H4320="yes",1,0)</f>
        <v>1</v>
      </c>
      <c r="L4320" s="2" t="n">
        <f aca="false">IF(I4320="yes",1,0)</f>
        <v>0</v>
      </c>
      <c r="M4320" s="2" t="n">
        <f aca="false">IF(G4320&lt;0,1,0)</f>
        <v>1</v>
      </c>
      <c r="N4320" s="2" t="str">
        <f aca="false">_xlfn.IFS(B4320&lt;30,"Under 30",B4320&lt;40,"30-39",B4320&lt;50,"40-49",B4320&lt;60,"50-59",TRUE(),"60+")</f>
        <v>30-39</v>
      </c>
      <c r="O4320" s="2" t="str">
        <f aca="false">_xlfn.IFS(G4320&lt;0,"1 Negative",G4320=0,"2 Zero",G4320&lt;=500,"3 1-500",G4320&lt;=2000,"4 501-2000",TRUE(),"5 Above 2000")</f>
        <v>1 Negative</v>
      </c>
      <c r="P4320" s="2" t="n">
        <f aca="false">Lookups!$B$2*M4320+Lookups!$B$3*L4320</f>
        <v>2</v>
      </c>
      <c r="Q4320" s="2" t="str">
        <f aca="false">INDEX(Lookups!$E$2:$E$5,MATCH(P4320,Lookups!$D$2:$D$5,0))</f>
        <v>High</v>
      </c>
    </row>
    <row r="4321" customFormat="false" ht="15" hidden="false" customHeight="false" outlineLevel="0" collapsed="false">
      <c r="A4321" s="3" t="n">
        <v>4320</v>
      </c>
      <c r="B4321" s="3" t="n">
        <f aca="false">Raw_Data!A4321</f>
        <v>70</v>
      </c>
      <c r="C4321" s="3" t="str">
        <f aca="false">SUBSTITUTE(Raw_Data!B4321,".","")</f>
        <v>retired</v>
      </c>
      <c r="D4321" s="3" t="str">
        <f aca="false">Raw_Data!C4321</f>
        <v>divorced</v>
      </c>
      <c r="E4321" s="3" t="str">
        <f aca="false">Raw_Data!D4321</f>
        <v>secondary</v>
      </c>
      <c r="F4321" s="3" t="str">
        <f aca="false">Raw_Data!E4321</f>
        <v>no</v>
      </c>
      <c r="G4321" s="3" t="n">
        <f aca="false">Raw_Data!F4321</f>
        <v>6850</v>
      </c>
      <c r="H4321" s="3" t="str">
        <f aca="false">Raw_Data!G4321</f>
        <v>no</v>
      </c>
      <c r="I4321" s="3" t="str">
        <f aca="false">Raw_Data!H4321</f>
        <v>no</v>
      </c>
      <c r="J4321" s="2" t="n">
        <f aca="false">IF(F4321="yes",1,0)</f>
        <v>0</v>
      </c>
      <c r="K4321" s="2" t="n">
        <f aca="false">IF(H4321="yes",1,0)</f>
        <v>0</v>
      </c>
      <c r="L4321" s="2" t="n">
        <f aca="false">IF(I4321="yes",1,0)</f>
        <v>0</v>
      </c>
      <c r="M4321" s="2" t="n">
        <f aca="false">IF(G4321&lt;0,1,0)</f>
        <v>0</v>
      </c>
      <c r="N4321" s="2" t="str">
        <f aca="false">_xlfn.IFS(B4321&lt;30,"Under 30",B4321&lt;40,"30-39",B4321&lt;50,"40-49",B4321&lt;60,"50-59",TRUE(),"60+")</f>
        <v>60+</v>
      </c>
      <c r="O4321" s="2" t="str">
        <f aca="false">_xlfn.IFS(G4321&lt;0,"1 Negative",G4321=0,"2 Zero",G4321&lt;=500,"3 1-500",G4321&lt;=2000,"4 501-2000",TRUE(),"5 Above 2000")</f>
        <v>5 Above 2000</v>
      </c>
      <c r="P4321" s="2" t="n">
        <f aca="false">Lookups!$B$2*M4321+Lookups!$B$3*L4321</f>
        <v>0</v>
      </c>
      <c r="Q4321" s="2" t="str">
        <f aca="false">INDEX(Lookups!$E$2:$E$5,MATCH(P4321,Lookups!$D$2:$D$5,0))</f>
        <v>Low</v>
      </c>
    </row>
    <row r="4322" customFormat="false" ht="15" hidden="false" customHeight="false" outlineLevel="0" collapsed="false">
      <c r="A4322" s="3" t="n">
        <v>4321</v>
      </c>
      <c r="B4322" s="3" t="n">
        <f aca="false">Raw_Data!A4322</f>
        <v>22</v>
      </c>
      <c r="C4322" s="3" t="str">
        <f aca="false">SUBSTITUTE(Raw_Data!B4322,".","")</f>
        <v>technician</v>
      </c>
      <c r="D4322" s="3" t="str">
        <f aca="false">Raw_Data!C4322</f>
        <v>single</v>
      </c>
      <c r="E4322" s="3" t="str">
        <f aca="false">Raw_Data!D4322</f>
        <v>secondary</v>
      </c>
      <c r="F4322" s="3" t="str">
        <f aca="false">Raw_Data!E4322</f>
        <v>no</v>
      </c>
      <c r="G4322" s="3" t="n">
        <f aca="false">Raw_Data!F4322</f>
        <v>333</v>
      </c>
      <c r="H4322" s="3" t="str">
        <f aca="false">Raw_Data!G4322</f>
        <v>no</v>
      </c>
      <c r="I4322" s="3" t="str">
        <f aca="false">Raw_Data!H4322</f>
        <v>yes</v>
      </c>
      <c r="J4322" s="2" t="n">
        <f aca="false">IF(F4322="yes",1,0)</f>
        <v>0</v>
      </c>
      <c r="K4322" s="2" t="n">
        <f aca="false">IF(H4322="yes",1,0)</f>
        <v>0</v>
      </c>
      <c r="L4322" s="2" t="n">
        <f aca="false">IF(I4322="yes",1,0)</f>
        <v>1</v>
      </c>
      <c r="M4322" s="2" t="n">
        <f aca="false">IF(G4322&lt;0,1,0)</f>
        <v>0</v>
      </c>
      <c r="N4322" s="2" t="str">
        <f aca="false">_xlfn.IFS(B4322&lt;30,"Under 30",B4322&lt;40,"30-39",B4322&lt;50,"40-49",B4322&lt;60,"50-59",TRUE(),"60+")</f>
        <v>Under 30</v>
      </c>
      <c r="O4322" s="2" t="str">
        <f aca="false">_xlfn.IFS(G4322&lt;0,"1 Negative",G4322=0,"2 Zero",G4322&lt;=500,"3 1-500",G4322&lt;=2000,"4 501-2000",TRUE(),"5 Above 2000")</f>
        <v>3 1-500</v>
      </c>
      <c r="P4322" s="2" t="n">
        <f aca="false">Lookups!$B$2*M4322+Lookups!$B$3*L4322</f>
        <v>1</v>
      </c>
      <c r="Q4322" s="2" t="str">
        <f aca="false">INDEX(Lookups!$E$2:$E$5,MATCH(P4322,Lookups!$D$2:$D$5,0))</f>
        <v>Medium</v>
      </c>
    </row>
    <row r="4323" customFormat="false" ht="15" hidden="false" customHeight="false" outlineLevel="0" collapsed="false">
      <c r="A4323" s="3" t="n">
        <v>4322</v>
      </c>
      <c r="B4323" s="3" t="n">
        <f aca="false">Raw_Data!A4323</f>
        <v>58</v>
      </c>
      <c r="C4323" s="3" t="str">
        <f aca="false">SUBSTITUTE(Raw_Data!B4323,".","")</f>
        <v>blue-collar</v>
      </c>
      <c r="D4323" s="3" t="str">
        <f aca="false">Raw_Data!C4323</f>
        <v>married</v>
      </c>
      <c r="E4323" s="3" t="str">
        <f aca="false">Raw_Data!D4323</f>
        <v>secondary</v>
      </c>
      <c r="F4323" s="3" t="str">
        <f aca="false">Raw_Data!E4323</f>
        <v>no</v>
      </c>
      <c r="G4323" s="3" t="n">
        <f aca="false">Raw_Data!F4323</f>
        <v>-27</v>
      </c>
      <c r="H4323" s="3" t="str">
        <f aca="false">Raw_Data!G4323</f>
        <v>no</v>
      </c>
      <c r="I4323" s="3" t="str">
        <f aca="false">Raw_Data!H4323</f>
        <v>yes</v>
      </c>
      <c r="J4323" s="2" t="n">
        <f aca="false">IF(F4323="yes",1,0)</f>
        <v>0</v>
      </c>
      <c r="K4323" s="2" t="n">
        <f aca="false">IF(H4323="yes",1,0)</f>
        <v>0</v>
      </c>
      <c r="L4323" s="2" t="n">
        <f aca="false">IF(I4323="yes",1,0)</f>
        <v>1</v>
      </c>
      <c r="M4323" s="2" t="n">
        <f aca="false">IF(G4323&lt;0,1,0)</f>
        <v>1</v>
      </c>
      <c r="N4323" s="2" t="str">
        <f aca="false">_xlfn.IFS(B4323&lt;30,"Under 30",B4323&lt;40,"30-39",B4323&lt;50,"40-49",B4323&lt;60,"50-59",TRUE(),"60+")</f>
        <v>50-59</v>
      </c>
      <c r="O4323" s="2" t="str">
        <f aca="false">_xlfn.IFS(G4323&lt;0,"1 Negative",G4323=0,"2 Zero",G4323&lt;=500,"3 1-500",G4323&lt;=2000,"4 501-2000",TRUE(),"5 Above 2000")</f>
        <v>1 Negative</v>
      </c>
      <c r="P4323" s="2" t="n">
        <f aca="false">Lookups!$B$2*M4323+Lookups!$B$3*L4323</f>
        <v>3</v>
      </c>
      <c r="Q4323" s="2" t="str">
        <f aca="false">INDEX(Lookups!$E$2:$E$5,MATCH(P4323,Lookups!$D$2:$D$5,0))</f>
        <v>High</v>
      </c>
    </row>
    <row r="4324" customFormat="false" ht="15" hidden="false" customHeight="false" outlineLevel="0" collapsed="false">
      <c r="A4324" s="3" t="n">
        <v>4323</v>
      </c>
      <c r="B4324" s="3" t="n">
        <f aca="false">Raw_Data!A4324</f>
        <v>33</v>
      </c>
      <c r="C4324" s="3" t="str">
        <f aca="false">SUBSTITUTE(Raw_Data!B4324,".","")</f>
        <v>blue-collar</v>
      </c>
      <c r="D4324" s="3" t="str">
        <f aca="false">Raw_Data!C4324</f>
        <v>married</v>
      </c>
      <c r="E4324" s="3" t="str">
        <f aca="false">Raw_Data!D4324</f>
        <v>secondary</v>
      </c>
      <c r="F4324" s="3" t="str">
        <f aca="false">Raw_Data!E4324</f>
        <v>no</v>
      </c>
      <c r="G4324" s="3" t="n">
        <f aca="false">Raw_Data!F4324</f>
        <v>932</v>
      </c>
      <c r="H4324" s="3" t="str">
        <f aca="false">Raw_Data!G4324</f>
        <v>yes</v>
      </c>
      <c r="I4324" s="3" t="str">
        <f aca="false">Raw_Data!H4324</f>
        <v>no</v>
      </c>
      <c r="J4324" s="2" t="n">
        <f aca="false">IF(F4324="yes",1,0)</f>
        <v>0</v>
      </c>
      <c r="K4324" s="2" t="n">
        <f aca="false">IF(H4324="yes",1,0)</f>
        <v>1</v>
      </c>
      <c r="L4324" s="2" t="n">
        <f aca="false">IF(I4324="yes",1,0)</f>
        <v>0</v>
      </c>
      <c r="M4324" s="2" t="n">
        <f aca="false">IF(G4324&lt;0,1,0)</f>
        <v>0</v>
      </c>
      <c r="N4324" s="2" t="str">
        <f aca="false">_xlfn.IFS(B4324&lt;30,"Under 30",B4324&lt;40,"30-39",B4324&lt;50,"40-49",B4324&lt;60,"50-59",TRUE(),"60+")</f>
        <v>30-39</v>
      </c>
      <c r="O4324" s="2" t="str">
        <f aca="false">_xlfn.IFS(G4324&lt;0,"1 Negative",G4324=0,"2 Zero",G4324&lt;=500,"3 1-500",G4324&lt;=2000,"4 501-2000",TRUE(),"5 Above 2000")</f>
        <v>4 501-2000</v>
      </c>
      <c r="P4324" s="2" t="n">
        <f aca="false">Lookups!$B$2*M4324+Lookups!$B$3*L4324</f>
        <v>0</v>
      </c>
      <c r="Q4324" s="2" t="str">
        <f aca="false">INDEX(Lookups!$E$2:$E$5,MATCH(P4324,Lookups!$D$2:$D$5,0))</f>
        <v>Low</v>
      </c>
    </row>
    <row r="4325" customFormat="false" ht="15" hidden="false" customHeight="false" outlineLevel="0" collapsed="false">
      <c r="A4325" s="3" t="n">
        <v>4324</v>
      </c>
      <c r="B4325" s="3" t="n">
        <f aca="false">Raw_Data!A4325</f>
        <v>83</v>
      </c>
      <c r="C4325" s="3" t="str">
        <f aca="false">SUBSTITUTE(Raw_Data!B4325,".","")</f>
        <v>retired</v>
      </c>
      <c r="D4325" s="3" t="str">
        <f aca="false">Raw_Data!C4325</f>
        <v>divorced</v>
      </c>
      <c r="E4325" s="3" t="str">
        <f aca="false">Raw_Data!D4325</f>
        <v>primary</v>
      </c>
      <c r="F4325" s="3" t="str">
        <f aca="false">Raw_Data!E4325</f>
        <v>no</v>
      </c>
      <c r="G4325" s="3" t="n">
        <f aca="false">Raw_Data!F4325</f>
        <v>0</v>
      </c>
      <c r="H4325" s="3" t="str">
        <f aca="false">Raw_Data!G4325</f>
        <v>no</v>
      </c>
      <c r="I4325" s="3" t="str">
        <f aca="false">Raw_Data!H4325</f>
        <v>no</v>
      </c>
      <c r="J4325" s="2" t="n">
        <f aca="false">IF(F4325="yes",1,0)</f>
        <v>0</v>
      </c>
      <c r="K4325" s="2" t="n">
        <f aca="false">IF(H4325="yes",1,0)</f>
        <v>0</v>
      </c>
      <c r="L4325" s="2" t="n">
        <f aca="false">IF(I4325="yes",1,0)</f>
        <v>0</v>
      </c>
      <c r="M4325" s="2" t="n">
        <f aca="false">IF(G4325&lt;0,1,0)</f>
        <v>0</v>
      </c>
      <c r="N4325" s="2" t="str">
        <f aca="false">_xlfn.IFS(B4325&lt;30,"Under 30",B4325&lt;40,"30-39",B4325&lt;50,"40-49",B4325&lt;60,"50-59",TRUE(),"60+")</f>
        <v>60+</v>
      </c>
      <c r="O4325" s="2" t="str">
        <f aca="false">_xlfn.IFS(G4325&lt;0,"1 Negative",G4325=0,"2 Zero",G4325&lt;=500,"3 1-500",G4325&lt;=2000,"4 501-2000",TRUE(),"5 Above 2000")</f>
        <v>2 Zero</v>
      </c>
      <c r="P4325" s="2" t="n">
        <f aca="false">Lookups!$B$2*M4325+Lookups!$B$3*L4325</f>
        <v>0</v>
      </c>
      <c r="Q4325" s="2" t="str">
        <f aca="false">INDEX(Lookups!$E$2:$E$5,MATCH(P4325,Lookups!$D$2:$D$5,0))</f>
        <v>Low</v>
      </c>
    </row>
    <row r="4326" customFormat="false" ht="15" hidden="false" customHeight="false" outlineLevel="0" collapsed="false">
      <c r="A4326" s="3" t="n">
        <v>4325</v>
      </c>
      <c r="B4326" s="3" t="n">
        <f aca="false">Raw_Data!A4326</f>
        <v>50</v>
      </c>
      <c r="C4326" s="3" t="str">
        <f aca="false">SUBSTITUTE(Raw_Data!B4326,".","")</f>
        <v>management</v>
      </c>
      <c r="D4326" s="3" t="str">
        <f aca="false">Raw_Data!C4326</f>
        <v>divorced</v>
      </c>
      <c r="E4326" s="3" t="str">
        <f aca="false">Raw_Data!D4326</f>
        <v>tertiary</v>
      </c>
      <c r="F4326" s="3" t="str">
        <f aca="false">Raw_Data!E4326</f>
        <v>no</v>
      </c>
      <c r="G4326" s="3" t="n">
        <f aca="false">Raw_Data!F4326</f>
        <v>100</v>
      </c>
      <c r="H4326" s="3" t="str">
        <f aca="false">Raw_Data!G4326</f>
        <v>yes</v>
      </c>
      <c r="I4326" s="3" t="str">
        <f aca="false">Raw_Data!H4326</f>
        <v>yes</v>
      </c>
      <c r="J4326" s="2" t="n">
        <f aca="false">IF(F4326="yes",1,0)</f>
        <v>0</v>
      </c>
      <c r="K4326" s="2" t="n">
        <f aca="false">IF(H4326="yes",1,0)</f>
        <v>1</v>
      </c>
      <c r="L4326" s="2" t="n">
        <f aca="false">IF(I4326="yes",1,0)</f>
        <v>1</v>
      </c>
      <c r="M4326" s="2" t="n">
        <f aca="false">IF(G4326&lt;0,1,0)</f>
        <v>0</v>
      </c>
      <c r="N4326" s="2" t="str">
        <f aca="false">_xlfn.IFS(B4326&lt;30,"Under 30",B4326&lt;40,"30-39",B4326&lt;50,"40-49",B4326&lt;60,"50-59",TRUE(),"60+")</f>
        <v>50-59</v>
      </c>
      <c r="O4326" s="2" t="str">
        <f aca="false">_xlfn.IFS(G4326&lt;0,"1 Negative",G4326=0,"2 Zero",G4326&lt;=500,"3 1-500",G4326&lt;=2000,"4 501-2000",TRUE(),"5 Above 2000")</f>
        <v>3 1-500</v>
      </c>
      <c r="P4326" s="2" t="n">
        <f aca="false">Lookups!$B$2*M4326+Lookups!$B$3*L4326</f>
        <v>1</v>
      </c>
      <c r="Q4326" s="2" t="str">
        <f aca="false">INDEX(Lookups!$E$2:$E$5,MATCH(P4326,Lookups!$D$2:$D$5,0))</f>
        <v>Medium</v>
      </c>
    </row>
    <row r="4327" customFormat="false" ht="15" hidden="false" customHeight="false" outlineLevel="0" collapsed="false">
      <c r="A4327" s="3" t="n">
        <v>4326</v>
      </c>
      <c r="B4327" s="3" t="n">
        <f aca="false">Raw_Data!A4327</f>
        <v>53</v>
      </c>
      <c r="C4327" s="3" t="str">
        <f aca="false">SUBSTITUTE(Raw_Data!B4327,".","")</f>
        <v>blue-collar</v>
      </c>
      <c r="D4327" s="3" t="str">
        <f aca="false">Raw_Data!C4327</f>
        <v>married</v>
      </c>
      <c r="E4327" s="3" t="str">
        <f aca="false">Raw_Data!D4327</f>
        <v>secondary</v>
      </c>
      <c r="F4327" s="3" t="str">
        <f aca="false">Raw_Data!E4327</f>
        <v>no</v>
      </c>
      <c r="G4327" s="3" t="n">
        <f aca="false">Raw_Data!F4327</f>
        <v>-626</v>
      </c>
      <c r="H4327" s="3" t="str">
        <f aca="false">Raw_Data!G4327</f>
        <v>yes</v>
      </c>
      <c r="I4327" s="3" t="str">
        <f aca="false">Raw_Data!H4327</f>
        <v>no</v>
      </c>
      <c r="J4327" s="2" t="n">
        <f aca="false">IF(F4327="yes",1,0)</f>
        <v>0</v>
      </c>
      <c r="K4327" s="2" t="n">
        <f aca="false">IF(H4327="yes",1,0)</f>
        <v>1</v>
      </c>
      <c r="L4327" s="2" t="n">
        <f aca="false">IF(I4327="yes",1,0)</f>
        <v>0</v>
      </c>
      <c r="M4327" s="2" t="n">
        <f aca="false">IF(G4327&lt;0,1,0)</f>
        <v>1</v>
      </c>
      <c r="N4327" s="2" t="str">
        <f aca="false">_xlfn.IFS(B4327&lt;30,"Under 30",B4327&lt;40,"30-39",B4327&lt;50,"40-49",B4327&lt;60,"50-59",TRUE(),"60+")</f>
        <v>50-59</v>
      </c>
      <c r="O4327" s="2" t="str">
        <f aca="false">_xlfn.IFS(G4327&lt;0,"1 Negative",G4327=0,"2 Zero",G4327&lt;=500,"3 1-500",G4327&lt;=2000,"4 501-2000",TRUE(),"5 Above 2000")</f>
        <v>1 Negative</v>
      </c>
      <c r="P4327" s="2" t="n">
        <f aca="false">Lookups!$B$2*M4327+Lookups!$B$3*L4327</f>
        <v>2</v>
      </c>
      <c r="Q4327" s="2" t="str">
        <f aca="false">INDEX(Lookups!$E$2:$E$5,MATCH(P4327,Lookups!$D$2:$D$5,0))</f>
        <v>High</v>
      </c>
    </row>
    <row r="4328" customFormat="false" ht="15" hidden="false" customHeight="false" outlineLevel="0" collapsed="false">
      <c r="A4328" s="3" t="n">
        <v>4327</v>
      </c>
      <c r="B4328" s="3" t="n">
        <f aca="false">Raw_Data!A4328</f>
        <v>37</v>
      </c>
      <c r="C4328" s="3" t="str">
        <f aca="false">SUBSTITUTE(Raw_Data!B4328,".","")</f>
        <v>management</v>
      </c>
      <c r="D4328" s="3" t="str">
        <f aca="false">Raw_Data!C4328</f>
        <v>single</v>
      </c>
      <c r="E4328" s="3" t="str">
        <f aca="false">Raw_Data!D4328</f>
        <v>tertiary</v>
      </c>
      <c r="F4328" s="3" t="str">
        <f aca="false">Raw_Data!E4328</f>
        <v>no</v>
      </c>
      <c r="G4328" s="3" t="n">
        <f aca="false">Raw_Data!F4328</f>
        <v>9</v>
      </c>
      <c r="H4328" s="3" t="str">
        <f aca="false">Raw_Data!G4328</f>
        <v>no</v>
      </c>
      <c r="I4328" s="3" t="str">
        <f aca="false">Raw_Data!H4328</f>
        <v>no</v>
      </c>
      <c r="J4328" s="2" t="n">
        <f aca="false">IF(F4328="yes",1,0)</f>
        <v>0</v>
      </c>
      <c r="K4328" s="2" t="n">
        <f aca="false">IF(H4328="yes",1,0)</f>
        <v>0</v>
      </c>
      <c r="L4328" s="2" t="n">
        <f aca="false">IF(I4328="yes",1,0)</f>
        <v>0</v>
      </c>
      <c r="M4328" s="2" t="n">
        <f aca="false">IF(G4328&lt;0,1,0)</f>
        <v>0</v>
      </c>
      <c r="N4328" s="2" t="str">
        <f aca="false">_xlfn.IFS(B4328&lt;30,"Under 30",B4328&lt;40,"30-39",B4328&lt;50,"40-49",B4328&lt;60,"50-59",TRUE(),"60+")</f>
        <v>30-39</v>
      </c>
      <c r="O4328" s="2" t="str">
        <f aca="false">_xlfn.IFS(G4328&lt;0,"1 Negative",G4328=0,"2 Zero",G4328&lt;=500,"3 1-500",G4328&lt;=2000,"4 501-2000",TRUE(),"5 Above 2000")</f>
        <v>3 1-500</v>
      </c>
      <c r="P4328" s="2" t="n">
        <f aca="false">Lookups!$B$2*M4328+Lookups!$B$3*L4328</f>
        <v>0</v>
      </c>
      <c r="Q4328" s="2" t="str">
        <f aca="false">INDEX(Lookups!$E$2:$E$5,MATCH(P4328,Lookups!$D$2:$D$5,0))</f>
        <v>Low</v>
      </c>
    </row>
    <row r="4329" customFormat="false" ht="15" hidden="false" customHeight="false" outlineLevel="0" collapsed="false">
      <c r="A4329" s="3" t="n">
        <v>4328</v>
      </c>
      <c r="B4329" s="3" t="n">
        <f aca="false">Raw_Data!A4329</f>
        <v>55</v>
      </c>
      <c r="C4329" s="3" t="str">
        <f aca="false">SUBSTITUTE(Raw_Data!B4329,".","")</f>
        <v>services</v>
      </c>
      <c r="D4329" s="3" t="str">
        <f aca="false">Raw_Data!C4329</f>
        <v>divorced</v>
      </c>
      <c r="E4329" s="3" t="str">
        <f aca="false">Raw_Data!D4329</f>
        <v>primary</v>
      </c>
      <c r="F4329" s="3" t="str">
        <f aca="false">Raw_Data!E4329</f>
        <v>no</v>
      </c>
      <c r="G4329" s="3" t="n">
        <f aca="false">Raw_Data!F4329</f>
        <v>653</v>
      </c>
      <c r="H4329" s="3" t="str">
        <f aca="false">Raw_Data!G4329</f>
        <v>no</v>
      </c>
      <c r="I4329" s="3" t="str">
        <f aca="false">Raw_Data!H4329</f>
        <v>no</v>
      </c>
      <c r="J4329" s="2" t="n">
        <f aca="false">IF(F4329="yes",1,0)</f>
        <v>0</v>
      </c>
      <c r="K4329" s="2" t="n">
        <f aca="false">IF(H4329="yes",1,0)</f>
        <v>0</v>
      </c>
      <c r="L4329" s="2" t="n">
        <f aca="false">IF(I4329="yes",1,0)</f>
        <v>0</v>
      </c>
      <c r="M4329" s="2" t="n">
        <f aca="false">IF(G4329&lt;0,1,0)</f>
        <v>0</v>
      </c>
      <c r="N4329" s="2" t="str">
        <f aca="false">_xlfn.IFS(B4329&lt;30,"Under 30",B4329&lt;40,"30-39",B4329&lt;50,"40-49",B4329&lt;60,"50-59",TRUE(),"60+")</f>
        <v>50-59</v>
      </c>
      <c r="O4329" s="2" t="str">
        <f aca="false">_xlfn.IFS(G4329&lt;0,"1 Negative",G4329=0,"2 Zero",G4329&lt;=500,"3 1-500",G4329&lt;=2000,"4 501-2000",TRUE(),"5 Above 2000")</f>
        <v>4 501-2000</v>
      </c>
      <c r="P4329" s="2" t="n">
        <f aca="false">Lookups!$B$2*M4329+Lookups!$B$3*L4329</f>
        <v>0</v>
      </c>
      <c r="Q4329" s="2" t="str">
        <f aca="false">INDEX(Lookups!$E$2:$E$5,MATCH(P4329,Lookups!$D$2:$D$5,0))</f>
        <v>Low</v>
      </c>
    </row>
    <row r="4330" customFormat="false" ht="15" hidden="false" customHeight="false" outlineLevel="0" collapsed="false">
      <c r="A4330" s="3" t="n">
        <v>4329</v>
      </c>
      <c r="B4330" s="3" t="n">
        <f aca="false">Raw_Data!A4330</f>
        <v>49</v>
      </c>
      <c r="C4330" s="3" t="str">
        <f aca="false">SUBSTITUTE(Raw_Data!B4330,".","")</f>
        <v>admin</v>
      </c>
      <c r="D4330" s="3" t="str">
        <f aca="false">Raw_Data!C4330</f>
        <v>married</v>
      </c>
      <c r="E4330" s="3" t="str">
        <f aca="false">Raw_Data!D4330</f>
        <v>secondary</v>
      </c>
      <c r="F4330" s="3" t="str">
        <f aca="false">Raw_Data!E4330</f>
        <v>no</v>
      </c>
      <c r="G4330" s="3" t="n">
        <f aca="false">Raw_Data!F4330</f>
        <v>3608</v>
      </c>
      <c r="H4330" s="3" t="str">
        <f aca="false">Raw_Data!G4330</f>
        <v>yes</v>
      </c>
      <c r="I4330" s="3" t="str">
        <f aca="false">Raw_Data!H4330</f>
        <v>no</v>
      </c>
      <c r="J4330" s="2" t="n">
        <f aca="false">IF(F4330="yes",1,0)</f>
        <v>0</v>
      </c>
      <c r="K4330" s="2" t="n">
        <f aca="false">IF(H4330="yes",1,0)</f>
        <v>1</v>
      </c>
      <c r="L4330" s="2" t="n">
        <f aca="false">IF(I4330="yes",1,0)</f>
        <v>0</v>
      </c>
      <c r="M4330" s="2" t="n">
        <f aca="false">IF(G4330&lt;0,1,0)</f>
        <v>0</v>
      </c>
      <c r="N4330" s="2" t="str">
        <f aca="false">_xlfn.IFS(B4330&lt;30,"Under 30",B4330&lt;40,"30-39",B4330&lt;50,"40-49",B4330&lt;60,"50-59",TRUE(),"60+")</f>
        <v>40-49</v>
      </c>
      <c r="O4330" s="2" t="str">
        <f aca="false">_xlfn.IFS(G4330&lt;0,"1 Negative",G4330=0,"2 Zero",G4330&lt;=500,"3 1-500",G4330&lt;=2000,"4 501-2000",TRUE(),"5 Above 2000")</f>
        <v>5 Above 2000</v>
      </c>
      <c r="P4330" s="2" t="n">
        <f aca="false">Lookups!$B$2*M4330+Lookups!$B$3*L4330</f>
        <v>0</v>
      </c>
      <c r="Q4330" s="2" t="str">
        <f aca="false">INDEX(Lookups!$E$2:$E$5,MATCH(P4330,Lookups!$D$2:$D$5,0))</f>
        <v>Low</v>
      </c>
    </row>
    <row r="4331" customFormat="false" ht="15" hidden="false" customHeight="false" outlineLevel="0" collapsed="false">
      <c r="A4331" s="3" t="n">
        <v>4330</v>
      </c>
      <c r="B4331" s="3" t="n">
        <f aca="false">Raw_Data!A4331</f>
        <v>41</v>
      </c>
      <c r="C4331" s="3" t="str">
        <f aca="false">SUBSTITUTE(Raw_Data!B4331,".","")</f>
        <v>blue-collar</v>
      </c>
      <c r="D4331" s="3" t="str">
        <f aca="false">Raw_Data!C4331</f>
        <v>married</v>
      </c>
      <c r="E4331" s="3" t="str">
        <f aca="false">Raw_Data!D4331</f>
        <v>primary</v>
      </c>
      <c r="F4331" s="3" t="str">
        <f aca="false">Raw_Data!E4331</f>
        <v>no</v>
      </c>
      <c r="G4331" s="3" t="n">
        <f aca="false">Raw_Data!F4331</f>
        <v>293</v>
      </c>
      <c r="H4331" s="3" t="str">
        <f aca="false">Raw_Data!G4331</f>
        <v>yes</v>
      </c>
      <c r="I4331" s="3" t="str">
        <f aca="false">Raw_Data!H4331</f>
        <v>yes</v>
      </c>
      <c r="J4331" s="2" t="n">
        <f aca="false">IF(F4331="yes",1,0)</f>
        <v>0</v>
      </c>
      <c r="K4331" s="2" t="n">
        <f aca="false">IF(H4331="yes",1,0)</f>
        <v>1</v>
      </c>
      <c r="L4331" s="2" t="n">
        <f aca="false">IF(I4331="yes",1,0)</f>
        <v>1</v>
      </c>
      <c r="M4331" s="2" t="n">
        <f aca="false">IF(G4331&lt;0,1,0)</f>
        <v>0</v>
      </c>
      <c r="N4331" s="2" t="str">
        <f aca="false">_xlfn.IFS(B4331&lt;30,"Under 30",B4331&lt;40,"30-39",B4331&lt;50,"40-49",B4331&lt;60,"50-59",TRUE(),"60+")</f>
        <v>40-49</v>
      </c>
      <c r="O4331" s="2" t="str">
        <f aca="false">_xlfn.IFS(G4331&lt;0,"1 Negative",G4331=0,"2 Zero",G4331&lt;=500,"3 1-500",G4331&lt;=2000,"4 501-2000",TRUE(),"5 Above 2000")</f>
        <v>3 1-500</v>
      </c>
      <c r="P4331" s="2" t="n">
        <f aca="false">Lookups!$B$2*M4331+Lookups!$B$3*L4331</f>
        <v>1</v>
      </c>
      <c r="Q4331" s="2" t="str">
        <f aca="false">INDEX(Lookups!$E$2:$E$5,MATCH(P4331,Lookups!$D$2:$D$5,0))</f>
        <v>Medium</v>
      </c>
    </row>
    <row r="4332" customFormat="false" ht="15" hidden="false" customHeight="false" outlineLevel="0" collapsed="false">
      <c r="A4332" s="3" t="n">
        <v>4331</v>
      </c>
      <c r="B4332" s="3" t="n">
        <f aca="false">Raw_Data!A4332</f>
        <v>40</v>
      </c>
      <c r="C4332" s="3" t="str">
        <f aca="false">SUBSTITUTE(Raw_Data!B4332,".","")</f>
        <v>management</v>
      </c>
      <c r="D4332" s="3" t="str">
        <f aca="false">Raw_Data!C4332</f>
        <v>single</v>
      </c>
      <c r="E4332" s="3" t="str">
        <f aca="false">Raw_Data!D4332</f>
        <v>tertiary</v>
      </c>
      <c r="F4332" s="3" t="str">
        <f aca="false">Raw_Data!E4332</f>
        <v>no</v>
      </c>
      <c r="G4332" s="3" t="n">
        <f aca="false">Raw_Data!F4332</f>
        <v>36</v>
      </c>
      <c r="H4332" s="3" t="str">
        <f aca="false">Raw_Data!G4332</f>
        <v>yes</v>
      </c>
      <c r="I4332" s="3" t="str">
        <f aca="false">Raw_Data!H4332</f>
        <v>no</v>
      </c>
      <c r="J4332" s="2" t="n">
        <f aca="false">IF(F4332="yes",1,0)</f>
        <v>0</v>
      </c>
      <c r="K4332" s="2" t="n">
        <f aca="false">IF(H4332="yes",1,0)</f>
        <v>1</v>
      </c>
      <c r="L4332" s="2" t="n">
        <f aca="false">IF(I4332="yes",1,0)</f>
        <v>0</v>
      </c>
      <c r="M4332" s="2" t="n">
        <f aca="false">IF(G4332&lt;0,1,0)</f>
        <v>0</v>
      </c>
      <c r="N4332" s="2" t="str">
        <f aca="false">_xlfn.IFS(B4332&lt;30,"Under 30",B4332&lt;40,"30-39",B4332&lt;50,"40-49",B4332&lt;60,"50-59",TRUE(),"60+")</f>
        <v>40-49</v>
      </c>
      <c r="O4332" s="2" t="str">
        <f aca="false">_xlfn.IFS(G4332&lt;0,"1 Negative",G4332=0,"2 Zero",G4332&lt;=500,"3 1-500",G4332&lt;=2000,"4 501-2000",TRUE(),"5 Above 2000")</f>
        <v>3 1-500</v>
      </c>
      <c r="P4332" s="2" t="n">
        <f aca="false">Lookups!$B$2*M4332+Lookups!$B$3*L4332</f>
        <v>0</v>
      </c>
      <c r="Q4332" s="2" t="str">
        <f aca="false">INDEX(Lookups!$E$2:$E$5,MATCH(P4332,Lookups!$D$2:$D$5,0))</f>
        <v>Low</v>
      </c>
    </row>
    <row r="4333" customFormat="false" ht="15" hidden="false" customHeight="false" outlineLevel="0" collapsed="false">
      <c r="A4333" s="3" t="n">
        <v>4332</v>
      </c>
      <c r="B4333" s="3" t="n">
        <f aca="false">Raw_Data!A4333</f>
        <v>48</v>
      </c>
      <c r="C4333" s="3" t="str">
        <f aca="false">SUBSTITUTE(Raw_Data!B4333,".","")</f>
        <v>management</v>
      </c>
      <c r="D4333" s="3" t="str">
        <f aca="false">Raw_Data!C4333</f>
        <v>married</v>
      </c>
      <c r="E4333" s="3" t="str">
        <f aca="false">Raw_Data!D4333</f>
        <v>tertiary</v>
      </c>
      <c r="F4333" s="3" t="str">
        <f aca="false">Raw_Data!E4333</f>
        <v>no</v>
      </c>
      <c r="G4333" s="3" t="n">
        <f aca="false">Raw_Data!F4333</f>
        <v>263</v>
      </c>
      <c r="H4333" s="3" t="str">
        <f aca="false">Raw_Data!G4333</f>
        <v>yes</v>
      </c>
      <c r="I4333" s="3" t="str">
        <f aca="false">Raw_Data!H4333</f>
        <v>no</v>
      </c>
      <c r="J4333" s="2" t="n">
        <f aca="false">IF(F4333="yes",1,0)</f>
        <v>0</v>
      </c>
      <c r="K4333" s="2" t="n">
        <f aca="false">IF(H4333="yes",1,0)</f>
        <v>1</v>
      </c>
      <c r="L4333" s="2" t="n">
        <f aca="false">IF(I4333="yes",1,0)</f>
        <v>0</v>
      </c>
      <c r="M4333" s="2" t="n">
        <f aca="false">IF(G4333&lt;0,1,0)</f>
        <v>0</v>
      </c>
      <c r="N4333" s="2" t="str">
        <f aca="false">_xlfn.IFS(B4333&lt;30,"Under 30",B4333&lt;40,"30-39",B4333&lt;50,"40-49",B4333&lt;60,"50-59",TRUE(),"60+")</f>
        <v>40-49</v>
      </c>
      <c r="O4333" s="2" t="str">
        <f aca="false">_xlfn.IFS(G4333&lt;0,"1 Negative",G4333=0,"2 Zero",G4333&lt;=500,"3 1-500",G4333&lt;=2000,"4 501-2000",TRUE(),"5 Above 2000")</f>
        <v>3 1-500</v>
      </c>
      <c r="P4333" s="2" t="n">
        <f aca="false">Lookups!$B$2*M4333+Lookups!$B$3*L4333</f>
        <v>0</v>
      </c>
      <c r="Q4333" s="2" t="str">
        <f aca="false">INDEX(Lookups!$E$2:$E$5,MATCH(P4333,Lookups!$D$2:$D$5,0))</f>
        <v>Low</v>
      </c>
    </row>
    <row r="4334" customFormat="false" ht="15" hidden="false" customHeight="false" outlineLevel="0" collapsed="false">
      <c r="A4334" s="3" t="n">
        <v>4333</v>
      </c>
      <c r="B4334" s="3" t="n">
        <f aca="false">Raw_Data!A4334</f>
        <v>27</v>
      </c>
      <c r="C4334" s="3" t="str">
        <f aca="false">SUBSTITUTE(Raw_Data!B4334,".","")</f>
        <v>student</v>
      </c>
      <c r="D4334" s="3" t="str">
        <f aca="false">Raw_Data!C4334</f>
        <v>single</v>
      </c>
      <c r="E4334" s="3" t="str">
        <f aca="false">Raw_Data!D4334</f>
        <v>secondary</v>
      </c>
      <c r="F4334" s="3" t="str">
        <f aca="false">Raw_Data!E4334</f>
        <v>no</v>
      </c>
      <c r="G4334" s="3" t="n">
        <f aca="false">Raw_Data!F4334</f>
        <v>8366</v>
      </c>
      <c r="H4334" s="3" t="str">
        <f aca="false">Raw_Data!G4334</f>
        <v>no</v>
      </c>
      <c r="I4334" s="3" t="str">
        <f aca="false">Raw_Data!H4334</f>
        <v>no</v>
      </c>
      <c r="J4334" s="2" t="n">
        <f aca="false">IF(F4334="yes",1,0)</f>
        <v>0</v>
      </c>
      <c r="K4334" s="2" t="n">
        <f aca="false">IF(H4334="yes",1,0)</f>
        <v>0</v>
      </c>
      <c r="L4334" s="2" t="n">
        <f aca="false">IF(I4334="yes",1,0)</f>
        <v>0</v>
      </c>
      <c r="M4334" s="2" t="n">
        <f aca="false">IF(G4334&lt;0,1,0)</f>
        <v>0</v>
      </c>
      <c r="N4334" s="2" t="str">
        <f aca="false">_xlfn.IFS(B4334&lt;30,"Under 30",B4334&lt;40,"30-39",B4334&lt;50,"40-49",B4334&lt;60,"50-59",TRUE(),"60+")</f>
        <v>Under 30</v>
      </c>
      <c r="O4334" s="2" t="str">
        <f aca="false">_xlfn.IFS(G4334&lt;0,"1 Negative",G4334=0,"2 Zero",G4334&lt;=500,"3 1-500",G4334&lt;=2000,"4 501-2000",TRUE(),"5 Above 2000")</f>
        <v>5 Above 2000</v>
      </c>
      <c r="P4334" s="2" t="n">
        <f aca="false">Lookups!$B$2*M4334+Lookups!$B$3*L4334</f>
        <v>0</v>
      </c>
      <c r="Q4334" s="2" t="str">
        <f aca="false">INDEX(Lookups!$E$2:$E$5,MATCH(P4334,Lookups!$D$2:$D$5,0))</f>
        <v>Low</v>
      </c>
    </row>
    <row r="4335" customFormat="false" ht="15" hidden="false" customHeight="false" outlineLevel="0" collapsed="false">
      <c r="A4335" s="3" t="n">
        <v>4334</v>
      </c>
      <c r="B4335" s="3" t="n">
        <f aca="false">Raw_Data!A4335</f>
        <v>30</v>
      </c>
      <c r="C4335" s="3" t="str">
        <f aca="false">SUBSTITUTE(Raw_Data!B4335,".","")</f>
        <v>management</v>
      </c>
      <c r="D4335" s="3" t="str">
        <f aca="false">Raw_Data!C4335</f>
        <v>single</v>
      </c>
      <c r="E4335" s="3" t="str">
        <f aca="false">Raw_Data!D4335</f>
        <v>tertiary</v>
      </c>
      <c r="F4335" s="3" t="str">
        <f aca="false">Raw_Data!E4335</f>
        <v>no</v>
      </c>
      <c r="G4335" s="3" t="n">
        <f aca="false">Raw_Data!F4335</f>
        <v>2186</v>
      </c>
      <c r="H4335" s="3" t="str">
        <f aca="false">Raw_Data!G4335</f>
        <v>yes</v>
      </c>
      <c r="I4335" s="3" t="str">
        <f aca="false">Raw_Data!H4335</f>
        <v>no</v>
      </c>
      <c r="J4335" s="2" t="n">
        <f aca="false">IF(F4335="yes",1,0)</f>
        <v>0</v>
      </c>
      <c r="K4335" s="2" t="n">
        <f aca="false">IF(H4335="yes",1,0)</f>
        <v>1</v>
      </c>
      <c r="L4335" s="2" t="n">
        <f aca="false">IF(I4335="yes",1,0)</f>
        <v>0</v>
      </c>
      <c r="M4335" s="2" t="n">
        <f aca="false">IF(G4335&lt;0,1,0)</f>
        <v>0</v>
      </c>
      <c r="N4335" s="2" t="str">
        <f aca="false">_xlfn.IFS(B4335&lt;30,"Under 30",B4335&lt;40,"30-39",B4335&lt;50,"40-49",B4335&lt;60,"50-59",TRUE(),"60+")</f>
        <v>30-39</v>
      </c>
      <c r="O4335" s="2" t="str">
        <f aca="false">_xlfn.IFS(G4335&lt;0,"1 Negative",G4335=0,"2 Zero",G4335&lt;=500,"3 1-500",G4335&lt;=2000,"4 501-2000",TRUE(),"5 Above 2000")</f>
        <v>5 Above 2000</v>
      </c>
      <c r="P4335" s="2" t="n">
        <f aca="false">Lookups!$B$2*M4335+Lookups!$B$3*L4335</f>
        <v>0</v>
      </c>
      <c r="Q4335" s="2" t="str">
        <f aca="false">INDEX(Lookups!$E$2:$E$5,MATCH(P4335,Lookups!$D$2:$D$5,0))</f>
        <v>Low</v>
      </c>
    </row>
    <row r="4336" customFormat="false" ht="15" hidden="false" customHeight="false" outlineLevel="0" collapsed="false">
      <c r="A4336" s="3" t="n">
        <v>4335</v>
      </c>
      <c r="B4336" s="3" t="n">
        <f aca="false">Raw_Data!A4336</f>
        <v>37</v>
      </c>
      <c r="C4336" s="3" t="str">
        <f aca="false">SUBSTITUTE(Raw_Data!B4336,".","")</f>
        <v>entrepreneur</v>
      </c>
      <c r="D4336" s="3" t="str">
        <f aca="false">Raw_Data!C4336</f>
        <v>single</v>
      </c>
      <c r="E4336" s="3" t="str">
        <f aca="false">Raw_Data!D4336</f>
        <v>secondary</v>
      </c>
      <c r="F4336" s="3" t="str">
        <f aca="false">Raw_Data!E4336</f>
        <v>no</v>
      </c>
      <c r="G4336" s="3" t="n">
        <f aca="false">Raw_Data!F4336</f>
        <v>20453</v>
      </c>
      <c r="H4336" s="3" t="str">
        <f aca="false">Raw_Data!G4336</f>
        <v>yes</v>
      </c>
      <c r="I4336" s="3" t="str">
        <f aca="false">Raw_Data!H4336</f>
        <v>no</v>
      </c>
      <c r="J4336" s="2" t="n">
        <f aca="false">IF(F4336="yes",1,0)</f>
        <v>0</v>
      </c>
      <c r="K4336" s="2" t="n">
        <f aca="false">IF(H4336="yes",1,0)</f>
        <v>1</v>
      </c>
      <c r="L4336" s="2" t="n">
        <f aca="false">IF(I4336="yes",1,0)</f>
        <v>0</v>
      </c>
      <c r="M4336" s="2" t="n">
        <f aca="false">IF(G4336&lt;0,1,0)</f>
        <v>0</v>
      </c>
      <c r="N4336" s="2" t="str">
        <f aca="false">_xlfn.IFS(B4336&lt;30,"Under 30",B4336&lt;40,"30-39",B4336&lt;50,"40-49",B4336&lt;60,"50-59",TRUE(),"60+")</f>
        <v>30-39</v>
      </c>
      <c r="O4336" s="2" t="str">
        <f aca="false">_xlfn.IFS(G4336&lt;0,"1 Negative",G4336=0,"2 Zero",G4336&lt;=500,"3 1-500",G4336&lt;=2000,"4 501-2000",TRUE(),"5 Above 2000")</f>
        <v>5 Above 2000</v>
      </c>
      <c r="P4336" s="2" t="n">
        <f aca="false">Lookups!$B$2*M4336+Lookups!$B$3*L4336</f>
        <v>0</v>
      </c>
      <c r="Q4336" s="2" t="str">
        <f aca="false">INDEX(Lookups!$E$2:$E$5,MATCH(P4336,Lookups!$D$2:$D$5,0))</f>
        <v>Low</v>
      </c>
    </row>
    <row r="4337" customFormat="false" ht="15" hidden="false" customHeight="false" outlineLevel="0" collapsed="false">
      <c r="A4337" s="3" t="n">
        <v>4336</v>
      </c>
      <c r="B4337" s="3" t="n">
        <f aca="false">Raw_Data!A4337</f>
        <v>37</v>
      </c>
      <c r="C4337" s="3" t="str">
        <f aca="false">SUBSTITUTE(Raw_Data!B4337,".","")</f>
        <v>services</v>
      </c>
      <c r="D4337" s="3" t="str">
        <f aca="false">Raw_Data!C4337</f>
        <v>single</v>
      </c>
      <c r="E4337" s="3" t="str">
        <f aca="false">Raw_Data!D4337</f>
        <v>secondary</v>
      </c>
      <c r="F4337" s="3" t="str">
        <f aca="false">Raw_Data!E4337</f>
        <v>no</v>
      </c>
      <c r="G4337" s="3" t="n">
        <f aca="false">Raw_Data!F4337</f>
        <v>105</v>
      </c>
      <c r="H4337" s="3" t="str">
        <f aca="false">Raw_Data!G4337</f>
        <v>no</v>
      </c>
      <c r="I4337" s="3" t="str">
        <f aca="false">Raw_Data!H4337</f>
        <v>yes</v>
      </c>
      <c r="J4337" s="2" t="n">
        <f aca="false">IF(F4337="yes",1,0)</f>
        <v>0</v>
      </c>
      <c r="K4337" s="2" t="n">
        <f aca="false">IF(H4337="yes",1,0)</f>
        <v>0</v>
      </c>
      <c r="L4337" s="2" t="n">
        <f aca="false">IF(I4337="yes",1,0)</f>
        <v>1</v>
      </c>
      <c r="M4337" s="2" t="n">
        <f aca="false">IF(G4337&lt;0,1,0)</f>
        <v>0</v>
      </c>
      <c r="N4337" s="2" t="str">
        <f aca="false">_xlfn.IFS(B4337&lt;30,"Under 30",B4337&lt;40,"30-39",B4337&lt;50,"40-49",B4337&lt;60,"50-59",TRUE(),"60+")</f>
        <v>30-39</v>
      </c>
      <c r="O4337" s="2" t="str">
        <f aca="false">_xlfn.IFS(G4337&lt;0,"1 Negative",G4337=0,"2 Zero",G4337&lt;=500,"3 1-500",G4337&lt;=2000,"4 501-2000",TRUE(),"5 Above 2000")</f>
        <v>3 1-500</v>
      </c>
      <c r="P4337" s="2" t="n">
        <f aca="false">Lookups!$B$2*M4337+Lookups!$B$3*L4337</f>
        <v>1</v>
      </c>
      <c r="Q4337" s="2" t="str">
        <f aca="false">INDEX(Lookups!$E$2:$E$5,MATCH(P4337,Lookups!$D$2:$D$5,0))</f>
        <v>Medium</v>
      </c>
    </row>
    <row r="4338" customFormat="false" ht="15" hidden="false" customHeight="false" outlineLevel="0" collapsed="false">
      <c r="A4338" s="3" t="n">
        <v>4337</v>
      </c>
      <c r="B4338" s="3" t="n">
        <f aca="false">Raw_Data!A4338</f>
        <v>40</v>
      </c>
      <c r="C4338" s="3" t="str">
        <f aca="false">SUBSTITUTE(Raw_Data!B4338,".","")</f>
        <v>blue-collar</v>
      </c>
      <c r="D4338" s="3" t="str">
        <f aca="false">Raw_Data!C4338</f>
        <v>married</v>
      </c>
      <c r="E4338" s="3" t="str">
        <f aca="false">Raw_Data!D4338</f>
        <v>secondary</v>
      </c>
      <c r="F4338" s="3" t="str">
        <f aca="false">Raw_Data!E4338</f>
        <v>no</v>
      </c>
      <c r="G4338" s="3" t="n">
        <f aca="false">Raw_Data!F4338</f>
        <v>440</v>
      </c>
      <c r="H4338" s="3" t="str">
        <f aca="false">Raw_Data!G4338</f>
        <v>yes</v>
      </c>
      <c r="I4338" s="3" t="str">
        <f aca="false">Raw_Data!H4338</f>
        <v>no</v>
      </c>
      <c r="J4338" s="2" t="n">
        <f aca="false">IF(F4338="yes",1,0)</f>
        <v>0</v>
      </c>
      <c r="K4338" s="2" t="n">
        <f aca="false">IF(H4338="yes",1,0)</f>
        <v>1</v>
      </c>
      <c r="L4338" s="2" t="n">
        <f aca="false">IF(I4338="yes",1,0)</f>
        <v>0</v>
      </c>
      <c r="M4338" s="2" t="n">
        <f aca="false">IF(G4338&lt;0,1,0)</f>
        <v>0</v>
      </c>
      <c r="N4338" s="2" t="str">
        <f aca="false">_xlfn.IFS(B4338&lt;30,"Under 30",B4338&lt;40,"30-39",B4338&lt;50,"40-49",B4338&lt;60,"50-59",TRUE(),"60+")</f>
        <v>40-49</v>
      </c>
      <c r="O4338" s="2" t="str">
        <f aca="false">_xlfn.IFS(G4338&lt;0,"1 Negative",G4338=0,"2 Zero",G4338&lt;=500,"3 1-500",G4338&lt;=2000,"4 501-2000",TRUE(),"5 Above 2000")</f>
        <v>3 1-500</v>
      </c>
      <c r="P4338" s="2" t="n">
        <f aca="false">Lookups!$B$2*M4338+Lookups!$B$3*L4338</f>
        <v>0</v>
      </c>
      <c r="Q4338" s="2" t="str">
        <f aca="false">INDEX(Lookups!$E$2:$E$5,MATCH(P4338,Lookups!$D$2:$D$5,0))</f>
        <v>Low</v>
      </c>
    </row>
    <row r="4339" customFormat="false" ht="15" hidden="false" customHeight="false" outlineLevel="0" collapsed="false">
      <c r="A4339" s="3" t="n">
        <v>4338</v>
      </c>
      <c r="B4339" s="3" t="n">
        <f aca="false">Raw_Data!A4339</f>
        <v>73</v>
      </c>
      <c r="C4339" s="3" t="str">
        <f aca="false">SUBSTITUTE(Raw_Data!B4339,".","")</f>
        <v>retired</v>
      </c>
      <c r="D4339" s="3" t="str">
        <f aca="false">Raw_Data!C4339</f>
        <v>married</v>
      </c>
      <c r="E4339" s="3" t="str">
        <f aca="false">Raw_Data!D4339</f>
        <v>unknown</v>
      </c>
      <c r="F4339" s="3" t="str">
        <f aca="false">Raw_Data!E4339</f>
        <v>no</v>
      </c>
      <c r="G4339" s="3" t="n">
        <f aca="false">Raw_Data!F4339</f>
        <v>519</v>
      </c>
      <c r="H4339" s="3" t="str">
        <f aca="false">Raw_Data!G4339</f>
        <v>no</v>
      </c>
      <c r="I4339" s="3" t="str">
        <f aca="false">Raw_Data!H4339</f>
        <v>no</v>
      </c>
      <c r="J4339" s="2" t="n">
        <f aca="false">IF(F4339="yes",1,0)</f>
        <v>0</v>
      </c>
      <c r="K4339" s="2" t="n">
        <f aca="false">IF(H4339="yes",1,0)</f>
        <v>0</v>
      </c>
      <c r="L4339" s="2" t="n">
        <f aca="false">IF(I4339="yes",1,0)</f>
        <v>0</v>
      </c>
      <c r="M4339" s="2" t="n">
        <f aca="false">IF(G4339&lt;0,1,0)</f>
        <v>0</v>
      </c>
      <c r="N4339" s="2" t="str">
        <f aca="false">_xlfn.IFS(B4339&lt;30,"Under 30",B4339&lt;40,"30-39",B4339&lt;50,"40-49",B4339&lt;60,"50-59",TRUE(),"60+")</f>
        <v>60+</v>
      </c>
      <c r="O4339" s="2" t="str">
        <f aca="false">_xlfn.IFS(G4339&lt;0,"1 Negative",G4339=0,"2 Zero",G4339&lt;=500,"3 1-500",G4339&lt;=2000,"4 501-2000",TRUE(),"5 Above 2000")</f>
        <v>4 501-2000</v>
      </c>
      <c r="P4339" s="2" t="n">
        <f aca="false">Lookups!$B$2*M4339+Lookups!$B$3*L4339</f>
        <v>0</v>
      </c>
      <c r="Q4339" s="2" t="str">
        <f aca="false">INDEX(Lookups!$E$2:$E$5,MATCH(P4339,Lookups!$D$2:$D$5,0))</f>
        <v>Low</v>
      </c>
    </row>
    <row r="4340" customFormat="false" ht="15" hidden="false" customHeight="false" outlineLevel="0" collapsed="false">
      <c r="A4340" s="3" t="n">
        <v>4339</v>
      </c>
      <c r="B4340" s="3" t="n">
        <f aca="false">Raw_Data!A4340</f>
        <v>50</v>
      </c>
      <c r="C4340" s="3" t="str">
        <f aca="false">SUBSTITUTE(Raw_Data!B4340,".","")</f>
        <v>management</v>
      </c>
      <c r="D4340" s="3" t="str">
        <f aca="false">Raw_Data!C4340</f>
        <v>married</v>
      </c>
      <c r="E4340" s="3" t="str">
        <f aca="false">Raw_Data!D4340</f>
        <v>tertiary</v>
      </c>
      <c r="F4340" s="3" t="str">
        <f aca="false">Raw_Data!E4340</f>
        <v>no</v>
      </c>
      <c r="G4340" s="3" t="n">
        <f aca="false">Raw_Data!F4340</f>
        <v>19447</v>
      </c>
      <c r="H4340" s="3" t="str">
        <f aca="false">Raw_Data!G4340</f>
        <v>yes</v>
      </c>
      <c r="I4340" s="3" t="str">
        <f aca="false">Raw_Data!H4340</f>
        <v>yes</v>
      </c>
      <c r="J4340" s="2" t="n">
        <f aca="false">IF(F4340="yes",1,0)</f>
        <v>0</v>
      </c>
      <c r="K4340" s="2" t="n">
        <f aca="false">IF(H4340="yes",1,0)</f>
        <v>1</v>
      </c>
      <c r="L4340" s="2" t="n">
        <f aca="false">IF(I4340="yes",1,0)</f>
        <v>1</v>
      </c>
      <c r="M4340" s="2" t="n">
        <f aca="false">IF(G4340&lt;0,1,0)</f>
        <v>0</v>
      </c>
      <c r="N4340" s="2" t="str">
        <f aca="false">_xlfn.IFS(B4340&lt;30,"Under 30",B4340&lt;40,"30-39",B4340&lt;50,"40-49",B4340&lt;60,"50-59",TRUE(),"60+")</f>
        <v>50-59</v>
      </c>
      <c r="O4340" s="2" t="str">
        <f aca="false">_xlfn.IFS(G4340&lt;0,"1 Negative",G4340=0,"2 Zero",G4340&lt;=500,"3 1-500",G4340&lt;=2000,"4 501-2000",TRUE(),"5 Above 2000")</f>
        <v>5 Above 2000</v>
      </c>
      <c r="P4340" s="2" t="n">
        <f aca="false">Lookups!$B$2*M4340+Lookups!$B$3*L4340</f>
        <v>1</v>
      </c>
      <c r="Q4340" s="2" t="str">
        <f aca="false">INDEX(Lookups!$E$2:$E$5,MATCH(P4340,Lookups!$D$2:$D$5,0))</f>
        <v>Medium</v>
      </c>
    </row>
    <row r="4341" customFormat="false" ht="15" hidden="false" customHeight="false" outlineLevel="0" collapsed="false">
      <c r="A4341" s="3" t="n">
        <v>4340</v>
      </c>
      <c r="B4341" s="3" t="n">
        <f aca="false">Raw_Data!A4341</f>
        <v>53</v>
      </c>
      <c r="C4341" s="3" t="str">
        <f aca="false">SUBSTITUTE(Raw_Data!B4341,".","")</f>
        <v>blue-collar</v>
      </c>
      <c r="D4341" s="3" t="str">
        <f aca="false">Raw_Data!C4341</f>
        <v>married</v>
      </c>
      <c r="E4341" s="3" t="str">
        <f aca="false">Raw_Data!D4341</f>
        <v>primary</v>
      </c>
      <c r="F4341" s="3" t="str">
        <f aca="false">Raw_Data!E4341</f>
        <v>no</v>
      </c>
      <c r="G4341" s="3" t="n">
        <f aca="false">Raw_Data!F4341</f>
        <v>225</v>
      </c>
      <c r="H4341" s="3" t="str">
        <f aca="false">Raw_Data!G4341</f>
        <v>no</v>
      </c>
      <c r="I4341" s="3" t="str">
        <f aca="false">Raw_Data!H4341</f>
        <v>no</v>
      </c>
      <c r="J4341" s="2" t="n">
        <f aca="false">IF(F4341="yes",1,0)</f>
        <v>0</v>
      </c>
      <c r="K4341" s="2" t="n">
        <f aca="false">IF(H4341="yes",1,0)</f>
        <v>0</v>
      </c>
      <c r="L4341" s="2" t="n">
        <f aca="false">IF(I4341="yes",1,0)</f>
        <v>0</v>
      </c>
      <c r="M4341" s="2" t="n">
        <f aca="false">IF(G4341&lt;0,1,0)</f>
        <v>0</v>
      </c>
      <c r="N4341" s="2" t="str">
        <f aca="false">_xlfn.IFS(B4341&lt;30,"Under 30",B4341&lt;40,"30-39",B4341&lt;50,"40-49",B4341&lt;60,"50-59",TRUE(),"60+")</f>
        <v>50-59</v>
      </c>
      <c r="O4341" s="2" t="str">
        <f aca="false">_xlfn.IFS(G4341&lt;0,"1 Negative",G4341=0,"2 Zero",G4341&lt;=500,"3 1-500",G4341&lt;=2000,"4 501-2000",TRUE(),"5 Above 2000")</f>
        <v>3 1-500</v>
      </c>
      <c r="P4341" s="2" t="n">
        <f aca="false">Lookups!$B$2*M4341+Lookups!$B$3*L4341</f>
        <v>0</v>
      </c>
      <c r="Q4341" s="2" t="str">
        <f aca="false">INDEX(Lookups!$E$2:$E$5,MATCH(P4341,Lookups!$D$2:$D$5,0))</f>
        <v>Low</v>
      </c>
    </row>
    <row r="4342" customFormat="false" ht="15" hidden="false" customHeight="false" outlineLevel="0" collapsed="false">
      <c r="A4342" s="3" t="n">
        <v>4341</v>
      </c>
      <c r="B4342" s="3" t="n">
        <f aca="false">Raw_Data!A4342</f>
        <v>47</v>
      </c>
      <c r="C4342" s="3" t="str">
        <f aca="false">SUBSTITUTE(Raw_Data!B4342,".","")</f>
        <v>blue-collar</v>
      </c>
      <c r="D4342" s="3" t="str">
        <f aca="false">Raw_Data!C4342</f>
        <v>married</v>
      </c>
      <c r="E4342" s="3" t="str">
        <f aca="false">Raw_Data!D4342</f>
        <v>secondary</v>
      </c>
      <c r="F4342" s="3" t="str">
        <f aca="false">Raw_Data!E4342</f>
        <v>no</v>
      </c>
      <c r="G4342" s="3" t="n">
        <f aca="false">Raw_Data!F4342</f>
        <v>2548</v>
      </c>
      <c r="H4342" s="3" t="str">
        <f aca="false">Raw_Data!G4342</f>
        <v>yes</v>
      </c>
      <c r="I4342" s="3" t="str">
        <f aca="false">Raw_Data!H4342</f>
        <v>no</v>
      </c>
      <c r="J4342" s="2" t="n">
        <f aca="false">IF(F4342="yes",1,0)</f>
        <v>0</v>
      </c>
      <c r="K4342" s="2" t="n">
        <f aca="false">IF(H4342="yes",1,0)</f>
        <v>1</v>
      </c>
      <c r="L4342" s="2" t="n">
        <f aca="false">IF(I4342="yes",1,0)</f>
        <v>0</v>
      </c>
      <c r="M4342" s="2" t="n">
        <f aca="false">IF(G4342&lt;0,1,0)</f>
        <v>0</v>
      </c>
      <c r="N4342" s="2" t="str">
        <f aca="false">_xlfn.IFS(B4342&lt;30,"Under 30",B4342&lt;40,"30-39",B4342&lt;50,"40-49",B4342&lt;60,"50-59",TRUE(),"60+")</f>
        <v>40-49</v>
      </c>
      <c r="O4342" s="2" t="str">
        <f aca="false">_xlfn.IFS(G4342&lt;0,"1 Negative",G4342=0,"2 Zero",G4342&lt;=500,"3 1-500",G4342&lt;=2000,"4 501-2000",TRUE(),"5 Above 2000")</f>
        <v>5 Above 2000</v>
      </c>
      <c r="P4342" s="2" t="n">
        <f aca="false">Lookups!$B$2*M4342+Lookups!$B$3*L4342</f>
        <v>0</v>
      </c>
      <c r="Q4342" s="2" t="str">
        <f aca="false">INDEX(Lookups!$E$2:$E$5,MATCH(P4342,Lookups!$D$2:$D$5,0))</f>
        <v>Low</v>
      </c>
    </row>
    <row r="4343" customFormat="false" ht="15" hidden="false" customHeight="false" outlineLevel="0" collapsed="false">
      <c r="A4343" s="3" t="n">
        <v>4342</v>
      </c>
      <c r="B4343" s="3" t="n">
        <f aca="false">Raw_Data!A4343</f>
        <v>33</v>
      </c>
      <c r="C4343" s="3" t="str">
        <f aca="false">SUBSTITUTE(Raw_Data!B4343,".","")</f>
        <v>technician</v>
      </c>
      <c r="D4343" s="3" t="str">
        <f aca="false">Raw_Data!C4343</f>
        <v>divorced</v>
      </c>
      <c r="E4343" s="3" t="str">
        <f aca="false">Raw_Data!D4343</f>
        <v>secondary</v>
      </c>
      <c r="F4343" s="3" t="str">
        <f aca="false">Raw_Data!E4343</f>
        <v>no</v>
      </c>
      <c r="G4343" s="3" t="n">
        <f aca="false">Raw_Data!F4343</f>
        <v>0</v>
      </c>
      <c r="H4343" s="3" t="str">
        <f aca="false">Raw_Data!G4343</f>
        <v>no</v>
      </c>
      <c r="I4343" s="3" t="str">
        <f aca="false">Raw_Data!H4343</f>
        <v>no</v>
      </c>
      <c r="J4343" s="2" t="n">
        <f aca="false">IF(F4343="yes",1,0)</f>
        <v>0</v>
      </c>
      <c r="K4343" s="2" t="n">
        <f aca="false">IF(H4343="yes",1,0)</f>
        <v>0</v>
      </c>
      <c r="L4343" s="2" t="n">
        <f aca="false">IF(I4343="yes",1,0)</f>
        <v>0</v>
      </c>
      <c r="M4343" s="2" t="n">
        <f aca="false">IF(G4343&lt;0,1,0)</f>
        <v>0</v>
      </c>
      <c r="N4343" s="2" t="str">
        <f aca="false">_xlfn.IFS(B4343&lt;30,"Under 30",B4343&lt;40,"30-39",B4343&lt;50,"40-49",B4343&lt;60,"50-59",TRUE(),"60+")</f>
        <v>30-39</v>
      </c>
      <c r="O4343" s="2" t="str">
        <f aca="false">_xlfn.IFS(G4343&lt;0,"1 Negative",G4343=0,"2 Zero",G4343&lt;=500,"3 1-500",G4343&lt;=2000,"4 501-2000",TRUE(),"5 Above 2000")</f>
        <v>2 Zero</v>
      </c>
      <c r="P4343" s="2" t="n">
        <f aca="false">Lookups!$B$2*M4343+Lookups!$B$3*L4343</f>
        <v>0</v>
      </c>
      <c r="Q4343" s="2" t="str">
        <f aca="false">INDEX(Lookups!$E$2:$E$5,MATCH(P4343,Lookups!$D$2:$D$5,0))</f>
        <v>Low</v>
      </c>
    </row>
    <row r="4344" customFormat="false" ht="15" hidden="false" customHeight="false" outlineLevel="0" collapsed="false">
      <c r="A4344" s="3" t="n">
        <v>4343</v>
      </c>
      <c r="B4344" s="3" t="n">
        <f aca="false">Raw_Data!A4344</f>
        <v>50</v>
      </c>
      <c r="C4344" s="3" t="str">
        <f aca="false">SUBSTITUTE(Raw_Data!B4344,".","")</f>
        <v>blue-collar</v>
      </c>
      <c r="D4344" s="3" t="str">
        <f aca="false">Raw_Data!C4344</f>
        <v>married</v>
      </c>
      <c r="E4344" s="3" t="str">
        <f aca="false">Raw_Data!D4344</f>
        <v>unknown</v>
      </c>
      <c r="F4344" s="3" t="str">
        <f aca="false">Raw_Data!E4344</f>
        <v>no</v>
      </c>
      <c r="G4344" s="3" t="n">
        <f aca="false">Raw_Data!F4344</f>
        <v>2284</v>
      </c>
      <c r="H4344" s="3" t="str">
        <f aca="false">Raw_Data!G4344</f>
        <v>yes</v>
      </c>
      <c r="I4344" s="3" t="str">
        <f aca="false">Raw_Data!H4344</f>
        <v>no</v>
      </c>
      <c r="J4344" s="2" t="n">
        <f aca="false">IF(F4344="yes",1,0)</f>
        <v>0</v>
      </c>
      <c r="K4344" s="2" t="n">
        <f aca="false">IF(H4344="yes",1,0)</f>
        <v>1</v>
      </c>
      <c r="L4344" s="2" t="n">
        <f aca="false">IF(I4344="yes",1,0)</f>
        <v>0</v>
      </c>
      <c r="M4344" s="2" t="n">
        <f aca="false">IF(G4344&lt;0,1,0)</f>
        <v>0</v>
      </c>
      <c r="N4344" s="2" t="str">
        <f aca="false">_xlfn.IFS(B4344&lt;30,"Under 30",B4344&lt;40,"30-39",B4344&lt;50,"40-49",B4344&lt;60,"50-59",TRUE(),"60+")</f>
        <v>50-59</v>
      </c>
      <c r="O4344" s="2" t="str">
        <f aca="false">_xlfn.IFS(G4344&lt;0,"1 Negative",G4344=0,"2 Zero",G4344&lt;=500,"3 1-500",G4344&lt;=2000,"4 501-2000",TRUE(),"5 Above 2000")</f>
        <v>5 Above 2000</v>
      </c>
      <c r="P4344" s="2" t="n">
        <f aca="false">Lookups!$B$2*M4344+Lookups!$B$3*L4344</f>
        <v>0</v>
      </c>
      <c r="Q4344" s="2" t="str">
        <f aca="false">INDEX(Lookups!$E$2:$E$5,MATCH(P4344,Lookups!$D$2:$D$5,0))</f>
        <v>Low</v>
      </c>
    </row>
    <row r="4345" customFormat="false" ht="15" hidden="false" customHeight="false" outlineLevel="0" collapsed="false">
      <c r="A4345" s="3" t="n">
        <v>4344</v>
      </c>
      <c r="B4345" s="3" t="n">
        <f aca="false">Raw_Data!A4345</f>
        <v>51</v>
      </c>
      <c r="C4345" s="3" t="str">
        <f aca="false">SUBSTITUTE(Raw_Data!B4345,".","")</f>
        <v>blue-collar</v>
      </c>
      <c r="D4345" s="3" t="str">
        <f aca="false">Raw_Data!C4345</f>
        <v>married</v>
      </c>
      <c r="E4345" s="3" t="str">
        <f aca="false">Raw_Data!D4345</f>
        <v>primary</v>
      </c>
      <c r="F4345" s="3" t="str">
        <f aca="false">Raw_Data!E4345</f>
        <v>no</v>
      </c>
      <c r="G4345" s="3" t="n">
        <f aca="false">Raw_Data!F4345</f>
        <v>40</v>
      </c>
      <c r="H4345" s="3" t="str">
        <f aca="false">Raw_Data!G4345</f>
        <v>yes</v>
      </c>
      <c r="I4345" s="3" t="str">
        <f aca="false">Raw_Data!H4345</f>
        <v>no</v>
      </c>
      <c r="J4345" s="2" t="n">
        <f aca="false">IF(F4345="yes",1,0)</f>
        <v>0</v>
      </c>
      <c r="K4345" s="2" t="n">
        <f aca="false">IF(H4345="yes",1,0)</f>
        <v>1</v>
      </c>
      <c r="L4345" s="2" t="n">
        <f aca="false">IF(I4345="yes",1,0)</f>
        <v>0</v>
      </c>
      <c r="M4345" s="2" t="n">
        <f aca="false">IF(G4345&lt;0,1,0)</f>
        <v>0</v>
      </c>
      <c r="N4345" s="2" t="str">
        <f aca="false">_xlfn.IFS(B4345&lt;30,"Under 30",B4345&lt;40,"30-39",B4345&lt;50,"40-49",B4345&lt;60,"50-59",TRUE(),"60+")</f>
        <v>50-59</v>
      </c>
      <c r="O4345" s="2" t="str">
        <f aca="false">_xlfn.IFS(G4345&lt;0,"1 Negative",G4345=0,"2 Zero",G4345&lt;=500,"3 1-500",G4345&lt;=2000,"4 501-2000",TRUE(),"5 Above 2000")</f>
        <v>3 1-500</v>
      </c>
      <c r="P4345" s="2" t="n">
        <f aca="false">Lookups!$B$2*M4345+Lookups!$B$3*L4345</f>
        <v>0</v>
      </c>
      <c r="Q4345" s="2" t="str">
        <f aca="false">INDEX(Lookups!$E$2:$E$5,MATCH(P4345,Lookups!$D$2:$D$5,0))</f>
        <v>Low</v>
      </c>
    </row>
    <row r="4346" customFormat="false" ht="15" hidden="false" customHeight="false" outlineLevel="0" collapsed="false">
      <c r="A4346" s="3" t="n">
        <v>4345</v>
      </c>
      <c r="B4346" s="3" t="n">
        <f aca="false">Raw_Data!A4346</f>
        <v>42</v>
      </c>
      <c r="C4346" s="3" t="str">
        <f aca="false">SUBSTITUTE(Raw_Data!B4346,".","")</f>
        <v>housemaid</v>
      </c>
      <c r="D4346" s="3" t="str">
        <f aca="false">Raw_Data!C4346</f>
        <v>divorced</v>
      </c>
      <c r="E4346" s="3" t="str">
        <f aca="false">Raw_Data!D4346</f>
        <v>tertiary</v>
      </c>
      <c r="F4346" s="3" t="str">
        <f aca="false">Raw_Data!E4346</f>
        <v>no</v>
      </c>
      <c r="G4346" s="3" t="n">
        <f aca="false">Raw_Data!F4346</f>
        <v>364</v>
      </c>
      <c r="H4346" s="3" t="str">
        <f aca="false">Raw_Data!G4346</f>
        <v>no</v>
      </c>
      <c r="I4346" s="3" t="str">
        <f aca="false">Raw_Data!H4346</f>
        <v>no</v>
      </c>
      <c r="J4346" s="2" t="n">
        <f aca="false">IF(F4346="yes",1,0)</f>
        <v>0</v>
      </c>
      <c r="K4346" s="2" t="n">
        <f aca="false">IF(H4346="yes",1,0)</f>
        <v>0</v>
      </c>
      <c r="L4346" s="2" t="n">
        <f aca="false">IF(I4346="yes",1,0)</f>
        <v>0</v>
      </c>
      <c r="M4346" s="2" t="n">
        <f aca="false">IF(G4346&lt;0,1,0)</f>
        <v>0</v>
      </c>
      <c r="N4346" s="2" t="str">
        <f aca="false">_xlfn.IFS(B4346&lt;30,"Under 30",B4346&lt;40,"30-39",B4346&lt;50,"40-49",B4346&lt;60,"50-59",TRUE(),"60+")</f>
        <v>40-49</v>
      </c>
      <c r="O4346" s="2" t="str">
        <f aca="false">_xlfn.IFS(G4346&lt;0,"1 Negative",G4346=0,"2 Zero",G4346&lt;=500,"3 1-500",G4346&lt;=2000,"4 501-2000",TRUE(),"5 Above 2000")</f>
        <v>3 1-500</v>
      </c>
      <c r="P4346" s="2" t="n">
        <f aca="false">Lookups!$B$2*M4346+Lookups!$B$3*L4346</f>
        <v>0</v>
      </c>
      <c r="Q4346" s="2" t="str">
        <f aca="false">INDEX(Lookups!$E$2:$E$5,MATCH(P4346,Lookups!$D$2:$D$5,0))</f>
        <v>Low</v>
      </c>
    </row>
    <row r="4347" customFormat="false" ht="15" hidden="false" customHeight="false" outlineLevel="0" collapsed="false">
      <c r="A4347" s="3" t="n">
        <v>4346</v>
      </c>
      <c r="B4347" s="3" t="n">
        <f aca="false">Raw_Data!A4347</f>
        <v>34</v>
      </c>
      <c r="C4347" s="3" t="str">
        <f aca="false">SUBSTITUTE(Raw_Data!B4347,".","")</f>
        <v>technician</v>
      </c>
      <c r="D4347" s="3" t="str">
        <f aca="false">Raw_Data!C4347</f>
        <v>single</v>
      </c>
      <c r="E4347" s="3" t="str">
        <f aca="false">Raw_Data!D4347</f>
        <v>secondary</v>
      </c>
      <c r="F4347" s="3" t="str">
        <f aca="false">Raw_Data!E4347</f>
        <v>no</v>
      </c>
      <c r="G4347" s="3" t="n">
        <f aca="false">Raw_Data!F4347</f>
        <v>174</v>
      </c>
      <c r="H4347" s="3" t="str">
        <f aca="false">Raw_Data!G4347</f>
        <v>no</v>
      </c>
      <c r="I4347" s="3" t="str">
        <f aca="false">Raw_Data!H4347</f>
        <v>no</v>
      </c>
      <c r="J4347" s="2" t="n">
        <f aca="false">IF(F4347="yes",1,0)</f>
        <v>0</v>
      </c>
      <c r="K4347" s="2" t="n">
        <f aca="false">IF(H4347="yes",1,0)</f>
        <v>0</v>
      </c>
      <c r="L4347" s="2" t="n">
        <f aca="false">IF(I4347="yes",1,0)</f>
        <v>0</v>
      </c>
      <c r="M4347" s="2" t="n">
        <f aca="false">IF(G4347&lt;0,1,0)</f>
        <v>0</v>
      </c>
      <c r="N4347" s="2" t="str">
        <f aca="false">_xlfn.IFS(B4347&lt;30,"Under 30",B4347&lt;40,"30-39",B4347&lt;50,"40-49",B4347&lt;60,"50-59",TRUE(),"60+")</f>
        <v>30-39</v>
      </c>
      <c r="O4347" s="2" t="str">
        <f aca="false">_xlfn.IFS(G4347&lt;0,"1 Negative",G4347=0,"2 Zero",G4347&lt;=500,"3 1-500",G4347&lt;=2000,"4 501-2000",TRUE(),"5 Above 2000")</f>
        <v>3 1-500</v>
      </c>
      <c r="P4347" s="2" t="n">
        <f aca="false">Lookups!$B$2*M4347+Lookups!$B$3*L4347</f>
        <v>0</v>
      </c>
      <c r="Q4347" s="2" t="str">
        <f aca="false">INDEX(Lookups!$E$2:$E$5,MATCH(P4347,Lookups!$D$2:$D$5,0))</f>
        <v>Low</v>
      </c>
    </row>
    <row r="4348" customFormat="false" ht="15" hidden="false" customHeight="false" outlineLevel="0" collapsed="false">
      <c r="A4348" s="3" t="n">
        <v>4347</v>
      </c>
      <c r="B4348" s="3" t="n">
        <f aca="false">Raw_Data!A4348</f>
        <v>44</v>
      </c>
      <c r="C4348" s="3" t="str">
        <f aca="false">SUBSTITUTE(Raw_Data!B4348,".","")</f>
        <v>technician</v>
      </c>
      <c r="D4348" s="3" t="str">
        <f aca="false">Raw_Data!C4348</f>
        <v>married</v>
      </c>
      <c r="E4348" s="3" t="str">
        <f aca="false">Raw_Data!D4348</f>
        <v>secondary</v>
      </c>
      <c r="F4348" s="3" t="str">
        <f aca="false">Raw_Data!E4348</f>
        <v>no</v>
      </c>
      <c r="G4348" s="3" t="n">
        <f aca="false">Raw_Data!F4348</f>
        <v>10888</v>
      </c>
      <c r="H4348" s="3" t="str">
        <f aca="false">Raw_Data!G4348</f>
        <v>yes</v>
      </c>
      <c r="I4348" s="3" t="str">
        <f aca="false">Raw_Data!H4348</f>
        <v>no</v>
      </c>
      <c r="J4348" s="2" t="n">
        <f aca="false">IF(F4348="yes",1,0)</f>
        <v>0</v>
      </c>
      <c r="K4348" s="2" t="n">
        <f aca="false">IF(H4348="yes",1,0)</f>
        <v>1</v>
      </c>
      <c r="L4348" s="2" t="n">
        <f aca="false">IF(I4348="yes",1,0)</f>
        <v>0</v>
      </c>
      <c r="M4348" s="2" t="n">
        <f aca="false">IF(G4348&lt;0,1,0)</f>
        <v>0</v>
      </c>
      <c r="N4348" s="2" t="str">
        <f aca="false">_xlfn.IFS(B4348&lt;30,"Under 30",B4348&lt;40,"30-39",B4348&lt;50,"40-49",B4348&lt;60,"50-59",TRUE(),"60+")</f>
        <v>40-49</v>
      </c>
      <c r="O4348" s="2" t="str">
        <f aca="false">_xlfn.IFS(G4348&lt;0,"1 Negative",G4348=0,"2 Zero",G4348&lt;=500,"3 1-500",G4348&lt;=2000,"4 501-2000",TRUE(),"5 Above 2000")</f>
        <v>5 Above 2000</v>
      </c>
      <c r="P4348" s="2" t="n">
        <f aca="false">Lookups!$B$2*M4348+Lookups!$B$3*L4348</f>
        <v>0</v>
      </c>
      <c r="Q4348" s="2" t="str">
        <f aca="false">INDEX(Lookups!$E$2:$E$5,MATCH(P4348,Lookups!$D$2:$D$5,0))</f>
        <v>Low</v>
      </c>
    </row>
    <row r="4349" customFormat="false" ht="15" hidden="false" customHeight="false" outlineLevel="0" collapsed="false">
      <c r="A4349" s="3" t="n">
        <v>4348</v>
      </c>
      <c r="B4349" s="3" t="n">
        <f aca="false">Raw_Data!A4349</f>
        <v>32</v>
      </c>
      <c r="C4349" s="3" t="str">
        <f aca="false">SUBSTITUTE(Raw_Data!B4349,".","")</f>
        <v>admin</v>
      </c>
      <c r="D4349" s="3" t="str">
        <f aca="false">Raw_Data!C4349</f>
        <v>married</v>
      </c>
      <c r="E4349" s="3" t="str">
        <f aca="false">Raw_Data!D4349</f>
        <v>secondary</v>
      </c>
      <c r="F4349" s="3" t="str">
        <f aca="false">Raw_Data!E4349</f>
        <v>no</v>
      </c>
      <c r="G4349" s="3" t="n">
        <f aca="false">Raw_Data!F4349</f>
        <v>0</v>
      </c>
      <c r="H4349" s="3" t="str">
        <f aca="false">Raw_Data!G4349</f>
        <v>yes</v>
      </c>
      <c r="I4349" s="3" t="str">
        <f aca="false">Raw_Data!H4349</f>
        <v>yes</v>
      </c>
      <c r="J4349" s="2" t="n">
        <f aca="false">IF(F4349="yes",1,0)</f>
        <v>0</v>
      </c>
      <c r="K4349" s="2" t="n">
        <f aca="false">IF(H4349="yes",1,0)</f>
        <v>1</v>
      </c>
      <c r="L4349" s="2" t="n">
        <f aca="false">IF(I4349="yes",1,0)</f>
        <v>1</v>
      </c>
      <c r="M4349" s="2" t="n">
        <f aca="false">IF(G4349&lt;0,1,0)</f>
        <v>0</v>
      </c>
      <c r="N4349" s="2" t="str">
        <f aca="false">_xlfn.IFS(B4349&lt;30,"Under 30",B4349&lt;40,"30-39",B4349&lt;50,"40-49",B4349&lt;60,"50-59",TRUE(),"60+")</f>
        <v>30-39</v>
      </c>
      <c r="O4349" s="2" t="str">
        <f aca="false">_xlfn.IFS(G4349&lt;0,"1 Negative",G4349=0,"2 Zero",G4349&lt;=500,"3 1-500",G4349&lt;=2000,"4 501-2000",TRUE(),"5 Above 2000")</f>
        <v>2 Zero</v>
      </c>
      <c r="P4349" s="2" t="n">
        <f aca="false">Lookups!$B$2*M4349+Lookups!$B$3*L4349</f>
        <v>1</v>
      </c>
      <c r="Q4349" s="2" t="str">
        <f aca="false">INDEX(Lookups!$E$2:$E$5,MATCH(P4349,Lookups!$D$2:$D$5,0))</f>
        <v>Medium</v>
      </c>
    </row>
    <row r="4350" customFormat="false" ht="15" hidden="false" customHeight="false" outlineLevel="0" collapsed="false">
      <c r="A4350" s="3" t="n">
        <v>4349</v>
      </c>
      <c r="B4350" s="3" t="n">
        <f aca="false">Raw_Data!A4350</f>
        <v>60</v>
      </c>
      <c r="C4350" s="3" t="str">
        <f aca="false">SUBSTITUTE(Raw_Data!B4350,".","")</f>
        <v>retired</v>
      </c>
      <c r="D4350" s="3" t="str">
        <f aca="false">Raw_Data!C4350</f>
        <v>married</v>
      </c>
      <c r="E4350" s="3" t="str">
        <f aca="false">Raw_Data!D4350</f>
        <v>tertiary</v>
      </c>
      <c r="F4350" s="3" t="str">
        <f aca="false">Raw_Data!E4350</f>
        <v>no</v>
      </c>
      <c r="G4350" s="3" t="n">
        <f aca="false">Raw_Data!F4350</f>
        <v>225</v>
      </c>
      <c r="H4350" s="3" t="str">
        <f aca="false">Raw_Data!G4350</f>
        <v>no</v>
      </c>
      <c r="I4350" s="3" t="str">
        <f aca="false">Raw_Data!H4350</f>
        <v>no</v>
      </c>
      <c r="J4350" s="2" t="n">
        <f aca="false">IF(F4350="yes",1,0)</f>
        <v>0</v>
      </c>
      <c r="K4350" s="2" t="n">
        <f aca="false">IF(H4350="yes",1,0)</f>
        <v>0</v>
      </c>
      <c r="L4350" s="2" t="n">
        <f aca="false">IF(I4350="yes",1,0)</f>
        <v>0</v>
      </c>
      <c r="M4350" s="2" t="n">
        <f aca="false">IF(G4350&lt;0,1,0)</f>
        <v>0</v>
      </c>
      <c r="N4350" s="2" t="str">
        <f aca="false">_xlfn.IFS(B4350&lt;30,"Under 30",B4350&lt;40,"30-39",B4350&lt;50,"40-49",B4350&lt;60,"50-59",TRUE(),"60+")</f>
        <v>60+</v>
      </c>
      <c r="O4350" s="2" t="str">
        <f aca="false">_xlfn.IFS(G4350&lt;0,"1 Negative",G4350=0,"2 Zero",G4350&lt;=500,"3 1-500",G4350&lt;=2000,"4 501-2000",TRUE(),"5 Above 2000")</f>
        <v>3 1-500</v>
      </c>
      <c r="P4350" s="2" t="n">
        <f aca="false">Lookups!$B$2*M4350+Lookups!$B$3*L4350</f>
        <v>0</v>
      </c>
      <c r="Q4350" s="2" t="str">
        <f aca="false">INDEX(Lookups!$E$2:$E$5,MATCH(P4350,Lookups!$D$2:$D$5,0))</f>
        <v>Low</v>
      </c>
    </row>
    <row r="4351" customFormat="false" ht="15" hidden="false" customHeight="false" outlineLevel="0" collapsed="false">
      <c r="A4351" s="3" t="n">
        <v>4350</v>
      </c>
      <c r="B4351" s="3" t="n">
        <f aca="false">Raw_Data!A4351</f>
        <v>60</v>
      </c>
      <c r="C4351" s="3" t="str">
        <f aca="false">SUBSTITUTE(Raw_Data!B4351,".","")</f>
        <v>retired</v>
      </c>
      <c r="D4351" s="3" t="str">
        <f aca="false">Raw_Data!C4351</f>
        <v>divorced</v>
      </c>
      <c r="E4351" s="3" t="str">
        <f aca="false">Raw_Data!D4351</f>
        <v>tertiary</v>
      </c>
      <c r="F4351" s="3" t="str">
        <f aca="false">Raw_Data!E4351</f>
        <v>no</v>
      </c>
      <c r="G4351" s="3" t="n">
        <f aca="false">Raw_Data!F4351</f>
        <v>2131</v>
      </c>
      <c r="H4351" s="3" t="str">
        <f aca="false">Raw_Data!G4351</f>
        <v>no</v>
      </c>
      <c r="I4351" s="3" t="str">
        <f aca="false">Raw_Data!H4351</f>
        <v>no</v>
      </c>
      <c r="J4351" s="2" t="n">
        <f aca="false">IF(F4351="yes",1,0)</f>
        <v>0</v>
      </c>
      <c r="K4351" s="2" t="n">
        <f aca="false">IF(H4351="yes",1,0)</f>
        <v>0</v>
      </c>
      <c r="L4351" s="2" t="n">
        <f aca="false">IF(I4351="yes",1,0)</f>
        <v>0</v>
      </c>
      <c r="M4351" s="2" t="n">
        <f aca="false">IF(G4351&lt;0,1,0)</f>
        <v>0</v>
      </c>
      <c r="N4351" s="2" t="str">
        <f aca="false">_xlfn.IFS(B4351&lt;30,"Under 30",B4351&lt;40,"30-39",B4351&lt;50,"40-49",B4351&lt;60,"50-59",TRUE(),"60+")</f>
        <v>60+</v>
      </c>
      <c r="O4351" s="2" t="str">
        <f aca="false">_xlfn.IFS(G4351&lt;0,"1 Negative",G4351=0,"2 Zero",G4351&lt;=500,"3 1-500",G4351&lt;=2000,"4 501-2000",TRUE(),"5 Above 2000")</f>
        <v>5 Above 2000</v>
      </c>
      <c r="P4351" s="2" t="n">
        <f aca="false">Lookups!$B$2*M4351+Lookups!$B$3*L4351</f>
        <v>0</v>
      </c>
      <c r="Q4351" s="2" t="str">
        <f aca="false">INDEX(Lookups!$E$2:$E$5,MATCH(P4351,Lookups!$D$2:$D$5,0))</f>
        <v>Low</v>
      </c>
    </row>
    <row r="4352" customFormat="false" ht="15" hidden="false" customHeight="false" outlineLevel="0" collapsed="false">
      <c r="A4352" s="3" t="n">
        <v>4351</v>
      </c>
      <c r="B4352" s="3" t="n">
        <f aca="false">Raw_Data!A4352</f>
        <v>29</v>
      </c>
      <c r="C4352" s="3" t="str">
        <f aca="false">SUBSTITUTE(Raw_Data!B4352,".","")</f>
        <v>blue-collar</v>
      </c>
      <c r="D4352" s="3" t="str">
        <f aca="false">Raw_Data!C4352</f>
        <v>single</v>
      </c>
      <c r="E4352" s="3" t="str">
        <f aca="false">Raw_Data!D4352</f>
        <v>secondary</v>
      </c>
      <c r="F4352" s="3" t="str">
        <f aca="false">Raw_Data!E4352</f>
        <v>no</v>
      </c>
      <c r="G4352" s="3" t="n">
        <f aca="false">Raw_Data!F4352</f>
        <v>-20</v>
      </c>
      <c r="H4352" s="3" t="str">
        <f aca="false">Raw_Data!G4352</f>
        <v>no</v>
      </c>
      <c r="I4352" s="3" t="str">
        <f aca="false">Raw_Data!H4352</f>
        <v>yes</v>
      </c>
      <c r="J4352" s="2" t="n">
        <f aca="false">IF(F4352="yes",1,0)</f>
        <v>0</v>
      </c>
      <c r="K4352" s="2" t="n">
        <f aca="false">IF(H4352="yes",1,0)</f>
        <v>0</v>
      </c>
      <c r="L4352" s="2" t="n">
        <f aca="false">IF(I4352="yes",1,0)</f>
        <v>1</v>
      </c>
      <c r="M4352" s="2" t="n">
        <f aca="false">IF(G4352&lt;0,1,0)</f>
        <v>1</v>
      </c>
      <c r="N4352" s="2" t="str">
        <f aca="false">_xlfn.IFS(B4352&lt;30,"Under 30",B4352&lt;40,"30-39",B4352&lt;50,"40-49",B4352&lt;60,"50-59",TRUE(),"60+")</f>
        <v>Under 30</v>
      </c>
      <c r="O4352" s="2" t="str">
        <f aca="false">_xlfn.IFS(G4352&lt;0,"1 Negative",G4352=0,"2 Zero",G4352&lt;=500,"3 1-500",G4352&lt;=2000,"4 501-2000",TRUE(),"5 Above 2000")</f>
        <v>1 Negative</v>
      </c>
      <c r="P4352" s="2" t="n">
        <f aca="false">Lookups!$B$2*M4352+Lookups!$B$3*L4352</f>
        <v>3</v>
      </c>
      <c r="Q4352" s="2" t="str">
        <f aca="false">INDEX(Lookups!$E$2:$E$5,MATCH(P4352,Lookups!$D$2:$D$5,0))</f>
        <v>High</v>
      </c>
    </row>
    <row r="4353" customFormat="false" ht="15" hidden="false" customHeight="false" outlineLevel="0" collapsed="false">
      <c r="A4353" s="3" t="n">
        <v>4352</v>
      </c>
      <c r="B4353" s="3" t="n">
        <f aca="false">Raw_Data!A4353</f>
        <v>39</v>
      </c>
      <c r="C4353" s="3" t="str">
        <f aca="false">SUBSTITUTE(Raw_Data!B4353,".","")</f>
        <v>management</v>
      </c>
      <c r="D4353" s="3" t="str">
        <f aca="false">Raw_Data!C4353</f>
        <v>single</v>
      </c>
      <c r="E4353" s="3" t="str">
        <f aca="false">Raw_Data!D4353</f>
        <v>secondary</v>
      </c>
      <c r="F4353" s="3" t="str">
        <f aca="false">Raw_Data!E4353</f>
        <v>no</v>
      </c>
      <c r="G4353" s="3" t="n">
        <f aca="false">Raw_Data!F4353</f>
        <v>36</v>
      </c>
      <c r="H4353" s="3" t="str">
        <f aca="false">Raw_Data!G4353</f>
        <v>no</v>
      </c>
      <c r="I4353" s="3" t="str">
        <f aca="false">Raw_Data!H4353</f>
        <v>no</v>
      </c>
      <c r="J4353" s="2" t="n">
        <f aca="false">IF(F4353="yes",1,0)</f>
        <v>0</v>
      </c>
      <c r="K4353" s="2" t="n">
        <f aca="false">IF(H4353="yes",1,0)</f>
        <v>0</v>
      </c>
      <c r="L4353" s="2" t="n">
        <f aca="false">IF(I4353="yes",1,0)</f>
        <v>0</v>
      </c>
      <c r="M4353" s="2" t="n">
        <f aca="false">IF(G4353&lt;0,1,0)</f>
        <v>0</v>
      </c>
      <c r="N4353" s="2" t="str">
        <f aca="false">_xlfn.IFS(B4353&lt;30,"Under 30",B4353&lt;40,"30-39",B4353&lt;50,"40-49",B4353&lt;60,"50-59",TRUE(),"60+")</f>
        <v>30-39</v>
      </c>
      <c r="O4353" s="2" t="str">
        <f aca="false">_xlfn.IFS(G4353&lt;0,"1 Negative",G4353=0,"2 Zero",G4353&lt;=500,"3 1-500",G4353&lt;=2000,"4 501-2000",TRUE(),"5 Above 2000")</f>
        <v>3 1-500</v>
      </c>
      <c r="P4353" s="2" t="n">
        <f aca="false">Lookups!$B$2*M4353+Lookups!$B$3*L4353</f>
        <v>0</v>
      </c>
      <c r="Q4353" s="2" t="str">
        <f aca="false">INDEX(Lookups!$E$2:$E$5,MATCH(P4353,Lookups!$D$2:$D$5,0))</f>
        <v>Low</v>
      </c>
    </row>
    <row r="4354" customFormat="false" ht="15" hidden="false" customHeight="false" outlineLevel="0" collapsed="false">
      <c r="A4354" s="3" t="n">
        <v>4353</v>
      </c>
      <c r="B4354" s="3" t="n">
        <f aca="false">Raw_Data!A4354</f>
        <v>47</v>
      </c>
      <c r="C4354" s="3" t="str">
        <f aca="false">SUBSTITUTE(Raw_Data!B4354,".","")</f>
        <v>blue-collar</v>
      </c>
      <c r="D4354" s="3" t="str">
        <f aca="false">Raw_Data!C4354</f>
        <v>married</v>
      </c>
      <c r="E4354" s="3" t="str">
        <f aca="false">Raw_Data!D4354</f>
        <v>primary</v>
      </c>
      <c r="F4354" s="3" t="str">
        <f aca="false">Raw_Data!E4354</f>
        <v>no</v>
      </c>
      <c r="G4354" s="3" t="n">
        <f aca="false">Raw_Data!F4354</f>
        <v>2642</v>
      </c>
      <c r="H4354" s="3" t="str">
        <f aca="false">Raw_Data!G4354</f>
        <v>no</v>
      </c>
      <c r="I4354" s="3" t="str">
        <f aca="false">Raw_Data!H4354</f>
        <v>no</v>
      </c>
      <c r="J4354" s="2" t="n">
        <f aca="false">IF(F4354="yes",1,0)</f>
        <v>0</v>
      </c>
      <c r="K4354" s="2" t="n">
        <f aca="false">IF(H4354="yes",1,0)</f>
        <v>0</v>
      </c>
      <c r="L4354" s="2" t="n">
        <f aca="false">IF(I4354="yes",1,0)</f>
        <v>0</v>
      </c>
      <c r="M4354" s="2" t="n">
        <f aca="false">IF(G4354&lt;0,1,0)</f>
        <v>0</v>
      </c>
      <c r="N4354" s="2" t="str">
        <f aca="false">_xlfn.IFS(B4354&lt;30,"Under 30",B4354&lt;40,"30-39",B4354&lt;50,"40-49",B4354&lt;60,"50-59",TRUE(),"60+")</f>
        <v>40-49</v>
      </c>
      <c r="O4354" s="2" t="str">
        <f aca="false">_xlfn.IFS(G4354&lt;0,"1 Negative",G4354=0,"2 Zero",G4354&lt;=500,"3 1-500",G4354&lt;=2000,"4 501-2000",TRUE(),"5 Above 2000")</f>
        <v>5 Above 2000</v>
      </c>
      <c r="P4354" s="2" t="n">
        <f aca="false">Lookups!$B$2*M4354+Lookups!$B$3*L4354</f>
        <v>0</v>
      </c>
      <c r="Q4354" s="2" t="str">
        <f aca="false">INDEX(Lookups!$E$2:$E$5,MATCH(P4354,Lookups!$D$2:$D$5,0))</f>
        <v>Low</v>
      </c>
    </row>
    <row r="4355" customFormat="false" ht="15" hidden="false" customHeight="false" outlineLevel="0" collapsed="false">
      <c r="A4355" s="3" t="n">
        <v>4354</v>
      </c>
      <c r="B4355" s="3" t="n">
        <f aca="false">Raw_Data!A4355</f>
        <v>30</v>
      </c>
      <c r="C4355" s="3" t="str">
        <f aca="false">SUBSTITUTE(Raw_Data!B4355,".","")</f>
        <v>admin</v>
      </c>
      <c r="D4355" s="3" t="str">
        <f aca="false">Raw_Data!C4355</f>
        <v>married</v>
      </c>
      <c r="E4355" s="3" t="str">
        <f aca="false">Raw_Data!D4355</f>
        <v>tertiary</v>
      </c>
      <c r="F4355" s="3" t="str">
        <f aca="false">Raw_Data!E4355</f>
        <v>no</v>
      </c>
      <c r="G4355" s="3" t="n">
        <f aca="false">Raw_Data!F4355</f>
        <v>400</v>
      </c>
      <c r="H4355" s="3" t="str">
        <f aca="false">Raw_Data!G4355</f>
        <v>yes</v>
      </c>
      <c r="I4355" s="3" t="str">
        <f aca="false">Raw_Data!H4355</f>
        <v>no</v>
      </c>
      <c r="J4355" s="2" t="n">
        <f aca="false">IF(F4355="yes",1,0)</f>
        <v>0</v>
      </c>
      <c r="K4355" s="2" t="n">
        <f aca="false">IF(H4355="yes",1,0)</f>
        <v>1</v>
      </c>
      <c r="L4355" s="2" t="n">
        <f aca="false">IF(I4355="yes",1,0)</f>
        <v>0</v>
      </c>
      <c r="M4355" s="2" t="n">
        <f aca="false">IF(G4355&lt;0,1,0)</f>
        <v>0</v>
      </c>
      <c r="N4355" s="2" t="str">
        <f aca="false">_xlfn.IFS(B4355&lt;30,"Under 30",B4355&lt;40,"30-39",B4355&lt;50,"40-49",B4355&lt;60,"50-59",TRUE(),"60+")</f>
        <v>30-39</v>
      </c>
      <c r="O4355" s="2" t="str">
        <f aca="false">_xlfn.IFS(G4355&lt;0,"1 Negative",G4355=0,"2 Zero",G4355&lt;=500,"3 1-500",G4355&lt;=2000,"4 501-2000",TRUE(),"5 Above 2000")</f>
        <v>3 1-500</v>
      </c>
      <c r="P4355" s="2" t="n">
        <f aca="false">Lookups!$B$2*M4355+Lookups!$B$3*L4355</f>
        <v>0</v>
      </c>
      <c r="Q4355" s="2" t="str">
        <f aca="false">INDEX(Lookups!$E$2:$E$5,MATCH(P4355,Lookups!$D$2:$D$5,0))</f>
        <v>Low</v>
      </c>
    </row>
    <row r="4356" customFormat="false" ht="15" hidden="false" customHeight="false" outlineLevel="0" collapsed="false">
      <c r="A4356" s="3" t="n">
        <v>4355</v>
      </c>
      <c r="B4356" s="3" t="n">
        <f aca="false">Raw_Data!A4356</f>
        <v>31</v>
      </c>
      <c r="C4356" s="3" t="str">
        <f aca="false">SUBSTITUTE(Raw_Data!B4356,".","")</f>
        <v>technician</v>
      </c>
      <c r="D4356" s="3" t="str">
        <f aca="false">Raw_Data!C4356</f>
        <v>single</v>
      </c>
      <c r="E4356" s="3" t="str">
        <f aca="false">Raw_Data!D4356</f>
        <v>tertiary</v>
      </c>
      <c r="F4356" s="3" t="str">
        <f aca="false">Raw_Data!E4356</f>
        <v>no</v>
      </c>
      <c r="G4356" s="3" t="n">
        <f aca="false">Raw_Data!F4356</f>
        <v>1214</v>
      </c>
      <c r="H4356" s="3" t="str">
        <f aca="false">Raw_Data!G4356</f>
        <v>no</v>
      </c>
      <c r="I4356" s="3" t="str">
        <f aca="false">Raw_Data!H4356</f>
        <v>no</v>
      </c>
      <c r="J4356" s="2" t="n">
        <f aca="false">IF(F4356="yes",1,0)</f>
        <v>0</v>
      </c>
      <c r="K4356" s="2" t="n">
        <f aca="false">IF(H4356="yes",1,0)</f>
        <v>0</v>
      </c>
      <c r="L4356" s="2" t="n">
        <f aca="false">IF(I4356="yes",1,0)</f>
        <v>0</v>
      </c>
      <c r="M4356" s="2" t="n">
        <f aca="false">IF(G4356&lt;0,1,0)</f>
        <v>0</v>
      </c>
      <c r="N4356" s="2" t="str">
        <f aca="false">_xlfn.IFS(B4356&lt;30,"Under 30",B4356&lt;40,"30-39",B4356&lt;50,"40-49",B4356&lt;60,"50-59",TRUE(),"60+")</f>
        <v>30-39</v>
      </c>
      <c r="O4356" s="2" t="str">
        <f aca="false">_xlfn.IFS(G4356&lt;0,"1 Negative",G4356=0,"2 Zero",G4356&lt;=500,"3 1-500",G4356&lt;=2000,"4 501-2000",TRUE(),"5 Above 2000")</f>
        <v>4 501-2000</v>
      </c>
      <c r="P4356" s="2" t="n">
        <f aca="false">Lookups!$B$2*M4356+Lookups!$B$3*L4356</f>
        <v>0</v>
      </c>
      <c r="Q4356" s="2" t="str">
        <f aca="false">INDEX(Lookups!$E$2:$E$5,MATCH(P4356,Lookups!$D$2:$D$5,0))</f>
        <v>Low</v>
      </c>
    </row>
    <row r="4357" customFormat="false" ht="15" hidden="false" customHeight="false" outlineLevel="0" collapsed="false">
      <c r="A4357" s="3" t="n">
        <v>4356</v>
      </c>
      <c r="B4357" s="3" t="n">
        <f aca="false">Raw_Data!A4357</f>
        <v>34</v>
      </c>
      <c r="C4357" s="3" t="str">
        <f aca="false">SUBSTITUTE(Raw_Data!B4357,".","")</f>
        <v>management</v>
      </c>
      <c r="D4357" s="3" t="str">
        <f aca="false">Raw_Data!C4357</f>
        <v>single</v>
      </c>
      <c r="E4357" s="3" t="str">
        <f aca="false">Raw_Data!D4357</f>
        <v>tertiary</v>
      </c>
      <c r="F4357" s="3" t="str">
        <f aca="false">Raw_Data!E4357</f>
        <v>no</v>
      </c>
      <c r="G4357" s="3" t="n">
        <f aca="false">Raw_Data!F4357</f>
        <v>-292</v>
      </c>
      <c r="H4357" s="3" t="str">
        <f aca="false">Raw_Data!G4357</f>
        <v>yes</v>
      </c>
      <c r="I4357" s="3" t="str">
        <f aca="false">Raw_Data!H4357</f>
        <v>no</v>
      </c>
      <c r="J4357" s="2" t="n">
        <f aca="false">IF(F4357="yes",1,0)</f>
        <v>0</v>
      </c>
      <c r="K4357" s="2" t="n">
        <f aca="false">IF(H4357="yes",1,0)</f>
        <v>1</v>
      </c>
      <c r="L4357" s="2" t="n">
        <f aca="false">IF(I4357="yes",1,0)</f>
        <v>0</v>
      </c>
      <c r="M4357" s="2" t="n">
        <f aca="false">IF(G4357&lt;0,1,0)</f>
        <v>1</v>
      </c>
      <c r="N4357" s="2" t="str">
        <f aca="false">_xlfn.IFS(B4357&lt;30,"Under 30",B4357&lt;40,"30-39",B4357&lt;50,"40-49",B4357&lt;60,"50-59",TRUE(),"60+")</f>
        <v>30-39</v>
      </c>
      <c r="O4357" s="2" t="str">
        <f aca="false">_xlfn.IFS(G4357&lt;0,"1 Negative",G4357=0,"2 Zero",G4357&lt;=500,"3 1-500",G4357&lt;=2000,"4 501-2000",TRUE(),"5 Above 2000")</f>
        <v>1 Negative</v>
      </c>
      <c r="P4357" s="2" t="n">
        <f aca="false">Lookups!$B$2*M4357+Lookups!$B$3*L4357</f>
        <v>2</v>
      </c>
      <c r="Q4357" s="2" t="str">
        <f aca="false">INDEX(Lookups!$E$2:$E$5,MATCH(P4357,Lookups!$D$2:$D$5,0))</f>
        <v>High</v>
      </c>
    </row>
    <row r="4358" customFormat="false" ht="15" hidden="false" customHeight="false" outlineLevel="0" collapsed="false">
      <c r="A4358" s="3" t="n">
        <v>4357</v>
      </c>
      <c r="B4358" s="3" t="n">
        <f aca="false">Raw_Data!A4358</f>
        <v>51</v>
      </c>
      <c r="C4358" s="3" t="str">
        <f aca="false">SUBSTITUTE(Raw_Data!B4358,".","")</f>
        <v>admin</v>
      </c>
      <c r="D4358" s="3" t="str">
        <f aca="false">Raw_Data!C4358</f>
        <v>married</v>
      </c>
      <c r="E4358" s="3" t="str">
        <f aca="false">Raw_Data!D4358</f>
        <v>secondary</v>
      </c>
      <c r="F4358" s="3" t="str">
        <f aca="false">Raw_Data!E4358</f>
        <v>no</v>
      </c>
      <c r="G4358" s="3" t="n">
        <f aca="false">Raw_Data!F4358</f>
        <v>1415</v>
      </c>
      <c r="H4358" s="3" t="str">
        <f aca="false">Raw_Data!G4358</f>
        <v>yes</v>
      </c>
      <c r="I4358" s="3" t="str">
        <f aca="false">Raw_Data!H4358</f>
        <v>no</v>
      </c>
      <c r="J4358" s="2" t="n">
        <f aca="false">IF(F4358="yes",1,0)</f>
        <v>0</v>
      </c>
      <c r="K4358" s="2" t="n">
        <f aca="false">IF(H4358="yes",1,0)</f>
        <v>1</v>
      </c>
      <c r="L4358" s="2" t="n">
        <f aca="false">IF(I4358="yes",1,0)</f>
        <v>0</v>
      </c>
      <c r="M4358" s="2" t="n">
        <f aca="false">IF(G4358&lt;0,1,0)</f>
        <v>0</v>
      </c>
      <c r="N4358" s="2" t="str">
        <f aca="false">_xlfn.IFS(B4358&lt;30,"Under 30",B4358&lt;40,"30-39",B4358&lt;50,"40-49",B4358&lt;60,"50-59",TRUE(),"60+")</f>
        <v>50-59</v>
      </c>
      <c r="O4358" s="2" t="str">
        <f aca="false">_xlfn.IFS(G4358&lt;0,"1 Negative",G4358=0,"2 Zero",G4358&lt;=500,"3 1-500",G4358&lt;=2000,"4 501-2000",TRUE(),"5 Above 2000")</f>
        <v>4 501-2000</v>
      </c>
      <c r="P4358" s="2" t="n">
        <f aca="false">Lookups!$B$2*M4358+Lookups!$B$3*L4358</f>
        <v>0</v>
      </c>
      <c r="Q4358" s="2" t="str">
        <f aca="false">INDEX(Lookups!$E$2:$E$5,MATCH(P4358,Lookups!$D$2:$D$5,0))</f>
        <v>Low</v>
      </c>
    </row>
    <row r="4359" customFormat="false" ht="15" hidden="false" customHeight="false" outlineLevel="0" collapsed="false">
      <c r="A4359" s="3" t="n">
        <v>4358</v>
      </c>
      <c r="B4359" s="3" t="n">
        <f aca="false">Raw_Data!A4359</f>
        <v>38</v>
      </c>
      <c r="C4359" s="3" t="str">
        <f aca="false">SUBSTITUTE(Raw_Data!B4359,".","")</f>
        <v>blue-collar</v>
      </c>
      <c r="D4359" s="3" t="str">
        <f aca="false">Raw_Data!C4359</f>
        <v>married</v>
      </c>
      <c r="E4359" s="3" t="str">
        <f aca="false">Raw_Data!D4359</f>
        <v>secondary</v>
      </c>
      <c r="F4359" s="3" t="str">
        <f aca="false">Raw_Data!E4359</f>
        <v>no</v>
      </c>
      <c r="G4359" s="3" t="n">
        <f aca="false">Raw_Data!F4359</f>
        <v>213</v>
      </c>
      <c r="H4359" s="3" t="str">
        <f aca="false">Raw_Data!G4359</f>
        <v>yes</v>
      </c>
      <c r="I4359" s="3" t="str">
        <f aca="false">Raw_Data!H4359</f>
        <v>no</v>
      </c>
      <c r="J4359" s="2" t="n">
        <f aca="false">IF(F4359="yes",1,0)</f>
        <v>0</v>
      </c>
      <c r="K4359" s="2" t="n">
        <f aca="false">IF(H4359="yes",1,0)</f>
        <v>1</v>
      </c>
      <c r="L4359" s="2" t="n">
        <f aca="false">IF(I4359="yes",1,0)</f>
        <v>0</v>
      </c>
      <c r="M4359" s="2" t="n">
        <f aca="false">IF(G4359&lt;0,1,0)</f>
        <v>0</v>
      </c>
      <c r="N4359" s="2" t="str">
        <f aca="false">_xlfn.IFS(B4359&lt;30,"Under 30",B4359&lt;40,"30-39",B4359&lt;50,"40-49",B4359&lt;60,"50-59",TRUE(),"60+")</f>
        <v>30-39</v>
      </c>
      <c r="O4359" s="2" t="str">
        <f aca="false">_xlfn.IFS(G4359&lt;0,"1 Negative",G4359=0,"2 Zero",G4359&lt;=500,"3 1-500",G4359&lt;=2000,"4 501-2000",TRUE(),"5 Above 2000")</f>
        <v>3 1-500</v>
      </c>
      <c r="P4359" s="2" t="n">
        <f aca="false">Lookups!$B$2*M4359+Lookups!$B$3*L4359</f>
        <v>0</v>
      </c>
      <c r="Q4359" s="2" t="str">
        <f aca="false">INDEX(Lookups!$E$2:$E$5,MATCH(P4359,Lookups!$D$2:$D$5,0))</f>
        <v>Low</v>
      </c>
    </row>
    <row r="4360" customFormat="false" ht="15" hidden="false" customHeight="false" outlineLevel="0" collapsed="false">
      <c r="A4360" s="3" t="n">
        <v>4359</v>
      </c>
      <c r="B4360" s="3" t="n">
        <f aca="false">Raw_Data!A4360</f>
        <v>47</v>
      </c>
      <c r="C4360" s="3" t="str">
        <f aca="false">SUBSTITUTE(Raw_Data!B4360,".","")</f>
        <v>admin</v>
      </c>
      <c r="D4360" s="3" t="str">
        <f aca="false">Raw_Data!C4360</f>
        <v>single</v>
      </c>
      <c r="E4360" s="3" t="str">
        <f aca="false">Raw_Data!D4360</f>
        <v>secondary</v>
      </c>
      <c r="F4360" s="3" t="str">
        <f aca="false">Raw_Data!E4360</f>
        <v>no</v>
      </c>
      <c r="G4360" s="3" t="n">
        <f aca="false">Raw_Data!F4360</f>
        <v>2540</v>
      </c>
      <c r="H4360" s="3" t="str">
        <f aca="false">Raw_Data!G4360</f>
        <v>no</v>
      </c>
      <c r="I4360" s="3" t="str">
        <f aca="false">Raw_Data!H4360</f>
        <v>no</v>
      </c>
      <c r="J4360" s="2" t="n">
        <f aca="false">IF(F4360="yes",1,0)</f>
        <v>0</v>
      </c>
      <c r="K4360" s="2" t="n">
        <f aca="false">IF(H4360="yes",1,0)</f>
        <v>0</v>
      </c>
      <c r="L4360" s="2" t="n">
        <f aca="false">IF(I4360="yes",1,0)</f>
        <v>0</v>
      </c>
      <c r="M4360" s="2" t="n">
        <f aca="false">IF(G4360&lt;0,1,0)</f>
        <v>0</v>
      </c>
      <c r="N4360" s="2" t="str">
        <f aca="false">_xlfn.IFS(B4360&lt;30,"Under 30",B4360&lt;40,"30-39",B4360&lt;50,"40-49",B4360&lt;60,"50-59",TRUE(),"60+")</f>
        <v>40-49</v>
      </c>
      <c r="O4360" s="2" t="str">
        <f aca="false">_xlfn.IFS(G4360&lt;0,"1 Negative",G4360=0,"2 Zero",G4360&lt;=500,"3 1-500",G4360&lt;=2000,"4 501-2000",TRUE(),"5 Above 2000")</f>
        <v>5 Above 2000</v>
      </c>
      <c r="P4360" s="2" t="n">
        <f aca="false">Lookups!$B$2*M4360+Lookups!$B$3*L4360</f>
        <v>0</v>
      </c>
      <c r="Q4360" s="2" t="str">
        <f aca="false">INDEX(Lookups!$E$2:$E$5,MATCH(P4360,Lookups!$D$2:$D$5,0))</f>
        <v>Low</v>
      </c>
    </row>
    <row r="4361" customFormat="false" ht="15" hidden="false" customHeight="false" outlineLevel="0" collapsed="false">
      <c r="A4361" s="3" t="n">
        <v>4360</v>
      </c>
      <c r="B4361" s="3" t="n">
        <f aca="false">Raw_Data!A4361</f>
        <v>46</v>
      </c>
      <c r="C4361" s="3" t="str">
        <f aca="false">SUBSTITUTE(Raw_Data!B4361,".","")</f>
        <v>housemaid</v>
      </c>
      <c r="D4361" s="3" t="str">
        <f aca="false">Raw_Data!C4361</f>
        <v>single</v>
      </c>
      <c r="E4361" s="3" t="str">
        <f aca="false">Raw_Data!D4361</f>
        <v>tertiary</v>
      </c>
      <c r="F4361" s="3" t="str">
        <f aca="false">Raw_Data!E4361</f>
        <v>no</v>
      </c>
      <c r="G4361" s="3" t="n">
        <f aca="false">Raw_Data!F4361</f>
        <v>3232</v>
      </c>
      <c r="H4361" s="3" t="str">
        <f aca="false">Raw_Data!G4361</f>
        <v>no</v>
      </c>
      <c r="I4361" s="3" t="str">
        <f aca="false">Raw_Data!H4361</f>
        <v>no</v>
      </c>
      <c r="J4361" s="2" t="n">
        <f aca="false">IF(F4361="yes",1,0)</f>
        <v>0</v>
      </c>
      <c r="K4361" s="2" t="n">
        <f aca="false">IF(H4361="yes",1,0)</f>
        <v>0</v>
      </c>
      <c r="L4361" s="2" t="n">
        <f aca="false">IF(I4361="yes",1,0)</f>
        <v>0</v>
      </c>
      <c r="M4361" s="2" t="n">
        <f aca="false">IF(G4361&lt;0,1,0)</f>
        <v>0</v>
      </c>
      <c r="N4361" s="2" t="str">
        <f aca="false">_xlfn.IFS(B4361&lt;30,"Under 30",B4361&lt;40,"30-39",B4361&lt;50,"40-49",B4361&lt;60,"50-59",TRUE(),"60+")</f>
        <v>40-49</v>
      </c>
      <c r="O4361" s="2" t="str">
        <f aca="false">_xlfn.IFS(G4361&lt;0,"1 Negative",G4361=0,"2 Zero",G4361&lt;=500,"3 1-500",G4361&lt;=2000,"4 501-2000",TRUE(),"5 Above 2000")</f>
        <v>5 Above 2000</v>
      </c>
      <c r="P4361" s="2" t="n">
        <f aca="false">Lookups!$B$2*M4361+Lookups!$B$3*L4361</f>
        <v>0</v>
      </c>
      <c r="Q4361" s="2" t="str">
        <f aca="false">INDEX(Lookups!$E$2:$E$5,MATCH(P4361,Lookups!$D$2:$D$5,0))</f>
        <v>Low</v>
      </c>
    </row>
    <row r="4362" customFormat="false" ht="15" hidden="false" customHeight="false" outlineLevel="0" collapsed="false">
      <c r="A4362" s="3" t="n">
        <v>4361</v>
      </c>
      <c r="B4362" s="3" t="n">
        <f aca="false">Raw_Data!A4362</f>
        <v>33</v>
      </c>
      <c r="C4362" s="3" t="str">
        <f aca="false">SUBSTITUTE(Raw_Data!B4362,".","")</f>
        <v>management</v>
      </c>
      <c r="D4362" s="3" t="str">
        <f aca="false">Raw_Data!C4362</f>
        <v>married</v>
      </c>
      <c r="E4362" s="3" t="str">
        <f aca="false">Raw_Data!D4362</f>
        <v>tertiary</v>
      </c>
      <c r="F4362" s="3" t="str">
        <f aca="false">Raw_Data!E4362</f>
        <v>no</v>
      </c>
      <c r="G4362" s="3" t="n">
        <f aca="false">Raw_Data!F4362</f>
        <v>296</v>
      </c>
      <c r="H4362" s="3" t="str">
        <f aca="false">Raw_Data!G4362</f>
        <v>no</v>
      </c>
      <c r="I4362" s="3" t="str">
        <f aca="false">Raw_Data!H4362</f>
        <v>no</v>
      </c>
      <c r="J4362" s="2" t="n">
        <f aca="false">IF(F4362="yes",1,0)</f>
        <v>0</v>
      </c>
      <c r="K4362" s="2" t="n">
        <f aca="false">IF(H4362="yes",1,0)</f>
        <v>0</v>
      </c>
      <c r="L4362" s="2" t="n">
        <f aca="false">IF(I4362="yes",1,0)</f>
        <v>0</v>
      </c>
      <c r="M4362" s="2" t="n">
        <f aca="false">IF(G4362&lt;0,1,0)</f>
        <v>0</v>
      </c>
      <c r="N4362" s="2" t="str">
        <f aca="false">_xlfn.IFS(B4362&lt;30,"Under 30",B4362&lt;40,"30-39",B4362&lt;50,"40-49",B4362&lt;60,"50-59",TRUE(),"60+")</f>
        <v>30-39</v>
      </c>
      <c r="O4362" s="2" t="str">
        <f aca="false">_xlfn.IFS(G4362&lt;0,"1 Negative",G4362=0,"2 Zero",G4362&lt;=500,"3 1-500",G4362&lt;=2000,"4 501-2000",TRUE(),"5 Above 2000")</f>
        <v>3 1-500</v>
      </c>
      <c r="P4362" s="2" t="n">
        <f aca="false">Lookups!$B$2*M4362+Lookups!$B$3*L4362</f>
        <v>0</v>
      </c>
      <c r="Q4362" s="2" t="str">
        <f aca="false">INDEX(Lookups!$E$2:$E$5,MATCH(P4362,Lookups!$D$2:$D$5,0))</f>
        <v>Low</v>
      </c>
    </row>
    <row r="4363" customFormat="false" ht="15" hidden="false" customHeight="false" outlineLevel="0" collapsed="false">
      <c r="A4363" s="3" t="n">
        <v>4362</v>
      </c>
      <c r="B4363" s="3" t="n">
        <f aca="false">Raw_Data!A4363</f>
        <v>30</v>
      </c>
      <c r="C4363" s="3" t="str">
        <f aca="false">SUBSTITUTE(Raw_Data!B4363,".","")</f>
        <v>management</v>
      </c>
      <c r="D4363" s="3" t="str">
        <f aca="false">Raw_Data!C4363</f>
        <v>married</v>
      </c>
      <c r="E4363" s="3" t="str">
        <f aca="false">Raw_Data!D4363</f>
        <v>tertiary</v>
      </c>
      <c r="F4363" s="3" t="str">
        <f aca="false">Raw_Data!E4363</f>
        <v>no</v>
      </c>
      <c r="G4363" s="3" t="n">
        <f aca="false">Raw_Data!F4363</f>
        <v>42</v>
      </c>
      <c r="H4363" s="3" t="str">
        <f aca="false">Raw_Data!G4363</f>
        <v>no</v>
      </c>
      <c r="I4363" s="3" t="str">
        <f aca="false">Raw_Data!H4363</f>
        <v>no</v>
      </c>
      <c r="J4363" s="2" t="n">
        <f aca="false">IF(F4363="yes",1,0)</f>
        <v>0</v>
      </c>
      <c r="K4363" s="2" t="n">
        <f aca="false">IF(H4363="yes",1,0)</f>
        <v>0</v>
      </c>
      <c r="L4363" s="2" t="n">
        <f aca="false">IF(I4363="yes",1,0)</f>
        <v>0</v>
      </c>
      <c r="M4363" s="2" t="n">
        <f aca="false">IF(G4363&lt;0,1,0)</f>
        <v>0</v>
      </c>
      <c r="N4363" s="2" t="str">
        <f aca="false">_xlfn.IFS(B4363&lt;30,"Under 30",B4363&lt;40,"30-39",B4363&lt;50,"40-49",B4363&lt;60,"50-59",TRUE(),"60+")</f>
        <v>30-39</v>
      </c>
      <c r="O4363" s="2" t="str">
        <f aca="false">_xlfn.IFS(G4363&lt;0,"1 Negative",G4363=0,"2 Zero",G4363&lt;=500,"3 1-500",G4363&lt;=2000,"4 501-2000",TRUE(),"5 Above 2000")</f>
        <v>3 1-500</v>
      </c>
      <c r="P4363" s="2" t="n">
        <f aca="false">Lookups!$B$2*M4363+Lookups!$B$3*L4363</f>
        <v>0</v>
      </c>
      <c r="Q4363" s="2" t="str">
        <f aca="false">INDEX(Lookups!$E$2:$E$5,MATCH(P4363,Lookups!$D$2:$D$5,0))</f>
        <v>Low</v>
      </c>
    </row>
    <row r="4364" customFormat="false" ht="15" hidden="false" customHeight="false" outlineLevel="0" collapsed="false">
      <c r="A4364" s="3" t="n">
        <v>4363</v>
      </c>
      <c r="B4364" s="3" t="n">
        <f aca="false">Raw_Data!A4364</f>
        <v>40</v>
      </c>
      <c r="C4364" s="3" t="str">
        <f aca="false">SUBSTITUTE(Raw_Data!B4364,".","")</f>
        <v>technician</v>
      </c>
      <c r="D4364" s="3" t="str">
        <f aca="false">Raw_Data!C4364</f>
        <v>married</v>
      </c>
      <c r="E4364" s="3" t="str">
        <f aca="false">Raw_Data!D4364</f>
        <v>secondary</v>
      </c>
      <c r="F4364" s="3" t="str">
        <f aca="false">Raw_Data!E4364</f>
        <v>no</v>
      </c>
      <c r="G4364" s="3" t="n">
        <f aca="false">Raw_Data!F4364</f>
        <v>697</v>
      </c>
      <c r="H4364" s="3" t="str">
        <f aca="false">Raw_Data!G4364</f>
        <v>no</v>
      </c>
      <c r="I4364" s="3" t="str">
        <f aca="false">Raw_Data!H4364</f>
        <v>no</v>
      </c>
      <c r="J4364" s="2" t="n">
        <f aca="false">IF(F4364="yes",1,0)</f>
        <v>0</v>
      </c>
      <c r="K4364" s="2" t="n">
        <f aca="false">IF(H4364="yes",1,0)</f>
        <v>0</v>
      </c>
      <c r="L4364" s="2" t="n">
        <f aca="false">IF(I4364="yes",1,0)</f>
        <v>0</v>
      </c>
      <c r="M4364" s="2" t="n">
        <f aca="false">IF(G4364&lt;0,1,0)</f>
        <v>0</v>
      </c>
      <c r="N4364" s="2" t="str">
        <f aca="false">_xlfn.IFS(B4364&lt;30,"Under 30",B4364&lt;40,"30-39",B4364&lt;50,"40-49",B4364&lt;60,"50-59",TRUE(),"60+")</f>
        <v>40-49</v>
      </c>
      <c r="O4364" s="2" t="str">
        <f aca="false">_xlfn.IFS(G4364&lt;0,"1 Negative",G4364=0,"2 Zero",G4364&lt;=500,"3 1-500",G4364&lt;=2000,"4 501-2000",TRUE(),"5 Above 2000")</f>
        <v>4 501-2000</v>
      </c>
      <c r="P4364" s="2" t="n">
        <f aca="false">Lookups!$B$2*M4364+Lookups!$B$3*L4364</f>
        <v>0</v>
      </c>
      <c r="Q4364" s="2" t="str">
        <f aca="false">INDEX(Lookups!$E$2:$E$5,MATCH(P4364,Lookups!$D$2:$D$5,0))</f>
        <v>Low</v>
      </c>
    </row>
    <row r="4365" customFormat="false" ht="15" hidden="false" customHeight="false" outlineLevel="0" collapsed="false">
      <c r="A4365" s="3" t="n">
        <v>4364</v>
      </c>
      <c r="B4365" s="3" t="n">
        <f aca="false">Raw_Data!A4365</f>
        <v>38</v>
      </c>
      <c r="C4365" s="3" t="str">
        <f aca="false">SUBSTITUTE(Raw_Data!B4365,".","")</f>
        <v>blue-collar</v>
      </c>
      <c r="D4365" s="3" t="str">
        <f aca="false">Raw_Data!C4365</f>
        <v>single</v>
      </c>
      <c r="E4365" s="3" t="str">
        <f aca="false">Raw_Data!D4365</f>
        <v>secondary</v>
      </c>
      <c r="F4365" s="3" t="str">
        <f aca="false">Raw_Data!E4365</f>
        <v>no</v>
      </c>
      <c r="G4365" s="3" t="n">
        <f aca="false">Raw_Data!F4365</f>
        <v>13156</v>
      </c>
      <c r="H4365" s="3" t="str">
        <f aca="false">Raw_Data!G4365</f>
        <v>yes</v>
      </c>
      <c r="I4365" s="3" t="str">
        <f aca="false">Raw_Data!H4365</f>
        <v>no</v>
      </c>
      <c r="J4365" s="2" t="n">
        <f aca="false">IF(F4365="yes",1,0)</f>
        <v>0</v>
      </c>
      <c r="K4365" s="2" t="n">
        <f aca="false">IF(H4365="yes",1,0)</f>
        <v>1</v>
      </c>
      <c r="L4365" s="2" t="n">
        <f aca="false">IF(I4365="yes",1,0)</f>
        <v>0</v>
      </c>
      <c r="M4365" s="2" t="n">
        <f aca="false">IF(G4365&lt;0,1,0)</f>
        <v>0</v>
      </c>
      <c r="N4365" s="2" t="str">
        <f aca="false">_xlfn.IFS(B4365&lt;30,"Under 30",B4365&lt;40,"30-39",B4365&lt;50,"40-49",B4365&lt;60,"50-59",TRUE(),"60+")</f>
        <v>30-39</v>
      </c>
      <c r="O4365" s="2" t="str">
        <f aca="false">_xlfn.IFS(G4365&lt;0,"1 Negative",G4365=0,"2 Zero",G4365&lt;=500,"3 1-500",G4365&lt;=2000,"4 501-2000",TRUE(),"5 Above 2000")</f>
        <v>5 Above 2000</v>
      </c>
      <c r="P4365" s="2" t="n">
        <f aca="false">Lookups!$B$2*M4365+Lookups!$B$3*L4365</f>
        <v>0</v>
      </c>
      <c r="Q4365" s="2" t="str">
        <f aca="false">INDEX(Lookups!$E$2:$E$5,MATCH(P4365,Lookups!$D$2:$D$5,0))</f>
        <v>Low</v>
      </c>
    </row>
    <row r="4366" customFormat="false" ht="15" hidden="false" customHeight="false" outlineLevel="0" collapsed="false">
      <c r="A4366" s="3" t="n">
        <v>4365</v>
      </c>
      <c r="B4366" s="3" t="n">
        <f aca="false">Raw_Data!A4366</f>
        <v>63</v>
      </c>
      <c r="C4366" s="3" t="str">
        <f aca="false">SUBSTITUTE(Raw_Data!B4366,".","")</f>
        <v>retired</v>
      </c>
      <c r="D4366" s="3" t="str">
        <f aca="false">Raw_Data!C4366</f>
        <v>divorced</v>
      </c>
      <c r="E4366" s="3" t="str">
        <f aca="false">Raw_Data!D4366</f>
        <v>secondary</v>
      </c>
      <c r="F4366" s="3" t="str">
        <f aca="false">Raw_Data!E4366</f>
        <v>no</v>
      </c>
      <c r="G4366" s="3" t="n">
        <f aca="false">Raw_Data!F4366</f>
        <v>1490</v>
      </c>
      <c r="H4366" s="3" t="str">
        <f aca="false">Raw_Data!G4366</f>
        <v>no</v>
      </c>
      <c r="I4366" s="3" t="str">
        <f aca="false">Raw_Data!H4366</f>
        <v>no</v>
      </c>
      <c r="J4366" s="2" t="n">
        <f aca="false">IF(F4366="yes",1,0)</f>
        <v>0</v>
      </c>
      <c r="K4366" s="2" t="n">
        <f aca="false">IF(H4366="yes",1,0)</f>
        <v>0</v>
      </c>
      <c r="L4366" s="2" t="n">
        <f aca="false">IF(I4366="yes",1,0)</f>
        <v>0</v>
      </c>
      <c r="M4366" s="2" t="n">
        <f aca="false">IF(G4366&lt;0,1,0)</f>
        <v>0</v>
      </c>
      <c r="N4366" s="2" t="str">
        <f aca="false">_xlfn.IFS(B4366&lt;30,"Under 30",B4366&lt;40,"30-39",B4366&lt;50,"40-49",B4366&lt;60,"50-59",TRUE(),"60+")</f>
        <v>60+</v>
      </c>
      <c r="O4366" s="2" t="str">
        <f aca="false">_xlfn.IFS(G4366&lt;0,"1 Negative",G4366=0,"2 Zero",G4366&lt;=500,"3 1-500",G4366&lt;=2000,"4 501-2000",TRUE(),"5 Above 2000")</f>
        <v>4 501-2000</v>
      </c>
      <c r="P4366" s="2" t="n">
        <f aca="false">Lookups!$B$2*M4366+Lookups!$B$3*L4366</f>
        <v>0</v>
      </c>
      <c r="Q4366" s="2" t="str">
        <f aca="false">INDEX(Lookups!$E$2:$E$5,MATCH(P4366,Lookups!$D$2:$D$5,0))</f>
        <v>Low</v>
      </c>
    </row>
    <row r="4367" customFormat="false" ht="15" hidden="false" customHeight="false" outlineLevel="0" collapsed="false">
      <c r="A4367" s="3" t="n">
        <v>4366</v>
      </c>
      <c r="B4367" s="3" t="n">
        <f aca="false">Raw_Data!A4367</f>
        <v>33</v>
      </c>
      <c r="C4367" s="3" t="str">
        <f aca="false">SUBSTITUTE(Raw_Data!B4367,".","")</f>
        <v>management</v>
      </c>
      <c r="D4367" s="3" t="str">
        <f aca="false">Raw_Data!C4367</f>
        <v>married</v>
      </c>
      <c r="E4367" s="3" t="str">
        <f aca="false">Raw_Data!D4367</f>
        <v>tertiary</v>
      </c>
      <c r="F4367" s="3" t="str">
        <f aca="false">Raw_Data!E4367</f>
        <v>no</v>
      </c>
      <c r="G4367" s="3" t="n">
        <f aca="false">Raw_Data!F4367</f>
        <v>150</v>
      </c>
      <c r="H4367" s="3" t="str">
        <f aca="false">Raw_Data!G4367</f>
        <v>no</v>
      </c>
      <c r="I4367" s="3" t="str">
        <f aca="false">Raw_Data!H4367</f>
        <v>no</v>
      </c>
      <c r="J4367" s="2" t="n">
        <f aca="false">IF(F4367="yes",1,0)</f>
        <v>0</v>
      </c>
      <c r="K4367" s="2" t="n">
        <f aca="false">IF(H4367="yes",1,0)</f>
        <v>0</v>
      </c>
      <c r="L4367" s="2" t="n">
        <f aca="false">IF(I4367="yes",1,0)</f>
        <v>0</v>
      </c>
      <c r="M4367" s="2" t="n">
        <f aca="false">IF(G4367&lt;0,1,0)</f>
        <v>0</v>
      </c>
      <c r="N4367" s="2" t="str">
        <f aca="false">_xlfn.IFS(B4367&lt;30,"Under 30",B4367&lt;40,"30-39",B4367&lt;50,"40-49",B4367&lt;60,"50-59",TRUE(),"60+")</f>
        <v>30-39</v>
      </c>
      <c r="O4367" s="2" t="str">
        <f aca="false">_xlfn.IFS(G4367&lt;0,"1 Negative",G4367=0,"2 Zero",G4367&lt;=500,"3 1-500",G4367&lt;=2000,"4 501-2000",TRUE(),"5 Above 2000")</f>
        <v>3 1-500</v>
      </c>
      <c r="P4367" s="2" t="n">
        <f aca="false">Lookups!$B$2*M4367+Lookups!$B$3*L4367</f>
        <v>0</v>
      </c>
      <c r="Q4367" s="2" t="str">
        <f aca="false">INDEX(Lookups!$E$2:$E$5,MATCH(P4367,Lookups!$D$2:$D$5,0))</f>
        <v>Low</v>
      </c>
    </row>
    <row r="4368" customFormat="false" ht="15" hidden="false" customHeight="false" outlineLevel="0" collapsed="false">
      <c r="A4368" s="3" t="n">
        <v>4367</v>
      </c>
      <c r="B4368" s="3" t="n">
        <f aca="false">Raw_Data!A4368</f>
        <v>59</v>
      </c>
      <c r="C4368" s="3" t="str">
        <f aca="false">SUBSTITUTE(Raw_Data!B4368,".","")</f>
        <v>retired</v>
      </c>
      <c r="D4368" s="3" t="str">
        <f aca="false">Raw_Data!C4368</f>
        <v>married</v>
      </c>
      <c r="E4368" s="3" t="str">
        <f aca="false">Raw_Data!D4368</f>
        <v>secondary</v>
      </c>
      <c r="F4368" s="3" t="str">
        <f aca="false">Raw_Data!E4368</f>
        <v>no</v>
      </c>
      <c r="G4368" s="3" t="n">
        <f aca="false">Raw_Data!F4368</f>
        <v>0</v>
      </c>
      <c r="H4368" s="3" t="str">
        <f aca="false">Raw_Data!G4368</f>
        <v>no</v>
      </c>
      <c r="I4368" s="3" t="str">
        <f aca="false">Raw_Data!H4368</f>
        <v>no</v>
      </c>
      <c r="J4368" s="2" t="n">
        <f aca="false">IF(F4368="yes",1,0)</f>
        <v>0</v>
      </c>
      <c r="K4368" s="2" t="n">
        <f aca="false">IF(H4368="yes",1,0)</f>
        <v>0</v>
      </c>
      <c r="L4368" s="2" t="n">
        <f aca="false">IF(I4368="yes",1,0)</f>
        <v>0</v>
      </c>
      <c r="M4368" s="2" t="n">
        <f aca="false">IF(G4368&lt;0,1,0)</f>
        <v>0</v>
      </c>
      <c r="N4368" s="2" t="str">
        <f aca="false">_xlfn.IFS(B4368&lt;30,"Under 30",B4368&lt;40,"30-39",B4368&lt;50,"40-49",B4368&lt;60,"50-59",TRUE(),"60+")</f>
        <v>50-59</v>
      </c>
      <c r="O4368" s="2" t="str">
        <f aca="false">_xlfn.IFS(G4368&lt;0,"1 Negative",G4368=0,"2 Zero",G4368&lt;=500,"3 1-500",G4368&lt;=2000,"4 501-2000",TRUE(),"5 Above 2000")</f>
        <v>2 Zero</v>
      </c>
      <c r="P4368" s="2" t="n">
        <f aca="false">Lookups!$B$2*M4368+Lookups!$B$3*L4368</f>
        <v>0</v>
      </c>
      <c r="Q4368" s="2" t="str">
        <f aca="false">INDEX(Lookups!$E$2:$E$5,MATCH(P4368,Lookups!$D$2:$D$5,0))</f>
        <v>Low</v>
      </c>
    </row>
    <row r="4369" customFormat="false" ht="15" hidden="false" customHeight="false" outlineLevel="0" collapsed="false">
      <c r="A4369" s="3" t="n">
        <v>4368</v>
      </c>
      <c r="B4369" s="3" t="n">
        <f aca="false">Raw_Data!A4369</f>
        <v>29</v>
      </c>
      <c r="C4369" s="3" t="str">
        <f aca="false">SUBSTITUTE(Raw_Data!B4369,".","")</f>
        <v>management</v>
      </c>
      <c r="D4369" s="3" t="str">
        <f aca="false">Raw_Data!C4369</f>
        <v>single</v>
      </c>
      <c r="E4369" s="3" t="str">
        <f aca="false">Raw_Data!D4369</f>
        <v>tertiary</v>
      </c>
      <c r="F4369" s="3" t="str">
        <f aca="false">Raw_Data!E4369</f>
        <v>no</v>
      </c>
      <c r="G4369" s="3" t="n">
        <f aca="false">Raw_Data!F4369</f>
        <v>4210</v>
      </c>
      <c r="H4369" s="3" t="str">
        <f aca="false">Raw_Data!G4369</f>
        <v>yes</v>
      </c>
      <c r="I4369" s="3" t="str">
        <f aca="false">Raw_Data!H4369</f>
        <v>no</v>
      </c>
      <c r="J4369" s="2" t="n">
        <f aca="false">IF(F4369="yes",1,0)</f>
        <v>0</v>
      </c>
      <c r="K4369" s="2" t="n">
        <f aca="false">IF(H4369="yes",1,0)</f>
        <v>1</v>
      </c>
      <c r="L4369" s="2" t="n">
        <f aca="false">IF(I4369="yes",1,0)</f>
        <v>0</v>
      </c>
      <c r="M4369" s="2" t="n">
        <f aca="false">IF(G4369&lt;0,1,0)</f>
        <v>0</v>
      </c>
      <c r="N4369" s="2" t="str">
        <f aca="false">_xlfn.IFS(B4369&lt;30,"Under 30",B4369&lt;40,"30-39",B4369&lt;50,"40-49",B4369&lt;60,"50-59",TRUE(),"60+")</f>
        <v>Under 30</v>
      </c>
      <c r="O4369" s="2" t="str">
        <f aca="false">_xlfn.IFS(G4369&lt;0,"1 Negative",G4369=0,"2 Zero",G4369&lt;=500,"3 1-500",G4369&lt;=2000,"4 501-2000",TRUE(),"5 Above 2000")</f>
        <v>5 Above 2000</v>
      </c>
      <c r="P4369" s="2" t="n">
        <f aca="false">Lookups!$B$2*M4369+Lookups!$B$3*L4369</f>
        <v>0</v>
      </c>
      <c r="Q4369" s="2" t="str">
        <f aca="false">INDEX(Lookups!$E$2:$E$5,MATCH(P4369,Lookups!$D$2:$D$5,0))</f>
        <v>Low</v>
      </c>
    </row>
    <row r="4370" customFormat="false" ht="15" hidden="false" customHeight="false" outlineLevel="0" collapsed="false">
      <c r="A4370" s="3" t="n">
        <v>4369</v>
      </c>
      <c r="B4370" s="3" t="n">
        <f aca="false">Raw_Data!A4370</f>
        <v>54</v>
      </c>
      <c r="C4370" s="3" t="str">
        <f aca="false">SUBSTITUTE(Raw_Data!B4370,".","")</f>
        <v>services</v>
      </c>
      <c r="D4370" s="3" t="str">
        <f aca="false">Raw_Data!C4370</f>
        <v>divorced</v>
      </c>
      <c r="E4370" s="3" t="str">
        <f aca="false">Raw_Data!D4370</f>
        <v>secondary</v>
      </c>
      <c r="F4370" s="3" t="str">
        <f aca="false">Raw_Data!E4370</f>
        <v>no</v>
      </c>
      <c r="G4370" s="3" t="n">
        <f aca="false">Raw_Data!F4370</f>
        <v>1012</v>
      </c>
      <c r="H4370" s="3" t="str">
        <f aca="false">Raw_Data!G4370</f>
        <v>yes</v>
      </c>
      <c r="I4370" s="3" t="str">
        <f aca="false">Raw_Data!H4370</f>
        <v>no</v>
      </c>
      <c r="J4370" s="2" t="n">
        <f aca="false">IF(F4370="yes",1,0)</f>
        <v>0</v>
      </c>
      <c r="K4370" s="2" t="n">
        <f aca="false">IF(H4370="yes",1,0)</f>
        <v>1</v>
      </c>
      <c r="L4370" s="2" t="n">
        <f aca="false">IF(I4370="yes",1,0)</f>
        <v>0</v>
      </c>
      <c r="M4370" s="2" t="n">
        <f aca="false">IF(G4370&lt;0,1,0)</f>
        <v>0</v>
      </c>
      <c r="N4370" s="2" t="str">
        <f aca="false">_xlfn.IFS(B4370&lt;30,"Under 30",B4370&lt;40,"30-39",B4370&lt;50,"40-49",B4370&lt;60,"50-59",TRUE(),"60+")</f>
        <v>50-59</v>
      </c>
      <c r="O4370" s="2" t="str">
        <f aca="false">_xlfn.IFS(G4370&lt;0,"1 Negative",G4370=0,"2 Zero",G4370&lt;=500,"3 1-500",G4370&lt;=2000,"4 501-2000",TRUE(),"5 Above 2000")</f>
        <v>4 501-2000</v>
      </c>
      <c r="P4370" s="2" t="n">
        <f aca="false">Lookups!$B$2*M4370+Lookups!$B$3*L4370</f>
        <v>0</v>
      </c>
      <c r="Q4370" s="2" t="str">
        <f aca="false">INDEX(Lookups!$E$2:$E$5,MATCH(P4370,Lookups!$D$2:$D$5,0))</f>
        <v>Low</v>
      </c>
    </row>
    <row r="4371" customFormat="false" ht="15" hidden="false" customHeight="false" outlineLevel="0" collapsed="false">
      <c r="A4371" s="3" t="n">
        <v>4370</v>
      </c>
      <c r="B4371" s="3" t="n">
        <f aca="false">Raw_Data!A4371</f>
        <v>57</v>
      </c>
      <c r="C4371" s="3" t="str">
        <f aca="false">SUBSTITUTE(Raw_Data!B4371,".","")</f>
        <v>technician</v>
      </c>
      <c r="D4371" s="3" t="str">
        <f aca="false">Raw_Data!C4371</f>
        <v>married</v>
      </c>
      <c r="E4371" s="3" t="str">
        <f aca="false">Raw_Data!D4371</f>
        <v>secondary</v>
      </c>
      <c r="F4371" s="3" t="str">
        <f aca="false">Raw_Data!E4371</f>
        <v>no</v>
      </c>
      <c r="G4371" s="3" t="n">
        <f aca="false">Raw_Data!F4371</f>
        <v>16063</v>
      </c>
      <c r="H4371" s="3" t="str">
        <f aca="false">Raw_Data!G4371</f>
        <v>yes</v>
      </c>
      <c r="I4371" s="3" t="str">
        <f aca="false">Raw_Data!H4371</f>
        <v>no</v>
      </c>
      <c r="J4371" s="2" t="n">
        <f aca="false">IF(F4371="yes",1,0)</f>
        <v>0</v>
      </c>
      <c r="K4371" s="2" t="n">
        <f aca="false">IF(H4371="yes",1,0)</f>
        <v>1</v>
      </c>
      <c r="L4371" s="2" t="n">
        <f aca="false">IF(I4371="yes",1,0)</f>
        <v>0</v>
      </c>
      <c r="M4371" s="2" t="n">
        <f aca="false">IF(G4371&lt;0,1,0)</f>
        <v>0</v>
      </c>
      <c r="N4371" s="2" t="str">
        <f aca="false">_xlfn.IFS(B4371&lt;30,"Under 30",B4371&lt;40,"30-39",B4371&lt;50,"40-49",B4371&lt;60,"50-59",TRUE(),"60+")</f>
        <v>50-59</v>
      </c>
      <c r="O4371" s="2" t="str">
        <f aca="false">_xlfn.IFS(G4371&lt;0,"1 Negative",G4371=0,"2 Zero",G4371&lt;=500,"3 1-500",G4371&lt;=2000,"4 501-2000",TRUE(),"5 Above 2000")</f>
        <v>5 Above 2000</v>
      </c>
      <c r="P4371" s="2" t="n">
        <f aca="false">Lookups!$B$2*M4371+Lookups!$B$3*L4371</f>
        <v>0</v>
      </c>
      <c r="Q4371" s="2" t="str">
        <f aca="false">INDEX(Lookups!$E$2:$E$5,MATCH(P4371,Lookups!$D$2:$D$5,0))</f>
        <v>Low</v>
      </c>
    </row>
    <row r="4372" customFormat="false" ht="15" hidden="false" customHeight="false" outlineLevel="0" collapsed="false">
      <c r="A4372" s="3" t="n">
        <v>4371</v>
      </c>
      <c r="B4372" s="3" t="n">
        <f aca="false">Raw_Data!A4372</f>
        <v>57</v>
      </c>
      <c r="C4372" s="3" t="str">
        <f aca="false">SUBSTITUTE(Raw_Data!B4372,".","")</f>
        <v>blue-collar</v>
      </c>
      <c r="D4372" s="3" t="str">
        <f aca="false">Raw_Data!C4372</f>
        <v>married</v>
      </c>
      <c r="E4372" s="3" t="str">
        <f aca="false">Raw_Data!D4372</f>
        <v>primary</v>
      </c>
      <c r="F4372" s="3" t="str">
        <f aca="false">Raw_Data!E4372</f>
        <v>no</v>
      </c>
      <c r="G4372" s="3" t="n">
        <f aca="false">Raw_Data!F4372</f>
        <v>5431</v>
      </c>
      <c r="H4372" s="3" t="str">
        <f aca="false">Raw_Data!G4372</f>
        <v>yes</v>
      </c>
      <c r="I4372" s="3" t="str">
        <f aca="false">Raw_Data!H4372</f>
        <v>yes</v>
      </c>
      <c r="J4372" s="2" t="n">
        <f aca="false">IF(F4372="yes",1,0)</f>
        <v>0</v>
      </c>
      <c r="K4372" s="2" t="n">
        <f aca="false">IF(H4372="yes",1,0)</f>
        <v>1</v>
      </c>
      <c r="L4372" s="2" t="n">
        <f aca="false">IF(I4372="yes",1,0)</f>
        <v>1</v>
      </c>
      <c r="M4372" s="2" t="n">
        <f aca="false">IF(G4372&lt;0,1,0)</f>
        <v>0</v>
      </c>
      <c r="N4372" s="2" t="str">
        <f aca="false">_xlfn.IFS(B4372&lt;30,"Under 30",B4372&lt;40,"30-39",B4372&lt;50,"40-49",B4372&lt;60,"50-59",TRUE(),"60+")</f>
        <v>50-59</v>
      </c>
      <c r="O4372" s="2" t="str">
        <f aca="false">_xlfn.IFS(G4372&lt;0,"1 Negative",G4372=0,"2 Zero",G4372&lt;=500,"3 1-500",G4372&lt;=2000,"4 501-2000",TRUE(),"5 Above 2000")</f>
        <v>5 Above 2000</v>
      </c>
      <c r="P4372" s="2" t="n">
        <f aca="false">Lookups!$B$2*M4372+Lookups!$B$3*L4372</f>
        <v>1</v>
      </c>
      <c r="Q4372" s="2" t="str">
        <f aca="false">INDEX(Lookups!$E$2:$E$5,MATCH(P4372,Lookups!$D$2:$D$5,0))</f>
        <v>Medium</v>
      </c>
    </row>
    <row r="4373" customFormat="false" ht="15" hidden="false" customHeight="false" outlineLevel="0" collapsed="false">
      <c r="A4373" s="3" t="n">
        <v>4372</v>
      </c>
      <c r="B4373" s="3" t="n">
        <f aca="false">Raw_Data!A4373</f>
        <v>28</v>
      </c>
      <c r="C4373" s="3" t="str">
        <f aca="false">SUBSTITUTE(Raw_Data!B4373,".","")</f>
        <v>services</v>
      </c>
      <c r="D4373" s="3" t="str">
        <f aca="false">Raw_Data!C4373</f>
        <v>single</v>
      </c>
      <c r="E4373" s="3" t="str">
        <f aca="false">Raw_Data!D4373</f>
        <v>secondary</v>
      </c>
      <c r="F4373" s="3" t="str">
        <f aca="false">Raw_Data!E4373</f>
        <v>no</v>
      </c>
      <c r="G4373" s="3" t="n">
        <f aca="false">Raw_Data!F4373</f>
        <v>317</v>
      </c>
      <c r="H4373" s="3" t="str">
        <f aca="false">Raw_Data!G4373</f>
        <v>yes</v>
      </c>
      <c r="I4373" s="3" t="str">
        <f aca="false">Raw_Data!H4373</f>
        <v>no</v>
      </c>
      <c r="J4373" s="2" t="n">
        <f aca="false">IF(F4373="yes",1,0)</f>
        <v>0</v>
      </c>
      <c r="K4373" s="2" t="n">
        <f aca="false">IF(H4373="yes",1,0)</f>
        <v>1</v>
      </c>
      <c r="L4373" s="2" t="n">
        <f aca="false">IF(I4373="yes",1,0)</f>
        <v>0</v>
      </c>
      <c r="M4373" s="2" t="n">
        <f aca="false">IF(G4373&lt;0,1,0)</f>
        <v>0</v>
      </c>
      <c r="N4373" s="2" t="str">
        <f aca="false">_xlfn.IFS(B4373&lt;30,"Under 30",B4373&lt;40,"30-39",B4373&lt;50,"40-49",B4373&lt;60,"50-59",TRUE(),"60+")</f>
        <v>Under 30</v>
      </c>
      <c r="O4373" s="2" t="str">
        <f aca="false">_xlfn.IFS(G4373&lt;0,"1 Negative",G4373=0,"2 Zero",G4373&lt;=500,"3 1-500",G4373&lt;=2000,"4 501-2000",TRUE(),"5 Above 2000")</f>
        <v>3 1-500</v>
      </c>
      <c r="P4373" s="2" t="n">
        <f aca="false">Lookups!$B$2*M4373+Lookups!$B$3*L4373</f>
        <v>0</v>
      </c>
      <c r="Q4373" s="2" t="str">
        <f aca="false">INDEX(Lookups!$E$2:$E$5,MATCH(P4373,Lookups!$D$2:$D$5,0))</f>
        <v>Low</v>
      </c>
    </row>
    <row r="4374" customFormat="false" ht="15" hidden="false" customHeight="false" outlineLevel="0" collapsed="false">
      <c r="A4374" s="3" t="n">
        <v>4373</v>
      </c>
      <c r="B4374" s="3" t="n">
        <f aca="false">Raw_Data!A4374</f>
        <v>30</v>
      </c>
      <c r="C4374" s="3" t="str">
        <f aca="false">SUBSTITUTE(Raw_Data!B4374,".","")</f>
        <v>technician</v>
      </c>
      <c r="D4374" s="3" t="str">
        <f aca="false">Raw_Data!C4374</f>
        <v>single</v>
      </c>
      <c r="E4374" s="3" t="str">
        <f aca="false">Raw_Data!D4374</f>
        <v>secondary</v>
      </c>
      <c r="F4374" s="3" t="str">
        <f aca="false">Raw_Data!E4374</f>
        <v>no</v>
      </c>
      <c r="G4374" s="3" t="n">
        <f aca="false">Raw_Data!F4374</f>
        <v>4787</v>
      </c>
      <c r="H4374" s="3" t="str">
        <f aca="false">Raw_Data!G4374</f>
        <v>yes</v>
      </c>
      <c r="I4374" s="3" t="str">
        <f aca="false">Raw_Data!H4374</f>
        <v>no</v>
      </c>
      <c r="J4374" s="2" t="n">
        <f aca="false">IF(F4374="yes",1,0)</f>
        <v>0</v>
      </c>
      <c r="K4374" s="2" t="n">
        <f aca="false">IF(H4374="yes",1,0)</f>
        <v>1</v>
      </c>
      <c r="L4374" s="2" t="n">
        <f aca="false">IF(I4374="yes",1,0)</f>
        <v>0</v>
      </c>
      <c r="M4374" s="2" t="n">
        <f aca="false">IF(G4374&lt;0,1,0)</f>
        <v>0</v>
      </c>
      <c r="N4374" s="2" t="str">
        <f aca="false">_xlfn.IFS(B4374&lt;30,"Under 30",B4374&lt;40,"30-39",B4374&lt;50,"40-49",B4374&lt;60,"50-59",TRUE(),"60+")</f>
        <v>30-39</v>
      </c>
      <c r="O4374" s="2" t="str">
        <f aca="false">_xlfn.IFS(G4374&lt;0,"1 Negative",G4374=0,"2 Zero",G4374&lt;=500,"3 1-500",G4374&lt;=2000,"4 501-2000",TRUE(),"5 Above 2000")</f>
        <v>5 Above 2000</v>
      </c>
      <c r="P4374" s="2" t="n">
        <f aca="false">Lookups!$B$2*M4374+Lookups!$B$3*L4374</f>
        <v>0</v>
      </c>
      <c r="Q4374" s="2" t="str">
        <f aca="false">INDEX(Lookups!$E$2:$E$5,MATCH(P4374,Lookups!$D$2:$D$5,0))</f>
        <v>Low</v>
      </c>
    </row>
    <row r="4375" customFormat="false" ht="15" hidden="false" customHeight="false" outlineLevel="0" collapsed="false">
      <c r="A4375" s="3" t="n">
        <v>4374</v>
      </c>
      <c r="B4375" s="3" t="n">
        <f aca="false">Raw_Data!A4375</f>
        <v>28</v>
      </c>
      <c r="C4375" s="3" t="str">
        <f aca="false">SUBSTITUTE(Raw_Data!B4375,".","")</f>
        <v>blue-collar</v>
      </c>
      <c r="D4375" s="3" t="str">
        <f aca="false">Raw_Data!C4375</f>
        <v>married</v>
      </c>
      <c r="E4375" s="3" t="str">
        <f aca="false">Raw_Data!D4375</f>
        <v>secondary</v>
      </c>
      <c r="F4375" s="3" t="str">
        <f aca="false">Raw_Data!E4375</f>
        <v>no</v>
      </c>
      <c r="G4375" s="3" t="n">
        <f aca="false">Raw_Data!F4375</f>
        <v>225</v>
      </c>
      <c r="H4375" s="3" t="str">
        <f aca="false">Raw_Data!G4375</f>
        <v>yes</v>
      </c>
      <c r="I4375" s="3" t="str">
        <f aca="false">Raw_Data!H4375</f>
        <v>yes</v>
      </c>
      <c r="J4375" s="2" t="n">
        <f aca="false">IF(F4375="yes",1,0)</f>
        <v>0</v>
      </c>
      <c r="K4375" s="2" t="n">
        <f aca="false">IF(H4375="yes",1,0)</f>
        <v>1</v>
      </c>
      <c r="L4375" s="2" t="n">
        <f aca="false">IF(I4375="yes",1,0)</f>
        <v>1</v>
      </c>
      <c r="M4375" s="2" t="n">
        <f aca="false">IF(G4375&lt;0,1,0)</f>
        <v>0</v>
      </c>
      <c r="N4375" s="2" t="str">
        <f aca="false">_xlfn.IFS(B4375&lt;30,"Under 30",B4375&lt;40,"30-39",B4375&lt;50,"40-49",B4375&lt;60,"50-59",TRUE(),"60+")</f>
        <v>Under 30</v>
      </c>
      <c r="O4375" s="2" t="str">
        <f aca="false">_xlfn.IFS(G4375&lt;0,"1 Negative",G4375=0,"2 Zero",G4375&lt;=500,"3 1-500",G4375&lt;=2000,"4 501-2000",TRUE(),"5 Above 2000")</f>
        <v>3 1-500</v>
      </c>
      <c r="P4375" s="2" t="n">
        <f aca="false">Lookups!$B$2*M4375+Lookups!$B$3*L4375</f>
        <v>1</v>
      </c>
      <c r="Q4375" s="2" t="str">
        <f aca="false">INDEX(Lookups!$E$2:$E$5,MATCH(P4375,Lookups!$D$2:$D$5,0))</f>
        <v>Medium</v>
      </c>
    </row>
    <row r="4376" customFormat="false" ht="15" hidden="false" customHeight="false" outlineLevel="0" collapsed="false">
      <c r="A4376" s="3" t="n">
        <v>4375</v>
      </c>
      <c r="B4376" s="3" t="n">
        <f aca="false">Raw_Data!A4376</f>
        <v>45</v>
      </c>
      <c r="C4376" s="3" t="str">
        <f aca="false">SUBSTITUTE(Raw_Data!B4376,".","")</f>
        <v>services</v>
      </c>
      <c r="D4376" s="3" t="str">
        <f aca="false">Raw_Data!C4376</f>
        <v>divorced</v>
      </c>
      <c r="E4376" s="3" t="str">
        <f aca="false">Raw_Data!D4376</f>
        <v>primary</v>
      </c>
      <c r="F4376" s="3" t="str">
        <f aca="false">Raw_Data!E4376</f>
        <v>no</v>
      </c>
      <c r="G4376" s="3" t="n">
        <f aca="false">Raw_Data!F4376</f>
        <v>3854</v>
      </c>
      <c r="H4376" s="3" t="str">
        <f aca="false">Raw_Data!G4376</f>
        <v>yes</v>
      </c>
      <c r="I4376" s="3" t="str">
        <f aca="false">Raw_Data!H4376</f>
        <v>no</v>
      </c>
      <c r="J4376" s="2" t="n">
        <f aca="false">IF(F4376="yes",1,0)</f>
        <v>0</v>
      </c>
      <c r="K4376" s="2" t="n">
        <f aca="false">IF(H4376="yes",1,0)</f>
        <v>1</v>
      </c>
      <c r="L4376" s="2" t="n">
        <f aca="false">IF(I4376="yes",1,0)</f>
        <v>0</v>
      </c>
      <c r="M4376" s="2" t="n">
        <f aca="false">IF(G4376&lt;0,1,0)</f>
        <v>0</v>
      </c>
      <c r="N4376" s="2" t="str">
        <f aca="false">_xlfn.IFS(B4376&lt;30,"Under 30",B4376&lt;40,"30-39",B4376&lt;50,"40-49",B4376&lt;60,"50-59",TRUE(),"60+")</f>
        <v>40-49</v>
      </c>
      <c r="O4376" s="2" t="str">
        <f aca="false">_xlfn.IFS(G4376&lt;0,"1 Negative",G4376=0,"2 Zero",G4376&lt;=500,"3 1-500",G4376&lt;=2000,"4 501-2000",TRUE(),"5 Above 2000")</f>
        <v>5 Above 2000</v>
      </c>
      <c r="P4376" s="2" t="n">
        <f aca="false">Lookups!$B$2*M4376+Lookups!$B$3*L4376</f>
        <v>0</v>
      </c>
      <c r="Q4376" s="2" t="str">
        <f aca="false">INDEX(Lookups!$E$2:$E$5,MATCH(P4376,Lookups!$D$2:$D$5,0))</f>
        <v>Low</v>
      </c>
    </row>
    <row r="4377" customFormat="false" ht="15" hidden="false" customHeight="false" outlineLevel="0" collapsed="false">
      <c r="A4377" s="3" t="n">
        <v>4376</v>
      </c>
      <c r="B4377" s="3" t="n">
        <f aca="false">Raw_Data!A4377</f>
        <v>29</v>
      </c>
      <c r="C4377" s="3" t="str">
        <f aca="false">SUBSTITUTE(Raw_Data!B4377,".","")</f>
        <v>services</v>
      </c>
      <c r="D4377" s="3" t="str">
        <f aca="false">Raw_Data!C4377</f>
        <v>divorced</v>
      </c>
      <c r="E4377" s="3" t="str">
        <f aca="false">Raw_Data!D4377</f>
        <v>secondary</v>
      </c>
      <c r="F4377" s="3" t="str">
        <f aca="false">Raw_Data!E4377</f>
        <v>no</v>
      </c>
      <c r="G4377" s="3" t="n">
        <f aca="false">Raw_Data!F4377</f>
        <v>92</v>
      </c>
      <c r="H4377" s="3" t="str">
        <f aca="false">Raw_Data!G4377</f>
        <v>yes</v>
      </c>
      <c r="I4377" s="3" t="str">
        <f aca="false">Raw_Data!H4377</f>
        <v>no</v>
      </c>
      <c r="J4377" s="2" t="n">
        <f aca="false">IF(F4377="yes",1,0)</f>
        <v>0</v>
      </c>
      <c r="K4377" s="2" t="n">
        <f aca="false">IF(H4377="yes",1,0)</f>
        <v>1</v>
      </c>
      <c r="L4377" s="2" t="n">
        <f aca="false">IF(I4377="yes",1,0)</f>
        <v>0</v>
      </c>
      <c r="M4377" s="2" t="n">
        <f aca="false">IF(G4377&lt;0,1,0)</f>
        <v>0</v>
      </c>
      <c r="N4377" s="2" t="str">
        <f aca="false">_xlfn.IFS(B4377&lt;30,"Under 30",B4377&lt;40,"30-39",B4377&lt;50,"40-49",B4377&lt;60,"50-59",TRUE(),"60+")</f>
        <v>Under 30</v>
      </c>
      <c r="O4377" s="2" t="str">
        <f aca="false">_xlfn.IFS(G4377&lt;0,"1 Negative",G4377=0,"2 Zero",G4377&lt;=500,"3 1-500",G4377&lt;=2000,"4 501-2000",TRUE(),"5 Above 2000")</f>
        <v>3 1-500</v>
      </c>
      <c r="P4377" s="2" t="n">
        <f aca="false">Lookups!$B$2*M4377+Lookups!$B$3*L4377</f>
        <v>0</v>
      </c>
      <c r="Q4377" s="2" t="str">
        <f aca="false">INDEX(Lookups!$E$2:$E$5,MATCH(P4377,Lookups!$D$2:$D$5,0))</f>
        <v>Low</v>
      </c>
    </row>
    <row r="4378" customFormat="false" ht="15" hidden="false" customHeight="false" outlineLevel="0" collapsed="false">
      <c r="A4378" s="3" t="n">
        <v>4377</v>
      </c>
      <c r="B4378" s="3" t="n">
        <f aca="false">Raw_Data!A4378</f>
        <v>42</v>
      </c>
      <c r="C4378" s="3" t="str">
        <f aca="false">SUBSTITUTE(Raw_Data!B4378,".","")</f>
        <v>blue-collar</v>
      </c>
      <c r="D4378" s="3" t="str">
        <f aca="false">Raw_Data!C4378</f>
        <v>married</v>
      </c>
      <c r="E4378" s="3" t="str">
        <f aca="false">Raw_Data!D4378</f>
        <v>primary</v>
      </c>
      <c r="F4378" s="3" t="str">
        <f aca="false">Raw_Data!E4378</f>
        <v>no</v>
      </c>
      <c r="G4378" s="3" t="n">
        <f aca="false">Raw_Data!F4378</f>
        <v>-10</v>
      </c>
      <c r="H4378" s="3" t="str">
        <f aca="false">Raw_Data!G4378</f>
        <v>yes</v>
      </c>
      <c r="I4378" s="3" t="str">
        <f aca="false">Raw_Data!H4378</f>
        <v>no</v>
      </c>
      <c r="J4378" s="2" t="n">
        <f aca="false">IF(F4378="yes",1,0)</f>
        <v>0</v>
      </c>
      <c r="K4378" s="2" t="n">
        <f aca="false">IF(H4378="yes",1,0)</f>
        <v>1</v>
      </c>
      <c r="L4378" s="2" t="n">
        <f aca="false">IF(I4378="yes",1,0)</f>
        <v>0</v>
      </c>
      <c r="M4378" s="2" t="n">
        <f aca="false">IF(G4378&lt;0,1,0)</f>
        <v>1</v>
      </c>
      <c r="N4378" s="2" t="str">
        <f aca="false">_xlfn.IFS(B4378&lt;30,"Under 30",B4378&lt;40,"30-39",B4378&lt;50,"40-49",B4378&lt;60,"50-59",TRUE(),"60+")</f>
        <v>40-49</v>
      </c>
      <c r="O4378" s="2" t="str">
        <f aca="false">_xlfn.IFS(G4378&lt;0,"1 Negative",G4378=0,"2 Zero",G4378&lt;=500,"3 1-500",G4378&lt;=2000,"4 501-2000",TRUE(),"5 Above 2000")</f>
        <v>1 Negative</v>
      </c>
      <c r="P4378" s="2" t="n">
        <f aca="false">Lookups!$B$2*M4378+Lookups!$B$3*L4378</f>
        <v>2</v>
      </c>
      <c r="Q4378" s="2" t="str">
        <f aca="false">INDEX(Lookups!$E$2:$E$5,MATCH(P4378,Lookups!$D$2:$D$5,0))</f>
        <v>High</v>
      </c>
    </row>
    <row r="4379" customFormat="false" ht="15" hidden="false" customHeight="false" outlineLevel="0" collapsed="false">
      <c r="A4379" s="3" t="n">
        <v>4378</v>
      </c>
      <c r="B4379" s="3" t="n">
        <f aca="false">Raw_Data!A4379</f>
        <v>31</v>
      </c>
      <c r="C4379" s="3" t="str">
        <f aca="false">SUBSTITUTE(Raw_Data!B4379,".","")</f>
        <v>blue-collar</v>
      </c>
      <c r="D4379" s="3" t="str">
        <f aca="false">Raw_Data!C4379</f>
        <v>married</v>
      </c>
      <c r="E4379" s="3" t="str">
        <f aca="false">Raw_Data!D4379</f>
        <v>secondary</v>
      </c>
      <c r="F4379" s="3" t="str">
        <f aca="false">Raw_Data!E4379</f>
        <v>no</v>
      </c>
      <c r="G4379" s="3" t="n">
        <f aca="false">Raw_Data!F4379</f>
        <v>-617</v>
      </c>
      <c r="H4379" s="3" t="str">
        <f aca="false">Raw_Data!G4379</f>
        <v>yes</v>
      </c>
      <c r="I4379" s="3" t="str">
        <f aca="false">Raw_Data!H4379</f>
        <v>no</v>
      </c>
      <c r="J4379" s="2" t="n">
        <f aca="false">IF(F4379="yes",1,0)</f>
        <v>0</v>
      </c>
      <c r="K4379" s="2" t="n">
        <f aca="false">IF(H4379="yes",1,0)</f>
        <v>1</v>
      </c>
      <c r="L4379" s="2" t="n">
        <f aca="false">IF(I4379="yes",1,0)</f>
        <v>0</v>
      </c>
      <c r="M4379" s="2" t="n">
        <f aca="false">IF(G4379&lt;0,1,0)</f>
        <v>1</v>
      </c>
      <c r="N4379" s="2" t="str">
        <f aca="false">_xlfn.IFS(B4379&lt;30,"Under 30",B4379&lt;40,"30-39",B4379&lt;50,"40-49",B4379&lt;60,"50-59",TRUE(),"60+")</f>
        <v>30-39</v>
      </c>
      <c r="O4379" s="2" t="str">
        <f aca="false">_xlfn.IFS(G4379&lt;0,"1 Negative",G4379=0,"2 Zero",G4379&lt;=500,"3 1-500",G4379&lt;=2000,"4 501-2000",TRUE(),"5 Above 2000")</f>
        <v>1 Negative</v>
      </c>
      <c r="P4379" s="2" t="n">
        <f aca="false">Lookups!$B$2*M4379+Lookups!$B$3*L4379</f>
        <v>2</v>
      </c>
      <c r="Q4379" s="2" t="str">
        <f aca="false">INDEX(Lookups!$E$2:$E$5,MATCH(P4379,Lookups!$D$2:$D$5,0))</f>
        <v>High</v>
      </c>
    </row>
    <row r="4380" customFormat="false" ht="15" hidden="false" customHeight="false" outlineLevel="0" collapsed="false">
      <c r="A4380" s="3" t="n">
        <v>4379</v>
      </c>
      <c r="B4380" s="3" t="n">
        <f aca="false">Raw_Data!A4380</f>
        <v>59</v>
      </c>
      <c r="C4380" s="3" t="str">
        <f aca="false">SUBSTITUTE(Raw_Data!B4380,".","")</f>
        <v>housemaid</v>
      </c>
      <c r="D4380" s="3" t="str">
        <f aca="false">Raw_Data!C4380</f>
        <v>divorced</v>
      </c>
      <c r="E4380" s="3" t="str">
        <f aca="false">Raw_Data!D4380</f>
        <v>primary</v>
      </c>
      <c r="F4380" s="3" t="str">
        <f aca="false">Raw_Data!E4380</f>
        <v>no</v>
      </c>
      <c r="G4380" s="3" t="n">
        <f aca="false">Raw_Data!F4380</f>
        <v>195</v>
      </c>
      <c r="H4380" s="3" t="str">
        <f aca="false">Raw_Data!G4380</f>
        <v>no</v>
      </c>
      <c r="I4380" s="3" t="str">
        <f aca="false">Raw_Data!H4380</f>
        <v>no</v>
      </c>
      <c r="J4380" s="2" t="n">
        <f aca="false">IF(F4380="yes",1,0)</f>
        <v>0</v>
      </c>
      <c r="K4380" s="2" t="n">
        <f aca="false">IF(H4380="yes",1,0)</f>
        <v>0</v>
      </c>
      <c r="L4380" s="2" t="n">
        <f aca="false">IF(I4380="yes",1,0)</f>
        <v>0</v>
      </c>
      <c r="M4380" s="2" t="n">
        <f aca="false">IF(G4380&lt;0,1,0)</f>
        <v>0</v>
      </c>
      <c r="N4380" s="2" t="str">
        <f aca="false">_xlfn.IFS(B4380&lt;30,"Under 30",B4380&lt;40,"30-39",B4380&lt;50,"40-49",B4380&lt;60,"50-59",TRUE(),"60+")</f>
        <v>50-59</v>
      </c>
      <c r="O4380" s="2" t="str">
        <f aca="false">_xlfn.IFS(G4380&lt;0,"1 Negative",G4380=0,"2 Zero",G4380&lt;=500,"3 1-500",G4380&lt;=2000,"4 501-2000",TRUE(),"5 Above 2000")</f>
        <v>3 1-500</v>
      </c>
      <c r="P4380" s="2" t="n">
        <f aca="false">Lookups!$B$2*M4380+Lookups!$B$3*L4380</f>
        <v>0</v>
      </c>
      <c r="Q4380" s="2" t="str">
        <f aca="false">INDEX(Lookups!$E$2:$E$5,MATCH(P4380,Lookups!$D$2:$D$5,0))</f>
        <v>Low</v>
      </c>
    </row>
    <row r="4381" customFormat="false" ht="15" hidden="false" customHeight="false" outlineLevel="0" collapsed="false">
      <c r="A4381" s="3" t="n">
        <v>4380</v>
      </c>
      <c r="B4381" s="3" t="n">
        <f aca="false">Raw_Data!A4381</f>
        <v>41</v>
      </c>
      <c r="C4381" s="3" t="str">
        <f aca="false">SUBSTITUTE(Raw_Data!B4381,".","")</f>
        <v>blue-collar</v>
      </c>
      <c r="D4381" s="3" t="str">
        <f aca="false">Raw_Data!C4381</f>
        <v>married</v>
      </c>
      <c r="E4381" s="3" t="str">
        <f aca="false">Raw_Data!D4381</f>
        <v>primary</v>
      </c>
      <c r="F4381" s="3" t="str">
        <f aca="false">Raw_Data!E4381</f>
        <v>no</v>
      </c>
      <c r="G4381" s="3" t="n">
        <f aca="false">Raw_Data!F4381</f>
        <v>1172</v>
      </c>
      <c r="H4381" s="3" t="str">
        <f aca="false">Raw_Data!G4381</f>
        <v>yes</v>
      </c>
      <c r="I4381" s="3" t="str">
        <f aca="false">Raw_Data!H4381</f>
        <v>no</v>
      </c>
      <c r="J4381" s="2" t="n">
        <f aca="false">IF(F4381="yes",1,0)</f>
        <v>0</v>
      </c>
      <c r="K4381" s="2" t="n">
        <f aca="false">IF(H4381="yes",1,0)</f>
        <v>1</v>
      </c>
      <c r="L4381" s="2" t="n">
        <f aca="false">IF(I4381="yes",1,0)</f>
        <v>0</v>
      </c>
      <c r="M4381" s="2" t="n">
        <f aca="false">IF(G4381&lt;0,1,0)</f>
        <v>0</v>
      </c>
      <c r="N4381" s="2" t="str">
        <f aca="false">_xlfn.IFS(B4381&lt;30,"Under 30",B4381&lt;40,"30-39",B4381&lt;50,"40-49",B4381&lt;60,"50-59",TRUE(),"60+")</f>
        <v>40-49</v>
      </c>
      <c r="O4381" s="2" t="str">
        <f aca="false">_xlfn.IFS(G4381&lt;0,"1 Negative",G4381=0,"2 Zero",G4381&lt;=500,"3 1-500",G4381&lt;=2000,"4 501-2000",TRUE(),"5 Above 2000")</f>
        <v>4 501-2000</v>
      </c>
      <c r="P4381" s="2" t="n">
        <f aca="false">Lookups!$B$2*M4381+Lookups!$B$3*L4381</f>
        <v>0</v>
      </c>
      <c r="Q4381" s="2" t="str">
        <f aca="false">INDEX(Lookups!$E$2:$E$5,MATCH(P4381,Lookups!$D$2:$D$5,0))</f>
        <v>Low</v>
      </c>
    </row>
    <row r="4382" customFormat="false" ht="15" hidden="false" customHeight="false" outlineLevel="0" collapsed="false">
      <c r="A4382" s="3" t="n">
        <v>4381</v>
      </c>
      <c r="B4382" s="3" t="n">
        <f aca="false">Raw_Data!A4382</f>
        <v>57</v>
      </c>
      <c r="C4382" s="3" t="str">
        <f aca="false">SUBSTITUTE(Raw_Data!B4382,".","")</f>
        <v>housemaid</v>
      </c>
      <c r="D4382" s="3" t="str">
        <f aca="false">Raw_Data!C4382</f>
        <v>married</v>
      </c>
      <c r="E4382" s="3" t="str">
        <f aca="false">Raw_Data!D4382</f>
        <v>secondary</v>
      </c>
      <c r="F4382" s="3" t="str">
        <f aca="false">Raw_Data!E4382</f>
        <v>no</v>
      </c>
      <c r="G4382" s="3" t="n">
        <f aca="false">Raw_Data!F4382</f>
        <v>0</v>
      </c>
      <c r="H4382" s="3" t="str">
        <f aca="false">Raw_Data!G4382</f>
        <v>no</v>
      </c>
      <c r="I4382" s="3" t="str">
        <f aca="false">Raw_Data!H4382</f>
        <v>no</v>
      </c>
      <c r="J4382" s="2" t="n">
        <f aca="false">IF(F4382="yes",1,0)</f>
        <v>0</v>
      </c>
      <c r="K4382" s="2" t="n">
        <f aca="false">IF(H4382="yes",1,0)</f>
        <v>0</v>
      </c>
      <c r="L4382" s="2" t="n">
        <f aca="false">IF(I4382="yes",1,0)</f>
        <v>0</v>
      </c>
      <c r="M4382" s="2" t="n">
        <f aca="false">IF(G4382&lt;0,1,0)</f>
        <v>0</v>
      </c>
      <c r="N4382" s="2" t="str">
        <f aca="false">_xlfn.IFS(B4382&lt;30,"Under 30",B4382&lt;40,"30-39",B4382&lt;50,"40-49",B4382&lt;60,"50-59",TRUE(),"60+")</f>
        <v>50-59</v>
      </c>
      <c r="O4382" s="2" t="str">
        <f aca="false">_xlfn.IFS(G4382&lt;0,"1 Negative",G4382=0,"2 Zero",G4382&lt;=500,"3 1-500",G4382&lt;=2000,"4 501-2000",TRUE(),"5 Above 2000")</f>
        <v>2 Zero</v>
      </c>
      <c r="P4382" s="2" t="n">
        <f aca="false">Lookups!$B$2*M4382+Lookups!$B$3*L4382</f>
        <v>0</v>
      </c>
      <c r="Q4382" s="2" t="str">
        <f aca="false">INDEX(Lookups!$E$2:$E$5,MATCH(P4382,Lookups!$D$2:$D$5,0))</f>
        <v>Low</v>
      </c>
    </row>
    <row r="4383" customFormat="false" ht="15" hidden="false" customHeight="false" outlineLevel="0" collapsed="false">
      <c r="A4383" s="3" t="n">
        <v>4382</v>
      </c>
      <c r="B4383" s="3" t="n">
        <f aca="false">Raw_Data!A4383</f>
        <v>43</v>
      </c>
      <c r="C4383" s="3" t="str">
        <f aca="false">SUBSTITUTE(Raw_Data!B4383,".","")</f>
        <v>services</v>
      </c>
      <c r="D4383" s="3" t="str">
        <f aca="false">Raw_Data!C4383</f>
        <v>divorced</v>
      </c>
      <c r="E4383" s="3" t="str">
        <f aca="false">Raw_Data!D4383</f>
        <v>secondary</v>
      </c>
      <c r="F4383" s="3" t="str">
        <f aca="false">Raw_Data!E4383</f>
        <v>no</v>
      </c>
      <c r="G4383" s="3" t="n">
        <f aca="false">Raw_Data!F4383</f>
        <v>0</v>
      </c>
      <c r="H4383" s="3" t="str">
        <f aca="false">Raw_Data!G4383</f>
        <v>no</v>
      </c>
      <c r="I4383" s="3" t="str">
        <f aca="false">Raw_Data!H4383</f>
        <v>no</v>
      </c>
      <c r="J4383" s="2" t="n">
        <f aca="false">IF(F4383="yes",1,0)</f>
        <v>0</v>
      </c>
      <c r="K4383" s="2" t="n">
        <f aca="false">IF(H4383="yes",1,0)</f>
        <v>0</v>
      </c>
      <c r="L4383" s="2" t="n">
        <f aca="false">IF(I4383="yes",1,0)</f>
        <v>0</v>
      </c>
      <c r="M4383" s="2" t="n">
        <f aca="false">IF(G4383&lt;0,1,0)</f>
        <v>0</v>
      </c>
      <c r="N4383" s="2" t="str">
        <f aca="false">_xlfn.IFS(B4383&lt;30,"Under 30",B4383&lt;40,"30-39",B4383&lt;50,"40-49",B4383&lt;60,"50-59",TRUE(),"60+")</f>
        <v>40-49</v>
      </c>
      <c r="O4383" s="2" t="str">
        <f aca="false">_xlfn.IFS(G4383&lt;0,"1 Negative",G4383=0,"2 Zero",G4383&lt;=500,"3 1-500",G4383&lt;=2000,"4 501-2000",TRUE(),"5 Above 2000")</f>
        <v>2 Zero</v>
      </c>
      <c r="P4383" s="2" t="n">
        <f aca="false">Lookups!$B$2*M4383+Lookups!$B$3*L4383</f>
        <v>0</v>
      </c>
      <c r="Q4383" s="2" t="str">
        <f aca="false">INDEX(Lookups!$E$2:$E$5,MATCH(P4383,Lookups!$D$2:$D$5,0))</f>
        <v>Low</v>
      </c>
    </row>
    <row r="4384" customFormat="false" ht="15" hidden="false" customHeight="false" outlineLevel="0" collapsed="false">
      <c r="A4384" s="3" t="n">
        <v>4383</v>
      </c>
      <c r="B4384" s="3" t="n">
        <f aca="false">Raw_Data!A4384</f>
        <v>30</v>
      </c>
      <c r="C4384" s="3" t="str">
        <f aca="false">SUBSTITUTE(Raw_Data!B4384,".","")</f>
        <v>services</v>
      </c>
      <c r="D4384" s="3" t="str">
        <f aca="false">Raw_Data!C4384</f>
        <v>divorced</v>
      </c>
      <c r="E4384" s="3" t="str">
        <f aca="false">Raw_Data!D4384</f>
        <v>secondary</v>
      </c>
      <c r="F4384" s="3" t="str">
        <f aca="false">Raw_Data!E4384</f>
        <v>no</v>
      </c>
      <c r="G4384" s="3" t="n">
        <f aca="false">Raw_Data!F4384</f>
        <v>-94</v>
      </c>
      <c r="H4384" s="3" t="str">
        <f aca="false">Raw_Data!G4384</f>
        <v>yes</v>
      </c>
      <c r="I4384" s="3" t="str">
        <f aca="false">Raw_Data!H4384</f>
        <v>no</v>
      </c>
      <c r="J4384" s="2" t="n">
        <f aca="false">IF(F4384="yes",1,0)</f>
        <v>0</v>
      </c>
      <c r="K4384" s="2" t="n">
        <f aca="false">IF(H4384="yes",1,0)</f>
        <v>1</v>
      </c>
      <c r="L4384" s="2" t="n">
        <f aca="false">IF(I4384="yes",1,0)</f>
        <v>0</v>
      </c>
      <c r="M4384" s="2" t="n">
        <f aca="false">IF(G4384&lt;0,1,0)</f>
        <v>1</v>
      </c>
      <c r="N4384" s="2" t="str">
        <f aca="false">_xlfn.IFS(B4384&lt;30,"Under 30",B4384&lt;40,"30-39",B4384&lt;50,"40-49",B4384&lt;60,"50-59",TRUE(),"60+")</f>
        <v>30-39</v>
      </c>
      <c r="O4384" s="2" t="str">
        <f aca="false">_xlfn.IFS(G4384&lt;0,"1 Negative",G4384=0,"2 Zero",G4384&lt;=500,"3 1-500",G4384&lt;=2000,"4 501-2000",TRUE(),"5 Above 2000")</f>
        <v>1 Negative</v>
      </c>
      <c r="P4384" s="2" t="n">
        <f aca="false">Lookups!$B$2*M4384+Lookups!$B$3*L4384</f>
        <v>2</v>
      </c>
      <c r="Q4384" s="2" t="str">
        <f aca="false">INDEX(Lookups!$E$2:$E$5,MATCH(P4384,Lookups!$D$2:$D$5,0))</f>
        <v>High</v>
      </c>
    </row>
    <row r="4385" customFormat="false" ht="15" hidden="false" customHeight="false" outlineLevel="0" collapsed="false">
      <c r="A4385" s="3" t="n">
        <v>4384</v>
      </c>
      <c r="B4385" s="3" t="n">
        <f aca="false">Raw_Data!A4385</f>
        <v>26</v>
      </c>
      <c r="C4385" s="3" t="str">
        <f aca="false">SUBSTITUTE(Raw_Data!B4385,".","")</f>
        <v>admin</v>
      </c>
      <c r="D4385" s="3" t="str">
        <f aca="false">Raw_Data!C4385</f>
        <v>single</v>
      </c>
      <c r="E4385" s="3" t="str">
        <f aca="false">Raw_Data!D4385</f>
        <v>secondary</v>
      </c>
      <c r="F4385" s="3" t="str">
        <f aca="false">Raw_Data!E4385</f>
        <v>no</v>
      </c>
      <c r="G4385" s="3" t="n">
        <f aca="false">Raw_Data!F4385</f>
        <v>609</v>
      </c>
      <c r="H4385" s="3" t="str">
        <f aca="false">Raw_Data!G4385</f>
        <v>no</v>
      </c>
      <c r="I4385" s="3" t="str">
        <f aca="false">Raw_Data!H4385</f>
        <v>no</v>
      </c>
      <c r="J4385" s="2" t="n">
        <f aca="false">IF(F4385="yes",1,0)</f>
        <v>0</v>
      </c>
      <c r="K4385" s="2" t="n">
        <f aca="false">IF(H4385="yes",1,0)</f>
        <v>0</v>
      </c>
      <c r="L4385" s="2" t="n">
        <f aca="false">IF(I4385="yes",1,0)</f>
        <v>0</v>
      </c>
      <c r="M4385" s="2" t="n">
        <f aca="false">IF(G4385&lt;0,1,0)</f>
        <v>0</v>
      </c>
      <c r="N4385" s="2" t="str">
        <f aca="false">_xlfn.IFS(B4385&lt;30,"Under 30",B4385&lt;40,"30-39",B4385&lt;50,"40-49",B4385&lt;60,"50-59",TRUE(),"60+")</f>
        <v>Under 30</v>
      </c>
      <c r="O4385" s="2" t="str">
        <f aca="false">_xlfn.IFS(G4385&lt;0,"1 Negative",G4385=0,"2 Zero",G4385&lt;=500,"3 1-500",G4385&lt;=2000,"4 501-2000",TRUE(),"5 Above 2000")</f>
        <v>4 501-2000</v>
      </c>
      <c r="P4385" s="2" t="n">
        <f aca="false">Lookups!$B$2*M4385+Lookups!$B$3*L4385</f>
        <v>0</v>
      </c>
      <c r="Q4385" s="2" t="str">
        <f aca="false">INDEX(Lookups!$E$2:$E$5,MATCH(P4385,Lookups!$D$2:$D$5,0))</f>
        <v>Low</v>
      </c>
    </row>
    <row r="4386" customFormat="false" ht="15" hidden="false" customHeight="false" outlineLevel="0" collapsed="false">
      <c r="A4386" s="3" t="n">
        <v>4385</v>
      </c>
      <c r="B4386" s="3" t="n">
        <f aca="false">Raw_Data!A4386</f>
        <v>52</v>
      </c>
      <c r="C4386" s="3" t="str">
        <f aca="false">SUBSTITUTE(Raw_Data!B4386,".","")</f>
        <v>management</v>
      </c>
      <c r="D4386" s="3" t="str">
        <f aca="false">Raw_Data!C4386</f>
        <v>single</v>
      </c>
      <c r="E4386" s="3" t="str">
        <f aca="false">Raw_Data!D4386</f>
        <v>tertiary</v>
      </c>
      <c r="F4386" s="3" t="str">
        <f aca="false">Raw_Data!E4386</f>
        <v>no</v>
      </c>
      <c r="G4386" s="3" t="n">
        <f aca="false">Raw_Data!F4386</f>
        <v>4</v>
      </c>
      <c r="H4386" s="3" t="str">
        <f aca="false">Raw_Data!G4386</f>
        <v>no</v>
      </c>
      <c r="I4386" s="3" t="str">
        <f aca="false">Raw_Data!H4386</f>
        <v>yes</v>
      </c>
      <c r="J4386" s="2" t="n">
        <f aca="false">IF(F4386="yes",1,0)</f>
        <v>0</v>
      </c>
      <c r="K4386" s="2" t="n">
        <f aca="false">IF(H4386="yes",1,0)</f>
        <v>0</v>
      </c>
      <c r="L4386" s="2" t="n">
        <f aca="false">IF(I4386="yes",1,0)</f>
        <v>1</v>
      </c>
      <c r="M4386" s="2" t="n">
        <f aca="false">IF(G4386&lt;0,1,0)</f>
        <v>0</v>
      </c>
      <c r="N4386" s="2" t="str">
        <f aca="false">_xlfn.IFS(B4386&lt;30,"Under 30",B4386&lt;40,"30-39",B4386&lt;50,"40-49",B4386&lt;60,"50-59",TRUE(),"60+")</f>
        <v>50-59</v>
      </c>
      <c r="O4386" s="2" t="str">
        <f aca="false">_xlfn.IFS(G4386&lt;0,"1 Negative",G4386=0,"2 Zero",G4386&lt;=500,"3 1-500",G4386&lt;=2000,"4 501-2000",TRUE(),"5 Above 2000")</f>
        <v>3 1-500</v>
      </c>
      <c r="P4386" s="2" t="n">
        <f aca="false">Lookups!$B$2*M4386+Lookups!$B$3*L4386</f>
        <v>1</v>
      </c>
      <c r="Q4386" s="2" t="str">
        <f aca="false">INDEX(Lookups!$E$2:$E$5,MATCH(P4386,Lookups!$D$2:$D$5,0))</f>
        <v>Medium</v>
      </c>
    </row>
    <row r="4387" customFormat="false" ht="15" hidden="false" customHeight="false" outlineLevel="0" collapsed="false">
      <c r="A4387" s="3" t="n">
        <v>4386</v>
      </c>
      <c r="B4387" s="3" t="n">
        <f aca="false">Raw_Data!A4387</f>
        <v>32</v>
      </c>
      <c r="C4387" s="3" t="str">
        <f aca="false">SUBSTITUTE(Raw_Data!B4387,".","")</f>
        <v>entrepreneur</v>
      </c>
      <c r="D4387" s="3" t="str">
        <f aca="false">Raw_Data!C4387</f>
        <v>divorced</v>
      </c>
      <c r="E4387" s="3" t="str">
        <f aca="false">Raw_Data!D4387</f>
        <v>secondary</v>
      </c>
      <c r="F4387" s="3" t="str">
        <f aca="false">Raw_Data!E4387</f>
        <v>no</v>
      </c>
      <c r="G4387" s="3" t="n">
        <f aca="false">Raw_Data!F4387</f>
        <v>1121</v>
      </c>
      <c r="H4387" s="3" t="str">
        <f aca="false">Raw_Data!G4387</f>
        <v>yes</v>
      </c>
      <c r="I4387" s="3" t="str">
        <f aca="false">Raw_Data!H4387</f>
        <v>yes</v>
      </c>
      <c r="J4387" s="2" t="n">
        <f aca="false">IF(F4387="yes",1,0)</f>
        <v>0</v>
      </c>
      <c r="K4387" s="2" t="n">
        <f aca="false">IF(H4387="yes",1,0)</f>
        <v>1</v>
      </c>
      <c r="L4387" s="2" t="n">
        <f aca="false">IF(I4387="yes",1,0)</f>
        <v>1</v>
      </c>
      <c r="M4387" s="2" t="n">
        <f aca="false">IF(G4387&lt;0,1,0)</f>
        <v>0</v>
      </c>
      <c r="N4387" s="2" t="str">
        <f aca="false">_xlfn.IFS(B4387&lt;30,"Under 30",B4387&lt;40,"30-39",B4387&lt;50,"40-49",B4387&lt;60,"50-59",TRUE(),"60+")</f>
        <v>30-39</v>
      </c>
      <c r="O4387" s="2" t="str">
        <f aca="false">_xlfn.IFS(G4387&lt;0,"1 Negative",G4387=0,"2 Zero",G4387&lt;=500,"3 1-500",G4387&lt;=2000,"4 501-2000",TRUE(),"5 Above 2000")</f>
        <v>4 501-2000</v>
      </c>
      <c r="P4387" s="2" t="n">
        <f aca="false">Lookups!$B$2*M4387+Lookups!$B$3*L4387</f>
        <v>1</v>
      </c>
      <c r="Q4387" s="2" t="str">
        <f aca="false">INDEX(Lookups!$E$2:$E$5,MATCH(P4387,Lookups!$D$2:$D$5,0))</f>
        <v>Medium</v>
      </c>
    </row>
    <row r="4388" customFormat="false" ht="15" hidden="false" customHeight="false" outlineLevel="0" collapsed="false">
      <c r="A4388" s="3" t="n">
        <v>4387</v>
      </c>
      <c r="B4388" s="3" t="n">
        <f aca="false">Raw_Data!A4388</f>
        <v>39</v>
      </c>
      <c r="C4388" s="3" t="str">
        <f aca="false">SUBSTITUTE(Raw_Data!B4388,".","")</f>
        <v>management</v>
      </c>
      <c r="D4388" s="3" t="str">
        <f aca="false">Raw_Data!C4388</f>
        <v>divorced</v>
      </c>
      <c r="E4388" s="3" t="str">
        <f aca="false">Raw_Data!D4388</f>
        <v>tertiary</v>
      </c>
      <c r="F4388" s="3" t="str">
        <f aca="false">Raw_Data!E4388</f>
        <v>no</v>
      </c>
      <c r="G4388" s="3" t="n">
        <f aca="false">Raw_Data!F4388</f>
        <v>355</v>
      </c>
      <c r="H4388" s="3" t="str">
        <f aca="false">Raw_Data!G4388</f>
        <v>yes</v>
      </c>
      <c r="I4388" s="3" t="str">
        <f aca="false">Raw_Data!H4388</f>
        <v>no</v>
      </c>
      <c r="J4388" s="2" t="n">
        <f aca="false">IF(F4388="yes",1,0)</f>
        <v>0</v>
      </c>
      <c r="K4388" s="2" t="n">
        <f aca="false">IF(H4388="yes",1,0)</f>
        <v>1</v>
      </c>
      <c r="L4388" s="2" t="n">
        <f aca="false">IF(I4388="yes",1,0)</f>
        <v>0</v>
      </c>
      <c r="M4388" s="2" t="n">
        <f aca="false">IF(G4388&lt;0,1,0)</f>
        <v>0</v>
      </c>
      <c r="N4388" s="2" t="str">
        <f aca="false">_xlfn.IFS(B4388&lt;30,"Under 30",B4388&lt;40,"30-39",B4388&lt;50,"40-49",B4388&lt;60,"50-59",TRUE(),"60+")</f>
        <v>30-39</v>
      </c>
      <c r="O4388" s="2" t="str">
        <f aca="false">_xlfn.IFS(G4388&lt;0,"1 Negative",G4388=0,"2 Zero",G4388&lt;=500,"3 1-500",G4388&lt;=2000,"4 501-2000",TRUE(),"5 Above 2000")</f>
        <v>3 1-500</v>
      </c>
      <c r="P4388" s="2" t="n">
        <f aca="false">Lookups!$B$2*M4388+Lookups!$B$3*L4388</f>
        <v>0</v>
      </c>
      <c r="Q4388" s="2" t="str">
        <f aca="false">INDEX(Lookups!$E$2:$E$5,MATCH(P4388,Lookups!$D$2:$D$5,0))</f>
        <v>Low</v>
      </c>
    </row>
    <row r="4389" customFormat="false" ht="15" hidden="false" customHeight="false" outlineLevel="0" collapsed="false">
      <c r="A4389" s="3" t="n">
        <v>4388</v>
      </c>
      <c r="B4389" s="3" t="n">
        <f aca="false">Raw_Data!A4389</f>
        <v>31</v>
      </c>
      <c r="C4389" s="3" t="str">
        <f aca="false">SUBSTITUTE(Raw_Data!B4389,".","")</f>
        <v>blue-collar</v>
      </c>
      <c r="D4389" s="3" t="str">
        <f aca="false">Raw_Data!C4389</f>
        <v>married</v>
      </c>
      <c r="E4389" s="3" t="str">
        <f aca="false">Raw_Data!D4389</f>
        <v>secondary</v>
      </c>
      <c r="F4389" s="3" t="str">
        <f aca="false">Raw_Data!E4389</f>
        <v>no</v>
      </c>
      <c r="G4389" s="3" t="n">
        <f aca="false">Raw_Data!F4389</f>
        <v>3653</v>
      </c>
      <c r="H4389" s="3" t="str">
        <f aca="false">Raw_Data!G4389</f>
        <v>yes</v>
      </c>
      <c r="I4389" s="3" t="str">
        <f aca="false">Raw_Data!H4389</f>
        <v>yes</v>
      </c>
      <c r="J4389" s="2" t="n">
        <f aca="false">IF(F4389="yes",1,0)</f>
        <v>0</v>
      </c>
      <c r="K4389" s="2" t="n">
        <f aca="false">IF(H4389="yes",1,0)</f>
        <v>1</v>
      </c>
      <c r="L4389" s="2" t="n">
        <f aca="false">IF(I4389="yes",1,0)</f>
        <v>1</v>
      </c>
      <c r="M4389" s="2" t="n">
        <f aca="false">IF(G4389&lt;0,1,0)</f>
        <v>0</v>
      </c>
      <c r="N4389" s="2" t="str">
        <f aca="false">_xlfn.IFS(B4389&lt;30,"Under 30",B4389&lt;40,"30-39",B4389&lt;50,"40-49",B4389&lt;60,"50-59",TRUE(),"60+")</f>
        <v>30-39</v>
      </c>
      <c r="O4389" s="2" t="str">
        <f aca="false">_xlfn.IFS(G4389&lt;0,"1 Negative",G4389=0,"2 Zero",G4389&lt;=500,"3 1-500",G4389&lt;=2000,"4 501-2000",TRUE(),"5 Above 2000")</f>
        <v>5 Above 2000</v>
      </c>
      <c r="P4389" s="2" t="n">
        <f aca="false">Lookups!$B$2*M4389+Lookups!$B$3*L4389</f>
        <v>1</v>
      </c>
      <c r="Q4389" s="2" t="str">
        <f aca="false">INDEX(Lookups!$E$2:$E$5,MATCH(P4389,Lookups!$D$2:$D$5,0))</f>
        <v>Medium</v>
      </c>
    </row>
    <row r="4390" customFormat="false" ht="15" hidden="false" customHeight="false" outlineLevel="0" collapsed="false">
      <c r="A4390" s="3" t="n">
        <v>4389</v>
      </c>
      <c r="B4390" s="3" t="n">
        <f aca="false">Raw_Data!A4390</f>
        <v>83</v>
      </c>
      <c r="C4390" s="3" t="str">
        <f aca="false">SUBSTITUTE(Raw_Data!B4390,".","")</f>
        <v>retired</v>
      </c>
      <c r="D4390" s="3" t="str">
        <f aca="false">Raw_Data!C4390</f>
        <v>divorced</v>
      </c>
      <c r="E4390" s="3" t="str">
        <f aca="false">Raw_Data!D4390</f>
        <v>primary</v>
      </c>
      <c r="F4390" s="3" t="str">
        <f aca="false">Raw_Data!E4390</f>
        <v>no</v>
      </c>
      <c r="G4390" s="3" t="n">
        <f aca="false">Raw_Data!F4390</f>
        <v>1097</v>
      </c>
      <c r="H4390" s="3" t="str">
        <f aca="false">Raw_Data!G4390</f>
        <v>no</v>
      </c>
      <c r="I4390" s="3" t="str">
        <f aca="false">Raw_Data!H4390</f>
        <v>no</v>
      </c>
      <c r="J4390" s="2" t="n">
        <f aca="false">IF(F4390="yes",1,0)</f>
        <v>0</v>
      </c>
      <c r="K4390" s="2" t="n">
        <f aca="false">IF(H4390="yes",1,0)</f>
        <v>0</v>
      </c>
      <c r="L4390" s="2" t="n">
        <f aca="false">IF(I4390="yes",1,0)</f>
        <v>0</v>
      </c>
      <c r="M4390" s="2" t="n">
        <f aca="false">IF(G4390&lt;0,1,0)</f>
        <v>0</v>
      </c>
      <c r="N4390" s="2" t="str">
        <f aca="false">_xlfn.IFS(B4390&lt;30,"Under 30",B4390&lt;40,"30-39",B4390&lt;50,"40-49",B4390&lt;60,"50-59",TRUE(),"60+")</f>
        <v>60+</v>
      </c>
      <c r="O4390" s="2" t="str">
        <f aca="false">_xlfn.IFS(G4390&lt;0,"1 Negative",G4390=0,"2 Zero",G4390&lt;=500,"3 1-500",G4390&lt;=2000,"4 501-2000",TRUE(),"5 Above 2000")</f>
        <v>4 501-2000</v>
      </c>
      <c r="P4390" s="2" t="n">
        <f aca="false">Lookups!$B$2*M4390+Lookups!$B$3*L4390</f>
        <v>0</v>
      </c>
      <c r="Q4390" s="2" t="str">
        <f aca="false">INDEX(Lookups!$E$2:$E$5,MATCH(P4390,Lookups!$D$2:$D$5,0))</f>
        <v>Low</v>
      </c>
    </row>
    <row r="4391" customFormat="false" ht="15" hidden="false" customHeight="false" outlineLevel="0" collapsed="false">
      <c r="A4391" s="3" t="n">
        <v>4390</v>
      </c>
      <c r="B4391" s="3" t="n">
        <f aca="false">Raw_Data!A4391</f>
        <v>34</v>
      </c>
      <c r="C4391" s="3" t="str">
        <f aca="false">SUBSTITUTE(Raw_Data!B4391,".","")</f>
        <v>management</v>
      </c>
      <c r="D4391" s="3" t="str">
        <f aca="false">Raw_Data!C4391</f>
        <v>married</v>
      </c>
      <c r="E4391" s="3" t="str">
        <f aca="false">Raw_Data!D4391</f>
        <v>tertiary</v>
      </c>
      <c r="F4391" s="3" t="str">
        <f aca="false">Raw_Data!E4391</f>
        <v>no</v>
      </c>
      <c r="G4391" s="3" t="n">
        <f aca="false">Raw_Data!F4391</f>
        <v>436</v>
      </c>
      <c r="H4391" s="3" t="str">
        <f aca="false">Raw_Data!G4391</f>
        <v>no</v>
      </c>
      <c r="I4391" s="3" t="str">
        <f aca="false">Raw_Data!H4391</f>
        <v>yes</v>
      </c>
      <c r="J4391" s="2" t="n">
        <f aca="false">IF(F4391="yes",1,0)</f>
        <v>0</v>
      </c>
      <c r="K4391" s="2" t="n">
        <f aca="false">IF(H4391="yes",1,0)</f>
        <v>0</v>
      </c>
      <c r="L4391" s="2" t="n">
        <f aca="false">IF(I4391="yes",1,0)</f>
        <v>1</v>
      </c>
      <c r="M4391" s="2" t="n">
        <f aca="false">IF(G4391&lt;0,1,0)</f>
        <v>0</v>
      </c>
      <c r="N4391" s="2" t="str">
        <f aca="false">_xlfn.IFS(B4391&lt;30,"Under 30",B4391&lt;40,"30-39",B4391&lt;50,"40-49",B4391&lt;60,"50-59",TRUE(),"60+")</f>
        <v>30-39</v>
      </c>
      <c r="O4391" s="2" t="str">
        <f aca="false">_xlfn.IFS(G4391&lt;0,"1 Negative",G4391=0,"2 Zero",G4391&lt;=500,"3 1-500",G4391&lt;=2000,"4 501-2000",TRUE(),"5 Above 2000")</f>
        <v>3 1-500</v>
      </c>
      <c r="P4391" s="2" t="n">
        <f aca="false">Lookups!$B$2*M4391+Lookups!$B$3*L4391</f>
        <v>1</v>
      </c>
      <c r="Q4391" s="2" t="str">
        <f aca="false">INDEX(Lookups!$E$2:$E$5,MATCH(P4391,Lookups!$D$2:$D$5,0))</f>
        <v>Medium</v>
      </c>
    </row>
    <row r="4392" customFormat="false" ht="15" hidden="false" customHeight="false" outlineLevel="0" collapsed="false">
      <c r="A4392" s="3" t="n">
        <v>4391</v>
      </c>
      <c r="B4392" s="3" t="n">
        <f aca="false">Raw_Data!A4392</f>
        <v>40</v>
      </c>
      <c r="C4392" s="3" t="str">
        <f aca="false">SUBSTITUTE(Raw_Data!B4392,".","")</f>
        <v>blue-collar</v>
      </c>
      <c r="D4392" s="3" t="str">
        <f aca="false">Raw_Data!C4392</f>
        <v>married</v>
      </c>
      <c r="E4392" s="3" t="str">
        <f aca="false">Raw_Data!D4392</f>
        <v>secondary</v>
      </c>
      <c r="F4392" s="3" t="str">
        <f aca="false">Raw_Data!E4392</f>
        <v>no</v>
      </c>
      <c r="G4392" s="3" t="n">
        <f aca="false">Raw_Data!F4392</f>
        <v>4795</v>
      </c>
      <c r="H4392" s="3" t="str">
        <f aca="false">Raw_Data!G4392</f>
        <v>yes</v>
      </c>
      <c r="I4392" s="3" t="str">
        <f aca="false">Raw_Data!H4392</f>
        <v>no</v>
      </c>
      <c r="J4392" s="2" t="n">
        <f aca="false">IF(F4392="yes",1,0)</f>
        <v>0</v>
      </c>
      <c r="K4392" s="2" t="n">
        <f aca="false">IF(H4392="yes",1,0)</f>
        <v>1</v>
      </c>
      <c r="L4392" s="2" t="n">
        <f aca="false">IF(I4392="yes",1,0)</f>
        <v>0</v>
      </c>
      <c r="M4392" s="2" t="n">
        <f aca="false">IF(G4392&lt;0,1,0)</f>
        <v>0</v>
      </c>
      <c r="N4392" s="2" t="str">
        <f aca="false">_xlfn.IFS(B4392&lt;30,"Under 30",B4392&lt;40,"30-39",B4392&lt;50,"40-49",B4392&lt;60,"50-59",TRUE(),"60+")</f>
        <v>40-49</v>
      </c>
      <c r="O4392" s="2" t="str">
        <f aca="false">_xlfn.IFS(G4392&lt;0,"1 Negative",G4392=0,"2 Zero",G4392&lt;=500,"3 1-500",G4392&lt;=2000,"4 501-2000",TRUE(),"5 Above 2000")</f>
        <v>5 Above 2000</v>
      </c>
      <c r="P4392" s="2" t="n">
        <f aca="false">Lookups!$B$2*M4392+Lookups!$B$3*L4392</f>
        <v>0</v>
      </c>
      <c r="Q4392" s="2" t="str">
        <f aca="false">INDEX(Lookups!$E$2:$E$5,MATCH(P4392,Lookups!$D$2:$D$5,0))</f>
        <v>Low</v>
      </c>
    </row>
    <row r="4393" customFormat="false" ht="15" hidden="false" customHeight="false" outlineLevel="0" collapsed="false">
      <c r="A4393" s="3" t="n">
        <v>4392</v>
      </c>
      <c r="B4393" s="3" t="n">
        <f aca="false">Raw_Data!A4393</f>
        <v>39</v>
      </c>
      <c r="C4393" s="3" t="str">
        <f aca="false">SUBSTITUTE(Raw_Data!B4393,".","")</f>
        <v>self-employed</v>
      </c>
      <c r="D4393" s="3" t="str">
        <f aca="false">Raw_Data!C4393</f>
        <v>married</v>
      </c>
      <c r="E4393" s="3" t="str">
        <f aca="false">Raw_Data!D4393</f>
        <v>secondary</v>
      </c>
      <c r="F4393" s="3" t="str">
        <f aca="false">Raw_Data!E4393</f>
        <v>no</v>
      </c>
      <c r="G4393" s="3" t="n">
        <f aca="false">Raw_Data!F4393</f>
        <v>266</v>
      </c>
      <c r="H4393" s="3" t="str">
        <f aca="false">Raw_Data!G4393</f>
        <v>no</v>
      </c>
      <c r="I4393" s="3" t="str">
        <f aca="false">Raw_Data!H4393</f>
        <v>no</v>
      </c>
      <c r="J4393" s="2" t="n">
        <f aca="false">IF(F4393="yes",1,0)</f>
        <v>0</v>
      </c>
      <c r="K4393" s="2" t="n">
        <f aca="false">IF(H4393="yes",1,0)</f>
        <v>0</v>
      </c>
      <c r="L4393" s="2" t="n">
        <f aca="false">IF(I4393="yes",1,0)</f>
        <v>0</v>
      </c>
      <c r="M4393" s="2" t="n">
        <f aca="false">IF(G4393&lt;0,1,0)</f>
        <v>0</v>
      </c>
      <c r="N4393" s="2" t="str">
        <f aca="false">_xlfn.IFS(B4393&lt;30,"Under 30",B4393&lt;40,"30-39",B4393&lt;50,"40-49",B4393&lt;60,"50-59",TRUE(),"60+")</f>
        <v>30-39</v>
      </c>
      <c r="O4393" s="2" t="str">
        <f aca="false">_xlfn.IFS(G4393&lt;0,"1 Negative",G4393=0,"2 Zero",G4393&lt;=500,"3 1-500",G4393&lt;=2000,"4 501-2000",TRUE(),"5 Above 2000")</f>
        <v>3 1-500</v>
      </c>
      <c r="P4393" s="2" t="n">
        <f aca="false">Lookups!$B$2*M4393+Lookups!$B$3*L4393</f>
        <v>0</v>
      </c>
      <c r="Q4393" s="2" t="str">
        <f aca="false">INDEX(Lookups!$E$2:$E$5,MATCH(P4393,Lookups!$D$2:$D$5,0))</f>
        <v>Low</v>
      </c>
    </row>
    <row r="4394" customFormat="false" ht="15" hidden="false" customHeight="false" outlineLevel="0" collapsed="false">
      <c r="A4394" s="3" t="n">
        <v>4393</v>
      </c>
      <c r="B4394" s="3" t="n">
        <f aca="false">Raw_Data!A4394</f>
        <v>50</v>
      </c>
      <c r="C4394" s="3" t="str">
        <f aca="false">SUBSTITUTE(Raw_Data!B4394,".","")</f>
        <v>unemployed</v>
      </c>
      <c r="D4394" s="3" t="str">
        <f aca="false">Raw_Data!C4394</f>
        <v>married</v>
      </c>
      <c r="E4394" s="3" t="str">
        <f aca="false">Raw_Data!D4394</f>
        <v>secondary</v>
      </c>
      <c r="F4394" s="3" t="str">
        <f aca="false">Raw_Data!E4394</f>
        <v>no</v>
      </c>
      <c r="G4394" s="3" t="n">
        <f aca="false">Raw_Data!F4394</f>
        <v>3357</v>
      </c>
      <c r="H4394" s="3" t="str">
        <f aca="false">Raw_Data!G4394</f>
        <v>no</v>
      </c>
      <c r="I4394" s="3" t="str">
        <f aca="false">Raw_Data!H4394</f>
        <v>no</v>
      </c>
      <c r="J4394" s="2" t="n">
        <f aca="false">IF(F4394="yes",1,0)</f>
        <v>0</v>
      </c>
      <c r="K4394" s="2" t="n">
        <f aca="false">IF(H4394="yes",1,0)</f>
        <v>0</v>
      </c>
      <c r="L4394" s="2" t="n">
        <f aca="false">IF(I4394="yes",1,0)</f>
        <v>0</v>
      </c>
      <c r="M4394" s="2" t="n">
        <f aca="false">IF(G4394&lt;0,1,0)</f>
        <v>0</v>
      </c>
      <c r="N4394" s="2" t="str">
        <f aca="false">_xlfn.IFS(B4394&lt;30,"Under 30",B4394&lt;40,"30-39",B4394&lt;50,"40-49",B4394&lt;60,"50-59",TRUE(),"60+")</f>
        <v>50-59</v>
      </c>
      <c r="O4394" s="2" t="str">
        <f aca="false">_xlfn.IFS(G4394&lt;0,"1 Negative",G4394=0,"2 Zero",G4394&lt;=500,"3 1-500",G4394&lt;=2000,"4 501-2000",TRUE(),"5 Above 2000")</f>
        <v>5 Above 2000</v>
      </c>
      <c r="P4394" s="2" t="n">
        <f aca="false">Lookups!$B$2*M4394+Lookups!$B$3*L4394</f>
        <v>0</v>
      </c>
      <c r="Q4394" s="2" t="str">
        <f aca="false">INDEX(Lookups!$E$2:$E$5,MATCH(P4394,Lookups!$D$2:$D$5,0))</f>
        <v>Low</v>
      </c>
    </row>
    <row r="4395" customFormat="false" ht="15" hidden="false" customHeight="false" outlineLevel="0" collapsed="false">
      <c r="A4395" s="3" t="n">
        <v>4394</v>
      </c>
      <c r="B4395" s="3" t="n">
        <f aca="false">Raw_Data!A4395</f>
        <v>30</v>
      </c>
      <c r="C4395" s="3" t="str">
        <f aca="false">SUBSTITUTE(Raw_Data!B4395,".","")</f>
        <v>technician</v>
      </c>
      <c r="D4395" s="3" t="str">
        <f aca="false">Raw_Data!C4395</f>
        <v>married</v>
      </c>
      <c r="E4395" s="3" t="str">
        <f aca="false">Raw_Data!D4395</f>
        <v>tertiary</v>
      </c>
      <c r="F4395" s="3" t="str">
        <f aca="false">Raw_Data!E4395</f>
        <v>no</v>
      </c>
      <c r="G4395" s="3" t="n">
        <f aca="false">Raw_Data!F4395</f>
        <v>101</v>
      </c>
      <c r="H4395" s="3" t="str">
        <f aca="false">Raw_Data!G4395</f>
        <v>yes</v>
      </c>
      <c r="I4395" s="3" t="str">
        <f aca="false">Raw_Data!H4395</f>
        <v>yes</v>
      </c>
      <c r="J4395" s="2" t="n">
        <f aca="false">IF(F4395="yes",1,0)</f>
        <v>0</v>
      </c>
      <c r="K4395" s="2" t="n">
        <f aca="false">IF(H4395="yes",1,0)</f>
        <v>1</v>
      </c>
      <c r="L4395" s="2" t="n">
        <f aca="false">IF(I4395="yes",1,0)</f>
        <v>1</v>
      </c>
      <c r="M4395" s="2" t="n">
        <f aca="false">IF(G4395&lt;0,1,0)</f>
        <v>0</v>
      </c>
      <c r="N4395" s="2" t="str">
        <f aca="false">_xlfn.IFS(B4395&lt;30,"Under 30",B4395&lt;40,"30-39",B4395&lt;50,"40-49",B4395&lt;60,"50-59",TRUE(),"60+")</f>
        <v>30-39</v>
      </c>
      <c r="O4395" s="2" t="str">
        <f aca="false">_xlfn.IFS(G4395&lt;0,"1 Negative",G4395=0,"2 Zero",G4395&lt;=500,"3 1-500",G4395&lt;=2000,"4 501-2000",TRUE(),"5 Above 2000")</f>
        <v>3 1-500</v>
      </c>
      <c r="P4395" s="2" t="n">
        <f aca="false">Lookups!$B$2*M4395+Lookups!$B$3*L4395</f>
        <v>1</v>
      </c>
      <c r="Q4395" s="2" t="str">
        <f aca="false">INDEX(Lookups!$E$2:$E$5,MATCH(P4395,Lookups!$D$2:$D$5,0))</f>
        <v>Medium</v>
      </c>
    </row>
    <row r="4396" customFormat="false" ht="15" hidden="false" customHeight="false" outlineLevel="0" collapsed="false">
      <c r="A4396" s="3" t="n">
        <v>4395</v>
      </c>
      <c r="B4396" s="3" t="n">
        <f aca="false">Raw_Data!A4396</f>
        <v>43</v>
      </c>
      <c r="C4396" s="3" t="str">
        <f aca="false">SUBSTITUTE(Raw_Data!B4396,".","")</f>
        <v>blue-collar</v>
      </c>
      <c r="D4396" s="3" t="str">
        <f aca="false">Raw_Data!C4396</f>
        <v>married</v>
      </c>
      <c r="E4396" s="3" t="str">
        <f aca="false">Raw_Data!D4396</f>
        <v>secondary</v>
      </c>
      <c r="F4396" s="3" t="str">
        <f aca="false">Raw_Data!E4396</f>
        <v>no</v>
      </c>
      <c r="G4396" s="3" t="n">
        <f aca="false">Raw_Data!F4396</f>
        <v>10910</v>
      </c>
      <c r="H4396" s="3" t="str">
        <f aca="false">Raw_Data!G4396</f>
        <v>yes</v>
      </c>
      <c r="I4396" s="3" t="str">
        <f aca="false">Raw_Data!H4396</f>
        <v>no</v>
      </c>
      <c r="J4396" s="2" t="n">
        <f aca="false">IF(F4396="yes",1,0)</f>
        <v>0</v>
      </c>
      <c r="K4396" s="2" t="n">
        <f aca="false">IF(H4396="yes",1,0)</f>
        <v>1</v>
      </c>
      <c r="L4396" s="2" t="n">
        <f aca="false">IF(I4396="yes",1,0)</f>
        <v>0</v>
      </c>
      <c r="M4396" s="2" t="n">
        <f aca="false">IF(G4396&lt;0,1,0)</f>
        <v>0</v>
      </c>
      <c r="N4396" s="2" t="str">
        <f aca="false">_xlfn.IFS(B4396&lt;30,"Under 30",B4396&lt;40,"30-39",B4396&lt;50,"40-49",B4396&lt;60,"50-59",TRUE(),"60+")</f>
        <v>40-49</v>
      </c>
      <c r="O4396" s="2" t="str">
        <f aca="false">_xlfn.IFS(G4396&lt;0,"1 Negative",G4396=0,"2 Zero",G4396&lt;=500,"3 1-500",G4396&lt;=2000,"4 501-2000",TRUE(),"5 Above 2000")</f>
        <v>5 Above 2000</v>
      </c>
      <c r="P4396" s="2" t="n">
        <f aca="false">Lookups!$B$2*M4396+Lookups!$B$3*L4396</f>
        <v>0</v>
      </c>
      <c r="Q4396" s="2" t="str">
        <f aca="false">INDEX(Lookups!$E$2:$E$5,MATCH(P4396,Lookups!$D$2:$D$5,0))</f>
        <v>Low</v>
      </c>
    </row>
    <row r="4397" customFormat="false" ht="15" hidden="false" customHeight="false" outlineLevel="0" collapsed="false">
      <c r="A4397" s="3" t="n">
        <v>4396</v>
      </c>
      <c r="B4397" s="3" t="n">
        <f aca="false">Raw_Data!A4397</f>
        <v>49</v>
      </c>
      <c r="C4397" s="3" t="str">
        <f aca="false">SUBSTITUTE(Raw_Data!B4397,".","")</f>
        <v>blue-collar</v>
      </c>
      <c r="D4397" s="3" t="str">
        <f aca="false">Raw_Data!C4397</f>
        <v>married</v>
      </c>
      <c r="E4397" s="3" t="str">
        <f aca="false">Raw_Data!D4397</f>
        <v>secondary</v>
      </c>
      <c r="F4397" s="3" t="str">
        <f aca="false">Raw_Data!E4397</f>
        <v>no</v>
      </c>
      <c r="G4397" s="3" t="n">
        <f aca="false">Raw_Data!F4397</f>
        <v>1568</v>
      </c>
      <c r="H4397" s="3" t="str">
        <f aca="false">Raw_Data!G4397</f>
        <v>no</v>
      </c>
      <c r="I4397" s="3" t="str">
        <f aca="false">Raw_Data!H4397</f>
        <v>no</v>
      </c>
      <c r="J4397" s="2" t="n">
        <f aca="false">IF(F4397="yes",1,0)</f>
        <v>0</v>
      </c>
      <c r="K4397" s="2" t="n">
        <f aca="false">IF(H4397="yes",1,0)</f>
        <v>0</v>
      </c>
      <c r="L4397" s="2" t="n">
        <f aca="false">IF(I4397="yes",1,0)</f>
        <v>0</v>
      </c>
      <c r="M4397" s="2" t="n">
        <f aca="false">IF(G4397&lt;0,1,0)</f>
        <v>0</v>
      </c>
      <c r="N4397" s="2" t="str">
        <f aca="false">_xlfn.IFS(B4397&lt;30,"Under 30",B4397&lt;40,"30-39",B4397&lt;50,"40-49",B4397&lt;60,"50-59",TRUE(),"60+")</f>
        <v>40-49</v>
      </c>
      <c r="O4397" s="2" t="str">
        <f aca="false">_xlfn.IFS(G4397&lt;0,"1 Negative",G4397=0,"2 Zero",G4397&lt;=500,"3 1-500",G4397&lt;=2000,"4 501-2000",TRUE(),"5 Above 2000")</f>
        <v>4 501-2000</v>
      </c>
      <c r="P4397" s="2" t="n">
        <f aca="false">Lookups!$B$2*M4397+Lookups!$B$3*L4397</f>
        <v>0</v>
      </c>
      <c r="Q4397" s="2" t="str">
        <f aca="false">INDEX(Lookups!$E$2:$E$5,MATCH(P4397,Lookups!$D$2:$D$5,0))</f>
        <v>Low</v>
      </c>
    </row>
    <row r="4398" customFormat="false" ht="15" hidden="false" customHeight="false" outlineLevel="0" collapsed="false">
      <c r="A4398" s="3" t="n">
        <v>4397</v>
      </c>
      <c r="B4398" s="3" t="n">
        <f aca="false">Raw_Data!A4398</f>
        <v>41</v>
      </c>
      <c r="C4398" s="3" t="str">
        <f aca="false">SUBSTITUTE(Raw_Data!B4398,".","")</f>
        <v>retired</v>
      </c>
      <c r="D4398" s="3" t="str">
        <f aca="false">Raw_Data!C4398</f>
        <v>single</v>
      </c>
      <c r="E4398" s="3" t="str">
        <f aca="false">Raw_Data!D4398</f>
        <v>primary</v>
      </c>
      <c r="F4398" s="3" t="str">
        <f aca="false">Raw_Data!E4398</f>
        <v>no</v>
      </c>
      <c r="G4398" s="3" t="n">
        <f aca="false">Raw_Data!F4398</f>
        <v>0</v>
      </c>
      <c r="H4398" s="3" t="str">
        <f aca="false">Raw_Data!G4398</f>
        <v>no</v>
      </c>
      <c r="I4398" s="3" t="str">
        <f aca="false">Raw_Data!H4398</f>
        <v>no</v>
      </c>
      <c r="J4398" s="2" t="n">
        <f aca="false">IF(F4398="yes",1,0)</f>
        <v>0</v>
      </c>
      <c r="K4398" s="2" t="n">
        <f aca="false">IF(H4398="yes",1,0)</f>
        <v>0</v>
      </c>
      <c r="L4398" s="2" t="n">
        <f aca="false">IF(I4398="yes",1,0)</f>
        <v>0</v>
      </c>
      <c r="M4398" s="2" t="n">
        <f aca="false">IF(G4398&lt;0,1,0)</f>
        <v>0</v>
      </c>
      <c r="N4398" s="2" t="str">
        <f aca="false">_xlfn.IFS(B4398&lt;30,"Under 30",B4398&lt;40,"30-39",B4398&lt;50,"40-49",B4398&lt;60,"50-59",TRUE(),"60+")</f>
        <v>40-49</v>
      </c>
      <c r="O4398" s="2" t="str">
        <f aca="false">_xlfn.IFS(G4398&lt;0,"1 Negative",G4398=0,"2 Zero",G4398&lt;=500,"3 1-500",G4398&lt;=2000,"4 501-2000",TRUE(),"5 Above 2000")</f>
        <v>2 Zero</v>
      </c>
      <c r="P4398" s="2" t="n">
        <f aca="false">Lookups!$B$2*M4398+Lookups!$B$3*L4398</f>
        <v>0</v>
      </c>
      <c r="Q4398" s="2" t="str">
        <f aca="false">INDEX(Lookups!$E$2:$E$5,MATCH(P4398,Lookups!$D$2:$D$5,0))</f>
        <v>Low</v>
      </c>
    </row>
    <row r="4399" customFormat="false" ht="15" hidden="false" customHeight="false" outlineLevel="0" collapsed="false">
      <c r="A4399" s="3" t="n">
        <v>4398</v>
      </c>
      <c r="B4399" s="3" t="n">
        <f aca="false">Raw_Data!A4399</f>
        <v>35</v>
      </c>
      <c r="C4399" s="3" t="str">
        <f aca="false">SUBSTITUTE(Raw_Data!B4399,".","")</f>
        <v>blue-collar</v>
      </c>
      <c r="D4399" s="3" t="str">
        <f aca="false">Raw_Data!C4399</f>
        <v>married</v>
      </c>
      <c r="E4399" s="3" t="str">
        <f aca="false">Raw_Data!D4399</f>
        <v>secondary</v>
      </c>
      <c r="F4399" s="3" t="str">
        <f aca="false">Raw_Data!E4399</f>
        <v>no</v>
      </c>
      <c r="G4399" s="3" t="n">
        <f aca="false">Raw_Data!F4399</f>
        <v>305</v>
      </c>
      <c r="H4399" s="3" t="str">
        <f aca="false">Raw_Data!G4399</f>
        <v>yes</v>
      </c>
      <c r="I4399" s="3" t="str">
        <f aca="false">Raw_Data!H4399</f>
        <v>no</v>
      </c>
      <c r="J4399" s="2" t="n">
        <f aca="false">IF(F4399="yes",1,0)</f>
        <v>0</v>
      </c>
      <c r="K4399" s="2" t="n">
        <f aca="false">IF(H4399="yes",1,0)</f>
        <v>1</v>
      </c>
      <c r="L4399" s="2" t="n">
        <f aca="false">IF(I4399="yes",1,0)</f>
        <v>0</v>
      </c>
      <c r="M4399" s="2" t="n">
        <f aca="false">IF(G4399&lt;0,1,0)</f>
        <v>0</v>
      </c>
      <c r="N4399" s="2" t="str">
        <f aca="false">_xlfn.IFS(B4399&lt;30,"Under 30",B4399&lt;40,"30-39",B4399&lt;50,"40-49",B4399&lt;60,"50-59",TRUE(),"60+")</f>
        <v>30-39</v>
      </c>
      <c r="O4399" s="2" t="str">
        <f aca="false">_xlfn.IFS(G4399&lt;0,"1 Negative",G4399=0,"2 Zero",G4399&lt;=500,"3 1-500",G4399&lt;=2000,"4 501-2000",TRUE(),"5 Above 2000")</f>
        <v>3 1-500</v>
      </c>
      <c r="P4399" s="2" t="n">
        <f aca="false">Lookups!$B$2*M4399+Lookups!$B$3*L4399</f>
        <v>0</v>
      </c>
      <c r="Q4399" s="2" t="str">
        <f aca="false">INDEX(Lookups!$E$2:$E$5,MATCH(P4399,Lookups!$D$2:$D$5,0))</f>
        <v>Low</v>
      </c>
    </row>
    <row r="4400" customFormat="false" ht="15" hidden="false" customHeight="false" outlineLevel="0" collapsed="false">
      <c r="A4400" s="3" t="n">
        <v>4399</v>
      </c>
      <c r="B4400" s="3" t="n">
        <f aca="false">Raw_Data!A4400</f>
        <v>57</v>
      </c>
      <c r="C4400" s="3" t="str">
        <f aca="false">SUBSTITUTE(Raw_Data!B4400,".","")</f>
        <v>retired</v>
      </c>
      <c r="D4400" s="3" t="str">
        <f aca="false">Raw_Data!C4400</f>
        <v>married</v>
      </c>
      <c r="E4400" s="3" t="str">
        <f aca="false">Raw_Data!D4400</f>
        <v>tertiary</v>
      </c>
      <c r="F4400" s="3" t="str">
        <f aca="false">Raw_Data!E4400</f>
        <v>no</v>
      </c>
      <c r="G4400" s="3" t="n">
        <f aca="false">Raw_Data!F4400</f>
        <v>31</v>
      </c>
      <c r="H4400" s="3" t="str">
        <f aca="false">Raw_Data!G4400</f>
        <v>no</v>
      </c>
      <c r="I4400" s="3" t="str">
        <f aca="false">Raw_Data!H4400</f>
        <v>no</v>
      </c>
      <c r="J4400" s="2" t="n">
        <f aca="false">IF(F4400="yes",1,0)</f>
        <v>0</v>
      </c>
      <c r="K4400" s="2" t="n">
        <f aca="false">IF(H4400="yes",1,0)</f>
        <v>0</v>
      </c>
      <c r="L4400" s="2" t="n">
        <f aca="false">IF(I4400="yes",1,0)</f>
        <v>0</v>
      </c>
      <c r="M4400" s="2" t="n">
        <f aca="false">IF(G4400&lt;0,1,0)</f>
        <v>0</v>
      </c>
      <c r="N4400" s="2" t="str">
        <f aca="false">_xlfn.IFS(B4400&lt;30,"Under 30",B4400&lt;40,"30-39",B4400&lt;50,"40-49",B4400&lt;60,"50-59",TRUE(),"60+")</f>
        <v>50-59</v>
      </c>
      <c r="O4400" s="2" t="str">
        <f aca="false">_xlfn.IFS(G4400&lt;0,"1 Negative",G4400=0,"2 Zero",G4400&lt;=500,"3 1-500",G4400&lt;=2000,"4 501-2000",TRUE(),"5 Above 2000")</f>
        <v>3 1-500</v>
      </c>
      <c r="P4400" s="2" t="n">
        <f aca="false">Lookups!$B$2*M4400+Lookups!$B$3*L4400</f>
        <v>0</v>
      </c>
      <c r="Q4400" s="2" t="str">
        <f aca="false">INDEX(Lookups!$E$2:$E$5,MATCH(P4400,Lookups!$D$2:$D$5,0))</f>
        <v>Low</v>
      </c>
    </row>
    <row r="4401" customFormat="false" ht="15" hidden="false" customHeight="false" outlineLevel="0" collapsed="false">
      <c r="A4401" s="3" t="n">
        <v>4400</v>
      </c>
      <c r="B4401" s="3" t="n">
        <f aca="false">Raw_Data!A4401</f>
        <v>29</v>
      </c>
      <c r="C4401" s="3" t="str">
        <f aca="false">SUBSTITUTE(Raw_Data!B4401,".","")</f>
        <v>entrepreneur</v>
      </c>
      <c r="D4401" s="3" t="str">
        <f aca="false">Raw_Data!C4401</f>
        <v>married</v>
      </c>
      <c r="E4401" s="3" t="str">
        <f aca="false">Raw_Data!D4401</f>
        <v>secondary</v>
      </c>
      <c r="F4401" s="3" t="str">
        <f aca="false">Raw_Data!E4401</f>
        <v>no</v>
      </c>
      <c r="G4401" s="3" t="n">
        <f aca="false">Raw_Data!F4401</f>
        <v>452</v>
      </c>
      <c r="H4401" s="3" t="str">
        <f aca="false">Raw_Data!G4401</f>
        <v>yes</v>
      </c>
      <c r="I4401" s="3" t="str">
        <f aca="false">Raw_Data!H4401</f>
        <v>no</v>
      </c>
      <c r="J4401" s="2" t="n">
        <f aca="false">IF(F4401="yes",1,0)</f>
        <v>0</v>
      </c>
      <c r="K4401" s="2" t="n">
        <f aca="false">IF(H4401="yes",1,0)</f>
        <v>1</v>
      </c>
      <c r="L4401" s="2" t="n">
        <f aca="false">IF(I4401="yes",1,0)</f>
        <v>0</v>
      </c>
      <c r="M4401" s="2" t="n">
        <f aca="false">IF(G4401&lt;0,1,0)</f>
        <v>0</v>
      </c>
      <c r="N4401" s="2" t="str">
        <f aca="false">_xlfn.IFS(B4401&lt;30,"Under 30",B4401&lt;40,"30-39",B4401&lt;50,"40-49",B4401&lt;60,"50-59",TRUE(),"60+")</f>
        <v>Under 30</v>
      </c>
      <c r="O4401" s="2" t="str">
        <f aca="false">_xlfn.IFS(G4401&lt;0,"1 Negative",G4401=0,"2 Zero",G4401&lt;=500,"3 1-500",G4401&lt;=2000,"4 501-2000",TRUE(),"5 Above 2000")</f>
        <v>3 1-500</v>
      </c>
      <c r="P4401" s="2" t="n">
        <f aca="false">Lookups!$B$2*M4401+Lookups!$B$3*L4401</f>
        <v>0</v>
      </c>
      <c r="Q4401" s="2" t="str">
        <f aca="false">INDEX(Lookups!$E$2:$E$5,MATCH(P4401,Lookups!$D$2:$D$5,0))</f>
        <v>Low</v>
      </c>
    </row>
    <row r="4402" customFormat="false" ht="15" hidden="false" customHeight="false" outlineLevel="0" collapsed="false">
      <c r="A4402" s="3" t="n">
        <v>4401</v>
      </c>
      <c r="B4402" s="3" t="n">
        <f aca="false">Raw_Data!A4402</f>
        <v>48</v>
      </c>
      <c r="C4402" s="3" t="str">
        <f aca="false">SUBSTITUTE(Raw_Data!B4402,".","")</f>
        <v>admin</v>
      </c>
      <c r="D4402" s="3" t="str">
        <f aca="false">Raw_Data!C4402</f>
        <v>married</v>
      </c>
      <c r="E4402" s="3" t="str">
        <f aca="false">Raw_Data!D4402</f>
        <v>secondary</v>
      </c>
      <c r="F4402" s="3" t="str">
        <f aca="false">Raw_Data!E4402</f>
        <v>no</v>
      </c>
      <c r="G4402" s="3" t="n">
        <f aca="false">Raw_Data!F4402</f>
        <v>5</v>
      </c>
      <c r="H4402" s="3" t="str">
        <f aca="false">Raw_Data!G4402</f>
        <v>yes</v>
      </c>
      <c r="I4402" s="3" t="str">
        <f aca="false">Raw_Data!H4402</f>
        <v>no</v>
      </c>
      <c r="J4402" s="2" t="n">
        <f aca="false">IF(F4402="yes",1,0)</f>
        <v>0</v>
      </c>
      <c r="K4402" s="2" t="n">
        <f aca="false">IF(H4402="yes",1,0)</f>
        <v>1</v>
      </c>
      <c r="L4402" s="2" t="n">
        <f aca="false">IF(I4402="yes",1,0)</f>
        <v>0</v>
      </c>
      <c r="M4402" s="2" t="n">
        <f aca="false">IF(G4402&lt;0,1,0)</f>
        <v>0</v>
      </c>
      <c r="N4402" s="2" t="str">
        <f aca="false">_xlfn.IFS(B4402&lt;30,"Under 30",B4402&lt;40,"30-39",B4402&lt;50,"40-49",B4402&lt;60,"50-59",TRUE(),"60+")</f>
        <v>40-49</v>
      </c>
      <c r="O4402" s="2" t="str">
        <f aca="false">_xlfn.IFS(G4402&lt;0,"1 Negative",G4402=0,"2 Zero",G4402&lt;=500,"3 1-500",G4402&lt;=2000,"4 501-2000",TRUE(),"5 Above 2000")</f>
        <v>3 1-500</v>
      </c>
      <c r="P4402" s="2" t="n">
        <f aca="false">Lookups!$B$2*M4402+Lookups!$B$3*L4402</f>
        <v>0</v>
      </c>
      <c r="Q4402" s="2" t="str">
        <f aca="false">INDEX(Lookups!$E$2:$E$5,MATCH(P4402,Lookups!$D$2:$D$5,0))</f>
        <v>Low</v>
      </c>
    </row>
    <row r="4403" customFormat="false" ht="15" hidden="false" customHeight="false" outlineLevel="0" collapsed="false">
      <c r="A4403" s="3" t="n">
        <v>4402</v>
      </c>
      <c r="B4403" s="3" t="n">
        <f aca="false">Raw_Data!A4403</f>
        <v>38</v>
      </c>
      <c r="C4403" s="3" t="str">
        <f aca="false">SUBSTITUTE(Raw_Data!B4403,".","")</f>
        <v>entrepreneur</v>
      </c>
      <c r="D4403" s="3" t="str">
        <f aca="false">Raw_Data!C4403</f>
        <v>divorced</v>
      </c>
      <c r="E4403" s="3" t="str">
        <f aca="false">Raw_Data!D4403</f>
        <v>tertiary</v>
      </c>
      <c r="F4403" s="3" t="str">
        <f aca="false">Raw_Data!E4403</f>
        <v>no</v>
      </c>
      <c r="G4403" s="3" t="n">
        <f aca="false">Raw_Data!F4403</f>
        <v>7929</v>
      </c>
      <c r="H4403" s="3" t="str">
        <f aca="false">Raw_Data!G4403</f>
        <v>no</v>
      </c>
      <c r="I4403" s="3" t="str">
        <f aca="false">Raw_Data!H4403</f>
        <v>no</v>
      </c>
      <c r="J4403" s="2" t="n">
        <f aca="false">IF(F4403="yes",1,0)</f>
        <v>0</v>
      </c>
      <c r="K4403" s="2" t="n">
        <f aca="false">IF(H4403="yes",1,0)</f>
        <v>0</v>
      </c>
      <c r="L4403" s="2" t="n">
        <f aca="false">IF(I4403="yes",1,0)</f>
        <v>0</v>
      </c>
      <c r="M4403" s="2" t="n">
        <f aca="false">IF(G4403&lt;0,1,0)</f>
        <v>0</v>
      </c>
      <c r="N4403" s="2" t="str">
        <f aca="false">_xlfn.IFS(B4403&lt;30,"Under 30",B4403&lt;40,"30-39",B4403&lt;50,"40-49",B4403&lt;60,"50-59",TRUE(),"60+")</f>
        <v>30-39</v>
      </c>
      <c r="O4403" s="2" t="str">
        <f aca="false">_xlfn.IFS(G4403&lt;0,"1 Negative",G4403=0,"2 Zero",G4403&lt;=500,"3 1-500",G4403&lt;=2000,"4 501-2000",TRUE(),"5 Above 2000")</f>
        <v>5 Above 2000</v>
      </c>
      <c r="P4403" s="2" t="n">
        <f aca="false">Lookups!$B$2*M4403+Lookups!$B$3*L4403</f>
        <v>0</v>
      </c>
      <c r="Q4403" s="2" t="str">
        <f aca="false">INDEX(Lookups!$E$2:$E$5,MATCH(P4403,Lookups!$D$2:$D$5,0))</f>
        <v>Low</v>
      </c>
    </row>
    <row r="4404" customFormat="false" ht="15" hidden="false" customHeight="false" outlineLevel="0" collapsed="false">
      <c r="A4404" s="3" t="n">
        <v>4403</v>
      </c>
      <c r="B4404" s="3" t="n">
        <f aca="false">Raw_Data!A4404</f>
        <v>41</v>
      </c>
      <c r="C4404" s="3" t="str">
        <f aca="false">SUBSTITUTE(Raw_Data!B4404,".","")</f>
        <v>entrepreneur</v>
      </c>
      <c r="D4404" s="3" t="str">
        <f aca="false">Raw_Data!C4404</f>
        <v>married</v>
      </c>
      <c r="E4404" s="3" t="str">
        <f aca="false">Raw_Data!D4404</f>
        <v>primary</v>
      </c>
      <c r="F4404" s="3" t="str">
        <f aca="false">Raw_Data!E4404</f>
        <v>no</v>
      </c>
      <c r="G4404" s="3" t="n">
        <f aca="false">Raw_Data!F4404</f>
        <v>39</v>
      </c>
      <c r="H4404" s="3" t="str">
        <f aca="false">Raw_Data!G4404</f>
        <v>yes</v>
      </c>
      <c r="I4404" s="3" t="str">
        <f aca="false">Raw_Data!H4404</f>
        <v>no</v>
      </c>
      <c r="J4404" s="2" t="n">
        <f aca="false">IF(F4404="yes",1,0)</f>
        <v>0</v>
      </c>
      <c r="K4404" s="2" t="n">
        <f aca="false">IF(H4404="yes",1,0)</f>
        <v>1</v>
      </c>
      <c r="L4404" s="2" t="n">
        <f aca="false">IF(I4404="yes",1,0)</f>
        <v>0</v>
      </c>
      <c r="M4404" s="2" t="n">
        <f aca="false">IF(G4404&lt;0,1,0)</f>
        <v>0</v>
      </c>
      <c r="N4404" s="2" t="str">
        <f aca="false">_xlfn.IFS(B4404&lt;30,"Under 30",B4404&lt;40,"30-39",B4404&lt;50,"40-49",B4404&lt;60,"50-59",TRUE(),"60+")</f>
        <v>40-49</v>
      </c>
      <c r="O4404" s="2" t="str">
        <f aca="false">_xlfn.IFS(G4404&lt;0,"1 Negative",G4404=0,"2 Zero",G4404&lt;=500,"3 1-500",G4404&lt;=2000,"4 501-2000",TRUE(),"5 Above 2000")</f>
        <v>3 1-500</v>
      </c>
      <c r="P4404" s="2" t="n">
        <f aca="false">Lookups!$B$2*M4404+Lookups!$B$3*L4404</f>
        <v>0</v>
      </c>
      <c r="Q4404" s="2" t="str">
        <f aca="false">INDEX(Lookups!$E$2:$E$5,MATCH(P4404,Lookups!$D$2:$D$5,0))</f>
        <v>Low</v>
      </c>
    </row>
    <row r="4405" customFormat="false" ht="15" hidden="false" customHeight="false" outlineLevel="0" collapsed="false">
      <c r="A4405" s="3" t="n">
        <v>4404</v>
      </c>
      <c r="B4405" s="3" t="n">
        <f aca="false">Raw_Data!A4405</f>
        <v>39</v>
      </c>
      <c r="C4405" s="3" t="str">
        <f aca="false">SUBSTITUTE(Raw_Data!B4405,".","")</f>
        <v>housemaid</v>
      </c>
      <c r="D4405" s="3" t="str">
        <f aca="false">Raw_Data!C4405</f>
        <v>married</v>
      </c>
      <c r="E4405" s="3" t="str">
        <f aca="false">Raw_Data!D4405</f>
        <v>primary</v>
      </c>
      <c r="F4405" s="3" t="str">
        <f aca="false">Raw_Data!E4405</f>
        <v>no</v>
      </c>
      <c r="G4405" s="3" t="n">
        <f aca="false">Raw_Data!F4405</f>
        <v>267</v>
      </c>
      <c r="H4405" s="3" t="str">
        <f aca="false">Raw_Data!G4405</f>
        <v>no</v>
      </c>
      <c r="I4405" s="3" t="str">
        <f aca="false">Raw_Data!H4405</f>
        <v>no</v>
      </c>
      <c r="J4405" s="2" t="n">
        <f aca="false">IF(F4405="yes",1,0)</f>
        <v>0</v>
      </c>
      <c r="K4405" s="2" t="n">
        <f aca="false">IF(H4405="yes",1,0)</f>
        <v>0</v>
      </c>
      <c r="L4405" s="2" t="n">
        <f aca="false">IF(I4405="yes",1,0)</f>
        <v>0</v>
      </c>
      <c r="M4405" s="2" t="n">
        <f aca="false">IF(G4405&lt;0,1,0)</f>
        <v>0</v>
      </c>
      <c r="N4405" s="2" t="str">
        <f aca="false">_xlfn.IFS(B4405&lt;30,"Under 30",B4405&lt;40,"30-39",B4405&lt;50,"40-49",B4405&lt;60,"50-59",TRUE(),"60+")</f>
        <v>30-39</v>
      </c>
      <c r="O4405" s="2" t="str">
        <f aca="false">_xlfn.IFS(G4405&lt;0,"1 Negative",G4405=0,"2 Zero",G4405&lt;=500,"3 1-500",G4405&lt;=2000,"4 501-2000",TRUE(),"5 Above 2000")</f>
        <v>3 1-500</v>
      </c>
      <c r="P4405" s="2" t="n">
        <f aca="false">Lookups!$B$2*M4405+Lookups!$B$3*L4405</f>
        <v>0</v>
      </c>
      <c r="Q4405" s="2" t="str">
        <f aca="false">INDEX(Lookups!$E$2:$E$5,MATCH(P4405,Lookups!$D$2:$D$5,0))</f>
        <v>Low</v>
      </c>
    </row>
    <row r="4406" customFormat="false" ht="15" hidden="false" customHeight="false" outlineLevel="0" collapsed="false">
      <c r="A4406" s="3" t="n">
        <v>4405</v>
      </c>
      <c r="B4406" s="3" t="n">
        <f aca="false">Raw_Data!A4406</f>
        <v>31</v>
      </c>
      <c r="C4406" s="3" t="str">
        <f aca="false">SUBSTITUTE(Raw_Data!B4406,".","")</f>
        <v>management</v>
      </c>
      <c r="D4406" s="3" t="str">
        <f aca="false">Raw_Data!C4406</f>
        <v>married</v>
      </c>
      <c r="E4406" s="3" t="str">
        <f aca="false">Raw_Data!D4406</f>
        <v>tertiary</v>
      </c>
      <c r="F4406" s="3" t="str">
        <f aca="false">Raw_Data!E4406</f>
        <v>no</v>
      </c>
      <c r="G4406" s="3" t="n">
        <f aca="false">Raw_Data!F4406</f>
        <v>4945</v>
      </c>
      <c r="H4406" s="3" t="str">
        <f aca="false">Raw_Data!G4406</f>
        <v>no</v>
      </c>
      <c r="I4406" s="3" t="str">
        <f aca="false">Raw_Data!H4406</f>
        <v>no</v>
      </c>
      <c r="J4406" s="2" t="n">
        <f aca="false">IF(F4406="yes",1,0)</f>
        <v>0</v>
      </c>
      <c r="K4406" s="2" t="n">
        <f aca="false">IF(H4406="yes",1,0)</f>
        <v>0</v>
      </c>
      <c r="L4406" s="2" t="n">
        <f aca="false">IF(I4406="yes",1,0)</f>
        <v>0</v>
      </c>
      <c r="M4406" s="2" t="n">
        <f aca="false">IF(G4406&lt;0,1,0)</f>
        <v>0</v>
      </c>
      <c r="N4406" s="2" t="str">
        <f aca="false">_xlfn.IFS(B4406&lt;30,"Under 30",B4406&lt;40,"30-39",B4406&lt;50,"40-49",B4406&lt;60,"50-59",TRUE(),"60+")</f>
        <v>30-39</v>
      </c>
      <c r="O4406" s="2" t="str">
        <f aca="false">_xlfn.IFS(G4406&lt;0,"1 Negative",G4406=0,"2 Zero",G4406&lt;=500,"3 1-500",G4406&lt;=2000,"4 501-2000",TRUE(),"5 Above 2000")</f>
        <v>5 Above 2000</v>
      </c>
      <c r="P4406" s="2" t="n">
        <f aca="false">Lookups!$B$2*M4406+Lookups!$B$3*L4406</f>
        <v>0</v>
      </c>
      <c r="Q4406" s="2" t="str">
        <f aca="false">INDEX(Lookups!$E$2:$E$5,MATCH(P4406,Lookups!$D$2:$D$5,0))</f>
        <v>Low</v>
      </c>
    </row>
    <row r="4407" customFormat="false" ht="15" hidden="false" customHeight="false" outlineLevel="0" collapsed="false">
      <c r="A4407" s="3" t="n">
        <v>4406</v>
      </c>
      <c r="B4407" s="3" t="n">
        <f aca="false">Raw_Data!A4407</f>
        <v>51</v>
      </c>
      <c r="C4407" s="3" t="str">
        <f aca="false">SUBSTITUTE(Raw_Data!B4407,".","")</f>
        <v>technician</v>
      </c>
      <c r="D4407" s="3" t="str">
        <f aca="false">Raw_Data!C4407</f>
        <v>married</v>
      </c>
      <c r="E4407" s="3" t="str">
        <f aca="false">Raw_Data!D4407</f>
        <v>secondary</v>
      </c>
      <c r="F4407" s="3" t="str">
        <f aca="false">Raw_Data!E4407</f>
        <v>no</v>
      </c>
      <c r="G4407" s="3" t="n">
        <f aca="false">Raw_Data!F4407</f>
        <v>463</v>
      </c>
      <c r="H4407" s="3" t="str">
        <f aca="false">Raw_Data!G4407</f>
        <v>yes</v>
      </c>
      <c r="I4407" s="3" t="str">
        <f aca="false">Raw_Data!H4407</f>
        <v>no</v>
      </c>
      <c r="J4407" s="2" t="n">
        <f aca="false">IF(F4407="yes",1,0)</f>
        <v>0</v>
      </c>
      <c r="K4407" s="2" t="n">
        <f aca="false">IF(H4407="yes",1,0)</f>
        <v>1</v>
      </c>
      <c r="L4407" s="2" t="n">
        <f aca="false">IF(I4407="yes",1,0)</f>
        <v>0</v>
      </c>
      <c r="M4407" s="2" t="n">
        <f aca="false">IF(G4407&lt;0,1,0)</f>
        <v>0</v>
      </c>
      <c r="N4407" s="2" t="str">
        <f aca="false">_xlfn.IFS(B4407&lt;30,"Under 30",B4407&lt;40,"30-39",B4407&lt;50,"40-49",B4407&lt;60,"50-59",TRUE(),"60+")</f>
        <v>50-59</v>
      </c>
      <c r="O4407" s="2" t="str">
        <f aca="false">_xlfn.IFS(G4407&lt;0,"1 Negative",G4407=0,"2 Zero",G4407&lt;=500,"3 1-500",G4407&lt;=2000,"4 501-2000",TRUE(),"5 Above 2000")</f>
        <v>3 1-500</v>
      </c>
      <c r="P4407" s="2" t="n">
        <f aca="false">Lookups!$B$2*M4407+Lookups!$B$3*L4407</f>
        <v>0</v>
      </c>
      <c r="Q4407" s="2" t="str">
        <f aca="false">INDEX(Lookups!$E$2:$E$5,MATCH(P4407,Lookups!$D$2:$D$5,0))</f>
        <v>Low</v>
      </c>
    </row>
    <row r="4408" customFormat="false" ht="15" hidden="false" customHeight="false" outlineLevel="0" collapsed="false">
      <c r="A4408" s="3" t="n">
        <v>4407</v>
      </c>
      <c r="B4408" s="3" t="n">
        <f aca="false">Raw_Data!A4408</f>
        <v>35</v>
      </c>
      <c r="C4408" s="3" t="str">
        <f aca="false">SUBSTITUTE(Raw_Data!B4408,".","")</f>
        <v>unemployed</v>
      </c>
      <c r="D4408" s="3" t="str">
        <f aca="false">Raw_Data!C4408</f>
        <v>single</v>
      </c>
      <c r="E4408" s="3" t="str">
        <f aca="false">Raw_Data!D4408</f>
        <v>secondary</v>
      </c>
      <c r="F4408" s="3" t="str">
        <f aca="false">Raw_Data!E4408</f>
        <v>no</v>
      </c>
      <c r="G4408" s="3" t="n">
        <f aca="false">Raw_Data!F4408</f>
        <v>2116</v>
      </c>
      <c r="H4408" s="3" t="str">
        <f aca="false">Raw_Data!G4408</f>
        <v>yes</v>
      </c>
      <c r="I4408" s="3" t="str">
        <f aca="false">Raw_Data!H4408</f>
        <v>no</v>
      </c>
      <c r="J4408" s="2" t="n">
        <f aca="false">IF(F4408="yes",1,0)</f>
        <v>0</v>
      </c>
      <c r="K4408" s="2" t="n">
        <f aca="false">IF(H4408="yes",1,0)</f>
        <v>1</v>
      </c>
      <c r="L4408" s="2" t="n">
        <f aca="false">IF(I4408="yes",1,0)</f>
        <v>0</v>
      </c>
      <c r="M4408" s="2" t="n">
        <f aca="false">IF(G4408&lt;0,1,0)</f>
        <v>0</v>
      </c>
      <c r="N4408" s="2" t="str">
        <f aca="false">_xlfn.IFS(B4408&lt;30,"Under 30",B4408&lt;40,"30-39",B4408&lt;50,"40-49",B4408&lt;60,"50-59",TRUE(),"60+")</f>
        <v>30-39</v>
      </c>
      <c r="O4408" s="2" t="str">
        <f aca="false">_xlfn.IFS(G4408&lt;0,"1 Negative",G4408=0,"2 Zero",G4408&lt;=500,"3 1-500",G4408&lt;=2000,"4 501-2000",TRUE(),"5 Above 2000")</f>
        <v>5 Above 2000</v>
      </c>
      <c r="P4408" s="2" t="n">
        <f aca="false">Lookups!$B$2*M4408+Lookups!$B$3*L4408</f>
        <v>0</v>
      </c>
      <c r="Q4408" s="2" t="str">
        <f aca="false">INDEX(Lookups!$E$2:$E$5,MATCH(P4408,Lookups!$D$2:$D$5,0))</f>
        <v>Low</v>
      </c>
    </row>
    <row r="4409" customFormat="false" ht="15" hidden="false" customHeight="false" outlineLevel="0" collapsed="false">
      <c r="A4409" s="3" t="n">
        <v>4408</v>
      </c>
      <c r="B4409" s="3" t="n">
        <f aca="false">Raw_Data!A4409</f>
        <v>45</v>
      </c>
      <c r="C4409" s="3" t="str">
        <f aca="false">SUBSTITUTE(Raw_Data!B4409,".","")</f>
        <v>admin</v>
      </c>
      <c r="D4409" s="3" t="str">
        <f aca="false">Raw_Data!C4409</f>
        <v>divorced</v>
      </c>
      <c r="E4409" s="3" t="str">
        <f aca="false">Raw_Data!D4409</f>
        <v>secondary</v>
      </c>
      <c r="F4409" s="3" t="str">
        <f aca="false">Raw_Data!E4409</f>
        <v>no</v>
      </c>
      <c r="G4409" s="3" t="n">
        <f aca="false">Raw_Data!F4409</f>
        <v>59</v>
      </c>
      <c r="H4409" s="3" t="str">
        <f aca="false">Raw_Data!G4409</f>
        <v>yes</v>
      </c>
      <c r="I4409" s="3" t="str">
        <f aca="false">Raw_Data!H4409</f>
        <v>no</v>
      </c>
      <c r="J4409" s="2" t="n">
        <f aca="false">IF(F4409="yes",1,0)</f>
        <v>0</v>
      </c>
      <c r="K4409" s="2" t="n">
        <f aca="false">IF(H4409="yes",1,0)</f>
        <v>1</v>
      </c>
      <c r="L4409" s="2" t="n">
        <f aca="false">IF(I4409="yes",1,0)</f>
        <v>0</v>
      </c>
      <c r="M4409" s="2" t="n">
        <f aca="false">IF(G4409&lt;0,1,0)</f>
        <v>0</v>
      </c>
      <c r="N4409" s="2" t="str">
        <f aca="false">_xlfn.IFS(B4409&lt;30,"Under 30",B4409&lt;40,"30-39",B4409&lt;50,"40-49",B4409&lt;60,"50-59",TRUE(),"60+")</f>
        <v>40-49</v>
      </c>
      <c r="O4409" s="2" t="str">
        <f aca="false">_xlfn.IFS(G4409&lt;0,"1 Negative",G4409=0,"2 Zero",G4409&lt;=500,"3 1-500",G4409&lt;=2000,"4 501-2000",TRUE(),"5 Above 2000")</f>
        <v>3 1-500</v>
      </c>
      <c r="P4409" s="2" t="n">
        <f aca="false">Lookups!$B$2*M4409+Lookups!$B$3*L4409</f>
        <v>0</v>
      </c>
      <c r="Q4409" s="2" t="str">
        <f aca="false">INDEX(Lookups!$E$2:$E$5,MATCH(P4409,Lookups!$D$2:$D$5,0))</f>
        <v>Low</v>
      </c>
    </row>
    <row r="4410" customFormat="false" ht="15" hidden="false" customHeight="false" outlineLevel="0" collapsed="false">
      <c r="A4410" s="3" t="n">
        <v>4409</v>
      </c>
      <c r="B4410" s="3" t="n">
        <f aca="false">Raw_Data!A4410</f>
        <v>28</v>
      </c>
      <c r="C4410" s="3" t="str">
        <f aca="false">SUBSTITUTE(Raw_Data!B4410,".","")</f>
        <v>blue-collar</v>
      </c>
      <c r="D4410" s="3" t="str">
        <f aca="false">Raw_Data!C4410</f>
        <v>married</v>
      </c>
      <c r="E4410" s="3" t="str">
        <f aca="false">Raw_Data!D4410</f>
        <v>secondary</v>
      </c>
      <c r="F4410" s="3" t="str">
        <f aca="false">Raw_Data!E4410</f>
        <v>no</v>
      </c>
      <c r="G4410" s="3" t="n">
        <f aca="false">Raw_Data!F4410</f>
        <v>131</v>
      </c>
      <c r="H4410" s="3" t="str">
        <f aca="false">Raw_Data!G4410</f>
        <v>yes</v>
      </c>
      <c r="I4410" s="3" t="str">
        <f aca="false">Raw_Data!H4410</f>
        <v>no</v>
      </c>
      <c r="J4410" s="2" t="n">
        <f aca="false">IF(F4410="yes",1,0)</f>
        <v>0</v>
      </c>
      <c r="K4410" s="2" t="n">
        <f aca="false">IF(H4410="yes",1,0)</f>
        <v>1</v>
      </c>
      <c r="L4410" s="2" t="n">
        <f aca="false">IF(I4410="yes",1,0)</f>
        <v>0</v>
      </c>
      <c r="M4410" s="2" t="n">
        <f aca="false">IF(G4410&lt;0,1,0)</f>
        <v>0</v>
      </c>
      <c r="N4410" s="2" t="str">
        <f aca="false">_xlfn.IFS(B4410&lt;30,"Under 30",B4410&lt;40,"30-39",B4410&lt;50,"40-49",B4410&lt;60,"50-59",TRUE(),"60+")</f>
        <v>Under 30</v>
      </c>
      <c r="O4410" s="2" t="str">
        <f aca="false">_xlfn.IFS(G4410&lt;0,"1 Negative",G4410=0,"2 Zero",G4410&lt;=500,"3 1-500",G4410&lt;=2000,"4 501-2000",TRUE(),"5 Above 2000")</f>
        <v>3 1-500</v>
      </c>
      <c r="P4410" s="2" t="n">
        <f aca="false">Lookups!$B$2*M4410+Lookups!$B$3*L4410</f>
        <v>0</v>
      </c>
      <c r="Q4410" s="2" t="str">
        <f aca="false">INDEX(Lookups!$E$2:$E$5,MATCH(P4410,Lookups!$D$2:$D$5,0))</f>
        <v>Low</v>
      </c>
    </row>
    <row r="4411" customFormat="false" ht="15" hidden="false" customHeight="false" outlineLevel="0" collapsed="false">
      <c r="A4411" s="3" t="n">
        <v>4410</v>
      </c>
      <c r="B4411" s="3" t="n">
        <f aca="false">Raw_Data!A4411</f>
        <v>57</v>
      </c>
      <c r="C4411" s="3" t="str">
        <f aca="false">SUBSTITUTE(Raw_Data!B4411,".","")</f>
        <v>retired</v>
      </c>
      <c r="D4411" s="3" t="str">
        <f aca="false">Raw_Data!C4411</f>
        <v>married</v>
      </c>
      <c r="E4411" s="3" t="str">
        <f aca="false">Raw_Data!D4411</f>
        <v>secondary</v>
      </c>
      <c r="F4411" s="3" t="str">
        <f aca="false">Raw_Data!E4411</f>
        <v>no</v>
      </c>
      <c r="G4411" s="3" t="n">
        <f aca="false">Raw_Data!F4411</f>
        <v>107</v>
      </c>
      <c r="H4411" s="3" t="str">
        <f aca="false">Raw_Data!G4411</f>
        <v>no</v>
      </c>
      <c r="I4411" s="3" t="str">
        <f aca="false">Raw_Data!H4411</f>
        <v>no</v>
      </c>
      <c r="J4411" s="2" t="n">
        <f aca="false">IF(F4411="yes",1,0)</f>
        <v>0</v>
      </c>
      <c r="K4411" s="2" t="n">
        <f aca="false">IF(H4411="yes",1,0)</f>
        <v>0</v>
      </c>
      <c r="L4411" s="2" t="n">
        <f aca="false">IF(I4411="yes",1,0)</f>
        <v>0</v>
      </c>
      <c r="M4411" s="2" t="n">
        <f aca="false">IF(G4411&lt;0,1,0)</f>
        <v>0</v>
      </c>
      <c r="N4411" s="2" t="str">
        <f aca="false">_xlfn.IFS(B4411&lt;30,"Under 30",B4411&lt;40,"30-39",B4411&lt;50,"40-49",B4411&lt;60,"50-59",TRUE(),"60+")</f>
        <v>50-59</v>
      </c>
      <c r="O4411" s="2" t="str">
        <f aca="false">_xlfn.IFS(G4411&lt;0,"1 Negative",G4411=0,"2 Zero",G4411&lt;=500,"3 1-500",G4411&lt;=2000,"4 501-2000",TRUE(),"5 Above 2000")</f>
        <v>3 1-500</v>
      </c>
      <c r="P4411" s="2" t="n">
        <f aca="false">Lookups!$B$2*M4411+Lookups!$B$3*L4411</f>
        <v>0</v>
      </c>
      <c r="Q4411" s="2" t="str">
        <f aca="false">INDEX(Lookups!$E$2:$E$5,MATCH(P4411,Lookups!$D$2:$D$5,0))</f>
        <v>Low</v>
      </c>
    </row>
    <row r="4412" customFormat="false" ht="15" hidden="false" customHeight="false" outlineLevel="0" collapsed="false">
      <c r="A4412" s="3" t="n">
        <v>4411</v>
      </c>
      <c r="B4412" s="3" t="n">
        <f aca="false">Raw_Data!A4412</f>
        <v>36</v>
      </c>
      <c r="C4412" s="3" t="str">
        <f aca="false">SUBSTITUTE(Raw_Data!B4412,".","")</f>
        <v>unemployed</v>
      </c>
      <c r="D4412" s="3" t="str">
        <f aca="false">Raw_Data!C4412</f>
        <v>married</v>
      </c>
      <c r="E4412" s="3" t="str">
        <f aca="false">Raw_Data!D4412</f>
        <v>secondary</v>
      </c>
      <c r="F4412" s="3" t="str">
        <f aca="false">Raw_Data!E4412</f>
        <v>no</v>
      </c>
      <c r="G4412" s="3" t="n">
        <f aca="false">Raw_Data!F4412</f>
        <v>-35</v>
      </c>
      <c r="H4412" s="3" t="str">
        <f aca="false">Raw_Data!G4412</f>
        <v>no</v>
      </c>
      <c r="I4412" s="3" t="str">
        <f aca="false">Raw_Data!H4412</f>
        <v>no</v>
      </c>
      <c r="J4412" s="2" t="n">
        <f aca="false">IF(F4412="yes",1,0)</f>
        <v>0</v>
      </c>
      <c r="K4412" s="2" t="n">
        <f aca="false">IF(H4412="yes",1,0)</f>
        <v>0</v>
      </c>
      <c r="L4412" s="2" t="n">
        <f aca="false">IF(I4412="yes",1,0)</f>
        <v>0</v>
      </c>
      <c r="M4412" s="2" t="n">
        <f aca="false">IF(G4412&lt;0,1,0)</f>
        <v>1</v>
      </c>
      <c r="N4412" s="2" t="str">
        <f aca="false">_xlfn.IFS(B4412&lt;30,"Under 30",B4412&lt;40,"30-39",B4412&lt;50,"40-49",B4412&lt;60,"50-59",TRUE(),"60+")</f>
        <v>30-39</v>
      </c>
      <c r="O4412" s="2" t="str">
        <f aca="false">_xlfn.IFS(G4412&lt;0,"1 Negative",G4412=0,"2 Zero",G4412&lt;=500,"3 1-500",G4412&lt;=2000,"4 501-2000",TRUE(),"5 Above 2000")</f>
        <v>1 Negative</v>
      </c>
      <c r="P4412" s="2" t="n">
        <f aca="false">Lookups!$B$2*M4412+Lookups!$B$3*L4412</f>
        <v>2</v>
      </c>
      <c r="Q4412" s="2" t="str">
        <f aca="false">INDEX(Lookups!$E$2:$E$5,MATCH(P4412,Lookups!$D$2:$D$5,0))</f>
        <v>High</v>
      </c>
    </row>
    <row r="4413" customFormat="false" ht="15" hidden="false" customHeight="false" outlineLevel="0" collapsed="false">
      <c r="A4413" s="3" t="n">
        <v>4412</v>
      </c>
      <c r="B4413" s="3" t="n">
        <f aca="false">Raw_Data!A4413</f>
        <v>49</v>
      </c>
      <c r="C4413" s="3" t="str">
        <f aca="false">SUBSTITUTE(Raw_Data!B4413,".","")</f>
        <v>technician</v>
      </c>
      <c r="D4413" s="3" t="str">
        <f aca="false">Raw_Data!C4413</f>
        <v>married</v>
      </c>
      <c r="E4413" s="3" t="str">
        <f aca="false">Raw_Data!D4413</f>
        <v>primary</v>
      </c>
      <c r="F4413" s="3" t="str">
        <f aca="false">Raw_Data!E4413</f>
        <v>no</v>
      </c>
      <c r="G4413" s="3" t="n">
        <f aca="false">Raw_Data!F4413</f>
        <v>230</v>
      </c>
      <c r="H4413" s="3" t="str">
        <f aca="false">Raw_Data!G4413</f>
        <v>yes</v>
      </c>
      <c r="I4413" s="3" t="str">
        <f aca="false">Raw_Data!H4413</f>
        <v>no</v>
      </c>
      <c r="J4413" s="2" t="n">
        <f aca="false">IF(F4413="yes",1,0)</f>
        <v>0</v>
      </c>
      <c r="K4413" s="2" t="n">
        <f aca="false">IF(H4413="yes",1,0)</f>
        <v>1</v>
      </c>
      <c r="L4413" s="2" t="n">
        <f aca="false">IF(I4413="yes",1,0)</f>
        <v>0</v>
      </c>
      <c r="M4413" s="2" t="n">
        <f aca="false">IF(G4413&lt;0,1,0)</f>
        <v>0</v>
      </c>
      <c r="N4413" s="2" t="str">
        <f aca="false">_xlfn.IFS(B4413&lt;30,"Under 30",B4413&lt;40,"30-39",B4413&lt;50,"40-49",B4413&lt;60,"50-59",TRUE(),"60+")</f>
        <v>40-49</v>
      </c>
      <c r="O4413" s="2" t="str">
        <f aca="false">_xlfn.IFS(G4413&lt;0,"1 Negative",G4413=0,"2 Zero",G4413&lt;=500,"3 1-500",G4413&lt;=2000,"4 501-2000",TRUE(),"5 Above 2000")</f>
        <v>3 1-500</v>
      </c>
      <c r="P4413" s="2" t="n">
        <f aca="false">Lookups!$B$2*M4413+Lookups!$B$3*L4413</f>
        <v>0</v>
      </c>
      <c r="Q4413" s="2" t="str">
        <f aca="false">INDEX(Lookups!$E$2:$E$5,MATCH(P4413,Lookups!$D$2:$D$5,0))</f>
        <v>Low</v>
      </c>
    </row>
    <row r="4414" customFormat="false" ht="15" hidden="false" customHeight="false" outlineLevel="0" collapsed="false">
      <c r="A4414" s="3" t="n">
        <v>4413</v>
      </c>
      <c r="B4414" s="3" t="n">
        <f aca="false">Raw_Data!A4414</f>
        <v>34</v>
      </c>
      <c r="C4414" s="3" t="str">
        <f aca="false">SUBSTITUTE(Raw_Data!B4414,".","")</f>
        <v>management</v>
      </c>
      <c r="D4414" s="3" t="str">
        <f aca="false">Raw_Data!C4414</f>
        <v>single</v>
      </c>
      <c r="E4414" s="3" t="str">
        <f aca="false">Raw_Data!D4414</f>
        <v>tertiary</v>
      </c>
      <c r="F4414" s="3" t="str">
        <f aca="false">Raw_Data!E4414</f>
        <v>no</v>
      </c>
      <c r="G4414" s="3" t="n">
        <f aca="false">Raw_Data!F4414</f>
        <v>2679</v>
      </c>
      <c r="H4414" s="3" t="str">
        <f aca="false">Raw_Data!G4414</f>
        <v>yes</v>
      </c>
      <c r="I4414" s="3" t="str">
        <f aca="false">Raw_Data!H4414</f>
        <v>no</v>
      </c>
      <c r="J4414" s="2" t="n">
        <f aca="false">IF(F4414="yes",1,0)</f>
        <v>0</v>
      </c>
      <c r="K4414" s="2" t="n">
        <f aca="false">IF(H4414="yes",1,0)</f>
        <v>1</v>
      </c>
      <c r="L4414" s="2" t="n">
        <f aca="false">IF(I4414="yes",1,0)</f>
        <v>0</v>
      </c>
      <c r="M4414" s="2" t="n">
        <f aca="false">IF(G4414&lt;0,1,0)</f>
        <v>0</v>
      </c>
      <c r="N4414" s="2" t="str">
        <f aca="false">_xlfn.IFS(B4414&lt;30,"Under 30",B4414&lt;40,"30-39",B4414&lt;50,"40-49",B4414&lt;60,"50-59",TRUE(),"60+")</f>
        <v>30-39</v>
      </c>
      <c r="O4414" s="2" t="str">
        <f aca="false">_xlfn.IFS(G4414&lt;0,"1 Negative",G4414=0,"2 Zero",G4414&lt;=500,"3 1-500",G4414&lt;=2000,"4 501-2000",TRUE(),"5 Above 2000")</f>
        <v>5 Above 2000</v>
      </c>
      <c r="P4414" s="2" t="n">
        <f aca="false">Lookups!$B$2*M4414+Lookups!$B$3*L4414</f>
        <v>0</v>
      </c>
      <c r="Q4414" s="2" t="str">
        <f aca="false">INDEX(Lookups!$E$2:$E$5,MATCH(P4414,Lookups!$D$2:$D$5,0))</f>
        <v>Low</v>
      </c>
    </row>
    <row r="4415" customFormat="false" ht="15" hidden="false" customHeight="false" outlineLevel="0" collapsed="false">
      <c r="A4415" s="3" t="n">
        <v>4414</v>
      </c>
      <c r="B4415" s="3" t="n">
        <f aca="false">Raw_Data!A4415</f>
        <v>65</v>
      </c>
      <c r="C4415" s="3" t="str">
        <f aca="false">SUBSTITUTE(Raw_Data!B4415,".","")</f>
        <v>retired</v>
      </c>
      <c r="D4415" s="3" t="str">
        <f aca="false">Raw_Data!C4415</f>
        <v>married</v>
      </c>
      <c r="E4415" s="3" t="str">
        <f aca="false">Raw_Data!D4415</f>
        <v>primary</v>
      </c>
      <c r="F4415" s="3" t="str">
        <f aca="false">Raw_Data!E4415</f>
        <v>no</v>
      </c>
      <c r="G4415" s="3" t="n">
        <f aca="false">Raw_Data!F4415</f>
        <v>493</v>
      </c>
      <c r="H4415" s="3" t="str">
        <f aca="false">Raw_Data!G4415</f>
        <v>no</v>
      </c>
      <c r="I4415" s="3" t="str">
        <f aca="false">Raw_Data!H4415</f>
        <v>no</v>
      </c>
      <c r="J4415" s="2" t="n">
        <f aca="false">IF(F4415="yes",1,0)</f>
        <v>0</v>
      </c>
      <c r="K4415" s="2" t="n">
        <f aca="false">IF(H4415="yes",1,0)</f>
        <v>0</v>
      </c>
      <c r="L4415" s="2" t="n">
        <f aca="false">IF(I4415="yes",1,0)</f>
        <v>0</v>
      </c>
      <c r="M4415" s="2" t="n">
        <f aca="false">IF(G4415&lt;0,1,0)</f>
        <v>0</v>
      </c>
      <c r="N4415" s="2" t="str">
        <f aca="false">_xlfn.IFS(B4415&lt;30,"Under 30",B4415&lt;40,"30-39",B4415&lt;50,"40-49",B4415&lt;60,"50-59",TRUE(),"60+")</f>
        <v>60+</v>
      </c>
      <c r="O4415" s="2" t="str">
        <f aca="false">_xlfn.IFS(G4415&lt;0,"1 Negative",G4415=0,"2 Zero",G4415&lt;=500,"3 1-500",G4415&lt;=2000,"4 501-2000",TRUE(),"5 Above 2000")</f>
        <v>3 1-500</v>
      </c>
      <c r="P4415" s="2" t="n">
        <f aca="false">Lookups!$B$2*M4415+Lookups!$B$3*L4415</f>
        <v>0</v>
      </c>
      <c r="Q4415" s="2" t="str">
        <f aca="false">INDEX(Lookups!$E$2:$E$5,MATCH(P4415,Lookups!$D$2:$D$5,0))</f>
        <v>Low</v>
      </c>
    </row>
    <row r="4416" customFormat="false" ht="15" hidden="false" customHeight="false" outlineLevel="0" collapsed="false">
      <c r="A4416" s="3" t="n">
        <v>4415</v>
      </c>
      <c r="B4416" s="3" t="n">
        <f aca="false">Raw_Data!A4416</f>
        <v>26</v>
      </c>
      <c r="C4416" s="3" t="str">
        <f aca="false">SUBSTITUTE(Raw_Data!B4416,".","")</f>
        <v>services</v>
      </c>
      <c r="D4416" s="3" t="str">
        <f aca="false">Raw_Data!C4416</f>
        <v>single</v>
      </c>
      <c r="E4416" s="3" t="str">
        <f aca="false">Raw_Data!D4416</f>
        <v>secondary</v>
      </c>
      <c r="F4416" s="3" t="str">
        <f aca="false">Raw_Data!E4416</f>
        <v>no</v>
      </c>
      <c r="G4416" s="3" t="n">
        <f aca="false">Raw_Data!F4416</f>
        <v>256</v>
      </c>
      <c r="H4416" s="3" t="str">
        <f aca="false">Raw_Data!G4416</f>
        <v>yes</v>
      </c>
      <c r="I4416" s="3" t="str">
        <f aca="false">Raw_Data!H4416</f>
        <v>no</v>
      </c>
      <c r="J4416" s="2" t="n">
        <f aca="false">IF(F4416="yes",1,0)</f>
        <v>0</v>
      </c>
      <c r="K4416" s="2" t="n">
        <f aca="false">IF(H4416="yes",1,0)</f>
        <v>1</v>
      </c>
      <c r="L4416" s="2" t="n">
        <f aca="false">IF(I4416="yes",1,0)</f>
        <v>0</v>
      </c>
      <c r="M4416" s="2" t="n">
        <f aca="false">IF(G4416&lt;0,1,0)</f>
        <v>0</v>
      </c>
      <c r="N4416" s="2" t="str">
        <f aca="false">_xlfn.IFS(B4416&lt;30,"Under 30",B4416&lt;40,"30-39",B4416&lt;50,"40-49",B4416&lt;60,"50-59",TRUE(),"60+")</f>
        <v>Under 30</v>
      </c>
      <c r="O4416" s="2" t="str">
        <f aca="false">_xlfn.IFS(G4416&lt;0,"1 Negative",G4416=0,"2 Zero",G4416&lt;=500,"3 1-500",G4416&lt;=2000,"4 501-2000",TRUE(),"5 Above 2000")</f>
        <v>3 1-500</v>
      </c>
      <c r="P4416" s="2" t="n">
        <f aca="false">Lookups!$B$2*M4416+Lookups!$B$3*L4416</f>
        <v>0</v>
      </c>
      <c r="Q4416" s="2" t="str">
        <f aca="false">INDEX(Lookups!$E$2:$E$5,MATCH(P4416,Lookups!$D$2:$D$5,0))</f>
        <v>Low</v>
      </c>
    </row>
    <row r="4417" customFormat="false" ht="15" hidden="false" customHeight="false" outlineLevel="0" collapsed="false">
      <c r="A4417" s="3" t="n">
        <v>4416</v>
      </c>
      <c r="B4417" s="3" t="n">
        <f aca="false">Raw_Data!A4417</f>
        <v>52</v>
      </c>
      <c r="C4417" s="3" t="str">
        <f aca="false">SUBSTITUTE(Raw_Data!B4417,".","")</f>
        <v>blue-collar</v>
      </c>
      <c r="D4417" s="3" t="str">
        <f aca="false">Raw_Data!C4417</f>
        <v>married</v>
      </c>
      <c r="E4417" s="3" t="str">
        <f aca="false">Raw_Data!D4417</f>
        <v>primary</v>
      </c>
      <c r="F4417" s="3" t="str">
        <f aca="false">Raw_Data!E4417</f>
        <v>no</v>
      </c>
      <c r="G4417" s="3" t="n">
        <f aca="false">Raw_Data!F4417</f>
        <v>-133</v>
      </c>
      <c r="H4417" s="3" t="str">
        <f aca="false">Raw_Data!G4417</f>
        <v>no</v>
      </c>
      <c r="I4417" s="3" t="str">
        <f aca="false">Raw_Data!H4417</f>
        <v>no</v>
      </c>
      <c r="J4417" s="2" t="n">
        <f aca="false">IF(F4417="yes",1,0)</f>
        <v>0</v>
      </c>
      <c r="K4417" s="2" t="n">
        <f aca="false">IF(H4417="yes",1,0)</f>
        <v>0</v>
      </c>
      <c r="L4417" s="2" t="n">
        <f aca="false">IF(I4417="yes",1,0)</f>
        <v>0</v>
      </c>
      <c r="M4417" s="2" t="n">
        <f aca="false">IF(G4417&lt;0,1,0)</f>
        <v>1</v>
      </c>
      <c r="N4417" s="2" t="str">
        <f aca="false">_xlfn.IFS(B4417&lt;30,"Under 30",B4417&lt;40,"30-39",B4417&lt;50,"40-49",B4417&lt;60,"50-59",TRUE(),"60+")</f>
        <v>50-59</v>
      </c>
      <c r="O4417" s="2" t="str">
        <f aca="false">_xlfn.IFS(G4417&lt;0,"1 Negative",G4417=0,"2 Zero",G4417&lt;=500,"3 1-500",G4417&lt;=2000,"4 501-2000",TRUE(),"5 Above 2000")</f>
        <v>1 Negative</v>
      </c>
      <c r="P4417" s="2" t="n">
        <f aca="false">Lookups!$B$2*M4417+Lookups!$B$3*L4417</f>
        <v>2</v>
      </c>
      <c r="Q4417" s="2" t="str">
        <f aca="false">INDEX(Lookups!$E$2:$E$5,MATCH(P4417,Lookups!$D$2:$D$5,0))</f>
        <v>High</v>
      </c>
    </row>
    <row r="4418" customFormat="false" ht="15" hidden="false" customHeight="false" outlineLevel="0" collapsed="false">
      <c r="A4418" s="3" t="n">
        <v>4417</v>
      </c>
      <c r="B4418" s="3" t="n">
        <f aca="false">Raw_Data!A4418</f>
        <v>32</v>
      </c>
      <c r="C4418" s="3" t="str">
        <f aca="false">SUBSTITUTE(Raw_Data!B4418,".","")</f>
        <v>blue-collar</v>
      </c>
      <c r="D4418" s="3" t="str">
        <f aca="false">Raw_Data!C4418</f>
        <v>single</v>
      </c>
      <c r="E4418" s="3" t="str">
        <f aca="false">Raw_Data!D4418</f>
        <v>secondary</v>
      </c>
      <c r="F4418" s="3" t="str">
        <f aca="false">Raw_Data!E4418</f>
        <v>no</v>
      </c>
      <c r="G4418" s="3" t="n">
        <f aca="false">Raw_Data!F4418</f>
        <v>811</v>
      </c>
      <c r="H4418" s="3" t="str">
        <f aca="false">Raw_Data!G4418</f>
        <v>yes</v>
      </c>
      <c r="I4418" s="3" t="str">
        <f aca="false">Raw_Data!H4418</f>
        <v>no</v>
      </c>
      <c r="J4418" s="2" t="n">
        <f aca="false">IF(F4418="yes",1,0)</f>
        <v>0</v>
      </c>
      <c r="K4418" s="2" t="n">
        <f aca="false">IF(H4418="yes",1,0)</f>
        <v>1</v>
      </c>
      <c r="L4418" s="2" t="n">
        <f aca="false">IF(I4418="yes",1,0)</f>
        <v>0</v>
      </c>
      <c r="M4418" s="2" t="n">
        <f aca="false">IF(G4418&lt;0,1,0)</f>
        <v>0</v>
      </c>
      <c r="N4418" s="2" t="str">
        <f aca="false">_xlfn.IFS(B4418&lt;30,"Under 30",B4418&lt;40,"30-39",B4418&lt;50,"40-49",B4418&lt;60,"50-59",TRUE(),"60+")</f>
        <v>30-39</v>
      </c>
      <c r="O4418" s="2" t="str">
        <f aca="false">_xlfn.IFS(G4418&lt;0,"1 Negative",G4418=0,"2 Zero",G4418&lt;=500,"3 1-500",G4418&lt;=2000,"4 501-2000",TRUE(),"5 Above 2000")</f>
        <v>4 501-2000</v>
      </c>
      <c r="P4418" s="2" t="n">
        <f aca="false">Lookups!$B$2*M4418+Lookups!$B$3*L4418</f>
        <v>0</v>
      </c>
      <c r="Q4418" s="2" t="str">
        <f aca="false">INDEX(Lookups!$E$2:$E$5,MATCH(P4418,Lookups!$D$2:$D$5,0))</f>
        <v>Low</v>
      </c>
    </row>
    <row r="4419" customFormat="false" ht="15" hidden="false" customHeight="false" outlineLevel="0" collapsed="false">
      <c r="A4419" s="3" t="n">
        <v>4418</v>
      </c>
      <c r="B4419" s="3" t="n">
        <f aca="false">Raw_Data!A4419</f>
        <v>33</v>
      </c>
      <c r="C4419" s="3" t="str">
        <f aca="false">SUBSTITUTE(Raw_Data!B4419,".","")</f>
        <v>unemployed</v>
      </c>
      <c r="D4419" s="3" t="str">
        <f aca="false">Raw_Data!C4419</f>
        <v>married</v>
      </c>
      <c r="E4419" s="3" t="str">
        <f aca="false">Raw_Data!D4419</f>
        <v>tertiary</v>
      </c>
      <c r="F4419" s="3" t="str">
        <f aca="false">Raw_Data!E4419</f>
        <v>no</v>
      </c>
      <c r="G4419" s="3" t="n">
        <f aca="false">Raw_Data!F4419</f>
        <v>302</v>
      </c>
      <c r="H4419" s="3" t="str">
        <f aca="false">Raw_Data!G4419</f>
        <v>yes</v>
      </c>
      <c r="I4419" s="3" t="str">
        <f aca="false">Raw_Data!H4419</f>
        <v>yes</v>
      </c>
      <c r="J4419" s="2" t="n">
        <f aca="false">IF(F4419="yes",1,0)</f>
        <v>0</v>
      </c>
      <c r="K4419" s="2" t="n">
        <f aca="false">IF(H4419="yes",1,0)</f>
        <v>1</v>
      </c>
      <c r="L4419" s="2" t="n">
        <f aca="false">IF(I4419="yes",1,0)</f>
        <v>1</v>
      </c>
      <c r="M4419" s="2" t="n">
        <f aca="false">IF(G4419&lt;0,1,0)</f>
        <v>0</v>
      </c>
      <c r="N4419" s="2" t="str">
        <f aca="false">_xlfn.IFS(B4419&lt;30,"Under 30",B4419&lt;40,"30-39",B4419&lt;50,"40-49",B4419&lt;60,"50-59",TRUE(),"60+")</f>
        <v>30-39</v>
      </c>
      <c r="O4419" s="2" t="str">
        <f aca="false">_xlfn.IFS(G4419&lt;0,"1 Negative",G4419=0,"2 Zero",G4419&lt;=500,"3 1-500",G4419&lt;=2000,"4 501-2000",TRUE(),"5 Above 2000")</f>
        <v>3 1-500</v>
      </c>
      <c r="P4419" s="2" t="n">
        <f aca="false">Lookups!$B$2*M4419+Lookups!$B$3*L4419</f>
        <v>1</v>
      </c>
      <c r="Q4419" s="2" t="str">
        <f aca="false">INDEX(Lookups!$E$2:$E$5,MATCH(P4419,Lookups!$D$2:$D$5,0))</f>
        <v>Medium</v>
      </c>
    </row>
    <row r="4420" customFormat="false" ht="15" hidden="false" customHeight="false" outlineLevel="0" collapsed="false">
      <c r="A4420" s="3" t="n">
        <v>4419</v>
      </c>
      <c r="B4420" s="3" t="n">
        <f aca="false">Raw_Data!A4420</f>
        <v>43</v>
      </c>
      <c r="C4420" s="3" t="str">
        <f aca="false">SUBSTITUTE(Raw_Data!B4420,".","")</f>
        <v>management</v>
      </c>
      <c r="D4420" s="3" t="str">
        <f aca="false">Raw_Data!C4420</f>
        <v>married</v>
      </c>
      <c r="E4420" s="3" t="str">
        <f aca="false">Raw_Data!D4420</f>
        <v>tertiary</v>
      </c>
      <c r="F4420" s="3" t="str">
        <f aca="false">Raw_Data!E4420</f>
        <v>no</v>
      </c>
      <c r="G4420" s="3" t="n">
        <f aca="false">Raw_Data!F4420</f>
        <v>3529</v>
      </c>
      <c r="H4420" s="3" t="str">
        <f aca="false">Raw_Data!G4420</f>
        <v>yes</v>
      </c>
      <c r="I4420" s="3" t="str">
        <f aca="false">Raw_Data!H4420</f>
        <v>no</v>
      </c>
      <c r="J4420" s="2" t="n">
        <f aca="false">IF(F4420="yes",1,0)</f>
        <v>0</v>
      </c>
      <c r="K4420" s="2" t="n">
        <f aca="false">IF(H4420="yes",1,0)</f>
        <v>1</v>
      </c>
      <c r="L4420" s="2" t="n">
        <f aca="false">IF(I4420="yes",1,0)</f>
        <v>0</v>
      </c>
      <c r="M4420" s="2" t="n">
        <f aca="false">IF(G4420&lt;0,1,0)</f>
        <v>0</v>
      </c>
      <c r="N4420" s="2" t="str">
        <f aca="false">_xlfn.IFS(B4420&lt;30,"Under 30",B4420&lt;40,"30-39",B4420&lt;50,"40-49",B4420&lt;60,"50-59",TRUE(),"60+")</f>
        <v>40-49</v>
      </c>
      <c r="O4420" s="2" t="str">
        <f aca="false">_xlfn.IFS(G4420&lt;0,"1 Negative",G4420=0,"2 Zero",G4420&lt;=500,"3 1-500",G4420&lt;=2000,"4 501-2000",TRUE(),"5 Above 2000")</f>
        <v>5 Above 2000</v>
      </c>
      <c r="P4420" s="2" t="n">
        <f aca="false">Lookups!$B$2*M4420+Lookups!$B$3*L4420</f>
        <v>0</v>
      </c>
      <c r="Q4420" s="2" t="str">
        <f aca="false">INDEX(Lookups!$E$2:$E$5,MATCH(P4420,Lookups!$D$2:$D$5,0))</f>
        <v>Low</v>
      </c>
    </row>
    <row r="4421" customFormat="false" ht="15" hidden="false" customHeight="false" outlineLevel="0" collapsed="false">
      <c r="A4421" s="3" t="n">
        <v>4420</v>
      </c>
      <c r="B4421" s="3" t="n">
        <f aca="false">Raw_Data!A4421</f>
        <v>26</v>
      </c>
      <c r="C4421" s="3" t="str">
        <f aca="false">SUBSTITUTE(Raw_Data!B4421,".","")</f>
        <v>technician</v>
      </c>
      <c r="D4421" s="3" t="str">
        <f aca="false">Raw_Data!C4421</f>
        <v>single</v>
      </c>
      <c r="E4421" s="3" t="str">
        <f aca="false">Raw_Data!D4421</f>
        <v>tertiary</v>
      </c>
      <c r="F4421" s="3" t="str">
        <f aca="false">Raw_Data!E4421</f>
        <v>no</v>
      </c>
      <c r="G4421" s="3" t="n">
        <f aca="false">Raw_Data!F4421</f>
        <v>75</v>
      </c>
      <c r="H4421" s="3" t="str">
        <f aca="false">Raw_Data!G4421</f>
        <v>yes</v>
      </c>
      <c r="I4421" s="3" t="str">
        <f aca="false">Raw_Data!H4421</f>
        <v>yes</v>
      </c>
      <c r="J4421" s="2" t="n">
        <f aca="false">IF(F4421="yes",1,0)</f>
        <v>0</v>
      </c>
      <c r="K4421" s="2" t="n">
        <f aca="false">IF(H4421="yes",1,0)</f>
        <v>1</v>
      </c>
      <c r="L4421" s="2" t="n">
        <f aca="false">IF(I4421="yes",1,0)</f>
        <v>1</v>
      </c>
      <c r="M4421" s="2" t="n">
        <f aca="false">IF(G4421&lt;0,1,0)</f>
        <v>0</v>
      </c>
      <c r="N4421" s="2" t="str">
        <f aca="false">_xlfn.IFS(B4421&lt;30,"Under 30",B4421&lt;40,"30-39",B4421&lt;50,"40-49",B4421&lt;60,"50-59",TRUE(),"60+")</f>
        <v>Under 30</v>
      </c>
      <c r="O4421" s="2" t="str">
        <f aca="false">_xlfn.IFS(G4421&lt;0,"1 Negative",G4421=0,"2 Zero",G4421&lt;=500,"3 1-500",G4421&lt;=2000,"4 501-2000",TRUE(),"5 Above 2000")</f>
        <v>3 1-500</v>
      </c>
      <c r="P4421" s="2" t="n">
        <f aca="false">Lookups!$B$2*M4421+Lookups!$B$3*L4421</f>
        <v>1</v>
      </c>
      <c r="Q4421" s="2" t="str">
        <f aca="false">INDEX(Lookups!$E$2:$E$5,MATCH(P4421,Lookups!$D$2:$D$5,0))</f>
        <v>Medium</v>
      </c>
    </row>
    <row r="4422" customFormat="false" ht="15" hidden="false" customHeight="false" outlineLevel="0" collapsed="false">
      <c r="A4422" s="3" t="n">
        <v>4421</v>
      </c>
      <c r="B4422" s="3" t="n">
        <f aca="false">Raw_Data!A4422</f>
        <v>45</v>
      </c>
      <c r="C4422" s="3" t="str">
        <f aca="false">SUBSTITUTE(Raw_Data!B4422,".","")</f>
        <v>technician</v>
      </c>
      <c r="D4422" s="3" t="str">
        <f aca="false">Raw_Data!C4422</f>
        <v>married</v>
      </c>
      <c r="E4422" s="3" t="str">
        <f aca="false">Raw_Data!D4422</f>
        <v>secondary</v>
      </c>
      <c r="F4422" s="3" t="str">
        <f aca="false">Raw_Data!E4422</f>
        <v>no</v>
      </c>
      <c r="G4422" s="3" t="n">
        <f aca="false">Raw_Data!F4422</f>
        <v>999</v>
      </c>
      <c r="H4422" s="3" t="str">
        <f aca="false">Raw_Data!G4422</f>
        <v>yes</v>
      </c>
      <c r="I4422" s="3" t="str">
        <f aca="false">Raw_Data!H4422</f>
        <v>no</v>
      </c>
      <c r="J4422" s="2" t="n">
        <f aca="false">IF(F4422="yes",1,0)</f>
        <v>0</v>
      </c>
      <c r="K4422" s="2" t="n">
        <f aca="false">IF(H4422="yes",1,0)</f>
        <v>1</v>
      </c>
      <c r="L4422" s="2" t="n">
        <f aca="false">IF(I4422="yes",1,0)</f>
        <v>0</v>
      </c>
      <c r="M4422" s="2" t="n">
        <f aca="false">IF(G4422&lt;0,1,0)</f>
        <v>0</v>
      </c>
      <c r="N4422" s="2" t="str">
        <f aca="false">_xlfn.IFS(B4422&lt;30,"Under 30",B4422&lt;40,"30-39",B4422&lt;50,"40-49",B4422&lt;60,"50-59",TRUE(),"60+")</f>
        <v>40-49</v>
      </c>
      <c r="O4422" s="2" t="str">
        <f aca="false">_xlfn.IFS(G4422&lt;0,"1 Negative",G4422=0,"2 Zero",G4422&lt;=500,"3 1-500",G4422&lt;=2000,"4 501-2000",TRUE(),"5 Above 2000")</f>
        <v>4 501-2000</v>
      </c>
      <c r="P4422" s="2" t="n">
        <f aca="false">Lookups!$B$2*M4422+Lookups!$B$3*L4422</f>
        <v>0</v>
      </c>
      <c r="Q4422" s="2" t="str">
        <f aca="false">INDEX(Lookups!$E$2:$E$5,MATCH(P4422,Lookups!$D$2:$D$5,0))</f>
        <v>Low</v>
      </c>
    </row>
    <row r="4423" customFormat="false" ht="15" hidden="false" customHeight="false" outlineLevel="0" collapsed="false">
      <c r="A4423" s="3" t="n">
        <v>4422</v>
      </c>
      <c r="B4423" s="3" t="n">
        <f aca="false">Raw_Data!A4423</f>
        <v>30</v>
      </c>
      <c r="C4423" s="3" t="str">
        <f aca="false">SUBSTITUTE(Raw_Data!B4423,".","")</f>
        <v>management</v>
      </c>
      <c r="D4423" s="3" t="str">
        <f aca="false">Raw_Data!C4423</f>
        <v>single</v>
      </c>
      <c r="E4423" s="3" t="str">
        <f aca="false">Raw_Data!D4423</f>
        <v>tertiary</v>
      </c>
      <c r="F4423" s="3" t="str">
        <f aca="false">Raw_Data!E4423</f>
        <v>no</v>
      </c>
      <c r="G4423" s="3" t="n">
        <f aca="false">Raw_Data!F4423</f>
        <v>7845</v>
      </c>
      <c r="H4423" s="3" t="str">
        <f aca="false">Raw_Data!G4423</f>
        <v>yes</v>
      </c>
      <c r="I4423" s="3" t="str">
        <f aca="false">Raw_Data!H4423</f>
        <v>no</v>
      </c>
      <c r="J4423" s="2" t="n">
        <f aca="false">IF(F4423="yes",1,0)</f>
        <v>0</v>
      </c>
      <c r="K4423" s="2" t="n">
        <f aca="false">IF(H4423="yes",1,0)</f>
        <v>1</v>
      </c>
      <c r="L4423" s="2" t="n">
        <f aca="false">IF(I4423="yes",1,0)</f>
        <v>0</v>
      </c>
      <c r="M4423" s="2" t="n">
        <f aca="false">IF(G4423&lt;0,1,0)</f>
        <v>0</v>
      </c>
      <c r="N4423" s="2" t="str">
        <f aca="false">_xlfn.IFS(B4423&lt;30,"Under 30",B4423&lt;40,"30-39",B4423&lt;50,"40-49",B4423&lt;60,"50-59",TRUE(),"60+")</f>
        <v>30-39</v>
      </c>
      <c r="O4423" s="2" t="str">
        <f aca="false">_xlfn.IFS(G4423&lt;0,"1 Negative",G4423=0,"2 Zero",G4423&lt;=500,"3 1-500",G4423&lt;=2000,"4 501-2000",TRUE(),"5 Above 2000")</f>
        <v>5 Above 2000</v>
      </c>
      <c r="P4423" s="2" t="n">
        <f aca="false">Lookups!$B$2*M4423+Lookups!$B$3*L4423</f>
        <v>0</v>
      </c>
      <c r="Q4423" s="2" t="str">
        <f aca="false">INDEX(Lookups!$E$2:$E$5,MATCH(P4423,Lookups!$D$2:$D$5,0))</f>
        <v>Low</v>
      </c>
    </row>
    <row r="4424" customFormat="false" ht="15" hidden="false" customHeight="false" outlineLevel="0" collapsed="false">
      <c r="A4424" s="3" t="n">
        <v>4423</v>
      </c>
      <c r="B4424" s="3" t="n">
        <f aca="false">Raw_Data!A4424</f>
        <v>37</v>
      </c>
      <c r="C4424" s="3" t="str">
        <f aca="false">SUBSTITUTE(Raw_Data!B4424,".","")</f>
        <v>services</v>
      </c>
      <c r="D4424" s="3" t="str">
        <f aca="false">Raw_Data!C4424</f>
        <v>divorced</v>
      </c>
      <c r="E4424" s="3" t="str">
        <f aca="false">Raw_Data!D4424</f>
        <v>primary</v>
      </c>
      <c r="F4424" s="3" t="str">
        <f aca="false">Raw_Data!E4424</f>
        <v>no</v>
      </c>
      <c r="G4424" s="3" t="n">
        <f aca="false">Raw_Data!F4424</f>
        <v>260</v>
      </c>
      <c r="H4424" s="3" t="str">
        <f aca="false">Raw_Data!G4424</f>
        <v>yes</v>
      </c>
      <c r="I4424" s="3" t="str">
        <f aca="false">Raw_Data!H4424</f>
        <v>no</v>
      </c>
      <c r="J4424" s="2" t="n">
        <f aca="false">IF(F4424="yes",1,0)</f>
        <v>0</v>
      </c>
      <c r="K4424" s="2" t="n">
        <f aca="false">IF(H4424="yes",1,0)</f>
        <v>1</v>
      </c>
      <c r="L4424" s="2" t="n">
        <f aca="false">IF(I4424="yes",1,0)</f>
        <v>0</v>
      </c>
      <c r="M4424" s="2" t="n">
        <f aca="false">IF(G4424&lt;0,1,0)</f>
        <v>0</v>
      </c>
      <c r="N4424" s="2" t="str">
        <f aca="false">_xlfn.IFS(B4424&lt;30,"Under 30",B4424&lt;40,"30-39",B4424&lt;50,"40-49",B4424&lt;60,"50-59",TRUE(),"60+")</f>
        <v>30-39</v>
      </c>
      <c r="O4424" s="2" t="str">
        <f aca="false">_xlfn.IFS(G4424&lt;0,"1 Negative",G4424=0,"2 Zero",G4424&lt;=500,"3 1-500",G4424&lt;=2000,"4 501-2000",TRUE(),"5 Above 2000")</f>
        <v>3 1-500</v>
      </c>
      <c r="P4424" s="2" t="n">
        <f aca="false">Lookups!$B$2*M4424+Lookups!$B$3*L4424</f>
        <v>0</v>
      </c>
      <c r="Q4424" s="2" t="str">
        <f aca="false">INDEX(Lookups!$E$2:$E$5,MATCH(P4424,Lookups!$D$2:$D$5,0))</f>
        <v>Low</v>
      </c>
    </row>
    <row r="4425" customFormat="false" ht="15" hidden="false" customHeight="false" outlineLevel="0" collapsed="false">
      <c r="A4425" s="3" t="n">
        <v>4424</v>
      </c>
      <c r="B4425" s="3" t="n">
        <f aca="false">Raw_Data!A4425</f>
        <v>45</v>
      </c>
      <c r="C4425" s="3" t="str">
        <f aca="false">SUBSTITUTE(Raw_Data!B4425,".","")</f>
        <v>management</v>
      </c>
      <c r="D4425" s="3" t="str">
        <f aca="false">Raw_Data!C4425</f>
        <v>single</v>
      </c>
      <c r="E4425" s="3" t="str">
        <f aca="false">Raw_Data!D4425</f>
        <v>tertiary</v>
      </c>
      <c r="F4425" s="3" t="str">
        <f aca="false">Raw_Data!E4425</f>
        <v>no</v>
      </c>
      <c r="G4425" s="3" t="n">
        <f aca="false">Raw_Data!F4425</f>
        <v>2048</v>
      </c>
      <c r="H4425" s="3" t="str">
        <f aca="false">Raw_Data!G4425</f>
        <v>yes</v>
      </c>
      <c r="I4425" s="3" t="str">
        <f aca="false">Raw_Data!H4425</f>
        <v>no</v>
      </c>
      <c r="J4425" s="2" t="n">
        <f aca="false">IF(F4425="yes",1,0)</f>
        <v>0</v>
      </c>
      <c r="K4425" s="2" t="n">
        <f aca="false">IF(H4425="yes",1,0)</f>
        <v>1</v>
      </c>
      <c r="L4425" s="2" t="n">
        <f aca="false">IF(I4425="yes",1,0)</f>
        <v>0</v>
      </c>
      <c r="M4425" s="2" t="n">
        <f aca="false">IF(G4425&lt;0,1,0)</f>
        <v>0</v>
      </c>
      <c r="N4425" s="2" t="str">
        <f aca="false">_xlfn.IFS(B4425&lt;30,"Under 30",B4425&lt;40,"30-39",B4425&lt;50,"40-49",B4425&lt;60,"50-59",TRUE(),"60+")</f>
        <v>40-49</v>
      </c>
      <c r="O4425" s="2" t="str">
        <f aca="false">_xlfn.IFS(G4425&lt;0,"1 Negative",G4425=0,"2 Zero",G4425&lt;=500,"3 1-500",G4425&lt;=2000,"4 501-2000",TRUE(),"5 Above 2000")</f>
        <v>5 Above 2000</v>
      </c>
      <c r="P4425" s="2" t="n">
        <f aca="false">Lookups!$B$2*M4425+Lookups!$B$3*L4425</f>
        <v>0</v>
      </c>
      <c r="Q4425" s="2" t="str">
        <f aca="false">INDEX(Lookups!$E$2:$E$5,MATCH(P4425,Lookups!$D$2:$D$5,0))</f>
        <v>Low</v>
      </c>
    </row>
    <row r="4426" customFormat="false" ht="15" hidden="false" customHeight="false" outlineLevel="0" collapsed="false">
      <c r="A4426" s="3" t="n">
        <v>4425</v>
      </c>
      <c r="B4426" s="3" t="n">
        <f aca="false">Raw_Data!A4426</f>
        <v>34</v>
      </c>
      <c r="C4426" s="3" t="str">
        <f aca="false">SUBSTITUTE(Raw_Data!B4426,".","")</f>
        <v>management</v>
      </c>
      <c r="D4426" s="3" t="str">
        <f aca="false">Raw_Data!C4426</f>
        <v>married</v>
      </c>
      <c r="E4426" s="3" t="str">
        <f aca="false">Raw_Data!D4426</f>
        <v>tertiary</v>
      </c>
      <c r="F4426" s="3" t="str">
        <f aca="false">Raw_Data!E4426</f>
        <v>no</v>
      </c>
      <c r="G4426" s="3" t="n">
        <f aca="false">Raw_Data!F4426</f>
        <v>1557</v>
      </c>
      <c r="H4426" s="3" t="str">
        <f aca="false">Raw_Data!G4426</f>
        <v>yes</v>
      </c>
      <c r="I4426" s="3" t="str">
        <f aca="false">Raw_Data!H4426</f>
        <v>yes</v>
      </c>
      <c r="J4426" s="2" t="n">
        <f aca="false">IF(F4426="yes",1,0)</f>
        <v>0</v>
      </c>
      <c r="K4426" s="2" t="n">
        <f aca="false">IF(H4426="yes",1,0)</f>
        <v>1</v>
      </c>
      <c r="L4426" s="2" t="n">
        <f aca="false">IF(I4426="yes",1,0)</f>
        <v>1</v>
      </c>
      <c r="M4426" s="2" t="n">
        <f aca="false">IF(G4426&lt;0,1,0)</f>
        <v>0</v>
      </c>
      <c r="N4426" s="2" t="str">
        <f aca="false">_xlfn.IFS(B4426&lt;30,"Under 30",B4426&lt;40,"30-39",B4426&lt;50,"40-49",B4426&lt;60,"50-59",TRUE(),"60+")</f>
        <v>30-39</v>
      </c>
      <c r="O4426" s="2" t="str">
        <f aca="false">_xlfn.IFS(G4426&lt;0,"1 Negative",G4426=0,"2 Zero",G4426&lt;=500,"3 1-500",G4426&lt;=2000,"4 501-2000",TRUE(),"5 Above 2000")</f>
        <v>4 501-2000</v>
      </c>
      <c r="P4426" s="2" t="n">
        <f aca="false">Lookups!$B$2*M4426+Lookups!$B$3*L4426</f>
        <v>1</v>
      </c>
      <c r="Q4426" s="2" t="str">
        <f aca="false">INDEX(Lookups!$E$2:$E$5,MATCH(P4426,Lookups!$D$2:$D$5,0))</f>
        <v>Medium</v>
      </c>
    </row>
    <row r="4427" customFormat="false" ht="15" hidden="false" customHeight="false" outlineLevel="0" collapsed="false">
      <c r="A4427" s="3" t="n">
        <v>4426</v>
      </c>
      <c r="B4427" s="3" t="n">
        <f aca="false">Raw_Data!A4427</f>
        <v>35</v>
      </c>
      <c r="C4427" s="3" t="str">
        <f aca="false">SUBSTITUTE(Raw_Data!B4427,".","")</f>
        <v>services</v>
      </c>
      <c r="D4427" s="3" t="str">
        <f aca="false">Raw_Data!C4427</f>
        <v>married</v>
      </c>
      <c r="E4427" s="3" t="str">
        <f aca="false">Raw_Data!D4427</f>
        <v>secondary</v>
      </c>
      <c r="F4427" s="3" t="str">
        <f aca="false">Raw_Data!E4427</f>
        <v>no</v>
      </c>
      <c r="G4427" s="3" t="n">
        <f aca="false">Raw_Data!F4427</f>
        <v>505</v>
      </c>
      <c r="H4427" s="3" t="str">
        <f aca="false">Raw_Data!G4427</f>
        <v>yes</v>
      </c>
      <c r="I4427" s="3" t="str">
        <f aca="false">Raw_Data!H4427</f>
        <v>yes</v>
      </c>
      <c r="J4427" s="2" t="n">
        <f aca="false">IF(F4427="yes",1,0)</f>
        <v>0</v>
      </c>
      <c r="K4427" s="2" t="n">
        <f aca="false">IF(H4427="yes",1,0)</f>
        <v>1</v>
      </c>
      <c r="L4427" s="2" t="n">
        <f aca="false">IF(I4427="yes",1,0)</f>
        <v>1</v>
      </c>
      <c r="M4427" s="2" t="n">
        <f aca="false">IF(G4427&lt;0,1,0)</f>
        <v>0</v>
      </c>
      <c r="N4427" s="2" t="str">
        <f aca="false">_xlfn.IFS(B4427&lt;30,"Under 30",B4427&lt;40,"30-39",B4427&lt;50,"40-49",B4427&lt;60,"50-59",TRUE(),"60+")</f>
        <v>30-39</v>
      </c>
      <c r="O4427" s="2" t="str">
        <f aca="false">_xlfn.IFS(G4427&lt;0,"1 Negative",G4427=0,"2 Zero",G4427&lt;=500,"3 1-500",G4427&lt;=2000,"4 501-2000",TRUE(),"5 Above 2000")</f>
        <v>4 501-2000</v>
      </c>
      <c r="P4427" s="2" t="n">
        <f aca="false">Lookups!$B$2*M4427+Lookups!$B$3*L4427</f>
        <v>1</v>
      </c>
      <c r="Q4427" s="2" t="str">
        <f aca="false">INDEX(Lookups!$E$2:$E$5,MATCH(P4427,Lookups!$D$2:$D$5,0))</f>
        <v>Medium</v>
      </c>
    </row>
    <row r="4428" customFormat="false" ht="15" hidden="false" customHeight="false" outlineLevel="0" collapsed="false">
      <c r="A4428" s="3" t="n">
        <v>4427</v>
      </c>
      <c r="B4428" s="3" t="n">
        <f aca="false">Raw_Data!A4428</f>
        <v>41</v>
      </c>
      <c r="C4428" s="3" t="str">
        <f aca="false">SUBSTITUTE(Raw_Data!B4428,".","")</f>
        <v>admin</v>
      </c>
      <c r="D4428" s="3" t="str">
        <f aca="false">Raw_Data!C4428</f>
        <v>married</v>
      </c>
      <c r="E4428" s="3" t="str">
        <f aca="false">Raw_Data!D4428</f>
        <v>tertiary</v>
      </c>
      <c r="F4428" s="3" t="str">
        <f aca="false">Raw_Data!E4428</f>
        <v>no</v>
      </c>
      <c r="G4428" s="3" t="n">
        <f aca="false">Raw_Data!F4428</f>
        <v>1536</v>
      </c>
      <c r="H4428" s="3" t="str">
        <f aca="false">Raw_Data!G4428</f>
        <v>no</v>
      </c>
      <c r="I4428" s="3" t="str">
        <f aca="false">Raw_Data!H4428</f>
        <v>no</v>
      </c>
      <c r="J4428" s="2" t="n">
        <f aca="false">IF(F4428="yes",1,0)</f>
        <v>0</v>
      </c>
      <c r="K4428" s="2" t="n">
        <f aca="false">IF(H4428="yes",1,0)</f>
        <v>0</v>
      </c>
      <c r="L4428" s="2" t="n">
        <f aca="false">IF(I4428="yes",1,0)</f>
        <v>0</v>
      </c>
      <c r="M4428" s="2" t="n">
        <f aca="false">IF(G4428&lt;0,1,0)</f>
        <v>0</v>
      </c>
      <c r="N4428" s="2" t="str">
        <f aca="false">_xlfn.IFS(B4428&lt;30,"Under 30",B4428&lt;40,"30-39",B4428&lt;50,"40-49",B4428&lt;60,"50-59",TRUE(),"60+")</f>
        <v>40-49</v>
      </c>
      <c r="O4428" s="2" t="str">
        <f aca="false">_xlfn.IFS(G4428&lt;0,"1 Negative",G4428=0,"2 Zero",G4428&lt;=500,"3 1-500",G4428&lt;=2000,"4 501-2000",TRUE(),"5 Above 2000")</f>
        <v>4 501-2000</v>
      </c>
      <c r="P4428" s="2" t="n">
        <f aca="false">Lookups!$B$2*M4428+Lookups!$B$3*L4428</f>
        <v>0</v>
      </c>
      <c r="Q4428" s="2" t="str">
        <f aca="false">INDEX(Lookups!$E$2:$E$5,MATCH(P4428,Lookups!$D$2:$D$5,0))</f>
        <v>Low</v>
      </c>
    </row>
    <row r="4429" customFormat="false" ht="15" hidden="false" customHeight="false" outlineLevel="0" collapsed="false">
      <c r="A4429" s="3" t="n">
        <v>4428</v>
      </c>
      <c r="B4429" s="3" t="n">
        <f aca="false">Raw_Data!A4429</f>
        <v>42</v>
      </c>
      <c r="C4429" s="3" t="str">
        <f aca="false">SUBSTITUTE(Raw_Data!B4429,".","")</f>
        <v>self-employed</v>
      </c>
      <c r="D4429" s="3" t="str">
        <f aca="false">Raw_Data!C4429</f>
        <v>married</v>
      </c>
      <c r="E4429" s="3" t="str">
        <f aca="false">Raw_Data!D4429</f>
        <v>tertiary</v>
      </c>
      <c r="F4429" s="3" t="str">
        <f aca="false">Raw_Data!E4429</f>
        <v>no</v>
      </c>
      <c r="G4429" s="3" t="n">
        <f aca="false">Raw_Data!F4429</f>
        <v>0</v>
      </c>
      <c r="H4429" s="3" t="str">
        <f aca="false">Raw_Data!G4429</f>
        <v>no</v>
      </c>
      <c r="I4429" s="3" t="str">
        <f aca="false">Raw_Data!H4429</f>
        <v>no</v>
      </c>
      <c r="J4429" s="2" t="n">
        <f aca="false">IF(F4429="yes",1,0)</f>
        <v>0</v>
      </c>
      <c r="K4429" s="2" t="n">
        <f aca="false">IF(H4429="yes",1,0)</f>
        <v>0</v>
      </c>
      <c r="L4429" s="2" t="n">
        <f aca="false">IF(I4429="yes",1,0)</f>
        <v>0</v>
      </c>
      <c r="M4429" s="2" t="n">
        <f aca="false">IF(G4429&lt;0,1,0)</f>
        <v>0</v>
      </c>
      <c r="N4429" s="2" t="str">
        <f aca="false">_xlfn.IFS(B4429&lt;30,"Under 30",B4429&lt;40,"30-39",B4429&lt;50,"40-49",B4429&lt;60,"50-59",TRUE(),"60+")</f>
        <v>40-49</v>
      </c>
      <c r="O4429" s="2" t="str">
        <f aca="false">_xlfn.IFS(G4429&lt;0,"1 Negative",G4429=0,"2 Zero",G4429&lt;=500,"3 1-500",G4429&lt;=2000,"4 501-2000",TRUE(),"5 Above 2000")</f>
        <v>2 Zero</v>
      </c>
      <c r="P4429" s="2" t="n">
        <f aca="false">Lookups!$B$2*M4429+Lookups!$B$3*L4429</f>
        <v>0</v>
      </c>
      <c r="Q4429" s="2" t="str">
        <f aca="false">INDEX(Lookups!$E$2:$E$5,MATCH(P4429,Lookups!$D$2:$D$5,0))</f>
        <v>Low</v>
      </c>
    </row>
    <row r="4430" customFormat="false" ht="15" hidden="false" customHeight="false" outlineLevel="0" collapsed="false">
      <c r="A4430" s="3" t="n">
        <v>4429</v>
      </c>
      <c r="B4430" s="3" t="n">
        <f aca="false">Raw_Data!A4430</f>
        <v>48</v>
      </c>
      <c r="C4430" s="3" t="str">
        <f aca="false">SUBSTITUTE(Raw_Data!B4430,".","")</f>
        <v>blue-collar</v>
      </c>
      <c r="D4430" s="3" t="str">
        <f aca="false">Raw_Data!C4430</f>
        <v>married</v>
      </c>
      <c r="E4430" s="3" t="str">
        <f aca="false">Raw_Data!D4430</f>
        <v>unknown</v>
      </c>
      <c r="F4430" s="3" t="str">
        <f aca="false">Raw_Data!E4430</f>
        <v>no</v>
      </c>
      <c r="G4430" s="3" t="n">
        <f aca="false">Raw_Data!F4430</f>
        <v>439</v>
      </c>
      <c r="H4430" s="3" t="str">
        <f aca="false">Raw_Data!G4430</f>
        <v>yes</v>
      </c>
      <c r="I4430" s="3" t="str">
        <f aca="false">Raw_Data!H4430</f>
        <v>no</v>
      </c>
      <c r="J4430" s="2" t="n">
        <f aca="false">IF(F4430="yes",1,0)</f>
        <v>0</v>
      </c>
      <c r="K4430" s="2" t="n">
        <f aca="false">IF(H4430="yes",1,0)</f>
        <v>1</v>
      </c>
      <c r="L4430" s="2" t="n">
        <f aca="false">IF(I4430="yes",1,0)</f>
        <v>0</v>
      </c>
      <c r="M4430" s="2" t="n">
        <f aca="false">IF(G4430&lt;0,1,0)</f>
        <v>0</v>
      </c>
      <c r="N4430" s="2" t="str">
        <f aca="false">_xlfn.IFS(B4430&lt;30,"Under 30",B4430&lt;40,"30-39",B4430&lt;50,"40-49",B4430&lt;60,"50-59",TRUE(),"60+")</f>
        <v>40-49</v>
      </c>
      <c r="O4430" s="2" t="str">
        <f aca="false">_xlfn.IFS(G4430&lt;0,"1 Negative",G4430=0,"2 Zero",G4430&lt;=500,"3 1-500",G4430&lt;=2000,"4 501-2000",TRUE(),"5 Above 2000")</f>
        <v>3 1-500</v>
      </c>
      <c r="P4430" s="2" t="n">
        <f aca="false">Lookups!$B$2*M4430+Lookups!$B$3*L4430</f>
        <v>0</v>
      </c>
      <c r="Q4430" s="2" t="str">
        <f aca="false">INDEX(Lookups!$E$2:$E$5,MATCH(P4430,Lookups!$D$2:$D$5,0))</f>
        <v>Low</v>
      </c>
    </row>
    <row r="4431" customFormat="false" ht="15" hidden="false" customHeight="false" outlineLevel="0" collapsed="false">
      <c r="A4431" s="3" t="n">
        <v>4430</v>
      </c>
      <c r="B4431" s="3" t="n">
        <f aca="false">Raw_Data!A4431</f>
        <v>45</v>
      </c>
      <c r="C4431" s="3" t="str">
        <f aca="false">SUBSTITUTE(Raw_Data!B4431,".","")</f>
        <v>unknown</v>
      </c>
      <c r="D4431" s="3" t="str">
        <f aca="false">Raw_Data!C4431</f>
        <v>married</v>
      </c>
      <c r="E4431" s="3" t="str">
        <f aca="false">Raw_Data!D4431</f>
        <v>primary</v>
      </c>
      <c r="F4431" s="3" t="str">
        <f aca="false">Raw_Data!E4431</f>
        <v>no</v>
      </c>
      <c r="G4431" s="3" t="n">
        <f aca="false">Raw_Data!F4431</f>
        <v>44</v>
      </c>
      <c r="H4431" s="3" t="str">
        <f aca="false">Raw_Data!G4431</f>
        <v>no</v>
      </c>
      <c r="I4431" s="3" t="str">
        <f aca="false">Raw_Data!H4431</f>
        <v>no</v>
      </c>
      <c r="J4431" s="2" t="n">
        <f aca="false">IF(F4431="yes",1,0)</f>
        <v>0</v>
      </c>
      <c r="K4431" s="2" t="n">
        <f aca="false">IF(H4431="yes",1,0)</f>
        <v>0</v>
      </c>
      <c r="L4431" s="2" t="n">
        <f aca="false">IF(I4431="yes",1,0)</f>
        <v>0</v>
      </c>
      <c r="M4431" s="2" t="n">
        <f aca="false">IF(G4431&lt;0,1,0)</f>
        <v>0</v>
      </c>
      <c r="N4431" s="2" t="str">
        <f aca="false">_xlfn.IFS(B4431&lt;30,"Under 30",B4431&lt;40,"30-39",B4431&lt;50,"40-49",B4431&lt;60,"50-59",TRUE(),"60+")</f>
        <v>40-49</v>
      </c>
      <c r="O4431" s="2" t="str">
        <f aca="false">_xlfn.IFS(G4431&lt;0,"1 Negative",G4431=0,"2 Zero",G4431&lt;=500,"3 1-500",G4431&lt;=2000,"4 501-2000",TRUE(),"5 Above 2000")</f>
        <v>3 1-500</v>
      </c>
      <c r="P4431" s="2" t="n">
        <f aca="false">Lookups!$B$2*M4431+Lookups!$B$3*L4431</f>
        <v>0</v>
      </c>
      <c r="Q4431" s="2" t="str">
        <f aca="false">INDEX(Lookups!$E$2:$E$5,MATCH(P4431,Lookups!$D$2:$D$5,0))</f>
        <v>Low</v>
      </c>
    </row>
    <row r="4432" customFormat="false" ht="15" hidden="false" customHeight="false" outlineLevel="0" collapsed="false">
      <c r="A4432" s="3" t="n">
        <v>4431</v>
      </c>
      <c r="B4432" s="3" t="n">
        <f aca="false">Raw_Data!A4432</f>
        <v>47</v>
      </c>
      <c r="C4432" s="3" t="str">
        <f aca="false">SUBSTITUTE(Raw_Data!B4432,".","")</f>
        <v>management</v>
      </c>
      <c r="D4432" s="3" t="str">
        <f aca="false">Raw_Data!C4432</f>
        <v>married</v>
      </c>
      <c r="E4432" s="3" t="str">
        <f aca="false">Raw_Data!D4432</f>
        <v>tertiary</v>
      </c>
      <c r="F4432" s="3" t="str">
        <f aca="false">Raw_Data!E4432</f>
        <v>no</v>
      </c>
      <c r="G4432" s="3" t="n">
        <f aca="false">Raw_Data!F4432</f>
        <v>295</v>
      </c>
      <c r="H4432" s="3" t="str">
        <f aca="false">Raw_Data!G4432</f>
        <v>yes</v>
      </c>
      <c r="I4432" s="3" t="str">
        <f aca="false">Raw_Data!H4432</f>
        <v>no</v>
      </c>
      <c r="J4432" s="2" t="n">
        <f aca="false">IF(F4432="yes",1,0)</f>
        <v>0</v>
      </c>
      <c r="K4432" s="2" t="n">
        <f aca="false">IF(H4432="yes",1,0)</f>
        <v>1</v>
      </c>
      <c r="L4432" s="2" t="n">
        <f aca="false">IF(I4432="yes",1,0)</f>
        <v>0</v>
      </c>
      <c r="M4432" s="2" t="n">
        <f aca="false">IF(G4432&lt;0,1,0)</f>
        <v>0</v>
      </c>
      <c r="N4432" s="2" t="str">
        <f aca="false">_xlfn.IFS(B4432&lt;30,"Under 30",B4432&lt;40,"30-39",B4432&lt;50,"40-49",B4432&lt;60,"50-59",TRUE(),"60+")</f>
        <v>40-49</v>
      </c>
      <c r="O4432" s="2" t="str">
        <f aca="false">_xlfn.IFS(G4432&lt;0,"1 Negative",G4432=0,"2 Zero",G4432&lt;=500,"3 1-500",G4432&lt;=2000,"4 501-2000",TRUE(),"5 Above 2000")</f>
        <v>3 1-500</v>
      </c>
      <c r="P4432" s="2" t="n">
        <f aca="false">Lookups!$B$2*M4432+Lookups!$B$3*L4432</f>
        <v>0</v>
      </c>
      <c r="Q4432" s="2" t="str">
        <f aca="false">INDEX(Lookups!$E$2:$E$5,MATCH(P4432,Lookups!$D$2:$D$5,0))</f>
        <v>Low</v>
      </c>
    </row>
    <row r="4433" customFormat="false" ht="15" hidden="false" customHeight="false" outlineLevel="0" collapsed="false">
      <c r="A4433" s="3" t="n">
        <v>4432</v>
      </c>
      <c r="B4433" s="3" t="n">
        <f aca="false">Raw_Data!A4433</f>
        <v>37</v>
      </c>
      <c r="C4433" s="3" t="str">
        <f aca="false">SUBSTITUTE(Raw_Data!B4433,".","")</f>
        <v>blue-collar</v>
      </c>
      <c r="D4433" s="3" t="str">
        <f aca="false">Raw_Data!C4433</f>
        <v>married</v>
      </c>
      <c r="E4433" s="3" t="str">
        <f aca="false">Raw_Data!D4433</f>
        <v>primary</v>
      </c>
      <c r="F4433" s="3" t="str">
        <f aca="false">Raw_Data!E4433</f>
        <v>no</v>
      </c>
      <c r="G4433" s="3" t="n">
        <f aca="false">Raw_Data!F4433</f>
        <v>190</v>
      </c>
      <c r="H4433" s="3" t="str">
        <f aca="false">Raw_Data!G4433</f>
        <v>yes</v>
      </c>
      <c r="I4433" s="3" t="str">
        <f aca="false">Raw_Data!H4433</f>
        <v>yes</v>
      </c>
      <c r="J4433" s="2" t="n">
        <f aca="false">IF(F4433="yes",1,0)</f>
        <v>0</v>
      </c>
      <c r="K4433" s="2" t="n">
        <f aca="false">IF(H4433="yes",1,0)</f>
        <v>1</v>
      </c>
      <c r="L4433" s="2" t="n">
        <f aca="false">IF(I4433="yes",1,0)</f>
        <v>1</v>
      </c>
      <c r="M4433" s="2" t="n">
        <f aca="false">IF(G4433&lt;0,1,0)</f>
        <v>0</v>
      </c>
      <c r="N4433" s="2" t="str">
        <f aca="false">_xlfn.IFS(B4433&lt;30,"Under 30",B4433&lt;40,"30-39",B4433&lt;50,"40-49",B4433&lt;60,"50-59",TRUE(),"60+")</f>
        <v>30-39</v>
      </c>
      <c r="O4433" s="2" t="str">
        <f aca="false">_xlfn.IFS(G4433&lt;0,"1 Negative",G4433=0,"2 Zero",G4433&lt;=500,"3 1-500",G4433&lt;=2000,"4 501-2000",TRUE(),"5 Above 2000")</f>
        <v>3 1-500</v>
      </c>
      <c r="P4433" s="2" t="n">
        <f aca="false">Lookups!$B$2*M4433+Lookups!$B$3*L4433</f>
        <v>1</v>
      </c>
      <c r="Q4433" s="2" t="str">
        <f aca="false">INDEX(Lookups!$E$2:$E$5,MATCH(P4433,Lookups!$D$2:$D$5,0))</f>
        <v>Medium</v>
      </c>
    </row>
    <row r="4434" customFormat="false" ht="15" hidden="false" customHeight="false" outlineLevel="0" collapsed="false">
      <c r="A4434" s="3" t="n">
        <v>4433</v>
      </c>
      <c r="B4434" s="3" t="n">
        <f aca="false">Raw_Data!A4434</f>
        <v>32</v>
      </c>
      <c r="C4434" s="3" t="str">
        <f aca="false">SUBSTITUTE(Raw_Data!B4434,".","")</f>
        <v>management</v>
      </c>
      <c r="D4434" s="3" t="str">
        <f aca="false">Raw_Data!C4434</f>
        <v>married</v>
      </c>
      <c r="E4434" s="3" t="str">
        <f aca="false">Raw_Data!D4434</f>
        <v>secondary</v>
      </c>
      <c r="F4434" s="3" t="str">
        <f aca="false">Raw_Data!E4434</f>
        <v>no</v>
      </c>
      <c r="G4434" s="3" t="n">
        <f aca="false">Raw_Data!F4434</f>
        <v>3935</v>
      </c>
      <c r="H4434" s="3" t="str">
        <f aca="false">Raw_Data!G4434</f>
        <v>yes</v>
      </c>
      <c r="I4434" s="3" t="str">
        <f aca="false">Raw_Data!H4434</f>
        <v>no</v>
      </c>
      <c r="J4434" s="2" t="n">
        <f aca="false">IF(F4434="yes",1,0)</f>
        <v>0</v>
      </c>
      <c r="K4434" s="2" t="n">
        <f aca="false">IF(H4434="yes",1,0)</f>
        <v>1</v>
      </c>
      <c r="L4434" s="2" t="n">
        <f aca="false">IF(I4434="yes",1,0)</f>
        <v>0</v>
      </c>
      <c r="M4434" s="2" t="n">
        <f aca="false">IF(G4434&lt;0,1,0)</f>
        <v>0</v>
      </c>
      <c r="N4434" s="2" t="str">
        <f aca="false">_xlfn.IFS(B4434&lt;30,"Under 30",B4434&lt;40,"30-39",B4434&lt;50,"40-49",B4434&lt;60,"50-59",TRUE(),"60+")</f>
        <v>30-39</v>
      </c>
      <c r="O4434" s="2" t="str">
        <f aca="false">_xlfn.IFS(G4434&lt;0,"1 Negative",G4434=0,"2 Zero",G4434&lt;=500,"3 1-500",G4434&lt;=2000,"4 501-2000",TRUE(),"5 Above 2000")</f>
        <v>5 Above 2000</v>
      </c>
      <c r="P4434" s="2" t="n">
        <f aca="false">Lookups!$B$2*M4434+Lookups!$B$3*L4434</f>
        <v>0</v>
      </c>
      <c r="Q4434" s="2" t="str">
        <f aca="false">INDEX(Lookups!$E$2:$E$5,MATCH(P4434,Lookups!$D$2:$D$5,0))</f>
        <v>Low</v>
      </c>
    </row>
    <row r="4435" customFormat="false" ht="15" hidden="false" customHeight="false" outlineLevel="0" collapsed="false">
      <c r="A4435" s="3" t="n">
        <v>4434</v>
      </c>
      <c r="B4435" s="3" t="n">
        <f aca="false">Raw_Data!A4435</f>
        <v>40</v>
      </c>
      <c r="C4435" s="3" t="str">
        <f aca="false">SUBSTITUTE(Raw_Data!B4435,".","")</f>
        <v>management</v>
      </c>
      <c r="D4435" s="3" t="str">
        <f aca="false">Raw_Data!C4435</f>
        <v>married</v>
      </c>
      <c r="E4435" s="3" t="str">
        <f aca="false">Raw_Data!D4435</f>
        <v>tertiary</v>
      </c>
      <c r="F4435" s="3" t="str">
        <f aca="false">Raw_Data!E4435</f>
        <v>no</v>
      </c>
      <c r="G4435" s="3" t="n">
        <f aca="false">Raw_Data!F4435</f>
        <v>-17</v>
      </c>
      <c r="H4435" s="3" t="str">
        <f aca="false">Raw_Data!G4435</f>
        <v>yes</v>
      </c>
      <c r="I4435" s="3" t="str">
        <f aca="false">Raw_Data!H4435</f>
        <v>yes</v>
      </c>
      <c r="J4435" s="2" t="n">
        <f aca="false">IF(F4435="yes",1,0)</f>
        <v>0</v>
      </c>
      <c r="K4435" s="2" t="n">
        <f aca="false">IF(H4435="yes",1,0)</f>
        <v>1</v>
      </c>
      <c r="L4435" s="2" t="n">
        <f aca="false">IF(I4435="yes",1,0)</f>
        <v>1</v>
      </c>
      <c r="M4435" s="2" t="n">
        <f aca="false">IF(G4435&lt;0,1,0)</f>
        <v>1</v>
      </c>
      <c r="N4435" s="2" t="str">
        <f aca="false">_xlfn.IFS(B4435&lt;30,"Under 30",B4435&lt;40,"30-39",B4435&lt;50,"40-49",B4435&lt;60,"50-59",TRUE(),"60+")</f>
        <v>40-49</v>
      </c>
      <c r="O4435" s="2" t="str">
        <f aca="false">_xlfn.IFS(G4435&lt;0,"1 Negative",G4435=0,"2 Zero",G4435&lt;=500,"3 1-500",G4435&lt;=2000,"4 501-2000",TRUE(),"5 Above 2000")</f>
        <v>1 Negative</v>
      </c>
      <c r="P4435" s="2" t="n">
        <f aca="false">Lookups!$B$2*M4435+Lookups!$B$3*L4435</f>
        <v>3</v>
      </c>
      <c r="Q4435" s="2" t="str">
        <f aca="false">INDEX(Lookups!$E$2:$E$5,MATCH(P4435,Lookups!$D$2:$D$5,0))</f>
        <v>High</v>
      </c>
    </row>
    <row r="4436" customFormat="false" ht="15" hidden="false" customHeight="false" outlineLevel="0" collapsed="false">
      <c r="A4436" s="3" t="n">
        <v>4435</v>
      </c>
      <c r="B4436" s="3" t="n">
        <f aca="false">Raw_Data!A4436</f>
        <v>35</v>
      </c>
      <c r="C4436" s="3" t="str">
        <f aca="false">SUBSTITUTE(Raw_Data!B4436,".","")</f>
        <v>technician</v>
      </c>
      <c r="D4436" s="3" t="str">
        <f aca="false">Raw_Data!C4436</f>
        <v>single</v>
      </c>
      <c r="E4436" s="3" t="str">
        <f aca="false">Raw_Data!D4436</f>
        <v>secondary</v>
      </c>
      <c r="F4436" s="3" t="str">
        <f aca="false">Raw_Data!E4436</f>
        <v>no</v>
      </c>
      <c r="G4436" s="3" t="n">
        <f aca="false">Raw_Data!F4436</f>
        <v>175</v>
      </c>
      <c r="H4436" s="3" t="str">
        <f aca="false">Raw_Data!G4436</f>
        <v>yes</v>
      </c>
      <c r="I4436" s="3" t="str">
        <f aca="false">Raw_Data!H4436</f>
        <v>no</v>
      </c>
      <c r="J4436" s="2" t="n">
        <f aca="false">IF(F4436="yes",1,0)</f>
        <v>0</v>
      </c>
      <c r="K4436" s="2" t="n">
        <f aca="false">IF(H4436="yes",1,0)</f>
        <v>1</v>
      </c>
      <c r="L4436" s="2" t="n">
        <f aca="false">IF(I4436="yes",1,0)</f>
        <v>0</v>
      </c>
      <c r="M4436" s="2" t="n">
        <f aca="false">IF(G4436&lt;0,1,0)</f>
        <v>0</v>
      </c>
      <c r="N4436" s="2" t="str">
        <f aca="false">_xlfn.IFS(B4436&lt;30,"Under 30",B4436&lt;40,"30-39",B4436&lt;50,"40-49",B4436&lt;60,"50-59",TRUE(),"60+")</f>
        <v>30-39</v>
      </c>
      <c r="O4436" s="2" t="str">
        <f aca="false">_xlfn.IFS(G4436&lt;0,"1 Negative",G4436=0,"2 Zero",G4436&lt;=500,"3 1-500",G4436&lt;=2000,"4 501-2000",TRUE(),"5 Above 2000")</f>
        <v>3 1-500</v>
      </c>
      <c r="P4436" s="2" t="n">
        <f aca="false">Lookups!$B$2*M4436+Lookups!$B$3*L4436</f>
        <v>0</v>
      </c>
      <c r="Q4436" s="2" t="str">
        <f aca="false">INDEX(Lookups!$E$2:$E$5,MATCH(P4436,Lookups!$D$2:$D$5,0))</f>
        <v>Low</v>
      </c>
    </row>
    <row r="4437" customFormat="false" ht="15" hidden="false" customHeight="false" outlineLevel="0" collapsed="false">
      <c r="A4437" s="3" t="n">
        <v>4436</v>
      </c>
      <c r="B4437" s="3" t="n">
        <f aca="false">Raw_Data!A4437</f>
        <v>31</v>
      </c>
      <c r="C4437" s="3" t="str">
        <f aca="false">SUBSTITUTE(Raw_Data!B4437,".","")</f>
        <v>technician</v>
      </c>
      <c r="D4437" s="3" t="str">
        <f aca="false">Raw_Data!C4437</f>
        <v>single</v>
      </c>
      <c r="E4437" s="3" t="str">
        <f aca="false">Raw_Data!D4437</f>
        <v>secondary</v>
      </c>
      <c r="F4437" s="3" t="str">
        <f aca="false">Raw_Data!E4437</f>
        <v>no</v>
      </c>
      <c r="G4437" s="3" t="n">
        <f aca="false">Raw_Data!F4437</f>
        <v>4888</v>
      </c>
      <c r="H4437" s="3" t="str">
        <f aca="false">Raw_Data!G4437</f>
        <v>yes</v>
      </c>
      <c r="I4437" s="3" t="str">
        <f aca="false">Raw_Data!H4437</f>
        <v>no</v>
      </c>
      <c r="J4437" s="2" t="n">
        <f aca="false">IF(F4437="yes",1,0)</f>
        <v>0</v>
      </c>
      <c r="K4437" s="2" t="n">
        <f aca="false">IF(H4437="yes",1,0)</f>
        <v>1</v>
      </c>
      <c r="L4437" s="2" t="n">
        <f aca="false">IF(I4437="yes",1,0)</f>
        <v>0</v>
      </c>
      <c r="M4437" s="2" t="n">
        <f aca="false">IF(G4437&lt;0,1,0)</f>
        <v>0</v>
      </c>
      <c r="N4437" s="2" t="str">
        <f aca="false">_xlfn.IFS(B4437&lt;30,"Under 30",B4437&lt;40,"30-39",B4437&lt;50,"40-49",B4437&lt;60,"50-59",TRUE(),"60+")</f>
        <v>30-39</v>
      </c>
      <c r="O4437" s="2" t="str">
        <f aca="false">_xlfn.IFS(G4437&lt;0,"1 Negative",G4437=0,"2 Zero",G4437&lt;=500,"3 1-500",G4437&lt;=2000,"4 501-2000",TRUE(),"5 Above 2000")</f>
        <v>5 Above 2000</v>
      </c>
      <c r="P4437" s="2" t="n">
        <f aca="false">Lookups!$B$2*M4437+Lookups!$B$3*L4437</f>
        <v>0</v>
      </c>
      <c r="Q4437" s="2" t="str">
        <f aca="false">INDEX(Lookups!$E$2:$E$5,MATCH(P4437,Lookups!$D$2:$D$5,0))</f>
        <v>Low</v>
      </c>
    </row>
    <row r="4438" customFormat="false" ht="15" hidden="false" customHeight="false" outlineLevel="0" collapsed="false">
      <c r="A4438" s="3" t="n">
        <v>4437</v>
      </c>
      <c r="B4438" s="3" t="n">
        <f aca="false">Raw_Data!A4438</f>
        <v>36</v>
      </c>
      <c r="C4438" s="3" t="str">
        <f aca="false">SUBSTITUTE(Raw_Data!B4438,".","")</f>
        <v>technician</v>
      </c>
      <c r="D4438" s="3" t="str">
        <f aca="false">Raw_Data!C4438</f>
        <v>single</v>
      </c>
      <c r="E4438" s="3" t="str">
        <f aca="false">Raw_Data!D4438</f>
        <v>tertiary</v>
      </c>
      <c r="F4438" s="3" t="str">
        <f aca="false">Raw_Data!E4438</f>
        <v>no</v>
      </c>
      <c r="G4438" s="3" t="n">
        <f aca="false">Raw_Data!F4438</f>
        <v>40</v>
      </c>
      <c r="H4438" s="3" t="str">
        <f aca="false">Raw_Data!G4438</f>
        <v>no</v>
      </c>
      <c r="I4438" s="3" t="str">
        <f aca="false">Raw_Data!H4438</f>
        <v>no</v>
      </c>
      <c r="J4438" s="2" t="n">
        <f aca="false">IF(F4438="yes",1,0)</f>
        <v>0</v>
      </c>
      <c r="K4438" s="2" t="n">
        <f aca="false">IF(H4438="yes",1,0)</f>
        <v>0</v>
      </c>
      <c r="L4438" s="2" t="n">
        <f aca="false">IF(I4438="yes",1,0)</f>
        <v>0</v>
      </c>
      <c r="M4438" s="2" t="n">
        <f aca="false">IF(G4438&lt;0,1,0)</f>
        <v>0</v>
      </c>
      <c r="N4438" s="2" t="str">
        <f aca="false">_xlfn.IFS(B4438&lt;30,"Under 30",B4438&lt;40,"30-39",B4438&lt;50,"40-49",B4438&lt;60,"50-59",TRUE(),"60+")</f>
        <v>30-39</v>
      </c>
      <c r="O4438" s="2" t="str">
        <f aca="false">_xlfn.IFS(G4438&lt;0,"1 Negative",G4438=0,"2 Zero",G4438&lt;=500,"3 1-500",G4438&lt;=2000,"4 501-2000",TRUE(),"5 Above 2000")</f>
        <v>3 1-500</v>
      </c>
      <c r="P4438" s="2" t="n">
        <f aca="false">Lookups!$B$2*M4438+Lookups!$B$3*L4438</f>
        <v>0</v>
      </c>
      <c r="Q4438" s="2" t="str">
        <f aca="false">INDEX(Lookups!$E$2:$E$5,MATCH(P4438,Lookups!$D$2:$D$5,0))</f>
        <v>Low</v>
      </c>
    </row>
    <row r="4439" customFormat="false" ht="15" hidden="false" customHeight="false" outlineLevel="0" collapsed="false">
      <c r="A4439" s="3" t="n">
        <v>4438</v>
      </c>
      <c r="B4439" s="3" t="n">
        <f aca="false">Raw_Data!A4439</f>
        <v>44</v>
      </c>
      <c r="C4439" s="3" t="str">
        <f aca="false">SUBSTITUTE(Raw_Data!B4439,".","")</f>
        <v>management</v>
      </c>
      <c r="D4439" s="3" t="str">
        <f aca="false">Raw_Data!C4439</f>
        <v>married</v>
      </c>
      <c r="E4439" s="3" t="str">
        <f aca="false">Raw_Data!D4439</f>
        <v>tertiary</v>
      </c>
      <c r="F4439" s="3" t="str">
        <f aca="false">Raw_Data!E4439</f>
        <v>no</v>
      </c>
      <c r="G4439" s="3" t="n">
        <f aca="false">Raw_Data!F4439</f>
        <v>4460</v>
      </c>
      <c r="H4439" s="3" t="str">
        <f aca="false">Raw_Data!G4439</f>
        <v>no</v>
      </c>
      <c r="I4439" s="3" t="str">
        <f aca="false">Raw_Data!H4439</f>
        <v>no</v>
      </c>
      <c r="J4439" s="2" t="n">
        <f aca="false">IF(F4439="yes",1,0)</f>
        <v>0</v>
      </c>
      <c r="K4439" s="2" t="n">
        <f aca="false">IF(H4439="yes",1,0)</f>
        <v>0</v>
      </c>
      <c r="L4439" s="2" t="n">
        <f aca="false">IF(I4439="yes",1,0)</f>
        <v>0</v>
      </c>
      <c r="M4439" s="2" t="n">
        <f aca="false">IF(G4439&lt;0,1,0)</f>
        <v>0</v>
      </c>
      <c r="N4439" s="2" t="str">
        <f aca="false">_xlfn.IFS(B4439&lt;30,"Under 30",B4439&lt;40,"30-39",B4439&lt;50,"40-49",B4439&lt;60,"50-59",TRUE(),"60+")</f>
        <v>40-49</v>
      </c>
      <c r="O4439" s="2" t="str">
        <f aca="false">_xlfn.IFS(G4439&lt;0,"1 Negative",G4439=0,"2 Zero",G4439&lt;=500,"3 1-500",G4439&lt;=2000,"4 501-2000",TRUE(),"5 Above 2000")</f>
        <v>5 Above 2000</v>
      </c>
      <c r="P4439" s="2" t="n">
        <f aca="false">Lookups!$B$2*M4439+Lookups!$B$3*L4439</f>
        <v>0</v>
      </c>
      <c r="Q4439" s="2" t="str">
        <f aca="false">INDEX(Lookups!$E$2:$E$5,MATCH(P4439,Lookups!$D$2:$D$5,0))</f>
        <v>Low</v>
      </c>
    </row>
    <row r="4440" customFormat="false" ht="15" hidden="false" customHeight="false" outlineLevel="0" collapsed="false">
      <c r="A4440" s="3" t="n">
        <v>4439</v>
      </c>
      <c r="B4440" s="3" t="n">
        <f aca="false">Raw_Data!A4440</f>
        <v>52</v>
      </c>
      <c r="C4440" s="3" t="str">
        <f aca="false">SUBSTITUTE(Raw_Data!B4440,".","")</f>
        <v>admin</v>
      </c>
      <c r="D4440" s="3" t="str">
        <f aca="false">Raw_Data!C4440</f>
        <v>divorced</v>
      </c>
      <c r="E4440" s="3" t="str">
        <f aca="false">Raw_Data!D4440</f>
        <v>secondary</v>
      </c>
      <c r="F4440" s="3" t="str">
        <f aca="false">Raw_Data!E4440</f>
        <v>no</v>
      </c>
      <c r="G4440" s="3" t="n">
        <f aca="false">Raw_Data!F4440</f>
        <v>98</v>
      </c>
      <c r="H4440" s="3" t="str">
        <f aca="false">Raw_Data!G4440</f>
        <v>no</v>
      </c>
      <c r="I4440" s="3" t="str">
        <f aca="false">Raw_Data!H4440</f>
        <v>yes</v>
      </c>
      <c r="J4440" s="2" t="n">
        <f aca="false">IF(F4440="yes",1,0)</f>
        <v>0</v>
      </c>
      <c r="K4440" s="2" t="n">
        <f aca="false">IF(H4440="yes",1,0)</f>
        <v>0</v>
      </c>
      <c r="L4440" s="2" t="n">
        <f aca="false">IF(I4440="yes",1,0)</f>
        <v>1</v>
      </c>
      <c r="M4440" s="2" t="n">
        <f aca="false">IF(G4440&lt;0,1,0)</f>
        <v>0</v>
      </c>
      <c r="N4440" s="2" t="str">
        <f aca="false">_xlfn.IFS(B4440&lt;30,"Under 30",B4440&lt;40,"30-39",B4440&lt;50,"40-49",B4440&lt;60,"50-59",TRUE(),"60+")</f>
        <v>50-59</v>
      </c>
      <c r="O4440" s="2" t="str">
        <f aca="false">_xlfn.IFS(G4440&lt;0,"1 Negative",G4440=0,"2 Zero",G4440&lt;=500,"3 1-500",G4440&lt;=2000,"4 501-2000",TRUE(),"5 Above 2000")</f>
        <v>3 1-500</v>
      </c>
      <c r="P4440" s="2" t="n">
        <f aca="false">Lookups!$B$2*M4440+Lookups!$B$3*L4440</f>
        <v>1</v>
      </c>
      <c r="Q4440" s="2" t="str">
        <f aca="false">INDEX(Lookups!$E$2:$E$5,MATCH(P4440,Lookups!$D$2:$D$5,0))</f>
        <v>Medium</v>
      </c>
    </row>
    <row r="4441" customFormat="false" ht="15" hidden="false" customHeight="false" outlineLevel="0" collapsed="false">
      <c r="A4441" s="3" t="n">
        <v>4440</v>
      </c>
      <c r="B4441" s="3" t="n">
        <f aca="false">Raw_Data!A4441</f>
        <v>28</v>
      </c>
      <c r="C4441" s="3" t="str">
        <f aca="false">SUBSTITUTE(Raw_Data!B4441,".","")</f>
        <v>student</v>
      </c>
      <c r="D4441" s="3" t="str">
        <f aca="false">Raw_Data!C4441</f>
        <v>single</v>
      </c>
      <c r="E4441" s="3" t="str">
        <f aca="false">Raw_Data!D4441</f>
        <v>secondary</v>
      </c>
      <c r="F4441" s="3" t="str">
        <f aca="false">Raw_Data!E4441</f>
        <v>no</v>
      </c>
      <c r="G4441" s="3" t="n">
        <f aca="false">Raw_Data!F4441</f>
        <v>330</v>
      </c>
      <c r="H4441" s="3" t="str">
        <f aca="false">Raw_Data!G4441</f>
        <v>no</v>
      </c>
      <c r="I4441" s="3" t="str">
        <f aca="false">Raw_Data!H4441</f>
        <v>no</v>
      </c>
      <c r="J4441" s="2" t="n">
        <f aca="false">IF(F4441="yes",1,0)</f>
        <v>0</v>
      </c>
      <c r="K4441" s="2" t="n">
        <f aca="false">IF(H4441="yes",1,0)</f>
        <v>0</v>
      </c>
      <c r="L4441" s="2" t="n">
        <f aca="false">IF(I4441="yes",1,0)</f>
        <v>0</v>
      </c>
      <c r="M4441" s="2" t="n">
        <f aca="false">IF(G4441&lt;0,1,0)</f>
        <v>0</v>
      </c>
      <c r="N4441" s="2" t="str">
        <f aca="false">_xlfn.IFS(B4441&lt;30,"Under 30",B4441&lt;40,"30-39",B4441&lt;50,"40-49",B4441&lt;60,"50-59",TRUE(),"60+")</f>
        <v>Under 30</v>
      </c>
      <c r="O4441" s="2" t="str">
        <f aca="false">_xlfn.IFS(G4441&lt;0,"1 Negative",G4441=0,"2 Zero",G4441&lt;=500,"3 1-500",G4441&lt;=2000,"4 501-2000",TRUE(),"5 Above 2000")</f>
        <v>3 1-500</v>
      </c>
      <c r="P4441" s="2" t="n">
        <f aca="false">Lookups!$B$2*M4441+Lookups!$B$3*L4441</f>
        <v>0</v>
      </c>
      <c r="Q4441" s="2" t="str">
        <f aca="false">INDEX(Lookups!$E$2:$E$5,MATCH(P4441,Lookups!$D$2:$D$5,0))</f>
        <v>Low</v>
      </c>
    </row>
    <row r="4442" customFormat="false" ht="15" hidden="false" customHeight="false" outlineLevel="0" collapsed="false">
      <c r="A4442" s="3" t="n">
        <v>4441</v>
      </c>
      <c r="B4442" s="3" t="n">
        <f aca="false">Raw_Data!A4442</f>
        <v>45</v>
      </c>
      <c r="C4442" s="3" t="str">
        <f aca="false">SUBSTITUTE(Raw_Data!B4442,".","")</f>
        <v>blue-collar</v>
      </c>
      <c r="D4442" s="3" t="str">
        <f aca="false">Raw_Data!C4442</f>
        <v>married</v>
      </c>
      <c r="E4442" s="3" t="str">
        <f aca="false">Raw_Data!D4442</f>
        <v>primary</v>
      </c>
      <c r="F4442" s="3" t="str">
        <f aca="false">Raw_Data!E4442</f>
        <v>no</v>
      </c>
      <c r="G4442" s="3" t="n">
        <f aca="false">Raw_Data!F4442</f>
        <v>13117</v>
      </c>
      <c r="H4442" s="3" t="str">
        <f aca="false">Raw_Data!G4442</f>
        <v>no</v>
      </c>
      <c r="I4442" s="3" t="str">
        <f aca="false">Raw_Data!H4442</f>
        <v>no</v>
      </c>
      <c r="J4442" s="2" t="n">
        <f aca="false">IF(F4442="yes",1,0)</f>
        <v>0</v>
      </c>
      <c r="K4442" s="2" t="n">
        <f aca="false">IF(H4442="yes",1,0)</f>
        <v>0</v>
      </c>
      <c r="L4442" s="2" t="n">
        <f aca="false">IF(I4442="yes",1,0)</f>
        <v>0</v>
      </c>
      <c r="M4442" s="2" t="n">
        <f aca="false">IF(G4442&lt;0,1,0)</f>
        <v>0</v>
      </c>
      <c r="N4442" s="2" t="str">
        <f aca="false">_xlfn.IFS(B4442&lt;30,"Under 30",B4442&lt;40,"30-39",B4442&lt;50,"40-49",B4442&lt;60,"50-59",TRUE(),"60+")</f>
        <v>40-49</v>
      </c>
      <c r="O4442" s="2" t="str">
        <f aca="false">_xlfn.IFS(G4442&lt;0,"1 Negative",G4442=0,"2 Zero",G4442&lt;=500,"3 1-500",G4442&lt;=2000,"4 501-2000",TRUE(),"5 Above 2000")</f>
        <v>5 Above 2000</v>
      </c>
      <c r="P4442" s="2" t="n">
        <f aca="false">Lookups!$B$2*M4442+Lookups!$B$3*L4442</f>
        <v>0</v>
      </c>
      <c r="Q4442" s="2" t="str">
        <f aca="false">INDEX(Lookups!$E$2:$E$5,MATCH(P4442,Lookups!$D$2:$D$5,0))</f>
        <v>Low</v>
      </c>
    </row>
    <row r="4443" customFormat="false" ht="15" hidden="false" customHeight="false" outlineLevel="0" collapsed="false">
      <c r="A4443" s="3" t="n">
        <v>4442</v>
      </c>
      <c r="B4443" s="3" t="n">
        <f aca="false">Raw_Data!A4443</f>
        <v>38</v>
      </c>
      <c r="C4443" s="3" t="str">
        <f aca="false">SUBSTITUTE(Raw_Data!B4443,".","")</f>
        <v>management</v>
      </c>
      <c r="D4443" s="3" t="str">
        <f aca="false">Raw_Data!C4443</f>
        <v>married</v>
      </c>
      <c r="E4443" s="3" t="str">
        <f aca="false">Raw_Data!D4443</f>
        <v>tertiary</v>
      </c>
      <c r="F4443" s="3" t="str">
        <f aca="false">Raw_Data!E4443</f>
        <v>no</v>
      </c>
      <c r="G4443" s="3" t="n">
        <f aca="false">Raw_Data!F4443</f>
        <v>12877</v>
      </c>
      <c r="H4443" s="3" t="str">
        <f aca="false">Raw_Data!G4443</f>
        <v>no</v>
      </c>
      <c r="I4443" s="3" t="str">
        <f aca="false">Raw_Data!H4443</f>
        <v>no</v>
      </c>
      <c r="J4443" s="2" t="n">
        <f aca="false">IF(F4443="yes",1,0)</f>
        <v>0</v>
      </c>
      <c r="K4443" s="2" t="n">
        <f aca="false">IF(H4443="yes",1,0)</f>
        <v>0</v>
      </c>
      <c r="L4443" s="2" t="n">
        <f aca="false">IF(I4443="yes",1,0)</f>
        <v>0</v>
      </c>
      <c r="M4443" s="2" t="n">
        <f aca="false">IF(G4443&lt;0,1,0)</f>
        <v>0</v>
      </c>
      <c r="N4443" s="2" t="str">
        <f aca="false">_xlfn.IFS(B4443&lt;30,"Under 30",B4443&lt;40,"30-39",B4443&lt;50,"40-49",B4443&lt;60,"50-59",TRUE(),"60+")</f>
        <v>30-39</v>
      </c>
      <c r="O4443" s="2" t="str">
        <f aca="false">_xlfn.IFS(G4443&lt;0,"1 Negative",G4443=0,"2 Zero",G4443&lt;=500,"3 1-500",G4443&lt;=2000,"4 501-2000",TRUE(),"5 Above 2000")</f>
        <v>5 Above 2000</v>
      </c>
      <c r="P4443" s="2" t="n">
        <f aca="false">Lookups!$B$2*M4443+Lookups!$B$3*L4443</f>
        <v>0</v>
      </c>
      <c r="Q4443" s="2" t="str">
        <f aca="false">INDEX(Lookups!$E$2:$E$5,MATCH(P4443,Lookups!$D$2:$D$5,0))</f>
        <v>Low</v>
      </c>
    </row>
    <row r="4444" customFormat="false" ht="15" hidden="false" customHeight="false" outlineLevel="0" collapsed="false">
      <c r="A4444" s="3" t="n">
        <v>4443</v>
      </c>
      <c r="B4444" s="3" t="n">
        <f aca="false">Raw_Data!A4444</f>
        <v>39</v>
      </c>
      <c r="C4444" s="3" t="str">
        <f aca="false">SUBSTITUTE(Raw_Data!B4444,".","")</f>
        <v>blue-collar</v>
      </c>
      <c r="D4444" s="3" t="str">
        <f aca="false">Raw_Data!C4444</f>
        <v>married</v>
      </c>
      <c r="E4444" s="3" t="str">
        <f aca="false">Raw_Data!D4444</f>
        <v>primary</v>
      </c>
      <c r="F4444" s="3" t="str">
        <f aca="false">Raw_Data!E4444</f>
        <v>no</v>
      </c>
      <c r="G4444" s="3" t="n">
        <f aca="false">Raw_Data!F4444</f>
        <v>1506</v>
      </c>
      <c r="H4444" s="3" t="str">
        <f aca="false">Raw_Data!G4444</f>
        <v>yes</v>
      </c>
      <c r="I4444" s="3" t="str">
        <f aca="false">Raw_Data!H4444</f>
        <v>no</v>
      </c>
      <c r="J4444" s="2" t="n">
        <f aca="false">IF(F4444="yes",1,0)</f>
        <v>0</v>
      </c>
      <c r="K4444" s="2" t="n">
        <f aca="false">IF(H4444="yes",1,0)</f>
        <v>1</v>
      </c>
      <c r="L4444" s="2" t="n">
        <f aca="false">IF(I4444="yes",1,0)</f>
        <v>0</v>
      </c>
      <c r="M4444" s="2" t="n">
        <f aca="false">IF(G4444&lt;0,1,0)</f>
        <v>0</v>
      </c>
      <c r="N4444" s="2" t="str">
        <f aca="false">_xlfn.IFS(B4444&lt;30,"Under 30",B4444&lt;40,"30-39",B4444&lt;50,"40-49",B4444&lt;60,"50-59",TRUE(),"60+")</f>
        <v>30-39</v>
      </c>
      <c r="O4444" s="2" t="str">
        <f aca="false">_xlfn.IFS(G4444&lt;0,"1 Negative",G4444=0,"2 Zero",G4444&lt;=500,"3 1-500",G4444&lt;=2000,"4 501-2000",TRUE(),"5 Above 2000")</f>
        <v>4 501-2000</v>
      </c>
      <c r="P4444" s="2" t="n">
        <f aca="false">Lookups!$B$2*M4444+Lookups!$B$3*L4444</f>
        <v>0</v>
      </c>
      <c r="Q4444" s="2" t="str">
        <f aca="false">INDEX(Lookups!$E$2:$E$5,MATCH(P4444,Lookups!$D$2:$D$5,0))</f>
        <v>Low</v>
      </c>
    </row>
    <row r="4445" customFormat="false" ht="15" hidden="false" customHeight="false" outlineLevel="0" collapsed="false">
      <c r="A4445" s="3" t="n">
        <v>4444</v>
      </c>
      <c r="B4445" s="3" t="n">
        <f aca="false">Raw_Data!A4445</f>
        <v>28</v>
      </c>
      <c r="C4445" s="3" t="str">
        <f aca="false">SUBSTITUTE(Raw_Data!B4445,".","")</f>
        <v>management</v>
      </c>
      <c r="D4445" s="3" t="str">
        <f aca="false">Raw_Data!C4445</f>
        <v>single</v>
      </c>
      <c r="E4445" s="3" t="str">
        <f aca="false">Raw_Data!D4445</f>
        <v>tertiary</v>
      </c>
      <c r="F4445" s="3" t="str">
        <f aca="false">Raw_Data!E4445</f>
        <v>no</v>
      </c>
      <c r="G4445" s="3" t="n">
        <f aca="false">Raw_Data!F4445</f>
        <v>0</v>
      </c>
      <c r="H4445" s="3" t="str">
        <f aca="false">Raw_Data!G4445</f>
        <v>no</v>
      </c>
      <c r="I4445" s="3" t="str">
        <f aca="false">Raw_Data!H4445</f>
        <v>no</v>
      </c>
      <c r="J4445" s="2" t="n">
        <f aca="false">IF(F4445="yes",1,0)</f>
        <v>0</v>
      </c>
      <c r="K4445" s="2" t="n">
        <f aca="false">IF(H4445="yes",1,0)</f>
        <v>0</v>
      </c>
      <c r="L4445" s="2" t="n">
        <f aca="false">IF(I4445="yes",1,0)</f>
        <v>0</v>
      </c>
      <c r="M4445" s="2" t="n">
        <f aca="false">IF(G4445&lt;0,1,0)</f>
        <v>0</v>
      </c>
      <c r="N4445" s="2" t="str">
        <f aca="false">_xlfn.IFS(B4445&lt;30,"Under 30",B4445&lt;40,"30-39",B4445&lt;50,"40-49",B4445&lt;60,"50-59",TRUE(),"60+")</f>
        <v>Under 30</v>
      </c>
      <c r="O4445" s="2" t="str">
        <f aca="false">_xlfn.IFS(G4445&lt;0,"1 Negative",G4445=0,"2 Zero",G4445&lt;=500,"3 1-500",G4445&lt;=2000,"4 501-2000",TRUE(),"5 Above 2000")</f>
        <v>2 Zero</v>
      </c>
      <c r="P4445" s="2" t="n">
        <f aca="false">Lookups!$B$2*M4445+Lookups!$B$3*L4445</f>
        <v>0</v>
      </c>
      <c r="Q4445" s="2" t="str">
        <f aca="false">INDEX(Lookups!$E$2:$E$5,MATCH(P4445,Lookups!$D$2:$D$5,0))</f>
        <v>Low</v>
      </c>
    </row>
    <row r="4446" customFormat="false" ht="15" hidden="false" customHeight="false" outlineLevel="0" collapsed="false">
      <c r="A4446" s="3" t="n">
        <v>4445</v>
      </c>
      <c r="B4446" s="3" t="n">
        <f aca="false">Raw_Data!A4446</f>
        <v>31</v>
      </c>
      <c r="C4446" s="3" t="str">
        <f aca="false">SUBSTITUTE(Raw_Data!B4446,".","")</f>
        <v>technician</v>
      </c>
      <c r="D4446" s="3" t="str">
        <f aca="false">Raw_Data!C4446</f>
        <v>single</v>
      </c>
      <c r="E4446" s="3" t="str">
        <f aca="false">Raw_Data!D4446</f>
        <v>secondary</v>
      </c>
      <c r="F4446" s="3" t="str">
        <f aca="false">Raw_Data!E4446</f>
        <v>no</v>
      </c>
      <c r="G4446" s="3" t="n">
        <f aca="false">Raw_Data!F4446</f>
        <v>775</v>
      </c>
      <c r="H4446" s="3" t="str">
        <f aca="false">Raw_Data!G4446</f>
        <v>no</v>
      </c>
      <c r="I4446" s="3" t="str">
        <f aca="false">Raw_Data!H4446</f>
        <v>no</v>
      </c>
      <c r="J4446" s="2" t="n">
        <f aca="false">IF(F4446="yes",1,0)</f>
        <v>0</v>
      </c>
      <c r="K4446" s="2" t="n">
        <f aca="false">IF(H4446="yes",1,0)</f>
        <v>0</v>
      </c>
      <c r="L4446" s="2" t="n">
        <f aca="false">IF(I4446="yes",1,0)</f>
        <v>0</v>
      </c>
      <c r="M4446" s="2" t="n">
        <f aca="false">IF(G4446&lt;0,1,0)</f>
        <v>0</v>
      </c>
      <c r="N4446" s="2" t="str">
        <f aca="false">_xlfn.IFS(B4446&lt;30,"Under 30",B4446&lt;40,"30-39",B4446&lt;50,"40-49",B4446&lt;60,"50-59",TRUE(),"60+")</f>
        <v>30-39</v>
      </c>
      <c r="O4446" s="2" t="str">
        <f aca="false">_xlfn.IFS(G4446&lt;0,"1 Negative",G4446=0,"2 Zero",G4446&lt;=500,"3 1-500",G4446&lt;=2000,"4 501-2000",TRUE(),"5 Above 2000")</f>
        <v>4 501-2000</v>
      </c>
      <c r="P4446" s="2" t="n">
        <f aca="false">Lookups!$B$2*M4446+Lookups!$B$3*L4446</f>
        <v>0</v>
      </c>
      <c r="Q4446" s="2" t="str">
        <f aca="false">INDEX(Lookups!$E$2:$E$5,MATCH(P4446,Lookups!$D$2:$D$5,0))</f>
        <v>Low</v>
      </c>
    </row>
    <row r="4447" customFormat="false" ht="15" hidden="false" customHeight="false" outlineLevel="0" collapsed="false">
      <c r="A4447" s="3" t="n">
        <v>4446</v>
      </c>
      <c r="B4447" s="3" t="n">
        <f aca="false">Raw_Data!A4447</f>
        <v>46</v>
      </c>
      <c r="C4447" s="3" t="str">
        <f aca="false">SUBSTITUTE(Raw_Data!B4447,".","")</f>
        <v>blue-collar</v>
      </c>
      <c r="D4447" s="3" t="str">
        <f aca="false">Raw_Data!C4447</f>
        <v>married</v>
      </c>
      <c r="E4447" s="3" t="str">
        <f aca="false">Raw_Data!D4447</f>
        <v>primary</v>
      </c>
      <c r="F4447" s="3" t="str">
        <f aca="false">Raw_Data!E4447</f>
        <v>no</v>
      </c>
      <c r="G4447" s="3" t="n">
        <f aca="false">Raw_Data!F4447</f>
        <v>258</v>
      </c>
      <c r="H4447" s="3" t="str">
        <f aca="false">Raw_Data!G4447</f>
        <v>yes</v>
      </c>
      <c r="I4447" s="3" t="str">
        <f aca="false">Raw_Data!H4447</f>
        <v>no</v>
      </c>
      <c r="J4447" s="2" t="n">
        <f aca="false">IF(F4447="yes",1,0)</f>
        <v>0</v>
      </c>
      <c r="K4447" s="2" t="n">
        <f aca="false">IF(H4447="yes",1,0)</f>
        <v>1</v>
      </c>
      <c r="L4447" s="2" t="n">
        <f aca="false">IF(I4447="yes",1,0)</f>
        <v>0</v>
      </c>
      <c r="M4447" s="2" t="n">
        <f aca="false">IF(G4447&lt;0,1,0)</f>
        <v>0</v>
      </c>
      <c r="N4447" s="2" t="str">
        <f aca="false">_xlfn.IFS(B4447&lt;30,"Under 30",B4447&lt;40,"30-39",B4447&lt;50,"40-49",B4447&lt;60,"50-59",TRUE(),"60+")</f>
        <v>40-49</v>
      </c>
      <c r="O4447" s="2" t="str">
        <f aca="false">_xlfn.IFS(G4447&lt;0,"1 Negative",G4447=0,"2 Zero",G4447&lt;=500,"3 1-500",G4447&lt;=2000,"4 501-2000",TRUE(),"5 Above 2000")</f>
        <v>3 1-500</v>
      </c>
      <c r="P4447" s="2" t="n">
        <f aca="false">Lookups!$B$2*M4447+Lookups!$B$3*L4447</f>
        <v>0</v>
      </c>
      <c r="Q4447" s="2" t="str">
        <f aca="false">INDEX(Lookups!$E$2:$E$5,MATCH(P4447,Lookups!$D$2:$D$5,0))</f>
        <v>Low</v>
      </c>
    </row>
    <row r="4448" customFormat="false" ht="15" hidden="false" customHeight="false" outlineLevel="0" collapsed="false">
      <c r="A4448" s="3" t="n">
        <v>4447</v>
      </c>
      <c r="B4448" s="3" t="n">
        <f aca="false">Raw_Data!A4448</f>
        <v>22</v>
      </c>
      <c r="C4448" s="3" t="str">
        <f aca="false">SUBSTITUTE(Raw_Data!B4448,".","")</f>
        <v>student</v>
      </c>
      <c r="D4448" s="3" t="str">
        <f aca="false">Raw_Data!C4448</f>
        <v>single</v>
      </c>
      <c r="E4448" s="3" t="str">
        <f aca="false">Raw_Data!D4448</f>
        <v>secondary</v>
      </c>
      <c r="F4448" s="3" t="str">
        <f aca="false">Raw_Data!E4448</f>
        <v>no</v>
      </c>
      <c r="G4448" s="3" t="n">
        <f aca="false">Raw_Data!F4448</f>
        <v>246</v>
      </c>
      <c r="H4448" s="3" t="str">
        <f aca="false">Raw_Data!G4448</f>
        <v>yes</v>
      </c>
      <c r="I4448" s="3" t="str">
        <f aca="false">Raw_Data!H4448</f>
        <v>no</v>
      </c>
      <c r="J4448" s="2" t="n">
        <f aca="false">IF(F4448="yes",1,0)</f>
        <v>0</v>
      </c>
      <c r="K4448" s="2" t="n">
        <f aca="false">IF(H4448="yes",1,0)</f>
        <v>1</v>
      </c>
      <c r="L4448" s="2" t="n">
        <f aca="false">IF(I4448="yes",1,0)</f>
        <v>0</v>
      </c>
      <c r="M4448" s="2" t="n">
        <f aca="false">IF(G4448&lt;0,1,0)</f>
        <v>0</v>
      </c>
      <c r="N4448" s="2" t="str">
        <f aca="false">_xlfn.IFS(B4448&lt;30,"Under 30",B4448&lt;40,"30-39",B4448&lt;50,"40-49",B4448&lt;60,"50-59",TRUE(),"60+")</f>
        <v>Under 30</v>
      </c>
      <c r="O4448" s="2" t="str">
        <f aca="false">_xlfn.IFS(G4448&lt;0,"1 Negative",G4448=0,"2 Zero",G4448&lt;=500,"3 1-500",G4448&lt;=2000,"4 501-2000",TRUE(),"5 Above 2000")</f>
        <v>3 1-500</v>
      </c>
      <c r="P4448" s="2" t="n">
        <f aca="false">Lookups!$B$2*M4448+Lookups!$B$3*L4448</f>
        <v>0</v>
      </c>
      <c r="Q4448" s="2" t="str">
        <f aca="false">INDEX(Lookups!$E$2:$E$5,MATCH(P4448,Lookups!$D$2:$D$5,0))</f>
        <v>Low</v>
      </c>
    </row>
    <row r="4449" customFormat="false" ht="15" hidden="false" customHeight="false" outlineLevel="0" collapsed="false">
      <c r="A4449" s="3" t="n">
        <v>4448</v>
      </c>
      <c r="B4449" s="3" t="n">
        <f aca="false">Raw_Data!A4449</f>
        <v>49</v>
      </c>
      <c r="C4449" s="3" t="str">
        <f aca="false">SUBSTITUTE(Raw_Data!B4449,".","")</f>
        <v>blue-collar</v>
      </c>
      <c r="D4449" s="3" t="str">
        <f aca="false">Raw_Data!C4449</f>
        <v>single</v>
      </c>
      <c r="E4449" s="3" t="str">
        <f aca="false">Raw_Data!D4449</f>
        <v>primary</v>
      </c>
      <c r="F4449" s="3" t="str">
        <f aca="false">Raw_Data!E4449</f>
        <v>no</v>
      </c>
      <c r="G4449" s="3" t="n">
        <f aca="false">Raw_Data!F4449</f>
        <v>2146</v>
      </c>
      <c r="H4449" s="3" t="str">
        <f aca="false">Raw_Data!G4449</f>
        <v>yes</v>
      </c>
      <c r="I4449" s="3" t="str">
        <f aca="false">Raw_Data!H4449</f>
        <v>no</v>
      </c>
      <c r="J4449" s="2" t="n">
        <f aca="false">IF(F4449="yes",1,0)</f>
        <v>0</v>
      </c>
      <c r="K4449" s="2" t="n">
        <f aca="false">IF(H4449="yes",1,0)</f>
        <v>1</v>
      </c>
      <c r="L4449" s="2" t="n">
        <f aca="false">IF(I4449="yes",1,0)</f>
        <v>0</v>
      </c>
      <c r="M4449" s="2" t="n">
        <f aca="false">IF(G4449&lt;0,1,0)</f>
        <v>0</v>
      </c>
      <c r="N4449" s="2" t="str">
        <f aca="false">_xlfn.IFS(B4449&lt;30,"Under 30",B4449&lt;40,"30-39",B4449&lt;50,"40-49",B4449&lt;60,"50-59",TRUE(),"60+")</f>
        <v>40-49</v>
      </c>
      <c r="O4449" s="2" t="str">
        <f aca="false">_xlfn.IFS(G4449&lt;0,"1 Negative",G4449=0,"2 Zero",G4449&lt;=500,"3 1-500",G4449&lt;=2000,"4 501-2000",TRUE(),"5 Above 2000")</f>
        <v>5 Above 2000</v>
      </c>
      <c r="P4449" s="2" t="n">
        <f aca="false">Lookups!$B$2*M4449+Lookups!$B$3*L4449</f>
        <v>0</v>
      </c>
      <c r="Q4449" s="2" t="str">
        <f aca="false">INDEX(Lookups!$E$2:$E$5,MATCH(P4449,Lookups!$D$2:$D$5,0))</f>
        <v>Low</v>
      </c>
    </row>
    <row r="4450" customFormat="false" ht="15" hidden="false" customHeight="false" outlineLevel="0" collapsed="false">
      <c r="A4450" s="3" t="n">
        <v>4449</v>
      </c>
      <c r="B4450" s="3" t="n">
        <f aca="false">Raw_Data!A4450</f>
        <v>44</v>
      </c>
      <c r="C4450" s="3" t="str">
        <f aca="false">SUBSTITUTE(Raw_Data!B4450,".","")</f>
        <v>unemployed</v>
      </c>
      <c r="D4450" s="3" t="str">
        <f aca="false">Raw_Data!C4450</f>
        <v>married</v>
      </c>
      <c r="E4450" s="3" t="str">
        <f aca="false">Raw_Data!D4450</f>
        <v>secondary</v>
      </c>
      <c r="F4450" s="3" t="str">
        <f aca="false">Raw_Data!E4450</f>
        <v>no</v>
      </c>
      <c r="G4450" s="3" t="n">
        <f aca="false">Raw_Data!F4450</f>
        <v>304</v>
      </c>
      <c r="H4450" s="3" t="str">
        <f aca="false">Raw_Data!G4450</f>
        <v>yes</v>
      </c>
      <c r="I4450" s="3" t="str">
        <f aca="false">Raw_Data!H4450</f>
        <v>no</v>
      </c>
      <c r="J4450" s="2" t="n">
        <f aca="false">IF(F4450="yes",1,0)</f>
        <v>0</v>
      </c>
      <c r="K4450" s="2" t="n">
        <f aca="false">IF(H4450="yes",1,0)</f>
        <v>1</v>
      </c>
      <c r="L4450" s="2" t="n">
        <f aca="false">IF(I4450="yes",1,0)</f>
        <v>0</v>
      </c>
      <c r="M4450" s="2" t="n">
        <f aca="false">IF(G4450&lt;0,1,0)</f>
        <v>0</v>
      </c>
      <c r="N4450" s="2" t="str">
        <f aca="false">_xlfn.IFS(B4450&lt;30,"Under 30",B4450&lt;40,"30-39",B4450&lt;50,"40-49",B4450&lt;60,"50-59",TRUE(),"60+")</f>
        <v>40-49</v>
      </c>
      <c r="O4450" s="2" t="str">
        <f aca="false">_xlfn.IFS(G4450&lt;0,"1 Negative",G4450=0,"2 Zero",G4450&lt;=500,"3 1-500",G4450&lt;=2000,"4 501-2000",TRUE(),"5 Above 2000")</f>
        <v>3 1-500</v>
      </c>
      <c r="P4450" s="2" t="n">
        <f aca="false">Lookups!$B$2*M4450+Lookups!$B$3*L4450</f>
        <v>0</v>
      </c>
      <c r="Q4450" s="2" t="str">
        <f aca="false">INDEX(Lookups!$E$2:$E$5,MATCH(P4450,Lookups!$D$2:$D$5,0))</f>
        <v>Low</v>
      </c>
    </row>
    <row r="4451" customFormat="false" ht="15" hidden="false" customHeight="false" outlineLevel="0" collapsed="false">
      <c r="A4451" s="3" t="n">
        <v>4450</v>
      </c>
      <c r="B4451" s="3" t="n">
        <f aca="false">Raw_Data!A4451</f>
        <v>31</v>
      </c>
      <c r="C4451" s="3" t="str">
        <f aca="false">SUBSTITUTE(Raw_Data!B4451,".","")</f>
        <v>self-employed</v>
      </c>
      <c r="D4451" s="3" t="str">
        <f aca="false">Raw_Data!C4451</f>
        <v>single</v>
      </c>
      <c r="E4451" s="3" t="str">
        <f aca="false">Raw_Data!D4451</f>
        <v>secondary</v>
      </c>
      <c r="F4451" s="3" t="str">
        <f aca="false">Raw_Data!E4451</f>
        <v>no</v>
      </c>
      <c r="G4451" s="3" t="n">
        <f aca="false">Raw_Data!F4451</f>
        <v>360</v>
      </c>
      <c r="H4451" s="3" t="str">
        <f aca="false">Raw_Data!G4451</f>
        <v>yes</v>
      </c>
      <c r="I4451" s="3" t="str">
        <f aca="false">Raw_Data!H4451</f>
        <v>no</v>
      </c>
      <c r="J4451" s="2" t="n">
        <f aca="false">IF(F4451="yes",1,0)</f>
        <v>0</v>
      </c>
      <c r="K4451" s="2" t="n">
        <f aca="false">IF(H4451="yes",1,0)</f>
        <v>1</v>
      </c>
      <c r="L4451" s="2" t="n">
        <f aca="false">IF(I4451="yes",1,0)</f>
        <v>0</v>
      </c>
      <c r="M4451" s="2" t="n">
        <f aca="false">IF(G4451&lt;0,1,0)</f>
        <v>0</v>
      </c>
      <c r="N4451" s="2" t="str">
        <f aca="false">_xlfn.IFS(B4451&lt;30,"Under 30",B4451&lt;40,"30-39",B4451&lt;50,"40-49",B4451&lt;60,"50-59",TRUE(),"60+")</f>
        <v>30-39</v>
      </c>
      <c r="O4451" s="2" t="str">
        <f aca="false">_xlfn.IFS(G4451&lt;0,"1 Negative",G4451=0,"2 Zero",G4451&lt;=500,"3 1-500",G4451&lt;=2000,"4 501-2000",TRUE(),"5 Above 2000")</f>
        <v>3 1-500</v>
      </c>
      <c r="P4451" s="2" t="n">
        <f aca="false">Lookups!$B$2*M4451+Lookups!$B$3*L4451</f>
        <v>0</v>
      </c>
      <c r="Q4451" s="2" t="str">
        <f aca="false">INDEX(Lookups!$E$2:$E$5,MATCH(P4451,Lookups!$D$2:$D$5,0))</f>
        <v>Low</v>
      </c>
    </row>
    <row r="4452" customFormat="false" ht="15" hidden="false" customHeight="false" outlineLevel="0" collapsed="false">
      <c r="A4452" s="3" t="n">
        <v>4451</v>
      </c>
      <c r="B4452" s="3" t="n">
        <f aca="false">Raw_Data!A4452</f>
        <v>53</v>
      </c>
      <c r="C4452" s="3" t="str">
        <f aca="false">SUBSTITUTE(Raw_Data!B4452,".","")</f>
        <v>blue-collar</v>
      </c>
      <c r="D4452" s="3" t="str">
        <f aca="false">Raw_Data!C4452</f>
        <v>married</v>
      </c>
      <c r="E4452" s="3" t="str">
        <f aca="false">Raw_Data!D4452</f>
        <v>primary</v>
      </c>
      <c r="F4452" s="3" t="str">
        <f aca="false">Raw_Data!E4452</f>
        <v>no</v>
      </c>
      <c r="G4452" s="3" t="n">
        <f aca="false">Raw_Data!F4452</f>
        <v>3316</v>
      </c>
      <c r="H4452" s="3" t="str">
        <f aca="false">Raw_Data!G4452</f>
        <v>yes</v>
      </c>
      <c r="I4452" s="3" t="str">
        <f aca="false">Raw_Data!H4452</f>
        <v>no</v>
      </c>
      <c r="J4452" s="2" t="n">
        <f aca="false">IF(F4452="yes",1,0)</f>
        <v>0</v>
      </c>
      <c r="K4452" s="2" t="n">
        <f aca="false">IF(H4452="yes",1,0)</f>
        <v>1</v>
      </c>
      <c r="L4452" s="2" t="n">
        <f aca="false">IF(I4452="yes",1,0)</f>
        <v>0</v>
      </c>
      <c r="M4452" s="2" t="n">
        <f aca="false">IF(G4452&lt;0,1,0)</f>
        <v>0</v>
      </c>
      <c r="N4452" s="2" t="str">
        <f aca="false">_xlfn.IFS(B4452&lt;30,"Under 30",B4452&lt;40,"30-39",B4452&lt;50,"40-49",B4452&lt;60,"50-59",TRUE(),"60+")</f>
        <v>50-59</v>
      </c>
      <c r="O4452" s="2" t="str">
        <f aca="false">_xlfn.IFS(G4452&lt;0,"1 Negative",G4452=0,"2 Zero",G4452&lt;=500,"3 1-500",G4452&lt;=2000,"4 501-2000",TRUE(),"5 Above 2000")</f>
        <v>5 Above 2000</v>
      </c>
      <c r="P4452" s="2" t="n">
        <f aca="false">Lookups!$B$2*M4452+Lookups!$B$3*L4452</f>
        <v>0</v>
      </c>
      <c r="Q4452" s="2" t="str">
        <f aca="false">INDEX(Lookups!$E$2:$E$5,MATCH(P4452,Lookups!$D$2:$D$5,0))</f>
        <v>Low</v>
      </c>
    </row>
    <row r="4453" customFormat="false" ht="15" hidden="false" customHeight="false" outlineLevel="0" collapsed="false">
      <c r="A4453" s="3" t="n">
        <v>4452</v>
      </c>
      <c r="B4453" s="3" t="n">
        <f aca="false">Raw_Data!A4453</f>
        <v>55</v>
      </c>
      <c r="C4453" s="3" t="str">
        <f aca="false">SUBSTITUTE(Raw_Data!B4453,".","")</f>
        <v>management</v>
      </c>
      <c r="D4453" s="3" t="str">
        <f aca="false">Raw_Data!C4453</f>
        <v>married</v>
      </c>
      <c r="E4453" s="3" t="str">
        <f aca="false">Raw_Data!D4453</f>
        <v>tertiary</v>
      </c>
      <c r="F4453" s="3" t="str">
        <f aca="false">Raw_Data!E4453</f>
        <v>no</v>
      </c>
      <c r="G4453" s="3" t="n">
        <f aca="false">Raw_Data!F4453</f>
        <v>6880</v>
      </c>
      <c r="H4453" s="3" t="str">
        <f aca="false">Raw_Data!G4453</f>
        <v>no</v>
      </c>
      <c r="I4453" s="3" t="str">
        <f aca="false">Raw_Data!H4453</f>
        <v>no</v>
      </c>
      <c r="J4453" s="2" t="n">
        <f aca="false">IF(F4453="yes",1,0)</f>
        <v>0</v>
      </c>
      <c r="K4453" s="2" t="n">
        <f aca="false">IF(H4453="yes",1,0)</f>
        <v>0</v>
      </c>
      <c r="L4453" s="2" t="n">
        <f aca="false">IF(I4453="yes",1,0)</f>
        <v>0</v>
      </c>
      <c r="M4453" s="2" t="n">
        <f aca="false">IF(G4453&lt;0,1,0)</f>
        <v>0</v>
      </c>
      <c r="N4453" s="2" t="str">
        <f aca="false">_xlfn.IFS(B4453&lt;30,"Under 30",B4453&lt;40,"30-39",B4453&lt;50,"40-49",B4453&lt;60,"50-59",TRUE(),"60+")</f>
        <v>50-59</v>
      </c>
      <c r="O4453" s="2" t="str">
        <f aca="false">_xlfn.IFS(G4453&lt;0,"1 Negative",G4453=0,"2 Zero",G4453&lt;=500,"3 1-500",G4453&lt;=2000,"4 501-2000",TRUE(),"5 Above 2000")</f>
        <v>5 Above 2000</v>
      </c>
      <c r="P4453" s="2" t="n">
        <f aca="false">Lookups!$B$2*M4453+Lookups!$B$3*L4453</f>
        <v>0</v>
      </c>
      <c r="Q4453" s="2" t="str">
        <f aca="false">INDEX(Lookups!$E$2:$E$5,MATCH(P4453,Lookups!$D$2:$D$5,0))</f>
        <v>Low</v>
      </c>
    </row>
    <row r="4454" customFormat="false" ht="15" hidden="false" customHeight="false" outlineLevel="0" collapsed="false">
      <c r="A4454" s="3" t="n">
        <v>4453</v>
      </c>
      <c r="B4454" s="3" t="n">
        <f aca="false">Raw_Data!A4454</f>
        <v>35</v>
      </c>
      <c r="C4454" s="3" t="str">
        <f aca="false">SUBSTITUTE(Raw_Data!B4454,".","")</f>
        <v>technician</v>
      </c>
      <c r="D4454" s="3" t="str">
        <f aca="false">Raw_Data!C4454</f>
        <v>married</v>
      </c>
      <c r="E4454" s="3" t="str">
        <f aca="false">Raw_Data!D4454</f>
        <v>secondary</v>
      </c>
      <c r="F4454" s="3" t="str">
        <f aca="false">Raw_Data!E4454</f>
        <v>no</v>
      </c>
      <c r="G4454" s="3" t="n">
        <f aca="false">Raw_Data!F4454</f>
        <v>2189</v>
      </c>
      <c r="H4454" s="3" t="str">
        <f aca="false">Raw_Data!G4454</f>
        <v>no</v>
      </c>
      <c r="I4454" s="3" t="str">
        <f aca="false">Raw_Data!H4454</f>
        <v>no</v>
      </c>
      <c r="J4454" s="2" t="n">
        <f aca="false">IF(F4454="yes",1,0)</f>
        <v>0</v>
      </c>
      <c r="K4454" s="2" t="n">
        <f aca="false">IF(H4454="yes",1,0)</f>
        <v>0</v>
      </c>
      <c r="L4454" s="2" t="n">
        <f aca="false">IF(I4454="yes",1,0)</f>
        <v>0</v>
      </c>
      <c r="M4454" s="2" t="n">
        <f aca="false">IF(G4454&lt;0,1,0)</f>
        <v>0</v>
      </c>
      <c r="N4454" s="2" t="str">
        <f aca="false">_xlfn.IFS(B4454&lt;30,"Under 30",B4454&lt;40,"30-39",B4454&lt;50,"40-49",B4454&lt;60,"50-59",TRUE(),"60+")</f>
        <v>30-39</v>
      </c>
      <c r="O4454" s="2" t="str">
        <f aca="false">_xlfn.IFS(G4454&lt;0,"1 Negative",G4454=0,"2 Zero",G4454&lt;=500,"3 1-500",G4454&lt;=2000,"4 501-2000",TRUE(),"5 Above 2000")</f>
        <v>5 Above 2000</v>
      </c>
      <c r="P4454" s="2" t="n">
        <f aca="false">Lookups!$B$2*M4454+Lookups!$B$3*L4454</f>
        <v>0</v>
      </c>
      <c r="Q4454" s="2" t="str">
        <f aca="false">INDEX(Lookups!$E$2:$E$5,MATCH(P4454,Lookups!$D$2:$D$5,0))</f>
        <v>Low</v>
      </c>
    </row>
    <row r="4455" customFormat="false" ht="15" hidden="false" customHeight="false" outlineLevel="0" collapsed="false">
      <c r="A4455" s="3" t="n">
        <v>4454</v>
      </c>
      <c r="B4455" s="3" t="n">
        <f aca="false">Raw_Data!A4455</f>
        <v>35</v>
      </c>
      <c r="C4455" s="3" t="str">
        <f aca="false">SUBSTITUTE(Raw_Data!B4455,".","")</f>
        <v>blue-collar</v>
      </c>
      <c r="D4455" s="3" t="str">
        <f aca="false">Raw_Data!C4455</f>
        <v>married</v>
      </c>
      <c r="E4455" s="3" t="str">
        <f aca="false">Raw_Data!D4455</f>
        <v>secondary</v>
      </c>
      <c r="F4455" s="3" t="str">
        <f aca="false">Raw_Data!E4455</f>
        <v>no</v>
      </c>
      <c r="G4455" s="3" t="n">
        <f aca="false">Raw_Data!F4455</f>
        <v>5304</v>
      </c>
      <c r="H4455" s="3" t="str">
        <f aca="false">Raw_Data!G4455</f>
        <v>yes</v>
      </c>
      <c r="I4455" s="3" t="str">
        <f aca="false">Raw_Data!H4455</f>
        <v>no</v>
      </c>
      <c r="J4455" s="2" t="n">
        <f aca="false">IF(F4455="yes",1,0)</f>
        <v>0</v>
      </c>
      <c r="K4455" s="2" t="n">
        <f aca="false">IF(H4455="yes",1,0)</f>
        <v>1</v>
      </c>
      <c r="L4455" s="2" t="n">
        <f aca="false">IF(I4455="yes",1,0)</f>
        <v>0</v>
      </c>
      <c r="M4455" s="2" t="n">
        <f aca="false">IF(G4455&lt;0,1,0)</f>
        <v>0</v>
      </c>
      <c r="N4455" s="2" t="str">
        <f aca="false">_xlfn.IFS(B4455&lt;30,"Under 30",B4455&lt;40,"30-39",B4455&lt;50,"40-49",B4455&lt;60,"50-59",TRUE(),"60+")</f>
        <v>30-39</v>
      </c>
      <c r="O4455" s="2" t="str">
        <f aca="false">_xlfn.IFS(G4455&lt;0,"1 Negative",G4455=0,"2 Zero",G4455&lt;=500,"3 1-500",G4455&lt;=2000,"4 501-2000",TRUE(),"5 Above 2000")</f>
        <v>5 Above 2000</v>
      </c>
      <c r="P4455" s="2" t="n">
        <f aca="false">Lookups!$B$2*M4455+Lookups!$B$3*L4455</f>
        <v>0</v>
      </c>
      <c r="Q4455" s="2" t="str">
        <f aca="false">INDEX(Lookups!$E$2:$E$5,MATCH(P4455,Lookups!$D$2:$D$5,0))</f>
        <v>Low</v>
      </c>
    </row>
    <row r="4456" customFormat="false" ht="15" hidden="false" customHeight="false" outlineLevel="0" collapsed="false">
      <c r="A4456" s="3" t="n">
        <v>4455</v>
      </c>
      <c r="B4456" s="3" t="n">
        <f aca="false">Raw_Data!A4456</f>
        <v>37</v>
      </c>
      <c r="C4456" s="3" t="str">
        <f aca="false">SUBSTITUTE(Raw_Data!B4456,".","")</f>
        <v>management</v>
      </c>
      <c r="D4456" s="3" t="str">
        <f aca="false">Raw_Data!C4456</f>
        <v>single</v>
      </c>
      <c r="E4456" s="3" t="str">
        <f aca="false">Raw_Data!D4456</f>
        <v>tertiary</v>
      </c>
      <c r="F4456" s="3" t="str">
        <f aca="false">Raw_Data!E4456</f>
        <v>no</v>
      </c>
      <c r="G4456" s="3" t="n">
        <f aca="false">Raw_Data!F4456</f>
        <v>102</v>
      </c>
      <c r="H4456" s="3" t="str">
        <f aca="false">Raw_Data!G4456</f>
        <v>yes</v>
      </c>
      <c r="I4456" s="3" t="str">
        <f aca="false">Raw_Data!H4456</f>
        <v>no</v>
      </c>
      <c r="J4456" s="2" t="n">
        <f aca="false">IF(F4456="yes",1,0)</f>
        <v>0</v>
      </c>
      <c r="K4456" s="2" t="n">
        <f aca="false">IF(H4456="yes",1,0)</f>
        <v>1</v>
      </c>
      <c r="L4456" s="2" t="n">
        <f aca="false">IF(I4456="yes",1,0)</f>
        <v>0</v>
      </c>
      <c r="M4456" s="2" t="n">
        <f aca="false">IF(G4456&lt;0,1,0)</f>
        <v>0</v>
      </c>
      <c r="N4456" s="2" t="str">
        <f aca="false">_xlfn.IFS(B4456&lt;30,"Under 30",B4456&lt;40,"30-39",B4456&lt;50,"40-49",B4456&lt;60,"50-59",TRUE(),"60+")</f>
        <v>30-39</v>
      </c>
      <c r="O4456" s="2" t="str">
        <f aca="false">_xlfn.IFS(G4456&lt;0,"1 Negative",G4456=0,"2 Zero",G4456&lt;=500,"3 1-500",G4456&lt;=2000,"4 501-2000",TRUE(),"5 Above 2000")</f>
        <v>3 1-500</v>
      </c>
      <c r="P4456" s="2" t="n">
        <f aca="false">Lookups!$B$2*M4456+Lookups!$B$3*L4456</f>
        <v>0</v>
      </c>
      <c r="Q4456" s="2" t="str">
        <f aca="false">INDEX(Lookups!$E$2:$E$5,MATCH(P4456,Lookups!$D$2:$D$5,0))</f>
        <v>Low</v>
      </c>
    </row>
    <row r="4457" customFormat="false" ht="15" hidden="false" customHeight="false" outlineLevel="0" collapsed="false">
      <c r="A4457" s="3" t="n">
        <v>4456</v>
      </c>
      <c r="B4457" s="3" t="n">
        <f aca="false">Raw_Data!A4457</f>
        <v>50</v>
      </c>
      <c r="C4457" s="3" t="str">
        <f aca="false">SUBSTITUTE(Raw_Data!B4457,".","")</f>
        <v>blue-collar</v>
      </c>
      <c r="D4457" s="3" t="str">
        <f aca="false">Raw_Data!C4457</f>
        <v>married</v>
      </c>
      <c r="E4457" s="3" t="str">
        <f aca="false">Raw_Data!D4457</f>
        <v>secondary</v>
      </c>
      <c r="F4457" s="3" t="str">
        <f aca="false">Raw_Data!E4457</f>
        <v>no</v>
      </c>
      <c r="G4457" s="3" t="n">
        <f aca="false">Raw_Data!F4457</f>
        <v>181</v>
      </c>
      <c r="H4457" s="3" t="str">
        <f aca="false">Raw_Data!G4457</f>
        <v>yes</v>
      </c>
      <c r="I4457" s="3" t="str">
        <f aca="false">Raw_Data!H4457</f>
        <v>no</v>
      </c>
      <c r="J4457" s="2" t="n">
        <f aca="false">IF(F4457="yes",1,0)</f>
        <v>0</v>
      </c>
      <c r="K4457" s="2" t="n">
        <f aca="false">IF(H4457="yes",1,0)</f>
        <v>1</v>
      </c>
      <c r="L4457" s="2" t="n">
        <f aca="false">IF(I4457="yes",1,0)</f>
        <v>0</v>
      </c>
      <c r="M4457" s="2" t="n">
        <f aca="false">IF(G4457&lt;0,1,0)</f>
        <v>0</v>
      </c>
      <c r="N4457" s="2" t="str">
        <f aca="false">_xlfn.IFS(B4457&lt;30,"Under 30",B4457&lt;40,"30-39",B4457&lt;50,"40-49",B4457&lt;60,"50-59",TRUE(),"60+")</f>
        <v>50-59</v>
      </c>
      <c r="O4457" s="2" t="str">
        <f aca="false">_xlfn.IFS(G4457&lt;0,"1 Negative",G4457=0,"2 Zero",G4457&lt;=500,"3 1-500",G4457&lt;=2000,"4 501-2000",TRUE(),"5 Above 2000")</f>
        <v>3 1-500</v>
      </c>
      <c r="P4457" s="2" t="n">
        <f aca="false">Lookups!$B$2*M4457+Lookups!$B$3*L4457</f>
        <v>0</v>
      </c>
      <c r="Q4457" s="2" t="str">
        <f aca="false">INDEX(Lookups!$E$2:$E$5,MATCH(P4457,Lookups!$D$2:$D$5,0))</f>
        <v>Low</v>
      </c>
    </row>
    <row r="4458" customFormat="false" ht="15" hidden="false" customHeight="false" outlineLevel="0" collapsed="false">
      <c r="A4458" s="3" t="n">
        <v>4457</v>
      </c>
      <c r="B4458" s="3" t="n">
        <f aca="false">Raw_Data!A4458</f>
        <v>37</v>
      </c>
      <c r="C4458" s="3" t="str">
        <f aca="false">SUBSTITUTE(Raw_Data!B4458,".","")</f>
        <v>management</v>
      </c>
      <c r="D4458" s="3" t="str">
        <f aca="false">Raw_Data!C4458</f>
        <v>married</v>
      </c>
      <c r="E4458" s="3" t="str">
        <f aca="false">Raw_Data!D4458</f>
        <v>primary</v>
      </c>
      <c r="F4458" s="3" t="str">
        <f aca="false">Raw_Data!E4458</f>
        <v>no</v>
      </c>
      <c r="G4458" s="3" t="n">
        <f aca="false">Raw_Data!F4458</f>
        <v>3953</v>
      </c>
      <c r="H4458" s="3" t="str">
        <f aca="false">Raw_Data!G4458</f>
        <v>yes</v>
      </c>
      <c r="I4458" s="3" t="str">
        <f aca="false">Raw_Data!H4458</f>
        <v>no</v>
      </c>
      <c r="J4458" s="2" t="n">
        <f aca="false">IF(F4458="yes",1,0)</f>
        <v>0</v>
      </c>
      <c r="K4458" s="2" t="n">
        <f aca="false">IF(H4458="yes",1,0)</f>
        <v>1</v>
      </c>
      <c r="L4458" s="2" t="n">
        <f aca="false">IF(I4458="yes",1,0)</f>
        <v>0</v>
      </c>
      <c r="M4458" s="2" t="n">
        <f aca="false">IF(G4458&lt;0,1,0)</f>
        <v>0</v>
      </c>
      <c r="N4458" s="2" t="str">
        <f aca="false">_xlfn.IFS(B4458&lt;30,"Under 30",B4458&lt;40,"30-39",B4458&lt;50,"40-49",B4458&lt;60,"50-59",TRUE(),"60+")</f>
        <v>30-39</v>
      </c>
      <c r="O4458" s="2" t="str">
        <f aca="false">_xlfn.IFS(G4458&lt;0,"1 Negative",G4458=0,"2 Zero",G4458&lt;=500,"3 1-500",G4458&lt;=2000,"4 501-2000",TRUE(),"5 Above 2000")</f>
        <v>5 Above 2000</v>
      </c>
      <c r="P4458" s="2" t="n">
        <f aca="false">Lookups!$B$2*M4458+Lookups!$B$3*L4458</f>
        <v>0</v>
      </c>
      <c r="Q4458" s="2" t="str">
        <f aca="false">INDEX(Lookups!$E$2:$E$5,MATCH(P4458,Lookups!$D$2:$D$5,0))</f>
        <v>Low</v>
      </c>
    </row>
    <row r="4459" customFormat="false" ht="15" hidden="false" customHeight="false" outlineLevel="0" collapsed="false">
      <c r="A4459" s="3" t="n">
        <v>4458</v>
      </c>
      <c r="B4459" s="3" t="n">
        <f aca="false">Raw_Data!A4459</f>
        <v>37</v>
      </c>
      <c r="C4459" s="3" t="str">
        <f aca="false">SUBSTITUTE(Raw_Data!B4459,".","")</f>
        <v>blue-collar</v>
      </c>
      <c r="D4459" s="3" t="str">
        <f aca="false">Raw_Data!C4459</f>
        <v>single</v>
      </c>
      <c r="E4459" s="3" t="str">
        <f aca="false">Raw_Data!D4459</f>
        <v>primary</v>
      </c>
      <c r="F4459" s="3" t="str">
        <f aca="false">Raw_Data!E4459</f>
        <v>no</v>
      </c>
      <c r="G4459" s="3" t="n">
        <f aca="false">Raw_Data!F4459</f>
        <v>6969</v>
      </c>
      <c r="H4459" s="3" t="str">
        <f aca="false">Raw_Data!G4459</f>
        <v>yes</v>
      </c>
      <c r="I4459" s="3" t="str">
        <f aca="false">Raw_Data!H4459</f>
        <v>no</v>
      </c>
      <c r="J4459" s="2" t="n">
        <f aca="false">IF(F4459="yes",1,0)</f>
        <v>0</v>
      </c>
      <c r="K4459" s="2" t="n">
        <f aca="false">IF(H4459="yes",1,0)</f>
        <v>1</v>
      </c>
      <c r="L4459" s="2" t="n">
        <f aca="false">IF(I4459="yes",1,0)</f>
        <v>0</v>
      </c>
      <c r="M4459" s="2" t="n">
        <f aca="false">IF(G4459&lt;0,1,0)</f>
        <v>0</v>
      </c>
      <c r="N4459" s="2" t="str">
        <f aca="false">_xlfn.IFS(B4459&lt;30,"Under 30",B4459&lt;40,"30-39",B4459&lt;50,"40-49",B4459&lt;60,"50-59",TRUE(),"60+")</f>
        <v>30-39</v>
      </c>
      <c r="O4459" s="2" t="str">
        <f aca="false">_xlfn.IFS(G4459&lt;0,"1 Negative",G4459=0,"2 Zero",G4459&lt;=500,"3 1-500",G4459&lt;=2000,"4 501-2000",TRUE(),"5 Above 2000")</f>
        <v>5 Above 2000</v>
      </c>
      <c r="P4459" s="2" t="n">
        <f aca="false">Lookups!$B$2*M4459+Lookups!$B$3*L4459</f>
        <v>0</v>
      </c>
      <c r="Q4459" s="2" t="str">
        <f aca="false">INDEX(Lookups!$E$2:$E$5,MATCH(P4459,Lookups!$D$2:$D$5,0))</f>
        <v>Low</v>
      </c>
    </row>
    <row r="4460" customFormat="false" ht="15" hidden="false" customHeight="false" outlineLevel="0" collapsed="false">
      <c r="A4460" s="3" t="n">
        <v>4459</v>
      </c>
      <c r="B4460" s="3" t="n">
        <f aca="false">Raw_Data!A4460</f>
        <v>29</v>
      </c>
      <c r="C4460" s="3" t="str">
        <f aca="false">SUBSTITUTE(Raw_Data!B4460,".","")</f>
        <v>management</v>
      </c>
      <c r="D4460" s="3" t="str">
        <f aca="false">Raw_Data!C4460</f>
        <v>single</v>
      </c>
      <c r="E4460" s="3" t="str">
        <f aca="false">Raw_Data!D4460</f>
        <v>tertiary</v>
      </c>
      <c r="F4460" s="3" t="str">
        <f aca="false">Raw_Data!E4460</f>
        <v>no</v>
      </c>
      <c r="G4460" s="3" t="n">
        <f aca="false">Raw_Data!F4460</f>
        <v>572</v>
      </c>
      <c r="H4460" s="3" t="str">
        <f aca="false">Raw_Data!G4460</f>
        <v>no</v>
      </c>
      <c r="I4460" s="3" t="str">
        <f aca="false">Raw_Data!H4460</f>
        <v>no</v>
      </c>
      <c r="J4460" s="2" t="n">
        <f aca="false">IF(F4460="yes",1,0)</f>
        <v>0</v>
      </c>
      <c r="K4460" s="2" t="n">
        <f aca="false">IF(H4460="yes",1,0)</f>
        <v>0</v>
      </c>
      <c r="L4460" s="2" t="n">
        <f aca="false">IF(I4460="yes",1,0)</f>
        <v>0</v>
      </c>
      <c r="M4460" s="2" t="n">
        <f aca="false">IF(G4460&lt;0,1,0)</f>
        <v>0</v>
      </c>
      <c r="N4460" s="2" t="str">
        <f aca="false">_xlfn.IFS(B4460&lt;30,"Under 30",B4460&lt;40,"30-39",B4460&lt;50,"40-49",B4460&lt;60,"50-59",TRUE(),"60+")</f>
        <v>Under 30</v>
      </c>
      <c r="O4460" s="2" t="str">
        <f aca="false">_xlfn.IFS(G4460&lt;0,"1 Negative",G4460=0,"2 Zero",G4460&lt;=500,"3 1-500",G4460&lt;=2000,"4 501-2000",TRUE(),"5 Above 2000")</f>
        <v>4 501-2000</v>
      </c>
      <c r="P4460" s="2" t="n">
        <f aca="false">Lookups!$B$2*M4460+Lookups!$B$3*L4460</f>
        <v>0</v>
      </c>
      <c r="Q4460" s="2" t="str">
        <f aca="false">INDEX(Lookups!$E$2:$E$5,MATCH(P4460,Lookups!$D$2:$D$5,0))</f>
        <v>Low</v>
      </c>
    </row>
    <row r="4461" customFormat="false" ht="15" hidden="false" customHeight="false" outlineLevel="0" collapsed="false">
      <c r="A4461" s="3" t="n">
        <v>4460</v>
      </c>
      <c r="B4461" s="3" t="n">
        <f aca="false">Raw_Data!A4461</f>
        <v>31</v>
      </c>
      <c r="C4461" s="3" t="str">
        <f aca="false">SUBSTITUTE(Raw_Data!B4461,".","")</f>
        <v>admin</v>
      </c>
      <c r="D4461" s="3" t="str">
        <f aca="false">Raw_Data!C4461</f>
        <v>single</v>
      </c>
      <c r="E4461" s="3" t="str">
        <f aca="false">Raw_Data!D4461</f>
        <v>secondary</v>
      </c>
      <c r="F4461" s="3" t="str">
        <f aca="false">Raw_Data!E4461</f>
        <v>no</v>
      </c>
      <c r="G4461" s="3" t="n">
        <f aca="false">Raw_Data!F4461</f>
        <v>223</v>
      </c>
      <c r="H4461" s="3" t="str">
        <f aca="false">Raw_Data!G4461</f>
        <v>yes</v>
      </c>
      <c r="I4461" s="3" t="str">
        <f aca="false">Raw_Data!H4461</f>
        <v>no</v>
      </c>
      <c r="J4461" s="2" t="n">
        <f aca="false">IF(F4461="yes",1,0)</f>
        <v>0</v>
      </c>
      <c r="K4461" s="2" t="n">
        <f aca="false">IF(H4461="yes",1,0)</f>
        <v>1</v>
      </c>
      <c r="L4461" s="2" t="n">
        <f aca="false">IF(I4461="yes",1,0)</f>
        <v>0</v>
      </c>
      <c r="M4461" s="2" t="n">
        <f aca="false">IF(G4461&lt;0,1,0)</f>
        <v>0</v>
      </c>
      <c r="N4461" s="2" t="str">
        <f aca="false">_xlfn.IFS(B4461&lt;30,"Under 30",B4461&lt;40,"30-39",B4461&lt;50,"40-49",B4461&lt;60,"50-59",TRUE(),"60+")</f>
        <v>30-39</v>
      </c>
      <c r="O4461" s="2" t="str">
        <f aca="false">_xlfn.IFS(G4461&lt;0,"1 Negative",G4461=0,"2 Zero",G4461&lt;=500,"3 1-500",G4461&lt;=2000,"4 501-2000",TRUE(),"5 Above 2000")</f>
        <v>3 1-500</v>
      </c>
      <c r="P4461" s="2" t="n">
        <f aca="false">Lookups!$B$2*M4461+Lookups!$B$3*L4461</f>
        <v>0</v>
      </c>
      <c r="Q4461" s="2" t="str">
        <f aca="false">INDEX(Lookups!$E$2:$E$5,MATCH(P4461,Lookups!$D$2:$D$5,0))</f>
        <v>Low</v>
      </c>
    </row>
    <row r="4462" customFormat="false" ht="15" hidden="false" customHeight="false" outlineLevel="0" collapsed="false">
      <c r="A4462" s="3" t="n">
        <v>4461</v>
      </c>
      <c r="B4462" s="3" t="n">
        <f aca="false">Raw_Data!A4462</f>
        <v>40</v>
      </c>
      <c r="C4462" s="3" t="str">
        <f aca="false">SUBSTITUTE(Raw_Data!B4462,".","")</f>
        <v>technician</v>
      </c>
      <c r="D4462" s="3" t="str">
        <f aca="false">Raw_Data!C4462</f>
        <v>married</v>
      </c>
      <c r="E4462" s="3" t="str">
        <f aca="false">Raw_Data!D4462</f>
        <v>secondary</v>
      </c>
      <c r="F4462" s="3" t="str">
        <f aca="false">Raw_Data!E4462</f>
        <v>no</v>
      </c>
      <c r="G4462" s="3" t="n">
        <f aca="false">Raw_Data!F4462</f>
        <v>-396</v>
      </c>
      <c r="H4462" s="3" t="str">
        <f aca="false">Raw_Data!G4462</f>
        <v>yes</v>
      </c>
      <c r="I4462" s="3" t="str">
        <f aca="false">Raw_Data!H4462</f>
        <v>no</v>
      </c>
      <c r="J4462" s="2" t="n">
        <f aca="false">IF(F4462="yes",1,0)</f>
        <v>0</v>
      </c>
      <c r="K4462" s="2" t="n">
        <f aca="false">IF(H4462="yes",1,0)</f>
        <v>1</v>
      </c>
      <c r="L4462" s="2" t="n">
        <f aca="false">IF(I4462="yes",1,0)</f>
        <v>0</v>
      </c>
      <c r="M4462" s="2" t="n">
        <f aca="false">IF(G4462&lt;0,1,0)</f>
        <v>1</v>
      </c>
      <c r="N4462" s="2" t="str">
        <f aca="false">_xlfn.IFS(B4462&lt;30,"Under 30",B4462&lt;40,"30-39",B4462&lt;50,"40-49",B4462&lt;60,"50-59",TRUE(),"60+")</f>
        <v>40-49</v>
      </c>
      <c r="O4462" s="2" t="str">
        <f aca="false">_xlfn.IFS(G4462&lt;0,"1 Negative",G4462=0,"2 Zero",G4462&lt;=500,"3 1-500",G4462&lt;=2000,"4 501-2000",TRUE(),"5 Above 2000")</f>
        <v>1 Negative</v>
      </c>
      <c r="P4462" s="2" t="n">
        <f aca="false">Lookups!$B$2*M4462+Lookups!$B$3*L4462</f>
        <v>2</v>
      </c>
      <c r="Q4462" s="2" t="str">
        <f aca="false">INDEX(Lookups!$E$2:$E$5,MATCH(P4462,Lookups!$D$2:$D$5,0))</f>
        <v>High</v>
      </c>
    </row>
    <row r="4463" customFormat="false" ht="15" hidden="false" customHeight="false" outlineLevel="0" collapsed="false">
      <c r="A4463" s="3" t="n">
        <v>4462</v>
      </c>
      <c r="B4463" s="3" t="n">
        <f aca="false">Raw_Data!A4463</f>
        <v>47</v>
      </c>
      <c r="C4463" s="3" t="str">
        <f aca="false">SUBSTITUTE(Raw_Data!B4463,".","")</f>
        <v>services</v>
      </c>
      <c r="D4463" s="3" t="str">
        <f aca="false">Raw_Data!C4463</f>
        <v>divorced</v>
      </c>
      <c r="E4463" s="3" t="str">
        <f aca="false">Raw_Data!D4463</f>
        <v>secondary</v>
      </c>
      <c r="F4463" s="3" t="str">
        <f aca="false">Raw_Data!E4463</f>
        <v>no</v>
      </c>
      <c r="G4463" s="3" t="n">
        <f aca="false">Raw_Data!F4463</f>
        <v>164</v>
      </c>
      <c r="H4463" s="3" t="str">
        <f aca="false">Raw_Data!G4463</f>
        <v>no</v>
      </c>
      <c r="I4463" s="3" t="str">
        <f aca="false">Raw_Data!H4463</f>
        <v>no</v>
      </c>
      <c r="J4463" s="2" t="n">
        <f aca="false">IF(F4463="yes",1,0)</f>
        <v>0</v>
      </c>
      <c r="K4463" s="2" t="n">
        <f aca="false">IF(H4463="yes",1,0)</f>
        <v>0</v>
      </c>
      <c r="L4463" s="2" t="n">
        <f aca="false">IF(I4463="yes",1,0)</f>
        <v>0</v>
      </c>
      <c r="M4463" s="2" t="n">
        <f aca="false">IF(G4463&lt;0,1,0)</f>
        <v>0</v>
      </c>
      <c r="N4463" s="2" t="str">
        <f aca="false">_xlfn.IFS(B4463&lt;30,"Under 30",B4463&lt;40,"30-39",B4463&lt;50,"40-49",B4463&lt;60,"50-59",TRUE(),"60+")</f>
        <v>40-49</v>
      </c>
      <c r="O4463" s="2" t="str">
        <f aca="false">_xlfn.IFS(G4463&lt;0,"1 Negative",G4463=0,"2 Zero",G4463&lt;=500,"3 1-500",G4463&lt;=2000,"4 501-2000",TRUE(),"5 Above 2000")</f>
        <v>3 1-500</v>
      </c>
      <c r="P4463" s="2" t="n">
        <f aca="false">Lookups!$B$2*M4463+Lookups!$B$3*L4463</f>
        <v>0</v>
      </c>
      <c r="Q4463" s="2" t="str">
        <f aca="false">INDEX(Lookups!$E$2:$E$5,MATCH(P4463,Lookups!$D$2:$D$5,0))</f>
        <v>Low</v>
      </c>
    </row>
    <row r="4464" customFormat="false" ht="15" hidden="false" customHeight="false" outlineLevel="0" collapsed="false">
      <c r="A4464" s="3" t="n">
        <v>4463</v>
      </c>
      <c r="B4464" s="3" t="n">
        <f aca="false">Raw_Data!A4464</f>
        <v>55</v>
      </c>
      <c r="C4464" s="3" t="str">
        <f aca="false">SUBSTITUTE(Raw_Data!B4464,".","")</f>
        <v>self-employed</v>
      </c>
      <c r="D4464" s="3" t="str">
        <f aca="false">Raw_Data!C4464</f>
        <v>married</v>
      </c>
      <c r="E4464" s="3" t="str">
        <f aca="false">Raw_Data!D4464</f>
        <v>secondary</v>
      </c>
      <c r="F4464" s="3" t="str">
        <f aca="false">Raw_Data!E4464</f>
        <v>no</v>
      </c>
      <c r="G4464" s="3" t="n">
        <f aca="false">Raw_Data!F4464</f>
        <v>2678</v>
      </c>
      <c r="H4464" s="3" t="str">
        <f aca="false">Raw_Data!G4464</f>
        <v>no</v>
      </c>
      <c r="I4464" s="3" t="str">
        <f aca="false">Raw_Data!H4464</f>
        <v>yes</v>
      </c>
      <c r="J4464" s="2" t="n">
        <f aca="false">IF(F4464="yes",1,0)</f>
        <v>0</v>
      </c>
      <c r="K4464" s="2" t="n">
        <f aca="false">IF(H4464="yes",1,0)</f>
        <v>0</v>
      </c>
      <c r="L4464" s="2" t="n">
        <f aca="false">IF(I4464="yes",1,0)</f>
        <v>1</v>
      </c>
      <c r="M4464" s="2" t="n">
        <f aca="false">IF(G4464&lt;0,1,0)</f>
        <v>0</v>
      </c>
      <c r="N4464" s="2" t="str">
        <f aca="false">_xlfn.IFS(B4464&lt;30,"Under 30",B4464&lt;40,"30-39",B4464&lt;50,"40-49",B4464&lt;60,"50-59",TRUE(),"60+")</f>
        <v>50-59</v>
      </c>
      <c r="O4464" s="2" t="str">
        <f aca="false">_xlfn.IFS(G4464&lt;0,"1 Negative",G4464=0,"2 Zero",G4464&lt;=500,"3 1-500",G4464&lt;=2000,"4 501-2000",TRUE(),"5 Above 2000")</f>
        <v>5 Above 2000</v>
      </c>
      <c r="P4464" s="2" t="n">
        <f aca="false">Lookups!$B$2*M4464+Lookups!$B$3*L4464</f>
        <v>1</v>
      </c>
      <c r="Q4464" s="2" t="str">
        <f aca="false">INDEX(Lookups!$E$2:$E$5,MATCH(P4464,Lookups!$D$2:$D$5,0))</f>
        <v>Medium</v>
      </c>
    </row>
    <row r="4465" customFormat="false" ht="15" hidden="false" customHeight="false" outlineLevel="0" collapsed="false">
      <c r="A4465" s="3" t="n">
        <v>4464</v>
      </c>
      <c r="B4465" s="3" t="n">
        <f aca="false">Raw_Data!A4465</f>
        <v>33</v>
      </c>
      <c r="C4465" s="3" t="str">
        <f aca="false">SUBSTITUTE(Raw_Data!B4465,".","")</f>
        <v>technician</v>
      </c>
      <c r="D4465" s="3" t="str">
        <f aca="false">Raw_Data!C4465</f>
        <v>single</v>
      </c>
      <c r="E4465" s="3" t="str">
        <f aca="false">Raw_Data!D4465</f>
        <v>secondary</v>
      </c>
      <c r="F4465" s="3" t="str">
        <f aca="false">Raw_Data!E4465</f>
        <v>no</v>
      </c>
      <c r="G4465" s="3" t="n">
        <f aca="false">Raw_Data!F4465</f>
        <v>920</v>
      </c>
      <c r="H4465" s="3" t="str">
        <f aca="false">Raw_Data!G4465</f>
        <v>yes</v>
      </c>
      <c r="I4465" s="3" t="str">
        <f aca="false">Raw_Data!H4465</f>
        <v>no</v>
      </c>
      <c r="J4465" s="2" t="n">
        <f aca="false">IF(F4465="yes",1,0)</f>
        <v>0</v>
      </c>
      <c r="K4465" s="2" t="n">
        <f aca="false">IF(H4465="yes",1,0)</f>
        <v>1</v>
      </c>
      <c r="L4465" s="2" t="n">
        <f aca="false">IF(I4465="yes",1,0)</f>
        <v>0</v>
      </c>
      <c r="M4465" s="2" t="n">
        <f aca="false">IF(G4465&lt;0,1,0)</f>
        <v>0</v>
      </c>
      <c r="N4465" s="2" t="str">
        <f aca="false">_xlfn.IFS(B4465&lt;30,"Under 30",B4465&lt;40,"30-39",B4465&lt;50,"40-49",B4465&lt;60,"50-59",TRUE(),"60+")</f>
        <v>30-39</v>
      </c>
      <c r="O4465" s="2" t="str">
        <f aca="false">_xlfn.IFS(G4465&lt;0,"1 Negative",G4465=0,"2 Zero",G4465&lt;=500,"3 1-500",G4465&lt;=2000,"4 501-2000",TRUE(),"5 Above 2000")</f>
        <v>4 501-2000</v>
      </c>
      <c r="P4465" s="2" t="n">
        <f aca="false">Lookups!$B$2*M4465+Lookups!$B$3*L4465</f>
        <v>0</v>
      </c>
      <c r="Q4465" s="2" t="str">
        <f aca="false">INDEX(Lookups!$E$2:$E$5,MATCH(P4465,Lookups!$D$2:$D$5,0))</f>
        <v>Low</v>
      </c>
    </row>
    <row r="4466" customFormat="false" ht="15" hidden="false" customHeight="false" outlineLevel="0" collapsed="false">
      <c r="A4466" s="3" t="n">
        <v>4465</v>
      </c>
      <c r="B4466" s="3" t="n">
        <f aca="false">Raw_Data!A4466</f>
        <v>53</v>
      </c>
      <c r="C4466" s="3" t="str">
        <f aca="false">SUBSTITUTE(Raw_Data!B4466,".","")</f>
        <v>services</v>
      </c>
      <c r="D4466" s="3" t="str">
        <f aca="false">Raw_Data!C4466</f>
        <v>divorced</v>
      </c>
      <c r="E4466" s="3" t="str">
        <f aca="false">Raw_Data!D4466</f>
        <v>secondary</v>
      </c>
      <c r="F4466" s="3" t="str">
        <f aca="false">Raw_Data!E4466</f>
        <v>no</v>
      </c>
      <c r="G4466" s="3" t="n">
        <f aca="false">Raw_Data!F4466</f>
        <v>4554</v>
      </c>
      <c r="H4466" s="3" t="str">
        <f aca="false">Raw_Data!G4466</f>
        <v>no</v>
      </c>
      <c r="I4466" s="3" t="str">
        <f aca="false">Raw_Data!H4466</f>
        <v>no</v>
      </c>
      <c r="J4466" s="2" t="n">
        <f aca="false">IF(F4466="yes",1,0)</f>
        <v>0</v>
      </c>
      <c r="K4466" s="2" t="n">
        <f aca="false">IF(H4466="yes",1,0)</f>
        <v>0</v>
      </c>
      <c r="L4466" s="2" t="n">
        <f aca="false">IF(I4466="yes",1,0)</f>
        <v>0</v>
      </c>
      <c r="M4466" s="2" t="n">
        <f aca="false">IF(G4466&lt;0,1,0)</f>
        <v>0</v>
      </c>
      <c r="N4466" s="2" t="str">
        <f aca="false">_xlfn.IFS(B4466&lt;30,"Under 30",B4466&lt;40,"30-39",B4466&lt;50,"40-49",B4466&lt;60,"50-59",TRUE(),"60+")</f>
        <v>50-59</v>
      </c>
      <c r="O4466" s="2" t="str">
        <f aca="false">_xlfn.IFS(G4466&lt;0,"1 Negative",G4466=0,"2 Zero",G4466&lt;=500,"3 1-500",G4466&lt;=2000,"4 501-2000",TRUE(),"5 Above 2000")</f>
        <v>5 Above 2000</v>
      </c>
      <c r="P4466" s="2" t="n">
        <f aca="false">Lookups!$B$2*M4466+Lookups!$B$3*L4466</f>
        <v>0</v>
      </c>
      <c r="Q4466" s="2" t="str">
        <f aca="false">INDEX(Lookups!$E$2:$E$5,MATCH(P4466,Lookups!$D$2:$D$5,0))</f>
        <v>Low</v>
      </c>
    </row>
    <row r="4467" customFormat="false" ht="15" hidden="false" customHeight="false" outlineLevel="0" collapsed="false">
      <c r="A4467" s="3" t="n">
        <v>4466</v>
      </c>
      <c r="B4467" s="3" t="n">
        <f aca="false">Raw_Data!A4467</f>
        <v>38</v>
      </c>
      <c r="C4467" s="3" t="str">
        <f aca="false">SUBSTITUTE(Raw_Data!B4467,".","")</f>
        <v>management</v>
      </c>
      <c r="D4467" s="3" t="str">
        <f aca="false">Raw_Data!C4467</f>
        <v>single</v>
      </c>
      <c r="E4467" s="3" t="str">
        <f aca="false">Raw_Data!D4467</f>
        <v>tertiary</v>
      </c>
      <c r="F4467" s="3" t="str">
        <f aca="false">Raw_Data!E4467</f>
        <v>no</v>
      </c>
      <c r="G4467" s="3" t="n">
        <f aca="false">Raw_Data!F4467</f>
        <v>623</v>
      </c>
      <c r="H4467" s="3" t="str">
        <f aca="false">Raw_Data!G4467</f>
        <v>no</v>
      </c>
      <c r="I4467" s="3" t="str">
        <f aca="false">Raw_Data!H4467</f>
        <v>no</v>
      </c>
      <c r="J4467" s="2" t="n">
        <f aca="false">IF(F4467="yes",1,0)</f>
        <v>0</v>
      </c>
      <c r="K4467" s="2" t="n">
        <f aca="false">IF(H4467="yes",1,0)</f>
        <v>0</v>
      </c>
      <c r="L4467" s="2" t="n">
        <f aca="false">IF(I4467="yes",1,0)</f>
        <v>0</v>
      </c>
      <c r="M4467" s="2" t="n">
        <f aca="false">IF(G4467&lt;0,1,0)</f>
        <v>0</v>
      </c>
      <c r="N4467" s="2" t="str">
        <f aca="false">_xlfn.IFS(B4467&lt;30,"Under 30",B4467&lt;40,"30-39",B4467&lt;50,"40-49",B4467&lt;60,"50-59",TRUE(),"60+")</f>
        <v>30-39</v>
      </c>
      <c r="O4467" s="2" t="str">
        <f aca="false">_xlfn.IFS(G4467&lt;0,"1 Negative",G4467=0,"2 Zero",G4467&lt;=500,"3 1-500",G4467&lt;=2000,"4 501-2000",TRUE(),"5 Above 2000")</f>
        <v>4 501-2000</v>
      </c>
      <c r="P4467" s="2" t="n">
        <f aca="false">Lookups!$B$2*M4467+Lookups!$B$3*L4467</f>
        <v>0</v>
      </c>
      <c r="Q4467" s="2" t="str">
        <f aca="false">INDEX(Lookups!$E$2:$E$5,MATCH(P4467,Lookups!$D$2:$D$5,0))</f>
        <v>Low</v>
      </c>
    </row>
    <row r="4468" customFormat="false" ht="15" hidden="false" customHeight="false" outlineLevel="0" collapsed="false">
      <c r="A4468" s="3" t="n">
        <v>4467</v>
      </c>
      <c r="B4468" s="3" t="n">
        <f aca="false">Raw_Data!A4468</f>
        <v>61</v>
      </c>
      <c r="C4468" s="3" t="str">
        <f aca="false">SUBSTITUTE(Raw_Data!B4468,".","")</f>
        <v>management</v>
      </c>
      <c r="D4468" s="3" t="str">
        <f aca="false">Raw_Data!C4468</f>
        <v>married</v>
      </c>
      <c r="E4468" s="3" t="str">
        <f aca="false">Raw_Data!D4468</f>
        <v>secondary</v>
      </c>
      <c r="F4468" s="3" t="str">
        <f aca="false">Raw_Data!E4468</f>
        <v>no</v>
      </c>
      <c r="G4468" s="3" t="n">
        <f aca="false">Raw_Data!F4468</f>
        <v>967</v>
      </c>
      <c r="H4468" s="3" t="str">
        <f aca="false">Raw_Data!G4468</f>
        <v>no</v>
      </c>
      <c r="I4468" s="3" t="str">
        <f aca="false">Raw_Data!H4468</f>
        <v>no</v>
      </c>
      <c r="J4468" s="2" t="n">
        <f aca="false">IF(F4468="yes",1,0)</f>
        <v>0</v>
      </c>
      <c r="K4468" s="2" t="n">
        <f aca="false">IF(H4468="yes",1,0)</f>
        <v>0</v>
      </c>
      <c r="L4468" s="2" t="n">
        <f aca="false">IF(I4468="yes",1,0)</f>
        <v>0</v>
      </c>
      <c r="M4468" s="2" t="n">
        <f aca="false">IF(G4468&lt;0,1,0)</f>
        <v>0</v>
      </c>
      <c r="N4468" s="2" t="str">
        <f aca="false">_xlfn.IFS(B4468&lt;30,"Under 30",B4468&lt;40,"30-39",B4468&lt;50,"40-49",B4468&lt;60,"50-59",TRUE(),"60+")</f>
        <v>60+</v>
      </c>
      <c r="O4468" s="2" t="str">
        <f aca="false">_xlfn.IFS(G4468&lt;0,"1 Negative",G4468=0,"2 Zero",G4468&lt;=500,"3 1-500",G4468&lt;=2000,"4 501-2000",TRUE(),"5 Above 2000")</f>
        <v>4 501-2000</v>
      </c>
      <c r="P4468" s="2" t="n">
        <f aca="false">Lookups!$B$2*M4468+Lookups!$B$3*L4468</f>
        <v>0</v>
      </c>
      <c r="Q4468" s="2" t="str">
        <f aca="false">INDEX(Lookups!$E$2:$E$5,MATCH(P4468,Lookups!$D$2:$D$5,0))</f>
        <v>Low</v>
      </c>
    </row>
    <row r="4469" customFormat="false" ht="15" hidden="false" customHeight="false" outlineLevel="0" collapsed="false">
      <c r="A4469" s="3" t="n">
        <v>4468</v>
      </c>
      <c r="B4469" s="3" t="n">
        <f aca="false">Raw_Data!A4469</f>
        <v>43</v>
      </c>
      <c r="C4469" s="3" t="str">
        <f aca="false">SUBSTITUTE(Raw_Data!B4469,".","")</f>
        <v>unemployed</v>
      </c>
      <c r="D4469" s="3" t="str">
        <f aca="false">Raw_Data!C4469</f>
        <v>divorced</v>
      </c>
      <c r="E4469" s="3" t="str">
        <f aca="false">Raw_Data!D4469</f>
        <v>secondary</v>
      </c>
      <c r="F4469" s="3" t="str">
        <f aca="false">Raw_Data!E4469</f>
        <v>no</v>
      </c>
      <c r="G4469" s="3" t="n">
        <f aca="false">Raw_Data!F4469</f>
        <v>1577</v>
      </c>
      <c r="H4469" s="3" t="str">
        <f aca="false">Raw_Data!G4469</f>
        <v>yes</v>
      </c>
      <c r="I4469" s="3" t="str">
        <f aca="false">Raw_Data!H4469</f>
        <v>no</v>
      </c>
      <c r="J4469" s="2" t="n">
        <f aca="false">IF(F4469="yes",1,0)</f>
        <v>0</v>
      </c>
      <c r="K4469" s="2" t="n">
        <f aca="false">IF(H4469="yes",1,0)</f>
        <v>1</v>
      </c>
      <c r="L4469" s="2" t="n">
        <f aca="false">IF(I4469="yes",1,0)</f>
        <v>0</v>
      </c>
      <c r="M4469" s="2" t="n">
        <f aca="false">IF(G4469&lt;0,1,0)</f>
        <v>0</v>
      </c>
      <c r="N4469" s="2" t="str">
        <f aca="false">_xlfn.IFS(B4469&lt;30,"Under 30",B4469&lt;40,"30-39",B4469&lt;50,"40-49",B4469&lt;60,"50-59",TRUE(),"60+")</f>
        <v>40-49</v>
      </c>
      <c r="O4469" s="2" t="str">
        <f aca="false">_xlfn.IFS(G4469&lt;0,"1 Negative",G4469=0,"2 Zero",G4469&lt;=500,"3 1-500",G4469&lt;=2000,"4 501-2000",TRUE(),"5 Above 2000")</f>
        <v>4 501-2000</v>
      </c>
      <c r="P4469" s="2" t="n">
        <f aca="false">Lookups!$B$2*M4469+Lookups!$B$3*L4469</f>
        <v>0</v>
      </c>
      <c r="Q4469" s="2" t="str">
        <f aca="false">INDEX(Lookups!$E$2:$E$5,MATCH(P4469,Lookups!$D$2:$D$5,0))</f>
        <v>Low</v>
      </c>
    </row>
    <row r="4470" customFormat="false" ht="15" hidden="false" customHeight="false" outlineLevel="0" collapsed="false">
      <c r="A4470" s="3" t="n">
        <v>4469</v>
      </c>
      <c r="B4470" s="3" t="n">
        <f aca="false">Raw_Data!A4470</f>
        <v>42</v>
      </c>
      <c r="C4470" s="3" t="str">
        <f aca="false">SUBSTITUTE(Raw_Data!B4470,".","")</f>
        <v>housemaid</v>
      </c>
      <c r="D4470" s="3" t="str">
        <f aca="false">Raw_Data!C4470</f>
        <v>married</v>
      </c>
      <c r="E4470" s="3" t="str">
        <f aca="false">Raw_Data!D4470</f>
        <v>primary</v>
      </c>
      <c r="F4470" s="3" t="str">
        <f aca="false">Raw_Data!E4470</f>
        <v>no</v>
      </c>
      <c r="G4470" s="3" t="n">
        <f aca="false">Raw_Data!F4470</f>
        <v>1</v>
      </c>
      <c r="H4470" s="3" t="str">
        <f aca="false">Raw_Data!G4470</f>
        <v>yes</v>
      </c>
      <c r="I4470" s="3" t="str">
        <f aca="false">Raw_Data!H4470</f>
        <v>no</v>
      </c>
      <c r="J4470" s="2" t="n">
        <f aca="false">IF(F4470="yes",1,0)</f>
        <v>0</v>
      </c>
      <c r="K4470" s="2" t="n">
        <f aca="false">IF(H4470="yes",1,0)</f>
        <v>1</v>
      </c>
      <c r="L4470" s="2" t="n">
        <f aca="false">IF(I4470="yes",1,0)</f>
        <v>0</v>
      </c>
      <c r="M4470" s="2" t="n">
        <f aca="false">IF(G4470&lt;0,1,0)</f>
        <v>0</v>
      </c>
      <c r="N4470" s="2" t="str">
        <f aca="false">_xlfn.IFS(B4470&lt;30,"Under 30",B4470&lt;40,"30-39",B4470&lt;50,"40-49",B4470&lt;60,"50-59",TRUE(),"60+")</f>
        <v>40-49</v>
      </c>
      <c r="O4470" s="2" t="str">
        <f aca="false">_xlfn.IFS(G4470&lt;0,"1 Negative",G4470=0,"2 Zero",G4470&lt;=500,"3 1-500",G4470&lt;=2000,"4 501-2000",TRUE(),"5 Above 2000")</f>
        <v>3 1-500</v>
      </c>
      <c r="P4470" s="2" t="n">
        <f aca="false">Lookups!$B$2*M4470+Lookups!$B$3*L4470</f>
        <v>0</v>
      </c>
      <c r="Q4470" s="2" t="str">
        <f aca="false">INDEX(Lookups!$E$2:$E$5,MATCH(P4470,Lookups!$D$2:$D$5,0))</f>
        <v>Low</v>
      </c>
    </row>
    <row r="4471" customFormat="false" ht="15" hidden="false" customHeight="false" outlineLevel="0" collapsed="false">
      <c r="A4471" s="3" t="n">
        <v>4470</v>
      </c>
      <c r="B4471" s="3" t="n">
        <f aca="false">Raw_Data!A4471</f>
        <v>36</v>
      </c>
      <c r="C4471" s="3" t="str">
        <f aca="false">SUBSTITUTE(Raw_Data!B4471,".","")</f>
        <v>management</v>
      </c>
      <c r="D4471" s="3" t="str">
        <f aca="false">Raw_Data!C4471</f>
        <v>divorced</v>
      </c>
      <c r="E4471" s="3" t="str">
        <f aca="false">Raw_Data!D4471</f>
        <v>tertiary</v>
      </c>
      <c r="F4471" s="3" t="str">
        <f aca="false">Raw_Data!E4471</f>
        <v>no</v>
      </c>
      <c r="G4471" s="3" t="n">
        <f aca="false">Raw_Data!F4471</f>
        <v>0</v>
      </c>
      <c r="H4471" s="3" t="str">
        <f aca="false">Raw_Data!G4471</f>
        <v>no</v>
      </c>
      <c r="I4471" s="3" t="str">
        <f aca="false">Raw_Data!H4471</f>
        <v>no</v>
      </c>
      <c r="J4471" s="2" t="n">
        <f aca="false">IF(F4471="yes",1,0)</f>
        <v>0</v>
      </c>
      <c r="K4471" s="2" t="n">
        <f aca="false">IF(H4471="yes",1,0)</f>
        <v>0</v>
      </c>
      <c r="L4471" s="2" t="n">
        <f aca="false">IF(I4471="yes",1,0)</f>
        <v>0</v>
      </c>
      <c r="M4471" s="2" t="n">
        <f aca="false">IF(G4471&lt;0,1,0)</f>
        <v>0</v>
      </c>
      <c r="N4471" s="2" t="str">
        <f aca="false">_xlfn.IFS(B4471&lt;30,"Under 30",B4471&lt;40,"30-39",B4471&lt;50,"40-49",B4471&lt;60,"50-59",TRUE(),"60+")</f>
        <v>30-39</v>
      </c>
      <c r="O4471" s="2" t="str">
        <f aca="false">_xlfn.IFS(G4471&lt;0,"1 Negative",G4471=0,"2 Zero",G4471&lt;=500,"3 1-500",G4471&lt;=2000,"4 501-2000",TRUE(),"5 Above 2000")</f>
        <v>2 Zero</v>
      </c>
      <c r="P4471" s="2" t="n">
        <f aca="false">Lookups!$B$2*M4471+Lookups!$B$3*L4471</f>
        <v>0</v>
      </c>
      <c r="Q4471" s="2" t="str">
        <f aca="false">INDEX(Lookups!$E$2:$E$5,MATCH(P4471,Lookups!$D$2:$D$5,0))</f>
        <v>Low</v>
      </c>
    </row>
    <row r="4472" customFormat="false" ht="15" hidden="false" customHeight="false" outlineLevel="0" collapsed="false">
      <c r="A4472" s="3" t="n">
        <v>4471</v>
      </c>
      <c r="B4472" s="3" t="n">
        <f aca="false">Raw_Data!A4472</f>
        <v>31</v>
      </c>
      <c r="C4472" s="3" t="str">
        <f aca="false">SUBSTITUTE(Raw_Data!B4472,".","")</f>
        <v>technician</v>
      </c>
      <c r="D4472" s="3" t="str">
        <f aca="false">Raw_Data!C4472</f>
        <v>single</v>
      </c>
      <c r="E4472" s="3" t="str">
        <f aca="false">Raw_Data!D4472</f>
        <v>tertiary</v>
      </c>
      <c r="F4472" s="3" t="str">
        <f aca="false">Raw_Data!E4472</f>
        <v>no</v>
      </c>
      <c r="G4472" s="3" t="n">
        <f aca="false">Raw_Data!F4472</f>
        <v>1166</v>
      </c>
      <c r="H4472" s="3" t="str">
        <f aca="false">Raw_Data!G4472</f>
        <v>yes</v>
      </c>
      <c r="I4472" s="3" t="str">
        <f aca="false">Raw_Data!H4472</f>
        <v>no</v>
      </c>
      <c r="J4472" s="2" t="n">
        <f aca="false">IF(F4472="yes",1,0)</f>
        <v>0</v>
      </c>
      <c r="K4472" s="2" t="n">
        <f aca="false">IF(H4472="yes",1,0)</f>
        <v>1</v>
      </c>
      <c r="L4472" s="2" t="n">
        <f aca="false">IF(I4472="yes",1,0)</f>
        <v>0</v>
      </c>
      <c r="M4472" s="2" t="n">
        <f aca="false">IF(G4472&lt;0,1,0)</f>
        <v>0</v>
      </c>
      <c r="N4472" s="2" t="str">
        <f aca="false">_xlfn.IFS(B4472&lt;30,"Under 30",B4472&lt;40,"30-39",B4472&lt;50,"40-49",B4472&lt;60,"50-59",TRUE(),"60+")</f>
        <v>30-39</v>
      </c>
      <c r="O4472" s="2" t="str">
        <f aca="false">_xlfn.IFS(G4472&lt;0,"1 Negative",G4472=0,"2 Zero",G4472&lt;=500,"3 1-500",G4472&lt;=2000,"4 501-2000",TRUE(),"5 Above 2000")</f>
        <v>4 501-2000</v>
      </c>
      <c r="P4472" s="2" t="n">
        <f aca="false">Lookups!$B$2*M4472+Lookups!$B$3*L4472</f>
        <v>0</v>
      </c>
      <c r="Q4472" s="2" t="str">
        <f aca="false">INDEX(Lookups!$E$2:$E$5,MATCH(P4472,Lookups!$D$2:$D$5,0))</f>
        <v>Low</v>
      </c>
    </row>
    <row r="4473" customFormat="false" ht="15" hidden="false" customHeight="false" outlineLevel="0" collapsed="false">
      <c r="A4473" s="3" t="n">
        <v>4472</v>
      </c>
      <c r="B4473" s="3" t="n">
        <f aca="false">Raw_Data!A4473</f>
        <v>59</v>
      </c>
      <c r="C4473" s="3" t="str">
        <f aca="false">SUBSTITUTE(Raw_Data!B4473,".","")</f>
        <v>management</v>
      </c>
      <c r="D4473" s="3" t="str">
        <f aca="false">Raw_Data!C4473</f>
        <v>married</v>
      </c>
      <c r="E4473" s="3" t="str">
        <f aca="false">Raw_Data!D4473</f>
        <v>unknown</v>
      </c>
      <c r="F4473" s="3" t="str">
        <f aca="false">Raw_Data!E4473</f>
        <v>no</v>
      </c>
      <c r="G4473" s="3" t="n">
        <f aca="false">Raw_Data!F4473</f>
        <v>3534</v>
      </c>
      <c r="H4473" s="3" t="str">
        <f aca="false">Raw_Data!G4473</f>
        <v>no</v>
      </c>
      <c r="I4473" s="3" t="str">
        <f aca="false">Raw_Data!H4473</f>
        <v>no</v>
      </c>
      <c r="J4473" s="2" t="n">
        <f aca="false">IF(F4473="yes",1,0)</f>
        <v>0</v>
      </c>
      <c r="K4473" s="2" t="n">
        <f aca="false">IF(H4473="yes",1,0)</f>
        <v>0</v>
      </c>
      <c r="L4473" s="2" t="n">
        <f aca="false">IF(I4473="yes",1,0)</f>
        <v>0</v>
      </c>
      <c r="M4473" s="2" t="n">
        <f aca="false">IF(G4473&lt;0,1,0)</f>
        <v>0</v>
      </c>
      <c r="N4473" s="2" t="str">
        <f aca="false">_xlfn.IFS(B4473&lt;30,"Under 30",B4473&lt;40,"30-39",B4473&lt;50,"40-49",B4473&lt;60,"50-59",TRUE(),"60+")</f>
        <v>50-59</v>
      </c>
      <c r="O4473" s="2" t="str">
        <f aca="false">_xlfn.IFS(G4473&lt;0,"1 Negative",G4473=0,"2 Zero",G4473&lt;=500,"3 1-500",G4473&lt;=2000,"4 501-2000",TRUE(),"5 Above 2000")</f>
        <v>5 Above 2000</v>
      </c>
      <c r="P4473" s="2" t="n">
        <f aca="false">Lookups!$B$2*M4473+Lookups!$B$3*L4473</f>
        <v>0</v>
      </c>
      <c r="Q4473" s="2" t="str">
        <f aca="false">INDEX(Lookups!$E$2:$E$5,MATCH(P4473,Lookups!$D$2:$D$5,0))</f>
        <v>Low</v>
      </c>
    </row>
    <row r="4474" customFormat="false" ht="15" hidden="false" customHeight="false" outlineLevel="0" collapsed="false">
      <c r="A4474" s="3" t="n">
        <v>4473</v>
      </c>
      <c r="B4474" s="3" t="n">
        <f aca="false">Raw_Data!A4474</f>
        <v>29</v>
      </c>
      <c r="C4474" s="3" t="str">
        <f aca="false">SUBSTITUTE(Raw_Data!B4474,".","")</f>
        <v>blue-collar</v>
      </c>
      <c r="D4474" s="3" t="str">
        <f aca="false">Raw_Data!C4474</f>
        <v>married</v>
      </c>
      <c r="E4474" s="3" t="str">
        <f aca="false">Raw_Data!D4474</f>
        <v>primary</v>
      </c>
      <c r="F4474" s="3" t="str">
        <f aca="false">Raw_Data!E4474</f>
        <v>no</v>
      </c>
      <c r="G4474" s="3" t="n">
        <f aca="false">Raw_Data!F4474</f>
        <v>200</v>
      </c>
      <c r="H4474" s="3" t="str">
        <f aca="false">Raw_Data!G4474</f>
        <v>yes</v>
      </c>
      <c r="I4474" s="3" t="str">
        <f aca="false">Raw_Data!H4474</f>
        <v>no</v>
      </c>
      <c r="J4474" s="2" t="n">
        <f aca="false">IF(F4474="yes",1,0)</f>
        <v>0</v>
      </c>
      <c r="K4474" s="2" t="n">
        <f aca="false">IF(H4474="yes",1,0)</f>
        <v>1</v>
      </c>
      <c r="L4474" s="2" t="n">
        <f aca="false">IF(I4474="yes",1,0)</f>
        <v>0</v>
      </c>
      <c r="M4474" s="2" t="n">
        <f aca="false">IF(G4474&lt;0,1,0)</f>
        <v>0</v>
      </c>
      <c r="N4474" s="2" t="str">
        <f aca="false">_xlfn.IFS(B4474&lt;30,"Under 30",B4474&lt;40,"30-39",B4474&lt;50,"40-49",B4474&lt;60,"50-59",TRUE(),"60+")</f>
        <v>Under 30</v>
      </c>
      <c r="O4474" s="2" t="str">
        <f aca="false">_xlfn.IFS(G4474&lt;0,"1 Negative",G4474=0,"2 Zero",G4474&lt;=500,"3 1-500",G4474&lt;=2000,"4 501-2000",TRUE(),"5 Above 2000")</f>
        <v>3 1-500</v>
      </c>
      <c r="P4474" s="2" t="n">
        <f aca="false">Lookups!$B$2*M4474+Lookups!$B$3*L4474</f>
        <v>0</v>
      </c>
      <c r="Q4474" s="2" t="str">
        <f aca="false">INDEX(Lookups!$E$2:$E$5,MATCH(P4474,Lookups!$D$2:$D$5,0))</f>
        <v>Low</v>
      </c>
    </row>
    <row r="4475" customFormat="false" ht="15" hidden="false" customHeight="false" outlineLevel="0" collapsed="false">
      <c r="A4475" s="3" t="n">
        <v>4474</v>
      </c>
      <c r="B4475" s="3" t="n">
        <f aca="false">Raw_Data!A4475</f>
        <v>33</v>
      </c>
      <c r="C4475" s="3" t="str">
        <f aca="false">SUBSTITUTE(Raw_Data!B4475,".","")</f>
        <v>technician</v>
      </c>
      <c r="D4475" s="3" t="str">
        <f aca="false">Raw_Data!C4475</f>
        <v>married</v>
      </c>
      <c r="E4475" s="3" t="str">
        <f aca="false">Raw_Data!D4475</f>
        <v>secondary</v>
      </c>
      <c r="F4475" s="3" t="str">
        <f aca="false">Raw_Data!E4475</f>
        <v>no</v>
      </c>
      <c r="G4475" s="3" t="n">
        <f aca="false">Raw_Data!F4475</f>
        <v>4790</v>
      </c>
      <c r="H4475" s="3" t="str">
        <f aca="false">Raw_Data!G4475</f>
        <v>yes</v>
      </c>
      <c r="I4475" s="3" t="str">
        <f aca="false">Raw_Data!H4475</f>
        <v>no</v>
      </c>
      <c r="J4475" s="2" t="n">
        <f aca="false">IF(F4475="yes",1,0)</f>
        <v>0</v>
      </c>
      <c r="K4475" s="2" t="n">
        <f aca="false">IF(H4475="yes",1,0)</f>
        <v>1</v>
      </c>
      <c r="L4475" s="2" t="n">
        <f aca="false">IF(I4475="yes",1,0)</f>
        <v>0</v>
      </c>
      <c r="M4475" s="2" t="n">
        <f aca="false">IF(G4475&lt;0,1,0)</f>
        <v>0</v>
      </c>
      <c r="N4475" s="2" t="str">
        <f aca="false">_xlfn.IFS(B4475&lt;30,"Under 30",B4475&lt;40,"30-39",B4475&lt;50,"40-49",B4475&lt;60,"50-59",TRUE(),"60+")</f>
        <v>30-39</v>
      </c>
      <c r="O4475" s="2" t="str">
        <f aca="false">_xlfn.IFS(G4475&lt;0,"1 Negative",G4475=0,"2 Zero",G4475&lt;=500,"3 1-500",G4475&lt;=2000,"4 501-2000",TRUE(),"5 Above 2000")</f>
        <v>5 Above 2000</v>
      </c>
      <c r="P4475" s="2" t="n">
        <f aca="false">Lookups!$B$2*M4475+Lookups!$B$3*L4475</f>
        <v>0</v>
      </c>
      <c r="Q4475" s="2" t="str">
        <f aca="false">INDEX(Lookups!$E$2:$E$5,MATCH(P4475,Lookups!$D$2:$D$5,0))</f>
        <v>Low</v>
      </c>
    </row>
    <row r="4476" customFormat="false" ht="15" hidden="false" customHeight="false" outlineLevel="0" collapsed="false">
      <c r="A4476" s="3" t="n">
        <v>4475</v>
      </c>
      <c r="B4476" s="3" t="n">
        <f aca="false">Raw_Data!A4476</f>
        <v>44</v>
      </c>
      <c r="C4476" s="3" t="str">
        <f aca="false">SUBSTITUTE(Raw_Data!B4476,".","")</f>
        <v>blue-collar</v>
      </c>
      <c r="D4476" s="3" t="str">
        <f aca="false">Raw_Data!C4476</f>
        <v>married</v>
      </c>
      <c r="E4476" s="3" t="str">
        <f aca="false">Raw_Data!D4476</f>
        <v>primary</v>
      </c>
      <c r="F4476" s="3" t="str">
        <f aca="false">Raw_Data!E4476</f>
        <v>no</v>
      </c>
      <c r="G4476" s="3" t="n">
        <f aca="false">Raw_Data!F4476</f>
        <v>-237</v>
      </c>
      <c r="H4476" s="3" t="str">
        <f aca="false">Raw_Data!G4476</f>
        <v>yes</v>
      </c>
      <c r="I4476" s="3" t="str">
        <f aca="false">Raw_Data!H4476</f>
        <v>no</v>
      </c>
      <c r="J4476" s="2" t="n">
        <f aca="false">IF(F4476="yes",1,0)</f>
        <v>0</v>
      </c>
      <c r="K4476" s="2" t="n">
        <f aca="false">IF(H4476="yes",1,0)</f>
        <v>1</v>
      </c>
      <c r="L4476" s="2" t="n">
        <f aca="false">IF(I4476="yes",1,0)</f>
        <v>0</v>
      </c>
      <c r="M4476" s="2" t="n">
        <f aca="false">IF(G4476&lt;0,1,0)</f>
        <v>1</v>
      </c>
      <c r="N4476" s="2" t="str">
        <f aca="false">_xlfn.IFS(B4476&lt;30,"Under 30",B4476&lt;40,"30-39",B4476&lt;50,"40-49",B4476&lt;60,"50-59",TRUE(),"60+")</f>
        <v>40-49</v>
      </c>
      <c r="O4476" s="2" t="str">
        <f aca="false">_xlfn.IFS(G4476&lt;0,"1 Negative",G4476=0,"2 Zero",G4476&lt;=500,"3 1-500",G4476&lt;=2000,"4 501-2000",TRUE(),"5 Above 2000")</f>
        <v>1 Negative</v>
      </c>
      <c r="P4476" s="2" t="n">
        <f aca="false">Lookups!$B$2*M4476+Lookups!$B$3*L4476</f>
        <v>2</v>
      </c>
      <c r="Q4476" s="2" t="str">
        <f aca="false">INDEX(Lookups!$E$2:$E$5,MATCH(P4476,Lookups!$D$2:$D$5,0))</f>
        <v>High</v>
      </c>
    </row>
    <row r="4477" customFormat="false" ht="15" hidden="false" customHeight="false" outlineLevel="0" collapsed="false">
      <c r="A4477" s="3" t="n">
        <v>4476</v>
      </c>
      <c r="B4477" s="3" t="n">
        <f aca="false">Raw_Data!A4477</f>
        <v>43</v>
      </c>
      <c r="C4477" s="3" t="str">
        <f aca="false">SUBSTITUTE(Raw_Data!B4477,".","")</f>
        <v>blue-collar</v>
      </c>
      <c r="D4477" s="3" t="str">
        <f aca="false">Raw_Data!C4477</f>
        <v>married</v>
      </c>
      <c r="E4477" s="3" t="str">
        <f aca="false">Raw_Data!D4477</f>
        <v>secondary</v>
      </c>
      <c r="F4477" s="3" t="str">
        <f aca="false">Raw_Data!E4477</f>
        <v>no</v>
      </c>
      <c r="G4477" s="3" t="n">
        <f aca="false">Raw_Data!F4477</f>
        <v>1335</v>
      </c>
      <c r="H4477" s="3" t="str">
        <f aca="false">Raw_Data!G4477</f>
        <v>yes</v>
      </c>
      <c r="I4477" s="3" t="str">
        <f aca="false">Raw_Data!H4477</f>
        <v>no</v>
      </c>
      <c r="J4477" s="2" t="n">
        <f aca="false">IF(F4477="yes",1,0)</f>
        <v>0</v>
      </c>
      <c r="K4477" s="2" t="n">
        <f aca="false">IF(H4477="yes",1,0)</f>
        <v>1</v>
      </c>
      <c r="L4477" s="2" t="n">
        <f aca="false">IF(I4477="yes",1,0)</f>
        <v>0</v>
      </c>
      <c r="M4477" s="2" t="n">
        <f aca="false">IF(G4477&lt;0,1,0)</f>
        <v>0</v>
      </c>
      <c r="N4477" s="2" t="str">
        <f aca="false">_xlfn.IFS(B4477&lt;30,"Under 30",B4477&lt;40,"30-39",B4477&lt;50,"40-49",B4477&lt;60,"50-59",TRUE(),"60+")</f>
        <v>40-49</v>
      </c>
      <c r="O4477" s="2" t="str">
        <f aca="false">_xlfn.IFS(G4477&lt;0,"1 Negative",G4477=0,"2 Zero",G4477&lt;=500,"3 1-500",G4477&lt;=2000,"4 501-2000",TRUE(),"5 Above 2000")</f>
        <v>4 501-2000</v>
      </c>
      <c r="P4477" s="2" t="n">
        <f aca="false">Lookups!$B$2*M4477+Lookups!$B$3*L4477</f>
        <v>0</v>
      </c>
      <c r="Q4477" s="2" t="str">
        <f aca="false">INDEX(Lookups!$E$2:$E$5,MATCH(P4477,Lookups!$D$2:$D$5,0))</f>
        <v>Low</v>
      </c>
    </row>
    <row r="4478" customFormat="false" ht="15" hidden="false" customHeight="false" outlineLevel="0" collapsed="false">
      <c r="A4478" s="3" t="n">
        <v>4477</v>
      </c>
      <c r="B4478" s="3" t="n">
        <f aca="false">Raw_Data!A4478</f>
        <v>42</v>
      </c>
      <c r="C4478" s="3" t="str">
        <f aca="false">SUBSTITUTE(Raw_Data!B4478,".","")</f>
        <v>management</v>
      </c>
      <c r="D4478" s="3" t="str">
        <f aca="false">Raw_Data!C4478</f>
        <v>married</v>
      </c>
      <c r="E4478" s="3" t="str">
        <f aca="false">Raw_Data!D4478</f>
        <v>tertiary</v>
      </c>
      <c r="F4478" s="3" t="str">
        <f aca="false">Raw_Data!E4478</f>
        <v>no</v>
      </c>
      <c r="G4478" s="3" t="n">
        <f aca="false">Raw_Data!F4478</f>
        <v>603</v>
      </c>
      <c r="H4478" s="3" t="str">
        <f aca="false">Raw_Data!G4478</f>
        <v>yes</v>
      </c>
      <c r="I4478" s="3" t="str">
        <f aca="false">Raw_Data!H4478</f>
        <v>no</v>
      </c>
      <c r="J4478" s="2" t="n">
        <f aca="false">IF(F4478="yes",1,0)</f>
        <v>0</v>
      </c>
      <c r="K4478" s="2" t="n">
        <f aca="false">IF(H4478="yes",1,0)</f>
        <v>1</v>
      </c>
      <c r="L4478" s="2" t="n">
        <f aca="false">IF(I4478="yes",1,0)</f>
        <v>0</v>
      </c>
      <c r="M4478" s="2" t="n">
        <f aca="false">IF(G4478&lt;0,1,0)</f>
        <v>0</v>
      </c>
      <c r="N4478" s="2" t="str">
        <f aca="false">_xlfn.IFS(B4478&lt;30,"Under 30",B4478&lt;40,"30-39",B4478&lt;50,"40-49",B4478&lt;60,"50-59",TRUE(),"60+")</f>
        <v>40-49</v>
      </c>
      <c r="O4478" s="2" t="str">
        <f aca="false">_xlfn.IFS(G4478&lt;0,"1 Negative",G4478=0,"2 Zero",G4478&lt;=500,"3 1-500",G4478&lt;=2000,"4 501-2000",TRUE(),"5 Above 2000")</f>
        <v>4 501-2000</v>
      </c>
      <c r="P4478" s="2" t="n">
        <f aca="false">Lookups!$B$2*M4478+Lookups!$B$3*L4478</f>
        <v>0</v>
      </c>
      <c r="Q4478" s="2" t="str">
        <f aca="false">INDEX(Lookups!$E$2:$E$5,MATCH(P4478,Lookups!$D$2:$D$5,0))</f>
        <v>Low</v>
      </c>
    </row>
    <row r="4479" customFormat="false" ht="15" hidden="false" customHeight="false" outlineLevel="0" collapsed="false">
      <c r="A4479" s="3" t="n">
        <v>4478</v>
      </c>
      <c r="B4479" s="3" t="n">
        <f aca="false">Raw_Data!A4479</f>
        <v>32</v>
      </c>
      <c r="C4479" s="3" t="str">
        <f aca="false">SUBSTITUTE(Raw_Data!B4479,".","")</f>
        <v>management</v>
      </c>
      <c r="D4479" s="3" t="str">
        <f aca="false">Raw_Data!C4479</f>
        <v>single</v>
      </c>
      <c r="E4479" s="3" t="str">
        <f aca="false">Raw_Data!D4479</f>
        <v>tertiary</v>
      </c>
      <c r="F4479" s="3" t="str">
        <f aca="false">Raw_Data!E4479</f>
        <v>no</v>
      </c>
      <c r="G4479" s="3" t="n">
        <f aca="false">Raw_Data!F4479</f>
        <v>577</v>
      </c>
      <c r="H4479" s="3" t="str">
        <f aca="false">Raw_Data!G4479</f>
        <v>no</v>
      </c>
      <c r="I4479" s="3" t="str">
        <f aca="false">Raw_Data!H4479</f>
        <v>no</v>
      </c>
      <c r="J4479" s="2" t="n">
        <f aca="false">IF(F4479="yes",1,0)</f>
        <v>0</v>
      </c>
      <c r="K4479" s="2" t="n">
        <f aca="false">IF(H4479="yes",1,0)</f>
        <v>0</v>
      </c>
      <c r="L4479" s="2" t="n">
        <f aca="false">IF(I4479="yes",1,0)</f>
        <v>0</v>
      </c>
      <c r="M4479" s="2" t="n">
        <f aca="false">IF(G4479&lt;0,1,0)</f>
        <v>0</v>
      </c>
      <c r="N4479" s="2" t="str">
        <f aca="false">_xlfn.IFS(B4479&lt;30,"Under 30",B4479&lt;40,"30-39",B4479&lt;50,"40-49",B4479&lt;60,"50-59",TRUE(),"60+")</f>
        <v>30-39</v>
      </c>
      <c r="O4479" s="2" t="str">
        <f aca="false">_xlfn.IFS(G4479&lt;0,"1 Negative",G4479=0,"2 Zero",G4479&lt;=500,"3 1-500",G4479&lt;=2000,"4 501-2000",TRUE(),"5 Above 2000")</f>
        <v>4 501-2000</v>
      </c>
      <c r="P4479" s="2" t="n">
        <f aca="false">Lookups!$B$2*M4479+Lookups!$B$3*L4479</f>
        <v>0</v>
      </c>
      <c r="Q4479" s="2" t="str">
        <f aca="false">INDEX(Lookups!$E$2:$E$5,MATCH(P4479,Lookups!$D$2:$D$5,0))</f>
        <v>Low</v>
      </c>
    </row>
    <row r="4480" customFormat="false" ht="15" hidden="false" customHeight="false" outlineLevel="0" collapsed="false">
      <c r="A4480" s="3" t="n">
        <v>4479</v>
      </c>
      <c r="B4480" s="3" t="n">
        <f aca="false">Raw_Data!A4480</f>
        <v>43</v>
      </c>
      <c r="C4480" s="3" t="str">
        <f aca="false">SUBSTITUTE(Raw_Data!B4480,".","")</f>
        <v>management</v>
      </c>
      <c r="D4480" s="3" t="str">
        <f aca="false">Raw_Data!C4480</f>
        <v>married</v>
      </c>
      <c r="E4480" s="3" t="str">
        <f aca="false">Raw_Data!D4480</f>
        <v>tertiary</v>
      </c>
      <c r="F4480" s="3" t="str">
        <f aca="false">Raw_Data!E4480</f>
        <v>no</v>
      </c>
      <c r="G4480" s="3" t="n">
        <f aca="false">Raw_Data!F4480</f>
        <v>0</v>
      </c>
      <c r="H4480" s="3" t="str">
        <f aca="false">Raw_Data!G4480</f>
        <v>yes</v>
      </c>
      <c r="I4480" s="3" t="str">
        <f aca="false">Raw_Data!H4480</f>
        <v>no</v>
      </c>
      <c r="J4480" s="2" t="n">
        <f aca="false">IF(F4480="yes",1,0)</f>
        <v>0</v>
      </c>
      <c r="K4480" s="2" t="n">
        <f aca="false">IF(H4480="yes",1,0)</f>
        <v>1</v>
      </c>
      <c r="L4480" s="2" t="n">
        <f aca="false">IF(I4480="yes",1,0)</f>
        <v>0</v>
      </c>
      <c r="M4480" s="2" t="n">
        <f aca="false">IF(G4480&lt;0,1,0)</f>
        <v>0</v>
      </c>
      <c r="N4480" s="2" t="str">
        <f aca="false">_xlfn.IFS(B4480&lt;30,"Under 30",B4480&lt;40,"30-39",B4480&lt;50,"40-49",B4480&lt;60,"50-59",TRUE(),"60+")</f>
        <v>40-49</v>
      </c>
      <c r="O4480" s="2" t="str">
        <f aca="false">_xlfn.IFS(G4480&lt;0,"1 Negative",G4480=0,"2 Zero",G4480&lt;=500,"3 1-500",G4480&lt;=2000,"4 501-2000",TRUE(),"5 Above 2000")</f>
        <v>2 Zero</v>
      </c>
      <c r="P4480" s="2" t="n">
        <f aca="false">Lookups!$B$2*M4480+Lookups!$B$3*L4480</f>
        <v>0</v>
      </c>
      <c r="Q4480" s="2" t="str">
        <f aca="false">INDEX(Lookups!$E$2:$E$5,MATCH(P4480,Lookups!$D$2:$D$5,0))</f>
        <v>Low</v>
      </c>
    </row>
    <row r="4481" customFormat="false" ht="15" hidden="false" customHeight="false" outlineLevel="0" collapsed="false">
      <c r="A4481" s="3" t="n">
        <v>4480</v>
      </c>
      <c r="B4481" s="3" t="n">
        <f aca="false">Raw_Data!A4481</f>
        <v>39</v>
      </c>
      <c r="C4481" s="3" t="str">
        <f aca="false">SUBSTITUTE(Raw_Data!B4481,".","")</f>
        <v>admin</v>
      </c>
      <c r="D4481" s="3" t="str">
        <f aca="false">Raw_Data!C4481</f>
        <v>single</v>
      </c>
      <c r="E4481" s="3" t="str">
        <f aca="false">Raw_Data!D4481</f>
        <v>secondary</v>
      </c>
      <c r="F4481" s="3" t="str">
        <f aca="false">Raw_Data!E4481</f>
        <v>no</v>
      </c>
      <c r="G4481" s="3" t="n">
        <f aca="false">Raw_Data!F4481</f>
        <v>163</v>
      </c>
      <c r="H4481" s="3" t="str">
        <f aca="false">Raw_Data!G4481</f>
        <v>yes</v>
      </c>
      <c r="I4481" s="3" t="str">
        <f aca="false">Raw_Data!H4481</f>
        <v>no</v>
      </c>
      <c r="J4481" s="2" t="n">
        <f aca="false">IF(F4481="yes",1,0)</f>
        <v>0</v>
      </c>
      <c r="K4481" s="2" t="n">
        <f aca="false">IF(H4481="yes",1,0)</f>
        <v>1</v>
      </c>
      <c r="L4481" s="2" t="n">
        <f aca="false">IF(I4481="yes",1,0)</f>
        <v>0</v>
      </c>
      <c r="M4481" s="2" t="n">
        <f aca="false">IF(G4481&lt;0,1,0)</f>
        <v>0</v>
      </c>
      <c r="N4481" s="2" t="str">
        <f aca="false">_xlfn.IFS(B4481&lt;30,"Under 30",B4481&lt;40,"30-39",B4481&lt;50,"40-49",B4481&lt;60,"50-59",TRUE(),"60+")</f>
        <v>30-39</v>
      </c>
      <c r="O4481" s="2" t="str">
        <f aca="false">_xlfn.IFS(G4481&lt;0,"1 Negative",G4481=0,"2 Zero",G4481&lt;=500,"3 1-500",G4481&lt;=2000,"4 501-2000",TRUE(),"5 Above 2000")</f>
        <v>3 1-500</v>
      </c>
      <c r="P4481" s="2" t="n">
        <f aca="false">Lookups!$B$2*M4481+Lookups!$B$3*L4481</f>
        <v>0</v>
      </c>
      <c r="Q4481" s="2" t="str">
        <f aca="false">INDEX(Lookups!$E$2:$E$5,MATCH(P4481,Lookups!$D$2:$D$5,0))</f>
        <v>Low</v>
      </c>
    </row>
    <row r="4482" customFormat="false" ht="15" hidden="false" customHeight="false" outlineLevel="0" collapsed="false">
      <c r="A4482" s="3" t="n">
        <v>4481</v>
      </c>
      <c r="B4482" s="3" t="n">
        <f aca="false">Raw_Data!A4482</f>
        <v>23</v>
      </c>
      <c r="C4482" s="3" t="str">
        <f aca="false">SUBSTITUTE(Raw_Data!B4482,".","")</f>
        <v>blue-collar</v>
      </c>
      <c r="D4482" s="3" t="str">
        <f aca="false">Raw_Data!C4482</f>
        <v>married</v>
      </c>
      <c r="E4482" s="3" t="str">
        <f aca="false">Raw_Data!D4482</f>
        <v>primary</v>
      </c>
      <c r="F4482" s="3" t="str">
        <f aca="false">Raw_Data!E4482</f>
        <v>no</v>
      </c>
      <c r="G4482" s="3" t="n">
        <f aca="false">Raw_Data!F4482</f>
        <v>1158</v>
      </c>
      <c r="H4482" s="3" t="str">
        <f aca="false">Raw_Data!G4482</f>
        <v>yes</v>
      </c>
      <c r="I4482" s="3" t="str">
        <f aca="false">Raw_Data!H4482</f>
        <v>no</v>
      </c>
      <c r="J4482" s="2" t="n">
        <f aca="false">IF(F4482="yes",1,0)</f>
        <v>0</v>
      </c>
      <c r="K4482" s="2" t="n">
        <f aca="false">IF(H4482="yes",1,0)</f>
        <v>1</v>
      </c>
      <c r="L4482" s="2" t="n">
        <f aca="false">IF(I4482="yes",1,0)</f>
        <v>0</v>
      </c>
      <c r="M4482" s="2" t="n">
        <f aca="false">IF(G4482&lt;0,1,0)</f>
        <v>0</v>
      </c>
      <c r="N4482" s="2" t="str">
        <f aca="false">_xlfn.IFS(B4482&lt;30,"Under 30",B4482&lt;40,"30-39",B4482&lt;50,"40-49",B4482&lt;60,"50-59",TRUE(),"60+")</f>
        <v>Under 30</v>
      </c>
      <c r="O4482" s="2" t="str">
        <f aca="false">_xlfn.IFS(G4482&lt;0,"1 Negative",G4482=0,"2 Zero",G4482&lt;=500,"3 1-500",G4482&lt;=2000,"4 501-2000",TRUE(),"5 Above 2000")</f>
        <v>4 501-2000</v>
      </c>
      <c r="P4482" s="2" t="n">
        <f aca="false">Lookups!$B$2*M4482+Lookups!$B$3*L4482</f>
        <v>0</v>
      </c>
      <c r="Q4482" s="2" t="str">
        <f aca="false">INDEX(Lookups!$E$2:$E$5,MATCH(P4482,Lookups!$D$2:$D$5,0))</f>
        <v>Low</v>
      </c>
    </row>
    <row r="4483" customFormat="false" ht="15" hidden="false" customHeight="false" outlineLevel="0" collapsed="false">
      <c r="A4483" s="3" t="n">
        <v>4482</v>
      </c>
      <c r="B4483" s="3" t="n">
        <f aca="false">Raw_Data!A4483</f>
        <v>43</v>
      </c>
      <c r="C4483" s="3" t="str">
        <f aca="false">SUBSTITUTE(Raw_Data!B4483,".","")</f>
        <v>services</v>
      </c>
      <c r="D4483" s="3" t="str">
        <f aca="false">Raw_Data!C4483</f>
        <v>married</v>
      </c>
      <c r="E4483" s="3" t="str">
        <f aca="false">Raw_Data!D4483</f>
        <v>secondary</v>
      </c>
      <c r="F4483" s="3" t="str">
        <f aca="false">Raw_Data!E4483</f>
        <v>no</v>
      </c>
      <c r="G4483" s="3" t="n">
        <f aca="false">Raw_Data!F4483</f>
        <v>642</v>
      </c>
      <c r="H4483" s="3" t="str">
        <f aca="false">Raw_Data!G4483</f>
        <v>no</v>
      </c>
      <c r="I4483" s="3" t="str">
        <f aca="false">Raw_Data!H4483</f>
        <v>no</v>
      </c>
      <c r="J4483" s="2" t="n">
        <f aca="false">IF(F4483="yes",1,0)</f>
        <v>0</v>
      </c>
      <c r="K4483" s="2" t="n">
        <f aca="false">IF(H4483="yes",1,0)</f>
        <v>0</v>
      </c>
      <c r="L4483" s="2" t="n">
        <f aca="false">IF(I4483="yes",1,0)</f>
        <v>0</v>
      </c>
      <c r="M4483" s="2" t="n">
        <f aca="false">IF(G4483&lt;0,1,0)</f>
        <v>0</v>
      </c>
      <c r="N4483" s="2" t="str">
        <f aca="false">_xlfn.IFS(B4483&lt;30,"Under 30",B4483&lt;40,"30-39",B4483&lt;50,"40-49",B4483&lt;60,"50-59",TRUE(),"60+")</f>
        <v>40-49</v>
      </c>
      <c r="O4483" s="2" t="str">
        <f aca="false">_xlfn.IFS(G4483&lt;0,"1 Negative",G4483=0,"2 Zero",G4483&lt;=500,"3 1-500",G4483&lt;=2000,"4 501-2000",TRUE(),"5 Above 2000")</f>
        <v>4 501-2000</v>
      </c>
      <c r="P4483" s="2" t="n">
        <f aca="false">Lookups!$B$2*M4483+Lookups!$B$3*L4483</f>
        <v>0</v>
      </c>
      <c r="Q4483" s="2" t="str">
        <f aca="false">INDEX(Lookups!$E$2:$E$5,MATCH(P4483,Lookups!$D$2:$D$5,0))</f>
        <v>Low</v>
      </c>
    </row>
    <row r="4484" customFormat="false" ht="15" hidden="false" customHeight="false" outlineLevel="0" collapsed="false">
      <c r="A4484" s="3" t="n">
        <v>4483</v>
      </c>
      <c r="B4484" s="3" t="n">
        <f aca="false">Raw_Data!A4484</f>
        <v>46</v>
      </c>
      <c r="C4484" s="3" t="str">
        <f aca="false">SUBSTITUTE(Raw_Data!B4484,".","")</f>
        <v>admin</v>
      </c>
      <c r="D4484" s="3" t="str">
        <f aca="false">Raw_Data!C4484</f>
        <v>married</v>
      </c>
      <c r="E4484" s="3" t="str">
        <f aca="false">Raw_Data!D4484</f>
        <v>secondary</v>
      </c>
      <c r="F4484" s="3" t="str">
        <f aca="false">Raw_Data!E4484</f>
        <v>no</v>
      </c>
      <c r="G4484" s="3" t="n">
        <f aca="false">Raw_Data!F4484</f>
        <v>466</v>
      </c>
      <c r="H4484" s="3" t="str">
        <f aca="false">Raw_Data!G4484</f>
        <v>yes</v>
      </c>
      <c r="I4484" s="3" t="str">
        <f aca="false">Raw_Data!H4484</f>
        <v>no</v>
      </c>
      <c r="J4484" s="2" t="n">
        <f aca="false">IF(F4484="yes",1,0)</f>
        <v>0</v>
      </c>
      <c r="K4484" s="2" t="n">
        <f aca="false">IF(H4484="yes",1,0)</f>
        <v>1</v>
      </c>
      <c r="L4484" s="2" t="n">
        <f aca="false">IF(I4484="yes",1,0)</f>
        <v>0</v>
      </c>
      <c r="M4484" s="2" t="n">
        <f aca="false">IF(G4484&lt;0,1,0)</f>
        <v>0</v>
      </c>
      <c r="N4484" s="2" t="str">
        <f aca="false">_xlfn.IFS(B4484&lt;30,"Under 30",B4484&lt;40,"30-39",B4484&lt;50,"40-49",B4484&lt;60,"50-59",TRUE(),"60+")</f>
        <v>40-49</v>
      </c>
      <c r="O4484" s="2" t="str">
        <f aca="false">_xlfn.IFS(G4484&lt;0,"1 Negative",G4484=0,"2 Zero",G4484&lt;=500,"3 1-500",G4484&lt;=2000,"4 501-2000",TRUE(),"5 Above 2000")</f>
        <v>3 1-500</v>
      </c>
      <c r="P4484" s="2" t="n">
        <f aca="false">Lookups!$B$2*M4484+Lookups!$B$3*L4484</f>
        <v>0</v>
      </c>
      <c r="Q4484" s="2" t="str">
        <f aca="false">INDEX(Lookups!$E$2:$E$5,MATCH(P4484,Lookups!$D$2:$D$5,0))</f>
        <v>Low</v>
      </c>
    </row>
    <row r="4485" customFormat="false" ht="15" hidden="false" customHeight="false" outlineLevel="0" collapsed="false">
      <c r="A4485" s="3" t="n">
        <v>4484</v>
      </c>
      <c r="B4485" s="3" t="n">
        <f aca="false">Raw_Data!A4485</f>
        <v>31</v>
      </c>
      <c r="C4485" s="3" t="str">
        <f aca="false">SUBSTITUTE(Raw_Data!B4485,".","")</f>
        <v>technician</v>
      </c>
      <c r="D4485" s="3" t="str">
        <f aca="false">Raw_Data!C4485</f>
        <v>married</v>
      </c>
      <c r="E4485" s="3" t="str">
        <f aca="false">Raw_Data!D4485</f>
        <v>secondary</v>
      </c>
      <c r="F4485" s="3" t="str">
        <f aca="false">Raw_Data!E4485</f>
        <v>no</v>
      </c>
      <c r="G4485" s="3" t="n">
        <f aca="false">Raw_Data!F4485</f>
        <v>119</v>
      </c>
      <c r="H4485" s="3" t="str">
        <f aca="false">Raw_Data!G4485</f>
        <v>yes</v>
      </c>
      <c r="I4485" s="3" t="str">
        <f aca="false">Raw_Data!H4485</f>
        <v>no</v>
      </c>
      <c r="J4485" s="2" t="n">
        <f aca="false">IF(F4485="yes",1,0)</f>
        <v>0</v>
      </c>
      <c r="K4485" s="2" t="n">
        <f aca="false">IF(H4485="yes",1,0)</f>
        <v>1</v>
      </c>
      <c r="L4485" s="2" t="n">
        <f aca="false">IF(I4485="yes",1,0)</f>
        <v>0</v>
      </c>
      <c r="M4485" s="2" t="n">
        <f aca="false">IF(G4485&lt;0,1,0)</f>
        <v>0</v>
      </c>
      <c r="N4485" s="2" t="str">
        <f aca="false">_xlfn.IFS(B4485&lt;30,"Under 30",B4485&lt;40,"30-39",B4485&lt;50,"40-49",B4485&lt;60,"50-59",TRUE(),"60+")</f>
        <v>30-39</v>
      </c>
      <c r="O4485" s="2" t="str">
        <f aca="false">_xlfn.IFS(G4485&lt;0,"1 Negative",G4485=0,"2 Zero",G4485&lt;=500,"3 1-500",G4485&lt;=2000,"4 501-2000",TRUE(),"5 Above 2000")</f>
        <v>3 1-500</v>
      </c>
      <c r="P4485" s="2" t="n">
        <f aca="false">Lookups!$B$2*M4485+Lookups!$B$3*L4485</f>
        <v>0</v>
      </c>
      <c r="Q4485" s="2" t="str">
        <f aca="false">INDEX(Lookups!$E$2:$E$5,MATCH(P4485,Lookups!$D$2:$D$5,0))</f>
        <v>Low</v>
      </c>
    </row>
    <row r="4486" customFormat="false" ht="15" hidden="false" customHeight="false" outlineLevel="0" collapsed="false">
      <c r="A4486" s="3" t="n">
        <v>4485</v>
      </c>
      <c r="B4486" s="3" t="n">
        <f aca="false">Raw_Data!A4486</f>
        <v>38</v>
      </c>
      <c r="C4486" s="3" t="str">
        <f aca="false">SUBSTITUTE(Raw_Data!B4486,".","")</f>
        <v>management</v>
      </c>
      <c r="D4486" s="3" t="str">
        <f aca="false">Raw_Data!C4486</f>
        <v>married</v>
      </c>
      <c r="E4486" s="3" t="str">
        <f aca="false">Raw_Data!D4486</f>
        <v>tertiary</v>
      </c>
      <c r="F4486" s="3" t="str">
        <f aca="false">Raw_Data!E4486</f>
        <v>no</v>
      </c>
      <c r="G4486" s="3" t="n">
        <f aca="false">Raw_Data!F4486</f>
        <v>3436</v>
      </c>
      <c r="H4486" s="3" t="str">
        <f aca="false">Raw_Data!G4486</f>
        <v>no</v>
      </c>
      <c r="I4486" s="3" t="str">
        <f aca="false">Raw_Data!H4486</f>
        <v>no</v>
      </c>
      <c r="J4486" s="2" t="n">
        <f aca="false">IF(F4486="yes",1,0)</f>
        <v>0</v>
      </c>
      <c r="K4486" s="2" t="n">
        <f aca="false">IF(H4486="yes",1,0)</f>
        <v>0</v>
      </c>
      <c r="L4486" s="2" t="n">
        <f aca="false">IF(I4486="yes",1,0)</f>
        <v>0</v>
      </c>
      <c r="M4486" s="2" t="n">
        <f aca="false">IF(G4486&lt;0,1,0)</f>
        <v>0</v>
      </c>
      <c r="N4486" s="2" t="str">
        <f aca="false">_xlfn.IFS(B4486&lt;30,"Under 30",B4486&lt;40,"30-39",B4486&lt;50,"40-49",B4486&lt;60,"50-59",TRUE(),"60+")</f>
        <v>30-39</v>
      </c>
      <c r="O4486" s="2" t="str">
        <f aca="false">_xlfn.IFS(G4486&lt;0,"1 Negative",G4486=0,"2 Zero",G4486&lt;=500,"3 1-500",G4486&lt;=2000,"4 501-2000",TRUE(),"5 Above 2000")</f>
        <v>5 Above 2000</v>
      </c>
      <c r="P4486" s="2" t="n">
        <f aca="false">Lookups!$B$2*M4486+Lookups!$B$3*L4486</f>
        <v>0</v>
      </c>
      <c r="Q4486" s="2" t="str">
        <f aca="false">INDEX(Lookups!$E$2:$E$5,MATCH(P4486,Lookups!$D$2:$D$5,0))</f>
        <v>Low</v>
      </c>
    </row>
    <row r="4487" customFormat="false" ht="15" hidden="false" customHeight="false" outlineLevel="0" collapsed="false">
      <c r="A4487" s="3" t="n">
        <v>4486</v>
      </c>
      <c r="B4487" s="3" t="n">
        <f aca="false">Raw_Data!A4487</f>
        <v>53</v>
      </c>
      <c r="C4487" s="3" t="str">
        <f aca="false">SUBSTITUTE(Raw_Data!B4487,".","")</f>
        <v>blue-collar</v>
      </c>
      <c r="D4487" s="3" t="str">
        <f aca="false">Raw_Data!C4487</f>
        <v>married</v>
      </c>
      <c r="E4487" s="3" t="str">
        <f aca="false">Raw_Data!D4487</f>
        <v>primary</v>
      </c>
      <c r="F4487" s="3" t="str">
        <f aca="false">Raw_Data!E4487</f>
        <v>no</v>
      </c>
      <c r="G4487" s="3" t="n">
        <f aca="false">Raw_Data!F4487</f>
        <v>238</v>
      </c>
      <c r="H4487" s="3" t="str">
        <f aca="false">Raw_Data!G4487</f>
        <v>yes</v>
      </c>
      <c r="I4487" s="3" t="str">
        <f aca="false">Raw_Data!H4487</f>
        <v>no</v>
      </c>
      <c r="J4487" s="2" t="n">
        <f aca="false">IF(F4487="yes",1,0)</f>
        <v>0</v>
      </c>
      <c r="K4487" s="2" t="n">
        <f aca="false">IF(H4487="yes",1,0)</f>
        <v>1</v>
      </c>
      <c r="L4487" s="2" t="n">
        <f aca="false">IF(I4487="yes",1,0)</f>
        <v>0</v>
      </c>
      <c r="M4487" s="2" t="n">
        <f aca="false">IF(G4487&lt;0,1,0)</f>
        <v>0</v>
      </c>
      <c r="N4487" s="2" t="str">
        <f aca="false">_xlfn.IFS(B4487&lt;30,"Under 30",B4487&lt;40,"30-39",B4487&lt;50,"40-49",B4487&lt;60,"50-59",TRUE(),"60+")</f>
        <v>50-59</v>
      </c>
      <c r="O4487" s="2" t="str">
        <f aca="false">_xlfn.IFS(G4487&lt;0,"1 Negative",G4487=0,"2 Zero",G4487&lt;=500,"3 1-500",G4487&lt;=2000,"4 501-2000",TRUE(),"5 Above 2000")</f>
        <v>3 1-500</v>
      </c>
      <c r="P4487" s="2" t="n">
        <f aca="false">Lookups!$B$2*M4487+Lookups!$B$3*L4487</f>
        <v>0</v>
      </c>
      <c r="Q4487" s="2" t="str">
        <f aca="false">INDEX(Lookups!$E$2:$E$5,MATCH(P4487,Lookups!$D$2:$D$5,0))</f>
        <v>Low</v>
      </c>
    </row>
    <row r="4488" customFormat="false" ht="15" hidden="false" customHeight="false" outlineLevel="0" collapsed="false">
      <c r="A4488" s="3" t="n">
        <v>4487</v>
      </c>
      <c r="B4488" s="3" t="n">
        <f aca="false">Raw_Data!A4488</f>
        <v>37</v>
      </c>
      <c r="C4488" s="3" t="str">
        <f aca="false">SUBSTITUTE(Raw_Data!B4488,".","")</f>
        <v>blue-collar</v>
      </c>
      <c r="D4488" s="3" t="str">
        <f aca="false">Raw_Data!C4488</f>
        <v>married</v>
      </c>
      <c r="E4488" s="3" t="str">
        <f aca="false">Raw_Data!D4488</f>
        <v>primary</v>
      </c>
      <c r="F4488" s="3" t="str">
        <f aca="false">Raw_Data!E4488</f>
        <v>no</v>
      </c>
      <c r="G4488" s="3" t="n">
        <f aca="false">Raw_Data!F4488</f>
        <v>378</v>
      </c>
      <c r="H4488" s="3" t="str">
        <f aca="false">Raw_Data!G4488</f>
        <v>yes</v>
      </c>
      <c r="I4488" s="3" t="str">
        <f aca="false">Raw_Data!H4488</f>
        <v>no</v>
      </c>
      <c r="J4488" s="2" t="n">
        <f aca="false">IF(F4488="yes",1,0)</f>
        <v>0</v>
      </c>
      <c r="K4488" s="2" t="n">
        <f aca="false">IF(H4488="yes",1,0)</f>
        <v>1</v>
      </c>
      <c r="L4488" s="2" t="n">
        <f aca="false">IF(I4488="yes",1,0)</f>
        <v>0</v>
      </c>
      <c r="M4488" s="2" t="n">
        <f aca="false">IF(G4488&lt;0,1,0)</f>
        <v>0</v>
      </c>
      <c r="N4488" s="2" t="str">
        <f aca="false">_xlfn.IFS(B4488&lt;30,"Under 30",B4488&lt;40,"30-39",B4488&lt;50,"40-49",B4488&lt;60,"50-59",TRUE(),"60+")</f>
        <v>30-39</v>
      </c>
      <c r="O4488" s="2" t="str">
        <f aca="false">_xlfn.IFS(G4488&lt;0,"1 Negative",G4488=0,"2 Zero",G4488&lt;=500,"3 1-500",G4488&lt;=2000,"4 501-2000",TRUE(),"5 Above 2000")</f>
        <v>3 1-500</v>
      </c>
      <c r="P4488" s="2" t="n">
        <f aca="false">Lookups!$B$2*M4488+Lookups!$B$3*L4488</f>
        <v>0</v>
      </c>
      <c r="Q4488" s="2" t="str">
        <f aca="false">INDEX(Lookups!$E$2:$E$5,MATCH(P4488,Lookups!$D$2:$D$5,0))</f>
        <v>Low</v>
      </c>
    </row>
    <row r="4489" customFormat="false" ht="15" hidden="false" customHeight="false" outlineLevel="0" collapsed="false">
      <c r="A4489" s="3" t="n">
        <v>4488</v>
      </c>
      <c r="B4489" s="3" t="n">
        <f aca="false">Raw_Data!A4489</f>
        <v>49</v>
      </c>
      <c r="C4489" s="3" t="str">
        <f aca="false">SUBSTITUTE(Raw_Data!B4489,".","")</f>
        <v>entrepreneur</v>
      </c>
      <c r="D4489" s="3" t="str">
        <f aca="false">Raw_Data!C4489</f>
        <v>divorced</v>
      </c>
      <c r="E4489" s="3" t="str">
        <f aca="false">Raw_Data!D4489</f>
        <v>secondary</v>
      </c>
      <c r="F4489" s="3" t="str">
        <f aca="false">Raw_Data!E4489</f>
        <v>no</v>
      </c>
      <c r="G4489" s="3" t="n">
        <f aca="false">Raw_Data!F4489</f>
        <v>32</v>
      </c>
      <c r="H4489" s="3" t="str">
        <f aca="false">Raw_Data!G4489</f>
        <v>no</v>
      </c>
      <c r="I4489" s="3" t="str">
        <f aca="false">Raw_Data!H4489</f>
        <v>no</v>
      </c>
      <c r="J4489" s="2" t="n">
        <f aca="false">IF(F4489="yes",1,0)</f>
        <v>0</v>
      </c>
      <c r="K4489" s="2" t="n">
        <f aca="false">IF(H4489="yes",1,0)</f>
        <v>0</v>
      </c>
      <c r="L4489" s="2" t="n">
        <f aca="false">IF(I4489="yes",1,0)</f>
        <v>0</v>
      </c>
      <c r="M4489" s="2" t="n">
        <f aca="false">IF(G4489&lt;0,1,0)</f>
        <v>0</v>
      </c>
      <c r="N4489" s="2" t="str">
        <f aca="false">_xlfn.IFS(B4489&lt;30,"Under 30",B4489&lt;40,"30-39",B4489&lt;50,"40-49",B4489&lt;60,"50-59",TRUE(),"60+")</f>
        <v>40-49</v>
      </c>
      <c r="O4489" s="2" t="str">
        <f aca="false">_xlfn.IFS(G4489&lt;0,"1 Negative",G4489=0,"2 Zero",G4489&lt;=500,"3 1-500",G4489&lt;=2000,"4 501-2000",TRUE(),"5 Above 2000")</f>
        <v>3 1-500</v>
      </c>
      <c r="P4489" s="2" t="n">
        <f aca="false">Lookups!$B$2*M4489+Lookups!$B$3*L4489</f>
        <v>0</v>
      </c>
      <c r="Q4489" s="2" t="str">
        <f aca="false">INDEX(Lookups!$E$2:$E$5,MATCH(P4489,Lookups!$D$2:$D$5,0))</f>
        <v>Low</v>
      </c>
    </row>
    <row r="4490" customFormat="false" ht="15" hidden="false" customHeight="false" outlineLevel="0" collapsed="false">
      <c r="A4490" s="3" t="n">
        <v>4489</v>
      </c>
      <c r="B4490" s="3" t="n">
        <f aca="false">Raw_Data!A4490</f>
        <v>31</v>
      </c>
      <c r="C4490" s="3" t="str">
        <f aca="false">SUBSTITUTE(Raw_Data!B4490,".","")</f>
        <v>unemployed</v>
      </c>
      <c r="D4490" s="3" t="str">
        <f aca="false">Raw_Data!C4490</f>
        <v>single</v>
      </c>
      <c r="E4490" s="3" t="str">
        <f aca="false">Raw_Data!D4490</f>
        <v>secondary</v>
      </c>
      <c r="F4490" s="3" t="str">
        <f aca="false">Raw_Data!E4490</f>
        <v>no</v>
      </c>
      <c r="G4490" s="3" t="n">
        <f aca="false">Raw_Data!F4490</f>
        <v>315</v>
      </c>
      <c r="H4490" s="3" t="str">
        <f aca="false">Raw_Data!G4490</f>
        <v>no</v>
      </c>
      <c r="I4490" s="3" t="str">
        <f aca="false">Raw_Data!H4490</f>
        <v>no</v>
      </c>
      <c r="J4490" s="2" t="n">
        <f aca="false">IF(F4490="yes",1,0)</f>
        <v>0</v>
      </c>
      <c r="K4490" s="2" t="n">
        <f aca="false">IF(H4490="yes",1,0)</f>
        <v>0</v>
      </c>
      <c r="L4490" s="2" t="n">
        <f aca="false">IF(I4490="yes",1,0)</f>
        <v>0</v>
      </c>
      <c r="M4490" s="2" t="n">
        <f aca="false">IF(G4490&lt;0,1,0)</f>
        <v>0</v>
      </c>
      <c r="N4490" s="2" t="str">
        <f aca="false">_xlfn.IFS(B4490&lt;30,"Under 30",B4490&lt;40,"30-39",B4490&lt;50,"40-49",B4490&lt;60,"50-59",TRUE(),"60+")</f>
        <v>30-39</v>
      </c>
      <c r="O4490" s="2" t="str">
        <f aca="false">_xlfn.IFS(G4490&lt;0,"1 Negative",G4490=0,"2 Zero",G4490&lt;=500,"3 1-500",G4490&lt;=2000,"4 501-2000",TRUE(),"5 Above 2000")</f>
        <v>3 1-500</v>
      </c>
      <c r="P4490" s="2" t="n">
        <f aca="false">Lookups!$B$2*M4490+Lookups!$B$3*L4490</f>
        <v>0</v>
      </c>
      <c r="Q4490" s="2" t="str">
        <f aca="false">INDEX(Lookups!$E$2:$E$5,MATCH(P4490,Lookups!$D$2:$D$5,0))</f>
        <v>Low</v>
      </c>
    </row>
    <row r="4491" customFormat="false" ht="15" hidden="false" customHeight="false" outlineLevel="0" collapsed="false">
      <c r="A4491" s="3" t="n">
        <v>4490</v>
      </c>
      <c r="B4491" s="3" t="n">
        <f aca="false">Raw_Data!A4491</f>
        <v>45</v>
      </c>
      <c r="C4491" s="3" t="str">
        <f aca="false">SUBSTITUTE(Raw_Data!B4491,".","")</f>
        <v>management</v>
      </c>
      <c r="D4491" s="3" t="str">
        <f aca="false">Raw_Data!C4491</f>
        <v>married</v>
      </c>
      <c r="E4491" s="3" t="str">
        <f aca="false">Raw_Data!D4491</f>
        <v>tertiary</v>
      </c>
      <c r="F4491" s="3" t="str">
        <f aca="false">Raw_Data!E4491</f>
        <v>no</v>
      </c>
      <c r="G4491" s="3" t="n">
        <f aca="false">Raw_Data!F4491</f>
        <v>6945</v>
      </c>
      <c r="H4491" s="3" t="str">
        <f aca="false">Raw_Data!G4491</f>
        <v>no</v>
      </c>
      <c r="I4491" s="3" t="str">
        <f aca="false">Raw_Data!H4491</f>
        <v>no</v>
      </c>
      <c r="J4491" s="2" t="n">
        <f aca="false">IF(F4491="yes",1,0)</f>
        <v>0</v>
      </c>
      <c r="K4491" s="2" t="n">
        <f aca="false">IF(H4491="yes",1,0)</f>
        <v>0</v>
      </c>
      <c r="L4491" s="2" t="n">
        <f aca="false">IF(I4491="yes",1,0)</f>
        <v>0</v>
      </c>
      <c r="M4491" s="2" t="n">
        <f aca="false">IF(G4491&lt;0,1,0)</f>
        <v>0</v>
      </c>
      <c r="N4491" s="2" t="str">
        <f aca="false">_xlfn.IFS(B4491&lt;30,"Under 30",B4491&lt;40,"30-39",B4491&lt;50,"40-49",B4491&lt;60,"50-59",TRUE(),"60+")</f>
        <v>40-49</v>
      </c>
      <c r="O4491" s="2" t="str">
        <f aca="false">_xlfn.IFS(G4491&lt;0,"1 Negative",G4491=0,"2 Zero",G4491&lt;=500,"3 1-500",G4491&lt;=2000,"4 501-2000",TRUE(),"5 Above 2000")</f>
        <v>5 Above 2000</v>
      </c>
      <c r="P4491" s="2" t="n">
        <f aca="false">Lookups!$B$2*M4491+Lookups!$B$3*L4491</f>
        <v>0</v>
      </c>
      <c r="Q4491" s="2" t="str">
        <f aca="false">INDEX(Lookups!$E$2:$E$5,MATCH(P4491,Lookups!$D$2:$D$5,0))</f>
        <v>Low</v>
      </c>
    </row>
    <row r="4492" customFormat="false" ht="15" hidden="false" customHeight="false" outlineLevel="0" collapsed="false">
      <c r="A4492" s="3" t="n">
        <v>4491</v>
      </c>
      <c r="B4492" s="3" t="n">
        <f aca="false">Raw_Data!A4492</f>
        <v>58</v>
      </c>
      <c r="C4492" s="3" t="str">
        <f aca="false">SUBSTITUTE(Raw_Data!B4492,".","")</f>
        <v>admin</v>
      </c>
      <c r="D4492" s="3" t="str">
        <f aca="false">Raw_Data!C4492</f>
        <v>married</v>
      </c>
      <c r="E4492" s="3" t="str">
        <f aca="false">Raw_Data!D4492</f>
        <v>secondary</v>
      </c>
      <c r="F4492" s="3" t="str">
        <f aca="false">Raw_Data!E4492</f>
        <v>no</v>
      </c>
      <c r="G4492" s="3" t="n">
        <f aca="false">Raw_Data!F4492</f>
        <v>3496</v>
      </c>
      <c r="H4492" s="3" t="str">
        <f aca="false">Raw_Data!G4492</f>
        <v>yes</v>
      </c>
      <c r="I4492" s="3" t="str">
        <f aca="false">Raw_Data!H4492</f>
        <v>no</v>
      </c>
      <c r="J4492" s="2" t="n">
        <f aca="false">IF(F4492="yes",1,0)</f>
        <v>0</v>
      </c>
      <c r="K4492" s="2" t="n">
        <f aca="false">IF(H4492="yes",1,0)</f>
        <v>1</v>
      </c>
      <c r="L4492" s="2" t="n">
        <f aca="false">IF(I4492="yes",1,0)</f>
        <v>0</v>
      </c>
      <c r="M4492" s="2" t="n">
        <f aca="false">IF(G4492&lt;0,1,0)</f>
        <v>0</v>
      </c>
      <c r="N4492" s="2" t="str">
        <f aca="false">_xlfn.IFS(B4492&lt;30,"Under 30",B4492&lt;40,"30-39",B4492&lt;50,"40-49",B4492&lt;60,"50-59",TRUE(),"60+")</f>
        <v>50-59</v>
      </c>
      <c r="O4492" s="2" t="str">
        <f aca="false">_xlfn.IFS(G4492&lt;0,"1 Negative",G4492=0,"2 Zero",G4492&lt;=500,"3 1-500",G4492&lt;=2000,"4 501-2000",TRUE(),"5 Above 2000")</f>
        <v>5 Above 2000</v>
      </c>
      <c r="P4492" s="2" t="n">
        <f aca="false">Lookups!$B$2*M4492+Lookups!$B$3*L4492</f>
        <v>0</v>
      </c>
      <c r="Q4492" s="2" t="str">
        <f aca="false">INDEX(Lookups!$E$2:$E$5,MATCH(P4492,Lookups!$D$2:$D$5,0))</f>
        <v>Low</v>
      </c>
    </row>
    <row r="4493" customFormat="false" ht="15" hidden="false" customHeight="false" outlineLevel="0" collapsed="false">
      <c r="A4493" s="3" t="n">
        <v>4492</v>
      </c>
      <c r="B4493" s="3" t="n">
        <f aca="false">Raw_Data!A4493</f>
        <v>35</v>
      </c>
      <c r="C4493" s="3" t="str">
        <f aca="false">SUBSTITUTE(Raw_Data!B4493,".","")</f>
        <v>blue-collar</v>
      </c>
      <c r="D4493" s="3" t="str">
        <f aca="false">Raw_Data!C4493</f>
        <v>single</v>
      </c>
      <c r="E4493" s="3" t="str">
        <f aca="false">Raw_Data!D4493</f>
        <v>secondary</v>
      </c>
      <c r="F4493" s="3" t="str">
        <f aca="false">Raw_Data!E4493</f>
        <v>no</v>
      </c>
      <c r="G4493" s="3" t="n">
        <f aca="false">Raw_Data!F4493</f>
        <v>0</v>
      </c>
      <c r="H4493" s="3" t="str">
        <f aca="false">Raw_Data!G4493</f>
        <v>yes</v>
      </c>
      <c r="I4493" s="3" t="str">
        <f aca="false">Raw_Data!H4493</f>
        <v>no</v>
      </c>
      <c r="J4493" s="2" t="n">
        <f aca="false">IF(F4493="yes",1,0)</f>
        <v>0</v>
      </c>
      <c r="K4493" s="2" t="n">
        <f aca="false">IF(H4493="yes",1,0)</f>
        <v>1</v>
      </c>
      <c r="L4493" s="2" t="n">
        <f aca="false">IF(I4493="yes",1,0)</f>
        <v>0</v>
      </c>
      <c r="M4493" s="2" t="n">
        <f aca="false">IF(G4493&lt;0,1,0)</f>
        <v>0</v>
      </c>
      <c r="N4493" s="2" t="str">
        <f aca="false">_xlfn.IFS(B4493&lt;30,"Under 30",B4493&lt;40,"30-39",B4493&lt;50,"40-49",B4493&lt;60,"50-59",TRUE(),"60+")</f>
        <v>30-39</v>
      </c>
      <c r="O4493" s="2" t="str">
        <f aca="false">_xlfn.IFS(G4493&lt;0,"1 Negative",G4493=0,"2 Zero",G4493&lt;=500,"3 1-500",G4493&lt;=2000,"4 501-2000",TRUE(),"5 Above 2000")</f>
        <v>2 Zero</v>
      </c>
      <c r="P4493" s="2" t="n">
        <f aca="false">Lookups!$B$2*M4493+Lookups!$B$3*L4493</f>
        <v>0</v>
      </c>
      <c r="Q4493" s="2" t="str">
        <f aca="false">INDEX(Lookups!$E$2:$E$5,MATCH(P4493,Lookups!$D$2:$D$5,0))</f>
        <v>Low</v>
      </c>
    </row>
    <row r="4494" customFormat="false" ht="15" hidden="false" customHeight="false" outlineLevel="0" collapsed="false">
      <c r="A4494" s="3" t="n">
        <v>4493</v>
      </c>
      <c r="B4494" s="3" t="n">
        <f aca="false">Raw_Data!A4494</f>
        <v>32</v>
      </c>
      <c r="C4494" s="3" t="str">
        <f aca="false">SUBSTITUTE(Raw_Data!B4494,".","")</f>
        <v>technician</v>
      </c>
      <c r="D4494" s="3" t="str">
        <f aca="false">Raw_Data!C4494</f>
        <v>single</v>
      </c>
      <c r="E4494" s="3" t="str">
        <f aca="false">Raw_Data!D4494</f>
        <v>secondary</v>
      </c>
      <c r="F4494" s="3" t="str">
        <f aca="false">Raw_Data!E4494</f>
        <v>no</v>
      </c>
      <c r="G4494" s="3" t="n">
        <f aca="false">Raw_Data!F4494</f>
        <v>309</v>
      </c>
      <c r="H4494" s="3" t="str">
        <f aca="false">Raw_Data!G4494</f>
        <v>yes</v>
      </c>
      <c r="I4494" s="3" t="str">
        <f aca="false">Raw_Data!H4494</f>
        <v>yes</v>
      </c>
      <c r="J4494" s="2" t="n">
        <f aca="false">IF(F4494="yes",1,0)</f>
        <v>0</v>
      </c>
      <c r="K4494" s="2" t="n">
        <f aca="false">IF(H4494="yes",1,0)</f>
        <v>1</v>
      </c>
      <c r="L4494" s="2" t="n">
        <f aca="false">IF(I4494="yes",1,0)</f>
        <v>1</v>
      </c>
      <c r="M4494" s="2" t="n">
        <f aca="false">IF(G4494&lt;0,1,0)</f>
        <v>0</v>
      </c>
      <c r="N4494" s="2" t="str">
        <f aca="false">_xlfn.IFS(B4494&lt;30,"Under 30",B4494&lt;40,"30-39",B4494&lt;50,"40-49",B4494&lt;60,"50-59",TRUE(),"60+")</f>
        <v>30-39</v>
      </c>
      <c r="O4494" s="2" t="str">
        <f aca="false">_xlfn.IFS(G4494&lt;0,"1 Negative",G4494=0,"2 Zero",G4494&lt;=500,"3 1-500",G4494&lt;=2000,"4 501-2000",TRUE(),"5 Above 2000")</f>
        <v>3 1-500</v>
      </c>
      <c r="P4494" s="2" t="n">
        <f aca="false">Lookups!$B$2*M4494+Lookups!$B$3*L4494</f>
        <v>1</v>
      </c>
      <c r="Q4494" s="2" t="str">
        <f aca="false">INDEX(Lookups!$E$2:$E$5,MATCH(P4494,Lookups!$D$2:$D$5,0))</f>
        <v>Medium</v>
      </c>
    </row>
    <row r="4495" customFormat="false" ht="15" hidden="false" customHeight="false" outlineLevel="0" collapsed="false">
      <c r="A4495" s="3" t="n">
        <v>4494</v>
      </c>
      <c r="B4495" s="3" t="n">
        <f aca="false">Raw_Data!A4495</f>
        <v>28</v>
      </c>
      <c r="C4495" s="3" t="str">
        <f aca="false">SUBSTITUTE(Raw_Data!B4495,".","")</f>
        <v>technician</v>
      </c>
      <c r="D4495" s="3" t="str">
        <f aca="false">Raw_Data!C4495</f>
        <v>single</v>
      </c>
      <c r="E4495" s="3" t="str">
        <f aca="false">Raw_Data!D4495</f>
        <v>tertiary</v>
      </c>
      <c r="F4495" s="3" t="str">
        <f aca="false">Raw_Data!E4495</f>
        <v>no</v>
      </c>
      <c r="G4495" s="3" t="n">
        <f aca="false">Raw_Data!F4495</f>
        <v>0</v>
      </c>
      <c r="H4495" s="3" t="str">
        <f aca="false">Raw_Data!G4495</f>
        <v>yes</v>
      </c>
      <c r="I4495" s="3" t="str">
        <f aca="false">Raw_Data!H4495</f>
        <v>no</v>
      </c>
      <c r="J4495" s="2" t="n">
        <f aca="false">IF(F4495="yes",1,0)</f>
        <v>0</v>
      </c>
      <c r="K4495" s="2" t="n">
        <f aca="false">IF(H4495="yes",1,0)</f>
        <v>1</v>
      </c>
      <c r="L4495" s="2" t="n">
        <f aca="false">IF(I4495="yes",1,0)</f>
        <v>0</v>
      </c>
      <c r="M4495" s="2" t="n">
        <f aca="false">IF(G4495&lt;0,1,0)</f>
        <v>0</v>
      </c>
      <c r="N4495" s="2" t="str">
        <f aca="false">_xlfn.IFS(B4495&lt;30,"Under 30",B4495&lt;40,"30-39",B4495&lt;50,"40-49",B4495&lt;60,"50-59",TRUE(),"60+")</f>
        <v>Under 30</v>
      </c>
      <c r="O4495" s="2" t="str">
        <f aca="false">_xlfn.IFS(G4495&lt;0,"1 Negative",G4495=0,"2 Zero",G4495&lt;=500,"3 1-500",G4495&lt;=2000,"4 501-2000",TRUE(),"5 Above 2000")</f>
        <v>2 Zero</v>
      </c>
      <c r="P4495" s="2" t="n">
        <f aca="false">Lookups!$B$2*M4495+Lookups!$B$3*L4495</f>
        <v>0</v>
      </c>
      <c r="Q4495" s="2" t="str">
        <f aca="false">INDEX(Lookups!$E$2:$E$5,MATCH(P4495,Lookups!$D$2:$D$5,0))</f>
        <v>Low</v>
      </c>
    </row>
    <row r="4496" customFormat="false" ht="15" hidden="false" customHeight="false" outlineLevel="0" collapsed="false">
      <c r="A4496" s="3" t="n">
        <v>4495</v>
      </c>
      <c r="B4496" s="3" t="n">
        <f aca="false">Raw_Data!A4496</f>
        <v>26</v>
      </c>
      <c r="C4496" s="3" t="str">
        <f aca="false">SUBSTITUTE(Raw_Data!B4496,".","")</f>
        <v>technician</v>
      </c>
      <c r="D4496" s="3" t="str">
        <f aca="false">Raw_Data!C4496</f>
        <v>single</v>
      </c>
      <c r="E4496" s="3" t="str">
        <f aca="false">Raw_Data!D4496</f>
        <v>secondary</v>
      </c>
      <c r="F4496" s="3" t="str">
        <f aca="false">Raw_Data!E4496</f>
        <v>no</v>
      </c>
      <c r="G4496" s="3" t="n">
        <f aca="false">Raw_Data!F4496</f>
        <v>668</v>
      </c>
      <c r="H4496" s="3" t="str">
        <f aca="false">Raw_Data!G4496</f>
        <v>yes</v>
      </c>
      <c r="I4496" s="3" t="str">
        <f aca="false">Raw_Data!H4496</f>
        <v>no</v>
      </c>
      <c r="J4496" s="2" t="n">
        <f aca="false">IF(F4496="yes",1,0)</f>
        <v>0</v>
      </c>
      <c r="K4496" s="2" t="n">
        <f aca="false">IF(H4496="yes",1,0)</f>
        <v>1</v>
      </c>
      <c r="L4496" s="2" t="n">
        <f aca="false">IF(I4496="yes",1,0)</f>
        <v>0</v>
      </c>
      <c r="M4496" s="2" t="n">
        <f aca="false">IF(G4496&lt;0,1,0)</f>
        <v>0</v>
      </c>
      <c r="N4496" s="2" t="str">
        <f aca="false">_xlfn.IFS(B4496&lt;30,"Under 30",B4496&lt;40,"30-39",B4496&lt;50,"40-49",B4496&lt;60,"50-59",TRUE(),"60+")</f>
        <v>Under 30</v>
      </c>
      <c r="O4496" s="2" t="str">
        <f aca="false">_xlfn.IFS(G4496&lt;0,"1 Negative",G4496=0,"2 Zero",G4496&lt;=500,"3 1-500",G4496&lt;=2000,"4 501-2000",TRUE(),"5 Above 2000")</f>
        <v>4 501-2000</v>
      </c>
      <c r="P4496" s="2" t="n">
        <f aca="false">Lookups!$B$2*M4496+Lookups!$B$3*L4496</f>
        <v>0</v>
      </c>
      <c r="Q4496" s="2" t="str">
        <f aca="false">INDEX(Lookups!$E$2:$E$5,MATCH(P4496,Lookups!$D$2:$D$5,0))</f>
        <v>Low</v>
      </c>
    </row>
    <row r="4497" customFormat="false" ht="15" hidden="false" customHeight="false" outlineLevel="0" collapsed="false">
      <c r="A4497" s="3" t="n">
        <v>4496</v>
      </c>
      <c r="B4497" s="3" t="n">
        <f aca="false">Raw_Data!A4497</f>
        <v>48</v>
      </c>
      <c r="C4497" s="3" t="str">
        <f aca="false">SUBSTITUTE(Raw_Data!B4497,".","")</f>
        <v>management</v>
      </c>
      <c r="D4497" s="3" t="str">
        <f aca="false">Raw_Data!C4497</f>
        <v>married</v>
      </c>
      <c r="E4497" s="3" t="str">
        <f aca="false">Raw_Data!D4497</f>
        <v>tertiary</v>
      </c>
      <c r="F4497" s="3" t="str">
        <f aca="false">Raw_Data!E4497</f>
        <v>no</v>
      </c>
      <c r="G4497" s="3" t="n">
        <f aca="false">Raw_Data!F4497</f>
        <v>1175</v>
      </c>
      <c r="H4497" s="3" t="str">
        <f aca="false">Raw_Data!G4497</f>
        <v>yes</v>
      </c>
      <c r="I4497" s="3" t="str">
        <f aca="false">Raw_Data!H4497</f>
        <v>no</v>
      </c>
      <c r="J4497" s="2" t="n">
        <f aca="false">IF(F4497="yes",1,0)</f>
        <v>0</v>
      </c>
      <c r="K4497" s="2" t="n">
        <f aca="false">IF(H4497="yes",1,0)</f>
        <v>1</v>
      </c>
      <c r="L4497" s="2" t="n">
        <f aca="false">IF(I4497="yes",1,0)</f>
        <v>0</v>
      </c>
      <c r="M4497" s="2" t="n">
        <f aca="false">IF(G4497&lt;0,1,0)</f>
        <v>0</v>
      </c>
      <c r="N4497" s="2" t="str">
        <f aca="false">_xlfn.IFS(B4497&lt;30,"Under 30",B4497&lt;40,"30-39",B4497&lt;50,"40-49",B4497&lt;60,"50-59",TRUE(),"60+")</f>
        <v>40-49</v>
      </c>
      <c r="O4497" s="2" t="str">
        <f aca="false">_xlfn.IFS(G4497&lt;0,"1 Negative",G4497=0,"2 Zero",G4497&lt;=500,"3 1-500",G4497&lt;=2000,"4 501-2000",TRUE(),"5 Above 2000")</f>
        <v>4 501-2000</v>
      </c>
      <c r="P4497" s="2" t="n">
        <f aca="false">Lookups!$B$2*M4497+Lookups!$B$3*L4497</f>
        <v>0</v>
      </c>
      <c r="Q4497" s="2" t="str">
        <f aca="false">INDEX(Lookups!$E$2:$E$5,MATCH(P4497,Lookups!$D$2:$D$5,0))</f>
        <v>Low</v>
      </c>
    </row>
    <row r="4498" customFormat="false" ht="15" hidden="false" customHeight="false" outlineLevel="0" collapsed="false">
      <c r="A4498" s="3" t="n">
        <v>4497</v>
      </c>
      <c r="B4498" s="3" t="n">
        <f aca="false">Raw_Data!A4498</f>
        <v>30</v>
      </c>
      <c r="C4498" s="3" t="str">
        <f aca="false">SUBSTITUTE(Raw_Data!B4498,".","")</f>
        <v>blue-collar</v>
      </c>
      <c r="D4498" s="3" t="str">
        <f aca="false">Raw_Data!C4498</f>
        <v>single</v>
      </c>
      <c r="E4498" s="3" t="str">
        <f aca="false">Raw_Data!D4498</f>
        <v>secondary</v>
      </c>
      <c r="F4498" s="3" t="str">
        <f aca="false">Raw_Data!E4498</f>
        <v>no</v>
      </c>
      <c r="G4498" s="3" t="n">
        <f aca="false">Raw_Data!F4498</f>
        <v>363</v>
      </c>
      <c r="H4498" s="3" t="str">
        <f aca="false">Raw_Data!G4498</f>
        <v>no</v>
      </c>
      <c r="I4498" s="3" t="str">
        <f aca="false">Raw_Data!H4498</f>
        <v>no</v>
      </c>
      <c r="J4498" s="2" t="n">
        <f aca="false">IF(F4498="yes",1,0)</f>
        <v>0</v>
      </c>
      <c r="K4498" s="2" t="n">
        <f aca="false">IF(H4498="yes",1,0)</f>
        <v>0</v>
      </c>
      <c r="L4498" s="2" t="n">
        <f aca="false">IF(I4498="yes",1,0)</f>
        <v>0</v>
      </c>
      <c r="M4498" s="2" t="n">
        <f aca="false">IF(G4498&lt;0,1,0)</f>
        <v>0</v>
      </c>
      <c r="N4498" s="2" t="str">
        <f aca="false">_xlfn.IFS(B4498&lt;30,"Under 30",B4498&lt;40,"30-39",B4498&lt;50,"40-49",B4498&lt;60,"50-59",TRUE(),"60+")</f>
        <v>30-39</v>
      </c>
      <c r="O4498" s="2" t="str">
        <f aca="false">_xlfn.IFS(G4498&lt;0,"1 Negative",G4498=0,"2 Zero",G4498&lt;=500,"3 1-500",G4498&lt;=2000,"4 501-2000",TRUE(),"5 Above 2000")</f>
        <v>3 1-500</v>
      </c>
      <c r="P4498" s="2" t="n">
        <f aca="false">Lookups!$B$2*M4498+Lookups!$B$3*L4498</f>
        <v>0</v>
      </c>
      <c r="Q4498" s="2" t="str">
        <f aca="false">INDEX(Lookups!$E$2:$E$5,MATCH(P4498,Lookups!$D$2:$D$5,0))</f>
        <v>Low</v>
      </c>
    </row>
    <row r="4499" customFormat="false" ht="15" hidden="false" customHeight="false" outlineLevel="0" collapsed="false">
      <c r="A4499" s="3" t="n">
        <v>4498</v>
      </c>
      <c r="B4499" s="3" t="n">
        <f aca="false">Raw_Data!A4499</f>
        <v>31</v>
      </c>
      <c r="C4499" s="3" t="str">
        <f aca="false">SUBSTITUTE(Raw_Data!B4499,".","")</f>
        <v>entrepreneur</v>
      </c>
      <c r="D4499" s="3" t="str">
        <f aca="false">Raw_Data!C4499</f>
        <v>single</v>
      </c>
      <c r="E4499" s="3" t="str">
        <f aca="false">Raw_Data!D4499</f>
        <v>tertiary</v>
      </c>
      <c r="F4499" s="3" t="str">
        <f aca="false">Raw_Data!E4499</f>
        <v>no</v>
      </c>
      <c r="G4499" s="3" t="n">
        <f aca="false">Raw_Data!F4499</f>
        <v>38</v>
      </c>
      <c r="H4499" s="3" t="str">
        <f aca="false">Raw_Data!G4499</f>
        <v>no</v>
      </c>
      <c r="I4499" s="3" t="str">
        <f aca="false">Raw_Data!H4499</f>
        <v>no</v>
      </c>
      <c r="J4499" s="2" t="n">
        <f aca="false">IF(F4499="yes",1,0)</f>
        <v>0</v>
      </c>
      <c r="K4499" s="2" t="n">
        <f aca="false">IF(H4499="yes",1,0)</f>
        <v>0</v>
      </c>
      <c r="L4499" s="2" t="n">
        <f aca="false">IF(I4499="yes",1,0)</f>
        <v>0</v>
      </c>
      <c r="M4499" s="2" t="n">
        <f aca="false">IF(G4499&lt;0,1,0)</f>
        <v>0</v>
      </c>
      <c r="N4499" s="2" t="str">
        <f aca="false">_xlfn.IFS(B4499&lt;30,"Under 30",B4499&lt;40,"30-39",B4499&lt;50,"40-49",B4499&lt;60,"50-59",TRUE(),"60+")</f>
        <v>30-39</v>
      </c>
      <c r="O4499" s="2" t="str">
        <f aca="false">_xlfn.IFS(G4499&lt;0,"1 Negative",G4499=0,"2 Zero",G4499&lt;=500,"3 1-500",G4499&lt;=2000,"4 501-2000",TRUE(),"5 Above 2000")</f>
        <v>3 1-500</v>
      </c>
      <c r="P4499" s="2" t="n">
        <f aca="false">Lookups!$B$2*M4499+Lookups!$B$3*L4499</f>
        <v>0</v>
      </c>
      <c r="Q4499" s="2" t="str">
        <f aca="false">INDEX(Lookups!$E$2:$E$5,MATCH(P4499,Lookups!$D$2:$D$5,0))</f>
        <v>Low</v>
      </c>
    </row>
    <row r="4500" customFormat="false" ht="15" hidden="false" customHeight="false" outlineLevel="0" collapsed="false">
      <c r="A4500" s="3" t="n">
        <v>4499</v>
      </c>
      <c r="B4500" s="3" t="n">
        <f aca="false">Raw_Data!A4500</f>
        <v>31</v>
      </c>
      <c r="C4500" s="3" t="str">
        <f aca="false">SUBSTITUTE(Raw_Data!B4500,".","")</f>
        <v>management</v>
      </c>
      <c r="D4500" s="3" t="str">
        <f aca="false">Raw_Data!C4500</f>
        <v>married</v>
      </c>
      <c r="E4500" s="3" t="str">
        <f aca="false">Raw_Data!D4500</f>
        <v>tertiary</v>
      </c>
      <c r="F4500" s="3" t="str">
        <f aca="false">Raw_Data!E4500</f>
        <v>no</v>
      </c>
      <c r="G4500" s="3" t="n">
        <f aca="false">Raw_Data!F4500</f>
        <v>1183</v>
      </c>
      <c r="H4500" s="3" t="str">
        <f aca="false">Raw_Data!G4500</f>
        <v>yes</v>
      </c>
      <c r="I4500" s="3" t="str">
        <f aca="false">Raw_Data!H4500</f>
        <v>no</v>
      </c>
      <c r="J4500" s="2" t="n">
        <f aca="false">IF(F4500="yes",1,0)</f>
        <v>0</v>
      </c>
      <c r="K4500" s="2" t="n">
        <f aca="false">IF(H4500="yes",1,0)</f>
        <v>1</v>
      </c>
      <c r="L4500" s="2" t="n">
        <f aca="false">IF(I4500="yes",1,0)</f>
        <v>0</v>
      </c>
      <c r="M4500" s="2" t="n">
        <f aca="false">IF(G4500&lt;0,1,0)</f>
        <v>0</v>
      </c>
      <c r="N4500" s="2" t="str">
        <f aca="false">_xlfn.IFS(B4500&lt;30,"Under 30",B4500&lt;40,"30-39",B4500&lt;50,"40-49",B4500&lt;60,"50-59",TRUE(),"60+")</f>
        <v>30-39</v>
      </c>
      <c r="O4500" s="2" t="str">
        <f aca="false">_xlfn.IFS(G4500&lt;0,"1 Negative",G4500=0,"2 Zero",G4500&lt;=500,"3 1-500",G4500&lt;=2000,"4 501-2000",TRUE(),"5 Above 2000")</f>
        <v>4 501-2000</v>
      </c>
      <c r="P4500" s="2" t="n">
        <f aca="false">Lookups!$B$2*M4500+Lookups!$B$3*L4500</f>
        <v>0</v>
      </c>
      <c r="Q4500" s="2" t="str">
        <f aca="false">INDEX(Lookups!$E$2:$E$5,MATCH(P4500,Lookups!$D$2:$D$5,0))</f>
        <v>Low</v>
      </c>
    </row>
    <row r="4501" customFormat="false" ht="15" hidden="false" customHeight="false" outlineLevel="0" collapsed="false">
      <c r="A4501" s="3" t="n">
        <v>4500</v>
      </c>
      <c r="B4501" s="3" t="n">
        <f aca="false">Raw_Data!A4501</f>
        <v>45</v>
      </c>
      <c r="C4501" s="3" t="str">
        <f aca="false">SUBSTITUTE(Raw_Data!B4501,".","")</f>
        <v>blue-collar</v>
      </c>
      <c r="D4501" s="3" t="str">
        <f aca="false">Raw_Data!C4501</f>
        <v>divorced</v>
      </c>
      <c r="E4501" s="3" t="str">
        <f aca="false">Raw_Data!D4501</f>
        <v>primary</v>
      </c>
      <c r="F4501" s="3" t="str">
        <f aca="false">Raw_Data!E4501</f>
        <v>no</v>
      </c>
      <c r="G4501" s="3" t="n">
        <f aca="false">Raw_Data!F4501</f>
        <v>942</v>
      </c>
      <c r="H4501" s="3" t="str">
        <f aca="false">Raw_Data!G4501</f>
        <v>no</v>
      </c>
      <c r="I4501" s="3" t="str">
        <f aca="false">Raw_Data!H4501</f>
        <v>no</v>
      </c>
      <c r="J4501" s="2" t="n">
        <f aca="false">IF(F4501="yes",1,0)</f>
        <v>0</v>
      </c>
      <c r="K4501" s="2" t="n">
        <f aca="false">IF(H4501="yes",1,0)</f>
        <v>0</v>
      </c>
      <c r="L4501" s="2" t="n">
        <f aca="false">IF(I4501="yes",1,0)</f>
        <v>0</v>
      </c>
      <c r="M4501" s="2" t="n">
        <f aca="false">IF(G4501&lt;0,1,0)</f>
        <v>0</v>
      </c>
      <c r="N4501" s="2" t="str">
        <f aca="false">_xlfn.IFS(B4501&lt;30,"Under 30",B4501&lt;40,"30-39",B4501&lt;50,"40-49",B4501&lt;60,"50-59",TRUE(),"60+")</f>
        <v>40-49</v>
      </c>
      <c r="O4501" s="2" t="str">
        <f aca="false">_xlfn.IFS(G4501&lt;0,"1 Negative",G4501=0,"2 Zero",G4501&lt;=500,"3 1-500",G4501&lt;=2000,"4 501-2000",TRUE(),"5 Above 2000")</f>
        <v>4 501-2000</v>
      </c>
      <c r="P4501" s="2" t="n">
        <f aca="false">Lookups!$B$2*M4501+Lookups!$B$3*L4501</f>
        <v>0</v>
      </c>
      <c r="Q4501" s="2" t="str">
        <f aca="false">INDEX(Lookups!$E$2:$E$5,MATCH(P4501,Lookups!$D$2:$D$5,0))</f>
        <v>Low</v>
      </c>
    </row>
    <row r="4502" customFormat="false" ht="15" hidden="false" customHeight="false" outlineLevel="0" collapsed="false">
      <c r="A4502" s="3" t="n">
        <v>4501</v>
      </c>
      <c r="B4502" s="3" t="n">
        <f aca="false">Raw_Data!A4502</f>
        <v>38</v>
      </c>
      <c r="C4502" s="3" t="str">
        <f aca="false">SUBSTITUTE(Raw_Data!B4502,".","")</f>
        <v>admin</v>
      </c>
      <c r="D4502" s="3" t="str">
        <f aca="false">Raw_Data!C4502</f>
        <v>married</v>
      </c>
      <c r="E4502" s="3" t="str">
        <f aca="false">Raw_Data!D4502</f>
        <v>secondary</v>
      </c>
      <c r="F4502" s="3" t="str">
        <f aca="false">Raw_Data!E4502</f>
        <v>no</v>
      </c>
      <c r="G4502" s="3" t="n">
        <f aca="false">Raw_Data!F4502</f>
        <v>4196</v>
      </c>
      <c r="H4502" s="3" t="str">
        <f aca="false">Raw_Data!G4502</f>
        <v>yes</v>
      </c>
      <c r="I4502" s="3" t="str">
        <f aca="false">Raw_Data!H4502</f>
        <v>no</v>
      </c>
      <c r="J4502" s="2" t="n">
        <f aca="false">IF(F4502="yes",1,0)</f>
        <v>0</v>
      </c>
      <c r="K4502" s="2" t="n">
        <f aca="false">IF(H4502="yes",1,0)</f>
        <v>1</v>
      </c>
      <c r="L4502" s="2" t="n">
        <f aca="false">IF(I4502="yes",1,0)</f>
        <v>0</v>
      </c>
      <c r="M4502" s="2" t="n">
        <f aca="false">IF(G4502&lt;0,1,0)</f>
        <v>0</v>
      </c>
      <c r="N4502" s="2" t="str">
        <f aca="false">_xlfn.IFS(B4502&lt;30,"Under 30",B4502&lt;40,"30-39",B4502&lt;50,"40-49",B4502&lt;60,"50-59",TRUE(),"60+")</f>
        <v>30-39</v>
      </c>
      <c r="O4502" s="2" t="str">
        <f aca="false">_xlfn.IFS(G4502&lt;0,"1 Negative",G4502=0,"2 Zero",G4502&lt;=500,"3 1-500",G4502&lt;=2000,"4 501-2000",TRUE(),"5 Above 2000")</f>
        <v>5 Above 2000</v>
      </c>
      <c r="P4502" s="2" t="n">
        <f aca="false">Lookups!$B$2*M4502+Lookups!$B$3*L4502</f>
        <v>0</v>
      </c>
      <c r="Q4502" s="2" t="str">
        <f aca="false">INDEX(Lookups!$E$2:$E$5,MATCH(P4502,Lookups!$D$2:$D$5,0))</f>
        <v>Low</v>
      </c>
    </row>
    <row r="4503" customFormat="false" ht="15" hidden="false" customHeight="false" outlineLevel="0" collapsed="false">
      <c r="A4503" s="3" t="n">
        <v>4502</v>
      </c>
      <c r="B4503" s="3" t="n">
        <f aca="false">Raw_Data!A4503</f>
        <v>34</v>
      </c>
      <c r="C4503" s="3" t="str">
        <f aca="false">SUBSTITUTE(Raw_Data!B4503,".","")</f>
        <v>management</v>
      </c>
      <c r="D4503" s="3" t="str">
        <f aca="false">Raw_Data!C4503</f>
        <v>married</v>
      </c>
      <c r="E4503" s="3" t="str">
        <f aca="false">Raw_Data!D4503</f>
        <v>tertiary</v>
      </c>
      <c r="F4503" s="3" t="str">
        <f aca="false">Raw_Data!E4503</f>
        <v>no</v>
      </c>
      <c r="G4503" s="3" t="n">
        <f aca="false">Raw_Data!F4503</f>
        <v>297</v>
      </c>
      <c r="H4503" s="3" t="str">
        <f aca="false">Raw_Data!G4503</f>
        <v>yes</v>
      </c>
      <c r="I4503" s="3" t="str">
        <f aca="false">Raw_Data!H4503</f>
        <v>no</v>
      </c>
      <c r="J4503" s="2" t="n">
        <f aca="false">IF(F4503="yes",1,0)</f>
        <v>0</v>
      </c>
      <c r="K4503" s="2" t="n">
        <f aca="false">IF(H4503="yes",1,0)</f>
        <v>1</v>
      </c>
      <c r="L4503" s="2" t="n">
        <f aca="false">IF(I4503="yes",1,0)</f>
        <v>0</v>
      </c>
      <c r="M4503" s="2" t="n">
        <f aca="false">IF(G4503&lt;0,1,0)</f>
        <v>0</v>
      </c>
      <c r="N4503" s="2" t="str">
        <f aca="false">_xlfn.IFS(B4503&lt;30,"Under 30",B4503&lt;40,"30-39",B4503&lt;50,"40-49",B4503&lt;60,"50-59",TRUE(),"60+")</f>
        <v>30-39</v>
      </c>
      <c r="O4503" s="2" t="str">
        <f aca="false">_xlfn.IFS(G4503&lt;0,"1 Negative",G4503=0,"2 Zero",G4503&lt;=500,"3 1-500",G4503&lt;=2000,"4 501-2000",TRUE(),"5 Above 2000")</f>
        <v>3 1-500</v>
      </c>
      <c r="P4503" s="2" t="n">
        <f aca="false">Lookups!$B$2*M4503+Lookups!$B$3*L4503</f>
        <v>0</v>
      </c>
      <c r="Q4503" s="2" t="str">
        <f aca="false">INDEX(Lookups!$E$2:$E$5,MATCH(P4503,Lookups!$D$2:$D$5,0))</f>
        <v>Low</v>
      </c>
    </row>
    <row r="4504" customFormat="false" ht="15" hidden="false" customHeight="false" outlineLevel="0" collapsed="false">
      <c r="A4504" s="3" t="n">
        <v>4503</v>
      </c>
      <c r="B4504" s="3" t="n">
        <f aca="false">Raw_Data!A4504</f>
        <v>42</v>
      </c>
      <c r="C4504" s="3" t="str">
        <f aca="false">SUBSTITUTE(Raw_Data!B4504,".","")</f>
        <v>services</v>
      </c>
      <c r="D4504" s="3" t="str">
        <f aca="false">Raw_Data!C4504</f>
        <v>married</v>
      </c>
      <c r="E4504" s="3" t="str">
        <f aca="false">Raw_Data!D4504</f>
        <v>secondary</v>
      </c>
      <c r="F4504" s="3" t="str">
        <f aca="false">Raw_Data!E4504</f>
        <v>no</v>
      </c>
      <c r="G4504" s="3" t="n">
        <f aca="false">Raw_Data!F4504</f>
        <v>-91</v>
      </c>
      <c r="H4504" s="3" t="str">
        <f aca="false">Raw_Data!G4504</f>
        <v>yes</v>
      </c>
      <c r="I4504" s="3" t="str">
        <f aca="false">Raw_Data!H4504</f>
        <v>yes</v>
      </c>
      <c r="J4504" s="2" t="n">
        <f aca="false">IF(F4504="yes",1,0)</f>
        <v>0</v>
      </c>
      <c r="K4504" s="2" t="n">
        <f aca="false">IF(H4504="yes",1,0)</f>
        <v>1</v>
      </c>
      <c r="L4504" s="2" t="n">
        <f aca="false">IF(I4504="yes",1,0)</f>
        <v>1</v>
      </c>
      <c r="M4504" s="2" t="n">
        <f aca="false">IF(G4504&lt;0,1,0)</f>
        <v>1</v>
      </c>
      <c r="N4504" s="2" t="str">
        <f aca="false">_xlfn.IFS(B4504&lt;30,"Under 30",B4504&lt;40,"30-39",B4504&lt;50,"40-49",B4504&lt;60,"50-59",TRUE(),"60+")</f>
        <v>40-49</v>
      </c>
      <c r="O4504" s="2" t="str">
        <f aca="false">_xlfn.IFS(G4504&lt;0,"1 Negative",G4504=0,"2 Zero",G4504&lt;=500,"3 1-500",G4504&lt;=2000,"4 501-2000",TRUE(),"5 Above 2000")</f>
        <v>1 Negative</v>
      </c>
      <c r="P4504" s="2" t="n">
        <f aca="false">Lookups!$B$2*M4504+Lookups!$B$3*L4504</f>
        <v>3</v>
      </c>
      <c r="Q4504" s="2" t="str">
        <f aca="false">INDEX(Lookups!$E$2:$E$5,MATCH(P4504,Lookups!$D$2:$D$5,0))</f>
        <v>High</v>
      </c>
    </row>
    <row r="4505" customFormat="false" ht="15" hidden="false" customHeight="false" outlineLevel="0" collapsed="false">
      <c r="A4505" s="3" t="n">
        <v>4504</v>
      </c>
      <c r="B4505" s="3" t="n">
        <f aca="false">Raw_Data!A4505</f>
        <v>60</v>
      </c>
      <c r="C4505" s="3" t="str">
        <f aca="false">SUBSTITUTE(Raw_Data!B4505,".","")</f>
        <v>self-employed</v>
      </c>
      <c r="D4505" s="3" t="str">
        <f aca="false">Raw_Data!C4505</f>
        <v>married</v>
      </c>
      <c r="E4505" s="3" t="str">
        <f aca="false">Raw_Data!D4505</f>
        <v>primary</v>
      </c>
      <c r="F4505" s="3" t="str">
        <f aca="false">Raw_Data!E4505</f>
        <v>no</v>
      </c>
      <c r="G4505" s="3" t="n">
        <f aca="false">Raw_Data!F4505</f>
        <v>362</v>
      </c>
      <c r="H4505" s="3" t="str">
        <f aca="false">Raw_Data!G4505</f>
        <v>no</v>
      </c>
      <c r="I4505" s="3" t="str">
        <f aca="false">Raw_Data!H4505</f>
        <v>yes</v>
      </c>
      <c r="J4505" s="2" t="n">
        <f aca="false">IF(F4505="yes",1,0)</f>
        <v>0</v>
      </c>
      <c r="K4505" s="2" t="n">
        <f aca="false">IF(H4505="yes",1,0)</f>
        <v>0</v>
      </c>
      <c r="L4505" s="2" t="n">
        <f aca="false">IF(I4505="yes",1,0)</f>
        <v>1</v>
      </c>
      <c r="M4505" s="2" t="n">
        <f aca="false">IF(G4505&lt;0,1,0)</f>
        <v>0</v>
      </c>
      <c r="N4505" s="2" t="str">
        <f aca="false">_xlfn.IFS(B4505&lt;30,"Under 30",B4505&lt;40,"30-39",B4505&lt;50,"40-49",B4505&lt;60,"50-59",TRUE(),"60+")</f>
        <v>60+</v>
      </c>
      <c r="O4505" s="2" t="str">
        <f aca="false">_xlfn.IFS(G4505&lt;0,"1 Negative",G4505=0,"2 Zero",G4505&lt;=500,"3 1-500",G4505&lt;=2000,"4 501-2000",TRUE(),"5 Above 2000")</f>
        <v>3 1-500</v>
      </c>
      <c r="P4505" s="2" t="n">
        <f aca="false">Lookups!$B$2*M4505+Lookups!$B$3*L4505</f>
        <v>1</v>
      </c>
      <c r="Q4505" s="2" t="str">
        <f aca="false">INDEX(Lookups!$E$2:$E$5,MATCH(P4505,Lookups!$D$2:$D$5,0))</f>
        <v>Medium</v>
      </c>
    </row>
    <row r="4506" customFormat="false" ht="15" hidden="false" customHeight="false" outlineLevel="0" collapsed="false">
      <c r="A4506" s="3" t="n">
        <v>4505</v>
      </c>
      <c r="B4506" s="3" t="n">
        <f aca="false">Raw_Data!A4506</f>
        <v>42</v>
      </c>
      <c r="C4506" s="3" t="str">
        <f aca="false">SUBSTITUTE(Raw_Data!B4506,".","")</f>
        <v>blue-collar</v>
      </c>
      <c r="D4506" s="3" t="str">
        <f aca="false">Raw_Data!C4506</f>
        <v>single</v>
      </c>
      <c r="E4506" s="3" t="str">
        <f aca="false">Raw_Data!D4506</f>
        <v>secondary</v>
      </c>
      <c r="F4506" s="3" t="str">
        <f aca="false">Raw_Data!E4506</f>
        <v>no</v>
      </c>
      <c r="G4506" s="3" t="n">
        <f aca="false">Raw_Data!F4506</f>
        <v>1080</v>
      </c>
      <c r="H4506" s="3" t="str">
        <f aca="false">Raw_Data!G4506</f>
        <v>yes</v>
      </c>
      <c r="I4506" s="3" t="str">
        <f aca="false">Raw_Data!H4506</f>
        <v>yes</v>
      </c>
      <c r="J4506" s="2" t="n">
        <f aca="false">IF(F4506="yes",1,0)</f>
        <v>0</v>
      </c>
      <c r="K4506" s="2" t="n">
        <f aca="false">IF(H4506="yes",1,0)</f>
        <v>1</v>
      </c>
      <c r="L4506" s="2" t="n">
        <f aca="false">IF(I4506="yes",1,0)</f>
        <v>1</v>
      </c>
      <c r="M4506" s="2" t="n">
        <f aca="false">IF(G4506&lt;0,1,0)</f>
        <v>0</v>
      </c>
      <c r="N4506" s="2" t="str">
        <f aca="false">_xlfn.IFS(B4506&lt;30,"Under 30",B4506&lt;40,"30-39",B4506&lt;50,"40-49",B4506&lt;60,"50-59",TRUE(),"60+")</f>
        <v>40-49</v>
      </c>
      <c r="O4506" s="2" t="str">
        <f aca="false">_xlfn.IFS(G4506&lt;0,"1 Negative",G4506=0,"2 Zero",G4506&lt;=500,"3 1-500",G4506&lt;=2000,"4 501-2000",TRUE(),"5 Above 2000")</f>
        <v>4 501-2000</v>
      </c>
      <c r="P4506" s="2" t="n">
        <f aca="false">Lookups!$B$2*M4506+Lookups!$B$3*L4506</f>
        <v>1</v>
      </c>
      <c r="Q4506" s="2" t="str">
        <f aca="false">INDEX(Lookups!$E$2:$E$5,MATCH(P4506,Lookups!$D$2:$D$5,0))</f>
        <v>Medium</v>
      </c>
    </row>
    <row r="4507" customFormat="false" ht="15" hidden="false" customHeight="false" outlineLevel="0" collapsed="false">
      <c r="A4507" s="3" t="n">
        <v>4506</v>
      </c>
      <c r="B4507" s="3" t="n">
        <f aca="false">Raw_Data!A4507</f>
        <v>32</v>
      </c>
      <c r="C4507" s="3" t="str">
        <f aca="false">SUBSTITUTE(Raw_Data!B4507,".","")</f>
        <v>admin</v>
      </c>
      <c r="D4507" s="3" t="str">
        <f aca="false">Raw_Data!C4507</f>
        <v>single</v>
      </c>
      <c r="E4507" s="3" t="str">
        <f aca="false">Raw_Data!D4507</f>
        <v>secondary</v>
      </c>
      <c r="F4507" s="3" t="str">
        <f aca="false">Raw_Data!E4507</f>
        <v>no</v>
      </c>
      <c r="G4507" s="3" t="n">
        <f aca="false">Raw_Data!F4507</f>
        <v>620</v>
      </c>
      <c r="H4507" s="3" t="str">
        <f aca="false">Raw_Data!G4507</f>
        <v>yes</v>
      </c>
      <c r="I4507" s="3" t="str">
        <f aca="false">Raw_Data!H4507</f>
        <v>no</v>
      </c>
      <c r="J4507" s="2" t="n">
        <f aca="false">IF(F4507="yes",1,0)</f>
        <v>0</v>
      </c>
      <c r="K4507" s="2" t="n">
        <f aca="false">IF(H4507="yes",1,0)</f>
        <v>1</v>
      </c>
      <c r="L4507" s="2" t="n">
        <f aca="false">IF(I4507="yes",1,0)</f>
        <v>0</v>
      </c>
      <c r="M4507" s="2" t="n">
        <f aca="false">IF(G4507&lt;0,1,0)</f>
        <v>0</v>
      </c>
      <c r="N4507" s="2" t="str">
        <f aca="false">_xlfn.IFS(B4507&lt;30,"Under 30",B4507&lt;40,"30-39",B4507&lt;50,"40-49",B4507&lt;60,"50-59",TRUE(),"60+")</f>
        <v>30-39</v>
      </c>
      <c r="O4507" s="2" t="str">
        <f aca="false">_xlfn.IFS(G4507&lt;0,"1 Negative",G4507=0,"2 Zero",G4507&lt;=500,"3 1-500",G4507&lt;=2000,"4 501-2000",TRUE(),"5 Above 2000")</f>
        <v>4 501-2000</v>
      </c>
      <c r="P4507" s="2" t="n">
        <f aca="false">Lookups!$B$2*M4507+Lookups!$B$3*L4507</f>
        <v>0</v>
      </c>
      <c r="Q4507" s="2" t="str">
        <f aca="false">INDEX(Lookups!$E$2:$E$5,MATCH(P4507,Lookups!$D$2:$D$5,0))</f>
        <v>Low</v>
      </c>
    </row>
    <row r="4508" customFormat="false" ht="15" hidden="false" customHeight="false" outlineLevel="0" collapsed="false">
      <c r="A4508" s="3" t="n">
        <v>4507</v>
      </c>
      <c r="B4508" s="3" t="n">
        <f aca="false">Raw_Data!A4508</f>
        <v>42</v>
      </c>
      <c r="C4508" s="3" t="str">
        <f aca="false">SUBSTITUTE(Raw_Data!B4508,".","")</f>
        <v>unemployed</v>
      </c>
      <c r="D4508" s="3" t="str">
        <f aca="false">Raw_Data!C4508</f>
        <v>divorced</v>
      </c>
      <c r="E4508" s="3" t="str">
        <f aca="false">Raw_Data!D4508</f>
        <v>tertiary</v>
      </c>
      <c r="F4508" s="3" t="str">
        <f aca="false">Raw_Data!E4508</f>
        <v>no</v>
      </c>
      <c r="G4508" s="3" t="n">
        <f aca="false">Raw_Data!F4508</f>
        <v>-166</v>
      </c>
      <c r="H4508" s="3" t="str">
        <f aca="false">Raw_Data!G4508</f>
        <v>no</v>
      </c>
      <c r="I4508" s="3" t="str">
        <f aca="false">Raw_Data!H4508</f>
        <v>no</v>
      </c>
      <c r="J4508" s="2" t="n">
        <f aca="false">IF(F4508="yes",1,0)</f>
        <v>0</v>
      </c>
      <c r="K4508" s="2" t="n">
        <f aca="false">IF(H4508="yes",1,0)</f>
        <v>0</v>
      </c>
      <c r="L4508" s="2" t="n">
        <f aca="false">IF(I4508="yes",1,0)</f>
        <v>0</v>
      </c>
      <c r="M4508" s="2" t="n">
        <f aca="false">IF(G4508&lt;0,1,0)</f>
        <v>1</v>
      </c>
      <c r="N4508" s="2" t="str">
        <f aca="false">_xlfn.IFS(B4508&lt;30,"Under 30",B4508&lt;40,"30-39",B4508&lt;50,"40-49",B4508&lt;60,"50-59",TRUE(),"60+")</f>
        <v>40-49</v>
      </c>
      <c r="O4508" s="2" t="str">
        <f aca="false">_xlfn.IFS(G4508&lt;0,"1 Negative",G4508=0,"2 Zero",G4508&lt;=500,"3 1-500",G4508&lt;=2000,"4 501-2000",TRUE(),"5 Above 2000")</f>
        <v>1 Negative</v>
      </c>
      <c r="P4508" s="2" t="n">
        <f aca="false">Lookups!$B$2*M4508+Lookups!$B$3*L4508</f>
        <v>2</v>
      </c>
      <c r="Q4508" s="2" t="str">
        <f aca="false">INDEX(Lookups!$E$2:$E$5,MATCH(P4508,Lookups!$D$2:$D$5,0))</f>
        <v>High</v>
      </c>
    </row>
    <row r="4509" customFormat="false" ht="15" hidden="false" customHeight="false" outlineLevel="0" collapsed="false">
      <c r="A4509" s="3" t="n">
        <v>4508</v>
      </c>
      <c r="B4509" s="3" t="n">
        <f aca="false">Raw_Data!A4509</f>
        <v>33</v>
      </c>
      <c r="C4509" s="3" t="str">
        <f aca="false">SUBSTITUTE(Raw_Data!B4509,".","")</f>
        <v>services</v>
      </c>
      <c r="D4509" s="3" t="str">
        <f aca="false">Raw_Data!C4509</f>
        <v>married</v>
      </c>
      <c r="E4509" s="3" t="str">
        <f aca="false">Raw_Data!D4509</f>
        <v>secondary</v>
      </c>
      <c r="F4509" s="3" t="str">
        <f aca="false">Raw_Data!E4509</f>
        <v>no</v>
      </c>
      <c r="G4509" s="3" t="n">
        <f aca="false">Raw_Data!F4509</f>
        <v>288</v>
      </c>
      <c r="H4509" s="3" t="str">
        <f aca="false">Raw_Data!G4509</f>
        <v>yes</v>
      </c>
      <c r="I4509" s="3" t="str">
        <f aca="false">Raw_Data!H4509</f>
        <v>no</v>
      </c>
      <c r="J4509" s="2" t="n">
        <f aca="false">IF(F4509="yes",1,0)</f>
        <v>0</v>
      </c>
      <c r="K4509" s="2" t="n">
        <f aca="false">IF(H4509="yes",1,0)</f>
        <v>1</v>
      </c>
      <c r="L4509" s="2" t="n">
        <f aca="false">IF(I4509="yes",1,0)</f>
        <v>0</v>
      </c>
      <c r="M4509" s="2" t="n">
        <f aca="false">IF(G4509&lt;0,1,0)</f>
        <v>0</v>
      </c>
      <c r="N4509" s="2" t="str">
        <f aca="false">_xlfn.IFS(B4509&lt;30,"Under 30",B4509&lt;40,"30-39",B4509&lt;50,"40-49",B4509&lt;60,"50-59",TRUE(),"60+")</f>
        <v>30-39</v>
      </c>
      <c r="O4509" s="2" t="str">
        <f aca="false">_xlfn.IFS(G4509&lt;0,"1 Negative",G4509=0,"2 Zero",G4509&lt;=500,"3 1-500",G4509&lt;=2000,"4 501-2000",TRUE(),"5 Above 2000")</f>
        <v>3 1-500</v>
      </c>
      <c r="P4509" s="2" t="n">
        <f aca="false">Lookups!$B$2*M4509+Lookups!$B$3*L4509</f>
        <v>0</v>
      </c>
      <c r="Q4509" s="2" t="str">
        <f aca="false">INDEX(Lookups!$E$2:$E$5,MATCH(P4509,Lookups!$D$2:$D$5,0))</f>
        <v>Low</v>
      </c>
    </row>
    <row r="4510" customFormat="false" ht="15" hidden="false" customHeight="false" outlineLevel="0" collapsed="false">
      <c r="A4510" s="3" t="n">
        <v>4509</v>
      </c>
      <c r="B4510" s="3" t="n">
        <f aca="false">Raw_Data!A4510</f>
        <v>42</v>
      </c>
      <c r="C4510" s="3" t="str">
        <f aca="false">SUBSTITUTE(Raw_Data!B4510,".","")</f>
        <v>admin</v>
      </c>
      <c r="D4510" s="3" t="str">
        <f aca="false">Raw_Data!C4510</f>
        <v>married</v>
      </c>
      <c r="E4510" s="3" t="str">
        <f aca="false">Raw_Data!D4510</f>
        <v>unknown</v>
      </c>
      <c r="F4510" s="3" t="str">
        <f aca="false">Raw_Data!E4510</f>
        <v>no</v>
      </c>
      <c r="G4510" s="3" t="n">
        <f aca="false">Raw_Data!F4510</f>
        <v>642</v>
      </c>
      <c r="H4510" s="3" t="str">
        <f aca="false">Raw_Data!G4510</f>
        <v>yes</v>
      </c>
      <c r="I4510" s="3" t="str">
        <f aca="false">Raw_Data!H4510</f>
        <v>yes</v>
      </c>
      <c r="J4510" s="2" t="n">
        <f aca="false">IF(F4510="yes",1,0)</f>
        <v>0</v>
      </c>
      <c r="K4510" s="2" t="n">
        <f aca="false">IF(H4510="yes",1,0)</f>
        <v>1</v>
      </c>
      <c r="L4510" s="2" t="n">
        <f aca="false">IF(I4510="yes",1,0)</f>
        <v>1</v>
      </c>
      <c r="M4510" s="2" t="n">
        <f aca="false">IF(G4510&lt;0,1,0)</f>
        <v>0</v>
      </c>
      <c r="N4510" s="2" t="str">
        <f aca="false">_xlfn.IFS(B4510&lt;30,"Under 30",B4510&lt;40,"30-39",B4510&lt;50,"40-49",B4510&lt;60,"50-59",TRUE(),"60+")</f>
        <v>40-49</v>
      </c>
      <c r="O4510" s="2" t="str">
        <f aca="false">_xlfn.IFS(G4510&lt;0,"1 Negative",G4510=0,"2 Zero",G4510&lt;=500,"3 1-500",G4510&lt;=2000,"4 501-2000",TRUE(),"5 Above 2000")</f>
        <v>4 501-2000</v>
      </c>
      <c r="P4510" s="2" t="n">
        <f aca="false">Lookups!$B$2*M4510+Lookups!$B$3*L4510</f>
        <v>1</v>
      </c>
      <c r="Q4510" s="2" t="str">
        <f aca="false">INDEX(Lookups!$E$2:$E$5,MATCH(P4510,Lookups!$D$2:$D$5,0))</f>
        <v>Medium</v>
      </c>
    </row>
    <row r="4511" customFormat="false" ht="15" hidden="false" customHeight="false" outlineLevel="0" collapsed="false">
      <c r="A4511" s="3" t="n">
        <v>4510</v>
      </c>
      <c r="B4511" s="3" t="n">
        <f aca="false">Raw_Data!A4511</f>
        <v>51</v>
      </c>
      <c r="C4511" s="3" t="str">
        <f aca="false">SUBSTITUTE(Raw_Data!B4511,".","")</f>
        <v>technician</v>
      </c>
      <c r="D4511" s="3" t="str">
        <f aca="false">Raw_Data!C4511</f>
        <v>married</v>
      </c>
      <c r="E4511" s="3" t="str">
        <f aca="false">Raw_Data!D4511</f>
        <v>tertiary</v>
      </c>
      <c r="F4511" s="3" t="str">
        <f aca="false">Raw_Data!E4511</f>
        <v>no</v>
      </c>
      <c r="G4511" s="3" t="n">
        <f aca="false">Raw_Data!F4511</f>
        <v>2506</v>
      </c>
      <c r="H4511" s="3" t="str">
        <f aca="false">Raw_Data!G4511</f>
        <v>no</v>
      </c>
      <c r="I4511" s="3" t="str">
        <f aca="false">Raw_Data!H4511</f>
        <v>no</v>
      </c>
      <c r="J4511" s="2" t="n">
        <f aca="false">IF(F4511="yes",1,0)</f>
        <v>0</v>
      </c>
      <c r="K4511" s="2" t="n">
        <f aca="false">IF(H4511="yes",1,0)</f>
        <v>0</v>
      </c>
      <c r="L4511" s="2" t="n">
        <f aca="false">IF(I4511="yes",1,0)</f>
        <v>0</v>
      </c>
      <c r="M4511" s="2" t="n">
        <f aca="false">IF(G4511&lt;0,1,0)</f>
        <v>0</v>
      </c>
      <c r="N4511" s="2" t="str">
        <f aca="false">_xlfn.IFS(B4511&lt;30,"Under 30",B4511&lt;40,"30-39",B4511&lt;50,"40-49",B4511&lt;60,"50-59",TRUE(),"60+")</f>
        <v>50-59</v>
      </c>
      <c r="O4511" s="2" t="str">
        <f aca="false">_xlfn.IFS(G4511&lt;0,"1 Negative",G4511=0,"2 Zero",G4511&lt;=500,"3 1-500",G4511&lt;=2000,"4 501-2000",TRUE(),"5 Above 2000")</f>
        <v>5 Above 2000</v>
      </c>
      <c r="P4511" s="2" t="n">
        <f aca="false">Lookups!$B$2*M4511+Lookups!$B$3*L4511</f>
        <v>0</v>
      </c>
      <c r="Q4511" s="2" t="str">
        <f aca="false">INDEX(Lookups!$E$2:$E$5,MATCH(P4511,Lookups!$D$2:$D$5,0))</f>
        <v>Low</v>
      </c>
    </row>
    <row r="4512" customFormat="false" ht="15" hidden="false" customHeight="false" outlineLevel="0" collapsed="false">
      <c r="A4512" s="3" t="n">
        <v>4511</v>
      </c>
      <c r="B4512" s="3" t="n">
        <f aca="false">Raw_Data!A4512</f>
        <v>36</v>
      </c>
      <c r="C4512" s="3" t="str">
        <f aca="false">SUBSTITUTE(Raw_Data!B4512,".","")</f>
        <v>technician</v>
      </c>
      <c r="D4512" s="3" t="str">
        <f aca="false">Raw_Data!C4512</f>
        <v>divorced</v>
      </c>
      <c r="E4512" s="3" t="str">
        <f aca="false">Raw_Data!D4512</f>
        <v>secondary</v>
      </c>
      <c r="F4512" s="3" t="str">
        <f aca="false">Raw_Data!E4512</f>
        <v>no</v>
      </c>
      <c r="G4512" s="3" t="n">
        <f aca="false">Raw_Data!F4512</f>
        <v>566</v>
      </c>
      <c r="H4512" s="3" t="str">
        <f aca="false">Raw_Data!G4512</f>
        <v>yes</v>
      </c>
      <c r="I4512" s="3" t="str">
        <f aca="false">Raw_Data!H4512</f>
        <v>no</v>
      </c>
      <c r="J4512" s="2" t="n">
        <f aca="false">IF(F4512="yes",1,0)</f>
        <v>0</v>
      </c>
      <c r="K4512" s="2" t="n">
        <f aca="false">IF(H4512="yes",1,0)</f>
        <v>1</v>
      </c>
      <c r="L4512" s="2" t="n">
        <f aca="false">IF(I4512="yes",1,0)</f>
        <v>0</v>
      </c>
      <c r="M4512" s="2" t="n">
        <f aca="false">IF(G4512&lt;0,1,0)</f>
        <v>0</v>
      </c>
      <c r="N4512" s="2" t="str">
        <f aca="false">_xlfn.IFS(B4512&lt;30,"Under 30",B4512&lt;40,"30-39",B4512&lt;50,"40-49",B4512&lt;60,"50-59",TRUE(),"60+")</f>
        <v>30-39</v>
      </c>
      <c r="O4512" s="2" t="str">
        <f aca="false">_xlfn.IFS(G4512&lt;0,"1 Negative",G4512=0,"2 Zero",G4512&lt;=500,"3 1-500",G4512&lt;=2000,"4 501-2000",TRUE(),"5 Above 2000")</f>
        <v>4 501-2000</v>
      </c>
      <c r="P4512" s="2" t="n">
        <f aca="false">Lookups!$B$2*M4512+Lookups!$B$3*L4512</f>
        <v>0</v>
      </c>
      <c r="Q4512" s="2" t="str">
        <f aca="false">INDEX(Lookups!$E$2:$E$5,MATCH(P4512,Lookups!$D$2:$D$5,0))</f>
        <v>Low</v>
      </c>
    </row>
    <row r="4513" customFormat="false" ht="15" hidden="false" customHeight="false" outlineLevel="0" collapsed="false">
      <c r="A4513" s="3" t="n">
        <v>4512</v>
      </c>
      <c r="B4513" s="3" t="n">
        <f aca="false">Raw_Data!A4513</f>
        <v>46</v>
      </c>
      <c r="C4513" s="3" t="str">
        <f aca="false">SUBSTITUTE(Raw_Data!B4513,".","")</f>
        <v>blue-collar</v>
      </c>
      <c r="D4513" s="3" t="str">
        <f aca="false">Raw_Data!C4513</f>
        <v>married</v>
      </c>
      <c r="E4513" s="3" t="str">
        <f aca="false">Raw_Data!D4513</f>
        <v>secondary</v>
      </c>
      <c r="F4513" s="3" t="str">
        <f aca="false">Raw_Data!E4513</f>
        <v>no</v>
      </c>
      <c r="G4513" s="3" t="n">
        <f aca="false">Raw_Data!F4513</f>
        <v>668</v>
      </c>
      <c r="H4513" s="3" t="str">
        <f aca="false">Raw_Data!G4513</f>
        <v>yes</v>
      </c>
      <c r="I4513" s="3" t="str">
        <f aca="false">Raw_Data!H4513</f>
        <v>no</v>
      </c>
      <c r="J4513" s="2" t="n">
        <f aca="false">IF(F4513="yes",1,0)</f>
        <v>0</v>
      </c>
      <c r="K4513" s="2" t="n">
        <f aca="false">IF(H4513="yes",1,0)</f>
        <v>1</v>
      </c>
      <c r="L4513" s="2" t="n">
        <f aca="false">IF(I4513="yes",1,0)</f>
        <v>0</v>
      </c>
      <c r="M4513" s="2" t="n">
        <f aca="false">IF(G4513&lt;0,1,0)</f>
        <v>0</v>
      </c>
      <c r="N4513" s="2" t="str">
        <f aca="false">_xlfn.IFS(B4513&lt;30,"Under 30",B4513&lt;40,"30-39",B4513&lt;50,"40-49",B4513&lt;60,"50-59",TRUE(),"60+")</f>
        <v>40-49</v>
      </c>
      <c r="O4513" s="2" t="str">
        <f aca="false">_xlfn.IFS(G4513&lt;0,"1 Negative",G4513=0,"2 Zero",G4513&lt;=500,"3 1-500",G4513&lt;=2000,"4 501-2000",TRUE(),"5 Above 2000")</f>
        <v>4 501-2000</v>
      </c>
      <c r="P4513" s="2" t="n">
        <f aca="false">Lookups!$B$2*M4513+Lookups!$B$3*L4513</f>
        <v>0</v>
      </c>
      <c r="Q4513" s="2" t="str">
        <f aca="false">INDEX(Lookups!$E$2:$E$5,MATCH(P4513,Lookups!$D$2:$D$5,0))</f>
        <v>Low</v>
      </c>
    </row>
    <row r="4514" customFormat="false" ht="15" hidden="false" customHeight="false" outlineLevel="0" collapsed="false">
      <c r="A4514" s="3" t="n">
        <v>4513</v>
      </c>
      <c r="B4514" s="3" t="n">
        <f aca="false">Raw_Data!A4514</f>
        <v>40</v>
      </c>
      <c r="C4514" s="3" t="str">
        <f aca="false">SUBSTITUTE(Raw_Data!B4514,".","")</f>
        <v>blue-collar</v>
      </c>
      <c r="D4514" s="3" t="str">
        <f aca="false">Raw_Data!C4514</f>
        <v>married</v>
      </c>
      <c r="E4514" s="3" t="str">
        <f aca="false">Raw_Data!D4514</f>
        <v>secondary</v>
      </c>
      <c r="F4514" s="3" t="str">
        <f aca="false">Raw_Data!E4514</f>
        <v>no</v>
      </c>
      <c r="G4514" s="3" t="n">
        <f aca="false">Raw_Data!F4514</f>
        <v>1100</v>
      </c>
      <c r="H4514" s="3" t="str">
        <f aca="false">Raw_Data!G4514</f>
        <v>yes</v>
      </c>
      <c r="I4514" s="3" t="str">
        <f aca="false">Raw_Data!H4514</f>
        <v>no</v>
      </c>
      <c r="J4514" s="2" t="n">
        <f aca="false">IF(F4514="yes",1,0)</f>
        <v>0</v>
      </c>
      <c r="K4514" s="2" t="n">
        <f aca="false">IF(H4514="yes",1,0)</f>
        <v>1</v>
      </c>
      <c r="L4514" s="2" t="n">
        <f aca="false">IF(I4514="yes",1,0)</f>
        <v>0</v>
      </c>
      <c r="M4514" s="2" t="n">
        <f aca="false">IF(G4514&lt;0,1,0)</f>
        <v>0</v>
      </c>
      <c r="N4514" s="2" t="str">
        <f aca="false">_xlfn.IFS(B4514&lt;30,"Under 30",B4514&lt;40,"30-39",B4514&lt;50,"40-49",B4514&lt;60,"50-59",TRUE(),"60+")</f>
        <v>40-49</v>
      </c>
      <c r="O4514" s="2" t="str">
        <f aca="false">_xlfn.IFS(G4514&lt;0,"1 Negative",G4514=0,"2 Zero",G4514&lt;=500,"3 1-500",G4514&lt;=2000,"4 501-2000",TRUE(),"5 Above 2000")</f>
        <v>4 501-2000</v>
      </c>
      <c r="P4514" s="2" t="n">
        <f aca="false">Lookups!$B$2*M4514+Lookups!$B$3*L4514</f>
        <v>0</v>
      </c>
      <c r="Q4514" s="2" t="str">
        <f aca="false">INDEX(Lookups!$E$2:$E$5,MATCH(P4514,Lookups!$D$2:$D$5,0))</f>
        <v>Low</v>
      </c>
    </row>
    <row r="4515" customFormat="false" ht="15" hidden="false" customHeight="false" outlineLevel="0" collapsed="false">
      <c r="A4515" s="3" t="n">
        <v>4514</v>
      </c>
      <c r="B4515" s="3" t="n">
        <f aca="false">Raw_Data!A4515</f>
        <v>49</v>
      </c>
      <c r="C4515" s="3" t="str">
        <f aca="false">SUBSTITUTE(Raw_Data!B4515,".","")</f>
        <v>blue-collar</v>
      </c>
      <c r="D4515" s="3" t="str">
        <f aca="false">Raw_Data!C4515</f>
        <v>married</v>
      </c>
      <c r="E4515" s="3" t="str">
        <f aca="false">Raw_Data!D4515</f>
        <v>secondary</v>
      </c>
      <c r="F4515" s="3" t="str">
        <f aca="false">Raw_Data!E4515</f>
        <v>no</v>
      </c>
      <c r="G4515" s="3" t="n">
        <f aca="false">Raw_Data!F4515</f>
        <v>322</v>
      </c>
      <c r="H4515" s="3" t="str">
        <f aca="false">Raw_Data!G4515</f>
        <v>no</v>
      </c>
      <c r="I4515" s="3" t="str">
        <f aca="false">Raw_Data!H4515</f>
        <v>no</v>
      </c>
      <c r="J4515" s="2" t="n">
        <f aca="false">IF(F4515="yes",1,0)</f>
        <v>0</v>
      </c>
      <c r="K4515" s="2" t="n">
        <f aca="false">IF(H4515="yes",1,0)</f>
        <v>0</v>
      </c>
      <c r="L4515" s="2" t="n">
        <f aca="false">IF(I4515="yes",1,0)</f>
        <v>0</v>
      </c>
      <c r="M4515" s="2" t="n">
        <f aca="false">IF(G4515&lt;0,1,0)</f>
        <v>0</v>
      </c>
      <c r="N4515" s="2" t="str">
        <f aca="false">_xlfn.IFS(B4515&lt;30,"Under 30",B4515&lt;40,"30-39",B4515&lt;50,"40-49",B4515&lt;60,"50-59",TRUE(),"60+")</f>
        <v>40-49</v>
      </c>
      <c r="O4515" s="2" t="str">
        <f aca="false">_xlfn.IFS(G4515&lt;0,"1 Negative",G4515=0,"2 Zero",G4515&lt;=500,"3 1-500",G4515&lt;=2000,"4 501-2000",TRUE(),"5 Above 2000")</f>
        <v>3 1-500</v>
      </c>
      <c r="P4515" s="2" t="n">
        <f aca="false">Lookups!$B$2*M4515+Lookups!$B$3*L4515</f>
        <v>0</v>
      </c>
      <c r="Q4515" s="2" t="str">
        <f aca="false">INDEX(Lookups!$E$2:$E$5,MATCH(P4515,Lookups!$D$2:$D$5,0))</f>
        <v>Low</v>
      </c>
    </row>
    <row r="4516" customFormat="false" ht="15" hidden="false" customHeight="false" outlineLevel="0" collapsed="false">
      <c r="A4516" s="3" t="n">
        <v>4515</v>
      </c>
      <c r="B4516" s="3" t="n">
        <f aca="false">Raw_Data!A4516</f>
        <v>38</v>
      </c>
      <c r="C4516" s="3" t="str">
        <f aca="false">SUBSTITUTE(Raw_Data!B4516,".","")</f>
        <v>blue-collar</v>
      </c>
      <c r="D4516" s="3" t="str">
        <f aca="false">Raw_Data!C4516</f>
        <v>married</v>
      </c>
      <c r="E4516" s="3" t="str">
        <f aca="false">Raw_Data!D4516</f>
        <v>secondary</v>
      </c>
      <c r="F4516" s="3" t="str">
        <f aca="false">Raw_Data!E4516</f>
        <v>no</v>
      </c>
      <c r="G4516" s="3" t="n">
        <f aca="false">Raw_Data!F4516</f>
        <v>1205</v>
      </c>
      <c r="H4516" s="3" t="str">
        <f aca="false">Raw_Data!G4516</f>
        <v>yes</v>
      </c>
      <c r="I4516" s="3" t="str">
        <f aca="false">Raw_Data!H4516</f>
        <v>no</v>
      </c>
      <c r="J4516" s="2" t="n">
        <f aca="false">IF(F4516="yes",1,0)</f>
        <v>0</v>
      </c>
      <c r="K4516" s="2" t="n">
        <f aca="false">IF(H4516="yes",1,0)</f>
        <v>1</v>
      </c>
      <c r="L4516" s="2" t="n">
        <f aca="false">IF(I4516="yes",1,0)</f>
        <v>0</v>
      </c>
      <c r="M4516" s="2" t="n">
        <f aca="false">IF(G4516&lt;0,1,0)</f>
        <v>0</v>
      </c>
      <c r="N4516" s="2" t="str">
        <f aca="false">_xlfn.IFS(B4516&lt;30,"Under 30",B4516&lt;40,"30-39",B4516&lt;50,"40-49",B4516&lt;60,"50-59",TRUE(),"60+")</f>
        <v>30-39</v>
      </c>
      <c r="O4516" s="2" t="str">
        <f aca="false">_xlfn.IFS(G4516&lt;0,"1 Negative",G4516=0,"2 Zero",G4516&lt;=500,"3 1-500",G4516&lt;=2000,"4 501-2000",TRUE(),"5 Above 2000")</f>
        <v>4 501-2000</v>
      </c>
      <c r="P4516" s="2" t="n">
        <f aca="false">Lookups!$B$2*M4516+Lookups!$B$3*L4516</f>
        <v>0</v>
      </c>
      <c r="Q4516" s="2" t="str">
        <f aca="false">INDEX(Lookups!$E$2:$E$5,MATCH(P4516,Lookups!$D$2:$D$5,0))</f>
        <v>Low</v>
      </c>
    </row>
    <row r="4517" customFormat="false" ht="15" hidden="false" customHeight="false" outlineLevel="0" collapsed="false">
      <c r="A4517" s="3" t="n">
        <v>4516</v>
      </c>
      <c r="B4517" s="3" t="n">
        <f aca="false">Raw_Data!A4517</f>
        <v>32</v>
      </c>
      <c r="C4517" s="3" t="str">
        <f aca="false">SUBSTITUTE(Raw_Data!B4517,".","")</f>
        <v>services</v>
      </c>
      <c r="D4517" s="3" t="str">
        <f aca="false">Raw_Data!C4517</f>
        <v>single</v>
      </c>
      <c r="E4517" s="3" t="str">
        <f aca="false">Raw_Data!D4517</f>
        <v>secondary</v>
      </c>
      <c r="F4517" s="3" t="str">
        <f aca="false">Raw_Data!E4517</f>
        <v>no</v>
      </c>
      <c r="G4517" s="3" t="n">
        <f aca="false">Raw_Data!F4517</f>
        <v>473</v>
      </c>
      <c r="H4517" s="3" t="str">
        <f aca="false">Raw_Data!G4517</f>
        <v>yes</v>
      </c>
      <c r="I4517" s="3" t="str">
        <f aca="false">Raw_Data!H4517</f>
        <v>no</v>
      </c>
      <c r="J4517" s="2" t="n">
        <f aca="false">IF(F4517="yes",1,0)</f>
        <v>0</v>
      </c>
      <c r="K4517" s="2" t="n">
        <f aca="false">IF(H4517="yes",1,0)</f>
        <v>1</v>
      </c>
      <c r="L4517" s="2" t="n">
        <f aca="false">IF(I4517="yes",1,0)</f>
        <v>0</v>
      </c>
      <c r="M4517" s="2" t="n">
        <f aca="false">IF(G4517&lt;0,1,0)</f>
        <v>0</v>
      </c>
      <c r="N4517" s="2" t="str">
        <f aca="false">_xlfn.IFS(B4517&lt;30,"Under 30",B4517&lt;40,"30-39",B4517&lt;50,"40-49",B4517&lt;60,"50-59",TRUE(),"60+")</f>
        <v>30-39</v>
      </c>
      <c r="O4517" s="2" t="str">
        <f aca="false">_xlfn.IFS(G4517&lt;0,"1 Negative",G4517=0,"2 Zero",G4517&lt;=500,"3 1-500",G4517&lt;=2000,"4 501-2000",TRUE(),"5 Above 2000")</f>
        <v>3 1-500</v>
      </c>
      <c r="P4517" s="2" t="n">
        <f aca="false">Lookups!$B$2*M4517+Lookups!$B$3*L4517</f>
        <v>0</v>
      </c>
      <c r="Q4517" s="2" t="str">
        <f aca="false">INDEX(Lookups!$E$2:$E$5,MATCH(P4517,Lookups!$D$2:$D$5,0))</f>
        <v>Low</v>
      </c>
    </row>
    <row r="4518" customFormat="false" ht="15" hidden="false" customHeight="false" outlineLevel="0" collapsed="false">
      <c r="A4518" s="3" t="n">
        <v>4517</v>
      </c>
      <c r="B4518" s="3" t="n">
        <f aca="false">Raw_Data!A4518</f>
        <v>33</v>
      </c>
      <c r="C4518" s="3" t="str">
        <f aca="false">SUBSTITUTE(Raw_Data!B4518,".","")</f>
        <v>services</v>
      </c>
      <c r="D4518" s="3" t="str">
        <f aca="false">Raw_Data!C4518</f>
        <v>married</v>
      </c>
      <c r="E4518" s="3" t="str">
        <f aca="false">Raw_Data!D4518</f>
        <v>secondary</v>
      </c>
      <c r="F4518" s="3" t="str">
        <f aca="false">Raw_Data!E4518</f>
        <v>no</v>
      </c>
      <c r="G4518" s="3" t="n">
        <f aca="false">Raw_Data!F4518</f>
        <v>-333</v>
      </c>
      <c r="H4518" s="3" t="str">
        <f aca="false">Raw_Data!G4518</f>
        <v>yes</v>
      </c>
      <c r="I4518" s="3" t="str">
        <f aca="false">Raw_Data!H4518</f>
        <v>no</v>
      </c>
      <c r="J4518" s="2" t="n">
        <f aca="false">IF(F4518="yes",1,0)</f>
        <v>0</v>
      </c>
      <c r="K4518" s="2" t="n">
        <f aca="false">IF(H4518="yes",1,0)</f>
        <v>1</v>
      </c>
      <c r="L4518" s="2" t="n">
        <f aca="false">IF(I4518="yes",1,0)</f>
        <v>0</v>
      </c>
      <c r="M4518" s="2" t="n">
        <f aca="false">IF(G4518&lt;0,1,0)</f>
        <v>1</v>
      </c>
      <c r="N4518" s="2" t="str">
        <f aca="false">_xlfn.IFS(B4518&lt;30,"Under 30",B4518&lt;40,"30-39",B4518&lt;50,"40-49",B4518&lt;60,"50-59",TRUE(),"60+")</f>
        <v>30-39</v>
      </c>
      <c r="O4518" s="2" t="str">
        <f aca="false">_xlfn.IFS(G4518&lt;0,"1 Negative",G4518=0,"2 Zero",G4518&lt;=500,"3 1-500",G4518&lt;=2000,"4 501-2000",TRUE(),"5 Above 2000")</f>
        <v>1 Negative</v>
      </c>
      <c r="P4518" s="2" t="n">
        <f aca="false">Lookups!$B$2*M4518+Lookups!$B$3*L4518</f>
        <v>2</v>
      </c>
      <c r="Q4518" s="2" t="str">
        <f aca="false">INDEX(Lookups!$E$2:$E$5,MATCH(P4518,Lookups!$D$2:$D$5,0))</f>
        <v>High</v>
      </c>
    </row>
    <row r="4519" customFormat="false" ht="15" hidden="false" customHeight="false" outlineLevel="0" collapsed="false">
      <c r="A4519" s="3" t="n">
        <v>4518</v>
      </c>
      <c r="B4519" s="3" t="n">
        <f aca="false">Raw_Data!A4519</f>
        <v>57</v>
      </c>
      <c r="C4519" s="3" t="str">
        <f aca="false">SUBSTITUTE(Raw_Data!B4519,".","")</f>
        <v>self-employed</v>
      </c>
      <c r="D4519" s="3" t="str">
        <f aca="false">Raw_Data!C4519</f>
        <v>married</v>
      </c>
      <c r="E4519" s="3" t="str">
        <f aca="false">Raw_Data!D4519</f>
        <v>tertiary</v>
      </c>
      <c r="F4519" s="3" t="str">
        <f aca="false">Raw_Data!E4519</f>
        <v>yes</v>
      </c>
      <c r="G4519" s="3" t="n">
        <f aca="false">Raw_Data!F4519</f>
        <v>-3313</v>
      </c>
      <c r="H4519" s="3" t="str">
        <f aca="false">Raw_Data!G4519</f>
        <v>yes</v>
      </c>
      <c r="I4519" s="3" t="str">
        <f aca="false">Raw_Data!H4519</f>
        <v>yes</v>
      </c>
      <c r="J4519" s="2" t="n">
        <f aca="false">IF(F4519="yes",1,0)</f>
        <v>1</v>
      </c>
      <c r="K4519" s="2" t="n">
        <f aca="false">IF(H4519="yes",1,0)</f>
        <v>1</v>
      </c>
      <c r="L4519" s="2" t="n">
        <f aca="false">IF(I4519="yes",1,0)</f>
        <v>1</v>
      </c>
      <c r="M4519" s="2" t="n">
        <f aca="false">IF(G4519&lt;0,1,0)</f>
        <v>1</v>
      </c>
      <c r="N4519" s="2" t="str">
        <f aca="false">_xlfn.IFS(B4519&lt;30,"Under 30",B4519&lt;40,"30-39",B4519&lt;50,"40-49",B4519&lt;60,"50-59",TRUE(),"60+")</f>
        <v>50-59</v>
      </c>
      <c r="O4519" s="2" t="str">
        <f aca="false">_xlfn.IFS(G4519&lt;0,"1 Negative",G4519=0,"2 Zero",G4519&lt;=500,"3 1-500",G4519&lt;=2000,"4 501-2000",TRUE(),"5 Above 2000")</f>
        <v>1 Negative</v>
      </c>
      <c r="P4519" s="2" t="n">
        <f aca="false">Lookups!$B$2*M4519+Lookups!$B$3*L4519</f>
        <v>3</v>
      </c>
      <c r="Q4519" s="2" t="str">
        <f aca="false">INDEX(Lookups!$E$2:$E$5,MATCH(P4519,Lookups!$D$2:$D$5,0))</f>
        <v>High</v>
      </c>
    </row>
    <row r="4520" customFormat="false" ht="15" hidden="false" customHeight="false" outlineLevel="0" collapsed="false">
      <c r="A4520" s="3" t="n">
        <v>4519</v>
      </c>
      <c r="B4520" s="3" t="n">
        <f aca="false">Raw_Data!A4520</f>
        <v>57</v>
      </c>
      <c r="C4520" s="3" t="str">
        <f aca="false">SUBSTITUTE(Raw_Data!B4520,".","")</f>
        <v>technician</v>
      </c>
      <c r="D4520" s="3" t="str">
        <f aca="false">Raw_Data!C4520</f>
        <v>married</v>
      </c>
      <c r="E4520" s="3" t="str">
        <f aca="false">Raw_Data!D4520</f>
        <v>secondary</v>
      </c>
      <c r="F4520" s="3" t="str">
        <f aca="false">Raw_Data!E4520</f>
        <v>no</v>
      </c>
      <c r="G4520" s="3" t="n">
        <f aca="false">Raw_Data!F4520</f>
        <v>295</v>
      </c>
      <c r="H4520" s="3" t="str">
        <f aca="false">Raw_Data!G4520</f>
        <v>no</v>
      </c>
      <c r="I4520" s="3" t="str">
        <f aca="false">Raw_Data!H4520</f>
        <v>no</v>
      </c>
      <c r="J4520" s="2" t="n">
        <f aca="false">IF(F4520="yes",1,0)</f>
        <v>0</v>
      </c>
      <c r="K4520" s="2" t="n">
        <f aca="false">IF(H4520="yes",1,0)</f>
        <v>0</v>
      </c>
      <c r="L4520" s="2" t="n">
        <f aca="false">IF(I4520="yes",1,0)</f>
        <v>0</v>
      </c>
      <c r="M4520" s="2" t="n">
        <f aca="false">IF(G4520&lt;0,1,0)</f>
        <v>0</v>
      </c>
      <c r="N4520" s="2" t="str">
        <f aca="false">_xlfn.IFS(B4520&lt;30,"Under 30",B4520&lt;40,"30-39",B4520&lt;50,"40-49",B4520&lt;60,"50-59",TRUE(),"60+")</f>
        <v>50-59</v>
      </c>
      <c r="O4520" s="2" t="str">
        <f aca="false">_xlfn.IFS(G4520&lt;0,"1 Negative",G4520=0,"2 Zero",G4520&lt;=500,"3 1-500",G4520&lt;=2000,"4 501-2000",TRUE(),"5 Above 2000")</f>
        <v>3 1-500</v>
      </c>
      <c r="P4520" s="2" t="n">
        <f aca="false">Lookups!$B$2*M4520+Lookups!$B$3*L4520</f>
        <v>0</v>
      </c>
      <c r="Q4520" s="2" t="str">
        <f aca="false">INDEX(Lookups!$E$2:$E$5,MATCH(P4520,Lookups!$D$2:$D$5,0))</f>
        <v>Low</v>
      </c>
    </row>
    <row r="4521" customFormat="false" ht="15" hidden="false" customHeight="false" outlineLevel="0" collapsed="false">
      <c r="A4521" s="3" t="n">
        <v>4520</v>
      </c>
      <c r="B4521" s="3" t="n">
        <f aca="false">Raw_Data!A4521</f>
        <v>28</v>
      </c>
      <c r="C4521" s="3" t="str">
        <f aca="false">SUBSTITUTE(Raw_Data!B4521,".","")</f>
        <v>blue-collar</v>
      </c>
      <c r="D4521" s="3" t="str">
        <f aca="false">Raw_Data!C4521</f>
        <v>married</v>
      </c>
      <c r="E4521" s="3" t="str">
        <f aca="false">Raw_Data!D4521</f>
        <v>secondary</v>
      </c>
      <c r="F4521" s="3" t="str">
        <f aca="false">Raw_Data!E4521</f>
        <v>no</v>
      </c>
      <c r="G4521" s="3" t="n">
        <f aca="false">Raw_Data!F4521</f>
        <v>1137</v>
      </c>
      <c r="H4521" s="3" t="str">
        <f aca="false">Raw_Data!G4521</f>
        <v>no</v>
      </c>
      <c r="I4521" s="3" t="str">
        <f aca="false">Raw_Data!H4521</f>
        <v>no</v>
      </c>
      <c r="J4521" s="2" t="n">
        <f aca="false">IF(F4521="yes",1,0)</f>
        <v>0</v>
      </c>
      <c r="K4521" s="2" t="n">
        <f aca="false">IF(H4521="yes",1,0)</f>
        <v>0</v>
      </c>
      <c r="L4521" s="2" t="n">
        <f aca="false">IF(I4521="yes",1,0)</f>
        <v>0</v>
      </c>
      <c r="M4521" s="2" t="n">
        <f aca="false">IF(G4521&lt;0,1,0)</f>
        <v>0</v>
      </c>
      <c r="N4521" s="2" t="str">
        <f aca="false">_xlfn.IFS(B4521&lt;30,"Under 30",B4521&lt;40,"30-39",B4521&lt;50,"40-49",B4521&lt;60,"50-59",TRUE(),"60+")</f>
        <v>Under 30</v>
      </c>
      <c r="O4521" s="2" t="str">
        <f aca="false">_xlfn.IFS(G4521&lt;0,"1 Negative",G4521=0,"2 Zero",G4521&lt;=500,"3 1-500",G4521&lt;=2000,"4 501-2000",TRUE(),"5 Above 2000")</f>
        <v>4 501-2000</v>
      </c>
      <c r="P4521" s="2" t="n">
        <f aca="false">Lookups!$B$2*M4521+Lookups!$B$3*L4521</f>
        <v>0</v>
      </c>
      <c r="Q4521" s="2" t="str">
        <f aca="false">INDEX(Lookups!$E$2:$E$5,MATCH(P4521,Lookups!$D$2:$D$5,0))</f>
        <v>Low</v>
      </c>
    </row>
    <row r="4522" customFormat="false" ht="15" hidden="false" customHeight="false" outlineLevel="0" collapsed="false">
      <c r="A4522" s="3" t="n">
        <v>4521</v>
      </c>
      <c r="B4522" s="3" t="n">
        <f aca="false">Raw_Data!A4522</f>
        <v>44</v>
      </c>
      <c r="C4522" s="3" t="str">
        <f aca="false">SUBSTITUTE(Raw_Data!B4522,".","")</f>
        <v>entrepreneur</v>
      </c>
      <c r="D4522" s="3" t="str">
        <f aca="false">Raw_Data!C4522</f>
        <v>single</v>
      </c>
      <c r="E4522" s="3" t="str">
        <f aca="false">Raw_Data!D4522</f>
        <v>tertiary</v>
      </c>
      <c r="F4522" s="3" t="str">
        <f aca="false">Raw_Data!E4522</f>
        <v>no</v>
      </c>
      <c r="G4522" s="3" t="n">
        <f aca="false">Raw_Data!F4522</f>
        <v>1136</v>
      </c>
      <c r="H4522" s="3" t="str">
        <f aca="false">Raw_Data!G4522</f>
        <v>yes</v>
      </c>
      <c r="I4522" s="3" t="str">
        <f aca="false">Raw_Data!H4522</f>
        <v>yes</v>
      </c>
      <c r="J4522" s="2" t="n">
        <f aca="false">IF(F4522="yes",1,0)</f>
        <v>0</v>
      </c>
      <c r="K4522" s="2" t="n">
        <f aca="false">IF(H4522="yes",1,0)</f>
        <v>1</v>
      </c>
      <c r="L4522" s="2" t="n">
        <f aca="false">IF(I4522="yes",1,0)</f>
        <v>1</v>
      </c>
      <c r="M4522" s="2" t="n">
        <f aca="false">IF(G4522&lt;0,1,0)</f>
        <v>0</v>
      </c>
      <c r="N4522" s="2" t="str">
        <f aca="false">_xlfn.IFS(B4522&lt;30,"Under 30",B4522&lt;40,"30-39",B4522&lt;50,"40-49",B4522&lt;60,"50-59",TRUE(),"60+")</f>
        <v>40-49</v>
      </c>
      <c r="O4522" s="2" t="str">
        <f aca="false">_xlfn.IFS(G4522&lt;0,"1 Negative",G4522=0,"2 Zero",G4522&lt;=500,"3 1-500",G4522&lt;=2000,"4 501-2000",TRUE(),"5 Above 2000")</f>
        <v>4 501-2000</v>
      </c>
      <c r="P4522" s="2" t="n">
        <f aca="false">Lookups!$B$2*M4522+Lookups!$B$3*L4522</f>
        <v>1</v>
      </c>
      <c r="Q4522" s="2" t="str">
        <f aca="false">INDEX(Lookups!$E$2:$E$5,MATCH(P4522,Lookups!$D$2:$D$5,0))</f>
        <v>Medium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44"/>
    <col collapsed="false" customWidth="true" hidden="false" outlineLevel="0" max="6" min="6" style="0" width="12"/>
    <col collapsed="false" customWidth="true" hidden="false" outlineLevel="0" max="7" min="7" style="0" width="46"/>
  </cols>
  <sheetData>
    <row r="1" customFormat="false" ht="23.85" hidden="false" customHeight="false" outlineLevel="0" collapsed="false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</row>
    <row r="2" customFormat="false" ht="15" hidden="false" customHeight="false" outlineLevel="0" collapsed="false">
      <c r="A2" s="4" t="s">
        <v>0</v>
      </c>
      <c r="B2" s="4" t="s">
        <v>73</v>
      </c>
      <c r="C2" s="4" t="s">
        <v>74</v>
      </c>
      <c r="D2" s="4" t="s">
        <v>75</v>
      </c>
      <c r="E2" s="4" t="s">
        <v>76</v>
      </c>
      <c r="F2" s="4" t="s">
        <v>77</v>
      </c>
      <c r="G2" s="4" t="s">
        <v>78</v>
      </c>
    </row>
    <row r="3" customFormat="false" ht="23.85" hidden="false" customHeight="false" outlineLevel="0" collapsed="false">
      <c r="A3" s="4" t="s">
        <v>1</v>
      </c>
      <c r="B3" s="4" t="s">
        <v>79</v>
      </c>
      <c r="C3" s="4" t="s">
        <v>80</v>
      </c>
      <c r="D3" s="4" t="s">
        <v>81</v>
      </c>
      <c r="E3" s="4" t="s">
        <v>82</v>
      </c>
      <c r="F3" s="4" t="s">
        <v>77</v>
      </c>
      <c r="G3" s="4" t="s">
        <v>83</v>
      </c>
    </row>
    <row r="4" customFormat="false" ht="15" hidden="false" customHeight="false" outlineLevel="0" collapsed="false">
      <c r="A4" s="4" t="s">
        <v>2</v>
      </c>
      <c r="B4" s="4" t="s">
        <v>84</v>
      </c>
      <c r="C4" s="4" t="s">
        <v>85</v>
      </c>
      <c r="D4" s="4" t="s">
        <v>86</v>
      </c>
      <c r="E4" s="4" t="s">
        <v>76</v>
      </c>
      <c r="F4" s="4" t="s">
        <v>77</v>
      </c>
      <c r="G4" s="4" t="s">
        <v>87</v>
      </c>
    </row>
    <row r="5" customFormat="false" ht="15" hidden="false" customHeight="false" outlineLevel="0" collapsed="false">
      <c r="A5" s="4" t="s">
        <v>3</v>
      </c>
      <c r="B5" s="4" t="s">
        <v>88</v>
      </c>
      <c r="C5" s="4" t="s">
        <v>89</v>
      </c>
      <c r="D5" s="4" t="s">
        <v>90</v>
      </c>
      <c r="E5" s="4" t="s">
        <v>91</v>
      </c>
      <c r="F5" s="4" t="s">
        <v>77</v>
      </c>
      <c r="G5" s="4" t="s">
        <v>92</v>
      </c>
    </row>
    <row r="6" customFormat="false" ht="23.85" hidden="false" customHeight="false" outlineLevel="0" collapsed="false">
      <c r="A6" s="4" t="s">
        <v>4</v>
      </c>
      <c r="B6" s="4" t="s">
        <v>93</v>
      </c>
      <c r="C6" s="4" t="s">
        <v>94</v>
      </c>
      <c r="D6" s="4" t="s">
        <v>95</v>
      </c>
      <c r="E6" s="4" t="s">
        <v>96</v>
      </c>
      <c r="F6" s="4" t="s">
        <v>77</v>
      </c>
      <c r="G6" s="4" t="s">
        <v>97</v>
      </c>
    </row>
    <row r="7" customFormat="false" ht="23.85" hidden="false" customHeight="false" outlineLevel="0" collapsed="false">
      <c r="A7" s="4" t="s">
        <v>5</v>
      </c>
      <c r="B7" s="4" t="s">
        <v>98</v>
      </c>
      <c r="C7" s="4" t="s">
        <v>74</v>
      </c>
      <c r="D7" s="4" t="s">
        <v>99</v>
      </c>
      <c r="E7" s="4" t="s">
        <v>100</v>
      </c>
      <c r="F7" s="4" t="s">
        <v>77</v>
      </c>
      <c r="G7" s="4" t="s">
        <v>101</v>
      </c>
    </row>
    <row r="8" customFormat="false" ht="15" hidden="false" customHeight="false" outlineLevel="0" collapsed="false">
      <c r="A8" s="4" t="s">
        <v>6</v>
      </c>
      <c r="B8" s="4" t="s">
        <v>102</v>
      </c>
      <c r="C8" s="4" t="s">
        <v>94</v>
      </c>
      <c r="D8" s="4" t="s">
        <v>103</v>
      </c>
      <c r="E8" s="4" t="s">
        <v>104</v>
      </c>
      <c r="F8" s="4" t="s">
        <v>77</v>
      </c>
      <c r="G8" s="4" t="s">
        <v>105</v>
      </c>
    </row>
    <row r="9" customFormat="false" ht="15" hidden="false" customHeight="false" outlineLevel="0" collapsed="false">
      <c r="A9" s="4" t="s">
        <v>7</v>
      </c>
      <c r="B9" s="4" t="s">
        <v>106</v>
      </c>
      <c r="C9" s="4" t="s">
        <v>94</v>
      </c>
      <c r="D9" s="4" t="s">
        <v>107</v>
      </c>
      <c r="E9" s="4" t="s">
        <v>108</v>
      </c>
      <c r="F9" s="4" t="s">
        <v>77</v>
      </c>
      <c r="G9" s="4" t="s">
        <v>105</v>
      </c>
    </row>
    <row r="10" customFormat="false" ht="15" hidden="false" customHeight="false" outlineLevel="0" collapsed="false">
      <c r="A10" s="4" t="s">
        <v>8</v>
      </c>
      <c r="B10" s="4" t="s">
        <v>109</v>
      </c>
      <c r="C10" s="4" t="s">
        <v>110</v>
      </c>
      <c r="D10" s="4" t="s">
        <v>111</v>
      </c>
      <c r="E10" s="4" t="s">
        <v>112</v>
      </c>
      <c r="F10" s="4" t="s">
        <v>77</v>
      </c>
      <c r="G10" s="4" t="s">
        <v>113</v>
      </c>
    </row>
    <row r="11" customFormat="false" ht="15" hidden="false" customHeight="false" outlineLevel="0" collapsed="false">
      <c r="A11" s="4" t="s">
        <v>9</v>
      </c>
      <c r="B11" s="4" t="s">
        <v>114</v>
      </c>
      <c r="C11" s="4" t="s">
        <v>74</v>
      </c>
      <c r="D11" s="4" t="s">
        <v>111</v>
      </c>
      <c r="E11" s="4" t="s">
        <v>115</v>
      </c>
      <c r="F11" s="4" t="s">
        <v>77</v>
      </c>
      <c r="G11" s="4" t="s">
        <v>116</v>
      </c>
    </row>
    <row r="12" customFormat="false" ht="15" hidden="false" customHeight="false" outlineLevel="0" collapsed="false">
      <c r="A12" s="4" t="s">
        <v>10</v>
      </c>
      <c r="B12" s="4" t="s">
        <v>117</v>
      </c>
      <c r="C12" s="4" t="s">
        <v>110</v>
      </c>
      <c r="D12" s="4" t="s">
        <v>111</v>
      </c>
      <c r="E12" s="4" t="s">
        <v>118</v>
      </c>
      <c r="F12" s="4" t="s">
        <v>77</v>
      </c>
      <c r="G12" s="4" t="s">
        <v>116</v>
      </c>
    </row>
    <row r="13" customFormat="false" ht="23.85" hidden="false" customHeight="false" outlineLevel="0" collapsed="false">
      <c r="A13" s="4" t="s">
        <v>11</v>
      </c>
      <c r="B13" s="4" t="s">
        <v>119</v>
      </c>
      <c r="C13" s="4" t="s">
        <v>74</v>
      </c>
      <c r="D13" s="4" t="s">
        <v>111</v>
      </c>
      <c r="E13" s="4" t="s">
        <v>120</v>
      </c>
      <c r="F13" s="4" t="s">
        <v>77</v>
      </c>
      <c r="G13" s="4" t="s">
        <v>121</v>
      </c>
    </row>
    <row r="14" customFormat="false" ht="15" hidden="false" customHeight="false" outlineLevel="0" collapsed="false">
      <c r="A14" s="4" t="s">
        <v>12</v>
      </c>
      <c r="B14" s="4" t="s">
        <v>122</v>
      </c>
      <c r="C14" s="4" t="s">
        <v>74</v>
      </c>
      <c r="D14" s="4" t="s">
        <v>111</v>
      </c>
      <c r="E14" s="4" t="s">
        <v>115</v>
      </c>
      <c r="F14" s="4" t="s">
        <v>77</v>
      </c>
      <c r="G14" s="4" t="s">
        <v>123</v>
      </c>
    </row>
    <row r="15" customFormat="false" ht="23.85" hidden="false" customHeight="false" outlineLevel="0" collapsed="false">
      <c r="A15" s="4" t="s">
        <v>13</v>
      </c>
      <c r="B15" s="4" t="s">
        <v>124</v>
      </c>
      <c r="C15" s="4" t="s">
        <v>74</v>
      </c>
      <c r="D15" s="4" t="s">
        <v>111</v>
      </c>
      <c r="E15" s="4" t="s">
        <v>115</v>
      </c>
      <c r="F15" s="4" t="s">
        <v>77</v>
      </c>
      <c r="G15" s="4" t="s">
        <v>125</v>
      </c>
    </row>
    <row r="16" customFormat="false" ht="15" hidden="false" customHeight="false" outlineLevel="0" collapsed="false">
      <c r="A16" s="4" t="s">
        <v>14</v>
      </c>
      <c r="B16" s="4" t="s">
        <v>126</v>
      </c>
      <c r="C16" s="4" t="s">
        <v>74</v>
      </c>
      <c r="D16" s="4" t="s">
        <v>111</v>
      </c>
      <c r="E16" s="4" t="s">
        <v>115</v>
      </c>
      <c r="F16" s="4" t="s">
        <v>77</v>
      </c>
      <c r="G16" s="4" t="s">
        <v>127</v>
      </c>
    </row>
    <row r="17" customFormat="false" ht="15" hidden="false" customHeight="false" outlineLevel="0" collapsed="false">
      <c r="A17" s="4" t="s">
        <v>15</v>
      </c>
      <c r="B17" s="4" t="s">
        <v>128</v>
      </c>
      <c r="C17" s="4" t="s">
        <v>110</v>
      </c>
      <c r="D17" s="4" t="s">
        <v>111</v>
      </c>
      <c r="E17" s="4" t="s">
        <v>129</v>
      </c>
      <c r="F17" s="4" t="s">
        <v>77</v>
      </c>
      <c r="G17" s="4" t="s">
        <v>130</v>
      </c>
    </row>
    <row r="18" customFormat="false" ht="15" hidden="false" customHeight="false" outlineLevel="0" collapsed="false">
      <c r="A18" s="4" t="s">
        <v>16</v>
      </c>
      <c r="B18" s="4" t="s">
        <v>131</v>
      </c>
      <c r="C18" s="4" t="s">
        <v>94</v>
      </c>
      <c r="D18" s="4" t="s">
        <v>132</v>
      </c>
      <c r="E18" s="4" t="s">
        <v>133</v>
      </c>
      <c r="F18" s="4" t="s">
        <v>77</v>
      </c>
      <c r="G18" s="4" t="s">
        <v>134</v>
      </c>
    </row>
    <row r="19" customFormat="false" ht="15" hidden="false" customHeight="false" outlineLevel="0" collapsed="false">
      <c r="A19" s="4" t="s">
        <v>58</v>
      </c>
      <c r="B19" s="4" t="s">
        <v>135</v>
      </c>
      <c r="C19" s="4" t="s">
        <v>136</v>
      </c>
      <c r="D19" s="4" t="s">
        <v>137</v>
      </c>
      <c r="E19" s="4" t="s">
        <v>138</v>
      </c>
      <c r="F19" s="4" t="s">
        <v>139</v>
      </c>
      <c r="G19" s="4" t="s">
        <v>140</v>
      </c>
    </row>
    <row r="20" customFormat="false" ht="15" hidden="false" customHeight="false" outlineLevel="0" collapsed="false">
      <c r="A20" s="4" t="s">
        <v>61</v>
      </c>
      <c r="B20" s="4" t="s">
        <v>141</v>
      </c>
      <c r="C20" s="4" t="s">
        <v>136</v>
      </c>
      <c r="D20" s="4" t="s">
        <v>142</v>
      </c>
      <c r="E20" s="4" t="s">
        <v>143</v>
      </c>
      <c r="F20" s="4" t="s">
        <v>139</v>
      </c>
      <c r="G20" s="4" t="s">
        <v>144</v>
      </c>
    </row>
    <row r="21" customFormat="false" ht="15" hidden="false" customHeight="false" outlineLevel="0" collapsed="false">
      <c r="A21" s="4" t="s">
        <v>145</v>
      </c>
      <c r="B21" s="4" t="s">
        <v>146</v>
      </c>
      <c r="C21" s="4" t="s">
        <v>147</v>
      </c>
      <c r="D21" s="4" t="s">
        <v>148</v>
      </c>
      <c r="E21" s="4" t="s">
        <v>149</v>
      </c>
      <c r="F21" s="4" t="s">
        <v>139</v>
      </c>
      <c r="G21" s="4" t="s">
        <v>150</v>
      </c>
    </row>
    <row r="22" customFormat="false" ht="15" hidden="false" customHeight="false" outlineLevel="0" collapsed="false">
      <c r="A22" s="4" t="s">
        <v>151</v>
      </c>
      <c r="B22" s="4" t="s">
        <v>152</v>
      </c>
      <c r="C22" s="4" t="s">
        <v>153</v>
      </c>
      <c r="D22" s="4" t="s">
        <v>154</v>
      </c>
      <c r="E22" s="4" t="s">
        <v>155</v>
      </c>
      <c r="F22" s="4" t="s">
        <v>139</v>
      </c>
      <c r="G22" s="4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157</v>
      </c>
      <c r="B1" s="1" t="s">
        <v>158</v>
      </c>
      <c r="D1" s="1" t="s">
        <v>158</v>
      </c>
      <c r="E1" s="1" t="s">
        <v>159</v>
      </c>
    </row>
    <row r="2" customFormat="false" ht="15" hidden="false" customHeight="false" outlineLevel="0" collapsed="false">
      <c r="A2" s="2" t="s">
        <v>160</v>
      </c>
      <c r="B2" s="5" t="n">
        <v>2</v>
      </c>
      <c r="C2" s="2"/>
      <c r="D2" s="2" t="n">
        <v>0</v>
      </c>
      <c r="E2" s="2" t="s">
        <v>161</v>
      </c>
    </row>
    <row r="3" customFormat="false" ht="15" hidden="false" customHeight="false" outlineLevel="0" collapsed="false">
      <c r="A3" s="2" t="s">
        <v>162</v>
      </c>
      <c r="B3" s="5" t="n">
        <v>1</v>
      </c>
      <c r="C3" s="2"/>
      <c r="D3" s="2" t="n">
        <v>1</v>
      </c>
      <c r="E3" s="2" t="s">
        <v>163</v>
      </c>
    </row>
    <row r="4" customFormat="false" ht="15" hidden="false" customHeight="false" outlineLevel="0" collapsed="false">
      <c r="A4" s="2"/>
      <c r="B4" s="2"/>
      <c r="C4" s="2"/>
      <c r="D4" s="2" t="n">
        <v>2</v>
      </c>
      <c r="E4" s="2" t="s">
        <v>164</v>
      </c>
    </row>
    <row r="5" customFormat="false" ht="15" hidden="false" customHeight="false" outlineLevel="0" collapsed="false">
      <c r="A5" s="2"/>
      <c r="B5" s="2"/>
      <c r="C5" s="2"/>
      <c r="D5" s="2" t="n">
        <v>3</v>
      </c>
      <c r="E5" s="2" t="s">
        <v>164</v>
      </c>
    </row>
    <row r="6" customFormat="false" ht="15" hidden="false" customHeight="false" outlineLevel="0" collapsed="false">
      <c r="A6" s="2"/>
      <c r="B6" s="2"/>
      <c r="C6" s="2"/>
      <c r="D6" s="2"/>
      <c r="E6" s="2"/>
    </row>
    <row r="7" customFormat="false" ht="15" hidden="false" customHeight="false" outlineLevel="0" collapsed="false">
      <c r="A7" s="2"/>
      <c r="B7" s="2"/>
      <c r="C7" s="2"/>
      <c r="D7" s="2"/>
      <c r="E7" s="2"/>
    </row>
    <row r="8" customFormat="false" ht="15" hidden="false" customHeight="false" outlineLevel="0" collapsed="false">
      <c r="A8" s="2" t="s">
        <v>165</v>
      </c>
      <c r="B8" s="5" t="n">
        <v>1.96</v>
      </c>
      <c r="C8" s="2"/>
      <c r="D8" s="2"/>
      <c r="E8" s="2"/>
    </row>
    <row r="10" customFormat="false" ht="15" hidden="false" customHeight="false" outlineLevel="0" collapsed="false">
      <c r="A10" s="6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9" min="8" style="0" width="14"/>
    <col collapsed="false" customWidth="true" hidden="false" outlineLevel="0" max="10" min="10" style="0" width="13"/>
    <col collapsed="false" customWidth="true" hidden="false" outlineLevel="0" max="11" min="11" style="0" width="15"/>
  </cols>
  <sheetData>
    <row r="1" customFormat="false" ht="15" hidden="false" customHeight="false" outlineLevel="0" collapsed="false">
      <c r="A1" s="7" t="s">
        <v>167</v>
      </c>
    </row>
    <row r="2" customFormat="false" ht="15" hidden="false" customHeight="false" outlineLevel="0" collapsed="false">
      <c r="A2" s="6" t="s">
        <v>168</v>
      </c>
    </row>
    <row r="4" customFormat="false" ht="23.85" hidden="false" customHeight="false" outlineLevel="0" collapsed="false">
      <c r="A4" s="1" t="s">
        <v>169</v>
      </c>
      <c r="B4" s="1" t="s">
        <v>170</v>
      </c>
      <c r="C4" s="1" t="s">
        <v>171</v>
      </c>
      <c r="D4" s="1" t="s">
        <v>172</v>
      </c>
      <c r="E4" s="1" t="s">
        <v>173</v>
      </c>
      <c r="F4" s="1" t="s">
        <v>174</v>
      </c>
      <c r="G4" s="1" t="s">
        <v>175</v>
      </c>
      <c r="H4" s="1" t="s">
        <v>176</v>
      </c>
      <c r="I4" s="1" t="s">
        <v>177</v>
      </c>
      <c r="J4" s="1" t="s">
        <v>178</v>
      </c>
      <c r="K4" s="1" t="s">
        <v>179</v>
      </c>
    </row>
    <row r="5" customFormat="false" ht="15" hidden="false" customHeight="false" outlineLevel="0" collapsed="false">
      <c r="A5" s="2" t="s">
        <v>63</v>
      </c>
      <c r="B5" s="2" t="s">
        <v>180</v>
      </c>
      <c r="C5" s="8" t="n">
        <f aca="false">COUNTIFS(Cleaned_Data!$O$2:$O$4522,B5)</f>
        <v>366</v>
      </c>
      <c r="D5" s="8" t="n">
        <f aca="false">SUMIFS(Cleaned_Data!$J$2:$J$4522,Cleaned_Data!$O$2:$O$4522,B5)</f>
        <v>43</v>
      </c>
      <c r="E5" s="9" t="n">
        <f aca="false">IF(C5=0,0,D5/C5)</f>
        <v>0.117486338797814</v>
      </c>
      <c r="F5" s="9" t="n">
        <f aca="false">IF(C5=0,0,(E5+Lookups!$B$8^2/(2*C5)-Lookups!$B$8*SQRT(E5*(1-E5)/C5+Lookups!$B$8^2/(4*C5^2)))/(1+Lookups!$B$8^2/C5))</f>
        <v>0.0884026378349988</v>
      </c>
      <c r="G5" s="9" t="n">
        <f aca="false">IF(C5=0,0,(E5+Lookups!$B$8^2/(2*C5)+Lookups!$B$8*SQRT(E5*(1-E5)/C5+Lookups!$B$8^2/(4*C5^2)))/(1+Lookups!$B$8^2/C5))</f>
        <v>0.15451649294964</v>
      </c>
      <c r="H5" s="9" t="n">
        <f aca="false">C5/Summary!$B$4</f>
        <v>0.0809555408095554</v>
      </c>
      <c r="I5" s="9" t="n">
        <f aca="false">D5/Summary!$B$5</f>
        <v>0.565789473684211</v>
      </c>
      <c r="J5" s="10" t="n">
        <f aca="false">E5/Summary!$B$6</f>
        <v>6.98889128559103</v>
      </c>
      <c r="K5" s="2" t="str">
        <f aca="false">IF(C5&lt;100,"Small sample",IF(J5&gt;=2,"High",IF(J5&lt;0.5,"Low","Near portfolio")))</f>
        <v>High</v>
      </c>
    </row>
    <row r="6" customFormat="false" ht="15" hidden="false" customHeight="false" outlineLevel="0" collapsed="false">
      <c r="A6" s="2" t="s">
        <v>63</v>
      </c>
      <c r="B6" s="2" t="s">
        <v>181</v>
      </c>
      <c r="C6" s="8" t="n">
        <f aca="false">COUNTIFS(Cleaned_Data!$O$2:$O$4522,B6)</f>
        <v>357</v>
      </c>
      <c r="D6" s="8" t="n">
        <f aca="false">SUMIFS(Cleaned_Data!$J$2:$J$4522,Cleaned_Data!$O$2:$O$4522,B6)</f>
        <v>7</v>
      </c>
      <c r="E6" s="9" t="n">
        <f aca="false">IF(C6=0,0,D6/C6)</f>
        <v>0.0196078431372549</v>
      </c>
      <c r="F6" s="9" t="n">
        <f aca="false">IF(C6=0,0,(E6+Lookups!$B$8^2/(2*C6)-Lookups!$B$8*SQRT(E6*(1-E6)/C6+Lookups!$B$8^2/(4*C6^2)))/(1+Lookups!$B$8^2/C6))</f>
        <v>0.00952967282519791</v>
      </c>
      <c r="G6" s="9" t="n">
        <f aca="false">IF(C6=0,0,(E6+Lookups!$B$8^2/(2*C6)+Lookups!$B$8*SQRT(E6*(1-E6)/C6+Lookups!$B$8^2/(4*C6^2)))/(1+Lookups!$B$8^2/C6))</f>
        <v>0.0399147371319689</v>
      </c>
      <c r="H6" s="9" t="n">
        <f aca="false">C6/Summary!$B$4</f>
        <v>0.0789648307896483</v>
      </c>
      <c r="I6" s="9" t="n">
        <f aca="false">D6/Summary!$B$5</f>
        <v>0.0921052631578947</v>
      </c>
      <c r="J6" s="10" t="n">
        <f aca="false">E6/Summary!$B$6</f>
        <v>1.16640866873065</v>
      </c>
      <c r="K6" s="2" t="str">
        <f aca="false">IF(C6&lt;100,"Small sample",IF(J6&gt;=2,"High",IF(J6&lt;0.5,"Low","Near portfolio")))</f>
        <v>Near portfolio</v>
      </c>
    </row>
    <row r="7" customFormat="false" ht="15" hidden="false" customHeight="false" outlineLevel="0" collapsed="false">
      <c r="A7" s="2" t="s">
        <v>63</v>
      </c>
      <c r="B7" s="2" t="s">
        <v>182</v>
      </c>
      <c r="C7" s="8" t="n">
        <f aca="false">COUNTIFS(Cleaned_Data!$O$2:$O$4522,B7)</f>
        <v>1664</v>
      </c>
      <c r="D7" s="8" t="n">
        <f aca="false">SUMIFS(Cleaned_Data!$J$2:$J$4522,Cleaned_Data!$O$2:$O$4522,B7)</f>
        <v>24</v>
      </c>
      <c r="E7" s="9" t="n">
        <f aca="false">IF(C7=0,0,D7/C7)</f>
        <v>0.0144230769230769</v>
      </c>
      <c r="F7" s="9" t="n">
        <f aca="false">IF(C7=0,0,(E7+Lookups!$B$8^2/(2*C7)-Lookups!$B$8*SQRT(E7*(1-E7)/C7+Lookups!$B$8^2/(4*C7^2)))/(1+Lookups!$B$8^2/C7))</f>
        <v>0.00971117502152485</v>
      </c>
      <c r="G7" s="9" t="n">
        <f aca="false">IF(C7=0,0,(E7+Lookups!$B$8^2/(2*C7)+Lookups!$B$8*SQRT(E7*(1-E7)/C7+Lookups!$B$8^2/(4*C7^2)))/(1+Lookups!$B$8^2/C7))</f>
        <v>0.0213718726731723</v>
      </c>
      <c r="H7" s="9" t="n">
        <f aca="false">C7/Summary!$B$4</f>
        <v>0.368060163680602</v>
      </c>
      <c r="I7" s="9" t="n">
        <f aca="false">D7/Summary!$B$5</f>
        <v>0.315789473684211</v>
      </c>
      <c r="J7" s="10" t="n">
        <f aca="false">E7/Summary!$B$6</f>
        <v>0.857983299595142</v>
      </c>
      <c r="K7" s="2" t="str">
        <f aca="false">IF(C7&lt;100,"Small sample",IF(J7&gt;=2,"High",IF(J7&lt;0.5,"Low","Near portfolio")))</f>
        <v>Near portfolio</v>
      </c>
    </row>
    <row r="8" customFormat="false" ht="15" hidden="false" customHeight="false" outlineLevel="0" collapsed="false">
      <c r="A8" s="2" t="s">
        <v>63</v>
      </c>
      <c r="B8" s="2" t="s">
        <v>183</v>
      </c>
      <c r="C8" s="8" t="n">
        <f aca="false">COUNTIFS(Cleaned_Data!$O$2:$O$4522,B8)</f>
        <v>1247</v>
      </c>
      <c r="D8" s="8" t="n">
        <f aca="false">SUMIFS(Cleaned_Data!$J$2:$J$4522,Cleaned_Data!$O$2:$O$4522,B8)</f>
        <v>2</v>
      </c>
      <c r="E8" s="9" t="n">
        <f aca="false">IF(C8=0,0,D8/C8)</f>
        <v>0.00160384923817161</v>
      </c>
      <c r="F8" s="9" t="n">
        <f aca="false">IF(C8=0,0,(E8+Lookups!$B$8^2/(2*C8)-Lookups!$B$8*SQRT(E8*(1-E8)/C8+Lookups!$B$8^2/(4*C8^2)))/(1+Lookups!$B$8^2/C8))</f>
        <v>0.00043993434301491</v>
      </c>
      <c r="G8" s="9" t="n">
        <f aca="false">IF(C8=0,0,(E8+Lookups!$B$8^2/(2*C8)+Lookups!$B$8*SQRT(E8*(1-E8)/C8+Lookups!$B$8^2/(4*C8^2)))/(1+Lookups!$B$8^2/C8))</f>
        <v>0.00582912482482857</v>
      </c>
      <c r="H8" s="9" t="n">
        <f aca="false">C8/Summary!$B$4</f>
        <v>0.275823932758239</v>
      </c>
      <c r="I8" s="9" t="n">
        <f aca="false">D8/Summary!$B$5</f>
        <v>0.0263157894736842</v>
      </c>
      <c r="J8" s="10" t="n">
        <f aca="false">E8/Summary!$B$6</f>
        <v>0.0954079263917613</v>
      </c>
      <c r="K8" s="2" t="str">
        <f aca="false">IF(C8&lt;100,"Small sample",IF(J8&gt;=2,"High",IF(J8&lt;0.5,"Low","Near portfolio")))</f>
        <v>Low</v>
      </c>
    </row>
    <row r="9" customFormat="false" ht="15" hidden="false" customHeight="false" outlineLevel="0" collapsed="false">
      <c r="A9" s="2" t="s">
        <v>63</v>
      </c>
      <c r="B9" s="2" t="s">
        <v>184</v>
      </c>
      <c r="C9" s="8" t="n">
        <f aca="false">COUNTIFS(Cleaned_Data!$O$2:$O$4522,B9)</f>
        <v>887</v>
      </c>
      <c r="D9" s="8" t="n">
        <f aca="false">SUMIFS(Cleaned_Data!$J$2:$J$4522,Cleaned_Data!$O$2:$O$4522,B9)</f>
        <v>0</v>
      </c>
      <c r="E9" s="9" t="n">
        <f aca="false">IF(C9=0,0,D9/C9)</f>
        <v>0</v>
      </c>
      <c r="F9" s="9" t="n">
        <f aca="false">IF(C9=0,0,(E9+Lookups!$B$8^2/(2*C9)-Lookups!$B$8*SQRT(E9*(1-E9)/C9+Lookups!$B$8^2/(4*C9^2)))/(1+Lookups!$B$8^2/C9))</f>
        <v>0</v>
      </c>
      <c r="G9" s="9" t="n">
        <f aca="false">IF(C9=0,0,(E9+Lookups!$B$8^2/(2*C9)+Lookups!$B$8*SQRT(E9*(1-E9)/C9+Lookups!$B$8^2/(4*C9^2)))/(1+Lookups!$B$8^2/C9))</f>
        <v>0.00431232668074773</v>
      </c>
      <c r="H9" s="9" t="n">
        <f aca="false">C9/Summary!$B$4</f>
        <v>0.196195531961955</v>
      </c>
      <c r="I9" s="9" t="n">
        <f aca="false">D9/Summary!$B$5</f>
        <v>0</v>
      </c>
      <c r="J9" s="10" t="n">
        <f aca="false">E9/Summary!$B$6</f>
        <v>0</v>
      </c>
      <c r="K9" s="2" t="str">
        <f aca="false">IF(C9&lt;100,"Small sample",IF(J9&gt;=2,"High",IF(J9&lt;0.5,"Low","Near portfolio")))</f>
        <v>Low</v>
      </c>
    </row>
    <row r="10" customFormat="false" ht="15" hidden="false" customHeight="false" outlineLevel="0" collapsed="false">
      <c r="A10" s="2"/>
      <c r="B10" s="2"/>
      <c r="C10" s="8"/>
      <c r="D10" s="8"/>
      <c r="E10" s="9"/>
      <c r="F10" s="9"/>
      <c r="G10" s="9"/>
      <c r="H10" s="9"/>
      <c r="I10" s="9"/>
      <c r="J10" s="10"/>
      <c r="K10" s="2"/>
    </row>
    <row r="11" customFormat="false" ht="15" hidden="false" customHeight="false" outlineLevel="0" collapsed="false">
      <c r="A11" s="2" t="s">
        <v>57</v>
      </c>
      <c r="B11" s="2" t="s">
        <v>26</v>
      </c>
      <c r="C11" s="8" t="n">
        <f aca="false">COUNTIFS(Cleaned_Data!$I$2:$I$4522,B11)</f>
        <v>691</v>
      </c>
      <c r="D11" s="8" t="n">
        <f aca="false">SUMIFS(Cleaned_Data!$J$2:$J$4522,Cleaned_Data!$I$2:$I$4522,B11)</f>
        <v>25</v>
      </c>
      <c r="E11" s="9" t="n">
        <f aca="false">IF(C11=0,0,D11/C11)</f>
        <v>0.0361794500723589</v>
      </c>
      <c r="F11" s="9" t="n">
        <f aca="false">IF(C11=0,0,(E11+Lookups!$B$8^2/(2*C11)-Lookups!$B$8*SQRT(E11*(1-E11)/C11+Lookups!$B$8^2/(4*C11^2)))/(1+Lookups!$B$8^2/C11))</f>
        <v>0.0246240970980326</v>
      </c>
      <c r="G11" s="9" t="n">
        <f aca="false">IF(C11=0,0,(E11+Lookups!$B$8^2/(2*C11)+Lookups!$B$8*SQRT(E11*(1-E11)/C11+Lookups!$B$8^2/(4*C11^2)))/(1+Lookups!$B$8^2/C11))</f>
        <v>0.0528634914401321</v>
      </c>
      <c r="H11" s="9" t="n">
        <f aca="false">C11/Summary!$B$4</f>
        <v>0.152842291528423</v>
      </c>
      <c r="I11" s="9" t="n">
        <f aca="false">D11/Summary!$B$5</f>
        <v>0.328947368421053</v>
      </c>
      <c r="J11" s="10" t="n">
        <f aca="false">E11/Summary!$B$6</f>
        <v>2.15220123390967</v>
      </c>
      <c r="K11" s="2" t="str">
        <f aca="false">IF(C11&lt;100,"Small sample",IF(J11&gt;=2,"High",IF(J11&lt;0.5,"Low","Near portfolio")))</f>
        <v>High</v>
      </c>
    </row>
    <row r="12" customFormat="false" ht="15" hidden="false" customHeight="false" outlineLevel="0" collapsed="false">
      <c r="A12" s="2" t="s">
        <v>57</v>
      </c>
      <c r="B12" s="2" t="s">
        <v>20</v>
      </c>
      <c r="C12" s="8" t="n">
        <f aca="false">COUNTIFS(Cleaned_Data!$I$2:$I$4522,B12)</f>
        <v>3830</v>
      </c>
      <c r="D12" s="8" t="n">
        <f aca="false">SUMIFS(Cleaned_Data!$J$2:$J$4522,Cleaned_Data!$I$2:$I$4522,B12)</f>
        <v>51</v>
      </c>
      <c r="E12" s="9" t="n">
        <f aca="false">IF(C12=0,0,D12/C12)</f>
        <v>0.0133159268929504</v>
      </c>
      <c r="F12" s="9" t="n">
        <f aca="false">IF(C12=0,0,(E12+Lookups!$B$8^2/(2*C12)-Lookups!$B$8*SQRT(E12*(1-E12)/C12+Lookups!$B$8^2/(4*C12^2)))/(1+Lookups!$B$8^2/C12))</f>
        <v>0.0101425820412568</v>
      </c>
      <c r="G12" s="9" t="n">
        <f aca="false">IF(C12=0,0,(E12+Lookups!$B$8^2/(2*C12)+Lookups!$B$8*SQRT(E12*(1-E12)/C12+Lookups!$B$8^2/(4*C12^2)))/(1+Lookups!$B$8^2/C12))</f>
        <v>0.0174646096590993</v>
      </c>
      <c r="H12" s="9" t="n">
        <f aca="false">C12/Summary!$B$4</f>
        <v>0.847157708471577</v>
      </c>
      <c r="I12" s="9" t="n">
        <f aca="false">D12/Summary!$B$5</f>
        <v>0.671052631578947</v>
      </c>
      <c r="J12" s="10" t="n">
        <f aca="false">E12/Summary!$B$6</f>
        <v>0.792122440566167</v>
      </c>
      <c r="K12" s="2" t="str">
        <f aca="false">IF(C12&lt;100,"Small sample",IF(J12&gt;=2,"High",IF(J12&lt;0.5,"Low","Near portfolio")))</f>
        <v>Near portfolio</v>
      </c>
    </row>
    <row r="13" customFormat="false" ht="15" hidden="false" customHeight="false" outlineLevel="0" collapsed="false">
      <c r="A13" s="2"/>
      <c r="B13" s="2"/>
      <c r="C13" s="8"/>
      <c r="D13" s="8"/>
      <c r="E13" s="9"/>
      <c r="F13" s="9"/>
      <c r="G13" s="9"/>
      <c r="H13" s="9"/>
      <c r="I13" s="9"/>
      <c r="J13" s="10"/>
      <c r="K13" s="2"/>
    </row>
    <row r="14" customFormat="false" ht="15" hidden="false" customHeight="false" outlineLevel="0" collapsed="false">
      <c r="A14" s="2" t="s">
        <v>56</v>
      </c>
      <c r="B14" s="2" t="s">
        <v>26</v>
      </c>
      <c r="C14" s="8" t="n">
        <f aca="false">COUNTIFS(Cleaned_Data!$H$2:$H$4522,B14)</f>
        <v>2559</v>
      </c>
      <c r="D14" s="8" t="n">
        <f aca="false">SUMIFS(Cleaned_Data!$J$2:$J$4522,Cleaned_Data!$H$2:$H$4522,B14)</f>
        <v>45</v>
      </c>
      <c r="E14" s="9" t="n">
        <f aca="false">IF(C14=0,0,D14/C14)</f>
        <v>0.0175849941383353</v>
      </c>
      <c r="F14" s="9" t="n">
        <f aca="false">IF(C14=0,0,(E14+Lookups!$B$8^2/(2*C14)-Lookups!$B$8*SQRT(E14*(1-E14)/C14+Lookups!$B$8^2/(4*C14^2)))/(1+Lookups!$B$8^2/C14))</f>
        <v>0.0131682126912153</v>
      </c>
      <c r="G14" s="9" t="n">
        <f aca="false">IF(C14=0,0,(E14+Lookups!$B$8^2/(2*C14)+Lookups!$B$8*SQRT(E14*(1-E14)/C14+Lookups!$B$8^2/(4*C14^2)))/(1+Lookups!$B$8^2/C14))</f>
        <v>0.0234480182923929</v>
      </c>
      <c r="H14" s="9" t="n">
        <f aca="false">C14/Summary!$B$4</f>
        <v>0.566025215660252</v>
      </c>
      <c r="I14" s="9" t="n">
        <f aca="false">D14/Summary!$B$5</f>
        <v>0.592105263157895</v>
      </c>
      <c r="J14" s="10" t="n">
        <f aca="false">E14/Summary!$B$6</f>
        <v>1.04607576972913</v>
      </c>
      <c r="K14" s="2" t="str">
        <f aca="false">IF(C14&lt;100,"Small sample",IF(J14&gt;=2,"High",IF(J14&lt;0.5,"Low","Near portfolio")))</f>
        <v>Near portfolio</v>
      </c>
    </row>
    <row r="15" customFormat="false" ht="15" hidden="false" customHeight="false" outlineLevel="0" collapsed="false">
      <c r="A15" s="2" t="s">
        <v>56</v>
      </c>
      <c r="B15" s="2" t="s">
        <v>20</v>
      </c>
      <c r="C15" s="8" t="n">
        <f aca="false">COUNTIFS(Cleaned_Data!$H$2:$H$4522,B15)</f>
        <v>1962</v>
      </c>
      <c r="D15" s="8" t="n">
        <f aca="false">SUMIFS(Cleaned_Data!$J$2:$J$4522,Cleaned_Data!$H$2:$H$4522,B15)</f>
        <v>31</v>
      </c>
      <c r="E15" s="9" t="n">
        <f aca="false">IF(C15=0,0,D15/C15)</f>
        <v>0.0158002038735984</v>
      </c>
      <c r="F15" s="9" t="n">
        <f aca="false">IF(C15=0,0,(E15+Lookups!$B$8^2/(2*C15)-Lookups!$B$8*SQRT(E15*(1-E15)/C15+Lookups!$B$8^2/(4*C15^2)))/(1+Lookups!$B$8^2/C15))</f>
        <v>0.0111532196384881</v>
      </c>
      <c r="G15" s="9" t="n">
        <f aca="false">IF(C15=0,0,(E15+Lookups!$B$8^2/(2*C15)+Lookups!$B$8*SQRT(E15*(1-E15)/C15+Lookups!$B$8^2/(4*C15^2)))/(1+Lookups!$B$8^2/C15))</f>
        <v>0.0223396111165432</v>
      </c>
      <c r="H15" s="9" t="n">
        <f aca="false">C15/Summary!$B$4</f>
        <v>0.433974784339748</v>
      </c>
      <c r="I15" s="9" t="n">
        <f aca="false">D15/Summary!$B$5</f>
        <v>0.407894736842105</v>
      </c>
      <c r="J15" s="10" t="n">
        <f aca="false">E15/Summary!$B$6</f>
        <v>0.939904233059714</v>
      </c>
      <c r="K15" s="2" t="str">
        <f aca="false">IF(C15&lt;100,"Small sample",IF(J15&gt;=2,"High",IF(J15&lt;0.5,"Low","Near portfolio")))</f>
        <v>Near portfolio</v>
      </c>
    </row>
    <row r="16" customFormat="false" ht="15" hidden="false" customHeight="false" outlineLevel="0" collapsed="false">
      <c r="A16" s="2"/>
      <c r="B16" s="2"/>
      <c r="C16" s="8"/>
      <c r="D16" s="8"/>
      <c r="E16" s="9"/>
      <c r="F16" s="9"/>
      <c r="G16" s="9"/>
      <c r="H16" s="9"/>
      <c r="I16" s="9"/>
      <c r="J16" s="10"/>
      <c r="K16" s="2"/>
    </row>
    <row r="17" customFormat="false" ht="15" hidden="false" customHeight="false" outlineLevel="0" collapsed="false">
      <c r="A17" s="2" t="s">
        <v>62</v>
      </c>
      <c r="B17" s="2" t="s">
        <v>185</v>
      </c>
      <c r="C17" s="8" t="n">
        <f aca="false">COUNTIFS(Cleaned_Data!$N$2:$N$4522,B17)</f>
        <v>482</v>
      </c>
      <c r="D17" s="8" t="n">
        <f aca="false">SUMIFS(Cleaned_Data!$J$2:$J$4522,Cleaned_Data!$N$2:$N$4522,B17)</f>
        <v>11</v>
      </c>
      <c r="E17" s="9" t="n">
        <f aca="false">IF(C17=0,0,D17/C17)</f>
        <v>0.0228215767634855</v>
      </c>
      <c r="F17" s="9" t="n">
        <f aca="false">IF(C17=0,0,(E17+Lookups!$B$8^2/(2*C17)-Lookups!$B$8*SQRT(E17*(1-E17)/C17+Lookups!$B$8^2/(4*C17^2)))/(1+Lookups!$B$8^2/C17))</f>
        <v>0.0127899434371217</v>
      </c>
      <c r="G17" s="9" t="n">
        <f aca="false">IF(C17=0,0,(E17+Lookups!$B$8^2/(2*C17)+Lookups!$B$8*SQRT(E17*(1-E17)/C17+Lookups!$B$8^2/(4*C17^2)))/(1+Lookups!$B$8^2/C17))</f>
        <v>0.040399408812665</v>
      </c>
      <c r="H17" s="9" t="n">
        <f aca="false">C17/Summary!$B$4</f>
        <v>0.106613581066136</v>
      </c>
      <c r="I17" s="9" t="n">
        <f aca="false">D17/Summary!$B$5</f>
        <v>0.144736842105263</v>
      </c>
      <c r="J17" s="10" t="n">
        <f aca="false">E17/Summary!$B$6</f>
        <v>1.3575835335226</v>
      </c>
      <c r="K17" s="2" t="str">
        <f aca="false">IF(C17&lt;100,"Small sample",IF(J17&gt;=2,"High",IF(J17&lt;0.5,"Low","Near portfolio")))</f>
        <v>Near portfolio</v>
      </c>
    </row>
    <row r="18" customFormat="false" ht="15" hidden="false" customHeight="false" outlineLevel="0" collapsed="false">
      <c r="A18" s="2" t="s">
        <v>62</v>
      </c>
      <c r="B18" s="2" t="s">
        <v>186</v>
      </c>
      <c r="C18" s="8" t="n">
        <f aca="false">COUNTIFS(Cleaned_Data!$N$2:$N$4522,B18)</f>
        <v>1808</v>
      </c>
      <c r="D18" s="8" t="n">
        <f aca="false">SUMIFS(Cleaned_Data!$J$2:$J$4522,Cleaned_Data!$N$2:$N$4522,B18)</f>
        <v>28</v>
      </c>
      <c r="E18" s="9" t="n">
        <f aca="false">IF(C18=0,0,D18/C18)</f>
        <v>0.0154867256637168</v>
      </c>
      <c r="F18" s="9" t="n">
        <f aca="false">IF(C18=0,0,(E18+Lookups!$B$8^2/(2*C18)-Lookups!$B$8*SQRT(E18*(1-E18)/C18+Lookups!$B$8^2/(4*C18^2)))/(1+Lookups!$B$8^2/C18))</f>
        <v>0.0107362310077768</v>
      </c>
      <c r="G18" s="9" t="n">
        <f aca="false">IF(C18=0,0,(E18+Lookups!$B$8^2/(2*C18)+Lookups!$B$8*SQRT(E18*(1-E18)/C18+Lookups!$B$8^2/(4*C18^2)))/(1+Lookups!$B$8^2/C18))</f>
        <v>0.0222918217756454</v>
      </c>
      <c r="H18" s="9" t="n">
        <f aca="false">C18/Summary!$B$4</f>
        <v>0.399911523999115</v>
      </c>
      <c r="I18" s="9" t="n">
        <f aca="false">D18/Summary!$B$5</f>
        <v>0.368421052631579</v>
      </c>
      <c r="J18" s="10" t="n">
        <f aca="false">E18/Summary!$B$6</f>
        <v>0.921256404285049</v>
      </c>
      <c r="K18" s="2" t="str">
        <f aca="false">IF(C18&lt;100,"Small sample",IF(J18&gt;=2,"High",IF(J18&lt;0.5,"Low","Near portfolio")))</f>
        <v>Near portfolio</v>
      </c>
    </row>
    <row r="19" customFormat="false" ht="15" hidden="false" customHeight="false" outlineLevel="0" collapsed="false">
      <c r="A19" s="2" t="s">
        <v>62</v>
      </c>
      <c r="B19" s="2" t="s">
        <v>187</v>
      </c>
      <c r="C19" s="8" t="n">
        <f aca="false">COUNTIFS(Cleaned_Data!$N$2:$N$4522,B19)</f>
        <v>1203</v>
      </c>
      <c r="D19" s="8" t="n">
        <f aca="false">SUMIFS(Cleaned_Data!$J$2:$J$4522,Cleaned_Data!$N$2:$N$4522,B19)</f>
        <v>23</v>
      </c>
      <c r="E19" s="9" t="n">
        <f aca="false">IF(C19=0,0,D19/C19)</f>
        <v>0.0191188694929343</v>
      </c>
      <c r="F19" s="9" t="n">
        <f aca="false">IF(C19=0,0,(E19+Lookups!$B$8^2/(2*C19)-Lookups!$B$8*SQRT(E19*(1-E19)/C19+Lookups!$B$8^2/(4*C19^2)))/(1+Lookups!$B$8^2/C19))</f>
        <v>0.0127731514958807</v>
      </c>
      <c r="G19" s="9" t="n">
        <f aca="false">IF(C19=0,0,(E19+Lookups!$B$8^2/(2*C19)+Lookups!$B$8*SQRT(E19*(1-E19)/C19+Lookups!$B$8^2/(4*C19^2)))/(1+Lookups!$B$8^2/C19))</f>
        <v>0.0285260546302588</v>
      </c>
      <c r="H19" s="9" t="n">
        <f aca="false">C19/Summary!$B$4</f>
        <v>0.266091572660916</v>
      </c>
      <c r="I19" s="9" t="n">
        <f aca="false">D19/Summary!$B$5</f>
        <v>0.302631578947368</v>
      </c>
      <c r="J19" s="10" t="n">
        <f aca="false">E19/Summary!$B$6</f>
        <v>1.13732117075732</v>
      </c>
      <c r="K19" s="2" t="str">
        <f aca="false">IF(C19&lt;100,"Small sample",IF(J19&gt;=2,"High",IF(J19&lt;0.5,"Low","Near portfolio")))</f>
        <v>Near portfolio</v>
      </c>
    </row>
    <row r="20" customFormat="false" ht="15" hidden="false" customHeight="false" outlineLevel="0" collapsed="false">
      <c r="A20" s="2" t="s">
        <v>62</v>
      </c>
      <c r="B20" s="2" t="s">
        <v>188</v>
      </c>
      <c r="C20" s="8" t="n">
        <f aca="false">COUNTIFS(Cleaned_Data!$N$2:$N$4522,B20)</f>
        <v>854</v>
      </c>
      <c r="D20" s="8" t="n">
        <f aca="false">SUMIFS(Cleaned_Data!$J$2:$J$4522,Cleaned_Data!$N$2:$N$4522,B20)</f>
        <v>14</v>
      </c>
      <c r="E20" s="9" t="n">
        <f aca="false">IF(C20=0,0,D20/C20)</f>
        <v>0.0163934426229508</v>
      </c>
      <c r="F20" s="9" t="n">
        <f aca="false">IF(C20=0,0,(E20+Lookups!$B$8^2/(2*C20)-Lookups!$B$8*SQRT(E20*(1-E20)/C20+Lookups!$B$8^2/(4*C20^2)))/(1+Lookups!$B$8^2/C20))</f>
        <v>0.00978986632365689</v>
      </c>
      <c r="G20" s="9" t="n">
        <f aca="false">IF(C20=0,0,(E20+Lookups!$B$8^2/(2*C20)+Lookups!$B$8*SQRT(E20*(1-E20)/C20+Lookups!$B$8^2/(4*C20^2)))/(1+Lookups!$B$8^2/C20))</f>
        <v>0.027328408192291</v>
      </c>
      <c r="H20" s="9" t="n">
        <f aca="false">C20/Summary!$B$4</f>
        <v>0.188896261888963</v>
      </c>
      <c r="I20" s="9" t="n">
        <f aca="false">D20/Summary!$B$5</f>
        <v>0.184210526315789</v>
      </c>
      <c r="J20" s="10" t="n">
        <f aca="false">E20/Summary!$B$6</f>
        <v>0.975194132873167</v>
      </c>
      <c r="K20" s="2" t="str">
        <f aca="false">IF(C20&lt;100,"Small sample",IF(J20&gt;=2,"High",IF(J20&lt;0.5,"Low","Near portfolio")))</f>
        <v>Near portfolio</v>
      </c>
    </row>
    <row r="21" customFormat="false" ht="15" hidden="false" customHeight="false" outlineLevel="0" collapsed="false">
      <c r="A21" s="2" t="s">
        <v>62</v>
      </c>
      <c r="B21" s="2" t="s">
        <v>189</v>
      </c>
      <c r="C21" s="8" t="n">
        <f aca="false">COUNTIFS(Cleaned_Data!$N$2:$N$4522,B21)</f>
        <v>174</v>
      </c>
      <c r="D21" s="8" t="n">
        <f aca="false">SUMIFS(Cleaned_Data!$J$2:$J$4522,Cleaned_Data!$N$2:$N$4522,B21)</f>
        <v>0</v>
      </c>
      <c r="E21" s="9" t="n">
        <f aca="false">IF(C21=0,0,D21/C21)</f>
        <v>0</v>
      </c>
      <c r="F21" s="9" t="n">
        <f aca="false">IF(C21=0,0,(E21+Lookups!$B$8^2/(2*C21)-Lookups!$B$8*SQRT(E21*(1-E21)/C21+Lookups!$B$8^2/(4*C21^2)))/(1+Lookups!$B$8^2/C21))</f>
        <v>0</v>
      </c>
      <c r="G21" s="9" t="n">
        <f aca="false">IF(C21=0,0,(E21+Lookups!$B$8^2/(2*C21)+Lookups!$B$8*SQRT(E21*(1-E21)/C21+Lookups!$B$8^2/(4*C21^2)))/(1+Lookups!$B$8^2/C21))</f>
        <v>0.0216012451529901</v>
      </c>
      <c r="H21" s="9" t="n">
        <f aca="false">C21/Summary!$B$4</f>
        <v>0.0384870603848706</v>
      </c>
      <c r="I21" s="9" t="n">
        <f aca="false">D21/Summary!$B$5</f>
        <v>0</v>
      </c>
      <c r="J21" s="10" t="n">
        <f aca="false">E21/Summary!$B$6</f>
        <v>0</v>
      </c>
      <c r="K21" s="2" t="str">
        <f aca="false">IF(C21&lt;100,"Small sample",IF(J21&gt;=2,"High",IF(J21&lt;0.5,"Low","Near portfolio")))</f>
        <v>Low</v>
      </c>
    </row>
    <row r="22" customFormat="false" ht="15" hidden="false" customHeight="false" outlineLevel="0" collapsed="false">
      <c r="A22" s="2"/>
      <c r="B22" s="2"/>
      <c r="C22" s="8"/>
      <c r="D22" s="8"/>
      <c r="E22" s="9"/>
      <c r="F22" s="9"/>
      <c r="G22" s="9"/>
      <c r="H22" s="9"/>
      <c r="I22" s="9"/>
      <c r="J22" s="10"/>
      <c r="K22" s="2"/>
    </row>
    <row r="23" customFormat="false" ht="15" hidden="false" customHeight="false" outlineLevel="0" collapsed="false">
      <c r="A23" s="2" t="s">
        <v>1</v>
      </c>
      <c r="B23" s="2" t="s">
        <v>190</v>
      </c>
      <c r="C23" s="8" t="n">
        <f aca="false">COUNTIFS(Cleaned_Data!$C$2:$C$4522,B23)</f>
        <v>478</v>
      </c>
      <c r="D23" s="8" t="n">
        <f aca="false">SUMIFS(Cleaned_Data!$J$2:$J$4522,Cleaned_Data!$C$2:$C$4522,B23)</f>
        <v>6</v>
      </c>
      <c r="E23" s="9" t="n">
        <f aca="false">IF(C23=0,0,D23/C23)</f>
        <v>0.0125523012552301</v>
      </c>
      <c r="F23" s="9" t="n">
        <f aca="false">IF(C23=0,0,(E23+Lookups!$B$8^2/(2*C23)-Lookups!$B$8*SQRT(E23*(1-E23)/C23+Lookups!$B$8^2/(4*C23^2)))/(1+Lookups!$B$8^2/C23))</f>
        <v>0.00576510670142105</v>
      </c>
      <c r="G23" s="9" t="n">
        <f aca="false">IF(C23=0,0,(E23+Lookups!$B$8^2/(2*C23)+Lookups!$B$8*SQRT(E23*(1-E23)/C23+Lookups!$B$8^2/(4*C23^2)))/(1+Lookups!$B$8^2/C23))</f>
        <v>0.0271120877956917</v>
      </c>
      <c r="H23" s="9" t="n">
        <f aca="false">C23/Summary!$B$4</f>
        <v>0.105728821057288</v>
      </c>
      <c r="I23" s="9" t="n">
        <f aca="false">D23/Summary!$B$5</f>
        <v>0.0789473684210526</v>
      </c>
      <c r="J23" s="10" t="n">
        <f aca="false">E23/Summary!$B$6</f>
        <v>0.746696762827571</v>
      </c>
      <c r="K23" s="2" t="str">
        <f aca="false">IF(C23&lt;100,"Small sample",IF(J23&gt;=2,"High",IF(J23&lt;0.5,"Low","Near portfolio")))</f>
        <v>Near portfolio</v>
      </c>
    </row>
    <row r="24" customFormat="false" ht="15" hidden="false" customHeight="false" outlineLevel="0" collapsed="false">
      <c r="A24" s="2" t="s">
        <v>1</v>
      </c>
      <c r="B24" s="2" t="s">
        <v>34</v>
      </c>
      <c r="C24" s="8" t="n">
        <f aca="false">COUNTIFS(Cleaned_Data!$C$2:$C$4522,B24)</f>
        <v>946</v>
      </c>
      <c r="D24" s="8" t="n">
        <f aca="false">SUMIFS(Cleaned_Data!$J$2:$J$4522,Cleaned_Data!$C$2:$C$4522,B24)</f>
        <v>14</v>
      </c>
      <c r="E24" s="9" t="n">
        <f aca="false">IF(C24=0,0,D24/C24)</f>
        <v>0.0147991543340381</v>
      </c>
      <c r="F24" s="9" t="n">
        <f aca="false">IF(C24=0,0,(E24+Lookups!$B$8^2/(2*C24)-Lookups!$B$8*SQRT(E24*(1-E24)/C24+Lookups!$B$8^2/(4*C24^2)))/(1+Lookups!$B$8^2/C24))</f>
        <v>0.00883563916952723</v>
      </c>
      <c r="G24" s="9" t="n">
        <f aca="false">IF(C24=0,0,(E24+Lookups!$B$8^2/(2*C24)+Lookups!$B$8*SQRT(E24*(1-E24)/C24+Lookups!$B$8^2/(4*C24^2)))/(1+Lookups!$B$8^2/C24))</f>
        <v>0.0246874240443813</v>
      </c>
      <c r="H24" s="9" t="n">
        <f aca="false">C24/Summary!$B$4</f>
        <v>0.209245742092457</v>
      </c>
      <c r="I24" s="9" t="n">
        <f aca="false">D24/Summary!$B$5</f>
        <v>0.184210526315789</v>
      </c>
      <c r="J24" s="10" t="n">
        <f aca="false">E24/Summary!$B$6</f>
        <v>0.880354957160343</v>
      </c>
      <c r="K24" s="2" t="str">
        <f aca="false">IF(C24&lt;100,"Small sample",IF(J24&gt;=2,"High",IF(J24&lt;0.5,"Low","Near portfolio")))</f>
        <v>Near portfolio</v>
      </c>
    </row>
    <row r="25" customFormat="false" ht="15" hidden="false" customHeight="false" outlineLevel="0" collapsed="false">
      <c r="A25" s="2" t="s">
        <v>1</v>
      </c>
      <c r="B25" s="2" t="s">
        <v>39</v>
      </c>
      <c r="C25" s="8" t="n">
        <f aca="false">COUNTIFS(Cleaned_Data!$C$2:$C$4522,B25)</f>
        <v>168</v>
      </c>
      <c r="D25" s="8" t="n">
        <f aca="false">SUMIFS(Cleaned_Data!$J$2:$J$4522,Cleaned_Data!$C$2:$C$4522,B25)</f>
        <v>7</v>
      </c>
      <c r="E25" s="9" t="n">
        <f aca="false">IF(C25=0,0,D25/C25)</f>
        <v>0.0416666666666667</v>
      </c>
      <c r="F25" s="9" t="n">
        <f aca="false">IF(C25=0,0,(E25+Lookups!$B$8^2/(2*C25)-Lookups!$B$8*SQRT(E25*(1-E25)/C25+Lookups!$B$8^2/(4*C25^2)))/(1+Lookups!$B$8^2/C25))</f>
        <v>0.0203272916903583</v>
      </c>
      <c r="G25" s="9" t="n">
        <f aca="false">IF(C25=0,0,(E25+Lookups!$B$8^2/(2*C25)+Lookups!$B$8*SQRT(E25*(1-E25)/C25+Lookups!$B$8^2/(4*C25^2)))/(1+Lookups!$B$8^2/C25))</f>
        <v>0.0834985572309739</v>
      </c>
      <c r="H25" s="9" t="n">
        <f aca="false">C25/Summary!$B$4</f>
        <v>0.0371599203715992</v>
      </c>
      <c r="I25" s="9" t="n">
        <f aca="false">D25/Summary!$B$5</f>
        <v>0.0921052631578947</v>
      </c>
      <c r="J25" s="10" t="n">
        <f aca="false">E25/Summary!$B$6</f>
        <v>2.47861842105263</v>
      </c>
      <c r="K25" s="2" t="str">
        <f aca="false">IF(C25&lt;100,"Small sample",IF(J25&gt;=2,"High",IF(J25&lt;0.5,"Low","Near portfolio")))</f>
        <v>High</v>
      </c>
    </row>
    <row r="26" customFormat="false" ht="15" hidden="false" customHeight="false" outlineLevel="0" collapsed="false">
      <c r="A26" s="2" t="s">
        <v>1</v>
      </c>
      <c r="B26" s="2" t="s">
        <v>47</v>
      </c>
      <c r="C26" s="8" t="n">
        <f aca="false">COUNTIFS(Cleaned_Data!$C$2:$C$4522,B26)</f>
        <v>112</v>
      </c>
      <c r="D26" s="8" t="n">
        <f aca="false">SUMIFS(Cleaned_Data!$J$2:$J$4522,Cleaned_Data!$C$2:$C$4522,B26)</f>
        <v>2</v>
      </c>
      <c r="E26" s="9" t="n">
        <f aca="false">IF(C26=0,0,D26/C26)</f>
        <v>0.0178571428571429</v>
      </c>
      <c r="F26" s="9" t="n">
        <f aca="false">IF(C26=0,0,(E26+Lookups!$B$8^2/(2*C26)-Lookups!$B$8*SQRT(E26*(1-E26)/C26+Lookups!$B$8^2/(4*C26^2)))/(1+Lookups!$B$8^2/C26))</f>
        <v>0.00491070862533828</v>
      </c>
      <c r="G26" s="9" t="n">
        <f aca="false">IF(C26=0,0,(E26+Lookups!$B$8^2/(2*C26)+Lookups!$B$8*SQRT(E26*(1-E26)/C26+Lookups!$B$8^2/(4*C26^2)))/(1+Lookups!$B$8^2/C26))</f>
        <v>0.062781726562021</v>
      </c>
      <c r="H26" s="9" t="n">
        <f aca="false">C26/Summary!$B$4</f>
        <v>0.0247732802477328</v>
      </c>
      <c r="I26" s="9" t="n">
        <f aca="false">D26/Summary!$B$5</f>
        <v>0.0263157894736842</v>
      </c>
      <c r="J26" s="10" t="n">
        <f aca="false">E26/Summary!$B$6</f>
        <v>1.06226503759398</v>
      </c>
      <c r="K26" s="2" t="str">
        <f aca="false">IF(C26&lt;100,"Small sample",IF(J26&gt;=2,"High",IF(J26&lt;0.5,"Low","Near portfolio")))</f>
        <v>Near portfolio</v>
      </c>
    </row>
    <row r="27" customFormat="false" ht="15" hidden="false" customHeight="false" outlineLevel="0" collapsed="false">
      <c r="A27" s="2" t="s">
        <v>1</v>
      </c>
      <c r="B27" s="2" t="s">
        <v>29</v>
      </c>
      <c r="C27" s="8" t="n">
        <f aca="false">COUNTIFS(Cleaned_Data!$C$2:$C$4522,B27)</f>
        <v>969</v>
      </c>
      <c r="D27" s="8" t="n">
        <f aca="false">SUMIFS(Cleaned_Data!$J$2:$J$4522,Cleaned_Data!$C$2:$C$4522,B27)</f>
        <v>14</v>
      </c>
      <c r="E27" s="9" t="n">
        <f aca="false">IF(C27=0,0,D27/C27)</f>
        <v>0.0144478844169247</v>
      </c>
      <c r="F27" s="9" t="n">
        <f aca="false">IF(C27=0,0,(E27+Lookups!$B$8^2/(2*C27)-Lookups!$B$8*SQRT(E27*(1-E27)/C27+Lookups!$B$8^2/(4*C27^2)))/(1+Lookups!$B$8^2/C27))</f>
        <v>0.00862545661700907</v>
      </c>
      <c r="G27" s="9" t="n">
        <f aca="false">IF(C27=0,0,(E27+Lookups!$B$8^2/(2*C27)+Lookups!$B$8*SQRT(E27*(1-E27)/C27+Lookups!$B$8^2/(4*C27^2)))/(1+Lookups!$B$8^2/C27))</f>
        <v>0.0241050516178361</v>
      </c>
      <c r="H27" s="9" t="n">
        <f aca="false">C27/Summary!$B$4</f>
        <v>0.214333112143331</v>
      </c>
      <c r="I27" s="9" t="n">
        <f aca="false">D27/Summary!$B$5</f>
        <v>0.184210526315789</v>
      </c>
      <c r="J27" s="10" t="n">
        <f aca="false">E27/Summary!$B$6</f>
        <v>0.85945901906469</v>
      </c>
      <c r="K27" s="2" t="str">
        <f aca="false">IF(C27&lt;100,"Small sample",IF(J27&gt;=2,"High",IF(J27&lt;0.5,"Low","Near portfolio")))</f>
        <v>Near portfolio</v>
      </c>
    </row>
    <row r="28" customFormat="false" ht="15" hidden="false" customHeight="false" outlineLevel="0" collapsed="false">
      <c r="A28" s="2" t="s">
        <v>1</v>
      </c>
      <c r="B28" s="2" t="s">
        <v>48</v>
      </c>
      <c r="C28" s="8" t="n">
        <f aca="false">COUNTIFS(Cleaned_Data!$C$2:$C$4522,B28)</f>
        <v>230</v>
      </c>
      <c r="D28" s="8" t="n">
        <f aca="false">SUMIFS(Cleaned_Data!$J$2:$J$4522,Cleaned_Data!$C$2:$C$4522,B28)</f>
        <v>3</v>
      </c>
      <c r="E28" s="9" t="n">
        <f aca="false">IF(C28=0,0,D28/C28)</f>
        <v>0.0130434782608696</v>
      </c>
      <c r="F28" s="9" t="n">
        <f aca="false">IF(C28=0,0,(E28+Lookups!$B$8^2/(2*C28)-Lookups!$B$8*SQRT(E28*(1-E28)/C28+Lookups!$B$8^2/(4*C28^2)))/(1+Lookups!$B$8^2/C28))</f>
        <v>0.00444561460834135</v>
      </c>
      <c r="G28" s="9" t="n">
        <f aca="false">IF(C28=0,0,(E28+Lookups!$B$8^2/(2*C28)+Lookups!$B$8*SQRT(E28*(1-E28)/C28+Lookups!$B$8^2/(4*C28^2)))/(1+Lookups!$B$8^2/C28))</f>
        <v>0.0376409944466771</v>
      </c>
      <c r="H28" s="9" t="n">
        <f aca="false">C28/Summary!$B$4</f>
        <v>0.050873700508737</v>
      </c>
      <c r="I28" s="9" t="n">
        <f aca="false">D28/Summary!$B$5</f>
        <v>0.0394736842105263</v>
      </c>
      <c r="J28" s="10" t="n">
        <f aca="false">E28/Summary!$B$6</f>
        <v>0.77591533180778</v>
      </c>
      <c r="K28" s="2" t="str">
        <f aca="false">IF(C28&lt;100,"Small sample",IF(J28&gt;=2,"High",IF(J28&lt;0.5,"Low","Near portfolio")))</f>
        <v>Near portfolio</v>
      </c>
    </row>
    <row r="29" customFormat="false" ht="15" hidden="false" customHeight="false" outlineLevel="0" collapsed="false">
      <c r="A29" s="2" t="s">
        <v>1</v>
      </c>
      <c r="B29" s="2" t="s">
        <v>36</v>
      </c>
      <c r="C29" s="8" t="n">
        <f aca="false">COUNTIFS(Cleaned_Data!$C$2:$C$4522,B29)</f>
        <v>183</v>
      </c>
      <c r="D29" s="8" t="n">
        <f aca="false">SUMIFS(Cleaned_Data!$J$2:$J$4522,Cleaned_Data!$C$2:$C$4522,B29)</f>
        <v>4</v>
      </c>
      <c r="E29" s="9" t="n">
        <f aca="false">IF(C29=0,0,D29/C29)</f>
        <v>0.0218579234972678</v>
      </c>
      <c r="F29" s="9" t="n">
        <f aca="false">IF(C29=0,0,(E29+Lookups!$B$8^2/(2*C29)-Lookups!$B$8*SQRT(E29*(1-E29)/C29+Lookups!$B$8^2/(4*C29^2)))/(1+Lookups!$B$8^2/C29))</f>
        <v>0.00853203484731592</v>
      </c>
      <c r="G29" s="9" t="n">
        <f aca="false">IF(C29=0,0,(E29+Lookups!$B$8^2/(2*C29)+Lookups!$B$8*SQRT(E29*(1-E29)/C29+Lookups!$B$8^2/(4*C29^2)))/(1+Lookups!$B$8^2/C29))</f>
        <v>0.054845714005188</v>
      </c>
      <c r="H29" s="9" t="n">
        <f aca="false">C29/Summary!$B$4</f>
        <v>0.0404777704047777</v>
      </c>
      <c r="I29" s="9" t="n">
        <f aca="false">D29/Summary!$B$5</f>
        <v>0.0526315789473684</v>
      </c>
      <c r="J29" s="10" t="n">
        <f aca="false">E29/Summary!$B$6</f>
        <v>1.30025884383089</v>
      </c>
      <c r="K29" s="2" t="str">
        <f aca="false">IF(C29&lt;100,"Small sample",IF(J29&gt;=2,"High",IF(J29&lt;0.5,"Low","Near portfolio")))</f>
        <v>Near portfolio</v>
      </c>
    </row>
    <row r="30" customFormat="false" ht="15" hidden="false" customHeight="false" outlineLevel="0" collapsed="false">
      <c r="A30" s="2" t="s">
        <v>1</v>
      </c>
      <c r="B30" s="2" t="s">
        <v>24</v>
      </c>
      <c r="C30" s="8" t="n">
        <f aca="false">COUNTIFS(Cleaned_Data!$C$2:$C$4522,B30)</f>
        <v>417</v>
      </c>
      <c r="D30" s="8" t="n">
        <f aca="false">SUMIFS(Cleaned_Data!$J$2:$J$4522,Cleaned_Data!$C$2:$C$4522,B30)</f>
        <v>7</v>
      </c>
      <c r="E30" s="9" t="n">
        <f aca="false">IF(C30=0,0,D30/C30)</f>
        <v>0.0167865707434053</v>
      </c>
      <c r="F30" s="9" t="n">
        <f aca="false">IF(C30=0,0,(E30+Lookups!$B$8^2/(2*C30)-Lookups!$B$8*SQRT(E30*(1-E30)/C30+Lookups!$B$8^2/(4*C30^2)))/(1+Lookups!$B$8^2/C30))</f>
        <v>0.00815458165679919</v>
      </c>
      <c r="G30" s="9" t="n">
        <f aca="false">IF(C30=0,0,(E30+Lookups!$B$8^2/(2*C30)+Lookups!$B$8*SQRT(E30*(1-E30)/C30+Lookups!$B$8^2/(4*C30^2)))/(1+Lookups!$B$8^2/C30))</f>
        <v>0.034240466741458</v>
      </c>
      <c r="H30" s="9" t="n">
        <f aca="false">C30/Summary!$B$4</f>
        <v>0.0922362309223623</v>
      </c>
      <c r="I30" s="9" t="n">
        <f aca="false">D30/Summary!$B$5</f>
        <v>0.0921052631578947</v>
      </c>
      <c r="J30" s="10" t="n">
        <f aca="false">E30/Summary!$B$6</f>
        <v>0.99858008330178</v>
      </c>
      <c r="K30" s="2" t="str">
        <f aca="false">IF(C30&lt;100,"Small sample",IF(J30&gt;=2,"High",IF(J30&lt;0.5,"Low","Near portfolio")))</f>
        <v>Near portfolio</v>
      </c>
    </row>
    <row r="31" customFormat="false" ht="15" hidden="false" customHeight="false" outlineLevel="0" collapsed="false">
      <c r="A31" s="2" t="s">
        <v>1</v>
      </c>
      <c r="B31" s="2" t="s">
        <v>42</v>
      </c>
      <c r="C31" s="8" t="n">
        <f aca="false">COUNTIFS(Cleaned_Data!$C$2:$C$4522,B31)</f>
        <v>84</v>
      </c>
      <c r="D31" s="8" t="n">
        <f aca="false">SUMIFS(Cleaned_Data!$J$2:$J$4522,Cleaned_Data!$C$2:$C$4522,B31)</f>
        <v>1</v>
      </c>
      <c r="E31" s="9" t="n">
        <f aca="false">IF(C31=0,0,D31/C31)</f>
        <v>0.0119047619047619</v>
      </c>
      <c r="F31" s="9" t="n">
        <f aca="false">IF(C31=0,0,(E31+Lookups!$B$8^2/(2*C31)-Lookups!$B$8*SQRT(E31*(1-E31)/C31+Lookups!$B$8^2/(4*C31^2)))/(1+Lookups!$B$8^2/C31))</f>
        <v>0.00210452890158788</v>
      </c>
      <c r="G31" s="9" t="n">
        <f aca="false">IF(C31=0,0,(E31+Lookups!$B$8^2/(2*C31)+Lookups!$B$8*SQRT(E31*(1-E31)/C31+Lookups!$B$8^2/(4*C31^2)))/(1+Lookups!$B$8^2/C31))</f>
        <v>0.0643969920178853</v>
      </c>
      <c r="H31" s="9" t="n">
        <f aca="false">C31/Summary!$B$4</f>
        <v>0.0185799601857996</v>
      </c>
      <c r="I31" s="9" t="n">
        <f aca="false">D31/Summary!$B$5</f>
        <v>0.0131578947368421</v>
      </c>
      <c r="J31" s="10" t="n">
        <f aca="false">E31/Summary!$B$6</f>
        <v>0.708176691729323</v>
      </c>
      <c r="K31" s="2" t="str">
        <f aca="false">IF(C31&lt;100,"Small sample",IF(J31&gt;=2,"High",IF(J31&lt;0.5,"Low","Near portfolio")))</f>
        <v>Small sample</v>
      </c>
    </row>
    <row r="32" customFormat="false" ht="15" hidden="false" customHeight="false" outlineLevel="0" collapsed="false">
      <c r="A32" s="2" t="s">
        <v>1</v>
      </c>
      <c r="B32" s="2" t="s">
        <v>38</v>
      </c>
      <c r="C32" s="8" t="n">
        <f aca="false">COUNTIFS(Cleaned_Data!$C$2:$C$4522,B32)</f>
        <v>768</v>
      </c>
      <c r="D32" s="8" t="n">
        <f aca="false">SUMIFS(Cleaned_Data!$J$2:$J$4522,Cleaned_Data!$C$2:$C$4522,B32)</f>
        <v>15</v>
      </c>
      <c r="E32" s="9" t="n">
        <f aca="false">IF(C32=0,0,D32/C32)</f>
        <v>0.01953125</v>
      </c>
      <c r="F32" s="9" t="n">
        <f aca="false">IF(C32=0,0,(E32+Lookups!$B$8^2/(2*C32)-Lookups!$B$8*SQRT(E32*(1-E32)/C32+Lookups!$B$8^2/(4*C32^2)))/(1+Lookups!$B$8^2/C32))</f>
        <v>0.0118712274645729</v>
      </c>
      <c r="G32" s="9" t="n">
        <f aca="false">IF(C32=0,0,(E32+Lookups!$B$8^2/(2*C32)+Lookups!$B$8*SQRT(E32*(1-E32)/C32+Lookups!$B$8^2/(4*C32^2)))/(1+Lookups!$B$8^2/C32))</f>
        <v>0.0319740381961533</v>
      </c>
      <c r="H32" s="9" t="n">
        <f aca="false">C32/Summary!$B$4</f>
        <v>0.169873921698739</v>
      </c>
      <c r="I32" s="9" t="n">
        <f aca="false">D32/Summary!$B$5</f>
        <v>0.197368421052632</v>
      </c>
      <c r="J32" s="10" t="n">
        <f aca="false">E32/Summary!$B$6</f>
        <v>1.16185238486842</v>
      </c>
      <c r="K32" s="2" t="str">
        <f aca="false">IF(C32&lt;100,"Small sample",IF(J32&gt;=2,"High",IF(J32&lt;0.5,"Low","Near portfolio")))</f>
        <v>Near portfolio</v>
      </c>
    </row>
    <row r="33" customFormat="false" ht="15" hidden="false" customHeight="false" outlineLevel="0" collapsed="false">
      <c r="A33" s="2" t="s">
        <v>1</v>
      </c>
      <c r="B33" s="2" t="s">
        <v>17</v>
      </c>
      <c r="C33" s="8" t="n">
        <f aca="false">COUNTIFS(Cleaned_Data!$C$2:$C$4522,B33)</f>
        <v>128</v>
      </c>
      <c r="D33" s="8" t="n">
        <f aca="false">SUMIFS(Cleaned_Data!$J$2:$J$4522,Cleaned_Data!$C$2:$C$4522,B33)</f>
        <v>3</v>
      </c>
      <c r="E33" s="9" t="n">
        <f aca="false">IF(C33=0,0,D33/C33)</f>
        <v>0.0234375</v>
      </c>
      <c r="F33" s="9" t="n">
        <f aca="false">IF(C33=0,0,(E33+Lookups!$B$8^2/(2*C33)-Lookups!$B$8*SQRT(E33*(1-E33)/C33+Lookups!$B$8^2/(4*C33^2)))/(1+Lookups!$B$8^2/C33))</f>
        <v>0.00800227144011217</v>
      </c>
      <c r="G33" s="9" t="n">
        <f aca="false">IF(C33=0,0,(E33+Lookups!$B$8^2/(2*C33)+Lookups!$B$8*SQRT(E33*(1-E33)/C33+Lookups!$B$8^2/(4*C33^2)))/(1+Lookups!$B$8^2/C33))</f>
        <v>0.066644880900272</v>
      </c>
      <c r="H33" s="9" t="n">
        <f aca="false">C33/Summary!$B$4</f>
        <v>0.0283123202831232</v>
      </c>
      <c r="I33" s="9" t="n">
        <f aca="false">D33/Summary!$B$5</f>
        <v>0.0394736842105263</v>
      </c>
      <c r="J33" s="10" t="n">
        <f aca="false">E33/Summary!$B$6</f>
        <v>1.39422286184211</v>
      </c>
      <c r="K33" s="2" t="str">
        <f aca="false">IF(C33&lt;100,"Small sample",IF(J33&gt;=2,"High",IF(J33&lt;0.5,"Low","Near portfolio")))</f>
        <v>Near portfolio</v>
      </c>
    </row>
    <row r="34" customFormat="false" ht="15" hidden="false" customHeight="false" outlineLevel="0" collapsed="false">
      <c r="A34" s="2" t="s">
        <v>1</v>
      </c>
      <c r="B34" s="2" t="s">
        <v>23</v>
      </c>
      <c r="C34" s="8" t="n">
        <f aca="false">COUNTIFS(Cleaned_Data!$C$2:$C$4522,B34)</f>
        <v>38</v>
      </c>
      <c r="D34" s="8" t="n">
        <f aca="false">SUMIFS(Cleaned_Data!$J$2:$J$4522,Cleaned_Data!$C$2:$C$4522,B34)</f>
        <v>0</v>
      </c>
      <c r="E34" s="9" t="n">
        <f aca="false">IF(C34=0,0,D34/C34)</f>
        <v>0</v>
      </c>
      <c r="F34" s="9" t="n">
        <f aca="false">IF(C34=0,0,(E34+Lookups!$B$8^2/(2*C34)-Lookups!$B$8*SQRT(E34*(1-E34)/C34+Lookups!$B$8^2/(4*C34^2)))/(1+Lookups!$B$8^2/C34))</f>
        <v>0</v>
      </c>
      <c r="G34" s="9" t="n">
        <f aca="false">IF(C34=0,0,(E34+Lookups!$B$8^2/(2*C34)+Lookups!$B$8*SQRT(E34*(1-E34)/C34+Lookups!$B$8^2/(4*C34^2)))/(1+Lookups!$B$8^2/C34))</f>
        <v>0.09181293258384</v>
      </c>
      <c r="H34" s="9" t="n">
        <f aca="false">C34/Summary!$B$4</f>
        <v>0.0084052200840522</v>
      </c>
      <c r="I34" s="9" t="n">
        <f aca="false">D34/Summary!$B$5</f>
        <v>0</v>
      </c>
      <c r="J34" s="10" t="n">
        <f aca="false">E34/Summary!$B$6</f>
        <v>0</v>
      </c>
      <c r="K34" s="2" t="str">
        <f aca="false">IF(C34&lt;100,"Small sample",IF(J34&gt;=2,"High",IF(J34&lt;0.5,"Low","Near portfolio")))</f>
        <v>Small sample</v>
      </c>
    </row>
    <row r="35" customFormat="false" ht="15" hidden="false" customHeight="false" outlineLevel="0" collapsed="false">
      <c r="A35" s="2"/>
      <c r="B35" s="2"/>
      <c r="C35" s="8"/>
      <c r="D35" s="8"/>
      <c r="E35" s="9"/>
      <c r="F35" s="9"/>
      <c r="G35" s="9"/>
      <c r="H35" s="9"/>
      <c r="I35" s="9"/>
      <c r="J35" s="10"/>
      <c r="K35" s="2"/>
    </row>
    <row r="36" customFormat="false" ht="15" hidden="false" customHeight="false" outlineLevel="0" collapsed="false">
      <c r="A36" s="2" t="s">
        <v>2</v>
      </c>
      <c r="B36" s="2" t="s">
        <v>18</v>
      </c>
      <c r="C36" s="8" t="n">
        <f aca="false">COUNTIFS(Cleaned_Data!$D$2:$D$4522,B36)</f>
        <v>2797</v>
      </c>
      <c r="D36" s="8" t="n">
        <f aca="false">SUMIFS(Cleaned_Data!$J$2:$J$4522,Cleaned_Data!$D$2:$D$4522,B36)</f>
        <v>36</v>
      </c>
      <c r="E36" s="9" t="n">
        <f aca="false">IF(C36=0,0,D36/C36)</f>
        <v>0.0128709331426528</v>
      </c>
      <c r="F36" s="9" t="n">
        <f aca="false">IF(C36=0,0,(E36+Lookups!$B$8^2/(2*C36)-Lookups!$B$8*SQRT(E36*(1-E36)/C36+Lookups!$B$8^2/(4*C36^2)))/(1+Lookups!$B$8^2/C36))</f>
        <v>0.00931144912305646</v>
      </c>
      <c r="G36" s="9" t="n">
        <f aca="false">IF(C36=0,0,(E36+Lookups!$B$8^2/(2*C36)+Lookups!$B$8*SQRT(E36*(1-E36)/C36+Lookups!$B$8^2/(4*C36^2)))/(1+Lookups!$B$8^2/C36))</f>
        <v>0.0177666976739634</v>
      </c>
      <c r="H36" s="9" t="n">
        <f aca="false">C36/Summary!$B$4</f>
        <v>0.618668436186684</v>
      </c>
      <c r="I36" s="9" t="n">
        <f aca="false">D36/Summary!$B$5</f>
        <v>0.473684210526316</v>
      </c>
      <c r="J36" s="10" t="n">
        <f aca="false">E36/Summary!$B$6</f>
        <v>0.765651167604388</v>
      </c>
      <c r="K36" s="2" t="str">
        <f aca="false">IF(C36&lt;100,"Small sample",IF(J36&gt;=2,"High",IF(J36&lt;0.5,"Low","Near portfolio")))</f>
        <v>Near portfolio</v>
      </c>
    </row>
    <row r="37" customFormat="false" ht="15" hidden="false" customHeight="false" outlineLevel="0" collapsed="false">
      <c r="A37" s="2" t="s">
        <v>2</v>
      </c>
      <c r="B37" s="2" t="s">
        <v>30</v>
      </c>
      <c r="C37" s="8" t="n">
        <f aca="false">COUNTIFS(Cleaned_Data!$D$2:$D$4522,B37)</f>
        <v>1196</v>
      </c>
      <c r="D37" s="8" t="n">
        <f aca="false">SUMIFS(Cleaned_Data!$J$2:$J$4522,Cleaned_Data!$D$2:$D$4522,B37)</f>
        <v>22</v>
      </c>
      <c r="E37" s="9" t="n">
        <f aca="false">IF(C37=0,0,D37/C37)</f>
        <v>0.0183946488294314</v>
      </c>
      <c r="F37" s="9" t="n">
        <f aca="false">IF(C37=0,0,(E37+Lookups!$B$8^2/(2*C37)-Lookups!$B$8*SQRT(E37*(1-E37)/C37+Lookups!$B$8^2/(4*C37^2)))/(1+Lookups!$B$8^2/C37))</f>
        <v>0.0121784403836624</v>
      </c>
      <c r="G37" s="9" t="n">
        <f aca="false">IF(C37=0,0,(E37+Lookups!$B$8^2/(2*C37)+Lookups!$B$8*SQRT(E37*(1-E37)/C37+Lookups!$B$8^2/(4*C37^2)))/(1+Lookups!$B$8^2/C37))</f>
        <v>0.0276948228870894</v>
      </c>
      <c r="H37" s="9" t="n">
        <f aca="false">C37/Summary!$B$4</f>
        <v>0.264543242645432</v>
      </c>
      <c r="I37" s="9" t="n">
        <f aca="false">D37/Summary!$B$5</f>
        <v>0.289473684210526</v>
      </c>
      <c r="J37" s="10" t="n">
        <f aca="false">E37/Summary!$B$6</f>
        <v>1.09423957049815</v>
      </c>
      <c r="K37" s="2" t="str">
        <f aca="false">IF(C37&lt;100,"Small sample",IF(J37&gt;=2,"High",IF(J37&lt;0.5,"Low","Near portfolio")))</f>
        <v>Near portfolio</v>
      </c>
    </row>
    <row r="38" customFormat="false" ht="15" hidden="false" customHeight="false" outlineLevel="0" collapsed="false">
      <c r="A38" s="2" t="s">
        <v>2</v>
      </c>
      <c r="B38" s="2" t="s">
        <v>45</v>
      </c>
      <c r="C38" s="8" t="n">
        <f aca="false">COUNTIFS(Cleaned_Data!$D$2:$D$4522,B38)</f>
        <v>528</v>
      </c>
      <c r="D38" s="8" t="n">
        <f aca="false">SUMIFS(Cleaned_Data!$J$2:$J$4522,Cleaned_Data!$D$2:$D$4522,B38)</f>
        <v>18</v>
      </c>
      <c r="E38" s="9" t="n">
        <f aca="false">IF(C38=0,0,D38/C38)</f>
        <v>0.0340909090909091</v>
      </c>
      <c r="F38" s="9" t="n">
        <f aca="false">IF(C38=0,0,(E38+Lookups!$B$8^2/(2*C38)-Lookups!$B$8*SQRT(E38*(1-E38)/C38+Lookups!$B$8^2/(4*C38^2)))/(1+Lookups!$B$8^2/C38))</f>
        <v>0.0216709411872479</v>
      </c>
      <c r="G38" s="9" t="n">
        <f aca="false">IF(C38=0,0,(E38+Lookups!$B$8^2/(2*C38)+Lookups!$B$8*SQRT(E38*(1-E38)/C38+Lookups!$B$8^2/(4*C38^2)))/(1+Lookups!$B$8^2/C38))</f>
        <v>0.0532415891601337</v>
      </c>
      <c r="H38" s="9" t="n">
        <f aca="false">C38/Summary!$B$4</f>
        <v>0.116788321167883</v>
      </c>
      <c r="I38" s="9" t="n">
        <f aca="false">D38/Summary!$B$5</f>
        <v>0.236842105263158</v>
      </c>
      <c r="J38" s="10" t="n">
        <f aca="false">E38/Summary!$B$6</f>
        <v>2.02796052631579</v>
      </c>
      <c r="K38" s="2" t="str">
        <f aca="false">IF(C38&lt;100,"Small sample",IF(J38&gt;=2,"High",IF(J38&lt;0.5,"Low","Near portfolio")))</f>
        <v>High</v>
      </c>
    </row>
    <row r="39" customFormat="false" ht="15" hidden="false" customHeight="false" outlineLevel="0" collapsed="false">
      <c r="A39" s="2"/>
      <c r="B39" s="2"/>
      <c r="C39" s="8"/>
      <c r="D39" s="8"/>
      <c r="E39" s="9"/>
      <c r="F39" s="9"/>
      <c r="G39" s="9"/>
      <c r="H39" s="9"/>
      <c r="I39" s="9"/>
      <c r="J39" s="10"/>
      <c r="K39" s="2"/>
    </row>
    <row r="40" customFormat="false" ht="15" hidden="false" customHeight="false" outlineLevel="0" collapsed="false">
      <c r="A40" s="2" t="s">
        <v>3</v>
      </c>
      <c r="B40" s="2" t="s">
        <v>19</v>
      </c>
      <c r="C40" s="8" t="n">
        <f aca="false">COUNTIFS(Cleaned_Data!$E$2:$E$4522,B40)</f>
        <v>678</v>
      </c>
      <c r="D40" s="8" t="n">
        <f aca="false">SUMIFS(Cleaned_Data!$J$2:$J$4522,Cleaned_Data!$E$2:$E$4522,B40)</f>
        <v>10</v>
      </c>
      <c r="E40" s="9" t="n">
        <f aca="false">IF(C40=0,0,D40/C40)</f>
        <v>0.0147492625368732</v>
      </c>
      <c r="F40" s="9" t="n">
        <f aca="false">IF(C40=0,0,(E40+Lookups!$B$8^2/(2*C40)-Lookups!$B$8*SQRT(E40*(1-E40)/C40+Lookups!$B$8^2/(4*C40^2)))/(1+Lookups!$B$8^2/C40))</f>
        <v>0.00803080192794206</v>
      </c>
      <c r="G40" s="9" t="n">
        <f aca="false">IF(C40=0,0,(E40+Lookups!$B$8^2/(2*C40)+Lookups!$B$8*SQRT(E40*(1-E40)/C40+Lookups!$B$8^2/(4*C40^2)))/(1+Lookups!$B$8^2/C40))</f>
        <v>0.0269356770900586</v>
      </c>
      <c r="H40" s="9" t="n">
        <f aca="false">C40/Summary!$B$4</f>
        <v>0.149966821499668</v>
      </c>
      <c r="I40" s="9" t="n">
        <f aca="false">D40/Summary!$B$5</f>
        <v>0.131578947368421</v>
      </c>
      <c r="J40" s="10" t="n">
        <f aca="false">E40/Summary!$B$6</f>
        <v>0.877387051700047</v>
      </c>
      <c r="K40" s="2" t="str">
        <f aca="false">IF(C40&lt;100,"Small sample",IF(J40&gt;=2,"High",IF(J40&lt;0.5,"Low","Near portfolio")))</f>
        <v>Near portfolio</v>
      </c>
    </row>
    <row r="41" customFormat="false" ht="15" hidden="false" customHeight="false" outlineLevel="0" collapsed="false">
      <c r="A41" s="2" t="s">
        <v>3</v>
      </c>
      <c r="B41" s="2" t="s">
        <v>25</v>
      </c>
      <c r="C41" s="8" t="n">
        <f aca="false">COUNTIFS(Cleaned_Data!$E$2:$E$4522,B41)</f>
        <v>2306</v>
      </c>
      <c r="D41" s="8" t="n">
        <f aca="false">SUMIFS(Cleaned_Data!$J$2:$J$4522,Cleaned_Data!$E$2:$E$4522,B41)</f>
        <v>46</v>
      </c>
      <c r="E41" s="9" t="n">
        <f aca="false">IF(C41=0,0,D41/C41)</f>
        <v>0.0199479618386817</v>
      </c>
      <c r="F41" s="9" t="n">
        <f aca="false">IF(C41=0,0,(E41+Lookups!$B$8^2/(2*C41)-Lookups!$B$8*SQRT(E41*(1-E41)/C41+Lookups!$B$8^2/(4*C41^2)))/(1+Lookups!$B$8^2/C41))</f>
        <v>0.0149885824497226</v>
      </c>
      <c r="G41" s="9" t="n">
        <f aca="false">IF(C41=0,0,(E41+Lookups!$B$8^2/(2*C41)+Lookups!$B$8*SQRT(E41*(1-E41)/C41+Lookups!$B$8^2/(4*C41^2)))/(1+Lookups!$B$8^2/C41))</f>
        <v>0.026504132894914</v>
      </c>
      <c r="H41" s="9" t="n">
        <f aca="false">C41/Summary!$B$4</f>
        <v>0.510064145100642</v>
      </c>
      <c r="I41" s="9" t="n">
        <f aca="false">D41/Summary!$B$5</f>
        <v>0.605263157894737</v>
      </c>
      <c r="J41" s="10" t="n">
        <f aca="false">E41/Summary!$B$6</f>
        <v>1.18664125621947</v>
      </c>
      <c r="K41" s="2" t="str">
        <f aca="false">IF(C41&lt;100,"Small sample",IF(J41&gt;=2,"High",IF(J41&lt;0.5,"Low","Near portfolio")))</f>
        <v>Near portfolio</v>
      </c>
    </row>
    <row r="42" customFormat="false" ht="15" hidden="false" customHeight="false" outlineLevel="0" collapsed="false">
      <c r="A42" s="2" t="s">
        <v>3</v>
      </c>
      <c r="B42" s="2" t="s">
        <v>31</v>
      </c>
      <c r="C42" s="8" t="n">
        <f aca="false">COUNTIFS(Cleaned_Data!$E$2:$E$4522,B42)</f>
        <v>1350</v>
      </c>
      <c r="D42" s="8" t="n">
        <f aca="false">SUMIFS(Cleaned_Data!$J$2:$J$4522,Cleaned_Data!$E$2:$E$4522,B42)</f>
        <v>17</v>
      </c>
      <c r="E42" s="9" t="n">
        <f aca="false">IF(C42=0,0,D42/C42)</f>
        <v>0.0125925925925926</v>
      </c>
      <c r="F42" s="9" t="n">
        <f aca="false">IF(C42=0,0,(E42+Lookups!$B$8^2/(2*C42)-Lookups!$B$8*SQRT(E42*(1-E42)/C42+Lookups!$B$8^2/(4*C42^2)))/(1+Lookups!$B$8^2/C42))</f>
        <v>0.00787686527727165</v>
      </c>
      <c r="G42" s="9" t="n">
        <f aca="false">IF(C42=0,0,(E42+Lookups!$B$8^2/(2*C42)+Lookups!$B$8*SQRT(E42*(1-E42)/C42+Lookups!$B$8^2/(4*C42^2)))/(1+Lookups!$B$8^2/C42))</f>
        <v>0.020074410558838</v>
      </c>
      <c r="H42" s="9" t="n">
        <f aca="false">C42/Summary!$B$4</f>
        <v>0.298606502986065</v>
      </c>
      <c r="I42" s="9" t="n">
        <f aca="false">D42/Summary!$B$5</f>
        <v>0.223684210526316</v>
      </c>
      <c r="J42" s="10" t="n">
        <f aca="false">E42/Summary!$B$6</f>
        <v>0.749093567251462</v>
      </c>
      <c r="K42" s="2" t="str">
        <f aca="false">IF(C42&lt;100,"Small sample",IF(J42&gt;=2,"High",IF(J42&lt;0.5,"Low","Near portfolio")))</f>
        <v>Near portfolio</v>
      </c>
    </row>
    <row r="43" customFormat="false" ht="15" hidden="false" customHeight="false" outlineLevel="0" collapsed="false">
      <c r="A43" s="2" t="s">
        <v>3</v>
      </c>
      <c r="B43" s="2" t="s">
        <v>23</v>
      </c>
      <c r="C43" s="8" t="n">
        <f aca="false">COUNTIFS(Cleaned_Data!$E$2:$E$4522,B43)</f>
        <v>187</v>
      </c>
      <c r="D43" s="8" t="n">
        <f aca="false">SUMIFS(Cleaned_Data!$J$2:$J$4522,Cleaned_Data!$E$2:$E$4522,B43)</f>
        <v>3</v>
      </c>
      <c r="E43" s="9" t="n">
        <f aca="false">IF(C43=0,0,D43/C43)</f>
        <v>0.0160427807486631</v>
      </c>
      <c r="F43" s="9" t="n">
        <f aca="false">IF(C43=0,0,(E43+Lookups!$B$8^2/(2*C43)-Lookups!$B$8*SQRT(E43*(1-E43)/C43+Lookups!$B$8^2/(4*C43^2)))/(1+Lookups!$B$8^2/C43))</f>
        <v>0.00547063746260001</v>
      </c>
      <c r="G43" s="9" t="n">
        <f aca="false">IF(C43=0,0,(E43+Lookups!$B$8^2/(2*C43)+Lookups!$B$8*SQRT(E43*(1-E43)/C43+Lookups!$B$8^2/(4*C43^2)))/(1+Lookups!$B$8^2/C43))</f>
        <v>0.0460988316678202</v>
      </c>
      <c r="H43" s="9" t="n">
        <f aca="false">C43/Summary!$B$4</f>
        <v>0.0413625304136253</v>
      </c>
      <c r="I43" s="9" t="n">
        <f aca="false">D43/Summary!$B$5</f>
        <v>0.0394736842105263</v>
      </c>
      <c r="J43" s="10" t="n">
        <f aca="false">E43/Summary!$B$6</f>
        <v>0.954334365325078</v>
      </c>
      <c r="K43" s="2" t="str">
        <f aca="false">IF(C43&lt;100,"Small sample",IF(J43&gt;=2,"High",IF(J43&lt;0.5,"Low","Near portfolio")))</f>
        <v>Near portfolio</v>
      </c>
    </row>
    <row r="44" customFormat="false" ht="15" hidden="false" customHeight="false" outlineLevel="0" collapsed="false">
      <c r="A44" s="2"/>
      <c r="B44" s="2"/>
      <c r="C44" s="8"/>
      <c r="D44" s="8"/>
      <c r="E44" s="9"/>
      <c r="F44" s="9"/>
      <c r="G44" s="9"/>
      <c r="H44" s="9"/>
      <c r="I44" s="9"/>
      <c r="J44" s="10"/>
      <c r="K44" s="2"/>
    </row>
    <row r="45" customFormat="false" ht="15" hidden="false" customHeight="false" outlineLevel="0" collapsed="false">
      <c r="A45" s="2" t="s">
        <v>65</v>
      </c>
      <c r="B45" s="2" t="s">
        <v>161</v>
      </c>
      <c r="C45" s="8" t="n">
        <f aca="false">COUNTIFS(Cleaned_Data!$Q$2:$Q$4522,B45)</f>
        <v>3567</v>
      </c>
      <c r="D45" s="8" t="n">
        <f aca="false">SUMIFS(Cleaned_Data!$J$2:$J$4522,Cleaned_Data!$Q$2:$Q$4522,B45)</f>
        <v>23</v>
      </c>
      <c r="E45" s="9" t="n">
        <f aca="false">IF(C45=0,0,D45/C45)</f>
        <v>0.0064479955144379</v>
      </c>
      <c r="F45" s="9" t="n">
        <f aca="false">IF(C45=0,0,(E45+Lookups!$B$8^2/(2*C45)-Lookups!$B$8*SQRT(E45*(1-E45)/C45+Lookups!$B$8^2/(4*C45^2)))/(1+Lookups!$B$8^2/C45))</f>
        <v>0.0043005163485821</v>
      </c>
      <c r="G45" s="9" t="n">
        <f aca="false">IF(C45=0,0,(E45+Lookups!$B$8^2/(2*C45)+Lookups!$B$8*SQRT(E45*(1-E45)/C45+Lookups!$B$8^2/(4*C45^2)))/(1+Lookups!$B$8^2/C45))</f>
        <v>0.00965742566710407</v>
      </c>
      <c r="H45" s="9" t="n">
        <f aca="false">C45/Summary!$B$4</f>
        <v>0.788984737889847</v>
      </c>
      <c r="I45" s="9" t="n">
        <f aca="false">D45/Summary!$B$5</f>
        <v>0.302631578947368</v>
      </c>
      <c r="J45" s="10" t="n">
        <f aca="false">E45/Summary!$B$6</f>
        <v>0.383570891062813</v>
      </c>
      <c r="K45" s="2" t="str">
        <f aca="false">IF(C45&lt;100,"Small sample",IF(J45&gt;=2,"High",IF(J45&lt;0.5,"Low","Near portfolio")))</f>
        <v>Low</v>
      </c>
    </row>
    <row r="46" customFormat="false" ht="15" hidden="false" customHeight="false" outlineLevel="0" collapsed="false">
      <c r="A46" s="2" t="s">
        <v>65</v>
      </c>
      <c r="B46" s="2" t="s">
        <v>163</v>
      </c>
      <c r="C46" s="8" t="n">
        <f aca="false">COUNTIFS(Cleaned_Data!$Q$2:$Q$4522,B46)</f>
        <v>588</v>
      </c>
      <c r="D46" s="8" t="n">
        <f aca="false">SUMIFS(Cleaned_Data!$J$2:$J$4522,Cleaned_Data!$Q$2:$Q$4522,B46)</f>
        <v>10</v>
      </c>
      <c r="E46" s="9" t="n">
        <f aca="false">IF(C46=0,0,D46/C46)</f>
        <v>0.0170068027210884</v>
      </c>
      <c r="F46" s="9" t="n">
        <f aca="false">IF(C46=0,0,(E46+Lookups!$B$8^2/(2*C46)-Lookups!$B$8*SQRT(E46*(1-E46)/C46+Lookups!$B$8^2/(4*C46^2)))/(1+Lookups!$B$8^2/C46))</f>
        <v>0.00926340159005435</v>
      </c>
      <c r="G46" s="9" t="n">
        <f aca="false">IF(C46=0,0,(E46+Lookups!$B$8^2/(2*C46)+Lookups!$B$8*SQRT(E46*(1-E46)/C46+Lookups!$B$8^2/(4*C46^2)))/(1+Lookups!$B$8^2/C46))</f>
        <v>0.0310203500083463</v>
      </c>
      <c r="H46" s="9" t="n">
        <f aca="false">C46/Summary!$B$4</f>
        <v>0.130059721300597</v>
      </c>
      <c r="I46" s="9" t="n">
        <f aca="false">D46/Summary!$B$5</f>
        <v>0.131578947368421</v>
      </c>
      <c r="J46" s="10" t="n">
        <f aca="false">E46/Summary!$B$6</f>
        <v>1.01168098818475</v>
      </c>
      <c r="K46" s="2" t="str">
        <f aca="false">IF(C46&lt;100,"Small sample",IF(J46&gt;=2,"High",IF(J46&lt;0.5,"Low","Near portfolio")))</f>
        <v>Near portfolio</v>
      </c>
    </row>
    <row r="47" customFormat="false" ht="15" hidden="false" customHeight="false" outlineLevel="0" collapsed="false">
      <c r="A47" s="2" t="s">
        <v>65</v>
      </c>
      <c r="B47" s="2" t="s">
        <v>164</v>
      </c>
      <c r="C47" s="8" t="n">
        <f aca="false">COUNTIFS(Cleaned_Data!$Q$2:$Q$4522,B47)</f>
        <v>366</v>
      </c>
      <c r="D47" s="8" t="n">
        <f aca="false">SUMIFS(Cleaned_Data!$J$2:$J$4522,Cleaned_Data!$Q$2:$Q$4522,B47)</f>
        <v>43</v>
      </c>
      <c r="E47" s="9" t="n">
        <f aca="false">IF(C47=0,0,D47/C47)</f>
        <v>0.117486338797814</v>
      </c>
      <c r="F47" s="9" t="n">
        <f aca="false">IF(C47=0,0,(E47+Lookups!$B$8^2/(2*C47)-Lookups!$B$8*SQRT(E47*(1-E47)/C47+Lookups!$B$8^2/(4*C47^2)))/(1+Lookups!$B$8^2/C47))</f>
        <v>0.0884026378349988</v>
      </c>
      <c r="G47" s="9" t="n">
        <f aca="false">IF(C47=0,0,(E47+Lookups!$B$8^2/(2*C47)+Lookups!$B$8*SQRT(E47*(1-E47)/C47+Lookups!$B$8^2/(4*C47^2)))/(1+Lookups!$B$8^2/C47))</f>
        <v>0.15451649294964</v>
      </c>
      <c r="H47" s="9" t="n">
        <f aca="false">C47/Summary!$B$4</f>
        <v>0.0809555408095554</v>
      </c>
      <c r="I47" s="9" t="n">
        <f aca="false">D47/Summary!$B$5</f>
        <v>0.565789473684211</v>
      </c>
      <c r="J47" s="10" t="n">
        <f aca="false">E47/Summary!$B$6</f>
        <v>6.98889128559103</v>
      </c>
      <c r="K47" s="2" t="str">
        <f aca="false">IF(C47&lt;100,"Small sample",IF(J47&gt;=2,"High",IF(J47&lt;0.5,"Low","Near portfolio")))</f>
        <v>High</v>
      </c>
    </row>
    <row r="48" customFormat="false" ht="15" hidden="false" customHeight="false" outlineLevel="0" collapsed="false">
      <c r="A48" s="2"/>
      <c r="B48" s="2"/>
      <c r="C48" s="8"/>
      <c r="D48" s="8"/>
      <c r="E48" s="9"/>
      <c r="F48" s="9"/>
      <c r="G48" s="9"/>
      <c r="H48" s="9"/>
      <c r="I48" s="9"/>
      <c r="J48" s="10"/>
      <c r="K48" s="2"/>
    </row>
    <row r="49" customFormat="false" ht="15" hidden="false" customHeight="false" outlineLevel="0" collapsed="false">
      <c r="A49" s="2"/>
      <c r="B49" s="2"/>
      <c r="C49" s="8"/>
      <c r="D49" s="8"/>
      <c r="E49" s="9"/>
      <c r="F49" s="9"/>
      <c r="G49" s="9"/>
      <c r="H49" s="9"/>
      <c r="I49" s="9"/>
      <c r="J49" s="10"/>
      <c r="K49" s="2"/>
    </row>
  </sheetData>
  <conditionalFormatting sqref="E5:E49">
    <cfRule type="colorScale" priority="2">
      <colorScale>
        <cfvo type="min" val="0"/>
        <cfvo type="max" val="0"/>
        <color rgb="FFFFFFFF"/>
        <color rgb="FFE67E73"/>
      </colorScale>
    </cfRule>
  </conditionalFormatting>
  <conditionalFormatting sqref="K5:K49">
    <cfRule type="cellIs" priority="3" operator="equal" aboveAverage="0" equalAverage="0" bottom="0" percent="0" rank="0" text="" dxfId="0">
      <formula>"High"</formula>
    </cfRule>
    <cfRule type="cellIs" priority="4" operator="equal" aboveAverage="0" equalAverage="0" bottom="0" percent="0" rank="0" text="" dxfId="1">
      <formula>"Small sample"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8"/>
  </cols>
  <sheetData>
    <row r="1" customFormat="false" ht="15" hidden="false" customHeight="false" outlineLevel="0" collapsed="false">
      <c r="A1" s="11" t="s">
        <v>191</v>
      </c>
    </row>
    <row r="3" customFormat="false" ht="15" hidden="false" customHeight="false" outlineLevel="0" collapsed="false">
      <c r="A3" s="1" t="s">
        <v>192</v>
      </c>
      <c r="B3" s="1" t="s">
        <v>193</v>
      </c>
      <c r="C3" s="1" t="s">
        <v>194</v>
      </c>
    </row>
    <row r="4" customFormat="false" ht="15" hidden="false" customHeight="false" outlineLevel="0" collapsed="false">
      <c r="A4" s="2" t="s">
        <v>195</v>
      </c>
      <c r="B4" s="8" t="n">
        <f aca="false">COUNTA(Cleaned_Data!$A$2:$A$4522)</f>
        <v>4521</v>
      </c>
      <c r="C4" s="2" t="s">
        <v>196</v>
      </c>
    </row>
    <row r="5" customFormat="false" ht="15" hidden="false" customHeight="false" outlineLevel="0" collapsed="false">
      <c r="A5" s="2" t="s">
        <v>197</v>
      </c>
      <c r="B5" s="8" t="n">
        <f aca="false">SUM(Cleaned_Data!$J$2:$J$4522)</f>
        <v>76</v>
      </c>
      <c r="C5" s="2" t="s">
        <v>198</v>
      </c>
    </row>
    <row r="6" customFormat="false" ht="15" hidden="false" customHeight="false" outlineLevel="0" collapsed="false">
      <c r="A6" s="2" t="s">
        <v>199</v>
      </c>
      <c r="B6" s="9" t="n">
        <f aca="false">B5/B4</f>
        <v>0.0168104401681044</v>
      </c>
      <c r="C6" s="2" t="s">
        <v>200</v>
      </c>
    </row>
    <row r="7" customFormat="false" ht="15" hidden="false" customHeight="false" outlineLevel="0" collapsed="false">
      <c r="A7" s="2" t="s">
        <v>174</v>
      </c>
      <c r="B7" s="9" t="n">
        <f aca="false">(B6+Lookups!B8^2/(2*B4)-Lookups!B8*SQRT(B6*(1-B6)/B4+Lookups!B8^2/(4*B4^2)))/(1+Lookups!B8^2/B4)</f>
        <v>0.0134523184891671</v>
      </c>
      <c r="C7" s="2" t="s">
        <v>201</v>
      </c>
    </row>
    <row r="8" customFormat="false" ht="15" hidden="false" customHeight="false" outlineLevel="0" collapsed="false">
      <c r="A8" s="2" t="s">
        <v>175</v>
      </c>
      <c r="B8" s="9" t="n">
        <f aca="false">(B6+Lookups!B8^2/(2*B4)+Lookups!B8*SQRT(B6*(1-B6)/B4+Lookups!B8^2/(4*B4^2)))/(1+Lookups!B8^2/B4)</f>
        <v>0.0209890197446398</v>
      </c>
      <c r="C8" s="2" t="s">
        <v>201</v>
      </c>
    </row>
    <row r="9" customFormat="false" ht="15" hidden="false" customHeight="false" outlineLevel="0" collapsed="false">
      <c r="A9" s="2" t="s">
        <v>202</v>
      </c>
      <c r="B9" s="8" t="n">
        <f aca="false">SUM(Cleaned_Data!$M$2:$M$4522)</f>
        <v>366</v>
      </c>
      <c r="C9" s="2" t="s">
        <v>203</v>
      </c>
    </row>
    <row r="10" customFormat="false" ht="15" hidden="false" customHeight="false" outlineLevel="0" collapsed="false">
      <c r="A10" s="2" t="s">
        <v>204</v>
      </c>
      <c r="B10" s="9" t="n">
        <f aca="false">SUMIFS(Cleaned_Data!$J$2:$J$4522,Cleaned_Data!$M$2:$M$4522,1)/B9</f>
        <v>0.117486338797814</v>
      </c>
      <c r="C10" s="2" t="s">
        <v>205</v>
      </c>
    </row>
    <row r="11" customFormat="false" ht="15" hidden="false" customHeight="false" outlineLevel="0" collapsed="false">
      <c r="A11" s="2" t="s">
        <v>206</v>
      </c>
      <c r="B11" s="9" t="n">
        <f aca="false">SUMIFS(Cleaned_Data!$J$2:$J$4522,Cleaned_Data!$M$2:$M$4522,0)/(B4-B9)</f>
        <v>0.00794223826714802</v>
      </c>
      <c r="C11" s="2" t="s">
        <v>207</v>
      </c>
    </row>
    <row r="12" customFormat="false" ht="15" hidden="false" customHeight="false" outlineLevel="0" collapsed="false">
      <c r="A12" s="2" t="s">
        <v>208</v>
      </c>
      <c r="B12" s="9" t="n">
        <f aca="false">SUMIFS(Cleaned_Data!$J$2:$J$4522,Cleaned_Data!$M$2:$M$4522,1)/B5</f>
        <v>0.565789473684211</v>
      </c>
      <c r="C12" s="2" t="s">
        <v>209</v>
      </c>
    </row>
    <row r="13" customFormat="false" ht="15" hidden="false" customHeight="false" outlineLevel="0" collapsed="false">
      <c r="A13" s="2" t="s">
        <v>210</v>
      </c>
      <c r="B13" s="8" t="n">
        <f aca="false" t="array" ref="B13:B13">MEDIAN(IF(Cleaned_Data!$J$2:$J$4522=1,Cleaned_Data!$G$2:$G$4522))</f>
        <v>-19</v>
      </c>
      <c r="C13" s="2" t="s">
        <v>211</v>
      </c>
    </row>
    <row r="14" customFormat="false" ht="15" hidden="false" customHeight="false" outlineLevel="0" collapsed="false">
      <c r="A14" s="2" t="s">
        <v>212</v>
      </c>
      <c r="B14" s="8" t="n">
        <f aca="false">MEDIAN(Cleaned_Data!$G$2:$G$4522)</f>
        <v>444</v>
      </c>
      <c r="C14" s="2"/>
    </row>
    <row r="15" customFormat="false" ht="15" hidden="false" customHeight="false" outlineLevel="0" collapsed="false">
      <c r="A15" s="2" t="s">
        <v>213</v>
      </c>
      <c r="B15" s="8" t="n">
        <f aca="false">SUM(Cleaned_Data!$L$2:$L$4522)</f>
        <v>691</v>
      </c>
      <c r="C15" s="2" t="s">
        <v>214</v>
      </c>
    </row>
    <row r="16" customFormat="false" ht="15" hidden="false" customHeight="false" outlineLevel="0" collapsed="false">
      <c r="A16" s="2" t="s">
        <v>215</v>
      </c>
      <c r="B16" s="8" t="n">
        <f aca="false">SUM(Cleaned_Data!$K$2:$K$4522)</f>
        <v>2559</v>
      </c>
      <c r="C16" s="2" t="s">
        <v>214</v>
      </c>
    </row>
    <row r="17" customFormat="false" ht="15" hidden="false" customHeight="false" outlineLevel="0" collapsed="false">
      <c r="A17" s="2" t="s">
        <v>216</v>
      </c>
      <c r="B17" s="8" t="n">
        <f aca="false">AVERAGE(Cleaned_Data!$G$2:$G$4522)</f>
        <v>1422.65781906658</v>
      </c>
      <c r="C17" s="2" t="s">
        <v>217</v>
      </c>
    </row>
    <row r="20" customFormat="false" ht="15" hidden="false" customHeight="false" outlineLevel="0" collapsed="false">
      <c r="A20" s="7" t="s">
        <v>218</v>
      </c>
    </row>
    <row r="21" customFormat="false" ht="15" hidden="false" customHeight="false" outlineLevel="0" collapsed="false">
      <c r="A21" s="2" t="str">
        <f aca="false">"Negative balance customers are "&amp;TEXT(B9/B4,"0.0%")&amp;" of the portfolio but hold "&amp;TEXT(B12,"0.0%")&amp;" of all defaults."</f>
        <v>Negative balance customers are 8.1% of the portfolio but hold 56.6% of all defaults.</v>
      </c>
    </row>
    <row r="22" customFormat="false" ht="15" hidden="false" customHeight="false" outlineLevel="0" collapsed="false">
      <c r="A22" s="2" t="str">
        <f aca="false">IF(B10&gt;2*B11,"Default rate for negative balance customers is more than twice the rate for others: priority monitoring segment.","No strong separation on this indicator.")</f>
        <v>Default rate for negative balance customers is more than twice the rate for others: priority monitoring segment.</v>
      </c>
    </row>
    <row r="23" customFormat="false" ht="15" hidden="false" customHeight="false" outlineLevel="0" collapsed="false">
      <c r="A23" s="2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</cols>
  <sheetData>
    <row r="1" customFormat="false" ht="17.35" hidden="false" customHeight="false" outlineLevel="0" collapsed="false">
      <c r="A1" s="12" t="s">
        <v>220</v>
      </c>
    </row>
    <row r="3" customFormat="false" ht="15" hidden="false" customHeight="false" outlineLevel="0" collapsed="false">
      <c r="A3" s="13" t="s">
        <v>171</v>
      </c>
      <c r="D3" s="13" t="s">
        <v>172</v>
      </c>
      <c r="G3" s="13" t="s">
        <v>173</v>
      </c>
      <c r="J3" s="13" t="s">
        <v>221</v>
      </c>
    </row>
    <row r="4" customFormat="false" ht="22.05" hidden="false" customHeight="false" outlineLevel="0" collapsed="false">
      <c r="A4" s="14" t="n">
        <f aca="false">Summary!B4</f>
        <v>4521</v>
      </c>
      <c r="D4" s="14" t="n">
        <f aca="false">Summary!B5</f>
        <v>76</v>
      </c>
      <c r="G4" s="15" t="n">
        <f aca="false">Summary!B6</f>
        <v>0.0168104401681044</v>
      </c>
      <c r="J4" s="16" t="n">
        <f aca="false">Summary!B10</f>
        <v>0.117486338797814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2" t="s">
        <v>222</v>
      </c>
    </row>
    <row r="2" customFormat="false" ht="15" hidden="false" customHeight="false" outlineLevel="0" collapsed="false">
      <c r="A2" s="2" t="s">
        <v>223</v>
      </c>
    </row>
    <row r="3" customFormat="false" ht="15" hidden="false" customHeight="false" outlineLevel="0" collapsed="false">
      <c r="A3" s="2" t="s">
        <v>224</v>
      </c>
    </row>
    <row r="4" customFormat="false" ht="15" hidden="false" customHeight="false" outlineLevel="0" collapsed="false">
      <c r="A4" s="2" t="s">
        <v>225</v>
      </c>
    </row>
    <row r="5" customFormat="false" ht="15" hidden="false" customHeight="false" outlineLevel="0" collapsed="false">
      <c r="A5" s="2" t="s">
        <v>226</v>
      </c>
    </row>
    <row r="6" customFormat="false" ht="15" hidden="false" customHeight="false" outlineLevel="0" collapsed="false">
      <c r="A6" s="2" t="s">
        <v>227</v>
      </c>
    </row>
    <row r="7" customFormat="false" ht="15" hidden="false" customHeight="false" outlineLevel="0" collapsed="false">
      <c r="A7" s="2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2026-10-19T07:08:28Z</dcterms:created>
  <dc:creator>openpyxl</dc:creator>
  <dc:description/>
  <dc:language>en-US</dc:language>
  <cp:lastModifiedBy/>
  <dcterms:modified xsi:type="dcterms:W3CDTF">2026-10-19T07:08:32Z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